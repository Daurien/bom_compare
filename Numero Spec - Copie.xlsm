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0" activeTab="0" autoFilterDateGrouping="1"/>
  </bookViews>
  <sheets>
    <sheet name="Numéros de Spec" sheetId="1" state="visible" r:id="rId1"/>
    <sheet name="Feuil1" sheetId="2" state="visible" r:id="rId2"/>
    <sheet name="Offres Fournisseurs" sheetId="3" state="visible" r:id="rId3"/>
    <sheet name="DATA_BASE" sheetId="4" state="visible" r:id="rId4"/>
  </sheets>
  <definedNames/>
  <calcPr calcId="191028" fullCalcOnLoad="1"/>
</workbook>
</file>

<file path=xl/styles.xml><?xml version="1.0" encoding="utf-8"?>
<styleSheet xmlns="http://schemas.openxmlformats.org/spreadsheetml/2006/main">
  <numFmts count="2">
    <numFmt numFmtId="164" formatCode="dd/mm/yy;@"/>
    <numFmt numFmtId="165" formatCode="#,##0.00\ &quot;€&quot;"/>
  </numFmts>
  <fonts count="21">
    <font>
      <name val="Calibri"/>
      <family val="2"/>
      <color theme="1"/>
      <sz val="11"/>
      <scheme val="minor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Calibri"/>
      <family val="2"/>
      <color theme="1"/>
      <sz val="11"/>
      <scheme val="minor"/>
    </font>
    <font>
      <name val="Calibri"/>
      <family val="2"/>
      <color rgb="FF000000"/>
      <sz val="11"/>
    </font>
    <font>
      <name val="Segoe UI"/>
      <family val="2"/>
      <color rgb="FF000000"/>
      <sz val="10"/>
    </font>
    <font>
      <name val="Calibri"/>
      <family val="2"/>
      <color rgb="FF000000"/>
      <sz val="11"/>
      <scheme val="minor"/>
    </font>
    <font>
      <name val="Arial"/>
      <family val="2"/>
      <sz val="10"/>
    </font>
    <font>
      <name val="Calibri"/>
      <family val="2"/>
      <sz val="8"/>
      <scheme val="minor"/>
    </font>
    <font>
      <name val="Calibri"/>
      <family val="2"/>
      <color rgb="FF211E1F"/>
      <sz val="10"/>
      <scheme val="minor"/>
    </font>
    <font>
      <name val="Calibri"/>
      <family val="2"/>
      <color rgb="FF1F497D"/>
      <sz val="11"/>
      <u val="single"/>
      <scheme val="minor"/>
    </font>
    <font>
      <name val="Calibri"/>
      <charset val="1"/>
      <family val="2"/>
      <color theme="1"/>
      <sz val="11"/>
    </font>
    <font>
      <name val="Calibri"/>
      <family val="2"/>
      <color rgb="FF1F497D"/>
      <sz val="11"/>
      <scheme val="minor"/>
    </font>
    <font>
      <name val="Calibri"/>
      <family val="2"/>
      <color theme="1"/>
      <sz val="11"/>
    </font>
    <font>
      <name val="Calibri"/>
      <family val="2"/>
      <color rgb="FF444444"/>
      <sz val="11"/>
    </font>
    <font>
      <name val="Calibri"/>
      <family val="2"/>
      <color indexed="8"/>
      <sz val="11"/>
      <scheme val="minor"/>
    </font>
    <font>
      <name val="LucidaSans"/>
      <sz val="10"/>
    </font>
    <font>
      <name val="Calibri"/>
      <family val="2"/>
      <color rgb="FF000000"/>
      <sz val="12"/>
      <scheme val="minor"/>
    </font>
    <font>
      <name val="Calibri"/>
      <family val="2"/>
      <strike val="1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color rgb="FFFF000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8" tint="0.3999755851924192"/>
        <bgColor indexed="65"/>
      </patternFill>
    </fill>
    <fill>
      <patternFill patternType="solid">
        <fgColor theme="5" tint="0.7999816888943144"/>
        <bgColor theme="5" tint="0.7999816888943144"/>
      </patternFill>
    </fill>
    <fill>
      <patternFill patternType="solid">
        <fgColor theme="5" tint="0.5999938962981048"/>
        <bgColor theme="5" tint="0.5999938962981048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</borders>
  <cellStyleXfs count="5">
    <xf numFmtId="0" fontId="3" fillId="0" borderId="0"/>
    <xf numFmtId="0" fontId="3" fillId="2" borderId="0"/>
    <xf numFmtId="44" fontId="3" fillId="0" borderId="0"/>
    <xf numFmtId="0" fontId="15" fillId="0" borderId="0"/>
    <xf numFmtId="0" fontId="16" fillId="0" borderId="0"/>
  </cellStyleXfs>
  <cellXfs count="143">
    <xf numFmtId="0" fontId="0" fillId="0" borderId="0" pivotButton="0" quotePrefix="0" xfId="0"/>
    <xf numFmtId="164" fontId="0" fillId="0" borderId="0" pivotButton="0" quotePrefix="0" xfId="0"/>
    <xf numFmtId="14" fontId="0" fillId="0" borderId="0" pivotButton="0" quotePrefix="0" xfId="0"/>
    <xf numFmtId="14" fontId="3" fillId="2" borderId="0" applyAlignment="1" pivotButton="0" quotePrefix="0" xfId="1">
      <alignment wrapText="1"/>
    </xf>
    <xf numFmtId="0" fontId="3" fillId="2" borderId="0" pivotButton="0" quotePrefix="0" xfId="1"/>
    <xf numFmtId="14" fontId="3" fillId="2" borderId="0" pivotButton="0" quotePrefix="0" xfId="1"/>
    <xf numFmtId="0" fontId="3" fillId="2" borderId="0" pivotButton="0" quotePrefix="0" xfId="1"/>
    <xf numFmtId="165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14" fontId="3" fillId="2" borderId="0" pivotButton="0" quotePrefix="0" xfId="1"/>
    <xf numFmtId="0" fontId="3" fillId="2" borderId="0" pivotButton="0" quotePrefix="0" xfId="1"/>
    <xf numFmtId="14" fontId="0" fillId="0" borderId="0" applyAlignment="1" pivotButton="0" quotePrefix="0" xfId="0">
      <alignment horizontal="right"/>
    </xf>
    <xf numFmtId="14" fontId="0" fillId="0" borderId="0" applyAlignment="1" pivotButton="0" quotePrefix="0" xfId="0">
      <alignment wrapText="1"/>
    </xf>
    <xf numFmtId="0" fontId="4" fillId="0" borderId="0" applyAlignment="1" pivotButton="0" quotePrefix="0" xfId="0">
      <alignment horizontal="center" vertical="center"/>
    </xf>
    <xf numFmtId="14" fontId="0" fillId="4" borderId="1" pivotButton="0" quotePrefix="0" xfId="0"/>
    <xf numFmtId="165" fontId="0" fillId="4" borderId="1" pivotButton="0" quotePrefix="0" xfId="0"/>
    <xf numFmtId="0" fontId="0" fillId="4" borderId="1" applyAlignment="1" pivotButton="0" quotePrefix="0" xfId="0">
      <alignment horizontal="center" vertical="center"/>
    </xf>
    <xf numFmtId="14" fontId="0" fillId="3" borderId="1" pivotButton="0" quotePrefix="0" xfId="0"/>
    <xf numFmtId="165" fontId="0" fillId="3" borderId="1" pivotButton="0" quotePrefix="0" xfId="0"/>
    <xf numFmtId="0" fontId="0" fillId="3" borderId="1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0" fillId="3" borderId="1" applyAlignment="1" pivotButton="0" quotePrefix="0" xfId="0">
      <alignment horizontal="center" vertical="center"/>
    </xf>
    <xf numFmtId="49" fontId="0" fillId="4" borderId="1" applyAlignment="1" pivotButton="0" quotePrefix="0" xfId="0">
      <alignment horizontal="center" vertical="center"/>
    </xf>
    <xf numFmtId="14" fontId="0" fillId="0" borderId="2" pivotButton="0" quotePrefix="0" xfId="0"/>
    <xf numFmtId="0" fontId="0" fillId="0" borderId="2" pivotButton="0" quotePrefix="0" xfId="0"/>
    <xf numFmtId="49" fontId="0" fillId="0" borderId="2" applyAlignment="1" pivotButton="0" quotePrefix="0" xfId="0">
      <alignment horizontal="center" vertical="center"/>
    </xf>
    <xf numFmtId="165" fontId="0" fillId="0" borderId="2" pivotButton="0" quotePrefix="0" xfId="0"/>
    <xf numFmtId="0" fontId="0" fillId="0" borderId="2" applyAlignment="1" pivotButton="0" quotePrefix="0" xfId="0">
      <alignment horizontal="center" vertical="center"/>
    </xf>
    <xf numFmtId="0" fontId="0" fillId="0" borderId="3" pivotButton="0" quotePrefix="0" xfId="0"/>
    <xf numFmtId="14" fontId="0" fillId="0" borderId="3" pivotButton="0" quotePrefix="0" xfId="0"/>
    <xf numFmtId="49" fontId="0" fillId="0" borderId="3" applyAlignment="1" pivotButton="0" quotePrefix="0" xfId="0">
      <alignment horizontal="center" vertical="center"/>
    </xf>
    <xf numFmtId="165" fontId="0" fillId="0" borderId="3" pivotButton="0" quotePrefix="0" xfId="0"/>
    <xf numFmtId="0" fontId="0" fillId="0" borderId="3" applyAlignment="1" pivotButton="0" quotePrefix="0" xfId="0">
      <alignment horizontal="center" vertical="center"/>
    </xf>
    <xf numFmtId="14" fontId="0" fillId="0" borderId="2" applyAlignment="1" pivotButton="0" quotePrefix="0" xfId="0">
      <alignment horizontal="right"/>
    </xf>
    <xf numFmtId="0" fontId="0" fillId="0" borderId="0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165" fontId="0" fillId="0" borderId="0" applyAlignment="1" pivotButton="0" quotePrefix="0" xfId="0">
      <alignment horizontal="right"/>
    </xf>
    <xf numFmtId="0" fontId="0" fillId="0" borderId="0" pivotButton="0" quotePrefix="1" xfId="0"/>
    <xf numFmtId="0" fontId="0" fillId="0" borderId="0" applyAlignment="1" pivotButton="0" quotePrefix="0" xfId="0">
      <alignment horizontal="center" wrapText="1"/>
    </xf>
    <xf numFmtId="0" fontId="0" fillId="3" borderId="1" applyAlignment="1" pivotButton="0" quotePrefix="0" xfId="0">
      <alignment horizontal="center"/>
    </xf>
    <xf numFmtId="0" fontId="0" fillId="4" borderId="1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6" fillId="0" borderId="0" applyAlignment="1" pivotButton="0" quotePrefix="0" xfId="0">
      <alignment horizontal="center" vertical="center"/>
    </xf>
    <xf numFmtId="0" fontId="4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14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/>
    </xf>
    <xf numFmtId="49" fontId="0" fillId="0" borderId="0" applyAlignment="1" pivotButton="0" quotePrefix="0" xfId="0">
      <alignment horizontal="left" vertical="center"/>
    </xf>
    <xf numFmtId="0" fontId="0" fillId="0" borderId="4" applyAlignment="1" pivotButton="0" quotePrefix="0" xfId="0">
      <alignment horizontal="center" vertical="center"/>
    </xf>
    <xf numFmtId="14" fontId="0" fillId="0" borderId="4" pivotButton="0" quotePrefix="0" xfId="0"/>
    <xf numFmtId="0" fontId="0" fillId="0" borderId="4" pivotButton="0" quotePrefix="0" xfId="0"/>
    <xf numFmtId="49" fontId="0" fillId="0" borderId="4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/>
    </xf>
    <xf numFmtId="165" fontId="0" fillId="0" borderId="4" pivotButton="0" quotePrefix="0" xfId="0"/>
    <xf numFmtId="0" fontId="0" fillId="0" borderId="5" applyAlignment="1" pivotButton="0" quotePrefix="0" xfId="0">
      <alignment horizontal="center" vertical="center"/>
    </xf>
    <xf numFmtId="14" fontId="0" fillId="0" borderId="5" pivotButton="0" quotePrefix="0" xfId="0"/>
    <xf numFmtId="0" fontId="0" fillId="0" borderId="5" pivotButton="0" quotePrefix="0" xfId="0"/>
    <xf numFmtId="49" fontId="0" fillId="0" borderId="5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/>
    </xf>
    <xf numFmtId="165" fontId="0" fillId="0" borderId="5" pivotButton="0" quotePrefix="0" xfId="0"/>
    <xf numFmtId="14" fontId="0" fillId="0" borderId="0" applyAlignment="1" pivotButton="0" quotePrefix="0" xfId="0">
      <alignment horizontal="right" wrapText="1"/>
    </xf>
    <xf numFmtId="0" fontId="0" fillId="0" borderId="6" applyAlignment="1" pivotButton="0" quotePrefix="0" xfId="0">
      <alignment horizontal="center" vertical="center"/>
    </xf>
    <xf numFmtId="14" fontId="0" fillId="0" borderId="6" pivotButton="0" quotePrefix="0" xfId="0"/>
    <xf numFmtId="0" fontId="0" fillId="0" borderId="6" pivotButton="0" quotePrefix="0" xfId="0"/>
    <xf numFmtId="49" fontId="0" fillId="0" borderId="6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/>
    </xf>
    <xf numFmtId="165" fontId="0" fillId="0" borderId="6" pivotButton="0" quotePrefix="0" xfId="0"/>
    <xf numFmtId="165" fontId="7" fillId="0" borderId="0" applyAlignment="1" pivotButton="0" quotePrefix="0" xfId="0">
      <alignment horizontal="right" vertical="center"/>
    </xf>
    <xf numFmtId="14" fontId="0" fillId="0" borderId="5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 vertical="center" wrapText="1"/>
    </xf>
    <xf numFmtId="165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 wrapText="1"/>
    </xf>
    <xf numFmtId="14" fontId="0" fillId="0" borderId="4" applyAlignment="1" pivotButton="0" quotePrefix="0" xfId="0">
      <alignment wrapText="1"/>
    </xf>
    <xf numFmtId="14" fontId="0" fillId="0" borderId="5" applyAlignment="1" pivotButton="0" quotePrefix="0" xfId="0">
      <alignment wrapText="1"/>
    </xf>
    <xf numFmtId="14" fontId="0" fillId="0" borderId="0" applyAlignment="1" pivotButton="0" quotePrefix="0" xfId="0">
      <alignment horizontal="right" vertical="center"/>
    </xf>
    <xf numFmtId="14" fontId="0" fillId="0" borderId="5" applyAlignment="1" pivotButton="0" quotePrefix="0" xfId="0">
      <alignment horizontal="right" vertical="center"/>
    </xf>
    <xf numFmtId="0" fontId="0" fillId="0" borderId="7" applyAlignment="1" pivotButton="0" quotePrefix="0" xfId="0">
      <alignment horizontal="center" vertical="center"/>
    </xf>
    <xf numFmtId="14" fontId="0" fillId="0" borderId="7" pivotButton="0" quotePrefix="0" xfId="0"/>
    <xf numFmtId="0" fontId="0" fillId="0" borderId="7" pivotButton="0" quotePrefix="0" xfId="0"/>
    <xf numFmtId="49" fontId="0" fillId="0" borderId="7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/>
    </xf>
    <xf numFmtId="165" fontId="0" fillId="0" borderId="7" pivotButton="0" quotePrefix="0" xfId="0"/>
    <xf numFmtId="165" fontId="0" fillId="0" borderId="8" pivotButton="0" quotePrefix="0" xfId="0"/>
    <xf numFmtId="165" fontId="0" fillId="0" borderId="9" pivotButton="0" quotePrefix="0" xfId="0"/>
    <xf numFmtId="165" fontId="0" fillId="0" borderId="10" pivotButton="0" quotePrefix="0" xfId="0"/>
    <xf numFmtId="165" fontId="0" fillId="0" borderId="11" pivotButton="0" quotePrefix="0" xfId="0"/>
    <xf numFmtId="165" fontId="0" fillId="0" borderId="12" pivotButton="0" quotePrefix="0" xfId="0"/>
    <xf numFmtId="0" fontId="0" fillId="0" borderId="13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vertical="center"/>
    </xf>
    <xf numFmtId="0" fontId="0" fillId="0" borderId="0" applyAlignment="1" pivotButton="0" quotePrefix="0" xfId="0">
      <alignment wrapText="1"/>
    </xf>
    <xf numFmtId="165" fontId="0" fillId="0" borderId="0" applyAlignment="1" pivotButton="0" quotePrefix="0" xfId="0">
      <alignment wrapText="1"/>
    </xf>
    <xf numFmtId="0" fontId="9" fillId="0" borderId="4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9" fillId="0" borderId="5" applyAlignment="1" pivotButton="0" quotePrefix="0" xfId="0">
      <alignment vertical="center"/>
    </xf>
    <xf numFmtId="165" fontId="0" fillId="0" borderId="5" applyAlignment="1" pivotButton="0" quotePrefix="0" xfId="0">
      <alignment horizontal="right"/>
    </xf>
    <xf numFmtId="14" fontId="0" fillId="0" borderId="7" applyAlignment="1" pivotButton="0" quotePrefix="0" xfId="0">
      <alignment horizontal="right"/>
    </xf>
    <xf numFmtId="14" fontId="0" fillId="0" borderId="7" applyAlignment="1" pivotButton="0" quotePrefix="0" xfId="0">
      <alignment wrapText="1"/>
    </xf>
    <xf numFmtId="14" fontId="0" fillId="0" borderId="4" applyAlignment="1" pivotButton="0" quotePrefix="0" xfId="0">
      <alignment horizontal="right"/>
    </xf>
    <xf numFmtId="14" fontId="0" fillId="0" borderId="4" applyAlignment="1" pivotButton="0" quotePrefix="0" xfId="0">
      <alignment horizontal="right" vertical="center"/>
    </xf>
    <xf numFmtId="0" fontId="10" fillId="0" borderId="0" applyAlignment="1" pivotButton="0" quotePrefix="0" xfId="0">
      <alignment vertical="center"/>
    </xf>
    <xf numFmtId="0" fontId="11" fillId="0" borderId="0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12" fillId="0" borderId="4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16" fontId="0" fillId="0" borderId="4" applyAlignment="1" pivotButton="0" quotePrefix="0" xfId="0">
      <alignment horizontal="center" vertical="center"/>
    </xf>
    <xf numFmtId="16" fontId="0" fillId="0" borderId="0" applyAlignment="1" pivotButton="0" quotePrefix="0" xfId="0">
      <alignment horizontal="center" vertical="center"/>
    </xf>
    <xf numFmtId="16" fontId="0" fillId="0" borderId="5" applyAlignment="1" pivotButton="0" quotePrefix="0" xfId="0">
      <alignment horizontal="center" vertical="center"/>
    </xf>
    <xf numFmtId="14" fontId="0" fillId="0" borderId="4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 vertical="center"/>
    </xf>
    <xf numFmtId="14" fontId="0" fillId="0" borderId="16" pivotButton="0" quotePrefix="0" xfId="0"/>
    <xf numFmtId="0" fontId="0" fillId="0" borderId="16" pivotButton="0" quotePrefix="0" xfId="0"/>
    <xf numFmtId="49" fontId="0" fillId="0" borderId="16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/>
    </xf>
    <xf numFmtId="14" fontId="12" fillId="0" borderId="4" applyAlignment="1" pivotButton="0" quotePrefix="0" xfId="0">
      <alignment horizontal="center" vertical="center"/>
    </xf>
    <xf numFmtId="14" fontId="12" fillId="0" borderId="0" applyAlignment="1" pivotButton="0" quotePrefix="0" xfId="0">
      <alignment horizontal="center" vertical="center"/>
    </xf>
    <xf numFmtId="14" fontId="12" fillId="0" borderId="5" applyAlignment="1" pivotButton="0" quotePrefix="0" xfId="0">
      <alignment horizontal="center" vertical="center"/>
    </xf>
    <xf numFmtId="165" fontId="0" fillId="0" borderId="4" applyAlignment="1" pivotButton="0" quotePrefix="0" xfId="2">
      <alignment horizontal="center"/>
    </xf>
    <xf numFmtId="165" fontId="0" fillId="0" borderId="0" applyAlignment="1" pivotButton="0" quotePrefix="0" xfId="2">
      <alignment horizontal="center"/>
    </xf>
    <xf numFmtId="165" fontId="0" fillId="0" borderId="5" applyAlignment="1" pivotButton="0" quotePrefix="0" xfId="2">
      <alignment horizontal="right"/>
    </xf>
    <xf numFmtId="165" fontId="0" fillId="0" borderId="16" pivotButton="0" quotePrefix="0" xfId="0"/>
    <xf numFmtId="0" fontId="13" fillId="0" borderId="0" applyAlignment="1" pivotButton="0" quotePrefix="0" xfId="0">
      <alignment horizontal="center" wrapText="1"/>
    </xf>
    <xf numFmtId="0" fontId="5" fillId="0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 wrapText="1"/>
    </xf>
    <xf numFmtId="165" fontId="0" fillId="0" borderId="0" applyAlignment="1" pivotButton="0" quotePrefix="0" xfId="0">
      <alignment horizontal="center" vertical="center"/>
    </xf>
    <xf numFmtId="0" fontId="3" fillId="2" borderId="0" pivotButton="0" quotePrefix="0" xfId="1"/>
    <xf numFmtId="0" fontId="6" fillId="0" borderId="7" applyAlignment="1" pivotButton="0" quotePrefix="0" xfId="0">
      <alignment horizontal="center" vertical="center"/>
    </xf>
    <xf numFmtId="0" fontId="6" fillId="0" borderId="5" applyAlignment="1" pivotButton="0" quotePrefix="0" xfId="0">
      <alignment horizontal="center" vertical="center"/>
    </xf>
    <xf numFmtId="14" fontId="14" fillId="0" borderId="0" applyAlignment="1" pivotButton="0" quotePrefix="0" xfId="0">
      <alignment wrapText="1"/>
    </xf>
    <xf numFmtId="0" fontId="0" fillId="0" borderId="0" applyAlignment="1" pivotButton="0" quotePrefix="0" xfId="0">
      <alignment vertical="center"/>
    </xf>
    <xf numFmtId="0" fontId="17" fillId="0" borderId="0" pivotButton="0" quotePrefix="0" xfId="0"/>
    <xf numFmtId="0" fontId="18" fillId="0" borderId="0" pivotButton="0" quotePrefix="0" xfId="0"/>
    <xf numFmtId="0" fontId="15" fillId="0" borderId="0" pivotButton="0" quotePrefix="0" xfId="3"/>
    <xf numFmtId="2" fontId="15" fillId="0" borderId="0" pivotButton="0" quotePrefix="0" xfId="3"/>
    <xf numFmtId="14" fontId="18" fillId="0" borderId="0" pivotButton="0" quotePrefix="0" xfId="0"/>
    <xf numFmtId="0" fontId="18" fillId="0" borderId="0" pivotButton="0" quotePrefix="1" xfId="0"/>
    <xf numFmtId="0" fontId="6" fillId="0" borderId="0" pivotButton="0" quotePrefix="0" xfId="0"/>
    <xf numFmtId="0" fontId="20" fillId="0" borderId="0" pivotButton="0" quotePrefix="0" xfId="0"/>
    <xf numFmtId="0" fontId="0" fillId="0" borderId="0" pivotButton="0" quotePrefix="0" xfId="0"/>
  </cellXfs>
  <cellStyles count="5">
    <cellStyle name="Normal" xfId="0" builtinId="0"/>
    <cellStyle name="60% - Accent5" xfId="1" builtinId="48"/>
    <cellStyle name="Currency" xfId="2" builtinId="4"/>
    <cellStyle name="Normal 2" xfId="3"/>
    <cellStyle name="Normal 2 12" xfId="4"/>
  </cellStyles>
  <dxfs count="22">
    <dxf>
      <numFmt numFmtId="19" formatCode="dd/mm/yyyy"/>
    </dxf>
    <dxf>
      <alignment horizontal="center" vertical="center"/>
    </dxf>
    <dxf>
      <numFmt numFmtId="165" formatCode="#,##0.00\ &quot;€&quot;"/>
    </dxf>
    <dxf>
      <alignment horizontal="center"/>
    </dxf>
    <dxf>
      <numFmt numFmtId="30" formatCode="@"/>
      <alignment horizontal="center" vertical="center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  <alignment horizontal="center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center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omments/comment1.xml><?xml version="1.0" encoding="utf-8"?>
<comments xmlns="http://schemas.openxmlformats.org/spreadsheetml/2006/main">
  <authors>
    <author>JPaul MONGELLI</author>
  </authors>
  <commentList>
    <comment ref="J4" authorId="0" shapeId="0">
      <text>
        <t xml:space="preserve">JPaul MONGELLI:
</t>
      </text>
    </comment>
  </commentList>
</comments>
</file>

<file path=xl/tables/table1.xml><?xml version="1.0" encoding="utf-8"?>
<table xmlns="http://schemas.openxmlformats.org/spreadsheetml/2006/main" id="1" name="Tableau1" displayName="Tableau1" ref="B3:N14006" headerRowCount="1" totalsRowShown="0">
  <autoFilter ref="B3:N14006"/>
  <sortState ref="B4:N14006">
    <sortCondition descending="1" ref="B3:B14006"/>
  </sortState>
  <tableColumns count="13">
    <tableColumn id="1" name="NUMERO"/>
    <tableColumn id="2" name="DATE" dataDxfId="21"/>
    <tableColumn id="3" name="TYPE"/>
    <tableColumn id="4" name="DESIGNATION"/>
    <tableColumn id="5" name="PRODUIT OU AFFAIRE"/>
    <tableColumn id="10" name="GAMME"/>
    <tableColumn id="8" name="TYPE PRODUIT"/>
    <tableColumn id="12" name="PUISSANCE"/>
    <tableColumn id="6" name="CREE PAR "/>
    <tableColumn id="7" name="TYPE DE PIECE"/>
    <tableColumn id="13" name="SHORT TYPE" dataDxfId="20">
      <calculatedColumnFormula>_xlfn.XLOOKUP(Tableau1[[#This Row],[TYPE DE PIECE]],Tableau4[MATIERE],Tableau4[SHORT TYPE],"",0,1)</calculatedColumnFormula>
    </tableColumn>
    <tableColumn id="9" name="LIB"/>
    <tableColumn id="11" name="REF A DECOUPER" dataDxfId="19">
      <calculatedColumnFormula>IF(ISERR(FIND("DECOUPE",Tableau1[[#This Row],[DESIGNATION]])),"","NEED REF")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1:D628" headerRowCount="1" totalsRowShown="0" headerRowCellStyle="Normal 2" dataCellStyle="Normal 2">
  <autoFilter ref="A1:D628"/>
  <sortState ref="A2:C628">
    <sortCondition descending="1" ref="A1:A628"/>
  </sortState>
  <tableColumns count="4">
    <tableColumn id="1" name="n" dataCellStyle="Normal 2"/>
    <tableColumn id="3" name="Ref" dataDxfId="18" dataCellStyle="Normal 2">
      <calculatedColumnFormula>LEFT(Tableau2[[#This Row],[n]],8)</calculatedColumnFormula>
    </tableColumn>
    <tableColumn id="2" name="Name" dataCellStyle="Normal 2"/>
    <tableColumn id="4" name="Colonne1" dataDxfId="17" dataCellStyle="Normal 2">
      <calculatedColumnFormula>VLOOKUP(Tableau2[[#This Row],[Ref]],Tableau1[],4,FALSE)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A2:R1440" headerRowCount="1" totalsRowShown="0">
  <autoFilter ref="A2:R1440"/>
  <tableColumns count="18">
    <tableColumn id="1" name="REFERENCE" dataDxfId="16"/>
    <tableColumn id="2" name="DATE DE_x000a_CREATION" dataDxfId="15">
      <calculatedColumnFormula>INDEX(Tableau1[], MATCH(Tableau3[[#This Row],[REFERENCE]], Tableau1[NUMERO], 0), 2)</calculatedColumnFormula>
    </tableColumn>
    <tableColumn id="3" name="TYPE" dataDxfId="14">
      <calculatedColumnFormula>INDEX(Tableau1[], MATCH(Tableau3[[#This Row],[REFERENCE]], Tableau1[NUMERO], 0), 3)</calculatedColumnFormula>
    </tableColumn>
    <tableColumn id="4" name="DESIGNATION" dataDxfId="13">
      <calculatedColumnFormula>INDEX(Tableau1[], MATCH(Tableau3[[#This Row],[REFERENCE]], Tableau1[NUMERO], 0),4)</calculatedColumnFormula>
    </tableColumn>
    <tableColumn id="5" name="PRODUIT OU AFFAIRE" dataDxfId="12">
      <calculatedColumnFormula>INDEX(Tableau1[], MATCH(Tableau3[[#This Row],[REFERENCE]], Tableau1[NUMERO], 0), 5)</calculatedColumnFormula>
    </tableColumn>
    <tableColumn id="6" name="CREE PAR " dataDxfId="11"/>
    <tableColumn id="7" name="TYPE DE PIECE" dataDxfId="10"/>
    <tableColumn id="8" name="FOURNISSEUR" dataDxfId="9"/>
    <tableColumn id="17" name="consultation géré par" dataDxfId="8"/>
    <tableColumn id="9" name="Date envoi Consultation" dataDxfId="7"/>
    <tableColumn id="10" name="NON - N ou Date réponse FRS" dataDxfId="6"/>
    <tableColumn id="11" name="A relancer le" dataDxfId="5"/>
    <tableColumn id="16" name="Révision" dataDxfId="4"/>
    <tableColumn id="19" name="Quantité_x000a_par Tarif" dataDxfId="3"/>
    <tableColumn id="12" name="TARIF" dataDxfId="2"/>
    <tableColumn id="13" name="DELAI_x000a_de Livraison" dataDxfId="1"/>
    <tableColumn id="14" name="DEVIS VALABLE JUSQU'AU" dataDxfId="0"/>
    <tableColumn id="15" name="COMMENTAIRES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" name="Tableau4" displayName="Tableau4" ref="A1:B16" headerRowCount="1" totalsRowShown="0">
  <autoFilter ref="A1:B16"/>
  <tableColumns count="2">
    <tableColumn id="1" name="MATIERE"/>
    <tableColumn id="2" name="SHORT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sheet1.xml><?xml version="1.0" encoding="utf-8"?>
<worksheet xmlns="http://schemas.openxmlformats.org/spreadsheetml/2006/main">
  <sheetPr codeName="Feuil1">
    <outlinePr summaryBelow="1" summaryRight="1"/>
    <pageSetUpPr/>
  </sheetPr>
  <dimension ref="B1:N14006"/>
  <sheetViews>
    <sheetView tabSelected="1" zoomScale="81" zoomScaleNormal="81" workbookViewId="0">
      <selection activeCell="B15" sqref="B15"/>
    </sheetView>
  </sheetViews>
  <sheetFormatPr baseColWidth="8" defaultColWidth="11.42578125" defaultRowHeight="15"/>
  <cols>
    <col width="2.5703125" customWidth="1" style="142" min="1" max="1"/>
    <col width="11.5703125" bestFit="1" customWidth="1" style="142" min="2" max="2"/>
    <col width="17" customWidth="1" style="142" min="3" max="3"/>
    <col width="9.5703125" customWidth="1" style="142" min="4" max="4"/>
    <col width="83.28515625" customWidth="1" style="142" min="5" max="5"/>
    <col width="36.42578125" customWidth="1" style="142" min="6" max="6"/>
    <col width="26.85546875" bestFit="1" customWidth="1" style="142" min="7" max="7"/>
    <col width="14.85546875" customWidth="1" style="142" min="8" max="8"/>
    <col width="25.42578125" customWidth="1" style="142" min="9" max="9"/>
    <col width="14.140625" customWidth="1" style="142" min="10" max="10"/>
    <col width="20.7109375" bestFit="1" customWidth="1" style="142" min="11" max="11"/>
    <col width="13.85546875" bestFit="1" customWidth="1" style="142" min="12" max="12"/>
    <col width="16.7109375" bestFit="1" customWidth="1" style="142" min="13" max="13"/>
    <col width="18.28515625" bestFit="1" customWidth="1" style="142" min="14" max="14"/>
  </cols>
  <sheetData>
    <row r="1" ht="21.75" customHeight="1" s="142">
      <c r="C1" s="1" t="n"/>
    </row>
    <row r="2">
      <c r="C2" s="1" t="n"/>
    </row>
    <row r="3">
      <c r="B3" t="inlineStr">
        <is>
          <t>NUMERO</t>
        </is>
      </c>
      <c r="C3" s="1" t="inlineStr">
        <is>
          <t>DATE</t>
        </is>
      </c>
      <c r="D3" t="inlineStr">
        <is>
          <t>TYPE</t>
        </is>
      </c>
      <c r="E3" t="inlineStr">
        <is>
          <t>DESIGNATION</t>
        </is>
      </c>
      <c r="F3" t="inlineStr">
        <is>
          <t>PRODUIT OU AFFAIRE</t>
        </is>
      </c>
      <c r="G3" t="inlineStr">
        <is>
          <t>GAMME</t>
        </is>
      </c>
      <c r="H3" t="inlineStr">
        <is>
          <t>TYPE PRODUIT</t>
        </is>
      </c>
      <c r="I3" t="inlineStr">
        <is>
          <t>PUISSANCE</t>
        </is>
      </c>
      <c r="J3" t="inlineStr">
        <is>
          <t xml:space="preserve">CREE PAR </t>
        </is>
      </c>
      <c r="K3" t="inlineStr">
        <is>
          <t>TYPE DE PIECE</t>
        </is>
      </c>
      <c r="L3" t="inlineStr">
        <is>
          <t>SHORT TYPE</t>
        </is>
      </c>
      <c r="M3" t="inlineStr">
        <is>
          <t>LIB</t>
        </is>
      </c>
      <c r="N3" t="inlineStr">
        <is>
          <t>REF A DECOUPER</t>
        </is>
      </c>
    </row>
    <row r="4">
      <c r="B4" t="n">
        <v>34413998</v>
      </c>
      <c r="C4" s="2" t="n">
        <v>45792</v>
      </c>
      <c r="D4" t="inlineStr">
        <is>
          <t>SPEC</t>
        </is>
      </c>
      <c r="E4" t="inlineStr">
        <is>
          <t>PLA 34413998 Spacer for Birdy Structure Assembly on GVXL palette</t>
        </is>
      </c>
      <c r="J4" t="inlineStr">
        <is>
          <t>BESSIERE</t>
        </is>
      </c>
      <c r="L4">
        <f>_xlfn.XLOOKUP(Tableau1[[#This Row],[TYPE DE PIECE]],Tableau4[MATIERE],Tableau4[SHORT TYPE],"",0,1)</f>
        <v/>
      </c>
      <c r="N4">
        <f>IF(ISERR(FIND("DECOUPE",Tableau1[[#This Row],[DESIGNATION]])),"","NEED REF")</f>
        <v/>
      </c>
    </row>
    <row r="5">
      <c r="B5" t="n">
        <v>34413997</v>
      </c>
      <c r="C5" s="2" t="n">
        <v>45791</v>
      </c>
      <c r="D5" t="inlineStr">
        <is>
          <t>SPEC</t>
        </is>
      </c>
      <c r="E5" t="inlineStr">
        <is>
          <t>SMT 34413997 Spacer feet for Birdy Structure Assembly on GVXL palette</t>
        </is>
      </c>
      <c r="J5" t="inlineStr">
        <is>
          <t>BESSIERE</t>
        </is>
      </c>
      <c r="L5">
        <f>_xlfn.XLOOKUP(Tableau1[[#This Row],[TYPE DE PIECE]],Tableau4[MATIERE],Tableau4[SHORT TYPE],"",0,1)</f>
        <v/>
      </c>
      <c r="N5">
        <f>IF(ISERR(FIND("DECOUPE",Tableau1[[#This Row],[DESIGNATION]])),"","NEED REF")</f>
        <v/>
      </c>
    </row>
    <row r="6">
      <c r="B6" t="n">
        <v>34413996</v>
      </c>
      <c r="C6" s="2" t="n">
        <v>45791</v>
      </c>
      <c r="D6" t="inlineStr">
        <is>
          <t>SPEC</t>
        </is>
      </c>
      <c r="E6" t="inlineStr">
        <is>
          <t>PLA 34413966 GVXL UPS DOUBLE BAR SPACER</t>
        </is>
      </c>
      <c r="J6" t="inlineStr">
        <is>
          <t>BESSIERE</t>
        </is>
      </c>
      <c r="L6">
        <f>_xlfn.XLOOKUP(Tableau1[[#This Row],[TYPE DE PIECE]],Tableau4[MATIERE],Tableau4[SHORT TYPE],"",0,1)</f>
        <v/>
      </c>
      <c r="N6">
        <f>IF(ISERR(FIND("DECOUPE",Tableau1[[#This Row],[DESIGNATION]])),"","NEED REF")</f>
        <v/>
      </c>
    </row>
    <row r="7">
      <c r="B7" t="n">
        <v>34413995</v>
      </c>
      <c r="C7" s="2" t="n">
        <v>45791</v>
      </c>
      <c r="D7" t="inlineStr">
        <is>
          <t>SPEC</t>
        </is>
      </c>
      <c r="E7" t="inlineStr">
        <is>
          <t>KIT REAR COVER FOR ARC FLASH PROTECTION AT REAR OF GVXI1250KD (LEFT)</t>
        </is>
      </c>
      <c r="F7" t="inlineStr">
        <is>
          <t>QSFE77978</t>
        </is>
      </c>
      <c r="J7" t="inlineStr">
        <is>
          <t>PEIRON</t>
        </is>
      </c>
      <c r="K7" t="inlineStr">
        <is>
          <t>METAL</t>
        </is>
      </c>
      <c r="L7">
        <f>_xlfn.XLOOKUP(Tableau1[[#This Row],[TYPE DE PIECE]],Tableau4[MATIERE],Tableau4[SHORT TYPE],"",0,1)</f>
        <v/>
      </c>
      <c r="N7">
        <f>IF(ISERR(FIND("DECOUPE",Tableau1[[#This Row],[DESIGNATION]])),"","NEED REF")</f>
        <v/>
      </c>
    </row>
    <row r="8">
      <c r="B8" t="n">
        <v>34413994</v>
      </c>
      <c r="C8" s="2" t="n">
        <v>45791</v>
      </c>
      <c r="D8" t="inlineStr">
        <is>
          <t>SPEC</t>
        </is>
      </c>
      <c r="E8" t="inlineStr">
        <is>
          <t>FRONT MIDDLE GVEAC7 CABINED PROTECTION SHIELD</t>
        </is>
      </c>
      <c r="J8" t="inlineStr">
        <is>
          <t>BESSIERE</t>
        </is>
      </c>
      <c r="K8" t="inlineStr">
        <is>
          <t>METAL</t>
        </is>
      </c>
      <c r="L8">
        <f>_xlfn.XLOOKUP(Tableau1[[#This Row],[TYPE DE PIECE]],Tableau4[MATIERE],Tableau4[SHORT TYPE],"",0,1)</f>
        <v/>
      </c>
      <c r="N8">
        <f>IF(ISERR(FIND("DECOUPE",Tableau1[[#This Row],[DESIGNATION]])),"","NEED REF")</f>
        <v/>
      </c>
    </row>
    <row r="9">
      <c r="B9" t="n">
        <v>34413993</v>
      </c>
      <c r="C9" s="2" t="n">
        <v>45791</v>
      </c>
      <c r="D9" t="inlineStr">
        <is>
          <t>SPEC</t>
        </is>
      </c>
      <c r="E9" t="inlineStr">
        <is>
          <t>KIT REAR COVER FOR ARC FLASH PROTECTION AT REAR OF GVXI1250KD (RIGHT)</t>
        </is>
      </c>
      <c r="F9" t="inlineStr">
        <is>
          <t>QSFE77978</t>
        </is>
      </c>
      <c r="J9" t="inlineStr">
        <is>
          <t>PEIRON</t>
        </is>
      </c>
      <c r="L9">
        <f>_xlfn.XLOOKUP(Tableau1[[#This Row],[TYPE DE PIECE]],Tableau4[MATIERE],Tableau4[SHORT TYPE],"",0,1)</f>
        <v/>
      </c>
      <c r="N9">
        <f>IF(ISERR(FIND("DECOUPE",Tableau1[[#This Row],[DESIGNATION]])),"","NEED REF")</f>
        <v/>
      </c>
    </row>
    <row r="10">
      <c r="B10" t="n">
        <v>34413992</v>
      </c>
      <c r="C10" s="2" t="n">
        <v>45790</v>
      </c>
      <c r="D10" t="inlineStr">
        <is>
          <t>SPEC</t>
        </is>
      </c>
      <c r="E10" t="inlineStr">
        <is>
          <t>COP 34413992 GVXL UPS PE CABLE CONNEXION BAR</t>
        </is>
      </c>
      <c r="J10" t="inlineStr">
        <is>
          <t>BESSIERE</t>
        </is>
      </c>
      <c r="L10">
        <f>_xlfn.XLOOKUP(Tableau1[[#This Row],[TYPE DE PIECE]],Tableau4[MATIERE],Tableau4[SHORT TYPE],"",0,1)</f>
        <v/>
      </c>
      <c r="N10">
        <f>IF(ISERR(FIND("DECOUPE",Tableau1[[#This Row],[DESIGNATION]])),"","NEED REF")</f>
        <v/>
      </c>
    </row>
    <row r="11">
      <c r="B11" t="n">
        <v>34413991</v>
      </c>
      <c r="C11" s="2" t="n">
        <v>45790</v>
      </c>
      <c r="D11" t="inlineStr">
        <is>
          <t>SPEC</t>
        </is>
      </c>
      <c r="E11" t="inlineStr">
        <is>
          <t>SMT PLATINE Q1 630</t>
        </is>
      </c>
      <c r="F11" t="inlineStr">
        <is>
          <t>QPBE42188</t>
        </is>
      </c>
      <c r="G11" t="inlineStr">
        <is>
          <t>GVL</t>
        </is>
      </c>
      <c r="H11" t="inlineStr">
        <is>
          <t>BYPASS</t>
        </is>
      </c>
      <c r="J11" t="inlineStr">
        <is>
          <t>PEIRON</t>
        </is>
      </c>
      <c r="K11" t="inlineStr">
        <is>
          <t>METAL</t>
        </is>
      </c>
      <c r="L11">
        <f>_xlfn.XLOOKUP(Tableau1[[#This Row],[TYPE DE PIECE]],Tableau4[MATIERE],Tableau4[SHORT TYPE],"",0,1)</f>
        <v/>
      </c>
      <c r="N11">
        <f>IF(ISERR(FIND("DECOUPE",Tableau1[[#This Row],[DESIGNATION]])),"","NEED REF")</f>
        <v/>
      </c>
    </row>
    <row r="12">
      <c r="B12" t="n">
        <v>34413990</v>
      </c>
      <c r="C12" s="2" t="n">
        <v>45790</v>
      </c>
      <c r="D12" t="inlineStr">
        <is>
          <t>SPEC</t>
        </is>
      </c>
      <c r="E12" t="inlineStr">
        <is>
          <t>SMT PLASTRON SBD CARD</t>
        </is>
      </c>
      <c r="F12" t="inlineStr">
        <is>
          <t>QPBE42188</t>
        </is>
      </c>
      <c r="G12" t="inlineStr">
        <is>
          <t>GVL</t>
        </is>
      </c>
      <c r="H12" t="inlineStr">
        <is>
          <t>BYPASS</t>
        </is>
      </c>
      <c r="J12" t="inlineStr">
        <is>
          <t>PEIRON</t>
        </is>
      </c>
      <c r="K12" t="inlineStr">
        <is>
          <t>METAL</t>
        </is>
      </c>
      <c r="L12">
        <f>_xlfn.XLOOKUP(Tableau1[[#This Row],[TYPE DE PIECE]],Tableau4[MATIERE],Tableau4[SHORT TYPE],"",0,1)</f>
        <v/>
      </c>
      <c r="N12">
        <f>IF(ISERR(FIND("DECOUPE",Tableau1[[#This Row],[DESIGNATION]])),"","NEED REF")</f>
        <v/>
      </c>
    </row>
    <row r="13">
      <c r="B13" t="n">
        <v>34413989</v>
      </c>
      <c r="C13" s="2" t="n">
        <v>45789</v>
      </c>
      <c r="D13" t="inlineStr">
        <is>
          <t>SPEC</t>
        </is>
      </c>
      <c r="E1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13" t="inlineStr">
        <is>
          <t>BESSIERE</t>
        </is>
      </c>
      <c r="L13">
        <f>_xlfn.XLOOKUP(Tableau1[[#This Row],[TYPE DE PIECE]],Tableau4[MATIERE],Tableau4[SHORT TYPE],"",0,1)</f>
        <v/>
      </c>
      <c r="N13">
        <f>IF(ISERR(FIND("DECOUPE",Tableau1[[#This Row],[DESIGNATION]])),"","NEED REF")</f>
        <v/>
      </c>
    </row>
    <row r="14">
      <c r="B14" t="n">
        <v>34413988</v>
      </c>
      <c r="C14" s="2" t="n">
        <v>45789</v>
      </c>
      <c r="D14" t="inlineStr">
        <is>
          <t>SPEC</t>
        </is>
      </c>
      <c r="E14" t="inlineStr">
        <is>
          <t>3 Phases * 2 bars - GP03 bar support to sustain Icc</t>
        </is>
      </c>
      <c r="J14" t="inlineStr">
        <is>
          <t>BESSIERE</t>
        </is>
      </c>
      <c r="L14">
        <f>_xlfn.XLOOKUP(Tableau1[[#This Row],[TYPE DE PIECE]],Tableau4[MATIERE],Tableau4[SHORT TYPE],"",0,1)</f>
        <v/>
      </c>
      <c r="N14">
        <f>IF(ISERR(FIND("DECOUPE",Tableau1[[#This Row],[DESIGNATION]])),"","NEED REF")</f>
        <v/>
      </c>
    </row>
    <row r="15">
      <c r="B15" t="n">
        <v>34413987</v>
      </c>
      <c r="C15" s="2" t="n">
        <v>45789</v>
      </c>
      <c r="D15" t="inlineStr">
        <is>
          <t>SPEC</t>
        </is>
      </c>
      <c r="E15" t="inlineStr">
        <is>
          <t>REAR - BIRDY CABINET / GVXL COUPLING COVER</t>
        </is>
      </c>
      <c r="J15" t="inlineStr">
        <is>
          <t>BESSIERE</t>
        </is>
      </c>
      <c r="L15">
        <f>_xlfn.XLOOKUP(Tableau1[[#This Row],[TYPE DE PIECE]],Tableau4[MATIERE],Tableau4[SHORT TYPE],"",0,1)</f>
        <v/>
      </c>
      <c r="N15">
        <f>IF(ISERR(FIND("DECOUPE",Tableau1[[#This Row],[DESIGNATION]])),"","NEED REF")</f>
        <v/>
      </c>
    </row>
    <row r="16">
      <c r="B16" t="n">
        <v>34413986</v>
      </c>
      <c r="C16" s="2" t="n">
        <v>45789</v>
      </c>
      <c r="D16" t="inlineStr">
        <is>
          <t>SPEC</t>
        </is>
      </c>
      <c r="E16" t="inlineStr">
        <is>
          <t>FRONT CABINET COUPLING COVER</t>
        </is>
      </c>
      <c r="J16" t="inlineStr">
        <is>
          <t>BESSIERE</t>
        </is>
      </c>
      <c r="L16">
        <f>_xlfn.XLOOKUP(Tableau1[[#This Row],[TYPE DE PIECE]],Tableau4[MATIERE],Tableau4[SHORT TYPE],"",0,1)</f>
        <v/>
      </c>
      <c r="N16">
        <f>IF(ISERR(FIND("DECOUPE",Tableau1[[#This Row],[DESIGNATION]])),"","NEED REF")</f>
        <v/>
      </c>
    </row>
    <row r="17">
      <c r="B17" t="n">
        <v>34413985</v>
      </c>
      <c r="C17" s="2" t="n">
        <v>45789</v>
      </c>
      <c r="D17" t="inlineStr">
        <is>
          <t>SPEC</t>
        </is>
      </c>
      <c r="E17" t="inlineStr">
        <is>
          <t>SMT SUPPORT LATERAL 3</t>
        </is>
      </c>
      <c r="F17" t="inlineStr">
        <is>
          <t>QPBE42188</t>
        </is>
      </c>
      <c r="G17" t="inlineStr">
        <is>
          <t>GVL</t>
        </is>
      </c>
      <c r="H17" t="inlineStr">
        <is>
          <t>BYPASS</t>
        </is>
      </c>
      <c r="J17" t="inlineStr">
        <is>
          <t>PEIRON</t>
        </is>
      </c>
      <c r="K17" t="inlineStr">
        <is>
          <t>METAL</t>
        </is>
      </c>
      <c r="L17">
        <f>_xlfn.XLOOKUP(Tableau1[[#This Row],[TYPE DE PIECE]],Tableau4[MATIERE],Tableau4[SHORT TYPE],"",0,1)</f>
        <v/>
      </c>
      <c r="N17">
        <f>IF(ISERR(FIND("DECOUPE",Tableau1[[#This Row],[DESIGNATION]])),"","NEED REF")</f>
        <v/>
      </c>
    </row>
    <row r="18">
      <c r="B18" t="n">
        <v>34413984</v>
      </c>
      <c r="C18" s="2" t="n">
        <v>45789</v>
      </c>
      <c r="D18" t="inlineStr">
        <is>
          <t>SPEC</t>
        </is>
      </c>
      <c r="E18" t="inlineStr">
        <is>
          <t>GVXL UPS Busbar - Copper bar Installation stud - used to install horizontal bars</t>
        </is>
      </c>
      <c r="J18" t="inlineStr">
        <is>
          <t>BESSIERE</t>
        </is>
      </c>
      <c r="L18">
        <f>_xlfn.XLOOKUP(Tableau1[[#This Row],[TYPE DE PIECE]],Tableau4[MATIERE],Tableau4[SHORT TYPE],"",0,1)</f>
        <v/>
      </c>
      <c r="N18">
        <f>IF(ISERR(FIND("DECOUPE",Tableau1[[#This Row],[DESIGNATION]])),"","NEED REF")</f>
        <v/>
      </c>
    </row>
    <row r="19">
      <c r="B19" t="n">
        <v>34413983</v>
      </c>
      <c r="C19" s="2" t="n">
        <v>45789</v>
      </c>
      <c r="D19" t="inlineStr">
        <is>
          <t>SPEC</t>
        </is>
      </c>
      <c r="E19" t="inlineStr">
        <is>
          <t>SMT SUPPORT POUR SBD CARD</t>
        </is>
      </c>
      <c r="F19" t="inlineStr">
        <is>
          <t>QPBE42188</t>
        </is>
      </c>
      <c r="G19" t="inlineStr">
        <is>
          <t>GVL</t>
        </is>
      </c>
      <c r="H19" t="inlineStr">
        <is>
          <t>BYPASS</t>
        </is>
      </c>
      <c r="J19" t="inlineStr">
        <is>
          <t>PEIRON</t>
        </is>
      </c>
      <c r="K19" t="inlineStr">
        <is>
          <t>METAL</t>
        </is>
      </c>
      <c r="L19">
        <f>_xlfn.XLOOKUP(Tableau1[[#This Row],[TYPE DE PIECE]],Tableau4[MATIERE],Tableau4[SHORT TYPE],"",0,1)</f>
        <v/>
      </c>
      <c r="N19">
        <f>IF(ISERR(FIND("DECOUPE",Tableau1[[#This Row],[DESIGNATION]])),"","NEED REF")</f>
        <v/>
      </c>
    </row>
    <row r="20">
      <c r="B20" t="n">
        <v>34413982</v>
      </c>
      <c r="C20" s="2" t="n">
        <v>45789</v>
      </c>
      <c r="D20" t="inlineStr">
        <is>
          <t>SPEC</t>
        </is>
      </c>
      <c r="E20" t="inlineStr">
        <is>
          <t>UPS Busbar adaptation - Installation spacer</t>
        </is>
      </c>
      <c r="J20" t="inlineStr">
        <is>
          <t>BESSIERE</t>
        </is>
      </c>
      <c r="L20">
        <f>_xlfn.XLOOKUP(Tableau1[[#This Row],[TYPE DE PIECE]],Tableau4[MATIERE],Tableau4[SHORT TYPE],"",0,1)</f>
        <v/>
      </c>
      <c r="N20">
        <f>IF(ISERR(FIND("DECOUPE",Tableau1[[#This Row],[DESIGNATION]])),"","NEED REF")</f>
        <v/>
      </c>
    </row>
    <row r="21">
      <c r="B21" t="n">
        <v>34413981</v>
      </c>
      <c r="C21" s="2" t="n">
        <v>45784</v>
      </c>
      <c r="D21" t="inlineStr">
        <is>
          <t>SPEC</t>
        </is>
      </c>
      <c r="E21" t="inlineStr">
        <is>
          <t>PLA 34413981 GVXL UPS TOP INSULATED MIDDLE BAR SUPPORT</t>
        </is>
      </c>
      <c r="J21" t="inlineStr">
        <is>
          <t>BESSIERE</t>
        </is>
      </c>
      <c r="L21">
        <f>_xlfn.XLOOKUP(Tableau1[[#This Row],[TYPE DE PIECE]],Tableau4[MATIERE],Tableau4[SHORT TYPE],"",0,1)</f>
        <v/>
      </c>
      <c r="N21">
        <f>IF(ISERR(FIND("DECOUPE",Tableau1[[#This Row],[DESIGNATION]])),"","NEED REF")</f>
        <v/>
      </c>
    </row>
    <row r="22">
      <c r="B22" t="n">
        <v>34413980</v>
      </c>
      <c r="C22" s="2" t="n">
        <v>45784</v>
      </c>
      <c r="D22" t="inlineStr">
        <is>
          <t>SPEC</t>
        </is>
      </c>
      <c r="E2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2" t="inlineStr">
        <is>
          <t>BESSIERE</t>
        </is>
      </c>
      <c r="L22">
        <f>_xlfn.XLOOKUP(Tableau1[[#This Row],[TYPE DE PIECE]],Tableau4[MATIERE],Tableau4[SHORT TYPE],"",0,1)</f>
        <v/>
      </c>
      <c r="N22">
        <f>IF(ISERR(FIND("DECOUPE",Tableau1[[#This Row],[DESIGNATION]])),"","NEED REF")</f>
        <v/>
      </c>
    </row>
    <row r="23">
      <c r="B23" t="n">
        <v>34413979</v>
      </c>
      <c r="C23" s="2" t="n">
        <v>45784</v>
      </c>
      <c r="D23" t="inlineStr">
        <is>
          <t>SPEC</t>
        </is>
      </c>
      <c r="E23" t="inlineStr">
        <is>
          <t>PLA 34413979 GVXL UPS FULLY INSULATED BAR SUPPORT TRIANGLE</t>
        </is>
      </c>
      <c r="J23" t="inlineStr">
        <is>
          <t>BESSIERE</t>
        </is>
      </c>
      <c r="L23">
        <f>_xlfn.XLOOKUP(Tableau1[[#This Row],[TYPE DE PIECE]],Tableau4[MATIERE],Tableau4[SHORT TYPE],"",0,1)</f>
        <v/>
      </c>
      <c r="N23">
        <f>IF(ISERR(FIND("DECOUPE",Tableau1[[#This Row],[DESIGNATION]])),"","NEED REF")</f>
        <v/>
      </c>
    </row>
    <row r="24">
      <c r="B24" t="n">
        <v>34413978</v>
      </c>
      <c r="C24" s="2" t="n">
        <v>45783</v>
      </c>
      <c r="D24" t="inlineStr">
        <is>
          <t>SPEC</t>
        </is>
      </c>
      <c r="E2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4" t="inlineStr">
        <is>
          <t>BESSIERE</t>
        </is>
      </c>
      <c r="L24">
        <f>_xlfn.XLOOKUP(Tableau1[[#This Row],[TYPE DE PIECE]],Tableau4[MATIERE],Tableau4[SHORT TYPE],"",0,1)</f>
        <v/>
      </c>
      <c r="N24">
        <f>IF(ISERR(FIND("DECOUPE",Tableau1[[#This Row],[DESIGNATION]])),"","NEED REF")</f>
        <v/>
      </c>
    </row>
    <row r="25">
      <c r="B25" t="n">
        <v>34413977</v>
      </c>
      <c r="C25" s="2" t="n">
        <v>45783</v>
      </c>
      <c r="D25" t="inlineStr">
        <is>
          <t>SPEC</t>
        </is>
      </c>
      <c r="E25" t="inlineStr">
        <is>
          <t>2 Faces de socles ventilées 100x700 mm - Offre FAF0006277</t>
        </is>
      </c>
      <c r="F25" t="inlineStr">
        <is>
          <t>QSMA11485-01</t>
        </is>
      </c>
      <c r="G25" t="inlineStr">
        <is>
          <t>STS Teraco</t>
        </is>
      </c>
      <c r="J25" t="inlineStr">
        <is>
          <t>BESSIERE</t>
        </is>
      </c>
      <c r="L25">
        <f>_xlfn.XLOOKUP(Tableau1[[#This Row],[TYPE DE PIECE]],Tableau4[MATIERE],Tableau4[SHORT TYPE],"",0,1)</f>
        <v/>
      </c>
      <c r="N25">
        <f>IF(ISERR(FIND("DECOUPE",Tableau1[[#This Row],[DESIGNATION]])),"","NEED REF")</f>
        <v/>
      </c>
    </row>
    <row r="26">
      <c r="B26" t="n">
        <v>34413976</v>
      </c>
      <c r="C26" s="2" t="n">
        <v>45783</v>
      </c>
      <c r="D26" t="inlineStr">
        <is>
          <t>SPEC</t>
        </is>
      </c>
      <c r="E26" t="inlineStr">
        <is>
          <t>2 Faces de socles ventilées 100x1000 mm - Offre FAF0006278</t>
        </is>
      </c>
      <c r="F26" t="inlineStr">
        <is>
          <t>QSMA11485-01</t>
        </is>
      </c>
      <c r="G26" t="inlineStr">
        <is>
          <t>STS Teraco</t>
        </is>
      </c>
      <c r="J26" t="inlineStr">
        <is>
          <t>BESSIERE</t>
        </is>
      </c>
      <c r="L26">
        <f>_xlfn.XLOOKUP(Tableau1[[#This Row],[TYPE DE PIECE]],Tableau4[MATIERE],Tableau4[SHORT TYPE],"",0,1)</f>
        <v/>
      </c>
      <c r="N26">
        <f>IF(ISERR(FIND("DECOUPE",Tableau1[[#This Row],[DESIGNATION]])),"","NEED REF")</f>
        <v/>
      </c>
    </row>
    <row r="27">
      <c r="B27" t="n">
        <v>34413975</v>
      </c>
      <c r="C27" s="2" t="n">
        <v>45783</v>
      </c>
      <c r="D27" t="inlineStr">
        <is>
          <t>SPEC</t>
        </is>
      </c>
      <c r="E27" t="inlineStr">
        <is>
          <t xml:space="preserve">SMT SUPPORT POUR 2 IC60L 2P </t>
        </is>
      </c>
      <c r="F27" t="inlineStr">
        <is>
          <t>QPBE42188</t>
        </is>
      </c>
      <c r="G27" t="inlineStr">
        <is>
          <t>GVL</t>
        </is>
      </c>
      <c r="H27" t="inlineStr">
        <is>
          <t>BYPASS</t>
        </is>
      </c>
      <c r="J27" t="inlineStr">
        <is>
          <t>PEIRON</t>
        </is>
      </c>
      <c r="K27" t="inlineStr">
        <is>
          <t>METAL</t>
        </is>
      </c>
      <c r="L27">
        <f>_xlfn.XLOOKUP(Tableau1[[#This Row],[TYPE DE PIECE]],Tableau4[MATIERE],Tableau4[SHORT TYPE],"",0,1)</f>
        <v/>
      </c>
      <c r="N27">
        <f>IF(ISERR(FIND("DECOUPE",Tableau1[[#This Row],[DESIGNATION]])),"","NEED REF")</f>
        <v/>
      </c>
    </row>
    <row r="28">
      <c r="B28" t="n">
        <v>34413974</v>
      </c>
      <c r="C28" s="2" t="n">
        <v>45783</v>
      </c>
      <c r="D28" t="inlineStr">
        <is>
          <t>SPEC</t>
        </is>
      </c>
      <c r="E28" t="inlineStr">
        <is>
          <t>SMT SUPPORT VERTICAL RACCORDEMENT UTIL</t>
        </is>
      </c>
      <c r="F28" t="inlineStr">
        <is>
          <t>QPBE42188</t>
        </is>
      </c>
      <c r="G28" t="inlineStr">
        <is>
          <t>GVL</t>
        </is>
      </c>
      <c r="H28" t="inlineStr">
        <is>
          <t>BYPASS</t>
        </is>
      </c>
      <c r="J28" t="inlineStr">
        <is>
          <t>PEIRON</t>
        </is>
      </c>
      <c r="K28" t="inlineStr">
        <is>
          <t>METAL</t>
        </is>
      </c>
      <c r="L28" t="inlineStr">
        <is>
          <t>SMT</t>
        </is>
      </c>
      <c r="N28">
        <f>IF(ISERR(FIND("DECOUPE",Tableau1[[#This Row],[DESIGNATION]])),"","NEED REF")</f>
        <v/>
      </c>
    </row>
    <row r="29" ht="15.75" customHeight="1" s="142">
      <c r="B29" t="n">
        <v>34413973</v>
      </c>
      <c r="C29" s="2" t="n">
        <v>45783</v>
      </c>
      <c r="D29" t="inlineStr">
        <is>
          <t>SPEC</t>
        </is>
      </c>
      <c r="E29" t="inlineStr">
        <is>
          <t>REAR CABINET COMPLING PLATE</t>
        </is>
      </c>
      <c r="G29" t="inlineStr">
        <is>
          <t>GVXL</t>
        </is>
      </c>
      <c r="J29" t="inlineStr">
        <is>
          <t>BESSIERE</t>
        </is>
      </c>
      <c r="L29">
        <f>_xlfn.XLOOKUP(Tableau1[[#This Row],[TYPE DE PIECE]],Tableau4[MATIERE],Tableau4[SHORT TYPE],"",0,1)</f>
        <v/>
      </c>
      <c r="N29">
        <f>IF(ISERR(FIND("DECOUPE",Tableau1[[#This Row],[DESIGNATION]])),"","NEED REF")</f>
        <v/>
      </c>
    </row>
    <row r="30">
      <c r="B30" t="n">
        <v>34413972</v>
      </c>
      <c r="C30" s="2" t="n">
        <v>45783</v>
      </c>
      <c r="D30" t="inlineStr">
        <is>
          <t>SPEC</t>
        </is>
      </c>
      <c r="E30" t="inlineStr">
        <is>
          <t>FRONT CABINET COMPLING PLATE</t>
        </is>
      </c>
      <c r="G30" t="inlineStr">
        <is>
          <t>GVXL</t>
        </is>
      </c>
      <c r="J30" t="inlineStr">
        <is>
          <t>BESSIERE</t>
        </is>
      </c>
      <c r="L30">
        <f>_xlfn.XLOOKUP(Tableau1[[#This Row],[TYPE DE PIECE]],Tableau4[MATIERE],Tableau4[SHORT TYPE],"",0,1)</f>
        <v/>
      </c>
      <c r="N30">
        <f>IF(ISERR(FIND("DECOUPE",Tableau1[[#This Row],[DESIGNATION]])),"","NEED REF")</f>
        <v/>
      </c>
    </row>
    <row r="31">
      <c r="B31" t="n">
        <v>34413971</v>
      </c>
      <c r="C31" s="2" t="n">
        <v>45783</v>
      </c>
      <c r="D31" t="inlineStr">
        <is>
          <t>SPEC</t>
        </is>
      </c>
      <c r="E31" t="inlineStr">
        <is>
          <t>SCHEMA DI QCGA63218</t>
        </is>
      </c>
      <c r="F31" t="inlineStr">
        <is>
          <t>QCGA63218</t>
        </is>
      </c>
      <c r="G31" t="inlineStr">
        <is>
          <t>GVS</t>
        </is>
      </c>
      <c r="J31" t="inlineStr">
        <is>
          <t>Bisiaux</t>
        </is>
      </c>
      <c r="L31">
        <f>_xlfn.XLOOKUP(Tableau1[[#This Row],[TYPE DE PIECE]],Tableau4[MATIERE],Tableau4[SHORT TYPE],"",0,1)</f>
        <v/>
      </c>
      <c r="N31">
        <f>IF(ISERR(FIND("DECOUPE",Tableau1[[#This Row],[DESIGNATION]])),"","NEED REF")</f>
        <v/>
      </c>
    </row>
    <row r="32">
      <c r="B32" t="n">
        <v>34413970</v>
      </c>
      <c r="C32" s="2" t="n">
        <v>45782</v>
      </c>
      <c r="D32" t="inlineStr">
        <is>
          <t>SPEC</t>
        </is>
      </c>
      <c r="E32" t="inlineStr">
        <is>
          <t>SMT SUPPORT HORIZONTAL RACCORDEMENT UTIL</t>
        </is>
      </c>
      <c r="F32" t="inlineStr">
        <is>
          <t>QPBE42188</t>
        </is>
      </c>
      <c r="G32" t="inlineStr">
        <is>
          <t>GVL</t>
        </is>
      </c>
      <c r="H32" t="inlineStr">
        <is>
          <t>BYPASS</t>
        </is>
      </c>
      <c r="J32" t="inlineStr">
        <is>
          <t>PEIRON</t>
        </is>
      </c>
      <c r="K32" t="inlineStr">
        <is>
          <t>METAL</t>
        </is>
      </c>
      <c r="L32">
        <f>_xlfn.XLOOKUP(Tableau1[[#This Row],[TYPE DE PIECE]],Tableau4[MATIERE],Tableau4[SHORT TYPE],"",0,1)</f>
        <v/>
      </c>
      <c r="N32">
        <f>IF(ISERR(FIND("DECOUPE",Tableau1[[#This Row],[DESIGNATION]])),"","NEED REF")</f>
        <v/>
      </c>
    </row>
    <row r="33">
      <c r="B33" t="n">
        <v>34413969</v>
      </c>
      <c r="C33" s="2" t="n">
        <v>45782</v>
      </c>
      <c r="D33" t="inlineStr">
        <is>
          <t>SPEC</t>
        </is>
      </c>
      <c r="E33" t="inlineStr">
        <is>
          <t>TOP BARS SUPPORT PLATE</t>
        </is>
      </c>
      <c r="J33" t="inlineStr">
        <is>
          <t>BESSIERE</t>
        </is>
      </c>
      <c r="L33">
        <f>_xlfn.XLOOKUP(Tableau1[[#This Row],[TYPE DE PIECE]],Tableau4[MATIERE],Tableau4[SHORT TYPE],"",0,1)</f>
        <v/>
      </c>
      <c r="N33">
        <f>IF(ISERR(FIND("DECOUPE",Tableau1[[#This Row],[DESIGNATION]])),"","NEED REF")</f>
        <v/>
      </c>
    </row>
    <row r="34">
      <c r="B34" t="n">
        <v>34413968</v>
      </c>
      <c r="C34" s="2" t="n">
        <v>45782</v>
      </c>
      <c r="D34" t="inlineStr">
        <is>
          <t>SPEC</t>
        </is>
      </c>
      <c r="E34" t="inlineStr">
        <is>
          <t>PLA 34413968 GVXL UPS GVXL TOP BARS SUPPORT</t>
        </is>
      </c>
      <c r="J34" t="inlineStr">
        <is>
          <t>BESSIERE</t>
        </is>
      </c>
      <c r="L34">
        <f>_xlfn.XLOOKUP(Tableau1[[#This Row],[TYPE DE PIECE]],Tableau4[MATIERE],Tableau4[SHORT TYPE],"",0,1)</f>
        <v/>
      </c>
      <c r="N34">
        <f>IF(ISERR(FIND("DECOUPE",Tableau1[[#This Row],[DESIGNATION]])),"","NEED REF")</f>
        <v/>
      </c>
    </row>
    <row r="35">
      <c r="B35" t="n">
        <v>34413967</v>
      </c>
      <c r="C35" s="2" t="n">
        <v>45782</v>
      </c>
      <c r="D35" t="inlineStr">
        <is>
          <t>SPEC</t>
        </is>
      </c>
      <c r="E3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35" t="inlineStr">
        <is>
          <t>BESSIERE</t>
        </is>
      </c>
      <c r="L35">
        <f>_xlfn.XLOOKUP(Tableau1[[#This Row],[TYPE DE PIECE]],Tableau4[MATIERE],Tableau4[SHORT TYPE],"",0,1)</f>
        <v/>
      </c>
      <c r="N35">
        <f>IF(ISERR(FIND("DECOUPE",Tableau1[[#This Row],[DESIGNATION]])),"","NEED REF")</f>
        <v/>
      </c>
    </row>
    <row r="36">
      <c r="B36" t="n">
        <v>34413966</v>
      </c>
      <c r="C36" s="2" t="n">
        <v>45782</v>
      </c>
      <c r="D36" t="inlineStr">
        <is>
          <t>SPEC</t>
        </is>
      </c>
      <c r="E36" t="inlineStr">
        <is>
          <t>KTA1250ER42 100mm with custom GVXL output plates</t>
        </is>
      </c>
      <c r="J36" t="inlineStr">
        <is>
          <t>BESSIERE</t>
        </is>
      </c>
      <c r="L36">
        <f>_xlfn.XLOOKUP(Tableau1[[#This Row],[TYPE DE PIECE]],Tableau4[MATIERE],Tableau4[SHORT TYPE],"",0,1)</f>
        <v/>
      </c>
      <c r="N36">
        <f>IF(ISERR(FIND("DECOUPE",Tableau1[[#This Row],[DESIGNATION]])),"","NEED REF")</f>
        <v/>
      </c>
    </row>
    <row r="37">
      <c r="B37" t="n">
        <v>34413965</v>
      </c>
      <c r="C37" s="2" t="n">
        <v>45782</v>
      </c>
      <c r="D37" t="inlineStr">
        <is>
          <t>SPEC</t>
        </is>
      </c>
      <c r="E37" t="inlineStr">
        <is>
          <t>KTA1250ER42 100mm with custom GVXL input plates</t>
        </is>
      </c>
      <c r="J37" t="inlineStr">
        <is>
          <t>BESSIERE</t>
        </is>
      </c>
      <c r="L37">
        <f>_xlfn.XLOOKUP(Tableau1[[#This Row],[TYPE DE PIECE]],Tableau4[MATIERE],Tableau4[SHORT TYPE],"",0,1)</f>
        <v/>
      </c>
      <c r="N37">
        <f>IF(ISERR(FIND("DECOUPE",Tableau1[[#This Row],[DESIGNATION]])),"","NEED REF")</f>
        <v/>
      </c>
    </row>
    <row r="38">
      <c r="B38" t="n">
        <v>34413964</v>
      </c>
      <c r="C38" s="2" t="n">
        <v>45782</v>
      </c>
      <c r="D38" t="inlineStr">
        <is>
          <t>SPEC</t>
        </is>
      </c>
      <c r="E38" t="inlineStr">
        <is>
          <t>ASM SupportT PAS600L &amp; fuse-disconnector GVXL front pannel + Rail DIN</t>
        </is>
      </c>
      <c r="J38" t="inlineStr">
        <is>
          <t>BESSIERE</t>
        </is>
      </c>
      <c r="L38">
        <f>_xlfn.XLOOKUP(Tableau1[[#This Row],[TYPE DE PIECE]],Tableau4[MATIERE],Tableau4[SHORT TYPE],"",0,1)</f>
        <v/>
      </c>
      <c r="N38">
        <f>IF(ISERR(FIND("DECOUPE",Tableau1[[#This Row],[DESIGNATION]])),"","NEED REF")</f>
        <v/>
      </c>
    </row>
    <row r="39">
      <c r="B39" t="n">
        <v>34413963</v>
      </c>
      <c r="C39" s="2" t="n">
        <v>45782</v>
      </c>
      <c r="D39" t="inlineStr">
        <is>
          <t>SPEC</t>
        </is>
      </c>
      <c r="E39" t="inlineStr">
        <is>
          <t>SupportT PAS600L &amp; fuse-disconnector GVXL front pannel</t>
        </is>
      </c>
      <c r="J39" t="inlineStr">
        <is>
          <t>BESSIERE</t>
        </is>
      </c>
      <c r="L39">
        <f>_xlfn.XLOOKUP(Tableau1[[#This Row],[TYPE DE PIECE]],Tableau4[MATIERE],Tableau4[SHORT TYPE],"",0,1)</f>
        <v/>
      </c>
      <c r="N39">
        <f>IF(ISERR(FIND("DECOUPE",Tableau1[[#This Row],[DESIGNATION]])),"","NEED REF")</f>
        <v/>
      </c>
    </row>
    <row r="40">
      <c r="B40" t="n">
        <v>34413962</v>
      </c>
      <c r="C40" s="2" t="n">
        <v>45782</v>
      </c>
      <c r="D40" t="inlineStr">
        <is>
          <t>SPEC</t>
        </is>
      </c>
      <c r="E40" t="inlineStr">
        <is>
          <t>SMT PLASTRON SBD CARD</t>
        </is>
      </c>
      <c r="F40" t="inlineStr">
        <is>
          <t>QPBE42188</t>
        </is>
      </c>
      <c r="G40" t="inlineStr">
        <is>
          <t>GVL</t>
        </is>
      </c>
      <c r="H40" t="inlineStr">
        <is>
          <t>BYPASS</t>
        </is>
      </c>
      <c r="J40" t="inlineStr">
        <is>
          <t>PEIRON</t>
        </is>
      </c>
      <c r="K40" t="inlineStr">
        <is>
          <t>METAL</t>
        </is>
      </c>
      <c r="L40">
        <f>_xlfn.XLOOKUP(Tableau1[[#This Row],[TYPE DE PIECE]],Tableau4[MATIERE],Tableau4[SHORT TYPE],"",0,1)</f>
        <v/>
      </c>
      <c r="N40">
        <f>IF(ISERR(FIND("DECOUPE",Tableau1[[#This Row],[DESIGNATION]])),"","NEED REF")</f>
        <v/>
      </c>
    </row>
    <row r="41">
      <c r="B41" t="n">
        <v>34413961</v>
      </c>
      <c r="C41" s="2" t="n">
        <v>45779</v>
      </c>
      <c r="D41" t="inlineStr">
        <is>
          <t>SPEC</t>
        </is>
      </c>
      <c r="E41" t="inlineStr">
        <is>
          <t xml:space="preserve">SMT PLASTRON SIB MBB </t>
        </is>
      </c>
      <c r="F41" t="inlineStr">
        <is>
          <t>QPBE42188</t>
        </is>
      </c>
      <c r="G41" t="inlineStr">
        <is>
          <t>GVL</t>
        </is>
      </c>
      <c r="H41" t="inlineStr">
        <is>
          <t>BYPASS</t>
        </is>
      </c>
      <c r="J41" t="inlineStr">
        <is>
          <t>PEIRON</t>
        </is>
      </c>
      <c r="K41" t="inlineStr">
        <is>
          <t>METAL</t>
        </is>
      </c>
      <c r="L41">
        <f>_xlfn.XLOOKUP(Tableau1[[#This Row],[TYPE DE PIECE]],Tableau4[MATIERE],Tableau4[SHORT TYPE],"",0,1)</f>
        <v/>
      </c>
      <c r="N41">
        <f>IF(ISERR(FIND("DECOUPE",Tableau1[[#This Row],[DESIGNATION]])),"","NEED REF")</f>
        <v/>
      </c>
    </row>
    <row r="42">
      <c r="B42" t="n">
        <v>34413960</v>
      </c>
      <c r="C42" s="2" t="n">
        <v>45777</v>
      </c>
      <c r="D42" t="inlineStr">
        <is>
          <t>SPEC</t>
        </is>
      </c>
      <c r="E42" t="inlineStr">
        <is>
          <t>SMT PLASTRON UOB 630</t>
        </is>
      </c>
      <c r="F42" t="inlineStr">
        <is>
          <t>QPBE42188</t>
        </is>
      </c>
      <c r="G42" t="inlineStr">
        <is>
          <t>GVL</t>
        </is>
      </c>
      <c r="H42" t="inlineStr">
        <is>
          <t>BYPASS</t>
        </is>
      </c>
      <c r="J42" t="inlineStr">
        <is>
          <t>PEIRON</t>
        </is>
      </c>
      <c r="K42" t="inlineStr">
        <is>
          <t>METAL</t>
        </is>
      </c>
      <c r="L42">
        <f>_xlfn.XLOOKUP(Tableau1[[#This Row],[TYPE DE PIECE]],Tableau4[MATIERE],Tableau4[SHORT TYPE],"",0,1)</f>
        <v/>
      </c>
      <c r="N42">
        <f>IF(ISERR(FIND("DECOUPE",Tableau1[[#This Row],[DESIGNATION]])),"","NEED REF")</f>
        <v/>
      </c>
    </row>
    <row r="43">
      <c r="B43" t="n">
        <v>34413959</v>
      </c>
      <c r="C43" s="2" t="n">
        <v>45777</v>
      </c>
      <c r="D43" t="inlineStr">
        <is>
          <t>SPEC</t>
        </is>
      </c>
      <c r="E43" t="inlineStr">
        <is>
          <t>COP RACC UTIL 1</t>
        </is>
      </c>
      <c r="F43" t="inlineStr">
        <is>
          <t>QPBE42188</t>
        </is>
      </c>
      <c r="G43" t="inlineStr">
        <is>
          <t>GVL</t>
        </is>
      </c>
      <c r="H43" t="inlineStr">
        <is>
          <t>BYPASS</t>
        </is>
      </c>
      <c r="J43" t="inlineStr">
        <is>
          <t>PEIRON</t>
        </is>
      </c>
      <c r="K43" t="inlineStr">
        <is>
          <t>CUIVRE</t>
        </is>
      </c>
      <c r="L43">
        <f>_xlfn.XLOOKUP(Tableau1[[#This Row],[TYPE DE PIECE]],Tableau4[MATIERE],Tableau4[SHORT TYPE],"",0,1)</f>
        <v/>
      </c>
      <c r="N43">
        <f>IF(ISERR(FIND("DECOUPE",Tableau1[[#This Row],[DESIGNATION]])),"","NEED REF")</f>
        <v/>
      </c>
    </row>
    <row r="44">
      <c r="B44" t="n">
        <v>34413958</v>
      </c>
      <c r="C44" s="2" t="n">
        <v>45777</v>
      </c>
      <c r="D44" t="inlineStr">
        <is>
          <t>SPEC</t>
        </is>
      </c>
      <c r="E44" t="inlineStr">
        <is>
          <t>COP RACC UTIL 2</t>
        </is>
      </c>
      <c r="F44" t="inlineStr">
        <is>
          <t>QPBE42188</t>
        </is>
      </c>
      <c r="G44" t="inlineStr">
        <is>
          <t>GVL</t>
        </is>
      </c>
      <c r="H44" t="inlineStr">
        <is>
          <t>BYPASS</t>
        </is>
      </c>
      <c r="J44" t="inlineStr">
        <is>
          <t>PEIRON</t>
        </is>
      </c>
      <c r="K44" t="inlineStr">
        <is>
          <t>CUIVRE</t>
        </is>
      </c>
      <c r="L44">
        <f>_xlfn.XLOOKUP(Tableau1[[#This Row],[TYPE DE PIECE]],Tableau4[MATIERE],Tableau4[SHORT TYPE],"",0,1)</f>
        <v/>
      </c>
      <c r="N44">
        <f>IF(ISERR(FIND("DECOUPE",Tableau1[[#This Row],[DESIGNATION]])),"","NEED REF")</f>
        <v/>
      </c>
    </row>
    <row r="45">
      <c r="B45" t="n">
        <v>34413957</v>
      </c>
      <c r="C45" s="2" t="n">
        <v>45777</v>
      </c>
      <c r="D45" t="inlineStr">
        <is>
          <t>SPEC</t>
        </is>
      </c>
      <c r="E45" t="inlineStr">
        <is>
          <t>COP RACC UTIL 3</t>
        </is>
      </c>
      <c r="F45" t="inlineStr">
        <is>
          <t>QPBE42188</t>
        </is>
      </c>
      <c r="G45" t="inlineStr">
        <is>
          <t>GVL</t>
        </is>
      </c>
      <c r="H45" t="inlineStr">
        <is>
          <t>BYPASS</t>
        </is>
      </c>
      <c r="J45" t="inlineStr">
        <is>
          <t>PEIRON</t>
        </is>
      </c>
      <c r="K45" t="inlineStr">
        <is>
          <t>CUIVRE</t>
        </is>
      </c>
      <c r="L45">
        <f>_xlfn.XLOOKUP(Tableau1[[#This Row],[TYPE DE PIECE]],Tableau4[MATIERE],Tableau4[SHORT TYPE],"",0,1)</f>
        <v/>
      </c>
      <c r="N45">
        <f>IF(ISERR(FIND("DECOUPE",Tableau1[[#This Row],[DESIGNATION]])),"","NEED REF")</f>
        <v/>
      </c>
    </row>
    <row r="46">
      <c r="B46" t="n">
        <v>34413956</v>
      </c>
      <c r="C46" s="2" t="n">
        <v>45777</v>
      </c>
      <c r="D46" t="inlineStr">
        <is>
          <t>SPEC</t>
        </is>
      </c>
      <c r="E46" t="inlineStr">
        <is>
          <t>COP RACC UTIL 4</t>
        </is>
      </c>
      <c r="F46" t="inlineStr">
        <is>
          <t>QPBE42188</t>
        </is>
      </c>
      <c r="G46" t="inlineStr">
        <is>
          <t>GVL</t>
        </is>
      </c>
      <c r="H46" t="inlineStr">
        <is>
          <t>BYPASS</t>
        </is>
      </c>
      <c r="J46" t="inlineStr">
        <is>
          <t>PEIRON</t>
        </is>
      </c>
      <c r="K46" t="inlineStr">
        <is>
          <t>CUIVRE</t>
        </is>
      </c>
      <c r="L46">
        <f>_xlfn.XLOOKUP(Tableau1[[#This Row],[TYPE DE PIECE]],Tableau4[MATIERE],Tableau4[SHORT TYPE],"",0,1)</f>
        <v/>
      </c>
      <c r="N46">
        <f>IF(ISERR(FIND("DECOUPE",Tableau1[[#This Row],[DESIGNATION]])),"","NEED REF")</f>
        <v/>
      </c>
    </row>
    <row r="47">
      <c r="B47" t="n">
        <v>34413955</v>
      </c>
      <c r="C47" s="2" t="n">
        <v>45777</v>
      </c>
      <c r="D47" t="inlineStr">
        <is>
          <t>SPEC</t>
        </is>
      </c>
      <c r="E47" t="inlineStr">
        <is>
          <t>COP LIAISON NSX630H LINERGY L3</t>
        </is>
      </c>
      <c r="F47" t="inlineStr">
        <is>
          <t>QPBE42188</t>
        </is>
      </c>
      <c r="G47" t="inlineStr">
        <is>
          <t>GVL</t>
        </is>
      </c>
      <c r="H47" t="inlineStr">
        <is>
          <t>BYPASS</t>
        </is>
      </c>
      <c r="J47" t="inlineStr">
        <is>
          <t>PEIRON</t>
        </is>
      </c>
      <c r="K47" t="inlineStr">
        <is>
          <t>CUIVRE</t>
        </is>
      </c>
      <c r="L47">
        <f>_xlfn.XLOOKUP(Tableau1[[#This Row],[TYPE DE PIECE]],Tableau4[MATIERE],Tableau4[SHORT TYPE],"",0,1)</f>
        <v/>
      </c>
      <c r="N47">
        <f>IF(ISERR(FIND("DECOUPE",Tableau1[[#This Row],[DESIGNATION]])),"","NEED REF")</f>
        <v/>
      </c>
    </row>
    <row r="48">
      <c r="B48" t="n">
        <v>34413954</v>
      </c>
      <c r="C48" s="2" t="n">
        <v>45777</v>
      </c>
      <c r="D48" t="inlineStr">
        <is>
          <t>SPEC</t>
        </is>
      </c>
      <c r="E48" t="inlineStr">
        <is>
          <t>COP LIAISON NSX630H LINERGY L2</t>
        </is>
      </c>
      <c r="F48" t="inlineStr">
        <is>
          <t>QPBE42188</t>
        </is>
      </c>
      <c r="G48" t="inlineStr">
        <is>
          <t>GVL</t>
        </is>
      </c>
      <c r="H48" t="inlineStr">
        <is>
          <t>BYPASS</t>
        </is>
      </c>
      <c r="J48" t="inlineStr">
        <is>
          <t>PEIRON</t>
        </is>
      </c>
      <c r="K48" t="inlineStr">
        <is>
          <t>CUIVRE</t>
        </is>
      </c>
      <c r="L48">
        <f>_xlfn.XLOOKUP(Tableau1[[#This Row],[TYPE DE PIECE]],Tableau4[MATIERE],Tableau4[SHORT TYPE],"",0,1)</f>
        <v/>
      </c>
      <c r="N48">
        <f>IF(ISERR(FIND("DECOUPE",Tableau1[[#This Row],[DESIGNATION]])),"","NEED REF")</f>
        <v/>
      </c>
    </row>
    <row r="49">
      <c r="B49" t="n">
        <v>34413953</v>
      </c>
      <c r="C49" s="2" t="n">
        <v>45777</v>
      </c>
      <c r="D49" t="inlineStr">
        <is>
          <t>SPEC</t>
        </is>
      </c>
      <c r="E49" t="inlineStr">
        <is>
          <t>COP LIAISON NSX630H LINERGY L1</t>
        </is>
      </c>
      <c r="F49" t="inlineStr">
        <is>
          <t>QPBE42188</t>
        </is>
      </c>
      <c r="G49" t="inlineStr">
        <is>
          <t>GVL</t>
        </is>
      </c>
      <c r="H49" t="inlineStr">
        <is>
          <t>BYPASS</t>
        </is>
      </c>
      <c r="J49" t="inlineStr">
        <is>
          <t>PEIRON</t>
        </is>
      </c>
      <c r="K49" t="inlineStr">
        <is>
          <t>CUIVRE</t>
        </is>
      </c>
      <c r="L49">
        <f>_xlfn.XLOOKUP(Tableau1[[#This Row],[TYPE DE PIECE]],Tableau4[MATIERE],Tableau4[SHORT TYPE],"",0,1)</f>
        <v/>
      </c>
      <c r="N49">
        <f>IF(ISERR(FIND("DECOUPE",Tableau1[[#This Row],[DESIGNATION]])),"","NEED REF")</f>
        <v/>
      </c>
    </row>
    <row r="50">
      <c r="B50" t="n">
        <v>34413952</v>
      </c>
      <c r="C50" s="2" t="n">
        <v>45777</v>
      </c>
      <c r="D50" t="inlineStr">
        <is>
          <t>SPEC</t>
        </is>
      </c>
      <c r="E50" t="inlineStr">
        <is>
          <t>COP LIAISON NSX630H LINERGY N</t>
        </is>
      </c>
      <c r="F50" t="inlineStr">
        <is>
          <t>QPBE42188</t>
        </is>
      </c>
      <c r="G50" t="inlineStr">
        <is>
          <t>GVL</t>
        </is>
      </c>
      <c r="H50" t="inlineStr">
        <is>
          <t>BYPASS</t>
        </is>
      </c>
      <c r="J50" t="inlineStr">
        <is>
          <t>PEIRON</t>
        </is>
      </c>
      <c r="K50" t="inlineStr">
        <is>
          <t>CUIVRE</t>
        </is>
      </c>
      <c r="L50">
        <f>_xlfn.XLOOKUP(Tableau1[[#This Row],[TYPE DE PIECE]],Tableau4[MATIERE],Tableau4[SHORT TYPE],"",0,1)</f>
        <v/>
      </c>
      <c r="N50">
        <f>IF(ISERR(FIND("DECOUPE",Tableau1[[#This Row],[DESIGNATION]])),"","NEED REF")</f>
        <v/>
      </c>
    </row>
    <row r="51">
      <c r="B51" t="n">
        <v>34413951</v>
      </c>
      <c r="C51" s="2" t="n">
        <v>45776</v>
      </c>
      <c r="D51" t="inlineStr">
        <is>
          <t>SPEC</t>
        </is>
      </c>
      <c r="E51" t="inlineStr">
        <is>
          <t>SMT 34413951 GVXL TGAB ROOF KTA1250 OUTER PART</t>
        </is>
      </c>
      <c r="J51" t="inlineStr">
        <is>
          <t>BESSIERE</t>
        </is>
      </c>
      <c r="L51">
        <f>_xlfn.XLOOKUP(Tableau1[[#This Row],[TYPE DE PIECE]],Tableau4[MATIERE],Tableau4[SHORT TYPE],"",0,1)</f>
        <v/>
      </c>
      <c r="N51">
        <f>IF(ISERR(FIND("DECOUPE",Tableau1[[#This Row],[DESIGNATION]])),"","NEED REF")</f>
        <v/>
      </c>
    </row>
    <row r="52">
      <c r="B52" t="n">
        <v>34413950</v>
      </c>
      <c r="C52" s="2" t="n">
        <v>45776</v>
      </c>
      <c r="D52" t="inlineStr">
        <is>
          <t>SPEC</t>
        </is>
      </c>
      <c r="E52" t="inlineStr">
        <is>
          <t>SMT 34413950 GVXL TGAB ROOF KTA1250 INNER PART</t>
        </is>
      </c>
      <c r="J52" t="inlineStr">
        <is>
          <t>BESSIERE</t>
        </is>
      </c>
      <c r="L52">
        <f>_xlfn.XLOOKUP(Tableau1[[#This Row],[TYPE DE PIECE]],Tableau4[MATIERE],Tableau4[SHORT TYPE],"",0,1)</f>
        <v/>
      </c>
      <c r="N52">
        <f>IF(ISERR(FIND("DECOUPE",Tableau1[[#This Row],[DESIGNATION]])),"","NEED REF")</f>
        <v/>
      </c>
    </row>
    <row r="53">
      <c r="B53" t="n">
        <v>34413949</v>
      </c>
      <c r="C53" s="2" t="n">
        <v>45776</v>
      </c>
      <c r="D53" t="inlineStr">
        <is>
          <t>SPEC</t>
        </is>
      </c>
      <c r="E53" t="inlineStr">
        <is>
          <t>CANEVAS Compact NS800H Mic 5.0  4P4d - prises arr horiz</t>
        </is>
      </c>
      <c r="F53" t="inlineStr">
        <is>
          <t>QPBE42188</t>
        </is>
      </c>
      <c r="G53" t="inlineStr">
        <is>
          <t>GVL</t>
        </is>
      </c>
      <c r="H53" t="inlineStr">
        <is>
          <t>BYPASS</t>
        </is>
      </c>
      <c r="J53" t="inlineStr">
        <is>
          <t>PEIRON</t>
        </is>
      </c>
      <c r="K53" t="inlineStr">
        <is>
          <t>canevas</t>
        </is>
      </c>
      <c r="L53">
        <f>_xlfn.XLOOKUP(Tableau1[[#This Row],[TYPE DE PIECE]],Tableau4[MATIERE],Tableau4[SHORT TYPE],"",0,1)</f>
        <v/>
      </c>
      <c r="N53">
        <f>IF(ISERR(FIND("DECOUPE",Tableau1[[#This Row],[DESIGNATION]])),"","NEED REF")</f>
        <v/>
      </c>
    </row>
    <row r="54">
      <c r="B54" t="n">
        <v>34413948</v>
      </c>
      <c r="C54" s="2" t="n">
        <v>45776</v>
      </c>
      <c r="D54" t="inlineStr">
        <is>
          <t>SPEC</t>
        </is>
      </c>
      <c r="E54" t="inlineStr">
        <is>
          <t>CANEVAS Compact NS800NA 4P - prises arr horiz</t>
        </is>
      </c>
      <c r="F54" t="inlineStr">
        <is>
          <t>QPBE42188</t>
        </is>
      </c>
      <c r="G54" t="inlineStr">
        <is>
          <t>GVL</t>
        </is>
      </c>
      <c r="H54" t="inlineStr">
        <is>
          <t>BYPASS</t>
        </is>
      </c>
      <c r="J54" t="inlineStr">
        <is>
          <t>PEIRON</t>
        </is>
      </c>
      <c r="K54" t="inlineStr">
        <is>
          <t>canevas</t>
        </is>
      </c>
      <c r="L54">
        <f>_xlfn.XLOOKUP(Tableau1[[#This Row],[TYPE DE PIECE]],Tableau4[MATIERE],Tableau4[SHORT TYPE],"",0,1)</f>
        <v/>
      </c>
      <c r="N54">
        <f>IF(ISERR(FIND("DECOUPE",Tableau1[[#This Row],[DESIGNATION]])),"","NEED REF")</f>
        <v/>
      </c>
    </row>
    <row r="55">
      <c r="B55" t="n">
        <v>34413947</v>
      </c>
      <c r="C55" s="2" t="n">
        <v>45776</v>
      </c>
      <c r="D55" t="inlineStr">
        <is>
          <t>SPEC</t>
        </is>
      </c>
      <c r="E55" t="inlineStr">
        <is>
          <t>CUSTOM KTA1250ER42-100 34413947 GVXL 1250KVA</t>
        </is>
      </c>
      <c r="J55" t="inlineStr">
        <is>
          <t>BESSIERE</t>
        </is>
      </c>
      <c r="L55">
        <f>_xlfn.XLOOKUP(Tableau1[[#This Row],[TYPE DE PIECE]],Tableau4[MATIERE],Tableau4[SHORT TYPE],"",0,1)</f>
        <v/>
      </c>
      <c r="N55">
        <f>IF(ISERR(FIND("DECOUPE",Tableau1[[#This Row],[DESIGNATION]])),"","NEED REF")</f>
        <v/>
      </c>
    </row>
    <row r="56">
      <c r="B56" t="n">
        <v>34413946</v>
      </c>
      <c r="C56" s="2" t="n">
        <v>45776</v>
      </c>
      <c r="D56" t="inlineStr">
        <is>
          <t>SPEC</t>
        </is>
      </c>
      <c r="E56" t="inlineStr">
        <is>
          <t>SMT 34413946 GVXL TGAB ROOF KTA1250 OUTER PART</t>
        </is>
      </c>
      <c r="J56" t="inlineStr">
        <is>
          <t>BESSIERE</t>
        </is>
      </c>
      <c r="L56">
        <f>_xlfn.XLOOKUP(Tableau1[[#This Row],[TYPE DE PIECE]],Tableau4[MATIERE],Tableau4[SHORT TYPE],"",0,1)</f>
        <v/>
      </c>
      <c r="N56">
        <f>IF(ISERR(FIND("DECOUPE",Tableau1[[#This Row],[DESIGNATION]])),"","NEED REF")</f>
        <v/>
      </c>
    </row>
    <row r="57">
      <c r="B57" t="n">
        <v>34413945</v>
      </c>
      <c r="C57" s="2" t="n">
        <v>45776</v>
      </c>
      <c r="D57" t="inlineStr">
        <is>
          <t>SPEC</t>
        </is>
      </c>
      <c r="E57" t="inlineStr">
        <is>
          <t>SMT 34413945 GVXL TGAB ROOF KTA1250 INNER PART</t>
        </is>
      </c>
      <c r="J57" t="inlineStr">
        <is>
          <t>BESSIERE</t>
        </is>
      </c>
      <c r="L57">
        <f>_xlfn.XLOOKUP(Tableau1[[#This Row],[TYPE DE PIECE]],Tableau4[MATIERE],Tableau4[SHORT TYPE],"",0,1)</f>
        <v/>
      </c>
      <c r="N57">
        <f>IF(ISERR(FIND("DECOUPE",Tableau1[[#This Row],[DESIGNATION]])),"","NEED REF")</f>
        <v/>
      </c>
    </row>
    <row r="58">
      <c r="B58" t="n">
        <v>34413944</v>
      </c>
      <c r="C58" s="2" t="n">
        <v>45776</v>
      </c>
      <c r="D58" t="inlineStr">
        <is>
          <t>SPEC</t>
        </is>
      </c>
      <c r="E58" t="inlineStr">
        <is>
          <t>SMT 34413944 GVXL UPS TOP BATTERY - SUPPORT HOLDER</t>
        </is>
      </c>
      <c r="J58" t="inlineStr">
        <is>
          <t>BESSIERE</t>
        </is>
      </c>
      <c r="L58">
        <f>_xlfn.XLOOKUP(Tableau1[[#This Row],[TYPE DE PIECE]],Tableau4[MATIERE],Tableau4[SHORT TYPE],"",0,1)</f>
        <v/>
      </c>
      <c r="N58">
        <f>IF(ISERR(FIND("DECOUPE",Tableau1[[#This Row],[DESIGNATION]])),"","NEED REF")</f>
        <v/>
      </c>
    </row>
    <row r="59">
      <c r="B59" t="n">
        <v>34413943</v>
      </c>
      <c r="C59" s="2" t="n">
        <v>45776</v>
      </c>
      <c r="D59" t="inlineStr">
        <is>
          <t>SPEC</t>
        </is>
      </c>
      <c r="E59" t="inlineStr">
        <is>
          <t>COP 34413943 GVXL UPS LONG FISHPLATE COPPER BAR</t>
        </is>
      </c>
      <c r="J59" t="inlineStr">
        <is>
          <t>BESSIERE</t>
        </is>
      </c>
      <c r="L59">
        <f>_xlfn.XLOOKUP(Tableau1[[#This Row],[TYPE DE PIECE]],Tableau4[MATIERE],Tableau4[SHORT TYPE],"",0,1)</f>
        <v/>
      </c>
      <c r="N59">
        <f>IF(ISERR(FIND("DECOUPE",Tableau1[[#This Row],[DESIGNATION]])),"","NEED REF")</f>
        <v/>
      </c>
    </row>
    <row r="60">
      <c r="B60" t="n">
        <v>34413942</v>
      </c>
      <c r="C60" s="2" t="n">
        <v>45776</v>
      </c>
      <c r="D60" t="inlineStr">
        <is>
          <t>SPEC</t>
        </is>
      </c>
      <c r="E60" t="inlineStr">
        <is>
          <t>SMT PLATINE UOB 630</t>
        </is>
      </c>
      <c r="F60" t="inlineStr">
        <is>
          <t>QPBE42188</t>
        </is>
      </c>
      <c r="G60" t="inlineStr">
        <is>
          <t>GVL</t>
        </is>
      </c>
      <c r="H60" t="inlineStr">
        <is>
          <t>BYPASS</t>
        </is>
      </c>
      <c r="J60" t="inlineStr">
        <is>
          <t>PEIRON</t>
        </is>
      </c>
      <c r="K60" t="inlineStr">
        <is>
          <t>METAL</t>
        </is>
      </c>
      <c r="L60">
        <f>_xlfn.XLOOKUP(Tableau1[[#This Row],[TYPE DE PIECE]],Tableau4[MATIERE],Tableau4[SHORT TYPE],"",0,1)</f>
        <v/>
      </c>
      <c r="N60">
        <f>IF(ISERR(FIND("DECOUPE",Tableau1[[#This Row],[DESIGNATION]])),"","NEED REF")</f>
        <v/>
      </c>
    </row>
    <row r="61">
      <c r="B61" t="n">
        <v>34413941</v>
      </c>
      <c r="C61" s="2" t="n">
        <v>45775</v>
      </c>
      <c r="D61" t="inlineStr">
        <is>
          <t>SPEC</t>
        </is>
      </c>
      <c r="E6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" t="inlineStr">
        <is>
          <t>GVXL BOTTOM CONNEXION</t>
        </is>
      </c>
      <c r="G61" t="inlineStr">
        <is>
          <t>GVXL</t>
        </is>
      </c>
      <c r="H61" t="inlineStr">
        <is>
          <t>UPS</t>
        </is>
      </c>
      <c r="I61" t="inlineStr">
        <is>
          <t>1250kVA</t>
        </is>
      </c>
      <c r="J61" t="inlineStr">
        <is>
          <t>MATRION</t>
        </is>
      </c>
      <c r="L61">
        <f>_xlfn.XLOOKUP(Tableau1[[#This Row],[TYPE DE PIECE]],Tableau4[MATIERE],Tableau4[SHORT TYPE],"",0,1)</f>
        <v/>
      </c>
      <c r="N61">
        <f>IF(ISERR(FIND("DECOUPE",Tableau1[[#This Row],[DESIGNATION]])),"","NEED REF")</f>
        <v/>
      </c>
    </row>
    <row r="62">
      <c r="B62" t="n">
        <v>34413940</v>
      </c>
      <c r="C62" s="2" t="n">
        <v>45772</v>
      </c>
      <c r="D62" t="inlineStr">
        <is>
          <t>SPEC</t>
        </is>
      </c>
      <c r="E62" t="inlineStr">
        <is>
          <t>PLA 34413940 GVXL UPS GVXL BYPASS TO OUTPUT SIDE SUPPORT PLATE</t>
        </is>
      </c>
      <c r="J62" t="inlineStr">
        <is>
          <t>BESSIERE</t>
        </is>
      </c>
      <c r="L62">
        <f>_xlfn.XLOOKUP(Tableau1[[#This Row],[TYPE DE PIECE]],Tableau4[MATIERE],Tableau4[SHORT TYPE],"",0,1)</f>
        <v/>
      </c>
      <c r="N62">
        <f>IF(ISERR(FIND("DECOUPE",Tableau1[[#This Row],[DESIGNATION]])),"","NEED REF")</f>
        <v/>
      </c>
    </row>
    <row r="63">
      <c r="B63" t="n">
        <v>34413939</v>
      </c>
      <c r="C63" s="2" t="n">
        <v>45772</v>
      </c>
      <c r="D63" t="inlineStr">
        <is>
          <t>SPEC</t>
        </is>
      </c>
      <c r="E6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63" t="inlineStr">
        <is>
          <t>BESSIERE</t>
        </is>
      </c>
      <c r="L63">
        <f>_xlfn.XLOOKUP(Tableau1[[#This Row],[TYPE DE PIECE]],Tableau4[MATIERE],Tableau4[SHORT TYPE],"",0,1)</f>
        <v/>
      </c>
      <c r="N63">
        <f>IF(ISERR(FIND("DECOUPE",Tableau1[[#This Row],[DESIGNATION]])),"","NEED REF")</f>
        <v/>
      </c>
    </row>
    <row r="64">
      <c r="B64" t="n">
        <v>34413938</v>
      </c>
      <c r="C64" s="2" t="n">
        <v>45772</v>
      </c>
      <c r="D64" t="inlineStr">
        <is>
          <t>SPEC</t>
        </is>
      </c>
      <c r="E64" t="inlineStr">
        <is>
          <t>PLA 34413938 GVXL UPS GVXL CROSS-BAR SUPPORT</t>
        </is>
      </c>
      <c r="J64" t="inlineStr">
        <is>
          <t>BESSIERE</t>
        </is>
      </c>
      <c r="L64">
        <f>_xlfn.XLOOKUP(Tableau1[[#This Row],[TYPE DE PIECE]],Tableau4[MATIERE],Tableau4[SHORT TYPE],"",0,1)</f>
        <v/>
      </c>
      <c r="N64">
        <f>IF(ISERR(FIND("DECOUPE",Tableau1[[#This Row],[DESIGNATION]])),"","NEED REF")</f>
        <v/>
      </c>
    </row>
    <row r="65">
      <c r="B65" t="n">
        <v>34413937</v>
      </c>
      <c r="C65" s="2" t="n">
        <v>45772</v>
      </c>
      <c r="D65" t="inlineStr">
        <is>
          <t>SPEC</t>
        </is>
      </c>
      <c r="E6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65" t="inlineStr">
        <is>
          <t>BESSIERE</t>
        </is>
      </c>
      <c r="L65">
        <f>_xlfn.XLOOKUP(Tableau1[[#This Row],[TYPE DE PIECE]],Tableau4[MATIERE],Tableau4[SHORT TYPE],"",0,1)</f>
        <v/>
      </c>
      <c r="N65">
        <f>IF(ISERR(FIND("DECOUPE",Tableau1[[#This Row],[DESIGNATION]])),"","NEED REF")</f>
        <v/>
      </c>
    </row>
    <row r="66">
      <c r="B66" t="n">
        <v>34413936</v>
      </c>
      <c r="C66" s="2" t="n">
        <v>45772</v>
      </c>
      <c r="D66" t="inlineStr">
        <is>
          <t>SPEC</t>
        </is>
      </c>
      <c r="E6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66" t="inlineStr">
        <is>
          <t>BESSIERE</t>
        </is>
      </c>
      <c r="L66">
        <f>_xlfn.XLOOKUP(Tableau1[[#This Row],[TYPE DE PIECE]],Tableau4[MATIERE],Tableau4[SHORT TYPE],"",0,1)</f>
        <v/>
      </c>
      <c r="N66">
        <f>IF(ISERR(FIND("DECOUPE",Tableau1[[#This Row],[DESIGNATION]])),"","NEED REF")</f>
        <v/>
      </c>
    </row>
    <row r="67">
      <c r="B67" t="n">
        <v>34413935</v>
      </c>
      <c r="C67" s="2" t="n">
        <v>45771</v>
      </c>
      <c r="D67" t="inlineStr">
        <is>
          <t>SPEC</t>
        </is>
      </c>
      <c r="E67" t="inlineStr">
        <is>
          <t>PLASTIC TRIANGLE</t>
        </is>
      </c>
      <c r="J67" t="inlineStr">
        <is>
          <t>BESSIERE</t>
        </is>
      </c>
      <c r="L67">
        <f>_xlfn.XLOOKUP(Tableau1[[#This Row],[TYPE DE PIECE]],Tableau4[MATIERE],Tableau4[SHORT TYPE],"",0,1)</f>
        <v/>
      </c>
      <c r="N67">
        <f>IF(ISERR(FIND("DECOUPE",Tableau1[[#This Row],[DESIGNATION]])),"","NEED REF")</f>
        <v/>
      </c>
    </row>
    <row r="68">
      <c r="B68" t="n">
        <v>34413934</v>
      </c>
      <c r="C68" s="2" t="n">
        <v>45771</v>
      </c>
      <c r="D68" t="inlineStr">
        <is>
          <t>SPEC</t>
        </is>
      </c>
      <c r="E68" t="inlineStr">
        <is>
          <t>COP 34413934 GVXL UPS DC FISHPLATE COPPER BAR</t>
        </is>
      </c>
      <c r="J68" t="inlineStr">
        <is>
          <t>BESSIERE</t>
        </is>
      </c>
      <c r="L68">
        <f>_xlfn.XLOOKUP(Tableau1[[#This Row],[TYPE DE PIECE]],Tableau4[MATIERE],Tableau4[SHORT TYPE],"",0,1)</f>
        <v/>
      </c>
      <c r="N68">
        <f>IF(ISERR(FIND("DECOUPE",Tableau1[[#This Row],[DESIGNATION]])),"","NEED REF")</f>
        <v/>
      </c>
    </row>
    <row r="69">
      <c r="B69" t="n">
        <v>34413933</v>
      </c>
      <c r="C69" s="2" t="n">
        <v>45771</v>
      </c>
      <c r="D69" t="inlineStr">
        <is>
          <t>SPEC</t>
        </is>
      </c>
      <c r="E69" t="inlineStr">
        <is>
          <t>COP 34413933 GVXL UPS SHORT FISHPLATE COPPER BAR</t>
        </is>
      </c>
      <c r="J69" t="inlineStr">
        <is>
          <t>BESSIERE</t>
        </is>
      </c>
      <c r="L69">
        <f>_xlfn.XLOOKUP(Tableau1[[#This Row],[TYPE DE PIECE]],Tableau4[MATIERE],Tableau4[SHORT TYPE],"",0,1)</f>
        <v/>
      </c>
      <c r="N69">
        <f>IF(ISERR(FIND("DECOUPE",Tableau1[[#This Row],[DESIGNATION]])),"","NEED REF")</f>
        <v/>
      </c>
    </row>
    <row r="70">
      <c r="B70" t="n">
        <v>34413932</v>
      </c>
      <c r="C70" s="2" t="n">
        <v>45771</v>
      </c>
      <c r="D70" t="inlineStr">
        <is>
          <t>SPEC</t>
        </is>
      </c>
      <c r="E70" t="inlineStr">
        <is>
          <t>SMT 34413932 GVXL UPS RIGHT VERTICAL BEAM SUPPORT</t>
        </is>
      </c>
      <c r="J70" t="inlineStr">
        <is>
          <t>BESSIERE</t>
        </is>
      </c>
      <c r="L70">
        <f>_xlfn.XLOOKUP(Tableau1[[#This Row],[TYPE DE PIECE]],Tableau4[MATIERE],Tableau4[SHORT TYPE],"",0,1)</f>
        <v/>
      </c>
      <c r="N70">
        <f>IF(ISERR(FIND("DECOUPE",Tableau1[[#This Row],[DESIGNATION]])),"","NEED REF")</f>
        <v/>
      </c>
    </row>
    <row r="71">
      <c r="B71" t="n">
        <v>34413931</v>
      </c>
      <c r="C71" s="2" t="n">
        <v>45771</v>
      </c>
      <c r="D71" t="inlineStr">
        <is>
          <t>SPEC</t>
        </is>
      </c>
      <c r="E7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71" t="inlineStr">
        <is>
          <t>BESSIERE</t>
        </is>
      </c>
      <c r="L71">
        <f>_xlfn.XLOOKUP(Tableau1[[#This Row],[TYPE DE PIECE]],Tableau4[MATIERE],Tableau4[SHORT TYPE],"",0,1)</f>
        <v/>
      </c>
      <c r="N71">
        <f>IF(ISERR(FIND("DECOUPE",Tableau1[[#This Row],[DESIGNATION]])),"","NEED REF")</f>
        <v/>
      </c>
    </row>
    <row r="72">
      <c r="B72" t="n">
        <v>34413930</v>
      </c>
      <c r="C72" s="2" t="n">
        <v>45771</v>
      </c>
      <c r="D72" t="inlineStr">
        <is>
          <t>SPEC</t>
        </is>
      </c>
      <c r="E72" t="inlineStr">
        <is>
          <t>DECOUPE CABLOFIL CF54300EZ LG 1200mm</t>
        </is>
      </c>
      <c r="J72" t="inlineStr">
        <is>
          <t>BERNARDEAU</t>
        </is>
      </c>
      <c r="K72" t="inlineStr">
        <is>
          <t>ETO</t>
        </is>
      </c>
      <c r="L72">
        <f>_xlfn.XLOOKUP(Tableau1[[#This Row],[TYPE DE PIECE]],Tableau4[MATIERE],Tableau4[SHORT TYPE],"",0,1)</f>
        <v/>
      </c>
      <c r="N72" t="inlineStr">
        <is>
          <t xml:space="preserve"> CF54300EZ</t>
        </is>
      </c>
    </row>
    <row r="73">
      <c r="B73" t="n">
        <v>34413929</v>
      </c>
      <c r="C73" s="2" t="n">
        <v>45770</v>
      </c>
      <c r="D73" t="inlineStr">
        <is>
          <t>SPEC</t>
        </is>
      </c>
      <c r="E73" t="inlineStr">
        <is>
          <t>decoupe cache NSYATPUND</t>
        </is>
      </c>
      <c r="F73" t="inlineStr">
        <is>
          <t>QGSK03241</t>
        </is>
      </c>
      <c r="G73" t="inlineStr">
        <is>
          <t>GVS</t>
        </is>
      </c>
      <c r="J73" t="inlineStr">
        <is>
          <t>BERNARDEAU</t>
        </is>
      </c>
      <c r="K73" t="inlineStr">
        <is>
          <t>ATELIER</t>
        </is>
      </c>
      <c r="L73">
        <f>_xlfn.XLOOKUP(Tableau1[[#This Row],[TYPE DE PIECE]],Tableau4[MATIERE],Tableau4[SHORT TYPE],"",0,1)</f>
        <v/>
      </c>
      <c r="N73" t="inlineStr">
        <is>
          <t>NSYATPUND</t>
        </is>
      </c>
    </row>
    <row r="74">
      <c r="B74" t="n">
        <v>34413928</v>
      </c>
      <c r="C74" s="2" t="n">
        <v>45770</v>
      </c>
      <c r="D74" t="inlineStr">
        <is>
          <t>SPEC</t>
        </is>
      </c>
      <c r="E74" t="inlineStr">
        <is>
          <t>pla PLASTRON PLEIN</t>
        </is>
      </c>
      <c r="F74" t="inlineStr">
        <is>
          <t>QGSK03241</t>
        </is>
      </c>
      <c r="G74" t="inlineStr">
        <is>
          <t>GVS</t>
        </is>
      </c>
      <c r="J74" t="inlineStr">
        <is>
          <t>BERNARDEAU</t>
        </is>
      </c>
      <c r="K74" t="inlineStr">
        <is>
          <t>PLASTIQUE</t>
        </is>
      </c>
      <c r="L74">
        <f>_xlfn.XLOOKUP(Tableau1[[#This Row],[TYPE DE PIECE]],Tableau4[MATIERE],Tableau4[SHORT TYPE],"",0,1)</f>
        <v/>
      </c>
      <c r="N74">
        <f>IF(ISERR(FIND("DECOUPE",Tableau1[[#This Row],[DESIGNATION]])),"","NEED REF")</f>
        <v/>
      </c>
    </row>
    <row r="75">
      <c r="B75" t="n">
        <v>34413927</v>
      </c>
      <c r="C75" s="2" t="n">
        <v>45770</v>
      </c>
      <c r="D75" t="inlineStr">
        <is>
          <t>SPEC</t>
        </is>
      </c>
      <c r="E75" t="inlineStr">
        <is>
          <t>pla PLASTRON 2 NSX</t>
        </is>
      </c>
      <c r="F75" t="inlineStr">
        <is>
          <t>QGSK03241</t>
        </is>
      </c>
      <c r="G75" t="inlineStr">
        <is>
          <t>GVS</t>
        </is>
      </c>
      <c r="J75" t="inlineStr">
        <is>
          <t>BERNARDEAU</t>
        </is>
      </c>
      <c r="K75" t="inlineStr">
        <is>
          <t>PLASTIQUE</t>
        </is>
      </c>
      <c r="L75">
        <f>_xlfn.XLOOKUP(Tableau1[[#This Row],[TYPE DE PIECE]],Tableau4[MATIERE],Tableau4[SHORT TYPE],"",0,1)</f>
        <v/>
      </c>
      <c r="N75">
        <f>IF(ISERR(FIND("DECOUPE",Tableau1[[#This Row],[DESIGNATION]])),"","NEED REF")</f>
        <v/>
      </c>
    </row>
    <row r="76">
      <c r="B76" t="n">
        <v>34413926</v>
      </c>
      <c r="C76" s="2" t="n">
        <v>45769</v>
      </c>
      <c r="D76" t="inlineStr">
        <is>
          <t>SPEC</t>
        </is>
      </c>
      <c r="E76" t="inlineStr">
        <is>
          <t>Plan de découpe barre PE Std TGAB KTA2000ER42</t>
        </is>
      </c>
      <c r="F76" t="inlineStr">
        <is>
          <t>GVXLIOCQ-QONE01250-00 / DATAONE</t>
        </is>
      </c>
      <c r="G76" t="inlineStr">
        <is>
          <t>GVXL</t>
        </is>
      </c>
      <c r="J76" t="inlineStr">
        <is>
          <t>PEIRON</t>
        </is>
      </c>
      <c r="L76">
        <f>_xlfn.XLOOKUP(Tableau1[[#This Row],[TYPE DE PIECE]],Tableau4[MATIERE],Tableau4[SHORT TYPE],"",0,1)</f>
        <v/>
      </c>
      <c r="N76">
        <f>IF(ISERR(FIND("DECOUPE",Tableau1[[#This Row],[DESIGNATION]])),"","NEED REF")</f>
        <v/>
      </c>
    </row>
    <row r="77">
      <c r="B77" t="n">
        <v>34413925</v>
      </c>
      <c r="C77" s="2" t="n">
        <v>45769</v>
      </c>
      <c r="D77" t="inlineStr">
        <is>
          <t>SPEC</t>
        </is>
      </c>
      <c r="E77" t="inlineStr">
        <is>
          <t xml:space="preserve">PANNEAU ARRIERE SAREL SPACIAL SFN (2101*600*800) - GUTOR PXC </t>
        </is>
      </c>
      <c r="F77" t="inlineStr">
        <is>
          <t>QPBE52295</t>
        </is>
      </c>
      <c r="G77" t="inlineStr">
        <is>
          <t>Gutor PXC</t>
        </is>
      </c>
      <c r="H77" t="inlineStr">
        <is>
          <t>BYPASS</t>
        </is>
      </c>
      <c r="I77" t="inlineStr">
        <is>
          <t>40kVA</t>
        </is>
      </c>
      <c r="J77" t="inlineStr">
        <is>
          <t>PEIRON</t>
        </is>
      </c>
      <c r="L77">
        <f>_xlfn.XLOOKUP(Tableau1[[#This Row],[TYPE DE PIECE]],Tableau4[MATIERE],Tableau4[SHORT TYPE],"",0,1)</f>
        <v/>
      </c>
      <c r="N77">
        <f>IF(ISERR(FIND("DECOUPE",Tableau1[[#This Row],[DESIGNATION]])),"","NEED REF")</f>
        <v/>
      </c>
    </row>
    <row r="78">
      <c r="B78" t="n">
        <v>34413924</v>
      </c>
      <c r="C78" s="2" t="n">
        <v>45769</v>
      </c>
      <c r="D78" t="inlineStr">
        <is>
          <t>SPEC</t>
        </is>
      </c>
      <c r="E78" t="inlineStr">
        <is>
          <t>PORTE SAREL SPACIAL SFN (2101*600*800) - GUTOR PXC - découpe ventillation inf</t>
        </is>
      </c>
      <c r="F78" t="inlineStr">
        <is>
          <t>QPBE52295</t>
        </is>
      </c>
      <c r="G78" t="inlineStr">
        <is>
          <t>Gutor PXC</t>
        </is>
      </c>
      <c r="H78" t="inlineStr">
        <is>
          <t>BYPASS</t>
        </is>
      </c>
      <c r="I78" t="inlineStr">
        <is>
          <t>40kVA</t>
        </is>
      </c>
      <c r="J78" t="inlineStr">
        <is>
          <t>PEIRON</t>
        </is>
      </c>
      <c r="L78">
        <f>_xlfn.XLOOKUP(Tableau1[[#This Row],[TYPE DE PIECE]],Tableau4[MATIERE],Tableau4[SHORT TYPE],"",0,1)</f>
        <v/>
      </c>
      <c r="N78">
        <f>IF(ISERR(FIND("DECOUPE",Tableau1[[#This Row],[DESIGNATION]])),"","NEED REF")</f>
        <v/>
      </c>
    </row>
    <row r="79">
      <c r="B79" t="n">
        <v>34413923</v>
      </c>
      <c r="C79" s="2" t="n">
        <v>45769</v>
      </c>
      <c r="D79" t="inlineStr">
        <is>
          <t>SPEC</t>
        </is>
      </c>
      <c r="E79" t="inlineStr">
        <is>
          <t>TOIT SAREL SPACIAL SFN (2101*600*800) - GUTOR PXC - découpe ventilateur</t>
        </is>
      </c>
      <c r="F79" t="inlineStr">
        <is>
          <t>QPBE52295</t>
        </is>
      </c>
      <c r="G79" t="inlineStr">
        <is>
          <t>Gutor PXC</t>
        </is>
      </c>
      <c r="H79" t="inlineStr">
        <is>
          <t>BYPASS</t>
        </is>
      </c>
      <c r="I79" t="inlineStr">
        <is>
          <t>40kVA</t>
        </is>
      </c>
      <c r="J79" t="inlineStr">
        <is>
          <t>PEIRON</t>
        </is>
      </c>
      <c r="L79">
        <f>_xlfn.XLOOKUP(Tableau1[[#This Row],[TYPE DE PIECE]],Tableau4[MATIERE],Tableau4[SHORT TYPE],"",0,1)</f>
        <v/>
      </c>
      <c r="N79">
        <f>IF(ISERR(FIND("DECOUPE",Tableau1[[#This Row],[DESIGNATION]])),"","NEED REF")</f>
        <v/>
      </c>
    </row>
    <row r="80">
      <c r="B80" t="n">
        <v>34413922</v>
      </c>
      <c r="C80" s="2" t="n">
        <v>45765</v>
      </c>
      <c r="D80" t="inlineStr">
        <is>
          <t>SPEC</t>
        </is>
      </c>
      <c r="E8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80" t="inlineStr">
        <is>
          <t>BESSIERE</t>
        </is>
      </c>
      <c r="L80">
        <f>_xlfn.XLOOKUP(Tableau1[[#This Row],[TYPE DE PIECE]],Tableau4[MATIERE],Tableau4[SHORT TYPE],"",0,1)</f>
        <v/>
      </c>
      <c r="N80">
        <f>IF(ISERR(FIND("DECOUPE",Tableau1[[#This Row],[DESIGNATION]])),"","NEED REF")</f>
        <v/>
      </c>
    </row>
    <row r="81">
      <c r="B81" t="n">
        <v>34413921</v>
      </c>
      <c r="C81" s="2" t="n">
        <v>45765</v>
      </c>
      <c r="D81" t="inlineStr">
        <is>
          <t>SPEC</t>
        </is>
      </c>
      <c r="E81" t="inlineStr">
        <is>
          <t>SMT 34413921 GVXL UPS BACK 4 POSITION BAR SUPPORT</t>
        </is>
      </c>
      <c r="J81" t="inlineStr">
        <is>
          <t>BESSIERE</t>
        </is>
      </c>
      <c r="L81">
        <f>_xlfn.XLOOKUP(Tableau1[[#This Row],[TYPE DE PIECE]],Tableau4[MATIERE],Tableau4[SHORT TYPE],"",0,1)</f>
        <v/>
      </c>
      <c r="N81">
        <f>IF(ISERR(FIND("DECOUPE",Tableau1[[#This Row],[DESIGNATION]])),"","NEED REF")</f>
        <v/>
      </c>
    </row>
    <row r="82">
      <c r="B82" t="n">
        <v>34413920</v>
      </c>
      <c r="C82" s="2" t="n">
        <v>45765</v>
      </c>
      <c r="D82" t="inlineStr">
        <is>
          <t>SPEC</t>
        </is>
      </c>
      <c r="E82" t="inlineStr">
        <is>
          <t>PLA 34413920 GVXL UPS GVXL INSULATED BAR SUPPORT - PLASTIC PLATE</t>
        </is>
      </c>
      <c r="J82" t="inlineStr">
        <is>
          <t>BESSIERE</t>
        </is>
      </c>
      <c r="L82">
        <f>_xlfn.XLOOKUP(Tableau1[[#This Row],[TYPE DE PIECE]],Tableau4[MATIERE],Tableau4[SHORT TYPE],"",0,1)</f>
        <v/>
      </c>
      <c r="N82">
        <f>IF(ISERR(FIND("DECOUPE",Tableau1[[#This Row],[DESIGNATION]])),"","NEED REF")</f>
        <v/>
      </c>
    </row>
    <row r="83">
      <c r="B83" t="n">
        <v>34413919</v>
      </c>
      <c r="C83" s="2" t="n">
        <v>45765</v>
      </c>
      <c r="D83" t="inlineStr">
        <is>
          <t>SPEC</t>
        </is>
      </c>
      <c r="E83" t="inlineStr">
        <is>
          <t>COP 34413919 GVXL UPS BATTERY+ 2</t>
        </is>
      </c>
      <c r="F83" t="inlineStr">
        <is>
          <t>GVXL BOTTOM CONNEXION</t>
        </is>
      </c>
      <c r="G83" t="inlineStr">
        <is>
          <t>GVXL</t>
        </is>
      </c>
      <c r="H83" t="inlineStr">
        <is>
          <t>UPS</t>
        </is>
      </c>
      <c r="I83" t="inlineStr">
        <is>
          <t>1250kVA</t>
        </is>
      </c>
      <c r="J83" t="inlineStr">
        <is>
          <t>MATRION</t>
        </is>
      </c>
      <c r="K83" t="inlineStr">
        <is>
          <t>CUIVRE</t>
        </is>
      </c>
      <c r="L83">
        <f>_xlfn.XLOOKUP(Tableau1[[#This Row],[TYPE DE PIECE]],Tableau4[MATIERE],Tableau4[SHORT TYPE],"",0,1)</f>
        <v/>
      </c>
      <c r="N83">
        <f>IF(ISERR(FIND("DECOUPE",Tableau1[[#This Row],[DESIGNATION]])),"","NEED REF")</f>
        <v/>
      </c>
    </row>
    <row r="84">
      <c r="B84" t="n">
        <v>34413918</v>
      </c>
      <c r="C84" s="2" t="n">
        <v>45765</v>
      </c>
      <c r="D84" t="inlineStr">
        <is>
          <t>SPEC</t>
        </is>
      </c>
      <c r="E84" t="inlineStr">
        <is>
          <t>COP 34413918 GVXL UPS BATTERY+ 3</t>
        </is>
      </c>
      <c r="F84" t="inlineStr">
        <is>
          <t>GVXL BOTTOM CONNEXION</t>
        </is>
      </c>
      <c r="G84" t="inlineStr">
        <is>
          <t>GVXL</t>
        </is>
      </c>
      <c r="H84" t="inlineStr">
        <is>
          <t>UPS</t>
        </is>
      </c>
      <c r="I84" t="inlineStr">
        <is>
          <t>1250kVA</t>
        </is>
      </c>
      <c r="J84" t="inlineStr">
        <is>
          <t>MATRION</t>
        </is>
      </c>
      <c r="K84" t="inlineStr">
        <is>
          <t>CUIVRE</t>
        </is>
      </c>
      <c r="L84">
        <f>_xlfn.XLOOKUP(Tableau1[[#This Row],[TYPE DE PIECE]],Tableau4[MATIERE],Tableau4[SHORT TYPE],"",0,1)</f>
        <v/>
      </c>
      <c r="N84">
        <f>IF(ISERR(FIND("DECOUPE",Tableau1[[#This Row],[DESIGNATION]])),"","NEED REF")</f>
        <v/>
      </c>
    </row>
    <row r="85">
      <c r="B85" t="n">
        <v>34413917</v>
      </c>
      <c r="C85" s="2" t="n">
        <v>45765</v>
      </c>
      <c r="D85" t="inlineStr">
        <is>
          <t>SPEC</t>
        </is>
      </c>
      <c r="E85" t="inlineStr">
        <is>
          <t>COP 34413917 GVXL UPS BATTERY- 2</t>
        </is>
      </c>
      <c r="F85" t="inlineStr">
        <is>
          <t>GVXL BOTTOM CONNEXION</t>
        </is>
      </c>
      <c r="G85" t="inlineStr">
        <is>
          <t>GVXL</t>
        </is>
      </c>
      <c r="H85" t="inlineStr">
        <is>
          <t>UPS</t>
        </is>
      </c>
      <c r="I85" t="inlineStr">
        <is>
          <t>1250kVA</t>
        </is>
      </c>
      <c r="J85" t="inlineStr">
        <is>
          <t>MATRION</t>
        </is>
      </c>
      <c r="K85" t="inlineStr">
        <is>
          <t>CUIVRE</t>
        </is>
      </c>
      <c r="L85">
        <f>_xlfn.XLOOKUP(Tableau1[[#This Row],[TYPE DE PIECE]],Tableau4[MATIERE],Tableau4[SHORT TYPE],"",0,1)</f>
        <v/>
      </c>
      <c r="N85">
        <f>IF(ISERR(FIND("DECOUPE",Tableau1[[#This Row],[DESIGNATION]])),"","NEED REF")</f>
        <v/>
      </c>
    </row>
    <row r="86">
      <c r="B86" t="n">
        <v>34413916</v>
      </c>
      <c r="C86" s="2" t="n">
        <v>45765</v>
      </c>
      <c r="D86" t="inlineStr">
        <is>
          <t>SPEC</t>
        </is>
      </c>
      <c r="E86" t="inlineStr">
        <is>
          <t>COP 34413916 GVXL UPS BATTERY- 3</t>
        </is>
      </c>
      <c r="F86" t="inlineStr">
        <is>
          <t>GVXL BOTTOM CONNEXION</t>
        </is>
      </c>
      <c r="G86" t="inlineStr">
        <is>
          <t>GVXL</t>
        </is>
      </c>
      <c r="H86" t="inlineStr">
        <is>
          <t>UPS</t>
        </is>
      </c>
      <c r="I86" t="inlineStr">
        <is>
          <t>1250kVA</t>
        </is>
      </c>
      <c r="J86" t="inlineStr">
        <is>
          <t>MATRION</t>
        </is>
      </c>
      <c r="K86" t="inlineStr">
        <is>
          <t>CUIVRE</t>
        </is>
      </c>
      <c r="L86">
        <f>_xlfn.XLOOKUP(Tableau1[[#This Row],[TYPE DE PIECE]],Tableau4[MATIERE],Tableau4[SHORT TYPE],"",0,1)</f>
        <v/>
      </c>
      <c r="N86">
        <f>IF(ISERR(FIND("DECOUPE",Tableau1[[#This Row],[DESIGNATION]])),"","NEED REF")</f>
        <v/>
      </c>
    </row>
    <row r="87">
      <c r="B87" t="n">
        <v>34413915</v>
      </c>
      <c r="C87" s="2" t="n">
        <v>45765</v>
      </c>
      <c r="D87" t="inlineStr">
        <is>
          <t>SPEC</t>
        </is>
      </c>
      <c r="E87" t="inlineStr">
        <is>
          <t>SMT 34413915 GVXL UPS FRONT 3 POSITION BAR SUPPORT</t>
        </is>
      </c>
      <c r="J87" t="inlineStr">
        <is>
          <t>BESSIERE</t>
        </is>
      </c>
      <c r="L87">
        <f>_xlfn.XLOOKUP(Tableau1[[#This Row],[TYPE DE PIECE]],Tableau4[MATIERE],Tableau4[SHORT TYPE],"",0,1)</f>
        <v/>
      </c>
      <c r="N87">
        <f>IF(ISERR(FIND("DECOUPE",Tableau1[[#This Row],[DESIGNATION]])),"","NEED REF")</f>
        <v/>
      </c>
    </row>
    <row r="88">
      <c r="B88" t="n">
        <v>34413914</v>
      </c>
      <c r="C88" s="2" t="n">
        <v>45765</v>
      </c>
      <c r="D88" t="inlineStr">
        <is>
          <t>SPEC</t>
        </is>
      </c>
      <c r="E88" t="inlineStr">
        <is>
          <t>SMT 34413914 GVXL UPS LEFT VERTICAL BEAM SUPPORT</t>
        </is>
      </c>
      <c r="J88" t="inlineStr">
        <is>
          <t>BESSIERE</t>
        </is>
      </c>
      <c r="L88">
        <f>_xlfn.XLOOKUP(Tableau1[[#This Row],[TYPE DE PIECE]],Tableau4[MATIERE],Tableau4[SHORT TYPE],"",0,1)</f>
        <v/>
      </c>
      <c r="N88">
        <f>IF(ISERR(FIND("DECOUPE",Tableau1[[#This Row],[DESIGNATION]])),"","NEED REF")</f>
        <v/>
      </c>
    </row>
    <row r="89">
      <c r="B89" t="n">
        <v>34413913</v>
      </c>
      <c r="C89" s="2" t="n">
        <v>45765</v>
      </c>
      <c r="D89" t="inlineStr">
        <is>
          <t>SPEC</t>
        </is>
      </c>
      <c r="E89" t="inlineStr">
        <is>
          <t>COP 34413913 GVXL UPS BATTERY- 1</t>
        </is>
      </c>
      <c r="F89" t="inlineStr">
        <is>
          <t>GVXL BOTTOM CONNEXION</t>
        </is>
      </c>
      <c r="G89" t="inlineStr">
        <is>
          <t>GVXL</t>
        </is>
      </c>
      <c r="H89" t="inlineStr">
        <is>
          <t>UPS</t>
        </is>
      </c>
      <c r="I89" t="inlineStr">
        <is>
          <t>1250kVA</t>
        </is>
      </c>
      <c r="J89" t="inlineStr">
        <is>
          <t>MATRION</t>
        </is>
      </c>
      <c r="K89" t="inlineStr">
        <is>
          <t>CUIVRE</t>
        </is>
      </c>
      <c r="L89">
        <f>_xlfn.XLOOKUP(Tableau1[[#This Row],[TYPE DE PIECE]],Tableau4[MATIERE],Tableau4[SHORT TYPE],"",0,1)</f>
        <v/>
      </c>
      <c r="N89">
        <f>IF(ISERR(FIND("DECOUPE",Tableau1[[#This Row],[DESIGNATION]])),"","NEED REF")</f>
        <v/>
      </c>
    </row>
    <row r="90">
      <c r="B90" t="n">
        <v>34413912</v>
      </c>
      <c r="C90" s="2" t="n">
        <v>45765</v>
      </c>
      <c r="D90" t="inlineStr">
        <is>
          <t>SPEC</t>
        </is>
      </c>
      <c r="E90" t="inlineStr">
        <is>
          <t>COP 34413912 GVXL UPS BATTERY+ 1</t>
        </is>
      </c>
      <c r="F90" t="inlineStr">
        <is>
          <t>GVXL BOTTOM CONNEXION</t>
        </is>
      </c>
      <c r="G90" t="inlineStr">
        <is>
          <t>GVXL</t>
        </is>
      </c>
      <c r="H90" t="inlineStr">
        <is>
          <t>UPS</t>
        </is>
      </c>
      <c r="I90" t="inlineStr">
        <is>
          <t>1250kVA</t>
        </is>
      </c>
      <c r="J90" t="inlineStr">
        <is>
          <t>MATRION</t>
        </is>
      </c>
      <c r="K90" t="inlineStr">
        <is>
          <t>CUIVRE</t>
        </is>
      </c>
      <c r="L90">
        <f>_xlfn.XLOOKUP(Tableau1[[#This Row],[TYPE DE PIECE]],Tableau4[MATIERE],Tableau4[SHORT TYPE],"",0,1)</f>
        <v/>
      </c>
      <c r="N90">
        <f>IF(ISERR(FIND("DECOUPE",Tableau1[[#This Row],[DESIGNATION]])),"","NEED REF")</f>
        <v/>
      </c>
    </row>
    <row r="91">
      <c r="B91" t="n">
        <v>34413911</v>
      </c>
      <c r="C91" s="2" t="n">
        <v>45764</v>
      </c>
      <c r="D91" t="inlineStr">
        <is>
          <t>SPEC</t>
        </is>
      </c>
      <c r="E91" t="inlineStr">
        <is>
          <t>CUSTOM KTA2000ER42-100 34413911 GVXL 1250KVA</t>
        </is>
      </c>
      <c r="F91" t="inlineStr">
        <is>
          <t>QAS01250</t>
        </is>
      </c>
      <c r="G91" t="inlineStr">
        <is>
          <t>GVXL</t>
        </is>
      </c>
      <c r="H91" t="inlineStr">
        <is>
          <t>UPS</t>
        </is>
      </c>
      <c r="I91" t="inlineStr">
        <is>
          <t>1250kvA</t>
        </is>
      </c>
      <c r="J91" t="inlineStr">
        <is>
          <t>BESSIERE</t>
        </is>
      </c>
      <c r="L91">
        <f>_xlfn.XLOOKUP(Tableau1[[#This Row],[TYPE DE PIECE]],Tableau4[MATIERE],Tableau4[SHORT TYPE],"",0,1)</f>
        <v/>
      </c>
      <c r="N91">
        <f>IF(ISERR(FIND("DECOUPE",Tableau1[[#This Row],[DESIGNATION]])),"","NEED REF")</f>
        <v/>
      </c>
    </row>
    <row r="92">
      <c r="B92" t="n">
        <v>34413910</v>
      </c>
      <c r="C92" s="2" t="n">
        <v>45764</v>
      </c>
      <c r="D92" t="inlineStr">
        <is>
          <t>SPEC</t>
        </is>
      </c>
      <c r="E92" t="inlineStr">
        <is>
          <t>Armoire SAREL SPACIAL SFN (2101*600*800) - GUTOR PXC - Suivant devis (en attente du devis)</t>
        </is>
      </c>
      <c r="F92" t="inlineStr">
        <is>
          <t>QPBE52295</t>
        </is>
      </c>
      <c r="G92" t="inlineStr">
        <is>
          <t>Gutor PXC</t>
        </is>
      </c>
      <c r="H92" t="inlineStr">
        <is>
          <t>BYPASS</t>
        </is>
      </c>
      <c r="I92" t="inlineStr">
        <is>
          <t>40kVA</t>
        </is>
      </c>
      <c r="J92" t="inlineStr">
        <is>
          <t>PEIRON</t>
        </is>
      </c>
      <c r="L92">
        <f>_xlfn.XLOOKUP(Tableau1[[#This Row],[TYPE DE PIECE]],Tableau4[MATIERE],Tableau4[SHORT TYPE],"",0,1)</f>
        <v/>
      </c>
      <c r="N92">
        <f>IF(ISERR(FIND("DECOUPE",Tableau1[[#This Row],[DESIGNATION]])),"","NEED REF")</f>
        <v/>
      </c>
    </row>
    <row r="93">
      <c r="B93" t="n">
        <v>34413909</v>
      </c>
      <c r="C93" s="2" t="n">
        <v>45764</v>
      </c>
      <c r="D93" t="inlineStr">
        <is>
          <t>SPEC</t>
        </is>
      </c>
      <c r="E93" t="inlineStr">
        <is>
          <t>SMT 34413909 GVXL UPS BUSBAR CLAMPING 60 6</t>
        </is>
      </c>
      <c r="F93" t="inlineStr">
        <is>
          <t>GVXL BOTTOM CONNEXION</t>
        </is>
      </c>
      <c r="G93" t="inlineStr">
        <is>
          <t>GVXL</t>
        </is>
      </c>
      <c r="H93" t="inlineStr">
        <is>
          <t>UPS</t>
        </is>
      </c>
      <c r="I93" t="inlineStr">
        <is>
          <t>1250kVA</t>
        </is>
      </c>
      <c r="J93" t="inlineStr">
        <is>
          <t>MATRION</t>
        </is>
      </c>
      <c r="K93" t="inlineStr">
        <is>
          <t>METAL</t>
        </is>
      </c>
      <c r="L93">
        <f>_xlfn.XLOOKUP(Tableau1[[#This Row],[TYPE DE PIECE]],Tableau4[MATIERE],Tableau4[SHORT TYPE],"",0,1)</f>
        <v/>
      </c>
      <c r="N93">
        <f>IF(ISERR(FIND("DECOUPE",Tableau1[[#This Row],[DESIGNATION]])),"","NEED REF")</f>
        <v/>
      </c>
    </row>
    <row r="94">
      <c r="B94" t="n">
        <v>34413908</v>
      </c>
      <c r="C94" s="2" t="n">
        <v>45763</v>
      </c>
      <c r="D94" t="inlineStr">
        <is>
          <t>SPEC</t>
        </is>
      </c>
      <c r="E94" t="inlineStr">
        <is>
          <t>SMT 34413908 GVXL UPS BUSBAR CLAMPING 60 3</t>
        </is>
      </c>
      <c r="F94" t="inlineStr">
        <is>
          <t>GVXL BOTTOM CONNEXION</t>
        </is>
      </c>
      <c r="G94" t="inlineStr">
        <is>
          <t>GVXL</t>
        </is>
      </c>
      <c r="H94" t="inlineStr">
        <is>
          <t>UPS</t>
        </is>
      </c>
      <c r="I94" t="inlineStr">
        <is>
          <t>1250kVA</t>
        </is>
      </c>
      <c r="J94" t="inlineStr">
        <is>
          <t>MATRION</t>
        </is>
      </c>
      <c r="K94" t="inlineStr">
        <is>
          <t>METAL</t>
        </is>
      </c>
      <c r="L94">
        <f>_xlfn.XLOOKUP(Tableau1[[#This Row],[TYPE DE PIECE]],Tableau4[MATIERE],Tableau4[SHORT TYPE],"",0,1)</f>
        <v/>
      </c>
      <c r="N94">
        <f>IF(ISERR(FIND("DECOUPE",Tableau1[[#This Row],[DESIGNATION]])),"","NEED REF")</f>
        <v/>
      </c>
    </row>
    <row r="95">
      <c r="B95" t="n">
        <v>34413907</v>
      </c>
      <c r="C95" s="2" t="n">
        <v>45763</v>
      </c>
      <c r="D95" t="inlineStr">
        <is>
          <t>SPEC</t>
        </is>
      </c>
      <c r="E95" t="inlineStr">
        <is>
          <t>PER JUNCTION BAR</t>
        </is>
      </c>
      <c r="F95" t="inlineStr">
        <is>
          <t>QSMA59555</t>
        </is>
      </c>
      <c r="G95" t="inlineStr">
        <is>
          <t>GVX</t>
        </is>
      </c>
      <c r="H95" t="inlineStr">
        <is>
          <t>UPS</t>
        </is>
      </c>
      <c r="J95" t="inlineStr">
        <is>
          <t>BESSIERE</t>
        </is>
      </c>
      <c r="K95" t="inlineStr">
        <is>
          <t>CUIVRE</t>
        </is>
      </c>
      <c r="L95">
        <f>_xlfn.XLOOKUP(Tableau1[[#This Row],[TYPE DE PIECE]],Tableau4[MATIERE],Tableau4[SHORT TYPE],"",0,1)</f>
        <v/>
      </c>
      <c r="N95">
        <f>IF(ISERR(FIND("DECOUPE",Tableau1[[#This Row],[DESIGNATION]])),"","NEED REF")</f>
        <v/>
      </c>
    </row>
    <row r="96">
      <c r="B96" t="n">
        <v>34413906</v>
      </c>
      <c r="C96" s="2" t="n">
        <v>45761</v>
      </c>
      <c r="D96" t="inlineStr">
        <is>
          <t>SPEC</t>
        </is>
      </c>
      <c r="E96" t="inlineStr">
        <is>
          <t>SMT 34413110 GVXL TGAB ROOF KTA2500 INNER PART PER VERSION</t>
        </is>
      </c>
      <c r="G96" t="inlineStr">
        <is>
          <t>GVXL</t>
        </is>
      </c>
      <c r="J96" t="inlineStr">
        <is>
          <t>BESSIERE</t>
        </is>
      </c>
      <c r="L96">
        <f>_xlfn.XLOOKUP(Tableau1[[#This Row],[TYPE DE PIECE]],Tableau4[MATIERE],Tableau4[SHORT TYPE],"",0,1)</f>
        <v/>
      </c>
      <c r="N96">
        <f>IF(ISERR(FIND("DECOUPE",Tableau1[[#This Row],[DESIGNATION]])),"","NEED REF")</f>
        <v/>
      </c>
    </row>
    <row r="97">
      <c r="B97" t="n">
        <v>34413905</v>
      </c>
      <c r="C97" s="2" t="n">
        <v>45761</v>
      </c>
      <c r="D97" t="inlineStr">
        <is>
          <t>SPEC</t>
        </is>
      </c>
      <c r="E97" t="inlineStr">
        <is>
          <t>SMT 34413905 GVXL UPS BUSBAR SUPPORT 1</t>
        </is>
      </c>
      <c r="F97" t="inlineStr">
        <is>
          <t>GVXL BOTTOM CONNEXION</t>
        </is>
      </c>
      <c r="G97" t="inlineStr">
        <is>
          <t>GVXL</t>
        </is>
      </c>
      <c r="H97" t="inlineStr">
        <is>
          <t>UPS</t>
        </is>
      </c>
      <c r="I97" t="inlineStr">
        <is>
          <t>1250kVA</t>
        </is>
      </c>
      <c r="J97" t="inlineStr">
        <is>
          <t>MATRION</t>
        </is>
      </c>
      <c r="K97" t="inlineStr">
        <is>
          <t>METAL</t>
        </is>
      </c>
      <c r="L97">
        <f>_xlfn.XLOOKUP(Tableau1[[#This Row],[TYPE DE PIECE]],Tableau4[MATIERE],Tableau4[SHORT TYPE],"",0,1)</f>
        <v/>
      </c>
      <c r="N97">
        <f>IF(ISERR(FIND("DECOUPE",Tableau1[[#This Row],[DESIGNATION]])),"","NEED REF")</f>
        <v/>
      </c>
    </row>
    <row r="98">
      <c r="B98" t="n">
        <v>34413904</v>
      </c>
      <c r="C98" s="2" t="n">
        <v>45761</v>
      </c>
      <c r="D98" t="inlineStr">
        <is>
          <t>SPEC</t>
        </is>
      </c>
      <c r="E98" t="inlineStr">
        <is>
          <t>Tag L3 L2 L1 PER</t>
        </is>
      </c>
      <c r="J98" t="inlineStr">
        <is>
          <t>BESSIERE</t>
        </is>
      </c>
      <c r="L98">
        <f>_xlfn.XLOOKUP(Tableau1[[#This Row],[TYPE DE PIECE]],Tableau4[MATIERE],Tableau4[SHORT TYPE],"",0,1)</f>
        <v/>
      </c>
      <c r="N98">
        <f>IF(ISERR(FIND("DECOUPE",Tableau1[[#This Row],[DESIGNATION]])),"","NEED REF")</f>
        <v/>
      </c>
    </row>
    <row r="99">
      <c r="B99" t="n">
        <v>34413903</v>
      </c>
      <c r="C99" s="2" t="n">
        <v>45758</v>
      </c>
      <c r="D99" t="inlineStr">
        <is>
          <t>SPEC</t>
        </is>
      </c>
      <c r="E99" t="inlineStr">
        <is>
          <t>GVXL Extraroof Anti-screw fall cardboard</t>
        </is>
      </c>
      <c r="J99" t="inlineStr">
        <is>
          <t>BESSIERE</t>
        </is>
      </c>
      <c r="L99">
        <f>_xlfn.XLOOKUP(Tableau1[[#This Row],[TYPE DE PIECE]],Tableau4[MATIERE],Tableau4[SHORT TYPE],"",0,1)</f>
        <v/>
      </c>
      <c r="N99">
        <f>IF(ISERR(FIND("DECOUPE",Tableau1[[#This Row],[DESIGNATION]])),"","NEED REF")</f>
        <v/>
      </c>
    </row>
    <row r="100">
      <c r="B100" t="n">
        <v>34413902</v>
      </c>
      <c r="C100" s="2" t="n">
        <v>45758</v>
      </c>
      <c r="D100" t="inlineStr">
        <is>
          <t>SPEC</t>
        </is>
      </c>
      <c r="E100" t="inlineStr">
        <is>
          <t>Tag L3 L2 L1 PEN</t>
        </is>
      </c>
      <c r="J100" t="inlineStr">
        <is>
          <t>BESSIERE</t>
        </is>
      </c>
      <c r="L100">
        <f>_xlfn.XLOOKUP(Tableau1[[#This Row],[TYPE DE PIECE]],Tableau4[MATIERE],Tableau4[SHORT TYPE],"",0,1)</f>
        <v/>
      </c>
      <c r="N100">
        <f>IF(ISERR(FIND("DECOUPE",Tableau1[[#This Row],[DESIGNATION]])),"","NEED REF")</f>
        <v/>
      </c>
    </row>
    <row r="101">
      <c r="B101" t="n">
        <v>34413901</v>
      </c>
      <c r="C101" s="2" t="n">
        <v>45758</v>
      </c>
      <c r="D101" t="inlineStr">
        <is>
          <t>SPEC</t>
        </is>
      </c>
      <c r="E101" t="inlineStr">
        <is>
          <t>Tag L3 L2 L1 N</t>
        </is>
      </c>
      <c r="J101" t="inlineStr">
        <is>
          <t>BESSIERE</t>
        </is>
      </c>
      <c r="L101">
        <f>_xlfn.XLOOKUP(Tableau1[[#This Row],[TYPE DE PIECE]],Tableau4[MATIERE],Tableau4[SHORT TYPE],"",0,1)</f>
        <v/>
      </c>
      <c r="N101">
        <f>IF(ISERR(FIND("DECOUPE",Tableau1[[#This Row],[DESIGNATION]])),"","NEED REF")</f>
        <v/>
      </c>
    </row>
    <row r="102">
      <c r="B102" t="n">
        <v>34413900</v>
      </c>
      <c r="C102" s="2" t="n">
        <v>45758</v>
      </c>
      <c r="D102" t="inlineStr">
        <is>
          <t>SPEC</t>
        </is>
      </c>
      <c r="E102" t="inlineStr">
        <is>
          <t>Tag DC-</t>
        </is>
      </c>
      <c r="J102" t="inlineStr">
        <is>
          <t>BESSIERE</t>
        </is>
      </c>
      <c r="L102">
        <f>_xlfn.XLOOKUP(Tableau1[[#This Row],[TYPE DE PIECE]],Tableau4[MATIERE],Tableau4[SHORT TYPE],"",0,1)</f>
        <v/>
      </c>
      <c r="N102">
        <f>IF(ISERR(FIND("DECOUPE",Tableau1[[#This Row],[DESIGNATION]])),"","NEED REF")</f>
        <v/>
      </c>
    </row>
    <row r="103">
      <c r="B103" t="n">
        <v>34413899</v>
      </c>
      <c r="C103" s="2" t="n">
        <v>45758</v>
      </c>
      <c r="D103" t="inlineStr">
        <is>
          <t>SPEC</t>
        </is>
      </c>
      <c r="E103" t="inlineStr">
        <is>
          <t>Tag DC+</t>
        </is>
      </c>
      <c r="J103" t="inlineStr">
        <is>
          <t>BESSIERE</t>
        </is>
      </c>
      <c r="L103">
        <f>_xlfn.XLOOKUP(Tableau1[[#This Row],[TYPE DE PIECE]],Tableau4[MATIERE],Tableau4[SHORT TYPE],"",0,1)</f>
        <v/>
      </c>
      <c r="N103">
        <f>IF(ISERR(FIND("DECOUPE",Tableau1[[#This Row],[DESIGNATION]])),"","NEED REF")</f>
        <v/>
      </c>
    </row>
    <row r="104">
      <c r="B104" t="n">
        <v>34413898</v>
      </c>
      <c r="C104" s="2" t="n">
        <v>45758</v>
      </c>
      <c r="D104" t="inlineStr">
        <is>
          <t>SPEC</t>
        </is>
      </c>
      <c r="E104" t="inlineStr">
        <is>
          <t>Tag PE</t>
        </is>
      </c>
      <c r="J104" t="inlineStr">
        <is>
          <t>BESSIERE</t>
        </is>
      </c>
      <c r="L104">
        <f>_xlfn.XLOOKUP(Tableau1[[#This Row],[TYPE DE PIECE]],Tableau4[MATIERE],Tableau4[SHORT TYPE],"",0,1)</f>
        <v/>
      </c>
      <c r="N104">
        <f>IF(ISERR(FIND("DECOUPE",Tableau1[[#This Row],[DESIGNATION]])),"","NEED REF")</f>
        <v/>
      </c>
    </row>
    <row r="105">
      <c r="B105" t="n">
        <v>34413897</v>
      </c>
      <c r="C105" s="2" t="n">
        <v>45758</v>
      </c>
      <c r="D105" t="inlineStr">
        <is>
          <t>SPEC</t>
        </is>
      </c>
      <c r="E105" t="inlineStr">
        <is>
          <t>CANEVAS DISJ MTZ2 3200A 4P 5.0 MICRO + 1MX 24VDC</t>
        </is>
      </c>
      <c r="F105" t="inlineStr">
        <is>
          <t>QMBO41903</t>
        </is>
      </c>
      <c r="G105" t="inlineStr">
        <is>
          <t>GVX</t>
        </is>
      </c>
      <c r="H105" t="inlineStr">
        <is>
          <t>BYPASS</t>
        </is>
      </c>
      <c r="I105" t="inlineStr">
        <is>
          <t>1250kVA</t>
        </is>
      </c>
      <c r="J105" t="inlineStr">
        <is>
          <t>PEIRON</t>
        </is>
      </c>
      <c r="K105" t="inlineStr">
        <is>
          <t>canevas</t>
        </is>
      </c>
      <c r="L105">
        <f>_xlfn.XLOOKUP(Tableau1[[#This Row],[TYPE DE PIECE]],Tableau4[MATIERE],Tableau4[SHORT TYPE],"",0,1)</f>
        <v/>
      </c>
      <c r="M105" t="inlineStr">
        <is>
          <t>CANEVAS</t>
        </is>
      </c>
      <c r="N105">
        <f>IF(ISERR(FIND("DECOUPE",Tableau1[[#This Row],[DESIGNATION]])),"","NEED REF")</f>
        <v/>
      </c>
    </row>
    <row r="106">
      <c r="B106" t="n">
        <v>34413896</v>
      </c>
      <c r="C106" s="2" t="n">
        <v>45758</v>
      </c>
      <c r="D106" t="inlineStr">
        <is>
          <t>SPEC</t>
        </is>
      </c>
      <c r="E106" t="inlineStr">
        <is>
          <t>CANEVAS DISJ MTZ2 2500A 4P 5.0 MICRO</t>
        </is>
      </c>
      <c r="F106" t="inlineStr">
        <is>
          <t>QMBO41903</t>
        </is>
      </c>
      <c r="G106" t="inlineStr">
        <is>
          <t>GVX</t>
        </is>
      </c>
      <c r="H106" t="inlineStr">
        <is>
          <t>BYPASS</t>
        </is>
      </c>
      <c r="I106" t="inlineStr">
        <is>
          <t>1250kVA</t>
        </is>
      </c>
      <c r="J106" t="inlineStr">
        <is>
          <t>PEIRON</t>
        </is>
      </c>
      <c r="K106" t="inlineStr">
        <is>
          <t>canevas</t>
        </is>
      </c>
      <c r="M106" t="inlineStr">
        <is>
          <t>CANEVAS</t>
        </is>
      </c>
      <c r="N106">
        <f>IF(ISERR(FIND("DECOUPE",Tableau1[[#This Row],[DESIGNATION]])),"","NEED REF")</f>
        <v/>
      </c>
    </row>
    <row r="107">
      <c r="B107" t="n">
        <v>34413895</v>
      </c>
      <c r="C107" s="2" t="n">
        <v>45758</v>
      </c>
      <c r="D107" t="inlineStr">
        <is>
          <t>SPEC</t>
        </is>
      </c>
      <c r="E107" t="inlineStr">
        <is>
          <t>CANEVAS INTER MTZ2 2500A 4P</t>
        </is>
      </c>
      <c r="F107" t="inlineStr">
        <is>
          <t>QMBO41903</t>
        </is>
      </c>
      <c r="G107" t="inlineStr">
        <is>
          <t>GVX</t>
        </is>
      </c>
      <c r="H107" t="inlineStr">
        <is>
          <t>BYPASS</t>
        </is>
      </c>
      <c r="I107" t="inlineStr">
        <is>
          <t>1250kVA</t>
        </is>
      </c>
      <c r="J107" t="inlineStr">
        <is>
          <t>PEIRON</t>
        </is>
      </c>
      <c r="K107" t="inlineStr">
        <is>
          <t>canevas</t>
        </is>
      </c>
      <c r="L107">
        <f>_xlfn.XLOOKUP(Tableau1[[#This Row],[TYPE DE PIECE]],Tableau4[MATIERE],Tableau4[SHORT TYPE],"",0,1)</f>
        <v/>
      </c>
      <c r="M107" t="inlineStr">
        <is>
          <t>CANEVAS</t>
        </is>
      </c>
      <c r="N107">
        <f>IF(ISERR(FIND("DECOUPE",Tableau1[[#This Row],[DESIGNATION]])),"","NEED REF")</f>
        <v/>
      </c>
    </row>
    <row r="108">
      <c r="B108" t="n">
        <v>34413894</v>
      </c>
      <c r="C108" s="2" t="n">
        <v>45758</v>
      </c>
      <c r="D108" t="inlineStr">
        <is>
          <t>SPEC</t>
        </is>
      </c>
      <c r="E108" t="inlineStr">
        <is>
          <t>Installation &amp; Test Manual - PAS600L STS</t>
        </is>
      </c>
      <c r="G108" t="inlineStr">
        <is>
          <t>STS</t>
        </is>
      </c>
      <c r="H108" t="inlineStr">
        <is>
          <t>STS</t>
        </is>
      </c>
      <c r="J108" t="inlineStr">
        <is>
          <t>Bisiaux</t>
        </is>
      </c>
      <c r="K108" t="inlineStr">
        <is>
          <t>MANUEL</t>
        </is>
      </c>
      <c r="L108">
        <f>_xlfn.XLOOKUP(Tableau1[[#This Row],[TYPE DE PIECE]],Tableau4[MATIERE],Tableau4[SHORT TYPE],"",0,1)</f>
        <v/>
      </c>
      <c r="N108">
        <f>IF(ISERR(FIND("DECOUPE",Tableau1[[#This Row],[DESIGNATION]])),"","NEED REF")</f>
        <v/>
      </c>
    </row>
    <row r="109">
      <c r="B109" t="n">
        <v>34413893</v>
      </c>
      <c r="C109" s="2" t="n">
        <v>45756</v>
      </c>
      <c r="D109" t="inlineStr">
        <is>
          <t>SPEC</t>
        </is>
      </c>
      <c r="E109" t="inlineStr">
        <is>
          <t>SMT 34413893 GVXL UPS BUSBAR CLAMPING 100 6</t>
        </is>
      </c>
      <c r="F109" t="inlineStr">
        <is>
          <t>GVXL BOTTOM CONNEXION</t>
        </is>
      </c>
      <c r="G109" t="inlineStr">
        <is>
          <t>GVXL</t>
        </is>
      </c>
      <c r="H109" t="inlineStr">
        <is>
          <t>UPS</t>
        </is>
      </c>
      <c r="I109" t="inlineStr">
        <is>
          <t>1250kVA</t>
        </is>
      </c>
      <c r="J109" t="inlineStr">
        <is>
          <t>MATRION</t>
        </is>
      </c>
      <c r="K109" t="inlineStr">
        <is>
          <t>METAL</t>
        </is>
      </c>
      <c r="L109">
        <f>_xlfn.XLOOKUP(Tableau1[[#This Row],[TYPE DE PIECE]],Tableau4[MATIERE],Tableau4[SHORT TYPE],"",0,1)</f>
        <v/>
      </c>
      <c r="N109">
        <f>IF(ISERR(FIND("DECOUPE",Tableau1[[#This Row],[DESIGNATION]])),"","NEED REF")</f>
        <v/>
      </c>
    </row>
    <row r="110">
      <c r="B110" t="n">
        <v>34413892</v>
      </c>
      <c r="C110" s="2" t="n">
        <v>45755</v>
      </c>
      <c r="D110" t="inlineStr">
        <is>
          <t>SPEC</t>
        </is>
      </c>
      <c r="E110" t="inlineStr">
        <is>
          <t>decoupe cache NSYATPUND</t>
        </is>
      </c>
      <c r="J110" t="inlineStr">
        <is>
          <t>BERNARDEAU</t>
        </is>
      </c>
      <c r="K110" t="inlineStr">
        <is>
          <t>PLASTIQUE</t>
        </is>
      </c>
      <c r="L110">
        <f>_xlfn.XLOOKUP(Tableau1[[#This Row],[TYPE DE PIECE]],Tableau4[MATIERE],Tableau4[SHORT TYPE],"",0,1)</f>
        <v/>
      </c>
      <c r="N110" t="inlineStr">
        <is>
          <t>NSYATPUND</t>
        </is>
      </c>
    </row>
    <row r="111">
      <c r="B111" t="n">
        <v>34413891</v>
      </c>
      <c r="C111" s="2" t="n">
        <v>45755</v>
      </c>
      <c r="D111" t="inlineStr">
        <is>
          <t>SPEC</t>
        </is>
      </c>
      <c r="E111" t="inlineStr">
        <is>
          <t>SMT TRAVERSE SUPPORT JDB BACK</t>
        </is>
      </c>
      <c r="F111" t="inlineStr">
        <is>
          <t>QRXT032410</t>
        </is>
      </c>
      <c r="G111" t="inlineStr">
        <is>
          <t>GVS</t>
        </is>
      </c>
      <c r="J111" t="inlineStr">
        <is>
          <t>BERNARDEAU</t>
        </is>
      </c>
      <c r="K111" t="inlineStr">
        <is>
          <t>METAL</t>
        </is>
      </c>
      <c r="L111">
        <f>_xlfn.XLOOKUP(Tableau1[[#This Row],[TYPE DE PIECE]],Tableau4[MATIERE],Tableau4[SHORT TYPE],"",0,1)</f>
        <v/>
      </c>
      <c r="N111">
        <f>IF(ISERR(FIND("DECOUPE",Tableau1[[#This Row],[DESIGNATION]])),"","NEED REF")</f>
        <v/>
      </c>
    </row>
    <row r="112">
      <c r="B112" t="n">
        <v>34413890</v>
      </c>
      <c r="C112" s="2" t="n">
        <v>45755</v>
      </c>
      <c r="D112" t="inlineStr">
        <is>
          <t>SPEC</t>
        </is>
      </c>
      <c r="E112" t="inlineStr">
        <is>
          <t>SMT TRAVERSE SUPPORT JDB BACK</t>
        </is>
      </c>
      <c r="F112" t="inlineStr">
        <is>
          <t>QTOX05051</t>
        </is>
      </c>
      <c r="G112" t="inlineStr">
        <is>
          <t>GVS</t>
        </is>
      </c>
      <c r="J112" t="inlineStr">
        <is>
          <t>BERNARDEAU</t>
        </is>
      </c>
      <c r="K112" t="inlineStr">
        <is>
          <t>METAL</t>
        </is>
      </c>
      <c r="L112">
        <f>_xlfn.XLOOKUP(Tableau1[[#This Row],[TYPE DE PIECE]],Tableau4[MATIERE],Tableau4[SHORT TYPE],"",0,1)</f>
        <v/>
      </c>
      <c r="N112">
        <f>IF(ISERR(FIND("DECOUPE",Tableau1[[#This Row],[DESIGNATION]])),"","NEED REF")</f>
        <v/>
      </c>
    </row>
    <row r="113">
      <c r="B113" t="n">
        <v>34413889</v>
      </c>
      <c r="C113" s="2" t="n">
        <v>45754</v>
      </c>
      <c r="D113" t="inlineStr">
        <is>
          <t>SPEC</t>
        </is>
      </c>
      <c r="E113" t="inlineStr">
        <is>
          <t>PLA 34413889 GVXL UPS BUSBAR CLAMPING 100 1</t>
        </is>
      </c>
      <c r="F113" t="inlineStr">
        <is>
          <t>GVXL BOTTOM CONNEXION</t>
        </is>
      </c>
      <c r="G113" t="inlineStr">
        <is>
          <t>GVXL</t>
        </is>
      </c>
      <c r="H113" t="inlineStr">
        <is>
          <t>UPS</t>
        </is>
      </c>
      <c r="I113" t="inlineStr">
        <is>
          <t>1250kVA</t>
        </is>
      </c>
      <c r="J113" t="inlineStr">
        <is>
          <t>MATRION</t>
        </is>
      </c>
      <c r="K113" t="inlineStr">
        <is>
          <t>METAL</t>
        </is>
      </c>
      <c r="L113">
        <f>_xlfn.XLOOKUP(Tableau1[[#This Row],[TYPE DE PIECE]],Tableau4[MATIERE],Tableau4[SHORT TYPE],"",0,1)</f>
        <v/>
      </c>
      <c r="N113">
        <f>IF(ISERR(FIND("DECOUPE",Tableau1[[#This Row],[DESIGNATION]])),"","NEED REF")</f>
        <v/>
      </c>
    </row>
    <row r="114">
      <c r="B114" t="n">
        <v>34413888</v>
      </c>
      <c r="C114" s="2" t="n">
        <v>45754</v>
      </c>
      <c r="D114" t="inlineStr">
        <is>
          <t>SPEC</t>
        </is>
      </c>
      <c r="E11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14" t="inlineStr">
        <is>
          <t>GVXL BOTTOM CONNEXION</t>
        </is>
      </c>
      <c r="G114" t="inlineStr">
        <is>
          <t>GVXL</t>
        </is>
      </c>
      <c r="H114" t="inlineStr">
        <is>
          <t>UPS</t>
        </is>
      </c>
      <c r="I114" t="inlineStr">
        <is>
          <t>1250kVA</t>
        </is>
      </c>
      <c r="J114" t="inlineStr">
        <is>
          <t>MATRION</t>
        </is>
      </c>
      <c r="K114" t="inlineStr">
        <is>
          <t>METAL</t>
        </is>
      </c>
      <c r="L114">
        <f>_xlfn.XLOOKUP(Tableau1[[#This Row],[TYPE DE PIECE]],Tableau4[MATIERE],Tableau4[SHORT TYPE],"",0,1)</f>
        <v/>
      </c>
      <c r="N114">
        <f>IF(ISERR(FIND("DECOUPE",Tableau1[[#This Row],[DESIGNATION]])),"","NEED REF")</f>
        <v/>
      </c>
    </row>
    <row r="115">
      <c r="B115" t="n">
        <v>34413887</v>
      </c>
      <c r="C115" s="2" t="n">
        <v>45754</v>
      </c>
      <c r="D115" t="inlineStr">
        <is>
          <t>SPEC</t>
        </is>
      </c>
      <c r="E11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15" t="inlineStr">
        <is>
          <t>GVXL BOTTOM CONNEXION</t>
        </is>
      </c>
      <c r="G115" t="inlineStr">
        <is>
          <t>GVXL</t>
        </is>
      </c>
      <c r="H115" t="inlineStr">
        <is>
          <t>UPS</t>
        </is>
      </c>
      <c r="I115" t="inlineStr">
        <is>
          <t>1250kVA</t>
        </is>
      </c>
      <c r="J115" t="inlineStr">
        <is>
          <t>MATRION</t>
        </is>
      </c>
      <c r="K115" t="inlineStr">
        <is>
          <t>METAL</t>
        </is>
      </c>
      <c r="L115">
        <f>_xlfn.XLOOKUP(Tableau1[[#This Row],[TYPE DE PIECE]],Tableau4[MATIERE],Tableau4[SHORT TYPE],"",0,1)</f>
        <v/>
      </c>
      <c r="N115">
        <f>IF(ISERR(FIND("DECOUPE",Tableau1[[#This Row],[DESIGNATION]])),"","NEED REF")</f>
        <v/>
      </c>
    </row>
    <row r="116">
      <c r="B116" t="n">
        <v>34413886</v>
      </c>
      <c r="C116" s="2" t="n">
        <v>45754</v>
      </c>
      <c r="D116" t="inlineStr">
        <is>
          <t>SPEC</t>
        </is>
      </c>
      <c r="E116" t="inlineStr">
        <is>
          <t>SMT 34413886 GVXL UPS BUSBAR SUPPORT 2</t>
        </is>
      </c>
      <c r="F116" t="inlineStr">
        <is>
          <t>GVXL BOTTOM CONNEXION</t>
        </is>
      </c>
      <c r="G116" t="inlineStr">
        <is>
          <t>GVXL</t>
        </is>
      </c>
      <c r="H116" t="inlineStr">
        <is>
          <t>UPS</t>
        </is>
      </c>
      <c r="I116" t="inlineStr">
        <is>
          <t>1250kVA</t>
        </is>
      </c>
      <c r="J116" t="inlineStr">
        <is>
          <t>MATRION</t>
        </is>
      </c>
      <c r="K116" t="inlineStr">
        <is>
          <t>METAL</t>
        </is>
      </c>
      <c r="L116">
        <f>_xlfn.XLOOKUP(Tableau1[[#This Row],[TYPE DE PIECE]],Tableau4[MATIERE],Tableau4[SHORT TYPE],"",0,1)</f>
        <v/>
      </c>
      <c r="N116">
        <f>IF(ISERR(FIND("DECOUPE",Tableau1[[#This Row],[DESIGNATION]])),"","NEED REF")</f>
        <v/>
      </c>
    </row>
    <row r="117">
      <c r="B117" t="n">
        <v>34413885</v>
      </c>
      <c r="C117" s="2" t="n">
        <v>45754</v>
      </c>
      <c r="D117" t="inlineStr">
        <is>
          <t>SPEC</t>
        </is>
      </c>
      <c r="E117" t="inlineStr">
        <is>
          <t>SMT 34413885 GVXL UPS BUSBAR CLAMPING 100 3</t>
        </is>
      </c>
      <c r="F117" t="inlineStr">
        <is>
          <t>GVXL BOTTOM CONNEXION</t>
        </is>
      </c>
      <c r="G117" t="inlineStr">
        <is>
          <t>GVXL</t>
        </is>
      </c>
      <c r="H117" t="inlineStr">
        <is>
          <t>UPS</t>
        </is>
      </c>
      <c r="I117" t="inlineStr">
        <is>
          <t>1250kVA</t>
        </is>
      </c>
      <c r="J117" t="inlineStr">
        <is>
          <t>MATRION</t>
        </is>
      </c>
      <c r="K117" t="inlineStr">
        <is>
          <t>METAL</t>
        </is>
      </c>
      <c r="L117">
        <f>_xlfn.XLOOKUP(Tableau1[[#This Row],[TYPE DE PIECE]],Tableau4[MATIERE],Tableau4[SHORT TYPE],"",0,1)</f>
        <v/>
      </c>
      <c r="N117">
        <f>IF(ISERR(FIND("DECOUPE",Tableau1[[#This Row],[DESIGNATION]])),"","NEED REF")</f>
        <v/>
      </c>
    </row>
    <row r="118">
      <c r="B118" t="n">
        <v>34413884</v>
      </c>
      <c r="C118" s="2" t="n">
        <v>45751</v>
      </c>
      <c r="D118" t="inlineStr">
        <is>
          <t>SPEC</t>
        </is>
      </c>
      <c r="E118" t="inlineStr">
        <is>
          <t>pla PLASTRON 4 NSX</t>
        </is>
      </c>
      <c r="F118" t="inlineStr">
        <is>
          <t>QRXT032410</t>
        </is>
      </c>
      <c r="G118" t="inlineStr">
        <is>
          <t>GVS</t>
        </is>
      </c>
      <c r="J118" t="inlineStr">
        <is>
          <t>BERNARDEAU</t>
        </is>
      </c>
      <c r="K118" t="inlineStr">
        <is>
          <t>PLASTIQUE</t>
        </is>
      </c>
      <c r="L118">
        <f>_xlfn.XLOOKUP(Tableau1[[#This Row],[TYPE DE PIECE]],Tableau4[MATIERE],Tableau4[SHORT TYPE],"",0,1)</f>
        <v/>
      </c>
      <c r="N118">
        <f>IF(ISERR(FIND("DECOUPE",Tableau1[[#This Row],[DESIGNATION]])),"","NEED REF")</f>
        <v/>
      </c>
    </row>
    <row r="119">
      <c r="B119" t="n">
        <v>34413883</v>
      </c>
      <c r="C119" s="2" t="n">
        <v>45751</v>
      </c>
      <c r="D119" t="inlineStr">
        <is>
          <t>SPEC</t>
        </is>
      </c>
      <c r="E119" t="inlineStr">
        <is>
          <t>DECOUPE CABLOFIL CF54300EZ LG 800mm</t>
        </is>
      </c>
      <c r="J119" t="inlineStr">
        <is>
          <t>BERNARDEAU</t>
        </is>
      </c>
      <c r="K119" t="inlineStr">
        <is>
          <t>METAL</t>
        </is>
      </c>
      <c r="L119">
        <f>_xlfn.XLOOKUP(Tableau1[[#This Row],[TYPE DE PIECE]],Tableau4[MATIERE],Tableau4[SHORT TYPE],"",0,1)</f>
        <v/>
      </c>
      <c r="N119" t="inlineStr">
        <is>
          <t>CF54300EZ</t>
        </is>
      </c>
    </row>
    <row r="120">
      <c r="B120" t="n">
        <v>34413882</v>
      </c>
      <c r="C120" s="2" t="n">
        <v>45751</v>
      </c>
      <c r="D120" t="inlineStr">
        <is>
          <t>SPEC</t>
        </is>
      </c>
      <c r="E120" t="inlineStr">
        <is>
          <t>SE KIT BANDEAUX SOCLE VENTILE RAL7022 - FAF0006230</t>
        </is>
      </c>
      <c r="F120" t="inlineStr">
        <is>
          <t>STS TERACO</t>
        </is>
      </c>
      <c r="J120" t="inlineStr">
        <is>
          <t>BESSIERE</t>
        </is>
      </c>
      <c r="L120">
        <f>_xlfn.XLOOKUP(Tableau1[[#This Row],[TYPE DE PIECE]],Tableau4[MATIERE],Tableau4[SHORT TYPE],"",0,1)</f>
        <v/>
      </c>
      <c r="N120">
        <f>IF(ISERR(FIND("DECOUPE",Tableau1[[#This Row],[DESIGNATION]])),"","NEED REF")</f>
        <v/>
      </c>
    </row>
    <row r="121">
      <c r="B121" t="n">
        <v>34413881</v>
      </c>
      <c r="C121" s="2" t="n">
        <v>45751</v>
      </c>
      <c r="D121" t="inlineStr">
        <is>
          <t>SPEC</t>
        </is>
      </c>
      <c r="E121" t="inlineStr">
        <is>
          <t>FINITION CELLULE SFN L700 H2000+R100 P1000 STS630A</t>
        </is>
      </c>
      <c r="J121" t="inlineStr">
        <is>
          <t>BESSIERE</t>
        </is>
      </c>
      <c r="L121">
        <f>_xlfn.XLOOKUP(Tableau1[[#This Row],[TYPE DE PIECE]],Tableau4[MATIERE],Tableau4[SHORT TYPE],"",0,1)</f>
        <v/>
      </c>
      <c r="N121">
        <f>IF(ISERR(FIND("DECOUPE",Tableau1[[#This Row],[DESIGNATION]])),"","NEED REF")</f>
        <v/>
      </c>
    </row>
    <row r="122">
      <c r="B122" t="n">
        <v>34413880</v>
      </c>
      <c r="C122" s="2" t="n">
        <v>45750</v>
      </c>
      <c r="D122" t="inlineStr">
        <is>
          <t>SPEC</t>
        </is>
      </c>
      <c r="E122" t="inlineStr">
        <is>
          <t>SMT DEFLECTEUR TFO</t>
        </is>
      </c>
      <c r="F122" t="inlineStr">
        <is>
          <t>QRXT032410</t>
        </is>
      </c>
      <c r="G122" t="inlineStr">
        <is>
          <t>GVS</t>
        </is>
      </c>
      <c r="I122" t="inlineStr">
        <is>
          <t>20kVA</t>
        </is>
      </c>
      <c r="J122" t="inlineStr">
        <is>
          <t>BERNARDEAU</t>
        </is>
      </c>
      <c r="K122" t="inlineStr">
        <is>
          <t>METAL</t>
        </is>
      </c>
      <c r="L122">
        <f>_xlfn.XLOOKUP(Tableau1[[#This Row],[TYPE DE PIECE]],Tableau4[MATIERE],Tableau4[SHORT TYPE],"",0,1)</f>
        <v/>
      </c>
      <c r="N122">
        <f>IF(ISERR(FIND("DECOUPE",Tableau1[[#This Row],[DESIGNATION]])),"","NEED REF")</f>
        <v/>
      </c>
    </row>
    <row r="123">
      <c r="B123" t="n">
        <v>34413879</v>
      </c>
      <c r="C123" s="2" t="n">
        <v>45748</v>
      </c>
      <c r="D123" t="inlineStr">
        <is>
          <t>SPEC</t>
        </is>
      </c>
      <c r="E123" t="inlineStr">
        <is>
          <t>PLA PLaSTRON NSX+IMD</t>
        </is>
      </c>
      <c r="F123" t="inlineStr">
        <is>
          <t>QRXT032410</t>
        </is>
      </c>
      <c r="G123" t="inlineStr">
        <is>
          <t>GVS</t>
        </is>
      </c>
      <c r="J123" t="inlineStr">
        <is>
          <t>BERNARDEAU</t>
        </is>
      </c>
      <c r="K123" t="inlineStr">
        <is>
          <t>PLASTIQUE</t>
        </is>
      </c>
      <c r="L123">
        <f>_xlfn.XLOOKUP(Tableau1[[#This Row],[TYPE DE PIECE]],Tableau4[MATIERE],Tableau4[SHORT TYPE],"",0,1)</f>
        <v/>
      </c>
      <c r="N123">
        <f>IF(ISERR(FIND("DECOUPE",Tableau1[[#This Row],[DESIGNATION]])),"","NEED REF")</f>
        <v/>
      </c>
    </row>
    <row r="124">
      <c r="B124" t="n">
        <v>34413878</v>
      </c>
      <c r="C124" s="2" t="n">
        <v>45748</v>
      </c>
      <c r="D124" t="inlineStr">
        <is>
          <t>SPEC</t>
        </is>
      </c>
      <c r="E124" t="inlineStr">
        <is>
          <t>SMT PLATINE NSX + VIGI</t>
        </is>
      </c>
      <c r="F124" t="inlineStr">
        <is>
          <t>QRXT032410</t>
        </is>
      </c>
      <c r="G124" t="inlineStr">
        <is>
          <t>GVS</t>
        </is>
      </c>
      <c r="J124" t="inlineStr">
        <is>
          <t>BERNARDEAU</t>
        </is>
      </c>
      <c r="K124" t="inlineStr">
        <is>
          <t>METAL</t>
        </is>
      </c>
      <c r="L124">
        <f>_xlfn.XLOOKUP(Tableau1[[#This Row],[TYPE DE PIECE]],Tableau4[MATIERE],Tableau4[SHORT TYPE],"",0,1)</f>
        <v/>
      </c>
      <c r="N124">
        <f>IF(ISERR(FIND("DECOUPE",Tableau1[[#This Row],[DESIGNATION]])),"","NEED REF")</f>
        <v/>
      </c>
    </row>
    <row r="125">
      <c r="B125" s="135" t="n">
        <v>34413877</v>
      </c>
      <c r="C125" s="2" t="n">
        <v>45747</v>
      </c>
      <c r="D125" t="inlineStr">
        <is>
          <t>SPEC</t>
        </is>
      </c>
      <c r="E125" s="135" t="inlineStr">
        <is>
          <t>SMT PLATINE NSX + VIGI</t>
        </is>
      </c>
      <c r="F125" t="inlineStr">
        <is>
          <t>QRXT032410</t>
        </is>
      </c>
      <c r="G125" t="inlineStr">
        <is>
          <t>GVS</t>
        </is>
      </c>
      <c r="J125" t="inlineStr">
        <is>
          <t>BERNARDEAU</t>
        </is>
      </c>
      <c r="K125" t="inlineStr">
        <is>
          <t>METAL</t>
        </is>
      </c>
      <c r="L125">
        <f>_xlfn.XLOOKUP(Tableau1[[#This Row],[TYPE DE PIECE]],Tableau4[MATIERE],Tableau4[SHORT TYPE],"",0,1)</f>
        <v/>
      </c>
      <c r="N125">
        <f>IF(ISERR(FIND("DECOUPE",Tableau1[[#This Row],[DESIGNATION]])),"","NEED REF")</f>
        <v/>
      </c>
    </row>
    <row r="126">
      <c r="B126" t="n">
        <v>34413876</v>
      </c>
      <c r="C126" s="2" t="n">
        <v>45747</v>
      </c>
      <c r="D126" t="inlineStr">
        <is>
          <t>SPEC</t>
        </is>
      </c>
      <c r="E12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126" t="inlineStr">
        <is>
          <t>BESSIERE</t>
        </is>
      </c>
      <c r="L126">
        <f>_xlfn.XLOOKUP(Tableau1[[#This Row],[TYPE DE PIECE]],Tableau4[MATIERE],Tableau4[SHORT TYPE],"",0,1)</f>
        <v/>
      </c>
      <c r="N126">
        <f>IF(ISERR(FIND("DECOUPE",Tableau1[[#This Row],[DESIGNATION]])),"","NEED REF")</f>
        <v/>
      </c>
    </row>
    <row r="127">
      <c r="B127" t="n">
        <v>34413875</v>
      </c>
      <c r="C127" s="2" t="n">
        <v>45747</v>
      </c>
      <c r="D127" t="inlineStr">
        <is>
          <t>SPEC</t>
        </is>
      </c>
      <c r="E12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27" t="inlineStr">
        <is>
          <t>SKID 1000</t>
        </is>
      </c>
      <c r="J127" t="inlineStr">
        <is>
          <t>BESSIERE</t>
        </is>
      </c>
      <c r="L127">
        <f>_xlfn.XLOOKUP(Tableau1[[#This Row],[TYPE DE PIECE]],Tableau4[MATIERE],Tableau4[SHORT TYPE],"",0,1)</f>
        <v/>
      </c>
      <c r="N127">
        <f>IF(ISERR(FIND("DECOUPE",Tableau1[[#This Row],[DESIGNATION]])),"","NEED REF")</f>
        <v/>
      </c>
    </row>
    <row r="128">
      <c r="B128" t="n">
        <v>34413874</v>
      </c>
      <c r="C128" s="2" t="n">
        <v>45747</v>
      </c>
      <c r="D128" t="inlineStr">
        <is>
          <t>SPEC</t>
        </is>
      </c>
      <c r="E12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28" t="inlineStr">
        <is>
          <t>SKID 1000</t>
        </is>
      </c>
      <c r="J128" t="inlineStr">
        <is>
          <t>BESSIERE</t>
        </is>
      </c>
      <c r="L128">
        <f>_xlfn.XLOOKUP(Tableau1[[#This Row],[TYPE DE PIECE]],Tableau4[MATIERE],Tableau4[SHORT TYPE],"",0,1)</f>
        <v/>
      </c>
      <c r="N128">
        <f>IF(ISERR(FIND("DECOUPE",Tableau1[[#This Row],[DESIGNATION]])),"","NEED REF")</f>
        <v/>
      </c>
    </row>
    <row r="129">
      <c r="B129" t="n">
        <v>34413873</v>
      </c>
      <c r="C129" s="2" t="n">
        <v>45747</v>
      </c>
      <c r="D129" t="inlineStr">
        <is>
          <t>SPEC</t>
        </is>
      </c>
      <c r="E12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29" t="inlineStr">
        <is>
          <t>SKID 1000</t>
        </is>
      </c>
      <c r="J129" t="inlineStr">
        <is>
          <t>BESSIERE</t>
        </is>
      </c>
      <c r="L129">
        <f>_xlfn.XLOOKUP(Tableau1[[#This Row],[TYPE DE PIECE]],Tableau4[MATIERE],Tableau4[SHORT TYPE],"",0,1)</f>
        <v/>
      </c>
      <c r="N129">
        <f>IF(ISERR(FIND("DECOUPE",Tableau1[[#This Row],[DESIGNATION]])),"","NEED REF")</f>
        <v/>
      </c>
    </row>
    <row r="130">
      <c r="B130" t="n">
        <v>34413872</v>
      </c>
      <c r="C130" s="2" t="n">
        <v>45747</v>
      </c>
      <c r="D130" t="inlineStr">
        <is>
          <t>SPEC</t>
        </is>
      </c>
      <c r="E13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30" t="inlineStr">
        <is>
          <t>SKID 1000</t>
        </is>
      </c>
      <c r="J130" t="inlineStr">
        <is>
          <t>BESSIERE</t>
        </is>
      </c>
      <c r="L130">
        <f>_xlfn.XLOOKUP(Tableau1[[#This Row],[TYPE DE PIECE]],Tableau4[MATIERE],Tableau4[SHORT TYPE],"",0,1)</f>
        <v/>
      </c>
      <c r="N130">
        <f>IF(ISERR(FIND("DECOUPE",Tableau1[[#This Row],[DESIGNATION]])),"","NEED REF")</f>
        <v/>
      </c>
    </row>
    <row r="131">
      <c r="B131" t="n">
        <v>34413871</v>
      </c>
      <c r="C131" s="2" t="n">
        <v>45747</v>
      </c>
      <c r="D131" t="inlineStr">
        <is>
          <t>SPEC</t>
        </is>
      </c>
      <c r="E13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31" t="inlineStr">
        <is>
          <t>SKID 1000</t>
        </is>
      </c>
      <c r="J131" t="inlineStr">
        <is>
          <t>BESSIERE</t>
        </is>
      </c>
      <c r="L131">
        <f>_xlfn.XLOOKUP(Tableau1[[#This Row],[TYPE DE PIECE]],Tableau4[MATIERE],Tableau4[SHORT TYPE],"",0,1)</f>
        <v/>
      </c>
      <c r="N131">
        <f>IF(ISERR(FIND("DECOUPE",Tableau1[[#This Row],[DESIGNATION]])),"","NEED REF")</f>
        <v/>
      </c>
    </row>
    <row r="132">
      <c r="B132" t="n">
        <v>34413870</v>
      </c>
      <c r="C132" s="2" t="n">
        <v>45747</v>
      </c>
      <c r="D132" t="inlineStr">
        <is>
          <t>SPEC</t>
        </is>
      </c>
      <c r="E13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32" t="inlineStr">
        <is>
          <t>GVXL BOTTOM CONNEXION</t>
        </is>
      </c>
      <c r="G132" t="inlineStr">
        <is>
          <t>GVXL</t>
        </is>
      </c>
      <c r="H132" t="inlineStr">
        <is>
          <t>UPS</t>
        </is>
      </c>
      <c r="I132" t="inlineStr">
        <is>
          <t>1250kVA</t>
        </is>
      </c>
      <c r="J132" t="inlineStr">
        <is>
          <t>MATRION</t>
        </is>
      </c>
      <c r="L132">
        <f>_xlfn.XLOOKUP(Tableau1[[#This Row],[TYPE DE PIECE]],Tableau4[MATIERE],Tableau4[SHORT TYPE],"",0,1)</f>
        <v/>
      </c>
      <c r="N132">
        <f>IF(ISERR(FIND("DECOUPE",Tableau1[[#This Row],[DESIGNATION]])),"","NEED REF")</f>
        <v/>
      </c>
    </row>
    <row r="133">
      <c r="B133" t="n">
        <v>34413869</v>
      </c>
      <c r="C133" s="2" t="n">
        <v>45747</v>
      </c>
      <c r="D133" t="inlineStr">
        <is>
          <t>SPEC</t>
        </is>
      </c>
      <c r="E13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33" t="inlineStr">
        <is>
          <t>GVXL BOTTOM CONNEXION</t>
        </is>
      </c>
      <c r="G133" t="inlineStr">
        <is>
          <t>GVXL</t>
        </is>
      </c>
      <c r="H133" t="inlineStr">
        <is>
          <t>UPS</t>
        </is>
      </c>
      <c r="I133" t="inlineStr">
        <is>
          <t>1250kVA</t>
        </is>
      </c>
      <c r="J133" t="inlineStr">
        <is>
          <t>MATRION</t>
        </is>
      </c>
      <c r="L133">
        <f>_xlfn.XLOOKUP(Tableau1[[#This Row],[TYPE DE PIECE]],Tableau4[MATIERE],Tableau4[SHORT TYPE],"",0,1)</f>
        <v/>
      </c>
      <c r="N133">
        <f>IF(ISERR(FIND("DECOUPE",Tableau1[[#This Row],[DESIGNATION]])),"","NEED REF")</f>
        <v/>
      </c>
    </row>
    <row r="134">
      <c r="B134" t="n">
        <v>34413868</v>
      </c>
      <c r="C134" s="2" t="n">
        <v>45747</v>
      </c>
      <c r="D134" t="inlineStr">
        <is>
          <t>SPEC</t>
        </is>
      </c>
      <c r="E134" t="inlineStr">
        <is>
          <t>PLA 34413868 GVXL UPS BUSBAR CLAMPING 100 4</t>
        </is>
      </c>
      <c r="F134" t="inlineStr">
        <is>
          <t>GVXL BOTTOM CONNEXION</t>
        </is>
      </c>
      <c r="G134" t="inlineStr">
        <is>
          <t>GVXL</t>
        </is>
      </c>
      <c r="H134" t="inlineStr">
        <is>
          <t>UPS</t>
        </is>
      </c>
      <c r="I134" t="inlineStr">
        <is>
          <t>1250kVA</t>
        </is>
      </c>
      <c r="J134" t="inlineStr">
        <is>
          <t>MATRION</t>
        </is>
      </c>
      <c r="K134" t="inlineStr">
        <is>
          <t>PLASTIQUE</t>
        </is>
      </c>
      <c r="L134">
        <f>_xlfn.XLOOKUP(Tableau1[[#This Row],[TYPE DE PIECE]],Tableau4[MATIERE],Tableau4[SHORT TYPE],"",0,1)</f>
        <v/>
      </c>
      <c r="N134">
        <f>IF(ISERR(FIND("DECOUPE",Tableau1[[#This Row],[DESIGNATION]])),"","NEED REF")</f>
        <v/>
      </c>
    </row>
    <row r="135">
      <c r="B135" t="n">
        <v>34413867</v>
      </c>
      <c r="C135" s="2" t="n">
        <v>45747</v>
      </c>
      <c r="D135" t="inlineStr">
        <is>
          <t>SPEC</t>
        </is>
      </c>
      <c r="E135" t="inlineStr">
        <is>
          <t>PLA 34413867 GVXL UPS BUSBAR CLAMPING 60 5</t>
        </is>
      </c>
      <c r="F135" t="inlineStr">
        <is>
          <t>GVXL BOTTOM CONNEXION</t>
        </is>
      </c>
      <c r="G135" t="inlineStr">
        <is>
          <t>GVXL</t>
        </is>
      </c>
      <c r="H135" t="inlineStr">
        <is>
          <t>UPS</t>
        </is>
      </c>
      <c r="I135" t="inlineStr">
        <is>
          <t>1250kVA</t>
        </is>
      </c>
      <c r="J135" t="inlineStr">
        <is>
          <t>MATRION</t>
        </is>
      </c>
      <c r="K135" t="inlineStr">
        <is>
          <t>PLASTIQUE</t>
        </is>
      </c>
      <c r="L135">
        <f>_xlfn.XLOOKUP(Tableau1[[#This Row],[TYPE DE PIECE]],Tableau4[MATIERE],Tableau4[SHORT TYPE],"",0,1)</f>
        <v/>
      </c>
      <c r="N135">
        <f>IF(ISERR(FIND("DECOUPE",Tableau1[[#This Row],[DESIGNATION]])),"","NEED REF")</f>
        <v/>
      </c>
    </row>
    <row r="136">
      <c r="B136" t="n">
        <v>34413866</v>
      </c>
      <c r="C136" s="2" t="n">
        <v>45747</v>
      </c>
      <c r="D136" t="inlineStr">
        <is>
          <t>SPEC</t>
        </is>
      </c>
      <c r="E136" t="inlineStr">
        <is>
          <t>PLA 34413866 GVXL UPS BUSBAR CLAMPING 100 5</t>
        </is>
      </c>
      <c r="F136" t="inlineStr">
        <is>
          <t>GVXL BOTTOM CONNEXION</t>
        </is>
      </c>
      <c r="G136" t="inlineStr">
        <is>
          <t>GVXL</t>
        </is>
      </c>
      <c r="H136" t="inlineStr">
        <is>
          <t>UPS</t>
        </is>
      </c>
      <c r="I136" t="inlineStr">
        <is>
          <t>1250kVA</t>
        </is>
      </c>
      <c r="J136" t="inlineStr">
        <is>
          <t>MATRION</t>
        </is>
      </c>
      <c r="K136" t="inlineStr">
        <is>
          <t>PLASTIQUE</t>
        </is>
      </c>
      <c r="L136">
        <f>_xlfn.XLOOKUP(Tableau1[[#This Row],[TYPE DE PIECE]],Tableau4[MATIERE],Tableau4[SHORT TYPE],"",0,1)</f>
        <v/>
      </c>
      <c r="N136">
        <f>IF(ISERR(FIND("DECOUPE",Tableau1[[#This Row],[DESIGNATION]])),"","NEED REF")</f>
        <v/>
      </c>
    </row>
    <row r="137">
      <c r="B137" t="n">
        <v>34413865</v>
      </c>
      <c r="C137" s="2" t="n">
        <v>45747</v>
      </c>
      <c r="D137" t="inlineStr">
        <is>
          <t>SPEC</t>
        </is>
      </c>
      <c r="E137" t="inlineStr">
        <is>
          <t>PLA 34413865 GVXL UPS BUSBAR CLAMPING 100 4</t>
        </is>
      </c>
      <c r="F137" t="inlineStr">
        <is>
          <t>GVXL BOTTOM CONNEXION</t>
        </is>
      </c>
      <c r="G137" t="inlineStr">
        <is>
          <t>GVXL</t>
        </is>
      </c>
      <c r="H137" t="inlineStr">
        <is>
          <t>UPS</t>
        </is>
      </c>
      <c r="I137" t="inlineStr">
        <is>
          <t>1250kVA</t>
        </is>
      </c>
      <c r="J137" t="inlineStr">
        <is>
          <t>MATRION</t>
        </is>
      </c>
      <c r="K137" t="inlineStr">
        <is>
          <t>PLASTIQUE</t>
        </is>
      </c>
      <c r="L137">
        <f>_xlfn.XLOOKUP(Tableau1[[#This Row],[TYPE DE PIECE]],Tableau4[MATIERE],Tableau4[SHORT TYPE],"",0,1)</f>
        <v/>
      </c>
      <c r="N137">
        <f>IF(ISERR(FIND("DECOUPE",Tableau1[[#This Row],[DESIGNATION]])),"","NEED REF")</f>
        <v/>
      </c>
    </row>
    <row r="138">
      <c r="B138" t="n">
        <v>34413864</v>
      </c>
      <c r="C138" s="2" t="n">
        <v>45744</v>
      </c>
      <c r="D138" t="inlineStr">
        <is>
          <t>SPEC</t>
        </is>
      </c>
      <c r="E138" t="inlineStr">
        <is>
          <t>PLA 34413864 GVXL UPS BUSBAR CLAMPING 100 2</t>
        </is>
      </c>
      <c r="F138" t="inlineStr">
        <is>
          <t>GVXL BOTTOM CONNEXION</t>
        </is>
      </c>
      <c r="G138" t="inlineStr">
        <is>
          <t>GVXL</t>
        </is>
      </c>
      <c r="H138" t="inlineStr">
        <is>
          <t>UPS</t>
        </is>
      </c>
      <c r="I138" t="inlineStr">
        <is>
          <t>1250kVA</t>
        </is>
      </c>
      <c r="J138" t="inlineStr">
        <is>
          <t>MATRION</t>
        </is>
      </c>
      <c r="K138" t="inlineStr">
        <is>
          <t>PLASTIQUE</t>
        </is>
      </c>
      <c r="L138">
        <f>_xlfn.XLOOKUP(Tableau1[[#This Row],[TYPE DE PIECE]],Tableau4[MATIERE],Tableau4[SHORT TYPE],"",0,1)</f>
        <v/>
      </c>
      <c r="N138">
        <f>IF(ISERR(FIND("DECOUPE",Tableau1[[#This Row],[DESIGNATION]])),"","NEED REF")</f>
        <v/>
      </c>
    </row>
    <row r="139">
      <c r="B139" t="n">
        <v>34413863</v>
      </c>
      <c r="C139" s="2" t="n">
        <v>45744</v>
      </c>
      <c r="D139" t="inlineStr">
        <is>
          <t>SPEC</t>
        </is>
      </c>
      <c r="E13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39" t="inlineStr">
        <is>
          <t>GVXL BOTTOM CONNEXION</t>
        </is>
      </c>
      <c r="G139" t="inlineStr">
        <is>
          <t>GVXL</t>
        </is>
      </c>
      <c r="H139" t="inlineStr">
        <is>
          <t>UPS</t>
        </is>
      </c>
      <c r="I139" t="inlineStr">
        <is>
          <t>1250kVA</t>
        </is>
      </c>
      <c r="J139" t="inlineStr">
        <is>
          <t>MATRION</t>
        </is>
      </c>
      <c r="K139" t="inlineStr">
        <is>
          <t>PLASTIQUE</t>
        </is>
      </c>
      <c r="L139">
        <f>_xlfn.XLOOKUP(Tableau1[[#This Row],[TYPE DE PIECE]],Tableau4[MATIERE],Tableau4[SHORT TYPE],"",0,1)</f>
        <v/>
      </c>
      <c r="N139">
        <f>IF(ISERR(FIND("DECOUPE",Tableau1[[#This Row],[DESIGNATION]])),"","NEED REF")</f>
        <v/>
      </c>
    </row>
    <row r="140">
      <c r="B140" t="n">
        <v>34413862</v>
      </c>
      <c r="C140" s="2" t="n">
        <v>45744</v>
      </c>
      <c r="D140" t="inlineStr">
        <is>
          <t>SPEC</t>
        </is>
      </c>
      <c r="E140" t="inlineStr">
        <is>
          <t>PLA 34413862 GVXL UPS BUSBAR CLAMPING 60 2</t>
        </is>
      </c>
      <c r="F140" t="inlineStr">
        <is>
          <t>GVXL BOTTOM CONNEXION</t>
        </is>
      </c>
      <c r="G140" t="inlineStr">
        <is>
          <t>GVXL</t>
        </is>
      </c>
      <c r="H140" t="inlineStr">
        <is>
          <t>UPS</t>
        </is>
      </c>
      <c r="I140" t="inlineStr">
        <is>
          <t>1250kVA</t>
        </is>
      </c>
      <c r="J140" t="inlineStr">
        <is>
          <t>MATRION</t>
        </is>
      </c>
      <c r="K140" t="inlineStr">
        <is>
          <t>PLASTIQUE</t>
        </is>
      </c>
      <c r="L140">
        <f>_xlfn.XLOOKUP(Tableau1[[#This Row],[TYPE DE PIECE]],Tableau4[MATIERE],Tableau4[SHORT TYPE],"",0,1)</f>
        <v/>
      </c>
      <c r="N140">
        <f>IF(ISERR(FIND("DECOUPE",Tableau1[[#This Row],[DESIGNATION]])),"","NEED REF")</f>
        <v/>
      </c>
    </row>
    <row r="141">
      <c r="B141" t="n">
        <v>34413861</v>
      </c>
      <c r="C141" s="2" t="n">
        <v>45744</v>
      </c>
      <c r="D141" t="inlineStr">
        <is>
          <t>SPEC</t>
        </is>
      </c>
      <c r="E141" t="inlineStr">
        <is>
          <t>PLA 34413861 GVXL UPS BUSBAR CLAMPING 60 1</t>
        </is>
      </c>
      <c r="F141" t="inlineStr">
        <is>
          <t>GVXL BOTTOM CONNEXION</t>
        </is>
      </c>
      <c r="G141" t="inlineStr">
        <is>
          <t>GVXL</t>
        </is>
      </c>
      <c r="H141" t="inlineStr">
        <is>
          <t>UPS</t>
        </is>
      </c>
      <c r="I141" t="inlineStr">
        <is>
          <t>1250kVA</t>
        </is>
      </c>
      <c r="J141" t="inlineStr">
        <is>
          <t>MATRION</t>
        </is>
      </c>
      <c r="K141" t="inlineStr">
        <is>
          <t>PLASTIQUE</t>
        </is>
      </c>
      <c r="L141">
        <f>_xlfn.XLOOKUP(Tableau1[[#This Row],[TYPE DE PIECE]],Tableau4[MATIERE],Tableau4[SHORT TYPE],"",0,1)</f>
        <v/>
      </c>
      <c r="N141">
        <f>IF(ISERR(FIND("DECOUPE",Tableau1[[#This Row],[DESIGNATION]])),"","NEED REF")</f>
        <v/>
      </c>
    </row>
    <row r="142">
      <c r="B142" t="n">
        <v>34413860</v>
      </c>
      <c r="C142" s="2" t="n">
        <v>45744</v>
      </c>
      <c r="D142" t="inlineStr">
        <is>
          <t>SPEC</t>
        </is>
      </c>
      <c r="E142" t="inlineStr">
        <is>
          <t>Traverse support cable armoire 1000 mm SCR</t>
        </is>
      </c>
      <c r="J142" t="inlineStr">
        <is>
          <t>BESSIERE</t>
        </is>
      </c>
      <c r="L142">
        <f>_xlfn.XLOOKUP(Tableau1[[#This Row],[TYPE DE PIECE]],Tableau4[MATIERE],Tableau4[SHORT TYPE],"",0,1)</f>
        <v/>
      </c>
      <c r="N142">
        <f>IF(ISERR(FIND("DECOUPE",Tableau1[[#This Row],[DESIGNATION]])),"","NEED REF")</f>
        <v/>
      </c>
    </row>
    <row r="143">
      <c r="B143" t="n">
        <v>34413859</v>
      </c>
      <c r="C143" s="2" t="n">
        <v>45744</v>
      </c>
      <c r="D143" t="inlineStr">
        <is>
          <t>SPEC</t>
        </is>
      </c>
      <c r="E143" t="inlineStr">
        <is>
          <t>Traverse support cable armoire 700 mm SCR</t>
        </is>
      </c>
      <c r="J143" t="inlineStr">
        <is>
          <t>BESSIERE</t>
        </is>
      </c>
      <c r="L143">
        <f>_xlfn.XLOOKUP(Tableau1[[#This Row],[TYPE DE PIECE]],Tableau4[MATIERE],Tableau4[SHORT TYPE],"",0,1)</f>
        <v/>
      </c>
      <c r="N143">
        <f>IF(ISERR(FIND("DECOUPE",Tableau1[[#This Row],[DESIGNATION]])),"","NEED REF")</f>
        <v/>
      </c>
    </row>
    <row r="144">
      <c r="B144" t="n">
        <v>34413858</v>
      </c>
      <c r="C144" s="2" t="n">
        <v>45744</v>
      </c>
      <c r="D144" t="inlineStr">
        <is>
          <t>SPEC</t>
        </is>
      </c>
      <c r="E144" t="inlineStr">
        <is>
          <t>Traverse support cable armoire 500 mm SCR</t>
        </is>
      </c>
      <c r="J144" t="inlineStr">
        <is>
          <t>BESSIERE</t>
        </is>
      </c>
      <c r="L144">
        <f>_xlfn.XLOOKUP(Tableau1[[#This Row],[TYPE DE PIECE]],Tableau4[MATIERE],Tableau4[SHORT TYPE],"",0,1)</f>
        <v/>
      </c>
      <c r="N144">
        <f>IF(ISERR(FIND("DECOUPE",Tableau1[[#This Row],[DESIGNATION]])),"","NEED REF")</f>
        <v/>
      </c>
    </row>
    <row r="145">
      <c r="B145" t="n">
        <v>34413857</v>
      </c>
      <c r="C145" s="2" t="n">
        <v>45743</v>
      </c>
      <c r="D145" t="inlineStr">
        <is>
          <t>SPEC</t>
        </is>
      </c>
      <c r="E145" t="inlineStr">
        <is>
          <t>SMT 34413857.GVX BBK - TRAVERSE SUPPORT CABLOFIL</t>
        </is>
      </c>
      <c r="F145" t="inlineStr">
        <is>
          <t>QSFE27720</t>
        </is>
      </c>
      <c r="G145" t="inlineStr">
        <is>
          <t>GVX</t>
        </is>
      </c>
      <c r="H145" t="inlineStr">
        <is>
          <t>BBC</t>
        </is>
      </c>
      <c r="I145" t="inlineStr">
        <is>
          <t>2*600A</t>
        </is>
      </c>
      <c r="J145" t="inlineStr">
        <is>
          <t>BESSIERE</t>
        </is>
      </c>
      <c r="K145" t="inlineStr">
        <is>
          <t>METAL</t>
        </is>
      </c>
      <c r="L145">
        <f>_xlfn.XLOOKUP(Tableau1[[#This Row],[TYPE DE PIECE]],Tableau4[MATIERE],Tableau4[SHORT TYPE],"",0,1)</f>
        <v/>
      </c>
      <c r="N145">
        <f>IF(ISERR(FIND("DECOUPE",Tableau1[[#This Row],[DESIGNATION]])),"","NEED REF")</f>
        <v/>
      </c>
    </row>
    <row r="146">
      <c r="B146" t="n">
        <v>34413856</v>
      </c>
      <c r="C146" s="2" t="n">
        <v>45743</v>
      </c>
      <c r="D146" t="inlineStr">
        <is>
          <t>SPEC</t>
        </is>
      </c>
      <c r="E146" t="inlineStr">
        <is>
          <t>SMT 34413856 GVX BBK - Plastron plein central 380mm</t>
        </is>
      </c>
      <c r="F146" t="inlineStr">
        <is>
          <t>QSFE27721</t>
        </is>
      </c>
      <c r="G146" t="inlineStr">
        <is>
          <t>GVX</t>
        </is>
      </c>
      <c r="H146" t="inlineStr">
        <is>
          <t>BBC</t>
        </is>
      </c>
      <c r="I146" t="inlineStr">
        <is>
          <t>2*600A</t>
        </is>
      </c>
      <c r="J146" t="inlineStr">
        <is>
          <t>BESSIERE</t>
        </is>
      </c>
      <c r="K146" t="inlineStr">
        <is>
          <t>METAL</t>
        </is>
      </c>
      <c r="L146">
        <f>_xlfn.XLOOKUP(Tableau1[[#This Row],[TYPE DE PIECE]],Tableau4[MATIERE],Tableau4[SHORT TYPE],"",0,1)</f>
        <v/>
      </c>
      <c r="N146">
        <f>IF(ISERR(FIND("DECOUPE",Tableau1[[#This Row],[DESIGNATION]])),"","NEED REF")</f>
        <v/>
      </c>
    </row>
    <row r="147">
      <c r="B147" t="n">
        <v>34413855</v>
      </c>
      <c r="C147" s="2" t="n">
        <v>45743</v>
      </c>
      <c r="D147" t="inlineStr">
        <is>
          <t>SPEC</t>
        </is>
      </c>
      <c r="E147" t="inlineStr">
        <is>
          <t>SMT 34413855 GVX BATTERY BBK - JOUE LAT IP20</t>
        </is>
      </c>
      <c r="F147" t="inlineStr">
        <is>
          <t>QSFE27722</t>
        </is>
      </c>
      <c r="G147" t="inlineStr">
        <is>
          <t>GVX</t>
        </is>
      </c>
      <c r="H147" t="inlineStr">
        <is>
          <t>BBC</t>
        </is>
      </c>
      <c r="I147" t="inlineStr">
        <is>
          <t>2*600A</t>
        </is>
      </c>
      <c r="J147" t="inlineStr">
        <is>
          <t>BESSIERE</t>
        </is>
      </c>
      <c r="K147" t="inlineStr">
        <is>
          <t>METAL</t>
        </is>
      </c>
      <c r="L147">
        <f>_xlfn.XLOOKUP(Tableau1[[#This Row],[TYPE DE PIECE]],Tableau4[MATIERE],Tableau4[SHORT TYPE],"",0,1)</f>
        <v/>
      </c>
      <c r="N147">
        <f>IF(ISERR(FIND("DECOUPE",Tableau1[[#This Row],[DESIGNATION]])),"","NEED REF")</f>
        <v/>
      </c>
    </row>
    <row r="148">
      <c r="B148" t="n">
        <v>34413854</v>
      </c>
      <c r="C148" s="2" t="n">
        <v>45743</v>
      </c>
      <c r="D148" t="inlineStr">
        <is>
          <t>SPEC</t>
        </is>
      </c>
      <c r="E148" t="inlineStr">
        <is>
          <t>SMT 34413854 GVX BBK - Plastron plein central BBK600</t>
        </is>
      </c>
      <c r="F148" t="inlineStr">
        <is>
          <t>QSFE27723</t>
        </is>
      </c>
      <c r="G148" t="inlineStr">
        <is>
          <t>GVX</t>
        </is>
      </c>
      <c r="H148" t="inlineStr">
        <is>
          <t>BBC</t>
        </is>
      </c>
      <c r="I148" t="inlineStr">
        <is>
          <t>2*600A</t>
        </is>
      </c>
      <c r="J148" t="inlineStr">
        <is>
          <t>BESSIERE</t>
        </is>
      </c>
      <c r="K148" t="inlineStr">
        <is>
          <t>METAL</t>
        </is>
      </c>
      <c r="L148">
        <f>_xlfn.XLOOKUP(Tableau1[[#This Row],[TYPE DE PIECE]],Tableau4[MATIERE],Tableau4[SHORT TYPE],"",0,1)</f>
        <v/>
      </c>
      <c r="N148">
        <f>IF(ISERR(FIND("DECOUPE",Tableau1[[#This Row],[DESIGNATION]])),"","NEED REF")</f>
        <v/>
      </c>
    </row>
    <row r="149">
      <c r="B149" t="n">
        <v>34413853</v>
      </c>
      <c r="C149" s="2" t="n">
        <v>45743</v>
      </c>
      <c r="D149" t="inlineStr">
        <is>
          <t>SPEC</t>
        </is>
      </c>
      <c r="E149" t="inlineStr">
        <is>
          <t>SMT 34413853 GVX BBK - Plastron disjoncteur BBX600</t>
        </is>
      </c>
      <c r="F149" t="inlineStr">
        <is>
          <t>QSFE27724</t>
        </is>
      </c>
      <c r="G149" t="inlineStr">
        <is>
          <t>GVX</t>
        </is>
      </c>
      <c r="H149" t="inlineStr">
        <is>
          <t>BBC</t>
        </is>
      </c>
      <c r="I149" t="inlineStr">
        <is>
          <t>2*600A</t>
        </is>
      </c>
      <c r="J149" t="inlineStr">
        <is>
          <t>BESSIERE</t>
        </is>
      </c>
      <c r="K149" t="inlineStr">
        <is>
          <t>METAL</t>
        </is>
      </c>
      <c r="L149">
        <f>_xlfn.XLOOKUP(Tableau1[[#This Row],[TYPE DE PIECE]],Tableau4[MATIERE],Tableau4[SHORT TYPE],"",0,1)</f>
        <v/>
      </c>
      <c r="N149">
        <f>IF(ISERR(FIND("DECOUPE",Tableau1[[#This Row],[DESIGNATION]])),"","NEED REF")</f>
        <v/>
      </c>
    </row>
    <row r="150">
      <c r="B150" t="n">
        <v>34413852</v>
      </c>
      <c r="C150" s="2" t="n">
        <v>45743</v>
      </c>
      <c r="D150" t="inlineStr">
        <is>
          <t>SPEC</t>
        </is>
      </c>
      <c r="E150" t="inlineStr">
        <is>
          <t>SMT 34413852 GVX BBK - Plastron haut/bas BBX600</t>
        </is>
      </c>
      <c r="F150" t="inlineStr">
        <is>
          <t>QSFE27725</t>
        </is>
      </c>
      <c r="G150" t="inlineStr">
        <is>
          <t>GVX</t>
        </is>
      </c>
      <c r="H150" t="inlineStr">
        <is>
          <t>BBC</t>
        </is>
      </c>
      <c r="I150" t="inlineStr">
        <is>
          <t>2*600A</t>
        </is>
      </c>
      <c r="J150" t="inlineStr">
        <is>
          <t>BESSIERE</t>
        </is>
      </c>
      <c r="K150" t="inlineStr">
        <is>
          <t>METAL</t>
        </is>
      </c>
      <c r="L150">
        <f>_xlfn.XLOOKUP(Tableau1[[#This Row],[TYPE DE PIECE]],Tableau4[MATIERE],Tableau4[SHORT TYPE],"",0,1)</f>
        <v/>
      </c>
      <c r="N150">
        <f>IF(ISERR(FIND("DECOUPE",Tableau1[[#This Row],[DESIGNATION]])),"","NEED REF")</f>
        <v/>
      </c>
    </row>
    <row r="151">
      <c r="B151" t="n">
        <v>34413851</v>
      </c>
      <c r="C151" s="2" t="n">
        <v>45743</v>
      </c>
      <c r="D151" t="inlineStr">
        <is>
          <t>SPEC</t>
        </is>
      </c>
      <c r="E151" t="inlineStr">
        <is>
          <t>PLA 34413851 GVXL UPS BUSBAR SHIM</t>
        </is>
      </c>
      <c r="F151" t="inlineStr">
        <is>
          <t>GVXL BOTTOM CONNEXION</t>
        </is>
      </c>
      <c r="G151" t="inlineStr">
        <is>
          <t>GVXL</t>
        </is>
      </c>
      <c r="H151" t="inlineStr">
        <is>
          <t>UPS</t>
        </is>
      </c>
      <c r="I151" t="inlineStr">
        <is>
          <t>1250kVA</t>
        </is>
      </c>
      <c r="J151" t="inlineStr">
        <is>
          <t>MATRION</t>
        </is>
      </c>
      <c r="K151" t="inlineStr">
        <is>
          <t>PLASTIQUE</t>
        </is>
      </c>
      <c r="L151">
        <f>_xlfn.XLOOKUP(Tableau1[[#This Row],[TYPE DE PIECE]],Tableau4[MATIERE],Tableau4[SHORT TYPE],"",0,1)</f>
        <v/>
      </c>
      <c r="N151">
        <f>IF(ISERR(FIND("DECOUPE",Tableau1[[#This Row],[DESIGNATION]])),"","NEED REF")</f>
        <v/>
      </c>
    </row>
    <row r="152">
      <c r="B152" t="n">
        <v>34413850</v>
      </c>
      <c r="C152" s="2" t="n">
        <v>45743</v>
      </c>
      <c r="D152" t="inlineStr">
        <is>
          <t>SPEC</t>
        </is>
      </c>
      <c r="E152" t="inlineStr">
        <is>
          <t>SMT 34413850 GVX BBK - Plastron plein 280mm</t>
        </is>
      </c>
      <c r="F152" t="inlineStr">
        <is>
          <t>QIRI41200</t>
        </is>
      </c>
      <c r="G152" t="inlineStr">
        <is>
          <t>GVX</t>
        </is>
      </c>
      <c r="H152" t="inlineStr">
        <is>
          <t>BBC</t>
        </is>
      </c>
      <c r="J152" t="inlineStr">
        <is>
          <t>BESSIERE</t>
        </is>
      </c>
      <c r="K152" t="inlineStr">
        <is>
          <t>METAL</t>
        </is>
      </c>
      <c r="L152">
        <f>_xlfn.XLOOKUP(Tableau1[[#This Row],[TYPE DE PIECE]],Tableau4[MATIERE],Tableau4[SHORT TYPE],"",0,1)</f>
        <v/>
      </c>
      <c r="N152">
        <f>IF(ISERR(FIND("DECOUPE",Tableau1[[#This Row],[DESIGNATION]])),"","NEED REF")</f>
        <v/>
      </c>
    </row>
    <row r="153">
      <c r="B153" t="n">
        <v>34413849</v>
      </c>
      <c r="C153" s="2" t="n">
        <v>45743</v>
      </c>
      <c r="D153" t="inlineStr">
        <is>
          <t>SPEC</t>
        </is>
      </c>
      <c r="E153" t="inlineStr">
        <is>
          <t>SMT 34413849 GVXL UPS BEAM</t>
        </is>
      </c>
      <c r="F153" t="inlineStr">
        <is>
          <t>GVXL BOTTOM CONNEXION</t>
        </is>
      </c>
      <c r="G153" t="inlineStr">
        <is>
          <t>GVXL</t>
        </is>
      </c>
      <c r="H153" t="inlineStr">
        <is>
          <t>UPS</t>
        </is>
      </c>
      <c r="I153" t="inlineStr">
        <is>
          <t>1250kVA</t>
        </is>
      </c>
      <c r="J153" t="inlineStr">
        <is>
          <t>MATRION</t>
        </is>
      </c>
      <c r="K153" t="inlineStr">
        <is>
          <t>METAL</t>
        </is>
      </c>
      <c r="L153">
        <f>_xlfn.XLOOKUP(Tableau1[[#This Row],[TYPE DE PIECE]],Tableau4[MATIERE],Tableau4[SHORT TYPE],"",0,1)</f>
        <v/>
      </c>
      <c r="N153">
        <f>IF(ISERR(FIND("DECOUPE",Tableau1[[#This Row],[DESIGNATION]])),"","NEED REF")</f>
        <v/>
      </c>
    </row>
    <row r="154">
      <c r="B154" t="n">
        <v>34413848</v>
      </c>
      <c r="C154" s="2" t="n">
        <v>45743</v>
      </c>
      <c r="D154" t="inlineStr">
        <is>
          <t>SPEC</t>
        </is>
      </c>
      <c r="E154" t="inlineStr">
        <is>
          <t>SMT 34413848 GVXL UPS SIDE SUPPORT</t>
        </is>
      </c>
      <c r="F154" t="inlineStr">
        <is>
          <t>GVXL BOTTOM CONNEXION</t>
        </is>
      </c>
      <c r="G154" t="inlineStr">
        <is>
          <t>GVXL</t>
        </is>
      </c>
      <c r="H154" t="inlineStr">
        <is>
          <t>UPS</t>
        </is>
      </c>
      <c r="I154" t="inlineStr">
        <is>
          <t>1250kVA</t>
        </is>
      </c>
      <c r="J154" t="inlineStr">
        <is>
          <t>MATRION</t>
        </is>
      </c>
      <c r="K154" t="inlineStr">
        <is>
          <t>METAL</t>
        </is>
      </c>
      <c r="L154">
        <f>_xlfn.XLOOKUP(Tableau1[[#This Row],[TYPE DE PIECE]],Tableau4[MATIERE],Tableau4[SHORT TYPE],"",0,1)</f>
        <v/>
      </c>
      <c r="N154">
        <f>IF(ISERR(FIND("DECOUPE",Tableau1[[#This Row],[DESIGNATION]])),"","NEED REF")</f>
        <v/>
      </c>
    </row>
    <row r="155">
      <c r="B155" t="n">
        <v>34413847</v>
      </c>
      <c r="C155" s="2" t="n">
        <v>45743</v>
      </c>
      <c r="D155" t="inlineStr">
        <is>
          <t>SPEC</t>
        </is>
      </c>
      <c r="E155" t="inlineStr">
        <is>
          <t>SMT SUPPORT CARDEW</t>
        </is>
      </c>
      <c r="F155" t="inlineStr">
        <is>
          <t>QTOX05051</t>
        </is>
      </c>
      <c r="G155" t="inlineStr">
        <is>
          <t>GVS</t>
        </is>
      </c>
      <c r="J155" t="inlineStr">
        <is>
          <t>BERNARDEAU</t>
        </is>
      </c>
      <c r="K155" t="inlineStr">
        <is>
          <t>METAL</t>
        </is>
      </c>
      <c r="L155">
        <f>_xlfn.XLOOKUP(Tableau1[[#This Row],[TYPE DE PIECE]],Tableau4[MATIERE],Tableau4[SHORT TYPE],"",0,1)</f>
        <v/>
      </c>
      <c r="N155">
        <f>IF(ISERR(FIND("DECOUPE",Tableau1[[#This Row],[DESIGNATION]])),"","NEED REF")</f>
        <v/>
      </c>
    </row>
    <row r="156">
      <c r="B156" t="n">
        <v>34413846</v>
      </c>
      <c r="C156" s="2" t="n">
        <v>45743</v>
      </c>
      <c r="D156" t="inlineStr">
        <is>
          <t>SPEC</t>
        </is>
      </c>
      <c r="E15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56" t="inlineStr">
        <is>
          <t>GVXL BOTTOM CONNEXION</t>
        </is>
      </c>
      <c r="G156" t="inlineStr">
        <is>
          <t>GVXL</t>
        </is>
      </c>
      <c r="H156" t="inlineStr">
        <is>
          <t>UPS</t>
        </is>
      </c>
      <c r="I156" t="inlineStr">
        <is>
          <t>1250kVA</t>
        </is>
      </c>
      <c r="J156" t="inlineStr">
        <is>
          <t>MATRION</t>
        </is>
      </c>
      <c r="K156" t="inlineStr">
        <is>
          <t>METAL</t>
        </is>
      </c>
      <c r="L156">
        <f>_xlfn.XLOOKUP(Tableau1[[#This Row],[TYPE DE PIECE]],Tableau4[MATIERE],Tableau4[SHORT TYPE],"",0,1)</f>
        <v/>
      </c>
      <c r="N156">
        <f>IF(ISERR(FIND("DECOUPE",Tableau1[[#This Row],[DESIGNATION]])),"","NEED REF")</f>
        <v/>
      </c>
    </row>
    <row r="157">
      <c r="B157" t="n">
        <v>34413845</v>
      </c>
      <c r="C157" s="2" t="n">
        <v>45742</v>
      </c>
      <c r="D157" t="inlineStr">
        <is>
          <t>SPEC</t>
        </is>
      </c>
      <c r="E15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57" t="inlineStr">
        <is>
          <t>QSFE27720</t>
        </is>
      </c>
      <c r="G157" t="inlineStr">
        <is>
          <t>GVX</t>
        </is>
      </c>
      <c r="H157" t="inlineStr">
        <is>
          <t>BBC</t>
        </is>
      </c>
      <c r="I157" t="inlineStr">
        <is>
          <t>2*630A</t>
        </is>
      </c>
      <c r="J157" t="inlineStr">
        <is>
          <t>BESSIERE</t>
        </is>
      </c>
      <c r="L157">
        <f>_xlfn.XLOOKUP(Tableau1[[#This Row],[TYPE DE PIECE]],Tableau4[MATIERE],Tableau4[SHORT TYPE],"",0,1)</f>
        <v/>
      </c>
      <c r="N157">
        <f>IF(ISERR(FIND("DECOUPE",Tableau1[[#This Row],[DESIGNATION]])),"","NEED REF")</f>
        <v/>
      </c>
    </row>
    <row r="158">
      <c r="B158" t="n">
        <v>34413844</v>
      </c>
      <c r="C158" s="2" t="n">
        <v>45742</v>
      </c>
      <c r="D158" t="inlineStr">
        <is>
          <t>SPEC</t>
        </is>
      </c>
      <c r="E15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58" t="inlineStr">
        <is>
          <t>QSFE27720</t>
        </is>
      </c>
      <c r="G158" t="inlineStr">
        <is>
          <t>GVX</t>
        </is>
      </c>
      <c r="H158" t="inlineStr">
        <is>
          <t>BBC</t>
        </is>
      </c>
      <c r="I158" t="inlineStr">
        <is>
          <t>2*630A</t>
        </is>
      </c>
      <c r="J158" t="inlineStr">
        <is>
          <t>BESSIERE</t>
        </is>
      </c>
      <c r="L158">
        <f>_xlfn.XLOOKUP(Tableau1[[#This Row],[TYPE DE PIECE]],Tableau4[MATIERE],Tableau4[SHORT TYPE],"",0,1)</f>
        <v/>
      </c>
      <c r="N158">
        <f>IF(ISERR(FIND("DECOUPE",Tableau1[[#This Row],[DESIGNATION]])),"","NEED REF")</f>
        <v/>
      </c>
    </row>
    <row r="159">
      <c r="B159" t="n">
        <v>34413843</v>
      </c>
      <c r="C159" s="2" t="n">
        <v>45742</v>
      </c>
      <c r="D159" t="inlineStr">
        <is>
          <t>SPEC</t>
        </is>
      </c>
      <c r="E15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59" t="inlineStr">
        <is>
          <t>QSFE27720</t>
        </is>
      </c>
      <c r="G159" t="inlineStr">
        <is>
          <t>GVX</t>
        </is>
      </c>
      <c r="H159" t="inlineStr">
        <is>
          <t>BBC</t>
        </is>
      </c>
      <c r="I159" t="inlineStr">
        <is>
          <t>2*630A</t>
        </is>
      </c>
      <c r="J159" t="inlineStr">
        <is>
          <t>BESSIERE</t>
        </is>
      </c>
      <c r="L159">
        <f>_xlfn.XLOOKUP(Tableau1[[#This Row],[TYPE DE PIECE]],Tableau4[MATIERE],Tableau4[SHORT TYPE],"",0,1)</f>
        <v/>
      </c>
      <c r="N159">
        <f>IF(ISERR(FIND("DECOUPE",Tableau1[[#This Row],[DESIGNATION]])),"","NEED REF")</f>
        <v/>
      </c>
    </row>
    <row r="160">
      <c r="B160" t="n">
        <v>34413842</v>
      </c>
      <c r="C160" s="2" t="n">
        <v>45742</v>
      </c>
      <c r="D160" t="inlineStr">
        <is>
          <t>SPEC</t>
        </is>
      </c>
      <c r="E16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60" t="inlineStr">
        <is>
          <t>QSFE27720</t>
        </is>
      </c>
      <c r="G160" t="inlineStr">
        <is>
          <t>GVX</t>
        </is>
      </c>
      <c r="H160" t="inlineStr">
        <is>
          <t>BBC</t>
        </is>
      </c>
      <c r="I160" t="inlineStr">
        <is>
          <t>2*630A</t>
        </is>
      </c>
      <c r="J160" t="inlineStr">
        <is>
          <t>BESSIERE</t>
        </is>
      </c>
      <c r="K160" t="inlineStr">
        <is>
          <t>METAL</t>
        </is>
      </c>
      <c r="L160">
        <f>_xlfn.XLOOKUP(Tableau1[[#This Row],[TYPE DE PIECE]],Tableau4[MATIERE],Tableau4[SHORT TYPE],"",0,1)</f>
        <v/>
      </c>
      <c r="N160">
        <f>IF(ISERR(FIND("DECOUPE",Tableau1[[#This Row],[DESIGNATION]])),"","NEED REF")</f>
        <v/>
      </c>
    </row>
    <row r="161">
      <c r="B161" t="n">
        <v>34413841</v>
      </c>
      <c r="C161" s="2" t="n">
        <v>45742</v>
      </c>
      <c r="D161" t="inlineStr">
        <is>
          <t>SPEC</t>
        </is>
      </c>
      <c r="E16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61" t="inlineStr">
        <is>
          <t>QSFE27720</t>
        </is>
      </c>
      <c r="G161" t="inlineStr">
        <is>
          <t>GVX</t>
        </is>
      </c>
      <c r="H161" t="inlineStr">
        <is>
          <t>BBC</t>
        </is>
      </c>
      <c r="I161" t="inlineStr">
        <is>
          <t>2*630A</t>
        </is>
      </c>
      <c r="J161" t="inlineStr">
        <is>
          <t>BESSIERE</t>
        </is>
      </c>
      <c r="K161" t="inlineStr">
        <is>
          <t>METAL</t>
        </is>
      </c>
      <c r="L161">
        <f>_xlfn.XLOOKUP(Tableau1[[#This Row],[TYPE DE PIECE]],Tableau4[MATIERE],Tableau4[SHORT TYPE],"",0,1)</f>
        <v/>
      </c>
      <c r="N161">
        <f>IF(ISERR(FIND("DECOUPE",Tableau1[[#This Row],[DESIGNATION]])),"","NEED REF")</f>
        <v/>
      </c>
    </row>
    <row r="162" ht="16.5" customHeight="1" s="142">
      <c r="B162" t="n">
        <v>34413840</v>
      </c>
      <c r="C162" s="2" t="n">
        <v>45742</v>
      </c>
      <c r="D162" t="inlineStr">
        <is>
          <t>SPEC</t>
        </is>
      </c>
      <c r="E16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62" t="inlineStr">
        <is>
          <t>QPAN01250</t>
        </is>
      </c>
      <c r="G162" t="inlineStr">
        <is>
          <t>GVXL</t>
        </is>
      </c>
      <c r="I162" t="inlineStr">
        <is>
          <t>1250kVA</t>
        </is>
      </c>
      <c r="J162" t="inlineStr">
        <is>
          <t>BESSIERE</t>
        </is>
      </c>
      <c r="K162" t="inlineStr">
        <is>
          <t>CUIVRE</t>
        </is>
      </c>
      <c r="L162">
        <f>_xlfn.XLOOKUP(Tableau1[[#This Row],[TYPE DE PIECE]],Tableau4[MATIERE],Tableau4[SHORT TYPE],"",0,1)</f>
        <v/>
      </c>
      <c r="N162">
        <f>IF(ISERR(FIND("DECOUPE",Tableau1[[#This Row],[DESIGNATION]])),"","NEED REF")</f>
        <v/>
      </c>
    </row>
    <row r="163">
      <c r="B163" t="n">
        <v>34413839</v>
      </c>
      <c r="C163" s="2" t="n">
        <v>45742</v>
      </c>
      <c r="D163" t="inlineStr">
        <is>
          <t>SPEC</t>
        </is>
      </c>
      <c r="E16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63" t="inlineStr">
        <is>
          <t>QPAN01250</t>
        </is>
      </c>
      <c r="G163" t="inlineStr">
        <is>
          <t>GVXL</t>
        </is>
      </c>
      <c r="I163" t="inlineStr">
        <is>
          <t>1250kVA</t>
        </is>
      </c>
      <c r="J163" t="inlineStr">
        <is>
          <t>BESSIERE</t>
        </is>
      </c>
      <c r="K163" t="inlineStr">
        <is>
          <t>CUIVRE</t>
        </is>
      </c>
      <c r="L163">
        <f>_xlfn.XLOOKUP(Tableau1[[#This Row],[TYPE DE PIECE]],Tableau4[MATIERE],Tableau4[SHORT TYPE],"",0,1)</f>
        <v/>
      </c>
      <c r="N163">
        <f>IF(ISERR(FIND("DECOUPE",Tableau1[[#This Row],[DESIGNATION]])),"","NEED REF")</f>
        <v/>
      </c>
    </row>
    <row r="164">
      <c r="B164" t="n">
        <v>34413838</v>
      </c>
      <c r="C164" s="2" t="n">
        <v>45742</v>
      </c>
      <c r="D164" t="inlineStr">
        <is>
          <t>SPEC</t>
        </is>
      </c>
      <c r="E164" t="inlineStr">
        <is>
          <t>SFN W70xD80 ALUMINIUM ROOF</t>
        </is>
      </c>
      <c r="F164" t="inlineStr">
        <is>
          <t>QIRI41200</t>
        </is>
      </c>
      <c r="G164" t="inlineStr">
        <is>
          <t>GVX</t>
        </is>
      </c>
      <c r="H164" t="inlineStr">
        <is>
          <t>BBK</t>
        </is>
      </c>
      <c r="I164" t="inlineStr">
        <is>
          <t>4*1200A</t>
        </is>
      </c>
      <c r="J164" t="inlineStr">
        <is>
          <t>BESSIERE</t>
        </is>
      </c>
      <c r="K164" t="inlineStr">
        <is>
          <t>ALU</t>
        </is>
      </c>
      <c r="L164">
        <f>_xlfn.XLOOKUP(Tableau1[[#This Row],[TYPE DE PIECE]],Tableau4[MATIERE],Tableau4[SHORT TYPE],"",0,1)</f>
        <v/>
      </c>
      <c r="N164">
        <f>IF(ISERR(FIND("DECOUPE",Tableau1[[#This Row],[DESIGNATION]])),"","NEED REF")</f>
        <v/>
      </c>
    </row>
    <row r="165">
      <c r="B165" t="n">
        <v>34413837</v>
      </c>
      <c r="C165" s="2" t="n">
        <v>45741</v>
      </c>
      <c r="D165" t="inlineStr">
        <is>
          <t>SPEC</t>
        </is>
      </c>
      <c r="E165" t="inlineStr">
        <is>
          <t>SFN SAREL STRUCTURE 2000*700*800 RAL9003 - ALU ROOF - offre FAF0006276</t>
        </is>
      </c>
      <c r="F165" t="inlineStr">
        <is>
          <t>QIRI41201</t>
        </is>
      </c>
      <c r="G165" t="inlineStr">
        <is>
          <t>GVX</t>
        </is>
      </c>
      <c r="H165" t="inlineStr">
        <is>
          <t>BBK</t>
        </is>
      </c>
      <c r="I165" t="inlineStr">
        <is>
          <t>4*1200A</t>
        </is>
      </c>
      <c r="J165" t="inlineStr">
        <is>
          <t>BESSIERE</t>
        </is>
      </c>
      <c r="L165">
        <f>_xlfn.XLOOKUP(Tableau1[[#This Row],[TYPE DE PIECE]],Tableau4[MATIERE],Tableau4[SHORT TYPE],"",0,1)</f>
        <v/>
      </c>
      <c r="N165">
        <f>IF(ISERR(FIND("DECOUPE",Tableau1[[#This Row],[DESIGNATION]])),"","NEED REF")</f>
        <v/>
      </c>
    </row>
    <row r="166">
      <c r="B166" t="n">
        <v>34413836</v>
      </c>
      <c r="C166" s="2" t="n">
        <v>45741</v>
      </c>
      <c r="D166" t="inlineStr">
        <is>
          <t>SPEC</t>
        </is>
      </c>
      <c r="E166" t="inlineStr">
        <is>
          <t>PLA PLASTRON MONITORING PLEIN</t>
        </is>
      </c>
      <c r="F166" t="inlineStr">
        <is>
          <t>QTOX05051</t>
        </is>
      </c>
      <c r="G166" t="inlineStr">
        <is>
          <t>GVS</t>
        </is>
      </c>
      <c r="J166" t="inlineStr">
        <is>
          <t>BERNARDEAU</t>
        </is>
      </c>
      <c r="K166" t="inlineStr">
        <is>
          <t>PLASTIQUE</t>
        </is>
      </c>
      <c r="L166">
        <f>_xlfn.XLOOKUP(Tableau1[[#This Row],[TYPE DE PIECE]],Tableau4[MATIERE],Tableau4[SHORT TYPE],"",0,1)</f>
        <v/>
      </c>
      <c r="N166">
        <f>IF(ISERR(FIND("DECOUPE",Tableau1[[#This Row],[DESIGNATION]])),"","NEED REF")</f>
        <v/>
      </c>
    </row>
    <row r="167">
      <c r="B167" t="n">
        <v>34413835</v>
      </c>
      <c r="C167" s="2" t="n">
        <v>45741</v>
      </c>
      <c r="D167" t="inlineStr">
        <is>
          <t>SPEC</t>
        </is>
      </c>
      <c r="E167" t="inlineStr">
        <is>
          <t>SMT 34413835 GVX BBK - Traverse passe cable</t>
        </is>
      </c>
      <c r="F167" t="inlineStr">
        <is>
          <t>QIRI41200</t>
        </is>
      </c>
      <c r="G167" t="inlineStr">
        <is>
          <t>GVX</t>
        </is>
      </c>
      <c r="H167" t="inlineStr">
        <is>
          <t>BBK</t>
        </is>
      </c>
      <c r="I167" t="inlineStr">
        <is>
          <t>4*1200A</t>
        </is>
      </c>
      <c r="J167" t="inlineStr">
        <is>
          <t>BESSIERE</t>
        </is>
      </c>
      <c r="K167" t="inlineStr">
        <is>
          <t>METAL</t>
        </is>
      </c>
      <c r="L167">
        <f>_xlfn.XLOOKUP(Tableau1[[#This Row],[TYPE DE PIECE]],Tableau4[MATIERE],Tableau4[SHORT TYPE],"",0,1)</f>
        <v/>
      </c>
      <c r="N167">
        <f>IF(ISERR(FIND("DECOUPE",Tableau1[[#This Row],[DESIGNATION]])),"","NEED REF")</f>
        <v/>
      </c>
    </row>
    <row r="168">
      <c r="B168" t="n">
        <v>34413834</v>
      </c>
      <c r="C168" s="2" t="n">
        <v>45741</v>
      </c>
      <c r="D168" t="inlineStr">
        <is>
          <t>SPEC</t>
        </is>
      </c>
      <c r="E168" t="inlineStr">
        <is>
          <t>SMT 34413834 GVX BBK - Traverse support cablofil</t>
        </is>
      </c>
      <c r="F168" t="inlineStr">
        <is>
          <t>QIRI41201</t>
        </is>
      </c>
      <c r="G168" t="inlineStr">
        <is>
          <t>GVX</t>
        </is>
      </c>
      <c r="H168" t="inlineStr">
        <is>
          <t>BBK</t>
        </is>
      </c>
      <c r="I168" t="inlineStr">
        <is>
          <t>4*1200A</t>
        </is>
      </c>
      <c r="J168" t="inlineStr">
        <is>
          <t>BESSIERE</t>
        </is>
      </c>
      <c r="K168" t="inlineStr">
        <is>
          <t>METAL</t>
        </is>
      </c>
      <c r="L168">
        <f>_xlfn.XLOOKUP(Tableau1[[#This Row],[TYPE DE PIECE]],Tableau4[MATIERE],Tableau4[SHORT TYPE],"",0,1)</f>
        <v/>
      </c>
      <c r="N168">
        <f>IF(ISERR(FIND("DECOUPE",Tableau1[[#This Row],[DESIGNATION]])),"","NEED REF")</f>
        <v/>
      </c>
    </row>
    <row r="169">
      <c r="B169" t="n">
        <v>34413833</v>
      </c>
      <c r="C169" s="2" t="n">
        <v>45741</v>
      </c>
      <c r="D169" t="inlineStr">
        <is>
          <t>SPEC</t>
        </is>
      </c>
      <c r="E169" t="inlineStr">
        <is>
          <t>SMT PLASTRON POWER DISTRIB</t>
        </is>
      </c>
      <c r="F169" t="inlineStr">
        <is>
          <t>QTOX05051</t>
        </is>
      </c>
      <c r="G169" t="inlineStr">
        <is>
          <t>GVS</t>
        </is>
      </c>
      <c r="J169" t="inlineStr">
        <is>
          <t>BERNARDEAU</t>
        </is>
      </c>
      <c r="K169" t="inlineStr">
        <is>
          <t>METAL</t>
        </is>
      </c>
      <c r="L169">
        <f>_xlfn.XLOOKUP(Tableau1[[#This Row],[TYPE DE PIECE]],Tableau4[MATIERE],Tableau4[SHORT TYPE],"",0,1)</f>
        <v/>
      </c>
      <c r="N169">
        <f>IF(ISERR(FIND("DECOUPE",Tableau1[[#This Row],[DESIGNATION]])),"","NEED REF")</f>
        <v/>
      </c>
    </row>
    <row r="170">
      <c r="B170" t="n">
        <v>34413832</v>
      </c>
      <c r="C170" s="2" t="n">
        <v>45741</v>
      </c>
      <c r="D170" t="inlineStr">
        <is>
          <t>SPEC</t>
        </is>
      </c>
      <c r="E170" t="inlineStr">
        <is>
          <t>SMT 34413832 GVX BBK - Plastron disjoncteurs 500mm - Bas</t>
        </is>
      </c>
      <c r="F170" t="inlineStr">
        <is>
          <t>QIRI41200</t>
        </is>
      </c>
      <c r="G170" t="inlineStr">
        <is>
          <t>GVX</t>
        </is>
      </c>
      <c r="H170" t="inlineStr">
        <is>
          <t>BBK</t>
        </is>
      </c>
      <c r="I170" t="inlineStr">
        <is>
          <t>4*1200A</t>
        </is>
      </c>
      <c r="J170" t="inlineStr">
        <is>
          <t>BESSIERE</t>
        </is>
      </c>
      <c r="K170" t="inlineStr">
        <is>
          <t>METAL</t>
        </is>
      </c>
      <c r="L170">
        <f>_xlfn.XLOOKUP(Tableau1[[#This Row],[TYPE DE PIECE]],Tableau4[MATIERE],Tableau4[SHORT TYPE],"",0,1)</f>
        <v/>
      </c>
      <c r="N170">
        <f>IF(ISERR(FIND("DECOUPE",Tableau1[[#This Row],[DESIGNATION]])),"","NEED REF")</f>
        <v/>
      </c>
    </row>
    <row r="171">
      <c r="B171" t="n">
        <v>34413831</v>
      </c>
      <c r="C171" s="2" t="n">
        <v>45740</v>
      </c>
      <c r="D171" t="inlineStr">
        <is>
          <t>SPEC</t>
        </is>
      </c>
      <c r="E171" t="inlineStr">
        <is>
          <t>SMT 34413831 GVX BBK - Plastron disjoncteurs 500mm - Haut</t>
        </is>
      </c>
      <c r="F171" t="inlineStr">
        <is>
          <t>QIRI41201</t>
        </is>
      </c>
      <c r="G171" t="inlineStr">
        <is>
          <t>GVX</t>
        </is>
      </c>
      <c r="H171" t="inlineStr">
        <is>
          <t>BBK</t>
        </is>
      </c>
      <c r="I171" t="inlineStr">
        <is>
          <t>4*1200A</t>
        </is>
      </c>
      <c r="J171" t="inlineStr">
        <is>
          <t>BESSIERE</t>
        </is>
      </c>
      <c r="K171" t="inlineStr">
        <is>
          <t>METAL</t>
        </is>
      </c>
      <c r="L171">
        <f>_xlfn.XLOOKUP(Tableau1[[#This Row],[TYPE DE PIECE]],Tableau4[MATIERE],Tableau4[SHORT TYPE],"",0,1)</f>
        <v/>
      </c>
      <c r="N171">
        <f>IF(ISERR(FIND("DECOUPE",Tableau1[[#This Row],[DESIGNATION]])),"","NEED REF")</f>
        <v/>
      </c>
    </row>
    <row r="172">
      <c r="B172" t="n">
        <v>34413830</v>
      </c>
      <c r="C172" s="2" t="n">
        <v>45740</v>
      </c>
      <c r="D172" t="inlineStr">
        <is>
          <t>SPEC</t>
        </is>
      </c>
      <c r="E17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72" t="inlineStr">
        <is>
          <t>GVXL BOTTOM CONNEXION</t>
        </is>
      </c>
      <c r="G172" t="inlineStr">
        <is>
          <t>GVXL</t>
        </is>
      </c>
      <c r="H172" t="inlineStr">
        <is>
          <t>UPS</t>
        </is>
      </c>
      <c r="I172" t="inlineStr">
        <is>
          <t>1250kVA</t>
        </is>
      </c>
      <c r="J172" t="inlineStr">
        <is>
          <t>MATRION</t>
        </is>
      </c>
      <c r="L172">
        <f>_xlfn.XLOOKUP(Tableau1[[#This Row],[TYPE DE PIECE]],Tableau4[MATIERE],Tableau4[SHORT TYPE],"",0,1)</f>
        <v/>
      </c>
      <c r="N172">
        <f>IF(ISERR(FIND("DECOUPE",Tableau1[[#This Row],[DESIGNATION]])),"","NEED REF")</f>
        <v/>
      </c>
    </row>
    <row r="173">
      <c r="B173" t="n">
        <v>34413829</v>
      </c>
      <c r="C173" s="2" t="n">
        <v>45740</v>
      </c>
      <c r="D173" t="inlineStr">
        <is>
          <t>SPEC</t>
        </is>
      </c>
      <c r="E17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73" t="inlineStr">
        <is>
          <t>GVXL BOTTOM CONNEXION</t>
        </is>
      </c>
      <c r="G173" t="inlineStr">
        <is>
          <t>GVXL</t>
        </is>
      </c>
      <c r="H173" t="inlineStr">
        <is>
          <t>UPS</t>
        </is>
      </c>
      <c r="I173" t="inlineStr">
        <is>
          <t>1250kVA</t>
        </is>
      </c>
      <c r="J173" t="inlineStr">
        <is>
          <t>MATRION</t>
        </is>
      </c>
      <c r="L173">
        <f>_xlfn.XLOOKUP(Tableau1[[#This Row],[TYPE DE PIECE]],Tableau4[MATIERE],Tableau4[SHORT TYPE],"",0,1)</f>
        <v/>
      </c>
      <c r="N173">
        <f>IF(ISERR(FIND("DECOUPE",Tableau1[[#This Row],[DESIGNATION]])),"","NEED REF")</f>
        <v/>
      </c>
    </row>
    <row r="174">
      <c r="B174" t="n">
        <v>34413828</v>
      </c>
      <c r="C174" s="2" t="n">
        <v>45740</v>
      </c>
      <c r="D174" t="inlineStr">
        <is>
          <t>SPEC</t>
        </is>
      </c>
      <c r="E17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74" t="inlineStr">
        <is>
          <t>GVXL BOTTOM CONNEXION</t>
        </is>
      </c>
      <c r="G174" t="inlineStr">
        <is>
          <t>GVXL</t>
        </is>
      </c>
      <c r="H174" t="inlineStr">
        <is>
          <t>UPS</t>
        </is>
      </c>
      <c r="I174" t="inlineStr">
        <is>
          <t>1250kVA</t>
        </is>
      </c>
      <c r="J174" t="inlineStr">
        <is>
          <t>MATRION</t>
        </is>
      </c>
      <c r="L174">
        <f>_xlfn.XLOOKUP(Tableau1[[#This Row],[TYPE DE PIECE]],Tableau4[MATIERE],Tableau4[SHORT TYPE],"",0,1)</f>
        <v/>
      </c>
      <c r="N174">
        <f>IF(ISERR(FIND("DECOUPE",Tableau1[[#This Row],[DESIGNATION]])),"","NEED REF")</f>
        <v/>
      </c>
    </row>
    <row r="175">
      <c r="B175" t="n">
        <v>34413827</v>
      </c>
      <c r="C175" s="2" t="n">
        <v>45740</v>
      </c>
      <c r="D175" t="inlineStr">
        <is>
          <t>SPEC</t>
        </is>
      </c>
      <c r="E17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75" t="inlineStr">
        <is>
          <t>GVXL BOTTOM CONNEXION</t>
        </is>
      </c>
      <c r="G175" t="inlineStr">
        <is>
          <t>GVXL</t>
        </is>
      </c>
      <c r="H175" t="inlineStr">
        <is>
          <t>UPS</t>
        </is>
      </c>
      <c r="I175" t="inlineStr">
        <is>
          <t>1250kVA</t>
        </is>
      </c>
      <c r="J175" t="inlineStr">
        <is>
          <t>MATRION</t>
        </is>
      </c>
      <c r="L175">
        <f>_xlfn.XLOOKUP(Tableau1[[#This Row],[TYPE DE PIECE]],Tableau4[MATIERE],Tableau4[SHORT TYPE],"",0,1)</f>
        <v/>
      </c>
      <c r="N175">
        <f>IF(ISERR(FIND("DECOUPE",Tableau1[[#This Row],[DESIGNATION]])),"","NEED REF")</f>
        <v/>
      </c>
    </row>
    <row r="176">
      <c r="B176" t="n">
        <v>34413826</v>
      </c>
      <c r="C176" s="2" t="n">
        <v>45740</v>
      </c>
      <c r="D176" t="inlineStr">
        <is>
          <t>SPEC</t>
        </is>
      </c>
      <c r="E17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76" t="inlineStr">
        <is>
          <t>GVXL BOTTOM CONNEXION</t>
        </is>
      </c>
      <c r="G176" t="inlineStr">
        <is>
          <t>GVXL</t>
        </is>
      </c>
      <c r="H176" t="inlineStr">
        <is>
          <t>UPS</t>
        </is>
      </c>
      <c r="I176" t="inlineStr">
        <is>
          <t>1250kVA</t>
        </is>
      </c>
      <c r="J176" t="inlineStr">
        <is>
          <t>MATRION</t>
        </is>
      </c>
      <c r="L176">
        <f>_xlfn.XLOOKUP(Tableau1[[#This Row],[TYPE DE PIECE]],Tableau4[MATIERE],Tableau4[SHORT TYPE],"",0,1)</f>
        <v/>
      </c>
      <c r="N176">
        <f>IF(ISERR(FIND("DECOUPE",Tableau1[[#This Row],[DESIGNATION]])),"","NEED REF")</f>
        <v/>
      </c>
    </row>
    <row r="177">
      <c r="B177" t="n">
        <v>34413825</v>
      </c>
      <c r="C177" s="2" t="n">
        <v>45740</v>
      </c>
      <c r="D177" t="inlineStr">
        <is>
          <t>SPEC</t>
        </is>
      </c>
      <c r="E17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77" t="inlineStr">
        <is>
          <t>GVXL BOTTOM CONNEXION</t>
        </is>
      </c>
      <c r="G177" t="inlineStr">
        <is>
          <t>GVXL</t>
        </is>
      </c>
      <c r="H177" t="inlineStr">
        <is>
          <t>UPS</t>
        </is>
      </c>
      <c r="I177" t="inlineStr">
        <is>
          <t>1250kVA</t>
        </is>
      </c>
      <c r="J177" t="inlineStr">
        <is>
          <t>MATRION</t>
        </is>
      </c>
      <c r="L177">
        <f>_xlfn.XLOOKUP(Tableau1[[#This Row],[TYPE DE PIECE]],Tableau4[MATIERE],Tableau4[SHORT TYPE],"",0,1)</f>
        <v/>
      </c>
      <c r="N177">
        <f>IF(ISERR(FIND("DECOUPE",Tableau1[[#This Row],[DESIGNATION]])),"","NEED REF")</f>
        <v/>
      </c>
    </row>
    <row r="178">
      <c r="B178" t="n">
        <v>34413824</v>
      </c>
      <c r="C178" s="2" t="n">
        <v>45740</v>
      </c>
      <c r="D178" t="inlineStr">
        <is>
          <t>SPEC</t>
        </is>
      </c>
      <c r="E17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78" t="inlineStr">
        <is>
          <t>GVXL BOTTOM CONNEXION</t>
        </is>
      </c>
      <c r="G178" t="inlineStr">
        <is>
          <t>GVXL</t>
        </is>
      </c>
      <c r="H178" t="inlineStr">
        <is>
          <t>UPS</t>
        </is>
      </c>
      <c r="I178" t="inlineStr">
        <is>
          <t>1250kVA</t>
        </is>
      </c>
      <c r="J178" t="inlineStr">
        <is>
          <t>MATRION</t>
        </is>
      </c>
      <c r="L178">
        <f>_xlfn.XLOOKUP(Tableau1[[#This Row],[TYPE DE PIECE]],Tableau4[MATIERE],Tableau4[SHORT TYPE],"",0,1)</f>
        <v/>
      </c>
      <c r="N178">
        <f>IF(ISERR(FIND("DECOUPE",Tableau1[[#This Row],[DESIGNATION]])),"","NEED REF")</f>
        <v/>
      </c>
    </row>
    <row r="179">
      <c r="B179" t="n">
        <v>34413823</v>
      </c>
      <c r="C179" s="2" t="n">
        <v>45740</v>
      </c>
      <c r="D179" t="inlineStr">
        <is>
          <t>SPEC</t>
        </is>
      </c>
      <c r="E17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79" t="inlineStr">
        <is>
          <t>GVXL BOTTOM CONNEXION</t>
        </is>
      </c>
      <c r="G179" t="inlineStr">
        <is>
          <t>GVXL</t>
        </is>
      </c>
      <c r="H179" t="inlineStr">
        <is>
          <t>UPS</t>
        </is>
      </c>
      <c r="I179" t="inlineStr">
        <is>
          <t>1250kVA</t>
        </is>
      </c>
      <c r="J179" t="inlineStr">
        <is>
          <t>MATRION</t>
        </is>
      </c>
      <c r="L179">
        <f>_xlfn.XLOOKUP(Tableau1[[#This Row],[TYPE DE PIECE]],Tableau4[MATIERE],Tableau4[SHORT TYPE],"",0,1)</f>
        <v/>
      </c>
      <c r="N179">
        <f>IF(ISERR(FIND("DECOUPE",Tableau1[[#This Row],[DESIGNATION]])),"","NEED REF")</f>
        <v/>
      </c>
    </row>
    <row r="180">
      <c r="B180" t="n">
        <v>34413822</v>
      </c>
      <c r="C180" s="2" t="n">
        <v>45740</v>
      </c>
      <c r="D180" t="inlineStr">
        <is>
          <t>SPEC</t>
        </is>
      </c>
      <c r="E18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80" t="inlineStr">
        <is>
          <t>GVXL BOTTOM CONNEXION</t>
        </is>
      </c>
      <c r="G180" t="inlineStr">
        <is>
          <t>GVXL</t>
        </is>
      </c>
      <c r="H180" t="inlineStr">
        <is>
          <t>UPS</t>
        </is>
      </c>
      <c r="I180" t="inlineStr">
        <is>
          <t>1250kVA</t>
        </is>
      </c>
      <c r="J180" t="inlineStr">
        <is>
          <t>MATRION</t>
        </is>
      </c>
      <c r="L180">
        <f>_xlfn.XLOOKUP(Tableau1[[#This Row],[TYPE DE PIECE]],Tableau4[MATIERE],Tableau4[SHORT TYPE],"",0,1)</f>
        <v/>
      </c>
      <c r="N180">
        <f>IF(ISERR(FIND("DECOUPE",Tableau1[[#This Row],[DESIGNATION]])),"","NEED REF")</f>
        <v/>
      </c>
    </row>
    <row r="181">
      <c r="B181" t="n">
        <v>34413821</v>
      </c>
      <c r="C181" s="2" t="n">
        <v>45740</v>
      </c>
      <c r="D181" t="inlineStr">
        <is>
          <t>SPEC</t>
        </is>
      </c>
      <c r="E181" t="inlineStr">
        <is>
          <t>COP 34413821 GVXL UPS 1500kVA</t>
        </is>
      </c>
      <c r="F181" t="inlineStr">
        <is>
          <t>GVXL BOTTOM CONNEXION</t>
        </is>
      </c>
      <c r="G181" t="inlineStr">
        <is>
          <t>GVXL</t>
        </is>
      </c>
      <c r="H181" t="inlineStr">
        <is>
          <t>UPS</t>
        </is>
      </c>
      <c r="I181" t="inlineStr">
        <is>
          <t>1250kVA</t>
        </is>
      </c>
      <c r="J181" t="inlineStr">
        <is>
          <t>MATRION</t>
        </is>
      </c>
      <c r="L181">
        <f>_xlfn.XLOOKUP(Tableau1[[#This Row],[TYPE DE PIECE]],Tableau4[MATIERE],Tableau4[SHORT TYPE],"",0,1)</f>
        <v/>
      </c>
      <c r="N181">
        <f>IF(ISERR(FIND("DECOUPE",Tableau1[[#This Row],[DESIGNATION]])),"","NEED REF")</f>
        <v/>
      </c>
    </row>
    <row r="182">
      <c r="B182" t="n">
        <v>34413820</v>
      </c>
      <c r="C182" s="2" t="n">
        <v>45740</v>
      </c>
      <c r="D182" t="inlineStr">
        <is>
          <t>SPEC</t>
        </is>
      </c>
      <c r="E182" t="inlineStr">
        <is>
          <t>PLA 34413820 GVXL UPS INSULATED MIDDLE BAR SUPPORT</t>
        </is>
      </c>
      <c r="F182" t="inlineStr">
        <is>
          <t>GVXL BOTTOM CONNEXION</t>
        </is>
      </c>
      <c r="G182" t="inlineStr">
        <is>
          <t>GVXL</t>
        </is>
      </c>
      <c r="H182" t="inlineStr">
        <is>
          <t>UPS</t>
        </is>
      </c>
      <c r="I182" t="inlineStr">
        <is>
          <t>1250kVA</t>
        </is>
      </c>
      <c r="J182" t="inlineStr">
        <is>
          <t>MATRION</t>
        </is>
      </c>
      <c r="K182" t="inlineStr">
        <is>
          <t>PLASTIQUE</t>
        </is>
      </c>
      <c r="L182">
        <f>_xlfn.XLOOKUP(Tableau1[[#This Row],[TYPE DE PIECE]],Tableau4[MATIERE],Tableau4[SHORT TYPE],"",0,1)</f>
        <v/>
      </c>
      <c r="N182">
        <f>IF(ISERR(FIND("DECOUPE",Tableau1[[#This Row],[DESIGNATION]])),"","NEED REF")</f>
        <v/>
      </c>
    </row>
    <row r="183">
      <c r="B183" t="n">
        <v>34413819</v>
      </c>
      <c r="C183" s="2" t="n">
        <v>45740</v>
      </c>
      <c r="D183" t="inlineStr">
        <is>
          <t>SPEC</t>
        </is>
      </c>
      <c r="E183" t="inlineStr">
        <is>
          <t>PLA 34413819 GVXL UPS 1500kVA</t>
        </is>
      </c>
      <c r="F183" t="inlineStr">
        <is>
          <t>GVXL BOTTOM CONNEXION</t>
        </is>
      </c>
      <c r="G183" t="inlineStr">
        <is>
          <t>GVXL</t>
        </is>
      </c>
      <c r="H183" t="inlineStr">
        <is>
          <t>UPS</t>
        </is>
      </c>
      <c r="I183" t="inlineStr">
        <is>
          <t>1250kVA</t>
        </is>
      </c>
      <c r="J183" t="inlineStr">
        <is>
          <t>MATRION</t>
        </is>
      </c>
      <c r="K183" t="inlineStr">
        <is>
          <t>PLASTIQUE</t>
        </is>
      </c>
      <c r="L183">
        <f>_xlfn.XLOOKUP(Tableau1[[#This Row],[TYPE DE PIECE]],Tableau4[MATIERE],Tableau4[SHORT TYPE],"",0,1)</f>
        <v/>
      </c>
      <c r="N183">
        <f>IF(ISERR(FIND("DECOUPE",Tableau1[[#This Row],[DESIGNATION]])),"","NEED REF")</f>
        <v/>
      </c>
    </row>
    <row r="184">
      <c r="B184" t="n">
        <v>34413818</v>
      </c>
      <c r="C184" s="2" t="n">
        <v>45740</v>
      </c>
      <c r="D184" t="inlineStr">
        <is>
          <t>SPEC</t>
        </is>
      </c>
      <c r="E184" t="inlineStr">
        <is>
          <t>COP 34413818 GVXL UPS BUSBAR NEUTRAL 4</t>
        </is>
      </c>
      <c r="F184" t="inlineStr">
        <is>
          <t>GVXL BOTTOM CONNEXION</t>
        </is>
      </c>
      <c r="G184" t="inlineStr">
        <is>
          <t>GVXL</t>
        </is>
      </c>
      <c r="H184" t="inlineStr">
        <is>
          <t>UPS</t>
        </is>
      </c>
      <c r="I184" t="inlineStr">
        <is>
          <t>1250kVA</t>
        </is>
      </c>
      <c r="J184" t="inlineStr">
        <is>
          <t>MATRION</t>
        </is>
      </c>
      <c r="K184" t="inlineStr">
        <is>
          <t>CUIVRE</t>
        </is>
      </c>
      <c r="L184">
        <f>_xlfn.XLOOKUP(Tableau1[[#This Row],[TYPE DE PIECE]],Tableau4[MATIERE],Tableau4[SHORT TYPE],"",0,1)</f>
        <v/>
      </c>
      <c r="N184">
        <f>IF(ISERR(FIND("DECOUPE",Tableau1[[#This Row],[DESIGNATION]])),"","NEED REF")</f>
        <v/>
      </c>
    </row>
    <row r="185">
      <c r="B185" t="n">
        <v>34413817</v>
      </c>
      <c r="C185" s="2" t="n">
        <v>45740</v>
      </c>
      <c r="D185" t="inlineStr">
        <is>
          <t>SPEC</t>
        </is>
      </c>
      <c r="E185" t="inlineStr">
        <is>
          <t>COP 34413817 GVXL UPS MAINS1 L1-L3 4</t>
        </is>
      </c>
      <c r="F185" t="inlineStr">
        <is>
          <t>GVXL BOTTOM CONNEXION</t>
        </is>
      </c>
      <c r="G185" t="inlineStr">
        <is>
          <t>GVXL</t>
        </is>
      </c>
      <c r="H185" t="inlineStr">
        <is>
          <t>UPS</t>
        </is>
      </c>
      <c r="I185" t="inlineStr">
        <is>
          <t>1250kVA</t>
        </is>
      </c>
      <c r="J185" t="inlineStr">
        <is>
          <t>MATRION</t>
        </is>
      </c>
      <c r="K185" t="inlineStr">
        <is>
          <t>CUIVRE</t>
        </is>
      </c>
      <c r="L185">
        <f>_xlfn.XLOOKUP(Tableau1[[#This Row],[TYPE DE PIECE]],Tableau4[MATIERE],Tableau4[SHORT TYPE],"",0,1)</f>
        <v/>
      </c>
      <c r="N185">
        <f>IF(ISERR(FIND("DECOUPE",Tableau1[[#This Row],[DESIGNATION]])),"","NEED REF")</f>
        <v/>
      </c>
    </row>
    <row r="186">
      <c r="B186" t="n">
        <v>34413816</v>
      </c>
      <c r="C186" s="2" t="n">
        <v>45740</v>
      </c>
      <c r="D186" t="inlineStr">
        <is>
          <t>SPEC</t>
        </is>
      </c>
      <c r="E186" t="inlineStr">
        <is>
          <t>COP 34413816 GVXL UPS OUTPUT L3 4</t>
        </is>
      </c>
      <c r="F186" t="inlineStr">
        <is>
          <t>GVXL BOTTOM CONNEXION</t>
        </is>
      </c>
      <c r="G186" t="inlineStr">
        <is>
          <t>GVXL</t>
        </is>
      </c>
      <c r="H186" t="inlineStr">
        <is>
          <t>UPS</t>
        </is>
      </c>
      <c r="I186" t="inlineStr">
        <is>
          <t>1250kVA</t>
        </is>
      </c>
      <c r="J186" t="inlineStr">
        <is>
          <t>MATRION</t>
        </is>
      </c>
      <c r="K186" t="inlineStr">
        <is>
          <t>CUIVRE</t>
        </is>
      </c>
      <c r="L186">
        <f>_xlfn.XLOOKUP(Tableau1[[#This Row],[TYPE DE PIECE]],Tableau4[MATIERE],Tableau4[SHORT TYPE],"",0,1)</f>
        <v/>
      </c>
      <c r="N186">
        <f>IF(ISERR(FIND("DECOUPE",Tableau1[[#This Row],[DESIGNATION]])),"","NEED REF")</f>
        <v/>
      </c>
    </row>
    <row r="187">
      <c r="B187" t="n">
        <v>34413815</v>
      </c>
      <c r="C187" s="2" t="n">
        <v>45740</v>
      </c>
      <c r="D187" t="inlineStr">
        <is>
          <t>SPEC</t>
        </is>
      </c>
      <c r="E187" t="inlineStr">
        <is>
          <t>COP 34413815 GVXL UPS OUTPUT L2 4</t>
        </is>
      </c>
      <c r="F187" t="inlineStr">
        <is>
          <t>GVXL BOTTOM CONNEXION</t>
        </is>
      </c>
      <c r="G187" t="inlineStr">
        <is>
          <t>GVXL</t>
        </is>
      </c>
      <c r="H187" t="inlineStr">
        <is>
          <t>UPS</t>
        </is>
      </c>
      <c r="I187" t="inlineStr">
        <is>
          <t>1250kVA</t>
        </is>
      </c>
      <c r="J187" t="inlineStr">
        <is>
          <t>MATRION</t>
        </is>
      </c>
      <c r="K187" t="inlineStr">
        <is>
          <t>CUIVRE</t>
        </is>
      </c>
      <c r="L187">
        <f>_xlfn.XLOOKUP(Tableau1[[#This Row],[TYPE DE PIECE]],Tableau4[MATIERE],Tableau4[SHORT TYPE],"",0,1)</f>
        <v/>
      </c>
      <c r="N187">
        <f>IF(ISERR(FIND("DECOUPE",Tableau1[[#This Row],[DESIGNATION]])),"","NEED REF")</f>
        <v/>
      </c>
    </row>
    <row r="188">
      <c r="B188" t="n">
        <v>34413814</v>
      </c>
      <c r="C188" s="2" t="n">
        <v>45740</v>
      </c>
      <c r="D188" t="inlineStr">
        <is>
          <t>SPEC</t>
        </is>
      </c>
      <c r="E188" t="inlineStr">
        <is>
          <t>COP 34413814 GVXL UPS OUTPUT L1 4</t>
        </is>
      </c>
      <c r="F188" t="inlineStr">
        <is>
          <t>GVXL BOTTOM CONNEXION</t>
        </is>
      </c>
      <c r="G188" t="inlineStr">
        <is>
          <t>GVXL</t>
        </is>
      </c>
      <c r="H188" t="inlineStr">
        <is>
          <t>UPS</t>
        </is>
      </c>
      <c r="I188" t="inlineStr">
        <is>
          <t>1250kVA</t>
        </is>
      </c>
      <c r="J188" t="inlineStr">
        <is>
          <t>MATRION</t>
        </is>
      </c>
      <c r="K188" t="inlineStr">
        <is>
          <t>CUIVRE</t>
        </is>
      </c>
      <c r="L188">
        <f>_xlfn.XLOOKUP(Tableau1[[#This Row],[TYPE DE PIECE]],Tableau4[MATIERE],Tableau4[SHORT TYPE],"",0,1)</f>
        <v/>
      </c>
      <c r="N188">
        <f>IF(ISERR(FIND("DECOUPE",Tableau1[[#This Row],[DESIGNATION]])),"","NEED REF")</f>
        <v/>
      </c>
    </row>
    <row r="189">
      <c r="B189" t="n">
        <v>34413813</v>
      </c>
      <c r="C189" s="2" t="n">
        <v>45740</v>
      </c>
      <c r="D189" t="inlineStr">
        <is>
          <t>SPEC</t>
        </is>
      </c>
      <c r="E189" t="inlineStr">
        <is>
          <t>COP 34413813 GVXL UPS MAINS2 L3 3</t>
        </is>
      </c>
      <c r="F189" t="inlineStr">
        <is>
          <t>GVXL BOTTOM CONNEXION</t>
        </is>
      </c>
      <c r="G189" t="inlineStr">
        <is>
          <t>GVXL</t>
        </is>
      </c>
      <c r="H189" t="inlineStr">
        <is>
          <t>UPS</t>
        </is>
      </c>
      <c r="I189" t="inlineStr">
        <is>
          <t>1250kVA</t>
        </is>
      </c>
      <c r="J189" t="inlineStr">
        <is>
          <t>MATRION</t>
        </is>
      </c>
      <c r="K189" t="inlineStr">
        <is>
          <t>CUIVRE</t>
        </is>
      </c>
      <c r="L189">
        <f>_xlfn.XLOOKUP(Tableau1[[#This Row],[TYPE DE PIECE]],Tableau4[MATIERE],Tableau4[SHORT TYPE],"",0,1)</f>
        <v/>
      </c>
      <c r="N189">
        <f>IF(ISERR(FIND("DECOUPE",Tableau1[[#This Row],[DESIGNATION]])),"","NEED REF")</f>
        <v/>
      </c>
    </row>
    <row r="190">
      <c r="B190" t="n">
        <v>34413812</v>
      </c>
      <c r="C190" s="2" t="n">
        <v>45740</v>
      </c>
      <c r="D190" t="inlineStr">
        <is>
          <t>SPEC</t>
        </is>
      </c>
      <c r="E190" t="inlineStr">
        <is>
          <t>COP 34413812 GVXL UPS MAINS2 L2 3</t>
        </is>
      </c>
      <c r="F190" t="inlineStr">
        <is>
          <t>GVXL BOTTOM CONNEXION</t>
        </is>
      </c>
      <c r="G190" t="inlineStr">
        <is>
          <t>GVXL</t>
        </is>
      </c>
      <c r="H190" t="inlineStr">
        <is>
          <t>UPS</t>
        </is>
      </c>
      <c r="I190" t="inlineStr">
        <is>
          <t>1250kVA</t>
        </is>
      </c>
      <c r="J190" t="inlineStr">
        <is>
          <t>MATRION</t>
        </is>
      </c>
      <c r="K190" t="inlineStr">
        <is>
          <t>CUIVRE</t>
        </is>
      </c>
      <c r="L190">
        <f>_xlfn.XLOOKUP(Tableau1[[#This Row],[TYPE DE PIECE]],Tableau4[MATIERE],Tableau4[SHORT TYPE],"",0,1)</f>
        <v/>
      </c>
      <c r="N190">
        <f>IF(ISERR(FIND("DECOUPE",Tableau1[[#This Row],[DESIGNATION]])),"","NEED REF")</f>
        <v/>
      </c>
    </row>
    <row r="191">
      <c r="B191" t="n">
        <v>34413811</v>
      </c>
      <c r="C191" s="2" t="n">
        <v>45740</v>
      </c>
      <c r="D191" t="inlineStr">
        <is>
          <t>SPEC</t>
        </is>
      </c>
      <c r="E191" t="inlineStr">
        <is>
          <t>COP 34413811 GVXL UPS MAINS2 L1 3</t>
        </is>
      </c>
      <c r="F191" t="inlineStr">
        <is>
          <t>GVXL BOTTOM CONNEXION</t>
        </is>
      </c>
      <c r="G191" t="inlineStr">
        <is>
          <t>GVXL</t>
        </is>
      </c>
      <c r="H191" t="inlineStr">
        <is>
          <t>UPS</t>
        </is>
      </c>
      <c r="I191" t="inlineStr">
        <is>
          <t>1250kVA</t>
        </is>
      </c>
      <c r="J191" t="inlineStr">
        <is>
          <t>MATRION</t>
        </is>
      </c>
      <c r="K191" t="inlineStr">
        <is>
          <t>CUIVRE</t>
        </is>
      </c>
      <c r="L191">
        <f>_xlfn.XLOOKUP(Tableau1[[#This Row],[TYPE DE PIECE]],Tableau4[MATIERE],Tableau4[SHORT TYPE],"",0,1)</f>
        <v/>
      </c>
      <c r="N191">
        <f>IF(ISERR(FIND("DECOUPE",Tableau1[[#This Row],[DESIGNATION]])),"","NEED REF")</f>
        <v/>
      </c>
    </row>
    <row r="192">
      <c r="B192" t="n">
        <v>34413810</v>
      </c>
      <c r="C192" s="2" t="n">
        <v>45740</v>
      </c>
      <c r="D192" t="inlineStr">
        <is>
          <t>SPEC</t>
        </is>
      </c>
      <c r="E192" t="inlineStr">
        <is>
          <t>COP 34413810 GVXL UPS MAINS1 L2 4</t>
        </is>
      </c>
      <c r="F192" t="inlineStr">
        <is>
          <t>GVXL BOTTOM CONNEXION</t>
        </is>
      </c>
      <c r="G192" t="inlineStr">
        <is>
          <t>GVXL</t>
        </is>
      </c>
      <c r="H192" t="inlineStr">
        <is>
          <t>UPS</t>
        </is>
      </c>
      <c r="I192" t="inlineStr">
        <is>
          <t>1250kVA</t>
        </is>
      </c>
      <c r="J192" t="inlineStr">
        <is>
          <t>MATRION</t>
        </is>
      </c>
      <c r="K192" t="inlineStr">
        <is>
          <t>CUIVRE</t>
        </is>
      </c>
      <c r="L192">
        <f>_xlfn.XLOOKUP(Tableau1[[#This Row],[TYPE DE PIECE]],Tableau4[MATIERE],Tableau4[SHORT TYPE],"",0,1)</f>
        <v/>
      </c>
      <c r="N192">
        <f>IF(ISERR(FIND("DECOUPE",Tableau1[[#This Row],[DESIGNATION]])),"","NEED REF")</f>
        <v/>
      </c>
    </row>
    <row r="193">
      <c r="B193" t="n">
        <v>34413809</v>
      </c>
      <c r="C193" s="2" t="n">
        <v>45740</v>
      </c>
      <c r="D193" t="inlineStr">
        <is>
          <t>SPEC</t>
        </is>
      </c>
      <c r="E19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93" t="inlineStr">
        <is>
          <t>GVXL BOTTOM CONNEXION</t>
        </is>
      </c>
      <c r="G193" t="inlineStr">
        <is>
          <t>GVXL</t>
        </is>
      </c>
      <c r="H193" t="inlineStr">
        <is>
          <t>UPS</t>
        </is>
      </c>
      <c r="I193" t="inlineStr">
        <is>
          <t>1250kVA</t>
        </is>
      </c>
      <c r="J193" t="inlineStr">
        <is>
          <t>MATRION</t>
        </is>
      </c>
      <c r="K193" t="inlineStr">
        <is>
          <t>CUIVRE</t>
        </is>
      </c>
      <c r="L193">
        <f>_xlfn.XLOOKUP(Tableau1[[#This Row],[TYPE DE PIECE]],Tableau4[MATIERE],Tableau4[SHORT TYPE],"",0,1)</f>
        <v/>
      </c>
      <c r="N193">
        <f>IF(ISERR(FIND("DECOUPE",Tableau1[[#This Row],[DESIGNATION]])),"","NEED REF")</f>
        <v/>
      </c>
    </row>
    <row r="194">
      <c r="B194" t="n">
        <v>34413808</v>
      </c>
      <c r="C194" s="2" t="n">
        <v>45740</v>
      </c>
      <c r="D194" t="inlineStr">
        <is>
          <t>SPEC</t>
        </is>
      </c>
      <c r="E19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94" t="inlineStr">
        <is>
          <t>GVXL BOTTOM CONNEXION</t>
        </is>
      </c>
      <c r="G194" t="inlineStr">
        <is>
          <t>GVXL</t>
        </is>
      </c>
      <c r="H194" t="inlineStr">
        <is>
          <t>UPS</t>
        </is>
      </c>
      <c r="I194" t="inlineStr">
        <is>
          <t>1250kVA</t>
        </is>
      </c>
      <c r="J194" t="inlineStr">
        <is>
          <t>MATRION</t>
        </is>
      </c>
      <c r="K194" t="inlineStr">
        <is>
          <t>CUIVRE</t>
        </is>
      </c>
      <c r="L194">
        <f>_xlfn.XLOOKUP(Tableau1[[#This Row],[TYPE DE PIECE]],Tableau4[MATIERE],Tableau4[SHORT TYPE],"",0,1)</f>
        <v/>
      </c>
      <c r="N194">
        <f>IF(ISERR(FIND("DECOUPE",Tableau1[[#This Row],[DESIGNATION]])),"","NEED REF")</f>
        <v/>
      </c>
    </row>
    <row r="195">
      <c r="B195" t="n">
        <v>34413807</v>
      </c>
      <c r="C195" s="2" t="n">
        <v>45740</v>
      </c>
      <c r="D195" t="inlineStr">
        <is>
          <t>SPEC</t>
        </is>
      </c>
      <c r="E19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95" t="inlineStr">
        <is>
          <t>GVXL BOTTOM CONNEXION</t>
        </is>
      </c>
      <c r="G195" t="inlineStr">
        <is>
          <t>GVXL</t>
        </is>
      </c>
      <c r="H195" t="inlineStr">
        <is>
          <t>UPS</t>
        </is>
      </c>
      <c r="I195" t="inlineStr">
        <is>
          <t>1250kVA</t>
        </is>
      </c>
      <c r="J195" t="inlineStr">
        <is>
          <t>MATRION</t>
        </is>
      </c>
      <c r="K195" t="inlineStr">
        <is>
          <t>CUIVRE</t>
        </is>
      </c>
      <c r="L195">
        <f>_xlfn.XLOOKUP(Tableau1[[#This Row],[TYPE DE PIECE]],Tableau4[MATIERE],Tableau4[SHORT TYPE],"",0,1)</f>
        <v/>
      </c>
      <c r="N195">
        <f>IF(ISERR(FIND("DECOUPE",Tableau1[[#This Row],[DESIGNATION]])),"","NEED REF")</f>
        <v/>
      </c>
    </row>
    <row r="196">
      <c r="B196" t="n">
        <v>34413806</v>
      </c>
      <c r="C196" s="2" t="n">
        <v>45740</v>
      </c>
      <c r="D196" t="inlineStr">
        <is>
          <t>SPEC</t>
        </is>
      </c>
      <c r="E196" t="inlineStr">
        <is>
          <t>COP 34413806 GVXL UPS LONG BATTERY TRANSVERSAL BAR</t>
        </is>
      </c>
      <c r="F196" t="inlineStr">
        <is>
          <t>GVXL BOTTOM CONNEXION</t>
        </is>
      </c>
      <c r="G196" t="inlineStr">
        <is>
          <t>GVXL</t>
        </is>
      </c>
      <c r="H196" t="inlineStr">
        <is>
          <t>UPS</t>
        </is>
      </c>
      <c r="I196" t="inlineStr">
        <is>
          <t>1250kVA</t>
        </is>
      </c>
      <c r="J196" t="inlineStr">
        <is>
          <t>MATRION</t>
        </is>
      </c>
      <c r="K196" t="inlineStr">
        <is>
          <t>CUIVRE</t>
        </is>
      </c>
      <c r="L196">
        <f>_xlfn.XLOOKUP(Tableau1[[#This Row],[TYPE DE PIECE]],Tableau4[MATIERE],Tableau4[SHORT TYPE],"",0,1)</f>
        <v/>
      </c>
      <c r="N196">
        <f>IF(ISERR(FIND("DECOUPE",Tableau1[[#This Row],[DESIGNATION]])),"","NEED REF")</f>
        <v/>
      </c>
    </row>
    <row r="197">
      <c r="B197" t="n">
        <v>34413805</v>
      </c>
      <c r="C197" s="2" t="n">
        <v>45740</v>
      </c>
      <c r="D197" t="inlineStr">
        <is>
          <t>SPEC</t>
        </is>
      </c>
      <c r="E197" t="inlineStr">
        <is>
          <t>COP 34413805 GVXL UPS LONG INPUT MAIN CONNECTION BAR</t>
        </is>
      </c>
      <c r="F197" t="inlineStr">
        <is>
          <t>GVXL BOTTOM CONNEXION</t>
        </is>
      </c>
      <c r="G197" t="inlineStr">
        <is>
          <t>GVXL</t>
        </is>
      </c>
      <c r="H197" t="inlineStr">
        <is>
          <t>UPS</t>
        </is>
      </c>
      <c r="I197" t="inlineStr">
        <is>
          <t>1250kVA</t>
        </is>
      </c>
      <c r="J197" t="inlineStr">
        <is>
          <t>MATRION</t>
        </is>
      </c>
      <c r="K197" t="inlineStr">
        <is>
          <t>CUIVRE</t>
        </is>
      </c>
      <c r="L197">
        <f>_xlfn.XLOOKUP(Tableau1[[#This Row],[TYPE DE PIECE]],Tableau4[MATIERE],Tableau4[SHORT TYPE],"",0,1)</f>
        <v/>
      </c>
      <c r="N197">
        <f>IF(ISERR(FIND("DECOUPE",Tableau1[[#This Row],[DESIGNATION]])),"","NEED REF")</f>
        <v/>
      </c>
    </row>
    <row r="198">
      <c r="B198" t="n">
        <v>34413804</v>
      </c>
      <c r="C198" s="2" t="n">
        <v>45740</v>
      </c>
      <c r="D198" t="inlineStr">
        <is>
          <t>SPEC</t>
        </is>
      </c>
      <c r="E198" t="inlineStr">
        <is>
          <t>COP 34413804 GVXL UPS SHORT INPUT MAIN CONNECTION BAR</t>
        </is>
      </c>
      <c r="F198" t="inlineStr">
        <is>
          <t>GVXL BOTTOM CONNEXION</t>
        </is>
      </c>
      <c r="G198" t="inlineStr">
        <is>
          <t>GVXL</t>
        </is>
      </c>
      <c r="H198" t="inlineStr">
        <is>
          <t>UPS</t>
        </is>
      </c>
      <c r="I198" t="inlineStr">
        <is>
          <t>1250kVA</t>
        </is>
      </c>
      <c r="J198" t="inlineStr">
        <is>
          <t>MATRION</t>
        </is>
      </c>
      <c r="K198" t="inlineStr">
        <is>
          <t>CUIVRE</t>
        </is>
      </c>
      <c r="L198">
        <f>_xlfn.XLOOKUP(Tableau1[[#This Row],[TYPE DE PIECE]],Tableau4[MATIERE],Tableau4[SHORT TYPE],"",0,1)</f>
        <v/>
      </c>
      <c r="N198">
        <f>IF(ISERR(FIND("DECOUPE",Tableau1[[#This Row],[DESIGNATION]])),"","NEED REF")</f>
        <v/>
      </c>
    </row>
    <row r="199">
      <c r="B199" t="n">
        <v>34413803</v>
      </c>
      <c r="C199" s="2" t="n">
        <v>45740</v>
      </c>
      <c r="D199" t="inlineStr">
        <is>
          <t>SPEC</t>
        </is>
      </c>
      <c r="E19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199" t="inlineStr">
        <is>
          <t>GVXL BOTTOM CONNEXION</t>
        </is>
      </c>
      <c r="G199" t="inlineStr">
        <is>
          <t>GVXL</t>
        </is>
      </c>
      <c r="H199" t="inlineStr">
        <is>
          <t>UPS</t>
        </is>
      </c>
      <c r="I199" t="inlineStr">
        <is>
          <t>1250kVA</t>
        </is>
      </c>
      <c r="J199" t="inlineStr">
        <is>
          <t>MATRION</t>
        </is>
      </c>
      <c r="K199" t="inlineStr">
        <is>
          <t>CUIVRE</t>
        </is>
      </c>
      <c r="L199">
        <f>_xlfn.XLOOKUP(Tableau1[[#This Row],[TYPE DE PIECE]],Tableau4[MATIERE],Tableau4[SHORT TYPE],"",0,1)</f>
        <v/>
      </c>
      <c r="N199">
        <f>IF(ISERR(FIND("DECOUPE",Tableau1[[#This Row],[DESIGNATION]])),"","NEED REF")</f>
        <v/>
      </c>
    </row>
    <row r="200">
      <c r="B200" t="n">
        <v>34413802</v>
      </c>
      <c r="C200" s="2" t="n">
        <v>45740</v>
      </c>
      <c r="D200" t="inlineStr">
        <is>
          <t>SPEC</t>
        </is>
      </c>
      <c r="E200" t="inlineStr">
        <is>
          <t>COP 34413802 GVXL UPS NEUTRAL CONNECTION BAR</t>
        </is>
      </c>
      <c r="F200" t="inlineStr">
        <is>
          <t>GVXL BOTTOM CONNEXION</t>
        </is>
      </c>
      <c r="G200" t="inlineStr">
        <is>
          <t>GVXL</t>
        </is>
      </c>
      <c r="H200" t="inlineStr">
        <is>
          <t>UPS</t>
        </is>
      </c>
      <c r="I200" t="inlineStr">
        <is>
          <t>1250kVA</t>
        </is>
      </c>
      <c r="J200" t="inlineStr">
        <is>
          <t>MATRION</t>
        </is>
      </c>
      <c r="K200" t="inlineStr">
        <is>
          <t>CUIVRE</t>
        </is>
      </c>
      <c r="L200">
        <f>_xlfn.XLOOKUP(Tableau1[[#This Row],[TYPE DE PIECE]],Tableau4[MATIERE],Tableau4[SHORT TYPE],"",0,1)</f>
        <v/>
      </c>
      <c r="N200">
        <f>IF(ISERR(FIND("DECOUPE",Tableau1[[#This Row],[DESIGNATION]])),"","NEED REF")</f>
        <v/>
      </c>
    </row>
    <row r="201">
      <c r="B201" t="n">
        <v>34413801</v>
      </c>
      <c r="C201" s="2" t="n">
        <v>45740</v>
      </c>
      <c r="D201" t="inlineStr">
        <is>
          <t>SPEC</t>
        </is>
      </c>
      <c r="E201" t="inlineStr">
        <is>
          <t>COP 34413801 GVXL UPS SHORT OUTPUT CONNECTION BAR</t>
        </is>
      </c>
      <c r="F201" t="inlineStr">
        <is>
          <t>GVXL BOTTOM CONNEXION</t>
        </is>
      </c>
      <c r="G201" t="inlineStr">
        <is>
          <t>GVXL</t>
        </is>
      </c>
      <c r="H201" t="inlineStr">
        <is>
          <t>UPS</t>
        </is>
      </c>
      <c r="I201" t="inlineStr">
        <is>
          <t>1250kVA</t>
        </is>
      </c>
      <c r="J201" t="inlineStr">
        <is>
          <t>MATRION</t>
        </is>
      </c>
      <c r="K201" t="inlineStr">
        <is>
          <t>CUIVRE</t>
        </is>
      </c>
      <c r="L201">
        <f>_xlfn.XLOOKUP(Tableau1[[#This Row],[TYPE DE PIECE]],Tableau4[MATIERE],Tableau4[SHORT TYPE],"",0,1)</f>
        <v/>
      </c>
      <c r="N201">
        <f>IF(ISERR(FIND("DECOUPE",Tableau1[[#This Row],[DESIGNATION]])),"","NEED REF")</f>
        <v/>
      </c>
    </row>
    <row r="202">
      <c r="B202" t="n">
        <v>34413800</v>
      </c>
      <c r="C202" s="2" t="n">
        <v>45740</v>
      </c>
      <c r="D202" t="inlineStr">
        <is>
          <t>SPEC</t>
        </is>
      </c>
      <c r="E20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02" t="inlineStr">
        <is>
          <t>GVXL BOTTOM CONNEXION</t>
        </is>
      </c>
      <c r="G202" t="inlineStr">
        <is>
          <t>GVXL</t>
        </is>
      </c>
      <c r="H202" t="inlineStr">
        <is>
          <t>UPS</t>
        </is>
      </c>
      <c r="I202" t="inlineStr">
        <is>
          <t>1250kVA</t>
        </is>
      </c>
      <c r="J202" t="inlineStr">
        <is>
          <t>MATRION</t>
        </is>
      </c>
      <c r="K202" t="inlineStr">
        <is>
          <t>CUIVRE</t>
        </is>
      </c>
      <c r="L202">
        <f>_xlfn.XLOOKUP(Tableau1[[#This Row],[TYPE DE PIECE]],Tableau4[MATIERE],Tableau4[SHORT TYPE],"",0,1)</f>
        <v/>
      </c>
      <c r="N202">
        <f>IF(ISERR(FIND("DECOUPE",Tableau1[[#This Row],[DESIGNATION]])),"","NEED REF")</f>
        <v/>
      </c>
    </row>
    <row r="203">
      <c r="B203" t="n">
        <v>34413799</v>
      </c>
      <c r="C203" s="2" t="n">
        <v>45740</v>
      </c>
      <c r="D203" t="inlineStr">
        <is>
          <t>SPEC</t>
        </is>
      </c>
      <c r="E20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03" t="inlineStr">
        <is>
          <t>GVXL BOTTOM CONNEXION</t>
        </is>
      </c>
      <c r="G203" t="inlineStr">
        <is>
          <t>GVXL</t>
        </is>
      </c>
      <c r="H203" t="inlineStr">
        <is>
          <t>UPS</t>
        </is>
      </c>
      <c r="I203" t="inlineStr">
        <is>
          <t>1250kVA</t>
        </is>
      </c>
      <c r="J203" t="inlineStr">
        <is>
          <t>MATRION</t>
        </is>
      </c>
      <c r="K203" t="inlineStr">
        <is>
          <t>CUIVRE</t>
        </is>
      </c>
      <c r="L203">
        <f>_xlfn.XLOOKUP(Tableau1[[#This Row],[TYPE DE PIECE]],Tableau4[MATIERE],Tableau4[SHORT TYPE],"",0,1)</f>
        <v/>
      </c>
      <c r="N203">
        <f>IF(ISERR(FIND("DECOUPE",Tableau1[[#This Row],[DESIGNATION]])),"","NEED REF")</f>
        <v/>
      </c>
    </row>
    <row r="204">
      <c r="B204" t="n">
        <v>34413798</v>
      </c>
      <c r="C204" s="2" t="n">
        <v>45740</v>
      </c>
      <c r="D204" t="inlineStr">
        <is>
          <t>SPEC</t>
        </is>
      </c>
      <c r="E204" t="inlineStr">
        <is>
          <t>COP 34413798 GVXL UPS LONG BYPASS CONNECTION BAR</t>
        </is>
      </c>
      <c r="F204" t="inlineStr">
        <is>
          <t>GVXL BOTTOM CONNEXION</t>
        </is>
      </c>
      <c r="G204" t="inlineStr">
        <is>
          <t>GVXL</t>
        </is>
      </c>
      <c r="H204" t="inlineStr">
        <is>
          <t>UPS</t>
        </is>
      </c>
      <c r="I204" t="inlineStr">
        <is>
          <t>1250kVA</t>
        </is>
      </c>
      <c r="J204" t="inlineStr">
        <is>
          <t>MATRION</t>
        </is>
      </c>
      <c r="K204" t="inlineStr">
        <is>
          <t>CUIVRE</t>
        </is>
      </c>
      <c r="L204">
        <f>_xlfn.XLOOKUP(Tableau1[[#This Row],[TYPE DE PIECE]],Tableau4[MATIERE],Tableau4[SHORT TYPE],"",0,1)</f>
        <v/>
      </c>
      <c r="N204">
        <f>IF(ISERR(FIND("DECOUPE",Tableau1[[#This Row],[DESIGNATION]])),"","NEED REF")</f>
        <v/>
      </c>
    </row>
    <row r="205">
      <c r="B205" t="n">
        <v>34413797</v>
      </c>
      <c r="C205" s="2" t="n">
        <v>45737</v>
      </c>
      <c r="D205" t="inlineStr">
        <is>
          <t>SPEC</t>
        </is>
      </c>
      <c r="E205" t="inlineStr">
        <is>
          <t>PLA PROTECTION CUIVRE</t>
        </is>
      </c>
      <c r="F205" t="inlineStr">
        <is>
          <t>QLBB88676</t>
        </is>
      </c>
      <c r="G205" t="inlineStr">
        <is>
          <t>bbb</t>
        </is>
      </c>
      <c r="J205" t="inlineStr">
        <is>
          <t>BERNARDEAU</t>
        </is>
      </c>
      <c r="K205" t="inlineStr">
        <is>
          <t>PLASTIQUE</t>
        </is>
      </c>
      <c r="L205">
        <f>_xlfn.XLOOKUP(Tableau1[[#This Row],[TYPE DE PIECE]],Tableau4[MATIERE],Tableau4[SHORT TYPE],"",0,1)</f>
        <v/>
      </c>
      <c r="N205">
        <f>IF(ISERR(FIND("DECOUPE",Tableau1[[#This Row],[DESIGNATION]])),"","NEED REF")</f>
        <v/>
      </c>
    </row>
    <row r="206">
      <c r="B206" t="n">
        <v>34413796</v>
      </c>
      <c r="C206" s="2" t="n">
        <v>45737</v>
      </c>
      <c r="D206" t="inlineStr">
        <is>
          <t>SPEC</t>
        </is>
      </c>
      <c r="E206" t="inlineStr">
        <is>
          <t>PLA PROTECTION CUIVRE</t>
        </is>
      </c>
      <c r="F206" t="inlineStr">
        <is>
          <t>QLBB88676</t>
        </is>
      </c>
      <c r="G206" t="inlineStr">
        <is>
          <t>bbb</t>
        </is>
      </c>
      <c r="J206" t="inlineStr">
        <is>
          <t>BERNARDEAU</t>
        </is>
      </c>
      <c r="K206" t="inlineStr">
        <is>
          <t>PLASTIQUE</t>
        </is>
      </c>
      <c r="L206">
        <f>_xlfn.XLOOKUP(Tableau1[[#This Row],[TYPE DE PIECE]],Tableau4[MATIERE],Tableau4[SHORT TYPE],"",0,1)</f>
        <v/>
      </c>
      <c r="N206">
        <f>IF(ISERR(FIND("DECOUPE",Tableau1[[#This Row],[DESIGNATION]])),"","NEED REF")</f>
        <v/>
      </c>
    </row>
    <row r="207">
      <c r="B207" t="n">
        <v>34413795</v>
      </c>
      <c r="C207" s="2" t="n">
        <v>45736</v>
      </c>
      <c r="D207" t="inlineStr">
        <is>
          <t>SPEC</t>
        </is>
      </c>
      <c r="E207" t="inlineStr">
        <is>
          <t>SMT 34413795 REAR REINFORCEMENT BEAM</t>
        </is>
      </c>
      <c r="F207" t="inlineStr">
        <is>
          <t>QIRI41200</t>
        </is>
      </c>
      <c r="G207" t="inlineStr">
        <is>
          <t>GVX</t>
        </is>
      </c>
      <c r="H207" t="inlineStr">
        <is>
          <t>BBK</t>
        </is>
      </c>
      <c r="I207" t="inlineStr">
        <is>
          <t>4*1200A</t>
        </is>
      </c>
      <c r="J207" t="inlineStr">
        <is>
          <t>BESSIERE</t>
        </is>
      </c>
      <c r="K207" t="inlineStr">
        <is>
          <t>METAL</t>
        </is>
      </c>
      <c r="L207">
        <f>_xlfn.XLOOKUP(Tableau1[[#This Row],[TYPE DE PIECE]],Tableau4[MATIERE],Tableau4[SHORT TYPE],"",0,1)</f>
        <v/>
      </c>
      <c r="N207">
        <f>IF(ISERR(FIND("DECOUPE",Tableau1[[#This Row],[DESIGNATION]])),"","NEED REF")</f>
        <v/>
      </c>
    </row>
    <row r="208">
      <c r="B208" t="n">
        <v>34413794</v>
      </c>
      <c r="C208" s="2" t="n">
        <v>45735</v>
      </c>
      <c r="D208" t="inlineStr">
        <is>
          <t>SPEC</t>
        </is>
      </c>
      <c r="E20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08" t="inlineStr">
        <is>
          <t>IQ</t>
        </is>
      </c>
      <c r="H208" t="inlineStr">
        <is>
          <t>ISOLATION BANKLOAD</t>
        </is>
      </c>
      <c r="J208" t="inlineStr">
        <is>
          <t>MATRION</t>
        </is>
      </c>
      <c r="K208" t="inlineStr">
        <is>
          <t>CUIVRE</t>
        </is>
      </c>
      <c r="L208">
        <f>_xlfn.XLOOKUP(Tableau1[[#This Row],[TYPE DE PIECE]],Tableau4[MATIERE],Tableau4[SHORT TYPE],"",0,1)</f>
        <v/>
      </c>
      <c r="N208">
        <f>IF(ISERR(FIND("DECOUPE",Tableau1[[#This Row],[DESIGNATION]])),"","NEED REF")</f>
        <v/>
      </c>
    </row>
    <row r="209">
      <c r="B209" t="n">
        <v>34413793</v>
      </c>
      <c r="C209" s="2" t="n">
        <v>45734</v>
      </c>
      <c r="D209" t="inlineStr">
        <is>
          <t>SPEC</t>
        </is>
      </c>
      <c r="E209" t="inlineStr">
        <is>
          <t>SMT 34413793 TRANSVERSAL BBK SUPPORT BEAM</t>
        </is>
      </c>
      <c r="F209" t="inlineStr">
        <is>
          <t>QIRI41200</t>
        </is>
      </c>
      <c r="G209" t="inlineStr">
        <is>
          <t>GVX</t>
        </is>
      </c>
      <c r="H209" t="inlineStr">
        <is>
          <t>BBK</t>
        </is>
      </c>
      <c r="I209" t="inlineStr">
        <is>
          <t>4*1200A</t>
        </is>
      </c>
      <c r="J209" t="inlineStr">
        <is>
          <t>BESSIERE</t>
        </is>
      </c>
      <c r="K209" t="inlineStr">
        <is>
          <t>METAL</t>
        </is>
      </c>
      <c r="L209">
        <f>_xlfn.XLOOKUP(Tableau1[[#This Row],[TYPE DE PIECE]],Tableau4[MATIERE],Tableau4[SHORT TYPE],"",0,1)</f>
        <v/>
      </c>
      <c r="N209">
        <f>IF(ISERR(FIND("DECOUPE",Tableau1[[#This Row],[DESIGNATION]])),"","NEED REF")</f>
        <v/>
      </c>
    </row>
    <row r="210">
      <c r="B210" t="n">
        <v>34413792</v>
      </c>
      <c r="C210" s="2" t="n">
        <v>45734</v>
      </c>
      <c r="D210" t="inlineStr">
        <is>
          <t>SPEC</t>
        </is>
      </c>
      <c r="E210" t="inlineStr">
        <is>
          <t>SMT 34413792 VERTICAL BEAM</t>
        </is>
      </c>
      <c r="F210" t="inlineStr">
        <is>
          <t>QIRI41200</t>
        </is>
      </c>
      <c r="G210" t="inlineStr">
        <is>
          <t>GVX</t>
        </is>
      </c>
      <c r="H210" t="inlineStr">
        <is>
          <t>BBK</t>
        </is>
      </c>
      <c r="I210" t="inlineStr">
        <is>
          <t>4*1200A</t>
        </is>
      </c>
      <c r="J210" t="inlineStr">
        <is>
          <t>BESSIERE</t>
        </is>
      </c>
      <c r="K210" t="inlineStr">
        <is>
          <t>METAL</t>
        </is>
      </c>
      <c r="L210">
        <f>_xlfn.XLOOKUP(Tableau1[[#This Row],[TYPE DE PIECE]],Tableau4[MATIERE],Tableau4[SHORT TYPE],"",0,1)</f>
        <v/>
      </c>
      <c r="N210">
        <f>IF(ISERR(FIND("DECOUPE",Tableau1[[#This Row],[DESIGNATION]])),"","NEED REF")</f>
        <v/>
      </c>
    </row>
    <row r="211">
      <c r="B211" t="n">
        <v>34413791</v>
      </c>
      <c r="C211" s="2" t="n">
        <v>45734</v>
      </c>
      <c r="D211" t="inlineStr">
        <is>
          <t>SPEC</t>
        </is>
      </c>
      <c r="E211" t="inlineStr">
        <is>
          <t>PLA PLASTRON MONITORING PLEIN</t>
        </is>
      </c>
      <c r="F211" t="inlineStr">
        <is>
          <t>QSMA82947</t>
        </is>
      </c>
      <c r="G211" t="inlineStr">
        <is>
          <t>GVS</t>
        </is>
      </c>
      <c r="H211" t="inlineStr">
        <is>
          <t>BYPASS</t>
        </is>
      </c>
      <c r="J211" t="inlineStr">
        <is>
          <t>BERNARDEAU</t>
        </is>
      </c>
      <c r="K211" t="inlineStr">
        <is>
          <t>PLASTIQUE</t>
        </is>
      </c>
      <c r="L211">
        <f>_xlfn.XLOOKUP(Tableau1[[#This Row],[TYPE DE PIECE]],Tableau4[MATIERE],Tableau4[SHORT TYPE],"",0,1)</f>
        <v/>
      </c>
      <c r="N211">
        <f>IF(ISERR(FIND("DECOUPE",Tableau1[[#This Row],[DESIGNATION]])),"","NEED REF")</f>
        <v/>
      </c>
    </row>
    <row r="212">
      <c r="B212" t="n">
        <v>34413790</v>
      </c>
      <c r="C212" s="2" t="n">
        <v>45734</v>
      </c>
      <c r="D212" t="inlineStr">
        <is>
          <t>SPEC</t>
        </is>
      </c>
      <c r="E212" t="inlineStr">
        <is>
          <t>LEFT UPS AC OUTPUT L1 HORIZONTAL BAR CONFIG SINGLE MAIN</t>
        </is>
      </c>
      <c r="J212" t="inlineStr">
        <is>
          <t>BESSIERE</t>
        </is>
      </c>
      <c r="L212">
        <f>_xlfn.XLOOKUP(Tableau1[[#This Row],[TYPE DE PIECE]],Tableau4[MATIERE],Tableau4[SHORT TYPE],"",0,1)</f>
        <v/>
      </c>
      <c r="N212">
        <f>IF(ISERR(FIND("DECOUPE",Tableau1[[#This Row],[DESIGNATION]])),"","NEED REF")</f>
        <v/>
      </c>
    </row>
    <row r="213">
      <c r="B213" t="n">
        <v>34413789</v>
      </c>
      <c r="C213" s="2" t="n">
        <v>45734</v>
      </c>
      <c r="D213" t="inlineStr">
        <is>
          <t>SPEC</t>
        </is>
      </c>
      <c r="E213" t="inlineStr">
        <is>
          <t>LEFT UPS AC OUTPUT L2 HORIZONTAL BAR CONFIG SINGLE MAIN</t>
        </is>
      </c>
      <c r="J213" t="inlineStr">
        <is>
          <t>BESSIERE</t>
        </is>
      </c>
      <c r="L213">
        <f>_xlfn.XLOOKUP(Tableau1[[#This Row],[TYPE DE PIECE]],Tableau4[MATIERE],Tableau4[SHORT TYPE],"",0,1)</f>
        <v/>
      </c>
      <c r="N213">
        <f>IF(ISERR(FIND("DECOUPE",Tableau1[[#This Row],[DESIGNATION]])),"","NEED REF")</f>
        <v/>
      </c>
    </row>
    <row r="214">
      <c r="B214" t="n">
        <v>34413788</v>
      </c>
      <c r="C214" s="2" t="n">
        <v>45734</v>
      </c>
      <c r="D214" t="inlineStr">
        <is>
          <t>SPEC</t>
        </is>
      </c>
      <c r="E214" t="inlineStr">
        <is>
          <t>LEFT UPS AC OUTPUT L3 HORIZONTAL BAR CONFIG SINGLE MAIN</t>
        </is>
      </c>
      <c r="J214" t="inlineStr">
        <is>
          <t>BESSIERE</t>
        </is>
      </c>
      <c r="L214">
        <f>_xlfn.XLOOKUP(Tableau1[[#This Row],[TYPE DE PIECE]],Tableau4[MATIERE],Tableau4[SHORT TYPE],"",0,1)</f>
        <v/>
      </c>
      <c r="N214">
        <f>IF(ISERR(FIND("DECOUPE",Tableau1[[#This Row],[DESIGNATION]])),"","NEED REF")</f>
        <v/>
      </c>
    </row>
    <row r="215">
      <c r="B215" t="n">
        <v>34413787</v>
      </c>
      <c r="C215" s="2" t="n">
        <v>45734</v>
      </c>
      <c r="D215" t="inlineStr">
        <is>
          <t>SPEC</t>
        </is>
      </c>
      <c r="E215" t="inlineStr">
        <is>
          <t>LEFT UPS AC NEUTRAL HORIZONTAL BAR CONFIG SINGLE MAIN</t>
        </is>
      </c>
      <c r="J215" t="inlineStr">
        <is>
          <t>BESSIERE</t>
        </is>
      </c>
      <c r="L215">
        <f>_xlfn.XLOOKUP(Tableau1[[#This Row],[TYPE DE PIECE]],Tableau4[MATIERE],Tableau4[SHORT TYPE],"",0,1)</f>
        <v/>
      </c>
      <c r="N215">
        <f>IF(ISERR(FIND("DECOUPE",Tableau1[[#This Row],[DESIGNATION]])),"","NEED REF")</f>
        <v/>
      </c>
    </row>
    <row r="216">
      <c r="B216" t="n">
        <v>34413786</v>
      </c>
      <c r="C216" s="2" t="n">
        <v>45734</v>
      </c>
      <c r="D216" t="inlineStr">
        <is>
          <t>SPEC</t>
        </is>
      </c>
      <c r="E216" t="inlineStr">
        <is>
          <t>LEFT UPS AC INPUT L3 HORIZONTAL BAR CONFIG SINGLE MAIN</t>
        </is>
      </c>
      <c r="J216" t="inlineStr">
        <is>
          <t>BESSIERE</t>
        </is>
      </c>
      <c r="L216">
        <f>_xlfn.XLOOKUP(Tableau1[[#This Row],[TYPE DE PIECE]],Tableau4[MATIERE],Tableau4[SHORT TYPE],"",0,1)</f>
        <v/>
      </c>
      <c r="N216">
        <f>IF(ISERR(FIND("DECOUPE",Tableau1[[#This Row],[DESIGNATION]])),"","NEED REF")</f>
        <v/>
      </c>
    </row>
    <row r="217">
      <c r="B217" t="n">
        <v>34413785</v>
      </c>
      <c r="C217" s="2" t="n">
        <v>45734</v>
      </c>
      <c r="D217" t="inlineStr">
        <is>
          <t>SPEC</t>
        </is>
      </c>
      <c r="E217" t="inlineStr">
        <is>
          <t>LEFT UPS AC INPUT L2 HORIZONTAL BAR CONFIG SINGLE MAIN</t>
        </is>
      </c>
      <c r="J217" t="inlineStr">
        <is>
          <t>BESSIERE</t>
        </is>
      </c>
      <c r="L217">
        <f>_xlfn.XLOOKUP(Tableau1[[#This Row],[TYPE DE PIECE]],Tableau4[MATIERE],Tableau4[SHORT TYPE],"",0,1)</f>
        <v/>
      </c>
      <c r="N217">
        <f>IF(ISERR(FIND("DECOUPE",Tableau1[[#This Row],[DESIGNATION]])),"","NEED REF")</f>
        <v/>
      </c>
    </row>
    <row r="218">
      <c r="B218" t="n">
        <v>34413784</v>
      </c>
      <c r="C218" s="2" t="n">
        <v>45734</v>
      </c>
      <c r="D218" t="inlineStr">
        <is>
          <t>SPEC</t>
        </is>
      </c>
      <c r="E218" t="inlineStr">
        <is>
          <t>LEFT UPS AC INPUT L1 HORIZONTAL BAR CONFIG SINGLE MAIN</t>
        </is>
      </c>
      <c r="J218" t="inlineStr">
        <is>
          <t>BESSIERE</t>
        </is>
      </c>
      <c r="L218">
        <f>_xlfn.XLOOKUP(Tableau1[[#This Row],[TYPE DE PIECE]],Tableau4[MATIERE],Tableau4[SHORT TYPE],"",0,1)</f>
        <v/>
      </c>
      <c r="N218">
        <f>IF(ISERR(FIND("DECOUPE",Tableau1[[#This Row],[DESIGNATION]])),"","NEED REF")</f>
        <v/>
      </c>
    </row>
    <row r="219">
      <c r="B219" t="n">
        <v>34413783</v>
      </c>
      <c r="C219" s="2" t="n">
        <v>45734</v>
      </c>
      <c r="D219" t="inlineStr">
        <is>
          <t>SPEC</t>
        </is>
      </c>
      <c r="E21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19" t="inlineStr">
        <is>
          <t>BESSIERE</t>
        </is>
      </c>
      <c r="L219">
        <f>_xlfn.XLOOKUP(Tableau1[[#This Row],[TYPE DE PIECE]],Tableau4[MATIERE],Tableau4[SHORT TYPE],"",0,1)</f>
        <v/>
      </c>
      <c r="N219">
        <f>IF(ISERR(FIND("DECOUPE",Tableau1[[#This Row],[DESIGNATION]])),"","NEED REF")</f>
        <v/>
      </c>
    </row>
    <row r="220">
      <c r="B220" t="n">
        <v>34413782</v>
      </c>
      <c r="C220" s="2" t="n">
        <v>45734</v>
      </c>
      <c r="D220" t="inlineStr">
        <is>
          <t>SPEC</t>
        </is>
      </c>
      <c r="E220" t="inlineStr">
        <is>
          <t>SFN SAREL STRUCTURE 2000*700*1000 RAL9023 - Offre FAF0006230</t>
        </is>
      </c>
      <c r="J220" t="inlineStr">
        <is>
          <t>BESSIERE</t>
        </is>
      </c>
      <c r="L220">
        <f>_xlfn.XLOOKUP(Tableau1[[#This Row],[TYPE DE PIECE]],Tableau4[MATIERE],Tableau4[SHORT TYPE],"",0,1)</f>
        <v/>
      </c>
      <c r="N220">
        <f>IF(ISERR(FIND("DECOUPE",Tableau1[[#This Row],[DESIGNATION]])),"","NEED REF")</f>
        <v/>
      </c>
    </row>
    <row r="221">
      <c r="B221" t="n">
        <v>34413781</v>
      </c>
      <c r="C221" s="2" t="n">
        <v>45733</v>
      </c>
      <c r="D221" t="inlineStr">
        <is>
          <t>SPEC</t>
        </is>
      </c>
      <c r="E22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21" t="inlineStr">
        <is>
          <t>BESSIERE</t>
        </is>
      </c>
      <c r="L221">
        <f>_xlfn.XLOOKUP(Tableau1[[#This Row],[TYPE DE PIECE]],Tableau4[MATIERE],Tableau4[SHORT TYPE],"",0,1)</f>
        <v/>
      </c>
      <c r="N221">
        <f>IF(ISERR(FIND("DECOUPE",Tableau1[[#This Row],[DESIGNATION]])),"","NEED REF")</f>
        <v/>
      </c>
    </row>
    <row r="222">
      <c r="B222" t="n">
        <v>34413780</v>
      </c>
      <c r="C222" s="2" t="n">
        <v>45733</v>
      </c>
      <c r="D222" t="inlineStr">
        <is>
          <t>SPEC</t>
        </is>
      </c>
      <c r="E22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22" t="inlineStr">
        <is>
          <t>BESSIERE</t>
        </is>
      </c>
      <c r="L222">
        <f>_xlfn.XLOOKUP(Tableau1[[#This Row],[TYPE DE PIECE]],Tableau4[MATIERE],Tableau4[SHORT TYPE],"",0,1)</f>
        <v/>
      </c>
      <c r="N222">
        <f>IF(ISERR(FIND("DECOUPE",Tableau1[[#This Row],[DESIGNATION]])),"","NEED REF")</f>
        <v/>
      </c>
    </row>
    <row r="223">
      <c r="B223" t="n">
        <v>34413779</v>
      </c>
      <c r="C223" s="2" t="n">
        <v>45733</v>
      </c>
      <c r="D223" t="inlineStr">
        <is>
          <t>SPEC</t>
        </is>
      </c>
      <c r="E22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23" t="inlineStr">
        <is>
          <t>BESSIERE</t>
        </is>
      </c>
      <c r="L223">
        <f>_xlfn.XLOOKUP(Tableau1[[#This Row],[TYPE DE PIECE]],Tableau4[MATIERE],Tableau4[SHORT TYPE],"",0,1)</f>
        <v/>
      </c>
      <c r="N223">
        <f>IF(ISERR(FIND("DECOUPE",Tableau1[[#This Row],[DESIGNATION]])),"","NEED REF")</f>
        <v/>
      </c>
    </row>
    <row r="224">
      <c r="B224" t="n">
        <v>34413778</v>
      </c>
      <c r="C224" s="2" t="n">
        <v>45733</v>
      </c>
      <c r="D224" t="inlineStr">
        <is>
          <t>SPEC</t>
        </is>
      </c>
      <c r="E224" t="inlineStr">
        <is>
          <t>CONNECTION KTA DC FRONT SHORT</t>
        </is>
      </c>
      <c r="J224" t="inlineStr">
        <is>
          <t>BESSIERE</t>
        </is>
      </c>
      <c r="L224">
        <f>_xlfn.XLOOKUP(Tableau1[[#This Row],[TYPE DE PIECE]],Tableau4[MATIERE],Tableau4[SHORT TYPE],"",0,1)</f>
        <v/>
      </c>
      <c r="N224">
        <f>IF(ISERR(FIND("DECOUPE",Tableau1[[#This Row],[DESIGNATION]])),"","NEED REF")</f>
        <v/>
      </c>
    </row>
    <row r="225">
      <c r="B225" t="n">
        <v>34413777</v>
      </c>
      <c r="C225" s="2" t="n">
        <v>45733</v>
      </c>
      <c r="D225" t="inlineStr">
        <is>
          <t>SPEC</t>
        </is>
      </c>
      <c r="E225" t="inlineStr">
        <is>
          <t>CONNECTION KTA DC FRONT LONG</t>
        </is>
      </c>
      <c r="J225" t="inlineStr">
        <is>
          <t>BESSIERE</t>
        </is>
      </c>
      <c r="L225">
        <f>_xlfn.XLOOKUP(Tableau1[[#This Row],[TYPE DE PIECE]],Tableau4[MATIERE],Tableau4[SHORT TYPE],"",0,1)</f>
        <v/>
      </c>
      <c r="N225">
        <f>IF(ISERR(FIND("DECOUPE",Tableau1[[#This Row],[DESIGNATION]])),"","NEED REF")</f>
        <v/>
      </c>
    </row>
    <row r="226">
      <c r="B226" t="n">
        <v>34413776</v>
      </c>
      <c r="C226" s="2" t="n">
        <v>45733</v>
      </c>
      <c r="D226" t="inlineStr">
        <is>
          <t>SPEC</t>
        </is>
      </c>
      <c r="E22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26" t="inlineStr">
        <is>
          <t>DLR</t>
        </is>
      </c>
      <c r="H226" t="inlineStr">
        <is>
          <t>GVXL UPS COUPLER</t>
        </is>
      </c>
      <c r="J226" t="inlineStr">
        <is>
          <t>BESSIERE</t>
        </is>
      </c>
      <c r="K226" t="inlineStr">
        <is>
          <t>CUIVRE</t>
        </is>
      </c>
      <c r="L226">
        <f>_xlfn.XLOOKUP(Tableau1[[#This Row],[TYPE DE PIECE]],Tableau4[MATIERE],Tableau4[SHORT TYPE],"",0,1)</f>
        <v/>
      </c>
      <c r="N226">
        <f>IF(ISERR(FIND("DECOUPE",Tableau1[[#This Row],[DESIGNATION]])),"","NEED REF")</f>
        <v/>
      </c>
    </row>
    <row r="227">
      <c r="B227" t="n">
        <v>34413775</v>
      </c>
      <c r="C227" s="2" t="n">
        <v>45733</v>
      </c>
      <c r="D227" t="inlineStr">
        <is>
          <t>SPEC</t>
        </is>
      </c>
      <c r="E22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27" t="inlineStr">
        <is>
          <t>DLR</t>
        </is>
      </c>
      <c r="H227" t="inlineStr">
        <is>
          <t>GVXL UPS COUPLER</t>
        </is>
      </c>
      <c r="J227" t="inlineStr">
        <is>
          <t>BESSIERE</t>
        </is>
      </c>
      <c r="K227" t="inlineStr">
        <is>
          <t>CUIVRE</t>
        </is>
      </c>
      <c r="L227">
        <f>_xlfn.XLOOKUP(Tableau1[[#This Row],[TYPE DE PIECE]],Tableau4[MATIERE],Tableau4[SHORT TYPE],"",0,1)</f>
        <v/>
      </c>
      <c r="N227">
        <f>IF(ISERR(FIND("DECOUPE",Tableau1[[#This Row],[DESIGNATION]])),"","NEED REF")</f>
        <v/>
      </c>
    </row>
    <row r="228">
      <c r="B228" t="n">
        <v>34413774</v>
      </c>
      <c r="C228" s="2" t="n">
        <v>45733</v>
      </c>
      <c r="D228" t="inlineStr">
        <is>
          <t>SPEC</t>
        </is>
      </c>
      <c r="E22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28" t="inlineStr">
        <is>
          <t>DLR</t>
        </is>
      </c>
      <c r="H228" t="inlineStr">
        <is>
          <t>GVXL UPS COUPLER</t>
        </is>
      </c>
      <c r="J228" t="inlineStr">
        <is>
          <t>BESSIERE</t>
        </is>
      </c>
      <c r="K228" t="inlineStr">
        <is>
          <t>CUIVRE</t>
        </is>
      </c>
      <c r="L228">
        <f>_xlfn.XLOOKUP(Tableau1[[#This Row],[TYPE DE PIECE]],Tableau4[MATIERE],Tableau4[SHORT TYPE],"",0,1)</f>
        <v/>
      </c>
      <c r="N228">
        <f>IF(ISERR(FIND("DECOUPE",Tableau1[[#This Row],[DESIGNATION]])),"","NEED REF")</f>
        <v/>
      </c>
    </row>
    <row r="229">
      <c r="B229" t="n">
        <v>34413773</v>
      </c>
      <c r="C229" s="2" t="n">
        <v>45730</v>
      </c>
      <c r="D229" t="inlineStr">
        <is>
          <t>SPEC</t>
        </is>
      </c>
      <c r="E22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29" t="inlineStr">
        <is>
          <t>DLR</t>
        </is>
      </c>
      <c r="H229" t="inlineStr">
        <is>
          <t>GVXL UPS COUPLER</t>
        </is>
      </c>
      <c r="J229" t="inlineStr">
        <is>
          <t>BESSIERE</t>
        </is>
      </c>
      <c r="K229" t="inlineStr">
        <is>
          <t>CUIVRE</t>
        </is>
      </c>
      <c r="L229">
        <f>_xlfn.XLOOKUP(Tableau1[[#This Row],[TYPE DE PIECE]],Tableau4[MATIERE],Tableau4[SHORT TYPE],"",0,1)</f>
        <v/>
      </c>
      <c r="N229">
        <f>IF(ISERR(FIND("DECOUPE",Tableau1[[#This Row],[DESIGNATION]])),"","NEED REF")</f>
        <v/>
      </c>
    </row>
    <row r="230">
      <c r="B230" t="n">
        <v>34413772</v>
      </c>
      <c r="C230" s="2" t="n">
        <v>45730</v>
      </c>
      <c r="D230" t="inlineStr">
        <is>
          <t>SPEC</t>
        </is>
      </c>
      <c r="E23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30" t="inlineStr">
        <is>
          <t>DLR</t>
        </is>
      </c>
      <c r="H230" t="inlineStr">
        <is>
          <t>GVXL UPS COUPLER</t>
        </is>
      </c>
      <c r="J230" t="inlineStr">
        <is>
          <t>BESSIERE</t>
        </is>
      </c>
      <c r="K230" t="inlineStr">
        <is>
          <t>CUIVRE</t>
        </is>
      </c>
      <c r="L230">
        <f>_xlfn.XLOOKUP(Tableau1[[#This Row],[TYPE DE PIECE]],Tableau4[MATIERE],Tableau4[SHORT TYPE],"",0,1)</f>
        <v/>
      </c>
      <c r="N230">
        <f>IF(ISERR(FIND("DECOUPE",Tableau1[[#This Row],[DESIGNATION]])),"","NEED REF")</f>
        <v/>
      </c>
    </row>
    <row r="231">
      <c r="B231" t="n">
        <v>34413771</v>
      </c>
      <c r="C231" s="2" t="n">
        <v>45730</v>
      </c>
      <c r="D231" t="inlineStr">
        <is>
          <t>SPEC</t>
        </is>
      </c>
      <c r="E23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31" t="inlineStr">
        <is>
          <t>DLR</t>
        </is>
      </c>
      <c r="H231" t="inlineStr">
        <is>
          <t>GVXL UPS COUPLER</t>
        </is>
      </c>
      <c r="J231" t="inlineStr">
        <is>
          <t>BESSIERE</t>
        </is>
      </c>
      <c r="K231" t="inlineStr">
        <is>
          <t>CUIVRE</t>
        </is>
      </c>
      <c r="L231">
        <f>_xlfn.XLOOKUP(Tableau1[[#This Row],[TYPE DE PIECE]],Tableau4[MATIERE],Tableau4[SHORT TYPE],"",0,1)</f>
        <v/>
      </c>
      <c r="N231">
        <f>IF(ISERR(FIND("DECOUPE",Tableau1[[#This Row],[DESIGNATION]])),"","NEED REF")</f>
        <v/>
      </c>
    </row>
    <row r="232">
      <c r="B232" t="n">
        <v>34413770</v>
      </c>
      <c r="C232" s="2" t="n">
        <v>45730</v>
      </c>
      <c r="D232" t="inlineStr">
        <is>
          <t>SPEC</t>
        </is>
      </c>
      <c r="E23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32" t="inlineStr">
        <is>
          <t>DLR</t>
        </is>
      </c>
      <c r="H232" t="inlineStr">
        <is>
          <t>GVXL UPS COUPLER</t>
        </is>
      </c>
      <c r="J232" t="inlineStr">
        <is>
          <t>BESSIERE</t>
        </is>
      </c>
      <c r="K232" t="inlineStr">
        <is>
          <t>CUIVRE</t>
        </is>
      </c>
      <c r="L232">
        <f>_xlfn.XLOOKUP(Tableau1[[#This Row],[TYPE DE PIECE]],Tableau4[MATIERE],Tableau4[SHORT TYPE],"",0,1)</f>
        <v/>
      </c>
      <c r="N232">
        <f>IF(ISERR(FIND("DECOUPE",Tableau1[[#This Row],[DESIGNATION]])),"","NEED REF")</f>
        <v/>
      </c>
    </row>
    <row r="233">
      <c r="B233" t="n">
        <v>34413769</v>
      </c>
      <c r="C233" s="2" t="n">
        <v>45730</v>
      </c>
      <c r="D233" t="inlineStr">
        <is>
          <t>SPEC</t>
        </is>
      </c>
      <c r="E23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33" t="inlineStr">
        <is>
          <t>DLR</t>
        </is>
      </c>
      <c r="H233" t="inlineStr">
        <is>
          <t>GVXL UPS COUPLER</t>
        </is>
      </c>
      <c r="J233" t="inlineStr">
        <is>
          <t>BESSIERE</t>
        </is>
      </c>
      <c r="K233" t="inlineStr">
        <is>
          <t>CUIVRE</t>
        </is>
      </c>
      <c r="L233">
        <f>_xlfn.XLOOKUP(Tableau1[[#This Row],[TYPE DE PIECE]],Tableau4[MATIERE],Tableau4[SHORT TYPE],"",0,1)</f>
        <v/>
      </c>
      <c r="N233">
        <f>IF(ISERR(FIND("DECOUPE",Tableau1[[#This Row],[DESIGNATION]])),"","NEED REF")</f>
        <v/>
      </c>
    </row>
    <row r="234">
      <c r="B234" t="n">
        <v>34413768</v>
      </c>
      <c r="C234" s="2" t="n">
        <v>45730</v>
      </c>
      <c r="D234" t="inlineStr">
        <is>
          <t>SPEC</t>
        </is>
      </c>
      <c r="E23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34" t="inlineStr">
        <is>
          <t>DLR</t>
        </is>
      </c>
      <c r="H234" t="inlineStr">
        <is>
          <t>GVXL UPS COUPLER</t>
        </is>
      </c>
      <c r="J234" t="inlineStr">
        <is>
          <t>BESSIERE</t>
        </is>
      </c>
      <c r="K234" t="inlineStr">
        <is>
          <t>CUIVRE</t>
        </is>
      </c>
      <c r="L234">
        <f>_xlfn.XLOOKUP(Tableau1[[#This Row],[TYPE DE PIECE]],Tableau4[MATIERE],Tableau4[SHORT TYPE],"",0,1)</f>
        <v/>
      </c>
      <c r="N234">
        <f>IF(ISERR(FIND("DECOUPE",Tableau1[[#This Row],[DESIGNATION]])),"","NEED REF")</f>
        <v/>
      </c>
    </row>
    <row r="235">
      <c r="B235" t="n">
        <v>34413767</v>
      </c>
      <c r="C235" s="2" t="n">
        <v>45730</v>
      </c>
      <c r="D235" t="inlineStr">
        <is>
          <t>SPEC</t>
        </is>
      </c>
      <c r="E23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35" t="inlineStr">
        <is>
          <t>DLR</t>
        </is>
      </c>
      <c r="H235" t="inlineStr">
        <is>
          <t>GVXL UPS COUPLER</t>
        </is>
      </c>
      <c r="J235" t="inlineStr">
        <is>
          <t>BESSIERE</t>
        </is>
      </c>
      <c r="K235" t="inlineStr">
        <is>
          <t>CUIVRE</t>
        </is>
      </c>
      <c r="L235">
        <f>_xlfn.XLOOKUP(Tableau1[[#This Row],[TYPE DE PIECE]],Tableau4[MATIERE],Tableau4[SHORT TYPE],"",0,1)</f>
        <v/>
      </c>
      <c r="N235">
        <f>IF(ISERR(FIND("DECOUPE",Tableau1[[#This Row],[DESIGNATION]])),"","NEED REF")</f>
        <v/>
      </c>
    </row>
    <row r="236">
      <c r="B236" t="n">
        <v>34413766</v>
      </c>
      <c r="C236" s="2" t="n">
        <v>45730</v>
      </c>
      <c r="D236" t="inlineStr">
        <is>
          <t>SPEC</t>
        </is>
      </c>
      <c r="E23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36" t="inlineStr">
        <is>
          <t>DLR</t>
        </is>
      </c>
      <c r="H236" t="inlineStr">
        <is>
          <t>GVXL UPS COUPLER</t>
        </is>
      </c>
      <c r="J236" t="inlineStr">
        <is>
          <t>BESSIERE</t>
        </is>
      </c>
      <c r="K236" t="inlineStr">
        <is>
          <t>CUIVRE</t>
        </is>
      </c>
      <c r="L236">
        <f>_xlfn.XLOOKUP(Tableau1[[#This Row],[TYPE DE PIECE]],Tableau4[MATIERE],Tableau4[SHORT TYPE],"",0,1)</f>
        <v/>
      </c>
      <c r="N236">
        <f>IF(ISERR(FIND("DECOUPE",Tableau1[[#This Row],[DESIGNATION]])),"","NEED REF")</f>
        <v/>
      </c>
    </row>
    <row r="237">
      <c r="B237" t="n">
        <v>34413765</v>
      </c>
      <c r="C237" s="2" t="n">
        <v>45730</v>
      </c>
      <c r="D237" t="inlineStr">
        <is>
          <t>SPEC</t>
        </is>
      </c>
      <c r="E23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237" t="inlineStr">
        <is>
          <t>DLR</t>
        </is>
      </c>
      <c r="H237" t="inlineStr">
        <is>
          <t>GVXL UPS COUPLER</t>
        </is>
      </c>
      <c r="J237" t="inlineStr">
        <is>
          <t>BESSIERE</t>
        </is>
      </c>
      <c r="K237" t="inlineStr">
        <is>
          <t>CUIVRE</t>
        </is>
      </c>
      <c r="L237">
        <f>_xlfn.XLOOKUP(Tableau1[[#This Row],[TYPE DE PIECE]],Tableau4[MATIERE],Tableau4[SHORT TYPE],"",0,1)</f>
        <v/>
      </c>
      <c r="N237">
        <f>IF(ISERR(FIND("DECOUPE",Tableau1[[#This Row],[DESIGNATION]])),"","NEED REF")</f>
        <v/>
      </c>
    </row>
    <row r="238">
      <c r="B238" t="n">
        <v>34413764</v>
      </c>
      <c r="C238" s="2" t="n">
        <v>45729</v>
      </c>
      <c r="D238" t="inlineStr">
        <is>
          <t>SPEC</t>
        </is>
      </c>
      <c r="E238" t="inlineStr">
        <is>
          <t>DECOUPE LONGUEUR GOULOTTE</t>
        </is>
      </c>
      <c r="H238" t="inlineStr">
        <is>
          <t>GVXL UPS COUPLER</t>
        </is>
      </c>
      <c r="J238" t="inlineStr">
        <is>
          <t>BERNARDEAU</t>
        </is>
      </c>
      <c r="K238" t="inlineStr">
        <is>
          <t>ETO</t>
        </is>
      </c>
      <c r="L238">
        <f>_xlfn.XLOOKUP(Tableau1[[#This Row],[TYPE DE PIECE]],Tableau4[MATIERE],Tableau4[SHORT TYPE],"",0,1)</f>
        <v/>
      </c>
      <c r="N238" t="inlineStr">
        <is>
          <t>AK2GD3750</t>
        </is>
      </c>
    </row>
    <row r="239">
      <c r="B239" t="n">
        <v>34413763</v>
      </c>
      <c r="C239" s="2" t="n">
        <v>45729</v>
      </c>
      <c r="D239" t="inlineStr">
        <is>
          <t>SPEC</t>
        </is>
      </c>
      <c r="E23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39" t="inlineStr">
        <is>
          <t>IQ</t>
        </is>
      </c>
      <c r="H239" t="inlineStr">
        <is>
          <t>ISOLATION BANKLOAD</t>
        </is>
      </c>
      <c r="J239" t="inlineStr">
        <is>
          <t>MATRION</t>
        </is>
      </c>
      <c r="K239" t="inlineStr">
        <is>
          <t>METAL</t>
        </is>
      </c>
      <c r="L239">
        <f>_xlfn.XLOOKUP(Tableau1[[#This Row],[TYPE DE PIECE]],Tableau4[MATIERE],Tableau4[SHORT TYPE],"",0,1)</f>
        <v/>
      </c>
      <c r="N239">
        <f>IF(ISERR(FIND("DECOUPE",Tableau1[[#This Row],[DESIGNATION]])),"","NEED REF")</f>
        <v/>
      </c>
    </row>
    <row r="240">
      <c r="B240" t="n">
        <v>34413762</v>
      </c>
      <c r="C240" s="2" t="n">
        <v>45729</v>
      </c>
      <c r="D240" t="inlineStr">
        <is>
          <t>SPEC</t>
        </is>
      </c>
      <c r="E24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40" t="inlineStr">
        <is>
          <t>TOUTES</t>
        </is>
      </c>
      <c r="H240" t="inlineStr">
        <is>
          <t>AUXILIAIRE</t>
        </is>
      </c>
      <c r="J240" t="inlineStr">
        <is>
          <t>MATRION</t>
        </is>
      </c>
      <c r="K240" t="inlineStr">
        <is>
          <t>METAL</t>
        </is>
      </c>
      <c r="L240">
        <f>_xlfn.XLOOKUP(Tableau1[[#This Row],[TYPE DE PIECE]],Tableau4[MATIERE],Tableau4[SHORT TYPE],"",0,1)</f>
        <v/>
      </c>
      <c r="N240">
        <f>IF(ISERR(FIND("DECOUPE",Tableau1[[#This Row],[DESIGNATION]])),"","NEED REF")</f>
        <v/>
      </c>
    </row>
    <row r="241">
      <c r="B241" t="n">
        <v>34413761</v>
      </c>
      <c r="C241" s="2" t="n">
        <v>45729</v>
      </c>
      <c r="D241" t="inlineStr">
        <is>
          <t>SPEC</t>
        </is>
      </c>
      <c r="E241" t="inlineStr">
        <is>
          <t>SMT 34413761 PIED GVEAC H200</t>
        </is>
      </c>
      <c r="G241" t="inlineStr">
        <is>
          <t>TOUTES</t>
        </is>
      </c>
      <c r="H241" t="inlineStr">
        <is>
          <t>AUXILIAIRE</t>
        </is>
      </c>
      <c r="J241" t="inlineStr">
        <is>
          <t>MATRION</t>
        </is>
      </c>
      <c r="K241" t="inlineStr">
        <is>
          <t>METAL</t>
        </is>
      </c>
      <c r="L241">
        <f>_xlfn.XLOOKUP(Tableau1[[#This Row],[TYPE DE PIECE]],Tableau4[MATIERE],Tableau4[SHORT TYPE],"",0,1)</f>
        <v/>
      </c>
      <c r="N241">
        <f>IF(ISERR(FIND("DECOUPE",Tableau1[[#This Row],[DESIGNATION]])),"","NEED REF")</f>
        <v/>
      </c>
    </row>
    <row r="242">
      <c r="B242" t="n">
        <v>34413760</v>
      </c>
      <c r="C242" s="2" t="n">
        <v>45729</v>
      </c>
      <c r="D242" t="inlineStr">
        <is>
          <t>SPEC</t>
        </is>
      </c>
      <c r="E24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42" t="inlineStr">
        <is>
          <t>IQ</t>
        </is>
      </c>
      <c r="H242" t="inlineStr">
        <is>
          <t>ISOLATION BANKLOAD</t>
        </is>
      </c>
      <c r="J242" t="inlineStr">
        <is>
          <t>MATRION</t>
        </is>
      </c>
      <c r="K242" t="inlineStr">
        <is>
          <t>METAL</t>
        </is>
      </c>
      <c r="L242">
        <f>_xlfn.XLOOKUP(Tableau1[[#This Row],[TYPE DE PIECE]],Tableau4[MATIERE],Tableau4[SHORT TYPE],"",0,1)</f>
        <v/>
      </c>
      <c r="N242">
        <f>IF(ISERR(FIND("DECOUPE",Tableau1[[#This Row],[DESIGNATION]])),"","NEED REF")</f>
        <v/>
      </c>
    </row>
    <row r="243">
      <c r="B243" t="n">
        <v>34413759</v>
      </c>
      <c r="C243" s="2" t="n">
        <v>45729</v>
      </c>
      <c r="D243" t="inlineStr">
        <is>
          <t>SPEC</t>
        </is>
      </c>
      <c r="E24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43" t="inlineStr">
        <is>
          <t>IQ</t>
        </is>
      </c>
      <c r="H243" t="inlineStr">
        <is>
          <t>ISOLATION BANKLOAD</t>
        </is>
      </c>
      <c r="J243" t="inlineStr">
        <is>
          <t>MATRION</t>
        </is>
      </c>
      <c r="K243" t="inlineStr">
        <is>
          <t>METAL</t>
        </is>
      </c>
      <c r="L243">
        <f>_xlfn.XLOOKUP(Tableau1[[#This Row],[TYPE DE PIECE]],Tableau4[MATIERE],Tableau4[SHORT TYPE],"",0,1)</f>
        <v/>
      </c>
      <c r="N243">
        <f>IF(ISERR(FIND("DECOUPE",Tableau1[[#This Row],[DESIGNATION]])),"","NEED REF")</f>
        <v/>
      </c>
    </row>
    <row r="244">
      <c r="B244" t="n">
        <v>34413758</v>
      </c>
      <c r="C244" s="2" t="n">
        <v>45729</v>
      </c>
      <c r="D244" t="inlineStr">
        <is>
          <t>SPEC</t>
        </is>
      </c>
      <c r="E24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44" t="inlineStr">
        <is>
          <t>IQ</t>
        </is>
      </c>
      <c r="H244" t="inlineStr">
        <is>
          <t>ISOLATION BANKLOAD</t>
        </is>
      </c>
      <c r="J244" t="inlineStr">
        <is>
          <t>MATRION</t>
        </is>
      </c>
      <c r="K244" t="inlineStr">
        <is>
          <t>METAL</t>
        </is>
      </c>
      <c r="L244">
        <f>_xlfn.XLOOKUP(Tableau1[[#This Row],[TYPE DE PIECE]],Tableau4[MATIERE],Tableau4[SHORT TYPE],"",0,1)</f>
        <v/>
      </c>
      <c r="N244">
        <f>IF(ISERR(FIND("DECOUPE",Tableau1[[#This Row],[DESIGNATION]])),"","NEED REF")</f>
        <v/>
      </c>
    </row>
    <row r="245">
      <c r="B245" t="n">
        <v>34413757</v>
      </c>
      <c r="C245" s="2" t="n">
        <v>45729</v>
      </c>
      <c r="D245" t="inlineStr">
        <is>
          <t>SPEC</t>
        </is>
      </c>
      <c r="E24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45" t="inlineStr">
        <is>
          <t>IQ</t>
        </is>
      </c>
      <c r="H245" t="inlineStr">
        <is>
          <t>ISOLATION BANKLOAD</t>
        </is>
      </c>
      <c r="J245" t="inlineStr">
        <is>
          <t>MATRION</t>
        </is>
      </c>
      <c r="K245" t="inlineStr">
        <is>
          <t>METAL</t>
        </is>
      </c>
      <c r="L245">
        <f>_xlfn.XLOOKUP(Tableau1[[#This Row],[TYPE DE PIECE]],Tableau4[MATIERE],Tableau4[SHORT TYPE],"",0,1)</f>
        <v/>
      </c>
      <c r="N245">
        <f>IF(ISERR(FIND("DECOUPE",Tableau1[[#This Row],[DESIGNATION]])),"","NEED REF")</f>
        <v/>
      </c>
    </row>
    <row r="246">
      <c r="B246" t="n">
        <v>34413756</v>
      </c>
      <c r="C246" s="2" t="n">
        <v>45729</v>
      </c>
      <c r="D246" t="inlineStr">
        <is>
          <t>SPEC</t>
        </is>
      </c>
      <c r="E24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46" t="inlineStr">
        <is>
          <t>IQ</t>
        </is>
      </c>
      <c r="H246" t="inlineStr">
        <is>
          <t>ISOLATION BANKLOAD</t>
        </is>
      </c>
      <c r="J246" t="inlineStr">
        <is>
          <t>MATRION</t>
        </is>
      </c>
      <c r="K246" t="inlineStr">
        <is>
          <t>METAL</t>
        </is>
      </c>
      <c r="L246">
        <f>_xlfn.XLOOKUP(Tableau1[[#This Row],[TYPE DE PIECE]],Tableau4[MATIERE],Tableau4[SHORT TYPE],"",0,1)</f>
        <v/>
      </c>
      <c r="N246">
        <f>IF(ISERR(FIND("DECOUPE",Tableau1[[#This Row],[DESIGNATION]])),"","NEED REF")</f>
        <v/>
      </c>
    </row>
    <row r="247">
      <c r="B247" t="n">
        <v>34413755</v>
      </c>
      <c r="C247" s="2" t="n">
        <v>45729</v>
      </c>
      <c r="D247" t="inlineStr">
        <is>
          <t>SPEC</t>
        </is>
      </c>
      <c r="E24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47" t="inlineStr">
        <is>
          <t>IQ</t>
        </is>
      </c>
      <c r="H247" t="inlineStr">
        <is>
          <t>ISOLATION BANKLOAD</t>
        </is>
      </c>
      <c r="J247" t="inlineStr">
        <is>
          <t>MATRION</t>
        </is>
      </c>
      <c r="K247" t="inlineStr">
        <is>
          <t>METAL</t>
        </is>
      </c>
      <c r="L247">
        <f>_xlfn.XLOOKUP(Tableau1[[#This Row],[TYPE DE PIECE]],Tableau4[MATIERE],Tableau4[SHORT TYPE],"",0,1)</f>
        <v/>
      </c>
      <c r="N247">
        <f>IF(ISERR(FIND("DECOUPE",Tableau1[[#This Row],[DESIGNATION]])),"","NEED REF")</f>
        <v/>
      </c>
    </row>
    <row r="248">
      <c r="B248" t="n">
        <v>34413754</v>
      </c>
      <c r="C248" s="2" t="n">
        <v>45728</v>
      </c>
      <c r="D248" t="inlineStr">
        <is>
          <t>SPEC</t>
        </is>
      </c>
      <c r="E24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48" t="inlineStr">
        <is>
          <t>IQ</t>
        </is>
      </c>
      <c r="H248" t="inlineStr">
        <is>
          <t>ISOLATION BANKLOAD</t>
        </is>
      </c>
      <c r="J248" t="inlineStr">
        <is>
          <t>MATRION</t>
        </is>
      </c>
      <c r="K248" t="inlineStr">
        <is>
          <t>METAL</t>
        </is>
      </c>
      <c r="L248">
        <f>_xlfn.XLOOKUP(Tableau1[[#This Row],[TYPE DE PIECE]],Tableau4[MATIERE],Tableau4[SHORT TYPE],"",0,1)</f>
        <v/>
      </c>
      <c r="N248">
        <f>IF(ISERR(FIND("DECOUPE",Tableau1[[#This Row],[DESIGNATION]])),"","NEED REF")</f>
        <v/>
      </c>
    </row>
    <row r="249">
      <c r="B249" t="n">
        <v>34413753</v>
      </c>
      <c r="C249" s="2" t="n">
        <v>45728</v>
      </c>
      <c r="D249" t="inlineStr">
        <is>
          <t>SPEC</t>
        </is>
      </c>
      <c r="E249" t="inlineStr">
        <is>
          <t>ETQ  Interrupteur à came</t>
        </is>
      </c>
      <c r="F249" t="inlineStr">
        <is>
          <t>QSBI06507</t>
        </is>
      </c>
      <c r="J249" t="inlineStr">
        <is>
          <t>BERNARDEAU</t>
        </is>
      </c>
      <c r="K249" t="inlineStr">
        <is>
          <t>etiquette</t>
        </is>
      </c>
      <c r="L249">
        <f>_xlfn.XLOOKUP(Tableau1[[#This Row],[TYPE DE PIECE]],Tableau4[MATIERE],Tableau4[SHORT TYPE],"",0,1)</f>
        <v/>
      </c>
      <c r="N249">
        <f>IF(ISERR(FIND("DECOUPE",Tableau1[[#This Row],[DESIGNATION]])),"","NEED REF")</f>
        <v/>
      </c>
    </row>
    <row r="250">
      <c r="B250" t="n">
        <v>34413752</v>
      </c>
      <c r="C250" s="2" t="n">
        <v>45728</v>
      </c>
      <c r="D250" t="inlineStr">
        <is>
          <t>SPEC</t>
        </is>
      </c>
      <c r="E250" t="inlineStr">
        <is>
          <t>DECOUPE COFFRET 34410003RAL90003</t>
        </is>
      </c>
      <c r="F250" t="inlineStr">
        <is>
          <t>QSBI06507</t>
        </is>
      </c>
      <c r="J250" t="inlineStr">
        <is>
          <t>BERNARDEAU</t>
        </is>
      </c>
      <c r="K250" t="inlineStr">
        <is>
          <t>DECOUPE</t>
        </is>
      </c>
      <c r="L250">
        <f>_xlfn.XLOOKUP(Tableau1[[#This Row],[TYPE DE PIECE]],Tableau4[MATIERE],Tableau4[SHORT TYPE],"",0,1)</f>
        <v/>
      </c>
      <c r="N250" t="inlineStr">
        <is>
          <t>34410003RAL9003</t>
        </is>
      </c>
    </row>
    <row r="251">
      <c r="B251" t="n">
        <v>34413751</v>
      </c>
      <c r="C251" s="2" t="n">
        <v>45728</v>
      </c>
      <c r="D251" t="inlineStr">
        <is>
          <t>SPEC</t>
        </is>
      </c>
      <c r="E251" t="inlineStr">
        <is>
          <t>GVXL SIDE PLAIN ROOF</t>
        </is>
      </c>
      <c r="J251" t="inlineStr">
        <is>
          <t>BESSIERE</t>
        </is>
      </c>
      <c r="L251">
        <f>_xlfn.XLOOKUP(Tableau1[[#This Row],[TYPE DE PIECE]],Tableau4[MATIERE],Tableau4[SHORT TYPE],"",0,1)</f>
        <v/>
      </c>
      <c r="N251">
        <f>IF(ISERR(FIND("DECOUPE",Tableau1[[#This Row],[DESIGNATION]])),"","NEED REF")</f>
        <v/>
      </c>
    </row>
    <row r="252">
      <c r="B252" t="n">
        <v>34413750</v>
      </c>
      <c r="C252" s="2" t="n">
        <v>45728</v>
      </c>
      <c r="D252" t="inlineStr">
        <is>
          <t>SPEC</t>
        </is>
      </c>
      <c r="E25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52" t="inlineStr">
        <is>
          <t>IQ</t>
        </is>
      </c>
      <c r="H252" t="inlineStr">
        <is>
          <t>ISOLATION BANKLOAD</t>
        </is>
      </c>
      <c r="J252" t="inlineStr">
        <is>
          <t>MATRION</t>
        </is>
      </c>
      <c r="K252" t="inlineStr">
        <is>
          <t>METAL</t>
        </is>
      </c>
      <c r="L252">
        <f>_xlfn.XLOOKUP(Tableau1[[#This Row],[TYPE DE PIECE]],Tableau4[MATIERE],Tableau4[SHORT TYPE],"",0,1)</f>
        <v/>
      </c>
      <c r="N252">
        <f>IF(ISERR(FIND("DECOUPE",Tableau1[[#This Row],[DESIGNATION]])),"","NEED REF")</f>
        <v/>
      </c>
    </row>
    <row r="253">
      <c r="B253" t="n">
        <v>34413749</v>
      </c>
      <c r="C253" s="2" t="n">
        <v>45728</v>
      </c>
      <c r="D253" t="inlineStr">
        <is>
          <t>SPEC</t>
        </is>
      </c>
      <c r="E25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53" t="inlineStr">
        <is>
          <t>IQ</t>
        </is>
      </c>
      <c r="H253" t="inlineStr">
        <is>
          <t>ISOLATION BANKLOAD</t>
        </is>
      </c>
      <c r="J253" t="inlineStr">
        <is>
          <t>MATRION</t>
        </is>
      </c>
      <c r="K253" t="inlineStr">
        <is>
          <t>CUIVRE</t>
        </is>
      </c>
      <c r="L253">
        <f>_xlfn.XLOOKUP(Tableau1[[#This Row],[TYPE DE PIECE]],Tableau4[MATIERE],Tableau4[SHORT TYPE],"",0,1)</f>
        <v/>
      </c>
      <c r="N253">
        <f>IF(ISERR(FIND("DECOUPE",Tableau1[[#This Row],[DESIGNATION]])),"","NEED REF")</f>
        <v/>
      </c>
    </row>
    <row r="254">
      <c r="B254" t="n">
        <v>34413748</v>
      </c>
      <c r="C254" s="2" t="n">
        <v>45728</v>
      </c>
      <c r="D254" t="inlineStr">
        <is>
          <t>SPEC</t>
        </is>
      </c>
      <c r="E25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54" t="inlineStr">
        <is>
          <t>IQ</t>
        </is>
      </c>
      <c r="H254" t="inlineStr">
        <is>
          <t>ISOLATION BANKLOAD</t>
        </is>
      </c>
      <c r="J254" t="inlineStr">
        <is>
          <t>MATRION</t>
        </is>
      </c>
      <c r="K254" t="inlineStr">
        <is>
          <t>CUIVRE</t>
        </is>
      </c>
      <c r="L254">
        <f>_xlfn.XLOOKUP(Tableau1[[#This Row],[TYPE DE PIECE]],Tableau4[MATIERE],Tableau4[SHORT TYPE],"",0,1)</f>
        <v/>
      </c>
      <c r="N254">
        <f>IF(ISERR(FIND("DECOUPE",Tableau1[[#This Row],[DESIGNATION]])),"","NEED REF")</f>
        <v/>
      </c>
    </row>
    <row r="255">
      <c r="B255" t="n">
        <v>34413747</v>
      </c>
      <c r="C255" s="2" t="n">
        <v>45728</v>
      </c>
      <c r="D255" t="inlineStr">
        <is>
          <t>SPEC</t>
        </is>
      </c>
      <c r="E25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55" t="inlineStr">
        <is>
          <t>IQ</t>
        </is>
      </c>
      <c r="H255" t="inlineStr">
        <is>
          <t>ISOLATION BANKLOAD</t>
        </is>
      </c>
      <c r="J255" t="inlineStr">
        <is>
          <t>MATRION</t>
        </is>
      </c>
      <c r="K255" t="inlineStr">
        <is>
          <t>PLASTIQUE</t>
        </is>
      </c>
      <c r="L255">
        <f>_xlfn.XLOOKUP(Tableau1[[#This Row],[TYPE DE PIECE]],Tableau4[MATIERE],Tableau4[SHORT TYPE],"",0,1)</f>
        <v/>
      </c>
      <c r="N255">
        <f>IF(ISERR(FIND("DECOUPE",Tableau1[[#This Row],[DESIGNATION]])),"","NEED REF")</f>
        <v/>
      </c>
    </row>
    <row r="256">
      <c r="B256" t="n">
        <v>34413746</v>
      </c>
      <c r="C256" s="2" t="n">
        <v>45728</v>
      </c>
      <c r="D256" t="inlineStr">
        <is>
          <t>SPEC</t>
        </is>
      </c>
      <c r="E25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56" t="inlineStr">
        <is>
          <t>IQ</t>
        </is>
      </c>
      <c r="H256" t="inlineStr">
        <is>
          <t>ISOLATION BANKLOAD</t>
        </is>
      </c>
      <c r="J256" t="inlineStr">
        <is>
          <t>MATRION</t>
        </is>
      </c>
      <c r="K256" t="inlineStr">
        <is>
          <t>PLASTIQUE</t>
        </is>
      </c>
      <c r="L256">
        <f>_xlfn.XLOOKUP(Tableau1[[#This Row],[TYPE DE PIECE]],Tableau4[MATIERE],Tableau4[SHORT TYPE],"",0,1)</f>
        <v/>
      </c>
      <c r="N256">
        <f>IF(ISERR(FIND("DECOUPE",Tableau1[[#This Row],[DESIGNATION]])),"","NEED REF")</f>
        <v/>
      </c>
    </row>
    <row r="257">
      <c r="B257" t="n">
        <v>34413745</v>
      </c>
      <c r="C257" s="2" t="n">
        <v>45728</v>
      </c>
      <c r="D257" t="inlineStr">
        <is>
          <t>SPEC</t>
        </is>
      </c>
      <c r="E25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57" t="inlineStr">
        <is>
          <t>IQ</t>
        </is>
      </c>
      <c r="H257" t="inlineStr">
        <is>
          <t>ISOLATION BANKLOAD</t>
        </is>
      </c>
      <c r="J257" t="inlineStr">
        <is>
          <t>MATRION</t>
        </is>
      </c>
      <c r="K257" t="inlineStr">
        <is>
          <t>METAL</t>
        </is>
      </c>
      <c r="L257">
        <f>_xlfn.XLOOKUP(Tableau1[[#This Row],[TYPE DE PIECE]],Tableau4[MATIERE],Tableau4[SHORT TYPE],"",0,1)</f>
        <v/>
      </c>
      <c r="N257">
        <f>IF(ISERR(FIND("DECOUPE",Tableau1[[#This Row],[DESIGNATION]])),"","NEED REF")</f>
        <v/>
      </c>
    </row>
    <row r="258">
      <c r="B258" t="n">
        <v>34413744</v>
      </c>
      <c r="C258" s="2" t="n">
        <v>45728</v>
      </c>
      <c r="D258" t="inlineStr">
        <is>
          <t>SPEC</t>
        </is>
      </c>
      <c r="E25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58" t="inlineStr">
        <is>
          <t>IQ</t>
        </is>
      </c>
      <c r="H258" t="inlineStr">
        <is>
          <t>ISOLATION BANKLOAD</t>
        </is>
      </c>
      <c r="J258" t="inlineStr">
        <is>
          <t>MATRION</t>
        </is>
      </c>
      <c r="K258" t="inlineStr">
        <is>
          <t>METAL</t>
        </is>
      </c>
      <c r="L258">
        <f>_xlfn.XLOOKUP(Tableau1[[#This Row],[TYPE DE PIECE]],Tableau4[MATIERE],Tableau4[SHORT TYPE],"",0,1)</f>
        <v/>
      </c>
      <c r="N258">
        <f>IF(ISERR(FIND("DECOUPE",Tableau1[[#This Row],[DESIGNATION]])),"","NEED REF")</f>
        <v/>
      </c>
    </row>
    <row r="259">
      <c r="B259" t="n">
        <v>34413743</v>
      </c>
      <c r="C259" s="2" t="n">
        <v>45727</v>
      </c>
      <c r="D259" t="inlineStr">
        <is>
          <t>SPEC</t>
        </is>
      </c>
      <c r="E25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59" t="inlineStr">
        <is>
          <t>IQ</t>
        </is>
      </c>
      <c r="H259" t="inlineStr">
        <is>
          <t>ISOLATION BANKLOAD</t>
        </is>
      </c>
      <c r="J259" t="inlineStr">
        <is>
          <t>MATRION</t>
        </is>
      </c>
      <c r="K259" t="inlineStr">
        <is>
          <t>CUIVRE</t>
        </is>
      </c>
      <c r="L259">
        <f>_xlfn.XLOOKUP(Tableau1[[#This Row],[TYPE DE PIECE]],Tableau4[MATIERE],Tableau4[SHORT TYPE],"",0,1)</f>
        <v/>
      </c>
      <c r="N259">
        <f>IF(ISERR(FIND("DECOUPE",Tableau1[[#This Row],[DESIGNATION]])),"","NEED REF")</f>
        <v/>
      </c>
    </row>
    <row r="260">
      <c r="B260" t="n">
        <v>34413742</v>
      </c>
      <c r="C260" s="2" t="n">
        <v>45727</v>
      </c>
      <c r="D260" t="inlineStr">
        <is>
          <t>SPEC</t>
        </is>
      </c>
      <c r="E26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60" t="inlineStr">
        <is>
          <t>IQ</t>
        </is>
      </c>
      <c r="H260" t="inlineStr">
        <is>
          <t>ISOLATION BANKLOAD</t>
        </is>
      </c>
      <c r="J260" t="inlineStr">
        <is>
          <t>MATRION</t>
        </is>
      </c>
      <c r="K260" t="inlineStr">
        <is>
          <t>CUIVRE</t>
        </is>
      </c>
      <c r="L260">
        <f>_xlfn.XLOOKUP(Tableau1[[#This Row],[TYPE DE PIECE]],Tableau4[MATIERE],Tableau4[SHORT TYPE],"",0,1)</f>
        <v/>
      </c>
      <c r="N260">
        <f>IF(ISERR(FIND("DECOUPE",Tableau1[[#This Row],[DESIGNATION]])),"","NEED REF")</f>
        <v/>
      </c>
    </row>
    <row r="261">
      <c r="B261" t="n">
        <v>34413741</v>
      </c>
      <c r="C261" s="2" t="n">
        <v>45727</v>
      </c>
      <c r="D261" t="inlineStr">
        <is>
          <t>SPEC</t>
        </is>
      </c>
      <c r="E26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61" t="inlineStr">
        <is>
          <t>IQ</t>
        </is>
      </c>
      <c r="H261" t="inlineStr">
        <is>
          <t>ISOLATION BANKLOAD</t>
        </is>
      </c>
      <c r="J261" t="inlineStr">
        <is>
          <t>MATRION</t>
        </is>
      </c>
      <c r="K261" t="inlineStr">
        <is>
          <t>CUIVRE</t>
        </is>
      </c>
      <c r="L261">
        <f>_xlfn.XLOOKUP(Tableau1[[#This Row],[TYPE DE PIECE]],Tableau4[MATIERE],Tableau4[SHORT TYPE],"",0,1)</f>
        <v/>
      </c>
      <c r="N261">
        <f>IF(ISERR(FIND("DECOUPE",Tableau1[[#This Row],[DESIGNATION]])),"","NEED REF")</f>
        <v/>
      </c>
    </row>
    <row r="262">
      <c r="B262" t="n">
        <v>34413740</v>
      </c>
      <c r="C262" s="2" t="n">
        <v>45727</v>
      </c>
      <c r="D262" t="inlineStr">
        <is>
          <t>SPEC</t>
        </is>
      </c>
      <c r="E26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62" t="inlineStr">
        <is>
          <t>IQ</t>
        </is>
      </c>
      <c r="H262" t="inlineStr">
        <is>
          <t>ISOLATION BANKLOAD</t>
        </is>
      </c>
      <c r="J262" t="inlineStr">
        <is>
          <t>MATRION</t>
        </is>
      </c>
      <c r="K262" t="inlineStr">
        <is>
          <t>CUIVRE</t>
        </is>
      </c>
      <c r="L262">
        <f>_xlfn.XLOOKUP(Tableau1[[#This Row],[TYPE DE PIECE]],Tableau4[MATIERE],Tableau4[SHORT TYPE],"",0,1)</f>
        <v/>
      </c>
      <c r="N262">
        <f>IF(ISERR(FIND("DECOUPE",Tableau1[[#This Row],[DESIGNATION]])),"","NEED REF")</f>
        <v/>
      </c>
    </row>
    <row r="263">
      <c r="B263" t="n">
        <v>34413739</v>
      </c>
      <c r="C263" s="2" t="n">
        <v>45727</v>
      </c>
      <c r="D263" t="inlineStr">
        <is>
          <t>SPEC</t>
        </is>
      </c>
      <c r="E26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63" t="inlineStr">
        <is>
          <t>IQ</t>
        </is>
      </c>
      <c r="H263" t="inlineStr">
        <is>
          <t>ISOLATION BANKLOAD</t>
        </is>
      </c>
      <c r="J263" t="inlineStr">
        <is>
          <t>MATRION</t>
        </is>
      </c>
      <c r="K263" t="inlineStr">
        <is>
          <t>CUIVRE</t>
        </is>
      </c>
      <c r="L263">
        <f>_xlfn.XLOOKUP(Tableau1[[#This Row],[TYPE DE PIECE]],Tableau4[MATIERE],Tableau4[SHORT TYPE],"",0,1)</f>
        <v/>
      </c>
      <c r="N263">
        <f>IF(ISERR(FIND("DECOUPE",Tableau1[[#This Row],[DESIGNATION]])),"","NEED REF")</f>
        <v/>
      </c>
    </row>
    <row r="264">
      <c r="B264" t="n">
        <v>34413738</v>
      </c>
      <c r="C264" s="2" t="n">
        <v>45727</v>
      </c>
      <c r="D264" t="inlineStr">
        <is>
          <t>SPEC</t>
        </is>
      </c>
      <c r="E26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64" t="inlineStr">
        <is>
          <t>IQ</t>
        </is>
      </c>
      <c r="H264" t="inlineStr">
        <is>
          <t>ISOLATION BANKLOAD</t>
        </is>
      </c>
      <c r="J264" t="inlineStr">
        <is>
          <t>MATRION</t>
        </is>
      </c>
      <c r="K264" t="inlineStr">
        <is>
          <t>CUIVRE</t>
        </is>
      </c>
      <c r="L264">
        <f>_xlfn.XLOOKUP(Tableau1[[#This Row],[TYPE DE PIECE]],Tableau4[MATIERE],Tableau4[SHORT TYPE],"",0,1)</f>
        <v/>
      </c>
      <c r="N264">
        <f>IF(ISERR(FIND("DECOUPE",Tableau1[[#This Row],[DESIGNATION]])),"","NEED REF")</f>
        <v/>
      </c>
    </row>
    <row r="265">
      <c r="B265" t="n">
        <v>34413737</v>
      </c>
      <c r="C265" s="2" t="n">
        <v>45727</v>
      </c>
      <c r="D265" t="inlineStr">
        <is>
          <t>SPEC</t>
        </is>
      </c>
      <c r="E26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65" t="inlineStr">
        <is>
          <t>IQ</t>
        </is>
      </c>
      <c r="H265" t="inlineStr">
        <is>
          <t>ISOLATION BANKLOAD</t>
        </is>
      </c>
      <c r="J265" t="inlineStr">
        <is>
          <t>MATRION</t>
        </is>
      </c>
      <c r="K265" t="inlineStr">
        <is>
          <t>CUIVRE</t>
        </is>
      </c>
      <c r="L265">
        <f>_xlfn.XLOOKUP(Tableau1[[#This Row],[TYPE DE PIECE]],Tableau4[MATIERE],Tableau4[SHORT TYPE],"",0,1)</f>
        <v/>
      </c>
      <c r="N265">
        <f>IF(ISERR(FIND("DECOUPE",Tableau1[[#This Row],[DESIGNATION]])),"","NEED REF")</f>
        <v/>
      </c>
    </row>
    <row r="266">
      <c r="B266" t="n">
        <v>34413736</v>
      </c>
      <c r="C266" s="2" t="n">
        <v>45727</v>
      </c>
      <c r="D266" t="inlineStr">
        <is>
          <t>SPEC</t>
        </is>
      </c>
      <c r="E266" t="inlineStr">
        <is>
          <t>SMT PLAQUE DE FOND COFFRET 1000x800</t>
        </is>
      </c>
      <c r="F266" t="inlineStr">
        <is>
          <t>QSBI06507</t>
        </is>
      </c>
      <c r="J266" t="inlineStr">
        <is>
          <t>BERNARDEAU</t>
        </is>
      </c>
      <c r="K266" t="inlineStr">
        <is>
          <t>METAL</t>
        </is>
      </c>
      <c r="L266">
        <f>_xlfn.XLOOKUP(Tableau1[[#This Row],[TYPE DE PIECE]],Tableau4[MATIERE],Tableau4[SHORT TYPE],"",0,1)</f>
        <v/>
      </c>
      <c r="N266">
        <f>IF(ISERR(FIND("DECOUPE",Tableau1[[#This Row],[DESIGNATION]])),"","NEED REF")</f>
        <v/>
      </c>
    </row>
    <row r="267">
      <c r="B267" t="n">
        <v>34413735</v>
      </c>
      <c r="C267" s="2" t="n">
        <v>45727</v>
      </c>
      <c r="D267" t="inlineStr">
        <is>
          <t>SPEC</t>
        </is>
      </c>
      <c r="E267" t="inlineStr">
        <is>
          <t>PORTE STS AFFICHEUR TERRACO RAL9023 - FAF0006230</t>
        </is>
      </c>
      <c r="J267" t="inlineStr">
        <is>
          <t>BESSIERE</t>
        </is>
      </c>
      <c r="L267">
        <f>_xlfn.XLOOKUP(Tableau1[[#This Row],[TYPE DE PIECE]],Tableau4[MATIERE],Tableau4[SHORT TYPE],"",0,1)</f>
        <v/>
      </c>
      <c r="N267">
        <f>IF(ISERR(FIND("DECOUPE",Tableau1[[#This Row],[DESIGNATION]])),"","NEED REF")</f>
        <v/>
      </c>
    </row>
    <row r="268">
      <c r="B268" t="n">
        <v>34413734</v>
      </c>
      <c r="C268" s="2" t="n">
        <v>45727</v>
      </c>
      <c r="D268" t="inlineStr">
        <is>
          <t>SPEC</t>
        </is>
      </c>
      <c r="E268" t="inlineStr">
        <is>
          <t>PANNEAU ARRIERE STS SFN RAL9023 - FAF0006230</t>
        </is>
      </c>
      <c r="J268" t="inlineStr">
        <is>
          <t>BESSIERE</t>
        </is>
      </c>
      <c r="L268">
        <f>_xlfn.XLOOKUP(Tableau1[[#This Row],[TYPE DE PIECE]],Tableau4[MATIERE],Tableau4[SHORT TYPE],"",0,1)</f>
        <v/>
      </c>
      <c r="N268">
        <f>IF(ISERR(FIND("DECOUPE",Tableau1[[#This Row],[DESIGNATION]])),"","NEED REF")</f>
        <v/>
      </c>
    </row>
    <row r="269">
      <c r="B269" t="n">
        <v>34413733</v>
      </c>
      <c r="C269" s="2" t="n">
        <v>45727</v>
      </c>
      <c r="D269" t="inlineStr">
        <is>
          <t>SPEC</t>
        </is>
      </c>
      <c r="E269" t="inlineStr">
        <is>
          <t>PANNEAU LATERAL STS SFN RAL9023 - FAF0006230</t>
        </is>
      </c>
      <c r="J269" t="inlineStr">
        <is>
          <t>BESSIERE</t>
        </is>
      </c>
      <c r="L269">
        <f>_xlfn.XLOOKUP(Tableau1[[#This Row],[TYPE DE PIECE]],Tableau4[MATIERE],Tableau4[SHORT TYPE],"",0,1)</f>
        <v/>
      </c>
      <c r="N269">
        <f>IF(ISERR(FIND("DECOUPE",Tableau1[[#This Row],[DESIGNATION]])),"","NEED REF")</f>
        <v/>
      </c>
    </row>
    <row r="270">
      <c r="B270" t="n">
        <v>34413732</v>
      </c>
      <c r="C270" s="2" t="n">
        <v>45727</v>
      </c>
      <c r="D270" t="inlineStr">
        <is>
          <t>SPEC</t>
        </is>
      </c>
      <c r="E270" t="inlineStr">
        <is>
          <t>TOIT STS SFN 700x1000 RAL9023 - FAF0006230</t>
        </is>
      </c>
      <c r="J270" t="inlineStr">
        <is>
          <t>BESSIERE</t>
        </is>
      </c>
      <c r="L270">
        <f>_xlfn.XLOOKUP(Tableau1[[#This Row],[TYPE DE PIECE]],Tableau4[MATIERE],Tableau4[SHORT TYPE],"",0,1)</f>
        <v/>
      </c>
      <c r="N270">
        <f>IF(ISERR(FIND("DECOUPE",Tableau1[[#This Row],[DESIGNATION]])),"","NEED REF")</f>
        <v/>
      </c>
    </row>
    <row r="271">
      <c r="B271" t="n">
        <v>34413731</v>
      </c>
      <c r="C271" s="2" t="n">
        <v>45727</v>
      </c>
      <c r="D271" t="inlineStr">
        <is>
          <t>SPEC</t>
        </is>
      </c>
      <c r="E271" t="inlineStr">
        <is>
          <t>Ossature de cellule Spacial SFN 2000x700x1000 RAL9023</t>
        </is>
      </c>
      <c r="J271" t="inlineStr">
        <is>
          <t>BESSIERE</t>
        </is>
      </c>
      <c r="L271">
        <f>_xlfn.XLOOKUP(Tableau1[[#This Row],[TYPE DE PIECE]],Tableau4[MATIERE],Tableau4[SHORT TYPE],"",0,1)</f>
        <v/>
      </c>
      <c r="N271">
        <f>IF(ISERR(FIND("DECOUPE",Tableau1[[#This Row],[DESIGNATION]])),"","NEED REF")</f>
        <v/>
      </c>
    </row>
    <row r="272">
      <c r="B272" t="n">
        <v>34413730</v>
      </c>
      <c r="C272" s="2" t="n">
        <v>45726</v>
      </c>
      <c r="D272" t="inlineStr">
        <is>
          <t>SPEC</t>
        </is>
      </c>
      <c r="E272" t="inlineStr">
        <is>
          <t>SMT COFFRET SAREL NSYS3D5525 AVEC DECOUPE 870-67699 RAL9003</t>
        </is>
      </c>
      <c r="J272" t="inlineStr">
        <is>
          <t>BERNARDEAU</t>
        </is>
      </c>
      <c r="K272" t="inlineStr">
        <is>
          <t>NOMENCLATURE</t>
        </is>
      </c>
      <c r="L272">
        <f>_xlfn.XLOOKUP(Tableau1[[#This Row],[TYPE DE PIECE]],Tableau4[MATIERE],Tableau4[SHORT TYPE],"",0,1)</f>
        <v/>
      </c>
      <c r="N272" t="inlineStr">
        <is>
          <t>NSYS3D5525</t>
        </is>
      </c>
    </row>
    <row r="273">
      <c r="B273" t="n">
        <v>34413729</v>
      </c>
      <c r="C273" s="2" t="n">
        <v>45726</v>
      </c>
      <c r="D273" t="inlineStr">
        <is>
          <t>SPEC</t>
        </is>
      </c>
      <c r="E27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73" t="inlineStr">
        <is>
          <t>IQ</t>
        </is>
      </c>
      <c r="H273" t="inlineStr">
        <is>
          <t>ISOLATION BANKLOAD</t>
        </is>
      </c>
      <c r="J273" t="inlineStr">
        <is>
          <t>MATRION</t>
        </is>
      </c>
      <c r="K273" t="inlineStr">
        <is>
          <t>METAL</t>
        </is>
      </c>
      <c r="L273">
        <f>_xlfn.XLOOKUP(Tableau1[[#This Row],[TYPE DE PIECE]],Tableau4[MATIERE],Tableau4[SHORT TYPE],"",0,1)</f>
        <v/>
      </c>
      <c r="N273">
        <f>IF(ISERR(FIND("DECOUPE",Tableau1[[#This Row],[DESIGNATION]])),"","NEED REF")</f>
        <v/>
      </c>
    </row>
    <row r="274">
      <c r="B274" t="n">
        <v>34413728</v>
      </c>
      <c r="C274" s="2" t="n">
        <v>45726</v>
      </c>
      <c r="D274" t="inlineStr">
        <is>
          <t>SPEC</t>
        </is>
      </c>
      <c r="E27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74" t="inlineStr">
        <is>
          <t>IQ</t>
        </is>
      </c>
      <c r="H274" t="inlineStr">
        <is>
          <t>ISOLATION BANKLOAD</t>
        </is>
      </c>
      <c r="J274" t="inlineStr">
        <is>
          <t>MATRION</t>
        </is>
      </c>
      <c r="K274" t="inlineStr">
        <is>
          <t>METAL</t>
        </is>
      </c>
      <c r="L274">
        <f>_xlfn.XLOOKUP(Tableau1[[#This Row],[TYPE DE PIECE]],Tableau4[MATIERE],Tableau4[SHORT TYPE],"",0,1)</f>
        <v/>
      </c>
      <c r="N274">
        <f>IF(ISERR(FIND("DECOUPE",Tableau1[[#This Row],[DESIGNATION]])),"","NEED REF")</f>
        <v/>
      </c>
    </row>
    <row r="275">
      <c r="B275" t="n">
        <v>34413727</v>
      </c>
      <c r="C275" s="2" t="n">
        <v>45723</v>
      </c>
      <c r="D275" t="inlineStr">
        <is>
          <t>SPEC</t>
        </is>
      </c>
      <c r="E27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75" t="inlineStr">
        <is>
          <t>IQ</t>
        </is>
      </c>
      <c r="H275" t="inlineStr">
        <is>
          <t>ISOLATION BANKLOAD</t>
        </is>
      </c>
      <c r="J275" t="inlineStr">
        <is>
          <t>MATRION</t>
        </is>
      </c>
      <c r="K275" t="inlineStr">
        <is>
          <t>PLASTIQUE</t>
        </is>
      </c>
      <c r="L275">
        <f>_xlfn.XLOOKUP(Tableau1[[#This Row],[TYPE DE PIECE]],Tableau4[MATIERE],Tableau4[SHORT TYPE],"",0,1)</f>
        <v/>
      </c>
      <c r="N275">
        <f>IF(ISERR(FIND("DECOUPE",Tableau1[[#This Row],[DESIGNATION]])),"","NEED REF")</f>
        <v/>
      </c>
    </row>
    <row r="276">
      <c r="B276" t="n">
        <v>34413726</v>
      </c>
      <c r="C276" s="2" t="n">
        <v>45723</v>
      </c>
      <c r="D276" t="inlineStr">
        <is>
          <t>SPEC</t>
        </is>
      </c>
      <c r="E27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76" t="inlineStr">
        <is>
          <t>IQ</t>
        </is>
      </c>
      <c r="H276" t="inlineStr">
        <is>
          <t>ISOLATION BANKLOAD</t>
        </is>
      </c>
      <c r="J276" t="inlineStr">
        <is>
          <t>MATRION</t>
        </is>
      </c>
      <c r="K276" t="inlineStr">
        <is>
          <t>METAL</t>
        </is>
      </c>
      <c r="L276">
        <f>_xlfn.XLOOKUP(Tableau1[[#This Row],[TYPE DE PIECE]],Tableau4[MATIERE],Tableau4[SHORT TYPE],"",0,1)</f>
        <v/>
      </c>
      <c r="N276">
        <f>IF(ISERR(FIND("DECOUPE",Tableau1[[#This Row],[DESIGNATION]])),"","NEED REF")</f>
        <v/>
      </c>
    </row>
    <row r="277">
      <c r="B277" t="n">
        <v>34413725</v>
      </c>
      <c r="C277" s="2" t="n">
        <v>45723</v>
      </c>
      <c r="D277" t="inlineStr">
        <is>
          <t>SPEC</t>
        </is>
      </c>
      <c r="E277" t="inlineStr">
        <is>
          <t>NS100 protection shield</t>
        </is>
      </c>
      <c r="J277" t="inlineStr">
        <is>
          <t>BESSIERE</t>
        </is>
      </c>
      <c r="L277">
        <f>_xlfn.XLOOKUP(Tableau1[[#This Row],[TYPE DE PIECE]],Tableau4[MATIERE],Tableau4[SHORT TYPE],"",0,1)</f>
        <v/>
      </c>
      <c r="N277">
        <f>IF(ISERR(FIND("DECOUPE",Tableau1[[#This Row],[DESIGNATION]])),"","NEED REF")</f>
        <v/>
      </c>
    </row>
    <row r="278">
      <c r="B278" t="n">
        <v>34413724</v>
      </c>
      <c r="C278" s="2" t="n">
        <v>45723</v>
      </c>
      <c r="D278" t="inlineStr">
        <is>
          <t>SPEC</t>
        </is>
      </c>
      <c r="E278" t="inlineStr">
        <is>
          <t>SUPPORT NS100</t>
        </is>
      </c>
      <c r="J278" t="inlineStr">
        <is>
          <t>BESSIERE</t>
        </is>
      </c>
      <c r="L278">
        <f>_xlfn.XLOOKUP(Tableau1[[#This Row],[TYPE DE PIECE]],Tableau4[MATIERE],Tableau4[SHORT TYPE],"",0,1)</f>
        <v/>
      </c>
      <c r="N278">
        <f>IF(ISERR(FIND("DECOUPE",Tableau1[[#This Row],[DESIGNATION]])),"","NEED REF")</f>
        <v/>
      </c>
    </row>
    <row r="279">
      <c r="B279" t="n">
        <v>34413723</v>
      </c>
      <c r="C279" s="2" t="n">
        <v>45723</v>
      </c>
      <c r="D279" t="inlineStr">
        <is>
          <t>SPEC</t>
        </is>
      </c>
      <c r="E27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79" t="inlineStr">
        <is>
          <t>IQ</t>
        </is>
      </c>
      <c r="H279" t="inlineStr">
        <is>
          <t>ISOLATION BANKLOAD</t>
        </is>
      </c>
      <c r="J279" t="inlineStr">
        <is>
          <t>MATRION</t>
        </is>
      </c>
      <c r="K279" t="inlineStr">
        <is>
          <t>CUIVRE</t>
        </is>
      </c>
      <c r="L279">
        <f>_xlfn.XLOOKUP(Tableau1[[#This Row],[TYPE DE PIECE]],Tableau4[MATIERE],Tableau4[SHORT TYPE],"",0,1)</f>
        <v/>
      </c>
      <c r="N279">
        <f>IF(ISERR(FIND("DECOUPE",Tableau1[[#This Row],[DESIGNATION]])),"","NEED REF")</f>
        <v/>
      </c>
    </row>
    <row r="280">
      <c r="B280" t="n">
        <v>34413722</v>
      </c>
      <c r="C280" s="2" t="n">
        <v>45722</v>
      </c>
      <c r="D280" t="inlineStr">
        <is>
          <t>SPEC</t>
        </is>
      </c>
      <c r="E280" t="inlineStr">
        <is>
          <t>PE BAR</t>
        </is>
      </c>
      <c r="J280" t="inlineStr">
        <is>
          <t>BESSIERE</t>
        </is>
      </c>
      <c r="L280">
        <f>_xlfn.XLOOKUP(Tableau1[[#This Row],[TYPE DE PIECE]],Tableau4[MATIERE],Tableau4[SHORT TYPE],"",0,1)</f>
        <v/>
      </c>
      <c r="N280">
        <f>IF(ISERR(FIND("DECOUPE",Tableau1[[#This Row],[DESIGNATION]])),"","NEED REF")</f>
        <v/>
      </c>
    </row>
    <row r="281">
      <c r="B281" t="n">
        <v>34413721</v>
      </c>
      <c r="C281" s="2" t="n">
        <v>45722</v>
      </c>
      <c r="D281" t="inlineStr">
        <is>
          <t>SPEC</t>
        </is>
      </c>
      <c r="E28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81" t="inlineStr">
        <is>
          <t>IQ</t>
        </is>
      </c>
      <c r="H281" t="inlineStr">
        <is>
          <t>ISOLATION BANKLOAD</t>
        </is>
      </c>
      <c r="J281" t="inlineStr">
        <is>
          <t>MATRION</t>
        </is>
      </c>
      <c r="K281" t="inlineStr">
        <is>
          <t>METAL</t>
        </is>
      </c>
      <c r="L281">
        <f>_xlfn.XLOOKUP(Tableau1[[#This Row],[TYPE DE PIECE]],Tableau4[MATIERE],Tableau4[SHORT TYPE],"",0,1)</f>
        <v/>
      </c>
      <c r="N281">
        <f>IF(ISERR(FIND("DECOUPE",Tableau1[[#This Row],[DESIGNATION]])),"","NEED REF")</f>
        <v/>
      </c>
    </row>
    <row r="282">
      <c r="B282" t="n">
        <v>34413720</v>
      </c>
      <c r="C282" s="2" t="n">
        <v>45722</v>
      </c>
      <c r="D282" t="inlineStr">
        <is>
          <t>SPEC</t>
        </is>
      </c>
      <c r="E282" t="inlineStr">
        <is>
          <t>LEFT_GVXL - FRONT CABINET COUPLING PLATE</t>
        </is>
      </c>
      <c r="J282" t="inlineStr">
        <is>
          <t>BESSIERE</t>
        </is>
      </c>
      <c r="L282">
        <f>_xlfn.XLOOKUP(Tableau1[[#This Row],[TYPE DE PIECE]],Tableau4[MATIERE],Tableau4[SHORT TYPE],"",0,1)</f>
        <v/>
      </c>
      <c r="N282">
        <f>IF(ISERR(FIND("DECOUPE",Tableau1[[#This Row],[DESIGNATION]])),"","NEED REF")</f>
        <v/>
      </c>
    </row>
    <row r="283">
      <c r="B283" t="n">
        <v>34413719</v>
      </c>
      <c r="C283" s="2" t="n">
        <v>45722</v>
      </c>
      <c r="D283" t="inlineStr">
        <is>
          <t>SPEC</t>
        </is>
      </c>
      <c r="E283" t="inlineStr">
        <is>
          <t>rear cabinet coupling cover</t>
        </is>
      </c>
      <c r="J283" t="inlineStr">
        <is>
          <t>BESSIERE</t>
        </is>
      </c>
      <c r="L283">
        <f>_xlfn.XLOOKUP(Tableau1[[#This Row],[TYPE DE PIECE]],Tableau4[MATIERE],Tableau4[SHORT TYPE],"",0,1)</f>
        <v/>
      </c>
      <c r="N283">
        <f>IF(ISERR(FIND("DECOUPE",Tableau1[[#This Row],[DESIGNATION]])),"","NEED REF")</f>
        <v/>
      </c>
    </row>
    <row r="284">
      <c r="B284" t="n">
        <v>34413718</v>
      </c>
      <c r="C284" s="2" t="n">
        <v>45722</v>
      </c>
      <c r="D284" t="inlineStr">
        <is>
          <t>SPEC</t>
        </is>
      </c>
      <c r="E284" t="inlineStr">
        <is>
          <t>SE 34413718 IQ ISOLATION BANKLOAD NS1600H u2.0 + ROT. + CAF</t>
        </is>
      </c>
      <c r="G284" t="inlineStr">
        <is>
          <t>IQ</t>
        </is>
      </c>
      <c r="H284" t="inlineStr">
        <is>
          <t>ISOLATION BANKLOAD</t>
        </is>
      </c>
      <c r="J284" t="inlineStr">
        <is>
          <t>MATRION</t>
        </is>
      </c>
      <c r="K284" t="inlineStr">
        <is>
          <t>SE</t>
        </is>
      </c>
      <c r="L284">
        <f>_xlfn.XLOOKUP(Tableau1[[#This Row],[TYPE DE PIECE]],Tableau4[MATIERE],Tableau4[SHORT TYPE],"",0,1)</f>
        <v/>
      </c>
      <c r="N284">
        <f>IF(ISERR(FIND("DECOUPE",Tableau1[[#This Row],[DESIGNATION]])),"","NEED REF")</f>
        <v/>
      </c>
    </row>
    <row r="285">
      <c r="B285" t="n">
        <v>34413717</v>
      </c>
      <c r="C285" s="2" t="n">
        <v>45721</v>
      </c>
      <c r="D285" t="inlineStr">
        <is>
          <t>SPEC</t>
        </is>
      </c>
      <c r="E285" t="inlineStr">
        <is>
          <t>COP 34413717 IQ ISOLATION BANKLOAD ASSEMBLY 34413566+34413571+34413567</t>
        </is>
      </c>
      <c r="G285" t="inlineStr">
        <is>
          <t>IQ</t>
        </is>
      </c>
      <c r="H285" t="inlineStr">
        <is>
          <t>ISOLATION BANKLOAD</t>
        </is>
      </c>
      <c r="J285" t="inlineStr">
        <is>
          <t>MATRION</t>
        </is>
      </c>
      <c r="K285" t="inlineStr">
        <is>
          <t>CUIVRE</t>
        </is>
      </c>
      <c r="L285">
        <f>_xlfn.XLOOKUP(Tableau1[[#This Row],[TYPE DE PIECE]],Tableau4[MATIERE],Tableau4[SHORT TYPE],"",0,1)</f>
        <v/>
      </c>
      <c r="N285">
        <f>IF(ISERR(FIND("DECOUPE",Tableau1[[#This Row],[DESIGNATION]])),"","NEED REF")</f>
        <v/>
      </c>
    </row>
    <row r="286">
      <c r="B286" t="n">
        <v>34413716</v>
      </c>
      <c r="C286" s="2" t="n">
        <v>45721</v>
      </c>
      <c r="D286" t="inlineStr">
        <is>
          <t>SPEC</t>
        </is>
      </c>
      <c r="E28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86" t="inlineStr">
        <is>
          <t>IQ</t>
        </is>
      </c>
      <c r="H286" t="inlineStr">
        <is>
          <t>ISOLATION BANKLOAD</t>
        </is>
      </c>
      <c r="J286" t="inlineStr">
        <is>
          <t>MATRION</t>
        </is>
      </c>
      <c r="K286" t="inlineStr">
        <is>
          <t>PLASTIQUE</t>
        </is>
      </c>
      <c r="L286">
        <f>_xlfn.XLOOKUP(Tableau1[[#This Row],[TYPE DE PIECE]],Tableau4[MATIERE],Tableau4[SHORT TYPE],"",0,1)</f>
        <v/>
      </c>
      <c r="N286">
        <f>IF(ISERR(FIND("DECOUPE",Tableau1[[#This Row],[DESIGNATION]])),"","NEED REF")</f>
        <v/>
      </c>
    </row>
    <row r="287">
      <c r="B287" t="n">
        <v>34413715</v>
      </c>
      <c r="C287" s="2" t="n">
        <v>45720</v>
      </c>
      <c r="D287" t="inlineStr">
        <is>
          <t>SPEC</t>
        </is>
      </c>
      <c r="E28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87" t="inlineStr">
        <is>
          <t>IQ</t>
        </is>
      </c>
      <c r="H287" t="inlineStr">
        <is>
          <t>ISOLATION BANKLOAD</t>
        </is>
      </c>
      <c r="J287" t="inlineStr">
        <is>
          <t>MATRION</t>
        </is>
      </c>
      <c r="K287" t="inlineStr">
        <is>
          <t>CUIVRE</t>
        </is>
      </c>
      <c r="L287">
        <f>_xlfn.XLOOKUP(Tableau1[[#This Row],[TYPE DE PIECE]],Tableau4[MATIERE],Tableau4[SHORT TYPE],"",0,1)</f>
        <v/>
      </c>
      <c r="N287">
        <f>IF(ISERR(FIND("DECOUPE",Tableau1[[#This Row],[DESIGNATION]])),"","NEED REF")</f>
        <v/>
      </c>
    </row>
    <row r="288">
      <c r="B288" t="n">
        <v>34413714</v>
      </c>
      <c r="C288" s="2" t="n">
        <v>45720</v>
      </c>
      <c r="D288" t="inlineStr">
        <is>
          <t>SPEC</t>
        </is>
      </c>
      <c r="E28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88" t="inlineStr">
        <is>
          <t>IQ</t>
        </is>
      </c>
      <c r="H288" t="inlineStr">
        <is>
          <t>ISOLATION BANKLOAD</t>
        </is>
      </c>
      <c r="J288" t="inlineStr">
        <is>
          <t>MATRION</t>
        </is>
      </c>
      <c r="K288" t="inlineStr">
        <is>
          <t>CUIVRE</t>
        </is>
      </c>
      <c r="L288">
        <f>_xlfn.XLOOKUP(Tableau1[[#This Row],[TYPE DE PIECE]],Tableau4[MATIERE],Tableau4[SHORT TYPE],"",0,1)</f>
        <v/>
      </c>
      <c r="N288">
        <f>IF(ISERR(FIND("DECOUPE",Tableau1[[#This Row],[DESIGNATION]])),"","NEED REF")</f>
        <v/>
      </c>
    </row>
    <row r="289">
      <c r="B289" t="n">
        <v>34413713</v>
      </c>
      <c r="C289" s="2" t="n">
        <v>45720</v>
      </c>
      <c r="D289" t="inlineStr">
        <is>
          <t>SPEC</t>
        </is>
      </c>
      <c r="E28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89" t="inlineStr">
        <is>
          <t>IQ</t>
        </is>
      </c>
      <c r="H289" t="inlineStr">
        <is>
          <t>ISOLATION BANKLOAD</t>
        </is>
      </c>
      <c r="J289" t="inlineStr">
        <is>
          <t>MATRION</t>
        </is>
      </c>
      <c r="K289" t="inlineStr">
        <is>
          <t>CUIVRE</t>
        </is>
      </c>
      <c r="L289">
        <f>_xlfn.XLOOKUP(Tableau1[[#This Row],[TYPE DE PIECE]],Tableau4[MATIERE],Tableau4[SHORT TYPE],"",0,1)</f>
        <v/>
      </c>
      <c r="N289">
        <f>IF(ISERR(FIND("DECOUPE",Tableau1[[#This Row],[DESIGNATION]])),"","NEED REF")</f>
        <v/>
      </c>
    </row>
    <row r="290">
      <c r="B290" t="n">
        <v>34413712</v>
      </c>
      <c r="C290" s="2" t="n">
        <v>45720</v>
      </c>
      <c r="D290" t="inlineStr">
        <is>
          <t>SPEC</t>
        </is>
      </c>
      <c r="E29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90" t="inlineStr">
        <is>
          <t>IQ</t>
        </is>
      </c>
      <c r="H290" t="inlineStr">
        <is>
          <t>ISOLATION BANKLOAD</t>
        </is>
      </c>
      <c r="J290" t="inlineStr">
        <is>
          <t>MATRION</t>
        </is>
      </c>
      <c r="K290" t="inlineStr">
        <is>
          <t>CUIVRE</t>
        </is>
      </c>
      <c r="L290">
        <f>_xlfn.XLOOKUP(Tableau1[[#This Row],[TYPE DE PIECE]],Tableau4[MATIERE],Tableau4[SHORT TYPE],"",0,1)</f>
        <v/>
      </c>
      <c r="N290">
        <f>IF(ISERR(FIND("DECOUPE",Tableau1[[#This Row],[DESIGNATION]])),"","NEED REF")</f>
        <v/>
      </c>
    </row>
    <row r="291">
      <c r="B291" t="n">
        <v>34413711</v>
      </c>
      <c r="C291" s="2" t="n">
        <v>45720</v>
      </c>
      <c r="D291" t="inlineStr">
        <is>
          <t>SPEC</t>
        </is>
      </c>
      <c r="E29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91" t="inlineStr">
        <is>
          <t>IQ</t>
        </is>
      </c>
      <c r="H291" t="inlineStr">
        <is>
          <t>ISOLATION BANKLOAD</t>
        </is>
      </c>
      <c r="J291" t="inlineStr">
        <is>
          <t>MATRION</t>
        </is>
      </c>
      <c r="K291" t="inlineStr">
        <is>
          <t>CUIVRE</t>
        </is>
      </c>
      <c r="L291">
        <f>_xlfn.XLOOKUP(Tableau1[[#This Row],[TYPE DE PIECE]],Tableau4[MATIERE],Tableau4[SHORT TYPE],"",0,1)</f>
        <v/>
      </c>
      <c r="N291">
        <f>IF(ISERR(FIND("DECOUPE",Tableau1[[#This Row],[DESIGNATION]])),"","NEED REF")</f>
        <v/>
      </c>
    </row>
    <row r="292">
      <c r="B292" t="n">
        <v>34413710</v>
      </c>
      <c r="C292" s="2" t="n">
        <v>45720</v>
      </c>
      <c r="D292" t="inlineStr">
        <is>
          <t>SPEC</t>
        </is>
      </c>
      <c r="E29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92" t="inlineStr">
        <is>
          <t>IQ</t>
        </is>
      </c>
      <c r="H292" t="inlineStr">
        <is>
          <t>ISOLATION BANKLOAD</t>
        </is>
      </c>
      <c r="J292" t="inlineStr">
        <is>
          <t>MATRION</t>
        </is>
      </c>
      <c r="K292" t="inlineStr">
        <is>
          <t>CUIVRE</t>
        </is>
      </c>
      <c r="L292">
        <f>_xlfn.XLOOKUP(Tableau1[[#This Row],[TYPE DE PIECE]],Tableau4[MATIERE],Tableau4[SHORT TYPE],"",0,1)</f>
        <v/>
      </c>
      <c r="N292">
        <f>IF(ISERR(FIND("DECOUPE",Tableau1[[#This Row],[DESIGNATION]])),"","NEED REF")</f>
        <v/>
      </c>
    </row>
    <row r="293">
      <c r="B293" t="n">
        <v>34413709</v>
      </c>
      <c r="C293" s="2" t="n">
        <v>45720</v>
      </c>
      <c r="D293" t="inlineStr">
        <is>
          <t>SPEC</t>
        </is>
      </c>
      <c r="E29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93" t="inlineStr">
        <is>
          <t>IQ</t>
        </is>
      </c>
      <c r="H293" t="inlineStr">
        <is>
          <t>ISOLATION BANKLOAD</t>
        </is>
      </c>
      <c r="J293" t="inlineStr">
        <is>
          <t>MATRION</t>
        </is>
      </c>
      <c r="K293" t="inlineStr">
        <is>
          <t>CUIVRE</t>
        </is>
      </c>
      <c r="L293">
        <f>_xlfn.XLOOKUP(Tableau1[[#This Row],[TYPE DE PIECE]],Tableau4[MATIERE],Tableau4[SHORT TYPE],"",0,1)</f>
        <v/>
      </c>
      <c r="N293">
        <f>IF(ISERR(FIND("DECOUPE",Tableau1[[#This Row],[DESIGNATION]])),"","NEED REF")</f>
        <v/>
      </c>
    </row>
    <row r="294">
      <c r="B294" t="n">
        <v>34413708</v>
      </c>
      <c r="C294" s="2" t="n">
        <v>45720</v>
      </c>
      <c r="D294" t="inlineStr">
        <is>
          <t>SPEC</t>
        </is>
      </c>
      <c r="E29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94" t="inlineStr">
        <is>
          <t>IQ</t>
        </is>
      </c>
      <c r="H294" t="inlineStr">
        <is>
          <t>ISOLATION BANKLOAD</t>
        </is>
      </c>
      <c r="J294" t="inlineStr">
        <is>
          <t>MATRION</t>
        </is>
      </c>
      <c r="K294" t="inlineStr">
        <is>
          <t>CUIVRE</t>
        </is>
      </c>
      <c r="L294">
        <f>_xlfn.XLOOKUP(Tableau1[[#This Row],[TYPE DE PIECE]],Tableau4[MATIERE],Tableau4[SHORT TYPE],"",0,1)</f>
        <v/>
      </c>
      <c r="N294">
        <f>IF(ISERR(FIND("DECOUPE",Tableau1[[#This Row],[DESIGNATION]])),"","NEED REF")</f>
        <v/>
      </c>
    </row>
    <row r="295">
      <c r="B295" t="n">
        <v>34413707</v>
      </c>
      <c r="C295" s="2" t="n">
        <v>45720</v>
      </c>
      <c r="D295" t="inlineStr">
        <is>
          <t>SPEC</t>
        </is>
      </c>
      <c r="E29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295" t="inlineStr">
        <is>
          <t>IQ</t>
        </is>
      </c>
      <c r="H295" t="inlineStr">
        <is>
          <t>ISOLATION BANKLOAD</t>
        </is>
      </c>
      <c r="J295" t="inlineStr">
        <is>
          <t>MATRION</t>
        </is>
      </c>
      <c r="K295" t="inlineStr">
        <is>
          <t>METAL</t>
        </is>
      </c>
      <c r="L295">
        <f>_xlfn.XLOOKUP(Tableau1[[#This Row],[TYPE DE PIECE]],Tableau4[MATIERE],Tableau4[SHORT TYPE],"",0,1)</f>
        <v/>
      </c>
      <c r="N295">
        <f>IF(ISERR(FIND("DECOUPE",Tableau1[[#This Row],[DESIGNATION]])),"","NEED REF")</f>
        <v/>
      </c>
    </row>
    <row r="296">
      <c r="B296" t="n">
        <v>34413706</v>
      </c>
      <c r="C296" s="2" t="n">
        <v>45719</v>
      </c>
      <c r="D296" t="inlineStr">
        <is>
          <t>SPEC</t>
        </is>
      </c>
      <c r="E29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96" t="inlineStr">
        <is>
          <t>BESSIERE</t>
        </is>
      </c>
      <c r="L296">
        <f>_xlfn.XLOOKUP(Tableau1[[#This Row],[TYPE DE PIECE]],Tableau4[MATIERE],Tableau4[SHORT TYPE],"",0,1)</f>
        <v/>
      </c>
      <c r="N296">
        <f>IF(ISERR(FIND("DECOUPE",Tableau1[[#This Row],[DESIGNATION]])),"","NEED REF")</f>
        <v/>
      </c>
    </row>
    <row r="297">
      <c r="B297" t="n">
        <v>34413705</v>
      </c>
      <c r="C297" s="2" t="n">
        <v>45719</v>
      </c>
      <c r="D297" t="inlineStr">
        <is>
          <t>SPEC</t>
        </is>
      </c>
      <c r="E29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97" t="inlineStr">
        <is>
          <t>BESSIERE</t>
        </is>
      </c>
      <c r="L297">
        <f>_xlfn.XLOOKUP(Tableau1[[#This Row],[TYPE DE PIECE]],Tableau4[MATIERE],Tableau4[SHORT TYPE],"",0,1)</f>
        <v/>
      </c>
      <c r="N297">
        <f>IF(ISERR(FIND("DECOUPE",Tableau1[[#This Row],[DESIGNATION]])),"","NEED REF")</f>
        <v/>
      </c>
    </row>
    <row r="298">
      <c r="B298" t="n">
        <v>34413704</v>
      </c>
      <c r="C298" s="2" t="n">
        <v>45719</v>
      </c>
      <c r="D298" t="inlineStr">
        <is>
          <t>SPEC</t>
        </is>
      </c>
      <c r="E29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98" t="inlineStr">
        <is>
          <t>BESSIERE</t>
        </is>
      </c>
      <c r="L298">
        <f>_xlfn.XLOOKUP(Tableau1[[#This Row],[TYPE DE PIECE]],Tableau4[MATIERE],Tableau4[SHORT TYPE],"",0,1)</f>
        <v/>
      </c>
      <c r="N298">
        <f>IF(ISERR(FIND("DECOUPE",Tableau1[[#This Row],[DESIGNATION]])),"","NEED REF")</f>
        <v/>
      </c>
    </row>
    <row r="299">
      <c r="B299" t="n">
        <v>34413703</v>
      </c>
      <c r="C299" s="2" t="n">
        <v>45719</v>
      </c>
      <c r="D299" t="inlineStr">
        <is>
          <t>SPEC</t>
        </is>
      </c>
      <c r="E29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299" t="inlineStr">
        <is>
          <t>BESSIERE</t>
        </is>
      </c>
      <c r="L299">
        <f>_xlfn.XLOOKUP(Tableau1[[#This Row],[TYPE DE PIECE]],Tableau4[MATIERE],Tableau4[SHORT TYPE],"",0,1)</f>
        <v/>
      </c>
      <c r="N299">
        <f>IF(ISERR(FIND("DECOUPE",Tableau1[[#This Row],[DESIGNATION]])),"","NEED REF")</f>
        <v/>
      </c>
    </row>
    <row r="300">
      <c r="B300" t="n">
        <v>34413702</v>
      </c>
      <c r="C300" s="2" t="n">
        <v>45719</v>
      </c>
      <c r="D300" t="inlineStr">
        <is>
          <t>SPEC</t>
        </is>
      </c>
      <c r="E30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300" t="inlineStr">
        <is>
          <t>BESSIERE</t>
        </is>
      </c>
      <c r="L300">
        <f>_xlfn.XLOOKUP(Tableau1[[#This Row],[TYPE DE PIECE]],Tableau4[MATIERE],Tableau4[SHORT TYPE],"",0,1)</f>
        <v/>
      </c>
      <c r="N300">
        <f>IF(ISERR(FIND("DECOUPE",Tableau1[[#This Row],[DESIGNATION]])),"","NEED REF")</f>
        <v/>
      </c>
    </row>
    <row r="301">
      <c r="B301" t="n">
        <v>34413701</v>
      </c>
      <c r="C301" s="2" t="n">
        <v>45719</v>
      </c>
      <c r="D301" t="inlineStr">
        <is>
          <t>SPEC</t>
        </is>
      </c>
      <c r="E30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01" t="inlineStr">
        <is>
          <t>IQ</t>
        </is>
      </c>
      <c r="H301" t="inlineStr">
        <is>
          <t>ISOLATION BANKLOAD</t>
        </is>
      </c>
      <c r="J301" t="inlineStr">
        <is>
          <t>MATRION</t>
        </is>
      </c>
      <c r="K301" t="inlineStr">
        <is>
          <t>METAL</t>
        </is>
      </c>
      <c r="L301">
        <f>_xlfn.XLOOKUP(Tableau1[[#This Row],[TYPE DE PIECE]],Tableau4[MATIERE],Tableau4[SHORT TYPE],"",0,1)</f>
        <v/>
      </c>
      <c r="N301">
        <f>IF(ISERR(FIND("DECOUPE",Tableau1[[#This Row],[DESIGNATION]])),"","NEED REF")</f>
        <v/>
      </c>
    </row>
    <row r="302">
      <c r="B302" t="n">
        <v>34413700</v>
      </c>
      <c r="C302" s="2" t="n">
        <v>45719</v>
      </c>
      <c r="D302" t="inlineStr">
        <is>
          <t>SPEC</t>
        </is>
      </c>
      <c r="E30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02" t="inlineStr">
        <is>
          <t>IQ</t>
        </is>
      </c>
      <c r="H302" t="inlineStr">
        <is>
          <t>ISOLATION BANKLOAD</t>
        </is>
      </c>
      <c r="J302" t="inlineStr">
        <is>
          <t>MATRION</t>
        </is>
      </c>
      <c r="K302" t="inlineStr">
        <is>
          <t>METAL</t>
        </is>
      </c>
      <c r="L302">
        <f>_xlfn.XLOOKUP(Tableau1[[#This Row],[TYPE DE PIECE]],Tableau4[MATIERE],Tableau4[SHORT TYPE],"",0,1)</f>
        <v/>
      </c>
      <c r="N302">
        <f>IF(ISERR(FIND("DECOUPE",Tableau1[[#This Row],[DESIGNATION]])),"","NEED REF")</f>
        <v/>
      </c>
    </row>
    <row r="303">
      <c r="B303" t="n">
        <v>34413699</v>
      </c>
      <c r="C303" s="2" t="n">
        <v>45719</v>
      </c>
      <c r="D303" t="inlineStr">
        <is>
          <t>SPEC</t>
        </is>
      </c>
      <c r="E30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03" t="inlineStr">
        <is>
          <t>IQ</t>
        </is>
      </c>
      <c r="H303" t="inlineStr">
        <is>
          <t>ISOLATION BANKLOAD</t>
        </is>
      </c>
      <c r="J303" t="inlineStr">
        <is>
          <t>MATRION</t>
        </is>
      </c>
      <c r="K303" t="inlineStr">
        <is>
          <t>METAL</t>
        </is>
      </c>
      <c r="L303">
        <f>_xlfn.XLOOKUP(Tableau1[[#This Row],[TYPE DE PIECE]],Tableau4[MATIERE],Tableau4[SHORT TYPE],"",0,1)</f>
        <v/>
      </c>
      <c r="N303">
        <f>IF(ISERR(FIND("DECOUPE",Tableau1[[#This Row],[DESIGNATION]])),"","NEED REF")</f>
        <v/>
      </c>
    </row>
    <row r="304">
      <c r="B304" t="n">
        <v>34413698</v>
      </c>
      <c r="C304" s="2" t="n">
        <v>45719</v>
      </c>
      <c r="D304" t="inlineStr">
        <is>
          <t>SPEC</t>
        </is>
      </c>
      <c r="E30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04" t="inlineStr">
        <is>
          <t>IQ</t>
        </is>
      </c>
      <c r="H304" t="inlineStr">
        <is>
          <t>ISOLATION BANKLOAD</t>
        </is>
      </c>
      <c r="J304" t="inlineStr">
        <is>
          <t>MATRION</t>
        </is>
      </c>
      <c r="K304" t="inlineStr">
        <is>
          <t>METAL</t>
        </is>
      </c>
      <c r="L304">
        <f>_xlfn.XLOOKUP(Tableau1[[#This Row],[TYPE DE PIECE]],Tableau4[MATIERE],Tableau4[SHORT TYPE],"",0,1)</f>
        <v/>
      </c>
      <c r="N304">
        <f>IF(ISERR(FIND("DECOUPE",Tableau1[[#This Row],[DESIGNATION]])),"","NEED REF")</f>
        <v/>
      </c>
    </row>
    <row r="305">
      <c r="B305" t="n">
        <v>34413697</v>
      </c>
      <c r="C305" s="2" t="n">
        <v>45719</v>
      </c>
      <c r="D305" t="inlineStr">
        <is>
          <t>SPEC</t>
        </is>
      </c>
      <c r="E30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05" t="inlineStr">
        <is>
          <t>IQ</t>
        </is>
      </c>
      <c r="H305" t="inlineStr">
        <is>
          <t>ISOLATION BANKLOAD</t>
        </is>
      </c>
      <c r="J305" t="inlineStr">
        <is>
          <t>MATRION</t>
        </is>
      </c>
      <c r="K305" t="inlineStr">
        <is>
          <t>METAL</t>
        </is>
      </c>
      <c r="L305">
        <f>_xlfn.XLOOKUP(Tableau1[[#This Row],[TYPE DE PIECE]],Tableau4[MATIERE],Tableau4[SHORT TYPE],"",0,1)</f>
        <v/>
      </c>
      <c r="N305">
        <f>IF(ISERR(FIND("DECOUPE",Tableau1[[#This Row],[DESIGNATION]])),"","NEED REF")</f>
        <v/>
      </c>
    </row>
    <row r="306">
      <c r="B306" t="n">
        <v>34413696</v>
      </c>
      <c r="C306" s="2" t="n">
        <v>45719</v>
      </c>
      <c r="D306" t="inlineStr">
        <is>
          <t>SPEC</t>
        </is>
      </c>
      <c r="E30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06" t="inlineStr">
        <is>
          <t>IQ</t>
        </is>
      </c>
      <c r="H306" t="inlineStr">
        <is>
          <t>ISOLATION BANKLOAD</t>
        </is>
      </c>
      <c r="J306" t="inlineStr">
        <is>
          <t>MATRION</t>
        </is>
      </c>
      <c r="K306" t="inlineStr">
        <is>
          <t>METAL</t>
        </is>
      </c>
      <c r="L306">
        <f>_xlfn.XLOOKUP(Tableau1[[#This Row],[TYPE DE PIECE]],Tableau4[MATIERE],Tableau4[SHORT TYPE],"",0,1)</f>
        <v/>
      </c>
      <c r="N306">
        <f>IF(ISERR(FIND("DECOUPE",Tableau1[[#This Row],[DESIGNATION]])),"","NEED REF")</f>
        <v/>
      </c>
    </row>
    <row r="307">
      <c r="B307" t="n">
        <v>34413695</v>
      </c>
      <c r="C307" s="2" t="n">
        <v>45716</v>
      </c>
      <c r="D307" t="inlineStr">
        <is>
          <t>SPEC</t>
        </is>
      </c>
      <c r="E30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307" t="inlineStr">
        <is>
          <t>BESSIERE</t>
        </is>
      </c>
      <c r="L307">
        <f>_xlfn.XLOOKUP(Tableau1[[#This Row],[TYPE DE PIECE]],Tableau4[MATIERE],Tableau4[SHORT TYPE],"",0,1)</f>
        <v/>
      </c>
      <c r="N307">
        <f>IF(ISERR(FIND("DECOUPE",Tableau1[[#This Row],[DESIGNATION]])),"","NEED REF")</f>
        <v/>
      </c>
    </row>
    <row r="308">
      <c r="B308" t="n">
        <v>34413694</v>
      </c>
      <c r="C308" s="2" t="n">
        <v>45716</v>
      </c>
      <c r="D308" t="inlineStr">
        <is>
          <t>SPEC</t>
        </is>
      </c>
      <c r="E30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308" t="inlineStr">
        <is>
          <t>BESSIERE</t>
        </is>
      </c>
      <c r="L308">
        <f>_xlfn.XLOOKUP(Tableau1[[#This Row],[TYPE DE PIECE]],Tableau4[MATIERE],Tableau4[SHORT TYPE],"",0,1)</f>
        <v/>
      </c>
      <c r="N308">
        <f>IF(ISERR(FIND("DECOUPE",Tableau1[[#This Row],[DESIGNATION]])),"","NEED REF")</f>
        <v/>
      </c>
    </row>
    <row r="309">
      <c r="B309" t="n">
        <v>34413693</v>
      </c>
      <c r="C309" s="2" t="n">
        <v>45716</v>
      </c>
      <c r="D309" t="inlineStr">
        <is>
          <t>SPEC</t>
        </is>
      </c>
      <c r="E309" t="inlineStr">
        <is>
          <t>CABLE GLAND PLATE</t>
        </is>
      </c>
      <c r="J309" t="inlineStr">
        <is>
          <t>BESSIERE</t>
        </is>
      </c>
      <c r="L309">
        <f>_xlfn.XLOOKUP(Tableau1[[#This Row],[TYPE DE PIECE]],Tableau4[MATIERE],Tableau4[SHORT TYPE],"",0,1)</f>
        <v/>
      </c>
      <c r="N309">
        <f>IF(ISERR(FIND("DECOUPE",Tableau1[[#This Row],[DESIGNATION]])),"","NEED REF")</f>
        <v/>
      </c>
    </row>
    <row r="310">
      <c r="B310" t="n">
        <v>34413692</v>
      </c>
      <c r="C310" s="2" t="n">
        <v>45716</v>
      </c>
      <c r="D310" t="inlineStr">
        <is>
          <t>SPEC</t>
        </is>
      </c>
      <c r="E310" t="inlineStr">
        <is>
          <t>WIRE CONNECTION BAR</t>
        </is>
      </c>
      <c r="F310" t="inlineStr">
        <is>
          <t>QMDE99961</t>
        </is>
      </c>
      <c r="G310" t="inlineStr">
        <is>
          <t>GVX</t>
        </is>
      </c>
      <c r="J310" t="inlineStr">
        <is>
          <t>BESSIERE</t>
        </is>
      </c>
      <c r="K310" t="inlineStr">
        <is>
          <t>CUIVRE</t>
        </is>
      </c>
      <c r="L310">
        <f>_xlfn.XLOOKUP(Tableau1[[#This Row],[TYPE DE PIECE]],Tableau4[MATIERE],Tableau4[SHORT TYPE],"",0,1)</f>
        <v/>
      </c>
      <c r="N310">
        <f>IF(ISERR(FIND("DECOUPE",Tableau1[[#This Row],[DESIGNATION]])),"","NEED REF")</f>
        <v/>
      </c>
    </row>
    <row r="311">
      <c r="B311" t="n">
        <v>34413691</v>
      </c>
      <c r="C311" s="2" t="n">
        <v>45716</v>
      </c>
      <c r="D311" t="inlineStr">
        <is>
          <t>SPEC</t>
        </is>
      </c>
      <c r="E311" t="inlineStr">
        <is>
          <t>COP BRAKER-WIRE BAR JUNCTION</t>
        </is>
      </c>
      <c r="F311" t="inlineStr">
        <is>
          <t>QMDE99961</t>
        </is>
      </c>
      <c r="G311" t="inlineStr">
        <is>
          <t>GVX</t>
        </is>
      </c>
      <c r="J311" t="inlineStr">
        <is>
          <t>BESSIERE</t>
        </is>
      </c>
      <c r="K311" t="inlineStr">
        <is>
          <t>CUIVRE</t>
        </is>
      </c>
      <c r="L311">
        <f>_xlfn.XLOOKUP(Tableau1[[#This Row],[TYPE DE PIECE]],Tableau4[MATIERE],Tableau4[SHORT TYPE],"",0,1)</f>
        <v/>
      </c>
      <c r="N311">
        <f>IF(ISERR(FIND("DECOUPE",Tableau1[[#This Row],[DESIGNATION]])),"","NEED REF")</f>
        <v/>
      </c>
    </row>
    <row r="312">
      <c r="B312" t="n">
        <v>34413690</v>
      </c>
      <c r="C312" s="2" t="n">
        <v>45714</v>
      </c>
      <c r="D312" t="inlineStr">
        <is>
          <t>SPEC</t>
        </is>
      </c>
      <c r="E312" t="inlineStr">
        <is>
          <t>COP FEEDER CONNECTION B- 2</t>
        </is>
      </c>
      <c r="F312" t="inlineStr">
        <is>
          <t>QMDE99961</t>
        </is>
      </c>
      <c r="G312" t="inlineStr">
        <is>
          <t>GVX</t>
        </is>
      </c>
      <c r="J312" t="inlineStr">
        <is>
          <t>BESSIERE</t>
        </is>
      </c>
      <c r="K312" t="inlineStr">
        <is>
          <t>CUIVRE</t>
        </is>
      </c>
      <c r="L312">
        <f>_xlfn.XLOOKUP(Tableau1[[#This Row],[TYPE DE PIECE]],Tableau4[MATIERE],Tableau4[SHORT TYPE],"",0,1)</f>
        <v/>
      </c>
      <c r="N312">
        <f>IF(ISERR(FIND("DECOUPE",Tableau1[[#This Row],[DESIGNATION]])),"","NEED REF")</f>
        <v/>
      </c>
    </row>
    <row r="313">
      <c r="B313" t="n">
        <v>34413689</v>
      </c>
      <c r="C313" s="2" t="n">
        <v>45714</v>
      </c>
      <c r="D313" t="inlineStr">
        <is>
          <t>SPEC</t>
        </is>
      </c>
      <c r="E313" t="inlineStr">
        <is>
          <t>COP FEEDER CONNECTION B- 1</t>
        </is>
      </c>
      <c r="F313" t="inlineStr">
        <is>
          <t>QMDE99961</t>
        </is>
      </c>
      <c r="G313" t="inlineStr">
        <is>
          <t>GVX</t>
        </is>
      </c>
      <c r="J313" t="inlineStr">
        <is>
          <t>BESSIERE</t>
        </is>
      </c>
      <c r="K313" t="inlineStr">
        <is>
          <t>CUIVRE</t>
        </is>
      </c>
      <c r="L313">
        <f>_xlfn.XLOOKUP(Tableau1[[#This Row],[TYPE DE PIECE]],Tableau4[MATIERE],Tableau4[SHORT TYPE],"",0,1)</f>
        <v/>
      </c>
      <c r="N313">
        <f>IF(ISERR(FIND("DECOUPE",Tableau1[[#This Row],[DESIGNATION]])),"","NEED REF")</f>
        <v/>
      </c>
    </row>
    <row r="314">
      <c r="B314" t="n">
        <v>34413688</v>
      </c>
      <c r="C314" s="2" t="n">
        <v>45714</v>
      </c>
      <c r="D314" t="inlineStr">
        <is>
          <t>SPEC</t>
        </is>
      </c>
      <c r="E314" t="inlineStr">
        <is>
          <t>COP FEEDER CONNECTION B+ 2</t>
        </is>
      </c>
      <c r="F314" t="inlineStr">
        <is>
          <t>QMDE99961</t>
        </is>
      </c>
      <c r="G314" t="inlineStr">
        <is>
          <t>GVX</t>
        </is>
      </c>
      <c r="J314" t="inlineStr">
        <is>
          <t>BESSIERE</t>
        </is>
      </c>
      <c r="K314" t="inlineStr">
        <is>
          <t>CUIVRE</t>
        </is>
      </c>
      <c r="L314">
        <f>_xlfn.XLOOKUP(Tableau1[[#This Row],[TYPE DE PIECE]],Tableau4[MATIERE],Tableau4[SHORT TYPE],"",0,1)</f>
        <v/>
      </c>
      <c r="N314">
        <f>IF(ISERR(FIND("DECOUPE",Tableau1[[#This Row],[DESIGNATION]])),"","NEED REF")</f>
        <v/>
      </c>
    </row>
    <row r="315">
      <c r="B315" t="n">
        <v>34413687</v>
      </c>
      <c r="C315" s="2" t="n">
        <v>45714</v>
      </c>
      <c r="D315" t="inlineStr">
        <is>
          <t>SPEC</t>
        </is>
      </c>
      <c r="E315" t="inlineStr">
        <is>
          <t>COP FEEDER CONNECTION B+ 1</t>
        </is>
      </c>
      <c r="F315" t="inlineStr">
        <is>
          <t>QMDE99961</t>
        </is>
      </c>
      <c r="G315" t="inlineStr">
        <is>
          <t>GVX</t>
        </is>
      </c>
      <c r="J315" t="inlineStr">
        <is>
          <t>BESSIERE</t>
        </is>
      </c>
      <c r="K315" t="inlineStr">
        <is>
          <t>CUIVRE</t>
        </is>
      </c>
      <c r="L315">
        <f>_xlfn.XLOOKUP(Tableau1[[#This Row],[TYPE DE PIECE]],Tableau4[MATIERE],Tableau4[SHORT TYPE],"",0,1)</f>
        <v/>
      </c>
      <c r="N315">
        <f>IF(ISERR(FIND("DECOUPE",Tableau1[[#This Row],[DESIGNATION]])),"","NEED REF")</f>
        <v/>
      </c>
    </row>
    <row r="316">
      <c r="B316" t="n">
        <v>34413686</v>
      </c>
      <c r="C316" s="2" t="n">
        <v>45714</v>
      </c>
      <c r="D316" t="inlineStr">
        <is>
          <t>SPEC</t>
        </is>
      </c>
      <c r="E316" t="inlineStr">
        <is>
          <t>SUPPORT NW40DC</t>
        </is>
      </c>
      <c r="F316" t="inlineStr">
        <is>
          <t>QMDE99961</t>
        </is>
      </c>
      <c r="G316" t="inlineStr">
        <is>
          <t>GVX</t>
        </is>
      </c>
      <c r="J316" t="inlineStr">
        <is>
          <t>BESSIERE</t>
        </is>
      </c>
      <c r="K316" t="inlineStr">
        <is>
          <t>metal</t>
        </is>
      </c>
      <c r="L316">
        <f>_xlfn.XLOOKUP(Tableau1[[#This Row],[TYPE DE PIECE]],Tableau4[MATIERE],Tableau4[SHORT TYPE],"",0,1)</f>
        <v/>
      </c>
      <c r="N316">
        <f>IF(ISERR(FIND("DECOUPE",Tableau1[[#This Row],[DESIGNATION]])),"","NEED REF")</f>
        <v/>
      </c>
    </row>
    <row r="317">
      <c r="B317" t="n">
        <v>34413685</v>
      </c>
      <c r="C317" s="2" t="n">
        <v>45714</v>
      </c>
      <c r="D317" t="inlineStr">
        <is>
          <t>SPEC</t>
        </is>
      </c>
      <c r="E317" t="inlineStr">
        <is>
          <t>SMT TRAVERSE D10 - PLATEAU NW20/40</t>
        </is>
      </c>
      <c r="F317" t="inlineStr">
        <is>
          <t>QMDE99961</t>
        </is>
      </c>
      <c r="G317" t="inlineStr">
        <is>
          <t>GVX</t>
        </is>
      </c>
      <c r="J317" t="inlineStr">
        <is>
          <t>BESSIERE</t>
        </is>
      </c>
      <c r="K317" t="inlineStr">
        <is>
          <t>metal</t>
        </is>
      </c>
      <c r="L317">
        <f>_xlfn.XLOOKUP(Tableau1[[#This Row],[TYPE DE PIECE]],Tableau4[MATIERE],Tableau4[SHORT TYPE],"",0,1)</f>
        <v/>
      </c>
      <c r="N317">
        <f>IF(ISERR(FIND("DECOUPE",Tableau1[[#This Row],[DESIGNATION]])),"","NEED REF")</f>
        <v/>
      </c>
    </row>
    <row r="318">
      <c r="B318" t="n">
        <v>34413684</v>
      </c>
      <c r="C318" s="2" t="n">
        <v>45714</v>
      </c>
      <c r="D318" t="inlineStr">
        <is>
          <t>SPEC</t>
        </is>
      </c>
      <c r="E318" t="inlineStr">
        <is>
          <t>SMT TOIT TGAB EAE KTA20504</t>
        </is>
      </c>
      <c r="F318" t="inlineStr">
        <is>
          <t>QMDE99961</t>
        </is>
      </c>
      <c r="G318" t="inlineStr">
        <is>
          <t>GVX</t>
        </is>
      </c>
      <c r="J318" t="inlineStr">
        <is>
          <t>BESSIERE</t>
        </is>
      </c>
      <c r="K318" t="inlineStr">
        <is>
          <t>metal</t>
        </is>
      </c>
      <c r="L318">
        <f>_xlfn.XLOOKUP(Tableau1[[#This Row],[TYPE DE PIECE]],Tableau4[MATIERE],Tableau4[SHORT TYPE],"",0,1)</f>
        <v/>
      </c>
      <c r="N318">
        <f>IF(ISERR(FIND("DECOUPE",Tableau1[[#This Row],[DESIGNATION]])),"","NEED REF")</f>
        <v/>
      </c>
    </row>
    <row r="319">
      <c r="B319" t="n">
        <v>34413683</v>
      </c>
      <c r="C319" s="2" t="n">
        <v>45714</v>
      </c>
      <c r="D319" t="inlineStr">
        <is>
          <t>SPEC</t>
        </is>
      </c>
      <c r="E319" t="inlineStr">
        <is>
          <t>CANVA NW40H DC - Version E 4P - 4000A  Micrologic 1.0 D</t>
        </is>
      </c>
      <c r="J319" t="inlineStr">
        <is>
          <t>BESSIERE</t>
        </is>
      </c>
      <c r="L319">
        <f>_xlfn.XLOOKUP(Tableau1[[#This Row],[TYPE DE PIECE]],Tableau4[MATIERE],Tableau4[SHORT TYPE],"",0,1)</f>
        <v/>
      </c>
      <c r="N319">
        <f>IF(ISERR(FIND("DECOUPE",Tableau1[[#This Row],[DESIGNATION]])),"","NEED REF")</f>
        <v/>
      </c>
    </row>
    <row r="320">
      <c r="B320" t="n">
        <v>34413682</v>
      </c>
      <c r="C320" s="2" t="n">
        <v>45714</v>
      </c>
      <c r="D320" t="inlineStr">
        <is>
          <t>SPEC</t>
        </is>
      </c>
      <c r="E320" t="inlineStr">
        <is>
          <t>Programme Afficheur VIJEO</t>
        </is>
      </c>
      <c r="F320" t="inlineStr">
        <is>
          <t>Moyen d'Essai Testeur auto STS</t>
        </is>
      </c>
      <c r="G320" t="inlineStr">
        <is>
          <t>STS</t>
        </is>
      </c>
      <c r="J320" t="inlineStr">
        <is>
          <t>Bisiaux</t>
        </is>
      </c>
      <c r="K320" t="inlineStr">
        <is>
          <t>HMI</t>
        </is>
      </c>
      <c r="L320">
        <f>_xlfn.XLOOKUP(Tableau1[[#This Row],[TYPE DE PIECE]],Tableau4[MATIERE],Tableau4[SHORT TYPE],"",0,1)</f>
        <v/>
      </c>
      <c r="N320">
        <f>IF(ISERR(FIND("DECOUPE",Tableau1[[#This Row],[DESIGNATION]])),"","NEED REF")</f>
        <v/>
      </c>
    </row>
    <row r="321">
      <c r="B321" t="n">
        <v>34413681</v>
      </c>
      <c r="C321" s="2" t="n">
        <v>45714</v>
      </c>
      <c r="D321" t="inlineStr">
        <is>
          <t>SPEC</t>
        </is>
      </c>
      <c r="E321" t="inlineStr">
        <is>
          <t>Programme Automate Ecotruxure V1</t>
        </is>
      </c>
      <c r="F321" t="inlineStr">
        <is>
          <t>Moyen d'Essai Testeur auto STS</t>
        </is>
      </c>
      <c r="G321" t="inlineStr">
        <is>
          <t>STS</t>
        </is>
      </c>
      <c r="J321" t="inlineStr">
        <is>
          <t>Bisiaux</t>
        </is>
      </c>
      <c r="K321" t="inlineStr">
        <is>
          <t>AUTOMATE</t>
        </is>
      </c>
      <c r="L321">
        <f>_xlfn.XLOOKUP(Tableau1[[#This Row],[TYPE DE PIECE]],Tableau4[MATIERE],Tableau4[SHORT TYPE],"",0,1)</f>
        <v/>
      </c>
      <c r="N321">
        <f>IF(ISERR(FIND("DECOUPE",Tableau1[[#This Row],[DESIGNATION]])),"","NEED REF")</f>
        <v/>
      </c>
    </row>
    <row r="322">
      <c r="B322" t="n">
        <v>34413680</v>
      </c>
      <c r="C322" s="2" t="n">
        <v>45713</v>
      </c>
      <c r="D322" t="inlineStr">
        <is>
          <t>SPEC</t>
        </is>
      </c>
      <c r="E322" t="inlineStr">
        <is>
          <t>DECOUPE RAIL NSYSDR2000 200mm</t>
        </is>
      </c>
      <c r="J322" t="inlineStr">
        <is>
          <t>BERNARDEAU</t>
        </is>
      </c>
      <c r="K322" t="inlineStr">
        <is>
          <t>DECOUPE</t>
        </is>
      </c>
      <c r="L322">
        <f>_xlfn.XLOOKUP(Tableau1[[#This Row],[TYPE DE PIECE]],Tableau4[MATIERE],Tableau4[SHORT TYPE],"",0,1)</f>
        <v/>
      </c>
      <c r="N322" t="inlineStr">
        <is>
          <t>NSYSDR200</t>
        </is>
      </c>
    </row>
    <row r="323">
      <c r="B323" t="n">
        <v>34413679</v>
      </c>
      <c r="C323" s="2" t="n">
        <v>45713</v>
      </c>
      <c r="D323" t="inlineStr">
        <is>
          <t>SPEC</t>
        </is>
      </c>
      <c r="E323" t="inlineStr">
        <is>
          <t>PLA PROTECTION CUIVRE</t>
        </is>
      </c>
      <c r="F323" t="inlineStr">
        <is>
          <t>QLBB88676</t>
        </is>
      </c>
      <c r="G323" t="inlineStr">
        <is>
          <t>BBB</t>
        </is>
      </c>
      <c r="J323" t="inlineStr">
        <is>
          <t>BERNARDEAU</t>
        </is>
      </c>
      <c r="L323">
        <f>_xlfn.XLOOKUP(Tableau1[[#This Row],[TYPE DE PIECE]],Tableau4[MATIERE],Tableau4[SHORT TYPE],"",0,1)</f>
        <v/>
      </c>
      <c r="N323">
        <f>IF(ISERR(FIND("DECOUPE",Tableau1[[#This Row],[DESIGNATION]])),"","NEED REF")</f>
        <v/>
      </c>
    </row>
    <row r="324">
      <c r="B324" t="n">
        <v>34413678</v>
      </c>
      <c r="C324" s="2" t="n">
        <v>45713</v>
      </c>
      <c r="D324" t="inlineStr">
        <is>
          <t>SPEC</t>
        </is>
      </c>
      <c r="E324" t="inlineStr">
        <is>
          <t>COP CUIVRE</t>
        </is>
      </c>
      <c r="F324" t="inlineStr">
        <is>
          <t>QLBB88676</t>
        </is>
      </c>
      <c r="G324" t="inlineStr">
        <is>
          <t>BBB</t>
        </is>
      </c>
      <c r="J324" t="inlineStr">
        <is>
          <t>BERNARDEAU</t>
        </is>
      </c>
      <c r="K324" t="inlineStr">
        <is>
          <t>CUIVRE</t>
        </is>
      </c>
      <c r="L324">
        <f>_xlfn.XLOOKUP(Tableau1[[#This Row],[TYPE DE PIECE]],Tableau4[MATIERE],Tableau4[SHORT TYPE],"",0,1)</f>
        <v/>
      </c>
      <c r="N324">
        <f>IF(ISERR(FIND("DECOUPE",Tableau1[[#This Row],[DESIGNATION]])),"","NEED REF")</f>
        <v/>
      </c>
    </row>
    <row r="325">
      <c r="B325" t="n">
        <v>34413677</v>
      </c>
      <c r="C325" s="2" t="n">
        <v>45713</v>
      </c>
      <c r="D325" t="inlineStr">
        <is>
          <t>SPEC</t>
        </is>
      </c>
      <c r="E325" t="inlineStr">
        <is>
          <t>SMT PLASTRON</t>
        </is>
      </c>
      <c r="F325" t="inlineStr">
        <is>
          <t>QLBB88676</t>
        </is>
      </c>
      <c r="G325" t="inlineStr">
        <is>
          <t>BBB</t>
        </is>
      </c>
      <c r="J325" t="inlineStr">
        <is>
          <t>BERNARDEAU</t>
        </is>
      </c>
      <c r="K325" t="inlineStr">
        <is>
          <t>METAL</t>
        </is>
      </c>
      <c r="L325">
        <f>_xlfn.XLOOKUP(Tableau1[[#This Row],[TYPE DE PIECE]],Tableau4[MATIERE],Tableau4[SHORT TYPE],"",0,1)</f>
        <v/>
      </c>
      <c r="N325">
        <f>IF(ISERR(FIND("DECOUPE",Tableau1[[#This Row],[DESIGNATION]])),"","NEED REF")</f>
        <v/>
      </c>
    </row>
    <row r="326">
      <c r="B326" t="n">
        <v>34413676</v>
      </c>
      <c r="C326" s="2" t="n">
        <v>45713</v>
      </c>
      <c r="D326" t="inlineStr">
        <is>
          <t>SPEC</t>
        </is>
      </c>
      <c r="E326" t="inlineStr">
        <is>
          <t>SMT PLAQUE DE FOND</t>
        </is>
      </c>
      <c r="F326" t="inlineStr">
        <is>
          <t>QLBB88676</t>
        </is>
      </c>
      <c r="G326" t="inlineStr">
        <is>
          <t>BBB</t>
        </is>
      </c>
      <c r="J326" t="inlineStr">
        <is>
          <t>BERNARDEAU</t>
        </is>
      </c>
      <c r="K326" t="inlineStr">
        <is>
          <t>METAL</t>
        </is>
      </c>
      <c r="L326">
        <f>_xlfn.XLOOKUP(Tableau1[[#This Row],[TYPE DE PIECE]],Tableau4[MATIERE],Tableau4[SHORT TYPE],"",0,1)</f>
        <v/>
      </c>
      <c r="N326">
        <f>IF(ISERR(FIND("DECOUPE",Tableau1[[#This Row],[DESIGNATION]])),"","NEED REF")</f>
        <v/>
      </c>
    </row>
    <row r="327">
      <c r="B327" t="n">
        <v>34413675</v>
      </c>
      <c r="C327" s="2" t="n">
        <v>45713</v>
      </c>
      <c r="D327" t="inlineStr">
        <is>
          <t>SPEC</t>
        </is>
      </c>
      <c r="E327" t="inlineStr">
        <is>
          <t>SMT SUPPORT NS600S</t>
        </is>
      </c>
      <c r="F327" t="inlineStr">
        <is>
          <t>QLBB88676</t>
        </is>
      </c>
      <c r="G327" t="inlineStr">
        <is>
          <t>bbb</t>
        </is>
      </c>
      <c r="J327" t="inlineStr">
        <is>
          <t>BERNARDEAU</t>
        </is>
      </c>
      <c r="K327" t="inlineStr">
        <is>
          <t>METAL</t>
        </is>
      </c>
      <c r="L327">
        <f>_xlfn.XLOOKUP(Tableau1[[#This Row],[TYPE DE PIECE]],Tableau4[MATIERE],Tableau4[SHORT TYPE],"",0,1)</f>
        <v/>
      </c>
      <c r="N327">
        <f>IF(ISERR(FIND("DECOUPE",Tableau1[[#This Row],[DESIGNATION]])),"","NEED REF")</f>
        <v/>
      </c>
    </row>
    <row r="328">
      <c r="B328" t="n">
        <v>34413674</v>
      </c>
      <c r="C328" s="2" t="n">
        <v>45712</v>
      </c>
      <c r="D328" t="inlineStr">
        <is>
          <t>SPEC</t>
        </is>
      </c>
      <c r="E328" t="inlineStr">
        <is>
          <t>SMT DEMI TUNNEL MASTERPACT FIXE</t>
        </is>
      </c>
      <c r="F328" t="inlineStr">
        <is>
          <t>QNDC31250</t>
        </is>
      </c>
      <c r="J328" t="inlineStr">
        <is>
          <t>BERNARDEAU</t>
        </is>
      </c>
      <c r="K328" t="inlineStr">
        <is>
          <t>METAL</t>
        </is>
      </c>
      <c r="L328">
        <f>_xlfn.XLOOKUP(Tableau1[[#This Row],[TYPE DE PIECE]],Tableau4[MATIERE],Tableau4[SHORT TYPE],"",0,1)</f>
        <v/>
      </c>
      <c r="N328">
        <f>IF(ISERR(FIND("DECOUPE",Tableau1[[#This Row],[DESIGNATION]])),"","NEED REF")</f>
        <v/>
      </c>
    </row>
    <row r="329">
      <c r="B329" t="n">
        <v>34413673</v>
      </c>
      <c r="C329" s="2" t="n">
        <v>45712</v>
      </c>
      <c r="D329" t="inlineStr">
        <is>
          <t>SPEC</t>
        </is>
      </c>
      <c r="E329" t="inlineStr">
        <is>
          <t>PLA 34413673 GVX UPS 1250KVA ETIQUETTE FEEDER INPUT</t>
        </is>
      </c>
      <c r="J329" t="inlineStr">
        <is>
          <t>BESSIERE</t>
        </is>
      </c>
      <c r="K329" t="inlineStr">
        <is>
          <t>PLASTIQUE</t>
        </is>
      </c>
      <c r="L329">
        <f>_xlfn.XLOOKUP(Tableau1[[#This Row],[TYPE DE PIECE]],Tableau4[MATIERE],Tableau4[SHORT TYPE],"",0,1)</f>
        <v/>
      </c>
      <c r="N329">
        <f>IF(ISERR(FIND("DECOUPE",Tableau1[[#This Row],[DESIGNATION]])),"","NEED REF")</f>
        <v/>
      </c>
    </row>
    <row r="330">
      <c r="B330" t="n">
        <v>34413672</v>
      </c>
      <c r="C330" s="2" t="n">
        <v>45712</v>
      </c>
      <c r="D330" t="inlineStr">
        <is>
          <t>SPEC</t>
        </is>
      </c>
      <c r="E330" t="inlineStr">
        <is>
          <t>PLA 34413672 GVX UPS 1250KVA ETIQUETTE FEEDER OUTPUT</t>
        </is>
      </c>
      <c r="J330" t="inlineStr">
        <is>
          <t>BESSIERE</t>
        </is>
      </c>
      <c r="K330" t="inlineStr">
        <is>
          <t>PLASTIQUE</t>
        </is>
      </c>
      <c r="L330">
        <f>_xlfn.XLOOKUP(Tableau1[[#This Row],[TYPE DE PIECE]],Tableau4[MATIERE],Tableau4[SHORT TYPE],"",0,1)</f>
        <v/>
      </c>
      <c r="N330">
        <f>IF(ISERR(FIND("DECOUPE",Tableau1[[#This Row],[DESIGNATION]])),"","NEED REF")</f>
        <v/>
      </c>
    </row>
    <row r="331">
      <c r="B331" t="n">
        <v>34413671</v>
      </c>
      <c r="C331" s="2" t="n">
        <v>45712</v>
      </c>
      <c r="D331" t="inlineStr">
        <is>
          <t>SPEC</t>
        </is>
      </c>
      <c r="E331" t="inlineStr">
        <is>
          <t>PLA 34413671</t>
        </is>
      </c>
      <c r="J331" t="inlineStr">
        <is>
          <t>BESSIERE</t>
        </is>
      </c>
      <c r="K331" t="inlineStr">
        <is>
          <t>PLASTIQUE</t>
        </is>
      </c>
      <c r="L331">
        <f>_xlfn.XLOOKUP(Tableau1[[#This Row],[TYPE DE PIECE]],Tableau4[MATIERE],Tableau4[SHORT TYPE],"",0,1)</f>
        <v/>
      </c>
      <c r="N331">
        <f>IF(ISERR(FIND("DECOUPE",Tableau1[[#This Row],[DESIGNATION]])),"","NEED REF")</f>
        <v/>
      </c>
    </row>
    <row r="332">
      <c r="B332" t="n">
        <v>34413670</v>
      </c>
      <c r="C332" s="2" t="n">
        <v>45712</v>
      </c>
      <c r="D332" t="inlineStr">
        <is>
          <t>SPEC</t>
        </is>
      </c>
      <c r="E332" t="inlineStr">
        <is>
          <t>SMT 34413670 VOLTADIS OUTPUT AND BATTERY ROOF 2</t>
        </is>
      </c>
      <c r="F332" t="inlineStr">
        <is>
          <t>QJPR90823</t>
        </is>
      </c>
      <c r="J332" t="inlineStr">
        <is>
          <t>BESSIERE</t>
        </is>
      </c>
      <c r="K332" t="inlineStr">
        <is>
          <t>METAL</t>
        </is>
      </c>
      <c r="L332">
        <f>_xlfn.XLOOKUP(Tableau1[[#This Row],[TYPE DE PIECE]],Tableau4[MATIERE],Tableau4[SHORT TYPE],"",0,1)</f>
        <v/>
      </c>
      <c r="N332">
        <f>IF(ISERR(FIND("DECOUPE",Tableau1[[#This Row],[DESIGNATION]])),"","NEED REF")</f>
        <v/>
      </c>
    </row>
    <row r="333">
      <c r="B333" t="n">
        <v>34413669</v>
      </c>
      <c r="C333" s="2" t="n">
        <v>45712</v>
      </c>
      <c r="D333" t="inlineStr">
        <is>
          <t>SPEC</t>
        </is>
      </c>
      <c r="E333" t="inlineStr">
        <is>
          <t>SMT 34413669 VOLTADIS OUTPUT AND BATTERY ROOF 1</t>
        </is>
      </c>
      <c r="F333" t="inlineStr">
        <is>
          <t>QJPR90823</t>
        </is>
      </c>
      <c r="J333" t="inlineStr">
        <is>
          <t>BESSIERE</t>
        </is>
      </c>
      <c r="K333" t="inlineStr">
        <is>
          <t>METAL</t>
        </is>
      </c>
      <c r="L333">
        <f>_xlfn.XLOOKUP(Tableau1[[#This Row],[TYPE DE PIECE]],Tableau4[MATIERE],Tableau4[SHORT TYPE],"",0,1)</f>
        <v/>
      </c>
      <c r="N333">
        <f>IF(ISERR(FIND("DECOUPE",Tableau1[[#This Row],[DESIGNATION]])),"","NEED REF")</f>
        <v/>
      </c>
    </row>
    <row r="334">
      <c r="B334" t="n">
        <v>34413668</v>
      </c>
      <c r="C334" s="2" t="n">
        <v>45712</v>
      </c>
      <c r="D334" t="inlineStr">
        <is>
          <t>SPEC</t>
        </is>
      </c>
      <c r="E334" t="inlineStr">
        <is>
          <t>SMT 34413668 VOLTADIS INPUT ROOF 2</t>
        </is>
      </c>
      <c r="F334" t="inlineStr">
        <is>
          <t>QJPR90823</t>
        </is>
      </c>
      <c r="J334" t="inlineStr">
        <is>
          <t>BESSIERE</t>
        </is>
      </c>
      <c r="K334" t="inlineStr">
        <is>
          <t>METAL</t>
        </is>
      </c>
      <c r="L334">
        <f>_xlfn.XLOOKUP(Tableau1[[#This Row],[TYPE DE PIECE]],Tableau4[MATIERE],Tableau4[SHORT TYPE],"",0,1)</f>
        <v/>
      </c>
      <c r="N334">
        <f>IF(ISERR(FIND("DECOUPE",Tableau1[[#This Row],[DESIGNATION]])),"","NEED REF")</f>
        <v/>
      </c>
    </row>
    <row r="335">
      <c r="B335" t="n">
        <v>34413667</v>
      </c>
      <c r="C335" s="2" t="n">
        <v>45712</v>
      </c>
      <c r="D335" t="inlineStr">
        <is>
          <t>SPEC</t>
        </is>
      </c>
      <c r="E335" t="inlineStr">
        <is>
          <t>SMT 34413667 VOLTADIS INPUT ROOF 1</t>
        </is>
      </c>
      <c r="F335" t="inlineStr">
        <is>
          <t>QJPR90823</t>
        </is>
      </c>
      <c r="J335" t="inlineStr">
        <is>
          <t>BESSIERE</t>
        </is>
      </c>
      <c r="K335" t="inlineStr">
        <is>
          <t>METAL</t>
        </is>
      </c>
      <c r="L335">
        <f>_xlfn.XLOOKUP(Tableau1[[#This Row],[TYPE DE PIECE]],Tableau4[MATIERE],Tableau4[SHORT TYPE],"",0,1)</f>
        <v/>
      </c>
      <c r="N335">
        <f>IF(ISERR(FIND("DECOUPE",Tableau1[[#This Row],[DESIGNATION]])),"","NEED REF")</f>
        <v/>
      </c>
    </row>
    <row r="336">
      <c r="B336" t="n">
        <v>34413666</v>
      </c>
      <c r="C336" s="2" t="n">
        <v>45709</v>
      </c>
      <c r="D336" t="inlineStr">
        <is>
          <t>SPEC</t>
        </is>
      </c>
      <c r="E33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36" t="inlineStr">
        <is>
          <t>IQ</t>
        </is>
      </c>
      <c r="H336" t="inlineStr">
        <is>
          <t>ISOLATION BANKLOAD</t>
        </is>
      </c>
      <c r="J336" t="inlineStr">
        <is>
          <t>MATRION</t>
        </is>
      </c>
      <c r="K336" t="inlineStr">
        <is>
          <t>PLASTIQUE</t>
        </is>
      </c>
      <c r="L336">
        <f>_xlfn.XLOOKUP(Tableau1[[#This Row],[TYPE DE PIECE]],Tableau4[MATIERE],Tableau4[SHORT TYPE],"",0,1)</f>
        <v/>
      </c>
      <c r="N336">
        <f>IF(ISERR(FIND("DECOUPE",Tableau1[[#This Row],[DESIGNATION]])),"","NEED REF")</f>
        <v/>
      </c>
    </row>
    <row r="337">
      <c r="B337" t="n">
        <v>34413665</v>
      </c>
      <c r="C337" s="2" t="n">
        <v>45709</v>
      </c>
      <c r="D337" t="inlineStr">
        <is>
          <t>SPEC</t>
        </is>
      </c>
      <c r="E33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37" t="inlineStr">
        <is>
          <t>IQ</t>
        </is>
      </c>
      <c r="H337" t="inlineStr">
        <is>
          <t>ISOLATION BANKLOAD</t>
        </is>
      </c>
      <c r="J337" t="inlineStr">
        <is>
          <t>MATRION</t>
        </is>
      </c>
      <c r="K337" t="inlineStr">
        <is>
          <t>PLASTIQUE</t>
        </is>
      </c>
      <c r="L337">
        <f>_xlfn.XLOOKUP(Tableau1[[#This Row],[TYPE DE PIECE]],Tableau4[MATIERE],Tableau4[SHORT TYPE],"",0,1)</f>
        <v/>
      </c>
      <c r="N337">
        <f>IF(ISERR(FIND("DECOUPE",Tableau1[[#This Row],[DESIGNATION]])),"","NEED REF")</f>
        <v/>
      </c>
    </row>
    <row r="338">
      <c r="B338" t="n">
        <v>34413664</v>
      </c>
      <c r="C338" s="2" t="n">
        <v>45709</v>
      </c>
      <c r="D338" t="inlineStr">
        <is>
          <t>SPEC</t>
        </is>
      </c>
      <c r="E33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38" t="inlineStr">
        <is>
          <t>IQ</t>
        </is>
      </c>
      <c r="H338" t="inlineStr">
        <is>
          <t>ISOLATION BANKLOAD</t>
        </is>
      </c>
      <c r="J338" t="inlineStr">
        <is>
          <t>MATRION</t>
        </is>
      </c>
      <c r="K338" t="inlineStr">
        <is>
          <t>METAL</t>
        </is>
      </c>
      <c r="L338">
        <f>_xlfn.XLOOKUP(Tableau1[[#This Row],[TYPE DE PIECE]],Tableau4[MATIERE],Tableau4[SHORT TYPE],"",0,1)</f>
        <v/>
      </c>
      <c r="N338">
        <f>IF(ISERR(FIND("DECOUPE",Tableau1[[#This Row],[DESIGNATION]])),"","NEED REF")</f>
        <v/>
      </c>
    </row>
    <row r="339">
      <c r="B339" t="n">
        <v>34413663</v>
      </c>
      <c r="C339" s="2" t="n">
        <v>45709</v>
      </c>
      <c r="D339" t="inlineStr">
        <is>
          <t>SPEC</t>
        </is>
      </c>
      <c r="E33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39" t="inlineStr">
        <is>
          <t>IQ</t>
        </is>
      </c>
      <c r="H339" t="inlineStr">
        <is>
          <t>ISOLATION BANKLOAD</t>
        </is>
      </c>
      <c r="J339" t="inlineStr">
        <is>
          <t>MATRION</t>
        </is>
      </c>
      <c r="K339" t="inlineStr">
        <is>
          <t>METAL</t>
        </is>
      </c>
      <c r="L339">
        <f>_xlfn.XLOOKUP(Tableau1[[#This Row],[TYPE DE PIECE]],Tableau4[MATIERE],Tableau4[SHORT TYPE],"",0,1)</f>
        <v/>
      </c>
      <c r="N339">
        <f>IF(ISERR(FIND("DECOUPE",Tableau1[[#This Row],[DESIGNATION]])),"","NEED REF")</f>
        <v/>
      </c>
    </row>
    <row r="340">
      <c r="B340" t="n">
        <v>34413662</v>
      </c>
      <c r="C340" s="2" t="n">
        <v>45709</v>
      </c>
      <c r="D340" t="inlineStr">
        <is>
          <t>SPEC</t>
        </is>
      </c>
      <c r="E34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40" t="inlineStr">
        <is>
          <t>IQ</t>
        </is>
      </c>
      <c r="H340" t="inlineStr">
        <is>
          <t>ISOLATION BANKLOAD</t>
        </is>
      </c>
      <c r="J340" t="inlineStr">
        <is>
          <t>MATRION</t>
        </is>
      </c>
      <c r="K340" t="inlineStr">
        <is>
          <t>METAL</t>
        </is>
      </c>
      <c r="L340">
        <f>_xlfn.XLOOKUP(Tableau1[[#This Row],[TYPE DE PIECE]],Tableau4[MATIERE],Tableau4[SHORT TYPE],"",0,1)</f>
        <v/>
      </c>
      <c r="N340">
        <f>IF(ISERR(FIND("DECOUPE",Tableau1[[#This Row],[DESIGNATION]])),"","NEED REF")</f>
        <v/>
      </c>
    </row>
    <row r="341">
      <c r="B341" t="n">
        <v>34413661</v>
      </c>
      <c r="C341" s="2" t="n">
        <v>45709</v>
      </c>
      <c r="D341" t="inlineStr">
        <is>
          <t>SPEC</t>
        </is>
      </c>
      <c r="E34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41" t="inlineStr">
        <is>
          <t>IQ</t>
        </is>
      </c>
      <c r="H341" t="inlineStr">
        <is>
          <t>ISOLATION BANKLOAD</t>
        </is>
      </c>
      <c r="J341" t="inlineStr">
        <is>
          <t>MATRION</t>
        </is>
      </c>
      <c r="K341" t="inlineStr">
        <is>
          <t>CUIVRE</t>
        </is>
      </c>
      <c r="L341">
        <f>_xlfn.XLOOKUP(Tableau1[[#This Row],[TYPE DE PIECE]],Tableau4[MATIERE],Tableau4[SHORT TYPE],"",0,1)</f>
        <v/>
      </c>
      <c r="N341">
        <f>IF(ISERR(FIND("DECOUPE",Tableau1[[#This Row],[DESIGNATION]])),"","NEED REF")</f>
        <v/>
      </c>
    </row>
    <row r="342">
      <c r="B342" t="n">
        <v>34413660</v>
      </c>
      <c r="C342" s="2" t="n">
        <v>45708</v>
      </c>
      <c r="D342" t="inlineStr">
        <is>
          <t>SPEC</t>
        </is>
      </c>
      <c r="E34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342" t="inlineStr">
        <is>
          <t>BESSIERE</t>
        </is>
      </c>
      <c r="L342">
        <f>_xlfn.XLOOKUP(Tableau1[[#This Row],[TYPE DE PIECE]],Tableau4[MATIERE],Tableau4[SHORT TYPE],"",0,1)</f>
        <v/>
      </c>
      <c r="N342">
        <f>IF(ISERR(FIND("DECOUPE",Tableau1[[#This Row],[DESIGNATION]])),"","NEED REF")</f>
        <v/>
      </c>
    </row>
    <row r="343">
      <c r="B343" t="n">
        <v>34413659</v>
      </c>
      <c r="C343" s="2" t="n">
        <v>45708</v>
      </c>
      <c r="D343" t="inlineStr">
        <is>
          <t>SPEC</t>
        </is>
      </c>
      <c r="E343" t="inlineStr">
        <is>
          <t>CONNECTION KTA DC FRONT LARGE</t>
        </is>
      </c>
      <c r="F343" t="inlineStr">
        <is>
          <t>GVXL DC TGAB</t>
        </is>
      </c>
      <c r="J343" t="inlineStr">
        <is>
          <t>BESSIERE</t>
        </is>
      </c>
      <c r="K343" t="inlineStr">
        <is>
          <t>CUIVRE</t>
        </is>
      </c>
      <c r="L343">
        <f>_xlfn.XLOOKUP(Tableau1[[#This Row],[TYPE DE PIECE]],Tableau4[MATIERE],Tableau4[SHORT TYPE],"",0,1)</f>
        <v/>
      </c>
      <c r="N343">
        <f>IF(ISERR(FIND("DECOUPE",Tableau1[[#This Row],[DESIGNATION]])),"","NEED REF")</f>
        <v/>
      </c>
    </row>
    <row r="344">
      <c r="B344" t="n">
        <v>34413658</v>
      </c>
      <c r="C344" s="2" t="n">
        <v>45708</v>
      </c>
      <c r="D344" t="inlineStr">
        <is>
          <t>SPEC</t>
        </is>
      </c>
      <c r="E344" t="inlineStr">
        <is>
          <t>CONNECTION KTA DC FRONT SMALL</t>
        </is>
      </c>
      <c r="F344" t="inlineStr">
        <is>
          <t>GVXL DC TGAB</t>
        </is>
      </c>
      <c r="J344" t="inlineStr">
        <is>
          <t>BESSIERE</t>
        </is>
      </c>
      <c r="K344" t="inlineStr">
        <is>
          <t>CUIVRE</t>
        </is>
      </c>
      <c r="L344">
        <f>_xlfn.XLOOKUP(Tableau1[[#This Row],[TYPE DE PIECE]],Tableau4[MATIERE],Tableau4[SHORT TYPE],"",0,1)</f>
        <v/>
      </c>
      <c r="N344">
        <f>IF(ISERR(FIND("DECOUPE",Tableau1[[#This Row],[DESIGNATION]])),"","NEED REF")</f>
        <v/>
      </c>
    </row>
    <row r="345">
      <c r="B345" t="n">
        <v>34413657</v>
      </c>
      <c r="C345" s="2" t="n">
        <v>45708</v>
      </c>
      <c r="D345" t="inlineStr">
        <is>
          <t>SPEC</t>
        </is>
      </c>
      <c r="E345" t="inlineStr">
        <is>
          <t>CONNECTION KTA DC BACK LARGE</t>
        </is>
      </c>
      <c r="F345" t="inlineStr">
        <is>
          <t>GVXL DC TGAB</t>
        </is>
      </c>
      <c r="J345" t="inlineStr">
        <is>
          <t>BESSIERE</t>
        </is>
      </c>
      <c r="K345" t="inlineStr">
        <is>
          <t>CUIVRE</t>
        </is>
      </c>
      <c r="L345">
        <f>_xlfn.XLOOKUP(Tableau1[[#This Row],[TYPE DE PIECE]],Tableau4[MATIERE],Tableau4[SHORT TYPE],"",0,1)</f>
        <v/>
      </c>
      <c r="N345">
        <f>IF(ISERR(FIND("DECOUPE",Tableau1[[#This Row],[DESIGNATION]])),"","NEED REF")</f>
        <v/>
      </c>
    </row>
    <row r="346">
      <c r="B346" t="n">
        <v>34413656</v>
      </c>
      <c r="C346" s="2" t="n">
        <v>45708</v>
      </c>
      <c r="D346" t="inlineStr">
        <is>
          <t>SPEC</t>
        </is>
      </c>
      <c r="E346" t="inlineStr">
        <is>
          <t>CONNECTION KTA DC BACK SMALL</t>
        </is>
      </c>
      <c r="F346" t="inlineStr">
        <is>
          <t>GVXL DC TGAB</t>
        </is>
      </c>
      <c r="J346" t="inlineStr">
        <is>
          <t>BESSIERE</t>
        </is>
      </c>
      <c r="K346" t="inlineStr">
        <is>
          <t>CUIVRE</t>
        </is>
      </c>
      <c r="L346">
        <f>_xlfn.XLOOKUP(Tableau1[[#This Row],[TYPE DE PIECE]],Tableau4[MATIERE],Tableau4[SHORT TYPE],"",0,1)</f>
        <v/>
      </c>
      <c r="N346">
        <f>IF(ISERR(FIND("DECOUPE",Tableau1[[#This Row],[DESIGNATION]])),"","NEED REF")</f>
        <v/>
      </c>
    </row>
    <row r="347">
      <c r="B347" t="n">
        <v>34413655</v>
      </c>
      <c r="C347" s="2" t="n">
        <v>45707</v>
      </c>
      <c r="D347" t="inlineStr">
        <is>
          <t>SPEC</t>
        </is>
      </c>
      <c r="E34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47" t="inlineStr">
        <is>
          <t>IQ</t>
        </is>
      </c>
      <c r="H347" t="inlineStr">
        <is>
          <t>ISOLATION BANKLOAD</t>
        </is>
      </c>
      <c r="J347" t="inlineStr">
        <is>
          <t>MATRION</t>
        </is>
      </c>
      <c r="K347" t="inlineStr">
        <is>
          <t>METAL</t>
        </is>
      </c>
      <c r="L347">
        <f>_xlfn.XLOOKUP(Tableau1[[#This Row],[TYPE DE PIECE]],Tableau4[MATIERE],Tableau4[SHORT TYPE],"",0,1)</f>
        <v/>
      </c>
      <c r="N347">
        <f>IF(ISERR(FIND("DECOUPE",Tableau1[[#This Row],[DESIGNATION]])),"","NEED REF")</f>
        <v/>
      </c>
    </row>
    <row r="348">
      <c r="B348" t="n">
        <v>34413654</v>
      </c>
      <c r="C348" s="2" t="n">
        <v>45707</v>
      </c>
      <c r="D348" t="inlineStr">
        <is>
          <t>SPEC</t>
        </is>
      </c>
      <c r="E34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48" t="inlineStr">
        <is>
          <t>IQ</t>
        </is>
      </c>
      <c r="H348" t="inlineStr">
        <is>
          <t>ISOLATION BANKLOAD</t>
        </is>
      </c>
      <c r="J348" t="inlineStr">
        <is>
          <t>MATRION</t>
        </is>
      </c>
      <c r="K348" t="inlineStr">
        <is>
          <t>METAL</t>
        </is>
      </c>
      <c r="L348">
        <f>_xlfn.XLOOKUP(Tableau1[[#This Row],[TYPE DE PIECE]],Tableau4[MATIERE],Tableau4[SHORT TYPE],"",0,1)</f>
        <v/>
      </c>
      <c r="N348">
        <f>IF(ISERR(FIND("DECOUPE",Tableau1[[#This Row],[DESIGNATION]])),"","NEED REF")</f>
        <v/>
      </c>
    </row>
    <row r="349">
      <c r="B349" t="n">
        <v>34413653</v>
      </c>
      <c r="C349" s="2" t="n">
        <v>45707</v>
      </c>
      <c r="D349" t="inlineStr">
        <is>
          <t>SPEC</t>
        </is>
      </c>
      <c r="E34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49" t="inlineStr">
        <is>
          <t>IQ</t>
        </is>
      </c>
      <c r="H349" t="inlineStr">
        <is>
          <t>ISOLATION BANKLOAD</t>
        </is>
      </c>
      <c r="J349" t="inlineStr">
        <is>
          <t>MATRION</t>
        </is>
      </c>
      <c r="K349" t="inlineStr">
        <is>
          <t>PLASTIQUE</t>
        </is>
      </c>
      <c r="L349">
        <f>_xlfn.XLOOKUP(Tableau1[[#This Row],[TYPE DE PIECE]],Tableau4[MATIERE],Tableau4[SHORT TYPE],"",0,1)</f>
        <v/>
      </c>
      <c r="N349">
        <f>IF(ISERR(FIND("DECOUPE",Tableau1[[#This Row],[DESIGNATION]])),"","NEED REF")</f>
        <v/>
      </c>
    </row>
    <row r="350">
      <c r="B350" t="n">
        <v>34413652</v>
      </c>
      <c r="C350" s="2" t="n">
        <v>45706</v>
      </c>
      <c r="D350" t="inlineStr">
        <is>
          <t>SPEC</t>
        </is>
      </c>
      <c r="E35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50" t="inlineStr">
        <is>
          <t>IQ</t>
        </is>
      </c>
      <c r="H350" t="inlineStr">
        <is>
          <t>ISOLATION BANKLOAD</t>
        </is>
      </c>
      <c r="J350" t="inlineStr">
        <is>
          <t>MATRION</t>
        </is>
      </c>
      <c r="K350" t="inlineStr">
        <is>
          <t>METAL</t>
        </is>
      </c>
      <c r="L350">
        <f>_xlfn.XLOOKUP(Tableau1[[#This Row],[TYPE DE PIECE]],Tableau4[MATIERE],Tableau4[SHORT TYPE],"",0,1)</f>
        <v/>
      </c>
      <c r="N350">
        <f>IF(ISERR(FIND("DECOUPE",Tableau1[[#This Row],[DESIGNATION]])),"","NEED REF")</f>
        <v/>
      </c>
    </row>
    <row r="351">
      <c r="B351" t="n">
        <v>34413651</v>
      </c>
      <c r="C351" s="2" t="n">
        <v>45706</v>
      </c>
      <c r="D351" t="inlineStr">
        <is>
          <t>SPEC</t>
        </is>
      </c>
      <c r="E35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51" t="inlineStr">
        <is>
          <t>IQ</t>
        </is>
      </c>
      <c r="H351" t="inlineStr">
        <is>
          <t>ISOLATION BANKLOAD</t>
        </is>
      </c>
      <c r="J351" t="inlineStr">
        <is>
          <t>MATRION</t>
        </is>
      </c>
      <c r="K351" t="inlineStr">
        <is>
          <t>PLASTIQUE</t>
        </is>
      </c>
      <c r="L351">
        <f>_xlfn.XLOOKUP(Tableau1[[#This Row],[TYPE DE PIECE]],Tableau4[MATIERE],Tableau4[SHORT TYPE],"",0,1)</f>
        <v/>
      </c>
      <c r="N351">
        <f>IF(ISERR(FIND("DECOUPE",Tableau1[[#This Row],[DESIGNATION]])),"","NEED REF")</f>
        <v/>
      </c>
    </row>
    <row r="352">
      <c r="B352" t="n">
        <v>34413650</v>
      </c>
      <c r="C352" s="2" t="n">
        <v>45706</v>
      </c>
      <c r="D352" t="inlineStr">
        <is>
          <t>SPEC</t>
        </is>
      </c>
      <c r="E35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52" t="inlineStr">
        <is>
          <t>IQ</t>
        </is>
      </c>
      <c r="H352" t="inlineStr">
        <is>
          <t>ISOLATION BANKLOAD</t>
        </is>
      </c>
      <c r="J352" t="inlineStr">
        <is>
          <t>MATRION</t>
        </is>
      </c>
      <c r="K352" t="inlineStr">
        <is>
          <t>PLASTIQUE</t>
        </is>
      </c>
      <c r="L352">
        <f>_xlfn.XLOOKUP(Tableau1[[#This Row],[TYPE DE PIECE]],Tableau4[MATIERE],Tableau4[SHORT TYPE],"",0,1)</f>
        <v/>
      </c>
      <c r="N352">
        <f>IF(ISERR(FIND("DECOUPE",Tableau1[[#This Row],[DESIGNATION]])),"","NEED REF")</f>
        <v/>
      </c>
    </row>
    <row r="353">
      <c r="B353" t="n">
        <v>34413649</v>
      </c>
      <c r="C353" s="2" t="n">
        <v>45706</v>
      </c>
      <c r="D353" t="inlineStr">
        <is>
          <t>SPEC</t>
        </is>
      </c>
      <c r="E35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53" t="inlineStr">
        <is>
          <t>IQ</t>
        </is>
      </c>
      <c r="H353" t="inlineStr">
        <is>
          <t>ISOLATION BANKLOAD</t>
        </is>
      </c>
      <c r="J353" t="inlineStr">
        <is>
          <t>MATRION</t>
        </is>
      </c>
      <c r="K353" t="inlineStr">
        <is>
          <t>METAL</t>
        </is>
      </c>
      <c r="L353">
        <f>_xlfn.XLOOKUP(Tableau1[[#This Row],[TYPE DE PIECE]],Tableau4[MATIERE],Tableau4[SHORT TYPE],"",0,1)</f>
        <v/>
      </c>
      <c r="N353">
        <f>IF(ISERR(FIND("DECOUPE",Tableau1[[#This Row],[DESIGNATION]])),"","NEED REF")</f>
        <v/>
      </c>
    </row>
    <row r="354">
      <c r="B354" t="n">
        <v>34413648</v>
      </c>
      <c r="C354" s="2" t="n">
        <v>45706</v>
      </c>
      <c r="D354" t="inlineStr">
        <is>
          <t>SPEC</t>
        </is>
      </c>
      <c r="E35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54" t="inlineStr">
        <is>
          <t>IQ</t>
        </is>
      </c>
      <c r="H354" t="inlineStr">
        <is>
          <t>ISOLATION BANKLOAD</t>
        </is>
      </c>
      <c r="J354" t="inlineStr">
        <is>
          <t>MATRION</t>
        </is>
      </c>
      <c r="K354" t="inlineStr">
        <is>
          <t>METAL</t>
        </is>
      </c>
      <c r="L354">
        <f>_xlfn.XLOOKUP(Tableau1[[#This Row],[TYPE DE PIECE]],Tableau4[MATIERE],Tableau4[SHORT TYPE],"",0,1)</f>
        <v/>
      </c>
      <c r="N354">
        <f>IF(ISERR(FIND("DECOUPE",Tableau1[[#This Row],[DESIGNATION]])),"","NEED REF")</f>
        <v/>
      </c>
    </row>
    <row r="355">
      <c r="B355" t="n">
        <v>34413647</v>
      </c>
      <c r="C355" s="2" t="n">
        <v>45706</v>
      </c>
      <c r="D355" t="inlineStr">
        <is>
          <t>SPEC</t>
        </is>
      </c>
      <c r="E355" t="inlineStr">
        <is>
          <t>SMT SUPPORT BORNIER</t>
        </is>
      </c>
      <c r="F355" t="inlineStr">
        <is>
          <t>QMBC51393</t>
        </is>
      </c>
      <c r="G355" t="inlineStr">
        <is>
          <t>gvl</t>
        </is>
      </c>
      <c r="H355" t="inlineStr">
        <is>
          <t>BYPASS</t>
        </is>
      </c>
      <c r="J355" t="inlineStr">
        <is>
          <t>BERNARDEAU</t>
        </is>
      </c>
      <c r="K355" t="inlineStr">
        <is>
          <t>METAL</t>
        </is>
      </c>
      <c r="L355">
        <f>_xlfn.XLOOKUP(Tableau1[[#This Row],[TYPE DE PIECE]],Tableau4[MATIERE],Tableau4[SHORT TYPE],"",0,1)</f>
        <v/>
      </c>
      <c r="N355">
        <f>IF(ISERR(FIND("DECOUPE",Tableau1[[#This Row],[DESIGNATION]])),"","NEED REF")</f>
        <v/>
      </c>
    </row>
    <row r="356">
      <c r="B356" t="n">
        <v>34413646</v>
      </c>
      <c r="C356" s="2" t="n">
        <v>45705</v>
      </c>
      <c r="D356" t="inlineStr">
        <is>
          <t>SPEC</t>
        </is>
      </c>
      <c r="E35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56" t="inlineStr">
        <is>
          <t>QASH01250</t>
        </is>
      </c>
      <c r="J356" t="inlineStr">
        <is>
          <t>BESSIERE</t>
        </is>
      </c>
      <c r="L356">
        <f>_xlfn.XLOOKUP(Tableau1[[#This Row],[TYPE DE PIECE]],Tableau4[MATIERE],Tableau4[SHORT TYPE],"",0,1)</f>
        <v/>
      </c>
      <c r="N356">
        <f>IF(ISERR(FIND("DECOUPE",Tableau1[[#This Row],[DESIGNATION]])),"","NEED REF")</f>
        <v/>
      </c>
    </row>
    <row r="357">
      <c r="B357" t="n">
        <v>34413645</v>
      </c>
      <c r="C357" s="2" t="n">
        <v>45705</v>
      </c>
      <c r="D357" t="inlineStr">
        <is>
          <t>SPEC</t>
        </is>
      </c>
      <c r="E35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57" t="inlineStr">
        <is>
          <t>QASH01250</t>
        </is>
      </c>
      <c r="J357" t="inlineStr">
        <is>
          <t>BESSIERE</t>
        </is>
      </c>
      <c r="L357">
        <f>_xlfn.XLOOKUP(Tableau1[[#This Row],[TYPE DE PIECE]],Tableau4[MATIERE],Tableau4[SHORT TYPE],"",0,1)</f>
        <v/>
      </c>
      <c r="N357">
        <f>IF(ISERR(FIND("DECOUPE",Tableau1[[#This Row],[DESIGNATION]])),"","NEED REF")</f>
        <v/>
      </c>
    </row>
    <row r="358">
      <c r="B358" t="n">
        <v>34413644</v>
      </c>
      <c r="C358" s="2" t="n">
        <v>45705</v>
      </c>
      <c r="D358" t="inlineStr">
        <is>
          <t>SPEC</t>
        </is>
      </c>
      <c r="E35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58" t="inlineStr">
        <is>
          <t>QASH01250</t>
        </is>
      </c>
      <c r="J358" t="inlineStr">
        <is>
          <t>BESSIERE</t>
        </is>
      </c>
      <c r="L358">
        <f>_xlfn.XLOOKUP(Tableau1[[#This Row],[TYPE DE PIECE]],Tableau4[MATIERE],Tableau4[SHORT TYPE],"",0,1)</f>
        <v/>
      </c>
      <c r="N358">
        <f>IF(ISERR(FIND("DECOUPE",Tableau1[[#This Row],[DESIGNATION]])),"","NEED REF")</f>
        <v/>
      </c>
    </row>
    <row r="359">
      <c r="B359" t="n">
        <v>34413643</v>
      </c>
      <c r="C359" s="2" t="n">
        <v>45705</v>
      </c>
      <c r="D359" t="inlineStr">
        <is>
          <t>SPEC</t>
        </is>
      </c>
      <c r="E359" t="inlineStr">
        <is>
          <t>CANEVAS NS800L MIC.5.0 4P + bobine MX</t>
        </is>
      </c>
      <c r="F359" t="inlineStr">
        <is>
          <t>QMBC51393</t>
        </is>
      </c>
      <c r="H359" t="inlineStr">
        <is>
          <t>BYPASS</t>
        </is>
      </c>
      <c r="I359" t="inlineStr">
        <is>
          <t>500KVA</t>
        </is>
      </c>
      <c r="J359" t="inlineStr">
        <is>
          <t>BERNARDEAU</t>
        </is>
      </c>
      <c r="L359">
        <f>_xlfn.XLOOKUP(Tableau1[[#This Row],[TYPE DE PIECE]],Tableau4[MATIERE],Tableau4[SHORT TYPE],"",0,1)</f>
        <v/>
      </c>
      <c r="N359">
        <f>IF(ISERR(FIND("DECOUPE",Tableau1[[#This Row],[DESIGNATION]])),"","NEED REF")</f>
        <v/>
      </c>
    </row>
    <row r="360">
      <c r="B360" t="n">
        <v>34413642</v>
      </c>
      <c r="C360" s="2" t="n">
        <v>45705</v>
      </c>
      <c r="D360" t="inlineStr">
        <is>
          <t>SPEC</t>
        </is>
      </c>
      <c r="E360" t="inlineStr">
        <is>
          <t>CANEVAS NS1000L MIC.5.0 4P +bobine MX</t>
        </is>
      </c>
      <c r="F360" t="inlineStr">
        <is>
          <t>QMBC51393</t>
        </is>
      </c>
      <c r="H360" t="inlineStr">
        <is>
          <t>BYPASS</t>
        </is>
      </c>
      <c r="I360" t="inlineStr">
        <is>
          <t>500KVA</t>
        </is>
      </c>
      <c r="J360" t="inlineStr">
        <is>
          <t>BERNARDEAU</t>
        </is>
      </c>
      <c r="K360" t="inlineStr">
        <is>
          <t>canevas</t>
        </is>
      </c>
      <c r="L360">
        <f>_xlfn.XLOOKUP(Tableau1[[#This Row],[TYPE DE PIECE]],Tableau4[MATIERE],Tableau4[SHORT TYPE],"",0,1)</f>
        <v/>
      </c>
      <c r="M360" t="inlineStr">
        <is>
          <t>CANEVAS</t>
        </is>
      </c>
      <c r="N360">
        <f>IF(ISERR(FIND("DECOUPE",Tableau1[[#This Row],[DESIGNATION]])),"","NEED REF")</f>
        <v/>
      </c>
    </row>
    <row r="361">
      <c r="B361" t="n">
        <v>34413641</v>
      </c>
      <c r="C361" s="2" t="n">
        <v>45705</v>
      </c>
      <c r="D361" t="inlineStr">
        <is>
          <t>SPEC</t>
        </is>
      </c>
      <c r="E361" t="inlineStr">
        <is>
          <t>SMT FRONT COVER GVLMBCA200K500H</t>
        </is>
      </c>
      <c r="F361" t="inlineStr">
        <is>
          <t>QMBC51393</t>
        </is>
      </c>
      <c r="G361" t="inlineStr">
        <is>
          <t>gvl</t>
        </is>
      </c>
      <c r="H361" t="inlineStr">
        <is>
          <t>BYPASS</t>
        </is>
      </c>
      <c r="J361" t="inlineStr">
        <is>
          <t>BERNARDEAU</t>
        </is>
      </c>
      <c r="K361" t="inlineStr">
        <is>
          <t>METAL</t>
        </is>
      </c>
      <c r="L361">
        <f>_xlfn.XLOOKUP(Tableau1[[#This Row],[TYPE DE PIECE]],Tableau4[MATIERE],Tableau4[SHORT TYPE],"",0,1)</f>
        <v/>
      </c>
      <c r="N361">
        <f>IF(ISERR(FIND("DECOUPE",Tableau1[[#This Row],[DESIGNATION]])),"","NEED REF")</f>
        <v/>
      </c>
    </row>
    <row r="362">
      <c r="B362" t="n">
        <v>34413640</v>
      </c>
      <c r="C362" s="2" t="n">
        <v>45702</v>
      </c>
      <c r="D362" t="inlineStr">
        <is>
          <t>SPEC</t>
        </is>
      </c>
      <c r="E362" t="inlineStr">
        <is>
          <t>SE 34413640 GVXL BACKFEED NS1600H Mic5.0</t>
        </is>
      </c>
      <c r="G362" t="inlineStr">
        <is>
          <t>GVXL</t>
        </is>
      </c>
      <c r="H362" t="inlineStr">
        <is>
          <t>BACKFEED</t>
        </is>
      </c>
      <c r="J362" t="inlineStr">
        <is>
          <t>MATRION</t>
        </is>
      </c>
      <c r="K362" t="inlineStr">
        <is>
          <t>SE</t>
        </is>
      </c>
      <c r="L362">
        <f>_xlfn.XLOOKUP(Tableau1[[#This Row],[TYPE DE PIECE]],Tableau4[MATIERE],Tableau4[SHORT TYPE],"",0,1)</f>
        <v/>
      </c>
      <c r="N362">
        <f>IF(ISERR(FIND("DECOUPE",Tableau1[[#This Row],[DESIGNATION]])),"","NEED REF")</f>
        <v/>
      </c>
    </row>
    <row r="363">
      <c r="B363" t="n">
        <v>34413639</v>
      </c>
      <c r="C363" s="2" t="n">
        <v>45702</v>
      </c>
      <c r="D363" t="inlineStr">
        <is>
          <t>SPEC</t>
        </is>
      </c>
      <c r="E36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63" t="inlineStr">
        <is>
          <t>IQ</t>
        </is>
      </c>
      <c r="H363" t="inlineStr">
        <is>
          <t>ISOLATION BANKLOAD</t>
        </is>
      </c>
      <c r="J363" t="inlineStr">
        <is>
          <t>MATRION</t>
        </is>
      </c>
      <c r="K363" t="inlineStr">
        <is>
          <t>PLASTIQUE</t>
        </is>
      </c>
      <c r="L363">
        <f>_xlfn.XLOOKUP(Tableau1[[#This Row],[TYPE DE PIECE]],Tableau4[MATIERE],Tableau4[SHORT TYPE],"",0,1)</f>
        <v/>
      </c>
      <c r="N363">
        <f>IF(ISERR(FIND("DECOUPE",Tableau1[[#This Row],[DESIGNATION]])),"","NEED REF")</f>
        <v/>
      </c>
    </row>
    <row r="364">
      <c r="B364" t="n">
        <v>34413638</v>
      </c>
      <c r="C364" s="2" t="n">
        <v>45702</v>
      </c>
      <c r="D364" t="inlineStr">
        <is>
          <t>SPEC</t>
        </is>
      </c>
      <c r="E36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64" t="inlineStr">
        <is>
          <t>IQ</t>
        </is>
      </c>
      <c r="H364" t="inlineStr">
        <is>
          <t>ISOLATION BANKLOAD</t>
        </is>
      </c>
      <c r="J364" t="inlineStr">
        <is>
          <t>MATRION</t>
        </is>
      </c>
      <c r="K364" t="inlineStr">
        <is>
          <t>PLASTIQUE</t>
        </is>
      </c>
      <c r="L364">
        <f>_xlfn.XLOOKUP(Tableau1[[#This Row],[TYPE DE PIECE]],Tableau4[MATIERE],Tableau4[SHORT TYPE],"",0,1)</f>
        <v/>
      </c>
      <c r="N364">
        <f>IF(ISERR(FIND("DECOUPE",Tableau1[[#This Row],[DESIGNATION]])),"","NEED REF")</f>
        <v/>
      </c>
    </row>
    <row r="365">
      <c r="B365" t="n">
        <v>34413637</v>
      </c>
      <c r="C365" s="2" t="n">
        <v>45702</v>
      </c>
      <c r="D365" t="inlineStr">
        <is>
          <t>SPEC</t>
        </is>
      </c>
      <c r="E36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65" t="inlineStr">
        <is>
          <t>IQ</t>
        </is>
      </c>
      <c r="H365" t="inlineStr">
        <is>
          <t>ISOLATION BANKLOAD</t>
        </is>
      </c>
      <c r="J365" t="inlineStr">
        <is>
          <t>MATRION</t>
        </is>
      </c>
      <c r="K365" t="inlineStr">
        <is>
          <t>CUIVRE</t>
        </is>
      </c>
      <c r="L365">
        <f>_xlfn.XLOOKUP(Tableau1[[#This Row],[TYPE DE PIECE]],Tableau4[MATIERE],Tableau4[SHORT TYPE],"",0,1)</f>
        <v/>
      </c>
      <c r="N365">
        <f>IF(ISERR(FIND("DECOUPE",Tableau1[[#This Row],[DESIGNATION]])),"","NEED REF")</f>
        <v/>
      </c>
    </row>
    <row r="366">
      <c r="B366" t="n">
        <v>34413636</v>
      </c>
      <c r="C366" s="2" t="n">
        <v>45702</v>
      </c>
      <c r="D366" t="inlineStr">
        <is>
          <t>SPEC</t>
        </is>
      </c>
      <c r="E36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66" t="inlineStr">
        <is>
          <t>IQ</t>
        </is>
      </c>
      <c r="H366" t="inlineStr">
        <is>
          <t>ISOLATION BANKLOAD</t>
        </is>
      </c>
      <c r="J366" t="inlineStr">
        <is>
          <t>MATRION</t>
        </is>
      </c>
      <c r="K366" t="inlineStr">
        <is>
          <t>CUIVRE</t>
        </is>
      </c>
      <c r="L366">
        <f>_xlfn.XLOOKUP(Tableau1[[#This Row],[TYPE DE PIECE]],Tableau4[MATIERE],Tableau4[SHORT TYPE],"",0,1)</f>
        <v/>
      </c>
      <c r="N366">
        <f>IF(ISERR(FIND("DECOUPE",Tableau1[[#This Row],[DESIGNATION]])),"","NEED REF")</f>
        <v/>
      </c>
    </row>
    <row r="367">
      <c r="B367" t="n">
        <v>34413635</v>
      </c>
      <c r="C367" s="2" t="n">
        <v>45702</v>
      </c>
      <c r="D367" t="inlineStr">
        <is>
          <t>SPEC</t>
        </is>
      </c>
      <c r="E36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67" t="inlineStr">
        <is>
          <t>IQ</t>
        </is>
      </c>
      <c r="H367" t="inlineStr">
        <is>
          <t>ISOLATION BANKLOAD</t>
        </is>
      </c>
      <c r="J367" t="inlineStr">
        <is>
          <t>MATRION</t>
        </is>
      </c>
      <c r="K367" t="inlineStr">
        <is>
          <t>PLASTIQUE</t>
        </is>
      </c>
      <c r="L367">
        <f>_xlfn.XLOOKUP(Tableau1[[#This Row],[TYPE DE PIECE]],Tableau4[MATIERE],Tableau4[SHORT TYPE],"",0,1)</f>
        <v/>
      </c>
      <c r="N367">
        <f>IF(ISERR(FIND("DECOUPE",Tableau1[[#This Row],[DESIGNATION]])),"","NEED REF")</f>
        <v/>
      </c>
    </row>
    <row r="368">
      <c r="B368" t="n">
        <v>34413634</v>
      </c>
      <c r="C368" s="2" t="n">
        <v>45701</v>
      </c>
      <c r="D368" t="inlineStr">
        <is>
          <t>SPEC</t>
        </is>
      </c>
      <c r="E36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68" t="inlineStr">
        <is>
          <t>GVXL EXTRA ROOF</t>
        </is>
      </c>
      <c r="J368" t="inlineStr">
        <is>
          <t>BESSIERE</t>
        </is>
      </c>
      <c r="L368">
        <f>_xlfn.XLOOKUP(Tableau1[[#This Row],[TYPE DE PIECE]],Tableau4[MATIERE],Tableau4[SHORT TYPE],"",0,1)</f>
        <v/>
      </c>
      <c r="N368">
        <f>IF(ISERR(FIND("DECOUPE",Tableau1[[#This Row],[DESIGNATION]])),"","NEED REF")</f>
        <v/>
      </c>
    </row>
    <row r="369">
      <c r="B369" t="n">
        <v>34413633</v>
      </c>
      <c r="C369" s="2" t="n">
        <v>45701</v>
      </c>
      <c r="D369" t="inlineStr">
        <is>
          <t>SPEC</t>
        </is>
      </c>
      <c r="E36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69" t="inlineStr">
        <is>
          <t>GVXL EXTRA ROOF</t>
        </is>
      </c>
      <c r="J369" t="inlineStr">
        <is>
          <t>BESSIERE</t>
        </is>
      </c>
      <c r="L369">
        <f>_xlfn.XLOOKUP(Tableau1[[#This Row],[TYPE DE PIECE]],Tableau4[MATIERE],Tableau4[SHORT TYPE],"",0,1)</f>
        <v/>
      </c>
      <c r="N369">
        <f>IF(ISERR(FIND("DECOUPE",Tableau1[[#This Row],[DESIGNATION]])),"","NEED REF")</f>
        <v/>
      </c>
    </row>
    <row r="370">
      <c r="B370" t="n">
        <v>34413632</v>
      </c>
      <c r="C370" s="2" t="n">
        <v>45701</v>
      </c>
      <c r="D370" t="inlineStr">
        <is>
          <t>SPEC</t>
        </is>
      </c>
      <c r="E37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70" t="inlineStr">
        <is>
          <t>GVXL EXTRA ROOF</t>
        </is>
      </c>
      <c r="J370" t="inlineStr">
        <is>
          <t>BESSIERE</t>
        </is>
      </c>
      <c r="L370">
        <f>_xlfn.XLOOKUP(Tableau1[[#This Row],[TYPE DE PIECE]],Tableau4[MATIERE],Tableau4[SHORT TYPE],"",0,1)</f>
        <v/>
      </c>
      <c r="N370">
        <f>IF(ISERR(FIND("DECOUPE",Tableau1[[#This Row],[DESIGNATION]])),"","NEED REF")</f>
        <v/>
      </c>
    </row>
    <row r="371">
      <c r="B371" t="n">
        <v>34413631</v>
      </c>
      <c r="C371" s="2" t="n">
        <v>45701</v>
      </c>
      <c r="D371" t="inlineStr">
        <is>
          <t>SPEC</t>
        </is>
      </c>
      <c r="E37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71" t="inlineStr">
        <is>
          <t>IQ</t>
        </is>
      </c>
      <c r="H371" t="inlineStr">
        <is>
          <t>ISOLATION BANKLOAD</t>
        </is>
      </c>
      <c r="J371" t="inlineStr">
        <is>
          <t>MATRION</t>
        </is>
      </c>
      <c r="L371">
        <f>_xlfn.XLOOKUP(Tableau1[[#This Row],[TYPE DE PIECE]],Tableau4[MATIERE],Tableau4[SHORT TYPE],"",0,1)</f>
        <v/>
      </c>
      <c r="N371">
        <f>IF(ISERR(FIND("DECOUPE",Tableau1[[#This Row],[DESIGNATION]])),"","NEED REF")</f>
        <v/>
      </c>
    </row>
    <row r="372">
      <c r="B372" t="n">
        <v>34413630</v>
      </c>
      <c r="C372" s="2" t="n">
        <v>45701</v>
      </c>
      <c r="D372" t="inlineStr">
        <is>
          <t>SPEC</t>
        </is>
      </c>
      <c r="E37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72" t="inlineStr">
        <is>
          <t>IQ</t>
        </is>
      </c>
      <c r="H372" t="inlineStr">
        <is>
          <t>ISOLATION BANKLOAD</t>
        </is>
      </c>
      <c r="J372" t="inlineStr">
        <is>
          <t>MATRION</t>
        </is>
      </c>
      <c r="K372" t="inlineStr">
        <is>
          <t>PLASTIQUE</t>
        </is>
      </c>
      <c r="L372">
        <f>_xlfn.XLOOKUP(Tableau1[[#This Row],[TYPE DE PIECE]],Tableau4[MATIERE],Tableau4[SHORT TYPE],"",0,1)</f>
        <v/>
      </c>
      <c r="N372">
        <f>IF(ISERR(FIND("DECOUPE",Tableau1[[#This Row],[DESIGNATION]])),"","NEED REF")</f>
        <v/>
      </c>
    </row>
    <row r="373">
      <c r="B373" t="n">
        <v>34413629</v>
      </c>
      <c r="C373" s="2" t="n">
        <v>45701</v>
      </c>
      <c r="D373" t="inlineStr">
        <is>
          <t>SPEC</t>
        </is>
      </c>
      <c r="E37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73" t="inlineStr">
        <is>
          <t>IQ</t>
        </is>
      </c>
      <c r="H373" t="inlineStr">
        <is>
          <t>ISOLATION BANKLOAD</t>
        </is>
      </c>
      <c r="J373" t="inlineStr">
        <is>
          <t>MATRION</t>
        </is>
      </c>
      <c r="K373" t="inlineStr">
        <is>
          <t>METAL</t>
        </is>
      </c>
      <c r="L373">
        <f>_xlfn.XLOOKUP(Tableau1[[#This Row],[TYPE DE PIECE]],Tableau4[MATIERE],Tableau4[SHORT TYPE],"",0,1)</f>
        <v/>
      </c>
      <c r="N373">
        <f>IF(ISERR(FIND("DECOUPE",Tableau1[[#This Row],[DESIGNATION]])),"","NEED REF")</f>
        <v/>
      </c>
    </row>
    <row r="374">
      <c r="B374" t="n">
        <v>34413628</v>
      </c>
      <c r="C374" s="2" t="n">
        <v>45701</v>
      </c>
      <c r="D374" t="inlineStr">
        <is>
          <t>SPEC</t>
        </is>
      </c>
      <c r="E37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74" t="inlineStr">
        <is>
          <t>IQ</t>
        </is>
      </c>
      <c r="H374" t="inlineStr">
        <is>
          <t>ISOLATION BANKLOAD</t>
        </is>
      </c>
      <c r="J374" t="inlineStr">
        <is>
          <t>MATRION</t>
        </is>
      </c>
      <c r="K374" t="inlineStr">
        <is>
          <t>METAL</t>
        </is>
      </c>
      <c r="L374">
        <f>_xlfn.XLOOKUP(Tableau1[[#This Row],[TYPE DE PIECE]],Tableau4[MATIERE],Tableau4[SHORT TYPE],"",0,1)</f>
        <v/>
      </c>
      <c r="N374">
        <f>IF(ISERR(FIND("DECOUPE",Tableau1[[#This Row],[DESIGNATION]])),"","NEED REF")</f>
        <v/>
      </c>
    </row>
    <row r="375">
      <c r="B375" t="n">
        <v>34413627</v>
      </c>
      <c r="C375" s="2" t="n">
        <v>45701</v>
      </c>
      <c r="D375" t="inlineStr">
        <is>
          <t>SPEC</t>
        </is>
      </c>
      <c r="E375" t="inlineStr">
        <is>
          <t>SMT SUPPORT RAIL DIN</t>
        </is>
      </c>
      <c r="F375" t="inlineStr">
        <is>
          <t>QLBB88676</t>
        </is>
      </c>
      <c r="J375" t="inlineStr">
        <is>
          <t>BERNARDEAU</t>
        </is>
      </c>
      <c r="K375" t="inlineStr">
        <is>
          <t>METAL</t>
        </is>
      </c>
      <c r="L375">
        <f>_xlfn.XLOOKUP(Tableau1[[#This Row],[TYPE DE PIECE]],Tableau4[MATIERE],Tableau4[SHORT TYPE],"",0,1)</f>
        <v/>
      </c>
      <c r="N375">
        <f>IF(ISERR(FIND("DECOUPE",Tableau1[[#This Row],[DESIGNATION]])),"","NEED REF")</f>
        <v/>
      </c>
    </row>
    <row r="376">
      <c r="B376" t="n">
        <v>34413626</v>
      </c>
      <c r="C376" s="2" t="n">
        <v>45701</v>
      </c>
      <c r="D376" t="inlineStr">
        <is>
          <t>SPEC</t>
        </is>
      </c>
      <c r="E37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76" t="inlineStr">
        <is>
          <t>IQ</t>
        </is>
      </c>
      <c r="H376" t="inlineStr">
        <is>
          <t>ISOLATION BANKLOAD</t>
        </is>
      </c>
      <c r="J376" t="inlineStr">
        <is>
          <t>MATRION</t>
        </is>
      </c>
      <c r="K376" t="inlineStr">
        <is>
          <t>PLASTIQUE</t>
        </is>
      </c>
      <c r="L376">
        <f>_xlfn.XLOOKUP(Tableau1[[#This Row],[TYPE DE PIECE]],Tableau4[MATIERE],Tableau4[SHORT TYPE],"",0,1)</f>
        <v/>
      </c>
      <c r="N376">
        <f>IF(ISERR(FIND("DECOUPE",Tableau1[[#This Row],[DESIGNATION]])),"","NEED REF")</f>
        <v/>
      </c>
    </row>
    <row r="377">
      <c r="B377" t="n">
        <v>34413625</v>
      </c>
      <c r="C377" s="2" t="n">
        <v>45701</v>
      </c>
      <c r="D377" t="inlineStr">
        <is>
          <t>SPEC</t>
        </is>
      </c>
      <c r="E37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77" t="inlineStr">
        <is>
          <t>IQ</t>
        </is>
      </c>
      <c r="H377" t="inlineStr">
        <is>
          <t>ISOLATION BANKLOAD</t>
        </is>
      </c>
      <c r="J377" t="inlineStr">
        <is>
          <t>MATRION</t>
        </is>
      </c>
      <c r="K377" t="inlineStr">
        <is>
          <t>PLASTIQUE</t>
        </is>
      </c>
      <c r="L377">
        <f>_xlfn.XLOOKUP(Tableau1[[#This Row],[TYPE DE PIECE]],Tableau4[MATIERE],Tableau4[SHORT TYPE],"",0,1)</f>
        <v/>
      </c>
      <c r="N377">
        <f>IF(ISERR(FIND("DECOUPE",Tableau1[[#This Row],[DESIGNATION]])),"","NEED REF")</f>
        <v/>
      </c>
    </row>
    <row r="378">
      <c r="B378" t="n">
        <v>34413624</v>
      </c>
      <c r="C378" s="2" t="n">
        <v>45701</v>
      </c>
      <c r="D378" t="inlineStr">
        <is>
          <t>SPEC</t>
        </is>
      </c>
      <c r="E37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78" t="inlineStr">
        <is>
          <t>IQ</t>
        </is>
      </c>
      <c r="H378" t="inlineStr">
        <is>
          <t>ISOLATION BANKLOAD</t>
        </is>
      </c>
      <c r="J378" t="inlineStr">
        <is>
          <t>MATRION</t>
        </is>
      </c>
      <c r="K378" t="inlineStr">
        <is>
          <t>PLASTIQUE</t>
        </is>
      </c>
      <c r="L378">
        <f>_xlfn.XLOOKUP(Tableau1[[#This Row],[TYPE DE PIECE]],Tableau4[MATIERE],Tableau4[SHORT TYPE],"",0,1)</f>
        <v/>
      </c>
      <c r="N378">
        <f>IF(ISERR(FIND("DECOUPE",Tableau1[[#This Row],[DESIGNATION]])),"","NEED REF")</f>
        <v/>
      </c>
    </row>
    <row r="379">
      <c r="B379" t="n">
        <v>34413623</v>
      </c>
      <c r="C379" s="2" t="n">
        <v>45701</v>
      </c>
      <c r="D379" t="inlineStr">
        <is>
          <t>SPEC</t>
        </is>
      </c>
      <c r="E37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79" t="inlineStr">
        <is>
          <t>IQ</t>
        </is>
      </c>
      <c r="H379" t="inlineStr">
        <is>
          <t>ISOLATION BANKLOAD</t>
        </is>
      </c>
      <c r="J379" t="inlineStr">
        <is>
          <t>MATRION</t>
        </is>
      </c>
      <c r="K379" t="inlineStr">
        <is>
          <t>PLASTIQUE</t>
        </is>
      </c>
      <c r="L379">
        <f>_xlfn.XLOOKUP(Tableau1[[#This Row],[TYPE DE PIECE]],Tableau4[MATIERE],Tableau4[SHORT TYPE],"",0,1)</f>
        <v/>
      </c>
      <c r="N379">
        <f>IF(ISERR(FIND("DECOUPE",Tableau1[[#This Row],[DESIGNATION]])),"","NEED REF")</f>
        <v/>
      </c>
    </row>
    <row r="380">
      <c r="B380" t="n">
        <v>34413622</v>
      </c>
      <c r="C380" s="2" t="n">
        <v>45701</v>
      </c>
      <c r="D380" t="inlineStr">
        <is>
          <t>SPEC</t>
        </is>
      </c>
      <c r="E38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0" t="inlineStr">
        <is>
          <t>IQ</t>
        </is>
      </c>
      <c r="H380" t="inlineStr">
        <is>
          <t>ISOLATION BANKLOAD</t>
        </is>
      </c>
      <c r="J380" t="inlineStr">
        <is>
          <t>MATRION</t>
        </is>
      </c>
      <c r="K380" t="inlineStr">
        <is>
          <t>PLASTIQUE</t>
        </is>
      </c>
      <c r="L380">
        <f>_xlfn.XLOOKUP(Tableau1[[#This Row],[TYPE DE PIECE]],Tableau4[MATIERE],Tableau4[SHORT TYPE],"",0,1)</f>
        <v/>
      </c>
      <c r="N380">
        <f>IF(ISERR(FIND("DECOUPE",Tableau1[[#This Row],[DESIGNATION]])),"","NEED REF")</f>
        <v/>
      </c>
    </row>
    <row r="381">
      <c r="B381" t="n">
        <v>34413621</v>
      </c>
      <c r="C381" s="2" t="n">
        <v>45701</v>
      </c>
      <c r="D381" t="inlineStr">
        <is>
          <t>SPEC</t>
        </is>
      </c>
      <c r="E38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1" t="inlineStr">
        <is>
          <t>IQ</t>
        </is>
      </c>
      <c r="H381" t="inlineStr">
        <is>
          <t>ISOLATION BANKLOAD</t>
        </is>
      </c>
      <c r="J381" t="inlineStr">
        <is>
          <t>MATRION</t>
        </is>
      </c>
      <c r="K381" t="inlineStr">
        <is>
          <t>PLASTIQUE</t>
        </is>
      </c>
      <c r="L381">
        <f>_xlfn.XLOOKUP(Tableau1[[#This Row],[TYPE DE PIECE]],Tableau4[MATIERE],Tableau4[SHORT TYPE],"",0,1)</f>
        <v/>
      </c>
      <c r="N381">
        <f>IF(ISERR(FIND("DECOUPE",Tableau1[[#This Row],[DESIGNATION]])),"","NEED REF")</f>
        <v/>
      </c>
    </row>
    <row r="382">
      <c r="B382" t="n">
        <v>34413620</v>
      </c>
      <c r="C382" s="2" t="n">
        <v>45700</v>
      </c>
      <c r="D382" t="inlineStr">
        <is>
          <t>SPEC</t>
        </is>
      </c>
      <c r="E38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2" t="inlineStr">
        <is>
          <t>IQ</t>
        </is>
      </c>
      <c r="H382" t="inlineStr">
        <is>
          <t>ISOLATION BANKLOAD</t>
        </is>
      </c>
      <c r="J382" t="inlineStr">
        <is>
          <t>MATRION</t>
        </is>
      </c>
      <c r="K382" t="inlineStr">
        <is>
          <t>METAL</t>
        </is>
      </c>
      <c r="L382">
        <f>_xlfn.XLOOKUP(Tableau1[[#This Row],[TYPE DE PIECE]],Tableau4[MATIERE],Tableau4[SHORT TYPE],"",0,1)</f>
        <v/>
      </c>
      <c r="N382">
        <f>IF(ISERR(FIND("DECOUPE",Tableau1[[#This Row],[DESIGNATION]])),"","NEED REF")</f>
        <v/>
      </c>
    </row>
    <row r="383">
      <c r="B383" t="n">
        <v>34413619</v>
      </c>
      <c r="C383" s="2" t="n">
        <v>45700</v>
      </c>
      <c r="D383" t="inlineStr">
        <is>
          <t>SPEC</t>
        </is>
      </c>
      <c r="E38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3" t="inlineStr">
        <is>
          <t>IQ</t>
        </is>
      </c>
      <c r="H383" t="inlineStr">
        <is>
          <t>ISOLATION BANKLOAD</t>
        </is>
      </c>
      <c r="J383" t="inlineStr">
        <is>
          <t>MATRION</t>
        </is>
      </c>
      <c r="K383" t="inlineStr">
        <is>
          <t>METAL</t>
        </is>
      </c>
      <c r="L383">
        <f>_xlfn.XLOOKUP(Tableau1[[#This Row],[TYPE DE PIECE]],Tableau4[MATIERE],Tableau4[SHORT TYPE],"",0,1)</f>
        <v/>
      </c>
      <c r="N383">
        <f>IF(ISERR(FIND("DECOUPE",Tableau1[[#This Row],[DESIGNATION]])),"","NEED REF")</f>
        <v/>
      </c>
    </row>
    <row r="384">
      <c r="B384" t="n">
        <v>34413618</v>
      </c>
      <c r="C384" s="2" t="n">
        <v>45700</v>
      </c>
      <c r="D384" t="inlineStr">
        <is>
          <t>SPEC</t>
        </is>
      </c>
      <c r="E38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4" t="inlineStr">
        <is>
          <t>IQ</t>
        </is>
      </c>
      <c r="H384" t="inlineStr">
        <is>
          <t>ISOLATION BANKLOAD</t>
        </is>
      </c>
      <c r="J384" t="inlineStr">
        <is>
          <t>MATRION</t>
        </is>
      </c>
      <c r="K384" t="inlineStr">
        <is>
          <t>METAL</t>
        </is>
      </c>
      <c r="L384">
        <f>_xlfn.XLOOKUP(Tableau1[[#This Row],[TYPE DE PIECE]],Tableau4[MATIERE],Tableau4[SHORT TYPE],"",0,1)</f>
        <v/>
      </c>
      <c r="N384">
        <f>IF(ISERR(FIND("DECOUPE",Tableau1[[#This Row],[DESIGNATION]])),"","NEED REF")</f>
        <v/>
      </c>
    </row>
    <row r="385">
      <c r="B385" t="n">
        <v>34413617</v>
      </c>
      <c r="C385" s="2" t="n">
        <v>45700</v>
      </c>
      <c r="D385" t="inlineStr">
        <is>
          <t>SPEC</t>
        </is>
      </c>
      <c r="E38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5" t="inlineStr">
        <is>
          <t>IQ</t>
        </is>
      </c>
      <c r="H385" t="inlineStr">
        <is>
          <t>ISOLATION BANKLOAD</t>
        </is>
      </c>
      <c r="J385" t="inlineStr">
        <is>
          <t>MATRION</t>
        </is>
      </c>
      <c r="K385" t="inlineStr">
        <is>
          <t>METAL</t>
        </is>
      </c>
      <c r="L385">
        <f>_xlfn.XLOOKUP(Tableau1[[#This Row],[TYPE DE PIECE]],Tableau4[MATIERE],Tableau4[SHORT TYPE],"",0,1)</f>
        <v/>
      </c>
      <c r="N385">
        <f>IF(ISERR(FIND("DECOUPE",Tableau1[[#This Row],[DESIGNATION]])),"","NEED REF")</f>
        <v/>
      </c>
    </row>
    <row r="386">
      <c r="B386" t="n">
        <v>34413616</v>
      </c>
      <c r="C386" s="2" t="n">
        <v>45700</v>
      </c>
      <c r="D386" t="inlineStr">
        <is>
          <t>SPEC</t>
        </is>
      </c>
      <c r="E38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6" t="inlineStr">
        <is>
          <t>IQ</t>
        </is>
      </c>
      <c r="H386" t="inlineStr">
        <is>
          <t>ISOLATION BANKLOAD</t>
        </is>
      </c>
      <c r="J386" t="inlineStr">
        <is>
          <t>MATRION</t>
        </is>
      </c>
      <c r="K386" t="inlineStr">
        <is>
          <t>METAL</t>
        </is>
      </c>
      <c r="L386">
        <f>_xlfn.XLOOKUP(Tableau1[[#This Row],[TYPE DE PIECE]],Tableau4[MATIERE],Tableau4[SHORT TYPE],"",0,1)</f>
        <v/>
      </c>
      <c r="N386">
        <f>IF(ISERR(FIND("DECOUPE",Tableau1[[#This Row],[DESIGNATION]])),"","NEED REF")</f>
        <v/>
      </c>
    </row>
    <row r="387">
      <c r="B387" t="n">
        <v>34413615</v>
      </c>
      <c r="C387" s="2" t="n">
        <v>45700</v>
      </c>
      <c r="D387" t="inlineStr">
        <is>
          <t>SPEC</t>
        </is>
      </c>
      <c r="E38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7" t="inlineStr">
        <is>
          <t>IQ</t>
        </is>
      </c>
      <c r="H387" t="inlineStr">
        <is>
          <t>ISOLATION BANKLOAD</t>
        </is>
      </c>
      <c r="J387" t="inlineStr">
        <is>
          <t>MATRION</t>
        </is>
      </c>
      <c r="K387" t="inlineStr">
        <is>
          <t>METAL</t>
        </is>
      </c>
      <c r="L387">
        <f>_xlfn.XLOOKUP(Tableau1[[#This Row],[TYPE DE PIECE]],Tableau4[MATIERE],Tableau4[SHORT TYPE],"",0,1)</f>
        <v/>
      </c>
      <c r="N387">
        <f>IF(ISERR(FIND("DECOUPE",Tableau1[[#This Row],[DESIGNATION]])),"","NEED REF")</f>
        <v/>
      </c>
    </row>
    <row r="388">
      <c r="B388" t="n">
        <v>34413614</v>
      </c>
      <c r="C388" s="2" t="n">
        <v>45700</v>
      </c>
      <c r="D388" t="inlineStr">
        <is>
          <t>SPEC</t>
        </is>
      </c>
      <c r="E38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8" t="inlineStr">
        <is>
          <t>IQ</t>
        </is>
      </c>
      <c r="H388" t="inlineStr">
        <is>
          <t>ISOLATION BANKLOAD</t>
        </is>
      </c>
      <c r="J388" t="inlineStr">
        <is>
          <t>MATRION</t>
        </is>
      </c>
      <c r="K388" t="inlineStr">
        <is>
          <t>PLASTIQUE</t>
        </is>
      </c>
      <c r="L388">
        <f>_xlfn.XLOOKUP(Tableau1[[#This Row],[TYPE DE PIECE]],Tableau4[MATIERE],Tableau4[SHORT TYPE],"",0,1)</f>
        <v/>
      </c>
      <c r="N388">
        <f>IF(ISERR(FIND("DECOUPE",Tableau1[[#This Row],[DESIGNATION]])),"","NEED REF")</f>
        <v/>
      </c>
    </row>
    <row r="389">
      <c r="B389" t="n">
        <v>34413613</v>
      </c>
      <c r="C389" s="2" t="n">
        <v>45700</v>
      </c>
      <c r="D389" t="inlineStr">
        <is>
          <t>SPEC</t>
        </is>
      </c>
      <c r="E38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389" t="inlineStr">
        <is>
          <t>IQ</t>
        </is>
      </c>
      <c r="H389" t="inlineStr">
        <is>
          <t>ISOLATION BANKLOAD</t>
        </is>
      </c>
      <c r="J389" t="inlineStr">
        <is>
          <t>MATRION</t>
        </is>
      </c>
      <c r="K389" t="inlineStr">
        <is>
          <t>METAL</t>
        </is>
      </c>
      <c r="L389">
        <f>_xlfn.XLOOKUP(Tableau1[[#This Row],[TYPE DE PIECE]],Tableau4[MATIERE],Tableau4[SHORT TYPE],"",0,1)</f>
        <v/>
      </c>
      <c r="N389">
        <f>IF(ISERR(FIND("DECOUPE",Tableau1[[#This Row],[DESIGNATION]])),"","NEED REF")</f>
        <v/>
      </c>
    </row>
    <row r="390">
      <c r="B390" t="n">
        <v>34413612</v>
      </c>
      <c r="C390" s="2" t="n">
        <v>45699</v>
      </c>
      <c r="D390" t="inlineStr">
        <is>
          <t>SPEC</t>
        </is>
      </c>
      <c r="E390" t="inlineStr">
        <is>
          <t>PERCAGE SUPPORT STD 870-64817</t>
        </is>
      </c>
      <c r="J390" t="inlineStr">
        <is>
          <t>BERNARDEAU</t>
        </is>
      </c>
      <c r="K390" t="inlineStr">
        <is>
          <t>ATELIER</t>
        </is>
      </c>
      <c r="L390">
        <f>_xlfn.XLOOKUP(Tableau1[[#This Row],[TYPE DE PIECE]],Tableau4[MATIERE],Tableau4[SHORT TYPE],"",0,1)</f>
        <v/>
      </c>
      <c r="N390">
        <f>IF(ISERR(FIND("DECOUPE",Tableau1[[#This Row],[DESIGNATION]])),"","NEED REF")</f>
        <v/>
      </c>
    </row>
    <row r="391">
      <c r="B391" t="n">
        <v>34413611</v>
      </c>
      <c r="C391" s="2" t="n">
        <v>45699</v>
      </c>
      <c r="D391" t="inlineStr">
        <is>
          <t>SPEC</t>
        </is>
      </c>
      <c r="E391" t="inlineStr">
        <is>
          <t>DECOUPE RAIL NSYSDR2000 120mm</t>
        </is>
      </c>
      <c r="J391" t="inlineStr">
        <is>
          <t>BERNARDEAU</t>
        </is>
      </c>
      <c r="K391" t="inlineStr">
        <is>
          <t>DECOUPE</t>
        </is>
      </c>
      <c r="L391">
        <f>_xlfn.XLOOKUP(Tableau1[[#This Row],[TYPE DE PIECE]],Tableau4[MATIERE],Tableau4[SHORT TYPE],"",0,1)</f>
        <v/>
      </c>
      <c r="N391" t="inlineStr">
        <is>
          <t>NSYSDR200</t>
        </is>
      </c>
    </row>
    <row r="392">
      <c r="B392" t="n">
        <v>34413610</v>
      </c>
      <c r="C392" s="2" t="n">
        <v>45699</v>
      </c>
      <c r="D392" t="inlineStr">
        <is>
          <t>SPEC</t>
        </is>
      </c>
      <c r="E39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392" t="inlineStr">
        <is>
          <t>BESSIERE</t>
        </is>
      </c>
      <c r="L392">
        <f>_xlfn.XLOOKUP(Tableau1[[#This Row],[TYPE DE PIECE]],Tableau4[MATIERE],Tableau4[SHORT TYPE],"",0,1)</f>
        <v/>
      </c>
      <c r="N392">
        <f>IF(ISERR(FIND("DECOUPE",Tableau1[[#This Row],[DESIGNATION]])),"","NEED REF")</f>
        <v/>
      </c>
    </row>
    <row r="393">
      <c r="B393" t="n">
        <v>34413609</v>
      </c>
      <c r="C393" s="2" t="n">
        <v>45699</v>
      </c>
      <c r="D393" t="inlineStr">
        <is>
          <t>SPEC</t>
        </is>
      </c>
      <c r="E39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393" t="inlineStr">
        <is>
          <t>BESSIERE</t>
        </is>
      </c>
      <c r="L393">
        <f>_xlfn.XLOOKUP(Tableau1[[#This Row],[TYPE DE PIECE]],Tableau4[MATIERE],Tableau4[SHORT TYPE],"",0,1)</f>
        <v/>
      </c>
      <c r="N393">
        <f>IF(ISERR(FIND("DECOUPE",Tableau1[[#This Row],[DESIGNATION]])),"","NEED REF")</f>
        <v/>
      </c>
    </row>
    <row r="394">
      <c r="B394" t="n">
        <v>34413608</v>
      </c>
      <c r="C394" s="2" t="n">
        <v>45699</v>
      </c>
      <c r="D394" t="inlineStr">
        <is>
          <t>SPEC</t>
        </is>
      </c>
      <c r="E39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94" t="inlineStr">
        <is>
          <t>QBED01600</t>
        </is>
      </c>
      <c r="J394" t="inlineStr">
        <is>
          <t>BESSIERE</t>
        </is>
      </c>
      <c r="L394">
        <f>_xlfn.XLOOKUP(Tableau1[[#This Row],[TYPE DE PIECE]],Tableau4[MATIERE],Tableau4[SHORT TYPE],"",0,1)</f>
        <v/>
      </c>
      <c r="N394">
        <f>IF(ISERR(FIND("DECOUPE",Tableau1[[#This Row],[DESIGNATION]])),"","NEED REF")</f>
        <v/>
      </c>
    </row>
    <row r="395">
      <c r="B395" t="n">
        <v>34413607</v>
      </c>
      <c r="C395" s="2" t="n">
        <v>45699</v>
      </c>
      <c r="D395" t="inlineStr">
        <is>
          <t>SPEC</t>
        </is>
      </c>
      <c r="E39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95" t="inlineStr">
        <is>
          <t>GVXL EXTRA ROOF</t>
        </is>
      </c>
      <c r="J395" t="inlineStr">
        <is>
          <t>BESSIERE</t>
        </is>
      </c>
      <c r="L395">
        <f>_xlfn.XLOOKUP(Tableau1[[#This Row],[TYPE DE PIECE]],Tableau4[MATIERE],Tableau4[SHORT TYPE],"",0,1)</f>
        <v/>
      </c>
      <c r="N395">
        <f>IF(ISERR(FIND("DECOUPE",Tableau1[[#This Row],[DESIGNATION]])),"","NEED REF")</f>
        <v/>
      </c>
    </row>
    <row r="396">
      <c r="B396" t="n">
        <v>34413606</v>
      </c>
      <c r="C396" s="2" t="n">
        <v>45699</v>
      </c>
      <c r="D396" t="inlineStr">
        <is>
          <t>SPEC</t>
        </is>
      </c>
      <c r="E39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96" t="inlineStr">
        <is>
          <t>GVXL EXTRA ROOF</t>
        </is>
      </c>
      <c r="J396" t="inlineStr">
        <is>
          <t>BESSIERE</t>
        </is>
      </c>
      <c r="L396">
        <f>_xlfn.XLOOKUP(Tableau1[[#This Row],[TYPE DE PIECE]],Tableau4[MATIERE],Tableau4[SHORT TYPE],"",0,1)</f>
        <v/>
      </c>
      <c r="N396">
        <f>IF(ISERR(FIND("DECOUPE",Tableau1[[#This Row],[DESIGNATION]])),"","NEED REF")</f>
        <v/>
      </c>
    </row>
    <row r="397">
      <c r="B397" t="n">
        <v>34413605</v>
      </c>
      <c r="C397" s="2" t="n">
        <v>45699</v>
      </c>
      <c r="D397" t="inlineStr">
        <is>
          <t>SPEC</t>
        </is>
      </c>
      <c r="E39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97" t="inlineStr">
        <is>
          <t>GVXL EXTRA ROOF</t>
        </is>
      </c>
      <c r="J397" t="inlineStr">
        <is>
          <t>BESSIERE</t>
        </is>
      </c>
      <c r="L397">
        <f>_xlfn.XLOOKUP(Tableau1[[#This Row],[TYPE DE PIECE]],Tableau4[MATIERE],Tableau4[SHORT TYPE],"",0,1)</f>
        <v/>
      </c>
      <c r="N397">
        <f>IF(ISERR(FIND("DECOUPE",Tableau1[[#This Row],[DESIGNATION]])),"","NEED REF")</f>
        <v/>
      </c>
    </row>
    <row r="398">
      <c r="B398" t="n">
        <v>34413604</v>
      </c>
      <c r="C398" s="2" t="n">
        <v>45698</v>
      </c>
      <c r="D398" t="inlineStr">
        <is>
          <t>SPEC</t>
        </is>
      </c>
      <c r="E39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98" t="inlineStr">
        <is>
          <t>GVXL EXTRA ROOF</t>
        </is>
      </c>
      <c r="J398" t="inlineStr">
        <is>
          <t>BESSIERE</t>
        </is>
      </c>
      <c r="L398">
        <f>_xlfn.XLOOKUP(Tableau1[[#This Row],[TYPE DE PIECE]],Tableau4[MATIERE],Tableau4[SHORT TYPE],"",0,1)</f>
        <v/>
      </c>
      <c r="N398">
        <f>IF(ISERR(FIND("DECOUPE",Tableau1[[#This Row],[DESIGNATION]])),"","NEED REF")</f>
        <v/>
      </c>
    </row>
    <row r="399">
      <c r="B399" t="n">
        <v>34413603</v>
      </c>
      <c r="C399" s="2" t="n">
        <v>45698</v>
      </c>
      <c r="D399" t="inlineStr">
        <is>
          <t>SPEC</t>
        </is>
      </c>
      <c r="E39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399" t="inlineStr">
        <is>
          <t>GVXL EXTRA ROOF</t>
        </is>
      </c>
      <c r="J399" t="inlineStr">
        <is>
          <t>BESSIERE</t>
        </is>
      </c>
      <c r="L399">
        <f>_xlfn.XLOOKUP(Tableau1[[#This Row],[TYPE DE PIECE]],Tableau4[MATIERE],Tableau4[SHORT TYPE],"",0,1)</f>
        <v/>
      </c>
      <c r="N399">
        <f>IF(ISERR(FIND("DECOUPE",Tableau1[[#This Row],[DESIGNATION]])),"","NEED REF")</f>
        <v/>
      </c>
    </row>
    <row r="400">
      <c r="B400" t="n">
        <v>34413602</v>
      </c>
      <c r="C400" s="2" t="n">
        <v>45698</v>
      </c>
      <c r="D400" t="inlineStr">
        <is>
          <t>SPEC</t>
        </is>
      </c>
      <c r="E40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0" t="inlineStr">
        <is>
          <t>GVXL EXTRA ROOF</t>
        </is>
      </c>
      <c r="J400" t="inlineStr">
        <is>
          <t>BESSIERE</t>
        </is>
      </c>
      <c r="L400">
        <f>_xlfn.XLOOKUP(Tableau1[[#This Row],[TYPE DE PIECE]],Tableau4[MATIERE],Tableau4[SHORT TYPE],"",0,1)</f>
        <v/>
      </c>
      <c r="N400">
        <f>IF(ISERR(FIND("DECOUPE",Tableau1[[#This Row],[DESIGNATION]])),"","NEED REF")</f>
        <v/>
      </c>
    </row>
    <row r="401">
      <c r="B401" t="n">
        <v>34413601</v>
      </c>
      <c r="C401" s="2" t="n">
        <v>45698</v>
      </c>
      <c r="D401" t="inlineStr">
        <is>
          <t>SPEC</t>
        </is>
      </c>
      <c r="E40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1" t="inlineStr">
        <is>
          <t>GVXL EXTRA ROOF</t>
        </is>
      </c>
      <c r="J401" t="inlineStr">
        <is>
          <t>BESSIERE</t>
        </is>
      </c>
      <c r="L401">
        <f>_xlfn.XLOOKUP(Tableau1[[#This Row],[TYPE DE PIECE]],Tableau4[MATIERE],Tableau4[SHORT TYPE],"",0,1)</f>
        <v/>
      </c>
      <c r="N401">
        <f>IF(ISERR(FIND("DECOUPE",Tableau1[[#This Row],[DESIGNATION]])),"","NEED REF")</f>
        <v/>
      </c>
    </row>
    <row r="402">
      <c r="B402" t="n">
        <v>34413600</v>
      </c>
      <c r="C402" s="2" t="n">
        <v>45698</v>
      </c>
      <c r="D402" t="inlineStr">
        <is>
          <t>SPEC</t>
        </is>
      </c>
      <c r="E40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2" t="inlineStr">
        <is>
          <t>GVXL EXTRA ROOF</t>
        </is>
      </c>
      <c r="J402" t="inlineStr">
        <is>
          <t>BESSIERE</t>
        </is>
      </c>
      <c r="L402">
        <f>_xlfn.XLOOKUP(Tableau1[[#This Row],[TYPE DE PIECE]],Tableau4[MATIERE],Tableau4[SHORT TYPE],"",0,1)</f>
        <v/>
      </c>
      <c r="N402">
        <f>IF(ISERR(FIND("DECOUPE",Tableau1[[#This Row],[DESIGNATION]])),"","NEED REF")</f>
        <v/>
      </c>
    </row>
    <row r="403">
      <c r="B403" t="n">
        <v>34413599</v>
      </c>
      <c r="C403" s="2" t="n">
        <v>45698</v>
      </c>
      <c r="D403" t="inlineStr">
        <is>
          <t>SPEC</t>
        </is>
      </c>
      <c r="E40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3" t="inlineStr">
        <is>
          <t>GVXL EXTRA ROOF</t>
        </is>
      </c>
      <c r="J403" t="inlineStr">
        <is>
          <t>BESSIERE</t>
        </is>
      </c>
      <c r="L403">
        <f>_xlfn.XLOOKUP(Tableau1[[#This Row],[TYPE DE PIECE]],Tableau4[MATIERE],Tableau4[SHORT TYPE],"",0,1)</f>
        <v/>
      </c>
      <c r="N403">
        <f>IF(ISERR(FIND("DECOUPE",Tableau1[[#This Row],[DESIGNATION]])),"","NEED REF")</f>
        <v/>
      </c>
    </row>
    <row r="404">
      <c r="B404" t="n">
        <v>34413598</v>
      </c>
      <c r="C404" s="2" t="n">
        <v>45698</v>
      </c>
      <c r="D404" t="inlineStr">
        <is>
          <t>SPEC</t>
        </is>
      </c>
      <c r="E40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4" t="inlineStr">
        <is>
          <t>GVXL EXTRA ROOF</t>
        </is>
      </c>
      <c r="J404" t="inlineStr">
        <is>
          <t>BESSIERE</t>
        </is>
      </c>
      <c r="L404">
        <f>_xlfn.XLOOKUP(Tableau1[[#This Row],[TYPE DE PIECE]],Tableau4[MATIERE],Tableau4[SHORT TYPE],"",0,1)</f>
        <v/>
      </c>
      <c r="N404">
        <f>IF(ISERR(FIND("DECOUPE",Tableau1[[#This Row],[DESIGNATION]])),"","NEED REF")</f>
        <v/>
      </c>
    </row>
    <row r="405">
      <c r="B405" t="n">
        <v>34413597</v>
      </c>
      <c r="C405" s="2" t="n">
        <v>45698</v>
      </c>
      <c r="D405" t="inlineStr">
        <is>
          <t>SPEC</t>
        </is>
      </c>
      <c r="E40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5" t="inlineStr">
        <is>
          <t>GVXL EXTRA ROOF</t>
        </is>
      </c>
      <c r="J405" t="inlineStr">
        <is>
          <t>BESSIERE</t>
        </is>
      </c>
      <c r="L405">
        <f>_xlfn.XLOOKUP(Tableau1[[#This Row],[TYPE DE PIECE]],Tableau4[MATIERE],Tableau4[SHORT TYPE],"",0,1)</f>
        <v/>
      </c>
      <c r="N405">
        <f>IF(ISERR(FIND("DECOUPE",Tableau1[[#This Row],[DESIGNATION]])),"","NEED REF")</f>
        <v/>
      </c>
    </row>
    <row r="406">
      <c r="B406" t="n">
        <v>34413596</v>
      </c>
      <c r="C406" s="2" t="n">
        <v>45698</v>
      </c>
      <c r="D406" t="inlineStr">
        <is>
          <t>SPEC</t>
        </is>
      </c>
      <c r="E40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6" t="inlineStr">
        <is>
          <t>GVXL EXTRA ROOF</t>
        </is>
      </c>
      <c r="J406" t="inlineStr">
        <is>
          <t>BESSIERE</t>
        </is>
      </c>
      <c r="L406">
        <f>_xlfn.XLOOKUP(Tableau1[[#This Row],[TYPE DE PIECE]],Tableau4[MATIERE],Tableau4[SHORT TYPE],"",0,1)</f>
        <v/>
      </c>
      <c r="N406">
        <f>IF(ISERR(FIND("DECOUPE",Tableau1[[#This Row],[DESIGNATION]])),"","NEED REF")</f>
        <v/>
      </c>
    </row>
    <row r="407">
      <c r="B407" t="n">
        <v>34413595</v>
      </c>
      <c r="C407" s="2" t="n">
        <v>45698</v>
      </c>
      <c r="D407" t="inlineStr">
        <is>
          <t>SPEC</t>
        </is>
      </c>
      <c r="E40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7" t="inlineStr">
        <is>
          <t>GVXL EXTRA ROOF</t>
        </is>
      </c>
      <c r="J407" t="inlineStr">
        <is>
          <t>BESSIERE</t>
        </is>
      </c>
      <c r="L407">
        <f>_xlfn.XLOOKUP(Tableau1[[#This Row],[TYPE DE PIECE]],Tableau4[MATIERE],Tableau4[SHORT TYPE],"",0,1)</f>
        <v/>
      </c>
      <c r="N407">
        <f>IF(ISERR(FIND("DECOUPE",Tableau1[[#This Row],[DESIGNATION]])),"","NEED REF")</f>
        <v/>
      </c>
    </row>
    <row r="408">
      <c r="B408" t="n">
        <v>34413594</v>
      </c>
      <c r="C408" s="2" t="n">
        <v>45698</v>
      </c>
      <c r="D408" t="inlineStr">
        <is>
          <t>SPEC</t>
        </is>
      </c>
      <c r="E40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8" t="inlineStr">
        <is>
          <t>GVXL EXTRA ROOF</t>
        </is>
      </c>
      <c r="J408" t="inlineStr">
        <is>
          <t>BESSIERE</t>
        </is>
      </c>
      <c r="L408">
        <f>_xlfn.XLOOKUP(Tableau1[[#This Row],[TYPE DE PIECE]],Tableau4[MATIERE],Tableau4[SHORT TYPE],"",0,1)</f>
        <v/>
      </c>
      <c r="N408">
        <f>IF(ISERR(FIND("DECOUPE",Tableau1[[#This Row],[DESIGNATION]])),"","NEED REF")</f>
        <v/>
      </c>
    </row>
    <row r="409">
      <c r="B409" t="n">
        <v>34413593</v>
      </c>
      <c r="C409" s="2" t="n">
        <v>45698</v>
      </c>
      <c r="D409" t="inlineStr">
        <is>
          <t>SPEC</t>
        </is>
      </c>
      <c r="E40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09" t="inlineStr">
        <is>
          <t>GVXL EXTRA ROOF</t>
        </is>
      </c>
      <c r="J409" t="inlineStr">
        <is>
          <t>BESSIERE</t>
        </is>
      </c>
      <c r="L409">
        <f>_xlfn.XLOOKUP(Tableau1[[#This Row],[TYPE DE PIECE]],Tableau4[MATIERE],Tableau4[SHORT TYPE],"",0,1)</f>
        <v/>
      </c>
      <c r="N409">
        <f>IF(ISERR(FIND("DECOUPE",Tableau1[[#This Row],[DESIGNATION]])),"","NEED REF")</f>
        <v/>
      </c>
    </row>
    <row r="410">
      <c r="B410" t="n">
        <v>34413592</v>
      </c>
      <c r="C410" s="2" t="n">
        <v>45698</v>
      </c>
      <c r="D410" t="inlineStr">
        <is>
          <t>SPEC</t>
        </is>
      </c>
      <c r="E41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0" t="inlineStr">
        <is>
          <t>GVXL EXTRA ROOF</t>
        </is>
      </c>
      <c r="J410" t="inlineStr">
        <is>
          <t>BESSIERE</t>
        </is>
      </c>
      <c r="L410">
        <f>_xlfn.XLOOKUP(Tableau1[[#This Row],[TYPE DE PIECE]],Tableau4[MATIERE],Tableau4[SHORT TYPE],"",0,1)</f>
        <v/>
      </c>
      <c r="N410">
        <f>IF(ISERR(FIND("DECOUPE",Tableau1[[#This Row],[DESIGNATION]])),"","NEED REF")</f>
        <v/>
      </c>
    </row>
    <row r="411">
      <c r="B411" t="n">
        <v>34413591</v>
      </c>
      <c r="C411" s="2" t="n">
        <v>45698</v>
      </c>
      <c r="D411" t="inlineStr">
        <is>
          <t>SPEC</t>
        </is>
      </c>
      <c r="E41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1" t="inlineStr">
        <is>
          <t>GVXL EXTRA ROOF</t>
        </is>
      </c>
      <c r="J411" t="inlineStr">
        <is>
          <t>BESSIERE</t>
        </is>
      </c>
      <c r="L411">
        <f>_xlfn.XLOOKUP(Tableau1[[#This Row],[TYPE DE PIECE]],Tableau4[MATIERE],Tableau4[SHORT TYPE],"",0,1)</f>
        <v/>
      </c>
      <c r="N411">
        <f>IF(ISERR(FIND("DECOUPE",Tableau1[[#This Row],[DESIGNATION]])),"","NEED REF")</f>
        <v/>
      </c>
    </row>
    <row r="412">
      <c r="B412" t="n">
        <v>34413590</v>
      </c>
      <c r="C412" s="2" t="n">
        <v>45698</v>
      </c>
      <c r="D412" t="inlineStr">
        <is>
          <t>SPEC</t>
        </is>
      </c>
      <c r="E41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2" t="inlineStr">
        <is>
          <t>GVXL EXTRA ROOF</t>
        </is>
      </c>
      <c r="J412" t="inlineStr">
        <is>
          <t>BESSIERE</t>
        </is>
      </c>
      <c r="L412">
        <f>_xlfn.XLOOKUP(Tableau1[[#This Row],[TYPE DE PIECE]],Tableau4[MATIERE],Tableau4[SHORT TYPE],"",0,1)</f>
        <v/>
      </c>
      <c r="N412">
        <f>IF(ISERR(FIND("DECOUPE",Tableau1[[#This Row],[DESIGNATION]])),"","NEED REF")</f>
        <v/>
      </c>
    </row>
    <row r="413">
      <c r="B413" t="n">
        <v>34413589</v>
      </c>
      <c r="C413" s="2" t="n">
        <v>45698</v>
      </c>
      <c r="D413" t="inlineStr">
        <is>
          <t>SPEC</t>
        </is>
      </c>
      <c r="E41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3" t="inlineStr">
        <is>
          <t>GVXL EXTRA ROOF</t>
        </is>
      </c>
      <c r="J413" t="inlineStr">
        <is>
          <t>BESSIERE</t>
        </is>
      </c>
      <c r="L413">
        <f>_xlfn.XLOOKUP(Tableau1[[#This Row],[TYPE DE PIECE]],Tableau4[MATIERE],Tableau4[SHORT TYPE],"",0,1)</f>
        <v/>
      </c>
      <c r="N413">
        <f>IF(ISERR(FIND("DECOUPE",Tableau1[[#This Row],[DESIGNATION]])),"","NEED REF")</f>
        <v/>
      </c>
    </row>
    <row r="414">
      <c r="B414" t="n">
        <v>34413588</v>
      </c>
      <c r="C414" s="2" t="n">
        <v>45698</v>
      </c>
      <c r="D414" t="inlineStr">
        <is>
          <t>SPEC</t>
        </is>
      </c>
      <c r="E41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4" t="inlineStr">
        <is>
          <t>GVXL EXTRA ROOF</t>
        </is>
      </c>
      <c r="J414" t="inlineStr">
        <is>
          <t>BESSIERE</t>
        </is>
      </c>
      <c r="L414">
        <f>_xlfn.XLOOKUP(Tableau1[[#This Row],[TYPE DE PIECE]],Tableau4[MATIERE],Tableau4[SHORT TYPE],"",0,1)</f>
        <v/>
      </c>
      <c r="N414">
        <f>IF(ISERR(FIND("DECOUPE",Tableau1[[#This Row],[DESIGNATION]])),"","NEED REF")</f>
        <v/>
      </c>
    </row>
    <row r="415">
      <c r="B415" t="n">
        <v>34413587</v>
      </c>
      <c r="C415" s="2" t="n">
        <v>45698</v>
      </c>
      <c r="D415" t="inlineStr">
        <is>
          <t>SPEC</t>
        </is>
      </c>
      <c r="E41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5" t="inlineStr">
        <is>
          <t>GVXL EXTRA ROOF</t>
        </is>
      </c>
      <c r="J415" t="inlineStr">
        <is>
          <t>BESSIERE</t>
        </is>
      </c>
      <c r="L415">
        <f>_xlfn.XLOOKUP(Tableau1[[#This Row],[TYPE DE PIECE]],Tableau4[MATIERE],Tableau4[SHORT TYPE],"",0,1)</f>
        <v/>
      </c>
      <c r="N415">
        <f>IF(ISERR(FIND("DECOUPE",Tableau1[[#This Row],[DESIGNATION]])),"","NEED REF")</f>
        <v/>
      </c>
    </row>
    <row r="416">
      <c r="B416" t="n">
        <v>34413586</v>
      </c>
      <c r="C416" s="2" t="n">
        <v>45698</v>
      </c>
      <c r="D416" t="inlineStr">
        <is>
          <t>SPEC</t>
        </is>
      </c>
      <c r="E41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6" t="inlineStr">
        <is>
          <t>GVXL EXTRA ROOF</t>
        </is>
      </c>
      <c r="J416" t="inlineStr">
        <is>
          <t>BESSIERE</t>
        </is>
      </c>
      <c r="L416">
        <f>_xlfn.XLOOKUP(Tableau1[[#This Row],[TYPE DE PIECE]],Tableau4[MATIERE],Tableau4[SHORT TYPE],"",0,1)</f>
        <v/>
      </c>
      <c r="N416">
        <f>IF(ISERR(FIND("DECOUPE",Tableau1[[#This Row],[DESIGNATION]])),"","NEED REF")</f>
        <v/>
      </c>
    </row>
    <row r="417">
      <c r="B417" t="n">
        <v>34413585</v>
      </c>
      <c r="C417" s="2" t="n">
        <v>45698</v>
      </c>
      <c r="D417" t="inlineStr">
        <is>
          <t>SPEC</t>
        </is>
      </c>
      <c r="E41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7" t="inlineStr">
        <is>
          <t>GVXL EXTRA ROOF</t>
        </is>
      </c>
      <c r="J417" t="inlineStr">
        <is>
          <t>BESSIERE</t>
        </is>
      </c>
      <c r="L417">
        <f>_xlfn.XLOOKUP(Tableau1[[#This Row],[TYPE DE PIECE]],Tableau4[MATIERE],Tableau4[SHORT TYPE],"",0,1)</f>
        <v/>
      </c>
      <c r="N417">
        <f>IF(ISERR(FIND("DECOUPE",Tableau1[[#This Row],[DESIGNATION]])),"","NEED REF")</f>
        <v/>
      </c>
    </row>
    <row r="418">
      <c r="B418" t="n">
        <v>34413584</v>
      </c>
      <c r="C418" s="2" t="n">
        <v>45698</v>
      </c>
      <c r="D418" t="inlineStr">
        <is>
          <t>SPEC</t>
        </is>
      </c>
      <c r="E41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8" t="inlineStr">
        <is>
          <t>GVXL EXTRA ROOF</t>
        </is>
      </c>
      <c r="J418" t="inlineStr">
        <is>
          <t>BESSIERE</t>
        </is>
      </c>
      <c r="L418">
        <f>_xlfn.XLOOKUP(Tableau1[[#This Row],[TYPE DE PIECE]],Tableau4[MATIERE],Tableau4[SHORT TYPE],"",0,1)</f>
        <v/>
      </c>
      <c r="N418">
        <f>IF(ISERR(FIND("DECOUPE",Tableau1[[#This Row],[DESIGNATION]])),"","NEED REF")</f>
        <v/>
      </c>
    </row>
    <row r="419">
      <c r="B419" t="n">
        <v>34413583</v>
      </c>
      <c r="C419" s="2" t="n">
        <v>45698</v>
      </c>
      <c r="D419" t="inlineStr">
        <is>
          <t>SPEC</t>
        </is>
      </c>
      <c r="E41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19" t="inlineStr">
        <is>
          <t>QBED01600</t>
        </is>
      </c>
      <c r="H419" t="inlineStr">
        <is>
          <t>kit filerie</t>
        </is>
      </c>
      <c r="J419" t="inlineStr">
        <is>
          <t>BESSIERE</t>
        </is>
      </c>
      <c r="L419">
        <f>_xlfn.XLOOKUP(Tableau1[[#This Row],[TYPE DE PIECE]],Tableau4[MATIERE],Tableau4[SHORT TYPE],"",0,1)</f>
        <v/>
      </c>
      <c r="N419">
        <f>IF(ISERR(FIND("DECOUPE",Tableau1[[#This Row],[DESIGNATION]])),"","NEED REF")</f>
        <v/>
      </c>
    </row>
    <row r="420">
      <c r="B420" t="n">
        <v>34413582</v>
      </c>
      <c r="C420" s="2" t="n">
        <v>45698</v>
      </c>
      <c r="D420" t="inlineStr">
        <is>
          <t>SPEC</t>
        </is>
      </c>
      <c r="E420" t="inlineStr">
        <is>
          <t>SMT PLASTRON CENTRAL</t>
        </is>
      </c>
      <c r="J420" t="inlineStr">
        <is>
          <t>BERNARDEAU</t>
        </is>
      </c>
      <c r="K420" t="inlineStr">
        <is>
          <t>METAL</t>
        </is>
      </c>
      <c r="L420">
        <f>_xlfn.XLOOKUP(Tableau1[[#This Row],[TYPE DE PIECE]],Tableau4[MATIERE],Tableau4[SHORT TYPE],"",0,1)</f>
        <v/>
      </c>
      <c r="N420">
        <f>IF(ISERR(FIND("DECOUPE",Tableau1[[#This Row],[DESIGNATION]])),"","NEED REF")</f>
        <v/>
      </c>
    </row>
    <row r="421">
      <c r="B421" t="n">
        <v>34413581</v>
      </c>
      <c r="C421" s="2" t="n">
        <v>45698</v>
      </c>
      <c r="D421" t="inlineStr">
        <is>
          <t>SPEC</t>
        </is>
      </c>
      <c r="E42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21" t="inlineStr">
        <is>
          <t>IQ</t>
        </is>
      </c>
      <c r="H421" t="inlineStr">
        <is>
          <t>ISOLATION BANKLOAD</t>
        </is>
      </c>
      <c r="J421" t="inlineStr">
        <is>
          <t>MATRION</t>
        </is>
      </c>
      <c r="K421" t="inlineStr">
        <is>
          <t>CUIVRE</t>
        </is>
      </c>
      <c r="L421">
        <f>_xlfn.XLOOKUP(Tableau1[[#This Row],[TYPE DE PIECE]],Tableau4[MATIERE],Tableau4[SHORT TYPE],"",0,1)</f>
        <v/>
      </c>
      <c r="N421">
        <f>IF(ISERR(FIND("DECOUPE",Tableau1[[#This Row],[DESIGNATION]])),"","NEED REF")</f>
        <v/>
      </c>
    </row>
    <row r="422">
      <c r="B422" t="n">
        <v>34413580</v>
      </c>
      <c r="C422" s="2" t="n">
        <v>45698</v>
      </c>
      <c r="D422" t="inlineStr">
        <is>
          <t>SPEC</t>
        </is>
      </c>
      <c r="E42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22" t="inlineStr">
        <is>
          <t>IQ</t>
        </is>
      </c>
      <c r="H422" t="inlineStr">
        <is>
          <t>ISOLATION BANKLOAD</t>
        </is>
      </c>
      <c r="J422" t="inlineStr">
        <is>
          <t>MATRION</t>
        </is>
      </c>
      <c r="K422" t="inlineStr">
        <is>
          <t>CUIVRE</t>
        </is>
      </c>
      <c r="L422">
        <f>_xlfn.XLOOKUP(Tableau1[[#This Row],[TYPE DE PIECE]],Tableau4[MATIERE],Tableau4[SHORT TYPE],"",0,1)</f>
        <v/>
      </c>
      <c r="N422">
        <f>IF(ISERR(FIND("DECOUPE",Tableau1[[#This Row],[DESIGNATION]])),"","NEED REF")</f>
        <v/>
      </c>
    </row>
    <row r="423">
      <c r="B423" t="n">
        <v>34413579</v>
      </c>
      <c r="C423" s="2" t="n">
        <v>45698</v>
      </c>
      <c r="D423" t="inlineStr">
        <is>
          <t>SPEC</t>
        </is>
      </c>
      <c r="E42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23" t="inlineStr">
        <is>
          <t>IQ</t>
        </is>
      </c>
      <c r="H423" t="inlineStr">
        <is>
          <t>ISOLATION BANKLOAD</t>
        </is>
      </c>
      <c r="J423" t="inlineStr">
        <is>
          <t>MATRION</t>
        </is>
      </c>
      <c r="K423" t="inlineStr">
        <is>
          <t>CUIVRE</t>
        </is>
      </c>
      <c r="L423">
        <f>_xlfn.XLOOKUP(Tableau1[[#This Row],[TYPE DE PIECE]],Tableau4[MATIERE],Tableau4[SHORT TYPE],"",0,1)</f>
        <v/>
      </c>
      <c r="N423">
        <f>IF(ISERR(FIND("DECOUPE",Tableau1[[#This Row],[DESIGNATION]])),"","NEED REF")</f>
        <v/>
      </c>
    </row>
    <row r="424">
      <c r="B424" t="n">
        <v>34413578</v>
      </c>
      <c r="C424" s="2" t="n">
        <v>45698</v>
      </c>
      <c r="D424" t="inlineStr">
        <is>
          <t>SPEC</t>
        </is>
      </c>
      <c r="E42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24" t="inlineStr">
        <is>
          <t>IQ</t>
        </is>
      </c>
      <c r="H424" t="inlineStr">
        <is>
          <t>ISOLATION BANKLOAD</t>
        </is>
      </c>
      <c r="J424" t="inlineStr">
        <is>
          <t>MATRION</t>
        </is>
      </c>
      <c r="K424" t="inlineStr">
        <is>
          <t>CUIVRE</t>
        </is>
      </c>
      <c r="L424">
        <f>_xlfn.XLOOKUP(Tableau1[[#This Row],[TYPE DE PIECE]],Tableau4[MATIERE],Tableau4[SHORT TYPE],"",0,1)</f>
        <v/>
      </c>
      <c r="N424">
        <f>IF(ISERR(FIND("DECOUPE",Tableau1[[#This Row],[DESIGNATION]])),"","NEED REF")</f>
        <v/>
      </c>
    </row>
    <row r="425">
      <c r="B425" t="n">
        <v>34413577</v>
      </c>
      <c r="C425" s="2" t="n">
        <v>45698</v>
      </c>
      <c r="D425" t="inlineStr">
        <is>
          <t>SPEC</t>
        </is>
      </c>
      <c r="E425" t="inlineStr">
        <is>
          <t>SMT PLASTRON BAS</t>
        </is>
      </c>
      <c r="G425" t="inlineStr">
        <is>
          <t>gvs</t>
        </is>
      </c>
      <c r="H425" t="inlineStr">
        <is>
          <t>BYPASS</t>
        </is>
      </c>
      <c r="J425" t="inlineStr">
        <is>
          <t>BERNARDEAU</t>
        </is>
      </c>
      <c r="K425" t="inlineStr">
        <is>
          <t>METAL</t>
        </is>
      </c>
      <c r="L425">
        <f>_xlfn.XLOOKUP(Tableau1[[#This Row],[TYPE DE PIECE]],Tableau4[MATIERE],Tableau4[SHORT TYPE],"",0,1)</f>
        <v/>
      </c>
      <c r="N425">
        <f>IF(ISERR(FIND("DECOUPE",Tableau1[[#This Row],[DESIGNATION]])),"","NEED REF")</f>
        <v/>
      </c>
    </row>
    <row r="426">
      <c r="B426" t="n">
        <v>34413576</v>
      </c>
      <c r="C426" s="2" t="n">
        <v>45698</v>
      </c>
      <c r="D426" t="inlineStr">
        <is>
          <t>SPEC</t>
        </is>
      </c>
      <c r="E426" t="inlineStr">
        <is>
          <t>SMT PLASTRON HAUT</t>
        </is>
      </c>
      <c r="G426" t="inlineStr">
        <is>
          <t>gvs</t>
        </is>
      </c>
      <c r="H426" t="inlineStr">
        <is>
          <t>BYPASS</t>
        </is>
      </c>
      <c r="J426" t="inlineStr">
        <is>
          <t>BERNARDEAU</t>
        </is>
      </c>
      <c r="K426" t="inlineStr">
        <is>
          <t>METAL</t>
        </is>
      </c>
      <c r="L426">
        <f>_xlfn.XLOOKUP(Tableau1[[#This Row],[TYPE DE PIECE]],Tableau4[MATIERE],Tableau4[SHORT TYPE],"",0,1)</f>
        <v/>
      </c>
      <c r="N426">
        <f>IF(ISERR(FIND("DECOUPE",Tableau1[[#This Row],[DESIGNATION]])),"","NEED REF")</f>
        <v/>
      </c>
    </row>
    <row r="427">
      <c r="B427" t="n">
        <v>34413575</v>
      </c>
      <c r="C427" s="2" t="n">
        <v>45698</v>
      </c>
      <c r="D427" t="inlineStr">
        <is>
          <t>SPEC</t>
        </is>
      </c>
      <c r="E42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27" t="inlineStr">
        <is>
          <t>IQ</t>
        </is>
      </c>
      <c r="H427" t="inlineStr">
        <is>
          <t>ISOLATION BANKLOAD</t>
        </is>
      </c>
      <c r="J427" t="inlineStr">
        <is>
          <t>MATRION</t>
        </is>
      </c>
      <c r="K427" t="inlineStr">
        <is>
          <t>CUIVRE</t>
        </is>
      </c>
      <c r="L427">
        <f>_xlfn.XLOOKUP(Tableau1[[#This Row],[TYPE DE PIECE]],Tableau4[MATIERE],Tableau4[SHORT TYPE],"",0,1)</f>
        <v/>
      </c>
      <c r="N427">
        <f>IF(ISERR(FIND("DECOUPE",Tableau1[[#This Row],[DESIGNATION]])),"","NEED REF")</f>
        <v/>
      </c>
    </row>
    <row r="428">
      <c r="B428" t="n">
        <v>34413574</v>
      </c>
      <c r="C428" s="2" t="n">
        <v>45698</v>
      </c>
      <c r="D428" t="inlineStr">
        <is>
          <t>SPEC</t>
        </is>
      </c>
      <c r="E42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28" t="inlineStr">
        <is>
          <t>IQ</t>
        </is>
      </c>
      <c r="H428" t="inlineStr">
        <is>
          <t>ISOLATION BANKLOAD</t>
        </is>
      </c>
      <c r="J428" t="inlineStr">
        <is>
          <t>MATRION</t>
        </is>
      </c>
      <c r="K428" t="inlineStr">
        <is>
          <t>CUIVRE</t>
        </is>
      </c>
      <c r="L428">
        <f>_xlfn.XLOOKUP(Tableau1[[#This Row],[TYPE DE PIECE]],Tableau4[MATIERE],Tableau4[SHORT TYPE],"",0,1)</f>
        <v/>
      </c>
      <c r="N428">
        <f>IF(ISERR(FIND("DECOUPE",Tableau1[[#This Row],[DESIGNATION]])),"","NEED REF")</f>
        <v/>
      </c>
    </row>
    <row r="429">
      <c r="B429" t="n">
        <v>34413573</v>
      </c>
      <c r="C429" s="2" t="n">
        <v>45698</v>
      </c>
      <c r="D429" t="inlineStr">
        <is>
          <t>SPEC</t>
        </is>
      </c>
      <c r="E42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29" t="inlineStr">
        <is>
          <t>IQ</t>
        </is>
      </c>
      <c r="H429" t="inlineStr">
        <is>
          <t>ISOLATION BANKLOAD</t>
        </is>
      </c>
      <c r="J429" t="inlineStr">
        <is>
          <t>MATRION</t>
        </is>
      </c>
      <c r="K429" t="inlineStr">
        <is>
          <t>CUIVRE</t>
        </is>
      </c>
      <c r="L429">
        <f>_xlfn.XLOOKUP(Tableau1[[#This Row],[TYPE DE PIECE]],Tableau4[MATIERE],Tableau4[SHORT TYPE],"",0,1)</f>
        <v/>
      </c>
      <c r="N429">
        <f>IF(ISERR(FIND("DECOUPE",Tableau1[[#This Row],[DESIGNATION]])),"","NEED REF")</f>
        <v/>
      </c>
    </row>
    <row r="430">
      <c r="B430" t="n">
        <v>34413572</v>
      </c>
      <c r="C430" s="2" t="n">
        <v>45698</v>
      </c>
      <c r="D430" t="inlineStr">
        <is>
          <t>SPEC</t>
        </is>
      </c>
      <c r="E43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30" t="inlineStr">
        <is>
          <t>IQ</t>
        </is>
      </c>
      <c r="H430" t="inlineStr">
        <is>
          <t>ISOLATION BANKLOAD</t>
        </is>
      </c>
      <c r="J430" t="inlineStr">
        <is>
          <t>MATRION</t>
        </is>
      </c>
      <c r="K430" t="inlineStr">
        <is>
          <t>CUIVRE</t>
        </is>
      </c>
      <c r="L430">
        <f>_xlfn.XLOOKUP(Tableau1[[#This Row],[TYPE DE PIECE]],Tableau4[MATIERE],Tableau4[SHORT TYPE],"",0,1)</f>
        <v/>
      </c>
      <c r="N430">
        <f>IF(ISERR(FIND("DECOUPE",Tableau1[[#This Row],[DESIGNATION]])),"","NEED REF")</f>
        <v/>
      </c>
    </row>
    <row r="431">
      <c r="B431" t="n">
        <v>34413571</v>
      </c>
      <c r="C431" s="2" t="n">
        <v>45698</v>
      </c>
      <c r="D431" t="inlineStr">
        <is>
          <t>SPEC</t>
        </is>
      </c>
      <c r="E43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31" t="inlineStr">
        <is>
          <t>IQ</t>
        </is>
      </c>
      <c r="H431" t="inlineStr">
        <is>
          <t>ISOLATION BANKLOAD</t>
        </is>
      </c>
      <c r="J431" t="inlineStr">
        <is>
          <t>MATRION</t>
        </is>
      </c>
      <c r="K431" t="inlineStr">
        <is>
          <t>CUIVRE</t>
        </is>
      </c>
      <c r="L431">
        <f>_xlfn.XLOOKUP(Tableau1[[#This Row],[TYPE DE PIECE]],Tableau4[MATIERE],Tableau4[SHORT TYPE],"",0,1)</f>
        <v/>
      </c>
      <c r="N431">
        <f>IF(ISERR(FIND("DECOUPE",Tableau1[[#This Row],[DESIGNATION]])),"","NEED REF")</f>
        <v/>
      </c>
    </row>
    <row r="432">
      <c r="B432" t="n">
        <v>34413570</v>
      </c>
      <c r="C432" s="2" t="n">
        <v>45695</v>
      </c>
      <c r="D432" t="inlineStr">
        <is>
          <t>SPEC</t>
        </is>
      </c>
      <c r="E43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32" t="inlineStr">
        <is>
          <t>QBED01600</t>
        </is>
      </c>
      <c r="J432" t="inlineStr">
        <is>
          <t>BESSIERE</t>
        </is>
      </c>
      <c r="L432">
        <f>_xlfn.XLOOKUP(Tableau1[[#This Row],[TYPE DE PIECE]],Tableau4[MATIERE],Tableau4[SHORT TYPE],"",0,1)</f>
        <v/>
      </c>
      <c r="N432">
        <f>IF(ISERR(FIND("DECOUPE",Tableau1[[#This Row],[DESIGNATION]])),"","NEED REF")</f>
        <v/>
      </c>
    </row>
    <row r="433">
      <c r="B433" t="n">
        <v>34413569</v>
      </c>
      <c r="C433" s="2" t="n">
        <v>45695</v>
      </c>
      <c r="D433" t="inlineStr">
        <is>
          <t>SPEC</t>
        </is>
      </c>
      <c r="E43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33" t="inlineStr">
        <is>
          <t>QBED01600</t>
        </is>
      </c>
      <c r="J433" t="inlineStr">
        <is>
          <t>BESSIERE</t>
        </is>
      </c>
      <c r="L433">
        <f>_xlfn.XLOOKUP(Tableau1[[#This Row],[TYPE DE PIECE]],Tableau4[MATIERE],Tableau4[SHORT TYPE],"",0,1)</f>
        <v/>
      </c>
      <c r="N433">
        <f>IF(ISERR(FIND("DECOUPE",Tableau1[[#This Row],[DESIGNATION]])),"","NEED REF")</f>
        <v/>
      </c>
    </row>
    <row r="434">
      <c r="B434" t="n">
        <v>34413568</v>
      </c>
      <c r="C434" s="2" t="n">
        <v>45695</v>
      </c>
      <c r="D434" t="inlineStr">
        <is>
          <t>SPEC</t>
        </is>
      </c>
      <c r="E43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34" t="inlineStr">
        <is>
          <t>QBED01600</t>
        </is>
      </c>
      <c r="J434" t="inlineStr">
        <is>
          <t>BESSIERE</t>
        </is>
      </c>
      <c r="L434">
        <f>_xlfn.XLOOKUP(Tableau1[[#This Row],[TYPE DE PIECE]],Tableau4[MATIERE],Tableau4[SHORT TYPE],"",0,1)</f>
        <v/>
      </c>
      <c r="N434">
        <f>IF(ISERR(FIND("DECOUPE",Tableau1[[#This Row],[DESIGNATION]])),"","NEED REF")</f>
        <v/>
      </c>
    </row>
    <row r="435">
      <c r="B435" t="n">
        <v>34413567</v>
      </c>
      <c r="C435" s="2" t="n">
        <v>45695</v>
      </c>
      <c r="D435" t="inlineStr">
        <is>
          <t>SPEC</t>
        </is>
      </c>
      <c r="E43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35" t="inlineStr">
        <is>
          <t>IQ</t>
        </is>
      </c>
      <c r="H435" t="inlineStr">
        <is>
          <t>ISOLATION BANKLOAD</t>
        </is>
      </c>
      <c r="J435" t="inlineStr">
        <is>
          <t>MATRION</t>
        </is>
      </c>
      <c r="K435" t="inlineStr">
        <is>
          <t>CUIVRE</t>
        </is>
      </c>
      <c r="L435">
        <f>_xlfn.XLOOKUP(Tableau1[[#This Row],[TYPE DE PIECE]],Tableau4[MATIERE],Tableau4[SHORT TYPE],"",0,1)</f>
        <v/>
      </c>
      <c r="N435">
        <f>IF(ISERR(FIND("DECOUPE",Tableau1[[#This Row],[DESIGNATION]])),"","NEED REF")</f>
        <v/>
      </c>
    </row>
    <row r="436">
      <c r="B436" t="n">
        <v>34413566</v>
      </c>
      <c r="C436" s="2" t="n">
        <v>45695</v>
      </c>
      <c r="D436" t="inlineStr">
        <is>
          <t>SPEC</t>
        </is>
      </c>
      <c r="E43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36" t="inlineStr">
        <is>
          <t>IQ</t>
        </is>
      </c>
      <c r="H436" t="inlineStr">
        <is>
          <t>ISOLATION BANKLOAD</t>
        </is>
      </c>
      <c r="J436" t="inlineStr">
        <is>
          <t>MATRION</t>
        </is>
      </c>
      <c r="K436" t="inlineStr">
        <is>
          <t>CUIVRE</t>
        </is>
      </c>
      <c r="L436">
        <f>_xlfn.XLOOKUP(Tableau1[[#This Row],[TYPE DE PIECE]],Tableau4[MATIERE],Tableau4[SHORT TYPE],"",0,1)</f>
        <v/>
      </c>
      <c r="N436">
        <f>IF(ISERR(FIND("DECOUPE",Tableau1[[#This Row],[DESIGNATION]])),"","NEED REF")</f>
        <v/>
      </c>
    </row>
    <row r="437">
      <c r="B437" t="n">
        <v>34413565</v>
      </c>
      <c r="C437" s="2" t="n">
        <v>45695</v>
      </c>
      <c r="D437" t="inlineStr">
        <is>
          <t>SPEC</t>
        </is>
      </c>
      <c r="E43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37" t="inlineStr">
        <is>
          <t>IQ</t>
        </is>
      </c>
      <c r="H437" t="inlineStr">
        <is>
          <t>ISOLATION BANKLOAD</t>
        </is>
      </c>
      <c r="J437" t="inlineStr">
        <is>
          <t>MATRION</t>
        </is>
      </c>
      <c r="L437">
        <f>_xlfn.XLOOKUP(Tableau1[[#This Row],[TYPE DE PIECE]],Tableau4[MATIERE],Tableau4[SHORT TYPE],"",0,1)</f>
        <v/>
      </c>
      <c r="N437">
        <f>IF(ISERR(FIND("DECOUPE",Tableau1[[#This Row],[DESIGNATION]])),"","NEED REF")</f>
        <v/>
      </c>
    </row>
    <row r="438">
      <c r="B438" t="n">
        <v>34413564</v>
      </c>
      <c r="C438" s="2" t="n">
        <v>45695</v>
      </c>
      <c r="D438" t="inlineStr">
        <is>
          <t>SPEC</t>
        </is>
      </c>
      <c r="E43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38" t="inlineStr">
        <is>
          <t>IQ</t>
        </is>
      </c>
      <c r="H438" t="inlineStr">
        <is>
          <t>ISOLATION BANKLOAD</t>
        </is>
      </c>
      <c r="J438" t="inlineStr">
        <is>
          <t>MATRION</t>
        </is>
      </c>
      <c r="L438">
        <f>_xlfn.XLOOKUP(Tableau1[[#This Row],[TYPE DE PIECE]],Tableau4[MATIERE],Tableau4[SHORT TYPE],"",0,1)</f>
        <v/>
      </c>
      <c r="N438">
        <f>IF(ISERR(FIND("DECOUPE",Tableau1[[#This Row],[DESIGNATION]])),"","NEED REF")</f>
        <v/>
      </c>
    </row>
    <row r="439">
      <c r="B439" t="n">
        <v>34413563</v>
      </c>
      <c r="C439" s="2" t="n">
        <v>45695</v>
      </c>
      <c r="D439" t="inlineStr">
        <is>
          <t>SPEC</t>
        </is>
      </c>
      <c r="E43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39" t="inlineStr">
        <is>
          <t>IQ</t>
        </is>
      </c>
      <c r="H439" t="inlineStr">
        <is>
          <t>ISOLATION BANKLOAD</t>
        </is>
      </c>
      <c r="J439" t="inlineStr">
        <is>
          <t>MATRION</t>
        </is>
      </c>
      <c r="L439">
        <f>_xlfn.XLOOKUP(Tableau1[[#This Row],[TYPE DE PIECE]],Tableau4[MATIERE],Tableau4[SHORT TYPE],"",0,1)</f>
        <v/>
      </c>
      <c r="N439">
        <f>IF(ISERR(FIND("DECOUPE",Tableau1[[#This Row],[DESIGNATION]])),"","NEED REF")</f>
        <v/>
      </c>
    </row>
    <row r="440">
      <c r="B440" t="n">
        <v>34413562</v>
      </c>
      <c r="C440" s="2" t="n">
        <v>45695</v>
      </c>
      <c r="D440" t="inlineStr">
        <is>
          <t>SPEC</t>
        </is>
      </c>
      <c r="E440" t="inlineStr">
        <is>
          <t>Backfeed braker output Bypass L3 bar</t>
        </is>
      </c>
      <c r="J440" t="inlineStr">
        <is>
          <t>BESSIERE</t>
        </is>
      </c>
      <c r="L440">
        <f>_xlfn.XLOOKUP(Tableau1[[#This Row],[TYPE DE PIECE]],Tableau4[MATIERE],Tableau4[SHORT TYPE],"",0,1)</f>
        <v/>
      </c>
      <c r="N440">
        <f>IF(ISERR(FIND("DECOUPE",Tableau1[[#This Row],[DESIGNATION]])),"","NEED REF")</f>
        <v/>
      </c>
    </row>
    <row r="441">
      <c r="B441" t="n">
        <v>34413561</v>
      </c>
      <c r="C441" s="2" t="n">
        <v>45694</v>
      </c>
      <c r="D441" t="inlineStr">
        <is>
          <t>SPEC</t>
        </is>
      </c>
      <c r="E44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41" t="inlineStr">
        <is>
          <t>IQ</t>
        </is>
      </c>
      <c r="H441" t="inlineStr">
        <is>
          <t>ISOLATION BANKLOAD</t>
        </is>
      </c>
      <c r="J441" t="inlineStr">
        <is>
          <t>MATRION</t>
        </is>
      </c>
      <c r="K441" t="inlineStr">
        <is>
          <t>METAL</t>
        </is>
      </c>
      <c r="L441">
        <f>_xlfn.XLOOKUP(Tableau1[[#This Row],[TYPE DE PIECE]],Tableau4[MATIERE],Tableau4[SHORT TYPE],"",0,1)</f>
        <v/>
      </c>
      <c r="N441">
        <f>IF(ISERR(FIND("DECOUPE",Tableau1[[#This Row],[DESIGNATION]])),"","NEED REF")</f>
        <v/>
      </c>
    </row>
    <row r="442">
      <c r="B442" t="n">
        <v>34413560</v>
      </c>
      <c r="C442" s="2" t="n">
        <v>45694</v>
      </c>
      <c r="D442" t="inlineStr">
        <is>
          <t>SPEC</t>
        </is>
      </c>
      <c r="E44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42" t="inlineStr">
        <is>
          <t>IQ</t>
        </is>
      </c>
      <c r="H442" t="inlineStr">
        <is>
          <t>ISOLATION BANKLOAD</t>
        </is>
      </c>
      <c r="J442" t="inlineStr">
        <is>
          <t>MATRION</t>
        </is>
      </c>
      <c r="K442" t="inlineStr">
        <is>
          <t>METAL</t>
        </is>
      </c>
      <c r="L442">
        <f>_xlfn.XLOOKUP(Tableau1[[#This Row],[TYPE DE PIECE]],Tableau4[MATIERE],Tableau4[SHORT TYPE],"",0,1)</f>
        <v/>
      </c>
      <c r="N442">
        <f>IF(ISERR(FIND("DECOUPE",Tableau1[[#This Row],[DESIGNATION]])),"","NEED REF")</f>
        <v/>
      </c>
    </row>
    <row r="443">
      <c r="B443" t="n">
        <v>34413559</v>
      </c>
      <c r="C443" s="2" t="n">
        <v>45694</v>
      </c>
      <c r="D443" t="inlineStr">
        <is>
          <t>SPEC</t>
        </is>
      </c>
      <c r="E44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43" t="inlineStr">
        <is>
          <t>BESSIERE</t>
        </is>
      </c>
      <c r="L443">
        <f>_xlfn.XLOOKUP(Tableau1[[#This Row],[TYPE DE PIECE]],Tableau4[MATIERE],Tableau4[SHORT TYPE],"",0,1)</f>
        <v/>
      </c>
      <c r="N443">
        <f>IF(ISERR(FIND("DECOUPE",Tableau1[[#This Row],[DESIGNATION]])),"","NEED REF")</f>
        <v/>
      </c>
    </row>
    <row r="444">
      <c r="B444" t="n">
        <v>34413558</v>
      </c>
      <c r="C444" s="2" t="n">
        <v>45694</v>
      </c>
      <c r="D444" t="inlineStr">
        <is>
          <t>SPEC</t>
        </is>
      </c>
      <c r="E444" t="inlineStr">
        <is>
          <t>SE 34413558 IQ ISOLATION BANKLOAD NS1600H u2.0 + MCH</t>
        </is>
      </c>
      <c r="G444" t="inlineStr">
        <is>
          <t>IQ</t>
        </is>
      </c>
      <c r="H444" t="inlineStr">
        <is>
          <t>ISOLATION BANKLOAD</t>
        </is>
      </c>
      <c r="J444" t="inlineStr">
        <is>
          <t>MATRION</t>
        </is>
      </c>
      <c r="K444" t="inlineStr">
        <is>
          <t>SE</t>
        </is>
      </c>
      <c r="L444">
        <f>_xlfn.XLOOKUP(Tableau1[[#This Row],[TYPE DE PIECE]],Tableau4[MATIERE],Tableau4[SHORT TYPE],"",0,1)</f>
        <v/>
      </c>
      <c r="N444">
        <f>IF(ISERR(FIND("DECOUPE",Tableau1[[#This Row],[DESIGNATION]])),"","NEED REF")</f>
        <v/>
      </c>
    </row>
    <row r="445">
      <c r="B445" t="n">
        <v>34413557</v>
      </c>
      <c r="C445" s="2" t="n">
        <v>45694</v>
      </c>
      <c r="D445" t="inlineStr">
        <is>
          <t>SPEC</t>
        </is>
      </c>
      <c r="E44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45" t="inlineStr">
        <is>
          <t>BESSIERE</t>
        </is>
      </c>
      <c r="L445">
        <f>_xlfn.XLOOKUP(Tableau1[[#This Row],[TYPE DE PIECE]],Tableau4[MATIERE],Tableau4[SHORT TYPE],"",0,1)</f>
        <v/>
      </c>
      <c r="N445">
        <f>IF(ISERR(FIND("DECOUPE",Tableau1[[#This Row],[DESIGNATION]])),"","NEED REF")</f>
        <v/>
      </c>
    </row>
    <row r="446">
      <c r="B446" t="n">
        <v>34413556</v>
      </c>
      <c r="C446" s="2" t="n">
        <v>45694</v>
      </c>
      <c r="D446" t="inlineStr">
        <is>
          <t>SPEC</t>
        </is>
      </c>
      <c r="E44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46" t="inlineStr">
        <is>
          <t>BESSIERE</t>
        </is>
      </c>
      <c r="L446">
        <f>_xlfn.XLOOKUP(Tableau1[[#This Row],[TYPE DE PIECE]],Tableau4[MATIERE],Tableau4[SHORT TYPE],"",0,1)</f>
        <v/>
      </c>
      <c r="N446">
        <f>IF(ISERR(FIND("DECOUPE",Tableau1[[#This Row],[DESIGNATION]])),"","NEED REF")</f>
        <v/>
      </c>
    </row>
    <row r="447">
      <c r="B447" t="n">
        <v>34413555</v>
      </c>
      <c r="C447" s="2" t="n">
        <v>45694</v>
      </c>
      <c r="D447" t="inlineStr">
        <is>
          <t>SPEC</t>
        </is>
      </c>
      <c r="E44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47" t="inlineStr">
        <is>
          <t>BESSIERE</t>
        </is>
      </c>
      <c r="L447">
        <f>_xlfn.XLOOKUP(Tableau1[[#This Row],[TYPE DE PIECE]],Tableau4[MATIERE],Tableau4[SHORT TYPE],"",0,1)</f>
        <v/>
      </c>
      <c r="N447">
        <f>IF(ISERR(FIND("DECOUPE",Tableau1[[#This Row],[DESIGNATION]])),"","NEED REF")</f>
        <v/>
      </c>
    </row>
    <row r="448">
      <c r="B448" t="n">
        <v>34413554</v>
      </c>
      <c r="C448" s="2" t="n">
        <v>45694</v>
      </c>
      <c r="D448" t="inlineStr">
        <is>
          <t>SPEC</t>
        </is>
      </c>
      <c r="E44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48" t="inlineStr">
        <is>
          <t>BESSIERE</t>
        </is>
      </c>
      <c r="L448">
        <f>_xlfn.XLOOKUP(Tableau1[[#This Row],[TYPE DE PIECE]],Tableau4[MATIERE],Tableau4[SHORT TYPE],"",0,1)</f>
        <v/>
      </c>
      <c r="N448">
        <f>IF(ISERR(FIND("DECOUPE",Tableau1[[#This Row],[DESIGNATION]])),"","NEED REF")</f>
        <v/>
      </c>
    </row>
    <row r="449">
      <c r="B449" t="n">
        <v>34413553</v>
      </c>
      <c r="C449" s="2" t="n">
        <v>45694</v>
      </c>
      <c r="D449" t="inlineStr">
        <is>
          <t>SPEC</t>
        </is>
      </c>
      <c r="E449" t="inlineStr">
        <is>
          <t>FRONT UPPER/LOWER GVEAC7 CABINED PROTECTION SHIELD</t>
        </is>
      </c>
      <c r="J449" t="inlineStr">
        <is>
          <t>BESSIERE</t>
        </is>
      </c>
      <c r="L449">
        <f>_xlfn.XLOOKUP(Tableau1[[#This Row],[TYPE DE PIECE]],Tableau4[MATIERE],Tableau4[SHORT TYPE],"",0,1)</f>
        <v/>
      </c>
      <c r="N449">
        <f>IF(ISERR(FIND("DECOUPE",Tableau1[[#This Row],[DESIGNATION]])),"","NEED REF")</f>
        <v/>
      </c>
    </row>
    <row r="450" ht="15.75" customHeight="1" s="142">
      <c r="B450" t="n">
        <v>34413552</v>
      </c>
      <c r="C450" s="2" t="n">
        <v>45693</v>
      </c>
      <c r="D450" t="inlineStr">
        <is>
          <t>SPEC</t>
        </is>
      </c>
      <c r="E450" t="inlineStr">
        <is>
          <t>SE ARMOIRE MARINE SAREL SFN H2000xL1000xP800mm - Offre 65423/01</t>
        </is>
      </c>
      <c r="F450" t="inlineStr">
        <is>
          <t>QCGA08588</t>
        </is>
      </c>
      <c r="G450" s="134" t="inlineStr">
        <is>
          <t>GVS</t>
        </is>
      </c>
      <c r="H450" t="inlineStr">
        <is>
          <t>BBC</t>
        </is>
      </c>
      <c r="I450" t="inlineStr">
        <is>
          <t>150KVA</t>
        </is>
      </c>
      <c r="J450" t="inlineStr">
        <is>
          <t>BERNARDEAU</t>
        </is>
      </c>
      <c r="K450" t="inlineStr">
        <is>
          <t>METAL</t>
        </is>
      </c>
      <c r="L450">
        <f>_xlfn.XLOOKUP(Tableau1[[#This Row],[TYPE DE PIECE]],Tableau4[MATIERE],Tableau4[SHORT TYPE],"",0,1)</f>
        <v/>
      </c>
      <c r="N450">
        <f>IF(ISERR(FIND("DECOUPE",Tableau1[[#This Row],[DESIGNATION]])),"","NEED REF")</f>
        <v/>
      </c>
    </row>
    <row r="451">
      <c r="B451" t="n">
        <v>34413551</v>
      </c>
      <c r="C451" s="2" t="n">
        <v>45693</v>
      </c>
      <c r="D451" t="inlineStr">
        <is>
          <t>SPEC</t>
        </is>
      </c>
      <c r="E45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51" t="inlineStr">
        <is>
          <t>BESSIERE</t>
        </is>
      </c>
      <c r="L451">
        <f>_xlfn.XLOOKUP(Tableau1[[#This Row],[TYPE DE PIECE]],Tableau4[MATIERE],Tableau4[SHORT TYPE],"",0,1)</f>
        <v/>
      </c>
      <c r="N451">
        <f>IF(ISERR(FIND("DECOUPE",Tableau1[[#This Row],[DESIGNATION]])),"","NEED REF")</f>
        <v/>
      </c>
    </row>
    <row r="452">
      <c r="B452" t="n">
        <v>34413550</v>
      </c>
      <c r="C452" s="2" t="n">
        <v>45692</v>
      </c>
      <c r="D452" t="inlineStr">
        <is>
          <t>SPEC</t>
        </is>
      </c>
      <c r="E45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52" t="inlineStr">
        <is>
          <t>BESSIERE</t>
        </is>
      </c>
      <c r="K452" t="inlineStr">
        <is>
          <t>filerie</t>
        </is>
      </c>
      <c r="L452">
        <f>_xlfn.XLOOKUP(Tableau1[[#This Row],[TYPE DE PIECE]],Tableau4[MATIERE],Tableau4[SHORT TYPE],"",0,1)</f>
        <v/>
      </c>
      <c r="N452">
        <f>IF(ISERR(FIND("DECOUPE",Tableau1[[#This Row],[DESIGNATION]])),"","NEED REF")</f>
        <v/>
      </c>
    </row>
    <row r="453">
      <c r="B453" t="n">
        <v>34413549</v>
      </c>
      <c r="C453" s="2" t="n">
        <v>45692</v>
      </c>
      <c r="D453" t="inlineStr">
        <is>
          <t>SPEC</t>
        </is>
      </c>
      <c r="E45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53" t="inlineStr">
        <is>
          <t>BESSIERE</t>
        </is>
      </c>
      <c r="K453" t="inlineStr">
        <is>
          <t>filerie</t>
        </is>
      </c>
      <c r="L453">
        <f>_xlfn.XLOOKUP(Tableau1[[#This Row],[TYPE DE PIECE]],Tableau4[MATIERE],Tableau4[SHORT TYPE],"",0,1)</f>
        <v/>
      </c>
      <c r="N453">
        <f>IF(ISERR(FIND("DECOUPE",Tableau1[[#This Row],[DESIGNATION]])),"","NEED REF")</f>
        <v/>
      </c>
    </row>
    <row r="454">
      <c r="B454" t="n">
        <v>34413548</v>
      </c>
      <c r="C454" s="2" t="n">
        <v>45692</v>
      </c>
      <c r="D454" t="inlineStr">
        <is>
          <t>SPEC</t>
        </is>
      </c>
      <c r="E45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54" t="inlineStr">
        <is>
          <t>BESSIERE</t>
        </is>
      </c>
      <c r="K454" t="inlineStr">
        <is>
          <t>filerie</t>
        </is>
      </c>
      <c r="L454">
        <f>_xlfn.XLOOKUP(Tableau1[[#This Row],[TYPE DE PIECE]],Tableau4[MATIERE],Tableau4[SHORT TYPE],"",0,1)</f>
        <v/>
      </c>
      <c r="N454">
        <f>IF(ISERR(FIND("DECOUPE",Tableau1[[#This Row],[DESIGNATION]])),"","NEED REF")</f>
        <v/>
      </c>
    </row>
    <row r="455">
      <c r="B455" t="n">
        <v>34413547</v>
      </c>
      <c r="C455" s="2" t="n">
        <v>45692</v>
      </c>
      <c r="D455" t="inlineStr">
        <is>
          <t>SPEC</t>
        </is>
      </c>
      <c r="E455" t="inlineStr">
        <is>
          <t>COP 34413547 GVXL UPS NEUTRAL 1</t>
        </is>
      </c>
      <c r="J455" t="inlineStr">
        <is>
          <t>BESSIERE</t>
        </is>
      </c>
      <c r="K455" t="inlineStr">
        <is>
          <t>cuivre</t>
        </is>
      </c>
      <c r="L455">
        <f>_xlfn.XLOOKUP(Tableau1[[#This Row],[TYPE DE PIECE]],Tableau4[MATIERE],Tableau4[SHORT TYPE],"",0,1)</f>
        <v/>
      </c>
      <c r="N455">
        <f>IF(ISERR(FIND("DECOUPE",Tableau1[[#This Row],[DESIGNATION]])),"","NEED REF")</f>
        <v/>
      </c>
    </row>
    <row r="456">
      <c r="B456" t="n">
        <v>34413546</v>
      </c>
      <c r="C456" s="2" t="n">
        <v>45692</v>
      </c>
      <c r="D456" t="inlineStr">
        <is>
          <t>SPEC</t>
        </is>
      </c>
      <c r="E45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56" t="inlineStr">
        <is>
          <t>QBED01600</t>
        </is>
      </c>
      <c r="G456" t="inlineStr">
        <is>
          <t>GVXL</t>
        </is>
      </c>
      <c r="H456" t="inlineStr">
        <is>
          <t>BACKFEED</t>
        </is>
      </c>
      <c r="I456" t="inlineStr">
        <is>
          <t>1600A</t>
        </is>
      </c>
      <c r="J456" t="inlineStr">
        <is>
          <t>BESSIERE</t>
        </is>
      </c>
      <c r="K456" t="inlineStr">
        <is>
          <t>plastique</t>
        </is>
      </c>
      <c r="L456">
        <f>_xlfn.XLOOKUP(Tableau1[[#This Row],[TYPE DE PIECE]],Tableau4[MATIERE],Tableau4[SHORT TYPE],"",0,1)</f>
        <v/>
      </c>
      <c r="N456">
        <f>IF(ISERR(FIND("DECOUPE",Tableau1[[#This Row],[DESIGNATION]])),"","NEED REF")</f>
        <v/>
      </c>
    </row>
    <row r="457">
      <c r="B457" t="n">
        <v>34413545</v>
      </c>
      <c r="C457" s="2" t="n">
        <v>45692</v>
      </c>
      <c r="D457" t="inlineStr">
        <is>
          <t>SPEC</t>
        </is>
      </c>
      <c r="E45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57" t="inlineStr">
        <is>
          <t>QBED01600</t>
        </is>
      </c>
      <c r="G457" t="inlineStr">
        <is>
          <t>GVXL</t>
        </is>
      </c>
      <c r="H457" t="inlineStr">
        <is>
          <t>BACKFEED</t>
        </is>
      </c>
      <c r="I457" t="inlineStr">
        <is>
          <t>1600A</t>
        </is>
      </c>
      <c r="J457" t="inlineStr">
        <is>
          <t>BESSIERE</t>
        </is>
      </c>
      <c r="L457">
        <f>_xlfn.XLOOKUP(Tableau1[[#This Row],[TYPE DE PIECE]],Tableau4[MATIERE],Tableau4[SHORT TYPE],"",0,1)</f>
        <v/>
      </c>
      <c r="N457">
        <f>IF(ISERR(FIND("DECOUPE",Tableau1[[#This Row],[DESIGNATION]])),"","NEED REF")</f>
        <v/>
      </c>
    </row>
    <row r="458">
      <c r="B458" t="n">
        <v>34413544</v>
      </c>
      <c r="C458" s="2" t="n">
        <v>45692</v>
      </c>
      <c r="D458" t="inlineStr">
        <is>
          <t>SPEC</t>
        </is>
      </c>
      <c r="E45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58" t="inlineStr">
        <is>
          <t>QBED01600</t>
        </is>
      </c>
      <c r="G458" t="inlineStr">
        <is>
          <t>GVXL</t>
        </is>
      </c>
      <c r="H458" t="inlineStr">
        <is>
          <t>BACKFEED</t>
        </is>
      </c>
      <c r="I458" t="inlineStr">
        <is>
          <t>1600A</t>
        </is>
      </c>
      <c r="J458" t="inlineStr">
        <is>
          <t>BESSIERE</t>
        </is>
      </c>
      <c r="L458">
        <f>_xlfn.XLOOKUP(Tableau1[[#This Row],[TYPE DE PIECE]],Tableau4[MATIERE],Tableau4[SHORT TYPE],"",0,1)</f>
        <v/>
      </c>
      <c r="N458">
        <f>IF(ISERR(FIND("DECOUPE",Tableau1[[#This Row],[DESIGNATION]])),"","NEED REF")</f>
        <v/>
      </c>
    </row>
    <row r="459">
      <c r="B459" t="n">
        <v>34413543</v>
      </c>
      <c r="C459" s="2" t="n">
        <v>45691</v>
      </c>
      <c r="D459" t="inlineStr">
        <is>
          <t>SPEC</t>
        </is>
      </c>
      <c r="E45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59" t="inlineStr">
        <is>
          <t>QBED01600</t>
        </is>
      </c>
      <c r="G459" t="inlineStr">
        <is>
          <t>GVXL</t>
        </is>
      </c>
      <c r="H459" t="inlineStr">
        <is>
          <t>BACKFEED</t>
        </is>
      </c>
      <c r="I459" t="inlineStr">
        <is>
          <t>1600A</t>
        </is>
      </c>
      <c r="J459" t="inlineStr">
        <is>
          <t>BESSIERE</t>
        </is>
      </c>
      <c r="K459" t="inlineStr">
        <is>
          <t>cuivre</t>
        </is>
      </c>
      <c r="L459">
        <f>_xlfn.XLOOKUP(Tableau1[[#This Row],[TYPE DE PIECE]],Tableau4[MATIERE],Tableau4[SHORT TYPE],"",0,1)</f>
        <v/>
      </c>
      <c r="N459">
        <f>IF(ISERR(FIND("DECOUPE",Tableau1[[#This Row],[DESIGNATION]])),"","NEED REF")</f>
        <v/>
      </c>
    </row>
    <row r="460">
      <c r="B460" t="n">
        <v>34413542</v>
      </c>
      <c r="C460" s="2" t="n">
        <v>45691</v>
      </c>
      <c r="D460" t="inlineStr">
        <is>
          <t>SPEC</t>
        </is>
      </c>
      <c r="E46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60" t="inlineStr">
        <is>
          <t>QBED01600</t>
        </is>
      </c>
      <c r="G460" t="inlineStr">
        <is>
          <t>GVXL</t>
        </is>
      </c>
      <c r="H460" t="inlineStr">
        <is>
          <t>BACKFEED</t>
        </is>
      </c>
      <c r="I460" t="inlineStr">
        <is>
          <t>1600A</t>
        </is>
      </c>
      <c r="J460" t="inlineStr">
        <is>
          <t>BESSIERE</t>
        </is>
      </c>
      <c r="L460">
        <f>_xlfn.XLOOKUP(Tableau1[[#This Row],[TYPE DE PIECE]],Tableau4[MATIERE],Tableau4[SHORT TYPE],"",0,1)</f>
        <v/>
      </c>
      <c r="N460">
        <f>IF(ISERR(FIND("DECOUPE",Tableau1[[#This Row],[DESIGNATION]])),"","NEED REF")</f>
        <v/>
      </c>
    </row>
    <row r="461">
      <c r="B461" t="n">
        <v>34413541</v>
      </c>
      <c r="C461" s="2" t="n">
        <v>45691</v>
      </c>
      <c r="D461" t="inlineStr">
        <is>
          <t>SPEC</t>
        </is>
      </c>
      <c r="E46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61" t="inlineStr">
        <is>
          <t>QBED01600</t>
        </is>
      </c>
      <c r="G461" t="inlineStr">
        <is>
          <t>GVXL</t>
        </is>
      </c>
      <c r="H461" t="inlineStr">
        <is>
          <t>BACKFEED</t>
        </is>
      </c>
      <c r="I461" t="inlineStr">
        <is>
          <t>1600A</t>
        </is>
      </c>
      <c r="J461" t="inlineStr">
        <is>
          <t>BESSIERE</t>
        </is>
      </c>
      <c r="L461">
        <f>_xlfn.XLOOKUP(Tableau1[[#This Row],[TYPE DE PIECE]],Tableau4[MATIERE],Tableau4[SHORT TYPE],"",0,1)</f>
        <v/>
      </c>
      <c r="N461">
        <f>IF(ISERR(FIND("DECOUPE",Tableau1[[#This Row],[DESIGNATION]])),"","NEED REF")</f>
        <v/>
      </c>
    </row>
    <row r="462">
      <c r="B462" t="n">
        <v>34413540</v>
      </c>
      <c r="C462" s="2" t="n">
        <v>45691</v>
      </c>
      <c r="D462" t="inlineStr">
        <is>
          <t>SPEC</t>
        </is>
      </c>
      <c r="E46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62" t="inlineStr">
        <is>
          <t>QBED01600</t>
        </is>
      </c>
      <c r="G462" t="inlineStr">
        <is>
          <t>GVXL</t>
        </is>
      </c>
      <c r="H462" t="inlineStr">
        <is>
          <t>BACKFEED</t>
        </is>
      </c>
      <c r="I462" t="inlineStr">
        <is>
          <t>1600A</t>
        </is>
      </c>
      <c r="J462" t="inlineStr">
        <is>
          <t>BESSIERE</t>
        </is>
      </c>
      <c r="L462">
        <f>_xlfn.XLOOKUP(Tableau1[[#This Row],[TYPE DE PIECE]],Tableau4[MATIERE],Tableau4[SHORT TYPE],"",0,1)</f>
        <v/>
      </c>
      <c r="N462">
        <f>IF(ISERR(FIND("DECOUPE",Tableau1[[#This Row],[DESIGNATION]])),"","NEED REF")</f>
        <v/>
      </c>
    </row>
    <row r="463">
      <c r="B463" t="n">
        <v>34413539</v>
      </c>
      <c r="C463" s="2" t="n">
        <v>45691</v>
      </c>
      <c r="D463" t="inlineStr">
        <is>
          <t>SPEC</t>
        </is>
      </c>
      <c r="E46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63" t="inlineStr">
        <is>
          <t>QBED01600</t>
        </is>
      </c>
      <c r="G463" t="inlineStr">
        <is>
          <t>GVXL</t>
        </is>
      </c>
      <c r="H463" t="inlineStr">
        <is>
          <t>BACKFEED</t>
        </is>
      </c>
      <c r="I463" t="inlineStr">
        <is>
          <t>1600A</t>
        </is>
      </c>
      <c r="J463" t="inlineStr">
        <is>
          <t>BESSIERE</t>
        </is>
      </c>
      <c r="L463">
        <f>_xlfn.XLOOKUP(Tableau1[[#This Row],[TYPE DE PIECE]],Tableau4[MATIERE],Tableau4[SHORT TYPE],"",0,1)</f>
        <v/>
      </c>
      <c r="N463">
        <f>IF(ISERR(FIND("DECOUPE",Tableau1[[#This Row],[DESIGNATION]])),"","NEED REF")</f>
        <v/>
      </c>
    </row>
    <row r="464">
      <c r="B464" t="n">
        <v>34413538</v>
      </c>
      <c r="C464" s="2" t="n">
        <v>45691</v>
      </c>
      <c r="D464" t="inlineStr">
        <is>
          <t>SPEC</t>
        </is>
      </c>
      <c r="E46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64" t="inlineStr">
        <is>
          <t>QBED01600</t>
        </is>
      </c>
      <c r="G464" t="inlineStr">
        <is>
          <t>GVXL</t>
        </is>
      </c>
      <c r="H464" t="inlineStr">
        <is>
          <t>BACKFEED</t>
        </is>
      </c>
      <c r="I464" t="inlineStr">
        <is>
          <t>1600A</t>
        </is>
      </c>
      <c r="J464" t="inlineStr">
        <is>
          <t>BESSIERE</t>
        </is>
      </c>
      <c r="K464" t="inlineStr">
        <is>
          <t>METAL</t>
        </is>
      </c>
      <c r="L464">
        <f>_xlfn.XLOOKUP(Tableau1[[#This Row],[TYPE DE PIECE]],Tableau4[MATIERE],Tableau4[SHORT TYPE],"",0,1)</f>
        <v/>
      </c>
      <c r="N464">
        <f>IF(ISERR(FIND("DECOUPE",Tableau1[[#This Row],[DESIGNATION]])),"","NEED REF")</f>
        <v/>
      </c>
    </row>
    <row r="465">
      <c r="B465" t="n">
        <v>34413537</v>
      </c>
      <c r="C465" s="2" t="n">
        <v>45691</v>
      </c>
      <c r="D465" t="inlineStr">
        <is>
          <t>SPEC</t>
        </is>
      </c>
      <c r="E46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65" t="inlineStr">
        <is>
          <t>QBED01600</t>
        </is>
      </c>
      <c r="G465" t="inlineStr">
        <is>
          <t>GVXL</t>
        </is>
      </c>
      <c r="H465" t="inlineStr">
        <is>
          <t>BACKFEED</t>
        </is>
      </c>
      <c r="I465" t="inlineStr">
        <is>
          <t>1600A</t>
        </is>
      </c>
      <c r="J465" t="inlineStr">
        <is>
          <t>BESSIERE</t>
        </is>
      </c>
      <c r="K465" t="inlineStr">
        <is>
          <t>METAL</t>
        </is>
      </c>
      <c r="L465">
        <f>_xlfn.XLOOKUP(Tableau1[[#This Row],[TYPE DE PIECE]],Tableau4[MATIERE],Tableau4[SHORT TYPE],"",0,1)</f>
        <v/>
      </c>
      <c r="N465">
        <f>IF(ISERR(FIND("DECOUPE",Tableau1[[#This Row],[DESIGNATION]])),"","NEED REF")</f>
        <v/>
      </c>
    </row>
    <row r="466">
      <c r="B466" t="n">
        <v>34413536</v>
      </c>
      <c r="C466" s="2" t="n">
        <v>45691</v>
      </c>
      <c r="D466" t="inlineStr">
        <is>
          <t>SPEC</t>
        </is>
      </c>
      <c r="E46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66" t="inlineStr">
        <is>
          <t>QBED01600</t>
        </is>
      </c>
      <c r="G466" t="inlineStr">
        <is>
          <t>GVXL</t>
        </is>
      </c>
      <c r="H466" t="inlineStr">
        <is>
          <t>BACKFEED</t>
        </is>
      </c>
      <c r="I466" t="inlineStr">
        <is>
          <t>1600A</t>
        </is>
      </c>
      <c r="J466" t="inlineStr">
        <is>
          <t>BESSIERE</t>
        </is>
      </c>
      <c r="K466" t="inlineStr">
        <is>
          <t>METAL</t>
        </is>
      </c>
      <c r="L466">
        <f>_xlfn.XLOOKUP(Tableau1[[#This Row],[TYPE DE PIECE]],Tableau4[MATIERE],Tableau4[SHORT TYPE],"",0,1)</f>
        <v/>
      </c>
      <c r="N466">
        <f>IF(ISERR(FIND("DECOUPE",Tableau1[[#This Row],[DESIGNATION]])),"","NEED REF")</f>
        <v/>
      </c>
    </row>
    <row r="467">
      <c r="B467" t="n">
        <v>34413535</v>
      </c>
      <c r="C467" s="2" t="n">
        <v>45691</v>
      </c>
      <c r="D467" t="inlineStr">
        <is>
          <t>SPEC</t>
        </is>
      </c>
      <c r="E467" t="inlineStr">
        <is>
          <t>SMT ROOF IP21 FOR EASY UPS 3S 40kVA</t>
        </is>
      </c>
      <c r="F467" t="inlineStr">
        <is>
          <t>QSMA97731</t>
        </is>
      </c>
      <c r="G467" t="inlineStr">
        <is>
          <t>E3S</t>
        </is>
      </c>
      <c r="H467" t="inlineStr">
        <is>
          <t>UPS</t>
        </is>
      </c>
      <c r="J467" t="inlineStr">
        <is>
          <t>BERNARDEAU</t>
        </is>
      </c>
      <c r="K467" t="inlineStr">
        <is>
          <t>METAL</t>
        </is>
      </c>
      <c r="L467">
        <f>_xlfn.XLOOKUP(Tableau1[[#This Row],[TYPE DE PIECE]],Tableau4[MATIERE],Tableau4[SHORT TYPE],"",0,1)</f>
        <v/>
      </c>
      <c r="N467">
        <f>IF(ISERR(FIND("DECOUPE",Tableau1[[#This Row],[DESIGNATION]])),"","NEED REF")</f>
        <v/>
      </c>
    </row>
    <row r="468">
      <c r="B468" t="n">
        <v>34413534</v>
      </c>
      <c r="C468" s="2" t="n">
        <v>45691</v>
      </c>
      <c r="D468" t="inlineStr">
        <is>
          <t>SPEC</t>
        </is>
      </c>
      <c r="E46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68" t="inlineStr">
        <is>
          <t>QBED01600</t>
        </is>
      </c>
      <c r="G468" t="inlineStr">
        <is>
          <t>GVXL</t>
        </is>
      </c>
      <c r="H468" t="inlineStr">
        <is>
          <t>BACKFEED</t>
        </is>
      </c>
      <c r="I468" t="inlineStr">
        <is>
          <t>1600A</t>
        </is>
      </c>
      <c r="J468" t="inlineStr">
        <is>
          <t>BESSIERE</t>
        </is>
      </c>
      <c r="K468" t="inlineStr">
        <is>
          <t>METAL</t>
        </is>
      </c>
      <c r="L468">
        <f>_xlfn.XLOOKUP(Tableau1[[#This Row],[TYPE DE PIECE]],Tableau4[MATIERE],Tableau4[SHORT TYPE],"",0,1)</f>
        <v/>
      </c>
      <c r="N468">
        <f>IF(ISERR(FIND("DECOUPE",Tableau1[[#This Row],[DESIGNATION]])),"","NEED REF")</f>
        <v/>
      </c>
    </row>
    <row r="469">
      <c r="B469" t="n">
        <v>34413533</v>
      </c>
      <c r="C469" s="2" t="n">
        <v>45688</v>
      </c>
      <c r="D469" t="inlineStr">
        <is>
          <t>SPEC</t>
        </is>
      </c>
      <c r="E46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69" t="inlineStr">
        <is>
          <t>BESSIERE</t>
        </is>
      </c>
      <c r="K469" t="inlineStr">
        <is>
          <t>PLASTIQUE</t>
        </is>
      </c>
      <c r="L469">
        <f>_xlfn.XLOOKUP(Tableau1[[#This Row],[TYPE DE PIECE]],Tableau4[MATIERE],Tableau4[SHORT TYPE],"",0,1)</f>
        <v/>
      </c>
      <c r="N469">
        <f>IF(ISERR(FIND("DECOUPE",Tableau1[[#This Row],[DESIGNATION]])),"","NEED REF")</f>
        <v/>
      </c>
    </row>
    <row r="470">
      <c r="B470" t="n">
        <v>34413532</v>
      </c>
      <c r="C470" s="2" t="n">
        <v>45688</v>
      </c>
      <c r="D470" t="inlineStr">
        <is>
          <t>SPEC</t>
        </is>
      </c>
      <c r="E47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470" t="inlineStr">
        <is>
          <t>BESSIERE</t>
        </is>
      </c>
      <c r="K470" t="inlineStr">
        <is>
          <t>ASM</t>
        </is>
      </c>
      <c r="L470">
        <f>_xlfn.XLOOKUP(Tableau1[[#This Row],[TYPE DE PIECE]],Tableau4[MATIERE],Tableau4[SHORT TYPE],"",0,1)</f>
        <v/>
      </c>
      <c r="N470">
        <f>IF(ISERR(FIND("DECOUPE",Tableau1[[#This Row],[DESIGNATION]])),"","NEED REF")</f>
        <v/>
      </c>
    </row>
    <row r="471">
      <c r="B471" t="n">
        <v>34413531</v>
      </c>
      <c r="C471" s="2" t="n">
        <v>45688</v>
      </c>
      <c r="D471" t="inlineStr">
        <is>
          <t>SPEC</t>
        </is>
      </c>
      <c r="E47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71" t="inlineStr">
        <is>
          <t>GVXL</t>
        </is>
      </c>
      <c r="H471" t="inlineStr">
        <is>
          <t>BACKFEED</t>
        </is>
      </c>
      <c r="J471" t="inlineStr">
        <is>
          <t>BESSIERE</t>
        </is>
      </c>
      <c r="K471" t="inlineStr">
        <is>
          <t>PLASTIQUE</t>
        </is>
      </c>
      <c r="L471">
        <f>_xlfn.XLOOKUP(Tableau1[[#This Row],[TYPE DE PIECE]],Tableau4[MATIERE],Tableau4[SHORT TYPE],"",0,1)</f>
        <v/>
      </c>
      <c r="N471">
        <f>IF(ISERR(FIND("DECOUPE",Tableau1[[#This Row],[DESIGNATION]])),"","NEED REF")</f>
        <v/>
      </c>
    </row>
    <row r="472">
      <c r="B472" t="n">
        <v>34413530</v>
      </c>
      <c r="C472" s="2" t="n">
        <v>45688</v>
      </c>
      <c r="D472" t="inlineStr">
        <is>
          <t>SPEC</t>
        </is>
      </c>
      <c r="E47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472" t="inlineStr">
        <is>
          <t>GVXL</t>
        </is>
      </c>
      <c r="H472" t="inlineStr">
        <is>
          <t>BACKFEED</t>
        </is>
      </c>
      <c r="J472" t="inlineStr">
        <is>
          <t>BESSIERE</t>
        </is>
      </c>
      <c r="K472" t="inlineStr">
        <is>
          <t>CUIVRE</t>
        </is>
      </c>
      <c r="L472">
        <f>_xlfn.XLOOKUP(Tableau1[[#This Row],[TYPE DE PIECE]],Tableau4[MATIERE],Tableau4[SHORT TYPE],"",0,1)</f>
        <v/>
      </c>
      <c r="N472">
        <f>IF(ISERR(FIND("DECOUPE",Tableau1[[#This Row],[DESIGNATION]])),"","NEED REF")</f>
        <v/>
      </c>
    </row>
    <row r="473">
      <c r="B473" t="n">
        <v>34413529</v>
      </c>
      <c r="C473" s="2" t="n">
        <v>45688</v>
      </c>
      <c r="D473" t="inlineStr">
        <is>
          <t>SPEC</t>
        </is>
      </c>
      <c r="E473" t="inlineStr">
        <is>
          <t>COP 34413155 GVXL  1250KVA BATTERY B+/B- BOTTOM BAR SA SCREWS</t>
        </is>
      </c>
      <c r="J473" t="inlineStr">
        <is>
          <t>BESSIERE</t>
        </is>
      </c>
      <c r="L473">
        <f>_xlfn.XLOOKUP(Tableau1[[#This Row],[TYPE DE PIECE]],Tableau4[MATIERE],Tableau4[SHORT TYPE],"",0,1)</f>
        <v/>
      </c>
      <c r="N473">
        <f>IF(ISERR(FIND("DECOUPE",Tableau1[[#This Row],[DESIGNATION]])),"","NEED REF")</f>
        <v/>
      </c>
    </row>
    <row r="474">
      <c r="B474" t="n">
        <v>34413528</v>
      </c>
      <c r="C474" s="2" t="n">
        <v>45688</v>
      </c>
      <c r="D474" t="inlineStr">
        <is>
          <t>SPEC</t>
        </is>
      </c>
      <c r="E474" t="inlineStr">
        <is>
          <t>DC RAISE PE BAR</t>
        </is>
      </c>
      <c r="J474" t="inlineStr">
        <is>
          <t>BESSIERE</t>
        </is>
      </c>
      <c r="L474">
        <f>_xlfn.XLOOKUP(Tableau1[[#This Row],[TYPE DE PIECE]],Tableau4[MATIERE],Tableau4[SHORT TYPE],"",0,1)</f>
        <v/>
      </c>
      <c r="N474">
        <f>IF(ISERR(FIND("DECOUPE",Tableau1[[#This Row],[DESIGNATION]])),"","NEED REF")</f>
        <v/>
      </c>
    </row>
    <row r="475">
      <c r="B475" t="n">
        <v>34413527</v>
      </c>
      <c r="C475" s="2" t="n">
        <v>45688</v>
      </c>
      <c r="D475" t="inlineStr">
        <is>
          <t>SPEC</t>
        </is>
      </c>
      <c r="E475" t="inlineStr">
        <is>
          <t xml:space="preserve">ROOF CABLE PLATE </t>
        </is>
      </c>
      <c r="J475" t="inlineStr">
        <is>
          <t>BESSIERE</t>
        </is>
      </c>
      <c r="L475">
        <f>_xlfn.XLOOKUP(Tableau1[[#This Row],[TYPE DE PIECE]],Tableau4[MATIERE],Tableau4[SHORT TYPE],"",0,1)</f>
        <v/>
      </c>
      <c r="N475">
        <f>IF(ISERR(FIND("DECOUPE",Tableau1[[#This Row],[DESIGNATION]])),"","NEED REF")</f>
        <v/>
      </c>
    </row>
    <row r="476">
      <c r="B476" t="n">
        <v>34413526</v>
      </c>
      <c r="C476" s="2" t="n">
        <v>45688</v>
      </c>
      <c r="D476" t="inlineStr">
        <is>
          <t>SPEC</t>
        </is>
      </c>
      <c r="E476" t="inlineStr">
        <is>
          <t>GVXL ASM DC RAISE STRUCTURE</t>
        </is>
      </c>
      <c r="J476" t="inlineStr">
        <is>
          <t>BESSIERE</t>
        </is>
      </c>
      <c r="K476" t="inlineStr">
        <is>
          <t>ASM</t>
        </is>
      </c>
      <c r="L476">
        <f>_xlfn.XLOOKUP(Tableau1[[#This Row],[TYPE DE PIECE]],Tableau4[MATIERE],Tableau4[SHORT TYPE],"",0,1)</f>
        <v/>
      </c>
      <c r="N476">
        <f>IF(ISERR(FIND("DECOUPE",Tableau1[[#This Row],[DESIGNATION]])),"","NEED REF")</f>
        <v/>
      </c>
    </row>
    <row r="477">
      <c r="B477" t="n">
        <v>34413525</v>
      </c>
      <c r="C477" s="2" t="n">
        <v>45688</v>
      </c>
      <c r="D477" t="inlineStr">
        <is>
          <t>SPEC</t>
        </is>
      </c>
      <c r="E477" t="inlineStr">
        <is>
          <t>GVXL ASM DC RAISE COPPER</t>
        </is>
      </c>
      <c r="J477" t="inlineStr">
        <is>
          <t>BESSIERE</t>
        </is>
      </c>
      <c r="K477" t="inlineStr">
        <is>
          <t>ASM</t>
        </is>
      </c>
      <c r="L477">
        <f>_xlfn.XLOOKUP(Tableau1[[#This Row],[TYPE DE PIECE]],Tableau4[MATIERE],Tableau4[SHORT TYPE],"",0,1)</f>
        <v/>
      </c>
      <c r="N477">
        <f>IF(ISERR(FIND("DECOUPE",Tableau1[[#This Row],[DESIGNATION]])),"","NEED REF")</f>
        <v/>
      </c>
    </row>
    <row r="478">
      <c r="B478" t="n">
        <v>34413524</v>
      </c>
      <c r="C478" s="2" t="n">
        <v>45687</v>
      </c>
      <c r="D478" t="inlineStr">
        <is>
          <t>SPEC</t>
        </is>
      </c>
      <c r="E478" t="inlineStr">
        <is>
          <t>CAISSE CLAIRE-VOIE</t>
        </is>
      </c>
      <c r="J478" t="inlineStr">
        <is>
          <t>CAVILLON</t>
        </is>
      </c>
      <c r="L478">
        <f>_xlfn.XLOOKUP(Tableau1[[#This Row],[TYPE DE PIECE]],Tableau4[MATIERE],Tableau4[SHORT TYPE],"",0,1)</f>
        <v/>
      </c>
      <c r="N478">
        <f>IF(ISERR(FIND("DECOUPE",Tableau1[[#This Row],[DESIGNATION]])),"","NEED REF")</f>
        <v/>
      </c>
    </row>
    <row r="479">
      <c r="B479" t="n">
        <v>34413523</v>
      </c>
      <c r="C479" s="2" t="n">
        <v>45687</v>
      </c>
      <c r="D479" t="inlineStr">
        <is>
          <t>SPEC</t>
        </is>
      </c>
      <c r="E47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79" t="inlineStr">
        <is>
          <t>QBED01600</t>
        </is>
      </c>
      <c r="G479" t="inlineStr">
        <is>
          <t>GVXL</t>
        </is>
      </c>
      <c r="H479" t="inlineStr">
        <is>
          <t>BACKFEED</t>
        </is>
      </c>
      <c r="I479" t="inlineStr">
        <is>
          <t>1600A</t>
        </is>
      </c>
      <c r="J479" t="inlineStr">
        <is>
          <t>BESSIERE</t>
        </is>
      </c>
      <c r="K479" t="inlineStr">
        <is>
          <t>CUIVRE</t>
        </is>
      </c>
      <c r="L479">
        <f>_xlfn.XLOOKUP(Tableau1[[#This Row],[TYPE DE PIECE]],Tableau4[MATIERE],Tableau4[SHORT TYPE],"",0,1)</f>
        <v/>
      </c>
      <c r="N479">
        <f>IF(ISERR(FIND("DECOUPE",Tableau1[[#This Row],[DESIGNATION]])),"","NEED REF")</f>
        <v/>
      </c>
    </row>
    <row r="480">
      <c r="B480" t="n">
        <v>34413522</v>
      </c>
      <c r="C480" s="2" t="n">
        <v>45687</v>
      </c>
      <c r="D480" t="inlineStr">
        <is>
          <t>SPEC</t>
        </is>
      </c>
      <c r="E48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80" t="inlineStr">
        <is>
          <t>QBED01600</t>
        </is>
      </c>
      <c r="G480" t="inlineStr">
        <is>
          <t>GVXL</t>
        </is>
      </c>
      <c r="H480" t="inlineStr">
        <is>
          <t>BACKFEED</t>
        </is>
      </c>
      <c r="I480" t="inlineStr">
        <is>
          <t>1600A</t>
        </is>
      </c>
      <c r="J480" t="inlineStr">
        <is>
          <t>BESSIERE</t>
        </is>
      </c>
      <c r="K480" t="inlineStr">
        <is>
          <t>METAL</t>
        </is>
      </c>
      <c r="L480">
        <f>_xlfn.XLOOKUP(Tableau1[[#This Row],[TYPE DE PIECE]],Tableau4[MATIERE],Tableau4[SHORT TYPE],"",0,1)</f>
        <v/>
      </c>
      <c r="N480">
        <f>IF(ISERR(FIND("DECOUPE",Tableau1[[#This Row],[DESIGNATION]])),"","NEED REF")</f>
        <v/>
      </c>
    </row>
    <row r="481">
      <c r="B481" t="n">
        <v>34413521</v>
      </c>
      <c r="C481" s="2" t="n">
        <v>45687</v>
      </c>
      <c r="D481" t="inlineStr">
        <is>
          <t>SPEC</t>
        </is>
      </c>
      <c r="E481" t="inlineStr">
        <is>
          <t>SMT support surtoit ar RAL9003</t>
        </is>
      </c>
      <c r="F481" t="inlineStr">
        <is>
          <t>QATE40870</t>
        </is>
      </c>
      <c r="J481" t="inlineStr">
        <is>
          <t>BERNARDEAU</t>
        </is>
      </c>
      <c r="K481" t="inlineStr">
        <is>
          <t>METAL</t>
        </is>
      </c>
      <c r="L481">
        <f>_xlfn.XLOOKUP(Tableau1[[#This Row],[TYPE DE PIECE]],Tableau4[MATIERE],Tableau4[SHORT TYPE],"",0,1)</f>
        <v/>
      </c>
      <c r="N481">
        <f>IF(ISERR(FIND("DECOUPE",Tableau1[[#This Row],[DESIGNATION]])),"","NEED REF")</f>
        <v/>
      </c>
    </row>
    <row r="482">
      <c r="B482" t="n">
        <v>34413520</v>
      </c>
      <c r="C482" s="2" t="n">
        <v>45687</v>
      </c>
      <c r="D482" t="inlineStr">
        <is>
          <t>SPEC</t>
        </is>
      </c>
      <c r="E482" t="inlineStr">
        <is>
          <t>SMT support surtoit av RAL9003</t>
        </is>
      </c>
      <c r="F482" t="inlineStr">
        <is>
          <t>QATE40870</t>
        </is>
      </c>
      <c r="J482" t="inlineStr">
        <is>
          <t>BERNARDEAU</t>
        </is>
      </c>
      <c r="K482" t="inlineStr">
        <is>
          <t>METAL</t>
        </is>
      </c>
      <c r="L482">
        <f>_xlfn.XLOOKUP(Tableau1[[#This Row],[TYPE DE PIECE]],Tableau4[MATIERE],Tableau4[SHORT TYPE],"",0,1)</f>
        <v/>
      </c>
      <c r="N482">
        <f>IF(ISERR(FIND("DECOUPE",Tableau1[[#This Row],[DESIGNATION]])),"","NEED REF")</f>
        <v/>
      </c>
    </row>
    <row r="483">
      <c r="B483" t="n">
        <v>34413519</v>
      </c>
      <c r="C483" s="2" t="n">
        <v>45687</v>
      </c>
      <c r="D483" t="inlineStr">
        <is>
          <t>SPEC</t>
        </is>
      </c>
      <c r="E483" t="inlineStr">
        <is>
          <t>SMT SURTOIT IP32 GVEBC15</t>
        </is>
      </c>
      <c r="F483" t="inlineStr">
        <is>
          <t>QATE40870</t>
        </is>
      </c>
      <c r="G483" t="inlineStr">
        <is>
          <t>GVEBC15</t>
        </is>
      </c>
      <c r="J483" t="inlineStr">
        <is>
          <t>BERNARDEAU</t>
        </is>
      </c>
      <c r="K483" t="inlineStr">
        <is>
          <t>METAL</t>
        </is>
      </c>
      <c r="L483">
        <f>_xlfn.XLOOKUP(Tableau1[[#This Row],[TYPE DE PIECE]],Tableau4[MATIERE],Tableau4[SHORT TYPE],"",0,1)</f>
        <v/>
      </c>
      <c r="N483">
        <f>IF(ISERR(FIND("DECOUPE",Tableau1[[#This Row],[DESIGNATION]])),"","NEED REF")</f>
        <v/>
      </c>
    </row>
    <row r="484">
      <c r="B484" t="n">
        <v>34413518</v>
      </c>
      <c r="C484" s="2" t="n">
        <v>45687</v>
      </c>
      <c r="D484" t="inlineStr">
        <is>
          <t>SPEC</t>
        </is>
      </c>
      <c r="E484" t="inlineStr">
        <is>
          <t>COP 34413518 GVXL UPS PE 2</t>
        </is>
      </c>
      <c r="F484" t="inlineStr">
        <is>
          <t>QBED01600</t>
        </is>
      </c>
      <c r="G484" t="inlineStr">
        <is>
          <t>GVXL</t>
        </is>
      </c>
      <c r="H484" t="inlineStr">
        <is>
          <t>BACKFEED</t>
        </is>
      </c>
      <c r="I484" t="inlineStr">
        <is>
          <t>1600A</t>
        </is>
      </c>
      <c r="J484" t="inlineStr">
        <is>
          <t>BESSIERE</t>
        </is>
      </c>
      <c r="K484" t="inlineStr">
        <is>
          <t>CUIVRE</t>
        </is>
      </c>
      <c r="L484">
        <f>_xlfn.XLOOKUP(Tableau1[[#This Row],[TYPE DE PIECE]],Tableau4[MATIERE],Tableau4[SHORT TYPE],"",0,1)</f>
        <v/>
      </c>
      <c r="N484">
        <f>IF(ISERR(FIND("DECOUPE",Tableau1[[#This Row],[DESIGNATION]])),"","NEED REF")</f>
        <v/>
      </c>
    </row>
    <row r="485">
      <c r="B485" t="n">
        <v>34413517</v>
      </c>
      <c r="C485" s="2" t="n">
        <v>45687</v>
      </c>
      <c r="D485" t="inlineStr">
        <is>
          <t>SPEC</t>
        </is>
      </c>
      <c r="E485" t="inlineStr">
        <is>
          <t>COP 34413517 GVXL UPS PE 1</t>
        </is>
      </c>
      <c r="F485" t="inlineStr">
        <is>
          <t>QBED01600</t>
        </is>
      </c>
      <c r="G485" t="inlineStr">
        <is>
          <t>GVXL</t>
        </is>
      </c>
      <c r="H485" t="inlineStr">
        <is>
          <t>BACKFEED</t>
        </is>
      </c>
      <c r="I485" t="inlineStr">
        <is>
          <t>1600A</t>
        </is>
      </c>
      <c r="J485" t="inlineStr">
        <is>
          <t>BESSIERE</t>
        </is>
      </c>
      <c r="K485" t="inlineStr">
        <is>
          <t>CUIVRE</t>
        </is>
      </c>
      <c r="L485">
        <f>_xlfn.XLOOKUP(Tableau1[[#This Row],[TYPE DE PIECE]],Tableau4[MATIERE],Tableau4[SHORT TYPE],"",0,1)</f>
        <v/>
      </c>
      <c r="N485">
        <f>IF(ISERR(FIND("DECOUPE",Tableau1[[#This Row],[DESIGNATION]])),"","NEED REF")</f>
        <v/>
      </c>
    </row>
    <row r="486">
      <c r="B486" t="n">
        <v>34413516</v>
      </c>
      <c r="C486" s="2" t="n">
        <v>45687</v>
      </c>
      <c r="D486" t="inlineStr">
        <is>
          <t>SPEC</t>
        </is>
      </c>
      <c r="E48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86" t="inlineStr">
        <is>
          <t>QBED01600</t>
        </is>
      </c>
      <c r="G486" t="inlineStr">
        <is>
          <t>GVXL</t>
        </is>
      </c>
      <c r="H486" t="inlineStr">
        <is>
          <t>BACKFEED</t>
        </is>
      </c>
      <c r="I486" t="inlineStr">
        <is>
          <t>1600A</t>
        </is>
      </c>
      <c r="J486" t="inlineStr">
        <is>
          <t>BESSIERE</t>
        </is>
      </c>
      <c r="K486" t="inlineStr">
        <is>
          <t>PLASTIQUE</t>
        </is>
      </c>
      <c r="L486">
        <f>_xlfn.XLOOKUP(Tableau1[[#This Row],[TYPE DE PIECE]],Tableau4[MATIERE],Tableau4[SHORT TYPE],"",0,1)</f>
        <v/>
      </c>
      <c r="N486">
        <f>IF(ISERR(FIND("DECOUPE",Tableau1[[#This Row],[DESIGNATION]])),"","NEED REF")</f>
        <v/>
      </c>
    </row>
    <row r="487">
      <c r="B487" t="n">
        <v>34413515</v>
      </c>
      <c r="C487" s="2" t="n">
        <v>45686</v>
      </c>
      <c r="D487" t="inlineStr">
        <is>
          <t>SPEC</t>
        </is>
      </c>
      <c r="E48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87" t="inlineStr">
        <is>
          <t>QBED01600</t>
        </is>
      </c>
      <c r="G487" t="inlineStr">
        <is>
          <t>GVXL</t>
        </is>
      </c>
      <c r="H487" t="inlineStr">
        <is>
          <t>BACKFEED</t>
        </is>
      </c>
      <c r="I487" t="inlineStr">
        <is>
          <t>1600A</t>
        </is>
      </c>
      <c r="J487" t="inlineStr">
        <is>
          <t>BESSIERE</t>
        </is>
      </c>
      <c r="K487" t="inlineStr">
        <is>
          <t>PLASTIQUE</t>
        </is>
      </c>
      <c r="L487">
        <f>_xlfn.XLOOKUP(Tableau1[[#This Row],[TYPE DE PIECE]],Tableau4[MATIERE],Tableau4[SHORT TYPE],"",0,1)</f>
        <v/>
      </c>
      <c r="N487">
        <f>IF(ISERR(FIND("DECOUPE",Tableau1[[#This Row],[DESIGNATION]])),"","NEED REF")</f>
        <v/>
      </c>
    </row>
    <row r="488">
      <c r="B488" t="n">
        <v>34413514</v>
      </c>
      <c r="C488" s="2" t="n">
        <v>45686</v>
      </c>
      <c r="D488" t="inlineStr">
        <is>
          <t>SPEC</t>
        </is>
      </c>
      <c r="E48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88" t="inlineStr">
        <is>
          <t>QBED01600</t>
        </is>
      </c>
      <c r="G488" t="inlineStr">
        <is>
          <t>GVXL</t>
        </is>
      </c>
      <c r="H488" t="inlineStr">
        <is>
          <t>BACKFEED</t>
        </is>
      </c>
      <c r="I488" t="inlineStr">
        <is>
          <t>1600A</t>
        </is>
      </c>
      <c r="J488" t="inlineStr">
        <is>
          <t>BESSIERE</t>
        </is>
      </c>
      <c r="K488" t="inlineStr">
        <is>
          <t>METAL</t>
        </is>
      </c>
      <c r="L488">
        <f>_xlfn.XLOOKUP(Tableau1[[#This Row],[TYPE DE PIECE]],Tableau4[MATIERE],Tableau4[SHORT TYPE],"",0,1)</f>
        <v/>
      </c>
      <c r="N488">
        <f>IF(ISERR(FIND("DECOUPE",Tableau1[[#This Row],[DESIGNATION]])),"","NEED REF")</f>
        <v/>
      </c>
    </row>
    <row r="489">
      <c r="B489" t="n">
        <v>34413513</v>
      </c>
      <c r="C489" s="2" t="n">
        <v>45686</v>
      </c>
      <c r="D489" t="inlineStr">
        <is>
          <t>SPEC</t>
        </is>
      </c>
      <c r="E48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89" t="inlineStr">
        <is>
          <t>QBED01600</t>
        </is>
      </c>
      <c r="G489" t="inlineStr">
        <is>
          <t>GVXL</t>
        </is>
      </c>
      <c r="H489" t="inlineStr">
        <is>
          <t>BACKFEED</t>
        </is>
      </c>
      <c r="I489" t="inlineStr">
        <is>
          <t>1600A</t>
        </is>
      </c>
      <c r="J489" t="inlineStr">
        <is>
          <t>BESSIERE</t>
        </is>
      </c>
      <c r="K489" t="inlineStr">
        <is>
          <t>PLASTIQUE</t>
        </is>
      </c>
      <c r="L489">
        <f>_xlfn.XLOOKUP(Tableau1[[#This Row],[TYPE DE PIECE]],Tableau4[MATIERE],Tableau4[SHORT TYPE],"",0,1)</f>
        <v/>
      </c>
      <c r="N489">
        <f>IF(ISERR(FIND("DECOUPE",Tableau1[[#This Row],[DESIGNATION]])),"","NEED REF")</f>
        <v/>
      </c>
    </row>
    <row r="490">
      <c r="B490" t="n">
        <v>34413512</v>
      </c>
      <c r="C490" s="2" t="n">
        <v>45686</v>
      </c>
      <c r="D490" t="inlineStr">
        <is>
          <t>SPEC</t>
        </is>
      </c>
      <c r="E49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90" t="inlineStr">
        <is>
          <t>QBED01600</t>
        </is>
      </c>
      <c r="G490" t="inlineStr">
        <is>
          <t>GVXL</t>
        </is>
      </c>
      <c r="H490" t="inlineStr">
        <is>
          <t>BACKFEED</t>
        </is>
      </c>
      <c r="I490" t="inlineStr">
        <is>
          <t>1600A</t>
        </is>
      </c>
      <c r="J490" t="inlineStr">
        <is>
          <t>BESSIERE</t>
        </is>
      </c>
      <c r="K490" t="inlineStr">
        <is>
          <t>METAL</t>
        </is>
      </c>
      <c r="L490">
        <f>_xlfn.XLOOKUP(Tableau1[[#This Row],[TYPE DE PIECE]],Tableau4[MATIERE],Tableau4[SHORT TYPE],"",0,1)</f>
        <v/>
      </c>
      <c r="N490">
        <f>IF(ISERR(FIND("DECOUPE",Tableau1[[#This Row],[DESIGNATION]])),"","NEED REF")</f>
        <v/>
      </c>
    </row>
    <row r="491">
      <c r="B491" t="n">
        <v>34413511</v>
      </c>
      <c r="C491" s="2" t="n">
        <v>45686</v>
      </c>
      <c r="D491" t="inlineStr">
        <is>
          <t>SPEC</t>
        </is>
      </c>
      <c r="E49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91" t="inlineStr">
        <is>
          <t>QBED01600</t>
        </is>
      </c>
      <c r="G491" t="inlineStr">
        <is>
          <t>GVXL</t>
        </is>
      </c>
      <c r="H491" t="inlineStr">
        <is>
          <t>BACKFEED</t>
        </is>
      </c>
      <c r="I491" t="inlineStr">
        <is>
          <t>1600A</t>
        </is>
      </c>
      <c r="J491" t="inlineStr">
        <is>
          <t>BESSIERE</t>
        </is>
      </c>
      <c r="K491" t="inlineStr">
        <is>
          <t>PLASTIQUE</t>
        </is>
      </c>
      <c r="L491">
        <f>_xlfn.XLOOKUP(Tableau1[[#This Row],[TYPE DE PIECE]],Tableau4[MATIERE],Tableau4[SHORT TYPE],"",0,1)</f>
        <v/>
      </c>
      <c r="N491">
        <f>IF(ISERR(FIND("DECOUPE",Tableau1[[#This Row],[DESIGNATION]])),"","NEED REF")</f>
        <v/>
      </c>
    </row>
    <row r="492">
      <c r="B492" t="n">
        <v>34413510</v>
      </c>
      <c r="C492" s="2" t="n">
        <v>45686</v>
      </c>
      <c r="D492" t="inlineStr">
        <is>
          <t>SPEC</t>
        </is>
      </c>
      <c r="E49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92" t="inlineStr">
        <is>
          <t>QBED01600</t>
        </is>
      </c>
      <c r="G492" t="inlineStr">
        <is>
          <t>GVXL</t>
        </is>
      </c>
      <c r="H492" t="inlineStr">
        <is>
          <t>BACKFEED</t>
        </is>
      </c>
      <c r="I492" t="inlineStr">
        <is>
          <t>1600A</t>
        </is>
      </c>
      <c r="J492" t="inlineStr">
        <is>
          <t>BESSIERE</t>
        </is>
      </c>
      <c r="K492" t="inlineStr">
        <is>
          <t>METAL</t>
        </is>
      </c>
      <c r="L492">
        <f>_xlfn.XLOOKUP(Tableau1[[#This Row],[TYPE DE PIECE]],Tableau4[MATIERE],Tableau4[SHORT TYPE],"",0,1)</f>
        <v/>
      </c>
      <c r="N492">
        <f>IF(ISERR(FIND("DECOUPE",Tableau1[[#This Row],[DESIGNATION]])),"","NEED REF")</f>
        <v/>
      </c>
    </row>
    <row r="493">
      <c r="B493" t="n">
        <v>34413509</v>
      </c>
      <c r="C493" s="2" t="n">
        <v>45686</v>
      </c>
      <c r="D493" t="inlineStr">
        <is>
          <t>SPEC</t>
        </is>
      </c>
      <c r="E49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93" t="inlineStr">
        <is>
          <t>QBED01600</t>
        </is>
      </c>
      <c r="G493" t="inlineStr">
        <is>
          <t>GVXL</t>
        </is>
      </c>
      <c r="H493" t="inlineStr">
        <is>
          <t>BACKFEED</t>
        </is>
      </c>
      <c r="I493" t="inlineStr">
        <is>
          <t>1600A</t>
        </is>
      </c>
      <c r="J493" t="inlineStr">
        <is>
          <t>BESSIERE</t>
        </is>
      </c>
      <c r="K493" t="inlineStr">
        <is>
          <t>PLASTIQUE</t>
        </is>
      </c>
      <c r="L493">
        <f>_xlfn.XLOOKUP(Tableau1[[#This Row],[TYPE DE PIECE]],Tableau4[MATIERE],Tableau4[SHORT TYPE],"",0,1)</f>
        <v/>
      </c>
      <c r="N493">
        <f>IF(ISERR(FIND("DECOUPE",Tableau1[[#This Row],[DESIGNATION]])),"","NEED REF")</f>
        <v/>
      </c>
    </row>
    <row r="494">
      <c r="B494" t="n">
        <v>34413508</v>
      </c>
      <c r="C494" s="2" t="n">
        <v>45686</v>
      </c>
      <c r="D494" t="inlineStr">
        <is>
          <t>SPEC</t>
        </is>
      </c>
      <c r="E49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494" t="inlineStr">
        <is>
          <t>QBED01600</t>
        </is>
      </c>
      <c r="G494" t="inlineStr">
        <is>
          <t>GVXL</t>
        </is>
      </c>
      <c r="H494" t="inlineStr">
        <is>
          <t>BACKFEED</t>
        </is>
      </c>
      <c r="I494" t="inlineStr">
        <is>
          <t>1600A</t>
        </is>
      </c>
      <c r="J494" t="inlineStr">
        <is>
          <t>BESSIERE</t>
        </is>
      </c>
      <c r="K494" t="inlineStr">
        <is>
          <t>PLASTIQUE</t>
        </is>
      </c>
      <c r="L494">
        <f>_xlfn.XLOOKUP(Tableau1[[#This Row],[TYPE DE PIECE]],Tableau4[MATIERE],Tableau4[SHORT TYPE],"",0,1)</f>
        <v/>
      </c>
      <c r="N494">
        <f>IF(ISERR(FIND("DECOUPE",Tableau1[[#This Row],[DESIGNATION]])),"","NEED REF")</f>
        <v/>
      </c>
    </row>
    <row r="495">
      <c r="B495" t="n">
        <v>34413507</v>
      </c>
      <c r="C495" s="2" t="n">
        <v>45685</v>
      </c>
      <c r="D495" t="inlineStr">
        <is>
          <t>SPEC</t>
        </is>
      </c>
      <c r="E495" t="inlineStr">
        <is>
          <t>SMT 34413507 BYPASS 350KW SUPPORT JDB HAUT</t>
        </is>
      </c>
      <c r="H495" t="inlineStr">
        <is>
          <t>BYPASS</t>
        </is>
      </c>
      <c r="I495" t="inlineStr">
        <is>
          <t>350KW</t>
        </is>
      </c>
      <c r="J495" t="inlineStr">
        <is>
          <t>MATRION</t>
        </is>
      </c>
      <c r="K495" t="inlineStr">
        <is>
          <t>METAL</t>
        </is>
      </c>
      <c r="L495">
        <f>_xlfn.XLOOKUP(Tableau1[[#This Row],[TYPE DE PIECE]],Tableau4[MATIERE],Tableau4[SHORT TYPE],"",0,1)</f>
        <v/>
      </c>
      <c r="N495">
        <f>IF(ISERR(FIND("DECOUPE",Tableau1[[#This Row],[DESIGNATION]])),"","NEED REF")</f>
        <v/>
      </c>
    </row>
    <row r="496">
      <c r="B496" t="n">
        <v>34413506</v>
      </c>
      <c r="C496" s="2" t="n">
        <v>45685</v>
      </c>
      <c r="D496" t="inlineStr">
        <is>
          <t>SPEC</t>
        </is>
      </c>
      <c r="E496" t="inlineStr">
        <is>
          <t>COP 34413506 BYPASS 350KW RACC_4 NS1600</t>
        </is>
      </c>
      <c r="H496" t="inlineStr">
        <is>
          <t>BYPASS</t>
        </is>
      </c>
      <c r="I496" t="inlineStr">
        <is>
          <t>350KW</t>
        </is>
      </c>
      <c r="J496" t="inlineStr">
        <is>
          <t>MATRION</t>
        </is>
      </c>
      <c r="K496" t="inlineStr">
        <is>
          <t>CUIVRE</t>
        </is>
      </c>
      <c r="L496">
        <f>_xlfn.XLOOKUP(Tableau1[[#This Row],[TYPE DE PIECE]],Tableau4[MATIERE],Tableau4[SHORT TYPE],"",0,1)</f>
        <v/>
      </c>
      <c r="N496">
        <f>IF(ISERR(FIND("DECOUPE",Tableau1[[#This Row],[DESIGNATION]])),"","NEED REF")</f>
        <v/>
      </c>
    </row>
    <row r="497">
      <c r="B497" t="n">
        <v>34413505</v>
      </c>
      <c r="C497" s="2" t="n">
        <v>45685</v>
      </c>
      <c r="D497" t="inlineStr">
        <is>
          <t>SPEC</t>
        </is>
      </c>
      <c r="E497" t="inlineStr">
        <is>
          <t>COP 34413505 BYPASS 350KW RACC_3 NS1600</t>
        </is>
      </c>
      <c r="H497" t="inlineStr">
        <is>
          <t>BYPASS</t>
        </is>
      </c>
      <c r="I497" t="inlineStr">
        <is>
          <t>350KW</t>
        </is>
      </c>
      <c r="J497" t="inlineStr">
        <is>
          <t>MATRION</t>
        </is>
      </c>
      <c r="K497" t="inlineStr">
        <is>
          <t>CUIVRE</t>
        </is>
      </c>
      <c r="L497">
        <f>_xlfn.XLOOKUP(Tableau1[[#This Row],[TYPE DE PIECE]],Tableau4[MATIERE],Tableau4[SHORT TYPE],"",0,1)</f>
        <v/>
      </c>
      <c r="N497">
        <f>IF(ISERR(FIND("DECOUPE",Tableau1[[#This Row],[DESIGNATION]])),"","NEED REF")</f>
        <v/>
      </c>
    </row>
    <row r="498">
      <c r="B498" t="n">
        <v>34413504</v>
      </c>
      <c r="C498" s="2" t="n">
        <v>45685</v>
      </c>
      <c r="D498" t="inlineStr">
        <is>
          <t>SPEC</t>
        </is>
      </c>
      <c r="E498" t="inlineStr">
        <is>
          <t>COP 34413504 BYPASS 350KW RACC_2 NS1600</t>
        </is>
      </c>
      <c r="H498" t="inlineStr">
        <is>
          <t>BYPASS</t>
        </is>
      </c>
      <c r="I498" t="inlineStr">
        <is>
          <t>350KW</t>
        </is>
      </c>
      <c r="J498" t="inlineStr">
        <is>
          <t>MATRION</t>
        </is>
      </c>
      <c r="K498" t="inlineStr">
        <is>
          <t>CUIVRE</t>
        </is>
      </c>
      <c r="L498">
        <f>_xlfn.XLOOKUP(Tableau1[[#This Row],[TYPE DE PIECE]],Tableau4[MATIERE],Tableau4[SHORT TYPE],"",0,1)</f>
        <v/>
      </c>
      <c r="N498">
        <f>IF(ISERR(FIND("DECOUPE",Tableau1[[#This Row],[DESIGNATION]])),"","NEED REF")</f>
        <v/>
      </c>
    </row>
    <row r="499">
      <c r="B499" t="n">
        <v>34413503</v>
      </c>
      <c r="C499" s="2" t="n">
        <v>45685</v>
      </c>
      <c r="D499" t="inlineStr">
        <is>
          <t>SPEC</t>
        </is>
      </c>
      <c r="E499" t="inlineStr">
        <is>
          <t>COP 34413503 BYPASS 350KW RACC_1 NS1600</t>
        </is>
      </c>
      <c r="H499" t="inlineStr">
        <is>
          <t>BYPASS</t>
        </is>
      </c>
      <c r="I499" t="inlineStr">
        <is>
          <t>350KW</t>
        </is>
      </c>
      <c r="J499" t="inlineStr">
        <is>
          <t>MATRION</t>
        </is>
      </c>
      <c r="K499" t="inlineStr">
        <is>
          <t>CUIVRE</t>
        </is>
      </c>
      <c r="L499">
        <f>_xlfn.XLOOKUP(Tableau1[[#This Row],[TYPE DE PIECE]],Tableau4[MATIERE],Tableau4[SHORT TYPE],"",0,1)</f>
        <v/>
      </c>
      <c r="N499">
        <f>IF(ISERR(FIND("DECOUPE",Tableau1[[#This Row],[DESIGNATION]])),"","NEED REF")</f>
        <v/>
      </c>
    </row>
    <row r="500">
      <c r="B500" t="n">
        <v>34413502</v>
      </c>
      <c r="C500" s="2" t="n">
        <v>45685</v>
      </c>
      <c r="D500" t="inlineStr">
        <is>
          <t>SPEC</t>
        </is>
      </c>
      <c r="E500" t="inlineStr">
        <is>
          <t>PLA 34413502 BYPASS 350KW BRIDE JDB 2POLES</t>
        </is>
      </c>
      <c r="H500" t="inlineStr">
        <is>
          <t>BYPASS</t>
        </is>
      </c>
      <c r="I500" t="inlineStr">
        <is>
          <t>350KW</t>
        </is>
      </c>
      <c r="J500" t="inlineStr">
        <is>
          <t>MATRION</t>
        </is>
      </c>
      <c r="K500" t="inlineStr">
        <is>
          <t>PLASTIQUE</t>
        </is>
      </c>
      <c r="L500">
        <f>_xlfn.XLOOKUP(Tableau1[[#This Row],[TYPE DE PIECE]],Tableau4[MATIERE],Tableau4[SHORT TYPE],"",0,1)</f>
        <v/>
      </c>
      <c r="N500">
        <f>IF(ISERR(FIND("DECOUPE",Tableau1[[#This Row],[DESIGNATION]])),"","NEED REF")</f>
        <v/>
      </c>
    </row>
    <row r="501">
      <c r="B501" t="n">
        <v>34413501</v>
      </c>
      <c r="C501" s="2" t="n">
        <v>45684</v>
      </c>
      <c r="D501" t="inlineStr">
        <is>
          <t>SPEC</t>
        </is>
      </c>
      <c r="E501" t="inlineStr">
        <is>
          <t>PLA 34413501 BYPASS 350KW BRIDAGE RACC NS1600</t>
        </is>
      </c>
      <c r="H501" t="inlineStr">
        <is>
          <t>BYPASS</t>
        </is>
      </c>
      <c r="I501" t="inlineStr">
        <is>
          <t>350KW</t>
        </is>
      </c>
      <c r="J501" t="inlineStr">
        <is>
          <t>MATRION</t>
        </is>
      </c>
      <c r="K501" t="inlineStr">
        <is>
          <t>PLASTIQUE</t>
        </is>
      </c>
      <c r="L501">
        <f>_xlfn.XLOOKUP(Tableau1[[#This Row],[TYPE DE PIECE]],Tableau4[MATIERE],Tableau4[SHORT TYPE],"",0,1)</f>
        <v/>
      </c>
      <c r="N501">
        <f>IF(ISERR(FIND("DECOUPE",Tableau1[[#This Row],[DESIGNATION]])),"","NEED REF")</f>
        <v/>
      </c>
    </row>
    <row r="502">
      <c r="B502" t="n">
        <v>34413500</v>
      </c>
      <c r="C502" s="2" t="n">
        <v>45684</v>
      </c>
      <c r="D502" t="inlineStr">
        <is>
          <t>SPEC</t>
        </is>
      </c>
      <c r="E50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02" t="inlineStr">
        <is>
          <t>GVXL</t>
        </is>
      </c>
      <c r="H502" t="inlineStr">
        <is>
          <t>BACKFEED</t>
        </is>
      </c>
      <c r="J502" t="inlineStr">
        <is>
          <t>BESSIERE</t>
        </is>
      </c>
      <c r="L502">
        <f>_xlfn.XLOOKUP(Tableau1[[#This Row],[TYPE DE PIECE]],Tableau4[MATIERE],Tableau4[SHORT TYPE],"",0,1)</f>
        <v/>
      </c>
      <c r="N502">
        <f>IF(ISERR(FIND("DECOUPE",Tableau1[[#This Row],[DESIGNATION]])),"","NEED REF")</f>
        <v/>
      </c>
    </row>
    <row r="503">
      <c r="B503" t="n">
        <v>34413499</v>
      </c>
      <c r="C503" s="2" t="n">
        <v>45684</v>
      </c>
      <c r="D503" t="inlineStr">
        <is>
          <t>SPEC</t>
        </is>
      </c>
      <c r="E50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03" t="inlineStr">
        <is>
          <t>GVXL</t>
        </is>
      </c>
      <c r="H503" t="inlineStr">
        <is>
          <t>BACKFEED</t>
        </is>
      </c>
      <c r="J503" t="inlineStr">
        <is>
          <t>BESSIERE</t>
        </is>
      </c>
      <c r="L503">
        <f>_xlfn.XLOOKUP(Tableau1[[#This Row],[TYPE DE PIECE]],Tableau4[MATIERE],Tableau4[SHORT TYPE],"",0,1)</f>
        <v/>
      </c>
      <c r="N503">
        <f>IF(ISERR(FIND("DECOUPE",Tableau1[[#This Row],[DESIGNATION]])),"","NEED REF")</f>
        <v/>
      </c>
    </row>
    <row r="504">
      <c r="B504" t="n">
        <v>34413498</v>
      </c>
      <c r="C504" s="2" t="n">
        <v>45684</v>
      </c>
      <c r="D504" t="inlineStr">
        <is>
          <t>SPEC</t>
        </is>
      </c>
      <c r="E50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04" t="inlineStr">
        <is>
          <t>GVXL</t>
        </is>
      </c>
      <c r="H504" t="inlineStr">
        <is>
          <t>BACKFEED</t>
        </is>
      </c>
      <c r="J504" t="inlineStr">
        <is>
          <t>BESSIERE</t>
        </is>
      </c>
      <c r="L504">
        <f>_xlfn.XLOOKUP(Tableau1[[#This Row],[TYPE DE PIECE]],Tableau4[MATIERE],Tableau4[SHORT TYPE],"",0,1)</f>
        <v/>
      </c>
      <c r="N504">
        <f>IF(ISERR(FIND("DECOUPE",Tableau1[[#This Row],[DESIGNATION]])),"","NEED REF")</f>
        <v/>
      </c>
    </row>
    <row r="505">
      <c r="B505" t="n">
        <v>34413497</v>
      </c>
      <c r="C505" s="2" t="n">
        <v>45684</v>
      </c>
      <c r="D505" t="inlineStr">
        <is>
          <t>SPEC</t>
        </is>
      </c>
      <c r="E50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05" t="inlineStr">
        <is>
          <t>GVXL</t>
        </is>
      </c>
      <c r="H505" t="inlineStr">
        <is>
          <t>BACKFEED</t>
        </is>
      </c>
      <c r="J505" t="inlineStr">
        <is>
          <t>BESSIERE</t>
        </is>
      </c>
      <c r="L505">
        <f>_xlfn.XLOOKUP(Tableau1[[#This Row],[TYPE DE PIECE]],Tableau4[MATIERE],Tableau4[SHORT TYPE],"",0,1)</f>
        <v/>
      </c>
      <c r="N505">
        <f>IF(ISERR(FIND("DECOUPE",Tableau1[[#This Row],[DESIGNATION]])),"","NEED REF")</f>
        <v/>
      </c>
    </row>
    <row r="506">
      <c r="B506" t="n">
        <v>34413496</v>
      </c>
      <c r="C506" s="2" t="n">
        <v>45684</v>
      </c>
      <c r="D506" t="inlineStr">
        <is>
          <t>SPEC</t>
        </is>
      </c>
      <c r="E50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06" t="inlineStr">
        <is>
          <t>GVXL</t>
        </is>
      </c>
      <c r="H506" t="inlineStr">
        <is>
          <t>BACKFEED</t>
        </is>
      </c>
      <c r="J506" t="inlineStr">
        <is>
          <t>BESSIERE</t>
        </is>
      </c>
      <c r="L506">
        <f>_xlfn.XLOOKUP(Tableau1[[#This Row],[TYPE DE PIECE]],Tableau4[MATIERE],Tableau4[SHORT TYPE],"",0,1)</f>
        <v/>
      </c>
      <c r="N506">
        <f>IF(ISERR(FIND("DECOUPE",Tableau1[[#This Row],[DESIGNATION]])),"","NEED REF")</f>
        <v/>
      </c>
    </row>
    <row r="507">
      <c r="B507" t="n">
        <v>34413495</v>
      </c>
      <c r="C507" s="2" t="n">
        <v>45684</v>
      </c>
      <c r="D507" t="inlineStr">
        <is>
          <t>SPEC</t>
        </is>
      </c>
      <c r="E50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07" t="inlineStr">
        <is>
          <t>GVXL</t>
        </is>
      </c>
      <c r="H507" t="inlineStr">
        <is>
          <t>BACKFEED</t>
        </is>
      </c>
      <c r="J507" t="inlineStr">
        <is>
          <t>BESSIERE</t>
        </is>
      </c>
      <c r="L507">
        <f>_xlfn.XLOOKUP(Tableau1[[#This Row],[TYPE DE PIECE]],Tableau4[MATIERE],Tableau4[SHORT TYPE],"",0,1)</f>
        <v/>
      </c>
      <c r="N507">
        <f>IF(ISERR(FIND("DECOUPE",Tableau1[[#This Row],[DESIGNATION]])),"","NEED REF")</f>
        <v/>
      </c>
    </row>
    <row r="508">
      <c r="B508" t="n">
        <v>34413494</v>
      </c>
      <c r="C508" s="2" t="n">
        <v>45684</v>
      </c>
      <c r="D508" t="inlineStr">
        <is>
          <t>SPEC</t>
        </is>
      </c>
      <c r="E508" t="inlineStr">
        <is>
          <t>SIDE TRIANGLE SUPPORT BAR</t>
        </is>
      </c>
      <c r="G508" t="inlineStr">
        <is>
          <t>GVXL</t>
        </is>
      </c>
      <c r="H508" t="inlineStr">
        <is>
          <t>BACKFEED</t>
        </is>
      </c>
      <c r="J508" t="inlineStr">
        <is>
          <t>BESSIERE</t>
        </is>
      </c>
      <c r="L508">
        <f>_xlfn.XLOOKUP(Tableau1[[#This Row],[TYPE DE PIECE]],Tableau4[MATIERE],Tableau4[SHORT TYPE],"",0,1)</f>
        <v/>
      </c>
      <c r="N508">
        <f>IF(ISERR(FIND("DECOUPE",Tableau1[[#This Row],[DESIGNATION]])),"","NEED REF")</f>
        <v/>
      </c>
    </row>
    <row r="509">
      <c r="B509" t="n">
        <v>34413493</v>
      </c>
      <c r="C509" s="2" t="n">
        <v>45684</v>
      </c>
      <c r="D509" t="inlineStr">
        <is>
          <t>SPEC</t>
        </is>
      </c>
      <c r="E50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09" t="inlineStr">
        <is>
          <t>GVXL</t>
        </is>
      </c>
      <c r="H509" t="inlineStr">
        <is>
          <t>BACKFEED</t>
        </is>
      </c>
      <c r="J509" t="inlineStr">
        <is>
          <t>BESSIERE</t>
        </is>
      </c>
      <c r="L509">
        <f>_xlfn.XLOOKUP(Tableau1[[#This Row],[TYPE DE PIECE]],Tableau4[MATIERE],Tableau4[SHORT TYPE],"",0,1)</f>
        <v/>
      </c>
      <c r="N509">
        <f>IF(ISERR(FIND("DECOUPE",Tableau1[[#This Row],[DESIGNATION]])),"","NEED REF")</f>
        <v/>
      </c>
    </row>
    <row r="510">
      <c r="B510" t="n">
        <v>34413492</v>
      </c>
      <c r="C510" s="2" t="n">
        <v>45684</v>
      </c>
      <c r="D510" t="inlineStr">
        <is>
          <t>SPEC</t>
        </is>
      </c>
      <c r="E51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10" t="inlineStr">
        <is>
          <t>GVXL</t>
        </is>
      </c>
      <c r="H510" t="inlineStr">
        <is>
          <t>BACKFEED</t>
        </is>
      </c>
      <c r="J510" t="inlineStr">
        <is>
          <t>BESSIERE</t>
        </is>
      </c>
      <c r="L510">
        <f>_xlfn.XLOOKUP(Tableau1[[#This Row],[TYPE DE PIECE]],Tableau4[MATIERE],Tableau4[SHORT TYPE],"",0,1)</f>
        <v/>
      </c>
      <c r="N510">
        <f>IF(ISERR(FIND("DECOUPE",Tableau1[[#This Row],[DESIGNATION]])),"","NEED REF")</f>
        <v/>
      </c>
    </row>
    <row r="511">
      <c r="B511" t="n">
        <v>34413491</v>
      </c>
      <c r="C511" s="2" t="n">
        <v>45684</v>
      </c>
      <c r="D511" t="inlineStr">
        <is>
          <t>SPEC</t>
        </is>
      </c>
      <c r="E51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11" t="inlineStr">
        <is>
          <t>GVXL</t>
        </is>
      </c>
      <c r="H511" t="inlineStr">
        <is>
          <t>BACKFEED</t>
        </is>
      </c>
      <c r="J511" t="inlineStr">
        <is>
          <t>BESSIERE</t>
        </is>
      </c>
      <c r="L511">
        <f>_xlfn.XLOOKUP(Tableau1[[#This Row],[TYPE DE PIECE]],Tableau4[MATIERE],Tableau4[SHORT TYPE],"",0,1)</f>
        <v/>
      </c>
      <c r="N511">
        <f>IF(ISERR(FIND("DECOUPE",Tableau1[[#This Row],[DESIGNATION]])),"","NEED REF")</f>
        <v/>
      </c>
    </row>
    <row r="512">
      <c r="B512" t="n">
        <v>34413490</v>
      </c>
      <c r="C512" s="2" t="n">
        <v>45684</v>
      </c>
      <c r="D512" t="inlineStr">
        <is>
          <t>SPEC</t>
        </is>
      </c>
      <c r="E512" t="inlineStr">
        <is>
          <t>SMT 34413490 BYPASS 350KW MONTANT</t>
        </is>
      </c>
      <c r="H512" t="inlineStr">
        <is>
          <t>BYPASS</t>
        </is>
      </c>
      <c r="I512" t="inlineStr">
        <is>
          <t>350KW</t>
        </is>
      </c>
      <c r="J512" t="inlineStr">
        <is>
          <t>MATRION</t>
        </is>
      </c>
      <c r="K512" t="inlineStr">
        <is>
          <t>METAL</t>
        </is>
      </c>
      <c r="L512">
        <f>_xlfn.XLOOKUP(Tableau1[[#This Row],[TYPE DE PIECE]],Tableau4[MATIERE],Tableau4[SHORT TYPE],"",0,1)</f>
        <v/>
      </c>
      <c r="N512">
        <f>IF(ISERR(FIND("DECOUPE",Tableau1[[#This Row],[DESIGNATION]])),"","NEED REF")</f>
        <v/>
      </c>
    </row>
    <row r="513">
      <c r="B513" t="n">
        <v>34413489</v>
      </c>
      <c r="C513" s="2" t="n">
        <v>45681</v>
      </c>
      <c r="D513" t="inlineStr">
        <is>
          <t>SPEC</t>
        </is>
      </c>
      <c r="E513" t="inlineStr">
        <is>
          <t>PLATINE BYPASS</t>
        </is>
      </c>
      <c r="F513" t="inlineStr">
        <is>
          <t>QBED01600</t>
        </is>
      </c>
      <c r="G513" t="inlineStr">
        <is>
          <t>GVXL</t>
        </is>
      </c>
      <c r="H513" t="inlineStr">
        <is>
          <t>BACKFEED</t>
        </is>
      </c>
      <c r="I513" t="inlineStr">
        <is>
          <t>1600A</t>
        </is>
      </c>
      <c r="J513" t="inlineStr">
        <is>
          <t>BESSIERE</t>
        </is>
      </c>
      <c r="K513" t="inlineStr">
        <is>
          <t>METAL</t>
        </is>
      </c>
      <c r="L513">
        <f>_xlfn.XLOOKUP(Tableau1[[#This Row],[TYPE DE PIECE]],Tableau4[MATIERE],Tableau4[SHORT TYPE],"",0,1)</f>
        <v/>
      </c>
      <c r="N513">
        <f>IF(ISERR(FIND("DECOUPE",Tableau1[[#This Row],[DESIGNATION]])),"","NEED REF")</f>
        <v/>
      </c>
    </row>
    <row r="514">
      <c r="B514" t="n">
        <v>34413488</v>
      </c>
      <c r="C514" s="2" t="n">
        <v>45681</v>
      </c>
      <c r="D514" t="inlineStr">
        <is>
          <t>SPEC</t>
        </is>
      </c>
      <c r="E514" t="inlineStr">
        <is>
          <t>COP BARRE CUIVRE RACCORDEMENT PE</t>
        </is>
      </c>
      <c r="F514" t="inlineStr">
        <is>
          <t>QNDC31250</t>
        </is>
      </c>
      <c r="G514" t="inlineStr">
        <is>
          <t>GVXL</t>
        </is>
      </c>
      <c r="H514" t="inlineStr">
        <is>
          <t>BYPASS</t>
        </is>
      </c>
      <c r="J514" t="inlineStr">
        <is>
          <t>BERNARDEAU</t>
        </is>
      </c>
      <c r="K514" t="inlineStr">
        <is>
          <t>CUIVRE</t>
        </is>
      </c>
      <c r="L514">
        <f>_xlfn.XLOOKUP(Tableau1[[#This Row],[TYPE DE PIECE]],Tableau4[MATIERE],Tableau4[SHORT TYPE],"",0,1)</f>
        <v/>
      </c>
      <c r="N514">
        <f>IF(ISERR(FIND("DECOUPE",Tableau1[[#This Row],[DESIGNATION]])),"","NEED REF")</f>
        <v/>
      </c>
    </row>
    <row r="515">
      <c r="B515" t="n">
        <v>34413487</v>
      </c>
      <c r="C515" s="2" t="n">
        <v>45680</v>
      </c>
      <c r="D515" t="inlineStr">
        <is>
          <t>SPEC</t>
        </is>
      </c>
      <c r="E51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15" t="inlineStr">
        <is>
          <t>QBED01600</t>
        </is>
      </c>
      <c r="G515" t="inlineStr">
        <is>
          <t>GVXL</t>
        </is>
      </c>
      <c r="H515" t="inlineStr">
        <is>
          <t>BACKFEED</t>
        </is>
      </c>
      <c r="I515" t="inlineStr">
        <is>
          <t>1600A</t>
        </is>
      </c>
      <c r="J515" t="inlineStr">
        <is>
          <t>BESSIERE</t>
        </is>
      </c>
      <c r="K515" t="inlineStr">
        <is>
          <t>CUIVRE</t>
        </is>
      </c>
      <c r="L515">
        <f>_xlfn.XLOOKUP(Tableau1[[#This Row],[TYPE DE PIECE]],Tableau4[MATIERE],Tableau4[SHORT TYPE],"",0,1)</f>
        <v/>
      </c>
      <c r="N515">
        <f>IF(ISERR(FIND("DECOUPE",Tableau1[[#This Row],[DESIGNATION]])),"","NEED REF")</f>
        <v/>
      </c>
    </row>
    <row r="516">
      <c r="B516" t="n">
        <v>34413486</v>
      </c>
      <c r="C516" s="2" t="n">
        <v>45680</v>
      </c>
      <c r="D516" t="inlineStr">
        <is>
          <t>SPEC</t>
        </is>
      </c>
      <c r="E51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16" t="inlineStr">
        <is>
          <t>QBED01600</t>
        </is>
      </c>
      <c r="G516" t="inlineStr">
        <is>
          <t>GVXL</t>
        </is>
      </c>
      <c r="H516" t="inlineStr">
        <is>
          <t>BACKFEED</t>
        </is>
      </c>
      <c r="I516" t="inlineStr">
        <is>
          <t>1600A</t>
        </is>
      </c>
      <c r="J516" t="inlineStr">
        <is>
          <t>BESSIERE</t>
        </is>
      </c>
      <c r="K516" t="inlineStr">
        <is>
          <t>CUIVRE</t>
        </is>
      </c>
      <c r="L516">
        <f>_xlfn.XLOOKUP(Tableau1[[#This Row],[TYPE DE PIECE]],Tableau4[MATIERE],Tableau4[SHORT TYPE],"",0,1)</f>
        <v/>
      </c>
      <c r="N516">
        <f>IF(ISERR(FIND("DECOUPE",Tableau1[[#This Row],[DESIGNATION]])),"","NEED REF")</f>
        <v/>
      </c>
    </row>
    <row r="517">
      <c r="B517" t="n">
        <v>34413485</v>
      </c>
      <c r="C517" s="2" t="n">
        <v>45680</v>
      </c>
      <c r="D517" t="inlineStr">
        <is>
          <t>SPEC</t>
        </is>
      </c>
      <c r="E51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17" t="inlineStr">
        <is>
          <t>QBED01600</t>
        </is>
      </c>
      <c r="G517" t="inlineStr">
        <is>
          <t>GVXL</t>
        </is>
      </c>
      <c r="H517" t="inlineStr">
        <is>
          <t>BACKFEED</t>
        </is>
      </c>
      <c r="I517" t="inlineStr">
        <is>
          <t>1600A</t>
        </is>
      </c>
      <c r="J517" t="inlineStr">
        <is>
          <t>BESSIERE</t>
        </is>
      </c>
      <c r="K517" t="inlineStr">
        <is>
          <t>CUIVRE</t>
        </is>
      </c>
      <c r="L517">
        <f>_xlfn.XLOOKUP(Tableau1[[#This Row],[TYPE DE PIECE]],Tableau4[MATIERE],Tableau4[SHORT TYPE],"",0,1)</f>
        <v/>
      </c>
      <c r="N517">
        <f>IF(ISERR(FIND("DECOUPE",Tableau1[[#This Row],[DESIGNATION]])),"","NEED REF")</f>
        <v/>
      </c>
    </row>
    <row r="518">
      <c r="B518" t="n">
        <v>34413484</v>
      </c>
      <c r="C518" s="2" t="n">
        <v>45680</v>
      </c>
      <c r="D518" t="inlineStr">
        <is>
          <t>SPEC</t>
        </is>
      </c>
      <c r="E51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18" t="inlineStr">
        <is>
          <t>QBED01600</t>
        </is>
      </c>
      <c r="G518" t="inlineStr">
        <is>
          <t>GVXL</t>
        </is>
      </c>
      <c r="H518" t="inlineStr">
        <is>
          <t>BACKFEED</t>
        </is>
      </c>
      <c r="I518" t="inlineStr">
        <is>
          <t>1600A</t>
        </is>
      </c>
      <c r="J518" t="inlineStr">
        <is>
          <t>BESSIERE</t>
        </is>
      </c>
      <c r="K518" t="inlineStr">
        <is>
          <t>CUIVRE</t>
        </is>
      </c>
      <c r="L518">
        <f>_xlfn.XLOOKUP(Tableau1[[#This Row],[TYPE DE PIECE]],Tableau4[MATIERE],Tableau4[SHORT TYPE],"",0,1)</f>
        <v/>
      </c>
      <c r="N518">
        <f>IF(ISERR(FIND("DECOUPE",Tableau1[[#This Row],[DESIGNATION]])),"","NEED REF")</f>
        <v/>
      </c>
    </row>
    <row r="519">
      <c r="B519" t="n">
        <v>34413483</v>
      </c>
      <c r="C519" s="2" t="n">
        <v>45680</v>
      </c>
      <c r="D519" t="inlineStr">
        <is>
          <t>SPEC</t>
        </is>
      </c>
      <c r="E51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19" t="inlineStr">
        <is>
          <t>QBED01600</t>
        </is>
      </c>
      <c r="G519" t="inlineStr">
        <is>
          <t>GVXL</t>
        </is>
      </c>
      <c r="H519" t="inlineStr">
        <is>
          <t>BACKFEED</t>
        </is>
      </c>
      <c r="I519" t="inlineStr">
        <is>
          <t>1600A</t>
        </is>
      </c>
      <c r="J519" t="inlineStr">
        <is>
          <t>BESSIERE</t>
        </is>
      </c>
      <c r="K519" t="inlineStr">
        <is>
          <t>CUIVRE</t>
        </is>
      </c>
      <c r="L519">
        <f>_xlfn.XLOOKUP(Tableau1[[#This Row],[TYPE DE PIECE]],Tableau4[MATIERE],Tableau4[SHORT TYPE],"",0,1)</f>
        <v/>
      </c>
      <c r="N519">
        <f>IF(ISERR(FIND("DECOUPE",Tableau1[[#This Row],[DESIGNATION]])),"","NEED REF")</f>
        <v/>
      </c>
    </row>
    <row r="520">
      <c r="B520" t="n">
        <v>34413482</v>
      </c>
      <c r="C520" s="2" t="n">
        <v>45680</v>
      </c>
      <c r="D520" t="inlineStr">
        <is>
          <t>SPEC</t>
        </is>
      </c>
      <c r="E52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20" t="inlineStr">
        <is>
          <t>QBED01600</t>
        </is>
      </c>
      <c r="G520" t="inlineStr">
        <is>
          <t>GVXL</t>
        </is>
      </c>
      <c r="H520" t="inlineStr">
        <is>
          <t>BACKFEED</t>
        </is>
      </c>
      <c r="I520" t="inlineStr">
        <is>
          <t>1600A</t>
        </is>
      </c>
      <c r="J520" t="inlineStr">
        <is>
          <t>BESSIERE</t>
        </is>
      </c>
      <c r="K520" t="inlineStr">
        <is>
          <t>CUIVRE</t>
        </is>
      </c>
      <c r="L520">
        <f>_xlfn.XLOOKUP(Tableau1[[#This Row],[TYPE DE PIECE]],Tableau4[MATIERE],Tableau4[SHORT TYPE],"",0,1)</f>
        <v/>
      </c>
      <c r="N520">
        <f>IF(ISERR(FIND("DECOUPE",Tableau1[[#This Row],[DESIGNATION]])),"","NEED REF")</f>
        <v/>
      </c>
    </row>
    <row r="521">
      <c r="B521" t="n">
        <v>34413481</v>
      </c>
      <c r="C521" s="2" t="n">
        <v>45680</v>
      </c>
      <c r="D521" t="inlineStr">
        <is>
          <t>SPEC</t>
        </is>
      </c>
      <c r="E52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21" t="inlineStr">
        <is>
          <t>QBED01600</t>
        </is>
      </c>
      <c r="G521" t="inlineStr">
        <is>
          <t>GVXL</t>
        </is>
      </c>
      <c r="H521" t="inlineStr">
        <is>
          <t>BACKFEED</t>
        </is>
      </c>
      <c r="I521" t="inlineStr">
        <is>
          <t>1600A</t>
        </is>
      </c>
      <c r="J521" t="inlineStr">
        <is>
          <t>BESSIERE</t>
        </is>
      </c>
      <c r="K521" t="inlineStr">
        <is>
          <t>CUIVRE</t>
        </is>
      </c>
      <c r="L521">
        <f>_xlfn.XLOOKUP(Tableau1[[#This Row],[TYPE DE PIECE]],Tableau4[MATIERE],Tableau4[SHORT TYPE],"",0,1)</f>
        <v/>
      </c>
      <c r="N521">
        <f>IF(ISERR(FIND("DECOUPE",Tableau1[[#This Row],[DESIGNATION]])),"","NEED REF")</f>
        <v/>
      </c>
    </row>
    <row r="522">
      <c r="B522" t="n">
        <v>34413480</v>
      </c>
      <c r="C522" s="2" t="n">
        <v>45680</v>
      </c>
      <c r="D522" t="inlineStr">
        <is>
          <t>SPEC</t>
        </is>
      </c>
      <c r="E52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22" t="inlineStr">
        <is>
          <t>QBED01600</t>
        </is>
      </c>
      <c r="G522" t="inlineStr">
        <is>
          <t>GVXL</t>
        </is>
      </c>
      <c r="H522" t="inlineStr">
        <is>
          <t>BACKFEED</t>
        </is>
      </c>
      <c r="I522" t="inlineStr">
        <is>
          <t>1600A</t>
        </is>
      </c>
      <c r="J522" t="inlineStr">
        <is>
          <t>BESSIERE</t>
        </is>
      </c>
      <c r="K522" t="inlineStr">
        <is>
          <t>CUIVRE</t>
        </is>
      </c>
      <c r="L522">
        <f>_xlfn.XLOOKUP(Tableau1[[#This Row],[TYPE DE PIECE]],Tableau4[MATIERE],Tableau4[SHORT TYPE],"",0,1)</f>
        <v/>
      </c>
      <c r="N522">
        <f>IF(ISERR(FIND("DECOUPE",Tableau1[[#This Row],[DESIGNATION]])),"","NEED REF")</f>
        <v/>
      </c>
    </row>
    <row r="523">
      <c r="B523" t="n">
        <v>34413479</v>
      </c>
      <c r="C523" s="2" t="n">
        <v>45680</v>
      </c>
      <c r="D523" t="inlineStr">
        <is>
          <t>SPEC</t>
        </is>
      </c>
      <c r="E52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23" t="inlineStr">
        <is>
          <t>QBED01600</t>
        </is>
      </c>
      <c r="G523" t="inlineStr">
        <is>
          <t>GVXL</t>
        </is>
      </c>
      <c r="H523" t="inlineStr">
        <is>
          <t>BACKFEED</t>
        </is>
      </c>
      <c r="I523" t="inlineStr">
        <is>
          <t>1600A</t>
        </is>
      </c>
      <c r="J523" t="inlineStr">
        <is>
          <t>BESSIERE</t>
        </is>
      </c>
      <c r="K523" t="inlineStr">
        <is>
          <t>CUIVRE</t>
        </is>
      </c>
      <c r="L523">
        <f>_xlfn.XLOOKUP(Tableau1[[#This Row],[TYPE DE PIECE]],Tableau4[MATIERE],Tableau4[SHORT TYPE],"",0,1)</f>
        <v/>
      </c>
      <c r="N523">
        <f>IF(ISERR(FIND("DECOUPE",Tableau1[[#This Row],[DESIGNATION]])),"","NEED REF")</f>
        <v/>
      </c>
    </row>
    <row r="524">
      <c r="B524" t="n">
        <v>34413478</v>
      </c>
      <c r="C524" s="2" t="n">
        <v>45680</v>
      </c>
      <c r="D524" t="inlineStr">
        <is>
          <t>SPEC</t>
        </is>
      </c>
      <c r="E52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24" t="inlineStr">
        <is>
          <t>QBED01600</t>
        </is>
      </c>
      <c r="G524" t="inlineStr">
        <is>
          <t>GVXL</t>
        </is>
      </c>
      <c r="H524" t="inlineStr">
        <is>
          <t>BACKFEED</t>
        </is>
      </c>
      <c r="I524" t="inlineStr">
        <is>
          <t>1600A</t>
        </is>
      </c>
      <c r="J524" t="inlineStr">
        <is>
          <t>BESSIERE</t>
        </is>
      </c>
      <c r="K524" t="inlineStr">
        <is>
          <t>CUIVRE</t>
        </is>
      </c>
      <c r="L524">
        <f>_xlfn.XLOOKUP(Tableau1[[#This Row],[TYPE DE PIECE]],Tableau4[MATIERE],Tableau4[SHORT TYPE],"",0,1)</f>
        <v/>
      </c>
      <c r="N524">
        <f>IF(ISERR(FIND("DECOUPE",Tableau1[[#This Row],[DESIGNATION]])),"","NEED REF")</f>
        <v/>
      </c>
    </row>
    <row r="525">
      <c r="B525" t="n">
        <v>34413477</v>
      </c>
      <c r="C525" s="2" t="n">
        <v>45680</v>
      </c>
      <c r="D525" t="inlineStr">
        <is>
          <t>SPEC</t>
        </is>
      </c>
      <c r="E52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25" t="inlineStr">
        <is>
          <t>QBED01600</t>
        </is>
      </c>
      <c r="G525" t="inlineStr">
        <is>
          <t>GVXL</t>
        </is>
      </c>
      <c r="H525" t="inlineStr">
        <is>
          <t>BACKFEED</t>
        </is>
      </c>
      <c r="I525" t="inlineStr">
        <is>
          <t>1600A</t>
        </is>
      </c>
      <c r="J525" t="inlineStr">
        <is>
          <t>BESSIERE</t>
        </is>
      </c>
      <c r="K525" t="inlineStr">
        <is>
          <t>CUIVRE</t>
        </is>
      </c>
      <c r="L525">
        <f>_xlfn.XLOOKUP(Tableau1[[#This Row],[TYPE DE PIECE]],Tableau4[MATIERE],Tableau4[SHORT TYPE],"",0,1)</f>
        <v/>
      </c>
      <c r="N525">
        <f>IF(ISERR(FIND("DECOUPE",Tableau1[[#This Row],[DESIGNATION]])),"","NEED REF")</f>
        <v/>
      </c>
    </row>
    <row r="526">
      <c r="B526" t="n">
        <v>34413476</v>
      </c>
      <c r="C526" s="2" t="n">
        <v>45680</v>
      </c>
      <c r="D526" t="inlineStr">
        <is>
          <t>SPEC</t>
        </is>
      </c>
      <c r="E526" t="inlineStr">
        <is>
          <t>SMT 34412545 TOIT GLAVA 700x800 VENTILE</t>
        </is>
      </c>
      <c r="J526" t="inlineStr">
        <is>
          <t>BERNARDEAU</t>
        </is>
      </c>
      <c r="K526" t="inlineStr">
        <is>
          <t>METAL</t>
        </is>
      </c>
      <c r="L526">
        <f>_xlfn.XLOOKUP(Tableau1[[#This Row],[TYPE DE PIECE]],Tableau4[MATIERE],Tableau4[SHORT TYPE],"",0,1)</f>
        <v/>
      </c>
      <c r="N526">
        <f>IF(ISERR(FIND("DECOUPE",Tableau1[[#This Row],[DESIGNATION]])),"","NEED REF")</f>
        <v/>
      </c>
    </row>
    <row r="527">
      <c r="B527" t="n">
        <v>34413475</v>
      </c>
      <c r="C527" s="2" t="n">
        <v>45680</v>
      </c>
      <c r="D527" t="inlineStr">
        <is>
          <t>SPEC</t>
        </is>
      </c>
      <c r="E527" t="inlineStr">
        <is>
          <t>SMT 34413475 BYPASS 350KW PLASTRON PLEIN HAUT</t>
        </is>
      </c>
      <c r="H527" t="inlineStr">
        <is>
          <t>BYPASS</t>
        </is>
      </c>
      <c r="I527" t="inlineStr">
        <is>
          <t>350KW</t>
        </is>
      </c>
      <c r="J527" t="inlineStr">
        <is>
          <t>MATRION</t>
        </is>
      </c>
      <c r="K527" t="inlineStr">
        <is>
          <t>METAL</t>
        </is>
      </c>
      <c r="L527">
        <f>_xlfn.XLOOKUP(Tableau1[[#This Row],[TYPE DE PIECE]],Tableau4[MATIERE],Tableau4[SHORT TYPE],"",0,1)</f>
        <v/>
      </c>
      <c r="N527">
        <f>IF(ISERR(FIND("DECOUPE",Tableau1[[#This Row],[DESIGNATION]])),"","NEED REF")</f>
        <v/>
      </c>
    </row>
    <row r="528">
      <c r="B528" t="n">
        <v>34413474</v>
      </c>
      <c r="C528" s="2" t="n">
        <v>45680</v>
      </c>
      <c r="D528" t="inlineStr">
        <is>
          <t>SPEC</t>
        </is>
      </c>
      <c r="E528" t="inlineStr">
        <is>
          <t>SMT 34413474 BYPASS 350KW MONTANT</t>
        </is>
      </c>
      <c r="H528" t="inlineStr">
        <is>
          <t>BYPASS</t>
        </is>
      </c>
      <c r="I528" t="inlineStr">
        <is>
          <t>350KW</t>
        </is>
      </c>
      <c r="J528" t="inlineStr">
        <is>
          <t>MATRION</t>
        </is>
      </c>
      <c r="K528" t="inlineStr">
        <is>
          <t>METAL</t>
        </is>
      </c>
      <c r="L528">
        <f>_xlfn.XLOOKUP(Tableau1[[#This Row],[TYPE DE PIECE]],Tableau4[MATIERE],Tableau4[SHORT TYPE],"",0,1)</f>
        <v/>
      </c>
      <c r="N528">
        <f>IF(ISERR(FIND("DECOUPE",Tableau1[[#This Row],[DESIGNATION]])),"","NEED REF")</f>
        <v/>
      </c>
    </row>
    <row r="529">
      <c r="B529" t="n">
        <v>34413473</v>
      </c>
      <c r="C529" s="2" t="n">
        <v>45680</v>
      </c>
      <c r="D529" t="inlineStr">
        <is>
          <t>SPEC</t>
        </is>
      </c>
      <c r="E529" t="inlineStr">
        <is>
          <t>SMT 34413473 BYPASS 350KW PLASTRON NS1600</t>
        </is>
      </c>
      <c r="H529" t="inlineStr">
        <is>
          <t>BYPASS</t>
        </is>
      </c>
      <c r="I529" t="inlineStr">
        <is>
          <t>350KW</t>
        </is>
      </c>
      <c r="J529" t="inlineStr">
        <is>
          <t>MATRION</t>
        </is>
      </c>
      <c r="K529" t="inlineStr">
        <is>
          <t>METAL</t>
        </is>
      </c>
      <c r="L529">
        <f>_xlfn.XLOOKUP(Tableau1[[#This Row],[TYPE DE PIECE]],Tableau4[MATIERE],Tableau4[SHORT TYPE],"",0,1)</f>
        <v/>
      </c>
      <c r="N529">
        <f>IF(ISERR(FIND("DECOUPE",Tableau1[[#This Row],[DESIGNATION]])),"","NEED REF")</f>
        <v/>
      </c>
    </row>
    <row r="530">
      <c r="B530" t="n">
        <v>34413472</v>
      </c>
      <c r="C530" s="2" t="n">
        <v>45680</v>
      </c>
      <c r="D530" t="inlineStr">
        <is>
          <t>SPEC</t>
        </is>
      </c>
      <c r="E530" t="inlineStr">
        <is>
          <t>SMT 34413472 BYPASS 350KW SUPPORT NS1600</t>
        </is>
      </c>
      <c r="H530" t="inlineStr">
        <is>
          <t>BYPASS</t>
        </is>
      </c>
      <c r="I530" t="inlineStr">
        <is>
          <t>350KW</t>
        </is>
      </c>
      <c r="J530" t="inlineStr">
        <is>
          <t>MATRION</t>
        </is>
      </c>
      <c r="K530" t="inlineStr">
        <is>
          <t>METAL</t>
        </is>
      </c>
      <c r="L530">
        <f>_xlfn.XLOOKUP(Tableau1[[#This Row],[TYPE DE PIECE]],Tableau4[MATIERE],Tableau4[SHORT TYPE],"",0,1)</f>
        <v/>
      </c>
      <c r="N530">
        <f>IF(ISERR(FIND("DECOUPE",Tableau1[[#This Row],[DESIGNATION]])),"","NEED REF")</f>
        <v/>
      </c>
    </row>
    <row r="531">
      <c r="B531" t="n">
        <v>34413471</v>
      </c>
      <c r="C531" s="2" t="n">
        <v>45680</v>
      </c>
      <c r="D531" t="inlineStr">
        <is>
          <t>SPEC</t>
        </is>
      </c>
      <c r="E531" t="inlineStr">
        <is>
          <t>SMT 34413471 BYPASS 350KW CX CLIENT SOURCE</t>
        </is>
      </c>
      <c r="H531" t="inlineStr">
        <is>
          <t>BYPASS</t>
        </is>
      </c>
      <c r="I531" t="inlineStr">
        <is>
          <t>350KW</t>
        </is>
      </c>
      <c r="J531" t="inlineStr">
        <is>
          <t>MATRION</t>
        </is>
      </c>
      <c r="K531" t="inlineStr">
        <is>
          <t>METAL</t>
        </is>
      </c>
      <c r="L531">
        <f>_xlfn.XLOOKUP(Tableau1[[#This Row],[TYPE DE PIECE]],Tableau4[MATIERE],Tableau4[SHORT TYPE],"",0,1)</f>
        <v/>
      </c>
      <c r="N531">
        <f>IF(ISERR(FIND("DECOUPE",Tableau1[[#This Row],[DESIGNATION]])),"","NEED REF")</f>
        <v/>
      </c>
    </row>
    <row r="532">
      <c r="B532" t="n">
        <v>34413470</v>
      </c>
      <c r="C532" s="2" t="n">
        <v>45680</v>
      </c>
      <c r="D532" t="inlineStr">
        <is>
          <t>SPEC</t>
        </is>
      </c>
      <c r="E532" t="inlineStr">
        <is>
          <t>SMT 34413470 BYPASS 350KW PLASTRON 2xNSX630</t>
        </is>
      </c>
      <c r="H532" t="inlineStr">
        <is>
          <t>BYPASS</t>
        </is>
      </c>
      <c r="I532" t="inlineStr">
        <is>
          <t>350KW</t>
        </is>
      </c>
      <c r="J532" t="inlineStr">
        <is>
          <t>MATRION</t>
        </is>
      </c>
      <c r="K532" t="inlineStr">
        <is>
          <t>METAL</t>
        </is>
      </c>
      <c r="L532">
        <f>_xlfn.XLOOKUP(Tableau1[[#This Row],[TYPE DE PIECE]],Tableau4[MATIERE],Tableau4[SHORT TYPE],"",0,1)</f>
        <v/>
      </c>
      <c r="N532">
        <f>IF(ISERR(FIND("DECOUPE",Tableau1[[#This Row],[DESIGNATION]])),"","NEED REF")</f>
        <v/>
      </c>
    </row>
    <row r="533">
      <c r="B533" t="n">
        <v>34413469</v>
      </c>
      <c r="C533" s="2" t="n">
        <v>45680</v>
      </c>
      <c r="D533" t="inlineStr">
        <is>
          <t>SPEC</t>
        </is>
      </c>
      <c r="E533" t="inlineStr">
        <is>
          <t>SMT 34413469 BYPASS 350KW PLASTRON 3xNSX630</t>
        </is>
      </c>
      <c r="H533" t="inlineStr">
        <is>
          <t>BYPASS</t>
        </is>
      </c>
      <c r="I533" t="inlineStr">
        <is>
          <t>350KW</t>
        </is>
      </c>
      <c r="J533" t="inlineStr">
        <is>
          <t>MATRION</t>
        </is>
      </c>
      <c r="K533" t="inlineStr">
        <is>
          <t>METAL</t>
        </is>
      </c>
      <c r="L533">
        <f>_xlfn.XLOOKUP(Tableau1[[#This Row],[TYPE DE PIECE]],Tableau4[MATIERE],Tableau4[SHORT TYPE],"",0,1)</f>
        <v/>
      </c>
      <c r="N533">
        <f>IF(ISERR(FIND("DECOUPE",Tableau1[[#This Row],[DESIGNATION]])),"","NEED REF")</f>
        <v/>
      </c>
    </row>
    <row r="534">
      <c r="B534" t="n">
        <v>34413468</v>
      </c>
      <c r="C534" s="2" t="n">
        <v>45680</v>
      </c>
      <c r="D534" t="inlineStr">
        <is>
          <t>SPEC</t>
        </is>
      </c>
      <c r="E534" t="inlineStr">
        <is>
          <t>SMT 34413468 BYPASS 350KW SUPPORT SE 04662</t>
        </is>
      </c>
      <c r="H534" t="inlineStr">
        <is>
          <t>BYPASS</t>
        </is>
      </c>
      <c r="I534" t="inlineStr">
        <is>
          <t>350KW</t>
        </is>
      </c>
      <c r="J534" t="inlineStr">
        <is>
          <t>MATRION</t>
        </is>
      </c>
      <c r="K534" t="inlineStr">
        <is>
          <t>METAL</t>
        </is>
      </c>
      <c r="L534">
        <f>_xlfn.XLOOKUP(Tableau1[[#This Row],[TYPE DE PIECE]],Tableau4[MATIERE],Tableau4[SHORT TYPE],"",0,1)</f>
        <v/>
      </c>
      <c r="N534">
        <f>IF(ISERR(FIND("DECOUPE",Tableau1[[#This Row],[DESIGNATION]])),"","NEED REF")</f>
        <v/>
      </c>
    </row>
    <row r="535">
      <c r="B535" t="n">
        <v>34413467</v>
      </c>
      <c r="C535" s="2" t="n">
        <v>45680</v>
      </c>
      <c r="D535" t="inlineStr">
        <is>
          <t>SPEC</t>
        </is>
      </c>
      <c r="E535" t="inlineStr">
        <is>
          <t>SMT 34413467 BYPASS 350KW SUPPORT SE 04662</t>
        </is>
      </c>
      <c r="H535" t="inlineStr">
        <is>
          <t>BYPASS</t>
        </is>
      </c>
      <c r="I535" t="inlineStr">
        <is>
          <t>350KW</t>
        </is>
      </c>
      <c r="J535" t="inlineStr">
        <is>
          <t>MATRION</t>
        </is>
      </c>
      <c r="K535" t="inlineStr">
        <is>
          <t>METAL</t>
        </is>
      </c>
      <c r="L535">
        <f>_xlfn.XLOOKUP(Tableau1[[#This Row],[TYPE DE PIECE]],Tableau4[MATIERE],Tableau4[SHORT TYPE],"",0,1)</f>
        <v/>
      </c>
      <c r="N535">
        <f>IF(ISERR(FIND("DECOUPE",Tableau1[[#This Row],[DESIGNATION]])),"","NEED REF")</f>
        <v/>
      </c>
    </row>
    <row r="536">
      <c r="B536" t="n">
        <v>34413466</v>
      </c>
      <c r="C536" s="2" t="n">
        <v>45680</v>
      </c>
      <c r="D536" t="inlineStr">
        <is>
          <t>SPEC</t>
        </is>
      </c>
      <c r="E536" t="inlineStr">
        <is>
          <t>SMT 34413466 BYPASS 350KW SUPPORT 3xNSX630</t>
        </is>
      </c>
      <c r="H536" t="inlineStr">
        <is>
          <t>BYPASS</t>
        </is>
      </c>
      <c r="I536" t="inlineStr">
        <is>
          <t>350KW</t>
        </is>
      </c>
      <c r="J536" t="inlineStr">
        <is>
          <t>MATRION</t>
        </is>
      </c>
      <c r="K536" t="inlineStr">
        <is>
          <t>METAL</t>
        </is>
      </c>
      <c r="L536">
        <f>_xlfn.XLOOKUP(Tableau1[[#This Row],[TYPE DE PIECE]],Tableau4[MATIERE],Tableau4[SHORT TYPE],"",0,1)</f>
        <v/>
      </c>
      <c r="N536">
        <f>IF(ISERR(FIND("DECOUPE",Tableau1[[#This Row],[DESIGNATION]])),"","NEED REF")</f>
        <v/>
      </c>
    </row>
    <row r="537">
      <c r="B537" t="n">
        <v>34413465</v>
      </c>
      <c r="C537" s="2" t="n">
        <v>45679</v>
      </c>
      <c r="D537" t="inlineStr">
        <is>
          <t>SPEC</t>
        </is>
      </c>
      <c r="E53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37" t="inlineStr">
        <is>
          <t>QBED01600</t>
        </is>
      </c>
      <c r="G537" t="inlineStr">
        <is>
          <t>GVXL</t>
        </is>
      </c>
      <c r="H537" t="inlineStr">
        <is>
          <t>BACKFEED</t>
        </is>
      </c>
      <c r="I537" t="inlineStr">
        <is>
          <t>1600A</t>
        </is>
      </c>
      <c r="J537" t="inlineStr">
        <is>
          <t>BESSIERE</t>
        </is>
      </c>
      <c r="K537" t="inlineStr">
        <is>
          <t>CUIVRE</t>
        </is>
      </c>
      <c r="L537">
        <f>_xlfn.XLOOKUP(Tableau1[[#This Row],[TYPE DE PIECE]],Tableau4[MATIERE],Tableau4[SHORT TYPE],"",0,1)</f>
        <v/>
      </c>
      <c r="N537">
        <f>IF(ISERR(FIND("DECOUPE",Tableau1[[#This Row],[DESIGNATION]])),"","NEED REF")</f>
        <v/>
      </c>
    </row>
    <row r="538">
      <c r="B538" t="n">
        <v>34413464</v>
      </c>
      <c r="C538" s="2" t="n">
        <v>45679</v>
      </c>
      <c r="D538" t="inlineStr">
        <is>
          <t>SPEC</t>
        </is>
      </c>
      <c r="E53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38" t="inlineStr">
        <is>
          <t>QBED01600</t>
        </is>
      </c>
      <c r="G538" t="inlineStr">
        <is>
          <t>GVXL</t>
        </is>
      </c>
      <c r="H538" t="inlineStr">
        <is>
          <t>BACKFEED</t>
        </is>
      </c>
      <c r="I538" t="inlineStr">
        <is>
          <t>1600A</t>
        </is>
      </c>
      <c r="J538" t="inlineStr">
        <is>
          <t>BESSIERE</t>
        </is>
      </c>
      <c r="K538" t="inlineStr">
        <is>
          <t>CUIVRE</t>
        </is>
      </c>
      <c r="L538">
        <f>_xlfn.XLOOKUP(Tableau1[[#This Row],[TYPE DE PIECE]],Tableau4[MATIERE],Tableau4[SHORT TYPE],"",0,1)</f>
        <v/>
      </c>
      <c r="N538">
        <f>IF(ISERR(FIND("DECOUPE",Tableau1[[#This Row],[DESIGNATION]])),"","NEED REF")</f>
        <v/>
      </c>
    </row>
    <row r="539">
      <c r="B539" t="n">
        <v>34413463</v>
      </c>
      <c r="C539" s="2" t="n">
        <v>45679</v>
      </c>
      <c r="D539" t="inlineStr">
        <is>
          <t>SPEC</t>
        </is>
      </c>
      <c r="E53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39" t="inlineStr">
        <is>
          <t>QBED01600</t>
        </is>
      </c>
      <c r="G539" t="inlineStr">
        <is>
          <t>GVXL</t>
        </is>
      </c>
      <c r="H539" t="inlineStr">
        <is>
          <t>BACKFEED</t>
        </is>
      </c>
      <c r="I539" t="inlineStr">
        <is>
          <t>1600A</t>
        </is>
      </c>
      <c r="J539" t="inlineStr">
        <is>
          <t>BESSIERE</t>
        </is>
      </c>
      <c r="K539" t="inlineStr">
        <is>
          <t>CUIVRE</t>
        </is>
      </c>
      <c r="L539">
        <f>_xlfn.XLOOKUP(Tableau1[[#This Row],[TYPE DE PIECE]],Tableau4[MATIERE],Tableau4[SHORT TYPE],"",0,1)</f>
        <v/>
      </c>
      <c r="N539">
        <f>IF(ISERR(FIND("DECOUPE",Tableau1[[#This Row],[DESIGNATION]])),"","NEED REF")</f>
        <v/>
      </c>
    </row>
    <row r="540">
      <c r="B540" t="n">
        <v>34413462</v>
      </c>
      <c r="C540" s="2" t="n">
        <v>45679</v>
      </c>
      <c r="D540" t="inlineStr">
        <is>
          <t>SPEC</t>
        </is>
      </c>
      <c r="E54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40" t="inlineStr">
        <is>
          <t>QBED01600</t>
        </is>
      </c>
      <c r="G540" t="inlineStr">
        <is>
          <t>GVXL</t>
        </is>
      </c>
      <c r="H540" t="inlineStr">
        <is>
          <t>BACKFEED</t>
        </is>
      </c>
      <c r="I540" t="inlineStr">
        <is>
          <t>1600A</t>
        </is>
      </c>
      <c r="J540" t="inlineStr">
        <is>
          <t>BESSIERE</t>
        </is>
      </c>
      <c r="K540" t="inlineStr">
        <is>
          <t>CUIVRE</t>
        </is>
      </c>
      <c r="L540">
        <f>_xlfn.XLOOKUP(Tableau1[[#This Row],[TYPE DE PIECE]],Tableau4[MATIERE],Tableau4[SHORT TYPE],"",0,1)</f>
        <v/>
      </c>
      <c r="N540">
        <f>IF(ISERR(FIND("DECOUPE",Tableau1[[#This Row],[DESIGNATION]])),"","NEED REF")</f>
        <v/>
      </c>
    </row>
    <row r="541">
      <c r="B541" t="n">
        <v>34413461</v>
      </c>
      <c r="C541" s="2" t="n">
        <v>45679</v>
      </c>
      <c r="D541" t="inlineStr">
        <is>
          <t>SPEC</t>
        </is>
      </c>
      <c r="E541" t="inlineStr">
        <is>
          <t>Fishplate</t>
        </is>
      </c>
      <c r="J541" t="inlineStr">
        <is>
          <t>BESSIERE</t>
        </is>
      </c>
      <c r="L541">
        <f>_xlfn.XLOOKUP(Tableau1[[#This Row],[TYPE DE PIECE]],Tableau4[MATIERE],Tableau4[SHORT TYPE],"",0,1)</f>
        <v/>
      </c>
      <c r="N541">
        <f>IF(ISERR(FIND("DECOUPE",Tableau1[[#This Row],[DESIGNATION]])),"","NEED REF")</f>
        <v/>
      </c>
    </row>
    <row r="542">
      <c r="B542" t="n">
        <v>34413460</v>
      </c>
      <c r="C542" s="2" t="n">
        <v>45679</v>
      </c>
      <c r="D542" t="inlineStr">
        <is>
          <t>SPEC</t>
        </is>
      </c>
      <c r="E542" t="inlineStr">
        <is>
          <t>COP TME71084</t>
        </is>
      </c>
      <c r="F542" t="inlineStr">
        <is>
          <t>Rehausse Chinois</t>
        </is>
      </c>
      <c r="G542" t="inlineStr">
        <is>
          <t>GVXL</t>
        </is>
      </c>
      <c r="H542" t="inlineStr">
        <is>
          <t>BACKFEED</t>
        </is>
      </c>
      <c r="I542" t="inlineStr">
        <is>
          <t>1600A</t>
        </is>
      </c>
      <c r="J542" t="inlineStr">
        <is>
          <t>BESSIERE</t>
        </is>
      </c>
      <c r="K542" t="inlineStr">
        <is>
          <t>CUIVRE</t>
        </is>
      </c>
      <c r="L542">
        <f>_xlfn.XLOOKUP(Tableau1[[#This Row],[TYPE DE PIECE]],Tableau4[MATIERE],Tableau4[SHORT TYPE],"",0,1)</f>
        <v/>
      </c>
      <c r="N542">
        <f>IF(ISERR(FIND("DECOUPE",Tableau1[[#This Row],[DESIGNATION]])),"","NEED REF")</f>
        <v/>
      </c>
    </row>
    <row r="543">
      <c r="B543" t="n">
        <v>34413459</v>
      </c>
      <c r="C543" s="2" t="n">
        <v>45679</v>
      </c>
      <c r="D543" t="inlineStr">
        <is>
          <t>SPEC</t>
        </is>
      </c>
      <c r="E543" t="inlineStr">
        <is>
          <t>COP 34413459 GVXL UPS OUTPUT L3 3</t>
        </is>
      </c>
      <c r="F543" t="inlineStr">
        <is>
          <t>QBED01598</t>
        </is>
      </c>
      <c r="G543" t="inlineStr">
        <is>
          <t>GVXL</t>
        </is>
      </c>
      <c r="H543" t="inlineStr">
        <is>
          <t>BACKFEED</t>
        </is>
      </c>
      <c r="I543" t="inlineStr">
        <is>
          <t>1600A</t>
        </is>
      </c>
      <c r="J543" t="inlineStr">
        <is>
          <t>BESSIERE</t>
        </is>
      </c>
      <c r="K543" t="inlineStr">
        <is>
          <t>CUIVRE</t>
        </is>
      </c>
      <c r="L543">
        <f>_xlfn.XLOOKUP(Tableau1[[#This Row],[TYPE DE PIECE]],Tableau4[MATIERE],Tableau4[SHORT TYPE],"",0,1)</f>
        <v/>
      </c>
      <c r="N543">
        <f>IF(ISERR(FIND("DECOUPE",Tableau1[[#This Row],[DESIGNATION]])),"","NEED REF")</f>
        <v/>
      </c>
    </row>
    <row r="544">
      <c r="B544" t="n">
        <v>34413458</v>
      </c>
      <c r="C544" s="2" t="n">
        <v>45679</v>
      </c>
      <c r="D544" t="inlineStr">
        <is>
          <t>SPEC</t>
        </is>
      </c>
      <c r="E544" t="inlineStr">
        <is>
          <t>COP 34413458 GVXL UPS OUTPUT L2 3</t>
        </is>
      </c>
      <c r="F544" t="inlineStr">
        <is>
          <t>QBED01599</t>
        </is>
      </c>
      <c r="G544" t="inlineStr">
        <is>
          <t>GVXL</t>
        </is>
      </c>
      <c r="H544" t="inlineStr">
        <is>
          <t>BACKFEED</t>
        </is>
      </c>
      <c r="I544" t="inlineStr">
        <is>
          <t>1600A</t>
        </is>
      </c>
      <c r="J544" t="inlineStr">
        <is>
          <t>BESSIERE</t>
        </is>
      </c>
      <c r="K544" t="inlineStr">
        <is>
          <t>CUIVRE</t>
        </is>
      </c>
      <c r="L544">
        <f>_xlfn.XLOOKUP(Tableau1[[#This Row],[TYPE DE PIECE]],Tableau4[MATIERE],Tableau4[SHORT TYPE],"",0,1)</f>
        <v/>
      </c>
      <c r="N544">
        <f>IF(ISERR(FIND("DECOUPE",Tableau1[[#This Row],[DESIGNATION]])),"","NEED REF")</f>
        <v/>
      </c>
    </row>
    <row r="545">
      <c r="B545" t="n">
        <v>34413457</v>
      </c>
      <c r="C545" s="2" t="n">
        <v>45679</v>
      </c>
      <c r="D545" t="inlineStr">
        <is>
          <t>SPEC</t>
        </is>
      </c>
      <c r="E54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45" t="inlineStr">
        <is>
          <t>QBED01600</t>
        </is>
      </c>
      <c r="G545" t="inlineStr">
        <is>
          <t>GVXL</t>
        </is>
      </c>
      <c r="H545" t="inlineStr">
        <is>
          <t>BACKFEED</t>
        </is>
      </c>
      <c r="I545" t="inlineStr">
        <is>
          <t>1600A</t>
        </is>
      </c>
      <c r="J545" t="inlineStr">
        <is>
          <t>BESSIERE</t>
        </is>
      </c>
      <c r="K545" t="inlineStr">
        <is>
          <t>CUIVRE</t>
        </is>
      </c>
      <c r="L545">
        <f>_xlfn.XLOOKUP(Tableau1[[#This Row],[TYPE DE PIECE]],Tableau4[MATIERE],Tableau4[SHORT TYPE],"",0,1)</f>
        <v/>
      </c>
      <c r="N545">
        <f>IF(ISERR(FIND("DECOUPE",Tableau1[[#This Row],[DESIGNATION]])),"","NEED REF")</f>
        <v/>
      </c>
    </row>
    <row r="546">
      <c r="B546" t="n">
        <v>34413456</v>
      </c>
      <c r="C546" s="2" t="n">
        <v>45679</v>
      </c>
      <c r="D546" t="inlineStr">
        <is>
          <t>SPEC</t>
        </is>
      </c>
      <c r="E54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46" t="inlineStr">
        <is>
          <t>QBED01600</t>
        </is>
      </c>
      <c r="G546" t="inlineStr">
        <is>
          <t>GVXL</t>
        </is>
      </c>
      <c r="H546" t="inlineStr">
        <is>
          <t>BACKFEED</t>
        </is>
      </c>
      <c r="I546" t="inlineStr">
        <is>
          <t>1600A</t>
        </is>
      </c>
      <c r="J546" t="inlineStr">
        <is>
          <t>BESSIERE</t>
        </is>
      </c>
      <c r="K546" t="inlineStr">
        <is>
          <t>CUIVRE</t>
        </is>
      </c>
      <c r="L546">
        <f>_xlfn.XLOOKUP(Tableau1[[#This Row],[TYPE DE PIECE]],Tableau4[MATIERE],Tableau4[SHORT TYPE],"",0,1)</f>
        <v/>
      </c>
      <c r="N546">
        <f>IF(ISERR(FIND("DECOUPE",Tableau1[[#This Row],[DESIGNATION]])),"","NEED REF")</f>
        <v/>
      </c>
    </row>
    <row r="547">
      <c r="B547" t="n">
        <v>34413455</v>
      </c>
      <c r="C547" s="2" t="n">
        <v>45679</v>
      </c>
      <c r="D547" t="inlineStr">
        <is>
          <t>SPEC</t>
        </is>
      </c>
      <c r="E547" t="inlineStr">
        <is>
          <t>COP 34413455 GVXL UPS MAINS1 L3 2</t>
        </is>
      </c>
      <c r="F547" t="inlineStr">
        <is>
          <t>QBED01600</t>
        </is>
      </c>
      <c r="G547" t="inlineStr">
        <is>
          <t>GVXL</t>
        </is>
      </c>
      <c r="H547" t="inlineStr">
        <is>
          <t>BACKFEED</t>
        </is>
      </c>
      <c r="I547" t="inlineStr">
        <is>
          <t>1600A</t>
        </is>
      </c>
      <c r="J547" t="inlineStr">
        <is>
          <t>BESSIERE</t>
        </is>
      </c>
      <c r="K547" t="inlineStr">
        <is>
          <t>CUIVRE</t>
        </is>
      </c>
      <c r="L547">
        <f>_xlfn.XLOOKUP(Tableau1[[#This Row],[TYPE DE PIECE]],Tableau4[MATIERE],Tableau4[SHORT TYPE],"",0,1)</f>
        <v/>
      </c>
      <c r="N547">
        <f>IF(ISERR(FIND("DECOUPE",Tableau1[[#This Row],[DESIGNATION]])),"","NEED REF")</f>
        <v/>
      </c>
    </row>
    <row r="548">
      <c r="B548" t="n">
        <v>34413454</v>
      </c>
      <c r="C548" s="2" t="n">
        <v>45679</v>
      </c>
      <c r="D548" t="inlineStr">
        <is>
          <t>SPEC</t>
        </is>
      </c>
      <c r="E548" t="inlineStr">
        <is>
          <t>COP 34413454 GVXL UPS MAINS1 L3 1</t>
        </is>
      </c>
      <c r="F548" t="inlineStr">
        <is>
          <t>QBED01600</t>
        </is>
      </c>
      <c r="G548" t="inlineStr">
        <is>
          <t>GVXL</t>
        </is>
      </c>
      <c r="H548" t="inlineStr">
        <is>
          <t>BACKFEED</t>
        </is>
      </c>
      <c r="I548" t="inlineStr">
        <is>
          <t>1600A</t>
        </is>
      </c>
      <c r="J548" t="inlineStr">
        <is>
          <t>BESSIERE</t>
        </is>
      </c>
      <c r="K548" t="inlineStr">
        <is>
          <t>CUIVRE</t>
        </is>
      </c>
      <c r="L548">
        <f>_xlfn.XLOOKUP(Tableau1[[#This Row],[TYPE DE PIECE]],Tableau4[MATIERE],Tableau4[SHORT TYPE],"",0,1)</f>
        <v/>
      </c>
      <c r="N548">
        <f>IF(ISERR(FIND("DECOUPE",Tableau1[[#This Row],[DESIGNATION]])),"","NEED REF")</f>
        <v/>
      </c>
    </row>
    <row r="549">
      <c r="B549" t="n">
        <v>34413453</v>
      </c>
      <c r="C549" s="2" t="n">
        <v>45679</v>
      </c>
      <c r="D549" t="inlineStr">
        <is>
          <t>SPEC</t>
        </is>
      </c>
      <c r="E549" t="inlineStr">
        <is>
          <t>COP 34413453 GVXL UPS MAINS1 L1/L2/L3 1</t>
        </is>
      </c>
      <c r="F549" t="inlineStr">
        <is>
          <t>QBED01600</t>
        </is>
      </c>
      <c r="G549" t="inlineStr">
        <is>
          <t>GVXL</t>
        </is>
      </c>
      <c r="H549" t="inlineStr">
        <is>
          <t>BACKFEED</t>
        </is>
      </c>
      <c r="I549" t="inlineStr">
        <is>
          <t>1600A</t>
        </is>
      </c>
      <c r="J549" t="inlineStr">
        <is>
          <t>BESSIERE</t>
        </is>
      </c>
      <c r="K549" t="inlineStr">
        <is>
          <t>CUIVRE</t>
        </is>
      </c>
      <c r="L549">
        <f>_xlfn.XLOOKUP(Tableau1[[#This Row],[TYPE DE PIECE]],Tableau4[MATIERE],Tableau4[SHORT TYPE],"",0,1)</f>
        <v/>
      </c>
      <c r="N549">
        <f>IF(ISERR(FIND("DECOUPE",Tableau1[[#This Row],[DESIGNATION]])),"","NEED REF")</f>
        <v/>
      </c>
    </row>
    <row r="550">
      <c r="B550" t="n">
        <v>34413452</v>
      </c>
      <c r="C550" s="2" t="n">
        <v>45679</v>
      </c>
      <c r="D550" t="inlineStr">
        <is>
          <t>SPEC</t>
        </is>
      </c>
      <c r="E550" t="inlineStr">
        <is>
          <t>COP 34413452 GVXL UPS OUTPUT L1 2</t>
        </is>
      </c>
      <c r="F550" t="inlineStr">
        <is>
          <t>QBED01600</t>
        </is>
      </c>
      <c r="G550" t="inlineStr">
        <is>
          <t>GVXL</t>
        </is>
      </c>
      <c r="H550" t="inlineStr">
        <is>
          <t>BACKFEED</t>
        </is>
      </c>
      <c r="I550" t="inlineStr">
        <is>
          <t>1600A</t>
        </is>
      </c>
      <c r="J550" t="inlineStr">
        <is>
          <t>BESSIERE</t>
        </is>
      </c>
      <c r="K550" t="inlineStr">
        <is>
          <t>CUIVRE</t>
        </is>
      </c>
      <c r="L550">
        <f>_xlfn.XLOOKUP(Tableau1[[#This Row],[TYPE DE PIECE]],Tableau4[MATIERE],Tableau4[SHORT TYPE],"",0,1)</f>
        <v/>
      </c>
      <c r="N550">
        <f>IF(ISERR(FIND("DECOUPE",Tableau1[[#This Row],[DESIGNATION]])),"","NEED REF")</f>
        <v/>
      </c>
    </row>
    <row r="551">
      <c r="B551" t="n">
        <v>34413451</v>
      </c>
      <c r="C551" s="2" t="n">
        <v>45679</v>
      </c>
      <c r="D551" t="inlineStr">
        <is>
          <t>SPEC</t>
        </is>
      </c>
      <c r="E55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51" t="inlineStr">
        <is>
          <t>etude bypass</t>
        </is>
      </c>
      <c r="G551" t="inlineStr">
        <is>
          <t>GVXL</t>
        </is>
      </c>
      <c r="H551" t="inlineStr">
        <is>
          <t>BYPASS</t>
        </is>
      </c>
      <c r="I551" t="inlineStr">
        <is>
          <t>4000A</t>
        </is>
      </c>
      <c r="J551" t="inlineStr">
        <is>
          <t>BESSIERE</t>
        </is>
      </c>
      <c r="K551" t="inlineStr">
        <is>
          <t>plastique</t>
        </is>
      </c>
      <c r="L551">
        <f>_xlfn.XLOOKUP(Tableau1[[#This Row],[TYPE DE PIECE]],Tableau4[MATIERE],Tableau4[SHORT TYPE],"",0,1)</f>
        <v/>
      </c>
      <c r="N551">
        <f>IF(ISERR(FIND("DECOUPE",Tableau1[[#This Row],[DESIGNATION]])),"","NEED REF")</f>
        <v/>
      </c>
    </row>
    <row r="552">
      <c r="B552" t="n">
        <v>34413450</v>
      </c>
      <c r="C552" s="2" t="n">
        <v>45679</v>
      </c>
      <c r="D552" t="inlineStr">
        <is>
          <t>SPEC</t>
        </is>
      </c>
      <c r="E55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52" t="inlineStr">
        <is>
          <t>etude bypass</t>
        </is>
      </c>
      <c r="G552" t="inlineStr">
        <is>
          <t>GVXL</t>
        </is>
      </c>
      <c r="H552" t="inlineStr">
        <is>
          <t>BYPASS</t>
        </is>
      </c>
      <c r="I552" t="inlineStr">
        <is>
          <t>4000A</t>
        </is>
      </c>
      <c r="J552" t="inlineStr">
        <is>
          <t>BESSIERE</t>
        </is>
      </c>
      <c r="K552" t="inlineStr">
        <is>
          <t>metal</t>
        </is>
      </c>
      <c r="L552">
        <f>_xlfn.XLOOKUP(Tableau1[[#This Row],[TYPE DE PIECE]],Tableau4[MATIERE],Tableau4[SHORT TYPE],"",0,1)</f>
        <v/>
      </c>
      <c r="N552">
        <f>IF(ISERR(FIND("DECOUPE",Tableau1[[#This Row],[DESIGNATION]])),"","NEED REF")</f>
        <v/>
      </c>
    </row>
    <row r="553">
      <c r="B553" t="n">
        <v>34413449</v>
      </c>
      <c r="C553" s="2" t="n">
        <v>45678</v>
      </c>
      <c r="D553" t="inlineStr">
        <is>
          <t>SPEC</t>
        </is>
      </c>
      <c r="E553" t="inlineStr">
        <is>
          <t>CANEVAS MTZ1 1600A MIC5.0 4P</t>
        </is>
      </c>
      <c r="I553" t="inlineStr">
        <is>
          <t>1600A</t>
        </is>
      </c>
      <c r="J553" t="inlineStr">
        <is>
          <t>BERNARDEAU</t>
        </is>
      </c>
      <c r="K553" t="inlineStr">
        <is>
          <t>canevas</t>
        </is>
      </c>
      <c r="L553">
        <f>_xlfn.XLOOKUP(Tableau1[[#This Row],[TYPE DE PIECE]],Tableau4[MATIERE],Tableau4[SHORT TYPE],"",0,1)</f>
        <v/>
      </c>
      <c r="M553" t="inlineStr">
        <is>
          <t>CANEVAS</t>
        </is>
      </c>
      <c r="N553">
        <f>IF(ISERR(FIND("DECOUPE",Tableau1[[#This Row],[DESIGNATION]])),"","NEED REF")</f>
        <v/>
      </c>
    </row>
    <row r="554">
      <c r="B554" t="n">
        <v>34413448</v>
      </c>
      <c r="C554" s="2" t="n">
        <v>45678</v>
      </c>
      <c r="D554" t="inlineStr">
        <is>
          <t>SPEC</t>
        </is>
      </c>
      <c r="E55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54" t="inlineStr">
        <is>
          <t>GVXL</t>
        </is>
      </c>
      <c r="H554" t="inlineStr">
        <is>
          <t>UPS</t>
        </is>
      </c>
      <c r="I554" t="inlineStr">
        <is>
          <t>1250kVA</t>
        </is>
      </c>
      <c r="J554" t="inlineStr">
        <is>
          <t>MATRION</t>
        </is>
      </c>
      <c r="L554">
        <f>_xlfn.XLOOKUP(Tableau1[[#This Row],[TYPE DE PIECE]],Tableau4[MATIERE],Tableau4[SHORT TYPE],"",0,1)</f>
        <v/>
      </c>
      <c r="N554">
        <f>IF(ISERR(FIND("DECOUPE",Tableau1[[#This Row],[DESIGNATION]])),"","NEED REF")</f>
        <v/>
      </c>
    </row>
    <row r="555">
      <c r="B555" t="n">
        <v>34413447</v>
      </c>
      <c r="C555" s="2" t="n">
        <v>45678</v>
      </c>
      <c r="D555" t="inlineStr">
        <is>
          <t>SPEC</t>
        </is>
      </c>
      <c r="E55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55" t="inlineStr">
        <is>
          <t>GVXL</t>
        </is>
      </c>
      <c r="H555" t="inlineStr">
        <is>
          <t>UPS</t>
        </is>
      </c>
      <c r="I555" t="inlineStr">
        <is>
          <t>1250kVA</t>
        </is>
      </c>
      <c r="J555" t="inlineStr">
        <is>
          <t>MATRION</t>
        </is>
      </c>
      <c r="L555">
        <f>_xlfn.XLOOKUP(Tableau1[[#This Row],[TYPE DE PIECE]],Tableau4[MATIERE],Tableau4[SHORT TYPE],"",0,1)</f>
        <v/>
      </c>
      <c r="N555">
        <f>IF(ISERR(FIND("DECOUPE",Tableau1[[#This Row],[DESIGNATION]])),"","NEED REF")</f>
        <v/>
      </c>
    </row>
    <row r="556">
      <c r="B556" t="n">
        <v>34413446</v>
      </c>
      <c r="C556" s="2" t="n">
        <v>45677</v>
      </c>
      <c r="D556" t="inlineStr">
        <is>
          <t>SPEC</t>
        </is>
      </c>
      <c r="E55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56" t="inlineStr">
        <is>
          <t>backfeed GVXL</t>
        </is>
      </c>
      <c r="G556" t="inlineStr">
        <is>
          <t>GVXL</t>
        </is>
      </c>
      <c r="H556" t="inlineStr">
        <is>
          <t>BACKFEED</t>
        </is>
      </c>
      <c r="I556" t="inlineStr">
        <is>
          <t>1600A</t>
        </is>
      </c>
      <c r="J556" t="inlineStr">
        <is>
          <t>BESSIERE</t>
        </is>
      </c>
      <c r="K556" t="inlineStr">
        <is>
          <t>CUIVRE</t>
        </is>
      </c>
      <c r="L556">
        <f>_xlfn.XLOOKUP(Tableau1[[#This Row],[TYPE DE PIECE]],Tableau4[MATIERE],Tableau4[SHORT TYPE],"",0,1)</f>
        <v/>
      </c>
      <c r="N556">
        <f>IF(ISERR(FIND("DECOUPE",Tableau1[[#This Row],[DESIGNATION]])),"","NEED REF")</f>
        <v/>
      </c>
    </row>
    <row r="557">
      <c r="B557" t="n">
        <v>34413445</v>
      </c>
      <c r="C557" s="2" t="n">
        <v>45677</v>
      </c>
      <c r="D557" t="inlineStr">
        <is>
          <t>SPEC</t>
        </is>
      </c>
      <c r="E55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57" t="inlineStr">
        <is>
          <t>backfeed GVXL</t>
        </is>
      </c>
      <c r="G557" t="inlineStr">
        <is>
          <t>GVXL</t>
        </is>
      </c>
      <c r="H557" t="inlineStr">
        <is>
          <t>BACKFEED</t>
        </is>
      </c>
      <c r="I557" t="inlineStr">
        <is>
          <t>1600A</t>
        </is>
      </c>
      <c r="J557" t="inlineStr">
        <is>
          <t>BESSIERE</t>
        </is>
      </c>
      <c r="K557" t="inlineStr">
        <is>
          <t>CUIVRE</t>
        </is>
      </c>
      <c r="L557">
        <f>_xlfn.XLOOKUP(Tableau1[[#This Row],[TYPE DE PIECE]],Tableau4[MATIERE],Tableau4[SHORT TYPE],"",0,1)</f>
        <v/>
      </c>
      <c r="N557">
        <f>IF(ISERR(FIND("DECOUPE",Tableau1[[#This Row],[DESIGNATION]])),"","NEED REF")</f>
        <v/>
      </c>
    </row>
    <row r="558">
      <c r="B558" t="n">
        <v>34413444</v>
      </c>
      <c r="C558" s="2" t="n">
        <v>45677</v>
      </c>
      <c r="D558" t="inlineStr">
        <is>
          <t>SPEC</t>
        </is>
      </c>
      <c r="E55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58" t="inlineStr">
        <is>
          <t>backfeed GVXL</t>
        </is>
      </c>
      <c r="G558" t="inlineStr">
        <is>
          <t>GVXL</t>
        </is>
      </c>
      <c r="H558" t="inlineStr">
        <is>
          <t>BACKFEED</t>
        </is>
      </c>
      <c r="I558" t="inlineStr">
        <is>
          <t>1600A</t>
        </is>
      </c>
      <c r="J558" t="inlineStr">
        <is>
          <t>BESSIERE</t>
        </is>
      </c>
      <c r="K558" t="inlineStr">
        <is>
          <t>CUIVRE</t>
        </is>
      </c>
      <c r="L558">
        <f>_xlfn.XLOOKUP(Tableau1[[#This Row],[TYPE DE PIECE]],Tableau4[MATIERE],Tableau4[SHORT TYPE],"",0,1)</f>
        <v/>
      </c>
      <c r="N558">
        <f>IF(ISERR(FIND("DECOUPE",Tableau1[[#This Row],[DESIGNATION]])),"","NEED REF")</f>
        <v/>
      </c>
    </row>
    <row r="559">
      <c r="B559" t="n">
        <v>34413443</v>
      </c>
      <c r="C559" s="2" t="n">
        <v>45677</v>
      </c>
      <c r="D559" t="inlineStr">
        <is>
          <t>SPEC</t>
        </is>
      </c>
      <c r="E55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59" t="inlineStr">
        <is>
          <t>backfeed GVXL</t>
        </is>
      </c>
      <c r="G559" t="inlineStr">
        <is>
          <t>GVXL</t>
        </is>
      </c>
      <c r="H559" t="inlineStr">
        <is>
          <t>BACKFEED</t>
        </is>
      </c>
      <c r="I559" t="inlineStr">
        <is>
          <t>1600A</t>
        </is>
      </c>
      <c r="J559" t="inlineStr">
        <is>
          <t>BESSIERE</t>
        </is>
      </c>
      <c r="K559" t="inlineStr">
        <is>
          <t>CUIVRE</t>
        </is>
      </c>
      <c r="L559">
        <f>_xlfn.XLOOKUP(Tableau1[[#This Row],[TYPE DE PIECE]],Tableau4[MATIERE],Tableau4[SHORT TYPE],"",0,1)</f>
        <v/>
      </c>
      <c r="N559">
        <f>IF(ISERR(FIND("DECOUPE",Tableau1[[#This Row],[DESIGNATION]])),"","NEED REF")</f>
        <v/>
      </c>
    </row>
    <row r="560">
      <c r="B560" t="n">
        <v>34413442</v>
      </c>
      <c r="C560" s="2" t="n">
        <v>45677</v>
      </c>
      <c r="D560" t="inlineStr">
        <is>
          <t>SPEC</t>
        </is>
      </c>
      <c r="E56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60" t="inlineStr">
        <is>
          <t>backfeed GVXL</t>
        </is>
      </c>
      <c r="G560" t="inlineStr">
        <is>
          <t>GVXL</t>
        </is>
      </c>
      <c r="H560" t="inlineStr">
        <is>
          <t>BACKFEED</t>
        </is>
      </c>
      <c r="I560" t="inlineStr">
        <is>
          <t>1600A</t>
        </is>
      </c>
      <c r="J560" t="inlineStr">
        <is>
          <t>BESSIERE</t>
        </is>
      </c>
      <c r="K560" t="inlineStr">
        <is>
          <t>CUIVRE</t>
        </is>
      </c>
      <c r="L560">
        <f>_xlfn.XLOOKUP(Tableau1[[#This Row],[TYPE DE PIECE]],Tableau4[MATIERE],Tableau4[SHORT TYPE],"",0,1)</f>
        <v/>
      </c>
      <c r="N560">
        <f>IF(ISERR(FIND("DECOUPE",Tableau1[[#This Row],[DESIGNATION]])),"","NEED REF")</f>
        <v/>
      </c>
    </row>
    <row r="561">
      <c r="B561" t="n">
        <v>34413441</v>
      </c>
      <c r="C561" s="2" t="n">
        <v>45677</v>
      </c>
      <c r="D561" t="inlineStr">
        <is>
          <t>SPEC</t>
        </is>
      </c>
      <c r="E56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61" t="inlineStr">
        <is>
          <t>backfeed GVXL</t>
        </is>
      </c>
      <c r="G561" t="inlineStr">
        <is>
          <t>GVXL</t>
        </is>
      </c>
      <c r="H561" t="inlineStr">
        <is>
          <t>BACKFEED</t>
        </is>
      </c>
      <c r="I561" t="inlineStr">
        <is>
          <t>1600A</t>
        </is>
      </c>
      <c r="J561" t="inlineStr">
        <is>
          <t>BESSIERE</t>
        </is>
      </c>
      <c r="K561" t="inlineStr">
        <is>
          <t>CUIVRE</t>
        </is>
      </c>
      <c r="L561">
        <f>_xlfn.XLOOKUP(Tableau1[[#This Row],[TYPE DE PIECE]],Tableau4[MATIERE],Tableau4[SHORT TYPE],"",0,1)</f>
        <v/>
      </c>
      <c r="N561">
        <f>IF(ISERR(FIND("DECOUPE",Tableau1[[#This Row],[DESIGNATION]])),"","NEED REF")</f>
        <v/>
      </c>
    </row>
    <row r="562">
      <c r="B562" t="n">
        <v>34413440</v>
      </c>
      <c r="C562" s="2" t="n">
        <v>45677</v>
      </c>
      <c r="D562" t="inlineStr">
        <is>
          <t>SPEC</t>
        </is>
      </c>
      <c r="E56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62" t="inlineStr">
        <is>
          <t>backfeed GVXL</t>
        </is>
      </c>
      <c r="G562" t="inlineStr">
        <is>
          <t>GVXL</t>
        </is>
      </c>
      <c r="H562" t="inlineStr">
        <is>
          <t>BACKFEED</t>
        </is>
      </c>
      <c r="I562" t="inlineStr">
        <is>
          <t>1600A</t>
        </is>
      </c>
      <c r="J562" t="inlineStr">
        <is>
          <t>BESSIERE</t>
        </is>
      </c>
      <c r="K562" t="inlineStr">
        <is>
          <t>CUIVRE</t>
        </is>
      </c>
      <c r="L562">
        <f>_xlfn.XLOOKUP(Tableau1[[#This Row],[TYPE DE PIECE]],Tableau4[MATIERE],Tableau4[SHORT TYPE],"",0,1)</f>
        <v/>
      </c>
      <c r="N562">
        <f>IF(ISERR(FIND("DECOUPE",Tableau1[[#This Row],[DESIGNATION]])),"","NEED REF")</f>
        <v/>
      </c>
    </row>
    <row r="563">
      <c r="B563" t="n">
        <v>34413439</v>
      </c>
      <c r="C563" s="2" t="n">
        <v>45677</v>
      </c>
      <c r="D563" t="inlineStr">
        <is>
          <t>SPEC</t>
        </is>
      </c>
      <c r="E56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63" t="inlineStr">
        <is>
          <t>backfeed GVXL</t>
        </is>
      </c>
      <c r="G563" t="inlineStr">
        <is>
          <t>GVXL</t>
        </is>
      </c>
      <c r="H563" t="inlineStr">
        <is>
          <t>BACKFEED</t>
        </is>
      </c>
      <c r="I563" t="inlineStr">
        <is>
          <t>1600A</t>
        </is>
      </c>
      <c r="J563" t="inlineStr">
        <is>
          <t>BESSIERE</t>
        </is>
      </c>
      <c r="K563" t="inlineStr">
        <is>
          <t>CUIVRE</t>
        </is>
      </c>
      <c r="L563">
        <f>_xlfn.XLOOKUP(Tableau1[[#This Row],[TYPE DE PIECE]],Tableau4[MATIERE],Tableau4[SHORT TYPE],"",0,1)</f>
        <v/>
      </c>
      <c r="N563">
        <f>IF(ISERR(FIND("DECOUPE",Tableau1[[#This Row],[DESIGNATION]])),"","NEED REF")</f>
        <v/>
      </c>
    </row>
    <row r="564">
      <c r="B564" t="n">
        <v>34413438</v>
      </c>
      <c r="C564" s="2" t="n">
        <v>45674</v>
      </c>
      <c r="D564" t="inlineStr">
        <is>
          <t>SPEC</t>
        </is>
      </c>
      <c r="E56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64" t="inlineStr">
        <is>
          <t>backfeed GVXL</t>
        </is>
      </c>
      <c r="G564" t="inlineStr">
        <is>
          <t>GVXL</t>
        </is>
      </c>
      <c r="H564" t="inlineStr">
        <is>
          <t>BACKFEED</t>
        </is>
      </c>
      <c r="I564" t="inlineStr">
        <is>
          <t>1600A</t>
        </is>
      </c>
      <c r="J564" t="inlineStr">
        <is>
          <t>BESSIERE</t>
        </is>
      </c>
      <c r="K564" t="inlineStr">
        <is>
          <t>CUIVRE</t>
        </is>
      </c>
      <c r="L564">
        <f>_xlfn.XLOOKUP(Tableau1[[#This Row],[TYPE DE PIECE]],Tableau4[MATIERE],Tableau4[SHORT TYPE],"",0,1)</f>
        <v/>
      </c>
      <c r="N564">
        <f>IF(ISERR(FIND("DECOUPE",Tableau1[[#This Row],[DESIGNATION]])),"","NEED REF")</f>
        <v/>
      </c>
    </row>
    <row r="565">
      <c r="B565" t="n">
        <v>34413437</v>
      </c>
      <c r="C565" s="2" t="n">
        <v>45671</v>
      </c>
      <c r="D565" t="inlineStr">
        <is>
          <t>SPEC</t>
        </is>
      </c>
      <c r="E565" t="inlineStr">
        <is>
          <t>ECLISSE BYPASS</t>
        </is>
      </c>
      <c r="J565" t="inlineStr">
        <is>
          <t>BESSIERE</t>
        </is>
      </c>
      <c r="L565">
        <f>_xlfn.XLOOKUP(Tableau1[[#This Row],[TYPE DE PIECE]],Tableau4[MATIERE],Tableau4[SHORT TYPE],"",0,1)</f>
        <v/>
      </c>
      <c r="N565">
        <f>IF(ISERR(FIND("DECOUPE",Tableau1[[#This Row],[DESIGNATION]])),"","NEED REF")</f>
        <v/>
      </c>
    </row>
    <row r="566">
      <c r="B566" t="n">
        <v>34413436</v>
      </c>
      <c r="C566" s="2" t="n">
        <v>45670</v>
      </c>
      <c r="D566" t="inlineStr">
        <is>
          <t>SPEC</t>
        </is>
      </c>
      <c r="E566" t="inlineStr">
        <is>
          <t>fil de terre NSYSEL166D6</t>
        </is>
      </c>
      <c r="J566" t="inlineStr">
        <is>
          <t>BESSIERE</t>
        </is>
      </c>
      <c r="L566">
        <f>_xlfn.XLOOKUP(Tableau1[[#This Row],[TYPE DE PIECE]],Tableau4[MATIERE],Tableau4[SHORT TYPE],"",0,1)</f>
        <v/>
      </c>
      <c r="N566">
        <f>IF(ISERR(FIND("DECOUPE",Tableau1[[#This Row],[DESIGNATION]])),"","NEED REF")</f>
        <v/>
      </c>
    </row>
    <row r="567">
      <c r="B567" t="n">
        <v>34413435</v>
      </c>
      <c r="C567" s="2" t="n">
        <v>45667</v>
      </c>
      <c r="D567" t="inlineStr">
        <is>
          <t>SPEC</t>
        </is>
      </c>
      <c r="E56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67" t="inlineStr">
        <is>
          <t>GVXL</t>
        </is>
      </c>
      <c r="H567" t="inlineStr">
        <is>
          <t>UPS</t>
        </is>
      </c>
      <c r="I567" t="inlineStr">
        <is>
          <t>1250kVA</t>
        </is>
      </c>
      <c r="J567" t="inlineStr">
        <is>
          <t>MATRION</t>
        </is>
      </c>
      <c r="K567" t="inlineStr">
        <is>
          <t>METAL</t>
        </is>
      </c>
      <c r="L567">
        <f>_xlfn.XLOOKUP(Tableau1[[#This Row],[TYPE DE PIECE]],Tableau4[MATIERE],Tableau4[SHORT TYPE],"",0,1)</f>
        <v/>
      </c>
      <c r="N567">
        <f>IF(ISERR(FIND("DECOUPE",Tableau1[[#This Row],[DESIGNATION]])),"","NEED REF")</f>
        <v/>
      </c>
    </row>
    <row r="568">
      <c r="B568" t="n">
        <v>34413434</v>
      </c>
      <c r="C568" s="2" t="n">
        <v>45667</v>
      </c>
      <c r="D568" t="inlineStr">
        <is>
          <t>SPEC</t>
        </is>
      </c>
      <c r="E56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68" t="inlineStr">
        <is>
          <t>GVXL</t>
        </is>
      </c>
      <c r="H568" t="inlineStr">
        <is>
          <t>UPS</t>
        </is>
      </c>
      <c r="I568" t="inlineStr">
        <is>
          <t>1250kVA</t>
        </is>
      </c>
      <c r="J568" t="inlineStr">
        <is>
          <t>MATRION</t>
        </is>
      </c>
      <c r="K568" t="inlineStr">
        <is>
          <t>METAL</t>
        </is>
      </c>
      <c r="L568">
        <f>_xlfn.XLOOKUP(Tableau1[[#This Row],[TYPE DE PIECE]],Tableau4[MATIERE],Tableau4[SHORT TYPE],"",0,1)</f>
        <v/>
      </c>
      <c r="N568">
        <f>IF(ISERR(FIND("DECOUPE",Tableau1[[#This Row],[DESIGNATION]])),"","NEED REF")</f>
        <v/>
      </c>
    </row>
    <row r="569">
      <c r="B569" t="n">
        <v>34413433</v>
      </c>
      <c r="C569" s="2" t="n">
        <v>45667</v>
      </c>
      <c r="D569" t="inlineStr">
        <is>
          <t>SPEC</t>
        </is>
      </c>
      <c r="E56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69" t="inlineStr">
        <is>
          <t>GVXL</t>
        </is>
      </c>
      <c r="H569" t="inlineStr">
        <is>
          <t>UPS</t>
        </is>
      </c>
      <c r="I569" t="inlineStr">
        <is>
          <t>1250kVA</t>
        </is>
      </c>
      <c r="J569" t="inlineStr">
        <is>
          <t>MATRION</t>
        </is>
      </c>
      <c r="K569" t="inlineStr">
        <is>
          <t>METAL</t>
        </is>
      </c>
      <c r="L569">
        <f>_xlfn.XLOOKUP(Tableau1[[#This Row],[TYPE DE PIECE]],Tableau4[MATIERE],Tableau4[SHORT TYPE],"",0,1)</f>
        <v/>
      </c>
      <c r="N569">
        <f>IF(ISERR(FIND("DECOUPE",Tableau1[[#This Row],[DESIGNATION]])),"","NEED REF")</f>
        <v/>
      </c>
    </row>
    <row r="570">
      <c r="B570" t="n">
        <v>34413432</v>
      </c>
      <c r="C570" s="2" t="n">
        <v>45667</v>
      </c>
      <c r="D570" t="inlineStr">
        <is>
          <t>SPEC</t>
        </is>
      </c>
      <c r="E570" t="inlineStr">
        <is>
          <t>SMT PLATINE SUPPORT NEUTRE</t>
        </is>
      </c>
      <c r="J570" t="inlineStr">
        <is>
          <t>BERNARDEAU</t>
        </is>
      </c>
      <c r="L570">
        <f>_xlfn.XLOOKUP(Tableau1[[#This Row],[TYPE DE PIECE]],Tableau4[MATIERE],Tableau4[SHORT TYPE],"",0,1)</f>
        <v/>
      </c>
      <c r="N570">
        <f>IF(ISERR(FIND("DECOUPE",Tableau1[[#This Row],[DESIGNATION]])),"","NEED REF")</f>
        <v/>
      </c>
    </row>
    <row r="571">
      <c r="B571" t="n">
        <v>34413431</v>
      </c>
      <c r="C571" s="2" t="n">
        <v>45667</v>
      </c>
      <c r="D571" t="inlineStr">
        <is>
          <t>SPEC</t>
        </is>
      </c>
      <c r="E571" t="inlineStr">
        <is>
          <t>ENSEMBLE CONNECTEURS NEUTRE IND100HY4-Z4</t>
        </is>
      </c>
      <c r="J571" t="inlineStr">
        <is>
          <t>BERNARDEAU</t>
        </is>
      </c>
      <c r="K571" t="inlineStr">
        <is>
          <t>METAL</t>
        </is>
      </c>
      <c r="L571">
        <f>_xlfn.XLOOKUP(Tableau1[[#This Row],[TYPE DE PIECE]],Tableau4[MATIERE],Tableau4[SHORT TYPE],"",0,1)</f>
        <v/>
      </c>
      <c r="N571">
        <f>IF(ISERR(FIND("DECOUPE",Tableau1[[#This Row],[DESIGNATION]])),"","NEED REF")</f>
        <v/>
      </c>
    </row>
    <row r="572">
      <c r="B572" t="n">
        <v>34413430</v>
      </c>
      <c r="C572" s="2" t="n">
        <v>45667</v>
      </c>
      <c r="D572" t="inlineStr">
        <is>
          <t>SPEC</t>
        </is>
      </c>
      <c r="E57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72" t="inlineStr">
        <is>
          <t>etude bypass</t>
        </is>
      </c>
      <c r="G572" t="inlineStr">
        <is>
          <t>GVXL</t>
        </is>
      </c>
      <c r="H572" t="inlineStr">
        <is>
          <t>BYPASS</t>
        </is>
      </c>
      <c r="I572" t="inlineStr">
        <is>
          <t>4000A</t>
        </is>
      </c>
      <c r="J572" t="inlineStr">
        <is>
          <t>BESSIERE</t>
        </is>
      </c>
      <c r="K572" t="inlineStr">
        <is>
          <t>METAL</t>
        </is>
      </c>
      <c r="L572">
        <f>_xlfn.XLOOKUP(Tableau1[[#This Row],[TYPE DE PIECE]],Tableau4[MATIERE],Tableau4[SHORT TYPE],"",0,1)</f>
        <v/>
      </c>
      <c r="N572">
        <f>IF(ISERR(FIND("DECOUPE",Tableau1[[#This Row],[DESIGNATION]])),"","NEED REF")</f>
        <v/>
      </c>
    </row>
    <row r="573">
      <c r="B573" t="n">
        <v>34413429</v>
      </c>
      <c r="C573" s="2" t="n">
        <v>45667</v>
      </c>
      <c r="D573" t="inlineStr">
        <is>
          <t>SPEC</t>
        </is>
      </c>
      <c r="E57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73" t="inlineStr">
        <is>
          <t>etude bypass</t>
        </is>
      </c>
      <c r="G573" t="inlineStr">
        <is>
          <t>GVXL</t>
        </is>
      </c>
      <c r="H573" t="inlineStr">
        <is>
          <t>BYPASS</t>
        </is>
      </c>
      <c r="I573" t="inlineStr">
        <is>
          <t>4000A</t>
        </is>
      </c>
      <c r="J573" t="inlineStr">
        <is>
          <t>BESSIERE</t>
        </is>
      </c>
      <c r="L573">
        <f>_xlfn.XLOOKUP(Tableau1[[#This Row],[TYPE DE PIECE]],Tableau4[MATIERE],Tableau4[SHORT TYPE],"",0,1)</f>
        <v/>
      </c>
      <c r="N573">
        <f>IF(ISERR(FIND("DECOUPE",Tableau1[[#This Row],[DESIGNATION]])),"","NEED REF")</f>
        <v/>
      </c>
    </row>
    <row r="574">
      <c r="B574" t="n">
        <v>34413428</v>
      </c>
      <c r="C574" s="2" t="n">
        <v>45667</v>
      </c>
      <c r="D574" t="inlineStr">
        <is>
          <t>SPEC</t>
        </is>
      </c>
      <c r="E57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74" t="inlineStr">
        <is>
          <t>etude bypass</t>
        </is>
      </c>
      <c r="G574" t="inlineStr">
        <is>
          <t>GVXL</t>
        </is>
      </c>
      <c r="H574" t="inlineStr">
        <is>
          <t>BYPASS</t>
        </is>
      </c>
      <c r="I574" t="inlineStr">
        <is>
          <t>4000A</t>
        </is>
      </c>
      <c r="J574" t="inlineStr">
        <is>
          <t>BESSIERE</t>
        </is>
      </c>
      <c r="L574">
        <f>_xlfn.XLOOKUP(Tableau1[[#This Row],[TYPE DE PIECE]],Tableau4[MATIERE],Tableau4[SHORT TYPE],"",0,1)</f>
        <v/>
      </c>
      <c r="N574">
        <f>IF(ISERR(FIND("DECOUPE",Tableau1[[#This Row],[DESIGNATION]])),"","NEED REF")</f>
        <v/>
      </c>
    </row>
    <row r="575">
      <c r="B575" t="n">
        <v>34413427</v>
      </c>
      <c r="C575" s="2" t="n">
        <v>45666</v>
      </c>
      <c r="D575" t="inlineStr">
        <is>
          <t>SPEC</t>
        </is>
      </c>
      <c r="E57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75" t="inlineStr">
        <is>
          <t>etude bypass</t>
        </is>
      </c>
      <c r="G575" t="inlineStr">
        <is>
          <t>GVXL</t>
        </is>
      </c>
      <c r="H575" t="inlineStr">
        <is>
          <t>BYPASS</t>
        </is>
      </c>
      <c r="I575" t="inlineStr">
        <is>
          <t>4000A</t>
        </is>
      </c>
      <c r="J575" t="inlineStr">
        <is>
          <t>BESSIERE</t>
        </is>
      </c>
      <c r="L575">
        <f>_xlfn.XLOOKUP(Tableau1[[#This Row],[TYPE DE PIECE]],Tableau4[MATIERE],Tableau4[SHORT TYPE],"",0,1)</f>
        <v/>
      </c>
      <c r="N575">
        <f>IF(ISERR(FIND("DECOUPE",Tableau1[[#This Row],[DESIGNATION]])),"","NEED REF")</f>
        <v/>
      </c>
    </row>
    <row r="576">
      <c r="B576" t="n">
        <v>34413426</v>
      </c>
      <c r="C576" s="2" t="n">
        <v>45666</v>
      </c>
      <c r="D576" t="inlineStr">
        <is>
          <t>SPEC</t>
        </is>
      </c>
      <c r="E576" t="inlineStr">
        <is>
          <t>tige filetée m8 x 354</t>
        </is>
      </c>
      <c r="F576" t="inlineStr">
        <is>
          <t>etude bypass</t>
        </is>
      </c>
      <c r="G576" t="inlineStr">
        <is>
          <t>GVXL</t>
        </is>
      </c>
      <c r="H576" t="inlineStr">
        <is>
          <t>BYPASS</t>
        </is>
      </c>
      <c r="I576" t="inlineStr">
        <is>
          <t>4000A</t>
        </is>
      </c>
      <c r="J576" t="inlineStr">
        <is>
          <t>BESSIERE</t>
        </is>
      </c>
      <c r="L576">
        <f>_xlfn.XLOOKUP(Tableau1[[#This Row],[TYPE DE PIECE]],Tableau4[MATIERE],Tableau4[SHORT TYPE],"",0,1)</f>
        <v/>
      </c>
      <c r="N576">
        <f>IF(ISERR(FIND("DECOUPE",Tableau1[[#This Row],[DESIGNATION]])),"","NEED REF")</f>
        <v/>
      </c>
    </row>
    <row r="577">
      <c r="B577" t="n">
        <v>34413425</v>
      </c>
      <c r="C577" s="2" t="n">
        <v>45666</v>
      </c>
      <c r="D577" t="inlineStr">
        <is>
          <t>SPEC</t>
        </is>
      </c>
      <c r="E57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77" t="inlineStr">
        <is>
          <t>etude bypass</t>
        </is>
      </c>
      <c r="G577" t="inlineStr">
        <is>
          <t>GVXL</t>
        </is>
      </c>
      <c r="H577" t="inlineStr">
        <is>
          <t>BYPASS</t>
        </is>
      </c>
      <c r="I577" t="inlineStr">
        <is>
          <t>4000A</t>
        </is>
      </c>
      <c r="J577" t="inlineStr">
        <is>
          <t>BESSIERE</t>
        </is>
      </c>
      <c r="K577" t="inlineStr">
        <is>
          <t>CUIVRE</t>
        </is>
      </c>
      <c r="L577">
        <f>_xlfn.XLOOKUP(Tableau1[[#This Row],[TYPE DE PIECE]],Tableau4[MATIERE],Tableau4[SHORT TYPE],"",0,1)</f>
        <v/>
      </c>
      <c r="N577">
        <f>IF(ISERR(FIND("DECOUPE",Tableau1[[#This Row],[DESIGNATION]])),"","NEED REF")</f>
        <v/>
      </c>
    </row>
    <row r="578">
      <c r="B578" t="n">
        <v>34413424</v>
      </c>
      <c r="C578" s="2" t="n">
        <v>45666</v>
      </c>
      <c r="D578" t="inlineStr">
        <is>
          <t>SPEC</t>
        </is>
      </c>
      <c r="E57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78" t="inlineStr">
        <is>
          <t>etude bypass</t>
        </is>
      </c>
      <c r="G578" t="inlineStr">
        <is>
          <t>GVXL</t>
        </is>
      </c>
      <c r="H578" t="inlineStr">
        <is>
          <t>BYPASS</t>
        </is>
      </c>
      <c r="I578" t="inlineStr">
        <is>
          <t>4000A</t>
        </is>
      </c>
      <c r="J578" t="inlineStr">
        <is>
          <t>BESSIERE</t>
        </is>
      </c>
      <c r="K578" t="inlineStr">
        <is>
          <t>CUIVRE</t>
        </is>
      </c>
      <c r="L578">
        <f>_xlfn.XLOOKUP(Tableau1[[#This Row],[TYPE DE PIECE]],Tableau4[MATIERE],Tableau4[SHORT TYPE],"",0,1)</f>
        <v/>
      </c>
      <c r="N578">
        <f>IF(ISERR(FIND("DECOUPE",Tableau1[[#This Row],[DESIGNATION]])),"","NEED REF")</f>
        <v/>
      </c>
    </row>
    <row r="579">
      <c r="B579" t="n">
        <v>34413423</v>
      </c>
      <c r="C579" s="2" t="n">
        <v>45666</v>
      </c>
      <c r="D579" t="inlineStr">
        <is>
          <t>SPEC</t>
        </is>
      </c>
      <c r="E57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79" t="inlineStr">
        <is>
          <t>etude bypass</t>
        </is>
      </c>
      <c r="G579" t="inlineStr">
        <is>
          <t>GVXL</t>
        </is>
      </c>
      <c r="H579" t="inlineStr">
        <is>
          <t>BYPASS</t>
        </is>
      </c>
      <c r="I579" t="inlineStr">
        <is>
          <t>4000A</t>
        </is>
      </c>
      <c r="J579" t="inlineStr">
        <is>
          <t>BESSIERE</t>
        </is>
      </c>
      <c r="K579" t="inlineStr">
        <is>
          <t>PLASTIQUE</t>
        </is>
      </c>
      <c r="L579">
        <f>_xlfn.XLOOKUP(Tableau1[[#This Row],[TYPE DE PIECE]],Tableau4[MATIERE],Tableau4[SHORT TYPE],"",0,1)</f>
        <v/>
      </c>
      <c r="N579">
        <f>IF(ISERR(FIND("DECOUPE",Tableau1[[#This Row],[DESIGNATION]])),"","NEED REF")</f>
        <v/>
      </c>
    </row>
    <row r="580">
      <c r="B580" t="n">
        <v>34413422</v>
      </c>
      <c r="C580" s="2" t="n">
        <v>45666</v>
      </c>
      <c r="D580" t="inlineStr">
        <is>
          <t>SPEC</t>
        </is>
      </c>
      <c r="E58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80" t="inlineStr">
        <is>
          <t>etude bypass</t>
        </is>
      </c>
      <c r="G580" t="inlineStr">
        <is>
          <t>GVXL</t>
        </is>
      </c>
      <c r="H580" t="inlineStr">
        <is>
          <t>BYPASS</t>
        </is>
      </c>
      <c r="I580" t="inlineStr">
        <is>
          <t>4000A</t>
        </is>
      </c>
      <c r="J580" t="inlineStr">
        <is>
          <t>BESSIERE</t>
        </is>
      </c>
      <c r="K580" t="inlineStr">
        <is>
          <t>asm</t>
        </is>
      </c>
      <c r="L580">
        <f>_xlfn.XLOOKUP(Tableau1[[#This Row],[TYPE DE PIECE]],Tableau4[MATIERE],Tableau4[SHORT TYPE],"",0,1)</f>
        <v/>
      </c>
      <c r="N580">
        <f>IF(ISERR(FIND("DECOUPE",Tableau1[[#This Row],[DESIGNATION]])),"","NEED REF")</f>
        <v/>
      </c>
    </row>
    <row r="581">
      <c r="B581" t="n">
        <v>34413421</v>
      </c>
      <c r="C581" s="2" t="n">
        <v>45666</v>
      </c>
      <c r="D581" t="inlineStr">
        <is>
          <t>SPEC</t>
        </is>
      </c>
      <c r="E58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81" t="inlineStr">
        <is>
          <t>etude bypass</t>
        </is>
      </c>
      <c r="G581" t="inlineStr">
        <is>
          <t>GVXL</t>
        </is>
      </c>
      <c r="H581" t="inlineStr">
        <is>
          <t>BYPASS</t>
        </is>
      </c>
      <c r="I581" t="inlineStr">
        <is>
          <t>4000A</t>
        </is>
      </c>
      <c r="J581" t="inlineStr">
        <is>
          <t>BESSIERE</t>
        </is>
      </c>
      <c r="K581" t="inlineStr">
        <is>
          <t>METAL</t>
        </is>
      </c>
      <c r="L581">
        <f>_xlfn.XLOOKUP(Tableau1[[#This Row],[TYPE DE PIECE]],Tableau4[MATIERE],Tableau4[SHORT TYPE],"",0,1)</f>
        <v/>
      </c>
      <c r="N581">
        <f>IF(ISERR(FIND("DECOUPE",Tableau1[[#This Row],[DESIGNATION]])),"","NEED REF")</f>
        <v/>
      </c>
    </row>
    <row r="582">
      <c r="B582" t="n">
        <v>34413420</v>
      </c>
      <c r="C582" s="2" t="n">
        <v>45666</v>
      </c>
      <c r="D582" t="inlineStr">
        <is>
          <t>SPEC</t>
        </is>
      </c>
      <c r="E58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82" t="inlineStr">
        <is>
          <t>etude bypass</t>
        </is>
      </c>
      <c r="G582" t="inlineStr">
        <is>
          <t>GVXL</t>
        </is>
      </c>
      <c r="H582" t="inlineStr">
        <is>
          <t>BYPASS</t>
        </is>
      </c>
      <c r="I582" t="inlineStr">
        <is>
          <t>4000A</t>
        </is>
      </c>
      <c r="J582" t="inlineStr">
        <is>
          <t>BESSIERE</t>
        </is>
      </c>
      <c r="K582" t="inlineStr">
        <is>
          <t>METAL</t>
        </is>
      </c>
      <c r="L582">
        <f>_xlfn.XLOOKUP(Tableau1[[#This Row],[TYPE DE PIECE]],Tableau4[MATIERE],Tableau4[SHORT TYPE],"",0,1)</f>
        <v/>
      </c>
      <c r="N582">
        <f>IF(ISERR(FIND("DECOUPE",Tableau1[[#This Row],[DESIGNATION]])),"","NEED REF")</f>
        <v/>
      </c>
    </row>
    <row r="583">
      <c r="B583" t="n">
        <v>34413419</v>
      </c>
      <c r="C583" s="2" t="n">
        <v>45666</v>
      </c>
      <c r="D583" t="inlineStr">
        <is>
          <t>SPEC</t>
        </is>
      </c>
      <c r="E58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83" t="inlineStr">
        <is>
          <t>etude bypass</t>
        </is>
      </c>
      <c r="G583" t="inlineStr">
        <is>
          <t>GVXL</t>
        </is>
      </c>
      <c r="H583" t="inlineStr">
        <is>
          <t>BYPASS</t>
        </is>
      </c>
      <c r="I583" t="inlineStr">
        <is>
          <t>4000A</t>
        </is>
      </c>
      <c r="J583" t="inlineStr">
        <is>
          <t>BESSIERE</t>
        </is>
      </c>
      <c r="K583" t="inlineStr">
        <is>
          <t>PLASTIQUE</t>
        </is>
      </c>
      <c r="L583">
        <f>_xlfn.XLOOKUP(Tableau1[[#This Row],[TYPE DE PIECE]],Tableau4[MATIERE],Tableau4[SHORT TYPE],"",0,1)</f>
        <v/>
      </c>
      <c r="N583">
        <f>IF(ISERR(FIND("DECOUPE",Tableau1[[#This Row],[DESIGNATION]])),"","NEED REF")</f>
        <v/>
      </c>
    </row>
    <row r="584">
      <c r="B584" t="n">
        <v>34413418</v>
      </c>
      <c r="C584" s="2" t="n">
        <v>45666</v>
      </c>
      <c r="D584" t="inlineStr">
        <is>
          <t>SPEC</t>
        </is>
      </c>
      <c r="E58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84" t="inlineStr">
        <is>
          <t>etude bypass</t>
        </is>
      </c>
      <c r="G584" t="inlineStr">
        <is>
          <t>GVXL</t>
        </is>
      </c>
      <c r="H584" t="inlineStr">
        <is>
          <t>BYPASS</t>
        </is>
      </c>
      <c r="I584" t="inlineStr">
        <is>
          <t>4000A</t>
        </is>
      </c>
      <c r="J584" t="inlineStr">
        <is>
          <t>BESSIERE</t>
        </is>
      </c>
      <c r="K584" t="inlineStr">
        <is>
          <t>PLASTIQUE</t>
        </is>
      </c>
      <c r="L584">
        <f>_xlfn.XLOOKUP(Tableau1[[#This Row],[TYPE DE PIECE]],Tableau4[MATIERE],Tableau4[SHORT TYPE],"",0,1)</f>
        <v/>
      </c>
      <c r="N584">
        <f>IF(ISERR(FIND("DECOUPE",Tableau1[[#This Row],[DESIGNATION]])),"","NEED REF")</f>
        <v/>
      </c>
    </row>
    <row r="585">
      <c r="B585" t="n">
        <v>34413417</v>
      </c>
      <c r="C585" s="2" t="n">
        <v>45666</v>
      </c>
      <c r="D585" t="inlineStr">
        <is>
          <t>SPEC</t>
        </is>
      </c>
      <c r="E58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85" t="inlineStr">
        <is>
          <t>GVXL</t>
        </is>
      </c>
      <c r="H585" t="inlineStr">
        <is>
          <t>UPS</t>
        </is>
      </c>
      <c r="I585" t="inlineStr">
        <is>
          <t>1250kVA</t>
        </is>
      </c>
      <c r="J585" t="inlineStr">
        <is>
          <t>MATRION</t>
        </is>
      </c>
      <c r="K585" t="inlineStr">
        <is>
          <t>METAL</t>
        </is>
      </c>
      <c r="L585">
        <f>_xlfn.XLOOKUP(Tableau1[[#This Row],[TYPE DE PIECE]],Tableau4[MATIERE],Tableau4[SHORT TYPE],"",0,1)</f>
        <v/>
      </c>
      <c r="N585">
        <f>IF(ISERR(FIND("DECOUPE",Tableau1[[#This Row],[DESIGNATION]])),"","NEED REF")</f>
        <v/>
      </c>
    </row>
    <row r="586">
      <c r="B586" t="n">
        <v>34413416</v>
      </c>
      <c r="C586" s="2" t="n">
        <v>45666</v>
      </c>
      <c r="D586" t="inlineStr">
        <is>
          <t>SPEC</t>
        </is>
      </c>
      <c r="E58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86" t="inlineStr">
        <is>
          <t>GVXL</t>
        </is>
      </c>
      <c r="H586" t="inlineStr">
        <is>
          <t>UPS</t>
        </is>
      </c>
      <c r="I586" t="inlineStr">
        <is>
          <t>1250kVA</t>
        </is>
      </c>
      <c r="J586" t="inlineStr">
        <is>
          <t>MATRION</t>
        </is>
      </c>
      <c r="L586">
        <f>_xlfn.XLOOKUP(Tableau1[[#This Row],[TYPE DE PIECE]],Tableau4[MATIERE],Tableau4[SHORT TYPE],"",0,1)</f>
        <v/>
      </c>
      <c r="N586">
        <f>IF(ISERR(FIND("DECOUPE",Tableau1[[#This Row],[DESIGNATION]])),"","NEED REF")</f>
        <v/>
      </c>
    </row>
    <row r="587">
      <c r="B587" t="n">
        <v>34413415</v>
      </c>
      <c r="C587" s="2" t="n">
        <v>45666</v>
      </c>
      <c r="D587" t="inlineStr">
        <is>
          <t>SPEC</t>
        </is>
      </c>
      <c r="E587" s="92" t="inlineStr">
        <is>
          <t>TFO 80 kva 400/115V BCV svt BCV-482622</t>
        </is>
      </c>
      <c r="J587" t="inlineStr">
        <is>
          <t>BERNARDEAU</t>
        </is>
      </c>
      <c r="K587" t="inlineStr">
        <is>
          <t>BCV</t>
        </is>
      </c>
      <c r="L587">
        <f>_xlfn.XLOOKUP(Tableau1[[#This Row],[TYPE DE PIECE]],Tableau4[MATIERE],Tableau4[SHORT TYPE],"",0,1)</f>
        <v/>
      </c>
      <c r="N587">
        <f>IF(ISERR(FIND("DECOUPE",Tableau1[[#This Row],[DESIGNATION]])),"","NEED REF")</f>
        <v/>
      </c>
    </row>
    <row r="588">
      <c r="B588" t="n">
        <v>34413414</v>
      </c>
      <c r="C588" s="2" t="n">
        <v>45666</v>
      </c>
      <c r="D588" t="inlineStr">
        <is>
          <t>SPEC</t>
        </is>
      </c>
      <c r="E58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588" t="inlineStr">
        <is>
          <t>GVXL</t>
        </is>
      </c>
      <c r="H588" t="inlineStr">
        <is>
          <t>UPS</t>
        </is>
      </c>
      <c r="I588" t="inlineStr">
        <is>
          <t>1250kVA</t>
        </is>
      </c>
      <c r="J588" t="inlineStr">
        <is>
          <t>MATRION</t>
        </is>
      </c>
      <c r="L588">
        <f>_xlfn.XLOOKUP(Tableau1[[#This Row],[TYPE DE PIECE]],Tableau4[MATIERE],Tableau4[SHORT TYPE],"",0,1)</f>
        <v/>
      </c>
      <c r="N588">
        <f>IF(ISERR(FIND("DECOUPE",Tableau1[[#This Row],[DESIGNATION]])),"","NEED REF")</f>
        <v/>
      </c>
    </row>
    <row r="589">
      <c r="B589" t="n">
        <v>34413413</v>
      </c>
      <c r="C589" s="2" t="n">
        <v>45664</v>
      </c>
      <c r="D589" t="inlineStr">
        <is>
          <t>SPEC</t>
        </is>
      </c>
      <c r="E589" t="inlineStr">
        <is>
          <t>CANEVAS MTZ2  2500A Micro.5.0X 3P</t>
        </is>
      </c>
      <c r="F589" t="inlineStr">
        <is>
          <t>ENEL - PS DOO</t>
        </is>
      </c>
      <c r="J589" t="inlineStr">
        <is>
          <t>BERNARDEAU</t>
        </is>
      </c>
      <c r="K589" t="inlineStr">
        <is>
          <t>canevas</t>
        </is>
      </c>
      <c r="L589">
        <f>_xlfn.XLOOKUP(Tableau1[[#This Row],[TYPE DE PIECE]],Tableau4[MATIERE],Tableau4[SHORT TYPE],"",0,1)</f>
        <v/>
      </c>
      <c r="M589" t="inlineStr">
        <is>
          <t>canevas</t>
        </is>
      </c>
      <c r="N589">
        <f>IF(ISERR(FIND("DECOUPE",Tableau1[[#This Row],[DESIGNATION]])),"","NEED REF")</f>
        <v/>
      </c>
    </row>
    <row r="590">
      <c r="B590" t="n">
        <v>34413412</v>
      </c>
      <c r="C590" s="2" t="n">
        <v>45664</v>
      </c>
      <c r="D590" t="inlineStr">
        <is>
          <t>SPEC</t>
        </is>
      </c>
      <c r="E590" t="inlineStr">
        <is>
          <t>CANEVAS MTZ2 2000A Micro.5.0X 4P</t>
        </is>
      </c>
      <c r="F590" t="inlineStr">
        <is>
          <t>ENEL - PS DOO</t>
        </is>
      </c>
      <c r="J590" t="inlineStr">
        <is>
          <t>BERNARDEAU</t>
        </is>
      </c>
      <c r="K590" t="inlineStr">
        <is>
          <t>canevas</t>
        </is>
      </c>
      <c r="L590">
        <f>_xlfn.XLOOKUP(Tableau1[[#This Row],[TYPE DE PIECE]],Tableau4[MATIERE],Tableau4[SHORT TYPE],"",0,1)</f>
        <v/>
      </c>
      <c r="M590" t="inlineStr">
        <is>
          <t>canevas</t>
        </is>
      </c>
      <c r="N590">
        <f>IF(ISERR(FIND("DECOUPE",Tableau1[[#This Row],[DESIGNATION]])),"","NEED REF")</f>
        <v/>
      </c>
    </row>
    <row r="591">
      <c r="B591" t="n">
        <v>34413411</v>
      </c>
      <c r="C591" s="2" t="n">
        <v>45664</v>
      </c>
      <c r="D591" t="inlineStr">
        <is>
          <t>SPEC</t>
        </is>
      </c>
      <c r="E591" t="inlineStr">
        <is>
          <t>CANEVAS SWITCH MTZ2 2000A 4P + BMX</t>
        </is>
      </c>
      <c r="F591" t="inlineStr">
        <is>
          <t>ENEL - PS DOO</t>
        </is>
      </c>
      <c r="J591" t="inlineStr">
        <is>
          <t>BERNARDEAU</t>
        </is>
      </c>
      <c r="K591" t="inlineStr">
        <is>
          <t>canevas</t>
        </is>
      </c>
      <c r="L591">
        <f>_xlfn.XLOOKUP(Tableau1[[#This Row],[TYPE DE PIECE]],Tableau4[MATIERE],Tableau4[SHORT TYPE],"",0,1)</f>
        <v/>
      </c>
      <c r="M591" t="inlineStr">
        <is>
          <t>canevas</t>
        </is>
      </c>
      <c r="N591">
        <f>IF(ISERR(FIND("DECOUPE",Tableau1[[#This Row],[DESIGNATION]])),"","NEED REF")</f>
        <v/>
      </c>
    </row>
    <row r="592">
      <c r="B592" t="n">
        <v>34413410</v>
      </c>
      <c r="C592" s="2" t="n">
        <v>45646</v>
      </c>
      <c r="D592" t="inlineStr">
        <is>
          <t>SPEC</t>
        </is>
      </c>
      <c r="E59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92" t="inlineStr">
        <is>
          <t>etude bypass</t>
        </is>
      </c>
      <c r="G592" t="inlineStr">
        <is>
          <t>GVXL</t>
        </is>
      </c>
      <c r="H592" t="inlineStr">
        <is>
          <t>BYPASS</t>
        </is>
      </c>
      <c r="I592" t="inlineStr">
        <is>
          <t>4000A</t>
        </is>
      </c>
      <c r="J592" t="inlineStr">
        <is>
          <t>BESSIERE</t>
        </is>
      </c>
      <c r="L592">
        <f>_xlfn.XLOOKUP(Tableau1[[#This Row],[TYPE DE PIECE]],Tableau4[MATIERE],Tableau4[SHORT TYPE],"",0,1)</f>
        <v/>
      </c>
      <c r="N592">
        <f>IF(ISERR(FIND("DECOUPE",Tableau1[[#This Row],[DESIGNATION]])),"","NEED REF")</f>
        <v/>
      </c>
    </row>
    <row r="593">
      <c r="B593" t="n">
        <v>34413409</v>
      </c>
      <c r="C593" s="2" t="n">
        <v>45646</v>
      </c>
      <c r="D593" t="inlineStr">
        <is>
          <t>SPEC</t>
        </is>
      </c>
      <c r="E59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93" t="inlineStr">
        <is>
          <t>etude bypass</t>
        </is>
      </c>
      <c r="G593" t="inlineStr">
        <is>
          <t>GVXL</t>
        </is>
      </c>
      <c r="H593" t="inlineStr">
        <is>
          <t>BYPASS</t>
        </is>
      </c>
      <c r="I593" t="inlineStr">
        <is>
          <t>4000A</t>
        </is>
      </c>
      <c r="J593" t="inlineStr">
        <is>
          <t>BESSIERE</t>
        </is>
      </c>
      <c r="L593">
        <f>_xlfn.XLOOKUP(Tableau1[[#This Row],[TYPE DE PIECE]],Tableau4[MATIERE],Tableau4[SHORT TYPE],"",0,1)</f>
        <v/>
      </c>
      <c r="N593">
        <f>IF(ISERR(FIND("DECOUPE",Tableau1[[#This Row],[DESIGNATION]])),"","NEED REF")</f>
        <v/>
      </c>
    </row>
    <row r="594">
      <c r="B594" t="n">
        <v>34413408</v>
      </c>
      <c r="C594" s="2" t="n">
        <v>45646</v>
      </c>
      <c r="D594" t="inlineStr">
        <is>
          <t>SPEC</t>
        </is>
      </c>
      <c r="E59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94" t="inlineStr">
        <is>
          <t>etude bypass</t>
        </is>
      </c>
      <c r="G594" t="inlineStr">
        <is>
          <t>GVXL</t>
        </is>
      </c>
      <c r="H594" t="inlineStr">
        <is>
          <t>BYPASS</t>
        </is>
      </c>
      <c r="I594" t="inlineStr">
        <is>
          <t>4000A</t>
        </is>
      </c>
      <c r="J594" t="inlineStr">
        <is>
          <t>BESSIERE</t>
        </is>
      </c>
      <c r="K594" t="inlineStr">
        <is>
          <t>PLASTIQUE</t>
        </is>
      </c>
      <c r="L594">
        <f>_xlfn.XLOOKUP(Tableau1[[#This Row],[TYPE DE PIECE]],Tableau4[MATIERE],Tableau4[SHORT TYPE],"",0,1)</f>
        <v/>
      </c>
      <c r="N594">
        <f>IF(ISERR(FIND("DECOUPE",Tableau1[[#This Row],[DESIGNATION]])),"","NEED REF")</f>
        <v/>
      </c>
    </row>
    <row r="595">
      <c r="B595" t="n">
        <v>34413407</v>
      </c>
      <c r="C595" s="2" t="n">
        <v>45646</v>
      </c>
      <c r="D595" t="inlineStr">
        <is>
          <t>SPEC</t>
        </is>
      </c>
      <c r="E59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95" t="inlineStr">
        <is>
          <t>etude bypass</t>
        </is>
      </c>
      <c r="G595" t="inlineStr">
        <is>
          <t>GVXL</t>
        </is>
      </c>
      <c r="H595" t="inlineStr">
        <is>
          <t>BYPASS</t>
        </is>
      </c>
      <c r="I595" t="inlineStr">
        <is>
          <t>4000A</t>
        </is>
      </c>
      <c r="J595" t="inlineStr">
        <is>
          <t>BESSIERE</t>
        </is>
      </c>
      <c r="K595" t="inlineStr">
        <is>
          <t>CUIVRE</t>
        </is>
      </c>
      <c r="L595">
        <f>_xlfn.XLOOKUP(Tableau1[[#This Row],[TYPE DE PIECE]],Tableau4[MATIERE],Tableau4[SHORT TYPE],"",0,1)</f>
        <v/>
      </c>
      <c r="N595">
        <f>IF(ISERR(FIND("DECOUPE",Tableau1[[#This Row],[DESIGNATION]])),"","NEED REF")</f>
        <v/>
      </c>
    </row>
    <row r="596">
      <c r="B596" t="n">
        <v>34413406</v>
      </c>
      <c r="C596" s="2" t="n">
        <v>45646</v>
      </c>
      <c r="D596" t="inlineStr">
        <is>
          <t>SPEC</t>
        </is>
      </c>
      <c r="E59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96" t="inlineStr">
        <is>
          <t>etude bypass</t>
        </is>
      </c>
      <c r="G596" t="inlineStr">
        <is>
          <t>GVXL</t>
        </is>
      </c>
      <c r="H596" t="inlineStr">
        <is>
          <t>BYPASS</t>
        </is>
      </c>
      <c r="I596" t="inlineStr">
        <is>
          <t>4000A</t>
        </is>
      </c>
      <c r="J596" t="inlineStr">
        <is>
          <t>BESSIERE</t>
        </is>
      </c>
      <c r="K596" t="inlineStr">
        <is>
          <t>CUIVRE</t>
        </is>
      </c>
      <c r="L596">
        <f>_xlfn.XLOOKUP(Tableau1[[#This Row],[TYPE DE PIECE]],Tableau4[MATIERE],Tableau4[SHORT TYPE],"",0,1)</f>
        <v/>
      </c>
      <c r="N596">
        <f>IF(ISERR(FIND("DECOUPE",Tableau1[[#This Row],[DESIGNATION]])),"","NEED REF")</f>
        <v/>
      </c>
    </row>
    <row r="597">
      <c r="B597" t="n">
        <v>34413405</v>
      </c>
      <c r="C597" s="2" t="n">
        <v>45646</v>
      </c>
      <c r="D597" t="inlineStr">
        <is>
          <t>SPEC</t>
        </is>
      </c>
      <c r="E59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97" t="inlineStr">
        <is>
          <t>etude bypass</t>
        </is>
      </c>
      <c r="G597" t="inlineStr">
        <is>
          <t>GVXL</t>
        </is>
      </c>
      <c r="H597" t="inlineStr">
        <is>
          <t>BYPASS</t>
        </is>
      </c>
      <c r="I597" t="inlineStr">
        <is>
          <t>4000A</t>
        </is>
      </c>
      <c r="J597" t="inlineStr">
        <is>
          <t>BESSIERE</t>
        </is>
      </c>
      <c r="K597" t="inlineStr">
        <is>
          <t>CUIVRE</t>
        </is>
      </c>
      <c r="L597">
        <f>_xlfn.XLOOKUP(Tableau1[[#This Row],[TYPE DE PIECE]],Tableau4[MATIERE],Tableau4[SHORT TYPE],"",0,1)</f>
        <v/>
      </c>
      <c r="N597">
        <f>IF(ISERR(FIND("DECOUPE",Tableau1[[#This Row],[DESIGNATION]])),"","NEED REF")</f>
        <v/>
      </c>
    </row>
    <row r="598">
      <c r="B598" t="n">
        <v>34413404</v>
      </c>
      <c r="C598" s="2" t="n">
        <v>45646</v>
      </c>
      <c r="D598" t="inlineStr">
        <is>
          <t>SPEC</t>
        </is>
      </c>
      <c r="E59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98" t="inlineStr">
        <is>
          <t>etude bypass</t>
        </is>
      </c>
      <c r="G598" t="inlineStr">
        <is>
          <t>GVXL</t>
        </is>
      </c>
      <c r="H598" t="inlineStr">
        <is>
          <t>BYPASS</t>
        </is>
      </c>
      <c r="I598" t="inlineStr">
        <is>
          <t>4000A</t>
        </is>
      </c>
      <c r="J598" t="inlineStr">
        <is>
          <t>BESSIERE</t>
        </is>
      </c>
      <c r="K598" t="inlineStr">
        <is>
          <t>CUIVRE</t>
        </is>
      </c>
      <c r="L598">
        <f>_xlfn.XLOOKUP(Tableau1[[#This Row],[TYPE DE PIECE]],Tableau4[MATIERE],Tableau4[SHORT TYPE],"",0,1)</f>
        <v/>
      </c>
      <c r="N598">
        <f>IF(ISERR(FIND("DECOUPE",Tableau1[[#This Row],[DESIGNATION]])),"","NEED REF")</f>
        <v/>
      </c>
    </row>
    <row r="599">
      <c r="B599" t="n">
        <v>34413403</v>
      </c>
      <c r="C599" s="2" t="n">
        <v>45646</v>
      </c>
      <c r="D599" t="inlineStr">
        <is>
          <t>SPEC</t>
        </is>
      </c>
      <c r="E59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599" t="inlineStr">
        <is>
          <t>etude bypass</t>
        </is>
      </c>
      <c r="G599" t="inlineStr">
        <is>
          <t>GVXL</t>
        </is>
      </c>
      <c r="H599" t="inlineStr">
        <is>
          <t>BYPASS</t>
        </is>
      </c>
      <c r="I599" t="inlineStr">
        <is>
          <t>4000A</t>
        </is>
      </c>
      <c r="J599" t="inlineStr">
        <is>
          <t>BESSIERE</t>
        </is>
      </c>
      <c r="K599" t="inlineStr">
        <is>
          <t>METAL</t>
        </is>
      </c>
      <c r="L599">
        <f>_xlfn.XLOOKUP(Tableau1[[#This Row],[TYPE DE PIECE]],Tableau4[MATIERE],Tableau4[SHORT TYPE],"",0,1)</f>
        <v/>
      </c>
      <c r="N599">
        <f>IF(ISERR(FIND("DECOUPE",Tableau1[[#This Row],[DESIGNATION]])),"","NEED REF")</f>
        <v/>
      </c>
    </row>
    <row r="600">
      <c r="B600" t="n">
        <v>34413402</v>
      </c>
      <c r="C600" s="2" t="n">
        <v>45646</v>
      </c>
      <c r="D600" t="inlineStr">
        <is>
          <t>SPEC</t>
        </is>
      </c>
      <c r="E60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00" t="inlineStr">
        <is>
          <t>etude bypass</t>
        </is>
      </c>
      <c r="G600" t="inlineStr">
        <is>
          <t>GVXL</t>
        </is>
      </c>
      <c r="H600" t="inlineStr">
        <is>
          <t>BYPASS</t>
        </is>
      </c>
      <c r="I600" t="inlineStr">
        <is>
          <t>4000A</t>
        </is>
      </c>
      <c r="J600" t="inlineStr">
        <is>
          <t>BESSIERE</t>
        </is>
      </c>
      <c r="K600" t="inlineStr">
        <is>
          <t>METAL</t>
        </is>
      </c>
      <c r="L600">
        <f>_xlfn.XLOOKUP(Tableau1[[#This Row],[TYPE DE PIECE]],Tableau4[MATIERE],Tableau4[SHORT TYPE],"",0,1)</f>
        <v/>
      </c>
      <c r="N600">
        <f>IF(ISERR(FIND("DECOUPE",Tableau1[[#This Row],[DESIGNATION]])),"","NEED REF")</f>
        <v/>
      </c>
    </row>
    <row r="601">
      <c r="B601" t="n">
        <v>34413401</v>
      </c>
      <c r="C601" s="2" t="n">
        <v>45646</v>
      </c>
      <c r="D601" t="inlineStr">
        <is>
          <t>SPEC</t>
        </is>
      </c>
      <c r="E60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01" t="inlineStr">
        <is>
          <t>etude bypass</t>
        </is>
      </c>
      <c r="G601" t="inlineStr">
        <is>
          <t>GVXL</t>
        </is>
      </c>
      <c r="H601" t="inlineStr">
        <is>
          <t>BYPASS</t>
        </is>
      </c>
      <c r="I601" t="inlineStr">
        <is>
          <t>4000A</t>
        </is>
      </c>
      <c r="J601" t="inlineStr">
        <is>
          <t>BESSIERE</t>
        </is>
      </c>
      <c r="K601" t="inlineStr">
        <is>
          <t>METAL</t>
        </is>
      </c>
      <c r="L601">
        <f>_xlfn.XLOOKUP(Tableau1[[#This Row],[TYPE DE PIECE]],Tableau4[MATIERE],Tableau4[SHORT TYPE],"",0,1)</f>
        <v/>
      </c>
      <c r="N601">
        <f>IF(ISERR(FIND("DECOUPE",Tableau1[[#This Row],[DESIGNATION]])),"","NEED REF")</f>
        <v/>
      </c>
    </row>
    <row r="602">
      <c r="B602" t="n">
        <v>34413400</v>
      </c>
      <c r="C602" s="2" t="n">
        <v>45646</v>
      </c>
      <c r="D602" t="inlineStr">
        <is>
          <t>SPEC</t>
        </is>
      </c>
      <c r="E60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02" t="inlineStr">
        <is>
          <t>etude bypass</t>
        </is>
      </c>
      <c r="G602" t="inlineStr">
        <is>
          <t>GVXL</t>
        </is>
      </c>
      <c r="H602" t="inlineStr">
        <is>
          <t>BYPASS</t>
        </is>
      </c>
      <c r="I602" t="inlineStr">
        <is>
          <t>4000A</t>
        </is>
      </c>
      <c r="J602" t="inlineStr">
        <is>
          <t>BESSIERE</t>
        </is>
      </c>
      <c r="K602" t="inlineStr">
        <is>
          <t>METAL</t>
        </is>
      </c>
      <c r="L602">
        <f>_xlfn.XLOOKUP(Tableau1[[#This Row],[TYPE DE PIECE]],Tableau4[MATIERE],Tableau4[SHORT TYPE],"",0,1)</f>
        <v/>
      </c>
      <c r="N602">
        <f>IF(ISERR(FIND("DECOUPE",Tableau1[[#This Row],[DESIGNATION]])),"","NEED REF")</f>
        <v/>
      </c>
    </row>
    <row r="603">
      <c r="B603" t="n">
        <v>34413399</v>
      </c>
      <c r="C603" s="2" t="n">
        <v>45645</v>
      </c>
      <c r="D603" t="inlineStr">
        <is>
          <t>SPEC</t>
        </is>
      </c>
      <c r="E60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03" t="inlineStr">
        <is>
          <t>etude bypass</t>
        </is>
      </c>
      <c r="G603" t="inlineStr">
        <is>
          <t>GVXL</t>
        </is>
      </c>
      <c r="H603" t="inlineStr">
        <is>
          <t>BYPASS</t>
        </is>
      </c>
      <c r="I603" t="inlineStr">
        <is>
          <t>4000A</t>
        </is>
      </c>
      <c r="J603" t="inlineStr">
        <is>
          <t>BESSIERE</t>
        </is>
      </c>
      <c r="K603" t="inlineStr">
        <is>
          <t>CUIVRE</t>
        </is>
      </c>
      <c r="L603">
        <f>_xlfn.XLOOKUP(Tableau1[[#This Row],[TYPE DE PIECE]],Tableau4[MATIERE],Tableau4[SHORT TYPE],"",0,1)</f>
        <v/>
      </c>
      <c r="N603">
        <f>IF(ISERR(FIND("DECOUPE",Tableau1[[#This Row],[DESIGNATION]])),"","NEED REF")</f>
        <v/>
      </c>
    </row>
    <row r="604">
      <c r="B604" t="n">
        <v>34413398</v>
      </c>
      <c r="C604" s="2" t="n">
        <v>45645</v>
      </c>
      <c r="D604" t="inlineStr">
        <is>
          <t>SPEC</t>
        </is>
      </c>
      <c r="E60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04" t="inlineStr">
        <is>
          <t>etude bypass</t>
        </is>
      </c>
      <c r="G604" t="inlineStr">
        <is>
          <t>GVXL</t>
        </is>
      </c>
      <c r="H604" t="inlineStr">
        <is>
          <t>BYPASS</t>
        </is>
      </c>
      <c r="I604" t="inlineStr">
        <is>
          <t>4000A</t>
        </is>
      </c>
      <c r="J604" t="inlineStr">
        <is>
          <t>BESSIERE</t>
        </is>
      </c>
      <c r="K604" t="inlineStr">
        <is>
          <t>CUIVRE</t>
        </is>
      </c>
      <c r="L604">
        <f>_xlfn.XLOOKUP(Tableau1[[#This Row],[TYPE DE PIECE]],Tableau4[MATIERE],Tableau4[SHORT TYPE],"",0,1)</f>
        <v/>
      </c>
      <c r="N604">
        <f>IF(ISERR(FIND("DECOUPE",Tableau1[[#This Row],[DESIGNATION]])),"","NEED REF")</f>
        <v/>
      </c>
    </row>
    <row r="605">
      <c r="B605" t="n">
        <v>34413397</v>
      </c>
      <c r="C605" s="2" t="n">
        <v>45645</v>
      </c>
      <c r="D605" t="inlineStr">
        <is>
          <t>SPEC</t>
        </is>
      </c>
      <c r="E60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05" t="inlineStr">
        <is>
          <t>etude bypass</t>
        </is>
      </c>
      <c r="G605" t="inlineStr">
        <is>
          <t>GVXL</t>
        </is>
      </c>
      <c r="H605" t="inlineStr">
        <is>
          <t>BYPASS</t>
        </is>
      </c>
      <c r="I605" t="inlineStr">
        <is>
          <t>4000A</t>
        </is>
      </c>
      <c r="J605" t="inlineStr">
        <is>
          <t>BESSIERE</t>
        </is>
      </c>
      <c r="K605" t="inlineStr">
        <is>
          <t>CUIVRE</t>
        </is>
      </c>
      <c r="L605">
        <f>_xlfn.XLOOKUP(Tableau1[[#This Row],[TYPE DE PIECE]],Tableau4[MATIERE],Tableau4[SHORT TYPE],"",0,1)</f>
        <v/>
      </c>
      <c r="N605">
        <f>IF(ISERR(FIND("DECOUPE",Tableau1[[#This Row],[DESIGNATION]])),"","NEED REF")</f>
        <v/>
      </c>
    </row>
    <row r="606">
      <c r="B606" t="n">
        <v>34413396</v>
      </c>
      <c r="C606" s="2" t="n">
        <v>45645</v>
      </c>
      <c r="D606" t="inlineStr">
        <is>
          <t>SPEC</t>
        </is>
      </c>
      <c r="E606" t="inlineStr">
        <is>
          <t>COP 34413396 GVXL UPS OUTPUT L1 3</t>
        </is>
      </c>
      <c r="F606" t="inlineStr">
        <is>
          <t>etude bypass</t>
        </is>
      </c>
      <c r="G606" t="inlineStr">
        <is>
          <t>GVXL</t>
        </is>
      </c>
      <c r="H606" t="inlineStr">
        <is>
          <t>BYPASS</t>
        </is>
      </c>
      <c r="I606" t="inlineStr">
        <is>
          <t>4000A</t>
        </is>
      </c>
      <c r="J606" t="inlineStr">
        <is>
          <t>BESSIERE</t>
        </is>
      </c>
      <c r="K606" t="inlineStr">
        <is>
          <t>CUIVRE</t>
        </is>
      </c>
      <c r="L606">
        <f>_xlfn.XLOOKUP(Tableau1[[#This Row],[TYPE DE PIECE]],Tableau4[MATIERE],Tableau4[SHORT TYPE],"",0,1)</f>
        <v/>
      </c>
      <c r="N606">
        <f>IF(ISERR(FIND("DECOUPE",Tableau1[[#This Row],[DESIGNATION]])),"","NEED REF")</f>
        <v/>
      </c>
    </row>
    <row r="607">
      <c r="B607" t="n">
        <v>34413395</v>
      </c>
      <c r="C607" s="2" t="n">
        <v>45645</v>
      </c>
      <c r="D607" t="inlineStr">
        <is>
          <t>SPEC</t>
        </is>
      </c>
      <c r="E60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07" t="inlineStr">
        <is>
          <t>etude bypass</t>
        </is>
      </c>
      <c r="G607" t="inlineStr">
        <is>
          <t>GVXL</t>
        </is>
      </c>
      <c r="H607" t="inlineStr">
        <is>
          <t>BYPASS</t>
        </is>
      </c>
      <c r="I607" t="inlineStr">
        <is>
          <t>4000A</t>
        </is>
      </c>
      <c r="J607" t="inlineStr">
        <is>
          <t>BESSIERE</t>
        </is>
      </c>
      <c r="K607" t="inlineStr">
        <is>
          <t>CUIVRE</t>
        </is>
      </c>
      <c r="L607">
        <f>_xlfn.XLOOKUP(Tableau1[[#This Row],[TYPE DE PIECE]],Tableau4[MATIERE],Tableau4[SHORT TYPE],"",0,1)</f>
        <v/>
      </c>
      <c r="N607">
        <f>IF(ISERR(FIND("DECOUPE",Tableau1[[#This Row],[DESIGNATION]])),"","NEED REF")</f>
        <v/>
      </c>
    </row>
    <row r="608">
      <c r="B608" t="n">
        <v>34413394</v>
      </c>
      <c r="C608" s="2" t="n">
        <v>45645</v>
      </c>
      <c r="D608" t="inlineStr">
        <is>
          <t>SPEC</t>
        </is>
      </c>
      <c r="E608" t="inlineStr">
        <is>
          <t>COP 34413351 GVXL UPS MAINS1 L2 3</t>
        </is>
      </c>
      <c r="F608" t="inlineStr">
        <is>
          <t>etude bypass</t>
        </is>
      </c>
      <c r="G608" t="inlineStr">
        <is>
          <t>GVXL</t>
        </is>
      </c>
      <c r="H608" t="inlineStr">
        <is>
          <t>BYPASS</t>
        </is>
      </c>
      <c r="I608" t="inlineStr">
        <is>
          <t>4000A</t>
        </is>
      </c>
      <c r="J608" t="inlineStr">
        <is>
          <t>BESSIERE</t>
        </is>
      </c>
      <c r="K608" t="inlineStr">
        <is>
          <t>CUIVRE</t>
        </is>
      </c>
      <c r="L608">
        <f>_xlfn.XLOOKUP(Tableau1[[#This Row],[TYPE DE PIECE]],Tableau4[MATIERE],Tableau4[SHORT TYPE],"",0,1)</f>
        <v/>
      </c>
      <c r="N608">
        <f>IF(ISERR(FIND("DECOUPE",Tableau1[[#This Row],[DESIGNATION]])),"","NEED REF")</f>
        <v/>
      </c>
    </row>
    <row r="609">
      <c r="B609" t="n">
        <v>34413393</v>
      </c>
      <c r="C609" s="2" t="n">
        <v>45645</v>
      </c>
      <c r="D609" t="inlineStr">
        <is>
          <t>SPEC</t>
        </is>
      </c>
      <c r="E60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09" t="inlineStr">
        <is>
          <t>etude bypass</t>
        </is>
      </c>
      <c r="G609" t="inlineStr">
        <is>
          <t>GVXL</t>
        </is>
      </c>
      <c r="H609" t="inlineStr">
        <is>
          <t>BYPASS</t>
        </is>
      </c>
      <c r="I609" t="inlineStr">
        <is>
          <t>4000A</t>
        </is>
      </c>
      <c r="J609" t="inlineStr">
        <is>
          <t>BESSIERE</t>
        </is>
      </c>
      <c r="K609" t="inlineStr">
        <is>
          <t>CUIVRE</t>
        </is>
      </c>
      <c r="L609">
        <f>_xlfn.XLOOKUP(Tableau1[[#This Row],[TYPE DE PIECE]],Tableau4[MATIERE],Tableau4[SHORT TYPE],"",0,1)</f>
        <v/>
      </c>
      <c r="N609">
        <f>IF(ISERR(FIND("DECOUPE",Tableau1[[#This Row],[DESIGNATION]])),"","NEED REF")</f>
        <v/>
      </c>
    </row>
    <row r="610">
      <c r="B610" t="n">
        <v>34413392</v>
      </c>
      <c r="C610" s="2" t="n">
        <v>45642</v>
      </c>
      <c r="D610" t="inlineStr">
        <is>
          <t>SPEC</t>
        </is>
      </c>
      <c r="E610" t="inlineStr">
        <is>
          <t>COP 34413392 GVXL UPS MAINS1 L1 3</t>
        </is>
      </c>
      <c r="F610" t="inlineStr">
        <is>
          <t>etude bypass</t>
        </is>
      </c>
      <c r="G610" t="inlineStr">
        <is>
          <t>GVXL</t>
        </is>
      </c>
      <c r="H610" t="inlineStr">
        <is>
          <t>BYPASS</t>
        </is>
      </c>
      <c r="I610" t="inlineStr">
        <is>
          <t>4000A</t>
        </is>
      </c>
      <c r="J610" t="inlineStr">
        <is>
          <t>BESSIERE</t>
        </is>
      </c>
      <c r="K610" t="inlineStr">
        <is>
          <t>CUIVRE</t>
        </is>
      </c>
      <c r="L610">
        <f>_xlfn.XLOOKUP(Tableau1[[#This Row],[TYPE DE PIECE]],Tableau4[MATIERE],Tableau4[SHORT TYPE],"",0,1)</f>
        <v/>
      </c>
      <c r="N610">
        <f>IF(ISERR(FIND("DECOUPE",Tableau1[[#This Row],[DESIGNATION]])),"","NEED REF")</f>
        <v/>
      </c>
    </row>
    <row r="611">
      <c r="B611" t="n">
        <v>34413391</v>
      </c>
      <c r="C611" s="2" t="n">
        <v>45642</v>
      </c>
      <c r="D611" t="inlineStr">
        <is>
          <t>SPEC</t>
        </is>
      </c>
      <c r="E61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1" t="inlineStr">
        <is>
          <t>etude bypass</t>
        </is>
      </c>
      <c r="G611" t="inlineStr">
        <is>
          <t>GVXL</t>
        </is>
      </c>
      <c r="H611" t="inlineStr">
        <is>
          <t>BYPASS</t>
        </is>
      </c>
      <c r="I611" t="inlineStr">
        <is>
          <t>4000A</t>
        </is>
      </c>
      <c r="J611" t="inlineStr">
        <is>
          <t>BESSIERE</t>
        </is>
      </c>
      <c r="K611" t="inlineStr">
        <is>
          <t>CUIVRE</t>
        </is>
      </c>
      <c r="L611">
        <f>_xlfn.XLOOKUP(Tableau1[[#This Row],[TYPE DE PIECE]],Tableau4[MATIERE],Tableau4[SHORT TYPE],"",0,1)</f>
        <v/>
      </c>
      <c r="N611">
        <f>IF(ISERR(FIND("DECOUPE",Tableau1[[#This Row],[DESIGNATION]])),"","NEED REF")</f>
        <v/>
      </c>
    </row>
    <row r="612">
      <c r="B612" t="n">
        <v>34413390</v>
      </c>
      <c r="C612" s="2" t="n">
        <v>45642</v>
      </c>
      <c r="D612" t="inlineStr">
        <is>
          <t>SPEC</t>
        </is>
      </c>
      <c r="E61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2" t="inlineStr">
        <is>
          <t>etude bypass</t>
        </is>
      </c>
      <c r="G612" t="inlineStr">
        <is>
          <t>GVXL</t>
        </is>
      </c>
      <c r="H612" t="inlineStr">
        <is>
          <t>BYPASS</t>
        </is>
      </c>
      <c r="I612" t="inlineStr">
        <is>
          <t>4000A</t>
        </is>
      </c>
      <c r="J612" t="inlineStr">
        <is>
          <t>BESSIERE</t>
        </is>
      </c>
      <c r="K612" t="inlineStr">
        <is>
          <t>CUIVRE</t>
        </is>
      </c>
      <c r="L612">
        <f>_xlfn.XLOOKUP(Tableau1[[#This Row],[TYPE DE PIECE]],Tableau4[MATIERE],Tableau4[SHORT TYPE],"",0,1)</f>
        <v/>
      </c>
      <c r="N612">
        <f>IF(ISERR(FIND("DECOUPE",Tableau1[[#This Row],[DESIGNATION]])),"","NEED REF")</f>
        <v/>
      </c>
    </row>
    <row r="613">
      <c r="B613" t="n">
        <v>34413389</v>
      </c>
      <c r="C613" s="2" t="n">
        <v>45642</v>
      </c>
      <c r="D613" t="inlineStr">
        <is>
          <t>SPEC</t>
        </is>
      </c>
      <c r="E61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3" t="inlineStr">
        <is>
          <t>etude bypass</t>
        </is>
      </c>
      <c r="G613" t="inlineStr">
        <is>
          <t>GVXL</t>
        </is>
      </c>
      <c r="H613" t="inlineStr">
        <is>
          <t>BYPASS</t>
        </is>
      </c>
      <c r="I613" t="inlineStr">
        <is>
          <t>4000A</t>
        </is>
      </c>
      <c r="J613" t="inlineStr">
        <is>
          <t>BESSIERE</t>
        </is>
      </c>
      <c r="K613" t="inlineStr">
        <is>
          <t>CUIVRE</t>
        </is>
      </c>
      <c r="L613">
        <f>_xlfn.XLOOKUP(Tableau1[[#This Row],[TYPE DE PIECE]],Tableau4[MATIERE],Tableau4[SHORT TYPE],"",0,1)</f>
        <v/>
      </c>
      <c r="N613">
        <f>IF(ISERR(FIND("DECOUPE",Tableau1[[#This Row],[DESIGNATION]])),"","NEED REF")</f>
        <v/>
      </c>
    </row>
    <row r="614">
      <c r="B614" t="n">
        <v>34413388</v>
      </c>
      <c r="C614" s="2" t="n">
        <v>45642</v>
      </c>
      <c r="D614" t="inlineStr">
        <is>
          <t>SPEC</t>
        </is>
      </c>
      <c r="E61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4" t="inlineStr">
        <is>
          <t>etude bypass</t>
        </is>
      </c>
      <c r="G614" t="inlineStr">
        <is>
          <t>GVXL</t>
        </is>
      </c>
      <c r="H614" t="inlineStr">
        <is>
          <t>BYPASS</t>
        </is>
      </c>
      <c r="I614" t="inlineStr">
        <is>
          <t>4000A</t>
        </is>
      </c>
      <c r="J614" t="inlineStr">
        <is>
          <t>BESSIERE</t>
        </is>
      </c>
      <c r="K614" t="inlineStr">
        <is>
          <t>CUIVRE</t>
        </is>
      </c>
      <c r="L614">
        <f>_xlfn.XLOOKUP(Tableau1[[#This Row],[TYPE DE PIECE]],Tableau4[MATIERE],Tableau4[SHORT TYPE],"",0,1)</f>
        <v/>
      </c>
      <c r="N614">
        <f>IF(ISERR(FIND("DECOUPE",Tableau1[[#This Row],[DESIGNATION]])),"","NEED REF")</f>
        <v/>
      </c>
    </row>
    <row r="615">
      <c r="B615" t="n">
        <v>34413387</v>
      </c>
      <c r="C615" s="2" t="n">
        <v>45642</v>
      </c>
      <c r="D615" t="inlineStr">
        <is>
          <t>SPEC</t>
        </is>
      </c>
      <c r="E61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5" t="inlineStr">
        <is>
          <t>etude bypass</t>
        </is>
      </c>
      <c r="G615" t="inlineStr">
        <is>
          <t>GVXL</t>
        </is>
      </c>
      <c r="H615" t="inlineStr">
        <is>
          <t>BYPASS</t>
        </is>
      </c>
      <c r="I615" t="inlineStr">
        <is>
          <t>4000A</t>
        </is>
      </c>
      <c r="J615" t="inlineStr">
        <is>
          <t>BESSIERE</t>
        </is>
      </c>
      <c r="K615" t="inlineStr">
        <is>
          <t>CUIVRE</t>
        </is>
      </c>
      <c r="L615">
        <f>_xlfn.XLOOKUP(Tableau1[[#This Row],[TYPE DE PIECE]],Tableau4[MATIERE],Tableau4[SHORT TYPE],"",0,1)</f>
        <v/>
      </c>
      <c r="N615">
        <f>IF(ISERR(FIND("DECOUPE",Tableau1[[#This Row],[DESIGNATION]])),"","NEED REF")</f>
        <v/>
      </c>
    </row>
    <row r="616">
      <c r="B616" t="n">
        <v>34413386</v>
      </c>
      <c r="C616" s="2" t="n">
        <v>45642</v>
      </c>
      <c r="D616" t="inlineStr">
        <is>
          <t>SPEC</t>
        </is>
      </c>
      <c r="E61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6" t="inlineStr">
        <is>
          <t>etude bypass</t>
        </is>
      </c>
      <c r="G616" t="inlineStr">
        <is>
          <t>GVXL</t>
        </is>
      </c>
      <c r="H616" t="inlineStr">
        <is>
          <t>BYPASS</t>
        </is>
      </c>
      <c r="I616" t="inlineStr">
        <is>
          <t>4000A</t>
        </is>
      </c>
      <c r="J616" t="inlineStr">
        <is>
          <t>BESSIERE</t>
        </is>
      </c>
      <c r="K616" t="inlineStr">
        <is>
          <t>CUIVRE</t>
        </is>
      </c>
      <c r="L616">
        <f>_xlfn.XLOOKUP(Tableau1[[#This Row],[TYPE DE PIECE]],Tableau4[MATIERE],Tableau4[SHORT TYPE],"",0,1)</f>
        <v/>
      </c>
      <c r="N616">
        <f>IF(ISERR(FIND("DECOUPE",Tableau1[[#This Row],[DESIGNATION]])),"","NEED REF")</f>
        <v/>
      </c>
    </row>
    <row r="617">
      <c r="B617" t="n">
        <v>34413385</v>
      </c>
      <c r="C617" s="2" t="n">
        <v>45642</v>
      </c>
      <c r="D617" t="inlineStr">
        <is>
          <t>SPEC</t>
        </is>
      </c>
      <c r="E61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7" t="inlineStr">
        <is>
          <t>etude bypass</t>
        </is>
      </c>
      <c r="G617" t="inlineStr">
        <is>
          <t>GVXL</t>
        </is>
      </c>
      <c r="H617" t="inlineStr">
        <is>
          <t>BYPASS</t>
        </is>
      </c>
      <c r="I617" t="inlineStr">
        <is>
          <t>4000A</t>
        </is>
      </c>
      <c r="J617" t="inlineStr">
        <is>
          <t>BESSIERE</t>
        </is>
      </c>
      <c r="K617" t="inlineStr">
        <is>
          <t>CUIVRE</t>
        </is>
      </c>
      <c r="L617">
        <f>_xlfn.XLOOKUP(Tableau1[[#This Row],[TYPE DE PIECE]],Tableau4[MATIERE],Tableau4[SHORT TYPE],"",0,1)</f>
        <v/>
      </c>
      <c r="N617">
        <f>IF(ISERR(FIND("DECOUPE",Tableau1[[#This Row],[DESIGNATION]])),"","NEED REF")</f>
        <v/>
      </c>
    </row>
    <row r="618">
      <c r="B618" t="n">
        <v>34413384</v>
      </c>
      <c r="C618" s="2" t="n">
        <v>45642</v>
      </c>
      <c r="D618" t="inlineStr">
        <is>
          <t>SPEC</t>
        </is>
      </c>
      <c r="E61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8" t="inlineStr">
        <is>
          <t>etude bypass</t>
        </is>
      </c>
      <c r="G618" t="inlineStr">
        <is>
          <t>GVXL</t>
        </is>
      </c>
      <c r="H618" t="inlineStr">
        <is>
          <t>BYPASS</t>
        </is>
      </c>
      <c r="I618" t="inlineStr">
        <is>
          <t>4000A</t>
        </is>
      </c>
      <c r="J618" t="inlineStr">
        <is>
          <t>BESSIERE</t>
        </is>
      </c>
      <c r="K618" t="inlineStr">
        <is>
          <t>CUIVRE</t>
        </is>
      </c>
      <c r="L618">
        <f>_xlfn.XLOOKUP(Tableau1[[#This Row],[TYPE DE PIECE]],Tableau4[MATIERE],Tableau4[SHORT TYPE],"",0,1)</f>
        <v/>
      </c>
      <c r="N618">
        <f>IF(ISERR(FIND("DECOUPE",Tableau1[[#This Row],[DESIGNATION]])),"","NEED REF")</f>
        <v/>
      </c>
    </row>
    <row r="619">
      <c r="B619" t="n">
        <v>34413383</v>
      </c>
      <c r="C619" s="2" t="n">
        <v>45642</v>
      </c>
      <c r="D619" t="inlineStr">
        <is>
          <t>SPEC</t>
        </is>
      </c>
      <c r="E61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19" t="inlineStr">
        <is>
          <t>etude bypass</t>
        </is>
      </c>
      <c r="G619" t="inlineStr">
        <is>
          <t>GVXL</t>
        </is>
      </c>
      <c r="H619" t="inlineStr">
        <is>
          <t>BYPASS</t>
        </is>
      </c>
      <c r="I619" t="inlineStr">
        <is>
          <t>4000A</t>
        </is>
      </c>
      <c r="J619" t="inlineStr">
        <is>
          <t>BESSIERE</t>
        </is>
      </c>
      <c r="K619" t="inlineStr">
        <is>
          <t>CUIVRE</t>
        </is>
      </c>
      <c r="L619">
        <f>_xlfn.XLOOKUP(Tableau1[[#This Row],[TYPE DE PIECE]],Tableau4[MATIERE],Tableau4[SHORT TYPE],"",0,1)</f>
        <v/>
      </c>
      <c r="N619">
        <f>IF(ISERR(FIND("DECOUPE",Tableau1[[#This Row],[DESIGNATION]])),"","NEED REF")</f>
        <v/>
      </c>
    </row>
    <row r="620">
      <c r="B620" t="n">
        <v>34413382</v>
      </c>
      <c r="C620" s="2" t="n">
        <v>45642</v>
      </c>
      <c r="D620" t="inlineStr">
        <is>
          <t>SPEC</t>
        </is>
      </c>
      <c r="E62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0" t="inlineStr">
        <is>
          <t>etude bypass</t>
        </is>
      </c>
      <c r="G620" t="inlineStr">
        <is>
          <t>GVXL</t>
        </is>
      </c>
      <c r="H620" t="inlineStr">
        <is>
          <t>BYPASS</t>
        </is>
      </c>
      <c r="I620" t="inlineStr">
        <is>
          <t>4000A</t>
        </is>
      </c>
      <c r="J620" t="inlineStr">
        <is>
          <t>BESSIERE</t>
        </is>
      </c>
      <c r="K620" t="inlineStr">
        <is>
          <t>CUIVRE</t>
        </is>
      </c>
      <c r="L620">
        <f>_xlfn.XLOOKUP(Tableau1[[#This Row],[TYPE DE PIECE]],Tableau4[MATIERE],Tableau4[SHORT TYPE],"",0,1)</f>
        <v/>
      </c>
      <c r="N620">
        <f>IF(ISERR(FIND("DECOUPE",Tableau1[[#This Row],[DESIGNATION]])),"","NEED REF")</f>
        <v/>
      </c>
    </row>
    <row r="621">
      <c r="B621" t="n">
        <v>34413381</v>
      </c>
      <c r="C621" s="2" t="n">
        <v>45642</v>
      </c>
      <c r="D621" t="inlineStr">
        <is>
          <t>SPEC</t>
        </is>
      </c>
      <c r="E62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1" t="inlineStr">
        <is>
          <t>etude bypass</t>
        </is>
      </c>
      <c r="G621" t="inlineStr">
        <is>
          <t>GVXL</t>
        </is>
      </c>
      <c r="H621" t="inlineStr">
        <is>
          <t>BYPASS</t>
        </is>
      </c>
      <c r="I621" t="inlineStr">
        <is>
          <t>4000A</t>
        </is>
      </c>
      <c r="J621" t="inlineStr">
        <is>
          <t>BESSIERE</t>
        </is>
      </c>
      <c r="K621" t="inlineStr">
        <is>
          <t>CUIVRE</t>
        </is>
      </c>
      <c r="L621">
        <f>_xlfn.XLOOKUP(Tableau1[[#This Row],[TYPE DE PIECE]],Tableau4[MATIERE],Tableau4[SHORT TYPE],"",0,1)</f>
        <v/>
      </c>
      <c r="N621">
        <f>IF(ISERR(FIND("DECOUPE",Tableau1[[#This Row],[DESIGNATION]])),"","NEED REF")</f>
        <v/>
      </c>
    </row>
    <row r="622">
      <c r="B622" t="n">
        <v>34413380</v>
      </c>
      <c r="C622" s="2" t="n">
        <v>45642</v>
      </c>
      <c r="D622" t="inlineStr">
        <is>
          <t>SPEC</t>
        </is>
      </c>
      <c r="E62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2" t="inlineStr">
        <is>
          <t>etude bypass</t>
        </is>
      </c>
      <c r="G622" t="inlineStr">
        <is>
          <t>GVXL</t>
        </is>
      </c>
      <c r="H622" t="inlineStr">
        <is>
          <t>BYPASS</t>
        </is>
      </c>
      <c r="I622" t="inlineStr">
        <is>
          <t>4000A</t>
        </is>
      </c>
      <c r="J622" t="inlineStr">
        <is>
          <t>BESSIERE</t>
        </is>
      </c>
      <c r="K622" t="inlineStr">
        <is>
          <t>CUIVRE</t>
        </is>
      </c>
      <c r="L622">
        <f>_xlfn.XLOOKUP(Tableau1[[#This Row],[TYPE DE PIECE]],Tableau4[MATIERE],Tableau4[SHORT TYPE],"",0,1)</f>
        <v/>
      </c>
      <c r="N622">
        <f>IF(ISERR(FIND("DECOUPE",Tableau1[[#This Row],[DESIGNATION]])),"","NEED REF")</f>
        <v/>
      </c>
    </row>
    <row r="623">
      <c r="B623" t="n">
        <v>34413379</v>
      </c>
      <c r="C623" s="2" t="n">
        <v>45642</v>
      </c>
      <c r="D623" t="inlineStr">
        <is>
          <t>SPEC</t>
        </is>
      </c>
      <c r="E62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3" t="inlineStr">
        <is>
          <t>etude bypass</t>
        </is>
      </c>
      <c r="G623" t="inlineStr">
        <is>
          <t>GVXL</t>
        </is>
      </c>
      <c r="H623" t="inlineStr">
        <is>
          <t>BYPASS</t>
        </is>
      </c>
      <c r="I623" t="inlineStr">
        <is>
          <t>4000A</t>
        </is>
      </c>
      <c r="J623" t="inlineStr">
        <is>
          <t>BESSIERE</t>
        </is>
      </c>
      <c r="K623" t="inlineStr">
        <is>
          <t>CUIVRE</t>
        </is>
      </c>
      <c r="L623">
        <f>_xlfn.XLOOKUP(Tableau1[[#This Row],[TYPE DE PIECE]],Tableau4[MATIERE],Tableau4[SHORT TYPE],"",0,1)</f>
        <v/>
      </c>
      <c r="N623">
        <f>IF(ISERR(FIND("DECOUPE",Tableau1[[#This Row],[DESIGNATION]])),"","NEED REF")</f>
        <v/>
      </c>
    </row>
    <row r="624">
      <c r="B624" t="n">
        <v>34413378</v>
      </c>
      <c r="C624" s="2" t="n">
        <v>45642</v>
      </c>
      <c r="D624" t="inlineStr">
        <is>
          <t>SPEC</t>
        </is>
      </c>
      <c r="E62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4" t="inlineStr">
        <is>
          <t>etude bypass</t>
        </is>
      </c>
      <c r="G624" t="inlineStr">
        <is>
          <t>GVXL</t>
        </is>
      </c>
      <c r="H624" t="inlineStr">
        <is>
          <t>BYPASS</t>
        </is>
      </c>
      <c r="I624" t="inlineStr">
        <is>
          <t>4000A</t>
        </is>
      </c>
      <c r="J624" t="inlineStr">
        <is>
          <t>BESSIERE</t>
        </is>
      </c>
      <c r="K624" t="inlineStr">
        <is>
          <t>CUIVRE</t>
        </is>
      </c>
      <c r="L624">
        <f>_xlfn.XLOOKUP(Tableau1[[#This Row],[TYPE DE PIECE]],Tableau4[MATIERE],Tableau4[SHORT TYPE],"",0,1)</f>
        <v/>
      </c>
      <c r="N624">
        <f>IF(ISERR(FIND("DECOUPE",Tableau1[[#This Row],[DESIGNATION]])),"","NEED REF")</f>
        <v/>
      </c>
    </row>
    <row r="625">
      <c r="B625" t="n">
        <v>34413377</v>
      </c>
      <c r="C625" s="2" t="n">
        <v>45642</v>
      </c>
      <c r="D625" t="inlineStr">
        <is>
          <t>SPEC</t>
        </is>
      </c>
      <c r="E62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5" t="inlineStr">
        <is>
          <t>etude bypass</t>
        </is>
      </c>
      <c r="G625" t="inlineStr">
        <is>
          <t>GVXL</t>
        </is>
      </c>
      <c r="H625" t="inlineStr">
        <is>
          <t>BYPASS</t>
        </is>
      </c>
      <c r="I625" t="inlineStr">
        <is>
          <t>4000A</t>
        </is>
      </c>
      <c r="J625" t="inlineStr">
        <is>
          <t>BESSIERE</t>
        </is>
      </c>
      <c r="K625" t="inlineStr">
        <is>
          <t>CUIVRE</t>
        </is>
      </c>
      <c r="L625">
        <f>_xlfn.XLOOKUP(Tableau1[[#This Row],[TYPE DE PIECE]],Tableau4[MATIERE],Tableau4[SHORT TYPE],"",0,1)</f>
        <v/>
      </c>
      <c r="N625">
        <f>IF(ISERR(FIND("DECOUPE",Tableau1[[#This Row],[DESIGNATION]])),"","NEED REF")</f>
        <v/>
      </c>
    </row>
    <row r="626">
      <c r="B626" t="n">
        <v>34413376</v>
      </c>
      <c r="C626" s="2" t="n">
        <v>45642</v>
      </c>
      <c r="D626" t="inlineStr">
        <is>
          <t>SPEC</t>
        </is>
      </c>
      <c r="E62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6" t="inlineStr">
        <is>
          <t>etude bypass</t>
        </is>
      </c>
      <c r="G626" t="inlineStr">
        <is>
          <t>GVXL</t>
        </is>
      </c>
      <c r="H626" t="inlineStr">
        <is>
          <t>BYPASS</t>
        </is>
      </c>
      <c r="I626" t="inlineStr">
        <is>
          <t>4000A</t>
        </is>
      </c>
      <c r="J626" t="inlineStr">
        <is>
          <t>BESSIERE</t>
        </is>
      </c>
      <c r="K626" t="inlineStr">
        <is>
          <t>CUIVRE</t>
        </is>
      </c>
      <c r="L626">
        <f>_xlfn.XLOOKUP(Tableau1[[#This Row],[TYPE DE PIECE]],Tableau4[MATIERE],Tableau4[SHORT TYPE],"",0,1)</f>
        <v/>
      </c>
      <c r="N626">
        <f>IF(ISERR(FIND("DECOUPE",Tableau1[[#This Row],[DESIGNATION]])),"","NEED REF")</f>
        <v/>
      </c>
    </row>
    <row r="627">
      <c r="B627" t="n">
        <v>34413375</v>
      </c>
      <c r="C627" s="2" t="n">
        <v>45642</v>
      </c>
      <c r="D627" t="inlineStr">
        <is>
          <t>SPEC</t>
        </is>
      </c>
      <c r="E62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7" t="inlineStr">
        <is>
          <t>etude bypass</t>
        </is>
      </c>
      <c r="G627" t="inlineStr">
        <is>
          <t>GVXL</t>
        </is>
      </c>
      <c r="H627" t="inlineStr">
        <is>
          <t>BYPASS</t>
        </is>
      </c>
      <c r="I627" t="inlineStr">
        <is>
          <t>4000A</t>
        </is>
      </c>
      <c r="J627" t="inlineStr">
        <is>
          <t>BESSIERE</t>
        </is>
      </c>
      <c r="K627" t="inlineStr">
        <is>
          <t>CUIVRE</t>
        </is>
      </c>
      <c r="L627">
        <f>_xlfn.XLOOKUP(Tableau1[[#This Row],[TYPE DE PIECE]],Tableau4[MATIERE],Tableau4[SHORT TYPE],"",0,1)</f>
        <v/>
      </c>
      <c r="N627">
        <f>IF(ISERR(FIND("DECOUPE",Tableau1[[#This Row],[DESIGNATION]])),"","NEED REF")</f>
        <v/>
      </c>
    </row>
    <row r="628">
      <c r="B628" t="n">
        <v>34413374</v>
      </c>
      <c r="C628" s="2" t="n">
        <v>45642</v>
      </c>
      <c r="D628" t="inlineStr">
        <is>
          <t>SPEC</t>
        </is>
      </c>
      <c r="E62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8" t="inlineStr">
        <is>
          <t>etude bypass</t>
        </is>
      </c>
      <c r="G628" t="inlineStr">
        <is>
          <t>GVXL</t>
        </is>
      </c>
      <c r="H628" t="inlineStr">
        <is>
          <t>BYPASS</t>
        </is>
      </c>
      <c r="I628" t="inlineStr">
        <is>
          <t>4000A</t>
        </is>
      </c>
      <c r="J628" t="inlineStr">
        <is>
          <t>BESSIERE</t>
        </is>
      </c>
      <c r="K628" t="inlineStr">
        <is>
          <t>CUIVRE</t>
        </is>
      </c>
      <c r="L628">
        <f>_xlfn.XLOOKUP(Tableau1[[#This Row],[TYPE DE PIECE]],Tableau4[MATIERE],Tableau4[SHORT TYPE],"",0,1)</f>
        <v/>
      </c>
      <c r="N628">
        <f>IF(ISERR(FIND("DECOUPE",Tableau1[[#This Row],[DESIGNATION]])),"","NEED REF")</f>
        <v/>
      </c>
    </row>
    <row r="629">
      <c r="B629" t="n">
        <v>34413373</v>
      </c>
      <c r="C629" s="2" t="n">
        <v>45642</v>
      </c>
      <c r="D629" t="inlineStr">
        <is>
          <t>SPEC</t>
        </is>
      </c>
      <c r="E62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29" t="inlineStr">
        <is>
          <t>etude bypass</t>
        </is>
      </c>
      <c r="G629" t="inlineStr">
        <is>
          <t>GVXL</t>
        </is>
      </c>
      <c r="H629" t="inlineStr">
        <is>
          <t>BYPASS</t>
        </is>
      </c>
      <c r="I629" t="inlineStr">
        <is>
          <t>4000A</t>
        </is>
      </c>
      <c r="J629" t="inlineStr">
        <is>
          <t>BESSIERE</t>
        </is>
      </c>
      <c r="K629" t="inlineStr">
        <is>
          <t>CUIVRE</t>
        </is>
      </c>
      <c r="L629">
        <f>_xlfn.XLOOKUP(Tableau1[[#This Row],[TYPE DE PIECE]],Tableau4[MATIERE],Tableau4[SHORT TYPE],"",0,1)</f>
        <v/>
      </c>
      <c r="N629">
        <f>IF(ISERR(FIND("DECOUPE",Tableau1[[#This Row],[DESIGNATION]])),"","NEED REF")</f>
        <v/>
      </c>
    </row>
    <row r="630">
      <c r="B630" t="n">
        <v>34413372</v>
      </c>
      <c r="C630" s="2" t="n">
        <v>45642</v>
      </c>
      <c r="D630" t="inlineStr">
        <is>
          <t>SPEC</t>
        </is>
      </c>
      <c r="E63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30" t="inlineStr">
        <is>
          <t>etude bypass</t>
        </is>
      </c>
      <c r="G630" t="inlineStr">
        <is>
          <t>GVXL</t>
        </is>
      </c>
      <c r="H630" t="inlineStr">
        <is>
          <t>BYPASS</t>
        </is>
      </c>
      <c r="I630" t="inlineStr">
        <is>
          <t>4000A</t>
        </is>
      </c>
      <c r="J630" t="inlineStr">
        <is>
          <t>BESSIERE</t>
        </is>
      </c>
      <c r="K630" t="inlineStr">
        <is>
          <t>CUIVRE</t>
        </is>
      </c>
      <c r="L630">
        <f>_xlfn.XLOOKUP(Tableau1[[#This Row],[TYPE DE PIECE]],Tableau4[MATIERE],Tableau4[SHORT TYPE],"",0,1)</f>
        <v/>
      </c>
      <c r="N630">
        <f>IF(ISERR(FIND("DECOUPE",Tableau1[[#This Row],[DESIGNATION]])),"","NEED REF")</f>
        <v/>
      </c>
    </row>
    <row r="631">
      <c r="B631" t="n">
        <v>34413371</v>
      </c>
      <c r="C631" s="2" t="n">
        <v>45642</v>
      </c>
      <c r="D631" t="inlineStr">
        <is>
          <t>SPEC</t>
        </is>
      </c>
      <c r="E63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31" t="inlineStr">
        <is>
          <t>qsfe55526</t>
        </is>
      </c>
      <c r="G631" t="inlineStr">
        <is>
          <t>UPS</t>
        </is>
      </c>
      <c r="H631" t="inlineStr">
        <is>
          <t>BYPASS</t>
        </is>
      </c>
      <c r="I631" t="inlineStr">
        <is>
          <t>200A</t>
        </is>
      </c>
      <c r="J631" t="inlineStr">
        <is>
          <t>BESSIERE</t>
        </is>
      </c>
      <c r="K631" t="inlineStr">
        <is>
          <t>METAL</t>
        </is>
      </c>
      <c r="L631">
        <f>_xlfn.XLOOKUP(Tableau1[[#This Row],[TYPE DE PIECE]],Tableau4[MATIERE],Tableau4[SHORT TYPE],"",0,1)</f>
        <v/>
      </c>
      <c r="N631">
        <f>IF(ISERR(FIND("DECOUPE",Tableau1[[#This Row],[DESIGNATION]])),"","NEED REF")</f>
        <v/>
      </c>
    </row>
    <row r="632">
      <c r="B632" t="n">
        <v>34413370</v>
      </c>
      <c r="C632" s="2" t="n">
        <v>45639</v>
      </c>
      <c r="D632" t="inlineStr">
        <is>
          <t>SPEC</t>
        </is>
      </c>
      <c r="E63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32" t="inlineStr">
        <is>
          <t>qsfe55526</t>
        </is>
      </c>
      <c r="G632" t="inlineStr">
        <is>
          <t>UPS</t>
        </is>
      </c>
      <c r="H632" t="inlineStr">
        <is>
          <t>BYPASS</t>
        </is>
      </c>
      <c r="I632" t="inlineStr">
        <is>
          <t>200A</t>
        </is>
      </c>
      <c r="J632" t="inlineStr">
        <is>
          <t>BESSIERE</t>
        </is>
      </c>
      <c r="K632" t="inlineStr">
        <is>
          <t>METAL</t>
        </is>
      </c>
      <c r="L632">
        <f>_xlfn.XLOOKUP(Tableau1[[#This Row],[TYPE DE PIECE]],Tableau4[MATIERE],Tableau4[SHORT TYPE],"",0,1)</f>
        <v/>
      </c>
      <c r="N632">
        <f>IF(ISERR(FIND("DECOUPE",Tableau1[[#This Row],[DESIGNATION]])),"","NEED REF")</f>
        <v/>
      </c>
    </row>
    <row r="633">
      <c r="B633" t="n">
        <v>34413369</v>
      </c>
      <c r="C633" s="2" t="n">
        <v>45639</v>
      </c>
      <c r="D633" t="inlineStr">
        <is>
          <t>SPEC</t>
        </is>
      </c>
      <c r="E633" t="inlineStr">
        <is>
          <t>WIR STS 630A OPTION PAS600L</t>
        </is>
      </c>
      <c r="F633" t="inlineStr">
        <is>
          <t>QPROJET_PAS600L</t>
        </is>
      </c>
      <c r="G633" t="inlineStr">
        <is>
          <t>STS</t>
        </is>
      </c>
      <c r="H633" t="inlineStr">
        <is>
          <t>STS ETO</t>
        </is>
      </c>
      <c r="I633" t="inlineStr">
        <is>
          <t>630A</t>
        </is>
      </c>
      <c r="J633" t="inlineStr">
        <is>
          <t>JAWORSKI</t>
        </is>
      </c>
      <c r="K633" t="inlineStr">
        <is>
          <t>FILERIE</t>
        </is>
      </c>
      <c r="L633">
        <f>_xlfn.XLOOKUP(Tableau1[[#This Row],[TYPE DE PIECE]],Tableau4[MATIERE],Tableau4[SHORT TYPE],"",0,1)</f>
        <v/>
      </c>
      <c r="N633">
        <f>IF(ISERR(FIND("DECOUPE",Tableau1[[#This Row],[DESIGNATION]])),"","NEED REF")</f>
        <v/>
      </c>
    </row>
    <row r="634">
      <c r="B634" t="n">
        <v>34413368</v>
      </c>
      <c r="C634" s="2" t="n">
        <v>45638</v>
      </c>
      <c r="D634" t="inlineStr">
        <is>
          <t>SPEC</t>
        </is>
      </c>
      <c r="E63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34" t="inlineStr">
        <is>
          <t>qsfe55526</t>
        </is>
      </c>
      <c r="G634" t="inlineStr">
        <is>
          <t>UPS</t>
        </is>
      </c>
      <c r="H634" t="inlineStr">
        <is>
          <t>BYPASS</t>
        </is>
      </c>
      <c r="I634" t="inlineStr">
        <is>
          <t>200A</t>
        </is>
      </c>
      <c r="J634" t="inlineStr">
        <is>
          <t>BESSIERE</t>
        </is>
      </c>
      <c r="K634" t="inlineStr">
        <is>
          <t>CUIVRE</t>
        </is>
      </c>
      <c r="L634">
        <f>_xlfn.XLOOKUP(Tableau1[[#This Row],[TYPE DE PIECE]],Tableau4[MATIERE],Tableau4[SHORT TYPE],"",0,1)</f>
        <v/>
      </c>
      <c r="N634">
        <f>IF(ISERR(FIND("DECOUPE",Tableau1[[#This Row],[DESIGNATION]])),"","NEED REF")</f>
        <v/>
      </c>
    </row>
    <row r="635">
      <c r="B635" t="n">
        <v>34413367</v>
      </c>
      <c r="C635" s="2" t="n">
        <v>45638</v>
      </c>
      <c r="D635" t="inlineStr">
        <is>
          <t>SPEC</t>
        </is>
      </c>
      <c r="E63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35" t="inlineStr">
        <is>
          <t>qsfe55526</t>
        </is>
      </c>
      <c r="G635" t="inlineStr">
        <is>
          <t>UPS</t>
        </is>
      </c>
      <c r="H635" t="inlineStr">
        <is>
          <t>BYPASS</t>
        </is>
      </c>
      <c r="I635" t="inlineStr">
        <is>
          <t>200A</t>
        </is>
      </c>
      <c r="J635" t="inlineStr">
        <is>
          <t>BESSIERE</t>
        </is>
      </c>
      <c r="K635" t="inlineStr">
        <is>
          <t>CUIVRE</t>
        </is>
      </c>
      <c r="L635">
        <f>_xlfn.XLOOKUP(Tableau1[[#This Row],[TYPE DE PIECE]],Tableau4[MATIERE],Tableau4[SHORT TYPE],"",0,1)</f>
        <v/>
      </c>
      <c r="N635">
        <f>IF(ISERR(FIND("DECOUPE",Tableau1[[#This Row],[DESIGNATION]])),"","NEED REF")</f>
        <v/>
      </c>
    </row>
    <row r="636">
      <c r="B636" t="n">
        <v>34413366</v>
      </c>
      <c r="C636" s="2" t="n">
        <v>45638</v>
      </c>
      <c r="D636" t="inlineStr">
        <is>
          <t>SPEC</t>
        </is>
      </c>
      <c r="E63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36" t="inlineStr">
        <is>
          <t>qsfe55526</t>
        </is>
      </c>
      <c r="G636" t="inlineStr">
        <is>
          <t>UPS</t>
        </is>
      </c>
      <c r="H636" t="inlineStr">
        <is>
          <t>BYPASS</t>
        </is>
      </c>
      <c r="I636" t="inlineStr">
        <is>
          <t>200A</t>
        </is>
      </c>
      <c r="J636" t="inlineStr">
        <is>
          <t>BESSIERE</t>
        </is>
      </c>
      <c r="K636" t="inlineStr">
        <is>
          <t>CUIVRE</t>
        </is>
      </c>
      <c r="L636">
        <f>_xlfn.XLOOKUP(Tableau1[[#This Row],[TYPE DE PIECE]],Tableau4[MATIERE],Tableau4[SHORT TYPE],"",0,1)</f>
        <v/>
      </c>
      <c r="N636">
        <f>IF(ISERR(FIND("DECOUPE",Tableau1[[#This Row],[DESIGNATION]])),"","NEED REF")</f>
        <v/>
      </c>
    </row>
    <row r="637">
      <c r="B637" t="n">
        <v>34413365</v>
      </c>
      <c r="C637" s="2" t="n">
        <v>45638</v>
      </c>
      <c r="D637" t="inlineStr">
        <is>
          <t>SPEC</t>
        </is>
      </c>
      <c r="E63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37" t="inlineStr">
        <is>
          <t>qsfe55526</t>
        </is>
      </c>
      <c r="G637" t="inlineStr">
        <is>
          <t>UPS</t>
        </is>
      </c>
      <c r="H637" t="inlineStr">
        <is>
          <t>BYPASS</t>
        </is>
      </c>
      <c r="I637" t="inlineStr">
        <is>
          <t>200A</t>
        </is>
      </c>
      <c r="J637" t="inlineStr">
        <is>
          <t>BESSIERE</t>
        </is>
      </c>
      <c r="K637" t="inlineStr">
        <is>
          <t>CUIVRE</t>
        </is>
      </c>
      <c r="L637">
        <f>_xlfn.XLOOKUP(Tableau1[[#This Row],[TYPE DE PIECE]],Tableau4[MATIERE],Tableau4[SHORT TYPE],"",0,1)</f>
        <v/>
      </c>
      <c r="N637">
        <f>IF(ISERR(FIND("DECOUPE",Tableau1[[#This Row],[DESIGNATION]])),"","NEED REF")</f>
        <v/>
      </c>
    </row>
    <row r="638">
      <c r="B638" t="n">
        <v>34413364</v>
      </c>
      <c r="C638" s="2" t="n">
        <v>45638</v>
      </c>
      <c r="D638" t="inlineStr">
        <is>
          <t>SPEC</t>
        </is>
      </c>
      <c r="E63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38" t="inlineStr">
        <is>
          <t>qsfe55526</t>
        </is>
      </c>
      <c r="G638" t="inlineStr">
        <is>
          <t>UPS</t>
        </is>
      </c>
      <c r="H638" t="inlineStr">
        <is>
          <t>BYPASS</t>
        </is>
      </c>
      <c r="I638" t="inlineStr">
        <is>
          <t>200A</t>
        </is>
      </c>
      <c r="J638" t="inlineStr">
        <is>
          <t>BESSIERE</t>
        </is>
      </c>
      <c r="K638" t="inlineStr">
        <is>
          <t>METAL</t>
        </is>
      </c>
      <c r="L638">
        <f>_xlfn.XLOOKUP(Tableau1[[#This Row],[TYPE DE PIECE]],Tableau4[MATIERE],Tableau4[SHORT TYPE],"",0,1)</f>
        <v/>
      </c>
      <c r="N638">
        <f>IF(ISERR(FIND("DECOUPE",Tableau1[[#This Row],[DESIGNATION]])),"","NEED REF")</f>
        <v/>
      </c>
    </row>
    <row r="639">
      <c r="B639" t="n">
        <v>34413363</v>
      </c>
      <c r="C639" s="2" t="n">
        <v>45637</v>
      </c>
      <c r="D639" t="inlineStr">
        <is>
          <t>SPEC</t>
        </is>
      </c>
      <c r="E63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39" t="inlineStr">
        <is>
          <t>Solution Center</t>
        </is>
      </c>
      <c r="G639" t="inlineStr">
        <is>
          <t>STS</t>
        </is>
      </c>
      <c r="H639" t="inlineStr">
        <is>
          <t>STS ETO</t>
        </is>
      </c>
      <c r="I639" t="inlineStr">
        <is>
          <t>400A</t>
        </is>
      </c>
      <c r="J639" t="inlineStr">
        <is>
          <t>JAWORSKI</t>
        </is>
      </c>
      <c r="L639">
        <f>_xlfn.XLOOKUP(Tableau1[[#This Row],[TYPE DE PIECE]],Tableau4[MATIERE],Tableau4[SHORT TYPE],"",0,1)</f>
        <v/>
      </c>
      <c r="N639">
        <f>IF(ISERR(FIND("DECOUPE",Tableau1[[#This Row],[DESIGNATION]])),"","NEED REF")</f>
        <v/>
      </c>
    </row>
    <row r="640">
      <c r="B640" t="n">
        <v>34413362</v>
      </c>
      <c r="C640" s="2" t="n">
        <v>45637</v>
      </c>
      <c r="D640" t="inlineStr">
        <is>
          <t>SPEC</t>
        </is>
      </c>
      <c r="E640" t="inlineStr">
        <is>
          <t>PLA PROTECTION DIRECT CONTACT</t>
        </is>
      </c>
      <c r="F640" t="inlineStr">
        <is>
          <t>Solution Center</t>
        </is>
      </c>
      <c r="G640" t="inlineStr">
        <is>
          <t>STS</t>
        </is>
      </c>
      <c r="H640" t="inlineStr">
        <is>
          <t>STS ETO</t>
        </is>
      </c>
      <c r="I640" t="inlineStr">
        <is>
          <t>400A</t>
        </is>
      </c>
      <c r="J640" t="inlineStr">
        <is>
          <t>JAWORSKI</t>
        </is>
      </c>
      <c r="K640" t="inlineStr">
        <is>
          <t>PLASTIQUE</t>
        </is>
      </c>
      <c r="L640">
        <f>_xlfn.XLOOKUP(Tableau1[[#This Row],[TYPE DE PIECE]],Tableau4[MATIERE],Tableau4[SHORT TYPE],"",0,1)</f>
        <v/>
      </c>
      <c r="N640">
        <f>IF(ISERR(FIND("DECOUPE",Tableau1[[#This Row],[DESIGNATION]])),"","NEED REF")</f>
        <v/>
      </c>
    </row>
    <row r="641">
      <c r="B641" t="n">
        <v>34413361</v>
      </c>
      <c r="C641" s="2" t="n">
        <v>45637</v>
      </c>
      <c r="D641" t="inlineStr">
        <is>
          <t>SPEC</t>
        </is>
      </c>
      <c r="E641" t="inlineStr">
        <is>
          <t>SE SAREL 34413361 GVX BBK SAREL SFN NSYSFPN20750 + SIDE PANELS</t>
        </is>
      </c>
      <c r="J641" t="inlineStr">
        <is>
          <t>BERNARDEAU</t>
        </is>
      </c>
      <c r="K641" t="inlineStr">
        <is>
          <t>SE</t>
        </is>
      </c>
      <c r="L641">
        <f>_xlfn.XLOOKUP(Tableau1[[#This Row],[TYPE DE PIECE]],Tableau4[MATIERE],Tableau4[SHORT TYPE],"",0,1)</f>
        <v/>
      </c>
      <c r="N641">
        <f>IF(ISERR(FIND("DECOUPE",Tableau1[[#This Row],[DESIGNATION]])),"","NEED REF")</f>
        <v/>
      </c>
    </row>
    <row r="642">
      <c r="B642" t="n">
        <v>34413360</v>
      </c>
      <c r="C642" s="2" t="n">
        <v>45636</v>
      </c>
      <c r="D642" t="inlineStr">
        <is>
          <t>SPEC</t>
        </is>
      </c>
      <c r="E64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42" t="inlineStr">
        <is>
          <t>etude bypass</t>
        </is>
      </c>
      <c r="G642" t="inlineStr">
        <is>
          <t>GVXL</t>
        </is>
      </c>
      <c r="H642" t="inlineStr">
        <is>
          <t>BYPASS</t>
        </is>
      </c>
      <c r="I642" t="inlineStr">
        <is>
          <t>4000A</t>
        </is>
      </c>
      <c r="J642" t="inlineStr">
        <is>
          <t>BESSIERE</t>
        </is>
      </c>
      <c r="L642">
        <f>_xlfn.XLOOKUP(Tableau1[[#This Row],[TYPE DE PIECE]],Tableau4[MATIERE],Tableau4[SHORT TYPE],"",0,1)</f>
        <v/>
      </c>
      <c r="N642">
        <f>IF(ISERR(FIND("DECOUPE",Tableau1[[#This Row],[DESIGNATION]])),"","NEED REF")</f>
        <v/>
      </c>
    </row>
    <row r="643">
      <c r="B643" t="n">
        <v>34413359</v>
      </c>
      <c r="C643" s="2" t="n">
        <v>45636</v>
      </c>
      <c r="D643" t="inlineStr">
        <is>
          <t>SPEC</t>
        </is>
      </c>
      <c r="E64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43" t="inlineStr">
        <is>
          <t>etude bypass</t>
        </is>
      </c>
      <c r="G643" t="inlineStr">
        <is>
          <t>GVXL</t>
        </is>
      </c>
      <c r="H643" t="inlineStr">
        <is>
          <t>BYPASS</t>
        </is>
      </c>
      <c r="I643" t="inlineStr">
        <is>
          <t>4000A</t>
        </is>
      </c>
      <c r="J643" t="inlineStr">
        <is>
          <t>BESSIERE</t>
        </is>
      </c>
      <c r="L643">
        <f>_xlfn.XLOOKUP(Tableau1[[#This Row],[TYPE DE PIECE]],Tableau4[MATIERE],Tableau4[SHORT TYPE],"",0,1)</f>
        <v/>
      </c>
      <c r="N643">
        <f>IF(ISERR(FIND("DECOUPE",Tableau1[[#This Row],[DESIGNATION]])),"","NEED REF")</f>
        <v/>
      </c>
    </row>
    <row r="644">
      <c r="B644" t="n">
        <v>34413358</v>
      </c>
      <c r="C644" s="2" t="n">
        <v>45636</v>
      </c>
      <c r="D644" t="inlineStr">
        <is>
          <t>SPEC</t>
        </is>
      </c>
      <c r="E64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44" t="inlineStr">
        <is>
          <t>etude bypass</t>
        </is>
      </c>
      <c r="G644" t="inlineStr">
        <is>
          <t>GVXL</t>
        </is>
      </c>
      <c r="H644" t="inlineStr">
        <is>
          <t>BYPASS</t>
        </is>
      </c>
      <c r="I644" t="inlineStr">
        <is>
          <t>4000A</t>
        </is>
      </c>
      <c r="J644" t="inlineStr">
        <is>
          <t>BESSIERE</t>
        </is>
      </c>
      <c r="L644">
        <f>_xlfn.XLOOKUP(Tableau1[[#This Row],[TYPE DE PIECE]],Tableau4[MATIERE],Tableau4[SHORT TYPE],"",0,1)</f>
        <v/>
      </c>
      <c r="N644">
        <f>IF(ISERR(FIND("DECOUPE",Tableau1[[#This Row],[DESIGNATION]])),"","NEED REF")</f>
        <v/>
      </c>
    </row>
    <row r="645">
      <c r="B645" t="n">
        <v>34413357</v>
      </c>
      <c r="C645" s="2" t="n">
        <v>45636</v>
      </c>
      <c r="D645" t="inlineStr">
        <is>
          <t>SPEC</t>
        </is>
      </c>
      <c r="E64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45" t="inlineStr">
        <is>
          <t>etude bypass</t>
        </is>
      </c>
      <c r="G645" t="inlineStr">
        <is>
          <t>GVXL</t>
        </is>
      </c>
      <c r="H645" t="inlineStr">
        <is>
          <t>BYPASS</t>
        </is>
      </c>
      <c r="I645" t="inlineStr">
        <is>
          <t>4000A</t>
        </is>
      </c>
      <c r="J645" t="inlineStr">
        <is>
          <t>BESSIERE</t>
        </is>
      </c>
      <c r="L645">
        <f>_xlfn.XLOOKUP(Tableau1[[#This Row],[TYPE DE PIECE]],Tableau4[MATIERE],Tableau4[SHORT TYPE],"",0,1)</f>
        <v/>
      </c>
      <c r="N645">
        <f>IF(ISERR(FIND("DECOUPE",Tableau1[[#This Row],[DESIGNATION]])),"","NEED REF")</f>
        <v/>
      </c>
    </row>
    <row r="646">
      <c r="B646" t="n">
        <v>34413356</v>
      </c>
      <c r="C646" s="2" t="n">
        <v>45636</v>
      </c>
      <c r="D646" t="inlineStr">
        <is>
          <t>SPEC</t>
        </is>
      </c>
      <c r="E64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46" t="inlineStr">
        <is>
          <t>etude bypass</t>
        </is>
      </c>
      <c r="G646" t="inlineStr">
        <is>
          <t>GVXL</t>
        </is>
      </c>
      <c r="H646" t="inlineStr">
        <is>
          <t>BYPASS</t>
        </is>
      </c>
      <c r="I646" t="inlineStr">
        <is>
          <t>4000A</t>
        </is>
      </c>
      <c r="J646" t="inlineStr">
        <is>
          <t>BESSIERE</t>
        </is>
      </c>
      <c r="L646">
        <f>_xlfn.XLOOKUP(Tableau1[[#This Row],[TYPE DE PIECE]],Tableau4[MATIERE],Tableau4[SHORT TYPE],"",0,1)</f>
        <v/>
      </c>
      <c r="N646">
        <f>IF(ISERR(FIND("DECOUPE",Tableau1[[#This Row],[DESIGNATION]])),"","NEED REF")</f>
        <v/>
      </c>
    </row>
    <row r="647">
      <c r="B647" t="n">
        <v>34413355</v>
      </c>
      <c r="C647" s="2" t="n">
        <v>45636</v>
      </c>
      <c r="D647" t="inlineStr">
        <is>
          <t>SPEC</t>
        </is>
      </c>
      <c r="E64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47" t="inlineStr">
        <is>
          <t>etude bypass</t>
        </is>
      </c>
      <c r="G647" t="inlineStr">
        <is>
          <t>GVXL</t>
        </is>
      </c>
      <c r="H647" t="inlineStr">
        <is>
          <t>BYPASS</t>
        </is>
      </c>
      <c r="I647" t="inlineStr">
        <is>
          <t>4000A</t>
        </is>
      </c>
      <c r="J647" t="inlineStr">
        <is>
          <t>BESSIERE</t>
        </is>
      </c>
      <c r="L647">
        <f>_xlfn.XLOOKUP(Tableau1[[#This Row],[TYPE DE PIECE]],Tableau4[MATIERE],Tableau4[SHORT TYPE],"",0,1)</f>
        <v/>
      </c>
      <c r="N647">
        <f>IF(ISERR(FIND("DECOUPE",Tableau1[[#This Row],[DESIGNATION]])),"","NEED REF")</f>
        <v/>
      </c>
    </row>
    <row r="648">
      <c r="B648" t="n">
        <v>34413354</v>
      </c>
      <c r="C648" s="2" t="n">
        <v>45636</v>
      </c>
      <c r="D648" t="inlineStr">
        <is>
          <t>SPEC</t>
        </is>
      </c>
      <c r="E64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48" t="inlineStr">
        <is>
          <t>etude bypass</t>
        </is>
      </c>
      <c r="G648" t="inlineStr">
        <is>
          <t>GVXL</t>
        </is>
      </c>
      <c r="H648" t="inlineStr">
        <is>
          <t>BYPASS</t>
        </is>
      </c>
      <c r="I648" t="inlineStr">
        <is>
          <t>4000A</t>
        </is>
      </c>
      <c r="J648" t="inlineStr">
        <is>
          <t>BESSIERE</t>
        </is>
      </c>
      <c r="L648">
        <f>_xlfn.XLOOKUP(Tableau1[[#This Row],[TYPE DE PIECE]],Tableau4[MATIERE],Tableau4[SHORT TYPE],"",0,1)</f>
        <v/>
      </c>
      <c r="N648">
        <f>IF(ISERR(FIND("DECOUPE",Tableau1[[#This Row],[DESIGNATION]])),"","NEED REF")</f>
        <v/>
      </c>
    </row>
    <row r="649">
      <c r="B649" t="n">
        <v>34413353</v>
      </c>
      <c r="C649" s="2" t="n">
        <v>45636</v>
      </c>
      <c r="D649" t="inlineStr">
        <is>
          <t>SPEC</t>
        </is>
      </c>
      <c r="E64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49" t="inlineStr">
        <is>
          <t>etude bypass</t>
        </is>
      </c>
      <c r="G649" t="inlineStr">
        <is>
          <t>GVXL</t>
        </is>
      </c>
      <c r="H649" t="inlineStr">
        <is>
          <t>BYPASS</t>
        </is>
      </c>
      <c r="I649" t="inlineStr">
        <is>
          <t>4000A</t>
        </is>
      </c>
      <c r="J649" t="inlineStr">
        <is>
          <t>BESSIERE</t>
        </is>
      </c>
      <c r="L649">
        <f>_xlfn.XLOOKUP(Tableau1[[#This Row],[TYPE DE PIECE]],Tableau4[MATIERE],Tableau4[SHORT TYPE],"",0,1)</f>
        <v/>
      </c>
      <c r="N649">
        <f>IF(ISERR(FIND("DECOUPE",Tableau1[[#This Row],[DESIGNATION]])),"","NEED REF")</f>
        <v/>
      </c>
    </row>
    <row r="650">
      <c r="B650" t="n">
        <v>34413352</v>
      </c>
      <c r="C650" s="2" t="n">
        <v>45636</v>
      </c>
      <c r="D650" t="inlineStr">
        <is>
          <t>SPEC</t>
        </is>
      </c>
      <c r="E65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50" t="inlineStr">
        <is>
          <t>etude bypass</t>
        </is>
      </c>
      <c r="G650" t="inlineStr">
        <is>
          <t>GVXL</t>
        </is>
      </c>
      <c r="H650" t="inlineStr">
        <is>
          <t>BYPASS</t>
        </is>
      </c>
      <c r="I650" t="inlineStr">
        <is>
          <t>4000A</t>
        </is>
      </c>
      <c r="J650" t="inlineStr">
        <is>
          <t>BESSIERE</t>
        </is>
      </c>
      <c r="L650">
        <f>_xlfn.XLOOKUP(Tableau1[[#This Row],[TYPE DE PIECE]],Tableau4[MATIERE],Tableau4[SHORT TYPE],"",0,1)</f>
        <v/>
      </c>
      <c r="N650">
        <f>IF(ISERR(FIND("DECOUPE",Tableau1[[#This Row],[DESIGNATION]])),"","NEED REF")</f>
        <v/>
      </c>
    </row>
    <row r="651">
      <c r="B651" t="n">
        <v>34413351</v>
      </c>
      <c r="C651" s="2" t="n">
        <v>45636</v>
      </c>
      <c r="D651" t="inlineStr">
        <is>
          <t>SPEC</t>
        </is>
      </c>
      <c r="E651" t="inlineStr">
        <is>
          <t>COP 34413351 GVXL UPS MAINS2 L3 2</t>
        </is>
      </c>
      <c r="F651" t="inlineStr">
        <is>
          <t>etude bypass</t>
        </is>
      </c>
      <c r="G651" t="inlineStr">
        <is>
          <t>GVXL</t>
        </is>
      </c>
      <c r="H651" t="inlineStr">
        <is>
          <t>BYPASS</t>
        </is>
      </c>
      <c r="I651" t="inlineStr">
        <is>
          <t>4000A</t>
        </is>
      </c>
      <c r="J651" t="inlineStr">
        <is>
          <t>BESSIERE</t>
        </is>
      </c>
      <c r="L651">
        <f>_xlfn.XLOOKUP(Tableau1[[#This Row],[TYPE DE PIECE]],Tableau4[MATIERE],Tableau4[SHORT TYPE],"",0,1)</f>
        <v/>
      </c>
      <c r="N651">
        <f>IF(ISERR(FIND("DECOUPE",Tableau1[[#This Row],[DESIGNATION]])),"","NEED REF")</f>
        <v/>
      </c>
    </row>
    <row r="652">
      <c r="B652" t="n">
        <v>34413350</v>
      </c>
      <c r="C652" s="2" t="n">
        <v>45636</v>
      </c>
      <c r="D652" t="inlineStr">
        <is>
          <t>SPEC</t>
        </is>
      </c>
      <c r="E652" t="inlineStr">
        <is>
          <t>COP 34413350 GVXL UPS MAINS2 L2 2</t>
        </is>
      </c>
      <c r="F652" t="inlineStr">
        <is>
          <t>etude bypass</t>
        </is>
      </c>
      <c r="G652" t="inlineStr">
        <is>
          <t>GVXL</t>
        </is>
      </c>
      <c r="H652" t="inlineStr">
        <is>
          <t>BYPASS</t>
        </is>
      </c>
      <c r="I652" t="inlineStr">
        <is>
          <t>4000A</t>
        </is>
      </c>
      <c r="J652" t="inlineStr">
        <is>
          <t>BESSIERE</t>
        </is>
      </c>
      <c r="L652">
        <f>_xlfn.XLOOKUP(Tableau1[[#This Row],[TYPE DE PIECE]],Tableau4[MATIERE],Tableau4[SHORT TYPE],"",0,1)</f>
        <v/>
      </c>
      <c r="N652">
        <f>IF(ISERR(FIND("DECOUPE",Tableau1[[#This Row],[DESIGNATION]])),"","NEED REF")</f>
        <v/>
      </c>
    </row>
    <row r="653">
      <c r="B653" t="n">
        <v>34413349</v>
      </c>
      <c r="C653" s="2" t="n">
        <v>45636</v>
      </c>
      <c r="D653" t="inlineStr">
        <is>
          <t>SPEC</t>
        </is>
      </c>
      <c r="E653" t="inlineStr">
        <is>
          <t>COP 34413349 GVXL UPS MAINS2 L1 2</t>
        </is>
      </c>
      <c r="F653" t="inlineStr">
        <is>
          <t>etude bypass</t>
        </is>
      </c>
      <c r="G653" t="inlineStr">
        <is>
          <t>GVXL</t>
        </is>
      </c>
      <c r="H653" t="inlineStr">
        <is>
          <t>BYPASS</t>
        </is>
      </c>
      <c r="I653" t="inlineStr">
        <is>
          <t>4000A</t>
        </is>
      </c>
      <c r="J653" t="inlineStr">
        <is>
          <t>BESSIERE</t>
        </is>
      </c>
      <c r="L653">
        <f>_xlfn.XLOOKUP(Tableau1[[#This Row],[TYPE DE PIECE]],Tableau4[MATIERE],Tableau4[SHORT TYPE],"",0,1)</f>
        <v/>
      </c>
      <c r="N653">
        <f>IF(ISERR(FIND("DECOUPE",Tableau1[[#This Row],[DESIGNATION]])),"","NEED REF")</f>
        <v/>
      </c>
    </row>
    <row r="654">
      <c r="B654" t="n">
        <v>34413348</v>
      </c>
      <c r="C654" s="2" t="n">
        <v>45636</v>
      </c>
      <c r="D654" t="inlineStr">
        <is>
          <t>SPEC</t>
        </is>
      </c>
      <c r="E654" t="inlineStr">
        <is>
          <t>COP 34413348 GVXL UPS BUSBAR NEUTRAL 3</t>
        </is>
      </c>
      <c r="F654" t="inlineStr">
        <is>
          <t>etude bypass</t>
        </is>
      </c>
      <c r="G654" t="inlineStr">
        <is>
          <t>GVXL</t>
        </is>
      </c>
      <c r="H654" t="inlineStr">
        <is>
          <t>BYPASS</t>
        </is>
      </c>
      <c r="I654" t="inlineStr">
        <is>
          <t>4000A</t>
        </is>
      </c>
      <c r="J654" t="inlineStr">
        <is>
          <t>BESSIERE</t>
        </is>
      </c>
      <c r="L654">
        <f>_xlfn.XLOOKUP(Tableau1[[#This Row],[TYPE DE PIECE]],Tableau4[MATIERE],Tableau4[SHORT TYPE],"",0,1)</f>
        <v/>
      </c>
      <c r="N654">
        <f>IF(ISERR(FIND("DECOUPE",Tableau1[[#This Row],[DESIGNATION]])),"","NEED REF")</f>
        <v/>
      </c>
    </row>
    <row r="655">
      <c r="B655" t="n">
        <v>34413347</v>
      </c>
      <c r="C655" s="2" t="n">
        <v>45636</v>
      </c>
      <c r="D655" t="inlineStr">
        <is>
          <t>SPEC</t>
        </is>
      </c>
      <c r="E65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55" t="inlineStr">
        <is>
          <t>etude bypass</t>
        </is>
      </c>
      <c r="G655" t="inlineStr">
        <is>
          <t>GVXL</t>
        </is>
      </c>
      <c r="H655" t="inlineStr">
        <is>
          <t>BYPASS</t>
        </is>
      </c>
      <c r="I655" t="inlineStr">
        <is>
          <t>4000A</t>
        </is>
      </c>
      <c r="J655" t="inlineStr">
        <is>
          <t>BESSIERE</t>
        </is>
      </c>
      <c r="L655">
        <f>_xlfn.XLOOKUP(Tableau1[[#This Row],[TYPE DE PIECE]],Tableau4[MATIERE],Tableau4[SHORT TYPE],"",0,1)</f>
        <v/>
      </c>
      <c r="N655">
        <f>IF(ISERR(FIND("DECOUPE",Tableau1[[#This Row],[DESIGNATION]])),"","NEED REF")</f>
        <v/>
      </c>
    </row>
    <row r="656">
      <c r="B656" t="n">
        <v>34413346</v>
      </c>
      <c r="C656" s="2" t="n">
        <v>45636</v>
      </c>
      <c r="D656" t="inlineStr">
        <is>
          <t>SPEC</t>
        </is>
      </c>
      <c r="E65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56" t="inlineStr">
        <is>
          <t>etude bypass</t>
        </is>
      </c>
      <c r="G656" t="inlineStr">
        <is>
          <t>GVXL</t>
        </is>
      </c>
      <c r="H656" t="inlineStr">
        <is>
          <t>BYPASS</t>
        </is>
      </c>
      <c r="I656" t="inlineStr">
        <is>
          <t>4000A</t>
        </is>
      </c>
      <c r="J656" t="inlineStr">
        <is>
          <t>BESSIERE</t>
        </is>
      </c>
      <c r="L656">
        <f>_xlfn.XLOOKUP(Tableau1[[#This Row],[TYPE DE PIECE]],Tableau4[MATIERE],Tableau4[SHORT TYPE],"",0,1)</f>
        <v/>
      </c>
      <c r="N656">
        <f>IF(ISERR(FIND("DECOUPE",Tableau1[[#This Row],[DESIGNATION]])),"","NEED REF")</f>
        <v/>
      </c>
    </row>
    <row r="657">
      <c r="B657" t="n">
        <v>34413345</v>
      </c>
      <c r="C657" s="2" t="n">
        <v>45636</v>
      </c>
      <c r="D657" t="inlineStr">
        <is>
          <t>SPEC</t>
        </is>
      </c>
      <c r="E65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57" t="inlineStr">
        <is>
          <t>etude bypass</t>
        </is>
      </c>
      <c r="G657" t="inlineStr">
        <is>
          <t>GVXL</t>
        </is>
      </c>
      <c r="H657" t="inlineStr">
        <is>
          <t>BYPASS</t>
        </is>
      </c>
      <c r="I657" t="inlineStr">
        <is>
          <t>4000A</t>
        </is>
      </c>
      <c r="J657" t="inlineStr">
        <is>
          <t>BESSIERE</t>
        </is>
      </c>
      <c r="L657">
        <f>_xlfn.XLOOKUP(Tableau1[[#This Row],[TYPE DE PIECE]],Tableau4[MATIERE],Tableau4[SHORT TYPE],"",0,1)</f>
        <v/>
      </c>
      <c r="N657">
        <f>IF(ISERR(FIND("DECOUPE",Tableau1[[#This Row],[DESIGNATION]])),"","NEED REF")</f>
        <v/>
      </c>
    </row>
    <row r="658">
      <c r="B658" t="n">
        <v>34413344</v>
      </c>
      <c r="C658" s="2" t="n">
        <v>45636</v>
      </c>
      <c r="D658" t="inlineStr">
        <is>
          <t>SPEC</t>
        </is>
      </c>
      <c r="E65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58" t="inlineStr">
        <is>
          <t>etude bypass</t>
        </is>
      </c>
      <c r="G658" t="inlineStr">
        <is>
          <t>GVXL</t>
        </is>
      </c>
      <c r="H658" t="inlineStr">
        <is>
          <t>BYPASS</t>
        </is>
      </c>
      <c r="I658" t="inlineStr">
        <is>
          <t>4000A</t>
        </is>
      </c>
      <c r="J658" t="inlineStr">
        <is>
          <t>BESSIERE</t>
        </is>
      </c>
      <c r="L658">
        <f>_xlfn.XLOOKUP(Tableau1[[#This Row],[TYPE DE PIECE]],Tableau4[MATIERE],Tableau4[SHORT TYPE],"",0,1)</f>
        <v/>
      </c>
      <c r="N658">
        <f>IF(ISERR(FIND("DECOUPE",Tableau1[[#This Row],[DESIGNATION]])),"","NEED REF")</f>
        <v/>
      </c>
    </row>
    <row r="659">
      <c r="B659" t="n">
        <v>34413343</v>
      </c>
      <c r="C659" s="2" t="n">
        <v>45636</v>
      </c>
      <c r="D659" t="inlineStr">
        <is>
          <t>SPEC</t>
        </is>
      </c>
      <c r="E65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59" t="inlineStr">
        <is>
          <t>etude bypass</t>
        </is>
      </c>
      <c r="G659" t="inlineStr">
        <is>
          <t>GVXL</t>
        </is>
      </c>
      <c r="H659" t="inlineStr">
        <is>
          <t>BYPASS</t>
        </is>
      </c>
      <c r="I659" t="inlineStr">
        <is>
          <t>4000A</t>
        </is>
      </c>
      <c r="J659" t="inlineStr">
        <is>
          <t>BESSIERE</t>
        </is>
      </c>
      <c r="L659">
        <f>_xlfn.XLOOKUP(Tableau1[[#This Row],[TYPE DE PIECE]],Tableau4[MATIERE],Tableau4[SHORT TYPE],"",0,1)</f>
        <v/>
      </c>
      <c r="N659">
        <f>IF(ISERR(FIND("DECOUPE",Tableau1[[#This Row],[DESIGNATION]])),"","NEED REF")</f>
        <v/>
      </c>
    </row>
    <row r="660">
      <c r="B660" t="n">
        <v>34413342</v>
      </c>
      <c r="C660" s="2" t="n">
        <v>45636</v>
      </c>
      <c r="D660" t="inlineStr">
        <is>
          <t>SPEC</t>
        </is>
      </c>
      <c r="E66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60" t="inlineStr">
        <is>
          <t>etude bypass</t>
        </is>
      </c>
      <c r="G660" t="inlineStr">
        <is>
          <t>GVXL</t>
        </is>
      </c>
      <c r="H660" t="inlineStr">
        <is>
          <t>BYPASS</t>
        </is>
      </c>
      <c r="I660" t="inlineStr">
        <is>
          <t>4000A</t>
        </is>
      </c>
      <c r="J660" t="inlineStr">
        <is>
          <t>BESSIERE</t>
        </is>
      </c>
      <c r="L660">
        <f>_xlfn.XLOOKUP(Tableau1[[#This Row],[TYPE DE PIECE]],Tableau4[MATIERE],Tableau4[SHORT TYPE],"",0,1)</f>
        <v/>
      </c>
      <c r="N660">
        <f>IF(ISERR(FIND("DECOUPE",Tableau1[[#This Row],[DESIGNATION]])),"","NEED REF")</f>
        <v/>
      </c>
    </row>
    <row r="661">
      <c r="B661" t="n">
        <v>34413341</v>
      </c>
      <c r="C661" s="2" t="n">
        <v>45636</v>
      </c>
      <c r="D661" t="inlineStr">
        <is>
          <t>SPEC</t>
        </is>
      </c>
      <c r="E66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61" t="inlineStr">
        <is>
          <t>etude bypass</t>
        </is>
      </c>
      <c r="G661" t="inlineStr">
        <is>
          <t>GVXL</t>
        </is>
      </c>
      <c r="H661" t="inlineStr">
        <is>
          <t>BYPASS</t>
        </is>
      </c>
      <c r="I661" t="inlineStr">
        <is>
          <t>4000A</t>
        </is>
      </c>
      <c r="J661" t="inlineStr">
        <is>
          <t>BESSIERE</t>
        </is>
      </c>
      <c r="L661">
        <f>_xlfn.XLOOKUP(Tableau1[[#This Row],[TYPE DE PIECE]],Tableau4[MATIERE],Tableau4[SHORT TYPE],"",0,1)</f>
        <v/>
      </c>
      <c r="N661">
        <f>IF(ISERR(FIND("DECOUPE",Tableau1[[#This Row],[DESIGNATION]])),"","NEED REF")</f>
        <v/>
      </c>
    </row>
    <row r="662">
      <c r="B662" t="n">
        <v>34413340</v>
      </c>
      <c r="C662" s="2" t="n">
        <v>45636</v>
      </c>
      <c r="D662" t="inlineStr">
        <is>
          <t>SPEC</t>
        </is>
      </c>
      <c r="E66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62" t="inlineStr">
        <is>
          <t>etude bypass</t>
        </is>
      </c>
      <c r="G662" t="inlineStr">
        <is>
          <t>GVXL</t>
        </is>
      </c>
      <c r="H662" t="inlineStr">
        <is>
          <t>BYPASS</t>
        </is>
      </c>
      <c r="I662" t="inlineStr">
        <is>
          <t>4000A</t>
        </is>
      </c>
      <c r="J662" t="inlineStr">
        <is>
          <t>BESSIERE</t>
        </is>
      </c>
      <c r="L662">
        <f>_xlfn.XLOOKUP(Tableau1[[#This Row],[TYPE DE PIECE]],Tableau4[MATIERE],Tableau4[SHORT TYPE],"",0,1)</f>
        <v/>
      </c>
      <c r="N662">
        <f>IF(ISERR(FIND("DECOUPE",Tableau1[[#This Row],[DESIGNATION]])),"","NEED REF")</f>
        <v/>
      </c>
    </row>
    <row r="663">
      <c r="B663" t="n">
        <v>34413339</v>
      </c>
      <c r="C663" s="2" t="n">
        <v>45636</v>
      </c>
      <c r="D663" t="inlineStr">
        <is>
          <t>SPEC</t>
        </is>
      </c>
      <c r="E66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63" t="inlineStr">
        <is>
          <t>etude bypass</t>
        </is>
      </c>
      <c r="G663" t="inlineStr">
        <is>
          <t>GVXL</t>
        </is>
      </c>
      <c r="H663" t="inlineStr">
        <is>
          <t>BYPASS</t>
        </is>
      </c>
      <c r="I663" t="inlineStr">
        <is>
          <t>4000A</t>
        </is>
      </c>
      <c r="J663" t="inlineStr">
        <is>
          <t>BESSIERE</t>
        </is>
      </c>
      <c r="L663">
        <f>_xlfn.XLOOKUP(Tableau1[[#This Row],[TYPE DE PIECE]],Tableau4[MATIERE],Tableau4[SHORT TYPE],"",0,1)</f>
        <v/>
      </c>
      <c r="N663">
        <f>IF(ISERR(FIND("DECOUPE",Tableau1[[#This Row],[DESIGNATION]])),"","NEED REF")</f>
        <v/>
      </c>
    </row>
    <row r="664">
      <c r="B664" t="n">
        <v>34413338</v>
      </c>
      <c r="C664" s="2" t="n">
        <v>45636</v>
      </c>
      <c r="D664" t="inlineStr">
        <is>
          <t>SPEC</t>
        </is>
      </c>
      <c r="E66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64" t="inlineStr">
        <is>
          <t>etude bypass</t>
        </is>
      </c>
      <c r="G664" t="inlineStr">
        <is>
          <t>GVXL</t>
        </is>
      </c>
      <c r="H664" t="inlineStr">
        <is>
          <t>BYPASS</t>
        </is>
      </c>
      <c r="I664" t="inlineStr">
        <is>
          <t>4000A</t>
        </is>
      </c>
      <c r="J664" t="inlineStr">
        <is>
          <t>BESSIERE</t>
        </is>
      </c>
      <c r="L664">
        <f>_xlfn.XLOOKUP(Tableau1[[#This Row],[TYPE DE PIECE]],Tableau4[MATIERE],Tableau4[SHORT TYPE],"",0,1)</f>
        <v/>
      </c>
      <c r="N664">
        <f>IF(ISERR(FIND("DECOUPE",Tableau1[[#This Row],[DESIGNATION]])),"","NEED REF")</f>
        <v/>
      </c>
    </row>
    <row r="665">
      <c r="B665" t="n">
        <v>34413337</v>
      </c>
      <c r="C665" s="2" t="n">
        <v>45636</v>
      </c>
      <c r="D665" t="inlineStr">
        <is>
          <t>SPEC</t>
        </is>
      </c>
      <c r="E66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65" t="inlineStr">
        <is>
          <t>etude bypass</t>
        </is>
      </c>
      <c r="G665" t="inlineStr">
        <is>
          <t>GVXL</t>
        </is>
      </c>
      <c r="H665" t="inlineStr">
        <is>
          <t>BYPASS</t>
        </is>
      </c>
      <c r="I665" t="inlineStr">
        <is>
          <t>4000A</t>
        </is>
      </c>
      <c r="J665" t="inlineStr">
        <is>
          <t>BESSIERE</t>
        </is>
      </c>
      <c r="L665">
        <f>_xlfn.XLOOKUP(Tableau1[[#This Row],[TYPE DE PIECE]],Tableau4[MATIERE],Tableau4[SHORT TYPE],"",0,1)</f>
        <v/>
      </c>
      <c r="N665">
        <f>IF(ISERR(FIND("DECOUPE",Tableau1[[#This Row],[DESIGNATION]])),"","NEED REF")</f>
        <v/>
      </c>
    </row>
    <row r="666">
      <c r="B666" t="n">
        <v>34413336</v>
      </c>
      <c r="C666" s="2" t="n">
        <v>45635</v>
      </c>
      <c r="D666" t="inlineStr">
        <is>
          <t>SPEC</t>
        </is>
      </c>
      <c r="E66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66" t="inlineStr">
        <is>
          <t>etude bypass</t>
        </is>
      </c>
      <c r="G666" t="inlineStr">
        <is>
          <t>GVXL</t>
        </is>
      </c>
      <c r="H666" t="inlineStr">
        <is>
          <t>BYPASS</t>
        </is>
      </c>
      <c r="I666" t="inlineStr">
        <is>
          <t>4000A</t>
        </is>
      </c>
      <c r="J666" t="inlineStr">
        <is>
          <t>BESSIERE</t>
        </is>
      </c>
      <c r="L666">
        <f>_xlfn.XLOOKUP(Tableau1[[#This Row],[TYPE DE PIECE]],Tableau4[MATIERE],Tableau4[SHORT TYPE],"",0,1)</f>
        <v/>
      </c>
      <c r="N666">
        <f>IF(ISERR(FIND("DECOUPE",Tableau1[[#This Row],[DESIGNATION]])),"","NEED REF")</f>
        <v/>
      </c>
    </row>
    <row r="667">
      <c r="B667" t="n">
        <v>34413335</v>
      </c>
      <c r="C667" s="2" t="n">
        <v>45635</v>
      </c>
      <c r="D667" t="inlineStr">
        <is>
          <t>SPEC</t>
        </is>
      </c>
      <c r="E66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67" t="inlineStr">
        <is>
          <t>etude bypass</t>
        </is>
      </c>
      <c r="G667" t="inlineStr">
        <is>
          <t>GVXL</t>
        </is>
      </c>
      <c r="H667" t="inlineStr">
        <is>
          <t>BYPASS</t>
        </is>
      </c>
      <c r="I667" t="inlineStr">
        <is>
          <t>4000A</t>
        </is>
      </c>
      <c r="J667" t="inlineStr">
        <is>
          <t>BESSIERE</t>
        </is>
      </c>
      <c r="L667">
        <f>_xlfn.XLOOKUP(Tableau1[[#This Row],[TYPE DE PIECE]],Tableau4[MATIERE],Tableau4[SHORT TYPE],"",0,1)</f>
        <v/>
      </c>
      <c r="N667">
        <f>IF(ISERR(FIND("DECOUPE",Tableau1[[#This Row],[DESIGNATION]])),"","NEED REF")</f>
        <v/>
      </c>
    </row>
    <row r="668">
      <c r="B668" t="n">
        <v>34413334</v>
      </c>
      <c r="C668" s="2" t="n">
        <v>45635</v>
      </c>
      <c r="D668" t="inlineStr">
        <is>
          <t>SPEC</t>
        </is>
      </c>
      <c r="E668" t="inlineStr">
        <is>
          <t>COP 34413323 GVXL UPS OUTPUT L3 2</t>
        </is>
      </c>
      <c r="F668" t="inlineStr">
        <is>
          <t>etude bypass</t>
        </is>
      </c>
      <c r="G668" t="inlineStr">
        <is>
          <t>GVXL</t>
        </is>
      </c>
      <c r="H668" t="inlineStr">
        <is>
          <t>BYPASS</t>
        </is>
      </c>
      <c r="I668" t="inlineStr">
        <is>
          <t>4000A</t>
        </is>
      </c>
      <c r="J668" t="inlineStr">
        <is>
          <t>BESSIERE</t>
        </is>
      </c>
      <c r="L668">
        <f>_xlfn.XLOOKUP(Tableau1[[#This Row],[TYPE DE PIECE]],Tableau4[MATIERE],Tableau4[SHORT TYPE],"",0,1)</f>
        <v/>
      </c>
      <c r="N668">
        <f>IF(ISERR(FIND("DECOUPE",Tableau1[[#This Row],[DESIGNATION]])),"","NEED REF")</f>
        <v/>
      </c>
    </row>
    <row r="669">
      <c r="B669" t="n">
        <v>34413333</v>
      </c>
      <c r="C669" s="2" t="n">
        <v>45635</v>
      </c>
      <c r="D669" t="inlineStr">
        <is>
          <t>SPEC</t>
        </is>
      </c>
      <c r="E669" t="inlineStr">
        <is>
          <t>COP 34413333 GVXL UPS MAINS1 L1 2</t>
        </is>
      </c>
      <c r="F669" t="inlineStr">
        <is>
          <t>etude bypass</t>
        </is>
      </c>
      <c r="G669" t="inlineStr">
        <is>
          <t>GVXL</t>
        </is>
      </c>
      <c r="H669" t="inlineStr">
        <is>
          <t>BYPASS</t>
        </is>
      </c>
      <c r="I669" t="inlineStr">
        <is>
          <t>4000A</t>
        </is>
      </c>
      <c r="J669" t="inlineStr">
        <is>
          <t>BESSIERE</t>
        </is>
      </c>
      <c r="L669">
        <f>_xlfn.XLOOKUP(Tableau1[[#This Row],[TYPE DE PIECE]],Tableau4[MATIERE],Tableau4[SHORT TYPE],"",0,1)</f>
        <v/>
      </c>
      <c r="N669">
        <f>IF(ISERR(FIND("DECOUPE",Tableau1[[#This Row],[DESIGNATION]])),"","NEED REF")</f>
        <v/>
      </c>
    </row>
    <row r="670">
      <c r="B670" t="n">
        <v>34413332</v>
      </c>
      <c r="C670" s="2" t="n">
        <v>45635</v>
      </c>
      <c r="D670" t="inlineStr">
        <is>
          <t>SPEC</t>
        </is>
      </c>
      <c r="E670" t="inlineStr">
        <is>
          <t>SMT PLASTRON BAS RAL7016</t>
        </is>
      </c>
      <c r="F670" t="inlineStr">
        <is>
          <t>Solution Center</t>
        </is>
      </c>
      <c r="G670" t="inlineStr">
        <is>
          <t>STS</t>
        </is>
      </c>
      <c r="H670" t="inlineStr">
        <is>
          <t>STS ETO</t>
        </is>
      </c>
      <c r="I670" t="inlineStr">
        <is>
          <t>400A</t>
        </is>
      </c>
      <c r="J670" t="inlineStr">
        <is>
          <t>JAWORSKI</t>
        </is>
      </c>
      <c r="L670">
        <f>_xlfn.XLOOKUP(Tableau1[[#This Row],[TYPE DE PIECE]],Tableau4[MATIERE],Tableau4[SHORT TYPE],"",0,1)</f>
        <v/>
      </c>
      <c r="N670">
        <f>IF(ISERR(FIND("DECOUPE",Tableau1[[#This Row],[DESIGNATION]])),"","NEED REF")</f>
        <v/>
      </c>
    </row>
    <row r="671">
      <c r="B671" t="n">
        <v>34413331</v>
      </c>
      <c r="C671" s="2" t="n">
        <v>45635</v>
      </c>
      <c r="D671" t="inlineStr">
        <is>
          <t>SPEC</t>
        </is>
      </c>
      <c r="E671" t="inlineStr">
        <is>
          <t>NOM VISSERIE CLIENT STS QTOP10400</t>
        </is>
      </c>
      <c r="F671" t="inlineStr">
        <is>
          <t>Solution Center</t>
        </is>
      </c>
      <c r="G671" t="inlineStr">
        <is>
          <t>STS</t>
        </is>
      </c>
      <c r="H671" t="inlineStr">
        <is>
          <t>STS ETO</t>
        </is>
      </c>
      <c r="I671" t="inlineStr">
        <is>
          <t>400A</t>
        </is>
      </c>
      <c r="J671" t="inlineStr">
        <is>
          <t>JAWORSKI</t>
        </is>
      </c>
      <c r="K671" t="inlineStr">
        <is>
          <t>NOMENCLATURE</t>
        </is>
      </c>
      <c r="L671">
        <f>_xlfn.XLOOKUP(Tableau1[[#This Row],[TYPE DE PIECE]],Tableau4[MATIERE],Tableau4[SHORT TYPE],"",0,1)</f>
        <v/>
      </c>
      <c r="N671">
        <f>IF(ISERR(FIND("DECOUPE",Tableau1[[#This Row],[DESIGNATION]])),"","NEED REF")</f>
        <v/>
      </c>
    </row>
    <row r="672">
      <c r="B672" t="n">
        <v>34413330</v>
      </c>
      <c r="C672" s="2" t="n">
        <v>45635</v>
      </c>
      <c r="D672" t="inlineStr">
        <is>
          <t>SPEC</t>
        </is>
      </c>
      <c r="E672" t="inlineStr">
        <is>
          <t>NOM FINITION CELLULE SPACIAL SFN 2000x700x1000 RAL9003</t>
        </is>
      </c>
      <c r="F672" t="inlineStr">
        <is>
          <t>Solution Center</t>
        </is>
      </c>
      <c r="G672" t="inlineStr">
        <is>
          <t>STS</t>
        </is>
      </c>
      <c r="H672" t="inlineStr">
        <is>
          <t>STS ETO</t>
        </is>
      </c>
      <c r="I672" t="inlineStr">
        <is>
          <t>400A</t>
        </is>
      </c>
      <c r="J672" t="inlineStr">
        <is>
          <t>JAWORSKI</t>
        </is>
      </c>
      <c r="K672" t="inlineStr">
        <is>
          <t>NOMENCLATURE</t>
        </is>
      </c>
      <c r="L672">
        <f>_xlfn.XLOOKUP(Tableau1[[#This Row],[TYPE DE PIECE]],Tableau4[MATIERE],Tableau4[SHORT TYPE],"",0,1)</f>
        <v/>
      </c>
      <c r="N672">
        <f>IF(ISERR(FIND("DECOUPE",Tableau1[[#This Row],[DESIGNATION]])),"","NEED REF")</f>
        <v/>
      </c>
    </row>
    <row r="673">
      <c r="B673" t="n">
        <v>34413329</v>
      </c>
      <c r="C673" s="2" t="n">
        <v>45635</v>
      </c>
      <c r="D673" t="inlineStr">
        <is>
          <t>SPEC</t>
        </is>
      </c>
      <c r="E673" t="inlineStr">
        <is>
          <t>NOM S/E PLATINE NEUTRE COUPE ETO STS 400A 4P TOP</t>
        </is>
      </c>
      <c r="F673" t="inlineStr">
        <is>
          <t>Solution Center</t>
        </is>
      </c>
      <c r="G673" t="inlineStr">
        <is>
          <t>STS</t>
        </is>
      </c>
      <c r="H673" t="inlineStr">
        <is>
          <t>STS ETO</t>
        </is>
      </c>
      <c r="I673" t="inlineStr">
        <is>
          <t>400A</t>
        </is>
      </c>
      <c r="J673" t="inlineStr">
        <is>
          <t>JAWORSKI</t>
        </is>
      </c>
      <c r="K673" t="inlineStr">
        <is>
          <t>NOMENCLATURE</t>
        </is>
      </c>
      <c r="L673">
        <f>_xlfn.XLOOKUP(Tableau1[[#This Row],[TYPE DE PIECE]],Tableau4[MATIERE],Tableau4[SHORT TYPE],"",0,1)</f>
        <v/>
      </c>
      <c r="N673">
        <f>IF(ISERR(FIND("DECOUPE",Tableau1[[#This Row],[DESIGNATION]])),"","NEED REF")</f>
        <v/>
      </c>
    </row>
    <row r="674">
      <c r="B674" t="n">
        <v>34413328</v>
      </c>
      <c r="C674" s="2" t="n">
        <v>45635</v>
      </c>
      <c r="D674" t="inlineStr">
        <is>
          <t>SPEC</t>
        </is>
      </c>
      <c r="E674" t="inlineStr">
        <is>
          <t>NOM S/E MODULE ELECTRONIQUE ETO STS 400A 4P TOP</t>
        </is>
      </c>
      <c r="F674" t="inlineStr">
        <is>
          <t>Solution Center</t>
        </is>
      </c>
      <c r="G674" t="inlineStr">
        <is>
          <t>STS</t>
        </is>
      </c>
      <c r="H674" t="inlineStr">
        <is>
          <t>STS ETO</t>
        </is>
      </c>
      <c r="I674" t="inlineStr">
        <is>
          <t>400A</t>
        </is>
      </c>
      <c r="J674" t="inlineStr">
        <is>
          <t>JAWORSKI</t>
        </is>
      </c>
      <c r="K674" t="inlineStr">
        <is>
          <t>NOMENCLATURE</t>
        </is>
      </c>
      <c r="L674">
        <f>_xlfn.XLOOKUP(Tableau1[[#This Row],[TYPE DE PIECE]],Tableau4[MATIERE],Tableau4[SHORT TYPE],"",0,1)</f>
        <v/>
      </c>
      <c r="N674">
        <f>IF(ISERR(FIND("DECOUPE",Tableau1[[#This Row],[DESIGNATION]])),"","NEED REF")</f>
        <v/>
      </c>
    </row>
    <row r="675">
      <c r="B675" t="n">
        <v>34413327</v>
      </c>
      <c r="C675" s="2" t="n">
        <v>45635</v>
      </c>
      <c r="D675" t="inlineStr">
        <is>
          <t>SPEC</t>
        </is>
      </c>
      <c r="E675" t="inlineStr">
        <is>
          <t>NOM ASSEMBLAGE PORTE ETO STS 400A 4P TOP</t>
        </is>
      </c>
      <c r="F675" t="inlineStr">
        <is>
          <t>Solution Center</t>
        </is>
      </c>
      <c r="G675" t="inlineStr">
        <is>
          <t>STS</t>
        </is>
      </c>
      <c r="H675" t="inlineStr">
        <is>
          <t>STS ETO</t>
        </is>
      </c>
      <c r="I675" t="inlineStr">
        <is>
          <t>400A</t>
        </is>
      </c>
      <c r="J675" t="inlineStr">
        <is>
          <t>JAWORSKI</t>
        </is>
      </c>
      <c r="K675" t="inlineStr">
        <is>
          <t>NOMENCLATURE</t>
        </is>
      </c>
      <c r="L675">
        <f>_xlfn.XLOOKUP(Tableau1[[#This Row],[TYPE DE PIECE]],Tableau4[MATIERE],Tableau4[SHORT TYPE],"",0,1)</f>
        <v/>
      </c>
      <c r="N675">
        <f>IF(ISERR(FIND("DECOUPE",Tableau1[[#This Row],[DESIGNATION]])),"","NEED REF")</f>
        <v/>
      </c>
    </row>
    <row r="676">
      <c r="B676" t="n">
        <v>34413326</v>
      </c>
      <c r="C676" s="2" t="n">
        <v>45635</v>
      </c>
      <c r="D676" t="inlineStr">
        <is>
          <t>SPEC</t>
        </is>
      </c>
      <c r="E676" t="inlineStr">
        <is>
          <t>NOM INTEGRATION ETO STS 400A 4P TOP</t>
        </is>
      </c>
      <c r="F676" t="inlineStr">
        <is>
          <t>Solution Center</t>
        </is>
      </c>
      <c r="G676" t="inlineStr">
        <is>
          <t>STS</t>
        </is>
      </c>
      <c r="H676" t="inlineStr">
        <is>
          <t>STS ETO</t>
        </is>
      </c>
      <c r="I676" t="inlineStr">
        <is>
          <t>400A</t>
        </is>
      </c>
      <c r="J676" t="inlineStr">
        <is>
          <t>JAWORSKI</t>
        </is>
      </c>
      <c r="K676" t="inlineStr">
        <is>
          <t>NOMENCLATURE</t>
        </is>
      </c>
      <c r="L676">
        <f>_xlfn.XLOOKUP(Tableau1[[#This Row],[TYPE DE PIECE]],Tableau4[MATIERE],Tableau4[SHORT TYPE],"",0,1)</f>
        <v/>
      </c>
      <c r="N676">
        <f>IF(ISERR(FIND("DECOUPE",Tableau1[[#This Row],[DESIGNATION]])),"","NEED REF")</f>
        <v/>
      </c>
    </row>
    <row r="677">
      <c r="B677" t="n">
        <v>34413325</v>
      </c>
      <c r="C677" s="2" t="n">
        <v>45635</v>
      </c>
      <c r="D677" t="inlineStr">
        <is>
          <t>SPEC</t>
        </is>
      </c>
      <c r="E677" t="inlineStr">
        <is>
          <t>SAREL SFN-H2000xL700xP500-STS - 360345</t>
        </is>
      </c>
      <c r="J677" t="inlineStr">
        <is>
          <t>BERNARDEAU</t>
        </is>
      </c>
      <c r="K677" t="inlineStr">
        <is>
          <t>SE</t>
        </is>
      </c>
      <c r="L677">
        <f>_xlfn.XLOOKUP(Tableau1[[#This Row],[TYPE DE PIECE]],Tableau4[MATIERE],Tableau4[SHORT TYPE],"",0,1)</f>
        <v/>
      </c>
      <c r="N677">
        <f>IF(ISERR(FIND("DECOUPE",Tableau1[[#This Row],[DESIGNATION]])),"","NEED REF")</f>
        <v/>
      </c>
    </row>
    <row r="678">
      <c r="B678" t="n">
        <v>34413324</v>
      </c>
      <c r="C678" s="2" t="n">
        <v>45635</v>
      </c>
      <c r="D678" t="inlineStr">
        <is>
          <t>SPEC</t>
        </is>
      </c>
      <c r="E678" t="inlineStr">
        <is>
          <t>NOM ASSEMBLAGE FINISH AND HOUSING ETO STS 400A 4P TOP</t>
        </is>
      </c>
      <c r="F678" t="inlineStr">
        <is>
          <t>Solution Center</t>
        </is>
      </c>
      <c r="G678" t="inlineStr">
        <is>
          <t>STS</t>
        </is>
      </c>
      <c r="H678" t="inlineStr">
        <is>
          <t>STS ETO</t>
        </is>
      </c>
      <c r="I678" t="inlineStr">
        <is>
          <t>400A</t>
        </is>
      </c>
      <c r="J678" t="inlineStr">
        <is>
          <t>JAWORSKI</t>
        </is>
      </c>
      <c r="K678" t="inlineStr">
        <is>
          <t>NOMENCLATURE</t>
        </is>
      </c>
      <c r="L678">
        <f>_xlfn.XLOOKUP(Tableau1[[#This Row],[TYPE DE PIECE]],Tableau4[MATIERE],Tableau4[SHORT TYPE],"",0,1)</f>
        <v/>
      </c>
      <c r="N678">
        <f>IF(ISERR(FIND("DECOUPE",Tableau1[[#This Row],[DESIGNATION]])),"","NEED REF")</f>
        <v/>
      </c>
    </row>
    <row r="679">
      <c r="B679" t="n">
        <v>34413323</v>
      </c>
      <c r="C679" s="2" t="n">
        <v>45632</v>
      </c>
      <c r="D679" t="inlineStr">
        <is>
          <t>SPEC</t>
        </is>
      </c>
      <c r="E679" t="inlineStr">
        <is>
          <t>COP 34413323 GVXL UPS OUTPUT L2 2</t>
        </is>
      </c>
      <c r="F679" t="inlineStr">
        <is>
          <t>etude bypass</t>
        </is>
      </c>
      <c r="G679" t="inlineStr">
        <is>
          <t>GVXL</t>
        </is>
      </c>
      <c r="H679" t="inlineStr">
        <is>
          <t>BYPASS</t>
        </is>
      </c>
      <c r="I679" t="inlineStr">
        <is>
          <t>4000A</t>
        </is>
      </c>
      <c r="J679" t="inlineStr">
        <is>
          <t>BESSIERE</t>
        </is>
      </c>
      <c r="L679">
        <f>_xlfn.XLOOKUP(Tableau1[[#This Row],[TYPE DE PIECE]],Tableau4[MATIERE],Tableau4[SHORT TYPE],"",0,1)</f>
        <v/>
      </c>
      <c r="N679">
        <f>IF(ISERR(FIND("DECOUPE",Tableau1[[#This Row],[DESIGNATION]])),"","NEED REF")</f>
        <v/>
      </c>
    </row>
    <row r="680">
      <c r="B680" t="n">
        <v>34413322</v>
      </c>
      <c r="C680" s="2" t="n">
        <v>45632</v>
      </c>
      <c r="D680" t="inlineStr">
        <is>
          <t>SPEC</t>
        </is>
      </c>
      <c r="E680" t="inlineStr">
        <is>
          <t>COP 34413322 GVXL UPS OUTPUT L1/L2/L3 1</t>
        </is>
      </c>
      <c r="F680" t="inlineStr">
        <is>
          <t>etude bypass</t>
        </is>
      </c>
      <c r="G680" t="inlineStr">
        <is>
          <t>GVXL</t>
        </is>
      </c>
      <c r="H680" t="inlineStr">
        <is>
          <t>BYPASS</t>
        </is>
      </c>
      <c r="I680" t="inlineStr">
        <is>
          <t>4000A</t>
        </is>
      </c>
      <c r="J680" t="inlineStr">
        <is>
          <t>BESSIERE</t>
        </is>
      </c>
      <c r="L680">
        <f>_xlfn.XLOOKUP(Tableau1[[#This Row],[TYPE DE PIECE]],Tableau4[MATIERE],Tableau4[SHORT TYPE],"",0,1)</f>
        <v/>
      </c>
      <c r="N680">
        <f>IF(ISERR(FIND("DECOUPE",Tableau1[[#This Row],[DESIGNATION]])),"","NEED REF")</f>
        <v/>
      </c>
    </row>
    <row r="681">
      <c r="B681" t="n">
        <v>34413321</v>
      </c>
      <c r="C681" s="2" t="n">
        <v>45632</v>
      </c>
      <c r="D681" t="inlineStr">
        <is>
          <t>SPEC</t>
        </is>
      </c>
      <c r="E68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81" t="inlineStr">
        <is>
          <t>etude bypass</t>
        </is>
      </c>
      <c r="G681" t="inlineStr">
        <is>
          <t>GVXL</t>
        </is>
      </c>
      <c r="H681" t="inlineStr">
        <is>
          <t>BYPASS</t>
        </is>
      </c>
      <c r="I681" t="inlineStr">
        <is>
          <t>4000A</t>
        </is>
      </c>
      <c r="J681" t="inlineStr">
        <is>
          <t>BESSIERE</t>
        </is>
      </c>
      <c r="L681">
        <f>_xlfn.XLOOKUP(Tableau1[[#This Row],[TYPE DE PIECE]],Tableau4[MATIERE],Tableau4[SHORT TYPE],"",0,1)</f>
        <v/>
      </c>
      <c r="N681">
        <f>IF(ISERR(FIND("DECOUPE",Tableau1[[#This Row],[DESIGNATION]])),"","NEED REF")</f>
        <v/>
      </c>
    </row>
    <row r="682">
      <c r="B682" t="n">
        <v>34413320</v>
      </c>
      <c r="C682" s="2" t="n">
        <v>45632</v>
      </c>
      <c r="D682" t="inlineStr">
        <is>
          <t>SPEC</t>
        </is>
      </c>
      <c r="E68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82" t="inlineStr">
        <is>
          <t>etude bypass</t>
        </is>
      </c>
      <c r="G682" t="inlineStr">
        <is>
          <t>GVXL</t>
        </is>
      </c>
      <c r="H682" t="inlineStr">
        <is>
          <t>BYPASS</t>
        </is>
      </c>
      <c r="I682" t="inlineStr">
        <is>
          <t>4000A</t>
        </is>
      </c>
      <c r="J682" t="inlineStr">
        <is>
          <t>BESSIERE</t>
        </is>
      </c>
      <c r="L682">
        <f>_xlfn.XLOOKUP(Tableau1[[#This Row],[TYPE DE PIECE]],Tableau4[MATIERE],Tableau4[SHORT TYPE],"",0,1)</f>
        <v/>
      </c>
      <c r="N682">
        <f>IF(ISERR(FIND("DECOUPE",Tableau1[[#This Row],[DESIGNATION]])),"","NEED REF")</f>
        <v/>
      </c>
    </row>
    <row r="683">
      <c r="B683" t="n">
        <v>34413319</v>
      </c>
      <c r="C683" s="2" t="n">
        <v>45632</v>
      </c>
      <c r="D683" t="inlineStr">
        <is>
          <t>SPEC</t>
        </is>
      </c>
      <c r="E683" t="inlineStr">
        <is>
          <t>COP 34413319 GVXL UPS MAINS2 L1 1</t>
        </is>
      </c>
      <c r="F683" t="inlineStr">
        <is>
          <t>etude bypass</t>
        </is>
      </c>
      <c r="G683" t="inlineStr">
        <is>
          <t>GVXL</t>
        </is>
      </c>
      <c r="H683" t="inlineStr">
        <is>
          <t>BYPASS</t>
        </is>
      </c>
      <c r="I683" t="inlineStr">
        <is>
          <t>4000A</t>
        </is>
      </c>
      <c r="J683" t="inlineStr">
        <is>
          <t>BESSIERE</t>
        </is>
      </c>
      <c r="L683">
        <f>_xlfn.XLOOKUP(Tableau1[[#This Row],[TYPE DE PIECE]],Tableau4[MATIERE],Tableau4[SHORT TYPE],"",0,1)</f>
        <v/>
      </c>
      <c r="N683">
        <f>IF(ISERR(FIND("DECOUPE",Tableau1[[#This Row],[DESIGNATION]])),"","NEED REF")</f>
        <v/>
      </c>
    </row>
    <row r="684">
      <c r="B684" t="n">
        <v>34413318</v>
      </c>
      <c r="C684" s="2" t="n">
        <v>45632</v>
      </c>
      <c r="D684" t="inlineStr">
        <is>
          <t>SPEC</t>
        </is>
      </c>
      <c r="E684" t="inlineStr">
        <is>
          <t>COP 34413318 GVXL UPS MAINS2 L2 1</t>
        </is>
      </c>
      <c r="F684" t="inlineStr">
        <is>
          <t>etude bypass</t>
        </is>
      </c>
      <c r="G684" t="inlineStr">
        <is>
          <t>GVXL</t>
        </is>
      </c>
      <c r="H684" t="inlineStr">
        <is>
          <t>BYPASS</t>
        </is>
      </c>
      <c r="I684" t="inlineStr">
        <is>
          <t>4000A</t>
        </is>
      </c>
      <c r="J684" t="inlineStr">
        <is>
          <t>BESSIERE</t>
        </is>
      </c>
      <c r="L684">
        <f>_xlfn.XLOOKUP(Tableau1[[#This Row],[TYPE DE PIECE]],Tableau4[MATIERE],Tableau4[SHORT TYPE],"",0,1)</f>
        <v/>
      </c>
      <c r="N684">
        <f>IF(ISERR(FIND("DECOUPE",Tableau1[[#This Row],[DESIGNATION]])),"","NEED REF")</f>
        <v/>
      </c>
    </row>
    <row r="685">
      <c r="B685" t="n">
        <v>34413317</v>
      </c>
      <c r="C685" s="2" t="n">
        <v>45632</v>
      </c>
      <c r="D685" t="inlineStr">
        <is>
          <t>SPEC</t>
        </is>
      </c>
      <c r="E68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85" t="inlineStr">
        <is>
          <t>etude bypass</t>
        </is>
      </c>
      <c r="G685" t="inlineStr">
        <is>
          <t>GVXL</t>
        </is>
      </c>
      <c r="H685" t="inlineStr">
        <is>
          <t>BYPASS</t>
        </is>
      </c>
      <c r="I685" t="inlineStr">
        <is>
          <t>4000A</t>
        </is>
      </c>
      <c r="J685" t="inlineStr">
        <is>
          <t>BESSIERE</t>
        </is>
      </c>
      <c r="L685">
        <f>_xlfn.XLOOKUP(Tableau1[[#This Row],[TYPE DE PIECE]],Tableau4[MATIERE],Tableau4[SHORT TYPE],"",0,1)</f>
        <v/>
      </c>
      <c r="N685">
        <f>IF(ISERR(FIND("DECOUPE",Tableau1[[#This Row],[DESIGNATION]])),"","NEED REF")</f>
        <v/>
      </c>
    </row>
    <row r="686">
      <c r="B686" t="n">
        <v>34413316</v>
      </c>
      <c r="C686" s="2" t="n">
        <v>45632</v>
      </c>
      <c r="D686" t="inlineStr">
        <is>
          <t>SPEC</t>
        </is>
      </c>
      <c r="E686" t="inlineStr">
        <is>
          <t>COP 34413316 GVXL UPS MAINS2 L3 1/MAINS1 L1 2</t>
        </is>
      </c>
      <c r="F686" t="inlineStr">
        <is>
          <t>etude bypass</t>
        </is>
      </c>
      <c r="G686" t="inlineStr">
        <is>
          <t>GVXL</t>
        </is>
      </c>
      <c r="H686" t="inlineStr">
        <is>
          <t>BYPASS</t>
        </is>
      </c>
      <c r="I686" t="inlineStr">
        <is>
          <t>4000A</t>
        </is>
      </c>
      <c r="J686" t="inlineStr">
        <is>
          <t>BESSIERE</t>
        </is>
      </c>
      <c r="L686">
        <f>_xlfn.XLOOKUP(Tableau1[[#This Row],[TYPE DE PIECE]],Tableau4[MATIERE],Tableau4[SHORT TYPE],"",0,1)</f>
        <v/>
      </c>
      <c r="N686">
        <f>IF(ISERR(FIND("DECOUPE",Tableau1[[#This Row],[DESIGNATION]])),"","NEED REF")</f>
        <v/>
      </c>
    </row>
    <row r="687">
      <c r="B687" t="n">
        <v>34413315</v>
      </c>
      <c r="C687" s="2" t="n">
        <v>45632</v>
      </c>
      <c r="D687" t="inlineStr">
        <is>
          <t>SPEC</t>
        </is>
      </c>
      <c r="E68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87" t="inlineStr">
        <is>
          <t>etude bypass</t>
        </is>
      </c>
      <c r="G687" t="inlineStr">
        <is>
          <t>GVXL</t>
        </is>
      </c>
      <c r="H687" t="inlineStr">
        <is>
          <t>BYPASS</t>
        </is>
      </c>
      <c r="I687" t="inlineStr">
        <is>
          <t>4000A</t>
        </is>
      </c>
      <c r="J687" t="inlineStr">
        <is>
          <t>BESSIERE</t>
        </is>
      </c>
      <c r="L687">
        <f>_xlfn.XLOOKUP(Tableau1[[#This Row],[TYPE DE PIECE]],Tableau4[MATIERE],Tableau4[SHORT TYPE],"",0,1)</f>
        <v/>
      </c>
      <c r="N687">
        <f>IF(ISERR(FIND("DECOUPE",Tableau1[[#This Row],[DESIGNATION]])),"","NEED REF")</f>
        <v/>
      </c>
    </row>
    <row r="688">
      <c r="B688" t="n">
        <v>34413314</v>
      </c>
      <c r="C688" s="2" t="n">
        <v>45632</v>
      </c>
      <c r="D688" t="inlineStr">
        <is>
          <t>SPEC</t>
        </is>
      </c>
      <c r="E68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88" t="inlineStr">
        <is>
          <t>etude bypass</t>
        </is>
      </c>
      <c r="G688" t="inlineStr">
        <is>
          <t>GVXL</t>
        </is>
      </c>
      <c r="H688" t="inlineStr">
        <is>
          <t>BYPASS</t>
        </is>
      </c>
      <c r="I688" t="inlineStr">
        <is>
          <t>4000A</t>
        </is>
      </c>
      <c r="J688" t="inlineStr">
        <is>
          <t>BESSIERE</t>
        </is>
      </c>
      <c r="L688">
        <f>_xlfn.XLOOKUP(Tableau1[[#This Row],[TYPE DE PIECE]],Tableau4[MATIERE],Tableau4[SHORT TYPE],"",0,1)</f>
        <v/>
      </c>
      <c r="N688">
        <f>IF(ISERR(FIND("DECOUPE",Tableau1[[#This Row],[DESIGNATION]])),"","NEED REF")</f>
        <v/>
      </c>
    </row>
    <row r="689">
      <c r="B689" t="n">
        <v>34413313</v>
      </c>
      <c r="C689" s="2" t="n">
        <v>45632</v>
      </c>
      <c r="D689" t="inlineStr">
        <is>
          <t>SPEC</t>
        </is>
      </c>
      <c r="E68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89" t="inlineStr">
        <is>
          <t>etude bypass</t>
        </is>
      </c>
      <c r="G689" t="inlineStr">
        <is>
          <t>GVXL</t>
        </is>
      </c>
      <c r="H689" t="inlineStr">
        <is>
          <t>BYPASS</t>
        </is>
      </c>
      <c r="I689" t="inlineStr">
        <is>
          <t>4000A</t>
        </is>
      </c>
      <c r="J689" t="inlineStr">
        <is>
          <t>BESSIERE</t>
        </is>
      </c>
      <c r="L689">
        <f>_xlfn.XLOOKUP(Tableau1[[#This Row],[TYPE DE PIECE]],Tableau4[MATIERE],Tableau4[SHORT TYPE],"",0,1)</f>
        <v/>
      </c>
      <c r="N689">
        <f>IF(ISERR(FIND("DECOUPE",Tableau1[[#This Row],[DESIGNATION]])),"","NEED REF")</f>
        <v/>
      </c>
    </row>
    <row r="690">
      <c r="B690" t="n">
        <v>34413312</v>
      </c>
      <c r="C690" s="2" t="n">
        <v>45632</v>
      </c>
      <c r="D690" t="inlineStr">
        <is>
          <t>SPEC</t>
        </is>
      </c>
      <c r="E69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90" t="inlineStr">
        <is>
          <t>etude bypass</t>
        </is>
      </c>
      <c r="G690" t="inlineStr">
        <is>
          <t>GVXL</t>
        </is>
      </c>
      <c r="H690" t="inlineStr">
        <is>
          <t>BYPASS</t>
        </is>
      </c>
      <c r="I690" t="inlineStr">
        <is>
          <t>4000A</t>
        </is>
      </c>
      <c r="J690" t="inlineStr">
        <is>
          <t>BESSIERE</t>
        </is>
      </c>
      <c r="L690">
        <f>_xlfn.XLOOKUP(Tableau1[[#This Row],[TYPE DE PIECE]],Tableau4[MATIERE],Tableau4[SHORT TYPE],"",0,1)</f>
        <v/>
      </c>
      <c r="N690">
        <f>IF(ISERR(FIND("DECOUPE",Tableau1[[#This Row],[DESIGNATION]])),"","NEED REF")</f>
        <v/>
      </c>
    </row>
    <row r="691">
      <c r="B691" t="n">
        <v>34413311</v>
      </c>
      <c r="C691" s="2" t="n">
        <v>45632</v>
      </c>
      <c r="D691" t="inlineStr">
        <is>
          <t>SPEC</t>
        </is>
      </c>
      <c r="E69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91" t="inlineStr">
        <is>
          <t>etude bypass</t>
        </is>
      </c>
      <c r="G691" t="inlineStr">
        <is>
          <t>GVXL</t>
        </is>
      </c>
      <c r="H691" t="inlineStr">
        <is>
          <t>BYPASS</t>
        </is>
      </c>
      <c r="I691" t="inlineStr">
        <is>
          <t>4000A</t>
        </is>
      </c>
      <c r="J691" t="inlineStr">
        <is>
          <t>BESSIERE</t>
        </is>
      </c>
      <c r="L691">
        <f>_xlfn.XLOOKUP(Tableau1[[#This Row],[TYPE DE PIECE]],Tableau4[MATIERE],Tableau4[SHORT TYPE],"",0,1)</f>
        <v/>
      </c>
      <c r="N691">
        <f>IF(ISERR(FIND("DECOUPE",Tableau1[[#This Row],[DESIGNATION]])),"","NEED REF")</f>
        <v/>
      </c>
    </row>
    <row r="692">
      <c r="B692" t="n">
        <v>34413310</v>
      </c>
      <c r="C692" s="2" t="n">
        <v>45632</v>
      </c>
      <c r="D692" t="inlineStr">
        <is>
          <t>SPEC</t>
        </is>
      </c>
      <c r="E69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92" t="inlineStr">
        <is>
          <t>etude bypass</t>
        </is>
      </c>
      <c r="G692" t="inlineStr">
        <is>
          <t>GVXL</t>
        </is>
      </c>
      <c r="H692" t="inlineStr">
        <is>
          <t>BYPASS</t>
        </is>
      </c>
      <c r="I692" t="inlineStr">
        <is>
          <t>4000A</t>
        </is>
      </c>
      <c r="J692" t="inlineStr">
        <is>
          <t>BESSIERE</t>
        </is>
      </c>
      <c r="L692">
        <f>_xlfn.XLOOKUP(Tableau1[[#This Row],[TYPE DE PIECE]],Tableau4[MATIERE],Tableau4[SHORT TYPE],"",0,1)</f>
        <v/>
      </c>
      <c r="N692">
        <f>IF(ISERR(FIND("DECOUPE",Tableau1[[#This Row],[DESIGNATION]])),"","NEED REF")</f>
        <v/>
      </c>
    </row>
    <row r="693">
      <c r="B693" t="n">
        <v>34413309</v>
      </c>
      <c r="C693" s="2" t="n">
        <v>45632</v>
      </c>
      <c r="D693" t="inlineStr">
        <is>
          <t>SPEC</t>
        </is>
      </c>
      <c r="E69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93" t="inlineStr">
        <is>
          <t>etude bypass</t>
        </is>
      </c>
      <c r="G693" t="inlineStr">
        <is>
          <t>GVXL</t>
        </is>
      </c>
      <c r="H693" t="inlineStr">
        <is>
          <t>BYPASS</t>
        </is>
      </c>
      <c r="I693" t="inlineStr">
        <is>
          <t>4000A</t>
        </is>
      </c>
      <c r="J693" t="inlineStr">
        <is>
          <t>BESSIERE</t>
        </is>
      </c>
      <c r="L693">
        <f>_xlfn.XLOOKUP(Tableau1[[#This Row],[TYPE DE PIECE]],Tableau4[MATIERE],Tableau4[SHORT TYPE],"",0,1)</f>
        <v/>
      </c>
      <c r="N693">
        <f>IF(ISERR(FIND("DECOUPE",Tableau1[[#This Row],[DESIGNATION]])),"","NEED REF")</f>
        <v/>
      </c>
    </row>
    <row r="694">
      <c r="B694" t="n">
        <v>34413308</v>
      </c>
      <c r="C694" s="2" t="n">
        <v>45631</v>
      </c>
      <c r="D694" t="inlineStr">
        <is>
          <t>SPEC</t>
        </is>
      </c>
      <c r="E69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694" t="inlineStr">
        <is>
          <t>GVXL</t>
        </is>
      </c>
      <c r="H694" t="inlineStr">
        <is>
          <t>BYPASS</t>
        </is>
      </c>
      <c r="I694" t="inlineStr">
        <is>
          <t>25000KVA</t>
        </is>
      </c>
      <c r="J694" t="inlineStr">
        <is>
          <t>MATRION</t>
        </is>
      </c>
      <c r="K694" t="inlineStr">
        <is>
          <t>CUIVRE</t>
        </is>
      </c>
      <c r="L694">
        <f>_xlfn.XLOOKUP(Tableau1[[#This Row],[TYPE DE PIECE]],Tableau4[MATIERE],Tableau4[SHORT TYPE],"",0,1)</f>
        <v/>
      </c>
      <c r="N694">
        <f>IF(ISERR(FIND("DECOUPE",Tableau1[[#This Row],[DESIGNATION]])),"","NEED REF")</f>
        <v/>
      </c>
    </row>
    <row r="695">
      <c r="B695" t="n">
        <v>34413307</v>
      </c>
      <c r="C695" s="2" t="n">
        <v>45631</v>
      </c>
      <c r="D695" t="inlineStr">
        <is>
          <t>SPEC</t>
        </is>
      </c>
      <c r="E695" t="inlineStr">
        <is>
          <t>DECOUPE RAIL NSYSDR2000 200mm</t>
        </is>
      </c>
      <c r="J695" t="inlineStr">
        <is>
          <t>BESSIERE</t>
        </is>
      </c>
      <c r="K695" t="inlineStr">
        <is>
          <t>DECOUPE</t>
        </is>
      </c>
      <c r="L695">
        <f>_xlfn.XLOOKUP(Tableau1[[#This Row],[TYPE DE PIECE]],Tableau4[MATIERE],Tableau4[SHORT TYPE],"",0,1)</f>
        <v/>
      </c>
      <c r="N695">
        <f>IF(ISERR(FIND("DECOUPE",Tableau1[[#This Row],[DESIGNATION]])),"","NEED REF")</f>
        <v/>
      </c>
    </row>
    <row r="696">
      <c r="B696" t="n">
        <v>34413306</v>
      </c>
      <c r="C696" s="2" t="n">
        <v>45631</v>
      </c>
      <c r="D696" t="inlineStr">
        <is>
          <t>SPEC</t>
        </is>
      </c>
      <c r="E69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696" t="inlineStr">
        <is>
          <t>BESSIERE</t>
        </is>
      </c>
      <c r="L696">
        <f>_xlfn.XLOOKUP(Tableau1[[#This Row],[TYPE DE PIECE]],Tableau4[MATIERE],Tableau4[SHORT TYPE],"",0,1)</f>
        <v/>
      </c>
      <c r="N696">
        <f>IF(ISERR(FIND("DECOUPE",Tableau1[[#This Row],[DESIGNATION]])),"","NEED REF")</f>
        <v/>
      </c>
    </row>
    <row r="697">
      <c r="B697" t="n">
        <v>34413305</v>
      </c>
      <c r="C697" s="2" t="n">
        <v>45631</v>
      </c>
      <c r="D697" t="inlineStr">
        <is>
          <t>SPEC</t>
        </is>
      </c>
      <c r="E69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697" t="inlineStr">
        <is>
          <t>QSAN04845</t>
        </is>
      </c>
      <c r="J697" t="inlineStr">
        <is>
          <t>BESSIERE</t>
        </is>
      </c>
      <c r="K697" t="inlineStr">
        <is>
          <t>FILERIE</t>
        </is>
      </c>
      <c r="L697">
        <f>_xlfn.XLOOKUP(Tableau1[[#This Row],[TYPE DE PIECE]],Tableau4[MATIERE],Tableau4[SHORT TYPE],"",0,1)</f>
        <v/>
      </c>
      <c r="N697">
        <f>IF(ISERR(FIND("DECOUPE",Tableau1[[#This Row],[DESIGNATION]])),"","NEED REF")</f>
        <v/>
      </c>
    </row>
    <row r="698">
      <c r="B698" t="n">
        <v>34413304</v>
      </c>
      <c r="C698" s="2" t="n">
        <v>45631</v>
      </c>
      <c r="D698" t="inlineStr">
        <is>
          <t>SPEC</t>
        </is>
      </c>
      <c r="E69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J698" t="inlineStr">
        <is>
          <t>BESSIERE</t>
        </is>
      </c>
      <c r="L698">
        <f>_xlfn.XLOOKUP(Tableau1[[#This Row],[TYPE DE PIECE]],Tableau4[MATIERE],Tableau4[SHORT TYPE],"",0,1)</f>
        <v/>
      </c>
      <c r="N698">
        <f>IF(ISERR(FIND("DECOUPE",Tableau1[[#This Row],[DESIGNATION]])),"","NEED REF")</f>
        <v/>
      </c>
    </row>
    <row r="699">
      <c r="B699" t="n">
        <v>34413303</v>
      </c>
      <c r="C699" s="2" t="n">
        <v>45631</v>
      </c>
      <c r="D699" t="inlineStr">
        <is>
          <t>SPEC</t>
        </is>
      </c>
      <c r="E699" t="inlineStr">
        <is>
          <t>WIR STS 1250A OPTION PAS600L</t>
        </is>
      </c>
      <c r="F699" t="inlineStr">
        <is>
          <t>QPROJET_PAS600L</t>
        </is>
      </c>
      <c r="G699" t="inlineStr">
        <is>
          <t>STS</t>
        </is>
      </c>
      <c r="H699" t="inlineStr">
        <is>
          <t>STS ETO</t>
        </is>
      </c>
      <c r="I699" t="inlineStr">
        <is>
          <t>1250A</t>
        </is>
      </c>
      <c r="J699" t="inlineStr">
        <is>
          <t>JAWORSKI</t>
        </is>
      </c>
      <c r="K699" t="inlineStr">
        <is>
          <t>FILERIE</t>
        </is>
      </c>
      <c r="L699">
        <f>_xlfn.XLOOKUP(Tableau1[[#This Row],[TYPE DE PIECE]],Tableau4[MATIERE],Tableau4[SHORT TYPE],"",0,1)</f>
        <v/>
      </c>
      <c r="N699">
        <f>IF(ISERR(FIND("DECOUPE",Tableau1[[#This Row],[DESIGNATION]])),"","NEED REF")</f>
        <v/>
      </c>
    </row>
    <row r="700">
      <c r="B700" t="n">
        <v>34413302</v>
      </c>
      <c r="C700" s="2" t="n">
        <v>45630</v>
      </c>
      <c r="D700" t="inlineStr">
        <is>
          <t>SPEC</t>
        </is>
      </c>
      <c r="E700" t="inlineStr">
        <is>
          <t>CANEVAS NS800H MIC 5.0 4P 2NO + MX24VDC</t>
        </is>
      </c>
      <c r="F700" t="inlineStr">
        <is>
          <t>QTST78291</t>
        </is>
      </c>
      <c r="G700" t="inlineStr">
        <is>
          <t>GVL</t>
        </is>
      </c>
      <c r="H700" t="inlineStr">
        <is>
          <t>BYPASS</t>
        </is>
      </c>
      <c r="I700" t="inlineStr">
        <is>
          <t>1000KVA</t>
        </is>
      </c>
      <c r="J700" t="inlineStr">
        <is>
          <t>BERNARDEAU</t>
        </is>
      </c>
      <c r="K700" t="inlineStr">
        <is>
          <t>canevas</t>
        </is>
      </c>
      <c r="L700">
        <f>_xlfn.XLOOKUP(Tableau1[[#This Row],[TYPE DE PIECE]],Tableau4[MATIERE],Tableau4[SHORT TYPE],"",0,1)</f>
        <v/>
      </c>
      <c r="N700">
        <f>IF(ISERR(FIND("DECOUPE",Tableau1[[#This Row],[DESIGNATION]])),"","NEED REF")</f>
        <v/>
      </c>
    </row>
    <row r="701">
      <c r="B701" t="n">
        <v>34413301</v>
      </c>
      <c r="C701" s="2" t="n">
        <v>45630</v>
      </c>
      <c r="D701" t="inlineStr">
        <is>
          <t>SPEC</t>
        </is>
      </c>
      <c r="E701" t="inlineStr">
        <is>
          <t>CANEVAS NS1000H MIC 5.0 4P 2NO + MX24VDC</t>
        </is>
      </c>
      <c r="F701" t="inlineStr">
        <is>
          <t>QTST78291</t>
        </is>
      </c>
      <c r="G701" t="inlineStr">
        <is>
          <t>GVL</t>
        </is>
      </c>
      <c r="H701" t="inlineStr">
        <is>
          <t>BYPASS</t>
        </is>
      </c>
      <c r="I701" t="inlineStr">
        <is>
          <t>1000KVA</t>
        </is>
      </c>
      <c r="J701" t="inlineStr">
        <is>
          <t>BERNARDEAU</t>
        </is>
      </c>
      <c r="K701" t="inlineStr">
        <is>
          <t>canevas</t>
        </is>
      </c>
      <c r="L701">
        <f>_xlfn.XLOOKUP(Tableau1[[#This Row],[TYPE DE PIECE]],Tableau4[MATIERE],Tableau4[SHORT TYPE],"",0,1)</f>
        <v/>
      </c>
      <c r="N701">
        <f>IF(ISERR(FIND("DECOUPE",Tableau1[[#This Row],[DESIGNATION]])),"","NEED REF")</f>
        <v/>
      </c>
    </row>
    <row r="702">
      <c r="B702" t="n">
        <v>34413300</v>
      </c>
      <c r="C702" s="2" t="n">
        <v>45630</v>
      </c>
      <c r="D702" t="inlineStr">
        <is>
          <t>SPEC</t>
        </is>
      </c>
      <c r="E702" t="inlineStr">
        <is>
          <t>CANEVAS DISJ MTZ2 1600A 4P 5,0 MICRO+MX24VDC</t>
        </is>
      </c>
      <c r="F702" t="inlineStr">
        <is>
          <t>QTST78291</t>
        </is>
      </c>
      <c r="G702" t="inlineStr">
        <is>
          <t>GVL</t>
        </is>
      </c>
      <c r="H702" t="inlineStr">
        <is>
          <t>BYPASS</t>
        </is>
      </c>
      <c r="I702" t="inlineStr">
        <is>
          <t>1000KVA</t>
        </is>
      </c>
      <c r="J702" t="inlineStr">
        <is>
          <t>BERNARDEAU</t>
        </is>
      </c>
      <c r="K702" t="inlineStr">
        <is>
          <t>canevas</t>
        </is>
      </c>
      <c r="L702">
        <f>_xlfn.XLOOKUP(Tableau1[[#This Row],[TYPE DE PIECE]],Tableau4[MATIERE],Tableau4[SHORT TYPE],"",0,1)</f>
        <v/>
      </c>
      <c r="N702">
        <f>IF(ISERR(FIND("DECOUPE",Tableau1[[#This Row],[DESIGNATION]])),"","NEED REF")</f>
        <v/>
      </c>
    </row>
    <row r="703">
      <c r="B703" t="n">
        <v>34413299</v>
      </c>
      <c r="C703" s="2" t="n">
        <v>45630</v>
      </c>
      <c r="D703" t="inlineStr">
        <is>
          <t>SPEC</t>
        </is>
      </c>
      <c r="E70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03" t="inlineStr">
        <is>
          <t>GVXL</t>
        </is>
      </c>
      <c r="H703" t="inlineStr">
        <is>
          <t>BYPASS</t>
        </is>
      </c>
      <c r="I703" t="inlineStr">
        <is>
          <t>25000KVA</t>
        </is>
      </c>
      <c r="J703" t="inlineStr">
        <is>
          <t>MATRION</t>
        </is>
      </c>
      <c r="K703" t="inlineStr">
        <is>
          <t>CUIVRE</t>
        </is>
      </c>
      <c r="L703">
        <f>_xlfn.XLOOKUP(Tableau1[[#This Row],[TYPE DE PIECE]],Tableau4[MATIERE],Tableau4[SHORT TYPE],"",0,1)</f>
        <v/>
      </c>
      <c r="N703">
        <f>IF(ISERR(FIND("DECOUPE",Tableau1[[#This Row],[DESIGNATION]])),"","NEED REF")</f>
        <v/>
      </c>
    </row>
    <row r="704">
      <c r="B704" t="n">
        <v>34413298</v>
      </c>
      <c r="C704" s="2" t="n">
        <v>45630</v>
      </c>
      <c r="D704" t="inlineStr">
        <is>
          <t>SPEC</t>
        </is>
      </c>
      <c r="E70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04" t="inlineStr">
        <is>
          <t>GVXL</t>
        </is>
      </c>
      <c r="H704" t="inlineStr">
        <is>
          <t>BYPASS</t>
        </is>
      </c>
      <c r="I704" t="inlineStr">
        <is>
          <t>25000KVA</t>
        </is>
      </c>
      <c r="J704" t="inlineStr">
        <is>
          <t>MATRION</t>
        </is>
      </c>
      <c r="K704" t="inlineStr">
        <is>
          <t>CUIVRE</t>
        </is>
      </c>
      <c r="L704">
        <f>_xlfn.XLOOKUP(Tableau1[[#This Row],[TYPE DE PIECE]],Tableau4[MATIERE],Tableau4[SHORT TYPE],"",0,1)</f>
        <v/>
      </c>
      <c r="N704">
        <f>IF(ISERR(FIND("DECOUPE",Tableau1[[#This Row],[DESIGNATION]])),"","NEED REF")</f>
        <v/>
      </c>
    </row>
    <row r="705">
      <c r="B705" t="n">
        <v>34413297</v>
      </c>
      <c r="C705" s="2" t="n">
        <v>45630</v>
      </c>
      <c r="D705" t="inlineStr">
        <is>
          <t>SPEC</t>
        </is>
      </c>
      <c r="E70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05" t="inlineStr">
        <is>
          <t>GVXL</t>
        </is>
      </c>
      <c r="H705" t="inlineStr">
        <is>
          <t>BYPASS</t>
        </is>
      </c>
      <c r="I705" t="inlineStr">
        <is>
          <t>25000KVA</t>
        </is>
      </c>
      <c r="J705" t="inlineStr">
        <is>
          <t>MATRION</t>
        </is>
      </c>
      <c r="K705" t="inlineStr">
        <is>
          <t>CUIVRE</t>
        </is>
      </c>
      <c r="L705">
        <f>_xlfn.XLOOKUP(Tableau1[[#This Row],[TYPE DE PIECE]],Tableau4[MATIERE],Tableau4[SHORT TYPE],"",0,1)</f>
        <v/>
      </c>
      <c r="N705">
        <f>IF(ISERR(FIND("DECOUPE",Tableau1[[#This Row],[DESIGNATION]])),"","NEED REF")</f>
        <v/>
      </c>
    </row>
    <row r="706">
      <c r="B706" t="n">
        <v>34413296</v>
      </c>
      <c r="C706" s="2" t="n">
        <v>45630</v>
      </c>
      <c r="D706" t="inlineStr">
        <is>
          <t>SPEC</t>
        </is>
      </c>
      <c r="E70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06" t="inlineStr">
        <is>
          <t>GVXL</t>
        </is>
      </c>
      <c r="H706" t="inlineStr">
        <is>
          <t>BYPASS</t>
        </is>
      </c>
      <c r="I706" t="inlineStr">
        <is>
          <t>25000KVA</t>
        </is>
      </c>
      <c r="J706" t="inlineStr">
        <is>
          <t>MATRION</t>
        </is>
      </c>
      <c r="K706" t="inlineStr">
        <is>
          <t>CUIVRE</t>
        </is>
      </c>
      <c r="L706">
        <f>_xlfn.XLOOKUP(Tableau1[[#This Row],[TYPE DE PIECE]],Tableau4[MATIERE],Tableau4[SHORT TYPE],"",0,1)</f>
        <v/>
      </c>
      <c r="N706">
        <f>IF(ISERR(FIND("DECOUPE",Tableau1[[#This Row],[DESIGNATION]])),"","NEED REF")</f>
        <v/>
      </c>
    </row>
    <row r="707">
      <c r="B707" t="n">
        <v>34413295</v>
      </c>
      <c r="C707" s="2" t="n">
        <v>45630</v>
      </c>
      <c r="D707" t="inlineStr">
        <is>
          <t>SPEC</t>
        </is>
      </c>
      <c r="E70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07" t="inlineStr">
        <is>
          <t>GVXL</t>
        </is>
      </c>
      <c r="H707" t="inlineStr">
        <is>
          <t>BYPASS</t>
        </is>
      </c>
      <c r="I707" t="inlineStr">
        <is>
          <t>25000KVA</t>
        </is>
      </c>
      <c r="J707" t="inlineStr">
        <is>
          <t>MATRION</t>
        </is>
      </c>
      <c r="K707" t="inlineStr">
        <is>
          <t>CUIVRE</t>
        </is>
      </c>
      <c r="L707">
        <f>_xlfn.XLOOKUP(Tableau1[[#This Row],[TYPE DE PIECE]],Tableau4[MATIERE],Tableau4[SHORT TYPE],"",0,1)</f>
        <v/>
      </c>
      <c r="N707">
        <f>IF(ISERR(FIND("DECOUPE",Tableau1[[#This Row],[DESIGNATION]])),"","NEED REF")</f>
        <v/>
      </c>
    </row>
    <row r="708">
      <c r="B708" t="n">
        <v>34413294</v>
      </c>
      <c r="C708" s="2" t="n">
        <v>45630</v>
      </c>
      <c r="D708" t="inlineStr">
        <is>
          <t>SPEC</t>
        </is>
      </c>
      <c r="E70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08" t="inlineStr">
        <is>
          <t>GVXL</t>
        </is>
      </c>
      <c r="H708" t="inlineStr">
        <is>
          <t>BYPASS</t>
        </is>
      </c>
      <c r="I708" t="inlineStr">
        <is>
          <t>25000KVA</t>
        </is>
      </c>
      <c r="J708" t="inlineStr">
        <is>
          <t>MATRION</t>
        </is>
      </c>
      <c r="K708" t="inlineStr">
        <is>
          <t>CUIVRE</t>
        </is>
      </c>
      <c r="L708">
        <f>_xlfn.XLOOKUP(Tableau1[[#This Row],[TYPE DE PIECE]],Tableau4[MATIERE],Tableau4[SHORT TYPE],"",0,1)</f>
        <v/>
      </c>
      <c r="N708">
        <f>IF(ISERR(FIND("DECOUPE",Tableau1[[#This Row],[DESIGNATION]])),"","NEED REF")</f>
        <v/>
      </c>
    </row>
    <row r="709">
      <c r="B709" t="n">
        <v>34413293</v>
      </c>
      <c r="C709" s="2" t="n">
        <v>45630</v>
      </c>
      <c r="D709" t="inlineStr">
        <is>
          <t>SPEC</t>
        </is>
      </c>
      <c r="E70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09" t="inlineStr">
        <is>
          <t>GVXL</t>
        </is>
      </c>
      <c r="H709" t="inlineStr">
        <is>
          <t>BYPASS</t>
        </is>
      </c>
      <c r="I709" t="inlineStr">
        <is>
          <t>25000KVA</t>
        </is>
      </c>
      <c r="J709" t="inlineStr">
        <is>
          <t>MATRION</t>
        </is>
      </c>
      <c r="K709" t="inlineStr">
        <is>
          <t>CUIVRE</t>
        </is>
      </c>
      <c r="L709">
        <f>_xlfn.XLOOKUP(Tableau1[[#This Row],[TYPE DE PIECE]],Tableau4[MATIERE],Tableau4[SHORT TYPE],"",0,1)</f>
        <v/>
      </c>
      <c r="N709">
        <f>IF(ISERR(FIND("DECOUPE",Tableau1[[#This Row],[DESIGNATION]])),"","NEED REF")</f>
        <v/>
      </c>
    </row>
    <row r="710">
      <c r="B710" t="n">
        <v>34413292</v>
      </c>
      <c r="C710" s="2" t="n">
        <v>45630</v>
      </c>
      <c r="D710" t="inlineStr">
        <is>
          <t>SPEC</t>
        </is>
      </c>
      <c r="E710" t="inlineStr">
        <is>
          <t>SE PORTE STS H2000 AFFICHEUR RAL9003 / Offre SAREL</t>
        </is>
      </c>
      <c r="F710" t="inlineStr">
        <is>
          <t>Solution Center</t>
        </is>
      </c>
      <c r="G710" t="inlineStr">
        <is>
          <t>STS</t>
        </is>
      </c>
      <c r="H710" t="inlineStr">
        <is>
          <t>STS ETO</t>
        </is>
      </c>
      <c r="I710" t="inlineStr">
        <is>
          <t>400A</t>
        </is>
      </c>
      <c r="J710" t="inlineStr">
        <is>
          <t>JAWORSKI</t>
        </is>
      </c>
      <c r="K710" t="inlineStr">
        <is>
          <t>METAL</t>
        </is>
      </c>
      <c r="L710">
        <f>_xlfn.XLOOKUP(Tableau1[[#This Row],[TYPE DE PIECE]],Tableau4[MATIERE],Tableau4[SHORT TYPE],"",0,1)</f>
        <v/>
      </c>
      <c r="N710">
        <f>IF(ISERR(FIND("DECOUPE",Tableau1[[#This Row],[DESIGNATION]])),"","NEED REF")</f>
        <v/>
      </c>
    </row>
    <row r="711">
      <c r="B711" t="n">
        <v>34413291</v>
      </c>
      <c r="C711" s="2" t="n">
        <v>45630</v>
      </c>
      <c r="D711" t="inlineStr">
        <is>
          <t>SPEC</t>
        </is>
      </c>
      <c r="E711" t="inlineStr">
        <is>
          <t>SE KIT BANDEAUX SOCLE VENTILE RAL9003 / Offre SAREL</t>
        </is>
      </c>
      <c r="F711" t="inlineStr">
        <is>
          <t>Solution Center</t>
        </is>
      </c>
      <c r="G711" t="inlineStr">
        <is>
          <t>STS</t>
        </is>
      </c>
      <c r="H711" t="inlineStr">
        <is>
          <t>STS ETO</t>
        </is>
      </c>
      <c r="I711" t="inlineStr">
        <is>
          <t>400A</t>
        </is>
      </c>
      <c r="J711" t="inlineStr">
        <is>
          <t>JAWORSKI</t>
        </is>
      </c>
      <c r="K711" t="inlineStr">
        <is>
          <t>METAL</t>
        </is>
      </c>
      <c r="L711">
        <f>_xlfn.XLOOKUP(Tableau1[[#This Row],[TYPE DE PIECE]],Tableau4[MATIERE],Tableau4[SHORT TYPE],"",0,1)</f>
        <v/>
      </c>
      <c r="N711">
        <f>IF(ISERR(FIND("DECOUPE",Tableau1[[#This Row],[DESIGNATION]])),"","NEED REF")</f>
        <v/>
      </c>
    </row>
    <row r="712">
      <c r="B712" t="n">
        <v>34413290</v>
      </c>
      <c r="C712" s="2" t="n">
        <v>45630</v>
      </c>
      <c r="D712" t="inlineStr">
        <is>
          <t>SPEC</t>
        </is>
      </c>
      <c r="E712" t="inlineStr">
        <is>
          <t>SE Ossature de cellule Spacial SFN 2000x700x1000 RAL9003 / Offre SAREL</t>
        </is>
      </c>
      <c r="F712" t="inlineStr">
        <is>
          <t>Solution Center</t>
        </is>
      </c>
      <c r="G712" t="inlineStr">
        <is>
          <t>STS</t>
        </is>
      </c>
      <c r="H712" t="inlineStr">
        <is>
          <t>STS ETO</t>
        </is>
      </c>
      <c r="I712" t="inlineStr">
        <is>
          <t>400A</t>
        </is>
      </c>
      <c r="J712" t="inlineStr">
        <is>
          <t>JAWORSKI</t>
        </is>
      </c>
      <c r="K712" t="inlineStr">
        <is>
          <t>METAL</t>
        </is>
      </c>
      <c r="L712">
        <f>_xlfn.XLOOKUP(Tableau1[[#This Row],[TYPE DE PIECE]],Tableau4[MATIERE],Tableau4[SHORT TYPE],"",0,1)</f>
        <v/>
      </c>
      <c r="N712">
        <f>IF(ISERR(FIND("DECOUPE",Tableau1[[#This Row],[DESIGNATION]])),"","NEED REF")</f>
        <v/>
      </c>
    </row>
    <row r="713">
      <c r="B713" t="n">
        <v>34413289</v>
      </c>
      <c r="C713" s="2" t="n">
        <v>45630</v>
      </c>
      <c r="D713" t="inlineStr">
        <is>
          <t>SPEC</t>
        </is>
      </c>
      <c r="E713" t="inlineStr">
        <is>
          <t>SE PANNEAU ARRIERE STS SFN RAL9003 / offre SAREL</t>
        </is>
      </c>
      <c r="F713" t="inlineStr">
        <is>
          <t>Solution Center</t>
        </is>
      </c>
      <c r="G713" t="inlineStr">
        <is>
          <t>STS</t>
        </is>
      </c>
      <c r="H713" t="inlineStr">
        <is>
          <t>STS ETO</t>
        </is>
      </c>
      <c r="I713" t="inlineStr">
        <is>
          <t>400A</t>
        </is>
      </c>
      <c r="J713" t="inlineStr">
        <is>
          <t>JAWORSKI</t>
        </is>
      </c>
      <c r="K713" t="inlineStr">
        <is>
          <t>METAL</t>
        </is>
      </c>
      <c r="L713">
        <f>_xlfn.XLOOKUP(Tableau1[[#This Row],[TYPE DE PIECE]],Tableau4[MATIERE],Tableau4[SHORT TYPE],"",0,1)</f>
        <v/>
      </c>
      <c r="N713">
        <f>IF(ISERR(FIND("DECOUPE",Tableau1[[#This Row],[DESIGNATION]])),"","NEED REF")</f>
        <v/>
      </c>
    </row>
    <row r="714">
      <c r="B714" t="n">
        <v>34413288</v>
      </c>
      <c r="C714" s="2" t="n">
        <v>45630</v>
      </c>
      <c r="D714" t="inlineStr">
        <is>
          <t>SPEC</t>
        </is>
      </c>
      <c r="E714" t="inlineStr">
        <is>
          <t>SE PANNEAUX LATERAUX STS SFN RAL9003 / Offre SAREL</t>
        </is>
      </c>
      <c r="F714" t="inlineStr">
        <is>
          <t>Solution Center</t>
        </is>
      </c>
      <c r="G714" t="inlineStr">
        <is>
          <t>STS</t>
        </is>
      </c>
      <c r="H714" t="inlineStr">
        <is>
          <t>STS ETO</t>
        </is>
      </c>
      <c r="I714" t="inlineStr">
        <is>
          <t>400A</t>
        </is>
      </c>
      <c r="J714" t="inlineStr">
        <is>
          <t>JAWORSKI</t>
        </is>
      </c>
      <c r="K714" t="inlineStr">
        <is>
          <t>METAL</t>
        </is>
      </c>
      <c r="L714">
        <f>_xlfn.XLOOKUP(Tableau1[[#This Row],[TYPE DE PIECE]],Tableau4[MATIERE],Tableau4[SHORT TYPE],"",0,1)</f>
        <v/>
      </c>
      <c r="N714">
        <f>IF(ISERR(FIND("DECOUPE",Tableau1[[#This Row],[DESIGNATION]])),"","NEED REF")</f>
        <v/>
      </c>
    </row>
    <row r="715">
      <c r="B715" t="n">
        <v>34413287</v>
      </c>
      <c r="C715" s="2" t="n">
        <v>45630</v>
      </c>
      <c r="D715" t="inlineStr">
        <is>
          <t>SPEC</t>
        </is>
      </c>
      <c r="E715" t="inlineStr">
        <is>
          <t>SE TOIT STS SFN 700x1000 RAL9003 / Offre SAREL</t>
        </is>
      </c>
      <c r="F715" t="inlineStr">
        <is>
          <t>Solution Center</t>
        </is>
      </c>
      <c r="G715" t="inlineStr">
        <is>
          <t>STS</t>
        </is>
      </c>
      <c r="H715" t="inlineStr">
        <is>
          <t>STS ETO</t>
        </is>
      </c>
      <c r="I715" t="inlineStr">
        <is>
          <t>400A</t>
        </is>
      </c>
      <c r="J715" t="inlineStr">
        <is>
          <t>JAWORSKI</t>
        </is>
      </c>
      <c r="K715" t="inlineStr">
        <is>
          <t>METAL</t>
        </is>
      </c>
      <c r="L715">
        <f>_xlfn.XLOOKUP(Tableau1[[#This Row],[TYPE DE PIECE]],Tableau4[MATIERE],Tableau4[SHORT TYPE],"",0,1)</f>
        <v/>
      </c>
      <c r="N715">
        <f>IF(ISERR(FIND("DECOUPE",Tableau1[[#This Row],[DESIGNATION]])),"","NEED REF")</f>
        <v/>
      </c>
    </row>
    <row r="716">
      <c r="B716" t="n">
        <v>34413286</v>
      </c>
      <c r="C716" s="2" t="n">
        <v>45629</v>
      </c>
      <c r="D716" t="inlineStr">
        <is>
          <t>SPEC</t>
        </is>
      </c>
      <c r="E71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16" t="inlineStr">
        <is>
          <t>etude bypass</t>
        </is>
      </c>
      <c r="G716" t="inlineStr">
        <is>
          <t>GVXL</t>
        </is>
      </c>
      <c r="H716" t="inlineStr">
        <is>
          <t>BYPASS</t>
        </is>
      </c>
      <c r="I716" t="inlineStr">
        <is>
          <t>25000KVA</t>
        </is>
      </c>
      <c r="J716" t="inlineStr">
        <is>
          <t>BESSIERE</t>
        </is>
      </c>
      <c r="K716" t="inlineStr">
        <is>
          <t>CUIVRE</t>
        </is>
      </c>
      <c r="L716">
        <f>_xlfn.XLOOKUP(Tableau1[[#This Row],[TYPE DE PIECE]],Tableau4[MATIERE],Tableau4[SHORT TYPE],"",0,1)</f>
        <v/>
      </c>
      <c r="N716">
        <f>IF(ISERR(FIND("DECOUPE",Tableau1[[#This Row],[DESIGNATION]])),"","NEED REF")</f>
        <v/>
      </c>
    </row>
    <row r="717">
      <c r="B717" t="n">
        <v>34413285</v>
      </c>
      <c r="C717" s="2" t="n">
        <v>45629</v>
      </c>
      <c r="D717" t="inlineStr">
        <is>
          <t>SPEC</t>
        </is>
      </c>
      <c r="E71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17" t="inlineStr">
        <is>
          <t>etude bypass</t>
        </is>
      </c>
      <c r="G717" t="inlineStr">
        <is>
          <t>GVXL</t>
        </is>
      </c>
      <c r="H717" t="inlineStr">
        <is>
          <t>BYPASS</t>
        </is>
      </c>
      <c r="I717" t="inlineStr">
        <is>
          <t>25000KVA</t>
        </is>
      </c>
      <c r="J717" t="inlineStr">
        <is>
          <t>BESSIERE</t>
        </is>
      </c>
      <c r="K717" t="inlineStr">
        <is>
          <t>CUIVRE</t>
        </is>
      </c>
      <c r="L717">
        <f>_xlfn.XLOOKUP(Tableau1[[#This Row],[TYPE DE PIECE]],Tableau4[MATIERE],Tableau4[SHORT TYPE],"",0,1)</f>
        <v/>
      </c>
      <c r="N717">
        <f>IF(ISERR(FIND("DECOUPE",Tableau1[[#This Row],[DESIGNATION]])),"","NEED REF")</f>
        <v/>
      </c>
    </row>
    <row r="718">
      <c r="B718" t="n">
        <v>34413284</v>
      </c>
      <c r="C718" s="2" t="n">
        <v>45629</v>
      </c>
      <c r="D718" t="inlineStr">
        <is>
          <t>SPEC</t>
        </is>
      </c>
      <c r="E71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18" t="inlineStr">
        <is>
          <t>etude bypass</t>
        </is>
      </c>
      <c r="G718" t="inlineStr">
        <is>
          <t>GVXL</t>
        </is>
      </c>
      <c r="H718" t="inlineStr">
        <is>
          <t>BYPASS</t>
        </is>
      </c>
      <c r="I718" t="inlineStr">
        <is>
          <t>25000KVA</t>
        </is>
      </c>
      <c r="J718" t="inlineStr">
        <is>
          <t>BESSIERE</t>
        </is>
      </c>
      <c r="K718" t="inlineStr">
        <is>
          <t>CUIVRE</t>
        </is>
      </c>
      <c r="L718">
        <f>_xlfn.XLOOKUP(Tableau1[[#This Row],[TYPE DE PIECE]],Tableau4[MATIERE],Tableau4[SHORT TYPE],"",0,1)</f>
        <v/>
      </c>
      <c r="N718">
        <f>IF(ISERR(FIND("DECOUPE",Tableau1[[#This Row],[DESIGNATION]])),"","NEED REF")</f>
        <v/>
      </c>
    </row>
    <row r="719">
      <c r="B719" t="n">
        <v>34413283</v>
      </c>
      <c r="C719" s="2" t="n">
        <v>45629</v>
      </c>
      <c r="D719" t="inlineStr">
        <is>
          <t>SPEC</t>
        </is>
      </c>
      <c r="E71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19" t="inlineStr">
        <is>
          <t>etude bypass</t>
        </is>
      </c>
      <c r="G719" t="inlineStr">
        <is>
          <t>GVXL</t>
        </is>
      </c>
      <c r="H719" t="inlineStr">
        <is>
          <t>BYPASS</t>
        </is>
      </c>
      <c r="I719" t="inlineStr">
        <is>
          <t>25000KVA</t>
        </is>
      </c>
      <c r="J719" t="inlineStr">
        <is>
          <t>BESSIERE</t>
        </is>
      </c>
      <c r="K719" t="inlineStr">
        <is>
          <t>CUIVRE</t>
        </is>
      </c>
      <c r="L719">
        <f>_xlfn.XLOOKUP(Tableau1[[#This Row],[TYPE DE PIECE]],Tableau4[MATIERE],Tableau4[SHORT TYPE],"",0,1)</f>
        <v/>
      </c>
      <c r="N719">
        <f>IF(ISERR(FIND("DECOUPE",Tableau1[[#This Row],[DESIGNATION]])),"","NEED REF")</f>
        <v/>
      </c>
    </row>
    <row r="720">
      <c r="B720" t="n">
        <v>34413282</v>
      </c>
      <c r="C720" s="2" t="n">
        <v>45629</v>
      </c>
      <c r="D720" t="inlineStr">
        <is>
          <t>SPEC</t>
        </is>
      </c>
      <c r="E72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0" t="inlineStr">
        <is>
          <t>etude bypass</t>
        </is>
      </c>
      <c r="G720" t="inlineStr">
        <is>
          <t>GVXL</t>
        </is>
      </c>
      <c r="H720" t="inlineStr">
        <is>
          <t>BYPASS</t>
        </is>
      </c>
      <c r="I720" t="inlineStr">
        <is>
          <t>25000KVA</t>
        </is>
      </c>
      <c r="J720" t="inlineStr">
        <is>
          <t>BESSIERE</t>
        </is>
      </c>
      <c r="K720" t="inlineStr">
        <is>
          <t>CUIVRE</t>
        </is>
      </c>
      <c r="L720">
        <f>_xlfn.XLOOKUP(Tableau1[[#This Row],[TYPE DE PIECE]],Tableau4[MATIERE],Tableau4[SHORT TYPE],"",0,1)</f>
        <v/>
      </c>
      <c r="N720">
        <f>IF(ISERR(FIND("DECOUPE",Tableau1[[#This Row],[DESIGNATION]])),"","NEED REF")</f>
        <v/>
      </c>
    </row>
    <row r="721">
      <c r="B721" t="n">
        <v>34413281</v>
      </c>
      <c r="C721" s="2" t="n">
        <v>45629</v>
      </c>
      <c r="D721" t="inlineStr">
        <is>
          <t>SPEC</t>
        </is>
      </c>
      <c r="E72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1" t="inlineStr">
        <is>
          <t>etude bypass</t>
        </is>
      </c>
      <c r="G721" t="inlineStr">
        <is>
          <t>GVXL</t>
        </is>
      </c>
      <c r="H721" t="inlineStr">
        <is>
          <t>BYPASS</t>
        </is>
      </c>
      <c r="I721" t="inlineStr">
        <is>
          <t>25000KVA</t>
        </is>
      </c>
      <c r="J721" t="inlineStr">
        <is>
          <t>BESSIERE</t>
        </is>
      </c>
      <c r="K721" t="inlineStr">
        <is>
          <t>CUIVRE</t>
        </is>
      </c>
      <c r="L721">
        <f>_xlfn.XLOOKUP(Tableau1[[#This Row],[TYPE DE PIECE]],Tableau4[MATIERE],Tableau4[SHORT TYPE],"",0,1)</f>
        <v/>
      </c>
      <c r="N721">
        <f>IF(ISERR(FIND("DECOUPE",Tableau1[[#This Row],[DESIGNATION]])),"","NEED REF")</f>
        <v/>
      </c>
    </row>
    <row r="722">
      <c r="B722" t="n">
        <v>34413280</v>
      </c>
      <c r="C722" s="2" t="n">
        <v>45629</v>
      </c>
      <c r="D722" t="inlineStr">
        <is>
          <t>SPEC</t>
        </is>
      </c>
      <c r="E72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2" t="inlineStr">
        <is>
          <t>etude bypass</t>
        </is>
      </c>
      <c r="G722" t="inlineStr">
        <is>
          <t>GVXL</t>
        </is>
      </c>
      <c r="H722" t="inlineStr">
        <is>
          <t>BYPASS</t>
        </is>
      </c>
      <c r="I722" t="inlineStr">
        <is>
          <t>25000KVA</t>
        </is>
      </c>
      <c r="J722" t="inlineStr">
        <is>
          <t>BESSIERE</t>
        </is>
      </c>
      <c r="K722" t="inlineStr">
        <is>
          <t>CUIVRE</t>
        </is>
      </c>
      <c r="L722">
        <f>_xlfn.XLOOKUP(Tableau1[[#This Row],[TYPE DE PIECE]],Tableau4[MATIERE],Tableau4[SHORT TYPE],"",0,1)</f>
        <v/>
      </c>
      <c r="N722">
        <f>IF(ISERR(FIND("DECOUPE",Tableau1[[#This Row],[DESIGNATION]])),"","NEED REF")</f>
        <v/>
      </c>
    </row>
    <row r="723">
      <c r="B723" t="n">
        <v>34413279</v>
      </c>
      <c r="C723" s="2" t="n">
        <v>45629</v>
      </c>
      <c r="D723" t="inlineStr">
        <is>
          <t>SPEC</t>
        </is>
      </c>
      <c r="E72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3" t="inlineStr">
        <is>
          <t>etude bypass</t>
        </is>
      </c>
      <c r="G723" t="inlineStr">
        <is>
          <t>GVXL</t>
        </is>
      </c>
      <c r="H723" t="inlineStr">
        <is>
          <t>BYPASS</t>
        </is>
      </c>
      <c r="I723" t="inlineStr">
        <is>
          <t>25000KVA</t>
        </is>
      </c>
      <c r="J723" t="inlineStr">
        <is>
          <t>BESSIERE</t>
        </is>
      </c>
      <c r="K723" t="inlineStr">
        <is>
          <t>CUIVRE</t>
        </is>
      </c>
      <c r="L723">
        <f>_xlfn.XLOOKUP(Tableau1[[#This Row],[TYPE DE PIECE]],Tableau4[MATIERE],Tableau4[SHORT TYPE],"",0,1)</f>
        <v/>
      </c>
      <c r="N723">
        <f>IF(ISERR(FIND("DECOUPE",Tableau1[[#This Row],[DESIGNATION]])),"","NEED REF")</f>
        <v/>
      </c>
    </row>
    <row r="724">
      <c r="B724" t="n">
        <v>34413278</v>
      </c>
      <c r="C724" s="2" t="n">
        <v>45629</v>
      </c>
      <c r="D724" t="inlineStr">
        <is>
          <t>SPEC</t>
        </is>
      </c>
      <c r="E72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4" t="inlineStr">
        <is>
          <t>etude bypass</t>
        </is>
      </c>
      <c r="G724" t="inlineStr">
        <is>
          <t>GVXL</t>
        </is>
      </c>
      <c r="H724" t="inlineStr">
        <is>
          <t>BYPASS</t>
        </is>
      </c>
      <c r="I724" t="inlineStr">
        <is>
          <t>25000KVA</t>
        </is>
      </c>
      <c r="J724" t="inlineStr">
        <is>
          <t>BESSIERE</t>
        </is>
      </c>
      <c r="K724" t="inlineStr">
        <is>
          <t>CUIVRE</t>
        </is>
      </c>
      <c r="L724">
        <f>_xlfn.XLOOKUP(Tableau1[[#This Row],[TYPE DE PIECE]],Tableau4[MATIERE],Tableau4[SHORT TYPE],"",0,1)</f>
        <v/>
      </c>
      <c r="N724">
        <f>IF(ISERR(FIND("DECOUPE",Tableau1[[#This Row],[DESIGNATION]])),"","NEED REF")</f>
        <v/>
      </c>
    </row>
    <row r="725">
      <c r="B725" t="n">
        <v>34413277</v>
      </c>
      <c r="C725" s="2" t="n">
        <v>45629</v>
      </c>
      <c r="D725" t="inlineStr">
        <is>
          <t>SPEC</t>
        </is>
      </c>
      <c r="E72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5" t="inlineStr">
        <is>
          <t>etude bypass</t>
        </is>
      </c>
      <c r="G725" t="inlineStr">
        <is>
          <t>GVXL</t>
        </is>
      </c>
      <c r="H725" t="inlineStr">
        <is>
          <t>BYPASS</t>
        </is>
      </c>
      <c r="I725" t="inlineStr">
        <is>
          <t>25000KVA</t>
        </is>
      </c>
      <c r="J725" t="inlineStr">
        <is>
          <t>BESSIERE</t>
        </is>
      </c>
      <c r="K725" t="inlineStr">
        <is>
          <t>CUIVRE</t>
        </is>
      </c>
      <c r="L725">
        <f>_xlfn.XLOOKUP(Tableau1[[#This Row],[TYPE DE PIECE]],Tableau4[MATIERE],Tableau4[SHORT TYPE],"",0,1)</f>
        <v/>
      </c>
      <c r="N725">
        <f>IF(ISERR(FIND("DECOUPE",Tableau1[[#This Row],[DESIGNATION]])),"","NEED REF")</f>
        <v/>
      </c>
    </row>
    <row r="726">
      <c r="B726" t="n">
        <v>34413276</v>
      </c>
      <c r="C726" s="2" t="n">
        <v>45629</v>
      </c>
      <c r="D726" t="inlineStr">
        <is>
          <t>SPEC</t>
        </is>
      </c>
      <c r="E72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6" t="inlineStr">
        <is>
          <t>etude bypass</t>
        </is>
      </c>
      <c r="G726" t="inlineStr">
        <is>
          <t>GVXL</t>
        </is>
      </c>
      <c r="H726" t="inlineStr">
        <is>
          <t>BYPASS</t>
        </is>
      </c>
      <c r="I726" t="inlineStr">
        <is>
          <t>25000KVA</t>
        </is>
      </c>
      <c r="J726" t="inlineStr">
        <is>
          <t>BESSIERE</t>
        </is>
      </c>
      <c r="K726" t="inlineStr">
        <is>
          <t>CUIVRE</t>
        </is>
      </c>
      <c r="L726">
        <f>_xlfn.XLOOKUP(Tableau1[[#This Row],[TYPE DE PIECE]],Tableau4[MATIERE],Tableau4[SHORT TYPE],"",0,1)</f>
        <v/>
      </c>
      <c r="N726">
        <f>IF(ISERR(FIND("DECOUPE",Tableau1[[#This Row],[DESIGNATION]])),"","NEED REF")</f>
        <v/>
      </c>
    </row>
    <row r="727">
      <c r="B727" t="n">
        <v>34413275</v>
      </c>
      <c r="C727" s="2" t="n">
        <v>45629</v>
      </c>
      <c r="D727" t="inlineStr">
        <is>
          <t>SPEC</t>
        </is>
      </c>
      <c r="E72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7" t="inlineStr">
        <is>
          <t>etude bypass</t>
        </is>
      </c>
      <c r="G727" t="inlineStr">
        <is>
          <t>GVXL</t>
        </is>
      </c>
      <c r="H727" t="inlineStr">
        <is>
          <t>BYPASS</t>
        </is>
      </c>
      <c r="I727" t="inlineStr">
        <is>
          <t>25000KVA</t>
        </is>
      </c>
      <c r="J727" t="inlineStr">
        <is>
          <t>BESSIERE</t>
        </is>
      </c>
      <c r="K727" t="inlineStr">
        <is>
          <t>CUIVRE</t>
        </is>
      </c>
      <c r="L727">
        <f>_xlfn.XLOOKUP(Tableau1[[#This Row],[TYPE DE PIECE]],Tableau4[MATIERE],Tableau4[SHORT TYPE],"",0,1)</f>
        <v/>
      </c>
      <c r="N727">
        <f>IF(ISERR(FIND("DECOUPE",Tableau1[[#This Row],[DESIGNATION]])),"","NEED REF")</f>
        <v/>
      </c>
    </row>
    <row r="728">
      <c r="B728" t="n">
        <v>34413274</v>
      </c>
      <c r="C728" s="2" t="n">
        <v>45629</v>
      </c>
      <c r="D728" t="inlineStr">
        <is>
          <t>SPEC</t>
        </is>
      </c>
      <c r="E72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8" t="inlineStr">
        <is>
          <t>etude bypass</t>
        </is>
      </c>
      <c r="G728" t="inlineStr">
        <is>
          <t>GVXL</t>
        </is>
      </c>
      <c r="H728" t="inlineStr">
        <is>
          <t>BYPASS</t>
        </is>
      </c>
      <c r="I728" t="inlineStr">
        <is>
          <t>25000KVA</t>
        </is>
      </c>
      <c r="J728" t="inlineStr">
        <is>
          <t>BESSIERE</t>
        </is>
      </c>
      <c r="K728" t="inlineStr">
        <is>
          <t>CUIVRE</t>
        </is>
      </c>
      <c r="L728">
        <f>_xlfn.XLOOKUP(Tableau1[[#This Row],[TYPE DE PIECE]],Tableau4[MATIERE],Tableau4[SHORT TYPE],"",0,1)</f>
        <v/>
      </c>
      <c r="N728">
        <f>IF(ISERR(FIND("DECOUPE",Tableau1[[#This Row],[DESIGNATION]])),"","NEED REF")</f>
        <v/>
      </c>
    </row>
    <row r="729">
      <c r="B729" t="n">
        <v>34413273</v>
      </c>
      <c r="C729" s="2" t="n">
        <v>45629</v>
      </c>
      <c r="D729" t="inlineStr">
        <is>
          <t>SPEC</t>
        </is>
      </c>
      <c r="E72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29" t="inlineStr">
        <is>
          <t>etude bypass</t>
        </is>
      </c>
      <c r="G729" t="inlineStr">
        <is>
          <t>GVXL</t>
        </is>
      </c>
      <c r="H729" t="inlineStr">
        <is>
          <t>BYPASS</t>
        </is>
      </c>
      <c r="I729" t="inlineStr">
        <is>
          <t>25000KVA</t>
        </is>
      </c>
      <c r="J729" t="inlineStr">
        <is>
          <t>BESSIERE</t>
        </is>
      </c>
      <c r="K729" t="inlineStr">
        <is>
          <t>CUIVRE</t>
        </is>
      </c>
      <c r="L729">
        <f>_xlfn.XLOOKUP(Tableau1[[#This Row],[TYPE DE PIECE]],Tableau4[MATIERE],Tableau4[SHORT TYPE],"",0,1)</f>
        <v/>
      </c>
      <c r="N729">
        <f>IF(ISERR(FIND("DECOUPE",Tableau1[[#This Row],[DESIGNATION]])),"","NEED REF")</f>
        <v/>
      </c>
    </row>
    <row r="730">
      <c r="B730" t="n">
        <v>34413272</v>
      </c>
      <c r="C730" s="2" t="n">
        <v>45629</v>
      </c>
      <c r="D730" t="inlineStr">
        <is>
          <t>SPEC</t>
        </is>
      </c>
      <c r="E73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30" t="inlineStr">
        <is>
          <t>etude bypass</t>
        </is>
      </c>
      <c r="G730" t="inlineStr">
        <is>
          <t>GVXL</t>
        </is>
      </c>
      <c r="H730" t="inlineStr">
        <is>
          <t>BYPASS</t>
        </is>
      </c>
      <c r="I730" t="inlineStr">
        <is>
          <t>25000KVA</t>
        </is>
      </c>
      <c r="J730" t="inlineStr">
        <is>
          <t>BESSIERE</t>
        </is>
      </c>
      <c r="K730" t="inlineStr">
        <is>
          <t>CUIVRE</t>
        </is>
      </c>
      <c r="L730">
        <f>_xlfn.XLOOKUP(Tableau1[[#This Row],[TYPE DE PIECE]],Tableau4[MATIERE],Tableau4[SHORT TYPE],"",0,1)</f>
        <v/>
      </c>
      <c r="N730">
        <f>IF(ISERR(FIND("DECOUPE",Tableau1[[#This Row],[DESIGNATION]])),"","NEED REF")</f>
        <v/>
      </c>
    </row>
    <row r="731">
      <c r="B731" t="n">
        <v>34413271</v>
      </c>
      <c r="C731" s="2" t="n">
        <v>45625</v>
      </c>
      <c r="D731" t="inlineStr">
        <is>
          <t>SPEC</t>
        </is>
      </c>
      <c r="E731" t="inlineStr">
        <is>
          <t>MTZ2 4P H2 2000A RACCORDEMENT ARRIERE</t>
        </is>
      </c>
      <c r="G731" t="inlineStr">
        <is>
          <t>GVXL</t>
        </is>
      </c>
      <c r="H731" t="inlineStr">
        <is>
          <t>BYPASS</t>
        </is>
      </c>
      <c r="I731" t="inlineStr">
        <is>
          <t>25000KVA</t>
        </is>
      </c>
      <c r="J731" t="inlineStr">
        <is>
          <t>MATRION</t>
        </is>
      </c>
      <c r="K731" t="inlineStr">
        <is>
          <t>SE</t>
        </is>
      </c>
      <c r="L731">
        <f>_xlfn.XLOOKUP(Tableau1[[#This Row],[TYPE DE PIECE]],Tableau4[MATIERE],Tableau4[SHORT TYPE],"",0,1)</f>
        <v/>
      </c>
      <c r="N731">
        <f>IF(ISERR(FIND("DECOUPE",Tableau1[[#This Row],[DESIGNATION]])),"","NEED REF")</f>
        <v/>
      </c>
    </row>
    <row r="732">
      <c r="B732" t="n">
        <v>34413270</v>
      </c>
      <c r="C732" s="2" t="n">
        <v>45625</v>
      </c>
      <c r="D732" t="inlineStr">
        <is>
          <t>SPEC</t>
        </is>
      </c>
      <c r="E732" t="inlineStr">
        <is>
          <t>MTZ2 4P H2 2000A DO RACCORDEMENT ARRIERE</t>
        </is>
      </c>
      <c r="G732" t="inlineStr">
        <is>
          <t>GVXL</t>
        </is>
      </c>
      <c r="H732" t="inlineStr">
        <is>
          <t>BYPASS</t>
        </is>
      </c>
      <c r="I732" t="inlineStr">
        <is>
          <t>25000KVA</t>
        </is>
      </c>
      <c r="J732" t="inlineStr">
        <is>
          <t>MATRION</t>
        </is>
      </c>
      <c r="K732" t="inlineStr">
        <is>
          <t>SE</t>
        </is>
      </c>
      <c r="L732">
        <f>_xlfn.XLOOKUP(Tableau1[[#This Row],[TYPE DE PIECE]],Tableau4[MATIERE],Tableau4[SHORT TYPE],"",0,1)</f>
        <v/>
      </c>
      <c r="N732">
        <f>IF(ISERR(FIND("DECOUPE",Tableau1[[#This Row],[DESIGNATION]])),"","NEED REF")</f>
        <v/>
      </c>
    </row>
    <row r="733">
      <c r="B733" t="n">
        <v>34413269</v>
      </c>
      <c r="C733" s="2" t="n">
        <v>45625</v>
      </c>
      <c r="D733" t="inlineStr">
        <is>
          <t>SPEC</t>
        </is>
      </c>
      <c r="E733" t="inlineStr">
        <is>
          <t>MTZ2 4P H2 2500A RACCORDEMENT ARRIERE</t>
        </is>
      </c>
      <c r="G733" t="inlineStr">
        <is>
          <t>GVXL</t>
        </is>
      </c>
      <c r="H733" t="inlineStr">
        <is>
          <t>BYPASS</t>
        </is>
      </c>
      <c r="I733" t="inlineStr">
        <is>
          <t>25000KVA</t>
        </is>
      </c>
      <c r="J733" t="inlineStr">
        <is>
          <t>MATRION</t>
        </is>
      </c>
      <c r="K733" t="inlineStr">
        <is>
          <t>SE</t>
        </is>
      </c>
      <c r="L733">
        <f>_xlfn.XLOOKUP(Tableau1[[#This Row],[TYPE DE PIECE]],Tableau4[MATIERE],Tableau4[SHORT TYPE],"",0,1)</f>
        <v/>
      </c>
      <c r="N733">
        <f>IF(ISERR(FIND("DECOUPE",Tableau1[[#This Row],[DESIGNATION]])),"","NEED REF")</f>
        <v/>
      </c>
    </row>
    <row r="734">
      <c r="B734" t="n">
        <v>34413268</v>
      </c>
      <c r="C734" s="2" t="n">
        <v>45625</v>
      </c>
      <c r="D734" t="inlineStr">
        <is>
          <t>SPEC</t>
        </is>
      </c>
      <c r="E734" t="inlineStr">
        <is>
          <t>MTZ2 4P H2 2500A DO RACCORDEMENT ARRIERE</t>
        </is>
      </c>
      <c r="G734" t="inlineStr">
        <is>
          <t>GVXL</t>
        </is>
      </c>
      <c r="H734" t="inlineStr">
        <is>
          <t>BYPASS</t>
        </is>
      </c>
      <c r="I734" t="inlineStr">
        <is>
          <t>25000KVA</t>
        </is>
      </c>
      <c r="J734" t="inlineStr">
        <is>
          <t>MATRION</t>
        </is>
      </c>
      <c r="K734" t="inlineStr">
        <is>
          <t>SE</t>
        </is>
      </c>
      <c r="L734">
        <f>_xlfn.XLOOKUP(Tableau1[[#This Row],[TYPE DE PIECE]],Tableau4[MATIERE],Tableau4[SHORT TYPE],"",0,1)</f>
        <v/>
      </c>
      <c r="N734">
        <f>IF(ISERR(FIND("DECOUPE",Tableau1[[#This Row],[DESIGNATION]])),"","NEED REF")</f>
        <v/>
      </c>
    </row>
    <row r="735">
      <c r="B735" t="n">
        <v>34413267</v>
      </c>
      <c r="C735" s="2" t="n">
        <v>45624</v>
      </c>
      <c r="D735" t="inlineStr">
        <is>
          <t>SPEC</t>
        </is>
      </c>
      <c r="E73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35" t="inlineStr">
        <is>
          <t>GVXL</t>
        </is>
      </c>
      <c r="H735" t="inlineStr">
        <is>
          <t>BYPASS</t>
        </is>
      </c>
      <c r="I735" t="inlineStr">
        <is>
          <t>25000KVA</t>
        </is>
      </c>
      <c r="J735" t="inlineStr">
        <is>
          <t>BESSIERE</t>
        </is>
      </c>
      <c r="K735" t="inlineStr">
        <is>
          <t>METAL</t>
        </is>
      </c>
      <c r="L735">
        <f>_xlfn.XLOOKUP(Tableau1[[#This Row],[TYPE DE PIECE]],Tableau4[MATIERE],Tableau4[SHORT TYPE],"",0,1)</f>
        <v/>
      </c>
      <c r="N735">
        <f>IF(ISERR(FIND("DECOUPE",Tableau1[[#This Row],[DESIGNATION]])),"","NEED REF")</f>
        <v/>
      </c>
    </row>
    <row r="736">
      <c r="B736" t="n">
        <v>34413266</v>
      </c>
      <c r="C736" s="2" t="n">
        <v>45624</v>
      </c>
      <c r="D736" t="inlineStr">
        <is>
          <t>SPEC</t>
        </is>
      </c>
      <c r="E736" t="inlineStr">
        <is>
          <t>GVXL JDB LOAD</t>
        </is>
      </c>
      <c r="G736" t="inlineStr">
        <is>
          <t>GVXL</t>
        </is>
      </c>
      <c r="H736" t="inlineStr">
        <is>
          <t>BYPASS</t>
        </is>
      </c>
      <c r="I736" t="inlineStr">
        <is>
          <t>25000KVA</t>
        </is>
      </c>
      <c r="J736" t="inlineStr">
        <is>
          <t>BESSIERE</t>
        </is>
      </c>
      <c r="L736">
        <f>_xlfn.XLOOKUP(Tableau1[[#This Row],[TYPE DE PIECE]],Tableau4[MATIERE],Tableau4[SHORT TYPE],"",0,1)</f>
        <v/>
      </c>
      <c r="N736">
        <f>IF(ISERR(FIND("DECOUPE",Tableau1[[#This Row],[DESIGNATION]])),"","NEED REF")</f>
        <v/>
      </c>
    </row>
    <row r="737">
      <c r="B737" t="n">
        <v>34413265</v>
      </c>
      <c r="C737" s="2" t="n">
        <v>45624</v>
      </c>
      <c r="D737" t="inlineStr">
        <is>
          <t>SPEC</t>
        </is>
      </c>
      <c r="E73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37" t="inlineStr">
        <is>
          <t>etude bypass</t>
        </is>
      </c>
      <c r="G737" t="inlineStr">
        <is>
          <t>GVXL</t>
        </is>
      </c>
      <c r="H737" t="inlineStr">
        <is>
          <t>BYPASS</t>
        </is>
      </c>
      <c r="I737" t="inlineStr">
        <is>
          <t>25000KVA</t>
        </is>
      </c>
      <c r="J737" t="inlineStr">
        <is>
          <t>BESSIERE</t>
        </is>
      </c>
      <c r="K737" t="inlineStr">
        <is>
          <t>CUIVRE</t>
        </is>
      </c>
      <c r="L737">
        <f>_xlfn.XLOOKUP(Tableau1[[#This Row],[TYPE DE PIECE]],Tableau4[MATIERE],Tableau4[SHORT TYPE],"",0,1)</f>
        <v/>
      </c>
      <c r="N737">
        <f>IF(ISERR(FIND("DECOUPE",Tableau1[[#This Row],[DESIGNATION]])),"","NEED REF")</f>
        <v/>
      </c>
    </row>
    <row r="738">
      <c r="B738" t="n">
        <v>34413264</v>
      </c>
      <c r="C738" s="2" t="n">
        <v>45624</v>
      </c>
      <c r="D738" t="inlineStr">
        <is>
          <t>SPEC</t>
        </is>
      </c>
      <c r="E73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38" t="inlineStr">
        <is>
          <t>etude bypass</t>
        </is>
      </c>
      <c r="G738" t="inlineStr">
        <is>
          <t>GVXL</t>
        </is>
      </c>
      <c r="H738" t="inlineStr">
        <is>
          <t>BYPASS</t>
        </is>
      </c>
      <c r="I738" t="inlineStr">
        <is>
          <t>25000KVA</t>
        </is>
      </c>
      <c r="J738" t="inlineStr">
        <is>
          <t>BESSIERE</t>
        </is>
      </c>
      <c r="K738" t="inlineStr">
        <is>
          <t>CUIVRE</t>
        </is>
      </c>
      <c r="L738">
        <f>_xlfn.XLOOKUP(Tableau1[[#This Row],[TYPE DE PIECE]],Tableau4[MATIERE],Tableau4[SHORT TYPE],"",0,1)</f>
        <v/>
      </c>
      <c r="N738">
        <f>IF(ISERR(FIND("DECOUPE",Tableau1[[#This Row],[DESIGNATION]])),"","NEED REF")</f>
        <v/>
      </c>
    </row>
    <row r="739">
      <c r="B739" t="n">
        <v>34413263</v>
      </c>
      <c r="C739" s="2" t="n">
        <v>45624</v>
      </c>
      <c r="D739" t="inlineStr">
        <is>
          <t>SPEC</t>
        </is>
      </c>
      <c r="E73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39" t="inlineStr">
        <is>
          <t>etude bypass</t>
        </is>
      </c>
      <c r="G739" t="inlineStr">
        <is>
          <t>GVXL</t>
        </is>
      </c>
      <c r="H739" t="inlineStr">
        <is>
          <t>BYPASS</t>
        </is>
      </c>
      <c r="I739" t="inlineStr">
        <is>
          <t>25000KVA</t>
        </is>
      </c>
      <c r="J739" t="inlineStr">
        <is>
          <t>BESSIERE</t>
        </is>
      </c>
      <c r="K739" t="inlineStr">
        <is>
          <t>CUIVRE</t>
        </is>
      </c>
      <c r="L739">
        <f>_xlfn.XLOOKUP(Tableau1[[#This Row],[TYPE DE PIECE]],Tableau4[MATIERE],Tableau4[SHORT TYPE],"",0,1)</f>
        <v/>
      </c>
      <c r="N739">
        <f>IF(ISERR(FIND("DECOUPE",Tableau1[[#This Row],[DESIGNATION]])),"","NEED REF")</f>
        <v/>
      </c>
    </row>
    <row r="740">
      <c r="B740" t="n">
        <v>34413262</v>
      </c>
      <c r="C740" s="2" t="n">
        <v>45624</v>
      </c>
      <c r="D740" t="inlineStr">
        <is>
          <t>SPEC</t>
        </is>
      </c>
      <c r="E74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0" t="inlineStr">
        <is>
          <t>etude bypass</t>
        </is>
      </c>
      <c r="G740" t="inlineStr">
        <is>
          <t>GVXL</t>
        </is>
      </c>
      <c r="H740" t="inlineStr">
        <is>
          <t>BYPASS</t>
        </is>
      </c>
      <c r="I740" t="inlineStr">
        <is>
          <t>25000KVA</t>
        </is>
      </c>
      <c r="J740" t="inlineStr">
        <is>
          <t>BESSIERE</t>
        </is>
      </c>
      <c r="K740" t="inlineStr">
        <is>
          <t>CUIVRE</t>
        </is>
      </c>
      <c r="L740">
        <f>_xlfn.XLOOKUP(Tableau1[[#This Row],[TYPE DE PIECE]],Tableau4[MATIERE],Tableau4[SHORT TYPE],"",0,1)</f>
        <v/>
      </c>
      <c r="N740">
        <f>IF(ISERR(FIND("DECOUPE",Tableau1[[#This Row],[DESIGNATION]])),"","NEED REF")</f>
        <v/>
      </c>
    </row>
    <row r="741">
      <c r="B741" t="n">
        <v>34413261</v>
      </c>
      <c r="C741" s="2" t="n">
        <v>45624</v>
      </c>
      <c r="D741" t="inlineStr">
        <is>
          <t>SPEC</t>
        </is>
      </c>
      <c r="E74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1" t="inlineStr">
        <is>
          <t>etude bypass</t>
        </is>
      </c>
      <c r="G741" t="inlineStr">
        <is>
          <t>GVXL</t>
        </is>
      </c>
      <c r="H741" t="inlineStr">
        <is>
          <t>BYPASS</t>
        </is>
      </c>
      <c r="I741" t="inlineStr">
        <is>
          <t>25000KVA</t>
        </is>
      </c>
      <c r="J741" t="inlineStr">
        <is>
          <t>BESSIERE</t>
        </is>
      </c>
      <c r="K741" t="inlineStr">
        <is>
          <t>CUIVRE</t>
        </is>
      </c>
      <c r="L741">
        <f>_xlfn.XLOOKUP(Tableau1[[#This Row],[TYPE DE PIECE]],Tableau4[MATIERE],Tableau4[SHORT TYPE],"",0,1)</f>
        <v/>
      </c>
      <c r="N741">
        <f>IF(ISERR(FIND("DECOUPE",Tableau1[[#This Row],[DESIGNATION]])),"","NEED REF")</f>
        <v/>
      </c>
    </row>
    <row r="742">
      <c r="B742" t="n">
        <v>34413260</v>
      </c>
      <c r="C742" s="2" t="n">
        <v>45624</v>
      </c>
      <c r="D742" t="inlineStr">
        <is>
          <t>SPEC</t>
        </is>
      </c>
      <c r="E74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2" t="inlineStr">
        <is>
          <t>etude bypass</t>
        </is>
      </c>
      <c r="G742" t="inlineStr">
        <is>
          <t>GVXL</t>
        </is>
      </c>
      <c r="H742" t="inlineStr">
        <is>
          <t>BYPASS</t>
        </is>
      </c>
      <c r="I742" t="inlineStr">
        <is>
          <t>25000KVA</t>
        </is>
      </c>
      <c r="J742" t="inlineStr">
        <is>
          <t>BESSIERE</t>
        </is>
      </c>
      <c r="K742" t="inlineStr">
        <is>
          <t>CUIVRE</t>
        </is>
      </c>
      <c r="L742">
        <f>_xlfn.XLOOKUP(Tableau1[[#This Row],[TYPE DE PIECE]],Tableau4[MATIERE],Tableau4[SHORT TYPE],"",0,1)</f>
        <v/>
      </c>
      <c r="N742">
        <f>IF(ISERR(FIND("DECOUPE",Tableau1[[#This Row],[DESIGNATION]])),"","NEED REF")</f>
        <v/>
      </c>
    </row>
    <row r="743">
      <c r="B743" t="n">
        <v>34413259</v>
      </c>
      <c r="C743" s="2" t="n">
        <v>45624</v>
      </c>
      <c r="D743" t="inlineStr">
        <is>
          <t>SPEC</t>
        </is>
      </c>
      <c r="E74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3" t="inlineStr">
        <is>
          <t>etude bypass</t>
        </is>
      </c>
      <c r="G743" t="inlineStr">
        <is>
          <t>GVXL</t>
        </is>
      </c>
      <c r="H743" t="inlineStr">
        <is>
          <t>BYPASS</t>
        </is>
      </c>
      <c r="I743" t="inlineStr">
        <is>
          <t>25000KVA</t>
        </is>
      </c>
      <c r="J743" t="inlineStr">
        <is>
          <t>BESSIERE</t>
        </is>
      </c>
      <c r="K743" t="inlineStr">
        <is>
          <t>CUIVRE</t>
        </is>
      </c>
      <c r="L743">
        <f>_xlfn.XLOOKUP(Tableau1[[#This Row],[TYPE DE PIECE]],Tableau4[MATIERE],Tableau4[SHORT TYPE],"",0,1)</f>
        <v/>
      </c>
      <c r="N743">
        <f>IF(ISERR(FIND("DECOUPE",Tableau1[[#This Row],[DESIGNATION]])),"","NEED REF")</f>
        <v/>
      </c>
    </row>
    <row r="744">
      <c r="B744" t="n">
        <v>34413258</v>
      </c>
      <c r="C744" s="2" t="n">
        <v>45624</v>
      </c>
      <c r="D744" t="inlineStr">
        <is>
          <t>SPEC</t>
        </is>
      </c>
      <c r="E74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4" t="inlineStr">
        <is>
          <t>etude bypass</t>
        </is>
      </c>
      <c r="G744" t="inlineStr">
        <is>
          <t>GVXL</t>
        </is>
      </c>
      <c r="H744" t="inlineStr">
        <is>
          <t>BYPASS</t>
        </is>
      </c>
      <c r="I744" t="inlineStr">
        <is>
          <t>25000KVA</t>
        </is>
      </c>
      <c r="J744" t="inlineStr">
        <is>
          <t>BESSIERE</t>
        </is>
      </c>
      <c r="K744" t="inlineStr">
        <is>
          <t>CUIVRE</t>
        </is>
      </c>
      <c r="L744">
        <f>_xlfn.XLOOKUP(Tableau1[[#This Row],[TYPE DE PIECE]],Tableau4[MATIERE],Tableau4[SHORT TYPE],"",0,1)</f>
        <v/>
      </c>
      <c r="N744">
        <f>IF(ISERR(FIND("DECOUPE",Tableau1[[#This Row],[DESIGNATION]])),"","NEED REF")</f>
        <v/>
      </c>
    </row>
    <row r="745">
      <c r="B745" t="n">
        <v>34413257</v>
      </c>
      <c r="C745" s="2" t="n">
        <v>45624</v>
      </c>
      <c r="D745" t="inlineStr">
        <is>
          <t>SPEC</t>
        </is>
      </c>
      <c r="E74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5" t="inlineStr">
        <is>
          <t>etude bypass</t>
        </is>
      </c>
      <c r="G745" t="inlineStr">
        <is>
          <t>GVXL</t>
        </is>
      </c>
      <c r="H745" t="inlineStr">
        <is>
          <t>BYPASS</t>
        </is>
      </c>
      <c r="I745" t="inlineStr">
        <is>
          <t>25000KVA</t>
        </is>
      </c>
      <c r="J745" t="inlineStr">
        <is>
          <t>BESSIERE</t>
        </is>
      </c>
      <c r="K745" t="inlineStr">
        <is>
          <t>CUIVRE</t>
        </is>
      </c>
      <c r="L745">
        <f>_xlfn.XLOOKUP(Tableau1[[#This Row],[TYPE DE PIECE]],Tableau4[MATIERE],Tableau4[SHORT TYPE],"",0,1)</f>
        <v/>
      </c>
      <c r="N745">
        <f>IF(ISERR(FIND("DECOUPE",Tableau1[[#This Row],[DESIGNATION]])),"","NEED REF")</f>
        <v/>
      </c>
    </row>
    <row r="746">
      <c r="B746" t="n">
        <v>34413256</v>
      </c>
      <c r="C746" s="2" t="n">
        <v>45624</v>
      </c>
      <c r="D746" t="inlineStr">
        <is>
          <t>SPEC</t>
        </is>
      </c>
      <c r="E74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6" t="inlineStr">
        <is>
          <t>etude bypass</t>
        </is>
      </c>
      <c r="G746" t="inlineStr">
        <is>
          <t>GVXL</t>
        </is>
      </c>
      <c r="H746" t="inlineStr">
        <is>
          <t>BYPASS</t>
        </is>
      </c>
      <c r="I746" t="inlineStr">
        <is>
          <t>25000KVA</t>
        </is>
      </c>
      <c r="J746" t="inlineStr">
        <is>
          <t>BESSIERE</t>
        </is>
      </c>
      <c r="K746" t="inlineStr">
        <is>
          <t>CUIVRE</t>
        </is>
      </c>
      <c r="L746">
        <f>_xlfn.XLOOKUP(Tableau1[[#This Row],[TYPE DE PIECE]],Tableau4[MATIERE],Tableau4[SHORT TYPE],"",0,1)</f>
        <v/>
      </c>
      <c r="N746">
        <f>IF(ISERR(FIND("DECOUPE",Tableau1[[#This Row],[DESIGNATION]])),"","NEED REF")</f>
        <v/>
      </c>
    </row>
    <row r="747">
      <c r="B747" t="n">
        <v>34413255</v>
      </c>
      <c r="C747" s="2" t="n">
        <v>45624</v>
      </c>
      <c r="D747" t="inlineStr">
        <is>
          <t>SPEC</t>
        </is>
      </c>
      <c r="E74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7" t="inlineStr">
        <is>
          <t>etude bypass</t>
        </is>
      </c>
      <c r="G747" t="inlineStr">
        <is>
          <t>GVXL</t>
        </is>
      </c>
      <c r="H747" t="inlineStr">
        <is>
          <t>BYPASS</t>
        </is>
      </c>
      <c r="I747" t="inlineStr">
        <is>
          <t>25000KVA</t>
        </is>
      </c>
      <c r="J747" t="inlineStr">
        <is>
          <t>BESSIERE</t>
        </is>
      </c>
      <c r="K747" t="inlineStr">
        <is>
          <t>CUIVRE</t>
        </is>
      </c>
      <c r="L747">
        <f>_xlfn.XLOOKUP(Tableau1[[#This Row],[TYPE DE PIECE]],Tableau4[MATIERE],Tableau4[SHORT TYPE],"",0,1)</f>
        <v/>
      </c>
      <c r="N747">
        <f>IF(ISERR(FIND("DECOUPE",Tableau1[[#This Row],[DESIGNATION]])),"","NEED REF")</f>
        <v/>
      </c>
    </row>
    <row r="748">
      <c r="B748" t="n">
        <v>34413254</v>
      </c>
      <c r="C748" s="2" t="n">
        <v>45624</v>
      </c>
      <c r="D748" t="inlineStr">
        <is>
          <t>SPEC</t>
        </is>
      </c>
      <c r="E74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8" t="inlineStr">
        <is>
          <t>etude bypass</t>
        </is>
      </c>
      <c r="G748" t="inlineStr">
        <is>
          <t>GVXL</t>
        </is>
      </c>
      <c r="H748" t="inlineStr">
        <is>
          <t>BYPASS</t>
        </is>
      </c>
      <c r="I748" t="inlineStr">
        <is>
          <t>25000KVA</t>
        </is>
      </c>
      <c r="J748" t="inlineStr">
        <is>
          <t>BESSIERE</t>
        </is>
      </c>
      <c r="K748" t="inlineStr">
        <is>
          <t>CUIVRE</t>
        </is>
      </c>
      <c r="L748">
        <f>_xlfn.XLOOKUP(Tableau1[[#This Row],[TYPE DE PIECE]],Tableau4[MATIERE],Tableau4[SHORT TYPE],"",0,1)</f>
        <v/>
      </c>
      <c r="N748">
        <f>IF(ISERR(FIND("DECOUPE",Tableau1[[#This Row],[DESIGNATION]])),"","NEED REF")</f>
        <v/>
      </c>
    </row>
    <row r="749">
      <c r="B749" t="n">
        <v>34413253</v>
      </c>
      <c r="C749" s="2" t="n">
        <v>45624</v>
      </c>
      <c r="D749" t="inlineStr">
        <is>
          <t>SPEC</t>
        </is>
      </c>
      <c r="E74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49" t="inlineStr">
        <is>
          <t>etude bypass</t>
        </is>
      </c>
      <c r="G749" t="inlineStr">
        <is>
          <t>GVXL</t>
        </is>
      </c>
      <c r="H749" t="inlineStr">
        <is>
          <t>BYPASS</t>
        </is>
      </c>
      <c r="I749" t="inlineStr">
        <is>
          <t>25000KVA</t>
        </is>
      </c>
      <c r="J749" t="inlineStr">
        <is>
          <t>BESSIERE</t>
        </is>
      </c>
      <c r="K749" t="inlineStr">
        <is>
          <t>CUIVRE</t>
        </is>
      </c>
      <c r="L749">
        <f>_xlfn.XLOOKUP(Tableau1[[#This Row],[TYPE DE PIECE]],Tableau4[MATIERE],Tableau4[SHORT TYPE],"",0,1)</f>
        <v/>
      </c>
      <c r="N749">
        <f>IF(ISERR(FIND("DECOUPE",Tableau1[[#This Row],[DESIGNATION]])),"","NEED REF")</f>
        <v/>
      </c>
    </row>
    <row r="750">
      <c r="B750" t="n">
        <v>34413252</v>
      </c>
      <c r="C750" s="2" t="n">
        <v>45624</v>
      </c>
      <c r="D750" t="inlineStr">
        <is>
          <t>SPEC</t>
        </is>
      </c>
      <c r="E75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50" t="inlineStr">
        <is>
          <t>etude bypass</t>
        </is>
      </c>
      <c r="G750" t="inlineStr">
        <is>
          <t>GVXL</t>
        </is>
      </c>
      <c r="H750" t="inlineStr">
        <is>
          <t>BYPASS</t>
        </is>
      </c>
      <c r="I750" t="inlineStr">
        <is>
          <t>25000KVA</t>
        </is>
      </c>
      <c r="J750" t="inlineStr">
        <is>
          <t>BESSIERE</t>
        </is>
      </c>
      <c r="K750" t="inlineStr">
        <is>
          <t>CUIVRE</t>
        </is>
      </c>
      <c r="L750">
        <f>_xlfn.XLOOKUP(Tableau1[[#This Row],[TYPE DE PIECE]],Tableau4[MATIERE],Tableau4[SHORT TYPE],"",0,1)</f>
        <v/>
      </c>
      <c r="N750">
        <f>IF(ISERR(FIND("DECOUPE",Tableau1[[#This Row],[DESIGNATION]])),"","NEED REF")</f>
        <v/>
      </c>
    </row>
    <row r="751">
      <c r="B751" t="n">
        <v>34413251</v>
      </c>
      <c r="C751" s="2" t="n">
        <v>45624</v>
      </c>
      <c r="D751" t="inlineStr">
        <is>
          <t>SPEC</t>
        </is>
      </c>
      <c r="E75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51" t="inlineStr">
        <is>
          <t>etude bypass</t>
        </is>
      </c>
      <c r="G751" t="inlineStr">
        <is>
          <t>GVXL</t>
        </is>
      </c>
      <c r="H751" t="inlineStr">
        <is>
          <t>BYPASS</t>
        </is>
      </c>
      <c r="I751" t="inlineStr">
        <is>
          <t>25000KVA</t>
        </is>
      </c>
      <c r="J751" t="inlineStr">
        <is>
          <t>BESSIERE</t>
        </is>
      </c>
      <c r="K751" t="inlineStr">
        <is>
          <t>CUIVRE</t>
        </is>
      </c>
      <c r="L751">
        <f>_xlfn.XLOOKUP(Tableau1[[#This Row],[TYPE DE PIECE]],Tableau4[MATIERE],Tableau4[SHORT TYPE],"",0,1)</f>
        <v/>
      </c>
      <c r="N751">
        <f>IF(ISERR(FIND("DECOUPE",Tableau1[[#This Row],[DESIGNATION]])),"","NEED REF")</f>
        <v/>
      </c>
    </row>
    <row r="752">
      <c r="B752" t="n">
        <v>34413250</v>
      </c>
      <c r="C752" s="2" t="n">
        <v>45624</v>
      </c>
      <c r="D752" t="inlineStr">
        <is>
          <t>SPEC</t>
        </is>
      </c>
      <c r="E75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52" t="inlineStr">
        <is>
          <t>etude bypass</t>
        </is>
      </c>
      <c r="G752" t="inlineStr">
        <is>
          <t>GVXL</t>
        </is>
      </c>
      <c r="H752" t="inlineStr">
        <is>
          <t>BYPASS</t>
        </is>
      </c>
      <c r="I752" t="inlineStr">
        <is>
          <t>25000KVA</t>
        </is>
      </c>
      <c r="J752" t="inlineStr">
        <is>
          <t>BESSIERE</t>
        </is>
      </c>
      <c r="K752" t="inlineStr">
        <is>
          <t>CUIVRE</t>
        </is>
      </c>
      <c r="L752">
        <f>_xlfn.XLOOKUP(Tableau1[[#This Row],[TYPE DE PIECE]],Tableau4[MATIERE],Tableau4[SHORT TYPE],"",0,1)</f>
        <v/>
      </c>
      <c r="N752">
        <f>IF(ISERR(FIND("DECOUPE",Tableau1[[#This Row],[DESIGNATION]])),"","NEED REF")</f>
        <v/>
      </c>
    </row>
    <row r="753">
      <c r="B753" t="n">
        <v>34413249</v>
      </c>
      <c r="C753" s="2" t="n">
        <v>45624</v>
      </c>
      <c r="D753" t="inlineStr">
        <is>
          <t>SPEC</t>
        </is>
      </c>
      <c r="E75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53" t="inlineStr">
        <is>
          <t>etude bypass</t>
        </is>
      </c>
      <c r="G753" t="inlineStr">
        <is>
          <t>GVXL</t>
        </is>
      </c>
      <c r="H753" t="inlineStr">
        <is>
          <t>BYPASS</t>
        </is>
      </c>
      <c r="I753" t="inlineStr">
        <is>
          <t>25000KVA</t>
        </is>
      </c>
      <c r="J753" t="inlineStr">
        <is>
          <t>BESSIERE</t>
        </is>
      </c>
      <c r="K753" t="inlineStr">
        <is>
          <t>CUIVRE</t>
        </is>
      </c>
      <c r="L753">
        <f>_xlfn.XLOOKUP(Tableau1[[#This Row],[TYPE DE PIECE]],Tableau4[MATIERE],Tableau4[SHORT TYPE],"",0,1)</f>
        <v/>
      </c>
      <c r="N753">
        <f>IF(ISERR(FIND("DECOUPE",Tableau1[[#This Row],[DESIGNATION]])),"","NEED REF")</f>
        <v/>
      </c>
    </row>
    <row r="754">
      <c r="B754" t="n">
        <v>34413248</v>
      </c>
      <c r="C754" s="2" t="n">
        <v>45624</v>
      </c>
      <c r="D754" t="inlineStr">
        <is>
          <t>SPEC</t>
        </is>
      </c>
      <c r="E75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54" t="inlineStr">
        <is>
          <t>etude bypass</t>
        </is>
      </c>
      <c r="G754" t="inlineStr">
        <is>
          <t>GVXL</t>
        </is>
      </c>
      <c r="H754" t="inlineStr">
        <is>
          <t>BYPASS</t>
        </is>
      </c>
      <c r="I754" t="inlineStr">
        <is>
          <t>25000KVA</t>
        </is>
      </c>
      <c r="J754" t="inlineStr">
        <is>
          <t>BESSIERE</t>
        </is>
      </c>
      <c r="K754" t="inlineStr">
        <is>
          <t>CUIVRE</t>
        </is>
      </c>
      <c r="L754">
        <f>_xlfn.XLOOKUP(Tableau1[[#This Row],[TYPE DE PIECE]],Tableau4[MATIERE],Tableau4[SHORT TYPE],"",0,1)</f>
        <v/>
      </c>
      <c r="N754">
        <f>IF(ISERR(FIND("DECOUPE",Tableau1[[#This Row],[DESIGNATION]])),"","NEED REF")</f>
        <v/>
      </c>
    </row>
    <row r="755">
      <c r="B755" t="n">
        <v>34413247</v>
      </c>
      <c r="C755" s="2" t="n">
        <v>45624</v>
      </c>
      <c r="D755" t="inlineStr">
        <is>
          <t>SPEC</t>
        </is>
      </c>
      <c r="E75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55" t="inlineStr">
        <is>
          <t>etude bypass</t>
        </is>
      </c>
      <c r="G755" t="inlineStr">
        <is>
          <t>GVXL</t>
        </is>
      </c>
      <c r="H755" t="inlineStr">
        <is>
          <t>BYPASS</t>
        </is>
      </c>
      <c r="I755" t="inlineStr">
        <is>
          <t>25000KVA</t>
        </is>
      </c>
      <c r="J755" t="inlineStr">
        <is>
          <t>BESSIERE</t>
        </is>
      </c>
      <c r="K755" t="inlineStr">
        <is>
          <t>CUIVRE</t>
        </is>
      </c>
      <c r="L755">
        <f>_xlfn.XLOOKUP(Tableau1[[#This Row],[TYPE DE PIECE]],Tableau4[MATIERE],Tableau4[SHORT TYPE],"",0,1)</f>
        <v/>
      </c>
      <c r="N755">
        <f>IF(ISERR(FIND("DECOUPE",Tableau1[[#This Row],[DESIGNATION]])),"","NEED REF")</f>
        <v/>
      </c>
    </row>
    <row r="756">
      <c r="B756" t="n">
        <v>34413246</v>
      </c>
      <c r="C756" s="2" t="n">
        <v>45624</v>
      </c>
      <c r="D756" t="inlineStr">
        <is>
          <t>SPEC</t>
        </is>
      </c>
      <c r="E75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56" t="inlineStr">
        <is>
          <t>etude bypass</t>
        </is>
      </c>
      <c r="G756" t="inlineStr">
        <is>
          <t>GVXL</t>
        </is>
      </c>
      <c r="H756" t="inlineStr">
        <is>
          <t>BYPASS</t>
        </is>
      </c>
      <c r="I756" t="inlineStr">
        <is>
          <t>25000KVA</t>
        </is>
      </c>
      <c r="J756" t="inlineStr">
        <is>
          <t>BESSIERE</t>
        </is>
      </c>
      <c r="K756" t="inlineStr">
        <is>
          <t>CUIVRE</t>
        </is>
      </c>
      <c r="L756">
        <f>_xlfn.XLOOKUP(Tableau1[[#This Row],[TYPE DE PIECE]],Tableau4[MATIERE],Tableau4[SHORT TYPE],"",0,1)</f>
        <v/>
      </c>
      <c r="N756">
        <f>IF(ISERR(FIND("DECOUPE",Tableau1[[#This Row],[DESIGNATION]])),"","NEED REF")</f>
        <v/>
      </c>
    </row>
    <row r="757">
      <c r="B757" t="n">
        <v>34413245</v>
      </c>
      <c r="C757" s="2" t="n">
        <v>45624</v>
      </c>
      <c r="D757" t="inlineStr">
        <is>
          <t>SPEC</t>
        </is>
      </c>
      <c r="E75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57" t="inlineStr">
        <is>
          <t>etude bypass</t>
        </is>
      </c>
      <c r="G757" t="inlineStr">
        <is>
          <t>GVXL</t>
        </is>
      </c>
      <c r="H757" t="inlineStr">
        <is>
          <t>BYPASS</t>
        </is>
      </c>
      <c r="I757" t="inlineStr">
        <is>
          <t>25000KVA</t>
        </is>
      </c>
      <c r="J757" t="inlineStr">
        <is>
          <t>BESSIERE</t>
        </is>
      </c>
      <c r="K757" t="inlineStr">
        <is>
          <t>CUIVRE</t>
        </is>
      </c>
      <c r="L757">
        <f>_xlfn.XLOOKUP(Tableau1[[#This Row],[TYPE DE PIECE]],Tableau4[MATIERE],Tableau4[SHORT TYPE],"",0,1)</f>
        <v/>
      </c>
      <c r="N757">
        <f>IF(ISERR(FIND("DECOUPE",Tableau1[[#This Row],[DESIGNATION]])),"","NEED REF")</f>
        <v/>
      </c>
    </row>
    <row r="758">
      <c r="B758" t="n">
        <v>34413244</v>
      </c>
      <c r="C758" s="2" t="n">
        <v>45624</v>
      </c>
      <c r="D758" t="inlineStr">
        <is>
          <t>SPEC</t>
        </is>
      </c>
      <c r="E75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58" t="inlineStr">
        <is>
          <t>etude bypass</t>
        </is>
      </c>
      <c r="G758" t="inlineStr">
        <is>
          <t>GVXL</t>
        </is>
      </c>
      <c r="H758" t="inlineStr">
        <is>
          <t>BYPASS</t>
        </is>
      </c>
      <c r="I758" t="inlineStr">
        <is>
          <t>25000KVA</t>
        </is>
      </c>
      <c r="J758" t="inlineStr">
        <is>
          <t>BESSIERE</t>
        </is>
      </c>
      <c r="K758" t="inlineStr">
        <is>
          <t>CUIVRE</t>
        </is>
      </c>
      <c r="L758">
        <f>_xlfn.XLOOKUP(Tableau1[[#This Row],[TYPE DE PIECE]],Tableau4[MATIERE],Tableau4[SHORT TYPE],"",0,1)</f>
        <v/>
      </c>
      <c r="N758">
        <f>IF(ISERR(FIND("DECOUPE",Tableau1[[#This Row],[DESIGNATION]])),"","NEED REF")</f>
        <v/>
      </c>
    </row>
    <row r="759">
      <c r="B759" t="n">
        <v>34413243</v>
      </c>
      <c r="C759" s="2" t="n">
        <v>45624</v>
      </c>
      <c r="D759" t="inlineStr">
        <is>
          <t>SPEC</t>
        </is>
      </c>
      <c r="E759" t="inlineStr">
        <is>
          <t>MTZ2 4P H2 4000A RACCORDEMENT ARRIERE</t>
        </is>
      </c>
      <c r="G759" t="inlineStr">
        <is>
          <t>GVXL</t>
        </is>
      </c>
      <c r="H759" t="inlineStr">
        <is>
          <t>BYPASS</t>
        </is>
      </c>
      <c r="I759" t="inlineStr">
        <is>
          <t>25000KVA</t>
        </is>
      </c>
      <c r="J759" t="inlineStr">
        <is>
          <t>BESSIERE</t>
        </is>
      </c>
      <c r="K759" t="inlineStr">
        <is>
          <t>SE</t>
        </is>
      </c>
      <c r="L759">
        <f>_xlfn.XLOOKUP(Tableau1[[#This Row],[TYPE DE PIECE]],Tableau4[MATIERE],Tableau4[SHORT TYPE],"",0,1)</f>
        <v/>
      </c>
      <c r="N759">
        <f>IF(ISERR(FIND("DECOUPE",Tableau1[[#This Row],[DESIGNATION]])),"","NEED REF")</f>
        <v/>
      </c>
    </row>
    <row r="760">
      <c r="B760" t="n">
        <v>34413242</v>
      </c>
      <c r="C760" s="2" t="n">
        <v>45624</v>
      </c>
      <c r="D760" t="inlineStr">
        <is>
          <t>SPEC</t>
        </is>
      </c>
      <c r="E760" t="inlineStr">
        <is>
          <t>MTZ2 4P H2 4000A DO RACCORDEMENT ARRIERE</t>
        </is>
      </c>
      <c r="G760" t="inlineStr">
        <is>
          <t>GVXL</t>
        </is>
      </c>
      <c r="H760" t="inlineStr">
        <is>
          <t>BYPASS</t>
        </is>
      </c>
      <c r="I760" t="inlineStr">
        <is>
          <t>25000KVA</t>
        </is>
      </c>
      <c r="J760" t="inlineStr">
        <is>
          <t>BESSIERE</t>
        </is>
      </c>
      <c r="K760" t="inlineStr">
        <is>
          <t>SE</t>
        </is>
      </c>
      <c r="L760">
        <f>_xlfn.XLOOKUP(Tableau1[[#This Row],[TYPE DE PIECE]],Tableau4[MATIERE],Tableau4[SHORT TYPE],"",0,1)</f>
        <v/>
      </c>
      <c r="N760">
        <f>IF(ISERR(FIND("DECOUPE",Tableau1[[#This Row],[DESIGNATION]])),"","NEED REF")</f>
        <v/>
      </c>
    </row>
    <row r="761">
      <c r="B761" t="n">
        <v>34413241</v>
      </c>
      <c r="C761" s="2" t="n">
        <v>45623</v>
      </c>
      <c r="D761" t="inlineStr">
        <is>
          <t>SPEC</t>
        </is>
      </c>
      <c r="E761" t="inlineStr">
        <is>
          <t>NOM ASSEMBLAGE BYPASS ETO STS 400A 4P TOP</t>
        </is>
      </c>
      <c r="F761" t="inlineStr">
        <is>
          <t>Solution Center</t>
        </is>
      </c>
      <c r="G761" t="inlineStr">
        <is>
          <t>STS</t>
        </is>
      </c>
      <c r="H761" t="inlineStr">
        <is>
          <t>STS ETO</t>
        </is>
      </c>
      <c r="I761" t="inlineStr">
        <is>
          <t>400A</t>
        </is>
      </c>
      <c r="J761" t="inlineStr">
        <is>
          <t>JAWORSKI</t>
        </is>
      </c>
      <c r="K761" t="inlineStr">
        <is>
          <t>NOMENCLATURE</t>
        </is>
      </c>
      <c r="L761">
        <f>_xlfn.XLOOKUP(Tableau1[[#This Row],[TYPE DE PIECE]],Tableau4[MATIERE],Tableau4[SHORT TYPE],"",0,1)</f>
        <v/>
      </c>
      <c r="N761">
        <f>IF(ISERR(FIND("DECOUPE",Tableau1[[#This Row],[DESIGNATION]])),"","NEED REF")</f>
        <v/>
      </c>
    </row>
    <row r="762">
      <c r="B762" t="n">
        <v>34413240</v>
      </c>
      <c r="C762" s="2" t="n">
        <v>45623</v>
      </c>
      <c r="D762" t="inlineStr">
        <is>
          <t>SPEC</t>
        </is>
      </c>
      <c r="E762" t="inlineStr">
        <is>
          <t>NOM ASSEMBLAGE STRUCTURE ETO STS 400A 4P TOP</t>
        </is>
      </c>
      <c r="F762" t="inlineStr">
        <is>
          <t>Solution Center</t>
        </is>
      </c>
      <c r="G762" t="inlineStr">
        <is>
          <t>STS</t>
        </is>
      </c>
      <c r="H762" t="inlineStr">
        <is>
          <t>STS ETO</t>
        </is>
      </c>
      <c r="I762" t="inlineStr">
        <is>
          <t>400A</t>
        </is>
      </c>
      <c r="J762" t="inlineStr">
        <is>
          <t>JAWORSKI</t>
        </is>
      </c>
      <c r="K762" t="inlineStr">
        <is>
          <t>NOMENCLATURE</t>
        </is>
      </c>
      <c r="L762">
        <f>_xlfn.XLOOKUP(Tableau1[[#This Row],[TYPE DE PIECE]],Tableau4[MATIERE],Tableau4[SHORT TYPE],"",0,1)</f>
        <v/>
      </c>
      <c r="N762">
        <f>IF(ISERR(FIND("DECOUPE",Tableau1[[#This Row],[DESIGNATION]])),"","NEED REF")</f>
        <v/>
      </c>
    </row>
    <row r="763">
      <c r="B763" t="n">
        <v>34413239</v>
      </c>
      <c r="C763" s="2" t="n">
        <v>45623</v>
      </c>
      <c r="D763" t="inlineStr">
        <is>
          <t>SPEC</t>
        </is>
      </c>
      <c r="E763" t="inlineStr">
        <is>
          <t>NOM S/E MONTAGE ETO STS 400A 4P TOP</t>
        </is>
      </c>
      <c r="F763" t="inlineStr">
        <is>
          <t>Solution Center</t>
        </is>
      </c>
      <c r="G763" t="inlineStr">
        <is>
          <t>STS</t>
        </is>
      </c>
      <c r="H763" t="inlineStr">
        <is>
          <t>STS ETO</t>
        </is>
      </c>
      <c r="I763" t="inlineStr">
        <is>
          <t>400A</t>
        </is>
      </c>
      <c r="J763" t="inlineStr">
        <is>
          <t>JAWORSKI</t>
        </is>
      </c>
      <c r="K763" t="inlineStr">
        <is>
          <t>NOMENCLATURE</t>
        </is>
      </c>
      <c r="L763">
        <f>_xlfn.XLOOKUP(Tableau1[[#This Row],[TYPE DE PIECE]],Tableau4[MATIERE],Tableau4[SHORT TYPE],"",0,1)</f>
        <v/>
      </c>
      <c r="N763">
        <f>IF(ISERR(FIND("DECOUPE",Tableau1[[#This Row],[DESIGNATION]])),"","NEED REF")</f>
        <v/>
      </c>
    </row>
    <row r="764">
      <c r="B764" t="n">
        <v>34413238</v>
      </c>
      <c r="C764" s="2" t="n">
        <v>45623</v>
      </c>
      <c r="D764" t="inlineStr">
        <is>
          <t>SPEC</t>
        </is>
      </c>
      <c r="E764" t="inlineStr">
        <is>
          <t>SMT PLASTRON CB NSX630 DC 3P GAUCHE</t>
        </is>
      </c>
      <c r="F764" t="inlineStr">
        <is>
          <t>Brittany Ferries Galicia</t>
        </is>
      </c>
      <c r="G764" t="inlineStr">
        <is>
          <t>GVS</t>
        </is>
      </c>
      <c r="H764" t="inlineStr">
        <is>
          <t>BBC</t>
        </is>
      </c>
      <c r="I764" t="inlineStr">
        <is>
          <t>100-150KW</t>
        </is>
      </c>
      <c r="J764" t="inlineStr">
        <is>
          <t>JAWORSKI</t>
        </is>
      </c>
      <c r="K764" t="inlineStr">
        <is>
          <t>METAL</t>
        </is>
      </c>
      <c r="L764">
        <f>_xlfn.XLOOKUP(Tableau1[[#This Row],[TYPE DE PIECE]],Tableau4[MATIERE],Tableau4[SHORT TYPE],"",0,1)</f>
        <v/>
      </c>
      <c r="N764">
        <f>IF(ISERR(FIND("DECOUPE",Tableau1[[#This Row],[DESIGNATION]])),"","NEED REF")</f>
        <v/>
      </c>
    </row>
    <row r="765">
      <c r="B765" t="n">
        <v>34413237</v>
      </c>
      <c r="C765" s="2" t="n">
        <v>45623</v>
      </c>
      <c r="D765" t="inlineStr">
        <is>
          <t>SPEC</t>
        </is>
      </c>
      <c r="E765" t="inlineStr">
        <is>
          <t>SMT FIXATION PLATINE</t>
        </is>
      </c>
      <c r="F765" t="inlineStr">
        <is>
          <t>Brittany Ferries Galicia</t>
        </is>
      </c>
      <c r="G765" t="inlineStr">
        <is>
          <t>GVS</t>
        </is>
      </c>
      <c r="H765" t="inlineStr">
        <is>
          <t>BBC</t>
        </is>
      </c>
      <c r="I765" t="inlineStr">
        <is>
          <t>100-150KW</t>
        </is>
      </c>
      <c r="J765" t="inlineStr">
        <is>
          <t>JAWORSKI</t>
        </is>
      </c>
      <c r="K765" t="inlineStr">
        <is>
          <t>METAL</t>
        </is>
      </c>
      <c r="L765">
        <f>_xlfn.XLOOKUP(Tableau1[[#This Row],[TYPE DE PIECE]],Tableau4[MATIERE],Tableau4[SHORT TYPE],"",0,1)</f>
        <v/>
      </c>
      <c r="N765">
        <f>IF(ISERR(FIND("DECOUPE",Tableau1[[#This Row],[DESIGNATION]])),"","NEED REF")</f>
        <v/>
      </c>
    </row>
    <row r="766">
      <c r="B766" t="n">
        <v>34413236</v>
      </c>
      <c r="C766" s="2" t="n">
        <v>45623</v>
      </c>
      <c r="D766" t="inlineStr">
        <is>
          <t>SPEC</t>
        </is>
      </c>
      <c r="E76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66" t="inlineStr">
        <is>
          <t>GVXL</t>
        </is>
      </c>
      <c r="H766" t="inlineStr">
        <is>
          <t>BYPASS</t>
        </is>
      </c>
      <c r="I766" t="inlineStr">
        <is>
          <t>2500KVA</t>
        </is>
      </c>
      <c r="J766" t="inlineStr">
        <is>
          <t>MATRION</t>
        </is>
      </c>
      <c r="K766" t="inlineStr">
        <is>
          <t>CUIVRE</t>
        </is>
      </c>
      <c r="L766">
        <f>_xlfn.XLOOKUP(Tableau1[[#This Row],[TYPE DE PIECE]],Tableau4[MATIERE],Tableau4[SHORT TYPE],"",0,1)</f>
        <v/>
      </c>
      <c r="N766">
        <f>IF(ISERR(FIND("DECOUPE",Tableau1[[#This Row],[DESIGNATION]])),"","NEED REF")</f>
        <v/>
      </c>
    </row>
    <row r="767">
      <c r="B767" t="n">
        <v>34413235</v>
      </c>
      <c r="C767" s="2" t="n">
        <v>45623</v>
      </c>
      <c r="D767" t="inlineStr">
        <is>
          <t>SPEC</t>
        </is>
      </c>
      <c r="E76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67" t="inlineStr">
        <is>
          <t>GVXL</t>
        </is>
      </c>
      <c r="H767" t="inlineStr">
        <is>
          <t>BYPASS</t>
        </is>
      </c>
      <c r="I767" t="inlineStr">
        <is>
          <t>2500KVA</t>
        </is>
      </c>
      <c r="J767" t="inlineStr">
        <is>
          <t>MATRION</t>
        </is>
      </c>
      <c r="K767" t="inlineStr">
        <is>
          <t>CUIVRE</t>
        </is>
      </c>
      <c r="L767">
        <f>_xlfn.XLOOKUP(Tableau1[[#This Row],[TYPE DE PIECE]],Tableau4[MATIERE],Tableau4[SHORT TYPE],"",0,1)</f>
        <v/>
      </c>
      <c r="N767">
        <f>IF(ISERR(FIND("DECOUPE",Tableau1[[#This Row],[DESIGNATION]])),"","NEED REF")</f>
        <v/>
      </c>
    </row>
    <row r="768">
      <c r="B768" t="n">
        <v>34413234</v>
      </c>
      <c r="C768" s="2" t="n">
        <v>45623</v>
      </c>
      <c r="D768" t="inlineStr">
        <is>
          <t>SPEC</t>
        </is>
      </c>
      <c r="E76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68" t="inlineStr">
        <is>
          <t>GVXL</t>
        </is>
      </c>
      <c r="H768" t="inlineStr">
        <is>
          <t>BYPASS</t>
        </is>
      </c>
      <c r="I768" t="inlineStr">
        <is>
          <t>2500KVA</t>
        </is>
      </c>
      <c r="J768" t="inlineStr">
        <is>
          <t>MATRION</t>
        </is>
      </c>
      <c r="K768" t="inlineStr">
        <is>
          <t>CUIVRE</t>
        </is>
      </c>
      <c r="L768">
        <f>_xlfn.XLOOKUP(Tableau1[[#This Row],[TYPE DE PIECE]],Tableau4[MATIERE],Tableau4[SHORT TYPE],"",0,1)</f>
        <v/>
      </c>
      <c r="N768">
        <f>IF(ISERR(FIND("DECOUPE",Tableau1[[#This Row],[DESIGNATION]])),"","NEED REF")</f>
        <v/>
      </c>
    </row>
    <row r="769">
      <c r="B769" t="n">
        <v>34413233</v>
      </c>
      <c r="C769" s="2" t="n">
        <v>45623</v>
      </c>
      <c r="D769" t="inlineStr">
        <is>
          <t>SPEC</t>
        </is>
      </c>
      <c r="E76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69" t="inlineStr">
        <is>
          <t>GVXL</t>
        </is>
      </c>
      <c r="H769" t="inlineStr">
        <is>
          <t>BYPASS</t>
        </is>
      </c>
      <c r="I769" t="inlineStr">
        <is>
          <t>2500KVA</t>
        </is>
      </c>
      <c r="J769" t="inlineStr">
        <is>
          <t>MATRION</t>
        </is>
      </c>
      <c r="K769" t="inlineStr">
        <is>
          <t>CUIVRE</t>
        </is>
      </c>
      <c r="L769">
        <f>_xlfn.XLOOKUP(Tableau1[[#This Row],[TYPE DE PIECE]],Tableau4[MATIERE],Tableau4[SHORT TYPE],"",0,1)</f>
        <v/>
      </c>
      <c r="N769">
        <f>IF(ISERR(FIND("DECOUPE",Tableau1[[#This Row],[DESIGNATION]])),"","NEED REF")</f>
        <v/>
      </c>
    </row>
    <row r="770">
      <c r="B770" t="n">
        <v>34413232</v>
      </c>
      <c r="C770" s="2" t="n">
        <v>45623</v>
      </c>
      <c r="D770" t="inlineStr">
        <is>
          <t>SPEC</t>
        </is>
      </c>
      <c r="E77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70" t="inlineStr">
        <is>
          <t>GVXL</t>
        </is>
      </c>
      <c r="H770" t="inlineStr">
        <is>
          <t>BYPASS</t>
        </is>
      </c>
      <c r="I770" t="inlineStr">
        <is>
          <t>2500KVA</t>
        </is>
      </c>
      <c r="J770" t="inlineStr">
        <is>
          <t>MATRION</t>
        </is>
      </c>
      <c r="K770" t="inlineStr">
        <is>
          <t>CUIVRE</t>
        </is>
      </c>
      <c r="L770">
        <f>_xlfn.XLOOKUP(Tableau1[[#This Row],[TYPE DE PIECE]],Tableau4[MATIERE],Tableau4[SHORT TYPE],"",0,1)</f>
        <v/>
      </c>
      <c r="N770">
        <f>IF(ISERR(FIND("DECOUPE",Tableau1[[#This Row],[DESIGNATION]])),"","NEED REF")</f>
        <v/>
      </c>
    </row>
    <row r="771">
      <c r="B771" t="n">
        <v>34413231</v>
      </c>
      <c r="C771" s="2" t="n">
        <v>45623</v>
      </c>
      <c r="D771" t="inlineStr">
        <is>
          <t>SPEC</t>
        </is>
      </c>
      <c r="E77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71" t="inlineStr">
        <is>
          <t>GVXL</t>
        </is>
      </c>
      <c r="H771" t="inlineStr">
        <is>
          <t>BYPASS</t>
        </is>
      </c>
      <c r="I771" t="inlineStr">
        <is>
          <t>2500KVA</t>
        </is>
      </c>
      <c r="J771" t="inlineStr">
        <is>
          <t>MATRION</t>
        </is>
      </c>
      <c r="K771" t="inlineStr">
        <is>
          <t>CUIVRE</t>
        </is>
      </c>
      <c r="L771">
        <f>_xlfn.XLOOKUP(Tableau1[[#This Row],[TYPE DE PIECE]],Tableau4[MATIERE],Tableau4[SHORT TYPE],"",0,1)</f>
        <v/>
      </c>
      <c r="N771">
        <f>IF(ISERR(FIND("DECOUPE",Tableau1[[#This Row],[DESIGNATION]])),"","NEED REF")</f>
        <v/>
      </c>
    </row>
    <row r="772">
      <c r="B772" t="n">
        <v>34413230</v>
      </c>
      <c r="C772" s="2" t="n">
        <v>45623</v>
      </c>
      <c r="D772" t="inlineStr">
        <is>
          <t>SPEC</t>
        </is>
      </c>
      <c r="E77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72" t="inlineStr">
        <is>
          <t>GVXL</t>
        </is>
      </c>
      <c r="H772" t="inlineStr">
        <is>
          <t>BYPASS</t>
        </is>
      </c>
      <c r="I772" t="inlineStr">
        <is>
          <t>2500KVA</t>
        </is>
      </c>
      <c r="J772" t="inlineStr">
        <is>
          <t>MATRION</t>
        </is>
      </c>
      <c r="K772" t="inlineStr">
        <is>
          <t>CUIVRE</t>
        </is>
      </c>
      <c r="L772">
        <f>_xlfn.XLOOKUP(Tableau1[[#This Row],[TYPE DE PIECE]],Tableau4[MATIERE],Tableau4[SHORT TYPE],"",0,1)</f>
        <v/>
      </c>
      <c r="N772">
        <f>IF(ISERR(FIND("DECOUPE",Tableau1[[#This Row],[DESIGNATION]])),"","NEED REF")</f>
        <v/>
      </c>
    </row>
    <row r="773">
      <c r="B773" t="n">
        <v>34413229</v>
      </c>
      <c r="C773" s="2" t="n">
        <v>45623</v>
      </c>
      <c r="D773" t="inlineStr">
        <is>
          <t>SPEC</t>
        </is>
      </c>
      <c r="E77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773" t="inlineStr">
        <is>
          <t>GVXL</t>
        </is>
      </c>
      <c r="H773" t="inlineStr">
        <is>
          <t>BYPASS</t>
        </is>
      </c>
      <c r="I773" t="inlineStr">
        <is>
          <t>2500KVA</t>
        </is>
      </c>
      <c r="J773" t="inlineStr">
        <is>
          <t>MATRION</t>
        </is>
      </c>
      <c r="K773" t="inlineStr">
        <is>
          <t>CUIVRE</t>
        </is>
      </c>
      <c r="L773">
        <f>_xlfn.XLOOKUP(Tableau1[[#This Row],[TYPE DE PIECE]],Tableau4[MATIERE],Tableau4[SHORT TYPE],"",0,1)</f>
        <v/>
      </c>
      <c r="N773">
        <f>IF(ISERR(FIND("DECOUPE",Tableau1[[#This Row],[DESIGNATION]])),"","NEED REF")</f>
        <v/>
      </c>
    </row>
    <row r="774">
      <c r="B774" t="n">
        <v>34413228</v>
      </c>
      <c r="C774" s="2" t="n">
        <v>45623</v>
      </c>
      <c r="D774" t="inlineStr">
        <is>
          <t>SPEC</t>
        </is>
      </c>
      <c r="E774" t="inlineStr">
        <is>
          <t>COP PLAGE DC 1250KVA</t>
        </is>
      </c>
      <c r="F774" t="inlineStr">
        <is>
          <t>QABA69374</t>
        </is>
      </c>
      <c r="G774" t="inlineStr">
        <is>
          <t>GVXL</t>
        </is>
      </c>
      <c r="I774" t="inlineStr">
        <is>
          <t>1250KVA</t>
        </is>
      </c>
      <c r="J774" t="inlineStr">
        <is>
          <t>BERNARDEAU</t>
        </is>
      </c>
      <c r="K774" t="inlineStr">
        <is>
          <t>CUIVRE</t>
        </is>
      </c>
      <c r="L774">
        <f>_xlfn.XLOOKUP(Tableau1[[#This Row],[TYPE DE PIECE]],Tableau4[MATIERE],Tableau4[SHORT TYPE],"",0,1)</f>
        <v/>
      </c>
      <c r="N774">
        <f>IF(ISERR(FIND("DECOUPE",Tableau1[[#This Row],[DESIGNATION]])),"","NEED REF")</f>
        <v/>
      </c>
    </row>
    <row r="775">
      <c r="B775" t="n">
        <v>34413227</v>
      </c>
      <c r="C775" s="2" t="n">
        <v>45623</v>
      </c>
      <c r="D775" t="inlineStr">
        <is>
          <t>SPEC</t>
        </is>
      </c>
      <c r="E775" t="inlineStr">
        <is>
          <t>COP PLAGE DC 1250KVA</t>
        </is>
      </c>
      <c r="F775" t="inlineStr">
        <is>
          <t>QABA69374</t>
        </is>
      </c>
      <c r="G775" t="inlineStr">
        <is>
          <t>GVXL</t>
        </is>
      </c>
      <c r="I775" t="inlineStr">
        <is>
          <t>1250KVA</t>
        </is>
      </c>
      <c r="J775" t="inlineStr">
        <is>
          <t>BERNARDEAU</t>
        </is>
      </c>
      <c r="K775" t="inlineStr">
        <is>
          <t>CUIVRE</t>
        </is>
      </c>
      <c r="L775">
        <f>_xlfn.XLOOKUP(Tableau1[[#This Row],[TYPE DE PIECE]],Tableau4[MATIERE],Tableau4[SHORT TYPE],"",0,1)</f>
        <v/>
      </c>
      <c r="N775">
        <f>IF(ISERR(FIND("DECOUPE",Tableau1[[#This Row],[DESIGNATION]])),"","NEED REF")</f>
        <v/>
      </c>
    </row>
    <row r="776">
      <c r="B776" t="n">
        <v>34413226</v>
      </c>
      <c r="C776" s="2" t="n">
        <v>45622</v>
      </c>
      <c r="D776" t="inlineStr">
        <is>
          <t>SPEC</t>
        </is>
      </c>
      <c r="E776" t="inlineStr">
        <is>
          <t>DECOUPE PERCAGE PORTE</t>
        </is>
      </c>
      <c r="H776" t="inlineStr">
        <is>
          <t>REGEN</t>
        </is>
      </c>
      <c r="I776" t="inlineStr">
        <is>
          <t>250a</t>
        </is>
      </c>
      <c r="J776" t="inlineStr">
        <is>
          <t>BERNARDEAU</t>
        </is>
      </c>
      <c r="K776" t="inlineStr">
        <is>
          <t>DECOUPE</t>
        </is>
      </c>
      <c r="L776">
        <f>_xlfn.XLOOKUP(Tableau1[[#This Row],[TYPE DE PIECE]],Tableau4[MATIERE],Tableau4[SHORT TYPE],"",0,1)</f>
        <v/>
      </c>
      <c r="N776" t="n">
        <v>34410004</v>
      </c>
    </row>
    <row r="777">
      <c r="B777" t="n">
        <v>34413225</v>
      </c>
      <c r="C777" s="2" t="n">
        <v>45622</v>
      </c>
      <c r="D777" t="inlineStr">
        <is>
          <t>SPEC</t>
        </is>
      </c>
      <c r="E777" t="inlineStr">
        <is>
          <t>SMT PLATINE DE FOND REGENBOX 250</t>
        </is>
      </c>
      <c r="F777" t="inlineStr">
        <is>
          <t>QGSE86644</t>
        </is>
      </c>
      <c r="H777" t="inlineStr">
        <is>
          <t>REGEN</t>
        </is>
      </c>
      <c r="I777" t="inlineStr">
        <is>
          <t>250A</t>
        </is>
      </c>
      <c r="J777" t="inlineStr">
        <is>
          <t>BERNARDEAU</t>
        </is>
      </c>
      <c r="K777" t="inlineStr">
        <is>
          <t>METAL</t>
        </is>
      </c>
      <c r="L777">
        <f>_xlfn.XLOOKUP(Tableau1[[#This Row],[TYPE DE PIECE]],Tableau4[MATIERE],Tableau4[SHORT TYPE],"",0,1)</f>
        <v/>
      </c>
      <c r="N777">
        <f>IF(ISERR(FIND("DECOUPE",Tableau1[[#This Row],[DESIGNATION]])),"","NEED REF")</f>
        <v/>
      </c>
    </row>
    <row r="778">
      <c r="B778" t="n">
        <v>34413224</v>
      </c>
      <c r="C778" s="2" t="n">
        <v>45621</v>
      </c>
      <c r="D778" t="inlineStr">
        <is>
          <t>SPEC</t>
        </is>
      </c>
      <c r="E778" t="inlineStr">
        <is>
          <t>COP PLAGE PONTAGE BATT4</t>
        </is>
      </c>
      <c r="F778" t="inlineStr">
        <is>
          <t>QJPR90823</t>
        </is>
      </c>
      <c r="G778" t="inlineStr">
        <is>
          <t>GVX</t>
        </is>
      </c>
      <c r="H778" t="inlineStr">
        <is>
          <t>UPS</t>
        </is>
      </c>
      <c r="I778" t="inlineStr">
        <is>
          <t>1500kVA</t>
        </is>
      </c>
      <c r="J778" t="inlineStr">
        <is>
          <t>MATRION</t>
        </is>
      </c>
      <c r="K778" t="inlineStr">
        <is>
          <t>CUIVRE</t>
        </is>
      </c>
      <c r="L778">
        <f>_xlfn.XLOOKUP(Tableau1[[#This Row],[TYPE DE PIECE]],Tableau4[MATIERE],Tableau4[SHORT TYPE],"",0,1)</f>
        <v/>
      </c>
      <c r="N778">
        <f>IF(ISERR(FIND("DECOUPE",Tableau1[[#This Row],[DESIGNATION]])),"","NEED REF")</f>
        <v/>
      </c>
    </row>
    <row r="779">
      <c r="B779" t="n">
        <v>34413223</v>
      </c>
      <c r="C779" s="2" t="n">
        <v>45621</v>
      </c>
      <c r="D779" t="inlineStr">
        <is>
          <t>SPEC</t>
        </is>
      </c>
      <c r="E779" t="inlineStr">
        <is>
          <t>COP PLAGE PONTAGE BATT3</t>
        </is>
      </c>
      <c r="F779" t="inlineStr">
        <is>
          <t>QJPR90823</t>
        </is>
      </c>
      <c r="G779" t="inlineStr">
        <is>
          <t>GVX</t>
        </is>
      </c>
      <c r="H779" t="inlineStr">
        <is>
          <t>UPS</t>
        </is>
      </c>
      <c r="I779" t="inlineStr">
        <is>
          <t>1500kVA</t>
        </is>
      </c>
      <c r="J779" t="inlineStr">
        <is>
          <t>MATRION</t>
        </is>
      </c>
      <c r="K779" t="inlineStr">
        <is>
          <t>CUIVRE</t>
        </is>
      </c>
      <c r="L779">
        <f>_xlfn.XLOOKUP(Tableau1[[#This Row],[TYPE DE PIECE]],Tableau4[MATIERE],Tableau4[SHORT TYPE],"",0,1)</f>
        <v/>
      </c>
      <c r="N779">
        <f>IF(ISERR(FIND("DECOUPE",Tableau1[[#This Row],[DESIGNATION]])),"","NEED REF")</f>
        <v/>
      </c>
    </row>
    <row r="780">
      <c r="B780" t="n">
        <v>34413222</v>
      </c>
      <c r="C780" s="2" t="n">
        <v>45618</v>
      </c>
      <c r="D780" t="inlineStr">
        <is>
          <t>SPEC</t>
        </is>
      </c>
      <c r="E780" t="inlineStr">
        <is>
          <t>ASSY IP20 PROTECTION - STS 1250A TOP</t>
        </is>
      </c>
      <c r="F780" t="inlineStr">
        <is>
          <t>QPROJET</t>
        </is>
      </c>
      <c r="G780" t="inlineStr">
        <is>
          <t>STS</t>
        </is>
      </c>
      <c r="H780" t="inlineStr">
        <is>
          <t>STS ETO</t>
        </is>
      </c>
      <c r="I780" t="inlineStr">
        <is>
          <t>1250A</t>
        </is>
      </c>
      <c r="J780" t="inlineStr">
        <is>
          <t>JAWORSKI</t>
        </is>
      </c>
      <c r="L780">
        <f>_xlfn.XLOOKUP(Tableau1[[#This Row],[TYPE DE PIECE]],Tableau4[MATIERE],Tableau4[SHORT TYPE],"",0,1)</f>
        <v/>
      </c>
      <c r="N780">
        <f>IF(ISERR(FIND("DECOUPE",Tableau1[[#This Row],[DESIGNATION]])),"","NEED REF")</f>
        <v/>
      </c>
    </row>
    <row r="781">
      <c r="B781" t="n">
        <v>34413221</v>
      </c>
      <c r="C781" s="2" t="n">
        <v>45618</v>
      </c>
      <c r="D781" t="inlineStr">
        <is>
          <t>SPEC</t>
        </is>
      </c>
      <c r="E781" t="inlineStr">
        <is>
          <t>ASSY STS 1250A 3P TOP CENTRE</t>
        </is>
      </c>
      <c r="F781" t="inlineStr">
        <is>
          <t>QPROJET</t>
        </is>
      </c>
      <c r="G781" t="inlineStr">
        <is>
          <t>STS</t>
        </is>
      </c>
      <c r="H781" t="inlineStr">
        <is>
          <t>STS ETO</t>
        </is>
      </c>
      <c r="I781" t="inlineStr">
        <is>
          <t>1250A</t>
        </is>
      </c>
      <c r="J781" t="inlineStr">
        <is>
          <t>JAWORSKI</t>
        </is>
      </c>
      <c r="L781">
        <f>_xlfn.XLOOKUP(Tableau1[[#This Row],[TYPE DE PIECE]],Tableau4[MATIERE],Tableau4[SHORT TYPE],"",0,1)</f>
        <v/>
      </c>
      <c r="N781">
        <f>IF(ISERR(FIND("DECOUPE",Tableau1[[#This Row],[DESIGNATION]])),"","NEED REF")</f>
        <v/>
      </c>
    </row>
    <row r="782">
      <c r="B782" t="n">
        <v>34413220</v>
      </c>
      <c r="C782" s="2" t="n">
        <v>45618</v>
      </c>
      <c r="D782" t="inlineStr">
        <is>
          <t>SPEC</t>
        </is>
      </c>
      <c r="E782" t="inlineStr">
        <is>
          <t>SMT SUPPORT OPTION COM</t>
        </is>
      </c>
      <c r="F782" t="inlineStr">
        <is>
          <t>QPROJET</t>
        </is>
      </c>
      <c r="G782" t="inlineStr">
        <is>
          <t>STS</t>
        </is>
      </c>
      <c r="H782" t="inlineStr">
        <is>
          <t>STS ETO</t>
        </is>
      </c>
      <c r="I782" t="inlineStr">
        <is>
          <t>1250A</t>
        </is>
      </c>
      <c r="J782" t="inlineStr">
        <is>
          <t>JAWORSKI</t>
        </is>
      </c>
      <c r="K782" t="inlineStr">
        <is>
          <t>METAL</t>
        </is>
      </c>
      <c r="L782">
        <f>_xlfn.XLOOKUP(Tableau1[[#This Row],[TYPE DE PIECE]],Tableau4[MATIERE],Tableau4[SHORT TYPE],"",0,1)</f>
        <v/>
      </c>
      <c r="N782">
        <f>IF(ISERR(FIND("DECOUPE",Tableau1[[#This Row],[DESIGNATION]])),"","NEED REF")</f>
        <v/>
      </c>
    </row>
    <row r="783">
      <c r="B783" t="n">
        <v>34413219</v>
      </c>
      <c r="C783" s="2" t="n">
        <v>45618</v>
      </c>
      <c r="D783" t="inlineStr">
        <is>
          <t>SPEC</t>
        </is>
      </c>
      <c r="E78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83" t="inlineStr">
        <is>
          <t>QPROJET_QSMA11471</t>
        </is>
      </c>
      <c r="J783" t="inlineStr">
        <is>
          <t>BESSIERE</t>
        </is>
      </c>
      <c r="L783">
        <f>_xlfn.XLOOKUP(Tableau1[[#This Row],[TYPE DE PIECE]],Tableau4[MATIERE],Tableau4[SHORT TYPE],"",0,1)</f>
        <v/>
      </c>
      <c r="N783">
        <f>IF(ISERR(FIND("DECOUPE",Tableau1[[#This Row],[DESIGNATION]])),"","NEED REF")</f>
        <v/>
      </c>
    </row>
    <row r="784">
      <c r="B784" t="n">
        <v>34413218</v>
      </c>
      <c r="C784" s="2" t="n">
        <v>45618</v>
      </c>
      <c r="D784" t="inlineStr">
        <is>
          <t>SPEC</t>
        </is>
      </c>
      <c r="E78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84" t="inlineStr">
        <is>
          <t>QPROJET_QSMA11472</t>
        </is>
      </c>
      <c r="J784" t="inlineStr">
        <is>
          <t>BESSIERE</t>
        </is>
      </c>
      <c r="L784">
        <f>_xlfn.XLOOKUP(Tableau1[[#This Row],[TYPE DE PIECE]],Tableau4[MATIERE],Tableau4[SHORT TYPE],"",0,1)</f>
        <v/>
      </c>
      <c r="N784">
        <f>IF(ISERR(FIND("DECOUPE",Tableau1[[#This Row],[DESIGNATION]])),"","NEED REF")</f>
        <v/>
      </c>
    </row>
    <row r="785">
      <c r="B785" t="n">
        <v>34413217</v>
      </c>
      <c r="C785" s="2" t="n">
        <v>45618</v>
      </c>
      <c r="D785" t="inlineStr">
        <is>
          <t>SPEC</t>
        </is>
      </c>
      <c r="E78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85" t="inlineStr">
        <is>
          <t>QPROJET_QSMA11473</t>
        </is>
      </c>
      <c r="J785" t="inlineStr">
        <is>
          <t>BESSIERE</t>
        </is>
      </c>
      <c r="L785">
        <f>_xlfn.XLOOKUP(Tableau1[[#This Row],[TYPE DE PIECE]],Tableau4[MATIERE],Tableau4[SHORT TYPE],"",0,1)</f>
        <v/>
      </c>
      <c r="N785">
        <f>IF(ISERR(FIND("DECOUPE",Tableau1[[#This Row],[DESIGNATION]])),"","NEED REF")</f>
        <v/>
      </c>
    </row>
    <row r="786">
      <c r="B786" t="n">
        <v>34413216</v>
      </c>
      <c r="C786" s="2" t="n">
        <v>45618</v>
      </c>
      <c r="D786" t="inlineStr">
        <is>
          <t>SPEC</t>
        </is>
      </c>
      <c r="E78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86" t="inlineStr">
        <is>
          <t>QPROJET_QSMA11474</t>
        </is>
      </c>
      <c r="G786" t="inlineStr">
        <is>
          <t>STS</t>
        </is>
      </c>
      <c r="H786" t="inlineStr">
        <is>
          <t>ETO</t>
        </is>
      </c>
      <c r="I786" t="inlineStr">
        <is>
          <t>630A</t>
        </is>
      </c>
      <c r="J786" t="inlineStr">
        <is>
          <t>BESSIERE</t>
        </is>
      </c>
      <c r="K786" t="inlineStr">
        <is>
          <t>METAL</t>
        </is>
      </c>
      <c r="L786">
        <f>_xlfn.XLOOKUP(Tableau1[[#This Row],[TYPE DE PIECE]],Tableau4[MATIERE],Tableau4[SHORT TYPE],"",0,1)</f>
        <v/>
      </c>
      <c r="N786">
        <f>IF(ISERR(FIND("DECOUPE",Tableau1[[#This Row],[DESIGNATION]])),"","NEED REF")</f>
        <v/>
      </c>
    </row>
    <row r="787">
      <c r="B787" t="n">
        <v>34413215</v>
      </c>
      <c r="C787" s="2" t="n">
        <v>45618</v>
      </c>
      <c r="D787" t="inlineStr">
        <is>
          <t>SPEC</t>
        </is>
      </c>
      <c r="E78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87" t="inlineStr">
        <is>
          <t>QPROJET_QSMA11475</t>
        </is>
      </c>
      <c r="G787" t="inlineStr">
        <is>
          <t>STS</t>
        </is>
      </c>
      <c r="H787" t="inlineStr">
        <is>
          <t>ETO</t>
        </is>
      </c>
      <c r="I787" t="inlineStr">
        <is>
          <t>630A</t>
        </is>
      </c>
      <c r="J787" t="inlineStr">
        <is>
          <t>BESSIERE</t>
        </is>
      </c>
      <c r="K787" t="inlineStr">
        <is>
          <t>CUIVRE</t>
        </is>
      </c>
      <c r="L787">
        <f>_xlfn.XLOOKUP(Tableau1[[#This Row],[TYPE DE PIECE]],Tableau4[MATIERE],Tableau4[SHORT TYPE],"",0,1)</f>
        <v/>
      </c>
      <c r="N787">
        <f>IF(ISERR(FIND("DECOUPE",Tableau1[[#This Row],[DESIGNATION]])),"","NEED REF")</f>
        <v/>
      </c>
    </row>
    <row r="788">
      <c r="B788" t="n">
        <v>34413214</v>
      </c>
      <c r="C788" s="2" t="n">
        <v>45618</v>
      </c>
      <c r="D788" t="inlineStr">
        <is>
          <t>SPEC</t>
        </is>
      </c>
      <c r="E788" t="inlineStr">
        <is>
          <t>COP 34413214 GVXL 1250KVA INPUT PE BAR</t>
        </is>
      </c>
      <c r="F788" t="inlineStr">
        <is>
          <t>QASH01250</t>
        </is>
      </c>
      <c r="G788" t="inlineStr">
        <is>
          <t>GVXL</t>
        </is>
      </c>
      <c r="H788" t="inlineStr">
        <is>
          <t>BYPASS</t>
        </is>
      </c>
      <c r="I788" t="inlineStr">
        <is>
          <t>1250KVA</t>
        </is>
      </c>
      <c r="J788" t="inlineStr">
        <is>
          <t>BESSIERE</t>
        </is>
      </c>
      <c r="K788" t="inlineStr">
        <is>
          <t>Cuivre</t>
        </is>
      </c>
      <c r="L788">
        <f>_xlfn.XLOOKUP(Tableau1[[#This Row],[TYPE DE PIECE]],Tableau4[MATIERE],Tableau4[SHORT TYPE],"",0,1)</f>
        <v/>
      </c>
      <c r="N788">
        <f>IF(ISERR(FIND("DECOUPE",Tableau1[[#This Row],[DESIGNATION]])),"","NEED REF")</f>
        <v/>
      </c>
    </row>
    <row r="789">
      <c r="B789" t="n">
        <v>34413213</v>
      </c>
      <c r="C789" s="2" t="n">
        <v>45618</v>
      </c>
      <c r="D789" t="inlineStr">
        <is>
          <t>SPEC</t>
        </is>
      </c>
      <c r="E789" t="inlineStr">
        <is>
          <t>COP BUSBAR COROPLAST Q2-L3 4/600A 4 POLES</t>
        </is>
      </c>
      <c r="F789" t="inlineStr">
        <is>
          <t>QPROJET_QSMA11477</t>
        </is>
      </c>
      <c r="G789" t="inlineStr">
        <is>
          <t>STS</t>
        </is>
      </c>
      <c r="H789" t="inlineStr">
        <is>
          <t>ETO</t>
        </is>
      </c>
      <c r="I789" t="inlineStr">
        <is>
          <t>630A</t>
        </is>
      </c>
      <c r="J789" t="inlineStr">
        <is>
          <t>BESSIERE</t>
        </is>
      </c>
      <c r="K789" t="inlineStr">
        <is>
          <t>CUIVRE</t>
        </is>
      </c>
      <c r="L789">
        <f>_xlfn.XLOOKUP(Tableau1[[#This Row],[TYPE DE PIECE]],Tableau4[MATIERE],Tableau4[SHORT TYPE],"",0,1)</f>
        <v/>
      </c>
      <c r="N789">
        <f>IF(ISERR(FIND("DECOUPE",Tableau1[[#This Row],[DESIGNATION]])),"","NEED REF")</f>
        <v/>
      </c>
    </row>
    <row r="790">
      <c r="B790" t="n">
        <v>34413212</v>
      </c>
      <c r="C790" s="2" t="n">
        <v>45618</v>
      </c>
      <c r="D790" t="inlineStr">
        <is>
          <t>SPEC</t>
        </is>
      </c>
      <c r="E790" t="inlineStr">
        <is>
          <t>COP BUSBAR COROPLAST Q2-L2 4/600A 4 POLES</t>
        </is>
      </c>
      <c r="F790" t="inlineStr">
        <is>
          <t>QPROJET_QSMA11478</t>
        </is>
      </c>
      <c r="G790" t="inlineStr">
        <is>
          <t>STS</t>
        </is>
      </c>
      <c r="H790" t="inlineStr">
        <is>
          <t>ETO</t>
        </is>
      </c>
      <c r="I790" t="inlineStr">
        <is>
          <t>630A</t>
        </is>
      </c>
      <c r="J790" t="inlineStr">
        <is>
          <t>BESSIERE</t>
        </is>
      </c>
      <c r="K790" t="inlineStr">
        <is>
          <t>CUIVRE</t>
        </is>
      </c>
      <c r="L790">
        <f>_xlfn.XLOOKUP(Tableau1[[#This Row],[TYPE DE PIECE]],Tableau4[MATIERE],Tableau4[SHORT TYPE],"",0,1)</f>
        <v/>
      </c>
      <c r="N790">
        <f>IF(ISERR(FIND("DECOUPE",Tableau1[[#This Row],[DESIGNATION]])),"","NEED REF")</f>
        <v/>
      </c>
    </row>
    <row r="791">
      <c r="B791" t="n">
        <v>34413211</v>
      </c>
      <c r="C791" s="2" t="n">
        <v>45618</v>
      </c>
      <c r="D791" t="inlineStr">
        <is>
          <t>SPEC</t>
        </is>
      </c>
      <c r="E791" t="inlineStr">
        <is>
          <t>COP BUSBAR COROPLAST Q2-L1 4/600A 4 POLES</t>
        </is>
      </c>
      <c r="F791" t="inlineStr">
        <is>
          <t>QPROJET_QSMA11479</t>
        </is>
      </c>
      <c r="G791" t="inlineStr">
        <is>
          <t>STS</t>
        </is>
      </c>
      <c r="H791" t="inlineStr">
        <is>
          <t>ETO</t>
        </is>
      </c>
      <c r="I791" t="inlineStr">
        <is>
          <t>630A</t>
        </is>
      </c>
      <c r="J791" t="inlineStr">
        <is>
          <t>BESSIERE</t>
        </is>
      </c>
      <c r="K791" t="inlineStr">
        <is>
          <t>CUIVRE</t>
        </is>
      </c>
      <c r="L791">
        <f>_xlfn.XLOOKUP(Tableau1[[#This Row],[TYPE DE PIECE]],Tableau4[MATIERE],Tableau4[SHORT TYPE],"",0,1)</f>
        <v/>
      </c>
      <c r="N791">
        <f>IF(ISERR(FIND("DECOUPE",Tableau1[[#This Row],[DESIGNATION]])),"","NEED REF")</f>
        <v/>
      </c>
    </row>
    <row r="792">
      <c r="B792" t="n">
        <v>34413210</v>
      </c>
      <c r="C792" s="2" t="n">
        <v>45618</v>
      </c>
      <c r="D792" t="inlineStr">
        <is>
          <t>SPEC</t>
        </is>
      </c>
      <c r="E792" t="inlineStr">
        <is>
          <t>COP BUSBAR COROPLAST KM2 4/600A 4 POLES</t>
        </is>
      </c>
      <c r="F792" t="inlineStr">
        <is>
          <t>QPROJET_QSMA11480</t>
        </is>
      </c>
      <c r="G792" t="inlineStr">
        <is>
          <t>STS</t>
        </is>
      </c>
      <c r="H792" t="inlineStr">
        <is>
          <t>ETO</t>
        </is>
      </c>
      <c r="I792" t="inlineStr">
        <is>
          <t>630A</t>
        </is>
      </c>
      <c r="J792" t="inlineStr">
        <is>
          <t>BESSIERE</t>
        </is>
      </c>
      <c r="K792" t="inlineStr">
        <is>
          <t>CUIVRE</t>
        </is>
      </c>
      <c r="L792">
        <f>_xlfn.XLOOKUP(Tableau1[[#This Row],[TYPE DE PIECE]],Tableau4[MATIERE],Tableau4[SHORT TYPE],"",0,1)</f>
        <v/>
      </c>
      <c r="N792">
        <f>IF(ISERR(FIND("DECOUPE",Tableau1[[#This Row],[DESIGNATION]])),"","NEED REF")</f>
        <v/>
      </c>
    </row>
    <row r="793">
      <c r="B793" t="n">
        <v>34413209</v>
      </c>
      <c r="C793" s="2" t="n">
        <v>45618</v>
      </c>
      <c r="D793" t="inlineStr">
        <is>
          <t>SPEC</t>
        </is>
      </c>
      <c r="E793" t="inlineStr">
        <is>
          <t>COP BUSBAR COROPLAST Q1-L3 4/600A 4 POLES</t>
        </is>
      </c>
      <c r="F793" t="inlineStr">
        <is>
          <t>QPROJET_QSMA11481</t>
        </is>
      </c>
      <c r="G793" t="inlineStr">
        <is>
          <t>STS</t>
        </is>
      </c>
      <c r="H793" t="inlineStr">
        <is>
          <t>ETO</t>
        </is>
      </c>
      <c r="I793" t="inlineStr">
        <is>
          <t>630A</t>
        </is>
      </c>
      <c r="J793" t="inlineStr">
        <is>
          <t>BESSIERE</t>
        </is>
      </c>
      <c r="K793" t="inlineStr">
        <is>
          <t>CUIVRE</t>
        </is>
      </c>
      <c r="L793">
        <f>_xlfn.XLOOKUP(Tableau1[[#This Row],[TYPE DE PIECE]],Tableau4[MATIERE],Tableau4[SHORT TYPE],"",0,1)</f>
        <v/>
      </c>
      <c r="N793">
        <f>IF(ISERR(FIND("DECOUPE",Tableau1[[#This Row],[DESIGNATION]])),"","NEED REF")</f>
        <v/>
      </c>
    </row>
    <row r="794">
      <c r="B794" t="n">
        <v>34413208</v>
      </c>
      <c r="C794" s="2" t="n">
        <v>45618</v>
      </c>
      <c r="D794" t="inlineStr">
        <is>
          <t>SPEC</t>
        </is>
      </c>
      <c r="E794" t="inlineStr">
        <is>
          <t>COP BUSBAR COROPLAST Q1-L2 4/600A 4 POLES</t>
        </is>
      </c>
      <c r="F794" t="inlineStr">
        <is>
          <t>QPROJET_QSMA11482</t>
        </is>
      </c>
      <c r="G794" t="inlineStr">
        <is>
          <t>STS</t>
        </is>
      </c>
      <c r="H794" t="inlineStr">
        <is>
          <t>ETO</t>
        </is>
      </c>
      <c r="I794" t="inlineStr">
        <is>
          <t>630A</t>
        </is>
      </c>
      <c r="J794" t="inlineStr">
        <is>
          <t>BESSIERE</t>
        </is>
      </c>
      <c r="K794" t="inlineStr">
        <is>
          <t>CUIVRE</t>
        </is>
      </c>
      <c r="L794">
        <f>_xlfn.XLOOKUP(Tableau1[[#This Row],[TYPE DE PIECE]],Tableau4[MATIERE],Tableau4[SHORT TYPE],"",0,1)</f>
        <v/>
      </c>
      <c r="N794">
        <f>IF(ISERR(FIND("DECOUPE",Tableau1[[#This Row],[DESIGNATION]])),"","NEED REF")</f>
        <v/>
      </c>
    </row>
    <row r="795">
      <c r="B795" t="n">
        <v>34413207</v>
      </c>
      <c r="C795" s="2" t="n">
        <v>45618</v>
      </c>
      <c r="D795" t="inlineStr">
        <is>
          <t>SPEC</t>
        </is>
      </c>
      <c r="E795" t="inlineStr">
        <is>
          <t>COP BUSBAR COROPLAST Q1-L1 4/600A 4 POLES</t>
        </is>
      </c>
      <c r="F795" t="inlineStr">
        <is>
          <t>QPROJET_QSMA11483</t>
        </is>
      </c>
      <c r="G795" t="inlineStr">
        <is>
          <t>STS</t>
        </is>
      </c>
      <c r="H795" t="inlineStr">
        <is>
          <t>ETO</t>
        </is>
      </c>
      <c r="I795" t="inlineStr">
        <is>
          <t>630A</t>
        </is>
      </c>
      <c r="J795" t="inlineStr">
        <is>
          <t>BESSIERE</t>
        </is>
      </c>
      <c r="K795" t="inlineStr">
        <is>
          <t>CUIVRE</t>
        </is>
      </c>
      <c r="L795">
        <f>_xlfn.XLOOKUP(Tableau1[[#This Row],[TYPE DE PIECE]],Tableau4[MATIERE],Tableau4[SHORT TYPE],"",0,1)</f>
        <v/>
      </c>
      <c r="N795">
        <f>IF(ISERR(FIND("DECOUPE",Tableau1[[#This Row],[DESIGNATION]])),"","NEED REF")</f>
        <v/>
      </c>
    </row>
    <row r="796">
      <c r="B796" t="n">
        <v>34413206</v>
      </c>
      <c r="C796" s="2" t="n">
        <v>45618</v>
      </c>
      <c r="D796" t="inlineStr">
        <is>
          <t>SPEC</t>
        </is>
      </c>
      <c r="E796" t="inlineStr">
        <is>
          <t>COP BUSBAR COROPLAST KM1 4/600A 4 POLES</t>
        </is>
      </c>
      <c r="F796" t="inlineStr">
        <is>
          <t>QPROJET_QSMA11484</t>
        </is>
      </c>
      <c r="G796" t="inlineStr">
        <is>
          <t>STS</t>
        </is>
      </c>
      <c r="H796" t="inlineStr">
        <is>
          <t>ETO</t>
        </is>
      </c>
      <c r="I796" t="inlineStr">
        <is>
          <t>630A</t>
        </is>
      </c>
      <c r="J796" t="inlineStr">
        <is>
          <t>BESSIERE</t>
        </is>
      </c>
      <c r="K796" t="inlineStr">
        <is>
          <t>CUIVRE</t>
        </is>
      </c>
      <c r="L796">
        <f>_xlfn.XLOOKUP(Tableau1[[#This Row],[TYPE DE PIECE]],Tableau4[MATIERE],Tableau4[SHORT TYPE],"",0,1)</f>
        <v/>
      </c>
      <c r="N796">
        <f>IF(ISERR(FIND("DECOUPE",Tableau1[[#This Row],[DESIGNATION]])),"","NEED REF")</f>
        <v/>
      </c>
    </row>
    <row r="797">
      <c r="B797" t="n">
        <v>34413205</v>
      </c>
      <c r="C797" s="2" t="n">
        <v>45618</v>
      </c>
      <c r="D797" t="inlineStr">
        <is>
          <t>SPEC</t>
        </is>
      </c>
      <c r="E79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797" t="inlineStr">
        <is>
          <t>QPROJET_QSMA11485</t>
        </is>
      </c>
      <c r="G797" t="inlineStr">
        <is>
          <t>STS</t>
        </is>
      </c>
      <c r="H797" t="inlineStr">
        <is>
          <t>ETO</t>
        </is>
      </c>
      <c r="I797" t="inlineStr">
        <is>
          <t>630A</t>
        </is>
      </c>
      <c r="J797" t="inlineStr">
        <is>
          <t>BESSIERE</t>
        </is>
      </c>
      <c r="K797" t="inlineStr">
        <is>
          <t>NOMENCLATURE</t>
        </is>
      </c>
      <c r="L797">
        <f>_xlfn.XLOOKUP(Tableau1[[#This Row],[TYPE DE PIECE]],Tableau4[MATIERE],Tableau4[SHORT TYPE],"",0,1)</f>
        <v/>
      </c>
      <c r="N797">
        <f>IF(ISERR(FIND("DECOUPE",Tableau1[[#This Row],[DESIGNATION]])),"","NEED REF")</f>
        <v/>
      </c>
    </row>
    <row r="798">
      <c r="B798" t="n">
        <v>34413204</v>
      </c>
      <c r="C798" s="2" t="n">
        <v>45618</v>
      </c>
      <c r="D798" t="inlineStr">
        <is>
          <t>SPEC</t>
        </is>
      </c>
      <c r="E798" t="inlineStr">
        <is>
          <t>SMT PLASTRON CS + PAS600L</t>
        </is>
      </c>
      <c r="F798" t="inlineStr">
        <is>
          <t>QPROJET</t>
        </is>
      </c>
      <c r="G798" t="inlineStr">
        <is>
          <t>STS</t>
        </is>
      </c>
      <c r="H798" t="inlineStr">
        <is>
          <t>STS ETO</t>
        </is>
      </c>
      <c r="I798" t="inlineStr">
        <is>
          <t>1250A</t>
        </is>
      </c>
      <c r="J798" t="inlineStr">
        <is>
          <t>JAWORSKI</t>
        </is>
      </c>
      <c r="K798" t="inlineStr">
        <is>
          <t>METAL</t>
        </is>
      </c>
      <c r="L798">
        <f>_xlfn.XLOOKUP(Tableau1[[#This Row],[TYPE DE PIECE]],Tableau4[MATIERE],Tableau4[SHORT TYPE],"",0,1)</f>
        <v/>
      </c>
      <c r="N798">
        <f>IF(ISERR(FIND("DECOUPE",Tableau1[[#This Row],[DESIGNATION]])),"","NEED REF")</f>
        <v/>
      </c>
    </row>
    <row r="799">
      <c r="B799" t="n">
        <v>34413203</v>
      </c>
      <c r="C799" s="2" t="n">
        <v>45618</v>
      </c>
      <c r="D799" t="inlineStr">
        <is>
          <t>SPEC</t>
        </is>
      </c>
      <c r="E799" t="inlineStr">
        <is>
          <t>KIT STS 1250A OPTION PAS600L</t>
        </is>
      </c>
      <c r="F799" t="inlineStr">
        <is>
          <t>QPROJET</t>
        </is>
      </c>
      <c r="G799" t="inlineStr">
        <is>
          <t>STS</t>
        </is>
      </c>
      <c r="H799" t="inlineStr">
        <is>
          <t>STS ETO</t>
        </is>
      </c>
      <c r="I799" t="inlineStr">
        <is>
          <t>1250A</t>
        </is>
      </c>
      <c r="J799" t="inlineStr">
        <is>
          <t>JAWORSKI</t>
        </is>
      </c>
      <c r="K799" t="inlineStr">
        <is>
          <t>NOMENCLATURE</t>
        </is>
      </c>
      <c r="L799">
        <f>_xlfn.XLOOKUP(Tableau1[[#This Row],[TYPE DE PIECE]],Tableau4[MATIERE],Tableau4[SHORT TYPE],"",0,1)</f>
        <v/>
      </c>
      <c r="N799">
        <f>IF(ISERR(FIND("DECOUPE",Tableau1[[#This Row],[DESIGNATION]])),"","NEED REF")</f>
        <v/>
      </c>
    </row>
    <row r="800">
      <c r="B800" t="n">
        <v>34413202</v>
      </c>
      <c r="C800" s="2" t="n">
        <v>45618</v>
      </c>
      <c r="D800" t="inlineStr">
        <is>
          <t>SPEC</t>
        </is>
      </c>
      <c r="E800" t="inlineStr">
        <is>
          <t>ASSEMBLAGE STS 1250A + OPTION PAS600L</t>
        </is>
      </c>
      <c r="F800" t="inlineStr">
        <is>
          <t>QPROJET</t>
        </is>
      </c>
      <c r="G800" t="inlineStr">
        <is>
          <t>STS</t>
        </is>
      </c>
      <c r="H800" t="inlineStr">
        <is>
          <t>STS ETO</t>
        </is>
      </c>
      <c r="I800" t="inlineStr">
        <is>
          <t>1250A</t>
        </is>
      </c>
      <c r="J800" t="inlineStr">
        <is>
          <t>JAWORSKI</t>
        </is>
      </c>
      <c r="L800">
        <f>_xlfn.XLOOKUP(Tableau1[[#This Row],[TYPE DE PIECE]],Tableau4[MATIERE],Tableau4[SHORT TYPE],"",0,1)</f>
        <v/>
      </c>
      <c r="N800">
        <f>IF(ISERR(FIND("DECOUPE",Tableau1[[#This Row],[DESIGNATION]])),"","NEED REF")</f>
        <v/>
      </c>
    </row>
    <row r="801">
      <c r="B801" t="n">
        <v>34413201</v>
      </c>
      <c r="C801" s="2" t="n">
        <v>45617</v>
      </c>
      <c r="D801" t="inlineStr">
        <is>
          <t>SPEC</t>
        </is>
      </c>
      <c r="E801" t="inlineStr">
        <is>
          <t>SMT 34413201 GVXL TGAB ROOF KTA2000 INNER PART NEUTRAL</t>
        </is>
      </c>
      <c r="F801" t="inlineStr">
        <is>
          <t>QPPL40904</t>
        </is>
      </c>
      <c r="G801" t="inlineStr">
        <is>
          <t>GVXL</t>
        </is>
      </c>
      <c r="I801" t="inlineStr">
        <is>
          <t>1250KVA</t>
        </is>
      </c>
      <c r="J801" t="inlineStr">
        <is>
          <t>BESSIERE</t>
        </is>
      </c>
      <c r="K801" t="inlineStr">
        <is>
          <t>METAL</t>
        </is>
      </c>
      <c r="L801">
        <f>_xlfn.XLOOKUP(Tableau1[[#This Row],[TYPE DE PIECE]],Tableau4[MATIERE],Tableau4[SHORT TYPE],"",0,1)</f>
        <v/>
      </c>
      <c r="N801">
        <f>IF(ISERR(FIND("DECOUPE",Tableau1[[#This Row],[DESIGNATION]])),"","NEED REF")</f>
        <v/>
      </c>
    </row>
    <row r="802">
      <c r="B802" t="n">
        <v>34413200</v>
      </c>
      <c r="C802" s="2" t="n">
        <v>45617</v>
      </c>
      <c r="D802" t="inlineStr">
        <is>
          <t>SPEC</t>
        </is>
      </c>
      <c r="E80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02" t="inlineStr">
        <is>
          <t>QPPL40904</t>
        </is>
      </c>
      <c r="G802" t="inlineStr">
        <is>
          <t>GVXL</t>
        </is>
      </c>
      <c r="I802" t="inlineStr">
        <is>
          <t>1250KVA</t>
        </is>
      </c>
      <c r="J802" t="inlineStr">
        <is>
          <t>BESSIERE</t>
        </is>
      </c>
      <c r="K802" t="inlineStr">
        <is>
          <t>METAL</t>
        </is>
      </c>
      <c r="L802">
        <f>_xlfn.XLOOKUP(Tableau1[[#This Row],[TYPE DE PIECE]],Tableau4[MATIERE],Tableau4[SHORT TYPE],"",0,1)</f>
        <v/>
      </c>
      <c r="N802">
        <f>IF(ISERR(FIND("DECOUPE",Tableau1[[#This Row],[DESIGNATION]])),"","NEED REF")</f>
        <v/>
      </c>
    </row>
    <row r="803">
      <c r="B803" t="n">
        <v>34413199</v>
      </c>
      <c r="C803" s="2" t="n">
        <v>45616</v>
      </c>
      <c r="D803" t="inlineStr">
        <is>
          <t>SPEC</t>
        </is>
      </c>
      <c r="E80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03" t="inlineStr">
        <is>
          <t>QPPL40904</t>
        </is>
      </c>
      <c r="G803" t="inlineStr">
        <is>
          <t>GVXL</t>
        </is>
      </c>
      <c r="I803" t="inlineStr">
        <is>
          <t>1250KVA</t>
        </is>
      </c>
      <c r="J803" t="inlineStr">
        <is>
          <t>BESSIERE</t>
        </is>
      </c>
      <c r="K803" t="inlineStr">
        <is>
          <t>METAL</t>
        </is>
      </c>
      <c r="L803">
        <f>_xlfn.XLOOKUP(Tableau1[[#This Row],[TYPE DE PIECE]],Tableau4[MATIERE],Tableau4[SHORT TYPE],"",0,1)</f>
        <v/>
      </c>
      <c r="N803">
        <f>IF(ISERR(FIND("DECOUPE",Tableau1[[#This Row],[DESIGNATION]])),"","NEED REF")</f>
        <v/>
      </c>
    </row>
    <row r="804">
      <c r="B804" t="n">
        <v>34413198</v>
      </c>
      <c r="C804" s="2" t="n">
        <v>45616</v>
      </c>
      <c r="D804" t="inlineStr">
        <is>
          <t>SPEC</t>
        </is>
      </c>
      <c r="E804" t="inlineStr">
        <is>
          <t>COP S LIAISON MAIN FEED N</t>
        </is>
      </c>
      <c r="F804" t="inlineStr">
        <is>
          <t>GVX IO 1500</t>
        </is>
      </c>
      <c r="J804" t="inlineStr">
        <is>
          <t>BERNARDEAU</t>
        </is>
      </c>
      <c r="K804" t="inlineStr">
        <is>
          <t>CUIVRE</t>
        </is>
      </c>
      <c r="L804">
        <f>_xlfn.XLOOKUP(Tableau1[[#This Row],[TYPE DE PIECE]],Tableau4[MATIERE],Tableau4[SHORT TYPE],"",0,1)</f>
        <v/>
      </c>
      <c r="N804">
        <f>IF(ISERR(FIND("DECOUPE",Tableau1[[#This Row],[DESIGNATION]])),"","NEED REF")</f>
        <v/>
      </c>
    </row>
    <row r="805">
      <c r="B805" t="n">
        <v>34413197</v>
      </c>
      <c r="C805" s="2" t="n">
        <v>45615</v>
      </c>
      <c r="D805" t="inlineStr">
        <is>
          <t>SPEC</t>
        </is>
      </c>
      <c r="E805" t="inlineStr">
        <is>
          <t>Cable RJ45 2M CAT6</t>
        </is>
      </c>
      <c r="G805" t="inlineStr">
        <is>
          <t>STS</t>
        </is>
      </c>
      <c r="J805" t="inlineStr">
        <is>
          <t>Bisiaux</t>
        </is>
      </c>
      <c r="K805" t="inlineStr">
        <is>
          <t>CABLE</t>
        </is>
      </c>
      <c r="L805">
        <f>_xlfn.XLOOKUP(Tableau1[[#This Row],[TYPE DE PIECE]],Tableau4[MATIERE],Tableau4[SHORT TYPE],"",0,1)</f>
        <v/>
      </c>
      <c r="N805">
        <f>IF(ISERR(FIND("DECOUPE",Tableau1[[#This Row],[DESIGNATION]])),"","NEED REF")</f>
        <v/>
      </c>
    </row>
    <row r="806">
      <c r="B806" t="n">
        <v>34413196</v>
      </c>
      <c r="C806" s="2" t="n">
        <v>45615</v>
      </c>
      <c r="D806" t="inlineStr">
        <is>
          <t>SPEC</t>
        </is>
      </c>
      <c r="E806" t="inlineStr">
        <is>
          <t>Cable RS485 3M</t>
        </is>
      </c>
      <c r="G806" t="inlineStr">
        <is>
          <t>STS</t>
        </is>
      </c>
      <c r="J806" t="inlineStr">
        <is>
          <t>Bisiaux</t>
        </is>
      </c>
      <c r="K806" t="inlineStr">
        <is>
          <t>CABLE</t>
        </is>
      </c>
      <c r="L806">
        <f>_xlfn.XLOOKUP(Tableau1[[#This Row],[TYPE DE PIECE]],Tableau4[MATIERE],Tableau4[SHORT TYPE],"",0,1)</f>
        <v/>
      </c>
      <c r="N806">
        <f>IF(ISERR(FIND("DECOUPE",Tableau1[[#This Row],[DESIGNATION]])),"","NEED REF")</f>
        <v/>
      </c>
    </row>
    <row r="807">
      <c r="B807" t="n">
        <v>34413195</v>
      </c>
      <c r="C807" s="2" t="n">
        <v>45615</v>
      </c>
      <c r="D807" t="inlineStr">
        <is>
          <t>SPEC</t>
        </is>
      </c>
      <c r="E807" t="inlineStr">
        <is>
          <t>ASSY FINISH AND HOUSING TERACO STS + OPTION PAS660L</t>
        </is>
      </c>
      <c r="F807" t="inlineStr">
        <is>
          <t>QPROJET</t>
        </is>
      </c>
      <c r="G807" t="inlineStr">
        <is>
          <t>STS</t>
        </is>
      </c>
      <c r="H807" t="inlineStr">
        <is>
          <t>STS ETO</t>
        </is>
      </c>
      <c r="I807" t="inlineStr">
        <is>
          <t>630A</t>
        </is>
      </c>
      <c r="J807" t="inlineStr">
        <is>
          <t>JAWORSKI</t>
        </is>
      </c>
      <c r="K807" t="inlineStr">
        <is>
          <t>NOMENCLATURE</t>
        </is>
      </c>
      <c r="L807">
        <f>_xlfn.XLOOKUP(Tableau1[[#This Row],[TYPE DE PIECE]],Tableau4[MATIERE],Tableau4[SHORT TYPE],"",0,1)</f>
        <v/>
      </c>
      <c r="N807">
        <f>IF(ISERR(FIND("DECOUPE",Tableau1[[#This Row],[DESIGNATION]])),"","NEED REF")</f>
        <v/>
      </c>
    </row>
    <row r="808">
      <c r="B808" t="n">
        <v>34413194</v>
      </c>
      <c r="C808" s="2" t="n">
        <v>45615</v>
      </c>
      <c r="D808" t="inlineStr">
        <is>
          <t>SPEC</t>
        </is>
      </c>
      <c r="E808" t="inlineStr">
        <is>
          <t>ASSEMBLAGE TERACO 630A + OPTION PAS660L</t>
        </is>
      </c>
      <c r="F808" t="inlineStr">
        <is>
          <t>QPROJET</t>
        </is>
      </c>
      <c r="G808" t="inlineStr">
        <is>
          <t>STS</t>
        </is>
      </c>
      <c r="H808" t="inlineStr">
        <is>
          <t>STS ETO</t>
        </is>
      </c>
      <c r="I808" t="inlineStr">
        <is>
          <t>630A</t>
        </is>
      </c>
      <c r="J808" t="inlineStr">
        <is>
          <t>JAWORSKI</t>
        </is>
      </c>
      <c r="L808">
        <f>_xlfn.XLOOKUP(Tableau1[[#This Row],[TYPE DE PIECE]],Tableau4[MATIERE],Tableau4[SHORT TYPE],"",0,1)</f>
        <v/>
      </c>
      <c r="N808">
        <f>IF(ISERR(FIND("DECOUPE",Tableau1[[#This Row],[DESIGNATION]])),"","NEED REF")</f>
        <v/>
      </c>
    </row>
    <row r="809">
      <c r="B809" t="n">
        <v>34413193</v>
      </c>
      <c r="C809" s="2" t="n">
        <v>45615</v>
      </c>
      <c r="D809" t="inlineStr">
        <is>
          <t>SPEC</t>
        </is>
      </c>
      <c r="E809" t="inlineStr">
        <is>
          <t>DECOUPE 870-5102790600AL OPTION PAS600L</t>
        </is>
      </c>
      <c r="F809" t="inlineStr">
        <is>
          <t>TERACO</t>
        </is>
      </c>
      <c r="G809" t="inlineStr">
        <is>
          <t>STS</t>
        </is>
      </c>
      <c r="H809" t="inlineStr">
        <is>
          <t>STS ETO</t>
        </is>
      </c>
      <c r="I809" t="inlineStr">
        <is>
          <t>630A</t>
        </is>
      </c>
      <c r="J809" t="inlineStr">
        <is>
          <t>JAWORSKI</t>
        </is>
      </c>
      <c r="K809" t="inlineStr">
        <is>
          <t>DECOUPE</t>
        </is>
      </c>
      <c r="L809" t="inlineStr">
        <is>
          <t>ETO</t>
        </is>
      </c>
      <c r="N809" t="inlineStr">
        <is>
          <t>870-5102790600AL</t>
        </is>
      </c>
    </row>
    <row r="810">
      <c r="B810" t="n">
        <v>34413192</v>
      </c>
      <c r="C810" s="2" t="n">
        <v>45614</v>
      </c>
      <c r="D810" t="inlineStr">
        <is>
          <t>SPEC</t>
        </is>
      </c>
      <c r="E81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10" t="inlineStr">
        <is>
          <t>QPPL40904</t>
        </is>
      </c>
      <c r="G810" t="inlineStr">
        <is>
          <t>GVXL</t>
        </is>
      </c>
      <c r="I810" t="inlineStr">
        <is>
          <t>1250KVA</t>
        </is>
      </c>
      <c r="J810" t="inlineStr">
        <is>
          <t>BESSIERE</t>
        </is>
      </c>
      <c r="K810" t="inlineStr">
        <is>
          <t>METAL</t>
        </is>
      </c>
      <c r="L810">
        <f>_xlfn.XLOOKUP(Tableau1[[#This Row],[TYPE DE PIECE]],Tableau4[MATIERE],Tableau4[SHORT TYPE],"",0,1)</f>
        <v/>
      </c>
      <c r="N810">
        <f>IF(ISERR(FIND("DECOUPE",Tableau1[[#This Row],[DESIGNATION]])),"","NEED REF")</f>
        <v/>
      </c>
    </row>
    <row r="811">
      <c r="B811" t="n">
        <v>34413191</v>
      </c>
      <c r="C811" s="2" t="n">
        <v>45611</v>
      </c>
      <c r="D811" t="inlineStr">
        <is>
          <t>SPEC</t>
        </is>
      </c>
      <c r="E811" t="inlineStr">
        <is>
          <t>SMT LATERAL UPRIGHT</t>
        </is>
      </c>
      <c r="G811" t="inlineStr">
        <is>
          <t>STS</t>
        </is>
      </c>
      <c r="H811" t="inlineStr">
        <is>
          <t>STS ETO</t>
        </is>
      </c>
      <c r="J811" t="inlineStr">
        <is>
          <t>BERNARDEAU</t>
        </is>
      </c>
      <c r="K811" t="inlineStr">
        <is>
          <t>METAL</t>
        </is>
      </c>
      <c r="L811">
        <f>_xlfn.XLOOKUP(Tableau1[[#This Row],[TYPE DE PIECE]],Tableau4[MATIERE],Tableau4[SHORT TYPE],"",0,1)</f>
        <v/>
      </c>
      <c r="N811">
        <f>IF(ISERR(FIND("DECOUPE",Tableau1[[#This Row],[DESIGNATION]])),"","NEED REF")</f>
        <v/>
      </c>
    </row>
    <row r="812">
      <c r="B812" t="n">
        <v>34413190</v>
      </c>
      <c r="C812" s="2" t="n">
        <v>45611</v>
      </c>
      <c r="D812" t="inlineStr">
        <is>
          <t>SPEC</t>
        </is>
      </c>
      <c r="E81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12" t="inlineStr">
        <is>
          <t>GVXL</t>
        </is>
      </c>
      <c r="I812" t="inlineStr">
        <is>
          <t>1250KVA</t>
        </is>
      </c>
      <c r="J812" t="inlineStr">
        <is>
          <t>MATRION</t>
        </is>
      </c>
      <c r="K812" t="inlineStr">
        <is>
          <t>CUIVRE</t>
        </is>
      </c>
      <c r="L812">
        <f>_xlfn.XLOOKUP(Tableau1[[#This Row],[TYPE DE PIECE]],Tableau4[MATIERE],Tableau4[SHORT TYPE],"",0,1)</f>
        <v/>
      </c>
      <c r="N812">
        <f>IF(ISERR(FIND("DECOUPE",Tableau1[[#This Row],[DESIGNATION]])),"","NEED REF")</f>
        <v/>
      </c>
    </row>
    <row r="813">
      <c r="B813" t="n">
        <v>34413189</v>
      </c>
      <c r="C813" s="2" t="n">
        <v>45611</v>
      </c>
      <c r="D813" t="inlineStr">
        <is>
          <t>SPEC</t>
        </is>
      </c>
      <c r="E81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13" t="inlineStr">
        <is>
          <t>QPPL40904</t>
        </is>
      </c>
      <c r="G813" t="inlineStr">
        <is>
          <t>GVXL</t>
        </is>
      </c>
      <c r="I813" t="inlineStr">
        <is>
          <t>1250KVA</t>
        </is>
      </c>
      <c r="J813" t="inlineStr">
        <is>
          <t>BESSIERE</t>
        </is>
      </c>
      <c r="K813" t="inlineStr">
        <is>
          <t>CUIVRE</t>
        </is>
      </c>
      <c r="L813">
        <f>_xlfn.XLOOKUP(Tableau1[[#This Row],[TYPE DE PIECE]],Tableau4[MATIERE],Tableau4[SHORT TYPE],"",0,1)</f>
        <v/>
      </c>
      <c r="N813">
        <f>IF(ISERR(FIND("DECOUPE",Tableau1[[#This Row],[DESIGNATION]])),"","NEED REF")</f>
        <v/>
      </c>
    </row>
    <row r="814">
      <c r="B814" t="n">
        <v>34413188</v>
      </c>
      <c r="C814" s="2" t="n">
        <v>45611</v>
      </c>
      <c r="D814" t="inlineStr">
        <is>
          <t>SPEC</t>
        </is>
      </c>
      <c r="E81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14" t="inlineStr">
        <is>
          <t>QPPL40904</t>
        </is>
      </c>
      <c r="G814" t="inlineStr">
        <is>
          <t>GVXL</t>
        </is>
      </c>
      <c r="I814" t="inlineStr">
        <is>
          <t>1250KVA</t>
        </is>
      </c>
      <c r="J814" t="inlineStr">
        <is>
          <t>BESSIERE</t>
        </is>
      </c>
      <c r="K814" t="inlineStr">
        <is>
          <t>CUIVRE</t>
        </is>
      </c>
      <c r="L814">
        <f>_xlfn.XLOOKUP(Tableau1[[#This Row],[TYPE DE PIECE]],Tableau4[MATIERE],Tableau4[SHORT TYPE],"",0,1)</f>
        <v/>
      </c>
      <c r="N814">
        <f>IF(ISERR(FIND("DECOUPE",Tableau1[[#This Row],[DESIGNATION]])),"","NEED REF")</f>
        <v/>
      </c>
    </row>
    <row r="815">
      <c r="B815" t="n">
        <v>34413187</v>
      </c>
      <c r="C815" s="2" t="n">
        <v>45611</v>
      </c>
      <c r="D815" t="inlineStr">
        <is>
          <t>SPEC</t>
        </is>
      </c>
      <c r="E81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15" t="inlineStr">
        <is>
          <t>QPPL40904</t>
        </is>
      </c>
      <c r="G815" t="inlineStr">
        <is>
          <t>GVXL</t>
        </is>
      </c>
      <c r="I815" t="inlineStr">
        <is>
          <t>1250KVA</t>
        </is>
      </c>
      <c r="J815" t="inlineStr">
        <is>
          <t>BESSIERE</t>
        </is>
      </c>
      <c r="K815" t="inlineStr">
        <is>
          <t>METAL</t>
        </is>
      </c>
      <c r="L815">
        <f>_xlfn.XLOOKUP(Tableau1[[#This Row],[TYPE DE PIECE]],Tableau4[MATIERE],Tableau4[SHORT TYPE],"",0,1)</f>
        <v/>
      </c>
      <c r="N815">
        <f>IF(ISERR(FIND("DECOUPE",Tableau1[[#This Row],[DESIGNATION]])),"","NEED REF")</f>
        <v/>
      </c>
    </row>
    <row r="816">
      <c r="B816" t="n">
        <v>34413186</v>
      </c>
      <c r="C816" s="2" t="n">
        <v>45611</v>
      </c>
      <c r="D816" t="inlineStr">
        <is>
          <t>SPEC</t>
        </is>
      </c>
      <c r="E81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16" t="inlineStr">
        <is>
          <t>QPPL40904</t>
        </is>
      </c>
      <c r="G816" t="inlineStr">
        <is>
          <t>GVXL</t>
        </is>
      </c>
      <c r="I816" t="inlineStr">
        <is>
          <t>1250KVA</t>
        </is>
      </c>
      <c r="J816" t="inlineStr">
        <is>
          <t>BESSIERE</t>
        </is>
      </c>
      <c r="K816" t="inlineStr">
        <is>
          <t>METAL</t>
        </is>
      </c>
      <c r="L816">
        <f>_xlfn.XLOOKUP(Tableau1[[#This Row],[TYPE DE PIECE]],Tableau4[MATIERE],Tableau4[SHORT TYPE],"",0,1)</f>
        <v/>
      </c>
      <c r="N816">
        <f>IF(ISERR(FIND("DECOUPE",Tableau1[[#This Row],[DESIGNATION]])),"","NEED REF")</f>
        <v/>
      </c>
    </row>
    <row r="817">
      <c r="B817" t="n">
        <v>34413185</v>
      </c>
      <c r="C817" s="2" t="n">
        <v>45611</v>
      </c>
      <c r="D817" t="inlineStr">
        <is>
          <t>SPEC</t>
        </is>
      </c>
      <c r="E81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17" t="inlineStr">
        <is>
          <t>QPPL40904</t>
        </is>
      </c>
      <c r="G817" t="inlineStr">
        <is>
          <t>GVXL</t>
        </is>
      </c>
      <c r="I817" t="inlineStr">
        <is>
          <t>1250KVA</t>
        </is>
      </c>
      <c r="J817" t="inlineStr">
        <is>
          <t>BESSIERE</t>
        </is>
      </c>
      <c r="K817" t="inlineStr">
        <is>
          <t>METAL</t>
        </is>
      </c>
      <c r="L817">
        <f>_xlfn.XLOOKUP(Tableau1[[#This Row],[TYPE DE PIECE]],Tableau4[MATIERE],Tableau4[SHORT TYPE],"",0,1)</f>
        <v/>
      </c>
      <c r="N817">
        <f>IF(ISERR(FIND("DECOUPE",Tableau1[[#This Row],[DESIGNATION]])),"","NEED REF")</f>
        <v/>
      </c>
    </row>
    <row r="818">
      <c r="B818" t="n">
        <v>34413184</v>
      </c>
      <c r="C818" s="2" t="n">
        <v>45611</v>
      </c>
      <c r="D818" t="inlineStr">
        <is>
          <t>SPEC</t>
        </is>
      </c>
      <c r="E81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18" t="inlineStr">
        <is>
          <t>QPPL40904</t>
        </is>
      </c>
      <c r="G818" t="inlineStr">
        <is>
          <t>GVXL</t>
        </is>
      </c>
      <c r="I818" t="inlineStr">
        <is>
          <t>1250KVA</t>
        </is>
      </c>
      <c r="J818" t="inlineStr">
        <is>
          <t>BESSIERE</t>
        </is>
      </c>
      <c r="K818" t="inlineStr">
        <is>
          <t>METAL</t>
        </is>
      </c>
      <c r="L818">
        <f>_xlfn.XLOOKUP(Tableau1[[#This Row],[TYPE DE PIECE]],Tableau4[MATIERE],Tableau4[SHORT TYPE],"",0,1)</f>
        <v/>
      </c>
      <c r="N818">
        <f>IF(ISERR(FIND("DECOUPE",Tableau1[[#This Row],[DESIGNATION]])),"","NEED REF")</f>
        <v/>
      </c>
    </row>
    <row r="819">
      <c r="B819" t="n">
        <v>34413183</v>
      </c>
      <c r="C819" s="2" t="n">
        <v>45611</v>
      </c>
      <c r="D819" t="inlineStr">
        <is>
          <t>SPEC</t>
        </is>
      </c>
      <c r="E819" t="inlineStr">
        <is>
          <t>KIT STS 630A OPTION PAS600L</t>
        </is>
      </c>
      <c r="G819" t="inlineStr">
        <is>
          <t>STS</t>
        </is>
      </c>
      <c r="H819" t="inlineStr">
        <is>
          <t>STS ETO</t>
        </is>
      </c>
      <c r="I819" t="inlineStr">
        <is>
          <t>60-630A</t>
        </is>
      </c>
      <c r="J819" t="inlineStr">
        <is>
          <t>JAWORSKI</t>
        </is>
      </c>
      <c r="K819" t="inlineStr">
        <is>
          <t>NOMENCLATURE</t>
        </is>
      </c>
      <c r="L819">
        <f>_xlfn.XLOOKUP(Tableau1[[#This Row],[TYPE DE PIECE]],Tableau4[MATIERE],Tableau4[SHORT TYPE],"",0,1)</f>
        <v/>
      </c>
      <c r="N819">
        <f>IF(ISERR(FIND("DECOUPE",Tableau1[[#This Row],[DESIGNATION]])),"","NEED REF")</f>
        <v/>
      </c>
    </row>
    <row r="820">
      <c r="B820" t="n">
        <v>34413182</v>
      </c>
      <c r="C820" s="2" t="n">
        <v>45610</v>
      </c>
      <c r="D820" t="inlineStr">
        <is>
          <t>SPEC</t>
        </is>
      </c>
      <c r="E820" t="inlineStr">
        <is>
          <t>SMT SUPPORT OPTION COM</t>
        </is>
      </c>
      <c r="G820" t="inlineStr">
        <is>
          <t>STS</t>
        </is>
      </c>
      <c r="H820" t="inlineStr">
        <is>
          <t>STS ETO</t>
        </is>
      </c>
      <c r="I820" t="inlineStr">
        <is>
          <t>60-630A</t>
        </is>
      </c>
      <c r="J820" t="inlineStr">
        <is>
          <t>JAWORSKI</t>
        </is>
      </c>
      <c r="K820" t="inlineStr">
        <is>
          <t>METAL</t>
        </is>
      </c>
      <c r="L820">
        <f>_xlfn.XLOOKUP(Tableau1[[#This Row],[TYPE DE PIECE]],Tableau4[MATIERE],Tableau4[SHORT TYPE],"",0,1)</f>
        <v/>
      </c>
      <c r="N820">
        <f>IF(ISERR(FIND("DECOUPE",Tableau1[[#This Row],[DESIGNATION]])),"","NEED REF")</f>
        <v/>
      </c>
    </row>
    <row r="821">
      <c r="B821" t="n">
        <v>34413181</v>
      </c>
      <c r="C821" s="2" t="n">
        <v>45610</v>
      </c>
      <c r="D821" t="inlineStr">
        <is>
          <t>SPEC</t>
        </is>
      </c>
      <c r="E82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21" t="inlineStr">
        <is>
          <t>QPPL40904</t>
        </is>
      </c>
      <c r="G821" t="inlineStr">
        <is>
          <t>GVXL</t>
        </is>
      </c>
      <c r="I821" t="inlineStr">
        <is>
          <t>1250KVA</t>
        </is>
      </c>
      <c r="J821" t="inlineStr">
        <is>
          <t>BESSIERE</t>
        </is>
      </c>
      <c r="K821" t="inlineStr">
        <is>
          <t>METAL</t>
        </is>
      </c>
      <c r="L821">
        <f>_xlfn.XLOOKUP(Tableau1[[#This Row],[TYPE DE PIECE]],Tableau4[MATIERE],Tableau4[SHORT TYPE],"",0,1)</f>
        <v/>
      </c>
      <c r="N821">
        <f>IF(ISERR(FIND("DECOUPE",Tableau1[[#This Row],[DESIGNATION]])),"","NEED REF")</f>
        <v/>
      </c>
    </row>
    <row r="822">
      <c r="B822" t="n">
        <v>34413180</v>
      </c>
      <c r="C822" s="2" t="n">
        <v>45610</v>
      </c>
      <c r="D822" t="inlineStr">
        <is>
          <t>SPEC</t>
        </is>
      </c>
      <c r="E822" t="inlineStr">
        <is>
          <t>SEMI AIR BOX V2</t>
        </is>
      </c>
      <c r="F822" t="inlineStr">
        <is>
          <t>QPPL40904</t>
        </is>
      </c>
      <c r="G822" t="inlineStr">
        <is>
          <t>GVXL</t>
        </is>
      </c>
      <c r="I822" t="inlineStr">
        <is>
          <t>1250KVA</t>
        </is>
      </c>
      <c r="J822" t="inlineStr">
        <is>
          <t>BESSIERE</t>
        </is>
      </c>
      <c r="K822" t="inlineStr">
        <is>
          <t>METAL</t>
        </is>
      </c>
      <c r="L822">
        <f>_xlfn.XLOOKUP(Tableau1[[#This Row],[TYPE DE PIECE]],Tableau4[MATIERE],Tableau4[SHORT TYPE],"",0,1)</f>
        <v/>
      </c>
      <c r="N822">
        <f>IF(ISERR(FIND("DECOUPE",Tableau1[[#This Row],[DESIGNATION]])),"","NEED REF")</f>
        <v/>
      </c>
    </row>
    <row r="823">
      <c r="B823" t="n">
        <v>34413179</v>
      </c>
      <c r="C823" s="2" t="n">
        <v>45610</v>
      </c>
      <c r="D823" t="inlineStr">
        <is>
          <t>SPEC</t>
        </is>
      </c>
      <c r="E82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23" t="inlineStr">
        <is>
          <t>QPPL40904</t>
        </is>
      </c>
      <c r="G823" t="inlineStr">
        <is>
          <t>GVXL</t>
        </is>
      </c>
      <c r="I823" t="inlineStr">
        <is>
          <t>1250KVA</t>
        </is>
      </c>
      <c r="J823" t="inlineStr">
        <is>
          <t>BESSIERE</t>
        </is>
      </c>
      <c r="K823" t="inlineStr">
        <is>
          <t>METAL</t>
        </is>
      </c>
      <c r="L823">
        <f>_xlfn.XLOOKUP(Tableau1[[#This Row],[TYPE DE PIECE]],Tableau4[MATIERE],Tableau4[SHORT TYPE],"",0,1)</f>
        <v/>
      </c>
      <c r="N823">
        <f>IF(ISERR(FIND("DECOUPE",Tableau1[[#This Row],[DESIGNATION]])),"","NEED REF")</f>
        <v/>
      </c>
    </row>
    <row r="824">
      <c r="B824" t="n">
        <v>34413178</v>
      </c>
      <c r="C824" s="2" t="n">
        <v>45610</v>
      </c>
      <c r="D824" t="inlineStr">
        <is>
          <t>SPEC</t>
        </is>
      </c>
      <c r="E82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24" t="inlineStr">
        <is>
          <t>GVXL</t>
        </is>
      </c>
      <c r="I824" t="inlineStr">
        <is>
          <t>1250KVA</t>
        </is>
      </c>
      <c r="J824" t="inlineStr">
        <is>
          <t>MATRION</t>
        </is>
      </c>
      <c r="K824" t="inlineStr">
        <is>
          <t>CUIVRE</t>
        </is>
      </c>
      <c r="L824">
        <f>_xlfn.XLOOKUP(Tableau1[[#This Row],[TYPE DE PIECE]],Tableau4[MATIERE],Tableau4[SHORT TYPE],"",0,1)</f>
        <v/>
      </c>
      <c r="N824">
        <f>IF(ISERR(FIND("DECOUPE",Tableau1[[#This Row],[DESIGNATION]])),"","NEED REF")</f>
        <v/>
      </c>
    </row>
    <row r="825">
      <c r="B825" t="n">
        <v>34413177</v>
      </c>
      <c r="C825" s="2" t="n">
        <v>45610</v>
      </c>
      <c r="D825" t="inlineStr">
        <is>
          <t>SPEC</t>
        </is>
      </c>
      <c r="E82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25" t="inlineStr">
        <is>
          <t>GVXL</t>
        </is>
      </c>
      <c r="I825" t="inlineStr">
        <is>
          <t>1250KVA</t>
        </is>
      </c>
      <c r="J825" t="inlineStr">
        <is>
          <t>MATRION</t>
        </is>
      </c>
      <c r="K825" t="inlineStr">
        <is>
          <t>CUIVRE</t>
        </is>
      </c>
      <c r="L825">
        <f>_xlfn.XLOOKUP(Tableau1[[#This Row],[TYPE DE PIECE]],Tableau4[MATIERE],Tableau4[SHORT TYPE],"",0,1)</f>
        <v/>
      </c>
      <c r="N825">
        <f>IF(ISERR(FIND("DECOUPE",Tableau1[[#This Row],[DESIGNATION]])),"","NEED REF")</f>
        <v/>
      </c>
    </row>
    <row r="826">
      <c r="B826" t="n">
        <v>34413176</v>
      </c>
      <c r="C826" s="2" t="n">
        <v>45610</v>
      </c>
      <c r="D826" t="inlineStr">
        <is>
          <t>SPEC</t>
        </is>
      </c>
      <c r="E82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26" t="inlineStr">
        <is>
          <t>GVXL</t>
        </is>
      </c>
      <c r="I826" t="inlineStr">
        <is>
          <t>1250KVA</t>
        </is>
      </c>
      <c r="J826" t="inlineStr">
        <is>
          <t>MATRION</t>
        </is>
      </c>
      <c r="K826" t="inlineStr">
        <is>
          <t>CUIVRE</t>
        </is>
      </c>
      <c r="L826">
        <f>_xlfn.XLOOKUP(Tableau1[[#This Row],[TYPE DE PIECE]],Tableau4[MATIERE],Tableau4[SHORT TYPE],"",0,1)</f>
        <v/>
      </c>
      <c r="N826">
        <f>IF(ISERR(FIND("DECOUPE",Tableau1[[#This Row],[DESIGNATION]])),"","NEED REF")</f>
        <v/>
      </c>
    </row>
    <row r="827">
      <c r="B827" t="n">
        <v>34413175</v>
      </c>
      <c r="C827" s="2" t="n">
        <v>45610</v>
      </c>
      <c r="D827" t="inlineStr">
        <is>
          <t>SPEC</t>
        </is>
      </c>
      <c r="E82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27" t="inlineStr">
        <is>
          <t>GVXL</t>
        </is>
      </c>
      <c r="I827" t="inlineStr">
        <is>
          <t>1250KVA</t>
        </is>
      </c>
      <c r="J827" t="inlineStr">
        <is>
          <t>MATRION</t>
        </is>
      </c>
      <c r="K827" t="inlineStr">
        <is>
          <t>CUIVRE</t>
        </is>
      </c>
      <c r="L827">
        <f>_xlfn.XLOOKUP(Tableau1[[#This Row],[TYPE DE PIECE]],Tableau4[MATIERE],Tableau4[SHORT TYPE],"",0,1)</f>
        <v/>
      </c>
      <c r="N827">
        <f>IF(ISERR(FIND("DECOUPE",Tableau1[[#This Row],[DESIGNATION]])),"","NEED REF")</f>
        <v/>
      </c>
    </row>
    <row r="828">
      <c r="B828" t="n">
        <v>34413174</v>
      </c>
      <c r="C828" s="2" t="n">
        <v>45610</v>
      </c>
      <c r="D828" t="inlineStr">
        <is>
          <t>SPEC</t>
        </is>
      </c>
      <c r="E82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28" t="inlineStr">
        <is>
          <t>GVXL</t>
        </is>
      </c>
      <c r="I828" t="inlineStr">
        <is>
          <t>1250KVA</t>
        </is>
      </c>
      <c r="J828" t="inlineStr">
        <is>
          <t>MATRION</t>
        </is>
      </c>
      <c r="K828" t="inlineStr">
        <is>
          <t>CUIVRE</t>
        </is>
      </c>
      <c r="L828">
        <f>_xlfn.XLOOKUP(Tableau1[[#This Row],[TYPE DE PIECE]],Tableau4[MATIERE],Tableau4[SHORT TYPE],"",0,1)</f>
        <v/>
      </c>
      <c r="N828">
        <f>IF(ISERR(FIND("DECOUPE",Tableau1[[#This Row],[DESIGNATION]])),"","NEED REF")</f>
        <v/>
      </c>
    </row>
    <row r="829">
      <c r="B829" t="n">
        <v>34413173</v>
      </c>
      <c r="C829" s="2" t="n">
        <v>45610</v>
      </c>
      <c r="D829" t="inlineStr">
        <is>
          <t>SPEC</t>
        </is>
      </c>
      <c r="E82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29" t="inlineStr">
        <is>
          <t>GVXL</t>
        </is>
      </c>
      <c r="I829" t="inlineStr">
        <is>
          <t>1250KVA</t>
        </is>
      </c>
      <c r="J829" t="inlineStr">
        <is>
          <t>MATRION</t>
        </is>
      </c>
      <c r="K829" t="inlineStr">
        <is>
          <t>CUIVRE</t>
        </is>
      </c>
      <c r="L829">
        <f>_xlfn.XLOOKUP(Tableau1[[#This Row],[TYPE DE PIECE]],Tableau4[MATIERE],Tableau4[SHORT TYPE],"",0,1)</f>
        <v/>
      </c>
      <c r="N829">
        <f>IF(ISERR(FIND("DECOUPE",Tableau1[[#This Row],[DESIGNATION]])),"","NEED REF")</f>
        <v/>
      </c>
    </row>
    <row r="830">
      <c r="B830" t="n">
        <v>34413172</v>
      </c>
      <c r="C830" s="2" t="n">
        <v>45610</v>
      </c>
      <c r="D830" t="inlineStr">
        <is>
          <t>SPEC</t>
        </is>
      </c>
      <c r="E83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0" t="inlineStr">
        <is>
          <t>GVXL</t>
        </is>
      </c>
      <c r="I830" t="inlineStr">
        <is>
          <t>1250KVA</t>
        </is>
      </c>
      <c r="J830" t="inlineStr">
        <is>
          <t>MATRION</t>
        </is>
      </c>
      <c r="K830" t="inlineStr">
        <is>
          <t>CUIVRE</t>
        </is>
      </c>
      <c r="L830">
        <f>_xlfn.XLOOKUP(Tableau1[[#This Row],[TYPE DE PIECE]],Tableau4[MATIERE],Tableau4[SHORT TYPE],"",0,1)</f>
        <v/>
      </c>
      <c r="N830">
        <f>IF(ISERR(FIND("DECOUPE",Tableau1[[#This Row],[DESIGNATION]])),"","NEED REF")</f>
        <v/>
      </c>
    </row>
    <row r="831">
      <c r="B831" t="n">
        <v>34413171</v>
      </c>
      <c r="C831" s="2" t="n">
        <v>45610</v>
      </c>
      <c r="D831" t="inlineStr">
        <is>
          <t>SPEC</t>
        </is>
      </c>
      <c r="E83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1" t="inlineStr">
        <is>
          <t>GVXL</t>
        </is>
      </c>
      <c r="I831" t="inlineStr">
        <is>
          <t>1250KVA</t>
        </is>
      </c>
      <c r="J831" t="inlineStr">
        <is>
          <t>MATRION</t>
        </is>
      </c>
      <c r="K831" t="inlineStr">
        <is>
          <t>CUIVRE</t>
        </is>
      </c>
      <c r="L831">
        <f>_xlfn.XLOOKUP(Tableau1[[#This Row],[TYPE DE PIECE]],Tableau4[MATIERE],Tableau4[SHORT TYPE],"",0,1)</f>
        <v/>
      </c>
      <c r="N831">
        <f>IF(ISERR(FIND("DECOUPE",Tableau1[[#This Row],[DESIGNATION]])),"","NEED REF")</f>
        <v/>
      </c>
    </row>
    <row r="832">
      <c r="B832" t="n">
        <v>34413170</v>
      </c>
      <c r="C832" s="2" t="n">
        <v>45610</v>
      </c>
      <c r="D832" t="inlineStr">
        <is>
          <t>SPEC</t>
        </is>
      </c>
      <c r="E83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2" t="inlineStr">
        <is>
          <t>GVXL</t>
        </is>
      </c>
      <c r="I832" t="inlineStr">
        <is>
          <t>1250KVA</t>
        </is>
      </c>
      <c r="J832" t="inlineStr">
        <is>
          <t>MATRION</t>
        </is>
      </c>
      <c r="K832" t="inlineStr">
        <is>
          <t>CUIVRE</t>
        </is>
      </c>
      <c r="L832">
        <f>_xlfn.XLOOKUP(Tableau1[[#This Row],[TYPE DE PIECE]],Tableau4[MATIERE],Tableau4[SHORT TYPE],"",0,1)</f>
        <v/>
      </c>
      <c r="N832">
        <f>IF(ISERR(FIND("DECOUPE",Tableau1[[#This Row],[DESIGNATION]])),"","NEED REF")</f>
        <v/>
      </c>
    </row>
    <row r="833">
      <c r="B833" t="n">
        <v>34413169</v>
      </c>
      <c r="C833" s="2" t="n">
        <v>45610</v>
      </c>
      <c r="D833" t="inlineStr">
        <is>
          <t>SPEC</t>
        </is>
      </c>
      <c r="E83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3" t="inlineStr">
        <is>
          <t>GVXL</t>
        </is>
      </c>
      <c r="I833" t="inlineStr">
        <is>
          <t>1250KVA</t>
        </is>
      </c>
      <c r="J833" t="inlineStr">
        <is>
          <t>MATRION</t>
        </is>
      </c>
      <c r="K833" t="inlineStr">
        <is>
          <t>CUIVRE</t>
        </is>
      </c>
      <c r="L833">
        <f>_xlfn.XLOOKUP(Tableau1[[#This Row],[TYPE DE PIECE]],Tableau4[MATIERE],Tableau4[SHORT TYPE],"",0,1)</f>
        <v/>
      </c>
      <c r="N833">
        <f>IF(ISERR(FIND("DECOUPE",Tableau1[[#This Row],[DESIGNATION]])),"","NEED REF")</f>
        <v/>
      </c>
    </row>
    <row r="834">
      <c r="B834" t="n">
        <v>34413168</v>
      </c>
      <c r="C834" s="2" t="n">
        <v>45610</v>
      </c>
      <c r="D834" t="inlineStr">
        <is>
          <t>SPEC</t>
        </is>
      </c>
      <c r="E83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4" t="inlineStr">
        <is>
          <t>GVXL</t>
        </is>
      </c>
      <c r="I834" t="inlineStr">
        <is>
          <t>1250KVA</t>
        </is>
      </c>
      <c r="J834" t="inlineStr">
        <is>
          <t>MATRION</t>
        </is>
      </c>
      <c r="K834" t="inlineStr">
        <is>
          <t>CUIVRE</t>
        </is>
      </c>
      <c r="L834">
        <f>_xlfn.XLOOKUP(Tableau1[[#This Row],[TYPE DE PIECE]],Tableau4[MATIERE],Tableau4[SHORT TYPE],"",0,1)</f>
        <v/>
      </c>
      <c r="N834">
        <f>IF(ISERR(FIND("DECOUPE",Tableau1[[#This Row],[DESIGNATION]])),"","NEED REF")</f>
        <v/>
      </c>
    </row>
    <row r="835">
      <c r="B835" t="n">
        <v>34413167</v>
      </c>
      <c r="C835" s="2" t="n">
        <v>45610</v>
      </c>
      <c r="D835" t="inlineStr">
        <is>
          <t>SPEC</t>
        </is>
      </c>
      <c r="E83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5" t="inlineStr">
        <is>
          <t>GVXL</t>
        </is>
      </c>
      <c r="I835" t="inlineStr">
        <is>
          <t>1250KVA</t>
        </is>
      </c>
      <c r="J835" t="inlineStr">
        <is>
          <t>MATRION</t>
        </is>
      </c>
      <c r="K835" t="inlineStr">
        <is>
          <t>CUIVRE</t>
        </is>
      </c>
      <c r="L835">
        <f>_xlfn.XLOOKUP(Tableau1[[#This Row],[TYPE DE PIECE]],Tableau4[MATIERE],Tableau4[SHORT TYPE],"",0,1)</f>
        <v/>
      </c>
      <c r="N835">
        <f>IF(ISERR(FIND("DECOUPE",Tableau1[[#This Row],[DESIGNATION]])),"","NEED REF")</f>
        <v/>
      </c>
    </row>
    <row r="836">
      <c r="B836" t="n">
        <v>34413166</v>
      </c>
      <c r="C836" s="2" t="n">
        <v>45610</v>
      </c>
      <c r="D836" t="inlineStr">
        <is>
          <t>SPEC</t>
        </is>
      </c>
      <c r="E83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6" t="inlineStr">
        <is>
          <t>GVXL</t>
        </is>
      </c>
      <c r="I836" t="inlineStr">
        <is>
          <t>1250KVA</t>
        </is>
      </c>
      <c r="J836" t="inlineStr">
        <is>
          <t>MATRION</t>
        </is>
      </c>
      <c r="K836" t="inlineStr">
        <is>
          <t>CUIVRE</t>
        </is>
      </c>
      <c r="L836">
        <f>_xlfn.XLOOKUP(Tableau1[[#This Row],[TYPE DE PIECE]],Tableau4[MATIERE],Tableau4[SHORT TYPE],"",0,1)</f>
        <v/>
      </c>
      <c r="N836">
        <f>IF(ISERR(FIND("DECOUPE",Tableau1[[#This Row],[DESIGNATION]])),"","NEED REF")</f>
        <v/>
      </c>
    </row>
    <row r="837">
      <c r="B837" t="n">
        <v>34413165</v>
      </c>
      <c r="C837" s="2" t="n">
        <v>45610</v>
      </c>
      <c r="D837" t="inlineStr">
        <is>
          <t>SPEC</t>
        </is>
      </c>
      <c r="E83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7" t="inlineStr">
        <is>
          <t>GVXL</t>
        </is>
      </c>
      <c r="I837" t="inlineStr">
        <is>
          <t>1250KVA</t>
        </is>
      </c>
      <c r="J837" t="inlineStr">
        <is>
          <t>MATRION</t>
        </is>
      </c>
      <c r="K837" t="inlineStr">
        <is>
          <t>CUIVRE</t>
        </is>
      </c>
      <c r="L837">
        <f>_xlfn.XLOOKUP(Tableau1[[#This Row],[TYPE DE PIECE]],Tableau4[MATIERE],Tableau4[SHORT TYPE],"",0,1)</f>
        <v/>
      </c>
      <c r="N837">
        <f>IF(ISERR(FIND("DECOUPE",Tableau1[[#This Row],[DESIGNATION]])),"","NEED REF")</f>
        <v/>
      </c>
    </row>
    <row r="838">
      <c r="B838" t="n">
        <v>34413164</v>
      </c>
      <c r="C838" s="2" t="n">
        <v>45610</v>
      </c>
      <c r="D838" t="inlineStr">
        <is>
          <t>SPEC</t>
        </is>
      </c>
      <c r="E83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8" t="inlineStr">
        <is>
          <t>GVXL</t>
        </is>
      </c>
      <c r="I838" t="inlineStr">
        <is>
          <t>1250KVA</t>
        </is>
      </c>
      <c r="J838" t="inlineStr">
        <is>
          <t>MATRION</t>
        </is>
      </c>
      <c r="K838" t="inlineStr">
        <is>
          <t>CUIVRE</t>
        </is>
      </c>
      <c r="L838">
        <f>_xlfn.XLOOKUP(Tableau1[[#This Row],[TYPE DE PIECE]],Tableau4[MATIERE],Tableau4[SHORT TYPE],"",0,1)</f>
        <v/>
      </c>
      <c r="N838">
        <f>IF(ISERR(FIND("DECOUPE",Tableau1[[#This Row],[DESIGNATION]])),"","NEED REF")</f>
        <v/>
      </c>
    </row>
    <row r="839">
      <c r="B839" t="n">
        <v>34413163</v>
      </c>
      <c r="C839" s="2" t="n">
        <v>45610</v>
      </c>
      <c r="D839" t="inlineStr">
        <is>
          <t>SPEC</t>
        </is>
      </c>
      <c r="E83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39" t="inlineStr">
        <is>
          <t>GVXL</t>
        </is>
      </c>
      <c r="I839" t="inlineStr">
        <is>
          <t>1250KVA</t>
        </is>
      </c>
      <c r="J839" t="inlineStr">
        <is>
          <t>MATRION</t>
        </is>
      </c>
      <c r="K839" t="inlineStr">
        <is>
          <t>CUIVRE</t>
        </is>
      </c>
      <c r="L839">
        <f>_xlfn.XLOOKUP(Tableau1[[#This Row],[TYPE DE PIECE]],Tableau4[MATIERE],Tableau4[SHORT TYPE],"",0,1)</f>
        <v/>
      </c>
      <c r="N839">
        <f>IF(ISERR(FIND("DECOUPE",Tableau1[[#This Row],[DESIGNATION]])),"","NEED REF")</f>
        <v/>
      </c>
    </row>
    <row r="840">
      <c r="B840" t="n">
        <v>34413162</v>
      </c>
      <c r="C840" s="2" t="n">
        <v>45609</v>
      </c>
      <c r="D840" t="inlineStr">
        <is>
          <t>SPEC</t>
        </is>
      </c>
      <c r="E840" t="inlineStr">
        <is>
          <t>SEMI AIR BOX</t>
        </is>
      </c>
      <c r="F840" t="inlineStr">
        <is>
          <t>QPPL40904</t>
        </is>
      </c>
      <c r="G840" t="inlineStr">
        <is>
          <t>GVXL</t>
        </is>
      </c>
      <c r="I840" t="inlineStr">
        <is>
          <t>1250KVA</t>
        </is>
      </c>
      <c r="J840" t="inlineStr">
        <is>
          <t>BESSIERE</t>
        </is>
      </c>
      <c r="K840" t="inlineStr">
        <is>
          <t>METAL</t>
        </is>
      </c>
      <c r="L840">
        <f>_xlfn.XLOOKUP(Tableau1[[#This Row],[TYPE DE PIECE]],Tableau4[MATIERE],Tableau4[SHORT TYPE],"",0,1)</f>
        <v/>
      </c>
      <c r="N840">
        <f>IF(ISERR(FIND("DECOUPE",Tableau1[[#This Row],[DESIGNATION]])),"","NEED REF")</f>
        <v/>
      </c>
    </row>
    <row r="841">
      <c r="B841" t="n">
        <v>34413161</v>
      </c>
      <c r="C841" s="2" t="n">
        <v>45609</v>
      </c>
      <c r="D841" t="inlineStr">
        <is>
          <t>SPEC</t>
        </is>
      </c>
      <c r="E841" t="inlineStr">
        <is>
          <t>SMT PLAQUE DE PROTECTION STS</t>
        </is>
      </c>
      <c r="J841" t="inlineStr">
        <is>
          <t>BERNARDEAU</t>
        </is>
      </c>
      <c r="K841" t="inlineStr">
        <is>
          <t>METAL</t>
        </is>
      </c>
      <c r="L841">
        <f>_xlfn.XLOOKUP(Tableau1[[#This Row],[TYPE DE PIECE]],Tableau4[MATIERE],Tableau4[SHORT TYPE],"",0,1)</f>
        <v/>
      </c>
      <c r="N841">
        <f>IF(ISERR(FIND("DECOUPE",Tableau1[[#This Row],[DESIGNATION]])),"","NEED REF")</f>
        <v/>
      </c>
    </row>
    <row r="842">
      <c r="B842" t="n">
        <v>34413160</v>
      </c>
      <c r="C842" s="2" t="n">
        <v>45608</v>
      </c>
      <c r="D842" t="inlineStr">
        <is>
          <t>SPEC</t>
        </is>
      </c>
      <c r="E84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42" t="inlineStr">
        <is>
          <t>QIOD21251</t>
        </is>
      </c>
      <c r="G842" t="inlineStr">
        <is>
          <t>GVXL</t>
        </is>
      </c>
      <c r="I842" t="inlineStr">
        <is>
          <t>1250KVA</t>
        </is>
      </c>
      <c r="J842" t="inlineStr">
        <is>
          <t>BESSIERE</t>
        </is>
      </c>
      <c r="K842" t="inlineStr">
        <is>
          <t>CUIVRE</t>
        </is>
      </c>
      <c r="L842">
        <f>_xlfn.XLOOKUP(Tableau1[[#This Row],[TYPE DE PIECE]],Tableau4[MATIERE],Tableau4[SHORT TYPE],"",0,1)</f>
        <v/>
      </c>
      <c r="N842">
        <f>IF(ISERR(FIND("DECOUPE",Tableau1[[#This Row],[DESIGNATION]])),"","NEED REF")</f>
        <v/>
      </c>
    </row>
    <row r="843">
      <c r="B843" t="n">
        <v>34413159</v>
      </c>
      <c r="C843" s="2" t="n">
        <v>45608</v>
      </c>
      <c r="D843" t="inlineStr">
        <is>
          <t>SPEC</t>
        </is>
      </c>
      <c r="E84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43" t="inlineStr">
        <is>
          <t>QIOD21251</t>
        </is>
      </c>
      <c r="G843" t="inlineStr">
        <is>
          <t>GVXL</t>
        </is>
      </c>
      <c r="I843" t="inlineStr">
        <is>
          <t>1250KVA</t>
        </is>
      </c>
      <c r="J843" t="inlineStr">
        <is>
          <t>BESSIERE</t>
        </is>
      </c>
      <c r="K843" t="inlineStr">
        <is>
          <t>CUIVRE</t>
        </is>
      </c>
      <c r="L843">
        <f>_xlfn.XLOOKUP(Tableau1[[#This Row],[TYPE DE PIECE]],Tableau4[MATIERE],Tableau4[SHORT TYPE],"",0,1)</f>
        <v/>
      </c>
      <c r="N843">
        <f>IF(ISERR(FIND("DECOUPE",Tableau1[[#This Row],[DESIGNATION]])),"","NEED REF")</f>
        <v/>
      </c>
    </row>
    <row r="844">
      <c r="B844" t="n">
        <v>34413158</v>
      </c>
      <c r="C844" s="2" t="n">
        <v>45608</v>
      </c>
      <c r="D844" t="inlineStr">
        <is>
          <t>SPEC</t>
        </is>
      </c>
      <c r="E84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44" t="inlineStr">
        <is>
          <t>QIOD21251</t>
        </is>
      </c>
      <c r="G844" t="inlineStr">
        <is>
          <t>GVXL</t>
        </is>
      </c>
      <c r="I844" t="inlineStr">
        <is>
          <t>1250KVA</t>
        </is>
      </c>
      <c r="J844" t="inlineStr">
        <is>
          <t>BESSIERE</t>
        </is>
      </c>
      <c r="K844" t="inlineStr">
        <is>
          <t>CUIVRE</t>
        </is>
      </c>
      <c r="L844">
        <f>_xlfn.XLOOKUP(Tableau1[[#This Row],[TYPE DE PIECE]],Tableau4[MATIERE],Tableau4[SHORT TYPE],"",0,1)</f>
        <v/>
      </c>
      <c r="N844">
        <f>IF(ISERR(FIND("DECOUPE",Tableau1[[#This Row],[DESIGNATION]])),"","NEED REF")</f>
        <v/>
      </c>
    </row>
    <row r="845">
      <c r="B845" t="n">
        <v>34413157</v>
      </c>
      <c r="C845" s="2" t="n">
        <v>45608</v>
      </c>
      <c r="D845" t="inlineStr">
        <is>
          <t>SPEC</t>
        </is>
      </c>
      <c r="E84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45" t="inlineStr">
        <is>
          <t>QIOD21251</t>
        </is>
      </c>
      <c r="G845" t="inlineStr">
        <is>
          <t>GVXL</t>
        </is>
      </c>
      <c r="I845" t="inlineStr">
        <is>
          <t>1250KVA</t>
        </is>
      </c>
      <c r="J845" t="inlineStr">
        <is>
          <t>BESSIERE</t>
        </is>
      </c>
      <c r="K845" t="inlineStr">
        <is>
          <t>CUIVRE</t>
        </is>
      </c>
      <c r="L845">
        <f>_xlfn.XLOOKUP(Tableau1[[#This Row],[TYPE DE PIECE]],Tableau4[MATIERE],Tableau4[SHORT TYPE],"",0,1)</f>
        <v/>
      </c>
      <c r="N845">
        <f>IF(ISERR(FIND("DECOUPE",Tableau1[[#This Row],[DESIGNATION]])),"","NEED REF")</f>
        <v/>
      </c>
    </row>
    <row r="846">
      <c r="B846" t="n">
        <v>34413156</v>
      </c>
      <c r="C846" s="2" t="n">
        <v>45608</v>
      </c>
      <c r="D846" t="inlineStr">
        <is>
          <t>SPEC</t>
        </is>
      </c>
      <c r="E846" t="inlineStr">
        <is>
          <t>34413156 GVXL 1250KVA KTA2000ER52-100-GVXL-OUTPUT_custom</t>
        </is>
      </c>
      <c r="F846" s="140" t="inlineStr">
        <is>
          <t>QASH01250</t>
        </is>
      </c>
      <c r="G846" t="inlineStr">
        <is>
          <t>GVXL</t>
        </is>
      </c>
      <c r="I846" t="inlineStr">
        <is>
          <t>1250KVA</t>
        </is>
      </c>
      <c r="J846" t="inlineStr">
        <is>
          <t>BESSIERE</t>
        </is>
      </c>
      <c r="L846">
        <f>_xlfn.XLOOKUP(Tableau1[[#This Row],[TYPE DE PIECE]],Tableau4[MATIERE],Tableau4[SHORT TYPE],"",0,1)</f>
        <v/>
      </c>
      <c r="N846">
        <f>IF(ISERR(FIND("DECOUPE",Tableau1[[#This Row],[DESIGNATION]])),"","NEED REF")</f>
        <v/>
      </c>
    </row>
    <row r="847">
      <c r="B847" t="n">
        <v>34413155</v>
      </c>
      <c r="C847" s="2" t="n">
        <v>45608</v>
      </c>
      <c r="D847" t="inlineStr">
        <is>
          <t>SPEC</t>
        </is>
      </c>
      <c r="E847" t="inlineStr">
        <is>
          <t>COP 34413154 GVXL  1250KVA BATTERY B+/B- BOTTOM BAR</t>
        </is>
      </c>
      <c r="F847" s="140" t="inlineStr">
        <is>
          <t>QASH01250</t>
        </is>
      </c>
      <c r="J847" t="inlineStr">
        <is>
          <t>BESSIERE</t>
        </is>
      </c>
      <c r="L847">
        <f>_xlfn.XLOOKUP(Tableau1[[#This Row],[TYPE DE PIECE]],Tableau4[MATIERE],Tableau4[SHORT TYPE],"",0,1)</f>
        <v/>
      </c>
      <c r="N847">
        <f>IF(ISERR(FIND("DECOUPE",Tableau1[[#This Row],[DESIGNATION]])),"","NEED REF")</f>
        <v/>
      </c>
    </row>
    <row r="848">
      <c r="B848" t="n">
        <v>34413154</v>
      </c>
      <c r="C848" s="2" t="n">
        <v>45608</v>
      </c>
      <c r="D848" t="inlineStr">
        <is>
          <t>SPEC</t>
        </is>
      </c>
      <c r="E848" t="inlineStr">
        <is>
          <t>COP 34413154 GVXL  1250KVA BATTERY B+/B- TOP BAR</t>
        </is>
      </c>
      <c r="F848" s="140" t="inlineStr">
        <is>
          <t>QASH01250</t>
        </is>
      </c>
      <c r="J848" t="inlineStr">
        <is>
          <t>BESSIERE</t>
        </is>
      </c>
      <c r="L848">
        <f>_xlfn.XLOOKUP(Tableau1[[#This Row],[TYPE DE PIECE]],Tableau4[MATIERE],Tableau4[SHORT TYPE],"",0,1)</f>
        <v/>
      </c>
      <c r="N848">
        <f>IF(ISERR(FIND("DECOUPE",Tableau1[[#This Row],[DESIGNATION]])),"","NEED REF")</f>
        <v/>
      </c>
    </row>
    <row r="849">
      <c r="B849" t="n">
        <v>34413153</v>
      </c>
      <c r="C849" s="2" t="n">
        <v>45604</v>
      </c>
      <c r="D849" t="inlineStr">
        <is>
          <t>SPEC</t>
        </is>
      </c>
      <c r="E849" t="inlineStr">
        <is>
          <t>WIR 34413153 GVXL DC RAISE PE CABLES</t>
        </is>
      </c>
      <c r="F849" s="140" t="inlineStr">
        <is>
          <t>QASH01250</t>
        </is>
      </c>
      <c r="G849" t="inlineStr">
        <is>
          <t>GVXL</t>
        </is>
      </c>
      <c r="I849" t="inlineStr">
        <is>
          <t>1250KVA</t>
        </is>
      </c>
      <c r="J849" t="inlineStr">
        <is>
          <t>BESSIERE</t>
        </is>
      </c>
      <c r="K849" t="inlineStr">
        <is>
          <t>FILERIE</t>
        </is>
      </c>
      <c r="L849">
        <f>_xlfn.XLOOKUP(Tableau1[[#This Row],[TYPE DE PIECE]],Tableau4[MATIERE],Tableau4[SHORT TYPE],"",0,1)</f>
        <v/>
      </c>
      <c r="N849">
        <f>IF(ISERR(FIND("DECOUPE",Tableau1[[#This Row],[DESIGNATION]])),"","NEED REF")</f>
        <v/>
      </c>
    </row>
    <row r="850">
      <c r="B850" t="n">
        <v>34413152</v>
      </c>
      <c r="C850" s="2" t="n">
        <v>45604</v>
      </c>
      <c r="D850" t="inlineStr">
        <is>
          <t>SPEC</t>
        </is>
      </c>
      <c r="E850" t="inlineStr">
        <is>
          <t>WIR 34413152 GVXL DC RAISE PE CABLE 2</t>
        </is>
      </c>
      <c r="F850" s="140" t="inlineStr">
        <is>
          <t>QASH01250</t>
        </is>
      </c>
      <c r="G850" t="inlineStr">
        <is>
          <t>GVXL</t>
        </is>
      </c>
      <c r="I850" t="inlineStr">
        <is>
          <t>1250KVA</t>
        </is>
      </c>
      <c r="J850" t="inlineStr">
        <is>
          <t>BESSIERE</t>
        </is>
      </c>
      <c r="K850" t="inlineStr">
        <is>
          <t>FILERIE</t>
        </is>
      </c>
      <c r="L850">
        <f>_xlfn.XLOOKUP(Tableau1[[#This Row],[TYPE DE PIECE]],Tableau4[MATIERE],Tableau4[SHORT TYPE],"",0,1)</f>
        <v/>
      </c>
      <c r="N850">
        <f>IF(ISERR(FIND("DECOUPE",Tableau1[[#This Row],[DESIGNATION]])),"","NEED REF")</f>
        <v/>
      </c>
    </row>
    <row r="851">
      <c r="B851" t="n">
        <v>34413151</v>
      </c>
      <c r="C851" s="2" t="n">
        <v>45604</v>
      </c>
      <c r="D851" t="inlineStr">
        <is>
          <t>SPEC</t>
        </is>
      </c>
      <c r="E851" t="inlineStr">
        <is>
          <t>WIR 34413151 GVXL DC RAISE PE CABLE 1</t>
        </is>
      </c>
      <c r="F851" s="140" t="inlineStr">
        <is>
          <t>QASH01250</t>
        </is>
      </c>
      <c r="G851" t="inlineStr">
        <is>
          <t>GVXL</t>
        </is>
      </c>
      <c r="I851" t="inlineStr">
        <is>
          <t>1250KVA</t>
        </is>
      </c>
      <c r="J851" t="inlineStr">
        <is>
          <t>BESSIERE</t>
        </is>
      </c>
      <c r="K851" t="inlineStr">
        <is>
          <t>FILERIE</t>
        </is>
      </c>
      <c r="L851">
        <f>_xlfn.XLOOKUP(Tableau1[[#This Row],[TYPE DE PIECE]],Tableau4[MATIERE],Tableau4[SHORT TYPE],"",0,1)</f>
        <v/>
      </c>
      <c r="N851">
        <f>IF(ISERR(FIND("DECOUPE",Tableau1[[#This Row],[DESIGNATION]])),"","NEED REF")</f>
        <v/>
      </c>
    </row>
    <row r="852">
      <c r="B852" t="n">
        <v>34413150</v>
      </c>
      <c r="C852" s="2" t="n">
        <v>45604</v>
      </c>
      <c r="D852" t="inlineStr">
        <is>
          <t>SPEC</t>
        </is>
      </c>
      <c r="E85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52" t="inlineStr">
        <is>
          <t>GVXL</t>
        </is>
      </c>
      <c r="I852" t="inlineStr">
        <is>
          <t>1250KVA</t>
        </is>
      </c>
      <c r="J852" t="inlineStr">
        <is>
          <t>MATRION</t>
        </is>
      </c>
      <c r="K852" t="inlineStr">
        <is>
          <t>PLASTIQUE</t>
        </is>
      </c>
      <c r="L852">
        <f>_xlfn.XLOOKUP(Tableau1[[#This Row],[TYPE DE PIECE]],Tableau4[MATIERE],Tableau4[SHORT TYPE],"",0,1)</f>
        <v/>
      </c>
      <c r="N852">
        <f>IF(ISERR(FIND("DECOUPE",Tableau1[[#This Row],[DESIGNATION]])),"","NEED REF")</f>
        <v/>
      </c>
    </row>
    <row r="853">
      <c r="B853" t="n">
        <v>34413149</v>
      </c>
      <c r="C853" s="2" t="n">
        <v>45604</v>
      </c>
      <c r="D853" t="inlineStr">
        <is>
          <t>SPEC</t>
        </is>
      </c>
      <c r="E85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53" t="inlineStr">
        <is>
          <t>GVXL</t>
        </is>
      </c>
      <c r="I853" t="inlineStr">
        <is>
          <t>1250KVA</t>
        </is>
      </c>
      <c r="J853" t="inlineStr">
        <is>
          <t>MATRION</t>
        </is>
      </c>
      <c r="K853" t="inlineStr">
        <is>
          <t>METAL</t>
        </is>
      </c>
      <c r="L853">
        <f>_xlfn.XLOOKUP(Tableau1[[#This Row],[TYPE DE PIECE]],Tableau4[MATIERE],Tableau4[SHORT TYPE],"",0,1)</f>
        <v/>
      </c>
      <c r="N853">
        <f>IF(ISERR(FIND("DECOUPE",Tableau1[[#This Row],[DESIGNATION]])),"","NEED REF")</f>
        <v/>
      </c>
    </row>
    <row r="854">
      <c r="B854" t="n">
        <v>34413148</v>
      </c>
      <c r="C854" s="2" t="n">
        <v>45604</v>
      </c>
      <c r="D854" t="inlineStr">
        <is>
          <t>SPEC</t>
        </is>
      </c>
      <c r="E85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54" t="inlineStr">
        <is>
          <t>GVXL</t>
        </is>
      </c>
      <c r="I854" t="inlineStr">
        <is>
          <t>1250KVA</t>
        </is>
      </c>
      <c r="J854" t="inlineStr">
        <is>
          <t>MATRION</t>
        </is>
      </c>
      <c r="K854" t="inlineStr">
        <is>
          <t>METAL</t>
        </is>
      </c>
      <c r="L854">
        <f>_xlfn.XLOOKUP(Tableau1[[#This Row],[TYPE DE PIECE]],Tableau4[MATIERE],Tableau4[SHORT TYPE],"",0,1)</f>
        <v/>
      </c>
      <c r="N854">
        <f>IF(ISERR(FIND("DECOUPE",Tableau1[[#This Row],[DESIGNATION]])),"","NEED REF")</f>
        <v/>
      </c>
    </row>
    <row r="855">
      <c r="B855" t="n">
        <v>34413147</v>
      </c>
      <c r="C855" s="2" t="n">
        <v>45604</v>
      </c>
      <c r="D855" t="inlineStr">
        <is>
          <t>SPEC</t>
        </is>
      </c>
      <c r="E85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55" t="inlineStr">
        <is>
          <t>GVXL</t>
        </is>
      </c>
      <c r="I855" t="inlineStr">
        <is>
          <t>1250KVA</t>
        </is>
      </c>
      <c r="J855" t="inlineStr">
        <is>
          <t>MATRION</t>
        </is>
      </c>
      <c r="K855" t="inlineStr">
        <is>
          <t>METAL</t>
        </is>
      </c>
      <c r="L855">
        <f>_xlfn.XLOOKUP(Tableau1[[#This Row],[TYPE DE PIECE]],Tableau4[MATIERE],Tableau4[SHORT TYPE],"",0,1)</f>
        <v/>
      </c>
      <c r="N855">
        <f>IF(ISERR(FIND("DECOUPE",Tableau1[[#This Row],[DESIGNATION]])),"","NEED REF")</f>
        <v/>
      </c>
    </row>
    <row r="856" ht="15.75" customHeight="1" s="142">
      <c r="B856" t="n">
        <v>34413146</v>
      </c>
      <c r="C856" s="2" t="n">
        <v>45603</v>
      </c>
      <c r="D856" t="inlineStr">
        <is>
          <t>SPEC</t>
        </is>
      </c>
      <c r="E856" t="inlineStr">
        <is>
          <t>SE ARMOIRE MARINE SAREL SFN H2000xL700xP800mm - Offrev</t>
        </is>
      </c>
      <c r="F856" t="inlineStr">
        <is>
          <t>Brittany Ferries Galicia</t>
        </is>
      </c>
      <c r="G856" s="134" t="inlineStr">
        <is>
          <t>GVS</t>
        </is>
      </c>
      <c r="H856" t="inlineStr">
        <is>
          <t>BBC</t>
        </is>
      </c>
      <c r="I856" t="inlineStr">
        <is>
          <t>150KVA</t>
        </is>
      </c>
      <c r="J856" t="inlineStr">
        <is>
          <t>JAWORSKI</t>
        </is>
      </c>
      <c r="K856" t="inlineStr">
        <is>
          <t>METAL</t>
        </is>
      </c>
      <c r="L856">
        <f>_xlfn.XLOOKUP(Tableau1[[#This Row],[TYPE DE PIECE]],Tableau4[MATIERE],Tableau4[SHORT TYPE],"",0,1)</f>
        <v/>
      </c>
      <c r="N856">
        <f>IF(ISERR(FIND("DECOUPE",Tableau1[[#This Row],[DESIGNATION]])),"","NEED REF")</f>
        <v/>
      </c>
    </row>
    <row r="857">
      <c r="B857" t="n">
        <v>34413145</v>
      </c>
      <c r="C857" s="2" t="n">
        <v>45602</v>
      </c>
      <c r="D857" t="inlineStr">
        <is>
          <t>SPEC</t>
        </is>
      </c>
      <c r="E857" t="inlineStr">
        <is>
          <t>SMT PLAQUE ENTROISE TOIT GVXL</t>
        </is>
      </c>
      <c r="F857" t="inlineStr">
        <is>
          <t>QABA69374</t>
        </is>
      </c>
      <c r="G857" t="inlineStr">
        <is>
          <t>GVXL</t>
        </is>
      </c>
      <c r="I857" t="inlineStr">
        <is>
          <t>1250KVA</t>
        </is>
      </c>
      <c r="J857" t="inlineStr">
        <is>
          <t>BERNARDEAU</t>
        </is>
      </c>
      <c r="K857" t="inlineStr">
        <is>
          <t>METAL</t>
        </is>
      </c>
      <c r="L857">
        <f>_xlfn.XLOOKUP(Tableau1[[#This Row],[TYPE DE PIECE]],Tableau4[MATIERE],Tableau4[SHORT TYPE],"",0,1)</f>
        <v/>
      </c>
      <c r="N857">
        <f>IF(ISERR(FIND("DECOUPE",Tableau1[[#This Row],[DESIGNATION]])),"","NEED REF")</f>
        <v/>
      </c>
    </row>
    <row r="858">
      <c r="B858" t="n">
        <v>34413144</v>
      </c>
      <c r="C858" s="2" t="n">
        <v>45602</v>
      </c>
      <c r="D858" t="inlineStr">
        <is>
          <t>SPEC</t>
        </is>
      </c>
      <c r="E858" t="inlineStr">
        <is>
          <t>SMT PLAQUE ENTROISE TOIT GVXL</t>
        </is>
      </c>
      <c r="G858" t="inlineStr">
        <is>
          <t>GVXL</t>
        </is>
      </c>
      <c r="I858" t="inlineStr">
        <is>
          <t>1250KVA</t>
        </is>
      </c>
      <c r="J858" t="inlineStr">
        <is>
          <t>BERNARDEAU</t>
        </is>
      </c>
      <c r="K858" t="inlineStr">
        <is>
          <t>METAL</t>
        </is>
      </c>
      <c r="L858">
        <f>_xlfn.XLOOKUP(Tableau1[[#This Row],[TYPE DE PIECE]],Tableau4[MATIERE],Tableau4[SHORT TYPE],"",0,1)</f>
        <v/>
      </c>
      <c r="N858">
        <f>IF(ISERR(FIND("DECOUPE",Tableau1[[#This Row],[DESIGNATION]])),"","NEED REF")</f>
        <v/>
      </c>
    </row>
    <row r="859">
      <c r="B859" t="n">
        <v>34413143</v>
      </c>
      <c r="C859" s="2" t="n">
        <v>45601</v>
      </c>
      <c r="D859" t="inlineStr">
        <is>
          <t>SPEC</t>
        </is>
      </c>
      <c r="E859" t="inlineStr">
        <is>
          <t>BOTTOM CB NS1250NA 4P BYPASS E3L-GVX</t>
        </is>
      </c>
      <c r="G859" t="inlineStr">
        <is>
          <t>GVX</t>
        </is>
      </c>
      <c r="H859" t="inlineStr">
        <is>
          <t>BYPASS</t>
        </is>
      </c>
      <c r="J859" t="inlineStr">
        <is>
          <t>MONGELLI</t>
        </is>
      </c>
      <c r="K859" t="inlineStr">
        <is>
          <t>=SE=</t>
        </is>
      </c>
      <c r="L859">
        <f>_xlfn.XLOOKUP(Tableau1[[#This Row],[TYPE DE PIECE]],Tableau4[MATIERE],Tableau4[SHORT TYPE],"",0,1)</f>
        <v/>
      </c>
      <c r="N859">
        <f>IF(ISERR(FIND("DECOUPE",Tableau1[[#This Row],[DESIGNATION]])),"","NEED REF")</f>
        <v/>
      </c>
    </row>
    <row r="860">
      <c r="B860" t="n">
        <v>34413142</v>
      </c>
      <c r="C860" s="2" t="n">
        <v>45601</v>
      </c>
      <c r="D860" t="inlineStr">
        <is>
          <t>SPEC</t>
        </is>
      </c>
      <c r="E860" t="inlineStr">
        <is>
          <t>MIDDLE CB NS1250N 4P4D 2.0E BYPASS E3L-GVX</t>
        </is>
      </c>
      <c r="G860" t="inlineStr">
        <is>
          <t>GVX</t>
        </is>
      </c>
      <c r="H860" t="inlineStr">
        <is>
          <t>BYPASS</t>
        </is>
      </c>
      <c r="J860" t="inlineStr">
        <is>
          <t>MONGELLI</t>
        </is>
      </c>
      <c r="K860" t="inlineStr">
        <is>
          <t>=SE=</t>
        </is>
      </c>
      <c r="L860">
        <f>_xlfn.XLOOKUP(Tableau1[[#This Row],[TYPE DE PIECE]],Tableau4[MATIERE],Tableau4[SHORT TYPE],"",0,1)</f>
        <v/>
      </c>
      <c r="N860">
        <f>IF(ISERR(FIND("DECOUPE",Tableau1[[#This Row],[DESIGNATION]])),"","NEED REF")</f>
        <v/>
      </c>
    </row>
    <row r="861">
      <c r="B861" t="n">
        <v>34413141</v>
      </c>
      <c r="C861" s="2" t="n">
        <v>45601</v>
      </c>
      <c r="D861" t="inlineStr">
        <is>
          <t>SPEC</t>
        </is>
      </c>
      <c r="E861" t="inlineStr">
        <is>
          <t>SMT DECOUPE PANNEAU ARRIERE 1400X600 RAL9003</t>
        </is>
      </c>
      <c r="F861" t="inlineStr">
        <is>
          <t>UPSILLON</t>
        </is>
      </c>
      <c r="G861" t="inlineStr">
        <is>
          <t>STS</t>
        </is>
      </c>
      <c r="H861" t="inlineStr">
        <is>
          <t>STS ETO</t>
        </is>
      </c>
      <c r="I861" t="inlineStr">
        <is>
          <t>60A</t>
        </is>
      </c>
      <c r="J861" t="inlineStr">
        <is>
          <t>JAWORSKI</t>
        </is>
      </c>
      <c r="K861" t="inlineStr">
        <is>
          <t>METAL</t>
        </is>
      </c>
      <c r="L861">
        <f>_xlfn.XLOOKUP(Tableau1[[#This Row],[TYPE DE PIECE]],Tableau4[MATIERE],Tableau4[SHORT TYPE],"",0,1)</f>
        <v/>
      </c>
      <c r="N861">
        <f>IF(ISERR(FIND("DECOUPE",Tableau1[[#This Row],[DESIGNATION]])),"","NEED REF")</f>
        <v/>
      </c>
    </row>
    <row r="862">
      <c r="B862" t="n">
        <v>34413140</v>
      </c>
      <c r="C862" s="2" t="n">
        <v>45601</v>
      </c>
      <c r="D862" t="inlineStr">
        <is>
          <t>SPEC</t>
        </is>
      </c>
      <c r="L862">
        <f>_xlfn.XLOOKUP(Tableau1[[#This Row],[TYPE DE PIECE]],Tableau4[MATIERE],Tableau4[SHORT TYPE],"",0,1)</f>
        <v/>
      </c>
      <c r="N862">
        <f>IF(ISERR(FIND("DECOUPE",Tableau1[[#This Row],[DESIGNATION]])),"","NEED REF")</f>
        <v/>
      </c>
    </row>
    <row r="863">
      <c r="B863" t="n">
        <v>34413139</v>
      </c>
      <c r="C863" s="2" t="n">
        <v>45600</v>
      </c>
      <c r="D863" t="inlineStr">
        <is>
          <t>SPEC</t>
        </is>
      </c>
      <c r="E863" t="inlineStr">
        <is>
          <t>ENSEMBLE PORTE STS H1400 RAL9003</t>
        </is>
      </c>
      <c r="F863" t="inlineStr">
        <is>
          <t>UPSILLON</t>
        </is>
      </c>
      <c r="G863" t="inlineStr">
        <is>
          <t>STS</t>
        </is>
      </c>
      <c r="H863" t="inlineStr">
        <is>
          <t>STS ETO</t>
        </is>
      </c>
      <c r="I863" t="inlineStr">
        <is>
          <t>60A</t>
        </is>
      </c>
      <c r="J863" t="inlineStr">
        <is>
          <t>JAWORSKI</t>
        </is>
      </c>
      <c r="K863" t="inlineStr">
        <is>
          <t>NOMENCLATURE</t>
        </is>
      </c>
      <c r="L863">
        <f>_xlfn.XLOOKUP(Tableau1[[#This Row],[TYPE DE PIECE]],Tableau4[MATIERE],Tableau4[SHORT TYPE],"",0,1)</f>
        <v/>
      </c>
      <c r="N863">
        <f>IF(ISERR(FIND("DECOUPE",Tableau1[[#This Row],[DESIGNATION]])),"","NEED REF")</f>
        <v/>
      </c>
    </row>
    <row r="864">
      <c r="B864" t="n">
        <v>34413138</v>
      </c>
      <c r="C864" s="2" t="n">
        <v>45600</v>
      </c>
      <c r="D864" t="inlineStr">
        <is>
          <t>SPEC</t>
        </is>
      </c>
      <c r="E864" t="inlineStr">
        <is>
          <t>SMT DECOUPE PORTE STS AFFICHEUR H1400 RAL9003</t>
        </is>
      </c>
      <c r="F864" t="inlineStr">
        <is>
          <t>UPSILLON</t>
        </is>
      </c>
      <c r="G864" t="inlineStr">
        <is>
          <t>STS</t>
        </is>
      </c>
      <c r="H864" t="inlineStr">
        <is>
          <t>STS ETO</t>
        </is>
      </c>
      <c r="I864" t="inlineStr">
        <is>
          <t>60A</t>
        </is>
      </c>
      <c r="J864" t="inlineStr">
        <is>
          <t>JAWORSKI</t>
        </is>
      </c>
      <c r="K864" t="inlineStr">
        <is>
          <t>METAL</t>
        </is>
      </c>
      <c r="L864">
        <f>_xlfn.XLOOKUP(Tableau1[[#This Row],[TYPE DE PIECE]],Tableau4[MATIERE],Tableau4[SHORT TYPE],"",0,1)</f>
        <v/>
      </c>
      <c r="N864">
        <f>IF(ISERR(FIND("DECOUPE",Tableau1[[#This Row],[DESIGNATION]])),"","NEED REF")</f>
        <v/>
      </c>
    </row>
    <row r="865">
      <c r="B865" t="n">
        <v>34413137</v>
      </c>
      <c r="C865" s="2" t="n">
        <v>45600</v>
      </c>
      <c r="D865" t="inlineStr">
        <is>
          <t>SPEC</t>
        </is>
      </c>
      <c r="E865" t="inlineStr">
        <is>
          <t>COP 34413137 GVXL 1250KVA PER</t>
        </is>
      </c>
      <c r="F865" s="140" t="inlineStr">
        <is>
          <t>QASH01250</t>
        </is>
      </c>
      <c r="G865" t="inlineStr">
        <is>
          <t>GVXL</t>
        </is>
      </c>
      <c r="I865" t="inlineStr">
        <is>
          <t>1250KVA</t>
        </is>
      </c>
      <c r="J865" t="inlineStr">
        <is>
          <t>BESSIERE</t>
        </is>
      </c>
      <c r="K865" t="inlineStr">
        <is>
          <t>CUIVRE</t>
        </is>
      </c>
      <c r="L865">
        <f>_xlfn.XLOOKUP(Tableau1[[#This Row],[TYPE DE PIECE]],Tableau4[MATIERE],Tableau4[SHORT TYPE],"",0,1)</f>
        <v/>
      </c>
      <c r="N865">
        <f>IF(ISERR(FIND("DECOUPE",Tableau1[[#This Row],[DESIGNATION]])),"","NEED REF")</f>
        <v/>
      </c>
    </row>
    <row r="866">
      <c r="B866" t="n">
        <v>34413136</v>
      </c>
      <c r="C866" s="2" t="n">
        <v>45600</v>
      </c>
      <c r="D866" t="inlineStr">
        <is>
          <t>SPEC</t>
        </is>
      </c>
      <c r="E866" t="inlineStr">
        <is>
          <t>COP 34413136 GVXL 1250KVA OUTPUT KTA JONCTION2</t>
        </is>
      </c>
      <c r="F866" s="140" t="inlineStr">
        <is>
          <t>QASH01250</t>
        </is>
      </c>
      <c r="G866" t="inlineStr">
        <is>
          <t>GVXL</t>
        </is>
      </c>
      <c r="I866" t="inlineStr">
        <is>
          <t>1250KVA</t>
        </is>
      </c>
      <c r="J866" t="inlineStr">
        <is>
          <t>BESSIERE</t>
        </is>
      </c>
      <c r="K866" t="inlineStr">
        <is>
          <t>CUIVRE</t>
        </is>
      </c>
      <c r="L866">
        <f>_xlfn.XLOOKUP(Tableau1[[#This Row],[TYPE DE PIECE]],Tableau4[MATIERE],Tableau4[SHORT TYPE],"",0,1)</f>
        <v/>
      </c>
      <c r="N866">
        <f>IF(ISERR(FIND("DECOUPE",Tableau1[[#This Row],[DESIGNATION]])),"","NEED REF")</f>
        <v/>
      </c>
    </row>
    <row r="867">
      <c r="B867" t="n">
        <v>34413135</v>
      </c>
      <c r="C867" s="2" t="n">
        <v>45596</v>
      </c>
      <c r="D867" t="inlineStr">
        <is>
          <t>SPEC</t>
        </is>
      </c>
      <c r="E867" t="inlineStr">
        <is>
          <t>COP 34413135 GVXL 1250KVA OUTPUT N</t>
        </is>
      </c>
      <c r="F867" s="140" t="inlineStr">
        <is>
          <t>QASH01250</t>
        </is>
      </c>
      <c r="G867" t="inlineStr">
        <is>
          <t>GVXL</t>
        </is>
      </c>
      <c r="I867" t="inlineStr">
        <is>
          <t>1250KVA</t>
        </is>
      </c>
      <c r="J867" t="inlineStr">
        <is>
          <t>BESSIERE</t>
        </is>
      </c>
      <c r="K867" t="inlineStr">
        <is>
          <t>CUIVRE</t>
        </is>
      </c>
      <c r="L867">
        <f>_xlfn.XLOOKUP(Tableau1[[#This Row],[TYPE DE PIECE]],Tableau4[MATIERE],Tableau4[SHORT TYPE],"",0,1)</f>
        <v/>
      </c>
      <c r="N867">
        <f>IF(ISERR(FIND("DECOUPE",Tableau1[[#This Row],[DESIGNATION]])),"","NEED REF")</f>
        <v/>
      </c>
    </row>
    <row r="868">
      <c r="B868" t="n">
        <v>34413134</v>
      </c>
      <c r="C868" s="2" t="n">
        <v>45596</v>
      </c>
      <c r="D868" t="inlineStr">
        <is>
          <t>SPEC</t>
        </is>
      </c>
      <c r="E868" t="inlineStr">
        <is>
          <t>COP 34413134 GVXL 1250KVA COMMON MAINS 2</t>
        </is>
      </c>
      <c r="F868" s="140" t="inlineStr">
        <is>
          <t>QASH01250</t>
        </is>
      </c>
      <c r="G868" t="inlineStr">
        <is>
          <t>GVXL</t>
        </is>
      </c>
      <c r="I868" t="inlineStr">
        <is>
          <t>1250KVA</t>
        </is>
      </c>
      <c r="J868" t="inlineStr">
        <is>
          <t>BESSIERE</t>
        </is>
      </c>
      <c r="K868" t="inlineStr">
        <is>
          <t>CUIVRE</t>
        </is>
      </c>
      <c r="L868">
        <f>_xlfn.XLOOKUP(Tableau1[[#This Row],[TYPE DE PIECE]],Tableau4[MATIERE],Tableau4[SHORT TYPE],"",0,1)</f>
        <v/>
      </c>
      <c r="N868">
        <f>IF(ISERR(FIND("DECOUPE",Tableau1[[#This Row],[DESIGNATION]])),"","NEED REF")</f>
        <v/>
      </c>
    </row>
    <row r="869">
      <c r="B869" t="n">
        <v>34413133</v>
      </c>
      <c r="C869" s="2" t="n">
        <v>45596</v>
      </c>
      <c r="D869" t="inlineStr">
        <is>
          <t>SPEC</t>
        </is>
      </c>
      <c r="E869" t="inlineStr">
        <is>
          <t>COP 34413133 GVXL 1250KVA COMMON MAINS 1</t>
        </is>
      </c>
      <c r="F869" s="140" t="inlineStr">
        <is>
          <t>QASH01250</t>
        </is>
      </c>
      <c r="G869" t="inlineStr">
        <is>
          <t>GVXL</t>
        </is>
      </c>
      <c r="I869" t="inlineStr">
        <is>
          <t>1250KVA</t>
        </is>
      </c>
      <c r="J869" t="inlineStr">
        <is>
          <t>BESSIERE</t>
        </is>
      </c>
      <c r="K869" t="inlineStr">
        <is>
          <t>CUIVRE</t>
        </is>
      </c>
      <c r="L869">
        <f>_xlfn.XLOOKUP(Tableau1[[#This Row],[TYPE DE PIECE]],Tableau4[MATIERE],Tableau4[SHORT TYPE],"",0,1)</f>
        <v/>
      </c>
      <c r="N869">
        <f>IF(ISERR(FIND("DECOUPE",Tableau1[[#This Row],[DESIGNATION]])),"","NEED REF")</f>
        <v/>
      </c>
    </row>
    <row r="870">
      <c r="B870" t="n">
        <v>34413132</v>
      </c>
      <c r="C870" s="2" t="n">
        <v>45596</v>
      </c>
      <c r="D870" t="inlineStr">
        <is>
          <t>SPEC</t>
        </is>
      </c>
      <c r="E870" t="inlineStr">
        <is>
          <t>COP 34413132 GVXL 1250KVA OUTPUT KTA JONCTION1</t>
        </is>
      </c>
      <c r="F870" s="140" t="inlineStr">
        <is>
          <t>QASH01250</t>
        </is>
      </c>
      <c r="G870" t="inlineStr">
        <is>
          <t>GVXL</t>
        </is>
      </c>
      <c r="I870" t="inlineStr">
        <is>
          <t>1250KVA</t>
        </is>
      </c>
      <c r="J870" t="inlineStr">
        <is>
          <t>BESSIERE</t>
        </is>
      </c>
      <c r="K870" t="inlineStr">
        <is>
          <t>CUIVRE</t>
        </is>
      </c>
      <c r="L870">
        <f>_xlfn.XLOOKUP(Tableau1[[#This Row],[TYPE DE PIECE]],Tableau4[MATIERE],Tableau4[SHORT TYPE],"",0,1)</f>
        <v/>
      </c>
      <c r="N870">
        <f>IF(ISERR(FIND("DECOUPE",Tableau1[[#This Row],[DESIGNATION]])),"","NEED REF")</f>
        <v/>
      </c>
    </row>
    <row r="871">
      <c r="B871" t="n">
        <v>34413131</v>
      </c>
      <c r="C871" s="2" t="n">
        <v>45596</v>
      </c>
      <c r="D871" t="inlineStr">
        <is>
          <t>SPEC</t>
        </is>
      </c>
      <c r="E871" t="inlineStr">
        <is>
          <t>COP 34413131 GVXL 1250KVA OUTPUT L1</t>
        </is>
      </c>
      <c r="F871" s="140" t="inlineStr">
        <is>
          <t>QASH01250</t>
        </is>
      </c>
      <c r="G871" t="inlineStr">
        <is>
          <t>GVXL</t>
        </is>
      </c>
      <c r="I871" t="inlineStr">
        <is>
          <t>1250KVA</t>
        </is>
      </c>
      <c r="J871" t="inlineStr">
        <is>
          <t>BESSIERE</t>
        </is>
      </c>
      <c r="K871" t="inlineStr">
        <is>
          <t>CUIVRE</t>
        </is>
      </c>
      <c r="L871">
        <f>_xlfn.XLOOKUP(Tableau1[[#This Row],[TYPE DE PIECE]],Tableau4[MATIERE],Tableau4[SHORT TYPE],"",0,1)</f>
        <v/>
      </c>
      <c r="N871">
        <f>IF(ISERR(FIND("DECOUPE",Tableau1[[#This Row],[DESIGNATION]])),"","NEED REF")</f>
        <v/>
      </c>
    </row>
    <row r="872">
      <c r="B872" t="n">
        <v>34413130</v>
      </c>
      <c r="C872" s="2" t="n">
        <v>45596</v>
      </c>
      <c r="D872" t="inlineStr">
        <is>
          <t>SPEC</t>
        </is>
      </c>
      <c r="E872" t="inlineStr">
        <is>
          <t>COP 34413130 GVXL 1250KVA OUTPUT L2</t>
        </is>
      </c>
      <c r="F872" s="140" t="inlineStr">
        <is>
          <t>QASH01250</t>
        </is>
      </c>
      <c r="G872" t="inlineStr">
        <is>
          <t>GVXL</t>
        </is>
      </c>
      <c r="I872" t="inlineStr">
        <is>
          <t>1250KVA</t>
        </is>
      </c>
      <c r="J872" t="inlineStr">
        <is>
          <t>BESSIERE</t>
        </is>
      </c>
      <c r="K872" t="inlineStr">
        <is>
          <t>CUIVRE</t>
        </is>
      </c>
      <c r="L872">
        <f>_xlfn.XLOOKUP(Tableau1[[#This Row],[TYPE DE PIECE]],Tableau4[MATIERE],Tableau4[SHORT TYPE],"",0,1)</f>
        <v/>
      </c>
      <c r="N872">
        <f>IF(ISERR(FIND("DECOUPE",Tableau1[[#This Row],[DESIGNATION]])),"","NEED REF")</f>
        <v/>
      </c>
    </row>
    <row r="873">
      <c r="B873" t="n">
        <v>34413129</v>
      </c>
      <c r="C873" s="2" t="n">
        <v>45596</v>
      </c>
      <c r="D873" t="inlineStr">
        <is>
          <t>SPEC</t>
        </is>
      </c>
      <c r="E873" t="inlineStr">
        <is>
          <t>COP 34413129 GVXL 1250KVA OUTPUT L3</t>
        </is>
      </c>
      <c r="F873" s="140" t="inlineStr">
        <is>
          <t>QASH01250</t>
        </is>
      </c>
      <c r="G873" t="inlineStr">
        <is>
          <t>GVXL</t>
        </is>
      </c>
      <c r="I873" t="inlineStr">
        <is>
          <t>1250KVA</t>
        </is>
      </c>
      <c r="J873" t="inlineStr">
        <is>
          <t>BESSIERE</t>
        </is>
      </c>
      <c r="K873" t="inlineStr">
        <is>
          <t>CUIVRE</t>
        </is>
      </c>
      <c r="L873">
        <f>_xlfn.XLOOKUP(Tableau1[[#This Row],[TYPE DE PIECE]],Tableau4[MATIERE],Tableau4[SHORT TYPE],"",0,1)</f>
        <v/>
      </c>
      <c r="N873">
        <f>IF(ISERR(FIND("DECOUPE",Tableau1[[#This Row],[DESIGNATION]])),"","NEED REF")</f>
        <v/>
      </c>
    </row>
    <row r="874">
      <c r="B874" t="n">
        <v>34413128</v>
      </c>
      <c r="C874" s="2" t="n">
        <v>45596</v>
      </c>
      <c r="D874" t="inlineStr">
        <is>
          <t>SPEC</t>
        </is>
      </c>
      <c r="E87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74" t="inlineStr">
        <is>
          <t>QIOD21251</t>
        </is>
      </c>
      <c r="G874" t="inlineStr">
        <is>
          <t>GVXL</t>
        </is>
      </c>
      <c r="I874" t="inlineStr">
        <is>
          <t>1250KVA</t>
        </is>
      </c>
      <c r="J874" t="inlineStr">
        <is>
          <t>BESSIERE</t>
        </is>
      </c>
      <c r="K874" t="inlineStr">
        <is>
          <t>CUIVRE</t>
        </is>
      </c>
      <c r="L874">
        <f>_xlfn.XLOOKUP(Tableau1[[#This Row],[TYPE DE PIECE]],Tableau4[MATIERE],Tableau4[SHORT TYPE],"",0,1)</f>
        <v/>
      </c>
      <c r="N874">
        <f>IF(ISERR(FIND("DECOUPE",Tableau1[[#This Row],[DESIGNATION]])),"","NEED REF")</f>
        <v/>
      </c>
    </row>
    <row r="875">
      <c r="B875" t="n">
        <v>34413127</v>
      </c>
      <c r="C875" s="2" t="n">
        <v>45596</v>
      </c>
      <c r="D875" t="inlineStr">
        <is>
          <t>SPEC</t>
        </is>
      </c>
      <c r="E87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75" t="inlineStr">
        <is>
          <t>GVXL</t>
        </is>
      </c>
      <c r="I875" t="inlineStr">
        <is>
          <t>1250KVA</t>
        </is>
      </c>
      <c r="J875" t="inlineStr">
        <is>
          <t>MATRION</t>
        </is>
      </c>
      <c r="K875" t="inlineStr">
        <is>
          <t>CUIVRE</t>
        </is>
      </c>
      <c r="L875">
        <f>_xlfn.XLOOKUP(Tableau1[[#This Row],[TYPE DE PIECE]],Tableau4[MATIERE],Tableau4[SHORT TYPE],"",0,1)</f>
        <v/>
      </c>
      <c r="N875">
        <f>IF(ISERR(FIND("DECOUPE",Tableau1[[#This Row],[DESIGNATION]])),"","NEED REF")</f>
        <v/>
      </c>
    </row>
    <row r="876">
      <c r="B876" t="n">
        <v>34413126</v>
      </c>
      <c r="C876" s="2" t="n">
        <v>45596</v>
      </c>
      <c r="D876" t="inlineStr">
        <is>
          <t>SPEC</t>
        </is>
      </c>
      <c r="E87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76" t="inlineStr">
        <is>
          <t>GVXL</t>
        </is>
      </c>
      <c r="I876" t="inlineStr">
        <is>
          <t>1250KVA</t>
        </is>
      </c>
      <c r="J876" t="inlineStr">
        <is>
          <t>MATRION</t>
        </is>
      </c>
      <c r="K876" t="inlineStr">
        <is>
          <t>CUIVRE</t>
        </is>
      </c>
      <c r="L876">
        <f>_xlfn.XLOOKUP(Tableau1[[#This Row],[TYPE DE PIECE]],Tableau4[MATIERE],Tableau4[SHORT TYPE],"",0,1)</f>
        <v/>
      </c>
      <c r="N876">
        <f>IF(ISERR(FIND("DECOUPE",Tableau1[[#This Row],[DESIGNATION]])),"","NEED REF")</f>
        <v/>
      </c>
    </row>
    <row r="877">
      <c r="B877" t="n">
        <v>34413125</v>
      </c>
      <c r="C877" s="2" t="n">
        <v>45596</v>
      </c>
      <c r="D877" t="inlineStr">
        <is>
          <t>SPEC</t>
        </is>
      </c>
      <c r="E87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77" t="inlineStr">
        <is>
          <t>GVXL</t>
        </is>
      </c>
      <c r="I877" t="inlineStr">
        <is>
          <t>1250KVA</t>
        </is>
      </c>
      <c r="J877" t="inlineStr">
        <is>
          <t>MATRION</t>
        </is>
      </c>
      <c r="K877" t="inlineStr">
        <is>
          <t>CUIVRE</t>
        </is>
      </c>
      <c r="L877">
        <f>_xlfn.XLOOKUP(Tableau1[[#This Row],[TYPE DE PIECE]],Tableau4[MATIERE],Tableau4[SHORT TYPE],"",0,1)</f>
        <v/>
      </c>
      <c r="N877">
        <f>IF(ISERR(FIND("DECOUPE",Tableau1[[#This Row],[DESIGNATION]])),"","NEED REF")</f>
        <v/>
      </c>
    </row>
    <row r="878">
      <c r="B878" t="n">
        <v>34413124</v>
      </c>
      <c r="C878" s="2" t="n">
        <v>45596</v>
      </c>
      <c r="D878" t="inlineStr">
        <is>
          <t>SPEC</t>
        </is>
      </c>
      <c r="E87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78" t="inlineStr">
        <is>
          <t>GVXL</t>
        </is>
      </c>
      <c r="I878" t="inlineStr">
        <is>
          <t>1250KVA</t>
        </is>
      </c>
      <c r="J878" t="inlineStr">
        <is>
          <t>MATRION</t>
        </is>
      </c>
      <c r="K878" t="inlineStr">
        <is>
          <t>CUIVRE</t>
        </is>
      </c>
      <c r="L878">
        <f>_xlfn.XLOOKUP(Tableau1[[#This Row],[TYPE DE PIECE]],Tableau4[MATIERE],Tableau4[SHORT TYPE],"",0,1)</f>
        <v/>
      </c>
      <c r="N878">
        <f>IF(ISERR(FIND("DECOUPE",Tableau1[[#This Row],[DESIGNATION]])),"","NEED REF")</f>
        <v/>
      </c>
    </row>
    <row r="879">
      <c r="B879" t="n">
        <v>34413123</v>
      </c>
      <c r="C879" s="2" t="n">
        <v>45596</v>
      </c>
      <c r="D879" t="inlineStr">
        <is>
          <t>SPEC</t>
        </is>
      </c>
      <c r="E87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79" t="inlineStr">
        <is>
          <t>GVXL</t>
        </is>
      </c>
      <c r="I879" t="inlineStr">
        <is>
          <t>1250KVA</t>
        </is>
      </c>
      <c r="J879" t="inlineStr">
        <is>
          <t>MATRION</t>
        </is>
      </c>
      <c r="K879" t="inlineStr">
        <is>
          <t>CUIVRE</t>
        </is>
      </c>
      <c r="L879">
        <f>_xlfn.XLOOKUP(Tableau1[[#This Row],[TYPE DE PIECE]],Tableau4[MATIERE],Tableau4[SHORT TYPE],"",0,1)</f>
        <v/>
      </c>
      <c r="N879">
        <f>IF(ISERR(FIND("DECOUPE",Tableau1[[#This Row],[DESIGNATION]])),"","NEED REF")</f>
        <v/>
      </c>
    </row>
    <row r="880">
      <c r="B880" t="n">
        <v>34413122</v>
      </c>
      <c r="C880" s="2" t="n">
        <v>45595</v>
      </c>
      <c r="D880" t="inlineStr">
        <is>
          <t>SPEC</t>
        </is>
      </c>
      <c r="E880" t="inlineStr">
        <is>
          <t>PLA 1250KVA TIGE FILETE M12 370MM</t>
        </is>
      </c>
      <c r="G880" t="inlineStr">
        <is>
          <t>GVXL</t>
        </is>
      </c>
      <c r="I880" t="inlineStr">
        <is>
          <t>1250KVA</t>
        </is>
      </c>
      <c r="J880" t="inlineStr">
        <is>
          <t>BERNARDEAU</t>
        </is>
      </c>
      <c r="K880" t="inlineStr">
        <is>
          <t>PLASTIQUE</t>
        </is>
      </c>
      <c r="L880">
        <f>_xlfn.XLOOKUP(Tableau1[[#This Row],[TYPE DE PIECE]],Tableau4[MATIERE],Tableau4[SHORT TYPE],"",0,1)</f>
        <v/>
      </c>
      <c r="N880">
        <f>IF(ISERR(FIND("DECOUPE",Tableau1[[#This Row],[DESIGNATION]])),"","NEED REF")</f>
        <v/>
      </c>
    </row>
    <row r="881">
      <c r="B881" t="n">
        <v>34413121</v>
      </c>
      <c r="C881" s="2" t="n">
        <v>45595</v>
      </c>
      <c r="D881" t="inlineStr">
        <is>
          <t>SPEC</t>
        </is>
      </c>
      <c r="E881" t="inlineStr">
        <is>
          <t>PLA 1250KVA TIGE FILETE M12 110MM</t>
        </is>
      </c>
      <c r="G881" t="inlineStr">
        <is>
          <t>GVXL</t>
        </is>
      </c>
      <c r="I881" t="inlineStr">
        <is>
          <t>1250KVA</t>
        </is>
      </c>
      <c r="J881" t="inlineStr">
        <is>
          <t>BERNARDEAU</t>
        </is>
      </c>
      <c r="K881" t="inlineStr">
        <is>
          <t>PLASTIQUE</t>
        </is>
      </c>
      <c r="L881">
        <f>_xlfn.XLOOKUP(Tableau1[[#This Row],[TYPE DE PIECE]],Tableau4[MATIERE],Tableau4[SHORT TYPE],"",0,1)</f>
        <v/>
      </c>
      <c r="N881">
        <f>IF(ISERR(FIND("DECOUPE",Tableau1[[#This Row],[DESIGNATION]])),"","NEED REF")</f>
        <v/>
      </c>
    </row>
    <row r="882">
      <c r="B882" t="n">
        <v>34413120</v>
      </c>
      <c r="C882" s="2" t="n">
        <v>45595</v>
      </c>
      <c r="D882" t="inlineStr">
        <is>
          <t>SPEC</t>
        </is>
      </c>
      <c r="E882" t="inlineStr">
        <is>
          <t>PLA 1250KVA TIGE FILETE M12 150MM</t>
        </is>
      </c>
      <c r="G882" t="inlineStr">
        <is>
          <t>GVXL</t>
        </is>
      </c>
      <c r="I882" t="inlineStr">
        <is>
          <t>1250KVA</t>
        </is>
      </c>
      <c r="J882" t="inlineStr">
        <is>
          <t>BERNARDEAU</t>
        </is>
      </c>
      <c r="K882" t="inlineStr">
        <is>
          <t>PLASTIQUE</t>
        </is>
      </c>
      <c r="L882">
        <f>_xlfn.XLOOKUP(Tableau1[[#This Row],[TYPE DE PIECE]],Tableau4[MATIERE],Tableau4[SHORT TYPE],"",0,1)</f>
        <v/>
      </c>
      <c r="N882">
        <f>IF(ISERR(FIND("DECOUPE",Tableau1[[#This Row],[DESIGNATION]])),"","NEED REF")</f>
        <v/>
      </c>
    </row>
    <row r="883">
      <c r="B883" t="n">
        <v>34413119</v>
      </c>
      <c r="C883" s="2" t="n">
        <v>45595</v>
      </c>
      <c r="D883" t="inlineStr">
        <is>
          <t>SPEC</t>
        </is>
      </c>
      <c r="E883" t="inlineStr">
        <is>
          <t>PLA 1250KVA TIGE FILETE M12 270MM</t>
        </is>
      </c>
      <c r="G883" t="inlineStr">
        <is>
          <t>GVXL</t>
        </is>
      </c>
      <c r="I883" t="inlineStr">
        <is>
          <t>1250KVA</t>
        </is>
      </c>
      <c r="J883" t="inlineStr">
        <is>
          <t>BERNARDEAU</t>
        </is>
      </c>
      <c r="K883" t="inlineStr">
        <is>
          <t>PLASTIQUE</t>
        </is>
      </c>
      <c r="L883">
        <f>_xlfn.XLOOKUP(Tableau1[[#This Row],[TYPE DE PIECE]],Tableau4[MATIERE],Tableau4[SHORT TYPE],"",0,1)</f>
        <v/>
      </c>
      <c r="N883">
        <f>IF(ISERR(FIND("DECOUPE",Tableau1[[#This Row],[DESIGNATION]])),"","NEED REF")</f>
        <v/>
      </c>
    </row>
    <row r="884">
      <c r="B884" t="n">
        <v>34413118</v>
      </c>
      <c r="C884" s="2" t="n">
        <v>45595</v>
      </c>
      <c r="D884" t="inlineStr">
        <is>
          <t>SPEC</t>
        </is>
      </c>
      <c r="E88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84" t="inlineStr">
        <is>
          <t>QIOD21251</t>
        </is>
      </c>
      <c r="G884" t="inlineStr">
        <is>
          <t>GVXL</t>
        </is>
      </c>
      <c r="I884" t="inlineStr">
        <is>
          <t>1250KVA</t>
        </is>
      </c>
      <c r="J884" t="inlineStr">
        <is>
          <t>BESSIERE</t>
        </is>
      </c>
      <c r="K884" t="inlineStr">
        <is>
          <t>CUIVRE</t>
        </is>
      </c>
      <c r="L884">
        <f>_xlfn.XLOOKUP(Tableau1[[#This Row],[TYPE DE PIECE]],Tableau4[MATIERE],Tableau4[SHORT TYPE],"",0,1)</f>
        <v/>
      </c>
      <c r="N884">
        <f>IF(ISERR(FIND("DECOUPE",Tableau1[[#This Row],[DESIGNATION]])),"","NEED REF")</f>
        <v/>
      </c>
    </row>
    <row r="885">
      <c r="B885" t="n">
        <v>34413117</v>
      </c>
      <c r="C885" s="2" t="n">
        <v>45595</v>
      </c>
      <c r="D885" t="inlineStr">
        <is>
          <t>SPEC</t>
        </is>
      </c>
      <c r="E88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85" t="inlineStr">
        <is>
          <t>QIOD21251</t>
        </is>
      </c>
      <c r="G885" t="inlineStr">
        <is>
          <t>GVXL</t>
        </is>
      </c>
      <c r="I885" t="inlineStr">
        <is>
          <t>1250KVA</t>
        </is>
      </c>
      <c r="J885" t="inlineStr">
        <is>
          <t>BESSIERE</t>
        </is>
      </c>
      <c r="K885" t="inlineStr">
        <is>
          <t>CUIVRE</t>
        </is>
      </c>
      <c r="L885">
        <f>_xlfn.XLOOKUP(Tableau1[[#This Row],[TYPE DE PIECE]],Tableau4[MATIERE],Tableau4[SHORT TYPE],"",0,1)</f>
        <v/>
      </c>
      <c r="N885">
        <f>IF(ISERR(FIND("DECOUPE",Tableau1[[#This Row],[DESIGNATION]])),"","NEED REF")</f>
        <v/>
      </c>
    </row>
    <row r="886">
      <c r="B886" t="n">
        <v>34413116</v>
      </c>
      <c r="C886" s="2" t="n">
        <v>45595</v>
      </c>
      <c r="D886" t="inlineStr">
        <is>
          <t>SPEC</t>
        </is>
      </c>
      <c r="E88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886" t="inlineStr">
        <is>
          <t>QIOD21251</t>
        </is>
      </c>
      <c r="G886" t="inlineStr">
        <is>
          <t>GVXL</t>
        </is>
      </c>
      <c r="I886" t="inlineStr">
        <is>
          <t>1250KVA</t>
        </is>
      </c>
      <c r="J886" t="inlineStr">
        <is>
          <t>BESSIERE</t>
        </is>
      </c>
      <c r="K886" t="inlineStr">
        <is>
          <t>CUIVRE</t>
        </is>
      </c>
      <c r="L886">
        <f>_xlfn.XLOOKUP(Tableau1[[#This Row],[TYPE DE PIECE]],Tableau4[MATIERE],Tableau4[SHORT TYPE],"",0,1)</f>
        <v/>
      </c>
      <c r="N886">
        <f>IF(ISERR(FIND("DECOUPE",Tableau1[[#This Row],[DESIGNATION]])),"","NEED REF")</f>
        <v/>
      </c>
    </row>
    <row r="887">
      <c r="B887" t="n">
        <v>34413115</v>
      </c>
      <c r="C887" s="2" t="n">
        <v>45595</v>
      </c>
      <c r="D887" t="inlineStr">
        <is>
          <t>SPEC</t>
        </is>
      </c>
      <c r="E887" t="inlineStr">
        <is>
          <t>SMT 34413115 GVXL 1250KVA SUPPORT VA 1 DA ARC SENSOR</t>
        </is>
      </c>
      <c r="F887" s="140" t="inlineStr">
        <is>
          <t>QASH01250</t>
        </is>
      </c>
      <c r="G887" t="inlineStr">
        <is>
          <t>GVXL</t>
        </is>
      </c>
      <c r="I887" t="inlineStr">
        <is>
          <t>1250KVA</t>
        </is>
      </c>
      <c r="J887" t="inlineStr">
        <is>
          <t>BESSIERE</t>
        </is>
      </c>
      <c r="K887" t="inlineStr">
        <is>
          <t>METAL</t>
        </is>
      </c>
      <c r="L887">
        <f>_xlfn.XLOOKUP(Tableau1[[#This Row],[TYPE DE PIECE]],Tableau4[MATIERE],Tableau4[SHORT TYPE],"",0,1)</f>
        <v/>
      </c>
      <c r="N887">
        <f>IF(ISERR(FIND("DECOUPE",Tableau1[[#This Row],[DESIGNATION]])),"","NEED REF")</f>
        <v/>
      </c>
    </row>
    <row r="888">
      <c r="B888" t="n">
        <v>34413114</v>
      </c>
      <c r="C888" s="2" t="n">
        <v>45595</v>
      </c>
      <c r="D888" t="inlineStr">
        <is>
          <t>SPEC</t>
        </is>
      </c>
      <c r="E888" t="inlineStr">
        <is>
          <t>COP 34413114 GVXL 1250KVA R2 N</t>
        </is>
      </c>
      <c r="F888" t="inlineStr">
        <is>
          <t>QIOD21251</t>
        </is>
      </c>
      <c r="G888" t="inlineStr">
        <is>
          <t>GVXL</t>
        </is>
      </c>
      <c r="I888" t="inlineStr">
        <is>
          <t>1250KVA</t>
        </is>
      </c>
      <c r="J888" t="inlineStr">
        <is>
          <t>BESSIERE</t>
        </is>
      </c>
      <c r="K888" t="inlineStr">
        <is>
          <t>CUIVRE</t>
        </is>
      </c>
      <c r="L888">
        <f>_xlfn.XLOOKUP(Tableau1[[#This Row],[TYPE DE PIECE]],Tableau4[MATIERE],Tableau4[SHORT TYPE],"",0,1)</f>
        <v/>
      </c>
      <c r="N888">
        <f>IF(ISERR(FIND("DECOUPE",Tableau1[[#This Row],[DESIGNATION]])),"","NEED REF")</f>
        <v/>
      </c>
    </row>
    <row r="889">
      <c r="B889" t="n">
        <v>34413113</v>
      </c>
      <c r="C889" s="2" t="n">
        <v>45595</v>
      </c>
      <c r="D889" t="inlineStr">
        <is>
          <t>SPEC</t>
        </is>
      </c>
      <c r="E889" t="inlineStr">
        <is>
          <t>SMT 34413113 GVXL TGAB PLAIN ROOF MIDDLE</t>
        </is>
      </c>
      <c r="F889" s="140" t="inlineStr">
        <is>
          <t>QASH01250</t>
        </is>
      </c>
      <c r="G889" t="inlineStr">
        <is>
          <t>GVXL</t>
        </is>
      </c>
      <c r="I889" t="inlineStr">
        <is>
          <t>1250KVA</t>
        </is>
      </c>
      <c r="J889" t="inlineStr">
        <is>
          <t>BESSIERE</t>
        </is>
      </c>
      <c r="K889" t="inlineStr">
        <is>
          <t>METAL</t>
        </is>
      </c>
      <c r="L889">
        <f>_xlfn.XLOOKUP(Tableau1[[#This Row],[TYPE DE PIECE]],Tableau4[MATIERE],Tableau4[SHORT TYPE],"",0,1)</f>
        <v/>
      </c>
      <c r="N889">
        <f>IF(ISERR(FIND("DECOUPE",Tableau1[[#This Row],[DESIGNATION]])),"","NEED REF")</f>
        <v/>
      </c>
    </row>
    <row r="890">
      <c r="B890" t="n">
        <v>34413112</v>
      </c>
      <c r="C890" s="2" t="n">
        <v>45595</v>
      </c>
      <c r="D890" t="inlineStr">
        <is>
          <t>SPEC</t>
        </is>
      </c>
      <c r="E890" t="inlineStr">
        <is>
          <t>SMT 34413112 GVXL TGAB ROOF KTA2000 OUTER PART</t>
        </is>
      </c>
      <c r="F890" s="140" t="inlineStr">
        <is>
          <t>QASH01250</t>
        </is>
      </c>
      <c r="G890" t="inlineStr">
        <is>
          <t>GVXL</t>
        </is>
      </c>
      <c r="I890" t="inlineStr">
        <is>
          <t>1250KVA</t>
        </is>
      </c>
      <c r="J890" t="inlineStr">
        <is>
          <t>BESSIERE</t>
        </is>
      </c>
      <c r="K890" t="inlineStr">
        <is>
          <t>METAL</t>
        </is>
      </c>
      <c r="L890">
        <f>_xlfn.XLOOKUP(Tableau1[[#This Row],[TYPE DE PIECE]],Tableau4[MATIERE],Tableau4[SHORT TYPE],"",0,1)</f>
        <v/>
      </c>
      <c r="N890">
        <f>IF(ISERR(FIND("DECOUPE",Tableau1[[#This Row],[DESIGNATION]])),"","NEED REF")</f>
        <v/>
      </c>
    </row>
    <row r="891">
      <c r="B891" t="n">
        <v>34413111</v>
      </c>
      <c r="C891" s="2" t="n">
        <v>45595</v>
      </c>
      <c r="D891" t="inlineStr">
        <is>
          <t>SPEC</t>
        </is>
      </c>
      <c r="E891" t="inlineStr">
        <is>
          <t>SMT 34413111 GVXL TGAB ROOF KTA2000 INNER PART</t>
        </is>
      </c>
      <c r="F891" s="140" t="inlineStr">
        <is>
          <t>QASH01250</t>
        </is>
      </c>
      <c r="G891" t="inlineStr">
        <is>
          <t>GVXL</t>
        </is>
      </c>
      <c r="I891" t="inlineStr">
        <is>
          <t>1250KVA</t>
        </is>
      </c>
      <c r="J891" t="inlineStr">
        <is>
          <t>BESSIERE</t>
        </is>
      </c>
      <c r="K891" t="inlineStr">
        <is>
          <t>METAL</t>
        </is>
      </c>
      <c r="L891">
        <f>_xlfn.XLOOKUP(Tableau1[[#This Row],[TYPE DE PIECE]],Tableau4[MATIERE],Tableau4[SHORT TYPE],"",0,1)</f>
        <v/>
      </c>
      <c r="N891">
        <f>IF(ISERR(FIND("DECOUPE",Tableau1[[#This Row],[DESIGNATION]])),"","NEED REF")</f>
        <v/>
      </c>
    </row>
    <row r="892">
      <c r="B892" t="n">
        <v>34413110</v>
      </c>
      <c r="C892" s="2" t="n">
        <v>45595</v>
      </c>
      <c r="D892" t="inlineStr">
        <is>
          <t>SPEC</t>
        </is>
      </c>
      <c r="E892" t="inlineStr">
        <is>
          <t>SMT 34413110 GVXL TGAB ROOF KTA2500 INNER PART</t>
        </is>
      </c>
      <c r="F892" s="140" t="inlineStr">
        <is>
          <t>QASH01250</t>
        </is>
      </c>
      <c r="G892" t="inlineStr">
        <is>
          <t>GVXL</t>
        </is>
      </c>
      <c r="I892" t="inlineStr">
        <is>
          <t>1250KVA</t>
        </is>
      </c>
      <c r="J892" t="inlineStr">
        <is>
          <t>BESSIERE</t>
        </is>
      </c>
      <c r="K892" t="inlineStr">
        <is>
          <t>METAL</t>
        </is>
      </c>
      <c r="L892">
        <f>_xlfn.XLOOKUP(Tableau1[[#This Row],[TYPE DE PIECE]],Tableau4[MATIERE],Tableau4[SHORT TYPE],"",0,1)</f>
        <v/>
      </c>
      <c r="N892">
        <f>IF(ISERR(FIND("DECOUPE",Tableau1[[#This Row],[DESIGNATION]])),"","NEED REF")</f>
        <v/>
      </c>
    </row>
    <row r="893">
      <c r="B893" t="n">
        <v>34413109</v>
      </c>
      <c r="C893" s="2" t="n">
        <v>45595</v>
      </c>
      <c r="D893" t="inlineStr">
        <is>
          <t>SPEC</t>
        </is>
      </c>
      <c r="E893" t="inlineStr">
        <is>
          <t>SMT 34413109 GVXL TGAB ROOF KTA2500 OUTER PART</t>
        </is>
      </c>
      <c r="F893" s="140" t="inlineStr">
        <is>
          <t>QASH01250</t>
        </is>
      </c>
      <c r="G893" t="inlineStr">
        <is>
          <t>GVXL</t>
        </is>
      </c>
      <c r="I893" t="inlineStr">
        <is>
          <t>1250KVA</t>
        </is>
      </c>
      <c r="J893" t="inlineStr">
        <is>
          <t>BESSIERE</t>
        </is>
      </c>
      <c r="K893" t="inlineStr">
        <is>
          <t>METAL</t>
        </is>
      </c>
      <c r="L893">
        <f>_xlfn.XLOOKUP(Tableau1[[#This Row],[TYPE DE PIECE]],Tableau4[MATIERE],Tableau4[SHORT TYPE],"",0,1)</f>
        <v/>
      </c>
      <c r="N893">
        <f>IF(ISERR(FIND("DECOUPE",Tableau1[[#This Row],[DESIGNATION]])),"","NEED REF")</f>
        <v/>
      </c>
    </row>
    <row r="894">
      <c r="B894" t="n">
        <v>34413108</v>
      </c>
      <c r="C894" s="2" t="n">
        <v>45595</v>
      </c>
      <c r="D894" t="inlineStr">
        <is>
          <t>SPEC</t>
        </is>
      </c>
      <c r="E89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94" t="inlineStr">
        <is>
          <t>GVXL</t>
        </is>
      </c>
      <c r="I894" t="inlineStr">
        <is>
          <t>100kA</t>
        </is>
      </c>
      <c r="J894" t="inlineStr">
        <is>
          <t>MATRION</t>
        </is>
      </c>
      <c r="K894" t="inlineStr">
        <is>
          <t>PLASTIQUE</t>
        </is>
      </c>
      <c r="L894">
        <f>_xlfn.XLOOKUP(Tableau1[[#This Row],[TYPE DE PIECE]],Tableau4[MATIERE],Tableau4[SHORT TYPE],"",0,1)</f>
        <v/>
      </c>
      <c r="N894">
        <f>IF(ISERR(FIND("DECOUPE",Tableau1[[#This Row],[DESIGNATION]])),"","NEED REF")</f>
        <v/>
      </c>
    </row>
    <row r="895">
      <c r="B895" t="n">
        <v>34413107</v>
      </c>
      <c r="C895" s="2" t="n">
        <v>45595</v>
      </c>
      <c r="D895" t="inlineStr">
        <is>
          <t>SPEC</t>
        </is>
      </c>
      <c r="E895" t="inlineStr">
        <is>
          <t>SMT 34413107 PLAQUE BAS JDB 100kA</t>
        </is>
      </c>
      <c r="G895" t="inlineStr">
        <is>
          <t>GVXL</t>
        </is>
      </c>
      <c r="I895" t="inlineStr">
        <is>
          <t>100kA</t>
        </is>
      </c>
      <c r="J895" t="inlineStr">
        <is>
          <t>MATRION</t>
        </is>
      </c>
      <c r="K895" t="inlineStr">
        <is>
          <t>METAL</t>
        </is>
      </c>
      <c r="L895">
        <f>_xlfn.XLOOKUP(Tableau1[[#This Row],[TYPE DE PIECE]],Tableau4[MATIERE],Tableau4[SHORT TYPE],"",0,1)</f>
        <v/>
      </c>
      <c r="N895">
        <f>IF(ISERR(FIND("DECOUPE",Tableau1[[#This Row],[DESIGNATION]])),"","NEED REF")</f>
        <v/>
      </c>
    </row>
    <row r="896">
      <c r="B896" t="n">
        <v>34413106</v>
      </c>
      <c r="C896" s="2" t="n">
        <v>45594</v>
      </c>
      <c r="D896" t="inlineStr">
        <is>
          <t>SPEC</t>
        </is>
      </c>
      <c r="E896" t="inlineStr">
        <is>
          <t>COP COPPER BAR DC 2</t>
        </is>
      </c>
      <c r="G896" t="inlineStr">
        <is>
          <t>GVXL</t>
        </is>
      </c>
      <c r="I896" t="inlineStr">
        <is>
          <t>1250KVA</t>
        </is>
      </c>
      <c r="J896" t="inlineStr">
        <is>
          <t>BERNARDEAU</t>
        </is>
      </c>
      <c r="K896" t="inlineStr">
        <is>
          <t>CUIVRE</t>
        </is>
      </c>
      <c r="L896">
        <f>_xlfn.XLOOKUP(Tableau1[[#This Row],[TYPE DE PIECE]],Tableau4[MATIERE],Tableau4[SHORT TYPE],"",0,1)</f>
        <v/>
      </c>
      <c r="N896">
        <f>IF(ISERR(FIND("DECOUPE",Tableau1[[#This Row],[DESIGNATION]])),"","NEED REF")</f>
        <v/>
      </c>
    </row>
    <row r="897">
      <c r="B897" t="n">
        <v>34413105</v>
      </c>
      <c r="C897" s="2" t="n">
        <v>45594</v>
      </c>
      <c r="D897" t="inlineStr">
        <is>
          <t>SPEC</t>
        </is>
      </c>
      <c r="E897" t="inlineStr">
        <is>
          <t>COP COPPER BAR DC 1</t>
        </is>
      </c>
      <c r="G897" t="inlineStr">
        <is>
          <t>GVXL</t>
        </is>
      </c>
      <c r="I897" t="inlineStr">
        <is>
          <t>1250KVA</t>
        </is>
      </c>
      <c r="J897" t="inlineStr">
        <is>
          <t>BERNARDEAU</t>
        </is>
      </c>
      <c r="K897" t="inlineStr">
        <is>
          <t>CUIVRE</t>
        </is>
      </c>
      <c r="L897">
        <f>_xlfn.XLOOKUP(Tableau1[[#This Row],[TYPE DE PIECE]],Tableau4[MATIERE],Tableau4[SHORT TYPE],"",0,1)</f>
        <v/>
      </c>
      <c r="N897">
        <f>IF(ISERR(FIND("DECOUPE",Tableau1[[#This Row],[DESIGNATION]])),"","NEED REF")</f>
        <v/>
      </c>
    </row>
    <row r="898">
      <c r="B898" t="n">
        <v>34413104</v>
      </c>
      <c r="C898" s="2" t="n">
        <v>45594</v>
      </c>
      <c r="D898" t="inlineStr">
        <is>
          <t>SPEC</t>
        </is>
      </c>
      <c r="E89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98" t="inlineStr">
        <is>
          <t>GVXL</t>
        </is>
      </c>
      <c r="I898" t="inlineStr">
        <is>
          <t>1250KVA</t>
        </is>
      </c>
      <c r="J898" t="inlineStr">
        <is>
          <t>MATRION</t>
        </is>
      </c>
      <c r="K898" t="inlineStr">
        <is>
          <t>METAL</t>
        </is>
      </c>
      <c r="L898">
        <f>_xlfn.XLOOKUP(Tableau1[[#This Row],[TYPE DE PIECE]],Tableau4[MATIERE],Tableau4[SHORT TYPE],"",0,1)</f>
        <v/>
      </c>
      <c r="N898">
        <f>IF(ISERR(FIND("DECOUPE",Tableau1[[#This Row],[DESIGNATION]])),"","NEED REF")</f>
        <v/>
      </c>
    </row>
    <row r="899">
      <c r="B899" t="n">
        <v>34413103</v>
      </c>
      <c r="C899" s="2" t="n">
        <v>45594</v>
      </c>
      <c r="D899" t="inlineStr">
        <is>
          <t>SPEC</t>
        </is>
      </c>
      <c r="E89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899" t="inlineStr">
        <is>
          <t>GVXL</t>
        </is>
      </c>
      <c r="I899" t="inlineStr">
        <is>
          <t>1250KVA</t>
        </is>
      </c>
      <c r="J899" t="inlineStr">
        <is>
          <t>MATRION</t>
        </is>
      </c>
      <c r="K899" t="inlineStr">
        <is>
          <t>METAL</t>
        </is>
      </c>
      <c r="L899">
        <f>_xlfn.XLOOKUP(Tableau1[[#This Row],[TYPE DE PIECE]],Tableau4[MATIERE],Tableau4[SHORT TYPE],"",0,1)</f>
        <v/>
      </c>
      <c r="N899">
        <f>IF(ISERR(FIND("DECOUPE",Tableau1[[#This Row],[DESIGNATION]])),"","NEED REF")</f>
        <v/>
      </c>
    </row>
    <row r="900">
      <c r="B900" t="n">
        <v>34413102</v>
      </c>
      <c r="C900" s="2" t="n">
        <v>45594</v>
      </c>
      <c r="D900" t="inlineStr">
        <is>
          <t>SPEC</t>
        </is>
      </c>
      <c r="E90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00" t="inlineStr">
        <is>
          <t>GVXL</t>
        </is>
      </c>
      <c r="I900" t="inlineStr">
        <is>
          <t>1250KVA</t>
        </is>
      </c>
      <c r="J900" t="inlineStr">
        <is>
          <t>MATRION</t>
        </is>
      </c>
      <c r="K900" t="inlineStr">
        <is>
          <t>METAL</t>
        </is>
      </c>
      <c r="L900">
        <f>_xlfn.XLOOKUP(Tableau1[[#This Row],[TYPE DE PIECE]],Tableau4[MATIERE],Tableau4[SHORT TYPE],"",0,1)</f>
        <v/>
      </c>
      <c r="N900">
        <f>IF(ISERR(FIND("DECOUPE",Tableau1[[#This Row],[DESIGNATION]])),"","NEED REF")</f>
        <v/>
      </c>
    </row>
    <row r="901">
      <c r="B901" t="n">
        <v>34413101</v>
      </c>
      <c r="C901" s="2" t="n">
        <v>45594</v>
      </c>
      <c r="D901" t="inlineStr">
        <is>
          <t>SPEC</t>
        </is>
      </c>
      <c r="E901" t="inlineStr">
        <is>
          <t>COP COPPER BAR OUTPUT 6</t>
        </is>
      </c>
      <c r="G901" t="inlineStr">
        <is>
          <t>GVXL</t>
        </is>
      </c>
      <c r="I901" t="inlineStr">
        <is>
          <t>1250KVA</t>
        </is>
      </c>
      <c r="J901" t="inlineStr">
        <is>
          <t>BERNARDEAU</t>
        </is>
      </c>
      <c r="K901" t="inlineStr">
        <is>
          <t>CUIVRE</t>
        </is>
      </c>
      <c r="L901">
        <f>_xlfn.XLOOKUP(Tableau1[[#This Row],[TYPE DE PIECE]],Tableau4[MATIERE],Tableau4[SHORT TYPE],"",0,1)</f>
        <v/>
      </c>
      <c r="N901">
        <f>IF(ISERR(FIND("DECOUPE",Tableau1[[#This Row],[DESIGNATION]])),"","NEED REF")</f>
        <v/>
      </c>
    </row>
    <row r="902">
      <c r="B902" t="n">
        <v>34413100</v>
      </c>
      <c r="C902" s="2" t="n">
        <v>45594</v>
      </c>
      <c r="D902" t="inlineStr">
        <is>
          <t>SPEC</t>
        </is>
      </c>
      <c r="E902" t="inlineStr">
        <is>
          <t>COP COPPER BAR OUTPUT 5</t>
        </is>
      </c>
      <c r="G902" t="inlineStr">
        <is>
          <t>GVXL</t>
        </is>
      </c>
      <c r="I902" t="inlineStr">
        <is>
          <t>1250KVA</t>
        </is>
      </c>
      <c r="J902" t="inlineStr">
        <is>
          <t>BERNARDEAU</t>
        </is>
      </c>
      <c r="K902" t="inlineStr">
        <is>
          <t>CUIVRE</t>
        </is>
      </c>
      <c r="L902">
        <f>_xlfn.XLOOKUP(Tableau1[[#This Row],[TYPE DE PIECE]],Tableau4[MATIERE],Tableau4[SHORT TYPE],"",0,1)</f>
        <v/>
      </c>
      <c r="N902">
        <f>IF(ISERR(FIND("DECOUPE",Tableau1[[#This Row],[DESIGNATION]])),"","NEED REF")</f>
        <v/>
      </c>
    </row>
    <row r="903">
      <c r="B903" t="n">
        <v>34413099</v>
      </c>
      <c r="C903" s="2" t="n">
        <v>45594</v>
      </c>
      <c r="D903" t="inlineStr">
        <is>
          <t>SPEC</t>
        </is>
      </c>
      <c r="E903" t="inlineStr">
        <is>
          <t>COP COPPER BAR OUTPUT 4</t>
        </is>
      </c>
      <c r="G903" t="inlineStr">
        <is>
          <t>GVXL</t>
        </is>
      </c>
      <c r="I903" t="inlineStr">
        <is>
          <t>1250KVA</t>
        </is>
      </c>
      <c r="J903" t="inlineStr">
        <is>
          <t>BERNARDEAU</t>
        </is>
      </c>
      <c r="K903" t="inlineStr">
        <is>
          <t>CUIVRE</t>
        </is>
      </c>
      <c r="L903">
        <f>_xlfn.XLOOKUP(Tableau1[[#This Row],[TYPE DE PIECE]],Tableau4[MATIERE],Tableau4[SHORT TYPE],"",0,1)</f>
        <v/>
      </c>
      <c r="N903">
        <f>IF(ISERR(FIND("DECOUPE",Tableau1[[#This Row],[DESIGNATION]])),"","NEED REF")</f>
        <v/>
      </c>
    </row>
    <row r="904">
      <c r="B904" t="n">
        <v>34413098</v>
      </c>
      <c r="C904" s="2" t="n">
        <v>45594</v>
      </c>
      <c r="D904" t="inlineStr">
        <is>
          <t>SPEC</t>
        </is>
      </c>
      <c r="E904" t="inlineStr">
        <is>
          <t>COP COPPER BAR OUTPUT 3</t>
        </is>
      </c>
      <c r="G904" t="inlineStr">
        <is>
          <t>GVXL</t>
        </is>
      </c>
      <c r="I904" t="inlineStr">
        <is>
          <t>1250KVA</t>
        </is>
      </c>
      <c r="J904" t="inlineStr">
        <is>
          <t>BERNARDEAU</t>
        </is>
      </c>
      <c r="K904" t="inlineStr">
        <is>
          <t>CUIVRE</t>
        </is>
      </c>
      <c r="L904">
        <f>_xlfn.XLOOKUP(Tableau1[[#This Row],[TYPE DE PIECE]],Tableau4[MATIERE],Tableau4[SHORT TYPE],"",0,1)</f>
        <v/>
      </c>
      <c r="N904">
        <f>IF(ISERR(FIND("DECOUPE",Tableau1[[#This Row],[DESIGNATION]])),"","NEED REF")</f>
        <v/>
      </c>
    </row>
    <row r="905">
      <c r="B905" t="n">
        <v>34413097</v>
      </c>
      <c r="C905" s="2" t="n">
        <v>45594</v>
      </c>
      <c r="D905" t="inlineStr">
        <is>
          <t>SPEC</t>
        </is>
      </c>
      <c r="E90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05" t="inlineStr">
        <is>
          <t>GVXL</t>
        </is>
      </c>
      <c r="I905" t="inlineStr">
        <is>
          <t>1250KVA</t>
        </is>
      </c>
      <c r="J905" t="inlineStr">
        <is>
          <t>MATRION</t>
        </is>
      </c>
      <c r="K905" t="inlineStr">
        <is>
          <t>METAL</t>
        </is>
      </c>
      <c r="L905">
        <f>_xlfn.XLOOKUP(Tableau1[[#This Row],[TYPE DE PIECE]],Tableau4[MATIERE],Tableau4[SHORT TYPE],"",0,1)</f>
        <v/>
      </c>
      <c r="N905">
        <f>IF(ISERR(FIND("DECOUPE",Tableau1[[#This Row],[DESIGNATION]])),"","NEED REF")</f>
        <v/>
      </c>
    </row>
    <row r="906">
      <c r="B906" t="n">
        <v>34413096</v>
      </c>
      <c r="C906" s="2" t="n">
        <v>45594</v>
      </c>
      <c r="D906" t="inlineStr">
        <is>
          <t>SPEC</t>
        </is>
      </c>
      <c r="E90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06" t="inlineStr">
        <is>
          <t>GVXL</t>
        </is>
      </c>
      <c r="I906" t="inlineStr">
        <is>
          <t>1250KVA</t>
        </is>
      </c>
      <c r="J906" t="inlineStr">
        <is>
          <t>MATRION</t>
        </is>
      </c>
      <c r="K906" t="inlineStr">
        <is>
          <t>METAL</t>
        </is>
      </c>
      <c r="L906">
        <f>_xlfn.XLOOKUP(Tableau1[[#This Row],[TYPE DE PIECE]],Tableau4[MATIERE],Tableau4[SHORT TYPE],"",0,1)</f>
        <v/>
      </c>
      <c r="N906">
        <f>IF(ISERR(FIND("DECOUPE",Tableau1[[#This Row],[DESIGNATION]])),"","NEED REF")</f>
        <v/>
      </c>
    </row>
    <row r="907">
      <c r="B907" t="n">
        <v>34413095</v>
      </c>
      <c r="C907" s="2" t="n">
        <v>45594</v>
      </c>
      <c r="D907" t="inlineStr">
        <is>
          <t>SPEC</t>
        </is>
      </c>
      <c r="E90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07" t="inlineStr">
        <is>
          <t>GVXL</t>
        </is>
      </c>
      <c r="I907" t="inlineStr">
        <is>
          <t>1250KVA</t>
        </is>
      </c>
      <c r="J907" t="inlineStr">
        <is>
          <t>MATRION</t>
        </is>
      </c>
      <c r="K907" t="inlineStr">
        <is>
          <t>METAL</t>
        </is>
      </c>
      <c r="L907">
        <f>_xlfn.XLOOKUP(Tableau1[[#This Row],[TYPE DE PIECE]],Tableau4[MATIERE],Tableau4[SHORT TYPE],"",0,1)</f>
        <v/>
      </c>
      <c r="N907">
        <f>IF(ISERR(FIND("DECOUPE",Tableau1[[#This Row],[DESIGNATION]])),"","NEED REF")</f>
        <v/>
      </c>
    </row>
    <row r="908">
      <c r="B908" t="n">
        <v>34413094</v>
      </c>
      <c r="C908" s="2" t="n">
        <v>45594</v>
      </c>
      <c r="D908" t="inlineStr">
        <is>
          <t>SPEC</t>
        </is>
      </c>
      <c r="E90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08" t="inlineStr">
        <is>
          <t>GVXL</t>
        </is>
      </c>
      <c r="I908" t="inlineStr">
        <is>
          <t>1250KVA</t>
        </is>
      </c>
      <c r="J908" t="inlineStr">
        <is>
          <t>MATRION</t>
        </is>
      </c>
      <c r="K908" t="inlineStr">
        <is>
          <t>CUIVRE</t>
        </is>
      </c>
      <c r="L908">
        <f>_xlfn.XLOOKUP(Tableau1[[#This Row],[TYPE DE PIECE]],Tableau4[MATIERE],Tableau4[SHORT TYPE],"",0,1)</f>
        <v/>
      </c>
      <c r="N908">
        <f>IF(ISERR(FIND("DECOUPE",Tableau1[[#This Row],[DESIGNATION]])),"","NEED REF")</f>
        <v/>
      </c>
    </row>
    <row r="909">
      <c r="B909" t="n">
        <v>34413093</v>
      </c>
      <c r="C909" s="2" t="n">
        <v>45594</v>
      </c>
      <c r="D909" t="inlineStr">
        <is>
          <t>SPEC</t>
        </is>
      </c>
      <c r="E90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09" t="inlineStr">
        <is>
          <t>GVXL</t>
        </is>
      </c>
      <c r="I909" t="inlineStr">
        <is>
          <t>1250KVA</t>
        </is>
      </c>
      <c r="J909" t="inlineStr">
        <is>
          <t>MATRION</t>
        </is>
      </c>
      <c r="K909" t="inlineStr">
        <is>
          <t>CUIVRE</t>
        </is>
      </c>
      <c r="L909">
        <f>_xlfn.XLOOKUP(Tableau1[[#This Row],[TYPE DE PIECE]],Tableau4[MATIERE],Tableau4[SHORT TYPE],"",0,1)</f>
        <v/>
      </c>
      <c r="N909">
        <f>IF(ISERR(FIND("DECOUPE",Tableau1[[#This Row],[DESIGNATION]])),"","NEED REF")</f>
        <v/>
      </c>
    </row>
    <row r="910">
      <c r="B910" t="n">
        <v>34413092</v>
      </c>
      <c r="C910" s="2" t="n">
        <v>45594</v>
      </c>
      <c r="D910" t="inlineStr">
        <is>
          <t>SPEC</t>
        </is>
      </c>
      <c r="E91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10" t="inlineStr">
        <is>
          <t>GVXL</t>
        </is>
      </c>
      <c r="I910" t="inlineStr">
        <is>
          <t>1250KVA</t>
        </is>
      </c>
      <c r="J910" t="inlineStr">
        <is>
          <t>MATRION</t>
        </is>
      </c>
      <c r="K910" t="inlineStr">
        <is>
          <t>CUIVRE</t>
        </is>
      </c>
      <c r="L910">
        <f>_xlfn.XLOOKUP(Tableau1[[#This Row],[TYPE DE PIECE]],Tableau4[MATIERE],Tableau4[SHORT TYPE],"",0,1)</f>
        <v/>
      </c>
      <c r="N910">
        <f>IF(ISERR(FIND("DECOUPE",Tableau1[[#This Row],[DESIGNATION]])),"","NEED REF")</f>
        <v/>
      </c>
    </row>
    <row r="911">
      <c r="B911" t="n">
        <v>34413091</v>
      </c>
      <c r="C911" s="2" t="n">
        <v>45594</v>
      </c>
      <c r="D911" t="inlineStr">
        <is>
          <t>SPEC</t>
        </is>
      </c>
      <c r="E91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11" t="inlineStr">
        <is>
          <t>GVXL</t>
        </is>
      </c>
      <c r="I911" t="inlineStr">
        <is>
          <t>1250KVA</t>
        </is>
      </c>
      <c r="J911" t="inlineStr">
        <is>
          <t>MATRION</t>
        </is>
      </c>
      <c r="K911" t="inlineStr">
        <is>
          <t>CUIVRE</t>
        </is>
      </c>
      <c r="L911">
        <f>_xlfn.XLOOKUP(Tableau1[[#This Row],[TYPE DE PIECE]],Tableau4[MATIERE],Tableau4[SHORT TYPE],"",0,1)</f>
        <v/>
      </c>
      <c r="N911">
        <f>IF(ISERR(FIND("DECOUPE",Tableau1[[#This Row],[DESIGNATION]])),"","NEED REF")</f>
        <v/>
      </c>
    </row>
    <row r="912">
      <c r="B912" t="n">
        <v>34413090</v>
      </c>
      <c r="C912" s="2" t="n">
        <v>45594</v>
      </c>
      <c r="D912" t="inlineStr">
        <is>
          <t>SPEC</t>
        </is>
      </c>
      <c r="E91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12" t="inlineStr">
        <is>
          <t>GVXL</t>
        </is>
      </c>
      <c r="I912" t="inlineStr">
        <is>
          <t>1250KVA</t>
        </is>
      </c>
      <c r="J912" t="inlineStr">
        <is>
          <t>MATRION</t>
        </is>
      </c>
      <c r="K912" t="inlineStr">
        <is>
          <t>CUIVRE</t>
        </is>
      </c>
      <c r="L912">
        <f>_xlfn.XLOOKUP(Tableau1[[#This Row],[TYPE DE PIECE]],Tableau4[MATIERE],Tableau4[SHORT TYPE],"",0,1)</f>
        <v/>
      </c>
      <c r="N912">
        <f>IF(ISERR(FIND("DECOUPE",Tableau1[[#This Row],[DESIGNATION]])),"","NEED REF")</f>
        <v/>
      </c>
    </row>
    <row r="913">
      <c r="B913" t="n">
        <v>34413089</v>
      </c>
      <c r="C913" s="2" t="n">
        <v>45594</v>
      </c>
      <c r="D913" t="inlineStr">
        <is>
          <t>SPEC</t>
        </is>
      </c>
      <c r="E91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13" t="inlineStr">
        <is>
          <t>GVXL</t>
        </is>
      </c>
      <c r="I913" t="inlineStr">
        <is>
          <t>1250KVA</t>
        </is>
      </c>
      <c r="J913" t="inlineStr">
        <is>
          <t>MATRION</t>
        </is>
      </c>
      <c r="K913" t="inlineStr">
        <is>
          <t>CUIVRE</t>
        </is>
      </c>
      <c r="L913">
        <f>_xlfn.XLOOKUP(Tableau1[[#This Row],[TYPE DE PIECE]],Tableau4[MATIERE],Tableau4[SHORT TYPE],"",0,1)</f>
        <v/>
      </c>
      <c r="N913">
        <f>IF(ISERR(FIND("DECOUPE",Tableau1[[#This Row],[DESIGNATION]])),"","NEED REF")</f>
        <v/>
      </c>
    </row>
    <row r="914">
      <c r="B914" t="n">
        <v>34413088</v>
      </c>
      <c r="C914" s="2" t="n">
        <v>45594</v>
      </c>
      <c r="D914" t="inlineStr">
        <is>
          <t>SPEC</t>
        </is>
      </c>
      <c r="E91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14" t="inlineStr">
        <is>
          <t>GVXL</t>
        </is>
      </c>
      <c r="I914" t="inlineStr">
        <is>
          <t>1250KVA</t>
        </is>
      </c>
      <c r="J914" t="inlineStr">
        <is>
          <t>MATRION</t>
        </is>
      </c>
      <c r="K914" t="inlineStr">
        <is>
          <t>CUIVRE</t>
        </is>
      </c>
      <c r="L914">
        <f>_xlfn.XLOOKUP(Tableau1[[#This Row],[TYPE DE PIECE]],Tableau4[MATIERE],Tableau4[SHORT TYPE],"",0,1)</f>
        <v/>
      </c>
      <c r="N914">
        <f>IF(ISERR(FIND("DECOUPE",Tableau1[[#This Row],[DESIGNATION]])),"","NEED REF")</f>
        <v/>
      </c>
    </row>
    <row r="915">
      <c r="B915" t="n">
        <v>34413087</v>
      </c>
      <c r="C915" s="2" t="n">
        <v>45593</v>
      </c>
      <c r="D915" t="inlineStr">
        <is>
          <t>SPEC</t>
        </is>
      </c>
      <c r="E91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15" t="inlineStr">
        <is>
          <t>QPPL40904</t>
        </is>
      </c>
      <c r="G915" t="inlineStr">
        <is>
          <t>GVXL</t>
        </is>
      </c>
      <c r="I915" t="inlineStr">
        <is>
          <t>1250KVA</t>
        </is>
      </c>
      <c r="J915" t="inlineStr">
        <is>
          <t>BESSIERE</t>
        </is>
      </c>
      <c r="K915" t="inlineStr">
        <is>
          <t>METAL</t>
        </is>
      </c>
      <c r="L915">
        <f>_xlfn.XLOOKUP(Tableau1[[#This Row],[TYPE DE PIECE]],Tableau4[MATIERE],Tableau4[SHORT TYPE],"",0,1)</f>
        <v/>
      </c>
      <c r="N915">
        <f>IF(ISERR(FIND("DECOUPE",Tableau1[[#This Row],[DESIGNATION]])),"","NEED REF")</f>
        <v/>
      </c>
    </row>
    <row r="916">
      <c r="B916" t="n">
        <v>34413086</v>
      </c>
      <c r="C916" s="2" t="n">
        <v>45593</v>
      </c>
      <c r="D916" t="inlineStr">
        <is>
          <t>SPEC</t>
        </is>
      </c>
      <c r="E91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16" s="140" t="inlineStr">
        <is>
          <t>QASH01250</t>
        </is>
      </c>
      <c r="G916" t="inlineStr">
        <is>
          <t>GVXL</t>
        </is>
      </c>
      <c r="I916" t="inlineStr">
        <is>
          <t>1250KVA</t>
        </is>
      </c>
      <c r="J916" t="inlineStr">
        <is>
          <t>BESSIERE</t>
        </is>
      </c>
      <c r="K916" t="inlineStr">
        <is>
          <t>METAL</t>
        </is>
      </c>
      <c r="L916">
        <f>_xlfn.XLOOKUP(Tableau1[[#This Row],[TYPE DE PIECE]],Tableau4[MATIERE],Tableau4[SHORT TYPE],"",0,1)</f>
        <v/>
      </c>
      <c r="N916">
        <f>IF(ISERR(FIND("DECOUPE",Tableau1[[#This Row],[DESIGNATION]])),"","NEED REF")</f>
        <v/>
      </c>
    </row>
    <row r="917">
      <c r="B917" t="n">
        <v>34413085</v>
      </c>
      <c r="C917" s="2" t="n">
        <v>45593</v>
      </c>
      <c r="D917" t="inlineStr">
        <is>
          <t>SPEC</t>
        </is>
      </c>
      <c r="E91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17" s="140" t="inlineStr">
        <is>
          <t>QASH01250</t>
        </is>
      </c>
      <c r="G917" t="inlineStr">
        <is>
          <t>GVXL</t>
        </is>
      </c>
      <c r="I917" t="inlineStr">
        <is>
          <t>1250KVA</t>
        </is>
      </c>
      <c r="J917" t="inlineStr">
        <is>
          <t>BESSIERE</t>
        </is>
      </c>
      <c r="K917" t="inlineStr">
        <is>
          <t>METAL</t>
        </is>
      </c>
      <c r="L917">
        <f>_xlfn.XLOOKUP(Tableau1[[#This Row],[TYPE DE PIECE]],Tableau4[MATIERE],Tableau4[SHORT TYPE],"",0,1)</f>
        <v/>
      </c>
      <c r="N917">
        <f>IF(ISERR(FIND("DECOUPE",Tableau1[[#This Row],[DESIGNATION]])),"","NEED REF")</f>
        <v/>
      </c>
    </row>
    <row r="918">
      <c r="B918" t="n">
        <v>34413084</v>
      </c>
      <c r="C918" s="2" t="n">
        <v>45593</v>
      </c>
      <c r="D918" t="inlineStr">
        <is>
          <t>SPEC</t>
        </is>
      </c>
      <c r="E91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18" s="140" t="inlineStr">
        <is>
          <t>QASH01250</t>
        </is>
      </c>
      <c r="G918" t="inlineStr">
        <is>
          <t>GVXL</t>
        </is>
      </c>
      <c r="I918" t="inlineStr">
        <is>
          <t>1250KVA</t>
        </is>
      </c>
      <c r="J918" t="inlineStr">
        <is>
          <t>BESSIERE</t>
        </is>
      </c>
      <c r="K918" t="inlineStr">
        <is>
          <t>METAL</t>
        </is>
      </c>
      <c r="L918">
        <f>_xlfn.XLOOKUP(Tableau1[[#This Row],[TYPE DE PIECE]],Tableau4[MATIERE],Tableau4[SHORT TYPE],"",0,1)</f>
        <v/>
      </c>
      <c r="N918">
        <f>IF(ISERR(FIND("DECOUPE",Tableau1[[#This Row],[DESIGNATION]])),"","NEED REF")</f>
        <v/>
      </c>
    </row>
    <row r="919">
      <c r="B919" t="n">
        <v>34413083</v>
      </c>
      <c r="C919" s="2" t="n">
        <v>45593</v>
      </c>
      <c r="D919" t="inlineStr">
        <is>
          <t>SPEC</t>
        </is>
      </c>
      <c r="E91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19" s="140" t="inlineStr">
        <is>
          <t>QASH01250</t>
        </is>
      </c>
      <c r="G919" t="inlineStr">
        <is>
          <t>GVXL</t>
        </is>
      </c>
      <c r="I919" t="inlineStr">
        <is>
          <t>1250KVA</t>
        </is>
      </c>
      <c r="J919" t="inlineStr">
        <is>
          <t>BESSIERE</t>
        </is>
      </c>
      <c r="K919" t="inlineStr">
        <is>
          <t>METAL</t>
        </is>
      </c>
      <c r="L919">
        <f>_xlfn.XLOOKUP(Tableau1[[#This Row],[TYPE DE PIECE]],Tableau4[MATIERE],Tableau4[SHORT TYPE],"",0,1)</f>
        <v/>
      </c>
      <c r="N919">
        <f>IF(ISERR(FIND("DECOUPE",Tableau1[[#This Row],[DESIGNATION]])),"","NEED REF")</f>
        <v/>
      </c>
    </row>
    <row r="920">
      <c r="B920" t="n">
        <v>34413082</v>
      </c>
      <c r="C920" s="2" t="n">
        <v>45593</v>
      </c>
      <c r="D920" t="inlineStr">
        <is>
          <t>SPEC</t>
        </is>
      </c>
      <c r="E920" t="inlineStr">
        <is>
          <t>COP 34413082 GVXL 1250KVA OUTPUT 2</t>
        </is>
      </c>
      <c r="G920" t="inlineStr">
        <is>
          <t>GVXL</t>
        </is>
      </c>
      <c r="I920" t="inlineStr">
        <is>
          <t>1250KVA</t>
        </is>
      </c>
      <c r="J920" t="inlineStr">
        <is>
          <t>BERNARDEAU</t>
        </is>
      </c>
      <c r="K920" t="inlineStr">
        <is>
          <t>CUIVRE</t>
        </is>
      </c>
      <c r="L920">
        <f>_xlfn.XLOOKUP(Tableau1[[#This Row],[TYPE DE PIECE]],Tableau4[MATIERE],Tableau4[SHORT TYPE],"",0,1)</f>
        <v/>
      </c>
      <c r="N920">
        <f>IF(ISERR(FIND("DECOUPE",Tableau1[[#This Row],[DESIGNATION]])),"","NEED REF")</f>
        <v/>
      </c>
    </row>
    <row r="921">
      <c r="B921" t="n">
        <v>34413081</v>
      </c>
      <c r="C921" s="2" t="n">
        <v>45593</v>
      </c>
      <c r="D921" t="inlineStr">
        <is>
          <t>SPEC</t>
        </is>
      </c>
      <c r="E921" t="inlineStr">
        <is>
          <t>COP 34413081 GVXL 1250KVA OUTPUT 1</t>
        </is>
      </c>
      <c r="G921" t="inlineStr">
        <is>
          <t>GVXL</t>
        </is>
      </c>
      <c r="I921" t="inlineStr">
        <is>
          <t>1250KVA</t>
        </is>
      </c>
      <c r="J921" t="inlineStr">
        <is>
          <t>BERNARDEAU</t>
        </is>
      </c>
      <c r="K921" t="inlineStr">
        <is>
          <t>CUIVRE</t>
        </is>
      </c>
      <c r="L921">
        <f>_xlfn.XLOOKUP(Tableau1[[#This Row],[TYPE DE PIECE]],Tableau4[MATIERE],Tableau4[SHORT TYPE],"",0,1)</f>
        <v/>
      </c>
      <c r="N921">
        <f>IF(ISERR(FIND("DECOUPE",Tableau1[[#This Row],[DESIGNATION]])),"","NEED REF")</f>
        <v/>
      </c>
    </row>
    <row r="922">
      <c r="B922" t="n">
        <v>34413080</v>
      </c>
      <c r="C922" s="2" t="n">
        <v>45593</v>
      </c>
      <c r="D922" t="inlineStr">
        <is>
          <t>SPEC</t>
        </is>
      </c>
      <c r="E922" t="inlineStr">
        <is>
          <t>COP 34413080 GVXL 1250KVA R1 JONCTION</t>
        </is>
      </c>
      <c r="G922" t="inlineStr">
        <is>
          <t>GVXL</t>
        </is>
      </c>
      <c r="I922" t="inlineStr">
        <is>
          <t>1250KVA</t>
        </is>
      </c>
      <c r="J922" t="inlineStr">
        <is>
          <t>BERNARDEAU</t>
        </is>
      </c>
      <c r="K922" t="inlineStr">
        <is>
          <t>CUIVRE</t>
        </is>
      </c>
      <c r="L922">
        <f>_xlfn.XLOOKUP(Tableau1[[#This Row],[TYPE DE PIECE]],Tableau4[MATIERE],Tableau4[SHORT TYPE],"",0,1)</f>
        <v/>
      </c>
      <c r="N922">
        <f>IF(ISERR(FIND("DECOUPE",Tableau1[[#This Row],[DESIGNATION]])),"","NEED REF")</f>
        <v/>
      </c>
    </row>
    <row r="923">
      <c r="B923" t="n">
        <v>34413079</v>
      </c>
      <c r="C923" s="2" t="n">
        <v>45593</v>
      </c>
      <c r="D923" t="inlineStr">
        <is>
          <t>SPEC</t>
        </is>
      </c>
      <c r="E923" t="inlineStr">
        <is>
          <t>COP 34413079 GVXL 1250KVA R1 7</t>
        </is>
      </c>
      <c r="G923" t="inlineStr">
        <is>
          <t>GVXL</t>
        </is>
      </c>
      <c r="I923" t="inlineStr">
        <is>
          <t>1250KVA</t>
        </is>
      </c>
      <c r="J923" t="inlineStr">
        <is>
          <t>BERNARDEAU</t>
        </is>
      </c>
      <c r="K923" t="inlineStr">
        <is>
          <t>CUIVRE</t>
        </is>
      </c>
      <c r="L923">
        <f>_xlfn.XLOOKUP(Tableau1[[#This Row],[TYPE DE PIECE]],Tableau4[MATIERE],Tableau4[SHORT TYPE],"",0,1)</f>
        <v/>
      </c>
      <c r="N923">
        <f>IF(ISERR(FIND("DECOUPE",Tableau1[[#This Row],[DESIGNATION]])),"","NEED REF")</f>
        <v/>
      </c>
    </row>
    <row r="924">
      <c r="B924" t="n">
        <v>34413078</v>
      </c>
      <c r="C924" s="2" t="n">
        <v>45593</v>
      </c>
      <c r="D924" t="inlineStr">
        <is>
          <t>SPEC</t>
        </is>
      </c>
      <c r="E924" t="inlineStr">
        <is>
          <t>COP 34413078 GVXL 1250KVA R1 6</t>
        </is>
      </c>
      <c r="G924" t="inlineStr">
        <is>
          <t>GVXL</t>
        </is>
      </c>
      <c r="I924" t="inlineStr">
        <is>
          <t>1250KVA</t>
        </is>
      </c>
      <c r="J924" t="inlineStr">
        <is>
          <t>BERNARDEAU</t>
        </is>
      </c>
      <c r="K924" t="inlineStr">
        <is>
          <t>CUIVRE</t>
        </is>
      </c>
      <c r="L924">
        <f>_xlfn.XLOOKUP(Tableau1[[#This Row],[TYPE DE PIECE]],Tableau4[MATIERE],Tableau4[SHORT TYPE],"",0,1)</f>
        <v/>
      </c>
      <c r="N924">
        <f>IF(ISERR(FIND("DECOUPE",Tableau1[[#This Row],[DESIGNATION]])),"","NEED REF")</f>
        <v/>
      </c>
    </row>
    <row r="925">
      <c r="B925" t="n">
        <v>34413077</v>
      </c>
      <c r="C925" s="2" t="n">
        <v>45593</v>
      </c>
      <c r="D925" t="inlineStr">
        <is>
          <t>SPEC</t>
        </is>
      </c>
      <c r="E925" t="inlineStr">
        <is>
          <t>COP 34413077 GVXL 1250KVA R1 5</t>
        </is>
      </c>
      <c r="G925" t="inlineStr">
        <is>
          <t>GVXL</t>
        </is>
      </c>
      <c r="I925" t="inlineStr">
        <is>
          <t>1250KVA</t>
        </is>
      </c>
      <c r="J925" t="inlineStr">
        <is>
          <t>BERNARDEAU</t>
        </is>
      </c>
      <c r="K925" t="inlineStr">
        <is>
          <t>CUIVRE</t>
        </is>
      </c>
      <c r="L925">
        <f>_xlfn.XLOOKUP(Tableau1[[#This Row],[TYPE DE PIECE]],Tableau4[MATIERE],Tableau4[SHORT TYPE],"",0,1)</f>
        <v/>
      </c>
      <c r="N925">
        <f>IF(ISERR(FIND("DECOUPE",Tableau1[[#This Row],[DESIGNATION]])),"","NEED REF")</f>
        <v/>
      </c>
    </row>
    <row r="926">
      <c r="B926" t="n">
        <v>34413076</v>
      </c>
      <c r="C926" s="2" t="n">
        <v>45593</v>
      </c>
      <c r="D926" t="inlineStr">
        <is>
          <t>SPEC</t>
        </is>
      </c>
      <c r="E926" t="inlineStr">
        <is>
          <t>COP 34413076 GVXL 1250KVA R1 N</t>
        </is>
      </c>
      <c r="G926" t="inlineStr">
        <is>
          <t>GVXL</t>
        </is>
      </c>
      <c r="I926" t="inlineStr">
        <is>
          <t>1250KVA</t>
        </is>
      </c>
      <c r="J926" t="inlineStr">
        <is>
          <t>BERNARDEAU</t>
        </is>
      </c>
      <c r="K926" t="inlineStr">
        <is>
          <t>CUIVRE</t>
        </is>
      </c>
      <c r="L926">
        <f>_xlfn.XLOOKUP(Tableau1[[#This Row],[TYPE DE PIECE]],Tableau4[MATIERE],Tableau4[SHORT TYPE],"",0,1)</f>
        <v/>
      </c>
      <c r="N926">
        <f>IF(ISERR(FIND("DECOUPE",Tableau1[[#This Row],[DESIGNATION]])),"","NEED REF")</f>
        <v/>
      </c>
    </row>
    <row r="927">
      <c r="B927" t="n">
        <v>34413075</v>
      </c>
      <c r="C927" s="2" t="n">
        <v>45593</v>
      </c>
      <c r="D927" t="inlineStr">
        <is>
          <t>SPEC</t>
        </is>
      </c>
      <c r="E927" t="inlineStr">
        <is>
          <t>COP 34413075 GVXL 1250KVA R1 L1</t>
        </is>
      </c>
      <c r="G927" t="inlineStr">
        <is>
          <t>GVXL</t>
        </is>
      </c>
      <c r="I927" t="inlineStr">
        <is>
          <t>1250KVA</t>
        </is>
      </c>
      <c r="J927" t="inlineStr">
        <is>
          <t>BERNARDEAU</t>
        </is>
      </c>
      <c r="K927" t="inlineStr">
        <is>
          <t>CUIVRE</t>
        </is>
      </c>
      <c r="L927">
        <f>_xlfn.XLOOKUP(Tableau1[[#This Row],[TYPE DE PIECE]],Tableau4[MATIERE],Tableau4[SHORT TYPE],"",0,1)</f>
        <v/>
      </c>
      <c r="N927">
        <f>IF(ISERR(FIND("DECOUPE",Tableau1[[#This Row],[DESIGNATION]])),"","NEED REF")</f>
        <v/>
      </c>
    </row>
    <row r="928">
      <c r="B928" t="n">
        <v>34413074</v>
      </c>
      <c r="C928" s="2" t="n">
        <v>45593</v>
      </c>
      <c r="D928" t="inlineStr">
        <is>
          <t>SPEC</t>
        </is>
      </c>
      <c r="E928" t="inlineStr">
        <is>
          <t>COP 34413074 GVXL 1250KVA R1 L2</t>
        </is>
      </c>
      <c r="G928" t="inlineStr">
        <is>
          <t>GVXL</t>
        </is>
      </c>
      <c r="I928" t="inlineStr">
        <is>
          <t>1250KVA</t>
        </is>
      </c>
      <c r="J928" t="inlineStr">
        <is>
          <t>BERNARDEAU</t>
        </is>
      </c>
      <c r="K928" t="inlineStr">
        <is>
          <t>CUIVRE</t>
        </is>
      </c>
      <c r="L928">
        <f>_xlfn.XLOOKUP(Tableau1[[#This Row],[TYPE DE PIECE]],Tableau4[MATIERE],Tableau4[SHORT TYPE],"",0,1)</f>
        <v/>
      </c>
      <c r="N928">
        <f>IF(ISERR(FIND("DECOUPE",Tableau1[[#This Row],[DESIGNATION]])),"","NEED REF")</f>
        <v/>
      </c>
    </row>
    <row r="929">
      <c r="B929" t="n">
        <v>34413073</v>
      </c>
      <c r="C929" s="2" t="n">
        <v>45593</v>
      </c>
      <c r="D929" t="inlineStr">
        <is>
          <t>SPEC</t>
        </is>
      </c>
      <c r="E929" t="inlineStr">
        <is>
          <t>COP 34413073 GVXL 1250KVA R1 L3</t>
        </is>
      </c>
      <c r="G929" t="inlineStr">
        <is>
          <t>GVXL</t>
        </is>
      </c>
      <c r="I929" t="inlineStr">
        <is>
          <t>1250KVA</t>
        </is>
      </c>
      <c r="J929" t="inlineStr">
        <is>
          <t>BERNARDEAU</t>
        </is>
      </c>
      <c r="K929" t="inlineStr">
        <is>
          <t>CUIVRE</t>
        </is>
      </c>
      <c r="L929">
        <f>_xlfn.XLOOKUP(Tableau1[[#This Row],[TYPE DE PIECE]],Tableau4[MATIERE],Tableau4[SHORT TYPE],"",0,1)</f>
        <v/>
      </c>
      <c r="N929">
        <f>IF(ISERR(FIND("DECOUPE",Tableau1[[#This Row],[DESIGNATION]])),"","NEED REF")</f>
        <v/>
      </c>
    </row>
    <row r="930">
      <c r="B930" t="n">
        <v>34413072</v>
      </c>
      <c r="C930" s="2" t="n">
        <v>45593</v>
      </c>
      <c r="D930" t="inlineStr">
        <is>
          <t>SPEC</t>
        </is>
      </c>
      <c r="E93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30" t="inlineStr">
        <is>
          <t>GVXL</t>
        </is>
      </c>
      <c r="I930" t="inlineStr">
        <is>
          <t>100kA</t>
        </is>
      </c>
      <c r="J930" t="inlineStr">
        <is>
          <t>MATRION</t>
        </is>
      </c>
      <c r="K930" t="inlineStr">
        <is>
          <t>PLASTIQUE</t>
        </is>
      </c>
      <c r="L930">
        <f>_xlfn.XLOOKUP(Tableau1[[#This Row],[TYPE DE PIECE]],Tableau4[MATIERE],Tableau4[SHORT TYPE],"",0,1)</f>
        <v/>
      </c>
      <c r="N930">
        <f>IF(ISERR(FIND("DECOUPE",Tableau1[[#This Row],[DESIGNATION]])),"","NEED REF")</f>
        <v/>
      </c>
    </row>
    <row r="931">
      <c r="B931" t="n">
        <v>34413071</v>
      </c>
      <c r="C931" s="2" t="n">
        <v>45593</v>
      </c>
      <c r="D931" t="inlineStr">
        <is>
          <t>SPEC</t>
        </is>
      </c>
      <c r="E931" t="inlineStr">
        <is>
          <t>GVXL TGAB ROOF 2/2</t>
        </is>
      </c>
      <c r="F931" s="140" t="inlineStr">
        <is>
          <t>QASH01250</t>
        </is>
      </c>
      <c r="G931" t="inlineStr">
        <is>
          <t>GVXL</t>
        </is>
      </c>
      <c r="I931" t="inlineStr">
        <is>
          <t>1250KVA</t>
        </is>
      </c>
      <c r="J931" t="inlineStr">
        <is>
          <t>BESSIERE</t>
        </is>
      </c>
      <c r="K931" t="inlineStr">
        <is>
          <t>METAL</t>
        </is>
      </c>
      <c r="L931">
        <f>_xlfn.XLOOKUP(Tableau1[[#This Row],[TYPE DE PIECE]],Tableau4[MATIERE],Tableau4[SHORT TYPE],"",0,1)</f>
        <v/>
      </c>
      <c r="N931">
        <f>IF(ISERR(FIND("DECOUPE",Tableau1[[#This Row],[DESIGNATION]])),"","NEED REF")</f>
        <v/>
      </c>
    </row>
    <row r="932">
      <c r="B932" t="n">
        <v>34413070</v>
      </c>
      <c r="C932" s="2" t="n">
        <v>45593</v>
      </c>
      <c r="D932" t="inlineStr">
        <is>
          <t>SPEC</t>
        </is>
      </c>
      <c r="E932" t="inlineStr">
        <is>
          <t>GVXL TGAB ROOF 1/2</t>
        </is>
      </c>
      <c r="F932" s="140" t="inlineStr">
        <is>
          <t>QASH01250</t>
        </is>
      </c>
      <c r="G932" t="inlineStr">
        <is>
          <t>GVXL</t>
        </is>
      </c>
      <c r="I932" t="inlineStr">
        <is>
          <t>1250KVA</t>
        </is>
      </c>
      <c r="J932" t="inlineStr">
        <is>
          <t>BESSIERE</t>
        </is>
      </c>
      <c r="K932" t="inlineStr">
        <is>
          <t>METAL</t>
        </is>
      </c>
      <c r="L932">
        <f>_xlfn.XLOOKUP(Tableau1[[#This Row],[TYPE DE PIECE]],Tableau4[MATIERE],Tableau4[SHORT TYPE],"",0,1)</f>
        <v/>
      </c>
      <c r="N932">
        <f>IF(ISERR(FIND("DECOUPE",Tableau1[[#This Row],[DESIGNATION]])),"","NEED REF")</f>
        <v/>
      </c>
    </row>
    <row r="933">
      <c r="B933" t="n">
        <v>34413069</v>
      </c>
      <c r="C933" s="2" t="n">
        <v>45593</v>
      </c>
      <c r="D933" t="inlineStr">
        <is>
          <t>SPEC</t>
        </is>
      </c>
      <c r="E93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33" t="inlineStr">
        <is>
          <t>GVXL</t>
        </is>
      </c>
      <c r="I933" t="inlineStr">
        <is>
          <t>100kA</t>
        </is>
      </c>
      <c r="J933" t="inlineStr">
        <is>
          <t>MATRION</t>
        </is>
      </c>
      <c r="K933" t="inlineStr">
        <is>
          <t>PLASTIQUE</t>
        </is>
      </c>
      <c r="L933">
        <f>_xlfn.XLOOKUP(Tableau1[[#This Row],[TYPE DE PIECE]],Tableau4[MATIERE],Tableau4[SHORT TYPE],"",0,1)</f>
        <v/>
      </c>
      <c r="N933">
        <f>IF(ISERR(FIND("DECOUPE",Tableau1[[#This Row],[DESIGNATION]])),"","NEED REF")</f>
        <v/>
      </c>
    </row>
    <row r="934">
      <c r="B934" t="n">
        <v>34413068</v>
      </c>
      <c r="C934" s="2" t="n">
        <v>45593</v>
      </c>
      <c r="D934" t="inlineStr">
        <is>
          <t>SPEC</t>
        </is>
      </c>
      <c r="E934" t="n">
        <v>34413076</v>
      </c>
      <c r="G934" t="inlineStr">
        <is>
          <t>GVXL</t>
        </is>
      </c>
      <c r="I934" t="inlineStr">
        <is>
          <t>100kA</t>
        </is>
      </c>
      <c r="J934" t="inlineStr">
        <is>
          <t>MATRION</t>
        </is>
      </c>
      <c r="K934" t="inlineStr">
        <is>
          <t>CUIVRE</t>
        </is>
      </c>
      <c r="L934">
        <f>_xlfn.XLOOKUP(Tableau1[[#This Row],[TYPE DE PIECE]],Tableau4[MATIERE],Tableau4[SHORT TYPE],"",0,1)</f>
        <v/>
      </c>
      <c r="N934">
        <f>IF(ISERR(FIND("DECOUPE",Tableau1[[#This Row],[DESIGNATION]])),"","NEED REF")</f>
        <v/>
      </c>
    </row>
    <row r="935">
      <c r="B935" t="n">
        <v>34413067</v>
      </c>
      <c r="C935" s="2" t="n">
        <v>45593</v>
      </c>
      <c r="D935" t="inlineStr">
        <is>
          <t>SPEC</t>
        </is>
      </c>
      <c r="E93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35" t="inlineStr">
        <is>
          <t>GVXL</t>
        </is>
      </c>
      <c r="I935" t="inlineStr">
        <is>
          <t>100kA</t>
        </is>
      </c>
      <c r="J935" t="inlineStr">
        <is>
          <t>MATRION</t>
        </is>
      </c>
      <c r="K935" t="inlineStr">
        <is>
          <t>CUIVRE</t>
        </is>
      </c>
      <c r="L935">
        <f>_xlfn.XLOOKUP(Tableau1[[#This Row],[TYPE DE PIECE]],Tableau4[MATIERE],Tableau4[SHORT TYPE],"",0,1)</f>
        <v/>
      </c>
      <c r="N935">
        <f>IF(ISERR(FIND("DECOUPE",Tableau1[[#This Row],[DESIGNATION]])),"","NEED REF")</f>
        <v/>
      </c>
    </row>
    <row r="936">
      <c r="B936" t="n">
        <v>34413066</v>
      </c>
      <c r="C936" s="2" t="n">
        <v>45593</v>
      </c>
      <c r="D936" t="inlineStr">
        <is>
          <t>SPEC</t>
        </is>
      </c>
      <c r="E93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36" t="inlineStr">
        <is>
          <t>GVXL</t>
        </is>
      </c>
      <c r="I936" t="inlineStr">
        <is>
          <t>100kA</t>
        </is>
      </c>
      <c r="J936" t="inlineStr">
        <is>
          <t>MATRION</t>
        </is>
      </c>
      <c r="K936" t="inlineStr">
        <is>
          <t>CUIVRE</t>
        </is>
      </c>
      <c r="L936">
        <f>_xlfn.XLOOKUP(Tableau1[[#This Row],[TYPE DE PIECE]],Tableau4[MATIERE],Tableau4[SHORT TYPE],"",0,1)</f>
        <v/>
      </c>
      <c r="N936">
        <f>IF(ISERR(FIND("DECOUPE",Tableau1[[#This Row],[DESIGNATION]])),"","NEED REF")</f>
        <v/>
      </c>
    </row>
    <row r="937">
      <c r="B937" t="n">
        <v>34413065</v>
      </c>
      <c r="C937" s="2" t="n">
        <v>45593</v>
      </c>
      <c r="D937" t="inlineStr">
        <is>
          <t>SPEC</t>
        </is>
      </c>
      <c r="E93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37" t="inlineStr">
        <is>
          <t>GVXL</t>
        </is>
      </c>
      <c r="I937" t="inlineStr">
        <is>
          <t>100kA</t>
        </is>
      </c>
      <c r="J937" t="inlineStr">
        <is>
          <t>MATRION</t>
        </is>
      </c>
      <c r="K937" t="inlineStr">
        <is>
          <t>CUIVRE</t>
        </is>
      </c>
      <c r="L937">
        <f>_xlfn.XLOOKUP(Tableau1[[#This Row],[TYPE DE PIECE]],Tableau4[MATIERE],Tableau4[SHORT TYPE],"",0,1)</f>
        <v/>
      </c>
      <c r="N937">
        <f>IF(ISERR(FIND("DECOUPE",Tableau1[[#This Row],[DESIGNATION]])),"","NEED REF")</f>
        <v/>
      </c>
    </row>
    <row r="938">
      <c r="B938" t="n">
        <v>34413064</v>
      </c>
      <c r="C938" s="2" t="n">
        <v>45590</v>
      </c>
      <c r="D938" t="inlineStr">
        <is>
          <t>SPEC</t>
        </is>
      </c>
      <c r="E93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38" t="inlineStr">
        <is>
          <t>GVXL</t>
        </is>
      </c>
      <c r="I938" t="inlineStr">
        <is>
          <t>100kA</t>
        </is>
      </c>
      <c r="J938" t="inlineStr">
        <is>
          <t>MATRION</t>
        </is>
      </c>
      <c r="K938" t="inlineStr">
        <is>
          <t>CUIVRE</t>
        </is>
      </c>
      <c r="L938">
        <f>_xlfn.XLOOKUP(Tableau1[[#This Row],[TYPE DE PIECE]],Tableau4[MATIERE],Tableau4[SHORT TYPE],"",0,1)</f>
        <v/>
      </c>
      <c r="N938">
        <f>IF(ISERR(FIND("DECOUPE",Tableau1[[#This Row],[DESIGNATION]])),"","NEED REF")</f>
        <v/>
      </c>
    </row>
    <row r="939">
      <c r="B939" t="n">
        <v>34413063</v>
      </c>
      <c r="C939" s="2" t="n">
        <v>45590</v>
      </c>
      <c r="D939" t="inlineStr">
        <is>
          <t>SPEC</t>
        </is>
      </c>
      <c r="E93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39" t="inlineStr">
        <is>
          <t>GVXL</t>
        </is>
      </c>
      <c r="I939" t="inlineStr">
        <is>
          <t>100kA</t>
        </is>
      </c>
      <c r="J939" t="inlineStr">
        <is>
          <t>MATRION</t>
        </is>
      </c>
      <c r="K939" t="inlineStr">
        <is>
          <t>CUIVRE</t>
        </is>
      </c>
      <c r="L939">
        <f>_xlfn.XLOOKUP(Tableau1[[#This Row],[TYPE DE PIECE]],Tableau4[MATIERE],Tableau4[SHORT TYPE],"",0,1)</f>
        <v/>
      </c>
      <c r="N939">
        <f>IF(ISERR(FIND("DECOUPE",Tableau1[[#This Row],[DESIGNATION]])),"","NEED REF")</f>
        <v/>
      </c>
    </row>
    <row r="940">
      <c r="B940" t="n">
        <v>34413062</v>
      </c>
      <c r="C940" s="2" t="n">
        <v>45590</v>
      </c>
      <c r="D940" t="inlineStr">
        <is>
          <t>SPEC</t>
        </is>
      </c>
      <c r="E94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40" t="inlineStr">
        <is>
          <t>GVXL</t>
        </is>
      </c>
      <c r="I940" t="inlineStr">
        <is>
          <t>100kA</t>
        </is>
      </c>
      <c r="J940" t="inlineStr">
        <is>
          <t>MATRION</t>
        </is>
      </c>
      <c r="K940" t="inlineStr">
        <is>
          <t>CUIVRE</t>
        </is>
      </c>
      <c r="L940">
        <f>_xlfn.XLOOKUP(Tableau1[[#This Row],[TYPE DE PIECE]],Tableau4[MATIERE],Tableau4[SHORT TYPE],"",0,1)</f>
        <v/>
      </c>
      <c r="N940">
        <f>IF(ISERR(FIND("DECOUPE",Tableau1[[#This Row],[DESIGNATION]])),"","NEED REF")</f>
        <v/>
      </c>
    </row>
    <row r="941">
      <c r="B941" t="n">
        <v>34413061</v>
      </c>
      <c r="C941" s="2" t="n">
        <v>45590</v>
      </c>
      <c r="D941" t="inlineStr">
        <is>
          <t>SPEC</t>
        </is>
      </c>
      <c r="E94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41" t="inlineStr">
        <is>
          <t>GVXL</t>
        </is>
      </c>
      <c r="I941" t="inlineStr">
        <is>
          <t>100kA</t>
        </is>
      </c>
      <c r="J941" t="inlineStr">
        <is>
          <t>MATRION</t>
        </is>
      </c>
      <c r="K941" t="inlineStr">
        <is>
          <t>CUIVRE</t>
        </is>
      </c>
      <c r="L941">
        <f>_xlfn.XLOOKUP(Tableau1[[#This Row],[TYPE DE PIECE]],Tableau4[MATIERE],Tableau4[SHORT TYPE],"",0,1)</f>
        <v/>
      </c>
      <c r="N941">
        <f>IF(ISERR(FIND("DECOUPE",Tableau1[[#This Row],[DESIGNATION]])),"","NEED REF")</f>
        <v/>
      </c>
    </row>
    <row r="942">
      <c r="B942" t="n">
        <v>34413060</v>
      </c>
      <c r="C942" s="2" t="n">
        <v>45590</v>
      </c>
      <c r="D942" t="inlineStr">
        <is>
          <t>SPEC</t>
        </is>
      </c>
      <c r="E94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42" t="inlineStr">
        <is>
          <t>GVXL</t>
        </is>
      </c>
      <c r="I942" t="inlineStr">
        <is>
          <t>100kA</t>
        </is>
      </c>
      <c r="J942" t="inlineStr">
        <is>
          <t>MATRION</t>
        </is>
      </c>
      <c r="K942" t="inlineStr">
        <is>
          <t>CUIVRE</t>
        </is>
      </c>
      <c r="L942">
        <f>_xlfn.XLOOKUP(Tableau1[[#This Row],[TYPE DE PIECE]],Tableau4[MATIERE],Tableau4[SHORT TYPE],"",0,1)</f>
        <v/>
      </c>
      <c r="N942">
        <f>IF(ISERR(FIND("DECOUPE",Tableau1[[#This Row],[DESIGNATION]])),"","NEED REF")</f>
        <v/>
      </c>
    </row>
    <row r="943">
      <c r="B943" t="n">
        <v>34413059</v>
      </c>
      <c r="C943" s="2" t="n">
        <v>45590</v>
      </c>
      <c r="D943" t="inlineStr">
        <is>
          <t>SPEC</t>
        </is>
      </c>
      <c r="E94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43" t="inlineStr">
        <is>
          <t>GVXL</t>
        </is>
      </c>
      <c r="I943" t="inlineStr">
        <is>
          <t>100kA</t>
        </is>
      </c>
      <c r="J943" t="inlineStr">
        <is>
          <t>MATRION</t>
        </is>
      </c>
      <c r="K943" t="inlineStr">
        <is>
          <t>CUIVRE</t>
        </is>
      </c>
      <c r="L943">
        <f>_xlfn.XLOOKUP(Tableau1[[#This Row],[TYPE DE PIECE]],Tableau4[MATIERE],Tableau4[SHORT TYPE],"",0,1)</f>
        <v/>
      </c>
      <c r="N943">
        <f>IF(ISERR(FIND("DECOUPE",Tableau1[[#This Row],[DESIGNATION]])),"","NEED REF")</f>
        <v/>
      </c>
    </row>
    <row r="944">
      <c r="B944" t="n">
        <v>34413058</v>
      </c>
      <c r="C944" s="2" t="n">
        <v>45590</v>
      </c>
      <c r="D944" t="inlineStr">
        <is>
          <t>SPEC</t>
        </is>
      </c>
      <c r="E94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44" t="inlineStr">
        <is>
          <t>GVXL</t>
        </is>
      </c>
      <c r="I944" t="inlineStr">
        <is>
          <t>100kA</t>
        </is>
      </c>
      <c r="J944" t="inlineStr">
        <is>
          <t>MATRION</t>
        </is>
      </c>
      <c r="K944" t="inlineStr">
        <is>
          <t>CUIVRE</t>
        </is>
      </c>
      <c r="L944">
        <f>_xlfn.XLOOKUP(Tableau1[[#This Row],[TYPE DE PIECE]],Tableau4[MATIERE],Tableau4[SHORT TYPE],"",0,1)</f>
        <v/>
      </c>
      <c r="N944">
        <f>IF(ISERR(FIND("DECOUPE",Tableau1[[#This Row],[DESIGNATION]])),"","NEED REF")</f>
        <v/>
      </c>
    </row>
    <row r="945">
      <c r="B945" t="n">
        <v>34413057</v>
      </c>
      <c r="C945" s="2" t="n">
        <v>45590</v>
      </c>
      <c r="D945" t="inlineStr">
        <is>
          <t>SPEC</t>
        </is>
      </c>
      <c r="E94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45" t="inlineStr">
        <is>
          <t>GVXL</t>
        </is>
      </c>
      <c r="I945" t="inlineStr">
        <is>
          <t>100kA</t>
        </is>
      </c>
      <c r="J945" t="inlineStr">
        <is>
          <t>MATRION</t>
        </is>
      </c>
      <c r="K945" t="inlineStr">
        <is>
          <t>CUIVRE</t>
        </is>
      </c>
      <c r="L945">
        <f>_xlfn.XLOOKUP(Tableau1[[#This Row],[TYPE DE PIECE]],Tableau4[MATIERE],Tableau4[SHORT TYPE],"",0,1)</f>
        <v/>
      </c>
      <c r="N945">
        <f>IF(ISERR(FIND("DECOUPE",Tableau1[[#This Row],[DESIGNATION]])),"","NEED REF")</f>
        <v/>
      </c>
    </row>
    <row r="946">
      <c r="B946" t="n">
        <v>34413056</v>
      </c>
      <c r="C946" s="2" t="n">
        <v>45590</v>
      </c>
      <c r="D946" t="inlineStr">
        <is>
          <t>SPEC</t>
        </is>
      </c>
      <c r="E946" t="inlineStr">
        <is>
          <t>QASH01250_TGAB_SKEL_BUILD</t>
        </is>
      </c>
      <c r="J946" t="inlineStr">
        <is>
          <t>BESSIERE</t>
        </is>
      </c>
      <c r="L946">
        <f>_xlfn.XLOOKUP(Tableau1[[#This Row],[TYPE DE PIECE]],Tableau4[MATIERE],Tableau4[SHORT TYPE],"",0,1)</f>
        <v/>
      </c>
      <c r="N946">
        <f>IF(ISERR(FIND("DECOUPE",Tableau1[[#This Row],[DESIGNATION]])),"","NEED REF")</f>
        <v/>
      </c>
    </row>
    <row r="947">
      <c r="B947" t="n">
        <v>34413055</v>
      </c>
      <c r="C947" s="2" t="n">
        <v>45590</v>
      </c>
      <c r="D947" t="inlineStr">
        <is>
          <t>SPEC</t>
        </is>
      </c>
      <c r="E94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47" t="inlineStr">
        <is>
          <t>GVXL</t>
        </is>
      </c>
      <c r="I947" t="inlineStr">
        <is>
          <t>100kA</t>
        </is>
      </c>
      <c r="J947" t="inlineStr">
        <is>
          <t>MATRION</t>
        </is>
      </c>
      <c r="K947" t="inlineStr">
        <is>
          <t>METAL</t>
        </is>
      </c>
      <c r="L947">
        <f>_xlfn.XLOOKUP(Tableau1[[#This Row],[TYPE DE PIECE]],Tableau4[MATIERE],Tableau4[SHORT TYPE],"",0,1)</f>
        <v/>
      </c>
      <c r="N947">
        <f>IF(ISERR(FIND("DECOUPE",Tableau1[[#This Row],[DESIGNATION]])),"","NEED REF")</f>
        <v/>
      </c>
    </row>
    <row r="948">
      <c r="B948" t="n">
        <v>34413054</v>
      </c>
      <c r="C948" s="2" t="n">
        <v>45590</v>
      </c>
      <c r="D948" t="inlineStr">
        <is>
          <t>SPEC</t>
        </is>
      </c>
      <c r="E94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48" s="140" t="inlineStr">
        <is>
          <t>QASH01250</t>
        </is>
      </c>
      <c r="G948" t="inlineStr">
        <is>
          <t>GVXL</t>
        </is>
      </c>
      <c r="I948" t="inlineStr">
        <is>
          <t>1250KVA</t>
        </is>
      </c>
      <c r="J948" t="inlineStr">
        <is>
          <t>BESSIERE</t>
        </is>
      </c>
      <c r="K948" t="inlineStr">
        <is>
          <t>METAL</t>
        </is>
      </c>
      <c r="L948">
        <f>_xlfn.XLOOKUP(Tableau1[[#This Row],[TYPE DE PIECE]],Tableau4[MATIERE],Tableau4[SHORT TYPE],"",0,1)</f>
        <v/>
      </c>
      <c r="N948">
        <f>IF(ISERR(FIND("DECOUPE",Tableau1[[#This Row],[DESIGNATION]])),"","NEED REF")</f>
        <v/>
      </c>
    </row>
    <row r="949">
      <c r="B949" t="n">
        <v>34413053</v>
      </c>
      <c r="C949" s="2" t="n">
        <v>45590</v>
      </c>
      <c r="D949" t="inlineStr">
        <is>
          <t>SPEC</t>
        </is>
      </c>
      <c r="E94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49" s="140" t="inlineStr">
        <is>
          <t>QASH01250</t>
        </is>
      </c>
      <c r="G949" t="inlineStr">
        <is>
          <t>GVXL</t>
        </is>
      </c>
      <c r="I949" t="inlineStr">
        <is>
          <t>1250KVA</t>
        </is>
      </c>
      <c r="J949" t="inlineStr">
        <is>
          <t>BESSIERE</t>
        </is>
      </c>
      <c r="K949" t="inlineStr">
        <is>
          <t>METAL</t>
        </is>
      </c>
      <c r="L949">
        <f>_xlfn.XLOOKUP(Tableau1[[#This Row],[TYPE DE PIECE]],Tableau4[MATIERE],Tableau4[SHORT TYPE],"",0,1)</f>
        <v/>
      </c>
      <c r="N949">
        <f>IF(ISERR(FIND("DECOUPE",Tableau1[[#This Row],[DESIGNATION]])),"","NEED REF")</f>
        <v/>
      </c>
    </row>
    <row r="950">
      <c r="B950" t="n">
        <v>34413052</v>
      </c>
      <c r="C950" s="2" t="n">
        <v>45590</v>
      </c>
      <c r="D950" t="inlineStr">
        <is>
          <t>SPEC</t>
        </is>
      </c>
      <c r="E95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50" s="140" t="inlineStr">
        <is>
          <t>QASH01250</t>
        </is>
      </c>
      <c r="G950" t="inlineStr">
        <is>
          <t>GVXL</t>
        </is>
      </c>
      <c r="I950" t="inlineStr">
        <is>
          <t>1250KVA</t>
        </is>
      </c>
      <c r="J950" t="inlineStr">
        <is>
          <t>BESSIERE</t>
        </is>
      </c>
      <c r="K950" t="inlineStr">
        <is>
          <t>METAL</t>
        </is>
      </c>
      <c r="L950">
        <f>_xlfn.XLOOKUP(Tableau1[[#This Row],[TYPE DE PIECE]],Tableau4[MATIERE],Tableau4[SHORT TYPE],"",0,1)</f>
        <v/>
      </c>
      <c r="N950">
        <f>IF(ISERR(FIND("DECOUPE",Tableau1[[#This Row],[DESIGNATION]])),"","NEED REF")</f>
        <v/>
      </c>
    </row>
    <row r="951">
      <c r="B951" t="n">
        <v>34413051</v>
      </c>
      <c r="C951" s="2" t="n">
        <v>45590</v>
      </c>
      <c r="D951" t="inlineStr">
        <is>
          <t>SPEC</t>
        </is>
      </c>
      <c r="E95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51" t="inlineStr">
        <is>
          <t>GVXL</t>
        </is>
      </c>
      <c r="I951" t="inlineStr">
        <is>
          <t>100kA</t>
        </is>
      </c>
      <c r="J951" t="inlineStr">
        <is>
          <t>MATRION</t>
        </is>
      </c>
      <c r="K951" t="inlineStr">
        <is>
          <t>METAL</t>
        </is>
      </c>
      <c r="L951">
        <f>_xlfn.XLOOKUP(Tableau1[[#This Row],[TYPE DE PIECE]],Tableau4[MATIERE],Tableau4[SHORT TYPE],"",0,1)</f>
        <v/>
      </c>
      <c r="N951">
        <f>IF(ISERR(FIND("DECOUPE",Tableau1[[#This Row],[DESIGNATION]])),"","NEED REF")</f>
        <v/>
      </c>
    </row>
    <row r="952">
      <c r="B952" t="n">
        <v>34413050</v>
      </c>
      <c r="C952" s="2" t="n">
        <v>45590</v>
      </c>
      <c r="D952" t="inlineStr">
        <is>
          <t>SPEC</t>
        </is>
      </c>
      <c r="E95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52" t="inlineStr">
        <is>
          <t>GVXL</t>
        </is>
      </c>
      <c r="I952" t="inlineStr">
        <is>
          <t>100kA</t>
        </is>
      </c>
      <c r="J952" t="inlineStr">
        <is>
          <t>MATRION</t>
        </is>
      </c>
      <c r="K952" t="inlineStr">
        <is>
          <t>METAL</t>
        </is>
      </c>
      <c r="L952">
        <f>_xlfn.XLOOKUP(Tableau1[[#This Row],[TYPE DE PIECE]],Tableau4[MATIERE],Tableau4[SHORT TYPE],"",0,1)</f>
        <v/>
      </c>
      <c r="N952">
        <f>IF(ISERR(FIND("DECOUPE",Tableau1[[#This Row],[DESIGNATION]])),"","NEED REF")</f>
        <v/>
      </c>
    </row>
    <row r="953">
      <c r="B953" t="n">
        <v>34413049</v>
      </c>
      <c r="C953" s="2" t="n">
        <v>45590</v>
      </c>
      <c r="D953" t="inlineStr">
        <is>
          <t>SPEC</t>
        </is>
      </c>
      <c r="E95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53" t="inlineStr">
        <is>
          <t>GVXL</t>
        </is>
      </c>
      <c r="I953" t="inlineStr">
        <is>
          <t>100kA</t>
        </is>
      </c>
      <c r="J953" t="inlineStr">
        <is>
          <t>MATRION</t>
        </is>
      </c>
      <c r="K953" t="inlineStr">
        <is>
          <t>CUIVRE</t>
        </is>
      </c>
      <c r="L953">
        <f>_xlfn.XLOOKUP(Tableau1[[#This Row],[TYPE DE PIECE]],Tableau4[MATIERE],Tableau4[SHORT TYPE],"",0,1)</f>
        <v/>
      </c>
      <c r="N953">
        <f>IF(ISERR(FIND("DECOUPE",Tableau1[[#This Row],[DESIGNATION]])),"","NEED REF")</f>
        <v/>
      </c>
    </row>
    <row r="954">
      <c r="B954" t="n">
        <v>34413048</v>
      </c>
      <c r="C954" s="2" t="n">
        <v>45590</v>
      </c>
      <c r="D954" t="inlineStr">
        <is>
          <t>SPEC</t>
        </is>
      </c>
      <c r="E95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54" t="inlineStr">
        <is>
          <t>GVXL</t>
        </is>
      </c>
      <c r="I954" t="inlineStr">
        <is>
          <t>100kA</t>
        </is>
      </c>
      <c r="J954" t="inlineStr">
        <is>
          <t>MATRION</t>
        </is>
      </c>
      <c r="K954" t="inlineStr">
        <is>
          <t>CUIVRE</t>
        </is>
      </c>
      <c r="L954">
        <f>_xlfn.XLOOKUP(Tableau1[[#This Row],[TYPE DE PIECE]],Tableau4[MATIERE],Tableau4[SHORT TYPE],"",0,1)</f>
        <v/>
      </c>
      <c r="N954">
        <f>IF(ISERR(FIND("DECOUPE",Tableau1[[#This Row],[DESIGNATION]])),"","NEED REF")</f>
        <v/>
      </c>
    </row>
    <row r="955">
      <c r="B955" t="n">
        <v>34413047</v>
      </c>
      <c r="C955" s="2" t="n">
        <v>45590</v>
      </c>
      <c r="D955" t="inlineStr">
        <is>
          <t>SPEC</t>
        </is>
      </c>
      <c r="E95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55" s="140" t="inlineStr">
        <is>
          <t>QASH01250</t>
        </is>
      </c>
      <c r="G955" t="inlineStr">
        <is>
          <t>GVXL</t>
        </is>
      </c>
      <c r="I955" t="inlineStr">
        <is>
          <t>1250KVA</t>
        </is>
      </c>
      <c r="J955" t="inlineStr">
        <is>
          <t>BESSIERE</t>
        </is>
      </c>
      <c r="K955" t="inlineStr">
        <is>
          <t>METAL</t>
        </is>
      </c>
      <c r="L955">
        <f>_xlfn.XLOOKUP(Tableau1[[#This Row],[TYPE DE PIECE]],Tableau4[MATIERE],Tableau4[SHORT TYPE],"",0,1)</f>
        <v/>
      </c>
      <c r="N955">
        <f>IF(ISERR(FIND("DECOUPE",Tableau1[[#This Row],[DESIGNATION]])),"","NEED REF")</f>
        <v/>
      </c>
    </row>
    <row r="956">
      <c r="B956" t="n">
        <v>34413046</v>
      </c>
      <c r="C956" s="2" t="n">
        <v>45590</v>
      </c>
      <c r="D956" t="inlineStr">
        <is>
          <t>SPEC</t>
        </is>
      </c>
      <c r="E956" t="inlineStr">
        <is>
          <t>SE_TGAB_ROOF</t>
        </is>
      </c>
      <c r="F956" s="140" t="inlineStr">
        <is>
          <t>QASH01250</t>
        </is>
      </c>
      <c r="G956" t="inlineStr">
        <is>
          <t>GVXL</t>
        </is>
      </c>
      <c r="I956" t="inlineStr">
        <is>
          <t>1250KVA</t>
        </is>
      </c>
      <c r="J956" t="inlineStr">
        <is>
          <t>BESSIERE</t>
        </is>
      </c>
      <c r="K956" t="inlineStr">
        <is>
          <t>METAL</t>
        </is>
      </c>
      <c r="L956">
        <f>_xlfn.XLOOKUP(Tableau1[[#This Row],[TYPE DE PIECE]],Tableau4[MATIERE],Tableau4[SHORT TYPE],"",0,1)</f>
        <v/>
      </c>
      <c r="N956">
        <f>IF(ISERR(FIND("DECOUPE",Tableau1[[#This Row],[DESIGNATION]])),"","NEED REF")</f>
        <v/>
      </c>
    </row>
    <row r="957">
      <c r="B957" t="n">
        <v>34413045</v>
      </c>
      <c r="C957" s="2" t="n">
        <v>45590</v>
      </c>
      <c r="D957" t="inlineStr">
        <is>
          <t>SPEC</t>
        </is>
      </c>
      <c r="E95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57" s="140" t="inlineStr">
        <is>
          <t>QASH01250</t>
        </is>
      </c>
      <c r="G957" t="inlineStr">
        <is>
          <t>GVXL</t>
        </is>
      </c>
      <c r="I957" t="inlineStr">
        <is>
          <t>1250KVA</t>
        </is>
      </c>
      <c r="J957" t="inlineStr">
        <is>
          <t>BESSIERE</t>
        </is>
      </c>
      <c r="K957" t="inlineStr">
        <is>
          <t>CUIVRE</t>
        </is>
      </c>
      <c r="L957">
        <f>_xlfn.XLOOKUP(Tableau1[[#This Row],[TYPE DE PIECE]],Tableau4[MATIERE],Tableau4[SHORT TYPE],"",0,1)</f>
        <v/>
      </c>
      <c r="N957">
        <f>IF(ISERR(FIND("DECOUPE",Tableau1[[#This Row],[DESIGNATION]])),"","NEED REF")</f>
        <v/>
      </c>
    </row>
    <row r="958">
      <c r="B958" t="n">
        <v>34413044</v>
      </c>
      <c r="C958" s="2" t="n">
        <v>45590</v>
      </c>
      <c r="D958" t="inlineStr">
        <is>
          <t>SPEC</t>
        </is>
      </c>
      <c r="E95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58" s="140" t="inlineStr">
        <is>
          <t>QASH01250</t>
        </is>
      </c>
      <c r="G958" t="inlineStr">
        <is>
          <t>GVXL</t>
        </is>
      </c>
      <c r="I958" t="inlineStr">
        <is>
          <t>1250KVA</t>
        </is>
      </c>
      <c r="J958" t="inlineStr">
        <is>
          <t>BESSIERE</t>
        </is>
      </c>
      <c r="K958" t="inlineStr">
        <is>
          <t>CUIVRE</t>
        </is>
      </c>
      <c r="L958">
        <f>_xlfn.XLOOKUP(Tableau1[[#This Row],[TYPE DE PIECE]],Tableau4[MATIERE],Tableau4[SHORT TYPE],"",0,1)</f>
        <v/>
      </c>
      <c r="N958">
        <f>IF(ISERR(FIND("DECOUPE",Tableau1[[#This Row],[DESIGNATION]])),"","NEED REF")</f>
        <v/>
      </c>
    </row>
    <row r="959">
      <c r="B959" t="n">
        <v>34413043</v>
      </c>
      <c r="C959" s="2" t="n">
        <v>45590</v>
      </c>
      <c r="D959" t="inlineStr">
        <is>
          <t>SPEC</t>
        </is>
      </c>
      <c r="E959" t="inlineStr">
        <is>
          <t>COP 34413043 GVXL 1250KVA CONNEXION PE</t>
        </is>
      </c>
      <c r="F959" s="140" t="inlineStr">
        <is>
          <t>QASH01250</t>
        </is>
      </c>
      <c r="G959" t="inlineStr">
        <is>
          <t>GVXL</t>
        </is>
      </c>
      <c r="I959" t="inlineStr">
        <is>
          <t>1250KVA</t>
        </is>
      </c>
      <c r="J959" t="inlineStr">
        <is>
          <t>BESSIERE</t>
        </is>
      </c>
      <c r="K959" t="inlineStr">
        <is>
          <t>CUIVRE</t>
        </is>
      </c>
      <c r="L959">
        <f>_xlfn.XLOOKUP(Tableau1[[#This Row],[TYPE DE PIECE]],Tableau4[MATIERE],Tableau4[SHORT TYPE],"",0,1)</f>
        <v/>
      </c>
      <c r="N959">
        <f>IF(ISERR(FIND("DECOUPE",Tableau1[[#This Row],[DESIGNATION]])),"","NEED REF")</f>
        <v/>
      </c>
    </row>
    <row r="960">
      <c r="B960" t="n">
        <v>34413042</v>
      </c>
      <c r="C960" s="2" t="n">
        <v>45590</v>
      </c>
      <c r="D960" t="inlineStr">
        <is>
          <t>SPEC</t>
        </is>
      </c>
      <c r="E96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0" t="inlineStr">
        <is>
          <t>GVXL</t>
        </is>
      </c>
      <c r="I960" t="inlineStr">
        <is>
          <t>100kA</t>
        </is>
      </c>
      <c r="J960" t="inlineStr">
        <is>
          <t>MATRION</t>
        </is>
      </c>
      <c r="K960" t="inlineStr">
        <is>
          <t>CUIVRE</t>
        </is>
      </c>
      <c r="L960">
        <f>_xlfn.XLOOKUP(Tableau1[[#This Row],[TYPE DE PIECE]],Tableau4[MATIERE],Tableau4[SHORT TYPE],"",0,1)</f>
        <v/>
      </c>
      <c r="N960">
        <f>IF(ISERR(FIND("DECOUPE",Tableau1[[#This Row],[DESIGNATION]])),"","NEED REF")</f>
        <v/>
      </c>
    </row>
    <row r="961">
      <c r="B961" t="n">
        <v>34413041</v>
      </c>
      <c r="C961" s="2" t="n">
        <v>45590</v>
      </c>
      <c r="D961" t="inlineStr">
        <is>
          <t>SPEC</t>
        </is>
      </c>
      <c r="E96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1" t="inlineStr">
        <is>
          <t>GVXL</t>
        </is>
      </c>
      <c r="I961" t="inlineStr">
        <is>
          <t>100kA</t>
        </is>
      </c>
      <c r="J961" t="inlineStr">
        <is>
          <t>MATRION</t>
        </is>
      </c>
      <c r="K961" t="inlineStr">
        <is>
          <t>CUIVRE</t>
        </is>
      </c>
      <c r="L961">
        <f>_xlfn.XLOOKUP(Tableau1[[#This Row],[TYPE DE PIECE]],Tableau4[MATIERE],Tableau4[SHORT TYPE],"",0,1)</f>
        <v/>
      </c>
      <c r="N961">
        <f>IF(ISERR(FIND("DECOUPE",Tableau1[[#This Row],[DESIGNATION]])),"","NEED REF")</f>
        <v/>
      </c>
    </row>
    <row r="962">
      <c r="B962" t="n">
        <v>34413040</v>
      </c>
      <c r="C962" s="2" t="n">
        <v>45590</v>
      </c>
      <c r="D962" t="inlineStr">
        <is>
          <t>SPEC</t>
        </is>
      </c>
      <c r="E96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2" t="inlineStr">
        <is>
          <t>GVXL</t>
        </is>
      </c>
      <c r="I962" t="inlineStr">
        <is>
          <t>100kA</t>
        </is>
      </c>
      <c r="J962" t="inlineStr">
        <is>
          <t>MATRION</t>
        </is>
      </c>
      <c r="K962" t="inlineStr">
        <is>
          <t>CUIVRE</t>
        </is>
      </c>
      <c r="L962">
        <f>_xlfn.XLOOKUP(Tableau1[[#This Row],[TYPE DE PIECE]],Tableau4[MATIERE],Tableau4[SHORT TYPE],"",0,1)</f>
        <v/>
      </c>
      <c r="N962">
        <f>IF(ISERR(FIND("DECOUPE",Tableau1[[#This Row],[DESIGNATION]])),"","NEED REF")</f>
        <v/>
      </c>
    </row>
    <row r="963">
      <c r="B963" t="n">
        <v>34413039</v>
      </c>
      <c r="C963" s="2" t="n">
        <v>45590</v>
      </c>
      <c r="D963" t="inlineStr">
        <is>
          <t>SPEC</t>
        </is>
      </c>
      <c r="E96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3" t="inlineStr">
        <is>
          <t>GVXL</t>
        </is>
      </c>
      <c r="I963" t="inlineStr">
        <is>
          <t>100kA</t>
        </is>
      </c>
      <c r="J963" t="inlineStr">
        <is>
          <t>MATRION</t>
        </is>
      </c>
      <c r="K963" t="inlineStr">
        <is>
          <t>CUIVRE</t>
        </is>
      </c>
      <c r="L963">
        <f>_xlfn.XLOOKUP(Tableau1[[#This Row],[TYPE DE PIECE]],Tableau4[MATIERE],Tableau4[SHORT TYPE],"",0,1)</f>
        <v/>
      </c>
      <c r="N963">
        <f>IF(ISERR(FIND("DECOUPE",Tableau1[[#This Row],[DESIGNATION]])),"","NEED REF")</f>
        <v/>
      </c>
    </row>
    <row r="964">
      <c r="B964" t="n">
        <v>34413038</v>
      </c>
      <c r="C964" s="2" t="n">
        <v>45590</v>
      </c>
      <c r="D964" t="inlineStr">
        <is>
          <t>SPEC</t>
        </is>
      </c>
      <c r="E96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4" t="inlineStr">
        <is>
          <t>GVXL</t>
        </is>
      </c>
      <c r="I964" t="inlineStr">
        <is>
          <t>100kA</t>
        </is>
      </c>
      <c r="J964" t="inlineStr">
        <is>
          <t>MATRION</t>
        </is>
      </c>
      <c r="K964" t="inlineStr">
        <is>
          <t>CUIVRE</t>
        </is>
      </c>
      <c r="L964">
        <f>_xlfn.XLOOKUP(Tableau1[[#This Row],[TYPE DE PIECE]],Tableau4[MATIERE],Tableau4[SHORT TYPE],"",0,1)</f>
        <v/>
      </c>
      <c r="N964">
        <f>IF(ISERR(FIND("DECOUPE",Tableau1[[#This Row],[DESIGNATION]])),"","NEED REF")</f>
        <v/>
      </c>
    </row>
    <row r="965">
      <c r="B965" t="n">
        <v>34413037</v>
      </c>
      <c r="C965" s="2" t="n">
        <v>45590</v>
      </c>
      <c r="D965" t="inlineStr">
        <is>
          <t>SPEC</t>
        </is>
      </c>
      <c r="E965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5" t="inlineStr">
        <is>
          <t>GVXL</t>
        </is>
      </c>
      <c r="I965" t="inlineStr">
        <is>
          <t>100kA</t>
        </is>
      </c>
      <c r="J965" t="inlineStr">
        <is>
          <t>MATRION</t>
        </is>
      </c>
      <c r="K965" t="inlineStr">
        <is>
          <t>CUIVRE</t>
        </is>
      </c>
      <c r="L965">
        <f>_xlfn.XLOOKUP(Tableau1[[#This Row],[TYPE DE PIECE]],Tableau4[MATIERE],Tableau4[SHORT TYPE],"",0,1)</f>
        <v/>
      </c>
      <c r="N965">
        <f>IF(ISERR(FIND("DECOUPE",Tableau1[[#This Row],[DESIGNATION]])),"","NEED REF")</f>
        <v/>
      </c>
    </row>
    <row r="966">
      <c r="B966" t="n">
        <v>34413036</v>
      </c>
      <c r="C966" s="2" t="n">
        <v>45590</v>
      </c>
      <c r="D966" t="inlineStr">
        <is>
          <t>SPEC</t>
        </is>
      </c>
      <c r="E966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6" t="inlineStr">
        <is>
          <t>GVXL</t>
        </is>
      </c>
      <c r="I966" t="inlineStr">
        <is>
          <t>100kA</t>
        </is>
      </c>
      <c r="J966" t="inlineStr">
        <is>
          <t>MATRION</t>
        </is>
      </c>
      <c r="K966" t="inlineStr">
        <is>
          <t>CUIVRE</t>
        </is>
      </c>
      <c r="L966">
        <f>_xlfn.XLOOKUP(Tableau1[[#This Row],[TYPE DE PIECE]],Tableau4[MATIERE],Tableau4[SHORT TYPE],"",0,1)</f>
        <v/>
      </c>
      <c r="N966">
        <f>IF(ISERR(FIND("DECOUPE",Tableau1[[#This Row],[DESIGNATION]])),"","NEED REF")</f>
        <v/>
      </c>
    </row>
    <row r="967">
      <c r="B967" t="n">
        <v>34413035</v>
      </c>
      <c r="C967" s="2" t="n">
        <v>45590</v>
      </c>
      <c r="D967" t="inlineStr">
        <is>
          <t>SPEC</t>
        </is>
      </c>
      <c r="E967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7" t="inlineStr">
        <is>
          <t>GVXL</t>
        </is>
      </c>
      <c r="I967" t="inlineStr">
        <is>
          <t>100kA</t>
        </is>
      </c>
      <c r="J967" t="inlineStr">
        <is>
          <t>MATRION</t>
        </is>
      </c>
      <c r="K967" t="inlineStr">
        <is>
          <t>CUIVRE</t>
        </is>
      </c>
      <c r="L967">
        <f>_xlfn.XLOOKUP(Tableau1[[#This Row],[TYPE DE PIECE]],Tableau4[MATIERE],Tableau4[SHORT TYPE],"",0,1)</f>
        <v/>
      </c>
      <c r="N967">
        <f>IF(ISERR(FIND("DECOUPE",Tableau1[[#This Row],[DESIGNATION]])),"","NEED REF")</f>
        <v/>
      </c>
    </row>
    <row r="968">
      <c r="B968" t="n">
        <v>34413034</v>
      </c>
      <c r="C968" s="2" t="n">
        <v>45590</v>
      </c>
      <c r="D968" t="inlineStr">
        <is>
          <t>SPEC</t>
        </is>
      </c>
      <c r="E968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8" t="inlineStr">
        <is>
          <t>GVXL</t>
        </is>
      </c>
      <c r="I968" t="inlineStr">
        <is>
          <t>100kA</t>
        </is>
      </c>
      <c r="J968" t="inlineStr">
        <is>
          <t>MATRION</t>
        </is>
      </c>
      <c r="K968" t="inlineStr">
        <is>
          <t>CUIVRE</t>
        </is>
      </c>
      <c r="L968">
        <f>_xlfn.XLOOKUP(Tableau1[[#This Row],[TYPE DE PIECE]],Tableau4[MATIERE],Tableau4[SHORT TYPE],"",0,1)</f>
        <v/>
      </c>
      <c r="N968">
        <f>IF(ISERR(FIND("DECOUPE",Tableau1[[#This Row],[DESIGNATION]])),"","NEED REF")</f>
        <v/>
      </c>
    </row>
    <row r="969">
      <c r="B969" t="n">
        <v>34413033</v>
      </c>
      <c r="C969" s="2" t="n">
        <v>45590</v>
      </c>
      <c r="D969" t="inlineStr">
        <is>
          <t>SPEC</t>
        </is>
      </c>
      <c r="E969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69" t="inlineStr">
        <is>
          <t>GVXL</t>
        </is>
      </c>
      <c r="I969" t="inlineStr">
        <is>
          <t>100kA</t>
        </is>
      </c>
      <c r="J969" t="inlineStr">
        <is>
          <t>MATRION</t>
        </is>
      </c>
      <c r="K969" t="inlineStr">
        <is>
          <t>CUIVRE</t>
        </is>
      </c>
      <c r="L969">
        <f>_xlfn.XLOOKUP(Tableau1[[#This Row],[TYPE DE PIECE]],Tableau4[MATIERE],Tableau4[SHORT TYPE],"",0,1)</f>
        <v/>
      </c>
      <c r="N969">
        <f>IF(ISERR(FIND("DECOUPE",Tableau1[[#This Row],[DESIGNATION]])),"","NEED REF")</f>
        <v/>
      </c>
    </row>
    <row r="970">
      <c r="B970" t="n">
        <v>34413032</v>
      </c>
      <c r="C970" s="2" t="n">
        <v>45589</v>
      </c>
      <c r="D970" t="inlineStr">
        <is>
          <t>SPEC</t>
        </is>
      </c>
      <c r="E97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70" s="140" t="inlineStr">
        <is>
          <t>QASH01250</t>
        </is>
      </c>
      <c r="G970" t="inlineStr">
        <is>
          <t>GVXL</t>
        </is>
      </c>
      <c r="I970" t="inlineStr">
        <is>
          <t>1250KVA</t>
        </is>
      </c>
      <c r="J970" t="inlineStr">
        <is>
          <t>BESSIERE</t>
        </is>
      </c>
      <c r="K970" t="inlineStr">
        <is>
          <t>PLASTIQUE</t>
        </is>
      </c>
      <c r="L970">
        <f>_xlfn.XLOOKUP(Tableau1[[#This Row],[TYPE DE PIECE]],Tableau4[MATIERE],Tableau4[SHORT TYPE],"",0,1)</f>
        <v/>
      </c>
      <c r="N970">
        <f>IF(ISERR(FIND("DECOUPE",Tableau1[[#This Row],[DESIGNATION]])),"","NEED REF")</f>
        <v/>
      </c>
    </row>
    <row r="971">
      <c r="B971" t="n">
        <v>34413031</v>
      </c>
      <c r="C971" s="2" t="n">
        <v>45589</v>
      </c>
      <c r="D971" t="inlineStr">
        <is>
          <t>SPEC</t>
        </is>
      </c>
      <c r="E97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71" s="140" t="inlineStr">
        <is>
          <t>QASH01250</t>
        </is>
      </c>
      <c r="G971" t="inlineStr">
        <is>
          <t>GVXL</t>
        </is>
      </c>
      <c r="I971" t="inlineStr">
        <is>
          <t>1250KVA</t>
        </is>
      </c>
      <c r="J971" t="inlineStr">
        <is>
          <t>BESSIERE</t>
        </is>
      </c>
      <c r="K971" t="inlineStr">
        <is>
          <t>METAL</t>
        </is>
      </c>
      <c r="L971">
        <f>_xlfn.XLOOKUP(Tableau1[[#This Row],[TYPE DE PIECE]],Tableau4[MATIERE],Tableau4[SHORT TYPE],"",0,1)</f>
        <v/>
      </c>
      <c r="N971">
        <f>IF(ISERR(FIND("DECOUPE",Tableau1[[#This Row],[DESIGNATION]])),"","NEED REF")</f>
        <v/>
      </c>
    </row>
    <row r="972">
      <c r="B972" t="n">
        <v>34413030</v>
      </c>
      <c r="C972" s="2" t="n">
        <v>45589</v>
      </c>
      <c r="D972" t="inlineStr">
        <is>
          <t>SPEC</t>
        </is>
      </c>
      <c r="E972" t="inlineStr">
        <is>
          <t>ENSEMBLE CONTACTEUR NEUTRE</t>
        </is>
      </c>
      <c r="F972" t="inlineStr">
        <is>
          <t>UPSILLON</t>
        </is>
      </c>
      <c r="G972" t="inlineStr">
        <is>
          <t>STS</t>
        </is>
      </c>
      <c r="H972" t="inlineStr">
        <is>
          <t>STS ETO</t>
        </is>
      </c>
      <c r="I972" t="inlineStr">
        <is>
          <t>60A</t>
        </is>
      </c>
      <c r="J972" t="inlineStr">
        <is>
          <t>JAWORSKI</t>
        </is>
      </c>
      <c r="K972" t="inlineStr">
        <is>
          <t>NOMENCLATURE</t>
        </is>
      </c>
      <c r="L972">
        <f>_xlfn.XLOOKUP(Tableau1[[#This Row],[TYPE DE PIECE]],Tableau4[MATIERE],Tableau4[SHORT TYPE],"",0,1)</f>
        <v/>
      </c>
      <c r="N972">
        <f>IF(ISERR(FIND("DECOUPE",Tableau1[[#This Row],[DESIGNATION]])),"","NEED REF")</f>
        <v/>
      </c>
    </row>
    <row r="973">
      <c r="B973" t="n">
        <v>34413029</v>
      </c>
      <c r="C973" s="2" t="n">
        <v>45589</v>
      </c>
      <c r="D973" t="inlineStr">
        <is>
          <t>SPEC</t>
        </is>
      </c>
      <c r="E973" t="inlineStr">
        <is>
          <t>SMT NEUTRAL OPTION SUPPORT</t>
        </is>
      </c>
      <c r="F973" t="inlineStr">
        <is>
          <t>UPSILLON</t>
        </is>
      </c>
      <c r="G973" t="inlineStr">
        <is>
          <t>STS</t>
        </is>
      </c>
      <c r="H973" t="inlineStr">
        <is>
          <t>STS ETO</t>
        </is>
      </c>
      <c r="I973" t="inlineStr">
        <is>
          <t>60A</t>
        </is>
      </c>
      <c r="J973" t="inlineStr">
        <is>
          <t>JAWORSKI</t>
        </is>
      </c>
      <c r="K973" t="inlineStr">
        <is>
          <t>METAL</t>
        </is>
      </c>
      <c r="L973">
        <f>_xlfn.XLOOKUP(Tableau1[[#This Row],[TYPE DE PIECE]],Tableau4[MATIERE],Tableau4[SHORT TYPE],"",0,1)</f>
        <v/>
      </c>
      <c r="N973">
        <f>IF(ISERR(FIND("DECOUPE",Tableau1[[#This Row],[DESIGNATION]])),"","NEED REF")</f>
        <v/>
      </c>
    </row>
    <row r="974">
      <c r="B974" t="n">
        <v>34413028</v>
      </c>
      <c r="C974" s="2" t="n">
        <v>45589</v>
      </c>
      <c r="D974" t="inlineStr">
        <is>
          <t>SPEC</t>
        </is>
      </c>
      <c r="E974" t="inlineStr">
        <is>
          <t>PLA CUSTOMER CONNECTION COVER</t>
        </is>
      </c>
      <c r="F974" t="inlineStr">
        <is>
          <t>UPSILLON</t>
        </is>
      </c>
      <c r="G974" t="inlineStr">
        <is>
          <t>STS</t>
        </is>
      </c>
      <c r="H974" t="inlineStr">
        <is>
          <t>STS ETO</t>
        </is>
      </c>
      <c r="I974" t="inlineStr">
        <is>
          <t>60A</t>
        </is>
      </c>
      <c r="J974" t="inlineStr">
        <is>
          <t>JAWORSKI</t>
        </is>
      </c>
      <c r="K974" t="inlineStr">
        <is>
          <t>PLASTIQUE</t>
        </is>
      </c>
      <c r="L974">
        <f>_xlfn.XLOOKUP(Tableau1[[#This Row],[TYPE DE PIECE]],Tableau4[MATIERE],Tableau4[SHORT TYPE],"",0,1)</f>
        <v/>
      </c>
      <c r="N974">
        <f>IF(ISERR(FIND("DECOUPE",Tableau1[[#This Row],[DESIGNATION]])),"","NEED REF")</f>
        <v/>
      </c>
    </row>
    <row r="975">
      <c r="B975" t="n">
        <v>34413027</v>
      </c>
      <c r="C975" s="2" t="n">
        <v>45589</v>
      </c>
      <c r="D975" t="inlineStr">
        <is>
          <t>SPEC</t>
        </is>
      </c>
      <c r="E975" t="inlineStr">
        <is>
          <t>SMT CORNIERE ARRIERE DROITE</t>
        </is>
      </c>
      <c r="F975" t="inlineStr">
        <is>
          <t>UPSILLON</t>
        </is>
      </c>
      <c r="G975" t="inlineStr">
        <is>
          <t>STS</t>
        </is>
      </c>
      <c r="H975" t="inlineStr">
        <is>
          <t>STS ETO</t>
        </is>
      </c>
      <c r="I975" t="inlineStr">
        <is>
          <t>60A</t>
        </is>
      </c>
      <c r="J975" t="inlineStr">
        <is>
          <t>JAWORSKI</t>
        </is>
      </c>
      <c r="K975" t="inlineStr">
        <is>
          <t>METAL</t>
        </is>
      </c>
      <c r="L975">
        <f>_xlfn.XLOOKUP(Tableau1[[#This Row],[TYPE DE PIECE]],Tableau4[MATIERE],Tableau4[SHORT TYPE],"",0,1)</f>
        <v/>
      </c>
      <c r="N975">
        <f>IF(ISERR(FIND("DECOUPE",Tableau1[[#This Row],[DESIGNATION]])),"","NEED REF")</f>
        <v/>
      </c>
    </row>
    <row r="976">
      <c r="B976" t="n">
        <v>34413026</v>
      </c>
      <c r="C976" s="2" t="n">
        <v>45589</v>
      </c>
      <c r="D976" t="inlineStr">
        <is>
          <t>SPEC</t>
        </is>
      </c>
      <c r="E976" t="inlineStr">
        <is>
          <t>SMT CORNIERE ARRIERE GAUCHE</t>
        </is>
      </c>
      <c r="F976" t="inlineStr">
        <is>
          <t>UPSILLON</t>
        </is>
      </c>
      <c r="G976" t="inlineStr">
        <is>
          <t>STS</t>
        </is>
      </c>
      <c r="H976" t="inlineStr">
        <is>
          <t>STS ETO</t>
        </is>
      </c>
      <c r="I976" t="inlineStr">
        <is>
          <t>60A</t>
        </is>
      </c>
      <c r="J976" t="inlineStr">
        <is>
          <t>JAWORSKI</t>
        </is>
      </c>
      <c r="K976" t="inlineStr">
        <is>
          <t>METAL</t>
        </is>
      </c>
      <c r="L976">
        <f>_xlfn.XLOOKUP(Tableau1[[#This Row],[TYPE DE PIECE]],Tableau4[MATIERE],Tableau4[SHORT TYPE],"",0,1)</f>
        <v/>
      </c>
      <c r="N976">
        <f>IF(ISERR(FIND("DECOUPE",Tableau1[[#This Row],[DESIGNATION]])),"","NEED REF")</f>
        <v/>
      </c>
    </row>
    <row r="977">
      <c r="B977" t="n">
        <v>34413025</v>
      </c>
      <c r="C977" s="2" t="n">
        <v>45589</v>
      </c>
      <c r="D977" t="inlineStr">
        <is>
          <t>SPEC</t>
        </is>
      </c>
      <c r="E977" t="inlineStr">
        <is>
          <t>SMT CORNIERE AVANT DROITE RAL9003</t>
        </is>
      </c>
      <c r="F977" t="inlineStr">
        <is>
          <t>UPSILLON</t>
        </is>
      </c>
      <c r="G977" t="inlineStr">
        <is>
          <t>STS</t>
        </is>
      </c>
      <c r="H977" t="inlineStr">
        <is>
          <t>STS ETO</t>
        </is>
      </c>
      <c r="I977" t="inlineStr">
        <is>
          <t>60A</t>
        </is>
      </c>
      <c r="J977" t="inlineStr">
        <is>
          <t>JAWORSKI</t>
        </is>
      </c>
      <c r="K977" t="inlineStr">
        <is>
          <t>METAL</t>
        </is>
      </c>
      <c r="L977">
        <f>_xlfn.XLOOKUP(Tableau1[[#This Row],[TYPE DE PIECE]],Tableau4[MATIERE],Tableau4[SHORT TYPE],"",0,1)</f>
        <v/>
      </c>
      <c r="N977">
        <f>IF(ISERR(FIND("DECOUPE",Tableau1[[#This Row],[DESIGNATION]])),"","NEED REF")</f>
        <v/>
      </c>
    </row>
    <row r="978">
      <c r="B978" t="n">
        <v>34413024</v>
      </c>
      <c r="C978" s="2" t="n">
        <v>45589</v>
      </c>
      <c r="D978" t="inlineStr">
        <is>
          <t>SPEC</t>
        </is>
      </c>
      <c r="E978" t="inlineStr">
        <is>
          <t>SMT CORNIERE AVANT GAUCHE RAL9003</t>
        </is>
      </c>
      <c r="F978" t="inlineStr">
        <is>
          <t>UPSILLON</t>
        </is>
      </c>
      <c r="G978" t="inlineStr">
        <is>
          <t>STS</t>
        </is>
      </c>
      <c r="H978" t="inlineStr">
        <is>
          <t>STS ETO</t>
        </is>
      </c>
      <c r="I978" t="inlineStr">
        <is>
          <t>60A</t>
        </is>
      </c>
      <c r="J978" t="inlineStr">
        <is>
          <t>JAWORSKI</t>
        </is>
      </c>
      <c r="K978" t="inlineStr">
        <is>
          <t>METAL</t>
        </is>
      </c>
      <c r="L978">
        <f>_xlfn.XLOOKUP(Tableau1[[#This Row],[TYPE DE PIECE]],Tableau4[MATIERE],Tableau4[SHORT TYPE],"",0,1)</f>
        <v/>
      </c>
      <c r="N978">
        <f>IF(ISERR(FIND("DECOUPE",Tableau1[[#This Row],[DESIGNATION]])),"","NEED REF")</f>
        <v/>
      </c>
    </row>
    <row r="979">
      <c r="B979" t="n">
        <v>34413023</v>
      </c>
      <c r="C979" s="2" t="n">
        <v>45589</v>
      </c>
      <c r="D979" t="inlineStr">
        <is>
          <t>SPEC</t>
        </is>
      </c>
      <c r="E979" t="inlineStr">
        <is>
          <t xml:space="preserve">SMT PLATE ROOF AIR BOX RAL9003 </t>
        </is>
      </c>
      <c r="F979" s="140" t="inlineStr">
        <is>
          <t>QASH01250</t>
        </is>
      </c>
      <c r="G979" t="inlineStr">
        <is>
          <t>GVXL</t>
        </is>
      </c>
      <c r="I979" t="inlineStr">
        <is>
          <t>1250KVA</t>
        </is>
      </c>
      <c r="J979" t="inlineStr">
        <is>
          <t>BESSIERE</t>
        </is>
      </c>
      <c r="K979" t="inlineStr">
        <is>
          <t>METAL</t>
        </is>
      </c>
      <c r="L979">
        <f>_xlfn.XLOOKUP(Tableau1[[#This Row],[TYPE DE PIECE]],Tableau4[MATIERE],Tableau4[SHORT TYPE],"",0,1)</f>
        <v/>
      </c>
      <c r="N979">
        <f>IF(ISERR(FIND("DECOUPE",Tableau1[[#This Row],[DESIGNATION]])),"","NEED REF")</f>
        <v/>
      </c>
    </row>
    <row r="980">
      <c r="B980" t="n">
        <v>34413022</v>
      </c>
      <c r="C980" s="2" t="n">
        <v>45589</v>
      </c>
      <c r="D980" t="inlineStr">
        <is>
          <t>SPEC</t>
        </is>
      </c>
      <c r="E980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0" t="inlineStr">
        <is>
          <t>GVXL</t>
        </is>
      </c>
      <c r="I980" t="inlineStr">
        <is>
          <t>100kA</t>
        </is>
      </c>
      <c r="J980" t="inlineStr">
        <is>
          <t>MATRION</t>
        </is>
      </c>
      <c r="K980" t="inlineStr">
        <is>
          <t>CUIVRE</t>
        </is>
      </c>
      <c r="L980">
        <f>_xlfn.XLOOKUP(Tableau1[[#This Row],[TYPE DE PIECE]],Tableau4[MATIERE],Tableau4[SHORT TYPE],"",0,1)</f>
        <v/>
      </c>
      <c r="N980">
        <f>IF(ISERR(FIND("DECOUPE",Tableau1[[#This Row],[DESIGNATION]])),"","NEED REF")</f>
        <v/>
      </c>
    </row>
    <row r="981">
      <c r="B981" t="n">
        <v>34413021</v>
      </c>
      <c r="C981" s="2" t="n">
        <v>45589</v>
      </c>
      <c r="D981" t="inlineStr">
        <is>
          <t>SPEC</t>
        </is>
      </c>
      <c r="E981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1" t="inlineStr">
        <is>
          <t>GVXL</t>
        </is>
      </c>
      <c r="I981" t="inlineStr">
        <is>
          <t>100kA</t>
        </is>
      </c>
      <c r="J981" t="inlineStr">
        <is>
          <t>MATRION</t>
        </is>
      </c>
      <c r="K981" t="inlineStr">
        <is>
          <t>CUIVRE</t>
        </is>
      </c>
      <c r="L981">
        <f>_xlfn.XLOOKUP(Tableau1[[#This Row],[TYPE DE PIECE]],Tableau4[MATIERE],Tableau4[SHORT TYPE],"",0,1)</f>
        <v/>
      </c>
      <c r="N981">
        <f>IF(ISERR(FIND("DECOUPE",Tableau1[[#This Row],[DESIGNATION]])),"","NEED REF")</f>
        <v/>
      </c>
    </row>
    <row r="982">
      <c r="B982" t="n">
        <v>34413020</v>
      </c>
      <c r="C982" s="2" t="n">
        <v>45589</v>
      </c>
      <c r="D982" t="inlineStr">
        <is>
          <t>SPEC</t>
        </is>
      </c>
      <c r="E982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2" t="inlineStr">
        <is>
          <t>GVXL</t>
        </is>
      </c>
      <c r="I982" t="inlineStr">
        <is>
          <t>100kA</t>
        </is>
      </c>
      <c r="J982" t="inlineStr">
        <is>
          <t>MATRION</t>
        </is>
      </c>
      <c r="K982" t="inlineStr">
        <is>
          <t>CUIVRE</t>
        </is>
      </c>
      <c r="L982">
        <f>_xlfn.XLOOKUP(Tableau1[[#This Row],[TYPE DE PIECE]],Tableau4[MATIERE],Tableau4[SHORT TYPE],"",0,1)</f>
        <v/>
      </c>
      <c r="N982">
        <f>IF(ISERR(FIND("DECOUPE",Tableau1[[#This Row],[DESIGNATION]])),"","NEED REF")</f>
        <v/>
      </c>
    </row>
    <row r="983">
      <c r="B983" t="n">
        <v>34413019</v>
      </c>
      <c r="C983" s="2" t="n">
        <v>45589</v>
      </c>
      <c r="D983" t="inlineStr">
        <is>
          <t>SPEC</t>
        </is>
      </c>
      <c r="E983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3" t="inlineStr">
        <is>
          <t>GVXL</t>
        </is>
      </c>
      <c r="I983" t="inlineStr">
        <is>
          <t>100kA</t>
        </is>
      </c>
      <c r="J983" t="inlineStr">
        <is>
          <t>MATRION</t>
        </is>
      </c>
      <c r="K983" t="inlineStr">
        <is>
          <t>CUIVRE</t>
        </is>
      </c>
      <c r="L983">
        <f>_xlfn.XLOOKUP(Tableau1[[#This Row],[TYPE DE PIECE]],Tableau4[MATIERE],Tableau4[SHORT TYPE],"",0,1)</f>
        <v/>
      </c>
      <c r="N983">
        <f>IF(ISERR(FIND("DECOUPE",Tableau1[[#This Row],[DESIGNATION]])),"","NEED REF")</f>
        <v/>
      </c>
    </row>
    <row r="984">
      <c r="B984" t="n">
        <v>34413018</v>
      </c>
      <c r="C984" s="2" t="n">
        <v>45589</v>
      </c>
      <c r="D984" t="inlineStr">
        <is>
          <t>SPEC</t>
        </is>
      </c>
      <c r="E984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4" t="inlineStr">
        <is>
          <t>GVXL</t>
        </is>
      </c>
      <c r="I984" t="inlineStr">
        <is>
          <t>100kA</t>
        </is>
      </c>
      <c r="J984" t="inlineStr">
        <is>
          <t>MATRION</t>
        </is>
      </c>
      <c r="K984" t="inlineStr">
        <is>
          <t>PLASTIQUE</t>
        </is>
      </c>
      <c r="L984">
        <f>_xlfn.XLOOKUP(Tableau1[[#This Row],[TYPE DE PIECE]],Tableau4[MATIERE],Tableau4[SHORT TYPE],"",0,1)</f>
        <v/>
      </c>
      <c r="N984">
        <f>IF(ISERR(FIND("DECOUPE",Tableau1[[#This Row],[DESIGNATION]])),"","NEED REF")</f>
        <v/>
      </c>
    </row>
    <row r="985">
      <c r="B985" t="n">
        <v>34413017</v>
      </c>
      <c r="C985" s="2" t="n">
        <v>45589</v>
      </c>
      <c r="D985" t="inlineStr">
        <is>
          <t>SPEC</t>
        </is>
      </c>
      <c r="E985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5" t="inlineStr">
        <is>
          <t>GVXL</t>
        </is>
      </c>
      <c r="I985" t="inlineStr">
        <is>
          <t>100kA</t>
        </is>
      </c>
      <c r="J985" t="inlineStr">
        <is>
          <t>MATRION</t>
        </is>
      </c>
      <c r="K985" t="inlineStr">
        <is>
          <t>PLASTIQUE</t>
        </is>
      </c>
      <c r="L985">
        <f>_xlfn.XLOOKUP(Tableau1[[#This Row],[TYPE DE PIECE]],Tableau4[MATIERE],Tableau4[SHORT TYPE],"",0,1)</f>
        <v/>
      </c>
      <c r="N985">
        <f>IF(ISERR(FIND("DECOUPE",Tableau1[[#This Row],[DESIGNATION]])),"","NEED REF")</f>
        <v/>
      </c>
    </row>
    <row r="986">
      <c r="B986" t="n">
        <v>34413016</v>
      </c>
      <c r="C986" s="2" t="n">
        <v>45589</v>
      </c>
      <c r="D986" t="inlineStr">
        <is>
          <t>SPEC</t>
        </is>
      </c>
      <c r="E986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6" t="inlineStr">
        <is>
          <t>GVXL</t>
        </is>
      </c>
      <c r="I986" t="inlineStr">
        <is>
          <t>100kA</t>
        </is>
      </c>
      <c r="J986" t="inlineStr">
        <is>
          <t>MATRION</t>
        </is>
      </c>
      <c r="K986" t="inlineStr">
        <is>
          <t>PLASTIQUE</t>
        </is>
      </c>
      <c r="L986">
        <f>_xlfn.XLOOKUP(Tableau1[[#This Row],[TYPE DE PIECE]],Tableau4[MATIERE],Tableau4[SHORT TYPE],"",0,1)</f>
        <v/>
      </c>
      <c r="N986">
        <f>IF(ISERR(FIND("DECOUPE",Tableau1[[#This Row],[DESIGNATION]])),"","NEED REF")</f>
        <v/>
      </c>
    </row>
    <row r="987">
      <c r="B987" t="n">
        <v>34413015</v>
      </c>
      <c r="C987" s="2" t="n">
        <v>45589</v>
      </c>
      <c r="D987" t="inlineStr">
        <is>
          <t>SPEC</t>
        </is>
      </c>
      <c r="E987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7" t="inlineStr">
        <is>
          <t>GVXL</t>
        </is>
      </c>
      <c r="I987" t="inlineStr">
        <is>
          <t>100kA</t>
        </is>
      </c>
      <c r="J987" t="inlineStr">
        <is>
          <t>MATRION</t>
        </is>
      </c>
      <c r="K987" t="inlineStr">
        <is>
          <t>CUIVRE</t>
        </is>
      </c>
      <c r="L987">
        <f>_xlfn.XLOOKUP(Tableau1[[#This Row],[TYPE DE PIECE]],Tableau4[MATIERE],Tableau4[SHORT TYPE],"",0,1)</f>
        <v/>
      </c>
      <c r="N987">
        <f>IF(ISERR(FIND("DECOUPE",Tableau1[[#This Row],[DESIGNATION]])),"","NEED REF")</f>
        <v/>
      </c>
    </row>
    <row r="988">
      <c r="B988" t="n">
        <v>34413014</v>
      </c>
      <c r="C988" s="2" t="n">
        <v>45589</v>
      </c>
      <c r="D988" t="inlineStr">
        <is>
          <t>SPEC</t>
        </is>
      </c>
      <c r="E988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8" t="inlineStr">
        <is>
          <t>GVXL</t>
        </is>
      </c>
      <c r="I988" t="inlineStr">
        <is>
          <t>100kA</t>
        </is>
      </c>
      <c r="J988" t="inlineStr">
        <is>
          <t>MATRION</t>
        </is>
      </c>
      <c r="K988" t="inlineStr">
        <is>
          <t>CUIVRE</t>
        </is>
      </c>
      <c r="L988">
        <f>_xlfn.XLOOKUP(Tableau1[[#This Row],[TYPE DE PIECE]],Tableau4[MATIERE],Tableau4[SHORT TYPE],"",0,1)</f>
        <v/>
      </c>
      <c r="N988">
        <f>IF(ISERR(FIND("DECOUPE",Tableau1[[#This Row],[DESIGNATION]])),"","NEED REF")</f>
        <v/>
      </c>
    </row>
    <row r="989">
      <c r="B989" t="n">
        <v>34413013</v>
      </c>
      <c r="C989" s="2" t="n">
        <v>45589</v>
      </c>
      <c r="D989" t="inlineStr">
        <is>
          <t>SPEC</t>
        </is>
      </c>
      <c r="E989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89" t="inlineStr">
        <is>
          <t>GVXL</t>
        </is>
      </c>
      <c r="I989" t="inlineStr">
        <is>
          <t>100kA</t>
        </is>
      </c>
      <c r="J989" t="inlineStr">
        <is>
          <t>MATRION</t>
        </is>
      </c>
      <c r="K989" t="inlineStr">
        <is>
          <t>CUIVRE</t>
        </is>
      </c>
      <c r="L989">
        <f>_xlfn.XLOOKUP(Tableau1[[#This Row],[TYPE DE PIECE]],Tableau4[MATIERE],Tableau4[SHORT TYPE],"",0,1)</f>
        <v/>
      </c>
      <c r="N989">
        <f>IF(ISERR(FIND("DECOUPE",Tableau1[[#This Row],[DESIGNATION]])),"","NEED REF")</f>
        <v/>
      </c>
    </row>
    <row r="990">
      <c r="B990" t="n">
        <v>34413012</v>
      </c>
      <c r="C990" s="2" t="n">
        <v>45589</v>
      </c>
      <c r="D990" t="inlineStr">
        <is>
          <t>SPEC</t>
        </is>
      </c>
      <c r="E990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G990" t="inlineStr">
        <is>
          <t>GVXL</t>
        </is>
      </c>
      <c r="I990" t="inlineStr">
        <is>
          <t>100kA</t>
        </is>
      </c>
      <c r="J990" t="inlineStr">
        <is>
          <t>MATRION</t>
        </is>
      </c>
      <c r="K990" t="inlineStr">
        <is>
          <t>CUIVRE</t>
        </is>
      </c>
      <c r="L990">
        <f>_xlfn.XLOOKUP(Tableau1[[#This Row],[TYPE DE PIECE]],Tableau4[MATIERE],Tableau4[SHORT TYPE],"",0,1)</f>
        <v/>
      </c>
      <c r="N990">
        <f>IF(ISERR(FIND("DECOUPE",Tableau1[[#This Row],[DESIGNATION]])),"","NEED REF")</f>
        <v/>
      </c>
    </row>
    <row r="991">
      <c r="B991" t="n">
        <v>34413011</v>
      </c>
      <c r="C991" s="2" t="n">
        <v>45588</v>
      </c>
      <c r="D991" t="inlineStr">
        <is>
          <t>SPEC</t>
        </is>
      </c>
      <c r="E991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91" s="140" t="inlineStr">
        <is>
          <t>QASH01250</t>
        </is>
      </c>
      <c r="G991" t="inlineStr">
        <is>
          <t>GVXL</t>
        </is>
      </c>
      <c r="I991" t="inlineStr">
        <is>
          <t>1250KVA</t>
        </is>
      </c>
      <c r="J991" t="inlineStr">
        <is>
          <t>BESSIERE</t>
        </is>
      </c>
      <c r="K991" t="inlineStr">
        <is>
          <t>METAL</t>
        </is>
      </c>
      <c r="L991">
        <f>_xlfn.XLOOKUP(Tableau1[[#This Row],[TYPE DE PIECE]],Tableau4[MATIERE],Tableau4[SHORT TYPE],"",0,1)</f>
        <v/>
      </c>
      <c r="N991">
        <f>IF(ISERR(FIND("DECOUPE",Tableau1[[#This Row],[DESIGNATION]])),"","NEED REF")</f>
        <v/>
      </c>
    </row>
    <row r="992">
      <c r="B992" t="n">
        <v>34413010</v>
      </c>
      <c r="C992" s="2" t="n">
        <v>45588</v>
      </c>
      <c r="D992" t="inlineStr">
        <is>
          <t>SPEC</t>
        </is>
      </c>
      <c r="E992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/>
      </c>
      <c r="F992" s="140" t="inlineStr">
        <is>
          <t>QASH01250</t>
        </is>
      </c>
      <c r="G992" t="inlineStr">
        <is>
          <t>GVXL</t>
        </is>
      </c>
      <c r="I992" t="inlineStr">
        <is>
          <t>1250KVA</t>
        </is>
      </c>
      <c r="J992" t="inlineStr">
        <is>
          <t>BESSIERE</t>
        </is>
      </c>
      <c r="K992" t="inlineStr">
        <is>
          <t>METAL</t>
        </is>
      </c>
      <c r="L992">
        <f>_xlfn.XLOOKUP(Tableau1[[#This Row],[TYPE DE PIECE]],Tableau4[MATIERE],Tableau4[SHORT TYPE],"",0,1)</f>
        <v/>
      </c>
      <c r="N992">
        <f>IF(ISERR(FIND("DECOUPE",Tableau1[[#This Row],[DESIGNATION]])),"","NEED REF")</f>
        <v/>
      </c>
    </row>
    <row r="993">
      <c r="B993" t="n">
        <v>34413009</v>
      </c>
      <c r="C993" s="2" t="n">
        <v>45588</v>
      </c>
      <c r="D993" t="inlineStr">
        <is>
          <t>SPEC</t>
        </is>
      </c>
      <c r="E993">
        <f>_xlfn.CONCAT(Tableau1[[#This Row],[SHORT TYPE]]," ",Tableau1[[#This Row],[NUMERO]]," ",Tableau1[[#This Row],[GAMME]]," ",Tableau1[[#This Row],[TYPE PRODUIT]]," ",Tableau1[[#This Row],[PUISSANCE]])</f>
        <v/>
      </c>
      <c r="F993" s="140" t="inlineStr">
        <is>
          <t>QASH01250</t>
        </is>
      </c>
      <c r="G993" t="inlineStr">
        <is>
          <t>GVXL</t>
        </is>
      </c>
      <c r="I993" t="inlineStr">
        <is>
          <t>1250KVA</t>
        </is>
      </c>
      <c r="J993" t="inlineStr">
        <is>
          <t>BESSIERE</t>
        </is>
      </c>
      <c r="K993" t="inlineStr">
        <is>
          <t>PLASTIQUE</t>
        </is>
      </c>
      <c r="L993">
        <f>_xlfn.XLOOKUP(Tableau1[[#This Row],[TYPE DE PIECE]],Tableau4[MATIERE],Tableau4[SHORT TYPE],"",0,1)</f>
        <v/>
      </c>
      <c r="N993">
        <f>IF(ISERR(FIND("DECOUPE",Tableau1[[#This Row],[DESIGNATION]])),"","NEED REF")</f>
        <v/>
      </c>
    </row>
    <row r="994">
      <c r="B994" t="n">
        <v>34413008</v>
      </c>
      <c r="C994" s="2" t="n">
        <v>45588</v>
      </c>
      <c r="D994" t="inlineStr">
        <is>
          <t>SPEC</t>
        </is>
      </c>
      <c r="E994">
        <f>_xlfn.CONCAT(Tableau1[[#This Row],[SHORT TYPE]],IF(Tableau1[[#This Row],[NUMERO]]&lt;&gt;""," ",""),Tableau1[[#This Row],[NUMERO]],IF(Tableau1[[#This Row],[GAMME]]&lt;&gt;""," ",""),Tableau1[[#This Row],[GAMME]],IF(Tableau1[[#This Row],[TYPE PRODUIT]]&lt;&gt;""," ",""),Tableau1[[#This Row],[TYPE PRODUIT]],IF(Tableau1[[#This Row],[PUISSANCE]]&lt;&gt;""," ",""),Tableau1[[#This Row],[PUISSANCE]])</f>
        <v/>
      </c>
      <c r="F994" s="140" t="inlineStr">
        <is>
          <t>QASH01250</t>
        </is>
      </c>
      <c r="G994" t="inlineStr">
        <is>
          <t>GVXL</t>
        </is>
      </c>
      <c r="I994" t="inlineStr">
        <is>
          <t>1250KVA</t>
        </is>
      </c>
      <c r="J994" t="inlineStr">
        <is>
          <t>BESSIERE</t>
        </is>
      </c>
      <c r="K994" t="inlineStr">
        <is>
          <t>PLASTIQUE</t>
        </is>
      </c>
      <c r="L994">
        <f>_xlfn.XLOOKUP(Tableau1[[#This Row],[TYPE DE PIECE]],Tableau4[MATIERE],Tableau4[SHORT TYPE],"",0,1)</f>
        <v/>
      </c>
      <c r="N994">
        <f>IF(ISERR(FIND("DECOUPE",Tableau1[[#This Row],[DESIGNATION]])),"","NEED REF")</f>
        <v/>
      </c>
    </row>
    <row r="995">
      <c r="B995" t="n">
        <v>34413007</v>
      </c>
      <c r="C995" s="2" t="n">
        <v>45588</v>
      </c>
      <c r="D995" t="inlineStr">
        <is>
          <t>SPEC</t>
        </is>
      </c>
      <c r="E995">
        <f>_xlfn.CONCAT(Tableau1[[#This Row],[SHORT TYPE]]," ",Tableau1[[#This Row],[NUMERO]]," ",Tableau1[[#This Row],[GAMME]]," ",Tableau1[[#This Row],[TYPE PRODUIT]]," ",Tableau1[[#This Row],[PUISSANCE]])</f>
        <v/>
      </c>
      <c r="F995" s="140" t="inlineStr">
        <is>
          <t>QASH01250</t>
        </is>
      </c>
      <c r="G995" t="inlineStr">
        <is>
          <t>GVXL</t>
        </is>
      </c>
      <c r="I995" t="inlineStr">
        <is>
          <t>1250KVA</t>
        </is>
      </c>
      <c r="J995" t="inlineStr">
        <is>
          <t>BESSIERE</t>
        </is>
      </c>
      <c r="K995" t="inlineStr">
        <is>
          <t>METAL</t>
        </is>
      </c>
      <c r="L995">
        <f>_xlfn.XLOOKUP(Tableau1[[#This Row],[TYPE DE PIECE]],Tableau4[MATIERE],Tableau4[SHORT TYPE],"",0,1)</f>
        <v/>
      </c>
      <c r="N995">
        <f>IF(ISERR(FIND("DECOUPE",Tableau1[[#This Row],[DESIGNATION]])),"","NEED REF")</f>
        <v/>
      </c>
    </row>
    <row r="996">
      <c r="B996" t="n">
        <v>34413006</v>
      </c>
      <c r="C996" s="2" t="n">
        <v>45588</v>
      </c>
      <c r="D996" t="inlineStr">
        <is>
          <t>SPEC</t>
        </is>
      </c>
      <c r="E996">
        <f>_xlfn.CONCAT(Tableau1[[#This Row],[SHORT TYPE]]," ",Tableau1[[#This Row],[NUMERO]]," ",Tableau1[[#This Row],[GAMME]]," ",Tableau1[[#This Row],[TYPE PRODUIT]]," ",Tableau1[[#This Row],[PUISSANCE]])</f>
        <v/>
      </c>
      <c r="F996" s="140" t="inlineStr">
        <is>
          <t>QASH01250</t>
        </is>
      </c>
      <c r="G996" t="inlineStr">
        <is>
          <t>GVXL</t>
        </is>
      </c>
      <c r="I996" t="inlineStr">
        <is>
          <t>1250KVA</t>
        </is>
      </c>
      <c r="J996" t="inlineStr">
        <is>
          <t>BESSIERE</t>
        </is>
      </c>
      <c r="K996" t="inlineStr">
        <is>
          <t>METAL</t>
        </is>
      </c>
      <c r="L996">
        <f>_xlfn.XLOOKUP(Tableau1[[#This Row],[TYPE DE PIECE]],Tableau4[MATIERE],Tableau4[SHORT TYPE],"",0,1)</f>
        <v/>
      </c>
      <c r="N996">
        <f>IF(ISERR(FIND("DECOUPE",Tableau1[[#This Row],[DESIGNATION]])),"","NEED REF")</f>
        <v/>
      </c>
    </row>
    <row r="997">
      <c r="B997" t="n">
        <v>34413005</v>
      </c>
      <c r="C997" s="2" t="n">
        <v>45588</v>
      </c>
      <c r="D997" t="inlineStr">
        <is>
          <t>SPEC</t>
        </is>
      </c>
      <c r="E997" t="inlineStr">
        <is>
          <t>COP 34413005 GVXL  1250KVA BATTERY CONNEXION B+/B-</t>
        </is>
      </c>
      <c r="F997" s="140" t="inlineStr">
        <is>
          <t>QASH01250</t>
        </is>
      </c>
      <c r="G997" t="inlineStr">
        <is>
          <t>GVXL</t>
        </is>
      </c>
      <c r="I997" t="inlineStr">
        <is>
          <t>1250KVA</t>
        </is>
      </c>
      <c r="J997" t="inlineStr">
        <is>
          <t>BESSIERE</t>
        </is>
      </c>
      <c r="K997" t="inlineStr">
        <is>
          <t>CUIVRE</t>
        </is>
      </c>
      <c r="L997">
        <f>_xlfn.XLOOKUP(Tableau1[[#This Row],[TYPE DE PIECE]],Tableau4[MATIERE],Tableau4[SHORT TYPE],"",0,1)</f>
        <v/>
      </c>
      <c r="N997">
        <f>IF(ISERR(FIND("DECOUPE",Tableau1[[#This Row],[DESIGNATION]])),"","NEED REF")</f>
        <v/>
      </c>
    </row>
    <row r="998">
      <c r="B998" t="n">
        <v>34413004</v>
      </c>
      <c r="C998" s="2" t="n">
        <v>45587</v>
      </c>
      <c r="D998" t="inlineStr">
        <is>
          <t>SPEC</t>
        </is>
      </c>
      <c r="E998" t="inlineStr">
        <is>
          <t>SE ARMOIRE SAREL SFN H1400 L600 P600 STS60 3P ETO 415V _ OFFRE 252584/01</t>
        </is>
      </c>
      <c r="F998" t="inlineStr">
        <is>
          <t>UPSILLON</t>
        </is>
      </c>
      <c r="G998" t="inlineStr">
        <is>
          <t>STS</t>
        </is>
      </c>
      <c r="H998" t="inlineStr">
        <is>
          <t>STS ETO</t>
        </is>
      </c>
      <c r="I998" t="inlineStr">
        <is>
          <t>60A</t>
        </is>
      </c>
      <c r="J998" t="inlineStr">
        <is>
          <t>JAWORSKI</t>
        </is>
      </c>
      <c r="L998">
        <f>_xlfn.XLOOKUP(Tableau1[[#This Row],[TYPE DE PIECE]],Tableau4[MATIERE],Tableau4[SHORT TYPE],"",0,1)</f>
        <v/>
      </c>
      <c r="M998" s="141" t="n"/>
      <c r="N998">
        <f>IF(ISERR(FIND("DECOUPE",Tableau1[[#This Row],[DESIGNATION]])),"","NEED REF")</f>
        <v/>
      </c>
    </row>
    <row r="999">
      <c r="B999" t="n">
        <v>34413003</v>
      </c>
      <c r="C999" s="2" t="n">
        <v>45586</v>
      </c>
      <c r="D999" t="inlineStr">
        <is>
          <t>SPEC</t>
        </is>
      </c>
      <c r="E999" t="inlineStr">
        <is>
          <t>SMT 34413003 PLAQUE HAUT JDB 100kA</t>
        </is>
      </c>
      <c r="G999" t="inlineStr">
        <is>
          <t>GVXL</t>
        </is>
      </c>
      <c r="H999" t="inlineStr">
        <is>
          <t>TOUTES</t>
        </is>
      </c>
      <c r="I999" t="inlineStr">
        <is>
          <t>100kA</t>
        </is>
      </c>
      <c r="J999" t="inlineStr">
        <is>
          <t>MATRION</t>
        </is>
      </c>
      <c r="K999" t="inlineStr">
        <is>
          <t>METAL</t>
        </is>
      </c>
      <c r="L999">
        <f>_xlfn.XLOOKUP(Tableau1[[#This Row],[TYPE DE PIECE]],Tableau4[MATIERE],Tableau4[SHORT TYPE],"",0,1)</f>
        <v/>
      </c>
      <c r="N999">
        <f>IF(ISERR(FIND("DECOUPE",Tableau1[[#This Row],[DESIGNATION]])),"","NEED REF")</f>
        <v/>
      </c>
    </row>
    <row r="1000">
      <c r="B1000" t="n">
        <v>34413002</v>
      </c>
      <c r="C1000" s="2" t="n">
        <v>45586</v>
      </c>
      <c r="D1000" t="inlineStr">
        <is>
          <t>SPEC</t>
        </is>
      </c>
      <c r="E1000" t="inlineStr">
        <is>
          <t>SMT 34413002 ENTRETOISE LATERAL JDB 100kA</t>
        </is>
      </c>
      <c r="G1000" t="inlineStr">
        <is>
          <t>GVXL</t>
        </is>
      </c>
      <c r="H1000" t="inlineStr">
        <is>
          <t>TOUTES</t>
        </is>
      </c>
      <c r="I1000" t="inlineStr">
        <is>
          <t>100kA</t>
        </is>
      </c>
      <c r="J1000" t="inlineStr">
        <is>
          <t>MATRION</t>
        </is>
      </c>
      <c r="K1000" t="inlineStr">
        <is>
          <t>METAL</t>
        </is>
      </c>
      <c r="L1000">
        <f>_xlfn.XLOOKUP(Tableau1[[#This Row],[TYPE DE PIECE]],Tableau4[MATIERE],Tableau4[SHORT TYPE],"",0,1)</f>
        <v/>
      </c>
      <c r="N1000">
        <f>IF(ISERR(FIND("DECOUPE",Tableau1[[#This Row],[DESIGNATION]])),"","NEED REF")</f>
        <v/>
      </c>
    </row>
    <row r="1001">
      <c r="B1001" t="n">
        <v>34413001</v>
      </c>
      <c r="C1001" s="2" t="n">
        <v>45586</v>
      </c>
      <c r="D1001" t="inlineStr">
        <is>
          <t>SPEC</t>
        </is>
      </c>
      <c r="E1001" t="inlineStr">
        <is>
          <t>SE ARMOIRE SAREL 1800*600*800 + SKID SUIVANT OFFRE FAF0006002</t>
        </is>
      </c>
      <c r="J1001" t="inlineStr">
        <is>
          <t>BESSIERE</t>
        </is>
      </c>
      <c r="L1001">
        <f>_xlfn.XLOOKUP(Tableau1[[#This Row],[TYPE DE PIECE]],Tableau4[MATIERE],Tableau4[SHORT TYPE],"",0,1)</f>
        <v/>
      </c>
      <c r="N1001">
        <f>IF(ISERR(FIND("DECOUPE",Tableau1[[#This Row],[DESIGNATION]])),"","NEED REF")</f>
        <v/>
      </c>
    </row>
    <row r="1002">
      <c r="B1002" t="n">
        <v>34413000</v>
      </c>
      <c r="C1002" s="2" t="n">
        <v>45586</v>
      </c>
      <c r="D1002" t="inlineStr">
        <is>
          <t>SPEC</t>
        </is>
      </c>
      <c r="E1002" t="inlineStr">
        <is>
          <t>SMT PLASTRON PLEIN CENTRAL GVEAC7</t>
        </is>
      </c>
      <c r="J1002" t="inlineStr">
        <is>
          <t>BERNARDEAU</t>
        </is>
      </c>
      <c r="K1002" t="inlineStr">
        <is>
          <t>METAL</t>
        </is>
      </c>
      <c r="L1002">
        <f>_xlfn.XLOOKUP(Tableau1[[#This Row],[TYPE DE PIECE]],Tableau4[MATIERE],Tableau4[SHORT TYPE],"",0,1)</f>
        <v/>
      </c>
      <c r="N1002">
        <f>IF(ISERR(FIND("DECOUPE",Tableau1[[#This Row],[DESIGNATION]])),"","NEED REF")</f>
        <v/>
      </c>
    </row>
    <row r="1003">
      <c r="B1003" t="n">
        <v>34412999</v>
      </c>
      <c r="C1003" s="2" t="n">
        <v>45583</v>
      </c>
      <c r="D1003" t="inlineStr">
        <is>
          <t>SPEC</t>
        </is>
      </c>
      <c r="E1003" t="inlineStr">
        <is>
          <t>COP 34412999 GVXL 1250kVA BATTERY B+/B-</t>
        </is>
      </c>
      <c r="F1003" s="140" t="inlineStr">
        <is>
          <t>QASH01250</t>
        </is>
      </c>
      <c r="G1003" t="inlineStr">
        <is>
          <t>GVXL</t>
        </is>
      </c>
      <c r="I1003" t="inlineStr">
        <is>
          <t>1250KVA</t>
        </is>
      </c>
      <c r="J1003" t="inlineStr">
        <is>
          <t>BESSIERE</t>
        </is>
      </c>
      <c r="K1003" t="inlineStr">
        <is>
          <t>CUIVRE</t>
        </is>
      </c>
      <c r="L1003">
        <f>_xlfn.XLOOKUP(Tableau1[[#This Row],[TYPE DE PIECE]],Tableau4[MATIERE],Tableau4[SHORT TYPE],"",0,1)</f>
        <v/>
      </c>
      <c r="N1003">
        <f>IF(ISERR(FIND("DECOUPE",Tableau1[[#This Row],[DESIGNATION]])),"","NEED REF")</f>
        <v/>
      </c>
    </row>
    <row r="1004">
      <c r="B1004" t="n">
        <v>34412998</v>
      </c>
      <c r="C1004" s="2" t="n">
        <v>45583</v>
      </c>
      <c r="D1004" t="inlineStr">
        <is>
          <t>SPEC</t>
        </is>
      </c>
      <c r="E1004" t="inlineStr">
        <is>
          <t>DC RAISE</t>
        </is>
      </c>
      <c r="F1004" s="140" t="inlineStr">
        <is>
          <t>QASH01250</t>
        </is>
      </c>
      <c r="G1004" t="inlineStr">
        <is>
          <t>GVXL</t>
        </is>
      </c>
      <c r="J1004" t="inlineStr">
        <is>
          <t>BESSIERE</t>
        </is>
      </c>
      <c r="L1004">
        <f>_xlfn.XLOOKUP(Tableau1[[#This Row],[TYPE DE PIECE]],Tableau4[MATIERE],Tableau4[SHORT TYPE],"",0,1)</f>
        <v/>
      </c>
      <c r="N1004">
        <f>IF(ISERR(FIND("DECOUPE",Tableau1[[#This Row],[DESIGNATION]])),"","NEED REF")</f>
        <v/>
      </c>
    </row>
    <row r="1005">
      <c r="B1005" t="n">
        <v>34412997</v>
      </c>
      <c r="C1005" s="2" t="n">
        <v>45583</v>
      </c>
      <c r="D1005" t="inlineStr">
        <is>
          <t>SPEC</t>
        </is>
      </c>
      <c r="E1005" t="inlineStr">
        <is>
          <t>COP LIAISON</t>
        </is>
      </c>
      <c r="J1005" t="inlineStr">
        <is>
          <t>BERNARDEAU</t>
        </is>
      </c>
      <c r="K1005" t="inlineStr">
        <is>
          <t>CUIVRE</t>
        </is>
      </c>
      <c r="L1005">
        <f>_xlfn.XLOOKUP(Tableau1[[#This Row],[TYPE DE PIECE]],Tableau4[MATIERE],Tableau4[SHORT TYPE],"",0,1)</f>
        <v/>
      </c>
      <c r="N1005">
        <f>IF(ISERR(FIND("DECOUPE",Tableau1[[#This Row],[DESIGNATION]])),"","NEED REF")</f>
        <v/>
      </c>
    </row>
    <row r="1006">
      <c r="B1006" t="n">
        <v>34412996</v>
      </c>
      <c r="C1006" s="2" t="n">
        <v>45583</v>
      </c>
      <c r="D1006" t="inlineStr">
        <is>
          <t>SPEC</t>
        </is>
      </c>
      <c r="E1006" t="inlineStr">
        <is>
          <t>AIR BOX</t>
        </is>
      </c>
      <c r="J1006" t="inlineStr">
        <is>
          <t>BESSIERE</t>
        </is>
      </c>
      <c r="L1006">
        <f>_xlfn.XLOOKUP(Tableau1[[#This Row],[TYPE DE PIECE]],Tableau4[MATIERE],Tableau4[SHORT TYPE],"",0,1)</f>
        <v/>
      </c>
      <c r="N1006">
        <f>IF(ISERR(FIND("DECOUPE",Tableau1[[#This Row],[DESIGNATION]])),"","NEED REF")</f>
        <v/>
      </c>
    </row>
    <row r="1007">
      <c r="B1007" t="n">
        <v>34412995</v>
      </c>
      <c r="C1007" s="2" t="n">
        <v>45583</v>
      </c>
      <c r="D1007" t="inlineStr">
        <is>
          <t>SPEC</t>
        </is>
      </c>
      <c r="E1007" t="inlineStr">
        <is>
          <t>SMT FIXATION CABLES CLIENT GVEAC7</t>
        </is>
      </c>
      <c r="J1007" t="inlineStr">
        <is>
          <t>BERNARDEAU</t>
        </is>
      </c>
      <c r="K1007" t="inlineStr">
        <is>
          <t>METAL</t>
        </is>
      </c>
      <c r="L1007">
        <f>_xlfn.XLOOKUP(Tableau1[[#This Row],[TYPE DE PIECE]],Tableau4[MATIERE],Tableau4[SHORT TYPE],"",0,1)</f>
        <v/>
      </c>
      <c r="N1007">
        <f>IF(ISERR(FIND("DECOUPE",Tableau1[[#This Row],[DESIGNATION]])),"","NEED REF")</f>
        <v/>
      </c>
    </row>
    <row r="1008">
      <c r="B1008" t="n">
        <v>34412994</v>
      </c>
      <c r="C1008" s="2" t="n">
        <v>45583</v>
      </c>
      <c r="D1008" t="inlineStr">
        <is>
          <t>SPEC</t>
        </is>
      </c>
      <c r="E1008" t="inlineStr">
        <is>
          <t>COP BARRE PE 80X10 GVEAC7</t>
        </is>
      </c>
      <c r="F1008" t="inlineStr">
        <is>
          <t>QEPU05596</t>
        </is>
      </c>
      <c r="G1008" t="inlineStr">
        <is>
          <t>GVX</t>
        </is>
      </c>
      <c r="H1008" t="inlineStr">
        <is>
          <t>dc pull</t>
        </is>
      </c>
      <c r="J1008" t="inlineStr">
        <is>
          <t>BERNARDEAU</t>
        </is>
      </c>
      <c r="K1008" t="inlineStr">
        <is>
          <t>CUIVRE</t>
        </is>
      </c>
      <c r="L1008">
        <f>_xlfn.XLOOKUP(Tableau1[[#This Row],[TYPE DE PIECE]],Tableau4[MATIERE],Tableau4[SHORT TYPE],"",0,1)</f>
        <v/>
      </c>
      <c r="N1008">
        <f>IF(ISERR(FIND("DECOUPE",Tableau1[[#This Row],[DESIGNATION]])),"","NEED REF")</f>
        <v/>
      </c>
    </row>
    <row r="1009">
      <c r="B1009" t="n">
        <v>34412993</v>
      </c>
      <c r="C1009" s="2" t="n">
        <v>45582</v>
      </c>
      <c r="D1009" t="inlineStr">
        <is>
          <t>SPEC</t>
        </is>
      </c>
      <c r="E1009" t="inlineStr">
        <is>
          <t>SMT SUPPORT BARRE PERFOREE</t>
        </is>
      </c>
      <c r="F1009" t="inlineStr">
        <is>
          <t>QEPU05596</t>
        </is>
      </c>
      <c r="G1009" t="inlineStr">
        <is>
          <t>GVX</t>
        </is>
      </c>
      <c r="H1009" t="inlineStr">
        <is>
          <t>dc pull</t>
        </is>
      </c>
      <c r="J1009" t="inlineStr">
        <is>
          <t>BERNARDEAU</t>
        </is>
      </c>
      <c r="K1009" t="inlineStr">
        <is>
          <t>METAL</t>
        </is>
      </c>
      <c r="L1009">
        <f>_xlfn.XLOOKUP(Tableau1[[#This Row],[TYPE DE PIECE]],Tableau4[MATIERE],Tableau4[SHORT TYPE],"",0,1)</f>
        <v/>
      </c>
      <c r="N1009">
        <f>IF(ISERR(FIND("DECOUPE",Tableau1[[#This Row],[DESIGNATION]])),"","NEED REF")</f>
        <v/>
      </c>
    </row>
    <row r="1010">
      <c r="B1010" t="n">
        <v>34412992</v>
      </c>
      <c r="C1010" s="2" t="n">
        <v>45582</v>
      </c>
      <c r="D1010" t="inlineStr">
        <is>
          <t>SPEC</t>
        </is>
      </c>
      <c r="E1010" t="inlineStr">
        <is>
          <t>STM PASSE CABLE TOIT RAL9003</t>
        </is>
      </c>
      <c r="F1010" s="140" t="inlineStr">
        <is>
          <t>QASH01250</t>
        </is>
      </c>
      <c r="G1010" t="inlineStr">
        <is>
          <t>GVXL</t>
        </is>
      </c>
      <c r="J1010" t="inlineStr">
        <is>
          <t>BESSIERE</t>
        </is>
      </c>
      <c r="K1010" t="inlineStr">
        <is>
          <t>METAL</t>
        </is>
      </c>
      <c r="L1010">
        <f>_xlfn.XLOOKUP(Tableau1[[#This Row],[TYPE DE PIECE]],Tableau4[MATIERE],Tableau4[SHORT TYPE],"",0,1)</f>
        <v/>
      </c>
      <c r="N1010">
        <f>IF(ISERR(FIND("DECOUPE",Tableau1[[#This Row],[DESIGNATION]])),"","NEED REF")</f>
        <v/>
      </c>
    </row>
    <row r="1011">
      <c r="B1011" t="n">
        <v>34412991</v>
      </c>
      <c r="C1011" s="2" t="n">
        <v>45582</v>
      </c>
      <c r="D1011" t="inlineStr">
        <is>
          <t>SPEC</t>
        </is>
      </c>
      <c r="E1011" t="inlineStr">
        <is>
          <t>SMT GRILLE ROOF AIR BOX RAL9003</t>
        </is>
      </c>
      <c r="F1011" s="140" t="inlineStr">
        <is>
          <t>QASH01250</t>
        </is>
      </c>
      <c r="G1011" t="inlineStr">
        <is>
          <t>GVXL</t>
        </is>
      </c>
      <c r="J1011" t="inlineStr">
        <is>
          <t>BESSIERE</t>
        </is>
      </c>
      <c r="K1011" t="inlineStr">
        <is>
          <t>METAL</t>
        </is>
      </c>
      <c r="L1011">
        <f>_xlfn.XLOOKUP(Tableau1[[#This Row],[TYPE DE PIECE]],Tableau4[MATIERE],Tableau4[SHORT TYPE],"",0,1)</f>
        <v/>
      </c>
      <c r="N1011">
        <f>IF(ISERR(FIND("DECOUPE",Tableau1[[#This Row],[DESIGNATION]])),"","NEED REF")</f>
        <v/>
      </c>
    </row>
    <row r="1012">
      <c r="B1012" t="n">
        <v>34412990</v>
      </c>
      <c r="C1012" s="2" t="n">
        <v>45582</v>
      </c>
      <c r="D1012" t="inlineStr">
        <is>
          <t>SPEC</t>
        </is>
      </c>
      <c r="E1012" t="inlineStr">
        <is>
          <t>SMT GRILLE FRONT AIR BOX RAL9003 VARIABLE</t>
        </is>
      </c>
      <c r="F1012" s="140" t="inlineStr">
        <is>
          <t>QASH01250</t>
        </is>
      </c>
      <c r="G1012" t="inlineStr">
        <is>
          <t>GVXL</t>
        </is>
      </c>
      <c r="J1012" t="inlineStr">
        <is>
          <t>BESSIERE</t>
        </is>
      </c>
      <c r="K1012" t="inlineStr">
        <is>
          <t>METAL</t>
        </is>
      </c>
      <c r="L1012">
        <f>_xlfn.XLOOKUP(Tableau1[[#This Row],[TYPE DE PIECE]],Tableau4[MATIERE],Tableau4[SHORT TYPE],"",0,1)</f>
        <v/>
      </c>
      <c r="N1012">
        <f>IF(ISERR(FIND("DECOUPE",Tableau1[[#This Row],[DESIGNATION]])),"","NEED REF")</f>
        <v/>
      </c>
    </row>
    <row r="1013">
      <c r="B1013" t="n">
        <v>34412989</v>
      </c>
      <c r="C1013" s="2" t="n">
        <v>45582</v>
      </c>
      <c r="D1013" t="inlineStr">
        <is>
          <t>SPEC</t>
        </is>
      </c>
      <c r="E1013" t="inlineStr">
        <is>
          <t>SMT GRILLE SIDE AIR BOX RAL9003 VARIABLE</t>
        </is>
      </c>
      <c r="F1013" s="140" t="inlineStr">
        <is>
          <t>QASH01250</t>
        </is>
      </c>
      <c r="G1013" t="inlineStr">
        <is>
          <t>GVXL</t>
        </is>
      </c>
      <c r="J1013" t="inlineStr">
        <is>
          <t>BESSIERE</t>
        </is>
      </c>
      <c r="K1013" t="inlineStr">
        <is>
          <t>METAL</t>
        </is>
      </c>
      <c r="L1013">
        <f>_xlfn.XLOOKUP(Tableau1[[#This Row],[TYPE DE PIECE]],Tableau4[MATIERE],Tableau4[SHORT TYPE],"",0,1)</f>
        <v/>
      </c>
      <c r="N1013">
        <f>IF(ISERR(FIND("DECOUPE",Tableau1[[#This Row],[DESIGNATION]])),"","NEED REF")</f>
        <v/>
      </c>
    </row>
    <row r="1014">
      <c r="B1014" t="n">
        <v>34412988</v>
      </c>
      <c r="C1014" s="2" t="n">
        <v>45582</v>
      </c>
      <c r="D1014" t="inlineStr">
        <is>
          <t>SPEC</t>
        </is>
      </c>
      <c r="E1014" t="inlineStr">
        <is>
          <t>SMT REHAUSSE FRONT RAL9003 VARIABLE</t>
        </is>
      </c>
      <c r="F1014" s="140" t="inlineStr">
        <is>
          <t>QASH01250</t>
        </is>
      </c>
      <c r="G1014" t="inlineStr">
        <is>
          <t>GVXL</t>
        </is>
      </c>
      <c r="J1014" t="inlineStr">
        <is>
          <t>BESSIERE</t>
        </is>
      </c>
      <c r="K1014" t="inlineStr">
        <is>
          <t>METAL</t>
        </is>
      </c>
      <c r="L1014">
        <f>_xlfn.XLOOKUP(Tableau1[[#This Row],[TYPE DE PIECE]],Tableau4[MATIERE],Tableau4[SHORT TYPE],"",0,1)</f>
        <v/>
      </c>
      <c r="N1014">
        <f>IF(ISERR(FIND("DECOUPE",Tableau1[[#This Row],[DESIGNATION]])),"","NEED REF")</f>
        <v/>
      </c>
    </row>
    <row r="1015">
      <c r="B1015" t="n">
        <v>34412987</v>
      </c>
      <c r="C1015" s="2" t="n">
        <v>45582</v>
      </c>
      <c r="D1015" t="inlineStr">
        <is>
          <t>SPEC</t>
        </is>
      </c>
      <c r="E1015" t="inlineStr">
        <is>
          <t>SMT REHAUSSE BACK RAL9003 VARIABLE</t>
        </is>
      </c>
      <c r="F1015" s="140" t="inlineStr">
        <is>
          <t>QASH01250</t>
        </is>
      </c>
      <c r="G1015" t="inlineStr">
        <is>
          <t>GVXL</t>
        </is>
      </c>
      <c r="J1015" t="inlineStr">
        <is>
          <t>BESSIERE</t>
        </is>
      </c>
      <c r="K1015" t="inlineStr">
        <is>
          <t>METAL</t>
        </is>
      </c>
      <c r="L1015">
        <f>_xlfn.XLOOKUP(Tableau1[[#This Row],[TYPE DE PIECE]],Tableau4[MATIERE],Tableau4[SHORT TYPE],"",0,1)</f>
        <v/>
      </c>
      <c r="N1015">
        <f>IF(ISERR(FIND("DECOUPE",Tableau1[[#This Row],[DESIGNATION]])),"","NEED REF")</f>
        <v/>
      </c>
    </row>
    <row r="1016">
      <c r="B1016" t="n">
        <v>34412986</v>
      </c>
      <c r="C1016" s="2" t="n">
        <v>45582</v>
      </c>
      <c r="D1016" t="inlineStr">
        <is>
          <t>SPEC</t>
        </is>
      </c>
      <c r="E1016" t="inlineStr">
        <is>
          <t xml:space="preserve">SMT MONTANT SIDE AIR BOX RAL9003 VARIABLE HEIGHT </t>
        </is>
      </c>
      <c r="F1016" s="140" t="inlineStr">
        <is>
          <t>QASH01250</t>
        </is>
      </c>
      <c r="G1016" t="inlineStr">
        <is>
          <t>GVXL</t>
        </is>
      </c>
      <c r="J1016" t="inlineStr">
        <is>
          <t>BESSIERE</t>
        </is>
      </c>
      <c r="K1016" t="inlineStr">
        <is>
          <t>METAL</t>
        </is>
      </c>
      <c r="L1016">
        <f>_xlfn.XLOOKUP(Tableau1[[#This Row],[TYPE DE PIECE]],Tableau4[MATIERE],Tableau4[SHORT TYPE],"",0,1)</f>
        <v/>
      </c>
      <c r="N1016">
        <f>IF(ISERR(FIND("DECOUPE",Tableau1[[#This Row],[DESIGNATION]])),"","NEED REF")</f>
        <v/>
      </c>
    </row>
    <row r="1017">
      <c r="B1017" t="n">
        <v>34412985</v>
      </c>
      <c r="C1017" s="2" t="n">
        <v>45582</v>
      </c>
      <c r="D1017" t="inlineStr">
        <is>
          <t>SPEC</t>
        </is>
      </c>
      <c r="E1017" t="inlineStr">
        <is>
          <t>SE AIR BOX with variable height</t>
        </is>
      </c>
      <c r="F1017" s="140" t="inlineStr">
        <is>
          <t>QASH01250</t>
        </is>
      </c>
      <c r="G1017" t="inlineStr">
        <is>
          <t>GVXL</t>
        </is>
      </c>
      <c r="J1017" t="inlineStr">
        <is>
          <t>BESSIERE</t>
        </is>
      </c>
      <c r="L1017">
        <f>_xlfn.XLOOKUP(Tableau1[[#This Row],[TYPE DE PIECE]],Tableau4[MATIERE],Tableau4[SHORT TYPE],"",0,1)</f>
        <v/>
      </c>
      <c r="N1017">
        <f>IF(ISERR(FIND("DECOUPE",Tableau1[[#This Row],[DESIGNATION]])),"","NEED REF")</f>
        <v/>
      </c>
    </row>
    <row r="1018">
      <c r="B1018" t="n">
        <v>34412984</v>
      </c>
      <c r="C1018" s="2" t="n">
        <v>45581</v>
      </c>
      <c r="D1018" t="inlineStr">
        <is>
          <t>SPEC</t>
        </is>
      </c>
      <c r="E1018" t="inlineStr">
        <is>
          <t xml:space="preserve"> 34412984   </t>
        </is>
      </c>
      <c r="J1018" t="inlineStr">
        <is>
          <t>JAWORSKI</t>
        </is>
      </c>
      <c r="L1018">
        <f>_xlfn.XLOOKUP(Tableau1[[#This Row],[TYPE DE PIECE]],Tableau4[MATIERE],Tableau4[SHORT TYPE],"",0,1)</f>
        <v/>
      </c>
      <c r="N1018">
        <f>IF(ISERR(FIND("DECOUPE",Tableau1[[#This Row],[DESIGNATION]])),"","NEED REF")</f>
        <v/>
      </c>
    </row>
    <row r="1019">
      <c r="B1019" t="n">
        <v>34412983</v>
      </c>
      <c r="C1019" s="2" t="n">
        <v>45581</v>
      </c>
      <c r="D1019" t="inlineStr">
        <is>
          <t>SPEC</t>
        </is>
      </c>
      <c r="E1019" t="inlineStr">
        <is>
          <t xml:space="preserve"> 34412983   </t>
        </is>
      </c>
      <c r="J1019" t="inlineStr">
        <is>
          <t>JAWORSKI</t>
        </is>
      </c>
      <c r="L1019">
        <f>_xlfn.XLOOKUP(Tableau1[[#This Row],[TYPE DE PIECE]],Tableau4[MATIERE],Tableau4[SHORT TYPE],"",0,1)</f>
        <v/>
      </c>
      <c r="N1019">
        <f>IF(ISERR(FIND("DECOUPE",Tableau1[[#This Row],[DESIGNATION]])),"","NEED REF")</f>
        <v/>
      </c>
    </row>
    <row r="1020">
      <c r="B1020" t="n">
        <v>34412982</v>
      </c>
      <c r="C1020" s="2" t="n">
        <v>45581</v>
      </c>
      <c r="D1020" t="inlineStr">
        <is>
          <t>SPEC</t>
        </is>
      </c>
      <c r="E1020" t="inlineStr">
        <is>
          <t xml:space="preserve"> 34412982   </t>
        </is>
      </c>
      <c r="J1020" t="inlineStr">
        <is>
          <t>JAWORSKI</t>
        </is>
      </c>
      <c r="L1020">
        <f>_xlfn.XLOOKUP(Tableau1[[#This Row],[TYPE DE PIECE]],Tableau4[MATIERE],Tableau4[SHORT TYPE],"",0,1)</f>
        <v/>
      </c>
      <c r="N1020">
        <f>IF(ISERR(FIND("DECOUPE",Tableau1[[#This Row],[DESIGNATION]])),"","NEED REF")</f>
        <v/>
      </c>
    </row>
    <row r="1021">
      <c r="B1021" t="n">
        <v>34412981</v>
      </c>
      <c r="C1021" s="2" t="n">
        <v>45581</v>
      </c>
      <c r="D1021" t="inlineStr">
        <is>
          <t>SPEC</t>
        </is>
      </c>
      <c r="E1021" t="inlineStr">
        <is>
          <t>SMT SUPPORT PLASTRON BAS RAL9003</t>
        </is>
      </c>
      <c r="F1021" t="inlineStr">
        <is>
          <t>UPSILLON</t>
        </is>
      </c>
      <c r="G1021" t="inlineStr">
        <is>
          <t>STS</t>
        </is>
      </c>
      <c r="H1021" t="inlineStr">
        <is>
          <t>STS ETO</t>
        </is>
      </c>
      <c r="I1021" t="inlineStr">
        <is>
          <t>60A</t>
        </is>
      </c>
      <c r="J1021" t="inlineStr">
        <is>
          <t>JAWORSKI</t>
        </is>
      </c>
      <c r="K1021" t="inlineStr">
        <is>
          <t>METAL</t>
        </is>
      </c>
      <c r="L1021">
        <f>_xlfn.XLOOKUP(Tableau1[[#This Row],[TYPE DE PIECE]],Tableau4[MATIERE],Tableau4[SHORT TYPE],"",0,1)</f>
        <v/>
      </c>
      <c r="N1021">
        <f>IF(ISERR(FIND("DECOUPE",Tableau1[[#This Row],[DESIGNATION]])),"","NEED REF")</f>
        <v/>
      </c>
    </row>
    <row r="1022">
      <c r="B1022" t="n">
        <v>34412980</v>
      </c>
      <c r="C1022" s="2" t="n">
        <v>45581</v>
      </c>
      <c r="D1022" t="inlineStr">
        <is>
          <t>SPEC</t>
        </is>
      </c>
      <c r="E1022" t="inlineStr">
        <is>
          <t>SMT SUPPORT PLASTRON HAUT RAL9003</t>
        </is>
      </c>
      <c r="F1022" t="inlineStr">
        <is>
          <t>UPSILLON</t>
        </is>
      </c>
      <c r="G1022" t="inlineStr">
        <is>
          <t>STS</t>
        </is>
      </c>
      <c r="H1022" t="inlineStr">
        <is>
          <t>STS ETO</t>
        </is>
      </c>
      <c r="I1022" t="inlineStr">
        <is>
          <t>60A</t>
        </is>
      </c>
      <c r="J1022" t="inlineStr">
        <is>
          <t>JAWORSKI</t>
        </is>
      </c>
      <c r="K1022" t="inlineStr">
        <is>
          <t>METAL</t>
        </is>
      </c>
      <c r="L1022">
        <f>_xlfn.XLOOKUP(Tableau1[[#This Row],[TYPE DE PIECE]],Tableau4[MATIERE],Tableau4[SHORT TYPE],"",0,1)</f>
        <v/>
      </c>
      <c r="N1022">
        <f>IF(ISERR(FIND("DECOUPE",Tableau1[[#This Row],[DESIGNATION]])),"","NEED REF")</f>
        <v/>
      </c>
    </row>
    <row r="1023">
      <c r="B1023" t="n">
        <v>34412979</v>
      </c>
      <c r="C1023" s="2" t="n">
        <v>45581</v>
      </c>
      <c r="D1023" t="inlineStr">
        <is>
          <t>SPEC</t>
        </is>
      </c>
      <c r="E1023" t="inlineStr">
        <is>
          <t>SMT PLATINE DE FOND</t>
        </is>
      </c>
      <c r="F1023" t="inlineStr">
        <is>
          <t>REGEN BOX</t>
        </is>
      </c>
      <c r="G1023" t="inlineStr">
        <is>
          <t>E3S</t>
        </is>
      </c>
      <c r="H1023" t="inlineStr">
        <is>
          <t>REGEN</t>
        </is>
      </c>
      <c r="I1023" t="inlineStr">
        <is>
          <t>250A</t>
        </is>
      </c>
      <c r="J1023" t="inlineStr">
        <is>
          <t>JAWORSKI</t>
        </is>
      </c>
      <c r="K1023" t="inlineStr">
        <is>
          <t>METAL</t>
        </is>
      </c>
      <c r="L1023">
        <f>_xlfn.XLOOKUP(Tableau1[[#This Row],[TYPE DE PIECE]],Tableau4[MATIERE],Tableau4[SHORT TYPE],"",0,1)</f>
        <v/>
      </c>
      <c r="N1023">
        <f>IF(ISERR(FIND("DECOUPE",Tableau1[[#This Row],[DESIGNATION]])),"","NEED REF")</f>
        <v/>
      </c>
    </row>
    <row r="1024">
      <c r="B1024" t="n">
        <v>34412978</v>
      </c>
      <c r="C1024" s="2" t="n">
        <v>45580</v>
      </c>
      <c r="D1024" t="inlineStr">
        <is>
          <t>SPEC</t>
        </is>
      </c>
      <c r="E1024" t="inlineStr">
        <is>
          <t>DECOUPE GOULOTTE AK2GD2550 209 mm</t>
        </is>
      </c>
      <c r="F1024" t="inlineStr">
        <is>
          <t>COSTA CROCIERE</t>
        </is>
      </c>
      <c r="G1024" t="inlineStr">
        <is>
          <t>GVS</t>
        </is>
      </c>
      <c r="H1024" t="inlineStr">
        <is>
          <t>BYPASS</t>
        </is>
      </c>
      <c r="I1024" t="inlineStr">
        <is>
          <t>80KVA</t>
        </is>
      </c>
      <c r="J1024" t="inlineStr">
        <is>
          <t>BESSIERE</t>
        </is>
      </c>
      <c r="K1024" t="inlineStr">
        <is>
          <t>DECOUPE</t>
        </is>
      </c>
      <c r="L1024">
        <f>_xlfn.XLOOKUP(Tableau1[[#This Row],[TYPE DE PIECE]],Tableau4[MATIERE],Tableau4[SHORT TYPE],"",0,1)</f>
        <v/>
      </c>
      <c r="N1024">
        <f>IF(ISERR(FIND("DECOUPE",Tableau1[[#This Row],[DESIGNATION]])),"","NEED REF")</f>
        <v/>
      </c>
    </row>
    <row r="1025">
      <c r="B1025" t="n">
        <v>34412977</v>
      </c>
      <c r="C1025" s="2" t="n">
        <v>45580</v>
      </c>
      <c r="D1025" t="inlineStr">
        <is>
          <t>SPEC</t>
        </is>
      </c>
      <c r="E1025" t="inlineStr">
        <is>
          <t>DECOUPE GOULOTTE AK2GD2550 265 mm</t>
        </is>
      </c>
      <c r="F1025" t="inlineStr">
        <is>
          <t>COSTA CROCIERE</t>
        </is>
      </c>
      <c r="G1025" t="inlineStr">
        <is>
          <t>GVS</t>
        </is>
      </c>
      <c r="H1025" t="inlineStr">
        <is>
          <t>BYPASS</t>
        </is>
      </c>
      <c r="I1025" t="inlineStr">
        <is>
          <t>80KVA</t>
        </is>
      </c>
      <c r="J1025" t="inlineStr">
        <is>
          <t>BESSIERE</t>
        </is>
      </c>
      <c r="K1025" t="inlineStr">
        <is>
          <t>DECOUPE</t>
        </is>
      </c>
      <c r="L1025">
        <f>_xlfn.XLOOKUP(Tableau1[[#This Row],[TYPE DE PIECE]],Tableau4[MATIERE],Tableau4[SHORT TYPE],"",0,1)</f>
        <v/>
      </c>
      <c r="N1025">
        <f>IF(ISERR(FIND("DECOUPE",Tableau1[[#This Row],[DESIGNATION]])),"","NEED REF")</f>
        <v/>
      </c>
    </row>
    <row r="1026">
      <c r="B1026" t="n">
        <v>34412976</v>
      </c>
      <c r="C1026" s="2" t="n">
        <v>45580</v>
      </c>
      <c r="D1026" t="inlineStr">
        <is>
          <t>SPEC</t>
        </is>
      </c>
      <c r="E1026" t="inlineStr">
        <is>
          <t>DECOUPE GOULOTTE AK2GD2550 1320 mm</t>
        </is>
      </c>
      <c r="F1026" t="inlineStr">
        <is>
          <t>COSTA CROCIERE</t>
        </is>
      </c>
      <c r="G1026" t="inlineStr">
        <is>
          <t>GVS</t>
        </is>
      </c>
      <c r="H1026" t="inlineStr">
        <is>
          <t>BYPASS</t>
        </is>
      </c>
      <c r="I1026" t="inlineStr">
        <is>
          <t>80KVA</t>
        </is>
      </c>
      <c r="J1026" t="inlineStr">
        <is>
          <t>BESSIERE</t>
        </is>
      </c>
      <c r="K1026" t="inlineStr">
        <is>
          <t>DECOUPE</t>
        </is>
      </c>
      <c r="L1026">
        <f>_xlfn.XLOOKUP(Tableau1[[#This Row],[TYPE DE PIECE]],Tableau4[MATIERE],Tableau4[SHORT TYPE],"",0,1)</f>
        <v/>
      </c>
      <c r="N1026">
        <f>IF(ISERR(FIND("DECOUPE",Tableau1[[#This Row],[DESIGNATION]])),"","NEED REF")</f>
        <v/>
      </c>
    </row>
    <row r="1027">
      <c r="B1027" t="n">
        <v>34412975</v>
      </c>
      <c r="C1027" s="2" t="n">
        <v>45580</v>
      </c>
      <c r="D1027" t="inlineStr">
        <is>
          <t>SPEC</t>
        </is>
      </c>
      <c r="E1027" t="inlineStr">
        <is>
          <t>DECOUPE PRODAX KTA2000ER52-80</t>
        </is>
      </c>
      <c r="F1027" t="inlineStr">
        <is>
          <t>INTEXION MADRID</t>
        </is>
      </c>
      <c r="G1027" t="inlineStr">
        <is>
          <t>GVX</t>
        </is>
      </c>
      <c r="H1027" t="inlineStr">
        <is>
          <t>IO1250</t>
        </is>
      </c>
      <c r="J1027" t="inlineStr">
        <is>
          <t>JAWORSKI</t>
        </is>
      </c>
      <c r="K1027" t="inlineStr">
        <is>
          <t>DECOUPE</t>
        </is>
      </c>
      <c r="L1027" t="inlineStr">
        <is>
          <t>ETO</t>
        </is>
      </c>
      <c r="N1027" t="inlineStr">
        <is>
          <t>KTA2000ER52-80</t>
        </is>
      </c>
    </row>
    <row r="1028">
      <c r="B1028" t="n">
        <v>34412974</v>
      </c>
      <c r="C1028" s="2" t="n">
        <v>45580</v>
      </c>
      <c r="D1028" t="inlineStr">
        <is>
          <t>SPEC</t>
        </is>
      </c>
      <c r="E1028" t="inlineStr">
        <is>
          <t>RIGHT SMT 34412974 GVX BATTERY BBK 630A - JOUE LAT IP20</t>
        </is>
      </c>
      <c r="F1028" t="inlineStr">
        <is>
          <t>COSTA CROCIERE</t>
        </is>
      </c>
      <c r="G1028" t="inlineStr">
        <is>
          <t>GVS</t>
        </is>
      </c>
      <c r="H1028" t="inlineStr">
        <is>
          <t>BYPASS</t>
        </is>
      </c>
      <c r="I1028" t="inlineStr">
        <is>
          <t>80KVA</t>
        </is>
      </c>
      <c r="J1028" t="inlineStr">
        <is>
          <t>BESSIERE</t>
        </is>
      </c>
      <c r="K1028" t="inlineStr">
        <is>
          <t>METAL</t>
        </is>
      </c>
      <c r="L1028">
        <f>_xlfn.XLOOKUP(Tableau1[[#This Row],[TYPE DE PIECE]],Tableau4[MATIERE],Tableau4[SHORT TYPE],"",0,1)</f>
        <v/>
      </c>
      <c r="N1028">
        <f>IF(ISERR(FIND("DECOUPE",Tableau1[[#This Row],[DESIGNATION]])),"","NEED REF")</f>
        <v/>
      </c>
    </row>
    <row r="1029">
      <c r="B1029" t="n">
        <v>34412973</v>
      </c>
      <c r="C1029" s="2" t="n">
        <v>45576</v>
      </c>
      <c r="D1029" t="inlineStr">
        <is>
          <t>SPEC</t>
        </is>
      </c>
      <c r="E1029" t="inlineStr">
        <is>
          <t>DECOUPE CUIVRE LVS04528 LG 875</t>
        </is>
      </c>
      <c r="J1029" t="inlineStr">
        <is>
          <t>BERNARDEAU</t>
        </is>
      </c>
      <c r="K1029" t="inlineStr">
        <is>
          <t>DECOUPE</t>
        </is>
      </c>
      <c r="L1029">
        <f>_xlfn.XLOOKUP(Tableau1[[#This Row],[TYPE DE PIECE]],Tableau4[MATIERE],Tableau4[SHORT TYPE],"",0,1)</f>
        <v/>
      </c>
      <c r="N1029" t="inlineStr">
        <is>
          <t>LVS04528</t>
        </is>
      </c>
    </row>
    <row r="1030">
      <c r="B1030" t="n">
        <v>34412972</v>
      </c>
      <c r="C1030" s="2" t="n">
        <v>45576</v>
      </c>
      <c r="D1030" t="inlineStr">
        <is>
          <t>SPEC</t>
        </is>
      </c>
      <c r="E1030">
        <f>_xlfn.CONCAT(Tableau1[[#This Row],[SHORT TYPE]]," ",Tableau1[[#This Row],[NUMERO]]," ",Tableau1[[#This Row],[GAMME]]," ",Tableau1[[#This Row],[TYPE PRODUIT]]," ",Tableau1[[#This Row],[PUISSANCE]])</f>
        <v/>
      </c>
      <c r="F1030" t="inlineStr">
        <is>
          <t>COSTA CROCIERE</t>
        </is>
      </c>
      <c r="G1030" t="inlineStr">
        <is>
          <t>GVS</t>
        </is>
      </c>
      <c r="H1030" t="inlineStr">
        <is>
          <t>BYPASS</t>
        </is>
      </c>
      <c r="I1030" t="inlineStr">
        <is>
          <t>80KVA</t>
        </is>
      </c>
      <c r="J1030" t="inlineStr">
        <is>
          <t>BESSIERE</t>
        </is>
      </c>
      <c r="K1030" t="inlineStr">
        <is>
          <t>PLASTIQUE</t>
        </is>
      </c>
      <c r="L1030">
        <f>_xlfn.XLOOKUP(Tableau1[[#This Row],[TYPE DE PIECE]],Tableau4[MATIERE],Tableau4[SHORT TYPE],"",0,1)</f>
        <v/>
      </c>
      <c r="N1030">
        <f>IF(ISERR(FIND("DECOUPE",Tableau1[[#This Row],[DESIGNATION]])),"","NEED REF")</f>
        <v/>
      </c>
    </row>
    <row r="1031">
      <c r="B1031" t="n">
        <v>34412971</v>
      </c>
      <c r="C1031" s="2" t="n">
        <v>45576</v>
      </c>
      <c r="D1031" t="inlineStr">
        <is>
          <t>SPEC</t>
        </is>
      </c>
      <c r="E1031">
        <f>_xlfn.CONCAT(Tableau1[[#This Row],[SHORT TYPE]]," ",Tableau1[[#This Row],[NUMERO]]," ",Tableau1[[#This Row],[GAMME]]," ",Tableau1[[#This Row],[TYPE PRODUIT]]," ",Tableau1[[#This Row],[PUISSANCE]])</f>
        <v/>
      </c>
      <c r="F1031" t="inlineStr">
        <is>
          <t>COSTA CROCIERE</t>
        </is>
      </c>
      <c r="G1031" t="inlineStr">
        <is>
          <t>GVS</t>
        </is>
      </c>
      <c r="H1031" t="inlineStr">
        <is>
          <t>BYPASS</t>
        </is>
      </c>
      <c r="I1031" t="inlineStr">
        <is>
          <t>80KVA</t>
        </is>
      </c>
      <c r="J1031" t="inlineStr">
        <is>
          <t>BESSIERE</t>
        </is>
      </c>
      <c r="K1031" t="inlineStr">
        <is>
          <t>METAL</t>
        </is>
      </c>
      <c r="L1031">
        <f>_xlfn.XLOOKUP(Tableau1[[#This Row],[TYPE DE PIECE]],Tableau4[MATIERE],Tableau4[SHORT TYPE],"",0,1)</f>
        <v/>
      </c>
      <c r="N1031">
        <f>IF(ISERR(FIND("DECOUPE",Tableau1[[#This Row],[DESIGNATION]])),"","NEED REF")</f>
        <v/>
      </c>
    </row>
    <row r="1032">
      <c r="B1032" t="n">
        <v>34412970</v>
      </c>
      <c r="C1032" s="2" t="n">
        <v>45576</v>
      </c>
      <c r="D1032" t="inlineStr">
        <is>
          <t>SPEC</t>
        </is>
      </c>
      <c r="E1032">
        <f>_xlfn.CONCAT(Tableau1[[#This Row],[SHORT TYPE]]," ",Tableau1[[#This Row],[NUMERO]]," ",Tableau1[[#This Row],[GAMME]]," ",Tableau1[[#This Row],[TYPE PRODUIT]]," ",Tableau1[[#This Row],[PUISSANCE]])</f>
        <v/>
      </c>
      <c r="F1032" t="inlineStr">
        <is>
          <t>COSTA CROCIERE</t>
        </is>
      </c>
      <c r="G1032" t="inlineStr">
        <is>
          <t>GVS</t>
        </is>
      </c>
      <c r="H1032" t="inlineStr">
        <is>
          <t>BYPASS</t>
        </is>
      </c>
      <c r="I1032" t="inlineStr">
        <is>
          <t>80KVA</t>
        </is>
      </c>
      <c r="J1032" t="inlineStr">
        <is>
          <t>BESSIERE</t>
        </is>
      </c>
      <c r="K1032" t="inlineStr">
        <is>
          <t>METAL</t>
        </is>
      </c>
      <c r="L1032">
        <f>_xlfn.XLOOKUP(Tableau1[[#This Row],[TYPE DE PIECE]],Tableau4[MATIERE],Tableau4[SHORT TYPE],"",0,1)</f>
        <v/>
      </c>
      <c r="N1032">
        <f>IF(ISERR(FIND("DECOUPE",Tableau1[[#This Row],[DESIGNATION]])),"","NEED REF")</f>
        <v/>
      </c>
    </row>
    <row r="1033">
      <c r="B1033" t="n">
        <v>34412969</v>
      </c>
      <c r="C1033" s="2" t="n">
        <v>45575</v>
      </c>
      <c r="D1033" t="inlineStr">
        <is>
          <t>SPEC</t>
        </is>
      </c>
      <c r="E1033" t="inlineStr">
        <is>
          <t>DECOUPE GOULOTTE AK2GD3775 L.1350MM</t>
        </is>
      </c>
      <c r="J1033" t="inlineStr">
        <is>
          <t>BERNARDEAU</t>
        </is>
      </c>
      <c r="K1033" t="inlineStr">
        <is>
          <t>DECOUPE</t>
        </is>
      </c>
      <c r="L1033">
        <f>_xlfn.XLOOKUP(Tableau1[[#This Row],[TYPE DE PIECE]],Tableau4[MATIERE],Tableau4[SHORT TYPE],"",0,1)</f>
        <v/>
      </c>
      <c r="N1033" t="inlineStr">
        <is>
          <t>AK2GD3775</t>
        </is>
      </c>
    </row>
    <row r="1034">
      <c r="B1034" t="n">
        <v>34412968</v>
      </c>
      <c r="C1034" s="2" t="n">
        <v>45575</v>
      </c>
      <c r="D1034" t="inlineStr">
        <is>
          <t>SPEC</t>
        </is>
      </c>
      <c r="E1034">
        <f>_xlfn.CONCAT(Tableau1[[#This Row],[SHORT TYPE]]," ",Tableau1[[#This Row],[NUMERO]]," ",Tableau1[[#This Row],[GAMME]]," ",Tableau1[[#This Row],[TYPE PRODUIT]]," ",Tableau1[[#This Row],[PUISSANCE]])</f>
        <v/>
      </c>
      <c r="F1034" t="inlineStr">
        <is>
          <t>COSTA CROCIERE</t>
        </is>
      </c>
      <c r="G1034" t="inlineStr">
        <is>
          <t xml:space="preserve">GVS </t>
        </is>
      </c>
      <c r="H1034" t="inlineStr">
        <is>
          <t>BYPASS</t>
        </is>
      </c>
      <c r="I1034" t="inlineStr">
        <is>
          <t>80KVA</t>
        </is>
      </c>
      <c r="J1034" t="inlineStr">
        <is>
          <t>BESSIERE</t>
        </is>
      </c>
      <c r="K1034" t="inlineStr">
        <is>
          <t>CUIVRE</t>
        </is>
      </c>
      <c r="L1034">
        <f>_xlfn.XLOOKUP(Tableau1[[#This Row],[TYPE DE PIECE]],Tableau4[MATIERE],Tableau4[SHORT TYPE],"",0,1)</f>
        <v/>
      </c>
      <c r="N1034">
        <f>IF(ISERR(FIND("DECOUPE",Tableau1[[#This Row],[DESIGNATION]])),"","NEED REF")</f>
        <v/>
      </c>
    </row>
    <row r="1035">
      <c r="B1035" t="n">
        <v>34412967</v>
      </c>
      <c r="C1035" s="2" t="n">
        <v>45575</v>
      </c>
      <c r="D1035" t="inlineStr">
        <is>
          <t>SPEC</t>
        </is>
      </c>
      <c r="E1035">
        <f>_xlfn.CONCAT(Tableau1[[#This Row],[SHORT TYPE]]," ",Tableau1[[#This Row],[NUMERO]]," ",Tableau1[[#This Row],[GAMME]]," ",Tableau1[[#This Row],[TYPE PRODUIT]]," ",Tableau1[[#This Row],[PUISSANCE]])</f>
        <v/>
      </c>
      <c r="F1035" t="inlineStr">
        <is>
          <t>COSTA CROCIERE</t>
        </is>
      </c>
      <c r="G1035" t="inlineStr">
        <is>
          <t xml:space="preserve">GVS </t>
        </is>
      </c>
      <c r="H1035" t="inlineStr">
        <is>
          <t>BYPASS</t>
        </is>
      </c>
      <c r="I1035" t="inlineStr">
        <is>
          <t>80KVA</t>
        </is>
      </c>
      <c r="J1035" t="inlineStr">
        <is>
          <t>BESSIERE</t>
        </is>
      </c>
      <c r="K1035" t="inlineStr">
        <is>
          <t>PLASTIQUE</t>
        </is>
      </c>
      <c r="L1035">
        <f>_xlfn.XLOOKUP(Tableau1[[#This Row],[TYPE DE PIECE]],Tableau4[MATIERE],Tableau4[SHORT TYPE],"",0,1)</f>
        <v/>
      </c>
      <c r="N1035">
        <f>IF(ISERR(FIND("DECOUPE",Tableau1[[#This Row],[DESIGNATION]])),"","NEED REF")</f>
        <v/>
      </c>
    </row>
    <row r="1036">
      <c r="B1036" t="n">
        <v>34412966</v>
      </c>
      <c r="C1036" s="2" t="n">
        <v>45575</v>
      </c>
      <c r="D1036" t="inlineStr">
        <is>
          <t>SPEC</t>
        </is>
      </c>
      <c r="E1036">
        <f>_xlfn.CONCAT(Tableau1[[#This Row],[SHORT TYPE]]," ",Tableau1[[#This Row],[NUMERO]]," ",Tableau1[[#This Row],[GAMME]]," ",Tableau1[[#This Row],[TYPE PRODUIT]]," ",Tableau1[[#This Row],[PUISSANCE]])</f>
        <v/>
      </c>
      <c r="F1036" t="inlineStr">
        <is>
          <t>COSTA CROCIERE</t>
        </is>
      </c>
      <c r="G1036" t="inlineStr">
        <is>
          <t xml:space="preserve">GVS </t>
        </is>
      </c>
      <c r="H1036" t="inlineStr">
        <is>
          <t>BYPASS</t>
        </is>
      </c>
      <c r="I1036" t="inlineStr">
        <is>
          <t>80KVA</t>
        </is>
      </c>
      <c r="J1036" t="inlineStr">
        <is>
          <t>BESSIERE</t>
        </is>
      </c>
      <c r="K1036" t="inlineStr">
        <is>
          <t>CUIVRE</t>
        </is>
      </c>
      <c r="L1036">
        <f>_xlfn.XLOOKUP(Tableau1[[#This Row],[TYPE DE PIECE]],Tableau4[MATIERE],Tableau4[SHORT TYPE],"",0,1)</f>
        <v/>
      </c>
      <c r="N1036">
        <f>IF(ISERR(FIND("DECOUPE",Tableau1[[#This Row],[DESIGNATION]])),"","NEED REF")</f>
        <v/>
      </c>
    </row>
    <row r="1037">
      <c r="B1037" t="n">
        <v>34412965</v>
      </c>
      <c r="C1037" s="2" t="n">
        <v>45575</v>
      </c>
      <c r="D1037" t="inlineStr">
        <is>
          <t>SPEC</t>
        </is>
      </c>
      <c r="E1037">
        <f>_xlfn.CONCAT(Tableau1[[#This Row],[SHORT TYPE]]," ",Tableau1[[#This Row],[NUMERO]]," ",Tableau1[[#This Row],[GAMME]]," ",Tableau1[[#This Row],[TYPE PRODUIT]]," ",Tableau1[[#This Row],[PUISSANCE]])</f>
        <v/>
      </c>
      <c r="F1037" t="inlineStr">
        <is>
          <t>COSTA CROCIERE</t>
        </is>
      </c>
      <c r="G1037" t="inlineStr">
        <is>
          <t xml:space="preserve">GVS </t>
        </is>
      </c>
      <c r="H1037" t="inlineStr">
        <is>
          <t>BYPASS</t>
        </is>
      </c>
      <c r="I1037" t="inlineStr">
        <is>
          <t>80KVA</t>
        </is>
      </c>
      <c r="J1037" t="inlineStr">
        <is>
          <t>BESSIERE</t>
        </is>
      </c>
      <c r="K1037" t="inlineStr">
        <is>
          <t>CUIVRE</t>
        </is>
      </c>
      <c r="L1037">
        <f>_xlfn.XLOOKUP(Tableau1[[#This Row],[TYPE DE PIECE]],Tableau4[MATIERE],Tableau4[SHORT TYPE],"",0,1)</f>
        <v/>
      </c>
      <c r="N1037">
        <f>IF(ISERR(FIND("DECOUPE",Tableau1[[#This Row],[DESIGNATION]])),"","NEED REF")</f>
        <v/>
      </c>
    </row>
    <row r="1038">
      <c r="B1038" t="n">
        <v>34412964</v>
      </c>
      <c r="C1038" s="2" t="n">
        <v>45575</v>
      </c>
      <c r="D1038" t="inlineStr">
        <is>
          <t>SPEC</t>
        </is>
      </c>
      <c r="E1038">
        <f>_xlfn.CONCAT(Tableau1[[#This Row],[SHORT TYPE]]," ",Tableau1[[#This Row],[NUMERO]]," ",Tableau1[[#This Row],[GAMME]]," ",Tableau1[[#This Row],[TYPE PRODUIT]]," ",Tableau1[[#This Row],[PUISSANCE]])</f>
        <v/>
      </c>
      <c r="F1038" t="inlineStr">
        <is>
          <t>COSTA CROCIERE</t>
        </is>
      </c>
      <c r="G1038" t="inlineStr">
        <is>
          <t xml:space="preserve">GVS </t>
        </is>
      </c>
      <c r="H1038" t="inlineStr">
        <is>
          <t>BYPASS</t>
        </is>
      </c>
      <c r="I1038" t="inlineStr">
        <is>
          <t>80KVA</t>
        </is>
      </c>
      <c r="J1038" t="inlineStr">
        <is>
          <t>BESSIERE</t>
        </is>
      </c>
      <c r="K1038" t="inlineStr">
        <is>
          <t>CUIVRE</t>
        </is>
      </c>
      <c r="L1038">
        <f>_xlfn.XLOOKUP(Tableau1[[#This Row],[TYPE DE PIECE]],Tableau4[MATIERE],Tableau4[SHORT TYPE],"",0,1)</f>
        <v/>
      </c>
      <c r="N1038">
        <f>IF(ISERR(FIND("DECOUPE",Tableau1[[#This Row],[DESIGNATION]])),"","NEED REF")</f>
        <v/>
      </c>
    </row>
    <row r="1039">
      <c r="B1039" t="n">
        <v>34412963</v>
      </c>
      <c r="C1039" s="2" t="n">
        <v>45575</v>
      </c>
      <c r="D1039" t="inlineStr">
        <is>
          <t>SPEC</t>
        </is>
      </c>
      <c r="E1039">
        <f>_xlfn.CONCAT(Tableau1[[#This Row],[SHORT TYPE]]," ",Tableau1[[#This Row],[NUMERO]]," ",Tableau1[[#This Row],[GAMME]]," ",Tableau1[[#This Row],[TYPE PRODUIT]]," ",Tableau1[[#This Row],[PUISSANCE]])</f>
        <v/>
      </c>
      <c r="F1039" t="inlineStr">
        <is>
          <t>COSTA CROCIERE</t>
        </is>
      </c>
      <c r="G1039" t="inlineStr">
        <is>
          <t xml:space="preserve">GVS </t>
        </is>
      </c>
      <c r="H1039" t="inlineStr">
        <is>
          <t>BYPASS</t>
        </is>
      </c>
      <c r="I1039" t="inlineStr">
        <is>
          <t>80KVA</t>
        </is>
      </c>
      <c r="J1039" t="inlineStr">
        <is>
          <t>BESSIERE</t>
        </is>
      </c>
      <c r="K1039" t="inlineStr">
        <is>
          <t>CUIVRE</t>
        </is>
      </c>
      <c r="L1039">
        <f>_xlfn.XLOOKUP(Tableau1[[#This Row],[TYPE DE PIECE]],Tableau4[MATIERE],Tableau4[SHORT TYPE],"",0,1)</f>
        <v/>
      </c>
      <c r="N1039">
        <f>IF(ISERR(FIND("DECOUPE",Tableau1[[#This Row],[DESIGNATION]])),"","NEED REF")</f>
        <v/>
      </c>
    </row>
    <row r="1040">
      <c r="B1040" t="n">
        <v>34412962</v>
      </c>
      <c r="C1040" s="2" t="n">
        <v>45575</v>
      </c>
      <c r="D1040" t="inlineStr">
        <is>
          <t>SPEC</t>
        </is>
      </c>
      <c r="E1040">
        <f>_xlfn.CONCAT(Tableau1[[#This Row],[SHORT TYPE]]," ",Tableau1[[#This Row],[NUMERO]]," ",Tableau1[[#This Row],[GAMME]]," ",Tableau1[[#This Row],[TYPE PRODUIT]]," ",Tableau1[[#This Row],[PUISSANCE]])</f>
        <v/>
      </c>
      <c r="F1040" t="inlineStr">
        <is>
          <t>COSTA CROCIERE</t>
        </is>
      </c>
      <c r="G1040" t="inlineStr">
        <is>
          <t xml:space="preserve">GVS </t>
        </is>
      </c>
      <c r="H1040" t="inlineStr">
        <is>
          <t>BYPASS</t>
        </is>
      </c>
      <c r="I1040" t="inlineStr">
        <is>
          <t>80KVA</t>
        </is>
      </c>
      <c r="J1040" t="inlineStr">
        <is>
          <t>BESSIERE</t>
        </is>
      </c>
      <c r="K1040" t="inlineStr">
        <is>
          <t>CUIVRE</t>
        </is>
      </c>
      <c r="L1040">
        <f>_xlfn.XLOOKUP(Tableau1[[#This Row],[TYPE DE PIECE]],Tableau4[MATIERE],Tableau4[SHORT TYPE],"",0,1)</f>
        <v/>
      </c>
      <c r="N1040">
        <f>IF(ISERR(FIND("DECOUPE",Tableau1[[#This Row],[DESIGNATION]])),"","NEED REF")</f>
        <v/>
      </c>
    </row>
    <row r="1041">
      <c r="B1041" t="n">
        <v>34412961</v>
      </c>
      <c r="C1041" s="2" t="n">
        <v>45575</v>
      </c>
      <c r="D1041" t="inlineStr">
        <is>
          <t>SPEC</t>
        </is>
      </c>
      <c r="E1041">
        <f>_xlfn.CONCAT(Tableau1[[#This Row],[SHORT TYPE]]," ",Tableau1[[#This Row],[NUMERO]]," ",Tableau1[[#This Row],[GAMME]]," ",Tableau1[[#This Row],[TYPE PRODUIT]]," ",Tableau1[[#This Row],[PUISSANCE]])</f>
        <v/>
      </c>
      <c r="F1041" t="inlineStr">
        <is>
          <t>COSTA CROCIERE</t>
        </is>
      </c>
      <c r="G1041" t="inlineStr">
        <is>
          <t xml:space="preserve">GVS </t>
        </is>
      </c>
      <c r="H1041" t="inlineStr">
        <is>
          <t>BYPASS</t>
        </is>
      </c>
      <c r="I1041" t="inlineStr">
        <is>
          <t>80KVA</t>
        </is>
      </c>
      <c r="J1041" t="inlineStr">
        <is>
          <t>BESSIERE</t>
        </is>
      </c>
      <c r="K1041" t="inlineStr">
        <is>
          <t>CUIVRE</t>
        </is>
      </c>
      <c r="L1041">
        <f>_xlfn.XLOOKUP(Tableau1[[#This Row],[TYPE DE PIECE]],Tableau4[MATIERE],Tableau4[SHORT TYPE],"",0,1)</f>
        <v/>
      </c>
      <c r="N1041">
        <f>IF(ISERR(FIND("DECOUPE",Tableau1[[#This Row],[DESIGNATION]])),"","NEED REF")</f>
        <v/>
      </c>
    </row>
    <row r="1042">
      <c r="B1042" t="n">
        <v>34412960</v>
      </c>
      <c r="C1042" s="2" t="n">
        <v>45575</v>
      </c>
      <c r="D1042" t="inlineStr">
        <is>
          <t>SPEC</t>
        </is>
      </c>
      <c r="E1042">
        <f>_xlfn.CONCAT(Tableau1[[#This Row],[SHORT TYPE]]," ",Tableau1[[#This Row],[NUMERO]]," ",Tableau1[[#This Row],[GAMME]]," ",Tableau1[[#This Row],[TYPE PRODUIT]]," ",Tableau1[[#This Row],[PUISSANCE]])</f>
        <v/>
      </c>
      <c r="F1042" t="inlineStr">
        <is>
          <t>COSTA CROCIERE</t>
        </is>
      </c>
      <c r="G1042" t="inlineStr">
        <is>
          <t xml:space="preserve">GVS </t>
        </is>
      </c>
      <c r="H1042" t="inlineStr">
        <is>
          <t>BYPASS</t>
        </is>
      </c>
      <c r="I1042" t="inlineStr">
        <is>
          <t>80KVA</t>
        </is>
      </c>
      <c r="J1042" t="inlineStr">
        <is>
          <t>BESSIERE</t>
        </is>
      </c>
      <c r="K1042" t="inlineStr">
        <is>
          <t>CUIVRE</t>
        </is>
      </c>
      <c r="L1042">
        <f>_xlfn.XLOOKUP(Tableau1[[#This Row],[TYPE DE PIECE]],Tableau4[MATIERE],Tableau4[SHORT TYPE],"",0,1)</f>
        <v/>
      </c>
      <c r="N1042">
        <f>IF(ISERR(FIND("DECOUPE",Tableau1[[#This Row],[DESIGNATION]])),"","NEED REF")</f>
        <v/>
      </c>
    </row>
    <row r="1043">
      <c r="B1043" t="n">
        <v>34412959</v>
      </c>
      <c r="C1043" s="2" t="n">
        <v>45575</v>
      </c>
      <c r="D1043" t="inlineStr">
        <is>
          <t>SPEC</t>
        </is>
      </c>
      <c r="E1043">
        <f>_xlfn.CONCAT(Tableau1[[#This Row],[SHORT TYPE]]," ",Tableau1[[#This Row],[NUMERO]]," ",Tableau1[[#This Row],[GAMME]]," ",Tableau1[[#This Row],[TYPE PRODUIT]]," ",Tableau1[[#This Row],[PUISSANCE]])</f>
        <v/>
      </c>
      <c r="F1043" t="inlineStr">
        <is>
          <t>COSTA CROCIERE</t>
        </is>
      </c>
      <c r="G1043" t="inlineStr">
        <is>
          <t xml:space="preserve">GVS </t>
        </is>
      </c>
      <c r="H1043" t="inlineStr">
        <is>
          <t>BYPASS</t>
        </is>
      </c>
      <c r="I1043" t="inlineStr">
        <is>
          <t>80KVA</t>
        </is>
      </c>
      <c r="J1043" t="inlineStr">
        <is>
          <t>BESSIERE</t>
        </is>
      </c>
      <c r="K1043" t="inlineStr">
        <is>
          <t>CUIVRE</t>
        </is>
      </c>
      <c r="L1043">
        <f>_xlfn.XLOOKUP(Tableau1[[#This Row],[TYPE DE PIECE]],Tableau4[MATIERE],Tableau4[SHORT TYPE],"",0,1)</f>
        <v/>
      </c>
      <c r="N1043">
        <f>IF(ISERR(FIND("DECOUPE",Tableau1[[#This Row],[DESIGNATION]])),"","NEED REF")</f>
        <v/>
      </c>
    </row>
    <row r="1044">
      <c r="B1044" t="n">
        <v>34412958</v>
      </c>
      <c r="C1044" s="2" t="n">
        <v>45575</v>
      </c>
      <c r="D1044" t="inlineStr">
        <is>
          <t>SPEC</t>
        </is>
      </c>
      <c r="E1044">
        <f>_xlfn.CONCAT(Tableau1[[#This Row],[SHORT TYPE]]," ",Tableau1[[#This Row],[NUMERO]]," ",Tableau1[[#This Row],[GAMME]]," ",Tableau1[[#This Row],[TYPE PRODUIT]]," ",Tableau1[[#This Row],[PUISSANCE]])</f>
        <v/>
      </c>
      <c r="F1044" t="inlineStr">
        <is>
          <t>COSTA CROCIERE</t>
        </is>
      </c>
      <c r="G1044" t="inlineStr">
        <is>
          <t xml:space="preserve">GVS </t>
        </is>
      </c>
      <c r="H1044" t="inlineStr">
        <is>
          <t>BYPASS</t>
        </is>
      </c>
      <c r="I1044" t="inlineStr">
        <is>
          <t>80KVA</t>
        </is>
      </c>
      <c r="J1044" t="inlineStr">
        <is>
          <t>BESSIERE</t>
        </is>
      </c>
      <c r="K1044" t="inlineStr">
        <is>
          <t>CUIVRE</t>
        </is>
      </c>
      <c r="L1044">
        <f>_xlfn.XLOOKUP(Tableau1[[#This Row],[TYPE DE PIECE]],Tableau4[MATIERE],Tableau4[SHORT TYPE],"",0,1)</f>
        <v/>
      </c>
      <c r="N1044">
        <f>IF(ISERR(FIND("DECOUPE",Tableau1[[#This Row],[DESIGNATION]])),"","NEED REF")</f>
        <v/>
      </c>
    </row>
    <row r="1045">
      <c r="B1045" s="135" t="n">
        <v>34412957</v>
      </c>
      <c r="C1045" s="138" t="n">
        <v>45573</v>
      </c>
      <c r="D1045" s="135" t="inlineStr">
        <is>
          <t>SPEC</t>
        </is>
      </c>
      <c r="E1045" s="135" t="inlineStr">
        <is>
          <t>RIGHT SMT 34412957 GVX BATTERY BBK 630A - JOUE LAT IP20 replaced by 34412975</t>
        </is>
      </c>
      <c r="F1045" s="135" t="inlineStr">
        <is>
          <t>COSTA CROCIERE</t>
        </is>
      </c>
      <c r="G1045" s="135" t="inlineStr">
        <is>
          <t xml:space="preserve">GVS </t>
        </is>
      </c>
      <c r="H1045" s="135" t="inlineStr">
        <is>
          <t>BYPASS</t>
        </is>
      </c>
      <c r="I1045" s="135" t="inlineStr">
        <is>
          <t>80KVA</t>
        </is>
      </c>
      <c r="J1045" s="135" t="inlineStr">
        <is>
          <t>BESSIERE</t>
        </is>
      </c>
      <c r="K1045" s="135" t="inlineStr">
        <is>
          <t>METAL</t>
        </is>
      </c>
      <c r="L1045" s="135">
        <f>_xlfn.XLOOKUP(Tableau1[[#This Row],[TYPE DE PIECE]],Tableau4[MATIERE],Tableau4[SHORT TYPE],"",0,1)</f>
        <v/>
      </c>
      <c r="N1045">
        <f>IF(ISERR(FIND("DECOUPE",Tableau1[[#This Row],[DESIGNATION]])),"","NEED REF")</f>
        <v/>
      </c>
    </row>
    <row r="1046">
      <c r="B1046" t="n">
        <v>34412956</v>
      </c>
      <c r="C1046" s="2" t="n">
        <v>45575</v>
      </c>
      <c r="D1046" t="inlineStr">
        <is>
          <t>SPEC</t>
        </is>
      </c>
      <c r="E1046" t="inlineStr">
        <is>
          <t>COP RACCORDEMENT PE</t>
        </is>
      </c>
      <c r="J1046" t="inlineStr">
        <is>
          <t>BERNARDEAU</t>
        </is>
      </c>
      <c r="K1046" t="inlineStr">
        <is>
          <t>CUIVRE</t>
        </is>
      </c>
      <c r="L1046">
        <f>_xlfn.XLOOKUP(Tableau1[[#This Row],[TYPE DE PIECE]],Tableau4[MATIERE],Tableau4[SHORT TYPE],"",0,1)</f>
        <v/>
      </c>
      <c r="N1046">
        <f>IF(ISERR(FIND("DECOUPE",Tableau1[[#This Row],[DESIGNATION]])),"","NEED REF")</f>
        <v/>
      </c>
    </row>
    <row r="1047">
      <c r="B1047" t="n">
        <v>34412955</v>
      </c>
      <c r="C1047" s="2" t="n">
        <v>45575</v>
      </c>
      <c r="D1047" t="inlineStr">
        <is>
          <t>SPEC</t>
        </is>
      </c>
      <c r="E1047" t="inlineStr">
        <is>
          <t>SE 34412955 GVS BYPASS 80KVA INVERSEUR DE SOURCE NSX160H</t>
        </is>
      </c>
      <c r="F1047" t="inlineStr">
        <is>
          <t>COSTA CROCIERE</t>
        </is>
      </c>
      <c r="G1047" t="inlineStr">
        <is>
          <t>GVS</t>
        </is>
      </c>
      <c r="H1047" t="inlineStr">
        <is>
          <t>BYPASS</t>
        </is>
      </c>
      <c r="I1047" t="inlineStr">
        <is>
          <t>80KVA</t>
        </is>
      </c>
      <c r="J1047" t="inlineStr">
        <is>
          <t>BESSIERE</t>
        </is>
      </c>
      <c r="K1047" t="inlineStr">
        <is>
          <t>SE</t>
        </is>
      </c>
      <c r="L1047">
        <f>_xlfn.XLOOKUP(Tableau1[[#This Row],[TYPE DE PIECE]],Tableau4[MATIERE],Tableau4[SHORT TYPE],"",0,1)</f>
        <v/>
      </c>
      <c r="N1047">
        <f>IF(ISERR(FIND("DECOUPE",Tableau1[[#This Row],[DESIGNATION]])),"","NEED REF")</f>
        <v/>
      </c>
    </row>
    <row r="1048">
      <c r="B1048" t="n">
        <v>34412954</v>
      </c>
      <c r="C1048" s="2" t="n">
        <v>45574</v>
      </c>
      <c r="D1048" t="inlineStr">
        <is>
          <t>SPEC</t>
        </is>
      </c>
      <c r="E1048" t="inlineStr">
        <is>
          <t>SMT PLASTRON GVEAC7 PLEIN</t>
        </is>
      </c>
      <c r="F1048" t="inlineStr">
        <is>
          <t>ENEL - PS DOO</t>
        </is>
      </c>
      <c r="G1048" t="inlineStr">
        <is>
          <t>GVX</t>
        </is>
      </c>
      <c r="H1048" t="inlineStr">
        <is>
          <t>BYPASS</t>
        </is>
      </c>
      <c r="I1048" t="inlineStr">
        <is>
          <t>1250KVA</t>
        </is>
      </c>
      <c r="J1048" t="inlineStr">
        <is>
          <t>BERNARDEAU</t>
        </is>
      </c>
      <c r="K1048" t="inlineStr">
        <is>
          <t>METAL</t>
        </is>
      </c>
      <c r="L1048">
        <f>_xlfn.XLOOKUP(Tableau1[[#This Row],[TYPE DE PIECE]],Tableau4[MATIERE],Tableau4[SHORT TYPE],"",0,1)</f>
        <v/>
      </c>
      <c r="N1048">
        <f>IF(ISERR(FIND("DECOUPE",Tableau1[[#This Row],[DESIGNATION]])),"","NEED REF")</f>
        <v/>
      </c>
    </row>
    <row r="1049">
      <c r="B1049" t="n">
        <v>34412953</v>
      </c>
      <c r="C1049" s="2" t="n">
        <v>45574</v>
      </c>
      <c r="D1049" t="inlineStr">
        <is>
          <t>SPEC</t>
        </is>
      </c>
      <c r="E1049" t="inlineStr">
        <is>
          <t>SMT PLASTRON GVEAC7 MTZ2</t>
        </is>
      </c>
      <c r="F1049" t="inlineStr">
        <is>
          <t>ENEL - PS DOO</t>
        </is>
      </c>
      <c r="G1049" t="inlineStr">
        <is>
          <t>GVX</t>
        </is>
      </c>
      <c r="H1049" t="inlineStr">
        <is>
          <t>BYPASS</t>
        </is>
      </c>
      <c r="I1049" t="inlineStr">
        <is>
          <t>1250KVA</t>
        </is>
      </c>
      <c r="J1049" t="inlineStr">
        <is>
          <t>BERNARDEAU</t>
        </is>
      </c>
      <c r="K1049" t="inlineStr">
        <is>
          <t>METAL</t>
        </is>
      </c>
      <c r="L1049">
        <f>_xlfn.XLOOKUP(Tableau1[[#This Row],[TYPE DE PIECE]],Tableau4[MATIERE],Tableau4[SHORT TYPE],"",0,1)</f>
        <v/>
      </c>
      <c r="N1049">
        <f>IF(ISERR(FIND("DECOUPE",Tableau1[[#This Row],[DESIGNATION]])),"","NEED REF")</f>
        <v/>
      </c>
    </row>
    <row r="1050">
      <c r="B1050" t="n">
        <v>34412952</v>
      </c>
      <c r="C1050" s="2" t="n">
        <v>45574</v>
      </c>
      <c r="D1050" t="inlineStr">
        <is>
          <t>SPEC</t>
        </is>
      </c>
      <c r="E1050" t="inlineStr">
        <is>
          <t>SMT PLASTRON GVEAC7 plein</t>
        </is>
      </c>
      <c r="F1050" t="inlineStr">
        <is>
          <t>ENEL - PS DOO</t>
        </is>
      </c>
      <c r="G1050" t="inlineStr">
        <is>
          <t>GVX</t>
        </is>
      </c>
      <c r="H1050" t="inlineStr">
        <is>
          <t>BYPASS</t>
        </is>
      </c>
      <c r="I1050" t="inlineStr">
        <is>
          <t>1250KVA</t>
        </is>
      </c>
      <c r="J1050" t="inlineStr">
        <is>
          <t>BERNARDEAU</t>
        </is>
      </c>
      <c r="K1050" t="inlineStr">
        <is>
          <t>METAL</t>
        </is>
      </c>
      <c r="L1050">
        <f>_xlfn.XLOOKUP(Tableau1[[#This Row],[TYPE DE PIECE]],Tableau4[MATIERE],Tableau4[SHORT TYPE],"",0,1)</f>
        <v/>
      </c>
      <c r="N1050">
        <f>IF(ISERR(FIND("DECOUPE",Tableau1[[#This Row],[DESIGNATION]])),"","NEED REF")</f>
        <v/>
      </c>
    </row>
    <row r="1051">
      <c r="B1051" t="n">
        <v>34412951</v>
      </c>
      <c r="C1051" s="2" t="n">
        <v>45574</v>
      </c>
      <c r="D1051" t="inlineStr">
        <is>
          <t>SPEC</t>
        </is>
      </c>
      <c r="E1051">
        <f>_xlfn.CONCAT(Tableau1[[#This Row],[SHORT TYPE]]," ",Tableau1[[#This Row],[NUMERO]]," ",Tableau1[[#This Row],[GAMME]]," ",Tableau1[[#This Row],[TYPE PRODUIT]]," ",Tableau1[[#This Row],[PUISSANCE]])</f>
        <v/>
      </c>
      <c r="F1051" t="inlineStr">
        <is>
          <t>COSTA CROCIERE</t>
        </is>
      </c>
      <c r="G1051" t="inlineStr">
        <is>
          <t>GVS</t>
        </is>
      </c>
      <c r="H1051" t="inlineStr">
        <is>
          <t>BYPASS</t>
        </is>
      </c>
      <c r="I1051" t="inlineStr">
        <is>
          <t>80KVA</t>
        </is>
      </c>
      <c r="J1051" t="inlineStr">
        <is>
          <t>BESSIERE</t>
        </is>
      </c>
      <c r="K1051" t="inlineStr">
        <is>
          <t>METAL</t>
        </is>
      </c>
      <c r="L1051">
        <f>_xlfn.XLOOKUP(Tableau1[[#This Row],[TYPE DE PIECE]],Tableau4[MATIERE],Tableau4[SHORT TYPE],"",0,1)</f>
        <v/>
      </c>
      <c r="N1051">
        <f>IF(ISERR(FIND("DECOUPE",Tableau1[[#This Row],[DESIGNATION]])),"","NEED REF")</f>
        <v/>
      </c>
    </row>
    <row r="1052">
      <c r="B1052" t="n">
        <v>34412950</v>
      </c>
      <c r="C1052" s="2" t="n">
        <v>45574</v>
      </c>
      <c r="D1052" t="inlineStr">
        <is>
          <t>SPEC</t>
        </is>
      </c>
      <c r="E1052">
        <f>_xlfn.CONCAT(Tableau1[[#This Row],[SHORT TYPE]]," ",Tableau1[[#This Row],[NUMERO]]," ",Tableau1[[#This Row],[GAMME]]," ",Tableau1[[#This Row],[TYPE PRODUIT]]," ",Tableau1[[#This Row],[PUISSANCE]])</f>
        <v/>
      </c>
      <c r="F1052" t="inlineStr">
        <is>
          <t>COSTA CROCIERE</t>
        </is>
      </c>
      <c r="G1052" t="inlineStr">
        <is>
          <t>GVS</t>
        </is>
      </c>
      <c r="H1052" t="inlineStr">
        <is>
          <t>BYPASS</t>
        </is>
      </c>
      <c r="I1052" t="inlineStr">
        <is>
          <t>80KVA</t>
        </is>
      </c>
      <c r="J1052" t="inlineStr">
        <is>
          <t>BESSIERE</t>
        </is>
      </c>
      <c r="K1052" t="inlineStr">
        <is>
          <t>METAL</t>
        </is>
      </c>
      <c r="L1052">
        <f>_xlfn.XLOOKUP(Tableau1[[#This Row],[TYPE DE PIECE]],Tableau4[MATIERE],Tableau4[SHORT TYPE],"",0,1)</f>
        <v/>
      </c>
      <c r="N1052">
        <f>IF(ISERR(FIND("DECOUPE",Tableau1[[#This Row],[DESIGNATION]])),"","NEED REF")</f>
        <v/>
      </c>
    </row>
    <row r="1053">
      <c r="B1053" t="n">
        <v>34412949</v>
      </c>
      <c r="C1053" s="2" t="n">
        <v>45574</v>
      </c>
      <c r="D1053" t="inlineStr">
        <is>
          <t>SPEC</t>
        </is>
      </c>
      <c r="E1053">
        <f>_xlfn.CONCAT(Tableau1[[#This Row],[SHORT TYPE]]," ",Tableau1[[#This Row],[NUMERO]]," ",Tableau1[[#This Row],[GAMME]]," ",Tableau1[[#This Row],[TYPE PRODUIT]]," ",Tableau1[[#This Row],[PUISSANCE]])</f>
        <v/>
      </c>
      <c r="F1053" t="inlineStr">
        <is>
          <t>COSTA CROCIERE</t>
        </is>
      </c>
      <c r="G1053" t="inlineStr">
        <is>
          <t>GVS</t>
        </is>
      </c>
      <c r="H1053" t="inlineStr">
        <is>
          <t>BYPASS</t>
        </is>
      </c>
      <c r="I1053" t="inlineStr">
        <is>
          <t>80KVA</t>
        </is>
      </c>
      <c r="J1053" t="inlineStr">
        <is>
          <t>BESSIERE</t>
        </is>
      </c>
      <c r="K1053" t="inlineStr">
        <is>
          <t>METAL</t>
        </is>
      </c>
      <c r="L1053">
        <f>_xlfn.XLOOKUP(Tableau1[[#This Row],[TYPE DE PIECE]],Tableau4[MATIERE],Tableau4[SHORT TYPE],"",0,1)</f>
        <v/>
      </c>
      <c r="N1053">
        <f>IF(ISERR(FIND("DECOUPE",Tableau1[[#This Row],[DESIGNATION]])),"","NEED REF")</f>
        <v/>
      </c>
    </row>
    <row r="1054">
      <c r="B1054" t="n">
        <v>34412948</v>
      </c>
      <c r="C1054" s="2" t="n">
        <v>45574</v>
      </c>
      <c r="D1054" t="inlineStr">
        <is>
          <t>SPEC</t>
        </is>
      </c>
      <c r="E1054">
        <f>_xlfn.CONCAT(Tableau1[[#This Row],[SHORT TYPE]]," ",Tableau1[[#This Row],[NUMERO]]," ",Tableau1[[#This Row],[GAMME]]," ",Tableau1[[#This Row],[TYPE PRODUIT]]," ",Tableau1[[#This Row],[PUISSANCE]])</f>
        <v/>
      </c>
      <c r="F1054" t="inlineStr">
        <is>
          <t>COSTA CROCIERE</t>
        </is>
      </c>
      <c r="G1054" t="inlineStr">
        <is>
          <t>GVS</t>
        </is>
      </c>
      <c r="H1054" t="inlineStr">
        <is>
          <t>BYPASS</t>
        </is>
      </c>
      <c r="I1054" t="inlineStr">
        <is>
          <t>80KVA</t>
        </is>
      </c>
      <c r="J1054" t="inlineStr">
        <is>
          <t>BESSIERE</t>
        </is>
      </c>
      <c r="K1054" t="inlineStr">
        <is>
          <t>METAL</t>
        </is>
      </c>
      <c r="L1054">
        <f>_xlfn.XLOOKUP(Tableau1[[#This Row],[TYPE DE PIECE]],Tableau4[MATIERE],Tableau4[SHORT TYPE],"",0,1)</f>
        <v/>
      </c>
      <c r="N1054">
        <f>IF(ISERR(FIND("DECOUPE",Tableau1[[#This Row],[DESIGNATION]])),"","NEED REF")</f>
        <v/>
      </c>
    </row>
    <row r="1055">
      <c r="B1055" t="n">
        <v>34412947</v>
      </c>
      <c r="C1055" s="2" t="n">
        <v>45574</v>
      </c>
      <c r="D1055" t="inlineStr">
        <is>
          <t>SPEC</t>
        </is>
      </c>
      <c r="E1055">
        <f>_xlfn.CONCAT(Tableau1[[#This Row],[SHORT TYPE]]," ",Tableau1[[#This Row],[NUMERO]]," ",Tableau1[[#This Row],[GAMME]]," ",Tableau1[[#This Row],[TYPE PRODUIT]]," ",Tableau1[[#This Row],[PUISSANCE]])</f>
        <v/>
      </c>
      <c r="F1055" t="inlineStr">
        <is>
          <t>COSTA CROCIERE</t>
        </is>
      </c>
      <c r="G1055" t="inlineStr">
        <is>
          <t>GVS</t>
        </is>
      </c>
      <c r="H1055" t="inlineStr">
        <is>
          <t>BYPASS</t>
        </is>
      </c>
      <c r="I1055" t="inlineStr">
        <is>
          <t>80KVA</t>
        </is>
      </c>
      <c r="J1055" t="inlineStr">
        <is>
          <t>BESSIERE</t>
        </is>
      </c>
      <c r="K1055" t="inlineStr">
        <is>
          <t>METAL</t>
        </is>
      </c>
      <c r="L1055">
        <f>_xlfn.XLOOKUP(Tableau1[[#This Row],[TYPE DE PIECE]],Tableau4[MATIERE],Tableau4[SHORT TYPE],"",0,1)</f>
        <v/>
      </c>
      <c r="N1055">
        <f>IF(ISERR(FIND("DECOUPE",Tableau1[[#This Row],[DESIGNATION]])),"","NEED REF")</f>
        <v/>
      </c>
    </row>
    <row r="1056">
      <c r="B1056" t="n">
        <v>34412946</v>
      </c>
      <c r="C1056" s="2" t="n">
        <v>45574</v>
      </c>
      <c r="D1056" t="inlineStr">
        <is>
          <t>SPEC</t>
        </is>
      </c>
      <c r="E1056">
        <f>_xlfn.CONCAT(Tableau1[[#This Row],[SHORT TYPE]]," ",Tableau1[[#This Row],[NUMERO]]," ",Tableau1[[#This Row],[GAMME]]," ",Tableau1[[#This Row],[TYPE PRODUIT]]," ",Tableau1[[#This Row],[PUISSANCE]])</f>
        <v/>
      </c>
      <c r="F1056" t="inlineStr">
        <is>
          <t>COSTA CROCIERE</t>
        </is>
      </c>
      <c r="G1056" t="inlineStr">
        <is>
          <t>GVS</t>
        </is>
      </c>
      <c r="H1056" t="inlineStr">
        <is>
          <t>BYPASS</t>
        </is>
      </c>
      <c r="I1056" t="inlineStr">
        <is>
          <t>80KVA</t>
        </is>
      </c>
      <c r="J1056" t="inlineStr">
        <is>
          <t>BESSIERE</t>
        </is>
      </c>
      <c r="K1056" t="inlineStr">
        <is>
          <t>METAL</t>
        </is>
      </c>
      <c r="L1056">
        <f>_xlfn.XLOOKUP(Tableau1[[#This Row],[TYPE DE PIECE]],Tableau4[MATIERE],Tableau4[SHORT TYPE],"",0,1)</f>
        <v/>
      </c>
      <c r="N1056">
        <f>IF(ISERR(FIND("DECOUPE",Tableau1[[#This Row],[DESIGNATION]])),"","NEED REF")</f>
        <v/>
      </c>
    </row>
    <row r="1057">
      <c r="B1057" t="n">
        <v>34412945</v>
      </c>
      <c r="C1057" s="2" t="n">
        <v>45574</v>
      </c>
      <c r="D1057" t="inlineStr">
        <is>
          <t>SPEC</t>
        </is>
      </c>
      <c r="E1057" t="inlineStr">
        <is>
          <t>PLA 34412923 GVX UPS 1250KVA CANON 89MM</t>
        </is>
      </c>
      <c r="F1057" t="inlineStr">
        <is>
          <t>=S= FR - Solution Center</t>
        </is>
      </c>
      <c r="G1057" t="inlineStr">
        <is>
          <t>GVX</t>
        </is>
      </c>
      <c r="H1057" t="inlineStr">
        <is>
          <t>UPS</t>
        </is>
      </c>
      <c r="I1057" t="inlineStr">
        <is>
          <t>1250KVA</t>
        </is>
      </c>
      <c r="J1057" t="inlineStr">
        <is>
          <t>JAWORSKI</t>
        </is>
      </c>
      <c r="K1057" t="inlineStr">
        <is>
          <t>PLASTIQUE</t>
        </is>
      </c>
      <c r="L1057">
        <f>_xlfn.XLOOKUP(Tableau1[[#This Row],[TYPE DE PIECE]],Tableau4[MATIERE],Tableau4[SHORT TYPE],"",0,1)</f>
        <v/>
      </c>
      <c r="N1057">
        <f>IF(ISERR(FIND("DECOUPE",Tableau1[[#This Row],[DESIGNATION]])),"","NEED REF")</f>
        <v/>
      </c>
    </row>
    <row r="1058">
      <c r="B1058" t="n">
        <v>34412944</v>
      </c>
      <c r="C1058" s="2" t="n">
        <v>45574</v>
      </c>
      <c r="D1058" t="inlineStr">
        <is>
          <t>SPEC</t>
        </is>
      </c>
      <c r="E1058" t="inlineStr">
        <is>
          <t>SMT SUPPORT SOUS TOIT 1</t>
        </is>
      </c>
      <c r="F1058" s="38" t="inlineStr">
        <is>
          <t>=S= FR - Solution Center</t>
        </is>
      </c>
      <c r="G1058" t="inlineStr">
        <is>
          <t>GVX</t>
        </is>
      </c>
      <c r="H1058" t="inlineStr">
        <is>
          <t>UPS</t>
        </is>
      </c>
      <c r="I1058" t="inlineStr">
        <is>
          <t>1250KVA</t>
        </is>
      </c>
      <c r="J1058" t="inlineStr">
        <is>
          <t>JAWORSKI</t>
        </is>
      </c>
      <c r="K1058" t="inlineStr">
        <is>
          <t>METAL</t>
        </is>
      </c>
      <c r="L1058">
        <f>_xlfn.XLOOKUP(Tableau1[[#This Row],[TYPE DE PIECE]],Tableau4[MATIERE],Tableau4[SHORT TYPE],"",0,1)</f>
        <v/>
      </c>
      <c r="N1058">
        <f>IF(ISERR(FIND("DECOUPE",Tableau1[[#This Row],[DESIGNATION]])),"","NEED REF")</f>
        <v/>
      </c>
    </row>
    <row r="1059">
      <c r="B1059" t="n">
        <v>34412943</v>
      </c>
      <c r="C1059" s="2" t="n">
        <v>45573</v>
      </c>
      <c r="D1059" t="inlineStr">
        <is>
          <t>SPEC</t>
        </is>
      </c>
      <c r="E1059" t="inlineStr">
        <is>
          <t>SMT 34412943 GVX BBK - Plastron plein 688mm</t>
        </is>
      </c>
      <c r="F1059" t="inlineStr">
        <is>
          <t>COSTA CROCIERE</t>
        </is>
      </c>
      <c r="G1059" t="inlineStr">
        <is>
          <t>GVS</t>
        </is>
      </c>
      <c r="H1059" t="inlineStr">
        <is>
          <t>BYPASS</t>
        </is>
      </c>
      <c r="I1059" t="inlineStr">
        <is>
          <t>80KVA</t>
        </is>
      </c>
      <c r="J1059" t="inlineStr">
        <is>
          <t>BESSIERE</t>
        </is>
      </c>
      <c r="K1059" t="inlineStr">
        <is>
          <t>METAL</t>
        </is>
      </c>
      <c r="L1059">
        <f>_xlfn.XLOOKUP(Tableau1[[#This Row],[TYPE DE PIECE]],Tableau4[MATIERE],Tableau4[SHORT TYPE],"",0,1)</f>
        <v/>
      </c>
      <c r="N1059">
        <f>IF(ISERR(FIND("DECOUPE",Tableau1[[#This Row],[DESIGNATION]])),"","NEED REF")</f>
        <v/>
      </c>
    </row>
    <row r="1060">
      <c r="B1060" t="n">
        <v>34412942</v>
      </c>
      <c r="C1060" s="2" t="n">
        <v>45573</v>
      </c>
      <c r="D1060" t="inlineStr">
        <is>
          <t>SPEC</t>
        </is>
      </c>
      <c r="E1060" t="inlineStr">
        <is>
          <t>SMT 34412942 GVX BBK - Plastron plein 350mm</t>
        </is>
      </c>
      <c r="F1060" t="inlineStr">
        <is>
          <t>COSTA CROCIERE</t>
        </is>
      </c>
      <c r="G1060" t="inlineStr">
        <is>
          <t xml:space="preserve">GVS </t>
        </is>
      </c>
      <c r="H1060" t="inlineStr">
        <is>
          <t>BYPASS</t>
        </is>
      </c>
      <c r="I1060" t="inlineStr">
        <is>
          <t>80KVA</t>
        </is>
      </c>
      <c r="J1060" t="inlineStr">
        <is>
          <t>BESSIERE</t>
        </is>
      </c>
      <c r="K1060" t="inlineStr">
        <is>
          <t>METAL</t>
        </is>
      </c>
      <c r="L1060">
        <f>_xlfn.XLOOKUP(Tableau1[[#This Row],[TYPE DE PIECE]],Tableau4[MATIERE],Tableau4[SHORT TYPE],"",0,1)</f>
        <v/>
      </c>
      <c r="N1060">
        <f>IF(ISERR(FIND("DECOUPE",Tableau1[[#This Row],[DESIGNATION]])),"","NEED REF")</f>
        <v/>
      </c>
    </row>
    <row r="1061">
      <c r="B1061" t="n">
        <v>34412941</v>
      </c>
      <c r="C1061" s="2" t="n">
        <v>45573</v>
      </c>
      <c r="D1061" t="inlineStr">
        <is>
          <t>SPEC</t>
        </is>
      </c>
      <c r="E1061">
        <f>_xlfn.CONCAT(Tableau1[[#This Row],[SHORT TYPE]]," ",Tableau1[[#This Row],[NUMERO]]," ",Tableau1[[#This Row],[GAMME]]," ",Tableau1[[#This Row],[TYPE PRODUIT]]," ",Tableau1[[#This Row],[PUISSANCE]])</f>
        <v/>
      </c>
      <c r="F1061" t="inlineStr">
        <is>
          <t>COSTA CROCIERE</t>
        </is>
      </c>
      <c r="G1061" t="inlineStr">
        <is>
          <t xml:space="preserve">GVS </t>
        </is>
      </c>
      <c r="H1061" t="inlineStr">
        <is>
          <t>BYPASS</t>
        </is>
      </c>
      <c r="I1061" t="inlineStr">
        <is>
          <t>80KVA</t>
        </is>
      </c>
      <c r="J1061" t="inlineStr">
        <is>
          <t>BESSIERE</t>
        </is>
      </c>
      <c r="K1061" t="inlineStr">
        <is>
          <t>METAL</t>
        </is>
      </c>
      <c r="L1061">
        <f>_xlfn.XLOOKUP(Tableau1[[#This Row],[TYPE DE PIECE]],Tableau4[MATIERE],Tableau4[SHORT TYPE],"",0,1)</f>
        <v/>
      </c>
      <c r="N1061">
        <f>IF(ISERR(FIND("DECOUPE",Tableau1[[#This Row],[DESIGNATION]])),"","NEED REF")</f>
        <v/>
      </c>
    </row>
    <row r="1062">
      <c r="B1062" t="n">
        <v>34412940</v>
      </c>
      <c r="C1062" s="2" t="n">
        <v>45573</v>
      </c>
      <c r="D1062" t="inlineStr">
        <is>
          <t>SPEC</t>
        </is>
      </c>
      <c r="E1062" t="inlineStr">
        <is>
          <t>SMT 34412940 GVX BBK - Plastron plein 300mm</t>
        </is>
      </c>
      <c r="F1062" t="inlineStr">
        <is>
          <t>COSTA CROCIERE</t>
        </is>
      </c>
      <c r="G1062" t="inlineStr">
        <is>
          <t xml:space="preserve">GVS </t>
        </is>
      </c>
      <c r="H1062" t="inlineStr">
        <is>
          <t>BYPASS</t>
        </is>
      </c>
      <c r="I1062" t="inlineStr">
        <is>
          <t>80KVA</t>
        </is>
      </c>
      <c r="J1062" t="inlineStr">
        <is>
          <t>BESSIERE</t>
        </is>
      </c>
      <c r="K1062" t="inlineStr">
        <is>
          <t>METAL</t>
        </is>
      </c>
      <c r="L1062">
        <f>_xlfn.XLOOKUP(Tableau1[[#This Row],[TYPE DE PIECE]],Tableau4[MATIERE],Tableau4[SHORT TYPE],"",0,1)</f>
        <v/>
      </c>
      <c r="N1062">
        <f>IF(ISERR(FIND("DECOUPE",Tableau1[[#This Row],[DESIGNATION]])),"","NEED REF")</f>
        <v/>
      </c>
    </row>
    <row r="1063">
      <c r="B1063" t="n">
        <v>34412939</v>
      </c>
      <c r="C1063" s="2" t="n">
        <v>45573</v>
      </c>
      <c r="D1063" t="inlineStr">
        <is>
          <t>SPEC</t>
        </is>
      </c>
      <c r="E1063" t="inlineStr">
        <is>
          <t>SMT 34412939 GVX BBK - Plastron plein 300mm</t>
        </is>
      </c>
      <c r="F1063" t="inlineStr">
        <is>
          <t>COSTA CROCIERE</t>
        </is>
      </c>
      <c r="G1063" t="inlineStr">
        <is>
          <t xml:space="preserve">GVS </t>
        </is>
      </c>
      <c r="H1063" t="inlineStr">
        <is>
          <t>BYPASS</t>
        </is>
      </c>
      <c r="I1063" t="inlineStr">
        <is>
          <t>80KVA</t>
        </is>
      </c>
      <c r="J1063" t="inlineStr">
        <is>
          <t>BESSIERE</t>
        </is>
      </c>
      <c r="K1063" t="inlineStr">
        <is>
          <t>METAL</t>
        </is>
      </c>
      <c r="L1063">
        <f>_xlfn.XLOOKUP(Tableau1[[#This Row],[TYPE DE PIECE]],Tableau4[MATIERE],Tableau4[SHORT TYPE],"",0,1)</f>
        <v/>
      </c>
      <c r="N1063">
        <f>IF(ISERR(FIND("DECOUPE",Tableau1[[#This Row],[DESIGNATION]])),"","NEED REF")</f>
        <v/>
      </c>
    </row>
    <row r="1064">
      <c r="B1064" t="n">
        <v>34412938</v>
      </c>
      <c r="C1064" s="2" t="n">
        <v>45573</v>
      </c>
      <c r="D1064" t="inlineStr">
        <is>
          <t>SPEC</t>
        </is>
      </c>
      <c r="E1064">
        <f>_xlfn.CONCAT(Tableau1[[#This Row],[SHORT TYPE]]," ",Tableau1[[#This Row],[NUMERO]]," ",Tableau1[[#This Row],[GAMME]]," ",Tableau1[[#This Row],[TYPE PRODUIT]]," ",Tableau1[[#This Row],[PUISSANCE]])</f>
        <v/>
      </c>
      <c r="F1064" t="inlineStr">
        <is>
          <t>COSTA CROCIERE</t>
        </is>
      </c>
      <c r="G1064" t="inlineStr">
        <is>
          <t xml:space="preserve">GVS </t>
        </is>
      </c>
      <c r="H1064" t="inlineStr">
        <is>
          <t>BYPASS</t>
        </is>
      </c>
      <c r="I1064" t="inlineStr">
        <is>
          <t>80KVA</t>
        </is>
      </c>
      <c r="J1064" t="inlineStr">
        <is>
          <t>BESSIERE</t>
        </is>
      </c>
      <c r="K1064" t="inlineStr">
        <is>
          <t>METAL</t>
        </is>
      </c>
      <c r="L1064">
        <f>_xlfn.XLOOKUP(Tableau1[[#This Row],[TYPE DE PIECE]],Tableau4[MATIERE],Tableau4[SHORT TYPE],"",0,1)</f>
        <v/>
      </c>
      <c r="N1064">
        <f>IF(ISERR(FIND("DECOUPE",Tableau1[[#This Row],[DESIGNATION]])),"","NEED REF")</f>
        <v/>
      </c>
    </row>
    <row r="1065">
      <c r="B1065" t="n">
        <v>34412937</v>
      </c>
      <c r="C1065" s="2" t="n">
        <v>45573</v>
      </c>
      <c r="D1065" t="inlineStr">
        <is>
          <t>SPEC</t>
        </is>
      </c>
      <c r="E1065" t="inlineStr">
        <is>
          <t>LEFT SMT 34412937 GVX BATTERY BBK 630A - JOUE LAT IP20</t>
        </is>
      </c>
      <c r="F1065" t="inlineStr">
        <is>
          <t>COSTA CROCIERE</t>
        </is>
      </c>
      <c r="G1065" t="inlineStr">
        <is>
          <t xml:space="preserve">GVS </t>
        </is>
      </c>
      <c r="H1065" t="inlineStr">
        <is>
          <t>BYPASS</t>
        </is>
      </c>
      <c r="I1065" t="inlineStr">
        <is>
          <t>80KVA</t>
        </is>
      </c>
      <c r="J1065" t="inlineStr">
        <is>
          <t>BESSIERE</t>
        </is>
      </c>
      <c r="K1065" t="inlineStr">
        <is>
          <t>METAL</t>
        </is>
      </c>
      <c r="L1065">
        <f>_xlfn.XLOOKUP(Tableau1[[#This Row],[TYPE DE PIECE]],Tableau4[MATIERE],Tableau4[SHORT TYPE],"",0,1)</f>
        <v/>
      </c>
      <c r="N1065">
        <f>IF(ISERR(FIND("DECOUPE",Tableau1[[#This Row],[DESIGNATION]])),"","NEED REF")</f>
        <v/>
      </c>
    </row>
    <row r="1066">
      <c r="B1066" t="n">
        <v>34412936</v>
      </c>
      <c r="C1066" s="2" t="n">
        <v>45573</v>
      </c>
      <c r="D1066" t="inlineStr">
        <is>
          <t>SPEC</t>
        </is>
      </c>
      <c r="E1066" t="inlineStr">
        <is>
          <t>CANEVAS DISJ MTZ2 3200A 4P 2.0 MICRO</t>
        </is>
      </c>
      <c r="F1066" t="inlineStr">
        <is>
          <t>ENEL - PS DOO</t>
        </is>
      </c>
      <c r="J1066" t="inlineStr">
        <is>
          <t>BERNARDEAU</t>
        </is>
      </c>
      <c r="K1066" t="inlineStr">
        <is>
          <t>canevas</t>
        </is>
      </c>
      <c r="L1066">
        <f>_xlfn.XLOOKUP(Tableau1[[#This Row],[TYPE DE PIECE]],Tableau4[MATIERE],Tableau4[SHORT TYPE],"",0,1)</f>
        <v/>
      </c>
      <c r="M1066" t="inlineStr">
        <is>
          <t>CANEVAS</t>
        </is>
      </c>
      <c r="N1066">
        <f>IF(ISERR(FIND("DECOUPE",Tableau1[[#This Row],[DESIGNATION]])),"","NEED REF")</f>
        <v/>
      </c>
    </row>
    <row r="1067">
      <c r="B1067" t="n">
        <v>34412935</v>
      </c>
      <c r="C1067" s="2" t="n">
        <v>45573</v>
      </c>
      <c r="D1067" t="inlineStr">
        <is>
          <t>SPEC</t>
        </is>
      </c>
      <c r="E1067" t="inlineStr">
        <is>
          <t>CANEVAS DISJ MTZ2 2500A 4P 2.0 MICRO</t>
        </is>
      </c>
      <c r="F1067" t="inlineStr">
        <is>
          <t>ENEL - PS DOO</t>
        </is>
      </c>
      <c r="J1067" t="inlineStr">
        <is>
          <t>BERNARDEAU</t>
        </is>
      </c>
      <c r="K1067" t="inlineStr">
        <is>
          <t>canevas</t>
        </is>
      </c>
      <c r="L1067">
        <f>_xlfn.XLOOKUP(Tableau1[[#This Row],[TYPE DE PIECE]],Tableau4[MATIERE],Tableau4[SHORT TYPE],"",0,1)</f>
        <v/>
      </c>
      <c r="M1067" t="inlineStr">
        <is>
          <t>CANEVAS</t>
        </is>
      </c>
      <c r="N1067">
        <f>IF(ISERR(FIND("DECOUPE",Tableau1[[#This Row],[DESIGNATION]])),"","NEED REF")</f>
        <v/>
      </c>
    </row>
    <row r="1068">
      <c r="B1068" t="n">
        <v>34412934</v>
      </c>
      <c r="C1068" s="2" t="n">
        <v>45573</v>
      </c>
      <c r="D1068" t="inlineStr">
        <is>
          <t>SPEC</t>
        </is>
      </c>
      <c r="E1068" t="inlineStr">
        <is>
          <t>CANEVAS INTER MTZ2 2500A 4P</t>
        </is>
      </c>
      <c r="F1068" t="inlineStr">
        <is>
          <t>ENEL - PS DOO</t>
        </is>
      </c>
      <c r="G1068" t="inlineStr">
        <is>
          <t>GVX</t>
        </is>
      </c>
      <c r="H1068" t="inlineStr">
        <is>
          <t>BYPASS</t>
        </is>
      </c>
      <c r="I1068" t="inlineStr">
        <is>
          <t>1250KVA</t>
        </is>
      </c>
      <c r="J1068" t="inlineStr">
        <is>
          <t>BERNARDEAU</t>
        </is>
      </c>
      <c r="K1068" t="inlineStr">
        <is>
          <t>canevas</t>
        </is>
      </c>
      <c r="L1068">
        <f>_xlfn.XLOOKUP(Tableau1[[#This Row],[TYPE DE PIECE]],Tableau4[MATIERE],Tableau4[SHORT TYPE],"",0,1)</f>
        <v/>
      </c>
      <c r="M1068" t="inlineStr">
        <is>
          <t>CANEVAS</t>
        </is>
      </c>
      <c r="N1068">
        <f>IF(ISERR(FIND("DECOUPE",Tableau1[[#This Row],[DESIGNATION]])),"","NEED REF")</f>
        <v/>
      </c>
    </row>
    <row r="1069">
      <c r="B1069" t="n">
        <v>34412933</v>
      </c>
      <c r="C1069" s="2" t="n">
        <v>45569</v>
      </c>
      <c r="D1069" t="inlineStr">
        <is>
          <t>SPEC</t>
        </is>
      </c>
      <c r="E1069" t="inlineStr">
        <is>
          <t>DECOUPE GOULOTTE AK2GD2550 L250MM</t>
        </is>
      </c>
      <c r="J1069" t="inlineStr">
        <is>
          <t>BERNARDEAU</t>
        </is>
      </c>
      <c r="K1069" t="inlineStr">
        <is>
          <t>DECOUPE</t>
        </is>
      </c>
      <c r="L1069">
        <f>_xlfn.XLOOKUP(Tableau1[[#This Row],[TYPE DE PIECE]],Tableau4[MATIERE],Tableau4[SHORT TYPE],"",0,1)</f>
        <v/>
      </c>
      <c r="N1069" t="inlineStr">
        <is>
          <t>AK2GD2550</t>
        </is>
      </c>
    </row>
    <row r="1070">
      <c r="B1070" t="n">
        <v>34412932</v>
      </c>
      <c r="C1070" s="2" t="n">
        <v>45568</v>
      </c>
      <c r="D1070" t="inlineStr">
        <is>
          <t>SPEC</t>
        </is>
      </c>
      <c r="E1070" t="inlineStr">
        <is>
          <t>Inverseur de source NSX 160H Automatisme BA</t>
        </is>
      </c>
      <c r="J1070" t="inlineStr">
        <is>
          <t>BESSIERE</t>
        </is>
      </c>
      <c r="L1070">
        <f>_xlfn.XLOOKUP(Tableau1[[#This Row],[TYPE DE PIECE]],Tableau4[MATIERE],Tableau4[SHORT TYPE],"",0,1)</f>
        <v/>
      </c>
      <c r="N1070">
        <f>IF(ISERR(FIND("DECOUPE",Tableau1[[#This Row],[DESIGNATION]])),"","NEED REF")</f>
        <v/>
      </c>
    </row>
    <row r="1071">
      <c r="B1071" t="n">
        <v>34412931</v>
      </c>
      <c r="C1071" s="2" t="n">
        <v>45568</v>
      </c>
      <c r="D1071" t="inlineStr">
        <is>
          <t>SPEC</t>
        </is>
      </c>
      <c r="E1071" t="inlineStr">
        <is>
          <t>SMT PLASTRON REGEN BOX</t>
        </is>
      </c>
      <c r="F1071" t="inlineStr">
        <is>
          <t>REGEN BOX</t>
        </is>
      </c>
      <c r="G1071" t="inlineStr">
        <is>
          <t>E3S</t>
        </is>
      </c>
      <c r="H1071" t="inlineStr">
        <is>
          <t>REGEN</t>
        </is>
      </c>
      <c r="J1071" t="inlineStr">
        <is>
          <t>BERNARDEAU</t>
        </is>
      </c>
      <c r="K1071" t="inlineStr">
        <is>
          <t>METAL</t>
        </is>
      </c>
      <c r="L1071">
        <f>_xlfn.XLOOKUP(Tableau1[[#This Row],[TYPE DE PIECE]],Tableau4[MATIERE],Tableau4[SHORT TYPE],"",0,1)</f>
        <v/>
      </c>
      <c r="N1071">
        <f>IF(ISERR(FIND("DECOUPE",Tableau1[[#This Row],[DESIGNATION]])),"","NEED REF")</f>
        <v/>
      </c>
    </row>
    <row r="1072">
      <c r="B1072" t="n">
        <v>34412930</v>
      </c>
      <c r="C1072" s="2" t="n">
        <v>45567</v>
      </c>
      <c r="D1072" t="inlineStr">
        <is>
          <t>SPEC</t>
        </is>
      </c>
      <c r="E1072" t="inlineStr">
        <is>
          <t>SMT SUPPORT ISW</t>
        </is>
      </c>
      <c r="F1072" t="inlineStr">
        <is>
          <t>REGEN BOX</t>
        </is>
      </c>
      <c r="G1072" t="inlineStr">
        <is>
          <t>E3S</t>
        </is>
      </c>
      <c r="H1072" t="inlineStr">
        <is>
          <t>REGEN</t>
        </is>
      </c>
      <c r="J1072" t="inlineStr">
        <is>
          <t>BERNARDEAU</t>
        </is>
      </c>
      <c r="K1072" t="inlineStr">
        <is>
          <t>METAL</t>
        </is>
      </c>
      <c r="L1072">
        <f>_xlfn.XLOOKUP(Tableau1[[#This Row],[TYPE DE PIECE]],Tableau4[MATIERE],Tableau4[SHORT TYPE],"",0,1)</f>
        <v/>
      </c>
      <c r="N1072">
        <f>IF(ISERR(FIND("DECOUPE",Tableau1[[#This Row],[DESIGNATION]])),"","NEED REF")</f>
        <v/>
      </c>
    </row>
    <row r="1073">
      <c r="B1073" t="n">
        <v>34412929</v>
      </c>
      <c r="C1073" s="2" t="n">
        <v>45567</v>
      </c>
      <c r="D1073" t="inlineStr">
        <is>
          <t>SPEC</t>
        </is>
      </c>
      <c r="E1073" t="inlineStr">
        <is>
          <t>SAREL SFN H2000XL600XP800 + SKID + VENTILATION</t>
        </is>
      </c>
      <c r="F1073" t="inlineStr">
        <is>
          <t>COSTA CROCIERE</t>
        </is>
      </c>
      <c r="G1073" t="inlineStr">
        <is>
          <t>GVS</t>
        </is>
      </c>
      <c r="H1073" t="inlineStr">
        <is>
          <t>BYPASS</t>
        </is>
      </c>
      <c r="I1073" t="inlineStr">
        <is>
          <t>80KVA</t>
        </is>
      </c>
      <c r="J1073" t="inlineStr">
        <is>
          <t>BESSIERE</t>
        </is>
      </c>
      <c r="K1073" t="inlineStr">
        <is>
          <t>SAREL</t>
        </is>
      </c>
      <c r="L1073">
        <f>_xlfn.XLOOKUP(Tableau1[[#This Row],[TYPE DE PIECE]],Tableau4[MATIERE],Tableau4[SHORT TYPE],"",0,1)</f>
        <v/>
      </c>
      <c r="N1073">
        <f>IF(ISERR(FIND("DECOUPE",Tableau1[[#This Row],[DESIGNATION]])),"","NEED REF")</f>
        <v/>
      </c>
    </row>
    <row r="1074">
      <c r="B1074" t="n">
        <v>34412928</v>
      </c>
      <c r="C1074" s="2" t="n">
        <v>45567</v>
      </c>
      <c r="D1074" t="inlineStr">
        <is>
          <t>SPEC</t>
        </is>
      </c>
      <c r="E1074" t="inlineStr">
        <is>
          <t>DECOUPE GOULOTTE AK2GD2550 L360MM</t>
        </is>
      </c>
      <c r="J1074" t="inlineStr">
        <is>
          <t>BERNARDEAU</t>
        </is>
      </c>
      <c r="K1074" t="inlineStr">
        <is>
          <t>DECOUPE</t>
        </is>
      </c>
      <c r="L1074">
        <f>_xlfn.XLOOKUP(Tableau1[[#This Row],[TYPE DE PIECE]],Tableau4[MATIERE],Tableau4[SHORT TYPE],"",0,1)</f>
        <v/>
      </c>
      <c r="N1074" t="inlineStr">
        <is>
          <t>AK2GD2550</t>
        </is>
      </c>
    </row>
    <row r="1075">
      <c r="B1075" t="n">
        <v>34412927</v>
      </c>
      <c r="C1075" s="2" t="n">
        <v>45567</v>
      </c>
      <c r="D1075" t="inlineStr">
        <is>
          <t>SPEC</t>
        </is>
      </c>
      <c r="E1075" t="inlineStr">
        <is>
          <t>PLA 34412927 GVX UPS 1250KVA ETIQUETTE FEEDER BATTERY</t>
        </is>
      </c>
      <c r="F1075" t="inlineStr">
        <is>
          <t>INTERXION</t>
        </is>
      </c>
      <c r="G1075" t="inlineStr">
        <is>
          <t>GVX</t>
        </is>
      </c>
      <c r="H1075" t="inlineStr">
        <is>
          <t>UPS</t>
        </is>
      </c>
      <c r="I1075" t="inlineStr">
        <is>
          <t>1250KVA</t>
        </is>
      </c>
      <c r="J1075" t="inlineStr">
        <is>
          <t>MATRION</t>
        </is>
      </c>
      <c r="K1075" t="inlineStr">
        <is>
          <t>PLASTIQUE</t>
        </is>
      </c>
      <c r="L1075">
        <f>_xlfn.XLOOKUP(Tableau1[[#This Row],[TYPE DE PIECE]],Tableau4[MATIERE],Tableau4[SHORT TYPE],"",0,1)</f>
        <v/>
      </c>
      <c r="N1075">
        <f>IF(ISERR(FIND("DECOUPE",Tableau1[[#This Row],[DESIGNATION]])),"","NEED REF")</f>
        <v/>
      </c>
    </row>
    <row r="1076">
      <c r="B1076" t="n">
        <v>34412926</v>
      </c>
      <c r="C1076" s="2" t="n">
        <v>45567</v>
      </c>
      <c r="D1076" t="inlineStr">
        <is>
          <t>SPEC</t>
        </is>
      </c>
      <c r="E1076" t="inlineStr">
        <is>
          <t>PLA 34412926 GVX UPS 1250KVA ETIQUETTE FEEDER OUTPUT</t>
        </is>
      </c>
      <c r="F1076" t="inlineStr">
        <is>
          <t>INTERXION</t>
        </is>
      </c>
      <c r="G1076" t="inlineStr">
        <is>
          <t>GVX</t>
        </is>
      </c>
      <c r="H1076" t="inlineStr">
        <is>
          <t>UPS</t>
        </is>
      </c>
      <c r="I1076" t="inlineStr">
        <is>
          <t>1250KVA</t>
        </is>
      </c>
      <c r="J1076" t="inlineStr">
        <is>
          <t>MATRION</t>
        </is>
      </c>
      <c r="K1076" t="inlineStr">
        <is>
          <t>PLASTIQUE</t>
        </is>
      </c>
      <c r="L1076">
        <f>_xlfn.XLOOKUP(Tableau1[[#This Row],[TYPE DE PIECE]],Tableau4[MATIERE],Tableau4[SHORT TYPE],"",0,1)</f>
        <v/>
      </c>
      <c r="N1076">
        <f>IF(ISERR(FIND("DECOUPE",Tableau1[[#This Row],[DESIGNATION]])),"","NEED REF")</f>
        <v/>
      </c>
    </row>
    <row r="1077">
      <c r="B1077" t="n">
        <v>34412925</v>
      </c>
      <c r="C1077" s="2" t="n">
        <v>45567</v>
      </c>
      <c r="D1077" t="inlineStr">
        <is>
          <t>SPEC</t>
        </is>
      </c>
      <c r="E1077" t="inlineStr">
        <is>
          <t>PLA 34412925 GVX UPS 1250KVA ETIQUETTE FEEDER INPUT</t>
        </is>
      </c>
      <c r="F1077" t="inlineStr">
        <is>
          <t>INTERXION</t>
        </is>
      </c>
      <c r="G1077" t="inlineStr">
        <is>
          <t>GVX</t>
        </is>
      </c>
      <c r="H1077" t="inlineStr">
        <is>
          <t>UPS</t>
        </is>
      </c>
      <c r="I1077" t="inlineStr">
        <is>
          <t>1250KVA</t>
        </is>
      </c>
      <c r="J1077" t="inlineStr">
        <is>
          <t>MATRION</t>
        </is>
      </c>
      <c r="K1077" t="inlineStr">
        <is>
          <t>PLASTIQUE</t>
        </is>
      </c>
      <c r="L1077">
        <f>_xlfn.XLOOKUP(Tableau1[[#This Row],[TYPE DE PIECE]],Tableau4[MATIERE],Tableau4[SHORT TYPE],"",0,1)</f>
        <v/>
      </c>
      <c r="N1077">
        <f>IF(ISERR(FIND("DECOUPE",Tableau1[[#This Row],[DESIGNATION]])),"","NEED REF")</f>
        <v/>
      </c>
    </row>
    <row r="1078">
      <c r="B1078" t="n">
        <v>34412924</v>
      </c>
      <c r="C1078" s="2" t="n">
        <v>45566</v>
      </c>
      <c r="D1078" t="inlineStr">
        <is>
          <t>SPEC</t>
        </is>
      </c>
      <c r="E1078" t="inlineStr">
        <is>
          <t>WIR GVX IO 1250KVA FEEDER INPUT</t>
        </is>
      </c>
      <c r="F1078" t="inlineStr">
        <is>
          <t>=S= FR - Solution Center</t>
        </is>
      </c>
      <c r="G1078" t="inlineStr">
        <is>
          <t>GVX</t>
        </is>
      </c>
      <c r="H1078" t="inlineStr">
        <is>
          <t>UPS</t>
        </is>
      </c>
      <c r="I1078" t="inlineStr">
        <is>
          <t>1250KVA</t>
        </is>
      </c>
      <c r="J1078" t="inlineStr">
        <is>
          <t>JAWORSKI</t>
        </is>
      </c>
      <c r="K1078" t="inlineStr">
        <is>
          <t>FILERIE</t>
        </is>
      </c>
      <c r="L1078">
        <f>_xlfn.XLOOKUP(Tableau1[[#This Row],[TYPE DE PIECE]],Tableau4[MATIERE],Tableau4[SHORT TYPE],"",0,1)</f>
        <v/>
      </c>
      <c r="N1078">
        <f>IF(ISERR(FIND("DECOUPE",Tableau1[[#This Row],[DESIGNATION]])),"","NEED REF")</f>
        <v/>
      </c>
    </row>
    <row r="1079">
      <c r="B1079" s="135" t="n">
        <v>34412923</v>
      </c>
      <c r="C1079" s="138" t="n">
        <v>45565</v>
      </c>
      <c r="D1079" s="135" t="inlineStr">
        <is>
          <t>SPEC</t>
        </is>
      </c>
      <c r="E1079" s="135" t="inlineStr">
        <is>
          <t>PLA 34412923 GVX UPS 1250KVA CANON 89MM</t>
        </is>
      </c>
      <c r="F1079" s="135" t="inlineStr">
        <is>
          <t>=S= FR - Solution Center</t>
        </is>
      </c>
      <c r="G1079" s="135" t="inlineStr">
        <is>
          <t>GVX</t>
        </is>
      </c>
      <c r="H1079" s="135" t="inlineStr">
        <is>
          <t>UPS</t>
        </is>
      </c>
      <c r="I1079" s="135" t="inlineStr">
        <is>
          <t>1250KVA</t>
        </is>
      </c>
      <c r="J1079" s="135" t="inlineStr">
        <is>
          <t>JAWORSKI</t>
        </is>
      </c>
      <c r="K1079" s="135" t="inlineStr">
        <is>
          <t>PLASTIQUE</t>
        </is>
      </c>
      <c r="L1079" s="135">
        <f>_xlfn.XLOOKUP(Tableau1[[#This Row],[TYPE DE PIECE]],Tableau4[MATIERE],Tableau4[SHORT TYPE],"",0,1)</f>
        <v/>
      </c>
      <c r="N1079">
        <f>IF(ISERR(FIND("DECOUPE",Tableau1[[#This Row],[DESIGNATION]])),"","NEED REF")</f>
        <v/>
      </c>
    </row>
    <row r="1080">
      <c r="B1080" t="n">
        <v>34412922</v>
      </c>
      <c r="C1080" s="2" t="n">
        <v>45565</v>
      </c>
      <c r="D1080" t="inlineStr">
        <is>
          <t>SPEC</t>
        </is>
      </c>
      <c r="E1080" t="inlineStr">
        <is>
          <t>WIR GVX IO 1250KVA FEEDER OUTPUT</t>
        </is>
      </c>
      <c r="F1080" t="inlineStr">
        <is>
          <t>=S= FR - Solution Center</t>
        </is>
      </c>
      <c r="G1080" t="inlineStr">
        <is>
          <t>GVX</t>
        </is>
      </c>
      <c r="H1080" t="inlineStr">
        <is>
          <t>UPS</t>
        </is>
      </c>
      <c r="I1080" t="inlineStr">
        <is>
          <t>1250KVA</t>
        </is>
      </c>
      <c r="J1080" t="inlineStr">
        <is>
          <t>JAWORSKI</t>
        </is>
      </c>
      <c r="K1080" t="inlineStr">
        <is>
          <t>FILERIE</t>
        </is>
      </c>
      <c r="L1080">
        <f>_xlfn.XLOOKUP(Tableau1[[#This Row],[TYPE DE PIECE]],Tableau4[MATIERE],Tableau4[SHORT TYPE],"",0,1)</f>
        <v/>
      </c>
      <c r="N1080">
        <f>IF(ISERR(FIND("DECOUPE",Tableau1[[#This Row],[DESIGNATION]])),"","NEED REF")</f>
        <v/>
      </c>
    </row>
    <row r="1081">
      <c r="B1081" t="n">
        <v>34412921</v>
      </c>
      <c r="C1081" s="2" t="n">
        <v>45565</v>
      </c>
      <c r="D1081" t="inlineStr">
        <is>
          <t>SPEC</t>
        </is>
      </c>
      <c r="E1081" t="inlineStr">
        <is>
          <t>SMT CAPOT REHAUSSE LAT RAL9003</t>
        </is>
      </c>
      <c r="F1081" t="inlineStr">
        <is>
          <t>=S= FR - Solution Center</t>
        </is>
      </c>
      <c r="G1081" t="inlineStr">
        <is>
          <t>GVX</t>
        </is>
      </c>
      <c r="H1081" t="inlineStr">
        <is>
          <t>UPS</t>
        </is>
      </c>
      <c r="I1081" t="inlineStr">
        <is>
          <t>1250KVA</t>
        </is>
      </c>
      <c r="J1081" t="inlineStr">
        <is>
          <t>JAWORSKI</t>
        </is>
      </c>
      <c r="K1081" t="inlineStr">
        <is>
          <t>METAL</t>
        </is>
      </c>
      <c r="L1081">
        <f>_xlfn.XLOOKUP(Tableau1[[#This Row],[TYPE DE PIECE]],Tableau4[MATIERE],Tableau4[SHORT TYPE],"",0,1)</f>
        <v/>
      </c>
      <c r="N1081">
        <f>IF(ISERR(FIND("DECOUPE",Tableau1[[#This Row],[DESIGNATION]])),"","NEED REF")</f>
        <v/>
      </c>
    </row>
    <row r="1082">
      <c r="B1082" t="n">
        <v>34412920</v>
      </c>
      <c r="C1082" s="2" t="n">
        <v>45565</v>
      </c>
      <c r="D1082" t="inlineStr">
        <is>
          <t>SPEC</t>
        </is>
      </c>
      <c r="E1082" t="inlineStr">
        <is>
          <t>SMT CAPOT REHAUSSE FRONT RAL9003</t>
        </is>
      </c>
      <c r="F1082" t="inlineStr">
        <is>
          <t>=S= FR - Solution Center</t>
        </is>
      </c>
      <c r="G1082" t="inlineStr">
        <is>
          <t>GVX</t>
        </is>
      </c>
      <c r="H1082" t="inlineStr">
        <is>
          <t>UPS</t>
        </is>
      </c>
      <c r="I1082" t="inlineStr">
        <is>
          <t>1250KVA</t>
        </is>
      </c>
      <c r="J1082" t="inlineStr">
        <is>
          <t>JAWORSKI</t>
        </is>
      </c>
      <c r="K1082" t="inlineStr">
        <is>
          <t>METAL</t>
        </is>
      </c>
      <c r="L1082">
        <f>_xlfn.XLOOKUP(Tableau1[[#This Row],[TYPE DE PIECE]],Tableau4[MATIERE],Tableau4[SHORT TYPE],"",0,1)</f>
        <v/>
      </c>
      <c r="N1082">
        <f>IF(ISERR(FIND("DECOUPE",Tableau1[[#This Row],[DESIGNATION]])),"","NEED REF")</f>
        <v/>
      </c>
    </row>
    <row r="1083">
      <c r="B1083" t="n">
        <v>34412918</v>
      </c>
      <c r="C1083" s="2" t="n">
        <v>45565</v>
      </c>
      <c r="D1083" t="inlineStr">
        <is>
          <t>SPEC</t>
        </is>
      </c>
      <c r="E1083" t="inlineStr">
        <is>
          <t>PLA 34412918 GVX UPS 1250kVA PROTECTION OUTPUT</t>
        </is>
      </c>
      <c r="F1083" t="inlineStr">
        <is>
          <t>QJPR90823</t>
        </is>
      </c>
      <c r="G1083" t="inlineStr">
        <is>
          <t>GVX</t>
        </is>
      </c>
      <c r="H1083" t="inlineStr">
        <is>
          <t>UPS</t>
        </is>
      </c>
      <c r="I1083" t="inlineStr">
        <is>
          <t>1250kVA</t>
        </is>
      </c>
      <c r="J1083" t="inlineStr">
        <is>
          <t>BESSIERE</t>
        </is>
      </c>
      <c r="K1083" t="inlineStr">
        <is>
          <t>PLASTIQUE</t>
        </is>
      </c>
      <c r="L1083">
        <f>_xlfn.XLOOKUP(Tableau1[[#This Row],[TYPE DE PIECE]],Tableau4[MATIERE],Tableau4[SHORT TYPE],"",0,1)</f>
        <v/>
      </c>
      <c r="N1083">
        <f>IF(ISERR(FIND("DECOUPE",Tableau1[[#This Row],[DESIGNATION]])),"","NEED REF")</f>
        <v/>
      </c>
    </row>
    <row r="1084">
      <c r="B1084" t="n">
        <v>34412917</v>
      </c>
      <c r="C1084" s="2" t="n">
        <v>45562</v>
      </c>
      <c r="D1084" t="inlineStr">
        <is>
          <t>SPEC</t>
        </is>
      </c>
      <c r="E1084" t="inlineStr">
        <is>
          <t>COP PLAGE PONTAGE BATT2</t>
        </is>
      </c>
      <c r="F1084" t="inlineStr">
        <is>
          <t>QJPR90823</t>
        </is>
      </c>
      <c r="G1084" t="inlineStr">
        <is>
          <t>GVX</t>
        </is>
      </c>
      <c r="H1084" t="inlineStr">
        <is>
          <t>UPS</t>
        </is>
      </c>
      <c r="I1084" t="inlineStr">
        <is>
          <t>1500kVA</t>
        </is>
      </c>
      <c r="J1084" t="inlineStr">
        <is>
          <t>BESSIERE</t>
        </is>
      </c>
      <c r="K1084" t="inlineStr">
        <is>
          <t>CUIVRE</t>
        </is>
      </c>
      <c r="L1084">
        <f>_xlfn.XLOOKUP(Tableau1[[#This Row],[TYPE DE PIECE]],Tableau4[MATIERE],Tableau4[SHORT TYPE],"",0,1)</f>
        <v/>
      </c>
      <c r="N1084">
        <f>IF(ISERR(FIND("DECOUPE",Tableau1[[#This Row],[DESIGNATION]])),"","NEED REF")</f>
        <v/>
      </c>
    </row>
    <row r="1085">
      <c r="B1085" t="n">
        <v>34412916</v>
      </c>
      <c r="C1085" s="2" t="n">
        <v>45562</v>
      </c>
      <c r="D1085" t="inlineStr">
        <is>
          <t>SPEC</t>
        </is>
      </c>
      <c r="E1085" t="inlineStr">
        <is>
          <t>COP PLAGE PONTAGE BATT1</t>
        </is>
      </c>
      <c r="F1085" t="inlineStr">
        <is>
          <t>QJPR90823</t>
        </is>
      </c>
      <c r="G1085" t="inlineStr">
        <is>
          <t>GVX</t>
        </is>
      </c>
      <c r="H1085" t="inlineStr">
        <is>
          <t>UPS</t>
        </is>
      </c>
      <c r="I1085" t="inlineStr">
        <is>
          <t>1500kVA</t>
        </is>
      </c>
      <c r="J1085" t="inlineStr">
        <is>
          <t>BESSIERE</t>
        </is>
      </c>
      <c r="K1085" t="inlineStr">
        <is>
          <t>CUIVRE</t>
        </is>
      </c>
      <c r="L1085">
        <f>_xlfn.XLOOKUP(Tableau1[[#This Row],[TYPE DE PIECE]],Tableau4[MATIERE],Tableau4[SHORT TYPE],"",0,1)</f>
        <v/>
      </c>
      <c r="N1085">
        <f>IF(ISERR(FIND("DECOUPE",Tableau1[[#This Row],[DESIGNATION]])),"","NEED REF")</f>
        <v/>
      </c>
    </row>
    <row r="1086">
      <c r="B1086" t="n">
        <v>34412915</v>
      </c>
      <c r="C1086" s="2" t="n">
        <v>45562</v>
      </c>
      <c r="D1086" t="inlineStr">
        <is>
          <t>SPEC</t>
        </is>
      </c>
      <c r="E1086" t="inlineStr">
        <is>
          <t>SMT FIXATION VOLTADIS DC</t>
        </is>
      </c>
      <c r="F1086" t="inlineStr">
        <is>
          <t>QJPR90823</t>
        </is>
      </c>
      <c r="G1086" t="inlineStr">
        <is>
          <t>STM</t>
        </is>
      </c>
      <c r="H1086" t="inlineStr">
        <is>
          <t>UPS</t>
        </is>
      </c>
      <c r="I1086" t="inlineStr">
        <is>
          <t>1500kVA</t>
        </is>
      </c>
      <c r="J1086" t="inlineStr">
        <is>
          <t>BESSIERE</t>
        </is>
      </c>
      <c r="K1086" t="inlineStr">
        <is>
          <t>METAL</t>
        </is>
      </c>
      <c r="L1086">
        <f>_xlfn.XLOOKUP(Tableau1[[#This Row],[TYPE DE PIECE]],Tableau4[MATIERE],Tableau4[SHORT TYPE],"",0,1)</f>
        <v/>
      </c>
      <c r="N1086">
        <f>IF(ISERR(FIND("DECOUPE",Tableau1[[#This Row],[DESIGNATION]])),"","NEED REF")</f>
        <v/>
      </c>
    </row>
    <row r="1087">
      <c r="B1087" t="n">
        <v>34412914</v>
      </c>
      <c r="C1087" s="2" t="n">
        <v>45562</v>
      </c>
      <c r="D1087" t="inlineStr">
        <is>
          <t>SPEC</t>
        </is>
      </c>
      <c r="E1087" t="inlineStr">
        <is>
          <t>SMT 34412914 VOLTADIS OUTPUT ND BATT ROOF 1</t>
        </is>
      </c>
      <c r="F1087" t="inlineStr">
        <is>
          <t>QJPR90823</t>
        </is>
      </c>
      <c r="G1087" t="inlineStr">
        <is>
          <t>STM</t>
        </is>
      </c>
      <c r="H1087" t="inlineStr">
        <is>
          <t>UPS</t>
        </is>
      </c>
      <c r="I1087" t="inlineStr">
        <is>
          <t>1500kVA</t>
        </is>
      </c>
      <c r="J1087" t="inlineStr">
        <is>
          <t>BESSIERE</t>
        </is>
      </c>
      <c r="K1087" t="inlineStr">
        <is>
          <t>METAL</t>
        </is>
      </c>
      <c r="L1087">
        <f>_xlfn.XLOOKUP(Tableau1[[#This Row],[TYPE DE PIECE]],Tableau4[MATIERE],Tableau4[SHORT TYPE],"",0,1)</f>
        <v/>
      </c>
      <c r="N1087">
        <f>IF(ISERR(FIND("DECOUPE",Tableau1[[#This Row],[DESIGNATION]])),"","NEED REF")</f>
        <v/>
      </c>
    </row>
    <row r="1088">
      <c r="B1088" t="n">
        <v>34412913</v>
      </c>
      <c r="C1088" s="2" t="n">
        <v>45562</v>
      </c>
      <c r="D1088" t="inlineStr">
        <is>
          <t>SPEC</t>
        </is>
      </c>
      <c r="E1088" t="inlineStr">
        <is>
          <t>SMT 34412913 VOLTADIS OUTPUT ND BATT ROOF 2</t>
        </is>
      </c>
      <c r="F1088" t="inlineStr">
        <is>
          <t>QJPR90823</t>
        </is>
      </c>
      <c r="G1088" t="inlineStr">
        <is>
          <t>STM</t>
        </is>
      </c>
      <c r="H1088" t="inlineStr">
        <is>
          <t>UPS</t>
        </is>
      </c>
      <c r="I1088" t="inlineStr">
        <is>
          <t>1500kVA</t>
        </is>
      </c>
      <c r="J1088" t="inlineStr">
        <is>
          <t>BESSIERE</t>
        </is>
      </c>
      <c r="K1088" t="inlineStr">
        <is>
          <t>METAL</t>
        </is>
      </c>
      <c r="L1088">
        <f>_xlfn.XLOOKUP(Tableau1[[#This Row],[TYPE DE PIECE]],Tableau4[MATIERE],Tableau4[SHORT TYPE],"",0,1)</f>
        <v/>
      </c>
      <c r="N1088">
        <f>IF(ISERR(FIND("DECOUPE",Tableau1[[#This Row],[DESIGNATION]])),"","NEED REF")</f>
        <v/>
      </c>
    </row>
    <row r="1089">
      <c r="B1089" t="n">
        <v>34412912</v>
      </c>
      <c r="C1089" s="2" t="n">
        <v>45562</v>
      </c>
      <c r="D1089" t="inlineStr">
        <is>
          <t>SPEC</t>
        </is>
      </c>
      <c r="E1089">
        <f>_xlfn.CONCAT(Tableau1[[#This Row],[SHORT TYPE]]," ",Tableau1[[#This Row],[NUMERO]]," ",Tableau1[[#This Row],[GAMME]]," ",Tableau1[[#This Row],[TYPE PRODUIT]]," ",Tableau1[[#This Row],[PUISSANCE]])</f>
        <v/>
      </c>
      <c r="F1089" t="inlineStr">
        <is>
          <t>QJPR90823</t>
        </is>
      </c>
      <c r="G1089" t="inlineStr">
        <is>
          <t>GVX</t>
        </is>
      </c>
      <c r="H1089" t="inlineStr">
        <is>
          <t>UPS</t>
        </is>
      </c>
      <c r="I1089" t="inlineStr">
        <is>
          <t>1500kVA</t>
        </is>
      </c>
      <c r="J1089" t="inlineStr">
        <is>
          <t>BESSIERE</t>
        </is>
      </c>
      <c r="K1089" t="inlineStr">
        <is>
          <t>CUIVRE</t>
        </is>
      </c>
      <c r="L1089">
        <f>_xlfn.XLOOKUP(Tableau1[[#This Row],[TYPE DE PIECE]],Tableau4[MATIERE],Tableau4[SHORT TYPE],"",0,1)</f>
        <v/>
      </c>
      <c r="N1089">
        <f>IF(ISERR(FIND("DECOUPE",Tableau1[[#This Row],[DESIGNATION]])),"","NEED REF")</f>
        <v/>
      </c>
    </row>
    <row r="1090">
      <c r="B1090" t="n">
        <v>34412911</v>
      </c>
      <c r="C1090" s="2" t="n">
        <v>45562</v>
      </c>
      <c r="D1090" t="inlineStr">
        <is>
          <t>SPEC</t>
        </is>
      </c>
      <c r="E1090" t="inlineStr">
        <is>
          <t>PLA 34412911 GVX UPS 1250KVA CANON D14 99MM</t>
        </is>
      </c>
      <c r="G1090" t="inlineStr">
        <is>
          <t>GVX</t>
        </is>
      </c>
      <c r="H1090" t="inlineStr">
        <is>
          <t>UPS</t>
        </is>
      </c>
      <c r="I1090" t="inlineStr">
        <is>
          <t>1250KVA</t>
        </is>
      </c>
      <c r="J1090" t="inlineStr">
        <is>
          <t>MATRION</t>
        </is>
      </c>
      <c r="K1090" t="inlineStr">
        <is>
          <t>PLASTIQUE</t>
        </is>
      </c>
      <c r="L1090">
        <f>_xlfn.XLOOKUP(Tableau1[[#This Row],[TYPE DE PIECE]],Tableau4[MATIERE],Tableau4[SHORT TYPE],"",0,1)</f>
        <v/>
      </c>
      <c r="N1090">
        <f>IF(ISERR(FIND("DECOUPE",Tableau1[[#This Row],[DESIGNATION]])),"","NEED REF")</f>
        <v/>
      </c>
    </row>
    <row r="1091">
      <c r="B1091" t="n">
        <v>34412910</v>
      </c>
      <c r="C1091" s="2" t="n">
        <v>45562</v>
      </c>
      <c r="D1091" t="inlineStr">
        <is>
          <t>SPEC</t>
        </is>
      </c>
      <c r="E1091" t="inlineStr">
        <is>
          <t>STM 34412910 VOLTADIS INPUT ROOF 2</t>
        </is>
      </c>
      <c r="F1091" t="inlineStr">
        <is>
          <t>QJPR90823</t>
        </is>
      </c>
      <c r="G1091" t="inlineStr">
        <is>
          <t>STM</t>
        </is>
      </c>
      <c r="H1091" t="inlineStr">
        <is>
          <t>UPS</t>
        </is>
      </c>
      <c r="I1091" t="inlineStr">
        <is>
          <t>1500kVA</t>
        </is>
      </c>
      <c r="J1091" t="inlineStr">
        <is>
          <t>BESSIERE</t>
        </is>
      </c>
      <c r="K1091" t="inlineStr">
        <is>
          <t>METAL</t>
        </is>
      </c>
      <c r="L1091">
        <f>_xlfn.XLOOKUP(Tableau1[[#This Row],[TYPE DE PIECE]],Tableau4[MATIERE],Tableau4[SHORT TYPE],"",0,1)</f>
        <v/>
      </c>
      <c r="N1091">
        <f>IF(ISERR(FIND("DECOUPE",Tableau1[[#This Row],[DESIGNATION]])),"","NEED REF")</f>
        <v/>
      </c>
    </row>
    <row r="1092">
      <c r="B1092" t="n">
        <v>34412909</v>
      </c>
      <c r="C1092" s="2" t="n">
        <v>45562</v>
      </c>
      <c r="D1092" t="inlineStr">
        <is>
          <t>SPEC</t>
        </is>
      </c>
      <c r="E1092" t="inlineStr">
        <is>
          <t>STM 34412909 VOLTADIS INPUT ROOF 1</t>
        </is>
      </c>
      <c r="F1092" t="inlineStr">
        <is>
          <t>QJPR90823</t>
        </is>
      </c>
      <c r="G1092" t="inlineStr">
        <is>
          <t>STM</t>
        </is>
      </c>
      <c r="H1092" t="inlineStr">
        <is>
          <t>UPS</t>
        </is>
      </c>
      <c r="I1092" t="inlineStr">
        <is>
          <t>1500kVA</t>
        </is>
      </c>
      <c r="J1092" t="inlineStr">
        <is>
          <t>BESSIERE</t>
        </is>
      </c>
      <c r="K1092" t="inlineStr">
        <is>
          <t>METAL</t>
        </is>
      </c>
      <c r="L1092">
        <f>_xlfn.XLOOKUP(Tableau1[[#This Row],[TYPE DE PIECE]],Tableau4[MATIERE],Tableau4[SHORT TYPE],"",0,1)</f>
        <v/>
      </c>
      <c r="N1092">
        <f>IF(ISERR(FIND("DECOUPE",Tableau1[[#This Row],[DESIGNATION]])),"","NEED REF")</f>
        <v/>
      </c>
    </row>
    <row r="1093">
      <c r="B1093" t="n">
        <v>34412908</v>
      </c>
      <c r="C1093" s="2" t="n">
        <v>45562</v>
      </c>
      <c r="D1093" t="inlineStr">
        <is>
          <t>SPEC</t>
        </is>
      </c>
      <c r="E1093" t="inlineStr">
        <is>
          <t>PLA 34412908 GVX UPS 1250KVA CANON D14 109MM</t>
        </is>
      </c>
      <c r="G1093" t="inlineStr">
        <is>
          <t>GVX</t>
        </is>
      </c>
      <c r="H1093" t="inlineStr">
        <is>
          <t>UPS</t>
        </is>
      </c>
      <c r="I1093" t="inlineStr">
        <is>
          <t>1250KVA</t>
        </is>
      </c>
      <c r="J1093" t="inlineStr">
        <is>
          <t>MATRION</t>
        </is>
      </c>
      <c r="K1093" t="inlineStr">
        <is>
          <t>PLASTIQUE</t>
        </is>
      </c>
      <c r="L1093">
        <f>_xlfn.XLOOKUP(Tableau1[[#This Row],[TYPE DE PIECE]],Tableau4[MATIERE],Tableau4[SHORT TYPE],"",0,1)</f>
        <v/>
      </c>
      <c r="N1093">
        <f>IF(ISERR(FIND("DECOUPE",Tableau1[[#This Row],[DESIGNATION]])),"","NEED REF")</f>
        <v/>
      </c>
    </row>
    <row r="1094">
      <c r="B1094" t="n">
        <v>34412907</v>
      </c>
      <c r="C1094" s="2" t="n">
        <v>45562</v>
      </c>
      <c r="D1094" t="inlineStr">
        <is>
          <t>SPEC</t>
        </is>
      </c>
      <c r="E1094" t="inlineStr">
        <is>
          <t>PLA 34412907 GVX UPS 1250KVA TIGE FILETE M12 435MM</t>
        </is>
      </c>
      <c r="G1094" t="inlineStr">
        <is>
          <t>GVX</t>
        </is>
      </c>
      <c r="H1094" t="inlineStr">
        <is>
          <t>UPS</t>
        </is>
      </c>
      <c r="I1094" t="inlineStr">
        <is>
          <t>1250KVA</t>
        </is>
      </c>
      <c r="J1094" t="inlineStr">
        <is>
          <t>MATRION</t>
        </is>
      </c>
      <c r="K1094" t="inlineStr">
        <is>
          <t>PLASTIQUE</t>
        </is>
      </c>
      <c r="L1094">
        <f>_xlfn.XLOOKUP(Tableau1[[#This Row],[TYPE DE PIECE]],Tableau4[MATIERE],Tableau4[SHORT TYPE],"",0,1)</f>
        <v/>
      </c>
      <c r="N1094">
        <f>IF(ISERR(FIND("DECOUPE",Tableau1[[#This Row],[DESIGNATION]])),"","NEED REF")</f>
        <v/>
      </c>
    </row>
    <row r="1095">
      <c r="B1095" t="n">
        <v>34412906</v>
      </c>
      <c r="C1095" s="2" t="n">
        <v>45562</v>
      </c>
      <c r="D1095" t="inlineStr">
        <is>
          <t>SPEC</t>
        </is>
      </c>
      <c r="E1095" t="inlineStr">
        <is>
          <t>PLA 34412906 GVX UPS 1250KVA CANON D14 105MM</t>
        </is>
      </c>
      <c r="G1095" t="inlineStr">
        <is>
          <t>GVX</t>
        </is>
      </c>
      <c r="H1095" t="inlineStr">
        <is>
          <t>UPS</t>
        </is>
      </c>
      <c r="I1095" t="inlineStr">
        <is>
          <t>1250KVA</t>
        </is>
      </c>
      <c r="J1095" t="inlineStr">
        <is>
          <t>MATRION</t>
        </is>
      </c>
      <c r="K1095" t="inlineStr">
        <is>
          <t>PLASTIQUE</t>
        </is>
      </c>
      <c r="L1095">
        <f>_xlfn.XLOOKUP(Tableau1[[#This Row],[TYPE DE PIECE]],Tableau4[MATIERE],Tableau4[SHORT TYPE],"",0,1)</f>
        <v/>
      </c>
      <c r="N1095">
        <f>IF(ISERR(FIND("DECOUPE",Tableau1[[#This Row],[DESIGNATION]])),"","NEED REF")</f>
        <v/>
      </c>
    </row>
    <row r="1096">
      <c r="B1096" t="n">
        <v>34412905</v>
      </c>
      <c r="C1096" s="2" t="n">
        <v>45562</v>
      </c>
      <c r="D1096" t="inlineStr">
        <is>
          <t>SPEC</t>
        </is>
      </c>
      <c r="E1096">
        <f>_xlfn.CONCAT(Tableau1[[#This Row],[SHORT TYPE]]," ",Tableau1[[#This Row],[NUMERO]]," ",Tableau1[[#This Row],[GAMME]]," ",Tableau1[[#This Row],[TYPE PRODUIT]]," ",Tableau1[[#This Row],[PUISSANCE]])</f>
        <v/>
      </c>
      <c r="F1096" t="inlineStr">
        <is>
          <t>QJPR90823</t>
        </is>
      </c>
      <c r="G1096" t="inlineStr">
        <is>
          <t>GVX</t>
        </is>
      </c>
      <c r="H1096" t="inlineStr">
        <is>
          <t>UPS</t>
        </is>
      </c>
      <c r="I1096" t="inlineStr">
        <is>
          <t>1500kVA</t>
        </is>
      </c>
      <c r="J1096" t="inlineStr">
        <is>
          <t>BESSIERE</t>
        </is>
      </c>
      <c r="K1096" t="inlineStr">
        <is>
          <t>CUIVRE</t>
        </is>
      </c>
      <c r="L1096">
        <f>_xlfn.XLOOKUP(Tableau1[[#This Row],[TYPE DE PIECE]],Tableau4[MATIERE],Tableau4[SHORT TYPE],"",0,1)</f>
        <v/>
      </c>
      <c r="N1096">
        <f>IF(ISERR(FIND("DECOUPE",Tableau1[[#This Row],[DESIGNATION]])),"","NEED REF")</f>
        <v/>
      </c>
    </row>
    <row r="1097">
      <c r="B1097" t="n">
        <v>34412904</v>
      </c>
      <c r="C1097" s="2" t="n">
        <v>45561</v>
      </c>
      <c r="D1097" t="inlineStr">
        <is>
          <t>SPEC</t>
        </is>
      </c>
      <c r="E1097" t="inlineStr">
        <is>
          <t>COP LIAISON INPUT PHASE</t>
        </is>
      </c>
      <c r="F1097" t="inlineStr">
        <is>
          <t>=S= FR - Solution Center</t>
        </is>
      </c>
      <c r="G1097" t="inlineStr">
        <is>
          <t>GVX</t>
        </is>
      </c>
      <c r="H1097" t="inlineStr">
        <is>
          <t>UPS</t>
        </is>
      </c>
      <c r="I1097" t="inlineStr">
        <is>
          <t>1250KVA</t>
        </is>
      </c>
      <c r="J1097" t="inlineStr">
        <is>
          <t>JAWORSKI</t>
        </is>
      </c>
      <c r="K1097" t="inlineStr">
        <is>
          <t>CUIVRE</t>
        </is>
      </c>
      <c r="L1097">
        <f>_xlfn.XLOOKUP(Tableau1[[#This Row],[TYPE DE PIECE]],Tableau4[MATIERE],Tableau4[SHORT TYPE],"",0,1)</f>
        <v/>
      </c>
      <c r="N1097">
        <f>IF(ISERR(FIND("DECOUPE",Tableau1[[#This Row],[DESIGNATION]])),"","NEED REF")</f>
        <v/>
      </c>
    </row>
    <row r="1098">
      <c r="B1098" t="n">
        <v>34412903</v>
      </c>
      <c r="C1098" s="2" t="n">
        <v>45561</v>
      </c>
      <c r="D1098" t="inlineStr">
        <is>
          <t>SPEC</t>
        </is>
      </c>
      <c r="E1098" t="inlineStr">
        <is>
          <t>COP LIAISON IN/OUT PEN</t>
        </is>
      </c>
      <c r="F1098" t="inlineStr">
        <is>
          <t>=S= FR - Solution Center</t>
        </is>
      </c>
      <c r="G1098" t="inlineStr">
        <is>
          <t>GVX</t>
        </is>
      </c>
      <c r="H1098" t="inlineStr">
        <is>
          <t>UPS</t>
        </is>
      </c>
      <c r="I1098" t="inlineStr">
        <is>
          <t>1250KVA</t>
        </is>
      </c>
      <c r="J1098" t="inlineStr">
        <is>
          <t>JAWORSKI</t>
        </is>
      </c>
      <c r="K1098" t="inlineStr">
        <is>
          <t>CUIVRE</t>
        </is>
      </c>
      <c r="L1098">
        <f>_xlfn.XLOOKUP(Tableau1[[#This Row],[TYPE DE PIECE]],Tableau4[MATIERE],Tableau4[SHORT TYPE],"",0,1)</f>
        <v/>
      </c>
      <c r="N1098">
        <f>IF(ISERR(FIND("DECOUPE",Tableau1[[#This Row],[DESIGNATION]])),"","NEED REF")</f>
        <v/>
      </c>
    </row>
    <row r="1099">
      <c r="B1099" t="n">
        <v>34412902</v>
      </c>
      <c r="C1099" s="2" t="n">
        <v>45561</v>
      </c>
      <c r="D1099" t="inlineStr">
        <is>
          <t>SPEC</t>
        </is>
      </c>
      <c r="E1099" t="inlineStr">
        <is>
          <t>PLA PROTECTION DIEL REHAUSSE</t>
        </is>
      </c>
      <c r="F1099" t="inlineStr">
        <is>
          <t>=S= FR - Solution Center</t>
        </is>
      </c>
      <c r="G1099" t="inlineStr">
        <is>
          <t>GVX</t>
        </is>
      </c>
      <c r="H1099" t="inlineStr">
        <is>
          <t>UPS</t>
        </is>
      </c>
      <c r="I1099" t="inlineStr">
        <is>
          <t>1250KVA</t>
        </is>
      </c>
      <c r="J1099" t="inlineStr">
        <is>
          <t>JAWORSKI</t>
        </is>
      </c>
      <c r="K1099" t="inlineStr">
        <is>
          <t>PLASTIQUE</t>
        </is>
      </c>
      <c r="L1099">
        <f>_xlfn.XLOOKUP(Tableau1[[#This Row],[TYPE DE PIECE]],Tableau4[MATIERE],Tableau4[SHORT TYPE],"",0,1)</f>
        <v/>
      </c>
      <c r="N1099">
        <f>IF(ISERR(FIND("DECOUPE",Tableau1[[#This Row],[DESIGNATION]])),"","NEED REF")</f>
        <v/>
      </c>
    </row>
    <row r="1100">
      <c r="B1100" t="n">
        <v>34412901</v>
      </c>
      <c r="C1100" s="2" t="n">
        <v>45561</v>
      </c>
      <c r="D1100" t="inlineStr">
        <is>
          <t>SPEC</t>
        </is>
      </c>
      <c r="E1100" t="inlineStr">
        <is>
          <t>SMT SUPPORT SOUS TOIT 2</t>
        </is>
      </c>
      <c r="F1100" t="inlineStr">
        <is>
          <t>=S= FR - Solution Center</t>
        </is>
      </c>
      <c r="G1100" t="inlineStr">
        <is>
          <t>GVX</t>
        </is>
      </c>
      <c r="H1100" t="inlineStr">
        <is>
          <t>UPS</t>
        </is>
      </c>
      <c r="I1100" t="inlineStr">
        <is>
          <t>1250KVA</t>
        </is>
      </c>
      <c r="J1100" t="inlineStr">
        <is>
          <t>JAWORSKI</t>
        </is>
      </c>
      <c r="K1100" t="inlineStr">
        <is>
          <t>METAL</t>
        </is>
      </c>
      <c r="L1100">
        <f>_xlfn.XLOOKUP(Tableau1[[#This Row],[TYPE DE PIECE]],Tableau4[MATIERE],Tableau4[SHORT TYPE],"",0,1)</f>
        <v/>
      </c>
      <c r="N1100">
        <f>IF(ISERR(FIND("DECOUPE",Tableau1[[#This Row],[DESIGNATION]])),"","NEED REF")</f>
        <v/>
      </c>
    </row>
    <row r="1101">
      <c r="B1101" s="135" t="n">
        <v>34412900</v>
      </c>
      <c r="C1101" s="138" t="n">
        <v>45561</v>
      </c>
      <c r="D1101" s="135" t="inlineStr">
        <is>
          <t>SPEC</t>
        </is>
      </c>
      <c r="E1101" s="135" t="inlineStr">
        <is>
          <t>SMT SUPPORT SOUS TOIT 1</t>
        </is>
      </c>
      <c r="F1101" s="139" t="inlineStr">
        <is>
          <t>=S= FR - Solution Center</t>
        </is>
      </c>
      <c r="G1101" s="135" t="inlineStr">
        <is>
          <t>GVX</t>
        </is>
      </c>
      <c r="H1101" s="135" t="inlineStr">
        <is>
          <t>UPS</t>
        </is>
      </c>
      <c r="I1101" s="135" t="inlineStr">
        <is>
          <t>1250KVA</t>
        </is>
      </c>
      <c r="J1101" s="135" t="inlineStr">
        <is>
          <t>JAWORSKI</t>
        </is>
      </c>
      <c r="K1101" s="135" t="inlineStr">
        <is>
          <t>METAL</t>
        </is>
      </c>
      <c r="L1101" s="135">
        <f>_xlfn.XLOOKUP(Tableau1[[#This Row],[TYPE DE PIECE]],Tableau4[MATIERE],Tableau4[SHORT TYPE],"",0,1)</f>
        <v/>
      </c>
      <c r="N1101">
        <f>IF(ISERR(FIND("DECOUPE",Tableau1[[#This Row],[DESIGNATION]])),"","NEED REF")</f>
        <v/>
      </c>
    </row>
    <row r="1102">
      <c r="B1102" t="n">
        <v>34412899</v>
      </c>
      <c r="C1102" s="2" t="n">
        <v>45555</v>
      </c>
      <c r="D1102" t="inlineStr">
        <is>
          <t>SPEC</t>
        </is>
      </c>
      <c r="E1102">
        <f>_xlfn.CONCAT(Tableau1[[#This Row],[SHORT TYPE]]," ",Tableau1[[#This Row],[NUMERO]]," ",Tableau1[[#This Row],[GAMME]]," ",Tableau1[[#This Row],[TYPE PRODUIT]]," ",Tableau1[[#This Row],[PUISSANCE]])</f>
        <v/>
      </c>
      <c r="G1102" t="inlineStr">
        <is>
          <t>GVX</t>
        </is>
      </c>
      <c r="H1102" t="inlineStr">
        <is>
          <t>UPS</t>
        </is>
      </c>
      <c r="I1102" t="inlineStr">
        <is>
          <t>1500kVA</t>
        </is>
      </c>
      <c r="J1102" t="inlineStr">
        <is>
          <t>MATRION</t>
        </is>
      </c>
      <c r="K1102" t="inlineStr">
        <is>
          <t>CUIVRE</t>
        </is>
      </c>
      <c r="L1102">
        <f>_xlfn.XLOOKUP(Tableau1[[#This Row],[TYPE DE PIECE]],Tableau4[MATIERE],Tableau4[SHORT TYPE],"",0,1)</f>
        <v/>
      </c>
      <c r="N1102">
        <f>IF(ISERR(FIND("DECOUPE",Tableau1[[#This Row],[DESIGNATION]])),"","NEED REF")</f>
        <v/>
      </c>
    </row>
    <row r="1103">
      <c r="B1103" t="n">
        <v>34412898</v>
      </c>
      <c r="C1103" s="2" t="n">
        <v>45555</v>
      </c>
      <c r="D1103" t="inlineStr">
        <is>
          <t>SPEC</t>
        </is>
      </c>
      <c r="E1103">
        <f>_xlfn.CONCAT(Tableau1[[#This Row],[SHORT TYPE]]," ",Tableau1[[#This Row],[NUMERO]]," ",Tableau1[[#This Row],[GAMME]]," ",Tableau1[[#This Row],[TYPE PRODUIT]]," ",Tableau1[[#This Row],[PUISSANCE]])</f>
        <v/>
      </c>
      <c r="G1103" t="inlineStr">
        <is>
          <t>GVX</t>
        </is>
      </c>
      <c r="H1103" t="inlineStr">
        <is>
          <t>UPS</t>
        </is>
      </c>
      <c r="I1103" t="inlineStr">
        <is>
          <t>1500kVA</t>
        </is>
      </c>
      <c r="J1103" t="inlineStr">
        <is>
          <t>MATRION</t>
        </is>
      </c>
      <c r="K1103" t="inlineStr">
        <is>
          <t>CUIVRE</t>
        </is>
      </c>
      <c r="L1103">
        <f>_xlfn.XLOOKUP(Tableau1[[#This Row],[TYPE DE PIECE]],Tableau4[MATIERE],Tableau4[SHORT TYPE],"",0,1)</f>
        <v/>
      </c>
      <c r="N1103">
        <f>IF(ISERR(FIND("DECOUPE",Tableau1[[#This Row],[DESIGNATION]])),"","NEED REF")</f>
        <v/>
      </c>
    </row>
    <row r="1104">
      <c r="B1104" t="n">
        <v>34412897</v>
      </c>
      <c r="C1104" s="2" t="n">
        <v>45555</v>
      </c>
      <c r="D1104" t="inlineStr">
        <is>
          <t>SPEC</t>
        </is>
      </c>
      <c r="E1104">
        <f>_xlfn.CONCAT(Tableau1[[#This Row],[SHORT TYPE]]," ",Tableau1[[#This Row],[NUMERO]]," ",Tableau1[[#This Row],[GAMME]]," ",Tableau1[[#This Row],[TYPE PRODUIT]]," ",Tableau1[[#This Row],[PUISSANCE]])</f>
        <v/>
      </c>
      <c r="G1104" t="inlineStr">
        <is>
          <t>GVX</t>
        </is>
      </c>
      <c r="H1104" t="inlineStr">
        <is>
          <t>UPS</t>
        </is>
      </c>
      <c r="I1104" t="inlineStr">
        <is>
          <t>1500kVA</t>
        </is>
      </c>
      <c r="J1104" t="inlineStr">
        <is>
          <t>MATRION</t>
        </is>
      </c>
      <c r="K1104" t="inlineStr">
        <is>
          <t>CUIVRE</t>
        </is>
      </c>
      <c r="L1104">
        <f>_xlfn.XLOOKUP(Tableau1[[#This Row],[TYPE DE PIECE]],Tableau4[MATIERE],Tableau4[SHORT TYPE],"",0,1)</f>
        <v/>
      </c>
      <c r="N1104">
        <f>IF(ISERR(FIND("DECOUPE",Tableau1[[#This Row],[DESIGNATION]])),"","NEED REF")</f>
        <v/>
      </c>
    </row>
    <row r="1105">
      <c r="B1105" t="n">
        <v>34412896</v>
      </c>
      <c r="C1105" s="2" t="n">
        <v>45553</v>
      </c>
      <c r="D1105" t="inlineStr">
        <is>
          <t>SPEC</t>
        </is>
      </c>
      <c r="E1105">
        <f>_xlfn.CONCAT(Tableau1[[#This Row],[SHORT TYPE]]," ",Tableau1[[#This Row],[NUMERO]]," ",Tableau1[[#This Row],[GAMME]]," ",Tableau1[[#This Row],[TYPE PRODUIT]]," ",Tableau1[[#This Row],[PUISSANCE]])</f>
        <v/>
      </c>
      <c r="G1105" t="inlineStr">
        <is>
          <t>GVX</t>
        </is>
      </c>
      <c r="H1105" t="inlineStr">
        <is>
          <t>UPS</t>
        </is>
      </c>
      <c r="I1105" t="inlineStr">
        <is>
          <t>1500kVA</t>
        </is>
      </c>
      <c r="J1105" t="inlineStr">
        <is>
          <t>MATRION</t>
        </is>
      </c>
      <c r="K1105" t="inlineStr">
        <is>
          <t>CUIVRE</t>
        </is>
      </c>
      <c r="L1105">
        <f>_xlfn.XLOOKUP(Tableau1[[#This Row],[TYPE DE PIECE]],Tableau4[MATIERE],Tableau4[SHORT TYPE],"",0,1)</f>
        <v/>
      </c>
      <c r="N1105">
        <f>IF(ISERR(FIND("DECOUPE",Tableau1[[#This Row],[DESIGNATION]])),"","NEED REF")</f>
        <v/>
      </c>
    </row>
    <row r="1106">
      <c r="B1106" t="n">
        <v>34412895</v>
      </c>
      <c r="C1106" s="2" t="n">
        <v>45553</v>
      </c>
      <c r="D1106" t="inlineStr">
        <is>
          <t>SPEC</t>
        </is>
      </c>
      <c r="E1106">
        <f>_xlfn.CONCAT(Tableau1[[#This Row],[SHORT TYPE]]," ",Tableau1[[#This Row],[NUMERO]]," ",Tableau1[[#This Row],[GAMME]]," ",Tableau1[[#This Row],[TYPE PRODUIT]]," ",Tableau1[[#This Row],[PUISSANCE]])</f>
        <v/>
      </c>
      <c r="F1106" t="inlineStr">
        <is>
          <t>FOXWAY</t>
        </is>
      </c>
      <c r="G1106" t="inlineStr">
        <is>
          <t>GVX</t>
        </is>
      </c>
      <c r="H1106" t="inlineStr">
        <is>
          <t>IO1250</t>
        </is>
      </c>
      <c r="I1106" t="inlineStr">
        <is>
          <t>1250KVA</t>
        </is>
      </c>
      <c r="J1106" t="inlineStr">
        <is>
          <t>JAWORSKI</t>
        </is>
      </c>
      <c r="K1106" t="inlineStr">
        <is>
          <t>ETIQUETTE</t>
        </is>
      </c>
      <c r="L1106">
        <f>_xlfn.XLOOKUP(Tableau1[[#This Row],[TYPE DE PIECE]],Tableau4[MATIERE],Tableau4[SHORT TYPE],"",0,1)</f>
        <v/>
      </c>
      <c r="N1106">
        <f>IF(ISERR(FIND("DECOUPE",Tableau1[[#This Row],[DESIGNATION]])),"","NEED REF")</f>
        <v/>
      </c>
    </row>
    <row r="1107">
      <c r="B1107" t="n">
        <v>34412894</v>
      </c>
      <c r="C1107" s="2" t="n">
        <v>45553</v>
      </c>
      <c r="D1107" t="inlineStr">
        <is>
          <t>SPEC</t>
        </is>
      </c>
      <c r="E1107">
        <f>_xlfn.CONCAT(Tableau1[[#This Row],[SHORT TYPE]]," ",Tableau1[[#This Row],[NUMERO]]," ",Tableau1[[#This Row],[GAMME]]," ",Tableau1[[#This Row],[TYPE PRODUIT]]," ",Tableau1[[#This Row],[PUISSANCE]])</f>
        <v/>
      </c>
      <c r="G1107" t="inlineStr">
        <is>
          <t>GVX</t>
        </is>
      </c>
      <c r="H1107" t="inlineStr">
        <is>
          <t>UPS</t>
        </is>
      </c>
      <c r="I1107" t="inlineStr">
        <is>
          <t>1500kVA</t>
        </is>
      </c>
      <c r="J1107" t="inlineStr">
        <is>
          <t>MATRION</t>
        </is>
      </c>
      <c r="K1107" t="inlineStr">
        <is>
          <t>METAL</t>
        </is>
      </c>
      <c r="L1107">
        <f>_xlfn.XLOOKUP(Tableau1[[#This Row],[TYPE DE PIECE]],Tableau4[MATIERE],Tableau4[SHORT TYPE],"",0,1)</f>
        <v/>
      </c>
      <c r="N1107">
        <f>IF(ISERR(FIND("DECOUPE",Tableau1[[#This Row],[DESIGNATION]])),"","NEED REF")</f>
        <v/>
      </c>
    </row>
    <row r="1108">
      <c r="B1108" t="n">
        <v>34412893</v>
      </c>
      <c r="C1108" s="2" t="n">
        <v>45553</v>
      </c>
      <c r="D1108" t="inlineStr">
        <is>
          <t>SPEC</t>
        </is>
      </c>
      <c r="E1108">
        <f>_xlfn.CONCAT(Tableau1[[#This Row],[SHORT TYPE]]," ",Tableau1[[#This Row],[NUMERO]]," ",Tableau1[[#This Row],[GAMME]]," ",Tableau1[[#This Row],[TYPE PRODUIT]]," ",Tableau1[[#This Row],[PUISSANCE]])</f>
        <v/>
      </c>
      <c r="F1108" t="inlineStr">
        <is>
          <t>FOXWAY</t>
        </is>
      </c>
      <c r="G1108" t="inlineStr">
        <is>
          <t>GVX</t>
        </is>
      </c>
      <c r="H1108" t="inlineStr">
        <is>
          <t>IO1250</t>
        </is>
      </c>
      <c r="I1108" t="inlineStr">
        <is>
          <t>1250KVA</t>
        </is>
      </c>
      <c r="J1108" t="inlineStr">
        <is>
          <t>JAWORSKI</t>
        </is>
      </c>
      <c r="K1108" t="inlineStr">
        <is>
          <t>ETIQUETTE</t>
        </is>
      </c>
      <c r="L1108">
        <f>_xlfn.XLOOKUP(Tableau1[[#This Row],[TYPE DE PIECE]],Tableau4[MATIERE],Tableau4[SHORT TYPE],"",0,1)</f>
        <v/>
      </c>
      <c r="N1108">
        <f>IF(ISERR(FIND("DECOUPE",Tableau1[[#This Row],[DESIGNATION]])),"","NEED REF")</f>
        <v/>
      </c>
    </row>
    <row r="1109">
      <c r="B1109" t="n">
        <v>34412892</v>
      </c>
      <c r="C1109" s="2" t="n">
        <v>45553</v>
      </c>
      <c r="D1109" t="inlineStr">
        <is>
          <t>SPEC</t>
        </is>
      </c>
      <c r="E1109">
        <f>_xlfn.CONCAT(Tableau1[[#This Row],[SHORT TYPE]]," ",Tableau1[[#This Row],[NUMERO]]," ",Tableau1[[#This Row],[GAMME]]," ",Tableau1[[#This Row],[TYPE PRODUIT]]," ",Tableau1[[#This Row],[PUISSANCE]])</f>
        <v/>
      </c>
      <c r="G1109" t="inlineStr">
        <is>
          <t>GVX</t>
        </is>
      </c>
      <c r="H1109" t="inlineStr">
        <is>
          <t>UPS</t>
        </is>
      </c>
      <c r="I1109" t="inlineStr">
        <is>
          <t>1500kVA</t>
        </is>
      </c>
      <c r="J1109" t="inlineStr">
        <is>
          <t>MATRION</t>
        </is>
      </c>
      <c r="K1109" t="inlineStr">
        <is>
          <t>METAL</t>
        </is>
      </c>
      <c r="L1109">
        <f>_xlfn.XLOOKUP(Tableau1[[#This Row],[TYPE DE PIECE]],Tableau4[MATIERE],Tableau4[SHORT TYPE],"",0,1)</f>
        <v/>
      </c>
      <c r="N1109">
        <f>IF(ISERR(FIND("DECOUPE",Tableau1[[#This Row],[DESIGNATION]])),"","NEED REF")</f>
        <v/>
      </c>
    </row>
    <row r="1110">
      <c r="B1110" t="n">
        <v>34412891</v>
      </c>
      <c r="C1110" s="2" t="n">
        <v>45553</v>
      </c>
      <c r="D1110" t="inlineStr">
        <is>
          <t>SPEC</t>
        </is>
      </c>
      <c r="E1110">
        <f>_xlfn.CONCAT(Tableau1[[#This Row],[SHORT TYPE]]," ",Tableau1[[#This Row],[NUMERO]]," ",Tableau1[[#This Row],[GAMME]]," ",Tableau1[[#This Row],[TYPE PRODUIT]]," ",Tableau1[[#This Row],[PUISSANCE]])</f>
        <v/>
      </c>
      <c r="G1110" t="inlineStr">
        <is>
          <t>GVX</t>
        </is>
      </c>
      <c r="H1110" t="inlineStr">
        <is>
          <t>UPS</t>
        </is>
      </c>
      <c r="I1110" t="inlineStr">
        <is>
          <t>1500kVA</t>
        </is>
      </c>
      <c r="J1110" t="inlineStr">
        <is>
          <t>MATRION</t>
        </is>
      </c>
      <c r="K1110" t="inlineStr">
        <is>
          <t>METAL</t>
        </is>
      </c>
      <c r="L1110">
        <f>_xlfn.XLOOKUP(Tableau1[[#This Row],[TYPE DE PIECE]],Tableau4[MATIERE],Tableau4[SHORT TYPE],"",0,1)</f>
        <v/>
      </c>
      <c r="N1110">
        <f>IF(ISERR(FIND("DECOUPE",Tableau1[[#This Row],[DESIGNATION]])),"","NEED REF")</f>
        <v/>
      </c>
    </row>
    <row r="1111">
      <c r="B1111" t="n">
        <v>34412890</v>
      </c>
      <c r="C1111" s="2" t="n">
        <v>45553</v>
      </c>
      <c r="D1111" t="inlineStr">
        <is>
          <t>SPEC</t>
        </is>
      </c>
      <c r="E1111" t="inlineStr">
        <is>
          <t>SMT PLATINE DE FOND REGENBOX 50A</t>
        </is>
      </c>
      <c r="G1111" t="inlineStr">
        <is>
          <t>E3S</t>
        </is>
      </c>
      <c r="H1111" t="inlineStr">
        <is>
          <t>REGEN</t>
        </is>
      </c>
      <c r="J1111" t="inlineStr">
        <is>
          <t>BERNARDEAU</t>
        </is>
      </c>
      <c r="K1111" t="inlineStr">
        <is>
          <t>METAL</t>
        </is>
      </c>
      <c r="L1111">
        <f>_xlfn.XLOOKUP(Tableau1[[#This Row],[TYPE DE PIECE]],Tableau4[MATIERE],Tableau4[SHORT TYPE],"",0,1)</f>
        <v/>
      </c>
      <c r="N1111">
        <f>IF(ISERR(FIND("DECOUPE",Tableau1[[#This Row],[DESIGNATION]])),"","NEED REF")</f>
        <v/>
      </c>
    </row>
    <row r="1112">
      <c r="B1112" t="n">
        <v>34412889</v>
      </c>
      <c r="C1112" s="2" t="n">
        <v>45553</v>
      </c>
      <c r="D1112" t="inlineStr">
        <is>
          <t>SPEC</t>
        </is>
      </c>
      <c r="E1112">
        <f>_xlfn.CONCAT(Tableau1[[#This Row],[SHORT TYPE]]," ",Tableau1[[#This Row],[NUMERO]]," ",Tableau1[[#This Row],[GAMME]]," ",Tableau1[[#This Row],[TYPE PRODUIT]]," ",Tableau1[[#This Row],[PUISSANCE]])</f>
        <v/>
      </c>
      <c r="G1112" t="inlineStr">
        <is>
          <t>GVX</t>
        </is>
      </c>
      <c r="H1112" t="inlineStr">
        <is>
          <t>UPS</t>
        </is>
      </c>
      <c r="I1112" t="inlineStr">
        <is>
          <t>1500kVA</t>
        </is>
      </c>
      <c r="J1112" t="inlineStr">
        <is>
          <t>MATRION</t>
        </is>
      </c>
      <c r="K1112" t="inlineStr">
        <is>
          <t>METAL</t>
        </is>
      </c>
      <c r="L1112">
        <f>_xlfn.XLOOKUP(Tableau1[[#This Row],[TYPE DE PIECE]],Tableau4[MATIERE],Tableau4[SHORT TYPE],"",0,1)</f>
        <v/>
      </c>
      <c r="N1112">
        <f>IF(ISERR(FIND("DECOUPE",Tableau1[[#This Row],[DESIGNATION]])),"","NEED REF")</f>
        <v/>
      </c>
    </row>
    <row r="1113">
      <c r="B1113" t="n">
        <v>34412888</v>
      </c>
      <c r="C1113" s="2" t="n">
        <v>45553</v>
      </c>
      <c r="D1113" t="inlineStr">
        <is>
          <t>SPEC</t>
        </is>
      </c>
      <c r="E1113">
        <f>_xlfn.CONCAT(Tableau1[[#This Row],[SHORT TYPE]]," ",Tableau1[[#This Row],[NUMERO]]," ",Tableau1[[#This Row],[GAMME]]," ",Tableau1[[#This Row],[TYPE PRODUIT]]," ",Tableau1[[#This Row],[PUISSANCE]])</f>
        <v/>
      </c>
      <c r="G1113" t="inlineStr">
        <is>
          <t>GVX</t>
        </is>
      </c>
      <c r="H1113" t="inlineStr">
        <is>
          <t>UPS</t>
        </is>
      </c>
      <c r="I1113" t="inlineStr">
        <is>
          <t>1500kVA</t>
        </is>
      </c>
      <c r="J1113" t="inlineStr">
        <is>
          <t>MATRION</t>
        </is>
      </c>
      <c r="K1113" t="inlineStr">
        <is>
          <t>METAL</t>
        </is>
      </c>
      <c r="L1113">
        <f>_xlfn.XLOOKUP(Tableau1[[#This Row],[TYPE DE PIECE]],Tableau4[MATIERE],Tableau4[SHORT TYPE],"",0,1)</f>
        <v/>
      </c>
      <c r="N1113">
        <f>IF(ISERR(FIND("DECOUPE",Tableau1[[#This Row],[DESIGNATION]])),"","NEED REF")</f>
        <v/>
      </c>
    </row>
    <row r="1114">
      <c r="B1114" s="135" t="n">
        <v>34412887</v>
      </c>
      <c r="C1114" s="138" t="n">
        <v>45552</v>
      </c>
      <c r="D1114" s="135" t="inlineStr">
        <is>
          <t>SPEC</t>
        </is>
      </c>
      <c r="E1114" s="135" t="inlineStr">
        <is>
          <t>SMT PLATINE DE FOND REGENBOX 50A</t>
        </is>
      </c>
      <c r="F1114" s="135" t="n"/>
      <c r="G1114" s="135" t="inlineStr">
        <is>
          <t>E3S</t>
        </is>
      </c>
      <c r="H1114" s="135" t="inlineStr">
        <is>
          <t>REGEN</t>
        </is>
      </c>
      <c r="I1114" s="135" t="n"/>
      <c r="J1114" s="135" t="inlineStr">
        <is>
          <t>BERNARDEAU</t>
        </is>
      </c>
      <c r="K1114" s="135" t="inlineStr">
        <is>
          <t>METAL</t>
        </is>
      </c>
      <c r="L1114" s="135">
        <f>_xlfn.XLOOKUP(Tableau1[[#This Row],[TYPE DE PIECE]],Tableau4[MATIERE],Tableau4[SHORT TYPE],"",0,1)</f>
        <v/>
      </c>
      <c r="N1114">
        <f>IF(ISERR(FIND("DECOUPE",Tableau1[[#This Row],[DESIGNATION]])),"","NEED REF")</f>
        <v/>
      </c>
    </row>
    <row r="1115">
      <c r="B1115" t="n">
        <v>34412886</v>
      </c>
      <c r="C1115" s="2" t="n">
        <v>45551</v>
      </c>
      <c r="D1115" t="inlineStr">
        <is>
          <t>SPEC</t>
        </is>
      </c>
      <c r="E1115" t="inlineStr">
        <is>
          <t>COP 34412886 GVX UPS 1500kVA CALE 10x80x90</t>
        </is>
      </c>
      <c r="G1115" t="inlineStr">
        <is>
          <t>GVX</t>
        </is>
      </c>
      <c r="H1115" t="inlineStr">
        <is>
          <t>UPS</t>
        </is>
      </c>
      <c r="I1115" t="inlineStr">
        <is>
          <t>1500kVA</t>
        </is>
      </c>
      <c r="J1115" t="inlineStr">
        <is>
          <t>MATRION</t>
        </is>
      </c>
      <c r="K1115" t="inlineStr">
        <is>
          <t>CUIVRE</t>
        </is>
      </c>
      <c r="L1115">
        <f>_xlfn.XLOOKUP(Tableau1[[#This Row],[TYPE DE PIECE]],Tableau4[MATIERE],Tableau4[SHORT TYPE],"",0,1)</f>
        <v/>
      </c>
      <c r="N1115">
        <f>IF(ISERR(FIND("DECOUPE",Tableau1[[#This Row],[DESIGNATION]])),"","NEED REF")</f>
        <v/>
      </c>
    </row>
    <row r="1116">
      <c r="B1116" t="n">
        <v>34412885</v>
      </c>
      <c r="C1116" s="2" t="n">
        <v>45548</v>
      </c>
      <c r="D1116" t="inlineStr">
        <is>
          <t>SPEC</t>
        </is>
      </c>
      <c r="E1116">
        <f>_xlfn.CONCAT(Tableau1[[#This Row],[SHORT TYPE]]," ",Tableau1[[#This Row],[NUMERO]]," ",Tableau1[[#This Row],[GAMME]]," ",Tableau1[[#This Row],[TYPE PRODUIT]]," ",Tableau1[[#This Row],[PUISSANCE]])</f>
        <v/>
      </c>
      <c r="G1116" t="inlineStr">
        <is>
          <t>GVX</t>
        </is>
      </c>
      <c r="H1116" t="inlineStr">
        <is>
          <t>UPS</t>
        </is>
      </c>
      <c r="I1116" t="inlineStr">
        <is>
          <t>1500kVA</t>
        </is>
      </c>
      <c r="J1116" t="inlineStr">
        <is>
          <t>MATRION</t>
        </is>
      </c>
      <c r="K1116" t="inlineStr">
        <is>
          <t>METAL</t>
        </is>
      </c>
      <c r="L1116">
        <f>_xlfn.XLOOKUP(Tableau1[[#This Row],[TYPE DE PIECE]],Tableau4[MATIERE],Tableau4[SHORT TYPE],"",0,1)</f>
        <v/>
      </c>
      <c r="N1116">
        <f>IF(ISERR(FIND("DECOUPE",Tableau1[[#This Row],[DESIGNATION]])),"","NEED REF")</f>
        <v/>
      </c>
    </row>
    <row r="1117">
      <c r="B1117" t="n">
        <v>34412884</v>
      </c>
      <c r="C1117" s="2" t="n">
        <v>45548</v>
      </c>
      <c r="D1117" t="inlineStr">
        <is>
          <t>SPEC</t>
        </is>
      </c>
      <c r="E1117">
        <f>_xlfn.CONCAT(Tableau1[[#This Row],[SHORT TYPE]]," ",Tableau1[[#This Row],[NUMERO]]," ",Tableau1[[#This Row],[GAMME]]," ",Tableau1[[#This Row],[TYPE PRODUIT]]," ",Tableau1[[#This Row],[PUISSANCE]])</f>
        <v/>
      </c>
      <c r="G1117" t="inlineStr">
        <is>
          <t>GVX</t>
        </is>
      </c>
      <c r="H1117" t="inlineStr">
        <is>
          <t>UPS</t>
        </is>
      </c>
      <c r="I1117" t="inlineStr">
        <is>
          <t>1500kVA</t>
        </is>
      </c>
      <c r="J1117" t="inlineStr">
        <is>
          <t>MATRION</t>
        </is>
      </c>
      <c r="K1117" t="inlineStr">
        <is>
          <t>METAL</t>
        </is>
      </c>
      <c r="L1117">
        <f>_xlfn.XLOOKUP(Tableau1[[#This Row],[TYPE DE PIECE]],Tableau4[MATIERE],Tableau4[SHORT TYPE],"",0,1)</f>
        <v/>
      </c>
      <c r="N1117">
        <f>IF(ISERR(FIND("DECOUPE",Tableau1[[#This Row],[DESIGNATION]])),"","NEED REF")</f>
        <v/>
      </c>
    </row>
    <row r="1118">
      <c r="B1118" t="n">
        <v>34412883</v>
      </c>
      <c r="C1118" s="2" t="n">
        <v>45548</v>
      </c>
      <c r="D1118" t="inlineStr">
        <is>
          <t>SPEC</t>
        </is>
      </c>
      <c r="E1118" t="inlineStr">
        <is>
          <t>PLA 34412880 GVX UPS 1500kVA SUPPORT 2P 105MM</t>
        </is>
      </c>
      <c r="G1118" t="inlineStr">
        <is>
          <t>GVX</t>
        </is>
      </c>
      <c r="H1118" t="inlineStr">
        <is>
          <t>UPS</t>
        </is>
      </c>
      <c r="I1118" t="inlineStr">
        <is>
          <t>1500kVA</t>
        </is>
      </c>
      <c r="J1118" t="inlineStr">
        <is>
          <t>MATRION</t>
        </is>
      </c>
      <c r="K1118" t="inlineStr">
        <is>
          <t>PLASTIQUE</t>
        </is>
      </c>
      <c r="L1118">
        <f>_xlfn.XLOOKUP(Tableau1[[#This Row],[TYPE DE PIECE]],Tableau4[MATIERE],Tableau4[SHORT TYPE],"",0,1)</f>
        <v/>
      </c>
      <c r="N1118">
        <f>IF(ISERR(FIND("DECOUPE",Tableau1[[#This Row],[DESIGNATION]])),"","NEED REF")</f>
        <v/>
      </c>
    </row>
    <row r="1119">
      <c r="B1119" t="n">
        <v>34412882</v>
      </c>
      <c r="C1119" s="2" t="n">
        <v>45548</v>
      </c>
      <c r="D1119" t="inlineStr">
        <is>
          <t>SPEC</t>
        </is>
      </c>
      <c r="E1119" t="inlineStr">
        <is>
          <t>PLA 34412880 GVX UPS 1500kVA SUPPORT 2P 80MM</t>
        </is>
      </c>
      <c r="G1119" t="inlineStr">
        <is>
          <t>GVX</t>
        </is>
      </c>
      <c r="H1119" t="inlineStr">
        <is>
          <t>UPS</t>
        </is>
      </c>
      <c r="I1119" t="inlineStr">
        <is>
          <t>1500kVA</t>
        </is>
      </c>
      <c r="J1119" t="inlineStr">
        <is>
          <t>MATRION</t>
        </is>
      </c>
      <c r="K1119" t="inlineStr">
        <is>
          <t>PLASTIQUE</t>
        </is>
      </c>
      <c r="L1119">
        <f>_xlfn.XLOOKUP(Tableau1[[#This Row],[TYPE DE PIECE]],Tableau4[MATIERE],Tableau4[SHORT TYPE],"",0,1)</f>
        <v/>
      </c>
      <c r="N1119">
        <f>IF(ISERR(FIND("DECOUPE",Tableau1[[#This Row],[DESIGNATION]])),"","NEED REF")</f>
        <v/>
      </c>
    </row>
    <row r="1120">
      <c r="B1120" t="n">
        <v>34412881</v>
      </c>
      <c r="C1120" s="2" t="n">
        <v>45548</v>
      </c>
      <c r="D1120" t="inlineStr">
        <is>
          <t>SPEC</t>
        </is>
      </c>
      <c r="E1120" t="inlineStr">
        <is>
          <t>PLA 34412880 GVX UPS 1500kVA SUPPORT 3P 80MM</t>
        </is>
      </c>
      <c r="G1120" t="inlineStr">
        <is>
          <t>GVX</t>
        </is>
      </c>
      <c r="H1120" t="inlineStr">
        <is>
          <t>UPS</t>
        </is>
      </c>
      <c r="I1120" t="inlineStr">
        <is>
          <t>1500kVA</t>
        </is>
      </c>
      <c r="J1120" t="inlineStr">
        <is>
          <t>MATRION</t>
        </is>
      </c>
      <c r="K1120" t="inlineStr">
        <is>
          <t>PLASTIQUE</t>
        </is>
      </c>
      <c r="L1120">
        <f>_xlfn.XLOOKUP(Tableau1[[#This Row],[TYPE DE PIECE]],Tableau4[MATIERE],Tableau4[SHORT TYPE],"",0,1)</f>
        <v/>
      </c>
      <c r="N1120">
        <f>IF(ISERR(FIND("DECOUPE",Tableau1[[#This Row],[DESIGNATION]])),"","NEED REF")</f>
        <v/>
      </c>
    </row>
    <row r="1121">
      <c r="B1121" t="n">
        <v>34412880</v>
      </c>
      <c r="C1121" s="2" t="n">
        <v>45548</v>
      </c>
      <c r="D1121" t="inlineStr">
        <is>
          <t>SPEC</t>
        </is>
      </c>
      <c r="E1121" t="inlineStr">
        <is>
          <t>PLA 34412880 GVX UPS 1500kVA SUPPORT 4P 80MM</t>
        </is>
      </c>
      <c r="G1121" t="inlineStr">
        <is>
          <t>GVX</t>
        </is>
      </c>
      <c r="H1121" t="inlineStr">
        <is>
          <t>UPS</t>
        </is>
      </c>
      <c r="I1121" t="inlineStr">
        <is>
          <t>1500kVA</t>
        </is>
      </c>
      <c r="J1121" t="inlineStr">
        <is>
          <t>MATRION</t>
        </is>
      </c>
      <c r="K1121" t="inlineStr">
        <is>
          <t>PLASTIQUE</t>
        </is>
      </c>
      <c r="L1121">
        <f>_xlfn.XLOOKUP(Tableau1[[#This Row],[TYPE DE PIECE]],Tableau4[MATIERE],Tableau4[SHORT TYPE],"",0,1)</f>
        <v/>
      </c>
      <c r="N1121">
        <f>IF(ISERR(FIND("DECOUPE",Tableau1[[#This Row],[DESIGNATION]])),"","NEED REF")</f>
        <v/>
      </c>
    </row>
    <row r="1122">
      <c r="B1122" t="n">
        <v>34412879</v>
      </c>
      <c r="C1122" s="2" t="n">
        <v>45548</v>
      </c>
      <c r="D1122" t="inlineStr">
        <is>
          <t>SPEC</t>
        </is>
      </c>
      <c r="E1122">
        <f>_xlfn.CONCAT(Tableau1[[#This Row],[SHORT TYPE]]," ",Tableau1[[#This Row],[NUMERO]]," ",Tableau1[[#This Row],[GAMME]]," ",Tableau1[[#This Row],[TYPE PRODUIT]]," ",Tableau1[[#This Row],[PUISSANCE]])</f>
        <v/>
      </c>
      <c r="G1122" t="inlineStr">
        <is>
          <t>GVX</t>
        </is>
      </c>
      <c r="H1122" t="inlineStr">
        <is>
          <t>UPS</t>
        </is>
      </c>
      <c r="I1122" t="inlineStr">
        <is>
          <t>1500kVA</t>
        </is>
      </c>
      <c r="J1122" t="inlineStr">
        <is>
          <t>MATRION</t>
        </is>
      </c>
      <c r="K1122" t="inlineStr">
        <is>
          <t>METAL</t>
        </is>
      </c>
      <c r="L1122">
        <f>_xlfn.XLOOKUP(Tableau1[[#This Row],[TYPE DE PIECE]],Tableau4[MATIERE],Tableau4[SHORT TYPE],"",0,1)</f>
        <v/>
      </c>
      <c r="N1122">
        <f>IF(ISERR(FIND("DECOUPE",Tableau1[[#This Row],[DESIGNATION]])),"","NEED REF")</f>
        <v/>
      </c>
    </row>
    <row r="1123">
      <c r="B1123" t="n">
        <v>34412878</v>
      </c>
      <c r="C1123" s="2" t="n">
        <v>45548</v>
      </c>
      <c r="D1123" t="inlineStr">
        <is>
          <t>SPEC</t>
        </is>
      </c>
      <c r="E1123">
        <f>_xlfn.CONCAT(Tableau1[[#This Row],[SHORT TYPE]]," ",Tableau1[[#This Row],[NUMERO]]," ",Tableau1[[#This Row],[GAMME]]," ",Tableau1[[#This Row],[TYPE PRODUIT]]," ",Tableau1[[#This Row],[PUISSANCE]])</f>
        <v/>
      </c>
      <c r="G1123" t="inlineStr">
        <is>
          <t>GVX</t>
        </is>
      </c>
      <c r="H1123" t="inlineStr">
        <is>
          <t>UPS</t>
        </is>
      </c>
      <c r="I1123" t="inlineStr">
        <is>
          <t>1500kVA</t>
        </is>
      </c>
      <c r="J1123" t="inlineStr">
        <is>
          <t>MATRION</t>
        </is>
      </c>
      <c r="K1123" t="inlineStr">
        <is>
          <t>PLASTIQUE</t>
        </is>
      </c>
      <c r="L1123">
        <f>_xlfn.XLOOKUP(Tableau1[[#This Row],[TYPE DE PIECE]],Tableau4[MATIERE],Tableau4[SHORT TYPE],"",0,1)</f>
        <v/>
      </c>
      <c r="N1123">
        <f>IF(ISERR(FIND("DECOUPE",Tableau1[[#This Row],[DESIGNATION]])),"","NEED REF")</f>
        <v/>
      </c>
    </row>
    <row r="1124">
      <c r="B1124" t="n">
        <v>34412877</v>
      </c>
      <c r="C1124" s="2" t="n">
        <v>45548</v>
      </c>
      <c r="D1124" t="inlineStr">
        <is>
          <t>SPEC</t>
        </is>
      </c>
      <c r="E1124">
        <f>_xlfn.CONCAT(Tableau1[[#This Row],[SHORT TYPE]]," ",Tableau1[[#This Row],[NUMERO]]," ",Tableau1[[#This Row],[GAMME]]," ",Tableau1[[#This Row],[TYPE PRODUIT]]," ",Tableau1[[#This Row],[PUISSANCE]])</f>
        <v/>
      </c>
      <c r="G1124" t="inlineStr">
        <is>
          <t>GVX</t>
        </is>
      </c>
      <c r="H1124" t="inlineStr">
        <is>
          <t>UPS</t>
        </is>
      </c>
      <c r="I1124" t="inlineStr">
        <is>
          <t>1500kVA</t>
        </is>
      </c>
      <c r="J1124" t="inlineStr">
        <is>
          <t>MATRION</t>
        </is>
      </c>
      <c r="K1124" t="inlineStr">
        <is>
          <t>METAL</t>
        </is>
      </c>
      <c r="L1124">
        <f>_xlfn.XLOOKUP(Tableau1[[#This Row],[TYPE DE PIECE]],Tableau4[MATIERE],Tableau4[SHORT TYPE],"",0,1)</f>
        <v/>
      </c>
      <c r="N1124">
        <f>IF(ISERR(FIND("DECOUPE",Tableau1[[#This Row],[DESIGNATION]])),"","NEED REF")</f>
        <v/>
      </c>
    </row>
    <row r="1125">
      <c r="B1125" t="n">
        <v>34412876</v>
      </c>
      <c r="C1125" s="2" t="n">
        <v>45548</v>
      </c>
      <c r="D1125" t="inlineStr">
        <is>
          <t>SPEC</t>
        </is>
      </c>
      <c r="E1125">
        <f>_xlfn.CONCAT(Tableau1[[#This Row],[SHORT TYPE]]," ",Tableau1[[#This Row],[NUMERO]]," ",Tableau1[[#This Row],[GAMME]]," ",Tableau1[[#This Row],[TYPE PRODUIT]]," ",Tableau1[[#This Row],[PUISSANCE]])</f>
        <v/>
      </c>
      <c r="G1125" t="inlineStr">
        <is>
          <t>GVX</t>
        </is>
      </c>
      <c r="H1125" t="inlineStr">
        <is>
          <t>UPS</t>
        </is>
      </c>
      <c r="I1125" t="inlineStr">
        <is>
          <t>1500kVA</t>
        </is>
      </c>
      <c r="J1125" t="inlineStr">
        <is>
          <t>MATRION</t>
        </is>
      </c>
      <c r="K1125" t="inlineStr">
        <is>
          <t>PLASTIQUE</t>
        </is>
      </c>
      <c r="L1125">
        <f>_xlfn.XLOOKUP(Tableau1[[#This Row],[TYPE DE PIECE]],Tableau4[MATIERE],Tableau4[SHORT TYPE],"",0,1)</f>
        <v/>
      </c>
      <c r="N1125">
        <f>IF(ISERR(FIND("DECOUPE",Tableau1[[#This Row],[DESIGNATION]])),"","NEED REF")</f>
        <v/>
      </c>
    </row>
    <row r="1126">
      <c r="B1126" t="n">
        <v>34412875</v>
      </c>
      <c r="C1126" s="2" t="n">
        <v>45548</v>
      </c>
      <c r="D1126" t="inlineStr">
        <is>
          <t>SPEC</t>
        </is>
      </c>
      <c r="E1126">
        <f>_xlfn.CONCAT(Tableau1[[#This Row],[SHORT TYPE]]," ",Tableau1[[#This Row],[NUMERO]]," ",Tableau1[[#This Row],[GAMME]]," ",Tableau1[[#This Row],[TYPE PRODUIT]]," ",Tableau1[[#This Row],[PUISSANCE]])</f>
        <v/>
      </c>
      <c r="G1126" t="inlineStr">
        <is>
          <t>GVX</t>
        </is>
      </c>
      <c r="H1126" t="inlineStr">
        <is>
          <t>UPS</t>
        </is>
      </c>
      <c r="I1126" t="inlineStr">
        <is>
          <t>1500kVA</t>
        </is>
      </c>
      <c r="J1126" t="inlineStr">
        <is>
          <t>MATRION</t>
        </is>
      </c>
      <c r="K1126" t="inlineStr">
        <is>
          <t>CUIVRE</t>
        </is>
      </c>
      <c r="L1126">
        <f>_xlfn.XLOOKUP(Tableau1[[#This Row],[TYPE DE PIECE]],Tableau4[MATIERE],Tableau4[SHORT TYPE],"",0,1)</f>
        <v/>
      </c>
      <c r="N1126">
        <f>IF(ISERR(FIND("DECOUPE",Tableau1[[#This Row],[DESIGNATION]])),"","NEED REF")</f>
        <v/>
      </c>
    </row>
    <row r="1127">
      <c r="B1127" t="n">
        <v>34412874</v>
      </c>
      <c r="C1127" s="2" t="n">
        <v>45548</v>
      </c>
      <c r="D1127" t="inlineStr">
        <is>
          <t>SPEC</t>
        </is>
      </c>
      <c r="E1127">
        <f>_xlfn.CONCAT(Tableau1[[#This Row],[SHORT TYPE]]," ",Tableau1[[#This Row],[NUMERO]]," ",Tableau1[[#This Row],[GAMME]]," ",Tableau1[[#This Row],[TYPE PRODUIT]]," ",Tableau1[[#This Row],[PUISSANCE]])</f>
        <v/>
      </c>
      <c r="G1127" t="inlineStr">
        <is>
          <t>GVX</t>
        </is>
      </c>
      <c r="H1127" t="inlineStr">
        <is>
          <t>UPS</t>
        </is>
      </c>
      <c r="I1127" t="inlineStr">
        <is>
          <t>1500kVA</t>
        </is>
      </c>
      <c r="J1127" t="inlineStr">
        <is>
          <t>MATRION</t>
        </is>
      </c>
      <c r="K1127" t="inlineStr">
        <is>
          <t>CUIVRE</t>
        </is>
      </c>
      <c r="L1127">
        <f>_xlfn.XLOOKUP(Tableau1[[#This Row],[TYPE DE PIECE]],Tableau4[MATIERE],Tableau4[SHORT TYPE],"",0,1)</f>
        <v/>
      </c>
      <c r="N1127">
        <f>IF(ISERR(FIND("DECOUPE",Tableau1[[#This Row],[DESIGNATION]])),"","NEED REF")</f>
        <v/>
      </c>
    </row>
    <row r="1128">
      <c r="B1128" t="n">
        <v>34412873</v>
      </c>
      <c r="C1128" s="2" t="n">
        <v>45548</v>
      </c>
      <c r="D1128" t="inlineStr">
        <is>
          <t>SPEC</t>
        </is>
      </c>
      <c r="E1128">
        <f>_xlfn.CONCAT(Tableau1[[#This Row],[SHORT TYPE]]," ",Tableau1[[#This Row],[NUMERO]]," ",Tableau1[[#This Row],[GAMME]]," ",Tableau1[[#This Row],[TYPE PRODUIT]]," ",Tableau1[[#This Row],[PUISSANCE]])</f>
        <v/>
      </c>
      <c r="G1128" t="inlineStr">
        <is>
          <t>GVX</t>
        </is>
      </c>
      <c r="H1128" t="inlineStr">
        <is>
          <t>UPS</t>
        </is>
      </c>
      <c r="I1128" t="inlineStr">
        <is>
          <t>1500kVA</t>
        </is>
      </c>
      <c r="J1128" t="inlineStr">
        <is>
          <t>MATRION</t>
        </is>
      </c>
      <c r="K1128" t="inlineStr">
        <is>
          <t>CUIVRE</t>
        </is>
      </c>
      <c r="L1128">
        <f>_xlfn.XLOOKUP(Tableau1[[#This Row],[TYPE DE PIECE]],Tableau4[MATIERE],Tableau4[SHORT TYPE],"",0,1)</f>
        <v/>
      </c>
      <c r="N1128">
        <f>IF(ISERR(FIND("DECOUPE",Tableau1[[#This Row],[DESIGNATION]])),"","NEED REF")</f>
        <v/>
      </c>
    </row>
    <row r="1129">
      <c r="B1129" t="n">
        <v>34412872</v>
      </c>
      <c r="C1129" s="2" t="n">
        <v>45548</v>
      </c>
      <c r="D1129" t="inlineStr">
        <is>
          <t>SPEC</t>
        </is>
      </c>
      <c r="E1129">
        <f>_xlfn.CONCAT(Tableau1[[#This Row],[SHORT TYPE]]," ",Tableau1[[#This Row],[NUMERO]]," ",Tableau1[[#This Row],[GAMME]]," ",Tableau1[[#This Row],[TYPE PRODUIT]]," ",Tableau1[[#This Row],[PUISSANCE]])</f>
        <v/>
      </c>
      <c r="G1129" t="inlineStr">
        <is>
          <t>GVX</t>
        </is>
      </c>
      <c r="H1129" t="inlineStr">
        <is>
          <t>UPS</t>
        </is>
      </c>
      <c r="I1129" t="inlineStr">
        <is>
          <t>1500kVA</t>
        </is>
      </c>
      <c r="J1129" t="inlineStr">
        <is>
          <t>MATRION</t>
        </is>
      </c>
      <c r="K1129" t="inlineStr">
        <is>
          <t>CUIVRE</t>
        </is>
      </c>
      <c r="L1129">
        <f>_xlfn.XLOOKUP(Tableau1[[#This Row],[TYPE DE PIECE]],Tableau4[MATIERE],Tableau4[SHORT TYPE],"",0,1)</f>
        <v/>
      </c>
      <c r="N1129">
        <f>IF(ISERR(FIND("DECOUPE",Tableau1[[#This Row],[DESIGNATION]])),"","NEED REF")</f>
        <v/>
      </c>
    </row>
    <row r="1130">
      <c r="B1130" t="n">
        <v>34412871</v>
      </c>
      <c r="C1130" s="2" t="n">
        <v>45548</v>
      </c>
      <c r="D1130" t="inlineStr">
        <is>
          <t>SPEC</t>
        </is>
      </c>
      <c r="E1130">
        <f>_xlfn.CONCAT(Tableau1[[#This Row],[SHORT TYPE]]," ",Tableau1[[#This Row],[NUMERO]]," ",Tableau1[[#This Row],[GAMME]]," ",Tableau1[[#This Row],[TYPE PRODUIT]]," ",Tableau1[[#This Row],[PUISSANCE]])</f>
        <v/>
      </c>
      <c r="G1130" t="inlineStr">
        <is>
          <t>GVX</t>
        </is>
      </c>
      <c r="H1130" t="inlineStr">
        <is>
          <t>UPS</t>
        </is>
      </c>
      <c r="I1130" t="inlineStr">
        <is>
          <t>1500kVA</t>
        </is>
      </c>
      <c r="J1130" t="inlineStr">
        <is>
          <t>MATRION</t>
        </is>
      </c>
      <c r="K1130" t="inlineStr">
        <is>
          <t>CUIVRE</t>
        </is>
      </c>
      <c r="L1130">
        <f>_xlfn.XLOOKUP(Tableau1[[#This Row],[TYPE DE PIECE]],Tableau4[MATIERE],Tableau4[SHORT TYPE],"",0,1)</f>
        <v/>
      </c>
      <c r="N1130">
        <f>IF(ISERR(FIND("DECOUPE",Tableau1[[#This Row],[DESIGNATION]])),"","NEED REF")</f>
        <v/>
      </c>
    </row>
    <row r="1131">
      <c r="B1131" t="n">
        <v>34412870</v>
      </c>
      <c r="C1131" s="2" t="n">
        <v>45548</v>
      </c>
      <c r="D1131" t="inlineStr">
        <is>
          <t>SPEC</t>
        </is>
      </c>
      <c r="E1131">
        <f>_xlfn.CONCAT(Tableau1[[#This Row],[SHORT TYPE]]," ",Tableau1[[#This Row],[NUMERO]]," ",Tableau1[[#This Row],[GAMME]]," ",Tableau1[[#This Row],[TYPE PRODUIT]]," ",Tableau1[[#This Row],[PUISSANCE]])</f>
        <v/>
      </c>
      <c r="G1131" t="inlineStr">
        <is>
          <t>GVX</t>
        </is>
      </c>
      <c r="H1131" t="inlineStr">
        <is>
          <t>UPS</t>
        </is>
      </c>
      <c r="I1131" t="inlineStr">
        <is>
          <t>1500kVA</t>
        </is>
      </c>
      <c r="J1131" t="inlineStr">
        <is>
          <t>MATRION</t>
        </is>
      </c>
      <c r="K1131" t="inlineStr">
        <is>
          <t>CUIVRE</t>
        </is>
      </c>
      <c r="L1131">
        <f>_xlfn.XLOOKUP(Tableau1[[#This Row],[TYPE DE PIECE]],Tableau4[MATIERE],Tableau4[SHORT TYPE],"",0,1)</f>
        <v/>
      </c>
      <c r="N1131">
        <f>IF(ISERR(FIND("DECOUPE",Tableau1[[#This Row],[DESIGNATION]])),"","NEED REF")</f>
        <v/>
      </c>
    </row>
    <row r="1132">
      <c r="B1132" t="n">
        <v>34412869</v>
      </c>
      <c r="C1132" s="2" t="n">
        <v>45548</v>
      </c>
      <c r="D1132" t="inlineStr">
        <is>
          <t>SPEC</t>
        </is>
      </c>
      <c r="E1132">
        <f>_xlfn.CONCAT(Tableau1[[#This Row],[SHORT TYPE]]," ",Tableau1[[#This Row],[NUMERO]]," ",Tableau1[[#This Row],[GAMME]]," ",Tableau1[[#This Row],[TYPE PRODUIT]]," ",Tableau1[[#This Row],[PUISSANCE]])</f>
        <v/>
      </c>
      <c r="G1132" t="inlineStr">
        <is>
          <t>GVX</t>
        </is>
      </c>
      <c r="H1132" t="inlineStr">
        <is>
          <t>UPS</t>
        </is>
      </c>
      <c r="I1132" t="inlineStr">
        <is>
          <t>1500kVA</t>
        </is>
      </c>
      <c r="J1132" t="inlineStr">
        <is>
          <t>MATRION</t>
        </is>
      </c>
      <c r="K1132" t="inlineStr">
        <is>
          <t>CUIVRE</t>
        </is>
      </c>
      <c r="L1132">
        <f>_xlfn.XLOOKUP(Tableau1[[#This Row],[TYPE DE PIECE]],Tableau4[MATIERE],Tableau4[SHORT TYPE],"",0,1)</f>
        <v/>
      </c>
      <c r="N1132">
        <f>IF(ISERR(FIND("DECOUPE",Tableau1[[#This Row],[DESIGNATION]])),"","NEED REF")</f>
        <v/>
      </c>
    </row>
    <row r="1133">
      <c r="B1133" t="n">
        <v>34412868</v>
      </c>
      <c r="C1133" s="2" t="n">
        <v>45548</v>
      </c>
      <c r="D1133" t="inlineStr">
        <is>
          <t>SPEC</t>
        </is>
      </c>
      <c r="E1133">
        <f>_xlfn.CONCAT(Tableau1[[#This Row],[SHORT TYPE]]," ",Tableau1[[#This Row],[NUMERO]]," ",Tableau1[[#This Row],[GAMME]]," ",Tableau1[[#This Row],[TYPE PRODUIT]]," ",Tableau1[[#This Row],[PUISSANCE]])</f>
        <v/>
      </c>
      <c r="G1133" t="inlineStr">
        <is>
          <t>GVX</t>
        </is>
      </c>
      <c r="H1133" t="inlineStr">
        <is>
          <t>UPS</t>
        </is>
      </c>
      <c r="I1133" t="inlineStr">
        <is>
          <t>1500kVA</t>
        </is>
      </c>
      <c r="J1133" t="inlineStr">
        <is>
          <t>MATRION</t>
        </is>
      </c>
      <c r="K1133" t="inlineStr">
        <is>
          <t>CUIVRE</t>
        </is>
      </c>
      <c r="L1133">
        <f>_xlfn.XLOOKUP(Tableau1[[#This Row],[TYPE DE PIECE]],Tableau4[MATIERE],Tableau4[SHORT TYPE],"",0,1)</f>
        <v/>
      </c>
      <c r="N1133">
        <f>IF(ISERR(FIND("DECOUPE",Tableau1[[#This Row],[DESIGNATION]])),"","NEED REF")</f>
        <v/>
      </c>
    </row>
    <row r="1134">
      <c r="B1134" t="n">
        <v>34412867</v>
      </c>
      <c r="C1134" s="2" t="n">
        <v>45548</v>
      </c>
      <c r="D1134" t="inlineStr">
        <is>
          <t>SPEC</t>
        </is>
      </c>
      <c r="E1134">
        <f>_xlfn.CONCAT(Tableau1[[#This Row],[SHORT TYPE]]," ",Tableau1[[#This Row],[NUMERO]]," ",Tableau1[[#This Row],[GAMME]]," ",Tableau1[[#This Row],[TYPE PRODUIT]]," ",Tableau1[[#This Row],[PUISSANCE]])</f>
        <v/>
      </c>
      <c r="G1134" t="inlineStr">
        <is>
          <t>GVX</t>
        </is>
      </c>
      <c r="H1134" t="inlineStr">
        <is>
          <t>UPS</t>
        </is>
      </c>
      <c r="I1134" t="inlineStr">
        <is>
          <t>1500kVA</t>
        </is>
      </c>
      <c r="J1134" t="inlineStr">
        <is>
          <t>MATRION</t>
        </is>
      </c>
      <c r="K1134" t="inlineStr">
        <is>
          <t>CUIVRE</t>
        </is>
      </c>
      <c r="L1134">
        <f>_xlfn.XLOOKUP(Tableau1[[#This Row],[TYPE DE PIECE]],Tableau4[MATIERE],Tableau4[SHORT TYPE],"",0,1)</f>
        <v/>
      </c>
      <c r="N1134">
        <f>IF(ISERR(FIND("DECOUPE",Tableau1[[#This Row],[DESIGNATION]])),"","NEED REF")</f>
        <v/>
      </c>
    </row>
    <row r="1135">
      <c r="B1135" t="n">
        <v>34412866</v>
      </c>
      <c r="C1135" s="2" t="n">
        <v>45548</v>
      </c>
      <c r="D1135" t="inlineStr">
        <is>
          <t>SPEC</t>
        </is>
      </c>
      <c r="E1135">
        <f>_xlfn.CONCAT(Tableau1[[#This Row],[SHORT TYPE]]," ",Tableau1[[#This Row],[NUMERO]]," ",Tableau1[[#This Row],[GAMME]]," ",Tableau1[[#This Row],[TYPE PRODUIT]]," ",Tableau1[[#This Row],[PUISSANCE]])</f>
        <v/>
      </c>
      <c r="G1135" t="inlineStr">
        <is>
          <t>GVX</t>
        </is>
      </c>
      <c r="H1135" t="inlineStr">
        <is>
          <t>UPS</t>
        </is>
      </c>
      <c r="I1135" t="inlineStr">
        <is>
          <t>1500kVA</t>
        </is>
      </c>
      <c r="J1135" t="inlineStr">
        <is>
          <t>MATRION</t>
        </is>
      </c>
      <c r="K1135" t="inlineStr">
        <is>
          <t>CUIVRE</t>
        </is>
      </c>
      <c r="L1135">
        <f>_xlfn.XLOOKUP(Tableau1[[#This Row],[TYPE DE PIECE]],Tableau4[MATIERE],Tableau4[SHORT TYPE],"",0,1)</f>
        <v/>
      </c>
      <c r="N1135">
        <f>IF(ISERR(FIND("DECOUPE",Tableau1[[#This Row],[DESIGNATION]])),"","NEED REF")</f>
        <v/>
      </c>
    </row>
    <row r="1136">
      <c r="B1136" t="n">
        <v>34412865</v>
      </c>
      <c r="C1136" s="2" t="n">
        <v>45548</v>
      </c>
      <c r="D1136" t="inlineStr">
        <is>
          <t>SPEC</t>
        </is>
      </c>
      <c r="E1136">
        <f>_xlfn.CONCAT(Tableau1[[#This Row],[SHORT TYPE]]," ",Tableau1[[#This Row],[NUMERO]]," ",Tableau1[[#This Row],[GAMME]]," ",Tableau1[[#This Row],[TYPE PRODUIT]]," ",Tableau1[[#This Row],[PUISSANCE]])</f>
        <v/>
      </c>
      <c r="G1136" t="inlineStr">
        <is>
          <t>GVX</t>
        </is>
      </c>
      <c r="H1136" t="inlineStr">
        <is>
          <t>UPS</t>
        </is>
      </c>
      <c r="I1136" t="inlineStr">
        <is>
          <t>1500kVA</t>
        </is>
      </c>
      <c r="J1136" t="inlineStr">
        <is>
          <t>MATRION</t>
        </is>
      </c>
      <c r="K1136" t="inlineStr">
        <is>
          <t>CUIVRE</t>
        </is>
      </c>
      <c r="L1136">
        <f>_xlfn.XLOOKUP(Tableau1[[#This Row],[TYPE DE PIECE]],Tableau4[MATIERE],Tableau4[SHORT TYPE],"",0,1)</f>
        <v/>
      </c>
      <c r="N1136">
        <f>IF(ISERR(FIND("DECOUPE",Tableau1[[#This Row],[DESIGNATION]])),"","NEED REF")</f>
        <v/>
      </c>
    </row>
    <row r="1137">
      <c r="B1137" t="n">
        <v>34412864</v>
      </c>
      <c r="C1137" s="2" t="n">
        <v>45548</v>
      </c>
      <c r="D1137" t="inlineStr">
        <is>
          <t>SPEC</t>
        </is>
      </c>
      <c r="E1137">
        <f>_xlfn.CONCAT(Tableau1[[#This Row],[SHORT TYPE]]," ",Tableau1[[#This Row],[NUMERO]]," ",Tableau1[[#This Row],[GAMME]]," ",Tableau1[[#This Row],[TYPE PRODUIT]]," ",Tableau1[[#This Row],[PUISSANCE]])</f>
        <v/>
      </c>
      <c r="G1137" t="inlineStr">
        <is>
          <t>GVX</t>
        </is>
      </c>
      <c r="H1137" t="inlineStr">
        <is>
          <t>UPS</t>
        </is>
      </c>
      <c r="I1137" t="inlineStr">
        <is>
          <t>1500kVA</t>
        </is>
      </c>
      <c r="J1137" t="inlineStr">
        <is>
          <t>MATRION</t>
        </is>
      </c>
      <c r="K1137" t="inlineStr">
        <is>
          <t>CUIVRE</t>
        </is>
      </c>
      <c r="L1137">
        <f>_xlfn.XLOOKUP(Tableau1[[#This Row],[TYPE DE PIECE]],Tableau4[MATIERE],Tableau4[SHORT TYPE],"",0,1)</f>
        <v/>
      </c>
      <c r="N1137">
        <f>IF(ISERR(FIND("DECOUPE",Tableau1[[#This Row],[DESIGNATION]])),"","NEED REF")</f>
        <v/>
      </c>
    </row>
    <row r="1138">
      <c r="B1138" t="n">
        <v>34412863</v>
      </c>
      <c r="C1138" s="2" t="n">
        <v>45548</v>
      </c>
      <c r="D1138" t="inlineStr">
        <is>
          <t>SPEC</t>
        </is>
      </c>
      <c r="E1138">
        <f>_xlfn.CONCAT(Tableau1[[#This Row],[SHORT TYPE]]," ",Tableau1[[#This Row],[NUMERO]]," ",Tableau1[[#This Row],[GAMME]]," ",Tableau1[[#This Row],[TYPE PRODUIT]]," ",Tableau1[[#This Row],[PUISSANCE]])</f>
        <v/>
      </c>
      <c r="G1138" t="inlineStr">
        <is>
          <t>GVX</t>
        </is>
      </c>
      <c r="H1138" t="inlineStr">
        <is>
          <t>UPS</t>
        </is>
      </c>
      <c r="I1138" t="inlineStr">
        <is>
          <t>1500kVA</t>
        </is>
      </c>
      <c r="J1138" t="inlineStr">
        <is>
          <t>MATRION</t>
        </is>
      </c>
      <c r="K1138" t="inlineStr">
        <is>
          <t>CUIVRE</t>
        </is>
      </c>
      <c r="L1138">
        <f>_xlfn.XLOOKUP(Tableau1[[#This Row],[TYPE DE PIECE]],Tableau4[MATIERE],Tableau4[SHORT TYPE],"",0,1)</f>
        <v/>
      </c>
      <c r="N1138">
        <f>IF(ISERR(FIND("DECOUPE",Tableau1[[#This Row],[DESIGNATION]])),"","NEED REF")</f>
        <v/>
      </c>
    </row>
    <row r="1139">
      <c r="B1139" t="n">
        <v>34412862</v>
      </c>
      <c r="C1139" s="2" t="n">
        <v>45548</v>
      </c>
      <c r="D1139" t="inlineStr">
        <is>
          <t>SPEC</t>
        </is>
      </c>
      <c r="E1139">
        <f>_xlfn.CONCAT(Tableau1[[#This Row],[SHORT TYPE]]," ",Tableau1[[#This Row],[NUMERO]]," ",Tableau1[[#This Row],[GAMME]]," ",Tableau1[[#This Row],[TYPE PRODUIT]]," ",Tableau1[[#This Row],[PUISSANCE]])</f>
        <v/>
      </c>
      <c r="G1139" t="inlineStr">
        <is>
          <t>GVX</t>
        </is>
      </c>
      <c r="H1139" t="inlineStr">
        <is>
          <t>UPS</t>
        </is>
      </c>
      <c r="I1139" t="inlineStr">
        <is>
          <t>1500kVA</t>
        </is>
      </c>
      <c r="J1139" t="inlineStr">
        <is>
          <t>MATRION</t>
        </is>
      </c>
      <c r="K1139" t="inlineStr">
        <is>
          <t>CUIVRE</t>
        </is>
      </c>
      <c r="L1139">
        <f>_xlfn.XLOOKUP(Tableau1[[#This Row],[TYPE DE PIECE]],Tableau4[MATIERE],Tableau4[SHORT TYPE],"",0,1)</f>
        <v/>
      </c>
      <c r="N1139">
        <f>IF(ISERR(FIND("DECOUPE",Tableau1[[#This Row],[DESIGNATION]])),"","NEED REF")</f>
        <v/>
      </c>
    </row>
    <row r="1140">
      <c r="B1140" t="n">
        <v>34412861</v>
      </c>
      <c r="C1140" s="2" t="n">
        <v>45548</v>
      </c>
      <c r="D1140" t="inlineStr">
        <is>
          <t>SPEC</t>
        </is>
      </c>
      <c r="E1140">
        <f>_xlfn.CONCAT(Tableau1[[#This Row],[SHORT TYPE]]," ",Tableau1[[#This Row],[NUMERO]]," ",Tableau1[[#This Row],[GAMME]]," ",Tableau1[[#This Row],[TYPE PRODUIT]]," ",Tableau1[[#This Row],[PUISSANCE]])</f>
        <v/>
      </c>
      <c r="G1140" t="inlineStr">
        <is>
          <t>GVX</t>
        </is>
      </c>
      <c r="H1140" t="inlineStr">
        <is>
          <t>UPS</t>
        </is>
      </c>
      <c r="I1140" t="inlineStr">
        <is>
          <t>1500kVA</t>
        </is>
      </c>
      <c r="J1140" t="inlineStr">
        <is>
          <t>MATRION</t>
        </is>
      </c>
      <c r="K1140" t="inlineStr">
        <is>
          <t>CUIVRE</t>
        </is>
      </c>
      <c r="L1140">
        <f>_xlfn.XLOOKUP(Tableau1[[#This Row],[TYPE DE PIECE]],Tableau4[MATIERE],Tableau4[SHORT TYPE],"",0,1)</f>
        <v/>
      </c>
      <c r="N1140">
        <f>IF(ISERR(FIND("DECOUPE",Tableau1[[#This Row],[DESIGNATION]])),"","NEED REF")</f>
        <v/>
      </c>
    </row>
    <row r="1141">
      <c r="B1141" t="n">
        <v>34412860</v>
      </c>
      <c r="C1141" s="2" t="n">
        <v>45548</v>
      </c>
      <c r="D1141" t="inlineStr">
        <is>
          <t>SPEC</t>
        </is>
      </c>
      <c r="E1141">
        <f>_xlfn.CONCAT(Tableau1[[#This Row],[SHORT TYPE]]," ",Tableau1[[#This Row],[NUMERO]]," ",Tableau1[[#This Row],[GAMME]]," ",Tableau1[[#This Row],[TYPE PRODUIT]]," ",Tableau1[[#This Row],[PUISSANCE]])</f>
        <v/>
      </c>
      <c r="G1141" t="inlineStr">
        <is>
          <t>GVX</t>
        </is>
      </c>
      <c r="H1141" t="inlineStr">
        <is>
          <t>UPS</t>
        </is>
      </c>
      <c r="I1141" t="inlineStr">
        <is>
          <t>1500kVA</t>
        </is>
      </c>
      <c r="J1141" t="inlineStr">
        <is>
          <t>MATRION</t>
        </is>
      </c>
      <c r="K1141" t="inlineStr">
        <is>
          <t>CUIVRE</t>
        </is>
      </c>
      <c r="L1141">
        <f>_xlfn.XLOOKUP(Tableau1[[#This Row],[TYPE DE PIECE]],Tableau4[MATIERE],Tableau4[SHORT TYPE],"",0,1)</f>
        <v/>
      </c>
      <c r="N1141">
        <f>IF(ISERR(FIND("DECOUPE",Tableau1[[#This Row],[DESIGNATION]])),"","NEED REF")</f>
        <v/>
      </c>
    </row>
    <row r="1142">
      <c r="B1142" t="n">
        <v>34412859</v>
      </c>
      <c r="C1142" s="2" t="n">
        <v>45548</v>
      </c>
      <c r="D1142" t="inlineStr">
        <is>
          <t>SPEC</t>
        </is>
      </c>
      <c r="E1142">
        <f>_xlfn.CONCAT(Tableau1[[#This Row],[SHORT TYPE]]," ",Tableau1[[#This Row],[NUMERO]]," ",Tableau1[[#This Row],[GAMME]]," ",Tableau1[[#This Row],[TYPE PRODUIT]]," ",Tableau1[[#This Row],[PUISSANCE]])</f>
        <v/>
      </c>
      <c r="G1142" t="inlineStr">
        <is>
          <t>GVX</t>
        </is>
      </c>
      <c r="H1142" t="inlineStr">
        <is>
          <t>UPS</t>
        </is>
      </c>
      <c r="I1142" t="inlineStr">
        <is>
          <t>1500kVA</t>
        </is>
      </c>
      <c r="J1142" t="inlineStr">
        <is>
          <t>MATRION</t>
        </is>
      </c>
      <c r="K1142" t="inlineStr">
        <is>
          <t>CUIVRE</t>
        </is>
      </c>
      <c r="L1142">
        <f>_xlfn.XLOOKUP(Tableau1[[#This Row],[TYPE DE PIECE]],Tableau4[MATIERE],Tableau4[SHORT TYPE],"",0,1)</f>
        <v/>
      </c>
      <c r="N1142">
        <f>IF(ISERR(FIND("DECOUPE",Tableau1[[#This Row],[DESIGNATION]])),"","NEED REF")</f>
        <v/>
      </c>
    </row>
    <row r="1143">
      <c r="B1143" t="n">
        <v>34412858</v>
      </c>
      <c r="C1143" s="2" t="n">
        <v>45548</v>
      </c>
      <c r="D1143" t="inlineStr">
        <is>
          <t>SPEC</t>
        </is>
      </c>
      <c r="E1143">
        <f>_xlfn.CONCAT(Tableau1[[#This Row],[SHORT TYPE]]," ",Tableau1[[#This Row],[NUMERO]]," ",Tableau1[[#This Row],[GAMME]]," ",Tableau1[[#This Row],[TYPE PRODUIT]]," ",Tableau1[[#This Row],[PUISSANCE]])</f>
        <v/>
      </c>
      <c r="G1143" t="inlineStr">
        <is>
          <t>GVX</t>
        </is>
      </c>
      <c r="H1143" t="inlineStr">
        <is>
          <t>UPS</t>
        </is>
      </c>
      <c r="I1143" t="inlineStr">
        <is>
          <t>1500kVA</t>
        </is>
      </c>
      <c r="J1143" t="inlineStr">
        <is>
          <t>MATRION</t>
        </is>
      </c>
      <c r="K1143" t="inlineStr">
        <is>
          <t>CUIVRE</t>
        </is>
      </c>
      <c r="L1143">
        <f>_xlfn.XLOOKUP(Tableau1[[#This Row],[TYPE DE PIECE]],Tableau4[MATIERE],Tableau4[SHORT TYPE],"",0,1)</f>
        <v/>
      </c>
      <c r="N1143">
        <f>IF(ISERR(FIND("DECOUPE",Tableau1[[#This Row],[DESIGNATION]])),"","NEED REF")</f>
        <v/>
      </c>
    </row>
    <row r="1144">
      <c r="B1144" t="n">
        <v>34412857</v>
      </c>
      <c r="C1144" s="2" t="n">
        <v>45548</v>
      </c>
      <c r="D1144" t="inlineStr">
        <is>
          <t>SPEC</t>
        </is>
      </c>
      <c r="E1144">
        <f>_xlfn.CONCAT(Tableau1[[#This Row],[SHORT TYPE]]," ",Tableau1[[#This Row],[NUMERO]]," ",Tableau1[[#This Row],[GAMME]]," ",Tableau1[[#This Row],[TYPE PRODUIT]]," ",Tableau1[[#This Row],[PUISSANCE]])</f>
        <v/>
      </c>
      <c r="G1144" t="inlineStr">
        <is>
          <t>GVX</t>
        </is>
      </c>
      <c r="H1144" t="inlineStr">
        <is>
          <t>UPS</t>
        </is>
      </c>
      <c r="I1144" t="inlineStr">
        <is>
          <t>1500kVA</t>
        </is>
      </c>
      <c r="J1144" t="inlineStr">
        <is>
          <t>MATRION</t>
        </is>
      </c>
      <c r="K1144" t="inlineStr">
        <is>
          <t>CUIVRE</t>
        </is>
      </c>
      <c r="L1144">
        <f>_xlfn.XLOOKUP(Tableau1[[#This Row],[TYPE DE PIECE]],Tableau4[MATIERE],Tableau4[SHORT TYPE],"",0,1)</f>
        <v/>
      </c>
      <c r="N1144">
        <f>IF(ISERR(FIND("DECOUPE",Tableau1[[#This Row],[DESIGNATION]])),"","NEED REF")</f>
        <v/>
      </c>
    </row>
    <row r="1145">
      <c r="B1145" t="n">
        <v>34412856</v>
      </c>
      <c r="C1145" s="2" t="n">
        <v>45548</v>
      </c>
      <c r="D1145" t="inlineStr">
        <is>
          <t>SPEC</t>
        </is>
      </c>
      <c r="E1145">
        <f>_xlfn.CONCAT(Tableau1[[#This Row],[SHORT TYPE]]," ",Tableau1[[#This Row],[NUMERO]]," ",Tableau1[[#This Row],[GAMME]]," ",Tableau1[[#This Row],[TYPE PRODUIT]]," ",Tableau1[[#This Row],[PUISSANCE]])</f>
        <v/>
      </c>
      <c r="G1145" t="inlineStr">
        <is>
          <t>GVX</t>
        </is>
      </c>
      <c r="H1145" t="inlineStr">
        <is>
          <t>UPS</t>
        </is>
      </c>
      <c r="I1145" t="inlineStr">
        <is>
          <t>1500kVA</t>
        </is>
      </c>
      <c r="J1145" t="inlineStr">
        <is>
          <t>MATRION</t>
        </is>
      </c>
      <c r="K1145" t="inlineStr">
        <is>
          <t>CUIVRE</t>
        </is>
      </c>
      <c r="L1145">
        <f>_xlfn.XLOOKUP(Tableau1[[#This Row],[TYPE DE PIECE]],Tableau4[MATIERE],Tableau4[SHORT TYPE],"",0,1)</f>
        <v/>
      </c>
      <c r="N1145">
        <f>IF(ISERR(FIND("DECOUPE",Tableau1[[#This Row],[DESIGNATION]])),"","NEED REF")</f>
        <v/>
      </c>
    </row>
    <row r="1146">
      <c r="B1146" t="n">
        <v>34412855</v>
      </c>
      <c r="C1146" s="2" t="n">
        <v>45546</v>
      </c>
      <c r="D1146" t="inlineStr">
        <is>
          <t>SPEC</t>
        </is>
      </c>
      <c r="E1146" t="inlineStr">
        <is>
          <t>KIT FILERIE SYNCHRO BOX</t>
        </is>
      </c>
      <c r="J1146" t="inlineStr">
        <is>
          <t>BERNARDEAU</t>
        </is>
      </c>
      <c r="K1146" t="inlineStr">
        <is>
          <t>FILERIE</t>
        </is>
      </c>
      <c r="L1146">
        <f>_xlfn.XLOOKUP(Tableau1[[#This Row],[TYPE DE PIECE]],Tableau4[MATIERE],Tableau4[SHORT TYPE],"",0,1)</f>
        <v/>
      </c>
      <c r="N1146">
        <f>IF(ISERR(FIND("DECOUPE",Tableau1[[#This Row],[DESIGNATION]])),"","NEED REF")</f>
        <v/>
      </c>
    </row>
    <row r="1147">
      <c r="B1147" t="n">
        <v>34412854</v>
      </c>
      <c r="C1147" s="2" t="n">
        <v>45546</v>
      </c>
      <c r="D1147" t="inlineStr">
        <is>
          <t>SPEC</t>
        </is>
      </c>
      <c r="E1147" t="inlineStr">
        <is>
          <t>decoupe rail DIN et goulotte QSMA83128</t>
        </is>
      </c>
      <c r="J1147" t="inlineStr">
        <is>
          <t>BERNARDEAU</t>
        </is>
      </c>
      <c r="K1147" t="inlineStr">
        <is>
          <t>DECOUPE</t>
        </is>
      </c>
      <c r="L1147" t="inlineStr">
        <is>
          <t>ETO</t>
        </is>
      </c>
      <c r="N1147">
        <f>IF(ISERR(FIND("DECOUPE",Tableau1[[#This Row],[DESIGNATION]])),"","NEED REF")</f>
        <v/>
      </c>
    </row>
    <row r="1148">
      <c r="B1148" t="n">
        <v>34412853</v>
      </c>
      <c r="C1148" s="2" t="n">
        <v>45545</v>
      </c>
      <c r="D1148" t="inlineStr">
        <is>
          <t>SPEC</t>
        </is>
      </c>
      <c r="E1148" t="inlineStr">
        <is>
          <t>SMT PLASTRON UOB</t>
        </is>
      </c>
      <c r="F1148" t="inlineStr">
        <is>
          <t>SE_DZ0100_Sarl SCHNEIDER ELECTRIC ALGERIA</t>
        </is>
      </c>
      <c r="G1148" t="inlineStr">
        <is>
          <t>E3M</t>
        </is>
      </c>
      <c r="H1148" t="inlineStr">
        <is>
          <t>BYPASS</t>
        </is>
      </c>
      <c r="I1148" t="inlineStr">
        <is>
          <t>400KVA</t>
        </is>
      </c>
      <c r="J1148" t="inlineStr">
        <is>
          <t>JAWORSKI</t>
        </is>
      </c>
      <c r="K1148" t="inlineStr">
        <is>
          <t>METAL</t>
        </is>
      </c>
      <c r="L1148">
        <f>_xlfn.XLOOKUP(Tableau1[[#This Row],[TYPE DE PIECE]],Tableau4[MATIERE],Tableau4[SHORT TYPE],"",0,1)</f>
        <v/>
      </c>
      <c r="N1148">
        <f>IF(ISERR(FIND("DECOUPE",Tableau1[[#This Row],[DESIGNATION]])),"","NEED REF")</f>
        <v/>
      </c>
    </row>
    <row r="1149">
      <c r="B1149" t="n">
        <v>34412852</v>
      </c>
      <c r="C1149" s="2" t="n">
        <v>45545</v>
      </c>
      <c r="D1149" t="inlineStr">
        <is>
          <t>SPEC</t>
        </is>
      </c>
      <c r="E1149" t="inlineStr">
        <is>
          <t>SMT PLASTRON MBB</t>
        </is>
      </c>
      <c r="F1149" t="inlineStr">
        <is>
          <t>SE_DZ0100_Sarl SCHNEIDER ELECTRIC ALGERIA</t>
        </is>
      </c>
      <c r="G1149" t="inlineStr">
        <is>
          <t>E3M</t>
        </is>
      </c>
      <c r="H1149" t="inlineStr">
        <is>
          <t>BYPASS</t>
        </is>
      </c>
      <c r="I1149" t="inlineStr">
        <is>
          <t>400KVA</t>
        </is>
      </c>
      <c r="J1149" t="inlineStr">
        <is>
          <t>JAWORSKI</t>
        </is>
      </c>
      <c r="K1149" t="inlineStr">
        <is>
          <t>METAL</t>
        </is>
      </c>
      <c r="L1149">
        <f>_xlfn.XLOOKUP(Tableau1[[#This Row],[TYPE DE PIECE]],Tableau4[MATIERE],Tableau4[SHORT TYPE],"",0,1)</f>
        <v/>
      </c>
      <c r="N1149">
        <f>IF(ISERR(FIND("DECOUPE",Tableau1[[#This Row],[DESIGNATION]])),"","NEED REF")</f>
        <v/>
      </c>
    </row>
    <row r="1150">
      <c r="B1150" t="n">
        <v>34412851</v>
      </c>
      <c r="C1150" s="2" t="n">
        <v>45545</v>
      </c>
      <c r="D1150" t="inlineStr">
        <is>
          <t>SPEC</t>
        </is>
      </c>
      <c r="E1150" t="inlineStr">
        <is>
          <t>SMT PLASTRON UIB</t>
        </is>
      </c>
      <c r="F1150" t="inlineStr">
        <is>
          <t>SE_DZ0100_Sarl SCHNEIDER ELECTRIC ALGERIA</t>
        </is>
      </c>
      <c r="G1150" t="inlineStr">
        <is>
          <t>E3M</t>
        </is>
      </c>
      <c r="H1150" t="inlineStr">
        <is>
          <t>BYPASS</t>
        </is>
      </c>
      <c r="I1150" t="inlineStr">
        <is>
          <t>400KVA</t>
        </is>
      </c>
      <c r="J1150" t="inlineStr">
        <is>
          <t>JAWORSKI</t>
        </is>
      </c>
      <c r="K1150" t="inlineStr">
        <is>
          <t>METAL</t>
        </is>
      </c>
      <c r="L1150">
        <f>_xlfn.XLOOKUP(Tableau1[[#This Row],[TYPE DE PIECE]],Tableau4[MATIERE],Tableau4[SHORT TYPE],"",0,1)</f>
        <v/>
      </c>
      <c r="N1150">
        <f>IF(ISERR(FIND("DECOUPE",Tableau1[[#This Row],[DESIGNATION]])),"","NEED REF")</f>
        <v/>
      </c>
    </row>
    <row r="1151">
      <c r="B1151" t="n">
        <v>34412850</v>
      </c>
      <c r="C1151" s="2" t="n">
        <v>45545</v>
      </c>
      <c r="D1151" t="inlineStr">
        <is>
          <t>SPEC</t>
        </is>
      </c>
      <c r="E1151" t="inlineStr">
        <is>
          <t>COP LIAISON NSX630 LINERGY L1</t>
        </is>
      </c>
      <c r="F1151" t="inlineStr">
        <is>
          <t>SE_DZ0100_Sarl SCHNEIDER ELECTRIC ALGERIA</t>
        </is>
      </c>
      <c r="G1151" t="inlineStr">
        <is>
          <t>E3M</t>
        </is>
      </c>
      <c r="H1151" t="inlineStr">
        <is>
          <t>BYPASS</t>
        </is>
      </c>
      <c r="I1151" t="inlineStr">
        <is>
          <t>400KVA</t>
        </is>
      </c>
      <c r="J1151" t="inlineStr">
        <is>
          <t>JAWORSKI</t>
        </is>
      </c>
      <c r="K1151" t="inlineStr">
        <is>
          <t>CUIVRE</t>
        </is>
      </c>
      <c r="L1151">
        <f>_xlfn.XLOOKUP(Tableau1[[#This Row],[TYPE DE PIECE]],Tableau4[MATIERE],Tableau4[SHORT TYPE],"",0,1)</f>
        <v/>
      </c>
      <c r="N1151">
        <f>IF(ISERR(FIND("DECOUPE",Tableau1[[#This Row],[DESIGNATION]])),"","NEED REF")</f>
        <v/>
      </c>
    </row>
    <row r="1152">
      <c r="B1152" t="n">
        <v>34412849</v>
      </c>
      <c r="C1152" s="2" t="n">
        <v>45545</v>
      </c>
      <c r="D1152" t="inlineStr">
        <is>
          <t>SPEC</t>
        </is>
      </c>
      <c r="E1152" t="inlineStr">
        <is>
          <t>COP LIAISON NSX630 LINERGY L2</t>
        </is>
      </c>
      <c r="F1152" t="inlineStr">
        <is>
          <t>SE_DZ0100_Sarl SCHNEIDER ELECTRIC ALGERIA</t>
        </is>
      </c>
      <c r="G1152" t="inlineStr">
        <is>
          <t>E3M</t>
        </is>
      </c>
      <c r="H1152" t="inlineStr">
        <is>
          <t>BYPASS</t>
        </is>
      </c>
      <c r="I1152" t="inlineStr">
        <is>
          <t>400KVA</t>
        </is>
      </c>
      <c r="J1152" t="inlineStr">
        <is>
          <t>JAWORSKI</t>
        </is>
      </c>
      <c r="K1152" t="inlineStr">
        <is>
          <t>CUIVRE</t>
        </is>
      </c>
      <c r="L1152">
        <f>_xlfn.XLOOKUP(Tableau1[[#This Row],[TYPE DE PIECE]],Tableau4[MATIERE],Tableau4[SHORT TYPE],"",0,1)</f>
        <v/>
      </c>
      <c r="N1152">
        <f>IF(ISERR(FIND("DECOUPE",Tableau1[[#This Row],[DESIGNATION]])),"","NEED REF")</f>
        <v/>
      </c>
    </row>
    <row r="1153">
      <c r="B1153" t="n">
        <v>34412848</v>
      </c>
      <c r="C1153" s="2" t="n">
        <v>45545</v>
      </c>
      <c r="D1153" t="inlineStr">
        <is>
          <t>SPEC</t>
        </is>
      </c>
      <c r="E1153" t="inlineStr">
        <is>
          <t>COP LIAISON NSX630 LINERGY L3</t>
        </is>
      </c>
      <c r="F1153" t="inlineStr">
        <is>
          <t>SE_DZ0100_Sarl SCHNEIDER ELECTRIC ALGERIA</t>
        </is>
      </c>
      <c r="G1153" t="inlineStr">
        <is>
          <t>E3M</t>
        </is>
      </c>
      <c r="H1153" t="inlineStr">
        <is>
          <t>BYPASS</t>
        </is>
      </c>
      <c r="I1153" t="inlineStr">
        <is>
          <t>400KVA</t>
        </is>
      </c>
      <c r="J1153" t="inlineStr">
        <is>
          <t>JAWORSKI</t>
        </is>
      </c>
      <c r="K1153" t="inlineStr">
        <is>
          <t>CUIVRE</t>
        </is>
      </c>
      <c r="L1153">
        <f>_xlfn.XLOOKUP(Tableau1[[#This Row],[TYPE DE PIECE]],Tableau4[MATIERE],Tableau4[SHORT TYPE],"",0,1)</f>
        <v/>
      </c>
      <c r="N1153">
        <f>IF(ISERR(FIND("DECOUPE",Tableau1[[#This Row],[DESIGNATION]])),"","NEED REF")</f>
        <v/>
      </c>
    </row>
    <row r="1154">
      <c r="B1154" t="n">
        <v>34412847</v>
      </c>
      <c r="C1154" s="2" t="n">
        <v>45545</v>
      </c>
      <c r="D1154" t="inlineStr">
        <is>
          <t>SPEC</t>
        </is>
      </c>
      <c r="E1154" t="inlineStr">
        <is>
          <t>SMT SUPPORT LINERGY</t>
        </is>
      </c>
      <c r="F1154" t="inlineStr">
        <is>
          <t>SE_DZ0100_Sarl SCHNEIDER ELECTRIC ALGERIA</t>
        </is>
      </c>
      <c r="G1154" t="inlineStr">
        <is>
          <t>E3M</t>
        </is>
      </c>
      <c r="H1154" t="inlineStr">
        <is>
          <t>BYPASS</t>
        </is>
      </c>
      <c r="I1154" t="inlineStr">
        <is>
          <t>400KVA</t>
        </is>
      </c>
      <c r="J1154" t="inlineStr">
        <is>
          <t>JAWORSKI</t>
        </is>
      </c>
      <c r="K1154" t="inlineStr">
        <is>
          <t>METAL</t>
        </is>
      </c>
      <c r="L1154">
        <f>_xlfn.XLOOKUP(Tableau1[[#This Row],[TYPE DE PIECE]],Tableau4[MATIERE],Tableau4[SHORT TYPE],"",0,1)</f>
        <v/>
      </c>
      <c r="N1154">
        <f>IF(ISERR(FIND("DECOUPE",Tableau1[[#This Row],[DESIGNATION]])),"","NEED REF")</f>
        <v/>
      </c>
    </row>
    <row r="1155">
      <c r="B1155" t="n">
        <v>34412846</v>
      </c>
      <c r="C1155" s="2" t="n">
        <v>45545</v>
      </c>
      <c r="D1155" t="inlineStr">
        <is>
          <t>SPEC</t>
        </is>
      </c>
      <c r="E1155" t="inlineStr">
        <is>
          <t>SMT SUPPORT LINERGY</t>
        </is>
      </c>
      <c r="F1155" t="inlineStr">
        <is>
          <t>SE_DZ0100_Sarl SCHNEIDER ELECTRIC ALGERIA</t>
        </is>
      </c>
      <c r="G1155" t="inlineStr">
        <is>
          <t>E3M</t>
        </is>
      </c>
      <c r="H1155" t="inlineStr">
        <is>
          <t>BYPASS</t>
        </is>
      </c>
      <c r="I1155" t="inlineStr">
        <is>
          <t>400KVA</t>
        </is>
      </c>
      <c r="J1155" t="inlineStr">
        <is>
          <t>JAWORSKI</t>
        </is>
      </c>
      <c r="K1155" t="inlineStr">
        <is>
          <t>METAL</t>
        </is>
      </c>
      <c r="L1155">
        <f>_xlfn.XLOOKUP(Tableau1[[#This Row],[TYPE DE PIECE]],Tableau4[MATIERE],Tableau4[SHORT TYPE],"",0,1)</f>
        <v/>
      </c>
      <c r="N1155">
        <f>IF(ISERR(FIND("DECOUPE",Tableau1[[#This Row],[DESIGNATION]])),"","NEED REF")</f>
        <v/>
      </c>
    </row>
    <row r="1156">
      <c r="B1156" t="n">
        <v>34412845</v>
      </c>
      <c r="C1156" s="2" t="n">
        <v>45545</v>
      </c>
      <c r="D1156" t="inlineStr">
        <is>
          <t>SPEC</t>
        </is>
      </c>
      <c r="E1156" t="inlineStr">
        <is>
          <t>PLA BRIDE CONNEXION CUIVRE UOB</t>
        </is>
      </c>
      <c r="F1156" t="inlineStr">
        <is>
          <t>SE_DZ0100_Sarl SCHNEIDER ELECTRIC ALGERIA</t>
        </is>
      </c>
      <c r="G1156" t="inlineStr">
        <is>
          <t>E3M</t>
        </is>
      </c>
      <c r="H1156" t="inlineStr">
        <is>
          <t>BYPASS</t>
        </is>
      </c>
      <c r="I1156" t="inlineStr">
        <is>
          <t>400KVA</t>
        </is>
      </c>
      <c r="J1156" t="inlineStr">
        <is>
          <t>JAWORSKI</t>
        </is>
      </c>
      <c r="K1156" t="inlineStr">
        <is>
          <t>PLASTIQUE</t>
        </is>
      </c>
      <c r="L1156">
        <f>_xlfn.XLOOKUP(Tableau1[[#This Row],[TYPE DE PIECE]],Tableau4[MATIERE],Tableau4[SHORT TYPE],"",0,1)</f>
        <v/>
      </c>
      <c r="N1156">
        <f>IF(ISERR(FIND("DECOUPE",Tableau1[[#This Row],[DESIGNATION]])),"","NEED REF")</f>
        <v/>
      </c>
    </row>
    <row r="1157">
      <c r="B1157" t="n">
        <v>34412844</v>
      </c>
      <c r="C1157" s="2" t="n">
        <v>45545</v>
      </c>
      <c r="D1157" t="inlineStr">
        <is>
          <t>SPEC</t>
        </is>
      </c>
      <c r="E1157" t="inlineStr">
        <is>
          <t>COP LIAISON NSX630 LINERGY N</t>
        </is>
      </c>
      <c r="F1157" t="inlineStr">
        <is>
          <t>SE_DZ0100_Sarl SCHNEIDER ELECTRIC ALGERIA</t>
        </is>
      </c>
      <c r="G1157" t="inlineStr">
        <is>
          <t>E3M</t>
        </is>
      </c>
      <c r="H1157" t="inlineStr">
        <is>
          <t>BYPASS</t>
        </is>
      </c>
      <c r="I1157" t="inlineStr">
        <is>
          <t>400KVA</t>
        </is>
      </c>
      <c r="J1157" t="inlineStr">
        <is>
          <t>JAWORSKI</t>
        </is>
      </c>
      <c r="K1157" t="inlineStr">
        <is>
          <t>CUIVRE</t>
        </is>
      </c>
      <c r="L1157">
        <f>_xlfn.XLOOKUP(Tableau1[[#This Row],[TYPE DE PIECE]],Tableau4[MATIERE],Tableau4[SHORT TYPE],"",0,1)</f>
        <v/>
      </c>
      <c r="N1157">
        <f>IF(ISERR(FIND("DECOUPE",Tableau1[[#This Row],[DESIGNATION]])),"","NEED REF")</f>
        <v/>
      </c>
    </row>
    <row r="1158">
      <c r="B1158" t="n">
        <v>34412843</v>
      </c>
      <c r="C1158" s="2" t="n">
        <v>45545</v>
      </c>
      <c r="D1158" t="inlineStr">
        <is>
          <t>SPEC</t>
        </is>
      </c>
      <c r="E1158" t="inlineStr">
        <is>
          <t>COP LIAISON UOB LINERGY N</t>
        </is>
      </c>
      <c r="F1158" t="inlineStr">
        <is>
          <t>SE_DZ0100_Sarl SCHNEIDER ELECTRIC ALGERIA</t>
        </is>
      </c>
      <c r="G1158" t="inlineStr">
        <is>
          <t>E3M</t>
        </is>
      </c>
      <c r="H1158" t="inlineStr">
        <is>
          <t>BYPASS</t>
        </is>
      </c>
      <c r="I1158" t="inlineStr">
        <is>
          <t>400KVA</t>
        </is>
      </c>
      <c r="J1158" t="inlineStr">
        <is>
          <t>JAWORSKI</t>
        </is>
      </c>
      <c r="K1158" t="inlineStr">
        <is>
          <t>CUIVRE</t>
        </is>
      </c>
      <c r="L1158">
        <f>_xlfn.XLOOKUP(Tableau1[[#This Row],[TYPE DE PIECE]],Tableau4[MATIERE],Tableau4[SHORT TYPE],"",0,1)</f>
        <v/>
      </c>
      <c r="N1158">
        <f>IF(ISERR(FIND("DECOUPE",Tableau1[[#This Row],[DESIGNATION]])),"","NEED REF")</f>
        <v/>
      </c>
    </row>
    <row r="1159">
      <c r="B1159" t="n">
        <v>34412842</v>
      </c>
      <c r="C1159" s="2" t="n">
        <v>45545</v>
      </c>
      <c r="D1159" t="inlineStr">
        <is>
          <t>SPEC</t>
        </is>
      </c>
      <c r="E1159" t="inlineStr">
        <is>
          <t>COP LIAISON UOB LINERGY L1</t>
        </is>
      </c>
      <c r="F1159" t="inlineStr">
        <is>
          <t>SE_DZ0100_Sarl SCHNEIDER ELECTRIC ALGERIA</t>
        </is>
      </c>
      <c r="G1159" t="inlineStr">
        <is>
          <t>E3M</t>
        </is>
      </c>
      <c r="H1159" t="inlineStr">
        <is>
          <t>BYPASS</t>
        </is>
      </c>
      <c r="I1159" t="inlineStr">
        <is>
          <t>400KVA</t>
        </is>
      </c>
      <c r="J1159" t="inlineStr">
        <is>
          <t>JAWORSKI</t>
        </is>
      </c>
      <c r="K1159" t="inlineStr">
        <is>
          <t>CUIVRE</t>
        </is>
      </c>
      <c r="L1159">
        <f>_xlfn.XLOOKUP(Tableau1[[#This Row],[TYPE DE PIECE]],Tableau4[MATIERE],Tableau4[SHORT TYPE],"",0,1)</f>
        <v/>
      </c>
      <c r="N1159">
        <f>IF(ISERR(FIND("DECOUPE",Tableau1[[#This Row],[DESIGNATION]])),"","NEED REF")</f>
        <v/>
      </c>
    </row>
    <row r="1160">
      <c r="B1160" t="n">
        <v>34412841</v>
      </c>
      <c r="C1160" s="2" t="n">
        <v>45545</v>
      </c>
      <c r="D1160" t="inlineStr">
        <is>
          <t>SPEC</t>
        </is>
      </c>
      <c r="E1160" t="inlineStr">
        <is>
          <t>COP LIAISON UOB LINERGY L2</t>
        </is>
      </c>
      <c r="F1160" t="inlineStr">
        <is>
          <t>SE_DZ0100_Sarl SCHNEIDER ELECTRIC ALGERIA</t>
        </is>
      </c>
      <c r="G1160" t="inlineStr">
        <is>
          <t>E3M</t>
        </is>
      </c>
      <c r="H1160" t="inlineStr">
        <is>
          <t>BYPASS</t>
        </is>
      </c>
      <c r="I1160" t="inlineStr">
        <is>
          <t>400KVA</t>
        </is>
      </c>
      <c r="J1160" t="inlineStr">
        <is>
          <t>JAWORSKI</t>
        </is>
      </c>
      <c r="K1160" t="inlineStr">
        <is>
          <t>CUIVRE</t>
        </is>
      </c>
      <c r="L1160">
        <f>_xlfn.XLOOKUP(Tableau1[[#This Row],[TYPE DE PIECE]],Tableau4[MATIERE],Tableau4[SHORT TYPE],"",0,1)</f>
        <v/>
      </c>
      <c r="N1160">
        <f>IF(ISERR(FIND("DECOUPE",Tableau1[[#This Row],[DESIGNATION]])),"","NEED REF")</f>
        <v/>
      </c>
    </row>
    <row r="1161">
      <c r="B1161" t="n">
        <v>34412840</v>
      </c>
      <c r="C1161" s="2" t="n">
        <v>45545</v>
      </c>
      <c r="D1161" t="inlineStr">
        <is>
          <t>SPEC</t>
        </is>
      </c>
      <c r="E1161" t="inlineStr">
        <is>
          <t>COP LIAISON UOB LINERGY L3</t>
        </is>
      </c>
      <c r="F1161" t="inlineStr">
        <is>
          <t>SE_DZ0100_Sarl SCHNEIDER ELECTRIC ALGERIA</t>
        </is>
      </c>
      <c r="G1161" t="inlineStr">
        <is>
          <t>E3M</t>
        </is>
      </c>
      <c r="H1161" t="inlineStr">
        <is>
          <t>BYPASS</t>
        </is>
      </c>
      <c r="I1161" t="inlineStr">
        <is>
          <t>400KVA</t>
        </is>
      </c>
      <c r="J1161" t="inlineStr">
        <is>
          <t>JAWORSKI</t>
        </is>
      </c>
      <c r="K1161" t="inlineStr">
        <is>
          <t>CUIVRE</t>
        </is>
      </c>
      <c r="L1161">
        <f>_xlfn.XLOOKUP(Tableau1[[#This Row],[TYPE DE PIECE]],Tableau4[MATIERE],Tableau4[SHORT TYPE],"",0,1)</f>
        <v/>
      </c>
      <c r="N1161">
        <f>IF(ISERR(FIND("DECOUPE",Tableau1[[#This Row],[DESIGNATION]])),"","NEED REF")</f>
        <v/>
      </c>
    </row>
    <row r="1162">
      <c r="B1162" t="n">
        <v>34412839</v>
      </c>
      <c r="C1162" s="2" t="n">
        <v>45539</v>
      </c>
      <c r="D1162" t="inlineStr">
        <is>
          <t>SPEC</t>
        </is>
      </c>
      <c r="E1162">
        <f>_xlfn.CONCAT(Tableau1[[#This Row],[SHORT TYPE]]," ",Tableau1[[#This Row],[NUMERO]]," ",Tableau1[[#This Row],[GAMME]]," ",Tableau1[[#This Row],[TYPE PRODUIT]]," ",Tableau1[[#This Row],[PUISSANCE]])</f>
        <v/>
      </c>
      <c r="F1162" t="inlineStr">
        <is>
          <t>INTERXION KENYA</t>
        </is>
      </c>
      <c r="G1162" t="inlineStr">
        <is>
          <t>GVX</t>
        </is>
      </c>
      <c r="H1162" t="inlineStr">
        <is>
          <t>UPS</t>
        </is>
      </c>
      <c r="I1162" t="inlineStr">
        <is>
          <t>1250kVA</t>
        </is>
      </c>
      <c r="J1162" t="inlineStr">
        <is>
          <t>MATRION</t>
        </is>
      </c>
      <c r="K1162" t="inlineStr">
        <is>
          <t>METAL</t>
        </is>
      </c>
      <c r="L1162">
        <f>_xlfn.XLOOKUP(Tableau1[[#This Row],[TYPE DE PIECE]],Tableau4[MATIERE],Tableau4[SHORT TYPE],"",0,1)</f>
        <v/>
      </c>
      <c r="N1162">
        <f>IF(ISERR(FIND("DECOUPE",Tableau1[[#This Row],[DESIGNATION]])),"","NEED REF")</f>
        <v/>
      </c>
    </row>
    <row r="1163">
      <c r="B1163" t="n">
        <v>34412838</v>
      </c>
      <c r="C1163" s="2" t="n">
        <v>45539</v>
      </c>
      <c r="D1163" t="inlineStr">
        <is>
          <t>SPEC</t>
        </is>
      </c>
      <c r="E1163">
        <f>_xlfn.CONCAT(Tableau1[[#This Row],[SHORT TYPE]]," ",Tableau1[[#This Row],[NUMERO]]," ",Tableau1[[#This Row],[GAMME]]," ",Tableau1[[#This Row],[TYPE PRODUIT]]," ",Tableau1[[#This Row],[PUISSANCE]])</f>
        <v/>
      </c>
      <c r="F1163" t="inlineStr">
        <is>
          <t>INTERXION KENYA</t>
        </is>
      </c>
      <c r="G1163" t="inlineStr">
        <is>
          <t>GVX</t>
        </is>
      </c>
      <c r="H1163" t="inlineStr">
        <is>
          <t>UPS</t>
        </is>
      </c>
      <c r="I1163" t="inlineStr">
        <is>
          <t>1250kVA</t>
        </is>
      </c>
      <c r="J1163" t="inlineStr">
        <is>
          <t>MATRION</t>
        </is>
      </c>
      <c r="K1163" t="inlineStr">
        <is>
          <t>CUIVRE</t>
        </is>
      </c>
      <c r="L1163">
        <f>_xlfn.XLOOKUP(Tableau1[[#This Row],[TYPE DE PIECE]],Tableau4[MATIERE],Tableau4[SHORT TYPE],"",0,1)</f>
        <v/>
      </c>
      <c r="N1163">
        <f>IF(ISERR(FIND("DECOUPE",Tableau1[[#This Row],[DESIGNATION]])),"","NEED REF")</f>
        <v/>
      </c>
    </row>
    <row r="1164">
      <c r="B1164" t="n">
        <v>34412837</v>
      </c>
      <c r="C1164" s="2" t="n">
        <v>45539</v>
      </c>
      <c r="D1164" t="inlineStr">
        <is>
          <t>SPEC</t>
        </is>
      </c>
      <c r="E1164">
        <f>_xlfn.CONCAT(Tableau1[[#This Row],[SHORT TYPE]]," ",Tableau1[[#This Row],[NUMERO]]," ",Tableau1[[#This Row],[GAMME]]," ",Tableau1[[#This Row],[TYPE PRODUIT]]," ",Tableau1[[#This Row],[PUISSANCE]])</f>
        <v/>
      </c>
      <c r="F1164" t="inlineStr">
        <is>
          <t>INTERXION KENYA</t>
        </is>
      </c>
      <c r="G1164" t="inlineStr">
        <is>
          <t>GVX</t>
        </is>
      </c>
      <c r="H1164" t="inlineStr">
        <is>
          <t>UPS</t>
        </is>
      </c>
      <c r="I1164" t="inlineStr">
        <is>
          <t>1250kVA</t>
        </is>
      </c>
      <c r="J1164" t="inlineStr">
        <is>
          <t>MATRION</t>
        </is>
      </c>
      <c r="K1164" t="inlineStr">
        <is>
          <t>CUIVRE</t>
        </is>
      </c>
      <c r="L1164">
        <f>_xlfn.XLOOKUP(Tableau1[[#This Row],[TYPE DE PIECE]],Tableau4[MATIERE],Tableau4[SHORT TYPE],"",0,1)</f>
        <v/>
      </c>
      <c r="N1164">
        <f>IF(ISERR(FIND("DECOUPE",Tableau1[[#This Row],[DESIGNATION]])),"","NEED REF")</f>
        <v/>
      </c>
    </row>
    <row r="1165">
      <c r="B1165" t="n">
        <v>34412836</v>
      </c>
      <c r="C1165" s="2" t="n">
        <v>45539</v>
      </c>
      <c r="D1165" t="inlineStr">
        <is>
          <t>SPEC</t>
        </is>
      </c>
      <c r="E1165" t="inlineStr">
        <is>
          <t>PLA BRIDE CONNEXION CUIVRE MBB</t>
        </is>
      </c>
      <c r="F1165" t="inlineStr">
        <is>
          <t>SE_DZ0100_Sarl SCHNEIDER ELECTRIC ALGERIA</t>
        </is>
      </c>
      <c r="G1165" t="inlineStr">
        <is>
          <t>E3M</t>
        </is>
      </c>
      <c r="H1165" t="inlineStr">
        <is>
          <t>BYPASS</t>
        </is>
      </c>
      <c r="I1165" t="inlineStr">
        <is>
          <t>400KVA</t>
        </is>
      </c>
      <c r="J1165" t="inlineStr">
        <is>
          <t>JAWORSKI</t>
        </is>
      </c>
      <c r="K1165" t="inlineStr">
        <is>
          <t>PLASTIQUE</t>
        </is>
      </c>
      <c r="L1165">
        <f>_xlfn.XLOOKUP(Tableau1[[#This Row],[TYPE DE PIECE]],Tableau4[MATIERE],Tableau4[SHORT TYPE],"",0,1)</f>
        <v/>
      </c>
      <c r="N1165">
        <f>IF(ISERR(FIND("DECOUPE",Tableau1[[#This Row],[DESIGNATION]])),"","NEED REF")</f>
        <v/>
      </c>
    </row>
    <row r="1166">
      <c r="B1166" t="n">
        <v>34412835</v>
      </c>
      <c r="C1166" s="2" t="n">
        <v>45539</v>
      </c>
      <c r="D1166" t="inlineStr">
        <is>
          <t>SPEC</t>
        </is>
      </c>
      <c r="E1166" t="inlineStr">
        <is>
          <t>COP LIAISON MBB LINERGY N</t>
        </is>
      </c>
      <c r="F1166" t="inlineStr">
        <is>
          <t>SE_DZ0100_Sarl SCHNEIDER ELECTRIC ALGERIA</t>
        </is>
      </c>
      <c r="G1166" t="inlineStr">
        <is>
          <t>E3M</t>
        </is>
      </c>
      <c r="H1166" t="inlineStr">
        <is>
          <t>BYPASS</t>
        </is>
      </c>
      <c r="I1166" t="inlineStr">
        <is>
          <t>400KVA</t>
        </is>
      </c>
      <c r="J1166" t="inlineStr">
        <is>
          <t>JAWORSKI</t>
        </is>
      </c>
      <c r="K1166" t="inlineStr">
        <is>
          <t>CUIVRE</t>
        </is>
      </c>
      <c r="L1166">
        <f>_xlfn.XLOOKUP(Tableau1[[#This Row],[TYPE DE PIECE]],Tableau4[MATIERE],Tableau4[SHORT TYPE],"",0,1)</f>
        <v/>
      </c>
      <c r="N1166">
        <f>IF(ISERR(FIND("DECOUPE",Tableau1[[#This Row],[DESIGNATION]])),"","NEED REF")</f>
        <v/>
      </c>
    </row>
    <row r="1167">
      <c r="B1167" t="n">
        <v>34412834</v>
      </c>
      <c r="C1167" s="2" t="n">
        <v>45539</v>
      </c>
      <c r="D1167" t="inlineStr">
        <is>
          <t>SPEC</t>
        </is>
      </c>
      <c r="E1167" t="inlineStr">
        <is>
          <t>COP LIAISON MBB LINERGY L1</t>
        </is>
      </c>
      <c r="F1167" t="inlineStr">
        <is>
          <t>SE_DZ0100_Sarl SCHNEIDER ELECTRIC ALGERIA</t>
        </is>
      </c>
      <c r="G1167" t="inlineStr">
        <is>
          <t>E3M</t>
        </is>
      </c>
      <c r="H1167" t="inlineStr">
        <is>
          <t>BYPASS</t>
        </is>
      </c>
      <c r="I1167" t="inlineStr">
        <is>
          <t>400KVA</t>
        </is>
      </c>
      <c r="J1167" t="inlineStr">
        <is>
          <t>JAWORSKI</t>
        </is>
      </c>
      <c r="K1167" t="inlineStr">
        <is>
          <t>CUIVRE</t>
        </is>
      </c>
      <c r="L1167">
        <f>_xlfn.XLOOKUP(Tableau1[[#This Row],[TYPE DE PIECE]],Tableau4[MATIERE],Tableau4[SHORT TYPE],"",0,1)</f>
        <v/>
      </c>
      <c r="N1167">
        <f>IF(ISERR(FIND("DECOUPE",Tableau1[[#This Row],[DESIGNATION]])),"","NEED REF")</f>
        <v/>
      </c>
    </row>
    <row r="1168">
      <c r="B1168" t="n">
        <v>34412833</v>
      </c>
      <c r="C1168" s="2" t="n">
        <v>45539</v>
      </c>
      <c r="D1168" t="inlineStr">
        <is>
          <t>SPEC</t>
        </is>
      </c>
      <c r="E1168" t="inlineStr">
        <is>
          <t>COP LIAISON MBB LINERGY L2</t>
        </is>
      </c>
      <c r="F1168" t="inlineStr">
        <is>
          <t>SE_DZ0100_Sarl SCHNEIDER ELECTRIC ALGERIA</t>
        </is>
      </c>
      <c r="G1168" t="inlineStr">
        <is>
          <t>E3M</t>
        </is>
      </c>
      <c r="H1168" t="inlineStr">
        <is>
          <t>BYPASS</t>
        </is>
      </c>
      <c r="I1168" t="inlineStr">
        <is>
          <t>400KVA</t>
        </is>
      </c>
      <c r="J1168" t="inlineStr">
        <is>
          <t>JAWORSKI</t>
        </is>
      </c>
      <c r="K1168" t="inlineStr">
        <is>
          <t>CUIVRE</t>
        </is>
      </c>
      <c r="L1168">
        <f>_xlfn.XLOOKUP(Tableau1[[#This Row],[TYPE DE PIECE]],Tableau4[MATIERE],Tableau4[SHORT TYPE],"",0,1)</f>
        <v/>
      </c>
      <c r="N1168">
        <f>IF(ISERR(FIND("DECOUPE",Tableau1[[#This Row],[DESIGNATION]])),"","NEED REF")</f>
        <v/>
      </c>
    </row>
    <row r="1169">
      <c r="B1169" t="n">
        <v>34412832</v>
      </c>
      <c r="C1169" s="2" t="n">
        <v>45539</v>
      </c>
      <c r="D1169" t="inlineStr">
        <is>
          <t>SPEC</t>
        </is>
      </c>
      <c r="E1169" t="inlineStr">
        <is>
          <t>COP LIAISON MBB LINERGY L3</t>
        </is>
      </c>
      <c r="F1169" t="inlineStr">
        <is>
          <t>SE_DZ0100_Sarl SCHNEIDER ELECTRIC ALGERIA</t>
        </is>
      </c>
      <c r="G1169" t="inlineStr">
        <is>
          <t>E3M</t>
        </is>
      </c>
      <c r="H1169" t="inlineStr">
        <is>
          <t>BYPASS</t>
        </is>
      </c>
      <c r="I1169" t="inlineStr">
        <is>
          <t>400KVA</t>
        </is>
      </c>
      <c r="J1169" t="inlineStr">
        <is>
          <t>JAWORSKI</t>
        </is>
      </c>
      <c r="K1169" t="inlineStr">
        <is>
          <t>CUIVRE</t>
        </is>
      </c>
      <c r="L1169">
        <f>_xlfn.XLOOKUP(Tableau1[[#This Row],[TYPE DE PIECE]],Tableau4[MATIERE],Tableau4[SHORT TYPE],"",0,1)</f>
        <v/>
      </c>
      <c r="N1169">
        <f>IF(ISERR(FIND("DECOUPE",Tableau1[[#This Row],[DESIGNATION]])),"","NEED REF")</f>
        <v/>
      </c>
    </row>
    <row r="1170">
      <c r="B1170" t="n">
        <v>34412831</v>
      </c>
      <c r="C1170" s="2" t="n">
        <v>45539</v>
      </c>
      <c r="D1170" t="inlineStr">
        <is>
          <t>SPEC</t>
        </is>
      </c>
      <c r="E1170" t="inlineStr">
        <is>
          <t>SMT PLATINE BYPASS MBB</t>
        </is>
      </c>
      <c r="F1170" t="inlineStr">
        <is>
          <t>SE_DZ0100_Sarl SCHNEIDER ELECTRIC ALGERIA</t>
        </is>
      </c>
      <c r="G1170" t="inlineStr">
        <is>
          <t>E3M</t>
        </is>
      </c>
      <c r="H1170" t="inlineStr">
        <is>
          <t>BYPASS</t>
        </is>
      </c>
      <c r="I1170" t="inlineStr">
        <is>
          <t>400KVA</t>
        </is>
      </c>
      <c r="J1170" t="inlineStr">
        <is>
          <t>JAWORSKI</t>
        </is>
      </c>
      <c r="K1170" t="inlineStr">
        <is>
          <t>METAL</t>
        </is>
      </c>
      <c r="L1170">
        <f>_xlfn.XLOOKUP(Tableau1[[#This Row],[TYPE DE PIECE]],Tableau4[MATIERE],Tableau4[SHORT TYPE],"",0,1)</f>
        <v/>
      </c>
      <c r="N1170">
        <f>IF(ISERR(FIND("DECOUPE",Tableau1[[#This Row],[DESIGNATION]])),"","NEED REF")</f>
        <v/>
      </c>
    </row>
    <row r="1171">
      <c r="B1171" t="n">
        <v>34412830</v>
      </c>
      <c r="C1171" s="2" t="n">
        <v>45539</v>
      </c>
      <c r="D1171" t="inlineStr">
        <is>
          <t>SPEC</t>
        </is>
      </c>
      <c r="E1171" t="inlineStr">
        <is>
          <t>SMT SUPPORT PLATINE UIB</t>
        </is>
      </c>
      <c r="F1171" t="inlineStr">
        <is>
          <t>SE_DZ0100_Sarl SCHNEIDER ELECTRIC ALGERIA</t>
        </is>
      </c>
      <c r="G1171" t="inlineStr">
        <is>
          <t>E3M</t>
        </is>
      </c>
      <c r="H1171" t="inlineStr">
        <is>
          <t>BYPASS</t>
        </is>
      </c>
      <c r="I1171" t="inlineStr">
        <is>
          <t>400KVA</t>
        </is>
      </c>
      <c r="J1171" t="inlineStr">
        <is>
          <t>JAWORSKI</t>
        </is>
      </c>
      <c r="K1171" t="inlineStr">
        <is>
          <t>METAL</t>
        </is>
      </c>
      <c r="L1171">
        <f>_xlfn.XLOOKUP(Tableau1[[#This Row],[TYPE DE PIECE]],Tableau4[MATIERE],Tableau4[SHORT TYPE],"",0,1)</f>
        <v/>
      </c>
      <c r="N1171">
        <f>IF(ISERR(FIND("DECOUPE",Tableau1[[#This Row],[DESIGNATION]])),"","NEED REF")</f>
        <v/>
      </c>
    </row>
    <row r="1172">
      <c r="B1172" t="n">
        <v>34412829</v>
      </c>
      <c r="C1172" s="2" t="n">
        <v>45539</v>
      </c>
      <c r="D1172" t="inlineStr">
        <is>
          <t>SPEC</t>
        </is>
      </c>
      <c r="E1172" t="inlineStr">
        <is>
          <t>SMT SUPPORT PLATINE UIB/UOB</t>
        </is>
      </c>
      <c r="F1172" t="inlineStr">
        <is>
          <t>SE_DZ0100_Sarl SCHNEIDER ELECTRIC ALGERIA</t>
        </is>
      </c>
      <c r="G1172" t="inlineStr">
        <is>
          <t>E3M</t>
        </is>
      </c>
      <c r="H1172" t="inlineStr">
        <is>
          <t>BYPASS</t>
        </is>
      </c>
      <c r="I1172" t="inlineStr">
        <is>
          <t>400KVA</t>
        </is>
      </c>
      <c r="J1172" t="inlineStr">
        <is>
          <t>JAWORSKI</t>
        </is>
      </c>
      <c r="K1172" t="inlineStr">
        <is>
          <t>METAL</t>
        </is>
      </c>
      <c r="L1172">
        <f>_xlfn.XLOOKUP(Tableau1[[#This Row],[TYPE DE PIECE]],Tableau4[MATIERE],Tableau4[SHORT TYPE],"",0,1)</f>
        <v/>
      </c>
      <c r="N1172">
        <f>IF(ISERR(FIND("DECOUPE",Tableau1[[#This Row],[DESIGNATION]])),"","NEED REF")</f>
        <v/>
      </c>
    </row>
    <row r="1173">
      <c r="B1173" t="n">
        <v>34412828</v>
      </c>
      <c r="C1173" s="2" t="n">
        <v>45539</v>
      </c>
      <c r="D1173" t="inlineStr">
        <is>
          <t>SPEC</t>
        </is>
      </c>
      <c r="E1173" t="inlineStr">
        <is>
          <t>SMT SUPPORT PLATINE UOB</t>
        </is>
      </c>
      <c r="F1173" t="inlineStr">
        <is>
          <t>SE_DZ0100_Sarl SCHNEIDER ELECTRIC ALGERIA</t>
        </is>
      </c>
      <c r="G1173" t="inlineStr">
        <is>
          <t>E3M</t>
        </is>
      </c>
      <c r="H1173" t="inlineStr">
        <is>
          <t>BYPASS</t>
        </is>
      </c>
      <c r="I1173" t="inlineStr">
        <is>
          <t>400KVA</t>
        </is>
      </c>
      <c r="J1173" t="inlineStr">
        <is>
          <t>JAWORSKI</t>
        </is>
      </c>
      <c r="K1173" t="inlineStr">
        <is>
          <t>METAL</t>
        </is>
      </c>
      <c r="L1173">
        <f>_xlfn.XLOOKUP(Tableau1[[#This Row],[TYPE DE PIECE]],Tableau4[MATIERE],Tableau4[SHORT TYPE],"",0,1)</f>
        <v/>
      </c>
      <c r="N1173">
        <f>IF(ISERR(FIND("DECOUPE",Tableau1[[#This Row],[DESIGNATION]])),"","NEED REF")</f>
        <v/>
      </c>
    </row>
    <row r="1174">
      <c r="B1174" t="n">
        <v>34412827</v>
      </c>
      <c r="C1174" s="2" t="n">
        <v>45539</v>
      </c>
      <c r="D1174" t="inlineStr">
        <is>
          <t>SPEC</t>
        </is>
      </c>
      <c r="E1174" t="inlineStr">
        <is>
          <t>PLA BRIDE CONNEXION CUIVRE UIB/UOB</t>
        </is>
      </c>
      <c r="F1174" t="inlineStr">
        <is>
          <t>SE_DZ0100_Sarl SCHNEIDER ELECTRIC ALGERIA</t>
        </is>
      </c>
      <c r="G1174" t="inlineStr">
        <is>
          <t>E3M</t>
        </is>
      </c>
      <c r="H1174" t="inlineStr">
        <is>
          <t>BYPASS</t>
        </is>
      </c>
      <c r="I1174" t="inlineStr">
        <is>
          <t>400KVA</t>
        </is>
      </c>
      <c r="J1174" t="inlineStr">
        <is>
          <t>JAWORSKI</t>
        </is>
      </c>
      <c r="K1174" t="inlineStr">
        <is>
          <t>PLASTIQUE</t>
        </is>
      </c>
      <c r="L1174">
        <f>_xlfn.XLOOKUP(Tableau1[[#This Row],[TYPE DE PIECE]],Tableau4[MATIERE],Tableau4[SHORT TYPE],"",0,1)</f>
        <v/>
      </c>
      <c r="N1174">
        <f>IF(ISERR(FIND("DECOUPE",Tableau1[[#This Row],[DESIGNATION]])),"","NEED REF")</f>
        <v/>
      </c>
    </row>
    <row r="1175">
      <c r="B1175" t="n">
        <v>34412826</v>
      </c>
      <c r="C1175" s="2" t="n">
        <v>45539</v>
      </c>
      <c r="D1175" t="inlineStr">
        <is>
          <t>SPEC</t>
        </is>
      </c>
      <c r="E1175" t="inlineStr">
        <is>
          <t>COP LIAISON UIB/UOB LINERGY L2</t>
        </is>
      </c>
      <c r="F1175" t="inlineStr">
        <is>
          <t>SE_DZ0100_Sarl SCHNEIDER ELECTRIC ALGERIA</t>
        </is>
      </c>
      <c r="G1175" t="inlineStr">
        <is>
          <t>E3M</t>
        </is>
      </c>
      <c r="H1175" t="inlineStr">
        <is>
          <t>BYPASS</t>
        </is>
      </c>
      <c r="I1175" t="inlineStr">
        <is>
          <t>400KVA</t>
        </is>
      </c>
      <c r="J1175" t="inlineStr">
        <is>
          <t>JAWORSKI</t>
        </is>
      </c>
      <c r="K1175" t="inlineStr">
        <is>
          <t>CUIVRE</t>
        </is>
      </c>
      <c r="L1175">
        <f>_xlfn.XLOOKUP(Tableau1[[#This Row],[TYPE DE PIECE]],Tableau4[MATIERE],Tableau4[SHORT TYPE],"",0,1)</f>
        <v/>
      </c>
      <c r="N1175">
        <f>IF(ISERR(FIND("DECOUPE",Tableau1[[#This Row],[DESIGNATION]])),"","NEED REF")</f>
        <v/>
      </c>
    </row>
    <row r="1176">
      <c r="B1176" t="n">
        <v>34412825</v>
      </c>
      <c r="C1176" s="2" t="n">
        <v>45539</v>
      </c>
      <c r="D1176" t="inlineStr">
        <is>
          <t>SPEC</t>
        </is>
      </c>
      <c r="E1176" t="inlineStr">
        <is>
          <t>COP LIAISON UIB/UOB LINERGY L1</t>
        </is>
      </c>
      <c r="F1176" t="inlineStr">
        <is>
          <t>SE_DZ0100_Sarl SCHNEIDER ELECTRIC ALGERIA</t>
        </is>
      </c>
      <c r="G1176" t="inlineStr">
        <is>
          <t>E3M</t>
        </is>
      </c>
      <c r="H1176" t="inlineStr">
        <is>
          <t>BYPASS</t>
        </is>
      </c>
      <c r="I1176" t="inlineStr">
        <is>
          <t>400KVA</t>
        </is>
      </c>
      <c r="J1176" t="inlineStr">
        <is>
          <t>JAWORSKI</t>
        </is>
      </c>
      <c r="K1176" t="inlineStr">
        <is>
          <t>CUIVRE</t>
        </is>
      </c>
      <c r="L1176">
        <f>_xlfn.XLOOKUP(Tableau1[[#This Row],[TYPE DE PIECE]],Tableau4[MATIERE],Tableau4[SHORT TYPE],"",0,1)</f>
        <v/>
      </c>
      <c r="N1176">
        <f>IF(ISERR(FIND("DECOUPE",Tableau1[[#This Row],[DESIGNATION]])),"","NEED REF")</f>
        <v/>
      </c>
    </row>
    <row r="1177">
      <c r="B1177" t="n">
        <v>34412824</v>
      </c>
      <c r="C1177" s="2" t="n">
        <v>45539</v>
      </c>
      <c r="D1177" t="inlineStr">
        <is>
          <t>SPEC</t>
        </is>
      </c>
      <c r="E1177" t="inlineStr">
        <is>
          <t>COP LIAISON UIB/UOB LINERGY N</t>
        </is>
      </c>
      <c r="F1177" t="inlineStr">
        <is>
          <t>SE_DZ0100_Sarl SCHNEIDER ELECTRIC ALGERIA</t>
        </is>
      </c>
      <c r="G1177" t="inlineStr">
        <is>
          <t>E3M</t>
        </is>
      </c>
      <c r="H1177" t="inlineStr">
        <is>
          <t>BYPASS</t>
        </is>
      </c>
      <c r="I1177" t="inlineStr">
        <is>
          <t>400KVA</t>
        </is>
      </c>
      <c r="J1177" t="inlineStr">
        <is>
          <t>JAWORSKI</t>
        </is>
      </c>
      <c r="K1177" t="inlineStr">
        <is>
          <t>CUIVRE</t>
        </is>
      </c>
      <c r="L1177">
        <f>_xlfn.XLOOKUP(Tableau1[[#This Row],[TYPE DE PIECE]],Tableau4[MATIERE],Tableau4[SHORT TYPE],"",0,1)</f>
        <v/>
      </c>
      <c r="N1177">
        <f>IF(ISERR(FIND("DECOUPE",Tableau1[[#This Row],[DESIGNATION]])),"","NEED REF")</f>
        <v/>
      </c>
    </row>
    <row r="1178">
      <c r="B1178" t="n">
        <v>34412823</v>
      </c>
      <c r="C1178" s="2" t="n">
        <v>45539</v>
      </c>
      <c r="D1178" t="inlineStr">
        <is>
          <t>SPEC</t>
        </is>
      </c>
      <c r="E1178" t="inlineStr">
        <is>
          <t>COP LIAISON UIB/UOB LINERGY L3</t>
        </is>
      </c>
      <c r="F1178" t="inlineStr">
        <is>
          <t>SE_DZ0100_Sarl SCHNEIDER ELECTRIC ALGERIA</t>
        </is>
      </c>
      <c r="G1178" t="inlineStr">
        <is>
          <t>E3M</t>
        </is>
      </c>
      <c r="H1178" t="inlineStr">
        <is>
          <t>BYPASS</t>
        </is>
      </c>
      <c r="I1178" t="inlineStr">
        <is>
          <t>400KVA</t>
        </is>
      </c>
      <c r="J1178" t="inlineStr">
        <is>
          <t>JAWORSKI</t>
        </is>
      </c>
      <c r="K1178" t="inlineStr">
        <is>
          <t>CUIVRE</t>
        </is>
      </c>
      <c r="L1178">
        <f>_xlfn.XLOOKUP(Tableau1[[#This Row],[TYPE DE PIECE]],Tableau4[MATIERE],Tableau4[SHORT TYPE],"",0,1)</f>
        <v/>
      </c>
      <c r="N1178">
        <f>IF(ISERR(FIND("DECOUPE",Tableau1[[#This Row],[DESIGNATION]])),"","NEED REF")</f>
        <v/>
      </c>
    </row>
    <row r="1179">
      <c r="B1179" t="n">
        <v>34412822</v>
      </c>
      <c r="C1179" s="2" t="n">
        <v>45539</v>
      </c>
      <c r="D1179" t="inlineStr">
        <is>
          <t>SPEC</t>
        </is>
      </c>
      <c r="E1179" t="inlineStr">
        <is>
          <t>SMT PLATINE 2XNSX400</t>
        </is>
      </c>
      <c r="F1179" t="inlineStr">
        <is>
          <t>SE_DZ0100_Sarl SCHNEIDER ELECTRIC ALGERIA</t>
        </is>
      </c>
      <c r="G1179" t="inlineStr">
        <is>
          <t>E3M</t>
        </is>
      </c>
      <c r="H1179" t="inlineStr">
        <is>
          <t>BYPASS</t>
        </is>
      </c>
      <c r="I1179" t="inlineStr">
        <is>
          <t>400KVA</t>
        </is>
      </c>
      <c r="J1179" t="inlineStr">
        <is>
          <t>JAWORSKI</t>
        </is>
      </c>
      <c r="K1179" t="inlineStr">
        <is>
          <t>METAL</t>
        </is>
      </c>
      <c r="L1179">
        <f>_xlfn.XLOOKUP(Tableau1[[#This Row],[TYPE DE PIECE]],Tableau4[MATIERE],Tableau4[SHORT TYPE],"",0,1)</f>
        <v/>
      </c>
      <c r="N1179">
        <f>IF(ISERR(FIND("DECOUPE",Tableau1[[#This Row],[DESIGNATION]])),"","NEED REF")</f>
        <v/>
      </c>
    </row>
    <row r="1180">
      <c r="B1180" t="n">
        <v>34412821</v>
      </c>
      <c r="C1180" s="2" t="n">
        <v>45538</v>
      </c>
      <c r="D1180" t="inlineStr">
        <is>
          <t>SPEC</t>
        </is>
      </c>
      <c r="E1180">
        <f>_xlfn.CONCAT(Tableau1[[#This Row],[SHORT TYPE]]," ",Tableau1[[#This Row],[NUMERO]]," ",Tableau1[[#This Row],[GAMME]]," ",Tableau1[[#This Row],[TYPE PRODUIT]]," ",Tableau1[[#This Row],[PUISSANCE]])</f>
        <v/>
      </c>
      <c r="F1180" t="inlineStr">
        <is>
          <t>INTERXION KENYA</t>
        </is>
      </c>
      <c r="G1180" t="inlineStr">
        <is>
          <t>GVX</t>
        </is>
      </c>
      <c r="H1180" t="inlineStr">
        <is>
          <t>UPS</t>
        </is>
      </c>
      <c r="I1180" t="inlineStr">
        <is>
          <t>1250kVA</t>
        </is>
      </c>
      <c r="J1180" t="inlineStr">
        <is>
          <t>MATRION</t>
        </is>
      </c>
      <c r="K1180" t="inlineStr">
        <is>
          <t>METAL</t>
        </is>
      </c>
      <c r="L1180">
        <f>_xlfn.XLOOKUP(Tableau1[[#This Row],[TYPE DE PIECE]],Tableau4[MATIERE],Tableau4[SHORT TYPE],"",0,1)</f>
        <v/>
      </c>
      <c r="N1180">
        <f>IF(ISERR(FIND("DECOUPE",Tableau1[[#This Row],[DESIGNATION]])),"","NEED REF")</f>
        <v/>
      </c>
    </row>
    <row r="1181">
      <c r="B1181" t="n">
        <v>34412820</v>
      </c>
      <c r="C1181" s="2" t="n">
        <v>45538</v>
      </c>
      <c r="D1181" t="inlineStr">
        <is>
          <t>SPEC</t>
        </is>
      </c>
      <c r="E1181" t="inlineStr">
        <is>
          <t>COFFRET SYNCHRO NEW RAL9003 DEVIS SAREL W21050079TGF/B0</t>
        </is>
      </c>
      <c r="J1181" t="inlineStr">
        <is>
          <t>BERNARDEAU</t>
        </is>
      </c>
      <c r="K1181" t="inlineStr">
        <is>
          <t>METAL</t>
        </is>
      </c>
      <c r="L1181">
        <f>_xlfn.XLOOKUP(Tableau1[[#This Row],[TYPE DE PIECE]],Tableau4[MATIERE],Tableau4[SHORT TYPE],"",0,1)</f>
        <v/>
      </c>
      <c r="N1181">
        <f>IF(ISERR(FIND("DECOUPE",Tableau1[[#This Row],[DESIGNATION]])),"","NEED REF")</f>
        <v/>
      </c>
    </row>
    <row r="1182">
      <c r="B1182" t="n">
        <v>34412819</v>
      </c>
      <c r="C1182" s="2" t="n">
        <v>45537</v>
      </c>
      <c r="D1182" t="inlineStr">
        <is>
          <t>SPEC</t>
        </is>
      </c>
      <c r="E1182" t="inlineStr">
        <is>
          <t>SMT PLAQUE DE FOND POUR COFFRET W21050079TGF/B0</t>
        </is>
      </c>
      <c r="J1182" t="inlineStr">
        <is>
          <t>BERNARDEAU</t>
        </is>
      </c>
      <c r="K1182" t="inlineStr">
        <is>
          <t>METAL</t>
        </is>
      </c>
      <c r="L1182">
        <f>_xlfn.XLOOKUP(Tableau1[[#This Row],[TYPE DE PIECE]],Tableau4[MATIERE],Tableau4[SHORT TYPE],"",0,1)</f>
        <v/>
      </c>
      <c r="N1182">
        <f>IF(ISERR(FIND("DECOUPE",Tableau1[[#This Row],[DESIGNATION]])),"","NEED REF")</f>
        <v/>
      </c>
    </row>
    <row r="1183">
      <c r="B1183" t="n">
        <v>34412818</v>
      </c>
      <c r="C1183" s="2" t="n">
        <v>45527</v>
      </c>
      <c r="D1183" t="inlineStr">
        <is>
          <t>SPEC</t>
        </is>
      </c>
      <c r="E1183" t="inlineStr">
        <is>
          <t>SMT PLASTRON NSX630</t>
        </is>
      </c>
      <c r="F1183" t="inlineStr">
        <is>
          <t>SE_IT0101_SCHNEIDER ELECTRIC S.P.A</t>
        </is>
      </c>
      <c r="G1183" t="inlineStr">
        <is>
          <t>GVS</t>
        </is>
      </c>
      <c r="H1183" t="inlineStr">
        <is>
          <t>BCB</t>
        </is>
      </c>
      <c r="I1183" t="inlineStr">
        <is>
          <t>150KW</t>
        </is>
      </c>
      <c r="J1183" t="inlineStr">
        <is>
          <t>JAWORSKI</t>
        </is>
      </c>
      <c r="K1183" t="inlineStr">
        <is>
          <t>METAL</t>
        </is>
      </c>
      <c r="L1183">
        <f>_xlfn.XLOOKUP(Tableau1[[#This Row],[TYPE DE PIECE]],Tableau4[MATIERE],Tableau4[SHORT TYPE],"",0,1)</f>
        <v/>
      </c>
      <c r="N1183">
        <f>IF(ISERR(FIND("DECOUPE",Tableau1[[#This Row],[DESIGNATION]])),"","NEED REF")</f>
        <v/>
      </c>
    </row>
    <row r="1184">
      <c r="B1184" t="n">
        <v>34412817</v>
      </c>
      <c r="C1184" s="2" t="n">
        <v>45527</v>
      </c>
      <c r="D1184" t="inlineStr">
        <is>
          <t>SPEC</t>
        </is>
      </c>
      <c r="E1184" t="inlineStr">
        <is>
          <t>COP CX L+ / L- UPS DC</t>
        </is>
      </c>
      <c r="F1184" t="inlineStr">
        <is>
          <t>SE_IT0101_SCHNEIDER ELECTRIC S.P.A</t>
        </is>
      </c>
      <c r="G1184" t="inlineStr">
        <is>
          <t>GVS</t>
        </is>
      </c>
      <c r="H1184" t="inlineStr">
        <is>
          <t>BCB</t>
        </is>
      </c>
      <c r="I1184" t="inlineStr">
        <is>
          <t>150KW</t>
        </is>
      </c>
      <c r="J1184" t="inlineStr">
        <is>
          <t>JAWORSKI</t>
        </is>
      </c>
      <c r="K1184" t="inlineStr">
        <is>
          <t>CUIVRE</t>
        </is>
      </c>
      <c r="L1184">
        <f>_xlfn.XLOOKUP(Tableau1[[#This Row],[TYPE DE PIECE]],Tableau4[MATIERE],Tableau4[SHORT TYPE],"",0,1)</f>
        <v/>
      </c>
      <c r="N1184">
        <f>IF(ISERR(FIND("DECOUPE",Tableau1[[#This Row],[DESIGNATION]])),"","NEED REF")</f>
        <v/>
      </c>
    </row>
    <row r="1185">
      <c r="B1185" t="n">
        <v>34412816</v>
      </c>
      <c r="C1185" s="2" t="n">
        <v>45527</v>
      </c>
      <c r="D1185" t="inlineStr">
        <is>
          <t>SPEC</t>
        </is>
      </c>
      <c r="E1185" t="inlineStr">
        <is>
          <t>PLA CAPOT ISOLANT</t>
        </is>
      </c>
      <c r="F1185" t="inlineStr">
        <is>
          <t>SE_IT0101_SCHNEIDER ELECTRIC S.P.A</t>
        </is>
      </c>
      <c r="G1185" t="inlineStr">
        <is>
          <t>GVS</t>
        </is>
      </c>
      <c r="H1185" t="inlineStr">
        <is>
          <t>BCB</t>
        </is>
      </c>
      <c r="I1185" t="inlineStr">
        <is>
          <t>150KW</t>
        </is>
      </c>
      <c r="J1185" t="inlineStr">
        <is>
          <t>JAWORSKI</t>
        </is>
      </c>
      <c r="K1185" t="inlineStr">
        <is>
          <t>PLASTIQUE</t>
        </is>
      </c>
      <c r="L1185">
        <f>_xlfn.XLOOKUP(Tableau1[[#This Row],[TYPE DE PIECE]],Tableau4[MATIERE],Tableau4[SHORT TYPE],"",0,1)</f>
        <v/>
      </c>
      <c r="N1185">
        <f>IF(ISERR(FIND("DECOUPE",Tableau1[[#This Row],[DESIGNATION]])),"","NEED REF")</f>
        <v/>
      </c>
    </row>
    <row r="1186">
      <c r="B1186" t="n">
        <v>34412815</v>
      </c>
      <c r="C1186" s="2" t="n">
        <v>45526</v>
      </c>
      <c r="D1186" t="inlineStr">
        <is>
          <t>SPEC</t>
        </is>
      </c>
      <c r="E1186" t="inlineStr">
        <is>
          <t>COP CX B- / 2 STRINGS</t>
        </is>
      </c>
      <c r="F1186" t="inlineStr">
        <is>
          <t>SE_IT0101_SCHNEIDER ELECTRIC S.P.A</t>
        </is>
      </c>
      <c r="G1186" t="inlineStr">
        <is>
          <t>GVS</t>
        </is>
      </c>
      <c r="H1186" t="inlineStr">
        <is>
          <t>BCB</t>
        </is>
      </c>
      <c r="I1186" t="inlineStr">
        <is>
          <t>150KW</t>
        </is>
      </c>
      <c r="J1186" t="inlineStr">
        <is>
          <t>JAWORSKI</t>
        </is>
      </c>
      <c r="K1186" t="inlineStr">
        <is>
          <t>CUIVRE</t>
        </is>
      </c>
      <c r="L1186">
        <f>_xlfn.XLOOKUP(Tableau1[[#This Row],[TYPE DE PIECE]],Tableau4[MATIERE],Tableau4[SHORT TYPE],"",0,1)</f>
        <v/>
      </c>
      <c r="N1186">
        <f>IF(ISERR(FIND("DECOUPE",Tableau1[[#This Row],[DESIGNATION]])),"","NEED REF")</f>
        <v/>
      </c>
    </row>
    <row r="1187">
      <c r="B1187" t="n">
        <v>34412814</v>
      </c>
      <c r="C1187" s="2" t="n">
        <v>45526</v>
      </c>
      <c r="D1187" t="inlineStr">
        <is>
          <t>SPEC</t>
        </is>
      </c>
      <c r="E1187" t="inlineStr">
        <is>
          <t>SMT PLATINE NSX630</t>
        </is>
      </c>
      <c r="F1187" t="inlineStr">
        <is>
          <t>SE_IT0101_SCHNEIDER ELECTRIC S.P.A</t>
        </is>
      </c>
      <c r="G1187" t="inlineStr">
        <is>
          <t>GVS</t>
        </is>
      </c>
      <c r="H1187" t="inlineStr">
        <is>
          <t>BCB</t>
        </is>
      </c>
      <c r="I1187" t="inlineStr">
        <is>
          <t>150KW</t>
        </is>
      </c>
      <c r="J1187" t="inlineStr">
        <is>
          <t>JAWORSKI</t>
        </is>
      </c>
      <c r="K1187" t="inlineStr">
        <is>
          <t>METAL</t>
        </is>
      </c>
      <c r="L1187">
        <f>_xlfn.XLOOKUP(Tableau1[[#This Row],[TYPE DE PIECE]],Tableau4[MATIERE],Tableau4[SHORT TYPE],"",0,1)</f>
        <v/>
      </c>
      <c r="N1187">
        <f>IF(ISERR(FIND("DECOUPE",Tableau1[[#This Row],[DESIGNATION]])),"","NEED REF")</f>
        <v/>
      </c>
    </row>
    <row r="1188">
      <c r="B1188" t="n">
        <v>34412813</v>
      </c>
      <c r="C1188" s="2" t="n">
        <v>45526</v>
      </c>
      <c r="D1188" t="inlineStr">
        <is>
          <t>SPEC</t>
        </is>
      </c>
      <c r="E1188" t="inlineStr">
        <is>
          <t>COP CX B+ / 2 STRINGS</t>
        </is>
      </c>
      <c r="F1188" t="inlineStr">
        <is>
          <t>SE_IT0101_SCHNEIDER ELECTRIC S.P.A</t>
        </is>
      </c>
      <c r="G1188" t="inlineStr">
        <is>
          <t>GVS</t>
        </is>
      </c>
      <c r="H1188" t="inlineStr">
        <is>
          <t>BCB</t>
        </is>
      </c>
      <c r="I1188" t="inlineStr">
        <is>
          <t>150KW</t>
        </is>
      </c>
      <c r="J1188" t="inlineStr">
        <is>
          <t>JAWORSKI</t>
        </is>
      </c>
      <c r="K1188" t="inlineStr">
        <is>
          <t>CUIVRE</t>
        </is>
      </c>
      <c r="L1188">
        <f>_xlfn.XLOOKUP(Tableau1[[#This Row],[TYPE DE PIECE]],Tableau4[MATIERE],Tableau4[SHORT TYPE],"",0,1)</f>
        <v/>
      </c>
      <c r="N1188">
        <f>IF(ISERR(FIND("DECOUPE",Tableau1[[#This Row],[DESIGNATION]])),"","NEED REF")</f>
        <v/>
      </c>
    </row>
    <row r="1189">
      <c r="B1189" t="n">
        <v>34412812</v>
      </c>
      <c r="C1189" s="2" t="n">
        <v>45524</v>
      </c>
      <c r="D1189" t="inlineStr">
        <is>
          <t>SPEC</t>
        </is>
      </c>
      <c r="E1189" t="inlineStr">
        <is>
          <t>SMT RENFORT CHASSIS</t>
        </is>
      </c>
      <c r="F1189" t="inlineStr">
        <is>
          <t>GSK BELGIUM</t>
        </is>
      </c>
      <c r="G1189" t="inlineStr">
        <is>
          <t>GVS</t>
        </is>
      </c>
      <c r="H1189" t="inlineStr">
        <is>
          <t>TFO CUBICLE</t>
        </is>
      </c>
      <c r="I1189" t="inlineStr">
        <is>
          <t>300KVA</t>
        </is>
      </c>
      <c r="J1189" t="inlineStr">
        <is>
          <t>JAWORSKI</t>
        </is>
      </c>
      <c r="K1189" t="inlineStr">
        <is>
          <t>METAL</t>
        </is>
      </c>
      <c r="L1189">
        <f>_xlfn.XLOOKUP(Tableau1[[#This Row],[TYPE DE PIECE]],Tableau4[MATIERE],Tableau4[SHORT TYPE],"",0,1)</f>
        <v/>
      </c>
      <c r="N1189">
        <f>IF(ISERR(FIND("DECOUPE",Tableau1[[#This Row],[DESIGNATION]])),"","NEED REF")</f>
        <v/>
      </c>
    </row>
    <row r="1190">
      <c r="B1190" t="n">
        <v>34412811</v>
      </c>
      <c r="C1190" s="2" t="n">
        <v>45513</v>
      </c>
      <c r="D1190" t="inlineStr">
        <is>
          <t>SPEC</t>
        </is>
      </c>
      <c r="E1190" t="inlineStr">
        <is>
          <t>PLA 34412811 GVX UPS 1250kVA ERIFLEX INSULATOR</t>
        </is>
      </c>
      <c r="F1190" t="inlineStr">
        <is>
          <t>INTERXION KENYA</t>
        </is>
      </c>
      <c r="G1190" t="inlineStr">
        <is>
          <t>GVX</t>
        </is>
      </c>
      <c r="H1190" t="inlineStr">
        <is>
          <t>UPS</t>
        </is>
      </c>
      <c r="I1190" t="inlineStr">
        <is>
          <t>1250kVA</t>
        </is>
      </c>
      <c r="J1190" t="inlineStr">
        <is>
          <t>MATRION</t>
        </is>
      </c>
      <c r="K1190" t="inlineStr">
        <is>
          <t>PLASTIQUE</t>
        </is>
      </c>
      <c r="L1190">
        <f>_xlfn.XLOOKUP(Tableau1[[#This Row],[TYPE DE PIECE]],Tableau4[MATIERE],Tableau4[SHORT TYPE],"",0,1)</f>
        <v/>
      </c>
      <c r="N1190">
        <f>IF(ISERR(FIND("DECOUPE",Tableau1[[#This Row],[DESIGNATION]])),"","NEED REF")</f>
        <v/>
      </c>
    </row>
    <row r="1191">
      <c r="B1191" t="n">
        <v>34412810</v>
      </c>
      <c r="C1191" s="2" t="n">
        <v>45513</v>
      </c>
      <c r="D1191" t="inlineStr">
        <is>
          <t>SPEC</t>
        </is>
      </c>
      <c r="E1191" t="inlineStr">
        <is>
          <t>PLA 34412810 GVX UPS 1250kVA LINERGY INSULATOR</t>
        </is>
      </c>
      <c r="F1191" t="inlineStr">
        <is>
          <t>INTERXION KENYA</t>
        </is>
      </c>
      <c r="G1191" t="inlineStr">
        <is>
          <t>GVX</t>
        </is>
      </c>
      <c r="H1191" t="inlineStr">
        <is>
          <t>UPS</t>
        </is>
      </c>
      <c r="I1191" t="inlineStr">
        <is>
          <t>1250kVA</t>
        </is>
      </c>
      <c r="J1191" t="inlineStr">
        <is>
          <t>MATRION</t>
        </is>
      </c>
      <c r="K1191" t="inlineStr">
        <is>
          <t>PLASTIQUE</t>
        </is>
      </c>
      <c r="L1191">
        <f>_xlfn.XLOOKUP(Tableau1[[#This Row],[TYPE DE PIECE]],Tableau4[MATIERE],Tableau4[SHORT TYPE],"",0,1)</f>
        <v/>
      </c>
      <c r="N1191">
        <f>IF(ISERR(FIND("DECOUPE",Tableau1[[#This Row],[DESIGNATION]])),"","NEED REF")</f>
        <v/>
      </c>
    </row>
    <row r="1192">
      <c r="B1192" t="n">
        <v>34412809</v>
      </c>
      <c r="C1192" s="2" t="n">
        <v>45513</v>
      </c>
      <c r="D1192" t="inlineStr">
        <is>
          <t>SPEC</t>
        </is>
      </c>
      <c r="E1192" t="inlineStr">
        <is>
          <t>SMT 34412809 GVX UPS 1250kVA OUTPUT ROOF</t>
        </is>
      </c>
      <c r="F1192" t="inlineStr">
        <is>
          <t>INTERXION KENYA</t>
        </is>
      </c>
      <c r="G1192" t="inlineStr">
        <is>
          <t>GVX</t>
        </is>
      </c>
      <c r="H1192" t="inlineStr">
        <is>
          <t>UPS</t>
        </is>
      </c>
      <c r="I1192" t="inlineStr">
        <is>
          <t>1250kVA</t>
        </is>
      </c>
      <c r="J1192" t="inlineStr">
        <is>
          <t>MATRION</t>
        </is>
      </c>
      <c r="K1192" t="inlineStr">
        <is>
          <t>METAL</t>
        </is>
      </c>
      <c r="L1192">
        <f>_xlfn.XLOOKUP(Tableau1[[#This Row],[TYPE DE PIECE]],Tableau4[MATIERE],Tableau4[SHORT TYPE],"",0,1)</f>
        <v/>
      </c>
      <c r="N1192">
        <f>IF(ISERR(FIND("DECOUPE",Tableau1[[#This Row],[DESIGNATION]])),"","NEED REF")</f>
        <v/>
      </c>
    </row>
    <row r="1193">
      <c r="B1193" t="n">
        <v>34412808</v>
      </c>
      <c r="C1193" s="2" t="n">
        <v>45513</v>
      </c>
      <c r="D1193" t="inlineStr">
        <is>
          <t>SPEC</t>
        </is>
      </c>
      <c r="E1193" t="inlineStr">
        <is>
          <t>SMT 34412808 GVX UPS 1250kVA INPUT ROOF</t>
        </is>
      </c>
      <c r="F1193" t="inlineStr">
        <is>
          <t>INTERXION KENYA</t>
        </is>
      </c>
      <c r="G1193" t="inlineStr">
        <is>
          <t>GVX</t>
        </is>
      </c>
      <c r="H1193" t="inlineStr">
        <is>
          <t>UPS</t>
        </is>
      </c>
      <c r="I1193" t="inlineStr">
        <is>
          <t>1250kVA</t>
        </is>
      </c>
      <c r="J1193" t="inlineStr">
        <is>
          <t>MATRION</t>
        </is>
      </c>
      <c r="K1193" t="inlineStr">
        <is>
          <t>METAL</t>
        </is>
      </c>
      <c r="L1193">
        <f>_xlfn.XLOOKUP(Tableau1[[#This Row],[TYPE DE PIECE]],Tableau4[MATIERE],Tableau4[SHORT TYPE],"",0,1)</f>
        <v/>
      </c>
      <c r="N1193">
        <f>IF(ISERR(FIND("DECOUPE",Tableau1[[#This Row],[DESIGNATION]])),"","NEED REF")</f>
        <v/>
      </c>
    </row>
    <row r="1194">
      <c r="B1194" t="n">
        <v>34412807</v>
      </c>
      <c r="C1194" s="2" t="n">
        <v>45513</v>
      </c>
      <c r="D1194" t="inlineStr">
        <is>
          <t>SPEC</t>
        </is>
      </c>
      <c r="E1194" t="inlineStr">
        <is>
          <t>COP 34412807 GVX UPS 1250kVA 100x10 ERIFLEX 4</t>
        </is>
      </c>
      <c r="F1194" t="inlineStr">
        <is>
          <t>INTERXION KENYA</t>
        </is>
      </c>
      <c r="G1194" t="inlineStr">
        <is>
          <t>GVX</t>
        </is>
      </c>
      <c r="H1194" t="inlineStr">
        <is>
          <t>UPS</t>
        </is>
      </c>
      <c r="I1194" t="inlineStr">
        <is>
          <t>1250kVA</t>
        </is>
      </c>
      <c r="J1194" t="inlineStr">
        <is>
          <t>MATRION</t>
        </is>
      </c>
      <c r="K1194" t="inlineStr">
        <is>
          <t>CUIVRE</t>
        </is>
      </c>
      <c r="L1194">
        <f>_xlfn.XLOOKUP(Tableau1[[#This Row],[TYPE DE PIECE]],Tableau4[MATIERE],Tableau4[SHORT TYPE],"",0,1)</f>
        <v/>
      </c>
      <c r="N1194">
        <f>IF(ISERR(FIND("DECOUPE",Tableau1[[#This Row],[DESIGNATION]])),"","NEED REF")</f>
        <v/>
      </c>
    </row>
    <row r="1195">
      <c r="B1195" t="n">
        <v>34412806</v>
      </c>
      <c r="C1195" s="2" t="n">
        <v>45513</v>
      </c>
      <c r="D1195" t="inlineStr">
        <is>
          <t>SPEC</t>
        </is>
      </c>
      <c r="E1195" t="inlineStr">
        <is>
          <t>COP 34412806 GVX UPS 1250kVA 100x10 ERIFLEX 3</t>
        </is>
      </c>
      <c r="F1195" t="inlineStr">
        <is>
          <t>INTERXION KENYA</t>
        </is>
      </c>
      <c r="G1195" t="inlineStr">
        <is>
          <t>GVX</t>
        </is>
      </c>
      <c r="H1195" t="inlineStr">
        <is>
          <t>UPS</t>
        </is>
      </c>
      <c r="I1195" t="inlineStr">
        <is>
          <t>1250kVA</t>
        </is>
      </c>
      <c r="J1195" t="inlineStr">
        <is>
          <t>MATRION</t>
        </is>
      </c>
      <c r="K1195" t="inlineStr">
        <is>
          <t>CUIVRE</t>
        </is>
      </c>
      <c r="L1195">
        <f>_xlfn.XLOOKUP(Tableau1[[#This Row],[TYPE DE PIECE]],Tableau4[MATIERE],Tableau4[SHORT TYPE],"",0,1)</f>
        <v/>
      </c>
      <c r="N1195">
        <f>IF(ISERR(FIND("DECOUPE",Tableau1[[#This Row],[DESIGNATION]])),"","NEED REF")</f>
        <v/>
      </c>
    </row>
    <row r="1196">
      <c r="B1196" t="n">
        <v>34412805</v>
      </c>
      <c r="C1196" s="2" t="n">
        <v>45513</v>
      </c>
      <c r="D1196" t="inlineStr">
        <is>
          <t>SPEC</t>
        </is>
      </c>
      <c r="E1196" t="inlineStr">
        <is>
          <t>COP 34412805 GVX UPS 1250kVA 100x10 ERIFLEX 2</t>
        </is>
      </c>
      <c r="F1196" t="inlineStr">
        <is>
          <t>INTERXION KENYA</t>
        </is>
      </c>
      <c r="G1196" t="inlineStr">
        <is>
          <t>GVX</t>
        </is>
      </c>
      <c r="H1196" t="inlineStr">
        <is>
          <t>UPS</t>
        </is>
      </c>
      <c r="I1196" t="inlineStr">
        <is>
          <t>1250kVA</t>
        </is>
      </c>
      <c r="J1196" t="inlineStr">
        <is>
          <t>MATRION</t>
        </is>
      </c>
      <c r="K1196" t="inlineStr">
        <is>
          <t>CUIVRE</t>
        </is>
      </c>
      <c r="L1196">
        <f>_xlfn.XLOOKUP(Tableau1[[#This Row],[TYPE DE PIECE]],Tableau4[MATIERE],Tableau4[SHORT TYPE],"",0,1)</f>
        <v/>
      </c>
      <c r="N1196">
        <f>IF(ISERR(FIND("DECOUPE",Tableau1[[#This Row],[DESIGNATION]])),"","NEED REF")</f>
        <v/>
      </c>
    </row>
    <row r="1197">
      <c r="B1197" t="n">
        <v>34412804</v>
      </c>
      <c r="C1197" s="2" t="n">
        <v>45513</v>
      </c>
      <c r="D1197" t="inlineStr">
        <is>
          <t>SPEC</t>
        </is>
      </c>
      <c r="E1197" t="inlineStr">
        <is>
          <t>COP 34412804 GVX UPS 1250kVA 100x10 ERIFLEX 1</t>
        </is>
      </c>
      <c r="F1197" t="inlineStr">
        <is>
          <t>INTERXION KENYA</t>
        </is>
      </c>
      <c r="G1197" t="inlineStr">
        <is>
          <t>GVX</t>
        </is>
      </c>
      <c r="H1197" t="inlineStr">
        <is>
          <t>UPS</t>
        </is>
      </c>
      <c r="I1197" t="inlineStr">
        <is>
          <t>1250kVA</t>
        </is>
      </c>
      <c r="J1197" t="inlineStr">
        <is>
          <t>MATRION</t>
        </is>
      </c>
      <c r="K1197" t="inlineStr">
        <is>
          <t>CUIVRE</t>
        </is>
      </c>
      <c r="L1197">
        <f>_xlfn.XLOOKUP(Tableau1[[#This Row],[TYPE DE PIECE]],Tableau4[MATIERE],Tableau4[SHORT TYPE],"",0,1)</f>
        <v/>
      </c>
      <c r="N1197">
        <f>IF(ISERR(FIND("DECOUPE",Tableau1[[#This Row],[DESIGNATION]])),"","NEED REF")</f>
        <v/>
      </c>
    </row>
    <row r="1198">
      <c r="B1198" t="n">
        <v>34412803</v>
      </c>
      <c r="C1198" s="2" t="n">
        <v>45513</v>
      </c>
      <c r="D1198" t="inlineStr">
        <is>
          <t>SPEC</t>
        </is>
      </c>
      <c r="E1198" t="inlineStr">
        <is>
          <t>DECOUPE 34412803 GVX UPS 1250kVA LG 1515MM LVS04566</t>
        </is>
      </c>
      <c r="F1198" t="inlineStr">
        <is>
          <t>INTERXION KENYA</t>
        </is>
      </c>
      <c r="G1198" t="inlineStr">
        <is>
          <t>GVX</t>
        </is>
      </c>
      <c r="H1198" t="inlineStr">
        <is>
          <t>UPS</t>
        </is>
      </c>
      <c r="I1198" t="inlineStr">
        <is>
          <t>1250kVA</t>
        </is>
      </c>
      <c r="J1198" t="inlineStr">
        <is>
          <t>MATRION</t>
        </is>
      </c>
      <c r="K1198" t="inlineStr">
        <is>
          <t>METAL</t>
        </is>
      </c>
      <c r="L1198">
        <f>_xlfn.XLOOKUP(Tableau1[[#This Row],[TYPE DE PIECE]],Tableau4[MATIERE],Tableau4[SHORT TYPE],"",0,1)</f>
        <v/>
      </c>
      <c r="N1198" t="inlineStr">
        <is>
          <t>LVS04566</t>
        </is>
      </c>
    </row>
    <row r="1199">
      <c r="B1199" t="n">
        <v>34412802</v>
      </c>
      <c r="C1199" s="2" t="n">
        <v>45513</v>
      </c>
      <c r="D1199" t="inlineStr">
        <is>
          <t>SPEC</t>
        </is>
      </c>
      <c r="E1199" t="inlineStr">
        <is>
          <t>DECOUPE 34412802 GVX UPS 1250kVA LG 1250MM LVS04566</t>
        </is>
      </c>
      <c r="F1199" t="inlineStr">
        <is>
          <t>INTERXION KENYA</t>
        </is>
      </c>
      <c r="G1199" t="inlineStr">
        <is>
          <t>GVX</t>
        </is>
      </c>
      <c r="H1199" t="inlineStr">
        <is>
          <t>UPS</t>
        </is>
      </c>
      <c r="I1199" t="inlineStr">
        <is>
          <t>1250kVA</t>
        </is>
      </c>
      <c r="J1199" t="inlineStr">
        <is>
          <t>MATRION</t>
        </is>
      </c>
      <c r="K1199" t="inlineStr">
        <is>
          <t>METAL</t>
        </is>
      </c>
      <c r="L1199">
        <f>_xlfn.XLOOKUP(Tableau1[[#This Row],[TYPE DE PIECE]],Tableau4[MATIERE],Tableau4[SHORT TYPE],"",0,1)</f>
        <v/>
      </c>
      <c r="N1199" t="inlineStr">
        <is>
          <t>LVS04566</t>
        </is>
      </c>
    </row>
    <row r="1200">
      <c r="B1200" t="n">
        <v>34412801</v>
      </c>
      <c r="C1200" s="2" t="n">
        <v>45513</v>
      </c>
      <c r="D1200" t="inlineStr">
        <is>
          <t>SPEC</t>
        </is>
      </c>
      <c r="E1200" t="inlineStr">
        <is>
          <t>DECOUPE 34412801 GVX UPS 1250kVA LG 920,5MM LVS04566</t>
        </is>
      </c>
      <c r="F1200" t="inlineStr">
        <is>
          <t>INTERXION KENYA</t>
        </is>
      </c>
      <c r="G1200" t="inlineStr">
        <is>
          <t>GVX</t>
        </is>
      </c>
      <c r="H1200" t="inlineStr">
        <is>
          <t>UPS</t>
        </is>
      </c>
      <c r="I1200" t="inlineStr">
        <is>
          <t>1250kVA</t>
        </is>
      </c>
      <c r="J1200" t="inlineStr">
        <is>
          <t>MATRION</t>
        </is>
      </c>
      <c r="K1200" t="inlineStr">
        <is>
          <t>METAL</t>
        </is>
      </c>
      <c r="L1200">
        <f>_xlfn.XLOOKUP(Tableau1[[#This Row],[TYPE DE PIECE]],Tableau4[MATIERE],Tableau4[SHORT TYPE],"",0,1)</f>
        <v/>
      </c>
      <c r="N1200" t="inlineStr">
        <is>
          <t>LVS04566</t>
        </is>
      </c>
    </row>
    <row r="1201">
      <c r="B1201" t="n">
        <v>34412800</v>
      </c>
      <c r="C1201" s="2" t="n">
        <v>45511</v>
      </c>
      <c r="D1201" t="inlineStr">
        <is>
          <t>SPEC</t>
        </is>
      </c>
      <c r="E1201" t="inlineStr">
        <is>
          <t>SMT 34412800 GVL DISPLAY PLATINE</t>
        </is>
      </c>
      <c r="G1201" t="inlineStr">
        <is>
          <t>GVL</t>
        </is>
      </c>
      <c r="H1201" t="inlineStr">
        <is>
          <t>DISPLAY</t>
        </is>
      </c>
      <c r="J1201" t="inlineStr">
        <is>
          <t>MATRION</t>
        </is>
      </c>
      <c r="K1201" t="inlineStr">
        <is>
          <t>METAL</t>
        </is>
      </c>
      <c r="L1201">
        <f>_xlfn.XLOOKUP(Tableau1[[#This Row],[TYPE DE PIECE]],Tableau4[MATIERE],Tableau4[SHORT TYPE],"",0,1)</f>
        <v/>
      </c>
      <c r="N1201">
        <f>IF(ISERR(FIND("DECOUPE",Tableau1[[#This Row],[DESIGNATION]])),"","NEED REF")</f>
        <v/>
      </c>
    </row>
    <row r="1202">
      <c r="B1202" t="n">
        <v>34412799</v>
      </c>
      <c r="C1202" s="2" t="n">
        <v>45511</v>
      </c>
      <c r="D1202" t="inlineStr">
        <is>
          <t>SPEC</t>
        </is>
      </c>
      <c r="E1202" t="inlineStr">
        <is>
          <t>DECOUPE 34412799 GVL DISPLAY - NSYS3D6630</t>
        </is>
      </c>
      <c r="G1202" t="inlineStr">
        <is>
          <t>GVL</t>
        </is>
      </c>
      <c r="H1202" t="inlineStr">
        <is>
          <t>DISPLAY</t>
        </is>
      </c>
      <c r="J1202" t="inlineStr">
        <is>
          <t>MATRION</t>
        </is>
      </c>
      <c r="K1202" t="inlineStr">
        <is>
          <t>METAL</t>
        </is>
      </c>
      <c r="L1202">
        <f>_xlfn.XLOOKUP(Tableau1[[#This Row],[TYPE DE PIECE]],Tableau4[MATIERE],Tableau4[SHORT TYPE],"",0,1)</f>
        <v/>
      </c>
      <c r="N1202" t="inlineStr">
        <is>
          <t>NSYS3D6630</t>
        </is>
      </c>
    </row>
    <row r="1203">
      <c r="B1203" t="n">
        <v>34412798</v>
      </c>
      <c r="C1203" s="2" t="n">
        <v>45509</v>
      </c>
      <c r="D1203" t="inlineStr">
        <is>
          <t>SPEC</t>
        </is>
      </c>
      <c r="E1203">
        <f>_xlfn.CONCAT(Tableau1[[#This Row],[SHORT TYPE]]," ",Tableau1[[#This Row],[NUMERO]]," ",Tableau1[[#This Row],[GAMME]]," ",Tableau1[[#This Row],[TYPE PRODUIT]]," ",Tableau1[[#This Row],[PUISSANCE]])</f>
        <v/>
      </c>
      <c r="G1203" t="inlineStr">
        <is>
          <t>GVX</t>
        </is>
      </c>
      <c r="H1203" t="inlineStr">
        <is>
          <t>UPS</t>
        </is>
      </c>
      <c r="I1203" t="inlineStr">
        <is>
          <t>1250kVA</t>
        </is>
      </c>
      <c r="J1203" t="inlineStr">
        <is>
          <t>MATRION</t>
        </is>
      </c>
      <c r="K1203" t="inlineStr">
        <is>
          <t>METAL</t>
        </is>
      </c>
      <c r="L1203">
        <f>_xlfn.XLOOKUP(Tableau1[[#This Row],[TYPE DE PIECE]],Tableau4[MATIERE],Tableau4[SHORT TYPE],"",0,1)</f>
        <v/>
      </c>
      <c r="N1203">
        <f>IF(ISERR(FIND("DECOUPE",Tableau1[[#This Row],[DESIGNATION]])),"","NEED REF")</f>
        <v/>
      </c>
    </row>
    <row r="1204">
      <c r="B1204" t="n">
        <v>34412797</v>
      </c>
      <c r="C1204" s="2" t="n">
        <v>45509</v>
      </c>
      <c r="D1204" t="inlineStr">
        <is>
          <t>SPEC</t>
        </is>
      </c>
      <c r="E1204" t="inlineStr">
        <is>
          <t>SMT 34412797 GVX UPS 1250kVA 1/2 REHAUSSE 160mm RAL9003</t>
        </is>
      </c>
      <c r="G1204" t="inlineStr">
        <is>
          <t>GVX</t>
        </is>
      </c>
      <c r="H1204" t="inlineStr">
        <is>
          <t>UPS</t>
        </is>
      </c>
      <c r="I1204" t="inlineStr">
        <is>
          <t>1250kVA</t>
        </is>
      </c>
      <c r="J1204" t="inlineStr">
        <is>
          <t>MATRION</t>
        </is>
      </c>
      <c r="K1204" t="inlineStr">
        <is>
          <t>METAL</t>
        </is>
      </c>
      <c r="L1204">
        <f>_xlfn.XLOOKUP(Tableau1[[#This Row],[TYPE DE PIECE]],Tableau4[MATIERE],Tableau4[SHORT TYPE],"",0,1)</f>
        <v/>
      </c>
      <c r="N1204">
        <f>IF(ISERR(FIND("DECOUPE",Tableau1[[#This Row],[DESIGNATION]])),"","NEED REF")</f>
        <v/>
      </c>
    </row>
    <row r="1205">
      <c r="B1205" t="n">
        <v>34412796</v>
      </c>
      <c r="C1205" s="2" t="n">
        <v>45509</v>
      </c>
      <c r="D1205" t="inlineStr">
        <is>
          <t>SPEC</t>
        </is>
      </c>
      <c r="E1205">
        <f>_xlfn.CONCAT(Tableau1[[#This Row],[SHORT TYPE]]," ",Tableau1[[#This Row],[NUMERO]]," ",Tableau1[[#This Row],[GAMME]]," ",Tableau1[[#This Row],[TYPE PRODUIT]]," ",Tableau1[[#This Row],[PUISSANCE]])</f>
        <v/>
      </c>
      <c r="G1205" t="inlineStr">
        <is>
          <t>GVL</t>
        </is>
      </c>
      <c r="H1205" t="inlineStr">
        <is>
          <t>BYPASS</t>
        </is>
      </c>
      <c r="I1205" t="inlineStr">
        <is>
          <t>800kVA</t>
        </is>
      </c>
      <c r="J1205" t="inlineStr">
        <is>
          <t>MATRION</t>
        </is>
      </c>
      <c r="K1205" t="inlineStr">
        <is>
          <t>METAL</t>
        </is>
      </c>
      <c r="L1205">
        <f>_xlfn.XLOOKUP(Tableau1[[#This Row],[TYPE DE PIECE]],Tableau4[MATIERE],Tableau4[SHORT TYPE],"",0,1)</f>
        <v/>
      </c>
      <c r="N1205">
        <f>IF(ISERR(FIND("DECOUPE",Tableau1[[#This Row],[DESIGNATION]])),"","NEED REF")</f>
        <v/>
      </c>
    </row>
    <row r="1206">
      <c r="B1206" t="n">
        <v>34412795</v>
      </c>
      <c r="C1206" s="2" t="n">
        <v>45509</v>
      </c>
      <c r="D1206" t="inlineStr">
        <is>
          <t>SPEC</t>
        </is>
      </c>
      <c r="E1206">
        <f>_xlfn.CONCAT(Tableau1[[#This Row],[SHORT TYPE]]," ",Tableau1[[#This Row],[NUMERO]]," ",Tableau1[[#This Row],[GAMME]]," ",Tableau1[[#This Row],[TYPE PRODUIT]]," ",Tableau1[[#This Row],[PUISSANCE]])</f>
        <v/>
      </c>
      <c r="G1206" t="inlineStr">
        <is>
          <t>GVL</t>
        </is>
      </c>
      <c r="H1206" t="inlineStr">
        <is>
          <t>BYPASS</t>
        </is>
      </c>
      <c r="I1206" t="inlineStr">
        <is>
          <t>800kVA</t>
        </is>
      </c>
      <c r="J1206" t="inlineStr">
        <is>
          <t>MATRION</t>
        </is>
      </c>
      <c r="K1206" t="inlineStr">
        <is>
          <t>METAL</t>
        </is>
      </c>
      <c r="L1206">
        <f>_xlfn.XLOOKUP(Tableau1[[#This Row],[TYPE DE PIECE]],Tableau4[MATIERE],Tableau4[SHORT TYPE],"",0,1)</f>
        <v/>
      </c>
      <c r="N1206">
        <f>IF(ISERR(FIND("DECOUPE",Tableau1[[#This Row],[DESIGNATION]])),"","NEED REF")</f>
        <v/>
      </c>
    </row>
    <row r="1207">
      <c r="B1207" t="n">
        <v>34412794</v>
      </c>
      <c r="C1207" s="2" t="n">
        <v>45509</v>
      </c>
      <c r="D1207" t="inlineStr">
        <is>
          <t>SPEC</t>
        </is>
      </c>
      <c r="E1207">
        <f>_xlfn.CONCAT(Tableau1[[#This Row],[SHORT TYPE]]," ",Tableau1[[#This Row],[NUMERO]]," ",Tableau1[[#This Row],[GAMME]]," ",Tableau1[[#This Row],[TYPE PRODUIT]]," ",Tableau1[[#This Row],[PUISSANCE]])</f>
        <v/>
      </c>
      <c r="G1207" t="inlineStr">
        <is>
          <t>GVL</t>
        </is>
      </c>
      <c r="H1207" t="inlineStr">
        <is>
          <t>BYPASS</t>
        </is>
      </c>
      <c r="I1207" t="inlineStr">
        <is>
          <t>800kVA</t>
        </is>
      </c>
      <c r="J1207" t="inlineStr">
        <is>
          <t>MATRION</t>
        </is>
      </c>
      <c r="K1207" t="inlineStr">
        <is>
          <t>METAL</t>
        </is>
      </c>
      <c r="L1207">
        <f>_xlfn.XLOOKUP(Tableau1[[#This Row],[TYPE DE PIECE]],Tableau4[MATIERE],Tableau4[SHORT TYPE],"",0,1)</f>
        <v/>
      </c>
      <c r="N1207">
        <f>IF(ISERR(FIND("DECOUPE",Tableau1[[#This Row],[DESIGNATION]])),"","NEED REF")</f>
        <v/>
      </c>
    </row>
    <row r="1208">
      <c r="B1208" t="n">
        <v>34412793</v>
      </c>
      <c r="C1208" s="2" t="n">
        <v>45509</v>
      </c>
      <c r="D1208" t="inlineStr">
        <is>
          <t>SPEC</t>
        </is>
      </c>
      <c r="E1208">
        <f>_xlfn.CONCAT(Tableau1[[#This Row],[SHORT TYPE]]," ",Tableau1[[#This Row],[NUMERO]]," ",Tableau1[[#This Row],[GAMME]]," ",Tableau1[[#This Row],[TYPE PRODUIT]]," ",Tableau1[[#This Row],[PUISSANCE]])</f>
        <v/>
      </c>
      <c r="G1208" t="inlineStr">
        <is>
          <t>GVL</t>
        </is>
      </c>
      <c r="H1208" t="inlineStr">
        <is>
          <t>BYPASS</t>
        </is>
      </c>
      <c r="I1208" t="inlineStr">
        <is>
          <t>800kVA</t>
        </is>
      </c>
      <c r="J1208" t="inlineStr">
        <is>
          <t>MATRION</t>
        </is>
      </c>
      <c r="K1208" t="inlineStr">
        <is>
          <t>METAL</t>
        </is>
      </c>
      <c r="L1208">
        <f>_xlfn.XLOOKUP(Tableau1[[#This Row],[TYPE DE PIECE]],Tableau4[MATIERE],Tableau4[SHORT TYPE],"",0,1)</f>
        <v/>
      </c>
      <c r="N1208">
        <f>IF(ISERR(FIND("DECOUPE",Tableau1[[#This Row],[DESIGNATION]])),"","NEED REF")</f>
        <v/>
      </c>
    </row>
    <row r="1209">
      <c r="B1209" t="n">
        <v>34412792</v>
      </c>
      <c r="C1209" s="2" t="n">
        <v>45506</v>
      </c>
      <c r="D1209" t="inlineStr">
        <is>
          <t>SPEC</t>
        </is>
      </c>
      <c r="E1209">
        <f>_xlfn.CONCAT(Tableau1[[#This Row],[SHORT TYPE]]," ",Tableau1[[#This Row],[NUMERO]]," ",Tableau1[[#This Row],[GAMME]]," ",Tableau1[[#This Row],[TYPE PRODUIT]]," ",Tableau1[[#This Row],[PUISSANCE]])</f>
        <v/>
      </c>
      <c r="G1209" t="inlineStr">
        <is>
          <t>GVL</t>
        </is>
      </c>
      <c r="H1209" t="inlineStr">
        <is>
          <t>BYPASS</t>
        </is>
      </c>
      <c r="I1209" t="inlineStr">
        <is>
          <t>800kVA</t>
        </is>
      </c>
      <c r="J1209" t="inlineStr">
        <is>
          <t>MATRION</t>
        </is>
      </c>
      <c r="K1209" t="inlineStr">
        <is>
          <t>METAL</t>
        </is>
      </c>
      <c r="L1209">
        <f>_xlfn.XLOOKUP(Tableau1[[#This Row],[TYPE DE PIECE]],Tableau4[MATIERE],Tableau4[SHORT TYPE],"",0,1)</f>
        <v/>
      </c>
      <c r="N1209">
        <f>IF(ISERR(FIND("DECOUPE",Tableau1[[#This Row],[DESIGNATION]])),"","NEED REF")</f>
        <v/>
      </c>
    </row>
    <row r="1210">
      <c r="B1210" t="n">
        <v>34412791</v>
      </c>
      <c r="C1210" s="2" t="n">
        <v>45506</v>
      </c>
      <c r="D1210" t="inlineStr">
        <is>
          <t>SPEC</t>
        </is>
      </c>
      <c r="E1210" t="inlineStr">
        <is>
          <t>SMT PLAQUE GRILLAGEE STS</t>
        </is>
      </c>
      <c r="G1210" t="inlineStr">
        <is>
          <t>STS</t>
        </is>
      </c>
      <c r="J1210" t="inlineStr">
        <is>
          <t>MATRION</t>
        </is>
      </c>
      <c r="K1210" t="inlineStr">
        <is>
          <t>METAL</t>
        </is>
      </c>
      <c r="L1210">
        <f>_xlfn.XLOOKUP(Tableau1[[#This Row],[TYPE DE PIECE]],Tableau4[MATIERE],Tableau4[SHORT TYPE],"",0,1)</f>
        <v/>
      </c>
      <c r="N1210">
        <f>IF(ISERR(FIND("DECOUPE",Tableau1[[#This Row],[DESIGNATION]])),"","NEED REF")</f>
        <v/>
      </c>
    </row>
    <row r="1211">
      <c r="B1211" t="n">
        <v>34412790</v>
      </c>
      <c r="C1211" s="2" t="n">
        <v>45506</v>
      </c>
      <c r="D1211" t="inlineStr">
        <is>
          <t>SPEC</t>
        </is>
      </c>
      <c r="E1211" t="inlineStr">
        <is>
          <t>SMT PLAQUE PE STS</t>
        </is>
      </c>
      <c r="G1211" t="inlineStr">
        <is>
          <t>STS</t>
        </is>
      </c>
      <c r="J1211" t="inlineStr">
        <is>
          <t>MATRION</t>
        </is>
      </c>
      <c r="K1211" t="inlineStr">
        <is>
          <t>METAL</t>
        </is>
      </c>
      <c r="L1211">
        <f>_xlfn.XLOOKUP(Tableau1[[#This Row],[TYPE DE PIECE]],Tableau4[MATIERE],Tableau4[SHORT TYPE],"",0,1)</f>
        <v/>
      </c>
      <c r="N1211">
        <f>IF(ISERR(FIND("DECOUPE",Tableau1[[#This Row],[DESIGNATION]])),"","NEED REF")</f>
        <v/>
      </c>
    </row>
    <row r="1212">
      <c r="B1212" t="n">
        <v>34412789</v>
      </c>
      <c r="C1212" s="2" t="n">
        <v>45506</v>
      </c>
      <c r="D1212" t="inlineStr">
        <is>
          <t>SPEC</t>
        </is>
      </c>
      <c r="E1212">
        <f>_xlfn.CONCAT(Tableau1[[#This Row],[SHORT TYPE]]," ",Tableau1[[#This Row],[NUMERO]]," ",Tableau1[[#This Row],[GAMME]]," ",Tableau1[[#This Row],[TYPE PRODUIT]]," ",Tableau1[[#This Row],[PUISSANCE]])</f>
        <v/>
      </c>
      <c r="G1212" t="inlineStr">
        <is>
          <t>GVL</t>
        </is>
      </c>
      <c r="H1212" t="inlineStr">
        <is>
          <t>BYPASS</t>
        </is>
      </c>
      <c r="I1212" t="inlineStr">
        <is>
          <t>800kVA</t>
        </is>
      </c>
      <c r="J1212" t="inlineStr">
        <is>
          <t>MATRION</t>
        </is>
      </c>
      <c r="K1212" t="inlineStr">
        <is>
          <t>METAL</t>
        </is>
      </c>
      <c r="L1212">
        <f>_xlfn.XLOOKUP(Tableau1[[#This Row],[TYPE DE PIECE]],Tableau4[MATIERE],Tableau4[SHORT TYPE],"",0,1)</f>
        <v/>
      </c>
      <c r="N1212">
        <f>IF(ISERR(FIND("DECOUPE",Tableau1[[#This Row],[DESIGNATION]])),"","NEED REF")</f>
        <v/>
      </c>
    </row>
    <row r="1213">
      <c r="B1213" t="n">
        <v>34412788</v>
      </c>
      <c r="C1213" s="2" t="n">
        <v>45506</v>
      </c>
      <c r="D1213" t="inlineStr">
        <is>
          <t>SPEC</t>
        </is>
      </c>
      <c r="E1213">
        <f>_xlfn.CONCAT(Tableau1[[#This Row],[SHORT TYPE]]," ",Tableau1[[#This Row],[NUMERO]]," ",Tableau1[[#This Row],[GAMME]]," ",Tableau1[[#This Row],[TYPE PRODUIT]]," ",Tableau1[[#This Row],[PUISSANCE]])</f>
        <v/>
      </c>
      <c r="G1213" t="inlineStr">
        <is>
          <t>GVL</t>
        </is>
      </c>
      <c r="H1213" t="inlineStr">
        <is>
          <t>BYPASS</t>
        </is>
      </c>
      <c r="I1213" t="inlineStr">
        <is>
          <t>800kVA</t>
        </is>
      </c>
      <c r="J1213" t="inlineStr">
        <is>
          <t>MATRION</t>
        </is>
      </c>
      <c r="K1213" t="inlineStr">
        <is>
          <t>METAL</t>
        </is>
      </c>
      <c r="L1213">
        <f>_xlfn.XLOOKUP(Tableau1[[#This Row],[TYPE DE PIECE]],Tableau4[MATIERE],Tableau4[SHORT TYPE],"",0,1)</f>
        <v/>
      </c>
      <c r="N1213">
        <f>IF(ISERR(FIND("DECOUPE",Tableau1[[#This Row],[DESIGNATION]])),"","NEED REF")</f>
        <v/>
      </c>
    </row>
    <row r="1214">
      <c r="B1214" t="n">
        <v>34412787</v>
      </c>
      <c r="C1214" s="2" t="n">
        <v>45506</v>
      </c>
      <c r="D1214" t="inlineStr">
        <is>
          <t>SPEC</t>
        </is>
      </c>
      <c r="E1214">
        <f>_xlfn.CONCAT(Tableau1[[#This Row],[SHORT TYPE]]," ",Tableau1[[#This Row],[NUMERO]]," ",Tableau1[[#This Row],[GAMME]]," ",Tableau1[[#This Row],[TYPE PRODUIT]]," ",Tableau1[[#This Row],[PUISSANCE]])</f>
        <v/>
      </c>
      <c r="G1214" t="inlineStr">
        <is>
          <t>GVL</t>
        </is>
      </c>
      <c r="H1214" t="inlineStr">
        <is>
          <t>BYPASS</t>
        </is>
      </c>
      <c r="I1214" t="inlineStr">
        <is>
          <t>800kVA</t>
        </is>
      </c>
      <c r="J1214" t="inlineStr">
        <is>
          <t>MATRION</t>
        </is>
      </c>
      <c r="K1214" t="inlineStr">
        <is>
          <t>METAL</t>
        </is>
      </c>
      <c r="L1214">
        <f>_xlfn.XLOOKUP(Tableau1[[#This Row],[TYPE DE PIECE]],Tableau4[MATIERE],Tableau4[SHORT TYPE],"",0,1)</f>
        <v/>
      </c>
      <c r="N1214">
        <f>IF(ISERR(FIND("DECOUPE",Tableau1[[#This Row],[DESIGNATION]])),"","NEED REF")</f>
        <v/>
      </c>
    </row>
    <row r="1215">
      <c r="B1215" t="n">
        <v>34412786</v>
      </c>
      <c r="C1215" s="2" t="n">
        <v>45506</v>
      </c>
      <c r="D1215" t="inlineStr">
        <is>
          <t>SPEC</t>
        </is>
      </c>
      <c r="E1215">
        <f>_xlfn.CONCAT(Tableau1[[#This Row],[SHORT TYPE]]," ",Tableau1[[#This Row],[NUMERO]]," ",Tableau1[[#This Row],[GAMME]]," ",Tableau1[[#This Row],[TYPE PRODUIT]]," ",Tableau1[[#This Row],[PUISSANCE]])</f>
        <v/>
      </c>
      <c r="G1215" t="inlineStr">
        <is>
          <t>GVL</t>
        </is>
      </c>
      <c r="H1215" t="inlineStr">
        <is>
          <t>BYPASS</t>
        </is>
      </c>
      <c r="I1215" t="inlineStr">
        <is>
          <t>800kVA</t>
        </is>
      </c>
      <c r="J1215" t="inlineStr">
        <is>
          <t>MATRION</t>
        </is>
      </c>
      <c r="K1215" t="inlineStr">
        <is>
          <t>METAL</t>
        </is>
      </c>
      <c r="L1215">
        <f>_xlfn.XLOOKUP(Tableau1[[#This Row],[TYPE DE PIECE]],Tableau4[MATIERE],Tableau4[SHORT TYPE],"",0,1)</f>
        <v/>
      </c>
      <c r="N1215">
        <f>IF(ISERR(FIND("DECOUPE",Tableau1[[#This Row],[DESIGNATION]])),"","NEED REF")</f>
        <v/>
      </c>
    </row>
    <row r="1216">
      <c r="B1216" t="n">
        <v>34412785</v>
      </c>
      <c r="C1216" s="2" t="n">
        <v>45505</v>
      </c>
      <c r="D1216" t="inlineStr">
        <is>
          <t>SPEC</t>
        </is>
      </c>
      <c r="E1216" t="inlineStr">
        <is>
          <t>PLA 34412785 GVL BYPASS 800kVA BARRE BRIDAGE CU 8</t>
        </is>
      </c>
      <c r="G1216" t="inlineStr">
        <is>
          <t>GVL</t>
        </is>
      </c>
      <c r="H1216" t="inlineStr">
        <is>
          <t>BYPASS</t>
        </is>
      </c>
      <c r="I1216" t="inlineStr">
        <is>
          <t>800kVA</t>
        </is>
      </c>
      <c r="J1216" t="inlineStr">
        <is>
          <t>MATRION</t>
        </is>
      </c>
      <c r="K1216" t="inlineStr">
        <is>
          <t>PLASTIQUE</t>
        </is>
      </c>
      <c r="L1216">
        <f>_xlfn.XLOOKUP(Tableau1[[#This Row],[TYPE DE PIECE]],Tableau4[MATIERE],Tableau4[SHORT TYPE],"",0,1)</f>
        <v/>
      </c>
      <c r="N1216">
        <f>IF(ISERR(FIND("DECOUPE",Tableau1[[#This Row],[DESIGNATION]])),"","NEED REF")</f>
        <v/>
      </c>
    </row>
    <row r="1217">
      <c r="B1217" t="n">
        <v>34412784</v>
      </c>
      <c r="C1217" s="2" t="n">
        <v>45505</v>
      </c>
      <c r="D1217" t="inlineStr">
        <is>
          <t>SPEC</t>
        </is>
      </c>
      <c r="E1217" t="inlineStr">
        <is>
          <t>PLA 34412784 GVL BYPASS 800kVA BARRE BRIDAGE CU 7</t>
        </is>
      </c>
      <c r="G1217" t="inlineStr">
        <is>
          <t>GVL</t>
        </is>
      </c>
      <c r="H1217" t="inlineStr">
        <is>
          <t>BYPASS</t>
        </is>
      </c>
      <c r="I1217" t="inlineStr">
        <is>
          <t>800kVA</t>
        </is>
      </c>
      <c r="J1217" t="inlineStr">
        <is>
          <t>MATRION</t>
        </is>
      </c>
      <c r="K1217" t="inlineStr">
        <is>
          <t>PLASTIQUE</t>
        </is>
      </c>
      <c r="L1217">
        <f>_xlfn.XLOOKUP(Tableau1[[#This Row],[TYPE DE PIECE]],Tableau4[MATIERE],Tableau4[SHORT TYPE],"",0,1)</f>
        <v/>
      </c>
      <c r="N1217">
        <f>IF(ISERR(FIND("DECOUPE",Tableau1[[#This Row],[DESIGNATION]])),"","NEED REF")</f>
        <v/>
      </c>
    </row>
    <row r="1218">
      <c r="B1218" t="n">
        <v>34412783</v>
      </c>
      <c r="C1218" s="2" t="n">
        <v>45505</v>
      </c>
      <c r="D1218" t="inlineStr">
        <is>
          <t>SPEC</t>
        </is>
      </c>
      <c r="E1218" t="inlineStr">
        <is>
          <t>PLA 34412783 GVL BYPASS 800kVA BARRE BRIDAGE CU 6</t>
        </is>
      </c>
      <c r="G1218" t="inlineStr">
        <is>
          <t>GVL</t>
        </is>
      </c>
      <c r="H1218" t="inlineStr">
        <is>
          <t>BYPASS</t>
        </is>
      </c>
      <c r="I1218" t="inlineStr">
        <is>
          <t>800kVA</t>
        </is>
      </c>
      <c r="J1218" t="inlineStr">
        <is>
          <t>MATRION</t>
        </is>
      </c>
      <c r="K1218" t="inlineStr">
        <is>
          <t>PLASTIQUE</t>
        </is>
      </c>
      <c r="L1218">
        <f>_xlfn.XLOOKUP(Tableau1[[#This Row],[TYPE DE PIECE]],Tableau4[MATIERE],Tableau4[SHORT TYPE],"",0,1)</f>
        <v/>
      </c>
      <c r="N1218">
        <f>IF(ISERR(FIND("DECOUPE",Tableau1[[#This Row],[DESIGNATION]])),"","NEED REF")</f>
        <v/>
      </c>
    </row>
    <row r="1219">
      <c r="B1219" t="n">
        <v>34412782</v>
      </c>
      <c r="C1219" s="2" t="n">
        <v>45505</v>
      </c>
      <c r="D1219" t="inlineStr">
        <is>
          <t>SPEC</t>
        </is>
      </c>
      <c r="E1219">
        <f>_xlfn.CONCAT(Tableau1[[#This Row],[SHORT TYPE]]," ",Tableau1[[#This Row],[NUMERO]]," ",Tableau1[[#This Row],[GAMME]]," ",Tableau1[[#This Row],[TYPE PRODUIT]]," ",Tableau1[[#This Row],[PUISSANCE]])</f>
        <v/>
      </c>
      <c r="G1219" t="inlineStr">
        <is>
          <t>GVL</t>
        </is>
      </c>
      <c r="H1219" t="inlineStr">
        <is>
          <t>BYPASS</t>
        </is>
      </c>
      <c r="I1219" t="inlineStr">
        <is>
          <t>800kVA</t>
        </is>
      </c>
      <c r="J1219" t="inlineStr">
        <is>
          <t>MATRION</t>
        </is>
      </c>
      <c r="K1219" t="inlineStr">
        <is>
          <t>METAL</t>
        </is>
      </c>
      <c r="L1219">
        <f>_xlfn.XLOOKUP(Tableau1[[#This Row],[TYPE DE PIECE]],Tableau4[MATIERE],Tableau4[SHORT TYPE],"",0,1)</f>
        <v/>
      </c>
      <c r="N1219">
        <f>IF(ISERR(FIND("DECOUPE",Tableau1[[#This Row],[DESIGNATION]])),"","NEED REF")</f>
        <v/>
      </c>
    </row>
    <row r="1220">
      <c r="B1220" t="n">
        <v>34412781</v>
      </c>
      <c r="C1220" s="2" t="n">
        <v>45505</v>
      </c>
      <c r="D1220" t="inlineStr">
        <is>
          <t>SPEC</t>
        </is>
      </c>
      <c r="E1220" t="inlineStr">
        <is>
          <t>COP LIAISON NS800 LINERGY L3</t>
        </is>
      </c>
      <c r="G1220" t="inlineStr">
        <is>
          <t>GVL</t>
        </is>
      </c>
      <c r="H1220" t="inlineStr">
        <is>
          <t>BYPASS</t>
        </is>
      </c>
      <c r="I1220" t="inlineStr">
        <is>
          <t>800kVA</t>
        </is>
      </c>
      <c r="J1220" t="inlineStr">
        <is>
          <t>MATRION</t>
        </is>
      </c>
      <c r="K1220" t="inlineStr">
        <is>
          <t>CUIVRE</t>
        </is>
      </c>
      <c r="L1220">
        <f>_xlfn.XLOOKUP(Tableau1[[#This Row],[TYPE DE PIECE]],Tableau4[MATIERE],Tableau4[SHORT TYPE],"",0,1)</f>
        <v/>
      </c>
      <c r="N1220">
        <f>IF(ISERR(FIND("DECOUPE",Tableau1[[#This Row],[DESIGNATION]])),"","NEED REF")</f>
        <v/>
      </c>
    </row>
    <row r="1221">
      <c r="B1221" t="n">
        <v>34412780</v>
      </c>
      <c r="C1221" s="2" t="n">
        <v>45505</v>
      </c>
      <c r="D1221" t="inlineStr">
        <is>
          <t>SPEC</t>
        </is>
      </c>
      <c r="E1221" t="inlineStr">
        <is>
          <t>COP LIAISON NS800 LINERGY L2</t>
        </is>
      </c>
      <c r="G1221" t="inlineStr">
        <is>
          <t>GVL</t>
        </is>
      </c>
      <c r="H1221" t="inlineStr">
        <is>
          <t>BYPASS</t>
        </is>
      </c>
      <c r="I1221" t="inlineStr">
        <is>
          <t>800kVA</t>
        </is>
      </c>
      <c r="J1221" t="inlineStr">
        <is>
          <t>MATRION</t>
        </is>
      </c>
      <c r="K1221" t="inlineStr">
        <is>
          <t>CUIVRE</t>
        </is>
      </c>
      <c r="L1221">
        <f>_xlfn.XLOOKUP(Tableau1[[#This Row],[TYPE DE PIECE]],Tableau4[MATIERE],Tableau4[SHORT TYPE],"",0,1)</f>
        <v/>
      </c>
      <c r="N1221">
        <f>IF(ISERR(FIND("DECOUPE",Tableau1[[#This Row],[DESIGNATION]])),"","NEED REF")</f>
        <v/>
      </c>
    </row>
    <row r="1222">
      <c r="B1222" t="n">
        <v>34412779</v>
      </c>
      <c r="C1222" s="2" t="n">
        <v>45505</v>
      </c>
      <c r="D1222" t="inlineStr">
        <is>
          <t>SPEC</t>
        </is>
      </c>
      <c r="E1222" t="inlineStr">
        <is>
          <t>COP LIAISON NS800 LINERGY L1</t>
        </is>
      </c>
      <c r="G1222" t="inlineStr">
        <is>
          <t>GVL</t>
        </is>
      </c>
      <c r="H1222" t="inlineStr">
        <is>
          <t>BYPASS</t>
        </is>
      </c>
      <c r="I1222" t="inlineStr">
        <is>
          <t>800kVA</t>
        </is>
      </c>
      <c r="J1222" t="inlineStr">
        <is>
          <t>MATRION</t>
        </is>
      </c>
      <c r="K1222" t="inlineStr">
        <is>
          <t>CUIVRE</t>
        </is>
      </c>
      <c r="L1222">
        <f>_xlfn.XLOOKUP(Tableau1[[#This Row],[TYPE DE PIECE]],Tableau4[MATIERE],Tableau4[SHORT TYPE],"",0,1)</f>
        <v/>
      </c>
      <c r="N1222">
        <f>IF(ISERR(FIND("DECOUPE",Tableau1[[#This Row],[DESIGNATION]])),"","NEED REF")</f>
        <v/>
      </c>
    </row>
    <row r="1223">
      <c r="B1223" t="n">
        <v>34412778</v>
      </c>
      <c r="C1223" s="2" t="n">
        <v>45505</v>
      </c>
      <c r="D1223" t="inlineStr">
        <is>
          <t>SPEC</t>
        </is>
      </c>
      <c r="E1223" t="inlineStr">
        <is>
          <t>COP LIAISON NS800 LINERGY N</t>
        </is>
      </c>
      <c r="G1223" t="inlineStr">
        <is>
          <t>GVL</t>
        </is>
      </c>
      <c r="H1223" t="inlineStr">
        <is>
          <t>BYPASS</t>
        </is>
      </c>
      <c r="I1223" t="inlineStr">
        <is>
          <t>800kVA</t>
        </is>
      </c>
      <c r="J1223" t="inlineStr">
        <is>
          <t>MATRION</t>
        </is>
      </c>
      <c r="K1223" t="inlineStr">
        <is>
          <t>CUIVRE</t>
        </is>
      </c>
      <c r="L1223">
        <f>_xlfn.XLOOKUP(Tableau1[[#This Row],[TYPE DE PIECE]],Tableau4[MATIERE],Tableau4[SHORT TYPE],"",0,1)</f>
        <v/>
      </c>
      <c r="N1223">
        <f>IF(ISERR(FIND("DECOUPE",Tableau1[[#This Row],[DESIGNATION]])),"","NEED REF")</f>
        <v/>
      </c>
    </row>
    <row r="1224">
      <c r="B1224" t="n">
        <v>34412777</v>
      </c>
      <c r="C1224" s="2" t="n">
        <v>45504</v>
      </c>
      <c r="D1224" t="inlineStr">
        <is>
          <t>SPEC</t>
        </is>
      </c>
      <c r="E1224" t="inlineStr">
        <is>
          <t>SE SW / NS800NA 4P</t>
        </is>
      </c>
      <c r="G1224" t="inlineStr">
        <is>
          <t>GVL</t>
        </is>
      </c>
      <c r="H1224" t="inlineStr">
        <is>
          <t>BYPASS</t>
        </is>
      </c>
      <c r="I1224" t="inlineStr">
        <is>
          <t>800kVA</t>
        </is>
      </c>
      <c r="J1224" t="inlineStr">
        <is>
          <t>MATRION</t>
        </is>
      </c>
      <c r="K1224" t="inlineStr">
        <is>
          <t>SE</t>
        </is>
      </c>
      <c r="L1224">
        <f>_xlfn.XLOOKUP(Tableau1[[#This Row],[TYPE DE PIECE]],Tableau4[MATIERE],Tableau4[SHORT TYPE],"",0,1)</f>
        <v/>
      </c>
      <c r="N1224">
        <f>IF(ISERR(FIND("DECOUPE",Tableau1[[#This Row],[DESIGNATION]])),"","NEED REF")</f>
        <v/>
      </c>
    </row>
    <row r="1225">
      <c r="B1225" t="n">
        <v>34412776</v>
      </c>
      <c r="C1225" s="2" t="n">
        <v>45504</v>
      </c>
      <c r="D1225" t="inlineStr">
        <is>
          <t>SPEC</t>
        </is>
      </c>
      <c r="E1225" t="inlineStr">
        <is>
          <t>SE CB / NS800H Micro5.0 4P4d</t>
        </is>
      </c>
      <c r="G1225" t="inlineStr">
        <is>
          <t>GVL</t>
        </is>
      </c>
      <c r="H1225" t="inlineStr">
        <is>
          <t>BYPASS</t>
        </is>
      </c>
      <c r="I1225" t="inlineStr">
        <is>
          <t>800kVA</t>
        </is>
      </c>
      <c r="J1225" t="inlineStr">
        <is>
          <t>MATRION</t>
        </is>
      </c>
      <c r="K1225" t="inlineStr">
        <is>
          <t>SE</t>
        </is>
      </c>
      <c r="L1225">
        <f>_xlfn.XLOOKUP(Tableau1[[#This Row],[TYPE DE PIECE]],Tableau4[MATIERE],Tableau4[SHORT TYPE],"",0,1)</f>
        <v/>
      </c>
      <c r="N1225">
        <f>IF(ISERR(FIND("DECOUPE",Tableau1[[#This Row],[DESIGNATION]])),"","NEED REF")</f>
        <v/>
      </c>
    </row>
    <row r="1226">
      <c r="B1226" t="n">
        <v>34412775</v>
      </c>
      <c r="C1226" s="2" t="n">
        <v>45504</v>
      </c>
      <c r="D1226" t="inlineStr">
        <is>
          <t>SPEC</t>
        </is>
      </c>
      <c r="E1226" t="inlineStr">
        <is>
          <t>SE CB / NS1600H Micro5.0 4P4d</t>
        </is>
      </c>
      <c r="G1226" t="inlineStr">
        <is>
          <t>GVL</t>
        </is>
      </c>
      <c r="H1226" t="inlineStr">
        <is>
          <t>BYPASS</t>
        </is>
      </c>
      <c r="I1226" t="inlineStr">
        <is>
          <t>800kVA</t>
        </is>
      </c>
      <c r="J1226" t="inlineStr">
        <is>
          <t>MATRION</t>
        </is>
      </c>
      <c r="K1226" t="inlineStr">
        <is>
          <t>SE</t>
        </is>
      </c>
      <c r="L1226">
        <f>_xlfn.XLOOKUP(Tableau1[[#This Row],[TYPE DE PIECE]],Tableau4[MATIERE],Tableau4[SHORT TYPE],"",0,1)</f>
        <v/>
      </c>
      <c r="N1226">
        <f>IF(ISERR(FIND("DECOUPE",Tableau1[[#This Row],[DESIGNATION]])),"","NEED REF")</f>
        <v/>
      </c>
    </row>
    <row r="1227">
      <c r="B1227" t="n">
        <v>34412774</v>
      </c>
      <c r="C1227" s="2" t="n">
        <v>45498</v>
      </c>
      <c r="D1227" t="inlineStr">
        <is>
          <t>SPEC</t>
        </is>
      </c>
      <c r="E1227" t="inlineStr">
        <is>
          <t>COP 34412774 GVX UPS 1500kVA I LIAISON BAT 4</t>
        </is>
      </c>
      <c r="G1227" t="inlineStr">
        <is>
          <t>GVX</t>
        </is>
      </c>
      <c r="H1227" t="inlineStr">
        <is>
          <t>UPS</t>
        </is>
      </c>
      <c r="I1227" t="inlineStr">
        <is>
          <t>1500kVA</t>
        </is>
      </c>
      <c r="J1227" t="inlineStr">
        <is>
          <t>MATRION</t>
        </is>
      </c>
      <c r="K1227" t="inlineStr">
        <is>
          <t>CUIVRE</t>
        </is>
      </c>
      <c r="L1227">
        <f>_xlfn.XLOOKUP(Tableau1[[#This Row],[TYPE DE PIECE]],Tableau4[MATIERE],Tableau4[SHORT TYPE],"",0,1)</f>
        <v/>
      </c>
      <c r="N1227">
        <f>IF(ISERR(FIND("DECOUPE",Tableau1[[#This Row],[DESIGNATION]])),"","NEED REF")</f>
        <v/>
      </c>
    </row>
    <row r="1228">
      <c r="B1228" t="n">
        <v>34412773</v>
      </c>
      <c r="C1228" s="2" t="n">
        <v>45498</v>
      </c>
      <c r="D1228" t="inlineStr">
        <is>
          <t>SPEC</t>
        </is>
      </c>
      <c r="E1228" t="inlineStr">
        <is>
          <t>SMT 34412773 GVX UPS 1500kVA INPUT ROOF 2500A 2</t>
        </is>
      </c>
      <c r="G1228" t="inlineStr">
        <is>
          <t>GVX</t>
        </is>
      </c>
      <c r="H1228" t="inlineStr">
        <is>
          <t>UPS</t>
        </is>
      </c>
      <c r="I1228" t="inlineStr">
        <is>
          <t>1500kVA</t>
        </is>
      </c>
      <c r="J1228" t="inlineStr">
        <is>
          <t>MATRION</t>
        </is>
      </c>
      <c r="K1228" t="inlineStr">
        <is>
          <t>METAL</t>
        </is>
      </c>
      <c r="L1228">
        <f>_xlfn.XLOOKUP(Tableau1[[#This Row],[TYPE DE PIECE]],Tableau4[MATIERE],Tableau4[SHORT TYPE],"",0,1)</f>
        <v/>
      </c>
      <c r="N1228">
        <f>IF(ISERR(FIND("DECOUPE",Tableau1[[#This Row],[DESIGNATION]])),"","NEED REF")</f>
        <v/>
      </c>
    </row>
    <row r="1229">
      <c r="B1229" t="n">
        <v>34412772</v>
      </c>
      <c r="C1229" s="2" t="n">
        <v>45498</v>
      </c>
      <c r="D1229" t="inlineStr">
        <is>
          <t>SPEC</t>
        </is>
      </c>
      <c r="E1229" t="inlineStr">
        <is>
          <t>SMT 34412772 GVX UPS 1500kVA INPUT ROOF 2500A 1</t>
        </is>
      </c>
      <c r="G1229" t="inlineStr">
        <is>
          <t>GVX</t>
        </is>
      </c>
      <c r="H1229" t="inlineStr">
        <is>
          <t>UPS</t>
        </is>
      </c>
      <c r="I1229" t="inlineStr">
        <is>
          <t>1500kVA</t>
        </is>
      </c>
      <c r="J1229" t="inlineStr">
        <is>
          <t>MATRION</t>
        </is>
      </c>
      <c r="K1229" t="inlineStr">
        <is>
          <t>METAL</t>
        </is>
      </c>
      <c r="L1229">
        <f>_xlfn.XLOOKUP(Tableau1[[#This Row],[TYPE DE PIECE]],Tableau4[MATIERE],Tableau4[SHORT TYPE],"",0,1)</f>
        <v/>
      </c>
      <c r="N1229">
        <f>IF(ISERR(FIND("DECOUPE",Tableau1[[#This Row],[DESIGNATION]])),"","NEED REF")</f>
        <v/>
      </c>
    </row>
    <row r="1230">
      <c r="B1230" t="n">
        <v>34412771</v>
      </c>
      <c r="C1230" s="2" t="n">
        <v>45498</v>
      </c>
      <c r="D1230" t="inlineStr">
        <is>
          <t>SPEC</t>
        </is>
      </c>
      <c r="E1230" t="inlineStr">
        <is>
          <t>COP 34412771 GVX UPS 1500kVA INPUT PE 2</t>
        </is>
      </c>
      <c r="G1230" t="inlineStr">
        <is>
          <t>GVX</t>
        </is>
      </c>
      <c r="H1230" t="inlineStr">
        <is>
          <t>UPS</t>
        </is>
      </c>
      <c r="I1230" t="inlineStr">
        <is>
          <t>1500kVA</t>
        </is>
      </c>
      <c r="J1230" t="inlineStr">
        <is>
          <t>MATRION</t>
        </is>
      </c>
      <c r="K1230" t="inlineStr">
        <is>
          <t>CUIVRE</t>
        </is>
      </c>
      <c r="L1230">
        <f>_xlfn.XLOOKUP(Tableau1[[#This Row],[TYPE DE PIECE]],Tableau4[MATIERE],Tableau4[SHORT TYPE],"",0,1)</f>
        <v/>
      </c>
      <c r="N1230">
        <f>IF(ISERR(FIND("DECOUPE",Tableau1[[#This Row],[DESIGNATION]])),"","NEED REF")</f>
        <v/>
      </c>
    </row>
    <row r="1231">
      <c r="B1231" t="n">
        <v>34412770</v>
      </c>
      <c r="C1231" s="2" t="n">
        <v>45498</v>
      </c>
      <c r="D1231" t="inlineStr">
        <is>
          <t>SPEC</t>
        </is>
      </c>
      <c r="E1231" t="inlineStr">
        <is>
          <t>COP 34412770 GVX UPS 1500kVA INPUT PE 1</t>
        </is>
      </c>
      <c r="G1231" t="inlineStr">
        <is>
          <t>GVX</t>
        </is>
      </c>
      <c r="H1231" t="inlineStr">
        <is>
          <t>UPS</t>
        </is>
      </c>
      <c r="I1231" t="inlineStr">
        <is>
          <t>1500kVA</t>
        </is>
      </c>
      <c r="J1231" t="inlineStr">
        <is>
          <t>MATRION</t>
        </is>
      </c>
      <c r="K1231" t="inlineStr">
        <is>
          <t>CUIVRE</t>
        </is>
      </c>
      <c r="L1231">
        <f>_xlfn.XLOOKUP(Tableau1[[#This Row],[TYPE DE PIECE]],Tableau4[MATIERE],Tableau4[SHORT TYPE],"",0,1)</f>
        <v/>
      </c>
      <c r="N1231">
        <f>IF(ISERR(FIND("DECOUPE",Tableau1[[#This Row],[DESIGNATION]])),"","NEED REF")</f>
        <v/>
      </c>
    </row>
    <row r="1232">
      <c r="B1232" t="n">
        <v>34412769</v>
      </c>
      <c r="C1232" s="2" t="n">
        <v>45497</v>
      </c>
      <c r="D1232" t="inlineStr">
        <is>
          <t>SPEC</t>
        </is>
      </c>
      <c r="E1232" t="inlineStr">
        <is>
          <t>SMT 34412769 GVX UPS 1500kVA FAKE PE INPUT</t>
        </is>
      </c>
      <c r="G1232" t="inlineStr">
        <is>
          <t>GVX</t>
        </is>
      </c>
      <c r="H1232" t="inlineStr">
        <is>
          <t>UPS</t>
        </is>
      </c>
      <c r="I1232" t="inlineStr">
        <is>
          <t>1500kVA</t>
        </is>
      </c>
      <c r="J1232" t="inlineStr">
        <is>
          <t>MATRION</t>
        </is>
      </c>
      <c r="K1232" t="inlineStr">
        <is>
          <t>METAL</t>
        </is>
      </c>
      <c r="L1232">
        <f>_xlfn.XLOOKUP(Tableau1[[#This Row],[TYPE DE PIECE]],Tableau4[MATIERE],Tableau4[SHORT TYPE],"",0,1)</f>
        <v/>
      </c>
      <c r="N1232">
        <f>IF(ISERR(FIND("DECOUPE",Tableau1[[#This Row],[DESIGNATION]])),"","NEED REF")</f>
        <v/>
      </c>
    </row>
    <row r="1233">
      <c r="B1233" t="n">
        <v>34412768</v>
      </c>
      <c r="C1233" s="2" t="n">
        <v>45497</v>
      </c>
      <c r="D1233" t="inlineStr">
        <is>
          <t>SPEC</t>
        </is>
      </c>
      <c r="E1233" t="inlineStr">
        <is>
          <t>SMT 34412768 GVX UPS 1500kVA FAKE PE OUTPUT+BATT</t>
        </is>
      </c>
      <c r="G1233" t="inlineStr">
        <is>
          <t>GVX</t>
        </is>
      </c>
      <c r="H1233" t="inlineStr">
        <is>
          <t>UPS</t>
        </is>
      </c>
      <c r="I1233" t="inlineStr">
        <is>
          <t>1500kVA</t>
        </is>
      </c>
      <c r="J1233" t="inlineStr">
        <is>
          <t>MATRION</t>
        </is>
      </c>
      <c r="K1233" t="inlineStr">
        <is>
          <t>METAL</t>
        </is>
      </c>
      <c r="L1233">
        <f>_xlfn.XLOOKUP(Tableau1[[#This Row],[TYPE DE PIECE]],Tableau4[MATIERE],Tableau4[SHORT TYPE],"",0,1)</f>
        <v/>
      </c>
      <c r="N1233">
        <f>IF(ISERR(FIND("DECOUPE",Tableau1[[#This Row],[DESIGNATION]])),"","NEED REF")</f>
        <v/>
      </c>
    </row>
    <row r="1234">
      <c r="B1234" t="n">
        <v>34412767</v>
      </c>
      <c r="C1234" s="2" t="n">
        <v>45497</v>
      </c>
      <c r="D1234" t="inlineStr">
        <is>
          <t>SPEC</t>
        </is>
      </c>
      <c r="E1234" t="inlineStr">
        <is>
          <t>SMT 34412767 GVX UPS 1500kVA FAKE FEEDER FLANGE</t>
        </is>
      </c>
      <c r="G1234" t="inlineStr">
        <is>
          <t>GVX</t>
        </is>
      </c>
      <c r="H1234" t="inlineStr">
        <is>
          <t>UPS</t>
        </is>
      </c>
      <c r="I1234" t="inlineStr">
        <is>
          <t>1500kVA</t>
        </is>
      </c>
      <c r="J1234" t="inlineStr">
        <is>
          <t>MATRION</t>
        </is>
      </c>
      <c r="K1234" t="inlineStr">
        <is>
          <t>METAL</t>
        </is>
      </c>
      <c r="L1234">
        <f>_xlfn.XLOOKUP(Tableau1[[#This Row],[TYPE DE PIECE]],Tableau4[MATIERE],Tableau4[SHORT TYPE],"",0,1)</f>
        <v/>
      </c>
      <c r="N1234">
        <f>IF(ISERR(FIND("DECOUPE",Tableau1[[#This Row],[DESIGNATION]])),"","NEED REF")</f>
        <v/>
      </c>
    </row>
    <row r="1235">
      <c r="B1235" t="n">
        <v>34412766</v>
      </c>
      <c r="C1235" s="2" t="n">
        <v>45497</v>
      </c>
      <c r="D1235" t="inlineStr">
        <is>
          <t>SPEC</t>
        </is>
      </c>
      <c r="E1235" t="inlineStr">
        <is>
          <t>SMT 34412766 GVX UPS 1500kVA</t>
        </is>
      </c>
      <c r="G1235" t="inlineStr">
        <is>
          <t>GVX</t>
        </is>
      </c>
      <c r="H1235" t="inlineStr">
        <is>
          <t>UPS</t>
        </is>
      </c>
      <c r="I1235" t="inlineStr">
        <is>
          <t>1500kVA</t>
        </is>
      </c>
      <c r="J1235" t="inlineStr">
        <is>
          <t>MATRION</t>
        </is>
      </c>
      <c r="K1235" t="inlineStr">
        <is>
          <t>METAL</t>
        </is>
      </c>
      <c r="L1235">
        <f>_xlfn.XLOOKUP(Tableau1[[#This Row],[TYPE DE PIECE]],Tableau4[MATIERE],Tableau4[SHORT TYPE],"",0,1)</f>
        <v/>
      </c>
      <c r="N1235">
        <f>IF(ISERR(FIND("DECOUPE",Tableau1[[#This Row],[DESIGNATION]])),"","NEED REF")</f>
        <v/>
      </c>
    </row>
    <row r="1236">
      <c r="B1236" t="n">
        <v>34412765</v>
      </c>
      <c r="C1236" s="2" t="n">
        <v>45496</v>
      </c>
      <c r="D1236" t="inlineStr">
        <is>
          <t>SPEC</t>
        </is>
      </c>
      <c r="E1236" t="inlineStr">
        <is>
          <t>SMT 34412765 GVX UPS 1500kVA FAKE ROOF INPUT</t>
        </is>
      </c>
      <c r="G1236" t="inlineStr">
        <is>
          <t>GVX</t>
        </is>
      </c>
      <c r="H1236" t="inlineStr">
        <is>
          <t>UPS</t>
        </is>
      </c>
      <c r="I1236" t="inlineStr">
        <is>
          <t>1500kVA</t>
        </is>
      </c>
      <c r="J1236" t="inlineStr">
        <is>
          <t>MATRION</t>
        </is>
      </c>
      <c r="K1236" t="inlineStr">
        <is>
          <t>METAL</t>
        </is>
      </c>
      <c r="L1236">
        <f>_xlfn.XLOOKUP(Tableau1[[#This Row],[TYPE DE PIECE]],Tableau4[MATIERE],Tableau4[SHORT TYPE],"",0,1)</f>
        <v/>
      </c>
      <c r="N1236">
        <f>IF(ISERR(FIND("DECOUPE",Tableau1[[#This Row],[DESIGNATION]])),"","NEED REF")</f>
        <v/>
      </c>
    </row>
    <row r="1237">
      <c r="B1237" t="n">
        <v>34412764</v>
      </c>
      <c r="C1237" s="2" t="n">
        <v>45496</v>
      </c>
      <c r="D1237" t="inlineStr">
        <is>
          <t>SPEC</t>
        </is>
      </c>
      <c r="E1237" t="inlineStr">
        <is>
          <t>SMT 34412764 GVX UPS 1500kVA FAKE ROOF OUTPUT+BATT</t>
        </is>
      </c>
      <c r="G1237" t="inlineStr">
        <is>
          <t>GVX</t>
        </is>
      </c>
      <c r="H1237" t="inlineStr">
        <is>
          <t>UPS</t>
        </is>
      </c>
      <c r="I1237" t="inlineStr">
        <is>
          <t>1500kVA</t>
        </is>
      </c>
      <c r="J1237" t="inlineStr">
        <is>
          <t>MATRION</t>
        </is>
      </c>
      <c r="K1237" t="inlineStr">
        <is>
          <t>METAL</t>
        </is>
      </c>
      <c r="L1237">
        <f>_xlfn.XLOOKUP(Tableau1[[#This Row],[TYPE DE PIECE]],Tableau4[MATIERE],Tableau4[SHORT TYPE],"",0,1)</f>
        <v/>
      </c>
      <c r="N1237">
        <f>IF(ISERR(FIND("DECOUPE",Tableau1[[#This Row],[DESIGNATION]])),"","NEED REF")</f>
        <v/>
      </c>
    </row>
    <row r="1238">
      <c r="B1238" t="n">
        <v>34412763</v>
      </c>
      <c r="C1238" s="2" t="n">
        <v>45495</v>
      </c>
      <c r="D1238" t="inlineStr">
        <is>
          <t>SPEC</t>
        </is>
      </c>
      <c r="E1238" t="inlineStr">
        <is>
          <t>ETQ 34412763 GVX IO1250 1250KVA INPUT</t>
        </is>
      </c>
      <c r="F1238" t="inlineStr">
        <is>
          <t>FOXWAY</t>
        </is>
      </c>
      <c r="G1238" t="inlineStr">
        <is>
          <t>GVX</t>
        </is>
      </c>
      <c r="H1238" t="inlineStr">
        <is>
          <t>IO1250</t>
        </is>
      </c>
      <c r="I1238" t="inlineStr">
        <is>
          <t>1250KVA</t>
        </is>
      </c>
      <c r="J1238" t="inlineStr">
        <is>
          <t>MATRION</t>
        </is>
      </c>
      <c r="K1238" t="inlineStr">
        <is>
          <t>ETIQUETTE</t>
        </is>
      </c>
      <c r="L1238">
        <f>_xlfn.XLOOKUP(Tableau1[[#This Row],[TYPE DE PIECE]],Tableau4[MATIERE],Tableau4[SHORT TYPE],"",0,1)</f>
        <v/>
      </c>
      <c r="N1238">
        <f>IF(ISERR(FIND("DECOUPE",Tableau1[[#This Row],[DESIGNATION]])),"","NEED REF")</f>
        <v/>
      </c>
    </row>
    <row r="1239">
      <c r="B1239" t="n">
        <v>34412762</v>
      </c>
      <c r="C1239" s="2" t="n">
        <v>45495</v>
      </c>
      <c r="D1239" t="inlineStr">
        <is>
          <t>SPEC</t>
        </is>
      </c>
      <c r="E1239" t="inlineStr">
        <is>
          <t>ETQ 34412762 GVX IO1250 1250KVA BATTERY</t>
        </is>
      </c>
      <c r="F1239" t="inlineStr">
        <is>
          <t>FOXWAY</t>
        </is>
      </c>
      <c r="G1239" t="inlineStr">
        <is>
          <t>GVX</t>
        </is>
      </c>
      <c r="H1239" t="inlineStr">
        <is>
          <t>IO1250</t>
        </is>
      </c>
      <c r="I1239" t="inlineStr">
        <is>
          <t>1250KVA</t>
        </is>
      </c>
      <c r="J1239" t="inlineStr">
        <is>
          <t>MATRION</t>
        </is>
      </c>
      <c r="K1239" t="inlineStr">
        <is>
          <t>ETIQUETTE</t>
        </is>
      </c>
      <c r="L1239">
        <f>_xlfn.XLOOKUP(Tableau1[[#This Row],[TYPE DE PIECE]],Tableau4[MATIERE],Tableau4[SHORT TYPE],"",0,1)</f>
        <v/>
      </c>
      <c r="N1239">
        <f>IF(ISERR(FIND("DECOUPE",Tableau1[[#This Row],[DESIGNATION]])),"","NEED REF")</f>
        <v/>
      </c>
    </row>
    <row r="1240">
      <c r="B1240" t="n">
        <v>34412761</v>
      </c>
      <c r="C1240" s="2" t="n">
        <v>45495</v>
      </c>
      <c r="D1240" t="inlineStr">
        <is>
          <t>SPEC</t>
        </is>
      </c>
      <c r="E1240" t="inlineStr">
        <is>
          <t>ETQ 34412761 GVX IO1250 1250KVA OUTPUT</t>
        </is>
      </c>
      <c r="F1240" t="inlineStr">
        <is>
          <t>FOXWAY</t>
        </is>
      </c>
      <c r="G1240" t="inlineStr">
        <is>
          <t>GVX</t>
        </is>
      </c>
      <c r="H1240" t="inlineStr">
        <is>
          <t>IO1250</t>
        </is>
      </c>
      <c r="I1240" t="inlineStr">
        <is>
          <t>1250KVA</t>
        </is>
      </c>
      <c r="J1240" t="inlineStr">
        <is>
          <t>MATRION</t>
        </is>
      </c>
      <c r="K1240" t="inlineStr">
        <is>
          <t>ETIQUETTE</t>
        </is>
      </c>
      <c r="L1240">
        <f>_xlfn.XLOOKUP(Tableau1[[#This Row],[TYPE DE PIECE]],Tableau4[MATIERE],Tableau4[SHORT TYPE],"",0,1)</f>
        <v/>
      </c>
      <c r="N1240">
        <f>IF(ISERR(FIND("DECOUPE",Tableau1[[#This Row],[DESIGNATION]])),"","NEED REF")</f>
        <v/>
      </c>
    </row>
    <row r="1241">
      <c r="B1241" t="n">
        <v>34412760</v>
      </c>
      <c r="C1241" s="2" t="n">
        <v>45495</v>
      </c>
      <c r="D1241" t="inlineStr">
        <is>
          <t>SPEC</t>
        </is>
      </c>
      <c r="E1241" t="inlineStr">
        <is>
          <t>ETQ 34412760 GVX IO1250 1250KVA INPUT</t>
        </is>
      </c>
      <c r="F1241" t="inlineStr">
        <is>
          <t>FOXWAY</t>
        </is>
      </c>
      <c r="G1241" t="inlineStr">
        <is>
          <t>GVX</t>
        </is>
      </c>
      <c r="H1241" t="inlineStr">
        <is>
          <t>IO1250</t>
        </is>
      </c>
      <c r="I1241" t="inlineStr">
        <is>
          <t>1250KVA</t>
        </is>
      </c>
      <c r="J1241" t="inlineStr">
        <is>
          <t>MATRION</t>
        </is>
      </c>
      <c r="K1241" t="inlineStr">
        <is>
          <t>ETIQUETTE</t>
        </is>
      </c>
      <c r="L1241">
        <f>_xlfn.XLOOKUP(Tableau1[[#This Row],[TYPE DE PIECE]],Tableau4[MATIERE],Tableau4[SHORT TYPE],"",0,1)</f>
        <v/>
      </c>
      <c r="N1241">
        <f>IF(ISERR(FIND("DECOUPE",Tableau1[[#This Row],[DESIGNATION]])),"","NEED REF")</f>
        <v/>
      </c>
    </row>
    <row r="1242">
      <c r="B1242" t="n">
        <v>34412759</v>
      </c>
      <c r="C1242" s="2" t="n">
        <v>45492</v>
      </c>
      <c r="D1242" t="inlineStr">
        <is>
          <t>SPEC</t>
        </is>
      </c>
      <c r="E1242" t="inlineStr">
        <is>
          <t>SMT =S= OUTPUT AND BATT ROOT 2</t>
        </is>
      </c>
      <c r="F1242" t="inlineStr">
        <is>
          <t>FOXWAY</t>
        </is>
      </c>
      <c r="G1242" t="inlineStr">
        <is>
          <t>GVX</t>
        </is>
      </c>
      <c r="H1242" t="inlineStr">
        <is>
          <t>IO1250</t>
        </is>
      </c>
      <c r="I1242" t="inlineStr">
        <is>
          <t>1250KVA</t>
        </is>
      </c>
      <c r="J1242" t="inlineStr">
        <is>
          <t>MATRION</t>
        </is>
      </c>
      <c r="K1242" t="inlineStr">
        <is>
          <t>METAL</t>
        </is>
      </c>
      <c r="L1242">
        <f>_xlfn.XLOOKUP(Tableau1[[#This Row],[TYPE DE PIECE]],Tableau4[MATIERE],Tableau4[SHORT TYPE],"",0,1)</f>
        <v/>
      </c>
      <c r="N1242">
        <f>IF(ISERR(FIND("DECOUPE",Tableau1[[#This Row],[DESIGNATION]])),"","NEED REF")</f>
        <v/>
      </c>
    </row>
    <row r="1243">
      <c r="B1243" t="n">
        <v>34412758</v>
      </c>
      <c r="C1243" s="2" t="n">
        <v>45492</v>
      </c>
      <c r="D1243" t="inlineStr">
        <is>
          <t>SPEC</t>
        </is>
      </c>
      <c r="E1243" t="inlineStr">
        <is>
          <t>SMT =S= OUTPUT AND BATT ROOT 1</t>
        </is>
      </c>
      <c r="F1243" t="inlineStr">
        <is>
          <t>FOXWAY</t>
        </is>
      </c>
      <c r="G1243" t="inlineStr">
        <is>
          <t>GVX</t>
        </is>
      </c>
      <c r="H1243" t="inlineStr">
        <is>
          <t>IO1250</t>
        </is>
      </c>
      <c r="I1243" t="inlineStr">
        <is>
          <t>1250KVA</t>
        </is>
      </c>
      <c r="J1243" t="inlineStr">
        <is>
          <t>MATRION</t>
        </is>
      </c>
      <c r="K1243" t="inlineStr">
        <is>
          <t>METAL</t>
        </is>
      </c>
      <c r="L1243">
        <f>_xlfn.XLOOKUP(Tableau1[[#This Row],[TYPE DE PIECE]],Tableau4[MATIERE],Tableau4[SHORT TYPE],"",0,1)</f>
        <v/>
      </c>
      <c r="N1243">
        <f>IF(ISERR(FIND("DECOUPE",Tableau1[[#This Row],[DESIGNATION]])),"","NEED REF")</f>
        <v/>
      </c>
    </row>
    <row r="1244">
      <c r="B1244" t="n">
        <v>34412757</v>
      </c>
      <c r="C1244" s="2" t="n">
        <v>45492</v>
      </c>
      <c r="D1244" t="inlineStr">
        <is>
          <t>SPEC</t>
        </is>
      </c>
      <c r="E1244" t="inlineStr">
        <is>
          <t>DECOUPE RAIL DIN NSYSDR200D LG 400</t>
        </is>
      </c>
      <c r="J1244" t="inlineStr">
        <is>
          <t>BERNARDEAU</t>
        </is>
      </c>
      <c r="K1244" t="inlineStr">
        <is>
          <t>DECOUPE</t>
        </is>
      </c>
      <c r="L1244">
        <f>_xlfn.XLOOKUP(Tableau1[[#This Row],[TYPE DE PIECE]],Tableau4[MATIERE],Tableau4[SHORT TYPE],"",0,1)</f>
        <v/>
      </c>
      <c r="N1244" t="inlineStr">
        <is>
          <t>NSYSDR200D</t>
        </is>
      </c>
    </row>
    <row r="1245">
      <c r="B1245" t="n">
        <v>34412756</v>
      </c>
      <c r="C1245" s="2" t="n">
        <v>45492</v>
      </c>
      <c r="D1245" t="inlineStr">
        <is>
          <t>SPEC</t>
        </is>
      </c>
      <c r="E1245" t="inlineStr">
        <is>
          <t>DECOUPE RAIL DIN NSYSDR200D LG 360</t>
        </is>
      </c>
      <c r="J1245" t="inlineStr">
        <is>
          <t>BERNARDEAU</t>
        </is>
      </c>
      <c r="K1245" t="inlineStr">
        <is>
          <t>DECOUPE</t>
        </is>
      </c>
      <c r="L1245">
        <f>_xlfn.XLOOKUP(Tableau1[[#This Row],[TYPE DE PIECE]],Tableau4[MATIERE],Tableau4[SHORT TYPE],"",0,1)</f>
        <v/>
      </c>
      <c r="N1245" t="inlineStr">
        <is>
          <t>NSYSDR200D</t>
        </is>
      </c>
    </row>
    <row r="1246">
      <c r="B1246" t="n">
        <v>34412755</v>
      </c>
      <c r="C1246" s="2" t="n">
        <v>45491</v>
      </c>
      <c r="D1246" t="inlineStr">
        <is>
          <t>SPEC</t>
        </is>
      </c>
      <c r="E1246" t="inlineStr">
        <is>
          <t>SMT BRIDE INTERCELLULE  DEMONTABLE COURTE</t>
        </is>
      </c>
      <c r="F1246" t="inlineStr">
        <is>
          <t>Scneider Electric Germany</t>
        </is>
      </c>
      <c r="G1246" t="inlineStr">
        <is>
          <t>GVS</t>
        </is>
      </c>
      <c r="H1246" t="inlineStr">
        <is>
          <t>BYPASS</t>
        </is>
      </c>
      <c r="I1246" t="inlineStr">
        <is>
          <t>450KW</t>
        </is>
      </c>
      <c r="J1246" t="inlineStr">
        <is>
          <t>JAWORSKI</t>
        </is>
      </c>
      <c r="K1246" t="inlineStr">
        <is>
          <t>METAL</t>
        </is>
      </c>
      <c r="L1246">
        <f>_xlfn.XLOOKUP(Tableau1[[#This Row],[TYPE DE PIECE]],Tableau4[MATIERE],Tableau4[SHORT TYPE],"",0,1)</f>
        <v/>
      </c>
      <c r="N1246">
        <f>IF(ISERR(FIND("DECOUPE",Tableau1[[#This Row],[DESIGNATION]])),"","NEED REF")</f>
        <v/>
      </c>
    </row>
    <row r="1247">
      <c r="B1247" t="n">
        <v>34412754</v>
      </c>
      <c r="C1247" s="2" t="n">
        <v>45491</v>
      </c>
      <c r="D1247" t="inlineStr">
        <is>
          <t>SPEC</t>
        </is>
      </c>
      <c r="E1247">
        <f>_xlfn.CONCAT(Tableau1[[#This Row],[SHORT TYPE]]," ",Tableau1[[#This Row],[NUMERO]]," ",Tableau1[[#This Row],[GAMME]]," ",Tableau1[[#This Row],[TYPE PRODUIT]]," ",Tableau1[[#This Row],[PUISSANCE]])</f>
        <v/>
      </c>
      <c r="G1247" t="inlineStr">
        <is>
          <t>GVX</t>
        </is>
      </c>
      <c r="H1247" t="inlineStr">
        <is>
          <t>BBC</t>
        </is>
      </c>
      <c r="I1247" t="inlineStr">
        <is>
          <t>4000A</t>
        </is>
      </c>
      <c r="J1247" t="inlineStr">
        <is>
          <t>BERNARDEAU</t>
        </is>
      </c>
      <c r="K1247" t="inlineStr">
        <is>
          <t>FILERIE</t>
        </is>
      </c>
      <c r="L1247">
        <f>_xlfn.XLOOKUP(Tableau1[[#This Row],[TYPE DE PIECE]],Tableau4[MATIERE],Tableau4[SHORT TYPE],"",0,1)</f>
        <v/>
      </c>
      <c r="N1247">
        <f>IF(ISERR(FIND("DECOUPE",Tableau1[[#This Row],[DESIGNATION]])),"","NEED REF")</f>
        <v/>
      </c>
    </row>
    <row r="1248">
      <c r="B1248" t="n">
        <v>34412753</v>
      </c>
      <c r="C1248" s="2" t="n">
        <v>45491</v>
      </c>
      <c r="D1248" t="inlineStr">
        <is>
          <t>SPEC</t>
        </is>
      </c>
      <c r="E1248" t="inlineStr">
        <is>
          <t>SMT 34412753 GVX BBK - Plastron plein 550mm</t>
        </is>
      </c>
      <c r="G1248" t="inlineStr">
        <is>
          <t>GVX</t>
        </is>
      </c>
      <c r="H1248" t="inlineStr">
        <is>
          <t>BBK</t>
        </is>
      </c>
      <c r="J1248" t="inlineStr">
        <is>
          <t>MATRION</t>
        </is>
      </c>
      <c r="K1248" t="inlineStr">
        <is>
          <t>METAL</t>
        </is>
      </c>
      <c r="L1248">
        <f>_xlfn.XLOOKUP(Tableau1[[#This Row],[TYPE DE PIECE]],Tableau4[MATIERE],Tableau4[SHORT TYPE],"",0,1)</f>
        <v/>
      </c>
      <c r="N1248">
        <f>IF(ISERR(FIND("DECOUPE",Tableau1[[#This Row],[DESIGNATION]])),"","NEED REF")</f>
        <v/>
      </c>
    </row>
    <row r="1249">
      <c r="B1249" t="n">
        <v>34412752</v>
      </c>
      <c r="C1249" s="2" t="n">
        <v>45491</v>
      </c>
      <c r="D1249" t="inlineStr">
        <is>
          <t>SPEC</t>
        </is>
      </c>
      <c r="E1249" t="inlineStr">
        <is>
          <t>SMT PLASTRON UOB</t>
        </is>
      </c>
      <c r="F1249" t="inlineStr">
        <is>
          <t>Scneider Electric Germany</t>
        </is>
      </c>
      <c r="G1249" t="inlineStr">
        <is>
          <t>GVS</t>
        </is>
      </c>
      <c r="H1249" t="inlineStr">
        <is>
          <t>BYPASS</t>
        </is>
      </c>
      <c r="I1249" t="inlineStr">
        <is>
          <t>450KW</t>
        </is>
      </c>
      <c r="J1249" t="inlineStr">
        <is>
          <t>JAWORSKI</t>
        </is>
      </c>
      <c r="K1249" t="inlineStr">
        <is>
          <t>METAL</t>
        </is>
      </c>
      <c r="L1249">
        <f>_xlfn.XLOOKUP(Tableau1[[#This Row],[TYPE DE PIECE]],Tableau4[MATIERE],Tableau4[SHORT TYPE],"",0,1)</f>
        <v/>
      </c>
      <c r="N1249">
        <f>IF(ISERR(FIND("DECOUPE",Tableau1[[#This Row],[DESIGNATION]])),"","NEED REF")</f>
        <v/>
      </c>
    </row>
    <row r="1250">
      <c r="B1250" t="n">
        <v>34412751</v>
      </c>
      <c r="C1250" s="2" t="n">
        <v>45491</v>
      </c>
      <c r="D1250" t="inlineStr">
        <is>
          <t>SPEC</t>
        </is>
      </c>
      <c r="E1250" t="inlineStr">
        <is>
          <t>SMT PLASTRON MBB</t>
        </is>
      </c>
      <c r="F1250" t="inlineStr">
        <is>
          <t>Scneider Electric Germany</t>
        </is>
      </c>
      <c r="G1250" t="inlineStr">
        <is>
          <t>GVS</t>
        </is>
      </c>
      <c r="H1250" t="inlineStr">
        <is>
          <t>BYPASS</t>
        </is>
      </c>
      <c r="I1250" t="inlineStr">
        <is>
          <t>450KW</t>
        </is>
      </c>
      <c r="J1250" t="inlineStr">
        <is>
          <t>JAWORSKI</t>
        </is>
      </c>
      <c r="K1250" t="inlineStr">
        <is>
          <t>METAL</t>
        </is>
      </c>
      <c r="L1250">
        <f>_xlfn.XLOOKUP(Tableau1[[#This Row],[TYPE DE PIECE]],Tableau4[MATIERE],Tableau4[SHORT TYPE],"",0,1)</f>
        <v/>
      </c>
      <c r="N1250">
        <f>IF(ISERR(FIND("DECOUPE",Tableau1[[#This Row],[DESIGNATION]])),"","NEED REF")</f>
        <v/>
      </c>
    </row>
    <row r="1251">
      <c r="B1251" t="n">
        <v>34412750</v>
      </c>
      <c r="C1251" s="2" t="n">
        <v>45491</v>
      </c>
      <c r="D1251" t="inlineStr">
        <is>
          <t>SPEC</t>
        </is>
      </c>
      <c r="E1251" t="inlineStr">
        <is>
          <t>SMT PLASTRON UIB</t>
        </is>
      </c>
      <c r="F1251" t="inlineStr">
        <is>
          <t>Scneider Electric Germany</t>
        </is>
      </c>
      <c r="G1251" t="inlineStr">
        <is>
          <t>GVS</t>
        </is>
      </c>
      <c r="H1251" t="inlineStr">
        <is>
          <t>BYPASS</t>
        </is>
      </c>
      <c r="I1251" t="inlineStr">
        <is>
          <t>450KW</t>
        </is>
      </c>
      <c r="J1251" t="inlineStr">
        <is>
          <t>JAWORSKI</t>
        </is>
      </c>
      <c r="K1251" t="inlineStr">
        <is>
          <t>METAL</t>
        </is>
      </c>
      <c r="L1251">
        <f>_xlfn.XLOOKUP(Tableau1[[#This Row],[TYPE DE PIECE]],Tableau4[MATIERE],Tableau4[SHORT TYPE],"",0,1)</f>
        <v/>
      </c>
      <c r="N1251">
        <f>IF(ISERR(FIND("DECOUPE",Tableau1[[#This Row],[DESIGNATION]])),"","NEED REF")</f>
        <v/>
      </c>
    </row>
    <row r="1252">
      <c r="B1252" t="n">
        <v>34412749</v>
      </c>
      <c r="C1252" s="2" t="n">
        <v>45491</v>
      </c>
      <c r="D1252" t="inlineStr">
        <is>
          <t>SPEC</t>
        </is>
      </c>
      <c r="E1252" t="inlineStr">
        <is>
          <t>SMT 34412749 GVX BBK - Plastron 2xBBK630</t>
        </is>
      </c>
      <c r="G1252" t="inlineStr">
        <is>
          <t>GVX</t>
        </is>
      </c>
      <c r="H1252" t="inlineStr">
        <is>
          <t>BBK</t>
        </is>
      </c>
      <c r="J1252" t="inlineStr">
        <is>
          <t>MATRION</t>
        </is>
      </c>
      <c r="K1252" t="inlineStr">
        <is>
          <t>METAL</t>
        </is>
      </c>
      <c r="L1252">
        <f>_xlfn.XLOOKUP(Tableau1[[#This Row],[TYPE DE PIECE]],Tableau4[MATIERE],Tableau4[SHORT TYPE],"",0,1)</f>
        <v/>
      </c>
      <c r="N1252">
        <f>IF(ISERR(FIND("DECOUPE",Tableau1[[#This Row],[DESIGNATION]])),"","NEED REF")</f>
        <v/>
      </c>
    </row>
    <row r="1253">
      <c r="B1253" t="n">
        <v>34412748</v>
      </c>
      <c r="C1253" s="2" t="n">
        <v>45491</v>
      </c>
      <c r="D1253" t="inlineStr">
        <is>
          <t>SPEC</t>
        </is>
      </c>
      <c r="E1253" t="inlineStr">
        <is>
          <t xml:space="preserve">SMT 34412748 GVX BBK </t>
        </is>
      </c>
      <c r="G1253" t="inlineStr">
        <is>
          <t>GVX</t>
        </is>
      </c>
      <c r="H1253" t="inlineStr">
        <is>
          <t>BBK</t>
        </is>
      </c>
      <c r="J1253" t="inlineStr">
        <is>
          <t>MATRION</t>
        </is>
      </c>
      <c r="K1253" t="inlineStr">
        <is>
          <t>METAL</t>
        </is>
      </c>
      <c r="L1253">
        <f>_xlfn.XLOOKUP(Tableau1[[#This Row],[TYPE DE PIECE]],Tableau4[MATIERE],Tableau4[SHORT TYPE],"",0,1)</f>
        <v/>
      </c>
      <c r="N1253">
        <f>IF(ISERR(FIND("DECOUPE",Tableau1[[#This Row],[DESIGNATION]])),"","NEED REF")</f>
        <v/>
      </c>
    </row>
    <row r="1254">
      <c r="B1254" t="n">
        <v>34412747</v>
      </c>
      <c r="C1254" s="2" t="n">
        <v>45491</v>
      </c>
      <c r="D1254" t="inlineStr">
        <is>
          <t>SPEC</t>
        </is>
      </c>
      <c r="E1254" t="inlineStr">
        <is>
          <t>SMT 34412747 GVX BBK - Plastron plein 250mm</t>
        </is>
      </c>
      <c r="G1254" t="inlineStr">
        <is>
          <t>GVX</t>
        </is>
      </c>
      <c r="H1254" t="inlineStr">
        <is>
          <t>BBK</t>
        </is>
      </c>
      <c r="J1254" t="inlineStr">
        <is>
          <t>MATRION</t>
        </is>
      </c>
      <c r="K1254" t="inlineStr">
        <is>
          <t>METAL</t>
        </is>
      </c>
      <c r="L1254">
        <f>_xlfn.XLOOKUP(Tableau1[[#This Row],[TYPE DE PIECE]],Tableau4[MATIERE],Tableau4[SHORT TYPE],"",0,1)</f>
        <v/>
      </c>
      <c r="N1254">
        <f>IF(ISERR(FIND("DECOUPE",Tableau1[[#This Row],[DESIGNATION]])),"","NEED REF")</f>
        <v/>
      </c>
    </row>
    <row r="1255">
      <c r="B1255" t="n">
        <v>34412746</v>
      </c>
      <c r="C1255" s="2" t="n">
        <v>45491</v>
      </c>
      <c r="D1255" t="inlineStr">
        <is>
          <t>SPEC</t>
        </is>
      </c>
      <c r="E1255" t="inlineStr">
        <is>
          <t>SMT 34412746 GVX BBK - Plastron plein 280mm</t>
        </is>
      </c>
      <c r="G1255" t="inlineStr">
        <is>
          <t>GVX</t>
        </is>
      </c>
      <c r="H1255" t="inlineStr">
        <is>
          <t>BBK</t>
        </is>
      </c>
      <c r="J1255" t="inlineStr">
        <is>
          <t>MATRION</t>
        </is>
      </c>
      <c r="K1255" t="inlineStr">
        <is>
          <t>METAL</t>
        </is>
      </c>
      <c r="L1255">
        <f>_xlfn.XLOOKUP(Tableau1[[#This Row],[TYPE DE PIECE]],Tableau4[MATIERE],Tableau4[SHORT TYPE],"",0,1)</f>
        <v/>
      </c>
      <c r="N1255">
        <f>IF(ISERR(FIND("DECOUPE",Tableau1[[#This Row],[DESIGNATION]])),"","NEED REF")</f>
        <v/>
      </c>
    </row>
    <row r="1256">
      <c r="B1256" t="n">
        <v>34412745</v>
      </c>
      <c r="C1256" s="2" t="n">
        <v>45491</v>
      </c>
      <c r="D1256" t="inlineStr">
        <is>
          <t>SPEC</t>
        </is>
      </c>
      <c r="E1256" t="inlineStr">
        <is>
          <t>SMT 34412745 GVX BBK - Platine 2xBBK630</t>
        </is>
      </c>
      <c r="G1256" t="inlineStr">
        <is>
          <t>GVX</t>
        </is>
      </c>
      <c r="H1256" t="inlineStr">
        <is>
          <t>BBK</t>
        </is>
      </c>
      <c r="J1256" t="inlineStr">
        <is>
          <t>MATRION</t>
        </is>
      </c>
      <c r="K1256" t="inlineStr">
        <is>
          <t>METAL</t>
        </is>
      </c>
      <c r="L1256">
        <f>_xlfn.XLOOKUP(Tableau1[[#This Row],[TYPE DE PIECE]],Tableau4[MATIERE],Tableau4[SHORT TYPE],"",0,1)</f>
        <v/>
      </c>
      <c r="N1256">
        <f>IF(ISERR(FIND("DECOUPE",Tableau1[[#This Row],[DESIGNATION]])),"","NEED REF")</f>
        <v/>
      </c>
    </row>
    <row r="1257">
      <c r="B1257" t="n">
        <v>34412744</v>
      </c>
      <c r="C1257" s="2" t="n">
        <v>45491</v>
      </c>
      <c r="D1257" t="inlineStr">
        <is>
          <t>SPEC</t>
        </is>
      </c>
      <c r="E1257" t="inlineStr">
        <is>
          <t>SMT 34412744 GVX BBK - Support lat 500mm</t>
        </is>
      </c>
      <c r="G1257" t="inlineStr">
        <is>
          <t>GVX</t>
        </is>
      </c>
      <c r="H1257" t="inlineStr">
        <is>
          <t>BBK</t>
        </is>
      </c>
      <c r="J1257" t="inlineStr">
        <is>
          <t>MATRION</t>
        </is>
      </c>
      <c r="K1257" t="inlineStr">
        <is>
          <t>METAL</t>
        </is>
      </c>
      <c r="L1257">
        <f>_xlfn.XLOOKUP(Tableau1[[#This Row],[TYPE DE PIECE]],Tableau4[MATIERE],Tableau4[SHORT TYPE],"",0,1)</f>
        <v/>
      </c>
      <c r="N1257">
        <f>IF(ISERR(FIND("DECOUPE",Tableau1[[#This Row],[DESIGNATION]])),"","NEED REF")</f>
        <v/>
      </c>
    </row>
    <row r="1258">
      <c r="B1258" t="n">
        <v>34412743</v>
      </c>
      <c r="C1258" s="2" t="n">
        <v>45491</v>
      </c>
      <c r="D1258" t="inlineStr">
        <is>
          <t>SPEC</t>
        </is>
      </c>
      <c r="E1258" t="inlineStr">
        <is>
          <t>SMT 34412743 GVX BBK - Toit ALU</t>
        </is>
      </c>
      <c r="G1258" t="inlineStr">
        <is>
          <t>GVX</t>
        </is>
      </c>
      <c r="H1258" t="inlineStr">
        <is>
          <t>BBK</t>
        </is>
      </c>
      <c r="J1258" t="inlineStr">
        <is>
          <t>MATRION</t>
        </is>
      </c>
      <c r="K1258" t="inlineStr">
        <is>
          <t>METAL</t>
        </is>
      </c>
      <c r="L1258">
        <f>_xlfn.XLOOKUP(Tableau1[[#This Row],[TYPE DE PIECE]],Tableau4[MATIERE],Tableau4[SHORT TYPE],"",0,1)</f>
        <v/>
      </c>
      <c r="N1258">
        <f>IF(ISERR(FIND("DECOUPE",Tableau1[[#This Row],[DESIGNATION]])),"","NEED REF")</f>
        <v/>
      </c>
    </row>
    <row r="1259">
      <c r="B1259" t="n">
        <v>34412742</v>
      </c>
      <c r="C1259" s="2" t="n">
        <v>45491</v>
      </c>
      <c r="D1259" t="inlineStr">
        <is>
          <t>SPEC</t>
        </is>
      </c>
      <c r="E1259" t="inlineStr">
        <is>
          <t>SMT 34412742 TYPE SAREL - TRIM 500 RAL9003</t>
        </is>
      </c>
      <c r="H1259" t="inlineStr">
        <is>
          <t>SFN</t>
        </is>
      </c>
      <c r="J1259" t="inlineStr">
        <is>
          <t>MATRION</t>
        </is>
      </c>
      <c r="K1259" t="inlineStr">
        <is>
          <t>METAL</t>
        </is>
      </c>
      <c r="L1259">
        <f>_xlfn.XLOOKUP(Tableau1[[#This Row],[TYPE DE PIECE]],Tableau4[MATIERE],Tableau4[SHORT TYPE],"",0,1)</f>
        <v/>
      </c>
      <c r="N1259">
        <f>IF(ISERR(FIND("DECOUPE",Tableau1[[#This Row],[DESIGNATION]])),"","NEED REF")</f>
        <v/>
      </c>
    </row>
    <row r="1260">
      <c r="B1260" t="n">
        <v>34412741</v>
      </c>
      <c r="C1260" s="2" t="n">
        <v>45491</v>
      </c>
      <c r="D1260" t="inlineStr">
        <is>
          <t>SPEC</t>
        </is>
      </c>
      <c r="E1260" t="inlineStr">
        <is>
          <t>SMT 34412741 TYPE SAREL - TRIM 700 RAL9003</t>
        </is>
      </c>
      <c r="H1260" t="inlineStr">
        <is>
          <t>SFN</t>
        </is>
      </c>
      <c r="J1260" t="inlineStr">
        <is>
          <t>MATRION</t>
        </is>
      </c>
      <c r="K1260" t="inlineStr">
        <is>
          <t>METAL</t>
        </is>
      </c>
      <c r="L1260">
        <f>_xlfn.XLOOKUP(Tableau1[[#This Row],[TYPE DE PIECE]],Tableau4[MATIERE],Tableau4[SHORT TYPE],"",0,1)</f>
        <v/>
      </c>
      <c r="N1260">
        <f>IF(ISERR(FIND("DECOUPE",Tableau1[[#This Row],[DESIGNATION]])),"","NEED REF")</f>
        <v/>
      </c>
    </row>
    <row r="1261">
      <c r="B1261" t="n">
        <v>34412740</v>
      </c>
      <c r="C1261" s="2" t="n">
        <v>45491</v>
      </c>
      <c r="D1261" t="inlineStr">
        <is>
          <t>SPEC</t>
        </is>
      </c>
      <c r="E1261" t="inlineStr">
        <is>
          <t>SMT 34412740 GVX BBK DECOUPE TOIT 1/2 DE LA CELLULE 34412739</t>
        </is>
      </c>
      <c r="G1261" t="inlineStr">
        <is>
          <t>GVX</t>
        </is>
      </c>
      <c r="H1261" t="inlineStr">
        <is>
          <t>BBK</t>
        </is>
      </c>
      <c r="J1261" t="inlineStr">
        <is>
          <t>MATRION</t>
        </is>
      </c>
      <c r="K1261" t="inlineStr">
        <is>
          <t>METAL</t>
        </is>
      </c>
      <c r="L1261">
        <f>_xlfn.XLOOKUP(Tableau1[[#This Row],[TYPE DE PIECE]],Tableau4[MATIERE],Tableau4[SHORT TYPE],"",0,1)</f>
        <v/>
      </c>
      <c r="N1261" t="n">
        <v>34412739</v>
      </c>
    </row>
    <row r="1262">
      <c r="B1262" t="n">
        <v>34412739</v>
      </c>
      <c r="C1262" s="2" t="n">
        <v>45490</v>
      </c>
      <c r="D1262" t="inlineStr">
        <is>
          <t>SPEC</t>
        </is>
      </c>
      <c r="E1262" t="inlineStr">
        <is>
          <t>SE SAREL 34412739 GVX BBK SAREL SFN 2xNSYSFPN20750 + SIDE PANELS</t>
        </is>
      </c>
      <c r="G1262" t="inlineStr">
        <is>
          <t>GVX</t>
        </is>
      </c>
      <c r="H1262" t="inlineStr">
        <is>
          <t>BBK</t>
        </is>
      </c>
      <c r="J1262" t="inlineStr">
        <is>
          <t>MATRION</t>
        </is>
      </c>
      <c r="K1262" t="inlineStr">
        <is>
          <t>SE</t>
        </is>
      </c>
      <c r="L1262">
        <f>_xlfn.XLOOKUP(Tableau1[[#This Row],[TYPE DE PIECE]],Tableau4[MATIERE],Tableau4[SHORT TYPE],"",0,1)</f>
        <v/>
      </c>
      <c r="N1262">
        <f>IF(ISERR(FIND("DECOUPE",Tableau1[[#This Row],[DESIGNATION]])),"","NEED REF")</f>
        <v/>
      </c>
    </row>
    <row r="1263">
      <c r="B1263" t="n">
        <v>34412738</v>
      </c>
      <c r="C1263" s="2" t="n">
        <v>45490</v>
      </c>
      <c r="D1263" t="inlineStr">
        <is>
          <t>SPEC</t>
        </is>
      </c>
      <c r="E1263">
        <f>_xlfn.CONCAT(Tableau1[[#This Row],[SHORT TYPE]]," ",Tableau1[[#This Row],[NUMERO]]," ",Tableau1[[#This Row],[GAMME]]," ",Tableau1[[#This Row],[TYPE PRODUIT]]," ",Tableau1[[#This Row],[PUISSANCE]])</f>
        <v/>
      </c>
      <c r="G1263" t="inlineStr">
        <is>
          <t>GVX</t>
        </is>
      </c>
      <c r="H1263" t="inlineStr">
        <is>
          <t>BBC</t>
        </is>
      </c>
      <c r="I1263" t="inlineStr">
        <is>
          <t>4000A</t>
        </is>
      </c>
      <c r="J1263" t="inlineStr">
        <is>
          <t>BERNARDEAU</t>
        </is>
      </c>
      <c r="K1263" t="inlineStr">
        <is>
          <t>METAL</t>
        </is>
      </c>
      <c r="L1263">
        <f>_xlfn.XLOOKUP(Tableau1[[#This Row],[TYPE DE PIECE]],Tableau4[MATIERE],Tableau4[SHORT TYPE],"",0,1)</f>
        <v/>
      </c>
      <c r="N1263">
        <f>IF(ISERR(FIND("DECOUPE",Tableau1[[#This Row],[DESIGNATION]])),"","NEED REF")</f>
        <v/>
      </c>
    </row>
    <row r="1264">
      <c r="B1264" t="n">
        <v>34412737</v>
      </c>
      <c r="C1264" s="2" t="n">
        <v>45489</v>
      </c>
      <c r="D1264" t="inlineStr">
        <is>
          <t>SPEC</t>
        </is>
      </c>
      <c r="E1264" t="inlineStr">
        <is>
          <t>SMT 34412737 PROTECTION SHIELD NWDC</t>
        </is>
      </c>
      <c r="J1264" t="inlineStr">
        <is>
          <t>MATRION</t>
        </is>
      </c>
      <c r="L1264">
        <f>_xlfn.XLOOKUP(Tableau1[[#This Row],[TYPE DE PIECE]],Tableau4[MATIERE],Tableau4[SHORT TYPE],"",0,1)</f>
        <v/>
      </c>
      <c r="N1264">
        <f>IF(ISERR(FIND("DECOUPE",Tableau1[[#This Row],[DESIGNATION]])),"","NEED REF")</f>
        <v/>
      </c>
    </row>
    <row r="1265">
      <c r="B1265" t="n">
        <v>34412736</v>
      </c>
      <c r="C1265" s="2" t="n">
        <v>45489</v>
      </c>
      <c r="D1265" t="inlineStr">
        <is>
          <t>SPEC</t>
        </is>
      </c>
      <c r="E1265" t="inlineStr">
        <is>
          <t>SMT SUPPORT LINERGY</t>
        </is>
      </c>
      <c r="F1265" t="inlineStr">
        <is>
          <t>Scneider Electric Germany</t>
        </is>
      </c>
      <c r="G1265" t="inlineStr">
        <is>
          <t>GVS</t>
        </is>
      </c>
      <c r="H1265" t="inlineStr">
        <is>
          <t>BYPASS</t>
        </is>
      </c>
      <c r="I1265" t="inlineStr">
        <is>
          <t>450KW</t>
        </is>
      </c>
      <c r="J1265" t="inlineStr">
        <is>
          <t>JAWORSKI</t>
        </is>
      </c>
      <c r="K1265" t="inlineStr">
        <is>
          <t>METAL</t>
        </is>
      </c>
      <c r="L1265">
        <f>_xlfn.XLOOKUP(Tableau1[[#This Row],[TYPE DE PIECE]],Tableau4[MATIERE],Tableau4[SHORT TYPE],"",0,1)</f>
        <v/>
      </c>
      <c r="N1265">
        <f>IF(ISERR(FIND("DECOUPE",Tableau1[[#This Row],[DESIGNATION]])),"","NEED REF")</f>
        <v/>
      </c>
    </row>
    <row r="1266">
      <c r="B1266" t="n">
        <v>34412735</v>
      </c>
      <c r="C1266" s="2" t="n">
        <v>45489</v>
      </c>
      <c r="D1266" t="inlineStr">
        <is>
          <t>SPEC</t>
        </is>
      </c>
      <c r="E1266" t="inlineStr">
        <is>
          <t>SMT SUPPORT LINERGY</t>
        </is>
      </c>
      <c r="F1266" t="inlineStr">
        <is>
          <t>Scneider Electric Germany</t>
        </is>
      </c>
      <c r="G1266" t="inlineStr">
        <is>
          <t>GVS</t>
        </is>
      </c>
      <c r="H1266" t="inlineStr">
        <is>
          <t>BYPASS</t>
        </is>
      </c>
      <c r="I1266" t="inlineStr">
        <is>
          <t>450KW</t>
        </is>
      </c>
      <c r="J1266" t="inlineStr">
        <is>
          <t>JAWORSKI</t>
        </is>
      </c>
      <c r="K1266" t="inlineStr">
        <is>
          <t>METAL</t>
        </is>
      </c>
      <c r="L1266">
        <f>_xlfn.XLOOKUP(Tableau1[[#This Row],[TYPE DE PIECE]],Tableau4[MATIERE],Tableau4[SHORT TYPE],"",0,1)</f>
        <v/>
      </c>
      <c r="N1266">
        <f>IF(ISERR(FIND("DECOUPE",Tableau1[[#This Row],[DESIGNATION]])),"","NEED REF")</f>
        <v/>
      </c>
    </row>
    <row r="1267">
      <c r="B1267" t="n">
        <v>34412734</v>
      </c>
      <c r="C1267" s="2" t="n">
        <v>45489</v>
      </c>
      <c r="D1267" t="inlineStr">
        <is>
          <t>SPEC</t>
        </is>
      </c>
      <c r="E1267" t="inlineStr">
        <is>
          <t>SMT SUPPORT PLATINE UIB / UOB</t>
        </is>
      </c>
      <c r="F1267" t="inlineStr">
        <is>
          <t>Scneider Electric Germany</t>
        </is>
      </c>
      <c r="G1267" t="inlineStr">
        <is>
          <t>GVS</t>
        </is>
      </c>
      <c r="H1267" t="inlineStr">
        <is>
          <t>BYPASS</t>
        </is>
      </c>
      <c r="I1267" t="inlineStr">
        <is>
          <t>450KW</t>
        </is>
      </c>
      <c r="J1267" t="inlineStr">
        <is>
          <t>JAWORSKI</t>
        </is>
      </c>
      <c r="K1267" t="inlineStr">
        <is>
          <t>METAL</t>
        </is>
      </c>
      <c r="L1267">
        <f>_xlfn.XLOOKUP(Tableau1[[#This Row],[TYPE DE PIECE]],Tableau4[MATIERE],Tableau4[SHORT TYPE],"",0,1)</f>
        <v/>
      </c>
      <c r="N1267">
        <f>IF(ISERR(FIND("DECOUPE",Tableau1[[#This Row],[DESIGNATION]])),"","NEED REF")</f>
        <v/>
      </c>
    </row>
    <row r="1268">
      <c r="B1268" t="n">
        <v>34412733</v>
      </c>
      <c r="C1268" s="2" t="n">
        <v>45489</v>
      </c>
      <c r="D1268" t="inlineStr">
        <is>
          <t>SPEC</t>
        </is>
      </c>
      <c r="E1268" t="inlineStr">
        <is>
          <t>SMT SUPPORT PLATINE UIB / UOB</t>
        </is>
      </c>
      <c r="F1268" t="inlineStr">
        <is>
          <t>Scneider Electric Germany</t>
        </is>
      </c>
      <c r="G1268" t="inlineStr">
        <is>
          <t>GVS</t>
        </is>
      </c>
      <c r="H1268" t="inlineStr">
        <is>
          <t>BYPASS</t>
        </is>
      </c>
      <c r="I1268" t="inlineStr">
        <is>
          <t>450KW</t>
        </is>
      </c>
      <c r="J1268" t="inlineStr">
        <is>
          <t>JAWORSKI</t>
        </is>
      </c>
      <c r="K1268" t="inlineStr">
        <is>
          <t>METAL</t>
        </is>
      </c>
      <c r="L1268">
        <f>_xlfn.XLOOKUP(Tableau1[[#This Row],[TYPE DE PIECE]],Tableau4[MATIERE],Tableau4[SHORT TYPE],"",0,1)</f>
        <v/>
      </c>
      <c r="N1268">
        <f>IF(ISERR(FIND("DECOUPE",Tableau1[[#This Row],[DESIGNATION]])),"","NEED REF")</f>
        <v/>
      </c>
    </row>
    <row r="1269">
      <c r="B1269" t="n">
        <v>34412732</v>
      </c>
      <c r="C1269" s="2" t="n">
        <v>45489</v>
      </c>
      <c r="D1269" t="inlineStr">
        <is>
          <t>SPEC</t>
        </is>
      </c>
      <c r="E1269" t="inlineStr">
        <is>
          <t>SMT SUPPORT LATERAL 800 DROIT</t>
        </is>
      </c>
      <c r="F1269" t="inlineStr">
        <is>
          <t>Scneider Electric Germany</t>
        </is>
      </c>
      <c r="G1269" t="inlineStr">
        <is>
          <t>GVS</t>
        </is>
      </c>
      <c r="H1269" t="inlineStr">
        <is>
          <t>BYPASS</t>
        </is>
      </c>
      <c r="I1269" t="inlineStr">
        <is>
          <t>450KW</t>
        </is>
      </c>
      <c r="J1269" t="inlineStr">
        <is>
          <t>JAWORSKI</t>
        </is>
      </c>
      <c r="K1269" t="inlineStr">
        <is>
          <t>METAL</t>
        </is>
      </c>
      <c r="L1269">
        <f>_xlfn.XLOOKUP(Tableau1[[#This Row],[TYPE DE PIECE]],Tableau4[MATIERE],Tableau4[SHORT TYPE],"",0,1)</f>
        <v/>
      </c>
      <c r="N1269">
        <f>IF(ISERR(FIND("DECOUPE",Tableau1[[#This Row],[DESIGNATION]])),"","NEED REF")</f>
        <v/>
      </c>
    </row>
    <row r="1270">
      <c r="B1270" t="n">
        <v>34412731</v>
      </c>
      <c r="C1270" s="2" t="n">
        <v>45489</v>
      </c>
      <c r="D1270" t="inlineStr">
        <is>
          <t>SPEC</t>
        </is>
      </c>
      <c r="E1270" t="inlineStr">
        <is>
          <t>SMT SUPPORT LATERAL 800 GAUCHE</t>
        </is>
      </c>
      <c r="F1270" t="inlineStr">
        <is>
          <t>Scneider Electric Germany</t>
        </is>
      </c>
      <c r="G1270" t="inlineStr">
        <is>
          <t>GVS</t>
        </is>
      </c>
      <c r="H1270" t="inlineStr">
        <is>
          <t>BYPASS</t>
        </is>
      </c>
      <c r="I1270" t="inlineStr">
        <is>
          <t>450KW</t>
        </is>
      </c>
      <c r="J1270" t="inlineStr">
        <is>
          <t>JAWORSKI</t>
        </is>
      </c>
      <c r="K1270" t="inlineStr">
        <is>
          <t>METAL</t>
        </is>
      </c>
      <c r="L1270">
        <f>_xlfn.XLOOKUP(Tableau1[[#This Row],[TYPE DE PIECE]],Tableau4[MATIERE],Tableau4[SHORT TYPE],"",0,1)</f>
        <v/>
      </c>
      <c r="N1270">
        <f>IF(ISERR(FIND("DECOUPE",Tableau1[[#This Row],[DESIGNATION]])),"","NEED REF")</f>
        <v/>
      </c>
    </row>
    <row r="1271">
      <c r="B1271" t="n">
        <v>34412730</v>
      </c>
      <c r="C1271" s="2" t="n">
        <v>45489</v>
      </c>
      <c r="D1271" t="inlineStr">
        <is>
          <t>SPEC</t>
        </is>
      </c>
      <c r="E1271" t="inlineStr">
        <is>
          <t>DECOUPE 34412730 RAIL NSYCNT40 L860MM</t>
        </is>
      </c>
      <c r="G1271" t="inlineStr">
        <is>
          <t>GVX</t>
        </is>
      </c>
      <c r="H1271" t="inlineStr">
        <is>
          <t>BATTERY</t>
        </is>
      </c>
      <c r="J1271" t="inlineStr">
        <is>
          <t>MATRION</t>
        </is>
      </c>
      <c r="L1271">
        <f>_xlfn.XLOOKUP(Tableau1[[#This Row],[TYPE DE PIECE]],Tableau4[MATIERE],Tableau4[SHORT TYPE],"",0,1)</f>
        <v/>
      </c>
      <c r="N1271" t="inlineStr">
        <is>
          <t>NSYCNT40</t>
        </is>
      </c>
    </row>
    <row r="1272">
      <c r="B1272" t="n">
        <v>34412729</v>
      </c>
      <c r="C1272" s="2" t="n">
        <v>45488</v>
      </c>
      <c r="D1272" t="inlineStr">
        <is>
          <t>SPEC</t>
        </is>
      </c>
      <c r="E1272" t="inlineStr">
        <is>
          <t>SMT SUPPORT PLATINE UOB</t>
        </is>
      </c>
      <c r="F1272" t="inlineStr">
        <is>
          <t>Scneider Electric Germany</t>
        </is>
      </c>
      <c r="G1272" t="inlineStr">
        <is>
          <t>GVS</t>
        </is>
      </c>
      <c r="H1272" t="inlineStr">
        <is>
          <t>BYPASS</t>
        </is>
      </c>
      <c r="I1272" t="inlineStr">
        <is>
          <t>450KW</t>
        </is>
      </c>
      <c r="J1272" t="inlineStr">
        <is>
          <t>JAWORSKI</t>
        </is>
      </c>
      <c r="K1272" t="inlineStr">
        <is>
          <t>METAL</t>
        </is>
      </c>
      <c r="L1272">
        <f>_xlfn.XLOOKUP(Tableau1[[#This Row],[TYPE DE PIECE]],Tableau4[MATIERE],Tableau4[SHORT TYPE],"",0,1)</f>
        <v/>
      </c>
      <c r="N1272">
        <f>IF(ISERR(FIND("DECOUPE",Tableau1[[#This Row],[DESIGNATION]])),"","NEED REF")</f>
        <v/>
      </c>
    </row>
    <row r="1273">
      <c r="B1273" t="n">
        <v>34412728</v>
      </c>
      <c r="C1273" s="2" t="n">
        <v>45488</v>
      </c>
      <c r="D1273" t="inlineStr">
        <is>
          <t>SPEC</t>
        </is>
      </c>
      <c r="E1273" t="inlineStr">
        <is>
          <t>COP LIAISON NS - OUTPUT _ L2</t>
        </is>
      </c>
      <c r="F1273" t="inlineStr">
        <is>
          <t>Scneider Electric Germany</t>
        </is>
      </c>
      <c r="G1273" t="inlineStr">
        <is>
          <t>GVS</t>
        </is>
      </c>
      <c r="H1273" t="inlineStr">
        <is>
          <t>BYPASS</t>
        </is>
      </c>
      <c r="I1273" t="inlineStr">
        <is>
          <t>450KW</t>
        </is>
      </c>
      <c r="J1273" t="inlineStr">
        <is>
          <t>JAWORSKI</t>
        </is>
      </c>
      <c r="K1273" t="inlineStr">
        <is>
          <t>CUIVRE</t>
        </is>
      </c>
      <c r="L1273">
        <f>_xlfn.XLOOKUP(Tableau1[[#This Row],[TYPE DE PIECE]],Tableau4[MATIERE],Tableau4[SHORT TYPE],"",0,1)</f>
        <v/>
      </c>
      <c r="N1273">
        <f>IF(ISERR(FIND("DECOUPE",Tableau1[[#This Row],[DESIGNATION]])),"","NEED REF")</f>
        <v/>
      </c>
    </row>
    <row r="1274">
      <c r="B1274" t="n">
        <v>34412727</v>
      </c>
      <c r="C1274" s="2" t="n">
        <v>45488</v>
      </c>
      <c r="D1274" t="inlineStr">
        <is>
          <t>SPEC</t>
        </is>
      </c>
      <c r="E1274" t="inlineStr">
        <is>
          <t>COP LIAISON NS - OUTPUT _ L3</t>
        </is>
      </c>
      <c r="F1274" t="inlineStr">
        <is>
          <t>Scneider Electric Germany</t>
        </is>
      </c>
      <c r="G1274" t="inlineStr">
        <is>
          <t>GVS</t>
        </is>
      </c>
      <c r="H1274" t="inlineStr">
        <is>
          <t>BYPASS</t>
        </is>
      </c>
      <c r="I1274" t="inlineStr">
        <is>
          <t>450KW</t>
        </is>
      </c>
      <c r="J1274" t="inlineStr">
        <is>
          <t>JAWORSKI</t>
        </is>
      </c>
      <c r="K1274" t="inlineStr">
        <is>
          <t>CUIVRE</t>
        </is>
      </c>
      <c r="L1274">
        <f>_xlfn.XLOOKUP(Tableau1[[#This Row],[TYPE DE PIECE]],Tableau4[MATIERE],Tableau4[SHORT TYPE],"",0,1)</f>
        <v/>
      </c>
      <c r="N1274">
        <f>IF(ISERR(FIND("DECOUPE",Tableau1[[#This Row],[DESIGNATION]])),"","NEED REF")</f>
        <v/>
      </c>
    </row>
    <row r="1275">
      <c r="B1275" t="n">
        <v>34412726</v>
      </c>
      <c r="C1275" s="2" t="n">
        <v>45488</v>
      </c>
      <c r="D1275" t="inlineStr">
        <is>
          <t>SPEC</t>
        </is>
      </c>
      <c r="E1275" t="inlineStr">
        <is>
          <t>COP LIAISON NS - OUTPUT _ N</t>
        </is>
      </c>
      <c r="F1275" t="inlineStr">
        <is>
          <t>Scneider Electric Germany</t>
        </is>
      </c>
      <c r="G1275" t="inlineStr">
        <is>
          <t>GVS</t>
        </is>
      </c>
      <c r="H1275" t="inlineStr">
        <is>
          <t>BYPASS</t>
        </is>
      </c>
      <c r="I1275" t="inlineStr">
        <is>
          <t>450KW</t>
        </is>
      </c>
      <c r="J1275" t="inlineStr">
        <is>
          <t>JAWORSKI</t>
        </is>
      </c>
      <c r="K1275" t="inlineStr">
        <is>
          <t>CUIVRE</t>
        </is>
      </c>
      <c r="L1275">
        <f>_xlfn.XLOOKUP(Tableau1[[#This Row],[TYPE DE PIECE]],Tableau4[MATIERE],Tableau4[SHORT TYPE],"",0,1)</f>
        <v/>
      </c>
      <c r="N1275">
        <f>IF(ISERR(FIND("DECOUPE",Tableau1[[#This Row],[DESIGNATION]])),"","NEED REF")</f>
        <v/>
      </c>
    </row>
    <row r="1276">
      <c r="B1276" t="n">
        <v>34412725</v>
      </c>
      <c r="C1276" s="2" t="n">
        <v>45488</v>
      </c>
      <c r="D1276" t="inlineStr">
        <is>
          <t>SPEC</t>
        </is>
      </c>
      <c r="E1276" t="inlineStr">
        <is>
          <t>COP LIAISON NS - OUTPUT _ L1</t>
        </is>
      </c>
      <c r="F1276" t="inlineStr">
        <is>
          <t>Scneider Electric Germany</t>
        </is>
      </c>
      <c r="G1276" t="inlineStr">
        <is>
          <t>GVS</t>
        </is>
      </c>
      <c r="H1276" t="inlineStr">
        <is>
          <t>BYPASS</t>
        </is>
      </c>
      <c r="I1276" t="inlineStr">
        <is>
          <t>450KW</t>
        </is>
      </c>
      <c r="J1276" t="inlineStr">
        <is>
          <t>JAWORSKI</t>
        </is>
      </c>
      <c r="K1276" t="inlineStr">
        <is>
          <t>CUIVRE</t>
        </is>
      </c>
      <c r="L1276">
        <f>_xlfn.XLOOKUP(Tableau1[[#This Row],[TYPE DE PIECE]],Tableau4[MATIERE],Tableau4[SHORT TYPE],"",0,1)</f>
        <v/>
      </c>
      <c r="N1276">
        <f>IF(ISERR(FIND("DECOUPE",Tableau1[[#This Row],[DESIGNATION]])),"","NEED REF")</f>
        <v/>
      </c>
    </row>
    <row r="1277">
      <c r="B1277" t="n">
        <v>34412724</v>
      </c>
      <c r="C1277" s="2" t="n">
        <v>45488</v>
      </c>
      <c r="D1277" t="inlineStr">
        <is>
          <t>SPEC</t>
        </is>
      </c>
      <c r="E1277" t="inlineStr">
        <is>
          <t>COP LIAISON NS - UOB _ N</t>
        </is>
      </c>
      <c r="F1277" t="inlineStr">
        <is>
          <t>Scneider Electric Germany</t>
        </is>
      </c>
      <c r="G1277" t="inlineStr">
        <is>
          <t>GVS</t>
        </is>
      </c>
      <c r="H1277" t="inlineStr">
        <is>
          <t>BYPASS</t>
        </is>
      </c>
      <c r="I1277" t="inlineStr">
        <is>
          <t>450KW</t>
        </is>
      </c>
      <c r="J1277" t="inlineStr">
        <is>
          <t>JAWORSKI</t>
        </is>
      </c>
      <c r="K1277" t="inlineStr">
        <is>
          <t>CUIVRE</t>
        </is>
      </c>
      <c r="L1277">
        <f>_xlfn.XLOOKUP(Tableau1[[#This Row],[TYPE DE PIECE]],Tableau4[MATIERE],Tableau4[SHORT TYPE],"",0,1)</f>
        <v/>
      </c>
      <c r="N1277">
        <f>IF(ISERR(FIND("DECOUPE",Tableau1[[#This Row],[DESIGNATION]])),"","NEED REF")</f>
        <v/>
      </c>
    </row>
    <row r="1278">
      <c r="B1278" t="n">
        <v>34412723</v>
      </c>
      <c r="C1278" s="2" t="n">
        <v>45488</v>
      </c>
      <c r="D1278" t="inlineStr">
        <is>
          <t>SPEC</t>
        </is>
      </c>
      <c r="E1278" t="inlineStr">
        <is>
          <t>COP LIAISON NS - UOB _ L1</t>
        </is>
      </c>
      <c r="F1278" t="inlineStr">
        <is>
          <t>Scneider Electric Germany</t>
        </is>
      </c>
      <c r="G1278" t="inlineStr">
        <is>
          <t>GVS</t>
        </is>
      </c>
      <c r="H1278" t="inlineStr">
        <is>
          <t>BYPASS</t>
        </is>
      </c>
      <c r="I1278" t="inlineStr">
        <is>
          <t>450KW</t>
        </is>
      </c>
      <c r="J1278" t="inlineStr">
        <is>
          <t>JAWORSKI</t>
        </is>
      </c>
      <c r="K1278" t="inlineStr">
        <is>
          <t>CUIVRE</t>
        </is>
      </c>
      <c r="L1278">
        <f>_xlfn.XLOOKUP(Tableau1[[#This Row],[TYPE DE PIECE]],Tableau4[MATIERE],Tableau4[SHORT TYPE],"",0,1)</f>
        <v/>
      </c>
      <c r="N1278">
        <f>IF(ISERR(FIND("DECOUPE",Tableau1[[#This Row],[DESIGNATION]])),"","NEED REF")</f>
        <v/>
      </c>
    </row>
    <row r="1279">
      <c r="B1279" t="n">
        <v>34412722</v>
      </c>
      <c r="C1279" s="2" t="n">
        <v>45488</v>
      </c>
      <c r="D1279" t="inlineStr">
        <is>
          <t>SPEC</t>
        </is>
      </c>
      <c r="E1279" t="inlineStr">
        <is>
          <t>COP LIAISON NS - UOB _ L2</t>
        </is>
      </c>
      <c r="F1279" t="inlineStr">
        <is>
          <t>Scneider Electric Germany</t>
        </is>
      </c>
      <c r="G1279" t="inlineStr">
        <is>
          <t>GVS</t>
        </is>
      </c>
      <c r="H1279" t="inlineStr">
        <is>
          <t>BYPASS</t>
        </is>
      </c>
      <c r="I1279" t="inlineStr">
        <is>
          <t>450KW</t>
        </is>
      </c>
      <c r="J1279" t="inlineStr">
        <is>
          <t>JAWORSKI</t>
        </is>
      </c>
      <c r="K1279" t="inlineStr">
        <is>
          <t>CUIVRE</t>
        </is>
      </c>
      <c r="L1279">
        <f>_xlfn.XLOOKUP(Tableau1[[#This Row],[TYPE DE PIECE]],Tableau4[MATIERE],Tableau4[SHORT TYPE],"",0,1)</f>
        <v/>
      </c>
      <c r="N1279">
        <f>IF(ISERR(FIND("DECOUPE",Tableau1[[#This Row],[DESIGNATION]])),"","NEED REF")</f>
        <v/>
      </c>
    </row>
    <row r="1280">
      <c r="B1280" t="n">
        <v>34412721</v>
      </c>
      <c r="C1280" s="2" t="n">
        <v>45488</v>
      </c>
      <c r="D1280" t="inlineStr">
        <is>
          <t>SPEC</t>
        </is>
      </c>
      <c r="E1280" t="inlineStr">
        <is>
          <t>COP LIAISON NS - UOB _ L3</t>
        </is>
      </c>
      <c r="F1280" t="inlineStr">
        <is>
          <t>Scneider Electric Germany</t>
        </is>
      </c>
      <c r="G1280" t="inlineStr">
        <is>
          <t>GVS</t>
        </is>
      </c>
      <c r="H1280" t="inlineStr">
        <is>
          <t>BYPASS</t>
        </is>
      </c>
      <c r="I1280" t="inlineStr">
        <is>
          <t>450KW</t>
        </is>
      </c>
      <c r="J1280" t="inlineStr">
        <is>
          <t>JAWORSKI</t>
        </is>
      </c>
      <c r="K1280" t="inlineStr">
        <is>
          <t>CUIVRE</t>
        </is>
      </c>
      <c r="L1280">
        <f>_xlfn.XLOOKUP(Tableau1[[#This Row],[TYPE DE PIECE]],Tableau4[MATIERE],Tableau4[SHORT TYPE],"",0,1)</f>
        <v/>
      </c>
      <c r="N1280">
        <f>IF(ISERR(FIND("DECOUPE",Tableau1[[#This Row],[DESIGNATION]])),"","NEED REF")</f>
        <v/>
      </c>
    </row>
    <row r="1281">
      <c r="B1281" t="n">
        <v>34412720</v>
      </c>
      <c r="C1281" s="2" t="n">
        <v>45488</v>
      </c>
      <c r="D1281" t="inlineStr">
        <is>
          <t>SPEC</t>
        </is>
      </c>
      <c r="E1281" t="inlineStr">
        <is>
          <t>CB / NS800H Micro2.2 4P4d</t>
        </is>
      </c>
      <c r="F1281" t="inlineStr">
        <is>
          <t>Scneider Electric Germany</t>
        </is>
      </c>
      <c r="G1281" t="inlineStr">
        <is>
          <t>GVS</t>
        </is>
      </c>
      <c r="H1281" t="inlineStr">
        <is>
          <t>BYPASS</t>
        </is>
      </c>
      <c r="I1281" t="inlineStr">
        <is>
          <t>450KW</t>
        </is>
      </c>
      <c r="J1281" t="inlineStr">
        <is>
          <t>JAWORSKI</t>
        </is>
      </c>
      <c r="K1281" t="inlineStr">
        <is>
          <t>SE</t>
        </is>
      </c>
      <c r="L1281">
        <f>_xlfn.XLOOKUP(Tableau1[[#This Row],[TYPE DE PIECE]],Tableau4[MATIERE],Tableau4[SHORT TYPE],"",0,1)</f>
        <v/>
      </c>
      <c r="N1281">
        <f>IF(ISERR(FIND("DECOUPE",Tableau1[[#This Row],[DESIGNATION]])),"","NEED REF")</f>
        <v/>
      </c>
    </row>
    <row r="1282">
      <c r="B1282" t="n">
        <v>34412719</v>
      </c>
      <c r="C1282" s="2" t="n">
        <v>45488</v>
      </c>
      <c r="D1282" t="inlineStr">
        <is>
          <t>SPEC</t>
        </is>
      </c>
      <c r="E1282" t="inlineStr">
        <is>
          <t>DECOUPE COFFRET NSYS3D3215</t>
        </is>
      </c>
      <c r="J1282" t="inlineStr">
        <is>
          <t>BERNARDEAU</t>
        </is>
      </c>
      <c r="K1282" t="inlineStr">
        <is>
          <t>DECOUPE</t>
        </is>
      </c>
      <c r="L1282" t="inlineStr">
        <is>
          <t>ETO</t>
        </is>
      </c>
      <c r="N1282" t="inlineStr">
        <is>
          <t>NSYS3D3215</t>
        </is>
      </c>
    </row>
    <row r="1283">
      <c r="B1283" t="n">
        <v>34412718</v>
      </c>
      <c r="C1283" s="2" t="n">
        <v>45488</v>
      </c>
      <c r="D1283" t="inlineStr">
        <is>
          <t>SPEC</t>
        </is>
      </c>
      <c r="E1283" t="inlineStr">
        <is>
          <t>SMT PLAQUE DE FOND COFFRET NSYS3D3215</t>
        </is>
      </c>
      <c r="J1283" t="inlineStr">
        <is>
          <t>BERNARDEAU</t>
        </is>
      </c>
      <c r="K1283" t="inlineStr">
        <is>
          <t>METAL</t>
        </is>
      </c>
      <c r="L1283">
        <f>_xlfn.XLOOKUP(Tableau1[[#This Row],[TYPE DE PIECE]],Tableau4[MATIERE],Tableau4[SHORT TYPE],"",0,1)</f>
        <v/>
      </c>
      <c r="N1283">
        <f>IF(ISERR(FIND("DECOUPE",Tableau1[[#This Row],[DESIGNATION]])),"","NEED REF")</f>
        <v/>
      </c>
    </row>
    <row r="1284">
      <c r="B1284" t="n">
        <v>34412717</v>
      </c>
      <c r="C1284" s="2" t="n">
        <v>45488</v>
      </c>
      <c r="D1284" t="inlineStr">
        <is>
          <t>SPEC</t>
        </is>
      </c>
      <c r="E1284" t="inlineStr">
        <is>
          <t>ETQ Interrupteur à came</t>
        </is>
      </c>
      <c r="J1284" t="inlineStr">
        <is>
          <t>BERNARDEAU</t>
        </is>
      </c>
      <c r="K1284" t="inlineStr">
        <is>
          <t>ETIQUETTE</t>
        </is>
      </c>
      <c r="L1284">
        <f>_xlfn.XLOOKUP(Tableau1[[#This Row],[TYPE DE PIECE]],Tableau4[MATIERE],Tableau4[SHORT TYPE],"",0,1)</f>
        <v/>
      </c>
      <c r="N1284">
        <f>IF(ISERR(FIND("DECOUPE",Tableau1[[#This Row],[DESIGNATION]])),"","NEED REF")</f>
        <v/>
      </c>
    </row>
    <row r="1285">
      <c r="B1285" t="n">
        <v>34412716</v>
      </c>
      <c r="C1285" s="2" t="n">
        <v>45488</v>
      </c>
      <c r="D1285" t="inlineStr">
        <is>
          <t>SPEC</t>
        </is>
      </c>
      <c r="E1285" t="inlineStr">
        <is>
          <t>PLA PROTECTION BORNIER</t>
        </is>
      </c>
      <c r="J1285" t="inlineStr">
        <is>
          <t>BERNARDEAU</t>
        </is>
      </c>
      <c r="K1285" t="inlineStr">
        <is>
          <t>PLASTIQUE</t>
        </is>
      </c>
      <c r="L1285">
        <f>_xlfn.XLOOKUP(Tableau1[[#This Row],[TYPE DE PIECE]],Tableau4[MATIERE],Tableau4[SHORT TYPE],"",0,1)</f>
        <v/>
      </c>
      <c r="N1285">
        <f>IF(ISERR(FIND("DECOUPE",Tableau1[[#This Row],[DESIGNATION]])),"","NEED REF")</f>
        <v/>
      </c>
    </row>
    <row r="1286">
      <c r="B1286" t="n">
        <v>34412715</v>
      </c>
      <c r="C1286" s="2" t="n">
        <v>45483</v>
      </c>
      <c r="D1286" t="inlineStr">
        <is>
          <t>SPEC</t>
        </is>
      </c>
      <c r="E1286" t="inlineStr">
        <is>
          <t>WIRE KIT CABLES PUISSANCEPOUR PDPM277H</t>
        </is>
      </c>
      <c r="F1286" t="inlineStr">
        <is>
          <t>SEF Solution center</t>
        </is>
      </c>
      <c r="G1286" t="inlineStr">
        <is>
          <t>PDPM</t>
        </is>
      </c>
      <c r="H1286" t="inlineStr">
        <is>
          <t>PDPM277H</t>
        </is>
      </c>
      <c r="J1286" t="inlineStr">
        <is>
          <t>JAWORSKI</t>
        </is>
      </c>
      <c r="K1286" t="inlineStr">
        <is>
          <t>FILERIE</t>
        </is>
      </c>
      <c r="L1286">
        <f>_xlfn.XLOOKUP(Tableau1[[#This Row],[TYPE DE PIECE]],Tableau4[MATIERE],Tableau4[SHORT TYPE],"",0,1)</f>
        <v/>
      </c>
      <c r="N1286">
        <f>IF(ISERR(FIND("DECOUPE",Tableau1[[#This Row],[DESIGNATION]])),"","NEED REF")</f>
        <v/>
      </c>
    </row>
    <row r="1287">
      <c r="B1287" t="n">
        <v>34412714</v>
      </c>
      <c r="C1287" s="2" t="n">
        <v>45483</v>
      </c>
      <c r="D1287" t="inlineStr">
        <is>
          <t>SPEC</t>
        </is>
      </c>
      <c r="E1287" t="inlineStr">
        <is>
          <t>WIRE KIT FILERIE POUR PDPM277H</t>
        </is>
      </c>
      <c r="F1287" t="inlineStr">
        <is>
          <t>SEF Solution center</t>
        </is>
      </c>
      <c r="G1287" t="inlineStr">
        <is>
          <t>PDPM</t>
        </is>
      </c>
      <c r="H1287" t="inlineStr">
        <is>
          <t>PDPM277H</t>
        </is>
      </c>
      <c r="J1287" t="inlineStr">
        <is>
          <t>JAWORSKI</t>
        </is>
      </c>
      <c r="K1287" t="inlineStr">
        <is>
          <t>FILERIE</t>
        </is>
      </c>
      <c r="L1287">
        <f>_xlfn.XLOOKUP(Tableau1[[#This Row],[TYPE DE PIECE]],Tableau4[MATIERE],Tableau4[SHORT TYPE],"",0,1)</f>
        <v/>
      </c>
      <c r="N1287">
        <f>IF(ISERR(FIND("DECOUPE",Tableau1[[#This Row],[DESIGNATION]])),"","NEED REF")</f>
        <v/>
      </c>
    </row>
    <row r="1288">
      <c r="B1288" t="n">
        <v>34412713</v>
      </c>
      <c r="C1288" s="2" t="n">
        <v>45483</v>
      </c>
      <c r="D1288" t="inlineStr">
        <is>
          <t>SPEC</t>
        </is>
      </c>
      <c r="E1288" t="inlineStr">
        <is>
          <t>DECOUPE COFFRET NSYS3D6630</t>
        </is>
      </c>
      <c r="F1288" t="inlineStr">
        <is>
          <t>MAQUETTE MOTEUR</t>
        </is>
      </c>
      <c r="J1288" t="inlineStr">
        <is>
          <t>BERNARDEAU</t>
        </is>
      </c>
      <c r="L1288">
        <f>_xlfn.XLOOKUP(Tableau1[[#This Row],[TYPE DE PIECE]],Tableau4[MATIERE],Tableau4[SHORT TYPE],"",0,1)</f>
        <v/>
      </c>
      <c r="N1288">
        <f>IF(ISERR(FIND("DECOUPE",Tableau1[[#This Row],[DESIGNATION]])),"","NEED REF")</f>
        <v/>
      </c>
    </row>
    <row r="1289">
      <c r="B1289" t="n">
        <v>34412712</v>
      </c>
      <c r="C1289" s="2" t="n">
        <v>45482</v>
      </c>
      <c r="D1289" t="inlineStr">
        <is>
          <t>SPEC</t>
        </is>
      </c>
      <c r="E1289" t="inlineStr">
        <is>
          <t>SMT PLATINE DE FOND COFFRET 600x600</t>
        </is>
      </c>
      <c r="F1289" t="inlineStr">
        <is>
          <t>MAQUETTE MOTEUR</t>
        </is>
      </c>
      <c r="J1289" t="inlineStr">
        <is>
          <t>BERNARDEAU</t>
        </is>
      </c>
      <c r="K1289" t="inlineStr">
        <is>
          <t>METAL</t>
        </is>
      </c>
      <c r="L1289">
        <f>_xlfn.XLOOKUP(Tableau1[[#This Row],[TYPE DE PIECE]],Tableau4[MATIERE],Tableau4[SHORT TYPE],"",0,1)</f>
        <v/>
      </c>
      <c r="N1289">
        <f>IF(ISERR(FIND("DECOUPE",Tableau1[[#This Row],[DESIGNATION]])),"","NEED REF")</f>
        <v/>
      </c>
    </row>
    <row r="1290">
      <c r="B1290" t="n">
        <v>34412711</v>
      </c>
      <c r="C1290" s="2" t="n">
        <v>45482</v>
      </c>
      <c r="D1290" t="inlineStr">
        <is>
          <t>SPEC</t>
        </is>
      </c>
      <c r="E1290" t="inlineStr">
        <is>
          <t>SMT POULIE MOTEUR</t>
        </is>
      </c>
      <c r="F1290" t="inlineStr">
        <is>
          <t>MAQUETTE MOTEUR</t>
        </is>
      </c>
      <c r="J1290" t="inlineStr">
        <is>
          <t>BERNARDEAU</t>
        </is>
      </c>
      <c r="K1290" t="inlineStr">
        <is>
          <t>METAL</t>
        </is>
      </c>
      <c r="L1290">
        <f>_xlfn.XLOOKUP(Tableau1[[#This Row],[TYPE DE PIECE]],Tableau4[MATIERE],Tableau4[SHORT TYPE],"",0,1)</f>
        <v/>
      </c>
      <c r="N1290">
        <f>IF(ISERR(FIND("DECOUPE",Tableau1[[#This Row],[DESIGNATION]])),"","NEED REF")</f>
        <v/>
      </c>
    </row>
    <row r="1291">
      <c r="B1291" t="n">
        <v>34412710</v>
      </c>
      <c r="C1291" s="2" t="n">
        <v>45475</v>
      </c>
      <c r="D1291" t="inlineStr">
        <is>
          <t>SPEC</t>
        </is>
      </c>
      <c r="E1291" t="inlineStr">
        <is>
          <t>SMT PLASTRON HAUT/BAS</t>
        </is>
      </c>
      <c r="F1291" t="inlineStr">
        <is>
          <t>SCHNEIDER ELECTRIC ALGERIA</t>
        </is>
      </c>
      <c r="G1291" t="inlineStr">
        <is>
          <t>GVX-E3L/E3M</t>
        </is>
      </c>
      <c r="H1291" t="inlineStr">
        <is>
          <t>BYPASS</t>
        </is>
      </c>
      <c r="I1291" t="inlineStr">
        <is>
          <t>600KVA</t>
        </is>
      </c>
      <c r="J1291" t="inlineStr">
        <is>
          <t>JAWORSKI</t>
        </is>
      </c>
      <c r="L1291">
        <f>_xlfn.XLOOKUP(Tableau1[[#This Row],[TYPE DE PIECE]],Tableau4[MATIERE],Tableau4[SHORT TYPE],"",0,1)</f>
        <v/>
      </c>
      <c r="N1291">
        <f>IF(ISERR(FIND("DECOUPE",Tableau1[[#This Row],[DESIGNATION]])),"","NEED REF")</f>
        <v/>
      </c>
    </row>
    <row r="1292">
      <c r="B1292" t="n">
        <v>34412709</v>
      </c>
      <c r="C1292" s="2" t="n">
        <v>45471</v>
      </c>
      <c r="D1292" t="inlineStr">
        <is>
          <t>SPEC</t>
        </is>
      </c>
      <c r="E1292" t="inlineStr">
        <is>
          <t>COP 34412709 GVX UPS 1250kVA INTERCO INPUT</t>
        </is>
      </c>
      <c r="F1292" t="inlineStr">
        <is>
          <t>INTERXION</t>
        </is>
      </c>
      <c r="G1292" t="inlineStr">
        <is>
          <t>GVX</t>
        </is>
      </c>
      <c r="H1292" t="inlineStr">
        <is>
          <t>UPS</t>
        </is>
      </c>
      <c r="I1292" t="inlineStr">
        <is>
          <t>1250kVA</t>
        </is>
      </c>
      <c r="J1292" t="inlineStr">
        <is>
          <t>MATRION</t>
        </is>
      </c>
      <c r="K1292" t="inlineStr">
        <is>
          <t>CUIVRE</t>
        </is>
      </c>
      <c r="L1292">
        <f>_xlfn.XLOOKUP(Tableau1[[#This Row],[TYPE DE PIECE]],Tableau4[MATIERE],Tableau4[SHORT TYPE],"",0,1)</f>
        <v/>
      </c>
      <c r="N1292">
        <f>IF(ISERR(FIND("DECOUPE",Tableau1[[#This Row],[DESIGNATION]])),"","NEED REF")</f>
        <v/>
      </c>
    </row>
    <row r="1293">
      <c r="B1293" t="n">
        <v>34412708</v>
      </c>
      <c r="C1293" s="2" t="n">
        <v>45471</v>
      </c>
      <c r="D1293" t="inlineStr">
        <is>
          <t>SPEC</t>
        </is>
      </c>
      <c r="E1293" t="inlineStr">
        <is>
          <t>PLA 34412708 GVX UPS 1250kVA PROTECTION OUTPUT</t>
        </is>
      </c>
      <c r="F1293" t="inlineStr">
        <is>
          <t>INTERXION</t>
        </is>
      </c>
      <c r="G1293" t="inlineStr">
        <is>
          <t>GVX</t>
        </is>
      </c>
      <c r="H1293" t="inlineStr">
        <is>
          <t>UPS</t>
        </is>
      </c>
      <c r="I1293" t="inlineStr">
        <is>
          <t>1250kVA</t>
        </is>
      </c>
      <c r="J1293" t="inlineStr">
        <is>
          <t>MATRION</t>
        </is>
      </c>
      <c r="K1293" t="inlineStr">
        <is>
          <t>PLASTIQUE</t>
        </is>
      </c>
      <c r="L1293">
        <f>_xlfn.XLOOKUP(Tableau1[[#This Row],[TYPE DE PIECE]],Tableau4[MATIERE],Tableau4[SHORT TYPE],"",0,1)</f>
        <v/>
      </c>
      <c r="N1293">
        <f>IF(ISERR(FIND("DECOUPE",Tableau1[[#This Row],[DESIGNATION]])),"","NEED REF")</f>
        <v/>
      </c>
    </row>
    <row r="1294">
      <c r="B1294" t="n">
        <v>34412707</v>
      </c>
      <c r="C1294" s="2" t="n">
        <v>45471</v>
      </c>
      <c r="D1294" t="inlineStr">
        <is>
          <t>SPEC</t>
        </is>
      </c>
      <c r="E1294" t="inlineStr">
        <is>
          <t>SMT 34412707 VOLTADIS OUTPUT AND BATT ROOF 1</t>
        </is>
      </c>
      <c r="F1294" t="inlineStr">
        <is>
          <t>INTERXION</t>
        </is>
      </c>
      <c r="G1294" t="inlineStr">
        <is>
          <t>GVX</t>
        </is>
      </c>
      <c r="H1294" t="inlineStr">
        <is>
          <t>UPS</t>
        </is>
      </c>
      <c r="I1294" t="inlineStr">
        <is>
          <t>1250kVA</t>
        </is>
      </c>
      <c r="J1294" t="inlineStr">
        <is>
          <t>MATRION</t>
        </is>
      </c>
      <c r="K1294" t="inlineStr">
        <is>
          <t>METAL</t>
        </is>
      </c>
      <c r="L1294">
        <f>_xlfn.XLOOKUP(Tableau1[[#This Row],[TYPE DE PIECE]],Tableau4[MATIERE],Tableau4[SHORT TYPE],"",0,1)</f>
        <v/>
      </c>
      <c r="N1294">
        <f>IF(ISERR(FIND("DECOUPE",Tableau1[[#This Row],[DESIGNATION]])),"","NEED REF")</f>
        <v/>
      </c>
    </row>
    <row r="1295">
      <c r="B1295" t="n">
        <v>34412706</v>
      </c>
      <c r="C1295" s="2" t="n">
        <v>45471</v>
      </c>
      <c r="D1295" t="inlineStr">
        <is>
          <t>SPEC</t>
        </is>
      </c>
      <c r="E1295" t="inlineStr">
        <is>
          <t>SMT 34412706 VOLTADIS INPUT ROOF 2</t>
        </is>
      </c>
      <c r="F1295" t="inlineStr">
        <is>
          <t>INTERXION</t>
        </is>
      </c>
      <c r="G1295" t="inlineStr">
        <is>
          <t>GVX</t>
        </is>
      </c>
      <c r="H1295" t="inlineStr">
        <is>
          <t>UPS</t>
        </is>
      </c>
      <c r="I1295" t="inlineStr">
        <is>
          <t>1250kVA</t>
        </is>
      </c>
      <c r="J1295" t="inlineStr">
        <is>
          <t>MATRION</t>
        </is>
      </c>
      <c r="K1295" t="inlineStr">
        <is>
          <t>METAL</t>
        </is>
      </c>
      <c r="L1295">
        <f>_xlfn.XLOOKUP(Tableau1[[#This Row],[TYPE DE PIECE]],Tableau4[MATIERE],Tableau4[SHORT TYPE],"",0,1)</f>
        <v/>
      </c>
      <c r="N1295">
        <f>IF(ISERR(FIND("DECOUPE",Tableau1[[#This Row],[DESIGNATION]])),"","NEED REF")</f>
        <v/>
      </c>
    </row>
    <row r="1296">
      <c r="B1296" t="n">
        <v>34412705</v>
      </c>
      <c r="C1296" s="2" t="n">
        <v>45471</v>
      </c>
      <c r="D1296" t="inlineStr">
        <is>
          <t>SPEC</t>
        </is>
      </c>
      <c r="E1296" t="inlineStr">
        <is>
          <t>SMT 34409686 VOLTADIS INPUT ROOF 1</t>
        </is>
      </c>
      <c r="F1296" t="inlineStr">
        <is>
          <t>INTERXION</t>
        </is>
      </c>
      <c r="G1296" t="inlineStr">
        <is>
          <t>GVX</t>
        </is>
      </c>
      <c r="H1296" t="inlineStr">
        <is>
          <t>UPS</t>
        </is>
      </c>
      <c r="I1296" t="inlineStr">
        <is>
          <t>1250kVA</t>
        </is>
      </c>
      <c r="J1296" t="inlineStr">
        <is>
          <t>MATRION</t>
        </is>
      </c>
      <c r="K1296" t="inlineStr">
        <is>
          <t>METAL</t>
        </is>
      </c>
      <c r="L1296">
        <f>_xlfn.XLOOKUP(Tableau1[[#This Row],[TYPE DE PIECE]],Tableau4[MATIERE],Tableau4[SHORT TYPE],"",0,1)</f>
        <v/>
      </c>
      <c r="N1296">
        <f>IF(ISERR(FIND("DECOUPE",Tableau1[[#This Row],[DESIGNATION]])),"","NEED REF")</f>
        <v/>
      </c>
    </row>
    <row r="1297">
      <c r="B1297" t="n">
        <v>34412704</v>
      </c>
      <c r="C1297" s="2" t="n">
        <v>45469</v>
      </c>
      <c r="D1297" t="inlineStr">
        <is>
          <t>SPEC</t>
        </is>
      </c>
      <c r="E1297">
        <f>_xlfn.CONCAT(Tableau1[[#This Row],[SHORT TYPE]]," ",Tableau1[[#This Row],[NUMERO]]," ",Tableau1[[#This Row],[GAMME]]," ",Tableau1[[#This Row],[TYPE PRODUIT]]," ",Tableau1[[#This Row],[PUISSANCE]])</f>
        <v/>
      </c>
      <c r="G1297" t="inlineStr">
        <is>
          <t>GVX</t>
        </is>
      </c>
      <c r="H1297" t="inlineStr">
        <is>
          <t>BBC</t>
        </is>
      </c>
      <c r="I1297" t="inlineStr">
        <is>
          <t>4000A</t>
        </is>
      </c>
      <c r="J1297" t="inlineStr">
        <is>
          <t>BERNARDEAU</t>
        </is>
      </c>
      <c r="K1297" t="inlineStr">
        <is>
          <t>FILERIE</t>
        </is>
      </c>
      <c r="L1297">
        <f>_xlfn.XLOOKUP(Tableau1[[#This Row],[TYPE DE PIECE]],Tableau4[MATIERE],Tableau4[SHORT TYPE],"",0,1)</f>
        <v/>
      </c>
      <c r="N1297">
        <f>IF(ISERR(FIND("DECOUPE",Tableau1[[#This Row],[DESIGNATION]])),"","NEED REF")</f>
        <v/>
      </c>
    </row>
    <row r="1298">
      <c r="B1298" t="n">
        <v>34412703</v>
      </c>
      <c r="C1298" s="2" t="n">
        <v>45468</v>
      </c>
      <c r="D1298" t="inlineStr">
        <is>
          <t>SPEC</t>
        </is>
      </c>
      <c r="E1298" t="inlineStr">
        <is>
          <t>WIR 34412703 GVL UPS 500kVA DUAL MAINS + LOAD</t>
        </is>
      </c>
      <c r="G1298" t="inlineStr">
        <is>
          <t>GVL</t>
        </is>
      </c>
      <c r="H1298" t="inlineStr">
        <is>
          <t>UPS</t>
        </is>
      </c>
      <c r="I1298" t="inlineStr">
        <is>
          <t>500kVA</t>
        </is>
      </c>
      <c r="J1298" t="inlineStr">
        <is>
          <t>MATRION</t>
        </is>
      </c>
      <c r="K1298" t="inlineStr">
        <is>
          <t>FILERIE</t>
        </is>
      </c>
      <c r="L1298">
        <f>_xlfn.XLOOKUP(Tableau1[[#This Row],[TYPE DE PIECE]],Tableau4[MATIERE],Tableau4[SHORT TYPE],"",0,1)</f>
        <v/>
      </c>
      <c r="N1298">
        <f>IF(ISERR(FIND("DECOUPE",Tableau1[[#This Row],[DESIGNATION]])),"","NEED REF")</f>
        <v/>
      </c>
    </row>
    <row r="1299">
      <c r="B1299" t="n">
        <v>34412702</v>
      </c>
      <c r="C1299" s="2" t="n">
        <v>45468</v>
      </c>
      <c r="D1299" t="inlineStr">
        <is>
          <t>SPEC</t>
        </is>
      </c>
      <c r="E1299">
        <f>_xlfn.CONCAT(Tableau1[[#This Row],[SHORT TYPE]]," ",Tableau1[[#This Row],[NUMERO]]," ",Tableau1[[#This Row],[GAMME]]," ",Tableau1[[#This Row],[TYPE PRODUIT]]," ",Tableau1[[#This Row],[PUISSANCE]])</f>
        <v/>
      </c>
      <c r="G1299" t="inlineStr">
        <is>
          <t>GVL</t>
        </is>
      </c>
      <c r="H1299" t="inlineStr">
        <is>
          <t>UPS</t>
        </is>
      </c>
      <c r="I1299" t="inlineStr">
        <is>
          <t>500kVA</t>
        </is>
      </c>
      <c r="J1299" t="inlineStr">
        <is>
          <t>MATRION</t>
        </is>
      </c>
      <c r="K1299" t="inlineStr">
        <is>
          <t>CUIVRE</t>
        </is>
      </c>
      <c r="L1299">
        <f>_xlfn.XLOOKUP(Tableau1[[#This Row],[TYPE DE PIECE]],Tableau4[MATIERE],Tableau4[SHORT TYPE],"",0,1)</f>
        <v/>
      </c>
      <c r="N1299">
        <f>IF(ISERR(FIND("DECOUPE",Tableau1[[#This Row],[DESIGNATION]])),"","NEED REF")</f>
        <v/>
      </c>
    </row>
    <row r="1300">
      <c r="B1300" t="n">
        <v>34412701</v>
      </c>
      <c r="C1300" s="2" t="n">
        <v>45468</v>
      </c>
      <c r="D1300" t="inlineStr">
        <is>
          <t>SPEC</t>
        </is>
      </c>
      <c r="E1300">
        <f>_xlfn.CONCAT(Tableau1[[#This Row],[SHORT TYPE]]," ",Tableau1[[#This Row],[NUMERO]]," ",Tableau1[[#This Row],[GAMME]]," ",Tableau1[[#This Row],[TYPE PRODUIT]]," ",Tableau1[[#This Row],[PUISSANCE]])</f>
        <v/>
      </c>
      <c r="G1300" t="inlineStr">
        <is>
          <t>GVL</t>
        </is>
      </c>
      <c r="H1300" t="inlineStr">
        <is>
          <t>UPS</t>
        </is>
      </c>
      <c r="I1300" t="inlineStr">
        <is>
          <t>500kVA</t>
        </is>
      </c>
      <c r="J1300" t="inlineStr">
        <is>
          <t>MATRION</t>
        </is>
      </c>
      <c r="K1300" t="inlineStr">
        <is>
          <t>CUIVRE</t>
        </is>
      </c>
      <c r="L1300">
        <f>_xlfn.XLOOKUP(Tableau1[[#This Row],[TYPE DE PIECE]],Tableau4[MATIERE],Tableau4[SHORT TYPE],"",0,1)</f>
        <v/>
      </c>
      <c r="N1300">
        <f>IF(ISERR(FIND("DECOUPE",Tableau1[[#This Row],[DESIGNATION]])),"","NEED REF")</f>
        <v/>
      </c>
    </row>
    <row r="1301">
      <c r="B1301" t="n">
        <v>34412700</v>
      </c>
      <c r="C1301" s="2" t="n">
        <v>45468</v>
      </c>
      <c r="D1301" t="inlineStr">
        <is>
          <t>SPEC</t>
        </is>
      </c>
      <c r="E1301">
        <f>_xlfn.CONCAT(Tableau1[[#This Row],[SHORT TYPE]]," ",Tableau1[[#This Row],[NUMERO]]," ",Tableau1[[#This Row],[GAMME]]," ",Tableau1[[#This Row],[TYPE PRODUIT]]," ",Tableau1[[#This Row],[PUISSANCE]])</f>
        <v/>
      </c>
      <c r="G1301" t="inlineStr">
        <is>
          <t>GVL</t>
        </is>
      </c>
      <c r="H1301" t="inlineStr">
        <is>
          <t>UPS</t>
        </is>
      </c>
      <c r="I1301" t="inlineStr">
        <is>
          <t>500kVA</t>
        </is>
      </c>
      <c r="J1301" t="inlineStr">
        <is>
          <t>MATRION</t>
        </is>
      </c>
      <c r="K1301" t="inlineStr">
        <is>
          <t>CUIVRE</t>
        </is>
      </c>
      <c r="L1301">
        <f>_xlfn.XLOOKUP(Tableau1[[#This Row],[TYPE DE PIECE]],Tableau4[MATIERE],Tableau4[SHORT TYPE],"",0,1)</f>
        <v/>
      </c>
      <c r="N1301">
        <f>IF(ISERR(FIND("DECOUPE",Tableau1[[#This Row],[DESIGNATION]])),"","NEED REF")</f>
        <v/>
      </c>
    </row>
    <row r="1302">
      <c r="B1302" t="n">
        <v>34412699</v>
      </c>
      <c r="C1302" s="2" t="n">
        <v>45468</v>
      </c>
      <c r="D1302" t="inlineStr">
        <is>
          <t>SPEC</t>
        </is>
      </c>
      <c r="E1302">
        <f>_xlfn.CONCAT(Tableau1[[#This Row],[SHORT TYPE]]," ",Tableau1[[#This Row],[NUMERO]]," ",Tableau1[[#This Row],[GAMME]]," ",Tableau1[[#This Row],[TYPE PRODUIT]]," ",Tableau1[[#This Row],[PUISSANCE]])</f>
        <v/>
      </c>
      <c r="G1302" t="inlineStr">
        <is>
          <t>GVL</t>
        </is>
      </c>
      <c r="H1302" t="inlineStr">
        <is>
          <t>UPS</t>
        </is>
      </c>
      <c r="I1302" t="inlineStr">
        <is>
          <t>500kVA</t>
        </is>
      </c>
      <c r="J1302" t="inlineStr">
        <is>
          <t>MATRION</t>
        </is>
      </c>
      <c r="K1302" t="inlineStr">
        <is>
          <t>METAL</t>
        </is>
      </c>
      <c r="L1302">
        <f>_xlfn.XLOOKUP(Tableau1[[#This Row],[TYPE DE PIECE]],Tableau4[MATIERE],Tableau4[SHORT TYPE],"",0,1)</f>
        <v/>
      </c>
      <c r="N1302">
        <f>IF(ISERR(FIND("DECOUPE",Tableau1[[#This Row],[DESIGNATION]])),"","NEED REF")</f>
        <v/>
      </c>
    </row>
    <row r="1303">
      <c r="B1303" t="n">
        <v>34412698</v>
      </c>
      <c r="C1303" s="2" t="n">
        <v>45468</v>
      </c>
      <c r="D1303" t="inlineStr">
        <is>
          <t>SPEC</t>
        </is>
      </c>
      <c r="E1303">
        <f>_xlfn.CONCAT(Tableau1[[#This Row],[SHORT TYPE]]," ",Tableau1[[#This Row],[NUMERO]]," ",Tableau1[[#This Row],[GAMME]]," ",Tableau1[[#This Row],[TYPE PRODUIT]]," ",Tableau1[[#This Row],[PUISSANCE]])</f>
        <v/>
      </c>
      <c r="G1303" t="inlineStr">
        <is>
          <t>GVL</t>
        </is>
      </c>
      <c r="H1303" t="inlineStr">
        <is>
          <t>UPS</t>
        </is>
      </c>
      <c r="I1303" t="inlineStr">
        <is>
          <t>500kVA</t>
        </is>
      </c>
      <c r="J1303" t="inlineStr">
        <is>
          <t>MATRION</t>
        </is>
      </c>
      <c r="K1303" t="inlineStr">
        <is>
          <t>METAL</t>
        </is>
      </c>
      <c r="L1303">
        <f>_xlfn.XLOOKUP(Tableau1[[#This Row],[TYPE DE PIECE]],Tableau4[MATIERE],Tableau4[SHORT TYPE],"",0,1)</f>
        <v/>
      </c>
      <c r="N1303">
        <f>IF(ISERR(FIND("DECOUPE",Tableau1[[#This Row],[DESIGNATION]])),"","NEED REF")</f>
        <v/>
      </c>
    </row>
    <row r="1304">
      <c r="B1304" t="n">
        <v>34412697</v>
      </c>
      <c r="C1304" s="2" t="n">
        <v>45468</v>
      </c>
      <c r="D1304" t="inlineStr">
        <is>
          <t>SPEC</t>
        </is>
      </c>
      <c r="E1304" t="inlineStr">
        <is>
          <t>DECOUPE EN L CABLOFIL CF54300EZ LG 1700</t>
        </is>
      </c>
      <c r="G1304" t="inlineStr">
        <is>
          <t>GVX</t>
        </is>
      </c>
      <c r="H1304" t="inlineStr">
        <is>
          <t>BBC</t>
        </is>
      </c>
      <c r="I1304" t="inlineStr">
        <is>
          <t>4000A</t>
        </is>
      </c>
      <c r="J1304" t="inlineStr">
        <is>
          <t>BERNARDEAU</t>
        </is>
      </c>
      <c r="K1304" t="inlineStr">
        <is>
          <t>ETO</t>
        </is>
      </c>
      <c r="L1304">
        <f>_xlfn.XLOOKUP(Tableau1[[#This Row],[TYPE DE PIECE]],Tableau4[MATIERE],Tableau4[SHORT TYPE],"",0,1)</f>
        <v/>
      </c>
      <c r="N1304" t="inlineStr">
        <is>
          <t>CF54300EZ</t>
        </is>
      </c>
    </row>
    <row r="1305">
      <c r="B1305" t="n">
        <v>34412696</v>
      </c>
      <c r="C1305" s="2" t="n">
        <v>45468</v>
      </c>
      <c r="D1305" t="inlineStr">
        <is>
          <t>SPEC</t>
        </is>
      </c>
      <c r="E1305" t="inlineStr">
        <is>
          <t>COP CUIVRE NW40DC</t>
        </is>
      </c>
      <c r="G1305" t="inlineStr">
        <is>
          <t>GVX</t>
        </is>
      </c>
      <c r="H1305" t="inlineStr">
        <is>
          <t>BBC</t>
        </is>
      </c>
      <c r="I1305" t="inlineStr">
        <is>
          <t>4000A</t>
        </is>
      </c>
      <c r="J1305" t="inlineStr">
        <is>
          <t>BERNARDEAU</t>
        </is>
      </c>
      <c r="K1305" t="inlineStr">
        <is>
          <t>CUIVRE</t>
        </is>
      </c>
      <c r="L1305">
        <f>_xlfn.XLOOKUP(Tableau1[[#This Row],[TYPE DE PIECE]],Tableau4[MATIERE],Tableau4[SHORT TYPE],"",0,1)</f>
        <v/>
      </c>
      <c r="N1305">
        <f>IF(ISERR(FIND("DECOUPE",Tableau1[[#This Row],[DESIGNATION]])),"","NEED REF")</f>
        <v/>
      </c>
    </row>
    <row r="1306">
      <c r="B1306" t="n">
        <v>34412695</v>
      </c>
      <c r="C1306" s="2" t="n">
        <v>45467</v>
      </c>
      <c r="D1306" t="inlineStr">
        <is>
          <t>SPEC</t>
        </is>
      </c>
      <c r="E1306">
        <f>_xlfn.CONCAT(Tableau1[[#This Row],[SHORT TYPE]]," ",Tableau1[[#This Row],[NUMERO]]," ",Tableau1[[#This Row],[GAMME]]," ",Tableau1[[#This Row],[TYPE PRODUIT]]," ",Tableau1[[#This Row],[PUISSANCE]])</f>
        <v/>
      </c>
      <c r="G1306" t="inlineStr">
        <is>
          <t>GVX</t>
        </is>
      </c>
      <c r="H1306" t="inlineStr">
        <is>
          <t>BBC</t>
        </is>
      </c>
      <c r="I1306" t="inlineStr">
        <is>
          <t>4000A</t>
        </is>
      </c>
      <c r="J1306" t="inlineStr">
        <is>
          <t>MATRION</t>
        </is>
      </c>
      <c r="K1306" t="inlineStr">
        <is>
          <t>METAL</t>
        </is>
      </c>
      <c r="L1306">
        <f>_xlfn.XLOOKUP(Tableau1[[#This Row],[TYPE DE PIECE]],Tableau4[MATIERE],Tableau4[SHORT TYPE],"",0,1)</f>
        <v/>
      </c>
      <c r="N1306">
        <f>IF(ISERR(FIND("DECOUPE",Tableau1[[#This Row],[DESIGNATION]])),"","NEED REF")</f>
        <v/>
      </c>
    </row>
    <row r="1307">
      <c r="B1307" t="n">
        <v>34412694</v>
      </c>
      <c r="C1307" s="2" t="n">
        <v>45467</v>
      </c>
      <c r="D1307" t="inlineStr">
        <is>
          <t>SPEC</t>
        </is>
      </c>
      <c r="E1307">
        <f>_xlfn.CONCAT(Tableau1[[#This Row],[SHORT TYPE]]," ",Tableau1[[#This Row],[NUMERO]]," ",Tableau1[[#This Row],[GAMME]]," ",Tableau1[[#This Row],[TYPE PRODUIT]]," ",Tableau1[[#This Row],[PUISSANCE]])</f>
        <v/>
      </c>
      <c r="G1307" t="inlineStr">
        <is>
          <t>GVX</t>
        </is>
      </c>
      <c r="H1307" t="inlineStr">
        <is>
          <t>BBC</t>
        </is>
      </c>
      <c r="I1307" t="inlineStr">
        <is>
          <t>4000A</t>
        </is>
      </c>
      <c r="J1307" t="inlineStr">
        <is>
          <t>MATRION</t>
        </is>
      </c>
      <c r="K1307" t="inlineStr">
        <is>
          <t>METAL</t>
        </is>
      </c>
      <c r="L1307">
        <f>_xlfn.XLOOKUP(Tableau1[[#This Row],[TYPE DE PIECE]],Tableau4[MATIERE],Tableau4[SHORT TYPE],"",0,1)</f>
        <v/>
      </c>
      <c r="N1307">
        <f>IF(ISERR(FIND("DECOUPE",Tableau1[[#This Row],[DESIGNATION]])),"","NEED REF")</f>
        <v/>
      </c>
    </row>
    <row r="1308">
      <c r="B1308" t="n">
        <v>34412693</v>
      </c>
      <c r="C1308" s="2" t="n">
        <v>45467</v>
      </c>
      <c r="D1308" t="inlineStr">
        <is>
          <t>SPEC</t>
        </is>
      </c>
      <c r="E1308">
        <f>_xlfn.CONCAT(Tableau1[[#This Row],[SHORT TYPE]]," ",Tableau1[[#This Row],[NUMERO]]," ",Tableau1[[#This Row],[GAMME]]," ",Tableau1[[#This Row],[TYPE PRODUIT]]," ",Tableau1[[#This Row],[PUISSANCE]])</f>
        <v/>
      </c>
      <c r="G1308" t="inlineStr">
        <is>
          <t>GVX</t>
        </is>
      </c>
      <c r="H1308" t="inlineStr">
        <is>
          <t>BBC</t>
        </is>
      </c>
      <c r="I1308" t="inlineStr">
        <is>
          <t>4000A</t>
        </is>
      </c>
      <c r="J1308" t="inlineStr">
        <is>
          <t>MATRION</t>
        </is>
      </c>
      <c r="K1308" t="inlineStr">
        <is>
          <t>METAL</t>
        </is>
      </c>
      <c r="L1308">
        <f>_xlfn.XLOOKUP(Tableau1[[#This Row],[TYPE DE PIECE]],Tableau4[MATIERE],Tableau4[SHORT TYPE],"",0,1)</f>
        <v/>
      </c>
      <c r="N1308">
        <f>IF(ISERR(FIND("DECOUPE",Tableau1[[#This Row],[DESIGNATION]])),"","NEED REF")</f>
        <v/>
      </c>
    </row>
    <row r="1309">
      <c r="B1309" t="n">
        <v>34412692</v>
      </c>
      <c r="C1309" s="2" t="n">
        <v>45467</v>
      </c>
      <c r="D1309" t="inlineStr">
        <is>
          <t>SPEC</t>
        </is>
      </c>
      <c r="E1309">
        <f>_xlfn.CONCAT(Tableau1[[#This Row],[SHORT TYPE]]," ",Tableau1[[#This Row],[NUMERO]]," ",Tableau1[[#This Row],[GAMME]]," ",Tableau1[[#This Row],[TYPE PRODUIT]]," ",Tableau1[[#This Row],[PUISSANCE]])</f>
        <v/>
      </c>
      <c r="G1309" t="inlineStr">
        <is>
          <t>GVX</t>
        </is>
      </c>
      <c r="H1309" t="inlineStr">
        <is>
          <t>BBC</t>
        </is>
      </c>
      <c r="I1309" t="inlineStr">
        <is>
          <t>4000A</t>
        </is>
      </c>
      <c r="J1309" t="inlineStr">
        <is>
          <t>MATRION</t>
        </is>
      </c>
      <c r="K1309" t="inlineStr">
        <is>
          <t>METAL</t>
        </is>
      </c>
      <c r="L1309">
        <f>_xlfn.XLOOKUP(Tableau1[[#This Row],[TYPE DE PIECE]],Tableau4[MATIERE],Tableau4[SHORT TYPE],"",0,1)</f>
        <v/>
      </c>
      <c r="N1309">
        <f>IF(ISERR(FIND("DECOUPE",Tableau1[[#This Row],[DESIGNATION]])),"","NEED REF")</f>
        <v/>
      </c>
    </row>
    <row r="1310">
      <c r="B1310" t="n">
        <v>34412691</v>
      </c>
      <c r="C1310" s="2" t="n">
        <v>45467</v>
      </c>
      <c r="D1310" t="inlineStr">
        <is>
          <t>SPEC</t>
        </is>
      </c>
      <c r="E1310">
        <f>_xlfn.CONCAT(Tableau1[[#This Row],[SHORT TYPE]]," ",Tableau1[[#This Row],[NUMERO]]," ",Tableau1[[#This Row],[GAMME]]," ",Tableau1[[#This Row],[TYPE PRODUIT]]," ",Tableau1[[#This Row],[PUISSANCE]])</f>
        <v/>
      </c>
      <c r="G1310" t="inlineStr">
        <is>
          <t>GVX</t>
        </is>
      </c>
      <c r="H1310" t="inlineStr">
        <is>
          <t>BBC</t>
        </is>
      </c>
      <c r="I1310" t="inlineStr">
        <is>
          <t>4000A</t>
        </is>
      </c>
      <c r="J1310" t="inlineStr">
        <is>
          <t>MATRION</t>
        </is>
      </c>
      <c r="K1310" t="inlineStr">
        <is>
          <t>CUIVRE</t>
        </is>
      </c>
      <c r="L1310">
        <f>_xlfn.XLOOKUP(Tableau1[[#This Row],[TYPE DE PIECE]],Tableau4[MATIERE],Tableau4[SHORT TYPE],"",0,1)</f>
        <v/>
      </c>
      <c r="N1310">
        <f>IF(ISERR(FIND("DECOUPE",Tableau1[[#This Row],[DESIGNATION]])),"","NEED REF")</f>
        <v/>
      </c>
    </row>
    <row r="1311">
      <c r="B1311" t="n">
        <v>34412690</v>
      </c>
      <c r="C1311" s="2" t="n">
        <v>45467</v>
      </c>
      <c r="D1311" t="inlineStr">
        <is>
          <t>SPEC</t>
        </is>
      </c>
      <c r="E1311">
        <f>_xlfn.CONCAT(Tableau1[[#This Row],[SHORT TYPE]]," ",Tableau1[[#This Row],[NUMERO]]," ",Tableau1[[#This Row],[GAMME]]," ",Tableau1[[#This Row],[TYPE PRODUIT]]," ",Tableau1[[#This Row],[PUISSANCE]])</f>
        <v/>
      </c>
      <c r="G1311" t="inlineStr">
        <is>
          <t>GVX</t>
        </is>
      </c>
      <c r="H1311" t="inlineStr">
        <is>
          <t>BBC</t>
        </is>
      </c>
      <c r="I1311" t="inlineStr">
        <is>
          <t>4000A</t>
        </is>
      </c>
      <c r="J1311" t="inlineStr">
        <is>
          <t>MATRION</t>
        </is>
      </c>
      <c r="K1311" t="inlineStr">
        <is>
          <t>METAL</t>
        </is>
      </c>
      <c r="L1311">
        <f>_xlfn.XLOOKUP(Tableau1[[#This Row],[TYPE DE PIECE]],Tableau4[MATIERE],Tableau4[SHORT TYPE],"",0,1)</f>
        <v/>
      </c>
      <c r="N1311">
        <f>IF(ISERR(FIND("DECOUPE",Tableau1[[#This Row],[DESIGNATION]])),"","NEED REF")</f>
        <v/>
      </c>
    </row>
    <row r="1312">
      <c r="B1312" t="n">
        <v>34412689</v>
      </c>
      <c r="C1312" s="2" t="n">
        <v>45467</v>
      </c>
      <c r="D1312" t="inlineStr">
        <is>
          <t>SPEC</t>
        </is>
      </c>
      <c r="E1312" t="inlineStr">
        <is>
          <t>DECOUPE 34412689 LINERGY 4000A LG 1695MM LVS04568</t>
        </is>
      </c>
      <c r="G1312" t="inlineStr">
        <is>
          <t>GVX</t>
        </is>
      </c>
      <c r="H1312" t="inlineStr">
        <is>
          <t>BBC</t>
        </is>
      </c>
      <c r="I1312" t="inlineStr">
        <is>
          <t>4000A</t>
        </is>
      </c>
      <c r="J1312" t="inlineStr">
        <is>
          <t>MATRION</t>
        </is>
      </c>
      <c r="K1312" t="inlineStr">
        <is>
          <t>DECOUPE</t>
        </is>
      </c>
      <c r="L1312" t="inlineStr">
        <is>
          <t>ETO</t>
        </is>
      </c>
      <c r="N1312" t="inlineStr">
        <is>
          <t>LVS04568</t>
        </is>
      </c>
    </row>
    <row r="1313">
      <c r="B1313" t="n">
        <v>34412688</v>
      </c>
      <c r="C1313" s="2" t="n">
        <v>45467</v>
      </c>
      <c r="D1313" t="inlineStr">
        <is>
          <t>SPEC</t>
        </is>
      </c>
      <c r="E1313">
        <f>_xlfn.CONCAT(Tableau1[[#This Row],[SHORT TYPE]]," ",Tableau1[[#This Row],[NUMERO]]," ",Tableau1[[#This Row],[GAMME]]," ",Tableau1[[#This Row],[TYPE PRODUIT]]," ",Tableau1[[#This Row],[PUISSANCE]])</f>
        <v/>
      </c>
      <c r="G1313" t="inlineStr">
        <is>
          <t>GVX</t>
        </is>
      </c>
      <c r="H1313" t="inlineStr">
        <is>
          <t>BBC</t>
        </is>
      </c>
      <c r="I1313" t="inlineStr">
        <is>
          <t>4000A</t>
        </is>
      </c>
      <c r="J1313" t="inlineStr">
        <is>
          <t>MATRION</t>
        </is>
      </c>
      <c r="K1313" t="inlineStr">
        <is>
          <t>METAL</t>
        </is>
      </c>
      <c r="L1313">
        <f>_xlfn.XLOOKUP(Tableau1[[#This Row],[TYPE DE PIECE]],Tableau4[MATIERE],Tableau4[SHORT TYPE],"",0,1)</f>
        <v/>
      </c>
      <c r="N1313">
        <f>IF(ISERR(FIND("DECOUPE",Tableau1[[#This Row],[DESIGNATION]])),"","NEED REF")</f>
        <v/>
      </c>
    </row>
    <row r="1314">
      <c r="B1314" t="n">
        <v>34412687</v>
      </c>
      <c r="C1314" s="2" t="n">
        <v>45467</v>
      </c>
      <c r="D1314" t="inlineStr">
        <is>
          <t>SPEC</t>
        </is>
      </c>
      <c r="E1314">
        <f>_xlfn.CONCAT(Tableau1[[#This Row],[SHORT TYPE]]," ",Tableau1[[#This Row],[NUMERO]]," ",Tableau1[[#This Row],[GAMME]]," ",Tableau1[[#This Row],[TYPE PRODUIT]]," ",Tableau1[[#This Row],[PUISSANCE]])</f>
        <v/>
      </c>
      <c r="G1314" t="inlineStr">
        <is>
          <t>GVX</t>
        </is>
      </c>
      <c r="H1314" t="inlineStr">
        <is>
          <t>BBC</t>
        </is>
      </c>
      <c r="I1314" t="inlineStr">
        <is>
          <t>4000A</t>
        </is>
      </c>
      <c r="J1314" t="inlineStr">
        <is>
          <t>MATRION</t>
        </is>
      </c>
      <c r="K1314" t="inlineStr">
        <is>
          <t>METAL</t>
        </is>
      </c>
      <c r="L1314">
        <f>_xlfn.XLOOKUP(Tableau1[[#This Row],[TYPE DE PIECE]],Tableau4[MATIERE],Tableau4[SHORT TYPE],"",0,1)</f>
        <v/>
      </c>
      <c r="N1314">
        <f>IF(ISERR(FIND("DECOUPE",Tableau1[[#This Row],[DESIGNATION]])),"","NEED REF")</f>
        <v/>
      </c>
    </row>
    <row r="1315">
      <c r="B1315" t="n">
        <v>34412686</v>
      </c>
      <c r="C1315" s="2" t="n">
        <v>45464</v>
      </c>
      <c r="D1315" t="inlineStr">
        <is>
          <t>SPEC</t>
        </is>
      </c>
      <c r="E1315">
        <f>_xlfn.CONCAT(Tableau1[[#This Row],[SHORT TYPE]]," ",Tableau1[[#This Row],[NUMERO]]," ",Tableau1[[#This Row],[GAMME]]," ",Tableau1[[#This Row],[TYPE PRODUIT]]," ",Tableau1[[#This Row],[PUISSANCE]])</f>
        <v/>
      </c>
      <c r="G1315" t="inlineStr">
        <is>
          <t>GVX</t>
        </is>
      </c>
      <c r="H1315" t="inlineStr">
        <is>
          <t>BBC</t>
        </is>
      </c>
      <c r="I1315" t="inlineStr">
        <is>
          <t>4000A</t>
        </is>
      </c>
      <c r="J1315" t="inlineStr">
        <is>
          <t>BERNARDEAU</t>
        </is>
      </c>
      <c r="K1315" t="inlineStr">
        <is>
          <t>CUIVRE</t>
        </is>
      </c>
      <c r="L1315">
        <f>_xlfn.XLOOKUP(Tableau1[[#This Row],[TYPE DE PIECE]],Tableau4[MATIERE],Tableau4[SHORT TYPE],"",0,1)</f>
        <v/>
      </c>
      <c r="N1315">
        <f>IF(ISERR(FIND("DECOUPE",Tableau1[[#This Row],[DESIGNATION]])),"","NEED REF")</f>
        <v/>
      </c>
    </row>
    <row r="1316">
      <c r="B1316" t="n">
        <v>34412685</v>
      </c>
      <c r="C1316" s="2" t="n">
        <v>45464</v>
      </c>
      <c r="D1316" t="inlineStr">
        <is>
          <t>SPEC</t>
        </is>
      </c>
      <c r="E1316">
        <f>_xlfn.CONCAT(Tableau1[[#This Row],[SHORT TYPE]]," ",Tableau1[[#This Row],[NUMERO]]," ",Tableau1[[#This Row],[GAMME]]," ",Tableau1[[#This Row],[TYPE PRODUIT]]," ",Tableau1[[#This Row],[PUISSANCE]])</f>
        <v/>
      </c>
      <c r="G1316" t="inlineStr">
        <is>
          <t>GVX</t>
        </is>
      </c>
      <c r="H1316" t="inlineStr">
        <is>
          <t>BBC</t>
        </is>
      </c>
      <c r="I1316" t="inlineStr">
        <is>
          <t>4000A</t>
        </is>
      </c>
      <c r="J1316" t="inlineStr">
        <is>
          <t>BERNARDEAU</t>
        </is>
      </c>
      <c r="K1316" t="inlineStr">
        <is>
          <t>CUIVRE</t>
        </is>
      </c>
      <c r="L1316">
        <f>_xlfn.XLOOKUP(Tableau1[[#This Row],[TYPE DE PIECE]],Tableau4[MATIERE],Tableau4[SHORT TYPE],"",0,1)</f>
        <v/>
      </c>
      <c r="N1316">
        <f>IF(ISERR(FIND("DECOUPE",Tableau1[[#This Row],[DESIGNATION]])),"","NEED REF")</f>
        <v/>
      </c>
    </row>
    <row r="1317">
      <c r="B1317" t="n">
        <v>34412684</v>
      </c>
      <c r="C1317" s="2" t="n">
        <v>45464</v>
      </c>
      <c r="D1317" t="inlineStr">
        <is>
          <t>SPEC</t>
        </is>
      </c>
      <c r="E1317">
        <f>_xlfn.CONCAT(Tableau1[[#This Row],[SHORT TYPE]]," ",Tableau1[[#This Row],[NUMERO]]," ",Tableau1[[#This Row],[GAMME]]," ",Tableau1[[#This Row],[TYPE PRODUIT]]," ",Tableau1[[#This Row],[PUISSANCE]])</f>
        <v/>
      </c>
      <c r="G1317" t="inlineStr">
        <is>
          <t>GVX</t>
        </is>
      </c>
      <c r="H1317" t="inlineStr">
        <is>
          <t>BBC</t>
        </is>
      </c>
      <c r="I1317" t="inlineStr">
        <is>
          <t>4000A</t>
        </is>
      </c>
      <c r="J1317" t="inlineStr">
        <is>
          <t>MATRION</t>
        </is>
      </c>
      <c r="K1317" t="inlineStr">
        <is>
          <t>PLASTIQUE</t>
        </is>
      </c>
      <c r="L1317">
        <f>_xlfn.XLOOKUP(Tableau1[[#This Row],[TYPE DE PIECE]],Tableau4[MATIERE],Tableau4[SHORT TYPE],"",0,1)</f>
        <v/>
      </c>
      <c r="N1317">
        <f>IF(ISERR(FIND("DECOUPE",Tableau1[[#This Row],[DESIGNATION]])),"","NEED REF")</f>
        <v/>
      </c>
    </row>
    <row r="1318">
      <c r="B1318" t="n">
        <v>34412683</v>
      </c>
      <c r="C1318" s="2" t="n">
        <v>45464</v>
      </c>
      <c r="D1318" t="inlineStr">
        <is>
          <t>SPEC</t>
        </is>
      </c>
      <c r="E1318">
        <f>_xlfn.CONCAT(Tableau1[[#This Row],[SHORT TYPE]]," ",Tableau1[[#This Row],[NUMERO]]," ",Tableau1[[#This Row],[GAMME]]," ",Tableau1[[#This Row],[TYPE PRODUIT]]," ",Tableau1[[#This Row],[PUISSANCE]])</f>
        <v/>
      </c>
      <c r="G1318" t="inlineStr">
        <is>
          <t>GVX</t>
        </is>
      </c>
      <c r="H1318" t="inlineStr">
        <is>
          <t>BBC</t>
        </is>
      </c>
      <c r="I1318" t="inlineStr">
        <is>
          <t>4000A</t>
        </is>
      </c>
      <c r="J1318" t="inlineStr">
        <is>
          <t>MATRION</t>
        </is>
      </c>
      <c r="K1318" t="inlineStr">
        <is>
          <t>METAL</t>
        </is>
      </c>
      <c r="L1318">
        <f>_xlfn.XLOOKUP(Tableau1[[#This Row],[TYPE DE PIECE]],Tableau4[MATIERE],Tableau4[SHORT TYPE],"",0,1)</f>
        <v/>
      </c>
      <c r="N1318">
        <f>IF(ISERR(FIND("DECOUPE",Tableau1[[#This Row],[DESIGNATION]])),"","NEED REF")</f>
        <v/>
      </c>
    </row>
    <row r="1319">
      <c r="B1319" t="n">
        <v>34412682</v>
      </c>
      <c r="C1319" s="2" t="n">
        <v>45464</v>
      </c>
      <c r="D1319" t="inlineStr">
        <is>
          <t>SPEC</t>
        </is>
      </c>
      <c r="E1319">
        <f>_xlfn.CONCAT(Tableau1[[#This Row],[SHORT TYPE]]," ",Tableau1[[#This Row],[NUMERO]]," ",Tableau1[[#This Row],[GAMME]]," ",Tableau1[[#This Row],[TYPE PRODUIT]]," ",Tableau1[[#This Row],[PUISSANCE]])</f>
        <v/>
      </c>
      <c r="G1319" t="inlineStr">
        <is>
          <t>GVX</t>
        </is>
      </c>
      <c r="H1319" t="inlineStr">
        <is>
          <t>BBC</t>
        </is>
      </c>
      <c r="I1319" t="inlineStr">
        <is>
          <t>4000A</t>
        </is>
      </c>
      <c r="J1319" t="inlineStr">
        <is>
          <t>MATRION</t>
        </is>
      </c>
      <c r="K1319" t="inlineStr">
        <is>
          <t>METAL</t>
        </is>
      </c>
      <c r="L1319">
        <f>_xlfn.XLOOKUP(Tableau1[[#This Row],[TYPE DE PIECE]],Tableau4[MATIERE],Tableau4[SHORT TYPE],"",0,1)</f>
        <v/>
      </c>
      <c r="N1319">
        <f>IF(ISERR(FIND("DECOUPE",Tableau1[[#This Row],[DESIGNATION]])),"","NEED REF")</f>
        <v/>
      </c>
    </row>
    <row r="1320">
      <c r="B1320" t="n">
        <v>34412681</v>
      </c>
      <c r="C1320" s="2" t="n">
        <v>45464</v>
      </c>
      <c r="D1320" t="inlineStr">
        <is>
          <t>SPEC</t>
        </is>
      </c>
      <c r="E1320" t="inlineStr">
        <is>
          <t>COP CUIVRE NW40DC</t>
        </is>
      </c>
      <c r="G1320" t="inlineStr">
        <is>
          <t>GVX</t>
        </is>
      </c>
      <c r="H1320" t="inlineStr">
        <is>
          <t>BBC</t>
        </is>
      </c>
      <c r="I1320" t="inlineStr">
        <is>
          <t>4000A</t>
        </is>
      </c>
      <c r="J1320" t="inlineStr">
        <is>
          <t>BERNARDEAU</t>
        </is>
      </c>
      <c r="K1320" t="inlineStr">
        <is>
          <t>CUIVRE</t>
        </is>
      </c>
      <c r="L1320">
        <f>_xlfn.XLOOKUP(Tableau1[[#This Row],[TYPE DE PIECE]],Tableau4[MATIERE],Tableau4[SHORT TYPE],"",0,1)</f>
        <v/>
      </c>
      <c r="N1320">
        <f>IF(ISERR(FIND("DECOUPE",Tableau1[[#This Row],[DESIGNATION]])),"","NEED REF")</f>
        <v/>
      </c>
    </row>
    <row r="1321">
      <c r="B1321" t="n">
        <v>34412680</v>
      </c>
      <c r="C1321" s="2" t="n">
        <v>45464</v>
      </c>
      <c r="D1321" t="inlineStr">
        <is>
          <t>SPEC</t>
        </is>
      </c>
      <c r="E1321" t="inlineStr">
        <is>
          <t>COP CUIVRE NW40DC</t>
        </is>
      </c>
      <c r="G1321" t="inlineStr">
        <is>
          <t>GVX</t>
        </is>
      </c>
      <c r="H1321" t="inlineStr">
        <is>
          <t>BBC</t>
        </is>
      </c>
      <c r="I1321" t="inlineStr">
        <is>
          <t>4000A</t>
        </is>
      </c>
      <c r="J1321" t="inlineStr">
        <is>
          <t>BERNARDEAU</t>
        </is>
      </c>
      <c r="K1321" t="inlineStr">
        <is>
          <t>CUIVRE</t>
        </is>
      </c>
      <c r="L1321">
        <f>_xlfn.XLOOKUP(Tableau1[[#This Row],[TYPE DE PIECE]],Tableau4[MATIERE],Tableau4[SHORT TYPE],"",0,1)</f>
        <v/>
      </c>
      <c r="N1321">
        <f>IF(ISERR(FIND("DECOUPE",Tableau1[[#This Row],[DESIGNATION]])),"","NEED REF")</f>
        <v/>
      </c>
    </row>
    <row r="1322">
      <c r="B1322" t="n">
        <v>34412679</v>
      </c>
      <c r="C1322" s="2" t="n">
        <v>45464</v>
      </c>
      <c r="D1322" t="inlineStr">
        <is>
          <t>SPEC</t>
        </is>
      </c>
      <c r="E1322" t="inlineStr">
        <is>
          <t>COP CUIVRE NW40DC</t>
        </is>
      </c>
      <c r="G1322" t="inlineStr">
        <is>
          <t>GVX</t>
        </is>
      </c>
      <c r="H1322" t="inlineStr">
        <is>
          <t>BBC</t>
        </is>
      </c>
      <c r="I1322" t="inlineStr">
        <is>
          <t>4000A</t>
        </is>
      </c>
      <c r="J1322" t="inlineStr">
        <is>
          <t>BERNARDEAU</t>
        </is>
      </c>
      <c r="K1322" t="inlineStr">
        <is>
          <t>CUIVRE</t>
        </is>
      </c>
      <c r="L1322">
        <f>_xlfn.XLOOKUP(Tableau1[[#This Row],[TYPE DE PIECE]],Tableau4[MATIERE],Tableau4[SHORT TYPE],"",0,1)</f>
        <v/>
      </c>
      <c r="N1322">
        <f>IF(ISERR(FIND("DECOUPE",Tableau1[[#This Row],[DESIGNATION]])),"","NEED REF")</f>
        <v/>
      </c>
    </row>
    <row r="1323">
      <c r="B1323" t="n">
        <v>34412678</v>
      </c>
      <c r="C1323" s="2" t="n">
        <v>45464</v>
      </c>
      <c r="D1323" t="inlineStr">
        <is>
          <t>SPEC</t>
        </is>
      </c>
      <c r="E1323" t="inlineStr">
        <is>
          <t>COP CUIVRE NW40DC</t>
        </is>
      </c>
      <c r="G1323" t="inlineStr">
        <is>
          <t>GVX</t>
        </is>
      </c>
      <c r="H1323" t="inlineStr">
        <is>
          <t>BBC</t>
        </is>
      </c>
      <c r="I1323" t="inlineStr">
        <is>
          <t>4000A</t>
        </is>
      </c>
      <c r="J1323" t="inlineStr">
        <is>
          <t>BERNARDEAU</t>
        </is>
      </c>
      <c r="K1323" t="inlineStr">
        <is>
          <t>CUIVRE</t>
        </is>
      </c>
      <c r="L1323">
        <f>_xlfn.XLOOKUP(Tableau1[[#This Row],[TYPE DE PIECE]],Tableau4[MATIERE],Tableau4[SHORT TYPE],"",0,1)</f>
        <v/>
      </c>
      <c r="N1323">
        <f>IF(ISERR(FIND("DECOUPE",Tableau1[[#This Row],[DESIGNATION]])),"","NEED REF")</f>
        <v/>
      </c>
    </row>
    <row r="1324">
      <c r="B1324" t="n">
        <v>34412677</v>
      </c>
      <c r="C1324" s="2" t="n">
        <v>45464</v>
      </c>
      <c r="D1324" t="inlineStr">
        <is>
          <t>SPEC</t>
        </is>
      </c>
      <c r="E1324">
        <f>_xlfn.CONCAT(Tableau1[[#This Row],[SHORT TYPE]]," ",Tableau1[[#This Row],[NUMERO]]," ",Tableau1[[#This Row],[GAMME]]," ",Tableau1[[#This Row],[TYPE PRODUIT]]," ",Tableau1[[#This Row],[PUISSANCE]])</f>
        <v/>
      </c>
      <c r="G1324" t="inlineStr">
        <is>
          <t>GVX</t>
        </is>
      </c>
      <c r="H1324" t="inlineStr">
        <is>
          <t>BBC</t>
        </is>
      </c>
      <c r="I1324" t="inlineStr">
        <is>
          <t>4000A</t>
        </is>
      </c>
      <c r="J1324" t="inlineStr">
        <is>
          <t>MATRION</t>
        </is>
      </c>
      <c r="K1324" t="inlineStr">
        <is>
          <t>METAL</t>
        </is>
      </c>
      <c r="L1324">
        <f>_xlfn.XLOOKUP(Tableau1[[#This Row],[TYPE DE PIECE]],Tableau4[MATIERE],Tableau4[SHORT TYPE],"",0,1)</f>
        <v/>
      </c>
      <c r="N1324">
        <f>IF(ISERR(FIND("DECOUPE",Tableau1[[#This Row],[DESIGNATION]])),"","NEED REF")</f>
        <v/>
      </c>
    </row>
    <row r="1325">
      <c r="B1325" t="n">
        <v>34412676</v>
      </c>
      <c r="C1325" s="2" t="n">
        <v>45464</v>
      </c>
      <c r="D1325" t="inlineStr">
        <is>
          <t>SPEC</t>
        </is>
      </c>
      <c r="E1325">
        <f>_xlfn.CONCAT(Tableau1[[#This Row],[SHORT TYPE]]," ",Tableau1[[#This Row],[NUMERO]]," ",Tableau1[[#This Row],[GAMME]]," ",Tableau1[[#This Row],[TYPE PRODUIT]]," ",Tableau1[[#This Row],[PUISSANCE]])</f>
        <v/>
      </c>
      <c r="G1325" t="inlineStr">
        <is>
          <t>GVX</t>
        </is>
      </c>
      <c r="H1325" t="inlineStr">
        <is>
          <t>BBC</t>
        </is>
      </c>
      <c r="I1325" t="inlineStr">
        <is>
          <t>4000A</t>
        </is>
      </c>
      <c r="J1325" t="inlineStr">
        <is>
          <t>MATRION</t>
        </is>
      </c>
      <c r="K1325" t="inlineStr">
        <is>
          <t>METAL</t>
        </is>
      </c>
      <c r="L1325">
        <f>_xlfn.XLOOKUP(Tableau1[[#This Row],[TYPE DE PIECE]],Tableau4[MATIERE],Tableau4[SHORT TYPE],"",0,1)</f>
        <v/>
      </c>
      <c r="N1325">
        <f>IF(ISERR(FIND("DECOUPE",Tableau1[[#This Row],[DESIGNATION]])),"","NEED REF")</f>
        <v/>
      </c>
    </row>
    <row r="1326">
      <c r="B1326" t="n">
        <v>34412675</v>
      </c>
      <c r="C1326" s="2" t="n">
        <v>45464</v>
      </c>
      <c r="D1326" t="inlineStr">
        <is>
          <t>SPEC</t>
        </is>
      </c>
      <c r="E1326" t="inlineStr">
        <is>
          <t xml:space="preserve">COP BARRE PE 100X10 </t>
        </is>
      </c>
      <c r="G1326" t="inlineStr">
        <is>
          <t>GVX</t>
        </is>
      </c>
      <c r="H1326" t="inlineStr">
        <is>
          <t>BBC</t>
        </is>
      </c>
      <c r="I1326" t="inlineStr">
        <is>
          <t>4000A</t>
        </is>
      </c>
      <c r="J1326" t="inlineStr">
        <is>
          <t>BERNARDEAU</t>
        </is>
      </c>
      <c r="K1326" t="inlineStr">
        <is>
          <t>CUIVRE</t>
        </is>
      </c>
      <c r="L1326">
        <f>_xlfn.XLOOKUP(Tableau1[[#This Row],[TYPE DE PIECE]],Tableau4[MATIERE],Tableau4[SHORT TYPE],"",0,1)</f>
        <v/>
      </c>
      <c r="N1326">
        <f>IF(ISERR(FIND("DECOUPE",Tableau1[[#This Row],[DESIGNATION]])),"","NEED REF")</f>
        <v/>
      </c>
    </row>
    <row r="1327">
      <c r="B1327" t="n">
        <v>34412674</v>
      </c>
      <c r="C1327" s="2" t="n">
        <v>45464</v>
      </c>
      <c r="D1327" t="inlineStr">
        <is>
          <t>SPEC</t>
        </is>
      </c>
      <c r="E1327" t="inlineStr">
        <is>
          <t>COP 34412674 GVX BBC 4000A PLATINE 8xNSX630</t>
        </is>
      </c>
      <c r="G1327" t="inlineStr">
        <is>
          <t>GVX</t>
        </is>
      </c>
      <c r="H1327" t="inlineStr">
        <is>
          <t>BBC</t>
        </is>
      </c>
      <c r="I1327" t="inlineStr">
        <is>
          <t>4000A</t>
        </is>
      </c>
      <c r="J1327" t="inlineStr">
        <is>
          <t>MATRION</t>
        </is>
      </c>
      <c r="K1327" t="inlineStr">
        <is>
          <t>CUIVRE</t>
        </is>
      </c>
      <c r="L1327">
        <f>_xlfn.XLOOKUP(Tableau1[[#This Row],[TYPE DE PIECE]],Tableau4[MATIERE],Tableau4[SHORT TYPE],"",0,1)</f>
        <v/>
      </c>
      <c r="N1327">
        <f>IF(ISERR(FIND("DECOUPE",Tableau1[[#This Row],[DESIGNATION]])),"","NEED REF")</f>
        <v/>
      </c>
    </row>
    <row r="1328">
      <c r="B1328" t="n">
        <v>34412673</v>
      </c>
      <c r="C1328" s="2" t="n">
        <v>45463</v>
      </c>
      <c r="D1328" t="inlineStr">
        <is>
          <t>SPEC</t>
        </is>
      </c>
      <c r="E1328" t="inlineStr">
        <is>
          <t>COP CUIVRE NW40DC</t>
        </is>
      </c>
      <c r="J1328" t="inlineStr">
        <is>
          <t>BERNARDEAU</t>
        </is>
      </c>
      <c r="L1328">
        <f>_xlfn.XLOOKUP(Tableau1[[#This Row],[TYPE DE PIECE]],Tableau4[MATIERE],Tableau4[SHORT TYPE],"",0,1)</f>
        <v/>
      </c>
      <c r="N1328">
        <f>IF(ISERR(FIND("DECOUPE",Tableau1[[#This Row],[DESIGNATION]])),"","NEED REF")</f>
        <v/>
      </c>
    </row>
    <row r="1329">
      <c r="B1329" t="n">
        <v>34412672</v>
      </c>
      <c r="C1329" s="2" t="n">
        <v>45463</v>
      </c>
      <c r="D1329" t="inlineStr">
        <is>
          <t>SPEC</t>
        </is>
      </c>
      <c r="E1329" t="inlineStr">
        <is>
          <t>COP CUIVRE BBK</t>
        </is>
      </c>
      <c r="J1329" t="inlineStr">
        <is>
          <t>BERNARDEAU</t>
        </is>
      </c>
      <c r="K1329" t="inlineStr">
        <is>
          <t>CUIVRE</t>
        </is>
      </c>
      <c r="L1329">
        <f>_xlfn.XLOOKUP(Tableau1[[#This Row],[TYPE DE PIECE]],Tableau4[MATIERE],Tableau4[SHORT TYPE],"",0,1)</f>
        <v/>
      </c>
      <c r="N1329">
        <f>IF(ISERR(FIND("DECOUPE",Tableau1[[#This Row],[DESIGNATION]])),"","NEED REF")</f>
        <v/>
      </c>
    </row>
    <row r="1330">
      <c r="B1330" t="n">
        <v>34412671</v>
      </c>
      <c r="C1330" s="2" t="n">
        <v>45463</v>
      </c>
      <c r="D1330" t="inlineStr">
        <is>
          <t>SPEC</t>
        </is>
      </c>
      <c r="J1330" t="inlineStr">
        <is>
          <t>BERNARDEAU</t>
        </is>
      </c>
      <c r="K1330" t="inlineStr">
        <is>
          <t>CUIVRE</t>
        </is>
      </c>
      <c r="L1330">
        <f>_xlfn.XLOOKUP(Tableau1[[#This Row],[TYPE DE PIECE]],Tableau4[MATIERE],Tableau4[SHORT TYPE],"",0,1)</f>
        <v/>
      </c>
      <c r="N1330">
        <f>IF(ISERR(FIND("DECOUPE",Tableau1[[#This Row],[DESIGNATION]])),"","NEED REF")</f>
        <v/>
      </c>
    </row>
    <row r="1331">
      <c r="B1331" t="n">
        <v>34412670</v>
      </c>
      <c r="C1331" s="2" t="n">
        <v>45461</v>
      </c>
      <c r="D1331" t="inlineStr">
        <is>
          <t>SPEC</t>
        </is>
      </c>
      <c r="J1331" t="inlineStr">
        <is>
          <t>JAWORSKI</t>
        </is>
      </c>
      <c r="L1331">
        <f>_xlfn.XLOOKUP(Tableau1[[#This Row],[TYPE DE PIECE]],Tableau4[MATIERE],Tableau4[SHORT TYPE],"",0,1)</f>
        <v/>
      </c>
      <c r="N1331">
        <f>IF(ISERR(FIND("DECOUPE",Tableau1[[#This Row],[DESIGNATION]])),"","NEED REF")</f>
        <v/>
      </c>
    </row>
    <row r="1332">
      <c r="B1332" t="n">
        <v>34412669</v>
      </c>
      <c r="C1332" s="2" t="n">
        <v>45461</v>
      </c>
      <c r="D1332" t="inlineStr">
        <is>
          <t>SPEC</t>
        </is>
      </c>
      <c r="E1332" t="inlineStr">
        <is>
          <t>SMT =S= OUTPUT AND BATT ROOT 2</t>
        </is>
      </c>
      <c r="F1332" t="inlineStr">
        <is>
          <t>FOXWAY</t>
        </is>
      </c>
      <c r="G1332" t="inlineStr">
        <is>
          <t>GVX</t>
        </is>
      </c>
      <c r="H1332" t="inlineStr">
        <is>
          <t>IO1250</t>
        </is>
      </c>
      <c r="I1332" t="inlineStr">
        <is>
          <t>1250KVA</t>
        </is>
      </c>
      <c r="J1332" t="inlineStr">
        <is>
          <t>JAWORSKI</t>
        </is>
      </c>
      <c r="K1332" t="inlineStr">
        <is>
          <t>METAL</t>
        </is>
      </c>
      <c r="L1332">
        <f>_xlfn.XLOOKUP(Tableau1[[#This Row],[TYPE DE PIECE]],Tableau4[MATIERE],Tableau4[SHORT TYPE],"",0,1)</f>
        <v/>
      </c>
      <c r="N1332">
        <f>IF(ISERR(FIND("DECOUPE",Tableau1[[#This Row],[DESIGNATION]])),"","NEED REF")</f>
        <v/>
      </c>
    </row>
    <row r="1333">
      <c r="B1333" t="n">
        <v>34412668</v>
      </c>
      <c r="C1333" s="2" t="n">
        <v>45461</v>
      </c>
      <c r="D1333" t="inlineStr">
        <is>
          <t>SPEC</t>
        </is>
      </c>
      <c r="E1333" t="inlineStr">
        <is>
          <t>SMT =S= OUTPUT AND BATT ROOT 1</t>
        </is>
      </c>
      <c r="F1333" t="inlineStr">
        <is>
          <t>FOXWAY</t>
        </is>
      </c>
      <c r="G1333" t="inlineStr">
        <is>
          <t>GVX</t>
        </is>
      </c>
      <c r="H1333" t="inlineStr">
        <is>
          <t>IO1250</t>
        </is>
      </c>
      <c r="I1333" t="inlineStr">
        <is>
          <t>1250KVA</t>
        </is>
      </c>
      <c r="J1333" t="inlineStr">
        <is>
          <t>JAWORSKI</t>
        </is>
      </c>
      <c r="K1333" t="inlineStr">
        <is>
          <t>METAL</t>
        </is>
      </c>
      <c r="L1333">
        <f>_xlfn.XLOOKUP(Tableau1[[#This Row],[TYPE DE PIECE]],Tableau4[MATIERE],Tableau4[SHORT TYPE],"",0,1)</f>
        <v/>
      </c>
      <c r="N1333">
        <f>IF(ISERR(FIND("DECOUPE",Tableau1[[#This Row],[DESIGNATION]])),"","NEED REF")</f>
        <v/>
      </c>
    </row>
    <row r="1334">
      <c r="B1334" t="n">
        <v>34412667</v>
      </c>
      <c r="C1334" s="2" t="n">
        <v>45461</v>
      </c>
      <c r="D1334" t="inlineStr">
        <is>
          <t>SPEC</t>
        </is>
      </c>
      <c r="E1334" t="inlineStr">
        <is>
          <t>PLA PLASTRON MAKROLON POWER TERMINAL</t>
        </is>
      </c>
      <c r="F1334" t="inlineStr">
        <is>
          <t>GSK BELGIUM</t>
        </is>
      </c>
      <c r="G1334" t="inlineStr">
        <is>
          <t>GVS</t>
        </is>
      </c>
      <c r="H1334" t="inlineStr">
        <is>
          <t>TFO CUBICLE</t>
        </is>
      </c>
      <c r="I1334" t="inlineStr">
        <is>
          <t>300KVA</t>
        </is>
      </c>
      <c r="J1334" t="inlineStr">
        <is>
          <t>JAWORSKI</t>
        </is>
      </c>
      <c r="K1334" t="inlineStr">
        <is>
          <t>PLASTIQUE</t>
        </is>
      </c>
      <c r="L1334">
        <f>_xlfn.XLOOKUP(Tableau1[[#This Row],[TYPE DE PIECE]],Tableau4[MATIERE],Tableau4[SHORT TYPE],"",0,1)</f>
        <v/>
      </c>
      <c r="N1334">
        <f>IF(ISERR(FIND("DECOUPE",Tableau1[[#This Row],[DESIGNATION]])),"","NEED REF")</f>
        <v/>
      </c>
    </row>
    <row r="1335">
      <c r="B1335" t="n">
        <v>34412666</v>
      </c>
      <c r="C1335" s="2" t="n">
        <v>45461</v>
      </c>
      <c r="D1335" t="inlineStr">
        <is>
          <t>SPEC</t>
        </is>
      </c>
      <c r="E1335" t="inlineStr">
        <is>
          <t>PLA PLASTRON MAKROLON NSX630 + VIGILOHM</t>
        </is>
      </c>
      <c r="F1335" t="inlineStr">
        <is>
          <t>GSK BELGIUM</t>
        </is>
      </c>
      <c r="G1335" t="inlineStr">
        <is>
          <t>GVS</t>
        </is>
      </c>
      <c r="H1335" t="inlineStr">
        <is>
          <t>TFO CUBICLE</t>
        </is>
      </c>
      <c r="I1335" t="inlineStr">
        <is>
          <t>300KVA</t>
        </is>
      </c>
      <c r="J1335" t="inlineStr">
        <is>
          <t>JAWORSKI</t>
        </is>
      </c>
      <c r="K1335" t="inlineStr">
        <is>
          <t>PLASTIQUE</t>
        </is>
      </c>
      <c r="L1335">
        <f>_xlfn.XLOOKUP(Tableau1[[#This Row],[TYPE DE PIECE]],Tableau4[MATIERE],Tableau4[SHORT TYPE],"",0,1)</f>
        <v/>
      </c>
      <c r="N1335">
        <f>IF(ISERR(FIND("DECOUPE",Tableau1[[#This Row],[DESIGNATION]])),"","NEED REF")</f>
        <v/>
      </c>
    </row>
    <row r="1336">
      <c r="B1336" t="n">
        <v>34412665</v>
      </c>
      <c r="C1336" s="2" t="n">
        <v>45461</v>
      </c>
      <c r="D1336" t="inlineStr">
        <is>
          <t>SPEC</t>
        </is>
      </c>
      <c r="E1336" t="inlineStr">
        <is>
          <t>PLA PLASTRON MAKROLON NSX250</t>
        </is>
      </c>
      <c r="F1336" t="inlineStr">
        <is>
          <t>GSK BELGIUM</t>
        </is>
      </c>
      <c r="G1336" t="inlineStr">
        <is>
          <t>GVS</t>
        </is>
      </c>
      <c r="H1336" t="inlineStr">
        <is>
          <t>TFO CUBICLE</t>
        </is>
      </c>
      <c r="I1336" t="inlineStr">
        <is>
          <t>300KVA</t>
        </is>
      </c>
      <c r="J1336" t="inlineStr">
        <is>
          <t>JAWORSKI</t>
        </is>
      </c>
      <c r="K1336" t="inlineStr">
        <is>
          <t>PLASTIQUE</t>
        </is>
      </c>
      <c r="L1336">
        <f>_xlfn.XLOOKUP(Tableau1[[#This Row],[TYPE DE PIECE]],Tableau4[MATIERE],Tableau4[SHORT TYPE],"",0,1)</f>
        <v/>
      </c>
      <c r="N1336">
        <f>IF(ISERR(FIND("DECOUPE",Tableau1[[#This Row],[DESIGNATION]])),"","NEED REF")</f>
        <v/>
      </c>
    </row>
    <row r="1337">
      <c r="B1337" t="n">
        <v>34412664</v>
      </c>
      <c r="C1337" s="2" t="n">
        <v>45461</v>
      </c>
      <c r="D1337" t="inlineStr">
        <is>
          <t>SPEC</t>
        </is>
      </c>
      <c r="E1337" t="inlineStr">
        <is>
          <t>PLA PLASTRON MAKROLON MONITORING</t>
        </is>
      </c>
      <c r="F1337" t="inlineStr">
        <is>
          <t>GSK BELGIUM</t>
        </is>
      </c>
      <c r="G1337" t="inlineStr">
        <is>
          <t>GVS</t>
        </is>
      </c>
      <c r="H1337" t="inlineStr">
        <is>
          <t>TFO CUBICLE</t>
        </is>
      </c>
      <c r="I1337" t="inlineStr">
        <is>
          <t>300KVA</t>
        </is>
      </c>
      <c r="J1337" t="inlineStr">
        <is>
          <t>JAWORSKI</t>
        </is>
      </c>
      <c r="K1337" t="inlineStr">
        <is>
          <t>PLASTIQUE</t>
        </is>
      </c>
      <c r="L1337">
        <f>_xlfn.XLOOKUP(Tableau1[[#This Row],[TYPE DE PIECE]],Tableau4[MATIERE],Tableau4[SHORT TYPE],"",0,1)</f>
        <v/>
      </c>
      <c r="N1337">
        <f>IF(ISERR(FIND("DECOUPE",Tableau1[[#This Row],[DESIGNATION]])),"","NEED REF")</f>
        <v/>
      </c>
    </row>
    <row r="1338">
      <c r="B1338" t="n">
        <v>34412663</v>
      </c>
      <c r="C1338" s="2" t="n">
        <v>45461</v>
      </c>
      <c r="D1338" t="inlineStr">
        <is>
          <t>SPEC</t>
        </is>
      </c>
      <c r="E1338" t="inlineStr">
        <is>
          <t>DECOUPE 34412663 BARRE CU 32*8 L585 LVS04174</t>
        </is>
      </c>
      <c r="F1338" t="inlineStr">
        <is>
          <t>GSK BELGIUM</t>
        </is>
      </c>
      <c r="G1338" t="inlineStr">
        <is>
          <t>GVS</t>
        </is>
      </c>
      <c r="H1338" t="inlineStr">
        <is>
          <t>TFO CUBICLE</t>
        </is>
      </c>
      <c r="I1338" t="inlineStr">
        <is>
          <t>300KVA</t>
        </is>
      </c>
      <c r="J1338" t="inlineStr">
        <is>
          <t>JAWORSKI</t>
        </is>
      </c>
      <c r="K1338" t="inlineStr">
        <is>
          <t>DECOUPE</t>
        </is>
      </c>
      <c r="L1338" t="inlineStr">
        <is>
          <t>ETO</t>
        </is>
      </c>
      <c r="N1338" t="inlineStr">
        <is>
          <t>LVS04174</t>
        </is>
      </c>
    </row>
    <row r="1339">
      <c r="B1339" t="n">
        <v>34412662</v>
      </c>
      <c r="C1339" s="2" t="n">
        <v>45461</v>
      </c>
      <c r="D1339" t="inlineStr">
        <is>
          <t>SPEC</t>
        </is>
      </c>
      <c r="E1339" t="inlineStr">
        <is>
          <t>SMT SUPPORT GOULOTTE 1000</t>
        </is>
      </c>
      <c r="F1339" t="inlineStr">
        <is>
          <t>GSK BELGIUM</t>
        </is>
      </c>
      <c r="G1339" t="inlineStr">
        <is>
          <t>GVS</t>
        </is>
      </c>
      <c r="H1339" t="inlineStr">
        <is>
          <t>TFO CUBICLE</t>
        </is>
      </c>
      <c r="I1339" t="inlineStr">
        <is>
          <t>300KVA</t>
        </is>
      </c>
      <c r="J1339" t="inlineStr">
        <is>
          <t>JAWORSKI</t>
        </is>
      </c>
      <c r="K1339" t="inlineStr">
        <is>
          <t>METAL</t>
        </is>
      </c>
      <c r="L1339">
        <f>_xlfn.XLOOKUP(Tableau1[[#This Row],[TYPE DE PIECE]],Tableau4[MATIERE],Tableau4[SHORT TYPE],"",0,1)</f>
        <v/>
      </c>
      <c r="N1339">
        <f>IF(ISERR(FIND("DECOUPE",Tableau1[[#This Row],[DESIGNATION]])),"","NEED REF")</f>
        <v/>
      </c>
    </row>
    <row r="1340">
      <c r="B1340" t="n">
        <v>34412661</v>
      </c>
      <c r="C1340" s="2" t="n">
        <v>45457</v>
      </c>
      <c r="D1340" t="inlineStr">
        <is>
          <t>SPEC</t>
        </is>
      </c>
      <c r="E1340">
        <f>_xlfn.CONCAT(Tableau1[[#This Row],[SHORT TYPE]]," ",Tableau1[[#This Row],[NUMERO]]," ",Tableau1[[#This Row],[GAMME]]," ",Tableau1[[#This Row],[TYPE PRODUIT]]," ",Tableau1[[#This Row],[PUISSANCE]])</f>
        <v/>
      </c>
      <c r="G1340" t="inlineStr">
        <is>
          <t>GVX</t>
        </is>
      </c>
      <c r="H1340" t="inlineStr">
        <is>
          <t>BBC</t>
        </is>
      </c>
      <c r="I1340" t="inlineStr">
        <is>
          <t>4000A</t>
        </is>
      </c>
      <c r="J1340" t="inlineStr">
        <is>
          <t>MATRION</t>
        </is>
      </c>
      <c r="K1340" t="inlineStr">
        <is>
          <t>FILERIE</t>
        </is>
      </c>
      <c r="L1340">
        <f>_xlfn.XLOOKUP(Tableau1[[#This Row],[TYPE DE PIECE]],Tableau4[MATIERE],Tableau4[SHORT TYPE],"",0,1)</f>
        <v/>
      </c>
      <c r="N1340">
        <f>IF(ISERR(FIND("DECOUPE",Tableau1[[#This Row],[DESIGNATION]])),"","NEED REF")</f>
        <v/>
      </c>
    </row>
    <row r="1341">
      <c r="B1341" t="n">
        <v>34412660</v>
      </c>
      <c r="C1341" s="2" t="n">
        <v>45457</v>
      </c>
      <c r="D1341" t="inlineStr">
        <is>
          <t>SPEC</t>
        </is>
      </c>
      <c r="E1341" t="inlineStr">
        <is>
          <t>SMT 30 TOITS STS SFN 700x800 SAREL GRILLAGE_154590</t>
        </is>
      </c>
      <c r="F1341" t="inlineStr">
        <is>
          <t>STS 100 à 630A</t>
        </is>
      </c>
      <c r="H1341" t="inlineStr">
        <is>
          <t>STS STD</t>
        </is>
      </c>
      <c r="I1341" t="inlineStr">
        <is>
          <t>100 à 630A</t>
        </is>
      </c>
      <c r="J1341" t="inlineStr">
        <is>
          <t>MONGELLI</t>
        </is>
      </c>
      <c r="L1341">
        <f>_xlfn.XLOOKUP(Tableau1[[#This Row],[TYPE DE PIECE]],Tableau4[MATIERE],Tableau4[SHORT TYPE],"",0,1)</f>
        <v/>
      </c>
      <c r="N1341">
        <f>IF(ISERR(FIND("DECOUPE",Tableau1[[#This Row],[DESIGNATION]])),"","NEED REF")</f>
        <v/>
      </c>
    </row>
    <row r="1342">
      <c r="B1342" t="n">
        <v>34412659</v>
      </c>
      <c r="C1342" s="2" t="n">
        <v>45457</v>
      </c>
      <c r="D1342" t="inlineStr">
        <is>
          <t>SPEC</t>
        </is>
      </c>
      <c r="E1342" t="inlineStr">
        <is>
          <t>SMT 30 TOIT STS SFN 100-250 SAREL PE_154574</t>
        </is>
      </c>
      <c r="F1342" t="inlineStr">
        <is>
          <t>STS 100 à 630A</t>
        </is>
      </c>
      <c r="H1342" t="inlineStr">
        <is>
          <t>STS STD</t>
        </is>
      </c>
      <c r="I1342" t="inlineStr">
        <is>
          <t>100 à 630A</t>
        </is>
      </c>
      <c r="J1342" t="inlineStr">
        <is>
          <t>MONGELLI</t>
        </is>
      </c>
      <c r="L1342">
        <f>_xlfn.XLOOKUP(Tableau1[[#This Row],[TYPE DE PIECE]],Tableau4[MATIERE],Tableau4[SHORT TYPE],"",0,1)</f>
        <v/>
      </c>
      <c r="N1342">
        <f>IF(ISERR(FIND("DECOUPE",Tableau1[[#This Row],[DESIGNATION]])),"","NEED REF")</f>
        <v/>
      </c>
    </row>
    <row r="1343">
      <c r="B1343" t="n">
        <v>34412658</v>
      </c>
      <c r="C1343" s="2" t="n">
        <v>45457</v>
      </c>
      <c r="D1343" t="inlineStr">
        <is>
          <t>SPEC</t>
        </is>
      </c>
      <c r="E1343" t="inlineStr">
        <is>
          <t>30 Panneaux AR SAREL SFN -STS Std 100-630A - 124065</t>
        </is>
      </c>
      <c r="F1343" t="inlineStr">
        <is>
          <t>STS 100 à 630A</t>
        </is>
      </c>
      <c r="H1343" t="inlineStr">
        <is>
          <t>STS STD</t>
        </is>
      </c>
      <c r="I1343" t="inlineStr">
        <is>
          <t>100 à 630A</t>
        </is>
      </c>
      <c r="J1343" t="inlineStr">
        <is>
          <t>MONGELLI</t>
        </is>
      </c>
      <c r="L1343">
        <f>_xlfn.XLOOKUP(Tableau1[[#This Row],[TYPE DE PIECE]],Tableau4[MATIERE],Tableau4[SHORT TYPE],"",0,1)</f>
        <v/>
      </c>
      <c r="N1343">
        <f>IF(ISERR(FIND("DECOUPE",Tableau1[[#This Row],[DESIGNATION]])),"","NEED REF")</f>
        <v/>
      </c>
    </row>
    <row r="1344">
      <c r="B1344" t="n">
        <v>34412657</v>
      </c>
      <c r="C1344" s="2" t="n">
        <v>45457</v>
      </c>
      <c r="D1344" t="inlineStr">
        <is>
          <t>SPEC</t>
        </is>
      </c>
      <c r="E1344" t="inlineStr">
        <is>
          <t>30 Panneaux LAT SAREL SFN -STS Std 100-630A - 124010</t>
        </is>
      </c>
      <c r="F1344" t="inlineStr">
        <is>
          <t>STS 100 à 630A</t>
        </is>
      </c>
      <c r="H1344" t="inlineStr">
        <is>
          <t>STS STD</t>
        </is>
      </c>
      <c r="I1344" t="inlineStr">
        <is>
          <t>100 à 630A</t>
        </is>
      </c>
      <c r="J1344" t="inlineStr">
        <is>
          <t>MONGELLI</t>
        </is>
      </c>
      <c r="L1344">
        <f>_xlfn.XLOOKUP(Tableau1[[#This Row],[TYPE DE PIECE]],Tableau4[MATIERE],Tableau4[SHORT TYPE],"",0,1)</f>
        <v/>
      </c>
      <c r="N1344">
        <f>IF(ISERR(FIND("DECOUPE",Tableau1[[#This Row],[DESIGNATION]])),"","NEED REF")</f>
        <v/>
      </c>
    </row>
    <row r="1345">
      <c r="B1345" t="n">
        <v>34412656</v>
      </c>
      <c r="C1345" s="2" t="n">
        <v>45457</v>
      </c>
      <c r="D1345" t="inlineStr">
        <is>
          <t>SPEC</t>
        </is>
      </c>
      <c r="E1345" t="inlineStr">
        <is>
          <t>SAREL SFN SMT PORTE STS 1800x700 - 123931</t>
        </is>
      </c>
      <c r="F1345" t="inlineStr">
        <is>
          <t>STS 100 à 630A</t>
        </is>
      </c>
      <c r="H1345" t="inlineStr">
        <is>
          <t>STS STD</t>
        </is>
      </c>
      <c r="I1345" t="inlineStr">
        <is>
          <t>100 à 630A</t>
        </is>
      </c>
      <c r="J1345" t="inlineStr">
        <is>
          <t>MONGELLI</t>
        </is>
      </c>
      <c r="L1345">
        <f>_xlfn.XLOOKUP(Tableau1[[#This Row],[TYPE DE PIECE]],Tableau4[MATIERE],Tableau4[SHORT TYPE],"",0,1)</f>
        <v/>
      </c>
      <c r="N1345">
        <f>IF(ISERR(FIND("DECOUPE",Tableau1[[#This Row],[DESIGNATION]])),"","NEED REF")</f>
        <v/>
      </c>
    </row>
    <row r="1346">
      <c r="B1346" t="n">
        <v>34412655</v>
      </c>
      <c r="C1346" s="2" t="n">
        <v>45457</v>
      </c>
      <c r="D1346" t="inlineStr">
        <is>
          <t>SPEC</t>
        </is>
      </c>
      <c r="E1346" t="inlineStr">
        <is>
          <t>SAREL SFN-H1900xL700xP800-STS Std - 122588</t>
        </is>
      </c>
      <c r="F1346" t="inlineStr">
        <is>
          <t>STS 100 à 630A</t>
        </is>
      </c>
      <c r="H1346" t="inlineStr">
        <is>
          <t>STS STD</t>
        </is>
      </c>
      <c r="I1346" t="inlineStr">
        <is>
          <t>100 à 630A</t>
        </is>
      </c>
      <c r="J1346" t="inlineStr">
        <is>
          <t>MONGELLI</t>
        </is>
      </c>
      <c r="L1346">
        <f>_xlfn.XLOOKUP(Tableau1[[#This Row],[TYPE DE PIECE]],Tableau4[MATIERE],Tableau4[SHORT TYPE],"",0,1)</f>
        <v/>
      </c>
      <c r="N1346">
        <f>IF(ISERR(FIND("DECOUPE",Tableau1[[#This Row],[DESIGNATION]])),"","NEED REF")</f>
        <v/>
      </c>
    </row>
    <row r="1347">
      <c r="B1347" t="n">
        <v>34412654</v>
      </c>
      <c r="C1347" s="2" t="n">
        <v>45456</v>
      </c>
      <c r="D1347" t="inlineStr">
        <is>
          <t>SPEC</t>
        </is>
      </c>
      <c r="E1347" t="inlineStr">
        <is>
          <t>SMT SUPPORT IMD-IM400</t>
        </is>
      </c>
      <c r="F1347" t="inlineStr">
        <is>
          <t>GSK BELGIUM</t>
        </is>
      </c>
      <c r="G1347" t="inlineStr">
        <is>
          <t>GVS</t>
        </is>
      </c>
      <c r="H1347" t="inlineStr">
        <is>
          <t>TFO CUBICLE</t>
        </is>
      </c>
      <c r="I1347" t="inlineStr">
        <is>
          <t>300KVA</t>
        </is>
      </c>
      <c r="J1347" t="inlineStr">
        <is>
          <t>JAWORSKI</t>
        </is>
      </c>
      <c r="K1347" t="inlineStr">
        <is>
          <t>METAL</t>
        </is>
      </c>
      <c r="L1347">
        <f>_xlfn.XLOOKUP(Tableau1[[#This Row],[TYPE DE PIECE]],Tableau4[MATIERE],Tableau4[SHORT TYPE],"",0,1)</f>
        <v/>
      </c>
      <c r="N1347">
        <f>IF(ISERR(FIND("DECOUPE",Tableau1[[#This Row],[DESIGNATION]])),"","NEED REF")</f>
        <v/>
      </c>
    </row>
    <row r="1348">
      <c r="B1348" t="n">
        <v>34412653</v>
      </c>
      <c r="C1348" s="2" t="n">
        <v>45456</v>
      </c>
      <c r="D1348" t="inlineStr">
        <is>
          <t>SPEC</t>
        </is>
      </c>
      <c r="E1348" t="inlineStr">
        <is>
          <t>SMT PLATINE NSX630 + IMD-IM400</t>
        </is>
      </c>
      <c r="F1348" t="inlineStr">
        <is>
          <t>GSK BELGIUM</t>
        </is>
      </c>
      <c r="G1348" t="inlineStr">
        <is>
          <t>GVS</t>
        </is>
      </c>
      <c r="H1348" t="inlineStr">
        <is>
          <t>TFO CUBICLE</t>
        </is>
      </c>
      <c r="I1348" t="inlineStr">
        <is>
          <t>300KVA</t>
        </is>
      </c>
      <c r="J1348" t="inlineStr">
        <is>
          <t>JAWORSKI</t>
        </is>
      </c>
      <c r="K1348" t="inlineStr">
        <is>
          <t>METAL</t>
        </is>
      </c>
      <c r="L1348">
        <f>_xlfn.XLOOKUP(Tableau1[[#This Row],[TYPE DE PIECE]],Tableau4[MATIERE],Tableau4[SHORT TYPE],"",0,1)</f>
        <v/>
      </c>
      <c r="N1348">
        <f>IF(ISERR(FIND("DECOUPE",Tableau1[[#This Row],[DESIGNATION]])),"","NEED REF")</f>
        <v/>
      </c>
    </row>
    <row r="1349">
      <c r="B1349" t="n">
        <v>34412652</v>
      </c>
      <c r="C1349" s="2" t="n">
        <v>45456</v>
      </c>
      <c r="D1349" t="inlineStr">
        <is>
          <t>SPEC</t>
        </is>
      </c>
      <c r="E1349" t="inlineStr">
        <is>
          <t>SMT EQUERRE BARRE DE TERRE</t>
        </is>
      </c>
      <c r="F1349" t="inlineStr">
        <is>
          <t>GSK BELGIUM</t>
        </is>
      </c>
      <c r="G1349" t="inlineStr">
        <is>
          <t>GVS</t>
        </is>
      </c>
      <c r="H1349" t="inlineStr">
        <is>
          <t>TFO CUBICLE</t>
        </is>
      </c>
      <c r="I1349" t="inlineStr">
        <is>
          <t>300KVA</t>
        </is>
      </c>
      <c r="J1349" t="inlineStr">
        <is>
          <t>JAWORSKI</t>
        </is>
      </c>
      <c r="K1349" t="inlineStr">
        <is>
          <t>METAL</t>
        </is>
      </c>
      <c r="L1349">
        <f>_xlfn.XLOOKUP(Tableau1[[#This Row],[TYPE DE PIECE]],Tableau4[MATIERE],Tableau4[SHORT TYPE],"",0,1)</f>
        <v/>
      </c>
      <c r="N1349">
        <f>IF(ISERR(FIND("DECOUPE",Tableau1[[#This Row],[DESIGNATION]])),"","NEED REF")</f>
        <v/>
      </c>
    </row>
    <row r="1350">
      <c r="B1350" t="n">
        <v>34412651</v>
      </c>
      <c r="C1350" s="2" t="n">
        <v>45456</v>
      </c>
      <c r="D1350" t="inlineStr">
        <is>
          <t>SPEC</t>
        </is>
      </c>
      <c r="E1350" t="inlineStr">
        <is>
          <t>SMT RENFORT DE STRUCTURE BIRDY 1000</t>
        </is>
      </c>
      <c r="F1350" t="inlineStr">
        <is>
          <t>GSK BELGIUM</t>
        </is>
      </c>
      <c r="G1350" t="inlineStr">
        <is>
          <t>GVS</t>
        </is>
      </c>
      <c r="H1350" t="inlineStr">
        <is>
          <t>TFO CUBICLE</t>
        </is>
      </c>
      <c r="I1350" t="inlineStr">
        <is>
          <t>300KVA</t>
        </is>
      </c>
      <c r="J1350" t="inlineStr">
        <is>
          <t>JAWORSKI</t>
        </is>
      </c>
      <c r="K1350" t="inlineStr">
        <is>
          <t>METAL</t>
        </is>
      </c>
      <c r="L1350">
        <f>_xlfn.XLOOKUP(Tableau1[[#This Row],[TYPE DE PIECE]],Tableau4[MATIERE],Tableau4[SHORT TYPE],"",0,1)</f>
        <v/>
      </c>
      <c r="N1350">
        <f>IF(ISERR(FIND("DECOUPE",Tableau1[[#This Row],[DESIGNATION]])),"","NEED REF")</f>
        <v/>
      </c>
    </row>
    <row r="1351">
      <c r="B1351" t="n">
        <v>34412650</v>
      </c>
      <c r="C1351" s="2" t="n">
        <v>45456</v>
      </c>
      <c r="D1351" t="inlineStr">
        <is>
          <t>SPEC</t>
        </is>
      </c>
      <c r="E1351" t="inlineStr">
        <is>
          <t>SMT TRAVERSE 1000 CHASSIS TRANSFO</t>
        </is>
      </c>
      <c r="F1351" t="inlineStr">
        <is>
          <t>GSK BELGIUM</t>
        </is>
      </c>
      <c r="G1351" t="inlineStr">
        <is>
          <t>GVS</t>
        </is>
      </c>
      <c r="H1351" t="inlineStr">
        <is>
          <t>TFO CUBICLE</t>
        </is>
      </c>
      <c r="I1351" t="inlineStr">
        <is>
          <t>300KVA</t>
        </is>
      </c>
      <c r="J1351" t="inlineStr">
        <is>
          <t>JAWORSKI</t>
        </is>
      </c>
      <c r="K1351" t="inlineStr">
        <is>
          <t>METAL</t>
        </is>
      </c>
      <c r="L1351">
        <f>_xlfn.XLOOKUP(Tableau1[[#This Row],[TYPE DE PIECE]],Tableau4[MATIERE],Tableau4[SHORT TYPE],"",0,1)</f>
        <v/>
      </c>
      <c r="N1351">
        <f>IF(ISERR(FIND("DECOUPE",Tableau1[[#This Row],[DESIGNATION]])),"","NEED REF")</f>
        <v/>
      </c>
    </row>
    <row r="1352">
      <c r="B1352" t="n">
        <v>34412649</v>
      </c>
      <c r="C1352" s="2" t="n">
        <v>45456</v>
      </c>
      <c r="D1352" t="inlineStr">
        <is>
          <t>SPEC</t>
        </is>
      </c>
      <c r="E1352" t="inlineStr">
        <is>
          <t>SMT TRAVERSE 1000 G/D RENFORT CHASSIS</t>
        </is>
      </c>
      <c r="F1352" t="inlineStr">
        <is>
          <t>GSK BELGIUM</t>
        </is>
      </c>
      <c r="G1352" t="inlineStr">
        <is>
          <t>GVS</t>
        </is>
      </c>
      <c r="H1352" t="inlineStr">
        <is>
          <t>TFO CUBICLE</t>
        </is>
      </c>
      <c r="I1352" t="inlineStr">
        <is>
          <t>300KVA</t>
        </is>
      </c>
      <c r="J1352" t="inlineStr">
        <is>
          <t>JAWORSKI</t>
        </is>
      </c>
      <c r="K1352" t="inlineStr">
        <is>
          <t>METAL</t>
        </is>
      </c>
      <c r="L1352">
        <f>_xlfn.XLOOKUP(Tableau1[[#This Row],[TYPE DE PIECE]],Tableau4[MATIERE],Tableau4[SHORT TYPE],"",0,1)</f>
        <v/>
      </c>
      <c r="N1352">
        <f>IF(ISERR(FIND("DECOUPE",Tableau1[[#This Row],[DESIGNATION]])),"","NEED REF")</f>
        <v/>
      </c>
    </row>
    <row r="1353">
      <c r="B1353" t="n">
        <v>34412648</v>
      </c>
      <c r="C1353" s="2" t="n">
        <v>45456</v>
      </c>
      <c r="D1353" t="inlineStr">
        <is>
          <t>SPEC</t>
        </is>
      </c>
      <c r="E1353">
        <f>_xlfn.CONCAT(Tableau1[[#This Row],[SHORT TYPE]]," ",Tableau1[[#This Row],[NUMERO]]," ",Tableau1[[#This Row],[GAMME]]," ",Tableau1[[#This Row],[TYPE PRODUIT]]," ",Tableau1[[#This Row],[PUISSANCE]])</f>
        <v/>
      </c>
      <c r="G1353" t="inlineStr">
        <is>
          <t>GVX</t>
        </is>
      </c>
      <c r="H1353" t="inlineStr">
        <is>
          <t>BBC</t>
        </is>
      </c>
      <c r="I1353" t="inlineStr">
        <is>
          <t>4000A</t>
        </is>
      </c>
      <c r="J1353" t="inlineStr">
        <is>
          <t>MATRION</t>
        </is>
      </c>
      <c r="K1353" t="inlineStr">
        <is>
          <t>METAL</t>
        </is>
      </c>
      <c r="L1353">
        <f>_xlfn.XLOOKUP(Tableau1[[#This Row],[TYPE DE PIECE]],Tableau4[MATIERE],Tableau4[SHORT TYPE],"",0,1)</f>
        <v/>
      </c>
      <c r="N1353">
        <f>IF(ISERR(FIND("DECOUPE",Tableau1[[#This Row],[DESIGNATION]])),"","NEED REF")</f>
        <v/>
      </c>
    </row>
    <row r="1354">
      <c r="B1354" t="n">
        <v>34412647</v>
      </c>
      <c r="C1354" s="2" t="n">
        <v>45455</v>
      </c>
      <c r="D1354" t="inlineStr">
        <is>
          <t>SPEC</t>
        </is>
      </c>
      <c r="E1354" t="inlineStr">
        <is>
          <t>COP CUIVRE NW40DC</t>
        </is>
      </c>
      <c r="J1354" t="inlineStr">
        <is>
          <t>BERNARDEAU</t>
        </is>
      </c>
      <c r="K1354" t="inlineStr">
        <is>
          <t>CUIVRE</t>
        </is>
      </c>
      <c r="L1354">
        <f>_xlfn.XLOOKUP(Tableau1[[#This Row],[TYPE DE PIECE]],Tableau4[MATIERE],Tableau4[SHORT TYPE],"",0,1)</f>
        <v/>
      </c>
      <c r="N1354">
        <f>IF(ISERR(FIND("DECOUPE",Tableau1[[#This Row],[DESIGNATION]])),"","NEED REF")</f>
        <v/>
      </c>
    </row>
    <row r="1355">
      <c r="B1355" t="n">
        <v>34412646</v>
      </c>
      <c r="C1355" s="2" t="n">
        <v>45455</v>
      </c>
      <c r="D1355" t="inlineStr">
        <is>
          <t>SPEC</t>
        </is>
      </c>
      <c r="E1355">
        <f>_xlfn.CONCAT(Tableau1[[#This Row],[SHORT TYPE]]," ",Tableau1[[#This Row],[NUMERO]]," ",Tableau1[[#This Row],[GAMME]]," ",Tableau1[[#This Row],[TYPE PRODUIT]]," ",Tableau1[[#This Row],[PUISSANCE]])</f>
        <v/>
      </c>
      <c r="G1355" t="inlineStr">
        <is>
          <t>GVX</t>
        </is>
      </c>
      <c r="H1355" t="inlineStr">
        <is>
          <t>BBC</t>
        </is>
      </c>
      <c r="I1355" t="inlineStr">
        <is>
          <t>4000A</t>
        </is>
      </c>
      <c r="J1355" t="inlineStr">
        <is>
          <t>MATRION</t>
        </is>
      </c>
      <c r="K1355" t="inlineStr">
        <is>
          <t>METAL</t>
        </is>
      </c>
      <c r="L1355">
        <f>_xlfn.XLOOKUP(Tableau1[[#This Row],[TYPE DE PIECE]],Tableau4[MATIERE],Tableau4[SHORT TYPE],"",0,1)</f>
        <v/>
      </c>
      <c r="N1355">
        <f>IF(ISERR(FIND("DECOUPE",Tableau1[[#This Row],[DESIGNATION]])),"","NEED REF")</f>
        <v/>
      </c>
    </row>
    <row r="1356">
      <c r="B1356" t="n">
        <v>34412645</v>
      </c>
      <c r="C1356" s="2" t="n">
        <v>45455</v>
      </c>
      <c r="D1356" t="inlineStr">
        <is>
          <t>SPEC</t>
        </is>
      </c>
      <c r="E1356">
        <f>_xlfn.CONCAT(Tableau1[[#This Row],[SHORT TYPE]]," ",Tableau1[[#This Row],[NUMERO]]," ",Tableau1[[#This Row],[GAMME]]," ",Tableau1[[#This Row],[TYPE PRODUIT]]," ",Tableau1[[#This Row],[PUISSANCE]])</f>
        <v/>
      </c>
      <c r="G1356" t="inlineStr">
        <is>
          <t>GVX</t>
        </is>
      </c>
      <c r="H1356" t="inlineStr">
        <is>
          <t>BBC</t>
        </is>
      </c>
      <c r="I1356" t="inlineStr">
        <is>
          <t>4000A</t>
        </is>
      </c>
      <c r="J1356" t="inlineStr">
        <is>
          <t>MATRION</t>
        </is>
      </c>
      <c r="K1356" t="inlineStr">
        <is>
          <t>METAL</t>
        </is>
      </c>
      <c r="L1356">
        <f>_xlfn.XLOOKUP(Tableau1[[#This Row],[TYPE DE PIECE]],Tableau4[MATIERE],Tableau4[SHORT TYPE],"",0,1)</f>
        <v/>
      </c>
      <c r="N1356">
        <f>IF(ISERR(FIND("DECOUPE",Tableau1[[#This Row],[DESIGNATION]])),"","NEED REF")</f>
        <v/>
      </c>
    </row>
    <row r="1357">
      <c r="B1357" t="n">
        <v>34412644</v>
      </c>
      <c r="C1357" s="2" t="n">
        <v>45455</v>
      </c>
      <c r="D1357" t="inlineStr">
        <is>
          <t>SPEC</t>
        </is>
      </c>
      <c r="E1357">
        <f>_xlfn.CONCAT(Tableau1[[#This Row],[SHORT TYPE]]," ",Tableau1[[#This Row],[NUMERO]]," ",Tableau1[[#This Row],[GAMME]]," ",Tableau1[[#This Row],[TYPE PRODUIT]]," ",Tableau1[[#This Row],[PUISSANCE]])</f>
        <v/>
      </c>
      <c r="G1357" t="inlineStr">
        <is>
          <t>GVX</t>
        </is>
      </c>
      <c r="H1357" t="inlineStr">
        <is>
          <t>BBC</t>
        </is>
      </c>
      <c r="I1357" t="inlineStr">
        <is>
          <t>4000A</t>
        </is>
      </c>
      <c r="J1357" t="inlineStr">
        <is>
          <t>MATRION</t>
        </is>
      </c>
      <c r="K1357" t="inlineStr">
        <is>
          <t>METAL</t>
        </is>
      </c>
      <c r="L1357">
        <f>_xlfn.XLOOKUP(Tableau1[[#This Row],[TYPE DE PIECE]],Tableau4[MATIERE],Tableau4[SHORT TYPE],"",0,1)</f>
        <v/>
      </c>
      <c r="N1357">
        <f>IF(ISERR(FIND("DECOUPE",Tableau1[[#This Row],[DESIGNATION]])),"","NEED REF")</f>
        <v/>
      </c>
    </row>
    <row r="1358">
      <c r="B1358" t="n">
        <v>34412643</v>
      </c>
      <c r="C1358" s="2" t="n">
        <v>45455</v>
      </c>
      <c r="D1358" t="inlineStr">
        <is>
          <t>SPEC</t>
        </is>
      </c>
      <c r="E1358">
        <f>_xlfn.CONCAT(Tableau1[[#This Row],[SHORT TYPE]]," ",Tableau1[[#This Row],[NUMERO]]," ",Tableau1[[#This Row],[GAMME]]," ",Tableau1[[#This Row],[TYPE PRODUIT]]," ",Tableau1[[#This Row],[PUISSANCE]])</f>
        <v/>
      </c>
      <c r="G1358" t="inlineStr">
        <is>
          <t>GVX</t>
        </is>
      </c>
      <c r="H1358" t="inlineStr">
        <is>
          <t>BBC</t>
        </is>
      </c>
      <c r="I1358" t="inlineStr">
        <is>
          <t>4000A</t>
        </is>
      </c>
      <c r="J1358" t="inlineStr">
        <is>
          <t>MATRION</t>
        </is>
      </c>
      <c r="K1358" t="inlineStr">
        <is>
          <t>METAL</t>
        </is>
      </c>
      <c r="L1358">
        <f>_xlfn.XLOOKUP(Tableau1[[#This Row],[TYPE DE PIECE]],Tableau4[MATIERE],Tableau4[SHORT TYPE],"",0,1)</f>
        <v/>
      </c>
      <c r="N1358">
        <f>IF(ISERR(FIND("DECOUPE",Tableau1[[#This Row],[DESIGNATION]])),"","NEED REF")</f>
        <v/>
      </c>
    </row>
    <row r="1359">
      <c r="B1359" t="n">
        <v>34412642</v>
      </c>
      <c r="C1359" s="2" t="n">
        <v>45455</v>
      </c>
      <c r="D1359" t="inlineStr">
        <is>
          <t>SPEC</t>
        </is>
      </c>
      <c r="E1359">
        <f>_xlfn.CONCAT(Tableau1[[#This Row],[SHORT TYPE]]," ",Tableau1[[#This Row],[NUMERO]]," ",Tableau1[[#This Row],[GAMME]]," ",Tableau1[[#This Row],[TYPE PRODUIT]]," ",Tableau1[[#This Row],[PUISSANCE]])</f>
        <v/>
      </c>
      <c r="G1359" t="inlineStr">
        <is>
          <t>GVX</t>
        </is>
      </c>
      <c r="H1359" t="inlineStr">
        <is>
          <t>BBC</t>
        </is>
      </c>
      <c r="I1359" t="inlineStr">
        <is>
          <t>4000A</t>
        </is>
      </c>
      <c r="J1359" t="inlineStr">
        <is>
          <t>MATRION</t>
        </is>
      </c>
      <c r="K1359" t="inlineStr">
        <is>
          <t>METAL</t>
        </is>
      </c>
      <c r="L1359">
        <f>_xlfn.XLOOKUP(Tableau1[[#This Row],[TYPE DE PIECE]],Tableau4[MATIERE],Tableau4[SHORT TYPE],"",0,1)</f>
        <v/>
      </c>
      <c r="N1359">
        <f>IF(ISERR(FIND("DECOUPE",Tableau1[[#This Row],[DESIGNATION]])),"","NEED REF")</f>
        <v/>
      </c>
    </row>
    <row r="1360">
      <c r="B1360" t="n">
        <v>34412641</v>
      </c>
      <c r="C1360" s="2" t="n">
        <v>45455</v>
      </c>
      <c r="D1360" t="inlineStr">
        <is>
          <t>SPEC</t>
        </is>
      </c>
      <c r="E1360" t="inlineStr">
        <is>
          <t>TRANSFO TRI 250KVA 400/230V Dyn11 - devis n° S120324-01 - SECURELEC</t>
        </is>
      </c>
      <c r="F1360" t="inlineStr">
        <is>
          <t>GSK BELGIUM</t>
        </is>
      </c>
      <c r="G1360" t="inlineStr">
        <is>
          <t>GVS</t>
        </is>
      </c>
      <c r="H1360" t="inlineStr">
        <is>
          <t>TFO CUBICLE</t>
        </is>
      </c>
      <c r="I1360" t="inlineStr">
        <is>
          <t>300KVA</t>
        </is>
      </c>
      <c r="J1360" t="inlineStr">
        <is>
          <t>JAWORSKI</t>
        </is>
      </c>
      <c r="K1360" t="inlineStr">
        <is>
          <t>TRANSFO</t>
        </is>
      </c>
      <c r="L1360">
        <f>_xlfn.XLOOKUP(Tableau1[[#This Row],[TYPE DE PIECE]],Tableau4[MATIERE],Tableau4[SHORT TYPE],"",0,1)</f>
        <v/>
      </c>
      <c r="N1360">
        <f>IF(ISERR(FIND("DECOUPE",Tableau1[[#This Row],[DESIGNATION]])),"","NEED REF")</f>
        <v/>
      </c>
    </row>
    <row r="1361">
      <c r="B1361" t="n">
        <v>34412640</v>
      </c>
      <c r="C1361" s="2" t="n">
        <v>45454</v>
      </c>
      <c r="D1361" t="inlineStr">
        <is>
          <t>SPEC</t>
        </is>
      </c>
      <c r="E1361" t="inlineStr">
        <is>
          <t>SUPPORT BBK630</t>
        </is>
      </c>
      <c r="J1361" t="inlineStr">
        <is>
          <t>BERNARDEAU</t>
        </is>
      </c>
      <c r="K1361" t="inlineStr">
        <is>
          <t>METAL</t>
        </is>
      </c>
      <c r="L1361">
        <f>_xlfn.XLOOKUP(Tableau1[[#This Row],[TYPE DE PIECE]],Tableau4[MATIERE],Tableau4[SHORT TYPE],"",0,1)</f>
        <v/>
      </c>
      <c r="N1361">
        <f>IF(ISERR(FIND("DECOUPE",Tableau1[[#This Row],[DESIGNATION]])),"","NEED REF")</f>
        <v/>
      </c>
    </row>
    <row r="1362">
      <c r="B1362" t="n">
        <v>34412639</v>
      </c>
      <c r="C1362" s="2" t="n">
        <v>45454</v>
      </c>
      <c r="D1362" t="inlineStr">
        <is>
          <t>SPEC</t>
        </is>
      </c>
      <c r="E1362" t="inlineStr">
        <is>
          <t>SMT TOIT GVEAC7D8 KTA2500ER41</t>
        </is>
      </c>
      <c r="J1362" t="inlineStr">
        <is>
          <t>BERNARDEAU</t>
        </is>
      </c>
      <c r="K1362" t="inlineStr">
        <is>
          <t>METAL</t>
        </is>
      </c>
      <c r="L1362">
        <f>_xlfn.XLOOKUP(Tableau1[[#This Row],[TYPE DE PIECE]],Tableau4[MATIERE],Tableau4[SHORT TYPE],"",0,1)</f>
        <v/>
      </c>
      <c r="N1362">
        <f>IF(ISERR(FIND("DECOUPE",Tableau1[[#This Row],[DESIGNATION]])),"","NEED REF")</f>
        <v/>
      </c>
    </row>
    <row r="1363">
      <c r="B1363" t="n">
        <v>34412638</v>
      </c>
      <c r="C1363" s="2" t="n">
        <v>45454</v>
      </c>
      <c r="D1363" t="inlineStr">
        <is>
          <t>SPEC</t>
        </is>
      </c>
      <c r="E1363">
        <f>_xlfn.CONCAT(Tableau1[[#This Row],[SHORT TYPE]]," ",Tableau1[[#This Row],[NUMERO]]," ",Tableau1[[#This Row],[GAMME]]," ",Tableau1[[#This Row],[TYPE PRODUIT]]," ",Tableau1[[#This Row],[PUISSANCE]])</f>
        <v/>
      </c>
      <c r="G1363" t="inlineStr">
        <is>
          <t>GVX</t>
        </is>
      </c>
      <c r="H1363" t="inlineStr">
        <is>
          <t>BBC</t>
        </is>
      </c>
      <c r="I1363" t="inlineStr">
        <is>
          <t>4000A</t>
        </is>
      </c>
      <c r="J1363" t="inlineStr">
        <is>
          <t>MATRION</t>
        </is>
      </c>
      <c r="K1363" t="inlineStr">
        <is>
          <t>CUIVRE</t>
        </is>
      </c>
      <c r="L1363">
        <f>_xlfn.XLOOKUP(Tableau1[[#This Row],[TYPE DE PIECE]],Tableau4[MATIERE],Tableau4[SHORT TYPE],"",0,1)</f>
        <v/>
      </c>
      <c r="N1363">
        <f>IF(ISERR(FIND("DECOUPE",Tableau1[[#This Row],[DESIGNATION]])),"","NEED REF")</f>
        <v/>
      </c>
    </row>
    <row r="1364">
      <c r="B1364" t="n">
        <v>34412637</v>
      </c>
      <c r="C1364" s="2" t="n">
        <v>45454</v>
      </c>
      <c r="D1364" t="inlineStr">
        <is>
          <t>SPEC</t>
        </is>
      </c>
      <c r="E1364">
        <f>_xlfn.CONCAT(Tableau1[[#This Row],[SHORT TYPE]]," ",Tableau1[[#This Row],[NUMERO]]," ",Tableau1[[#This Row],[GAMME]]," ",Tableau1[[#This Row],[TYPE PRODUIT]]," ",Tableau1[[#This Row],[PUISSANCE]])</f>
        <v/>
      </c>
      <c r="G1364" t="inlineStr">
        <is>
          <t>GVX</t>
        </is>
      </c>
      <c r="H1364" t="inlineStr">
        <is>
          <t>BBC</t>
        </is>
      </c>
      <c r="I1364" t="inlineStr">
        <is>
          <t>4000A</t>
        </is>
      </c>
      <c r="J1364" t="inlineStr">
        <is>
          <t>MATRION</t>
        </is>
      </c>
      <c r="K1364" t="inlineStr">
        <is>
          <t>CUIVRE</t>
        </is>
      </c>
      <c r="L1364">
        <f>_xlfn.XLOOKUP(Tableau1[[#This Row],[TYPE DE PIECE]],Tableau4[MATIERE],Tableau4[SHORT TYPE],"",0,1)</f>
        <v/>
      </c>
      <c r="N1364">
        <f>IF(ISERR(FIND("DECOUPE",Tableau1[[#This Row],[DESIGNATION]])),"","NEED REF")</f>
        <v/>
      </c>
    </row>
    <row r="1365">
      <c r="B1365" t="n">
        <v>34412636</v>
      </c>
      <c r="C1365" s="2" t="n">
        <v>45454</v>
      </c>
      <c r="D1365" t="inlineStr">
        <is>
          <t>SPEC</t>
        </is>
      </c>
      <c r="E1365">
        <f>_xlfn.CONCAT(Tableau1[[#This Row],[SHORT TYPE]]," ",Tableau1[[#This Row],[NUMERO]]," ",Tableau1[[#This Row],[GAMME]]," ",Tableau1[[#This Row],[TYPE PRODUIT]]," ",Tableau1[[#This Row],[PUISSANCE]])</f>
        <v/>
      </c>
      <c r="G1365" t="inlineStr">
        <is>
          <t>GVX</t>
        </is>
      </c>
      <c r="H1365" t="inlineStr">
        <is>
          <t>BBC</t>
        </is>
      </c>
      <c r="I1365" t="inlineStr">
        <is>
          <t>4000A</t>
        </is>
      </c>
      <c r="J1365" t="inlineStr">
        <is>
          <t>MATRION</t>
        </is>
      </c>
      <c r="K1365" t="inlineStr">
        <is>
          <t>CUIVRE</t>
        </is>
      </c>
      <c r="L1365">
        <f>_xlfn.XLOOKUP(Tableau1[[#This Row],[TYPE DE PIECE]],Tableau4[MATIERE],Tableau4[SHORT TYPE],"",0,1)</f>
        <v/>
      </c>
      <c r="N1365">
        <f>IF(ISERR(FIND("DECOUPE",Tableau1[[#This Row],[DESIGNATION]])),"","NEED REF")</f>
        <v/>
      </c>
    </row>
    <row r="1366">
      <c r="B1366" t="n">
        <v>34412635</v>
      </c>
      <c r="C1366" s="2" t="n">
        <v>45454</v>
      </c>
      <c r="D1366" t="inlineStr">
        <is>
          <t>SPEC</t>
        </is>
      </c>
      <c r="E1366">
        <f>_xlfn.CONCAT(Tableau1[[#This Row],[SHORT TYPE]]," ",Tableau1[[#This Row],[NUMERO]]," ",Tableau1[[#This Row],[GAMME]]," ",Tableau1[[#This Row],[TYPE PRODUIT]]," ",Tableau1[[#This Row],[PUISSANCE]])</f>
        <v/>
      </c>
      <c r="G1366" t="inlineStr">
        <is>
          <t>GVX</t>
        </is>
      </c>
      <c r="H1366" t="inlineStr">
        <is>
          <t>BBC</t>
        </is>
      </c>
      <c r="I1366" t="inlineStr">
        <is>
          <t>4000A</t>
        </is>
      </c>
      <c r="J1366" t="inlineStr">
        <is>
          <t>MATRION</t>
        </is>
      </c>
      <c r="K1366" t="inlineStr">
        <is>
          <t>CUIVRE</t>
        </is>
      </c>
      <c r="L1366">
        <f>_xlfn.XLOOKUP(Tableau1[[#This Row],[TYPE DE PIECE]],Tableau4[MATIERE],Tableau4[SHORT TYPE],"",0,1)</f>
        <v/>
      </c>
      <c r="N1366">
        <f>IF(ISERR(FIND("DECOUPE",Tableau1[[#This Row],[DESIGNATION]])),"","NEED REF")</f>
        <v/>
      </c>
    </row>
    <row r="1367">
      <c r="B1367" t="n">
        <v>34412634</v>
      </c>
      <c r="C1367" s="2" t="n">
        <v>45454</v>
      </c>
      <c r="D1367" t="inlineStr">
        <is>
          <t>SPEC</t>
        </is>
      </c>
      <c r="E1367">
        <f>_xlfn.CONCAT(Tableau1[[#This Row],[SHORT TYPE]]," ",Tableau1[[#This Row],[NUMERO]]," ",Tableau1[[#This Row],[GAMME]]," ",Tableau1[[#This Row],[TYPE PRODUIT]]," ",Tableau1[[#This Row],[PUISSANCE]])</f>
        <v/>
      </c>
      <c r="G1367" t="inlineStr">
        <is>
          <t>GVX</t>
        </is>
      </c>
      <c r="H1367" t="inlineStr">
        <is>
          <t>BBC</t>
        </is>
      </c>
      <c r="I1367" t="inlineStr">
        <is>
          <t>4000A</t>
        </is>
      </c>
      <c r="J1367" t="inlineStr">
        <is>
          <t>MATRION</t>
        </is>
      </c>
      <c r="K1367" t="inlineStr">
        <is>
          <t>CUIVRE</t>
        </is>
      </c>
      <c r="L1367">
        <f>_xlfn.XLOOKUP(Tableau1[[#This Row],[TYPE DE PIECE]],Tableau4[MATIERE],Tableau4[SHORT TYPE],"",0,1)</f>
        <v/>
      </c>
      <c r="N1367">
        <f>IF(ISERR(FIND("DECOUPE",Tableau1[[#This Row],[DESIGNATION]])),"","NEED REF")</f>
        <v/>
      </c>
    </row>
    <row r="1368">
      <c r="B1368" t="n">
        <v>34412633</v>
      </c>
      <c r="C1368" s="2" t="n">
        <v>45454</v>
      </c>
      <c r="D1368" t="inlineStr">
        <is>
          <t>SPEC</t>
        </is>
      </c>
      <c r="E1368">
        <f>_xlfn.CONCAT(Tableau1[[#This Row],[SHORT TYPE]]," ",Tableau1[[#This Row],[NUMERO]]," ",Tableau1[[#This Row],[GAMME]]," ",Tableau1[[#This Row],[TYPE PRODUIT]]," ",Tableau1[[#This Row],[PUISSANCE]])</f>
        <v/>
      </c>
      <c r="G1368" t="inlineStr">
        <is>
          <t>GVX</t>
        </is>
      </c>
      <c r="H1368" t="inlineStr">
        <is>
          <t>BBC</t>
        </is>
      </c>
      <c r="I1368" t="inlineStr">
        <is>
          <t>4000A</t>
        </is>
      </c>
      <c r="J1368" t="inlineStr">
        <is>
          <t>MATRION</t>
        </is>
      </c>
      <c r="K1368" t="inlineStr">
        <is>
          <t>CUIVRE</t>
        </is>
      </c>
      <c r="L1368">
        <f>_xlfn.XLOOKUP(Tableau1[[#This Row],[TYPE DE PIECE]],Tableau4[MATIERE],Tableau4[SHORT TYPE],"",0,1)</f>
        <v/>
      </c>
      <c r="N1368">
        <f>IF(ISERR(FIND("DECOUPE",Tableau1[[#This Row],[DESIGNATION]])),"","NEED REF")</f>
        <v/>
      </c>
    </row>
    <row r="1369">
      <c r="B1369" t="n">
        <v>34412632</v>
      </c>
      <c r="C1369" s="2" t="n">
        <v>45454</v>
      </c>
      <c r="D1369" t="inlineStr">
        <is>
          <t>SPEC</t>
        </is>
      </c>
      <c r="E1369">
        <f>_xlfn.CONCAT(Tableau1[[#This Row],[SHORT TYPE]]," ",Tableau1[[#This Row],[NUMERO]]," ",Tableau1[[#This Row],[GAMME]]," ",Tableau1[[#This Row],[TYPE PRODUIT]]," ",Tableau1[[#This Row],[PUISSANCE]])</f>
        <v/>
      </c>
      <c r="G1369" t="inlineStr">
        <is>
          <t>GVX</t>
        </is>
      </c>
      <c r="H1369" t="inlineStr">
        <is>
          <t>BBC</t>
        </is>
      </c>
      <c r="I1369" t="inlineStr">
        <is>
          <t>4000A</t>
        </is>
      </c>
      <c r="J1369" t="inlineStr">
        <is>
          <t>MATRION</t>
        </is>
      </c>
      <c r="K1369" t="inlineStr">
        <is>
          <t>CUIVRE</t>
        </is>
      </c>
      <c r="L1369">
        <f>_xlfn.XLOOKUP(Tableau1[[#This Row],[TYPE DE PIECE]],Tableau4[MATIERE],Tableau4[SHORT TYPE],"",0,1)</f>
        <v/>
      </c>
      <c r="N1369">
        <f>IF(ISERR(FIND("DECOUPE",Tableau1[[#This Row],[DESIGNATION]])),"","NEED REF")</f>
        <v/>
      </c>
    </row>
    <row r="1370">
      <c r="B1370" t="n">
        <v>34412631</v>
      </c>
      <c r="C1370" s="2" t="n">
        <v>45454</v>
      </c>
      <c r="D1370" t="inlineStr">
        <is>
          <t>SPEC</t>
        </is>
      </c>
      <c r="E1370">
        <f>_xlfn.CONCAT(Tableau1[[#This Row],[SHORT TYPE]]," ",Tableau1[[#This Row],[NUMERO]]," ",Tableau1[[#This Row],[GAMME]]," ",Tableau1[[#This Row],[TYPE PRODUIT]]," ",Tableau1[[#This Row],[PUISSANCE]])</f>
        <v/>
      </c>
      <c r="G1370" t="inlineStr">
        <is>
          <t>GVX</t>
        </is>
      </c>
      <c r="H1370" t="inlineStr">
        <is>
          <t>BBC</t>
        </is>
      </c>
      <c r="I1370" t="inlineStr">
        <is>
          <t>4000A</t>
        </is>
      </c>
      <c r="J1370" t="inlineStr">
        <is>
          <t>MATRION</t>
        </is>
      </c>
      <c r="K1370" t="inlineStr">
        <is>
          <t>CUIVRE</t>
        </is>
      </c>
      <c r="L1370">
        <f>_xlfn.XLOOKUP(Tableau1[[#This Row],[TYPE DE PIECE]],Tableau4[MATIERE],Tableau4[SHORT TYPE],"",0,1)</f>
        <v/>
      </c>
      <c r="N1370">
        <f>IF(ISERR(FIND("DECOUPE",Tableau1[[#This Row],[DESIGNATION]])),"","NEED REF")</f>
        <v/>
      </c>
    </row>
    <row r="1371">
      <c r="B1371" t="n">
        <v>34412630</v>
      </c>
      <c r="C1371" s="2" t="n">
        <v>45453</v>
      </c>
      <c r="D1371" t="inlineStr">
        <is>
          <t>SPEC</t>
        </is>
      </c>
      <c r="E1371" t="inlineStr">
        <is>
          <t>COP CUIVRE NW40DC</t>
        </is>
      </c>
      <c r="J1371" t="inlineStr">
        <is>
          <t>BERNARDEAU</t>
        </is>
      </c>
      <c r="K1371" t="inlineStr">
        <is>
          <t>CUIVRE</t>
        </is>
      </c>
      <c r="L1371">
        <f>_xlfn.XLOOKUP(Tableau1[[#This Row],[TYPE DE PIECE]],Tableau4[MATIERE],Tableau4[SHORT TYPE],"",0,1)</f>
        <v/>
      </c>
      <c r="N1371">
        <f>IF(ISERR(FIND("DECOUPE",Tableau1[[#This Row],[DESIGNATION]])),"","NEED REF")</f>
        <v/>
      </c>
    </row>
    <row r="1372">
      <c r="B1372" t="n">
        <v>34412629</v>
      </c>
      <c r="C1372" s="2" t="n">
        <v>45453</v>
      </c>
      <c r="D1372" t="inlineStr">
        <is>
          <t>SPEC</t>
        </is>
      </c>
      <c r="E1372" t="inlineStr">
        <is>
          <t>COP CUIVRE NW40DC</t>
        </is>
      </c>
      <c r="J1372" t="inlineStr">
        <is>
          <t>BERNARDEAU</t>
        </is>
      </c>
      <c r="K1372" t="inlineStr">
        <is>
          <t>CUIVRE</t>
        </is>
      </c>
      <c r="L1372">
        <f>_xlfn.XLOOKUP(Tableau1[[#This Row],[TYPE DE PIECE]],Tableau4[MATIERE],Tableau4[SHORT TYPE],"",0,1)</f>
        <v/>
      </c>
      <c r="N1372">
        <f>IF(ISERR(FIND("DECOUPE",Tableau1[[#This Row],[DESIGNATION]])),"","NEED REF")</f>
        <v/>
      </c>
    </row>
    <row r="1373">
      <c r="B1373" t="n">
        <v>34412628</v>
      </c>
      <c r="C1373" s="2" t="n">
        <v>45453</v>
      </c>
      <c r="D1373" t="inlineStr">
        <is>
          <t>SPEC</t>
        </is>
      </c>
      <c r="E1373" t="inlineStr">
        <is>
          <t>COP CUIVRE NW40DC</t>
        </is>
      </c>
      <c r="J1373" t="inlineStr">
        <is>
          <t>BERNARDEAU</t>
        </is>
      </c>
      <c r="K1373" t="inlineStr">
        <is>
          <t>CUIVRE</t>
        </is>
      </c>
      <c r="L1373">
        <f>_xlfn.XLOOKUP(Tableau1[[#This Row],[TYPE DE PIECE]],Tableau4[MATIERE],Tableau4[SHORT TYPE],"",0,1)</f>
        <v/>
      </c>
      <c r="N1373">
        <f>IF(ISERR(FIND("DECOUPE",Tableau1[[#This Row],[DESIGNATION]])),"","NEED REF")</f>
        <v/>
      </c>
    </row>
    <row r="1374">
      <c r="B1374" t="n">
        <v>34412627</v>
      </c>
      <c r="C1374" s="2" t="n">
        <v>45453</v>
      </c>
      <c r="D1374" t="inlineStr">
        <is>
          <t>SPEC</t>
        </is>
      </c>
      <c r="E1374" t="inlineStr">
        <is>
          <t>COP CUIVRE NW40DC</t>
        </is>
      </c>
      <c r="J1374" t="inlineStr">
        <is>
          <t>BERNARDEAU</t>
        </is>
      </c>
      <c r="K1374" t="inlineStr">
        <is>
          <t>CUIVRE</t>
        </is>
      </c>
      <c r="L1374">
        <f>_xlfn.XLOOKUP(Tableau1[[#This Row],[TYPE DE PIECE]],Tableau4[MATIERE],Tableau4[SHORT TYPE],"",0,1)</f>
        <v/>
      </c>
      <c r="N1374">
        <f>IF(ISERR(FIND("DECOUPE",Tableau1[[#This Row],[DESIGNATION]])),"","NEED REF")</f>
        <v/>
      </c>
    </row>
    <row r="1375">
      <c r="B1375" t="n">
        <v>34412626</v>
      </c>
      <c r="C1375" s="2" t="n">
        <v>45453</v>
      </c>
      <c r="D1375" t="inlineStr">
        <is>
          <t>SPEC</t>
        </is>
      </c>
      <c r="E1375" t="inlineStr">
        <is>
          <t>COP CUIVRE NW40DC</t>
        </is>
      </c>
      <c r="J1375" t="inlineStr">
        <is>
          <t>BERNARDEAU</t>
        </is>
      </c>
      <c r="K1375" t="inlineStr">
        <is>
          <t>CUIVRE</t>
        </is>
      </c>
      <c r="L1375">
        <f>_xlfn.XLOOKUP(Tableau1[[#This Row],[TYPE DE PIECE]],Tableau4[MATIERE],Tableau4[SHORT TYPE],"",0,1)</f>
        <v/>
      </c>
      <c r="N1375">
        <f>IF(ISERR(FIND("DECOUPE",Tableau1[[#This Row],[DESIGNATION]])),"","NEED REF")</f>
        <v/>
      </c>
    </row>
    <row r="1376">
      <c r="B1376" t="n">
        <v>34412625</v>
      </c>
      <c r="C1376" s="2" t="n">
        <v>45453</v>
      </c>
      <c r="D1376" t="inlineStr">
        <is>
          <t>SPEC</t>
        </is>
      </c>
      <c r="E1376" t="inlineStr">
        <is>
          <t>COP CUIVRE NW40DC</t>
        </is>
      </c>
      <c r="J1376" t="inlineStr">
        <is>
          <t>BERNARDEAU</t>
        </is>
      </c>
      <c r="K1376" t="inlineStr">
        <is>
          <t>CUIVRE</t>
        </is>
      </c>
      <c r="L1376">
        <f>_xlfn.XLOOKUP(Tableau1[[#This Row],[TYPE DE PIECE]],Tableau4[MATIERE],Tableau4[SHORT TYPE],"",0,1)</f>
        <v/>
      </c>
      <c r="N1376">
        <f>IF(ISERR(FIND("DECOUPE",Tableau1[[#This Row],[DESIGNATION]])),"","NEED REF")</f>
        <v/>
      </c>
    </row>
    <row r="1377">
      <c r="B1377" t="n">
        <v>34412624</v>
      </c>
      <c r="C1377" s="2" t="n">
        <v>45453</v>
      </c>
      <c r="D1377" t="inlineStr">
        <is>
          <t>SPEC</t>
        </is>
      </c>
      <c r="E1377" t="inlineStr">
        <is>
          <t>COP CUIVRE NW40DC</t>
        </is>
      </c>
      <c r="J1377" t="inlineStr">
        <is>
          <t>BERNARDEAU</t>
        </is>
      </c>
      <c r="K1377" t="inlineStr">
        <is>
          <t>CUIVRE</t>
        </is>
      </c>
      <c r="L1377">
        <f>_xlfn.XLOOKUP(Tableau1[[#This Row],[TYPE DE PIECE]],Tableau4[MATIERE],Tableau4[SHORT TYPE],"",0,1)</f>
        <v/>
      </c>
      <c r="N1377">
        <f>IF(ISERR(FIND("DECOUPE",Tableau1[[#This Row],[DESIGNATION]])),"","NEED REF")</f>
        <v/>
      </c>
    </row>
    <row r="1378">
      <c r="B1378" t="n">
        <v>34412623</v>
      </c>
      <c r="C1378" s="2" t="n">
        <v>45453</v>
      </c>
      <c r="D1378" t="inlineStr">
        <is>
          <t>SPEC</t>
        </is>
      </c>
      <c r="E1378" t="inlineStr">
        <is>
          <t>COP CUIVRE NW40DC</t>
        </is>
      </c>
      <c r="J1378" t="inlineStr">
        <is>
          <t>BERNARDEAU</t>
        </is>
      </c>
      <c r="K1378" t="inlineStr">
        <is>
          <t>CUIVRE</t>
        </is>
      </c>
      <c r="L1378">
        <f>_xlfn.XLOOKUP(Tableau1[[#This Row],[TYPE DE PIECE]],Tableau4[MATIERE],Tableau4[SHORT TYPE],"",0,1)</f>
        <v/>
      </c>
      <c r="N1378">
        <f>IF(ISERR(FIND("DECOUPE",Tableau1[[#This Row],[DESIGNATION]])),"","NEED REF")</f>
        <v/>
      </c>
    </row>
    <row r="1379">
      <c r="B1379" t="n">
        <v>34412622</v>
      </c>
      <c r="C1379" s="2" t="n">
        <v>45448</v>
      </c>
      <c r="D1379" t="inlineStr">
        <is>
          <t>SPEC</t>
        </is>
      </c>
      <c r="E1379">
        <f>_xlfn.CONCAT(Tableau1[[#This Row],[SHORT TYPE]]," ",Tableau1[[#This Row],[NUMERO]]," ",Tableau1[[#This Row],[GAMME]]," ",Tableau1[[#This Row],[TYPE PRODUIT]]," ",Tableau1[[#This Row],[PUISSANCE]])</f>
        <v/>
      </c>
      <c r="F1379" t="inlineStr">
        <is>
          <t>Intexion Kenia</t>
        </is>
      </c>
      <c r="G1379" t="inlineStr">
        <is>
          <t>GVX</t>
        </is>
      </c>
      <c r="H1379" t="inlineStr">
        <is>
          <t>IO</t>
        </is>
      </c>
      <c r="I1379" t="inlineStr">
        <is>
          <t>1250kVA</t>
        </is>
      </c>
      <c r="J1379" t="inlineStr">
        <is>
          <t>MATRION</t>
        </is>
      </c>
      <c r="K1379" t="inlineStr">
        <is>
          <t>METAL</t>
        </is>
      </c>
      <c r="L1379">
        <f>_xlfn.XLOOKUP(Tableau1[[#This Row],[TYPE DE PIECE]],Tableau4[MATIERE],Tableau4[SHORT TYPE],"",0,1)</f>
        <v/>
      </c>
      <c r="N1379">
        <f>IF(ISERR(FIND("DECOUPE",Tableau1[[#This Row],[DESIGNATION]])),"","NEED REF")</f>
        <v/>
      </c>
    </row>
    <row r="1380">
      <c r="B1380" t="n">
        <v>34412621</v>
      </c>
      <c r="C1380" s="2" t="n">
        <v>45448</v>
      </c>
      <c r="D1380" t="inlineStr">
        <is>
          <t>SPEC</t>
        </is>
      </c>
      <c r="E1380" t="inlineStr">
        <is>
          <t>SMT SUPPORT BBK 630EL</t>
        </is>
      </c>
      <c r="J1380" t="inlineStr">
        <is>
          <t>BERNARDEAU</t>
        </is>
      </c>
      <c r="K1380" t="inlineStr">
        <is>
          <t>METAL</t>
        </is>
      </c>
      <c r="L1380">
        <f>_xlfn.XLOOKUP(Tableau1[[#This Row],[TYPE DE PIECE]],Tableau4[MATIERE],Tableau4[SHORT TYPE],"",0,1)</f>
        <v/>
      </c>
      <c r="N1380">
        <f>IF(ISERR(FIND("DECOUPE",Tableau1[[#This Row],[DESIGNATION]])),"","NEED REF")</f>
        <v/>
      </c>
    </row>
    <row r="1381">
      <c r="B1381" t="n">
        <v>34412620</v>
      </c>
      <c r="C1381" s="2" t="n">
        <v>45447</v>
      </c>
      <c r="D1381" t="inlineStr">
        <is>
          <t>SPEC</t>
        </is>
      </c>
      <c r="E1381" t="inlineStr">
        <is>
          <t>SMT TOIT ALU 700x1000 TGAB I-LINE</t>
        </is>
      </c>
      <c r="F1381" t="inlineStr">
        <is>
          <t>DCI Datacenter / Korea</t>
        </is>
      </c>
      <c r="G1381" t="inlineStr">
        <is>
          <t>GVL</t>
        </is>
      </c>
      <c r="H1381" t="inlineStr">
        <is>
          <t>INPUT PANEL</t>
        </is>
      </c>
      <c r="I1381" t="inlineStr">
        <is>
          <t>600KVA</t>
        </is>
      </c>
      <c r="J1381" t="inlineStr">
        <is>
          <t>JAWORSKI</t>
        </is>
      </c>
      <c r="K1381" t="inlineStr">
        <is>
          <t>METAL</t>
        </is>
      </c>
      <c r="L1381">
        <f>_xlfn.XLOOKUP(Tableau1[[#This Row],[TYPE DE PIECE]],Tableau4[MATIERE],Tableau4[SHORT TYPE],"",0,1)</f>
        <v/>
      </c>
      <c r="N1381">
        <f>IF(ISERR(FIND("DECOUPE",Tableau1[[#This Row],[DESIGNATION]])),"","NEED REF")</f>
        <v/>
      </c>
    </row>
    <row r="1382">
      <c r="B1382" t="n">
        <v>34412619</v>
      </c>
      <c r="C1382" s="2" t="n">
        <v>45447</v>
      </c>
      <c r="D1382" t="inlineStr">
        <is>
          <t>SPEC</t>
        </is>
      </c>
      <c r="E1382">
        <f>_xlfn.CONCAT(Tableau1[[#This Row],[SHORT TYPE]]," ",Tableau1[[#This Row],[NUMERO]]," ",Tableau1[[#This Row],[GAMME]]," ",Tableau1[[#This Row],[TYPE PRODUIT]]," ",Tableau1[[#This Row],[PUISSANCE]])</f>
        <v/>
      </c>
      <c r="F1382" t="inlineStr">
        <is>
          <t>Intexion Kenia</t>
        </is>
      </c>
      <c r="G1382" t="inlineStr">
        <is>
          <t>GVX</t>
        </is>
      </c>
      <c r="H1382" t="inlineStr">
        <is>
          <t>IO</t>
        </is>
      </c>
      <c r="I1382" t="inlineStr">
        <is>
          <t>1250kVA</t>
        </is>
      </c>
      <c r="J1382" t="inlineStr">
        <is>
          <t>MATRION</t>
        </is>
      </c>
      <c r="K1382" t="inlineStr">
        <is>
          <t>PLASTIQUE</t>
        </is>
      </c>
      <c r="L1382">
        <f>_xlfn.XLOOKUP(Tableau1[[#This Row],[TYPE DE PIECE]],Tableau4[MATIERE],Tableau4[SHORT TYPE],"",0,1)</f>
        <v/>
      </c>
      <c r="N1382">
        <f>IF(ISERR(FIND("DECOUPE",Tableau1[[#This Row],[DESIGNATION]])),"","NEED REF")</f>
        <v/>
      </c>
    </row>
    <row r="1383">
      <c r="B1383" t="n">
        <v>34412618</v>
      </c>
      <c r="C1383" s="2" t="n">
        <v>45447</v>
      </c>
      <c r="D1383" t="inlineStr">
        <is>
          <t>SPEC</t>
        </is>
      </c>
      <c r="E1383">
        <f>_xlfn.CONCAT(Tableau1[[#This Row],[SHORT TYPE]]," ",Tableau1[[#This Row],[NUMERO]]," ",Tableau1[[#This Row],[GAMME]]," ",Tableau1[[#This Row],[TYPE PRODUIT]]," ",Tableau1[[#This Row],[PUISSANCE]])</f>
        <v/>
      </c>
      <c r="F1383" t="inlineStr">
        <is>
          <t>Intexion Kenia</t>
        </is>
      </c>
      <c r="G1383" t="inlineStr">
        <is>
          <t>GVX</t>
        </is>
      </c>
      <c r="H1383" t="inlineStr">
        <is>
          <t>IO</t>
        </is>
      </c>
      <c r="I1383" t="inlineStr">
        <is>
          <t>1250kVA</t>
        </is>
      </c>
      <c r="J1383" t="inlineStr">
        <is>
          <t>MATRION</t>
        </is>
      </c>
      <c r="K1383" t="inlineStr">
        <is>
          <t>METAL</t>
        </is>
      </c>
      <c r="L1383">
        <f>_xlfn.XLOOKUP(Tableau1[[#This Row],[TYPE DE PIECE]],Tableau4[MATIERE],Tableau4[SHORT TYPE],"",0,1)</f>
        <v/>
      </c>
      <c r="N1383">
        <f>IF(ISERR(FIND("DECOUPE",Tableau1[[#This Row],[DESIGNATION]])),"","NEED REF")</f>
        <v/>
      </c>
    </row>
    <row r="1384">
      <c r="B1384" t="n">
        <v>34412617</v>
      </c>
      <c r="C1384" s="2" t="n">
        <v>45447</v>
      </c>
      <c r="D1384" t="inlineStr">
        <is>
          <t>SPEC</t>
        </is>
      </c>
      <c r="E1384">
        <f>_xlfn.CONCAT(Tableau1[[#This Row],[SHORT TYPE]]," ",Tableau1[[#This Row],[NUMERO]]," ",Tableau1[[#This Row],[GAMME]]," ",Tableau1[[#This Row],[TYPE PRODUIT]]," ",Tableau1[[#This Row],[PUISSANCE]])</f>
        <v/>
      </c>
      <c r="F1384" t="inlineStr">
        <is>
          <t>Intexion Kenia</t>
        </is>
      </c>
      <c r="G1384" t="inlineStr">
        <is>
          <t>GVX</t>
        </is>
      </c>
      <c r="H1384" t="inlineStr">
        <is>
          <t>IO</t>
        </is>
      </c>
      <c r="I1384" t="inlineStr">
        <is>
          <t>1250kVA</t>
        </is>
      </c>
      <c r="J1384" t="inlineStr">
        <is>
          <t>MATRION</t>
        </is>
      </c>
      <c r="K1384" t="inlineStr">
        <is>
          <t>METAL</t>
        </is>
      </c>
      <c r="L1384">
        <f>_xlfn.XLOOKUP(Tableau1[[#This Row],[TYPE DE PIECE]],Tableau4[MATIERE],Tableau4[SHORT TYPE],"",0,1)</f>
        <v/>
      </c>
      <c r="N1384">
        <f>IF(ISERR(FIND("DECOUPE",Tableau1[[#This Row],[DESIGNATION]])),"","NEED REF")</f>
        <v/>
      </c>
    </row>
    <row r="1385">
      <c r="B1385" t="n">
        <v>34412616</v>
      </c>
      <c r="C1385" s="2" t="n">
        <v>45447</v>
      </c>
      <c r="D1385" t="inlineStr">
        <is>
          <t>SPEC</t>
        </is>
      </c>
      <c r="E1385">
        <f>_xlfn.CONCAT(Tableau1[[#This Row],[SHORT TYPE]]," ",Tableau1[[#This Row],[NUMERO]]," ",Tableau1[[#This Row],[GAMME]]," ",Tableau1[[#This Row],[TYPE PRODUIT]]," ",Tableau1[[#This Row],[PUISSANCE]])</f>
        <v/>
      </c>
      <c r="F1385" t="inlineStr">
        <is>
          <t>Intexion Kenia</t>
        </is>
      </c>
      <c r="G1385" t="inlineStr">
        <is>
          <t>GVX</t>
        </is>
      </c>
      <c r="H1385" t="inlineStr">
        <is>
          <t>IO</t>
        </is>
      </c>
      <c r="I1385" t="inlineStr">
        <is>
          <t>1250kVA</t>
        </is>
      </c>
      <c r="J1385" t="inlineStr">
        <is>
          <t>MATRION</t>
        </is>
      </c>
      <c r="K1385" t="inlineStr">
        <is>
          <t>METAL</t>
        </is>
      </c>
      <c r="L1385">
        <f>_xlfn.XLOOKUP(Tableau1[[#This Row],[TYPE DE PIECE]],Tableau4[MATIERE],Tableau4[SHORT TYPE],"",0,1)</f>
        <v/>
      </c>
      <c r="N1385">
        <f>IF(ISERR(FIND("DECOUPE",Tableau1[[#This Row],[DESIGNATION]])),"","NEED REF")</f>
        <v/>
      </c>
    </row>
    <row r="1386">
      <c r="B1386" t="n">
        <v>34412615</v>
      </c>
      <c r="C1386" s="2" t="n">
        <v>45447</v>
      </c>
      <c r="D1386" t="inlineStr">
        <is>
          <t>SPEC</t>
        </is>
      </c>
      <c r="E1386">
        <f>_xlfn.CONCAT(Tableau1[[#This Row],[SHORT TYPE]]," ",Tableau1[[#This Row],[NUMERO]]," ",Tableau1[[#This Row],[GAMME]]," ",Tableau1[[#This Row],[TYPE PRODUIT]]," ",Tableau1[[#This Row],[PUISSANCE]])</f>
        <v/>
      </c>
      <c r="F1386" t="inlineStr">
        <is>
          <t>Intexion Kenia</t>
        </is>
      </c>
      <c r="G1386" t="inlineStr">
        <is>
          <t>GVX</t>
        </is>
      </c>
      <c r="H1386" t="inlineStr">
        <is>
          <t>IO</t>
        </is>
      </c>
      <c r="I1386" t="inlineStr">
        <is>
          <t>1250kVA</t>
        </is>
      </c>
      <c r="J1386" t="inlineStr">
        <is>
          <t>MATRION</t>
        </is>
      </c>
      <c r="K1386" t="inlineStr">
        <is>
          <t>METAL</t>
        </is>
      </c>
      <c r="L1386">
        <f>_xlfn.XLOOKUP(Tableau1[[#This Row],[TYPE DE PIECE]],Tableau4[MATIERE],Tableau4[SHORT TYPE],"",0,1)</f>
        <v/>
      </c>
      <c r="N1386">
        <f>IF(ISERR(FIND("DECOUPE",Tableau1[[#This Row],[DESIGNATION]])),"","NEED REF")</f>
        <v/>
      </c>
    </row>
    <row r="1387">
      <c r="B1387" t="n">
        <v>34412614</v>
      </c>
      <c r="C1387" s="2" t="n">
        <v>45446</v>
      </c>
      <c r="D1387" t="inlineStr">
        <is>
          <t>SPEC</t>
        </is>
      </c>
      <c r="E1387">
        <f>_xlfn.CONCAT(Tableau1[[#This Row],[SHORT TYPE]]," ",Tableau1[[#This Row],[NUMERO]]," ",Tableau1[[#This Row],[GAMME]]," ",Tableau1[[#This Row],[TYPE PRODUIT]]," ",Tableau1[[#This Row],[PUISSANCE]])</f>
        <v/>
      </c>
      <c r="F1387" t="inlineStr">
        <is>
          <t>Intexion Kenia</t>
        </is>
      </c>
      <c r="G1387" t="inlineStr">
        <is>
          <t>GVX</t>
        </is>
      </c>
      <c r="H1387" t="inlineStr">
        <is>
          <t>IO</t>
        </is>
      </c>
      <c r="I1387" t="inlineStr">
        <is>
          <t>1250kVA</t>
        </is>
      </c>
      <c r="J1387" t="inlineStr">
        <is>
          <t>MATRION</t>
        </is>
      </c>
      <c r="K1387" t="inlineStr">
        <is>
          <t>CUIVRE</t>
        </is>
      </c>
      <c r="L1387">
        <f>_xlfn.XLOOKUP(Tableau1[[#This Row],[TYPE DE PIECE]],Tableau4[MATIERE],Tableau4[SHORT TYPE],"",0,1)</f>
        <v/>
      </c>
      <c r="N1387">
        <f>IF(ISERR(FIND("DECOUPE",Tableau1[[#This Row],[DESIGNATION]])),"","NEED REF")</f>
        <v/>
      </c>
    </row>
    <row r="1388">
      <c r="B1388" t="n">
        <v>34412613</v>
      </c>
      <c r="C1388" s="2" t="n">
        <v>45446</v>
      </c>
      <c r="D1388" t="inlineStr">
        <is>
          <t>SPEC</t>
        </is>
      </c>
      <c r="E1388">
        <f>_xlfn.CONCAT(Tableau1[[#This Row],[SHORT TYPE]]," ",Tableau1[[#This Row],[NUMERO]]," ",Tableau1[[#This Row],[GAMME]]," ",Tableau1[[#This Row],[TYPE PRODUIT]]," ",Tableau1[[#This Row],[PUISSANCE]])</f>
        <v/>
      </c>
      <c r="F1388" t="inlineStr">
        <is>
          <t>Intexion Kenia</t>
        </is>
      </c>
      <c r="G1388" t="inlineStr">
        <is>
          <t>GVX</t>
        </is>
      </c>
      <c r="H1388" t="inlineStr">
        <is>
          <t>IO</t>
        </is>
      </c>
      <c r="I1388" t="inlineStr">
        <is>
          <t>1250kVA</t>
        </is>
      </c>
      <c r="J1388" t="inlineStr">
        <is>
          <t>MATRION</t>
        </is>
      </c>
      <c r="K1388" t="inlineStr">
        <is>
          <t>CUIVRE</t>
        </is>
      </c>
      <c r="L1388">
        <f>_xlfn.XLOOKUP(Tableau1[[#This Row],[TYPE DE PIECE]],Tableau4[MATIERE],Tableau4[SHORT TYPE],"",0,1)</f>
        <v/>
      </c>
      <c r="N1388">
        <f>IF(ISERR(FIND("DECOUPE",Tableau1[[#This Row],[DESIGNATION]])),"","NEED REF")</f>
        <v/>
      </c>
    </row>
    <row r="1389">
      <c r="B1389" t="n">
        <v>34412612</v>
      </c>
      <c r="C1389" s="2" t="n">
        <v>45446</v>
      </c>
      <c r="D1389" t="inlineStr">
        <is>
          <t>SPEC</t>
        </is>
      </c>
      <c r="E1389">
        <f>_xlfn.CONCAT(Tableau1[[#This Row],[SHORT TYPE]]," ",Tableau1[[#This Row],[NUMERO]]," ",Tableau1[[#This Row],[GAMME]]," ",Tableau1[[#This Row],[TYPE PRODUIT]]," ",Tableau1[[#This Row],[PUISSANCE]])</f>
        <v/>
      </c>
      <c r="F1389" t="inlineStr">
        <is>
          <t>Intexion Kenia</t>
        </is>
      </c>
      <c r="G1389" t="inlineStr">
        <is>
          <t>GVX</t>
        </is>
      </c>
      <c r="H1389" t="inlineStr">
        <is>
          <t>IO</t>
        </is>
      </c>
      <c r="I1389" t="inlineStr">
        <is>
          <t>1250kVA</t>
        </is>
      </c>
      <c r="J1389" t="inlineStr">
        <is>
          <t>MATRION</t>
        </is>
      </c>
      <c r="K1389" t="inlineStr">
        <is>
          <t>CUIVRE</t>
        </is>
      </c>
      <c r="L1389">
        <f>_xlfn.XLOOKUP(Tableau1[[#This Row],[TYPE DE PIECE]],Tableau4[MATIERE],Tableau4[SHORT TYPE],"",0,1)</f>
        <v/>
      </c>
      <c r="N1389">
        <f>IF(ISERR(FIND("DECOUPE",Tableau1[[#This Row],[DESIGNATION]])),"","NEED REF")</f>
        <v/>
      </c>
    </row>
    <row r="1390">
      <c r="B1390" t="n">
        <v>34412611</v>
      </c>
      <c r="C1390" s="2" t="n">
        <v>45446</v>
      </c>
      <c r="D1390" t="inlineStr">
        <is>
          <t>SPEC</t>
        </is>
      </c>
      <c r="E1390">
        <f>_xlfn.CONCAT(Tableau1[[#This Row],[SHORT TYPE]]," ",Tableau1[[#This Row],[NUMERO]]," ",Tableau1[[#This Row],[GAMME]]," ",Tableau1[[#This Row],[TYPE PRODUIT]]," ",Tableau1[[#This Row],[PUISSANCE]])</f>
        <v/>
      </c>
      <c r="F1390" t="inlineStr">
        <is>
          <t>Intexion Kenia</t>
        </is>
      </c>
      <c r="G1390" t="inlineStr">
        <is>
          <t>GVX</t>
        </is>
      </c>
      <c r="H1390" t="inlineStr">
        <is>
          <t>IO</t>
        </is>
      </c>
      <c r="I1390" t="inlineStr">
        <is>
          <t>1250kVA</t>
        </is>
      </c>
      <c r="J1390" t="inlineStr">
        <is>
          <t>MATRION</t>
        </is>
      </c>
      <c r="K1390" t="inlineStr">
        <is>
          <t>CUIVRE</t>
        </is>
      </c>
      <c r="L1390">
        <f>_xlfn.XLOOKUP(Tableau1[[#This Row],[TYPE DE PIECE]],Tableau4[MATIERE],Tableau4[SHORT TYPE],"",0,1)</f>
        <v/>
      </c>
      <c r="N1390">
        <f>IF(ISERR(FIND("DECOUPE",Tableau1[[#This Row],[DESIGNATION]])),"","NEED REF")</f>
        <v/>
      </c>
    </row>
    <row r="1391">
      <c r="B1391" t="n">
        <v>34412610</v>
      </c>
      <c r="C1391" s="2" t="n">
        <v>45446</v>
      </c>
      <c r="D1391" t="inlineStr">
        <is>
          <t>SPEC</t>
        </is>
      </c>
      <c r="E1391">
        <f>_xlfn.CONCAT(Tableau1[[#This Row],[SHORT TYPE]]," ",Tableau1[[#This Row],[NUMERO]]," ",Tableau1[[#This Row],[GAMME]]," ",Tableau1[[#This Row],[TYPE PRODUIT]]," ",Tableau1[[#This Row],[PUISSANCE]])</f>
        <v/>
      </c>
      <c r="F1391" t="inlineStr">
        <is>
          <t>Intexion Kenia</t>
        </is>
      </c>
      <c r="G1391" t="inlineStr">
        <is>
          <t>GVX</t>
        </is>
      </c>
      <c r="H1391" t="inlineStr">
        <is>
          <t>IO</t>
        </is>
      </c>
      <c r="I1391" t="inlineStr">
        <is>
          <t>1250kVA</t>
        </is>
      </c>
      <c r="J1391" t="inlineStr">
        <is>
          <t>MATRION</t>
        </is>
      </c>
      <c r="K1391" t="inlineStr">
        <is>
          <t>CUIVRE</t>
        </is>
      </c>
      <c r="L1391">
        <f>_xlfn.XLOOKUP(Tableau1[[#This Row],[TYPE DE PIECE]],Tableau4[MATIERE],Tableau4[SHORT TYPE],"",0,1)</f>
        <v/>
      </c>
      <c r="N1391">
        <f>IF(ISERR(FIND("DECOUPE",Tableau1[[#This Row],[DESIGNATION]])),"","NEED REF")</f>
        <v/>
      </c>
    </row>
    <row r="1392">
      <c r="B1392" t="n">
        <v>34412609</v>
      </c>
      <c r="C1392" s="2" t="n">
        <v>45446</v>
      </c>
      <c r="D1392" t="inlineStr">
        <is>
          <t>SPEC</t>
        </is>
      </c>
      <c r="E1392">
        <f>_xlfn.CONCAT(Tableau1[[#This Row],[SHORT TYPE]]," ",Tableau1[[#This Row],[NUMERO]]," ",Tableau1[[#This Row],[GAMME]]," ",Tableau1[[#This Row],[TYPE PRODUIT]]," ",Tableau1[[#This Row],[PUISSANCE]])</f>
        <v/>
      </c>
      <c r="F1392" t="inlineStr">
        <is>
          <t>Intexion Kenia</t>
        </is>
      </c>
      <c r="G1392" t="inlineStr">
        <is>
          <t>GVX</t>
        </is>
      </c>
      <c r="H1392" t="inlineStr">
        <is>
          <t>IO</t>
        </is>
      </c>
      <c r="I1392" t="inlineStr">
        <is>
          <t>1250kVA</t>
        </is>
      </c>
      <c r="J1392" t="inlineStr">
        <is>
          <t>MATRION</t>
        </is>
      </c>
      <c r="K1392" t="inlineStr">
        <is>
          <t>CUIVRE</t>
        </is>
      </c>
      <c r="L1392">
        <f>_xlfn.XLOOKUP(Tableau1[[#This Row],[TYPE DE PIECE]],Tableau4[MATIERE],Tableau4[SHORT TYPE],"",0,1)</f>
        <v/>
      </c>
      <c r="N1392">
        <f>IF(ISERR(FIND("DECOUPE",Tableau1[[#This Row],[DESIGNATION]])),"","NEED REF")</f>
        <v/>
      </c>
    </row>
    <row r="1393">
      <c r="B1393" t="n">
        <v>34412608</v>
      </c>
      <c r="C1393" s="2" t="n">
        <v>45446</v>
      </c>
      <c r="D1393" t="inlineStr">
        <is>
          <t>SPEC</t>
        </is>
      </c>
      <c r="E1393">
        <f>_xlfn.CONCAT(Tableau1[[#This Row],[SHORT TYPE]]," ",Tableau1[[#This Row],[NUMERO]]," ",Tableau1[[#This Row],[GAMME]]," ",Tableau1[[#This Row],[TYPE PRODUIT]]," ",Tableau1[[#This Row],[PUISSANCE]])</f>
        <v/>
      </c>
      <c r="F1393" t="inlineStr">
        <is>
          <t>Intexion Kenia</t>
        </is>
      </c>
      <c r="G1393" t="inlineStr">
        <is>
          <t>GVX</t>
        </is>
      </c>
      <c r="H1393" t="inlineStr">
        <is>
          <t>IO</t>
        </is>
      </c>
      <c r="I1393" t="inlineStr">
        <is>
          <t>1250kVA</t>
        </is>
      </c>
      <c r="J1393" t="inlineStr">
        <is>
          <t>MATRION</t>
        </is>
      </c>
      <c r="K1393" t="inlineStr">
        <is>
          <t>CUIVRE</t>
        </is>
      </c>
      <c r="L1393">
        <f>_xlfn.XLOOKUP(Tableau1[[#This Row],[TYPE DE PIECE]],Tableau4[MATIERE],Tableau4[SHORT TYPE],"",0,1)</f>
        <v/>
      </c>
      <c r="N1393">
        <f>IF(ISERR(FIND("DECOUPE",Tableau1[[#This Row],[DESIGNATION]])),"","NEED REF")</f>
        <v/>
      </c>
    </row>
    <row r="1394">
      <c r="B1394" t="n">
        <v>34412607</v>
      </c>
      <c r="C1394" s="2" t="n">
        <v>45446</v>
      </c>
      <c r="D1394" t="inlineStr">
        <is>
          <t>SPEC</t>
        </is>
      </c>
      <c r="E1394">
        <f>_xlfn.CONCAT(Tableau1[[#This Row],[SHORT TYPE]]," ",Tableau1[[#This Row],[NUMERO]]," ",Tableau1[[#This Row],[GAMME]]," ",Tableau1[[#This Row],[TYPE PRODUIT]]," ",Tableau1[[#This Row],[PUISSANCE]])</f>
        <v/>
      </c>
      <c r="F1394" t="inlineStr">
        <is>
          <t>Intexion Kenia</t>
        </is>
      </c>
      <c r="G1394" t="inlineStr">
        <is>
          <t>GVX</t>
        </is>
      </c>
      <c r="H1394" t="inlineStr">
        <is>
          <t>IO</t>
        </is>
      </c>
      <c r="I1394" t="inlineStr">
        <is>
          <t>1250kVA</t>
        </is>
      </c>
      <c r="J1394" t="inlineStr">
        <is>
          <t>MATRION</t>
        </is>
      </c>
      <c r="K1394" t="inlineStr">
        <is>
          <t>CUIVRE</t>
        </is>
      </c>
      <c r="L1394">
        <f>_xlfn.XLOOKUP(Tableau1[[#This Row],[TYPE DE PIECE]],Tableau4[MATIERE],Tableau4[SHORT TYPE],"",0,1)</f>
        <v/>
      </c>
      <c r="N1394">
        <f>IF(ISERR(FIND("DECOUPE",Tableau1[[#This Row],[DESIGNATION]])),"","NEED REF")</f>
        <v/>
      </c>
    </row>
    <row r="1395">
      <c r="B1395" t="n">
        <v>34412606</v>
      </c>
      <c r="C1395" s="2" t="n">
        <v>45446</v>
      </c>
      <c r="D1395" t="inlineStr">
        <is>
          <t>SPEC</t>
        </is>
      </c>
      <c r="E1395">
        <f>_xlfn.CONCAT(Tableau1[[#This Row],[SHORT TYPE]]," ",Tableau1[[#This Row],[NUMERO]]," ",Tableau1[[#This Row],[GAMME]]," ",Tableau1[[#This Row],[TYPE PRODUIT]]," ",Tableau1[[#This Row],[PUISSANCE]])</f>
        <v/>
      </c>
      <c r="F1395" t="inlineStr">
        <is>
          <t>Intexion Kenia</t>
        </is>
      </c>
      <c r="G1395" t="inlineStr">
        <is>
          <t>GVX</t>
        </is>
      </c>
      <c r="H1395" t="inlineStr">
        <is>
          <t>IO</t>
        </is>
      </c>
      <c r="I1395" t="inlineStr">
        <is>
          <t>1250kVA</t>
        </is>
      </c>
      <c r="J1395" t="inlineStr">
        <is>
          <t>MATRION</t>
        </is>
      </c>
      <c r="K1395" t="inlineStr">
        <is>
          <t>CUIVRE</t>
        </is>
      </c>
      <c r="L1395">
        <f>_xlfn.XLOOKUP(Tableau1[[#This Row],[TYPE DE PIECE]],Tableau4[MATIERE],Tableau4[SHORT TYPE],"",0,1)</f>
        <v/>
      </c>
      <c r="N1395">
        <f>IF(ISERR(FIND("DECOUPE",Tableau1[[#This Row],[DESIGNATION]])),"","NEED REF")</f>
        <v/>
      </c>
    </row>
    <row r="1396">
      <c r="B1396" t="n">
        <v>34412605</v>
      </c>
      <c r="C1396" s="2" t="n">
        <v>45442</v>
      </c>
      <c r="D1396" t="inlineStr">
        <is>
          <t>SPEC</t>
        </is>
      </c>
      <c r="E1396" t="inlineStr">
        <is>
          <t>CANEVAS NS800H 5.0E 4P avec bobine MX</t>
        </is>
      </c>
      <c r="J1396" t="inlineStr">
        <is>
          <t>BERNARDEAU</t>
        </is>
      </c>
      <c r="K1396" t="inlineStr">
        <is>
          <t>CANEVAS</t>
        </is>
      </c>
      <c r="L1396">
        <f>_xlfn.XLOOKUP(Tableau1[[#This Row],[TYPE DE PIECE]],Tableau4[MATIERE],Tableau4[SHORT TYPE],"",0,1)</f>
        <v/>
      </c>
      <c r="N1396">
        <f>IF(ISERR(FIND("DECOUPE",Tableau1[[#This Row],[DESIGNATION]])),"","NEED REF")</f>
        <v/>
      </c>
    </row>
    <row r="1397">
      <c r="B1397" t="n">
        <v>34412604</v>
      </c>
      <c r="C1397" s="2" t="n">
        <v>45442</v>
      </c>
      <c r="D1397" t="inlineStr">
        <is>
          <t>SPEC</t>
        </is>
      </c>
      <c r="E1397" t="inlineStr">
        <is>
          <t>CANEVASNS1000H 2.0E 4P</t>
        </is>
      </c>
      <c r="J1397" t="inlineStr">
        <is>
          <t>BERNARDEAU</t>
        </is>
      </c>
      <c r="K1397" t="inlineStr">
        <is>
          <t>CANEVAS</t>
        </is>
      </c>
      <c r="L1397">
        <f>_xlfn.XLOOKUP(Tableau1[[#This Row],[TYPE DE PIECE]],Tableau4[MATIERE],Tableau4[SHORT TYPE],"",0,1)</f>
        <v/>
      </c>
      <c r="N1397">
        <f>IF(ISERR(FIND("DECOUPE",Tableau1[[#This Row],[DESIGNATION]])),"","NEED REF")</f>
        <v/>
      </c>
    </row>
    <row r="1398">
      <c r="B1398" t="n">
        <v>34412603</v>
      </c>
      <c r="C1398" s="2" t="n">
        <v>45441</v>
      </c>
      <c r="D1398" t="inlineStr">
        <is>
          <t>SPEC</t>
        </is>
      </c>
      <c r="E1398" t="inlineStr">
        <is>
          <t xml:space="preserve">CANEVAS NS800H 5.0E 4P </t>
        </is>
      </c>
      <c r="J1398" t="inlineStr">
        <is>
          <t>BERNARDEAU</t>
        </is>
      </c>
      <c r="K1398" t="inlineStr">
        <is>
          <t>CANEVAS</t>
        </is>
      </c>
      <c r="L1398">
        <f>_xlfn.XLOOKUP(Tableau1[[#This Row],[TYPE DE PIECE]],Tableau4[MATIERE],Tableau4[SHORT TYPE],"",0,1)</f>
        <v/>
      </c>
      <c r="N1398">
        <f>IF(ISERR(FIND("DECOUPE",Tableau1[[#This Row],[DESIGNATION]])),"","NEED REF")</f>
        <v/>
      </c>
    </row>
    <row r="1399">
      <c r="B1399" t="n">
        <v>34412602</v>
      </c>
      <c r="C1399" s="2" t="n">
        <v>45441</v>
      </c>
      <c r="D1399" t="inlineStr">
        <is>
          <t>SPEC</t>
        </is>
      </c>
      <c r="E1399" t="inlineStr">
        <is>
          <t>SMT PLASTRON HAUT/BAS</t>
        </is>
      </c>
      <c r="F1399" t="inlineStr">
        <is>
          <t>DCI Datacenter / Korea</t>
        </is>
      </c>
      <c r="G1399" t="inlineStr">
        <is>
          <t>GVL</t>
        </is>
      </c>
      <c r="H1399" t="inlineStr">
        <is>
          <t>INPUT PANEL</t>
        </is>
      </c>
      <c r="I1399" t="inlineStr">
        <is>
          <t>600KVA</t>
        </is>
      </c>
      <c r="J1399" t="inlineStr">
        <is>
          <t>JAWORSKI</t>
        </is>
      </c>
      <c r="L1399">
        <f>_xlfn.XLOOKUP(Tableau1[[#This Row],[TYPE DE PIECE]],Tableau4[MATIERE],Tableau4[SHORT TYPE],"",0,1)</f>
        <v/>
      </c>
      <c r="N1399">
        <f>IF(ISERR(FIND("DECOUPE",Tableau1[[#This Row],[DESIGNATION]])),"","NEED REF")</f>
        <v/>
      </c>
    </row>
    <row r="1400">
      <c r="B1400" t="n">
        <v>34412601</v>
      </c>
      <c r="C1400" s="2" t="n">
        <v>45441</v>
      </c>
      <c r="D1400" t="inlineStr">
        <is>
          <t>SPEC</t>
        </is>
      </c>
      <c r="E1400" t="inlineStr">
        <is>
          <t>SMT PLASTRON CENTRE</t>
        </is>
      </c>
      <c r="F1400" t="inlineStr">
        <is>
          <t>DCI Datacenter / Korea</t>
        </is>
      </c>
      <c r="G1400" t="inlineStr">
        <is>
          <t>GVL</t>
        </is>
      </c>
      <c r="H1400" t="inlineStr">
        <is>
          <t>INPUT PANEL</t>
        </is>
      </c>
      <c r="I1400" t="inlineStr">
        <is>
          <t>600KVA</t>
        </is>
      </c>
      <c r="J1400" t="inlineStr">
        <is>
          <t>JAWORSKI</t>
        </is>
      </c>
      <c r="L1400">
        <f>_xlfn.XLOOKUP(Tableau1[[#This Row],[TYPE DE PIECE]],Tableau4[MATIERE],Tableau4[SHORT TYPE],"",0,1)</f>
        <v/>
      </c>
      <c r="N1400">
        <f>IF(ISERR(FIND("DECOUPE",Tableau1[[#This Row],[DESIGNATION]])),"","NEED REF")</f>
        <v/>
      </c>
    </row>
    <row r="1401">
      <c r="B1401" t="n">
        <v>34412600</v>
      </c>
      <c r="C1401" s="2" t="n">
        <v>45441</v>
      </c>
      <c r="D1401" t="inlineStr">
        <is>
          <t>SPEC</t>
        </is>
      </c>
      <c r="E1401" t="inlineStr">
        <is>
          <t>SMT PLASTRON NSX630</t>
        </is>
      </c>
      <c r="F1401" t="inlineStr">
        <is>
          <t>DCI Datacenter / Korea</t>
        </is>
      </c>
      <c r="G1401" t="inlineStr">
        <is>
          <t>GVL</t>
        </is>
      </c>
      <c r="H1401" t="inlineStr">
        <is>
          <t>INPUT PANEL</t>
        </is>
      </c>
      <c r="I1401" t="inlineStr">
        <is>
          <t>600KVA</t>
        </is>
      </c>
      <c r="J1401" t="inlineStr">
        <is>
          <t>JAWORSKI</t>
        </is>
      </c>
      <c r="L1401">
        <f>_xlfn.XLOOKUP(Tableau1[[#This Row],[TYPE DE PIECE]],Tableau4[MATIERE],Tableau4[SHORT TYPE],"",0,1)</f>
        <v/>
      </c>
      <c r="N1401">
        <f>IF(ISERR(FIND("DECOUPE",Tableau1[[#This Row],[DESIGNATION]])),"","NEED REF")</f>
        <v/>
      </c>
    </row>
    <row r="1402">
      <c r="B1402" t="n">
        <v>34412599</v>
      </c>
      <c r="C1402" s="2" t="n">
        <v>45441</v>
      </c>
      <c r="D1402" t="inlineStr">
        <is>
          <t>SPEC</t>
        </is>
      </c>
      <c r="E1402" t="inlineStr">
        <is>
          <t>COP LIAISON UPS/LINERGY N</t>
        </is>
      </c>
      <c r="F1402" t="inlineStr">
        <is>
          <t>DCI Datacenter / Korea</t>
        </is>
      </c>
      <c r="G1402" t="inlineStr">
        <is>
          <t>GVL</t>
        </is>
      </c>
      <c r="H1402" t="inlineStr">
        <is>
          <t>INPUT PANEL</t>
        </is>
      </c>
      <c r="I1402" t="inlineStr">
        <is>
          <t>600KVA</t>
        </is>
      </c>
      <c r="J1402" t="inlineStr">
        <is>
          <t>JAWORSKI</t>
        </is>
      </c>
      <c r="L1402">
        <f>_xlfn.XLOOKUP(Tableau1[[#This Row],[TYPE DE PIECE]],Tableau4[MATIERE],Tableau4[SHORT TYPE],"",0,1)</f>
        <v/>
      </c>
      <c r="N1402">
        <f>IF(ISERR(FIND("DECOUPE",Tableau1[[#This Row],[DESIGNATION]])),"","NEED REF")</f>
        <v/>
      </c>
    </row>
    <row r="1403">
      <c r="B1403" t="n">
        <v>34412598</v>
      </c>
      <c r="C1403" s="2" t="n">
        <v>45441</v>
      </c>
      <c r="D1403" t="inlineStr">
        <is>
          <t>SPEC</t>
        </is>
      </c>
      <c r="E1403" t="inlineStr">
        <is>
          <t>COP LIAISON NSX630/LINERGY L1</t>
        </is>
      </c>
      <c r="F1403" t="inlineStr">
        <is>
          <t>DCI Datacenter / Korea</t>
        </is>
      </c>
      <c r="G1403" t="inlineStr">
        <is>
          <t>GVL</t>
        </is>
      </c>
      <c r="H1403" t="inlineStr">
        <is>
          <t>INPUT PANEL</t>
        </is>
      </c>
      <c r="I1403" t="inlineStr">
        <is>
          <t>600KVA</t>
        </is>
      </c>
      <c r="J1403" t="inlineStr">
        <is>
          <t>JAWORSKI</t>
        </is>
      </c>
      <c r="L1403">
        <f>_xlfn.XLOOKUP(Tableau1[[#This Row],[TYPE DE PIECE]],Tableau4[MATIERE],Tableau4[SHORT TYPE],"",0,1)</f>
        <v/>
      </c>
      <c r="N1403">
        <f>IF(ISERR(FIND("DECOUPE",Tableau1[[#This Row],[DESIGNATION]])),"","NEED REF")</f>
        <v/>
      </c>
    </row>
    <row r="1404">
      <c r="B1404" t="n">
        <v>34412597</v>
      </c>
      <c r="C1404" s="2" t="n">
        <v>45441</v>
      </c>
      <c r="D1404" t="inlineStr">
        <is>
          <t>SPEC</t>
        </is>
      </c>
      <c r="E1404" t="inlineStr">
        <is>
          <t>COP LIAISON NSX630/LINERGY N</t>
        </is>
      </c>
      <c r="F1404" t="inlineStr">
        <is>
          <t>DCI Datacenter / Korea</t>
        </is>
      </c>
      <c r="G1404" t="inlineStr">
        <is>
          <t>GVL</t>
        </is>
      </c>
      <c r="H1404" t="inlineStr">
        <is>
          <t>INPUT PANEL</t>
        </is>
      </c>
      <c r="I1404" t="inlineStr">
        <is>
          <t>600KVA</t>
        </is>
      </c>
      <c r="J1404" t="inlineStr">
        <is>
          <t>JAWORSKI</t>
        </is>
      </c>
      <c r="L1404">
        <f>_xlfn.XLOOKUP(Tableau1[[#This Row],[TYPE DE PIECE]],Tableau4[MATIERE],Tableau4[SHORT TYPE],"",0,1)</f>
        <v/>
      </c>
      <c r="N1404">
        <f>IF(ISERR(FIND("DECOUPE",Tableau1[[#This Row],[DESIGNATION]])),"","NEED REF")</f>
        <v/>
      </c>
    </row>
    <row r="1405">
      <c r="B1405" t="n">
        <v>34412596</v>
      </c>
      <c r="C1405" s="2" t="n">
        <v>45441</v>
      </c>
      <c r="D1405" t="inlineStr">
        <is>
          <t>SPEC</t>
        </is>
      </c>
      <c r="E1405" t="inlineStr">
        <is>
          <t>COP LIAISON NSX630/LINERGY L3</t>
        </is>
      </c>
      <c r="F1405" t="inlineStr">
        <is>
          <t>DCI Datacenter / Korea</t>
        </is>
      </c>
      <c r="G1405" t="inlineStr">
        <is>
          <t>GVL</t>
        </is>
      </c>
      <c r="H1405" t="inlineStr">
        <is>
          <t>INPUT PANEL</t>
        </is>
      </c>
      <c r="I1405" t="inlineStr">
        <is>
          <t>600KVA</t>
        </is>
      </c>
      <c r="J1405" t="inlineStr">
        <is>
          <t>JAWORSKI</t>
        </is>
      </c>
      <c r="L1405">
        <f>_xlfn.XLOOKUP(Tableau1[[#This Row],[TYPE DE PIECE]],Tableau4[MATIERE],Tableau4[SHORT TYPE],"",0,1)</f>
        <v/>
      </c>
      <c r="N1405">
        <f>IF(ISERR(FIND("DECOUPE",Tableau1[[#This Row],[DESIGNATION]])),"","NEED REF")</f>
        <v/>
      </c>
    </row>
    <row r="1406">
      <c r="B1406" t="n">
        <v>34412595</v>
      </c>
      <c r="C1406" s="2" t="n">
        <v>45441</v>
      </c>
      <c r="D1406" t="inlineStr">
        <is>
          <t>SPEC</t>
        </is>
      </c>
      <c r="E1406" t="inlineStr">
        <is>
          <t>COP LIAISON NSX630/LINERGY L2</t>
        </is>
      </c>
      <c r="F1406" t="inlineStr">
        <is>
          <t>DCI Datacenter / Korea</t>
        </is>
      </c>
      <c r="G1406" t="inlineStr">
        <is>
          <t>GVL</t>
        </is>
      </c>
      <c r="H1406" t="inlineStr">
        <is>
          <t>INPUT PANEL</t>
        </is>
      </c>
      <c r="I1406" t="inlineStr">
        <is>
          <t>600KVA</t>
        </is>
      </c>
      <c r="J1406" t="inlineStr">
        <is>
          <t>JAWORSKI</t>
        </is>
      </c>
      <c r="L1406">
        <f>_xlfn.XLOOKUP(Tableau1[[#This Row],[TYPE DE PIECE]],Tableau4[MATIERE],Tableau4[SHORT TYPE],"",0,1)</f>
        <v/>
      </c>
      <c r="N1406">
        <f>IF(ISERR(FIND("DECOUPE",Tableau1[[#This Row],[DESIGNATION]])),"","NEED REF")</f>
        <v/>
      </c>
    </row>
    <row r="1407">
      <c r="B1407" t="n">
        <v>34412594</v>
      </c>
      <c r="C1407" s="2" t="n">
        <v>45441</v>
      </c>
      <c r="D1407" t="inlineStr">
        <is>
          <t>SPEC</t>
        </is>
      </c>
      <c r="E1407" t="inlineStr">
        <is>
          <t>SMT PLASTRON HAUT/BAS</t>
        </is>
      </c>
      <c r="G1407" t="inlineStr">
        <is>
          <t>GVL</t>
        </is>
      </c>
      <c r="H1407" t="inlineStr">
        <is>
          <t>BYPASS</t>
        </is>
      </c>
      <c r="J1407" t="inlineStr">
        <is>
          <t>BERNARDEAU</t>
        </is>
      </c>
      <c r="K1407" t="inlineStr">
        <is>
          <t>METAL</t>
        </is>
      </c>
      <c r="L1407">
        <f>_xlfn.XLOOKUP(Tableau1[[#This Row],[TYPE DE PIECE]],Tableau4[MATIERE],Tableau4[SHORT TYPE],"",0,1)</f>
        <v/>
      </c>
      <c r="N1407">
        <f>IF(ISERR(FIND("DECOUPE",Tableau1[[#This Row],[DESIGNATION]])),"","NEED REF")</f>
        <v/>
      </c>
    </row>
    <row r="1408">
      <c r="B1408" t="n">
        <v>34412593</v>
      </c>
      <c r="C1408" s="2" t="n">
        <v>45440</v>
      </c>
      <c r="D1408" t="inlineStr">
        <is>
          <t>SPEC</t>
        </is>
      </c>
      <c r="E1408" t="inlineStr">
        <is>
          <t>DECOUPE 34412585 LINERGY 1600A LG 940MM LVS04564</t>
        </is>
      </c>
      <c r="F1408" t="inlineStr">
        <is>
          <t>DCI Datacenter / Korea</t>
        </is>
      </c>
      <c r="G1408" t="inlineStr">
        <is>
          <t>GVL</t>
        </is>
      </c>
      <c r="H1408" t="inlineStr">
        <is>
          <t>INPUT PANEL</t>
        </is>
      </c>
      <c r="I1408" t="inlineStr">
        <is>
          <t>600KVA</t>
        </is>
      </c>
      <c r="J1408" t="inlineStr">
        <is>
          <t>JAWORSKI</t>
        </is>
      </c>
      <c r="K1408" t="inlineStr">
        <is>
          <t>ETO</t>
        </is>
      </c>
      <c r="L1408">
        <f>_xlfn.XLOOKUP(Tableau1[[#This Row],[TYPE DE PIECE]],Tableau4[MATIERE],Tableau4[SHORT TYPE],"",0,1)</f>
        <v/>
      </c>
      <c r="N1408" t="inlineStr">
        <is>
          <t>LVS04564</t>
        </is>
      </c>
    </row>
    <row r="1409">
      <c r="B1409" t="n">
        <v>34412592</v>
      </c>
      <c r="C1409" s="2" t="n">
        <v>45440</v>
      </c>
      <c r="D1409" t="inlineStr">
        <is>
          <t>SPEC</t>
        </is>
      </c>
      <c r="E1409" t="inlineStr">
        <is>
          <t>SMT PLATINE NSX630 3-4P</t>
        </is>
      </c>
      <c r="F1409" t="inlineStr">
        <is>
          <t>DCI Datacenter / Korea</t>
        </is>
      </c>
      <c r="G1409" t="inlineStr">
        <is>
          <t>GVL</t>
        </is>
      </c>
      <c r="H1409" t="inlineStr">
        <is>
          <t>INPUT PANEL</t>
        </is>
      </c>
      <c r="I1409" t="inlineStr">
        <is>
          <t>600KVA</t>
        </is>
      </c>
      <c r="J1409" t="inlineStr">
        <is>
          <t>JAWORSKI</t>
        </is>
      </c>
      <c r="K1409" t="inlineStr">
        <is>
          <t>METAL</t>
        </is>
      </c>
      <c r="L1409">
        <f>_xlfn.XLOOKUP(Tableau1[[#This Row],[TYPE DE PIECE]],Tableau4[MATIERE],Tableau4[SHORT TYPE],"",0,1)</f>
        <v/>
      </c>
      <c r="N1409">
        <f>IF(ISERR(FIND("DECOUPE",Tableau1[[#This Row],[DESIGNATION]])),"","NEED REF")</f>
        <v/>
      </c>
    </row>
    <row r="1410">
      <c r="B1410" t="n">
        <v>34412591</v>
      </c>
      <c r="C1410" s="2" t="n">
        <v>45440</v>
      </c>
      <c r="D1410" t="inlineStr">
        <is>
          <t>SPEC</t>
        </is>
      </c>
      <c r="E1410" t="inlineStr">
        <is>
          <t>SMT SUPPORT JDB 75MM 4 POLES LVS04662</t>
        </is>
      </c>
      <c r="F1410" t="inlineStr">
        <is>
          <t>DCI Datacenter / Korea</t>
        </is>
      </c>
      <c r="G1410" t="inlineStr">
        <is>
          <t>GVL</t>
        </is>
      </c>
      <c r="H1410" t="inlineStr">
        <is>
          <t>INPUT PANEL</t>
        </is>
      </c>
      <c r="I1410" t="inlineStr">
        <is>
          <t>600KVA</t>
        </is>
      </c>
      <c r="J1410" t="inlineStr">
        <is>
          <t>JAWORSKI</t>
        </is>
      </c>
      <c r="K1410" t="inlineStr">
        <is>
          <t>METAL</t>
        </is>
      </c>
      <c r="L1410">
        <f>_xlfn.XLOOKUP(Tableau1[[#This Row],[TYPE DE PIECE]],Tableau4[MATIERE],Tableau4[SHORT TYPE],"",0,1)</f>
        <v/>
      </c>
      <c r="N1410">
        <f>IF(ISERR(FIND("DECOUPE",Tableau1[[#This Row],[DESIGNATION]])),"","NEED REF")</f>
        <v/>
      </c>
    </row>
    <row r="1411">
      <c r="B1411" t="n">
        <v>34412590</v>
      </c>
      <c r="C1411" s="2" t="n">
        <v>45440</v>
      </c>
      <c r="D1411" t="inlineStr">
        <is>
          <t>SPEC</t>
        </is>
      </c>
      <c r="E1411" t="inlineStr">
        <is>
          <t>SMT TRAVERSE LATTERALE PLATINE</t>
        </is>
      </c>
      <c r="F1411" t="inlineStr">
        <is>
          <t>DCI Datacenter / Korea</t>
        </is>
      </c>
      <c r="G1411" t="inlineStr">
        <is>
          <t>GVL</t>
        </is>
      </c>
      <c r="H1411" t="inlineStr">
        <is>
          <t>INPUT PANEL</t>
        </is>
      </c>
      <c r="I1411" t="inlineStr">
        <is>
          <t>600KVA</t>
        </is>
      </c>
      <c r="J1411" t="inlineStr">
        <is>
          <t>JAWORSKI</t>
        </is>
      </c>
      <c r="K1411" t="inlineStr">
        <is>
          <t>METAL</t>
        </is>
      </c>
      <c r="L1411">
        <f>_xlfn.XLOOKUP(Tableau1[[#This Row],[TYPE DE PIECE]],Tableau4[MATIERE],Tableau4[SHORT TYPE],"",0,1)</f>
        <v/>
      </c>
      <c r="N1411">
        <f>IF(ISERR(FIND("DECOUPE",Tableau1[[#This Row],[DESIGNATION]])),"","NEED REF")</f>
        <v/>
      </c>
    </row>
    <row r="1412">
      <c r="B1412" t="n">
        <v>34412589</v>
      </c>
      <c r="C1412" s="2" t="n">
        <v>45440</v>
      </c>
      <c r="D1412" t="inlineStr">
        <is>
          <t>SPEC</t>
        </is>
      </c>
      <c r="E1412" t="inlineStr">
        <is>
          <t>SMT SUPPORT LINERGY 1600A</t>
        </is>
      </c>
      <c r="F1412" t="inlineStr">
        <is>
          <t>DCI Datacenter / Korea</t>
        </is>
      </c>
      <c r="G1412" t="inlineStr">
        <is>
          <t>GVL</t>
        </is>
      </c>
      <c r="H1412" t="inlineStr">
        <is>
          <t>INPUT PANEL</t>
        </is>
      </c>
      <c r="I1412" t="inlineStr">
        <is>
          <t>600KVA</t>
        </is>
      </c>
      <c r="J1412" t="inlineStr">
        <is>
          <t>JAWORSKI</t>
        </is>
      </c>
      <c r="K1412" t="inlineStr">
        <is>
          <t>METAL</t>
        </is>
      </c>
      <c r="L1412">
        <f>_xlfn.XLOOKUP(Tableau1[[#This Row],[TYPE DE PIECE]],Tableau4[MATIERE],Tableau4[SHORT TYPE],"",0,1)</f>
        <v/>
      </c>
      <c r="N1412">
        <f>IF(ISERR(FIND("DECOUPE",Tableau1[[#This Row],[DESIGNATION]])),"","NEED REF")</f>
        <v/>
      </c>
    </row>
    <row r="1413">
      <c r="B1413" t="n">
        <v>34412588</v>
      </c>
      <c r="C1413" s="2" t="n">
        <v>45440</v>
      </c>
      <c r="D1413" t="inlineStr">
        <is>
          <t>SPEC</t>
        </is>
      </c>
      <c r="E1413" t="inlineStr">
        <is>
          <t>SMT SUPPORT HAUT STRUCTURE BIRDY</t>
        </is>
      </c>
      <c r="F1413" t="inlineStr">
        <is>
          <t>DCI Datacenter / Korea</t>
        </is>
      </c>
      <c r="G1413" t="inlineStr">
        <is>
          <t>GVL</t>
        </is>
      </c>
      <c r="H1413" t="inlineStr">
        <is>
          <t>INPUT PANEL</t>
        </is>
      </c>
      <c r="I1413" t="inlineStr">
        <is>
          <t>600KVA</t>
        </is>
      </c>
      <c r="J1413" t="inlineStr">
        <is>
          <t>JAWORSKI</t>
        </is>
      </c>
      <c r="K1413" t="inlineStr">
        <is>
          <t>METAL</t>
        </is>
      </c>
      <c r="L1413">
        <f>_xlfn.XLOOKUP(Tableau1[[#This Row],[TYPE DE PIECE]],Tableau4[MATIERE],Tableau4[SHORT TYPE],"",0,1)</f>
        <v/>
      </c>
      <c r="N1413">
        <f>IF(ISERR(FIND("DECOUPE",Tableau1[[#This Row],[DESIGNATION]])),"","NEED REF")</f>
        <v/>
      </c>
    </row>
    <row r="1414">
      <c r="B1414" t="n">
        <v>34412587</v>
      </c>
      <c r="C1414" s="2" t="n">
        <v>45440</v>
      </c>
      <c r="D1414" t="inlineStr">
        <is>
          <t>SPEC</t>
        </is>
      </c>
      <c r="E1414" t="inlineStr">
        <is>
          <t>COP PLAGE TGAB 1250A</t>
        </is>
      </c>
      <c r="F1414" t="inlineStr">
        <is>
          <t>DCI Datacenter / Korea</t>
        </is>
      </c>
      <c r="G1414" t="inlineStr">
        <is>
          <t>GVL</t>
        </is>
      </c>
      <c r="H1414" t="inlineStr">
        <is>
          <t>INPUT PANEL</t>
        </is>
      </c>
      <c r="I1414" t="inlineStr">
        <is>
          <t>600KVA</t>
        </is>
      </c>
      <c r="J1414" t="inlineStr">
        <is>
          <t>JAWORSKI</t>
        </is>
      </c>
      <c r="K1414" t="inlineStr">
        <is>
          <t>CUIVRE</t>
        </is>
      </c>
      <c r="L1414">
        <f>_xlfn.XLOOKUP(Tableau1[[#This Row],[TYPE DE PIECE]],Tableau4[MATIERE],Tableau4[SHORT TYPE],"",0,1)</f>
        <v/>
      </c>
      <c r="N1414">
        <f>IF(ISERR(FIND("DECOUPE",Tableau1[[#This Row],[DESIGNATION]])),"","NEED REF")</f>
        <v/>
      </c>
    </row>
    <row r="1415">
      <c r="B1415" t="n">
        <v>34412586</v>
      </c>
      <c r="C1415" s="2" t="n">
        <v>45440</v>
      </c>
      <c r="D1415" t="inlineStr">
        <is>
          <t>SPEC</t>
        </is>
      </c>
      <c r="E1415" t="inlineStr">
        <is>
          <t>SMT SUPPORT PLATINE</t>
        </is>
      </c>
      <c r="F1415" t="inlineStr">
        <is>
          <t>DCI Datacenter / Korea</t>
        </is>
      </c>
      <c r="G1415" t="inlineStr">
        <is>
          <t>GVL</t>
        </is>
      </c>
      <c r="H1415" t="inlineStr">
        <is>
          <t>INPUT PANEL</t>
        </is>
      </c>
      <c r="I1415" t="inlineStr">
        <is>
          <t>600KVA</t>
        </is>
      </c>
      <c r="J1415" t="inlineStr">
        <is>
          <t>JAWORSKI</t>
        </is>
      </c>
      <c r="K1415" t="inlineStr">
        <is>
          <t>METAL</t>
        </is>
      </c>
      <c r="L1415">
        <f>_xlfn.XLOOKUP(Tableau1[[#This Row],[TYPE DE PIECE]],Tableau4[MATIERE],Tableau4[SHORT TYPE],"",0,1)</f>
        <v/>
      </c>
      <c r="N1415">
        <f>IF(ISERR(FIND("DECOUPE",Tableau1[[#This Row],[DESIGNATION]])),"","NEED REF")</f>
        <v/>
      </c>
    </row>
    <row r="1416">
      <c r="B1416" t="n">
        <v>34412585</v>
      </c>
      <c r="C1416" s="2" t="n">
        <v>45440</v>
      </c>
      <c r="D1416" t="inlineStr">
        <is>
          <t>SPEC</t>
        </is>
      </c>
      <c r="E1416" t="inlineStr">
        <is>
          <t>DECOUPE 34412585 LINERGY 1600A LG 910MM LVS04564</t>
        </is>
      </c>
      <c r="F1416" t="inlineStr">
        <is>
          <t>DCI Datacenter / Korea</t>
        </is>
      </c>
      <c r="G1416" t="inlineStr">
        <is>
          <t>GVL</t>
        </is>
      </c>
      <c r="H1416" t="inlineStr">
        <is>
          <t>INPUT PANEL</t>
        </is>
      </c>
      <c r="I1416" t="inlineStr">
        <is>
          <t>600KVA</t>
        </is>
      </c>
      <c r="J1416" t="inlineStr">
        <is>
          <t>JAWORSKI</t>
        </is>
      </c>
      <c r="K1416" t="inlineStr">
        <is>
          <t>ETO</t>
        </is>
      </c>
      <c r="L1416">
        <f>_xlfn.XLOOKUP(Tableau1[[#This Row],[TYPE DE PIECE]],Tableau4[MATIERE],Tableau4[SHORT TYPE],"",0,1)</f>
        <v/>
      </c>
      <c r="M1416" t="inlineStr">
        <is>
          <t>LINERGY</t>
        </is>
      </c>
      <c r="N1416" t="inlineStr">
        <is>
          <t>LVS04564</t>
        </is>
      </c>
    </row>
    <row r="1417">
      <c r="B1417" t="n">
        <v>34412584</v>
      </c>
      <c r="C1417" s="2" t="n">
        <v>45440</v>
      </c>
      <c r="D1417" t="inlineStr">
        <is>
          <t>SPEC</t>
        </is>
      </c>
      <c r="E1417" t="inlineStr">
        <is>
          <t>SMT SUPPORT PLATINE</t>
        </is>
      </c>
      <c r="F1417" t="inlineStr">
        <is>
          <t>DCI Datacenter / Korea</t>
        </is>
      </c>
      <c r="G1417" t="inlineStr">
        <is>
          <t>GVL</t>
        </is>
      </c>
      <c r="H1417" t="inlineStr">
        <is>
          <t>INPUT PANEL</t>
        </is>
      </c>
      <c r="I1417" t="inlineStr">
        <is>
          <t>600KVA</t>
        </is>
      </c>
      <c r="J1417" t="inlineStr">
        <is>
          <t>JAWORSKI</t>
        </is>
      </c>
      <c r="K1417" t="inlineStr">
        <is>
          <t>METAL</t>
        </is>
      </c>
      <c r="L1417">
        <f>_xlfn.XLOOKUP(Tableau1[[#This Row],[TYPE DE PIECE]],Tableau4[MATIERE],Tableau4[SHORT TYPE],"",0,1)</f>
        <v/>
      </c>
      <c r="N1417">
        <f>IF(ISERR(FIND("DECOUPE",Tableau1[[#This Row],[DESIGNATION]])),"","NEED REF")</f>
        <v/>
      </c>
    </row>
    <row r="1418">
      <c r="B1418" t="n">
        <v>34412583</v>
      </c>
      <c r="C1418" s="2" t="n">
        <v>45440</v>
      </c>
      <c r="D1418" t="inlineStr">
        <is>
          <t>SPEC</t>
        </is>
      </c>
      <c r="E1418" t="inlineStr">
        <is>
          <t>WIR 34412583 KIT STS 4/630A 4P (NEUTRAL CUT OPTION)</t>
        </is>
      </c>
      <c r="F1418" t="inlineStr">
        <is>
          <t>TERACO</t>
        </is>
      </c>
      <c r="G1418" t="inlineStr">
        <is>
          <t>UPSILON</t>
        </is>
      </c>
      <c r="H1418" t="inlineStr">
        <is>
          <t>STS</t>
        </is>
      </c>
      <c r="I1418" t="inlineStr">
        <is>
          <t>4/630A</t>
        </is>
      </c>
      <c r="J1418" t="inlineStr">
        <is>
          <t>JAWORSKI</t>
        </is>
      </c>
      <c r="K1418" t="inlineStr">
        <is>
          <t>FILERIE</t>
        </is>
      </c>
      <c r="L1418">
        <f>_xlfn.XLOOKUP(Tableau1[[#This Row],[TYPE DE PIECE]],Tableau4[MATIERE],Tableau4[SHORT TYPE],"",0,1)</f>
        <v/>
      </c>
      <c r="N1418">
        <f>IF(ISERR(FIND("DECOUPE",Tableau1[[#This Row],[DESIGNATION]])),"","NEED REF")</f>
        <v/>
      </c>
    </row>
    <row r="1419">
      <c r="B1419" t="n">
        <v>34412582</v>
      </c>
      <c r="C1419" s="2" t="n">
        <v>45436</v>
      </c>
      <c r="D1419" t="inlineStr">
        <is>
          <t>SPEC</t>
        </is>
      </c>
      <c r="E1419">
        <f>_xlfn.CONCAT(Tableau1[[#This Row],[SHORT TYPE]]," ",Tableau1[[#This Row],[NUMERO]]," ",Tableau1[[#This Row],[GAMME]]," ",Tableau1[[#This Row],[TYPE PRODUIT]]," ",Tableau1[[#This Row],[PUISSANCE]])</f>
        <v/>
      </c>
      <c r="J1419" t="inlineStr">
        <is>
          <t>BERNARDEAU</t>
        </is>
      </c>
      <c r="K1419" t="inlineStr">
        <is>
          <t>METAL</t>
        </is>
      </c>
      <c r="L1419">
        <f>_xlfn.XLOOKUP(Tableau1[[#This Row],[TYPE DE PIECE]],Tableau4[MATIERE],Tableau4[SHORT TYPE],"",0,1)</f>
        <v/>
      </c>
      <c r="N1419">
        <f>IF(ISERR(FIND("DECOUPE",Tableau1[[#This Row],[DESIGNATION]])),"","NEED REF")</f>
        <v/>
      </c>
    </row>
    <row r="1420">
      <c r="B1420" t="n">
        <v>34412581</v>
      </c>
      <c r="C1420" s="2" t="n">
        <v>45436</v>
      </c>
      <c r="D1420" t="inlineStr">
        <is>
          <t>SPEC</t>
        </is>
      </c>
      <c r="E1420" t="inlineStr">
        <is>
          <t>SMT SUPPORT RAIL + GOULOTTES ARRIERE L618</t>
        </is>
      </c>
      <c r="J1420" t="inlineStr">
        <is>
          <t>BERNARDEAU</t>
        </is>
      </c>
      <c r="K1420" t="inlineStr">
        <is>
          <t>METAL</t>
        </is>
      </c>
      <c r="L1420">
        <f>_xlfn.XLOOKUP(Tableau1[[#This Row],[TYPE DE PIECE]],Tableau4[MATIERE],Tableau4[SHORT TYPE],"",0,1)</f>
        <v/>
      </c>
      <c r="N1420">
        <f>IF(ISERR(FIND("DECOUPE",Tableau1[[#This Row],[DESIGNATION]])),"","NEED REF")</f>
        <v/>
      </c>
    </row>
    <row r="1421">
      <c r="B1421" t="n">
        <v>34412580</v>
      </c>
      <c r="C1421" s="2" t="n">
        <v>45435</v>
      </c>
      <c r="D1421" t="inlineStr">
        <is>
          <t>SPEC</t>
        </is>
      </c>
      <c r="E1421" t="inlineStr">
        <is>
          <t>SMT PLASTRON 2 GVBBK630EL</t>
        </is>
      </c>
      <c r="G1421" t="inlineStr">
        <is>
          <t>GVL</t>
        </is>
      </c>
      <c r="J1421" t="inlineStr">
        <is>
          <t>BERNARDEAU</t>
        </is>
      </c>
      <c r="K1421" t="inlineStr">
        <is>
          <t>METAL</t>
        </is>
      </c>
      <c r="L1421">
        <f>_xlfn.XLOOKUP(Tableau1[[#This Row],[TYPE DE PIECE]],Tableau4[MATIERE],Tableau4[SHORT TYPE],"",0,1)</f>
        <v/>
      </c>
      <c r="N1421">
        <f>IF(ISERR(FIND("DECOUPE",Tableau1[[#This Row],[DESIGNATION]])),"","NEED REF")</f>
        <v/>
      </c>
    </row>
    <row r="1422">
      <c r="B1422" t="n">
        <v>34412579</v>
      </c>
      <c r="C1422" s="2" t="n">
        <v>45429</v>
      </c>
      <c r="D1422" t="inlineStr">
        <is>
          <t>SPEC</t>
        </is>
      </c>
      <c r="E1422" t="inlineStr">
        <is>
          <t>USTSQ-IND630QZ4_RAL7035 STS 630A 4P 380/400V H=1900</t>
        </is>
      </c>
      <c r="F1422" t="inlineStr">
        <is>
          <t>SCHNEIDER ELECTRIC ASIA</t>
        </is>
      </c>
      <c r="G1422" t="inlineStr">
        <is>
          <t>UPSILON</t>
        </is>
      </c>
      <c r="H1422" t="inlineStr">
        <is>
          <t>STS</t>
        </is>
      </c>
      <c r="I1422" t="inlineStr">
        <is>
          <t>630A</t>
        </is>
      </c>
      <c r="J1422" t="inlineStr">
        <is>
          <t>JAWORSKI</t>
        </is>
      </c>
      <c r="K1422" t="inlineStr">
        <is>
          <t>NOMENCLATURE</t>
        </is>
      </c>
      <c r="L1422">
        <f>_xlfn.XLOOKUP(Tableau1[[#This Row],[TYPE DE PIECE]],Tableau4[MATIERE],Tableau4[SHORT TYPE],"",0,1)</f>
        <v/>
      </c>
      <c r="N1422">
        <f>IF(ISERR(FIND("DECOUPE",Tableau1[[#This Row],[DESIGNATION]])),"","NEED REF")</f>
        <v/>
      </c>
    </row>
    <row r="1423">
      <c r="B1423" t="n">
        <v>34412578</v>
      </c>
      <c r="C1423" s="2" t="n">
        <v>45429</v>
      </c>
      <c r="D1423" t="inlineStr">
        <is>
          <t>SPEC</t>
        </is>
      </c>
      <c r="E1423" t="inlineStr">
        <is>
          <t>SE 34412578 TOIT SPACIAL SF 700*800 RAL7035 168724/01</t>
        </is>
      </c>
      <c r="F1423" t="inlineStr">
        <is>
          <t>SCHNEIDER ELECTRIC ASIA</t>
        </is>
      </c>
      <c r="G1423" t="inlineStr">
        <is>
          <t>UPSILON</t>
        </is>
      </c>
      <c r="H1423" t="inlineStr">
        <is>
          <t>STS</t>
        </is>
      </c>
      <c r="I1423" t="inlineStr">
        <is>
          <t>630A</t>
        </is>
      </c>
      <c r="J1423" t="inlineStr">
        <is>
          <t>JAWORSKI</t>
        </is>
      </c>
      <c r="K1423" t="inlineStr">
        <is>
          <t>SE</t>
        </is>
      </c>
      <c r="L1423">
        <f>_xlfn.XLOOKUP(Tableau1[[#This Row],[TYPE DE PIECE]],Tableau4[MATIERE],Tableau4[SHORT TYPE],"",0,1)</f>
        <v/>
      </c>
      <c r="N1423">
        <f>IF(ISERR(FIND("DECOUPE",Tableau1[[#This Row],[DESIGNATION]])),"","NEED REF")</f>
        <v/>
      </c>
    </row>
    <row r="1424">
      <c r="B1424" t="n">
        <v>34412577</v>
      </c>
      <c r="C1424" s="2" t="n">
        <v>45428</v>
      </c>
      <c r="D1424" t="inlineStr">
        <is>
          <t>SPEC</t>
        </is>
      </c>
      <c r="E1424" t="inlineStr">
        <is>
          <t>ASSY STRUCTURE RAL7035 H=1900 4/630A 4P STS_ETO</t>
        </is>
      </c>
      <c r="F1424" t="inlineStr">
        <is>
          <t>SCHNEIDER ELECTRIC ASIA</t>
        </is>
      </c>
      <c r="G1424" t="inlineStr">
        <is>
          <t>UPSILON</t>
        </is>
      </c>
      <c r="H1424" t="inlineStr">
        <is>
          <t>STS</t>
        </is>
      </c>
      <c r="I1424" t="inlineStr">
        <is>
          <t>630A</t>
        </is>
      </c>
      <c r="J1424" t="inlineStr">
        <is>
          <t>JAWORSKI</t>
        </is>
      </c>
      <c r="K1424" t="inlineStr">
        <is>
          <t>NOMENCLATURE</t>
        </is>
      </c>
      <c r="L1424">
        <f>_xlfn.XLOOKUP(Tableau1[[#This Row],[TYPE DE PIECE]],Tableau4[MATIERE],Tableau4[SHORT TYPE],"",0,1)</f>
        <v/>
      </c>
      <c r="N1424">
        <f>IF(ISERR(FIND("DECOUPE",Tableau1[[#This Row],[DESIGNATION]])),"","NEED REF")</f>
        <v/>
      </c>
    </row>
    <row r="1425">
      <c r="B1425" t="n">
        <v>34412576</v>
      </c>
      <c r="C1425" s="2" t="n">
        <v>45428</v>
      </c>
      <c r="D1425" t="inlineStr">
        <is>
          <t>SPEC</t>
        </is>
      </c>
      <c r="E1425" t="inlineStr">
        <is>
          <t>ASSY FINISH-PACK RAL7035 STS 630A H=1900_ETO</t>
        </is>
      </c>
      <c r="F1425" t="inlineStr">
        <is>
          <t>SCHNEIDER ELECTRIC ASIA</t>
        </is>
      </c>
      <c r="G1425" t="inlineStr">
        <is>
          <t>UPSILON</t>
        </is>
      </c>
      <c r="H1425" t="inlineStr">
        <is>
          <t>STS</t>
        </is>
      </c>
      <c r="I1425" t="inlineStr">
        <is>
          <t>630A</t>
        </is>
      </c>
      <c r="J1425" t="inlineStr">
        <is>
          <t>JAWORSKI</t>
        </is>
      </c>
      <c r="K1425" t="inlineStr">
        <is>
          <t>NOMENCLATURE</t>
        </is>
      </c>
      <c r="L1425">
        <f>_xlfn.XLOOKUP(Tableau1[[#This Row],[TYPE DE PIECE]],Tableau4[MATIERE],Tableau4[SHORT TYPE],"",0,1)</f>
        <v/>
      </c>
      <c r="N1425">
        <f>IF(ISERR(FIND("DECOUPE",Tableau1[[#This Row],[DESIGNATION]])),"","NEED REF")</f>
        <v/>
      </c>
    </row>
    <row r="1426">
      <c r="B1426" t="n">
        <v>34412575</v>
      </c>
      <c r="C1426" s="2" t="n">
        <v>45428</v>
      </c>
      <c r="D1426" t="inlineStr">
        <is>
          <t>SPEC</t>
        </is>
      </c>
      <c r="E1426" t="inlineStr">
        <is>
          <t>ASSY DOOR RAL7035 + MMI STS H=1900</t>
        </is>
      </c>
      <c r="F1426" t="inlineStr">
        <is>
          <t>SCHNEIDER ELECTRIC ASIA</t>
        </is>
      </c>
      <c r="G1426" t="inlineStr">
        <is>
          <t>UPSILON</t>
        </is>
      </c>
      <c r="H1426" t="inlineStr">
        <is>
          <t>STS</t>
        </is>
      </c>
      <c r="I1426" t="inlineStr">
        <is>
          <t>630A</t>
        </is>
      </c>
      <c r="J1426" t="inlineStr">
        <is>
          <t>JAWORSKI</t>
        </is>
      </c>
      <c r="K1426" t="inlineStr">
        <is>
          <t>NOMENCLATURE</t>
        </is>
      </c>
      <c r="L1426">
        <f>_xlfn.XLOOKUP(Tableau1[[#This Row],[TYPE DE PIECE]],Tableau4[MATIERE],Tableau4[SHORT TYPE],"",0,1)</f>
        <v/>
      </c>
      <c r="N1426">
        <f>IF(ISERR(FIND("DECOUPE",Tableau1[[#This Row],[DESIGNATION]])),"","NEED REF")</f>
        <v/>
      </c>
    </row>
    <row r="1427">
      <c r="B1427" t="n">
        <v>34412574</v>
      </c>
      <c r="C1427" s="2" t="n">
        <v>45426</v>
      </c>
      <c r="D1427" t="inlineStr">
        <is>
          <t>SPEC</t>
        </is>
      </c>
      <c r="E1427" t="inlineStr">
        <is>
          <t>SMT PLASTRON AEREE ARMOIRE 700 SAREL</t>
        </is>
      </c>
      <c r="G1427" t="inlineStr">
        <is>
          <t>TOUTES</t>
        </is>
      </c>
      <c r="H1427" t="inlineStr">
        <is>
          <t>BYPASS</t>
        </is>
      </c>
      <c r="J1427" t="inlineStr">
        <is>
          <t>BERNARDEAU</t>
        </is>
      </c>
      <c r="K1427" t="inlineStr">
        <is>
          <t>METAL</t>
        </is>
      </c>
      <c r="L1427">
        <f>_xlfn.XLOOKUP(Tableau1[[#This Row],[TYPE DE PIECE]],Tableau4[MATIERE],Tableau4[SHORT TYPE],"",0,1)</f>
        <v/>
      </c>
      <c r="N1427">
        <f>IF(ISERR(FIND("DECOUPE",Tableau1[[#This Row],[DESIGNATION]])),"","NEED REF")</f>
        <v/>
      </c>
    </row>
    <row r="1428">
      <c r="B1428" t="n">
        <v>34412573</v>
      </c>
      <c r="C1428" s="2" t="n">
        <v>45419</v>
      </c>
      <c r="D1428" t="inlineStr">
        <is>
          <t>SPEC</t>
        </is>
      </c>
      <c r="E1428" t="inlineStr">
        <is>
          <t>DECOUPE CABLOFIL CF54300EZ LG 1500mm</t>
        </is>
      </c>
      <c r="F1428" t="inlineStr">
        <is>
          <t>SCHNEIDER GMBH</t>
        </is>
      </c>
      <c r="G1428" t="inlineStr">
        <is>
          <t>E3L</t>
        </is>
      </c>
      <c r="H1428" t="inlineStr">
        <is>
          <t>BYPASS</t>
        </is>
      </c>
      <c r="I1428" t="inlineStr">
        <is>
          <t>1800KVA</t>
        </is>
      </c>
      <c r="J1428" t="inlineStr">
        <is>
          <t>JAWORSKI</t>
        </is>
      </c>
      <c r="K1428" t="inlineStr">
        <is>
          <t>METAL</t>
        </is>
      </c>
      <c r="L1428">
        <f>_xlfn.XLOOKUP(Tableau1[[#This Row],[TYPE DE PIECE]],Tableau4[MATIERE],Tableau4[SHORT TYPE],"",0,1)</f>
        <v/>
      </c>
      <c r="N1428" t="inlineStr">
        <is>
          <t>CF54300EZ</t>
        </is>
      </c>
    </row>
    <row r="1429">
      <c r="B1429" t="n">
        <v>34412572</v>
      </c>
      <c r="C1429" s="2" t="n">
        <v>45419</v>
      </c>
      <c r="D1429" t="inlineStr">
        <is>
          <t>SPEC</t>
        </is>
      </c>
      <c r="E1429" t="inlineStr">
        <is>
          <t>SE 34412572 STS630 4P CUBICLE RAL7035 136962/01</t>
        </is>
      </c>
      <c r="F1429" t="inlineStr">
        <is>
          <t>SCHNEIDER ELECTRIC IT LOGISTICS ASIA PACIFIC PTE LTD - PHIL BRANCH</t>
        </is>
      </c>
      <c r="G1429" t="inlineStr">
        <is>
          <t>UPSILON</t>
        </is>
      </c>
      <c r="H1429" t="inlineStr">
        <is>
          <t>STS</t>
        </is>
      </c>
      <c r="I1429" t="inlineStr">
        <is>
          <t>630A</t>
        </is>
      </c>
      <c r="J1429" t="inlineStr">
        <is>
          <t>JAWORSKI</t>
        </is>
      </c>
      <c r="K1429" t="inlineStr">
        <is>
          <t>SE</t>
        </is>
      </c>
      <c r="L1429">
        <f>_xlfn.XLOOKUP(Tableau1[[#This Row],[TYPE DE PIECE]],Tableau4[MATIERE],Tableau4[SHORT TYPE],"",0,1)</f>
        <v/>
      </c>
      <c r="N1429">
        <f>IF(ISERR(FIND("DECOUPE",Tableau1[[#This Row],[DESIGNATION]])),"","NEED REF")</f>
        <v/>
      </c>
    </row>
    <row r="1430">
      <c r="B1430" s="135" t="n">
        <v>34412571</v>
      </c>
      <c r="C1430" s="2" t="n">
        <v>45418</v>
      </c>
      <c r="D1430" t="inlineStr">
        <is>
          <t>SPEC</t>
        </is>
      </c>
      <c r="E1430" t="inlineStr">
        <is>
          <t>SMT CAPOT REHAUSSE 2</t>
        </is>
      </c>
      <c r="G1430" t="inlineStr">
        <is>
          <t>GVX</t>
        </is>
      </c>
      <c r="H1430" t="inlineStr">
        <is>
          <t>IO</t>
        </is>
      </c>
      <c r="J1430" t="inlineStr">
        <is>
          <t>BERNARDEAU</t>
        </is>
      </c>
      <c r="K1430" t="inlineStr">
        <is>
          <t>METAL</t>
        </is>
      </c>
      <c r="L1430">
        <f>_xlfn.XLOOKUP(Tableau1[[#This Row],[TYPE DE PIECE]],Tableau4[MATIERE],Tableau4[SHORT TYPE],"",0,1)</f>
        <v/>
      </c>
      <c r="N1430">
        <f>IF(ISERR(FIND("DECOUPE",Tableau1[[#This Row],[DESIGNATION]])),"","NEED REF")</f>
        <v/>
      </c>
    </row>
    <row r="1431">
      <c r="B1431" s="135" t="n">
        <v>34412570</v>
      </c>
      <c r="C1431" s="2" t="n">
        <v>45418</v>
      </c>
      <c r="D1431" t="inlineStr">
        <is>
          <t>SPEC</t>
        </is>
      </c>
      <c r="E1431" t="inlineStr">
        <is>
          <t>SMT CAPOT REHAUSSE 1</t>
        </is>
      </c>
      <c r="G1431" t="inlineStr">
        <is>
          <t>GVX</t>
        </is>
      </c>
      <c r="H1431" t="inlineStr">
        <is>
          <t>IO</t>
        </is>
      </c>
      <c r="J1431" t="inlineStr">
        <is>
          <t>BERNARDEAU</t>
        </is>
      </c>
      <c r="K1431" t="inlineStr">
        <is>
          <t>METAL</t>
        </is>
      </c>
      <c r="L1431">
        <f>_xlfn.XLOOKUP(Tableau1[[#This Row],[TYPE DE PIECE]],Tableau4[MATIERE],Tableau4[SHORT TYPE],"",0,1)</f>
        <v/>
      </c>
      <c r="N1431">
        <f>IF(ISERR(FIND("DECOUPE",Tableau1[[#This Row],[DESIGNATION]])),"","NEED REF")</f>
        <v/>
      </c>
    </row>
    <row r="1432">
      <c r="B1432" t="n">
        <v>34412569</v>
      </c>
      <c r="C1432" s="2" t="n">
        <v>45418</v>
      </c>
      <c r="D1432" t="inlineStr">
        <is>
          <t>SPEC</t>
        </is>
      </c>
      <c r="E1432" t="inlineStr">
        <is>
          <t>REHAUSSE 225MM POUR TETE DE GAINE A BARRE</t>
        </is>
      </c>
      <c r="G1432" t="inlineStr">
        <is>
          <t>GVX</t>
        </is>
      </c>
      <c r="H1432" t="inlineStr">
        <is>
          <t>IO</t>
        </is>
      </c>
      <c r="J1432" t="inlineStr">
        <is>
          <t>BERNARDEAU</t>
        </is>
      </c>
      <c r="K1432" t="inlineStr">
        <is>
          <t>METAL</t>
        </is>
      </c>
      <c r="L1432">
        <f>_xlfn.XLOOKUP(Tableau1[[#This Row],[TYPE DE PIECE]],Tableau4[MATIERE],Tableau4[SHORT TYPE],"",0,1)</f>
        <v/>
      </c>
      <c r="N1432">
        <f>IF(ISERR(FIND("DECOUPE",Tableau1[[#This Row],[DESIGNATION]])),"","NEED REF")</f>
        <v/>
      </c>
    </row>
    <row r="1433">
      <c r="B1433" t="n">
        <v>34412568</v>
      </c>
      <c r="C1433" s="2" t="n">
        <v>45418</v>
      </c>
      <c r="D1433" t="inlineStr">
        <is>
          <t>SPEC</t>
        </is>
      </c>
      <c r="E1433" t="inlineStr">
        <is>
          <t xml:space="preserve"> 34412568 NS1000H 4P4d Micro2.0 + 1OF + padlock</t>
        </is>
      </c>
      <c r="F1433" t="inlineStr">
        <is>
          <t>SCHNEIDER GMBH</t>
        </is>
      </c>
      <c r="G1433" t="inlineStr">
        <is>
          <t>E3L</t>
        </is>
      </c>
      <c r="H1433" t="inlineStr">
        <is>
          <t>BYPASS</t>
        </is>
      </c>
      <c r="I1433" t="inlineStr">
        <is>
          <t>1800KVA</t>
        </is>
      </c>
      <c r="J1433" t="inlineStr">
        <is>
          <t>JAWORSKI</t>
        </is>
      </c>
      <c r="K1433" t="inlineStr">
        <is>
          <t>SE</t>
        </is>
      </c>
      <c r="L1433">
        <f>_xlfn.XLOOKUP(Tableau1[[#This Row],[TYPE DE PIECE]],Tableau4[MATIERE],Tableau4[SHORT TYPE],"",0,1)</f>
        <v/>
      </c>
      <c r="N1433">
        <f>IF(ISERR(FIND("DECOUPE",Tableau1[[#This Row],[DESIGNATION]])),"","NEED REF")</f>
        <v/>
      </c>
    </row>
    <row r="1434">
      <c r="B1434" t="n">
        <v>34412567</v>
      </c>
      <c r="C1434" s="2" t="n">
        <v>45415</v>
      </c>
      <c r="D1434" t="inlineStr">
        <is>
          <t>SPEC</t>
        </is>
      </c>
      <c r="E1434" t="inlineStr">
        <is>
          <t>SMT 34412567 JONCTION INTER CELLULE 800 RAL9003</t>
        </is>
      </c>
      <c r="F1434" t="inlineStr">
        <is>
          <t>SCHNEIDER GMBH</t>
        </is>
      </c>
      <c r="G1434" t="inlineStr">
        <is>
          <t>E3L</t>
        </is>
      </c>
      <c r="H1434" t="inlineStr">
        <is>
          <t>BYPASS</t>
        </is>
      </c>
      <c r="I1434" t="inlineStr">
        <is>
          <t>1800KVA</t>
        </is>
      </c>
      <c r="J1434" t="inlineStr">
        <is>
          <t>JAWORSKI</t>
        </is>
      </c>
      <c r="K1434" t="inlineStr">
        <is>
          <t>METAL</t>
        </is>
      </c>
      <c r="L1434">
        <f>_xlfn.XLOOKUP(Tableau1[[#This Row],[TYPE DE PIECE]],Tableau4[MATIERE],Tableau4[SHORT TYPE],"",0,1)</f>
        <v/>
      </c>
      <c r="N1434">
        <f>IF(ISERR(FIND("DECOUPE",Tableau1[[#This Row],[DESIGNATION]])),"","NEED REF")</f>
        <v/>
      </c>
    </row>
    <row r="1435">
      <c r="B1435" t="n">
        <v>34412566</v>
      </c>
      <c r="C1435" s="2" t="n">
        <v>45407</v>
      </c>
      <c r="D1435" t="inlineStr">
        <is>
          <t>SPEC</t>
        </is>
      </c>
      <c r="E1435" t="inlineStr">
        <is>
          <t>WOOD 34412566 PALETTE 2100x1000 PLANCHER CROISE</t>
        </is>
      </c>
      <c r="J1435" t="inlineStr">
        <is>
          <t>MATRION</t>
        </is>
      </c>
      <c r="K1435" t="inlineStr">
        <is>
          <t>BOIS</t>
        </is>
      </c>
      <c r="L1435">
        <f>_xlfn.XLOOKUP(Tableau1[[#This Row],[TYPE DE PIECE]],Tableau4[MATIERE],Tableau4[SHORT TYPE],"",0,1)</f>
        <v/>
      </c>
      <c r="N1435">
        <f>IF(ISERR(FIND("DECOUPE",Tableau1[[#This Row],[DESIGNATION]])),"","NEED REF")</f>
        <v/>
      </c>
    </row>
    <row r="1436">
      <c r="B1436" t="n">
        <v>34412565</v>
      </c>
      <c r="C1436" s="2" t="n">
        <v>45407</v>
      </c>
      <c r="D1436" t="inlineStr">
        <is>
          <t>SPEC</t>
        </is>
      </c>
      <c r="E1436" t="inlineStr">
        <is>
          <t>ETQ 34412564 STS 1250A EN MIMIQUE Lexan 8B35 125µ Adhesif 3M 467 MP</t>
        </is>
      </c>
      <c r="H1436" t="inlineStr">
        <is>
          <t>STS</t>
        </is>
      </c>
      <c r="I1436" t="inlineStr">
        <is>
          <t>1250A</t>
        </is>
      </c>
      <c r="J1436" t="inlineStr">
        <is>
          <t>MATRION</t>
        </is>
      </c>
      <c r="K1436" t="inlineStr">
        <is>
          <t>ETIQUETTE</t>
        </is>
      </c>
      <c r="L1436">
        <f>_xlfn.XLOOKUP(Tableau1[[#This Row],[TYPE DE PIECE]],Tableau4[MATIERE],Tableau4[SHORT TYPE],"",0,1)</f>
        <v/>
      </c>
      <c r="N1436">
        <f>IF(ISERR(FIND("DECOUPE",Tableau1[[#This Row],[DESIGNATION]])),"","NEED REF")</f>
        <v/>
      </c>
    </row>
    <row r="1437">
      <c r="B1437" t="n">
        <v>34412564</v>
      </c>
      <c r="C1437" s="2" t="n">
        <v>45407</v>
      </c>
      <c r="D1437" t="inlineStr">
        <is>
          <t>SPEC</t>
        </is>
      </c>
      <c r="E1437" t="inlineStr">
        <is>
          <t>ETQ 34412564 STS 1250A EN/ES MIMIQUE Lexan 8B35 125µ Adhesif 3M 467 MP</t>
        </is>
      </c>
      <c r="H1437" t="inlineStr">
        <is>
          <t>STS</t>
        </is>
      </c>
      <c r="I1437" t="inlineStr">
        <is>
          <t>1250A</t>
        </is>
      </c>
      <c r="J1437" t="inlineStr">
        <is>
          <t>MATRION</t>
        </is>
      </c>
      <c r="K1437" t="inlineStr">
        <is>
          <t>ETIQUETTE</t>
        </is>
      </c>
      <c r="L1437">
        <f>_xlfn.XLOOKUP(Tableau1[[#This Row],[TYPE DE PIECE]],Tableau4[MATIERE],Tableau4[SHORT TYPE],"",0,1)</f>
        <v/>
      </c>
      <c r="N1437">
        <f>IF(ISERR(FIND("DECOUPE",Tableau1[[#This Row],[DESIGNATION]])),"","NEED REF")</f>
        <v/>
      </c>
    </row>
    <row r="1438">
      <c r="B1438" t="n">
        <v>34412563</v>
      </c>
      <c r="C1438" s="2" t="n">
        <v>45406</v>
      </c>
      <c r="D1438" t="inlineStr">
        <is>
          <t>SPEC</t>
        </is>
      </c>
      <c r="E1438" t="inlineStr">
        <is>
          <t>Diagram 34412563 STS 1250A 4P Neutre Uncuted (3Poles)</t>
        </is>
      </c>
      <c r="F1438" t="inlineStr">
        <is>
          <t>4P Neutre Uncuted (3Poles)</t>
        </is>
      </c>
      <c r="H1438" t="inlineStr">
        <is>
          <t>STS</t>
        </is>
      </c>
      <c r="I1438" t="inlineStr">
        <is>
          <t>1250A</t>
        </is>
      </c>
      <c r="J1438" t="inlineStr">
        <is>
          <t>MATRION</t>
        </is>
      </c>
      <c r="K1438" t="inlineStr">
        <is>
          <t>SCHEMA</t>
        </is>
      </c>
      <c r="L1438">
        <f>_xlfn.XLOOKUP(Tableau1[[#This Row],[TYPE DE PIECE]],Tableau4[MATIERE],Tableau4[SHORT TYPE],"",0,1)</f>
        <v/>
      </c>
      <c r="N1438">
        <f>IF(ISERR(FIND("DECOUPE",Tableau1[[#This Row],[DESIGNATION]])),"","NEED REF")</f>
        <v/>
      </c>
    </row>
    <row r="1439">
      <c r="B1439" t="n">
        <v>34412562</v>
      </c>
      <c r="C1439" s="2" t="n">
        <v>45401</v>
      </c>
      <c r="D1439" t="inlineStr">
        <is>
          <t>SPEC</t>
        </is>
      </c>
      <c r="E1439" t="inlineStr">
        <is>
          <t>PLA 34412562 GVS BYPASS MONITORING</t>
        </is>
      </c>
      <c r="G1439" t="inlineStr">
        <is>
          <t>GVS</t>
        </is>
      </c>
      <c r="H1439" t="inlineStr">
        <is>
          <t>BYPASS</t>
        </is>
      </c>
      <c r="J1439" t="inlineStr">
        <is>
          <t>MATRION</t>
        </is>
      </c>
      <c r="K1439" t="inlineStr">
        <is>
          <t>PLASTIQUE</t>
        </is>
      </c>
      <c r="L1439">
        <f>_xlfn.XLOOKUP(Tableau1[[#This Row],[TYPE DE PIECE]],Tableau4[MATIERE],Tableau4[SHORT TYPE],"",0,1)</f>
        <v/>
      </c>
      <c r="N1439">
        <f>IF(ISERR(FIND("DECOUPE",Tableau1[[#This Row],[DESIGNATION]])),"","NEED REF")</f>
        <v/>
      </c>
    </row>
    <row r="1440">
      <c r="B1440" t="n">
        <v>34412561</v>
      </c>
      <c r="C1440" s="2" t="n">
        <v>45401</v>
      </c>
      <c r="D1440" t="inlineStr">
        <is>
          <t>SPEC</t>
        </is>
      </c>
      <c r="E1440" t="inlineStr">
        <is>
          <t>Symbol A02 - OD745555 - 1xKSUPS-FSB-P-CC6-24D + 2xCL1019-FS +2xFK4-NI</t>
        </is>
      </c>
      <c r="G1440" t="inlineStr">
        <is>
          <t>GVL</t>
        </is>
      </c>
      <c r="H1440" t="inlineStr">
        <is>
          <t>BYPASS</t>
        </is>
      </c>
      <c r="J1440" t="inlineStr">
        <is>
          <t>MATRION</t>
        </is>
      </c>
      <c r="K1440" t="inlineStr">
        <is>
          <t>KIRKEY</t>
        </is>
      </c>
      <c r="L1440">
        <f>_xlfn.XLOOKUP(Tableau1[[#This Row],[TYPE DE PIECE]],Tableau4[MATIERE],Tableau4[SHORT TYPE],"",0,1)</f>
        <v/>
      </c>
      <c r="N1440">
        <f>IF(ISERR(FIND("DECOUPE",Tableau1[[#This Row],[DESIGNATION]])),"","NEED REF")</f>
        <v/>
      </c>
    </row>
    <row r="1441">
      <c r="B1441" t="n">
        <v>34412560</v>
      </c>
      <c r="C1441" s="2" t="n">
        <v>45401</v>
      </c>
      <c r="D1441" t="inlineStr">
        <is>
          <t>SPEC</t>
        </is>
      </c>
      <c r="E1441" t="inlineStr">
        <is>
          <t>Symbol A01 - OD745554 - 1xKSUPS-FSB-P-CC6-24D + 2xCL1019-FS +2xFK4-NI</t>
        </is>
      </c>
      <c r="G1441" t="inlineStr">
        <is>
          <t>GVL</t>
        </is>
      </c>
      <c r="H1441" t="inlineStr">
        <is>
          <t>BYPASS</t>
        </is>
      </c>
      <c r="J1441" t="inlineStr">
        <is>
          <t>MATRION</t>
        </is>
      </c>
      <c r="K1441" t="inlineStr">
        <is>
          <t>KIRKEY</t>
        </is>
      </c>
      <c r="L1441">
        <f>_xlfn.XLOOKUP(Tableau1[[#This Row],[TYPE DE PIECE]],Tableau4[MATIERE],Tableau4[SHORT TYPE],"",0,1)</f>
        <v/>
      </c>
      <c r="N1441">
        <f>IF(ISERR(FIND("DECOUPE",Tableau1[[#This Row],[DESIGNATION]])),"","NEED REF")</f>
        <v/>
      </c>
    </row>
    <row r="1442">
      <c r="B1442" t="n">
        <v>34412559</v>
      </c>
      <c r="C1442" s="2" t="n">
        <v>45400</v>
      </c>
      <c r="D1442" t="inlineStr">
        <is>
          <t>SPEC</t>
        </is>
      </c>
      <c r="E1442" t="inlineStr">
        <is>
          <t>SMT TRAVERSE SUPPORT NSX</t>
        </is>
      </c>
      <c r="G1442" t="inlineStr">
        <is>
          <t>GVS</t>
        </is>
      </c>
      <c r="J1442" t="inlineStr">
        <is>
          <t>BERNARDEAU</t>
        </is>
      </c>
      <c r="K1442" t="inlineStr">
        <is>
          <t>METAL</t>
        </is>
      </c>
      <c r="L1442">
        <f>_xlfn.XLOOKUP(Tableau1[[#This Row],[TYPE DE PIECE]],Tableau4[MATIERE],Tableau4[SHORT TYPE],"",0,1)</f>
        <v/>
      </c>
      <c r="N1442">
        <f>IF(ISERR(FIND("DECOUPE",Tableau1[[#This Row],[DESIGNATION]])),"","NEED REF")</f>
        <v/>
      </c>
    </row>
    <row r="1443">
      <c r="B1443" t="n">
        <v>34412558</v>
      </c>
      <c r="C1443" s="2" t="n">
        <v>45400</v>
      </c>
      <c r="D1443" t="inlineStr">
        <is>
          <t>SPEC</t>
        </is>
      </c>
      <c r="E1443" t="inlineStr">
        <is>
          <t>SMT TRAVERSE SUPPORT NSX</t>
        </is>
      </c>
      <c r="G1443" t="inlineStr">
        <is>
          <t>GVS</t>
        </is>
      </c>
      <c r="J1443" t="inlineStr">
        <is>
          <t>BERNARDEAU</t>
        </is>
      </c>
      <c r="K1443" t="inlineStr">
        <is>
          <t>METAL</t>
        </is>
      </c>
      <c r="L1443">
        <f>_xlfn.XLOOKUP(Tableau1[[#This Row],[TYPE DE PIECE]],Tableau4[MATIERE],Tableau4[SHORT TYPE],"",0,1)</f>
        <v/>
      </c>
      <c r="N1443">
        <f>IF(ISERR(FIND("DECOUPE",Tableau1[[#This Row],[DESIGNATION]])),"","NEED REF")</f>
        <v/>
      </c>
    </row>
    <row r="1444">
      <c r="B1444" t="n">
        <v>34412557</v>
      </c>
      <c r="C1444" s="2" t="n">
        <v>45397</v>
      </c>
      <c r="D1444" t="inlineStr">
        <is>
          <t>SPEC</t>
        </is>
      </c>
      <c r="E1444" t="inlineStr">
        <is>
          <t>SMT 34412557 RENFORT DE STRUCTURE BIRDY 1000</t>
        </is>
      </c>
      <c r="G1444" t="inlineStr">
        <is>
          <t>TOUTES</t>
        </is>
      </c>
      <c r="H1444" t="inlineStr">
        <is>
          <t>AUX</t>
        </is>
      </c>
      <c r="J1444" t="inlineStr">
        <is>
          <t>MATRION</t>
        </is>
      </c>
      <c r="K1444" t="inlineStr">
        <is>
          <t>METAL</t>
        </is>
      </c>
      <c r="L1444">
        <f>_xlfn.XLOOKUP(Tableau1[[#This Row],[TYPE DE PIECE]],Tableau4[MATIERE],Tableau4[SHORT TYPE],"",0,1)</f>
        <v/>
      </c>
      <c r="N1444">
        <f>IF(ISERR(FIND("DECOUPE",Tableau1[[#This Row],[DESIGNATION]])),"","NEED REF")</f>
        <v/>
      </c>
    </row>
    <row r="1445">
      <c r="B1445" t="n">
        <v>34412556</v>
      </c>
      <c r="C1445" s="2" t="n">
        <v>45392</v>
      </c>
      <c r="D1445" t="inlineStr">
        <is>
          <t>SPEC</t>
        </is>
      </c>
      <c r="E1445" t="inlineStr">
        <is>
          <t>SMT PLASTRON POWER DISTRIB</t>
        </is>
      </c>
      <c r="F1445" t="inlineStr">
        <is>
          <t>GSK BELGIUM</t>
        </is>
      </c>
      <c r="G1445" t="inlineStr">
        <is>
          <t>GVS</t>
        </is>
      </c>
      <c r="H1445" t="inlineStr">
        <is>
          <t>TFO CUBICLE</t>
        </is>
      </c>
      <c r="I1445" t="inlineStr">
        <is>
          <t>60KVA</t>
        </is>
      </c>
      <c r="J1445" t="inlineStr">
        <is>
          <t>JAWORSKI</t>
        </is>
      </c>
      <c r="K1445" t="inlineStr">
        <is>
          <t>METAL</t>
        </is>
      </c>
      <c r="L1445">
        <f>_xlfn.XLOOKUP(Tableau1[[#This Row],[TYPE DE PIECE]],Tableau4[MATIERE],Tableau4[SHORT TYPE],"",0,1)</f>
        <v/>
      </c>
      <c r="N1445">
        <f>IF(ISERR(FIND("DECOUPE",Tableau1[[#This Row],[DESIGNATION]])),"","NEED REF")</f>
        <v/>
      </c>
    </row>
    <row r="1446">
      <c r="B1446" t="n">
        <v>34412555</v>
      </c>
      <c r="C1446" s="2" t="n">
        <v>45392</v>
      </c>
      <c r="D1446" t="inlineStr">
        <is>
          <t>SPEC</t>
        </is>
      </c>
      <c r="E1446" t="inlineStr">
        <is>
          <t>SMT PLASTRON MONITORING</t>
        </is>
      </c>
      <c r="F1446" t="inlineStr">
        <is>
          <t>GSK BELGIUM</t>
        </is>
      </c>
      <c r="G1446" t="inlineStr">
        <is>
          <t>GVS</t>
        </is>
      </c>
      <c r="H1446" t="inlineStr">
        <is>
          <t>TFO CUBICLE</t>
        </is>
      </c>
      <c r="I1446" t="inlineStr">
        <is>
          <t>60KVA</t>
        </is>
      </c>
      <c r="J1446" t="inlineStr">
        <is>
          <t>JAWORSKI</t>
        </is>
      </c>
      <c r="K1446" t="inlineStr">
        <is>
          <t>METAL</t>
        </is>
      </c>
      <c r="L1446">
        <f>_xlfn.XLOOKUP(Tableau1[[#This Row],[TYPE DE PIECE]],Tableau4[MATIERE],Tableau4[SHORT TYPE],"",0,1)</f>
        <v/>
      </c>
      <c r="N1446">
        <f>IF(ISERR(FIND("DECOUPE",Tableau1[[#This Row],[DESIGNATION]])),"","NEED REF")</f>
        <v/>
      </c>
    </row>
    <row r="1447">
      <c r="B1447" t="n">
        <v>34412554</v>
      </c>
      <c r="C1447" s="2" t="n">
        <v>45391</v>
      </c>
      <c r="D1447" t="inlineStr">
        <is>
          <t>SPEC</t>
        </is>
      </c>
      <c r="E1447" t="inlineStr">
        <is>
          <t>SMT PLASTRON POWER TERMINAL</t>
        </is>
      </c>
      <c r="F1447" t="inlineStr">
        <is>
          <t>GSK BELGIUM</t>
        </is>
      </c>
      <c r="G1447" t="inlineStr">
        <is>
          <t>GVS</t>
        </is>
      </c>
      <c r="H1447" t="inlineStr">
        <is>
          <t>TFO CUBICLE</t>
        </is>
      </c>
      <c r="I1447" t="inlineStr">
        <is>
          <t>60KVA</t>
        </is>
      </c>
      <c r="J1447" t="inlineStr">
        <is>
          <t>JAWORSKI</t>
        </is>
      </c>
      <c r="K1447" t="inlineStr">
        <is>
          <t>METAL</t>
        </is>
      </c>
      <c r="L1447">
        <f>_xlfn.XLOOKUP(Tableau1[[#This Row],[TYPE DE PIECE]],Tableau4[MATIERE],Tableau4[SHORT TYPE],"",0,1)</f>
        <v/>
      </c>
      <c r="N1447">
        <f>IF(ISERR(FIND("DECOUPE",Tableau1[[#This Row],[DESIGNATION]])),"","NEED REF")</f>
        <v/>
      </c>
    </row>
    <row r="1448">
      <c r="B1448" t="n">
        <v>34412553</v>
      </c>
      <c r="C1448" s="2" t="n">
        <v>45391</v>
      </c>
      <c r="D1448" t="inlineStr">
        <is>
          <t>SPEC</t>
        </is>
      </c>
      <c r="E1448" t="inlineStr">
        <is>
          <t>SMT PLASTRON POWER DISTRIB</t>
        </is>
      </c>
      <c r="F1448" t="inlineStr">
        <is>
          <t>GSK BELGIUM</t>
        </is>
      </c>
      <c r="G1448" t="inlineStr">
        <is>
          <t>GVS</t>
        </is>
      </c>
      <c r="H1448" t="inlineStr">
        <is>
          <t>TFO CUBICLE</t>
        </is>
      </c>
      <c r="I1448" t="inlineStr">
        <is>
          <t>60KVA</t>
        </is>
      </c>
      <c r="J1448" t="inlineStr">
        <is>
          <t>JAWORSKI</t>
        </is>
      </c>
      <c r="K1448" t="inlineStr">
        <is>
          <t>METAL</t>
        </is>
      </c>
      <c r="L1448">
        <f>_xlfn.XLOOKUP(Tableau1[[#This Row],[TYPE DE PIECE]],Tableau4[MATIERE],Tableau4[SHORT TYPE],"",0,1)</f>
        <v/>
      </c>
      <c r="N1448">
        <f>IF(ISERR(FIND("DECOUPE",Tableau1[[#This Row],[DESIGNATION]])),"","NEED REF")</f>
        <v/>
      </c>
    </row>
    <row r="1449">
      <c r="B1449" t="n">
        <v>34412552</v>
      </c>
      <c r="C1449" s="2" t="n">
        <v>45391</v>
      </c>
      <c r="D1449" t="inlineStr">
        <is>
          <t>SPEC</t>
        </is>
      </c>
      <c r="E1449" t="inlineStr">
        <is>
          <t>SMT PLASTRON IM400 FULL</t>
        </is>
      </c>
      <c r="F1449" t="inlineStr">
        <is>
          <t>GSK BELGIUM</t>
        </is>
      </c>
      <c r="G1449" t="inlineStr">
        <is>
          <t>GVS</t>
        </is>
      </c>
      <c r="H1449" t="inlineStr">
        <is>
          <t>TFO CUBICLE</t>
        </is>
      </c>
      <c r="I1449" t="inlineStr">
        <is>
          <t>60KVA</t>
        </is>
      </c>
      <c r="J1449" t="inlineStr">
        <is>
          <t>JAWORSKI</t>
        </is>
      </c>
      <c r="K1449" t="inlineStr">
        <is>
          <t>METAL</t>
        </is>
      </c>
      <c r="L1449">
        <f>_xlfn.XLOOKUP(Tableau1[[#This Row],[TYPE DE PIECE]],Tableau4[MATIERE],Tableau4[SHORT TYPE],"",0,1)</f>
        <v/>
      </c>
      <c r="N1449">
        <f>IF(ISERR(FIND("DECOUPE",Tableau1[[#This Row],[DESIGNATION]])),"","NEED REF")</f>
        <v/>
      </c>
    </row>
    <row r="1450">
      <c r="B1450" t="n">
        <v>34412551</v>
      </c>
      <c r="C1450" s="2" t="n">
        <v>45391</v>
      </c>
      <c r="D1450" t="inlineStr">
        <is>
          <t>SPEC</t>
        </is>
      </c>
      <c r="E1450" t="inlineStr">
        <is>
          <t>SMT PLASTRON MONITORING FULL</t>
        </is>
      </c>
      <c r="F1450" t="inlineStr">
        <is>
          <t>GSK BELGIUM</t>
        </is>
      </c>
      <c r="G1450" t="inlineStr">
        <is>
          <t>GVS</t>
        </is>
      </c>
      <c r="H1450" t="inlineStr">
        <is>
          <t>TFO CUBICLE</t>
        </is>
      </c>
      <c r="I1450" t="inlineStr">
        <is>
          <t>60KVA</t>
        </is>
      </c>
      <c r="J1450" t="inlineStr">
        <is>
          <t>JAWORSKI</t>
        </is>
      </c>
      <c r="K1450" t="inlineStr">
        <is>
          <t>METAL</t>
        </is>
      </c>
      <c r="L1450">
        <f>_xlfn.XLOOKUP(Tableau1[[#This Row],[TYPE DE PIECE]],Tableau4[MATIERE],Tableau4[SHORT TYPE],"",0,1)</f>
        <v/>
      </c>
      <c r="N1450">
        <f>IF(ISERR(FIND("DECOUPE",Tableau1[[#This Row],[DESIGNATION]])),"","NEED REF")</f>
        <v/>
      </c>
    </row>
    <row r="1451">
      <c r="B1451" t="n">
        <v>34412550</v>
      </c>
      <c r="C1451" s="2" t="n">
        <v>45391</v>
      </c>
      <c r="D1451" t="inlineStr">
        <is>
          <t>SPEC</t>
        </is>
      </c>
      <c r="E1451" t="inlineStr">
        <is>
          <t>SMT PLASTRON HAUT / BAS</t>
        </is>
      </c>
      <c r="F1451" t="inlineStr">
        <is>
          <t>GSK BELGIUM</t>
        </is>
      </c>
      <c r="G1451" t="inlineStr">
        <is>
          <t>GVS</t>
        </is>
      </c>
      <c r="H1451" t="inlineStr">
        <is>
          <t>TFO CUBICLE</t>
        </is>
      </c>
      <c r="I1451" t="inlineStr">
        <is>
          <t>60KVA</t>
        </is>
      </c>
      <c r="J1451" t="inlineStr">
        <is>
          <t>JAWORSKI</t>
        </is>
      </c>
      <c r="K1451" t="inlineStr">
        <is>
          <t>METAL</t>
        </is>
      </c>
      <c r="L1451">
        <f>_xlfn.XLOOKUP(Tableau1[[#This Row],[TYPE DE PIECE]],Tableau4[MATIERE],Tableau4[SHORT TYPE],"",0,1)</f>
        <v/>
      </c>
      <c r="N1451">
        <f>IF(ISERR(FIND("DECOUPE",Tableau1[[#This Row],[DESIGNATION]])),"","NEED REF")</f>
        <v/>
      </c>
    </row>
    <row r="1452">
      <c r="B1452" t="n">
        <v>34412549</v>
      </c>
      <c r="C1452" s="2" t="n">
        <v>45386</v>
      </c>
      <c r="D1452" t="inlineStr">
        <is>
          <t>SPEC</t>
        </is>
      </c>
      <c r="E1452" t="inlineStr">
        <is>
          <t>DECOUPE CABLOFIL CF54300EZ LG 500mm</t>
        </is>
      </c>
      <c r="F1452" t="inlineStr">
        <is>
          <t>GSK BELGIUM</t>
        </is>
      </c>
      <c r="G1452" t="inlineStr">
        <is>
          <t>GVS</t>
        </is>
      </c>
      <c r="H1452" t="inlineStr">
        <is>
          <t>BYPASS</t>
        </is>
      </c>
      <c r="J1452" t="inlineStr">
        <is>
          <t>JAWORSKI</t>
        </is>
      </c>
      <c r="K1452" t="inlineStr">
        <is>
          <t>METAL</t>
        </is>
      </c>
      <c r="L1452">
        <f>_xlfn.XLOOKUP(Tableau1[[#This Row],[TYPE DE PIECE]],Tableau4[MATIERE],Tableau4[SHORT TYPE],"",0,1)</f>
        <v/>
      </c>
      <c r="N1452" t="inlineStr">
        <is>
          <t>CF54300EZ</t>
        </is>
      </c>
    </row>
    <row r="1453">
      <c r="B1453" t="n">
        <v>34412548</v>
      </c>
      <c r="C1453" s="2" t="n">
        <v>45386</v>
      </c>
      <c r="D1453" t="inlineStr">
        <is>
          <t>SPEC</t>
        </is>
      </c>
      <c r="E1453" t="inlineStr">
        <is>
          <t>DECOUPE CABLOFIL CF54300EZ LG 700mm</t>
        </is>
      </c>
      <c r="F1453" t="inlineStr">
        <is>
          <t>GSK BELGIUM</t>
        </is>
      </c>
      <c r="G1453" t="inlineStr">
        <is>
          <t>GVS</t>
        </is>
      </c>
      <c r="H1453" t="inlineStr">
        <is>
          <t>BYPASS</t>
        </is>
      </c>
      <c r="J1453" t="inlineStr">
        <is>
          <t>JAWORSKI</t>
        </is>
      </c>
      <c r="K1453" t="inlineStr">
        <is>
          <t>METAL</t>
        </is>
      </c>
      <c r="L1453">
        <f>_xlfn.XLOOKUP(Tableau1[[#This Row],[TYPE DE PIECE]],Tableau4[MATIERE],Tableau4[SHORT TYPE],"",0,1)</f>
        <v/>
      </c>
      <c r="N1453" t="inlineStr">
        <is>
          <t>CF54300EZ</t>
        </is>
      </c>
    </row>
    <row r="1454">
      <c r="B1454" t="n">
        <v>34412547</v>
      </c>
      <c r="C1454" s="2" t="n">
        <v>45380</v>
      </c>
      <c r="D1454" t="inlineStr">
        <is>
          <t>SPEC</t>
        </is>
      </c>
      <c r="E1454" t="inlineStr">
        <is>
          <t>PLA PLASTRON MAKROLON POWER DISTRIB</t>
        </is>
      </c>
      <c r="F1454" t="inlineStr">
        <is>
          <t>GSK BELGIUM</t>
        </is>
      </c>
      <c r="G1454" t="inlineStr">
        <is>
          <t>GVS</t>
        </is>
      </c>
      <c r="H1454" t="inlineStr">
        <is>
          <t>BYPASS</t>
        </is>
      </c>
      <c r="J1454" t="inlineStr">
        <is>
          <t>MATRION</t>
        </is>
      </c>
      <c r="K1454" t="inlineStr">
        <is>
          <t>PLASTIQUE</t>
        </is>
      </c>
      <c r="L1454">
        <f>_xlfn.XLOOKUP(Tableau1[[#This Row],[TYPE DE PIECE]],Tableau4[MATIERE],Tableau4[SHORT TYPE],"",0,1)</f>
        <v/>
      </c>
      <c r="N1454">
        <f>IF(ISERR(FIND("DECOUPE",Tableau1[[#This Row],[DESIGNATION]])),"","NEED REF")</f>
        <v/>
      </c>
    </row>
    <row r="1455">
      <c r="B1455" t="n">
        <v>34412546</v>
      </c>
      <c r="C1455" s="2" t="n">
        <v>45380</v>
      </c>
      <c r="D1455" t="inlineStr">
        <is>
          <t>SPEC</t>
        </is>
      </c>
      <c r="E1455" t="inlineStr">
        <is>
          <t>PLA PLASTRON MAKROLON MONITORING</t>
        </is>
      </c>
      <c r="F1455" t="inlineStr">
        <is>
          <t>GSK BELGIUM</t>
        </is>
      </c>
      <c r="G1455" t="inlineStr">
        <is>
          <t>GVS</t>
        </is>
      </c>
      <c r="H1455" t="inlineStr">
        <is>
          <t>BYPASS</t>
        </is>
      </c>
      <c r="J1455" t="inlineStr">
        <is>
          <t>MATRION</t>
        </is>
      </c>
      <c r="K1455" t="inlineStr">
        <is>
          <t>PLASTIQUE</t>
        </is>
      </c>
      <c r="L1455">
        <f>_xlfn.XLOOKUP(Tableau1[[#This Row],[TYPE DE PIECE]],Tableau4[MATIERE],Tableau4[SHORT TYPE],"",0,1)</f>
        <v/>
      </c>
      <c r="N1455">
        <f>IF(ISERR(FIND("DECOUPE",Tableau1[[#This Row],[DESIGNATION]])),"","NEED REF")</f>
        <v/>
      </c>
    </row>
    <row r="1456">
      <c r="B1456" t="n">
        <v>34412545</v>
      </c>
      <c r="C1456" s="2" t="n">
        <v>45380</v>
      </c>
      <c r="D1456" t="inlineStr">
        <is>
          <t>SPEC</t>
        </is>
      </c>
      <c r="E1456" t="inlineStr">
        <is>
          <t>SMT 34412545 TOIT GLAVA 1000x800 VENTILE</t>
        </is>
      </c>
      <c r="G1456" t="inlineStr">
        <is>
          <t>TOUTES</t>
        </is>
      </c>
      <c r="H1456" t="inlineStr">
        <is>
          <t>AUX</t>
        </is>
      </c>
      <c r="J1456" t="inlineStr">
        <is>
          <t>MATRION</t>
        </is>
      </c>
      <c r="K1456" t="inlineStr">
        <is>
          <t>METAL</t>
        </is>
      </c>
      <c r="L1456">
        <f>_xlfn.XLOOKUP(Tableau1[[#This Row],[TYPE DE PIECE]],Tableau4[MATIERE],Tableau4[SHORT TYPE],"",0,1)</f>
        <v/>
      </c>
      <c r="N1456">
        <f>IF(ISERR(FIND("DECOUPE",Tableau1[[#This Row],[DESIGNATION]])),"","NEED REF")</f>
        <v/>
      </c>
    </row>
    <row r="1457">
      <c r="B1457" t="n">
        <v>34412544</v>
      </c>
      <c r="C1457" s="2" t="n">
        <v>45380</v>
      </c>
      <c r="D1457" t="inlineStr">
        <is>
          <t>SPEC</t>
        </is>
      </c>
      <c r="E1457" t="inlineStr">
        <is>
          <t>SMT REHAUSSE 1000MM H70MM AV. PLEIN RAL9003</t>
        </is>
      </c>
      <c r="G1457" t="inlineStr">
        <is>
          <t>TOUTES</t>
        </is>
      </c>
      <c r="H1457" t="inlineStr">
        <is>
          <t>AUX</t>
        </is>
      </c>
      <c r="J1457" t="inlineStr">
        <is>
          <t>MATRION</t>
        </is>
      </c>
      <c r="K1457" t="inlineStr">
        <is>
          <t>METAL</t>
        </is>
      </c>
      <c r="L1457">
        <f>_xlfn.XLOOKUP(Tableau1[[#This Row],[TYPE DE PIECE]],Tableau4[MATIERE],Tableau4[SHORT TYPE],"",0,1)</f>
        <v/>
      </c>
      <c r="N1457">
        <f>IF(ISERR(FIND("DECOUPE",Tableau1[[#This Row],[DESIGNATION]])),"","NEED REF")</f>
        <v/>
      </c>
    </row>
    <row r="1458">
      <c r="B1458" t="n">
        <v>34412543</v>
      </c>
      <c r="C1458" s="2" t="n">
        <v>45380</v>
      </c>
      <c r="D1458" t="inlineStr">
        <is>
          <t>SPEC</t>
        </is>
      </c>
      <c r="E1458" t="inlineStr">
        <is>
          <t>SMT REHAUSSE 700MM H70MM AV. PLEIN RAL9003</t>
        </is>
      </c>
      <c r="G1458" t="inlineStr">
        <is>
          <t>TOUTES</t>
        </is>
      </c>
      <c r="H1458" t="inlineStr">
        <is>
          <t>AUX</t>
        </is>
      </c>
      <c r="J1458" t="inlineStr">
        <is>
          <t>MATRION</t>
        </is>
      </c>
      <c r="K1458" t="inlineStr">
        <is>
          <t>METAL</t>
        </is>
      </c>
      <c r="L1458">
        <f>_xlfn.XLOOKUP(Tableau1[[#This Row],[TYPE DE PIECE]],Tableau4[MATIERE],Tableau4[SHORT TYPE],"",0,1)</f>
        <v/>
      </c>
      <c r="N1458">
        <f>IF(ISERR(FIND("DECOUPE",Tableau1[[#This Row],[DESIGNATION]])),"","NEED REF")</f>
        <v/>
      </c>
    </row>
    <row r="1459">
      <c r="B1459" t="n">
        <v>34412542</v>
      </c>
      <c r="C1459" s="2" t="n">
        <v>45380</v>
      </c>
      <c r="D1459" t="inlineStr">
        <is>
          <t>SPEC</t>
        </is>
      </c>
      <c r="E1459" t="inlineStr">
        <is>
          <t>SMT 34412542 SERRAGE SUPPORT TFO</t>
        </is>
      </c>
      <c r="G1459" t="inlineStr">
        <is>
          <t>TOUTES</t>
        </is>
      </c>
      <c r="H1459" t="inlineStr">
        <is>
          <t>BYPASS</t>
        </is>
      </c>
      <c r="J1459" t="inlineStr">
        <is>
          <t>MATRION</t>
        </is>
      </c>
      <c r="K1459" t="inlineStr">
        <is>
          <t>METAL</t>
        </is>
      </c>
      <c r="L1459">
        <f>_xlfn.XLOOKUP(Tableau1[[#This Row],[TYPE DE PIECE]],Tableau4[MATIERE],Tableau4[SHORT TYPE],"",0,1)</f>
        <v/>
      </c>
      <c r="N1459">
        <f>IF(ISERR(FIND("DECOUPE",Tableau1[[#This Row],[DESIGNATION]])),"","NEED REF")</f>
        <v/>
      </c>
    </row>
    <row r="1460">
      <c r="B1460" t="n">
        <v>34412541</v>
      </c>
      <c r="C1460" s="2" t="n">
        <v>45380</v>
      </c>
      <c r="D1460" t="inlineStr">
        <is>
          <t>SPEC</t>
        </is>
      </c>
      <c r="E1460" t="inlineStr">
        <is>
          <t>SMT 34412541 SUPPORT TFO 1000 BAS RENFORCE</t>
        </is>
      </c>
      <c r="G1460" t="inlineStr">
        <is>
          <t>TOUTES</t>
        </is>
      </c>
      <c r="H1460" t="inlineStr">
        <is>
          <t>BYPASS</t>
        </is>
      </c>
      <c r="J1460" t="inlineStr">
        <is>
          <t>MATRION</t>
        </is>
      </c>
      <c r="K1460" t="inlineStr">
        <is>
          <t>METAL</t>
        </is>
      </c>
      <c r="L1460">
        <f>_xlfn.XLOOKUP(Tableau1[[#This Row],[TYPE DE PIECE]],Tableau4[MATIERE],Tableau4[SHORT TYPE],"",0,1)</f>
        <v/>
      </c>
      <c r="N1460">
        <f>IF(ISERR(FIND("DECOUPE",Tableau1[[#This Row],[DESIGNATION]])),"","NEED REF")</f>
        <v/>
      </c>
    </row>
    <row r="1461">
      <c r="B1461" t="n">
        <v>34412540</v>
      </c>
      <c r="C1461" s="2" t="n">
        <v>45380</v>
      </c>
      <c r="D1461" t="inlineStr">
        <is>
          <t>SPEC</t>
        </is>
      </c>
      <c r="E1461" t="inlineStr">
        <is>
          <t>SMT 34412540 SUPPORT TFO 700 BAS RENFORCE</t>
        </is>
      </c>
      <c r="G1461" t="inlineStr">
        <is>
          <t>TOUTES</t>
        </is>
      </c>
      <c r="H1461" t="inlineStr">
        <is>
          <t>BYPASS</t>
        </is>
      </c>
      <c r="J1461" t="inlineStr">
        <is>
          <t>MATRION</t>
        </is>
      </c>
      <c r="K1461" t="inlineStr">
        <is>
          <t>METAL</t>
        </is>
      </c>
      <c r="L1461">
        <f>_xlfn.XLOOKUP(Tableau1[[#This Row],[TYPE DE PIECE]],Tableau4[MATIERE],Tableau4[SHORT TYPE],"",0,1)</f>
        <v/>
      </c>
      <c r="N1461">
        <f>IF(ISERR(FIND("DECOUPE",Tableau1[[#This Row],[DESIGNATION]])),"","NEED REF")</f>
        <v/>
      </c>
    </row>
    <row r="1462">
      <c r="B1462" t="n">
        <v>34412539</v>
      </c>
      <c r="C1462" s="2" t="n">
        <v>45380</v>
      </c>
      <c r="D1462" t="inlineStr">
        <is>
          <t>SPEC</t>
        </is>
      </c>
      <c r="E1462" t="inlineStr">
        <is>
          <t>PLA PLASTRON MAKROLON POWER DISTRIB</t>
        </is>
      </c>
      <c r="F1462" t="inlineStr">
        <is>
          <t>GSK BELGIUM</t>
        </is>
      </c>
      <c r="G1462" t="inlineStr">
        <is>
          <t>GVS</t>
        </is>
      </c>
      <c r="H1462" t="inlineStr">
        <is>
          <t>BYPASS</t>
        </is>
      </c>
      <c r="I1462" t="inlineStr">
        <is>
          <t>50KVA</t>
        </is>
      </c>
      <c r="J1462" t="inlineStr">
        <is>
          <t>JAWORSKI</t>
        </is>
      </c>
      <c r="K1462" t="inlineStr">
        <is>
          <t>PLASTIQUE</t>
        </is>
      </c>
      <c r="L1462">
        <f>_xlfn.XLOOKUP(Tableau1[[#This Row],[TYPE DE PIECE]],Tableau4[MATIERE],Tableau4[SHORT TYPE],"",0,1)</f>
        <v/>
      </c>
      <c r="N1462">
        <f>IF(ISERR(FIND("DECOUPE",Tableau1[[#This Row],[DESIGNATION]])),"","NEED REF")</f>
        <v/>
      </c>
    </row>
    <row r="1463">
      <c r="B1463" t="n">
        <v>34412538</v>
      </c>
      <c r="C1463" s="2" t="n">
        <v>45380</v>
      </c>
      <c r="D1463" t="inlineStr">
        <is>
          <t>SPEC</t>
        </is>
      </c>
      <c r="E1463" t="inlineStr">
        <is>
          <t>PLA PLASTRON MAKROLON MONITORING</t>
        </is>
      </c>
      <c r="F1463" t="inlineStr">
        <is>
          <t>GSK BELGIUM</t>
        </is>
      </c>
      <c r="G1463" t="inlineStr">
        <is>
          <t>GVS</t>
        </is>
      </c>
      <c r="H1463" t="inlineStr">
        <is>
          <t>BYPASS</t>
        </is>
      </c>
      <c r="I1463" t="inlineStr">
        <is>
          <t>50KVA</t>
        </is>
      </c>
      <c r="J1463" t="inlineStr">
        <is>
          <t>JAWORSKI</t>
        </is>
      </c>
      <c r="K1463" t="inlineStr">
        <is>
          <t>PLASTIQUE</t>
        </is>
      </c>
      <c r="L1463">
        <f>_xlfn.XLOOKUP(Tableau1[[#This Row],[TYPE DE PIECE]],Tableau4[MATIERE],Tableau4[SHORT TYPE],"",0,1)</f>
        <v/>
      </c>
      <c r="N1463">
        <f>IF(ISERR(FIND("DECOUPE",Tableau1[[#This Row],[DESIGNATION]])),"","NEED REF")</f>
        <v/>
      </c>
    </row>
    <row r="1464">
      <c r="B1464" t="n">
        <v>34412537</v>
      </c>
      <c r="C1464" s="2" t="n">
        <v>45379</v>
      </c>
      <c r="D1464" t="inlineStr">
        <is>
          <t>SPEC</t>
        </is>
      </c>
      <c r="E1464" t="inlineStr">
        <is>
          <t>SMT 34412537 SUPPORT TFO 1000 BAS/HAUT STD</t>
        </is>
      </c>
      <c r="G1464" t="inlineStr">
        <is>
          <t>TOUTES</t>
        </is>
      </c>
      <c r="H1464" t="inlineStr">
        <is>
          <t>BYPASS</t>
        </is>
      </c>
      <c r="J1464" t="inlineStr">
        <is>
          <t>MATRION</t>
        </is>
      </c>
      <c r="K1464" t="inlineStr">
        <is>
          <t>METAL</t>
        </is>
      </c>
      <c r="L1464">
        <f>_xlfn.XLOOKUP(Tableau1[[#This Row],[TYPE DE PIECE]],Tableau4[MATIERE],Tableau4[SHORT TYPE],"",0,1)</f>
        <v/>
      </c>
      <c r="N1464">
        <f>IF(ISERR(FIND("DECOUPE",Tableau1[[#This Row],[DESIGNATION]])),"","NEED REF")</f>
        <v/>
      </c>
    </row>
    <row r="1465">
      <c r="B1465" t="n">
        <v>34412536</v>
      </c>
      <c r="C1465" s="2" t="n">
        <v>45379</v>
      </c>
      <c r="D1465" t="inlineStr">
        <is>
          <t>SPEC</t>
        </is>
      </c>
      <c r="E1465" t="inlineStr">
        <is>
          <t>SMT 34412536 SUPPORT TFO 700 BAS/HAUT STD</t>
        </is>
      </c>
      <c r="G1465" t="inlineStr">
        <is>
          <t>TOUTES</t>
        </is>
      </c>
      <c r="H1465" t="inlineStr">
        <is>
          <t>BYPASS</t>
        </is>
      </c>
      <c r="J1465" t="inlineStr">
        <is>
          <t>MATRION</t>
        </is>
      </c>
      <c r="K1465" t="inlineStr">
        <is>
          <t>METAL</t>
        </is>
      </c>
      <c r="L1465">
        <f>_xlfn.XLOOKUP(Tableau1[[#This Row],[TYPE DE PIECE]],Tableau4[MATIERE],Tableau4[SHORT TYPE],"",0,1)</f>
        <v/>
      </c>
      <c r="N1465">
        <f>IF(ISERR(FIND("DECOUPE",Tableau1[[#This Row],[DESIGNATION]])),"","NEED REF")</f>
        <v/>
      </c>
    </row>
    <row r="1466">
      <c r="B1466" t="n">
        <v>34412535</v>
      </c>
      <c r="C1466" s="2" t="n">
        <v>45379</v>
      </c>
      <c r="D1466" t="inlineStr">
        <is>
          <t>SPEC</t>
        </is>
      </c>
      <c r="E1466" t="inlineStr">
        <is>
          <t>PLA PLASTRON IM400</t>
        </is>
      </c>
      <c r="F1466" t="inlineStr">
        <is>
          <t>GSK BELGIUM</t>
        </is>
      </c>
      <c r="G1466" t="inlineStr">
        <is>
          <t>GVS</t>
        </is>
      </c>
      <c r="H1466" t="inlineStr">
        <is>
          <t>BYPASS</t>
        </is>
      </c>
      <c r="I1466" t="inlineStr">
        <is>
          <t>50KVA</t>
        </is>
      </c>
      <c r="J1466" t="inlineStr">
        <is>
          <t>MATRION</t>
        </is>
      </c>
      <c r="K1466" t="inlineStr">
        <is>
          <t>PLASTIQUE</t>
        </is>
      </c>
      <c r="L1466">
        <f>_xlfn.XLOOKUP(Tableau1[[#This Row],[TYPE DE PIECE]],Tableau4[MATIERE],Tableau4[SHORT TYPE],"",0,1)</f>
        <v/>
      </c>
      <c r="N1466">
        <f>IF(ISERR(FIND("DECOUPE",Tableau1[[#This Row],[DESIGNATION]])),"","NEED REF")</f>
        <v/>
      </c>
    </row>
    <row r="1467">
      <c r="B1467" t="n">
        <v>34412534</v>
      </c>
      <c r="C1467" s="2" t="n">
        <v>45378</v>
      </c>
      <c r="D1467" t="inlineStr">
        <is>
          <t>SPEC</t>
        </is>
      </c>
      <c r="E1467" t="inlineStr">
        <is>
          <t>SMT 34412534 SUPPORT GOULOTTE 1000</t>
        </is>
      </c>
      <c r="G1467" t="inlineStr">
        <is>
          <t>TOUTES</t>
        </is>
      </c>
      <c r="H1467" t="inlineStr">
        <is>
          <t>BYPASS</t>
        </is>
      </c>
      <c r="J1467" t="inlineStr">
        <is>
          <t>MATRION</t>
        </is>
      </c>
      <c r="K1467" t="inlineStr">
        <is>
          <t>METAL</t>
        </is>
      </c>
      <c r="L1467">
        <f>_xlfn.XLOOKUP(Tableau1[[#This Row],[TYPE DE PIECE]],Tableau4[MATIERE],Tableau4[SHORT TYPE],"",0,1)</f>
        <v/>
      </c>
      <c r="N1467">
        <f>IF(ISERR(FIND("DECOUPE",Tableau1[[#This Row],[DESIGNATION]])),"","NEED REF")</f>
        <v/>
      </c>
    </row>
    <row r="1468">
      <c r="B1468" t="n">
        <v>34412533</v>
      </c>
      <c r="C1468" s="2" t="n">
        <v>45378</v>
      </c>
      <c r="D1468" t="inlineStr">
        <is>
          <t>SPEC</t>
        </is>
      </c>
      <c r="E1468" t="inlineStr">
        <is>
          <t>SMT 34412533 SUPPORT GOULOTTE 700</t>
        </is>
      </c>
      <c r="G1468" t="inlineStr">
        <is>
          <t>TOUTES</t>
        </is>
      </c>
      <c r="H1468" t="inlineStr">
        <is>
          <t>BYPASS</t>
        </is>
      </c>
      <c r="J1468" t="inlineStr">
        <is>
          <t>MATRION</t>
        </is>
      </c>
      <c r="K1468" t="inlineStr">
        <is>
          <t>METAL</t>
        </is>
      </c>
      <c r="L1468">
        <f>_xlfn.XLOOKUP(Tableau1[[#This Row],[TYPE DE PIECE]],Tableau4[MATIERE],Tableau4[SHORT TYPE],"",0,1)</f>
        <v/>
      </c>
      <c r="N1468">
        <f>IF(ISERR(FIND("DECOUPE",Tableau1[[#This Row],[DESIGNATION]])),"","NEED REF")</f>
        <v/>
      </c>
    </row>
    <row r="1469">
      <c r="B1469" t="n">
        <v>34412532</v>
      </c>
      <c r="C1469" s="2" t="n">
        <v>45377</v>
      </c>
      <c r="D1469" t="inlineStr">
        <is>
          <t>SPEC</t>
        </is>
      </c>
      <c r="E1469" t="inlineStr">
        <is>
          <t>BOM BYPASS - STS1250A 3P N NOT CUTED TOP</t>
        </is>
      </c>
      <c r="H1469" t="inlineStr">
        <is>
          <t>STS</t>
        </is>
      </c>
      <c r="I1469" t="inlineStr">
        <is>
          <t>1250A</t>
        </is>
      </c>
      <c r="J1469" t="inlineStr">
        <is>
          <t>MATRION</t>
        </is>
      </c>
      <c r="K1469" t="inlineStr">
        <is>
          <t>NOMENCLATURE</t>
        </is>
      </c>
      <c r="L1469">
        <f>_xlfn.XLOOKUP(Tableau1[[#This Row],[TYPE DE PIECE]],Tableau4[MATIERE],Tableau4[SHORT TYPE],"",0,1)</f>
        <v/>
      </c>
      <c r="N1469">
        <f>IF(ISERR(FIND("DECOUPE",Tableau1[[#This Row],[DESIGNATION]])),"","NEED REF")</f>
        <v/>
      </c>
    </row>
    <row r="1470">
      <c r="B1470" t="n">
        <v>34412531</v>
      </c>
      <c r="C1470" s="2" t="n">
        <v>45377</v>
      </c>
      <c r="D1470" t="inlineStr">
        <is>
          <t>SPEC</t>
        </is>
      </c>
      <c r="E1470" t="inlineStr">
        <is>
          <t>PLA 34412531 GVS BYPASS POWER DISTRIBUTION</t>
        </is>
      </c>
      <c r="F1470" t="inlineStr">
        <is>
          <t>GSK BELGIUM</t>
        </is>
      </c>
      <c r="G1470" t="inlineStr">
        <is>
          <t>GVS</t>
        </is>
      </c>
      <c r="H1470" t="inlineStr">
        <is>
          <t>BYPASS</t>
        </is>
      </c>
      <c r="I1470" t="inlineStr">
        <is>
          <t>50KVA</t>
        </is>
      </c>
      <c r="J1470" t="inlineStr">
        <is>
          <t>MATRION</t>
        </is>
      </c>
      <c r="K1470" t="inlineStr">
        <is>
          <t>PLASTIQUE</t>
        </is>
      </c>
      <c r="L1470">
        <f>_xlfn.XLOOKUP(Tableau1[[#This Row],[TYPE DE PIECE]],Tableau4[MATIERE],Tableau4[SHORT TYPE],"",0,1)</f>
        <v/>
      </c>
      <c r="N1470">
        <f>IF(ISERR(FIND("DECOUPE",Tableau1[[#This Row],[DESIGNATION]])),"","NEED REF")</f>
        <v/>
      </c>
    </row>
    <row r="1471">
      <c r="B1471" t="n">
        <v>34412530</v>
      </c>
      <c r="C1471" s="2" t="n">
        <v>45377</v>
      </c>
      <c r="D1471" t="inlineStr">
        <is>
          <t>SPEC</t>
        </is>
      </c>
      <c r="E1471" t="inlineStr">
        <is>
          <t>PLA 34412530 GVS BYPASS MONITORING + IC60</t>
        </is>
      </c>
      <c r="F1471" t="inlineStr">
        <is>
          <t>GSK BELGIUM</t>
        </is>
      </c>
      <c r="G1471" t="inlineStr">
        <is>
          <t>GVS</t>
        </is>
      </c>
      <c r="H1471" t="inlineStr">
        <is>
          <t>BYPASS</t>
        </is>
      </c>
      <c r="I1471" t="inlineStr">
        <is>
          <t>50KVA</t>
        </is>
      </c>
      <c r="J1471" t="inlineStr">
        <is>
          <t>MATRION</t>
        </is>
      </c>
      <c r="K1471" t="inlineStr">
        <is>
          <t>PLASTIQUE</t>
        </is>
      </c>
      <c r="L1471">
        <f>_xlfn.XLOOKUP(Tableau1[[#This Row],[TYPE DE PIECE]],Tableau4[MATIERE],Tableau4[SHORT TYPE],"",0,1)</f>
        <v/>
      </c>
      <c r="N1471">
        <f>IF(ISERR(FIND("DECOUPE",Tableau1[[#This Row],[DESIGNATION]])),"","NEED REF")</f>
        <v/>
      </c>
    </row>
    <row r="1472">
      <c r="B1472" t="n">
        <v>34412529</v>
      </c>
      <c r="C1472" s="2" t="n">
        <v>45377</v>
      </c>
      <c r="D1472" t="inlineStr">
        <is>
          <t>SPEC</t>
        </is>
      </c>
      <c r="E1472" t="inlineStr">
        <is>
          <t>PLA 34412529 PLASTRON POWER DISTRIBUTION</t>
        </is>
      </c>
      <c r="F1472" t="inlineStr">
        <is>
          <t>GSK BELGIUM</t>
        </is>
      </c>
      <c r="G1472" t="inlineStr">
        <is>
          <t>GVS</t>
        </is>
      </c>
      <c r="H1472" t="inlineStr">
        <is>
          <t>BYPASS</t>
        </is>
      </c>
      <c r="I1472" t="inlineStr">
        <is>
          <t>50KVA</t>
        </is>
      </c>
      <c r="J1472" t="inlineStr">
        <is>
          <t>JAWORSKI</t>
        </is>
      </c>
      <c r="K1472" t="inlineStr">
        <is>
          <t>PLASTIQUE</t>
        </is>
      </c>
      <c r="L1472">
        <f>_xlfn.XLOOKUP(Tableau1[[#This Row],[TYPE DE PIECE]],Tableau4[MATIERE],Tableau4[SHORT TYPE],"",0,1)</f>
        <v/>
      </c>
      <c r="N1472">
        <f>IF(ISERR(FIND("DECOUPE",Tableau1[[#This Row],[DESIGNATION]])),"","NEED REF")</f>
        <v/>
      </c>
    </row>
    <row r="1473">
      <c r="B1473" t="n">
        <v>34412528</v>
      </c>
      <c r="C1473" s="2" t="n">
        <v>45372</v>
      </c>
      <c r="D1473" t="inlineStr">
        <is>
          <t>SPEC</t>
        </is>
      </c>
      <c r="E1473" t="inlineStr">
        <is>
          <t>BOM FINISHING - STS1250A TOP</t>
        </is>
      </c>
      <c r="H1473" t="inlineStr">
        <is>
          <t>STS</t>
        </is>
      </c>
      <c r="I1473" t="inlineStr">
        <is>
          <t>1250A</t>
        </is>
      </c>
      <c r="J1473" t="inlineStr">
        <is>
          <t>MATRION</t>
        </is>
      </c>
      <c r="K1473" t="inlineStr">
        <is>
          <t>NOMENCLATURE</t>
        </is>
      </c>
      <c r="L1473">
        <f>_xlfn.XLOOKUP(Tableau1[[#This Row],[TYPE DE PIECE]],Tableau4[MATIERE],Tableau4[SHORT TYPE],"",0,1)</f>
        <v/>
      </c>
      <c r="N1473">
        <f>IF(ISERR(FIND("DECOUPE",Tableau1[[#This Row],[DESIGNATION]])),"","NEED REF")</f>
        <v/>
      </c>
    </row>
    <row r="1474">
      <c r="B1474" t="n">
        <v>34412527</v>
      </c>
      <c r="C1474" s="2" t="n">
        <v>45371</v>
      </c>
      <c r="D1474" t="inlineStr">
        <is>
          <t>SPEC</t>
        </is>
      </c>
      <c r="E1474" t="inlineStr">
        <is>
          <t xml:space="preserve"> 34412527  STS 1250A OLD RC MODULES</t>
        </is>
      </c>
      <c r="H1474" t="inlineStr">
        <is>
          <t>STS</t>
        </is>
      </c>
      <c r="I1474" t="inlineStr">
        <is>
          <t>1250A</t>
        </is>
      </c>
      <c r="J1474" t="inlineStr">
        <is>
          <t>MATRION</t>
        </is>
      </c>
      <c r="K1474" t="inlineStr">
        <is>
          <t>NOMENCLATURE</t>
        </is>
      </c>
      <c r="L1474">
        <f>_xlfn.XLOOKUP(Tableau1[[#This Row],[TYPE DE PIECE]],Tableau4[MATIERE],Tableau4[SHORT TYPE],"",0,1)</f>
        <v/>
      </c>
      <c r="N1474">
        <f>IF(ISERR(FIND("DECOUPE",Tableau1[[#This Row],[DESIGNATION]])),"","NEED REF")</f>
        <v/>
      </c>
    </row>
    <row r="1475">
      <c r="B1475" t="n">
        <v>34412526</v>
      </c>
      <c r="C1475" s="2" t="n">
        <v>45371</v>
      </c>
      <c r="D1475" t="inlineStr">
        <is>
          <t>SPEC</t>
        </is>
      </c>
      <c r="E1475" t="inlineStr">
        <is>
          <t>WIR 34412526  STS 1250A NNC NEUTRAL FILTERS</t>
        </is>
      </c>
      <c r="H1475" t="inlineStr">
        <is>
          <t>STS</t>
        </is>
      </c>
      <c r="I1475" t="inlineStr">
        <is>
          <t>1250A</t>
        </is>
      </c>
      <c r="J1475" t="inlineStr">
        <is>
          <t>MATRION</t>
        </is>
      </c>
      <c r="K1475" t="inlineStr">
        <is>
          <t>FILERIE</t>
        </is>
      </c>
      <c r="L1475">
        <f>_xlfn.XLOOKUP(Tableau1[[#This Row],[TYPE DE PIECE]],Tableau4[MATIERE],Tableau4[SHORT TYPE],"",0,1)</f>
        <v/>
      </c>
      <c r="N1475">
        <f>IF(ISERR(FIND("DECOUPE",Tableau1[[#This Row],[DESIGNATION]])),"","NEED REF")</f>
        <v/>
      </c>
    </row>
    <row r="1476">
      <c r="B1476" t="n">
        <v>34412525</v>
      </c>
      <c r="C1476" s="2" t="n">
        <v>45370</v>
      </c>
      <c r="D1476" t="inlineStr">
        <is>
          <t>SPEC</t>
        </is>
      </c>
      <c r="E1476" t="inlineStr">
        <is>
          <t>PLA 34412525  STS 1250A SUPPORT NEUTRE FILS</t>
        </is>
      </c>
      <c r="H1476" t="inlineStr">
        <is>
          <t>STS</t>
        </is>
      </c>
      <c r="I1476" t="inlineStr">
        <is>
          <t>1250A</t>
        </is>
      </c>
      <c r="J1476" t="inlineStr">
        <is>
          <t>MATRION</t>
        </is>
      </c>
      <c r="K1476" t="inlineStr">
        <is>
          <t>PLASTIQUE</t>
        </is>
      </c>
      <c r="L1476">
        <f>_xlfn.XLOOKUP(Tableau1[[#This Row],[TYPE DE PIECE]],Tableau4[MATIERE],Tableau4[SHORT TYPE],"",0,1)</f>
        <v/>
      </c>
      <c r="N1476">
        <f>IF(ISERR(FIND("DECOUPE",Tableau1[[#This Row],[DESIGNATION]])),"","NEED REF")</f>
        <v/>
      </c>
    </row>
    <row r="1477">
      <c r="B1477" t="n">
        <v>34412524</v>
      </c>
      <c r="C1477" s="2" t="n">
        <v>45370</v>
      </c>
      <c r="D1477" t="inlineStr">
        <is>
          <t>SPEC</t>
        </is>
      </c>
      <c r="E1477" t="inlineStr">
        <is>
          <t>BOM BYPASS - STS1250A 4P N NOT CUTED TOP</t>
        </is>
      </c>
      <c r="H1477" t="inlineStr">
        <is>
          <t>STS</t>
        </is>
      </c>
      <c r="I1477" t="inlineStr">
        <is>
          <t>1250A</t>
        </is>
      </c>
      <c r="J1477" t="inlineStr">
        <is>
          <t>MATRION</t>
        </is>
      </c>
      <c r="K1477" t="inlineStr">
        <is>
          <t>NOMENCLATURE</t>
        </is>
      </c>
      <c r="L1477">
        <f>_xlfn.XLOOKUP(Tableau1[[#This Row],[TYPE DE PIECE]],Tableau4[MATIERE],Tableau4[SHORT TYPE],"",0,1)</f>
        <v/>
      </c>
      <c r="N1477">
        <f>IF(ISERR(FIND("DECOUPE",Tableau1[[#This Row],[DESIGNATION]])),"","NEED REF")</f>
        <v/>
      </c>
    </row>
    <row r="1478">
      <c r="B1478" t="n">
        <v>34412523</v>
      </c>
      <c r="C1478" s="2" t="n">
        <v>45370</v>
      </c>
      <c r="D1478" t="inlineStr">
        <is>
          <t>SPEC</t>
        </is>
      </c>
      <c r="E1478" t="inlineStr">
        <is>
          <t>PLA PLASTRON HAUT / BAS</t>
        </is>
      </c>
      <c r="F1478" t="inlineStr">
        <is>
          <t>GSK BELGIUM</t>
        </is>
      </c>
      <c r="G1478" t="inlineStr">
        <is>
          <t>GVS</t>
        </is>
      </c>
      <c r="H1478" t="inlineStr">
        <is>
          <t>BYPASS</t>
        </is>
      </c>
      <c r="I1478" t="inlineStr">
        <is>
          <t>50KVA</t>
        </is>
      </c>
      <c r="J1478" t="inlineStr">
        <is>
          <t>JAWORSKI</t>
        </is>
      </c>
      <c r="K1478" t="inlineStr">
        <is>
          <t>PLASTIQUE</t>
        </is>
      </c>
      <c r="L1478">
        <f>_xlfn.XLOOKUP(Tableau1[[#This Row],[TYPE DE PIECE]],Tableau4[MATIERE],Tableau4[SHORT TYPE],"",0,1)</f>
        <v/>
      </c>
      <c r="N1478">
        <f>IF(ISERR(FIND("DECOUPE",Tableau1[[#This Row],[DESIGNATION]])),"","NEED REF")</f>
        <v/>
      </c>
    </row>
    <row r="1479">
      <c r="B1479" t="n">
        <v>34412522</v>
      </c>
      <c r="C1479" s="2" t="n">
        <v>45370</v>
      </c>
      <c r="D1479" t="inlineStr">
        <is>
          <t>SPEC</t>
        </is>
      </c>
      <c r="E1479" t="inlineStr">
        <is>
          <t>PLA PLASTRON MONITORING PLEIN</t>
        </is>
      </c>
      <c r="F1479" t="inlineStr">
        <is>
          <t>GSK BELGIUM</t>
        </is>
      </c>
      <c r="G1479" t="inlineStr">
        <is>
          <t>GVS</t>
        </is>
      </c>
      <c r="H1479" t="inlineStr">
        <is>
          <t>BYPASS</t>
        </is>
      </c>
      <c r="I1479" t="inlineStr">
        <is>
          <t>50KVA</t>
        </is>
      </c>
      <c r="J1479" t="inlineStr">
        <is>
          <t>JAWORSKI</t>
        </is>
      </c>
      <c r="K1479" t="inlineStr">
        <is>
          <t>PLASTIQUE</t>
        </is>
      </c>
      <c r="L1479">
        <f>_xlfn.XLOOKUP(Tableau1[[#This Row],[TYPE DE PIECE]],Tableau4[MATIERE],Tableau4[SHORT TYPE],"",0,1)</f>
        <v/>
      </c>
      <c r="N1479">
        <f>IF(ISERR(FIND("DECOUPE",Tableau1[[#This Row],[DESIGNATION]])),"","NEED REF")</f>
        <v/>
      </c>
    </row>
    <row r="1480">
      <c r="B1480" t="n">
        <v>34412521</v>
      </c>
      <c r="C1480" s="2" t="n">
        <v>45370</v>
      </c>
      <c r="D1480" t="inlineStr">
        <is>
          <t>SPEC</t>
        </is>
      </c>
      <c r="E1480" t="inlineStr">
        <is>
          <t>PLA PLASTRON POWER TERMINAL</t>
        </is>
      </c>
      <c r="F1480" t="inlineStr">
        <is>
          <t>GSK BELGIUM</t>
        </is>
      </c>
      <c r="G1480" t="inlineStr">
        <is>
          <t>GVS</t>
        </is>
      </c>
      <c r="H1480" t="inlineStr">
        <is>
          <t>BYPASS</t>
        </is>
      </c>
      <c r="I1480" t="inlineStr">
        <is>
          <t>50KVA</t>
        </is>
      </c>
      <c r="J1480" t="inlineStr">
        <is>
          <t>JAWORSKI</t>
        </is>
      </c>
      <c r="K1480" t="inlineStr">
        <is>
          <t>PLASTIQUE</t>
        </is>
      </c>
      <c r="L1480">
        <f>_xlfn.XLOOKUP(Tableau1[[#This Row],[TYPE DE PIECE]],Tableau4[MATIERE],Tableau4[SHORT TYPE],"",0,1)</f>
        <v/>
      </c>
      <c r="N1480">
        <f>IF(ISERR(FIND("DECOUPE",Tableau1[[#This Row],[DESIGNATION]])),"","NEED REF")</f>
        <v/>
      </c>
    </row>
    <row r="1481">
      <c r="B1481" t="n">
        <v>34412520</v>
      </c>
      <c r="C1481" s="2" t="n">
        <v>45370</v>
      </c>
      <c r="D1481" t="inlineStr">
        <is>
          <t>SPEC</t>
        </is>
      </c>
      <c r="E1481" t="inlineStr">
        <is>
          <t>PLA PLASTRON POWER DISTRIBUTION</t>
        </is>
      </c>
      <c r="F1481" t="inlineStr">
        <is>
          <t>GSK BELGIUM</t>
        </is>
      </c>
      <c r="G1481" t="inlineStr">
        <is>
          <t>GVS</t>
        </is>
      </c>
      <c r="H1481" t="inlineStr">
        <is>
          <t>BYPASS</t>
        </is>
      </c>
      <c r="I1481" t="inlineStr">
        <is>
          <t>50KVA</t>
        </is>
      </c>
      <c r="J1481" t="inlineStr">
        <is>
          <t>JAWORSKI</t>
        </is>
      </c>
      <c r="K1481" t="inlineStr">
        <is>
          <t>PLASTIQUE</t>
        </is>
      </c>
      <c r="L1481">
        <f>_xlfn.XLOOKUP(Tableau1[[#This Row],[TYPE DE PIECE]],Tableau4[MATIERE],Tableau4[SHORT TYPE],"",0,1)</f>
        <v/>
      </c>
      <c r="N1481">
        <f>IF(ISERR(FIND("DECOUPE",Tableau1[[#This Row],[DESIGNATION]])),"","NEED REF")</f>
        <v/>
      </c>
    </row>
    <row r="1482">
      <c r="B1482" t="n">
        <v>34412519</v>
      </c>
      <c r="C1482" s="2" t="n">
        <v>45370</v>
      </c>
      <c r="D1482" t="inlineStr">
        <is>
          <t>SPEC</t>
        </is>
      </c>
      <c r="E1482" t="inlineStr">
        <is>
          <t>PLA PLASTRON IM400 PLEIN</t>
        </is>
      </c>
      <c r="F1482" t="inlineStr">
        <is>
          <t>GSK BELGIUM</t>
        </is>
      </c>
      <c r="G1482" t="inlineStr">
        <is>
          <t>GVS</t>
        </is>
      </c>
      <c r="H1482" t="inlineStr">
        <is>
          <t>BYPASS</t>
        </is>
      </c>
      <c r="I1482" t="inlineStr">
        <is>
          <t>50KVA</t>
        </is>
      </c>
      <c r="J1482" t="inlineStr">
        <is>
          <t>JAWORSKI</t>
        </is>
      </c>
      <c r="K1482" t="inlineStr">
        <is>
          <t>PLASTIQUE</t>
        </is>
      </c>
      <c r="L1482">
        <f>_xlfn.XLOOKUP(Tableau1[[#This Row],[TYPE DE PIECE]],Tableau4[MATIERE],Tableau4[SHORT TYPE],"",0,1)</f>
        <v/>
      </c>
      <c r="N1482">
        <f>IF(ISERR(FIND("DECOUPE",Tableau1[[#This Row],[DESIGNATION]])),"","NEED REF")</f>
        <v/>
      </c>
    </row>
    <row r="1483">
      <c r="B1483" t="n">
        <v>34412518</v>
      </c>
      <c r="C1483" s="2" t="n">
        <v>45370</v>
      </c>
      <c r="D1483" t="inlineStr">
        <is>
          <t>SPEC</t>
        </is>
      </c>
      <c r="E1483" t="inlineStr">
        <is>
          <t>SMT 34412518  STS 1250A SUPPORT CONNECTEUR NC</t>
        </is>
      </c>
      <c r="H1483" t="inlineStr">
        <is>
          <t>STS</t>
        </is>
      </c>
      <c r="I1483" t="inlineStr">
        <is>
          <t>1250A</t>
        </is>
      </c>
      <c r="J1483" t="inlineStr">
        <is>
          <t>MATRION</t>
        </is>
      </c>
      <c r="K1483" t="inlineStr">
        <is>
          <t>METAL</t>
        </is>
      </c>
      <c r="L1483">
        <f>_xlfn.XLOOKUP(Tableau1[[#This Row],[TYPE DE PIECE]],Tableau4[MATIERE],Tableau4[SHORT TYPE],"",0,1)</f>
        <v/>
      </c>
      <c r="N1483">
        <f>IF(ISERR(FIND("DECOUPE",Tableau1[[#This Row],[DESIGNATION]])),"","NEED REF")</f>
        <v/>
      </c>
    </row>
    <row r="1484">
      <c r="B1484" t="n">
        <v>34412517</v>
      </c>
      <c r="C1484" s="2" t="n">
        <v>45369</v>
      </c>
      <c r="D1484" t="inlineStr">
        <is>
          <t>SPEC</t>
        </is>
      </c>
      <c r="E1484" t="inlineStr">
        <is>
          <t>COP 34412517  STS 1250A NEUTRE COUPE 4</t>
        </is>
      </c>
      <c r="H1484" t="inlineStr">
        <is>
          <t>STS</t>
        </is>
      </c>
      <c r="I1484" t="inlineStr">
        <is>
          <t>1250A</t>
        </is>
      </c>
      <c r="J1484" t="inlineStr">
        <is>
          <t>MATRION</t>
        </is>
      </c>
      <c r="K1484" t="inlineStr">
        <is>
          <t>CUIVRE</t>
        </is>
      </c>
      <c r="L1484">
        <f>_xlfn.XLOOKUP(Tableau1[[#This Row],[TYPE DE PIECE]],Tableau4[MATIERE],Tableau4[SHORT TYPE],"",0,1)</f>
        <v/>
      </c>
      <c r="N1484">
        <f>IF(ISERR(FIND("DECOUPE",Tableau1[[#This Row],[DESIGNATION]])),"","NEED REF")</f>
        <v/>
      </c>
    </row>
    <row r="1485">
      <c r="B1485" t="n">
        <v>34412516</v>
      </c>
      <c r="C1485" s="2" t="n">
        <v>45369</v>
      </c>
      <c r="D1485" t="inlineStr">
        <is>
          <t>SPEC</t>
        </is>
      </c>
      <c r="E1485" t="inlineStr">
        <is>
          <t>COP 34412516  STS 1250A NEUTRE COUPE 3</t>
        </is>
      </c>
      <c r="H1485" t="inlineStr">
        <is>
          <t>STS</t>
        </is>
      </c>
      <c r="I1485" t="inlineStr">
        <is>
          <t>1250A</t>
        </is>
      </c>
      <c r="J1485" t="inlineStr">
        <is>
          <t>MATRION</t>
        </is>
      </c>
      <c r="K1485" t="inlineStr">
        <is>
          <t>CUIVRE</t>
        </is>
      </c>
      <c r="L1485">
        <f>_xlfn.XLOOKUP(Tableau1[[#This Row],[TYPE DE PIECE]],Tableau4[MATIERE],Tableau4[SHORT TYPE],"",0,1)</f>
        <v/>
      </c>
      <c r="N1485">
        <f>IF(ISERR(FIND("DECOUPE",Tableau1[[#This Row],[DESIGNATION]])),"","NEED REF")</f>
        <v/>
      </c>
    </row>
    <row r="1486">
      <c r="B1486" t="n">
        <v>34412515</v>
      </c>
      <c r="C1486" s="2" t="n">
        <v>45369</v>
      </c>
      <c r="D1486" t="inlineStr">
        <is>
          <t>SPEC</t>
        </is>
      </c>
      <c r="E1486" t="inlineStr">
        <is>
          <t>COP 34412515  STS 1250A NEUTRE COUPE 2</t>
        </is>
      </c>
      <c r="H1486" t="inlineStr">
        <is>
          <t>STS</t>
        </is>
      </c>
      <c r="I1486" t="inlineStr">
        <is>
          <t>1250A</t>
        </is>
      </c>
      <c r="J1486" t="inlineStr">
        <is>
          <t>MATRION</t>
        </is>
      </c>
      <c r="K1486" t="inlineStr">
        <is>
          <t>CUIVRE</t>
        </is>
      </c>
      <c r="L1486">
        <f>_xlfn.XLOOKUP(Tableau1[[#This Row],[TYPE DE PIECE]],Tableau4[MATIERE],Tableau4[SHORT TYPE],"",0,1)</f>
        <v/>
      </c>
      <c r="N1486">
        <f>IF(ISERR(FIND("DECOUPE",Tableau1[[#This Row],[DESIGNATION]])),"","NEED REF")</f>
        <v/>
      </c>
    </row>
    <row r="1487">
      <c r="B1487" t="n">
        <v>34412514</v>
      </c>
      <c r="C1487" s="2" t="n">
        <v>45369</v>
      </c>
      <c r="D1487" t="inlineStr">
        <is>
          <t>SPEC</t>
        </is>
      </c>
      <c r="E1487" t="inlineStr">
        <is>
          <t>COP 34412514  STS 1250A NEUTRE COUPE 1</t>
        </is>
      </c>
      <c r="H1487" t="inlineStr">
        <is>
          <t>STS</t>
        </is>
      </c>
      <c r="I1487" t="inlineStr">
        <is>
          <t>1250A</t>
        </is>
      </c>
      <c r="J1487" t="inlineStr">
        <is>
          <t>MATRION</t>
        </is>
      </c>
      <c r="K1487" t="inlineStr">
        <is>
          <t>CUIVRE</t>
        </is>
      </c>
      <c r="L1487">
        <f>_xlfn.XLOOKUP(Tableau1[[#This Row],[TYPE DE PIECE]],Tableau4[MATIERE],Tableau4[SHORT TYPE],"",0,1)</f>
        <v/>
      </c>
      <c r="N1487">
        <f>IF(ISERR(FIND("DECOUPE",Tableau1[[#This Row],[DESIGNATION]])),"","NEED REF")</f>
        <v/>
      </c>
    </row>
    <row r="1488">
      <c r="B1488" t="n">
        <v>34412513</v>
      </c>
      <c r="C1488" s="2" t="n">
        <v>45369</v>
      </c>
      <c r="D1488" t="inlineStr">
        <is>
          <t>SPEC</t>
        </is>
      </c>
      <c r="E1488" t="inlineStr">
        <is>
          <t>COP 34412513  STS 1250A TENSION NEUTRE</t>
        </is>
      </c>
      <c r="H1488" t="inlineStr">
        <is>
          <t>STS</t>
        </is>
      </c>
      <c r="I1488" t="inlineStr">
        <is>
          <t>1250A</t>
        </is>
      </c>
      <c r="J1488" t="inlineStr">
        <is>
          <t>MATRION</t>
        </is>
      </c>
      <c r="K1488" t="inlineStr">
        <is>
          <t>CUIVRE</t>
        </is>
      </c>
      <c r="L1488">
        <f>_xlfn.XLOOKUP(Tableau1[[#This Row],[TYPE DE PIECE]],Tableau4[MATIERE],Tableau4[SHORT TYPE],"",0,1)</f>
        <v/>
      </c>
      <c r="N1488">
        <f>IF(ISERR(FIND("DECOUPE",Tableau1[[#This Row],[DESIGNATION]])),"","NEED REF")</f>
        <v/>
      </c>
    </row>
    <row r="1489">
      <c r="B1489" t="n">
        <v>34412512</v>
      </c>
      <c r="C1489" s="2" t="n">
        <v>45369</v>
      </c>
      <c r="D1489" t="inlineStr">
        <is>
          <t>SPEC</t>
        </is>
      </c>
      <c r="E1489" t="inlineStr">
        <is>
          <t>DECOUPE 34412512 CABLOFIL L600 CF54300EZ</t>
        </is>
      </c>
      <c r="F1489" t="inlineStr">
        <is>
          <t>GSK BELGIUM</t>
        </is>
      </c>
      <c r="G1489" t="inlineStr">
        <is>
          <t>GVS</t>
        </is>
      </c>
      <c r="H1489" t="inlineStr">
        <is>
          <t>BYPASS</t>
        </is>
      </c>
      <c r="I1489" t="inlineStr">
        <is>
          <t>50KVA</t>
        </is>
      </c>
      <c r="J1489" t="inlineStr">
        <is>
          <t>JAWORSKI</t>
        </is>
      </c>
      <c r="L1489" t="inlineStr">
        <is>
          <t>ETO</t>
        </is>
      </c>
      <c r="N1489" t="inlineStr">
        <is>
          <t>CF54300EZ</t>
        </is>
      </c>
    </row>
    <row r="1490">
      <c r="B1490" t="n">
        <v>34412511</v>
      </c>
      <c r="C1490" s="2" t="n">
        <v>45369</v>
      </c>
      <c r="D1490" t="inlineStr">
        <is>
          <t>SPEC</t>
        </is>
      </c>
      <c r="E1490" t="inlineStr">
        <is>
          <t>SE 34412511 JDB LATERAL STS1250A 4P NNC</t>
        </is>
      </c>
      <c r="H1490" t="inlineStr">
        <is>
          <t>STS</t>
        </is>
      </c>
      <c r="I1490" t="inlineStr">
        <is>
          <t>1250A</t>
        </is>
      </c>
      <c r="J1490" t="inlineStr">
        <is>
          <t>MATRION</t>
        </is>
      </c>
      <c r="K1490" t="inlineStr">
        <is>
          <t>NOMENCLATURE</t>
        </is>
      </c>
      <c r="L1490">
        <f>_xlfn.XLOOKUP(Tableau1[[#This Row],[TYPE DE PIECE]],Tableau4[MATIERE],Tableau4[SHORT TYPE],"",0,1)</f>
        <v/>
      </c>
      <c r="N1490">
        <f>IF(ISERR(FIND("DECOUPE",Tableau1[[#This Row],[DESIGNATION]])),"","NEED REF")</f>
        <v/>
      </c>
    </row>
    <row r="1491">
      <c r="B1491" t="n">
        <v>34412510</v>
      </c>
      <c r="C1491" s="2" t="n">
        <v>45366</v>
      </c>
      <c r="D1491" t="inlineStr">
        <is>
          <t>SPEC</t>
        </is>
      </c>
      <c r="E1491" t="inlineStr">
        <is>
          <t>DECOUPE 34412510 BARRE CU 32*8 L835 LVS04174</t>
        </is>
      </c>
      <c r="F1491" t="inlineStr">
        <is>
          <t>GSK BELGIUM</t>
        </is>
      </c>
      <c r="G1491" t="inlineStr">
        <is>
          <t>GVS</t>
        </is>
      </c>
      <c r="H1491" t="inlineStr">
        <is>
          <t>BYPASS</t>
        </is>
      </c>
      <c r="I1491" t="inlineStr">
        <is>
          <t>50KVA</t>
        </is>
      </c>
      <c r="J1491" t="inlineStr">
        <is>
          <t>JAWORSKI</t>
        </is>
      </c>
      <c r="K1491" t="inlineStr">
        <is>
          <t>CUIVRE</t>
        </is>
      </c>
      <c r="L1491" t="inlineStr">
        <is>
          <t>ETO</t>
        </is>
      </c>
      <c r="N1491" t="inlineStr">
        <is>
          <t>LVS04174</t>
        </is>
      </c>
    </row>
    <row r="1492">
      <c r="B1492" t="n">
        <v>34412509</v>
      </c>
      <c r="C1492" s="2" t="n">
        <v>45366</v>
      </c>
      <c r="D1492" t="inlineStr">
        <is>
          <t>SPEC</t>
        </is>
      </c>
      <c r="E1492" t="inlineStr">
        <is>
          <t>SMT SUPPORT JDB LGY4193</t>
        </is>
      </c>
      <c r="F1492" t="inlineStr">
        <is>
          <t>GSK BELGIUM</t>
        </is>
      </c>
      <c r="G1492" t="inlineStr">
        <is>
          <t>GVS</t>
        </is>
      </c>
      <c r="H1492" t="inlineStr">
        <is>
          <t>BYPASS</t>
        </is>
      </c>
      <c r="I1492" t="inlineStr">
        <is>
          <t>50KVA</t>
        </is>
      </c>
      <c r="J1492" t="inlineStr">
        <is>
          <t>JAWORSKI</t>
        </is>
      </c>
      <c r="K1492" t="inlineStr">
        <is>
          <t>METAL</t>
        </is>
      </c>
      <c r="L1492">
        <f>_xlfn.XLOOKUP(Tableau1[[#This Row],[TYPE DE PIECE]],Tableau4[MATIERE],Tableau4[SHORT TYPE],"",0,1)</f>
        <v/>
      </c>
      <c r="N1492">
        <f>IF(ISERR(FIND("DECOUPE",Tableau1[[#This Row],[DESIGNATION]])),"","NEED REF")</f>
        <v/>
      </c>
    </row>
    <row r="1493">
      <c r="B1493" t="n">
        <v>34412508</v>
      </c>
      <c r="C1493" s="2" t="n">
        <v>45366</v>
      </c>
      <c r="D1493" t="inlineStr">
        <is>
          <t>SPEC</t>
        </is>
      </c>
      <c r="E1493" t="inlineStr">
        <is>
          <t>SMT SUPPORT JEU DE BARRES ETAGEES</t>
        </is>
      </c>
      <c r="F1493" t="inlineStr">
        <is>
          <t>Marine</t>
        </is>
      </c>
      <c r="H1493" t="inlineStr">
        <is>
          <t>BYPASS</t>
        </is>
      </c>
      <c r="J1493" t="inlineStr">
        <is>
          <t>BERNARDEAU</t>
        </is>
      </c>
      <c r="K1493" t="inlineStr">
        <is>
          <t>METAL</t>
        </is>
      </c>
      <c r="L1493">
        <f>_xlfn.XLOOKUP(Tableau1[[#This Row],[TYPE DE PIECE]],Tableau4[MATIERE],Tableau4[SHORT TYPE],"",0,1)</f>
        <v/>
      </c>
      <c r="N1493">
        <f>IF(ISERR(FIND("DECOUPE",Tableau1[[#This Row],[DESIGNATION]])),"","NEED REF")</f>
        <v/>
      </c>
    </row>
    <row r="1494">
      <c r="B1494" t="n">
        <v>34412507</v>
      </c>
      <c r="C1494" s="2" t="n">
        <v>45366</v>
      </c>
      <c r="D1494" t="inlineStr">
        <is>
          <t>SPEC</t>
        </is>
      </c>
      <c r="E1494" t="inlineStr">
        <is>
          <t>SMT COPPER BAR CONNEXION</t>
        </is>
      </c>
      <c r="F1494" t="inlineStr">
        <is>
          <t>Marine</t>
        </is>
      </c>
      <c r="H1494" t="inlineStr">
        <is>
          <t>BYPASS</t>
        </is>
      </c>
      <c r="J1494" t="inlineStr">
        <is>
          <t>BERNARDEAU</t>
        </is>
      </c>
      <c r="K1494" t="inlineStr">
        <is>
          <t>CUIVRE</t>
        </is>
      </c>
      <c r="L1494">
        <f>_xlfn.XLOOKUP(Tableau1[[#This Row],[TYPE DE PIECE]],Tableau4[MATIERE],Tableau4[SHORT TYPE],"",0,1)</f>
        <v/>
      </c>
      <c r="N1494">
        <f>IF(ISERR(FIND("DECOUPE",Tableau1[[#This Row],[DESIGNATION]])),"","NEED REF")</f>
        <v/>
      </c>
    </row>
    <row r="1495">
      <c r="B1495" t="n">
        <v>34412506</v>
      </c>
      <c r="C1495" s="2" t="n">
        <v>45366</v>
      </c>
      <c r="D1495" t="inlineStr">
        <is>
          <t>SPEC</t>
        </is>
      </c>
      <c r="E1495" t="inlineStr">
        <is>
          <t>SMT SUPPORT JEU DE BARRE ETAGE L610</t>
        </is>
      </c>
      <c r="F1495" t="inlineStr">
        <is>
          <t>Marine</t>
        </is>
      </c>
      <c r="G1495" t="inlineStr">
        <is>
          <t>TOUTES</t>
        </is>
      </c>
      <c r="H1495" t="inlineStr">
        <is>
          <t>BYPASS</t>
        </is>
      </c>
      <c r="J1495" t="inlineStr">
        <is>
          <t>BERNARDEAU</t>
        </is>
      </c>
      <c r="K1495" t="inlineStr">
        <is>
          <t>METAL</t>
        </is>
      </c>
      <c r="L1495">
        <f>_xlfn.XLOOKUP(Tableau1[[#This Row],[TYPE DE PIECE]],Tableau4[MATIERE],Tableau4[SHORT TYPE],"",0,1)</f>
        <v/>
      </c>
      <c r="N1495">
        <f>IF(ISERR(FIND("DECOUPE",Tableau1[[#This Row],[DESIGNATION]])),"","NEED REF")</f>
        <v/>
      </c>
    </row>
    <row r="1496">
      <c r="B1496" t="n">
        <v>34412505</v>
      </c>
      <c r="C1496" s="2" t="n">
        <v>45365</v>
      </c>
      <c r="D1496" t="inlineStr">
        <is>
          <t>SPEC</t>
        </is>
      </c>
      <c r="E1496" t="inlineStr">
        <is>
          <t>SMT PLASTRON 7xNSX100_250 SAREL 700</t>
        </is>
      </c>
      <c r="F1496" t="inlineStr">
        <is>
          <t>Marine</t>
        </is>
      </c>
      <c r="G1496" t="inlineStr">
        <is>
          <t>TOUTES</t>
        </is>
      </c>
      <c r="H1496" t="inlineStr">
        <is>
          <t>BYPASS</t>
        </is>
      </c>
      <c r="J1496" t="inlineStr">
        <is>
          <t>BERNARDEAU</t>
        </is>
      </c>
      <c r="K1496" t="inlineStr">
        <is>
          <t>METAL</t>
        </is>
      </c>
      <c r="L1496">
        <f>_xlfn.XLOOKUP(Tableau1[[#This Row],[TYPE DE PIECE]],Tableau4[MATIERE],Tableau4[SHORT TYPE],"",0,1)</f>
        <v/>
      </c>
      <c r="N1496">
        <f>IF(ISERR(FIND("DECOUPE",Tableau1[[#This Row],[DESIGNATION]])),"","NEED REF")</f>
        <v/>
      </c>
    </row>
    <row r="1497">
      <c r="B1497" t="n">
        <v>34412504</v>
      </c>
      <c r="C1497" s="2" t="n">
        <v>45365</v>
      </c>
      <c r="D1497" t="inlineStr">
        <is>
          <t>SPEC</t>
        </is>
      </c>
      <c r="E1497" t="inlineStr">
        <is>
          <t>SMT MONTANT LATERAL</t>
        </is>
      </c>
      <c r="G1497" t="inlineStr">
        <is>
          <t>GVS</t>
        </is>
      </c>
      <c r="H1497" t="inlineStr">
        <is>
          <t>BYPASS</t>
        </is>
      </c>
      <c r="J1497" t="inlineStr">
        <is>
          <t>BERNARDEAU</t>
        </is>
      </c>
      <c r="K1497" t="inlineStr">
        <is>
          <t>METAL</t>
        </is>
      </c>
      <c r="L1497">
        <f>_xlfn.XLOOKUP(Tableau1[[#This Row],[TYPE DE PIECE]],Tableau4[MATIERE],Tableau4[SHORT TYPE],"",0,1)</f>
        <v/>
      </c>
      <c r="N1497">
        <f>IF(ISERR(FIND("DECOUPE",Tableau1[[#This Row],[DESIGNATION]])),"","NEED REF")</f>
        <v/>
      </c>
    </row>
    <row r="1498">
      <c r="B1498" t="n">
        <v>34412503</v>
      </c>
      <c r="C1498" s="2" t="n">
        <v>45365</v>
      </c>
      <c r="D1498" t="inlineStr">
        <is>
          <t>SPEC</t>
        </is>
      </c>
      <c r="E1498" t="inlineStr">
        <is>
          <t>SMT 34412503 SUPPORT JDB + CARDEW</t>
        </is>
      </c>
      <c r="G1498" t="inlineStr">
        <is>
          <t>TOUTES</t>
        </is>
      </c>
      <c r="H1498" t="inlineStr">
        <is>
          <t>BYPASS</t>
        </is>
      </c>
      <c r="J1498" t="inlineStr">
        <is>
          <t>MATRION</t>
        </is>
      </c>
      <c r="K1498" t="inlineStr">
        <is>
          <t>METAL</t>
        </is>
      </c>
      <c r="L1498">
        <f>_xlfn.XLOOKUP(Tableau1[[#This Row],[TYPE DE PIECE]],Tableau4[MATIERE],Tableau4[SHORT TYPE],"",0,1)</f>
        <v/>
      </c>
      <c r="N1498">
        <f>IF(ISERR(FIND("DECOUPE",Tableau1[[#This Row],[DESIGNATION]])),"","NEED REF")</f>
        <v/>
      </c>
    </row>
    <row r="1499">
      <c r="B1499" t="n">
        <v>34412502</v>
      </c>
      <c r="C1499" s="2" t="n">
        <v>45365</v>
      </c>
      <c r="D1499" t="inlineStr">
        <is>
          <t>SPEC</t>
        </is>
      </c>
      <c r="E1499" t="inlineStr">
        <is>
          <t>SUPPORT NSX100-250 4P SAREL 700</t>
        </is>
      </c>
      <c r="F1499" t="inlineStr">
        <is>
          <t>Marine</t>
        </is>
      </c>
      <c r="G1499" t="inlineStr">
        <is>
          <t>GVS</t>
        </is>
      </c>
      <c r="H1499" t="inlineStr">
        <is>
          <t>BYPASS</t>
        </is>
      </c>
      <c r="J1499" t="inlineStr">
        <is>
          <t>BERNARDEAU</t>
        </is>
      </c>
      <c r="K1499" t="inlineStr">
        <is>
          <t>METAL</t>
        </is>
      </c>
      <c r="L1499">
        <f>_xlfn.XLOOKUP(Tableau1[[#This Row],[TYPE DE PIECE]],Tableau4[MATIERE],Tableau4[SHORT TYPE],"",0,1)</f>
        <v/>
      </c>
      <c r="N1499">
        <f>IF(ISERR(FIND("DECOUPE",Tableau1[[#This Row],[DESIGNATION]])),"","NEED REF")</f>
        <v/>
      </c>
    </row>
    <row r="1500">
      <c r="B1500" t="n">
        <v>34412501</v>
      </c>
      <c r="C1500" s="2" t="n">
        <v>45364</v>
      </c>
      <c r="D1500" t="inlineStr">
        <is>
          <t>SPEC</t>
        </is>
      </c>
      <c r="E1500" t="inlineStr">
        <is>
          <t>DECOUPE 34412501 BARRE PE L400 LVS04163</t>
        </is>
      </c>
      <c r="G1500" t="inlineStr">
        <is>
          <t>TOUTES</t>
        </is>
      </c>
      <c r="H1500" t="inlineStr">
        <is>
          <t>BYPASS</t>
        </is>
      </c>
      <c r="J1500" t="inlineStr">
        <is>
          <t>MATRION</t>
        </is>
      </c>
      <c r="K1500" t="inlineStr">
        <is>
          <t>ETO</t>
        </is>
      </c>
      <c r="L1500">
        <f>_xlfn.XLOOKUP(Tableau1[[#This Row],[TYPE DE PIECE]],Tableau4[MATIERE],Tableau4[SHORT TYPE],"",0,1)</f>
        <v/>
      </c>
      <c r="M1500" t="inlineStr">
        <is>
          <t>PE</t>
        </is>
      </c>
      <c r="N1500" t="inlineStr">
        <is>
          <t>LVS04163</t>
        </is>
      </c>
    </row>
    <row r="1501">
      <c r="B1501" t="n">
        <v>34412500</v>
      </c>
      <c r="C1501" s="2" t="n">
        <v>45364</v>
      </c>
      <c r="D1501" t="inlineStr">
        <is>
          <t>SPEC</t>
        </is>
      </c>
      <c r="E1501" t="inlineStr">
        <is>
          <t>DECOUPE 34412500 BARRE PE L500 LVS04163</t>
        </is>
      </c>
      <c r="G1501" t="inlineStr">
        <is>
          <t>TOUTES</t>
        </is>
      </c>
      <c r="H1501" t="inlineStr">
        <is>
          <t>BYPASS</t>
        </is>
      </c>
      <c r="J1501" t="inlineStr">
        <is>
          <t>MATRION</t>
        </is>
      </c>
      <c r="K1501" t="inlineStr">
        <is>
          <t>ETO</t>
        </is>
      </c>
      <c r="L1501">
        <f>_xlfn.XLOOKUP(Tableau1[[#This Row],[TYPE DE PIECE]],Tableau4[MATIERE],Tableau4[SHORT TYPE],"",0,1)</f>
        <v/>
      </c>
      <c r="M1501" t="inlineStr">
        <is>
          <t>PE</t>
        </is>
      </c>
      <c r="N1501" t="inlineStr">
        <is>
          <t>LVS04163</t>
        </is>
      </c>
    </row>
    <row r="1502">
      <c r="B1502" t="n">
        <v>34412499</v>
      </c>
      <c r="C1502" s="2" t="n">
        <v>45364</v>
      </c>
      <c r="D1502" t="inlineStr">
        <is>
          <t>SPEC</t>
        </is>
      </c>
      <c r="E1502" t="inlineStr">
        <is>
          <t>DECOUPE 34412499 BARRE PE L700 LVS04163</t>
        </is>
      </c>
      <c r="G1502" t="inlineStr">
        <is>
          <t>TOUTES</t>
        </is>
      </c>
      <c r="H1502" t="inlineStr">
        <is>
          <t>BYPASS</t>
        </is>
      </c>
      <c r="J1502" t="inlineStr">
        <is>
          <t>MATRION</t>
        </is>
      </c>
      <c r="K1502" t="inlineStr">
        <is>
          <t>ETO</t>
        </is>
      </c>
      <c r="L1502">
        <f>_xlfn.XLOOKUP(Tableau1[[#This Row],[TYPE DE PIECE]],Tableau4[MATIERE],Tableau4[SHORT TYPE],"",0,1)</f>
        <v/>
      </c>
      <c r="M1502" t="inlineStr">
        <is>
          <t>PE</t>
        </is>
      </c>
      <c r="N1502" t="inlineStr">
        <is>
          <t>LVS04163</t>
        </is>
      </c>
    </row>
    <row r="1503">
      <c r="B1503" t="n">
        <v>34412498</v>
      </c>
      <c r="C1503" s="2" t="n">
        <v>45364</v>
      </c>
      <c r="D1503" t="inlineStr">
        <is>
          <t>SPEC</t>
        </is>
      </c>
      <c r="E1503" t="inlineStr">
        <is>
          <t>DECOUPE 34412498 BARRE PE L1000 LVS04163</t>
        </is>
      </c>
      <c r="G1503" t="inlineStr">
        <is>
          <t>TOUTES</t>
        </is>
      </c>
      <c r="H1503" t="inlineStr">
        <is>
          <t>BYPASS</t>
        </is>
      </c>
      <c r="J1503" t="inlineStr">
        <is>
          <t>MATRION</t>
        </is>
      </c>
      <c r="K1503" t="inlineStr">
        <is>
          <t>ETO</t>
        </is>
      </c>
      <c r="L1503">
        <f>_xlfn.XLOOKUP(Tableau1[[#This Row],[TYPE DE PIECE]],Tableau4[MATIERE],Tableau4[SHORT TYPE],"",0,1)</f>
        <v/>
      </c>
      <c r="M1503" t="inlineStr">
        <is>
          <t>PE</t>
        </is>
      </c>
      <c r="N1503" t="inlineStr">
        <is>
          <t>LVS04163</t>
        </is>
      </c>
    </row>
    <row r="1504">
      <c r="B1504" t="n">
        <v>34412497</v>
      </c>
      <c r="C1504" s="2" t="n">
        <v>45364</v>
      </c>
      <c r="D1504" t="inlineStr">
        <is>
          <t>SPEC</t>
        </is>
      </c>
      <c r="E1504" t="inlineStr">
        <is>
          <t>SMT 34412497 SUPPORT RAIL + GOULOTTES ARRIERE L400</t>
        </is>
      </c>
      <c r="G1504" t="inlineStr">
        <is>
          <t>TOUTES</t>
        </is>
      </c>
      <c r="H1504" t="inlineStr">
        <is>
          <t>BYPASS</t>
        </is>
      </c>
      <c r="J1504" t="inlineStr">
        <is>
          <t>MATRION</t>
        </is>
      </c>
      <c r="K1504" t="inlineStr">
        <is>
          <t>METAL</t>
        </is>
      </c>
      <c r="L1504">
        <f>_xlfn.XLOOKUP(Tableau1[[#This Row],[TYPE DE PIECE]],Tableau4[MATIERE],Tableau4[SHORT TYPE],"",0,1)</f>
        <v/>
      </c>
      <c r="M1504" t="inlineStr">
        <is>
          <t>BORNIER</t>
        </is>
      </c>
      <c r="N1504">
        <f>IF(ISERR(FIND("DECOUPE",Tableau1[[#This Row],[DESIGNATION]])),"","NEED REF")</f>
        <v/>
      </c>
    </row>
    <row r="1505">
      <c r="B1505" t="n">
        <v>34412496</v>
      </c>
      <c r="C1505" s="2" t="n">
        <v>45364</v>
      </c>
      <c r="D1505" t="inlineStr">
        <is>
          <t>SPEC</t>
        </is>
      </c>
      <c r="E1505" t="inlineStr">
        <is>
          <t>SMT 34412496 SUPPORT RAIL + GOULOTTES ARRIERE L500</t>
        </is>
      </c>
      <c r="G1505" t="inlineStr">
        <is>
          <t>TOUTES</t>
        </is>
      </c>
      <c r="H1505" t="inlineStr">
        <is>
          <t>BYPASS</t>
        </is>
      </c>
      <c r="J1505" t="inlineStr">
        <is>
          <t>MATRION</t>
        </is>
      </c>
      <c r="K1505" t="inlineStr">
        <is>
          <t>METAL</t>
        </is>
      </c>
      <c r="L1505">
        <f>_xlfn.XLOOKUP(Tableau1[[#This Row],[TYPE DE PIECE]],Tableau4[MATIERE],Tableau4[SHORT TYPE],"",0,1)</f>
        <v/>
      </c>
      <c r="M1505" t="inlineStr">
        <is>
          <t>BORNIER</t>
        </is>
      </c>
      <c r="N1505">
        <f>IF(ISERR(FIND("DECOUPE",Tableau1[[#This Row],[DESIGNATION]])),"","NEED REF")</f>
        <v/>
      </c>
    </row>
    <row r="1506">
      <c r="B1506" t="n">
        <v>34412495</v>
      </c>
      <c r="C1506" s="2" t="n">
        <v>45364</v>
      </c>
      <c r="D1506" t="inlineStr">
        <is>
          <t>SPEC</t>
        </is>
      </c>
      <c r="E1506" t="inlineStr">
        <is>
          <t>SMT 34412495 SUPPORT RAIL + GOULOTTES ARRIERE L700</t>
        </is>
      </c>
      <c r="G1506" t="inlineStr">
        <is>
          <t>TOUTES</t>
        </is>
      </c>
      <c r="H1506" t="inlineStr">
        <is>
          <t>BYPASS</t>
        </is>
      </c>
      <c r="J1506" t="inlineStr">
        <is>
          <t>MATRION</t>
        </is>
      </c>
      <c r="K1506" t="inlineStr">
        <is>
          <t>METAL</t>
        </is>
      </c>
      <c r="L1506">
        <f>_xlfn.XLOOKUP(Tableau1[[#This Row],[TYPE DE PIECE]],Tableau4[MATIERE],Tableau4[SHORT TYPE],"",0,1)</f>
        <v/>
      </c>
      <c r="M1506" t="inlineStr">
        <is>
          <t>BORNIER</t>
        </is>
      </c>
      <c r="N1506">
        <f>IF(ISERR(FIND("DECOUPE",Tableau1[[#This Row],[DESIGNATION]])),"","NEED REF")</f>
        <v/>
      </c>
    </row>
    <row r="1507">
      <c r="B1507" t="n">
        <v>34412494</v>
      </c>
      <c r="C1507" s="2" t="n">
        <v>45364</v>
      </c>
      <c r="D1507" t="inlineStr">
        <is>
          <t>SPEC</t>
        </is>
      </c>
      <c r="E1507" t="inlineStr">
        <is>
          <t>SMT 34412494 SUPPORT RAIL + GOULOTTES ARRIERE L1000</t>
        </is>
      </c>
      <c r="G1507" t="inlineStr">
        <is>
          <t>TOUTES</t>
        </is>
      </c>
      <c r="H1507" t="inlineStr">
        <is>
          <t>BYPASS</t>
        </is>
      </c>
      <c r="J1507" t="inlineStr">
        <is>
          <t>MATRION</t>
        </is>
      </c>
      <c r="K1507" t="inlineStr">
        <is>
          <t>METAL</t>
        </is>
      </c>
      <c r="L1507">
        <f>_xlfn.XLOOKUP(Tableau1[[#This Row],[TYPE DE PIECE]],Tableau4[MATIERE],Tableau4[SHORT TYPE],"",0,1)</f>
        <v/>
      </c>
      <c r="M1507" t="inlineStr">
        <is>
          <t>BORNIER</t>
        </is>
      </c>
      <c r="N1507">
        <f>IF(ISERR(FIND("DECOUPE",Tableau1[[#This Row],[DESIGNATION]])),"","NEED REF")</f>
        <v/>
      </c>
    </row>
    <row r="1508">
      <c r="B1508" t="n">
        <v>34412493</v>
      </c>
      <c r="C1508" s="2" t="n">
        <v>45364</v>
      </c>
      <c r="D1508" t="inlineStr">
        <is>
          <t>SPEC</t>
        </is>
      </c>
      <c r="E1508" t="inlineStr">
        <is>
          <t>SE 34412493 GVS BYPASS CUBICLE SAREL 66470/01</t>
        </is>
      </c>
      <c r="F1508" t="inlineStr">
        <is>
          <t>MARINE</t>
        </is>
      </c>
      <c r="G1508" t="inlineStr">
        <is>
          <t>GVS</t>
        </is>
      </c>
      <c r="H1508" t="inlineStr">
        <is>
          <t>BYPASS</t>
        </is>
      </c>
      <c r="J1508" t="inlineStr">
        <is>
          <t>BERNARDEAU</t>
        </is>
      </c>
      <c r="K1508" t="inlineStr">
        <is>
          <t>SE</t>
        </is>
      </c>
      <c r="L1508">
        <f>_xlfn.XLOOKUP(Tableau1[[#This Row],[TYPE DE PIECE]],Tableau4[MATIERE],Tableau4[SHORT TYPE],"",0,1)</f>
        <v/>
      </c>
      <c r="N1508">
        <f>IF(ISERR(FIND("DECOUPE",Tableau1[[#This Row],[DESIGNATION]])),"","NEED REF")</f>
        <v/>
      </c>
    </row>
    <row r="1509">
      <c r="B1509" t="n">
        <v>34412492</v>
      </c>
      <c r="C1509" s="2" t="n">
        <v>45364</v>
      </c>
      <c r="D1509" t="inlineStr">
        <is>
          <t>SPEC</t>
        </is>
      </c>
      <c r="E1509" t="inlineStr">
        <is>
          <t>SMT 34412492 PLATINE BORNIER RAIL + GOULOTTES</t>
        </is>
      </c>
      <c r="G1509" t="inlineStr">
        <is>
          <t>TOUTES</t>
        </is>
      </c>
      <c r="H1509" t="inlineStr">
        <is>
          <t>BYPASS</t>
        </is>
      </c>
      <c r="J1509" t="inlineStr">
        <is>
          <t>MATRION</t>
        </is>
      </c>
      <c r="K1509" t="inlineStr">
        <is>
          <t>METAL</t>
        </is>
      </c>
      <c r="L1509">
        <f>_xlfn.XLOOKUP(Tableau1[[#This Row],[TYPE DE PIECE]],Tableau4[MATIERE],Tableau4[SHORT TYPE],"",0,1)</f>
        <v/>
      </c>
      <c r="N1509">
        <f>IF(ISERR(FIND("DECOUPE",Tableau1[[#This Row],[DESIGNATION]])),"","NEED REF")</f>
        <v/>
      </c>
    </row>
    <row r="1510">
      <c r="B1510" t="n">
        <v>34412491</v>
      </c>
      <c r="C1510" s="2" t="n">
        <v>45363</v>
      </c>
      <c r="D1510" t="inlineStr">
        <is>
          <t>SPEC</t>
        </is>
      </c>
      <c r="E1510" t="inlineStr">
        <is>
          <t>SMT 34412491 SUPPORT GOULOTTE L1000</t>
        </is>
      </c>
      <c r="G1510" t="inlineStr">
        <is>
          <t>TOUTES</t>
        </is>
      </c>
      <c r="H1510" t="inlineStr">
        <is>
          <t>BYPASS</t>
        </is>
      </c>
      <c r="J1510" t="inlineStr">
        <is>
          <t>MATRION</t>
        </is>
      </c>
      <c r="K1510" t="inlineStr">
        <is>
          <t>METAL</t>
        </is>
      </c>
      <c r="L1510">
        <f>_xlfn.XLOOKUP(Tableau1[[#This Row],[TYPE DE PIECE]],Tableau4[MATIERE],Tableau4[SHORT TYPE],"",0,1)</f>
        <v/>
      </c>
      <c r="N1510">
        <f>IF(ISERR(FIND("DECOUPE",Tableau1[[#This Row],[DESIGNATION]])),"","NEED REF")</f>
        <v/>
      </c>
    </row>
    <row r="1511">
      <c r="B1511" t="n">
        <v>34412490</v>
      </c>
      <c r="C1511" s="2" t="n">
        <v>45363</v>
      </c>
      <c r="D1511" t="inlineStr">
        <is>
          <t>SPEC</t>
        </is>
      </c>
      <c r="E1511" t="inlineStr">
        <is>
          <t>SMT 34412490 SUPPORT JDB + CARDEW</t>
        </is>
      </c>
      <c r="G1511" t="inlineStr">
        <is>
          <t>TOUTES</t>
        </is>
      </c>
      <c r="H1511" t="inlineStr">
        <is>
          <t>BYPASS</t>
        </is>
      </c>
      <c r="J1511" t="inlineStr">
        <is>
          <t>MATRION</t>
        </is>
      </c>
      <c r="K1511" t="inlineStr">
        <is>
          <t>METAL</t>
        </is>
      </c>
      <c r="L1511">
        <f>_xlfn.XLOOKUP(Tableau1[[#This Row],[TYPE DE PIECE]],Tableau4[MATIERE],Tableau4[SHORT TYPE],"",0,1)</f>
        <v/>
      </c>
      <c r="N1511">
        <f>IF(ISERR(FIND("DECOUPE",Tableau1[[#This Row],[DESIGNATION]])),"","NEED REF")</f>
        <v/>
      </c>
    </row>
    <row r="1512">
      <c r="B1512" t="n">
        <v>34412489</v>
      </c>
      <c r="C1512" s="2" t="n">
        <v>45362</v>
      </c>
      <c r="D1512" t="inlineStr">
        <is>
          <t>SPEC</t>
        </is>
      </c>
      <c r="E1512" t="inlineStr">
        <is>
          <t>SMT 34412489 SUPPORT IMD-IM400</t>
        </is>
      </c>
      <c r="G1512" t="inlineStr">
        <is>
          <t>TOUTES</t>
        </is>
      </c>
      <c r="H1512" t="inlineStr">
        <is>
          <t>BYPASS</t>
        </is>
      </c>
      <c r="J1512" t="inlineStr">
        <is>
          <t>MATRION</t>
        </is>
      </c>
      <c r="K1512" t="inlineStr">
        <is>
          <t>METAL</t>
        </is>
      </c>
      <c r="L1512">
        <f>_xlfn.XLOOKUP(Tableau1[[#This Row],[TYPE DE PIECE]],Tableau4[MATIERE],Tableau4[SHORT TYPE],"",0,1)</f>
        <v/>
      </c>
      <c r="N1512">
        <f>IF(ISERR(FIND("DECOUPE",Tableau1[[#This Row],[DESIGNATION]])),"","NEED REF")</f>
        <v/>
      </c>
    </row>
    <row r="1513">
      <c r="B1513" t="n">
        <v>34412488</v>
      </c>
      <c r="C1513" s="2" t="n">
        <v>45359</v>
      </c>
      <c r="D1513" t="inlineStr">
        <is>
          <t>SPEC</t>
        </is>
      </c>
      <c r="E1513" t="inlineStr">
        <is>
          <t>TRAVERSE MAINTIEN CABLE SAREL 700</t>
        </is>
      </c>
      <c r="G1513" t="inlineStr">
        <is>
          <t>GVS</t>
        </is>
      </c>
      <c r="H1513" t="inlineStr">
        <is>
          <t>BYPASS</t>
        </is>
      </c>
      <c r="J1513" t="inlineStr">
        <is>
          <t>BERNARDEAU</t>
        </is>
      </c>
      <c r="K1513" t="inlineStr">
        <is>
          <t>METAL</t>
        </is>
      </c>
      <c r="L1513">
        <f>_xlfn.XLOOKUP(Tableau1[[#This Row],[TYPE DE PIECE]],Tableau4[MATIERE],Tableau4[SHORT TYPE],"",0,1)</f>
        <v/>
      </c>
      <c r="N1513">
        <f>IF(ISERR(FIND("DECOUPE",Tableau1[[#This Row],[DESIGNATION]])),"","NEED REF")</f>
        <v/>
      </c>
    </row>
    <row r="1514">
      <c r="B1514" t="n">
        <v>34412487</v>
      </c>
      <c r="C1514" s="2" t="n">
        <v>45359</v>
      </c>
      <c r="D1514" t="inlineStr">
        <is>
          <t>SPEC</t>
        </is>
      </c>
      <c r="E1514" t="inlineStr">
        <is>
          <t>SMT SUPPORT BARRE PE</t>
        </is>
      </c>
      <c r="G1514" t="inlineStr">
        <is>
          <t>GVS</t>
        </is>
      </c>
      <c r="H1514" t="inlineStr">
        <is>
          <t>BYPASS</t>
        </is>
      </c>
      <c r="J1514" t="inlineStr">
        <is>
          <t>BERNARDEAU</t>
        </is>
      </c>
      <c r="K1514" t="inlineStr">
        <is>
          <t>METAL</t>
        </is>
      </c>
      <c r="L1514">
        <f>_xlfn.XLOOKUP(Tableau1[[#This Row],[TYPE DE PIECE]],Tableau4[MATIERE],Tableau4[SHORT TYPE],"",0,1)</f>
        <v/>
      </c>
      <c r="N1514">
        <f>IF(ISERR(FIND("DECOUPE",Tableau1[[#This Row],[DESIGNATION]])),"","NEED REF")</f>
        <v/>
      </c>
    </row>
    <row r="1515">
      <c r="B1515" t="n">
        <v>34412486</v>
      </c>
      <c r="C1515" s="2" t="n">
        <v>45359</v>
      </c>
      <c r="D1515" t="inlineStr">
        <is>
          <t>SPEC</t>
        </is>
      </c>
      <c r="E1515" t="inlineStr">
        <is>
          <t>SMT SUPPORT BORNES</t>
        </is>
      </c>
      <c r="G1515" t="inlineStr">
        <is>
          <t>GVS</t>
        </is>
      </c>
      <c r="H1515" t="inlineStr">
        <is>
          <t>BYPASS</t>
        </is>
      </c>
      <c r="J1515" t="inlineStr">
        <is>
          <t>BERNARDEAU</t>
        </is>
      </c>
      <c r="K1515" t="inlineStr">
        <is>
          <t>METAL</t>
        </is>
      </c>
      <c r="L1515">
        <f>_xlfn.XLOOKUP(Tableau1[[#This Row],[TYPE DE PIECE]],Tableau4[MATIERE],Tableau4[SHORT TYPE],"",0,1)</f>
        <v/>
      </c>
      <c r="N1515">
        <f>IF(ISERR(FIND("DECOUPE",Tableau1[[#This Row],[DESIGNATION]])),"","NEED REF")</f>
        <v/>
      </c>
    </row>
    <row r="1516">
      <c r="B1516" t="n">
        <v>34412485</v>
      </c>
      <c r="C1516" s="2" t="n">
        <v>45359</v>
      </c>
      <c r="D1516" t="inlineStr">
        <is>
          <t>SPEC</t>
        </is>
      </c>
      <c r="E1516" t="inlineStr">
        <is>
          <t>SE 34412485 GVS BYPASS CUBICLE SAREL F22040008MHZ</t>
        </is>
      </c>
      <c r="F1516" t="inlineStr">
        <is>
          <t>MARINE</t>
        </is>
      </c>
      <c r="G1516" t="inlineStr">
        <is>
          <t>GVS</t>
        </is>
      </c>
      <c r="H1516" t="inlineStr">
        <is>
          <t>BYPASS</t>
        </is>
      </c>
      <c r="J1516" t="inlineStr">
        <is>
          <t>MATRION</t>
        </is>
      </c>
      <c r="K1516" t="inlineStr">
        <is>
          <t>SE</t>
        </is>
      </c>
      <c r="L1516">
        <f>_xlfn.XLOOKUP(Tableau1[[#This Row],[TYPE DE PIECE]],Tableau4[MATIERE],Tableau4[SHORT TYPE],"",0,1)</f>
        <v/>
      </c>
      <c r="N1516">
        <f>IF(ISERR(FIND("DECOUPE",Tableau1[[#This Row],[DESIGNATION]])),"","NEED REF")</f>
        <v/>
      </c>
    </row>
    <row r="1517">
      <c r="B1517" t="n">
        <v>34412484</v>
      </c>
      <c r="C1517" s="2" t="n">
        <v>45357</v>
      </c>
      <c r="D1517" t="inlineStr">
        <is>
          <t>SPEC</t>
        </is>
      </c>
      <c r="E1517" t="inlineStr">
        <is>
          <t>SMT SUPPORT BARRE PE</t>
        </is>
      </c>
      <c r="G1517" t="inlineStr">
        <is>
          <t>GVS</t>
        </is>
      </c>
      <c r="H1517" t="inlineStr">
        <is>
          <t>BYPASS</t>
        </is>
      </c>
      <c r="J1517" t="inlineStr">
        <is>
          <t>BERNARDEAU</t>
        </is>
      </c>
      <c r="K1517" t="inlineStr">
        <is>
          <t>METAL</t>
        </is>
      </c>
      <c r="L1517">
        <f>_xlfn.XLOOKUP(Tableau1[[#This Row],[TYPE DE PIECE]],Tableau4[MATIERE],Tableau4[SHORT TYPE],"",0,1)</f>
        <v/>
      </c>
      <c r="N1517">
        <f>IF(ISERR(FIND("DECOUPE",Tableau1[[#This Row],[DESIGNATION]])),"","NEED REF")</f>
        <v/>
      </c>
    </row>
    <row r="1518">
      <c r="B1518" t="n">
        <v>34412483</v>
      </c>
      <c r="C1518" s="2" t="n">
        <v>45357</v>
      </c>
      <c r="D1518" t="inlineStr">
        <is>
          <t>SPEC</t>
        </is>
      </c>
      <c r="E1518">
        <f>_xlfn.CONCAT(Tableau1[[#This Row],[SHORT TYPE]]," ",Tableau1[[#This Row],[NUMERO]]," ",Tableau1[[#This Row],[GAMME]]," ",Tableau1[[#This Row],[TYPE PRODUIT]]," ",Tableau1[[#This Row],[PUISSANCE]])</f>
        <v/>
      </c>
      <c r="H1518" t="inlineStr">
        <is>
          <t>STS</t>
        </is>
      </c>
      <c r="I1518" t="inlineStr">
        <is>
          <t>1250A</t>
        </is>
      </c>
      <c r="J1518" t="inlineStr">
        <is>
          <t>MATRION</t>
        </is>
      </c>
      <c r="K1518" t="inlineStr">
        <is>
          <t>CUIVRE</t>
        </is>
      </c>
      <c r="L1518">
        <f>_xlfn.XLOOKUP(Tableau1[[#This Row],[TYPE DE PIECE]],Tableau4[MATIERE],Tableau4[SHORT TYPE],"",0,1)</f>
        <v/>
      </c>
      <c r="N1518">
        <f>IF(ISERR(FIND("DECOUPE",Tableau1[[#This Row],[DESIGNATION]])),"","NEED REF")</f>
        <v/>
      </c>
    </row>
    <row r="1519">
      <c r="B1519" t="n">
        <v>34412482</v>
      </c>
      <c r="C1519" s="2" t="n">
        <v>45357</v>
      </c>
      <c r="D1519" t="inlineStr">
        <is>
          <t>SPEC</t>
        </is>
      </c>
      <c r="E1519">
        <f>_xlfn.CONCAT(Tableau1[[#This Row],[SHORT TYPE]]," ",Tableau1[[#This Row],[NUMERO]]," ",Tableau1[[#This Row],[GAMME]]," ",Tableau1[[#This Row],[TYPE PRODUIT]]," ",Tableau1[[#This Row],[PUISSANCE]])</f>
        <v/>
      </c>
      <c r="H1519" t="inlineStr">
        <is>
          <t>STS</t>
        </is>
      </c>
      <c r="I1519" t="inlineStr">
        <is>
          <t>1250A</t>
        </is>
      </c>
      <c r="J1519" t="inlineStr">
        <is>
          <t>MATRION</t>
        </is>
      </c>
      <c r="K1519" t="inlineStr">
        <is>
          <t>CUIVRE</t>
        </is>
      </c>
      <c r="L1519">
        <f>_xlfn.XLOOKUP(Tableau1[[#This Row],[TYPE DE PIECE]],Tableau4[MATIERE],Tableau4[SHORT TYPE],"",0,1)</f>
        <v/>
      </c>
      <c r="N1519">
        <f>IF(ISERR(FIND("DECOUPE",Tableau1[[#This Row],[DESIGNATION]])),"","NEED REF")</f>
        <v/>
      </c>
    </row>
    <row r="1520">
      <c r="B1520" t="n">
        <v>34412481</v>
      </c>
      <c r="C1520" s="2" t="n">
        <v>45357</v>
      </c>
      <c r="D1520" t="inlineStr">
        <is>
          <t>SPEC</t>
        </is>
      </c>
      <c r="E1520">
        <f>_xlfn.CONCAT(Tableau1[[#This Row],[SHORT TYPE]]," ",Tableau1[[#This Row],[NUMERO]]," ",Tableau1[[#This Row],[GAMME]]," ",Tableau1[[#This Row],[TYPE PRODUIT]]," ",Tableau1[[#This Row],[PUISSANCE]])</f>
        <v/>
      </c>
      <c r="H1520" t="inlineStr">
        <is>
          <t>STS</t>
        </is>
      </c>
      <c r="I1520" t="inlineStr">
        <is>
          <t>1250A</t>
        </is>
      </c>
      <c r="J1520" t="inlineStr">
        <is>
          <t>MATRION</t>
        </is>
      </c>
      <c r="K1520" t="inlineStr">
        <is>
          <t>CUIVRE</t>
        </is>
      </c>
      <c r="L1520">
        <f>_xlfn.XLOOKUP(Tableau1[[#This Row],[TYPE DE PIECE]],Tableau4[MATIERE],Tableau4[SHORT TYPE],"",0,1)</f>
        <v/>
      </c>
      <c r="N1520">
        <f>IF(ISERR(FIND("DECOUPE",Tableau1[[#This Row],[DESIGNATION]])),"","NEED REF")</f>
        <v/>
      </c>
    </row>
    <row r="1521">
      <c r="B1521" t="n">
        <v>34412480</v>
      </c>
      <c r="C1521" s="2" t="n">
        <v>45357</v>
      </c>
      <c r="D1521" t="inlineStr">
        <is>
          <t>SPEC</t>
        </is>
      </c>
      <c r="E1521" t="inlineStr">
        <is>
          <t>SMT SUPPORT BORNES</t>
        </is>
      </c>
      <c r="G1521" t="inlineStr">
        <is>
          <t>GVS</t>
        </is>
      </c>
      <c r="H1521" t="inlineStr">
        <is>
          <t>BYPASS</t>
        </is>
      </c>
      <c r="J1521" t="inlineStr">
        <is>
          <t>BERNARDEAU</t>
        </is>
      </c>
      <c r="K1521" t="inlineStr">
        <is>
          <t>METAL</t>
        </is>
      </c>
      <c r="L1521">
        <f>_xlfn.XLOOKUP(Tableau1[[#This Row],[TYPE DE PIECE]],Tableau4[MATIERE],Tableau4[SHORT TYPE],"",0,1)</f>
        <v/>
      </c>
      <c r="N1521">
        <f>IF(ISERR(FIND("DECOUPE",Tableau1[[#This Row],[DESIGNATION]])),"","NEED REF")</f>
        <v/>
      </c>
    </row>
    <row r="1522">
      <c r="B1522" t="n">
        <v>34412479</v>
      </c>
      <c r="C1522" s="2" t="n">
        <v>45356</v>
      </c>
      <c r="D1522" t="inlineStr">
        <is>
          <t>SPEC</t>
        </is>
      </c>
      <c r="E1522" t="inlineStr">
        <is>
          <t>SMT SUPPORT BORNES</t>
        </is>
      </c>
      <c r="G1522" t="inlineStr">
        <is>
          <t>GVS</t>
        </is>
      </c>
      <c r="H1522" t="inlineStr">
        <is>
          <t>BYPASS</t>
        </is>
      </c>
      <c r="J1522" t="inlineStr">
        <is>
          <t>BERNARDEAU</t>
        </is>
      </c>
      <c r="K1522" t="inlineStr">
        <is>
          <t>METAL</t>
        </is>
      </c>
      <c r="L1522">
        <f>_xlfn.XLOOKUP(Tableau1[[#This Row],[TYPE DE PIECE]],Tableau4[MATIERE],Tableau4[SHORT TYPE],"",0,1)</f>
        <v/>
      </c>
      <c r="N1522">
        <f>IF(ISERR(FIND("DECOUPE",Tableau1[[#This Row],[DESIGNATION]])),"","NEED REF")</f>
        <v/>
      </c>
    </row>
    <row r="1523">
      <c r="B1523" t="n">
        <v>34412478</v>
      </c>
      <c r="C1523" s="2" t="n">
        <v>45356</v>
      </c>
      <c r="D1523" t="inlineStr">
        <is>
          <t>SPEC</t>
        </is>
      </c>
      <c r="E1523">
        <f>_xlfn.CONCAT(Tableau1[[#This Row],[SHORT TYPE]]," ",Tableau1[[#This Row],[NUMERO]]," ",Tableau1[[#This Row],[GAMME]]," ",Tableau1[[#This Row],[TYPE PRODUIT]]," ",Tableau1[[#This Row],[PUISSANCE]])</f>
        <v/>
      </c>
      <c r="H1523" t="inlineStr">
        <is>
          <t>STS</t>
        </is>
      </c>
      <c r="I1523" t="inlineStr">
        <is>
          <t>1250A</t>
        </is>
      </c>
      <c r="J1523" t="inlineStr">
        <is>
          <t>MATRION</t>
        </is>
      </c>
      <c r="K1523" t="inlineStr">
        <is>
          <t>METAL</t>
        </is>
      </c>
      <c r="L1523">
        <f>_xlfn.XLOOKUP(Tableau1[[#This Row],[TYPE DE PIECE]],Tableau4[MATIERE],Tableau4[SHORT TYPE],"",0,1)</f>
        <v/>
      </c>
      <c r="N1523">
        <f>IF(ISERR(FIND("DECOUPE",Tableau1[[#This Row],[DESIGNATION]])),"","NEED REF")</f>
        <v/>
      </c>
    </row>
    <row r="1524">
      <c r="B1524" t="n">
        <v>34412477</v>
      </c>
      <c r="C1524" s="2" t="n">
        <v>45356</v>
      </c>
      <c r="D1524" t="inlineStr">
        <is>
          <t>SPEC</t>
        </is>
      </c>
      <c r="E1524">
        <f>_xlfn.CONCAT(Tableau1[[#This Row],[SHORT TYPE]]," ",Tableau1[[#This Row],[NUMERO]]," ",Tableau1[[#This Row],[GAMME]]," ",Tableau1[[#This Row],[TYPE PRODUIT]]," ",Tableau1[[#This Row],[PUISSANCE]])</f>
        <v/>
      </c>
      <c r="H1524" t="inlineStr">
        <is>
          <t>STS</t>
        </is>
      </c>
      <c r="I1524" t="inlineStr">
        <is>
          <t>1250A</t>
        </is>
      </c>
      <c r="J1524" t="inlineStr">
        <is>
          <t>MATRION</t>
        </is>
      </c>
      <c r="K1524" t="inlineStr">
        <is>
          <t>METAL</t>
        </is>
      </c>
      <c r="L1524">
        <f>_xlfn.XLOOKUP(Tableau1[[#This Row],[TYPE DE PIECE]],Tableau4[MATIERE],Tableau4[SHORT TYPE],"",0,1)</f>
        <v/>
      </c>
      <c r="N1524">
        <f>IF(ISERR(FIND("DECOUPE",Tableau1[[#This Row],[DESIGNATION]])),"","NEED REF")</f>
        <v/>
      </c>
    </row>
    <row r="1525">
      <c r="B1525" t="n">
        <v>34412476</v>
      </c>
      <c r="C1525" s="2" t="n">
        <v>45356</v>
      </c>
      <c r="D1525" t="inlineStr">
        <is>
          <t>SPEC</t>
        </is>
      </c>
      <c r="E1525" t="inlineStr">
        <is>
          <t>SMT SUPPORT CABLOFIL</t>
        </is>
      </c>
      <c r="G1525" t="inlineStr">
        <is>
          <t>GVS</t>
        </is>
      </c>
      <c r="H1525" t="inlineStr">
        <is>
          <t>BYPASS</t>
        </is>
      </c>
      <c r="J1525" t="inlineStr">
        <is>
          <t>BERNARDEAU</t>
        </is>
      </c>
      <c r="K1525" t="inlineStr">
        <is>
          <t>METAL</t>
        </is>
      </c>
      <c r="L1525">
        <f>_xlfn.XLOOKUP(Tableau1[[#This Row],[TYPE DE PIECE]],Tableau4[MATIERE],Tableau4[SHORT TYPE],"",0,1)</f>
        <v/>
      </c>
      <c r="N1525">
        <f>IF(ISERR(FIND("DECOUPE",Tableau1[[#This Row],[DESIGNATION]])),"","NEED REF")</f>
        <v/>
      </c>
    </row>
    <row r="1526">
      <c r="B1526" t="n">
        <v>34412475</v>
      </c>
      <c r="C1526" s="2" t="n">
        <v>45356</v>
      </c>
      <c r="D1526" t="inlineStr">
        <is>
          <t>SPEC</t>
        </is>
      </c>
      <c r="E1526" t="inlineStr">
        <is>
          <t>SMT TRAVERSE FIX_CABLE LG 606 mm</t>
        </is>
      </c>
      <c r="G1526" t="inlineStr">
        <is>
          <t>GVS</t>
        </is>
      </c>
      <c r="H1526" t="inlineStr">
        <is>
          <t>BYPASS</t>
        </is>
      </c>
      <c r="J1526" t="inlineStr">
        <is>
          <t>BERNARDEAU</t>
        </is>
      </c>
      <c r="K1526" t="inlineStr">
        <is>
          <t>METAL</t>
        </is>
      </c>
      <c r="L1526">
        <f>_xlfn.XLOOKUP(Tableau1[[#This Row],[TYPE DE PIECE]],Tableau4[MATIERE],Tableau4[SHORT TYPE],"",0,1)</f>
        <v/>
      </c>
      <c r="N1526">
        <f>IF(ISERR(FIND("DECOUPE",Tableau1[[#This Row],[DESIGNATION]])),"","NEED REF")</f>
        <v/>
      </c>
    </row>
    <row r="1527">
      <c r="B1527" t="n">
        <v>34412474</v>
      </c>
      <c r="C1527" s="2" t="n">
        <v>45355</v>
      </c>
      <c r="D1527" t="inlineStr">
        <is>
          <t>SPEC</t>
        </is>
      </c>
      <c r="E1527" t="inlineStr">
        <is>
          <t>KIT FILERIE MODULE NC LC1G500LSEA</t>
        </is>
      </c>
      <c r="F1527" t="inlineStr">
        <is>
          <t>STS1250</t>
        </is>
      </c>
      <c r="G1527" t="inlineStr">
        <is>
          <t>GVE</t>
        </is>
      </c>
      <c r="H1527" t="inlineStr">
        <is>
          <t>STS</t>
        </is>
      </c>
      <c r="I1527" t="inlineStr">
        <is>
          <t>1250A</t>
        </is>
      </c>
      <c r="J1527" t="inlineStr">
        <is>
          <t>MATRION</t>
        </is>
      </c>
      <c r="K1527" t="inlineStr">
        <is>
          <t>FILERIE</t>
        </is>
      </c>
      <c r="L1527">
        <f>_xlfn.XLOOKUP(Tableau1[[#This Row],[TYPE DE PIECE]],Tableau4[MATIERE],Tableau4[SHORT TYPE],"",0,1)</f>
        <v/>
      </c>
      <c r="N1527">
        <f>IF(ISERR(FIND("DECOUPE",Tableau1[[#This Row],[DESIGNATION]])),"","NEED REF")</f>
        <v/>
      </c>
    </row>
    <row r="1528">
      <c r="B1528" t="n">
        <v>34412473</v>
      </c>
      <c r="C1528" s="2" t="n">
        <v>45355</v>
      </c>
      <c r="D1528" t="inlineStr">
        <is>
          <t>SPEC</t>
        </is>
      </c>
      <c r="E1528" t="inlineStr">
        <is>
          <t>SMT PLASTRON PLEIN ARMOIRE 700 SAREL 5xNSX160</t>
        </is>
      </c>
      <c r="G1528" t="inlineStr">
        <is>
          <t>GVS</t>
        </is>
      </c>
      <c r="H1528" t="inlineStr">
        <is>
          <t>BYPASS</t>
        </is>
      </c>
      <c r="J1528" t="inlineStr">
        <is>
          <t>BERNARDEAU</t>
        </is>
      </c>
      <c r="K1528" t="inlineStr">
        <is>
          <t>METAL</t>
        </is>
      </c>
      <c r="L1528">
        <f>_xlfn.XLOOKUP(Tableau1[[#This Row],[TYPE DE PIECE]],Tableau4[MATIERE],Tableau4[SHORT TYPE],"",0,1)</f>
        <v/>
      </c>
      <c r="N1528">
        <f>IF(ISERR(FIND("DECOUPE",Tableau1[[#This Row],[DESIGNATION]])),"","NEED REF")</f>
        <v/>
      </c>
    </row>
    <row r="1529">
      <c r="B1529" t="n">
        <v>34412472</v>
      </c>
      <c r="C1529" s="2" t="n">
        <v>45352</v>
      </c>
      <c r="D1529" t="inlineStr">
        <is>
          <t>SPEC</t>
        </is>
      </c>
      <c r="E1529" t="inlineStr">
        <is>
          <t>WOOD 34412472  STS 1250A PALETTE CELLULE PLANCHER CROISE 2200x1200</t>
        </is>
      </c>
      <c r="H1529" t="inlineStr">
        <is>
          <t>STS</t>
        </is>
      </c>
      <c r="I1529" t="inlineStr">
        <is>
          <t>1250A</t>
        </is>
      </c>
      <c r="J1529" t="inlineStr">
        <is>
          <t>MATRION</t>
        </is>
      </c>
      <c r="K1529" t="inlineStr">
        <is>
          <t>BOIS</t>
        </is>
      </c>
      <c r="L1529">
        <f>_xlfn.XLOOKUP(Tableau1[[#This Row],[TYPE DE PIECE]],Tableau4[MATIERE],Tableau4[SHORT TYPE],"",0,1)</f>
        <v/>
      </c>
      <c r="N1529">
        <f>IF(ISERR(FIND("DECOUPE",Tableau1[[#This Row],[DESIGNATION]])),"","NEED REF")</f>
        <v/>
      </c>
    </row>
    <row r="1530">
      <c r="B1530" t="n">
        <v>34412471</v>
      </c>
      <c r="C1530" s="2" t="n">
        <v>45352</v>
      </c>
      <c r="D1530" t="inlineStr">
        <is>
          <t>SPEC</t>
        </is>
      </c>
      <c r="E1530" t="inlineStr">
        <is>
          <t>COP CUIVRE DE JONCTION NSX</t>
        </is>
      </c>
      <c r="G1530" t="inlineStr">
        <is>
          <t>GVS</t>
        </is>
      </c>
      <c r="H1530" t="inlineStr">
        <is>
          <t>BYPASS</t>
        </is>
      </c>
      <c r="J1530" t="inlineStr">
        <is>
          <t>BERNARDEAU</t>
        </is>
      </c>
      <c r="K1530" t="inlineStr">
        <is>
          <t>CUIVRE</t>
        </is>
      </c>
      <c r="L1530">
        <f>_xlfn.XLOOKUP(Tableau1[[#This Row],[TYPE DE PIECE]],Tableau4[MATIERE],Tableau4[SHORT TYPE],"",0,1)</f>
        <v/>
      </c>
      <c r="N1530">
        <f>IF(ISERR(FIND("DECOUPE",Tableau1[[#This Row],[DESIGNATION]])),"","NEED REF")</f>
        <v/>
      </c>
    </row>
    <row r="1531">
      <c r="B1531" t="n">
        <v>34412470</v>
      </c>
      <c r="C1531" s="2" t="n">
        <v>45352</v>
      </c>
      <c r="D1531" t="inlineStr">
        <is>
          <t>SPEC</t>
        </is>
      </c>
      <c r="E1531">
        <f>_xlfn.CONCAT(Tableau1[[#This Row],[SHORT TYPE]]," ",Tableau1[[#This Row],[NUMERO]]," ",Tableau1[[#This Row],[GAMME]]," ",Tableau1[[#This Row],[TYPE PRODUIT]]," ",Tableau1[[#This Row],[PUISSANCE]])</f>
        <v/>
      </c>
      <c r="G1531" t="inlineStr">
        <is>
          <t>MOYEN ATELIER</t>
        </is>
      </c>
      <c r="H1531" t="inlineStr">
        <is>
          <t>STS</t>
        </is>
      </c>
      <c r="J1531" t="inlineStr">
        <is>
          <t>MATRION</t>
        </is>
      </c>
      <c r="K1531" t="inlineStr">
        <is>
          <t>METAL</t>
        </is>
      </c>
      <c r="L1531">
        <f>_xlfn.XLOOKUP(Tableau1[[#This Row],[TYPE DE PIECE]],Tableau4[MATIERE],Tableau4[SHORT TYPE],"",0,1)</f>
        <v/>
      </c>
      <c r="N1531">
        <f>IF(ISERR(FIND("DECOUPE",Tableau1[[#This Row],[DESIGNATION]])),"","NEED REF")</f>
        <v/>
      </c>
    </row>
    <row r="1532">
      <c r="B1532" t="n">
        <v>34412469</v>
      </c>
      <c r="C1532" s="2" t="n">
        <v>45352</v>
      </c>
      <c r="D1532" t="inlineStr">
        <is>
          <t>SPEC</t>
        </is>
      </c>
      <c r="E1532">
        <f>_xlfn.CONCAT(Tableau1[[#This Row],[SHORT TYPE]]," ",Tableau1[[#This Row],[NUMERO]]," ",Tableau1[[#This Row],[GAMME]]," ",Tableau1[[#This Row],[TYPE PRODUIT]]," ",Tableau1[[#This Row],[PUISSANCE]])</f>
        <v/>
      </c>
      <c r="G1532" t="inlineStr">
        <is>
          <t>MOYEN ATELIER</t>
        </is>
      </c>
      <c r="H1532" t="inlineStr">
        <is>
          <t>STS</t>
        </is>
      </c>
      <c r="J1532" t="inlineStr">
        <is>
          <t>MATRION</t>
        </is>
      </c>
      <c r="K1532" t="inlineStr">
        <is>
          <t>METAL</t>
        </is>
      </c>
      <c r="L1532">
        <f>_xlfn.XLOOKUP(Tableau1[[#This Row],[TYPE DE PIECE]],Tableau4[MATIERE],Tableau4[SHORT TYPE],"",0,1)</f>
        <v/>
      </c>
      <c r="N1532">
        <f>IF(ISERR(FIND("DECOUPE",Tableau1[[#This Row],[DESIGNATION]])),"","NEED REF")</f>
        <v/>
      </c>
    </row>
    <row r="1533">
      <c r="B1533" t="n">
        <v>34412468</v>
      </c>
      <c r="C1533" s="2" t="n">
        <v>45352</v>
      </c>
      <c r="D1533" t="inlineStr">
        <is>
          <t>SPEC</t>
        </is>
      </c>
      <c r="E1533">
        <f>_xlfn.CONCAT(Tableau1[[#This Row],[SHORT TYPE]]," ",Tableau1[[#This Row],[NUMERO]]," ",Tableau1[[#This Row],[GAMME]]," ",Tableau1[[#This Row],[TYPE PRODUIT]]," ",Tableau1[[#This Row],[PUISSANCE]])</f>
        <v/>
      </c>
      <c r="G1533" t="inlineStr">
        <is>
          <t>MOYEN ATELIER</t>
        </is>
      </c>
      <c r="H1533" t="inlineStr">
        <is>
          <t>STS</t>
        </is>
      </c>
      <c r="J1533" t="inlineStr">
        <is>
          <t>MATRION</t>
        </is>
      </c>
      <c r="K1533" t="inlineStr">
        <is>
          <t>METAL</t>
        </is>
      </c>
      <c r="L1533">
        <f>_xlfn.XLOOKUP(Tableau1[[#This Row],[TYPE DE PIECE]],Tableau4[MATIERE],Tableau4[SHORT TYPE],"",0,1)</f>
        <v/>
      </c>
      <c r="N1533">
        <f>IF(ISERR(FIND("DECOUPE",Tableau1[[#This Row],[DESIGNATION]])),"","NEED REF")</f>
        <v/>
      </c>
    </row>
    <row r="1534">
      <c r="B1534" t="n">
        <v>34412467</v>
      </c>
      <c r="C1534" s="2" t="n">
        <v>45352</v>
      </c>
      <c r="D1534" t="inlineStr">
        <is>
          <t>SPEC</t>
        </is>
      </c>
      <c r="E1534">
        <f>_xlfn.CONCAT(Tableau1[[#This Row],[SHORT TYPE]]," ",Tableau1[[#This Row],[NUMERO]]," ",Tableau1[[#This Row],[GAMME]]," ",Tableau1[[#This Row],[TYPE PRODUIT]]," ",Tableau1[[#This Row],[PUISSANCE]])</f>
        <v/>
      </c>
      <c r="G1534" t="inlineStr">
        <is>
          <t>MOYEN ATELIER</t>
        </is>
      </c>
      <c r="H1534" t="inlineStr">
        <is>
          <t>STS</t>
        </is>
      </c>
      <c r="J1534" t="inlineStr">
        <is>
          <t>MATRION</t>
        </is>
      </c>
      <c r="K1534" t="inlineStr">
        <is>
          <t>METAL</t>
        </is>
      </c>
      <c r="L1534">
        <f>_xlfn.XLOOKUP(Tableau1[[#This Row],[TYPE DE PIECE]],Tableau4[MATIERE],Tableau4[SHORT TYPE],"",0,1)</f>
        <v/>
      </c>
      <c r="N1534">
        <f>IF(ISERR(FIND("DECOUPE",Tableau1[[#This Row],[DESIGNATION]])),"","NEED REF")</f>
        <v/>
      </c>
    </row>
    <row r="1535">
      <c r="B1535" t="n">
        <v>34412466</v>
      </c>
      <c r="C1535" s="2" t="n">
        <v>45351</v>
      </c>
      <c r="D1535" t="inlineStr">
        <is>
          <t>SPEC</t>
        </is>
      </c>
      <c r="E1535" t="inlineStr">
        <is>
          <t>SMT SUPPORT NSX160</t>
        </is>
      </c>
      <c r="J1535" t="inlineStr">
        <is>
          <t>BERNARDEAU</t>
        </is>
      </c>
      <c r="K1535" t="inlineStr">
        <is>
          <t>METAL</t>
        </is>
      </c>
      <c r="L1535">
        <f>_xlfn.XLOOKUP(Tableau1[[#This Row],[TYPE DE PIECE]],Tableau4[MATIERE],Tableau4[SHORT TYPE],"",0,1)</f>
        <v/>
      </c>
      <c r="N1535">
        <f>IF(ISERR(FIND("DECOUPE",Tableau1[[#This Row],[DESIGNATION]])),"","NEED REF")</f>
        <v/>
      </c>
    </row>
    <row r="1536">
      <c r="B1536" t="n">
        <v>34412465</v>
      </c>
      <c r="C1536" s="2" t="n">
        <v>45351</v>
      </c>
      <c r="D1536" t="inlineStr">
        <is>
          <t>SPEC</t>
        </is>
      </c>
      <c r="E1536" t="inlineStr">
        <is>
          <t>SMT MONTANT LATERAL</t>
        </is>
      </c>
      <c r="J1536" t="inlineStr">
        <is>
          <t>BERNARDEAU</t>
        </is>
      </c>
      <c r="K1536" t="inlineStr">
        <is>
          <t>METAL</t>
        </is>
      </c>
      <c r="L1536">
        <f>_xlfn.XLOOKUP(Tableau1[[#This Row],[TYPE DE PIECE]],Tableau4[MATIERE],Tableau4[SHORT TYPE],"",0,1)</f>
        <v/>
      </c>
      <c r="N1536">
        <f>IF(ISERR(FIND("DECOUPE",Tableau1[[#This Row],[DESIGNATION]])),"","NEED REF")</f>
        <v/>
      </c>
    </row>
    <row r="1537">
      <c r="B1537" t="n">
        <v>34412464</v>
      </c>
      <c r="C1537" s="2" t="n">
        <v>45345</v>
      </c>
      <c r="D1537" t="inlineStr">
        <is>
          <t>SPEC</t>
        </is>
      </c>
      <c r="E1537" t="inlineStr">
        <is>
          <t>ETQ 34412464  STS 1250A PE</t>
        </is>
      </c>
      <c r="H1537" t="inlineStr">
        <is>
          <t>STS</t>
        </is>
      </c>
      <c r="I1537" t="inlineStr">
        <is>
          <t>1250A</t>
        </is>
      </c>
      <c r="J1537" t="inlineStr">
        <is>
          <t>MATRION</t>
        </is>
      </c>
      <c r="K1537" t="inlineStr">
        <is>
          <t>ETIQUETTE</t>
        </is>
      </c>
      <c r="L1537">
        <f>_xlfn.XLOOKUP(Tableau1[[#This Row],[TYPE DE PIECE]],Tableau4[MATIERE],Tableau4[SHORT TYPE],"",0,1)</f>
        <v/>
      </c>
      <c r="N1537">
        <f>IF(ISERR(FIND("DECOUPE",Tableau1[[#This Row],[DESIGNATION]])),"","NEED REF")</f>
        <v/>
      </c>
    </row>
    <row r="1538">
      <c r="B1538" t="n">
        <v>34412463</v>
      </c>
      <c r="C1538" s="2" t="n">
        <v>45345</v>
      </c>
      <c r="D1538" t="inlineStr">
        <is>
          <t>SPEC</t>
        </is>
      </c>
      <c r="E1538" t="inlineStr">
        <is>
          <t>ETQ 34412463  STS 1250A LOAD</t>
        </is>
      </c>
      <c r="H1538" t="inlineStr">
        <is>
          <t>STS</t>
        </is>
      </c>
      <c r="I1538" t="inlineStr">
        <is>
          <t>1250A</t>
        </is>
      </c>
      <c r="J1538" t="inlineStr">
        <is>
          <t>MATRION</t>
        </is>
      </c>
      <c r="K1538" t="inlineStr">
        <is>
          <t>ETIQUETTE</t>
        </is>
      </c>
      <c r="L1538">
        <f>_xlfn.XLOOKUP(Tableau1[[#This Row],[TYPE DE PIECE]],Tableau4[MATIERE],Tableau4[SHORT TYPE],"",0,1)</f>
        <v/>
      </c>
      <c r="N1538">
        <f>IF(ISERR(FIND("DECOUPE",Tableau1[[#This Row],[DESIGNATION]])),"","NEED REF")</f>
        <v/>
      </c>
    </row>
    <row r="1539">
      <c r="B1539" t="n">
        <v>34412462</v>
      </c>
      <c r="C1539" s="2" t="n">
        <v>45345</v>
      </c>
      <c r="D1539" t="inlineStr">
        <is>
          <t>SPEC</t>
        </is>
      </c>
      <c r="E1539" t="inlineStr">
        <is>
          <t>ETQ 34412462  STS 1250A SOURCE2</t>
        </is>
      </c>
      <c r="H1539" t="inlineStr">
        <is>
          <t>STS</t>
        </is>
      </c>
      <c r="I1539" t="inlineStr">
        <is>
          <t>1250A</t>
        </is>
      </c>
      <c r="J1539" t="inlineStr">
        <is>
          <t>MATRION</t>
        </is>
      </c>
      <c r="K1539" t="inlineStr">
        <is>
          <t>ETIQUETTE</t>
        </is>
      </c>
      <c r="L1539">
        <f>_xlfn.XLOOKUP(Tableau1[[#This Row],[TYPE DE PIECE]],Tableau4[MATIERE],Tableau4[SHORT TYPE],"",0,1)</f>
        <v/>
      </c>
      <c r="N1539">
        <f>IF(ISERR(FIND("DECOUPE",Tableau1[[#This Row],[DESIGNATION]])),"","NEED REF")</f>
        <v/>
      </c>
    </row>
    <row r="1540">
      <c r="B1540" t="n">
        <v>34412461</v>
      </c>
      <c r="C1540" s="2" t="n">
        <v>45345</v>
      </c>
      <c r="D1540" t="inlineStr">
        <is>
          <t>SPEC</t>
        </is>
      </c>
      <c r="E1540" t="inlineStr">
        <is>
          <t>ETQ 34412461  STS 1250A SOURCE1</t>
        </is>
      </c>
      <c r="H1540" t="inlineStr">
        <is>
          <t>STS</t>
        </is>
      </c>
      <c r="I1540" t="inlineStr">
        <is>
          <t>1250A</t>
        </is>
      </c>
      <c r="J1540" t="inlineStr">
        <is>
          <t>MATRION</t>
        </is>
      </c>
      <c r="K1540" t="inlineStr">
        <is>
          <t>ETIQUETTE</t>
        </is>
      </c>
      <c r="L1540">
        <f>_xlfn.XLOOKUP(Tableau1[[#This Row],[TYPE DE PIECE]],Tableau4[MATIERE],Tableau4[SHORT TYPE],"",0,1)</f>
        <v/>
      </c>
      <c r="N1540">
        <f>IF(ISERR(FIND("DECOUPE",Tableau1[[#This Row],[DESIGNATION]])),"","NEED REF")</f>
        <v/>
      </c>
    </row>
    <row r="1541">
      <c r="B1541" t="n">
        <v>34412460</v>
      </c>
      <c r="C1541" s="2" t="n">
        <v>45345</v>
      </c>
      <c r="D1541" t="inlineStr">
        <is>
          <t>SPEC</t>
        </is>
      </c>
      <c r="E1541" t="inlineStr">
        <is>
          <t>SMT PLASTRON PLEIN ARMOIRE 700 SAREL</t>
        </is>
      </c>
      <c r="J1541" t="inlineStr">
        <is>
          <t>BERNARDEAU</t>
        </is>
      </c>
      <c r="K1541" t="inlineStr">
        <is>
          <t>METAL</t>
        </is>
      </c>
      <c r="L1541">
        <f>_xlfn.XLOOKUP(Tableau1[[#This Row],[TYPE DE PIECE]],Tableau4[MATIERE],Tableau4[SHORT TYPE],"",0,1)</f>
        <v/>
      </c>
      <c r="N1541">
        <f>IF(ISERR(FIND("DECOUPE",Tableau1[[#This Row],[DESIGNATION]])),"","NEED REF")</f>
        <v/>
      </c>
    </row>
    <row r="1542">
      <c r="B1542" t="n">
        <v>34412459</v>
      </c>
      <c r="C1542" s="2" t="n">
        <v>45345</v>
      </c>
      <c r="D1542" t="inlineStr">
        <is>
          <t>SPEC</t>
        </is>
      </c>
      <c r="E1542" t="inlineStr">
        <is>
          <t>SMT PLASTRON PLEIN ARMOIRE 700 SAREL</t>
        </is>
      </c>
      <c r="J1542" t="inlineStr">
        <is>
          <t>BERNARDEAU</t>
        </is>
      </c>
      <c r="K1542" t="inlineStr">
        <is>
          <t>METAL</t>
        </is>
      </c>
      <c r="L1542">
        <f>_xlfn.XLOOKUP(Tableau1[[#This Row],[TYPE DE PIECE]],Tableau4[MATIERE],Tableau4[SHORT TYPE],"",0,1)</f>
        <v/>
      </c>
      <c r="N1542">
        <f>IF(ISERR(FIND("DECOUPE",Tableau1[[#This Row],[DESIGNATION]])),"","NEED REF")</f>
        <v/>
      </c>
    </row>
    <row r="1543">
      <c r="B1543" t="n">
        <v>34412458</v>
      </c>
      <c r="C1543" s="2" t="n">
        <v>45344</v>
      </c>
      <c r="D1543" t="inlineStr">
        <is>
          <t>SPEC</t>
        </is>
      </c>
      <c r="E1543" t="inlineStr">
        <is>
          <t>DECOUPE RAIL NSYCNT40 L660MM</t>
        </is>
      </c>
      <c r="G1543" t="inlineStr">
        <is>
          <t>GVX</t>
        </is>
      </c>
      <c r="H1543" t="inlineStr">
        <is>
          <t>BBC</t>
        </is>
      </c>
      <c r="I1543" t="inlineStr">
        <is>
          <t>1500KVA</t>
        </is>
      </c>
      <c r="J1543" t="inlineStr">
        <is>
          <t>JAWORSKI</t>
        </is>
      </c>
      <c r="K1543" t="inlineStr">
        <is>
          <t>METAL</t>
        </is>
      </c>
      <c r="L1543">
        <f>_xlfn.XLOOKUP(Tableau1[[#This Row],[TYPE DE PIECE]],Tableau4[MATIERE],Tableau4[SHORT TYPE],"",0,1)</f>
        <v/>
      </c>
      <c r="N1543" t="inlineStr">
        <is>
          <t>NSYCNT40</t>
        </is>
      </c>
    </row>
    <row r="1544">
      <c r="B1544" t="n">
        <v>34412457</v>
      </c>
      <c r="C1544" s="2" t="n">
        <v>45344</v>
      </c>
      <c r="D1544" t="inlineStr">
        <is>
          <t>SPEC</t>
        </is>
      </c>
      <c r="E1544" t="inlineStr">
        <is>
          <t>SMT RAIL FIXATION CABLE</t>
        </is>
      </c>
      <c r="G1544" t="inlineStr">
        <is>
          <t>GVX</t>
        </is>
      </c>
      <c r="H1544" t="inlineStr">
        <is>
          <t>BBC</t>
        </is>
      </c>
      <c r="I1544" t="inlineStr">
        <is>
          <t>1500KVA</t>
        </is>
      </c>
      <c r="J1544" t="inlineStr">
        <is>
          <t>JAWORSKI</t>
        </is>
      </c>
      <c r="K1544" t="inlineStr">
        <is>
          <t>METAL</t>
        </is>
      </c>
      <c r="L1544">
        <f>_xlfn.XLOOKUP(Tableau1[[#This Row],[TYPE DE PIECE]],Tableau4[MATIERE],Tableau4[SHORT TYPE],"",0,1)</f>
        <v/>
      </c>
      <c r="N1544">
        <f>IF(ISERR(FIND("DECOUPE",Tableau1[[#This Row],[DESIGNATION]])),"","NEED REF")</f>
        <v/>
      </c>
    </row>
    <row r="1545">
      <c r="B1545" t="n">
        <v>34412456</v>
      </c>
      <c r="C1545" s="2" t="n">
        <v>45344</v>
      </c>
      <c r="D1545" t="inlineStr">
        <is>
          <t>SPEC</t>
        </is>
      </c>
      <c r="E1545" t="inlineStr">
        <is>
          <t>SMT TRAVERSE D7 - FIXATION CABLE</t>
        </is>
      </c>
      <c r="G1545" t="inlineStr">
        <is>
          <t>GVX</t>
        </is>
      </c>
      <c r="H1545" t="inlineStr">
        <is>
          <t>BBC</t>
        </is>
      </c>
      <c r="I1545" t="inlineStr">
        <is>
          <t>1500KVA</t>
        </is>
      </c>
      <c r="J1545" t="inlineStr">
        <is>
          <t>JAWORSKI</t>
        </is>
      </c>
      <c r="K1545" t="inlineStr">
        <is>
          <t>METAL</t>
        </is>
      </c>
      <c r="L1545">
        <f>_xlfn.XLOOKUP(Tableau1[[#This Row],[TYPE DE PIECE]],Tableau4[MATIERE],Tableau4[SHORT TYPE],"",0,1)</f>
        <v/>
      </c>
      <c r="N1545">
        <f>IF(ISERR(FIND("DECOUPE",Tableau1[[#This Row],[DESIGNATION]])),"","NEED REF")</f>
        <v/>
      </c>
    </row>
    <row r="1546">
      <c r="B1546" t="n">
        <v>34412455</v>
      </c>
      <c r="C1546" s="2" t="n">
        <v>45344</v>
      </c>
      <c r="D1546" t="inlineStr">
        <is>
          <t>SPEC</t>
        </is>
      </c>
      <c r="E1546" t="inlineStr">
        <is>
          <t xml:space="preserve">SMT SUPPORT TFO SANS CHASSIS RENFORCE </t>
        </is>
      </c>
      <c r="H1546" t="inlineStr">
        <is>
          <t>TOUS</t>
        </is>
      </c>
      <c r="J1546" t="inlineStr">
        <is>
          <t>BERNARDEAU</t>
        </is>
      </c>
      <c r="K1546" t="inlineStr">
        <is>
          <t>METAL</t>
        </is>
      </c>
      <c r="L1546">
        <f>_xlfn.XLOOKUP(Tableau1[[#This Row],[TYPE DE PIECE]],Tableau4[MATIERE],Tableau4[SHORT TYPE],"",0,1)</f>
        <v/>
      </c>
      <c r="N1546">
        <f>IF(ISERR(FIND("DECOUPE",Tableau1[[#This Row],[DESIGNATION]])),"","NEED REF")</f>
        <v/>
      </c>
    </row>
    <row r="1547">
      <c r="B1547" t="n">
        <v>34412454</v>
      </c>
      <c r="C1547" s="2" t="n">
        <v>45344</v>
      </c>
      <c r="D1547" t="inlineStr">
        <is>
          <t>SPEC</t>
        </is>
      </c>
      <c r="E1547" t="inlineStr">
        <is>
          <t>SMT TRAVERSE D7 - SUPPORT JDB 115MM</t>
        </is>
      </c>
      <c r="G1547" t="inlineStr">
        <is>
          <t>GVX</t>
        </is>
      </c>
      <c r="H1547" t="inlineStr">
        <is>
          <t>BBC</t>
        </is>
      </c>
      <c r="I1547" t="inlineStr">
        <is>
          <t>1500KVA</t>
        </is>
      </c>
      <c r="J1547" t="inlineStr">
        <is>
          <t>JAWORSKI</t>
        </is>
      </c>
      <c r="K1547" t="inlineStr">
        <is>
          <t>METAL</t>
        </is>
      </c>
      <c r="L1547">
        <f>_xlfn.XLOOKUP(Tableau1[[#This Row],[TYPE DE PIECE]],Tableau4[MATIERE],Tableau4[SHORT TYPE],"",0,1)</f>
        <v/>
      </c>
      <c r="N1547">
        <f>IF(ISERR(FIND("DECOUPE",Tableau1[[#This Row],[DESIGNATION]])),"","NEED REF")</f>
        <v/>
      </c>
    </row>
    <row r="1548">
      <c r="B1548" t="n">
        <v>34412453</v>
      </c>
      <c r="C1548" s="2" t="n">
        <v>45344</v>
      </c>
      <c r="D1548" t="inlineStr">
        <is>
          <t>SPEC</t>
        </is>
      </c>
      <c r="E1548" t="inlineStr">
        <is>
          <t>SMT TRAVERSE D7 - SUPPORT JDB 115MM</t>
        </is>
      </c>
      <c r="G1548" t="inlineStr">
        <is>
          <t>GVX</t>
        </is>
      </c>
      <c r="H1548" t="inlineStr">
        <is>
          <t>BBC</t>
        </is>
      </c>
      <c r="I1548" t="inlineStr">
        <is>
          <t>1500KVA</t>
        </is>
      </c>
      <c r="J1548" t="inlineStr">
        <is>
          <t>JAWORSKI</t>
        </is>
      </c>
      <c r="K1548" t="inlineStr">
        <is>
          <t>METAL</t>
        </is>
      </c>
      <c r="L1548">
        <f>_xlfn.XLOOKUP(Tableau1[[#This Row],[TYPE DE PIECE]],Tableau4[MATIERE],Tableau4[SHORT TYPE],"",0,1)</f>
        <v/>
      </c>
      <c r="N1548">
        <f>IF(ISERR(FIND("DECOUPE",Tableau1[[#This Row],[DESIGNATION]])),"","NEED REF")</f>
        <v/>
      </c>
    </row>
    <row r="1549">
      <c r="B1549" t="n">
        <v>34412452</v>
      </c>
      <c r="C1549" s="2" t="n">
        <v>45344</v>
      </c>
      <c r="D1549" t="inlineStr">
        <is>
          <t>SPEC</t>
        </is>
      </c>
      <c r="E1549" t="inlineStr">
        <is>
          <t>SMT PIECE DE SERRAGE SUPPORT TFO</t>
        </is>
      </c>
      <c r="H1549" t="inlineStr">
        <is>
          <t>TOUS</t>
        </is>
      </c>
      <c r="J1549" t="inlineStr">
        <is>
          <t>BERNARDEAU</t>
        </is>
      </c>
      <c r="K1549" t="inlineStr">
        <is>
          <t>METAL</t>
        </is>
      </c>
      <c r="L1549">
        <f>_xlfn.XLOOKUP(Tableau1[[#This Row],[TYPE DE PIECE]],Tableau4[MATIERE],Tableau4[SHORT TYPE],"",0,1)</f>
        <v/>
      </c>
      <c r="N1549">
        <f>IF(ISERR(FIND("DECOUPE",Tableau1[[#This Row],[DESIGNATION]])),"","NEED REF")</f>
        <v/>
      </c>
    </row>
    <row r="1550">
      <c r="B1550" t="n">
        <v>34412451</v>
      </c>
      <c r="C1550" s="2" t="n">
        <v>45344</v>
      </c>
      <c r="D1550" t="inlineStr">
        <is>
          <t>SPEC</t>
        </is>
      </c>
      <c r="E1550" t="inlineStr">
        <is>
          <t>SMT TRAVERSE D7 - SUPPORT JDB 115MM</t>
        </is>
      </c>
      <c r="G1550" t="inlineStr">
        <is>
          <t>GVX</t>
        </is>
      </c>
      <c r="H1550" t="inlineStr">
        <is>
          <t>BBC</t>
        </is>
      </c>
      <c r="I1550" t="inlineStr">
        <is>
          <t>1500KVA</t>
        </is>
      </c>
      <c r="J1550" t="inlineStr">
        <is>
          <t>JAWORSKI</t>
        </is>
      </c>
      <c r="K1550" t="inlineStr">
        <is>
          <t>METAL</t>
        </is>
      </c>
      <c r="L1550">
        <f>_xlfn.XLOOKUP(Tableau1[[#This Row],[TYPE DE PIECE]],Tableau4[MATIERE],Tableau4[SHORT TYPE],"",0,1)</f>
        <v/>
      </c>
      <c r="N1550">
        <f>IF(ISERR(FIND("DECOUPE",Tableau1[[#This Row],[DESIGNATION]])),"","NEED REF")</f>
        <v/>
      </c>
    </row>
    <row r="1551">
      <c r="B1551" t="n">
        <v>34412450</v>
      </c>
      <c r="C1551" s="2" t="n">
        <v>45343</v>
      </c>
      <c r="D1551" t="inlineStr">
        <is>
          <t>SPEC</t>
        </is>
      </c>
      <c r="E1551" t="inlineStr">
        <is>
          <t>SMT DEFLECTEUR ARMOIRE SAREL LG700</t>
        </is>
      </c>
      <c r="J1551" t="inlineStr">
        <is>
          <t>BERNARDEAU</t>
        </is>
      </c>
      <c r="K1551" t="inlineStr">
        <is>
          <t>METAL</t>
        </is>
      </c>
      <c r="L1551">
        <f>_xlfn.XLOOKUP(Tableau1[[#This Row],[TYPE DE PIECE]],Tableau4[MATIERE],Tableau4[SHORT TYPE],"",0,1)</f>
        <v/>
      </c>
      <c r="N1551">
        <f>IF(ISERR(FIND("DECOUPE",Tableau1[[#This Row],[DESIGNATION]])),"","NEED REF")</f>
        <v/>
      </c>
    </row>
    <row r="1552">
      <c r="B1552" t="n">
        <v>34412449</v>
      </c>
      <c r="C1552" s="2" t="n">
        <v>45343</v>
      </c>
      <c r="D1552" t="inlineStr">
        <is>
          <t>SPEC</t>
        </is>
      </c>
      <c r="E1552" t="inlineStr">
        <is>
          <t>COP CONNEXION RACCORD. BATT</t>
        </is>
      </c>
      <c r="G1552" t="inlineStr">
        <is>
          <t>GVX</t>
        </is>
      </c>
      <c r="H1552" t="inlineStr">
        <is>
          <t>BBC</t>
        </is>
      </c>
      <c r="J1552" t="inlineStr">
        <is>
          <t>JAWORSKI</t>
        </is>
      </c>
      <c r="K1552" t="inlineStr">
        <is>
          <t>CUIVRE</t>
        </is>
      </c>
      <c r="L1552">
        <f>_xlfn.XLOOKUP(Tableau1[[#This Row],[TYPE DE PIECE]],Tableau4[MATIERE],Tableau4[SHORT TYPE],"",0,1)</f>
        <v/>
      </c>
      <c r="N1552">
        <f>IF(ISERR(FIND("DECOUPE",Tableau1[[#This Row],[DESIGNATION]])),"","NEED REF")</f>
        <v/>
      </c>
    </row>
    <row r="1553">
      <c r="B1553" t="n">
        <v>34412448</v>
      </c>
      <c r="C1553" s="2" t="n">
        <v>45343</v>
      </c>
      <c r="D1553" t="inlineStr">
        <is>
          <t>SPEC</t>
        </is>
      </c>
      <c r="E1553" t="inlineStr">
        <is>
          <t xml:space="preserve">SMT SUPPORT TFO POUR CHASSIS BAS RENFORCE </t>
        </is>
      </c>
      <c r="H1553" t="inlineStr">
        <is>
          <t>TOUS</t>
        </is>
      </c>
      <c r="J1553" t="inlineStr">
        <is>
          <t>MATRION</t>
        </is>
      </c>
      <c r="K1553" t="inlineStr">
        <is>
          <t>METAL</t>
        </is>
      </c>
      <c r="L1553">
        <f>_xlfn.XLOOKUP(Tableau1[[#This Row],[TYPE DE PIECE]],Tableau4[MATIERE],Tableau4[SHORT TYPE],"",0,1)</f>
        <v/>
      </c>
      <c r="N1553">
        <f>IF(ISERR(FIND("DECOUPE",Tableau1[[#This Row],[DESIGNATION]])),"","NEED REF")</f>
        <v/>
      </c>
    </row>
    <row r="1554">
      <c r="B1554" t="n">
        <v>34412447</v>
      </c>
      <c r="C1554" s="2" t="n">
        <v>45343</v>
      </c>
      <c r="D1554" t="inlineStr">
        <is>
          <t>SPEC</t>
        </is>
      </c>
      <c r="E1554" t="inlineStr">
        <is>
          <t>SMT TRAVERSE D8 - SUPPORT JDB 115MM</t>
        </is>
      </c>
      <c r="G1554" t="inlineStr">
        <is>
          <t>GVX</t>
        </is>
      </c>
      <c r="H1554" t="inlineStr">
        <is>
          <t>BBC</t>
        </is>
      </c>
      <c r="I1554" t="inlineStr">
        <is>
          <t>1500KVA</t>
        </is>
      </c>
      <c r="J1554" t="inlineStr">
        <is>
          <t>JAWORSKI</t>
        </is>
      </c>
      <c r="K1554" t="inlineStr">
        <is>
          <t>METAL</t>
        </is>
      </c>
      <c r="L1554">
        <f>_xlfn.XLOOKUP(Tableau1[[#This Row],[TYPE DE PIECE]],Tableau4[MATIERE],Tableau4[SHORT TYPE],"",0,1)</f>
        <v/>
      </c>
      <c r="N1554">
        <f>IF(ISERR(FIND("DECOUPE",Tableau1[[#This Row],[DESIGNATION]])),"","NEED REF")</f>
        <v/>
      </c>
    </row>
    <row r="1555">
      <c r="B1555" t="n">
        <v>34412446</v>
      </c>
      <c r="C1555" s="2" t="n">
        <v>45343</v>
      </c>
      <c r="D1555" t="inlineStr">
        <is>
          <t>SPEC</t>
        </is>
      </c>
      <c r="E1555" t="inlineStr">
        <is>
          <t>SMT TRAVERSE D8 -PLATEAU NW20/40</t>
        </is>
      </c>
      <c r="G1555" t="inlineStr">
        <is>
          <t>GVX</t>
        </is>
      </c>
      <c r="H1555" t="inlineStr">
        <is>
          <t>BBC</t>
        </is>
      </c>
      <c r="I1555" t="inlineStr">
        <is>
          <t>1500KVA</t>
        </is>
      </c>
      <c r="J1555" t="inlineStr">
        <is>
          <t>JAWORSKI</t>
        </is>
      </c>
      <c r="K1555" t="inlineStr">
        <is>
          <t>METAL</t>
        </is>
      </c>
      <c r="L1555">
        <f>_xlfn.XLOOKUP(Tableau1[[#This Row],[TYPE DE PIECE]],Tableau4[MATIERE],Tableau4[SHORT TYPE],"",0,1)</f>
        <v/>
      </c>
      <c r="N1555">
        <f>IF(ISERR(FIND("DECOUPE",Tableau1[[#This Row],[DESIGNATION]])),"","NEED REF")</f>
        <v/>
      </c>
    </row>
    <row r="1556" ht="15" customHeight="1" s="142">
      <c r="B1556" t="n">
        <v>34412445</v>
      </c>
      <c r="C1556" s="2" t="n">
        <v>45342</v>
      </c>
      <c r="D1556" t="inlineStr">
        <is>
          <t>SPEC</t>
        </is>
      </c>
      <c r="E1556" t="inlineStr">
        <is>
          <t>SMT SUPPORT TFO ARMOIRE SAREL 700</t>
        </is>
      </c>
      <c r="J1556" t="inlineStr">
        <is>
          <t>BERNARDEAU</t>
        </is>
      </c>
      <c r="K1556" t="inlineStr">
        <is>
          <t>METAL</t>
        </is>
      </c>
      <c r="L1556">
        <f>_xlfn.XLOOKUP(Tableau1[[#This Row],[TYPE DE PIECE]],Tableau4[MATIERE],Tableau4[SHORT TYPE],"",0,1)</f>
        <v/>
      </c>
      <c r="N1556">
        <f>IF(ISERR(FIND("DECOUPE",Tableau1[[#This Row],[DESIGNATION]])),"","NEED REF")</f>
        <v/>
      </c>
    </row>
    <row r="1557">
      <c r="B1557" t="n">
        <v>34412444</v>
      </c>
      <c r="C1557" s="2" t="n">
        <v>45338</v>
      </c>
      <c r="D1557" t="inlineStr">
        <is>
          <t>SPEC</t>
        </is>
      </c>
      <c r="E1557">
        <f>_xlfn.CONCAT(Tableau1[[#This Row],[SHORT TYPE]]," ",Tableau1[[#This Row],[NUMERO]]," ",Tableau1[[#This Row],[GAMME]]," ",Tableau1[[#This Row],[TYPE PRODUIT]]," ",Tableau1[[#This Row],[PUISSANCE]])</f>
        <v/>
      </c>
      <c r="G1557" t="inlineStr">
        <is>
          <t>GVXL</t>
        </is>
      </c>
      <c r="H1557" t="inlineStr">
        <is>
          <t>UPS</t>
        </is>
      </c>
      <c r="I1557" t="inlineStr">
        <is>
          <t>1250kVA</t>
        </is>
      </c>
      <c r="J1557" t="inlineStr">
        <is>
          <t>MATRION</t>
        </is>
      </c>
      <c r="K1557" t="inlineStr">
        <is>
          <t>CUIVRE</t>
        </is>
      </c>
      <c r="L1557">
        <f>_xlfn.XLOOKUP(Tableau1[[#This Row],[TYPE DE PIECE]],Tableau4[MATIERE],Tableau4[SHORT TYPE],"",0,1)</f>
        <v/>
      </c>
      <c r="N1557">
        <f>IF(ISERR(FIND("DECOUPE",Tableau1[[#This Row],[DESIGNATION]])),"","NEED REF")</f>
        <v/>
      </c>
    </row>
    <row r="1558">
      <c r="B1558" t="n">
        <v>34412443</v>
      </c>
      <c r="C1558" s="2" t="n">
        <v>45338</v>
      </c>
      <c r="D1558" t="inlineStr">
        <is>
          <t>SPEC</t>
        </is>
      </c>
      <c r="E1558">
        <f>_xlfn.CONCAT(Tableau1[[#This Row],[SHORT TYPE]]," ",Tableau1[[#This Row],[NUMERO]]," ",Tableau1[[#This Row],[GAMME]]," ",Tableau1[[#This Row],[TYPE PRODUIT]]," ",Tableau1[[#This Row],[PUISSANCE]])</f>
        <v/>
      </c>
      <c r="G1558" t="inlineStr">
        <is>
          <t>GVXL</t>
        </is>
      </c>
      <c r="H1558" t="inlineStr">
        <is>
          <t>UPS</t>
        </is>
      </c>
      <c r="I1558" t="inlineStr">
        <is>
          <t>1250kVA</t>
        </is>
      </c>
      <c r="J1558" t="inlineStr">
        <is>
          <t>MATRION</t>
        </is>
      </c>
      <c r="K1558" t="inlineStr">
        <is>
          <t>CUIVRE</t>
        </is>
      </c>
      <c r="L1558">
        <f>_xlfn.XLOOKUP(Tableau1[[#This Row],[TYPE DE PIECE]],Tableau4[MATIERE],Tableau4[SHORT TYPE],"",0,1)</f>
        <v/>
      </c>
      <c r="N1558">
        <f>IF(ISERR(FIND("DECOUPE",Tableau1[[#This Row],[DESIGNATION]])),"","NEED REF")</f>
        <v/>
      </c>
    </row>
    <row r="1559" ht="15" customHeight="1" s="142">
      <c r="B1559" t="n">
        <v>34412442</v>
      </c>
      <c r="C1559" s="2" t="n">
        <v>45338</v>
      </c>
      <c r="D1559" t="inlineStr">
        <is>
          <t>SPEC</t>
        </is>
      </c>
      <c r="E1559">
        <f>_xlfn.CONCAT(Tableau1[[#This Row],[SHORT TYPE]]," ",Tableau1[[#This Row],[NUMERO]]," ",Tableau1[[#This Row],[GAMME]]," ",Tableau1[[#This Row],[TYPE PRODUIT]]," ",Tableau1[[#This Row],[PUISSANCE]])</f>
        <v/>
      </c>
      <c r="G1559" t="inlineStr">
        <is>
          <t>GVXL</t>
        </is>
      </c>
      <c r="H1559" t="inlineStr">
        <is>
          <t>UPS</t>
        </is>
      </c>
      <c r="I1559" t="inlineStr">
        <is>
          <t>1250kVA</t>
        </is>
      </c>
      <c r="J1559" t="inlineStr">
        <is>
          <t>MATRION</t>
        </is>
      </c>
      <c r="K1559" t="inlineStr">
        <is>
          <t>CUIVRE</t>
        </is>
      </c>
      <c r="L1559">
        <f>_xlfn.XLOOKUP(Tableau1[[#This Row],[TYPE DE PIECE]],Tableau4[MATIERE],Tableau4[SHORT TYPE],"",0,1)</f>
        <v/>
      </c>
      <c r="N1559">
        <f>IF(ISERR(FIND("DECOUPE",Tableau1[[#This Row],[DESIGNATION]])),"","NEED REF")</f>
        <v/>
      </c>
    </row>
    <row r="1560" ht="15" customHeight="1" s="142">
      <c r="B1560" t="n">
        <v>34412441</v>
      </c>
      <c r="C1560" s="2" t="n">
        <v>45338</v>
      </c>
      <c r="D1560" t="inlineStr">
        <is>
          <t>SPEC</t>
        </is>
      </c>
      <c r="E1560">
        <f>_xlfn.CONCAT(Tableau1[[#This Row],[SHORT TYPE]]," ",Tableau1[[#This Row],[NUMERO]]," ",Tableau1[[#This Row],[GAMME]]," ",Tableau1[[#This Row],[TYPE PRODUIT]]," ",Tableau1[[#This Row],[PUISSANCE]])</f>
        <v/>
      </c>
      <c r="G1560" t="inlineStr">
        <is>
          <t>GVXL</t>
        </is>
      </c>
      <c r="H1560" t="inlineStr">
        <is>
          <t>UPS</t>
        </is>
      </c>
      <c r="I1560" t="inlineStr">
        <is>
          <t>1250kVA</t>
        </is>
      </c>
      <c r="J1560" t="inlineStr">
        <is>
          <t>MATRION</t>
        </is>
      </c>
      <c r="K1560" t="inlineStr">
        <is>
          <t>CUIVRE</t>
        </is>
      </c>
      <c r="L1560">
        <f>_xlfn.XLOOKUP(Tableau1[[#This Row],[TYPE DE PIECE]],Tableau4[MATIERE],Tableau4[SHORT TYPE],"",0,1)</f>
        <v/>
      </c>
      <c r="N1560">
        <f>IF(ISERR(FIND("DECOUPE",Tableau1[[#This Row],[DESIGNATION]])),"","NEED REF")</f>
        <v/>
      </c>
    </row>
    <row r="1561" ht="15" customHeight="1" s="142">
      <c r="B1561" t="n">
        <v>34412440</v>
      </c>
      <c r="C1561" s="2" t="n">
        <v>45338</v>
      </c>
      <c r="D1561" t="inlineStr">
        <is>
          <t>SPEC</t>
        </is>
      </c>
      <c r="E1561">
        <f>_xlfn.CONCAT(Tableau1[[#This Row],[SHORT TYPE]]," ",Tableau1[[#This Row],[NUMERO]]," ",Tableau1[[#This Row],[GAMME]]," ",Tableau1[[#This Row],[TYPE PRODUIT]]," ",Tableau1[[#This Row],[PUISSANCE]])</f>
        <v/>
      </c>
      <c r="G1561" t="inlineStr">
        <is>
          <t>GVXL</t>
        </is>
      </c>
      <c r="H1561" t="inlineStr">
        <is>
          <t>UPS</t>
        </is>
      </c>
      <c r="I1561" t="inlineStr">
        <is>
          <t>1250kVA</t>
        </is>
      </c>
      <c r="J1561" t="inlineStr">
        <is>
          <t>MATRION</t>
        </is>
      </c>
      <c r="K1561" t="inlineStr">
        <is>
          <t>PLASTIQUE</t>
        </is>
      </c>
      <c r="L1561">
        <f>_xlfn.XLOOKUP(Tableau1[[#This Row],[TYPE DE PIECE]],Tableau4[MATIERE],Tableau4[SHORT TYPE],"",0,1)</f>
        <v/>
      </c>
      <c r="N1561">
        <f>IF(ISERR(FIND("DECOUPE",Tableau1[[#This Row],[DESIGNATION]])),"","NEED REF")</f>
        <v/>
      </c>
    </row>
    <row r="1562" ht="15" customHeight="1" s="142">
      <c r="B1562" t="n">
        <v>34412439</v>
      </c>
      <c r="C1562" s="2" t="n">
        <v>45338</v>
      </c>
      <c r="D1562" t="inlineStr">
        <is>
          <t>SPEC</t>
        </is>
      </c>
      <c r="E1562">
        <f>_xlfn.CONCAT(Tableau1[[#This Row],[SHORT TYPE]]," ",Tableau1[[#This Row],[NUMERO]]," ",Tableau1[[#This Row],[GAMME]]," ",Tableau1[[#This Row],[TYPE PRODUIT]]," ",Tableau1[[#This Row],[PUISSANCE]])</f>
        <v/>
      </c>
      <c r="G1562" t="inlineStr">
        <is>
          <t>GVXL</t>
        </is>
      </c>
      <c r="H1562" t="inlineStr">
        <is>
          <t>UPS</t>
        </is>
      </c>
      <c r="I1562" t="inlineStr">
        <is>
          <t>1250kVA</t>
        </is>
      </c>
      <c r="J1562" t="inlineStr">
        <is>
          <t>MATRION</t>
        </is>
      </c>
      <c r="K1562" t="inlineStr">
        <is>
          <t>PLASTIQUE</t>
        </is>
      </c>
      <c r="L1562">
        <f>_xlfn.XLOOKUP(Tableau1[[#This Row],[TYPE DE PIECE]],Tableau4[MATIERE],Tableau4[SHORT TYPE],"",0,1)</f>
        <v/>
      </c>
      <c r="N1562">
        <f>IF(ISERR(FIND("DECOUPE",Tableau1[[#This Row],[DESIGNATION]])),"","NEED REF")</f>
        <v/>
      </c>
    </row>
    <row r="1563" ht="15" customHeight="1" s="142">
      <c r="B1563" t="n">
        <v>34412438</v>
      </c>
      <c r="C1563" s="2" t="n">
        <v>45338</v>
      </c>
      <c r="D1563" t="inlineStr">
        <is>
          <t>SPEC</t>
        </is>
      </c>
      <c r="E1563" t="inlineStr">
        <is>
          <t>CANEVAS SWITCH NS800NA 4P</t>
        </is>
      </c>
      <c r="J1563" t="inlineStr">
        <is>
          <t>BERNARDEAU</t>
        </is>
      </c>
      <c r="K1563" t="inlineStr">
        <is>
          <t>SCHNEIDER</t>
        </is>
      </c>
      <c r="L1563">
        <f>_xlfn.XLOOKUP(Tableau1[[#This Row],[TYPE DE PIECE]],Tableau4[MATIERE],Tableau4[SHORT TYPE],"",0,1)</f>
        <v/>
      </c>
      <c r="N1563">
        <f>IF(ISERR(FIND("DECOUPE",Tableau1[[#This Row],[DESIGNATION]])),"","NEED REF")</f>
        <v/>
      </c>
    </row>
    <row r="1564" ht="15" customHeight="1" s="142">
      <c r="B1564" t="n">
        <v>34412437</v>
      </c>
      <c r="C1564" s="2" t="n">
        <v>45338</v>
      </c>
      <c r="D1564" t="inlineStr">
        <is>
          <t>SPEC</t>
        </is>
      </c>
      <c r="E1564">
        <f>_xlfn.CONCAT(Tableau1[[#This Row],[SHORT TYPE]]," ",Tableau1[[#This Row],[NUMERO]]," ",Tableau1[[#This Row],[GAMME]]," ",Tableau1[[#This Row],[TYPE PRODUIT]]," ",Tableau1[[#This Row],[PUISSANCE]])</f>
        <v/>
      </c>
      <c r="G1564" t="inlineStr">
        <is>
          <t>GVXL</t>
        </is>
      </c>
      <c r="H1564" t="inlineStr">
        <is>
          <t>UPS</t>
        </is>
      </c>
      <c r="I1564" t="inlineStr">
        <is>
          <t>1250kVA</t>
        </is>
      </c>
      <c r="J1564" t="inlineStr">
        <is>
          <t>MATRION</t>
        </is>
      </c>
      <c r="K1564" t="inlineStr">
        <is>
          <t>CUIVRE</t>
        </is>
      </c>
      <c r="L1564">
        <f>_xlfn.XLOOKUP(Tableau1[[#This Row],[TYPE DE PIECE]],Tableau4[MATIERE],Tableau4[SHORT TYPE],"",0,1)</f>
        <v/>
      </c>
      <c r="N1564">
        <f>IF(ISERR(FIND("DECOUPE",Tableau1[[#This Row],[DESIGNATION]])),"","NEED REF")</f>
        <v/>
      </c>
    </row>
    <row r="1565" ht="15" customHeight="1" s="142">
      <c r="B1565" t="n">
        <v>34412436</v>
      </c>
      <c r="C1565" s="2" t="n">
        <v>45337</v>
      </c>
      <c r="D1565" t="inlineStr">
        <is>
          <t>SPEC</t>
        </is>
      </c>
      <c r="E1565">
        <f>_xlfn.CONCAT(Tableau1[[#This Row],[SHORT TYPE]]," ",Tableau1[[#This Row],[NUMERO]]," ",Tableau1[[#This Row],[GAMME]]," ",Tableau1[[#This Row],[TYPE PRODUIT]]," ",Tableau1[[#This Row],[PUISSANCE]])</f>
        <v/>
      </c>
      <c r="G1565" t="inlineStr">
        <is>
          <t>GVXL</t>
        </is>
      </c>
      <c r="H1565" t="inlineStr">
        <is>
          <t>UPS</t>
        </is>
      </c>
      <c r="I1565" t="inlineStr">
        <is>
          <t>1250kVA</t>
        </is>
      </c>
      <c r="J1565" t="inlineStr">
        <is>
          <t>MATRION</t>
        </is>
      </c>
      <c r="K1565" t="inlineStr">
        <is>
          <t>CUIVRE</t>
        </is>
      </c>
      <c r="L1565">
        <f>_xlfn.XLOOKUP(Tableau1[[#This Row],[TYPE DE PIECE]],Tableau4[MATIERE],Tableau4[SHORT TYPE],"",0,1)</f>
        <v/>
      </c>
      <c r="N1565">
        <f>IF(ISERR(FIND("DECOUPE",Tableau1[[#This Row],[DESIGNATION]])),"","NEED REF")</f>
        <v/>
      </c>
    </row>
    <row r="1566" ht="15" customHeight="1" s="142">
      <c r="B1566" t="n">
        <v>34412435</v>
      </c>
      <c r="C1566" s="2" t="n">
        <v>45337</v>
      </c>
      <c r="D1566" t="inlineStr">
        <is>
          <t>SPEC</t>
        </is>
      </c>
      <c r="E1566">
        <f>_xlfn.CONCAT(Tableau1[[#This Row],[SHORT TYPE]]," ",Tableau1[[#This Row],[NUMERO]]," ",Tableau1[[#This Row],[GAMME]]," ",Tableau1[[#This Row],[TYPE PRODUIT]]," ",Tableau1[[#This Row],[PUISSANCE]])</f>
        <v/>
      </c>
      <c r="G1566" t="inlineStr">
        <is>
          <t>GVXL</t>
        </is>
      </c>
      <c r="H1566" t="inlineStr">
        <is>
          <t>UPS</t>
        </is>
      </c>
      <c r="I1566" t="inlineStr">
        <is>
          <t>1250kVA</t>
        </is>
      </c>
      <c r="J1566" t="inlineStr">
        <is>
          <t>MATRION</t>
        </is>
      </c>
      <c r="K1566" t="inlineStr">
        <is>
          <t>CUIVRE</t>
        </is>
      </c>
      <c r="L1566">
        <f>_xlfn.XLOOKUP(Tableau1[[#This Row],[TYPE DE PIECE]],Tableau4[MATIERE],Tableau4[SHORT TYPE],"",0,1)</f>
        <v/>
      </c>
      <c r="N1566">
        <f>IF(ISERR(FIND("DECOUPE",Tableau1[[#This Row],[DESIGNATION]])),"","NEED REF")</f>
        <v/>
      </c>
    </row>
    <row r="1567" ht="15" customHeight="1" s="142">
      <c r="B1567" t="n">
        <v>34412434</v>
      </c>
      <c r="C1567" s="2" t="n">
        <v>45337</v>
      </c>
      <c r="D1567" t="inlineStr">
        <is>
          <t>SPEC</t>
        </is>
      </c>
      <c r="E1567" t="inlineStr">
        <is>
          <t>TECHNICAL LEVEL SYNTHESIS STS_800-1250A</t>
        </is>
      </c>
      <c r="G1567" t="inlineStr">
        <is>
          <t>STS</t>
        </is>
      </c>
      <c r="H1567" t="inlineStr">
        <is>
          <t>UPSILON</t>
        </is>
      </c>
      <c r="I1567" t="inlineStr">
        <is>
          <t>800 à 1250A</t>
        </is>
      </c>
      <c r="J1567" t="inlineStr">
        <is>
          <t>MONGELLI</t>
        </is>
      </c>
      <c r="K1567" t="inlineStr">
        <is>
          <t>SPEC</t>
        </is>
      </c>
      <c r="L1567" t="inlineStr">
        <is>
          <t>SE</t>
        </is>
      </c>
      <c r="N1567">
        <f>IF(ISERR(FIND("DECOUPE",Tableau1[[#This Row],[DESIGNATION]])),"","NEED REF")</f>
        <v/>
      </c>
    </row>
    <row r="1568" ht="15" customHeight="1" s="142">
      <c r="B1568" t="n">
        <v>34412433</v>
      </c>
      <c r="C1568" s="2" t="n">
        <v>45337</v>
      </c>
      <c r="D1568" t="inlineStr">
        <is>
          <t>SPEC</t>
        </is>
      </c>
      <c r="E1568">
        <f>_xlfn.CONCAT(Tableau1[[#This Row],[SHORT TYPE]]," ",Tableau1[[#This Row],[NUMERO]]," ",Tableau1[[#This Row],[GAMME]]," ",Tableau1[[#This Row],[TYPE PRODUIT]]," ",Tableau1[[#This Row],[PUISSANCE]])</f>
        <v/>
      </c>
      <c r="G1568" t="inlineStr">
        <is>
          <t>GVXL</t>
        </is>
      </c>
      <c r="H1568" t="inlineStr">
        <is>
          <t>UPS</t>
        </is>
      </c>
      <c r="I1568" t="inlineStr">
        <is>
          <t>1250kVA</t>
        </is>
      </c>
      <c r="J1568" t="inlineStr">
        <is>
          <t>MATRION</t>
        </is>
      </c>
      <c r="K1568" t="inlineStr">
        <is>
          <t>CUIVRE</t>
        </is>
      </c>
      <c r="L1568">
        <f>_xlfn.XLOOKUP(Tableau1[[#This Row],[TYPE DE PIECE]],Tableau4[MATIERE],Tableau4[SHORT TYPE],"",0,1)</f>
        <v/>
      </c>
      <c r="N1568">
        <f>IF(ISERR(FIND("DECOUPE",Tableau1[[#This Row],[DESIGNATION]])),"","NEED REF")</f>
        <v/>
      </c>
    </row>
    <row r="1569" ht="15" customHeight="1" s="142">
      <c r="B1569" t="n">
        <v>34412432</v>
      </c>
      <c r="C1569" s="2" t="n">
        <v>45337</v>
      </c>
      <c r="D1569" t="inlineStr">
        <is>
          <t>SPEC</t>
        </is>
      </c>
      <c r="E1569">
        <f>_xlfn.CONCAT(Tableau1[[#This Row],[SHORT TYPE]]," ",Tableau1[[#This Row],[NUMERO]]," ",Tableau1[[#This Row],[GAMME]]," ",Tableau1[[#This Row],[TYPE PRODUIT]]," ",Tableau1[[#This Row],[PUISSANCE]])</f>
        <v/>
      </c>
      <c r="G1569" t="inlineStr">
        <is>
          <t>GVXL</t>
        </is>
      </c>
      <c r="H1569" t="inlineStr">
        <is>
          <t>UPS</t>
        </is>
      </c>
      <c r="I1569" t="inlineStr">
        <is>
          <t>1250kVA</t>
        </is>
      </c>
      <c r="J1569" t="inlineStr">
        <is>
          <t>MATRION</t>
        </is>
      </c>
      <c r="K1569" t="inlineStr">
        <is>
          <t>CUIVRE</t>
        </is>
      </c>
      <c r="L1569">
        <f>_xlfn.XLOOKUP(Tableau1[[#This Row],[TYPE DE PIECE]],Tableau4[MATIERE],Tableau4[SHORT TYPE],"",0,1)</f>
        <v/>
      </c>
      <c r="N1569">
        <f>IF(ISERR(FIND("DECOUPE",Tableau1[[#This Row],[DESIGNATION]])),"","NEED REF")</f>
        <v/>
      </c>
    </row>
    <row r="1570" ht="15" customHeight="1" s="142">
      <c r="B1570" t="n">
        <v>34412431</v>
      </c>
      <c r="C1570" s="2" t="n">
        <v>45337</v>
      </c>
      <c r="D1570" t="inlineStr">
        <is>
          <t>SPEC</t>
        </is>
      </c>
      <c r="E1570">
        <f>_xlfn.CONCAT(Tableau1[[#This Row],[SHORT TYPE]]," ",Tableau1[[#This Row],[NUMERO]]," ",Tableau1[[#This Row],[GAMME]]," ",Tableau1[[#This Row],[TYPE PRODUIT]]," ",Tableau1[[#This Row],[PUISSANCE]])</f>
        <v/>
      </c>
      <c r="G1570" t="inlineStr">
        <is>
          <t>GVXL</t>
        </is>
      </c>
      <c r="H1570" t="inlineStr">
        <is>
          <t>UPS</t>
        </is>
      </c>
      <c r="I1570" t="inlineStr">
        <is>
          <t>1250kVA</t>
        </is>
      </c>
      <c r="J1570" t="inlineStr">
        <is>
          <t>MATRION</t>
        </is>
      </c>
      <c r="K1570" t="inlineStr">
        <is>
          <t>CUIVRE</t>
        </is>
      </c>
      <c r="L1570">
        <f>_xlfn.XLOOKUP(Tableau1[[#This Row],[TYPE DE PIECE]],Tableau4[MATIERE],Tableau4[SHORT TYPE],"",0,1)</f>
        <v/>
      </c>
      <c r="N1570">
        <f>IF(ISERR(FIND("DECOUPE",Tableau1[[#This Row],[DESIGNATION]])),"","NEED REF")</f>
        <v/>
      </c>
    </row>
    <row r="1571" ht="15" customHeight="1" s="142">
      <c r="B1571" t="n">
        <v>34412430</v>
      </c>
      <c r="C1571" s="2" t="n">
        <v>45337</v>
      </c>
      <c r="D1571" t="inlineStr">
        <is>
          <t>SPEC</t>
        </is>
      </c>
      <c r="E1571">
        <f>_xlfn.CONCAT(Tableau1[[#This Row],[SHORT TYPE]]," ",Tableau1[[#This Row],[NUMERO]]," ",Tableau1[[#This Row],[GAMME]]," ",Tableau1[[#This Row],[TYPE PRODUIT]]," ",Tableau1[[#This Row],[PUISSANCE]])</f>
        <v/>
      </c>
      <c r="G1571" t="inlineStr">
        <is>
          <t>GVXL</t>
        </is>
      </c>
      <c r="H1571" t="inlineStr">
        <is>
          <t>UPS</t>
        </is>
      </c>
      <c r="I1571" t="inlineStr">
        <is>
          <t>1250kVA</t>
        </is>
      </c>
      <c r="J1571" t="inlineStr">
        <is>
          <t>MATRION</t>
        </is>
      </c>
      <c r="K1571" t="inlineStr">
        <is>
          <t>CUIVRE</t>
        </is>
      </c>
      <c r="L1571">
        <f>_xlfn.XLOOKUP(Tableau1[[#This Row],[TYPE DE PIECE]],Tableau4[MATIERE],Tableau4[SHORT TYPE],"",0,1)</f>
        <v/>
      </c>
      <c r="N1571">
        <f>IF(ISERR(FIND("DECOUPE",Tableau1[[#This Row],[DESIGNATION]])),"","NEED REF")</f>
        <v/>
      </c>
    </row>
    <row r="1572" ht="15" customHeight="1" s="142">
      <c r="B1572" t="n">
        <v>34412429</v>
      </c>
      <c r="C1572" s="2" t="n">
        <v>45337</v>
      </c>
      <c r="D1572" t="inlineStr">
        <is>
          <t>SPEC</t>
        </is>
      </c>
      <c r="E1572">
        <f>_xlfn.CONCAT(Tableau1[[#This Row],[SHORT TYPE]]," ",Tableau1[[#This Row],[NUMERO]]," ",Tableau1[[#This Row],[GAMME]]," ",Tableau1[[#This Row],[TYPE PRODUIT]]," ",Tableau1[[#This Row],[PUISSANCE]])</f>
        <v/>
      </c>
      <c r="G1572" t="inlineStr">
        <is>
          <t>GVXL</t>
        </is>
      </c>
      <c r="H1572" t="inlineStr">
        <is>
          <t>UPS</t>
        </is>
      </c>
      <c r="I1572" t="inlineStr">
        <is>
          <t>1250kVA</t>
        </is>
      </c>
      <c r="J1572" t="inlineStr">
        <is>
          <t>MATRION</t>
        </is>
      </c>
      <c r="K1572" t="inlineStr">
        <is>
          <t>CUIVRE</t>
        </is>
      </c>
      <c r="L1572">
        <f>_xlfn.XLOOKUP(Tableau1[[#This Row],[TYPE DE PIECE]],Tableau4[MATIERE],Tableau4[SHORT TYPE],"",0,1)</f>
        <v/>
      </c>
      <c r="N1572">
        <f>IF(ISERR(FIND("DECOUPE",Tableau1[[#This Row],[DESIGNATION]])),"","NEED REF")</f>
        <v/>
      </c>
    </row>
    <row r="1573" ht="15" customHeight="1" s="142">
      <c r="B1573" t="n">
        <v>34412428</v>
      </c>
      <c r="C1573" s="2" t="n">
        <v>45337</v>
      </c>
      <c r="D1573" t="inlineStr">
        <is>
          <t>SPEC</t>
        </is>
      </c>
      <c r="E1573">
        <f>_xlfn.CONCAT(Tableau1[[#This Row],[SHORT TYPE]]," ",Tableau1[[#This Row],[NUMERO]]," ",Tableau1[[#This Row],[GAMME]]," ",Tableau1[[#This Row],[TYPE PRODUIT]]," ",Tableau1[[#This Row],[PUISSANCE]])</f>
        <v/>
      </c>
      <c r="G1573" t="inlineStr">
        <is>
          <t>GVXL</t>
        </is>
      </c>
      <c r="H1573" t="inlineStr">
        <is>
          <t>UPS</t>
        </is>
      </c>
      <c r="I1573" t="inlineStr">
        <is>
          <t>1250kVA</t>
        </is>
      </c>
      <c r="J1573" t="inlineStr">
        <is>
          <t>MATRION</t>
        </is>
      </c>
      <c r="K1573" t="inlineStr">
        <is>
          <t>CUIVRE</t>
        </is>
      </c>
      <c r="L1573">
        <f>_xlfn.XLOOKUP(Tableau1[[#This Row],[TYPE DE PIECE]],Tableau4[MATIERE],Tableau4[SHORT TYPE],"",0,1)</f>
        <v/>
      </c>
      <c r="N1573">
        <f>IF(ISERR(FIND("DECOUPE",Tableau1[[#This Row],[DESIGNATION]])),"","NEED REF")</f>
        <v/>
      </c>
    </row>
    <row r="1574" ht="15" customHeight="1" s="142">
      <c r="B1574" t="n">
        <v>34412427</v>
      </c>
      <c r="C1574" s="2" t="n">
        <v>45337</v>
      </c>
      <c r="D1574" t="inlineStr">
        <is>
          <t>SPEC</t>
        </is>
      </c>
      <c r="E1574">
        <f>_xlfn.CONCAT(Tableau1[[#This Row],[SHORT TYPE]]," ",Tableau1[[#This Row],[NUMERO]]," ",Tableau1[[#This Row],[GAMME]]," ",Tableau1[[#This Row],[TYPE PRODUIT]]," ",Tableau1[[#This Row],[PUISSANCE]])</f>
        <v/>
      </c>
      <c r="G1574" t="inlineStr">
        <is>
          <t>GVXL</t>
        </is>
      </c>
      <c r="H1574" t="inlineStr">
        <is>
          <t>UPS</t>
        </is>
      </c>
      <c r="I1574" t="inlineStr">
        <is>
          <t>1250kVA</t>
        </is>
      </c>
      <c r="J1574" t="inlineStr">
        <is>
          <t>MATRION</t>
        </is>
      </c>
      <c r="K1574" t="inlineStr">
        <is>
          <t>CUIVRE</t>
        </is>
      </c>
      <c r="L1574">
        <f>_xlfn.XLOOKUP(Tableau1[[#This Row],[TYPE DE PIECE]],Tableau4[MATIERE],Tableau4[SHORT TYPE],"",0,1)</f>
        <v/>
      </c>
      <c r="N1574">
        <f>IF(ISERR(FIND("DECOUPE",Tableau1[[#This Row],[DESIGNATION]])),"","NEED REF")</f>
        <v/>
      </c>
    </row>
    <row r="1575" ht="15" customHeight="1" s="142">
      <c r="B1575" t="n">
        <v>34412426</v>
      </c>
      <c r="C1575" s="2" t="n">
        <v>45336</v>
      </c>
      <c r="D1575" t="inlineStr">
        <is>
          <t>SPEC</t>
        </is>
      </c>
      <c r="E1575">
        <f>_xlfn.CONCAT(Tableau1[[#This Row],[SHORT TYPE]]," ",Tableau1[[#This Row],[NUMERO]]," ",Tableau1[[#This Row],[GAMME]]," ",Tableau1[[#This Row],[TYPE PRODUIT]]," ",Tableau1[[#This Row],[PUISSANCE]])</f>
        <v/>
      </c>
      <c r="G1575" t="inlineStr">
        <is>
          <t>GVXL</t>
        </is>
      </c>
      <c r="H1575" t="inlineStr">
        <is>
          <t>UPS</t>
        </is>
      </c>
      <c r="I1575" t="inlineStr">
        <is>
          <t>1250kVA</t>
        </is>
      </c>
      <c r="J1575" t="inlineStr">
        <is>
          <t>MATRION</t>
        </is>
      </c>
      <c r="K1575" t="inlineStr">
        <is>
          <t>CUIVRE</t>
        </is>
      </c>
      <c r="L1575">
        <f>_xlfn.XLOOKUP(Tableau1[[#This Row],[TYPE DE PIECE]],Tableau4[MATIERE],Tableau4[SHORT TYPE],"",0,1)</f>
        <v/>
      </c>
      <c r="N1575">
        <f>IF(ISERR(FIND("DECOUPE",Tableau1[[#This Row],[DESIGNATION]])),"","NEED REF")</f>
        <v/>
      </c>
    </row>
    <row r="1576" ht="15" customHeight="1" s="142">
      <c r="B1576" t="n">
        <v>34412425</v>
      </c>
      <c r="C1576" s="2" t="n">
        <v>45336</v>
      </c>
      <c r="D1576" t="inlineStr">
        <is>
          <t>SPEC</t>
        </is>
      </c>
      <c r="E1576">
        <f>_xlfn.CONCAT(Tableau1[[#This Row],[SHORT TYPE]]," ",Tableau1[[#This Row],[NUMERO]]," ",Tableau1[[#This Row],[GAMME]]," ",Tableau1[[#This Row],[TYPE PRODUIT]]," ",Tableau1[[#This Row],[PUISSANCE]])</f>
        <v/>
      </c>
      <c r="G1576" t="inlineStr">
        <is>
          <t>GVXL</t>
        </is>
      </c>
      <c r="H1576" t="inlineStr">
        <is>
          <t>UPS</t>
        </is>
      </c>
      <c r="I1576" t="inlineStr">
        <is>
          <t>1250kVA</t>
        </is>
      </c>
      <c r="J1576" t="inlineStr">
        <is>
          <t>MATRION</t>
        </is>
      </c>
      <c r="K1576" t="inlineStr">
        <is>
          <t>CUIVRE</t>
        </is>
      </c>
      <c r="L1576">
        <f>_xlfn.XLOOKUP(Tableau1[[#This Row],[TYPE DE PIECE]],Tableau4[MATIERE],Tableau4[SHORT TYPE],"",0,1)</f>
        <v/>
      </c>
      <c r="N1576">
        <f>IF(ISERR(FIND("DECOUPE",Tableau1[[#This Row],[DESIGNATION]])),"","NEED REF")</f>
        <v/>
      </c>
    </row>
    <row r="1577" ht="15" customHeight="1" s="142">
      <c r="B1577" t="n">
        <v>34412424</v>
      </c>
      <c r="C1577" s="2" t="n">
        <v>45336</v>
      </c>
      <c r="D1577" t="inlineStr">
        <is>
          <t>SPEC</t>
        </is>
      </c>
      <c r="E1577">
        <f>_xlfn.CONCAT(Tableau1[[#This Row],[SHORT TYPE]]," ",Tableau1[[#This Row],[NUMERO]]," ",Tableau1[[#This Row],[GAMME]]," ",Tableau1[[#This Row],[TYPE PRODUIT]]," ",Tableau1[[#This Row],[PUISSANCE]])</f>
        <v/>
      </c>
      <c r="G1577" t="inlineStr">
        <is>
          <t>GVXL</t>
        </is>
      </c>
      <c r="H1577" t="inlineStr">
        <is>
          <t>UPS</t>
        </is>
      </c>
      <c r="I1577" t="inlineStr">
        <is>
          <t>1250kVA</t>
        </is>
      </c>
      <c r="J1577" t="inlineStr">
        <is>
          <t>MATRION</t>
        </is>
      </c>
      <c r="K1577" t="inlineStr">
        <is>
          <t>CUIVRE</t>
        </is>
      </c>
      <c r="L1577">
        <f>_xlfn.XLOOKUP(Tableau1[[#This Row],[TYPE DE PIECE]],Tableau4[MATIERE],Tableau4[SHORT TYPE],"",0,1)</f>
        <v/>
      </c>
      <c r="N1577">
        <f>IF(ISERR(FIND("DECOUPE",Tableau1[[#This Row],[DESIGNATION]])),"","NEED REF")</f>
        <v/>
      </c>
    </row>
    <row r="1578" ht="15" customHeight="1" s="142">
      <c r="B1578" t="n">
        <v>34412423</v>
      </c>
      <c r="C1578" s="2" t="n">
        <v>45336</v>
      </c>
      <c r="D1578" t="inlineStr">
        <is>
          <t>SPEC</t>
        </is>
      </c>
      <c r="E1578">
        <f>_xlfn.CONCAT(Tableau1[[#This Row],[SHORT TYPE]]," ",Tableau1[[#This Row],[NUMERO]]," ",Tableau1[[#This Row],[GAMME]]," ",Tableau1[[#This Row],[TYPE PRODUIT]]," ",Tableau1[[#This Row],[PUISSANCE]])</f>
        <v/>
      </c>
      <c r="G1578" t="inlineStr">
        <is>
          <t>GVXL</t>
        </is>
      </c>
      <c r="H1578" t="inlineStr">
        <is>
          <t>UPS</t>
        </is>
      </c>
      <c r="I1578" t="inlineStr">
        <is>
          <t>1250kVA</t>
        </is>
      </c>
      <c r="J1578" t="inlineStr">
        <is>
          <t>MATRION</t>
        </is>
      </c>
      <c r="K1578" t="inlineStr">
        <is>
          <t>CUIVRE</t>
        </is>
      </c>
      <c r="L1578">
        <f>_xlfn.XLOOKUP(Tableau1[[#This Row],[TYPE DE PIECE]],Tableau4[MATIERE],Tableau4[SHORT TYPE],"",0,1)</f>
        <v/>
      </c>
      <c r="N1578">
        <f>IF(ISERR(FIND("DECOUPE",Tableau1[[#This Row],[DESIGNATION]])),"","NEED REF")</f>
        <v/>
      </c>
    </row>
    <row r="1579" ht="15" customHeight="1" s="142">
      <c r="B1579" t="n">
        <v>34412422</v>
      </c>
      <c r="C1579" s="2" t="n">
        <v>45336</v>
      </c>
      <c r="D1579" t="inlineStr">
        <is>
          <t>SPEC</t>
        </is>
      </c>
      <c r="E1579">
        <f>_xlfn.CONCAT(Tableau1[[#This Row],[SHORT TYPE]]," ",Tableau1[[#This Row],[NUMERO]]," ",Tableau1[[#This Row],[GAMME]]," ",Tableau1[[#This Row],[TYPE PRODUIT]]," ",Tableau1[[#This Row],[PUISSANCE]])</f>
        <v/>
      </c>
      <c r="G1579" t="inlineStr">
        <is>
          <t>GVXL</t>
        </is>
      </c>
      <c r="H1579" t="inlineStr">
        <is>
          <t>UPS</t>
        </is>
      </c>
      <c r="I1579" t="inlineStr">
        <is>
          <t>1250kVA</t>
        </is>
      </c>
      <c r="J1579" t="inlineStr">
        <is>
          <t>MATRION</t>
        </is>
      </c>
      <c r="K1579" t="inlineStr">
        <is>
          <t>CUIVRE</t>
        </is>
      </c>
      <c r="L1579">
        <f>_xlfn.XLOOKUP(Tableau1[[#This Row],[TYPE DE PIECE]],Tableau4[MATIERE],Tableau4[SHORT TYPE],"",0,1)</f>
        <v/>
      </c>
      <c r="N1579">
        <f>IF(ISERR(FIND("DECOUPE",Tableau1[[#This Row],[DESIGNATION]])),"","NEED REF")</f>
        <v/>
      </c>
    </row>
    <row r="1580" ht="15" customHeight="1" s="142">
      <c r="B1580" t="n">
        <v>34412421</v>
      </c>
      <c r="C1580" s="2" t="n">
        <v>45336</v>
      </c>
      <c r="D1580" t="inlineStr">
        <is>
          <t>SPEC</t>
        </is>
      </c>
      <c r="E1580">
        <f>_xlfn.CONCAT(Tableau1[[#This Row],[SHORT TYPE]]," ",Tableau1[[#This Row],[NUMERO]]," ",Tableau1[[#This Row],[GAMME]]," ",Tableau1[[#This Row],[TYPE PRODUIT]]," ",Tableau1[[#This Row],[PUISSANCE]])</f>
        <v/>
      </c>
      <c r="G1580" t="inlineStr">
        <is>
          <t>GVXL</t>
        </is>
      </c>
      <c r="H1580" t="inlineStr">
        <is>
          <t>UPS</t>
        </is>
      </c>
      <c r="I1580" t="inlineStr">
        <is>
          <t>1250kVA</t>
        </is>
      </c>
      <c r="J1580" t="inlineStr">
        <is>
          <t>MATRION</t>
        </is>
      </c>
      <c r="K1580" t="inlineStr">
        <is>
          <t>CUIVRE</t>
        </is>
      </c>
      <c r="L1580">
        <f>_xlfn.XLOOKUP(Tableau1[[#This Row],[TYPE DE PIECE]],Tableau4[MATIERE],Tableau4[SHORT TYPE],"",0,1)</f>
        <v/>
      </c>
      <c r="N1580">
        <f>IF(ISERR(FIND("DECOUPE",Tableau1[[#This Row],[DESIGNATION]])),"","NEED REF")</f>
        <v/>
      </c>
    </row>
    <row r="1581" ht="15" customHeight="1" s="142">
      <c r="B1581" t="n">
        <v>34412420</v>
      </c>
      <c r="C1581" s="2" t="n">
        <v>45336</v>
      </c>
      <c r="D1581" t="inlineStr">
        <is>
          <t>SPEC</t>
        </is>
      </c>
      <c r="E1581">
        <f>_xlfn.CONCAT(Tableau1[[#This Row],[SHORT TYPE]]," ",Tableau1[[#This Row],[NUMERO]]," ",Tableau1[[#This Row],[GAMME]]," ",Tableau1[[#This Row],[TYPE PRODUIT]]," ",Tableau1[[#This Row],[PUISSANCE]])</f>
        <v/>
      </c>
      <c r="G1581" t="inlineStr">
        <is>
          <t>GVXL</t>
        </is>
      </c>
      <c r="H1581" t="inlineStr">
        <is>
          <t>UPS</t>
        </is>
      </c>
      <c r="I1581" t="inlineStr">
        <is>
          <t>1250kVA</t>
        </is>
      </c>
      <c r="J1581" t="inlineStr">
        <is>
          <t>MATRION</t>
        </is>
      </c>
      <c r="K1581" t="inlineStr">
        <is>
          <t>CUIVRE</t>
        </is>
      </c>
      <c r="L1581">
        <f>_xlfn.XLOOKUP(Tableau1[[#This Row],[TYPE DE PIECE]],Tableau4[MATIERE],Tableau4[SHORT TYPE],"",0,1)</f>
        <v/>
      </c>
      <c r="N1581">
        <f>IF(ISERR(FIND("DECOUPE",Tableau1[[#This Row],[DESIGNATION]])),"","NEED REF")</f>
        <v/>
      </c>
    </row>
    <row r="1582" ht="15" customHeight="1" s="142">
      <c r="B1582" t="n">
        <v>34412419</v>
      </c>
      <c r="C1582" s="2" t="n">
        <v>45336</v>
      </c>
      <c r="D1582" t="inlineStr">
        <is>
          <t>SPEC</t>
        </is>
      </c>
      <c r="E1582">
        <f>_xlfn.CONCAT(Tableau1[[#This Row],[SHORT TYPE]]," ",Tableau1[[#This Row],[NUMERO]]," ",Tableau1[[#This Row],[GAMME]]," ",Tableau1[[#This Row],[TYPE PRODUIT]]," ",Tableau1[[#This Row],[PUISSANCE]])</f>
        <v/>
      </c>
      <c r="G1582" t="inlineStr">
        <is>
          <t>GVXL</t>
        </is>
      </c>
      <c r="H1582" t="inlineStr">
        <is>
          <t>UPS</t>
        </is>
      </c>
      <c r="I1582" t="inlineStr">
        <is>
          <t>1250kVA</t>
        </is>
      </c>
      <c r="J1582" t="inlineStr">
        <is>
          <t>MATRION</t>
        </is>
      </c>
      <c r="K1582" t="inlineStr">
        <is>
          <t>CUIVRE</t>
        </is>
      </c>
      <c r="L1582">
        <f>_xlfn.XLOOKUP(Tableau1[[#This Row],[TYPE DE PIECE]],Tableau4[MATIERE],Tableau4[SHORT TYPE],"",0,1)</f>
        <v/>
      </c>
      <c r="N1582">
        <f>IF(ISERR(FIND("DECOUPE",Tableau1[[#This Row],[DESIGNATION]])),"","NEED REF")</f>
        <v/>
      </c>
    </row>
    <row r="1583" ht="15" customHeight="1" s="142">
      <c r="B1583" t="n">
        <v>34412418</v>
      </c>
      <c r="C1583" s="2" t="n">
        <v>45336</v>
      </c>
      <c r="D1583" t="inlineStr">
        <is>
          <t>SPEC</t>
        </is>
      </c>
      <c r="E1583">
        <f>_xlfn.CONCAT(Tableau1[[#This Row],[SHORT TYPE]]," ",Tableau1[[#This Row],[NUMERO]]," ",Tableau1[[#This Row],[GAMME]]," ",Tableau1[[#This Row],[TYPE PRODUIT]]," ",Tableau1[[#This Row],[PUISSANCE]])</f>
        <v/>
      </c>
      <c r="G1583" t="inlineStr">
        <is>
          <t>GVXL</t>
        </is>
      </c>
      <c r="H1583" t="inlineStr">
        <is>
          <t>UPS</t>
        </is>
      </c>
      <c r="I1583" t="inlineStr">
        <is>
          <t>1250kVA</t>
        </is>
      </c>
      <c r="J1583" t="inlineStr">
        <is>
          <t>MATRION</t>
        </is>
      </c>
      <c r="K1583" t="inlineStr">
        <is>
          <t>CUIVRE</t>
        </is>
      </c>
      <c r="L1583">
        <f>_xlfn.XLOOKUP(Tableau1[[#This Row],[TYPE DE PIECE]],Tableau4[MATIERE],Tableau4[SHORT TYPE],"",0,1)</f>
        <v/>
      </c>
      <c r="N1583">
        <f>IF(ISERR(FIND("DECOUPE",Tableau1[[#This Row],[DESIGNATION]])),"","NEED REF")</f>
        <v/>
      </c>
    </row>
    <row r="1584" ht="15" customHeight="1" s="142">
      <c r="B1584" t="n">
        <v>34412417</v>
      </c>
      <c r="C1584" s="2" t="n">
        <v>45336</v>
      </c>
      <c r="D1584" t="inlineStr">
        <is>
          <t>SPEC</t>
        </is>
      </c>
      <c r="E1584">
        <f>_xlfn.CONCAT(Tableau1[[#This Row],[SHORT TYPE]]," ",Tableau1[[#This Row],[NUMERO]]," ",Tableau1[[#This Row],[GAMME]]," ",Tableau1[[#This Row],[TYPE PRODUIT]]," ",Tableau1[[#This Row],[PUISSANCE]])</f>
        <v/>
      </c>
      <c r="G1584" t="inlineStr">
        <is>
          <t>GVXL</t>
        </is>
      </c>
      <c r="H1584" t="inlineStr">
        <is>
          <t>UPS</t>
        </is>
      </c>
      <c r="I1584" t="inlineStr">
        <is>
          <t>1250kVA</t>
        </is>
      </c>
      <c r="J1584" t="inlineStr">
        <is>
          <t>MATRION</t>
        </is>
      </c>
      <c r="K1584" t="inlineStr">
        <is>
          <t>CUIVRE</t>
        </is>
      </c>
      <c r="L1584">
        <f>_xlfn.XLOOKUP(Tableau1[[#This Row],[TYPE DE PIECE]],Tableau4[MATIERE],Tableau4[SHORT TYPE],"",0,1)</f>
        <v/>
      </c>
      <c r="N1584">
        <f>IF(ISERR(FIND("DECOUPE",Tableau1[[#This Row],[DESIGNATION]])),"","NEED REF")</f>
        <v/>
      </c>
    </row>
    <row r="1585" ht="15" customHeight="1" s="142">
      <c r="B1585" t="n">
        <v>34412416</v>
      </c>
      <c r="C1585" s="2" t="n">
        <v>45336</v>
      </c>
      <c r="D1585" t="inlineStr">
        <is>
          <t>SPEC</t>
        </is>
      </c>
      <c r="E1585">
        <f>_xlfn.CONCAT(Tableau1[[#This Row],[SHORT TYPE]]," ",Tableau1[[#This Row],[NUMERO]]," ",Tableau1[[#This Row],[GAMME]]," ",Tableau1[[#This Row],[TYPE PRODUIT]]," ",Tableau1[[#This Row],[PUISSANCE]])</f>
        <v/>
      </c>
      <c r="G1585" t="inlineStr">
        <is>
          <t>GVXL</t>
        </is>
      </c>
      <c r="H1585" t="inlineStr">
        <is>
          <t>UPS</t>
        </is>
      </c>
      <c r="I1585" t="inlineStr">
        <is>
          <t>1250kVA</t>
        </is>
      </c>
      <c r="J1585" t="inlineStr">
        <is>
          <t>MATRION</t>
        </is>
      </c>
      <c r="K1585" t="inlineStr">
        <is>
          <t>CUIVRE</t>
        </is>
      </c>
      <c r="L1585">
        <f>_xlfn.XLOOKUP(Tableau1[[#This Row],[TYPE DE PIECE]],Tableau4[MATIERE],Tableau4[SHORT TYPE],"",0,1)</f>
        <v/>
      </c>
      <c r="N1585">
        <f>IF(ISERR(FIND("DECOUPE",Tableau1[[#This Row],[DESIGNATION]])),"","NEED REF")</f>
        <v/>
      </c>
    </row>
    <row r="1586" ht="15" customHeight="1" s="142">
      <c r="B1586" t="n">
        <v>34412415</v>
      </c>
      <c r="C1586" s="2" t="n">
        <v>45336</v>
      </c>
      <c r="D1586" t="inlineStr">
        <is>
          <t>SPEC</t>
        </is>
      </c>
      <c r="E1586">
        <f>_xlfn.CONCAT(Tableau1[[#This Row],[SHORT TYPE]]," ",Tableau1[[#This Row],[NUMERO]]," ",Tableau1[[#This Row],[GAMME]]," ",Tableau1[[#This Row],[TYPE PRODUIT]]," ",Tableau1[[#This Row],[PUISSANCE]])</f>
        <v/>
      </c>
      <c r="G1586" t="inlineStr">
        <is>
          <t>GVXL</t>
        </is>
      </c>
      <c r="H1586" t="inlineStr">
        <is>
          <t>UPS</t>
        </is>
      </c>
      <c r="I1586" t="inlineStr">
        <is>
          <t>1250kVA</t>
        </is>
      </c>
      <c r="J1586" t="inlineStr">
        <is>
          <t>MATRION</t>
        </is>
      </c>
      <c r="K1586" t="inlineStr">
        <is>
          <t>CUIVRE</t>
        </is>
      </c>
      <c r="L1586">
        <f>_xlfn.XLOOKUP(Tableau1[[#This Row],[TYPE DE PIECE]],Tableau4[MATIERE],Tableau4[SHORT TYPE],"",0,1)</f>
        <v/>
      </c>
      <c r="N1586">
        <f>IF(ISERR(FIND("DECOUPE",Tableau1[[#This Row],[DESIGNATION]])),"","NEED REF")</f>
        <v/>
      </c>
    </row>
    <row r="1587" ht="15" customHeight="1" s="142">
      <c r="B1587" t="n">
        <v>34412414</v>
      </c>
      <c r="C1587" s="2" t="n">
        <v>45336</v>
      </c>
      <c r="D1587" t="inlineStr">
        <is>
          <t>SPEC</t>
        </is>
      </c>
      <c r="E1587">
        <f>_xlfn.CONCAT(Tableau1[[#This Row],[SHORT TYPE]]," ",Tableau1[[#This Row],[NUMERO]]," ",Tableau1[[#This Row],[GAMME]]," ",Tableau1[[#This Row],[TYPE PRODUIT]]," ",Tableau1[[#This Row],[PUISSANCE]])</f>
        <v/>
      </c>
      <c r="G1587" t="inlineStr">
        <is>
          <t>GVXL</t>
        </is>
      </c>
      <c r="H1587" t="inlineStr">
        <is>
          <t>UPS</t>
        </is>
      </c>
      <c r="I1587" t="inlineStr">
        <is>
          <t>1250kVA</t>
        </is>
      </c>
      <c r="J1587" t="inlineStr">
        <is>
          <t>MATRION</t>
        </is>
      </c>
      <c r="K1587" t="inlineStr">
        <is>
          <t>CUIVRE</t>
        </is>
      </c>
      <c r="L1587">
        <f>_xlfn.XLOOKUP(Tableau1[[#This Row],[TYPE DE PIECE]],Tableau4[MATIERE],Tableau4[SHORT TYPE],"",0,1)</f>
        <v/>
      </c>
      <c r="N1587">
        <f>IF(ISERR(FIND("DECOUPE",Tableau1[[#This Row],[DESIGNATION]])),"","NEED REF")</f>
        <v/>
      </c>
    </row>
    <row r="1588" ht="15" customHeight="1" s="142">
      <c r="B1588" t="n">
        <v>34412413</v>
      </c>
      <c r="C1588" s="2" t="n">
        <v>45336</v>
      </c>
      <c r="D1588" t="inlineStr">
        <is>
          <t>SPEC</t>
        </is>
      </c>
      <c r="E1588">
        <f>_xlfn.CONCAT(Tableau1[[#This Row],[SHORT TYPE]]," ",Tableau1[[#This Row],[NUMERO]]," ",Tableau1[[#This Row],[GAMME]]," ",Tableau1[[#This Row],[TYPE PRODUIT]]," ",Tableau1[[#This Row],[PUISSANCE]])</f>
        <v/>
      </c>
      <c r="G1588" t="inlineStr">
        <is>
          <t>GVXL</t>
        </is>
      </c>
      <c r="H1588" t="inlineStr">
        <is>
          <t>UPS</t>
        </is>
      </c>
      <c r="I1588" t="inlineStr">
        <is>
          <t>1250kVA</t>
        </is>
      </c>
      <c r="J1588" t="inlineStr">
        <is>
          <t>MATRION</t>
        </is>
      </c>
      <c r="K1588" t="inlineStr">
        <is>
          <t>CUIVRE</t>
        </is>
      </c>
      <c r="L1588">
        <f>_xlfn.XLOOKUP(Tableau1[[#This Row],[TYPE DE PIECE]],Tableau4[MATIERE],Tableau4[SHORT TYPE],"",0,1)</f>
        <v/>
      </c>
      <c r="N1588">
        <f>IF(ISERR(FIND("DECOUPE",Tableau1[[#This Row],[DESIGNATION]])),"","NEED REF")</f>
        <v/>
      </c>
    </row>
    <row r="1589" ht="15" customHeight="1" s="142">
      <c r="B1589" t="n">
        <v>34412412</v>
      </c>
      <c r="C1589" s="2" t="n">
        <v>45336</v>
      </c>
      <c r="D1589" t="inlineStr">
        <is>
          <t>SPEC</t>
        </is>
      </c>
      <c r="E1589">
        <f>_xlfn.CONCAT(Tableau1[[#This Row],[SHORT TYPE]]," ",Tableau1[[#This Row],[NUMERO]]," ",Tableau1[[#This Row],[GAMME]]," ",Tableau1[[#This Row],[TYPE PRODUIT]]," ",Tableau1[[#This Row],[PUISSANCE]])</f>
        <v/>
      </c>
      <c r="G1589" t="inlineStr">
        <is>
          <t>GVXL</t>
        </is>
      </c>
      <c r="H1589" t="inlineStr">
        <is>
          <t>UPS</t>
        </is>
      </c>
      <c r="I1589" t="inlineStr">
        <is>
          <t>1250kVA</t>
        </is>
      </c>
      <c r="J1589" t="inlineStr">
        <is>
          <t>MATRION</t>
        </is>
      </c>
      <c r="K1589" t="inlineStr">
        <is>
          <t>CUIVRE</t>
        </is>
      </c>
      <c r="L1589">
        <f>_xlfn.XLOOKUP(Tableau1[[#This Row],[TYPE DE PIECE]],Tableau4[MATIERE],Tableau4[SHORT TYPE],"",0,1)</f>
        <v/>
      </c>
      <c r="N1589">
        <f>IF(ISERR(FIND("DECOUPE",Tableau1[[#This Row],[DESIGNATION]])),"","NEED REF")</f>
        <v/>
      </c>
    </row>
    <row r="1590" ht="15" customHeight="1" s="142">
      <c r="B1590" t="n">
        <v>34412411</v>
      </c>
      <c r="C1590" s="2" t="n">
        <v>45336</v>
      </c>
      <c r="D1590" t="inlineStr">
        <is>
          <t>SPEC</t>
        </is>
      </c>
      <c r="E1590">
        <f>_xlfn.CONCAT(Tableau1[[#This Row],[SHORT TYPE]]," ",Tableau1[[#This Row],[NUMERO]]," ",Tableau1[[#This Row],[GAMME]]," ",Tableau1[[#This Row],[TYPE PRODUIT]]," ",Tableau1[[#This Row],[PUISSANCE]])</f>
        <v/>
      </c>
      <c r="G1590" t="inlineStr">
        <is>
          <t>GVXL</t>
        </is>
      </c>
      <c r="H1590" t="inlineStr">
        <is>
          <t>UPS</t>
        </is>
      </c>
      <c r="I1590" t="inlineStr">
        <is>
          <t>1250kVA</t>
        </is>
      </c>
      <c r="J1590" t="inlineStr">
        <is>
          <t>MATRION</t>
        </is>
      </c>
      <c r="K1590" t="inlineStr">
        <is>
          <t>CUIVRE</t>
        </is>
      </c>
      <c r="L1590">
        <f>_xlfn.XLOOKUP(Tableau1[[#This Row],[TYPE DE PIECE]],Tableau4[MATIERE],Tableau4[SHORT TYPE],"",0,1)</f>
        <v/>
      </c>
      <c r="N1590">
        <f>IF(ISERR(FIND("DECOUPE",Tableau1[[#This Row],[DESIGNATION]])),"","NEED REF")</f>
        <v/>
      </c>
    </row>
    <row r="1591" ht="15" customHeight="1" s="142">
      <c r="B1591" t="n">
        <v>34412410</v>
      </c>
      <c r="C1591" s="2" t="n">
        <v>45336</v>
      </c>
      <c r="D1591" t="inlineStr">
        <is>
          <t>SPEC</t>
        </is>
      </c>
      <c r="E1591" t="inlineStr">
        <is>
          <t>SMT 34412410  STS 1250A BANDEAU LAT. TRANSPORT</t>
        </is>
      </c>
      <c r="H1591" t="inlineStr">
        <is>
          <t>STS</t>
        </is>
      </c>
      <c r="I1591" t="inlineStr">
        <is>
          <t>1250A</t>
        </is>
      </c>
      <c r="J1591" t="inlineStr">
        <is>
          <t>MATRION</t>
        </is>
      </c>
      <c r="K1591" t="inlineStr">
        <is>
          <t>METAL</t>
        </is>
      </c>
      <c r="L1591">
        <f>_xlfn.XLOOKUP(Tableau1[[#This Row],[TYPE DE PIECE]],Tableau4[MATIERE],Tableau4[SHORT TYPE],"",0,1)</f>
        <v/>
      </c>
      <c r="N1591">
        <f>IF(ISERR(FIND("DECOUPE",Tableau1[[#This Row],[DESIGNATION]])),"","NEED REF")</f>
        <v/>
      </c>
    </row>
    <row r="1592" ht="15" customHeight="1" s="142">
      <c r="B1592" t="n">
        <v>34412409</v>
      </c>
      <c r="C1592" s="2" t="n">
        <v>45335</v>
      </c>
      <c r="D1592" t="inlineStr">
        <is>
          <t>SPEC</t>
        </is>
      </c>
      <c r="E1592" t="inlineStr">
        <is>
          <t>COP LIAISON PRISE ARRIERE MBB</t>
        </is>
      </c>
      <c r="G1592" t="inlineStr">
        <is>
          <t>GVL</t>
        </is>
      </c>
      <c r="H1592" t="inlineStr">
        <is>
          <t>BYPASS</t>
        </is>
      </c>
      <c r="J1592" t="inlineStr">
        <is>
          <t>BERNARDEAU</t>
        </is>
      </c>
      <c r="K1592" t="inlineStr">
        <is>
          <t>CUIVRE</t>
        </is>
      </c>
      <c r="L1592">
        <f>_xlfn.XLOOKUP(Tableau1[[#This Row],[TYPE DE PIECE]],Tableau4[MATIERE],Tableau4[SHORT TYPE],"",0,1)</f>
        <v/>
      </c>
      <c r="N1592">
        <f>IF(ISERR(FIND("DECOUPE",Tableau1[[#This Row],[DESIGNATION]])),"","NEED REF")</f>
        <v/>
      </c>
    </row>
    <row r="1593" ht="15" customHeight="1" s="142">
      <c r="B1593" t="n">
        <v>34412408</v>
      </c>
      <c r="C1593" s="2" t="n">
        <v>45335</v>
      </c>
      <c r="D1593" t="inlineStr">
        <is>
          <t>SPEC</t>
        </is>
      </c>
      <c r="E1593">
        <f>_xlfn.CONCAT(Tableau1[[#This Row],[SHORT TYPE]]," ",Tableau1[[#This Row],[NUMERO]]," ",Tableau1[[#This Row],[GAMME]]," ",Tableau1[[#This Row],[TYPE PRODUIT]]," ",Tableau1[[#This Row],[PUISSANCE]])</f>
        <v/>
      </c>
      <c r="G1593" t="inlineStr">
        <is>
          <t>GVXL</t>
        </is>
      </c>
      <c r="H1593" t="inlineStr">
        <is>
          <t>UPS</t>
        </is>
      </c>
      <c r="I1593" t="inlineStr">
        <is>
          <t>1250kVA</t>
        </is>
      </c>
      <c r="J1593" t="inlineStr">
        <is>
          <t>MATRION</t>
        </is>
      </c>
      <c r="K1593" t="inlineStr">
        <is>
          <t>CUIVRE</t>
        </is>
      </c>
      <c r="L1593">
        <f>_xlfn.XLOOKUP(Tableau1[[#This Row],[TYPE DE PIECE]],Tableau4[MATIERE],Tableau4[SHORT TYPE],"",0,1)</f>
        <v/>
      </c>
      <c r="N1593">
        <f>IF(ISERR(FIND("DECOUPE",Tableau1[[#This Row],[DESIGNATION]])),"","NEED REF")</f>
        <v/>
      </c>
    </row>
    <row r="1594" ht="15" customHeight="1" s="142">
      <c r="B1594" t="n">
        <v>34412407</v>
      </c>
      <c r="C1594" s="2" t="n">
        <v>45335</v>
      </c>
      <c r="D1594" t="inlineStr">
        <is>
          <t>SPEC</t>
        </is>
      </c>
      <c r="E1594" t="inlineStr">
        <is>
          <t>SMT SUPPORT VOYANT</t>
        </is>
      </c>
      <c r="G1594" t="inlineStr">
        <is>
          <t>GVL</t>
        </is>
      </c>
      <c r="H1594" t="inlineStr">
        <is>
          <t>BYPASS</t>
        </is>
      </c>
      <c r="J1594" t="inlineStr">
        <is>
          <t>BERNARDEAU</t>
        </is>
      </c>
      <c r="K1594" t="inlineStr">
        <is>
          <t>METAL</t>
        </is>
      </c>
      <c r="L1594">
        <f>_xlfn.XLOOKUP(Tableau1[[#This Row],[TYPE DE PIECE]],Tableau4[MATIERE],Tableau4[SHORT TYPE],"",0,1)</f>
        <v/>
      </c>
      <c r="N1594">
        <f>IF(ISERR(FIND("DECOUPE",Tableau1[[#This Row],[DESIGNATION]])),"","NEED REF")</f>
        <v/>
      </c>
    </row>
    <row r="1595" ht="15" customHeight="1" s="142">
      <c r="B1595" t="n">
        <v>34412406</v>
      </c>
      <c r="C1595" s="2" t="n">
        <v>45335</v>
      </c>
      <c r="D1595" t="inlineStr">
        <is>
          <t>SPEC</t>
        </is>
      </c>
      <c r="E1595">
        <f>_xlfn.CONCAT(Tableau1[[#This Row],[SHORT TYPE]]," ",Tableau1[[#This Row],[NUMERO]]," ",Tableau1[[#This Row],[GAMME]]," ",Tableau1[[#This Row],[TYPE PRODUIT]]," ",Tableau1[[#This Row],[PUISSANCE]])</f>
        <v/>
      </c>
      <c r="G1595" t="inlineStr">
        <is>
          <t>GVXL</t>
        </is>
      </c>
      <c r="H1595" t="inlineStr">
        <is>
          <t>UPS</t>
        </is>
      </c>
      <c r="I1595" t="inlineStr">
        <is>
          <t>1250kVA</t>
        </is>
      </c>
      <c r="J1595" t="inlineStr">
        <is>
          <t>MATRION</t>
        </is>
      </c>
      <c r="K1595" t="inlineStr">
        <is>
          <t>CUIVRE</t>
        </is>
      </c>
      <c r="L1595">
        <f>_xlfn.XLOOKUP(Tableau1[[#This Row],[TYPE DE PIECE]],Tableau4[MATIERE],Tableau4[SHORT TYPE],"",0,1)</f>
        <v/>
      </c>
      <c r="N1595">
        <f>IF(ISERR(FIND("DECOUPE",Tableau1[[#This Row],[DESIGNATION]])),"","NEED REF")</f>
        <v/>
      </c>
    </row>
    <row r="1596" ht="15" customHeight="1" s="142">
      <c r="B1596" t="n">
        <v>34412405</v>
      </c>
      <c r="C1596" s="2" t="n">
        <v>45335</v>
      </c>
      <c r="D1596" t="inlineStr">
        <is>
          <t>SPEC</t>
        </is>
      </c>
      <c r="E1596">
        <f>_xlfn.CONCAT(Tableau1[[#This Row],[SHORT TYPE]]," ",Tableau1[[#This Row],[NUMERO]]," ",Tableau1[[#This Row],[GAMME]]," ",Tableau1[[#This Row],[TYPE PRODUIT]]," ",Tableau1[[#This Row],[PUISSANCE]])</f>
        <v/>
      </c>
      <c r="G1596" t="inlineStr">
        <is>
          <t>GVXL</t>
        </is>
      </c>
      <c r="H1596" t="inlineStr">
        <is>
          <t>UPS</t>
        </is>
      </c>
      <c r="I1596" t="inlineStr">
        <is>
          <t>1250kVA</t>
        </is>
      </c>
      <c r="J1596" t="inlineStr">
        <is>
          <t>MATRION</t>
        </is>
      </c>
      <c r="K1596" t="inlineStr">
        <is>
          <t>CUIVRE</t>
        </is>
      </c>
      <c r="L1596">
        <f>_xlfn.XLOOKUP(Tableau1[[#This Row],[TYPE DE PIECE]],Tableau4[MATIERE],Tableau4[SHORT TYPE],"",0,1)</f>
        <v/>
      </c>
      <c r="N1596">
        <f>IF(ISERR(FIND("DECOUPE",Tableau1[[#This Row],[DESIGNATION]])),"","NEED REF")</f>
        <v/>
      </c>
    </row>
    <row r="1597" ht="15" customHeight="1" s="142">
      <c r="B1597" t="n">
        <v>34412404</v>
      </c>
      <c r="C1597" s="2" t="n">
        <v>45335</v>
      </c>
      <c r="D1597" t="inlineStr">
        <is>
          <t>SPEC</t>
        </is>
      </c>
      <c r="E1597">
        <f>_xlfn.CONCAT(Tableau1[[#This Row],[SHORT TYPE]]," ",Tableau1[[#This Row],[NUMERO]]," ",Tableau1[[#This Row],[GAMME]]," ",Tableau1[[#This Row],[TYPE PRODUIT]]," ",Tableau1[[#This Row],[PUISSANCE]])</f>
        <v/>
      </c>
      <c r="G1597" t="inlineStr">
        <is>
          <t>GVXL</t>
        </is>
      </c>
      <c r="H1597" t="inlineStr">
        <is>
          <t>UPS</t>
        </is>
      </c>
      <c r="I1597" t="inlineStr">
        <is>
          <t>1250kVA</t>
        </is>
      </c>
      <c r="J1597" t="inlineStr">
        <is>
          <t>MATRION</t>
        </is>
      </c>
      <c r="K1597" t="inlineStr">
        <is>
          <t>CUIVRE</t>
        </is>
      </c>
      <c r="L1597">
        <f>_xlfn.XLOOKUP(Tableau1[[#This Row],[TYPE DE PIECE]],Tableau4[MATIERE],Tableau4[SHORT TYPE],"",0,1)</f>
        <v/>
      </c>
      <c r="N1597">
        <f>IF(ISERR(FIND("DECOUPE",Tableau1[[#This Row],[DESIGNATION]])),"","NEED REF")</f>
        <v/>
      </c>
    </row>
    <row r="1598" ht="15" customHeight="1" s="142">
      <c r="B1598" t="n">
        <v>34412403</v>
      </c>
      <c r="C1598" s="2" t="n">
        <v>45335</v>
      </c>
      <c r="D1598" t="inlineStr">
        <is>
          <t>SPEC</t>
        </is>
      </c>
      <c r="E1598">
        <f>_xlfn.CONCAT(Tableau1[[#This Row],[SHORT TYPE]]," ",Tableau1[[#This Row],[NUMERO]]," ",Tableau1[[#This Row],[GAMME]]," ",Tableau1[[#This Row],[TYPE PRODUIT]]," ",Tableau1[[#This Row],[PUISSANCE]])</f>
        <v/>
      </c>
      <c r="G1598" t="inlineStr">
        <is>
          <t>GVXL</t>
        </is>
      </c>
      <c r="H1598" t="inlineStr">
        <is>
          <t>UPS</t>
        </is>
      </c>
      <c r="I1598" t="inlineStr">
        <is>
          <t>1250kVA</t>
        </is>
      </c>
      <c r="J1598" t="inlineStr">
        <is>
          <t>MATRION</t>
        </is>
      </c>
      <c r="K1598" t="inlineStr">
        <is>
          <t>CUIVRE</t>
        </is>
      </c>
      <c r="L1598">
        <f>_xlfn.XLOOKUP(Tableau1[[#This Row],[TYPE DE PIECE]],Tableau4[MATIERE],Tableau4[SHORT TYPE],"",0,1)</f>
        <v/>
      </c>
      <c r="N1598">
        <f>IF(ISERR(FIND("DECOUPE",Tableau1[[#This Row],[DESIGNATION]])),"","NEED REF")</f>
        <v/>
      </c>
    </row>
    <row r="1599" ht="15" customHeight="1" s="142">
      <c r="B1599" t="n">
        <v>34412402</v>
      </c>
      <c r="C1599" s="2" t="n">
        <v>45335</v>
      </c>
      <c r="D1599" t="inlineStr">
        <is>
          <t>SPEC</t>
        </is>
      </c>
      <c r="E1599">
        <f>_xlfn.CONCAT(Tableau1[[#This Row],[SHORT TYPE]]," ",Tableau1[[#This Row],[NUMERO]]," ",Tableau1[[#This Row],[GAMME]]," ",Tableau1[[#This Row],[TYPE PRODUIT]]," ",Tableau1[[#This Row],[PUISSANCE]])</f>
        <v/>
      </c>
      <c r="G1599" t="inlineStr">
        <is>
          <t>GVXL</t>
        </is>
      </c>
      <c r="H1599" t="inlineStr">
        <is>
          <t>UPS</t>
        </is>
      </c>
      <c r="I1599" t="inlineStr">
        <is>
          <t>1250kVA</t>
        </is>
      </c>
      <c r="J1599" t="inlineStr">
        <is>
          <t>MATRION</t>
        </is>
      </c>
      <c r="K1599" t="inlineStr">
        <is>
          <t>CUIVRE</t>
        </is>
      </c>
      <c r="L1599">
        <f>_xlfn.XLOOKUP(Tableau1[[#This Row],[TYPE DE PIECE]],Tableau4[MATIERE],Tableau4[SHORT TYPE],"",0,1)</f>
        <v/>
      </c>
      <c r="N1599">
        <f>IF(ISERR(FIND("DECOUPE",Tableau1[[#This Row],[DESIGNATION]])),"","NEED REF")</f>
        <v/>
      </c>
    </row>
    <row r="1600" ht="15" customHeight="1" s="142">
      <c r="B1600" t="n">
        <v>34412401</v>
      </c>
      <c r="C1600" s="2" t="n">
        <v>45335</v>
      </c>
      <c r="D1600" t="inlineStr">
        <is>
          <t>SPEC</t>
        </is>
      </c>
      <c r="E1600">
        <f>_xlfn.CONCAT(Tableau1[[#This Row],[SHORT TYPE]]," ",Tableau1[[#This Row],[NUMERO]]," ",Tableau1[[#This Row],[GAMME]]," ",Tableau1[[#This Row],[TYPE PRODUIT]]," ",Tableau1[[#This Row],[PUISSANCE]])</f>
        <v/>
      </c>
      <c r="G1600" t="inlineStr">
        <is>
          <t>GVXL</t>
        </is>
      </c>
      <c r="H1600" t="inlineStr">
        <is>
          <t>UPS</t>
        </is>
      </c>
      <c r="I1600" t="inlineStr">
        <is>
          <t>1250kVA</t>
        </is>
      </c>
      <c r="J1600" t="inlineStr">
        <is>
          <t>MATRION</t>
        </is>
      </c>
      <c r="K1600" t="inlineStr">
        <is>
          <t>CUIVRE</t>
        </is>
      </c>
      <c r="L1600">
        <f>_xlfn.XLOOKUP(Tableau1[[#This Row],[TYPE DE PIECE]],Tableau4[MATIERE],Tableau4[SHORT TYPE],"",0,1)</f>
        <v/>
      </c>
      <c r="N1600">
        <f>IF(ISERR(FIND("DECOUPE",Tableau1[[#This Row],[DESIGNATION]])),"","NEED REF")</f>
        <v/>
      </c>
    </row>
    <row r="1601" ht="15" customHeight="1" s="142">
      <c r="B1601" t="n">
        <v>34412400</v>
      </c>
      <c r="C1601" s="2" t="n">
        <v>45335</v>
      </c>
      <c r="D1601" t="inlineStr">
        <is>
          <t>SPEC</t>
        </is>
      </c>
      <c r="E1601" t="inlineStr">
        <is>
          <t>COP LIASION MBB UOB</t>
        </is>
      </c>
      <c r="G1601" t="inlineStr">
        <is>
          <t>GVL</t>
        </is>
      </c>
      <c r="H1601" t="inlineStr">
        <is>
          <t>BYPASS</t>
        </is>
      </c>
      <c r="I1601" t="inlineStr">
        <is>
          <t>1250kVA</t>
        </is>
      </c>
      <c r="J1601" t="inlineStr">
        <is>
          <t>MATRION</t>
        </is>
      </c>
      <c r="K1601" t="inlineStr">
        <is>
          <t>CUIVRE</t>
        </is>
      </c>
      <c r="L1601">
        <f>_xlfn.XLOOKUP(Tableau1[[#This Row],[TYPE DE PIECE]],Tableau4[MATIERE],Tableau4[SHORT TYPE],"",0,1)</f>
        <v/>
      </c>
      <c r="N1601">
        <f>IF(ISERR(FIND("DECOUPE",Tableau1[[#This Row],[DESIGNATION]])),"","NEED REF")</f>
        <v/>
      </c>
    </row>
    <row r="1602">
      <c r="B1602" t="n">
        <v>34412399</v>
      </c>
      <c r="C1602" s="2" t="n">
        <v>45334</v>
      </c>
      <c r="D1602" t="inlineStr">
        <is>
          <t>SPEC</t>
        </is>
      </c>
      <c r="E1602" t="inlineStr">
        <is>
          <t>SMT PLASTRON MTZ2 GVEAC7</t>
        </is>
      </c>
      <c r="G1602" t="inlineStr">
        <is>
          <t>GVL</t>
        </is>
      </c>
      <c r="H1602" t="inlineStr">
        <is>
          <t>BYPASS</t>
        </is>
      </c>
      <c r="J1602" t="inlineStr">
        <is>
          <t>BERNARDEAU</t>
        </is>
      </c>
      <c r="K1602" t="inlineStr">
        <is>
          <t>METAL</t>
        </is>
      </c>
      <c r="L1602">
        <f>_xlfn.XLOOKUP(Tableau1[[#This Row],[TYPE DE PIECE]],Tableau4[MATIERE],Tableau4[SHORT TYPE],"",0,1)</f>
        <v/>
      </c>
      <c r="N1602">
        <f>IF(ISERR(FIND("DECOUPE",Tableau1[[#This Row],[DESIGNATION]])),"","NEED REF")</f>
        <v/>
      </c>
    </row>
    <row r="1603">
      <c r="B1603" t="n">
        <v>34412398</v>
      </c>
      <c r="C1603" s="2" t="n">
        <v>45334</v>
      </c>
      <c r="D1603" t="inlineStr">
        <is>
          <t>SPEC</t>
        </is>
      </c>
      <c r="E1603" t="inlineStr">
        <is>
          <t>SMT PLASTRON 2 NS800 GVEAC7</t>
        </is>
      </c>
      <c r="G1603" t="inlineStr">
        <is>
          <t>GVL</t>
        </is>
      </c>
      <c r="H1603" t="inlineStr">
        <is>
          <t>BYPASS</t>
        </is>
      </c>
      <c r="J1603" t="inlineStr">
        <is>
          <t>BERNARDEAU</t>
        </is>
      </c>
      <c r="K1603" t="inlineStr">
        <is>
          <t>METAL</t>
        </is>
      </c>
      <c r="L1603">
        <f>_xlfn.XLOOKUP(Tableau1[[#This Row],[TYPE DE PIECE]],Tableau4[MATIERE],Tableau4[SHORT TYPE],"",0,1)</f>
        <v/>
      </c>
      <c r="N1603">
        <f>IF(ISERR(FIND("DECOUPE",Tableau1[[#This Row],[DESIGNATION]])),"","NEED REF")</f>
        <v/>
      </c>
    </row>
    <row r="1604">
      <c r="B1604" t="n">
        <v>34412397</v>
      </c>
      <c r="C1604" s="2" t="n">
        <v>45334</v>
      </c>
      <c r="D1604" t="inlineStr">
        <is>
          <t>SPEC</t>
        </is>
      </c>
      <c r="E1604" t="inlineStr">
        <is>
          <t>SMT SUPPORT JDB INPUT</t>
        </is>
      </c>
      <c r="G1604" t="inlineStr">
        <is>
          <t>GVL</t>
        </is>
      </c>
      <c r="H1604" t="inlineStr">
        <is>
          <t>BYPASS</t>
        </is>
      </c>
      <c r="J1604" t="inlineStr">
        <is>
          <t>BERNARDEAU</t>
        </is>
      </c>
      <c r="K1604" t="inlineStr">
        <is>
          <t>METAL</t>
        </is>
      </c>
      <c r="L1604">
        <f>_xlfn.XLOOKUP(Tableau1[[#This Row],[TYPE DE PIECE]],Tableau4[MATIERE],Tableau4[SHORT TYPE],"",0,1)</f>
        <v/>
      </c>
      <c r="N1604">
        <f>IF(ISERR(FIND("DECOUPE",Tableau1[[#This Row],[DESIGNATION]])),"","NEED REF")</f>
        <v/>
      </c>
    </row>
    <row r="1605">
      <c r="B1605" t="n">
        <v>34412396</v>
      </c>
      <c r="C1605" s="2" t="n">
        <v>45331</v>
      </c>
      <c r="D1605" t="inlineStr">
        <is>
          <t>SPEC</t>
        </is>
      </c>
      <c r="E1605" t="inlineStr">
        <is>
          <t>SMT PLASTRON BAS/GAUCHE</t>
        </is>
      </c>
      <c r="G1605" t="inlineStr">
        <is>
          <t>GVL</t>
        </is>
      </c>
      <c r="H1605" t="inlineStr">
        <is>
          <t>INPUT PANEL</t>
        </is>
      </c>
      <c r="I1605" t="inlineStr">
        <is>
          <t>1500KVA</t>
        </is>
      </c>
      <c r="J1605" t="inlineStr">
        <is>
          <t>JAWORSKI</t>
        </is>
      </c>
      <c r="K1605" t="inlineStr">
        <is>
          <t>METAL</t>
        </is>
      </c>
      <c r="L1605">
        <f>_xlfn.XLOOKUP(Tableau1[[#This Row],[TYPE DE PIECE]],Tableau4[MATIERE],Tableau4[SHORT TYPE],"",0,1)</f>
        <v/>
      </c>
      <c r="N1605">
        <f>IF(ISERR(FIND("DECOUPE",Tableau1[[#This Row],[DESIGNATION]])),"","NEED REF")</f>
        <v/>
      </c>
    </row>
    <row r="1606">
      <c r="B1606" t="n">
        <v>34412395</v>
      </c>
      <c r="C1606" s="2" t="n">
        <v>45331</v>
      </c>
      <c r="D1606" t="inlineStr">
        <is>
          <t>SPEC</t>
        </is>
      </c>
      <c r="E1606" t="inlineStr">
        <is>
          <t>SMT PLASTRON HAUT/GAUCHE</t>
        </is>
      </c>
      <c r="G1606" t="inlineStr">
        <is>
          <t>GVL</t>
        </is>
      </c>
      <c r="H1606" t="inlineStr">
        <is>
          <t>INPUT PANEL</t>
        </is>
      </c>
      <c r="I1606" t="inlineStr">
        <is>
          <t>1500KVA</t>
        </is>
      </c>
      <c r="J1606" t="inlineStr">
        <is>
          <t>JAWORSKI</t>
        </is>
      </c>
      <c r="K1606" t="inlineStr">
        <is>
          <t>METAL</t>
        </is>
      </c>
      <c r="L1606">
        <f>_xlfn.XLOOKUP(Tableau1[[#This Row],[TYPE DE PIECE]],Tableau4[MATIERE],Tableau4[SHORT TYPE],"",0,1)</f>
        <v/>
      </c>
      <c r="N1606">
        <f>IF(ISERR(FIND("DECOUPE",Tableau1[[#This Row],[DESIGNATION]])),"","NEED REF")</f>
        <v/>
      </c>
    </row>
    <row r="1607">
      <c r="B1607" t="n">
        <v>34412394</v>
      </c>
      <c r="C1607" s="2" t="n">
        <v>45331</v>
      </c>
      <c r="D1607" t="inlineStr">
        <is>
          <t>SPEC</t>
        </is>
      </c>
      <c r="E1607" t="inlineStr">
        <is>
          <t>DECOUPE LINERGY 04567 L 1300MM</t>
        </is>
      </c>
      <c r="G1607" t="inlineStr">
        <is>
          <t>GVL</t>
        </is>
      </c>
      <c r="H1607" t="inlineStr">
        <is>
          <t>INPUT PANEL</t>
        </is>
      </c>
      <c r="I1607" t="inlineStr">
        <is>
          <t>1500KVA</t>
        </is>
      </c>
      <c r="J1607" t="inlineStr">
        <is>
          <t>JAWORSKI</t>
        </is>
      </c>
      <c r="K1607" t="inlineStr">
        <is>
          <t>METAL</t>
        </is>
      </c>
      <c r="L1607">
        <f>_xlfn.XLOOKUP(Tableau1[[#This Row],[TYPE DE PIECE]],Tableau4[MATIERE],Tableau4[SHORT TYPE],"",0,1)</f>
        <v/>
      </c>
      <c r="N1607" t="inlineStr">
        <is>
          <t>LVS04567</t>
        </is>
      </c>
    </row>
    <row r="1608">
      <c r="B1608" t="n">
        <v>34412393</v>
      </c>
      <c r="C1608" s="2" t="n">
        <v>45331</v>
      </c>
      <c r="D1608" t="inlineStr">
        <is>
          <t>SPEC</t>
        </is>
      </c>
      <c r="E1608" t="inlineStr">
        <is>
          <t>CANEVAS MTZ2 1600A  SW 4P  +2 NC</t>
        </is>
      </c>
      <c r="I1608" t="inlineStr">
        <is>
          <t>1600A</t>
        </is>
      </c>
      <c r="J1608" t="inlineStr">
        <is>
          <t>BERNARDEAU</t>
        </is>
      </c>
      <c r="K1608" t="inlineStr">
        <is>
          <t>SCHNEIDER</t>
        </is>
      </c>
      <c r="L1608">
        <f>_xlfn.XLOOKUP(Tableau1[[#This Row],[TYPE DE PIECE]],Tableau4[MATIERE],Tableau4[SHORT TYPE],"",0,1)</f>
        <v/>
      </c>
      <c r="N1608">
        <f>IF(ISERR(FIND("DECOUPE",Tableau1[[#This Row],[DESIGNATION]])),"","NEED REF")</f>
        <v/>
      </c>
    </row>
    <row r="1609">
      <c r="B1609" t="n">
        <v>34412392</v>
      </c>
      <c r="C1609" s="2" t="n">
        <v>45330</v>
      </c>
      <c r="D1609" t="inlineStr">
        <is>
          <t>SPEC</t>
        </is>
      </c>
      <c r="E1609" t="inlineStr">
        <is>
          <t>CB / NS800H Micro5.0 3P3d + 2NO</t>
        </is>
      </c>
      <c r="G1609" t="inlineStr">
        <is>
          <t>GVL</t>
        </is>
      </c>
      <c r="H1609" t="inlineStr">
        <is>
          <t>OUTPUT PANEL</t>
        </is>
      </c>
      <c r="I1609" t="inlineStr">
        <is>
          <t>1500KVA</t>
        </is>
      </c>
      <c r="J1609" t="inlineStr">
        <is>
          <t>JAWORSKI</t>
        </is>
      </c>
      <c r="K1609" t="inlineStr">
        <is>
          <t>SCHNEIDER</t>
        </is>
      </c>
      <c r="L1609">
        <f>_xlfn.XLOOKUP(Tableau1[[#This Row],[TYPE DE PIECE]],Tableau4[MATIERE],Tableau4[SHORT TYPE],"",0,1)</f>
        <v/>
      </c>
      <c r="N1609">
        <f>IF(ISERR(FIND("DECOUPE",Tableau1[[#This Row],[DESIGNATION]])),"","NEED REF")</f>
        <v/>
      </c>
    </row>
    <row r="1610">
      <c r="B1610" t="n">
        <v>34412391</v>
      </c>
      <c r="C1610" s="2" t="n">
        <v>45329</v>
      </c>
      <c r="D1610" t="inlineStr">
        <is>
          <t>SPEC</t>
        </is>
      </c>
      <c r="E1610">
        <f>_xlfn.CONCAT(Tableau1[[#This Row],[SHORT TYPE]]," ",Tableau1[[#This Row],[NUMERO]]," ",Tableau1[[#This Row],[GAMME]]," ",Tableau1[[#This Row],[TYPE PRODUIT]]," ",Tableau1[[#This Row],[PUISSANCE]])</f>
        <v/>
      </c>
      <c r="G1610" t="inlineStr">
        <is>
          <t>GVXL</t>
        </is>
      </c>
      <c r="H1610" t="inlineStr">
        <is>
          <t>BBC</t>
        </is>
      </c>
      <c r="I1610" t="inlineStr">
        <is>
          <t>4000A</t>
        </is>
      </c>
      <c r="J1610" t="inlineStr">
        <is>
          <t>MATRION</t>
        </is>
      </c>
      <c r="K1610" t="inlineStr">
        <is>
          <t>METAL</t>
        </is>
      </c>
      <c r="L1610">
        <f>_xlfn.XLOOKUP(Tableau1[[#This Row],[TYPE DE PIECE]],Tableau4[MATIERE],Tableau4[SHORT TYPE],"",0,1)</f>
        <v/>
      </c>
      <c r="N1610">
        <f>IF(ISERR(FIND("DECOUPE",Tableau1[[#This Row],[DESIGNATION]])),"","NEED REF")</f>
        <v/>
      </c>
    </row>
    <row r="1611">
      <c r="B1611" t="n">
        <v>34412390</v>
      </c>
      <c r="C1611" s="2" t="n">
        <v>45329</v>
      </c>
      <c r="D1611" t="inlineStr">
        <is>
          <t>SPEC</t>
        </is>
      </c>
      <c r="E1611">
        <f>_xlfn.CONCAT(Tableau1[[#This Row],[SHORT TYPE]]," ",Tableau1[[#This Row],[NUMERO]]," ",Tableau1[[#This Row],[GAMME]]," ",Tableau1[[#This Row],[TYPE PRODUIT]]," ",Tableau1[[#This Row],[PUISSANCE]])</f>
        <v/>
      </c>
      <c r="G1611" t="inlineStr">
        <is>
          <t>GVXL</t>
        </is>
      </c>
      <c r="H1611" t="inlineStr">
        <is>
          <t>BBC</t>
        </is>
      </c>
      <c r="I1611" t="inlineStr">
        <is>
          <t>4000A</t>
        </is>
      </c>
      <c r="J1611" t="inlineStr">
        <is>
          <t>MATRION</t>
        </is>
      </c>
      <c r="K1611" t="inlineStr">
        <is>
          <t>METAL</t>
        </is>
      </c>
      <c r="L1611">
        <f>_xlfn.XLOOKUP(Tableau1[[#This Row],[TYPE DE PIECE]],Tableau4[MATIERE],Tableau4[SHORT TYPE],"",0,1)</f>
        <v/>
      </c>
      <c r="N1611">
        <f>IF(ISERR(FIND("DECOUPE",Tableau1[[#This Row],[DESIGNATION]])),"","NEED REF")</f>
        <v/>
      </c>
    </row>
    <row r="1612">
      <c r="B1612" t="n">
        <v>34412389</v>
      </c>
      <c r="C1612" s="2" t="n">
        <v>45329</v>
      </c>
      <c r="D1612" t="inlineStr">
        <is>
          <t>SPEC</t>
        </is>
      </c>
      <c r="E1612">
        <f>_xlfn.CONCAT(Tableau1[[#This Row],[SHORT TYPE]]," ",Tableau1[[#This Row],[NUMERO]]," ",Tableau1[[#This Row],[GAMME]]," ",Tableau1[[#This Row],[TYPE PRODUIT]]," ",Tableau1[[#This Row],[PUISSANCE]])</f>
        <v/>
      </c>
      <c r="G1612" t="inlineStr">
        <is>
          <t>GVXL</t>
        </is>
      </c>
      <c r="H1612" t="inlineStr">
        <is>
          <t>BBC</t>
        </is>
      </c>
      <c r="I1612" t="inlineStr">
        <is>
          <t>4000A</t>
        </is>
      </c>
      <c r="J1612" t="inlineStr">
        <is>
          <t>MATRION</t>
        </is>
      </c>
      <c r="K1612" t="inlineStr">
        <is>
          <t>METAL</t>
        </is>
      </c>
      <c r="L1612">
        <f>_xlfn.XLOOKUP(Tableau1[[#This Row],[TYPE DE PIECE]],Tableau4[MATIERE],Tableau4[SHORT TYPE],"",0,1)</f>
        <v/>
      </c>
      <c r="N1612">
        <f>IF(ISERR(FIND("DECOUPE",Tableau1[[#This Row],[DESIGNATION]])),"","NEED REF")</f>
        <v/>
      </c>
    </row>
    <row r="1613">
      <c r="B1613" t="n">
        <v>34412388</v>
      </c>
      <c r="C1613" s="2" t="n">
        <v>45329</v>
      </c>
      <c r="D1613" t="inlineStr">
        <is>
          <t>SPEC</t>
        </is>
      </c>
      <c r="E1613">
        <f>_xlfn.CONCAT(Tableau1[[#This Row],[SHORT TYPE]]," ",Tableau1[[#This Row],[NUMERO]]," ",Tableau1[[#This Row],[GAMME]]," ",Tableau1[[#This Row],[TYPE PRODUIT]]," ",Tableau1[[#This Row],[PUISSANCE]])</f>
        <v/>
      </c>
      <c r="G1613" t="inlineStr">
        <is>
          <t>GVXL</t>
        </is>
      </c>
      <c r="H1613" t="inlineStr">
        <is>
          <t>UPS</t>
        </is>
      </c>
      <c r="I1613" t="inlineStr">
        <is>
          <t>850kVA</t>
        </is>
      </c>
      <c r="J1613" t="inlineStr">
        <is>
          <t>MATRION</t>
        </is>
      </c>
      <c r="K1613" t="inlineStr">
        <is>
          <t>PLASTIQUE</t>
        </is>
      </c>
      <c r="L1613">
        <f>_xlfn.XLOOKUP(Tableau1[[#This Row],[TYPE DE PIECE]],Tableau4[MATIERE],Tableau4[SHORT TYPE],"",0,1)</f>
        <v/>
      </c>
      <c r="N1613">
        <f>IF(ISERR(FIND("DECOUPE",Tableau1[[#This Row],[DESIGNATION]])),"","NEED REF")</f>
        <v/>
      </c>
    </row>
    <row r="1614">
      <c r="B1614" t="n">
        <v>34412387</v>
      </c>
      <c r="C1614" s="2" t="n">
        <v>45329</v>
      </c>
      <c r="D1614" t="inlineStr">
        <is>
          <t>SPEC</t>
        </is>
      </c>
      <c r="E1614">
        <f>_xlfn.CONCAT(Tableau1[[#This Row],[SHORT TYPE]]," ",Tableau1[[#This Row],[NUMERO]]," ",Tableau1[[#This Row],[GAMME]]," ",Tableau1[[#This Row],[TYPE PRODUIT]]," ",Tableau1[[#This Row],[PUISSANCE]])</f>
        <v/>
      </c>
      <c r="G1614" t="inlineStr">
        <is>
          <t>GVXL</t>
        </is>
      </c>
      <c r="H1614" t="inlineStr">
        <is>
          <t>BBC</t>
        </is>
      </c>
      <c r="I1614" t="inlineStr">
        <is>
          <t>4000A</t>
        </is>
      </c>
      <c r="J1614" t="inlineStr">
        <is>
          <t>MATRION</t>
        </is>
      </c>
      <c r="K1614" t="inlineStr">
        <is>
          <t>METAL</t>
        </is>
      </c>
      <c r="L1614">
        <f>_xlfn.XLOOKUP(Tableau1[[#This Row],[TYPE DE PIECE]],Tableau4[MATIERE],Tableau4[SHORT TYPE],"",0,1)</f>
        <v/>
      </c>
      <c r="N1614">
        <f>IF(ISERR(FIND("DECOUPE",Tableau1[[#This Row],[DESIGNATION]])),"","NEED REF")</f>
        <v/>
      </c>
    </row>
    <row r="1615">
      <c r="B1615" t="n">
        <v>34412386</v>
      </c>
      <c r="C1615" s="2" t="n">
        <v>45329</v>
      </c>
      <c r="D1615" t="inlineStr">
        <is>
          <t>SPEC</t>
        </is>
      </c>
      <c r="E1615">
        <f>_xlfn.CONCAT(Tableau1[[#This Row],[SHORT TYPE]]," ",Tableau1[[#This Row],[NUMERO]]," ",Tableau1[[#This Row],[GAMME]]," ",Tableau1[[#This Row],[TYPE PRODUIT]]," ",Tableau1[[#This Row],[PUISSANCE]])</f>
        <v/>
      </c>
      <c r="G1615" t="inlineStr">
        <is>
          <t>GVXL</t>
        </is>
      </c>
      <c r="H1615" t="inlineStr">
        <is>
          <t>UPS</t>
        </is>
      </c>
      <c r="I1615" t="inlineStr">
        <is>
          <t>850kVA</t>
        </is>
      </c>
      <c r="J1615" t="inlineStr">
        <is>
          <t>MATRION</t>
        </is>
      </c>
      <c r="K1615" t="inlineStr">
        <is>
          <t>PLASTIQUE</t>
        </is>
      </c>
      <c r="L1615">
        <f>_xlfn.XLOOKUP(Tableau1[[#This Row],[TYPE DE PIECE]],Tableau4[MATIERE],Tableau4[SHORT TYPE],"",0,1)</f>
        <v/>
      </c>
      <c r="N1615">
        <f>IF(ISERR(FIND("DECOUPE",Tableau1[[#This Row],[DESIGNATION]])),"","NEED REF")</f>
        <v/>
      </c>
    </row>
    <row r="1616">
      <c r="B1616" t="n">
        <v>34412385</v>
      </c>
      <c r="C1616" s="2" t="n">
        <v>45329</v>
      </c>
      <c r="D1616" t="inlineStr">
        <is>
          <t>SPEC</t>
        </is>
      </c>
      <c r="E1616">
        <f>_xlfn.CONCAT(Tableau1[[#This Row],[SHORT TYPE]]," ",Tableau1[[#This Row],[NUMERO]]," ",Tableau1[[#This Row],[GAMME]]," ",Tableau1[[#This Row],[TYPE PRODUIT]]," ",Tableau1[[#This Row],[PUISSANCE]])</f>
        <v/>
      </c>
      <c r="G1616" t="inlineStr">
        <is>
          <t>GVXL</t>
        </is>
      </c>
      <c r="H1616" t="inlineStr">
        <is>
          <t>UPS</t>
        </is>
      </c>
      <c r="I1616" t="inlineStr">
        <is>
          <t>850kVA</t>
        </is>
      </c>
      <c r="J1616" t="inlineStr">
        <is>
          <t>MATRION</t>
        </is>
      </c>
      <c r="K1616" t="inlineStr">
        <is>
          <t>PLASTIQUE</t>
        </is>
      </c>
      <c r="L1616">
        <f>_xlfn.XLOOKUP(Tableau1[[#This Row],[TYPE DE PIECE]],Tableau4[MATIERE],Tableau4[SHORT TYPE],"",0,1)</f>
        <v/>
      </c>
      <c r="N1616">
        <f>IF(ISERR(FIND("DECOUPE",Tableau1[[#This Row],[DESIGNATION]])),"","NEED REF")</f>
        <v/>
      </c>
    </row>
    <row r="1617">
      <c r="B1617" t="n">
        <v>34412384</v>
      </c>
      <c r="C1617" s="2" t="n">
        <v>45329</v>
      </c>
      <c r="D1617" t="inlineStr">
        <is>
          <t>SPEC</t>
        </is>
      </c>
      <c r="E1617">
        <f>_xlfn.CONCAT(Tableau1[[#This Row],[SHORT TYPE]]," ",Tableau1[[#This Row],[NUMERO]]," ",Tableau1[[#This Row],[GAMME]]," ",Tableau1[[#This Row],[TYPE PRODUIT]]," ",Tableau1[[#This Row],[PUISSANCE]])</f>
        <v/>
      </c>
      <c r="G1617" t="inlineStr">
        <is>
          <t>GVXL</t>
        </is>
      </c>
      <c r="H1617" t="inlineStr">
        <is>
          <t>UPS</t>
        </is>
      </c>
      <c r="I1617" t="inlineStr">
        <is>
          <t>850kVA</t>
        </is>
      </c>
      <c r="J1617" t="inlineStr">
        <is>
          <t>MATRION</t>
        </is>
      </c>
      <c r="K1617" t="inlineStr">
        <is>
          <t>METAL</t>
        </is>
      </c>
      <c r="L1617">
        <f>_xlfn.XLOOKUP(Tableau1[[#This Row],[TYPE DE PIECE]],Tableau4[MATIERE],Tableau4[SHORT TYPE],"",0,1)</f>
        <v/>
      </c>
      <c r="N1617">
        <f>IF(ISERR(FIND("DECOUPE",Tableau1[[#This Row],[DESIGNATION]])),"","NEED REF")</f>
        <v/>
      </c>
    </row>
    <row r="1618">
      <c r="B1618" t="n">
        <v>34412383</v>
      </c>
      <c r="C1618" s="2" t="n">
        <v>45329</v>
      </c>
      <c r="D1618" t="inlineStr">
        <is>
          <t>SPEC</t>
        </is>
      </c>
      <c r="E1618">
        <f>_xlfn.CONCAT(Tableau1[[#This Row],[SHORT TYPE]]," ",Tableau1[[#This Row],[NUMERO]]," ",Tableau1[[#This Row],[GAMME]]," ",Tableau1[[#This Row],[TYPE PRODUIT]]," ",Tableau1[[#This Row],[PUISSANCE]])</f>
        <v/>
      </c>
      <c r="G1618" t="inlineStr">
        <is>
          <t>GVXL</t>
        </is>
      </c>
      <c r="H1618" t="inlineStr">
        <is>
          <t>UPS</t>
        </is>
      </c>
      <c r="I1618" t="inlineStr">
        <is>
          <t>850kVA</t>
        </is>
      </c>
      <c r="J1618" t="inlineStr">
        <is>
          <t>MATRION</t>
        </is>
      </c>
      <c r="K1618" t="inlineStr">
        <is>
          <t>METAL</t>
        </is>
      </c>
      <c r="L1618">
        <f>_xlfn.XLOOKUP(Tableau1[[#This Row],[TYPE DE PIECE]],Tableau4[MATIERE],Tableau4[SHORT TYPE],"",0,1)</f>
        <v/>
      </c>
      <c r="N1618">
        <f>IF(ISERR(FIND("DECOUPE",Tableau1[[#This Row],[DESIGNATION]])),"","NEED REF")</f>
        <v/>
      </c>
    </row>
    <row r="1619">
      <c r="B1619" t="n">
        <v>34412382</v>
      </c>
      <c r="C1619" s="2" t="n">
        <v>45329</v>
      </c>
      <c r="D1619" t="inlineStr">
        <is>
          <t>SPEC</t>
        </is>
      </c>
      <c r="E1619">
        <f>_xlfn.CONCAT(Tableau1[[#This Row],[SHORT TYPE]]," ",Tableau1[[#This Row],[NUMERO]]," ",Tableau1[[#This Row],[GAMME]]," ",Tableau1[[#This Row],[TYPE PRODUIT]]," ",Tableau1[[#This Row],[PUISSANCE]])</f>
        <v/>
      </c>
      <c r="G1619" t="inlineStr">
        <is>
          <t>GVXL</t>
        </is>
      </c>
      <c r="H1619" t="inlineStr">
        <is>
          <t>UPS</t>
        </is>
      </c>
      <c r="I1619" t="inlineStr">
        <is>
          <t>850kVA</t>
        </is>
      </c>
      <c r="J1619" t="inlineStr">
        <is>
          <t>MATRION</t>
        </is>
      </c>
      <c r="K1619" t="inlineStr">
        <is>
          <t>METAL</t>
        </is>
      </c>
      <c r="L1619">
        <f>_xlfn.XLOOKUP(Tableau1[[#This Row],[TYPE DE PIECE]],Tableau4[MATIERE],Tableau4[SHORT TYPE],"",0,1)</f>
        <v/>
      </c>
      <c r="N1619">
        <f>IF(ISERR(FIND("DECOUPE",Tableau1[[#This Row],[DESIGNATION]])),"","NEED REF")</f>
        <v/>
      </c>
    </row>
    <row r="1620">
      <c r="B1620" t="n">
        <v>34412381</v>
      </c>
      <c r="C1620" s="2" t="n">
        <v>45329</v>
      </c>
      <c r="D1620" t="inlineStr">
        <is>
          <t>SPEC</t>
        </is>
      </c>
      <c r="E1620">
        <f>_xlfn.CONCAT(Tableau1[[#This Row],[SHORT TYPE]]," ",Tableau1[[#This Row],[NUMERO]]," ",Tableau1[[#This Row],[GAMME]]," ",Tableau1[[#This Row],[TYPE PRODUIT]]," ",Tableau1[[#This Row],[PUISSANCE]])</f>
        <v/>
      </c>
      <c r="G1620" t="inlineStr">
        <is>
          <t>GVXL</t>
        </is>
      </c>
      <c r="H1620" t="inlineStr">
        <is>
          <t>UPS</t>
        </is>
      </c>
      <c r="I1620" t="inlineStr">
        <is>
          <t>850kVA</t>
        </is>
      </c>
      <c r="J1620" t="inlineStr">
        <is>
          <t>MATRION</t>
        </is>
      </c>
      <c r="K1620" t="inlineStr">
        <is>
          <t>CUIVRE</t>
        </is>
      </c>
      <c r="L1620">
        <f>_xlfn.XLOOKUP(Tableau1[[#This Row],[TYPE DE PIECE]],Tableau4[MATIERE],Tableau4[SHORT TYPE],"",0,1)</f>
        <v/>
      </c>
      <c r="N1620">
        <f>IF(ISERR(FIND("DECOUPE",Tableau1[[#This Row],[DESIGNATION]])),"","NEED REF")</f>
        <v/>
      </c>
    </row>
    <row r="1621">
      <c r="B1621" t="n">
        <v>34412380</v>
      </c>
      <c r="C1621" s="2" t="n">
        <v>45329</v>
      </c>
      <c r="D1621" t="inlineStr">
        <is>
          <t>SPEC</t>
        </is>
      </c>
      <c r="E1621">
        <f>_xlfn.CONCAT(Tableau1[[#This Row],[SHORT TYPE]]," ",Tableau1[[#This Row],[NUMERO]]," ",Tableau1[[#This Row],[GAMME]]," ",Tableau1[[#This Row],[TYPE PRODUIT]]," ",Tableau1[[#This Row],[PUISSANCE]])</f>
        <v/>
      </c>
      <c r="G1621" t="inlineStr">
        <is>
          <t>GVXL</t>
        </is>
      </c>
      <c r="H1621" t="inlineStr">
        <is>
          <t>UPS</t>
        </is>
      </c>
      <c r="I1621" t="inlineStr">
        <is>
          <t>850kVA</t>
        </is>
      </c>
      <c r="J1621" t="inlineStr">
        <is>
          <t>MATRION</t>
        </is>
      </c>
      <c r="K1621" t="inlineStr">
        <is>
          <t>CUIVRE</t>
        </is>
      </c>
      <c r="L1621">
        <f>_xlfn.XLOOKUP(Tableau1[[#This Row],[TYPE DE PIECE]],Tableau4[MATIERE],Tableau4[SHORT TYPE],"",0,1)</f>
        <v/>
      </c>
      <c r="N1621">
        <f>IF(ISERR(FIND("DECOUPE",Tableau1[[#This Row],[DESIGNATION]])),"","NEED REF")</f>
        <v/>
      </c>
    </row>
    <row r="1622">
      <c r="B1622" t="n">
        <v>34412379</v>
      </c>
      <c r="C1622" s="2" t="n">
        <v>45329</v>
      </c>
      <c r="D1622" t="inlineStr">
        <is>
          <t>SPEC</t>
        </is>
      </c>
      <c r="E1622">
        <f>_xlfn.CONCAT(Tableau1[[#This Row],[SHORT TYPE]]," ",Tableau1[[#This Row],[NUMERO]]," ",Tableau1[[#This Row],[GAMME]]," ",Tableau1[[#This Row],[TYPE PRODUIT]]," ",Tableau1[[#This Row],[PUISSANCE]])</f>
        <v/>
      </c>
      <c r="G1622" t="inlineStr">
        <is>
          <t>GVXL</t>
        </is>
      </c>
      <c r="H1622" t="inlineStr">
        <is>
          <t>UPS</t>
        </is>
      </c>
      <c r="I1622" t="inlineStr">
        <is>
          <t>850kVA</t>
        </is>
      </c>
      <c r="J1622" t="inlineStr">
        <is>
          <t>MATRION</t>
        </is>
      </c>
      <c r="K1622" t="inlineStr">
        <is>
          <t>CUIVRE</t>
        </is>
      </c>
      <c r="L1622">
        <f>_xlfn.XLOOKUP(Tableau1[[#This Row],[TYPE DE PIECE]],Tableau4[MATIERE],Tableau4[SHORT TYPE],"",0,1)</f>
        <v/>
      </c>
      <c r="N1622">
        <f>IF(ISERR(FIND("DECOUPE",Tableau1[[#This Row],[DESIGNATION]])),"","NEED REF")</f>
        <v/>
      </c>
    </row>
    <row r="1623">
      <c r="B1623" t="n">
        <v>34412378</v>
      </c>
      <c r="C1623" s="2" t="n">
        <v>45329</v>
      </c>
      <c r="D1623" t="inlineStr">
        <is>
          <t>SPEC</t>
        </is>
      </c>
      <c r="E1623">
        <f>_xlfn.CONCAT(Tableau1[[#This Row],[SHORT TYPE]]," ",Tableau1[[#This Row],[NUMERO]]," ",Tableau1[[#This Row],[GAMME]]," ",Tableau1[[#This Row],[TYPE PRODUIT]]," ",Tableau1[[#This Row],[PUISSANCE]])</f>
        <v/>
      </c>
      <c r="G1623" t="inlineStr">
        <is>
          <t>GVXL</t>
        </is>
      </c>
      <c r="H1623" t="inlineStr">
        <is>
          <t>UPS</t>
        </is>
      </c>
      <c r="I1623" t="inlineStr">
        <is>
          <t>850kVA</t>
        </is>
      </c>
      <c r="J1623" t="inlineStr">
        <is>
          <t>MATRION</t>
        </is>
      </c>
      <c r="K1623" t="inlineStr">
        <is>
          <t>CUIVRE</t>
        </is>
      </c>
      <c r="L1623">
        <f>_xlfn.XLOOKUP(Tableau1[[#This Row],[TYPE DE PIECE]],Tableau4[MATIERE],Tableau4[SHORT TYPE],"",0,1)</f>
        <v/>
      </c>
      <c r="N1623">
        <f>IF(ISERR(FIND("DECOUPE",Tableau1[[#This Row],[DESIGNATION]])),"","NEED REF")</f>
        <v/>
      </c>
    </row>
    <row r="1624">
      <c r="B1624" t="n">
        <v>34412377</v>
      </c>
      <c r="C1624" s="2" t="n">
        <v>45329</v>
      </c>
      <c r="D1624" t="inlineStr">
        <is>
          <t>SPEC</t>
        </is>
      </c>
      <c r="E1624">
        <f>_xlfn.CONCAT(Tableau1[[#This Row],[SHORT TYPE]]," ",Tableau1[[#This Row],[NUMERO]]," ",Tableau1[[#This Row],[GAMME]]," ",Tableau1[[#This Row],[TYPE PRODUIT]]," ",Tableau1[[#This Row],[PUISSANCE]])</f>
        <v/>
      </c>
      <c r="G1624" t="inlineStr">
        <is>
          <t>GVXL</t>
        </is>
      </c>
      <c r="H1624" t="inlineStr">
        <is>
          <t>UPS</t>
        </is>
      </c>
      <c r="I1624" t="inlineStr">
        <is>
          <t>850kVA</t>
        </is>
      </c>
      <c r="J1624" t="inlineStr">
        <is>
          <t>MATRION</t>
        </is>
      </c>
      <c r="K1624" t="inlineStr">
        <is>
          <t>CUIVRE</t>
        </is>
      </c>
      <c r="L1624">
        <f>_xlfn.XLOOKUP(Tableau1[[#This Row],[TYPE DE PIECE]],Tableau4[MATIERE],Tableau4[SHORT TYPE],"",0,1)</f>
        <v/>
      </c>
      <c r="N1624">
        <f>IF(ISERR(FIND("DECOUPE",Tableau1[[#This Row],[DESIGNATION]])),"","NEED REF")</f>
        <v/>
      </c>
    </row>
    <row r="1625">
      <c r="B1625" t="n">
        <v>34412376</v>
      </c>
      <c r="C1625" s="2" t="n">
        <v>45328</v>
      </c>
      <c r="D1625" t="inlineStr">
        <is>
          <t>SPEC</t>
        </is>
      </c>
      <c r="E1625">
        <f>_xlfn.CONCAT(Tableau1[[#This Row],[SHORT TYPE]]," ",Tableau1[[#This Row],[NUMERO]]," ",Tableau1[[#This Row],[GAMME]]," ",Tableau1[[#This Row],[TYPE PRODUIT]]," ",Tableau1[[#This Row],[PUISSANCE]])</f>
        <v/>
      </c>
      <c r="G1625" t="inlineStr">
        <is>
          <t>GVXL</t>
        </is>
      </c>
      <c r="H1625" t="inlineStr">
        <is>
          <t>UPS</t>
        </is>
      </c>
      <c r="I1625" t="inlineStr">
        <is>
          <t>850kVA</t>
        </is>
      </c>
      <c r="J1625" t="inlineStr">
        <is>
          <t>MATRION</t>
        </is>
      </c>
      <c r="K1625" t="inlineStr">
        <is>
          <t>CUIVRE</t>
        </is>
      </c>
      <c r="L1625">
        <f>_xlfn.XLOOKUP(Tableau1[[#This Row],[TYPE DE PIECE]],Tableau4[MATIERE],Tableau4[SHORT TYPE],"",0,1)</f>
        <v/>
      </c>
      <c r="N1625">
        <f>IF(ISERR(FIND("DECOUPE",Tableau1[[#This Row],[DESIGNATION]])),"","NEED REF")</f>
        <v/>
      </c>
    </row>
    <row r="1626">
      <c r="B1626" t="n">
        <v>34412375</v>
      </c>
      <c r="C1626" s="2" t="n">
        <v>45328</v>
      </c>
      <c r="D1626" t="inlineStr">
        <is>
          <t>SPEC</t>
        </is>
      </c>
      <c r="E1626">
        <f>_xlfn.CONCAT(Tableau1[[#This Row],[SHORT TYPE]]," ",Tableau1[[#This Row],[NUMERO]]," ",Tableau1[[#This Row],[GAMME]]," ",Tableau1[[#This Row],[TYPE PRODUIT]]," ",Tableau1[[#This Row],[PUISSANCE]])</f>
        <v/>
      </c>
      <c r="G1626" t="inlineStr">
        <is>
          <t>GVXL</t>
        </is>
      </c>
      <c r="H1626" t="inlineStr">
        <is>
          <t>UPS</t>
        </is>
      </c>
      <c r="I1626" t="inlineStr">
        <is>
          <t>850kVA</t>
        </is>
      </c>
      <c r="J1626" t="inlineStr">
        <is>
          <t>MATRION</t>
        </is>
      </c>
      <c r="K1626" t="inlineStr">
        <is>
          <t>CUIVRE</t>
        </is>
      </c>
      <c r="L1626">
        <f>_xlfn.XLOOKUP(Tableau1[[#This Row],[TYPE DE PIECE]],Tableau4[MATIERE],Tableau4[SHORT TYPE],"",0,1)</f>
        <v/>
      </c>
      <c r="N1626">
        <f>IF(ISERR(FIND("DECOUPE",Tableau1[[#This Row],[DESIGNATION]])),"","NEED REF")</f>
        <v/>
      </c>
    </row>
    <row r="1627">
      <c r="B1627" t="n">
        <v>34412374</v>
      </c>
      <c r="C1627" s="2" t="n">
        <v>45328</v>
      </c>
      <c r="D1627" t="inlineStr">
        <is>
          <t>SPEC</t>
        </is>
      </c>
      <c r="E1627">
        <f>_xlfn.CONCAT(Tableau1[[#This Row],[SHORT TYPE]]," ",Tableau1[[#This Row],[NUMERO]]," ",Tableau1[[#This Row],[GAMME]]," ",Tableau1[[#This Row],[TYPE PRODUIT]]," ",Tableau1[[#This Row],[PUISSANCE]])</f>
        <v/>
      </c>
      <c r="G1627" t="inlineStr">
        <is>
          <t>GVXL</t>
        </is>
      </c>
      <c r="H1627" t="inlineStr">
        <is>
          <t>UPS</t>
        </is>
      </c>
      <c r="I1627" t="inlineStr">
        <is>
          <t>850kVA</t>
        </is>
      </c>
      <c r="J1627" t="inlineStr">
        <is>
          <t>MATRION</t>
        </is>
      </c>
      <c r="K1627" t="inlineStr">
        <is>
          <t>CUIVRE</t>
        </is>
      </c>
      <c r="L1627">
        <f>_xlfn.XLOOKUP(Tableau1[[#This Row],[TYPE DE PIECE]],Tableau4[MATIERE],Tableau4[SHORT TYPE],"",0,1)</f>
        <v/>
      </c>
      <c r="N1627">
        <f>IF(ISERR(FIND("DECOUPE",Tableau1[[#This Row],[DESIGNATION]])),"","NEED REF")</f>
        <v/>
      </c>
    </row>
    <row r="1628">
      <c r="B1628" t="n">
        <v>34412373</v>
      </c>
      <c r="C1628" s="2" t="n">
        <v>45328</v>
      </c>
      <c r="D1628" t="inlineStr">
        <is>
          <t>SPEC</t>
        </is>
      </c>
      <c r="E1628">
        <f>_xlfn.CONCAT(Tableau1[[#This Row],[SHORT TYPE]]," ",Tableau1[[#This Row],[NUMERO]]," ",Tableau1[[#This Row],[GAMME]]," ",Tableau1[[#This Row],[TYPE PRODUIT]]," ",Tableau1[[#This Row],[PUISSANCE]])</f>
        <v/>
      </c>
      <c r="G1628" t="inlineStr">
        <is>
          <t>GVXL</t>
        </is>
      </c>
      <c r="H1628" t="inlineStr">
        <is>
          <t>UPS</t>
        </is>
      </c>
      <c r="I1628" t="inlineStr">
        <is>
          <t>850kVA</t>
        </is>
      </c>
      <c r="J1628" t="inlineStr">
        <is>
          <t>MATRION</t>
        </is>
      </c>
      <c r="K1628" t="inlineStr">
        <is>
          <t>CUIVRE</t>
        </is>
      </c>
      <c r="L1628">
        <f>_xlfn.XLOOKUP(Tableau1[[#This Row],[TYPE DE PIECE]],Tableau4[MATIERE],Tableau4[SHORT TYPE],"",0,1)</f>
        <v/>
      </c>
      <c r="N1628">
        <f>IF(ISERR(FIND("DECOUPE",Tableau1[[#This Row],[DESIGNATION]])),"","NEED REF")</f>
        <v/>
      </c>
    </row>
    <row r="1629">
      <c r="B1629" t="n">
        <v>34412372</v>
      </c>
      <c r="C1629" s="2" t="n">
        <v>45328</v>
      </c>
      <c r="D1629" t="inlineStr">
        <is>
          <t>SPEC</t>
        </is>
      </c>
      <c r="E1629">
        <f>_xlfn.CONCAT(Tableau1[[#This Row],[SHORT TYPE]]," ",Tableau1[[#This Row],[NUMERO]]," ",Tableau1[[#This Row],[GAMME]]," ",Tableau1[[#This Row],[TYPE PRODUIT]]," ",Tableau1[[#This Row],[PUISSANCE]])</f>
        <v/>
      </c>
      <c r="G1629" t="inlineStr">
        <is>
          <t>GVXL</t>
        </is>
      </c>
      <c r="H1629" t="inlineStr">
        <is>
          <t>UPS</t>
        </is>
      </c>
      <c r="I1629" t="inlineStr">
        <is>
          <t>850kVA</t>
        </is>
      </c>
      <c r="J1629" t="inlineStr">
        <is>
          <t>MATRION</t>
        </is>
      </c>
      <c r="K1629" t="inlineStr">
        <is>
          <t>CUIVRE</t>
        </is>
      </c>
      <c r="L1629">
        <f>_xlfn.XLOOKUP(Tableau1[[#This Row],[TYPE DE PIECE]],Tableau4[MATIERE],Tableau4[SHORT TYPE],"",0,1)</f>
        <v/>
      </c>
      <c r="N1629">
        <f>IF(ISERR(FIND("DECOUPE",Tableau1[[#This Row],[DESIGNATION]])),"","NEED REF")</f>
        <v/>
      </c>
    </row>
    <row r="1630">
      <c r="B1630" t="n">
        <v>34412371</v>
      </c>
      <c r="C1630" s="2" t="n">
        <v>45328</v>
      </c>
      <c r="D1630" t="inlineStr">
        <is>
          <t>SPEC</t>
        </is>
      </c>
      <c r="E1630">
        <f>_xlfn.CONCAT(Tableau1[[#This Row],[SHORT TYPE]]," ",Tableau1[[#This Row],[NUMERO]]," ",Tableau1[[#This Row],[GAMME]]," ",Tableau1[[#This Row],[TYPE PRODUIT]]," ",Tableau1[[#This Row],[PUISSANCE]])</f>
        <v/>
      </c>
      <c r="G1630" t="inlineStr">
        <is>
          <t>GVXL</t>
        </is>
      </c>
      <c r="H1630" t="inlineStr">
        <is>
          <t>UPS</t>
        </is>
      </c>
      <c r="I1630" t="inlineStr">
        <is>
          <t>850kVA</t>
        </is>
      </c>
      <c r="J1630" t="inlineStr">
        <is>
          <t>MATRION</t>
        </is>
      </c>
      <c r="K1630" t="inlineStr">
        <is>
          <t>CUIVRE</t>
        </is>
      </c>
      <c r="L1630">
        <f>_xlfn.XLOOKUP(Tableau1[[#This Row],[TYPE DE PIECE]],Tableau4[MATIERE],Tableau4[SHORT TYPE],"",0,1)</f>
        <v/>
      </c>
      <c r="N1630">
        <f>IF(ISERR(FIND("DECOUPE",Tableau1[[#This Row],[DESIGNATION]])),"","NEED REF")</f>
        <v/>
      </c>
    </row>
    <row r="1631">
      <c r="B1631" t="n">
        <v>34412370</v>
      </c>
      <c r="C1631" s="2" t="n">
        <v>45328</v>
      </c>
      <c r="D1631" t="inlineStr">
        <is>
          <t>SPEC</t>
        </is>
      </c>
      <c r="E1631">
        <f>_xlfn.CONCAT(Tableau1[[#This Row],[SHORT TYPE]]," ",Tableau1[[#This Row],[NUMERO]]," ",Tableau1[[#This Row],[GAMME]]," ",Tableau1[[#This Row],[TYPE PRODUIT]]," ",Tableau1[[#This Row],[PUISSANCE]])</f>
        <v/>
      </c>
      <c r="G1631" t="inlineStr">
        <is>
          <t>GVXL</t>
        </is>
      </c>
      <c r="H1631" t="inlineStr">
        <is>
          <t>UPS</t>
        </is>
      </c>
      <c r="I1631" t="inlineStr">
        <is>
          <t>850kVA</t>
        </is>
      </c>
      <c r="J1631" t="inlineStr">
        <is>
          <t>MATRION</t>
        </is>
      </c>
      <c r="K1631" t="inlineStr">
        <is>
          <t>CUIVRE</t>
        </is>
      </c>
      <c r="L1631">
        <f>_xlfn.XLOOKUP(Tableau1[[#This Row],[TYPE DE PIECE]],Tableau4[MATIERE],Tableau4[SHORT TYPE],"",0,1)</f>
        <v/>
      </c>
      <c r="N1631">
        <f>IF(ISERR(FIND("DECOUPE",Tableau1[[#This Row],[DESIGNATION]])),"","NEED REF")</f>
        <v/>
      </c>
    </row>
    <row r="1632">
      <c r="B1632" t="n">
        <v>34412369</v>
      </c>
      <c r="C1632" s="2" t="n">
        <v>45328</v>
      </c>
      <c r="D1632" t="inlineStr">
        <is>
          <t>SPEC</t>
        </is>
      </c>
      <c r="E1632">
        <f>_xlfn.CONCAT(Tableau1[[#This Row],[SHORT TYPE]]," ",Tableau1[[#This Row],[NUMERO]]," ",Tableau1[[#This Row],[GAMME]]," ",Tableau1[[#This Row],[TYPE PRODUIT]]," ",Tableau1[[#This Row],[PUISSANCE]])</f>
        <v/>
      </c>
      <c r="G1632" t="inlineStr">
        <is>
          <t>GVXL</t>
        </is>
      </c>
      <c r="H1632" t="inlineStr">
        <is>
          <t>UPS</t>
        </is>
      </c>
      <c r="I1632" t="inlineStr">
        <is>
          <t>850kVA</t>
        </is>
      </c>
      <c r="J1632" t="inlineStr">
        <is>
          <t>MATRION</t>
        </is>
      </c>
      <c r="K1632" t="inlineStr">
        <is>
          <t>CUIVRE</t>
        </is>
      </c>
      <c r="L1632">
        <f>_xlfn.XLOOKUP(Tableau1[[#This Row],[TYPE DE PIECE]],Tableau4[MATIERE],Tableau4[SHORT TYPE],"",0,1)</f>
        <v/>
      </c>
      <c r="N1632">
        <f>IF(ISERR(FIND("DECOUPE",Tableau1[[#This Row],[DESIGNATION]])),"","NEED REF")</f>
        <v/>
      </c>
    </row>
    <row r="1633">
      <c r="B1633" t="n">
        <v>34412368</v>
      </c>
      <c r="C1633" s="2" t="n">
        <v>45328</v>
      </c>
      <c r="D1633" t="inlineStr">
        <is>
          <t>SPEC</t>
        </is>
      </c>
      <c r="E1633">
        <f>_xlfn.CONCAT(Tableau1[[#This Row],[SHORT TYPE]]," ",Tableau1[[#This Row],[NUMERO]]," ",Tableau1[[#This Row],[GAMME]]," ",Tableau1[[#This Row],[TYPE PRODUIT]]," ",Tableau1[[#This Row],[PUISSANCE]])</f>
        <v/>
      </c>
      <c r="G1633" t="inlineStr">
        <is>
          <t>GVXL</t>
        </is>
      </c>
      <c r="H1633" t="inlineStr">
        <is>
          <t>UPS</t>
        </is>
      </c>
      <c r="I1633" t="inlineStr">
        <is>
          <t>850kVA</t>
        </is>
      </c>
      <c r="J1633" t="inlineStr">
        <is>
          <t>MATRION</t>
        </is>
      </c>
      <c r="K1633" t="inlineStr">
        <is>
          <t>CUIVRE</t>
        </is>
      </c>
      <c r="L1633">
        <f>_xlfn.XLOOKUP(Tableau1[[#This Row],[TYPE DE PIECE]],Tableau4[MATIERE],Tableau4[SHORT TYPE],"",0,1)</f>
        <v/>
      </c>
      <c r="N1633">
        <f>IF(ISERR(FIND("DECOUPE",Tableau1[[#This Row],[DESIGNATION]])),"","NEED REF")</f>
        <v/>
      </c>
    </row>
    <row r="1634">
      <c r="B1634" t="n">
        <v>34412367</v>
      </c>
      <c r="C1634" s="2" t="n">
        <v>45328</v>
      </c>
      <c r="D1634" t="inlineStr">
        <is>
          <t>SPEC</t>
        </is>
      </c>
      <c r="E1634">
        <f>_xlfn.CONCAT(Tableau1[[#This Row],[SHORT TYPE]]," ",Tableau1[[#This Row],[NUMERO]]," ",Tableau1[[#This Row],[GAMME]]," ",Tableau1[[#This Row],[TYPE PRODUIT]]," ",Tableau1[[#This Row],[PUISSANCE]])</f>
        <v/>
      </c>
      <c r="G1634" t="inlineStr">
        <is>
          <t>GVXL</t>
        </is>
      </c>
      <c r="H1634" t="inlineStr">
        <is>
          <t>UPS</t>
        </is>
      </c>
      <c r="I1634" t="inlineStr">
        <is>
          <t>850kVA</t>
        </is>
      </c>
      <c r="J1634" t="inlineStr">
        <is>
          <t>MATRION</t>
        </is>
      </c>
      <c r="K1634" t="inlineStr">
        <is>
          <t>CUIVRE</t>
        </is>
      </c>
      <c r="L1634">
        <f>_xlfn.XLOOKUP(Tableau1[[#This Row],[TYPE DE PIECE]],Tableau4[MATIERE],Tableau4[SHORT TYPE],"",0,1)</f>
        <v/>
      </c>
      <c r="N1634">
        <f>IF(ISERR(FIND("DECOUPE",Tableau1[[#This Row],[DESIGNATION]])),"","NEED REF")</f>
        <v/>
      </c>
    </row>
    <row r="1635">
      <c r="B1635" t="n">
        <v>34412366</v>
      </c>
      <c r="C1635" s="2" t="n">
        <v>45328</v>
      </c>
      <c r="D1635" t="inlineStr">
        <is>
          <t>SPEC</t>
        </is>
      </c>
      <c r="E1635">
        <f>_xlfn.CONCAT(Tableau1[[#This Row],[SHORT TYPE]]," ",Tableau1[[#This Row],[NUMERO]]," ",Tableau1[[#This Row],[GAMME]]," ",Tableau1[[#This Row],[TYPE PRODUIT]]," ",Tableau1[[#This Row],[PUISSANCE]])</f>
        <v/>
      </c>
      <c r="G1635" t="inlineStr">
        <is>
          <t>GVXL</t>
        </is>
      </c>
      <c r="H1635" t="inlineStr">
        <is>
          <t>UPS</t>
        </is>
      </c>
      <c r="I1635" t="inlineStr">
        <is>
          <t>850kVA</t>
        </is>
      </c>
      <c r="J1635" t="inlineStr">
        <is>
          <t>MATRION</t>
        </is>
      </c>
      <c r="K1635" t="inlineStr">
        <is>
          <t>CUIVRE</t>
        </is>
      </c>
      <c r="L1635">
        <f>_xlfn.XLOOKUP(Tableau1[[#This Row],[TYPE DE PIECE]],Tableau4[MATIERE],Tableau4[SHORT TYPE],"",0,1)</f>
        <v/>
      </c>
      <c r="N1635">
        <f>IF(ISERR(FIND("DECOUPE",Tableau1[[#This Row],[DESIGNATION]])),"","NEED REF")</f>
        <v/>
      </c>
    </row>
    <row r="1636">
      <c r="B1636" t="n">
        <v>34412365</v>
      </c>
      <c r="C1636" s="2" t="n">
        <v>45328</v>
      </c>
      <c r="D1636" t="inlineStr">
        <is>
          <t>SPEC</t>
        </is>
      </c>
      <c r="E1636">
        <f>_xlfn.CONCAT(Tableau1[[#This Row],[SHORT TYPE]]," ",Tableau1[[#This Row],[NUMERO]]," ",Tableau1[[#This Row],[GAMME]]," ",Tableau1[[#This Row],[TYPE PRODUIT]]," ",Tableau1[[#This Row],[PUISSANCE]])</f>
        <v/>
      </c>
      <c r="G1636" t="inlineStr">
        <is>
          <t>GVXL</t>
        </is>
      </c>
      <c r="H1636" t="inlineStr">
        <is>
          <t>UPS</t>
        </is>
      </c>
      <c r="I1636" t="inlineStr">
        <is>
          <t>850kVA</t>
        </is>
      </c>
      <c r="J1636" t="inlineStr">
        <is>
          <t>MATRION</t>
        </is>
      </c>
      <c r="K1636" t="inlineStr">
        <is>
          <t>CUIVRE</t>
        </is>
      </c>
      <c r="L1636">
        <f>_xlfn.XLOOKUP(Tableau1[[#This Row],[TYPE DE PIECE]],Tableau4[MATIERE],Tableau4[SHORT TYPE],"",0,1)</f>
        <v/>
      </c>
      <c r="N1636">
        <f>IF(ISERR(FIND("DECOUPE",Tableau1[[#This Row],[DESIGNATION]])),"","NEED REF")</f>
        <v/>
      </c>
    </row>
    <row r="1637">
      <c r="B1637" t="n">
        <v>34412364</v>
      </c>
      <c r="C1637" s="2" t="n">
        <v>45328</v>
      </c>
      <c r="D1637" t="inlineStr">
        <is>
          <t>SPEC</t>
        </is>
      </c>
      <c r="E1637">
        <f>_xlfn.CONCAT(Tableau1[[#This Row],[SHORT TYPE]]," ",Tableau1[[#This Row],[NUMERO]]," ",Tableau1[[#This Row],[GAMME]]," ",Tableau1[[#This Row],[TYPE PRODUIT]]," ",Tableau1[[#This Row],[PUISSANCE]])</f>
        <v/>
      </c>
      <c r="G1637" t="inlineStr">
        <is>
          <t>GVXL</t>
        </is>
      </c>
      <c r="H1637" t="inlineStr">
        <is>
          <t>UPS</t>
        </is>
      </c>
      <c r="I1637" t="inlineStr">
        <is>
          <t>850kVA</t>
        </is>
      </c>
      <c r="J1637" t="inlineStr">
        <is>
          <t>MATRION</t>
        </is>
      </c>
      <c r="K1637" t="inlineStr">
        <is>
          <t>CUIVRE</t>
        </is>
      </c>
      <c r="L1637">
        <f>_xlfn.XLOOKUP(Tableau1[[#This Row],[TYPE DE PIECE]],Tableau4[MATIERE],Tableau4[SHORT TYPE],"",0,1)</f>
        <v/>
      </c>
      <c r="N1637">
        <f>IF(ISERR(FIND("DECOUPE",Tableau1[[#This Row],[DESIGNATION]])),"","NEED REF")</f>
        <v/>
      </c>
    </row>
    <row r="1638">
      <c r="B1638" t="n">
        <v>34412363</v>
      </c>
      <c r="C1638" s="2" t="n">
        <v>45328</v>
      </c>
      <c r="D1638" t="inlineStr">
        <is>
          <t>SPEC</t>
        </is>
      </c>
      <c r="E1638">
        <f>_xlfn.CONCAT(Tableau1[[#This Row],[SHORT TYPE]]," ",Tableau1[[#This Row],[NUMERO]]," ",Tableau1[[#This Row],[GAMME]]," ",Tableau1[[#This Row],[TYPE PRODUIT]]," ",Tableau1[[#This Row],[PUISSANCE]])</f>
        <v/>
      </c>
      <c r="G1638" t="inlineStr">
        <is>
          <t>GVXL</t>
        </is>
      </c>
      <c r="H1638" t="inlineStr">
        <is>
          <t>UPS</t>
        </is>
      </c>
      <c r="I1638" t="inlineStr">
        <is>
          <t>850kVA</t>
        </is>
      </c>
      <c r="J1638" t="inlineStr">
        <is>
          <t>MATRION</t>
        </is>
      </c>
      <c r="K1638" t="inlineStr">
        <is>
          <t>CUIVRE</t>
        </is>
      </c>
      <c r="L1638">
        <f>_xlfn.XLOOKUP(Tableau1[[#This Row],[TYPE DE PIECE]],Tableau4[MATIERE],Tableau4[SHORT TYPE],"",0,1)</f>
        <v/>
      </c>
      <c r="N1638">
        <f>IF(ISERR(FIND("DECOUPE",Tableau1[[#This Row],[DESIGNATION]])),"","NEED REF")</f>
        <v/>
      </c>
    </row>
    <row r="1639">
      <c r="B1639" t="n">
        <v>34412362</v>
      </c>
      <c r="C1639" s="2" t="n">
        <v>45323</v>
      </c>
      <c r="D1639" t="inlineStr">
        <is>
          <t>SPEC</t>
        </is>
      </c>
      <c r="E1639">
        <f>_xlfn.CONCAT(Tableau1[[#This Row],[SHORT TYPE]]," ",Tableau1[[#This Row],[NUMERO]]," ",Tableau1[[#This Row],[GAMME]]," ",Tableau1[[#This Row],[TYPE PRODUIT]]," ",Tableau1[[#This Row],[PUISSANCE]])</f>
        <v/>
      </c>
      <c r="G1639" t="inlineStr">
        <is>
          <t>GVXL</t>
        </is>
      </c>
      <c r="H1639" t="inlineStr">
        <is>
          <t>BBC</t>
        </is>
      </c>
      <c r="I1639" t="inlineStr">
        <is>
          <t>4000A</t>
        </is>
      </c>
      <c r="J1639" t="inlineStr">
        <is>
          <t>MATRION</t>
        </is>
      </c>
      <c r="K1639" t="inlineStr">
        <is>
          <t>METAL</t>
        </is>
      </c>
      <c r="L1639">
        <f>_xlfn.XLOOKUP(Tableau1[[#This Row],[TYPE DE PIECE]],Tableau4[MATIERE],Tableau4[SHORT TYPE],"",0,1)</f>
        <v/>
      </c>
      <c r="N1639">
        <f>IF(ISERR(FIND("DECOUPE",Tableau1[[#This Row],[DESIGNATION]])),"","NEED REF")</f>
        <v/>
      </c>
    </row>
    <row r="1640">
      <c r="B1640" t="n">
        <v>34412361</v>
      </c>
      <c r="C1640" s="2" t="n">
        <v>45323</v>
      </c>
      <c r="D1640" t="inlineStr">
        <is>
          <t>SPEC</t>
        </is>
      </c>
      <c r="E1640" t="inlineStr">
        <is>
          <t>SMT PLASTRON 3 x NS1000 - 3P</t>
        </is>
      </c>
      <c r="G1640" t="inlineStr">
        <is>
          <t>GVL</t>
        </is>
      </c>
      <c r="H1640" t="inlineStr">
        <is>
          <t>INPUT PANEL</t>
        </is>
      </c>
      <c r="I1640" t="inlineStr">
        <is>
          <t>1500KVA</t>
        </is>
      </c>
      <c r="J1640" t="inlineStr">
        <is>
          <t>JAWORSKI</t>
        </is>
      </c>
      <c r="K1640" t="inlineStr">
        <is>
          <t>METAL</t>
        </is>
      </c>
      <c r="L1640">
        <f>_xlfn.XLOOKUP(Tableau1[[#This Row],[TYPE DE PIECE]],Tableau4[MATIERE],Tableau4[SHORT TYPE],"",0,1)</f>
        <v/>
      </c>
      <c r="N1640">
        <f>IF(ISERR(FIND("DECOUPE",Tableau1[[#This Row],[DESIGNATION]])),"","NEED REF")</f>
        <v/>
      </c>
    </row>
    <row r="1641">
      <c r="B1641" t="n">
        <v>34412360</v>
      </c>
      <c r="C1641" s="2" t="n">
        <v>45323</v>
      </c>
      <c r="D1641" t="inlineStr">
        <is>
          <t>SPEC</t>
        </is>
      </c>
      <c r="E1641" t="inlineStr">
        <is>
          <t>SMT PLASTRON HAUT / DROIT</t>
        </is>
      </c>
      <c r="G1641" t="inlineStr">
        <is>
          <t>GVL</t>
        </is>
      </c>
      <c r="H1641" t="inlineStr">
        <is>
          <t>INPUT PANEL</t>
        </is>
      </c>
      <c r="I1641" t="inlineStr">
        <is>
          <t>1500KVA</t>
        </is>
      </c>
      <c r="J1641" t="inlineStr">
        <is>
          <t>JAWORSKI</t>
        </is>
      </c>
      <c r="K1641" t="inlineStr">
        <is>
          <t>METAL</t>
        </is>
      </c>
      <c r="L1641">
        <f>_xlfn.XLOOKUP(Tableau1[[#This Row],[TYPE DE PIECE]],Tableau4[MATIERE],Tableau4[SHORT TYPE],"",0,1)</f>
        <v/>
      </c>
      <c r="N1641">
        <f>IF(ISERR(FIND("DECOUPE",Tableau1[[#This Row],[DESIGNATION]])),"","NEED REF")</f>
        <v/>
      </c>
    </row>
    <row r="1642">
      <c r="B1642" t="n">
        <v>34412359</v>
      </c>
      <c r="C1642" s="2" t="n">
        <v>45323</v>
      </c>
      <c r="D1642" t="inlineStr">
        <is>
          <t>SPEC</t>
        </is>
      </c>
      <c r="E1642">
        <f>_xlfn.CONCAT(Tableau1[[#This Row],[SHORT TYPE]]," ",Tableau1[[#This Row],[NUMERO]]," ",Tableau1[[#This Row],[GAMME]]," ",Tableau1[[#This Row],[TYPE PRODUIT]]," ",Tableau1[[#This Row],[PUISSANCE]])</f>
        <v/>
      </c>
      <c r="G1642" t="inlineStr">
        <is>
          <t>GVXL</t>
        </is>
      </c>
      <c r="H1642" t="inlineStr">
        <is>
          <t>BBC</t>
        </is>
      </c>
      <c r="I1642" t="inlineStr">
        <is>
          <t>4000A</t>
        </is>
      </c>
      <c r="J1642" t="inlineStr">
        <is>
          <t>MATRION</t>
        </is>
      </c>
      <c r="K1642" t="inlineStr">
        <is>
          <t>METAL</t>
        </is>
      </c>
      <c r="L1642">
        <f>_xlfn.XLOOKUP(Tableau1[[#This Row],[TYPE DE PIECE]],Tableau4[MATIERE],Tableau4[SHORT TYPE],"",0,1)</f>
        <v/>
      </c>
      <c r="N1642">
        <f>IF(ISERR(FIND("DECOUPE",Tableau1[[#This Row],[DESIGNATION]])),"","NEED REF")</f>
        <v/>
      </c>
    </row>
    <row r="1643">
      <c r="B1643" t="n">
        <v>34412358</v>
      </c>
      <c r="C1643" s="2" t="n">
        <v>45323</v>
      </c>
      <c r="D1643" t="inlineStr">
        <is>
          <t>SPEC</t>
        </is>
      </c>
      <c r="E1643">
        <f>_xlfn.CONCAT(Tableau1[[#This Row],[SHORT TYPE]]," ",Tableau1[[#This Row],[NUMERO]]," ",Tableau1[[#This Row],[GAMME]]," ",Tableau1[[#This Row],[TYPE PRODUIT]]," ",Tableau1[[#This Row],[PUISSANCE]])</f>
        <v/>
      </c>
      <c r="G1643" t="inlineStr">
        <is>
          <t>GVXL</t>
        </is>
      </c>
      <c r="H1643" t="inlineStr">
        <is>
          <t>BBC</t>
        </is>
      </c>
      <c r="I1643" t="inlineStr">
        <is>
          <t>4000A</t>
        </is>
      </c>
      <c r="J1643" t="inlineStr">
        <is>
          <t>MATRION</t>
        </is>
      </c>
      <c r="K1643" t="inlineStr">
        <is>
          <t>METAL</t>
        </is>
      </c>
      <c r="L1643">
        <f>_xlfn.XLOOKUP(Tableau1[[#This Row],[TYPE DE PIECE]],Tableau4[MATIERE],Tableau4[SHORT TYPE],"",0,1)</f>
        <v/>
      </c>
      <c r="N1643">
        <f>IF(ISERR(FIND("DECOUPE",Tableau1[[#This Row],[DESIGNATION]])),"","NEED REF")</f>
        <v/>
      </c>
    </row>
    <row r="1644">
      <c r="B1644" t="n">
        <v>34412357</v>
      </c>
      <c r="C1644" s="2" t="n">
        <v>45322</v>
      </c>
      <c r="D1644" t="inlineStr">
        <is>
          <t>SPEC</t>
        </is>
      </c>
      <c r="E1644" t="inlineStr">
        <is>
          <t>PLA ECRAN PROTECTION ELECTRIQUE</t>
        </is>
      </c>
      <c r="G1644" t="inlineStr">
        <is>
          <t>GVL</t>
        </is>
      </c>
      <c r="H1644" t="inlineStr">
        <is>
          <t>INPUT PANEL</t>
        </is>
      </c>
      <c r="I1644" t="inlineStr">
        <is>
          <t>1500KVA</t>
        </is>
      </c>
      <c r="J1644" t="inlineStr">
        <is>
          <t>JAWORSKI</t>
        </is>
      </c>
      <c r="K1644" t="inlineStr">
        <is>
          <t>PLASTIQUE</t>
        </is>
      </c>
      <c r="L1644">
        <f>_xlfn.XLOOKUP(Tableau1[[#This Row],[TYPE DE PIECE]],Tableau4[MATIERE],Tableau4[SHORT TYPE],"",0,1)</f>
        <v/>
      </c>
      <c r="N1644">
        <f>IF(ISERR(FIND("DECOUPE",Tableau1[[#This Row],[DESIGNATION]])),"","NEED REF")</f>
        <v/>
      </c>
    </row>
    <row r="1645">
      <c r="B1645" t="n">
        <v>34412356</v>
      </c>
      <c r="C1645" s="2" t="n">
        <v>45322</v>
      </c>
      <c r="D1645" t="inlineStr">
        <is>
          <t>SPEC</t>
        </is>
      </c>
      <c r="E1645" t="inlineStr">
        <is>
          <t>SMT SUPPORT BORNIER AUXILIAIRE</t>
        </is>
      </c>
      <c r="G1645" t="inlineStr">
        <is>
          <t>GVL</t>
        </is>
      </c>
      <c r="H1645" t="inlineStr">
        <is>
          <t>INPUT PANEL</t>
        </is>
      </c>
      <c r="I1645" t="inlineStr">
        <is>
          <t>1500KVA</t>
        </is>
      </c>
      <c r="J1645" t="inlineStr">
        <is>
          <t>JAWORSKI</t>
        </is>
      </c>
      <c r="K1645" t="inlineStr">
        <is>
          <t>METAL</t>
        </is>
      </c>
      <c r="L1645">
        <f>_xlfn.XLOOKUP(Tableau1[[#This Row],[TYPE DE PIECE]],Tableau4[MATIERE],Tableau4[SHORT TYPE],"",0,1)</f>
        <v/>
      </c>
      <c r="N1645">
        <f>IF(ISERR(FIND("DECOUPE",Tableau1[[#This Row],[DESIGNATION]])),"","NEED REF")</f>
        <v/>
      </c>
    </row>
    <row r="1646">
      <c r="B1646" t="n">
        <v>34412355</v>
      </c>
      <c r="C1646" s="2" t="n">
        <v>45321</v>
      </c>
      <c r="D1646" t="inlineStr">
        <is>
          <t>SPEC</t>
        </is>
      </c>
      <c r="E1646" t="inlineStr">
        <is>
          <t>COP CONNEXION PE(N) LINERGY</t>
        </is>
      </c>
      <c r="G1646" t="inlineStr">
        <is>
          <t>GVL</t>
        </is>
      </c>
      <c r="H1646" t="inlineStr">
        <is>
          <t>INPUT PANEL</t>
        </is>
      </c>
      <c r="I1646" t="inlineStr">
        <is>
          <t>1500KVA</t>
        </is>
      </c>
      <c r="J1646" t="inlineStr">
        <is>
          <t>JAWORSKI</t>
        </is>
      </c>
      <c r="K1646" t="inlineStr">
        <is>
          <t>CUIVRE</t>
        </is>
      </c>
      <c r="L1646">
        <f>_xlfn.XLOOKUP(Tableau1[[#This Row],[TYPE DE PIECE]],Tableau4[MATIERE],Tableau4[SHORT TYPE],"",0,1)</f>
        <v/>
      </c>
      <c r="N1646">
        <f>IF(ISERR(FIND("DECOUPE",Tableau1[[#This Row],[DESIGNATION]])),"","NEED REF")</f>
        <v/>
      </c>
    </row>
    <row r="1647">
      <c r="B1647" t="n">
        <v>34412354</v>
      </c>
      <c r="C1647" s="2" t="n">
        <v>45321</v>
      </c>
      <c r="D1647" t="inlineStr">
        <is>
          <t>SPEC</t>
        </is>
      </c>
      <c r="E1647" t="inlineStr">
        <is>
          <t>COP CONNEXION CLIENT SORTIE MBB</t>
        </is>
      </c>
      <c r="G1647" t="inlineStr">
        <is>
          <t>GVL</t>
        </is>
      </c>
      <c r="H1647" t="inlineStr">
        <is>
          <t>BYPASS</t>
        </is>
      </c>
      <c r="J1647" t="inlineStr">
        <is>
          <t>BERNARDEAU</t>
        </is>
      </c>
      <c r="K1647" t="inlineStr">
        <is>
          <t>CUIVRE</t>
        </is>
      </c>
      <c r="L1647">
        <f>_xlfn.XLOOKUP(Tableau1[[#This Row],[TYPE DE PIECE]],Tableau4[MATIERE],Tableau4[SHORT TYPE],"",0,1)</f>
        <v/>
      </c>
      <c r="N1647">
        <f>IF(ISERR(FIND("DECOUPE",Tableau1[[#This Row],[DESIGNATION]])),"","NEED REF")</f>
        <v/>
      </c>
    </row>
    <row r="1648">
      <c r="B1648" t="n">
        <v>34412353</v>
      </c>
      <c r="C1648" s="2" t="n">
        <v>45321</v>
      </c>
      <c r="D1648" t="inlineStr">
        <is>
          <t>SPEC</t>
        </is>
      </c>
      <c r="E1648" t="inlineStr">
        <is>
          <t>PLA PLAQUE ISOLANTE</t>
        </is>
      </c>
      <c r="G1648" t="inlineStr">
        <is>
          <t>GVL</t>
        </is>
      </c>
      <c r="H1648" t="inlineStr">
        <is>
          <t>INPUT PANEL</t>
        </is>
      </c>
      <c r="I1648" t="inlineStr">
        <is>
          <t>1500KVA</t>
        </is>
      </c>
      <c r="J1648" t="inlineStr">
        <is>
          <t>JAWORSKI</t>
        </is>
      </c>
      <c r="K1648" t="inlineStr">
        <is>
          <t>PLASTIQUE</t>
        </is>
      </c>
      <c r="L1648">
        <f>_xlfn.XLOOKUP(Tableau1[[#This Row],[TYPE DE PIECE]],Tableau4[MATIERE],Tableau4[SHORT TYPE],"",0,1)</f>
        <v/>
      </c>
      <c r="N1648">
        <f>IF(ISERR(FIND("DECOUPE",Tableau1[[#This Row],[DESIGNATION]])),"","NEED REF")</f>
        <v/>
      </c>
    </row>
    <row r="1649">
      <c r="B1649" t="n">
        <v>34412352</v>
      </c>
      <c r="C1649" s="2" t="n">
        <v>45321</v>
      </c>
      <c r="D1649" t="inlineStr">
        <is>
          <t>SPEC</t>
        </is>
      </c>
      <c r="E1649" t="inlineStr">
        <is>
          <t>COP RACCORDEMENT INPUT/OUTPUT PANEL</t>
        </is>
      </c>
      <c r="G1649" t="inlineStr">
        <is>
          <t>GVL</t>
        </is>
      </c>
      <c r="H1649" t="inlineStr">
        <is>
          <t>INPUT PANEL</t>
        </is>
      </c>
      <c r="I1649" t="inlineStr">
        <is>
          <t>1500KVA</t>
        </is>
      </c>
      <c r="J1649" t="inlineStr">
        <is>
          <t>JAWORSKI</t>
        </is>
      </c>
      <c r="K1649" t="inlineStr">
        <is>
          <t>CUIVRE</t>
        </is>
      </c>
      <c r="L1649">
        <f>_xlfn.XLOOKUP(Tableau1[[#This Row],[TYPE DE PIECE]],Tableau4[MATIERE],Tableau4[SHORT TYPE],"",0,1)</f>
        <v/>
      </c>
      <c r="N1649">
        <f>IF(ISERR(FIND("DECOUPE",Tableau1[[#This Row],[DESIGNATION]])),"","NEED REF")</f>
        <v/>
      </c>
    </row>
    <row r="1650">
      <c r="B1650" t="n">
        <v>34412351</v>
      </c>
      <c r="C1650" s="2" t="n">
        <v>45321</v>
      </c>
      <c r="D1650" t="inlineStr">
        <is>
          <t>SPEC</t>
        </is>
      </c>
      <c r="E1650" t="inlineStr">
        <is>
          <t>SMT SUPPORT 4 ISOLANT LVS04678</t>
        </is>
      </c>
      <c r="G1650" t="inlineStr">
        <is>
          <t>GVL</t>
        </is>
      </c>
      <c r="H1650" t="inlineStr">
        <is>
          <t>INPUT PANEL</t>
        </is>
      </c>
      <c r="I1650" t="inlineStr">
        <is>
          <t>1500KVA</t>
        </is>
      </c>
      <c r="J1650" t="inlineStr">
        <is>
          <t>JAWORSKI</t>
        </is>
      </c>
      <c r="K1650" t="inlineStr">
        <is>
          <t>METAL</t>
        </is>
      </c>
      <c r="L1650">
        <f>_xlfn.XLOOKUP(Tableau1[[#This Row],[TYPE DE PIECE]],Tableau4[MATIERE],Tableau4[SHORT TYPE],"",0,1)</f>
        <v/>
      </c>
      <c r="N1650">
        <f>IF(ISERR(FIND("DECOUPE",Tableau1[[#This Row],[DESIGNATION]])),"","NEED REF")</f>
        <v/>
      </c>
    </row>
    <row r="1651">
      <c r="B1651" t="n">
        <v>34412350</v>
      </c>
      <c r="C1651" s="2" t="n">
        <v>45321</v>
      </c>
      <c r="D1651" t="inlineStr">
        <is>
          <t>SPEC</t>
        </is>
      </c>
      <c r="E1651" t="inlineStr">
        <is>
          <t>SMT SUPPORT 3 ISOLANT LVS04678</t>
        </is>
      </c>
      <c r="G1651" t="inlineStr">
        <is>
          <t>GVL</t>
        </is>
      </c>
      <c r="H1651" t="inlineStr">
        <is>
          <t>INPUT PANEL</t>
        </is>
      </c>
      <c r="I1651" t="inlineStr">
        <is>
          <t>1500KVA</t>
        </is>
      </c>
      <c r="J1651" t="inlineStr">
        <is>
          <t>JAWORSKI</t>
        </is>
      </c>
      <c r="K1651" t="inlineStr">
        <is>
          <t>METAL</t>
        </is>
      </c>
      <c r="L1651">
        <f>_xlfn.XLOOKUP(Tableau1[[#This Row],[TYPE DE PIECE]],Tableau4[MATIERE],Tableau4[SHORT TYPE],"",0,1)</f>
        <v/>
      </c>
      <c r="N1651">
        <f>IF(ISERR(FIND("DECOUPE",Tableau1[[#This Row],[DESIGNATION]])),"","NEED REF")</f>
        <v/>
      </c>
    </row>
    <row r="1652">
      <c r="B1652" t="n">
        <v>34412349</v>
      </c>
      <c r="C1652" s="2" t="n">
        <v>45321</v>
      </c>
      <c r="D1652" t="inlineStr">
        <is>
          <t>SPEC</t>
        </is>
      </c>
      <c r="E1652" t="inlineStr">
        <is>
          <t>SMT SUPPORT 2 ISOLANT LVS04678</t>
        </is>
      </c>
      <c r="G1652" t="inlineStr">
        <is>
          <t>GVL</t>
        </is>
      </c>
      <c r="H1652" t="inlineStr">
        <is>
          <t>INPUT PANEL</t>
        </is>
      </c>
      <c r="I1652" t="inlineStr">
        <is>
          <t>1500KVA</t>
        </is>
      </c>
      <c r="J1652" t="inlineStr">
        <is>
          <t>JAWORSKI</t>
        </is>
      </c>
      <c r="K1652" t="inlineStr">
        <is>
          <t>METAL</t>
        </is>
      </c>
      <c r="L1652">
        <f>_xlfn.XLOOKUP(Tableau1[[#This Row],[TYPE DE PIECE]],Tableau4[MATIERE],Tableau4[SHORT TYPE],"",0,1)</f>
        <v/>
      </c>
      <c r="N1652">
        <f>IF(ISERR(FIND("DECOUPE",Tableau1[[#This Row],[DESIGNATION]])),"","NEED REF")</f>
        <v/>
      </c>
    </row>
    <row r="1653">
      <c r="B1653" t="n">
        <v>34412348</v>
      </c>
      <c r="C1653" s="2" t="n">
        <v>45321</v>
      </c>
      <c r="D1653" t="inlineStr">
        <is>
          <t>SPEC</t>
        </is>
      </c>
      <c r="E1653" t="inlineStr">
        <is>
          <t>SMT SUPPORT 1 ISOLANT LVS04678</t>
        </is>
      </c>
      <c r="G1653" t="inlineStr">
        <is>
          <t>GVL</t>
        </is>
      </c>
      <c r="H1653" t="inlineStr">
        <is>
          <t>INPUT PANEL</t>
        </is>
      </c>
      <c r="I1653" t="inlineStr">
        <is>
          <t>1500KVA</t>
        </is>
      </c>
      <c r="J1653" t="inlineStr">
        <is>
          <t>JAWORSKI</t>
        </is>
      </c>
      <c r="K1653" t="inlineStr">
        <is>
          <t>METAL</t>
        </is>
      </c>
      <c r="L1653">
        <f>_xlfn.XLOOKUP(Tableau1[[#This Row],[TYPE DE PIECE]],Tableau4[MATIERE],Tableau4[SHORT TYPE],"",0,1)</f>
        <v/>
      </c>
      <c r="N1653">
        <f>IF(ISERR(FIND("DECOUPE",Tableau1[[#This Row],[DESIGNATION]])),"","NEED REF")</f>
        <v/>
      </c>
    </row>
    <row r="1654">
      <c r="B1654" t="n">
        <v>34412347</v>
      </c>
      <c r="C1654" s="2" t="n">
        <v>45321</v>
      </c>
      <c r="D1654" t="inlineStr">
        <is>
          <t>SPEC</t>
        </is>
      </c>
      <c r="E1654" t="inlineStr">
        <is>
          <t xml:space="preserve">PLA PROTECTION CUIVRE MAKROLON </t>
        </is>
      </c>
      <c r="G1654" t="inlineStr">
        <is>
          <t>GVL</t>
        </is>
      </c>
      <c r="H1654" t="inlineStr">
        <is>
          <t>BYPASS</t>
        </is>
      </c>
      <c r="J1654" t="inlineStr">
        <is>
          <t>BERNARDEAU</t>
        </is>
      </c>
      <c r="K1654" t="inlineStr">
        <is>
          <t>PLASTIQUE</t>
        </is>
      </c>
      <c r="L1654">
        <f>_xlfn.XLOOKUP(Tableau1[[#This Row],[TYPE DE PIECE]],Tableau4[MATIERE],Tableau4[SHORT TYPE],"",0,1)</f>
        <v/>
      </c>
      <c r="N1654">
        <f>IF(ISERR(FIND("DECOUPE",Tableau1[[#This Row],[DESIGNATION]])),"","NEED REF")</f>
        <v/>
      </c>
    </row>
    <row r="1655">
      <c r="B1655" t="n">
        <v>34412346</v>
      </c>
      <c r="C1655" s="2" t="n">
        <v>45321</v>
      </c>
      <c r="D1655" t="inlineStr">
        <is>
          <t>SPEC</t>
        </is>
      </c>
      <c r="E1655" t="inlineStr">
        <is>
          <t>COP PONTAGE TNS-TNC</t>
        </is>
      </c>
      <c r="G1655" t="inlineStr">
        <is>
          <t>GVL</t>
        </is>
      </c>
      <c r="H1655" t="inlineStr">
        <is>
          <t>INPUT PANEL</t>
        </is>
      </c>
      <c r="I1655" t="inlineStr">
        <is>
          <t>1500KVA</t>
        </is>
      </c>
      <c r="J1655" t="inlineStr">
        <is>
          <t>JAWORSKI</t>
        </is>
      </c>
      <c r="K1655" t="inlineStr">
        <is>
          <t>CUIVRE</t>
        </is>
      </c>
      <c r="L1655">
        <f>_xlfn.XLOOKUP(Tableau1[[#This Row],[TYPE DE PIECE]],Tableau4[MATIERE],Tableau4[SHORT TYPE],"",0,1)</f>
        <v/>
      </c>
      <c r="N1655">
        <f>IF(ISERR(FIND("DECOUPE",Tableau1[[#This Row],[DESIGNATION]])),"","NEED REF")</f>
        <v/>
      </c>
    </row>
    <row r="1656">
      <c r="B1656" t="n">
        <v>34412345</v>
      </c>
      <c r="C1656" s="2" t="n">
        <v>45320</v>
      </c>
      <c r="D1656" t="inlineStr">
        <is>
          <t>SPEC</t>
        </is>
      </c>
      <c r="E1656" t="inlineStr">
        <is>
          <t>COP CX / LINERGY - L3</t>
        </is>
      </c>
      <c r="G1656" t="inlineStr">
        <is>
          <t>GVL</t>
        </is>
      </c>
      <c r="H1656" t="inlineStr">
        <is>
          <t>INPUT PANEL</t>
        </is>
      </c>
      <c r="I1656" t="inlineStr">
        <is>
          <t>1500KVA</t>
        </is>
      </c>
      <c r="J1656" t="inlineStr">
        <is>
          <t>JAWORSKI</t>
        </is>
      </c>
      <c r="K1656" t="inlineStr">
        <is>
          <t>CUIVRE</t>
        </is>
      </c>
      <c r="L1656">
        <f>_xlfn.XLOOKUP(Tableau1[[#This Row],[TYPE DE PIECE]],Tableau4[MATIERE],Tableau4[SHORT TYPE],"",0,1)</f>
        <v/>
      </c>
      <c r="N1656">
        <f>IF(ISERR(FIND("DECOUPE",Tableau1[[#This Row],[DESIGNATION]])),"","NEED REF")</f>
        <v/>
      </c>
    </row>
    <row r="1657">
      <c r="B1657" t="n">
        <v>34412344</v>
      </c>
      <c r="C1657" s="2" t="n">
        <v>45320</v>
      </c>
      <c r="D1657" t="inlineStr">
        <is>
          <t>SPEC</t>
        </is>
      </c>
      <c r="E1657" t="inlineStr">
        <is>
          <t>COP CX / LINERGY - L2</t>
        </is>
      </c>
      <c r="G1657" t="inlineStr">
        <is>
          <t>GVL</t>
        </is>
      </c>
      <c r="H1657" t="inlineStr">
        <is>
          <t>INPUT PANEL</t>
        </is>
      </c>
      <c r="I1657" t="inlineStr">
        <is>
          <t>1500KVA</t>
        </is>
      </c>
      <c r="J1657" t="inlineStr">
        <is>
          <t>JAWORSKI</t>
        </is>
      </c>
      <c r="K1657" t="inlineStr">
        <is>
          <t>CUIVRE</t>
        </is>
      </c>
      <c r="L1657">
        <f>_xlfn.XLOOKUP(Tableau1[[#This Row],[TYPE DE PIECE]],Tableau4[MATIERE],Tableau4[SHORT TYPE],"",0,1)</f>
        <v/>
      </c>
      <c r="N1657">
        <f>IF(ISERR(FIND("DECOUPE",Tableau1[[#This Row],[DESIGNATION]])),"","NEED REF")</f>
        <v/>
      </c>
    </row>
    <row r="1658">
      <c r="B1658" t="n">
        <v>34412343</v>
      </c>
      <c r="C1658" s="2" t="n">
        <v>45320</v>
      </c>
      <c r="D1658" t="inlineStr">
        <is>
          <t>SPEC</t>
        </is>
      </c>
      <c r="E1658" t="inlineStr">
        <is>
          <t>COP CX / LINERGY - L1</t>
        </is>
      </c>
      <c r="G1658" t="inlineStr">
        <is>
          <t>GVL</t>
        </is>
      </c>
      <c r="H1658" t="inlineStr">
        <is>
          <t>INPUT PANEL</t>
        </is>
      </c>
      <c r="I1658" t="inlineStr">
        <is>
          <t>1500KVA</t>
        </is>
      </c>
      <c r="J1658" t="inlineStr">
        <is>
          <t>JAWORSKI</t>
        </is>
      </c>
      <c r="K1658" t="inlineStr">
        <is>
          <t>CUIVRE</t>
        </is>
      </c>
      <c r="L1658">
        <f>_xlfn.XLOOKUP(Tableau1[[#This Row],[TYPE DE PIECE]],Tableau4[MATIERE],Tableau4[SHORT TYPE],"",0,1)</f>
        <v/>
      </c>
      <c r="N1658">
        <f>IF(ISERR(FIND("DECOUPE",Tableau1[[#This Row],[DESIGNATION]])),"","NEED REF")</f>
        <v/>
      </c>
    </row>
    <row r="1659">
      <c r="B1659" t="n">
        <v>34412342</v>
      </c>
      <c r="C1659" s="2" t="n">
        <v>45320</v>
      </c>
      <c r="D1659" t="inlineStr">
        <is>
          <t>SPEC</t>
        </is>
      </c>
      <c r="E1659" t="inlineStr">
        <is>
          <t>COP CX / LINERGY - N</t>
        </is>
      </c>
      <c r="G1659" t="inlineStr">
        <is>
          <t>GVL</t>
        </is>
      </c>
      <c r="H1659" t="inlineStr">
        <is>
          <t>INPUT PANEL</t>
        </is>
      </c>
      <c r="I1659" t="inlineStr">
        <is>
          <t>1500KVA</t>
        </is>
      </c>
      <c r="J1659" t="inlineStr">
        <is>
          <t>JAWORSKI</t>
        </is>
      </c>
      <c r="K1659" t="inlineStr">
        <is>
          <t>CUIVRE</t>
        </is>
      </c>
      <c r="L1659">
        <f>_xlfn.XLOOKUP(Tableau1[[#This Row],[TYPE DE PIECE]],Tableau4[MATIERE],Tableau4[SHORT TYPE],"",0,1)</f>
        <v/>
      </c>
      <c r="N1659">
        <f>IF(ISERR(FIND("DECOUPE",Tableau1[[#This Row],[DESIGNATION]])),"","NEED REF")</f>
        <v/>
      </c>
    </row>
    <row r="1660">
      <c r="B1660" t="n">
        <v>34412341</v>
      </c>
      <c r="C1660" s="2" t="n">
        <v>45320</v>
      </c>
      <c r="D1660" t="inlineStr">
        <is>
          <t>SPEC</t>
        </is>
      </c>
      <c r="E1660" t="inlineStr">
        <is>
          <t>SMT SUPPORT LINERGY BAS</t>
        </is>
      </c>
      <c r="G1660" t="inlineStr">
        <is>
          <t>GVL</t>
        </is>
      </c>
      <c r="H1660" t="inlineStr">
        <is>
          <t>INPUT PANEL</t>
        </is>
      </c>
      <c r="I1660" t="inlineStr">
        <is>
          <t>1500KVA</t>
        </is>
      </c>
      <c r="J1660" t="inlineStr">
        <is>
          <t>JAWORSKI</t>
        </is>
      </c>
      <c r="K1660" t="inlineStr">
        <is>
          <t>METAL</t>
        </is>
      </c>
      <c r="L1660">
        <f>_xlfn.XLOOKUP(Tableau1[[#This Row],[TYPE DE PIECE]],Tableau4[MATIERE],Tableau4[SHORT TYPE],"",0,1)</f>
        <v/>
      </c>
      <c r="N1660">
        <f>IF(ISERR(FIND("DECOUPE",Tableau1[[#This Row],[DESIGNATION]])),"","NEED REF")</f>
        <v/>
      </c>
    </row>
    <row r="1661">
      <c r="B1661" t="n">
        <v>34412340</v>
      </c>
      <c r="C1661" s="2" t="n">
        <v>45317</v>
      </c>
      <c r="D1661" t="inlineStr">
        <is>
          <t>SPEC</t>
        </is>
      </c>
      <c r="E1661" t="inlineStr">
        <is>
          <t>CB / NS1000H Micro5.0 3P3d</t>
        </is>
      </c>
      <c r="G1661" t="inlineStr">
        <is>
          <t>GVL</t>
        </is>
      </c>
      <c r="H1661" t="inlineStr">
        <is>
          <t>INPUT PANEL</t>
        </is>
      </c>
      <c r="I1661" t="inlineStr">
        <is>
          <t>1500KVA</t>
        </is>
      </c>
      <c r="J1661" t="inlineStr">
        <is>
          <t>JAWORSKI</t>
        </is>
      </c>
      <c r="K1661" t="inlineStr">
        <is>
          <t>SCHNEIDER</t>
        </is>
      </c>
      <c r="L1661">
        <f>_xlfn.XLOOKUP(Tableau1[[#This Row],[TYPE DE PIECE]],Tableau4[MATIERE],Tableau4[SHORT TYPE],"",0,1)</f>
        <v/>
      </c>
      <c r="N1661">
        <f>IF(ISERR(FIND("DECOUPE",Tableau1[[#This Row],[DESIGNATION]])),"","NEED REF")</f>
        <v/>
      </c>
    </row>
    <row r="1662">
      <c r="B1662" t="n">
        <v>34412339</v>
      </c>
      <c r="C1662" s="2" t="n">
        <v>45315</v>
      </c>
      <c r="D1662" t="inlineStr">
        <is>
          <t>SPEC</t>
        </is>
      </c>
      <c r="E1662">
        <f>_xlfn.CONCAT(Tableau1[[#This Row],[SHORT TYPE]]," ",Tableau1[[#This Row],[NUMERO]]," ",Tableau1[[#This Row],[GAMME]]," ",Tableau1[[#This Row],[TYPE PRODUIT]]," ",Tableau1[[#This Row],[PUISSANCE]])</f>
        <v/>
      </c>
      <c r="G1662" t="inlineStr">
        <is>
          <t>GVXL</t>
        </is>
      </c>
      <c r="H1662" t="inlineStr">
        <is>
          <t>BBC</t>
        </is>
      </c>
      <c r="I1662" t="inlineStr">
        <is>
          <t>4000A</t>
        </is>
      </c>
      <c r="J1662" t="inlineStr">
        <is>
          <t>MATRION</t>
        </is>
      </c>
      <c r="K1662" t="inlineStr">
        <is>
          <t>CUIVRE</t>
        </is>
      </c>
      <c r="L1662">
        <f>_xlfn.XLOOKUP(Tableau1[[#This Row],[TYPE DE PIECE]],Tableau4[MATIERE],Tableau4[SHORT TYPE],"",0,1)</f>
        <v/>
      </c>
      <c r="N1662">
        <f>IF(ISERR(FIND("DECOUPE",Tableau1[[#This Row],[DESIGNATION]])),"","NEED REF")</f>
        <v/>
      </c>
    </row>
    <row r="1663">
      <c r="B1663" t="n">
        <v>34412338</v>
      </c>
      <c r="C1663" s="2" t="n">
        <v>45315</v>
      </c>
      <c r="D1663" t="inlineStr">
        <is>
          <t>SPEC</t>
        </is>
      </c>
      <c r="E1663">
        <f>_xlfn.CONCAT(Tableau1[[#This Row],[SHORT TYPE]]," ",Tableau1[[#This Row],[NUMERO]]," ",Tableau1[[#This Row],[GAMME]]," ",Tableau1[[#This Row],[TYPE PRODUIT]]," ",Tableau1[[#This Row],[PUISSANCE]])</f>
        <v/>
      </c>
      <c r="G1663" t="inlineStr">
        <is>
          <t>GVXL</t>
        </is>
      </c>
      <c r="H1663" t="inlineStr">
        <is>
          <t>BBC</t>
        </is>
      </c>
      <c r="I1663" t="inlineStr">
        <is>
          <t>4000A</t>
        </is>
      </c>
      <c r="J1663" t="inlineStr">
        <is>
          <t>MATRION</t>
        </is>
      </c>
      <c r="K1663" t="inlineStr">
        <is>
          <t>CUIVRE</t>
        </is>
      </c>
      <c r="L1663">
        <f>_xlfn.XLOOKUP(Tableau1[[#This Row],[TYPE DE PIECE]],Tableau4[MATIERE],Tableau4[SHORT TYPE],"",0,1)</f>
        <v/>
      </c>
      <c r="N1663">
        <f>IF(ISERR(FIND("DECOUPE",Tableau1[[#This Row],[DESIGNATION]])),"","NEED REF")</f>
        <v/>
      </c>
    </row>
    <row r="1664">
      <c r="B1664" t="n">
        <v>34412337</v>
      </c>
      <c r="C1664" s="2" t="n">
        <v>45315</v>
      </c>
      <c r="D1664" t="inlineStr">
        <is>
          <t>SPEC</t>
        </is>
      </c>
      <c r="E1664">
        <f>_xlfn.CONCAT(Tableau1[[#This Row],[SHORT TYPE]]," ",Tableau1[[#This Row],[NUMERO]]," ",Tableau1[[#This Row],[GAMME]]," ",Tableau1[[#This Row],[TYPE PRODUIT]]," ",Tableau1[[#This Row],[PUISSANCE]])</f>
        <v/>
      </c>
      <c r="G1664" t="inlineStr">
        <is>
          <t>GVXL</t>
        </is>
      </c>
      <c r="H1664" t="inlineStr">
        <is>
          <t>BBC</t>
        </is>
      </c>
      <c r="I1664" t="inlineStr">
        <is>
          <t>4000A</t>
        </is>
      </c>
      <c r="J1664" t="inlineStr">
        <is>
          <t>MATRION</t>
        </is>
      </c>
      <c r="K1664" t="inlineStr">
        <is>
          <t>CUIVRE</t>
        </is>
      </c>
      <c r="L1664">
        <f>_xlfn.XLOOKUP(Tableau1[[#This Row],[TYPE DE PIECE]],Tableau4[MATIERE],Tableau4[SHORT TYPE],"",0,1)</f>
        <v/>
      </c>
      <c r="N1664">
        <f>IF(ISERR(FIND("DECOUPE",Tableau1[[#This Row],[DESIGNATION]])),"","NEED REF")</f>
        <v/>
      </c>
    </row>
    <row r="1665">
      <c r="B1665" t="n">
        <v>34412336</v>
      </c>
      <c r="C1665" s="2" t="n">
        <v>45314</v>
      </c>
      <c r="D1665" t="inlineStr">
        <is>
          <t>SPEC</t>
        </is>
      </c>
      <c r="E1665">
        <f>_xlfn.CONCAT(Tableau1[[#This Row],[SHORT TYPE]]," ",Tableau1[[#This Row],[NUMERO]]," ",Tableau1[[#This Row],[GAMME]]," ",Tableau1[[#This Row],[TYPE PRODUIT]]," ",Tableau1[[#This Row],[PUISSANCE]])</f>
        <v/>
      </c>
      <c r="G1665" t="inlineStr">
        <is>
          <t>GVXL</t>
        </is>
      </c>
      <c r="H1665" t="inlineStr">
        <is>
          <t>BBC</t>
        </is>
      </c>
      <c r="I1665" t="inlineStr">
        <is>
          <t>4000A</t>
        </is>
      </c>
      <c r="J1665" t="inlineStr">
        <is>
          <t>MATRION</t>
        </is>
      </c>
      <c r="K1665" t="inlineStr">
        <is>
          <t>PLASTIQUE</t>
        </is>
      </c>
      <c r="L1665">
        <f>_xlfn.XLOOKUP(Tableau1[[#This Row],[TYPE DE PIECE]],Tableau4[MATIERE],Tableau4[SHORT TYPE],"",0,1)</f>
        <v/>
      </c>
      <c r="N1665">
        <f>IF(ISERR(FIND("DECOUPE",Tableau1[[#This Row],[DESIGNATION]])),"","NEED REF")</f>
        <v/>
      </c>
    </row>
    <row r="1666">
      <c r="B1666" t="n">
        <v>34412335</v>
      </c>
      <c r="C1666" s="2" t="n">
        <v>45314</v>
      </c>
      <c r="D1666" t="inlineStr">
        <is>
          <t>SPEC</t>
        </is>
      </c>
      <c r="E1666">
        <f>_xlfn.CONCAT(Tableau1[[#This Row],[SHORT TYPE]]," ",Tableau1[[#This Row],[NUMERO]]," ",Tableau1[[#This Row],[GAMME]]," ",Tableau1[[#This Row],[TYPE PRODUIT]]," ",Tableau1[[#This Row],[PUISSANCE]])</f>
        <v/>
      </c>
      <c r="G1666" t="inlineStr">
        <is>
          <t>GVXL</t>
        </is>
      </c>
      <c r="H1666" t="inlineStr">
        <is>
          <t>BBC</t>
        </is>
      </c>
      <c r="I1666" t="inlineStr">
        <is>
          <t>4000A</t>
        </is>
      </c>
      <c r="J1666" t="inlineStr">
        <is>
          <t>MATRION</t>
        </is>
      </c>
      <c r="K1666" t="inlineStr">
        <is>
          <t>PLASTIQUE</t>
        </is>
      </c>
      <c r="L1666">
        <f>_xlfn.XLOOKUP(Tableau1[[#This Row],[TYPE DE PIECE]],Tableau4[MATIERE],Tableau4[SHORT TYPE],"",0,1)</f>
        <v/>
      </c>
      <c r="N1666">
        <f>IF(ISERR(FIND("DECOUPE",Tableau1[[#This Row],[DESIGNATION]])),"","NEED REF")</f>
        <v/>
      </c>
    </row>
    <row r="1667">
      <c r="B1667" t="n">
        <v>34412334</v>
      </c>
      <c r="C1667" s="2" t="n">
        <v>45314</v>
      </c>
      <c r="D1667" t="inlineStr">
        <is>
          <t>SPEC</t>
        </is>
      </c>
      <c r="E1667">
        <f>_xlfn.CONCAT(Tableau1[[#This Row],[SHORT TYPE]]," ",Tableau1[[#This Row],[NUMERO]]," ",Tableau1[[#This Row],[GAMME]]," ",Tableau1[[#This Row],[TYPE PRODUIT]]," ",Tableau1[[#This Row],[PUISSANCE]])</f>
        <v/>
      </c>
      <c r="G1667" t="inlineStr">
        <is>
          <t>GVXL</t>
        </is>
      </c>
      <c r="H1667" t="inlineStr">
        <is>
          <t>BBC</t>
        </is>
      </c>
      <c r="I1667" t="inlineStr">
        <is>
          <t>4000A</t>
        </is>
      </c>
      <c r="J1667" t="inlineStr">
        <is>
          <t>MATRION</t>
        </is>
      </c>
      <c r="K1667" t="inlineStr">
        <is>
          <t>METAL</t>
        </is>
      </c>
      <c r="L1667">
        <f>_xlfn.XLOOKUP(Tableau1[[#This Row],[TYPE DE PIECE]],Tableau4[MATIERE],Tableau4[SHORT TYPE],"",0,1)</f>
        <v/>
      </c>
      <c r="N1667">
        <f>IF(ISERR(FIND("DECOUPE",Tableau1[[#This Row],[DESIGNATION]])),"","NEED REF")</f>
        <v/>
      </c>
    </row>
    <row r="1668">
      <c r="B1668" t="n">
        <v>34412333</v>
      </c>
      <c r="C1668" s="2" t="n">
        <v>45314</v>
      </c>
      <c r="D1668" t="inlineStr">
        <is>
          <t>SPEC</t>
        </is>
      </c>
      <c r="E1668" t="inlineStr">
        <is>
          <t>CACHE COSSE ISOLANTE BATTERIE</t>
        </is>
      </c>
      <c r="J1668" t="inlineStr">
        <is>
          <t>BISIAUX</t>
        </is>
      </c>
      <c r="K1668" t="inlineStr">
        <is>
          <t>PLASTIQUE</t>
        </is>
      </c>
      <c r="L1668">
        <f>_xlfn.XLOOKUP(Tableau1[[#This Row],[TYPE DE PIECE]],Tableau4[MATIERE],Tableau4[SHORT TYPE],"",0,1)</f>
        <v/>
      </c>
      <c r="N1668">
        <f>IF(ISERR(FIND("DECOUPE",Tableau1[[#This Row],[DESIGNATION]])),"","NEED REF")</f>
        <v/>
      </c>
    </row>
    <row r="1669">
      <c r="B1669" t="n">
        <v>34412332</v>
      </c>
      <c r="C1669" s="2" t="n">
        <v>45314</v>
      </c>
      <c r="D1669" t="inlineStr">
        <is>
          <t>SPEC</t>
        </is>
      </c>
      <c r="E1669">
        <f>_xlfn.CONCAT(Tableau1[[#This Row],[SHORT TYPE]]," ",Tableau1[[#This Row],[NUMERO]]," ",Tableau1[[#This Row],[GAMME]]," ",Tableau1[[#This Row],[TYPE PRODUIT]]," ",Tableau1[[#This Row],[PUISSANCE]])</f>
        <v/>
      </c>
      <c r="G1669" t="inlineStr">
        <is>
          <t>GVXL</t>
        </is>
      </c>
      <c r="H1669" t="inlineStr">
        <is>
          <t>BBC</t>
        </is>
      </c>
      <c r="I1669" t="inlineStr">
        <is>
          <t>4000A</t>
        </is>
      </c>
      <c r="J1669" t="inlineStr">
        <is>
          <t>MATRION</t>
        </is>
      </c>
      <c r="K1669" t="inlineStr">
        <is>
          <t>PLASTIQUE</t>
        </is>
      </c>
      <c r="L1669">
        <f>_xlfn.XLOOKUP(Tableau1[[#This Row],[TYPE DE PIECE]],Tableau4[MATIERE],Tableau4[SHORT TYPE],"",0,1)</f>
        <v/>
      </c>
      <c r="N1669">
        <f>IF(ISERR(FIND("DECOUPE",Tableau1[[#This Row],[DESIGNATION]])),"","NEED REF")</f>
        <v/>
      </c>
    </row>
    <row r="1670">
      <c r="B1670" t="n">
        <v>34412331</v>
      </c>
      <c r="C1670" s="2" t="n">
        <v>45313</v>
      </c>
      <c r="D1670" t="inlineStr">
        <is>
          <t>SPEC</t>
        </is>
      </c>
      <c r="E1670" t="inlineStr">
        <is>
          <t>SE 34412331 NW20HDC-E MN 24Vcc GVXL BBC 2000A</t>
        </is>
      </c>
      <c r="G1670" t="inlineStr">
        <is>
          <t>GVXL</t>
        </is>
      </c>
      <c r="H1670" t="inlineStr">
        <is>
          <t>BBC</t>
        </is>
      </c>
      <c r="I1670" t="inlineStr">
        <is>
          <t>2000A</t>
        </is>
      </c>
      <c r="J1670" t="inlineStr">
        <is>
          <t>MATRION</t>
        </is>
      </c>
      <c r="K1670" t="inlineStr">
        <is>
          <t>SCHNEIDER</t>
        </is>
      </c>
      <c r="L1670">
        <f>_xlfn.XLOOKUP(Tableau1[[#This Row],[TYPE DE PIECE]],Tableau4[MATIERE],Tableau4[SHORT TYPE],"",0,1)</f>
        <v/>
      </c>
      <c r="N1670">
        <f>IF(ISERR(FIND("DECOUPE",Tableau1[[#This Row],[DESIGNATION]])),"","NEED REF")</f>
        <v/>
      </c>
    </row>
    <row r="1671">
      <c r="B1671" t="n">
        <v>34412330</v>
      </c>
      <c r="C1671" s="2" t="n">
        <v>45313</v>
      </c>
      <c r="D1671" t="inlineStr">
        <is>
          <t>SPEC</t>
        </is>
      </c>
      <c r="E1671" t="inlineStr">
        <is>
          <t>SE 34412330 NW40HDC-E MN 24Vcc GVXL BBC 4000A</t>
        </is>
      </c>
      <c r="G1671" t="inlineStr">
        <is>
          <t>GVXL</t>
        </is>
      </c>
      <c r="H1671" t="inlineStr">
        <is>
          <t>BBC</t>
        </is>
      </c>
      <c r="I1671" t="inlineStr">
        <is>
          <t>4000A</t>
        </is>
      </c>
      <c r="J1671" t="inlineStr">
        <is>
          <t>MATRION</t>
        </is>
      </c>
      <c r="K1671" t="inlineStr">
        <is>
          <t>SCHNEIDER</t>
        </is>
      </c>
      <c r="L1671">
        <f>_xlfn.XLOOKUP(Tableau1[[#This Row],[TYPE DE PIECE]],Tableau4[MATIERE],Tableau4[SHORT TYPE],"",0,1)</f>
        <v/>
      </c>
      <c r="N1671">
        <f>IF(ISERR(FIND("DECOUPE",Tableau1[[#This Row],[DESIGNATION]])),"","NEED REF")</f>
        <v/>
      </c>
    </row>
    <row r="1672">
      <c r="B1672" t="n">
        <v>34412329</v>
      </c>
      <c r="C1672" s="2" t="n">
        <v>45309</v>
      </c>
      <c r="D1672" t="inlineStr">
        <is>
          <t>SPEC</t>
        </is>
      </c>
      <c r="E1672" t="inlineStr">
        <is>
          <t>BOM BACK BUSBAR - STS1250A BACK</t>
        </is>
      </c>
      <c r="H1672" t="inlineStr">
        <is>
          <t>STS</t>
        </is>
      </c>
      <c r="I1672" t="inlineStr">
        <is>
          <t>1250A</t>
        </is>
      </c>
      <c r="J1672" t="inlineStr">
        <is>
          <t>MATRION</t>
        </is>
      </c>
      <c r="K1672" t="inlineStr">
        <is>
          <t>NOM</t>
        </is>
      </c>
      <c r="L1672">
        <f>_xlfn.XLOOKUP(Tableau1[[#This Row],[TYPE DE PIECE]],Tableau4[MATIERE],Tableau4[SHORT TYPE],"",0,1)</f>
        <v/>
      </c>
      <c r="N1672">
        <f>IF(ISERR(FIND("DECOUPE",Tableau1[[#This Row],[DESIGNATION]])),"","NEED REF")</f>
        <v/>
      </c>
    </row>
    <row r="1673">
      <c r="B1673" t="n">
        <v>34412328</v>
      </c>
      <c r="C1673" s="2" t="n">
        <v>45309</v>
      </c>
      <c r="D1673" t="inlineStr">
        <is>
          <t>SPEC</t>
        </is>
      </c>
      <c r="E1673" t="inlineStr">
        <is>
          <t>BOM BACK FRAME3 - STS1250A BACK</t>
        </is>
      </c>
      <c r="H1673" t="inlineStr">
        <is>
          <t>STS</t>
        </is>
      </c>
      <c r="I1673" t="inlineStr">
        <is>
          <t>1250A</t>
        </is>
      </c>
      <c r="J1673" t="inlineStr">
        <is>
          <t>MATRION</t>
        </is>
      </c>
      <c r="K1673" t="inlineStr">
        <is>
          <t>NOM</t>
        </is>
      </c>
      <c r="L1673">
        <f>_xlfn.XLOOKUP(Tableau1[[#This Row],[TYPE DE PIECE]],Tableau4[MATIERE],Tableau4[SHORT TYPE],"",0,1)</f>
        <v/>
      </c>
      <c r="N1673">
        <f>IF(ISERR(FIND("DECOUPE",Tableau1[[#This Row],[DESIGNATION]])),"","NEED REF")</f>
        <v/>
      </c>
    </row>
    <row r="1674">
      <c r="B1674" t="n">
        <v>34412327</v>
      </c>
      <c r="C1674" s="2" t="n">
        <v>45309</v>
      </c>
      <c r="D1674" t="inlineStr">
        <is>
          <t>SPEC</t>
        </is>
      </c>
      <c r="E1674">
        <f>_xlfn.CONCAT(Tableau1[[#This Row],[SHORT TYPE]]," ",Tableau1[[#This Row],[NUMERO]]," ",Tableau1[[#This Row],[GAMME]]," ",Tableau1[[#This Row],[TYPE PRODUIT]]," ",Tableau1[[#This Row],[PUISSANCE]])</f>
        <v/>
      </c>
      <c r="H1674" t="inlineStr">
        <is>
          <t>STS</t>
        </is>
      </c>
      <c r="I1674" t="inlineStr">
        <is>
          <t>1250A</t>
        </is>
      </c>
      <c r="J1674" t="inlineStr">
        <is>
          <t>MATRION</t>
        </is>
      </c>
      <c r="K1674" t="inlineStr">
        <is>
          <t>CUIVRE</t>
        </is>
      </c>
      <c r="L1674">
        <f>_xlfn.XLOOKUP(Tableau1[[#This Row],[TYPE DE PIECE]],Tableau4[MATIERE],Tableau4[SHORT TYPE],"",0,1)</f>
        <v/>
      </c>
      <c r="N1674">
        <f>IF(ISERR(FIND("DECOUPE",Tableau1[[#This Row],[DESIGNATION]])),"","NEED REF")</f>
        <v/>
      </c>
    </row>
    <row r="1675">
      <c r="B1675" t="n">
        <v>34412326</v>
      </c>
      <c r="C1675" s="2" t="n">
        <v>45309</v>
      </c>
      <c r="D1675" t="inlineStr">
        <is>
          <t>SPEC</t>
        </is>
      </c>
      <c r="E1675" t="inlineStr">
        <is>
          <t>SMT PLASTRON MTZ2 GVEAC7</t>
        </is>
      </c>
      <c r="G1675" t="inlineStr">
        <is>
          <t>E3L</t>
        </is>
      </c>
      <c r="H1675" t="inlineStr">
        <is>
          <t>BYPASS</t>
        </is>
      </c>
      <c r="J1675" t="inlineStr">
        <is>
          <t>BERNARDEAU</t>
        </is>
      </c>
      <c r="K1675" t="inlineStr">
        <is>
          <t>METAL</t>
        </is>
      </c>
      <c r="L1675">
        <f>_xlfn.XLOOKUP(Tableau1[[#This Row],[TYPE DE PIECE]],Tableau4[MATIERE],Tableau4[SHORT TYPE],"",0,1)</f>
        <v/>
      </c>
      <c r="N1675">
        <f>IF(ISERR(FIND("DECOUPE",Tableau1[[#This Row],[DESIGNATION]])),"","NEED REF")</f>
        <v/>
      </c>
    </row>
    <row r="1676">
      <c r="B1676" t="n">
        <v>34412325</v>
      </c>
      <c r="C1676" s="2" t="n">
        <v>45309</v>
      </c>
      <c r="D1676" t="inlineStr">
        <is>
          <t>SPEC</t>
        </is>
      </c>
      <c r="E1676" t="inlineStr">
        <is>
          <t>SMT PLASTRON 2NS800 GVEAC7</t>
        </is>
      </c>
      <c r="G1676" t="inlineStr">
        <is>
          <t>E3L</t>
        </is>
      </c>
      <c r="H1676" t="inlineStr">
        <is>
          <t>BYPASS</t>
        </is>
      </c>
      <c r="J1676" t="inlineStr">
        <is>
          <t>BERNARDEAU</t>
        </is>
      </c>
      <c r="K1676" t="inlineStr">
        <is>
          <t>METAL</t>
        </is>
      </c>
      <c r="L1676">
        <f>_xlfn.XLOOKUP(Tableau1[[#This Row],[TYPE DE PIECE]],Tableau4[MATIERE],Tableau4[SHORT TYPE],"",0,1)</f>
        <v/>
      </c>
      <c r="N1676">
        <f>IF(ISERR(FIND("DECOUPE",Tableau1[[#This Row],[DESIGNATION]])),"","NEED REF")</f>
        <v/>
      </c>
    </row>
    <row r="1677">
      <c r="B1677" t="n">
        <v>34412324</v>
      </c>
      <c r="C1677" s="2" t="n">
        <v>45309</v>
      </c>
      <c r="D1677" t="inlineStr">
        <is>
          <t>SPEC</t>
        </is>
      </c>
      <c r="E1677" t="inlineStr">
        <is>
          <t>SMT RAIL CABLE FIXATION</t>
        </is>
      </c>
      <c r="G1677" t="inlineStr">
        <is>
          <t>GVX</t>
        </is>
      </c>
      <c r="H1677" t="inlineStr">
        <is>
          <t>BBB</t>
        </is>
      </c>
      <c r="I1677" t="inlineStr">
        <is>
          <t>630A</t>
        </is>
      </c>
      <c r="J1677" t="inlineStr">
        <is>
          <t>JAWORSKI</t>
        </is>
      </c>
      <c r="K1677" t="inlineStr">
        <is>
          <t>METAL</t>
        </is>
      </c>
      <c r="L1677">
        <f>_xlfn.XLOOKUP(Tableau1[[#This Row],[TYPE DE PIECE]],Tableau4[MATIERE],Tableau4[SHORT TYPE],"",0,1)</f>
        <v/>
      </c>
      <c r="N1677">
        <f>IF(ISERR(FIND("DECOUPE",Tableau1[[#This Row],[DESIGNATION]])),"","NEED REF")</f>
        <v/>
      </c>
    </row>
    <row r="1678">
      <c r="B1678" t="n">
        <v>34412323</v>
      </c>
      <c r="C1678" s="2" t="n">
        <v>45309</v>
      </c>
      <c r="D1678" t="inlineStr">
        <is>
          <t>SPEC</t>
        </is>
      </c>
      <c r="E1678">
        <f>_xlfn.CONCAT(Tableau1[[#This Row],[SHORT TYPE]]," ",Tableau1[[#This Row],[NUMERO]]," ",Tableau1[[#This Row],[GAMME]]," ",Tableau1[[#This Row],[TYPE PRODUIT]]," ",Tableau1[[#This Row],[PUISSANCE]])</f>
        <v/>
      </c>
      <c r="H1678" t="inlineStr">
        <is>
          <t>STS</t>
        </is>
      </c>
      <c r="I1678" t="inlineStr">
        <is>
          <t>1250A</t>
        </is>
      </c>
      <c r="J1678" t="inlineStr">
        <is>
          <t>MATRION</t>
        </is>
      </c>
      <c r="K1678" t="inlineStr">
        <is>
          <t>CUIVRE</t>
        </is>
      </c>
      <c r="L1678">
        <f>_xlfn.XLOOKUP(Tableau1[[#This Row],[TYPE DE PIECE]],Tableau4[MATIERE],Tableau4[SHORT TYPE],"",0,1)</f>
        <v/>
      </c>
      <c r="N1678">
        <f>IF(ISERR(FIND("DECOUPE",Tableau1[[#This Row],[DESIGNATION]])),"","NEED REF")</f>
        <v/>
      </c>
    </row>
    <row r="1679">
      <c r="B1679" t="n">
        <v>34412322</v>
      </c>
      <c r="C1679" s="2" t="n">
        <v>45309</v>
      </c>
      <c r="D1679" t="inlineStr">
        <is>
          <t>SPEC</t>
        </is>
      </c>
      <c r="E1679">
        <f>_xlfn.CONCAT(Tableau1[[#This Row],[SHORT TYPE]]," ",Tableau1[[#This Row],[NUMERO]]," ",Tableau1[[#This Row],[GAMME]]," ",Tableau1[[#This Row],[TYPE PRODUIT]]," ",Tableau1[[#This Row],[PUISSANCE]])</f>
        <v/>
      </c>
      <c r="H1679" t="inlineStr">
        <is>
          <t>STS</t>
        </is>
      </c>
      <c r="I1679" t="inlineStr">
        <is>
          <t>1250A</t>
        </is>
      </c>
      <c r="J1679" t="inlineStr">
        <is>
          <t>MATRION</t>
        </is>
      </c>
      <c r="K1679" t="inlineStr">
        <is>
          <t>CUIVRE</t>
        </is>
      </c>
      <c r="L1679">
        <f>_xlfn.XLOOKUP(Tableau1[[#This Row],[TYPE DE PIECE]],Tableau4[MATIERE],Tableau4[SHORT TYPE],"",0,1)</f>
        <v/>
      </c>
      <c r="N1679">
        <f>IF(ISERR(FIND("DECOUPE",Tableau1[[#This Row],[DESIGNATION]])),"","NEED REF")</f>
        <v/>
      </c>
    </row>
    <row r="1680">
      <c r="B1680" t="n">
        <v>34412321</v>
      </c>
      <c r="C1680" s="2" t="n">
        <v>45309</v>
      </c>
      <c r="D1680" t="inlineStr">
        <is>
          <t>SPEC</t>
        </is>
      </c>
      <c r="E1680" t="inlineStr">
        <is>
          <t>BOM BYPASS 4P NNC - STS1250A BACK</t>
        </is>
      </c>
      <c r="H1680" t="inlineStr">
        <is>
          <t>STS</t>
        </is>
      </c>
      <c r="I1680" t="inlineStr">
        <is>
          <t>1250A</t>
        </is>
      </c>
      <c r="J1680" t="inlineStr">
        <is>
          <t>MATRION</t>
        </is>
      </c>
      <c r="K1680" t="inlineStr">
        <is>
          <t>NOM</t>
        </is>
      </c>
      <c r="L1680">
        <f>_xlfn.XLOOKUP(Tableau1[[#This Row],[TYPE DE PIECE]],Tableau4[MATIERE],Tableau4[SHORT TYPE],"",0,1)</f>
        <v/>
      </c>
      <c r="N1680">
        <f>IF(ISERR(FIND("DECOUPE",Tableau1[[#This Row],[DESIGNATION]])),"","NEED REF")</f>
        <v/>
      </c>
    </row>
    <row r="1681">
      <c r="B1681" t="n">
        <v>34412320</v>
      </c>
      <c r="C1681" s="2" t="n">
        <v>45309</v>
      </c>
      <c r="D1681" t="inlineStr">
        <is>
          <t>SPEC</t>
        </is>
      </c>
      <c r="E1681" t="inlineStr">
        <is>
          <t>BOM BYPASS 4P NC - STS1250A BACK</t>
        </is>
      </c>
      <c r="H1681" t="inlineStr">
        <is>
          <t>STS</t>
        </is>
      </c>
      <c r="I1681" t="inlineStr">
        <is>
          <t>1250A</t>
        </is>
      </c>
      <c r="J1681" t="inlineStr">
        <is>
          <t>MATRION</t>
        </is>
      </c>
      <c r="K1681" t="inlineStr">
        <is>
          <t>NOM</t>
        </is>
      </c>
      <c r="L1681">
        <f>_xlfn.XLOOKUP(Tableau1[[#This Row],[TYPE DE PIECE]],Tableau4[MATIERE],Tableau4[SHORT TYPE],"",0,1)</f>
        <v/>
      </c>
      <c r="N1681">
        <f>IF(ISERR(FIND("DECOUPE",Tableau1[[#This Row],[DESIGNATION]])),"","NEED REF")</f>
        <v/>
      </c>
    </row>
    <row r="1682">
      <c r="B1682" t="n">
        <v>34412319</v>
      </c>
      <c r="C1682" s="2" t="n">
        <v>45308</v>
      </c>
      <c r="D1682" t="inlineStr">
        <is>
          <t>SPEC</t>
        </is>
      </c>
      <c r="E1682" t="inlineStr">
        <is>
          <t>COP CUIVRE DE JONCTION NSX</t>
        </is>
      </c>
      <c r="G1682" t="inlineStr">
        <is>
          <t>GVS</t>
        </is>
      </c>
      <c r="H1682" t="inlineStr">
        <is>
          <t>BYPASS</t>
        </is>
      </c>
      <c r="J1682" t="inlineStr">
        <is>
          <t>BERNARDEAU</t>
        </is>
      </c>
      <c r="K1682" t="inlineStr">
        <is>
          <t>METAL</t>
        </is>
      </c>
      <c r="L1682">
        <f>_xlfn.XLOOKUP(Tableau1[[#This Row],[TYPE DE PIECE]],Tableau4[MATIERE],Tableau4[SHORT TYPE],"",0,1)</f>
        <v/>
      </c>
      <c r="N1682">
        <f>IF(ISERR(FIND("DECOUPE",Tableau1[[#This Row],[DESIGNATION]])),"","NEED REF")</f>
        <v/>
      </c>
    </row>
    <row r="1683">
      <c r="B1683" t="n">
        <v>34412318</v>
      </c>
      <c r="C1683" s="2" t="n">
        <v>45308</v>
      </c>
      <c r="D1683" t="inlineStr">
        <is>
          <t>SPEC</t>
        </is>
      </c>
      <c r="E1683" t="inlineStr">
        <is>
          <t>BOM 34412318  STS 1250A SA RC S2</t>
        </is>
      </c>
      <c r="H1683" t="inlineStr">
        <is>
          <t>STS</t>
        </is>
      </c>
      <c r="I1683" t="inlineStr">
        <is>
          <t>1250A</t>
        </is>
      </c>
      <c r="J1683" t="inlineStr">
        <is>
          <t>MATRION</t>
        </is>
      </c>
      <c r="K1683" t="inlineStr">
        <is>
          <t>NOM</t>
        </is>
      </c>
      <c r="L1683">
        <f>_xlfn.XLOOKUP(Tableau1[[#This Row],[TYPE DE PIECE]],Tableau4[MATIERE],Tableau4[SHORT TYPE],"",0,1)</f>
        <v/>
      </c>
      <c r="N1683">
        <f>IF(ISERR(FIND("DECOUPE",Tableau1[[#This Row],[DESIGNATION]])),"","NEED REF")</f>
        <v/>
      </c>
    </row>
    <row r="1684">
      <c r="B1684" t="n">
        <v>34412317</v>
      </c>
      <c r="C1684" s="2" t="n">
        <v>45308</v>
      </c>
      <c r="D1684" t="inlineStr">
        <is>
          <t>SPEC</t>
        </is>
      </c>
      <c r="E1684" t="inlineStr">
        <is>
          <t>BOM 34412317  STS 1250A SA RC S1</t>
        </is>
      </c>
      <c r="H1684" t="inlineStr">
        <is>
          <t>STS</t>
        </is>
      </c>
      <c r="I1684" t="inlineStr">
        <is>
          <t>1250A</t>
        </is>
      </c>
      <c r="J1684" t="inlineStr">
        <is>
          <t>MATRION</t>
        </is>
      </c>
      <c r="K1684" t="inlineStr">
        <is>
          <t>NOM</t>
        </is>
      </c>
      <c r="L1684">
        <f>_xlfn.XLOOKUP(Tableau1[[#This Row],[TYPE DE PIECE]],Tableau4[MATIERE],Tableau4[SHORT TYPE],"",0,1)</f>
        <v/>
      </c>
      <c r="N1684">
        <f>IF(ISERR(FIND("DECOUPE",Tableau1[[#This Row],[DESIGNATION]])),"","NEED REF")</f>
        <v/>
      </c>
    </row>
    <row r="1685">
      <c r="B1685" t="n">
        <v>34412316</v>
      </c>
      <c r="C1685" s="2" t="n">
        <v>45306</v>
      </c>
      <c r="D1685" t="inlineStr">
        <is>
          <t>SPEC</t>
        </is>
      </c>
      <c r="E1685" t="inlineStr">
        <is>
          <t>SMT 34412316  STS 1250A PLATEAU RC</t>
        </is>
      </c>
      <c r="H1685" t="inlineStr">
        <is>
          <t>STS</t>
        </is>
      </c>
      <c r="I1685" t="inlineStr">
        <is>
          <t>1250A</t>
        </is>
      </c>
      <c r="J1685" t="inlineStr">
        <is>
          <t>MATRION</t>
        </is>
      </c>
      <c r="K1685" t="inlineStr">
        <is>
          <t>METAL</t>
        </is>
      </c>
      <c r="L1685">
        <f>_xlfn.XLOOKUP(Tableau1[[#This Row],[TYPE DE PIECE]],Tableau4[MATIERE],Tableau4[SHORT TYPE],"",0,1)</f>
        <v/>
      </c>
      <c r="N1685">
        <f>IF(ISERR(FIND("DECOUPE",Tableau1[[#This Row],[DESIGNATION]])),"","NEED REF")</f>
        <v/>
      </c>
    </row>
    <row r="1686">
      <c r="B1686" t="n">
        <v>34412315</v>
      </c>
      <c r="C1686" s="2" t="n">
        <v>45306</v>
      </c>
      <c r="D1686" t="inlineStr">
        <is>
          <t>SPEC</t>
        </is>
      </c>
      <c r="E1686" t="inlineStr">
        <is>
          <t>SMT DECOUPE RAIL DIN NSYSDR200 LG250</t>
        </is>
      </c>
      <c r="J1686" t="inlineStr">
        <is>
          <t>BERNARDEAU</t>
        </is>
      </c>
      <c r="K1686" t="inlineStr">
        <is>
          <t>ETO</t>
        </is>
      </c>
      <c r="L1686">
        <f>_xlfn.XLOOKUP(Tableau1[[#This Row],[TYPE DE PIECE]],Tableau4[MATIERE],Tableau4[SHORT TYPE],"",0,1)</f>
        <v/>
      </c>
      <c r="N1686" t="inlineStr">
        <is>
          <t>NSYSDR200</t>
        </is>
      </c>
    </row>
    <row r="1687">
      <c r="B1687" t="n">
        <v>34412314</v>
      </c>
      <c r="C1687" s="2" t="n">
        <v>45303</v>
      </c>
      <c r="D1687" t="inlineStr">
        <is>
          <t>SPEC</t>
        </is>
      </c>
      <c r="E1687" t="inlineStr">
        <is>
          <t>SMT 34412313  STS 1250A PLATINE RC S2</t>
        </is>
      </c>
      <c r="H1687" t="inlineStr">
        <is>
          <t>STS</t>
        </is>
      </c>
      <c r="I1687" t="inlineStr">
        <is>
          <t>1250A</t>
        </is>
      </c>
      <c r="J1687" t="inlineStr">
        <is>
          <t>MATRION</t>
        </is>
      </c>
      <c r="K1687" t="inlineStr">
        <is>
          <t>METAL</t>
        </is>
      </c>
      <c r="L1687">
        <f>_xlfn.XLOOKUP(Tableau1[[#This Row],[TYPE DE PIECE]],Tableau4[MATIERE],Tableau4[SHORT TYPE],"",0,1)</f>
        <v/>
      </c>
      <c r="N1687">
        <f>IF(ISERR(FIND("DECOUPE",Tableau1[[#This Row],[DESIGNATION]])),"","NEED REF")</f>
        <v/>
      </c>
    </row>
    <row r="1688">
      <c r="B1688" t="n">
        <v>34412313</v>
      </c>
      <c r="C1688" s="2" t="n">
        <v>45303</v>
      </c>
      <c r="D1688" t="inlineStr">
        <is>
          <t>SPEC</t>
        </is>
      </c>
      <c r="E1688" t="inlineStr">
        <is>
          <t>SMT 34412313  STS 1250A PLATINE RC S1</t>
        </is>
      </c>
      <c r="H1688" t="inlineStr">
        <is>
          <t>STS</t>
        </is>
      </c>
      <c r="I1688" t="inlineStr">
        <is>
          <t>1250A</t>
        </is>
      </c>
      <c r="J1688" t="inlineStr">
        <is>
          <t>MATRION</t>
        </is>
      </c>
      <c r="K1688" t="inlineStr">
        <is>
          <t>METAL</t>
        </is>
      </c>
      <c r="L1688">
        <f>_xlfn.XLOOKUP(Tableau1[[#This Row],[TYPE DE PIECE]],Tableau4[MATIERE],Tableau4[SHORT TYPE],"",0,1)</f>
        <v/>
      </c>
      <c r="N1688">
        <f>IF(ISERR(FIND("DECOUPE",Tableau1[[#This Row],[DESIGNATION]])),"","NEED REF")</f>
        <v/>
      </c>
    </row>
    <row r="1689">
      <c r="B1689" t="n">
        <v>34412312</v>
      </c>
      <c r="C1689" s="2" t="n">
        <v>45302</v>
      </c>
      <c r="D1689" t="inlineStr">
        <is>
          <t>SPEC</t>
        </is>
      </c>
      <c r="E1689" t="inlineStr">
        <is>
          <t>DECOUPE CABLOFIL CF54300EZ LG 1500</t>
        </is>
      </c>
      <c r="J1689" t="inlineStr">
        <is>
          <t>BERNARDEAU</t>
        </is>
      </c>
      <c r="K1689" t="inlineStr">
        <is>
          <t>ETO</t>
        </is>
      </c>
      <c r="L1689">
        <f>_xlfn.XLOOKUP(Tableau1[[#This Row],[TYPE DE PIECE]],Tableau4[MATIERE],Tableau4[SHORT TYPE],"",0,1)</f>
        <v/>
      </c>
      <c r="N1689" t="inlineStr">
        <is>
          <t>CF54300EZ</t>
        </is>
      </c>
    </row>
    <row r="1690">
      <c r="B1690" t="n">
        <v>34412311</v>
      </c>
      <c r="C1690" s="2" t="n">
        <v>45302</v>
      </c>
      <c r="D1690" t="inlineStr">
        <is>
          <t>SPEC</t>
        </is>
      </c>
      <c r="E1690" t="inlineStr">
        <is>
          <t>SMT 34412311  STS 1250A PLATINE 2xRC</t>
        </is>
      </c>
      <c r="H1690" t="inlineStr">
        <is>
          <t>STS</t>
        </is>
      </c>
      <c r="I1690" t="inlineStr">
        <is>
          <t>1250A</t>
        </is>
      </c>
      <c r="J1690" t="inlineStr">
        <is>
          <t>MATRION</t>
        </is>
      </c>
      <c r="K1690" t="inlineStr">
        <is>
          <t>METAL</t>
        </is>
      </c>
      <c r="L1690">
        <f>_xlfn.XLOOKUP(Tableau1[[#This Row],[TYPE DE PIECE]],Tableau4[MATIERE],Tableau4[SHORT TYPE],"",0,1)</f>
        <v/>
      </c>
      <c r="N1690">
        <f>IF(ISERR(FIND("DECOUPE",Tableau1[[#This Row],[DESIGNATION]])),"","NEED REF")</f>
        <v/>
      </c>
    </row>
    <row r="1691">
      <c r="B1691" t="n">
        <v>34412310</v>
      </c>
      <c r="C1691" s="2" t="n">
        <v>45301</v>
      </c>
      <c r="D1691" t="inlineStr">
        <is>
          <t>SPEC</t>
        </is>
      </c>
      <c r="E1691" t="inlineStr">
        <is>
          <t>WIR kit RC module S1</t>
        </is>
      </c>
      <c r="H1691" t="inlineStr">
        <is>
          <t>STS</t>
        </is>
      </c>
      <c r="I1691" t="inlineStr">
        <is>
          <t>1250A</t>
        </is>
      </c>
      <c r="J1691" t="inlineStr">
        <is>
          <t>MATRION</t>
        </is>
      </c>
      <c r="K1691" t="inlineStr">
        <is>
          <t>FILERIE</t>
        </is>
      </c>
      <c r="L1691">
        <f>_xlfn.XLOOKUP(Tableau1[[#This Row],[TYPE DE PIECE]],Tableau4[MATIERE],Tableau4[SHORT TYPE],"",0,1)</f>
        <v/>
      </c>
      <c r="N1691">
        <f>IF(ISERR(FIND("DECOUPE",Tableau1[[#This Row],[DESIGNATION]])),"","NEED REF")</f>
        <v/>
      </c>
    </row>
    <row r="1692">
      <c r="B1692" t="n">
        <v>34412309</v>
      </c>
      <c r="C1692" s="2" t="n">
        <v>45301</v>
      </c>
      <c r="D1692" t="inlineStr">
        <is>
          <t>SPEC</t>
        </is>
      </c>
      <c r="E1692" t="inlineStr">
        <is>
          <t>SMT PLASTRON NSX GVEAC10</t>
        </is>
      </c>
      <c r="G1692" t="inlineStr">
        <is>
          <t>gvs</t>
        </is>
      </c>
      <c r="H1692" t="inlineStr">
        <is>
          <t>BYPASS</t>
        </is>
      </c>
      <c r="J1692" t="inlineStr">
        <is>
          <t>BERNARDEAU</t>
        </is>
      </c>
      <c r="K1692" t="inlineStr">
        <is>
          <t>METAL</t>
        </is>
      </c>
      <c r="L1692">
        <f>_xlfn.XLOOKUP(Tableau1[[#This Row],[TYPE DE PIECE]],Tableau4[MATIERE],Tableau4[SHORT TYPE],"",0,1)</f>
        <v/>
      </c>
      <c r="N1692">
        <f>IF(ISERR(FIND("DECOUPE",Tableau1[[#This Row],[DESIGNATION]])),"","NEED REF")</f>
        <v/>
      </c>
    </row>
    <row r="1693">
      <c r="B1693" t="n">
        <v>34412308</v>
      </c>
      <c r="C1693" s="2" t="n">
        <v>45281</v>
      </c>
      <c r="D1693" t="inlineStr">
        <is>
          <t>SPEC</t>
        </is>
      </c>
      <c r="E1693" t="inlineStr">
        <is>
          <t>SMT PLASTRON</t>
        </is>
      </c>
      <c r="G1693" t="inlineStr">
        <is>
          <t>GVS</t>
        </is>
      </c>
      <c r="H1693" t="inlineStr">
        <is>
          <t>BYPASS</t>
        </is>
      </c>
      <c r="J1693" t="inlineStr">
        <is>
          <t>BERNARDEAU</t>
        </is>
      </c>
      <c r="K1693" t="inlineStr">
        <is>
          <t>METAL</t>
        </is>
      </c>
      <c r="L1693">
        <f>_xlfn.XLOOKUP(Tableau1[[#This Row],[TYPE DE PIECE]],Tableau4[MATIERE],Tableau4[SHORT TYPE],"",0,1)</f>
        <v/>
      </c>
      <c r="N1693">
        <f>IF(ISERR(FIND("DECOUPE",Tableau1[[#This Row],[DESIGNATION]])),"","NEED REF")</f>
        <v/>
      </c>
    </row>
    <row r="1694">
      <c r="B1694" t="n">
        <v>34412307</v>
      </c>
      <c r="C1694" s="2" t="n">
        <v>45281</v>
      </c>
      <c r="D1694" t="inlineStr">
        <is>
          <t>SPEC</t>
        </is>
      </c>
      <c r="E1694" t="inlineStr">
        <is>
          <t>CB / NS800L 3P MICRO 5.0E PRISE AR H</t>
        </is>
      </c>
      <c r="G1694" t="inlineStr">
        <is>
          <t>GVX</t>
        </is>
      </c>
      <c r="H1694" t="inlineStr">
        <is>
          <t>BYPASS</t>
        </is>
      </c>
      <c r="I1694" t="inlineStr">
        <is>
          <t>1000KVA</t>
        </is>
      </c>
      <c r="J1694" t="inlineStr">
        <is>
          <t>JAWORSKI</t>
        </is>
      </c>
      <c r="K1694" t="inlineStr">
        <is>
          <t>SCHNEIDER</t>
        </is>
      </c>
      <c r="L1694">
        <f>_xlfn.XLOOKUP(Tableau1[[#This Row],[TYPE DE PIECE]],Tableau4[MATIERE],Tableau4[SHORT TYPE],"",0,1)</f>
        <v/>
      </c>
      <c r="N1694">
        <f>IF(ISERR(FIND("DECOUPE",Tableau1[[#This Row],[DESIGNATION]])),"","NEED REF")</f>
        <v/>
      </c>
    </row>
    <row r="1695">
      <c r="B1695" t="n">
        <v>34412306</v>
      </c>
      <c r="C1695" s="2" t="n">
        <v>45279</v>
      </c>
      <c r="D1695" t="inlineStr">
        <is>
          <t>SPEC</t>
        </is>
      </c>
      <c r="E1695" t="inlineStr">
        <is>
          <t>SMT SUPPORT LATERAL =S= 04662</t>
        </is>
      </c>
      <c r="G1695" t="inlineStr">
        <is>
          <t>gvl</t>
        </is>
      </c>
      <c r="H1695" t="inlineStr">
        <is>
          <t>BYPASS</t>
        </is>
      </c>
      <c r="J1695" t="inlineStr">
        <is>
          <t>BERNARDEAU</t>
        </is>
      </c>
      <c r="K1695" t="inlineStr">
        <is>
          <t>METAL</t>
        </is>
      </c>
      <c r="L1695">
        <f>_xlfn.XLOOKUP(Tableau1[[#This Row],[TYPE DE PIECE]],Tableau4[MATIERE],Tableau4[SHORT TYPE],"",0,1)</f>
        <v/>
      </c>
      <c r="N1695">
        <f>IF(ISERR(FIND("DECOUPE",Tableau1[[#This Row],[DESIGNATION]])),"","NEED REF")</f>
        <v/>
      </c>
    </row>
    <row r="1696">
      <c r="B1696" t="n">
        <v>34412305</v>
      </c>
      <c r="C1696" s="2" t="n">
        <v>45279</v>
      </c>
      <c r="D1696" t="inlineStr">
        <is>
          <t>SPEC</t>
        </is>
      </c>
      <c r="E1696" t="inlineStr">
        <is>
          <t>PLA PLAQUE DE MAINTIEN</t>
        </is>
      </c>
      <c r="G1696" t="inlineStr">
        <is>
          <t>GVL</t>
        </is>
      </c>
      <c r="H1696" t="inlineStr">
        <is>
          <t>BYPASS</t>
        </is>
      </c>
      <c r="J1696" t="inlineStr">
        <is>
          <t>BERNARDEAU</t>
        </is>
      </c>
      <c r="K1696" t="inlineStr">
        <is>
          <t>PLASTIQUE</t>
        </is>
      </c>
      <c r="L1696">
        <f>_xlfn.XLOOKUP(Tableau1[[#This Row],[TYPE DE PIECE]],Tableau4[MATIERE],Tableau4[SHORT TYPE],"",0,1)</f>
        <v/>
      </c>
      <c r="N1696">
        <f>IF(ISERR(FIND("DECOUPE",Tableau1[[#This Row],[DESIGNATION]])),"","NEED REF")</f>
        <v/>
      </c>
    </row>
    <row r="1697">
      <c r="B1697" t="n">
        <v>34412304</v>
      </c>
      <c r="C1697" s="2" t="n">
        <v>45278</v>
      </c>
      <c r="D1697" t="inlineStr">
        <is>
          <t>SPEC</t>
        </is>
      </c>
      <c r="E1697" t="inlineStr">
        <is>
          <t>SMT PLASTRON MBB SIB GVEAC7</t>
        </is>
      </c>
      <c r="G1697" t="inlineStr">
        <is>
          <t>GVL</t>
        </is>
      </c>
      <c r="H1697" t="inlineStr">
        <is>
          <t>BYPASS</t>
        </is>
      </c>
      <c r="J1697" t="inlineStr">
        <is>
          <t>BERNARDEAU</t>
        </is>
      </c>
      <c r="K1697" t="inlineStr">
        <is>
          <t>METAL</t>
        </is>
      </c>
      <c r="L1697">
        <f>_xlfn.XLOOKUP(Tableau1[[#This Row],[TYPE DE PIECE]],Tableau4[MATIERE],Tableau4[SHORT TYPE],"",0,1)</f>
        <v/>
      </c>
      <c r="N1697">
        <f>IF(ISERR(FIND("DECOUPE",Tableau1[[#This Row],[DESIGNATION]])),"","NEED REF")</f>
        <v/>
      </c>
    </row>
    <row r="1698">
      <c r="B1698" t="n">
        <v>34412303</v>
      </c>
      <c r="C1698" s="2" t="n">
        <v>45278</v>
      </c>
      <c r="D1698" t="inlineStr">
        <is>
          <t>SPEC</t>
        </is>
      </c>
      <c r="E1698" t="inlineStr">
        <is>
          <t>COP CONNEXION SORTIE MBB 5</t>
        </is>
      </c>
      <c r="G1698" t="inlineStr">
        <is>
          <t>GVL</t>
        </is>
      </c>
      <c r="H1698" t="inlineStr">
        <is>
          <t>BYPASS</t>
        </is>
      </c>
      <c r="J1698" t="inlineStr">
        <is>
          <t>BERNARDEAU</t>
        </is>
      </c>
      <c r="K1698" t="inlineStr">
        <is>
          <t>CUIVRE</t>
        </is>
      </c>
      <c r="L1698">
        <f>_xlfn.XLOOKUP(Tableau1[[#This Row],[TYPE DE PIECE]],Tableau4[MATIERE],Tableau4[SHORT TYPE],"",0,1)</f>
        <v/>
      </c>
      <c r="N1698">
        <f>IF(ISERR(FIND("DECOUPE",Tableau1[[#This Row],[DESIGNATION]])),"","NEED REF")</f>
        <v/>
      </c>
    </row>
    <row r="1699">
      <c r="B1699" t="n">
        <v>34412302</v>
      </c>
      <c r="C1699" s="2" t="n">
        <v>45278</v>
      </c>
      <c r="D1699" t="inlineStr">
        <is>
          <t>SPEC</t>
        </is>
      </c>
      <c r="E1699" t="inlineStr">
        <is>
          <t>SMT SUPPORT LATERAL =S= 04662</t>
        </is>
      </c>
      <c r="G1699" t="inlineStr">
        <is>
          <t>GVL</t>
        </is>
      </c>
      <c r="H1699" t="inlineStr">
        <is>
          <t>BYPASS</t>
        </is>
      </c>
      <c r="J1699" t="inlineStr">
        <is>
          <t>BERNARDEAU</t>
        </is>
      </c>
      <c r="K1699" t="inlineStr">
        <is>
          <t>METAL</t>
        </is>
      </c>
      <c r="L1699">
        <f>_xlfn.XLOOKUP(Tableau1[[#This Row],[TYPE DE PIECE]],Tableau4[MATIERE],Tableau4[SHORT TYPE],"",0,1)</f>
        <v/>
      </c>
      <c r="N1699">
        <f>IF(ISERR(FIND("DECOUPE",Tableau1[[#This Row],[DESIGNATION]])),"","NEED REF")</f>
        <v/>
      </c>
    </row>
    <row r="1700">
      <c r="B1700" t="n">
        <v>34412301</v>
      </c>
      <c r="C1700" s="2" t="n">
        <v>45275</v>
      </c>
      <c r="D1700" t="inlineStr">
        <is>
          <t>SPEC</t>
        </is>
      </c>
      <c r="E1700" t="inlineStr">
        <is>
          <t>SMT SUPPORT HAUT =S= 04662</t>
        </is>
      </c>
      <c r="G1700" t="inlineStr">
        <is>
          <t>GVL</t>
        </is>
      </c>
      <c r="H1700" t="inlineStr">
        <is>
          <t>BYPASS</t>
        </is>
      </c>
      <c r="J1700" t="inlineStr">
        <is>
          <t>BERNARDEAU</t>
        </is>
      </c>
      <c r="K1700" t="inlineStr">
        <is>
          <t>METAL</t>
        </is>
      </c>
      <c r="L1700">
        <f>_xlfn.XLOOKUP(Tableau1[[#This Row],[TYPE DE PIECE]],Tableau4[MATIERE],Tableau4[SHORT TYPE],"",0,1)</f>
        <v/>
      </c>
      <c r="N1700">
        <f>IF(ISERR(FIND("DECOUPE",Tableau1[[#This Row],[DESIGNATION]])),"","NEED REF")</f>
        <v/>
      </c>
    </row>
    <row r="1701">
      <c r="B1701" t="n">
        <v>34412300</v>
      </c>
      <c r="C1701" s="2" t="n">
        <v>45275</v>
      </c>
      <c r="D1701" t="inlineStr">
        <is>
          <t>SPEC</t>
        </is>
      </c>
      <c r="E1701" t="inlineStr">
        <is>
          <t>COP CONNEXION SORTIE MBB 1</t>
        </is>
      </c>
      <c r="G1701" t="inlineStr">
        <is>
          <t>GVL</t>
        </is>
      </c>
      <c r="H1701" t="inlineStr">
        <is>
          <t>BYPASS</t>
        </is>
      </c>
      <c r="J1701" t="inlineStr">
        <is>
          <t>BERNARDEAU</t>
        </is>
      </c>
      <c r="K1701" t="inlineStr">
        <is>
          <t>CUIVRE</t>
        </is>
      </c>
      <c r="L1701">
        <f>_xlfn.XLOOKUP(Tableau1[[#This Row],[TYPE DE PIECE]],Tableau4[MATIERE],Tableau4[SHORT TYPE],"",0,1)</f>
        <v/>
      </c>
      <c r="N1701">
        <f>IF(ISERR(FIND("DECOUPE",Tableau1[[#This Row],[DESIGNATION]])),"","NEED REF")</f>
        <v/>
      </c>
    </row>
    <row r="1702">
      <c r="B1702" t="n">
        <v>34412299</v>
      </c>
      <c r="C1702" s="2" t="n">
        <v>45275</v>
      </c>
      <c r="D1702" t="inlineStr">
        <is>
          <t>SPEC</t>
        </is>
      </c>
      <c r="E1702" t="inlineStr">
        <is>
          <t>COP CONNEXION SORTIE MBB 2</t>
        </is>
      </c>
      <c r="G1702" t="inlineStr">
        <is>
          <t>GVL</t>
        </is>
      </c>
      <c r="H1702" t="inlineStr">
        <is>
          <t>BYPASS</t>
        </is>
      </c>
      <c r="J1702" t="inlineStr">
        <is>
          <t>BERNARDEAU</t>
        </is>
      </c>
      <c r="K1702" t="inlineStr">
        <is>
          <t>CUIVRE</t>
        </is>
      </c>
      <c r="L1702">
        <f>_xlfn.XLOOKUP(Tableau1[[#This Row],[TYPE DE PIECE]],Tableau4[MATIERE],Tableau4[SHORT TYPE],"",0,1)</f>
        <v/>
      </c>
      <c r="N1702">
        <f>IF(ISERR(FIND("DECOUPE",Tableau1[[#This Row],[DESIGNATION]])),"","NEED REF")</f>
        <v/>
      </c>
    </row>
    <row r="1703">
      <c r="B1703" t="n">
        <v>34412298</v>
      </c>
      <c r="C1703" s="2" t="n">
        <v>45275</v>
      </c>
      <c r="D1703" t="inlineStr">
        <is>
          <t>SPEC</t>
        </is>
      </c>
      <c r="E1703" t="inlineStr">
        <is>
          <t>COP CONNEXION SORTIE MBB 3</t>
        </is>
      </c>
      <c r="G1703" t="inlineStr">
        <is>
          <t>GVL</t>
        </is>
      </c>
      <c r="H1703" t="inlineStr">
        <is>
          <t>BYPASS</t>
        </is>
      </c>
      <c r="J1703" t="inlineStr">
        <is>
          <t>BERNARDEAU</t>
        </is>
      </c>
      <c r="K1703" t="inlineStr">
        <is>
          <t>CUIVRE</t>
        </is>
      </c>
      <c r="L1703">
        <f>_xlfn.XLOOKUP(Tableau1[[#This Row],[TYPE DE PIECE]],Tableau4[MATIERE],Tableau4[SHORT TYPE],"",0,1)</f>
        <v/>
      </c>
      <c r="N1703">
        <f>IF(ISERR(FIND("DECOUPE",Tableau1[[#This Row],[DESIGNATION]])),"","NEED REF")</f>
        <v/>
      </c>
    </row>
    <row r="1704">
      <c r="B1704" t="n">
        <v>34412297</v>
      </c>
      <c r="C1704" s="2" t="n">
        <v>45275</v>
      </c>
      <c r="D1704" t="inlineStr">
        <is>
          <t>SPEC</t>
        </is>
      </c>
      <c r="E1704" t="inlineStr">
        <is>
          <t>COP CONNEXION SORTIE MBB 4</t>
        </is>
      </c>
      <c r="G1704" t="inlineStr">
        <is>
          <t>GVL</t>
        </is>
      </c>
      <c r="H1704" t="inlineStr">
        <is>
          <t>BYPASS</t>
        </is>
      </c>
      <c r="J1704" t="inlineStr">
        <is>
          <t>BERNARDEAU</t>
        </is>
      </c>
      <c r="K1704" t="inlineStr">
        <is>
          <t>CUIVRE</t>
        </is>
      </c>
      <c r="L1704">
        <f>_xlfn.XLOOKUP(Tableau1[[#This Row],[TYPE DE PIECE]],Tableau4[MATIERE],Tableau4[SHORT TYPE],"",0,1)</f>
        <v/>
      </c>
      <c r="N1704">
        <f>IF(ISERR(FIND("DECOUPE",Tableau1[[#This Row],[DESIGNATION]])),"","NEED REF")</f>
        <v/>
      </c>
    </row>
    <row r="1705">
      <c r="B1705" t="n">
        <v>34412296</v>
      </c>
      <c r="C1705" s="2" t="n">
        <v>45275</v>
      </c>
      <c r="D1705" t="inlineStr">
        <is>
          <t>SPEC</t>
        </is>
      </c>
      <c r="E1705" t="inlineStr">
        <is>
          <t>COP CONNEXION MBB ET SIB 8</t>
        </is>
      </c>
      <c r="G1705" t="inlineStr">
        <is>
          <t>GVL</t>
        </is>
      </c>
      <c r="H1705" t="inlineStr">
        <is>
          <t>BYPASS</t>
        </is>
      </c>
      <c r="J1705" t="inlineStr">
        <is>
          <t>BERNARDEAU</t>
        </is>
      </c>
      <c r="K1705" t="inlineStr">
        <is>
          <t>CUIVRE</t>
        </is>
      </c>
      <c r="L1705">
        <f>_xlfn.XLOOKUP(Tableau1[[#This Row],[TYPE DE PIECE]],Tableau4[MATIERE],Tableau4[SHORT TYPE],"",0,1)</f>
        <v/>
      </c>
      <c r="N1705">
        <f>IF(ISERR(FIND("DECOUPE",Tableau1[[#This Row],[DESIGNATION]])),"","NEED REF")</f>
        <v/>
      </c>
    </row>
    <row r="1706">
      <c r="B1706" t="n">
        <v>34412295</v>
      </c>
      <c r="C1706" s="2" t="n">
        <v>45275</v>
      </c>
      <c r="D1706" t="inlineStr">
        <is>
          <t>SPEC</t>
        </is>
      </c>
      <c r="E1706" t="inlineStr">
        <is>
          <t>COP CONNEXION MBB ET SIB 7</t>
        </is>
      </c>
      <c r="G1706" t="inlineStr">
        <is>
          <t>GVL</t>
        </is>
      </c>
      <c r="H1706" t="inlineStr">
        <is>
          <t>BYPASS</t>
        </is>
      </c>
      <c r="J1706" t="inlineStr">
        <is>
          <t>BERNARDEAU</t>
        </is>
      </c>
      <c r="K1706" t="inlineStr">
        <is>
          <t>CUIVRE</t>
        </is>
      </c>
      <c r="L1706">
        <f>_xlfn.XLOOKUP(Tableau1[[#This Row],[TYPE DE PIECE]],Tableau4[MATIERE],Tableau4[SHORT TYPE],"",0,1)</f>
        <v/>
      </c>
      <c r="N1706">
        <f>IF(ISERR(FIND("DECOUPE",Tableau1[[#This Row],[DESIGNATION]])),"","NEED REF")</f>
        <v/>
      </c>
    </row>
    <row r="1707">
      <c r="B1707" t="n">
        <v>34412294</v>
      </c>
      <c r="C1707" s="2" t="n">
        <v>45275</v>
      </c>
      <c r="D1707" t="inlineStr">
        <is>
          <t>SPEC</t>
        </is>
      </c>
      <c r="E1707" t="inlineStr">
        <is>
          <t>COP CONNEXION MBB ET SIB 6</t>
        </is>
      </c>
      <c r="G1707" t="inlineStr">
        <is>
          <t>GVL</t>
        </is>
      </c>
      <c r="H1707" t="inlineStr">
        <is>
          <t>BYPASS</t>
        </is>
      </c>
      <c r="J1707" t="inlineStr">
        <is>
          <t>BERNARDEAU</t>
        </is>
      </c>
      <c r="K1707" t="inlineStr">
        <is>
          <t>CUIVRE</t>
        </is>
      </c>
      <c r="L1707">
        <f>_xlfn.XLOOKUP(Tableau1[[#This Row],[TYPE DE PIECE]],Tableau4[MATIERE],Tableau4[SHORT TYPE],"",0,1)</f>
        <v/>
      </c>
      <c r="N1707">
        <f>IF(ISERR(FIND("DECOUPE",Tableau1[[#This Row],[DESIGNATION]])),"","NEED REF")</f>
        <v/>
      </c>
    </row>
    <row r="1708">
      <c r="B1708" t="n">
        <v>34412293</v>
      </c>
      <c r="C1708" s="2" t="n">
        <v>45275</v>
      </c>
      <c r="D1708" t="inlineStr">
        <is>
          <t>SPEC</t>
        </is>
      </c>
      <c r="E1708" t="inlineStr">
        <is>
          <t>COP CONNEXION MBB ET SIB 5</t>
        </is>
      </c>
      <c r="G1708" t="inlineStr">
        <is>
          <t>GVL</t>
        </is>
      </c>
      <c r="H1708" t="inlineStr">
        <is>
          <t>BYPASS</t>
        </is>
      </c>
      <c r="J1708" t="inlineStr">
        <is>
          <t>BERNARDEAU</t>
        </is>
      </c>
      <c r="K1708" t="inlineStr">
        <is>
          <t>CUIVRE</t>
        </is>
      </c>
      <c r="L1708">
        <f>_xlfn.XLOOKUP(Tableau1[[#This Row],[TYPE DE PIECE]],Tableau4[MATIERE],Tableau4[SHORT TYPE],"",0,1)</f>
        <v/>
      </c>
      <c r="N1708">
        <f>IF(ISERR(FIND("DECOUPE",Tableau1[[#This Row],[DESIGNATION]])),"","NEED REF")</f>
        <v/>
      </c>
    </row>
    <row r="1709">
      <c r="B1709" t="n">
        <v>34412292</v>
      </c>
      <c r="C1709" s="2" t="n">
        <v>45275</v>
      </c>
      <c r="D1709" t="inlineStr">
        <is>
          <t>SPEC</t>
        </is>
      </c>
      <c r="E1709" t="inlineStr">
        <is>
          <t>COP CONNEXION MBB ET SIB 4</t>
        </is>
      </c>
      <c r="G1709" t="inlineStr">
        <is>
          <t>GVL</t>
        </is>
      </c>
      <c r="H1709" t="inlineStr">
        <is>
          <t>BYPASS</t>
        </is>
      </c>
      <c r="J1709" t="inlineStr">
        <is>
          <t>BERNARDEAU</t>
        </is>
      </c>
      <c r="K1709" t="inlineStr">
        <is>
          <t>CUIVRE</t>
        </is>
      </c>
      <c r="L1709">
        <f>_xlfn.XLOOKUP(Tableau1[[#This Row],[TYPE DE PIECE]],Tableau4[MATIERE],Tableau4[SHORT TYPE],"",0,1)</f>
        <v/>
      </c>
      <c r="N1709">
        <f>IF(ISERR(FIND("DECOUPE",Tableau1[[#This Row],[DESIGNATION]])),"","NEED REF")</f>
        <v/>
      </c>
    </row>
    <row r="1710">
      <c r="B1710" t="n">
        <v>34412291</v>
      </c>
      <c r="C1710" s="2" t="n">
        <v>45275</v>
      </c>
      <c r="D1710" t="inlineStr">
        <is>
          <t>SPEC</t>
        </is>
      </c>
      <c r="E1710" t="inlineStr">
        <is>
          <t>COP CONNEXION MBB ET SIB 3</t>
        </is>
      </c>
      <c r="G1710" t="inlineStr">
        <is>
          <t>GVL</t>
        </is>
      </c>
      <c r="H1710" t="inlineStr">
        <is>
          <t>BYPASS</t>
        </is>
      </c>
      <c r="J1710" t="inlineStr">
        <is>
          <t>BERNARDEAU</t>
        </is>
      </c>
      <c r="K1710" t="inlineStr">
        <is>
          <t>CUIVRE</t>
        </is>
      </c>
      <c r="L1710">
        <f>_xlfn.XLOOKUP(Tableau1[[#This Row],[TYPE DE PIECE]],Tableau4[MATIERE],Tableau4[SHORT TYPE],"",0,1)</f>
        <v/>
      </c>
      <c r="N1710">
        <f>IF(ISERR(FIND("DECOUPE",Tableau1[[#This Row],[DESIGNATION]])),"","NEED REF")</f>
        <v/>
      </c>
    </row>
    <row r="1711">
      <c r="B1711" t="n">
        <v>34412290</v>
      </c>
      <c r="C1711" s="2" t="n">
        <v>45275</v>
      </c>
      <c r="D1711" t="inlineStr">
        <is>
          <t>SPEC</t>
        </is>
      </c>
      <c r="E1711">
        <f>_xlfn.CONCAT(Tableau1[[#This Row],[SHORT TYPE]]," ",Tableau1[[#This Row],[NUMERO]]," ",Tableau1[[#This Row],[GAMME]]," ",Tableau1[[#This Row],[TYPE PRODUIT]]," ",Tableau1[[#This Row],[PUISSANCE]])</f>
        <v/>
      </c>
      <c r="G1711" t="inlineStr">
        <is>
          <t>GVXL</t>
        </is>
      </c>
      <c r="H1711" t="inlineStr">
        <is>
          <t>BYPASS</t>
        </is>
      </c>
      <c r="J1711" t="inlineStr">
        <is>
          <t>Rodriguez</t>
        </is>
      </c>
      <c r="K1711" t="inlineStr">
        <is>
          <t>CUIVRE</t>
        </is>
      </c>
      <c r="L1711">
        <f>_xlfn.XLOOKUP(Tableau1[[#This Row],[TYPE DE PIECE]],Tableau4[MATIERE],Tableau4[SHORT TYPE],"",0,1)</f>
        <v/>
      </c>
      <c r="N1711">
        <f>IF(ISERR(FIND("DECOUPE",Tableau1[[#This Row],[DESIGNATION]])),"","NEED REF")</f>
        <v/>
      </c>
    </row>
    <row r="1712">
      <c r="B1712" t="n">
        <v>34412289</v>
      </c>
      <c r="C1712" s="2" t="n">
        <v>45275</v>
      </c>
      <c r="D1712" t="inlineStr">
        <is>
          <t>SPEC</t>
        </is>
      </c>
      <c r="E1712">
        <f>_xlfn.CONCAT(Tableau1[[#This Row],[SHORT TYPE]]," ",Tableau1[[#This Row],[NUMERO]]," ",Tableau1[[#This Row],[GAMME]]," ",Tableau1[[#This Row],[TYPE PRODUIT]]," ",Tableau1[[#This Row],[PUISSANCE]])</f>
        <v/>
      </c>
      <c r="G1712" t="inlineStr">
        <is>
          <t>GVXL</t>
        </is>
      </c>
      <c r="H1712" t="inlineStr">
        <is>
          <t>BYPASS</t>
        </is>
      </c>
      <c r="J1712" t="inlineStr">
        <is>
          <t>Rodriguez</t>
        </is>
      </c>
      <c r="K1712" t="inlineStr">
        <is>
          <t>CUIVRE</t>
        </is>
      </c>
      <c r="L1712">
        <f>_xlfn.XLOOKUP(Tableau1[[#This Row],[TYPE DE PIECE]],Tableau4[MATIERE],Tableau4[SHORT TYPE],"",0,1)</f>
        <v/>
      </c>
      <c r="N1712">
        <f>IF(ISERR(FIND("DECOUPE",Tableau1[[#This Row],[DESIGNATION]])),"","NEED REF")</f>
        <v/>
      </c>
    </row>
    <row r="1713">
      <c r="B1713" t="n">
        <v>34412288</v>
      </c>
      <c r="C1713" s="2" t="n">
        <v>45275</v>
      </c>
      <c r="D1713" t="inlineStr">
        <is>
          <t>SPEC</t>
        </is>
      </c>
      <c r="E1713">
        <f>_xlfn.CONCAT(Tableau1[[#This Row],[SHORT TYPE]]," ",Tableau1[[#This Row],[NUMERO]]," ",Tableau1[[#This Row],[GAMME]]," ",Tableau1[[#This Row],[TYPE PRODUIT]]," ",Tableau1[[#This Row],[PUISSANCE]])</f>
        <v/>
      </c>
      <c r="G1713" t="inlineStr">
        <is>
          <t>GVXL</t>
        </is>
      </c>
      <c r="H1713" t="inlineStr">
        <is>
          <t>BYPASS</t>
        </is>
      </c>
      <c r="J1713" t="inlineStr">
        <is>
          <t>Rodriguez</t>
        </is>
      </c>
      <c r="K1713" t="inlineStr">
        <is>
          <t>CUIVRE</t>
        </is>
      </c>
      <c r="L1713">
        <f>_xlfn.XLOOKUP(Tableau1[[#This Row],[TYPE DE PIECE]],Tableau4[MATIERE],Tableau4[SHORT TYPE],"",0,1)</f>
        <v/>
      </c>
      <c r="N1713">
        <f>IF(ISERR(FIND("DECOUPE",Tableau1[[#This Row],[DESIGNATION]])),"","NEED REF")</f>
        <v/>
      </c>
    </row>
    <row r="1714">
      <c r="B1714" t="n">
        <v>34412287</v>
      </c>
      <c r="C1714" s="2" t="n">
        <v>45275</v>
      </c>
      <c r="D1714" t="inlineStr">
        <is>
          <t>SPEC</t>
        </is>
      </c>
      <c r="E1714">
        <f>_xlfn.CONCAT(Tableau1[[#This Row],[SHORT TYPE]]," ",Tableau1[[#This Row],[NUMERO]]," ",Tableau1[[#This Row],[GAMME]]," ",Tableau1[[#This Row],[TYPE PRODUIT]]," ",Tableau1[[#This Row],[PUISSANCE]])</f>
        <v/>
      </c>
      <c r="G1714" t="inlineStr">
        <is>
          <t>GVXL</t>
        </is>
      </c>
      <c r="H1714" t="inlineStr">
        <is>
          <t>BYPASS</t>
        </is>
      </c>
      <c r="J1714" t="inlineStr">
        <is>
          <t>Rodriguez</t>
        </is>
      </c>
      <c r="K1714" t="inlineStr">
        <is>
          <t>CUIVRE</t>
        </is>
      </c>
      <c r="L1714">
        <f>_xlfn.XLOOKUP(Tableau1[[#This Row],[TYPE DE PIECE]],Tableau4[MATIERE],Tableau4[SHORT TYPE],"",0,1)</f>
        <v/>
      </c>
      <c r="N1714">
        <f>IF(ISERR(FIND("DECOUPE",Tableau1[[#This Row],[DESIGNATION]])),"","NEED REF")</f>
        <v/>
      </c>
    </row>
    <row r="1715">
      <c r="B1715" t="n">
        <v>34412286</v>
      </c>
      <c r="C1715" s="2" t="n">
        <v>45275</v>
      </c>
      <c r="D1715" t="inlineStr">
        <is>
          <t>SPEC</t>
        </is>
      </c>
      <c r="E1715">
        <f>_xlfn.CONCAT(Tableau1[[#This Row],[SHORT TYPE]]," ",Tableau1[[#This Row],[NUMERO]]," ",Tableau1[[#This Row],[GAMME]]," ",Tableau1[[#This Row],[TYPE PRODUIT]]," ",Tableau1[[#This Row],[PUISSANCE]])</f>
        <v/>
      </c>
      <c r="G1715" t="inlineStr">
        <is>
          <t>GVXL</t>
        </is>
      </c>
      <c r="H1715" t="inlineStr">
        <is>
          <t>BYPASS</t>
        </is>
      </c>
      <c r="J1715" t="inlineStr">
        <is>
          <t>Rodriguez</t>
        </is>
      </c>
      <c r="K1715" t="inlineStr">
        <is>
          <t>CUIVRE</t>
        </is>
      </c>
      <c r="L1715">
        <f>_xlfn.XLOOKUP(Tableau1[[#This Row],[TYPE DE PIECE]],Tableau4[MATIERE],Tableau4[SHORT TYPE],"",0,1)</f>
        <v/>
      </c>
      <c r="N1715">
        <f>IF(ISERR(FIND("DECOUPE",Tableau1[[#This Row],[DESIGNATION]])),"","NEED REF")</f>
        <v/>
      </c>
    </row>
    <row r="1716">
      <c r="B1716" t="n">
        <v>34412285</v>
      </c>
      <c r="C1716" s="2" t="n">
        <v>45275</v>
      </c>
      <c r="D1716" t="inlineStr">
        <is>
          <t>SPEC</t>
        </is>
      </c>
      <c r="E1716">
        <f>_xlfn.CONCAT(Tableau1[[#This Row],[SHORT TYPE]]," ",Tableau1[[#This Row],[NUMERO]]," ",Tableau1[[#This Row],[GAMME]]," ",Tableau1[[#This Row],[TYPE PRODUIT]]," ",Tableau1[[#This Row],[PUISSANCE]])</f>
        <v/>
      </c>
      <c r="G1716" t="inlineStr">
        <is>
          <t>GVXL</t>
        </is>
      </c>
      <c r="H1716" t="inlineStr">
        <is>
          <t>BYPASS</t>
        </is>
      </c>
      <c r="J1716" t="inlineStr">
        <is>
          <t>Rodriguez</t>
        </is>
      </c>
      <c r="K1716" t="inlineStr">
        <is>
          <t>CUIVRE</t>
        </is>
      </c>
      <c r="L1716">
        <f>_xlfn.XLOOKUP(Tableau1[[#This Row],[TYPE DE PIECE]],Tableau4[MATIERE],Tableau4[SHORT TYPE],"",0,1)</f>
        <v/>
      </c>
      <c r="N1716">
        <f>IF(ISERR(FIND("DECOUPE",Tableau1[[#This Row],[DESIGNATION]])),"","NEED REF")</f>
        <v/>
      </c>
    </row>
    <row r="1717">
      <c r="B1717" t="n">
        <v>34412284</v>
      </c>
      <c r="C1717" s="2" t="n">
        <v>45275</v>
      </c>
      <c r="D1717" t="inlineStr">
        <is>
          <t>SPEC</t>
        </is>
      </c>
      <c r="E1717">
        <f>_xlfn.CONCAT(Tableau1[[#This Row],[SHORT TYPE]]," ",Tableau1[[#This Row],[NUMERO]]," ",Tableau1[[#This Row],[GAMME]]," ",Tableau1[[#This Row],[TYPE PRODUIT]]," ",Tableau1[[#This Row],[PUISSANCE]])</f>
        <v/>
      </c>
      <c r="G1717" t="inlineStr">
        <is>
          <t>GVXL</t>
        </is>
      </c>
      <c r="H1717" t="inlineStr">
        <is>
          <t>BYPASS</t>
        </is>
      </c>
      <c r="J1717" t="inlineStr">
        <is>
          <t>Rodriguez</t>
        </is>
      </c>
      <c r="K1717" t="inlineStr">
        <is>
          <t>CUIVRE</t>
        </is>
      </c>
      <c r="L1717">
        <f>_xlfn.XLOOKUP(Tableau1[[#This Row],[TYPE DE PIECE]],Tableau4[MATIERE],Tableau4[SHORT TYPE],"",0,1)</f>
        <v/>
      </c>
      <c r="N1717">
        <f>IF(ISERR(FIND("DECOUPE",Tableau1[[#This Row],[DESIGNATION]])),"","NEED REF")</f>
        <v/>
      </c>
    </row>
    <row r="1718">
      <c r="B1718" t="n">
        <v>34412283</v>
      </c>
      <c r="C1718" s="2" t="n">
        <v>45275</v>
      </c>
      <c r="D1718" t="inlineStr">
        <is>
          <t>SPEC</t>
        </is>
      </c>
      <c r="E1718">
        <f>_xlfn.CONCAT(Tableau1[[#This Row],[SHORT TYPE]]," ",Tableau1[[#This Row],[NUMERO]]," ",Tableau1[[#This Row],[GAMME]]," ",Tableau1[[#This Row],[TYPE PRODUIT]]," ",Tableau1[[#This Row],[PUISSANCE]])</f>
        <v/>
      </c>
      <c r="G1718" t="inlineStr">
        <is>
          <t>GVXL</t>
        </is>
      </c>
      <c r="H1718" t="inlineStr">
        <is>
          <t>BYPASS</t>
        </is>
      </c>
      <c r="J1718" t="inlineStr">
        <is>
          <t>Rodriguez</t>
        </is>
      </c>
      <c r="K1718" t="inlineStr">
        <is>
          <t>CUIVRE</t>
        </is>
      </c>
      <c r="L1718">
        <f>_xlfn.XLOOKUP(Tableau1[[#This Row],[TYPE DE PIECE]],Tableau4[MATIERE],Tableau4[SHORT TYPE],"",0,1)</f>
        <v/>
      </c>
      <c r="N1718">
        <f>IF(ISERR(FIND("DECOUPE",Tableau1[[#This Row],[DESIGNATION]])),"","NEED REF")</f>
        <v/>
      </c>
    </row>
    <row r="1719">
      <c r="B1719" t="n">
        <v>34412282</v>
      </c>
      <c r="C1719" s="2" t="n">
        <v>45275</v>
      </c>
      <c r="D1719" t="inlineStr">
        <is>
          <t>SPEC</t>
        </is>
      </c>
      <c r="E1719">
        <f>_xlfn.CONCAT(Tableau1[[#This Row],[SHORT TYPE]]," ",Tableau1[[#This Row],[NUMERO]]," ",Tableau1[[#This Row],[GAMME]]," ",Tableau1[[#This Row],[TYPE PRODUIT]]," ",Tableau1[[#This Row],[PUISSANCE]])</f>
        <v/>
      </c>
      <c r="G1719" t="inlineStr">
        <is>
          <t>GVXL</t>
        </is>
      </c>
      <c r="H1719" t="inlineStr">
        <is>
          <t>BYPASS</t>
        </is>
      </c>
      <c r="J1719" t="inlineStr">
        <is>
          <t>Rodriguez</t>
        </is>
      </c>
      <c r="K1719" t="inlineStr">
        <is>
          <t>CUIVRE</t>
        </is>
      </c>
      <c r="L1719">
        <f>_xlfn.XLOOKUP(Tableau1[[#This Row],[TYPE DE PIECE]],Tableau4[MATIERE],Tableau4[SHORT TYPE],"",0,1)</f>
        <v/>
      </c>
      <c r="N1719">
        <f>IF(ISERR(FIND("DECOUPE",Tableau1[[#This Row],[DESIGNATION]])),"","NEED REF")</f>
        <v/>
      </c>
    </row>
    <row r="1720">
      <c r="B1720" t="n">
        <v>34412281</v>
      </c>
      <c r="C1720" s="2" t="n">
        <v>45274</v>
      </c>
      <c r="D1720" t="inlineStr">
        <is>
          <t>SPEC</t>
        </is>
      </c>
      <c r="E1720">
        <f>_xlfn.CONCAT(Tableau1[[#This Row],[SHORT TYPE]]," ",Tableau1[[#This Row],[NUMERO]]," ",Tableau1[[#This Row],[GAMME]]," ",Tableau1[[#This Row],[TYPE PRODUIT]]," ",Tableau1[[#This Row],[PUISSANCE]])</f>
        <v/>
      </c>
      <c r="G1720" t="inlineStr">
        <is>
          <t>GVL</t>
        </is>
      </c>
      <c r="H1720" t="inlineStr">
        <is>
          <t>BYPASS</t>
        </is>
      </c>
      <c r="J1720" t="inlineStr">
        <is>
          <t>BERNARDEAU</t>
        </is>
      </c>
      <c r="L1720">
        <f>_xlfn.XLOOKUP(Tableau1[[#This Row],[TYPE DE PIECE]],Tableau4[MATIERE],Tableau4[SHORT TYPE],"",0,1)</f>
        <v/>
      </c>
      <c r="N1720">
        <f>IF(ISERR(FIND("DECOUPE",Tableau1[[#This Row],[DESIGNATION]])),"","NEED REF")</f>
        <v/>
      </c>
    </row>
    <row r="1721">
      <c r="B1721" t="n">
        <v>34412280</v>
      </c>
      <c r="C1721" s="2" t="n">
        <v>45274</v>
      </c>
      <c r="D1721" t="inlineStr">
        <is>
          <t>SPEC</t>
        </is>
      </c>
      <c r="E1721">
        <f>_xlfn.CONCAT(Tableau1[[#This Row],[SHORT TYPE]]," ",Tableau1[[#This Row],[NUMERO]]," ",Tableau1[[#This Row],[GAMME]]," ",Tableau1[[#This Row],[TYPE PRODUIT]]," ",Tableau1[[#This Row],[PUISSANCE]])</f>
        <v/>
      </c>
      <c r="G1721" t="inlineStr">
        <is>
          <t>GVL</t>
        </is>
      </c>
      <c r="H1721" t="inlineStr">
        <is>
          <t>BYPASS</t>
        </is>
      </c>
      <c r="J1721" t="inlineStr">
        <is>
          <t>BERNARDEAU</t>
        </is>
      </c>
      <c r="L1721">
        <f>_xlfn.XLOOKUP(Tableau1[[#This Row],[TYPE DE PIECE]],Tableau4[MATIERE],Tableau4[SHORT TYPE],"",0,1)</f>
        <v/>
      </c>
      <c r="N1721">
        <f>IF(ISERR(FIND("DECOUPE",Tableau1[[#This Row],[DESIGNATION]])),"","NEED REF")</f>
        <v/>
      </c>
    </row>
    <row r="1722">
      <c r="B1722" t="n">
        <v>34412279</v>
      </c>
      <c r="C1722" s="2" t="n">
        <v>45274</v>
      </c>
      <c r="D1722" t="inlineStr">
        <is>
          <t>SPEC</t>
        </is>
      </c>
      <c r="E1722" t="inlineStr">
        <is>
          <t>COP CONNEXION MBB ET SIB 2</t>
        </is>
      </c>
      <c r="G1722" t="inlineStr">
        <is>
          <t>GVL</t>
        </is>
      </c>
      <c r="H1722" t="inlineStr">
        <is>
          <t>BYPASS</t>
        </is>
      </c>
      <c r="J1722" t="inlineStr">
        <is>
          <t>BERNARDEAU</t>
        </is>
      </c>
      <c r="L1722">
        <f>_xlfn.XLOOKUP(Tableau1[[#This Row],[TYPE DE PIECE]],Tableau4[MATIERE],Tableau4[SHORT TYPE],"",0,1)</f>
        <v/>
      </c>
      <c r="N1722">
        <f>IF(ISERR(FIND("DECOUPE",Tableau1[[#This Row],[DESIGNATION]])),"","NEED REF")</f>
        <v/>
      </c>
    </row>
    <row r="1723">
      <c r="B1723" t="n">
        <v>34412278</v>
      </c>
      <c r="C1723" s="2" t="n">
        <v>45274</v>
      </c>
      <c r="D1723" t="inlineStr">
        <is>
          <t>SPEC</t>
        </is>
      </c>
      <c r="E1723" t="inlineStr">
        <is>
          <t>COP CONNEXION MBB ET SIB 1</t>
        </is>
      </c>
      <c r="G1723" t="inlineStr">
        <is>
          <t>GVL</t>
        </is>
      </c>
      <c r="H1723" t="inlineStr">
        <is>
          <t>BYPASS</t>
        </is>
      </c>
      <c r="J1723" t="inlineStr">
        <is>
          <t>BERNARDEAU</t>
        </is>
      </c>
      <c r="K1723" t="inlineStr">
        <is>
          <t>CUIVRE</t>
        </is>
      </c>
      <c r="L1723">
        <f>_xlfn.XLOOKUP(Tableau1[[#This Row],[TYPE DE PIECE]],Tableau4[MATIERE],Tableau4[SHORT TYPE],"",0,1)</f>
        <v/>
      </c>
      <c r="N1723">
        <f>IF(ISERR(FIND("DECOUPE",Tableau1[[#This Row],[DESIGNATION]])),"","NEED REF")</f>
        <v/>
      </c>
    </row>
    <row r="1724">
      <c r="B1724" t="n">
        <v>34412277</v>
      </c>
      <c r="C1724" s="2" t="n">
        <v>45274</v>
      </c>
      <c r="D1724" t="inlineStr">
        <is>
          <t>SPEC</t>
        </is>
      </c>
      <c r="E1724" t="inlineStr">
        <is>
          <t>COP ENTREE/SORTIE 10x100</t>
        </is>
      </c>
      <c r="G1724" t="inlineStr">
        <is>
          <t>GVL</t>
        </is>
      </c>
      <c r="H1724" t="inlineStr">
        <is>
          <t>BYPASS</t>
        </is>
      </c>
      <c r="J1724" t="inlineStr">
        <is>
          <t>BERNARDEAU</t>
        </is>
      </c>
      <c r="K1724" t="inlineStr">
        <is>
          <t>CUIVRE</t>
        </is>
      </c>
      <c r="L1724">
        <f>_xlfn.XLOOKUP(Tableau1[[#This Row],[TYPE DE PIECE]],Tableau4[MATIERE],Tableau4[SHORT TYPE],"",0,1)</f>
        <v/>
      </c>
      <c r="N1724">
        <f>IF(ISERR(FIND("DECOUPE",Tableau1[[#This Row],[DESIGNATION]])),"","NEED REF")</f>
        <v/>
      </c>
    </row>
    <row r="1725">
      <c r="B1725" t="n">
        <v>34412276</v>
      </c>
      <c r="C1725" s="2" t="n">
        <v>45274</v>
      </c>
      <c r="D1725" t="inlineStr">
        <is>
          <t>SPEC</t>
        </is>
      </c>
      <c r="E1725" t="inlineStr">
        <is>
          <t>COP liaison MBB / SIB 1</t>
        </is>
      </c>
      <c r="G1725" t="inlineStr">
        <is>
          <t>GVL</t>
        </is>
      </c>
      <c r="H1725" t="inlineStr">
        <is>
          <t>BYPASS</t>
        </is>
      </c>
      <c r="J1725" t="inlineStr">
        <is>
          <t>BERNARDEAU</t>
        </is>
      </c>
      <c r="K1725" t="inlineStr">
        <is>
          <t>CUIVRE</t>
        </is>
      </c>
      <c r="L1725">
        <f>_xlfn.XLOOKUP(Tableau1[[#This Row],[TYPE DE PIECE]],Tableau4[MATIERE],Tableau4[SHORT TYPE],"",0,1)</f>
        <v/>
      </c>
      <c r="N1725">
        <f>IF(ISERR(FIND("DECOUPE",Tableau1[[#This Row],[DESIGNATION]])),"","NEED REF")</f>
        <v/>
      </c>
    </row>
    <row r="1726">
      <c r="B1726" t="n">
        <v>34412275</v>
      </c>
      <c r="C1726" s="2" t="n">
        <v>45274</v>
      </c>
      <c r="D1726" t="inlineStr">
        <is>
          <t>SPEC</t>
        </is>
      </c>
      <c r="E1726" t="inlineStr">
        <is>
          <t>COP liaison MBB / SIB 2</t>
        </is>
      </c>
      <c r="G1726" t="inlineStr">
        <is>
          <t>GVL</t>
        </is>
      </c>
      <c r="H1726" t="inlineStr">
        <is>
          <t>BYPASS</t>
        </is>
      </c>
      <c r="J1726" t="inlineStr">
        <is>
          <t>BERNARDEAU</t>
        </is>
      </c>
      <c r="K1726" t="inlineStr">
        <is>
          <t>CUIVRE</t>
        </is>
      </c>
      <c r="L1726">
        <f>_xlfn.XLOOKUP(Tableau1[[#This Row],[TYPE DE PIECE]],Tableau4[MATIERE],Tableau4[SHORT TYPE],"",0,1)</f>
        <v/>
      </c>
      <c r="N1726">
        <f>IF(ISERR(FIND("DECOUPE",Tableau1[[#This Row],[DESIGNATION]])),"","NEED REF")</f>
        <v/>
      </c>
    </row>
    <row r="1727">
      <c r="B1727" t="n">
        <v>34412274</v>
      </c>
      <c r="C1727" s="2" t="n">
        <v>45274</v>
      </c>
      <c r="D1727" t="inlineStr">
        <is>
          <t>SPEC</t>
        </is>
      </c>
      <c r="E1727" t="inlineStr">
        <is>
          <t>COP liaison MBB / SIB 3</t>
        </is>
      </c>
      <c r="G1727" t="inlineStr">
        <is>
          <t>GVL</t>
        </is>
      </c>
      <c r="H1727" t="inlineStr">
        <is>
          <t>BYPASS</t>
        </is>
      </c>
      <c r="J1727" t="inlineStr">
        <is>
          <t>BERNARDEAU</t>
        </is>
      </c>
      <c r="K1727" t="inlineStr">
        <is>
          <t>CUIVRE</t>
        </is>
      </c>
      <c r="L1727">
        <f>_xlfn.XLOOKUP(Tableau1[[#This Row],[TYPE DE PIECE]],Tableau4[MATIERE],Tableau4[SHORT TYPE],"",0,1)</f>
        <v/>
      </c>
      <c r="N1727">
        <f>IF(ISERR(FIND("DECOUPE",Tableau1[[#This Row],[DESIGNATION]])),"","NEED REF")</f>
        <v/>
      </c>
    </row>
    <row r="1728">
      <c r="B1728" t="n">
        <v>34412273</v>
      </c>
      <c r="C1728" s="2" t="n">
        <v>45274</v>
      </c>
      <c r="D1728" t="inlineStr">
        <is>
          <t>SPEC</t>
        </is>
      </c>
      <c r="E1728" t="inlineStr">
        <is>
          <t>COP liaison MBB / SIB 4</t>
        </is>
      </c>
      <c r="G1728" t="inlineStr">
        <is>
          <t>GVL</t>
        </is>
      </c>
      <c r="H1728" t="inlineStr">
        <is>
          <t>BYPASS</t>
        </is>
      </c>
      <c r="J1728" t="inlineStr">
        <is>
          <t>BERNARDEAU</t>
        </is>
      </c>
      <c r="K1728" t="inlineStr">
        <is>
          <t>CUIVRE</t>
        </is>
      </c>
      <c r="L1728">
        <f>_xlfn.XLOOKUP(Tableau1[[#This Row],[TYPE DE PIECE]],Tableau4[MATIERE],Tableau4[SHORT TYPE],"",0,1)</f>
        <v/>
      </c>
      <c r="N1728">
        <f>IF(ISERR(FIND("DECOUPE",Tableau1[[#This Row],[DESIGNATION]])),"","NEED REF")</f>
        <v/>
      </c>
    </row>
    <row r="1729">
      <c r="B1729" t="n">
        <v>34412272</v>
      </c>
      <c r="C1729" s="2" t="n">
        <v>45274</v>
      </c>
      <c r="D1729" t="inlineStr">
        <is>
          <t>SPEC</t>
        </is>
      </c>
      <c r="E1729" t="inlineStr">
        <is>
          <t>COP liaison MBB / SIB 5</t>
        </is>
      </c>
      <c r="G1729" t="inlineStr">
        <is>
          <t>GVL</t>
        </is>
      </c>
      <c r="H1729" t="inlineStr">
        <is>
          <t>BYPASS</t>
        </is>
      </c>
      <c r="J1729" t="inlineStr">
        <is>
          <t>BERNARDEAU</t>
        </is>
      </c>
      <c r="K1729" t="inlineStr">
        <is>
          <t>CUIVRE</t>
        </is>
      </c>
      <c r="L1729">
        <f>_xlfn.XLOOKUP(Tableau1[[#This Row],[TYPE DE PIECE]],Tableau4[MATIERE],Tableau4[SHORT TYPE],"",0,1)</f>
        <v/>
      </c>
      <c r="N1729">
        <f>IF(ISERR(FIND("DECOUPE",Tableau1[[#This Row],[DESIGNATION]])),"","NEED REF")</f>
        <v/>
      </c>
    </row>
    <row r="1730">
      <c r="B1730" t="n">
        <v>34412271</v>
      </c>
      <c r="C1730" s="2" t="n">
        <v>45274</v>
      </c>
      <c r="D1730" t="inlineStr">
        <is>
          <t>SPEC</t>
        </is>
      </c>
      <c r="E1730" t="inlineStr">
        <is>
          <t>COP liaison MBB / SIB 6</t>
        </is>
      </c>
      <c r="G1730" t="inlineStr">
        <is>
          <t>GVL</t>
        </is>
      </c>
      <c r="H1730" t="inlineStr">
        <is>
          <t>BYPASS</t>
        </is>
      </c>
      <c r="J1730" t="inlineStr">
        <is>
          <t>BERNARDEAU</t>
        </is>
      </c>
      <c r="K1730" t="inlineStr">
        <is>
          <t>CUIVRE</t>
        </is>
      </c>
      <c r="L1730">
        <f>_xlfn.XLOOKUP(Tableau1[[#This Row],[TYPE DE PIECE]],Tableau4[MATIERE],Tableau4[SHORT TYPE],"",0,1)</f>
        <v/>
      </c>
      <c r="N1730">
        <f>IF(ISERR(FIND("DECOUPE",Tableau1[[#This Row],[DESIGNATION]])),"","NEED REF")</f>
        <v/>
      </c>
    </row>
    <row r="1731">
      <c r="B1731" t="n">
        <v>34412270</v>
      </c>
      <c r="C1731" s="2" t="n">
        <v>45274</v>
      </c>
      <c r="D1731" t="inlineStr">
        <is>
          <t>SPEC</t>
        </is>
      </c>
      <c r="E1731" t="inlineStr">
        <is>
          <t>COP liaison MBB / SIB 7</t>
        </is>
      </c>
      <c r="G1731" t="inlineStr">
        <is>
          <t>GVL</t>
        </is>
      </c>
      <c r="H1731" t="inlineStr">
        <is>
          <t>BYPASS</t>
        </is>
      </c>
      <c r="J1731" t="inlineStr">
        <is>
          <t>BERNARDEAU</t>
        </is>
      </c>
      <c r="K1731" t="inlineStr">
        <is>
          <t>CUIVRE</t>
        </is>
      </c>
      <c r="L1731">
        <f>_xlfn.XLOOKUP(Tableau1[[#This Row],[TYPE DE PIECE]],Tableau4[MATIERE],Tableau4[SHORT TYPE],"",0,1)</f>
        <v/>
      </c>
      <c r="N1731">
        <f>IF(ISERR(FIND("DECOUPE",Tableau1[[#This Row],[DESIGNATION]])),"","NEED REF")</f>
        <v/>
      </c>
    </row>
    <row r="1732">
      <c r="B1732" t="n">
        <v>34412269</v>
      </c>
      <c r="C1732" s="2" t="n">
        <v>45274</v>
      </c>
      <c r="D1732" t="inlineStr">
        <is>
          <t>SPEC</t>
        </is>
      </c>
      <c r="E1732" t="inlineStr">
        <is>
          <t>COP liaison MBB / SIB 8</t>
        </is>
      </c>
      <c r="G1732" t="inlineStr">
        <is>
          <t>GVL</t>
        </is>
      </c>
      <c r="H1732" t="inlineStr">
        <is>
          <t>BYPASS</t>
        </is>
      </c>
      <c r="J1732" t="inlineStr">
        <is>
          <t>BERNARDEAU</t>
        </is>
      </c>
      <c r="K1732" t="inlineStr">
        <is>
          <t>CUIVRE</t>
        </is>
      </c>
      <c r="L1732">
        <f>_xlfn.XLOOKUP(Tableau1[[#This Row],[TYPE DE PIECE]],Tableau4[MATIERE],Tableau4[SHORT TYPE],"",0,1)</f>
        <v/>
      </c>
      <c r="N1732">
        <f>IF(ISERR(FIND("DECOUPE",Tableau1[[#This Row],[DESIGNATION]])),"","NEED REF")</f>
        <v/>
      </c>
    </row>
    <row r="1733">
      <c r="B1733" t="n">
        <v>34412268</v>
      </c>
      <c r="C1733" s="2" t="n">
        <v>45274</v>
      </c>
      <c r="D1733" t="inlineStr">
        <is>
          <t>SPEC</t>
        </is>
      </c>
      <c r="E1733" t="inlineStr">
        <is>
          <t>ARMOIRE SAREL 1800*1000*800 - 2 socles</t>
        </is>
      </c>
      <c r="J1733" t="inlineStr">
        <is>
          <t>Rodriguez</t>
        </is>
      </c>
      <c r="K1733" t="inlineStr">
        <is>
          <t>SAREL</t>
        </is>
      </c>
      <c r="L1733">
        <f>_xlfn.XLOOKUP(Tableau1[[#This Row],[TYPE DE PIECE]],Tableau4[MATIERE],Tableau4[SHORT TYPE],"",0,1)</f>
        <v/>
      </c>
      <c r="N1733">
        <f>IF(ISERR(FIND("DECOUPE",Tableau1[[#This Row],[DESIGNATION]])),"","NEED REF")</f>
        <v/>
      </c>
    </row>
    <row r="1734">
      <c r="B1734" t="n">
        <v>34412267</v>
      </c>
      <c r="C1734" s="2" t="n">
        <v>45274</v>
      </c>
      <c r="D1734" t="inlineStr">
        <is>
          <t>SPEC</t>
        </is>
      </c>
      <c r="E1734">
        <f>_xlfn.CONCAT(Tableau1[[#This Row],[SHORT TYPE]]," ",Tableau1[[#This Row],[NUMERO]]," ",Tableau1[[#This Row],[GAMME]]," ",Tableau1[[#This Row],[TYPE PRODUIT]]," ",Tableau1[[#This Row],[PUISSANCE]])</f>
        <v/>
      </c>
      <c r="H1734" t="inlineStr">
        <is>
          <t>STS</t>
        </is>
      </c>
      <c r="I1734" t="inlineStr">
        <is>
          <t>1250A</t>
        </is>
      </c>
      <c r="J1734" t="inlineStr">
        <is>
          <t>MATRION</t>
        </is>
      </c>
      <c r="K1734" t="inlineStr">
        <is>
          <t>CUIVRE</t>
        </is>
      </c>
      <c r="L1734">
        <f>_xlfn.XLOOKUP(Tableau1[[#This Row],[TYPE DE PIECE]],Tableau4[MATIERE],Tableau4[SHORT TYPE],"",0,1)</f>
        <v/>
      </c>
      <c r="N1734">
        <f>IF(ISERR(FIND("DECOUPE",Tableau1[[#This Row],[DESIGNATION]])),"","NEED REF")</f>
        <v/>
      </c>
    </row>
    <row r="1735">
      <c r="B1735" t="n">
        <v>34412266</v>
      </c>
      <c r="C1735" s="2" t="n">
        <v>45274</v>
      </c>
      <c r="D1735" t="inlineStr">
        <is>
          <t>SPEC</t>
        </is>
      </c>
      <c r="E1735">
        <f>_xlfn.CONCAT(Tableau1[[#This Row],[SHORT TYPE]]," ",Tableau1[[#This Row],[NUMERO]]," ",Tableau1[[#This Row],[GAMME]]," ",Tableau1[[#This Row],[TYPE PRODUIT]]," ",Tableau1[[#This Row],[PUISSANCE]])</f>
        <v/>
      </c>
      <c r="H1735" t="inlineStr">
        <is>
          <t>STS</t>
        </is>
      </c>
      <c r="I1735" t="inlineStr">
        <is>
          <t>1250A</t>
        </is>
      </c>
      <c r="J1735" t="inlineStr">
        <is>
          <t>MATRION</t>
        </is>
      </c>
      <c r="K1735" t="inlineStr">
        <is>
          <t>CUIVRE</t>
        </is>
      </c>
      <c r="L1735">
        <f>_xlfn.XLOOKUP(Tableau1[[#This Row],[TYPE DE PIECE]],Tableau4[MATIERE],Tableau4[SHORT TYPE],"",0,1)</f>
        <v/>
      </c>
      <c r="N1735">
        <f>IF(ISERR(FIND("DECOUPE",Tableau1[[#This Row],[DESIGNATION]])),"","NEED REF")</f>
        <v/>
      </c>
    </row>
    <row r="1736">
      <c r="B1736" t="n">
        <v>34412265</v>
      </c>
      <c r="C1736" s="2" t="n">
        <v>45273</v>
      </c>
      <c r="D1736" t="inlineStr">
        <is>
          <t>SPEC</t>
        </is>
      </c>
      <c r="E1736" t="inlineStr">
        <is>
          <t>COP LIAISON 4</t>
        </is>
      </c>
      <c r="G1736" t="inlineStr">
        <is>
          <t>GVL</t>
        </is>
      </c>
      <c r="H1736" t="inlineStr">
        <is>
          <t>BYPASS</t>
        </is>
      </c>
      <c r="J1736" t="inlineStr">
        <is>
          <t>BERNARDEAU</t>
        </is>
      </c>
      <c r="K1736" t="inlineStr">
        <is>
          <t>CUIVRE</t>
        </is>
      </c>
      <c r="L1736">
        <f>_xlfn.XLOOKUP(Tableau1[[#This Row],[TYPE DE PIECE]],Tableau4[MATIERE],Tableau4[SHORT TYPE],"",0,1)</f>
        <v/>
      </c>
      <c r="N1736">
        <f>IF(ISERR(FIND("DECOUPE",Tableau1[[#This Row],[DESIGNATION]])),"","NEED REF")</f>
        <v/>
      </c>
    </row>
    <row r="1737">
      <c r="B1737" t="n">
        <v>34412264</v>
      </c>
      <c r="C1737" s="2" t="n">
        <v>45273</v>
      </c>
      <c r="D1737" t="inlineStr">
        <is>
          <t>SPEC</t>
        </is>
      </c>
      <c r="E1737" t="inlineStr">
        <is>
          <t>COP LIAISON 3</t>
        </is>
      </c>
      <c r="G1737" t="inlineStr">
        <is>
          <t>GVL</t>
        </is>
      </c>
      <c r="H1737" t="inlineStr">
        <is>
          <t>BYPASS</t>
        </is>
      </c>
      <c r="J1737" t="inlineStr">
        <is>
          <t>BERNARDEAU</t>
        </is>
      </c>
      <c r="K1737" t="inlineStr">
        <is>
          <t>CUIVRE</t>
        </is>
      </c>
      <c r="L1737">
        <f>_xlfn.XLOOKUP(Tableau1[[#This Row],[TYPE DE PIECE]],Tableau4[MATIERE],Tableau4[SHORT TYPE],"",0,1)</f>
        <v/>
      </c>
      <c r="N1737">
        <f>IF(ISERR(FIND("DECOUPE",Tableau1[[#This Row],[DESIGNATION]])),"","NEED REF")</f>
        <v/>
      </c>
    </row>
    <row r="1738">
      <c r="B1738" t="n">
        <v>34412263</v>
      </c>
      <c r="C1738" s="2" t="n">
        <v>45273</v>
      </c>
      <c r="D1738" t="inlineStr">
        <is>
          <t>SPEC</t>
        </is>
      </c>
      <c r="E1738" t="inlineStr">
        <is>
          <t>COP LIAISON 2</t>
        </is>
      </c>
      <c r="G1738" t="inlineStr">
        <is>
          <t>GVL</t>
        </is>
      </c>
      <c r="H1738" t="inlineStr">
        <is>
          <t>BYPASS</t>
        </is>
      </c>
      <c r="J1738" t="inlineStr">
        <is>
          <t>BERNARDEAU</t>
        </is>
      </c>
      <c r="K1738" t="inlineStr">
        <is>
          <t>CUIVRE</t>
        </is>
      </c>
      <c r="L1738">
        <f>_xlfn.XLOOKUP(Tableau1[[#This Row],[TYPE DE PIECE]],Tableau4[MATIERE],Tableau4[SHORT TYPE],"",0,1)</f>
        <v/>
      </c>
      <c r="N1738">
        <f>IF(ISERR(FIND("DECOUPE",Tableau1[[#This Row],[DESIGNATION]])),"","NEED REF")</f>
        <v/>
      </c>
    </row>
    <row r="1739">
      <c r="B1739" t="n">
        <v>34412262</v>
      </c>
      <c r="C1739" s="2" t="n">
        <v>45273</v>
      </c>
      <c r="D1739" t="inlineStr">
        <is>
          <t>SPEC</t>
        </is>
      </c>
      <c r="E1739" t="inlineStr">
        <is>
          <t>COP LIAISON 1</t>
        </is>
      </c>
      <c r="G1739" t="inlineStr">
        <is>
          <t>GVL</t>
        </is>
      </c>
      <c r="H1739" t="inlineStr">
        <is>
          <t>BYPASS</t>
        </is>
      </c>
      <c r="J1739" t="inlineStr">
        <is>
          <t>BERNARDEAU</t>
        </is>
      </c>
      <c r="K1739" t="inlineStr">
        <is>
          <t>CUIVRE</t>
        </is>
      </c>
      <c r="L1739">
        <f>_xlfn.XLOOKUP(Tableau1[[#This Row],[TYPE DE PIECE]],Tableau4[MATIERE],Tableau4[SHORT TYPE],"",0,1)</f>
        <v/>
      </c>
      <c r="N1739">
        <f>IF(ISERR(FIND("DECOUPE",Tableau1[[#This Row],[DESIGNATION]])),"","NEED REF")</f>
        <v/>
      </c>
    </row>
    <row r="1740">
      <c r="B1740" t="n">
        <v>34412261</v>
      </c>
      <c r="C1740" s="2" t="n">
        <v>45272</v>
      </c>
      <c r="D1740" t="inlineStr">
        <is>
          <t>SPEC</t>
        </is>
      </c>
      <c r="E1740" t="inlineStr">
        <is>
          <t>CANEVAS NS800NA 4P4D UOB</t>
        </is>
      </c>
      <c r="G1740" t="inlineStr">
        <is>
          <t>GVL</t>
        </is>
      </c>
      <c r="H1740" t="inlineStr">
        <is>
          <t>BYPASS</t>
        </is>
      </c>
      <c r="J1740" t="inlineStr">
        <is>
          <t>BERNARDEAU</t>
        </is>
      </c>
      <c r="K1740" t="inlineStr">
        <is>
          <t>canevas</t>
        </is>
      </c>
      <c r="L1740">
        <f>_xlfn.XLOOKUP(Tableau1[[#This Row],[TYPE DE PIECE]],Tableau4[MATIERE],Tableau4[SHORT TYPE],"",0,1)</f>
        <v/>
      </c>
      <c r="N1740">
        <f>IF(ISERR(FIND("DECOUPE",Tableau1[[#This Row],[DESIGNATION]])),"","NEED REF")</f>
        <v/>
      </c>
    </row>
    <row r="1741">
      <c r="B1741" t="n">
        <v>34412260</v>
      </c>
      <c r="C1741" s="2" t="n">
        <v>45272</v>
      </c>
      <c r="D1741" t="inlineStr">
        <is>
          <t>SPEC</t>
        </is>
      </c>
      <c r="E1741" t="inlineStr">
        <is>
          <t>SMT PLATINE UIB</t>
        </is>
      </c>
      <c r="G1741" t="inlineStr">
        <is>
          <t>GVL</t>
        </is>
      </c>
      <c r="H1741" t="inlineStr">
        <is>
          <t>BYPASS</t>
        </is>
      </c>
      <c r="J1741" t="inlineStr">
        <is>
          <t>BERNARDEAU</t>
        </is>
      </c>
      <c r="K1741" t="inlineStr">
        <is>
          <t>METAL</t>
        </is>
      </c>
      <c r="L1741">
        <f>_xlfn.XLOOKUP(Tableau1[[#This Row],[TYPE DE PIECE]],Tableau4[MATIERE],Tableau4[SHORT TYPE],"",0,1)</f>
        <v/>
      </c>
      <c r="N1741">
        <f>IF(ISERR(FIND("DECOUPE",Tableau1[[#This Row],[DESIGNATION]])),"","NEED REF")</f>
        <v/>
      </c>
    </row>
    <row r="1742">
      <c r="B1742" t="n">
        <v>34412259</v>
      </c>
      <c r="C1742" s="2" t="n">
        <v>45272</v>
      </c>
      <c r="D1742" t="inlineStr">
        <is>
          <t>SPEC</t>
        </is>
      </c>
      <c r="E1742" t="inlineStr">
        <is>
          <t>CANEVAS NS1000H 4P4D UIB</t>
        </is>
      </c>
      <c r="G1742" t="inlineStr">
        <is>
          <t>GVL</t>
        </is>
      </c>
      <c r="H1742" t="inlineStr">
        <is>
          <t>BYPASS</t>
        </is>
      </c>
      <c r="J1742" t="inlineStr">
        <is>
          <t>BERNARDEAU</t>
        </is>
      </c>
      <c r="K1742" t="inlineStr">
        <is>
          <t>canevas</t>
        </is>
      </c>
      <c r="L1742">
        <f>_xlfn.XLOOKUP(Tableau1[[#This Row],[TYPE DE PIECE]],Tableau4[MATIERE],Tableau4[SHORT TYPE],"",0,1)</f>
        <v/>
      </c>
      <c r="N1742">
        <f>IF(ISERR(FIND("DECOUPE",Tableau1[[#This Row],[DESIGNATION]])),"","NEED REF")</f>
        <v/>
      </c>
    </row>
    <row r="1743">
      <c r="B1743" t="n">
        <v>34412258</v>
      </c>
      <c r="C1743" s="2" t="n">
        <v>45272</v>
      </c>
      <c r="D1743" t="inlineStr">
        <is>
          <t>SPEC</t>
        </is>
      </c>
      <c r="E1743" t="inlineStr">
        <is>
          <t>WIR 34412258 CABLE DE MASSE 230mm 6mm2 D6</t>
        </is>
      </c>
      <c r="H1743" t="inlineStr">
        <is>
          <t>TOUTES</t>
        </is>
      </c>
      <c r="J1743" t="inlineStr">
        <is>
          <t>MATRION</t>
        </is>
      </c>
      <c r="K1743" t="inlineStr">
        <is>
          <t>FILERIE</t>
        </is>
      </c>
      <c r="L1743">
        <f>_xlfn.XLOOKUP(Tableau1[[#This Row],[TYPE DE PIECE]],Tableau4[MATIERE],Tableau4[SHORT TYPE],"",0,1)</f>
        <v/>
      </c>
      <c r="N1743">
        <f>IF(ISERR(FIND("DECOUPE",Tableau1[[#This Row],[DESIGNATION]])),"","NEED REF")</f>
        <v/>
      </c>
    </row>
    <row r="1744">
      <c r="B1744" t="n">
        <v>34412257</v>
      </c>
      <c r="C1744" s="2" t="n">
        <v>45271</v>
      </c>
      <c r="D1744" t="inlineStr">
        <is>
          <t>SPEC</t>
        </is>
      </c>
      <c r="E1744" t="inlineStr">
        <is>
          <t>BOM BUSBAR - STS1250A 4P TOP</t>
        </is>
      </c>
      <c r="H1744" t="inlineStr">
        <is>
          <t>STS</t>
        </is>
      </c>
      <c r="I1744" t="inlineStr">
        <is>
          <t>1250A</t>
        </is>
      </c>
      <c r="J1744" t="inlineStr">
        <is>
          <t>MATRION</t>
        </is>
      </c>
      <c r="K1744" t="inlineStr">
        <is>
          <t>NOMENCLATURE</t>
        </is>
      </c>
      <c r="L1744">
        <f>_xlfn.XLOOKUP(Tableau1[[#This Row],[TYPE DE PIECE]],Tableau4[MATIERE],Tableau4[SHORT TYPE],"",0,1)</f>
        <v/>
      </c>
      <c r="N1744">
        <f>IF(ISERR(FIND("DECOUPE",Tableau1[[#This Row],[DESIGNATION]])),"","NEED REF")</f>
        <v/>
      </c>
    </row>
    <row r="1745">
      <c r="B1745" t="n">
        <v>34412256</v>
      </c>
      <c r="C1745" s="2" t="n">
        <v>45271</v>
      </c>
      <c r="D1745" t="inlineStr">
        <is>
          <t>SPEC</t>
        </is>
      </c>
      <c r="E1745" t="inlineStr">
        <is>
          <t>BOM BYPASS - STS1250A 4P NCUTED TOP</t>
        </is>
      </c>
      <c r="H1745" t="inlineStr">
        <is>
          <t>STS</t>
        </is>
      </c>
      <c r="I1745" t="inlineStr">
        <is>
          <t>1250A</t>
        </is>
      </c>
      <c r="J1745" t="inlineStr">
        <is>
          <t>MATRION</t>
        </is>
      </c>
      <c r="K1745" t="inlineStr">
        <is>
          <t>NOMENCLATURE</t>
        </is>
      </c>
      <c r="L1745">
        <f>_xlfn.XLOOKUP(Tableau1[[#This Row],[TYPE DE PIECE]],Tableau4[MATIERE],Tableau4[SHORT TYPE],"",0,1)</f>
        <v/>
      </c>
      <c r="N1745">
        <f>IF(ISERR(FIND("DECOUPE",Tableau1[[#This Row],[DESIGNATION]])),"","NEED REF")</f>
        <v/>
      </c>
    </row>
    <row r="1746">
      <c r="B1746" t="n">
        <v>34412255</v>
      </c>
      <c r="C1746" s="2" t="n">
        <v>45268</v>
      </c>
      <c r="D1746" t="inlineStr">
        <is>
          <t>SPEC</t>
        </is>
      </c>
      <c r="E1746" t="inlineStr">
        <is>
          <t>SMT TOIT ALU 3MM GVEAC7D8</t>
        </is>
      </c>
      <c r="J1746" t="inlineStr">
        <is>
          <t>Rodriguez</t>
        </is>
      </c>
      <c r="K1746" t="inlineStr">
        <is>
          <t>METAL</t>
        </is>
      </c>
      <c r="L1746">
        <f>_xlfn.XLOOKUP(Tableau1[[#This Row],[TYPE DE PIECE]],Tableau4[MATIERE],Tableau4[SHORT TYPE],"",0,1)</f>
        <v/>
      </c>
      <c r="N1746">
        <f>IF(ISERR(FIND("DECOUPE",Tableau1[[#This Row],[DESIGNATION]])),"","NEED REF")</f>
        <v/>
      </c>
    </row>
    <row r="1747">
      <c r="B1747" t="n">
        <v>34412254</v>
      </c>
      <c r="C1747" s="2" t="n">
        <v>45267</v>
      </c>
      <c r="D1747" t="inlineStr">
        <is>
          <t>SPEC</t>
        </is>
      </c>
      <c r="E1747" t="inlineStr">
        <is>
          <t>ARMOIRE SAREL 1000*800*2100</t>
        </is>
      </c>
      <c r="J1747" t="inlineStr">
        <is>
          <t>Rodriguez</t>
        </is>
      </c>
      <c r="K1747" t="inlineStr">
        <is>
          <t>SAREL</t>
        </is>
      </c>
      <c r="L1747">
        <f>_xlfn.XLOOKUP(Tableau1[[#This Row],[TYPE DE PIECE]],Tableau4[MATIERE],Tableau4[SHORT TYPE],"",0,1)</f>
        <v/>
      </c>
      <c r="N1747">
        <f>IF(ISERR(FIND("DECOUPE",Tableau1[[#This Row],[DESIGNATION]])),"","NEED REF")</f>
        <v/>
      </c>
    </row>
    <row r="1748">
      <c r="B1748" t="n">
        <v>34412253</v>
      </c>
      <c r="C1748" s="2" t="n">
        <v>45267</v>
      </c>
      <c r="D1748" t="inlineStr">
        <is>
          <t>SPEC</t>
        </is>
      </c>
      <c r="E1748" t="inlineStr">
        <is>
          <t>ARMOIRE SAREL 1400*600*2100</t>
        </is>
      </c>
      <c r="J1748" t="inlineStr">
        <is>
          <t>Rodriguez</t>
        </is>
      </c>
      <c r="K1748" t="inlineStr">
        <is>
          <t>SAREL</t>
        </is>
      </c>
      <c r="L1748">
        <f>_xlfn.XLOOKUP(Tableau1[[#This Row],[TYPE DE PIECE]],Tableau4[MATIERE],Tableau4[SHORT TYPE],"",0,1)</f>
        <v/>
      </c>
      <c r="N1748">
        <f>IF(ISERR(FIND("DECOUPE",Tableau1[[#This Row],[DESIGNATION]])),"","NEED REF")</f>
        <v/>
      </c>
    </row>
    <row r="1749">
      <c r="B1749" t="n">
        <v>34412252</v>
      </c>
      <c r="C1749" s="2" t="n">
        <v>45267</v>
      </c>
      <c r="D1749" t="inlineStr">
        <is>
          <t>SPEC</t>
        </is>
      </c>
      <c r="E1749" t="inlineStr">
        <is>
          <t>SMT SUPPORT LEST</t>
        </is>
      </c>
      <c r="F1749" t="inlineStr">
        <is>
          <t>QSFE77068</t>
        </is>
      </c>
      <c r="G1749" t="inlineStr">
        <is>
          <t>GVX</t>
        </is>
      </c>
      <c r="H1749" t="inlineStr">
        <is>
          <t>BCB</t>
        </is>
      </c>
      <c r="I1749" t="inlineStr">
        <is>
          <t>1500kVA</t>
        </is>
      </c>
      <c r="J1749" t="inlineStr">
        <is>
          <t>BERNARDEAU</t>
        </is>
      </c>
      <c r="K1749" t="inlineStr">
        <is>
          <t>METAL</t>
        </is>
      </c>
      <c r="L1749">
        <f>_xlfn.XLOOKUP(Tableau1[[#This Row],[TYPE DE PIECE]],Tableau4[MATIERE],Tableau4[SHORT TYPE],"",0,1)</f>
        <v/>
      </c>
      <c r="N1749">
        <f>IF(ISERR(FIND("DECOUPE",Tableau1[[#This Row],[DESIGNATION]])),"","NEED REF")</f>
        <v/>
      </c>
    </row>
    <row r="1750">
      <c r="B1750" t="n">
        <v>34412251</v>
      </c>
      <c r="C1750" s="2" t="n">
        <v>45267</v>
      </c>
      <c r="D1750" t="inlineStr">
        <is>
          <t>SPEC</t>
        </is>
      </c>
      <c r="E1750" t="inlineStr">
        <is>
          <t>Kit filerie ECO DC Capteurs de courant</t>
        </is>
      </c>
      <c r="G1750" t="inlineStr">
        <is>
          <t>GVL</t>
        </is>
      </c>
      <c r="H1750" t="inlineStr">
        <is>
          <t>IO</t>
        </is>
      </c>
      <c r="I1750" t="inlineStr">
        <is>
          <t>500kVA</t>
        </is>
      </c>
      <c r="J1750" t="inlineStr">
        <is>
          <t>MONGELLI</t>
        </is>
      </c>
      <c r="K1750" t="inlineStr">
        <is>
          <t>FILERIE</t>
        </is>
      </c>
      <c r="L1750">
        <f>_xlfn.XLOOKUP(Tableau1[[#This Row],[TYPE DE PIECE]],Tableau4[MATIERE],Tableau4[SHORT TYPE],"",0,1)</f>
        <v/>
      </c>
      <c r="N1750">
        <f>IF(ISERR(FIND("DECOUPE",Tableau1[[#This Row],[DESIGNATION]])),"","NEED REF")</f>
        <v/>
      </c>
    </row>
    <row r="1751">
      <c r="B1751" t="n">
        <v>34412250</v>
      </c>
      <c r="C1751" s="2" t="n">
        <v>45267</v>
      </c>
      <c r="D1751" t="inlineStr">
        <is>
          <t>SPEC</t>
        </is>
      </c>
      <c r="E1751" t="inlineStr">
        <is>
          <t>CANEVAS NS1600H 4P4D MBB /SIB</t>
        </is>
      </c>
      <c r="G1751" t="inlineStr">
        <is>
          <t>GVL</t>
        </is>
      </c>
      <c r="H1751" t="inlineStr">
        <is>
          <t>BYPASS</t>
        </is>
      </c>
      <c r="J1751" t="inlineStr">
        <is>
          <t>BERNARDEAU</t>
        </is>
      </c>
      <c r="K1751" t="inlineStr">
        <is>
          <t>CANEVAS</t>
        </is>
      </c>
      <c r="N1751">
        <f>IF(ISERR(FIND("DECOUPE",Tableau1[[#This Row],[DESIGNATION]])),"","NEED REF")</f>
        <v/>
      </c>
    </row>
    <row r="1752">
      <c r="B1752" t="n">
        <v>34412249</v>
      </c>
      <c r="C1752" s="2" t="n">
        <v>45267</v>
      </c>
      <c r="D1752" t="inlineStr">
        <is>
          <t>SPEC</t>
        </is>
      </c>
      <c r="E1752">
        <f>_xlfn.CONCAT(Tableau1[[#This Row],[SHORT TYPE]]," ",Tableau1[[#This Row],[NUMERO]]," ",Tableau1[[#This Row],[GAMME]]," ",Tableau1[[#This Row],[TYPE PRODUIT]]," ",Tableau1[[#This Row],[PUISSANCE]])</f>
        <v/>
      </c>
      <c r="G1752" t="inlineStr">
        <is>
          <t>GVXL</t>
        </is>
      </c>
      <c r="H1752" t="inlineStr">
        <is>
          <t>BATTERY</t>
        </is>
      </c>
      <c r="I1752" t="inlineStr">
        <is>
          <t>5xBBK 630A</t>
        </is>
      </c>
      <c r="J1752" t="inlineStr">
        <is>
          <t>Rodriguez</t>
        </is>
      </c>
      <c r="K1752" t="inlineStr">
        <is>
          <t>METAL</t>
        </is>
      </c>
      <c r="L1752">
        <f>_xlfn.XLOOKUP(Tableau1[[#This Row],[TYPE DE PIECE]],Tableau4[MATIERE],Tableau4[SHORT TYPE],"",0,1)</f>
        <v/>
      </c>
      <c r="N1752">
        <f>IF(ISERR(FIND("DECOUPE",Tableau1[[#This Row],[DESIGNATION]])),"","NEED REF")</f>
        <v/>
      </c>
    </row>
    <row r="1753">
      <c r="B1753" t="n">
        <v>34412248</v>
      </c>
      <c r="C1753" s="2" t="n">
        <v>45267</v>
      </c>
      <c r="D1753" t="inlineStr">
        <is>
          <t>SPEC</t>
        </is>
      </c>
      <c r="E1753">
        <f>_xlfn.CONCAT(Tableau1[[#This Row],[SHORT TYPE]]," ",Tableau1[[#This Row],[NUMERO]]," ",Tableau1[[#This Row],[GAMME]]," ",Tableau1[[#This Row],[TYPE PRODUIT]]," ",Tableau1[[#This Row],[PUISSANCE]])</f>
        <v/>
      </c>
      <c r="G1753" t="inlineStr">
        <is>
          <t>GVXL</t>
        </is>
      </c>
      <c r="H1753" t="inlineStr">
        <is>
          <t>BATTERY</t>
        </is>
      </c>
      <c r="I1753" t="inlineStr">
        <is>
          <t>5xBBK 630A</t>
        </is>
      </c>
      <c r="J1753" t="inlineStr">
        <is>
          <t>Rodriguez</t>
        </is>
      </c>
      <c r="K1753" t="inlineStr">
        <is>
          <t>METAL</t>
        </is>
      </c>
      <c r="L1753">
        <f>_xlfn.XLOOKUP(Tableau1[[#This Row],[TYPE DE PIECE]],Tableau4[MATIERE],Tableau4[SHORT TYPE],"",0,1)</f>
        <v/>
      </c>
      <c r="N1753">
        <f>IF(ISERR(FIND("DECOUPE",Tableau1[[#This Row],[DESIGNATION]])),"","NEED REF")</f>
        <v/>
      </c>
    </row>
    <row r="1754">
      <c r="B1754" t="n">
        <v>34412247</v>
      </c>
      <c r="C1754" s="2" t="n">
        <v>45267</v>
      </c>
      <c r="D1754" t="inlineStr">
        <is>
          <t>SPEC</t>
        </is>
      </c>
      <c r="E1754" t="inlineStr">
        <is>
          <t>SWITCH / MTZ2 1600A HF 3P PRISE AR V-V</t>
        </is>
      </c>
      <c r="G1754" t="inlineStr">
        <is>
          <t>GVX</t>
        </is>
      </c>
      <c r="H1754" t="inlineStr">
        <is>
          <t>BYPASS</t>
        </is>
      </c>
      <c r="I1754" t="inlineStr">
        <is>
          <t>1000KVA</t>
        </is>
      </c>
      <c r="J1754" t="inlineStr">
        <is>
          <t>JAWORSKI</t>
        </is>
      </c>
      <c r="K1754" t="inlineStr">
        <is>
          <t>SCHNEIDER</t>
        </is>
      </c>
      <c r="L1754" t="inlineStr">
        <is>
          <t>SE</t>
        </is>
      </c>
      <c r="N1754">
        <f>IF(ISERR(FIND("DECOUPE",Tableau1[[#This Row],[DESIGNATION]])),"","NEED REF")</f>
        <v/>
      </c>
    </row>
    <row r="1755">
      <c r="B1755" t="n">
        <v>34412246</v>
      </c>
      <c r="C1755" s="2" t="n">
        <v>45267</v>
      </c>
      <c r="D1755" t="inlineStr">
        <is>
          <t>SPEC</t>
        </is>
      </c>
      <c r="E1755" t="inlineStr">
        <is>
          <t>SWITCH / MTZ2 1600A HF 3P PRISE AR V-H</t>
        </is>
      </c>
      <c r="G1755" t="inlineStr">
        <is>
          <t>GVX</t>
        </is>
      </c>
      <c r="H1755" t="inlineStr">
        <is>
          <t>BYPASS</t>
        </is>
      </c>
      <c r="I1755" t="inlineStr">
        <is>
          <t>1000KVA</t>
        </is>
      </c>
      <c r="J1755" t="inlineStr">
        <is>
          <t>JAWORSKI</t>
        </is>
      </c>
      <c r="K1755" t="inlineStr">
        <is>
          <t>SCHNEIDER</t>
        </is>
      </c>
      <c r="L1755">
        <f>_xlfn.XLOOKUP(Tableau1[[#This Row],[TYPE DE PIECE]],Tableau4[MATIERE],Tableau4[SHORT TYPE],"",0,1)</f>
        <v/>
      </c>
      <c r="N1755">
        <f>IF(ISERR(FIND("DECOUPE",Tableau1[[#This Row],[DESIGNATION]])),"","NEED REF")</f>
        <v/>
      </c>
    </row>
    <row r="1756">
      <c r="B1756" t="n">
        <v>34412245</v>
      </c>
      <c r="C1756" s="2" t="n">
        <v>45267</v>
      </c>
      <c r="D1756" t="inlineStr">
        <is>
          <t>SPEC</t>
        </is>
      </c>
      <c r="E1756" t="inlineStr">
        <is>
          <t>DECOUPE LONGUEURS GOULOTTES</t>
        </is>
      </c>
      <c r="G1756" t="inlineStr">
        <is>
          <t>GVL</t>
        </is>
      </c>
      <c r="J1756" t="inlineStr">
        <is>
          <t>JAWORSKI</t>
        </is>
      </c>
      <c r="K1756" t="inlineStr">
        <is>
          <t>ETO</t>
        </is>
      </c>
      <c r="L1756">
        <f>_xlfn.XLOOKUP(Tableau1[[#This Row],[TYPE DE PIECE]],Tableau4[MATIERE],Tableau4[SHORT TYPE],"",0,1)</f>
        <v/>
      </c>
      <c r="N1756">
        <f>IF(ISERR(FIND("DECOUPE",Tableau1[[#This Row],[DESIGNATION]])),"","NEED REF")</f>
        <v/>
      </c>
    </row>
    <row r="1757">
      <c r="B1757" t="n">
        <v>34412244</v>
      </c>
      <c r="C1757" s="2" t="n">
        <v>45267</v>
      </c>
      <c r="D1757" t="inlineStr">
        <is>
          <t>SPEC</t>
        </is>
      </c>
      <c r="E1757" t="inlineStr">
        <is>
          <t>SMT FIXATION CABLE</t>
        </is>
      </c>
      <c r="F1757" t="inlineStr">
        <is>
          <t>BNP PARIBAS SA IMEX</t>
        </is>
      </c>
      <c r="G1757" t="inlineStr">
        <is>
          <t>GVL</t>
        </is>
      </c>
      <c r="H1757" t="inlineStr">
        <is>
          <t>BOX</t>
        </is>
      </c>
      <c r="I1757" t="inlineStr">
        <is>
          <t>1LE0KFIXATIONCABLE</t>
        </is>
      </c>
      <c r="J1757" t="inlineStr">
        <is>
          <t>JAWORSKI</t>
        </is>
      </c>
      <c r="L1757">
        <f>_xlfn.XLOOKUP(Tableau1[[#This Row],[TYPE DE PIECE]],Tableau4[MATIERE],Tableau4[SHORT TYPE],"",0,1)</f>
        <v/>
      </c>
      <c r="N1757">
        <f>IF(ISERR(FIND("DECOUPE",Tableau1[[#This Row],[DESIGNATION]])),"","NEED REF")</f>
        <v/>
      </c>
    </row>
    <row r="1758">
      <c r="B1758" t="n">
        <v>34412243</v>
      </c>
      <c r="C1758" s="2" t="n">
        <v>45267</v>
      </c>
      <c r="D1758" t="inlineStr">
        <is>
          <t>SPEC</t>
        </is>
      </c>
      <c r="E1758" t="inlineStr">
        <is>
          <t>SMT PLATINE DE FOND</t>
        </is>
      </c>
      <c r="F1758" t="inlineStr">
        <is>
          <t>BNP PARIBAS SA IMEX</t>
        </is>
      </c>
      <c r="G1758" t="inlineStr">
        <is>
          <t>GVL</t>
        </is>
      </c>
      <c r="H1758" t="inlineStr">
        <is>
          <t>BOX</t>
        </is>
      </c>
      <c r="I1758" t="inlineStr">
        <is>
          <t>1ON0KDEDE</t>
        </is>
      </c>
      <c r="J1758" t="inlineStr">
        <is>
          <t>JAWORSKI</t>
        </is>
      </c>
      <c r="K1758" t="inlineStr">
        <is>
          <t>METAL</t>
        </is>
      </c>
      <c r="L1758">
        <f>_xlfn.XLOOKUP(Tableau1[[#This Row],[TYPE DE PIECE]],Tableau4[MATIERE],Tableau4[SHORT TYPE],"",0,1)</f>
        <v/>
      </c>
      <c r="N1758">
        <f>IF(ISERR(FIND("DECOUPE",Tableau1[[#This Row],[DESIGNATION]])),"","NEED REF")</f>
        <v/>
      </c>
    </row>
    <row r="1759">
      <c r="B1759" t="n">
        <v>34412242</v>
      </c>
      <c r="C1759" s="2" t="n">
        <v>45267</v>
      </c>
      <c r="D1759" t="inlineStr">
        <is>
          <t>SPEC</t>
        </is>
      </c>
      <c r="E1759" t="inlineStr">
        <is>
          <t xml:space="preserve">SMT DECOUPE COFFRET GVL DISPLAY 1000x600x300 </t>
        </is>
      </c>
      <c r="F1759" t="inlineStr">
        <is>
          <t>BNP PARIBAS SA IMEX</t>
        </is>
      </c>
      <c r="G1759" t="inlineStr">
        <is>
          <t>GVL</t>
        </is>
      </c>
      <c r="H1759" t="inlineStr">
        <is>
          <t>BOX</t>
        </is>
      </c>
      <c r="J1759" t="inlineStr">
        <is>
          <t>JAWORSKI</t>
        </is>
      </c>
      <c r="K1759" t="inlineStr">
        <is>
          <t>METAL</t>
        </is>
      </c>
      <c r="L1759">
        <f>_xlfn.XLOOKUP(Tableau1[[#This Row],[TYPE DE PIECE]],Tableau4[MATIERE],Tableau4[SHORT TYPE],"",0,1)</f>
        <v/>
      </c>
      <c r="N1759">
        <f>IF(ISERR(FIND("DECOUPE",Tableau1[[#This Row],[DESIGNATION]])),"","NEED REF")</f>
        <v/>
      </c>
    </row>
    <row r="1760">
      <c r="B1760" t="n">
        <v>34412241</v>
      </c>
      <c r="C1760" s="2" t="n">
        <v>45266</v>
      </c>
      <c r="D1760" t="inlineStr">
        <is>
          <t>SPEC</t>
        </is>
      </c>
      <c r="E1760" t="inlineStr">
        <is>
          <t>COP PLAGE CONNEXION FUSE 6</t>
        </is>
      </c>
      <c r="F1760" t="inlineStr">
        <is>
          <t>QSFE77068</t>
        </is>
      </c>
      <c r="G1760" t="inlineStr">
        <is>
          <t>GVX</t>
        </is>
      </c>
      <c r="H1760" t="inlineStr">
        <is>
          <t>BCB</t>
        </is>
      </c>
      <c r="I1760" t="inlineStr">
        <is>
          <t>1500kVA</t>
        </is>
      </c>
      <c r="J1760" t="inlineStr">
        <is>
          <t>BERNARDEAU</t>
        </is>
      </c>
      <c r="L1760">
        <f>_xlfn.XLOOKUP(Tableau1[[#This Row],[TYPE DE PIECE]],Tableau4[MATIERE],Tableau4[SHORT TYPE],"",0,1)</f>
        <v/>
      </c>
      <c r="N1760">
        <f>IF(ISERR(FIND("DECOUPE",Tableau1[[#This Row],[DESIGNATION]])),"","NEED REF")</f>
        <v/>
      </c>
    </row>
    <row r="1761">
      <c r="B1761" t="n">
        <v>34412240</v>
      </c>
      <c r="C1761" s="2" t="n">
        <v>45266</v>
      </c>
      <c r="D1761" t="inlineStr">
        <is>
          <t>SPEC</t>
        </is>
      </c>
      <c r="E1761" t="inlineStr">
        <is>
          <t>COP PLAGE CONNEXION FUSE 5</t>
        </is>
      </c>
      <c r="F1761" t="inlineStr">
        <is>
          <t>QSFE77068</t>
        </is>
      </c>
      <c r="G1761" t="inlineStr">
        <is>
          <t>GVX</t>
        </is>
      </c>
      <c r="H1761" t="inlineStr">
        <is>
          <t>BCB</t>
        </is>
      </c>
      <c r="I1761" t="inlineStr">
        <is>
          <t>1500kVA</t>
        </is>
      </c>
      <c r="J1761" t="inlineStr">
        <is>
          <t>BERNARDEAU</t>
        </is>
      </c>
      <c r="K1761" t="inlineStr">
        <is>
          <t>CUIVRE</t>
        </is>
      </c>
      <c r="L1761">
        <f>_xlfn.XLOOKUP(Tableau1[[#This Row],[TYPE DE PIECE]],Tableau4[MATIERE],Tableau4[SHORT TYPE],"",0,1)</f>
        <v/>
      </c>
      <c r="N1761">
        <f>IF(ISERR(FIND("DECOUPE",Tableau1[[#This Row],[DESIGNATION]])),"","NEED REF")</f>
        <v/>
      </c>
    </row>
    <row r="1762">
      <c r="B1762" t="n">
        <v>34412239</v>
      </c>
      <c r="C1762" s="2" t="n">
        <v>45266</v>
      </c>
      <c r="D1762" t="inlineStr">
        <is>
          <t>SPEC</t>
        </is>
      </c>
      <c r="E1762" t="inlineStr">
        <is>
          <t>COP PLAGE CONNEXION FUSE 4</t>
        </is>
      </c>
      <c r="F1762" t="inlineStr">
        <is>
          <t>QSFE77068</t>
        </is>
      </c>
      <c r="G1762" t="inlineStr">
        <is>
          <t>GVX</t>
        </is>
      </c>
      <c r="H1762" t="inlineStr">
        <is>
          <t>BCB</t>
        </is>
      </c>
      <c r="I1762" t="inlineStr">
        <is>
          <t>1500kVA</t>
        </is>
      </c>
      <c r="J1762" t="inlineStr">
        <is>
          <t>BERNARDEAU</t>
        </is>
      </c>
      <c r="K1762" t="inlineStr">
        <is>
          <t>CUIVRE</t>
        </is>
      </c>
      <c r="L1762">
        <f>_xlfn.XLOOKUP(Tableau1[[#This Row],[TYPE DE PIECE]],Tableau4[MATIERE],Tableau4[SHORT TYPE],"",0,1)</f>
        <v/>
      </c>
      <c r="N1762">
        <f>IF(ISERR(FIND("DECOUPE",Tableau1[[#This Row],[DESIGNATION]])),"","NEED REF")</f>
        <v/>
      </c>
    </row>
    <row r="1763">
      <c r="B1763" t="n">
        <v>34412238</v>
      </c>
      <c r="C1763" s="2" t="n">
        <v>45265</v>
      </c>
      <c r="D1763" t="inlineStr">
        <is>
          <t>SPEC</t>
        </is>
      </c>
      <c r="E1763">
        <f>_xlfn.CONCAT(Tableau1[[#This Row],[SHORT TYPE]]," ",Tableau1[[#This Row],[NUMERO]]," ",Tableau1[[#This Row],[GAMME]]," ",Tableau1[[#This Row],[TYPE PRODUIT]]," ",Tableau1[[#This Row],[PUISSANCE]])</f>
        <v/>
      </c>
      <c r="G1763" t="inlineStr">
        <is>
          <t>GVXL</t>
        </is>
      </c>
      <c r="H1763" t="inlineStr">
        <is>
          <t>BATTERY</t>
        </is>
      </c>
      <c r="I1763" t="inlineStr">
        <is>
          <t>4xBBK 630A</t>
        </is>
      </c>
      <c r="J1763" t="inlineStr">
        <is>
          <t>Rodriguez</t>
        </is>
      </c>
      <c r="K1763" t="inlineStr">
        <is>
          <t>METAL</t>
        </is>
      </c>
      <c r="L1763">
        <f>_xlfn.XLOOKUP(Tableau1[[#This Row],[TYPE DE PIECE]],Tableau4[MATIERE],Tableau4[SHORT TYPE],"",0,1)</f>
        <v/>
      </c>
      <c r="N1763">
        <f>IF(ISERR(FIND("DECOUPE",Tableau1[[#This Row],[DESIGNATION]])),"","NEED REF")</f>
        <v/>
      </c>
    </row>
    <row r="1764">
      <c r="B1764" t="n">
        <v>34412237</v>
      </c>
      <c r="C1764" s="2" t="n">
        <v>45265</v>
      </c>
      <c r="D1764" t="inlineStr">
        <is>
          <t>SPEC</t>
        </is>
      </c>
      <c r="E1764">
        <f>_xlfn.CONCAT(Tableau1[[#This Row],[SHORT TYPE]]," ",Tableau1[[#This Row],[NUMERO]]," ",Tableau1[[#This Row],[GAMME]]," ",Tableau1[[#This Row],[TYPE PRODUIT]]," ",Tableau1[[#This Row],[PUISSANCE]])</f>
        <v/>
      </c>
      <c r="G1764" t="inlineStr">
        <is>
          <t>GVXL</t>
        </is>
      </c>
      <c r="H1764" t="inlineStr">
        <is>
          <t>BATTERY</t>
        </is>
      </c>
      <c r="I1764" t="inlineStr">
        <is>
          <t>4xBBK 630A</t>
        </is>
      </c>
      <c r="J1764" t="inlineStr">
        <is>
          <t>Rodriguez</t>
        </is>
      </c>
      <c r="K1764" t="inlineStr">
        <is>
          <t>METAL</t>
        </is>
      </c>
      <c r="L1764">
        <f>_xlfn.XLOOKUP(Tableau1[[#This Row],[TYPE DE PIECE]],Tableau4[MATIERE],Tableau4[SHORT TYPE],"",0,1)</f>
        <v/>
      </c>
      <c r="N1764">
        <f>IF(ISERR(FIND("DECOUPE",Tableau1[[#This Row],[DESIGNATION]])),"","NEED REF")</f>
        <v/>
      </c>
    </row>
    <row r="1765">
      <c r="B1765" t="n">
        <v>34412236</v>
      </c>
      <c r="C1765" s="2" t="n">
        <v>45265</v>
      </c>
      <c r="D1765" t="inlineStr">
        <is>
          <t>SPEC</t>
        </is>
      </c>
      <c r="E1765" t="inlineStr">
        <is>
          <t>SMT MONTANT LATERAL DROITE</t>
        </is>
      </c>
      <c r="G1765" t="inlineStr">
        <is>
          <t>GVXL</t>
        </is>
      </c>
      <c r="H1765" t="inlineStr">
        <is>
          <t>BATTERY</t>
        </is>
      </c>
      <c r="I1765" t="inlineStr">
        <is>
          <t>4xBBK 630A</t>
        </is>
      </c>
      <c r="J1765" t="inlineStr">
        <is>
          <t>Rodriguez</t>
        </is>
      </c>
      <c r="K1765" t="inlineStr">
        <is>
          <t>METAL</t>
        </is>
      </c>
      <c r="L1765">
        <f>_xlfn.XLOOKUP(Tableau1[[#This Row],[TYPE DE PIECE]],Tableau4[MATIERE],Tableau4[SHORT TYPE],"",0,1)</f>
        <v/>
      </c>
      <c r="N1765">
        <f>IF(ISERR(FIND("DECOUPE",Tableau1[[#This Row],[DESIGNATION]])),"","NEED REF")</f>
        <v/>
      </c>
    </row>
    <row r="1766">
      <c r="B1766" t="n">
        <v>34412235</v>
      </c>
      <c r="C1766" s="2" t="n">
        <v>45265</v>
      </c>
      <c r="D1766" t="inlineStr">
        <is>
          <t>SPEC</t>
        </is>
      </c>
      <c r="E1766" t="inlineStr">
        <is>
          <t>SMT MONTANT LATERAL GAUCHE</t>
        </is>
      </c>
      <c r="G1766" t="inlineStr">
        <is>
          <t>GVXL</t>
        </is>
      </c>
      <c r="H1766" t="inlineStr">
        <is>
          <t>BATTERY</t>
        </is>
      </c>
      <c r="I1766" t="inlineStr">
        <is>
          <t>4xBBK 630A</t>
        </is>
      </c>
      <c r="J1766" t="inlineStr">
        <is>
          <t>Rodriguez</t>
        </is>
      </c>
      <c r="K1766" t="inlineStr">
        <is>
          <t>METAL</t>
        </is>
      </c>
      <c r="L1766">
        <f>_xlfn.XLOOKUP(Tableau1[[#This Row],[TYPE DE PIECE]],Tableau4[MATIERE],Tableau4[SHORT TYPE],"",0,1)</f>
        <v/>
      </c>
      <c r="N1766">
        <f>IF(ISERR(FIND("DECOUPE",Tableau1[[#This Row],[DESIGNATION]])),"","NEED REF")</f>
        <v/>
      </c>
    </row>
    <row r="1767">
      <c r="B1767" t="n">
        <v>34412234</v>
      </c>
      <c r="C1767" s="2" t="n">
        <v>45261</v>
      </c>
      <c r="D1767" t="inlineStr">
        <is>
          <t>SPEC</t>
        </is>
      </c>
      <c r="E1767" t="inlineStr">
        <is>
          <t>SMT SUPPORT PCBA STS 4/600A 4 POLES</t>
        </is>
      </c>
      <c r="F1767" t="inlineStr">
        <is>
          <t>TERACO</t>
        </is>
      </c>
      <c r="H1767" t="inlineStr">
        <is>
          <t>STS</t>
        </is>
      </c>
      <c r="I1767" t="inlineStr">
        <is>
          <t>600A</t>
        </is>
      </c>
      <c r="J1767" t="inlineStr">
        <is>
          <t>JAWORSKI</t>
        </is>
      </c>
      <c r="K1767" t="inlineStr">
        <is>
          <t>METAL</t>
        </is>
      </c>
      <c r="L1767">
        <f>_xlfn.XLOOKUP(Tableau1[[#This Row],[TYPE DE PIECE]],Tableau4[MATIERE],Tableau4[SHORT TYPE],"",0,1)</f>
        <v/>
      </c>
      <c r="N1767">
        <f>IF(ISERR(FIND("DECOUPE",Tableau1[[#This Row],[DESIGNATION]])),"","NEED REF")</f>
        <v/>
      </c>
    </row>
    <row r="1768">
      <c r="B1768" t="n">
        <v>34412233</v>
      </c>
      <c r="C1768" s="2" t="n">
        <v>45260</v>
      </c>
      <c r="D1768" t="inlineStr">
        <is>
          <t>SPEC</t>
        </is>
      </c>
      <c r="E1768" t="inlineStr">
        <is>
          <t>ARMOIRE SAREL 700*600*2100</t>
        </is>
      </c>
      <c r="I1768" t="inlineStr">
        <is>
          <t>10*6003uARMOIRE6</t>
        </is>
      </c>
      <c r="J1768" t="inlineStr">
        <is>
          <t>Rodriguez</t>
        </is>
      </c>
      <c r="K1768" t="inlineStr">
        <is>
          <t>SAREL</t>
        </is>
      </c>
      <c r="L1768">
        <f>_xlfn.XLOOKUP(Tableau1[[#This Row],[TYPE DE PIECE]],Tableau4[MATIERE],Tableau4[SHORT TYPE],"",0,1)</f>
        <v/>
      </c>
      <c r="N1768">
        <f>IF(ISERR(FIND("DECOUPE",Tableau1[[#This Row],[DESIGNATION]])),"","NEED REF")</f>
        <v/>
      </c>
    </row>
    <row r="1769">
      <c r="B1769" t="n">
        <v>34412232</v>
      </c>
      <c r="C1769" s="2" t="n">
        <v>45260</v>
      </c>
      <c r="D1769" t="inlineStr">
        <is>
          <t>SPEC</t>
        </is>
      </c>
      <c r="E1769">
        <f>_xlfn.CONCAT(Tableau1[[#This Row],[SHORT TYPE]]," ",Tableau1[[#This Row],[NUMERO]]," ",Tableau1[[#This Row],[GAMME]]," ",Tableau1[[#This Row],[TYPE PRODUIT]]," ",Tableau1[[#This Row],[PUISSANCE]])</f>
        <v/>
      </c>
      <c r="G1769" t="inlineStr">
        <is>
          <t>GVXL</t>
        </is>
      </c>
      <c r="H1769" t="inlineStr">
        <is>
          <t>BATTERY</t>
        </is>
      </c>
      <c r="I1769" t="inlineStr">
        <is>
          <t>5xBBK 630A</t>
        </is>
      </c>
      <c r="J1769" t="inlineStr">
        <is>
          <t>Rodriguez</t>
        </is>
      </c>
      <c r="K1769" t="inlineStr">
        <is>
          <t>METAL</t>
        </is>
      </c>
      <c r="L1769">
        <f>_xlfn.XLOOKUP(Tableau1[[#This Row],[TYPE DE PIECE]],Tableau4[MATIERE],Tableau4[SHORT TYPE],"",0,1)</f>
        <v/>
      </c>
      <c r="N1769">
        <f>IF(ISERR(FIND("DECOUPE",Tableau1[[#This Row],[DESIGNATION]])),"","NEED REF")</f>
        <v/>
      </c>
    </row>
    <row r="1770">
      <c r="B1770" t="n">
        <v>34412231</v>
      </c>
      <c r="C1770" s="2" t="n">
        <v>45259</v>
      </c>
      <c r="D1770" t="inlineStr">
        <is>
          <t>SPEC</t>
        </is>
      </c>
      <c r="E1770" t="inlineStr">
        <is>
          <t xml:space="preserve">SMT PLASTRON HAUT/BAS GVEAC7 </t>
        </is>
      </c>
      <c r="G1770" t="inlineStr">
        <is>
          <t>GVX</t>
        </is>
      </c>
      <c r="H1770" t="inlineStr">
        <is>
          <t>BATTERY</t>
        </is>
      </c>
      <c r="I1770" t="inlineStr">
        <is>
          <t>1T/2DBASHAUT</t>
        </is>
      </c>
      <c r="J1770" t="inlineStr">
        <is>
          <t>BERNARDEAU</t>
        </is>
      </c>
      <c r="K1770" t="inlineStr">
        <is>
          <t>METAL</t>
        </is>
      </c>
      <c r="L1770">
        <f>_xlfn.XLOOKUP(Tableau1[[#This Row],[TYPE DE PIECE]],Tableau4[MATIERE],Tableau4[SHORT TYPE],"",0,1)</f>
        <v/>
      </c>
      <c r="N1770">
        <f>IF(ISERR(FIND("DECOUPE",Tableau1[[#This Row],[DESIGNATION]])),"","NEED REF")</f>
        <v/>
      </c>
    </row>
    <row r="1771">
      <c r="B1771" t="n">
        <v>34412230</v>
      </c>
      <c r="C1771" s="2" t="n">
        <v>45259</v>
      </c>
      <c r="D1771" t="inlineStr">
        <is>
          <t>SPEC</t>
        </is>
      </c>
      <c r="E1771" t="inlineStr">
        <is>
          <t>SMT PLASTRON NW DC</t>
        </is>
      </c>
      <c r="G1771" t="inlineStr">
        <is>
          <t>GVX</t>
        </is>
      </c>
      <c r="H1771" t="inlineStr">
        <is>
          <t>BATTERY</t>
        </is>
      </c>
      <c r="I1771" t="inlineStr">
        <is>
          <t>1DC2DNWNW</t>
        </is>
      </c>
      <c r="J1771" t="inlineStr">
        <is>
          <t>BERNARDEAU</t>
        </is>
      </c>
      <c r="K1771" t="inlineStr">
        <is>
          <t>METAL</t>
        </is>
      </c>
      <c r="L1771">
        <f>_xlfn.XLOOKUP(Tableau1[[#This Row],[TYPE DE PIECE]],Tableau4[MATIERE],Tableau4[SHORT TYPE],"",0,1)</f>
        <v/>
      </c>
      <c r="N1771">
        <f>IF(ISERR(FIND("DECOUPE",Tableau1[[#This Row],[DESIGNATION]])),"","NEED REF")</f>
        <v/>
      </c>
    </row>
    <row r="1772">
      <c r="B1772" t="n">
        <v>34412229</v>
      </c>
      <c r="C1772" s="2" t="n">
        <v>45257</v>
      </c>
      <c r="D1772" t="inlineStr">
        <is>
          <t>SPEC</t>
        </is>
      </c>
      <c r="E1772" t="inlineStr">
        <is>
          <t>CUSTOMER CONECTION COVER_ETO</t>
        </is>
      </c>
      <c r="H1772" t="inlineStr">
        <is>
          <t>STS</t>
        </is>
      </c>
      <c r="I1772" t="inlineStr">
        <is>
          <t>250kVA</t>
        </is>
      </c>
      <c r="J1772" t="inlineStr">
        <is>
          <t>Rodriguez</t>
        </is>
      </c>
      <c r="K1772" t="inlineStr">
        <is>
          <t>PLASTIQUE</t>
        </is>
      </c>
      <c r="L1772">
        <f>_xlfn.XLOOKUP(Tableau1[[#This Row],[TYPE DE PIECE]],Tableau4[MATIERE],Tableau4[SHORT TYPE],"",0,1)</f>
        <v/>
      </c>
      <c r="N1772">
        <f>IF(ISERR(FIND("DECOUPE",Tableau1[[#This Row],[DESIGNATION]])),"","NEED REF")</f>
        <v/>
      </c>
    </row>
    <row r="1773">
      <c r="B1773" t="n">
        <v>34412228</v>
      </c>
      <c r="C1773" s="2" t="n">
        <v>45254</v>
      </c>
      <c r="D1773" t="inlineStr">
        <is>
          <t>SPEC</t>
        </is>
      </c>
      <c r="E1773" t="inlineStr">
        <is>
          <t>SMT 34412228  STS 1250A DEMI PLASTON 400</t>
        </is>
      </c>
      <c r="H1773" t="inlineStr">
        <is>
          <t>STS</t>
        </is>
      </c>
      <c r="I1773" t="inlineStr">
        <is>
          <t>1250A</t>
        </is>
      </c>
      <c r="J1773" t="inlineStr">
        <is>
          <t>MATRION</t>
        </is>
      </c>
      <c r="K1773" t="inlineStr">
        <is>
          <t>METAL</t>
        </is>
      </c>
      <c r="L1773">
        <f>_xlfn.XLOOKUP(Tableau1[[#This Row],[TYPE DE PIECE]],Tableau4[MATIERE],Tableau4[SHORT TYPE],"",0,1)</f>
        <v/>
      </c>
      <c r="N1773">
        <f>IF(ISERR(FIND("DECOUPE",Tableau1[[#This Row],[DESIGNATION]])),"","NEED REF")</f>
        <v/>
      </c>
    </row>
    <row r="1774">
      <c r="B1774" t="n">
        <v>34412227</v>
      </c>
      <c r="C1774" s="2" t="n">
        <v>45252</v>
      </c>
      <c r="D1774" t="inlineStr">
        <is>
          <t>SPEC</t>
        </is>
      </c>
      <c r="E1774" t="inlineStr">
        <is>
          <t xml:space="preserve">SMT PLAQUE TOIT GVXL </t>
        </is>
      </c>
      <c r="G1774" t="inlineStr">
        <is>
          <t>GVXL</t>
        </is>
      </c>
      <c r="H1774" t="inlineStr">
        <is>
          <t>IO</t>
        </is>
      </c>
      <c r="I1774" t="inlineStr">
        <is>
          <t>1250kVA</t>
        </is>
      </c>
      <c r="J1774" t="inlineStr">
        <is>
          <t>Rodriguez</t>
        </is>
      </c>
      <c r="K1774" t="inlineStr">
        <is>
          <t>METAL</t>
        </is>
      </c>
      <c r="L1774">
        <f>_xlfn.XLOOKUP(Tableau1[[#This Row],[TYPE DE PIECE]],Tableau4[MATIERE],Tableau4[SHORT TYPE],"",0,1)</f>
        <v/>
      </c>
      <c r="N1774">
        <f>IF(ISERR(FIND("DECOUPE",Tableau1[[#This Row],[DESIGNATION]])),"","NEED REF")</f>
        <v/>
      </c>
    </row>
    <row r="1775">
      <c r="B1775" t="n">
        <v>34412226</v>
      </c>
      <c r="C1775" s="2" t="n">
        <v>45252</v>
      </c>
      <c r="D1775" t="inlineStr">
        <is>
          <t>SPEC</t>
        </is>
      </c>
      <c r="E1775" t="inlineStr">
        <is>
          <t>SMT PASSE CABLE TOIT RAL9003</t>
        </is>
      </c>
      <c r="G1775" t="inlineStr">
        <is>
          <t>GVXL</t>
        </is>
      </c>
      <c r="H1775" t="inlineStr">
        <is>
          <t>IO</t>
        </is>
      </c>
      <c r="I1775" t="inlineStr">
        <is>
          <t>1250kVA</t>
        </is>
      </c>
      <c r="J1775" t="inlineStr">
        <is>
          <t>Rodriguez</t>
        </is>
      </c>
      <c r="K1775" t="inlineStr">
        <is>
          <t>METAL</t>
        </is>
      </c>
      <c r="L1775">
        <f>_xlfn.XLOOKUP(Tableau1[[#This Row],[TYPE DE PIECE]],Tableau4[MATIERE],Tableau4[SHORT TYPE],"",0,1)</f>
        <v/>
      </c>
      <c r="N1775">
        <f>IF(ISERR(FIND("DECOUPE",Tableau1[[#This Row],[DESIGNATION]])),"","NEED REF")</f>
        <v/>
      </c>
    </row>
    <row r="1776">
      <c r="B1776" t="n">
        <v>34412225</v>
      </c>
      <c r="C1776" s="2" t="n">
        <v>45251</v>
      </c>
      <c r="D1776" t="inlineStr">
        <is>
          <t>SPEC</t>
        </is>
      </c>
      <c r="E1776" t="inlineStr">
        <is>
          <t>COP PIECE L LONGUE DC</t>
        </is>
      </c>
      <c r="G1776" t="inlineStr">
        <is>
          <t>GVXL</t>
        </is>
      </c>
      <c r="H1776" t="inlineStr">
        <is>
          <t>IO</t>
        </is>
      </c>
      <c r="I1776" t="inlineStr">
        <is>
          <t>1250kVA</t>
        </is>
      </c>
      <c r="J1776" t="inlineStr">
        <is>
          <t>Rodriguez</t>
        </is>
      </c>
      <c r="K1776" t="inlineStr">
        <is>
          <t>CUIVRE</t>
        </is>
      </c>
      <c r="L1776">
        <f>_xlfn.XLOOKUP(Tableau1[[#This Row],[TYPE DE PIECE]],Tableau4[MATIERE],Tableau4[SHORT TYPE],"",0,1)</f>
        <v/>
      </c>
      <c r="N1776">
        <f>IF(ISERR(FIND("DECOUPE",Tableau1[[#This Row],[DESIGNATION]])),"","NEED REF")</f>
        <v/>
      </c>
    </row>
    <row r="1777">
      <c r="B1777" t="n">
        <v>34412224</v>
      </c>
      <c r="C1777" s="2" t="n">
        <v>45251</v>
      </c>
      <c r="D1777" t="inlineStr">
        <is>
          <t>SPEC</t>
        </is>
      </c>
      <c r="E1777" t="inlineStr">
        <is>
          <t>COP PIECE L COURTE DC</t>
        </is>
      </c>
      <c r="G1777" t="inlineStr">
        <is>
          <t>GVXL</t>
        </is>
      </c>
      <c r="H1777" t="inlineStr">
        <is>
          <t>IO</t>
        </is>
      </c>
      <c r="I1777" t="inlineStr">
        <is>
          <t>1250kVA</t>
        </is>
      </c>
      <c r="J1777" t="inlineStr">
        <is>
          <t>Rodriguez</t>
        </is>
      </c>
      <c r="K1777" t="inlineStr">
        <is>
          <t>CUIVRE</t>
        </is>
      </c>
      <c r="L1777">
        <f>_xlfn.XLOOKUP(Tableau1[[#This Row],[TYPE DE PIECE]],Tableau4[MATIERE],Tableau4[SHORT TYPE],"",0,1)</f>
        <v/>
      </c>
      <c r="N1777">
        <f>IF(ISERR(FIND("DECOUPE",Tableau1[[#This Row],[DESIGNATION]])),"","NEED REF")</f>
        <v/>
      </c>
    </row>
    <row r="1778">
      <c r="B1778" t="n">
        <v>34412223</v>
      </c>
      <c r="C1778" s="2" t="n">
        <v>45250</v>
      </c>
      <c r="D1778" t="inlineStr">
        <is>
          <t>SPEC</t>
        </is>
      </c>
      <c r="E1778" t="inlineStr">
        <is>
          <t>ETQ 34412223  STS 1250A PHASES</t>
        </is>
      </c>
      <c r="H1778" t="inlineStr">
        <is>
          <t>STS</t>
        </is>
      </c>
      <c r="I1778" t="inlineStr">
        <is>
          <t>1250A</t>
        </is>
      </c>
      <c r="J1778" t="inlineStr">
        <is>
          <t>MATRION</t>
        </is>
      </c>
      <c r="K1778" t="inlineStr">
        <is>
          <t>ETIQUETTE</t>
        </is>
      </c>
      <c r="L1778">
        <f>_xlfn.XLOOKUP(Tableau1[[#This Row],[TYPE DE PIECE]],Tableau4[MATIERE],Tableau4[SHORT TYPE],"",0,1)</f>
        <v/>
      </c>
      <c r="N1778">
        <f>IF(ISERR(FIND("DECOUPE",Tableau1[[#This Row],[DESIGNATION]])),"","NEED REF")</f>
        <v/>
      </c>
    </row>
    <row r="1779">
      <c r="B1779" t="n">
        <v>34412222</v>
      </c>
      <c r="C1779" s="2" t="n">
        <v>45250</v>
      </c>
      <c r="D1779" t="inlineStr">
        <is>
          <t>SPEC</t>
        </is>
      </c>
      <c r="E1779" t="inlineStr">
        <is>
          <t>SMT GRILLE AIR BOX TOIT RAL9003</t>
        </is>
      </c>
      <c r="G1779" t="inlineStr">
        <is>
          <t>GVXL</t>
        </is>
      </c>
      <c r="H1779" t="inlineStr">
        <is>
          <t>IO</t>
        </is>
      </c>
      <c r="I1779" t="inlineStr">
        <is>
          <t>1250kVA</t>
        </is>
      </c>
      <c r="J1779" t="inlineStr">
        <is>
          <t>Rodriguez</t>
        </is>
      </c>
      <c r="K1779" t="inlineStr">
        <is>
          <t>METAL</t>
        </is>
      </c>
      <c r="L1779">
        <f>_xlfn.XLOOKUP(Tableau1[[#This Row],[TYPE DE PIECE]],Tableau4[MATIERE],Tableau4[SHORT TYPE],"",0,1)</f>
        <v/>
      </c>
      <c r="N1779">
        <f>IF(ISERR(FIND("DECOUPE",Tableau1[[#This Row],[DESIGNATION]])),"","NEED REF")</f>
        <v/>
      </c>
    </row>
    <row r="1780">
      <c r="B1780" t="n">
        <v>34412221</v>
      </c>
      <c r="C1780" s="2" t="n">
        <v>45250</v>
      </c>
      <c r="D1780" t="inlineStr">
        <is>
          <t>SPEC</t>
        </is>
      </c>
      <c r="E1780" t="inlineStr">
        <is>
          <t>ETQ 34412221  STS 1250A NEUTRE COUPE</t>
        </is>
      </c>
      <c r="H1780" t="inlineStr">
        <is>
          <t>STS</t>
        </is>
      </c>
      <c r="I1780" t="inlineStr">
        <is>
          <t>1250A</t>
        </is>
      </c>
      <c r="J1780" t="inlineStr">
        <is>
          <t>MATRION</t>
        </is>
      </c>
      <c r="K1780" t="inlineStr">
        <is>
          <t>ETIQUETTE</t>
        </is>
      </c>
      <c r="L1780">
        <f>_xlfn.XLOOKUP(Tableau1[[#This Row],[TYPE DE PIECE]],Tableau4[MATIERE],Tableau4[SHORT TYPE],"",0,1)</f>
        <v/>
      </c>
      <c r="N1780">
        <f>IF(ISERR(FIND("DECOUPE",Tableau1[[#This Row],[DESIGNATION]])),"","NEED REF")</f>
        <v/>
      </c>
    </row>
    <row r="1781">
      <c r="B1781" t="n">
        <v>34412220</v>
      </c>
      <c r="C1781" s="2" t="n">
        <v>45250</v>
      </c>
      <c r="D1781" t="inlineStr">
        <is>
          <t>SPEC</t>
        </is>
      </c>
      <c r="E1781" t="inlineStr">
        <is>
          <t>SMT GRILLE AIR BOX 2 RAL9003</t>
        </is>
      </c>
      <c r="G1781" t="inlineStr">
        <is>
          <t>GVXL</t>
        </is>
      </c>
      <c r="H1781" t="inlineStr">
        <is>
          <t>IO</t>
        </is>
      </c>
      <c r="I1781" t="inlineStr">
        <is>
          <t>1250kVA</t>
        </is>
      </c>
      <c r="J1781" t="inlineStr">
        <is>
          <t>Rodriguez</t>
        </is>
      </c>
      <c r="K1781" t="inlineStr">
        <is>
          <t>METAL</t>
        </is>
      </c>
      <c r="L1781">
        <f>_xlfn.XLOOKUP(Tableau1[[#This Row],[TYPE DE PIECE]],Tableau4[MATIERE],Tableau4[SHORT TYPE],"",0,1)</f>
        <v/>
      </c>
      <c r="N1781">
        <f>IF(ISERR(FIND("DECOUPE",Tableau1[[#This Row],[DESIGNATION]])),"","NEED REF")</f>
        <v/>
      </c>
    </row>
    <row r="1782">
      <c r="B1782" t="n">
        <v>34412219</v>
      </c>
      <c r="C1782" s="2" t="n">
        <v>45250</v>
      </c>
      <c r="D1782" t="inlineStr">
        <is>
          <t>SPEC</t>
        </is>
      </c>
      <c r="E1782" t="inlineStr">
        <is>
          <t>SMT GRILLE AIR BOX RAL9003</t>
        </is>
      </c>
      <c r="G1782" t="inlineStr">
        <is>
          <t>GVXL</t>
        </is>
      </c>
      <c r="H1782" t="inlineStr">
        <is>
          <t>IO</t>
        </is>
      </c>
      <c r="I1782" t="inlineStr">
        <is>
          <t>1250kVA</t>
        </is>
      </c>
      <c r="J1782" t="inlineStr">
        <is>
          <t>Rodriguez</t>
        </is>
      </c>
      <c r="K1782" t="inlineStr">
        <is>
          <t>METAL</t>
        </is>
      </c>
      <c r="L1782">
        <f>_xlfn.XLOOKUP(Tableau1[[#This Row],[TYPE DE PIECE]],Tableau4[MATIERE],Tableau4[SHORT TYPE],"",0,1)</f>
        <v/>
      </c>
      <c r="N1782">
        <f>IF(ISERR(FIND("DECOUPE",Tableau1[[#This Row],[DESIGNATION]])),"","NEED REF")</f>
        <v/>
      </c>
    </row>
    <row r="1783">
      <c r="B1783" t="n">
        <v>34412218</v>
      </c>
      <c r="C1783" s="2" t="n">
        <v>45250</v>
      </c>
      <c r="D1783" t="inlineStr">
        <is>
          <t>SPEC</t>
        </is>
      </c>
      <c r="E1783" t="inlineStr">
        <is>
          <t>ETQ 34412218  STS 1250A RC</t>
        </is>
      </c>
      <c r="H1783" t="inlineStr">
        <is>
          <t>STS</t>
        </is>
      </c>
      <c r="I1783" t="inlineStr">
        <is>
          <t>1250A</t>
        </is>
      </c>
      <c r="J1783" t="inlineStr">
        <is>
          <t>MATRION</t>
        </is>
      </c>
      <c r="K1783" t="inlineStr">
        <is>
          <t>ETIQUETTE</t>
        </is>
      </c>
      <c r="L1783">
        <f>_xlfn.XLOOKUP(Tableau1[[#This Row],[TYPE DE PIECE]],Tableau4[MATIERE],Tableau4[SHORT TYPE],"",0,1)</f>
        <v/>
      </c>
      <c r="N1783">
        <f>IF(ISERR(FIND("DECOUPE",Tableau1[[#This Row],[DESIGNATION]])),"","NEED REF")</f>
        <v/>
      </c>
    </row>
    <row r="1784">
      <c r="B1784" t="n">
        <v>34412217</v>
      </c>
      <c r="C1784" s="2" t="n">
        <v>45247</v>
      </c>
      <c r="D1784" t="inlineStr">
        <is>
          <t>SPEC</t>
        </is>
      </c>
      <c r="E1784" t="inlineStr">
        <is>
          <t>ETQ 34412217  STS 1250A BYPASS</t>
        </is>
      </c>
      <c r="H1784" t="inlineStr">
        <is>
          <t>STS</t>
        </is>
      </c>
      <c r="I1784" t="inlineStr">
        <is>
          <t>1250A</t>
        </is>
      </c>
      <c r="J1784" t="inlineStr">
        <is>
          <t>MATRION</t>
        </is>
      </c>
      <c r="K1784" t="inlineStr">
        <is>
          <t>ETIQUETTE</t>
        </is>
      </c>
      <c r="L1784">
        <f>_xlfn.XLOOKUP(Tableau1[[#This Row],[TYPE DE PIECE]],Tableau4[MATIERE],Tableau4[SHORT TYPE],"",0,1)</f>
        <v/>
      </c>
      <c r="N1784">
        <f>IF(ISERR(FIND("DECOUPE",Tableau1[[#This Row],[DESIGNATION]])),"","NEED REF")</f>
        <v/>
      </c>
    </row>
    <row r="1785">
      <c r="B1785" t="n">
        <v>34412216</v>
      </c>
      <c r="C1785" s="2" t="n">
        <v>45247</v>
      </c>
      <c r="D1785" t="inlineStr">
        <is>
          <t>SPEC</t>
        </is>
      </c>
      <c r="E1785" t="inlineStr">
        <is>
          <t>SMT MONTANT SIDE AIR BOX RAL9003</t>
        </is>
      </c>
      <c r="G1785" t="inlineStr">
        <is>
          <t>GVXL</t>
        </is>
      </c>
      <c r="H1785" t="inlineStr">
        <is>
          <t>IO</t>
        </is>
      </c>
      <c r="I1785" t="inlineStr">
        <is>
          <t>1250kVA</t>
        </is>
      </c>
      <c r="J1785" t="inlineStr">
        <is>
          <t>Rodriguez</t>
        </is>
      </c>
      <c r="K1785" t="inlineStr">
        <is>
          <t>METAL</t>
        </is>
      </c>
      <c r="L1785">
        <f>_xlfn.XLOOKUP(Tableau1[[#This Row],[TYPE DE PIECE]],Tableau4[MATIERE],Tableau4[SHORT TYPE],"",0,1)</f>
        <v/>
      </c>
      <c r="N1785">
        <f>IF(ISERR(FIND("DECOUPE",Tableau1[[#This Row],[DESIGNATION]])),"","NEED REF")</f>
        <v/>
      </c>
    </row>
    <row r="1786">
      <c r="B1786" t="n">
        <v>34412215</v>
      </c>
      <c r="C1786" s="2" t="n">
        <v>45247</v>
      </c>
      <c r="D1786" t="inlineStr">
        <is>
          <t>SPEC</t>
        </is>
      </c>
      <c r="E1786">
        <f>_xlfn.CONCAT(Tableau1[[#This Row],[SHORT TYPE]]," ",Tableau1[[#This Row],[NUMERO]]," ",Tableau1[[#This Row],[GAMME]]," ",Tableau1[[#This Row],[TYPE PRODUIT]]," ",Tableau1[[#This Row],[PUISSANCE]])</f>
        <v/>
      </c>
      <c r="H1786" t="inlineStr">
        <is>
          <t>STS</t>
        </is>
      </c>
      <c r="I1786" t="inlineStr">
        <is>
          <t>1250A</t>
        </is>
      </c>
      <c r="J1786" t="inlineStr">
        <is>
          <t>MATRION</t>
        </is>
      </c>
      <c r="K1786" t="inlineStr">
        <is>
          <t>PLASTIQUE</t>
        </is>
      </c>
      <c r="L1786">
        <f>_xlfn.XLOOKUP(Tableau1[[#This Row],[TYPE DE PIECE]],Tableau4[MATIERE],Tableau4[SHORT TYPE],"",0,1)</f>
        <v/>
      </c>
      <c r="N1786">
        <f>IF(ISERR(FIND("DECOUPE",Tableau1[[#This Row],[DESIGNATION]])),"","NEED REF")</f>
        <v/>
      </c>
    </row>
    <row r="1787">
      <c r="B1787" t="n">
        <v>34412214</v>
      </c>
      <c r="C1787" s="2" t="n">
        <v>45246</v>
      </c>
      <c r="D1787" t="inlineStr">
        <is>
          <t>SPEC</t>
        </is>
      </c>
      <c r="E1787" t="inlineStr">
        <is>
          <t>COP L NEUTRE</t>
        </is>
      </c>
      <c r="G1787" t="inlineStr">
        <is>
          <t>GVXL</t>
        </is>
      </c>
      <c r="H1787" t="inlineStr">
        <is>
          <t>IO</t>
        </is>
      </c>
      <c r="I1787" t="inlineStr">
        <is>
          <t>1250kVA</t>
        </is>
      </c>
      <c r="J1787" t="inlineStr">
        <is>
          <t>Rodriguez</t>
        </is>
      </c>
      <c r="K1787" t="inlineStr">
        <is>
          <t>CUIVRE</t>
        </is>
      </c>
      <c r="L1787">
        <f>_xlfn.XLOOKUP(Tableau1[[#This Row],[TYPE DE PIECE]],Tableau4[MATIERE],Tableau4[SHORT TYPE],"",0,1)</f>
        <v/>
      </c>
      <c r="N1787">
        <f>IF(ISERR(FIND("DECOUPE",Tableau1[[#This Row],[DESIGNATION]])),"","NEED REF")</f>
        <v/>
      </c>
    </row>
    <row r="1788">
      <c r="B1788" t="n">
        <v>34412213</v>
      </c>
      <c r="C1788" s="2" t="n">
        <v>45246</v>
      </c>
      <c r="D1788" t="inlineStr">
        <is>
          <t>SPEC</t>
        </is>
      </c>
      <c r="E1788" t="inlineStr">
        <is>
          <t>SMT GRILLE CAISSON 2</t>
        </is>
      </c>
      <c r="G1788" t="inlineStr">
        <is>
          <t>GVXL</t>
        </is>
      </c>
      <c r="H1788" t="inlineStr">
        <is>
          <t>IO</t>
        </is>
      </c>
      <c r="I1788" t="inlineStr">
        <is>
          <t>1250kVA</t>
        </is>
      </c>
      <c r="J1788" t="inlineStr">
        <is>
          <t>Rodriguez</t>
        </is>
      </c>
      <c r="K1788" t="inlineStr">
        <is>
          <t>METAL</t>
        </is>
      </c>
      <c r="L1788">
        <f>_xlfn.XLOOKUP(Tableau1[[#This Row],[TYPE DE PIECE]],Tableau4[MATIERE],Tableau4[SHORT TYPE],"",0,1)</f>
        <v/>
      </c>
      <c r="N1788">
        <f>IF(ISERR(FIND("DECOUPE",Tableau1[[#This Row],[DESIGNATION]])),"","NEED REF")</f>
        <v/>
      </c>
    </row>
    <row r="1789">
      <c r="B1789" t="n">
        <v>34412212</v>
      </c>
      <c r="C1789" s="2" t="n">
        <v>45246</v>
      </c>
      <c r="D1789" t="inlineStr">
        <is>
          <t>SPEC</t>
        </is>
      </c>
      <c r="E1789" t="inlineStr">
        <is>
          <t xml:space="preserve">SMT GRILLE CAISSON </t>
        </is>
      </c>
      <c r="G1789" t="inlineStr">
        <is>
          <t>GVXL</t>
        </is>
      </c>
      <c r="H1789" t="inlineStr">
        <is>
          <t>IO</t>
        </is>
      </c>
      <c r="I1789" t="inlineStr">
        <is>
          <t>1250kVA</t>
        </is>
      </c>
      <c r="J1789" t="inlineStr">
        <is>
          <t>Rodriguez</t>
        </is>
      </c>
      <c r="K1789" t="inlineStr">
        <is>
          <t>METAL</t>
        </is>
      </c>
      <c r="L1789">
        <f>_xlfn.XLOOKUP(Tableau1[[#This Row],[TYPE DE PIECE]],Tableau4[MATIERE],Tableau4[SHORT TYPE],"",0,1)</f>
        <v/>
      </c>
      <c r="N1789">
        <f>IF(ISERR(FIND("DECOUPE",Tableau1[[#This Row],[DESIGNATION]])),"","NEED REF")</f>
        <v/>
      </c>
    </row>
    <row r="1790">
      <c r="B1790" t="n">
        <v>34412211</v>
      </c>
      <c r="C1790" s="2" t="n">
        <v>45245</v>
      </c>
      <c r="D1790" t="inlineStr">
        <is>
          <t>SPEC</t>
        </is>
      </c>
      <c r="E1790" t="inlineStr">
        <is>
          <t>ASSY SUPPORT PCBA STS 4/600A 4 POLES_ETO</t>
        </is>
      </c>
      <c r="H1790" t="inlineStr">
        <is>
          <t>STS</t>
        </is>
      </c>
      <c r="I1790" t="inlineStr">
        <is>
          <t>400/630A</t>
        </is>
      </c>
      <c r="J1790" t="inlineStr">
        <is>
          <t>MONGELLI</t>
        </is>
      </c>
      <c r="K1790" t="inlineStr">
        <is>
          <t>METAL</t>
        </is>
      </c>
      <c r="L1790" t="inlineStr">
        <is>
          <t>SMT</t>
        </is>
      </c>
      <c r="N1790">
        <f>IF(ISERR(FIND("DECOUPE",Tableau1[[#This Row],[DESIGNATION]])),"","NEED REF")</f>
        <v/>
      </c>
    </row>
    <row r="1791">
      <c r="B1791" t="n">
        <v>34412210</v>
      </c>
      <c r="C1791" s="2" t="n">
        <v>45244</v>
      </c>
      <c r="D1791" t="inlineStr">
        <is>
          <t>SPEC</t>
        </is>
      </c>
      <c r="E1791">
        <f>_xlfn.CONCAT(Tableau1[[#This Row],[SHORT TYPE]]," ",Tableau1[[#This Row],[NUMERO]]," ",Tableau1[[#This Row],[GAMME]]," ",Tableau1[[#This Row],[TYPE PRODUIT]]," ",Tableau1[[#This Row],[PUISSANCE]])</f>
        <v/>
      </c>
      <c r="G1791" t="inlineStr">
        <is>
          <t>GVX</t>
        </is>
      </c>
      <c r="H1791" t="inlineStr">
        <is>
          <t>BATTERY</t>
        </is>
      </c>
      <c r="I1791" t="inlineStr">
        <is>
          <t>2xBBK 630A</t>
        </is>
      </c>
      <c r="J1791" t="inlineStr">
        <is>
          <t>MATRION</t>
        </is>
      </c>
      <c r="K1791" t="inlineStr">
        <is>
          <t>METAL</t>
        </is>
      </c>
      <c r="L1791">
        <f>_xlfn.XLOOKUP(Tableau1[[#This Row],[TYPE DE PIECE]],Tableau4[MATIERE],Tableau4[SHORT TYPE],"",0,1)</f>
        <v/>
      </c>
      <c r="N1791">
        <f>IF(ISERR(FIND("DECOUPE",Tableau1[[#This Row],[DESIGNATION]])),"","NEED REF")</f>
        <v/>
      </c>
    </row>
    <row r="1792">
      <c r="B1792" t="n">
        <v>34412209</v>
      </c>
      <c r="C1792" s="2" t="n">
        <v>45244</v>
      </c>
      <c r="D1792" t="inlineStr">
        <is>
          <t>SPEC</t>
        </is>
      </c>
      <c r="E1792" t="inlineStr">
        <is>
          <t>SMT TOIT DROIT QPPL40904</t>
        </is>
      </c>
      <c r="G1792" t="inlineStr">
        <is>
          <t>GVXL</t>
        </is>
      </c>
      <c r="H1792" t="inlineStr">
        <is>
          <t>IO</t>
        </is>
      </c>
      <c r="I1792" t="inlineStr">
        <is>
          <t>1250kVA</t>
        </is>
      </c>
      <c r="J1792" t="inlineStr">
        <is>
          <t>Rodriguez</t>
        </is>
      </c>
      <c r="K1792" t="inlineStr">
        <is>
          <t>METAL</t>
        </is>
      </c>
      <c r="L1792">
        <f>_xlfn.XLOOKUP(Tableau1[[#This Row],[TYPE DE PIECE]],Tableau4[MATIERE],Tableau4[SHORT TYPE],"",0,1)</f>
        <v/>
      </c>
      <c r="N1792">
        <f>IF(ISERR(FIND("DECOUPE",Tableau1[[#This Row],[DESIGNATION]])),"","NEED REF")</f>
        <v/>
      </c>
    </row>
    <row r="1793">
      <c r="B1793" t="n">
        <v>34412208</v>
      </c>
      <c r="C1793" s="2" t="n">
        <v>45244</v>
      </c>
      <c r="D1793" t="inlineStr">
        <is>
          <t>SPEC</t>
        </is>
      </c>
      <c r="E1793" t="inlineStr">
        <is>
          <t>SMT TOIT GAUCHE QPPL40904</t>
        </is>
      </c>
      <c r="G1793" t="inlineStr">
        <is>
          <t>GVXL</t>
        </is>
      </c>
      <c r="H1793" t="inlineStr">
        <is>
          <t>IO</t>
        </is>
      </c>
      <c r="I1793" t="inlineStr">
        <is>
          <t>1250kVA</t>
        </is>
      </c>
      <c r="J1793" t="inlineStr">
        <is>
          <t>Rodriguez</t>
        </is>
      </c>
      <c r="K1793" t="inlineStr">
        <is>
          <t>METAL</t>
        </is>
      </c>
      <c r="L1793">
        <f>_xlfn.XLOOKUP(Tableau1[[#This Row],[TYPE DE PIECE]],Tableau4[MATIERE],Tableau4[SHORT TYPE],"",0,1)</f>
        <v/>
      </c>
      <c r="N1793">
        <f>IF(ISERR(FIND("DECOUPE",Tableau1[[#This Row],[DESIGNATION]])),"","NEED REF")</f>
        <v/>
      </c>
    </row>
    <row r="1794">
      <c r="B1794" t="n">
        <v>34412207</v>
      </c>
      <c r="C1794" s="2" t="n">
        <v>45243</v>
      </c>
      <c r="D1794" t="inlineStr">
        <is>
          <t>SPEC</t>
        </is>
      </c>
      <c r="E1794" t="inlineStr">
        <is>
          <t>SMT CORNIERE ISOLATION</t>
        </is>
      </c>
      <c r="G1794" t="inlineStr">
        <is>
          <t>GVXL</t>
        </is>
      </c>
      <c r="H1794" t="inlineStr">
        <is>
          <t>IO</t>
        </is>
      </c>
      <c r="I1794" t="inlineStr">
        <is>
          <t>1250kVA</t>
        </is>
      </c>
      <c r="J1794" t="inlineStr">
        <is>
          <t>Rodriguez</t>
        </is>
      </c>
      <c r="K1794" t="inlineStr">
        <is>
          <t>METAL</t>
        </is>
      </c>
      <c r="L1794">
        <f>_xlfn.XLOOKUP(Tableau1[[#This Row],[TYPE DE PIECE]],Tableau4[MATIERE],Tableau4[SHORT TYPE],"",0,1)</f>
        <v/>
      </c>
      <c r="N1794">
        <f>IF(ISERR(FIND("DECOUPE",Tableau1[[#This Row],[DESIGNATION]])),"","NEED REF")</f>
        <v/>
      </c>
    </row>
    <row r="1795">
      <c r="B1795" t="n">
        <v>34412206</v>
      </c>
      <c r="C1795" s="2" t="n">
        <v>45240</v>
      </c>
      <c r="D1795" t="inlineStr">
        <is>
          <t>SPEC</t>
        </is>
      </c>
      <c r="E1795" t="inlineStr">
        <is>
          <t>SMT TOIT CANALIS 3</t>
        </is>
      </c>
      <c r="G1795" t="inlineStr">
        <is>
          <t>GVXL</t>
        </is>
      </c>
      <c r="H1795" t="inlineStr">
        <is>
          <t>IO</t>
        </is>
      </c>
      <c r="I1795" t="inlineStr">
        <is>
          <t>1250kVA</t>
        </is>
      </c>
      <c r="J1795" t="inlineStr">
        <is>
          <t>Rodriguez</t>
        </is>
      </c>
      <c r="K1795" t="inlineStr">
        <is>
          <t>METAL</t>
        </is>
      </c>
      <c r="L1795">
        <f>_xlfn.XLOOKUP(Tableau1[[#This Row],[TYPE DE PIECE]],Tableau4[MATIERE],Tableau4[SHORT TYPE],"",0,1)</f>
        <v/>
      </c>
      <c r="N1795">
        <f>IF(ISERR(FIND("DECOUPE",Tableau1[[#This Row],[DESIGNATION]])),"","NEED REF")</f>
        <v/>
      </c>
    </row>
    <row r="1796">
      <c r="B1796" t="n">
        <v>34412205</v>
      </c>
      <c r="C1796" s="2" t="n">
        <v>45240</v>
      </c>
      <c r="D1796" t="inlineStr">
        <is>
          <t>SPEC</t>
        </is>
      </c>
      <c r="E1796" t="inlineStr">
        <is>
          <t>SMT TOIT CANALIS 2</t>
        </is>
      </c>
      <c r="G1796" t="inlineStr">
        <is>
          <t>GVXL</t>
        </is>
      </c>
      <c r="H1796" t="inlineStr">
        <is>
          <t>IO</t>
        </is>
      </c>
      <c r="I1796" t="inlineStr">
        <is>
          <t>1250kVA</t>
        </is>
      </c>
      <c r="J1796" t="inlineStr">
        <is>
          <t>Rodriguez</t>
        </is>
      </c>
      <c r="K1796" t="inlineStr">
        <is>
          <t>METAL</t>
        </is>
      </c>
      <c r="L1796">
        <f>_xlfn.XLOOKUP(Tableau1[[#This Row],[TYPE DE PIECE]],Tableau4[MATIERE],Tableau4[SHORT TYPE],"",0,1)</f>
        <v/>
      </c>
      <c r="N1796">
        <f>IF(ISERR(FIND("DECOUPE",Tableau1[[#This Row],[DESIGNATION]])),"","NEED REF")</f>
        <v/>
      </c>
    </row>
    <row r="1797">
      <c r="B1797" t="n">
        <v>34412204</v>
      </c>
      <c r="C1797" s="2" t="n">
        <v>45239</v>
      </c>
      <c r="D1797" t="inlineStr">
        <is>
          <t>SPEC</t>
        </is>
      </c>
      <c r="E1797" t="inlineStr">
        <is>
          <t>ETQ 34412204  STS 1250A EN/DE MIMIQUE Lexan 8B35 125µ Adhesif 3M 467 MP</t>
        </is>
      </c>
      <c r="H1797" t="inlineStr">
        <is>
          <t>STS</t>
        </is>
      </c>
      <c r="I1797" t="inlineStr">
        <is>
          <t>1250A</t>
        </is>
      </c>
      <c r="J1797" t="inlineStr">
        <is>
          <t>MATRION</t>
        </is>
      </c>
      <c r="K1797" t="inlineStr">
        <is>
          <t>ETIQUETTE</t>
        </is>
      </c>
      <c r="L1797">
        <f>_xlfn.XLOOKUP(Tableau1[[#This Row],[TYPE DE PIECE]],Tableau4[MATIERE],Tableau4[SHORT TYPE],"",0,1)</f>
        <v/>
      </c>
      <c r="N1797">
        <f>IF(ISERR(FIND("DECOUPE",Tableau1[[#This Row],[DESIGNATION]])),"","NEED REF")</f>
        <v/>
      </c>
    </row>
    <row r="1798">
      <c r="B1798" t="n">
        <v>34412203</v>
      </c>
      <c r="C1798" s="2" t="n">
        <v>45238</v>
      </c>
      <c r="D1798" t="inlineStr">
        <is>
          <t>SPEC</t>
        </is>
      </c>
      <c r="E1798" t="inlineStr">
        <is>
          <t>SMT 34412203 GVX BATTERY BBK 630A - Support PE</t>
        </is>
      </c>
      <c r="G1798" t="inlineStr">
        <is>
          <t>GVX</t>
        </is>
      </c>
      <c r="H1798" t="inlineStr">
        <is>
          <t>BATTERY</t>
        </is>
      </c>
      <c r="I1798" t="inlineStr">
        <is>
          <t>BBK 630A</t>
        </is>
      </c>
      <c r="J1798" t="inlineStr">
        <is>
          <t>MATRION</t>
        </is>
      </c>
      <c r="K1798" t="inlineStr">
        <is>
          <t>METAL</t>
        </is>
      </c>
      <c r="L1798">
        <f>_xlfn.XLOOKUP(Tableau1[[#This Row],[TYPE DE PIECE]],Tableau4[MATIERE],Tableau4[SHORT TYPE],"",0,1)</f>
        <v/>
      </c>
      <c r="N1798">
        <f>IF(ISERR(FIND("DECOUPE",Tableau1[[#This Row],[DESIGNATION]])),"","NEED REF")</f>
        <v/>
      </c>
    </row>
    <row r="1799">
      <c r="B1799" t="n">
        <v>34412202</v>
      </c>
      <c r="C1799" s="2" t="n">
        <v>45238</v>
      </c>
      <c r="D1799" t="inlineStr">
        <is>
          <t>SPEC</t>
        </is>
      </c>
      <c r="E1799" t="inlineStr">
        <is>
          <t>SMT 34412202 GVX BATTERY 3xBBK 630A - DECOUPE TOIT 34412030</t>
        </is>
      </c>
      <c r="G1799" t="inlineStr">
        <is>
          <t>GVX</t>
        </is>
      </c>
      <c r="H1799" t="inlineStr">
        <is>
          <t>BATTERY</t>
        </is>
      </c>
      <c r="I1799" t="inlineStr">
        <is>
          <t>3xBBK 630A</t>
        </is>
      </c>
      <c r="J1799" t="inlineStr">
        <is>
          <t>MATRION</t>
        </is>
      </c>
      <c r="K1799" t="inlineStr">
        <is>
          <t>METAL</t>
        </is>
      </c>
      <c r="L1799">
        <f>_xlfn.XLOOKUP(Tableau1[[#This Row],[TYPE DE PIECE]],Tableau4[MATIERE],Tableau4[SHORT TYPE],"",0,1)</f>
        <v/>
      </c>
      <c r="N1799" t="n">
        <v>34412030</v>
      </c>
    </row>
    <row r="1800">
      <c r="B1800" t="n">
        <v>34412201</v>
      </c>
      <c r="C1800" s="2" t="n">
        <v>45237</v>
      </c>
      <c r="D1800" t="inlineStr">
        <is>
          <t>SPEC</t>
        </is>
      </c>
      <c r="E1800" t="inlineStr">
        <is>
          <t>SMT 34412201 GVX BATTERY 3xBBK 630A - Toit ALU 6mm</t>
        </is>
      </c>
      <c r="G1800" t="inlineStr">
        <is>
          <t>GVX</t>
        </is>
      </c>
      <c r="H1800" t="inlineStr">
        <is>
          <t>BATTERY</t>
        </is>
      </c>
      <c r="I1800" t="inlineStr">
        <is>
          <t>3xBBK 630A</t>
        </is>
      </c>
      <c r="J1800" t="inlineStr">
        <is>
          <t>MATRION</t>
        </is>
      </c>
      <c r="K1800" t="inlineStr">
        <is>
          <t>METAL</t>
        </is>
      </c>
      <c r="L1800">
        <f>_xlfn.XLOOKUP(Tableau1[[#This Row],[TYPE DE PIECE]],Tableau4[MATIERE],Tableau4[SHORT TYPE],"",0,1)</f>
        <v/>
      </c>
      <c r="N1800">
        <f>IF(ISERR(FIND("DECOUPE",Tableau1[[#This Row],[DESIGNATION]])),"","NEED REF")</f>
        <v/>
      </c>
    </row>
    <row r="1801">
      <c r="B1801" t="n">
        <v>34412200</v>
      </c>
      <c r="C1801" s="2" t="n">
        <v>45237</v>
      </c>
      <c r="D1801" t="inlineStr">
        <is>
          <t>SPEC</t>
        </is>
      </c>
      <c r="E1801" t="inlineStr">
        <is>
          <t>COP NEUTRAL COMMON</t>
        </is>
      </c>
      <c r="G1801" t="inlineStr">
        <is>
          <t>GVXL</t>
        </is>
      </c>
      <c r="H1801" t="inlineStr">
        <is>
          <t>IO</t>
        </is>
      </c>
      <c r="I1801" t="inlineStr">
        <is>
          <t>1250kVA</t>
        </is>
      </c>
      <c r="J1801" t="inlineStr">
        <is>
          <t>Rodriguez</t>
        </is>
      </c>
      <c r="K1801" t="inlineStr">
        <is>
          <t>CUIVRE</t>
        </is>
      </c>
      <c r="L1801">
        <f>_xlfn.XLOOKUP(Tableau1[[#This Row],[TYPE DE PIECE]],Tableau4[MATIERE],Tableau4[SHORT TYPE],"",0,1)</f>
        <v/>
      </c>
      <c r="N1801">
        <f>IF(ISERR(FIND("DECOUPE",Tableau1[[#This Row],[DESIGNATION]])),"","NEED REF")</f>
        <v/>
      </c>
    </row>
    <row r="1802">
      <c r="B1802" t="n">
        <v>34412199</v>
      </c>
      <c r="C1802" s="2" t="n">
        <v>45237</v>
      </c>
      <c r="D1802" t="inlineStr">
        <is>
          <t>SPEC</t>
        </is>
      </c>
      <c r="E1802" t="inlineStr">
        <is>
          <t>SMT 34412199 GVX BATTERY 3xBBK 630A - Platron plein 280mm</t>
        </is>
      </c>
      <c r="G1802" t="inlineStr">
        <is>
          <t>GVX</t>
        </is>
      </c>
      <c r="H1802" t="inlineStr">
        <is>
          <t>BATTERY</t>
        </is>
      </c>
      <c r="I1802" t="inlineStr">
        <is>
          <t>3xBBK 630A</t>
        </is>
      </c>
      <c r="J1802" t="inlineStr">
        <is>
          <t>MATRION</t>
        </is>
      </c>
      <c r="K1802" t="inlineStr">
        <is>
          <t>METAL</t>
        </is>
      </c>
      <c r="L1802">
        <f>_xlfn.XLOOKUP(Tableau1[[#This Row],[TYPE DE PIECE]],Tableau4[MATIERE],Tableau4[SHORT TYPE],"",0,1)</f>
        <v/>
      </c>
      <c r="N1802">
        <f>IF(ISERR(FIND("DECOUPE",Tableau1[[#This Row],[DESIGNATION]])),"","NEED REF")</f>
        <v/>
      </c>
    </row>
    <row r="1803">
      <c r="B1803" t="n">
        <v>34412198</v>
      </c>
      <c r="C1803" s="2" t="n">
        <v>45237</v>
      </c>
      <c r="D1803" t="inlineStr">
        <is>
          <t>SPEC</t>
        </is>
      </c>
      <c r="E1803" t="inlineStr">
        <is>
          <t>SMT 34412198 GVX BATTERY 3xBBK 630A - Platron plein 240mm</t>
        </is>
      </c>
      <c r="G1803" t="inlineStr">
        <is>
          <t>GVX</t>
        </is>
      </c>
      <c r="H1803" t="inlineStr">
        <is>
          <t>BATTERY</t>
        </is>
      </c>
      <c r="I1803" t="inlineStr">
        <is>
          <t>3xBBK 630A</t>
        </is>
      </c>
      <c r="J1803" t="inlineStr">
        <is>
          <t>MATRION</t>
        </is>
      </c>
      <c r="K1803" t="inlineStr">
        <is>
          <t>METAL</t>
        </is>
      </c>
      <c r="L1803">
        <f>_xlfn.XLOOKUP(Tableau1[[#This Row],[TYPE DE PIECE]],Tableau4[MATIERE],Tableau4[SHORT TYPE],"",0,1)</f>
        <v/>
      </c>
      <c r="N1803">
        <f>IF(ISERR(FIND("DECOUPE",Tableau1[[#This Row],[DESIGNATION]])),"","NEED REF")</f>
        <v/>
      </c>
    </row>
    <row r="1804">
      <c r="B1804" t="n">
        <v>34412197</v>
      </c>
      <c r="C1804" s="2" t="n">
        <v>45237</v>
      </c>
      <c r="D1804" t="inlineStr">
        <is>
          <t>SPEC</t>
        </is>
      </c>
      <c r="E1804">
        <f>_xlfn.CONCAT(Tableau1[[#This Row],[SHORT TYPE]]," ",Tableau1[[#This Row],[NUMERO]]," ",Tableau1[[#This Row],[GAMME]]," ",Tableau1[[#This Row],[TYPE PRODUIT]]," ",Tableau1[[#This Row],[PUISSANCE]])</f>
        <v/>
      </c>
      <c r="J1804" t="inlineStr">
        <is>
          <t>BERNARDEAU</t>
        </is>
      </c>
      <c r="L1804">
        <f>_xlfn.XLOOKUP(Tableau1[[#This Row],[TYPE DE PIECE]],Tableau4[MATIERE],Tableau4[SHORT TYPE],"",0,1)</f>
        <v/>
      </c>
      <c r="N1804">
        <f>IF(ISERR(FIND("DECOUPE",Tableau1[[#This Row],[DESIGNATION]])),"","NEED REF")</f>
        <v/>
      </c>
    </row>
    <row r="1805">
      <c r="B1805" t="n">
        <v>34412196</v>
      </c>
      <c r="C1805" s="2" t="n">
        <v>45237</v>
      </c>
      <c r="D1805" t="inlineStr">
        <is>
          <t>SPEC</t>
        </is>
      </c>
      <c r="E1805">
        <f>_xlfn.CONCAT(Tableau1[[#This Row],[SHORT TYPE]]," ",Tableau1[[#This Row],[NUMERO]]," ",Tableau1[[#This Row],[GAMME]]," ",Tableau1[[#This Row],[TYPE PRODUIT]]," ",Tableau1[[#This Row],[PUISSANCE]])</f>
        <v/>
      </c>
      <c r="J1805" t="inlineStr">
        <is>
          <t>BERNARDEAU</t>
        </is>
      </c>
      <c r="L1805">
        <f>_xlfn.XLOOKUP(Tableau1[[#This Row],[TYPE DE PIECE]],Tableau4[MATIERE],Tableau4[SHORT TYPE],"",0,1)</f>
        <v/>
      </c>
      <c r="N1805">
        <f>IF(ISERR(FIND("DECOUPE",Tableau1[[#This Row],[DESIGNATION]])),"","NEED REF")</f>
        <v/>
      </c>
    </row>
    <row r="1806">
      <c r="B1806" t="n">
        <v>34412195</v>
      </c>
      <c r="C1806" s="2" t="n">
        <v>45237</v>
      </c>
      <c r="D1806" t="inlineStr">
        <is>
          <t>SPEC</t>
        </is>
      </c>
      <c r="E1806">
        <f>_xlfn.CONCAT(Tableau1[[#This Row],[SHORT TYPE]]," ",Tableau1[[#This Row],[NUMERO]]," ",Tableau1[[#This Row],[GAMME]]," ",Tableau1[[#This Row],[TYPE PRODUIT]]," ",Tableau1[[#This Row],[PUISSANCE]])</f>
        <v/>
      </c>
      <c r="J1806" t="inlineStr">
        <is>
          <t>BERNARDEAU</t>
        </is>
      </c>
      <c r="L1806">
        <f>_xlfn.XLOOKUP(Tableau1[[#This Row],[TYPE DE PIECE]],Tableau4[MATIERE],Tableau4[SHORT TYPE],"",0,1)</f>
        <v/>
      </c>
      <c r="N1806">
        <f>IF(ISERR(FIND("DECOUPE",Tableau1[[#This Row],[DESIGNATION]])),"","NEED REF")</f>
        <v/>
      </c>
    </row>
    <row r="1807">
      <c r="B1807" t="n">
        <v>34412194</v>
      </c>
      <c r="C1807" s="2" t="n">
        <v>45237</v>
      </c>
      <c r="D1807" t="inlineStr">
        <is>
          <t>SPEC</t>
        </is>
      </c>
      <c r="E1807" t="inlineStr">
        <is>
          <t>COP LIAISON NSX</t>
        </is>
      </c>
      <c r="G1807" t="inlineStr">
        <is>
          <t>GVS</t>
        </is>
      </c>
      <c r="H1807" t="inlineStr">
        <is>
          <t>BYPASS</t>
        </is>
      </c>
      <c r="J1807" t="inlineStr">
        <is>
          <t>BERNARDEAU</t>
        </is>
      </c>
      <c r="K1807" t="inlineStr">
        <is>
          <t>CUIVRE</t>
        </is>
      </c>
      <c r="L1807">
        <f>_xlfn.XLOOKUP(Tableau1[[#This Row],[TYPE DE PIECE]],Tableau4[MATIERE],Tableau4[SHORT TYPE],"",0,1)</f>
        <v/>
      </c>
      <c r="N1807">
        <f>IF(ISERR(FIND("DECOUPE",Tableau1[[#This Row],[DESIGNATION]])),"","NEED REF")</f>
        <v/>
      </c>
    </row>
    <row r="1808">
      <c r="B1808" t="n">
        <v>34412193</v>
      </c>
      <c r="C1808" s="2" t="n">
        <v>45237</v>
      </c>
      <c r="D1808" t="inlineStr">
        <is>
          <t>SPEC</t>
        </is>
      </c>
      <c r="E1808" t="inlineStr">
        <is>
          <t>COP LIAISON NSX</t>
        </is>
      </c>
      <c r="G1808" t="inlineStr">
        <is>
          <t>GVS</t>
        </is>
      </c>
      <c r="H1808" t="inlineStr">
        <is>
          <t>BYPASS</t>
        </is>
      </c>
      <c r="J1808" t="inlineStr">
        <is>
          <t>BERNARDEAU</t>
        </is>
      </c>
      <c r="K1808" t="inlineStr">
        <is>
          <t>CUIVRE</t>
        </is>
      </c>
      <c r="L1808">
        <f>_xlfn.XLOOKUP(Tableau1[[#This Row],[TYPE DE PIECE]],Tableau4[MATIERE],Tableau4[SHORT TYPE],"",0,1)</f>
        <v/>
      </c>
      <c r="N1808">
        <f>IF(ISERR(FIND("DECOUPE",Tableau1[[#This Row],[DESIGNATION]])),"","NEED REF")</f>
        <v/>
      </c>
    </row>
    <row r="1809">
      <c r="B1809" t="n">
        <v>34412192</v>
      </c>
      <c r="C1809" s="2" t="n">
        <v>45237</v>
      </c>
      <c r="D1809" t="inlineStr">
        <is>
          <t>SPEC</t>
        </is>
      </c>
      <c r="E1809" t="inlineStr">
        <is>
          <t>PLA PROTECTION IM20</t>
        </is>
      </c>
      <c r="G1809" t="inlineStr">
        <is>
          <t>GVS</t>
        </is>
      </c>
      <c r="H1809" t="inlineStr">
        <is>
          <t>BYPASS</t>
        </is>
      </c>
      <c r="I1809" t="inlineStr">
        <is>
          <t>1M20DPROTECTIONIM</t>
        </is>
      </c>
      <c r="J1809" t="inlineStr">
        <is>
          <t>BERNARDEAU</t>
        </is>
      </c>
      <c r="K1809" t="inlineStr">
        <is>
          <t>PLASTIQUE</t>
        </is>
      </c>
      <c r="L1809">
        <f>_xlfn.XLOOKUP(Tableau1[[#This Row],[TYPE DE PIECE]],Tableau4[MATIERE],Tableau4[SHORT TYPE],"",0,1)</f>
        <v/>
      </c>
      <c r="N1809">
        <f>IF(ISERR(FIND("DECOUPE",Tableau1[[#This Row],[DESIGNATION]])),"","NEED REF")</f>
        <v/>
      </c>
    </row>
    <row r="1810">
      <c r="B1810" t="n">
        <v>34412191</v>
      </c>
      <c r="C1810" s="2" t="n">
        <v>45237</v>
      </c>
      <c r="D1810" t="inlineStr">
        <is>
          <t>SPEC</t>
        </is>
      </c>
      <c r="E1810" t="inlineStr">
        <is>
          <t>COP LIAISON NSX</t>
        </is>
      </c>
      <c r="G1810" t="inlineStr">
        <is>
          <t>GVS</t>
        </is>
      </c>
      <c r="H1810" t="inlineStr">
        <is>
          <t>BYPASS</t>
        </is>
      </c>
      <c r="J1810" t="inlineStr">
        <is>
          <t>BERNARDEAU</t>
        </is>
      </c>
      <c r="K1810" t="inlineStr">
        <is>
          <t>CUIVRE</t>
        </is>
      </c>
      <c r="L1810">
        <f>_xlfn.XLOOKUP(Tableau1[[#This Row],[TYPE DE PIECE]],Tableau4[MATIERE],Tableau4[SHORT TYPE],"",0,1)</f>
        <v/>
      </c>
      <c r="N1810">
        <f>IF(ISERR(FIND("DECOUPE",Tableau1[[#This Row],[DESIGNATION]])),"","NEED REF")</f>
        <v/>
      </c>
    </row>
    <row r="1811">
      <c r="B1811" t="n">
        <v>34412190</v>
      </c>
      <c r="C1811" s="2" t="n">
        <v>45237</v>
      </c>
      <c r="D1811" t="inlineStr">
        <is>
          <t>SPEC</t>
        </is>
      </c>
      <c r="E1811" t="inlineStr">
        <is>
          <t>S/E IMD IM20</t>
        </is>
      </c>
      <c r="G1811" t="inlineStr">
        <is>
          <t>GVS</t>
        </is>
      </c>
      <c r="H1811" t="inlineStr">
        <is>
          <t>BYPASS</t>
        </is>
      </c>
      <c r="J1811" t="inlineStr">
        <is>
          <t>BERNARDEAU</t>
        </is>
      </c>
      <c r="L1811">
        <f>_xlfn.XLOOKUP(Tableau1[[#This Row],[TYPE DE PIECE]],Tableau4[MATIERE],Tableau4[SHORT TYPE],"",0,1)</f>
        <v/>
      </c>
      <c r="N1811">
        <f>IF(ISERR(FIND("DECOUPE",Tableau1[[#This Row],[DESIGNATION]])),"","NEED REF")</f>
        <v/>
      </c>
    </row>
    <row r="1812">
      <c r="B1812" t="n">
        <v>34412189</v>
      </c>
      <c r="C1812" s="2" t="n">
        <v>45237</v>
      </c>
      <c r="D1812" t="inlineStr">
        <is>
          <t>SPEC</t>
        </is>
      </c>
      <c r="E1812" t="inlineStr">
        <is>
          <t>DECOUPE PORTE 870-34406977</t>
        </is>
      </c>
      <c r="G1812" t="inlineStr">
        <is>
          <t>GVS</t>
        </is>
      </c>
      <c r="H1812" t="inlineStr">
        <is>
          <t>BYPASS</t>
        </is>
      </c>
      <c r="J1812" t="inlineStr">
        <is>
          <t>BERNARDEAU</t>
        </is>
      </c>
      <c r="K1812" t="inlineStr">
        <is>
          <t>METAL</t>
        </is>
      </c>
      <c r="L1812">
        <f>_xlfn.XLOOKUP(Tableau1[[#This Row],[TYPE DE PIECE]],Tableau4[MATIERE],Tableau4[SHORT TYPE],"",0,1)</f>
        <v/>
      </c>
      <c r="N1812">
        <f>IF(ISERR(FIND("DECOUPE",Tableau1[[#This Row],[DESIGNATION]])),"","NEED REF")</f>
        <v/>
      </c>
    </row>
    <row r="1813">
      <c r="B1813" t="n">
        <v>34412188</v>
      </c>
      <c r="C1813" s="2" t="n">
        <v>45237</v>
      </c>
      <c r="D1813" t="inlineStr">
        <is>
          <t>SPEC</t>
        </is>
      </c>
      <c r="E1813" t="inlineStr">
        <is>
          <t>SMT PLASTRON NSX GVEAC10</t>
        </is>
      </c>
      <c r="G1813" t="inlineStr">
        <is>
          <t>GVS</t>
        </is>
      </c>
      <c r="H1813" t="inlineStr">
        <is>
          <t>BYPASS</t>
        </is>
      </c>
      <c r="I1813" t="inlineStr">
        <is>
          <t>1 G0DNSXNSX</t>
        </is>
      </c>
      <c r="J1813" t="inlineStr">
        <is>
          <t>BERNARDEAU</t>
        </is>
      </c>
      <c r="K1813" t="inlineStr">
        <is>
          <t>METAL</t>
        </is>
      </c>
      <c r="L1813">
        <f>_xlfn.XLOOKUP(Tableau1[[#This Row],[TYPE DE PIECE]],Tableau4[MATIERE],Tableau4[SHORT TYPE],"",0,1)</f>
        <v/>
      </c>
      <c r="N1813">
        <f>IF(ISERR(FIND("DECOUPE",Tableau1[[#This Row],[DESIGNATION]])),"","NEED REF")</f>
        <v/>
      </c>
    </row>
    <row r="1814">
      <c r="B1814" t="n">
        <v>34412187</v>
      </c>
      <c r="C1814" s="2" t="n">
        <v>45237</v>
      </c>
      <c r="D1814" t="inlineStr">
        <is>
          <t>SPEC</t>
        </is>
      </c>
      <c r="E1814" t="inlineStr">
        <is>
          <t>SMT PLASTRON IC60 GVEAC10</t>
        </is>
      </c>
      <c r="G1814" t="inlineStr">
        <is>
          <t>GVS</t>
        </is>
      </c>
      <c r="H1814" t="inlineStr">
        <is>
          <t>BYPASS</t>
        </is>
      </c>
      <c r="I1814" t="inlineStr">
        <is>
          <t>100DICIC</t>
        </is>
      </c>
      <c r="J1814" t="inlineStr">
        <is>
          <t>BERNARDEAU</t>
        </is>
      </c>
      <c r="K1814" t="inlineStr">
        <is>
          <t>METAL</t>
        </is>
      </c>
      <c r="L1814">
        <f>_xlfn.XLOOKUP(Tableau1[[#This Row],[TYPE DE PIECE]],Tableau4[MATIERE],Tableau4[SHORT TYPE],"",0,1)</f>
        <v/>
      </c>
      <c r="N1814">
        <f>IF(ISERR(FIND("DECOUPE",Tableau1[[#This Row],[DESIGNATION]])),"","NEED REF")</f>
        <v/>
      </c>
    </row>
    <row r="1815">
      <c r="B1815" t="n">
        <v>34412186</v>
      </c>
      <c r="C1815" s="2" t="n">
        <v>45237</v>
      </c>
      <c r="D1815" t="inlineStr">
        <is>
          <t>SPEC</t>
        </is>
      </c>
      <c r="E1815" t="inlineStr">
        <is>
          <t>VCI PROTECTIVE RUSTPROOF SLEEVES 210/125 X 140 CM GAUGE 400</t>
        </is>
      </c>
      <c r="H1815" t="inlineStr">
        <is>
          <t>STS</t>
        </is>
      </c>
      <c r="I1815" t="inlineStr">
        <is>
          <t>1USTPROOF SLEEVES 210/125 X 1400LCMRUSTPROOF</t>
        </is>
      </c>
      <c r="J1815" t="inlineStr">
        <is>
          <t>MONGELLI</t>
        </is>
      </c>
      <c r="K1815" t="inlineStr">
        <is>
          <t>PLASTIQUE</t>
        </is>
      </c>
      <c r="L1815">
        <f>_xlfn.XLOOKUP(Tableau1[[#This Row],[TYPE DE PIECE]],Tableau4[MATIERE],Tableau4[SHORT TYPE],"",0,1)</f>
        <v/>
      </c>
      <c r="N1815">
        <f>IF(ISERR(FIND("DECOUPE",Tableau1[[#This Row],[DESIGNATION]])),"","NEED REF")</f>
        <v/>
      </c>
    </row>
    <row r="1816">
      <c r="B1816" t="n">
        <v>34412185</v>
      </c>
      <c r="C1816" s="2" t="n">
        <v>45236</v>
      </c>
      <c r="D1816" t="inlineStr">
        <is>
          <t>SPEC</t>
        </is>
      </c>
      <c r="E1816">
        <f>_xlfn.CONCAT(Tableau1[[#This Row],[SHORT TYPE]]," ",Tableau1[[#This Row],[NUMERO]]," ",Tableau1[[#This Row],[GAMME]]," ",Tableau1[[#This Row],[TYPE PRODUIT]]," ",Tableau1[[#This Row],[PUISSANCE]])</f>
        <v/>
      </c>
      <c r="G1816" t="inlineStr">
        <is>
          <t>GVX</t>
        </is>
      </c>
      <c r="H1816" t="inlineStr">
        <is>
          <t>BATTERY</t>
        </is>
      </c>
      <c r="I1816" t="inlineStr">
        <is>
          <t>3xBBK 630A</t>
        </is>
      </c>
      <c r="J1816" t="inlineStr">
        <is>
          <t>MATRION</t>
        </is>
      </c>
      <c r="K1816" t="inlineStr">
        <is>
          <t>METAL</t>
        </is>
      </c>
      <c r="L1816">
        <f>_xlfn.XLOOKUP(Tableau1[[#This Row],[TYPE DE PIECE]],Tableau4[MATIERE],Tableau4[SHORT TYPE],"",0,1)</f>
        <v/>
      </c>
      <c r="N1816">
        <f>IF(ISERR(FIND("DECOUPE",Tableau1[[#This Row],[DESIGNATION]])),"","NEED REF")</f>
        <v/>
      </c>
    </row>
    <row r="1817">
      <c r="B1817" t="n">
        <v>34412184</v>
      </c>
      <c r="C1817" s="2" t="n">
        <v>45236</v>
      </c>
      <c r="D1817" t="inlineStr">
        <is>
          <t>SPEC</t>
        </is>
      </c>
      <c r="E1817">
        <f>_xlfn.CONCAT(Tableau1[[#This Row],[SHORT TYPE]]," ",Tableau1[[#This Row],[NUMERO]]," ",Tableau1[[#This Row],[GAMME]]," ",Tableau1[[#This Row],[TYPE PRODUIT]]," ",Tableau1[[#This Row],[PUISSANCE]])</f>
        <v/>
      </c>
      <c r="G1817" t="inlineStr">
        <is>
          <t>GVX</t>
        </is>
      </c>
      <c r="H1817" t="inlineStr">
        <is>
          <t>BATTERY</t>
        </is>
      </c>
      <c r="I1817" t="inlineStr">
        <is>
          <t>3xBBK 630A</t>
        </is>
      </c>
      <c r="J1817" t="inlineStr">
        <is>
          <t>MATRION</t>
        </is>
      </c>
      <c r="K1817" t="inlineStr">
        <is>
          <t>METAL</t>
        </is>
      </c>
      <c r="L1817">
        <f>_xlfn.XLOOKUP(Tableau1[[#This Row],[TYPE DE PIECE]],Tableau4[MATIERE],Tableau4[SHORT TYPE],"",0,1)</f>
        <v/>
      </c>
      <c r="N1817">
        <f>IF(ISERR(FIND("DECOUPE",Tableau1[[#This Row],[DESIGNATION]])),"","NEED REF")</f>
        <v/>
      </c>
    </row>
    <row r="1818">
      <c r="B1818" t="n">
        <v>34412183</v>
      </c>
      <c r="C1818" s="2" t="n">
        <v>45236</v>
      </c>
      <c r="D1818" t="inlineStr">
        <is>
          <t>SPEC</t>
        </is>
      </c>
      <c r="E1818">
        <f>_xlfn.CONCAT(Tableau1[[#This Row],[SHORT TYPE]]," ",Tableau1[[#This Row],[NUMERO]]," ",Tableau1[[#This Row],[GAMME]]," ",Tableau1[[#This Row],[TYPE PRODUIT]]," ",Tableau1[[#This Row],[PUISSANCE]])</f>
        <v/>
      </c>
      <c r="G1818" t="inlineStr">
        <is>
          <t>GVX</t>
        </is>
      </c>
      <c r="H1818" t="inlineStr">
        <is>
          <t>BATTERY</t>
        </is>
      </c>
      <c r="I1818" t="inlineStr">
        <is>
          <t>3xBBK 630A</t>
        </is>
      </c>
      <c r="J1818" t="inlineStr">
        <is>
          <t>MATRION</t>
        </is>
      </c>
      <c r="K1818" t="inlineStr">
        <is>
          <t>METAL</t>
        </is>
      </c>
      <c r="L1818">
        <f>_xlfn.XLOOKUP(Tableau1[[#This Row],[TYPE DE PIECE]],Tableau4[MATIERE],Tableau4[SHORT TYPE],"",0,1)</f>
        <v/>
      </c>
      <c r="N1818">
        <f>IF(ISERR(FIND("DECOUPE",Tableau1[[#This Row],[DESIGNATION]])),"","NEED REF")</f>
        <v/>
      </c>
    </row>
    <row r="1819">
      <c r="B1819" t="n">
        <v>34412182</v>
      </c>
      <c r="C1819" s="2" t="n">
        <v>45236</v>
      </c>
      <c r="D1819" t="inlineStr">
        <is>
          <t>SPEC</t>
        </is>
      </c>
      <c r="E1819">
        <f>_xlfn.CONCAT(Tableau1[[#This Row],[SHORT TYPE]]," ",Tableau1[[#This Row],[NUMERO]]," ",Tableau1[[#This Row],[GAMME]]," ",Tableau1[[#This Row],[TYPE PRODUIT]]," ",Tableau1[[#This Row],[PUISSANCE]])</f>
        <v/>
      </c>
      <c r="G1819" t="inlineStr">
        <is>
          <t>GVX</t>
        </is>
      </c>
      <c r="H1819" t="inlineStr">
        <is>
          <t>BATTERY</t>
        </is>
      </c>
      <c r="I1819" t="inlineStr">
        <is>
          <t>3xBBK 630A</t>
        </is>
      </c>
      <c r="J1819" t="inlineStr">
        <is>
          <t>MATRION</t>
        </is>
      </c>
      <c r="K1819" t="inlineStr">
        <is>
          <t>METAL</t>
        </is>
      </c>
      <c r="L1819">
        <f>_xlfn.XLOOKUP(Tableau1[[#This Row],[TYPE DE PIECE]],Tableau4[MATIERE],Tableau4[SHORT TYPE],"",0,1)</f>
        <v/>
      </c>
      <c r="N1819">
        <f>IF(ISERR(FIND("DECOUPE",Tableau1[[#This Row],[DESIGNATION]])),"","NEED REF")</f>
        <v/>
      </c>
    </row>
    <row r="1820">
      <c r="B1820" t="n">
        <v>34412181</v>
      </c>
      <c r="C1820" s="2" t="n">
        <v>45232</v>
      </c>
      <c r="D1820" t="inlineStr">
        <is>
          <t>SPEC</t>
        </is>
      </c>
      <c r="E1820" t="inlineStr">
        <is>
          <t>SMT REHAUSSE BACK RAL9003</t>
        </is>
      </c>
      <c r="G1820" t="inlineStr">
        <is>
          <t>GVXL</t>
        </is>
      </c>
      <c r="H1820" t="inlineStr">
        <is>
          <t>IO</t>
        </is>
      </c>
      <c r="I1820" t="inlineStr">
        <is>
          <t>1250kVA</t>
        </is>
      </c>
      <c r="J1820" t="inlineStr">
        <is>
          <t>Rodriguez</t>
        </is>
      </c>
      <c r="K1820" t="inlineStr">
        <is>
          <t>METAL</t>
        </is>
      </c>
      <c r="L1820">
        <f>_xlfn.XLOOKUP(Tableau1[[#This Row],[TYPE DE PIECE]],Tableau4[MATIERE],Tableau4[SHORT TYPE],"",0,1)</f>
        <v/>
      </c>
      <c r="N1820">
        <f>IF(ISERR(FIND("DECOUPE",Tableau1[[#This Row],[DESIGNATION]])),"","NEED REF")</f>
        <v/>
      </c>
    </row>
    <row r="1821">
      <c r="B1821" t="n">
        <v>34412180</v>
      </c>
      <c r="C1821" s="2" t="n">
        <v>45229</v>
      </c>
      <c r="D1821" t="inlineStr">
        <is>
          <t>SPEC</t>
        </is>
      </c>
      <c r="E1821" t="inlineStr">
        <is>
          <t>SMT TRAVERSE STS 250 RAL9003</t>
        </is>
      </c>
      <c r="H1821" t="inlineStr">
        <is>
          <t>STS</t>
        </is>
      </c>
      <c r="I1821" t="inlineStr">
        <is>
          <t>250A</t>
        </is>
      </c>
      <c r="J1821" t="inlineStr">
        <is>
          <t>Rodriguez</t>
        </is>
      </c>
      <c r="K1821" t="inlineStr">
        <is>
          <t>METAL</t>
        </is>
      </c>
      <c r="L1821">
        <f>_xlfn.XLOOKUP(Tableau1[[#This Row],[TYPE DE PIECE]],Tableau4[MATIERE],Tableau4[SHORT TYPE],"",0,1)</f>
        <v/>
      </c>
      <c r="N1821">
        <f>IF(ISERR(FIND("DECOUPE",Tableau1[[#This Row],[DESIGNATION]])),"","NEED REF")</f>
        <v/>
      </c>
    </row>
    <row r="1822">
      <c r="B1822" t="n">
        <v>34412179</v>
      </c>
      <c r="C1822" s="2" t="n">
        <v>45229</v>
      </c>
      <c r="D1822" t="inlineStr">
        <is>
          <t>SPEC</t>
        </is>
      </c>
      <c r="E1822" t="inlineStr">
        <is>
          <t>SMT MONTANT STS 250 RAL9003</t>
        </is>
      </c>
      <c r="H1822" t="inlineStr">
        <is>
          <t>STS</t>
        </is>
      </c>
      <c r="I1822" t="inlineStr">
        <is>
          <t>250A</t>
        </is>
      </c>
      <c r="J1822" t="inlineStr">
        <is>
          <t>Rodriguez</t>
        </is>
      </c>
      <c r="K1822" t="inlineStr">
        <is>
          <t>METAL</t>
        </is>
      </c>
      <c r="L1822">
        <f>_xlfn.XLOOKUP(Tableau1[[#This Row],[TYPE DE PIECE]],Tableau4[MATIERE],Tableau4[SHORT TYPE],"",0,1)</f>
        <v/>
      </c>
      <c r="N1822">
        <f>IF(ISERR(FIND("DECOUPE",Tableau1[[#This Row],[DESIGNATION]])),"","NEED REF")</f>
        <v/>
      </c>
    </row>
    <row r="1823">
      <c r="B1823" t="n">
        <v>34412178</v>
      </c>
      <c r="C1823" s="2" t="n">
        <v>45226</v>
      </c>
      <c r="D1823" t="inlineStr">
        <is>
          <t>SPEC</t>
        </is>
      </c>
      <c r="E1823" t="inlineStr">
        <is>
          <t>SMT 34412178 GVS BYPASS PLATINE NSX250 GVEAC10</t>
        </is>
      </c>
      <c r="G1823" t="inlineStr">
        <is>
          <t>GVS</t>
        </is>
      </c>
      <c r="H1823" t="inlineStr">
        <is>
          <t>BYPASS</t>
        </is>
      </c>
      <c r="I1823" t="inlineStr">
        <is>
          <t>1 BYPASS PLATINE NSX2502NNSXBYPASS</t>
        </is>
      </c>
      <c r="J1823" t="inlineStr">
        <is>
          <t>MATRION</t>
        </is>
      </c>
      <c r="K1823" t="inlineStr">
        <is>
          <t>METAL</t>
        </is>
      </c>
      <c r="L1823">
        <f>_xlfn.XLOOKUP(Tableau1[[#This Row],[TYPE DE PIECE]],Tableau4[MATIERE],Tableau4[SHORT TYPE],"",0,1)</f>
        <v/>
      </c>
      <c r="N1823">
        <f>IF(ISERR(FIND("DECOUPE",Tableau1[[#This Row],[DESIGNATION]])),"","NEED REF")</f>
        <v/>
      </c>
    </row>
    <row r="1824">
      <c r="B1824" t="n">
        <v>34412177</v>
      </c>
      <c r="C1824" s="2" t="n">
        <v>45226</v>
      </c>
      <c r="D1824" t="inlineStr">
        <is>
          <t>SPEC</t>
        </is>
      </c>
      <c r="E1824" t="inlineStr">
        <is>
          <t>ONE VELCRO STRIP 565 EMS59446 (lot 150)</t>
        </is>
      </c>
      <c r="I1824" t="inlineStr">
        <is>
          <t>1 565 EMS594462DEMSSTRIP</t>
        </is>
      </c>
      <c r="J1824" t="inlineStr">
        <is>
          <t>BERNARDEAU</t>
        </is>
      </c>
      <c r="K1824" s="38" t="inlineStr">
        <is>
          <t>=SE=</t>
        </is>
      </c>
      <c r="L1824">
        <f>_xlfn.XLOOKUP(Tableau1[[#This Row],[TYPE DE PIECE]],Tableau4[MATIERE],Tableau4[SHORT TYPE],"",0,1)</f>
        <v/>
      </c>
      <c r="N1824">
        <f>IF(ISERR(FIND("DECOUPE",Tableau1[[#This Row],[DESIGNATION]])),"","NEED REF")</f>
        <v/>
      </c>
    </row>
    <row r="1825">
      <c r="B1825" t="n">
        <v>34412176</v>
      </c>
      <c r="C1825" s="2" t="n">
        <v>45226</v>
      </c>
      <c r="D1825" t="inlineStr">
        <is>
          <t>SPEC</t>
        </is>
      </c>
      <c r="E1825">
        <f>_xlfn.CONCAT(Tableau1[[#This Row],[SHORT TYPE]]," ",Tableau1[[#This Row],[NUMERO]]," ",Tableau1[[#This Row],[GAMME]]," ",Tableau1[[#This Row],[TYPE PRODUIT]]," ",Tableau1[[#This Row],[PUISSANCE]])</f>
        <v/>
      </c>
      <c r="J1825" t="inlineStr">
        <is>
          <t>Rodriguez</t>
        </is>
      </c>
      <c r="K1825" t="inlineStr">
        <is>
          <t>NOM</t>
        </is>
      </c>
      <c r="L1825">
        <f>_xlfn.XLOOKUP(Tableau1[[#This Row],[TYPE DE PIECE]],Tableau4[MATIERE],Tableau4[SHORT TYPE],"",0,1)</f>
        <v/>
      </c>
      <c r="N1825">
        <f>IF(ISERR(FIND("DECOUPE",Tableau1[[#This Row],[DESIGNATION]])),"","NEED REF")</f>
        <v/>
      </c>
    </row>
    <row r="1826">
      <c r="B1826" t="n">
        <v>34412175</v>
      </c>
      <c r="C1826" s="2" t="n">
        <v>45226</v>
      </c>
      <c r="D1826" t="inlineStr">
        <is>
          <t>SPEC</t>
        </is>
      </c>
      <c r="E1826" t="inlineStr">
        <is>
          <t>ENS_EQUIPEMENT_STS_250</t>
        </is>
      </c>
      <c r="I1826" t="inlineStr">
        <is>
          <t>1TS2uEQUIPEMENTSTS</t>
        </is>
      </c>
      <c r="J1826" t="inlineStr">
        <is>
          <t>Rodriguez</t>
        </is>
      </c>
      <c r="K1826" t="inlineStr">
        <is>
          <t>NOM</t>
        </is>
      </c>
      <c r="L1826">
        <f>_xlfn.XLOOKUP(Tableau1[[#This Row],[TYPE DE PIECE]],Tableau4[MATIERE],Tableau4[SHORT TYPE],"",0,1)</f>
        <v/>
      </c>
      <c r="N1826">
        <f>IF(ISERR(FIND("DECOUPE",Tableau1[[#This Row],[DESIGNATION]])),"","NEED REF")</f>
        <v/>
      </c>
    </row>
    <row r="1827">
      <c r="B1827" t="n">
        <v>34412174</v>
      </c>
      <c r="C1827" s="2" t="n">
        <v>45226</v>
      </c>
      <c r="D1827" t="inlineStr">
        <is>
          <t>SPEC</t>
        </is>
      </c>
      <c r="E1827" t="inlineStr">
        <is>
          <t>ENS BY-PASS 600A</t>
        </is>
      </c>
      <c r="J1827" t="inlineStr">
        <is>
          <t>Rodriguez</t>
        </is>
      </c>
      <c r="K1827" t="inlineStr">
        <is>
          <t>NOM</t>
        </is>
      </c>
      <c r="L1827">
        <f>_xlfn.XLOOKUP(Tableau1[[#This Row],[TYPE DE PIECE]],Tableau4[MATIERE],Tableau4[SHORT TYPE],"",0,1)</f>
        <v/>
      </c>
      <c r="N1827">
        <f>IF(ISERR(FIND("DECOUPE",Tableau1[[#This Row],[DESIGNATION]])),"","NEED REF")</f>
        <v/>
      </c>
    </row>
    <row r="1828">
      <c r="B1828" t="n">
        <v>34412173</v>
      </c>
      <c r="C1828" s="2" t="n">
        <v>45226</v>
      </c>
      <c r="D1828" t="inlineStr">
        <is>
          <t>SPEC</t>
        </is>
      </c>
      <c r="E1828" t="inlineStr">
        <is>
          <t>ENS. CDE ELECTRONIQUE_ETO</t>
        </is>
      </c>
      <c r="I1828" t="inlineStr">
        <is>
          <t>1NI2uELECTRONIQUEELECTRONIQUE</t>
        </is>
      </c>
      <c r="J1828" t="inlineStr">
        <is>
          <t>Rodriguez</t>
        </is>
      </c>
      <c r="K1828" t="inlineStr">
        <is>
          <t>NOM</t>
        </is>
      </c>
      <c r="L1828">
        <f>_xlfn.XLOOKUP(Tableau1[[#This Row],[TYPE DE PIECE]],Tableau4[MATIERE],Tableau4[SHORT TYPE],"",0,1)</f>
        <v/>
      </c>
      <c r="N1828">
        <f>IF(ISERR(FIND("DECOUPE",Tableau1[[#This Row],[DESIGNATION]])),"","NEED REF")</f>
        <v/>
      </c>
    </row>
    <row r="1829">
      <c r="B1829" t="n">
        <v>34412172</v>
      </c>
      <c r="C1829" s="2" t="n">
        <v>45225</v>
      </c>
      <c r="D1829" t="inlineStr">
        <is>
          <t>SPEC</t>
        </is>
      </c>
      <c r="E1829" t="inlineStr">
        <is>
          <t xml:space="preserve"> 34412172 GVX BYPASS 1000KVA</t>
        </is>
      </c>
      <c r="F1829" t="inlineStr">
        <is>
          <t>NOLLET ET FILS SAS</t>
        </is>
      </c>
      <c r="G1829" t="inlineStr">
        <is>
          <t>GVX</t>
        </is>
      </c>
      <c r="H1829" t="inlineStr">
        <is>
          <t>BYPASS</t>
        </is>
      </c>
      <c r="I1829" t="inlineStr">
        <is>
          <t>1000KVA</t>
        </is>
      </c>
      <c r="J1829" t="inlineStr">
        <is>
          <t>JAWORSKI</t>
        </is>
      </c>
      <c r="L1829">
        <f>_xlfn.XLOOKUP(Tableau1[[#This Row],[TYPE DE PIECE]],Tableau4[MATIERE],Tableau4[SHORT TYPE],"",0,1)</f>
        <v/>
      </c>
      <c r="N1829">
        <f>IF(ISERR(FIND("DECOUPE",Tableau1[[#This Row],[DESIGNATION]])),"","NEED REF")</f>
        <v/>
      </c>
    </row>
    <row r="1830">
      <c r="B1830" t="n">
        <v>34412171</v>
      </c>
      <c r="C1830" s="2" t="n">
        <v>45225</v>
      </c>
      <c r="D1830" t="inlineStr">
        <is>
          <t>SPEC</t>
        </is>
      </c>
      <c r="E1830" t="inlineStr">
        <is>
          <t>SMT PLASTRON BAS</t>
        </is>
      </c>
      <c r="F1830" t="inlineStr">
        <is>
          <t>NOLLET ET FILS SAS</t>
        </is>
      </c>
      <c r="G1830" t="inlineStr">
        <is>
          <t>GVX</t>
        </is>
      </c>
      <c r="H1830" t="inlineStr">
        <is>
          <t>BYPASS</t>
        </is>
      </c>
      <c r="I1830" t="inlineStr">
        <is>
          <t>1000KVA</t>
        </is>
      </c>
      <c r="J1830" t="inlineStr">
        <is>
          <t>JAWORSKI</t>
        </is>
      </c>
      <c r="K1830" t="inlineStr">
        <is>
          <t>METAL</t>
        </is>
      </c>
      <c r="L1830">
        <f>_xlfn.XLOOKUP(Tableau1[[#This Row],[TYPE DE PIECE]],Tableau4[MATIERE],Tableau4[SHORT TYPE],"",0,1)</f>
        <v/>
      </c>
      <c r="N1830">
        <f>IF(ISERR(FIND("DECOUPE",Tableau1[[#This Row],[DESIGNATION]])),"","NEED REF")</f>
        <v/>
      </c>
    </row>
    <row r="1831">
      <c r="B1831" t="n">
        <v>34412170</v>
      </c>
      <c r="C1831" s="2" t="n">
        <v>45225</v>
      </c>
      <c r="D1831" t="inlineStr">
        <is>
          <t>SPEC</t>
        </is>
      </c>
      <c r="E1831" t="inlineStr">
        <is>
          <t>SMT PLASTRON HAUT</t>
        </is>
      </c>
      <c r="F1831" t="inlineStr">
        <is>
          <t>NOLLET ET FILS SAS</t>
        </is>
      </c>
      <c r="G1831" t="inlineStr">
        <is>
          <t>GVX</t>
        </is>
      </c>
      <c r="H1831" t="inlineStr">
        <is>
          <t>BYPASS</t>
        </is>
      </c>
      <c r="I1831" t="inlineStr">
        <is>
          <t>1000KVA</t>
        </is>
      </c>
      <c r="J1831" t="inlineStr">
        <is>
          <t>JAWORSKI</t>
        </is>
      </c>
      <c r="K1831" t="inlineStr">
        <is>
          <t>METAL</t>
        </is>
      </c>
      <c r="L1831">
        <f>_xlfn.XLOOKUP(Tableau1[[#This Row],[TYPE DE PIECE]],Tableau4[MATIERE],Tableau4[SHORT TYPE],"",0,1)</f>
        <v/>
      </c>
      <c r="N1831">
        <f>IF(ISERR(FIND("DECOUPE",Tableau1[[#This Row],[DESIGNATION]])),"","NEED REF")</f>
        <v/>
      </c>
    </row>
    <row r="1832">
      <c r="B1832" t="n">
        <v>34412169</v>
      </c>
      <c r="C1832" s="2" t="n">
        <v>45225</v>
      </c>
      <c r="D1832" t="inlineStr">
        <is>
          <t>SPEC</t>
        </is>
      </c>
      <c r="E1832" t="inlineStr">
        <is>
          <t>SMT PLASTRON HAUT/BAS</t>
        </is>
      </c>
      <c r="F1832" t="inlineStr">
        <is>
          <t>NOLLET ET FILS SAS</t>
        </is>
      </c>
      <c r="G1832" t="inlineStr">
        <is>
          <t>GVX</t>
        </is>
      </c>
      <c r="H1832" t="inlineStr">
        <is>
          <t>BYPASS</t>
        </is>
      </c>
      <c r="I1832" t="inlineStr">
        <is>
          <t>1000KVA</t>
        </is>
      </c>
      <c r="J1832" t="inlineStr">
        <is>
          <t>JAWORSKI</t>
        </is>
      </c>
      <c r="K1832" t="inlineStr">
        <is>
          <t>METAL</t>
        </is>
      </c>
      <c r="L1832">
        <f>_xlfn.XLOOKUP(Tableau1[[#This Row],[TYPE DE PIECE]],Tableau4[MATIERE],Tableau4[SHORT TYPE],"",0,1)</f>
        <v/>
      </c>
      <c r="N1832">
        <f>IF(ISERR(FIND("DECOUPE",Tableau1[[#This Row],[DESIGNATION]])),"","NEED REF")</f>
        <v/>
      </c>
    </row>
    <row r="1833">
      <c r="B1833" t="n">
        <v>34412168</v>
      </c>
      <c r="C1833" s="2" t="n">
        <v>45225</v>
      </c>
      <c r="D1833" t="inlineStr">
        <is>
          <t>SPEC</t>
        </is>
      </c>
      <c r="E1833" t="inlineStr">
        <is>
          <t>COP PONTAGE JDB L3</t>
        </is>
      </c>
      <c r="F1833" t="inlineStr">
        <is>
          <t>NOLLET ET FILS SAS</t>
        </is>
      </c>
      <c r="G1833" t="inlineStr">
        <is>
          <t>GVX</t>
        </is>
      </c>
      <c r="H1833" t="inlineStr">
        <is>
          <t>BYPASS</t>
        </is>
      </c>
      <c r="I1833" t="inlineStr">
        <is>
          <t>1000KVA</t>
        </is>
      </c>
      <c r="J1833" t="inlineStr">
        <is>
          <t>JAWORSKI</t>
        </is>
      </c>
      <c r="K1833" t="inlineStr">
        <is>
          <t>CUIVRE</t>
        </is>
      </c>
      <c r="L1833">
        <f>_xlfn.XLOOKUP(Tableau1[[#This Row],[TYPE DE PIECE]],Tableau4[MATIERE],Tableau4[SHORT TYPE],"",0,1)</f>
        <v/>
      </c>
      <c r="N1833">
        <f>IF(ISERR(FIND("DECOUPE",Tableau1[[#This Row],[DESIGNATION]])),"","NEED REF")</f>
        <v/>
      </c>
    </row>
    <row r="1834">
      <c r="B1834" t="n">
        <v>34412167</v>
      </c>
      <c r="C1834" s="2" t="n">
        <v>45225</v>
      </c>
      <c r="D1834" t="inlineStr">
        <is>
          <t>SPEC</t>
        </is>
      </c>
      <c r="E1834" t="inlineStr">
        <is>
          <t>COP PONTAGE JDB L2</t>
        </is>
      </c>
      <c r="F1834" t="inlineStr">
        <is>
          <t>NOLLET ET FILS SAS</t>
        </is>
      </c>
      <c r="G1834" t="inlineStr">
        <is>
          <t>GVX</t>
        </is>
      </c>
      <c r="H1834" t="inlineStr">
        <is>
          <t>BYPASS</t>
        </is>
      </c>
      <c r="I1834" t="inlineStr">
        <is>
          <t>1000KVA</t>
        </is>
      </c>
      <c r="J1834" t="inlineStr">
        <is>
          <t>JAWORSKI</t>
        </is>
      </c>
      <c r="K1834" t="inlineStr">
        <is>
          <t>CUIVRE</t>
        </is>
      </c>
      <c r="L1834">
        <f>_xlfn.XLOOKUP(Tableau1[[#This Row],[TYPE DE PIECE]],Tableau4[MATIERE],Tableau4[SHORT TYPE],"",0,1)</f>
        <v/>
      </c>
      <c r="N1834">
        <f>IF(ISERR(FIND("DECOUPE",Tableau1[[#This Row],[DESIGNATION]])),"","NEED REF")</f>
        <v/>
      </c>
    </row>
    <row r="1835">
      <c r="B1835" t="n">
        <v>34412166</v>
      </c>
      <c r="C1835" s="2" t="n">
        <v>45225</v>
      </c>
      <c r="D1835" t="inlineStr">
        <is>
          <t>SPEC</t>
        </is>
      </c>
      <c r="E1835" t="inlineStr">
        <is>
          <t>COP PONTAGE JDB L1</t>
        </is>
      </c>
      <c r="F1835" t="inlineStr">
        <is>
          <t>NOLLET ET FILS SAS</t>
        </is>
      </c>
      <c r="G1835" t="inlineStr">
        <is>
          <t>GVX</t>
        </is>
      </c>
      <c r="H1835" t="inlineStr">
        <is>
          <t>BYPASS</t>
        </is>
      </c>
      <c r="I1835" t="inlineStr">
        <is>
          <t>1000KVA</t>
        </is>
      </c>
      <c r="J1835" t="inlineStr">
        <is>
          <t>JAWORSKI</t>
        </is>
      </c>
      <c r="K1835" t="inlineStr">
        <is>
          <t>CUIVRE</t>
        </is>
      </c>
      <c r="L1835">
        <f>_xlfn.XLOOKUP(Tableau1[[#This Row],[TYPE DE PIECE]],Tableau4[MATIERE],Tableau4[SHORT TYPE],"",0,1)</f>
        <v/>
      </c>
      <c r="N1835">
        <f>IF(ISERR(FIND("DECOUPE",Tableau1[[#This Row],[DESIGNATION]])),"","NEED REF")</f>
        <v/>
      </c>
    </row>
    <row r="1836">
      <c r="B1836" t="n">
        <v>34412165</v>
      </c>
      <c r="C1836" s="2" t="n">
        <v>45225</v>
      </c>
      <c r="D1836" t="inlineStr">
        <is>
          <t>SPEC</t>
        </is>
      </c>
      <c r="E1836" t="inlineStr">
        <is>
          <t>PLA BARREAU ISOLANT</t>
        </is>
      </c>
      <c r="F1836" t="inlineStr">
        <is>
          <t>NOLLET ET FILS SAS</t>
        </is>
      </c>
      <c r="G1836" t="inlineStr">
        <is>
          <t>GVX</t>
        </is>
      </c>
      <c r="H1836" t="inlineStr">
        <is>
          <t>BYPASS</t>
        </is>
      </c>
      <c r="I1836" t="inlineStr">
        <is>
          <t>1000KVA</t>
        </is>
      </c>
      <c r="J1836" t="inlineStr">
        <is>
          <t>JAWORSKI</t>
        </is>
      </c>
      <c r="K1836" t="inlineStr">
        <is>
          <t>PLASTIQUE</t>
        </is>
      </c>
      <c r="L1836">
        <f>_xlfn.XLOOKUP(Tableau1[[#This Row],[TYPE DE PIECE]],Tableau4[MATIERE],Tableau4[SHORT TYPE],"",0,1)</f>
        <v/>
      </c>
      <c r="N1836">
        <f>IF(ISERR(FIND("DECOUPE",Tableau1[[#This Row],[DESIGNATION]])),"","NEED REF")</f>
        <v/>
      </c>
    </row>
    <row r="1837">
      <c r="B1837" t="n">
        <v>34412164</v>
      </c>
      <c r="C1837" s="2" t="n">
        <v>45225</v>
      </c>
      <c r="D1837" t="inlineStr">
        <is>
          <t>SPEC</t>
        </is>
      </c>
      <c r="E1837" t="inlineStr">
        <is>
          <t>SMT SUPPORT ISOLATEUR</t>
        </is>
      </c>
      <c r="F1837" t="inlineStr">
        <is>
          <t>NOLLET ET FILS SAS</t>
        </is>
      </c>
      <c r="G1837" t="inlineStr">
        <is>
          <t>GVX</t>
        </is>
      </c>
      <c r="H1837" t="inlineStr">
        <is>
          <t>BYPASS</t>
        </is>
      </c>
      <c r="I1837" t="inlineStr">
        <is>
          <t>1000KVA</t>
        </is>
      </c>
      <c r="J1837" t="inlineStr">
        <is>
          <t>JAWORSKI</t>
        </is>
      </c>
      <c r="K1837" t="inlineStr">
        <is>
          <t>METAL</t>
        </is>
      </c>
      <c r="L1837">
        <f>_xlfn.XLOOKUP(Tableau1[[#This Row],[TYPE DE PIECE]],Tableau4[MATIERE],Tableau4[SHORT TYPE],"",0,1)</f>
        <v/>
      </c>
      <c r="N1837">
        <f>IF(ISERR(FIND("DECOUPE",Tableau1[[#This Row],[DESIGNATION]])),"","NEED REF")</f>
        <v/>
      </c>
    </row>
    <row r="1838">
      <c r="B1838" t="n">
        <v>34412163</v>
      </c>
      <c r="C1838" s="2" t="n">
        <v>45225</v>
      </c>
      <c r="D1838" t="inlineStr">
        <is>
          <t>SPEC</t>
        </is>
      </c>
      <c r="E1838" t="inlineStr">
        <is>
          <t>L=500 - STRUCTURE PROFIL</t>
        </is>
      </c>
      <c r="I1838" t="inlineStr">
        <is>
          <t>1E 2DSTRUCTUREPROFIL</t>
        </is>
      </c>
      <c r="J1838" t="inlineStr">
        <is>
          <t>BERNARDEAU</t>
        </is>
      </c>
      <c r="L1838">
        <f>_xlfn.XLOOKUP(Tableau1[[#This Row],[TYPE DE PIECE]],Tableau4[MATIERE],Tableau4[SHORT TYPE],"",0,1)</f>
        <v/>
      </c>
      <c r="N1838">
        <f>IF(ISERR(FIND("DECOUPE",Tableau1[[#This Row],[DESIGNATION]])),"","NEED REF")</f>
        <v/>
      </c>
    </row>
    <row r="1839">
      <c r="B1839" t="n">
        <v>34412162</v>
      </c>
      <c r="C1839" s="2" t="n">
        <v>45224</v>
      </c>
      <c r="D1839" t="inlineStr">
        <is>
          <t>SPEC</t>
        </is>
      </c>
      <c r="E1839" t="inlineStr">
        <is>
          <t>COP GVXL4 FEEDS CONNEXION</t>
        </is>
      </c>
      <c r="G1839" t="inlineStr">
        <is>
          <t>GVXL</t>
        </is>
      </c>
      <c r="H1839" t="inlineStr">
        <is>
          <t>IO</t>
        </is>
      </c>
      <c r="I1839" t="inlineStr">
        <is>
          <t>1250kVA</t>
        </is>
      </c>
      <c r="J1839" t="inlineStr">
        <is>
          <t>Rodriguez</t>
        </is>
      </c>
      <c r="K1839" t="inlineStr">
        <is>
          <t>CUIVRE</t>
        </is>
      </c>
      <c r="L1839">
        <f>_xlfn.XLOOKUP(Tableau1[[#This Row],[TYPE DE PIECE]],Tableau4[MATIERE],Tableau4[SHORT TYPE],"",0,1)</f>
        <v/>
      </c>
      <c r="N1839">
        <f>IF(ISERR(FIND("DECOUPE",Tableau1[[#This Row],[DESIGNATION]])),"","NEED REF")</f>
        <v/>
      </c>
    </row>
    <row r="1840">
      <c r="B1840" t="n">
        <v>34412161</v>
      </c>
      <c r="C1840" s="2" t="n">
        <v>45224</v>
      </c>
      <c r="D1840" t="inlineStr">
        <is>
          <t>SPEC</t>
        </is>
      </c>
      <c r="E1840" t="inlineStr">
        <is>
          <t>COP GVXL 4 FEEDS BPL3</t>
        </is>
      </c>
      <c r="G1840" t="inlineStr">
        <is>
          <t>GVXL</t>
        </is>
      </c>
      <c r="H1840" t="inlineStr">
        <is>
          <t>IO</t>
        </is>
      </c>
      <c r="I1840" t="inlineStr">
        <is>
          <t>1250kVA</t>
        </is>
      </c>
      <c r="J1840" t="inlineStr">
        <is>
          <t>Rodriguez</t>
        </is>
      </c>
      <c r="K1840" t="inlineStr">
        <is>
          <t>CUIVRE</t>
        </is>
      </c>
      <c r="L1840">
        <f>_xlfn.XLOOKUP(Tableau1[[#This Row],[TYPE DE PIECE]],Tableau4[MATIERE],Tableau4[SHORT TYPE],"",0,1)</f>
        <v/>
      </c>
      <c r="N1840">
        <f>IF(ISERR(FIND("DECOUPE",Tableau1[[#This Row],[DESIGNATION]])),"","NEED REF")</f>
        <v/>
      </c>
    </row>
    <row r="1841">
      <c r="B1841" t="n">
        <v>34412160</v>
      </c>
      <c r="C1841" s="2" t="n">
        <v>45224</v>
      </c>
      <c r="D1841" t="inlineStr">
        <is>
          <t>SPEC</t>
        </is>
      </c>
      <c r="E1841" t="inlineStr">
        <is>
          <t>COP 34412160  STS 1250A</t>
        </is>
      </c>
      <c r="H1841" t="inlineStr">
        <is>
          <t>STS</t>
        </is>
      </c>
      <c r="I1841" t="inlineStr">
        <is>
          <t>1250A</t>
        </is>
      </c>
      <c r="J1841" t="inlineStr">
        <is>
          <t>MATRION</t>
        </is>
      </c>
      <c r="K1841" t="inlineStr">
        <is>
          <t>CUIVRE</t>
        </is>
      </c>
      <c r="L1841">
        <f>_xlfn.XLOOKUP(Tableau1[[#This Row],[TYPE DE PIECE]],Tableau4[MATIERE],Tableau4[SHORT TYPE],"",0,1)</f>
        <v/>
      </c>
      <c r="N1841">
        <f>IF(ISERR(FIND("DECOUPE",Tableau1[[#This Row],[DESIGNATION]])),"","NEED REF")</f>
        <v/>
      </c>
    </row>
    <row r="1842">
      <c r="B1842" t="n">
        <v>34412159</v>
      </c>
      <c r="C1842" s="2" t="n">
        <v>45223</v>
      </c>
      <c r="D1842" t="inlineStr">
        <is>
          <t>SPEC</t>
        </is>
      </c>
      <c r="E1842" t="inlineStr">
        <is>
          <t>PLA CYLINDRE RENFORT 2</t>
        </is>
      </c>
      <c r="G1842" t="inlineStr">
        <is>
          <t>GVXL</t>
        </is>
      </c>
      <c r="H1842" t="inlineStr">
        <is>
          <t>IO</t>
        </is>
      </c>
      <c r="I1842" t="inlineStr">
        <is>
          <t>1250kVA</t>
        </is>
      </c>
      <c r="J1842" t="inlineStr">
        <is>
          <t>Rodriguez</t>
        </is>
      </c>
      <c r="K1842" t="inlineStr">
        <is>
          <t>PLASTIQUE</t>
        </is>
      </c>
      <c r="L1842">
        <f>_xlfn.XLOOKUP(Tableau1[[#This Row],[TYPE DE PIECE]],Tableau4[MATIERE],Tableau4[SHORT TYPE],"",0,1)</f>
        <v/>
      </c>
      <c r="N1842">
        <f>IF(ISERR(FIND("DECOUPE",Tableau1[[#This Row],[DESIGNATION]])),"","NEED REF")</f>
        <v/>
      </c>
    </row>
    <row r="1843">
      <c r="B1843" t="n">
        <v>34412158</v>
      </c>
      <c r="C1843" s="2" t="n">
        <v>45223</v>
      </c>
      <c r="D1843" t="inlineStr">
        <is>
          <t>SPEC</t>
        </is>
      </c>
      <c r="E1843" t="inlineStr">
        <is>
          <t>PLA CYLINDRE RENFORT</t>
        </is>
      </c>
      <c r="G1843" t="inlineStr">
        <is>
          <t>GVXL</t>
        </is>
      </c>
      <c r="H1843" t="inlineStr">
        <is>
          <t>IO</t>
        </is>
      </c>
      <c r="I1843" t="inlineStr">
        <is>
          <t>1250kVA</t>
        </is>
      </c>
      <c r="J1843" t="inlineStr">
        <is>
          <t>Rodriguez</t>
        </is>
      </c>
      <c r="K1843" t="inlineStr">
        <is>
          <t>PLASTIQUE</t>
        </is>
      </c>
      <c r="L1843">
        <f>_xlfn.XLOOKUP(Tableau1[[#This Row],[TYPE DE PIECE]],Tableau4[MATIERE],Tableau4[SHORT TYPE],"",0,1)</f>
        <v/>
      </c>
      <c r="N1843">
        <f>IF(ISERR(FIND("DECOUPE",Tableau1[[#This Row],[DESIGNATION]])),"","NEED REF")</f>
        <v/>
      </c>
    </row>
    <row r="1844">
      <c r="B1844" t="n">
        <v>34412157</v>
      </c>
      <c r="C1844" s="2" t="n">
        <v>45223</v>
      </c>
      <c r="D1844" t="inlineStr">
        <is>
          <t>SPEC</t>
        </is>
      </c>
      <c r="E1844" t="inlineStr">
        <is>
          <t>SMT TRAVERSE LARGEUR 2 REHAUSSE</t>
        </is>
      </c>
      <c r="G1844" t="inlineStr">
        <is>
          <t>GVXL</t>
        </is>
      </c>
      <c r="H1844" t="inlineStr">
        <is>
          <t>IO</t>
        </is>
      </c>
      <c r="I1844" t="inlineStr">
        <is>
          <t>1250kVA</t>
        </is>
      </c>
      <c r="J1844" t="inlineStr">
        <is>
          <t>Rodriguez</t>
        </is>
      </c>
      <c r="K1844" t="inlineStr">
        <is>
          <t>METAL</t>
        </is>
      </c>
      <c r="L1844">
        <f>_xlfn.XLOOKUP(Tableau1[[#This Row],[TYPE DE PIECE]],Tableau4[MATIERE],Tableau4[SHORT TYPE],"",0,1)</f>
        <v/>
      </c>
      <c r="N1844">
        <f>IF(ISERR(FIND("DECOUPE",Tableau1[[#This Row],[DESIGNATION]])),"","NEED REF")</f>
        <v/>
      </c>
    </row>
    <row r="1845">
      <c r="B1845" t="n">
        <v>34412156</v>
      </c>
      <c r="C1845" s="2" t="n">
        <v>45223</v>
      </c>
      <c r="D1845" t="inlineStr">
        <is>
          <t>SPEC</t>
        </is>
      </c>
      <c r="E1845" t="inlineStr">
        <is>
          <t>SMT TRAVERSE LARGEUR REHAUSSE</t>
        </is>
      </c>
      <c r="G1845" t="inlineStr">
        <is>
          <t>GVXL</t>
        </is>
      </c>
      <c r="H1845" t="inlineStr">
        <is>
          <t>IO</t>
        </is>
      </c>
      <c r="I1845" t="inlineStr">
        <is>
          <t>1250kVA</t>
        </is>
      </c>
      <c r="J1845" t="inlineStr">
        <is>
          <t>Rodriguez</t>
        </is>
      </c>
      <c r="K1845" t="inlineStr">
        <is>
          <t>METAL</t>
        </is>
      </c>
      <c r="L1845">
        <f>_xlfn.XLOOKUP(Tableau1[[#This Row],[TYPE DE PIECE]],Tableau4[MATIERE],Tableau4[SHORT TYPE],"",0,1)</f>
        <v/>
      </c>
      <c r="N1845">
        <f>IF(ISERR(FIND("DECOUPE",Tableau1[[#This Row],[DESIGNATION]])),"","NEED REF")</f>
        <v/>
      </c>
    </row>
    <row r="1846">
      <c r="B1846" t="n">
        <v>34412155</v>
      </c>
      <c r="C1846" s="2" t="n">
        <v>45223</v>
      </c>
      <c r="D1846" t="inlineStr">
        <is>
          <t>SPEC</t>
        </is>
      </c>
      <c r="E1846" t="inlineStr">
        <is>
          <t>COP GVXL 4 FEEDS CONNEXION NEUTRE</t>
        </is>
      </c>
      <c r="G1846" t="inlineStr">
        <is>
          <t>GVXL</t>
        </is>
      </c>
      <c r="H1846" t="inlineStr">
        <is>
          <t>IO</t>
        </is>
      </c>
      <c r="I1846" t="inlineStr">
        <is>
          <t>1250kVA</t>
        </is>
      </c>
      <c r="J1846" t="inlineStr">
        <is>
          <t>Rodriguez</t>
        </is>
      </c>
      <c r="K1846" t="inlineStr">
        <is>
          <t>CUIVRE</t>
        </is>
      </c>
      <c r="L1846">
        <f>_xlfn.XLOOKUP(Tableau1[[#This Row],[TYPE DE PIECE]],Tableau4[MATIERE],Tableau4[SHORT TYPE],"",0,1)</f>
        <v/>
      </c>
      <c r="N1846">
        <f>IF(ISERR(FIND("DECOUPE",Tableau1[[#This Row],[DESIGNATION]])),"","NEED REF")</f>
        <v/>
      </c>
    </row>
    <row r="1847">
      <c r="B1847" t="n">
        <v>34412154</v>
      </c>
      <c r="C1847" s="2" t="n">
        <v>45223</v>
      </c>
      <c r="D1847" t="inlineStr">
        <is>
          <t>SPEC</t>
        </is>
      </c>
      <c r="E1847" t="inlineStr">
        <is>
          <t>COP CALE TGAB IN</t>
        </is>
      </c>
      <c r="G1847" t="inlineStr">
        <is>
          <t>GVXL</t>
        </is>
      </c>
      <c r="H1847" t="inlineStr">
        <is>
          <t>IO</t>
        </is>
      </c>
      <c r="I1847" t="inlineStr">
        <is>
          <t>1250kVA</t>
        </is>
      </c>
      <c r="J1847" t="inlineStr">
        <is>
          <t>Rodriguez</t>
        </is>
      </c>
      <c r="K1847" t="inlineStr">
        <is>
          <t>CUIVRE</t>
        </is>
      </c>
      <c r="L1847">
        <f>_xlfn.XLOOKUP(Tableau1[[#This Row],[TYPE DE PIECE]],Tableau4[MATIERE],Tableau4[SHORT TYPE],"",0,1)</f>
        <v/>
      </c>
      <c r="N1847">
        <f>IF(ISERR(FIND("DECOUPE",Tableau1[[#This Row],[DESIGNATION]])),"","NEED REF")</f>
        <v/>
      </c>
    </row>
    <row r="1848">
      <c r="B1848" t="n">
        <v>34412153</v>
      </c>
      <c r="C1848" s="2" t="n">
        <v>45223</v>
      </c>
      <c r="D1848" t="inlineStr">
        <is>
          <t>SPEC</t>
        </is>
      </c>
      <c r="E1848" t="inlineStr">
        <is>
          <t>COP GVXL 4 FEEDS NEUTRAL</t>
        </is>
      </c>
      <c r="G1848" t="inlineStr">
        <is>
          <t>GVXL</t>
        </is>
      </c>
      <c r="H1848" t="inlineStr">
        <is>
          <t>IO</t>
        </is>
      </c>
      <c r="I1848" t="inlineStr">
        <is>
          <t>1250kVA</t>
        </is>
      </c>
      <c r="J1848" t="inlineStr">
        <is>
          <t>Rodriguez</t>
        </is>
      </c>
      <c r="K1848" t="inlineStr">
        <is>
          <t>CUIVRE</t>
        </is>
      </c>
      <c r="L1848">
        <f>_xlfn.XLOOKUP(Tableau1[[#This Row],[TYPE DE PIECE]],Tableau4[MATIERE],Tableau4[SHORT TYPE],"",0,1)</f>
        <v/>
      </c>
      <c r="N1848">
        <f>IF(ISERR(FIND("DECOUPE",Tableau1[[#This Row],[DESIGNATION]])),"","NEED REF")</f>
        <v/>
      </c>
    </row>
    <row r="1849">
      <c r="B1849" t="n">
        <v>34412152</v>
      </c>
      <c r="C1849" s="2" t="n">
        <v>45223</v>
      </c>
      <c r="D1849" t="inlineStr">
        <is>
          <t>SPEC</t>
        </is>
      </c>
      <c r="E1849" t="inlineStr">
        <is>
          <t>COP GVXL 4 FEEDS INL1</t>
        </is>
      </c>
      <c r="G1849" t="inlineStr">
        <is>
          <t>GVXL</t>
        </is>
      </c>
      <c r="H1849" t="inlineStr">
        <is>
          <t>IO</t>
        </is>
      </c>
      <c r="I1849" t="inlineStr">
        <is>
          <t>1250kVA</t>
        </is>
      </c>
      <c r="J1849" t="inlineStr">
        <is>
          <t>Rodriguez</t>
        </is>
      </c>
      <c r="K1849" t="inlineStr">
        <is>
          <t>CUIVRE</t>
        </is>
      </c>
      <c r="L1849">
        <f>_xlfn.XLOOKUP(Tableau1[[#This Row],[TYPE DE PIECE]],Tableau4[MATIERE],Tableau4[SHORT TYPE],"",0,1)</f>
        <v/>
      </c>
      <c r="N1849">
        <f>IF(ISERR(FIND("DECOUPE",Tableau1[[#This Row],[DESIGNATION]])),"","NEED REF")</f>
        <v/>
      </c>
    </row>
    <row r="1850">
      <c r="B1850" t="n">
        <v>34412151</v>
      </c>
      <c r="C1850" s="2" t="n">
        <v>45223</v>
      </c>
      <c r="D1850" t="inlineStr">
        <is>
          <t>SPEC</t>
        </is>
      </c>
      <c r="E1850" t="inlineStr">
        <is>
          <t>COP GVXL 4 FEEDS INL2</t>
        </is>
      </c>
      <c r="G1850" t="inlineStr">
        <is>
          <t>GVXL</t>
        </is>
      </c>
      <c r="H1850" t="inlineStr">
        <is>
          <t>IO</t>
        </is>
      </c>
      <c r="I1850" t="inlineStr">
        <is>
          <t>1250kVA</t>
        </is>
      </c>
      <c r="J1850" t="inlineStr">
        <is>
          <t>Rodriguez</t>
        </is>
      </c>
      <c r="K1850" t="inlineStr">
        <is>
          <t>CUIVRE</t>
        </is>
      </c>
      <c r="L1850">
        <f>_xlfn.XLOOKUP(Tableau1[[#This Row],[TYPE DE PIECE]],Tableau4[MATIERE],Tableau4[SHORT TYPE],"",0,1)</f>
        <v/>
      </c>
      <c r="N1850">
        <f>IF(ISERR(FIND("DECOUPE",Tableau1[[#This Row],[DESIGNATION]])),"","NEED REF")</f>
        <v/>
      </c>
    </row>
    <row r="1851">
      <c r="B1851" t="n">
        <v>34412150</v>
      </c>
      <c r="C1851" s="2" t="n">
        <v>45223</v>
      </c>
      <c r="D1851" t="inlineStr">
        <is>
          <t>SPEC</t>
        </is>
      </c>
      <c r="E1851" t="inlineStr">
        <is>
          <t>COP GVXL 4 FEEDS INL3</t>
        </is>
      </c>
      <c r="G1851" t="inlineStr">
        <is>
          <t>GVXL</t>
        </is>
      </c>
      <c r="H1851" t="inlineStr">
        <is>
          <t>IO</t>
        </is>
      </c>
      <c r="I1851" t="inlineStr">
        <is>
          <t>1250kVA</t>
        </is>
      </c>
      <c r="J1851" t="inlineStr">
        <is>
          <t>Rodriguez</t>
        </is>
      </c>
      <c r="K1851" t="inlineStr">
        <is>
          <t>CUIVRE</t>
        </is>
      </c>
      <c r="L1851">
        <f>_xlfn.XLOOKUP(Tableau1[[#This Row],[TYPE DE PIECE]],Tableau4[MATIERE],Tableau4[SHORT TYPE],"",0,1)</f>
        <v/>
      </c>
      <c r="N1851">
        <f>IF(ISERR(FIND("DECOUPE",Tableau1[[#This Row],[DESIGNATION]])),"","NEED REF")</f>
        <v/>
      </c>
    </row>
    <row r="1852">
      <c r="B1852" t="n">
        <v>34412149</v>
      </c>
      <c r="C1852" s="2" t="n">
        <v>45223</v>
      </c>
      <c r="D1852" t="inlineStr">
        <is>
          <t>SPEC</t>
        </is>
      </c>
      <c r="E1852" t="inlineStr">
        <is>
          <t>COP GVXL 4 FEEDS NEUTRAL OUT</t>
        </is>
      </c>
      <c r="G1852" t="inlineStr">
        <is>
          <t>GVXL</t>
        </is>
      </c>
      <c r="H1852" t="inlineStr">
        <is>
          <t>IO</t>
        </is>
      </c>
      <c r="I1852" t="inlineStr">
        <is>
          <t>1250kVA</t>
        </is>
      </c>
      <c r="J1852" t="inlineStr">
        <is>
          <t>Rodriguez</t>
        </is>
      </c>
      <c r="K1852" t="inlineStr">
        <is>
          <t>CUIVRE</t>
        </is>
      </c>
      <c r="L1852">
        <f>_xlfn.XLOOKUP(Tableau1[[#This Row],[TYPE DE PIECE]],Tableau4[MATIERE],Tableau4[SHORT TYPE],"",0,1)</f>
        <v/>
      </c>
      <c r="N1852">
        <f>IF(ISERR(FIND("DECOUPE",Tableau1[[#This Row],[DESIGNATION]])),"","NEED REF")</f>
        <v/>
      </c>
    </row>
    <row r="1853">
      <c r="B1853" t="n">
        <v>34412148</v>
      </c>
      <c r="C1853" s="2" t="n">
        <v>45223</v>
      </c>
      <c r="D1853" t="inlineStr">
        <is>
          <t>SPEC</t>
        </is>
      </c>
      <c r="E1853" t="inlineStr">
        <is>
          <t>SMT GRILLE ARRIERE</t>
        </is>
      </c>
      <c r="G1853" t="inlineStr">
        <is>
          <t>GVXL</t>
        </is>
      </c>
      <c r="H1853" t="inlineStr">
        <is>
          <t>IO</t>
        </is>
      </c>
      <c r="I1853" t="inlineStr">
        <is>
          <t>1250kVA</t>
        </is>
      </c>
      <c r="J1853" t="inlineStr">
        <is>
          <t>Rodriguez</t>
        </is>
      </c>
      <c r="K1853" t="inlineStr">
        <is>
          <t>METAL</t>
        </is>
      </c>
      <c r="L1853">
        <f>_xlfn.XLOOKUP(Tableau1[[#This Row],[TYPE DE PIECE]],Tableau4[MATIERE],Tableau4[SHORT TYPE],"",0,1)</f>
        <v/>
      </c>
      <c r="N1853">
        <f>IF(ISERR(FIND("DECOUPE",Tableau1[[#This Row],[DESIGNATION]])),"","NEED REF")</f>
        <v/>
      </c>
    </row>
    <row r="1854">
      <c r="B1854" t="n">
        <v>34412147</v>
      </c>
      <c r="C1854" s="2" t="n">
        <v>45223</v>
      </c>
      <c r="D1854" t="inlineStr">
        <is>
          <t>SPEC</t>
        </is>
      </c>
      <c r="E1854" t="inlineStr">
        <is>
          <t>SMT GRILE AVANT</t>
        </is>
      </c>
      <c r="G1854" t="inlineStr">
        <is>
          <t>GVXL</t>
        </is>
      </c>
      <c r="H1854" t="inlineStr">
        <is>
          <t>IO</t>
        </is>
      </c>
      <c r="I1854" t="inlineStr">
        <is>
          <t>1250kVA</t>
        </is>
      </c>
      <c r="J1854" t="inlineStr">
        <is>
          <t>Rodriguez</t>
        </is>
      </c>
      <c r="K1854" t="inlineStr">
        <is>
          <t>METAL</t>
        </is>
      </c>
      <c r="L1854">
        <f>_xlfn.XLOOKUP(Tableau1[[#This Row],[TYPE DE PIECE]],Tableau4[MATIERE],Tableau4[SHORT TYPE],"",0,1)</f>
        <v/>
      </c>
      <c r="N1854">
        <f>IF(ISERR(FIND("DECOUPE",Tableau1[[#This Row],[DESIGNATION]])),"","NEED REF")</f>
        <v/>
      </c>
    </row>
    <row r="1855">
      <c r="B1855" t="n">
        <v>34412146</v>
      </c>
      <c r="C1855" s="2" t="n">
        <v>45223</v>
      </c>
      <c r="D1855" t="inlineStr">
        <is>
          <t>SPEC</t>
        </is>
      </c>
      <c r="E1855" t="inlineStr">
        <is>
          <t>COP GVXL 4 FEEDS RACCORDEMENT</t>
        </is>
      </c>
      <c r="G1855" t="inlineStr">
        <is>
          <t>GVXL</t>
        </is>
      </c>
      <c r="H1855" t="inlineStr">
        <is>
          <t>IO</t>
        </is>
      </c>
      <c r="I1855" t="inlineStr">
        <is>
          <t>1250kVA</t>
        </is>
      </c>
      <c r="J1855" t="inlineStr">
        <is>
          <t>Rodriguez</t>
        </is>
      </c>
      <c r="K1855" t="inlineStr">
        <is>
          <t>CUIVRE</t>
        </is>
      </c>
      <c r="L1855">
        <f>_xlfn.XLOOKUP(Tableau1[[#This Row],[TYPE DE PIECE]],Tableau4[MATIERE],Tableau4[SHORT TYPE],"",0,1)</f>
        <v/>
      </c>
      <c r="N1855">
        <f>IF(ISERR(FIND("DECOUPE",Tableau1[[#This Row],[DESIGNATION]])),"","NEED REF")</f>
        <v/>
      </c>
    </row>
    <row r="1856">
      <c r="B1856" t="n">
        <v>34412145</v>
      </c>
      <c r="C1856" s="2" t="n">
        <v>45223</v>
      </c>
      <c r="D1856" t="inlineStr">
        <is>
          <t>SPEC</t>
        </is>
      </c>
      <c r="E1856" t="inlineStr">
        <is>
          <t>COP GVXL 4 FEEDS BPL1</t>
        </is>
      </c>
      <c r="G1856" t="inlineStr">
        <is>
          <t>GVXL</t>
        </is>
      </c>
      <c r="H1856" t="inlineStr">
        <is>
          <t>IO</t>
        </is>
      </c>
      <c r="I1856" t="inlineStr">
        <is>
          <t>1250kVA</t>
        </is>
      </c>
      <c r="J1856" t="inlineStr">
        <is>
          <t>Rodriguez</t>
        </is>
      </c>
      <c r="K1856" t="inlineStr">
        <is>
          <t>CUIVRE</t>
        </is>
      </c>
      <c r="L1856">
        <f>_xlfn.XLOOKUP(Tableau1[[#This Row],[TYPE DE PIECE]],Tableau4[MATIERE],Tableau4[SHORT TYPE],"",0,1)</f>
        <v/>
      </c>
      <c r="N1856">
        <f>IF(ISERR(FIND("DECOUPE",Tableau1[[#This Row],[DESIGNATION]])),"","NEED REF")</f>
        <v/>
      </c>
    </row>
    <row r="1857">
      <c r="B1857" t="n">
        <v>34412144</v>
      </c>
      <c r="C1857" s="2" t="n">
        <v>45223</v>
      </c>
      <c r="D1857" t="inlineStr">
        <is>
          <t>SPEC</t>
        </is>
      </c>
      <c r="E1857" t="inlineStr">
        <is>
          <t>SMT PLASTRON NS800</t>
        </is>
      </c>
      <c r="F1857" t="inlineStr">
        <is>
          <t>NOLLET ET FILS SAS</t>
        </is>
      </c>
      <c r="G1857" t="inlineStr">
        <is>
          <t>GVX</t>
        </is>
      </c>
      <c r="H1857" t="inlineStr">
        <is>
          <t>BYPASS</t>
        </is>
      </c>
      <c r="I1857" t="inlineStr">
        <is>
          <t>1000KVA</t>
        </is>
      </c>
      <c r="J1857" t="inlineStr">
        <is>
          <t>JAWORSKI</t>
        </is>
      </c>
      <c r="K1857" t="inlineStr">
        <is>
          <t>METAL</t>
        </is>
      </c>
      <c r="L1857">
        <f>_xlfn.XLOOKUP(Tableau1[[#This Row],[TYPE DE PIECE]],Tableau4[MATIERE],Tableau4[SHORT TYPE],"",0,1)</f>
        <v/>
      </c>
      <c r="N1857">
        <f>IF(ISERR(FIND("DECOUPE",Tableau1[[#This Row],[DESIGNATION]])),"","NEED REF")</f>
        <v/>
      </c>
    </row>
    <row r="1858">
      <c r="B1858" t="n">
        <v>34412143</v>
      </c>
      <c r="C1858" s="2" t="n">
        <v>45223</v>
      </c>
      <c r="D1858" t="inlineStr">
        <is>
          <t>SPEC</t>
        </is>
      </c>
      <c r="E1858" t="inlineStr">
        <is>
          <t>PLA PROTECTION CONTACT</t>
        </is>
      </c>
      <c r="F1858" t="inlineStr">
        <is>
          <t>NOLLET ET FILS SAS</t>
        </is>
      </c>
      <c r="G1858" t="inlineStr">
        <is>
          <t>GVX</t>
        </is>
      </c>
      <c r="H1858" t="inlineStr">
        <is>
          <t>BYPASS</t>
        </is>
      </c>
      <c r="I1858" t="inlineStr">
        <is>
          <t>1000KVA</t>
        </is>
      </c>
      <c r="J1858" t="inlineStr">
        <is>
          <t>JAWORSKI</t>
        </is>
      </c>
      <c r="K1858" t="inlineStr">
        <is>
          <t>PLASTIQUE</t>
        </is>
      </c>
      <c r="L1858">
        <f>_xlfn.XLOOKUP(Tableau1[[#This Row],[TYPE DE PIECE]],Tableau4[MATIERE],Tableau4[SHORT TYPE],"",0,1)</f>
        <v/>
      </c>
      <c r="N1858">
        <f>IF(ISERR(FIND("DECOUPE",Tableau1[[#This Row],[DESIGNATION]])),"","NEED REF")</f>
        <v/>
      </c>
    </row>
    <row r="1859">
      <c r="B1859" t="n">
        <v>34412142</v>
      </c>
      <c r="C1859" s="2" t="n">
        <v>45223</v>
      </c>
      <c r="D1859" t="inlineStr">
        <is>
          <t>SPEC</t>
        </is>
      </c>
      <c r="E1859" t="inlineStr">
        <is>
          <t>COP NS800 AMONT CONNEXION L3</t>
        </is>
      </c>
      <c r="F1859" t="inlineStr">
        <is>
          <t>NOLLET ET FILS SAS</t>
        </is>
      </c>
      <c r="G1859" t="inlineStr">
        <is>
          <t>GVX</t>
        </is>
      </c>
      <c r="H1859" t="inlineStr">
        <is>
          <t>BYPASS</t>
        </is>
      </c>
      <c r="I1859" t="inlineStr">
        <is>
          <t>1000KVA</t>
        </is>
      </c>
      <c r="J1859" t="inlineStr">
        <is>
          <t>JAWORSKI</t>
        </is>
      </c>
      <c r="K1859" t="inlineStr">
        <is>
          <t>CUIVRE</t>
        </is>
      </c>
      <c r="L1859">
        <f>_xlfn.XLOOKUP(Tableau1[[#This Row],[TYPE DE PIECE]],Tableau4[MATIERE],Tableau4[SHORT TYPE],"",0,1)</f>
        <v/>
      </c>
      <c r="N1859">
        <f>IF(ISERR(FIND("DECOUPE",Tableau1[[#This Row],[DESIGNATION]])),"","NEED REF")</f>
        <v/>
      </c>
    </row>
    <row r="1860">
      <c r="B1860" t="n">
        <v>34412141</v>
      </c>
      <c r="C1860" s="2" t="n">
        <v>45223</v>
      </c>
      <c r="D1860" t="inlineStr">
        <is>
          <t>SPEC</t>
        </is>
      </c>
      <c r="E1860" t="inlineStr">
        <is>
          <t>COP NS800 AMONT CONNEXION L2</t>
        </is>
      </c>
      <c r="F1860" t="inlineStr">
        <is>
          <t>NOLLET ET FILS SAS</t>
        </is>
      </c>
      <c r="G1860" t="inlineStr">
        <is>
          <t>GVX</t>
        </is>
      </c>
      <c r="H1860" t="inlineStr">
        <is>
          <t>BYPASS</t>
        </is>
      </c>
      <c r="I1860" t="inlineStr">
        <is>
          <t>1000KVA</t>
        </is>
      </c>
      <c r="J1860" t="inlineStr">
        <is>
          <t>JAWORSKI</t>
        </is>
      </c>
      <c r="K1860" t="inlineStr">
        <is>
          <t>CUIVRE</t>
        </is>
      </c>
      <c r="L1860">
        <f>_xlfn.XLOOKUP(Tableau1[[#This Row],[TYPE DE PIECE]],Tableau4[MATIERE],Tableau4[SHORT TYPE],"",0,1)</f>
        <v/>
      </c>
      <c r="N1860">
        <f>IF(ISERR(FIND("DECOUPE",Tableau1[[#This Row],[DESIGNATION]])),"","NEED REF")</f>
        <v/>
      </c>
    </row>
    <row r="1861">
      <c r="B1861" t="n">
        <v>34412140</v>
      </c>
      <c r="C1861" s="2" t="n">
        <v>45223</v>
      </c>
      <c r="D1861" t="inlineStr">
        <is>
          <t>SPEC</t>
        </is>
      </c>
      <c r="E1861" t="inlineStr">
        <is>
          <t>COP NS800 AMONT CONNEXION L1</t>
        </is>
      </c>
      <c r="F1861" t="inlineStr">
        <is>
          <t>NOLLET ET FILS SAS</t>
        </is>
      </c>
      <c r="G1861" t="inlineStr">
        <is>
          <t>GVX</t>
        </is>
      </c>
      <c r="H1861" t="inlineStr">
        <is>
          <t>BYPASS</t>
        </is>
      </c>
      <c r="I1861" t="inlineStr">
        <is>
          <t>1000KVA</t>
        </is>
      </c>
      <c r="J1861" t="inlineStr">
        <is>
          <t>JAWORSKI</t>
        </is>
      </c>
      <c r="K1861" t="inlineStr">
        <is>
          <t>CUIVRE</t>
        </is>
      </c>
      <c r="L1861">
        <f>_xlfn.XLOOKUP(Tableau1[[#This Row],[TYPE DE PIECE]],Tableau4[MATIERE],Tableau4[SHORT TYPE],"",0,1)</f>
        <v/>
      </c>
      <c r="N1861">
        <f>IF(ISERR(FIND("DECOUPE",Tableau1[[#This Row],[DESIGNATION]])),"","NEED REF")</f>
        <v/>
      </c>
    </row>
    <row r="1862">
      <c r="B1862" t="n">
        <v>34412139</v>
      </c>
      <c r="C1862" s="2" t="n">
        <v>45223</v>
      </c>
      <c r="D1862" t="inlineStr">
        <is>
          <t>SPEC</t>
        </is>
      </c>
      <c r="E1862" t="inlineStr">
        <is>
          <t>COP LIAISON PEN</t>
        </is>
      </c>
      <c r="F1862" t="inlineStr">
        <is>
          <t>NOLLET ET FILS SAS</t>
        </is>
      </c>
      <c r="G1862" t="inlineStr">
        <is>
          <t>GVX</t>
        </is>
      </c>
      <c r="H1862" t="inlineStr">
        <is>
          <t>BYPASS</t>
        </is>
      </c>
      <c r="I1862" t="inlineStr">
        <is>
          <t>1000KVA</t>
        </is>
      </c>
      <c r="J1862" t="inlineStr">
        <is>
          <t>JAWORSKI</t>
        </is>
      </c>
      <c r="K1862" t="inlineStr">
        <is>
          <t>CUIVRE</t>
        </is>
      </c>
      <c r="L1862">
        <f>_xlfn.XLOOKUP(Tableau1[[#This Row],[TYPE DE PIECE]],Tableau4[MATIERE],Tableau4[SHORT TYPE],"",0,1)</f>
        <v/>
      </c>
      <c r="N1862">
        <f>IF(ISERR(FIND("DECOUPE",Tableau1[[#This Row],[DESIGNATION]])),"","NEED REF")</f>
        <v/>
      </c>
    </row>
    <row r="1863">
      <c r="B1863" t="n">
        <v>34412138</v>
      </c>
      <c r="C1863" s="2" t="n">
        <v>45223</v>
      </c>
      <c r="D1863" t="inlineStr">
        <is>
          <t>SPEC</t>
        </is>
      </c>
      <c r="E1863" t="inlineStr">
        <is>
          <t>SMT LIAISON PEN</t>
        </is>
      </c>
      <c r="F1863" t="inlineStr">
        <is>
          <t>NOLLET ET FILS SAS</t>
        </is>
      </c>
      <c r="G1863" t="inlineStr">
        <is>
          <t>GVX</t>
        </is>
      </c>
      <c r="H1863" t="inlineStr">
        <is>
          <t>BYPASS</t>
        </is>
      </c>
      <c r="I1863" t="inlineStr">
        <is>
          <t>1000KVA</t>
        </is>
      </c>
      <c r="J1863" t="inlineStr">
        <is>
          <t>JAWORSKI</t>
        </is>
      </c>
      <c r="K1863" t="inlineStr">
        <is>
          <t>METAL</t>
        </is>
      </c>
      <c r="L1863">
        <f>_xlfn.XLOOKUP(Tableau1[[#This Row],[TYPE DE PIECE]],Tableau4[MATIERE],Tableau4[SHORT TYPE],"",0,1)</f>
        <v/>
      </c>
      <c r="N1863">
        <f>IF(ISERR(FIND("DECOUPE",Tableau1[[#This Row],[DESIGNATION]])),"","NEED REF")</f>
        <v/>
      </c>
    </row>
    <row r="1864">
      <c r="B1864" t="n">
        <v>34412137</v>
      </c>
      <c r="C1864" s="2" t="n">
        <v>45223</v>
      </c>
      <c r="D1864" t="inlineStr">
        <is>
          <t>SPEC</t>
        </is>
      </c>
      <c r="E1864" t="inlineStr">
        <is>
          <t>COP MTZ2 AVAL CONNEXION L3</t>
        </is>
      </c>
      <c r="F1864" t="inlineStr">
        <is>
          <t>NOLLET ET FILS SAS</t>
        </is>
      </c>
      <c r="G1864" t="inlineStr">
        <is>
          <t>GVX</t>
        </is>
      </c>
      <c r="H1864" t="inlineStr">
        <is>
          <t>BYPASS</t>
        </is>
      </c>
      <c r="I1864" t="inlineStr">
        <is>
          <t>1000KVA</t>
        </is>
      </c>
      <c r="J1864" t="inlineStr">
        <is>
          <t>JAWORSKI</t>
        </is>
      </c>
      <c r="K1864" t="inlineStr">
        <is>
          <t>CUIVRE</t>
        </is>
      </c>
      <c r="L1864">
        <f>_xlfn.XLOOKUP(Tableau1[[#This Row],[TYPE DE PIECE]],Tableau4[MATIERE],Tableau4[SHORT TYPE],"",0,1)</f>
        <v/>
      </c>
      <c r="N1864">
        <f>IF(ISERR(FIND("DECOUPE",Tableau1[[#This Row],[DESIGNATION]])),"","NEED REF")</f>
        <v/>
      </c>
    </row>
    <row r="1865">
      <c r="B1865" t="n">
        <v>34412136</v>
      </c>
      <c r="C1865" s="2" t="n">
        <v>45223</v>
      </c>
      <c r="D1865" t="inlineStr">
        <is>
          <t>SPEC</t>
        </is>
      </c>
      <c r="E1865" t="inlineStr">
        <is>
          <t>COP MTZ2 AVAL CONNEXION L2</t>
        </is>
      </c>
      <c r="F1865" t="inlineStr">
        <is>
          <t>NOLLET ET FILS SAS</t>
        </is>
      </c>
      <c r="G1865" t="inlineStr">
        <is>
          <t>GVX</t>
        </is>
      </c>
      <c r="H1865" t="inlineStr">
        <is>
          <t>BYPASS</t>
        </is>
      </c>
      <c r="I1865" t="inlineStr">
        <is>
          <t>1000KVA</t>
        </is>
      </c>
      <c r="J1865" t="inlineStr">
        <is>
          <t>JAWORSKI</t>
        </is>
      </c>
      <c r="K1865" t="inlineStr">
        <is>
          <t>CUIVRE</t>
        </is>
      </c>
      <c r="L1865">
        <f>_xlfn.XLOOKUP(Tableau1[[#This Row],[TYPE DE PIECE]],Tableau4[MATIERE],Tableau4[SHORT TYPE],"",0,1)</f>
        <v/>
      </c>
      <c r="N1865">
        <f>IF(ISERR(FIND("DECOUPE",Tableau1[[#This Row],[DESIGNATION]])),"","NEED REF")</f>
        <v/>
      </c>
    </row>
    <row r="1866">
      <c r="B1866" t="n">
        <v>34412135</v>
      </c>
      <c r="C1866" s="2" t="n">
        <v>45223</v>
      </c>
      <c r="D1866" t="inlineStr">
        <is>
          <t>SPEC</t>
        </is>
      </c>
      <c r="E1866" t="inlineStr">
        <is>
          <t>COP MTZ2 AVAL CONNEXION L1</t>
        </is>
      </c>
      <c r="F1866" t="inlineStr">
        <is>
          <t>NOLLET ET FILS SAS</t>
        </is>
      </c>
      <c r="G1866" t="inlineStr">
        <is>
          <t>GVX</t>
        </is>
      </c>
      <c r="H1866" t="inlineStr">
        <is>
          <t>BYPASS</t>
        </is>
      </c>
      <c r="I1866" t="inlineStr">
        <is>
          <t>1000KVA</t>
        </is>
      </c>
      <c r="J1866" t="inlineStr">
        <is>
          <t>JAWORSKI</t>
        </is>
      </c>
      <c r="K1866" t="inlineStr">
        <is>
          <t>CUIVRE</t>
        </is>
      </c>
      <c r="L1866">
        <f>_xlfn.XLOOKUP(Tableau1[[#This Row],[TYPE DE PIECE]],Tableau4[MATIERE],Tableau4[SHORT TYPE],"",0,1)</f>
        <v/>
      </c>
      <c r="N1866">
        <f>IF(ISERR(FIND("DECOUPE",Tableau1[[#This Row],[DESIGNATION]])),"","NEED REF")</f>
        <v/>
      </c>
    </row>
    <row r="1867">
      <c r="B1867" t="n">
        <v>34412134</v>
      </c>
      <c r="C1867" s="2" t="n">
        <v>45223</v>
      </c>
      <c r="D1867" t="inlineStr">
        <is>
          <t>SPEC</t>
        </is>
      </c>
      <c r="E1867" t="inlineStr">
        <is>
          <t>SE DECOUPE NSYCNT40 1370MM</t>
        </is>
      </c>
      <c r="F1867" t="inlineStr">
        <is>
          <t>NOLLET ET FILS SAS</t>
        </is>
      </c>
      <c r="G1867" t="inlineStr">
        <is>
          <t>GVX</t>
        </is>
      </c>
      <c r="H1867" t="inlineStr">
        <is>
          <t>BYPASS</t>
        </is>
      </c>
      <c r="I1867" t="inlineStr">
        <is>
          <t>1000KVA</t>
        </is>
      </c>
      <c r="J1867" t="inlineStr">
        <is>
          <t>JAWORSKI</t>
        </is>
      </c>
      <c r="K1867" t="inlineStr">
        <is>
          <t>ETO</t>
        </is>
      </c>
      <c r="L1867">
        <f>_xlfn.XLOOKUP(Tableau1[[#This Row],[TYPE DE PIECE]],Tableau4[MATIERE],Tableau4[SHORT TYPE],"",0,1)</f>
        <v/>
      </c>
      <c r="N1867" t="inlineStr">
        <is>
          <t>NSYCNT40</t>
        </is>
      </c>
    </row>
    <row r="1868">
      <c r="B1868" t="n">
        <v>34412133</v>
      </c>
      <c r="C1868" s="2" t="n">
        <v>45223</v>
      </c>
      <c r="D1868" t="inlineStr">
        <is>
          <t>SPEC</t>
        </is>
      </c>
      <c r="E1868" t="inlineStr">
        <is>
          <t>SMT SUPPORT CABLES CLIENT</t>
        </is>
      </c>
      <c r="F1868" t="inlineStr">
        <is>
          <t>NOLLET ET FILS SAS</t>
        </is>
      </c>
      <c r="G1868" t="inlineStr">
        <is>
          <t>GVX</t>
        </is>
      </c>
      <c r="H1868" t="inlineStr">
        <is>
          <t>BYPASS</t>
        </is>
      </c>
      <c r="I1868" t="inlineStr">
        <is>
          <t>1000KVA</t>
        </is>
      </c>
      <c r="J1868" t="inlineStr">
        <is>
          <t>JAWORSKI</t>
        </is>
      </c>
      <c r="K1868" t="inlineStr">
        <is>
          <t>METAL</t>
        </is>
      </c>
      <c r="L1868">
        <f>_xlfn.XLOOKUP(Tableau1[[#This Row],[TYPE DE PIECE]],Tableau4[MATIERE],Tableau4[SHORT TYPE],"",0,1)</f>
        <v/>
      </c>
      <c r="N1868">
        <f>IF(ISERR(FIND("DECOUPE",Tableau1[[#This Row],[DESIGNATION]])),"","NEED REF")</f>
        <v/>
      </c>
    </row>
    <row r="1869">
      <c r="B1869" t="n">
        <v>34412132</v>
      </c>
      <c r="C1869" s="2" t="n">
        <v>45223</v>
      </c>
      <c r="D1869" t="inlineStr">
        <is>
          <t>SPEC</t>
        </is>
      </c>
      <c r="E1869" t="inlineStr">
        <is>
          <t>SMT TRAVERSE GAUCHE CHASSIS</t>
        </is>
      </c>
      <c r="F1869" t="inlineStr">
        <is>
          <t>NOLLET ET FILS SAS</t>
        </is>
      </c>
      <c r="G1869" t="inlineStr">
        <is>
          <t>GVX</t>
        </is>
      </c>
      <c r="H1869" t="inlineStr">
        <is>
          <t>BYPASS</t>
        </is>
      </c>
      <c r="I1869" t="inlineStr">
        <is>
          <t>1000KVA</t>
        </is>
      </c>
      <c r="J1869" t="inlineStr">
        <is>
          <t>JAWORSKI</t>
        </is>
      </c>
      <c r="K1869" t="inlineStr">
        <is>
          <t>METAL</t>
        </is>
      </c>
      <c r="L1869">
        <f>_xlfn.XLOOKUP(Tableau1[[#This Row],[TYPE DE PIECE]],Tableau4[MATIERE],Tableau4[SHORT TYPE],"",0,1)</f>
        <v/>
      </c>
      <c r="N1869">
        <f>IF(ISERR(FIND("DECOUPE",Tableau1[[#This Row],[DESIGNATION]])),"","NEED REF")</f>
        <v/>
      </c>
    </row>
    <row r="1870">
      <c r="B1870" t="n">
        <v>34412131</v>
      </c>
      <c r="C1870" s="2" t="n">
        <v>45223</v>
      </c>
      <c r="D1870" t="inlineStr">
        <is>
          <t>SPEC</t>
        </is>
      </c>
      <c r="E1870" t="inlineStr">
        <is>
          <t>SMT TRAVERSE GAUCHE CHASSIS</t>
        </is>
      </c>
      <c r="F1870" t="inlineStr">
        <is>
          <t>NOLLET ET FILS SAS</t>
        </is>
      </c>
      <c r="G1870" t="inlineStr">
        <is>
          <t>GVX</t>
        </is>
      </c>
      <c r="H1870" t="inlineStr">
        <is>
          <t>BYPASS</t>
        </is>
      </c>
      <c r="I1870" t="inlineStr">
        <is>
          <t>1000KVA</t>
        </is>
      </c>
      <c r="J1870" t="inlineStr">
        <is>
          <t>JAWORSKI</t>
        </is>
      </c>
      <c r="K1870" t="inlineStr">
        <is>
          <t>METAL</t>
        </is>
      </c>
      <c r="L1870">
        <f>_xlfn.XLOOKUP(Tableau1[[#This Row],[TYPE DE PIECE]],Tableau4[MATIERE],Tableau4[SHORT TYPE],"",0,1)</f>
        <v/>
      </c>
      <c r="N1870">
        <f>IF(ISERR(FIND("DECOUPE",Tableau1[[#This Row],[DESIGNATION]])),"","NEED REF")</f>
        <v/>
      </c>
    </row>
    <row r="1871">
      <c r="B1871" t="n">
        <v>34412130</v>
      </c>
      <c r="C1871" s="2" t="n">
        <v>45223</v>
      </c>
      <c r="D1871" t="inlineStr">
        <is>
          <t>SPEC</t>
        </is>
      </c>
      <c r="E1871" t="inlineStr">
        <is>
          <t>SMT PLASTRON MTZ</t>
        </is>
      </c>
      <c r="F1871" t="inlineStr">
        <is>
          <t>NOLLET ET FILS SAS</t>
        </is>
      </c>
      <c r="G1871" t="inlineStr">
        <is>
          <t>GVX</t>
        </is>
      </c>
      <c r="H1871" t="inlineStr">
        <is>
          <t>BYPASS</t>
        </is>
      </c>
      <c r="I1871" t="inlineStr">
        <is>
          <t>1000KVA</t>
        </is>
      </c>
      <c r="J1871" t="inlineStr">
        <is>
          <t>JAWORSKI</t>
        </is>
      </c>
      <c r="K1871" t="inlineStr">
        <is>
          <t>METAL</t>
        </is>
      </c>
      <c r="L1871">
        <f>_xlfn.XLOOKUP(Tableau1[[#This Row],[TYPE DE PIECE]],Tableau4[MATIERE],Tableau4[SHORT TYPE],"",0,1)</f>
        <v/>
      </c>
      <c r="N1871">
        <f>IF(ISERR(FIND("DECOUPE",Tableau1[[#This Row],[DESIGNATION]])),"","NEED REF")</f>
        <v/>
      </c>
    </row>
    <row r="1872">
      <c r="B1872" t="n">
        <v>34412129</v>
      </c>
      <c r="C1872" s="2" t="n">
        <v>45223</v>
      </c>
      <c r="D1872" t="inlineStr">
        <is>
          <t>SPEC</t>
        </is>
      </c>
      <c r="E1872" t="inlineStr">
        <is>
          <t>COP MTZ2 AMONT CONNEXION</t>
        </is>
      </c>
      <c r="F1872" t="inlineStr">
        <is>
          <t>NOLLET ET FILS SAS</t>
        </is>
      </c>
      <c r="G1872" t="inlineStr">
        <is>
          <t>GVX</t>
        </is>
      </c>
      <c r="H1872" t="inlineStr">
        <is>
          <t>BYPASS</t>
        </is>
      </c>
      <c r="I1872" t="inlineStr">
        <is>
          <t>1000KVA</t>
        </is>
      </c>
      <c r="J1872" t="inlineStr">
        <is>
          <t>JAWORSKI</t>
        </is>
      </c>
      <c r="K1872" t="inlineStr">
        <is>
          <t>CUIVRE</t>
        </is>
      </c>
      <c r="L1872">
        <f>_xlfn.XLOOKUP(Tableau1[[#This Row],[TYPE DE PIECE]],Tableau4[MATIERE],Tableau4[SHORT TYPE],"",0,1)</f>
        <v/>
      </c>
      <c r="N1872">
        <f>IF(ISERR(FIND("DECOUPE",Tableau1[[#This Row],[DESIGNATION]])),"","NEED REF")</f>
        <v/>
      </c>
    </row>
    <row r="1873">
      <c r="B1873" t="n">
        <v>34412128</v>
      </c>
      <c r="C1873" s="2" t="n">
        <v>45223</v>
      </c>
      <c r="D1873" t="inlineStr">
        <is>
          <t>SPEC</t>
        </is>
      </c>
      <c r="E1873" t="inlineStr">
        <is>
          <t>COP PEN CONNEXION</t>
        </is>
      </c>
      <c r="F1873" t="inlineStr">
        <is>
          <t>NOLLET ET FILS SAS</t>
        </is>
      </c>
      <c r="G1873" t="inlineStr">
        <is>
          <t>GVX</t>
        </is>
      </c>
      <c r="H1873" t="inlineStr">
        <is>
          <t>BYPASS</t>
        </is>
      </c>
      <c r="I1873" t="inlineStr">
        <is>
          <t>1000KVA</t>
        </is>
      </c>
      <c r="J1873" t="inlineStr">
        <is>
          <t>JAWORSKI</t>
        </is>
      </c>
      <c r="K1873" t="inlineStr">
        <is>
          <t>CUIVRE</t>
        </is>
      </c>
      <c r="L1873">
        <f>_xlfn.XLOOKUP(Tableau1[[#This Row],[TYPE DE PIECE]],Tableau4[MATIERE],Tableau4[SHORT TYPE],"",0,1)</f>
        <v/>
      </c>
      <c r="N1873">
        <f>IF(ISERR(FIND("DECOUPE",Tableau1[[#This Row],[DESIGNATION]])),"","NEED REF")</f>
        <v/>
      </c>
    </row>
    <row r="1874">
      <c r="B1874" t="n">
        <v>34412127</v>
      </c>
      <c r="C1874" s="2" t="n">
        <v>45223</v>
      </c>
      <c r="D1874" t="inlineStr">
        <is>
          <t>SPEC</t>
        </is>
      </c>
      <c r="E1874" t="inlineStr">
        <is>
          <t>COP PEN CONNEXION</t>
        </is>
      </c>
      <c r="F1874" t="inlineStr">
        <is>
          <t>NOLLET ET FILS SAS</t>
        </is>
      </c>
      <c r="G1874" t="inlineStr">
        <is>
          <t>GVX</t>
        </is>
      </c>
      <c r="H1874" t="inlineStr">
        <is>
          <t>BYPASS</t>
        </is>
      </c>
      <c r="I1874" t="inlineStr">
        <is>
          <t>1000KVA</t>
        </is>
      </c>
      <c r="J1874" t="inlineStr">
        <is>
          <t>JAWORSKI</t>
        </is>
      </c>
      <c r="K1874" t="inlineStr">
        <is>
          <t>CUIVRE</t>
        </is>
      </c>
      <c r="L1874">
        <f>_xlfn.XLOOKUP(Tableau1[[#This Row],[TYPE DE PIECE]],Tableau4[MATIERE],Tableau4[SHORT TYPE],"",0,1)</f>
        <v/>
      </c>
      <c r="N1874">
        <f>IF(ISERR(FIND("DECOUPE",Tableau1[[#This Row],[DESIGNATION]])),"","NEED REF")</f>
        <v/>
      </c>
    </row>
    <row r="1875">
      <c r="B1875" t="n">
        <v>34412126</v>
      </c>
      <c r="C1875" s="2" t="n">
        <v>45223</v>
      </c>
      <c r="D1875" t="inlineStr">
        <is>
          <t>SPEC</t>
        </is>
      </c>
      <c r="E1875" t="inlineStr">
        <is>
          <t>COP PEN CONNEXION</t>
        </is>
      </c>
      <c r="F1875" t="inlineStr">
        <is>
          <t>NOLLET ET FILS SAS</t>
        </is>
      </c>
      <c r="G1875" t="inlineStr">
        <is>
          <t>GVX</t>
        </is>
      </c>
      <c r="H1875" t="inlineStr">
        <is>
          <t>BYPASS</t>
        </is>
      </c>
      <c r="I1875" t="inlineStr">
        <is>
          <t>1000KVA</t>
        </is>
      </c>
      <c r="J1875" t="inlineStr">
        <is>
          <t>JAWORSKI</t>
        </is>
      </c>
      <c r="K1875" t="inlineStr">
        <is>
          <t>CUIVRE</t>
        </is>
      </c>
      <c r="L1875">
        <f>_xlfn.XLOOKUP(Tableau1[[#This Row],[TYPE DE PIECE]],Tableau4[MATIERE],Tableau4[SHORT TYPE],"",0,1)</f>
        <v/>
      </c>
      <c r="N1875">
        <f>IF(ISERR(FIND("DECOUPE",Tableau1[[#This Row],[DESIGNATION]])),"","NEED REF")</f>
        <v/>
      </c>
    </row>
    <row r="1876">
      <c r="B1876" t="n">
        <v>34412125</v>
      </c>
      <c r="C1876" s="2" t="n">
        <v>45223</v>
      </c>
      <c r="D1876" t="inlineStr">
        <is>
          <t>SPEC</t>
        </is>
      </c>
      <c r="E1876" t="inlineStr">
        <is>
          <t>SMT SUPPORT BAREAU ISOLANT</t>
        </is>
      </c>
      <c r="F1876" t="inlineStr">
        <is>
          <t>NOLLET ET FILS SAS</t>
        </is>
      </c>
      <c r="G1876" t="inlineStr">
        <is>
          <t>GVX</t>
        </is>
      </c>
      <c r="H1876" t="inlineStr">
        <is>
          <t>BYPASS</t>
        </is>
      </c>
      <c r="I1876" t="inlineStr">
        <is>
          <t>1000KVA</t>
        </is>
      </c>
      <c r="J1876" t="inlineStr">
        <is>
          <t>JAWORSKI</t>
        </is>
      </c>
      <c r="K1876" t="inlineStr">
        <is>
          <t>METAL</t>
        </is>
      </c>
      <c r="L1876">
        <f>_xlfn.XLOOKUP(Tableau1[[#This Row],[TYPE DE PIECE]],Tableau4[MATIERE],Tableau4[SHORT TYPE],"",0,1)</f>
        <v/>
      </c>
      <c r="N1876">
        <f>IF(ISERR(FIND("DECOUPE",Tableau1[[#This Row],[DESIGNATION]])),"","NEED REF")</f>
        <v/>
      </c>
    </row>
    <row r="1877">
      <c r="B1877" t="n">
        <v>34412124</v>
      </c>
      <c r="C1877" s="2" t="n">
        <v>45223</v>
      </c>
      <c r="D1877" t="inlineStr">
        <is>
          <t>SPEC</t>
        </is>
      </c>
      <c r="E1877" t="inlineStr">
        <is>
          <t>COP GVXL 4 FEEDS BPL2</t>
        </is>
      </c>
      <c r="G1877" t="inlineStr">
        <is>
          <t>GVXL</t>
        </is>
      </c>
      <c r="H1877" t="inlineStr">
        <is>
          <t>IO</t>
        </is>
      </c>
      <c r="I1877" t="inlineStr">
        <is>
          <t>1250kVA</t>
        </is>
      </c>
      <c r="J1877" t="inlineStr">
        <is>
          <t>Rodriguez</t>
        </is>
      </c>
      <c r="K1877" t="inlineStr">
        <is>
          <t>CUIVRE</t>
        </is>
      </c>
      <c r="L1877">
        <f>_xlfn.XLOOKUP(Tableau1[[#This Row],[TYPE DE PIECE]],Tableau4[MATIERE],Tableau4[SHORT TYPE],"",0,1)</f>
        <v/>
      </c>
      <c r="N1877">
        <f>IF(ISERR(FIND("DECOUPE",Tableau1[[#This Row],[DESIGNATION]])),"","NEED REF")</f>
        <v/>
      </c>
    </row>
    <row r="1878">
      <c r="B1878" t="n">
        <v>34412123</v>
      </c>
      <c r="C1878" s="2" t="n">
        <v>45223</v>
      </c>
      <c r="D1878" t="inlineStr">
        <is>
          <t>SPEC</t>
        </is>
      </c>
      <c r="E1878" t="inlineStr">
        <is>
          <t>COP DC 4 FEEDERS 3</t>
        </is>
      </c>
      <c r="G1878" t="inlineStr">
        <is>
          <t>GVXL</t>
        </is>
      </c>
      <c r="H1878" t="inlineStr">
        <is>
          <t>IO</t>
        </is>
      </c>
      <c r="I1878" t="inlineStr">
        <is>
          <t>1250kVA</t>
        </is>
      </c>
      <c r="J1878" t="inlineStr">
        <is>
          <t>Rodriguez</t>
        </is>
      </c>
      <c r="K1878" t="inlineStr">
        <is>
          <t>CUIVRE</t>
        </is>
      </c>
      <c r="L1878">
        <f>_xlfn.XLOOKUP(Tableau1[[#This Row],[TYPE DE PIECE]],Tableau4[MATIERE],Tableau4[SHORT TYPE],"",0,1)</f>
        <v/>
      </c>
      <c r="N1878">
        <f>IF(ISERR(FIND("DECOUPE",Tableau1[[#This Row],[DESIGNATION]])),"","NEED REF")</f>
        <v/>
      </c>
    </row>
    <row r="1879">
      <c r="B1879" t="n">
        <v>34412122</v>
      </c>
      <c r="C1879" s="2" t="n">
        <v>45223</v>
      </c>
      <c r="D1879" t="inlineStr">
        <is>
          <t>SPEC</t>
        </is>
      </c>
      <c r="E1879" t="inlineStr">
        <is>
          <t>COP DC 4 FEEDERS 2</t>
        </is>
      </c>
      <c r="G1879" t="inlineStr">
        <is>
          <t>GVXL</t>
        </is>
      </c>
      <c r="H1879" t="inlineStr">
        <is>
          <t>IO</t>
        </is>
      </c>
      <c r="I1879" t="inlineStr">
        <is>
          <t>1250kVA</t>
        </is>
      </c>
      <c r="J1879" t="inlineStr">
        <is>
          <t>Rodriguez</t>
        </is>
      </c>
      <c r="K1879" t="inlineStr">
        <is>
          <t>CUIVRE</t>
        </is>
      </c>
      <c r="L1879">
        <f>_xlfn.XLOOKUP(Tableau1[[#This Row],[TYPE DE PIECE]],Tableau4[MATIERE],Tableau4[SHORT TYPE],"",0,1)</f>
        <v/>
      </c>
      <c r="N1879">
        <f>IF(ISERR(FIND("DECOUPE",Tableau1[[#This Row],[DESIGNATION]])),"","NEED REF")</f>
        <v/>
      </c>
    </row>
    <row r="1880">
      <c r="B1880" t="n">
        <v>34412121</v>
      </c>
      <c r="C1880" s="2" t="n">
        <v>45223</v>
      </c>
      <c r="D1880" t="inlineStr">
        <is>
          <t>SPEC</t>
        </is>
      </c>
      <c r="E1880" t="inlineStr">
        <is>
          <t>COP DC 4 FEEDERS 1</t>
        </is>
      </c>
      <c r="G1880" t="inlineStr">
        <is>
          <t>GVXL</t>
        </is>
      </c>
      <c r="H1880" t="inlineStr">
        <is>
          <t>IO</t>
        </is>
      </c>
      <c r="I1880" t="inlineStr">
        <is>
          <t>1250kVA</t>
        </is>
      </c>
      <c r="J1880" t="inlineStr">
        <is>
          <t>Rodriguez</t>
        </is>
      </c>
      <c r="K1880" t="inlineStr">
        <is>
          <t>CUIVRE</t>
        </is>
      </c>
      <c r="L1880">
        <f>_xlfn.XLOOKUP(Tableau1[[#This Row],[TYPE DE PIECE]],Tableau4[MATIERE],Tableau4[SHORT TYPE],"",0,1)</f>
        <v/>
      </c>
      <c r="N1880">
        <f>IF(ISERR(FIND("DECOUPE",Tableau1[[#This Row],[DESIGNATION]])),"","NEED REF")</f>
        <v/>
      </c>
    </row>
    <row r="1881">
      <c r="B1881" t="n">
        <v>34412120</v>
      </c>
      <c r="C1881" s="2" t="n">
        <v>45222</v>
      </c>
      <c r="D1881" t="inlineStr">
        <is>
          <t>SPEC</t>
        </is>
      </c>
      <c r="E1881">
        <f>_xlfn.CONCAT(Tableau1[[#This Row],[SHORT TYPE]]," ",Tableau1[[#This Row],[NUMERO]]," ",Tableau1[[#This Row],[GAMME]]," ",Tableau1[[#This Row],[TYPE PRODUIT]]," ",Tableau1[[#This Row],[PUISSANCE]])</f>
        <v/>
      </c>
      <c r="J1881" t="inlineStr">
        <is>
          <t>BERNARDEAU</t>
        </is>
      </c>
      <c r="L1881">
        <f>_xlfn.XLOOKUP(Tableau1[[#This Row],[TYPE DE PIECE]],Tableau4[MATIERE],Tableau4[SHORT TYPE],"",0,1)</f>
        <v/>
      </c>
      <c r="N1881">
        <f>IF(ISERR(FIND("DECOUPE",Tableau1[[#This Row],[DESIGNATION]])),"","NEED REF")</f>
        <v/>
      </c>
    </row>
    <row r="1882">
      <c r="B1882" t="n">
        <v>34412119</v>
      </c>
      <c r="C1882" s="2" t="n">
        <v>45222</v>
      </c>
      <c r="D1882" t="inlineStr">
        <is>
          <t>SPEC</t>
        </is>
      </c>
      <c r="E1882" t="inlineStr">
        <is>
          <t>KIT SHEET METAL N CUT STS 4/600A 4 POLES 0H-3402037900AC_ETO</t>
        </is>
      </c>
      <c r="H1882" t="inlineStr">
        <is>
          <t>STS</t>
        </is>
      </c>
      <c r="I1882" t="inlineStr">
        <is>
          <t>400-630A</t>
        </is>
      </c>
      <c r="J1882" t="inlineStr">
        <is>
          <t>MONGELLI</t>
        </is>
      </c>
      <c r="K1882" t="inlineStr">
        <is>
          <t>METAL</t>
        </is>
      </c>
      <c r="L1882" t="inlineStr">
        <is>
          <t>SMT</t>
        </is>
      </c>
      <c r="N1882">
        <f>IF(ISERR(FIND("DECOUPE",Tableau1[[#This Row],[DESIGNATION]])),"","NEED REF")</f>
        <v/>
      </c>
    </row>
    <row r="1883">
      <c r="B1883" t="n">
        <v>34412118</v>
      </c>
      <c r="C1883" s="2" t="n">
        <v>45222</v>
      </c>
      <c r="D1883" t="inlineStr">
        <is>
          <t>SPEC</t>
        </is>
      </c>
      <c r="E1883" t="inlineStr">
        <is>
          <t>ASSY PLATE CUT NEUT 380/400V STS 4/630A_ETO</t>
        </is>
      </c>
      <c r="H1883" t="inlineStr">
        <is>
          <t>STS</t>
        </is>
      </c>
      <c r="I1883" t="inlineStr">
        <is>
          <t>400-630A</t>
        </is>
      </c>
      <c r="J1883" t="inlineStr">
        <is>
          <t>MONGELLI</t>
        </is>
      </c>
      <c r="K1883" t="inlineStr">
        <is>
          <t>NOM</t>
        </is>
      </c>
      <c r="L1883" t="inlineStr">
        <is>
          <t>NOM</t>
        </is>
      </c>
      <c r="N1883">
        <f>IF(ISERR(FIND("DECOUPE",Tableau1[[#This Row],[DESIGNATION]])),"","NEED REF")</f>
        <v/>
      </c>
    </row>
    <row r="1884">
      <c r="B1884" t="n">
        <v>34412117</v>
      </c>
      <c r="C1884" s="2" t="n">
        <v>45222</v>
      </c>
      <c r="D1884" t="inlineStr">
        <is>
          <t>SPEC</t>
        </is>
      </c>
      <c r="E1884" t="inlineStr">
        <is>
          <t>SMT 34412117 PROTECTION MANUTENTION PALETTE RAL3001</t>
        </is>
      </c>
      <c r="H1884" t="inlineStr">
        <is>
          <t>TOUTES</t>
        </is>
      </c>
      <c r="J1884" t="inlineStr">
        <is>
          <t>MATRION</t>
        </is>
      </c>
      <c r="K1884" t="inlineStr">
        <is>
          <t>METAL</t>
        </is>
      </c>
      <c r="L1884">
        <f>_xlfn.XLOOKUP(Tableau1[[#This Row],[TYPE DE PIECE]],Tableau4[MATIERE],Tableau4[SHORT TYPE],"",0,1)</f>
        <v/>
      </c>
      <c r="N1884">
        <f>IF(ISERR(FIND("DECOUPE",Tableau1[[#This Row],[DESIGNATION]])),"","NEED REF")</f>
        <v/>
      </c>
    </row>
    <row r="1885">
      <c r="B1885" t="n">
        <v>34412116</v>
      </c>
      <c r="C1885" s="2" t="n">
        <v>45222</v>
      </c>
      <c r="D1885" t="inlineStr">
        <is>
          <t>SPEC</t>
        </is>
      </c>
      <c r="E1885" t="inlineStr">
        <is>
          <t>WOOD 34412116  PALETTE CELLULE 2300x1200 PLANCHER CROISE ACCES AVANT</t>
        </is>
      </c>
      <c r="H1885" t="inlineStr">
        <is>
          <t>TOUTES</t>
        </is>
      </c>
      <c r="J1885" t="inlineStr">
        <is>
          <t>MATRION</t>
        </is>
      </c>
      <c r="K1885" t="inlineStr">
        <is>
          <t>BOIS</t>
        </is>
      </c>
      <c r="L1885">
        <f>_xlfn.XLOOKUP(Tableau1[[#This Row],[TYPE DE PIECE]],Tableau4[MATIERE],Tableau4[SHORT TYPE],"",0,1)</f>
        <v/>
      </c>
      <c r="N1885">
        <f>IF(ISERR(FIND("DECOUPE",Tableau1[[#This Row],[DESIGNATION]])),"","NEED REF")</f>
        <v/>
      </c>
    </row>
    <row r="1886">
      <c r="B1886" t="n">
        <v>34412115</v>
      </c>
      <c r="C1886" s="2" t="n">
        <v>45219</v>
      </c>
      <c r="D1886" t="inlineStr">
        <is>
          <t>SPEC</t>
        </is>
      </c>
      <c r="E1886" t="inlineStr">
        <is>
          <t>SMT BOITE AIR TOIT 3 RAL9003</t>
        </is>
      </c>
      <c r="G1886" t="inlineStr">
        <is>
          <t>GVXL</t>
        </is>
      </c>
      <c r="H1886" t="inlineStr">
        <is>
          <t>IO</t>
        </is>
      </c>
      <c r="I1886" t="inlineStr">
        <is>
          <t>1250kVA</t>
        </is>
      </c>
      <c r="J1886" t="inlineStr">
        <is>
          <t>Rodriguez</t>
        </is>
      </c>
      <c r="K1886" t="inlineStr">
        <is>
          <t>METAL</t>
        </is>
      </c>
      <c r="L1886">
        <f>_xlfn.XLOOKUP(Tableau1[[#This Row],[TYPE DE PIECE]],Tableau4[MATIERE],Tableau4[SHORT TYPE],"",0,1)</f>
        <v/>
      </c>
      <c r="N1886">
        <f>IF(ISERR(FIND("DECOUPE",Tableau1[[#This Row],[DESIGNATION]])),"","NEED REF")</f>
        <v/>
      </c>
    </row>
    <row r="1887">
      <c r="B1887" t="n">
        <v>34412114</v>
      </c>
      <c r="C1887" s="2" t="n">
        <v>45219</v>
      </c>
      <c r="D1887" t="inlineStr">
        <is>
          <t>SPEC</t>
        </is>
      </c>
      <c r="E1887" t="inlineStr">
        <is>
          <t>SMT MONTANT CAISSON 2 RAL9003</t>
        </is>
      </c>
      <c r="G1887" t="inlineStr">
        <is>
          <t>GVXL</t>
        </is>
      </c>
      <c r="H1887" t="inlineStr">
        <is>
          <t>IO</t>
        </is>
      </c>
      <c r="I1887" t="inlineStr">
        <is>
          <t>1250kVA</t>
        </is>
      </c>
      <c r="J1887" t="inlineStr">
        <is>
          <t>Rodriguez</t>
        </is>
      </c>
      <c r="K1887" t="inlineStr">
        <is>
          <t>METAL</t>
        </is>
      </c>
      <c r="L1887">
        <f>_xlfn.XLOOKUP(Tableau1[[#This Row],[TYPE DE PIECE]],Tableau4[MATIERE],Tableau4[SHORT TYPE],"",0,1)</f>
        <v/>
      </c>
      <c r="N1887">
        <f>IF(ISERR(FIND("DECOUPE",Tableau1[[#This Row],[DESIGNATION]])),"","NEED REF")</f>
        <v/>
      </c>
    </row>
    <row r="1888">
      <c r="B1888" t="n">
        <v>34412113</v>
      </c>
      <c r="C1888" s="2" t="n">
        <v>45219</v>
      </c>
      <c r="D1888" t="inlineStr">
        <is>
          <t>SPEC</t>
        </is>
      </c>
      <c r="E1888" t="inlineStr">
        <is>
          <t>SMT MONTANT CAISSON RAL9003</t>
        </is>
      </c>
      <c r="G1888" t="inlineStr">
        <is>
          <t>GVXL</t>
        </is>
      </c>
      <c r="H1888" t="inlineStr">
        <is>
          <t>IO</t>
        </is>
      </c>
      <c r="I1888" t="inlineStr">
        <is>
          <t>1250kVA</t>
        </is>
      </c>
      <c r="J1888" t="inlineStr">
        <is>
          <t>Rodriguez</t>
        </is>
      </c>
      <c r="K1888" t="inlineStr">
        <is>
          <t>METAL</t>
        </is>
      </c>
      <c r="L1888">
        <f>_xlfn.XLOOKUP(Tableau1[[#This Row],[TYPE DE PIECE]],Tableau4[MATIERE],Tableau4[SHORT TYPE],"",0,1)</f>
        <v/>
      </c>
      <c r="N1888">
        <f>IF(ISERR(FIND("DECOUPE",Tableau1[[#This Row],[DESIGNATION]])),"","NEED REF")</f>
        <v/>
      </c>
    </row>
    <row r="1889">
      <c r="B1889" t="n">
        <v>34412112</v>
      </c>
      <c r="C1889" s="2" t="n">
        <v>45219</v>
      </c>
      <c r="D1889" t="inlineStr">
        <is>
          <t>SPEC</t>
        </is>
      </c>
      <c r="E1889" t="inlineStr">
        <is>
          <t>SMT SURFACE AIR2</t>
        </is>
      </c>
      <c r="G1889" t="inlineStr">
        <is>
          <t>GVXL</t>
        </is>
      </c>
      <c r="H1889" t="inlineStr">
        <is>
          <t>IO</t>
        </is>
      </c>
      <c r="I1889" t="inlineStr">
        <is>
          <t>1250kVA</t>
        </is>
      </c>
      <c r="J1889" t="inlineStr">
        <is>
          <t>Rodriguez</t>
        </is>
      </c>
      <c r="K1889" t="inlineStr">
        <is>
          <t>METAL</t>
        </is>
      </c>
      <c r="L1889">
        <f>_xlfn.XLOOKUP(Tableau1[[#This Row],[TYPE DE PIECE]],Tableau4[MATIERE],Tableau4[SHORT TYPE],"",0,1)</f>
        <v/>
      </c>
      <c r="N1889">
        <f>IF(ISERR(FIND("DECOUPE",Tableau1[[#This Row],[DESIGNATION]])),"","NEED REF")</f>
        <v/>
      </c>
    </row>
    <row r="1890">
      <c r="B1890" t="n">
        <v>34412111</v>
      </c>
      <c r="C1890" s="2" t="n">
        <v>45219</v>
      </c>
      <c r="D1890" t="inlineStr">
        <is>
          <t>SPEC</t>
        </is>
      </c>
      <c r="E1890" t="inlineStr">
        <is>
          <t>SMT SURFACE AIR RAL9003</t>
        </is>
      </c>
      <c r="G1890" t="inlineStr">
        <is>
          <t>GVXL</t>
        </is>
      </c>
      <c r="H1890" t="inlineStr">
        <is>
          <t>IO</t>
        </is>
      </c>
      <c r="I1890" t="inlineStr">
        <is>
          <t>1250kVA</t>
        </is>
      </c>
      <c r="J1890" t="inlineStr">
        <is>
          <t>Rodriguez</t>
        </is>
      </c>
      <c r="K1890" t="inlineStr">
        <is>
          <t>METAL</t>
        </is>
      </c>
      <c r="L1890">
        <f>_xlfn.XLOOKUP(Tableau1[[#This Row],[TYPE DE PIECE]],Tableau4[MATIERE],Tableau4[SHORT TYPE],"",0,1)</f>
        <v/>
      </c>
      <c r="N1890">
        <f>IF(ISERR(FIND("DECOUPE",Tableau1[[#This Row],[DESIGNATION]])),"","NEED REF")</f>
        <v/>
      </c>
    </row>
    <row r="1891">
      <c r="B1891" t="n">
        <v>34412110</v>
      </c>
      <c r="C1891" s="2" t="n">
        <v>45219</v>
      </c>
      <c r="D1891" t="inlineStr">
        <is>
          <t>SPEC</t>
        </is>
      </c>
      <c r="E1891" t="inlineStr">
        <is>
          <t>ENS. CONTACTEUR NEUTRE 600A_ETO</t>
        </is>
      </c>
      <c r="H1891" t="inlineStr">
        <is>
          <t>STS</t>
        </is>
      </c>
      <c r="I1891" t="inlineStr">
        <is>
          <t>400-630A</t>
        </is>
      </c>
      <c r="J1891" t="inlineStr">
        <is>
          <t>Rodriguez</t>
        </is>
      </c>
      <c r="K1891" t="inlineStr">
        <is>
          <t>NOM</t>
        </is>
      </c>
      <c r="L1891">
        <f>_xlfn.XLOOKUP(Tableau1[[#This Row],[TYPE DE PIECE]],Tableau4[MATIERE],Tableau4[SHORT TYPE],"",0,1)</f>
        <v/>
      </c>
      <c r="N1891">
        <f>IF(ISERR(FIND("DECOUPE",Tableau1[[#This Row],[DESIGNATION]])),"","NEED REF")</f>
        <v/>
      </c>
    </row>
    <row r="1892">
      <c r="B1892" t="n">
        <v>34412109</v>
      </c>
      <c r="C1892" s="2" t="n">
        <v>45219</v>
      </c>
      <c r="D1892" t="inlineStr">
        <is>
          <t>SPEC</t>
        </is>
      </c>
      <c r="E1892" t="inlineStr">
        <is>
          <t>ASSY PLT SPT NEUTRAL STS 4/600A 4 POLES_ETO</t>
        </is>
      </c>
      <c r="H1892" t="inlineStr">
        <is>
          <t>STS</t>
        </is>
      </c>
      <c r="I1892" t="inlineStr">
        <is>
          <t>400-630A</t>
        </is>
      </c>
      <c r="J1892" t="inlineStr">
        <is>
          <t>Rodriguez</t>
        </is>
      </c>
      <c r="K1892" t="inlineStr">
        <is>
          <t>METAL</t>
        </is>
      </c>
      <c r="L1892">
        <f>_xlfn.XLOOKUP(Tableau1[[#This Row],[TYPE DE PIECE]],Tableau4[MATIERE],Tableau4[SHORT TYPE],"",0,1)</f>
        <v/>
      </c>
      <c r="N1892">
        <f>IF(ISERR(FIND("DECOUPE",Tableau1[[#This Row],[DESIGNATION]])),"","NEED REF")</f>
        <v/>
      </c>
    </row>
    <row r="1893">
      <c r="B1893" t="n">
        <v>34412108</v>
      </c>
      <c r="C1893" s="2" t="n">
        <v>45219</v>
      </c>
      <c r="D1893" t="inlineStr">
        <is>
          <t>SPEC</t>
        </is>
      </c>
      <c r="E1893" t="inlineStr">
        <is>
          <t>PLA PLASTRON DE PROTECTION PAS600L</t>
        </is>
      </c>
      <c r="G1893" t="inlineStr">
        <is>
          <t>GVL</t>
        </is>
      </c>
      <c r="J1893" t="inlineStr">
        <is>
          <t>BERNARDEAU</t>
        </is>
      </c>
      <c r="K1893" t="inlineStr">
        <is>
          <t>PLASTIQUE</t>
        </is>
      </c>
      <c r="L1893">
        <f>_xlfn.XLOOKUP(Tableau1[[#This Row],[TYPE DE PIECE]],Tableau4[MATIERE],Tableau4[SHORT TYPE],"",0,1)</f>
        <v/>
      </c>
      <c r="N1893">
        <f>IF(ISERR(FIND("DECOUPE",Tableau1[[#This Row],[DESIGNATION]])),"","NEED REF")</f>
        <v/>
      </c>
    </row>
    <row r="1894">
      <c r="B1894" t="n">
        <v>34412107</v>
      </c>
      <c r="C1894" s="2" t="n">
        <v>45218</v>
      </c>
      <c r="D1894" t="inlineStr">
        <is>
          <t>SPEC</t>
        </is>
      </c>
      <c r="E1894" t="inlineStr">
        <is>
          <t>SMT REHAUSSE 10</t>
        </is>
      </c>
      <c r="G1894" t="inlineStr">
        <is>
          <t>GVXL</t>
        </is>
      </c>
      <c r="H1894" t="inlineStr">
        <is>
          <t>IO</t>
        </is>
      </c>
      <c r="I1894" t="inlineStr">
        <is>
          <t>1250kVA</t>
        </is>
      </c>
      <c r="J1894" t="inlineStr">
        <is>
          <t>Rodriguez</t>
        </is>
      </c>
      <c r="K1894" t="inlineStr">
        <is>
          <t>METAL</t>
        </is>
      </c>
      <c r="L1894">
        <f>_xlfn.XLOOKUP(Tableau1[[#This Row],[TYPE DE PIECE]],Tableau4[MATIERE],Tableau4[SHORT TYPE],"",0,1)</f>
        <v/>
      </c>
      <c r="N1894">
        <f>IF(ISERR(FIND("DECOUPE",Tableau1[[#This Row],[DESIGNATION]])),"","NEED REF")</f>
        <v/>
      </c>
    </row>
    <row r="1895">
      <c r="B1895" t="n">
        <v>34412106</v>
      </c>
      <c r="C1895" s="2" t="n">
        <v>45218</v>
      </c>
      <c r="D1895" t="inlineStr">
        <is>
          <t>SPEC</t>
        </is>
      </c>
      <c r="E1895" t="inlineStr">
        <is>
          <t xml:space="preserve">SMT TOIT GVXL DOUBLE 2 </t>
        </is>
      </c>
      <c r="G1895" t="inlineStr">
        <is>
          <t>GVXL</t>
        </is>
      </c>
      <c r="H1895" t="inlineStr">
        <is>
          <t>IO</t>
        </is>
      </c>
      <c r="I1895" t="inlineStr">
        <is>
          <t>1250kVA</t>
        </is>
      </c>
      <c r="J1895" t="inlineStr">
        <is>
          <t>Rodriguez</t>
        </is>
      </c>
      <c r="K1895" t="inlineStr">
        <is>
          <t>METAL</t>
        </is>
      </c>
      <c r="L1895">
        <f>_xlfn.XLOOKUP(Tableau1[[#This Row],[TYPE DE PIECE]],Tableau4[MATIERE],Tableau4[SHORT TYPE],"",0,1)</f>
        <v/>
      </c>
      <c r="N1895">
        <f>IF(ISERR(FIND("DECOUPE",Tableau1[[#This Row],[DESIGNATION]])),"","NEED REF")</f>
        <v/>
      </c>
    </row>
    <row r="1896">
      <c r="B1896" t="n">
        <v>34412105</v>
      </c>
      <c r="C1896" s="2" t="n">
        <v>45218</v>
      </c>
      <c r="D1896" t="inlineStr">
        <is>
          <t>SPEC</t>
        </is>
      </c>
      <c r="E1896" t="inlineStr">
        <is>
          <t>SMT REHAUSSE CLOISON</t>
        </is>
      </c>
      <c r="G1896" t="inlineStr">
        <is>
          <t>GVXL</t>
        </is>
      </c>
      <c r="H1896" t="inlineStr">
        <is>
          <t>IO</t>
        </is>
      </c>
      <c r="I1896" t="inlineStr">
        <is>
          <t>1250kVA</t>
        </is>
      </c>
      <c r="J1896" t="inlineStr">
        <is>
          <t>Rodriguez</t>
        </is>
      </c>
      <c r="K1896" t="inlineStr">
        <is>
          <t>METAL</t>
        </is>
      </c>
      <c r="L1896">
        <f>_xlfn.XLOOKUP(Tableau1[[#This Row],[TYPE DE PIECE]],Tableau4[MATIERE],Tableau4[SHORT TYPE],"",0,1)</f>
        <v/>
      </c>
      <c r="N1896">
        <f>IF(ISERR(FIND("DECOUPE",Tableau1[[#This Row],[DESIGNATION]])),"","NEED REF")</f>
        <v/>
      </c>
    </row>
    <row r="1897">
      <c r="B1897" t="n">
        <v>34412104</v>
      </c>
      <c r="C1897" s="2" t="n">
        <v>45218</v>
      </c>
      <c r="D1897" t="inlineStr">
        <is>
          <t>SPEC</t>
        </is>
      </c>
      <c r="E1897" t="inlineStr">
        <is>
          <t>SMT REHAUSSE TRAVERSE</t>
        </is>
      </c>
      <c r="G1897" t="inlineStr">
        <is>
          <t>GVXL</t>
        </is>
      </c>
      <c r="H1897" t="inlineStr">
        <is>
          <t>IO</t>
        </is>
      </c>
      <c r="I1897" t="inlineStr">
        <is>
          <t>1250kVA</t>
        </is>
      </c>
      <c r="J1897" t="inlineStr">
        <is>
          <t>Rodriguez</t>
        </is>
      </c>
      <c r="K1897" t="inlineStr">
        <is>
          <t>METAL</t>
        </is>
      </c>
      <c r="L1897">
        <f>_xlfn.XLOOKUP(Tableau1[[#This Row],[TYPE DE PIECE]],Tableau4[MATIERE],Tableau4[SHORT TYPE],"",0,1)</f>
        <v/>
      </c>
      <c r="N1897">
        <f>IF(ISERR(FIND("DECOUPE",Tableau1[[#This Row],[DESIGNATION]])),"","NEED REF")</f>
        <v/>
      </c>
    </row>
    <row r="1898">
      <c r="B1898" t="n">
        <v>34412103</v>
      </c>
      <c r="C1898" s="2" t="n">
        <v>45218</v>
      </c>
      <c r="D1898" t="inlineStr">
        <is>
          <t>SPEC</t>
        </is>
      </c>
      <c r="E1898" t="inlineStr">
        <is>
          <t>SMT REHAUSSE SIDE RAL9003</t>
        </is>
      </c>
      <c r="G1898" t="inlineStr">
        <is>
          <t>GVXL</t>
        </is>
      </c>
      <c r="H1898" t="inlineStr">
        <is>
          <t>IO</t>
        </is>
      </c>
      <c r="I1898" t="inlineStr">
        <is>
          <t>1250kVA</t>
        </is>
      </c>
      <c r="J1898" t="inlineStr">
        <is>
          <t>Rodriguez</t>
        </is>
      </c>
      <c r="K1898" t="inlineStr">
        <is>
          <t>METAL</t>
        </is>
      </c>
      <c r="L1898">
        <f>_xlfn.XLOOKUP(Tableau1[[#This Row],[TYPE DE PIECE]],Tableau4[MATIERE],Tableau4[SHORT TYPE],"",0,1)</f>
        <v/>
      </c>
      <c r="N1898">
        <f>IF(ISERR(FIND("DECOUPE",Tableau1[[#This Row],[DESIGNATION]])),"","NEED REF")</f>
        <v/>
      </c>
    </row>
    <row r="1899">
      <c r="B1899" t="n">
        <v>34412102</v>
      </c>
      <c r="C1899" s="2" t="n">
        <v>45218</v>
      </c>
      <c r="D1899" t="inlineStr">
        <is>
          <t>SPEC</t>
        </is>
      </c>
      <c r="E1899" t="inlineStr">
        <is>
          <t>SMT REHAUSSE FRONT RAL9003</t>
        </is>
      </c>
      <c r="G1899" t="inlineStr">
        <is>
          <t>GVXL</t>
        </is>
      </c>
      <c r="H1899" t="inlineStr">
        <is>
          <t>IO</t>
        </is>
      </c>
      <c r="I1899" t="inlineStr">
        <is>
          <t>1250kVA</t>
        </is>
      </c>
      <c r="J1899" t="inlineStr">
        <is>
          <t>Rodriguez</t>
        </is>
      </c>
      <c r="K1899" t="inlineStr">
        <is>
          <t>METAL</t>
        </is>
      </c>
      <c r="L1899">
        <f>_xlfn.XLOOKUP(Tableau1[[#This Row],[TYPE DE PIECE]],Tableau4[MATIERE],Tableau4[SHORT TYPE],"",0,1)</f>
        <v/>
      </c>
      <c r="N1899">
        <f>IF(ISERR(FIND("DECOUPE",Tableau1[[#This Row],[DESIGNATION]])),"","NEED REF")</f>
        <v/>
      </c>
    </row>
    <row r="1900">
      <c r="B1900" t="n">
        <v>34412101</v>
      </c>
      <c r="C1900" s="2" t="n">
        <v>45218</v>
      </c>
      <c r="D1900" t="inlineStr">
        <is>
          <t>SPEC</t>
        </is>
      </c>
      <c r="E1900" t="inlineStr">
        <is>
          <t>SMT TOIT GVXL 8</t>
        </is>
      </c>
      <c r="G1900" t="inlineStr">
        <is>
          <t>GVXL</t>
        </is>
      </c>
      <c r="H1900" t="inlineStr">
        <is>
          <t>IO</t>
        </is>
      </c>
      <c r="I1900" t="inlineStr">
        <is>
          <t>1250kVA</t>
        </is>
      </c>
      <c r="J1900" t="inlineStr">
        <is>
          <t>Rodriguez</t>
        </is>
      </c>
      <c r="K1900" t="inlineStr">
        <is>
          <t>METAL</t>
        </is>
      </c>
      <c r="L1900">
        <f>_xlfn.XLOOKUP(Tableau1[[#This Row],[TYPE DE PIECE]],Tableau4[MATIERE],Tableau4[SHORT TYPE],"",0,1)</f>
        <v/>
      </c>
      <c r="N1900">
        <f>IF(ISERR(FIND("DECOUPE",Tableau1[[#This Row],[DESIGNATION]])),"","NEED REF")</f>
        <v/>
      </c>
    </row>
    <row r="1901">
      <c r="B1901" t="n">
        <v>34412100</v>
      </c>
      <c r="C1901" s="2" t="n">
        <v>45218</v>
      </c>
      <c r="D1901" t="inlineStr">
        <is>
          <t>SPEC</t>
        </is>
      </c>
      <c r="E1901" t="inlineStr">
        <is>
          <t>SMT TOIT GVXL 7</t>
        </is>
      </c>
      <c r="G1901" t="inlineStr">
        <is>
          <t>GVXL</t>
        </is>
      </c>
      <c r="H1901" t="inlineStr">
        <is>
          <t>IO</t>
        </is>
      </c>
      <c r="I1901" t="inlineStr">
        <is>
          <t>1250kVA</t>
        </is>
      </c>
      <c r="J1901" t="inlineStr">
        <is>
          <t>Rodriguez</t>
        </is>
      </c>
      <c r="K1901" t="inlineStr">
        <is>
          <t>METAL</t>
        </is>
      </c>
      <c r="L1901">
        <f>_xlfn.XLOOKUP(Tableau1[[#This Row],[TYPE DE PIECE]],Tableau4[MATIERE],Tableau4[SHORT TYPE],"",0,1)</f>
        <v/>
      </c>
      <c r="N1901">
        <f>IF(ISERR(FIND("DECOUPE",Tableau1[[#This Row],[DESIGNATION]])),"","NEED REF")</f>
        <v/>
      </c>
    </row>
    <row r="1902">
      <c r="B1902" t="n">
        <v>34412099</v>
      </c>
      <c r="C1902" s="2" t="n">
        <v>45218</v>
      </c>
      <c r="D1902" t="inlineStr">
        <is>
          <t>SPEC</t>
        </is>
      </c>
      <c r="E1902" t="inlineStr">
        <is>
          <t>SMT TOIT GVXL 6</t>
        </is>
      </c>
      <c r="G1902" t="inlineStr">
        <is>
          <t>GVXL</t>
        </is>
      </c>
      <c r="H1902" t="inlineStr">
        <is>
          <t>IO</t>
        </is>
      </c>
      <c r="I1902" t="inlineStr">
        <is>
          <t>1250kVA</t>
        </is>
      </c>
      <c r="J1902" t="inlineStr">
        <is>
          <t>Rodriguez</t>
        </is>
      </c>
      <c r="K1902" t="inlineStr">
        <is>
          <t>METAL</t>
        </is>
      </c>
      <c r="L1902">
        <f>_xlfn.XLOOKUP(Tableau1[[#This Row],[TYPE DE PIECE]],Tableau4[MATIERE],Tableau4[SHORT TYPE],"",0,1)</f>
        <v/>
      </c>
      <c r="N1902">
        <f>IF(ISERR(FIND("DECOUPE",Tableau1[[#This Row],[DESIGNATION]])),"","NEED REF")</f>
        <v/>
      </c>
    </row>
    <row r="1903">
      <c r="B1903" t="n">
        <v>34412098</v>
      </c>
      <c r="C1903" s="2" t="n">
        <v>45218</v>
      </c>
      <c r="D1903" t="inlineStr">
        <is>
          <t>SPEC</t>
        </is>
      </c>
      <c r="E1903" t="inlineStr">
        <is>
          <t>SMT TOIT GVXL 5</t>
        </is>
      </c>
      <c r="G1903" t="inlineStr">
        <is>
          <t>GVXL</t>
        </is>
      </c>
      <c r="H1903" t="inlineStr">
        <is>
          <t>IO</t>
        </is>
      </c>
      <c r="I1903" t="inlineStr">
        <is>
          <t>1250kVA</t>
        </is>
      </c>
      <c r="J1903" t="inlineStr">
        <is>
          <t>Rodriguez</t>
        </is>
      </c>
      <c r="K1903" t="inlineStr">
        <is>
          <t>METAL</t>
        </is>
      </c>
      <c r="L1903">
        <f>_xlfn.XLOOKUP(Tableau1[[#This Row],[TYPE DE PIECE]],Tableau4[MATIERE],Tableau4[SHORT TYPE],"",0,1)</f>
        <v/>
      </c>
      <c r="N1903">
        <f>IF(ISERR(FIND("DECOUPE",Tableau1[[#This Row],[DESIGNATION]])),"","NEED REF")</f>
        <v/>
      </c>
    </row>
    <row r="1904">
      <c r="B1904" t="n">
        <v>34412097</v>
      </c>
      <c r="C1904" s="2" t="n">
        <v>45217</v>
      </c>
      <c r="D1904" t="inlineStr">
        <is>
          <t>SPEC</t>
        </is>
      </c>
      <c r="E1904" t="inlineStr">
        <is>
          <t>COP NEUTRE IN-TGAB</t>
        </is>
      </c>
      <c r="G1904" t="inlineStr">
        <is>
          <t>GVXL</t>
        </is>
      </c>
      <c r="H1904" t="inlineStr">
        <is>
          <t>IO</t>
        </is>
      </c>
      <c r="I1904" t="inlineStr">
        <is>
          <t>1250kVA</t>
        </is>
      </c>
      <c r="J1904" t="inlineStr">
        <is>
          <t>Rodriguez</t>
        </is>
      </c>
      <c r="K1904" t="inlineStr">
        <is>
          <t>CUIVRE</t>
        </is>
      </c>
      <c r="L1904">
        <f>_xlfn.XLOOKUP(Tableau1[[#This Row],[TYPE DE PIECE]],Tableau4[MATIERE],Tableau4[SHORT TYPE],"",0,1)</f>
        <v/>
      </c>
      <c r="N1904">
        <f>IF(ISERR(FIND("DECOUPE",Tableau1[[#This Row],[DESIGNATION]])),"","NEED REF")</f>
        <v/>
      </c>
    </row>
    <row r="1905">
      <c r="B1905" t="n">
        <v>34412096</v>
      </c>
      <c r="C1905" s="2" t="n">
        <v>45217</v>
      </c>
      <c r="D1905" t="inlineStr">
        <is>
          <t>SPEC</t>
        </is>
      </c>
      <c r="E1905" t="inlineStr">
        <is>
          <t>SMT TOIT GVXL DOUBLE</t>
        </is>
      </c>
      <c r="G1905" t="inlineStr">
        <is>
          <t>GVXL</t>
        </is>
      </c>
      <c r="H1905" t="inlineStr">
        <is>
          <t>IO</t>
        </is>
      </c>
      <c r="I1905" t="inlineStr">
        <is>
          <t>1250kVA</t>
        </is>
      </c>
      <c r="J1905" t="inlineStr">
        <is>
          <t>Rodriguez</t>
        </is>
      </c>
      <c r="K1905" t="inlineStr">
        <is>
          <t>METAL</t>
        </is>
      </c>
      <c r="L1905">
        <f>_xlfn.XLOOKUP(Tableau1[[#This Row],[TYPE DE PIECE]],Tableau4[MATIERE],Tableau4[SHORT TYPE],"",0,1)</f>
        <v/>
      </c>
      <c r="N1905">
        <f>IF(ISERR(FIND("DECOUPE",Tableau1[[#This Row],[DESIGNATION]])),"","NEED REF")</f>
        <v/>
      </c>
    </row>
    <row r="1906">
      <c r="B1906" t="n">
        <v>34412095</v>
      </c>
      <c r="C1906" s="2" t="n">
        <v>45217</v>
      </c>
      <c r="D1906" t="inlineStr">
        <is>
          <t>SPEC</t>
        </is>
      </c>
      <c r="E1906" t="inlineStr">
        <is>
          <t>SMT TOIT GVXL 4</t>
        </is>
      </c>
      <c r="G1906" t="inlineStr">
        <is>
          <t>GVXL</t>
        </is>
      </c>
      <c r="H1906" t="inlineStr">
        <is>
          <t>IO</t>
        </is>
      </c>
      <c r="I1906" t="inlineStr">
        <is>
          <t>1250kVA</t>
        </is>
      </c>
      <c r="J1906" t="inlineStr">
        <is>
          <t>Rodriguez</t>
        </is>
      </c>
      <c r="K1906" t="inlineStr">
        <is>
          <t>METAL</t>
        </is>
      </c>
      <c r="L1906">
        <f>_xlfn.XLOOKUP(Tableau1[[#This Row],[TYPE DE PIECE]],Tableau4[MATIERE],Tableau4[SHORT TYPE],"",0,1)</f>
        <v/>
      </c>
      <c r="N1906">
        <f>IF(ISERR(FIND("DECOUPE",Tableau1[[#This Row],[DESIGNATION]])),"","NEED REF")</f>
        <v/>
      </c>
    </row>
    <row r="1907">
      <c r="B1907" t="n">
        <v>34412094</v>
      </c>
      <c r="C1907" s="2" t="n">
        <v>45217</v>
      </c>
      <c r="D1907" t="inlineStr">
        <is>
          <t>SPEC</t>
        </is>
      </c>
      <c r="E1907" t="inlineStr">
        <is>
          <t>SMT TOIT GVXL 3</t>
        </is>
      </c>
      <c r="G1907" t="inlineStr">
        <is>
          <t>GVXL</t>
        </is>
      </c>
      <c r="H1907" t="inlineStr">
        <is>
          <t>IO</t>
        </is>
      </c>
      <c r="I1907" t="inlineStr">
        <is>
          <t>1250kVA</t>
        </is>
      </c>
      <c r="J1907" t="inlineStr">
        <is>
          <t>Rodriguez</t>
        </is>
      </c>
      <c r="K1907" t="inlineStr">
        <is>
          <t>METAL</t>
        </is>
      </c>
      <c r="L1907">
        <f>_xlfn.XLOOKUP(Tableau1[[#This Row],[TYPE DE PIECE]],Tableau4[MATIERE],Tableau4[SHORT TYPE],"",0,1)</f>
        <v/>
      </c>
      <c r="N1907">
        <f>IF(ISERR(FIND("DECOUPE",Tableau1[[#This Row],[DESIGNATION]])),"","NEED REF")</f>
        <v/>
      </c>
    </row>
    <row r="1908">
      <c r="B1908" t="n">
        <v>34412093</v>
      </c>
      <c r="C1908" s="2" t="n">
        <v>45217</v>
      </c>
      <c r="D1908" t="inlineStr">
        <is>
          <t>SPEC</t>
        </is>
      </c>
      <c r="E1908" t="inlineStr">
        <is>
          <t>SMT TOIT GVXL 2</t>
        </is>
      </c>
      <c r="G1908" t="inlineStr">
        <is>
          <t>GVXL</t>
        </is>
      </c>
      <c r="H1908" t="inlineStr">
        <is>
          <t>IO</t>
        </is>
      </c>
      <c r="I1908" t="inlineStr">
        <is>
          <t>1250kVA</t>
        </is>
      </c>
      <c r="J1908" t="inlineStr">
        <is>
          <t>Rodriguez</t>
        </is>
      </c>
      <c r="K1908" t="inlineStr">
        <is>
          <t>METAL</t>
        </is>
      </c>
      <c r="L1908">
        <f>_xlfn.XLOOKUP(Tableau1[[#This Row],[TYPE DE PIECE]],Tableau4[MATIERE],Tableau4[SHORT TYPE],"",0,1)</f>
        <v/>
      </c>
      <c r="N1908">
        <f>IF(ISERR(FIND("DECOUPE",Tableau1[[#This Row],[DESIGNATION]])),"","NEED REF")</f>
        <v/>
      </c>
    </row>
    <row r="1909">
      <c r="B1909" t="n">
        <v>34412092</v>
      </c>
      <c r="C1909" s="2" t="n">
        <v>45217</v>
      </c>
      <c r="D1909" t="inlineStr">
        <is>
          <t>SPEC</t>
        </is>
      </c>
      <c r="E1909" t="inlineStr">
        <is>
          <t>SMT TOIT GVXL 1</t>
        </is>
      </c>
      <c r="G1909" t="inlineStr">
        <is>
          <t>GVXL</t>
        </is>
      </c>
      <c r="H1909" t="inlineStr">
        <is>
          <t>IO</t>
        </is>
      </c>
      <c r="I1909" t="inlineStr">
        <is>
          <t>1250kVA</t>
        </is>
      </c>
      <c r="J1909" t="inlineStr">
        <is>
          <t>Rodriguez</t>
        </is>
      </c>
      <c r="K1909" t="inlineStr">
        <is>
          <t>METAL</t>
        </is>
      </c>
      <c r="L1909">
        <f>_xlfn.XLOOKUP(Tableau1[[#This Row],[TYPE DE PIECE]],Tableau4[MATIERE],Tableau4[SHORT TYPE],"",0,1)</f>
        <v/>
      </c>
      <c r="N1909">
        <f>IF(ISERR(FIND("DECOUPE",Tableau1[[#This Row],[DESIGNATION]])),"","NEED REF")</f>
        <v/>
      </c>
    </row>
    <row r="1910">
      <c r="B1910" t="n">
        <v>34412091</v>
      </c>
      <c r="C1910" s="2" t="n">
        <v>45217</v>
      </c>
      <c r="D1910" t="inlineStr">
        <is>
          <t>SPEC</t>
        </is>
      </c>
      <c r="E1910" t="inlineStr">
        <is>
          <t>SMT PLAQUE DE PROTECTION</t>
        </is>
      </c>
      <c r="G1910" t="inlineStr">
        <is>
          <t>GVL</t>
        </is>
      </c>
      <c r="J1910" t="inlineStr">
        <is>
          <t>BERNARDEAU</t>
        </is>
      </c>
      <c r="K1910" t="inlineStr">
        <is>
          <t>METAL</t>
        </is>
      </c>
      <c r="L1910">
        <f>_xlfn.XLOOKUP(Tableau1[[#This Row],[TYPE DE PIECE]],Tableau4[MATIERE],Tableau4[SHORT TYPE],"",0,1)</f>
        <v/>
      </c>
      <c r="N1910">
        <f>IF(ISERR(FIND("DECOUPE",Tableau1[[#This Row],[DESIGNATION]])),"","NEED REF")</f>
        <v/>
      </c>
    </row>
    <row r="1911">
      <c r="B1911" t="n">
        <v>34412090</v>
      </c>
      <c r="C1911" s="2" t="n">
        <v>45217</v>
      </c>
      <c r="D1911" t="inlineStr">
        <is>
          <t>SPEC</t>
        </is>
      </c>
      <c r="E1911" t="inlineStr">
        <is>
          <t>S/E toit - KTA- cables</t>
        </is>
      </c>
      <c r="G1911" t="inlineStr">
        <is>
          <t>GVL</t>
        </is>
      </c>
      <c r="J1911" t="inlineStr">
        <is>
          <t>BERNARDEAU</t>
        </is>
      </c>
      <c r="L1911">
        <f>_xlfn.XLOOKUP(Tableau1[[#This Row],[TYPE DE PIECE]],Tableau4[MATIERE],Tableau4[SHORT TYPE],"",0,1)</f>
        <v/>
      </c>
      <c r="N1911">
        <f>IF(ISERR(FIND("DECOUPE",Tableau1[[#This Row],[DESIGNATION]])),"","NEED REF")</f>
        <v/>
      </c>
    </row>
    <row r="1912">
      <c r="B1912" t="n">
        <v>34412089</v>
      </c>
      <c r="C1912" s="2" t="n">
        <v>45216</v>
      </c>
      <c r="D1912" t="inlineStr">
        <is>
          <t>SPEC</t>
        </is>
      </c>
      <c r="E1912" t="inlineStr">
        <is>
          <t>COP RACCORDEMENT NEUTRE</t>
        </is>
      </c>
      <c r="G1912" t="inlineStr">
        <is>
          <t>GVXL</t>
        </is>
      </c>
      <c r="H1912" t="inlineStr">
        <is>
          <t>IO</t>
        </is>
      </c>
      <c r="I1912" t="inlineStr">
        <is>
          <t>1250kVA</t>
        </is>
      </c>
      <c r="J1912" t="inlineStr">
        <is>
          <t>Rodriguez</t>
        </is>
      </c>
      <c r="K1912" t="inlineStr">
        <is>
          <t>CUIVRE</t>
        </is>
      </c>
      <c r="L1912">
        <f>_xlfn.XLOOKUP(Tableau1[[#This Row],[TYPE DE PIECE]],Tableau4[MATIERE],Tableau4[SHORT TYPE],"",0,1)</f>
        <v/>
      </c>
      <c r="N1912">
        <f>IF(ISERR(FIND("DECOUPE",Tableau1[[#This Row],[DESIGNATION]])),"","NEED REF")</f>
        <v/>
      </c>
    </row>
    <row r="1913">
      <c r="B1913" t="n">
        <v>34412088</v>
      </c>
      <c r="C1913" s="2" t="n">
        <v>45216</v>
      </c>
      <c r="D1913" t="inlineStr">
        <is>
          <t>SPEC</t>
        </is>
      </c>
      <c r="E1913" t="inlineStr">
        <is>
          <t>COP RACCORDEMENT TGAB OUT</t>
        </is>
      </c>
      <c r="G1913" t="inlineStr">
        <is>
          <t>GVXL</t>
        </is>
      </c>
      <c r="H1913" t="inlineStr">
        <is>
          <t>IO</t>
        </is>
      </c>
      <c r="I1913" t="inlineStr">
        <is>
          <t>1250kVA</t>
        </is>
      </c>
      <c r="J1913" t="inlineStr">
        <is>
          <t>Rodriguez</t>
        </is>
      </c>
      <c r="K1913" t="inlineStr">
        <is>
          <t>CUIVRE</t>
        </is>
      </c>
      <c r="L1913">
        <f>_xlfn.XLOOKUP(Tableau1[[#This Row],[TYPE DE PIECE]],Tableau4[MATIERE],Tableau4[SHORT TYPE],"",0,1)</f>
        <v/>
      </c>
      <c r="N1913">
        <f>IF(ISERR(FIND("DECOUPE",Tableau1[[#This Row],[DESIGNATION]])),"","NEED REF")</f>
        <v/>
      </c>
    </row>
    <row r="1914">
      <c r="B1914" t="n">
        <v>34412087</v>
      </c>
      <c r="C1914" s="2" t="n">
        <v>45216</v>
      </c>
      <c r="D1914" t="inlineStr">
        <is>
          <t>SPEC</t>
        </is>
      </c>
      <c r="E1914" t="inlineStr">
        <is>
          <t>COP RACCORDEMENT TGAB IN</t>
        </is>
      </c>
      <c r="G1914" t="inlineStr">
        <is>
          <t>GVXL</t>
        </is>
      </c>
      <c r="H1914" t="inlineStr">
        <is>
          <t>IO</t>
        </is>
      </c>
      <c r="I1914" t="inlineStr">
        <is>
          <t>1250kVA</t>
        </is>
      </c>
      <c r="J1914" t="inlineStr">
        <is>
          <t>Rodriguez</t>
        </is>
      </c>
      <c r="K1914" t="inlineStr">
        <is>
          <t>CUIVRE</t>
        </is>
      </c>
      <c r="L1914">
        <f>_xlfn.XLOOKUP(Tableau1[[#This Row],[TYPE DE PIECE]],Tableau4[MATIERE],Tableau4[SHORT TYPE],"",0,1)</f>
        <v/>
      </c>
      <c r="N1914">
        <f>IF(ISERR(FIND("DECOUPE",Tableau1[[#This Row],[DESIGNATION]])),"","NEED REF")</f>
        <v/>
      </c>
    </row>
    <row r="1915">
      <c r="B1915" t="n">
        <v>34412086</v>
      </c>
      <c r="C1915" s="2" t="n">
        <v>45216</v>
      </c>
      <c r="D1915" t="inlineStr">
        <is>
          <t>SPEC</t>
        </is>
      </c>
      <c r="E1915" t="inlineStr">
        <is>
          <t>COP NEUTRE OUT</t>
        </is>
      </c>
      <c r="G1915" t="inlineStr">
        <is>
          <t>GVXL</t>
        </is>
      </c>
      <c r="H1915" t="inlineStr">
        <is>
          <t>IO</t>
        </is>
      </c>
      <c r="I1915" t="inlineStr">
        <is>
          <t>1250kVA</t>
        </is>
      </c>
      <c r="J1915" t="inlineStr">
        <is>
          <t>Rodriguez</t>
        </is>
      </c>
      <c r="K1915" t="inlineStr">
        <is>
          <t>CUIVRE</t>
        </is>
      </c>
      <c r="L1915">
        <f>_xlfn.XLOOKUP(Tableau1[[#This Row],[TYPE DE PIECE]],Tableau4[MATIERE],Tableau4[SHORT TYPE],"",0,1)</f>
        <v/>
      </c>
      <c r="N1915">
        <f>IF(ISERR(FIND("DECOUPE",Tableau1[[#This Row],[DESIGNATION]])),"","NEED REF")</f>
        <v/>
      </c>
    </row>
    <row r="1916">
      <c r="B1916" t="n">
        <v>34412085</v>
      </c>
      <c r="C1916" s="2" t="n">
        <v>45216</v>
      </c>
      <c r="D1916" t="inlineStr">
        <is>
          <t>SPEC</t>
        </is>
      </c>
      <c r="E1916" t="inlineStr">
        <is>
          <t>COP NEUTRE</t>
        </is>
      </c>
      <c r="G1916" t="inlineStr">
        <is>
          <t>GVXL</t>
        </is>
      </c>
      <c r="H1916" t="inlineStr">
        <is>
          <t>IO</t>
        </is>
      </c>
      <c r="I1916" t="inlineStr">
        <is>
          <t>1250kVA</t>
        </is>
      </c>
      <c r="J1916" t="inlineStr">
        <is>
          <t>Rodriguez</t>
        </is>
      </c>
      <c r="K1916" t="inlineStr">
        <is>
          <t>CUIVRE</t>
        </is>
      </c>
      <c r="L1916">
        <f>_xlfn.XLOOKUP(Tableau1[[#This Row],[TYPE DE PIECE]],Tableau4[MATIERE],Tableau4[SHORT TYPE],"",0,1)</f>
        <v/>
      </c>
      <c r="N1916">
        <f>IF(ISERR(FIND("DECOUPE",Tableau1[[#This Row],[DESIGNATION]])),"","NEED REF")</f>
        <v/>
      </c>
    </row>
    <row r="1917">
      <c r="B1917" t="n">
        <v>34412084</v>
      </c>
      <c r="C1917" s="2" t="n">
        <v>45216</v>
      </c>
      <c r="D1917" t="inlineStr">
        <is>
          <t>SPEC</t>
        </is>
      </c>
      <c r="E1917" t="inlineStr">
        <is>
          <t>COP CONNEXION NEUTRE IN_BP</t>
        </is>
      </c>
      <c r="G1917" t="inlineStr">
        <is>
          <t>GVXL</t>
        </is>
      </c>
      <c r="H1917" t="inlineStr">
        <is>
          <t>IO</t>
        </is>
      </c>
      <c r="I1917" t="inlineStr">
        <is>
          <t>1250kVA</t>
        </is>
      </c>
      <c r="J1917" t="inlineStr">
        <is>
          <t>Rodriguez</t>
        </is>
      </c>
      <c r="K1917" t="inlineStr">
        <is>
          <t>CUIVRE</t>
        </is>
      </c>
      <c r="L1917">
        <f>_xlfn.XLOOKUP(Tableau1[[#This Row],[TYPE DE PIECE]],Tableau4[MATIERE],Tableau4[SHORT TYPE],"",0,1)</f>
        <v/>
      </c>
      <c r="N1917">
        <f>IF(ISERR(FIND("DECOUPE",Tableau1[[#This Row],[DESIGNATION]])),"","NEED REF")</f>
        <v/>
      </c>
    </row>
    <row r="1918">
      <c r="B1918" t="n">
        <v>34412083</v>
      </c>
      <c r="C1918" s="2" t="n">
        <v>45216</v>
      </c>
      <c r="D1918" t="inlineStr">
        <is>
          <t>SPEC</t>
        </is>
      </c>
      <c r="E1918" t="inlineStr">
        <is>
          <t>PLA BARREAU ISOLANT</t>
        </is>
      </c>
      <c r="F1918" t="inlineStr">
        <is>
          <t>NOLLET ET FILS SAS</t>
        </is>
      </c>
      <c r="G1918" t="inlineStr">
        <is>
          <t>GVX</t>
        </is>
      </c>
      <c r="H1918" t="inlineStr">
        <is>
          <t>BYPASS</t>
        </is>
      </c>
      <c r="I1918" t="inlineStr">
        <is>
          <t>1000KVA</t>
        </is>
      </c>
      <c r="J1918" t="inlineStr">
        <is>
          <t>JAWORSKI</t>
        </is>
      </c>
      <c r="K1918" t="inlineStr">
        <is>
          <t>PLASTIQUE</t>
        </is>
      </c>
      <c r="L1918">
        <f>_xlfn.XLOOKUP(Tableau1[[#This Row],[TYPE DE PIECE]],Tableau4[MATIERE],Tableau4[SHORT TYPE],"",0,1)</f>
        <v/>
      </c>
      <c r="N1918">
        <f>IF(ISERR(FIND("DECOUPE",Tableau1[[#This Row],[DESIGNATION]])),"","NEED REF")</f>
        <v/>
      </c>
    </row>
    <row r="1919">
      <c r="B1919" t="n">
        <v>34412082</v>
      </c>
      <c r="C1919" s="2" t="n">
        <v>45216</v>
      </c>
      <c r="D1919" t="inlineStr">
        <is>
          <t>SPEC</t>
        </is>
      </c>
      <c r="E1919" t="inlineStr">
        <is>
          <t>SMT SUPPORT BARREAU ISOLANT</t>
        </is>
      </c>
      <c r="F1919" t="inlineStr">
        <is>
          <t>NOLLET ET FILS SAS</t>
        </is>
      </c>
      <c r="G1919" t="inlineStr">
        <is>
          <t>GVX</t>
        </is>
      </c>
      <c r="H1919" t="inlineStr">
        <is>
          <t>BYPASS</t>
        </is>
      </c>
      <c r="I1919" t="inlineStr">
        <is>
          <t>1000KVA</t>
        </is>
      </c>
      <c r="J1919" t="inlineStr">
        <is>
          <t>JAWORSKI</t>
        </is>
      </c>
      <c r="K1919" t="inlineStr">
        <is>
          <t>METAL</t>
        </is>
      </c>
      <c r="L1919">
        <f>_xlfn.XLOOKUP(Tableau1[[#This Row],[TYPE DE PIECE]],Tableau4[MATIERE],Tableau4[SHORT TYPE],"",0,1)</f>
        <v/>
      </c>
      <c r="N1919">
        <f>IF(ISERR(FIND("DECOUPE",Tableau1[[#This Row],[DESIGNATION]])),"","NEED REF")</f>
        <v/>
      </c>
    </row>
    <row r="1920">
      <c r="B1920" t="n">
        <v>34412081</v>
      </c>
      <c r="C1920" s="2" t="n">
        <v>45216</v>
      </c>
      <c r="D1920" t="inlineStr">
        <is>
          <t>SPEC</t>
        </is>
      </c>
      <c r="E1920" t="inlineStr">
        <is>
          <t>SMT TRAVERSE DROITE CHASSIS</t>
        </is>
      </c>
      <c r="F1920" t="inlineStr">
        <is>
          <t>NOLLET ET FILS SAS</t>
        </is>
      </c>
      <c r="G1920" t="inlineStr">
        <is>
          <t>GVX</t>
        </is>
      </c>
      <c r="H1920" t="inlineStr">
        <is>
          <t>BYPASS</t>
        </is>
      </c>
      <c r="I1920" t="inlineStr">
        <is>
          <t>1000KVA</t>
        </is>
      </c>
      <c r="J1920" t="inlineStr">
        <is>
          <t>JAWORSKI</t>
        </is>
      </c>
      <c r="K1920" t="inlineStr">
        <is>
          <t>METAL</t>
        </is>
      </c>
      <c r="L1920">
        <f>_xlfn.XLOOKUP(Tableau1[[#This Row],[TYPE DE PIECE]],Tableau4[MATIERE],Tableau4[SHORT TYPE],"",0,1)</f>
        <v/>
      </c>
      <c r="N1920">
        <f>IF(ISERR(FIND("DECOUPE",Tableau1[[#This Row],[DESIGNATION]])),"","NEED REF")</f>
        <v/>
      </c>
    </row>
    <row r="1921">
      <c r="B1921" t="n">
        <v>34412080</v>
      </c>
      <c r="C1921" s="2" t="n">
        <v>45216</v>
      </c>
      <c r="D1921" t="inlineStr">
        <is>
          <t>SPEC</t>
        </is>
      </c>
      <c r="E1921" t="inlineStr">
        <is>
          <t>SMT PLATEAU MTZ2 3P</t>
        </is>
      </c>
      <c r="F1921" t="inlineStr">
        <is>
          <t>NOLLET ET FILS SAS</t>
        </is>
      </c>
      <c r="G1921" t="inlineStr">
        <is>
          <t>GVX</t>
        </is>
      </c>
      <c r="H1921" t="inlineStr">
        <is>
          <t>BYPASS</t>
        </is>
      </c>
      <c r="I1921" t="inlineStr">
        <is>
          <t>1000KVA</t>
        </is>
      </c>
      <c r="J1921" t="inlineStr">
        <is>
          <t>JAWORSKI</t>
        </is>
      </c>
      <c r="K1921" t="inlineStr">
        <is>
          <t>METAL</t>
        </is>
      </c>
      <c r="L1921">
        <f>_xlfn.XLOOKUP(Tableau1[[#This Row],[TYPE DE PIECE]],Tableau4[MATIERE],Tableau4[SHORT TYPE],"",0,1)</f>
        <v/>
      </c>
      <c r="N1921">
        <f>IF(ISERR(FIND("DECOUPE",Tableau1[[#This Row],[DESIGNATION]])),"","NEED REF")</f>
        <v/>
      </c>
    </row>
    <row r="1922">
      <c r="B1922" t="n">
        <v>34412079</v>
      </c>
      <c r="C1922" s="2" t="n">
        <v>45216</v>
      </c>
      <c r="D1922" t="inlineStr">
        <is>
          <t>SPEC</t>
        </is>
      </c>
      <c r="E1922" t="inlineStr">
        <is>
          <t>SMT TRAVERSE DROITE CHASSIS</t>
        </is>
      </c>
      <c r="F1922" t="inlineStr">
        <is>
          <t>NOLLET ET FILS SAS</t>
        </is>
      </c>
      <c r="G1922" t="inlineStr">
        <is>
          <t>GVX</t>
        </is>
      </c>
      <c r="H1922" t="inlineStr">
        <is>
          <t>BYPASS</t>
        </is>
      </c>
      <c r="I1922" t="inlineStr">
        <is>
          <t>1000KVA</t>
        </is>
      </c>
      <c r="J1922" t="inlineStr">
        <is>
          <t>JAWORSKI</t>
        </is>
      </c>
      <c r="K1922" t="inlineStr">
        <is>
          <t>METAL</t>
        </is>
      </c>
      <c r="L1922">
        <f>_xlfn.XLOOKUP(Tableau1[[#This Row],[TYPE DE PIECE]],Tableau4[MATIERE],Tableau4[SHORT TYPE],"",0,1)</f>
        <v/>
      </c>
      <c r="N1922">
        <f>IF(ISERR(FIND("DECOUPE",Tableau1[[#This Row],[DESIGNATION]])),"","NEED REF")</f>
        <v/>
      </c>
    </row>
    <row r="1923">
      <c r="B1923" t="n">
        <v>34412078</v>
      </c>
      <c r="C1923" s="2" t="n">
        <v>45216</v>
      </c>
      <c r="D1923" t="inlineStr">
        <is>
          <t>SPEC</t>
        </is>
      </c>
      <c r="E1923" t="inlineStr">
        <is>
          <t>SMT SUPPORT BARREAU ISOLANT</t>
        </is>
      </c>
      <c r="F1923" t="inlineStr">
        <is>
          <t>NOLLET ET FILS SAS</t>
        </is>
      </c>
      <c r="G1923" t="inlineStr">
        <is>
          <t>GVX</t>
        </is>
      </c>
      <c r="H1923" t="inlineStr">
        <is>
          <t>BYPASS</t>
        </is>
      </c>
      <c r="I1923" t="inlineStr">
        <is>
          <t>1000KVA</t>
        </is>
      </c>
      <c r="J1923" t="inlineStr">
        <is>
          <t>JAWORSKI</t>
        </is>
      </c>
      <c r="K1923" t="inlineStr">
        <is>
          <t>METAL</t>
        </is>
      </c>
      <c r="L1923">
        <f>_xlfn.XLOOKUP(Tableau1[[#This Row],[TYPE DE PIECE]],Tableau4[MATIERE],Tableau4[SHORT TYPE],"",0,1)</f>
        <v/>
      </c>
      <c r="N1923">
        <f>IF(ISERR(FIND("DECOUPE",Tableau1[[#This Row],[DESIGNATION]])),"","NEED REF")</f>
        <v/>
      </c>
    </row>
    <row r="1924">
      <c r="B1924" t="n">
        <v>34412077</v>
      </c>
      <c r="C1924" s="2" t="n">
        <v>45216</v>
      </c>
      <c r="D1924" t="inlineStr">
        <is>
          <t>SPEC</t>
        </is>
      </c>
      <c r="E1924" t="inlineStr">
        <is>
          <t>COP SSIB AVAL CONNEXION</t>
        </is>
      </c>
      <c r="F1924" t="inlineStr">
        <is>
          <t>NOLLET ET FILS SAS</t>
        </is>
      </c>
      <c r="G1924" t="inlineStr">
        <is>
          <t>GVX</t>
        </is>
      </c>
      <c r="H1924" t="inlineStr">
        <is>
          <t>BYPASS</t>
        </is>
      </c>
      <c r="I1924" t="inlineStr">
        <is>
          <t>1000KVA</t>
        </is>
      </c>
      <c r="J1924" t="inlineStr">
        <is>
          <t>JAWORSKI</t>
        </is>
      </c>
      <c r="K1924" t="inlineStr">
        <is>
          <t>CUIVRE</t>
        </is>
      </c>
      <c r="L1924">
        <f>_xlfn.XLOOKUP(Tableau1[[#This Row],[TYPE DE PIECE]],Tableau4[MATIERE],Tableau4[SHORT TYPE],"",0,1)</f>
        <v/>
      </c>
      <c r="N1924">
        <f>IF(ISERR(FIND("DECOUPE",Tableau1[[#This Row],[DESIGNATION]])),"","NEED REF")</f>
        <v/>
      </c>
    </row>
    <row r="1925">
      <c r="B1925" t="n">
        <v>34412076</v>
      </c>
      <c r="C1925" s="2" t="n">
        <v>45216</v>
      </c>
      <c r="D1925" t="inlineStr">
        <is>
          <t>SPEC</t>
        </is>
      </c>
      <c r="E1925" t="inlineStr">
        <is>
          <t>COP BOTTOM CONNEXION</t>
        </is>
      </c>
      <c r="F1925" t="inlineStr">
        <is>
          <t>NOLLET ET FILS SAS</t>
        </is>
      </c>
      <c r="G1925" t="inlineStr">
        <is>
          <t>GVX</t>
        </is>
      </c>
      <c r="H1925" t="inlineStr">
        <is>
          <t>BYPASS</t>
        </is>
      </c>
      <c r="I1925" t="inlineStr">
        <is>
          <t>1000KVA</t>
        </is>
      </c>
      <c r="J1925" t="inlineStr">
        <is>
          <t>JAWORSKI</t>
        </is>
      </c>
      <c r="K1925" t="inlineStr">
        <is>
          <t>CUIVRE</t>
        </is>
      </c>
      <c r="L1925">
        <f>_xlfn.XLOOKUP(Tableau1[[#This Row],[TYPE DE PIECE]],Tableau4[MATIERE],Tableau4[SHORT TYPE],"",0,1)</f>
        <v/>
      </c>
      <c r="N1925">
        <f>IF(ISERR(FIND("DECOUPE",Tableau1[[#This Row],[DESIGNATION]])),"","NEED REF")</f>
        <v/>
      </c>
    </row>
    <row r="1926">
      <c r="B1926" t="n">
        <v>34412075</v>
      </c>
      <c r="C1926" s="2" t="n">
        <v>45216</v>
      </c>
      <c r="D1926" t="inlineStr">
        <is>
          <t>SPEC</t>
        </is>
      </c>
      <c r="E1926" t="inlineStr">
        <is>
          <t>SE DECOUPE LINERGY 04566 2500A 970MM</t>
        </is>
      </c>
      <c r="F1926" t="inlineStr">
        <is>
          <t>NOLLET ET FILS SAS</t>
        </is>
      </c>
      <c r="G1926" t="inlineStr">
        <is>
          <t>GVX</t>
        </is>
      </c>
      <c r="H1926" t="inlineStr">
        <is>
          <t>BYPASS</t>
        </is>
      </c>
      <c r="I1926" t="inlineStr">
        <is>
          <t>1000KVA</t>
        </is>
      </c>
      <c r="J1926" t="inlineStr">
        <is>
          <t>JAWORSKI</t>
        </is>
      </c>
      <c r="K1926" t="inlineStr">
        <is>
          <t>METAL</t>
        </is>
      </c>
      <c r="L1926">
        <f>_xlfn.XLOOKUP(Tableau1[[#This Row],[TYPE DE PIECE]],Tableau4[MATIERE],Tableau4[SHORT TYPE],"",0,1)</f>
        <v/>
      </c>
      <c r="N1926" t="inlineStr">
        <is>
          <t>LVS04566</t>
        </is>
      </c>
    </row>
    <row r="1927">
      <c r="B1927" t="n">
        <v>34412074</v>
      </c>
      <c r="C1927" s="2" t="n">
        <v>45216</v>
      </c>
      <c r="D1927" t="inlineStr">
        <is>
          <t>SPEC</t>
        </is>
      </c>
      <c r="E1927" t="inlineStr">
        <is>
          <t>SMT SUPPORT BARREAU ISOLANT</t>
        </is>
      </c>
      <c r="F1927" t="inlineStr">
        <is>
          <t>NOLLET ET FILS SAS</t>
        </is>
      </c>
      <c r="G1927" t="inlineStr">
        <is>
          <t>GVX</t>
        </is>
      </c>
      <c r="H1927" t="inlineStr">
        <is>
          <t>BYPASS</t>
        </is>
      </c>
      <c r="I1927" t="inlineStr">
        <is>
          <t>1000KVA</t>
        </is>
      </c>
      <c r="J1927" t="inlineStr">
        <is>
          <t>JAWORSKI</t>
        </is>
      </c>
      <c r="K1927" t="inlineStr">
        <is>
          <t>METAL</t>
        </is>
      </c>
      <c r="L1927">
        <f>_xlfn.XLOOKUP(Tableau1[[#This Row],[TYPE DE PIECE]],Tableau4[MATIERE],Tableau4[SHORT TYPE],"",0,1)</f>
        <v/>
      </c>
      <c r="N1927">
        <f>IF(ISERR(FIND("DECOUPE",Tableau1[[#This Row],[DESIGNATION]])),"","NEED REF")</f>
        <v/>
      </c>
    </row>
    <row r="1928">
      <c r="B1928" t="n">
        <v>34412073</v>
      </c>
      <c r="C1928" s="2" t="n">
        <v>45216</v>
      </c>
      <c r="D1928" t="inlineStr">
        <is>
          <t>SPEC</t>
        </is>
      </c>
      <c r="E1928" t="inlineStr">
        <is>
          <t>SMT PLATINE NS800 3P</t>
        </is>
      </c>
      <c r="F1928" t="inlineStr">
        <is>
          <t>NOLLET ET FILS SAS</t>
        </is>
      </c>
      <c r="G1928" t="inlineStr">
        <is>
          <t>GVX</t>
        </is>
      </c>
      <c r="H1928" t="inlineStr">
        <is>
          <t>BYPASS</t>
        </is>
      </c>
      <c r="I1928" t="inlineStr">
        <is>
          <t>1000KVA</t>
        </is>
      </c>
      <c r="J1928" t="inlineStr">
        <is>
          <t>JAWORSKI</t>
        </is>
      </c>
      <c r="K1928" t="inlineStr">
        <is>
          <t>METAL</t>
        </is>
      </c>
      <c r="L1928">
        <f>_xlfn.XLOOKUP(Tableau1[[#This Row],[TYPE DE PIECE]],Tableau4[MATIERE],Tableau4[SHORT TYPE],"",0,1)</f>
        <v/>
      </c>
      <c r="N1928">
        <f>IF(ISERR(FIND("DECOUPE",Tableau1[[#This Row],[DESIGNATION]])),"","NEED REF")</f>
        <v/>
      </c>
    </row>
    <row r="1929">
      <c r="B1929" t="n">
        <v>34412072</v>
      </c>
      <c r="C1929" s="2" t="n">
        <v>45216</v>
      </c>
      <c r="D1929" t="inlineStr">
        <is>
          <t>SPEC</t>
        </is>
      </c>
      <c r="E1929" t="inlineStr">
        <is>
          <t>COP PROLONGATION IN</t>
        </is>
      </c>
      <c r="G1929" t="inlineStr">
        <is>
          <t>GVXL</t>
        </is>
      </c>
      <c r="H1929" t="inlineStr">
        <is>
          <t>IO</t>
        </is>
      </c>
      <c r="I1929" t="inlineStr">
        <is>
          <t>1250kVA</t>
        </is>
      </c>
      <c r="J1929" t="inlineStr">
        <is>
          <t>Rodriguez</t>
        </is>
      </c>
      <c r="K1929" t="inlineStr">
        <is>
          <t>CUIVRE</t>
        </is>
      </c>
      <c r="L1929">
        <f>_xlfn.XLOOKUP(Tableau1[[#This Row],[TYPE DE PIECE]],Tableau4[MATIERE],Tableau4[SHORT TYPE],"",0,1)</f>
        <v/>
      </c>
      <c r="N1929">
        <f>IF(ISERR(FIND("DECOUPE",Tableau1[[#This Row],[DESIGNATION]])),"","NEED REF")</f>
        <v/>
      </c>
    </row>
    <row r="1930">
      <c r="B1930" t="n">
        <v>34412071</v>
      </c>
      <c r="C1930" s="2" t="n">
        <v>45216</v>
      </c>
      <c r="D1930" t="inlineStr">
        <is>
          <t>SPEC</t>
        </is>
      </c>
      <c r="E1930" t="inlineStr">
        <is>
          <t>COP RACCORDEMENT BPL1</t>
        </is>
      </c>
      <c r="G1930" t="inlineStr">
        <is>
          <t>GVXL</t>
        </is>
      </c>
      <c r="H1930" t="inlineStr">
        <is>
          <t>IO</t>
        </is>
      </c>
      <c r="I1930" t="inlineStr">
        <is>
          <t>1250kVA</t>
        </is>
      </c>
      <c r="J1930" t="inlineStr">
        <is>
          <t>Rodriguez</t>
        </is>
      </c>
      <c r="K1930" t="inlineStr">
        <is>
          <t>CUIVRE</t>
        </is>
      </c>
      <c r="L1930">
        <f>_xlfn.XLOOKUP(Tableau1[[#This Row],[TYPE DE PIECE]],Tableau4[MATIERE],Tableau4[SHORT TYPE],"",0,1)</f>
        <v/>
      </c>
      <c r="N1930">
        <f>IF(ISERR(FIND("DECOUPE",Tableau1[[#This Row],[DESIGNATION]])),"","NEED REF")</f>
        <v/>
      </c>
    </row>
    <row r="1931">
      <c r="B1931" t="n">
        <v>34412070</v>
      </c>
      <c r="C1931" s="2" t="n">
        <v>45216</v>
      </c>
      <c r="D1931" t="inlineStr">
        <is>
          <t>SPEC</t>
        </is>
      </c>
      <c r="E1931" t="inlineStr">
        <is>
          <t>COP RACCORDEMENT BPL3</t>
        </is>
      </c>
      <c r="G1931" t="inlineStr">
        <is>
          <t>GVXL</t>
        </is>
      </c>
      <c r="H1931" t="inlineStr">
        <is>
          <t>IO</t>
        </is>
      </c>
      <c r="I1931" t="inlineStr">
        <is>
          <t>1250kVA</t>
        </is>
      </c>
      <c r="J1931" t="inlineStr">
        <is>
          <t>Rodriguez</t>
        </is>
      </c>
      <c r="K1931" t="inlineStr">
        <is>
          <t>CUIVRE</t>
        </is>
      </c>
      <c r="L1931">
        <f>_xlfn.XLOOKUP(Tableau1[[#This Row],[TYPE DE PIECE]],Tableau4[MATIERE],Tableau4[SHORT TYPE],"",0,1)</f>
        <v/>
      </c>
      <c r="N1931">
        <f>IF(ISERR(FIND("DECOUPE",Tableau1[[#This Row],[DESIGNATION]])),"","NEED REF")</f>
        <v/>
      </c>
    </row>
    <row r="1932">
      <c r="B1932" t="n">
        <v>34412069</v>
      </c>
      <c r="C1932" s="2" t="n">
        <v>45216</v>
      </c>
      <c r="D1932" t="inlineStr">
        <is>
          <t>SPEC</t>
        </is>
      </c>
      <c r="E1932" t="inlineStr">
        <is>
          <t>COP GVXL 3FEEDS OUTL3</t>
        </is>
      </c>
      <c r="G1932" t="inlineStr">
        <is>
          <t>GVXL</t>
        </is>
      </c>
      <c r="H1932" t="inlineStr">
        <is>
          <t>IO</t>
        </is>
      </c>
      <c r="I1932" t="inlineStr">
        <is>
          <t>1250kVA</t>
        </is>
      </c>
      <c r="J1932" t="inlineStr">
        <is>
          <t>Rodriguez</t>
        </is>
      </c>
      <c r="K1932" t="inlineStr">
        <is>
          <t>CUIVRE</t>
        </is>
      </c>
      <c r="L1932">
        <f>_xlfn.XLOOKUP(Tableau1[[#This Row],[TYPE DE PIECE]],Tableau4[MATIERE],Tableau4[SHORT TYPE],"",0,1)</f>
        <v/>
      </c>
      <c r="N1932">
        <f>IF(ISERR(FIND("DECOUPE",Tableau1[[#This Row],[DESIGNATION]])),"","NEED REF")</f>
        <v/>
      </c>
    </row>
    <row r="1933">
      <c r="B1933" t="n">
        <v>34412068</v>
      </c>
      <c r="C1933" s="2" t="n">
        <v>45216</v>
      </c>
      <c r="D1933" t="inlineStr">
        <is>
          <t>SPEC</t>
        </is>
      </c>
      <c r="E1933" t="inlineStr">
        <is>
          <t>COP GVXL 3FEEDS OUTL2</t>
        </is>
      </c>
      <c r="G1933" t="inlineStr">
        <is>
          <t>GVXL</t>
        </is>
      </c>
      <c r="H1933" t="inlineStr">
        <is>
          <t>IO</t>
        </is>
      </c>
      <c r="I1933" t="inlineStr">
        <is>
          <t>1250kVA</t>
        </is>
      </c>
      <c r="J1933" t="inlineStr">
        <is>
          <t>Rodriguez</t>
        </is>
      </c>
      <c r="K1933" t="inlineStr">
        <is>
          <t>CUIVRE</t>
        </is>
      </c>
      <c r="L1933">
        <f>_xlfn.XLOOKUP(Tableau1[[#This Row],[TYPE DE PIECE]],Tableau4[MATIERE],Tableau4[SHORT TYPE],"",0,1)</f>
        <v/>
      </c>
      <c r="N1933">
        <f>IF(ISERR(FIND("DECOUPE",Tableau1[[#This Row],[DESIGNATION]])),"","NEED REF")</f>
        <v/>
      </c>
    </row>
    <row r="1934">
      <c r="B1934" t="n">
        <v>34412067</v>
      </c>
      <c r="C1934" s="2" t="n">
        <v>45216</v>
      </c>
      <c r="D1934" t="inlineStr">
        <is>
          <t>SPEC</t>
        </is>
      </c>
      <c r="E1934" t="inlineStr">
        <is>
          <t>COP GVXL 3FEEDS OUTL1</t>
        </is>
      </c>
      <c r="G1934" t="inlineStr">
        <is>
          <t>GVXL</t>
        </is>
      </c>
      <c r="H1934" t="inlineStr">
        <is>
          <t>IO</t>
        </is>
      </c>
      <c r="I1934" t="inlineStr">
        <is>
          <t>1250kVA</t>
        </is>
      </c>
      <c r="J1934" t="inlineStr">
        <is>
          <t>Rodriguez</t>
        </is>
      </c>
      <c r="K1934" t="inlineStr">
        <is>
          <t>CUIVRE</t>
        </is>
      </c>
      <c r="L1934">
        <f>_xlfn.XLOOKUP(Tableau1[[#This Row],[TYPE DE PIECE]],Tableau4[MATIERE],Tableau4[SHORT TYPE],"",0,1)</f>
        <v/>
      </c>
      <c r="N1934">
        <f>IF(ISERR(FIND("DECOUPE",Tableau1[[#This Row],[DESIGNATION]])),"","NEED REF")</f>
        <v/>
      </c>
    </row>
    <row r="1935">
      <c r="B1935" t="n">
        <v>34412066</v>
      </c>
      <c r="C1935" s="2" t="n">
        <v>45216</v>
      </c>
      <c r="D1935" t="inlineStr">
        <is>
          <t>SPEC</t>
        </is>
      </c>
      <c r="E1935" t="inlineStr">
        <is>
          <t>COP GVXL 3FEEDS BPL3</t>
        </is>
      </c>
      <c r="G1935" t="inlineStr">
        <is>
          <t>GVXL</t>
        </is>
      </c>
      <c r="H1935" t="inlineStr">
        <is>
          <t>IO</t>
        </is>
      </c>
      <c r="I1935" t="inlineStr">
        <is>
          <t>1250kVA</t>
        </is>
      </c>
      <c r="J1935" t="inlineStr">
        <is>
          <t>Rodriguez</t>
        </is>
      </c>
      <c r="K1935" t="inlineStr">
        <is>
          <t>CUIVRE</t>
        </is>
      </c>
      <c r="L1935">
        <f>_xlfn.XLOOKUP(Tableau1[[#This Row],[TYPE DE PIECE]],Tableau4[MATIERE],Tableau4[SHORT TYPE],"",0,1)</f>
        <v/>
      </c>
      <c r="N1935">
        <f>IF(ISERR(FIND("DECOUPE",Tableau1[[#This Row],[DESIGNATION]])),"","NEED REF")</f>
        <v/>
      </c>
    </row>
    <row r="1936">
      <c r="B1936" t="n">
        <v>34412065</v>
      </c>
      <c r="C1936" s="2" t="n">
        <v>45216</v>
      </c>
      <c r="D1936" t="inlineStr">
        <is>
          <t>SPEC</t>
        </is>
      </c>
      <c r="E1936" t="inlineStr">
        <is>
          <t>COP GVXL 3FEEDS BPL2</t>
        </is>
      </c>
      <c r="G1936" t="inlineStr">
        <is>
          <t>GVXL</t>
        </is>
      </c>
      <c r="H1936" t="inlineStr">
        <is>
          <t>IO</t>
        </is>
      </c>
      <c r="I1936" t="inlineStr">
        <is>
          <t>1250kVA</t>
        </is>
      </c>
      <c r="J1936" t="inlineStr">
        <is>
          <t>Rodriguez</t>
        </is>
      </c>
      <c r="K1936" t="inlineStr">
        <is>
          <t>CUIVRE</t>
        </is>
      </c>
      <c r="L1936">
        <f>_xlfn.XLOOKUP(Tableau1[[#This Row],[TYPE DE PIECE]],Tableau4[MATIERE],Tableau4[SHORT TYPE],"",0,1)</f>
        <v/>
      </c>
      <c r="N1936">
        <f>IF(ISERR(FIND("DECOUPE",Tableau1[[#This Row],[DESIGNATION]])),"","NEED REF")</f>
        <v/>
      </c>
    </row>
    <row r="1937">
      <c r="B1937" t="n">
        <v>34412064</v>
      </c>
      <c r="C1937" s="2" t="n">
        <v>45216</v>
      </c>
      <c r="D1937" t="inlineStr">
        <is>
          <t>SPEC</t>
        </is>
      </c>
      <c r="E1937" t="inlineStr">
        <is>
          <t>COP GVXL 3FEEDS BPL1</t>
        </is>
      </c>
      <c r="G1937" t="inlineStr">
        <is>
          <t>GVXL</t>
        </is>
      </c>
      <c r="H1937" t="inlineStr">
        <is>
          <t>IO</t>
        </is>
      </c>
      <c r="I1937" t="inlineStr">
        <is>
          <t>1250kVA</t>
        </is>
      </c>
      <c r="J1937" t="inlineStr">
        <is>
          <t>Rodriguez</t>
        </is>
      </c>
      <c r="K1937" t="inlineStr">
        <is>
          <t>CUIVRE</t>
        </is>
      </c>
      <c r="L1937">
        <f>_xlfn.XLOOKUP(Tableau1[[#This Row],[TYPE DE PIECE]],Tableau4[MATIERE],Tableau4[SHORT TYPE],"",0,1)</f>
        <v/>
      </c>
      <c r="N1937">
        <f>IF(ISERR(FIND("DECOUPE",Tableau1[[#This Row],[DESIGNATION]])),"","NEED REF")</f>
        <v/>
      </c>
    </row>
    <row r="1938">
      <c r="B1938" t="n">
        <v>34412063</v>
      </c>
      <c r="C1938" s="2" t="n">
        <v>45216</v>
      </c>
      <c r="D1938" t="inlineStr">
        <is>
          <t>SPEC</t>
        </is>
      </c>
      <c r="E1938" t="inlineStr">
        <is>
          <t>COP GVXL 3FEEDS INL3</t>
        </is>
      </c>
      <c r="G1938" t="inlineStr">
        <is>
          <t>GVXL</t>
        </is>
      </c>
      <c r="H1938" t="inlineStr">
        <is>
          <t>IO</t>
        </is>
      </c>
      <c r="I1938" t="inlineStr">
        <is>
          <t>1250kVA</t>
        </is>
      </c>
      <c r="J1938" t="inlineStr">
        <is>
          <t>Rodriguez</t>
        </is>
      </c>
      <c r="K1938" t="inlineStr">
        <is>
          <t>CUIVRE</t>
        </is>
      </c>
      <c r="L1938">
        <f>_xlfn.XLOOKUP(Tableau1[[#This Row],[TYPE DE PIECE]],Tableau4[MATIERE],Tableau4[SHORT TYPE],"",0,1)</f>
        <v/>
      </c>
      <c r="N1938">
        <f>IF(ISERR(FIND("DECOUPE",Tableau1[[#This Row],[DESIGNATION]])),"","NEED REF")</f>
        <v/>
      </c>
    </row>
    <row r="1939">
      <c r="B1939" t="n">
        <v>34412062</v>
      </c>
      <c r="C1939" s="2" t="n">
        <v>45216</v>
      </c>
      <c r="D1939" t="inlineStr">
        <is>
          <t>SPEC</t>
        </is>
      </c>
      <c r="E1939" t="inlineStr">
        <is>
          <t>COP GVXL 3FEEDS INL2</t>
        </is>
      </c>
      <c r="G1939" t="inlineStr">
        <is>
          <t>GVXL</t>
        </is>
      </c>
      <c r="H1939" t="inlineStr">
        <is>
          <t>IO</t>
        </is>
      </c>
      <c r="I1939" t="inlineStr">
        <is>
          <t>1250kVA</t>
        </is>
      </c>
      <c r="J1939" t="inlineStr">
        <is>
          <t>Rodriguez</t>
        </is>
      </c>
      <c r="K1939" t="inlineStr">
        <is>
          <t>CUIVRE</t>
        </is>
      </c>
      <c r="L1939">
        <f>_xlfn.XLOOKUP(Tableau1[[#This Row],[TYPE DE PIECE]],Tableau4[MATIERE],Tableau4[SHORT TYPE],"",0,1)</f>
        <v/>
      </c>
      <c r="N1939">
        <f>IF(ISERR(FIND("DECOUPE",Tableau1[[#This Row],[DESIGNATION]])),"","NEED REF")</f>
        <v/>
      </c>
    </row>
    <row r="1940">
      <c r="B1940" t="n">
        <v>34412061</v>
      </c>
      <c r="C1940" s="2" t="n">
        <v>45216</v>
      </c>
      <c r="D1940" t="inlineStr">
        <is>
          <t>SPEC</t>
        </is>
      </c>
      <c r="E1940" t="inlineStr">
        <is>
          <t>COP GVXL 3FEEDS INL1</t>
        </is>
      </c>
      <c r="G1940" t="inlineStr">
        <is>
          <t>GVXL</t>
        </is>
      </c>
      <c r="H1940" t="inlineStr">
        <is>
          <t>IO</t>
        </is>
      </c>
      <c r="I1940" t="inlineStr">
        <is>
          <t>1250kVA</t>
        </is>
      </c>
      <c r="J1940" t="inlineStr">
        <is>
          <t>Rodriguez</t>
        </is>
      </c>
      <c r="K1940" t="inlineStr">
        <is>
          <t>CUIVRE</t>
        </is>
      </c>
      <c r="L1940">
        <f>_xlfn.XLOOKUP(Tableau1[[#This Row],[TYPE DE PIECE]],Tableau4[MATIERE],Tableau4[SHORT TYPE],"",0,1)</f>
        <v/>
      </c>
      <c r="N1940">
        <f>IF(ISERR(FIND("DECOUPE",Tableau1[[#This Row],[DESIGNATION]])),"","NEED REF")</f>
        <v/>
      </c>
    </row>
    <row r="1941">
      <c r="B1941" t="n">
        <v>34412060</v>
      </c>
      <c r="C1941" s="2" t="n">
        <v>45215</v>
      </c>
      <c r="D1941" t="inlineStr">
        <is>
          <t>SPEC</t>
        </is>
      </c>
      <c r="E1941" t="inlineStr">
        <is>
          <t>WOOD PALETTE 2400x1000</t>
        </is>
      </c>
      <c r="J1941" t="inlineStr">
        <is>
          <t>BERNARDEAU</t>
        </is>
      </c>
      <c r="K1941" t="inlineStr">
        <is>
          <t>BOIS</t>
        </is>
      </c>
      <c r="L1941">
        <f>_xlfn.XLOOKUP(Tableau1[[#This Row],[TYPE DE PIECE]],Tableau4[MATIERE],Tableau4[SHORT TYPE],"",0,1)</f>
        <v/>
      </c>
      <c r="N1941">
        <f>IF(ISERR(FIND("DECOUPE",Tableau1[[#This Row],[DESIGNATION]])),"","NEED REF")</f>
        <v/>
      </c>
    </row>
    <row r="1942">
      <c r="B1942" t="n">
        <v>34412059</v>
      </c>
      <c r="C1942" s="2" t="n">
        <v>45212</v>
      </c>
      <c r="D1942" t="inlineStr">
        <is>
          <t>SPEC</t>
        </is>
      </c>
      <c r="E1942">
        <f>_xlfn.CONCAT(Tableau1[[#This Row],[SHORT TYPE]]," ",Tableau1[[#This Row],[NUMERO]]," ",Tableau1[[#This Row],[GAMME]]," ",Tableau1[[#This Row],[TYPE PRODUIT]]," ",Tableau1[[#This Row],[PUISSANCE]])</f>
        <v/>
      </c>
      <c r="H1942" t="inlineStr">
        <is>
          <t>STS</t>
        </is>
      </c>
      <c r="I1942" t="inlineStr">
        <is>
          <t>1250A</t>
        </is>
      </c>
      <c r="J1942" t="inlineStr">
        <is>
          <t>MATRION</t>
        </is>
      </c>
      <c r="K1942" t="inlineStr">
        <is>
          <t>METAL</t>
        </is>
      </c>
      <c r="L1942">
        <f>_xlfn.XLOOKUP(Tableau1[[#This Row],[TYPE DE PIECE]],Tableau4[MATIERE],Tableau4[SHORT TYPE],"",0,1)</f>
        <v/>
      </c>
      <c r="N1942">
        <f>IF(ISERR(FIND("DECOUPE",Tableau1[[#This Row],[DESIGNATION]])),"","NEED REF")</f>
        <v/>
      </c>
    </row>
    <row r="1943">
      <c r="B1943" t="n">
        <v>34412058</v>
      </c>
      <c r="C1943" s="2" t="n">
        <v>45212</v>
      </c>
      <c r="D1943" t="inlineStr">
        <is>
          <t>SPEC</t>
        </is>
      </c>
      <c r="E1943">
        <f>_xlfn.CONCAT(Tableau1[[#This Row],[SHORT TYPE]]," ",Tableau1[[#This Row],[NUMERO]]," ",Tableau1[[#This Row],[GAMME]]," ",Tableau1[[#This Row],[TYPE PRODUIT]]," ",Tableau1[[#This Row],[PUISSANCE]])</f>
        <v/>
      </c>
      <c r="H1943" t="inlineStr">
        <is>
          <t>STS</t>
        </is>
      </c>
      <c r="I1943" t="inlineStr">
        <is>
          <t>1250A</t>
        </is>
      </c>
      <c r="J1943" t="inlineStr">
        <is>
          <t>MATRION</t>
        </is>
      </c>
      <c r="K1943" t="inlineStr">
        <is>
          <t>METAL</t>
        </is>
      </c>
      <c r="L1943">
        <f>_xlfn.XLOOKUP(Tableau1[[#This Row],[TYPE DE PIECE]],Tableau4[MATIERE],Tableau4[SHORT TYPE],"",0,1)</f>
        <v/>
      </c>
      <c r="N1943">
        <f>IF(ISERR(FIND("DECOUPE",Tableau1[[#This Row],[DESIGNATION]])),"","NEED REF")</f>
        <v/>
      </c>
    </row>
    <row r="1944">
      <c r="B1944" t="n">
        <v>34412057</v>
      </c>
      <c r="C1944" s="2" t="n">
        <v>45212</v>
      </c>
      <c r="D1944" t="inlineStr">
        <is>
          <t>SPEC</t>
        </is>
      </c>
      <c r="E1944" t="inlineStr">
        <is>
          <t>PLA RENFORT GPO 4</t>
        </is>
      </c>
      <c r="G1944" t="inlineStr">
        <is>
          <t>GVXL</t>
        </is>
      </c>
      <c r="H1944" t="inlineStr">
        <is>
          <t>IO</t>
        </is>
      </c>
      <c r="I1944" t="inlineStr">
        <is>
          <t>1250kVA</t>
        </is>
      </c>
      <c r="J1944" t="inlineStr">
        <is>
          <t>Rodriguez</t>
        </is>
      </c>
      <c r="K1944" t="inlineStr">
        <is>
          <t>PLASTIQUE</t>
        </is>
      </c>
      <c r="L1944">
        <f>_xlfn.XLOOKUP(Tableau1[[#This Row],[TYPE DE PIECE]],Tableau4[MATIERE],Tableau4[SHORT TYPE],"",0,1)</f>
        <v/>
      </c>
      <c r="N1944">
        <f>IF(ISERR(FIND("DECOUPE",Tableau1[[#This Row],[DESIGNATION]])),"","NEED REF")</f>
        <v/>
      </c>
    </row>
    <row r="1945">
      <c r="B1945" t="n">
        <v>34412056</v>
      </c>
      <c r="C1945" s="2" t="n">
        <v>45212</v>
      </c>
      <c r="D1945" t="inlineStr">
        <is>
          <t>SPEC</t>
        </is>
      </c>
      <c r="E1945" t="inlineStr">
        <is>
          <t>COP OUTPUT GVXL L1</t>
        </is>
      </c>
      <c r="G1945" t="inlineStr">
        <is>
          <t>GVXL</t>
        </is>
      </c>
      <c r="H1945" t="inlineStr">
        <is>
          <t>IO</t>
        </is>
      </c>
      <c r="I1945" t="inlineStr">
        <is>
          <t>1250kVA</t>
        </is>
      </c>
      <c r="J1945" t="inlineStr">
        <is>
          <t>Rodriguez</t>
        </is>
      </c>
      <c r="K1945" t="inlineStr">
        <is>
          <t>CUIVRE</t>
        </is>
      </c>
      <c r="L1945">
        <f>_xlfn.XLOOKUP(Tableau1[[#This Row],[TYPE DE PIECE]],Tableau4[MATIERE],Tableau4[SHORT TYPE],"",0,1)</f>
        <v/>
      </c>
      <c r="N1945">
        <f>IF(ISERR(FIND("DECOUPE",Tableau1[[#This Row],[DESIGNATION]])),"","NEED REF")</f>
        <v/>
      </c>
    </row>
    <row r="1946">
      <c r="B1946" t="n">
        <v>34412055</v>
      </c>
      <c r="C1946" s="2" t="n">
        <v>45211</v>
      </c>
      <c r="D1946" t="inlineStr">
        <is>
          <t>SPEC</t>
        </is>
      </c>
      <c r="E1946" t="inlineStr">
        <is>
          <t>STRUCT.1900 4/630A 4POLES STS UPSILON_ETO</t>
        </is>
      </c>
      <c r="H1946" t="inlineStr">
        <is>
          <t>STS</t>
        </is>
      </c>
      <c r="I1946" t="inlineStr">
        <is>
          <t>400-630A</t>
        </is>
      </c>
      <c r="J1946" t="inlineStr">
        <is>
          <t>MONGELLI</t>
        </is>
      </c>
      <c r="K1946" t="inlineStr">
        <is>
          <t>NOM</t>
        </is>
      </c>
      <c r="L1946">
        <f>_xlfn.XLOOKUP(Tableau1[[#This Row],[TYPE DE PIECE]],Tableau4[MATIERE],Tableau4[SHORT TYPE],"",0,1)</f>
        <v/>
      </c>
      <c r="N1946">
        <f>IF(ISERR(FIND("DECOUPE",Tableau1[[#This Row],[DESIGNATION]])),"","NEED REF")</f>
        <v/>
      </c>
    </row>
    <row r="1947">
      <c r="B1947" t="n">
        <v>34412054</v>
      </c>
      <c r="C1947" s="2" t="n">
        <v>45211</v>
      </c>
      <c r="D1947" t="inlineStr">
        <is>
          <t>SPEC</t>
        </is>
      </c>
      <c r="E1947" t="inlineStr">
        <is>
          <t>PLA PLAQUE ISOLANTE GVXL</t>
        </is>
      </c>
      <c r="G1947" t="inlineStr">
        <is>
          <t>GVXL</t>
        </is>
      </c>
      <c r="H1947" t="inlineStr">
        <is>
          <t>IO</t>
        </is>
      </c>
      <c r="I1947" t="inlineStr">
        <is>
          <t>1250kVA</t>
        </is>
      </c>
      <c r="J1947" t="inlineStr">
        <is>
          <t>Rodriguez</t>
        </is>
      </c>
      <c r="K1947" t="inlineStr">
        <is>
          <t>PLASTIQUE</t>
        </is>
      </c>
      <c r="L1947">
        <f>_xlfn.XLOOKUP(Tableau1[[#This Row],[TYPE DE PIECE]],Tableau4[MATIERE],Tableau4[SHORT TYPE],"",0,1)</f>
        <v/>
      </c>
      <c r="N1947">
        <f>IF(ISERR(FIND("DECOUPE",Tableau1[[#This Row],[DESIGNATION]])),"","NEED REF")</f>
        <v/>
      </c>
    </row>
    <row r="1948">
      <c r="B1948" t="n">
        <v>34412053</v>
      </c>
      <c r="C1948" s="2" t="n">
        <v>45211</v>
      </c>
      <c r="D1948" t="inlineStr">
        <is>
          <t>SPEC</t>
        </is>
      </c>
      <c r="E1948" t="inlineStr">
        <is>
          <t>SMT 34412053  STS 1250A MOYEN MONTAGE</t>
        </is>
      </c>
      <c r="H1948" t="inlineStr">
        <is>
          <t>STS</t>
        </is>
      </c>
      <c r="I1948" t="inlineStr">
        <is>
          <t>1250A</t>
        </is>
      </c>
      <c r="J1948" t="inlineStr">
        <is>
          <t>MATRION</t>
        </is>
      </c>
      <c r="K1948" t="inlineStr">
        <is>
          <t>METAL</t>
        </is>
      </c>
      <c r="L1948">
        <f>_xlfn.XLOOKUP(Tableau1[[#This Row],[TYPE DE PIECE]],Tableau4[MATIERE],Tableau4[SHORT TYPE],"",0,1)</f>
        <v/>
      </c>
      <c r="N1948">
        <f>IF(ISERR(FIND("DECOUPE",Tableau1[[#This Row],[DESIGNATION]])),"","NEED REF")</f>
        <v/>
      </c>
    </row>
    <row r="1949">
      <c r="B1949" t="n">
        <v>34412052</v>
      </c>
      <c r="C1949" s="2" t="n">
        <v>45210</v>
      </c>
      <c r="D1949" t="inlineStr">
        <is>
          <t>SPEC</t>
        </is>
      </c>
      <c r="E1949" t="inlineStr">
        <is>
          <t>ASSY INTEGRATION 630A STS_ETO</t>
        </is>
      </c>
      <c r="H1949" t="inlineStr">
        <is>
          <t>STS</t>
        </is>
      </c>
      <c r="I1949" t="inlineStr">
        <is>
          <t>400-630A</t>
        </is>
      </c>
      <c r="J1949" t="inlineStr">
        <is>
          <t>MONGELLI</t>
        </is>
      </c>
      <c r="K1949" t="inlineStr">
        <is>
          <t>NOM</t>
        </is>
      </c>
      <c r="L1949">
        <f>_xlfn.XLOOKUP(Tableau1[[#This Row],[TYPE DE PIECE]],Tableau4[MATIERE],Tableau4[SHORT TYPE],"",0,1)</f>
        <v/>
      </c>
      <c r="N1949">
        <f>IF(ISERR(FIND("DECOUPE",Tableau1[[#This Row],[DESIGNATION]])),"","NEED REF")</f>
        <v/>
      </c>
    </row>
    <row r="1950">
      <c r="B1950" t="n">
        <v>34412051</v>
      </c>
      <c r="C1950" s="2" t="n">
        <v>45210</v>
      </c>
      <c r="D1950" t="inlineStr">
        <is>
          <t>SPEC</t>
        </is>
      </c>
      <c r="E1950" t="inlineStr">
        <is>
          <t>COP BRETELLE</t>
        </is>
      </c>
      <c r="F1950" t="inlineStr">
        <is>
          <t>QSFE77068</t>
        </is>
      </c>
      <c r="G1950" t="inlineStr">
        <is>
          <t>GVX</t>
        </is>
      </c>
      <c r="H1950" t="inlineStr">
        <is>
          <t>BCB</t>
        </is>
      </c>
      <c r="I1950" t="inlineStr">
        <is>
          <t>1500kVA</t>
        </is>
      </c>
      <c r="J1950" t="inlineStr">
        <is>
          <t>BERNARDEAU</t>
        </is>
      </c>
      <c r="K1950" t="inlineStr">
        <is>
          <t>CUIVRE</t>
        </is>
      </c>
      <c r="L1950">
        <f>_xlfn.XLOOKUP(Tableau1[[#This Row],[TYPE DE PIECE]],Tableau4[MATIERE],Tableau4[SHORT TYPE],"",0,1)</f>
        <v/>
      </c>
      <c r="N1950">
        <f>IF(ISERR(FIND("DECOUPE",Tableau1[[#This Row],[DESIGNATION]])),"","NEED REF")</f>
        <v/>
      </c>
    </row>
    <row r="1951">
      <c r="B1951" t="n">
        <v>34412050</v>
      </c>
      <c r="C1951" s="2" t="n">
        <v>45210</v>
      </c>
      <c r="D1951" t="inlineStr">
        <is>
          <t>SPEC</t>
        </is>
      </c>
      <c r="E1951" t="inlineStr">
        <is>
          <t>COP LIAISON BRETELLE</t>
        </is>
      </c>
      <c r="F1951" t="inlineStr">
        <is>
          <t>QSFE77068</t>
        </is>
      </c>
      <c r="G1951" t="inlineStr">
        <is>
          <t>GVX</t>
        </is>
      </c>
      <c r="H1951" t="inlineStr">
        <is>
          <t>BCB</t>
        </is>
      </c>
      <c r="I1951" t="inlineStr">
        <is>
          <t>1500kVA</t>
        </is>
      </c>
      <c r="J1951" t="inlineStr">
        <is>
          <t>BERNARDEAU</t>
        </is>
      </c>
      <c r="K1951" t="inlineStr">
        <is>
          <t>CUIVRE</t>
        </is>
      </c>
      <c r="L1951">
        <f>_xlfn.XLOOKUP(Tableau1[[#This Row],[TYPE DE PIECE]],Tableau4[MATIERE],Tableau4[SHORT TYPE],"",0,1)</f>
        <v/>
      </c>
      <c r="N1951">
        <f>IF(ISERR(FIND("DECOUPE",Tableau1[[#This Row],[DESIGNATION]])),"","NEED REF")</f>
        <v/>
      </c>
    </row>
    <row r="1952">
      <c r="B1952" t="n">
        <v>34412049</v>
      </c>
      <c r="C1952" s="2" t="n">
        <v>45210</v>
      </c>
      <c r="D1952" t="inlineStr">
        <is>
          <t>SPEC</t>
        </is>
      </c>
      <c r="E1952" t="inlineStr">
        <is>
          <t>STRUCTURE 630A STS H=1900_ETO</t>
        </is>
      </c>
      <c r="H1952" t="inlineStr">
        <is>
          <t>STS</t>
        </is>
      </c>
      <c r="I1952" t="inlineStr">
        <is>
          <t>400-630A</t>
        </is>
      </c>
      <c r="J1952" t="inlineStr">
        <is>
          <t>MONGELLI</t>
        </is>
      </c>
      <c r="K1952" t="inlineStr">
        <is>
          <t>NOM</t>
        </is>
      </c>
      <c r="L1952">
        <f>_xlfn.XLOOKUP(Tableau1[[#This Row],[TYPE DE PIECE]],Tableau4[MATIERE],Tableau4[SHORT TYPE],"",0,1)</f>
        <v/>
      </c>
      <c r="N1952">
        <f>IF(ISERR(FIND("DECOUPE",Tableau1[[#This Row],[DESIGNATION]])),"","NEED REF")</f>
        <v/>
      </c>
    </row>
    <row r="1953">
      <c r="B1953" t="n">
        <v>34412048</v>
      </c>
      <c r="C1953" s="2" t="n">
        <v>45210</v>
      </c>
      <c r="D1953" t="inlineStr">
        <is>
          <t>SPEC</t>
        </is>
      </c>
      <c r="E1953" t="inlineStr">
        <is>
          <t>SMT 34412048  STS 1250A SUPPORT ARR MODULE ELEC 2</t>
        </is>
      </c>
      <c r="H1953" t="inlineStr">
        <is>
          <t>STS</t>
        </is>
      </c>
      <c r="I1953" t="inlineStr">
        <is>
          <t>1250A</t>
        </is>
      </c>
      <c r="J1953" t="inlineStr">
        <is>
          <t>MATRION</t>
        </is>
      </c>
      <c r="K1953" t="inlineStr">
        <is>
          <t>METAL</t>
        </is>
      </c>
      <c r="L1953">
        <f>_xlfn.XLOOKUP(Tableau1[[#This Row],[TYPE DE PIECE]],Tableau4[MATIERE],Tableau4[SHORT TYPE],"",0,1)</f>
        <v/>
      </c>
      <c r="N1953">
        <f>IF(ISERR(FIND("DECOUPE",Tableau1[[#This Row],[DESIGNATION]])),"","NEED REF")</f>
        <v/>
      </c>
    </row>
    <row r="1954">
      <c r="B1954" t="n">
        <v>34412047</v>
      </c>
      <c r="C1954" s="2" t="n">
        <v>45210</v>
      </c>
      <c r="D1954" t="inlineStr">
        <is>
          <t>SPEC</t>
        </is>
      </c>
      <c r="E1954" t="inlineStr">
        <is>
          <t>SMT 34412047  STS 1250A SUPPORT ARR MODULE ELEC 1</t>
        </is>
      </c>
      <c r="H1954" t="inlineStr">
        <is>
          <t>STS</t>
        </is>
      </c>
      <c r="I1954" t="inlineStr">
        <is>
          <t>1250A</t>
        </is>
      </c>
      <c r="J1954" t="inlineStr">
        <is>
          <t>MATRION</t>
        </is>
      </c>
      <c r="K1954" t="inlineStr">
        <is>
          <t>METAL</t>
        </is>
      </c>
      <c r="L1954">
        <f>_xlfn.XLOOKUP(Tableau1[[#This Row],[TYPE DE PIECE]],Tableau4[MATIERE],Tableau4[SHORT TYPE],"",0,1)</f>
        <v/>
      </c>
      <c r="N1954">
        <f>IF(ISERR(FIND("DECOUPE",Tableau1[[#This Row],[DESIGNATION]])),"","NEED REF")</f>
        <v/>
      </c>
    </row>
    <row r="1955">
      <c r="B1955" t="n">
        <v>34412046</v>
      </c>
      <c r="C1955" s="2" t="n">
        <v>45210</v>
      </c>
      <c r="D1955" t="inlineStr">
        <is>
          <t>SPEC</t>
        </is>
      </c>
      <c r="E1955" t="inlineStr">
        <is>
          <t>ASSY PLATE BY-PASS 630A STS_ETO</t>
        </is>
      </c>
      <c r="H1955" t="inlineStr">
        <is>
          <t>STS</t>
        </is>
      </c>
      <c r="I1955" t="inlineStr">
        <is>
          <t>400-630A</t>
        </is>
      </c>
      <c r="J1955" t="inlineStr">
        <is>
          <t>MONGELLI</t>
        </is>
      </c>
      <c r="K1955" t="inlineStr">
        <is>
          <t>NOM</t>
        </is>
      </c>
      <c r="L1955">
        <f>_xlfn.XLOOKUP(Tableau1[[#This Row],[TYPE DE PIECE]],Tableau4[MATIERE],Tableau4[SHORT TYPE],"",0,1)</f>
        <v/>
      </c>
      <c r="N1955">
        <f>IF(ISERR(FIND("DECOUPE",Tableau1[[#This Row],[DESIGNATION]])),"","NEED REF")</f>
        <v/>
      </c>
    </row>
    <row r="1956">
      <c r="B1956" t="n">
        <v>34412045</v>
      </c>
      <c r="C1956" s="2" t="n">
        <v>45210</v>
      </c>
      <c r="D1956" t="inlineStr">
        <is>
          <t>SPEC</t>
        </is>
      </c>
      <c r="E1956" t="inlineStr">
        <is>
          <t>ASSY FINISH-PACK STS 630A H=1900_ETO</t>
        </is>
      </c>
      <c r="H1956" t="inlineStr">
        <is>
          <t>STS</t>
        </is>
      </c>
      <c r="I1956" t="inlineStr">
        <is>
          <t>400-630A</t>
        </is>
      </c>
      <c r="J1956" t="inlineStr">
        <is>
          <t>MONGELLI</t>
        </is>
      </c>
      <c r="K1956" t="inlineStr">
        <is>
          <t>NOM</t>
        </is>
      </c>
      <c r="L1956">
        <f>_xlfn.XLOOKUP(Tableau1[[#This Row],[TYPE DE PIECE]],Tableau4[MATIERE],Tableau4[SHORT TYPE],"",0,1)</f>
        <v/>
      </c>
      <c r="N1956">
        <f>IF(ISERR(FIND("DECOUPE",Tableau1[[#This Row],[DESIGNATION]])),"","NEED REF")</f>
        <v/>
      </c>
    </row>
    <row r="1957">
      <c r="B1957" t="n">
        <v>34412044</v>
      </c>
      <c r="C1957" s="2" t="n">
        <v>45210</v>
      </c>
      <c r="D1957" t="inlineStr">
        <is>
          <t>SPEC</t>
        </is>
      </c>
      <c r="E1957" t="inlineStr">
        <is>
          <t>SMT TOIT FEEDERS SE 4</t>
        </is>
      </c>
      <c r="G1957" t="inlineStr">
        <is>
          <t>GVXL</t>
        </is>
      </c>
      <c r="H1957" t="inlineStr">
        <is>
          <t>IO</t>
        </is>
      </c>
      <c r="I1957" t="inlineStr">
        <is>
          <t>1250kVA</t>
        </is>
      </c>
      <c r="J1957" t="inlineStr">
        <is>
          <t>Rodriguez</t>
        </is>
      </c>
      <c r="K1957" t="inlineStr">
        <is>
          <t>METAL</t>
        </is>
      </c>
      <c r="L1957">
        <f>_xlfn.XLOOKUP(Tableau1[[#This Row],[TYPE DE PIECE]],Tableau4[MATIERE],Tableau4[SHORT TYPE],"",0,1)</f>
        <v/>
      </c>
      <c r="N1957">
        <f>IF(ISERR(FIND("DECOUPE",Tableau1[[#This Row],[DESIGNATION]])),"","NEED REF")</f>
        <v/>
      </c>
    </row>
    <row r="1958">
      <c r="B1958" t="n">
        <v>34412043</v>
      </c>
      <c r="C1958" s="2" t="n">
        <v>45210</v>
      </c>
      <c r="D1958" t="inlineStr">
        <is>
          <t>SPEC</t>
        </is>
      </c>
      <c r="E1958" t="inlineStr">
        <is>
          <t>SMT TOIT FEEDERS SE 3</t>
        </is>
      </c>
      <c r="G1958" t="inlineStr">
        <is>
          <t>GVXL</t>
        </is>
      </c>
      <c r="H1958" t="inlineStr">
        <is>
          <t>IO</t>
        </is>
      </c>
      <c r="I1958" t="inlineStr">
        <is>
          <t>1250kVA</t>
        </is>
      </c>
      <c r="J1958" t="inlineStr">
        <is>
          <t>Rodriguez</t>
        </is>
      </c>
      <c r="K1958" t="inlineStr">
        <is>
          <t>METAL</t>
        </is>
      </c>
      <c r="L1958">
        <f>_xlfn.XLOOKUP(Tableau1[[#This Row],[TYPE DE PIECE]],Tableau4[MATIERE],Tableau4[SHORT TYPE],"",0,1)</f>
        <v/>
      </c>
      <c r="N1958">
        <f>IF(ISERR(FIND("DECOUPE",Tableau1[[#This Row],[DESIGNATION]])),"","NEED REF")</f>
        <v/>
      </c>
    </row>
    <row r="1959">
      <c r="B1959" t="n">
        <v>34412042</v>
      </c>
      <c r="C1959" s="2" t="n">
        <v>45210</v>
      </c>
      <c r="D1959" t="inlineStr">
        <is>
          <t>SPEC</t>
        </is>
      </c>
      <c r="E1959" t="inlineStr">
        <is>
          <t>SMT TOIT FEEDERS SE 2</t>
        </is>
      </c>
      <c r="G1959" t="inlineStr">
        <is>
          <t>GVXL</t>
        </is>
      </c>
      <c r="H1959" t="inlineStr">
        <is>
          <t>IO</t>
        </is>
      </c>
      <c r="I1959" t="inlineStr">
        <is>
          <t>1250kVA</t>
        </is>
      </c>
      <c r="J1959" t="inlineStr">
        <is>
          <t>Rodriguez</t>
        </is>
      </c>
      <c r="K1959" t="inlineStr">
        <is>
          <t>METAL</t>
        </is>
      </c>
      <c r="L1959">
        <f>_xlfn.XLOOKUP(Tableau1[[#This Row],[TYPE DE PIECE]],Tableau4[MATIERE],Tableau4[SHORT TYPE],"",0,1)</f>
        <v/>
      </c>
      <c r="N1959">
        <f>IF(ISERR(FIND("DECOUPE",Tableau1[[#This Row],[DESIGNATION]])),"","NEED REF")</f>
        <v/>
      </c>
    </row>
    <row r="1960">
      <c r="B1960" t="n">
        <v>34412041</v>
      </c>
      <c r="C1960" s="2" t="n">
        <v>45210</v>
      </c>
      <c r="D1960" t="inlineStr">
        <is>
          <t>SPEC</t>
        </is>
      </c>
      <c r="E1960" t="inlineStr">
        <is>
          <t>SMT TOIT FEEDERS SE 1</t>
        </is>
      </c>
      <c r="G1960" t="inlineStr">
        <is>
          <t>GVXL</t>
        </is>
      </c>
      <c r="H1960" t="inlineStr">
        <is>
          <t>IO</t>
        </is>
      </c>
      <c r="I1960" t="inlineStr">
        <is>
          <t>1250kVA</t>
        </is>
      </c>
      <c r="J1960" t="inlineStr">
        <is>
          <t>Rodriguez</t>
        </is>
      </c>
      <c r="K1960" t="inlineStr">
        <is>
          <t>METAL</t>
        </is>
      </c>
      <c r="L1960">
        <f>_xlfn.XLOOKUP(Tableau1[[#This Row],[TYPE DE PIECE]],Tableau4[MATIERE],Tableau4[SHORT TYPE],"",0,1)</f>
        <v/>
      </c>
      <c r="N1960">
        <f>IF(ISERR(FIND("DECOUPE",Tableau1[[#This Row],[DESIGNATION]])),"","NEED REF")</f>
        <v/>
      </c>
    </row>
    <row r="1961">
      <c r="B1961" t="n">
        <v>34412040</v>
      </c>
      <c r="C1961" s="2" t="n">
        <v>45209</v>
      </c>
      <c r="D1961" t="inlineStr">
        <is>
          <t>SPEC</t>
        </is>
      </c>
      <c r="E1961" t="inlineStr">
        <is>
          <t>SMT 34412040  STS 1250A PLATINE NEUTRE COUPE</t>
        </is>
      </c>
      <c r="H1961" t="inlineStr">
        <is>
          <t>STS</t>
        </is>
      </c>
      <c r="I1961" t="inlineStr">
        <is>
          <t>1250A</t>
        </is>
      </c>
      <c r="J1961" t="inlineStr">
        <is>
          <t>MATRION</t>
        </is>
      </c>
      <c r="K1961" t="inlineStr">
        <is>
          <t>METAL</t>
        </is>
      </c>
      <c r="L1961">
        <f>_xlfn.XLOOKUP(Tableau1[[#This Row],[TYPE DE PIECE]],Tableau4[MATIERE],Tableau4[SHORT TYPE],"",0,1)</f>
        <v/>
      </c>
      <c r="N1961">
        <f>IF(ISERR(FIND("DECOUPE",Tableau1[[#This Row],[DESIGNATION]])),"","NEED REF")</f>
        <v/>
      </c>
    </row>
    <row r="1962">
      <c r="B1962" t="n">
        <v>34412039</v>
      </c>
      <c r="C1962" s="2" t="n">
        <v>45209</v>
      </c>
      <c r="D1962" t="inlineStr">
        <is>
          <t>SPEC</t>
        </is>
      </c>
      <c r="E1962" t="inlineStr">
        <is>
          <t>COP 34412039  STS 1250A  TYRISTOR NEUTRE COUPE 2</t>
        </is>
      </c>
      <c r="H1962" t="inlineStr">
        <is>
          <t>STS</t>
        </is>
      </c>
      <c r="I1962" t="inlineStr">
        <is>
          <t>1250A</t>
        </is>
      </c>
      <c r="J1962" t="inlineStr">
        <is>
          <t>MATRION</t>
        </is>
      </c>
      <c r="K1962" t="inlineStr">
        <is>
          <t>CUIVRE</t>
        </is>
      </c>
      <c r="L1962">
        <f>_xlfn.XLOOKUP(Tableau1[[#This Row],[TYPE DE PIECE]],Tableau4[MATIERE],Tableau4[SHORT TYPE],"",0,1)</f>
        <v/>
      </c>
      <c r="N1962">
        <f>IF(ISERR(FIND("DECOUPE",Tableau1[[#This Row],[DESIGNATION]])),"","NEED REF")</f>
        <v/>
      </c>
    </row>
    <row r="1963">
      <c r="B1963" t="n">
        <v>34412038</v>
      </c>
      <c r="C1963" s="2" t="n">
        <v>45209</v>
      </c>
      <c r="D1963" t="inlineStr">
        <is>
          <t>SPEC</t>
        </is>
      </c>
      <c r="E1963" t="inlineStr">
        <is>
          <t>COP 34412037  STS 1250A CONTACTEUR NEUTRE COUPE 2</t>
        </is>
      </c>
      <c r="H1963" t="inlineStr">
        <is>
          <t>STS</t>
        </is>
      </c>
      <c r="I1963" t="inlineStr">
        <is>
          <t>1250A</t>
        </is>
      </c>
      <c r="J1963" t="inlineStr">
        <is>
          <t>MATRION</t>
        </is>
      </c>
      <c r="K1963" t="inlineStr">
        <is>
          <t>CUIVRE</t>
        </is>
      </c>
      <c r="L1963">
        <f>_xlfn.XLOOKUP(Tableau1[[#This Row],[TYPE DE PIECE]],Tableau4[MATIERE],Tableau4[SHORT TYPE],"",0,1)</f>
        <v/>
      </c>
      <c r="N1963">
        <f>IF(ISERR(FIND("DECOUPE",Tableau1[[#This Row],[DESIGNATION]])),"","NEED REF")</f>
        <v/>
      </c>
    </row>
    <row r="1964">
      <c r="B1964" t="n">
        <v>34412037</v>
      </c>
      <c r="C1964" s="2" t="n">
        <v>45209</v>
      </c>
      <c r="D1964" t="inlineStr">
        <is>
          <t>SPEC</t>
        </is>
      </c>
      <c r="E1964" t="inlineStr">
        <is>
          <t>COP 34412037  STS 1250A CONTACTEUR NEUTRE COUPE 1</t>
        </is>
      </c>
      <c r="H1964" t="inlineStr">
        <is>
          <t>STS</t>
        </is>
      </c>
      <c r="I1964" t="inlineStr">
        <is>
          <t>1250A</t>
        </is>
      </c>
      <c r="J1964" t="inlineStr">
        <is>
          <t>MATRION</t>
        </is>
      </c>
      <c r="K1964" t="inlineStr">
        <is>
          <t>CUIVRE</t>
        </is>
      </c>
      <c r="L1964">
        <f>_xlfn.XLOOKUP(Tableau1[[#This Row],[TYPE DE PIECE]],Tableau4[MATIERE],Tableau4[SHORT TYPE],"",0,1)</f>
        <v/>
      </c>
      <c r="N1964">
        <f>IF(ISERR(FIND("DECOUPE",Tableau1[[#This Row],[DESIGNATION]])),"","NEED REF")</f>
        <v/>
      </c>
    </row>
    <row r="1965">
      <c r="B1965" t="n">
        <v>34412036</v>
      </c>
      <c r="C1965" s="2" t="n">
        <v>45209</v>
      </c>
      <c r="D1965" t="inlineStr">
        <is>
          <t>SPEC</t>
        </is>
      </c>
      <c r="E1965" t="inlineStr">
        <is>
          <t>COP 34412036  STS 1250A TYRISTOR NEUTRE COUPE 1</t>
        </is>
      </c>
      <c r="H1965" t="inlineStr">
        <is>
          <t>STS</t>
        </is>
      </c>
      <c r="I1965" t="inlineStr">
        <is>
          <t>1250A</t>
        </is>
      </c>
      <c r="J1965" t="inlineStr">
        <is>
          <t>MATRION</t>
        </is>
      </c>
      <c r="K1965" t="inlineStr">
        <is>
          <t>CUIVRE</t>
        </is>
      </c>
      <c r="L1965">
        <f>_xlfn.XLOOKUP(Tableau1[[#This Row],[TYPE DE PIECE]],Tableau4[MATIERE],Tableau4[SHORT TYPE],"",0,1)</f>
        <v/>
      </c>
      <c r="N1965">
        <f>IF(ISERR(FIND("DECOUPE",Tableau1[[#This Row],[DESIGNATION]])),"","NEED REF")</f>
        <v/>
      </c>
    </row>
    <row r="1966">
      <c r="B1966" t="n">
        <v>34412035</v>
      </c>
      <c r="C1966" s="2" t="n">
        <v>45209</v>
      </c>
      <c r="D1966" t="inlineStr">
        <is>
          <t>SPEC</t>
        </is>
      </c>
      <c r="E1966" t="inlineStr">
        <is>
          <t>COP 34412035  STS 1250A CANON NC</t>
        </is>
      </c>
      <c r="H1966" t="inlineStr">
        <is>
          <t>STS</t>
        </is>
      </c>
      <c r="I1966" t="inlineStr">
        <is>
          <t>1250A</t>
        </is>
      </c>
      <c r="J1966" t="inlineStr">
        <is>
          <t>MATRION</t>
        </is>
      </c>
      <c r="K1966" t="inlineStr">
        <is>
          <t>CUIVRE</t>
        </is>
      </c>
      <c r="L1966">
        <f>_xlfn.XLOOKUP(Tableau1[[#This Row],[TYPE DE PIECE]],Tableau4[MATIERE],Tableau4[SHORT TYPE],"",0,1)</f>
        <v/>
      </c>
      <c r="N1966">
        <f>IF(ISERR(FIND("DECOUPE",Tableau1[[#This Row],[DESIGNATION]])),"","NEED REF")</f>
        <v/>
      </c>
    </row>
    <row r="1967">
      <c r="B1967" t="n">
        <v>34412034</v>
      </c>
      <c r="C1967" s="2" t="n">
        <v>45208</v>
      </c>
      <c r="D1967" t="inlineStr">
        <is>
          <t>SPEC</t>
        </is>
      </c>
      <c r="E1967" t="inlineStr">
        <is>
          <t>STRUCTURE 100-250A STS H=1900</t>
        </is>
      </c>
      <c r="G1967" t="inlineStr">
        <is>
          <t>UPSILON</t>
        </is>
      </c>
      <c r="H1967" t="inlineStr">
        <is>
          <t>STS</t>
        </is>
      </c>
      <c r="I1967" t="inlineStr">
        <is>
          <t>100-250A</t>
        </is>
      </c>
      <c r="J1967" t="inlineStr">
        <is>
          <t>MONGELLI</t>
        </is>
      </c>
      <c r="K1967" t="inlineStr">
        <is>
          <t>NOM</t>
        </is>
      </c>
      <c r="L1967">
        <f>_xlfn.XLOOKUP(Tableau1[[#This Row],[TYPE DE PIECE]],Tableau4[MATIERE],Tableau4[SHORT TYPE],"",0,1)</f>
        <v/>
      </c>
      <c r="N1967">
        <f>IF(ISERR(FIND("DECOUPE",Tableau1[[#This Row],[DESIGNATION]])),"","NEED REF")</f>
        <v/>
      </c>
    </row>
    <row r="1968">
      <c r="B1968" t="n">
        <v>34412033</v>
      </c>
      <c r="C1968" s="2" t="n">
        <v>45208</v>
      </c>
      <c r="D1968" t="inlineStr">
        <is>
          <t>SPEC</t>
        </is>
      </c>
      <c r="E1968" t="inlineStr">
        <is>
          <t>ASSY DOOR + MMI STS H=1900_ETO</t>
        </is>
      </c>
      <c r="G1968" t="inlineStr">
        <is>
          <t>UPSILON</t>
        </is>
      </c>
      <c r="H1968" t="inlineStr">
        <is>
          <t>STS</t>
        </is>
      </c>
      <c r="I1968" t="inlineStr">
        <is>
          <t>250A</t>
        </is>
      </c>
      <c r="J1968" t="inlineStr">
        <is>
          <t>MONGELLI</t>
        </is>
      </c>
      <c r="K1968" t="inlineStr">
        <is>
          <t>NOM</t>
        </is>
      </c>
      <c r="L1968">
        <f>_xlfn.XLOOKUP(Tableau1[[#This Row],[TYPE DE PIECE]],Tableau4[MATIERE],Tableau4[SHORT TYPE],"",0,1)</f>
        <v/>
      </c>
      <c r="N1968">
        <f>IF(ISERR(FIND("DECOUPE",Tableau1[[#This Row],[DESIGNATION]])),"","NEED REF")</f>
        <v/>
      </c>
    </row>
    <row r="1969">
      <c r="B1969" t="n">
        <v>34412032</v>
      </c>
      <c r="C1969" s="2" t="n">
        <v>45208</v>
      </c>
      <c r="D1969" t="inlineStr">
        <is>
          <t>SPEC</t>
        </is>
      </c>
      <c r="E1969" t="inlineStr">
        <is>
          <t>ASSY FINISH-PACK STS 100-250A H=1900_ETO</t>
        </is>
      </c>
      <c r="G1969" t="inlineStr">
        <is>
          <t>UPSILON</t>
        </is>
      </c>
      <c r="H1969" t="inlineStr">
        <is>
          <t>STS</t>
        </is>
      </c>
      <c r="I1969" t="inlineStr">
        <is>
          <t>250A</t>
        </is>
      </c>
      <c r="J1969" t="inlineStr">
        <is>
          <t>MONGELLI</t>
        </is>
      </c>
      <c r="K1969" t="inlineStr">
        <is>
          <t>NOM</t>
        </is>
      </c>
      <c r="L1969">
        <f>_xlfn.XLOOKUP(Tableau1[[#This Row],[TYPE DE PIECE]],Tableau4[MATIERE],Tableau4[SHORT TYPE],"",0,1)</f>
        <v/>
      </c>
      <c r="N1969">
        <f>IF(ISERR(FIND("DECOUPE",Tableau1[[#This Row],[DESIGNATION]])),"","NEED REF")</f>
        <v/>
      </c>
    </row>
    <row r="1970">
      <c r="B1970" t="n">
        <v>34412031</v>
      </c>
      <c r="C1970" s="2" t="n">
        <v>45208</v>
      </c>
      <c r="D1970" t="inlineStr">
        <is>
          <t>SPEC</t>
        </is>
      </c>
      <c r="E1970" t="inlineStr">
        <is>
          <t>SE NEUTRE COUPE STS1250A NOUVEAUX CONTACTEURS</t>
        </is>
      </c>
      <c r="F1970" t="inlineStr">
        <is>
          <t>STS1250</t>
        </is>
      </c>
      <c r="G1970" t="inlineStr">
        <is>
          <t>GVE</t>
        </is>
      </c>
      <c r="H1970" t="inlineStr">
        <is>
          <t>STS</t>
        </is>
      </c>
      <c r="J1970" t="inlineStr">
        <is>
          <t>MATRION</t>
        </is>
      </c>
      <c r="K1970" t="inlineStr">
        <is>
          <t>NOM</t>
        </is>
      </c>
      <c r="L1970">
        <f>_xlfn.XLOOKUP(Tableau1[[#This Row],[TYPE DE PIECE]],Tableau4[MATIERE],Tableau4[SHORT TYPE],"",0,1)</f>
        <v/>
      </c>
      <c r="N1970">
        <f>IF(ISERR(FIND("DECOUPE",Tableau1[[#This Row],[DESIGNATION]])),"","NEED REF")</f>
        <v/>
      </c>
    </row>
    <row r="1971">
      <c r="B1971" t="n">
        <v>34412030</v>
      </c>
      <c r="C1971" s="2" t="n">
        <v>45208</v>
      </c>
      <c r="D1971" t="inlineStr">
        <is>
          <t>SPEC</t>
        </is>
      </c>
      <c r="E1971" t="inlineStr">
        <is>
          <t xml:space="preserve">ARMOIRE SAREL </t>
        </is>
      </c>
      <c r="G1971" t="inlineStr">
        <is>
          <t>GVX</t>
        </is>
      </c>
      <c r="H1971" t="inlineStr">
        <is>
          <t>BBC</t>
        </is>
      </c>
      <c r="I1971" t="inlineStr">
        <is>
          <t>500kVA</t>
        </is>
      </c>
      <c r="J1971" t="inlineStr">
        <is>
          <t>JAWORSKI</t>
        </is>
      </c>
      <c r="K1971" t="inlineStr">
        <is>
          <t>SAREL</t>
        </is>
      </c>
      <c r="L1971">
        <f>_xlfn.XLOOKUP(Tableau1[[#This Row],[TYPE DE PIECE]],Tableau4[MATIERE],Tableau4[SHORT TYPE],"",0,1)</f>
        <v/>
      </c>
      <c r="N1971">
        <f>IF(ISERR(FIND("DECOUPE",Tableau1[[#This Row],[DESIGNATION]])),"","NEED REF")</f>
        <v/>
      </c>
    </row>
    <row r="1972">
      <c r="B1972" t="n">
        <v>34412029</v>
      </c>
      <c r="C1972" s="2" t="n">
        <v>45205</v>
      </c>
      <c r="D1972" t="inlineStr">
        <is>
          <t>SPEC</t>
        </is>
      </c>
      <c r="E1972" t="inlineStr">
        <is>
          <t>COP DC GVXL2</t>
        </is>
      </c>
      <c r="G1972" t="inlineStr">
        <is>
          <t>GVXL</t>
        </is>
      </c>
      <c r="H1972" t="inlineStr">
        <is>
          <t>IO</t>
        </is>
      </c>
      <c r="I1972" t="inlineStr">
        <is>
          <t>1250kVA</t>
        </is>
      </c>
      <c r="J1972" t="inlineStr">
        <is>
          <t>Rodriguez</t>
        </is>
      </c>
      <c r="K1972" t="inlineStr">
        <is>
          <t>CUIVRE</t>
        </is>
      </c>
      <c r="L1972">
        <f>_xlfn.XLOOKUP(Tableau1[[#This Row],[TYPE DE PIECE]],Tableau4[MATIERE],Tableau4[SHORT TYPE],"",0,1)</f>
        <v/>
      </c>
      <c r="N1972">
        <f>IF(ISERR(FIND("DECOUPE",Tableau1[[#This Row],[DESIGNATION]])),"","NEED REF")</f>
        <v/>
      </c>
    </row>
    <row r="1973">
      <c r="B1973" t="n">
        <v>34412028</v>
      </c>
      <c r="C1973" s="2" t="n">
        <v>45205</v>
      </c>
      <c r="D1973" t="inlineStr">
        <is>
          <t>SPEC</t>
        </is>
      </c>
      <c r="E1973" t="inlineStr">
        <is>
          <t>COP 34412028 GVL UPS 500kVA BATTERY TERMINAL 3</t>
        </is>
      </c>
      <c r="G1973" t="inlineStr">
        <is>
          <t>GVL</t>
        </is>
      </c>
      <c r="H1973" t="inlineStr">
        <is>
          <t>UPS</t>
        </is>
      </c>
      <c r="I1973" t="inlineStr">
        <is>
          <t>500kVA</t>
        </is>
      </c>
      <c r="J1973" t="inlineStr">
        <is>
          <t>MATRION</t>
        </is>
      </c>
      <c r="K1973" t="inlineStr">
        <is>
          <t>CUIVRE</t>
        </is>
      </c>
      <c r="L1973">
        <f>_xlfn.XLOOKUP(Tableau1[[#This Row],[TYPE DE PIECE]],Tableau4[MATIERE],Tableau4[SHORT TYPE],"",0,1)</f>
        <v/>
      </c>
      <c r="N1973">
        <f>IF(ISERR(FIND("DECOUPE",Tableau1[[#This Row],[DESIGNATION]])),"","NEED REF")</f>
        <v/>
      </c>
    </row>
    <row r="1974">
      <c r="B1974" t="n">
        <v>34412027</v>
      </c>
      <c r="C1974" s="2" t="n">
        <v>45205</v>
      </c>
      <c r="D1974" t="inlineStr">
        <is>
          <t>SPEC</t>
        </is>
      </c>
      <c r="E1974" t="inlineStr">
        <is>
          <t>COP 34412027 GVL UPS 500kVA BATTERY TERMINAL 2</t>
        </is>
      </c>
      <c r="G1974" t="inlineStr">
        <is>
          <t>GVL</t>
        </is>
      </c>
      <c r="H1974" t="inlineStr">
        <is>
          <t>UPS</t>
        </is>
      </c>
      <c r="I1974" t="inlineStr">
        <is>
          <t>500kVA</t>
        </is>
      </c>
      <c r="J1974" t="inlineStr">
        <is>
          <t>MATRION</t>
        </is>
      </c>
      <c r="K1974" t="inlineStr">
        <is>
          <t>CUIVRE</t>
        </is>
      </c>
      <c r="L1974">
        <f>_xlfn.XLOOKUP(Tableau1[[#This Row],[TYPE DE PIECE]],Tableau4[MATIERE],Tableau4[SHORT TYPE],"",0,1)</f>
        <v/>
      </c>
      <c r="N1974">
        <f>IF(ISERR(FIND("DECOUPE",Tableau1[[#This Row],[DESIGNATION]])),"","NEED REF")</f>
        <v/>
      </c>
    </row>
    <row r="1975">
      <c r="B1975" t="n">
        <v>34412026</v>
      </c>
      <c r="C1975" s="2" t="n">
        <v>45204</v>
      </c>
      <c r="D1975" t="inlineStr">
        <is>
          <t>SPEC</t>
        </is>
      </c>
      <c r="E1975" t="inlineStr">
        <is>
          <t>PLA RENFORT GPO 3</t>
        </is>
      </c>
      <c r="G1975" t="inlineStr">
        <is>
          <t>GVXL</t>
        </is>
      </c>
      <c r="H1975" t="inlineStr">
        <is>
          <t>IO</t>
        </is>
      </c>
      <c r="I1975" t="inlineStr">
        <is>
          <t>1250kVA</t>
        </is>
      </c>
      <c r="J1975" t="inlineStr">
        <is>
          <t>Rodriguez</t>
        </is>
      </c>
      <c r="K1975" t="inlineStr">
        <is>
          <t>EPOXY</t>
        </is>
      </c>
      <c r="L1975">
        <f>_xlfn.XLOOKUP(Tableau1[[#This Row],[TYPE DE PIECE]],Tableau4[MATIERE],Tableau4[SHORT TYPE],"",0,1)</f>
        <v/>
      </c>
      <c r="N1975">
        <f>IF(ISERR(FIND("DECOUPE",Tableau1[[#This Row],[DESIGNATION]])),"","NEED REF")</f>
        <v/>
      </c>
    </row>
    <row r="1976">
      <c r="B1976" t="n">
        <v>34412025</v>
      </c>
      <c r="C1976" s="2" t="n">
        <v>45204</v>
      </c>
      <c r="D1976" t="inlineStr">
        <is>
          <t>SPEC</t>
        </is>
      </c>
      <c r="E1976" t="inlineStr">
        <is>
          <t>PLA RENFORT GPO 2</t>
        </is>
      </c>
      <c r="G1976" t="inlineStr">
        <is>
          <t>GVXL</t>
        </is>
      </c>
      <c r="H1976" t="inlineStr">
        <is>
          <t>IO</t>
        </is>
      </c>
      <c r="I1976" t="inlineStr">
        <is>
          <t>1250kVA</t>
        </is>
      </c>
      <c r="J1976" t="inlineStr">
        <is>
          <t>Rodriguez</t>
        </is>
      </c>
      <c r="K1976" t="inlineStr">
        <is>
          <t>EPOXY</t>
        </is>
      </c>
      <c r="L1976">
        <f>_xlfn.XLOOKUP(Tableau1[[#This Row],[TYPE DE PIECE]],Tableau4[MATIERE],Tableau4[SHORT TYPE],"",0,1)</f>
        <v/>
      </c>
      <c r="N1976">
        <f>IF(ISERR(FIND("DECOUPE",Tableau1[[#This Row],[DESIGNATION]])),"","NEED REF")</f>
        <v/>
      </c>
    </row>
    <row r="1977">
      <c r="B1977" t="n">
        <v>34412024</v>
      </c>
      <c r="C1977" s="2" t="n">
        <v>45204</v>
      </c>
      <c r="D1977" t="inlineStr">
        <is>
          <t>SPEC</t>
        </is>
      </c>
      <c r="E1977" t="inlineStr">
        <is>
          <t>PLA RENFORT GPO 1</t>
        </is>
      </c>
      <c r="G1977" t="inlineStr">
        <is>
          <t>GVXL</t>
        </is>
      </c>
      <c r="H1977" t="inlineStr">
        <is>
          <t>IO</t>
        </is>
      </c>
      <c r="I1977" t="inlineStr">
        <is>
          <t>1250kVA</t>
        </is>
      </c>
      <c r="J1977" t="inlineStr">
        <is>
          <t>Rodriguez</t>
        </is>
      </c>
      <c r="K1977" t="inlineStr">
        <is>
          <t>EPOXY</t>
        </is>
      </c>
      <c r="L1977">
        <f>_xlfn.XLOOKUP(Tableau1[[#This Row],[TYPE DE PIECE]],Tableau4[MATIERE],Tableau4[SHORT TYPE],"",0,1)</f>
        <v/>
      </c>
      <c r="N1977">
        <f>IF(ISERR(FIND("DECOUPE",Tableau1[[#This Row],[DESIGNATION]])),"","NEED REF")</f>
        <v/>
      </c>
    </row>
    <row r="1978">
      <c r="B1978" t="n">
        <v>34412023</v>
      </c>
      <c r="C1978" s="2" t="n">
        <v>45204</v>
      </c>
      <c r="D1978" t="inlineStr">
        <is>
          <t>SPEC</t>
        </is>
      </c>
      <c r="E1978" t="inlineStr">
        <is>
          <t>SMT EQUERRE GPO</t>
        </is>
      </c>
      <c r="G1978" t="inlineStr">
        <is>
          <t>GVXL</t>
        </is>
      </c>
      <c r="H1978" t="inlineStr">
        <is>
          <t>IO</t>
        </is>
      </c>
      <c r="I1978" t="inlineStr">
        <is>
          <t>1250kVA</t>
        </is>
      </c>
      <c r="J1978" t="inlineStr">
        <is>
          <t>Rodriguez</t>
        </is>
      </c>
      <c r="K1978" t="inlineStr">
        <is>
          <t>METAL</t>
        </is>
      </c>
      <c r="L1978">
        <f>_xlfn.XLOOKUP(Tableau1[[#This Row],[TYPE DE PIECE]],Tableau4[MATIERE],Tableau4[SHORT TYPE],"",0,1)</f>
        <v/>
      </c>
      <c r="N1978">
        <f>IF(ISERR(FIND("DECOUPE",Tableau1[[#This Row],[DESIGNATION]])),"","NEED REF")</f>
        <v/>
      </c>
    </row>
    <row r="1979">
      <c r="B1979" t="n">
        <v>34412022</v>
      </c>
      <c r="C1979" s="2" t="n">
        <v>45204</v>
      </c>
      <c r="D1979" t="inlineStr">
        <is>
          <t>SPEC</t>
        </is>
      </c>
      <c r="E1979" t="inlineStr">
        <is>
          <t>COP OUTPUT N</t>
        </is>
      </c>
      <c r="G1979" t="inlineStr">
        <is>
          <t>GVXL</t>
        </is>
      </c>
      <c r="H1979" t="inlineStr">
        <is>
          <t>IO</t>
        </is>
      </c>
      <c r="I1979" t="inlineStr">
        <is>
          <t>1250kVA</t>
        </is>
      </c>
      <c r="J1979" t="inlineStr">
        <is>
          <t>Rodriguez</t>
        </is>
      </c>
      <c r="K1979" t="inlineStr">
        <is>
          <t>CUIVRE</t>
        </is>
      </c>
      <c r="L1979">
        <f>_xlfn.XLOOKUP(Tableau1[[#This Row],[TYPE DE PIECE]],Tableau4[MATIERE],Tableau4[SHORT TYPE],"",0,1)</f>
        <v/>
      </c>
      <c r="N1979">
        <f>IF(ISERR(FIND("DECOUPE",Tableau1[[#This Row],[DESIGNATION]])),"","NEED REF")</f>
        <v/>
      </c>
    </row>
    <row r="1980">
      <c r="B1980" t="n">
        <v>34412021</v>
      </c>
      <c r="C1980" s="2" t="n">
        <v>45204</v>
      </c>
      <c r="D1980" t="inlineStr">
        <is>
          <t>SPEC</t>
        </is>
      </c>
      <c r="E1980" t="inlineStr">
        <is>
          <t>COP INPUT N</t>
        </is>
      </c>
      <c r="G1980" t="inlineStr">
        <is>
          <t>GVXL</t>
        </is>
      </c>
      <c r="H1980" t="inlineStr">
        <is>
          <t>IO</t>
        </is>
      </c>
      <c r="I1980" t="inlineStr">
        <is>
          <t>1250kVA</t>
        </is>
      </c>
      <c r="J1980" t="inlineStr">
        <is>
          <t>Rodriguez</t>
        </is>
      </c>
      <c r="K1980" t="inlineStr">
        <is>
          <t>CUIVRE</t>
        </is>
      </c>
      <c r="L1980">
        <f>_xlfn.XLOOKUP(Tableau1[[#This Row],[TYPE DE PIECE]],Tableau4[MATIERE],Tableau4[SHORT TYPE],"",0,1)</f>
        <v/>
      </c>
      <c r="N1980">
        <f>IF(ISERR(FIND("DECOUPE",Tableau1[[#This Row],[DESIGNATION]])),"","NEED REF")</f>
        <v/>
      </c>
    </row>
    <row r="1981">
      <c r="B1981" t="n">
        <v>34412020</v>
      </c>
      <c r="C1981" s="2" t="n">
        <v>45204</v>
      </c>
      <c r="D1981" t="inlineStr">
        <is>
          <t>SPEC</t>
        </is>
      </c>
      <c r="E1981" t="inlineStr">
        <is>
          <t>COP INPUT L3 GVXL</t>
        </is>
      </c>
      <c r="G1981" t="inlineStr">
        <is>
          <t>GVXL</t>
        </is>
      </c>
      <c r="H1981" t="inlineStr">
        <is>
          <t>IO</t>
        </is>
      </c>
      <c r="I1981" t="inlineStr">
        <is>
          <t>1250kVA</t>
        </is>
      </c>
      <c r="J1981" t="inlineStr">
        <is>
          <t>Rodriguez</t>
        </is>
      </c>
      <c r="K1981" t="inlineStr">
        <is>
          <t>CUIVRE</t>
        </is>
      </c>
      <c r="L1981">
        <f>_xlfn.XLOOKUP(Tableau1[[#This Row],[TYPE DE PIECE]],Tableau4[MATIERE],Tableau4[SHORT TYPE],"",0,1)</f>
        <v/>
      </c>
      <c r="N1981">
        <f>IF(ISERR(FIND("DECOUPE",Tableau1[[#This Row],[DESIGNATION]])),"","NEED REF")</f>
        <v/>
      </c>
    </row>
    <row r="1982">
      <c r="B1982" t="n">
        <v>34412019</v>
      </c>
      <c r="C1982" s="2" t="n">
        <v>45204</v>
      </c>
      <c r="D1982" t="inlineStr">
        <is>
          <t>SPEC</t>
        </is>
      </c>
      <c r="E1982" t="inlineStr">
        <is>
          <t>COP INPUT L2 GVXL</t>
        </is>
      </c>
      <c r="G1982" t="inlineStr">
        <is>
          <t>GVXL</t>
        </is>
      </c>
      <c r="H1982" t="inlineStr">
        <is>
          <t>IO</t>
        </is>
      </c>
      <c r="I1982" t="inlineStr">
        <is>
          <t>1250kVA</t>
        </is>
      </c>
      <c r="J1982" t="inlineStr">
        <is>
          <t>Rodriguez</t>
        </is>
      </c>
      <c r="K1982" t="inlineStr">
        <is>
          <t>CUIVRE</t>
        </is>
      </c>
      <c r="L1982">
        <f>_xlfn.XLOOKUP(Tableau1[[#This Row],[TYPE DE PIECE]],Tableau4[MATIERE],Tableau4[SHORT TYPE],"",0,1)</f>
        <v/>
      </c>
      <c r="N1982">
        <f>IF(ISERR(FIND("DECOUPE",Tableau1[[#This Row],[DESIGNATION]])),"","NEED REF")</f>
        <v/>
      </c>
    </row>
    <row r="1983">
      <c r="B1983" t="n">
        <v>34412018</v>
      </c>
      <c r="C1983" s="2" t="n">
        <v>45204</v>
      </c>
      <c r="D1983" t="inlineStr">
        <is>
          <t>SPEC</t>
        </is>
      </c>
      <c r="E1983" t="inlineStr">
        <is>
          <t>COP INPUT L1 GVXL</t>
        </is>
      </c>
      <c r="G1983" t="inlineStr">
        <is>
          <t>GVXL</t>
        </is>
      </c>
      <c r="H1983" t="inlineStr">
        <is>
          <t>IO</t>
        </is>
      </c>
      <c r="I1983" t="inlineStr">
        <is>
          <t>1250kVA</t>
        </is>
      </c>
      <c r="J1983" t="inlineStr">
        <is>
          <t>Rodriguez</t>
        </is>
      </c>
      <c r="K1983" t="inlineStr">
        <is>
          <t>CUIVRE</t>
        </is>
      </c>
      <c r="L1983">
        <f>_xlfn.XLOOKUP(Tableau1[[#This Row],[TYPE DE PIECE]],Tableau4[MATIERE],Tableau4[SHORT TYPE],"",0,1)</f>
        <v/>
      </c>
      <c r="N1983">
        <f>IF(ISERR(FIND("DECOUPE",Tableau1[[#This Row],[DESIGNATION]])),"","NEED REF")</f>
        <v/>
      </c>
    </row>
    <row r="1984">
      <c r="B1984" t="n">
        <v>34412017</v>
      </c>
      <c r="C1984" s="2" t="n">
        <v>45204</v>
      </c>
      <c r="D1984" t="inlineStr">
        <is>
          <t>SPEC</t>
        </is>
      </c>
      <c r="E1984" t="inlineStr">
        <is>
          <t>COP OUTPUT L3 GVXL</t>
        </is>
      </c>
      <c r="G1984" t="inlineStr">
        <is>
          <t>GVXL</t>
        </is>
      </c>
      <c r="H1984" t="inlineStr">
        <is>
          <t>IO</t>
        </is>
      </c>
      <c r="I1984" t="inlineStr">
        <is>
          <t>1250kVA</t>
        </is>
      </c>
      <c r="J1984" t="inlineStr">
        <is>
          <t>Rodriguez</t>
        </is>
      </c>
      <c r="K1984" t="inlineStr">
        <is>
          <t>CUIVRE</t>
        </is>
      </c>
      <c r="L1984">
        <f>_xlfn.XLOOKUP(Tableau1[[#This Row],[TYPE DE PIECE]],Tableau4[MATIERE],Tableau4[SHORT TYPE],"",0,1)</f>
        <v/>
      </c>
      <c r="N1984">
        <f>IF(ISERR(FIND("DECOUPE",Tableau1[[#This Row],[DESIGNATION]])),"","NEED REF")</f>
        <v/>
      </c>
    </row>
    <row r="1985">
      <c r="B1985" t="n">
        <v>34412016</v>
      </c>
      <c r="C1985" s="2" t="n">
        <v>45204</v>
      </c>
      <c r="D1985" t="inlineStr">
        <is>
          <t>SPEC</t>
        </is>
      </c>
      <c r="E1985" t="inlineStr">
        <is>
          <t>COP OUTPUT L2 GVXL</t>
        </is>
      </c>
      <c r="G1985" t="inlineStr">
        <is>
          <t>GVXL</t>
        </is>
      </c>
      <c r="H1985" t="inlineStr">
        <is>
          <t>IO</t>
        </is>
      </c>
      <c r="I1985" t="inlineStr">
        <is>
          <t>1250kVA</t>
        </is>
      </c>
      <c r="J1985" t="inlineStr">
        <is>
          <t>Rodriguez</t>
        </is>
      </c>
      <c r="K1985" t="inlineStr">
        <is>
          <t>CUIVRE</t>
        </is>
      </c>
      <c r="L1985">
        <f>_xlfn.XLOOKUP(Tableau1[[#This Row],[TYPE DE PIECE]],Tableau4[MATIERE],Tableau4[SHORT TYPE],"",0,1)</f>
        <v/>
      </c>
      <c r="N1985">
        <f>IF(ISERR(FIND("DECOUPE",Tableau1[[#This Row],[DESIGNATION]])),"","NEED REF")</f>
        <v/>
      </c>
    </row>
    <row r="1986">
      <c r="B1986" t="n">
        <v>34412015</v>
      </c>
      <c r="C1986" s="2" t="n">
        <v>45204</v>
      </c>
      <c r="D1986" t="inlineStr">
        <is>
          <t>SPEC</t>
        </is>
      </c>
      <c r="E1986" t="inlineStr">
        <is>
          <t>COP OUTPUT L1 GVXL</t>
        </is>
      </c>
      <c r="G1986" t="inlineStr">
        <is>
          <t>GVXL</t>
        </is>
      </c>
      <c r="H1986" t="inlineStr">
        <is>
          <t>IO</t>
        </is>
      </c>
      <c r="I1986" t="inlineStr">
        <is>
          <t>1250kVA</t>
        </is>
      </c>
      <c r="J1986" t="inlineStr">
        <is>
          <t>Rodriguez</t>
        </is>
      </c>
      <c r="K1986" t="inlineStr">
        <is>
          <t>CUIVRE</t>
        </is>
      </c>
      <c r="L1986">
        <f>_xlfn.XLOOKUP(Tableau1[[#This Row],[TYPE DE PIECE]],Tableau4[MATIERE],Tableau4[SHORT TYPE],"",0,1)</f>
        <v/>
      </c>
      <c r="N1986">
        <f>IF(ISERR(FIND("DECOUPE",Tableau1[[#This Row],[DESIGNATION]])),"","NEED REF")</f>
        <v/>
      </c>
    </row>
    <row r="1987">
      <c r="B1987" t="n">
        <v>34412014</v>
      </c>
      <c r="C1987" s="2" t="n">
        <v>45204</v>
      </c>
      <c r="D1987" t="inlineStr">
        <is>
          <t>SPEC</t>
        </is>
      </c>
      <c r="E1987" t="inlineStr">
        <is>
          <t>COP 34412014 GVL UPS 500kVA BATTERY TERMINAL</t>
        </is>
      </c>
      <c r="G1987" t="inlineStr">
        <is>
          <t>GVL</t>
        </is>
      </c>
      <c r="H1987" t="inlineStr">
        <is>
          <t>UPS</t>
        </is>
      </c>
      <c r="I1987" t="inlineStr">
        <is>
          <t>500kVA</t>
        </is>
      </c>
      <c r="J1987" t="inlineStr">
        <is>
          <t>MATRION</t>
        </is>
      </c>
      <c r="K1987" t="inlineStr">
        <is>
          <t>CUIVRE</t>
        </is>
      </c>
      <c r="L1987">
        <f>_xlfn.XLOOKUP(Tableau1[[#This Row],[TYPE DE PIECE]],Tableau4[MATIERE],Tableau4[SHORT TYPE],"",0,1)</f>
        <v/>
      </c>
      <c r="N1987">
        <f>IF(ISERR(FIND("DECOUPE",Tableau1[[#This Row],[DESIGNATION]])),"","NEED REF")</f>
        <v/>
      </c>
    </row>
    <row r="1988">
      <c r="B1988" t="n">
        <v>34412013</v>
      </c>
      <c r="C1988" s="2" t="n">
        <v>45204</v>
      </c>
      <c r="D1988" t="inlineStr">
        <is>
          <t>SPEC</t>
        </is>
      </c>
      <c r="E1988" t="inlineStr">
        <is>
          <t>RACCORDEMENT OUTPUT MODULAIRE</t>
        </is>
      </c>
      <c r="G1988" t="inlineStr">
        <is>
          <t>GVXL</t>
        </is>
      </c>
      <c r="H1988" t="inlineStr">
        <is>
          <t>IO</t>
        </is>
      </c>
      <c r="I1988" t="inlineStr">
        <is>
          <t>1250kVA</t>
        </is>
      </c>
      <c r="J1988" t="inlineStr">
        <is>
          <t>Rodriguez</t>
        </is>
      </c>
      <c r="K1988" t="inlineStr">
        <is>
          <t>CUIVRE</t>
        </is>
      </c>
      <c r="L1988">
        <f>_xlfn.XLOOKUP(Tableau1[[#This Row],[TYPE DE PIECE]],Tableau4[MATIERE],Tableau4[SHORT TYPE],"",0,1)</f>
        <v/>
      </c>
      <c r="N1988">
        <f>IF(ISERR(FIND("DECOUPE",Tableau1[[#This Row],[DESIGNATION]])),"","NEED REF")</f>
        <v/>
      </c>
    </row>
    <row r="1989">
      <c r="B1989" t="n">
        <v>34412012</v>
      </c>
      <c r="C1989" s="2" t="n">
        <v>45204</v>
      </c>
      <c r="D1989" t="inlineStr">
        <is>
          <t>SPEC</t>
        </is>
      </c>
      <c r="E1989" t="inlineStr">
        <is>
          <t>PLAQUE TOIT GVXL 2 TGAB</t>
        </is>
      </c>
      <c r="G1989" t="inlineStr">
        <is>
          <t>GVXL</t>
        </is>
      </c>
      <c r="H1989" t="inlineStr">
        <is>
          <t>IO</t>
        </is>
      </c>
      <c r="I1989" t="inlineStr">
        <is>
          <t>1250kVA</t>
        </is>
      </c>
      <c r="J1989" t="inlineStr">
        <is>
          <t>Rodriguez</t>
        </is>
      </c>
      <c r="K1989" t="inlineStr">
        <is>
          <t>METAL</t>
        </is>
      </c>
      <c r="L1989">
        <f>_xlfn.XLOOKUP(Tableau1[[#This Row],[TYPE DE PIECE]],Tableau4[MATIERE],Tableau4[SHORT TYPE],"",0,1)</f>
        <v/>
      </c>
      <c r="N1989">
        <f>IF(ISERR(FIND("DECOUPE",Tableau1[[#This Row],[DESIGNATION]])),"","NEED REF")</f>
        <v/>
      </c>
    </row>
    <row r="1990">
      <c r="B1990" t="n">
        <v>34412011</v>
      </c>
      <c r="C1990" s="2" t="n">
        <v>45204</v>
      </c>
      <c r="D1990" t="inlineStr">
        <is>
          <t>SPEC</t>
        </is>
      </c>
      <c r="E1990" t="inlineStr">
        <is>
          <t>SMT PLASTRON GVEAC7 PLEIN HAUT-BAS</t>
        </is>
      </c>
      <c r="F1990" t="inlineStr">
        <is>
          <t>QSFE77068</t>
        </is>
      </c>
      <c r="G1990" t="inlineStr">
        <is>
          <t>GVX</t>
        </is>
      </c>
      <c r="H1990" t="inlineStr">
        <is>
          <t>BCB</t>
        </is>
      </c>
      <c r="I1990" t="inlineStr">
        <is>
          <t>1500kVA</t>
        </is>
      </c>
      <c r="J1990" t="inlineStr">
        <is>
          <t>BERNARDEAU</t>
        </is>
      </c>
      <c r="K1990" t="inlineStr">
        <is>
          <t>METAL</t>
        </is>
      </c>
      <c r="L1990">
        <f>_xlfn.XLOOKUP(Tableau1[[#This Row],[TYPE DE PIECE]],Tableau4[MATIERE],Tableau4[SHORT TYPE],"",0,1)</f>
        <v/>
      </c>
      <c r="N1990">
        <f>IF(ISERR(FIND("DECOUPE",Tableau1[[#This Row],[DESIGNATION]])),"","NEED REF")</f>
        <v/>
      </c>
    </row>
    <row r="1991">
      <c r="B1991" t="n">
        <v>34412010</v>
      </c>
      <c r="C1991" s="2" t="n">
        <v>45203</v>
      </c>
      <c r="D1991" t="inlineStr">
        <is>
          <t>SPEC</t>
        </is>
      </c>
      <c r="E1991" t="inlineStr">
        <is>
          <t>SMT 34412010 GVEAC PIED H100 ILTOM</t>
        </is>
      </c>
      <c r="G1991" t="inlineStr">
        <is>
          <t>GVEAC</t>
        </is>
      </c>
      <c r="H1991" t="inlineStr">
        <is>
          <t>AUX</t>
        </is>
      </c>
      <c r="J1991" t="inlineStr">
        <is>
          <t>MATRION</t>
        </is>
      </c>
      <c r="K1991" t="inlineStr">
        <is>
          <t>METAL</t>
        </is>
      </c>
      <c r="L1991">
        <f>_xlfn.XLOOKUP(Tableau1[[#This Row],[TYPE DE PIECE]],Tableau4[MATIERE],Tableau4[SHORT TYPE],"",0,1)</f>
        <v/>
      </c>
      <c r="N1991">
        <f>IF(ISERR(FIND("DECOUPE",Tableau1[[#This Row],[DESIGNATION]])),"","NEED REF")</f>
        <v/>
      </c>
    </row>
    <row r="1992">
      <c r="B1992" t="n">
        <v>34412009</v>
      </c>
      <c r="C1992" s="2" t="n">
        <v>45203</v>
      </c>
      <c r="D1992" t="inlineStr">
        <is>
          <t>SPEC</t>
        </is>
      </c>
      <c r="E1992" t="inlineStr">
        <is>
          <t>COP PLAGE CUIVRE</t>
        </is>
      </c>
      <c r="F1992" t="inlineStr">
        <is>
          <t>QSFE77068</t>
        </is>
      </c>
      <c r="G1992" t="inlineStr">
        <is>
          <t>GVX</t>
        </is>
      </c>
      <c r="H1992" t="inlineStr">
        <is>
          <t>BCB</t>
        </is>
      </c>
      <c r="I1992" t="inlineStr">
        <is>
          <t>1500kVA</t>
        </is>
      </c>
      <c r="J1992" t="inlineStr">
        <is>
          <t>BERNARDEAU</t>
        </is>
      </c>
      <c r="K1992" t="inlineStr">
        <is>
          <t>CUIVRE</t>
        </is>
      </c>
      <c r="L1992">
        <f>_xlfn.XLOOKUP(Tableau1[[#This Row],[TYPE DE PIECE]],Tableau4[MATIERE],Tableau4[SHORT TYPE],"",0,1)</f>
        <v/>
      </c>
      <c r="N1992">
        <f>IF(ISERR(FIND("DECOUPE",Tableau1[[#This Row],[DESIGNATION]])),"","NEED REF")</f>
        <v/>
      </c>
    </row>
    <row r="1993">
      <c r="B1993" t="n">
        <v>34412008</v>
      </c>
      <c r="C1993" s="2" t="n">
        <v>45203</v>
      </c>
      <c r="D1993" t="inlineStr">
        <is>
          <t>SPEC</t>
        </is>
      </c>
      <c r="E1993" t="inlineStr">
        <is>
          <t>COP PLAGE CUIVRE</t>
        </is>
      </c>
      <c r="F1993" t="inlineStr">
        <is>
          <t>QSFE77068</t>
        </is>
      </c>
      <c r="G1993" t="inlineStr">
        <is>
          <t>GVX</t>
        </is>
      </c>
      <c r="H1993" t="inlineStr">
        <is>
          <t>BCB</t>
        </is>
      </c>
      <c r="I1993" t="inlineStr">
        <is>
          <t>1500kVA</t>
        </is>
      </c>
      <c r="J1993" t="inlineStr">
        <is>
          <t>BERNARDEAU</t>
        </is>
      </c>
      <c r="K1993" t="inlineStr">
        <is>
          <t>CUIVRE</t>
        </is>
      </c>
      <c r="L1993">
        <f>_xlfn.XLOOKUP(Tableau1[[#This Row],[TYPE DE PIECE]],Tableau4[MATIERE],Tableau4[SHORT TYPE],"",0,1)</f>
        <v/>
      </c>
      <c r="N1993">
        <f>IF(ISERR(FIND("DECOUPE",Tableau1[[#This Row],[DESIGNATION]])),"","NEED REF")</f>
        <v/>
      </c>
    </row>
    <row r="1994">
      <c r="B1994" t="n">
        <v>34412007</v>
      </c>
      <c r="C1994" s="2" t="n">
        <v>45203</v>
      </c>
      <c r="D1994" t="inlineStr">
        <is>
          <t>SPEC</t>
        </is>
      </c>
      <c r="E1994" t="inlineStr">
        <is>
          <t>COP PLAGE CONNEXION FUSE 4</t>
        </is>
      </c>
      <c r="F1994" t="inlineStr">
        <is>
          <t>QSFE77068</t>
        </is>
      </c>
      <c r="G1994" t="inlineStr">
        <is>
          <t>GVX</t>
        </is>
      </c>
      <c r="H1994" t="inlineStr">
        <is>
          <t>BCB</t>
        </is>
      </c>
      <c r="I1994" t="inlineStr">
        <is>
          <t>1500kVA</t>
        </is>
      </c>
      <c r="J1994" t="inlineStr">
        <is>
          <t>BERNARDEAU</t>
        </is>
      </c>
      <c r="K1994" t="inlineStr">
        <is>
          <t>CUIVRE</t>
        </is>
      </c>
      <c r="L1994">
        <f>_xlfn.XLOOKUP(Tableau1[[#This Row],[TYPE DE PIECE]],Tableau4[MATIERE],Tableau4[SHORT TYPE],"",0,1)</f>
        <v/>
      </c>
      <c r="N1994">
        <f>IF(ISERR(FIND("DECOUPE",Tableau1[[#This Row],[DESIGNATION]])),"","NEED REF")</f>
        <v/>
      </c>
    </row>
    <row r="1995">
      <c r="B1995" t="n">
        <v>34412006</v>
      </c>
      <c r="C1995" s="2" t="n">
        <v>45203</v>
      </c>
      <c r="D1995" t="inlineStr">
        <is>
          <t>SPEC</t>
        </is>
      </c>
      <c r="E1995" t="inlineStr">
        <is>
          <t>COP PLAGE CONNEXION FUSE 3</t>
        </is>
      </c>
      <c r="F1995" t="inlineStr">
        <is>
          <t>QSFE77068</t>
        </is>
      </c>
      <c r="G1995" t="inlineStr">
        <is>
          <t>GVX</t>
        </is>
      </c>
      <c r="H1995" t="inlineStr">
        <is>
          <t>BCB</t>
        </is>
      </c>
      <c r="I1995" t="inlineStr">
        <is>
          <t>1500kVA</t>
        </is>
      </c>
      <c r="J1995" t="inlineStr">
        <is>
          <t>BERNARDEAU</t>
        </is>
      </c>
      <c r="K1995" t="inlineStr">
        <is>
          <t>CUIVRE</t>
        </is>
      </c>
      <c r="L1995">
        <f>_xlfn.XLOOKUP(Tableau1[[#This Row],[TYPE DE PIECE]],Tableau4[MATIERE],Tableau4[SHORT TYPE],"",0,1)</f>
        <v/>
      </c>
      <c r="N1995">
        <f>IF(ISERR(FIND("DECOUPE",Tableau1[[#This Row],[DESIGNATION]])),"","NEED REF")</f>
        <v/>
      </c>
    </row>
    <row r="1996">
      <c r="B1996" t="n">
        <v>34412005</v>
      </c>
      <c r="C1996" s="2" t="n">
        <v>45203</v>
      </c>
      <c r="D1996" t="inlineStr">
        <is>
          <t>SPEC</t>
        </is>
      </c>
      <c r="E1996" t="inlineStr">
        <is>
          <t>COP PLAGE CONNEXION FUSE 2</t>
        </is>
      </c>
      <c r="F1996" t="inlineStr">
        <is>
          <t>QSFE77068</t>
        </is>
      </c>
      <c r="G1996" t="inlineStr">
        <is>
          <t>GVX</t>
        </is>
      </c>
      <c r="H1996" t="inlineStr">
        <is>
          <t>BCB</t>
        </is>
      </c>
      <c r="I1996" t="inlineStr">
        <is>
          <t>1500kVA</t>
        </is>
      </c>
      <c r="J1996" t="inlineStr">
        <is>
          <t>BERNARDEAU</t>
        </is>
      </c>
      <c r="K1996" t="inlineStr">
        <is>
          <t>CUIVRE</t>
        </is>
      </c>
      <c r="L1996">
        <f>_xlfn.XLOOKUP(Tableau1[[#This Row],[TYPE DE PIECE]],Tableau4[MATIERE],Tableau4[SHORT TYPE],"",0,1)</f>
        <v/>
      </c>
      <c r="N1996">
        <f>IF(ISERR(FIND("DECOUPE",Tableau1[[#This Row],[DESIGNATION]])),"","NEED REF")</f>
        <v/>
      </c>
    </row>
    <row r="1997">
      <c r="B1997" t="n">
        <v>34412004</v>
      </c>
      <c r="C1997" s="2" t="n">
        <v>45203</v>
      </c>
      <c r="D1997" t="inlineStr">
        <is>
          <t>SPEC</t>
        </is>
      </c>
      <c r="E1997" t="inlineStr">
        <is>
          <t>COP PLAGE CONNEXION FUSE 1</t>
        </is>
      </c>
      <c r="F1997" t="inlineStr">
        <is>
          <t>QSFE77068</t>
        </is>
      </c>
      <c r="G1997" t="inlineStr">
        <is>
          <t>GVX</t>
        </is>
      </c>
      <c r="H1997" t="inlineStr">
        <is>
          <t>BCB</t>
        </is>
      </c>
      <c r="I1997" t="inlineStr">
        <is>
          <t>1500kVA</t>
        </is>
      </c>
      <c r="J1997" t="inlineStr">
        <is>
          <t>BERNARDEAU</t>
        </is>
      </c>
      <c r="K1997" t="inlineStr">
        <is>
          <t>CUIVRE</t>
        </is>
      </c>
      <c r="L1997">
        <f>_xlfn.XLOOKUP(Tableau1[[#This Row],[TYPE DE PIECE]],Tableau4[MATIERE],Tableau4[SHORT TYPE],"",0,1)</f>
        <v/>
      </c>
      <c r="N1997">
        <f>IF(ISERR(FIND("DECOUPE",Tableau1[[#This Row],[DESIGNATION]])),"","NEED REF")</f>
        <v/>
      </c>
    </row>
    <row r="1998">
      <c r="B1998" t="n">
        <v>34412003</v>
      </c>
      <c r="C1998" s="2" t="n">
        <v>45203</v>
      </c>
      <c r="D1998" t="inlineStr">
        <is>
          <t>SPEC</t>
        </is>
      </c>
      <c r="E1998" t="inlineStr">
        <is>
          <t>COP PLAGE NW40DC</t>
        </is>
      </c>
      <c r="F1998" t="inlineStr">
        <is>
          <t>QSFE77068</t>
        </is>
      </c>
      <c r="G1998" t="inlineStr">
        <is>
          <t>GVX</t>
        </is>
      </c>
      <c r="H1998" t="inlineStr">
        <is>
          <t>BCB</t>
        </is>
      </c>
      <c r="I1998" t="inlineStr">
        <is>
          <t>1500kVA</t>
        </is>
      </c>
      <c r="J1998" t="inlineStr">
        <is>
          <t>BERNARDEAU</t>
        </is>
      </c>
      <c r="K1998" t="inlineStr">
        <is>
          <t>CUIVRE</t>
        </is>
      </c>
      <c r="L1998">
        <f>_xlfn.XLOOKUP(Tableau1[[#This Row],[TYPE DE PIECE]],Tableau4[MATIERE],Tableau4[SHORT TYPE],"",0,1)</f>
        <v/>
      </c>
      <c r="N1998">
        <f>IF(ISERR(FIND("DECOUPE",Tableau1[[#This Row],[DESIGNATION]])),"","NEED REF")</f>
        <v/>
      </c>
    </row>
    <row r="1999">
      <c r="B1999" t="n">
        <v>34412002</v>
      </c>
      <c r="C1999" s="2" t="n">
        <v>45203</v>
      </c>
      <c r="D1999" t="inlineStr">
        <is>
          <t>SPEC</t>
        </is>
      </c>
      <c r="E1999" t="inlineStr">
        <is>
          <t>COP PLAGE NW40DC</t>
        </is>
      </c>
      <c r="F1999" t="inlineStr">
        <is>
          <t>QSFE77068</t>
        </is>
      </c>
      <c r="G1999" t="inlineStr">
        <is>
          <t>GVX</t>
        </is>
      </c>
      <c r="H1999" t="inlineStr">
        <is>
          <t>BCB</t>
        </is>
      </c>
      <c r="I1999" t="inlineStr">
        <is>
          <t>1500kVA</t>
        </is>
      </c>
      <c r="J1999" t="inlineStr">
        <is>
          <t>BERNARDEAU</t>
        </is>
      </c>
      <c r="K1999" t="inlineStr">
        <is>
          <t>CUIVRE</t>
        </is>
      </c>
      <c r="L1999">
        <f>_xlfn.XLOOKUP(Tableau1[[#This Row],[TYPE DE PIECE]],Tableau4[MATIERE],Tableau4[SHORT TYPE],"",0,1)</f>
        <v/>
      </c>
      <c r="N1999">
        <f>IF(ISERR(FIND("DECOUPE",Tableau1[[#This Row],[DESIGNATION]])),"","NEED REF")</f>
        <v/>
      </c>
    </row>
    <row r="2000">
      <c r="B2000" t="n">
        <v>34412001</v>
      </c>
      <c r="C2000" s="2" t="n">
        <v>45203</v>
      </c>
      <c r="D2000" t="inlineStr">
        <is>
          <t>SPEC</t>
        </is>
      </c>
      <c r="E2000" t="inlineStr">
        <is>
          <t>COP RACCORDEMENT TGAB INPUT NEUTRAL</t>
        </is>
      </c>
      <c r="G2000" t="inlineStr">
        <is>
          <t>GVXL</t>
        </is>
      </c>
      <c r="H2000" t="inlineStr">
        <is>
          <t>IO</t>
        </is>
      </c>
      <c r="I2000" t="inlineStr">
        <is>
          <t>1250kVA</t>
        </is>
      </c>
      <c r="J2000" t="inlineStr">
        <is>
          <t>Rodriguez</t>
        </is>
      </c>
      <c r="K2000" t="inlineStr">
        <is>
          <t>CUIVRE</t>
        </is>
      </c>
      <c r="L2000">
        <f>_xlfn.XLOOKUP(Tableau1[[#This Row],[TYPE DE PIECE]],Tableau4[MATIERE],Tableau4[SHORT TYPE],"",0,1)</f>
        <v/>
      </c>
      <c r="N2000">
        <f>IF(ISERR(FIND("DECOUPE",Tableau1[[#This Row],[DESIGNATION]])),"","NEED REF")</f>
        <v/>
      </c>
    </row>
    <row r="2001">
      <c r="B2001" t="n">
        <v>34412000</v>
      </c>
      <c r="C2001" s="2" t="n">
        <v>45203</v>
      </c>
      <c r="D2001" t="inlineStr">
        <is>
          <t>SPEC</t>
        </is>
      </c>
      <c r="E2001" t="inlineStr">
        <is>
          <t>SMT PLASTRON SIB 2 NS VERTICAL GAUCHE</t>
        </is>
      </c>
      <c r="H2001" t="inlineStr">
        <is>
          <t>MBB</t>
        </is>
      </c>
      <c r="I2001" t="inlineStr">
        <is>
          <t>1400kW</t>
        </is>
      </c>
      <c r="J2001" t="inlineStr">
        <is>
          <t>MATRION</t>
        </is>
      </c>
      <c r="K2001" t="inlineStr">
        <is>
          <t>METAL</t>
        </is>
      </c>
      <c r="L2001">
        <f>_xlfn.XLOOKUP(Tableau1[[#This Row],[TYPE DE PIECE]],Tableau4[MATIERE],Tableau4[SHORT TYPE],"",0,1)</f>
        <v/>
      </c>
      <c r="N2001">
        <f>IF(ISERR(FIND("DECOUPE",Tableau1[[#This Row],[DESIGNATION]])),"","NEED REF")</f>
        <v/>
      </c>
    </row>
    <row r="2002">
      <c r="B2002" t="n">
        <v>34411999</v>
      </c>
      <c r="C2002" s="2" t="n">
        <v>45203</v>
      </c>
      <c r="D2002" t="inlineStr">
        <is>
          <t>SPEC</t>
        </is>
      </c>
      <c r="E2002" t="inlineStr">
        <is>
          <t>SMT PLASTRON SIB 2 NS VERTICAL DROIT</t>
        </is>
      </c>
      <c r="H2002" t="inlineStr">
        <is>
          <t>MBB</t>
        </is>
      </c>
      <c r="I2002" t="inlineStr">
        <is>
          <t>1400kW</t>
        </is>
      </c>
      <c r="J2002" t="inlineStr">
        <is>
          <t>MATRION</t>
        </is>
      </c>
      <c r="K2002" t="inlineStr">
        <is>
          <t>METAL</t>
        </is>
      </c>
      <c r="L2002">
        <f>_xlfn.XLOOKUP(Tableau1[[#This Row],[TYPE DE PIECE]],Tableau4[MATIERE],Tableau4[SHORT TYPE],"",0,1)</f>
        <v/>
      </c>
      <c r="N2002">
        <f>IF(ISERR(FIND("DECOUPE",Tableau1[[#This Row],[DESIGNATION]])),"","NEED REF")</f>
        <v/>
      </c>
    </row>
    <row r="2003">
      <c r="B2003" t="n">
        <v>34411998</v>
      </c>
      <c r="C2003" s="2" t="n">
        <v>45202</v>
      </c>
      <c r="D2003" t="inlineStr">
        <is>
          <t>SPEC</t>
        </is>
      </c>
      <c r="E2003">
        <f>_xlfn.CONCAT(Tableau1[[#This Row],[SHORT TYPE]]," ",Tableau1[[#This Row],[NUMERO]]," ",Tableau1[[#This Row],[GAMME]]," ",Tableau1[[#This Row],[TYPE PRODUIT]]," ",Tableau1[[#This Row],[PUISSANCE]])</f>
        <v/>
      </c>
      <c r="G2003" t="inlineStr">
        <is>
          <t>GVS/E3M</t>
        </is>
      </c>
      <c r="H2003" t="inlineStr">
        <is>
          <t>BBB</t>
        </is>
      </c>
      <c r="I2003" t="inlineStr">
        <is>
          <t>250A</t>
        </is>
      </c>
      <c r="J2003" t="inlineStr">
        <is>
          <t>MATRION</t>
        </is>
      </c>
      <c r="K2003" t="inlineStr">
        <is>
          <t>METAL</t>
        </is>
      </c>
      <c r="L2003">
        <f>_xlfn.XLOOKUP(Tableau1[[#This Row],[TYPE DE PIECE]],Tableau4[MATIERE],Tableau4[SHORT TYPE],"",0,1)</f>
        <v/>
      </c>
      <c r="N2003">
        <f>IF(ISERR(FIND("DECOUPE",Tableau1[[#This Row],[DESIGNATION]])),"","NEED REF")</f>
        <v/>
      </c>
    </row>
    <row r="2004">
      <c r="B2004" t="n">
        <v>34411997</v>
      </c>
      <c r="C2004" s="2" t="n">
        <v>45202</v>
      </c>
      <c r="D2004" t="inlineStr">
        <is>
          <t>SPEC</t>
        </is>
      </c>
      <c r="E2004">
        <f>_xlfn.CONCAT(Tableau1[[#This Row],[SHORT TYPE]]," ",Tableau1[[#This Row],[NUMERO]]," ",Tableau1[[#This Row],[GAMME]]," ",Tableau1[[#This Row],[TYPE PRODUIT]]," ",Tableau1[[#This Row],[PUISSANCE]])</f>
        <v/>
      </c>
      <c r="G2004" t="inlineStr">
        <is>
          <t>GVS/E3M</t>
        </is>
      </c>
      <c r="H2004" t="inlineStr">
        <is>
          <t>BBB</t>
        </is>
      </c>
      <c r="I2004" t="inlineStr">
        <is>
          <t>250A</t>
        </is>
      </c>
      <c r="J2004" t="inlineStr">
        <is>
          <t>MATRION</t>
        </is>
      </c>
      <c r="K2004" t="inlineStr">
        <is>
          <t>CUIVRE</t>
        </is>
      </c>
      <c r="L2004">
        <f>_xlfn.XLOOKUP(Tableau1[[#This Row],[TYPE DE PIECE]],Tableau4[MATIERE],Tableau4[SHORT TYPE],"",0,1)</f>
        <v/>
      </c>
      <c r="N2004">
        <f>IF(ISERR(FIND("DECOUPE",Tableau1[[#This Row],[DESIGNATION]])),"","NEED REF")</f>
        <v/>
      </c>
    </row>
    <row r="2005">
      <c r="B2005" t="n">
        <v>34411996</v>
      </c>
      <c r="C2005" s="2" t="n">
        <v>45202</v>
      </c>
      <c r="D2005" t="inlineStr">
        <is>
          <t>SPEC</t>
        </is>
      </c>
      <c r="E2005">
        <f>_xlfn.CONCAT(Tableau1[[#This Row],[SHORT TYPE]]," ",Tableau1[[#This Row],[NUMERO]]," ",Tableau1[[#This Row],[GAMME]]," ",Tableau1[[#This Row],[TYPE PRODUIT]]," ",Tableau1[[#This Row],[PUISSANCE]])</f>
        <v/>
      </c>
      <c r="G2005" t="inlineStr">
        <is>
          <t>GVS/E3M</t>
        </is>
      </c>
      <c r="H2005" t="inlineStr">
        <is>
          <t>BBB</t>
        </is>
      </c>
      <c r="I2005" t="inlineStr">
        <is>
          <t>250A</t>
        </is>
      </c>
      <c r="J2005" t="inlineStr">
        <is>
          <t>MATRION</t>
        </is>
      </c>
      <c r="K2005" t="inlineStr">
        <is>
          <t>CUIVRE</t>
        </is>
      </c>
      <c r="L2005">
        <f>_xlfn.XLOOKUP(Tableau1[[#This Row],[TYPE DE PIECE]],Tableau4[MATIERE],Tableau4[SHORT TYPE],"",0,1)</f>
        <v/>
      </c>
      <c r="N2005">
        <f>IF(ISERR(FIND("DECOUPE",Tableau1[[#This Row],[DESIGNATION]])),"","NEED REF")</f>
        <v/>
      </c>
    </row>
    <row r="2006">
      <c r="B2006" t="n">
        <v>34411995</v>
      </c>
      <c r="C2006" s="2" t="n">
        <v>45202</v>
      </c>
      <c r="D2006" t="inlineStr">
        <is>
          <t>SPEC</t>
        </is>
      </c>
      <c r="E2006">
        <f>_xlfn.CONCAT(Tableau1[[#This Row],[SHORT TYPE]]," ",Tableau1[[#This Row],[NUMERO]]," ",Tableau1[[#This Row],[GAMME]]," ",Tableau1[[#This Row],[TYPE PRODUIT]]," ",Tableau1[[#This Row],[PUISSANCE]])</f>
        <v/>
      </c>
      <c r="G2006" t="inlineStr">
        <is>
          <t>GVS/E3M</t>
        </is>
      </c>
      <c r="H2006" t="inlineStr">
        <is>
          <t>BBB</t>
        </is>
      </c>
      <c r="I2006" t="inlineStr">
        <is>
          <t>250A</t>
        </is>
      </c>
      <c r="J2006" t="inlineStr">
        <is>
          <t>MATRION</t>
        </is>
      </c>
      <c r="K2006" t="inlineStr">
        <is>
          <t>CUIVRE</t>
        </is>
      </c>
      <c r="L2006">
        <f>_xlfn.XLOOKUP(Tableau1[[#This Row],[TYPE DE PIECE]],Tableau4[MATIERE],Tableau4[SHORT TYPE],"",0,1)</f>
        <v/>
      </c>
      <c r="N2006">
        <f>IF(ISERR(FIND("DECOUPE",Tableau1[[#This Row],[DESIGNATION]])),"","NEED REF")</f>
        <v/>
      </c>
    </row>
    <row r="2007">
      <c r="B2007" t="n">
        <v>34411994</v>
      </c>
      <c r="C2007" s="2" t="n">
        <v>45202</v>
      </c>
      <c r="D2007" t="inlineStr">
        <is>
          <t>SPEC</t>
        </is>
      </c>
      <c r="E2007" t="inlineStr">
        <is>
          <t>COP FLEXIBAR NW40DC DROITE</t>
        </is>
      </c>
      <c r="F2007" t="inlineStr">
        <is>
          <t>QSFE77068</t>
        </is>
      </c>
      <c r="G2007" t="inlineStr">
        <is>
          <t>GVX</t>
        </is>
      </c>
      <c r="H2007" t="inlineStr">
        <is>
          <t>BCB</t>
        </is>
      </c>
      <c r="I2007" t="inlineStr">
        <is>
          <t>1500kVA</t>
        </is>
      </c>
      <c r="J2007" t="inlineStr">
        <is>
          <t>BERNARDEAU</t>
        </is>
      </c>
      <c r="K2007" t="inlineStr">
        <is>
          <t>CUIVRE</t>
        </is>
      </c>
      <c r="L2007">
        <f>_xlfn.XLOOKUP(Tableau1[[#This Row],[TYPE DE PIECE]],Tableau4[MATIERE],Tableau4[SHORT TYPE],"",0,1)</f>
        <v/>
      </c>
      <c r="N2007">
        <f>IF(ISERR(FIND("DECOUPE",Tableau1[[#This Row],[DESIGNATION]])),"","NEED REF")</f>
        <v/>
      </c>
    </row>
    <row r="2008">
      <c r="B2008" t="n">
        <v>34411993</v>
      </c>
      <c r="C2008" s="2" t="n">
        <v>45202</v>
      </c>
      <c r="D2008" t="inlineStr">
        <is>
          <t>SPEC</t>
        </is>
      </c>
      <c r="E2008" t="inlineStr">
        <is>
          <t>SMT Plateau support cuivre</t>
        </is>
      </c>
      <c r="F2008" t="inlineStr">
        <is>
          <t>QSFE77068</t>
        </is>
      </c>
      <c r="G2008" t="inlineStr">
        <is>
          <t>GVX</t>
        </is>
      </c>
      <c r="H2008" t="inlineStr">
        <is>
          <t>BCB</t>
        </is>
      </c>
      <c r="I2008" t="inlineStr">
        <is>
          <t>1500kVA</t>
        </is>
      </c>
      <c r="J2008" t="inlineStr">
        <is>
          <t>BERNARDEAU</t>
        </is>
      </c>
      <c r="K2008" t="inlineStr">
        <is>
          <t>METAL</t>
        </is>
      </c>
      <c r="L2008">
        <f>_xlfn.XLOOKUP(Tableau1[[#This Row],[TYPE DE PIECE]],Tableau4[MATIERE],Tableau4[SHORT TYPE],"",0,1)</f>
        <v/>
      </c>
      <c r="N2008">
        <f>IF(ISERR(FIND("DECOUPE",Tableau1[[#This Row],[DESIGNATION]])),"","NEED REF")</f>
        <v/>
      </c>
    </row>
    <row r="2009">
      <c r="B2009" t="n">
        <v>34411992</v>
      </c>
      <c r="C2009" s="2" t="n">
        <v>45202</v>
      </c>
      <c r="D2009" t="inlineStr">
        <is>
          <t>SPEC</t>
        </is>
      </c>
      <c r="E2009" t="inlineStr">
        <is>
          <t>SMT TRAVERSE SUP. PLATEAU NW40DC GVEACXD10</t>
        </is>
      </c>
      <c r="F2009" t="inlineStr">
        <is>
          <t>QSFE77068</t>
        </is>
      </c>
      <c r="G2009" t="inlineStr">
        <is>
          <t>GVX</t>
        </is>
      </c>
      <c r="H2009" t="inlineStr">
        <is>
          <t>BCB</t>
        </is>
      </c>
      <c r="I2009" t="inlineStr">
        <is>
          <t>1500kVA</t>
        </is>
      </c>
      <c r="J2009" t="inlineStr">
        <is>
          <t>BERNARDEAU</t>
        </is>
      </c>
      <c r="K2009" t="inlineStr">
        <is>
          <t>METAL</t>
        </is>
      </c>
      <c r="L2009">
        <f>_xlfn.XLOOKUP(Tableau1[[#This Row],[TYPE DE PIECE]],Tableau4[MATIERE],Tableau4[SHORT TYPE],"",0,1)</f>
        <v/>
      </c>
      <c r="N2009">
        <f>IF(ISERR(FIND("DECOUPE",Tableau1[[#This Row],[DESIGNATION]])),"","NEED REF")</f>
        <v/>
      </c>
    </row>
    <row r="2010">
      <c r="B2010" t="n">
        <v>34411991</v>
      </c>
      <c r="C2010" s="2" t="n">
        <v>45202</v>
      </c>
      <c r="D2010" t="inlineStr">
        <is>
          <t>SPEC</t>
        </is>
      </c>
      <c r="E2010" t="inlineStr">
        <is>
          <t>PLA BRIDE MAINTIEN CUIVRE</t>
        </is>
      </c>
      <c r="F2010" t="inlineStr">
        <is>
          <t>QSFE77068</t>
        </is>
      </c>
      <c r="G2010" t="inlineStr">
        <is>
          <t>GVX</t>
        </is>
      </c>
      <c r="H2010" t="inlineStr">
        <is>
          <t>BCB</t>
        </is>
      </c>
      <c r="I2010" t="inlineStr">
        <is>
          <t>1500kVA</t>
        </is>
      </c>
      <c r="J2010" t="inlineStr">
        <is>
          <t>BERNARDEAU</t>
        </is>
      </c>
      <c r="K2010" t="inlineStr">
        <is>
          <t>PLASTIQUE</t>
        </is>
      </c>
      <c r="L2010">
        <f>_xlfn.XLOOKUP(Tableau1[[#This Row],[TYPE DE PIECE]],Tableau4[MATIERE],Tableau4[SHORT TYPE],"",0,1)</f>
        <v/>
      </c>
      <c r="N2010">
        <f>IF(ISERR(FIND("DECOUPE",Tableau1[[#This Row],[DESIGNATION]])),"","NEED REF")</f>
        <v/>
      </c>
    </row>
    <row r="2011">
      <c r="B2011" t="n">
        <v>34411990</v>
      </c>
      <c r="C2011" s="2" t="n">
        <v>45202</v>
      </c>
      <c r="D2011" t="inlineStr">
        <is>
          <t>SPEC</t>
        </is>
      </c>
      <c r="E2011" t="inlineStr">
        <is>
          <t>COP CUIVRE BBK 4</t>
        </is>
      </c>
      <c r="F2011" t="inlineStr">
        <is>
          <t>QSFE77068</t>
        </is>
      </c>
      <c r="G2011" t="inlineStr">
        <is>
          <t>GVX</t>
        </is>
      </c>
      <c r="H2011" t="inlineStr">
        <is>
          <t>BCB</t>
        </is>
      </c>
      <c r="I2011" t="inlineStr">
        <is>
          <t>1500kVA</t>
        </is>
      </c>
      <c r="J2011" t="inlineStr">
        <is>
          <t>BERNARDEAU</t>
        </is>
      </c>
      <c r="K2011" t="inlineStr">
        <is>
          <t>CUIVRE</t>
        </is>
      </c>
      <c r="L2011">
        <f>_xlfn.XLOOKUP(Tableau1[[#This Row],[TYPE DE PIECE]],Tableau4[MATIERE],Tableau4[SHORT TYPE],"",0,1)</f>
        <v/>
      </c>
      <c r="N2011">
        <f>IF(ISERR(FIND("DECOUPE",Tableau1[[#This Row],[DESIGNATION]])),"","NEED REF")</f>
        <v/>
      </c>
    </row>
    <row r="2012">
      <c r="B2012" t="n">
        <v>34411989</v>
      </c>
      <c r="C2012" s="2" t="n">
        <v>45202</v>
      </c>
      <c r="D2012" t="inlineStr">
        <is>
          <t>SPEC</t>
        </is>
      </c>
      <c r="E2012" t="inlineStr">
        <is>
          <t>COP CUIVRE BBK 3</t>
        </is>
      </c>
      <c r="F2012" t="inlineStr">
        <is>
          <t>QSFE77068</t>
        </is>
      </c>
      <c r="G2012" t="inlineStr">
        <is>
          <t>GVX</t>
        </is>
      </c>
      <c r="H2012" t="inlineStr">
        <is>
          <t>BCB</t>
        </is>
      </c>
      <c r="I2012" t="inlineStr">
        <is>
          <t>1500kVA</t>
        </is>
      </c>
      <c r="J2012" t="inlineStr">
        <is>
          <t>BERNARDEAU</t>
        </is>
      </c>
      <c r="K2012" t="inlineStr">
        <is>
          <t>CUIVRE</t>
        </is>
      </c>
      <c r="L2012">
        <f>_xlfn.XLOOKUP(Tableau1[[#This Row],[TYPE DE PIECE]],Tableau4[MATIERE],Tableau4[SHORT TYPE],"",0,1)</f>
        <v/>
      </c>
      <c r="N2012">
        <f>IF(ISERR(FIND("DECOUPE",Tableau1[[#This Row],[DESIGNATION]])),"","NEED REF")</f>
        <v/>
      </c>
    </row>
    <row r="2013">
      <c r="B2013" t="n">
        <v>34411988</v>
      </c>
      <c r="C2013" s="2" t="n">
        <v>45202</v>
      </c>
      <c r="D2013" t="inlineStr">
        <is>
          <t>SPEC</t>
        </is>
      </c>
      <c r="E2013" t="inlineStr">
        <is>
          <t>SMT PLASTRON GVEAC7 CENTRAL</t>
        </is>
      </c>
      <c r="F2013" t="inlineStr">
        <is>
          <t>QSFE77068</t>
        </is>
      </c>
      <c r="G2013" t="inlineStr">
        <is>
          <t>GVX</t>
        </is>
      </c>
      <c r="H2013" t="inlineStr">
        <is>
          <t>BCB</t>
        </is>
      </c>
      <c r="I2013" t="inlineStr">
        <is>
          <t>1500kVA</t>
        </is>
      </c>
      <c r="J2013" t="inlineStr">
        <is>
          <t>BERNARDEAU</t>
        </is>
      </c>
      <c r="K2013" t="inlineStr">
        <is>
          <t>METAL</t>
        </is>
      </c>
      <c r="L2013">
        <f>_xlfn.XLOOKUP(Tableau1[[#This Row],[TYPE DE PIECE]],Tableau4[MATIERE],Tableau4[SHORT TYPE],"",0,1)</f>
        <v/>
      </c>
      <c r="N2013">
        <f>IF(ISERR(FIND("DECOUPE",Tableau1[[#This Row],[DESIGNATION]])),"","NEED REF")</f>
        <v/>
      </c>
    </row>
    <row r="2014">
      <c r="B2014" t="n">
        <v>34411987</v>
      </c>
      <c r="C2014" s="2" t="n">
        <v>45202</v>
      </c>
      <c r="D2014" t="inlineStr">
        <is>
          <t>SPEC</t>
        </is>
      </c>
      <c r="E2014" t="inlineStr">
        <is>
          <t>SMT PLASTRON GVEAC7 HAUT-BAS</t>
        </is>
      </c>
      <c r="F2014" t="inlineStr">
        <is>
          <t>QSFE77068</t>
        </is>
      </c>
      <c r="G2014" t="inlineStr">
        <is>
          <t>GVX</t>
        </is>
      </c>
      <c r="H2014" t="inlineStr">
        <is>
          <t>BCB</t>
        </is>
      </c>
      <c r="I2014" t="inlineStr">
        <is>
          <t>1500kVA</t>
        </is>
      </c>
      <c r="J2014" t="inlineStr">
        <is>
          <t>BERNARDEAU</t>
        </is>
      </c>
      <c r="K2014" t="inlineStr">
        <is>
          <t>METAL</t>
        </is>
      </c>
      <c r="L2014">
        <f>_xlfn.XLOOKUP(Tableau1[[#This Row],[TYPE DE PIECE]],Tableau4[MATIERE],Tableau4[SHORT TYPE],"",0,1)</f>
        <v/>
      </c>
      <c r="N2014">
        <f>IF(ISERR(FIND("DECOUPE",Tableau1[[#This Row],[DESIGNATION]])),"","NEED REF")</f>
        <v/>
      </c>
    </row>
    <row r="2015">
      <c r="B2015" t="n">
        <v>34411986</v>
      </c>
      <c r="C2015" s="2" t="n">
        <v>45202</v>
      </c>
      <c r="D2015" t="inlineStr">
        <is>
          <t>SPEC</t>
        </is>
      </c>
      <c r="E2015" t="inlineStr">
        <is>
          <t>COP CUIVRE VERTICAL</t>
        </is>
      </c>
      <c r="F2015" t="inlineStr">
        <is>
          <t>QSFE77068</t>
        </is>
      </c>
      <c r="G2015" t="inlineStr">
        <is>
          <t>GVX</t>
        </is>
      </c>
      <c r="H2015" t="inlineStr">
        <is>
          <t>BCB</t>
        </is>
      </c>
      <c r="I2015" t="inlineStr">
        <is>
          <t>1500kVA</t>
        </is>
      </c>
      <c r="J2015" t="inlineStr">
        <is>
          <t>BERNARDEAU</t>
        </is>
      </c>
      <c r="K2015" t="inlineStr">
        <is>
          <t>CUIVRE</t>
        </is>
      </c>
      <c r="L2015">
        <f>_xlfn.XLOOKUP(Tableau1[[#This Row],[TYPE DE PIECE]],Tableau4[MATIERE],Tableau4[SHORT TYPE],"",0,1)</f>
        <v/>
      </c>
      <c r="N2015">
        <f>IF(ISERR(FIND("DECOUPE",Tableau1[[#This Row],[DESIGNATION]])),"","NEED REF")</f>
        <v/>
      </c>
    </row>
    <row r="2016">
      <c r="B2016" t="n">
        <v>34411985</v>
      </c>
      <c r="C2016" s="2" t="n">
        <v>45202</v>
      </c>
      <c r="D2016" t="inlineStr">
        <is>
          <t>SPEC</t>
        </is>
      </c>
      <c r="E2016" t="inlineStr">
        <is>
          <t>COP CUIVRE VERTICAL</t>
        </is>
      </c>
      <c r="F2016" t="inlineStr">
        <is>
          <t>QSFE77068</t>
        </is>
      </c>
      <c r="G2016" t="inlineStr">
        <is>
          <t>GVX</t>
        </is>
      </c>
      <c r="H2016" t="inlineStr">
        <is>
          <t>BCB</t>
        </is>
      </c>
      <c r="I2016" t="inlineStr">
        <is>
          <t>1500kVA</t>
        </is>
      </c>
      <c r="J2016" t="inlineStr">
        <is>
          <t>BERNARDEAU</t>
        </is>
      </c>
      <c r="K2016" t="inlineStr">
        <is>
          <t>CUIVRE</t>
        </is>
      </c>
      <c r="L2016">
        <f>_xlfn.XLOOKUP(Tableau1[[#This Row],[TYPE DE PIECE]],Tableau4[MATIERE],Tableau4[SHORT TYPE],"",0,1)</f>
        <v/>
      </c>
      <c r="N2016">
        <f>IF(ISERR(FIND("DECOUPE",Tableau1[[#This Row],[DESIGNATION]])),"","NEED REF")</f>
        <v/>
      </c>
    </row>
    <row r="2017">
      <c r="B2017" t="n">
        <v>34411984</v>
      </c>
      <c r="C2017" s="2" t="n">
        <v>45202</v>
      </c>
      <c r="D2017" t="inlineStr">
        <is>
          <t>SPEC</t>
        </is>
      </c>
      <c r="E2017" t="inlineStr">
        <is>
          <t>PLA BRIDE MAINTIEN CUIVRE</t>
        </is>
      </c>
      <c r="F2017" t="inlineStr">
        <is>
          <t>QSFE77068</t>
        </is>
      </c>
      <c r="G2017" t="inlineStr">
        <is>
          <t>GVX</t>
        </is>
      </c>
      <c r="H2017" t="inlineStr">
        <is>
          <t>BCB</t>
        </is>
      </c>
      <c r="I2017" t="inlineStr">
        <is>
          <t>1500kVA</t>
        </is>
      </c>
      <c r="J2017" t="inlineStr">
        <is>
          <t>BERNARDEAU</t>
        </is>
      </c>
      <c r="K2017" t="inlineStr">
        <is>
          <t>PLASTIQUE</t>
        </is>
      </c>
      <c r="L2017">
        <f>_xlfn.XLOOKUP(Tableau1[[#This Row],[TYPE DE PIECE]],Tableau4[MATIERE],Tableau4[SHORT TYPE],"",0,1)</f>
        <v/>
      </c>
      <c r="N2017">
        <f>IF(ISERR(FIND("DECOUPE",Tableau1[[#This Row],[DESIGNATION]])),"","NEED REF")</f>
        <v/>
      </c>
    </row>
    <row r="2018">
      <c r="B2018" t="n">
        <v>34411983</v>
      </c>
      <c r="C2018" s="2" t="n">
        <v>45202</v>
      </c>
      <c r="D2018" t="inlineStr">
        <is>
          <t>SPEC</t>
        </is>
      </c>
      <c r="E2018" t="inlineStr">
        <is>
          <t>PLA BRIDE MAINTIEN CUIVRE</t>
        </is>
      </c>
      <c r="F2018" t="inlineStr">
        <is>
          <t>QSFE77068</t>
        </is>
      </c>
      <c r="G2018" t="inlineStr">
        <is>
          <t>GVX</t>
        </is>
      </c>
      <c r="H2018" t="inlineStr">
        <is>
          <t>BCB</t>
        </is>
      </c>
      <c r="I2018" t="inlineStr">
        <is>
          <t>1500kVA</t>
        </is>
      </c>
      <c r="J2018" t="inlineStr">
        <is>
          <t>BERNARDEAU</t>
        </is>
      </c>
      <c r="K2018" t="inlineStr">
        <is>
          <t>PLASTIQUE</t>
        </is>
      </c>
      <c r="L2018">
        <f>_xlfn.XLOOKUP(Tableau1[[#This Row],[TYPE DE PIECE]],Tableau4[MATIERE],Tableau4[SHORT TYPE],"",0,1)</f>
        <v/>
      </c>
      <c r="N2018">
        <f>IF(ISERR(FIND("DECOUPE",Tableau1[[#This Row],[DESIGNATION]])),"","NEED REF")</f>
        <v/>
      </c>
    </row>
    <row r="2019">
      <c r="B2019" t="n">
        <v>34411982</v>
      </c>
      <c r="C2019" s="2" t="n">
        <v>45202</v>
      </c>
      <c r="D2019" t="inlineStr">
        <is>
          <t>SPEC</t>
        </is>
      </c>
      <c r="E2019" t="inlineStr">
        <is>
          <t>PLA SUPPORT CUIVRE</t>
        </is>
      </c>
      <c r="F2019" t="inlineStr">
        <is>
          <t>QSFE77068</t>
        </is>
      </c>
      <c r="G2019" t="inlineStr">
        <is>
          <t>GVX</t>
        </is>
      </c>
      <c r="H2019" t="inlineStr">
        <is>
          <t>BCB</t>
        </is>
      </c>
      <c r="I2019" t="inlineStr">
        <is>
          <t>1500kVA</t>
        </is>
      </c>
      <c r="J2019" t="inlineStr">
        <is>
          <t>BERNARDEAU</t>
        </is>
      </c>
      <c r="K2019" t="inlineStr">
        <is>
          <t>PLASTIQUE</t>
        </is>
      </c>
      <c r="L2019">
        <f>_xlfn.XLOOKUP(Tableau1[[#This Row],[TYPE DE PIECE]],Tableau4[MATIERE],Tableau4[SHORT TYPE],"",0,1)</f>
        <v/>
      </c>
      <c r="N2019">
        <f>IF(ISERR(FIND("DECOUPE",Tableau1[[#This Row],[DESIGNATION]])),"","NEED REF")</f>
        <v/>
      </c>
    </row>
    <row r="2020">
      <c r="B2020" t="n">
        <v>34411981</v>
      </c>
      <c r="C2020" s="2" t="n">
        <v>45202</v>
      </c>
      <c r="D2020" t="inlineStr">
        <is>
          <t>SPEC</t>
        </is>
      </c>
      <c r="E2020" t="inlineStr">
        <is>
          <t>SMT TRAVERSE LATERAL SUPPORT CUIVRE GVEACXD10</t>
        </is>
      </c>
      <c r="F2020" t="inlineStr">
        <is>
          <t>QSFE77068</t>
        </is>
      </c>
      <c r="G2020" t="inlineStr">
        <is>
          <t>GVX</t>
        </is>
      </c>
      <c r="H2020" t="inlineStr">
        <is>
          <t>BCB</t>
        </is>
      </c>
      <c r="I2020" t="inlineStr">
        <is>
          <t>1500kVA</t>
        </is>
      </c>
      <c r="J2020" t="inlineStr">
        <is>
          <t>BERNARDEAU</t>
        </is>
      </c>
      <c r="K2020" t="inlineStr">
        <is>
          <t>METAL</t>
        </is>
      </c>
      <c r="L2020">
        <f>_xlfn.XLOOKUP(Tableau1[[#This Row],[TYPE DE PIECE]],Tableau4[MATIERE],Tableau4[SHORT TYPE],"",0,1)</f>
        <v/>
      </c>
      <c r="N2020">
        <f>IF(ISERR(FIND("DECOUPE",Tableau1[[#This Row],[DESIGNATION]])),"","NEED REF")</f>
        <v/>
      </c>
    </row>
    <row r="2021">
      <c r="B2021" t="n">
        <v>34411980</v>
      </c>
      <c r="C2021" s="2" t="n">
        <v>45202</v>
      </c>
      <c r="D2021" t="inlineStr">
        <is>
          <t>SPEC</t>
        </is>
      </c>
      <c r="E2021" t="inlineStr">
        <is>
          <t>PLA BRIDE MAINTIEN CUIVRE</t>
        </is>
      </c>
      <c r="F2021" t="inlineStr">
        <is>
          <t>QSFE77068</t>
        </is>
      </c>
      <c r="G2021" t="inlineStr">
        <is>
          <t>GVX</t>
        </is>
      </c>
      <c r="H2021" t="inlineStr">
        <is>
          <t>BCB</t>
        </is>
      </c>
      <c r="I2021" t="inlineStr">
        <is>
          <t>1500kVA</t>
        </is>
      </c>
      <c r="J2021" t="inlineStr">
        <is>
          <t>BERNARDEAU</t>
        </is>
      </c>
      <c r="K2021" t="inlineStr">
        <is>
          <t>PLASTIQUE</t>
        </is>
      </c>
      <c r="L2021">
        <f>_xlfn.XLOOKUP(Tableau1[[#This Row],[TYPE DE PIECE]],Tableau4[MATIERE],Tableau4[SHORT TYPE],"",0,1)</f>
        <v/>
      </c>
      <c r="N2021">
        <f>IF(ISERR(FIND("DECOUPE",Tableau1[[#This Row],[DESIGNATION]])),"","NEED REF")</f>
        <v/>
      </c>
    </row>
    <row r="2022">
      <c r="B2022" t="n">
        <v>34411979</v>
      </c>
      <c r="C2022" s="2" t="n">
        <v>45202</v>
      </c>
      <c r="D2022" t="inlineStr">
        <is>
          <t>SPEC</t>
        </is>
      </c>
      <c r="E2022" t="inlineStr">
        <is>
          <t>SMT TRAVERSE LATERAL SUPPORT CUIVRE GVEACXD10</t>
        </is>
      </c>
      <c r="F2022" t="inlineStr">
        <is>
          <t>QSFE77068</t>
        </is>
      </c>
      <c r="G2022" t="inlineStr">
        <is>
          <t>GVX</t>
        </is>
      </c>
      <c r="H2022" t="inlineStr">
        <is>
          <t>BCB</t>
        </is>
      </c>
      <c r="I2022" t="inlineStr">
        <is>
          <t>1500kVA</t>
        </is>
      </c>
      <c r="J2022" t="inlineStr">
        <is>
          <t>BERNARDEAU</t>
        </is>
      </c>
      <c r="K2022" t="inlineStr">
        <is>
          <t>METAL</t>
        </is>
      </c>
      <c r="L2022">
        <f>_xlfn.XLOOKUP(Tableau1[[#This Row],[TYPE DE PIECE]],Tableau4[MATIERE],Tableau4[SHORT TYPE],"",0,1)</f>
        <v/>
      </c>
      <c r="N2022">
        <f>IF(ISERR(FIND("DECOUPE",Tableau1[[#This Row],[DESIGNATION]])),"","NEED REF")</f>
        <v/>
      </c>
    </row>
    <row r="2023">
      <c r="B2023" t="n">
        <v>34411978</v>
      </c>
      <c r="C2023" s="2" t="n">
        <v>45202</v>
      </c>
      <c r="D2023" t="inlineStr">
        <is>
          <t>SPEC</t>
        </is>
      </c>
      <c r="E2023" t="inlineStr">
        <is>
          <t>SMT TRAVERSE SUPPORT BBK</t>
        </is>
      </c>
      <c r="F2023" t="inlineStr">
        <is>
          <t>QSFE77068</t>
        </is>
      </c>
      <c r="G2023" t="inlineStr">
        <is>
          <t>GVX</t>
        </is>
      </c>
      <c r="H2023" t="inlineStr">
        <is>
          <t>BCB</t>
        </is>
      </c>
      <c r="I2023" t="inlineStr">
        <is>
          <t>1500kVA</t>
        </is>
      </c>
      <c r="J2023" t="inlineStr">
        <is>
          <t>BERNARDEAU</t>
        </is>
      </c>
      <c r="K2023" t="inlineStr">
        <is>
          <t>METAL</t>
        </is>
      </c>
      <c r="L2023">
        <f>_xlfn.XLOOKUP(Tableau1[[#This Row],[TYPE DE PIECE]],Tableau4[MATIERE],Tableau4[SHORT TYPE],"",0,1)</f>
        <v/>
      </c>
      <c r="N2023">
        <f>IF(ISERR(FIND("DECOUPE",Tableau1[[#This Row],[DESIGNATION]])),"","NEED REF")</f>
        <v/>
      </c>
    </row>
    <row r="2024">
      <c r="B2024" t="n">
        <v>34411977</v>
      </c>
      <c r="C2024" s="2" t="n">
        <v>45202</v>
      </c>
      <c r="D2024" t="inlineStr">
        <is>
          <t>SPEC</t>
        </is>
      </c>
      <c r="E2024" t="inlineStr">
        <is>
          <t>SMT TRAVERSE SUPPORT BBK</t>
        </is>
      </c>
      <c r="F2024" t="inlineStr">
        <is>
          <t>QSFE77068</t>
        </is>
      </c>
      <c r="G2024" t="inlineStr">
        <is>
          <t>GVX</t>
        </is>
      </c>
      <c r="H2024" t="inlineStr">
        <is>
          <t>BCB</t>
        </is>
      </c>
      <c r="I2024" t="inlineStr">
        <is>
          <t>1500kVA</t>
        </is>
      </c>
      <c r="J2024" t="inlineStr">
        <is>
          <t>BERNARDEAU</t>
        </is>
      </c>
      <c r="K2024" t="inlineStr">
        <is>
          <t>METAL</t>
        </is>
      </c>
      <c r="L2024">
        <f>_xlfn.XLOOKUP(Tableau1[[#This Row],[TYPE DE PIECE]],Tableau4[MATIERE],Tableau4[SHORT TYPE],"",0,1)</f>
        <v/>
      </c>
      <c r="N2024">
        <f>IF(ISERR(FIND("DECOUPE",Tableau1[[#This Row],[DESIGNATION]])),"","NEED REF")</f>
        <v/>
      </c>
    </row>
    <row r="2025">
      <c r="B2025" t="n">
        <v>34411976</v>
      </c>
      <c r="C2025" s="2" t="n">
        <v>45202</v>
      </c>
      <c r="D2025" t="inlineStr">
        <is>
          <t>SPEC</t>
        </is>
      </c>
      <c r="E2025" t="inlineStr">
        <is>
          <t>COP CUIVRE BBK 2</t>
        </is>
      </c>
      <c r="F2025" t="inlineStr">
        <is>
          <t>QSFE77068</t>
        </is>
      </c>
      <c r="G2025" t="inlineStr">
        <is>
          <t>GVX</t>
        </is>
      </c>
      <c r="H2025" t="inlineStr">
        <is>
          <t>BCB</t>
        </is>
      </c>
      <c r="I2025" t="inlineStr">
        <is>
          <t>1500kVA</t>
        </is>
      </c>
      <c r="J2025" t="inlineStr">
        <is>
          <t>BERNARDEAU</t>
        </is>
      </c>
      <c r="K2025" t="inlineStr">
        <is>
          <t>CUIVRE</t>
        </is>
      </c>
      <c r="L2025">
        <f>_xlfn.XLOOKUP(Tableau1[[#This Row],[TYPE DE PIECE]],Tableau4[MATIERE],Tableau4[SHORT TYPE],"",0,1)</f>
        <v/>
      </c>
      <c r="N2025">
        <f>IF(ISERR(FIND("DECOUPE",Tableau1[[#This Row],[DESIGNATION]])),"","NEED REF")</f>
        <v/>
      </c>
    </row>
    <row r="2026">
      <c r="B2026" t="n">
        <v>34411975</v>
      </c>
      <c r="C2026" s="2" t="n">
        <v>45202</v>
      </c>
      <c r="D2026" t="inlineStr">
        <is>
          <t>SPEC</t>
        </is>
      </c>
      <c r="E2026" t="inlineStr">
        <is>
          <t>COP CUIVRE BBK 1</t>
        </is>
      </c>
      <c r="F2026" t="inlineStr">
        <is>
          <t>QSFE77068</t>
        </is>
      </c>
      <c r="G2026" t="inlineStr">
        <is>
          <t>GVX</t>
        </is>
      </c>
      <c r="H2026" t="inlineStr">
        <is>
          <t>BCB</t>
        </is>
      </c>
      <c r="I2026" t="inlineStr">
        <is>
          <t>1500kVA</t>
        </is>
      </c>
      <c r="J2026" t="inlineStr">
        <is>
          <t>BERNARDEAU</t>
        </is>
      </c>
      <c r="K2026" t="inlineStr">
        <is>
          <t>CUIVRE</t>
        </is>
      </c>
      <c r="L2026">
        <f>_xlfn.XLOOKUP(Tableau1[[#This Row],[TYPE DE PIECE]],Tableau4[MATIERE],Tableau4[SHORT TYPE],"",0,1)</f>
        <v/>
      </c>
      <c r="N2026">
        <f>IF(ISERR(FIND("DECOUPE",Tableau1[[#This Row],[DESIGNATION]])),"","NEED REF")</f>
        <v/>
      </c>
    </row>
    <row r="2027">
      <c r="B2027" t="n">
        <v>34411974</v>
      </c>
      <c r="C2027" s="2" t="n">
        <v>45202</v>
      </c>
      <c r="D2027" t="inlineStr">
        <is>
          <t>SPEC</t>
        </is>
      </c>
      <c r="E2027" t="inlineStr">
        <is>
          <t>SMT SUPPORT BBK ETO</t>
        </is>
      </c>
      <c r="F2027" t="inlineStr">
        <is>
          <t>QSFE77068</t>
        </is>
      </c>
      <c r="G2027" t="inlineStr">
        <is>
          <t>GVX</t>
        </is>
      </c>
      <c r="H2027" t="inlineStr">
        <is>
          <t>BCB</t>
        </is>
      </c>
      <c r="I2027" t="inlineStr">
        <is>
          <t>1500kVA</t>
        </is>
      </c>
      <c r="J2027" t="inlineStr">
        <is>
          <t>BERNARDEAU</t>
        </is>
      </c>
      <c r="K2027" t="inlineStr">
        <is>
          <t>METAL</t>
        </is>
      </c>
      <c r="L2027">
        <f>_xlfn.XLOOKUP(Tableau1[[#This Row],[TYPE DE PIECE]],Tableau4[MATIERE],Tableau4[SHORT TYPE],"",0,1)</f>
        <v/>
      </c>
      <c r="N2027">
        <f>IF(ISERR(FIND("DECOUPE",Tableau1[[#This Row],[DESIGNATION]])),"","NEED REF")</f>
        <v/>
      </c>
    </row>
    <row r="2028">
      <c r="B2028" t="n">
        <v>34411973</v>
      </c>
      <c r="C2028" s="2" t="n">
        <v>45201</v>
      </c>
      <c r="D2028" t="inlineStr">
        <is>
          <t>SPEC</t>
        </is>
      </c>
      <c r="E2028" t="inlineStr">
        <is>
          <t>RACCORDEMENT INPUT MODULAIRE</t>
        </is>
      </c>
      <c r="G2028" t="inlineStr">
        <is>
          <t>GVXL</t>
        </is>
      </c>
      <c r="H2028" t="inlineStr">
        <is>
          <t>IO</t>
        </is>
      </c>
      <c r="I2028" t="inlineStr">
        <is>
          <t>1250kVA</t>
        </is>
      </c>
      <c r="J2028" t="inlineStr">
        <is>
          <t>Rodriguez</t>
        </is>
      </c>
      <c r="K2028" t="inlineStr">
        <is>
          <t>CUIVRE</t>
        </is>
      </c>
      <c r="L2028">
        <f>_xlfn.XLOOKUP(Tableau1[[#This Row],[TYPE DE PIECE]],Tableau4[MATIERE],Tableau4[SHORT TYPE],"",0,1)</f>
        <v/>
      </c>
      <c r="N2028">
        <f>IF(ISERR(FIND("DECOUPE",Tableau1[[#This Row],[DESIGNATION]])),"","NEED REF")</f>
        <v/>
      </c>
    </row>
    <row r="2029">
      <c r="B2029" t="n">
        <v>34411972</v>
      </c>
      <c r="C2029" s="2" t="n">
        <v>45201</v>
      </c>
      <c r="D2029" t="inlineStr">
        <is>
          <t>SPEC</t>
        </is>
      </c>
      <c r="E2029" t="inlineStr">
        <is>
          <t>SCH DECOUPE NSYMDVR3M L755MM</t>
        </is>
      </c>
      <c r="G2029" t="inlineStr">
        <is>
          <t>GVS</t>
        </is>
      </c>
      <c r="H2029" t="inlineStr">
        <is>
          <t>BYPASS</t>
        </is>
      </c>
      <c r="I2029" t="inlineStr">
        <is>
          <t>150KW</t>
        </is>
      </c>
      <c r="J2029" t="inlineStr">
        <is>
          <t>JAWORSKI</t>
        </is>
      </c>
      <c r="K2029" t="inlineStr">
        <is>
          <t>ETO</t>
        </is>
      </c>
      <c r="L2029">
        <f>_xlfn.XLOOKUP(Tableau1[[#This Row],[TYPE DE PIECE]],Tableau4[MATIERE],Tableau4[SHORT TYPE],"",0,1)</f>
        <v/>
      </c>
      <c r="N2029" t="inlineStr">
        <is>
          <t>NSYMDVR3M</t>
        </is>
      </c>
    </row>
    <row r="2030">
      <c r="B2030" t="n">
        <v>34411971</v>
      </c>
      <c r="C2030" s="2" t="n">
        <v>45198</v>
      </c>
      <c r="D2030" t="inlineStr">
        <is>
          <t>SPEC</t>
        </is>
      </c>
      <c r="E2030" s="92" t="inlineStr">
        <is>
          <t>ETQ 34411971 SERIGRAPHIE Lexan 8B35 125µ Adhesif 3M 467 MP</t>
        </is>
      </c>
      <c r="H2030" t="inlineStr">
        <is>
          <t>STS</t>
        </is>
      </c>
      <c r="I2030" t="inlineStr">
        <is>
          <t>1250A</t>
        </is>
      </c>
      <c r="J2030" t="inlineStr">
        <is>
          <t>MATRION</t>
        </is>
      </c>
      <c r="K2030" t="inlineStr">
        <is>
          <t>ETIQUETTE</t>
        </is>
      </c>
      <c r="L2030">
        <f>_xlfn.XLOOKUP(Tableau1[[#This Row],[TYPE DE PIECE]],Tableau4[MATIERE],Tableau4[SHORT TYPE],"",0,1)</f>
        <v/>
      </c>
      <c r="N2030">
        <f>IF(ISERR(FIND("DECOUPE",Tableau1[[#This Row],[DESIGNATION]])),"","NEED REF")</f>
        <v/>
      </c>
    </row>
    <row r="2031">
      <c r="B2031" t="n">
        <v>34411970</v>
      </c>
      <c r="C2031" s="2" t="n">
        <v>45197</v>
      </c>
      <c r="D2031" t="inlineStr">
        <is>
          <t>SPEC</t>
        </is>
      </c>
      <c r="E2031" t="inlineStr">
        <is>
          <t>SUPPORT LATERAL HAUT STS 400-630A_ETO</t>
        </is>
      </c>
      <c r="H2031" t="inlineStr">
        <is>
          <t>STS</t>
        </is>
      </c>
      <c r="J2031" t="inlineStr">
        <is>
          <t>Rodriguez</t>
        </is>
      </c>
      <c r="K2031" t="inlineStr">
        <is>
          <t>METAL</t>
        </is>
      </c>
      <c r="L2031">
        <f>_xlfn.XLOOKUP(Tableau1[[#This Row],[TYPE DE PIECE]],Tableau4[MATIERE],Tableau4[SHORT TYPE],"",0,1)</f>
        <v/>
      </c>
      <c r="N2031">
        <f>IF(ISERR(FIND("DECOUPE",Tableau1[[#This Row],[DESIGNATION]])),"","NEED REF")</f>
        <v/>
      </c>
    </row>
    <row r="2032">
      <c r="B2032" t="n">
        <v>34411969</v>
      </c>
      <c r="C2032" s="2" t="n">
        <v>45197</v>
      </c>
      <c r="D2032" t="inlineStr">
        <is>
          <t>SPEC</t>
        </is>
      </c>
      <c r="E2032" t="inlineStr">
        <is>
          <t>NOM KIT SHEET METAL N CUT STS 4/600A 4 POLES</t>
        </is>
      </c>
      <c r="F2032" t="inlineStr">
        <is>
          <t>TERACO</t>
        </is>
      </c>
      <c r="H2032" t="inlineStr">
        <is>
          <t>STS</t>
        </is>
      </c>
      <c r="I2032" t="inlineStr">
        <is>
          <t>600A</t>
        </is>
      </c>
      <c r="J2032" t="inlineStr">
        <is>
          <t>JAWORSKI</t>
        </is>
      </c>
      <c r="K2032" t="inlineStr">
        <is>
          <t>NOMENCLATURE</t>
        </is>
      </c>
      <c r="L2032">
        <f>_xlfn.XLOOKUP(Tableau1[[#This Row],[TYPE DE PIECE]],Tableau4[MATIERE],Tableau4[SHORT TYPE],"",0,1)</f>
        <v/>
      </c>
      <c r="N2032">
        <f>IF(ISERR(FIND("DECOUPE",Tableau1[[#This Row],[DESIGNATION]])),"","NEED REF")</f>
        <v/>
      </c>
    </row>
    <row r="2033">
      <c r="B2033" t="n">
        <v>34411968</v>
      </c>
      <c r="C2033" s="2" t="n">
        <v>45197</v>
      </c>
      <c r="D2033" t="inlineStr">
        <is>
          <t>SPEC</t>
        </is>
      </c>
      <c r="E2033" t="inlineStr">
        <is>
          <t>NOM ASSY PLATE CUT NEUT 380/400V STS 4/630A</t>
        </is>
      </c>
      <c r="F2033" t="inlineStr">
        <is>
          <t>TERACO</t>
        </is>
      </c>
      <c r="H2033" t="inlineStr">
        <is>
          <t>STS</t>
        </is>
      </c>
      <c r="I2033" t="inlineStr">
        <is>
          <t>600A</t>
        </is>
      </c>
      <c r="J2033" t="inlineStr">
        <is>
          <t>JAWORSKI</t>
        </is>
      </c>
      <c r="K2033" t="inlineStr">
        <is>
          <t>NOMENCLATURE</t>
        </is>
      </c>
      <c r="L2033">
        <f>_xlfn.XLOOKUP(Tableau1[[#This Row],[TYPE DE PIECE]],Tableau4[MATIERE],Tableau4[SHORT TYPE],"",0,1)</f>
        <v/>
      </c>
      <c r="N2033">
        <f>IF(ISERR(FIND("DECOUPE",Tableau1[[#This Row],[DESIGNATION]])),"","NEED REF")</f>
        <v/>
      </c>
    </row>
    <row r="2034">
      <c r="B2034" t="n">
        <v>34411967</v>
      </c>
      <c r="C2034" s="2" t="n">
        <v>45197</v>
      </c>
      <c r="D2034" t="inlineStr">
        <is>
          <t>SPEC</t>
        </is>
      </c>
      <c r="E2034" t="inlineStr">
        <is>
          <t>COP OUTPUT NEUTRAL TRAVERSE</t>
        </is>
      </c>
      <c r="G2034" t="inlineStr">
        <is>
          <t>GVXL</t>
        </is>
      </c>
      <c r="H2034" t="inlineStr">
        <is>
          <t>IO</t>
        </is>
      </c>
      <c r="I2034" t="inlineStr">
        <is>
          <t>1250kVA</t>
        </is>
      </c>
      <c r="J2034" t="inlineStr">
        <is>
          <t>Rodriguez</t>
        </is>
      </c>
      <c r="K2034" t="inlineStr">
        <is>
          <t>CUIVRE</t>
        </is>
      </c>
      <c r="L2034">
        <f>_xlfn.XLOOKUP(Tableau1[[#This Row],[TYPE DE PIECE]],Tableau4[MATIERE],Tableau4[SHORT TYPE],"",0,1)</f>
        <v/>
      </c>
      <c r="N2034">
        <f>IF(ISERR(FIND("DECOUPE",Tableau1[[#This Row],[DESIGNATION]])),"","NEED REF")</f>
        <v/>
      </c>
    </row>
    <row r="2035">
      <c r="B2035" t="n">
        <v>34411966</v>
      </c>
      <c r="C2035" s="2" t="n">
        <v>45197</v>
      </c>
      <c r="D2035" t="inlineStr">
        <is>
          <t>SPEC</t>
        </is>
      </c>
      <c r="E2035" t="inlineStr">
        <is>
          <t>COP OUTPPUT NEUTRAL</t>
        </is>
      </c>
      <c r="G2035" t="inlineStr">
        <is>
          <t>GVXL</t>
        </is>
      </c>
      <c r="H2035" t="inlineStr">
        <is>
          <t>IO</t>
        </is>
      </c>
      <c r="I2035" t="inlineStr">
        <is>
          <t>1250kVA</t>
        </is>
      </c>
      <c r="J2035" t="inlineStr">
        <is>
          <t>Rodriguez</t>
        </is>
      </c>
      <c r="K2035" t="inlineStr">
        <is>
          <t>CUIVRE</t>
        </is>
      </c>
      <c r="L2035">
        <f>_xlfn.XLOOKUP(Tableau1[[#This Row],[TYPE DE PIECE]],Tableau4[MATIERE],Tableau4[SHORT TYPE],"",0,1)</f>
        <v/>
      </c>
      <c r="N2035">
        <f>IF(ISERR(FIND("DECOUPE",Tableau1[[#This Row],[DESIGNATION]])),"","NEED REF")</f>
        <v/>
      </c>
    </row>
    <row r="2036">
      <c r="B2036" t="n">
        <v>34411965</v>
      </c>
      <c r="C2036" s="2" t="n">
        <v>45197</v>
      </c>
      <c r="D2036" t="inlineStr">
        <is>
          <t>SPEC</t>
        </is>
      </c>
      <c r="E2036" t="inlineStr">
        <is>
          <t>COP PLAQUE NEUTRAL</t>
        </is>
      </c>
      <c r="G2036" t="inlineStr">
        <is>
          <t>GVXL</t>
        </is>
      </c>
      <c r="H2036" t="inlineStr">
        <is>
          <t>IO</t>
        </is>
      </c>
      <c r="I2036" t="inlineStr">
        <is>
          <t>1250kVA</t>
        </is>
      </c>
      <c r="J2036" t="inlineStr">
        <is>
          <t>Rodriguez</t>
        </is>
      </c>
      <c r="K2036" t="inlineStr">
        <is>
          <t>CUIVRE</t>
        </is>
      </c>
      <c r="L2036">
        <f>_xlfn.XLOOKUP(Tableau1[[#This Row],[TYPE DE PIECE]],Tableau4[MATIERE],Tableau4[SHORT TYPE],"",0,1)</f>
        <v/>
      </c>
      <c r="N2036">
        <f>IF(ISERR(FIND("DECOUPE",Tableau1[[#This Row],[DESIGNATION]])),"","NEED REF")</f>
        <v/>
      </c>
    </row>
    <row r="2037">
      <c r="B2037" t="n">
        <v>34411964</v>
      </c>
      <c r="C2037" s="2" t="n">
        <v>45197</v>
      </c>
      <c r="D2037" t="inlineStr">
        <is>
          <t>SPEC</t>
        </is>
      </c>
      <c r="E2037" t="inlineStr">
        <is>
          <t>COP INPUT NEUTRAL</t>
        </is>
      </c>
      <c r="G2037" t="inlineStr">
        <is>
          <t>GVXL</t>
        </is>
      </c>
      <c r="H2037" t="inlineStr">
        <is>
          <t>IO</t>
        </is>
      </c>
      <c r="I2037" t="inlineStr">
        <is>
          <t>1250kVA</t>
        </is>
      </c>
      <c r="J2037" t="inlineStr">
        <is>
          <t>Rodriguez</t>
        </is>
      </c>
      <c r="K2037" t="inlineStr">
        <is>
          <t>CUIVRE</t>
        </is>
      </c>
      <c r="L2037">
        <f>_xlfn.XLOOKUP(Tableau1[[#This Row],[TYPE DE PIECE]],Tableau4[MATIERE],Tableau4[SHORT TYPE],"",0,1)</f>
        <v/>
      </c>
      <c r="N2037">
        <f>IF(ISERR(FIND("DECOUPE",Tableau1[[#This Row],[DESIGNATION]])),"","NEED REF")</f>
        <v/>
      </c>
    </row>
    <row r="2038">
      <c r="B2038" t="n">
        <v>34411963</v>
      </c>
      <c r="C2038" s="2" t="n">
        <v>45197</v>
      </c>
      <c r="D2038" t="inlineStr">
        <is>
          <t>SPEC</t>
        </is>
      </c>
      <c r="E2038" t="inlineStr">
        <is>
          <t>NOM KIT CORRO. CUT NEUTRAL STD 4/600A 4POLES</t>
        </is>
      </c>
      <c r="F2038" t="inlineStr">
        <is>
          <t>TERACO</t>
        </is>
      </c>
      <c r="H2038" t="inlineStr">
        <is>
          <t>STS</t>
        </is>
      </c>
      <c r="I2038" t="inlineStr">
        <is>
          <t>600A</t>
        </is>
      </c>
      <c r="J2038" t="inlineStr">
        <is>
          <t>JAWORSKI</t>
        </is>
      </c>
      <c r="K2038" t="inlineStr">
        <is>
          <t>NOMENCLATURE</t>
        </is>
      </c>
      <c r="L2038">
        <f>_xlfn.XLOOKUP(Tableau1[[#This Row],[TYPE DE PIECE]],Tableau4[MATIERE],Tableau4[SHORT TYPE],"",0,1)</f>
        <v/>
      </c>
      <c r="N2038">
        <f>IF(ISERR(FIND("DECOUPE",Tableau1[[#This Row],[DESIGNATION]])),"","NEED REF")</f>
        <v/>
      </c>
    </row>
    <row r="2039">
      <c r="B2039" t="n">
        <v>34411962</v>
      </c>
      <c r="C2039" s="2" t="n">
        <v>45196</v>
      </c>
      <c r="D2039" t="inlineStr">
        <is>
          <t>SPEC</t>
        </is>
      </c>
      <c r="E2039" t="inlineStr">
        <is>
          <t>COP INPUT L3</t>
        </is>
      </c>
      <c r="G2039" t="inlineStr">
        <is>
          <t>GVXL</t>
        </is>
      </c>
      <c r="H2039" t="inlineStr">
        <is>
          <t>IO</t>
        </is>
      </c>
      <c r="I2039" t="inlineStr">
        <is>
          <t>1250kVA</t>
        </is>
      </c>
      <c r="J2039" t="inlineStr">
        <is>
          <t>Rodriguez</t>
        </is>
      </c>
      <c r="K2039" t="inlineStr">
        <is>
          <t>CUIVRE</t>
        </is>
      </c>
      <c r="L2039">
        <f>_xlfn.XLOOKUP(Tableau1[[#This Row],[TYPE DE PIECE]],Tableau4[MATIERE],Tableau4[SHORT TYPE],"",0,1)</f>
        <v/>
      </c>
      <c r="N2039">
        <f>IF(ISERR(FIND("DECOUPE",Tableau1[[#This Row],[DESIGNATION]])),"","NEED REF")</f>
        <v/>
      </c>
    </row>
    <row r="2040">
      <c r="B2040" t="n">
        <v>34411961</v>
      </c>
      <c r="C2040" s="2" t="n">
        <v>45196</v>
      </c>
      <c r="D2040" t="inlineStr">
        <is>
          <t>SPEC</t>
        </is>
      </c>
      <c r="E2040" t="inlineStr">
        <is>
          <t>COP INPUT L2</t>
        </is>
      </c>
      <c r="G2040" t="inlineStr">
        <is>
          <t>GVXL</t>
        </is>
      </c>
      <c r="H2040" t="inlineStr">
        <is>
          <t>IO</t>
        </is>
      </c>
      <c r="I2040" t="inlineStr">
        <is>
          <t>1250kVA</t>
        </is>
      </c>
      <c r="J2040" t="inlineStr">
        <is>
          <t>Rodriguez</t>
        </is>
      </c>
      <c r="K2040" t="inlineStr">
        <is>
          <t>CUIVRE</t>
        </is>
      </c>
      <c r="L2040">
        <f>_xlfn.XLOOKUP(Tableau1[[#This Row],[TYPE DE PIECE]],Tableau4[MATIERE],Tableau4[SHORT TYPE],"",0,1)</f>
        <v/>
      </c>
      <c r="N2040">
        <f>IF(ISERR(FIND("DECOUPE",Tableau1[[#This Row],[DESIGNATION]])),"","NEED REF")</f>
        <v/>
      </c>
    </row>
    <row r="2041">
      <c r="B2041" t="n">
        <v>34411960</v>
      </c>
      <c r="C2041" s="2" t="n">
        <v>45196</v>
      </c>
      <c r="D2041" t="inlineStr">
        <is>
          <t>SPEC</t>
        </is>
      </c>
      <c r="E2041" t="inlineStr">
        <is>
          <t>COP INPUT L1</t>
        </is>
      </c>
      <c r="G2041" t="inlineStr">
        <is>
          <t>GVXL</t>
        </is>
      </c>
      <c r="H2041" t="inlineStr">
        <is>
          <t>IO</t>
        </is>
      </c>
      <c r="I2041" t="inlineStr">
        <is>
          <t>1250kVA</t>
        </is>
      </c>
      <c r="J2041" t="inlineStr">
        <is>
          <t>Rodriguez</t>
        </is>
      </c>
      <c r="K2041" t="inlineStr">
        <is>
          <t>CUIVRE</t>
        </is>
      </c>
      <c r="L2041">
        <f>_xlfn.XLOOKUP(Tableau1[[#This Row],[TYPE DE PIECE]],Tableau4[MATIERE],Tableau4[SHORT TYPE],"",0,1)</f>
        <v/>
      </c>
      <c r="N2041">
        <f>IF(ISERR(FIND("DECOUPE",Tableau1[[#This Row],[DESIGNATION]])),"","NEED REF")</f>
        <v/>
      </c>
    </row>
    <row r="2042">
      <c r="B2042" t="n">
        <v>34411959</v>
      </c>
      <c r="C2042" s="2" t="n">
        <v>45196</v>
      </c>
      <c r="D2042" t="inlineStr">
        <is>
          <t>SPEC</t>
        </is>
      </c>
      <c r="E2042" t="inlineStr">
        <is>
          <t>COP OUTPUT L3</t>
        </is>
      </c>
      <c r="G2042" t="inlineStr">
        <is>
          <t>GVXL</t>
        </is>
      </c>
      <c r="H2042" t="inlineStr">
        <is>
          <t>IO</t>
        </is>
      </c>
      <c r="I2042" t="inlineStr">
        <is>
          <t>1250kVA</t>
        </is>
      </c>
      <c r="J2042" t="inlineStr">
        <is>
          <t>Rodriguez</t>
        </is>
      </c>
      <c r="K2042" t="inlineStr">
        <is>
          <t>CUIVRE</t>
        </is>
      </c>
      <c r="L2042">
        <f>_xlfn.XLOOKUP(Tableau1[[#This Row],[TYPE DE PIECE]],Tableau4[MATIERE],Tableau4[SHORT TYPE],"",0,1)</f>
        <v/>
      </c>
      <c r="N2042">
        <f>IF(ISERR(FIND("DECOUPE",Tableau1[[#This Row],[DESIGNATION]])),"","NEED REF")</f>
        <v/>
      </c>
    </row>
    <row r="2043">
      <c r="B2043" t="n">
        <v>34411958</v>
      </c>
      <c r="C2043" s="2" t="n">
        <v>45196</v>
      </c>
      <c r="D2043" t="inlineStr">
        <is>
          <t>SPEC</t>
        </is>
      </c>
      <c r="E2043" t="inlineStr">
        <is>
          <t>COP OUTPUT L2</t>
        </is>
      </c>
      <c r="G2043" t="inlineStr">
        <is>
          <t>GVXL</t>
        </is>
      </c>
      <c r="H2043" t="inlineStr">
        <is>
          <t>IO</t>
        </is>
      </c>
      <c r="I2043" t="inlineStr">
        <is>
          <t>1250kVA</t>
        </is>
      </c>
      <c r="J2043" t="inlineStr">
        <is>
          <t>Rodriguez</t>
        </is>
      </c>
      <c r="K2043" t="inlineStr">
        <is>
          <t>CUIVRE</t>
        </is>
      </c>
      <c r="L2043">
        <f>_xlfn.XLOOKUP(Tableau1[[#This Row],[TYPE DE PIECE]],Tableau4[MATIERE],Tableau4[SHORT TYPE],"",0,1)</f>
        <v/>
      </c>
      <c r="N2043">
        <f>IF(ISERR(FIND("DECOUPE",Tableau1[[#This Row],[DESIGNATION]])),"","NEED REF")</f>
        <v/>
      </c>
    </row>
    <row r="2044">
      <c r="B2044" t="n">
        <v>34411957</v>
      </c>
      <c r="C2044" s="2" t="n">
        <v>45196</v>
      </c>
      <c r="D2044" t="inlineStr">
        <is>
          <t>SPEC</t>
        </is>
      </c>
      <c r="E2044" t="inlineStr">
        <is>
          <t>COP OUTPUT L1</t>
        </is>
      </c>
      <c r="G2044" t="inlineStr">
        <is>
          <t>GVXL</t>
        </is>
      </c>
      <c r="H2044" t="inlineStr">
        <is>
          <t>IO</t>
        </is>
      </c>
      <c r="I2044" t="inlineStr">
        <is>
          <t>1250kVA</t>
        </is>
      </c>
      <c r="J2044" t="inlineStr">
        <is>
          <t>Rodriguez</t>
        </is>
      </c>
      <c r="K2044" t="inlineStr">
        <is>
          <t>CUIVRE</t>
        </is>
      </c>
      <c r="L2044">
        <f>_xlfn.XLOOKUP(Tableau1[[#This Row],[TYPE DE PIECE]],Tableau4[MATIERE],Tableau4[SHORT TYPE],"",0,1)</f>
        <v/>
      </c>
      <c r="N2044">
        <f>IF(ISERR(FIND("DECOUPE",Tableau1[[#This Row],[DESIGNATION]])),"","NEED REF")</f>
        <v/>
      </c>
    </row>
    <row r="2045">
      <c r="B2045" t="n">
        <v>34411956</v>
      </c>
      <c r="C2045" s="2" t="n">
        <v>45196</v>
      </c>
      <c r="D2045" t="inlineStr">
        <is>
          <t>SPEC</t>
        </is>
      </c>
      <c r="E2045" t="inlineStr">
        <is>
          <t>COP RACCORDEMENT DC</t>
        </is>
      </c>
      <c r="G2045" t="inlineStr">
        <is>
          <t>GVXL</t>
        </is>
      </c>
      <c r="H2045" t="inlineStr">
        <is>
          <t>IO</t>
        </is>
      </c>
      <c r="I2045" t="inlineStr">
        <is>
          <t>1250kVA</t>
        </is>
      </c>
      <c r="J2045" t="inlineStr">
        <is>
          <t>Rodriguez</t>
        </is>
      </c>
      <c r="K2045" t="inlineStr">
        <is>
          <t>CUIVRE</t>
        </is>
      </c>
      <c r="L2045">
        <f>_xlfn.XLOOKUP(Tableau1[[#This Row],[TYPE DE PIECE]],Tableau4[MATIERE],Tableau4[SHORT TYPE],"",0,1)</f>
        <v/>
      </c>
      <c r="N2045">
        <f>IF(ISERR(FIND("DECOUPE",Tableau1[[#This Row],[DESIGNATION]])),"","NEED REF")</f>
        <v/>
      </c>
    </row>
    <row r="2046">
      <c r="B2046" t="n">
        <v>34411955</v>
      </c>
      <c r="C2046" s="2" t="n">
        <v>45196</v>
      </c>
      <c r="D2046" t="inlineStr">
        <is>
          <t>SPEC</t>
        </is>
      </c>
      <c r="E2046" t="inlineStr">
        <is>
          <t>COP EQUERRE</t>
        </is>
      </c>
      <c r="G2046" t="inlineStr">
        <is>
          <t>GVXL</t>
        </is>
      </c>
      <c r="H2046" t="inlineStr">
        <is>
          <t>IO</t>
        </is>
      </c>
      <c r="I2046" t="inlineStr">
        <is>
          <t>1250kVA</t>
        </is>
      </c>
      <c r="J2046" t="inlineStr">
        <is>
          <t>Rodriguez</t>
        </is>
      </c>
      <c r="K2046" t="inlineStr">
        <is>
          <t>CUIVRE</t>
        </is>
      </c>
      <c r="L2046">
        <f>_xlfn.XLOOKUP(Tableau1[[#This Row],[TYPE DE PIECE]],Tableau4[MATIERE],Tableau4[SHORT TYPE],"",0,1)</f>
        <v/>
      </c>
      <c r="N2046">
        <f>IF(ISERR(FIND("DECOUPE",Tableau1[[#This Row],[DESIGNATION]])),"","NEED REF")</f>
        <v/>
      </c>
    </row>
    <row r="2047">
      <c r="B2047" t="n">
        <v>34411954</v>
      </c>
      <c r="C2047" s="2" t="n">
        <v>45196</v>
      </c>
      <c r="D2047" t="inlineStr">
        <is>
          <t>SPEC</t>
        </is>
      </c>
      <c r="E2047" t="inlineStr">
        <is>
          <t>COP DC GVXL</t>
        </is>
      </c>
      <c r="G2047" t="inlineStr">
        <is>
          <t>GVXL</t>
        </is>
      </c>
      <c r="H2047" t="inlineStr">
        <is>
          <t>IO</t>
        </is>
      </c>
      <c r="I2047" t="inlineStr">
        <is>
          <t>1250kVA</t>
        </is>
      </c>
      <c r="J2047" t="inlineStr">
        <is>
          <t>Rodriguez</t>
        </is>
      </c>
      <c r="K2047" t="inlineStr">
        <is>
          <t>CUIVRE</t>
        </is>
      </c>
      <c r="L2047">
        <f>_xlfn.XLOOKUP(Tableau1[[#This Row],[TYPE DE PIECE]],Tableau4[MATIERE],Tableau4[SHORT TYPE],"",0,1)</f>
        <v/>
      </c>
      <c r="N2047">
        <f>IF(ISERR(FIND("DECOUPE",Tableau1[[#This Row],[DESIGNATION]])),"","NEED REF")</f>
        <v/>
      </c>
    </row>
    <row r="2048">
      <c r="B2048" t="n">
        <v>34411953</v>
      </c>
      <c r="C2048" s="2" t="n">
        <v>45196</v>
      </c>
      <c r="D2048" t="inlineStr">
        <is>
          <t>SPEC</t>
        </is>
      </c>
      <c r="E2048" t="inlineStr">
        <is>
          <t xml:space="preserve"> COP BUSBAR COROPLAST Q3-L1 4/600A 4 POLES </t>
        </is>
      </c>
      <c r="F2048" t="inlineStr">
        <is>
          <t>TERACO</t>
        </is>
      </c>
      <c r="H2048" t="inlineStr">
        <is>
          <t>STS</t>
        </is>
      </c>
      <c r="I2048" t="inlineStr">
        <is>
          <t>600A</t>
        </is>
      </c>
      <c r="J2048" t="inlineStr">
        <is>
          <t>JAWORSKI</t>
        </is>
      </c>
      <c r="K2048" t="inlineStr">
        <is>
          <t>CUIVRE</t>
        </is>
      </c>
      <c r="L2048">
        <f>_xlfn.XLOOKUP(Tableau1[[#This Row],[TYPE DE PIECE]],Tableau4[MATIERE],Tableau4[SHORT TYPE],"",0,1)</f>
        <v/>
      </c>
      <c r="N2048">
        <f>IF(ISERR(FIND("DECOUPE",Tableau1[[#This Row],[DESIGNATION]])),"","NEED REF")</f>
        <v/>
      </c>
    </row>
    <row r="2049">
      <c r="B2049" t="n">
        <v>34411952</v>
      </c>
      <c r="C2049" s="2" t="n">
        <v>45196</v>
      </c>
      <c r="D2049" t="inlineStr">
        <is>
          <t>SPEC</t>
        </is>
      </c>
      <c r="E2049" t="inlineStr">
        <is>
          <t xml:space="preserve">COP BUSBAR COROPLAST Q3-L2 4/600A 4 POLES </t>
        </is>
      </c>
      <c r="F2049" t="inlineStr">
        <is>
          <t>TERACO</t>
        </is>
      </c>
      <c r="H2049" t="inlineStr">
        <is>
          <t>STS</t>
        </is>
      </c>
      <c r="I2049" t="inlineStr">
        <is>
          <t>600A</t>
        </is>
      </c>
      <c r="J2049" t="inlineStr">
        <is>
          <t>JAWORSKI</t>
        </is>
      </c>
      <c r="K2049" t="inlineStr">
        <is>
          <t>CUIVRE</t>
        </is>
      </c>
      <c r="L2049">
        <f>_xlfn.XLOOKUP(Tableau1[[#This Row],[TYPE DE PIECE]],Tableau4[MATIERE],Tableau4[SHORT TYPE],"",0,1)</f>
        <v/>
      </c>
      <c r="N2049">
        <f>IF(ISERR(FIND("DECOUPE",Tableau1[[#This Row],[DESIGNATION]])),"","NEED REF")</f>
        <v/>
      </c>
    </row>
    <row r="2050">
      <c r="B2050" t="n">
        <v>34411951</v>
      </c>
      <c r="C2050" s="2" t="n">
        <v>45196</v>
      </c>
      <c r="D2050" t="inlineStr">
        <is>
          <t>SPEC</t>
        </is>
      </c>
      <c r="E2050" t="inlineStr">
        <is>
          <t>COP BUSBAR COROPLAST Q3-L3 4/600A 4 POLES</t>
        </is>
      </c>
      <c r="F2050" t="inlineStr">
        <is>
          <t>TERACO</t>
        </is>
      </c>
      <c r="H2050" t="inlineStr">
        <is>
          <t>STS</t>
        </is>
      </c>
      <c r="I2050" t="inlineStr">
        <is>
          <t>600A</t>
        </is>
      </c>
      <c r="J2050" t="inlineStr">
        <is>
          <t>JAWORSKI</t>
        </is>
      </c>
      <c r="K2050" t="inlineStr">
        <is>
          <t>CUIVRE</t>
        </is>
      </c>
      <c r="L2050">
        <f>_xlfn.XLOOKUP(Tableau1[[#This Row],[TYPE DE PIECE]],Tableau4[MATIERE],Tableau4[SHORT TYPE],"",0,1)</f>
        <v/>
      </c>
      <c r="N2050">
        <f>IF(ISERR(FIND("DECOUPE",Tableau1[[#This Row],[DESIGNATION]])),"","NEED REF")</f>
        <v/>
      </c>
    </row>
    <row r="2051">
      <c r="B2051" t="n">
        <v>34411950</v>
      </c>
      <c r="C2051" s="2" t="n">
        <v>45196</v>
      </c>
      <c r="D2051" t="inlineStr">
        <is>
          <t>SPEC</t>
        </is>
      </c>
      <c r="E2051" t="inlineStr">
        <is>
          <t>COP BUSBAR COROPLAST KM1-KM2 4/600A 4 POLES</t>
        </is>
      </c>
      <c r="F2051" t="inlineStr">
        <is>
          <t>TERACO</t>
        </is>
      </c>
      <c r="H2051" t="inlineStr">
        <is>
          <t>STS</t>
        </is>
      </c>
      <c r="I2051" t="inlineStr">
        <is>
          <t>600A</t>
        </is>
      </c>
      <c r="J2051" t="inlineStr">
        <is>
          <t>JAWORSKI</t>
        </is>
      </c>
      <c r="K2051" t="inlineStr">
        <is>
          <t>CUIVRE</t>
        </is>
      </c>
      <c r="L2051">
        <f>_xlfn.XLOOKUP(Tableau1[[#This Row],[TYPE DE PIECE]],Tableau4[MATIERE],Tableau4[SHORT TYPE],"",0,1)</f>
        <v/>
      </c>
      <c r="N2051">
        <f>IF(ISERR(FIND("DECOUPE",Tableau1[[#This Row],[DESIGNATION]])),"","NEED REF")</f>
        <v/>
      </c>
    </row>
    <row r="2052">
      <c r="B2052" t="n">
        <v>34411949</v>
      </c>
      <c r="C2052" s="2" t="n">
        <v>45196</v>
      </c>
      <c r="D2052" t="inlineStr">
        <is>
          <t>SPEC</t>
        </is>
      </c>
      <c r="E2052" t="inlineStr">
        <is>
          <t>COP ASSY CONNECT Q1  Q2 600A BYPASS STS</t>
        </is>
      </c>
      <c r="F2052" t="inlineStr">
        <is>
          <t>TERACO</t>
        </is>
      </c>
      <c r="H2052" t="inlineStr">
        <is>
          <t>STS</t>
        </is>
      </c>
      <c r="I2052" t="inlineStr">
        <is>
          <t>600A</t>
        </is>
      </c>
      <c r="J2052" t="inlineStr">
        <is>
          <t>JAWORSKI</t>
        </is>
      </c>
      <c r="K2052" t="inlineStr">
        <is>
          <t>CUIVRE</t>
        </is>
      </c>
      <c r="L2052">
        <f>_xlfn.XLOOKUP(Tableau1[[#This Row],[TYPE DE PIECE]],Tableau4[MATIERE],Tableau4[SHORT TYPE],"",0,1)</f>
        <v/>
      </c>
      <c r="N2052">
        <f>IF(ISERR(FIND("DECOUPE",Tableau1[[#This Row],[DESIGNATION]])),"","NEED REF")</f>
        <v/>
      </c>
    </row>
    <row r="2053">
      <c r="B2053" t="n">
        <v>34411948</v>
      </c>
      <c r="C2053" s="2" t="n">
        <v>45195</v>
      </c>
      <c r="D2053" t="inlineStr">
        <is>
          <t>SPEC</t>
        </is>
      </c>
      <c r="E2053" t="inlineStr">
        <is>
          <t>COP BUSBAR COROPLAST Q2-L3 4/600A 4 POLES</t>
        </is>
      </c>
      <c r="F2053" t="inlineStr">
        <is>
          <t>TERACO</t>
        </is>
      </c>
      <c r="H2053" t="inlineStr">
        <is>
          <t>STS</t>
        </is>
      </c>
      <c r="I2053" t="inlineStr">
        <is>
          <t>600A</t>
        </is>
      </c>
      <c r="J2053" t="inlineStr">
        <is>
          <t>JAWORSKI</t>
        </is>
      </c>
      <c r="K2053" t="inlineStr">
        <is>
          <t>CUIVRE</t>
        </is>
      </c>
      <c r="L2053">
        <f>_xlfn.XLOOKUP(Tableau1[[#This Row],[TYPE DE PIECE]],Tableau4[MATIERE],Tableau4[SHORT TYPE],"",0,1)</f>
        <v/>
      </c>
      <c r="N2053">
        <f>IF(ISERR(FIND("DECOUPE",Tableau1[[#This Row],[DESIGNATION]])),"","NEED REF")</f>
        <v/>
      </c>
    </row>
    <row r="2054">
      <c r="B2054" t="n">
        <v>34411947</v>
      </c>
      <c r="C2054" s="2" t="n">
        <v>45195</v>
      </c>
      <c r="D2054" t="inlineStr">
        <is>
          <t>SPEC</t>
        </is>
      </c>
      <c r="E2054" t="inlineStr">
        <is>
          <t>COP BUSBAR COROPLAST Q2-L2 4/600A 4 POLES</t>
        </is>
      </c>
      <c r="F2054" t="inlineStr">
        <is>
          <t>TERACO</t>
        </is>
      </c>
      <c r="H2054" t="inlineStr">
        <is>
          <t>STS</t>
        </is>
      </c>
      <c r="I2054" t="inlineStr">
        <is>
          <t>600A</t>
        </is>
      </c>
      <c r="J2054" t="inlineStr">
        <is>
          <t>JAWORSKI</t>
        </is>
      </c>
      <c r="K2054" t="inlineStr">
        <is>
          <t>CUIVRE</t>
        </is>
      </c>
      <c r="L2054">
        <f>_xlfn.XLOOKUP(Tableau1[[#This Row],[TYPE DE PIECE]],Tableau4[MATIERE],Tableau4[SHORT TYPE],"",0,1)</f>
        <v/>
      </c>
      <c r="N2054">
        <f>IF(ISERR(FIND("DECOUPE",Tableau1[[#This Row],[DESIGNATION]])),"","NEED REF")</f>
        <v/>
      </c>
    </row>
    <row r="2055">
      <c r="B2055" t="n">
        <v>34411946</v>
      </c>
      <c r="C2055" s="2" t="n">
        <v>45195</v>
      </c>
      <c r="D2055" t="inlineStr">
        <is>
          <t>SPEC</t>
        </is>
      </c>
      <c r="E2055" t="inlineStr">
        <is>
          <t>COP BUSBAR COROPLAST Q2-L1 4/600A 4 POLES</t>
        </is>
      </c>
      <c r="F2055" t="inlineStr">
        <is>
          <t>TERACO</t>
        </is>
      </c>
      <c r="H2055" t="inlineStr">
        <is>
          <t>STS</t>
        </is>
      </c>
      <c r="I2055" t="inlineStr">
        <is>
          <t>600A</t>
        </is>
      </c>
      <c r="J2055" t="inlineStr">
        <is>
          <t>JAWORSKI</t>
        </is>
      </c>
      <c r="K2055" t="inlineStr">
        <is>
          <t>CUIVRE</t>
        </is>
      </c>
      <c r="L2055">
        <f>_xlfn.XLOOKUP(Tableau1[[#This Row],[TYPE DE PIECE]],Tableau4[MATIERE],Tableau4[SHORT TYPE],"",0,1)</f>
        <v/>
      </c>
      <c r="N2055">
        <f>IF(ISERR(FIND("DECOUPE",Tableau1[[#This Row],[DESIGNATION]])),"","NEED REF")</f>
        <v/>
      </c>
    </row>
    <row r="2056">
      <c r="B2056" t="n">
        <v>34411945</v>
      </c>
      <c r="C2056" s="2" t="n">
        <v>45195</v>
      </c>
      <c r="D2056" t="inlineStr">
        <is>
          <t>SPEC</t>
        </is>
      </c>
      <c r="E2056" t="inlineStr">
        <is>
          <t>COP BUSBAR COROPLAST KM2 4/600A 4 POLES</t>
        </is>
      </c>
      <c r="F2056" t="inlineStr">
        <is>
          <t>TERACO</t>
        </is>
      </c>
      <c r="H2056" t="inlineStr">
        <is>
          <t>STS</t>
        </is>
      </c>
      <c r="I2056" t="inlineStr">
        <is>
          <t>600A</t>
        </is>
      </c>
      <c r="J2056" t="inlineStr">
        <is>
          <t>JAWORSKI</t>
        </is>
      </c>
      <c r="K2056" t="inlineStr">
        <is>
          <t>CUIVRE</t>
        </is>
      </c>
      <c r="L2056">
        <f>_xlfn.XLOOKUP(Tableau1[[#This Row],[TYPE DE PIECE]],Tableau4[MATIERE],Tableau4[SHORT TYPE],"",0,1)</f>
        <v/>
      </c>
      <c r="N2056">
        <f>IF(ISERR(FIND("DECOUPE",Tableau1[[#This Row],[DESIGNATION]])),"","NEED REF")</f>
        <v/>
      </c>
    </row>
    <row r="2057">
      <c r="B2057" t="n">
        <v>34411944</v>
      </c>
      <c r="C2057" s="2" t="n">
        <v>45195</v>
      </c>
      <c r="D2057" t="inlineStr">
        <is>
          <t>SPEC</t>
        </is>
      </c>
      <c r="E2057" t="inlineStr">
        <is>
          <t>COP BUSBAR COROPLAST Q1-L3 4/600A 4 POLES</t>
        </is>
      </c>
      <c r="F2057" t="inlineStr">
        <is>
          <t>TERACO</t>
        </is>
      </c>
      <c r="H2057" t="inlineStr">
        <is>
          <t>STS</t>
        </is>
      </c>
      <c r="I2057" t="inlineStr">
        <is>
          <t>600A</t>
        </is>
      </c>
      <c r="J2057" t="inlineStr">
        <is>
          <t>JAWORSKI</t>
        </is>
      </c>
      <c r="K2057" t="inlineStr">
        <is>
          <t>CUIVRE</t>
        </is>
      </c>
      <c r="L2057">
        <f>_xlfn.XLOOKUP(Tableau1[[#This Row],[TYPE DE PIECE]],Tableau4[MATIERE],Tableau4[SHORT TYPE],"",0,1)</f>
        <v/>
      </c>
      <c r="N2057">
        <f>IF(ISERR(FIND("DECOUPE",Tableau1[[#This Row],[DESIGNATION]])),"","NEED REF")</f>
        <v/>
      </c>
    </row>
    <row r="2058">
      <c r="B2058" t="n">
        <v>34411943</v>
      </c>
      <c r="C2058" s="2" t="n">
        <v>45195</v>
      </c>
      <c r="D2058" t="inlineStr">
        <is>
          <t>SPEC</t>
        </is>
      </c>
      <c r="E2058" t="inlineStr">
        <is>
          <t>COP BUSBAR COROPLAST Q1-L2 4/600A 4 POLES</t>
        </is>
      </c>
      <c r="F2058" t="inlineStr">
        <is>
          <t>TERACO</t>
        </is>
      </c>
      <c r="H2058" t="inlineStr">
        <is>
          <t>STS</t>
        </is>
      </c>
      <c r="I2058" t="inlineStr">
        <is>
          <t>600A</t>
        </is>
      </c>
      <c r="J2058" t="inlineStr">
        <is>
          <t>JAWORSKI</t>
        </is>
      </c>
      <c r="K2058" t="inlineStr">
        <is>
          <t>CUIVRE</t>
        </is>
      </c>
      <c r="L2058">
        <f>_xlfn.XLOOKUP(Tableau1[[#This Row],[TYPE DE PIECE]],Tableau4[MATIERE],Tableau4[SHORT TYPE],"",0,1)</f>
        <v/>
      </c>
      <c r="N2058">
        <f>IF(ISERR(FIND("DECOUPE",Tableau1[[#This Row],[DESIGNATION]])),"","NEED REF")</f>
        <v/>
      </c>
    </row>
    <row r="2059">
      <c r="B2059" t="n">
        <v>34411942</v>
      </c>
      <c r="C2059" s="2" t="n">
        <v>45195</v>
      </c>
      <c r="D2059" t="inlineStr">
        <is>
          <t>SPEC</t>
        </is>
      </c>
      <c r="E2059" t="inlineStr">
        <is>
          <t>COP BUSBAR COROPLAST Q1-L1 4/600A 4 POLES</t>
        </is>
      </c>
      <c r="F2059" t="inlineStr">
        <is>
          <t>TERACO</t>
        </is>
      </c>
      <c r="H2059" t="inlineStr">
        <is>
          <t>STS</t>
        </is>
      </c>
      <c r="I2059" t="inlineStr">
        <is>
          <t>600A</t>
        </is>
      </c>
      <c r="J2059" t="inlineStr">
        <is>
          <t>JAWORSKI</t>
        </is>
      </c>
      <c r="K2059" t="inlineStr">
        <is>
          <t>CUIVRE</t>
        </is>
      </c>
      <c r="L2059">
        <f>_xlfn.XLOOKUP(Tableau1[[#This Row],[TYPE DE PIECE]],Tableau4[MATIERE],Tableau4[SHORT TYPE],"",0,1)</f>
        <v/>
      </c>
      <c r="N2059">
        <f>IF(ISERR(FIND("DECOUPE",Tableau1[[#This Row],[DESIGNATION]])),"","NEED REF")</f>
        <v/>
      </c>
    </row>
    <row r="2060">
      <c r="B2060" t="n">
        <v>34411941</v>
      </c>
      <c r="C2060" s="2" t="n">
        <v>45195</v>
      </c>
      <c r="D2060" t="inlineStr">
        <is>
          <t>SPEC</t>
        </is>
      </c>
      <c r="E2060" t="inlineStr">
        <is>
          <t>COP BUSBAR COROPLAST KM1 4/600A 4 POLES</t>
        </is>
      </c>
      <c r="F2060" t="inlineStr">
        <is>
          <t>TERACO</t>
        </is>
      </c>
      <c r="H2060" t="inlineStr">
        <is>
          <t>STS</t>
        </is>
      </c>
      <c r="I2060" t="inlineStr">
        <is>
          <t>600A</t>
        </is>
      </c>
      <c r="J2060" t="inlineStr">
        <is>
          <t>JAWORSKI</t>
        </is>
      </c>
      <c r="K2060" t="inlineStr">
        <is>
          <t>CUIVRE</t>
        </is>
      </c>
      <c r="L2060">
        <f>_xlfn.XLOOKUP(Tableau1[[#This Row],[TYPE DE PIECE]],Tableau4[MATIERE],Tableau4[SHORT TYPE],"",0,1)</f>
        <v/>
      </c>
      <c r="N2060">
        <f>IF(ISERR(FIND("DECOUPE",Tableau1[[#This Row],[DESIGNATION]])),"","NEED REF")</f>
        <v/>
      </c>
    </row>
    <row r="2061">
      <c r="B2061" t="n">
        <v>34411940</v>
      </c>
      <c r="C2061" s="2" t="n">
        <v>45195</v>
      </c>
      <c r="D2061" t="inlineStr">
        <is>
          <t>SPEC</t>
        </is>
      </c>
      <c r="E2061" t="inlineStr">
        <is>
          <t>COP ASSY SWITCH STS 4/600A 4 POLES</t>
        </is>
      </c>
      <c r="F2061" t="inlineStr">
        <is>
          <t>TERACO</t>
        </is>
      </c>
      <c r="H2061" t="inlineStr">
        <is>
          <t>STS</t>
        </is>
      </c>
      <c r="I2061" t="inlineStr">
        <is>
          <t>600A</t>
        </is>
      </c>
      <c r="J2061" t="inlineStr">
        <is>
          <t>JAWORSKI</t>
        </is>
      </c>
      <c r="K2061" t="inlineStr">
        <is>
          <t>CUIVRE</t>
        </is>
      </c>
      <c r="L2061">
        <f>_xlfn.XLOOKUP(Tableau1[[#This Row],[TYPE DE PIECE]],Tableau4[MATIERE],Tableau4[SHORT TYPE],"",0,1)</f>
        <v/>
      </c>
      <c r="N2061">
        <f>IF(ISERR(FIND("DECOUPE",Tableau1[[#This Row],[DESIGNATION]])),"","NEED REF")</f>
        <v/>
      </c>
    </row>
    <row r="2062">
      <c r="B2062" t="n">
        <v>34411939</v>
      </c>
      <c r="C2062" s="2" t="n">
        <v>45195</v>
      </c>
      <c r="D2062" t="inlineStr">
        <is>
          <t>SPEC</t>
        </is>
      </c>
      <c r="E2062" t="inlineStr">
        <is>
          <t>COP ASSY CONNECT. KM1-KM2 STS 4/600A 4 POLES</t>
        </is>
      </c>
      <c r="F2062" t="inlineStr">
        <is>
          <t>TERACO</t>
        </is>
      </c>
      <c r="H2062" t="inlineStr">
        <is>
          <t>STS</t>
        </is>
      </c>
      <c r="I2062" t="inlineStr">
        <is>
          <t>600A</t>
        </is>
      </c>
      <c r="J2062" t="inlineStr">
        <is>
          <t>JAWORSKI</t>
        </is>
      </c>
      <c r="K2062" t="inlineStr">
        <is>
          <t>CUIVRE</t>
        </is>
      </c>
      <c r="L2062">
        <f>_xlfn.XLOOKUP(Tableau1[[#This Row],[TYPE DE PIECE]],Tableau4[MATIERE],Tableau4[SHORT TYPE],"",0,1)</f>
        <v/>
      </c>
      <c r="N2062">
        <f>IF(ISERR(FIND("DECOUPE",Tableau1[[#This Row],[DESIGNATION]])),"","NEED REF")</f>
        <v/>
      </c>
    </row>
    <row r="2063">
      <c r="B2063" t="n">
        <v>34411938</v>
      </c>
      <c r="C2063" s="2" t="n">
        <v>45195</v>
      </c>
      <c r="D2063" t="inlineStr">
        <is>
          <t>SPEC</t>
        </is>
      </c>
      <c r="E2063" t="inlineStr">
        <is>
          <t>COP ASSY SWITCH KM1-KM2 STS 4/600A 4 POLES</t>
        </is>
      </c>
      <c r="F2063" t="inlineStr">
        <is>
          <t>TERACO</t>
        </is>
      </c>
      <c r="H2063" t="inlineStr">
        <is>
          <t>STS</t>
        </is>
      </c>
      <c r="I2063" t="inlineStr">
        <is>
          <t>600A</t>
        </is>
      </c>
      <c r="J2063" t="inlineStr">
        <is>
          <t>JAWORSKI</t>
        </is>
      </c>
      <c r="K2063" t="inlineStr">
        <is>
          <t>CUIVRE</t>
        </is>
      </c>
      <c r="L2063">
        <f>_xlfn.XLOOKUP(Tableau1[[#This Row],[TYPE DE PIECE]],Tableau4[MATIERE],Tableau4[SHORT TYPE],"",0,1)</f>
        <v/>
      </c>
      <c r="N2063">
        <f>IF(ISERR(FIND("DECOUPE",Tableau1[[#This Row],[DESIGNATION]])),"","NEED REF")</f>
        <v/>
      </c>
    </row>
    <row r="2064">
      <c r="B2064" t="n">
        <v>34411937</v>
      </c>
      <c r="C2064" s="2" t="n">
        <v>45195</v>
      </c>
      <c r="D2064" t="inlineStr">
        <is>
          <t>SPEC</t>
        </is>
      </c>
      <c r="E2064" t="inlineStr">
        <is>
          <t>COP ASSY SWITCH CONNECT STS 4/600A 4 POLES</t>
        </is>
      </c>
      <c r="F2064" t="inlineStr">
        <is>
          <t>TERACO</t>
        </is>
      </c>
      <c r="H2064" t="inlineStr">
        <is>
          <t>STS</t>
        </is>
      </c>
      <c r="I2064" t="inlineStr">
        <is>
          <t>600A</t>
        </is>
      </c>
      <c r="J2064" t="inlineStr">
        <is>
          <t>JAWORSKI</t>
        </is>
      </c>
      <c r="K2064" t="inlineStr">
        <is>
          <t>CUIVRE</t>
        </is>
      </c>
      <c r="L2064">
        <f>_xlfn.XLOOKUP(Tableau1[[#This Row],[TYPE DE PIECE]],Tableau4[MATIERE],Tableau4[SHORT TYPE],"",0,1)</f>
        <v/>
      </c>
      <c r="N2064">
        <f>IF(ISERR(FIND("DECOUPE",Tableau1[[#This Row],[DESIGNATION]])),"","NEED REF")</f>
        <v/>
      </c>
    </row>
    <row r="2065">
      <c r="B2065" t="n">
        <v>34411936</v>
      </c>
      <c r="C2065" s="2" t="n">
        <v>45195</v>
      </c>
      <c r="D2065" t="inlineStr">
        <is>
          <t>SPEC</t>
        </is>
      </c>
      <c r="E2065" t="inlineStr">
        <is>
          <t>NOM KIT BUSBAR NEUT. CUT STS 4/600A 4 POLES</t>
        </is>
      </c>
      <c r="F2065" t="inlineStr">
        <is>
          <t>TERACO</t>
        </is>
      </c>
      <c r="H2065" t="inlineStr">
        <is>
          <t>STS</t>
        </is>
      </c>
      <c r="I2065" t="inlineStr">
        <is>
          <t>600A</t>
        </is>
      </c>
      <c r="J2065" t="inlineStr">
        <is>
          <t>JAWORSKI</t>
        </is>
      </c>
      <c r="K2065" t="inlineStr">
        <is>
          <t>NOMENCLATURE</t>
        </is>
      </c>
      <c r="L2065">
        <f>_xlfn.XLOOKUP(Tableau1[[#This Row],[TYPE DE PIECE]],Tableau4[MATIERE],Tableau4[SHORT TYPE],"",0,1)</f>
        <v/>
      </c>
      <c r="N2065">
        <f>IF(ISERR(FIND("DECOUPE",Tableau1[[#This Row],[DESIGNATION]])),"","NEED REF")</f>
        <v/>
      </c>
    </row>
    <row r="2066">
      <c r="B2066" t="n">
        <v>34411935</v>
      </c>
      <c r="C2066" s="2" t="n">
        <v>45195</v>
      </c>
      <c r="D2066" t="inlineStr">
        <is>
          <t>SPEC</t>
        </is>
      </c>
      <c r="E2066" t="inlineStr">
        <is>
          <t>SMT SUPPORT INSULATOR</t>
        </is>
      </c>
      <c r="F2066" t="inlineStr">
        <is>
          <t>TERACO</t>
        </is>
      </c>
      <c r="H2066" t="inlineStr">
        <is>
          <t>STS</t>
        </is>
      </c>
      <c r="I2066" t="inlineStr">
        <is>
          <t>600A</t>
        </is>
      </c>
      <c r="J2066" t="inlineStr">
        <is>
          <t>JAWORSKI</t>
        </is>
      </c>
      <c r="K2066" t="inlineStr">
        <is>
          <t>METAL</t>
        </is>
      </c>
      <c r="L2066">
        <f>_xlfn.XLOOKUP(Tableau1[[#This Row],[TYPE DE PIECE]],Tableau4[MATIERE],Tableau4[SHORT TYPE],"",0,1)</f>
        <v/>
      </c>
      <c r="N2066">
        <f>IF(ISERR(FIND("DECOUPE",Tableau1[[#This Row],[DESIGNATION]])),"","NEED REF")</f>
        <v/>
      </c>
    </row>
    <row r="2067">
      <c r="B2067" t="n">
        <v>34411934</v>
      </c>
      <c r="C2067" s="2" t="n">
        <v>45195</v>
      </c>
      <c r="D2067" t="inlineStr">
        <is>
          <t>SPEC</t>
        </is>
      </c>
      <c r="E2067" t="inlineStr">
        <is>
          <t>SMT ASSY PLT SPT NEUTRAL STS 4/600A 4 POLES</t>
        </is>
      </c>
      <c r="F2067" t="inlineStr">
        <is>
          <t>TERACO</t>
        </is>
      </c>
      <c r="H2067" t="inlineStr">
        <is>
          <t>STS</t>
        </is>
      </c>
      <c r="I2067" t="inlineStr">
        <is>
          <t>600A</t>
        </is>
      </c>
      <c r="J2067" t="inlineStr">
        <is>
          <t>JAWORSKI</t>
        </is>
      </c>
      <c r="K2067" t="inlineStr">
        <is>
          <t>METAL</t>
        </is>
      </c>
      <c r="L2067">
        <f>_xlfn.XLOOKUP(Tableau1[[#This Row],[TYPE DE PIECE]],Tableau4[MATIERE],Tableau4[SHORT TYPE],"",0,1)</f>
        <v/>
      </c>
      <c r="N2067">
        <f>IF(ISERR(FIND("DECOUPE",Tableau1[[#This Row],[DESIGNATION]])),"","NEED REF")</f>
        <v/>
      </c>
    </row>
    <row r="2068">
      <c r="B2068" t="n">
        <v>34411933</v>
      </c>
      <c r="C2068" s="2" t="n">
        <v>45195</v>
      </c>
      <c r="D2068" t="inlineStr">
        <is>
          <t>SPEC</t>
        </is>
      </c>
      <c r="E2068" t="inlineStr">
        <is>
          <t>COP PLAQUE DC</t>
        </is>
      </c>
      <c r="G2068" t="inlineStr">
        <is>
          <t>GVXL</t>
        </is>
      </c>
      <c r="H2068" t="inlineStr">
        <is>
          <t>IO</t>
        </is>
      </c>
      <c r="I2068" t="inlineStr">
        <is>
          <t>1250kVA</t>
        </is>
      </c>
      <c r="J2068" t="inlineStr">
        <is>
          <t>Rodriguez</t>
        </is>
      </c>
      <c r="K2068" t="inlineStr">
        <is>
          <t>CUIVRE</t>
        </is>
      </c>
      <c r="L2068">
        <f>_xlfn.XLOOKUP(Tableau1[[#This Row],[TYPE DE PIECE]],Tableau4[MATIERE],Tableau4[SHORT TYPE],"",0,1)</f>
        <v/>
      </c>
      <c r="N2068">
        <f>IF(ISERR(FIND("DECOUPE",Tableau1[[#This Row],[DESIGNATION]])),"","NEED REF")</f>
        <v/>
      </c>
    </row>
    <row r="2069">
      <c r="B2069" t="n">
        <v>34411932</v>
      </c>
      <c r="C2069" s="2" t="n">
        <v>45195</v>
      </c>
      <c r="D2069" t="inlineStr">
        <is>
          <t>SPEC</t>
        </is>
      </c>
      <c r="E2069" t="inlineStr">
        <is>
          <t>PLAQUE 4 TGAB KTA4000</t>
        </is>
      </c>
      <c r="J2069" t="inlineStr">
        <is>
          <t>Rodriguez</t>
        </is>
      </c>
      <c r="K2069" t="inlineStr">
        <is>
          <t>METAL</t>
        </is>
      </c>
      <c r="L2069">
        <f>_xlfn.XLOOKUP(Tableau1[[#This Row],[TYPE DE PIECE]],Tableau4[MATIERE],Tableau4[SHORT TYPE],"",0,1)</f>
        <v/>
      </c>
      <c r="N2069">
        <f>IF(ISERR(FIND("DECOUPE",Tableau1[[#This Row],[DESIGNATION]])),"","NEED REF")</f>
        <v/>
      </c>
    </row>
    <row r="2070">
      <c r="B2070" t="n">
        <v>34411931</v>
      </c>
      <c r="C2070" s="2" t="n">
        <v>45194</v>
      </c>
      <c r="D2070" t="inlineStr">
        <is>
          <t>SPEC</t>
        </is>
      </c>
      <c r="E2070" t="inlineStr">
        <is>
          <t>Canevas NW40HADC 4P - D - Bobine 24Vca-cc</t>
        </is>
      </c>
      <c r="F2070" t="inlineStr">
        <is>
          <t>QSFE77068</t>
        </is>
      </c>
      <c r="G2070" t="inlineStr">
        <is>
          <t>GVX</t>
        </is>
      </c>
      <c r="H2070" t="inlineStr">
        <is>
          <t>BBC</t>
        </is>
      </c>
      <c r="J2070" t="inlineStr">
        <is>
          <t>MONGELLI</t>
        </is>
      </c>
      <c r="K2070" t="inlineStr">
        <is>
          <t>SE</t>
        </is>
      </c>
      <c r="L2070">
        <f>_xlfn.XLOOKUP(Tableau1[[#This Row],[TYPE DE PIECE]],Tableau4[MATIERE],Tableau4[SHORT TYPE],"",0,1)</f>
        <v/>
      </c>
      <c r="N2070">
        <f>IF(ISERR(FIND("DECOUPE",Tableau1[[#This Row],[DESIGNATION]])),"","NEED REF")</f>
        <v/>
      </c>
    </row>
    <row r="2071">
      <c r="B2071" t="n">
        <v>34411930</v>
      </c>
      <c r="C2071" s="2" t="n">
        <v>45191</v>
      </c>
      <c r="D2071" t="inlineStr">
        <is>
          <t>SPEC</t>
        </is>
      </c>
      <c r="E2071" t="inlineStr">
        <is>
          <t>ENSEMBLE BBK_ETO</t>
        </is>
      </c>
      <c r="J2071" t="inlineStr">
        <is>
          <t>BERNARDEAU</t>
        </is>
      </c>
      <c r="L2071">
        <f>_xlfn.XLOOKUP(Tableau1[[#This Row],[TYPE DE PIECE]],Tableau4[MATIERE],Tableau4[SHORT TYPE],"",0,1)</f>
        <v/>
      </c>
      <c r="N2071">
        <f>IF(ISERR(FIND("DECOUPE",Tableau1[[#This Row],[DESIGNATION]])),"","NEED REF")</f>
        <v/>
      </c>
    </row>
    <row r="2072">
      <c r="B2072" t="n">
        <v>34411929</v>
      </c>
      <c r="C2072" s="2" t="n">
        <v>45191</v>
      </c>
      <c r="D2072" t="inlineStr">
        <is>
          <t>SPEC</t>
        </is>
      </c>
      <c r="E2072" t="inlineStr">
        <is>
          <t>ASSY FINISH-PACK STS 100-250A H=1900</t>
        </is>
      </c>
      <c r="J2072" t="inlineStr">
        <is>
          <t>BERNARDEAU</t>
        </is>
      </c>
      <c r="L2072">
        <f>_xlfn.XLOOKUP(Tableau1[[#This Row],[TYPE DE PIECE]],Tableau4[MATIERE],Tableau4[SHORT TYPE],"",0,1)</f>
        <v/>
      </c>
      <c r="N2072">
        <f>IF(ISERR(FIND("DECOUPE",Tableau1[[#This Row],[DESIGNATION]])),"","NEED REF")</f>
        <v/>
      </c>
    </row>
    <row r="2073">
      <c r="B2073" t="n">
        <v>34411928</v>
      </c>
      <c r="C2073" s="2" t="n">
        <v>45191</v>
      </c>
      <c r="D2073" t="inlineStr">
        <is>
          <t>SPEC</t>
        </is>
      </c>
      <c r="E2073" t="inlineStr">
        <is>
          <t>SMT SUPPORT JDB</t>
        </is>
      </c>
      <c r="G2073" t="inlineStr">
        <is>
          <t>GVS</t>
        </is>
      </c>
      <c r="J2073" t="inlineStr">
        <is>
          <t>Rodriguez</t>
        </is>
      </c>
      <c r="L2073">
        <f>_xlfn.XLOOKUP(Tableau1[[#This Row],[TYPE DE PIECE]],Tableau4[MATIERE],Tableau4[SHORT TYPE],"",0,1)</f>
        <v/>
      </c>
      <c r="N2073">
        <f>IF(ISERR(FIND("DECOUPE",Tableau1[[#This Row],[DESIGNATION]])),"","NEED REF")</f>
        <v/>
      </c>
    </row>
    <row r="2074">
      <c r="B2074" t="n">
        <v>34411927</v>
      </c>
      <c r="C2074" s="2" t="n">
        <v>45191</v>
      </c>
      <c r="D2074" t="inlineStr">
        <is>
          <t>SPEC</t>
        </is>
      </c>
      <c r="E2074" t="inlineStr">
        <is>
          <t>COP 34411927 GVX IO 1500kVA LIBRE</t>
        </is>
      </c>
      <c r="G2074" t="inlineStr">
        <is>
          <t>GVX</t>
        </is>
      </c>
      <c r="H2074" t="inlineStr">
        <is>
          <t>IO</t>
        </is>
      </c>
      <c r="I2074" t="inlineStr">
        <is>
          <t>1500kVA</t>
        </is>
      </c>
      <c r="J2074" t="inlineStr">
        <is>
          <t>MATRION</t>
        </is>
      </c>
      <c r="K2074" t="inlineStr">
        <is>
          <t>CUIVRE</t>
        </is>
      </c>
      <c r="L2074">
        <f>_xlfn.XLOOKUP(Tableau1[[#This Row],[TYPE DE PIECE]],Tableau4[MATIERE],Tableau4[SHORT TYPE],"",0,1)</f>
        <v/>
      </c>
      <c r="N2074">
        <f>IF(ISERR(FIND("DECOUPE",Tableau1[[#This Row],[DESIGNATION]])),"","NEED REF")</f>
        <v/>
      </c>
    </row>
    <row r="2075">
      <c r="B2075" t="n">
        <v>34411926</v>
      </c>
      <c r="C2075" s="2" t="n">
        <v>45191</v>
      </c>
      <c r="D2075" t="inlineStr">
        <is>
          <t>SPEC</t>
        </is>
      </c>
      <c r="E2075" t="inlineStr">
        <is>
          <t>COP 34411926 GVX IO 1500kVA L3 MAINS1</t>
        </is>
      </c>
      <c r="G2075" t="inlineStr">
        <is>
          <t>GVX</t>
        </is>
      </c>
      <c r="H2075" t="inlineStr">
        <is>
          <t>IO</t>
        </is>
      </c>
      <c r="I2075" t="inlineStr">
        <is>
          <t>1500kVA</t>
        </is>
      </c>
      <c r="J2075" t="inlineStr">
        <is>
          <t>MATRION</t>
        </is>
      </c>
      <c r="K2075" t="inlineStr">
        <is>
          <t>CUIVRE</t>
        </is>
      </c>
      <c r="L2075">
        <f>_xlfn.XLOOKUP(Tableau1[[#This Row],[TYPE DE PIECE]],Tableau4[MATIERE],Tableau4[SHORT TYPE],"",0,1)</f>
        <v/>
      </c>
      <c r="N2075">
        <f>IF(ISERR(FIND("DECOUPE",Tableau1[[#This Row],[DESIGNATION]])),"","NEED REF")</f>
        <v/>
      </c>
    </row>
    <row r="2076">
      <c r="B2076" t="n">
        <v>34411925</v>
      </c>
      <c r="C2076" s="2" t="n">
        <v>45191</v>
      </c>
      <c r="D2076" t="inlineStr">
        <is>
          <t>SPEC</t>
        </is>
      </c>
      <c r="E2076" t="inlineStr">
        <is>
          <t>COP 34411925 GVX IO 1500kVA L2 MAINS1</t>
        </is>
      </c>
      <c r="G2076" t="inlineStr">
        <is>
          <t>GVX</t>
        </is>
      </c>
      <c r="H2076" t="inlineStr">
        <is>
          <t>IO</t>
        </is>
      </c>
      <c r="I2076" t="inlineStr">
        <is>
          <t>1500kVA</t>
        </is>
      </c>
      <c r="J2076" t="inlineStr">
        <is>
          <t>MATRION</t>
        </is>
      </c>
      <c r="K2076" t="inlineStr">
        <is>
          <t>CUIVRE</t>
        </is>
      </c>
      <c r="L2076">
        <f>_xlfn.XLOOKUP(Tableau1[[#This Row],[TYPE DE PIECE]],Tableau4[MATIERE],Tableau4[SHORT TYPE],"",0,1)</f>
        <v/>
      </c>
      <c r="N2076">
        <f>IF(ISERR(FIND("DECOUPE",Tableau1[[#This Row],[DESIGNATION]])),"","NEED REF")</f>
        <v/>
      </c>
    </row>
    <row r="2077">
      <c r="B2077" t="n">
        <v>34411924</v>
      </c>
      <c r="C2077" s="2" t="n">
        <v>45191</v>
      </c>
      <c r="D2077" t="inlineStr">
        <is>
          <t>SPEC</t>
        </is>
      </c>
      <c r="E2077" t="inlineStr">
        <is>
          <t>COP 34411924 GVX IO 1500kVA L1 MAINS1</t>
        </is>
      </c>
      <c r="G2077" t="inlineStr">
        <is>
          <t>GVX</t>
        </is>
      </c>
      <c r="H2077" t="inlineStr">
        <is>
          <t>IO</t>
        </is>
      </c>
      <c r="I2077" t="inlineStr">
        <is>
          <t>1500kVA</t>
        </is>
      </c>
      <c r="J2077" t="inlineStr">
        <is>
          <t>MATRION</t>
        </is>
      </c>
      <c r="K2077" t="inlineStr">
        <is>
          <t>CUIVRE</t>
        </is>
      </c>
      <c r="L2077">
        <f>_xlfn.XLOOKUP(Tableau1[[#This Row],[TYPE DE PIECE]],Tableau4[MATIERE],Tableau4[SHORT TYPE],"",0,1)</f>
        <v/>
      </c>
      <c r="N2077">
        <f>IF(ISERR(FIND("DECOUPE",Tableau1[[#This Row],[DESIGNATION]])),"","NEED REF")</f>
        <v/>
      </c>
    </row>
    <row r="2078">
      <c r="B2078" t="n">
        <v>34411923</v>
      </c>
      <c r="C2078" s="2" t="n">
        <v>45191</v>
      </c>
      <c r="D2078" t="inlineStr">
        <is>
          <t>SPEC</t>
        </is>
      </c>
      <c r="E2078" t="inlineStr">
        <is>
          <t>COP 34411923 GVX IO 1500kVA N MAINS1</t>
        </is>
      </c>
      <c r="G2078" t="inlineStr">
        <is>
          <t>GVX</t>
        </is>
      </c>
      <c r="H2078" t="inlineStr">
        <is>
          <t>IO</t>
        </is>
      </c>
      <c r="I2078" t="inlineStr">
        <is>
          <t>1500kVA</t>
        </is>
      </c>
      <c r="J2078" t="inlineStr">
        <is>
          <t>MATRION</t>
        </is>
      </c>
      <c r="K2078" t="inlineStr">
        <is>
          <t>CUIVRE</t>
        </is>
      </c>
      <c r="L2078">
        <f>_xlfn.XLOOKUP(Tableau1[[#This Row],[TYPE DE PIECE]],Tableau4[MATIERE],Tableau4[SHORT TYPE],"",0,1)</f>
        <v/>
      </c>
      <c r="N2078">
        <f>IF(ISERR(FIND("DECOUPE",Tableau1[[#This Row],[DESIGNATION]])),"","NEED REF")</f>
        <v/>
      </c>
    </row>
    <row r="2079">
      <c r="B2079" t="n">
        <v>34411922</v>
      </c>
      <c r="C2079" s="2" t="n">
        <v>45191</v>
      </c>
      <c r="D2079" t="inlineStr">
        <is>
          <t>SPEC</t>
        </is>
      </c>
      <c r="E2079" t="inlineStr">
        <is>
          <t>COP 34411922 GVX IO 1500kVA L1 MAINS2</t>
        </is>
      </c>
      <c r="G2079" t="inlineStr">
        <is>
          <t>GVX</t>
        </is>
      </c>
      <c r="H2079" t="inlineStr">
        <is>
          <t>IO</t>
        </is>
      </c>
      <c r="I2079" t="inlineStr">
        <is>
          <t>1500kVA</t>
        </is>
      </c>
      <c r="J2079" t="inlineStr">
        <is>
          <t>MATRION</t>
        </is>
      </c>
      <c r="K2079" t="inlineStr">
        <is>
          <t>CUIVRE</t>
        </is>
      </c>
      <c r="L2079">
        <f>_xlfn.XLOOKUP(Tableau1[[#This Row],[TYPE DE PIECE]],Tableau4[MATIERE],Tableau4[SHORT TYPE],"",0,1)</f>
        <v/>
      </c>
      <c r="N2079">
        <f>IF(ISERR(FIND("DECOUPE",Tableau1[[#This Row],[DESIGNATION]])),"","NEED REF")</f>
        <v/>
      </c>
    </row>
    <row r="2080">
      <c r="B2080" t="n">
        <v>34411921</v>
      </c>
      <c r="C2080" s="2" t="n">
        <v>45191</v>
      </c>
      <c r="D2080" t="inlineStr">
        <is>
          <t>SPEC</t>
        </is>
      </c>
      <c r="E2080" t="inlineStr">
        <is>
          <t>COP 34411921 GVX IO 1500kVA L2 MAINS1</t>
        </is>
      </c>
      <c r="G2080" t="inlineStr">
        <is>
          <t>GVX</t>
        </is>
      </c>
      <c r="H2080" t="inlineStr">
        <is>
          <t>IO</t>
        </is>
      </c>
      <c r="I2080" t="inlineStr">
        <is>
          <t>1500kVA</t>
        </is>
      </c>
      <c r="J2080" t="inlineStr">
        <is>
          <t>MATRION</t>
        </is>
      </c>
      <c r="K2080" t="inlineStr">
        <is>
          <t>CUIVRE</t>
        </is>
      </c>
      <c r="L2080">
        <f>_xlfn.XLOOKUP(Tableau1[[#This Row],[TYPE DE PIECE]],Tableau4[MATIERE],Tableau4[SHORT TYPE],"",0,1)</f>
        <v/>
      </c>
      <c r="N2080">
        <f>IF(ISERR(FIND("DECOUPE",Tableau1[[#This Row],[DESIGNATION]])),"","NEED REF")</f>
        <v/>
      </c>
    </row>
    <row r="2081">
      <c r="B2081" t="n">
        <v>34411920</v>
      </c>
      <c r="C2081" s="2" t="n">
        <v>45191</v>
      </c>
      <c r="D2081" t="inlineStr">
        <is>
          <t>SPEC</t>
        </is>
      </c>
      <c r="E2081" t="inlineStr">
        <is>
          <t>COP 34411920 GVX IO 1500kVA L3 MAINS1</t>
        </is>
      </c>
      <c r="G2081" t="inlineStr">
        <is>
          <t>GVX</t>
        </is>
      </c>
      <c r="H2081" t="inlineStr">
        <is>
          <t>IO</t>
        </is>
      </c>
      <c r="I2081" t="inlineStr">
        <is>
          <t>1500kVA</t>
        </is>
      </c>
      <c r="J2081" t="inlineStr">
        <is>
          <t>MATRION</t>
        </is>
      </c>
      <c r="K2081" t="inlineStr">
        <is>
          <t>CUIVRE</t>
        </is>
      </c>
      <c r="L2081">
        <f>_xlfn.XLOOKUP(Tableau1[[#This Row],[TYPE DE PIECE]],Tableau4[MATIERE],Tableau4[SHORT TYPE],"",0,1)</f>
        <v/>
      </c>
      <c r="N2081">
        <f>IF(ISERR(FIND("DECOUPE",Tableau1[[#This Row],[DESIGNATION]])),"","NEED REF")</f>
        <v/>
      </c>
    </row>
    <row r="2082">
      <c r="B2082" t="n">
        <v>34411919</v>
      </c>
      <c r="C2082" s="2" t="n">
        <v>45191</v>
      </c>
      <c r="D2082" t="inlineStr">
        <is>
          <t>SPEC</t>
        </is>
      </c>
      <c r="E2082" t="inlineStr">
        <is>
          <t>COP 34411919 GVX IO 1500kVA L3 OUTPUT</t>
        </is>
      </c>
      <c r="G2082" t="inlineStr">
        <is>
          <t>GVX</t>
        </is>
      </c>
      <c r="H2082" t="inlineStr">
        <is>
          <t>IO</t>
        </is>
      </c>
      <c r="I2082" t="inlineStr">
        <is>
          <t>1500kVA</t>
        </is>
      </c>
      <c r="J2082" t="inlineStr">
        <is>
          <t>MATRION</t>
        </is>
      </c>
      <c r="K2082" t="inlineStr">
        <is>
          <t>CUIVRE</t>
        </is>
      </c>
      <c r="L2082">
        <f>_xlfn.XLOOKUP(Tableau1[[#This Row],[TYPE DE PIECE]],Tableau4[MATIERE],Tableau4[SHORT TYPE],"",0,1)</f>
        <v/>
      </c>
      <c r="N2082">
        <f>IF(ISERR(FIND("DECOUPE",Tableau1[[#This Row],[DESIGNATION]])),"","NEED REF")</f>
        <v/>
      </c>
    </row>
    <row r="2083">
      <c r="B2083" t="n">
        <v>34411918</v>
      </c>
      <c r="C2083" s="2" t="n">
        <v>45191</v>
      </c>
      <c r="D2083" t="inlineStr">
        <is>
          <t>SPEC</t>
        </is>
      </c>
      <c r="E2083" t="inlineStr">
        <is>
          <t>COP 34411918 GVX IO 1500kVA L2 OUTPUT</t>
        </is>
      </c>
      <c r="G2083" t="inlineStr">
        <is>
          <t>GVX</t>
        </is>
      </c>
      <c r="H2083" t="inlineStr">
        <is>
          <t>IO</t>
        </is>
      </c>
      <c r="I2083" t="inlineStr">
        <is>
          <t>1500kVA</t>
        </is>
      </c>
      <c r="J2083" t="inlineStr">
        <is>
          <t>MATRION</t>
        </is>
      </c>
      <c r="K2083" t="inlineStr">
        <is>
          <t>CUIVRE</t>
        </is>
      </c>
      <c r="L2083">
        <f>_xlfn.XLOOKUP(Tableau1[[#This Row],[TYPE DE PIECE]],Tableau4[MATIERE],Tableau4[SHORT TYPE],"",0,1)</f>
        <v/>
      </c>
      <c r="N2083">
        <f>IF(ISERR(FIND("DECOUPE",Tableau1[[#This Row],[DESIGNATION]])),"","NEED REF")</f>
        <v/>
      </c>
    </row>
    <row r="2084">
      <c r="B2084" t="n">
        <v>34411917</v>
      </c>
      <c r="C2084" s="2" t="n">
        <v>45191</v>
      </c>
      <c r="D2084" t="inlineStr">
        <is>
          <t>SPEC</t>
        </is>
      </c>
      <c r="E2084" t="inlineStr">
        <is>
          <t>COP 34411917 GVX IO 1500kVA L1 OUTPUT</t>
        </is>
      </c>
      <c r="G2084" t="inlineStr">
        <is>
          <t>GVX</t>
        </is>
      </c>
      <c r="H2084" t="inlineStr">
        <is>
          <t>IO</t>
        </is>
      </c>
      <c r="I2084" t="inlineStr">
        <is>
          <t>1500kVA</t>
        </is>
      </c>
      <c r="J2084" t="inlineStr">
        <is>
          <t>MATRION</t>
        </is>
      </c>
      <c r="K2084" t="inlineStr">
        <is>
          <t>CUIVRE</t>
        </is>
      </c>
      <c r="L2084">
        <f>_xlfn.XLOOKUP(Tableau1[[#This Row],[TYPE DE PIECE]],Tableau4[MATIERE],Tableau4[SHORT TYPE],"",0,1)</f>
        <v/>
      </c>
      <c r="N2084">
        <f>IF(ISERR(FIND("DECOUPE",Tableau1[[#This Row],[DESIGNATION]])),"","NEED REF")</f>
        <v/>
      </c>
    </row>
    <row r="2085">
      <c r="B2085" t="n">
        <v>34411916</v>
      </c>
      <c r="C2085" s="2" t="n">
        <v>45189</v>
      </c>
      <c r="D2085" t="inlineStr">
        <is>
          <t>SPEC</t>
        </is>
      </c>
      <c r="E2085" t="inlineStr">
        <is>
          <t>DER BOX AVEC PERCAGE</t>
        </is>
      </c>
      <c r="J2085" t="inlineStr">
        <is>
          <t>Rodriguez</t>
        </is>
      </c>
      <c r="K2085" t="inlineStr">
        <is>
          <t>DECOUPE</t>
        </is>
      </c>
      <c r="L2085">
        <f>_xlfn.XLOOKUP(Tableau1[[#This Row],[TYPE DE PIECE]],Tableau4[MATIERE],Tableau4[SHORT TYPE],"",0,1)</f>
        <v/>
      </c>
      <c r="N2085">
        <f>IF(ISERR(FIND("DECOUPE",Tableau1[[#This Row],[DESIGNATION]])),"","NEED REF")</f>
        <v/>
      </c>
    </row>
    <row r="2086">
      <c r="B2086" t="n">
        <v>34411915</v>
      </c>
      <c r="C2086" s="2" t="n">
        <v>45189</v>
      </c>
      <c r="D2086" t="inlineStr">
        <is>
          <t>SPEC</t>
        </is>
      </c>
      <c r="E2086">
        <f>_xlfn.CONCAT(Tableau1[[#This Row],[SHORT TYPE]]," ",Tableau1[[#This Row],[NUMERO]]," ",Tableau1[[#This Row],[GAMME]]," ",Tableau1[[#This Row],[TYPE PRODUIT]]," ",Tableau1[[#This Row],[PUISSANCE]])</f>
        <v/>
      </c>
      <c r="J2086" t="inlineStr">
        <is>
          <t>MATRION</t>
        </is>
      </c>
      <c r="L2086">
        <f>_xlfn.XLOOKUP(Tableau1[[#This Row],[TYPE DE PIECE]],Tableau4[MATIERE],Tableau4[SHORT TYPE],"",0,1)</f>
        <v/>
      </c>
      <c r="N2086">
        <f>IF(ISERR(FIND("DECOUPE",Tableau1[[#This Row],[DESIGNATION]])),"","NEED REF")</f>
        <v/>
      </c>
    </row>
    <row r="2087">
      <c r="B2087" t="n">
        <v>34411914</v>
      </c>
      <c r="C2087" s="2" t="n">
        <v>45189</v>
      </c>
      <c r="D2087" t="inlineStr">
        <is>
          <t>SPEC</t>
        </is>
      </c>
      <c r="E2087">
        <f>_xlfn.CONCAT(Tableau1[[#This Row],[SHORT TYPE]]," ",Tableau1[[#This Row],[NUMERO]]," ",Tableau1[[#This Row],[GAMME]]," ",Tableau1[[#This Row],[TYPE PRODUIT]]," ",Tableau1[[#This Row],[PUISSANCE]])</f>
        <v/>
      </c>
      <c r="J2087" t="inlineStr">
        <is>
          <t>MATRION</t>
        </is>
      </c>
      <c r="L2087">
        <f>_xlfn.XLOOKUP(Tableau1[[#This Row],[TYPE DE PIECE]],Tableau4[MATIERE],Tableau4[SHORT TYPE],"",0,1)</f>
        <v/>
      </c>
      <c r="N2087">
        <f>IF(ISERR(FIND("DECOUPE",Tableau1[[#This Row],[DESIGNATION]])),"","NEED REF")</f>
        <v/>
      </c>
    </row>
    <row r="2088">
      <c r="B2088" t="n">
        <v>34411913</v>
      </c>
      <c r="C2088" s="2" t="n">
        <v>45189</v>
      </c>
      <c r="D2088" t="inlineStr">
        <is>
          <t>SPEC</t>
        </is>
      </c>
      <c r="E2088">
        <f>_xlfn.CONCAT(Tableau1[[#This Row],[SHORT TYPE]]," ",Tableau1[[#This Row],[NUMERO]]," ",Tableau1[[#This Row],[GAMME]]," ",Tableau1[[#This Row],[TYPE PRODUIT]]," ",Tableau1[[#This Row],[PUISSANCE]])</f>
        <v/>
      </c>
      <c r="J2088" t="inlineStr">
        <is>
          <t>MATRION</t>
        </is>
      </c>
      <c r="L2088">
        <f>_xlfn.XLOOKUP(Tableau1[[#This Row],[TYPE DE PIECE]],Tableau4[MATIERE],Tableau4[SHORT TYPE],"",0,1)</f>
        <v/>
      </c>
      <c r="N2088">
        <f>IF(ISERR(FIND("DECOUPE",Tableau1[[#This Row],[DESIGNATION]])),"","NEED REF")</f>
        <v/>
      </c>
    </row>
    <row r="2089">
      <c r="B2089" t="n">
        <v>34411912</v>
      </c>
      <c r="C2089" s="2" t="n">
        <v>45189</v>
      </c>
      <c r="D2089" t="inlineStr">
        <is>
          <t>SPEC</t>
        </is>
      </c>
      <c r="E2089">
        <f>_xlfn.CONCAT(Tableau1[[#This Row],[SHORT TYPE]]," ",Tableau1[[#This Row],[NUMERO]]," ",Tableau1[[#This Row],[GAMME]]," ",Tableau1[[#This Row],[TYPE PRODUIT]]," ",Tableau1[[#This Row],[PUISSANCE]])</f>
        <v/>
      </c>
      <c r="J2089" t="inlineStr">
        <is>
          <t>MATRION</t>
        </is>
      </c>
      <c r="L2089">
        <f>_xlfn.XLOOKUP(Tableau1[[#This Row],[TYPE DE PIECE]],Tableau4[MATIERE],Tableau4[SHORT TYPE],"",0,1)</f>
        <v/>
      </c>
      <c r="N2089">
        <f>IF(ISERR(FIND("DECOUPE",Tableau1[[#This Row],[DESIGNATION]])),"","NEED REF")</f>
        <v/>
      </c>
    </row>
    <row r="2090">
      <c r="B2090" t="n">
        <v>34411911</v>
      </c>
      <c r="C2090" s="2" t="n">
        <v>45189</v>
      </c>
      <c r="D2090" t="inlineStr">
        <is>
          <t>SPEC</t>
        </is>
      </c>
      <c r="E2090" t="inlineStr">
        <is>
          <t xml:space="preserve">WIR 34411911  GROUND BOX </t>
        </is>
      </c>
      <c r="H2090" t="inlineStr">
        <is>
          <t>GROUND BOX</t>
        </is>
      </c>
      <c r="J2090" t="inlineStr">
        <is>
          <t>MATRION</t>
        </is>
      </c>
      <c r="K2090" t="inlineStr">
        <is>
          <t>FILERIE</t>
        </is>
      </c>
      <c r="L2090">
        <f>_xlfn.XLOOKUP(Tableau1[[#This Row],[TYPE DE PIECE]],Tableau4[MATIERE],Tableau4[SHORT TYPE],"",0,1)</f>
        <v/>
      </c>
      <c r="N2090">
        <f>IF(ISERR(FIND("DECOUPE",Tableau1[[#This Row],[DESIGNATION]])),"","NEED REF")</f>
        <v/>
      </c>
    </row>
    <row r="2091">
      <c r="B2091" t="n">
        <v>34411910</v>
      </c>
      <c r="C2091" s="2" t="n">
        <v>45189</v>
      </c>
      <c r="D2091" t="inlineStr">
        <is>
          <t>SPEC</t>
        </is>
      </c>
      <c r="E2091" t="inlineStr">
        <is>
          <t>SMT SUPPORT BBK ETO</t>
        </is>
      </c>
      <c r="G2091" t="inlineStr">
        <is>
          <t>GVX</t>
        </is>
      </c>
      <c r="J2091" t="inlineStr">
        <is>
          <t>BERNARDEAU</t>
        </is>
      </c>
      <c r="K2091" t="inlineStr">
        <is>
          <t>METAL</t>
        </is>
      </c>
      <c r="L2091">
        <f>_xlfn.XLOOKUP(Tableau1[[#This Row],[TYPE DE PIECE]],Tableau4[MATIERE],Tableau4[SHORT TYPE],"",0,1)</f>
        <v/>
      </c>
      <c r="N2091">
        <f>IF(ISERR(FIND("DECOUPE",Tableau1[[#This Row],[DESIGNATION]])),"","NEED REF")</f>
        <v/>
      </c>
    </row>
    <row r="2092">
      <c r="B2092" t="n">
        <v>34411909</v>
      </c>
      <c r="C2092" s="2" t="n">
        <v>45189</v>
      </c>
      <c r="D2092" t="inlineStr">
        <is>
          <t>SPEC</t>
        </is>
      </c>
      <c r="E2092" t="inlineStr">
        <is>
          <t>ENSEMBLE BBK ETO</t>
        </is>
      </c>
      <c r="J2092" t="inlineStr">
        <is>
          <t>BERNARDEAU</t>
        </is>
      </c>
      <c r="L2092">
        <f>_xlfn.XLOOKUP(Tableau1[[#This Row],[TYPE DE PIECE]],Tableau4[MATIERE],Tableau4[SHORT TYPE],"",0,1)</f>
        <v/>
      </c>
      <c r="N2092">
        <f>IF(ISERR(FIND("DECOUPE",Tableau1[[#This Row],[DESIGNATION]])),"","NEED REF")</f>
        <v/>
      </c>
    </row>
    <row r="2093">
      <c r="B2093" t="n">
        <v>34411908</v>
      </c>
      <c r="C2093" s="2" t="n">
        <v>45188</v>
      </c>
      <c r="D2093" t="inlineStr">
        <is>
          <t>SPEC</t>
        </is>
      </c>
      <c r="E2093">
        <f>_xlfn.CONCAT(Tableau1[[#This Row],[SHORT TYPE]]," ",Tableau1[[#This Row],[NUMERO]]," ",Tableau1[[#This Row],[GAMME]]," ",Tableau1[[#This Row],[TYPE PRODUIT]]," ",Tableau1[[#This Row],[PUISSANCE]])</f>
        <v/>
      </c>
      <c r="G2093" t="inlineStr">
        <is>
          <t>GVL</t>
        </is>
      </c>
      <c r="H2093" t="inlineStr">
        <is>
          <t>BYPASS</t>
        </is>
      </c>
      <c r="I2093" t="inlineStr">
        <is>
          <t>2x500kVA</t>
        </is>
      </c>
      <c r="J2093" t="inlineStr">
        <is>
          <t>MATRION</t>
        </is>
      </c>
      <c r="K2093" t="inlineStr">
        <is>
          <t>CUIVRE</t>
        </is>
      </c>
      <c r="L2093">
        <f>_xlfn.XLOOKUP(Tableau1[[#This Row],[TYPE DE PIECE]],Tableau4[MATIERE],Tableau4[SHORT TYPE],"",0,1)</f>
        <v/>
      </c>
      <c r="N2093">
        <f>IF(ISERR(FIND("DECOUPE",Tableau1[[#This Row],[DESIGNATION]])),"","NEED REF")</f>
        <v/>
      </c>
    </row>
    <row r="2094">
      <c r="B2094" t="n">
        <v>34411907</v>
      </c>
      <c r="C2094" s="2" t="n">
        <v>45184</v>
      </c>
      <c r="D2094" t="inlineStr">
        <is>
          <t>SPEC</t>
        </is>
      </c>
      <c r="E2094" t="inlineStr">
        <is>
          <t>ETQ 34411907  STS 1250A SWITCHES</t>
        </is>
      </c>
      <c r="H2094" t="inlineStr">
        <is>
          <t>STS</t>
        </is>
      </c>
      <c r="I2094" t="inlineStr">
        <is>
          <t>1250A</t>
        </is>
      </c>
      <c r="J2094" t="inlineStr">
        <is>
          <t>MATRION</t>
        </is>
      </c>
      <c r="K2094" t="inlineStr">
        <is>
          <t>ETIQUETTE</t>
        </is>
      </c>
      <c r="L2094">
        <f>_xlfn.XLOOKUP(Tableau1[[#This Row],[TYPE DE PIECE]],Tableau4[MATIERE],Tableau4[SHORT TYPE],"",0,1)</f>
        <v/>
      </c>
      <c r="N2094">
        <f>IF(ISERR(FIND("DECOUPE",Tableau1[[#This Row],[DESIGNATION]])),"","NEED REF")</f>
        <v/>
      </c>
    </row>
    <row r="2095">
      <c r="B2095" t="n">
        <v>34411906</v>
      </c>
      <c r="C2095" s="2" t="n">
        <v>45184</v>
      </c>
      <c r="D2095" t="inlineStr">
        <is>
          <t>SPEC</t>
        </is>
      </c>
      <c r="E2095" t="inlineStr">
        <is>
          <t>ETQ 34411906  STS 1250A INCOMING</t>
        </is>
      </c>
      <c r="H2095" t="inlineStr">
        <is>
          <t>STS</t>
        </is>
      </c>
      <c r="I2095" t="inlineStr">
        <is>
          <t>1250A</t>
        </is>
      </c>
      <c r="J2095" t="inlineStr">
        <is>
          <t>MATRION</t>
        </is>
      </c>
      <c r="K2095" t="inlineStr">
        <is>
          <t>ETIQUETTE</t>
        </is>
      </c>
      <c r="L2095">
        <f>_xlfn.XLOOKUP(Tableau1[[#This Row],[TYPE DE PIECE]],Tableau4[MATIERE],Tableau4[SHORT TYPE],"",0,1)</f>
        <v/>
      </c>
      <c r="N2095">
        <f>IF(ISERR(FIND("DECOUPE",Tableau1[[#This Row],[DESIGNATION]])),"","NEED REF")</f>
        <v/>
      </c>
    </row>
    <row r="2096">
      <c r="B2096" t="n">
        <v>34411905</v>
      </c>
      <c r="C2096" s="2" t="n">
        <v>45184</v>
      </c>
      <c r="D2096" t="inlineStr">
        <is>
          <t>SPEC</t>
        </is>
      </c>
      <c r="E2096" t="inlineStr">
        <is>
          <t>ETQ 34411905  STS 1250A INCOMING / OUTLET</t>
        </is>
      </c>
      <c r="H2096" t="inlineStr">
        <is>
          <t>STS</t>
        </is>
      </c>
      <c r="I2096" t="inlineStr">
        <is>
          <t>1250A</t>
        </is>
      </c>
      <c r="J2096" t="inlineStr">
        <is>
          <t>MATRION</t>
        </is>
      </c>
      <c r="K2096" t="inlineStr">
        <is>
          <t>ETIQUETTE</t>
        </is>
      </c>
      <c r="L2096">
        <f>_xlfn.XLOOKUP(Tableau1[[#This Row],[TYPE DE PIECE]],Tableau4[MATIERE],Tableau4[SHORT TYPE],"",0,1)</f>
        <v/>
      </c>
      <c r="N2096">
        <f>IF(ISERR(FIND("DECOUPE",Tableau1[[#This Row],[DESIGNATION]])),"","NEED REF")</f>
        <v/>
      </c>
    </row>
    <row r="2097">
      <c r="B2097" t="n">
        <v>34411904</v>
      </c>
      <c r="C2097" s="2" t="n">
        <v>45184</v>
      </c>
      <c r="D2097" t="inlineStr">
        <is>
          <t>SPEC</t>
        </is>
      </c>
      <c r="E2097" t="inlineStr">
        <is>
          <t>30 Panneaux LAT SAREL-STS Std 100-630A-F23090244OCE-A0</t>
        </is>
      </c>
      <c r="I2097" t="inlineStr">
        <is>
          <t>100 à 630A</t>
        </is>
      </c>
      <c r="J2097" t="inlineStr">
        <is>
          <t>MONGELLI</t>
        </is>
      </c>
      <c r="L2097">
        <f>_xlfn.XLOOKUP(Tableau1[[#This Row],[TYPE DE PIECE]],Tableau4[MATIERE],Tableau4[SHORT TYPE],"",0,1)</f>
        <v/>
      </c>
      <c r="N2097">
        <f>IF(ISERR(FIND("DECOUPE",Tableau1[[#This Row],[DESIGNATION]])),"","NEED REF")</f>
        <v/>
      </c>
    </row>
    <row r="2098">
      <c r="B2098" t="n">
        <v>34411903</v>
      </c>
      <c r="C2098" s="2" t="n">
        <v>45184</v>
      </c>
      <c r="D2098" t="inlineStr">
        <is>
          <t>SPEC</t>
        </is>
      </c>
      <c r="E2098" t="inlineStr">
        <is>
          <t>30 Panneaux AR SAREL-STS Std 100-630A-F23090240OCE-A0</t>
        </is>
      </c>
      <c r="I2098" t="inlineStr">
        <is>
          <t>100 à 630A</t>
        </is>
      </c>
      <c r="J2098" t="inlineStr">
        <is>
          <t>MONGELLI</t>
        </is>
      </c>
      <c r="L2098">
        <f>_xlfn.XLOOKUP(Tableau1[[#This Row],[TYPE DE PIECE]],Tableau4[MATIERE],Tableau4[SHORT TYPE],"",0,1)</f>
        <v/>
      </c>
      <c r="N2098">
        <f>IF(ISERR(FIND("DECOUPE",Tableau1[[#This Row],[DESIGNATION]])),"","NEED REF")</f>
        <v/>
      </c>
    </row>
    <row r="2099">
      <c r="B2099" t="n">
        <v>34411902</v>
      </c>
      <c r="C2099" s="2" t="n">
        <v>45184</v>
      </c>
      <c r="D2099" t="inlineStr">
        <is>
          <t>SPEC</t>
        </is>
      </c>
      <c r="E2099" t="inlineStr">
        <is>
          <t>SAREL SF-H1900xL700xP800-STS Std-F23090211OCE-B0</t>
        </is>
      </c>
      <c r="H2099" t="inlineStr">
        <is>
          <t>STS STD</t>
        </is>
      </c>
      <c r="I2099" t="inlineStr">
        <is>
          <t>100 à 630A</t>
        </is>
      </c>
      <c r="J2099" t="inlineStr">
        <is>
          <t>MONGELLI</t>
        </is>
      </c>
      <c r="L2099">
        <f>_xlfn.XLOOKUP(Tableau1[[#This Row],[TYPE DE PIECE]],Tableau4[MATIERE],Tableau4[SHORT TYPE],"",0,1)</f>
        <v/>
      </c>
      <c r="N2099">
        <f>IF(ISERR(FIND("DECOUPE",Tableau1[[#This Row],[DESIGNATION]])),"","NEED REF")</f>
        <v/>
      </c>
    </row>
    <row r="2100">
      <c r="B2100" t="n">
        <v>34411901</v>
      </c>
      <c r="C2100" s="2" t="n">
        <v>45184</v>
      </c>
      <c r="D2100" t="inlineStr">
        <is>
          <t>SPEC</t>
        </is>
      </c>
      <c r="E2100" t="inlineStr">
        <is>
          <t>SMT 30 TOIT STS 100-250 SAREL PE_F23090257OCE/B0</t>
        </is>
      </c>
      <c r="H2100" t="inlineStr">
        <is>
          <t>STS</t>
        </is>
      </c>
      <c r="I2100" t="inlineStr">
        <is>
          <t>100 à 250A</t>
        </is>
      </c>
      <c r="J2100" t="inlineStr">
        <is>
          <t>BERNARDEAU</t>
        </is>
      </c>
      <c r="K2100" t="inlineStr">
        <is>
          <t>METAL</t>
        </is>
      </c>
      <c r="L2100">
        <f>_xlfn.XLOOKUP(Tableau1[[#This Row],[TYPE DE PIECE]],Tableau4[MATIERE],Tableau4[SHORT TYPE],"",0,1)</f>
        <v/>
      </c>
      <c r="N2100">
        <f>IF(ISERR(FIND("DECOUPE",Tableau1[[#This Row],[DESIGNATION]])),"","NEED REF")</f>
        <v/>
      </c>
    </row>
    <row r="2101">
      <c r="B2101" t="n">
        <v>34411900</v>
      </c>
      <c r="C2101" s="2" t="n">
        <v>45183</v>
      </c>
      <c r="D2101" t="inlineStr">
        <is>
          <t>SPEC</t>
        </is>
      </c>
      <c r="E2101" t="inlineStr">
        <is>
          <t>SMT PLAQUE JONCTION BYPASS GVL RAL9003</t>
        </is>
      </c>
      <c r="H2101" t="inlineStr">
        <is>
          <t>BYPASS</t>
        </is>
      </c>
      <c r="J2101" t="inlineStr">
        <is>
          <t>Rodriguez</t>
        </is>
      </c>
      <c r="K2101" t="inlineStr">
        <is>
          <t>METAL</t>
        </is>
      </c>
      <c r="L2101">
        <f>_xlfn.XLOOKUP(Tableau1[[#This Row],[TYPE DE PIECE]],Tableau4[MATIERE],Tableau4[SHORT TYPE],"",0,1)</f>
        <v/>
      </c>
      <c r="N2101">
        <f>IF(ISERR(FIND("DECOUPE",Tableau1[[#This Row],[DESIGNATION]])),"","NEED REF")</f>
        <v/>
      </c>
    </row>
    <row r="2102">
      <c r="B2102" t="n">
        <v>34411899</v>
      </c>
      <c r="C2102" s="2" t="n">
        <v>45183</v>
      </c>
      <c r="D2102" t="inlineStr">
        <is>
          <t>SPEC</t>
        </is>
      </c>
      <c r="E2102" t="inlineStr">
        <is>
          <t>SMT TOIT COMPLET BYPASS GVL RAL9003</t>
        </is>
      </c>
      <c r="G2102" t="inlineStr">
        <is>
          <t>GVL</t>
        </is>
      </c>
      <c r="H2102" t="inlineStr">
        <is>
          <t>BYPASS</t>
        </is>
      </c>
      <c r="J2102" t="inlineStr">
        <is>
          <t>Rodriguez</t>
        </is>
      </c>
      <c r="K2102" t="inlineStr">
        <is>
          <t>METAL</t>
        </is>
      </c>
      <c r="L2102">
        <f>_xlfn.XLOOKUP(Tableau1[[#This Row],[TYPE DE PIECE]],Tableau4[MATIERE],Tableau4[SHORT TYPE],"",0,1)</f>
        <v/>
      </c>
      <c r="N2102">
        <f>IF(ISERR(FIND("DECOUPE",Tableau1[[#This Row],[DESIGNATION]])),"","NEED REF")</f>
        <v/>
      </c>
    </row>
    <row r="2103">
      <c r="B2103" t="n">
        <v>34411898</v>
      </c>
      <c r="C2103" s="2" t="n">
        <v>45183</v>
      </c>
      <c r="D2103" t="inlineStr">
        <is>
          <t>SPEC</t>
        </is>
      </c>
      <c r="E2103" t="inlineStr">
        <is>
          <t>SMT SUPPORT AR TOIT BYPASS GVL RAL9003</t>
        </is>
      </c>
      <c r="G2103" t="inlineStr">
        <is>
          <t>GVL</t>
        </is>
      </c>
      <c r="H2103" t="inlineStr">
        <is>
          <t>BYPASS</t>
        </is>
      </c>
      <c r="J2103" t="inlineStr">
        <is>
          <t>Rodriguez</t>
        </is>
      </c>
      <c r="K2103" t="inlineStr">
        <is>
          <t>METAL</t>
        </is>
      </c>
      <c r="L2103">
        <f>_xlfn.XLOOKUP(Tableau1[[#This Row],[TYPE DE PIECE]],Tableau4[MATIERE],Tableau4[SHORT TYPE],"",0,1)</f>
        <v/>
      </c>
      <c r="N2103">
        <f>IF(ISERR(FIND("DECOUPE",Tableau1[[#This Row],[DESIGNATION]])),"","NEED REF")</f>
        <v/>
      </c>
    </row>
    <row r="2104">
      <c r="B2104" t="n">
        <v>34411897</v>
      </c>
      <c r="C2104" s="2" t="n">
        <v>45183</v>
      </c>
      <c r="D2104" t="inlineStr">
        <is>
          <t>SPEC</t>
        </is>
      </c>
      <c r="E2104" t="inlineStr">
        <is>
          <t>SMT SUPPORT AV TOIT BYPASS GVL RAL9003</t>
        </is>
      </c>
      <c r="G2104" t="inlineStr">
        <is>
          <t>GVL</t>
        </is>
      </c>
      <c r="H2104" t="inlineStr">
        <is>
          <t>BYPASS</t>
        </is>
      </c>
      <c r="J2104" t="inlineStr">
        <is>
          <t>Rodriguez</t>
        </is>
      </c>
      <c r="K2104" t="inlineStr">
        <is>
          <t>METAL</t>
        </is>
      </c>
      <c r="L2104" t="inlineStr">
        <is>
          <t>SMT</t>
        </is>
      </c>
      <c r="N2104">
        <f>IF(ISERR(FIND("DECOUPE",Tableau1[[#This Row],[DESIGNATION]])),"","NEED REF")</f>
        <v/>
      </c>
    </row>
    <row r="2105">
      <c r="B2105" t="n">
        <v>34411896</v>
      </c>
      <c r="C2105" s="2" t="n">
        <v>45183</v>
      </c>
      <c r="D2105" t="inlineStr">
        <is>
          <t>SPEC</t>
        </is>
      </c>
      <c r="E2105" t="inlineStr">
        <is>
          <t>SMT CAPOT 2 CB NSX630DC</t>
        </is>
      </c>
      <c r="G2105" t="inlineStr">
        <is>
          <t>GVS/E3M</t>
        </is>
      </c>
      <c r="H2105" t="inlineStr">
        <is>
          <t>BCB BOX</t>
        </is>
      </c>
      <c r="I2105" t="inlineStr">
        <is>
          <t>200KVA</t>
        </is>
      </c>
      <c r="J2105" t="inlineStr">
        <is>
          <t>JAWORSKI</t>
        </is>
      </c>
      <c r="K2105" t="inlineStr">
        <is>
          <t>METAL</t>
        </is>
      </c>
      <c r="L2105">
        <f>_xlfn.XLOOKUP(Tableau1[[#This Row],[TYPE DE PIECE]],Tableau4[MATIERE],Tableau4[SHORT TYPE],"",0,1)</f>
        <v/>
      </c>
      <c r="N2105">
        <f>IF(ISERR(FIND("DECOUPE",Tableau1[[#This Row],[DESIGNATION]])),"","NEED REF")</f>
        <v/>
      </c>
    </row>
    <row r="2106">
      <c r="B2106" t="n">
        <v>34411895</v>
      </c>
      <c r="C2106" s="2" t="n">
        <v>45183</v>
      </c>
      <c r="D2106" t="inlineStr">
        <is>
          <t>SPEC</t>
        </is>
      </c>
      <c r="E2106" t="inlineStr">
        <is>
          <t>SMT SUPPORT PLASTRON COFFRET  H1000MM</t>
        </is>
      </c>
      <c r="G2106" t="inlineStr">
        <is>
          <t>GVS/E3M</t>
        </is>
      </c>
      <c r="H2106" t="inlineStr">
        <is>
          <t>BCB BOX</t>
        </is>
      </c>
      <c r="I2106" t="inlineStr">
        <is>
          <t>200KVA</t>
        </is>
      </c>
      <c r="J2106" t="inlineStr">
        <is>
          <t>JAWORSKI</t>
        </is>
      </c>
      <c r="K2106" t="inlineStr">
        <is>
          <t>METAL</t>
        </is>
      </c>
      <c r="L2106">
        <f>_xlfn.XLOOKUP(Tableau1[[#This Row],[TYPE DE PIECE]],Tableau4[MATIERE],Tableau4[SHORT TYPE],"",0,1)</f>
        <v/>
      </c>
      <c r="N2106">
        <f>IF(ISERR(FIND("DECOUPE",Tableau1[[#This Row],[DESIGNATION]])),"","NEED REF")</f>
        <v/>
      </c>
    </row>
    <row r="2107">
      <c r="B2107" t="n">
        <v>34411894</v>
      </c>
      <c r="C2107" s="2" t="n">
        <v>45183</v>
      </c>
      <c r="D2107" t="inlineStr">
        <is>
          <t>SPEC</t>
        </is>
      </c>
      <c r="E2107" t="inlineStr">
        <is>
          <t>STRUCTURE 100-250A STS H=1900</t>
        </is>
      </c>
      <c r="J2107" t="inlineStr">
        <is>
          <t>BERNARDEAU</t>
        </is>
      </c>
      <c r="L2107">
        <f>_xlfn.XLOOKUP(Tableau1[[#This Row],[TYPE DE PIECE]],Tableau4[MATIERE],Tableau4[SHORT TYPE],"",0,1)</f>
        <v/>
      </c>
      <c r="N2107">
        <f>IF(ISERR(FIND("DECOUPE",Tableau1[[#This Row],[DESIGNATION]])),"","NEED REF")</f>
        <v/>
      </c>
    </row>
    <row r="2108">
      <c r="B2108" t="n">
        <v>34411893</v>
      </c>
      <c r="C2108" s="2" t="n">
        <v>45183</v>
      </c>
      <c r="D2108" t="inlineStr">
        <is>
          <t>SPEC</t>
        </is>
      </c>
      <c r="E2108" t="inlineStr">
        <is>
          <t>FG UPSILON STS 250A 4 POLES H=1900</t>
        </is>
      </c>
      <c r="H2108" t="inlineStr">
        <is>
          <t>STS</t>
        </is>
      </c>
      <c r="J2108" t="inlineStr">
        <is>
          <t>BERNARDEAU</t>
        </is>
      </c>
      <c r="L2108">
        <f>_xlfn.XLOOKUP(Tableau1[[#This Row],[TYPE DE PIECE]],Tableau4[MATIERE],Tableau4[SHORT TYPE],"",0,1)</f>
        <v/>
      </c>
      <c r="N2108">
        <f>IF(ISERR(FIND("DECOUPE",Tableau1[[#This Row],[DESIGNATION]])),"","NEED REF")</f>
        <v/>
      </c>
    </row>
    <row r="2109">
      <c r="B2109" t="n">
        <v>34411892</v>
      </c>
      <c r="C2109" s="2" t="n">
        <v>45183</v>
      </c>
      <c r="D2109" t="inlineStr">
        <is>
          <t>SPEC</t>
        </is>
      </c>
      <c r="E2109" t="inlineStr">
        <is>
          <t>UPSILON STS 250A 4 POLES H=1900</t>
        </is>
      </c>
      <c r="H2109" t="inlineStr">
        <is>
          <t>STS</t>
        </is>
      </c>
      <c r="J2109" t="inlineStr">
        <is>
          <t>BERNARDEAU</t>
        </is>
      </c>
      <c r="L2109">
        <f>_xlfn.XLOOKUP(Tableau1[[#This Row],[TYPE DE PIECE]],Tableau4[MATIERE],Tableau4[SHORT TYPE],"",0,1)</f>
        <v/>
      </c>
      <c r="N2109">
        <f>IF(ISERR(FIND("DECOUPE",Tableau1[[#This Row],[DESIGNATION]])),"","NEED REF")</f>
        <v/>
      </c>
    </row>
    <row r="2110">
      <c r="B2110" t="n">
        <v>34411891</v>
      </c>
      <c r="C2110" s="2" t="n">
        <v>45183</v>
      </c>
      <c r="D2110" t="inlineStr">
        <is>
          <t>SPEC</t>
        </is>
      </c>
      <c r="E2110" t="inlineStr">
        <is>
          <t>SHEET SUPPORT SSW</t>
        </is>
      </c>
      <c r="H2110" t="inlineStr">
        <is>
          <t>STS</t>
        </is>
      </c>
      <c r="J2110" t="inlineStr">
        <is>
          <t>BERNARDEAU</t>
        </is>
      </c>
      <c r="L2110">
        <f>_xlfn.XLOOKUP(Tableau1[[#This Row],[TYPE DE PIECE]],Tableau4[MATIERE],Tableau4[SHORT TYPE],"",0,1)</f>
        <v/>
      </c>
      <c r="N2110">
        <f>IF(ISERR(FIND("DECOUPE",Tableau1[[#This Row],[DESIGNATION]])),"","NEED REF")</f>
        <v/>
      </c>
    </row>
    <row r="2111">
      <c r="B2111" t="n">
        <v>34411890</v>
      </c>
      <c r="C2111" s="2" t="n">
        <v>45183</v>
      </c>
      <c r="D2111" t="inlineStr">
        <is>
          <t>SPEC</t>
        </is>
      </c>
      <c r="E2111" t="inlineStr">
        <is>
          <t>PLA PROTECTION CONTACT UPS</t>
        </is>
      </c>
      <c r="G2111" t="inlineStr">
        <is>
          <t>GVS/E3M</t>
        </is>
      </c>
      <c r="H2111" t="inlineStr">
        <is>
          <t>BCB BOX</t>
        </is>
      </c>
      <c r="I2111" t="inlineStr">
        <is>
          <t>200KVA</t>
        </is>
      </c>
      <c r="J2111" t="inlineStr">
        <is>
          <t>JAWORSKI</t>
        </is>
      </c>
      <c r="K2111" t="inlineStr">
        <is>
          <t>PLASTIQUE</t>
        </is>
      </c>
      <c r="L2111">
        <f>_xlfn.XLOOKUP(Tableau1[[#This Row],[TYPE DE PIECE]],Tableau4[MATIERE],Tableau4[SHORT TYPE],"",0,1)</f>
        <v/>
      </c>
      <c r="N2111">
        <f>IF(ISERR(FIND("DECOUPE",Tableau1[[#This Row],[DESIGNATION]])),"","NEED REF")</f>
        <v/>
      </c>
    </row>
    <row r="2112">
      <c r="B2112" t="n">
        <v>34411889</v>
      </c>
      <c r="C2112" s="2" t="n">
        <v>45183</v>
      </c>
      <c r="D2112" t="inlineStr">
        <is>
          <t>SPEC</t>
        </is>
      </c>
      <c r="E2112" t="inlineStr">
        <is>
          <t>PLA PROTECTION CONTACT BATT</t>
        </is>
      </c>
      <c r="G2112" t="inlineStr">
        <is>
          <t>GVS/E3M</t>
        </is>
      </c>
      <c r="H2112" t="inlineStr">
        <is>
          <t>BCB BOX</t>
        </is>
      </c>
      <c r="I2112" t="inlineStr">
        <is>
          <t>200KVA</t>
        </is>
      </c>
      <c r="J2112" t="inlineStr">
        <is>
          <t>JAWORSKI</t>
        </is>
      </c>
      <c r="K2112" t="inlineStr">
        <is>
          <t>PLASTIQUE</t>
        </is>
      </c>
      <c r="L2112">
        <f>_xlfn.XLOOKUP(Tableau1[[#This Row],[TYPE DE PIECE]],Tableau4[MATIERE],Tableau4[SHORT TYPE],"",0,1)</f>
        <v/>
      </c>
      <c r="N2112">
        <f>IF(ISERR(FIND("DECOUPE",Tableau1[[#This Row],[DESIGNATION]])),"","NEED REF")</f>
        <v/>
      </c>
    </row>
    <row r="2113">
      <c r="B2113" t="n">
        <v>34411888</v>
      </c>
      <c r="C2113" s="2" t="n">
        <v>45182</v>
      </c>
      <c r="D2113" t="inlineStr">
        <is>
          <t>SPEC</t>
        </is>
      </c>
      <c r="E2113" t="inlineStr">
        <is>
          <t>SMT 34411888 STS 1250A Moyen montage bypass</t>
        </is>
      </c>
      <c r="H2113" t="inlineStr">
        <is>
          <t>STS</t>
        </is>
      </c>
      <c r="I2113" t="inlineStr">
        <is>
          <t>1250A</t>
        </is>
      </c>
      <c r="J2113" t="inlineStr">
        <is>
          <t>MATRION</t>
        </is>
      </c>
      <c r="K2113" t="inlineStr">
        <is>
          <t>METAL</t>
        </is>
      </c>
      <c r="L2113">
        <f>_xlfn.XLOOKUP(Tableau1[[#This Row],[TYPE DE PIECE]],Tableau4[MATIERE],Tableau4[SHORT TYPE],"",0,1)</f>
        <v/>
      </c>
      <c r="N2113">
        <f>IF(ISERR(FIND("DECOUPE",Tableau1[[#This Row],[DESIGNATION]])),"","NEED REF")</f>
        <v/>
      </c>
    </row>
    <row r="2114">
      <c r="B2114" t="n">
        <v>34411887</v>
      </c>
      <c r="C2114" s="2" t="n">
        <v>45182</v>
      </c>
      <c r="D2114" t="inlineStr">
        <is>
          <t>SPEC</t>
        </is>
      </c>
      <c r="E2114" t="inlineStr">
        <is>
          <t>WIR 34411887 KIT FILERIE AFFICHEUR</t>
        </is>
      </c>
      <c r="H2114" t="inlineStr">
        <is>
          <t>STS</t>
        </is>
      </c>
      <c r="I2114" t="inlineStr">
        <is>
          <t>1250A</t>
        </is>
      </c>
      <c r="J2114" t="inlineStr">
        <is>
          <t>MATRION</t>
        </is>
      </c>
      <c r="K2114" t="inlineStr">
        <is>
          <t>FILERIE</t>
        </is>
      </c>
      <c r="L2114">
        <f>_xlfn.XLOOKUP(Tableau1[[#This Row],[TYPE DE PIECE]],Tableau4[MATIERE],Tableau4[SHORT TYPE],"",0,1)</f>
        <v/>
      </c>
      <c r="N2114">
        <f>IF(ISERR(FIND("DECOUPE",Tableau1[[#This Row],[DESIGNATION]])),"","NEED REF")</f>
        <v/>
      </c>
    </row>
    <row r="2115">
      <c r="B2115" t="n">
        <v>34411886</v>
      </c>
      <c r="C2115" s="2" t="n">
        <v>45181</v>
      </c>
      <c r="D2115" t="inlineStr">
        <is>
          <t>SPEC</t>
        </is>
      </c>
      <c r="E2115" t="inlineStr">
        <is>
          <t>COP DECOUPE LVS04174 690MM</t>
        </is>
      </c>
      <c r="G2115" t="inlineStr">
        <is>
          <t>GVS/E3M</t>
        </is>
      </c>
      <c r="H2115" t="inlineStr">
        <is>
          <t>BCB BOX</t>
        </is>
      </c>
      <c r="I2115" t="inlineStr">
        <is>
          <t>200KVA</t>
        </is>
      </c>
      <c r="J2115" t="inlineStr">
        <is>
          <t>JAWORSKI</t>
        </is>
      </c>
      <c r="K2115" t="inlineStr">
        <is>
          <t>ETO</t>
        </is>
      </c>
      <c r="L2115">
        <f>_xlfn.XLOOKUP(Tableau1[[#This Row],[TYPE DE PIECE]],Tableau4[MATIERE],Tableau4[SHORT TYPE],"",0,1)</f>
        <v/>
      </c>
      <c r="N2115" t="inlineStr">
        <is>
          <t>LVS04174</t>
        </is>
      </c>
    </row>
    <row r="2116">
      <c r="B2116" t="n">
        <v>34411885</v>
      </c>
      <c r="C2116" s="2" t="n">
        <v>45181</v>
      </c>
      <c r="D2116" t="inlineStr">
        <is>
          <t>SPEC</t>
        </is>
      </c>
      <c r="E2116" t="inlineStr">
        <is>
          <t>COP CONNEXION BATT NEUTRE</t>
        </is>
      </c>
      <c r="G2116" t="inlineStr">
        <is>
          <t>GVS/E3M</t>
        </is>
      </c>
      <c r="H2116" t="inlineStr">
        <is>
          <t>BCB BOX</t>
        </is>
      </c>
      <c r="I2116" t="inlineStr">
        <is>
          <t>200KVA</t>
        </is>
      </c>
      <c r="J2116" t="inlineStr">
        <is>
          <t>JAWORSKI</t>
        </is>
      </c>
      <c r="K2116" t="inlineStr">
        <is>
          <t>CUIVRE</t>
        </is>
      </c>
      <c r="L2116">
        <f>_xlfn.XLOOKUP(Tableau1[[#This Row],[TYPE DE PIECE]],Tableau4[MATIERE],Tableau4[SHORT TYPE],"",0,1)</f>
        <v/>
      </c>
      <c r="N2116">
        <f>IF(ISERR(FIND("DECOUPE",Tableau1[[#This Row],[DESIGNATION]])),"","NEED REF")</f>
        <v/>
      </c>
    </row>
    <row r="2117">
      <c r="B2117" t="n">
        <v>34411884</v>
      </c>
      <c r="C2117" s="2" t="n">
        <v>45181</v>
      </c>
      <c r="D2117" t="inlineStr">
        <is>
          <t>SPEC</t>
        </is>
      </c>
      <c r="E2117" t="inlineStr">
        <is>
          <t>COP CONNEXION BATT -</t>
        </is>
      </c>
      <c r="G2117" t="inlineStr">
        <is>
          <t>GVS/E3M</t>
        </is>
      </c>
      <c r="H2117" t="inlineStr">
        <is>
          <t>BCB BOX</t>
        </is>
      </c>
      <c r="I2117" t="inlineStr">
        <is>
          <t>200KVA</t>
        </is>
      </c>
      <c r="J2117" t="inlineStr">
        <is>
          <t>JAWORSKI</t>
        </is>
      </c>
      <c r="K2117" t="inlineStr">
        <is>
          <t>CUIVRE</t>
        </is>
      </c>
      <c r="L2117">
        <f>_xlfn.XLOOKUP(Tableau1[[#This Row],[TYPE DE PIECE]],Tableau4[MATIERE],Tableau4[SHORT TYPE],"",0,1)</f>
        <v/>
      </c>
      <c r="N2117">
        <f>IF(ISERR(FIND("DECOUPE",Tableau1[[#This Row],[DESIGNATION]])),"","NEED REF")</f>
        <v/>
      </c>
    </row>
    <row r="2118">
      <c r="B2118" t="n">
        <v>34411883</v>
      </c>
      <c r="C2118" s="2" t="n">
        <v>45181</v>
      </c>
      <c r="D2118" t="inlineStr">
        <is>
          <t>SPEC</t>
        </is>
      </c>
      <c r="E2118" t="inlineStr">
        <is>
          <t>COP CONNEXION BATT +</t>
        </is>
      </c>
      <c r="G2118" t="inlineStr">
        <is>
          <t>GVS/E3M</t>
        </is>
      </c>
      <c r="H2118" t="inlineStr">
        <is>
          <t>BCB BOX</t>
        </is>
      </c>
      <c r="I2118" t="inlineStr">
        <is>
          <t>200KVA</t>
        </is>
      </c>
      <c r="J2118" t="inlineStr">
        <is>
          <t>JAWORSKI</t>
        </is>
      </c>
      <c r="K2118" t="inlineStr">
        <is>
          <t>CUIVRE</t>
        </is>
      </c>
      <c r="L2118">
        <f>_xlfn.XLOOKUP(Tableau1[[#This Row],[TYPE DE PIECE]],Tableau4[MATIERE],Tableau4[SHORT TYPE],"",0,1)</f>
        <v/>
      </c>
      <c r="N2118">
        <f>IF(ISERR(FIND("DECOUPE",Tableau1[[#This Row],[DESIGNATION]])),"","NEED REF")</f>
        <v/>
      </c>
    </row>
    <row r="2119">
      <c r="B2119" t="n">
        <v>34411882</v>
      </c>
      <c r="C2119" s="2" t="n">
        <v>45181</v>
      </c>
      <c r="D2119" t="inlineStr">
        <is>
          <t>SPEC</t>
        </is>
      </c>
      <c r="E2119" t="inlineStr">
        <is>
          <t>SMT PLASTRON</t>
        </is>
      </c>
      <c r="G2119" t="inlineStr">
        <is>
          <t>GVS/E3M</t>
        </is>
      </c>
      <c r="H2119" t="inlineStr">
        <is>
          <t>BCB BOX</t>
        </is>
      </c>
      <c r="I2119" t="inlineStr">
        <is>
          <t>200KVA</t>
        </is>
      </c>
      <c r="J2119" t="inlineStr">
        <is>
          <t>JAWORSKI</t>
        </is>
      </c>
      <c r="K2119" t="inlineStr">
        <is>
          <t>METAL</t>
        </is>
      </c>
      <c r="L2119">
        <f>_xlfn.XLOOKUP(Tableau1[[#This Row],[TYPE DE PIECE]],Tableau4[MATIERE],Tableau4[SHORT TYPE],"",0,1)</f>
        <v/>
      </c>
      <c r="N2119">
        <f>IF(ISERR(FIND("DECOUPE",Tableau1[[#This Row],[DESIGNATION]])),"","NEED REF")</f>
        <v/>
      </c>
    </row>
    <row r="2120">
      <c r="B2120" t="n">
        <v>34411881</v>
      </c>
      <c r="C2120" s="2" t="n">
        <v>45181</v>
      </c>
      <c r="D2120" t="inlineStr">
        <is>
          <t>SPEC</t>
        </is>
      </c>
      <c r="E2120" t="inlineStr">
        <is>
          <t>SMT CHASSIS JDB</t>
        </is>
      </c>
      <c r="G2120" t="inlineStr">
        <is>
          <t>GVS/E3M</t>
        </is>
      </c>
      <c r="H2120" t="inlineStr">
        <is>
          <t>BCB BOX</t>
        </is>
      </c>
      <c r="I2120" t="inlineStr">
        <is>
          <t>200KVA</t>
        </is>
      </c>
      <c r="J2120" t="inlineStr">
        <is>
          <t>JAWORSKI</t>
        </is>
      </c>
      <c r="K2120" t="inlineStr">
        <is>
          <t>METAL</t>
        </is>
      </c>
      <c r="L2120">
        <f>_xlfn.XLOOKUP(Tableau1[[#This Row],[TYPE DE PIECE]],Tableau4[MATIERE],Tableau4[SHORT TYPE],"",0,1)</f>
        <v/>
      </c>
      <c r="N2120">
        <f>IF(ISERR(FIND("DECOUPE",Tableau1[[#This Row],[DESIGNATION]])),"","NEED REF")</f>
        <v/>
      </c>
    </row>
    <row r="2121">
      <c r="B2121" t="n">
        <v>34411880</v>
      </c>
      <c r="C2121" s="2" t="n">
        <v>45181</v>
      </c>
      <c r="D2121" t="inlineStr">
        <is>
          <t>SPEC</t>
        </is>
      </c>
      <c r="E2121" t="inlineStr">
        <is>
          <t>SMT PLATINE DE FOND</t>
        </is>
      </c>
      <c r="G2121" t="inlineStr">
        <is>
          <t>GVS/E3M</t>
        </is>
      </c>
      <c r="H2121" t="inlineStr">
        <is>
          <t>BCB BOX</t>
        </is>
      </c>
      <c r="I2121" t="inlineStr">
        <is>
          <t>200KVA</t>
        </is>
      </c>
      <c r="J2121" t="inlineStr">
        <is>
          <t>JAWORSKI</t>
        </is>
      </c>
      <c r="K2121" t="inlineStr">
        <is>
          <t>METAL</t>
        </is>
      </c>
      <c r="L2121">
        <f>_xlfn.XLOOKUP(Tableau1[[#This Row],[TYPE DE PIECE]],Tableau4[MATIERE],Tableau4[SHORT TYPE],"",0,1)</f>
        <v/>
      </c>
      <c r="N2121">
        <f>IF(ISERR(FIND("DECOUPE",Tableau1[[#This Row],[DESIGNATION]])),"","NEED REF")</f>
        <v/>
      </c>
    </row>
    <row r="2122">
      <c r="B2122" t="n">
        <v>34411879</v>
      </c>
      <c r="C2122" s="2" t="n">
        <v>45180</v>
      </c>
      <c r="D2122" t="inlineStr">
        <is>
          <t>SPEC</t>
        </is>
      </c>
      <c r="E2122" t="inlineStr">
        <is>
          <t>SMT TOIT AVANT GVL RAL9003</t>
        </is>
      </c>
      <c r="G2122" t="inlineStr">
        <is>
          <t>GVL</t>
        </is>
      </c>
      <c r="H2122" t="inlineStr">
        <is>
          <t>BYPASS</t>
        </is>
      </c>
      <c r="J2122" t="inlineStr">
        <is>
          <t>Rodriguez</t>
        </is>
      </c>
      <c r="K2122" t="inlineStr">
        <is>
          <t>METAL</t>
        </is>
      </c>
      <c r="L2122">
        <f>_xlfn.XLOOKUP(Tableau1[[#This Row],[TYPE DE PIECE]],Tableau4[MATIERE],Tableau4[SHORT TYPE],"",0,1)</f>
        <v/>
      </c>
      <c r="N2122">
        <f>IF(ISERR(FIND("DECOUPE",Tableau1[[#This Row],[DESIGNATION]])),"","NEED REF")</f>
        <v/>
      </c>
    </row>
    <row r="2123">
      <c r="B2123" t="n">
        <v>34411878</v>
      </c>
      <c r="C2123" s="2" t="n">
        <v>45180</v>
      </c>
      <c r="D2123" t="inlineStr">
        <is>
          <t>SPEC</t>
        </is>
      </c>
      <c r="E2123" t="inlineStr">
        <is>
          <t>SMT LATERAL UPRIGHT</t>
        </is>
      </c>
      <c r="H2123" t="inlineStr">
        <is>
          <t>STS</t>
        </is>
      </c>
      <c r="J2123" t="inlineStr">
        <is>
          <t>BERNARDEAU</t>
        </is>
      </c>
      <c r="K2123" t="inlineStr">
        <is>
          <t>METAL</t>
        </is>
      </c>
      <c r="L2123">
        <f>_xlfn.XLOOKUP(Tableau1[[#This Row],[TYPE DE PIECE]],Tableau4[MATIERE],Tableau4[SHORT TYPE],"",0,1)</f>
        <v/>
      </c>
      <c r="N2123">
        <f>IF(ISERR(FIND("DECOUPE",Tableau1[[#This Row],[DESIGNATION]])),"","NEED REF")</f>
        <v/>
      </c>
    </row>
    <row r="2124">
      <c r="B2124" t="n">
        <v>34411877</v>
      </c>
      <c r="C2124" s="2" t="n">
        <v>45177</v>
      </c>
      <c r="D2124" t="inlineStr">
        <is>
          <t>SPEC</t>
        </is>
      </c>
      <c r="E2124" t="inlineStr">
        <is>
          <t>SMT 34411877 CORNIERE ACIER FIX CELLULE 400</t>
        </is>
      </c>
      <c r="I2124" t="inlineStr">
        <is>
          <t>1250A</t>
        </is>
      </c>
      <c r="J2124" t="inlineStr">
        <is>
          <t>MATRION</t>
        </is>
      </c>
      <c r="K2124" t="inlineStr">
        <is>
          <t>METAL</t>
        </is>
      </c>
      <c r="L2124">
        <f>_xlfn.XLOOKUP(Tableau1[[#This Row],[TYPE DE PIECE]],Tableau4[MATIERE],Tableau4[SHORT TYPE],"",0,1)</f>
        <v/>
      </c>
      <c r="N2124">
        <f>IF(ISERR(FIND("DECOUPE",Tableau1[[#This Row],[DESIGNATION]])),"","NEED REF")</f>
        <v/>
      </c>
    </row>
    <row r="2125">
      <c r="B2125" t="n">
        <v>34411876</v>
      </c>
      <c r="C2125" s="2" t="n">
        <v>45177</v>
      </c>
      <c r="D2125" t="inlineStr">
        <is>
          <t>SPEC</t>
        </is>
      </c>
      <c r="E2125" t="inlineStr">
        <is>
          <t>SMT 34411876 CORNIERE ACIER FIX CELLULE 1000</t>
        </is>
      </c>
      <c r="I2125" t="inlineStr">
        <is>
          <t>1250A</t>
        </is>
      </c>
      <c r="J2125" t="inlineStr">
        <is>
          <t>MATRION</t>
        </is>
      </c>
      <c r="K2125" t="inlineStr">
        <is>
          <t>METAL</t>
        </is>
      </c>
      <c r="L2125">
        <f>_xlfn.XLOOKUP(Tableau1[[#This Row],[TYPE DE PIECE]],Tableau4[MATIERE],Tableau4[SHORT TYPE],"",0,1)</f>
        <v/>
      </c>
      <c r="N2125">
        <f>IF(ISERR(FIND("DECOUPE",Tableau1[[#This Row],[DESIGNATION]])),"","NEED REF")</f>
        <v/>
      </c>
    </row>
    <row r="2126">
      <c r="B2126" t="n">
        <v>34411875</v>
      </c>
      <c r="C2126" s="2" t="n">
        <v>45177</v>
      </c>
      <c r="D2126" t="inlineStr">
        <is>
          <t>SPEC</t>
        </is>
      </c>
      <c r="E2126">
        <f>_xlfn.CONCAT(Tableau1[[#This Row],[SHORT TYPE]]," ",Tableau1[[#This Row],[NUMERO]]," ",Tableau1[[#This Row],[GAMME]]," ",Tableau1[[#This Row],[TYPE PRODUIT]]," ",Tableau1[[#This Row],[PUISSANCE]])</f>
        <v/>
      </c>
      <c r="H2126" t="inlineStr">
        <is>
          <t>STS</t>
        </is>
      </c>
      <c r="I2126" t="inlineStr">
        <is>
          <t>1250A</t>
        </is>
      </c>
      <c r="J2126" t="inlineStr">
        <is>
          <t>MATRION</t>
        </is>
      </c>
      <c r="K2126" t="inlineStr">
        <is>
          <t>METAL</t>
        </is>
      </c>
      <c r="L2126">
        <f>_xlfn.XLOOKUP(Tableau1[[#This Row],[TYPE DE PIECE]],Tableau4[MATIERE],Tableau4[SHORT TYPE],"",0,1)</f>
        <v/>
      </c>
      <c r="N2126">
        <f>IF(ISERR(FIND("DECOUPE",Tableau1[[#This Row],[DESIGNATION]])),"","NEED REF")</f>
        <v/>
      </c>
    </row>
    <row r="2127">
      <c r="B2127" t="n">
        <v>34411874</v>
      </c>
      <c r="C2127" s="2" t="n">
        <v>45177</v>
      </c>
      <c r="D2127" t="inlineStr">
        <is>
          <t>SPEC</t>
        </is>
      </c>
      <c r="E2127" t="inlineStr">
        <is>
          <t>SMT BYPASS WALL</t>
        </is>
      </c>
      <c r="H2127" t="inlineStr">
        <is>
          <t>STS</t>
        </is>
      </c>
      <c r="J2127" t="inlineStr">
        <is>
          <t>BERNARDEAU</t>
        </is>
      </c>
      <c r="K2127" t="inlineStr">
        <is>
          <t>METAL</t>
        </is>
      </c>
      <c r="L2127">
        <f>_xlfn.XLOOKUP(Tableau1[[#This Row],[TYPE DE PIECE]],Tableau4[MATIERE],Tableau4[SHORT TYPE],"",0,1)</f>
        <v/>
      </c>
      <c r="N2127">
        <f>IF(ISERR(FIND("DECOUPE",Tableau1[[#This Row],[DESIGNATION]])),"","NEED REF")</f>
        <v/>
      </c>
    </row>
    <row r="2128">
      <c r="B2128" t="n">
        <v>34411873</v>
      </c>
      <c r="C2128" s="2" t="n">
        <v>45177</v>
      </c>
      <c r="D2128" t="inlineStr">
        <is>
          <t>SPEC</t>
        </is>
      </c>
      <c r="E2128" t="inlineStr">
        <is>
          <t>CS ASSEMBLY</t>
        </is>
      </c>
      <c r="H2128" t="inlineStr">
        <is>
          <t>STS</t>
        </is>
      </c>
      <c r="J2128" t="inlineStr">
        <is>
          <t>BERNARDEAU</t>
        </is>
      </c>
      <c r="L2128">
        <f>_xlfn.XLOOKUP(Tableau1[[#This Row],[TYPE DE PIECE]],Tableau4[MATIERE],Tableau4[SHORT TYPE],"",0,1)</f>
        <v/>
      </c>
      <c r="N2128">
        <f>IF(ISERR(FIND("DECOUPE",Tableau1[[#This Row],[DESIGNATION]])),"","NEED REF")</f>
        <v/>
      </c>
    </row>
    <row r="2129">
      <c r="B2129" t="n">
        <v>34411872</v>
      </c>
      <c r="C2129" s="2" t="n">
        <v>45177</v>
      </c>
      <c r="D2129" t="inlineStr">
        <is>
          <t>SPEC</t>
        </is>
      </c>
      <c r="E2129" t="inlineStr">
        <is>
          <t>ENS BYPASS 250A</t>
        </is>
      </c>
      <c r="H2129" t="inlineStr">
        <is>
          <t>STS</t>
        </is>
      </c>
      <c r="J2129" t="inlineStr">
        <is>
          <t>BERNARDEAU</t>
        </is>
      </c>
      <c r="L2129">
        <f>_xlfn.XLOOKUP(Tableau1[[#This Row],[TYPE DE PIECE]],Tableau4[MATIERE],Tableau4[SHORT TYPE],"",0,1)</f>
        <v/>
      </c>
      <c r="N2129">
        <f>IF(ISERR(FIND("DECOUPE",Tableau1[[#This Row],[DESIGNATION]])),"","NEED REF")</f>
        <v/>
      </c>
    </row>
    <row r="2130">
      <c r="B2130" t="n">
        <v>34411871</v>
      </c>
      <c r="C2130" s="2" t="n">
        <v>45177</v>
      </c>
      <c r="D2130" t="inlineStr">
        <is>
          <t>SPEC</t>
        </is>
      </c>
      <c r="E2130" t="inlineStr">
        <is>
          <t>KIT PLATINE BYPASS</t>
        </is>
      </c>
      <c r="H2130" t="inlineStr">
        <is>
          <t>STS</t>
        </is>
      </c>
      <c r="J2130" t="inlineStr">
        <is>
          <t>BERNARDEAU</t>
        </is>
      </c>
      <c r="L2130">
        <f>_xlfn.XLOOKUP(Tableau1[[#This Row],[TYPE DE PIECE]],Tableau4[MATIERE],Tableau4[SHORT TYPE],"",0,1)</f>
        <v/>
      </c>
      <c r="N2130">
        <f>IF(ISERR(FIND("DECOUPE",Tableau1[[#This Row],[DESIGNATION]])),"","NEED REF")</f>
        <v/>
      </c>
    </row>
    <row r="2131">
      <c r="B2131" t="n">
        <v>34411870</v>
      </c>
      <c r="C2131" s="2" t="n">
        <v>45176</v>
      </c>
      <c r="D2131" t="inlineStr">
        <is>
          <t>SPEC</t>
        </is>
      </c>
      <c r="E2131" t="inlineStr">
        <is>
          <t>SMT CS SUPPORT</t>
        </is>
      </c>
      <c r="H2131" t="inlineStr">
        <is>
          <t>STS</t>
        </is>
      </c>
      <c r="J2131" t="inlineStr">
        <is>
          <t>BERNARDEAU</t>
        </is>
      </c>
      <c r="K2131" t="inlineStr">
        <is>
          <t>METAL</t>
        </is>
      </c>
      <c r="L2131">
        <f>_xlfn.XLOOKUP(Tableau1[[#This Row],[TYPE DE PIECE]],Tableau4[MATIERE],Tableau4[SHORT TYPE],"",0,1)</f>
        <v/>
      </c>
      <c r="N2131">
        <f>IF(ISERR(FIND("DECOUPE",Tableau1[[#This Row],[DESIGNATION]])),"","NEED REF")</f>
        <v/>
      </c>
    </row>
    <row r="2132">
      <c r="B2132" t="n">
        <v>34411869</v>
      </c>
      <c r="C2132" s="2" t="n">
        <v>45176</v>
      </c>
      <c r="D2132" t="inlineStr">
        <is>
          <t>SPEC</t>
        </is>
      </c>
      <c r="E2132" t="inlineStr">
        <is>
          <t>SMT ELECTRONIC CONTROL RAIL</t>
        </is>
      </c>
      <c r="H2132" t="inlineStr">
        <is>
          <t>STS</t>
        </is>
      </c>
      <c r="J2132" t="inlineStr">
        <is>
          <t>BERNARDEAU</t>
        </is>
      </c>
      <c r="K2132" t="inlineStr">
        <is>
          <t>METAL</t>
        </is>
      </c>
      <c r="L2132">
        <f>_xlfn.XLOOKUP(Tableau1[[#This Row],[TYPE DE PIECE]],Tableau4[MATIERE],Tableau4[SHORT TYPE],"",0,1)</f>
        <v/>
      </c>
      <c r="N2132">
        <f>IF(ISERR(FIND("DECOUPE",Tableau1[[#This Row],[DESIGNATION]])),"","NEED REF")</f>
        <v/>
      </c>
    </row>
    <row r="2133">
      <c r="B2133" t="n">
        <v>34411868</v>
      </c>
      <c r="C2133" s="2" t="n">
        <v>45176</v>
      </c>
      <c r="D2133" t="inlineStr">
        <is>
          <t>SPEC</t>
        </is>
      </c>
      <c r="E2133" t="inlineStr">
        <is>
          <t>SMT 34411868  STS 1250A</t>
        </is>
      </c>
      <c r="H2133" t="inlineStr">
        <is>
          <t>STS</t>
        </is>
      </c>
      <c r="I2133" t="inlineStr">
        <is>
          <t>1250A</t>
        </is>
      </c>
      <c r="J2133" t="inlineStr">
        <is>
          <t>JAWORSKI</t>
        </is>
      </c>
      <c r="K2133" t="inlineStr">
        <is>
          <t>METAL</t>
        </is>
      </c>
      <c r="L2133">
        <f>_xlfn.XLOOKUP(Tableau1[[#This Row],[TYPE DE PIECE]],Tableau4[MATIERE],Tableau4[SHORT TYPE],"",0,1)</f>
        <v/>
      </c>
      <c r="N2133">
        <f>IF(ISERR(FIND("DECOUPE",Tableau1[[#This Row],[DESIGNATION]])),"","NEED REF")</f>
        <v/>
      </c>
    </row>
    <row r="2134">
      <c r="B2134" t="n">
        <v>34411867</v>
      </c>
      <c r="C2134" s="2" t="n">
        <v>45176</v>
      </c>
      <c r="D2134" t="inlineStr">
        <is>
          <t>SPEC</t>
        </is>
      </c>
      <c r="E2134" t="inlineStr">
        <is>
          <t>SMT 34411867  STS 1250A</t>
        </is>
      </c>
      <c r="H2134" t="inlineStr">
        <is>
          <t>STS</t>
        </is>
      </c>
      <c r="I2134" t="inlineStr">
        <is>
          <t>1250A</t>
        </is>
      </c>
      <c r="J2134" t="inlineStr">
        <is>
          <t>JAWORSKI</t>
        </is>
      </c>
      <c r="K2134" t="inlineStr">
        <is>
          <t>METAL</t>
        </is>
      </c>
      <c r="L2134">
        <f>_xlfn.XLOOKUP(Tableau1[[#This Row],[TYPE DE PIECE]],Tableau4[MATIERE],Tableau4[SHORT TYPE],"",0,1)</f>
        <v/>
      </c>
      <c r="N2134">
        <f>IF(ISERR(FIND("DECOUPE",Tableau1[[#This Row],[DESIGNATION]])),"","NEED REF")</f>
        <v/>
      </c>
    </row>
    <row r="2135">
      <c r="B2135" t="n">
        <v>34411866</v>
      </c>
      <c r="C2135" s="2" t="n">
        <v>45176</v>
      </c>
      <c r="D2135" t="inlineStr">
        <is>
          <t>SPEC</t>
        </is>
      </c>
      <c r="E2135" t="inlineStr">
        <is>
          <t>PLA PLASTRON HAUT STS</t>
        </is>
      </c>
      <c r="H2135" t="inlineStr">
        <is>
          <t>STS</t>
        </is>
      </c>
      <c r="J2135" t="inlineStr">
        <is>
          <t>BERNARDEAU</t>
        </is>
      </c>
      <c r="K2135" t="inlineStr">
        <is>
          <t>PLASTIQUE</t>
        </is>
      </c>
      <c r="L2135">
        <f>_xlfn.XLOOKUP(Tableau1[[#This Row],[TYPE DE PIECE]],Tableau4[MATIERE],Tableau4[SHORT TYPE],"",0,1)</f>
        <v/>
      </c>
      <c r="N2135">
        <f>IF(ISERR(FIND("DECOUPE",Tableau1[[#This Row],[DESIGNATION]])),"","NEED REF")</f>
        <v/>
      </c>
    </row>
    <row r="2136">
      <c r="B2136" t="n">
        <v>34411865</v>
      </c>
      <c r="C2136" s="2" t="n">
        <v>45176</v>
      </c>
      <c r="D2136" t="inlineStr">
        <is>
          <t>SPEC</t>
        </is>
      </c>
      <c r="E2136" t="inlineStr">
        <is>
          <t>PLA PLASTRON BAS STS</t>
        </is>
      </c>
      <c r="H2136" t="inlineStr">
        <is>
          <t>STS</t>
        </is>
      </c>
      <c r="J2136" t="inlineStr">
        <is>
          <t>BERNARDEAU</t>
        </is>
      </c>
      <c r="K2136" t="inlineStr">
        <is>
          <t>PLASTIQUE</t>
        </is>
      </c>
      <c r="L2136">
        <f>_xlfn.XLOOKUP(Tableau1[[#This Row],[TYPE DE PIECE]],Tableau4[MATIERE],Tableau4[SHORT TYPE],"",0,1)</f>
        <v/>
      </c>
      <c r="N2136">
        <f>IF(ISERR(FIND("DECOUPE",Tableau1[[#This Row],[DESIGNATION]])),"","NEED REF")</f>
        <v/>
      </c>
    </row>
    <row r="2137">
      <c r="B2137" t="n">
        <v>34411864</v>
      </c>
      <c r="C2137" s="2" t="n">
        <v>45176</v>
      </c>
      <c r="D2137" t="inlineStr">
        <is>
          <t>SPEC</t>
        </is>
      </c>
      <c r="E2137" t="inlineStr">
        <is>
          <t>ENS. CDE ELECTRONIQUE</t>
        </is>
      </c>
      <c r="H2137" t="inlineStr">
        <is>
          <t>STS</t>
        </is>
      </c>
      <c r="J2137" t="inlineStr">
        <is>
          <t>BERNARDEAU</t>
        </is>
      </c>
      <c r="K2137" t="inlineStr">
        <is>
          <t>METAL</t>
        </is>
      </c>
      <c r="L2137">
        <f>_xlfn.XLOOKUP(Tableau1[[#This Row],[TYPE DE PIECE]],Tableau4[MATIERE],Tableau4[SHORT TYPE],"",0,1)</f>
        <v/>
      </c>
      <c r="N2137">
        <f>IF(ISERR(FIND("DECOUPE",Tableau1[[#This Row],[DESIGNATION]])),"","NEED REF")</f>
        <v/>
      </c>
    </row>
    <row r="2138">
      <c r="B2138" t="n">
        <v>34411863</v>
      </c>
      <c r="C2138" s="2" t="n">
        <v>45175</v>
      </c>
      <c r="D2138" t="inlineStr">
        <is>
          <t>SPEC</t>
        </is>
      </c>
      <c r="E2138" t="inlineStr">
        <is>
          <t>SMT TOIT IP21 GVL</t>
        </is>
      </c>
      <c r="G2138" t="inlineStr">
        <is>
          <t>gvl</t>
        </is>
      </c>
      <c r="H2138" t="inlineStr">
        <is>
          <t>BYPASS</t>
        </is>
      </c>
      <c r="J2138" t="inlineStr">
        <is>
          <t>Rodriguez</t>
        </is>
      </c>
      <c r="K2138" t="inlineStr">
        <is>
          <t>METAL</t>
        </is>
      </c>
      <c r="L2138">
        <f>_xlfn.XLOOKUP(Tableau1[[#This Row],[TYPE DE PIECE]],Tableau4[MATIERE],Tableau4[SHORT TYPE],"",0,1)</f>
        <v/>
      </c>
      <c r="N2138">
        <f>IF(ISERR(FIND("DECOUPE",Tableau1[[#This Row],[DESIGNATION]])),"","NEED REF")</f>
        <v/>
      </c>
    </row>
    <row r="2139">
      <c r="B2139" t="n">
        <v>34411862</v>
      </c>
      <c r="C2139" s="2" t="n">
        <v>45175</v>
      </c>
      <c r="D2139" t="inlineStr">
        <is>
          <t>SPEC</t>
        </is>
      </c>
      <c r="E2139" t="inlineStr">
        <is>
          <t>SMT SUPPORT TOIT AR GVL RAL9003</t>
        </is>
      </c>
      <c r="G2139" t="inlineStr">
        <is>
          <t>gvl</t>
        </is>
      </c>
      <c r="H2139" t="inlineStr">
        <is>
          <t>BYPASS</t>
        </is>
      </c>
      <c r="J2139" t="inlineStr">
        <is>
          <t>Rodriguez</t>
        </is>
      </c>
      <c r="K2139" t="inlineStr">
        <is>
          <t>METAL</t>
        </is>
      </c>
      <c r="L2139">
        <f>_xlfn.XLOOKUP(Tableau1[[#This Row],[TYPE DE PIECE]],Tableau4[MATIERE],Tableau4[SHORT TYPE],"",0,1)</f>
        <v/>
      </c>
      <c r="N2139">
        <f>IF(ISERR(FIND("DECOUPE",Tableau1[[#This Row],[DESIGNATION]])),"","NEED REF")</f>
        <v/>
      </c>
    </row>
    <row r="2140">
      <c r="B2140" t="n">
        <v>34411861</v>
      </c>
      <c r="C2140" s="2" t="n">
        <v>45175</v>
      </c>
      <c r="D2140" t="inlineStr">
        <is>
          <t>SPEC</t>
        </is>
      </c>
      <c r="E2140" t="inlineStr">
        <is>
          <t>SE 34411861 STRUCTURE STS1250A GAINE DROITE</t>
        </is>
      </c>
      <c r="H2140" t="inlineStr">
        <is>
          <t>STS</t>
        </is>
      </c>
      <c r="I2140" t="inlineStr">
        <is>
          <t>1250A</t>
        </is>
      </c>
      <c r="J2140" t="inlineStr">
        <is>
          <t>MATRION</t>
        </is>
      </c>
      <c r="K2140" t="inlineStr">
        <is>
          <t>NOMENCLATURE</t>
        </is>
      </c>
      <c r="L2140">
        <f>_xlfn.XLOOKUP(Tableau1[[#This Row],[TYPE DE PIECE]],Tableau4[MATIERE],Tableau4[SHORT TYPE],"",0,1)</f>
        <v/>
      </c>
      <c r="N2140">
        <f>IF(ISERR(FIND("DECOUPE",Tableau1[[#This Row],[DESIGNATION]])),"","NEED REF")</f>
        <v/>
      </c>
    </row>
    <row r="2141">
      <c r="B2141" t="n">
        <v>34411860</v>
      </c>
      <c r="C2141" s="2" t="n">
        <v>45175</v>
      </c>
      <c r="D2141" t="inlineStr">
        <is>
          <t>SPEC</t>
        </is>
      </c>
      <c r="E2141" t="inlineStr">
        <is>
          <t>SE 34411860 STRUCTURE STS1250A GAINE GAUCHE</t>
        </is>
      </c>
      <c r="H2141" t="inlineStr">
        <is>
          <t>STS</t>
        </is>
      </c>
      <c r="I2141" t="inlineStr">
        <is>
          <t>1250A</t>
        </is>
      </c>
      <c r="J2141" t="inlineStr">
        <is>
          <t>MATRION</t>
        </is>
      </c>
      <c r="K2141" t="inlineStr">
        <is>
          <t>NOMENCLATURE</t>
        </is>
      </c>
      <c r="L2141">
        <f>_xlfn.XLOOKUP(Tableau1[[#This Row],[TYPE DE PIECE]],Tableau4[MATIERE],Tableau4[SHORT TYPE],"",0,1)</f>
        <v/>
      </c>
      <c r="N2141">
        <f>IF(ISERR(FIND("DECOUPE",Tableau1[[#This Row],[DESIGNATION]])),"","NEED REF")</f>
        <v/>
      </c>
    </row>
    <row r="2142">
      <c r="B2142" t="n">
        <v>34411859</v>
      </c>
      <c r="C2142" s="2" t="n">
        <v>45175</v>
      </c>
      <c r="D2142" t="inlineStr">
        <is>
          <t>SPEC</t>
        </is>
      </c>
      <c r="E2142" t="inlineStr">
        <is>
          <t>SE 34411859 STRUCTURE STS1250A 3P</t>
        </is>
      </c>
      <c r="H2142" t="inlineStr">
        <is>
          <t>STS</t>
        </is>
      </c>
      <c r="I2142" t="inlineStr">
        <is>
          <t>1250A</t>
        </is>
      </c>
      <c r="J2142" t="inlineStr">
        <is>
          <t>MATRION</t>
        </is>
      </c>
      <c r="K2142" t="inlineStr">
        <is>
          <t>NOMENCLATURE</t>
        </is>
      </c>
      <c r="L2142">
        <f>_xlfn.XLOOKUP(Tableau1[[#This Row],[TYPE DE PIECE]],Tableau4[MATIERE],Tableau4[SHORT TYPE],"",0,1)</f>
        <v/>
      </c>
      <c r="N2142">
        <f>IF(ISERR(FIND("DECOUPE",Tableau1[[#This Row],[DESIGNATION]])),"","NEED REF")</f>
        <v/>
      </c>
    </row>
    <row r="2143">
      <c r="B2143" t="n">
        <v>34411858</v>
      </c>
      <c r="C2143" s="2" t="n">
        <v>45174</v>
      </c>
      <c r="D2143" t="inlineStr">
        <is>
          <t>SPEC</t>
        </is>
      </c>
      <c r="E2143" t="inlineStr">
        <is>
          <t>SMT 34411858  STS 1250A PLASTRON JDB UTIL</t>
        </is>
      </c>
      <c r="H2143" t="inlineStr">
        <is>
          <t>STS</t>
        </is>
      </c>
      <c r="I2143" t="inlineStr">
        <is>
          <t>1250A</t>
        </is>
      </c>
      <c r="J2143" t="inlineStr">
        <is>
          <t>MATRION</t>
        </is>
      </c>
      <c r="K2143" t="inlineStr">
        <is>
          <t>METAL</t>
        </is>
      </c>
      <c r="L2143">
        <f>_xlfn.XLOOKUP(Tableau1[[#This Row],[TYPE DE PIECE]],Tableau4[MATIERE],Tableau4[SHORT TYPE],"",0,1)</f>
        <v/>
      </c>
      <c r="N2143">
        <f>IF(ISERR(FIND("DECOUPE",Tableau1[[#This Row],[DESIGNATION]])),"","NEED REF")</f>
        <v/>
      </c>
    </row>
    <row r="2144">
      <c r="B2144" t="n">
        <v>34411857</v>
      </c>
      <c r="C2144" s="2" t="n">
        <v>45174</v>
      </c>
      <c r="D2144" t="inlineStr">
        <is>
          <t>SPEC</t>
        </is>
      </c>
      <c r="E2144" t="inlineStr">
        <is>
          <t>SMT 34411857  STS 1250A PLASTRON BYPASS</t>
        </is>
      </c>
      <c r="H2144" t="inlineStr">
        <is>
          <t>STS</t>
        </is>
      </c>
      <c r="I2144" t="inlineStr">
        <is>
          <t>1250A</t>
        </is>
      </c>
      <c r="J2144" t="inlineStr">
        <is>
          <t>MATRION</t>
        </is>
      </c>
      <c r="K2144" t="inlineStr">
        <is>
          <t>METAL</t>
        </is>
      </c>
      <c r="L2144">
        <f>_xlfn.XLOOKUP(Tableau1[[#This Row],[TYPE DE PIECE]],Tableau4[MATIERE],Tableau4[SHORT TYPE],"",0,1)</f>
        <v/>
      </c>
      <c r="N2144">
        <f>IF(ISERR(FIND("DECOUPE",Tableau1[[#This Row],[DESIGNATION]])),"","NEED REF")</f>
        <v/>
      </c>
    </row>
    <row r="2145">
      <c r="B2145" t="n">
        <v>34411856</v>
      </c>
      <c r="C2145" s="2" t="n">
        <v>45174</v>
      </c>
      <c r="D2145" t="inlineStr">
        <is>
          <t>SPEC</t>
        </is>
      </c>
      <c r="E2145" t="inlineStr">
        <is>
          <t>SMT GRILLE AERATION PORTE</t>
        </is>
      </c>
      <c r="H2145" t="inlineStr">
        <is>
          <t>STS</t>
        </is>
      </c>
      <c r="J2145" t="inlineStr">
        <is>
          <t>BERNARDEAU</t>
        </is>
      </c>
      <c r="K2145" t="inlineStr">
        <is>
          <t>METAL</t>
        </is>
      </c>
      <c r="L2145">
        <f>_xlfn.XLOOKUP(Tableau1[[#This Row],[TYPE DE PIECE]],Tableau4[MATIERE],Tableau4[SHORT TYPE],"",0,1)</f>
        <v/>
      </c>
      <c r="N2145">
        <f>IF(ISERR(FIND("DECOUPE",Tableau1[[#This Row],[DESIGNATION]])),"","NEED REF")</f>
        <v/>
      </c>
    </row>
    <row r="2146">
      <c r="B2146" t="n">
        <v>34411855</v>
      </c>
      <c r="C2146" s="2" t="n">
        <v>45173</v>
      </c>
      <c r="D2146" t="inlineStr">
        <is>
          <t>SPEC</t>
        </is>
      </c>
      <c r="E2146" t="inlineStr">
        <is>
          <t>SMT TOIT PLEIN 700x800 SAREL</t>
        </is>
      </c>
      <c r="H2146" t="inlineStr">
        <is>
          <t>STS</t>
        </is>
      </c>
      <c r="I2146" t="inlineStr">
        <is>
          <t>1000DxPLEIN</t>
        </is>
      </c>
      <c r="J2146" t="inlineStr">
        <is>
          <t>BERNARDEAU</t>
        </is>
      </c>
      <c r="K2146" t="inlineStr">
        <is>
          <t>METAL</t>
        </is>
      </c>
      <c r="L2146">
        <f>_xlfn.XLOOKUP(Tableau1[[#This Row],[TYPE DE PIECE]],Tableau4[MATIERE],Tableau4[SHORT TYPE],"",0,1)</f>
        <v/>
      </c>
      <c r="N2146">
        <f>IF(ISERR(FIND("DECOUPE",Tableau1[[#This Row],[DESIGNATION]])),"","NEED REF")</f>
        <v/>
      </c>
    </row>
    <row r="2147">
      <c r="B2147" t="n">
        <v>34411854</v>
      </c>
      <c r="C2147" s="2" t="n">
        <v>45173</v>
      </c>
      <c r="D2147" t="inlineStr">
        <is>
          <t>SPEC</t>
        </is>
      </c>
      <c r="E2147" t="inlineStr">
        <is>
          <t>WIR 34411854 KIT FILERIE PLATINE BY PASS 3P</t>
        </is>
      </c>
      <c r="H2147" t="inlineStr">
        <is>
          <t>STS</t>
        </is>
      </c>
      <c r="I2147" t="inlineStr">
        <is>
          <t>1250A</t>
        </is>
      </c>
      <c r="J2147" t="inlineStr">
        <is>
          <t>MATRION</t>
        </is>
      </c>
      <c r="K2147" t="inlineStr">
        <is>
          <t>FILERIE</t>
        </is>
      </c>
      <c r="L2147">
        <f>_xlfn.XLOOKUP(Tableau1[[#This Row],[TYPE DE PIECE]],Tableau4[MATIERE],Tableau4[SHORT TYPE],"",0,1)</f>
        <v/>
      </c>
      <c r="N2147">
        <f>IF(ISERR(FIND("DECOUPE",Tableau1[[#This Row],[DESIGNATION]])),"","NEED REF")</f>
        <v/>
      </c>
    </row>
    <row r="2148">
      <c r="B2148" t="n">
        <v>34411853</v>
      </c>
      <c r="C2148" s="2" t="n">
        <v>45173</v>
      </c>
      <c r="D2148" t="inlineStr">
        <is>
          <t>SPEC</t>
        </is>
      </c>
      <c r="E2148" t="inlineStr">
        <is>
          <t>SMT DECOUPE LINERGY 04563 973MM</t>
        </is>
      </c>
      <c r="H2148" t="inlineStr">
        <is>
          <t>STS</t>
        </is>
      </c>
      <c r="I2148" t="inlineStr">
        <is>
          <t>1250A</t>
        </is>
      </c>
      <c r="J2148" t="inlineStr">
        <is>
          <t>JAWORSKI</t>
        </is>
      </c>
      <c r="K2148" t="inlineStr">
        <is>
          <t>METAL</t>
        </is>
      </c>
      <c r="L2148">
        <f>_xlfn.XLOOKUP(Tableau1[[#This Row],[TYPE DE PIECE]],Tableau4[MATIERE],Tableau4[SHORT TYPE],"",0,1)</f>
        <v/>
      </c>
      <c r="N2148" t="inlineStr">
        <is>
          <t>LVS04563</t>
        </is>
      </c>
    </row>
    <row r="2149">
      <c r="B2149" t="n">
        <v>34411852</v>
      </c>
      <c r="C2149" s="2" t="n">
        <v>45169</v>
      </c>
      <c r="D2149" t="inlineStr">
        <is>
          <t>SPEC</t>
        </is>
      </c>
      <c r="E2149" t="inlineStr">
        <is>
          <t>ENS. CDE ELECTRONIQUE</t>
        </is>
      </c>
      <c r="H2149" t="inlineStr">
        <is>
          <t>STS</t>
        </is>
      </c>
      <c r="J2149" t="inlineStr">
        <is>
          <t>BERNARDEAU</t>
        </is>
      </c>
      <c r="L2149">
        <f>_xlfn.XLOOKUP(Tableau1[[#This Row],[TYPE DE PIECE]],Tableau4[MATIERE],Tableau4[SHORT TYPE],"",0,1)</f>
        <v/>
      </c>
      <c r="N2149">
        <f>IF(ISERR(FIND("DECOUPE",Tableau1[[#This Row],[DESIGNATION]])),"","NEED REF")</f>
        <v/>
      </c>
    </row>
    <row r="2150">
      <c r="B2150" t="n">
        <v>34411851</v>
      </c>
      <c r="C2150" s="2" t="n">
        <v>45169</v>
      </c>
      <c r="D2150" t="inlineStr">
        <is>
          <t>SPEC</t>
        </is>
      </c>
      <c r="E2150" t="inlineStr">
        <is>
          <t>SMT ELECTRONIC CONTROL RAIL</t>
        </is>
      </c>
      <c r="H2150" t="inlineStr">
        <is>
          <t>STS</t>
        </is>
      </c>
      <c r="J2150" t="inlineStr">
        <is>
          <t>BERNARDEAU</t>
        </is>
      </c>
      <c r="K2150" t="inlineStr">
        <is>
          <t>METAL</t>
        </is>
      </c>
      <c r="L2150">
        <f>_xlfn.XLOOKUP(Tableau1[[#This Row],[TYPE DE PIECE]],Tableau4[MATIERE],Tableau4[SHORT TYPE],"",0,1)</f>
        <v/>
      </c>
      <c r="N2150">
        <f>IF(ISERR(FIND("DECOUPE",Tableau1[[#This Row],[DESIGNATION]])),"","NEED REF")</f>
        <v/>
      </c>
    </row>
    <row r="2151">
      <c r="B2151" t="n">
        <v>34411850</v>
      </c>
      <c r="C2151" s="2" t="n">
        <v>45169</v>
      </c>
      <c r="D2151" t="inlineStr">
        <is>
          <t>SPEC</t>
        </is>
      </c>
      <c r="E2151" t="inlineStr">
        <is>
          <t>SMT BANDEAU SOCLE 800 AEREE SAREL</t>
        </is>
      </c>
      <c r="H2151" t="inlineStr">
        <is>
          <t>STS</t>
        </is>
      </c>
      <c r="J2151" t="inlineStr">
        <is>
          <t>BERNARDEAU</t>
        </is>
      </c>
      <c r="K2151" t="inlineStr">
        <is>
          <t>METAL</t>
        </is>
      </c>
      <c r="L2151">
        <f>_xlfn.XLOOKUP(Tableau1[[#This Row],[TYPE DE PIECE]],Tableau4[MATIERE],Tableau4[SHORT TYPE],"",0,1)</f>
        <v/>
      </c>
      <c r="N2151">
        <f>IF(ISERR(FIND("DECOUPE",Tableau1[[#This Row],[DESIGNATION]])),"","NEED REF")</f>
        <v/>
      </c>
    </row>
    <row r="2152">
      <c r="B2152" t="n">
        <v>34411849</v>
      </c>
      <c r="C2152" s="2" t="n">
        <v>45169</v>
      </c>
      <c r="D2152" t="inlineStr">
        <is>
          <t>SPEC</t>
        </is>
      </c>
      <c r="E2152" t="inlineStr">
        <is>
          <t>SMT BANDEAU SOCLE 700 AEREE SAREL</t>
        </is>
      </c>
      <c r="H2152" t="inlineStr">
        <is>
          <t>STS</t>
        </is>
      </c>
      <c r="J2152" t="inlineStr">
        <is>
          <t>BERNARDEAU</t>
        </is>
      </c>
      <c r="K2152" t="inlineStr">
        <is>
          <t>METAL</t>
        </is>
      </c>
      <c r="L2152">
        <f>_xlfn.XLOOKUP(Tableau1[[#This Row],[TYPE DE PIECE]],Tableau4[MATIERE],Tableau4[SHORT TYPE],"",0,1)</f>
        <v/>
      </c>
      <c r="N2152">
        <f>IF(ISERR(FIND("DECOUPE",Tableau1[[#This Row],[DESIGNATION]])),"","NEED REF")</f>
        <v/>
      </c>
    </row>
    <row r="2153">
      <c r="B2153" t="n">
        <v>34411848</v>
      </c>
      <c r="C2153" s="2" t="n">
        <v>45168</v>
      </c>
      <c r="D2153" t="inlineStr">
        <is>
          <t>SPEC</t>
        </is>
      </c>
      <c r="E2153" t="inlineStr">
        <is>
          <t>SUPPORT LATERAL STS 400-630A_ETO</t>
        </is>
      </c>
      <c r="H2153" t="inlineStr">
        <is>
          <t>STS</t>
        </is>
      </c>
      <c r="J2153" t="inlineStr">
        <is>
          <t>BERNARDEAU</t>
        </is>
      </c>
      <c r="K2153" t="inlineStr">
        <is>
          <t>METAL</t>
        </is>
      </c>
      <c r="L2153">
        <f>_xlfn.XLOOKUP(Tableau1[[#This Row],[TYPE DE PIECE]],Tableau4[MATIERE],Tableau4[SHORT TYPE],"",0,1)</f>
        <v/>
      </c>
      <c r="N2153">
        <f>IF(ISERR(FIND("DECOUPE",Tableau1[[#This Row],[DESIGNATION]])),"","NEED REF")</f>
        <v/>
      </c>
    </row>
    <row r="2154">
      <c r="B2154" t="n">
        <v>34411847</v>
      </c>
      <c r="C2154" s="2" t="n">
        <v>45167</v>
      </c>
      <c r="D2154" t="inlineStr">
        <is>
          <t>SPEC</t>
        </is>
      </c>
      <c r="E2154" t="inlineStr">
        <is>
          <t>CORNIERE DE FIXATION CELLULE SAREL</t>
        </is>
      </c>
      <c r="H2154" t="inlineStr">
        <is>
          <t>STS</t>
        </is>
      </c>
      <c r="J2154" t="inlineStr">
        <is>
          <t>BERNARDEAU</t>
        </is>
      </c>
      <c r="K2154" t="inlineStr">
        <is>
          <t>METAL</t>
        </is>
      </c>
      <c r="L2154">
        <f>_xlfn.XLOOKUP(Tableau1[[#This Row],[TYPE DE PIECE]],Tableau4[MATIERE],Tableau4[SHORT TYPE],"",0,1)</f>
        <v/>
      </c>
      <c r="N2154">
        <f>IF(ISERR(FIND("DECOUPE",Tableau1[[#This Row],[DESIGNATION]])),"","NEED REF")</f>
        <v/>
      </c>
    </row>
    <row r="2155">
      <c r="B2155" t="n">
        <v>34411846</v>
      </c>
      <c r="C2155" s="2" t="n">
        <v>45161</v>
      </c>
      <c r="D2155" t="inlineStr">
        <is>
          <t>SPEC</t>
        </is>
      </c>
      <c r="E2155" t="inlineStr">
        <is>
          <t>SMT SUPPORT CABLE ARMOIRE 1000</t>
        </is>
      </c>
      <c r="G2155" t="inlineStr">
        <is>
          <t>GVS</t>
        </is>
      </c>
      <c r="H2155" t="inlineStr">
        <is>
          <t>BYPASS</t>
        </is>
      </c>
      <c r="J2155" t="inlineStr">
        <is>
          <t>BERNARDEAU</t>
        </is>
      </c>
      <c r="K2155" t="inlineStr">
        <is>
          <t>METAL</t>
        </is>
      </c>
      <c r="L2155">
        <f>_xlfn.XLOOKUP(Tableau1[[#This Row],[TYPE DE PIECE]],Tableau4[MATIERE],Tableau4[SHORT TYPE],"",0,1)</f>
        <v/>
      </c>
      <c r="N2155">
        <f>IF(ISERR(FIND("DECOUPE",Tableau1[[#This Row],[DESIGNATION]])),"","NEED REF")</f>
        <v/>
      </c>
    </row>
    <row r="2156">
      <c r="B2156" t="n">
        <v>34411845</v>
      </c>
      <c r="C2156" s="2" t="n">
        <v>45160</v>
      </c>
      <c r="D2156" t="inlineStr">
        <is>
          <t>SPEC</t>
        </is>
      </c>
      <c r="E2156" t="inlineStr">
        <is>
          <t>PLA BRIDE JEU DE BARRE</t>
        </is>
      </c>
      <c r="J2156" t="inlineStr">
        <is>
          <t>BERNARDEAU</t>
        </is>
      </c>
      <c r="K2156" t="inlineStr">
        <is>
          <t>PLASTIQUE</t>
        </is>
      </c>
      <c r="L2156">
        <f>_xlfn.XLOOKUP(Tableau1[[#This Row],[TYPE DE PIECE]],Tableau4[MATIERE],Tableau4[SHORT TYPE],"",0,1)</f>
        <v/>
      </c>
      <c r="N2156">
        <f>IF(ISERR(FIND("DECOUPE",Tableau1[[#This Row],[DESIGNATION]])),"","NEED REF")</f>
        <v/>
      </c>
    </row>
    <row r="2157">
      <c r="B2157" t="n">
        <v>34411844</v>
      </c>
      <c r="C2157" s="2" t="n">
        <v>45160</v>
      </c>
      <c r="D2157" t="inlineStr">
        <is>
          <t>SPEC</t>
        </is>
      </c>
      <c r="E2157" t="inlineStr">
        <is>
          <t>COP CUIVRE RACCORDEMENT CLIENT COURT</t>
        </is>
      </c>
      <c r="G2157" t="inlineStr">
        <is>
          <t>gvs</t>
        </is>
      </c>
      <c r="H2157" t="inlineStr">
        <is>
          <t>BYPASS</t>
        </is>
      </c>
      <c r="J2157" t="inlineStr">
        <is>
          <t>BERNARDEAU</t>
        </is>
      </c>
      <c r="K2157" t="inlineStr">
        <is>
          <t>CUIVRE</t>
        </is>
      </c>
      <c r="L2157">
        <f>_xlfn.XLOOKUP(Tableau1[[#This Row],[TYPE DE PIECE]],Tableau4[MATIERE],Tableau4[SHORT TYPE],"",0,1)</f>
        <v/>
      </c>
      <c r="N2157">
        <f>IF(ISERR(FIND("DECOUPE",Tableau1[[#This Row],[DESIGNATION]])),"","NEED REF")</f>
        <v/>
      </c>
    </row>
    <row r="2158">
      <c r="B2158" t="n">
        <v>34411843</v>
      </c>
      <c r="C2158" s="2" t="n">
        <v>45160</v>
      </c>
      <c r="D2158" t="inlineStr">
        <is>
          <t>SPEC</t>
        </is>
      </c>
      <c r="E2158" t="inlineStr">
        <is>
          <t>COP CUIVRE RACCORDEMENT CLIENT LONG</t>
        </is>
      </c>
      <c r="G2158" t="inlineStr">
        <is>
          <t>gvs</t>
        </is>
      </c>
      <c r="H2158" t="inlineStr">
        <is>
          <t>BYPASS</t>
        </is>
      </c>
      <c r="J2158" t="inlineStr">
        <is>
          <t>BERNARDEAU</t>
        </is>
      </c>
      <c r="K2158" t="inlineStr">
        <is>
          <t>CUIVRE</t>
        </is>
      </c>
      <c r="L2158">
        <f>_xlfn.XLOOKUP(Tableau1[[#This Row],[TYPE DE PIECE]],Tableau4[MATIERE],Tableau4[SHORT TYPE],"",0,1)</f>
        <v/>
      </c>
      <c r="N2158">
        <f>IF(ISERR(FIND("DECOUPE",Tableau1[[#This Row],[DESIGNATION]])),"","NEED REF")</f>
        <v/>
      </c>
    </row>
    <row r="2159">
      <c r="B2159" t="n">
        <v>34411842</v>
      </c>
      <c r="C2159" s="2" t="n">
        <v>45160</v>
      </c>
      <c r="D2159" t="inlineStr">
        <is>
          <t>SPEC</t>
        </is>
      </c>
      <c r="E2159" t="inlineStr">
        <is>
          <t>SMT PLASTRON</t>
        </is>
      </c>
      <c r="F2159" t="inlineStr">
        <is>
          <t>SE_BE101_SCHNEIDER ELECTRIC SA/NV</t>
        </is>
      </c>
      <c r="G2159" t="inlineStr">
        <is>
          <t>GVS</t>
        </is>
      </c>
      <c r="H2159" t="inlineStr">
        <is>
          <t>BYPASS</t>
        </is>
      </c>
      <c r="I2159" t="inlineStr">
        <is>
          <t>150KW</t>
        </is>
      </c>
      <c r="J2159" t="inlineStr">
        <is>
          <t>JAWORSKI</t>
        </is>
      </c>
      <c r="K2159" t="inlineStr">
        <is>
          <t>METAL</t>
        </is>
      </c>
      <c r="L2159">
        <f>_xlfn.XLOOKUP(Tableau1[[#This Row],[TYPE DE PIECE]],Tableau4[MATIERE],Tableau4[SHORT TYPE],"",0,1)</f>
        <v/>
      </c>
      <c r="N2159">
        <f>IF(ISERR(FIND("DECOUPE",Tableau1[[#This Row],[DESIGNATION]])),"","NEED REF")</f>
        <v/>
      </c>
    </row>
    <row r="2160">
      <c r="B2160" t="n">
        <v>34411841</v>
      </c>
      <c r="C2160" s="2" t="n">
        <v>45160</v>
      </c>
      <c r="D2160" t="inlineStr">
        <is>
          <t>SPEC</t>
        </is>
      </c>
      <c r="E2160" t="inlineStr">
        <is>
          <t>SMT SUPPORT PLASTRON L=800MM</t>
        </is>
      </c>
      <c r="F2160" t="inlineStr">
        <is>
          <t>SE_BE101_SCHNEIDER ELECTRIC SA/NV</t>
        </is>
      </c>
      <c r="G2160" t="inlineStr">
        <is>
          <t>GVS</t>
        </is>
      </c>
      <c r="H2160" t="inlineStr">
        <is>
          <t>BYPASS</t>
        </is>
      </c>
      <c r="I2160" t="inlineStr">
        <is>
          <t>150KW</t>
        </is>
      </c>
      <c r="J2160" t="inlineStr">
        <is>
          <t>JAWORSKI</t>
        </is>
      </c>
      <c r="K2160" t="inlineStr">
        <is>
          <t>METAL</t>
        </is>
      </c>
      <c r="L2160">
        <f>_xlfn.XLOOKUP(Tableau1[[#This Row],[TYPE DE PIECE]],Tableau4[MATIERE],Tableau4[SHORT TYPE],"",0,1)</f>
        <v/>
      </c>
      <c r="N2160">
        <f>IF(ISERR(FIND("DECOUPE",Tableau1[[#This Row],[DESIGNATION]])),"","NEED REF")</f>
        <v/>
      </c>
    </row>
    <row r="2161">
      <c r="B2161" t="n">
        <v>34411840</v>
      </c>
      <c r="C2161" s="2" t="n">
        <v>45159</v>
      </c>
      <c r="D2161" t="inlineStr">
        <is>
          <t>SPEC</t>
        </is>
      </c>
      <c r="E2161" t="inlineStr">
        <is>
          <t>SMT SUPPORT VOYANT GVEAC10</t>
        </is>
      </c>
      <c r="G2161" t="inlineStr">
        <is>
          <t>GVS</t>
        </is>
      </c>
      <c r="H2161" t="inlineStr">
        <is>
          <t>BYPASS</t>
        </is>
      </c>
      <c r="J2161" t="inlineStr">
        <is>
          <t>BERNARDEAU</t>
        </is>
      </c>
      <c r="K2161" t="inlineStr">
        <is>
          <t>metal</t>
        </is>
      </c>
      <c r="L2161">
        <f>_xlfn.XLOOKUP(Tableau1[[#This Row],[TYPE DE PIECE]],Tableau4[MATIERE],Tableau4[SHORT TYPE],"",0,1)</f>
        <v/>
      </c>
      <c r="N2161">
        <f>IF(ISERR(FIND("DECOUPE",Tableau1[[#This Row],[DESIGNATION]])),"","NEED REF")</f>
        <v/>
      </c>
    </row>
    <row r="2162">
      <c r="B2162" t="n">
        <v>34411839</v>
      </c>
      <c r="C2162" s="2" t="n">
        <v>45159</v>
      </c>
      <c r="D2162" t="inlineStr">
        <is>
          <t>SPEC</t>
        </is>
      </c>
      <c r="E2162" t="inlineStr">
        <is>
          <t>PLA PROTECTION NSX400 GVEAC10</t>
        </is>
      </c>
      <c r="G2162" t="inlineStr">
        <is>
          <t>GVS</t>
        </is>
      </c>
      <c r="H2162" t="inlineStr">
        <is>
          <t>BYPASS</t>
        </is>
      </c>
      <c r="J2162" t="inlineStr">
        <is>
          <t>BERNARDEAU</t>
        </is>
      </c>
      <c r="K2162" t="inlineStr">
        <is>
          <t>PLASTIQUE</t>
        </is>
      </c>
      <c r="L2162">
        <f>_xlfn.XLOOKUP(Tableau1[[#This Row],[TYPE DE PIECE]],Tableau4[MATIERE],Tableau4[SHORT TYPE],"",0,1)</f>
        <v/>
      </c>
      <c r="N2162">
        <f>IF(ISERR(FIND("DECOUPE",Tableau1[[#This Row],[DESIGNATION]])),"","NEED REF")</f>
        <v/>
      </c>
    </row>
    <row r="2163">
      <c r="B2163" t="n">
        <v>34411838</v>
      </c>
      <c r="C2163" s="2" t="n">
        <v>45159</v>
      </c>
      <c r="D2163" t="inlineStr">
        <is>
          <t>SPEC</t>
        </is>
      </c>
      <c r="E2163" t="inlineStr">
        <is>
          <t>SMT PLASTRON 3 GVEAC10</t>
        </is>
      </c>
      <c r="G2163" t="inlineStr">
        <is>
          <t>GVS</t>
        </is>
      </c>
      <c r="H2163" t="inlineStr">
        <is>
          <t>BYPASS</t>
        </is>
      </c>
      <c r="J2163" t="inlineStr">
        <is>
          <t>BERNARDEAU</t>
        </is>
      </c>
      <c r="K2163" t="inlineStr">
        <is>
          <t>METAL</t>
        </is>
      </c>
      <c r="L2163">
        <f>_xlfn.XLOOKUP(Tableau1[[#This Row],[TYPE DE PIECE]],Tableau4[MATIERE],Tableau4[SHORT TYPE],"",0,1)</f>
        <v/>
      </c>
      <c r="N2163">
        <f>IF(ISERR(FIND("DECOUPE",Tableau1[[#This Row],[DESIGNATION]])),"","NEED REF")</f>
        <v/>
      </c>
    </row>
    <row r="2164">
      <c r="B2164" t="n">
        <v>34411837</v>
      </c>
      <c r="C2164" s="2" t="n">
        <v>45156</v>
      </c>
      <c r="D2164" t="inlineStr">
        <is>
          <t>SPEC</t>
        </is>
      </c>
      <c r="E2164" t="inlineStr">
        <is>
          <t>COP CUIVRE REPARTITEUR</t>
        </is>
      </c>
      <c r="G2164" t="inlineStr">
        <is>
          <t>GVS</t>
        </is>
      </c>
      <c r="H2164" t="inlineStr">
        <is>
          <t>BYPASS</t>
        </is>
      </c>
      <c r="J2164" t="inlineStr">
        <is>
          <t>BERNARDEAU</t>
        </is>
      </c>
      <c r="K2164" t="inlineStr">
        <is>
          <t>METAL</t>
        </is>
      </c>
      <c r="L2164">
        <f>_xlfn.XLOOKUP(Tableau1[[#This Row],[TYPE DE PIECE]],Tableau4[MATIERE],Tableau4[SHORT TYPE],"",0,1)</f>
        <v/>
      </c>
      <c r="N2164">
        <f>IF(ISERR(FIND("DECOUPE",Tableau1[[#This Row],[DESIGNATION]])),"","NEED REF")</f>
        <v/>
      </c>
    </row>
    <row r="2165">
      <c r="B2165" t="n">
        <v>34411836</v>
      </c>
      <c r="C2165" s="2" t="n">
        <v>45155</v>
      </c>
      <c r="D2165" t="inlineStr">
        <is>
          <t>SPEC</t>
        </is>
      </c>
      <c r="E2165" t="inlineStr">
        <is>
          <t>SMT TRAVERSE REPARTITEUR GVEAC10</t>
        </is>
      </c>
      <c r="G2165" t="inlineStr">
        <is>
          <t>GVS</t>
        </is>
      </c>
      <c r="H2165" t="inlineStr">
        <is>
          <t>BYPASS</t>
        </is>
      </c>
      <c r="J2165" t="inlineStr">
        <is>
          <t>BERNARDEAU</t>
        </is>
      </c>
      <c r="K2165" t="inlineStr">
        <is>
          <t>METAL</t>
        </is>
      </c>
      <c r="L2165">
        <f>_xlfn.XLOOKUP(Tableau1[[#This Row],[TYPE DE PIECE]],Tableau4[MATIERE],Tableau4[SHORT TYPE],"",0,1)</f>
        <v/>
      </c>
      <c r="N2165">
        <f>IF(ISERR(FIND("DECOUPE",Tableau1[[#This Row],[DESIGNATION]])),"","NEED REF")</f>
        <v/>
      </c>
    </row>
    <row r="2166">
      <c r="B2166" t="n">
        <v>34411835</v>
      </c>
      <c r="C2166" s="2" t="n">
        <v>45155</v>
      </c>
      <c r="D2166" t="inlineStr">
        <is>
          <t>SPEC</t>
        </is>
      </c>
      <c r="E2166" t="inlineStr">
        <is>
          <t>SMT PLASTRON BAS GVEAC10</t>
        </is>
      </c>
      <c r="G2166" t="inlineStr">
        <is>
          <t>GVS</t>
        </is>
      </c>
      <c r="H2166" t="inlineStr">
        <is>
          <t>BYPASS</t>
        </is>
      </c>
      <c r="J2166" t="inlineStr">
        <is>
          <t>BERNARDEAU</t>
        </is>
      </c>
      <c r="K2166" t="inlineStr">
        <is>
          <t>METAL</t>
        </is>
      </c>
      <c r="L2166">
        <f>_xlfn.XLOOKUP(Tableau1[[#This Row],[TYPE DE PIECE]],Tableau4[MATIERE],Tableau4[SHORT TYPE],"",0,1)</f>
        <v/>
      </c>
      <c r="N2166">
        <f>IF(ISERR(FIND("DECOUPE",Tableau1[[#This Row],[DESIGNATION]])),"","NEED REF")</f>
        <v/>
      </c>
    </row>
    <row r="2167">
      <c r="B2167" t="n">
        <v>34411834</v>
      </c>
      <c r="C2167" s="2" t="n">
        <v>45155</v>
      </c>
      <c r="D2167" t="inlineStr">
        <is>
          <t>SPEC</t>
        </is>
      </c>
      <c r="E2167" t="inlineStr">
        <is>
          <t>SMT PLASTRON 2 GVEAC10</t>
        </is>
      </c>
      <c r="G2167" t="inlineStr">
        <is>
          <t>GVS</t>
        </is>
      </c>
      <c r="H2167" t="inlineStr">
        <is>
          <t>BYPASS</t>
        </is>
      </c>
      <c r="J2167" t="inlineStr">
        <is>
          <t>BERNARDEAU</t>
        </is>
      </c>
      <c r="K2167" t="inlineStr">
        <is>
          <t>METAL</t>
        </is>
      </c>
      <c r="L2167">
        <f>_xlfn.XLOOKUP(Tableau1[[#This Row],[TYPE DE PIECE]],Tableau4[MATIERE],Tableau4[SHORT TYPE],"",0,1)</f>
        <v/>
      </c>
      <c r="N2167">
        <f>IF(ISERR(FIND("DECOUPE",Tableau1[[#This Row],[DESIGNATION]])),"","NEED REF")</f>
        <v/>
      </c>
    </row>
    <row r="2168">
      <c r="B2168" t="n">
        <v>34411833</v>
      </c>
      <c r="C2168" s="2" t="n">
        <v>45155</v>
      </c>
      <c r="D2168" t="inlineStr">
        <is>
          <t>SPEC</t>
        </is>
      </c>
      <c r="E2168" t="inlineStr">
        <is>
          <t>SMT PLATINE NSX400 4P GVEAC10</t>
        </is>
      </c>
      <c r="G2168" t="inlineStr">
        <is>
          <t>GVS</t>
        </is>
      </c>
      <c r="H2168" t="inlineStr">
        <is>
          <t>BYPASS</t>
        </is>
      </c>
      <c r="J2168" t="inlineStr">
        <is>
          <t>BERNARDEAU</t>
        </is>
      </c>
      <c r="K2168" t="inlineStr">
        <is>
          <t>METAL</t>
        </is>
      </c>
      <c r="L2168">
        <f>_xlfn.XLOOKUP(Tableau1[[#This Row],[TYPE DE PIECE]],Tableau4[MATIERE],Tableau4[SHORT TYPE],"",0,1)</f>
        <v/>
      </c>
      <c r="N2168">
        <f>IF(ISERR(FIND("DECOUPE",Tableau1[[#This Row],[DESIGNATION]])),"","NEED REF")</f>
        <v/>
      </c>
    </row>
    <row r="2169">
      <c r="B2169" t="n">
        <v>34411832</v>
      </c>
      <c r="C2169" s="2" t="n">
        <v>45155</v>
      </c>
      <c r="D2169" t="inlineStr">
        <is>
          <t>SPEC</t>
        </is>
      </c>
      <c r="E2169" t="inlineStr">
        <is>
          <t>SMT PLATINE NSX250 4P x4 GVEAC10</t>
        </is>
      </c>
      <c r="G2169" t="inlineStr">
        <is>
          <t>GVS</t>
        </is>
      </c>
      <c r="H2169" t="inlineStr">
        <is>
          <t>BYPASS</t>
        </is>
      </c>
      <c r="J2169" t="inlineStr">
        <is>
          <t>BERNARDEAU</t>
        </is>
      </c>
      <c r="K2169" t="inlineStr">
        <is>
          <t>METAL</t>
        </is>
      </c>
      <c r="L2169">
        <f>_xlfn.XLOOKUP(Tableau1[[#This Row],[TYPE DE PIECE]],Tableau4[MATIERE],Tableau4[SHORT TYPE],"",0,1)</f>
        <v/>
      </c>
      <c r="N2169">
        <f>IF(ISERR(FIND("DECOUPE",Tableau1[[#This Row],[DESIGNATION]])),"","NEED REF")</f>
        <v/>
      </c>
    </row>
    <row r="2170">
      <c r="B2170" t="n">
        <v>34411831</v>
      </c>
      <c r="C2170" s="2" t="n">
        <v>45154</v>
      </c>
      <c r="D2170" t="inlineStr">
        <is>
          <t>SPEC</t>
        </is>
      </c>
      <c r="E2170" t="inlineStr">
        <is>
          <t>SMT PLASTRON 1 GVEAC10</t>
        </is>
      </c>
      <c r="G2170" t="inlineStr">
        <is>
          <t>GVS</t>
        </is>
      </c>
      <c r="H2170" t="inlineStr">
        <is>
          <t>BYPASS</t>
        </is>
      </c>
      <c r="J2170" t="inlineStr">
        <is>
          <t>BERNARDEAU</t>
        </is>
      </c>
      <c r="K2170" t="inlineStr">
        <is>
          <t>METAL</t>
        </is>
      </c>
      <c r="L2170">
        <f>_xlfn.XLOOKUP(Tableau1[[#This Row],[TYPE DE PIECE]],Tableau4[MATIERE],Tableau4[SHORT TYPE],"",0,1)</f>
        <v/>
      </c>
      <c r="N2170">
        <f>IF(ISERR(FIND("DECOUPE",Tableau1[[#This Row],[DESIGNATION]])),"","NEED REF")</f>
        <v/>
      </c>
    </row>
    <row r="2171">
      <c r="B2171" t="n">
        <v>34411830</v>
      </c>
      <c r="C2171" s="2" t="n">
        <v>45154</v>
      </c>
      <c r="D2171" t="inlineStr">
        <is>
          <t>SPEC</t>
        </is>
      </c>
      <c r="E2171" t="inlineStr">
        <is>
          <t>SMT PLASTRON NSX400x1 GVEAC10</t>
        </is>
      </c>
      <c r="G2171" t="inlineStr">
        <is>
          <t>GVS</t>
        </is>
      </c>
      <c r="H2171" t="inlineStr">
        <is>
          <t>BYPASS</t>
        </is>
      </c>
      <c r="J2171" t="inlineStr">
        <is>
          <t>BERNARDEAU</t>
        </is>
      </c>
      <c r="K2171" t="inlineStr">
        <is>
          <t>METAL</t>
        </is>
      </c>
      <c r="L2171">
        <f>_xlfn.XLOOKUP(Tableau1[[#This Row],[TYPE DE PIECE]],Tableau4[MATIERE],Tableau4[SHORT TYPE],"",0,1)</f>
        <v/>
      </c>
      <c r="N2171">
        <f>IF(ISERR(FIND("DECOUPE",Tableau1[[#This Row],[DESIGNATION]])),"","NEED REF")</f>
        <v/>
      </c>
    </row>
    <row r="2172">
      <c r="B2172" t="n">
        <v>34411829</v>
      </c>
      <c r="C2172" s="2" t="n">
        <v>45154</v>
      </c>
      <c r="D2172" t="inlineStr">
        <is>
          <t>SPEC</t>
        </is>
      </c>
      <c r="E2172" t="inlineStr">
        <is>
          <t>SMT PLASTRON NSX250x3 GVEAC10</t>
        </is>
      </c>
      <c r="G2172" t="inlineStr">
        <is>
          <t>GVS</t>
        </is>
      </c>
      <c r="H2172" t="inlineStr">
        <is>
          <t>BYPASS</t>
        </is>
      </c>
      <c r="J2172" t="inlineStr">
        <is>
          <t>BERNARDEAU</t>
        </is>
      </c>
      <c r="K2172" t="inlineStr">
        <is>
          <t>METAL</t>
        </is>
      </c>
      <c r="L2172">
        <f>_xlfn.XLOOKUP(Tableau1[[#This Row],[TYPE DE PIECE]],Tableau4[MATIERE],Tableau4[SHORT TYPE],"",0,1)</f>
        <v/>
      </c>
      <c r="N2172">
        <f>IF(ISERR(FIND("DECOUPE",Tableau1[[#This Row],[DESIGNATION]])),"","NEED REF")</f>
        <v/>
      </c>
    </row>
    <row r="2173">
      <c r="B2173" t="n">
        <v>34411828</v>
      </c>
      <c r="C2173" s="2" t="n">
        <v>45154</v>
      </c>
      <c r="D2173" t="inlineStr">
        <is>
          <t>SPEC</t>
        </is>
      </c>
      <c r="E2173" t="inlineStr">
        <is>
          <t>TFO SUPPORT BAR</t>
        </is>
      </c>
      <c r="J2173" t="inlineStr">
        <is>
          <t>BERNARDEAU</t>
        </is>
      </c>
      <c r="K2173" t="inlineStr">
        <is>
          <t>METAL</t>
        </is>
      </c>
      <c r="L2173">
        <f>_xlfn.XLOOKUP(Tableau1[[#This Row],[TYPE DE PIECE]],Tableau4[MATIERE],Tableau4[SHORT TYPE],"",0,1)</f>
        <v/>
      </c>
      <c r="N2173">
        <f>IF(ISERR(FIND("DECOUPE",Tableau1[[#This Row],[DESIGNATION]])),"","NEED REF")</f>
        <v/>
      </c>
    </row>
    <row r="2174">
      <c r="B2174" t="n">
        <v>34411827</v>
      </c>
      <c r="C2174" s="2" t="n">
        <v>45149</v>
      </c>
      <c r="D2174" t="inlineStr">
        <is>
          <t>SPEC</t>
        </is>
      </c>
      <c r="E2174" t="inlineStr">
        <is>
          <t>SMT 34411827 GVL BYPASS PROTECTION MANUTENTION PALETTE RAL3001</t>
        </is>
      </c>
      <c r="H2174" t="inlineStr">
        <is>
          <t>STS</t>
        </is>
      </c>
      <c r="I2174" t="inlineStr">
        <is>
          <t>1250A</t>
        </is>
      </c>
      <c r="J2174" t="inlineStr">
        <is>
          <t>MATRION</t>
        </is>
      </c>
      <c r="K2174" t="inlineStr">
        <is>
          <t>METAL</t>
        </is>
      </c>
      <c r="L2174">
        <f>_xlfn.XLOOKUP(Tableau1[[#This Row],[TYPE DE PIECE]],Tableau4[MATIERE],Tableau4[SHORT TYPE],"",0,1)</f>
        <v/>
      </c>
      <c r="N2174">
        <f>IF(ISERR(FIND("DECOUPE",Tableau1[[#This Row],[DESIGNATION]])),"","NEED REF")</f>
        <v/>
      </c>
    </row>
    <row r="2175">
      <c r="B2175" t="n">
        <v>34411826</v>
      </c>
      <c r="C2175" s="2" t="n">
        <v>45149</v>
      </c>
      <c r="D2175" t="inlineStr">
        <is>
          <t>SPEC</t>
        </is>
      </c>
      <c r="E2175" t="inlineStr">
        <is>
          <t>WOOD 34411826  PALETTE CELLULE 570x1200 PLANCHER CROISE</t>
        </is>
      </c>
      <c r="H2175" t="inlineStr">
        <is>
          <t>STS</t>
        </is>
      </c>
      <c r="I2175" t="inlineStr">
        <is>
          <t>1250A</t>
        </is>
      </c>
      <c r="J2175" t="inlineStr">
        <is>
          <t>MATRION</t>
        </is>
      </c>
      <c r="K2175" t="inlineStr">
        <is>
          <t>BOIS</t>
        </is>
      </c>
      <c r="L2175">
        <f>_xlfn.XLOOKUP(Tableau1[[#This Row],[TYPE DE PIECE]],Tableau4[MATIERE],Tableau4[SHORT TYPE],"",0,1)</f>
        <v/>
      </c>
      <c r="N2175">
        <f>IF(ISERR(FIND("DECOUPE",Tableau1[[#This Row],[DESIGNATION]])),"","NEED REF")</f>
        <v/>
      </c>
    </row>
    <row r="2176">
      <c r="B2176" t="n">
        <v>34411825</v>
      </c>
      <c r="C2176" s="2" t="n">
        <v>45149</v>
      </c>
      <c r="D2176" t="inlineStr">
        <is>
          <t>SPEC</t>
        </is>
      </c>
      <c r="E2176" t="inlineStr">
        <is>
          <t>WOOD 34411825  PALETTE CELLULE 1000x1200 PLANCHER CROISE</t>
        </is>
      </c>
      <c r="H2176" t="inlineStr">
        <is>
          <t>STS</t>
        </is>
      </c>
      <c r="I2176" t="inlineStr">
        <is>
          <t>1250A</t>
        </is>
      </c>
      <c r="J2176" t="inlineStr">
        <is>
          <t>MATRION</t>
        </is>
      </c>
      <c r="K2176" t="inlineStr">
        <is>
          <t>BOIS</t>
        </is>
      </c>
      <c r="L2176">
        <f>_xlfn.XLOOKUP(Tableau1[[#This Row],[TYPE DE PIECE]],Tableau4[MATIERE],Tableau4[SHORT TYPE],"",0,1)</f>
        <v/>
      </c>
      <c r="N2176">
        <f>IF(ISERR(FIND("DECOUPE",Tableau1[[#This Row],[DESIGNATION]])),"","NEED REF")</f>
        <v/>
      </c>
    </row>
    <row r="2177">
      <c r="B2177" t="n">
        <v>34411824</v>
      </c>
      <c r="C2177" s="2" t="n">
        <v>45148</v>
      </c>
      <c r="D2177" t="inlineStr">
        <is>
          <t>SPEC</t>
        </is>
      </c>
      <c r="E2177">
        <f>_xlfn.CONCAT(Tableau1[[#This Row],[SHORT TYPE]]," ",Tableau1[[#This Row],[NUMERO]]," ",Tableau1[[#This Row],[GAMME]]," ",Tableau1[[#This Row],[TYPE PRODUIT]]," ",Tableau1[[#This Row],[PUISSANCE]])</f>
        <v/>
      </c>
      <c r="H2177" t="inlineStr">
        <is>
          <t>STS</t>
        </is>
      </c>
      <c r="I2177" t="inlineStr">
        <is>
          <t>1250A</t>
        </is>
      </c>
      <c r="J2177" t="inlineStr">
        <is>
          <t>MATRION</t>
        </is>
      </c>
      <c r="K2177" t="inlineStr">
        <is>
          <t>CUIVRE</t>
        </is>
      </c>
      <c r="L2177">
        <f>_xlfn.XLOOKUP(Tableau1[[#This Row],[TYPE DE PIECE]],Tableau4[MATIERE],Tableau4[SHORT TYPE],"",0,1)</f>
        <v/>
      </c>
      <c r="N2177">
        <f>IF(ISERR(FIND("DECOUPE",Tableau1[[#This Row],[DESIGNATION]])),"","NEED REF")</f>
        <v/>
      </c>
    </row>
    <row r="2178">
      <c r="B2178" t="n">
        <v>34411823</v>
      </c>
      <c r="C2178" s="2" t="n">
        <v>45148</v>
      </c>
      <c r="D2178" t="inlineStr">
        <is>
          <t>SPEC</t>
        </is>
      </c>
      <c r="E2178">
        <f>_xlfn.CONCAT(Tableau1[[#This Row],[SHORT TYPE]]," ",Tableau1[[#This Row],[NUMERO]]," ",Tableau1[[#This Row],[GAMME]]," ",Tableau1[[#This Row],[TYPE PRODUIT]]," ",Tableau1[[#This Row],[PUISSANCE]])</f>
        <v/>
      </c>
      <c r="H2178" t="inlineStr">
        <is>
          <t>STS</t>
        </is>
      </c>
      <c r="I2178" t="inlineStr">
        <is>
          <t>1250A</t>
        </is>
      </c>
      <c r="J2178" t="inlineStr">
        <is>
          <t>MATRION</t>
        </is>
      </c>
      <c r="K2178" t="inlineStr">
        <is>
          <t>CUIVRE</t>
        </is>
      </c>
      <c r="L2178">
        <f>_xlfn.XLOOKUP(Tableau1[[#This Row],[TYPE DE PIECE]],Tableau4[MATIERE],Tableau4[SHORT TYPE],"",0,1)</f>
        <v/>
      </c>
      <c r="N2178">
        <f>IF(ISERR(FIND("DECOUPE",Tableau1[[#This Row],[DESIGNATION]])),"","NEED REF")</f>
        <v/>
      </c>
    </row>
    <row r="2179">
      <c r="B2179" t="n">
        <v>34411822</v>
      </c>
      <c r="C2179" s="2" t="n">
        <v>45148</v>
      </c>
      <c r="D2179" t="inlineStr">
        <is>
          <t>SPEC</t>
        </is>
      </c>
      <c r="E2179">
        <f>_xlfn.CONCAT(Tableau1[[#This Row],[SHORT TYPE]]," ",Tableau1[[#This Row],[NUMERO]]," ",Tableau1[[#This Row],[GAMME]]," ",Tableau1[[#This Row],[TYPE PRODUIT]]," ",Tableau1[[#This Row],[PUISSANCE]])</f>
        <v/>
      </c>
      <c r="H2179" t="inlineStr">
        <is>
          <t>STS</t>
        </is>
      </c>
      <c r="I2179" t="inlineStr">
        <is>
          <t>1250A</t>
        </is>
      </c>
      <c r="J2179" t="inlineStr">
        <is>
          <t>MATRION</t>
        </is>
      </c>
      <c r="K2179" t="inlineStr">
        <is>
          <t>CUIVRE</t>
        </is>
      </c>
      <c r="L2179">
        <f>_xlfn.XLOOKUP(Tableau1[[#This Row],[TYPE DE PIECE]],Tableau4[MATIERE],Tableau4[SHORT TYPE],"",0,1)</f>
        <v/>
      </c>
      <c r="N2179">
        <f>IF(ISERR(FIND("DECOUPE",Tableau1[[#This Row],[DESIGNATION]])),"","NEED REF")</f>
        <v/>
      </c>
    </row>
    <row r="2180">
      <c r="B2180" t="n">
        <v>34411821</v>
      </c>
      <c r="C2180" s="2" t="n">
        <v>45148</v>
      </c>
      <c r="D2180" t="inlineStr">
        <is>
          <t>SPEC</t>
        </is>
      </c>
      <c r="E2180">
        <f>_xlfn.CONCAT(Tableau1[[#This Row],[SHORT TYPE]]," ",Tableau1[[#This Row],[NUMERO]]," ",Tableau1[[#This Row],[GAMME]]," ",Tableau1[[#This Row],[TYPE PRODUIT]]," ",Tableau1[[#This Row],[PUISSANCE]])</f>
        <v/>
      </c>
      <c r="H2180" t="inlineStr">
        <is>
          <t>STS</t>
        </is>
      </c>
      <c r="I2180" t="inlineStr">
        <is>
          <t>1250A</t>
        </is>
      </c>
      <c r="J2180" t="inlineStr">
        <is>
          <t>MATRION</t>
        </is>
      </c>
      <c r="K2180" t="inlineStr">
        <is>
          <t>CUIVRE</t>
        </is>
      </c>
      <c r="L2180">
        <f>_xlfn.XLOOKUP(Tableau1[[#This Row],[TYPE DE PIECE]],Tableau4[MATIERE],Tableau4[SHORT TYPE],"",0,1)</f>
        <v/>
      </c>
      <c r="N2180">
        <f>IF(ISERR(FIND("DECOUPE",Tableau1[[#This Row],[DESIGNATION]])),"","NEED REF")</f>
        <v/>
      </c>
    </row>
    <row r="2181">
      <c r="B2181" t="n">
        <v>34411820</v>
      </c>
      <c r="C2181" s="2" t="n">
        <v>45148</v>
      </c>
      <c r="D2181" t="inlineStr">
        <is>
          <t>SPEC</t>
        </is>
      </c>
      <c r="E2181">
        <f>_xlfn.CONCAT(Tableau1[[#This Row],[SHORT TYPE]]," ",Tableau1[[#This Row],[NUMERO]]," ",Tableau1[[#This Row],[GAMME]]," ",Tableau1[[#This Row],[TYPE PRODUIT]]," ",Tableau1[[#This Row],[PUISSANCE]])</f>
        <v/>
      </c>
      <c r="H2181" t="inlineStr">
        <is>
          <t>STS</t>
        </is>
      </c>
      <c r="I2181" t="inlineStr">
        <is>
          <t>1250A</t>
        </is>
      </c>
      <c r="J2181" t="inlineStr">
        <is>
          <t>MATRION</t>
        </is>
      </c>
      <c r="K2181" t="inlineStr">
        <is>
          <t>CUIVRE</t>
        </is>
      </c>
      <c r="L2181">
        <f>_xlfn.XLOOKUP(Tableau1[[#This Row],[TYPE DE PIECE]],Tableau4[MATIERE],Tableau4[SHORT TYPE],"",0,1)</f>
        <v/>
      </c>
      <c r="N2181">
        <f>IF(ISERR(FIND("DECOUPE",Tableau1[[#This Row],[DESIGNATION]])),"","NEED REF")</f>
        <v/>
      </c>
    </row>
    <row r="2182">
      <c r="B2182" t="n">
        <v>34411819</v>
      </c>
      <c r="C2182" s="2" t="n">
        <v>45148</v>
      </c>
      <c r="D2182" t="inlineStr">
        <is>
          <t>SPEC</t>
        </is>
      </c>
      <c r="E2182">
        <f>_xlfn.CONCAT(Tableau1[[#This Row],[SHORT TYPE]]," ",Tableau1[[#This Row],[NUMERO]]," ",Tableau1[[#This Row],[GAMME]]," ",Tableau1[[#This Row],[TYPE PRODUIT]]," ",Tableau1[[#This Row],[PUISSANCE]])</f>
        <v/>
      </c>
      <c r="H2182" t="inlineStr">
        <is>
          <t>STS</t>
        </is>
      </c>
      <c r="I2182" t="inlineStr">
        <is>
          <t>1250A</t>
        </is>
      </c>
      <c r="J2182" t="inlineStr">
        <is>
          <t>MATRION</t>
        </is>
      </c>
      <c r="K2182" t="inlineStr">
        <is>
          <t>CUIVRE</t>
        </is>
      </c>
      <c r="L2182">
        <f>_xlfn.XLOOKUP(Tableau1[[#This Row],[TYPE DE PIECE]],Tableau4[MATIERE],Tableau4[SHORT TYPE],"",0,1)</f>
        <v/>
      </c>
      <c r="N2182">
        <f>IF(ISERR(FIND("DECOUPE",Tableau1[[#This Row],[DESIGNATION]])),"","NEED REF")</f>
        <v/>
      </c>
    </row>
    <row r="2183">
      <c r="B2183" t="n">
        <v>34411818</v>
      </c>
      <c r="C2183" s="2" t="n">
        <v>45148</v>
      </c>
      <c r="D2183" t="inlineStr">
        <is>
          <t>SPEC</t>
        </is>
      </c>
      <c r="E2183" t="inlineStr">
        <is>
          <t>SE 34411818  STS 1250A FINITION</t>
        </is>
      </c>
      <c r="H2183" t="inlineStr">
        <is>
          <t>STS</t>
        </is>
      </c>
      <c r="I2183" t="inlineStr">
        <is>
          <t>1250A</t>
        </is>
      </c>
      <c r="J2183" t="inlineStr">
        <is>
          <t>MATRION</t>
        </is>
      </c>
      <c r="K2183" t="inlineStr">
        <is>
          <t>NOMENCLATURE</t>
        </is>
      </c>
      <c r="L2183">
        <f>_xlfn.XLOOKUP(Tableau1[[#This Row],[TYPE DE PIECE]],Tableau4[MATIERE],Tableau4[SHORT TYPE],"",0,1)</f>
        <v/>
      </c>
      <c r="N2183">
        <f>IF(ISERR(FIND("DECOUPE",Tableau1[[#This Row],[DESIGNATION]])),"","NEED REF")</f>
        <v/>
      </c>
    </row>
    <row r="2184">
      <c r="B2184" t="n">
        <v>34411817</v>
      </c>
      <c r="C2184" s="2" t="n">
        <v>45148</v>
      </c>
      <c r="D2184" t="inlineStr">
        <is>
          <t>SPEC</t>
        </is>
      </c>
      <c r="E2184" t="inlineStr">
        <is>
          <t>SE 34411817  STS 1250A BUSBAR</t>
        </is>
      </c>
      <c r="H2184" t="inlineStr">
        <is>
          <t>STS</t>
        </is>
      </c>
      <c r="I2184" t="inlineStr">
        <is>
          <t>1250A</t>
        </is>
      </c>
      <c r="J2184" t="inlineStr">
        <is>
          <t>MATRION</t>
        </is>
      </c>
      <c r="K2184" t="inlineStr">
        <is>
          <t>NOMENCLATURE</t>
        </is>
      </c>
      <c r="L2184">
        <f>_xlfn.XLOOKUP(Tableau1[[#This Row],[TYPE DE PIECE]],Tableau4[MATIERE],Tableau4[SHORT TYPE],"",0,1)</f>
        <v/>
      </c>
      <c r="N2184">
        <f>IF(ISERR(FIND("DECOUPE",Tableau1[[#This Row],[DESIGNATION]])),"","NEED REF")</f>
        <v/>
      </c>
    </row>
    <row r="2185">
      <c r="B2185" t="n">
        <v>34411816</v>
      </c>
      <c r="C2185" s="2" t="n">
        <v>45148</v>
      </c>
      <c r="D2185" t="inlineStr">
        <is>
          <t>SPEC</t>
        </is>
      </c>
      <c r="E2185" t="inlineStr">
        <is>
          <t>SE 34411816  STS 1250A PROTECTION-SHIELD</t>
        </is>
      </c>
      <c r="H2185" t="inlineStr">
        <is>
          <t>STS</t>
        </is>
      </c>
      <c r="I2185" t="inlineStr">
        <is>
          <t>1250A</t>
        </is>
      </c>
      <c r="J2185" t="inlineStr">
        <is>
          <t>MATRION</t>
        </is>
      </c>
      <c r="K2185" t="inlineStr">
        <is>
          <t>NOMENCLATURE</t>
        </is>
      </c>
      <c r="L2185">
        <f>_xlfn.XLOOKUP(Tableau1[[#This Row],[TYPE DE PIECE]],Tableau4[MATIERE],Tableau4[SHORT TYPE],"",0,1)</f>
        <v/>
      </c>
      <c r="N2185">
        <f>IF(ISERR(FIND("DECOUPE",Tableau1[[#This Row],[DESIGNATION]])),"","NEED REF")</f>
        <v/>
      </c>
    </row>
    <row r="2186">
      <c r="B2186" t="n">
        <v>34411815</v>
      </c>
      <c r="C2186" s="2" t="n">
        <v>45148</v>
      </c>
      <c r="D2186" t="inlineStr">
        <is>
          <t>SPEC</t>
        </is>
      </c>
      <c r="E2186" t="inlineStr">
        <is>
          <t>SE 34411815  STS 1250A INTEGRATION</t>
        </is>
      </c>
      <c r="H2186" t="inlineStr">
        <is>
          <t>STS</t>
        </is>
      </c>
      <c r="I2186" t="inlineStr">
        <is>
          <t>1250A</t>
        </is>
      </c>
      <c r="J2186" t="inlineStr">
        <is>
          <t>MATRION</t>
        </is>
      </c>
      <c r="K2186" t="inlineStr">
        <is>
          <t>NOMENCLATURE</t>
        </is>
      </c>
      <c r="L2186">
        <f>_xlfn.XLOOKUP(Tableau1[[#This Row],[TYPE DE PIECE]],Tableau4[MATIERE],Tableau4[SHORT TYPE],"",0,1)</f>
        <v/>
      </c>
      <c r="N2186">
        <f>IF(ISERR(FIND("DECOUPE",Tableau1[[#This Row],[DESIGNATION]])),"","NEED REF")</f>
        <v/>
      </c>
    </row>
    <row r="2187">
      <c r="B2187" t="n">
        <v>34411814</v>
      </c>
      <c r="C2187" s="2" t="n">
        <v>45148</v>
      </c>
      <c r="D2187" t="inlineStr">
        <is>
          <t>SPEC</t>
        </is>
      </c>
      <c r="E2187" t="inlineStr">
        <is>
          <t>SE 34411814  STS 1250A STRUCTURE</t>
        </is>
      </c>
      <c r="H2187" t="inlineStr">
        <is>
          <t>STS</t>
        </is>
      </c>
      <c r="I2187" t="inlineStr">
        <is>
          <t>1250A</t>
        </is>
      </c>
      <c r="J2187" t="inlineStr">
        <is>
          <t>MATRION</t>
        </is>
      </c>
      <c r="K2187" t="inlineStr">
        <is>
          <t>NOMENCLATURE</t>
        </is>
      </c>
      <c r="L2187">
        <f>_xlfn.XLOOKUP(Tableau1[[#This Row],[TYPE DE PIECE]],Tableau4[MATIERE],Tableau4[SHORT TYPE],"",0,1)</f>
        <v/>
      </c>
      <c r="N2187">
        <f>IF(ISERR(FIND("DECOUPE",Tableau1[[#This Row],[DESIGNATION]])),"","NEED REF")</f>
        <v/>
      </c>
    </row>
    <row r="2188">
      <c r="B2188" t="n">
        <v>34411813</v>
      </c>
      <c r="C2188" s="2" t="n">
        <v>45147</v>
      </c>
      <c r="D2188" t="inlineStr">
        <is>
          <t>SPEC</t>
        </is>
      </c>
      <c r="E2188">
        <f>_xlfn.CONCAT(Tableau1[[#This Row],[SHORT TYPE]]," ",Tableau1[[#This Row],[NUMERO]]," ",Tableau1[[#This Row],[GAMME]]," ",Tableau1[[#This Row],[TYPE PRODUIT]]," ",Tableau1[[#This Row],[PUISSANCE]])</f>
        <v/>
      </c>
      <c r="H2188" t="inlineStr">
        <is>
          <t>STS</t>
        </is>
      </c>
      <c r="I2188" t="inlineStr">
        <is>
          <t>1250A</t>
        </is>
      </c>
      <c r="J2188" t="inlineStr">
        <is>
          <t>MATRION</t>
        </is>
      </c>
      <c r="K2188" t="inlineStr">
        <is>
          <t>METAL</t>
        </is>
      </c>
      <c r="L2188">
        <f>_xlfn.XLOOKUP(Tableau1[[#This Row],[TYPE DE PIECE]],Tableau4[MATIERE],Tableau4[SHORT TYPE],"",0,1)</f>
        <v/>
      </c>
      <c r="N2188">
        <f>IF(ISERR(FIND("DECOUPE",Tableau1[[#This Row],[DESIGNATION]])),"","NEED REF")</f>
        <v/>
      </c>
    </row>
    <row r="2189">
      <c r="B2189" t="n">
        <v>34411812</v>
      </c>
      <c r="C2189" s="2" t="n">
        <v>45147</v>
      </c>
      <c r="D2189" t="inlineStr">
        <is>
          <t>SPEC</t>
        </is>
      </c>
      <c r="E2189">
        <f>_xlfn.CONCAT(Tableau1[[#This Row],[SHORT TYPE]]," ",Tableau1[[#This Row],[NUMERO]]," ",Tableau1[[#This Row],[GAMME]]," ",Tableau1[[#This Row],[TYPE PRODUIT]]," ",Tableau1[[#This Row],[PUISSANCE]])</f>
        <v/>
      </c>
      <c r="H2189" t="inlineStr">
        <is>
          <t>STS</t>
        </is>
      </c>
      <c r="I2189" t="inlineStr">
        <is>
          <t>1250A</t>
        </is>
      </c>
      <c r="J2189" t="inlineStr">
        <is>
          <t>MATRION</t>
        </is>
      </c>
      <c r="K2189" t="inlineStr">
        <is>
          <t>PLASTIQUE</t>
        </is>
      </c>
      <c r="L2189">
        <f>_xlfn.XLOOKUP(Tableau1[[#This Row],[TYPE DE PIECE]],Tableau4[MATIERE],Tableau4[SHORT TYPE],"",0,1)</f>
        <v/>
      </c>
      <c r="N2189">
        <f>IF(ISERR(FIND("DECOUPE",Tableau1[[#This Row],[DESIGNATION]])),"","NEED REF")</f>
        <v/>
      </c>
    </row>
    <row r="2190">
      <c r="B2190" t="n">
        <v>34411811</v>
      </c>
      <c r="C2190" s="2" t="n">
        <v>45147</v>
      </c>
      <c r="D2190" t="inlineStr">
        <is>
          <t>SPEC</t>
        </is>
      </c>
      <c r="E2190">
        <f>_xlfn.CONCAT(Tableau1[[#This Row],[SHORT TYPE]]," ",Tableau1[[#This Row],[NUMERO]]," ",Tableau1[[#This Row],[GAMME]]," ",Tableau1[[#This Row],[TYPE PRODUIT]]," ",Tableau1[[#This Row],[PUISSANCE]])</f>
        <v/>
      </c>
      <c r="H2190" t="inlineStr">
        <is>
          <t>STS</t>
        </is>
      </c>
      <c r="I2190" t="inlineStr">
        <is>
          <t>1250A</t>
        </is>
      </c>
      <c r="J2190" t="inlineStr">
        <is>
          <t>MATRION</t>
        </is>
      </c>
      <c r="K2190" t="inlineStr">
        <is>
          <t>METAL</t>
        </is>
      </c>
      <c r="L2190">
        <f>_xlfn.XLOOKUP(Tableau1[[#This Row],[TYPE DE PIECE]],Tableau4[MATIERE],Tableau4[SHORT TYPE],"",0,1)</f>
        <v/>
      </c>
      <c r="N2190">
        <f>IF(ISERR(FIND("DECOUPE",Tableau1[[#This Row],[DESIGNATION]])),"","NEED REF")</f>
        <v/>
      </c>
    </row>
    <row r="2191">
      <c r="B2191" t="n">
        <v>34411810</v>
      </c>
      <c r="C2191" s="2" t="n">
        <v>45147</v>
      </c>
      <c r="D2191" t="inlineStr">
        <is>
          <t>SPEC</t>
        </is>
      </c>
      <c r="E2191">
        <f>_xlfn.CONCAT(Tableau1[[#This Row],[SHORT TYPE]]," ",Tableau1[[#This Row],[NUMERO]]," ",Tableau1[[#This Row],[GAMME]]," ",Tableau1[[#This Row],[TYPE PRODUIT]]," ",Tableau1[[#This Row],[PUISSANCE]])</f>
        <v/>
      </c>
      <c r="H2191" t="inlineStr">
        <is>
          <t>STS</t>
        </is>
      </c>
      <c r="I2191" t="inlineStr">
        <is>
          <t>1250A</t>
        </is>
      </c>
      <c r="J2191" t="inlineStr">
        <is>
          <t>MATRION</t>
        </is>
      </c>
      <c r="K2191" t="inlineStr">
        <is>
          <t>METAL</t>
        </is>
      </c>
      <c r="L2191">
        <f>_xlfn.XLOOKUP(Tableau1[[#This Row],[TYPE DE PIECE]],Tableau4[MATIERE],Tableau4[SHORT TYPE],"",0,1)</f>
        <v/>
      </c>
      <c r="N2191">
        <f>IF(ISERR(FIND("DECOUPE",Tableau1[[#This Row],[DESIGNATION]])),"","NEED REF")</f>
        <v/>
      </c>
    </row>
    <row r="2192">
      <c r="B2192" t="n">
        <v>34411809</v>
      </c>
      <c r="C2192" s="2" t="n">
        <v>45146</v>
      </c>
      <c r="D2192" t="inlineStr">
        <is>
          <t>SPEC</t>
        </is>
      </c>
      <c r="E2192">
        <f>_xlfn.CONCAT(Tableau1[[#This Row],[SHORT TYPE]]," ",Tableau1[[#This Row],[NUMERO]]," ",Tableau1[[#This Row],[GAMME]]," ",Tableau1[[#This Row],[TYPE PRODUIT]]," ",Tableau1[[#This Row],[PUISSANCE]])</f>
        <v/>
      </c>
      <c r="H2192" t="inlineStr">
        <is>
          <t>STS</t>
        </is>
      </c>
      <c r="I2192" t="inlineStr">
        <is>
          <t>1250A</t>
        </is>
      </c>
      <c r="J2192" t="inlineStr">
        <is>
          <t>MATRION</t>
        </is>
      </c>
      <c r="K2192" t="inlineStr">
        <is>
          <t>CUIVRE</t>
        </is>
      </c>
      <c r="L2192">
        <f>_xlfn.XLOOKUP(Tableau1[[#This Row],[TYPE DE PIECE]],Tableau4[MATIERE],Tableau4[SHORT TYPE],"",0,1)</f>
        <v/>
      </c>
      <c r="N2192">
        <f>IF(ISERR(FIND("DECOUPE",Tableau1[[#This Row],[DESIGNATION]])),"","NEED REF")</f>
        <v/>
      </c>
    </row>
    <row r="2193">
      <c r="B2193" t="n">
        <v>34411808</v>
      </c>
      <c r="C2193" s="2" t="n">
        <v>45146</v>
      </c>
      <c r="D2193" t="inlineStr">
        <is>
          <t>SPEC</t>
        </is>
      </c>
      <c r="E2193">
        <f>_xlfn.CONCAT(Tableau1[[#This Row],[SHORT TYPE]]," ",Tableau1[[#This Row],[NUMERO]]," ",Tableau1[[#This Row],[GAMME]]," ",Tableau1[[#This Row],[TYPE PRODUIT]]," ",Tableau1[[#This Row],[PUISSANCE]])</f>
        <v/>
      </c>
      <c r="H2193" t="inlineStr">
        <is>
          <t>STS</t>
        </is>
      </c>
      <c r="I2193" t="inlineStr">
        <is>
          <t>1250A</t>
        </is>
      </c>
      <c r="J2193" t="inlineStr">
        <is>
          <t>MATRION</t>
        </is>
      </c>
      <c r="K2193" t="inlineStr">
        <is>
          <t>METAL</t>
        </is>
      </c>
      <c r="L2193">
        <f>_xlfn.XLOOKUP(Tableau1[[#This Row],[TYPE DE PIECE]],Tableau4[MATIERE],Tableau4[SHORT TYPE],"",0,1)</f>
        <v/>
      </c>
      <c r="N2193">
        <f>IF(ISERR(FIND("DECOUPE",Tableau1[[#This Row],[DESIGNATION]])),"","NEED REF")</f>
        <v/>
      </c>
    </row>
    <row r="2194">
      <c r="B2194" t="n">
        <v>34411807</v>
      </c>
      <c r="C2194" s="2" t="n">
        <v>45146</v>
      </c>
      <c r="D2194" t="inlineStr">
        <is>
          <t>SPEC</t>
        </is>
      </c>
      <c r="E2194">
        <f>_xlfn.CONCAT(Tableau1[[#This Row],[SHORT TYPE]]," ",Tableau1[[#This Row],[NUMERO]]," ",Tableau1[[#This Row],[GAMME]]," ",Tableau1[[#This Row],[TYPE PRODUIT]]," ",Tableau1[[#This Row],[PUISSANCE]])</f>
        <v/>
      </c>
      <c r="H2194" t="inlineStr">
        <is>
          <t>STS</t>
        </is>
      </c>
      <c r="I2194" t="inlineStr">
        <is>
          <t>1250A</t>
        </is>
      </c>
      <c r="J2194" t="inlineStr">
        <is>
          <t>MATRION</t>
        </is>
      </c>
      <c r="K2194" t="inlineStr">
        <is>
          <t>CUIVRE</t>
        </is>
      </c>
      <c r="L2194">
        <f>_xlfn.XLOOKUP(Tableau1[[#This Row],[TYPE DE PIECE]],Tableau4[MATIERE],Tableau4[SHORT TYPE],"",0,1)</f>
        <v/>
      </c>
      <c r="N2194">
        <f>IF(ISERR(FIND("DECOUPE",Tableau1[[#This Row],[DESIGNATION]])),"","NEED REF")</f>
        <v/>
      </c>
    </row>
    <row r="2195">
      <c r="B2195" t="n">
        <v>34411806</v>
      </c>
      <c r="C2195" s="2" t="n">
        <v>45146</v>
      </c>
      <c r="D2195" t="inlineStr">
        <is>
          <t>SPEC</t>
        </is>
      </c>
      <c r="E2195">
        <f>_xlfn.CONCAT(Tableau1[[#This Row],[SHORT TYPE]]," ",Tableau1[[#This Row],[NUMERO]]," ",Tableau1[[#This Row],[GAMME]]," ",Tableau1[[#This Row],[TYPE PRODUIT]]," ",Tableau1[[#This Row],[PUISSANCE]])</f>
        <v/>
      </c>
      <c r="H2195" t="inlineStr">
        <is>
          <t>STS</t>
        </is>
      </c>
      <c r="I2195" t="inlineStr">
        <is>
          <t>1250A</t>
        </is>
      </c>
      <c r="J2195" t="inlineStr">
        <is>
          <t>MATRION</t>
        </is>
      </c>
      <c r="K2195" t="inlineStr">
        <is>
          <t>METAL</t>
        </is>
      </c>
      <c r="L2195">
        <f>_xlfn.XLOOKUP(Tableau1[[#This Row],[TYPE DE PIECE]],Tableau4[MATIERE],Tableau4[SHORT TYPE],"",0,1)</f>
        <v/>
      </c>
      <c r="N2195">
        <f>IF(ISERR(FIND("DECOUPE",Tableau1[[#This Row],[DESIGNATION]])),"","NEED REF")</f>
        <v/>
      </c>
    </row>
    <row r="2196">
      <c r="B2196" t="n">
        <v>34411805</v>
      </c>
      <c r="C2196" s="2" t="n">
        <v>45145</v>
      </c>
      <c r="D2196" t="inlineStr">
        <is>
          <t>SPEC</t>
        </is>
      </c>
      <c r="E2196">
        <f>_xlfn.CONCAT(Tableau1[[#This Row],[SHORT TYPE]]," ",Tableau1[[#This Row],[NUMERO]]," ",Tableau1[[#This Row],[GAMME]]," ",Tableau1[[#This Row],[TYPE PRODUIT]]," ",Tableau1[[#This Row],[PUISSANCE]])</f>
        <v/>
      </c>
      <c r="H2196" t="inlineStr">
        <is>
          <t>STS</t>
        </is>
      </c>
      <c r="I2196" t="inlineStr">
        <is>
          <t>1250A</t>
        </is>
      </c>
      <c r="J2196" t="inlineStr">
        <is>
          <t>MATRION</t>
        </is>
      </c>
      <c r="K2196" t="inlineStr">
        <is>
          <t>PLASTIQUE</t>
        </is>
      </c>
      <c r="L2196">
        <f>_xlfn.XLOOKUP(Tableau1[[#This Row],[TYPE DE PIECE]],Tableau4[MATIERE],Tableau4[SHORT TYPE],"",0,1)</f>
        <v/>
      </c>
      <c r="N2196">
        <f>IF(ISERR(FIND("DECOUPE",Tableau1[[#This Row],[DESIGNATION]])),"","NEED REF")</f>
        <v/>
      </c>
    </row>
    <row r="2197">
      <c r="B2197" t="n">
        <v>34411804</v>
      </c>
      <c r="C2197" s="2" t="n">
        <v>45145</v>
      </c>
      <c r="D2197" t="inlineStr">
        <is>
          <t>SPEC</t>
        </is>
      </c>
      <c r="E2197">
        <f>_xlfn.CONCAT(Tableau1[[#This Row],[SHORT TYPE]]," ",Tableau1[[#This Row],[NUMERO]]," ",Tableau1[[#This Row],[GAMME]]," ",Tableau1[[#This Row],[TYPE PRODUIT]]," ",Tableau1[[#This Row],[PUISSANCE]])</f>
        <v/>
      </c>
      <c r="H2197" t="inlineStr">
        <is>
          <t>STS</t>
        </is>
      </c>
      <c r="I2197" t="inlineStr">
        <is>
          <t>1250A</t>
        </is>
      </c>
      <c r="J2197" t="inlineStr">
        <is>
          <t>MATRION</t>
        </is>
      </c>
      <c r="K2197" t="inlineStr">
        <is>
          <t>PLASTIQUE</t>
        </is>
      </c>
      <c r="L2197">
        <f>_xlfn.XLOOKUP(Tableau1[[#This Row],[TYPE DE PIECE]],Tableau4[MATIERE],Tableau4[SHORT TYPE],"",0,1)</f>
        <v/>
      </c>
      <c r="N2197">
        <f>IF(ISERR(FIND("DECOUPE",Tableau1[[#This Row],[DESIGNATION]])),"","NEED REF")</f>
        <v/>
      </c>
    </row>
    <row r="2198">
      <c r="B2198" t="n">
        <v>34411803</v>
      </c>
      <c r="C2198" s="2" t="n">
        <v>45145</v>
      </c>
      <c r="D2198" t="inlineStr">
        <is>
          <t>SPEC</t>
        </is>
      </c>
      <c r="E2198">
        <f>_xlfn.CONCAT(Tableau1[[#This Row],[SHORT TYPE]]," ",Tableau1[[#This Row],[NUMERO]]," ",Tableau1[[#This Row],[GAMME]]," ",Tableau1[[#This Row],[TYPE PRODUIT]]," ",Tableau1[[#This Row],[PUISSANCE]])</f>
        <v/>
      </c>
      <c r="H2198" t="inlineStr">
        <is>
          <t>STS</t>
        </is>
      </c>
      <c r="I2198" t="inlineStr">
        <is>
          <t>1250A</t>
        </is>
      </c>
      <c r="J2198" t="inlineStr">
        <is>
          <t>MATRION</t>
        </is>
      </c>
      <c r="K2198" t="inlineStr">
        <is>
          <t>PLASTIQUE</t>
        </is>
      </c>
      <c r="L2198">
        <f>_xlfn.XLOOKUP(Tableau1[[#This Row],[TYPE DE PIECE]],Tableau4[MATIERE],Tableau4[SHORT TYPE],"",0,1)</f>
        <v/>
      </c>
      <c r="N2198">
        <f>IF(ISERR(FIND("DECOUPE",Tableau1[[#This Row],[DESIGNATION]])),"","NEED REF")</f>
        <v/>
      </c>
    </row>
    <row r="2199">
      <c r="B2199" t="n">
        <v>34411802</v>
      </c>
      <c r="C2199" s="2" t="n">
        <v>45145</v>
      </c>
      <c r="D2199" t="inlineStr">
        <is>
          <t>SPEC</t>
        </is>
      </c>
      <c r="E2199">
        <f>_xlfn.CONCAT(Tableau1[[#This Row],[SHORT TYPE]]," ",Tableau1[[#This Row],[NUMERO]]," ",Tableau1[[#This Row],[GAMME]]," ",Tableau1[[#This Row],[TYPE PRODUIT]]," ",Tableau1[[#This Row],[PUISSANCE]])</f>
        <v/>
      </c>
      <c r="H2199" t="inlineStr">
        <is>
          <t>STS</t>
        </is>
      </c>
      <c r="I2199" t="inlineStr">
        <is>
          <t>1250A</t>
        </is>
      </c>
      <c r="J2199" t="inlineStr">
        <is>
          <t>MATRION</t>
        </is>
      </c>
      <c r="K2199" t="inlineStr">
        <is>
          <t>METAL</t>
        </is>
      </c>
      <c r="L2199">
        <f>_xlfn.XLOOKUP(Tableau1[[#This Row],[TYPE DE PIECE]],Tableau4[MATIERE],Tableau4[SHORT TYPE],"",0,1)</f>
        <v/>
      </c>
      <c r="N2199">
        <f>IF(ISERR(FIND("DECOUPE",Tableau1[[#This Row],[DESIGNATION]])),"","NEED REF")</f>
        <v/>
      </c>
    </row>
    <row r="2200">
      <c r="B2200" t="n">
        <v>34411801</v>
      </c>
      <c r="C2200" s="2" t="n">
        <v>45145</v>
      </c>
      <c r="D2200" t="inlineStr">
        <is>
          <t>SPEC</t>
        </is>
      </c>
      <c r="E2200">
        <f>_xlfn.CONCAT(Tableau1[[#This Row],[SHORT TYPE]]," ",Tableau1[[#This Row],[NUMERO]]," ",Tableau1[[#This Row],[GAMME]]," ",Tableau1[[#This Row],[TYPE PRODUIT]]," ",Tableau1[[#This Row],[PUISSANCE]])</f>
        <v/>
      </c>
      <c r="H2200" t="inlineStr">
        <is>
          <t>STS</t>
        </is>
      </c>
      <c r="I2200" t="inlineStr">
        <is>
          <t>1250A</t>
        </is>
      </c>
      <c r="J2200" t="inlineStr">
        <is>
          <t>MATRION</t>
        </is>
      </c>
      <c r="K2200" t="inlineStr">
        <is>
          <t>METAL</t>
        </is>
      </c>
      <c r="L2200">
        <f>_xlfn.XLOOKUP(Tableau1[[#This Row],[TYPE DE PIECE]],Tableau4[MATIERE],Tableau4[SHORT TYPE],"",0,1)</f>
        <v/>
      </c>
      <c r="N2200">
        <f>IF(ISERR(FIND("DECOUPE",Tableau1[[#This Row],[DESIGNATION]])),"","NEED REF")</f>
        <v/>
      </c>
    </row>
    <row r="2201">
      <c r="B2201" t="n">
        <v>34411800</v>
      </c>
      <c r="C2201" s="2" t="n">
        <v>45145</v>
      </c>
      <c r="D2201" t="inlineStr">
        <is>
          <t>SPEC</t>
        </is>
      </c>
      <c r="E2201">
        <f>_xlfn.CONCAT(Tableau1[[#This Row],[SHORT TYPE]]," ",Tableau1[[#This Row],[NUMERO]]," ",Tableau1[[#This Row],[GAMME]]," ",Tableau1[[#This Row],[TYPE PRODUIT]]," ",Tableau1[[#This Row],[PUISSANCE]])</f>
        <v/>
      </c>
      <c r="H2201" t="inlineStr">
        <is>
          <t>STS</t>
        </is>
      </c>
      <c r="I2201" t="inlineStr">
        <is>
          <t>1250A</t>
        </is>
      </c>
      <c r="J2201" t="inlineStr">
        <is>
          <t>MATRION</t>
        </is>
      </c>
      <c r="K2201" t="inlineStr">
        <is>
          <t>PLASTIQUE</t>
        </is>
      </c>
      <c r="L2201">
        <f>_xlfn.XLOOKUP(Tableau1[[#This Row],[TYPE DE PIECE]],Tableau4[MATIERE],Tableau4[SHORT TYPE],"",0,1)</f>
        <v/>
      </c>
      <c r="N2201">
        <f>IF(ISERR(FIND("DECOUPE",Tableau1[[#This Row],[DESIGNATION]])),"","NEED REF")</f>
        <v/>
      </c>
    </row>
    <row r="2202">
      <c r="B2202" t="n">
        <v>34411799</v>
      </c>
      <c r="C2202" s="2" t="n">
        <v>45145</v>
      </c>
      <c r="D2202" t="inlineStr">
        <is>
          <t>SPEC</t>
        </is>
      </c>
      <c r="E2202">
        <f>_xlfn.CONCAT(Tableau1[[#This Row],[SHORT TYPE]]," ",Tableau1[[#This Row],[NUMERO]]," ",Tableau1[[#This Row],[GAMME]]," ",Tableau1[[#This Row],[TYPE PRODUIT]]," ",Tableau1[[#This Row],[PUISSANCE]])</f>
        <v/>
      </c>
      <c r="H2202" t="inlineStr">
        <is>
          <t>STS</t>
        </is>
      </c>
      <c r="I2202" t="inlineStr">
        <is>
          <t>1250A</t>
        </is>
      </c>
      <c r="J2202" t="inlineStr">
        <is>
          <t>MATRION</t>
        </is>
      </c>
      <c r="K2202" t="inlineStr">
        <is>
          <t>METAL</t>
        </is>
      </c>
      <c r="L2202">
        <f>_xlfn.XLOOKUP(Tableau1[[#This Row],[TYPE DE PIECE]],Tableau4[MATIERE],Tableau4[SHORT TYPE],"",0,1)</f>
        <v/>
      </c>
      <c r="N2202">
        <f>IF(ISERR(FIND("DECOUPE",Tableau1[[#This Row],[DESIGNATION]])),"","NEED REF")</f>
        <v/>
      </c>
    </row>
    <row r="2203">
      <c r="B2203" t="n">
        <v>34411798</v>
      </c>
      <c r="C2203" s="2" t="n">
        <v>45142</v>
      </c>
      <c r="D2203" t="inlineStr">
        <is>
          <t>SPEC</t>
        </is>
      </c>
      <c r="E2203" t="inlineStr">
        <is>
          <t>SMT SUPPORT CABLE VERTICAL</t>
        </is>
      </c>
      <c r="F2203" t="inlineStr">
        <is>
          <t>SE_BE101_SCHNEIDER ELECTRIC SA/NV</t>
        </is>
      </c>
      <c r="G2203" t="inlineStr">
        <is>
          <t>GVS</t>
        </is>
      </c>
      <c r="H2203" t="inlineStr">
        <is>
          <t>BYPASS</t>
        </is>
      </c>
      <c r="I2203" t="inlineStr">
        <is>
          <t>150KW</t>
        </is>
      </c>
      <c r="J2203" t="inlineStr">
        <is>
          <t>JAWORSKI</t>
        </is>
      </c>
      <c r="K2203" t="inlineStr">
        <is>
          <t>METAL</t>
        </is>
      </c>
      <c r="L2203">
        <f>_xlfn.XLOOKUP(Tableau1[[#This Row],[TYPE DE PIECE]],Tableau4[MATIERE],Tableau4[SHORT TYPE],"",0,1)</f>
        <v/>
      </c>
      <c r="N2203">
        <f>IF(ISERR(FIND("DECOUPE",Tableau1[[#This Row],[DESIGNATION]])),"","NEED REF")</f>
        <v/>
      </c>
    </row>
    <row r="2204">
      <c r="B2204" t="n">
        <v>34411797</v>
      </c>
      <c r="C2204" s="2" t="n">
        <v>45142</v>
      </c>
      <c r="D2204" t="inlineStr">
        <is>
          <t>SPEC</t>
        </is>
      </c>
      <c r="E2204" t="inlineStr">
        <is>
          <t>SMT SUPPORT CABLE HORIZONTAL</t>
        </is>
      </c>
      <c r="F2204" t="inlineStr">
        <is>
          <t>SE_BE101_SCHNEIDER ELECTRIC SA/NV</t>
        </is>
      </c>
      <c r="G2204" t="inlineStr">
        <is>
          <t>GVS</t>
        </is>
      </c>
      <c r="H2204" t="inlineStr">
        <is>
          <t>BYPASS</t>
        </is>
      </c>
      <c r="I2204" t="inlineStr">
        <is>
          <t>150KW</t>
        </is>
      </c>
      <c r="J2204" t="inlineStr">
        <is>
          <t>JAWORSKI</t>
        </is>
      </c>
      <c r="K2204" t="inlineStr">
        <is>
          <t>METAL</t>
        </is>
      </c>
      <c r="L2204">
        <f>_xlfn.XLOOKUP(Tableau1[[#This Row],[TYPE DE PIECE]],Tableau4[MATIERE],Tableau4[SHORT TYPE],"",0,1)</f>
        <v/>
      </c>
      <c r="N2204">
        <f>IF(ISERR(FIND("DECOUPE",Tableau1[[#This Row],[DESIGNATION]])),"","NEED REF")</f>
        <v/>
      </c>
    </row>
    <row r="2205">
      <c r="B2205" t="n">
        <v>34411796</v>
      </c>
      <c r="C2205" s="2" t="n">
        <v>45142</v>
      </c>
      <c r="D2205" t="inlineStr">
        <is>
          <t>SPEC</t>
        </is>
      </c>
      <c r="E2205">
        <f>_xlfn.CONCAT(Tableau1[[#This Row],[SHORT TYPE]]," ",Tableau1[[#This Row],[NUMERO]]," ",Tableau1[[#This Row],[GAMME]]," ",Tableau1[[#This Row],[TYPE PRODUIT]]," ",Tableau1[[#This Row],[PUISSANCE]])</f>
        <v/>
      </c>
      <c r="H2205" t="inlineStr">
        <is>
          <t>STS</t>
        </is>
      </c>
      <c r="I2205" t="inlineStr">
        <is>
          <t>1250A</t>
        </is>
      </c>
      <c r="J2205" t="inlineStr">
        <is>
          <t>MATRION</t>
        </is>
      </c>
      <c r="K2205" t="inlineStr">
        <is>
          <t>METAL</t>
        </is>
      </c>
      <c r="L2205">
        <f>_xlfn.XLOOKUP(Tableau1[[#This Row],[TYPE DE PIECE]],Tableau4[MATIERE],Tableau4[SHORT TYPE],"",0,1)</f>
        <v/>
      </c>
      <c r="N2205">
        <f>IF(ISERR(FIND("DECOUPE",Tableau1[[#This Row],[DESIGNATION]])),"","NEED REF")</f>
        <v/>
      </c>
    </row>
    <row r="2206">
      <c r="B2206" t="n">
        <v>34411795</v>
      </c>
      <c r="C2206" s="2" t="n">
        <v>45142</v>
      </c>
      <c r="D2206" t="inlineStr">
        <is>
          <t>SPEC</t>
        </is>
      </c>
      <c r="E2206">
        <f>_xlfn.CONCAT(Tableau1[[#This Row],[SHORT TYPE]]," ",Tableau1[[#This Row],[NUMERO]]," ",Tableau1[[#This Row],[GAMME]]," ",Tableau1[[#This Row],[TYPE PRODUIT]]," ",Tableau1[[#This Row],[PUISSANCE]])</f>
        <v/>
      </c>
      <c r="H2206" t="inlineStr">
        <is>
          <t>STS</t>
        </is>
      </c>
      <c r="I2206" t="inlineStr">
        <is>
          <t>1250A</t>
        </is>
      </c>
      <c r="J2206" t="inlineStr">
        <is>
          <t>MATRION</t>
        </is>
      </c>
      <c r="K2206" t="inlineStr">
        <is>
          <t>METAL</t>
        </is>
      </c>
      <c r="L2206">
        <f>_xlfn.XLOOKUP(Tableau1[[#This Row],[TYPE DE PIECE]],Tableau4[MATIERE],Tableau4[SHORT TYPE],"",0,1)</f>
        <v/>
      </c>
      <c r="N2206">
        <f>IF(ISERR(FIND("DECOUPE",Tableau1[[#This Row],[DESIGNATION]])),"","NEED REF")</f>
        <v/>
      </c>
    </row>
    <row r="2207">
      <c r="B2207" t="n">
        <v>34411794</v>
      </c>
      <c r="C2207" s="2" t="n">
        <v>45142</v>
      </c>
      <c r="D2207" t="inlineStr">
        <is>
          <t>SPEC</t>
        </is>
      </c>
      <c r="E2207">
        <f>_xlfn.CONCAT(Tableau1[[#This Row],[SHORT TYPE]]," ",Tableau1[[#This Row],[NUMERO]]," ",Tableau1[[#This Row],[GAMME]]," ",Tableau1[[#This Row],[TYPE PRODUIT]]," ",Tableau1[[#This Row],[PUISSANCE]])</f>
        <v/>
      </c>
      <c r="H2207" t="inlineStr">
        <is>
          <t>STS</t>
        </is>
      </c>
      <c r="I2207" t="inlineStr">
        <is>
          <t>1250A</t>
        </is>
      </c>
      <c r="J2207" t="inlineStr">
        <is>
          <t>MATRION</t>
        </is>
      </c>
      <c r="K2207" t="inlineStr">
        <is>
          <t>METAL</t>
        </is>
      </c>
      <c r="L2207">
        <f>_xlfn.XLOOKUP(Tableau1[[#This Row],[TYPE DE PIECE]],Tableau4[MATIERE],Tableau4[SHORT TYPE],"",0,1)</f>
        <v/>
      </c>
      <c r="N2207">
        <f>IF(ISERR(FIND("DECOUPE",Tableau1[[#This Row],[DESIGNATION]])),"","NEED REF")</f>
        <v/>
      </c>
    </row>
    <row r="2208">
      <c r="B2208" t="n">
        <v>34411793</v>
      </c>
      <c r="C2208" s="2" t="n">
        <v>45142</v>
      </c>
      <c r="D2208" t="inlineStr">
        <is>
          <t>SPEC</t>
        </is>
      </c>
      <c r="E2208">
        <f>_xlfn.CONCAT(Tableau1[[#This Row],[SHORT TYPE]]," ",Tableau1[[#This Row],[NUMERO]]," ",Tableau1[[#This Row],[GAMME]]," ",Tableau1[[#This Row],[TYPE PRODUIT]]," ",Tableau1[[#This Row],[PUISSANCE]])</f>
        <v/>
      </c>
      <c r="H2208" t="inlineStr">
        <is>
          <t>STS</t>
        </is>
      </c>
      <c r="I2208" t="inlineStr">
        <is>
          <t>1250A</t>
        </is>
      </c>
      <c r="J2208" t="inlineStr">
        <is>
          <t>MATRION</t>
        </is>
      </c>
      <c r="K2208" t="inlineStr">
        <is>
          <t>METAL</t>
        </is>
      </c>
      <c r="L2208">
        <f>_xlfn.XLOOKUP(Tableau1[[#This Row],[TYPE DE PIECE]],Tableau4[MATIERE],Tableau4[SHORT TYPE],"",0,1)</f>
        <v/>
      </c>
      <c r="N2208">
        <f>IF(ISERR(FIND("DECOUPE",Tableau1[[#This Row],[DESIGNATION]])),"","NEED REF")</f>
        <v/>
      </c>
    </row>
    <row r="2209">
      <c r="B2209" t="n">
        <v>34411792</v>
      </c>
      <c r="C2209" s="2" t="n">
        <v>45141</v>
      </c>
      <c r="D2209" t="inlineStr">
        <is>
          <t>SPEC</t>
        </is>
      </c>
      <c r="E2209" t="inlineStr">
        <is>
          <t>SMT PLATINE AUXILIAIRE</t>
        </is>
      </c>
      <c r="F2209" t="inlineStr">
        <is>
          <t>SE_BE101_SCHNEIDER ELECTRIC SA/NV</t>
        </is>
      </c>
      <c r="G2209" t="inlineStr">
        <is>
          <t>GVS</t>
        </is>
      </c>
      <c r="H2209" t="inlineStr">
        <is>
          <t>BYPASS</t>
        </is>
      </c>
      <c r="I2209" t="inlineStr">
        <is>
          <t>150KW</t>
        </is>
      </c>
      <c r="J2209" t="inlineStr">
        <is>
          <t>JAWORSKI</t>
        </is>
      </c>
      <c r="K2209" t="inlineStr">
        <is>
          <t>METAL</t>
        </is>
      </c>
      <c r="L2209">
        <f>_xlfn.XLOOKUP(Tableau1[[#This Row],[TYPE DE PIECE]],Tableau4[MATIERE],Tableau4[SHORT TYPE],"",0,1)</f>
        <v/>
      </c>
      <c r="N2209">
        <f>IF(ISERR(FIND("DECOUPE",Tableau1[[#This Row],[DESIGNATION]])),"","NEED REF")</f>
        <v/>
      </c>
    </row>
    <row r="2210">
      <c r="B2210" t="n">
        <v>34411791</v>
      </c>
      <c r="C2210" s="2" t="n">
        <v>45141</v>
      </c>
      <c r="D2210" t="inlineStr">
        <is>
          <t>SPEC</t>
        </is>
      </c>
      <c r="E2210" t="inlineStr">
        <is>
          <t>SMT PLATINE DISJ/INTER</t>
        </is>
      </c>
      <c r="F2210" t="inlineStr">
        <is>
          <t>SE_BE101_SCHNEIDER ELECTRIC SA/NV</t>
        </is>
      </c>
      <c r="G2210" t="inlineStr">
        <is>
          <t>GVS</t>
        </is>
      </c>
      <c r="H2210" t="inlineStr">
        <is>
          <t>BYPASS</t>
        </is>
      </c>
      <c r="I2210" t="inlineStr">
        <is>
          <t>150KW</t>
        </is>
      </c>
      <c r="J2210" t="inlineStr">
        <is>
          <t>JAWORSKI</t>
        </is>
      </c>
      <c r="K2210" t="inlineStr">
        <is>
          <t>METAL</t>
        </is>
      </c>
      <c r="L2210">
        <f>_xlfn.XLOOKUP(Tableau1[[#This Row],[TYPE DE PIECE]],Tableau4[MATIERE],Tableau4[SHORT TYPE],"",0,1)</f>
        <v/>
      </c>
      <c r="N2210">
        <f>IF(ISERR(FIND("DECOUPE",Tableau1[[#This Row],[DESIGNATION]])),"","NEED REF")</f>
        <v/>
      </c>
    </row>
    <row r="2211">
      <c r="B2211" t="n">
        <v>34411790</v>
      </c>
      <c r="C2211" s="2" t="n">
        <v>45141</v>
      </c>
      <c r="D2211" t="inlineStr">
        <is>
          <t>SPEC</t>
        </is>
      </c>
      <c r="E2211">
        <f>_xlfn.CONCAT(Tableau1[[#This Row],[SHORT TYPE]]," ",Tableau1[[#This Row],[NUMERO]]," ",Tableau1[[#This Row],[GAMME]]," ",Tableau1[[#This Row],[TYPE PRODUIT]]," ",Tableau1[[#This Row],[PUISSANCE]])</f>
        <v/>
      </c>
      <c r="H2211" t="inlineStr">
        <is>
          <t>GROUND BOX</t>
        </is>
      </c>
      <c r="J2211" t="inlineStr">
        <is>
          <t>MATRION</t>
        </is>
      </c>
      <c r="K2211" t="inlineStr">
        <is>
          <t>ETIQUETTE</t>
        </is>
      </c>
      <c r="L2211">
        <f>_xlfn.XLOOKUP(Tableau1[[#This Row],[TYPE DE PIECE]],Tableau4[MATIERE],Tableau4[SHORT TYPE],"",0,1)</f>
        <v/>
      </c>
      <c r="N2211">
        <f>IF(ISERR(FIND("DECOUPE",Tableau1[[#This Row],[DESIGNATION]])),"","NEED REF")</f>
        <v/>
      </c>
    </row>
    <row r="2212">
      <c r="B2212" t="n">
        <v>34411789</v>
      </c>
      <c r="C2212" s="2" t="n">
        <v>45140</v>
      </c>
      <c r="D2212" t="inlineStr">
        <is>
          <t>SPEC</t>
        </is>
      </c>
      <c r="E2212">
        <f>_xlfn.CONCAT(Tableau1[[#This Row],[SHORT TYPE]]," ",Tableau1[[#This Row],[NUMERO]]," ",Tableau1[[#This Row],[GAMME]]," ",Tableau1[[#This Row],[TYPE PRODUIT]]," ",Tableau1[[#This Row],[PUISSANCE]])</f>
        <v/>
      </c>
      <c r="H2212" t="inlineStr">
        <is>
          <t>STS</t>
        </is>
      </c>
      <c r="I2212" t="inlineStr">
        <is>
          <t>1250A</t>
        </is>
      </c>
      <c r="J2212" t="inlineStr">
        <is>
          <t>MATRION</t>
        </is>
      </c>
      <c r="K2212" t="inlineStr">
        <is>
          <t>PLASTIQUE</t>
        </is>
      </c>
      <c r="L2212">
        <f>_xlfn.XLOOKUP(Tableau1[[#This Row],[TYPE DE PIECE]],Tableau4[MATIERE],Tableau4[SHORT TYPE],"",0,1)</f>
        <v/>
      </c>
      <c r="N2212">
        <f>IF(ISERR(FIND("DECOUPE",Tableau1[[#This Row],[DESIGNATION]])),"","NEED REF")</f>
        <v/>
      </c>
    </row>
    <row r="2213">
      <c r="B2213" t="n">
        <v>34411788</v>
      </c>
      <c r="C2213" s="2" t="n">
        <v>45140</v>
      </c>
      <c r="D2213" t="inlineStr">
        <is>
          <t>SPEC</t>
        </is>
      </c>
      <c r="E2213">
        <f>_xlfn.CONCAT(Tableau1[[#This Row],[SHORT TYPE]]," ",Tableau1[[#This Row],[NUMERO]]," ",Tableau1[[#This Row],[GAMME]]," ",Tableau1[[#This Row],[TYPE PRODUIT]]," ",Tableau1[[#This Row],[PUISSANCE]])</f>
        <v/>
      </c>
      <c r="H2213" t="inlineStr">
        <is>
          <t>STS</t>
        </is>
      </c>
      <c r="I2213" t="inlineStr">
        <is>
          <t>1250A</t>
        </is>
      </c>
      <c r="J2213" t="inlineStr">
        <is>
          <t>MATRION</t>
        </is>
      </c>
      <c r="K2213" t="inlineStr">
        <is>
          <t>METAL</t>
        </is>
      </c>
      <c r="L2213">
        <f>_xlfn.XLOOKUP(Tableau1[[#This Row],[TYPE DE PIECE]],Tableau4[MATIERE],Tableau4[SHORT TYPE],"",0,1)</f>
        <v/>
      </c>
      <c r="N2213">
        <f>IF(ISERR(FIND("DECOUPE",Tableau1[[#This Row],[DESIGNATION]])),"","NEED REF")</f>
        <v/>
      </c>
    </row>
    <row r="2214">
      <c r="B2214" t="n">
        <v>34411787</v>
      </c>
      <c r="C2214" s="2" t="n">
        <v>45140</v>
      </c>
      <c r="D2214" t="inlineStr">
        <is>
          <t>SPEC</t>
        </is>
      </c>
      <c r="E2214">
        <f>_xlfn.CONCAT(Tableau1[[#This Row],[SHORT TYPE]]," ",Tableau1[[#This Row],[NUMERO]]," ",Tableau1[[#This Row],[GAMME]]," ",Tableau1[[#This Row],[TYPE PRODUIT]]," ",Tableau1[[#This Row],[PUISSANCE]])</f>
        <v/>
      </c>
      <c r="H2214" t="inlineStr">
        <is>
          <t>STS</t>
        </is>
      </c>
      <c r="I2214" t="inlineStr">
        <is>
          <t>1250A</t>
        </is>
      </c>
      <c r="J2214" t="inlineStr">
        <is>
          <t>MATRION</t>
        </is>
      </c>
      <c r="K2214" t="inlineStr">
        <is>
          <t>METAL</t>
        </is>
      </c>
      <c r="L2214">
        <f>_xlfn.XLOOKUP(Tableau1[[#This Row],[TYPE DE PIECE]],Tableau4[MATIERE],Tableau4[SHORT TYPE],"",0,1)</f>
        <v/>
      </c>
      <c r="N2214">
        <f>IF(ISERR(FIND("DECOUPE",Tableau1[[#This Row],[DESIGNATION]])),"","NEED REF")</f>
        <v/>
      </c>
    </row>
    <row r="2215">
      <c r="B2215" t="n">
        <v>34411786</v>
      </c>
      <c r="C2215" s="2" t="n">
        <v>45140</v>
      </c>
      <c r="D2215" t="inlineStr">
        <is>
          <t>SPEC</t>
        </is>
      </c>
      <c r="E2215">
        <f>_xlfn.CONCAT(Tableau1[[#This Row],[SHORT TYPE]]," ",Tableau1[[#This Row],[NUMERO]]," ",Tableau1[[#This Row],[GAMME]]," ",Tableau1[[#This Row],[TYPE PRODUIT]]," ",Tableau1[[#This Row],[PUISSANCE]])</f>
        <v/>
      </c>
      <c r="H2215" t="inlineStr">
        <is>
          <t>STS</t>
        </is>
      </c>
      <c r="I2215" t="inlineStr">
        <is>
          <t>1250A</t>
        </is>
      </c>
      <c r="J2215" t="inlineStr">
        <is>
          <t>MATRION</t>
        </is>
      </c>
      <c r="K2215" t="inlineStr">
        <is>
          <t>METAL</t>
        </is>
      </c>
      <c r="L2215">
        <f>_xlfn.XLOOKUP(Tableau1[[#This Row],[TYPE DE PIECE]],Tableau4[MATIERE],Tableau4[SHORT TYPE],"",0,1)</f>
        <v/>
      </c>
      <c r="N2215">
        <f>IF(ISERR(FIND("DECOUPE",Tableau1[[#This Row],[DESIGNATION]])),"","NEED REF")</f>
        <v/>
      </c>
    </row>
    <row r="2216">
      <c r="B2216" t="n">
        <v>34411785</v>
      </c>
      <c r="C2216" s="2" t="n">
        <v>45140</v>
      </c>
      <c r="D2216" t="inlineStr">
        <is>
          <t>SPEC</t>
        </is>
      </c>
      <c r="E2216">
        <f>_xlfn.CONCAT(Tableau1[[#This Row],[SHORT TYPE]]," ",Tableau1[[#This Row],[NUMERO]]," ",Tableau1[[#This Row],[GAMME]]," ",Tableau1[[#This Row],[TYPE PRODUIT]]," ",Tableau1[[#This Row],[PUISSANCE]])</f>
        <v/>
      </c>
      <c r="H2216" t="inlineStr">
        <is>
          <t>STS</t>
        </is>
      </c>
      <c r="I2216" t="inlineStr">
        <is>
          <t>1250A</t>
        </is>
      </c>
      <c r="J2216" t="inlineStr">
        <is>
          <t>MATRION</t>
        </is>
      </c>
      <c r="K2216" t="inlineStr">
        <is>
          <t>METAL</t>
        </is>
      </c>
      <c r="L2216">
        <f>_xlfn.XLOOKUP(Tableau1[[#This Row],[TYPE DE PIECE]],Tableau4[MATIERE],Tableau4[SHORT TYPE],"",0,1)</f>
        <v/>
      </c>
      <c r="N2216">
        <f>IF(ISERR(FIND("DECOUPE",Tableau1[[#This Row],[DESIGNATION]])),"","NEED REF")</f>
        <v/>
      </c>
    </row>
    <row r="2217">
      <c r="B2217" t="n">
        <v>34411784</v>
      </c>
      <c r="C2217" s="2" t="n">
        <v>45140</v>
      </c>
      <c r="D2217" t="inlineStr">
        <is>
          <t>SPEC</t>
        </is>
      </c>
      <c r="E2217" t="inlineStr">
        <is>
          <t>SE 34411784 CHASSIS STS1250A TOP</t>
        </is>
      </c>
      <c r="H2217" t="inlineStr">
        <is>
          <t>STS</t>
        </is>
      </c>
      <c r="I2217" t="inlineStr">
        <is>
          <t>1250A</t>
        </is>
      </c>
      <c r="J2217" t="inlineStr">
        <is>
          <t>MATRION</t>
        </is>
      </c>
      <c r="K2217" t="inlineStr">
        <is>
          <t>NOMENCLATURE</t>
        </is>
      </c>
      <c r="L2217">
        <f>_xlfn.XLOOKUP(Tableau1[[#This Row],[TYPE DE PIECE]],Tableau4[MATIERE],Tableau4[SHORT TYPE],"",0,1)</f>
        <v/>
      </c>
      <c r="N2217">
        <f>IF(ISERR(FIND("DECOUPE",Tableau1[[#This Row],[DESIGNATION]])),"","NEED REF")</f>
        <v/>
      </c>
    </row>
    <row r="2218">
      <c r="B2218" t="n">
        <v>34411783</v>
      </c>
      <c r="C2218" s="2" t="n">
        <v>45140</v>
      </c>
      <c r="D2218" t="inlineStr">
        <is>
          <t>SPEC</t>
        </is>
      </c>
      <c r="E2218">
        <f>_xlfn.CONCAT(Tableau1[[#This Row],[SHORT TYPE]]," ",Tableau1[[#This Row],[NUMERO]]," ",Tableau1[[#This Row],[GAMME]]," ",Tableau1[[#This Row],[TYPE PRODUIT]]," ",Tableau1[[#This Row],[PUISSANCE]])</f>
        <v/>
      </c>
      <c r="H2218" t="inlineStr">
        <is>
          <t>STS</t>
        </is>
      </c>
      <c r="I2218" t="inlineStr">
        <is>
          <t>1250A</t>
        </is>
      </c>
      <c r="J2218" t="inlineStr">
        <is>
          <t>MATRION</t>
        </is>
      </c>
      <c r="K2218" t="inlineStr">
        <is>
          <t>PLASTIQUE</t>
        </is>
      </c>
      <c r="L2218">
        <f>_xlfn.XLOOKUP(Tableau1[[#This Row],[TYPE DE PIECE]],Tableau4[MATIERE],Tableau4[SHORT TYPE],"",0,1)</f>
        <v/>
      </c>
      <c r="N2218">
        <f>IF(ISERR(FIND("DECOUPE",Tableau1[[#This Row],[DESIGNATION]])),"","NEED REF")</f>
        <v/>
      </c>
    </row>
    <row r="2219">
      <c r="B2219" t="n">
        <v>34411782</v>
      </c>
      <c r="C2219" s="2" t="n">
        <v>45140</v>
      </c>
      <c r="D2219" t="inlineStr">
        <is>
          <t>SPEC</t>
        </is>
      </c>
      <c r="E2219">
        <f>_xlfn.CONCAT(Tableau1[[#This Row],[SHORT TYPE]]," ",Tableau1[[#This Row],[NUMERO]]," ",Tableau1[[#This Row],[GAMME]]," ",Tableau1[[#This Row],[TYPE PRODUIT]]," ",Tableau1[[#This Row],[PUISSANCE]])</f>
        <v/>
      </c>
      <c r="H2219" t="inlineStr">
        <is>
          <t>STS</t>
        </is>
      </c>
      <c r="I2219" t="inlineStr">
        <is>
          <t>1250A</t>
        </is>
      </c>
      <c r="J2219" t="inlineStr">
        <is>
          <t>MATRION</t>
        </is>
      </c>
      <c r="K2219" t="inlineStr">
        <is>
          <t>PLASTIQUE</t>
        </is>
      </c>
      <c r="L2219">
        <f>_xlfn.XLOOKUP(Tableau1[[#This Row],[TYPE DE PIECE]],Tableau4[MATIERE],Tableau4[SHORT TYPE],"",0,1)</f>
        <v/>
      </c>
      <c r="N2219">
        <f>IF(ISERR(FIND("DECOUPE",Tableau1[[#This Row],[DESIGNATION]])),"","NEED REF")</f>
        <v/>
      </c>
    </row>
    <row r="2220">
      <c r="B2220" t="n">
        <v>34411781</v>
      </c>
      <c r="C2220" s="2" t="n">
        <v>45140</v>
      </c>
      <c r="D2220" t="inlineStr">
        <is>
          <t>SPEC</t>
        </is>
      </c>
      <c r="E2220">
        <f>_xlfn.CONCAT(Tableau1[[#This Row],[SHORT TYPE]]," ",Tableau1[[#This Row],[NUMERO]]," ",Tableau1[[#This Row],[GAMME]]," ",Tableau1[[#This Row],[TYPE PRODUIT]]," ",Tableau1[[#This Row],[PUISSANCE]])</f>
        <v/>
      </c>
      <c r="H2220" t="inlineStr">
        <is>
          <t>STS</t>
        </is>
      </c>
      <c r="I2220" t="inlineStr">
        <is>
          <t>1250A</t>
        </is>
      </c>
      <c r="J2220" t="inlineStr">
        <is>
          <t>MATRION</t>
        </is>
      </c>
      <c r="K2220" t="inlineStr">
        <is>
          <t>CUIVRE</t>
        </is>
      </c>
      <c r="L2220">
        <f>_xlfn.XLOOKUP(Tableau1[[#This Row],[TYPE DE PIECE]],Tableau4[MATIERE],Tableau4[SHORT TYPE],"",0,1)</f>
        <v/>
      </c>
      <c r="N2220">
        <f>IF(ISERR(FIND("DECOUPE",Tableau1[[#This Row],[DESIGNATION]])),"","NEED REF")</f>
        <v/>
      </c>
    </row>
    <row r="2221">
      <c r="B2221" t="n">
        <v>34411780</v>
      </c>
      <c r="C2221" s="2" t="n">
        <v>45140</v>
      </c>
      <c r="D2221" t="inlineStr">
        <is>
          <t>SPEC</t>
        </is>
      </c>
      <c r="E2221">
        <f>_xlfn.CONCAT(Tableau1[[#This Row],[SHORT TYPE]]," ",Tableau1[[#This Row],[NUMERO]]," ",Tableau1[[#This Row],[GAMME]]," ",Tableau1[[#This Row],[TYPE PRODUIT]]," ",Tableau1[[#This Row],[PUISSANCE]])</f>
        <v/>
      </c>
      <c r="H2221" t="inlineStr">
        <is>
          <t>STS</t>
        </is>
      </c>
      <c r="I2221" t="inlineStr">
        <is>
          <t>1250A</t>
        </is>
      </c>
      <c r="J2221" t="inlineStr">
        <is>
          <t>MATRION</t>
        </is>
      </c>
      <c r="K2221" t="inlineStr">
        <is>
          <t>CUIVRE</t>
        </is>
      </c>
      <c r="L2221">
        <f>_xlfn.XLOOKUP(Tableau1[[#This Row],[TYPE DE PIECE]],Tableau4[MATIERE],Tableau4[SHORT TYPE],"",0,1)</f>
        <v/>
      </c>
      <c r="N2221">
        <f>IF(ISERR(FIND("DECOUPE",Tableau1[[#This Row],[DESIGNATION]])),"","NEED REF")</f>
        <v/>
      </c>
    </row>
    <row r="2222">
      <c r="B2222" t="n">
        <v>34411779</v>
      </c>
      <c r="C2222" s="2" t="n">
        <v>45139</v>
      </c>
      <c r="D2222" t="inlineStr">
        <is>
          <t>SPEC</t>
        </is>
      </c>
      <c r="E2222" t="inlineStr">
        <is>
          <t>WOOD 34411779  PALETTE CELLULE 2100x1000 PLANCHER CROISE</t>
        </is>
      </c>
      <c r="H2222" t="inlineStr">
        <is>
          <t>STS</t>
        </is>
      </c>
      <c r="I2222" t="inlineStr">
        <is>
          <t>1250A</t>
        </is>
      </c>
      <c r="J2222" t="inlineStr">
        <is>
          <t>MATRION</t>
        </is>
      </c>
      <c r="K2222" t="inlineStr">
        <is>
          <t>BOIS</t>
        </is>
      </c>
      <c r="L2222">
        <f>_xlfn.XLOOKUP(Tableau1[[#This Row],[TYPE DE PIECE]],Tableau4[MATIERE],Tableau4[SHORT TYPE],"",0,1)</f>
        <v/>
      </c>
      <c r="N2222">
        <f>IF(ISERR(FIND("DECOUPE",Tableau1[[#This Row],[DESIGNATION]])),"","NEED REF")</f>
        <v/>
      </c>
    </row>
    <row r="2223">
      <c r="B2223" t="n">
        <v>34411778</v>
      </c>
      <c r="C2223" s="2" t="n">
        <v>45138</v>
      </c>
      <c r="D2223" t="inlineStr">
        <is>
          <t>SPEC</t>
        </is>
      </c>
      <c r="E2223">
        <f>_xlfn.CONCAT(Tableau1[[#This Row],[SHORT TYPE]]," ",Tableau1[[#This Row],[NUMERO]]," ",Tableau1[[#This Row],[GAMME]]," ",Tableau1[[#This Row],[TYPE PRODUIT]]," ",Tableau1[[#This Row],[PUISSANCE]])</f>
        <v/>
      </c>
      <c r="H2223" t="inlineStr">
        <is>
          <t>STS</t>
        </is>
      </c>
      <c r="I2223" t="inlineStr">
        <is>
          <t>1250A</t>
        </is>
      </c>
      <c r="J2223" t="inlineStr">
        <is>
          <t>MATRION</t>
        </is>
      </c>
      <c r="K2223" t="inlineStr">
        <is>
          <t>CUIVRE</t>
        </is>
      </c>
      <c r="L2223">
        <f>_xlfn.XLOOKUP(Tableau1[[#This Row],[TYPE DE PIECE]],Tableau4[MATIERE],Tableau4[SHORT TYPE],"",0,1)</f>
        <v/>
      </c>
      <c r="N2223">
        <f>IF(ISERR(FIND("DECOUPE",Tableau1[[#This Row],[DESIGNATION]])),"","NEED REF")</f>
        <v/>
      </c>
    </row>
    <row r="2224">
      <c r="B2224" t="n">
        <v>34411777</v>
      </c>
      <c r="C2224" s="2" t="n">
        <v>45138</v>
      </c>
      <c r="D2224" t="inlineStr">
        <is>
          <t>SPEC</t>
        </is>
      </c>
      <c r="E2224" t="inlineStr">
        <is>
          <t>COP 34411777  STS 1250A FLEXIBAR ERICO LIAISON 3</t>
        </is>
      </c>
      <c r="H2224" t="inlineStr">
        <is>
          <t>STS</t>
        </is>
      </c>
      <c r="I2224" t="inlineStr">
        <is>
          <t>1250A</t>
        </is>
      </c>
      <c r="J2224" t="inlineStr">
        <is>
          <t>MATRION</t>
        </is>
      </c>
      <c r="K2224" t="inlineStr">
        <is>
          <t>CUIVRE</t>
        </is>
      </c>
      <c r="L2224">
        <f>_xlfn.XLOOKUP(Tableau1[[#This Row],[TYPE DE PIECE]],Tableau4[MATIERE],Tableau4[SHORT TYPE],"",0,1)</f>
        <v/>
      </c>
      <c r="N2224">
        <f>IF(ISERR(FIND("DECOUPE",Tableau1[[#This Row],[DESIGNATION]])),"","NEED REF")</f>
        <v/>
      </c>
    </row>
    <row r="2225">
      <c r="B2225" t="n">
        <v>34411776</v>
      </c>
      <c r="C2225" s="2" t="n">
        <v>45138</v>
      </c>
      <c r="D2225" t="inlineStr">
        <is>
          <t>SPEC</t>
        </is>
      </c>
      <c r="E2225" t="inlineStr">
        <is>
          <t>COP 34411776  STS 1250A FLEXIBAR ERICO LIAISON 2</t>
        </is>
      </c>
      <c r="H2225" t="inlineStr">
        <is>
          <t>STS</t>
        </is>
      </c>
      <c r="I2225" t="inlineStr">
        <is>
          <t>1250A</t>
        </is>
      </c>
      <c r="J2225" t="inlineStr">
        <is>
          <t>MATRION</t>
        </is>
      </c>
      <c r="K2225" t="inlineStr">
        <is>
          <t>CUIVRE</t>
        </is>
      </c>
      <c r="L2225">
        <f>_xlfn.XLOOKUP(Tableau1[[#This Row],[TYPE DE PIECE]],Tableau4[MATIERE],Tableau4[SHORT TYPE],"",0,1)</f>
        <v/>
      </c>
      <c r="N2225">
        <f>IF(ISERR(FIND("DECOUPE",Tableau1[[#This Row],[DESIGNATION]])),"","NEED REF")</f>
        <v/>
      </c>
    </row>
    <row r="2226">
      <c r="B2226" t="n">
        <v>34411775</v>
      </c>
      <c r="C2226" s="2" t="n">
        <v>45138</v>
      </c>
      <c r="D2226" t="inlineStr">
        <is>
          <t>SPEC</t>
        </is>
      </c>
      <c r="E2226" t="inlineStr">
        <is>
          <t>COP 34411775  STS 1250A FLEXIBAR ERICO LIAISON 1</t>
        </is>
      </c>
      <c r="H2226" t="inlineStr">
        <is>
          <t>STS</t>
        </is>
      </c>
      <c r="I2226" t="inlineStr">
        <is>
          <t>1250A</t>
        </is>
      </c>
      <c r="J2226" t="inlineStr">
        <is>
          <t>MATRION</t>
        </is>
      </c>
      <c r="K2226" t="inlineStr">
        <is>
          <t>CUIVRE</t>
        </is>
      </c>
      <c r="L2226">
        <f>_xlfn.XLOOKUP(Tableau1[[#This Row],[TYPE DE PIECE]],Tableau4[MATIERE],Tableau4[SHORT TYPE],"",0,1)</f>
        <v/>
      </c>
      <c r="N2226">
        <f>IF(ISERR(FIND("DECOUPE",Tableau1[[#This Row],[DESIGNATION]])),"","NEED REF")</f>
        <v/>
      </c>
    </row>
    <row r="2227">
      <c r="B2227" t="n">
        <v>34411774</v>
      </c>
      <c r="C2227" s="2" t="n">
        <v>45138</v>
      </c>
      <c r="D2227" t="inlineStr">
        <is>
          <t>SPEC</t>
        </is>
      </c>
      <c r="E2227" t="inlineStr">
        <is>
          <t>COP 34411774  STS 1250A FLEXIBAR ERICO BYPASS</t>
        </is>
      </c>
      <c r="H2227" t="inlineStr">
        <is>
          <t>STS</t>
        </is>
      </c>
      <c r="I2227" t="inlineStr">
        <is>
          <t>1250A</t>
        </is>
      </c>
      <c r="J2227" t="inlineStr">
        <is>
          <t>MATRION</t>
        </is>
      </c>
      <c r="K2227" t="inlineStr">
        <is>
          <t>CUIVRE</t>
        </is>
      </c>
      <c r="L2227">
        <f>_xlfn.XLOOKUP(Tableau1[[#This Row],[TYPE DE PIECE]],Tableau4[MATIERE],Tableau4[SHORT TYPE],"",0,1)</f>
        <v/>
      </c>
      <c r="N2227">
        <f>IF(ISERR(FIND("DECOUPE",Tableau1[[#This Row],[DESIGNATION]])),"","NEED REF")</f>
        <v/>
      </c>
    </row>
    <row r="2228">
      <c r="B2228" t="n">
        <v>34411773</v>
      </c>
      <c r="C2228" s="2" t="n">
        <v>45135</v>
      </c>
      <c r="D2228" t="inlineStr">
        <is>
          <t>SPEC</t>
        </is>
      </c>
      <c r="E2228" t="inlineStr">
        <is>
          <t>SMT 34411773  STS 1250A PLATINE BYPASS 3P TOP</t>
        </is>
      </c>
      <c r="H2228" t="inlineStr">
        <is>
          <t>STS</t>
        </is>
      </c>
      <c r="I2228" t="inlineStr">
        <is>
          <t>1250A</t>
        </is>
      </c>
      <c r="J2228" t="inlineStr">
        <is>
          <t>MATRION</t>
        </is>
      </c>
      <c r="K2228" t="inlineStr">
        <is>
          <t>METAL</t>
        </is>
      </c>
      <c r="L2228">
        <f>_xlfn.XLOOKUP(Tableau1[[#This Row],[TYPE DE PIECE]],Tableau4[MATIERE],Tableau4[SHORT TYPE],"",0,1)</f>
        <v/>
      </c>
      <c r="N2228">
        <f>IF(ISERR(FIND("DECOUPE",Tableau1[[#This Row],[DESIGNATION]])),"","NEED REF")</f>
        <v/>
      </c>
    </row>
    <row r="2229">
      <c r="B2229" t="n">
        <v>34411772</v>
      </c>
      <c r="C2229" s="2" t="n">
        <v>45135</v>
      </c>
      <c r="D2229" t="inlineStr">
        <is>
          <t>SPEC</t>
        </is>
      </c>
      <c r="E2229" t="inlineStr">
        <is>
          <t>SMT 34411772  STS 1250A PLATINE BYPASS 3P BOTTOM</t>
        </is>
      </c>
      <c r="H2229" t="inlineStr">
        <is>
          <t>STS</t>
        </is>
      </c>
      <c r="I2229" t="inlineStr">
        <is>
          <t>1250A</t>
        </is>
      </c>
      <c r="J2229" t="inlineStr">
        <is>
          <t>MATRION</t>
        </is>
      </c>
      <c r="K2229" t="inlineStr">
        <is>
          <t>METAL</t>
        </is>
      </c>
      <c r="L2229">
        <f>_xlfn.XLOOKUP(Tableau1[[#This Row],[TYPE DE PIECE]],Tableau4[MATIERE],Tableau4[SHORT TYPE],"",0,1)</f>
        <v/>
      </c>
      <c r="N2229">
        <f>IF(ISERR(FIND("DECOUPE",Tableau1[[#This Row],[DESIGNATION]])),"","NEED REF")</f>
        <v/>
      </c>
    </row>
    <row r="2230">
      <c r="B2230" t="n">
        <v>34411771</v>
      </c>
      <c r="C2230" s="2" t="n">
        <v>45135</v>
      </c>
      <c r="D2230" t="inlineStr">
        <is>
          <t>SPEC</t>
        </is>
      </c>
      <c r="E2230" t="inlineStr">
        <is>
          <t>SMT 34411771  STS 1250A PLATINE BYPASS 4P TOP</t>
        </is>
      </c>
      <c r="H2230" t="inlineStr">
        <is>
          <t>STS</t>
        </is>
      </c>
      <c r="I2230" t="inlineStr">
        <is>
          <t>1250A</t>
        </is>
      </c>
      <c r="J2230" t="inlineStr">
        <is>
          <t>MATRION</t>
        </is>
      </c>
      <c r="K2230" t="inlineStr">
        <is>
          <t>METAL</t>
        </is>
      </c>
      <c r="L2230">
        <f>_xlfn.XLOOKUP(Tableau1[[#This Row],[TYPE DE PIECE]],Tableau4[MATIERE],Tableau4[SHORT TYPE],"",0,1)</f>
        <v/>
      </c>
      <c r="N2230">
        <f>IF(ISERR(FIND("DECOUPE",Tableau1[[#This Row],[DESIGNATION]])),"","NEED REF")</f>
        <v/>
      </c>
    </row>
    <row r="2231">
      <c r="B2231" t="n">
        <v>34411770</v>
      </c>
      <c r="C2231" s="2" t="n">
        <v>45135</v>
      </c>
      <c r="D2231" t="inlineStr">
        <is>
          <t>SPEC</t>
        </is>
      </c>
      <c r="E2231" t="inlineStr">
        <is>
          <t>SMT 34411770  STS 1250A PLATINE BYPASS 4P BOTTOM</t>
        </is>
      </c>
      <c r="H2231" t="inlineStr">
        <is>
          <t>STS</t>
        </is>
      </c>
      <c r="I2231" t="inlineStr">
        <is>
          <t>1250A</t>
        </is>
      </c>
      <c r="J2231" t="inlineStr">
        <is>
          <t>MATRION</t>
        </is>
      </c>
      <c r="K2231" t="inlineStr">
        <is>
          <t>METAL</t>
        </is>
      </c>
      <c r="L2231">
        <f>_xlfn.XLOOKUP(Tableau1[[#This Row],[TYPE DE PIECE]],Tableau4[MATIERE],Tableau4[SHORT TYPE],"",0,1)</f>
        <v/>
      </c>
      <c r="N2231">
        <f>IF(ISERR(FIND("DECOUPE",Tableau1[[#This Row],[DESIGNATION]])),"","NEED REF")</f>
        <v/>
      </c>
    </row>
    <row r="2232">
      <c r="B2232" t="n">
        <v>34411769</v>
      </c>
      <c r="C2232" s="2" t="n">
        <v>45134</v>
      </c>
      <c r="D2232" t="inlineStr">
        <is>
          <t>SPEC</t>
        </is>
      </c>
      <c r="E2232">
        <f>_xlfn.CONCAT(Tableau1[[#This Row],[SHORT TYPE]]," ",Tableau1[[#This Row],[NUMERO]]," ",Tableau1[[#This Row],[GAMME]]," ",Tableau1[[#This Row],[TYPE PRODUIT]]," ",Tableau1[[#This Row],[PUISSANCE]])</f>
        <v/>
      </c>
      <c r="G2232" t="inlineStr">
        <is>
          <t>GVS/GVM</t>
        </is>
      </c>
      <c r="H2232" t="inlineStr">
        <is>
          <t>DC PULL</t>
        </is>
      </c>
      <c r="I2232" t="inlineStr">
        <is>
          <t>500A</t>
        </is>
      </c>
      <c r="J2232" t="inlineStr">
        <is>
          <t>MATRION</t>
        </is>
      </c>
      <c r="K2232" t="inlineStr">
        <is>
          <t>PLASTIQUE</t>
        </is>
      </c>
      <c r="L2232">
        <f>_xlfn.XLOOKUP(Tableau1[[#This Row],[TYPE DE PIECE]],Tableau4[MATIERE],Tableau4[SHORT TYPE],"",0,1)</f>
        <v/>
      </c>
      <c r="N2232">
        <f>IF(ISERR(FIND("DECOUPE",Tableau1[[#This Row],[DESIGNATION]])),"","NEED REF")</f>
        <v/>
      </c>
    </row>
    <row r="2233">
      <c r="B2233" t="n">
        <v>34411768</v>
      </c>
      <c r="C2233" s="2" t="n">
        <v>45134</v>
      </c>
      <c r="D2233" t="inlineStr">
        <is>
          <t>SPEC</t>
        </is>
      </c>
      <c r="E2233">
        <f>_xlfn.CONCAT(Tableau1[[#This Row],[SHORT TYPE]]," ",Tableau1[[#This Row],[NUMERO]]," ",Tableau1[[#This Row],[GAMME]]," ",Tableau1[[#This Row],[TYPE PRODUIT]]," ",Tableau1[[#This Row],[PUISSANCE]])</f>
        <v/>
      </c>
      <c r="G2233" t="inlineStr">
        <is>
          <t>GVS/GVM</t>
        </is>
      </c>
      <c r="H2233" t="inlineStr">
        <is>
          <t>DC PULL</t>
        </is>
      </c>
      <c r="I2233" t="inlineStr">
        <is>
          <t>500A</t>
        </is>
      </c>
      <c r="J2233" t="inlineStr">
        <is>
          <t>MATRION</t>
        </is>
      </c>
      <c r="K2233" t="inlineStr">
        <is>
          <t>PLASTIQUE</t>
        </is>
      </c>
      <c r="L2233">
        <f>_xlfn.XLOOKUP(Tableau1[[#This Row],[TYPE DE PIECE]],Tableau4[MATIERE],Tableau4[SHORT TYPE],"",0,1)</f>
        <v/>
      </c>
      <c r="N2233">
        <f>IF(ISERR(FIND("DECOUPE",Tableau1[[#This Row],[DESIGNATION]])),"","NEED REF")</f>
        <v/>
      </c>
    </row>
    <row r="2234">
      <c r="B2234" t="n">
        <v>34411767</v>
      </c>
      <c r="C2234" s="2" t="n">
        <v>45134</v>
      </c>
      <c r="D2234" t="inlineStr">
        <is>
          <t>SPEC</t>
        </is>
      </c>
      <c r="E2234">
        <f>_xlfn.CONCAT(Tableau1[[#This Row],[SHORT TYPE]]," ",Tableau1[[#This Row],[NUMERO]]," ",Tableau1[[#This Row],[GAMME]]," ",Tableau1[[#This Row],[TYPE PRODUIT]]," ",Tableau1[[#This Row],[PUISSANCE]])</f>
        <v/>
      </c>
      <c r="G2234" t="inlineStr">
        <is>
          <t>GVS/GVM</t>
        </is>
      </c>
      <c r="H2234" t="inlineStr">
        <is>
          <t>DC PULL</t>
        </is>
      </c>
      <c r="I2234" t="inlineStr">
        <is>
          <t>500A</t>
        </is>
      </c>
      <c r="J2234" t="inlineStr">
        <is>
          <t>MATRION</t>
        </is>
      </c>
      <c r="K2234" t="inlineStr">
        <is>
          <t>METAL</t>
        </is>
      </c>
      <c r="L2234">
        <f>_xlfn.XLOOKUP(Tableau1[[#This Row],[TYPE DE PIECE]],Tableau4[MATIERE],Tableau4[SHORT TYPE],"",0,1)</f>
        <v/>
      </c>
      <c r="N2234">
        <f>IF(ISERR(FIND("DECOUPE",Tableau1[[#This Row],[DESIGNATION]])),"","NEED REF")</f>
        <v/>
      </c>
    </row>
    <row r="2235">
      <c r="B2235" t="n">
        <v>34411766</v>
      </c>
      <c r="C2235" s="2" t="n">
        <v>45134</v>
      </c>
      <c r="D2235" t="inlineStr">
        <is>
          <t>SPEC</t>
        </is>
      </c>
      <c r="E2235">
        <f>_xlfn.CONCAT(Tableau1[[#This Row],[SHORT TYPE]]," ",Tableau1[[#This Row],[NUMERO]]," ",Tableau1[[#This Row],[GAMME]]," ",Tableau1[[#This Row],[TYPE PRODUIT]]," ",Tableau1[[#This Row],[PUISSANCE]])</f>
        <v/>
      </c>
      <c r="G2235" t="inlineStr">
        <is>
          <t>GVS/GVM</t>
        </is>
      </c>
      <c r="H2235" t="inlineStr">
        <is>
          <t>DC PULL</t>
        </is>
      </c>
      <c r="I2235" t="inlineStr">
        <is>
          <t>500A</t>
        </is>
      </c>
      <c r="J2235" t="inlineStr">
        <is>
          <t>MATRION</t>
        </is>
      </c>
      <c r="K2235" t="inlineStr">
        <is>
          <t>METAL</t>
        </is>
      </c>
      <c r="L2235">
        <f>_xlfn.XLOOKUP(Tableau1[[#This Row],[TYPE DE PIECE]],Tableau4[MATIERE],Tableau4[SHORT TYPE],"",0,1)</f>
        <v/>
      </c>
      <c r="N2235">
        <f>IF(ISERR(FIND("DECOUPE",Tableau1[[#This Row],[DESIGNATION]])),"","NEED REF")</f>
        <v/>
      </c>
    </row>
    <row r="2236">
      <c r="B2236" t="n">
        <v>34411765</v>
      </c>
      <c r="C2236" s="2" t="n">
        <v>45133</v>
      </c>
      <c r="D2236" t="inlineStr">
        <is>
          <t>SPEC</t>
        </is>
      </c>
      <c r="E2236">
        <f>_xlfn.CONCAT(Tableau1[[#This Row],[SHORT TYPE]]," ",Tableau1[[#This Row],[NUMERO]]," ",Tableau1[[#This Row],[GAMME]]," ",Tableau1[[#This Row],[TYPE PRODUIT]]," ",Tableau1[[#This Row],[PUISSANCE]])</f>
        <v/>
      </c>
      <c r="H2236" t="inlineStr">
        <is>
          <t>GROUND BOX</t>
        </is>
      </c>
      <c r="J2236" t="inlineStr">
        <is>
          <t>MATRION</t>
        </is>
      </c>
      <c r="K2236" t="inlineStr">
        <is>
          <t>ETIQUETTE</t>
        </is>
      </c>
      <c r="L2236">
        <f>_xlfn.XLOOKUP(Tableau1[[#This Row],[TYPE DE PIECE]],Tableau4[MATIERE],Tableau4[SHORT TYPE],"",0,1)</f>
        <v/>
      </c>
      <c r="N2236">
        <f>IF(ISERR(FIND("DECOUPE",Tableau1[[#This Row],[DESIGNATION]])),"","NEED REF")</f>
        <v/>
      </c>
    </row>
    <row r="2237">
      <c r="B2237" t="n">
        <v>34411764</v>
      </c>
      <c r="C2237" s="2" t="n">
        <v>45133</v>
      </c>
      <c r="D2237" t="inlineStr">
        <is>
          <t>SPEC</t>
        </is>
      </c>
      <c r="E2237">
        <f>_xlfn.CONCAT(Tableau1[[#This Row],[SHORT TYPE]]," ",Tableau1[[#This Row],[NUMERO]]," ",Tableau1[[#This Row],[GAMME]]," ",Tableau1[[#This Row],[TYPE PRODUIT]]," ",Tableau1[[#This Row],[PUISSANCE]])</f>
        <v/>
      </c>
      <c r="H2237" t="inlineStr">
        <is>
          <t>GROUND BOX</t>
        </is>
      </c>
      <c r="J2237" t="inlineStr">
        <is>
          <t>MATRION</t>
        </is>
      </c>
      <c r="K2237" t="inlineStr">
        <is>
          <t>ATELIER</t>
        </is>
      </c>
      <c r="L2237">
        <f>_xlfn.XLOOKUP(Tableau1[[#This Row],[TYPE DE PIECE]],Tableau4[MATIERE],Tableau4[SHORT TYPE],"",0,1)</f>
        <v/>
      </c>
      <c r="N2237">
        <f>IF(ISERR(FIND("DECOUPE",Tableau1[[#This Row],[DESIGNATION]])),"","NEED REF")</f>
        <v/>
      </c>
    </row>
    <row r="2238">
      <c r="B2238" t="n">
        <v>34411763</v>
      </c>
      <c r="C2238" s="2" t="n">
        <v>45133</v>
      </c>
      <c r="D2238" t="inlineStr">
        <is>
          <t>SPEC</t>
        </is>
      </c>
      <c r="E2238">
        <f>_xlfn.CONCAT(Tableau1[[#This Row],[SHORT TYPE]]," ",Tableau1[[#This Row],[NUMERO]]," ",Tableau1[[#This Row],[GAMME]]," ",Tableau1[[#This Row],[TYPE PRODUIT]]," ",Tableau1[[#This Row],[PUISSANCE]])</f>
        <v/>
      </c>
      <c r="H2238" t="inlineStr">
        <is>
          <t>GROUND BOX</t>
        </is>
      </c>
      <c r="J2238" t="inlineStr">
        <is>
          <t>MATRION</t>
        </is>
      </c>
      <c r="K2238" t="inlineStr">
        <is>
          <t>PLASTIQUE</t>
        </is>
      </c>
      <c r="L2238">
        <f>_xlfn.XLOOKUP(Tableau1[[#This Row],[TYPE DE PIECE]],Tableau4[MATIERE],Tableau4[SHORT TYPE],"",0,1)</f>
        <v/>
      </c>
      <c r="N2238">
        <f>IF(ISERR(FIND("DECOUPE",Tableau1[[#This Row],[DESIGNATION]])),"","NEED REF")</f>
        <v/>
      </c>
    </row>
    <row r="2239">
      <c r="B2239" t="n">
        <v>34411762</v>
      </c>
      <c r="C2239" s="2" t="n">
        <v>45133</v>
      </c>
      <c r="D2239" t="inlineStr">
        <is>
          <t>SPEC</t>
        </is>
      </c>
      <c r="E2239">
        <f>_xlfn.CONCAT(Tableau1[[#This Row],[SHORT TYPE]]," ",Tableau1[[#This Row],[NUMERO]]," ",Tableau1[[#This Row],[GAMME]]," ",Tableau1[[#This Row],[TYPE PRODUIT]]," ",Tableau1[[#This Row],[PUISSANCE]])</f>
        <v/>
      </c>
      <c r="H2239" t="inlineStr">
        <is>
          <t>GROUND BOX</t>
        </is>
      </c>
      <c r="J2239" t="inlineStr">
        <is>
          <t>MATRION</t>
        </is>
      </c>
      <c r="K2239" t="inlineStr">
        <is>
          <t>METAL</t>
        </is>
      </c>
      <c r="L2239">
        <f>_xlfn.XLOOKUP(Tableau1[[#This Row],[TYPE DE PIECE]],Tableau4[MATIERE],Tableau4[SHORT TYPE],"",0,1)</f>
        <v/>
      </c>
      <c r="N2239">
        <f>IF(ISERR(FIND("DECOUPE",Tableau1[[#This Row],[DESIGNATION]])),"","NEED REF")</f>
        <v/>
      </c>
    </row>
    <row r="2240">
      <c r="B2240" t="n">
        <v>34411761</v>
      </c>
      <c r="C2240" s="2" t="n">
        <v>45133</v>
      </c>
      <c r="D2240" t="inlineStr">
        <is>
          <t>SPEC</t>
        </is>
      </c>
      <c r="E2240">
        <f>_xlfn.CONCAT(Tableau1[[#This Row],[SHORT TYPE]]," ",Tableau1[[#This Row],[NUMERO]]," ",Tableau1[[#This Row],[GAMME]]," ",Tableau1[[#This Row],[TYPE PRODUIT]]," ",Tableau1[[#This Row],[PUISSANCE]])</f>
        <v/>
      </c>
      <c r="H2240" t="inlineStr">
        <is>
          <t>GROUND BOX</t>
        </is>
      </c>
      <c r="J2240" t="inlineStr">
        <is>
          <t>MATRION</t>
        </is>
      </c>
      <c r="K2240" t="inlineStr">
        <is>
          <t>PLASTIQUE</t>
        </is>
      </c>
      <c r="L2240">
        <f>_xlfn.XLOOKUP(Tableau1[[#This Row],[TYPE DE PIECE]],Tableau4[MATIERE],Tableau4[SHORT TYPE],"",0,1)</f>
        <v/>
      </c>
      <c r="N2240">
        <f>IF(ISERR(FIND("DECOUPE",Tableau1[[#This Row],[DESIGNATION]])),"","NEED REF")</f>
        <v/>
      </c>
    </row>
    <row r="2241">
      <c r="B2241" t="n">
        <v>34411760</v>
      </c>
      <c r="C2241" s="2" t="n">
        <v>45133</v>
      </c>
      <c r="D2241" t="inlineStr">
        <is>
          <t>SPEC</t>
        </is>
      </c>
      <c r="E2241">
        <f>_xlfn.CONCAT(Tableau1[[#This Row],[SHORT TYPE]]," ",Tableau1[[#This Row],[NUMERO]]," ",Tableau1[[#This Row],[GAMME]]," ",Tableau1[[#This Row],[TYPE PRODUIT]]," ",Tableau1[[#This Row],[PUISSANCE]])</f>
        <v/>
      </c>
      <c r="H2241" t="inlineStr">
        <is>
          <t>GROUND BOX</t>
        </is>
      </c>
      <c r="J2241" t="inlineStr">
        <is>
          <t>MATRION</t>
        </is>
      </c>
      <c r="K2241" t="inlineStr">
        <is>
          <t>METAL</t>
        </is>
      </c>
      <c r="L2241">
        <f>_xlfn.XLOOKUP(Tableau1[[#This Row],[TYPE DE PIECE]],Tableau4[MATIERE],Tableau4[SHORT TYPE],"",0,1)</f>
        <v/>
      </c>
      <c r="N2241">
        <f>IF(ISERR(FIND("DECOUPE",Tableau1[[#This Row],[DESIGNATION]])),"","NEED REF")</f>
        <v/>
      </c>
    </row>
    <row r="2242">
      <c r="B2242" t="n">
        <v>34411759</v>
      </c>
      <c r="C2242" s="2" t="n">
        <v>45133</v>
      </c>
      <c r="D2242" t="inlineStr">
        <is>
          <t>SPEC</t>
        </is>
      </c>
      <c r="E2242">
        <f>_xlfn.CONCAT(Tableau1[[#This Row],[SHORT TYPE]]," ",Tableau1[[#This Row],[NUMERO]]," ",Tableau1[[#This Row],[GAMME]]," ",Tableau1[[#This Row],[TYPE PRODUIT]]," ",Tableau1[[#This Row],[PUISSANCE]])</f>
        <v/>
      </c>
      <c r="H2242" t="inlineStr">
        <is>
          <t>GROUND BOX</t>
        </is>
      </c>
      <c r="J2242" t="inlineStr">
        <is>
          <t>MATRION</t>
        </is>
      </c>
      <c r="K2242" t="inlineStr">
        <is>
          <t>METAL</t>
        </is>
      </c>
      <c r="L2242">
        <f>_xlfn.XLOOKUP(Tableau1[[#This Row],[TYPE DE PIECE]],Tableau4[MATIERE],Tableau4[SHORT TYPE],"",0,1)</f>
        <v/>
      </c>
      <c r="N2242">
        <f>IF(ISERR(FIND("DECOUPE",Tableau1[[#This Row],[DESIGNATION]])),"","NEED REF")</f>
        <v/>
      </c>
    </row>
    <row r="2243">
      <c r="B2243" t="n">
        <v>34411758</v>
      </c>
      <c r="C2243" s="2" t="n">
        <v>45132</v>
      </c>
      <c r="D2243" t="inlineStr">
        <is>
          <t>SPEC</t>
        </is>
      </c>
      <c r="E2243">
        <f>_xlfn.CONCAT(Tableau1[[#This Row],[SHORT TYPE]]," ",Tableau1[[#This Row],[NUMERO]]," ",Tableau1[[#This Row],[GAMME]]," ",Tableau1[[#This Row],[TYPE PRODUIT]]," ",Tableau1[[#This Row],[PUISSANCE]])</f>
        <v/>
      </c>
      <c r="H2243" t="inlineStr">
        <is>
          <t>GROUND BOX</t>
        </is>
      </c>
      <c r="J2243" t="inlineStr">
        <is>
          <t>MATRION</t>
        </is>
      </c>
      <c r="K2243" t="inlineStr">
        <is>
          <t>METAL</t>
        </is>
      </c>
      <c r="L2243">
        <f>_xlfn.XLOOKUP(Tableau1[[#This Row],[TYPE DE PIECE]],Tableau4[MATIERE],Tableau4[SHORT TYPE],"",0,1)</f>
        <v/>
      </c>
      <c r="N2243">
        <f>IF(ISERR(FIND("DECOUPE",Tableau1[[#This Row],[DESIGNATION]])),"","NEED REF")</f>
        <v/>
      </c>
    </row>
    <row r="2244">
      <c r="B2244" t="n">
        <v>34411757</v>
      </c>
      <c r="C2244" s="2" t="n">
        <v>45132</v>
      </c>
      <c r="D2244" t="inlineStr">
        <is>
          <t>SPEC</t>
        </is>
      </c>
      <c r="E2244" t="inlineStr">
        <is>
          <t>SE 34411757 GROUND BOX 500x500x250 NSYCRN55250T</t>
        </is>
      </c>
      <c r="H2244" t="inlineStr">
        <is>
          <t>GROUND BOX</t>
        </is>
      </c>
      <c r="J2244" t="inlineStr">
        <is>
          <t>MATRION</t>
        </is>
      </c>
      <c r="K2244" t="inlineStr">
        <is>
          <t>SAREL</t>
        </is>
      </c>
      <c r="L2244" t="inlineStr">
        <is>
          <t>SE</t>
        </is>
      </c>
      <c r="N2244">
        <f>IF(ISERR(FIND("DECOUPE",Tableau1[[#This Row],[DESIGNATION]])),"","NEED REF")</f>
        <v/>
      </c>
    </row>
    <row r="2245">
      <c r="B2245" t="n">
        <v>34411756</v>
      </c>
      <c r="C2245" s="2" t="n">
        <v>45131</v>
      </c>
      <c r="D2245" t="inlineStr">
        <is>
          <t>SPEC</t>
        </is>
      </c>
      <c r="E2245" t="inlineStr">
        <is>
          <t>SMT 34411756  BBK EQUERRE DROITE/GAUCHE PLSTRONS</t>
        </is>
      </c>
      <c r="G2245" t="inlineStr">
        <is>
          <t>GVX</t>
        </is>
      </c>
      <c r="H2245" t="inlineStr">
        <is>
          <t>BBK</t>
        </is>
      </c>
      <c r="J2245" t="inlineStr">
        <is>
          <t>MATRION</t>
        </is>
      </c>
      <c r="K2245" t="inlineStr">
        <is>
          <t>METAL</t>
        </is>
      </c>
      <c r="L2245">
        <f>_xlfn.XLOOKUP(Tableau1[[#This Row],[TYPE DE PIECE]],Tableau4[MATIERE],Tableau4[SHORT TYPE],"",0,1)</f>
        <v/>
      </c>
      <c r="N2245">
        <f>IF(ISERR(FIND("DECOUPE",Tableau1[[#This Row],[DESIGNATION]])),"","NEED REF")</f>
        <v/>
      </c>
    </row>
    <row r="2246">
      <c r="B2246" t="n">
        <v>34411755</v>
      </c>
      <c r="C2246" s="2" t="n">
        <v>45131</v>
      </c>
      <c r="D2246" t="inlineStr">
        <is>
          <t>SPEC</t>
        </is>
      </c>
      <c r="E2246" t="inlineStr">
        <is>
          <t>SMT 34411755  BBK SUPPORT PLATINE HAUT</t>
        </is>
      </c>
      <c r="G2246" t="inlineStr">
        <is>
          <t>GVX</t>
        </is>
      </c>
      <c r="H2246" t="inlineStr">
        <is>
          <t>BBK</t>
        </is>
      </c>
      <c r="J2246" t="inlineStr">
        <is>
          <t>MATRION</t>
        </is>
      </c>
      <c r="K2246" t="inlineStr">
        <is>
          <t>METAL</t>
        </is>
      </c>
      <c r="L2246">
        <f>_xlfn.XLOOKUP(Tableau1[[#This Row],[TYPE DE PIECE]],Tableau4[MATIERE],Tableau4[SHORT TYPE],"",0,1)</f>
        <v/>
      </c>
      <c r="N2246">
        <f>IF(ISERR(FIND("DECOUPE",Tableau1[[#This Row],[DESIGNATION]])),"","NEED REF")</f>
        <v/>
      </c>
    </row>
    <row r="2247">
      <c r="B2247" t="n">
        <v>34411754</v>
      </c>
      <c r="C2247" s="2" t="n">
        <v>45126</v>
      </c>
      <c r="D2247" t="inlineStr">
        <is>
          <t>SPEC</t>
        </is>
      </c>
      <c r="E2247">
        <f>_xlfn.CONCAT(Tableau1[[#This Row],[SHORT TYPE]]," ",Tableau1[[#This Row],[NUMERO]]," ",Tableau1[[#This Row],[GAMME]]," ",Tableau1[[#This Row],[TYPE PRODUIT]]," ",Tableau1[[#This Row],[PUISSANCE]])</f>
        <v/>
      </c>
      <c r="G2247" t="inlineStr">
        <is>
          <t>GVS</t>
        </is>
      </c>
      <c r="H2247" t="inlineStr">
        <is>
          <t>BYPASS</t>
        </is>
      </c>
      <c r="I2247" t="inlineStr">
        <is>
          <t>150kVA</t>
        </is>
      </c>
      <c r="J2247" t="inlineStr">
        <is>
          <t>MATRION</t>
        </is>
      </c>
      <c r="K2247" t="inlineStr">
        <is>
          <t>PLASTIQUE</t>
        </is>
      </c>
      <c r="L2247">
        <f>_xlfn.XLOOKUP(Tableau1[[#This Row],[TYPE DE PIECE]],Tableau4[MATIERE],Tableau4[SHORT TYPE],"",0,1)</f>
        <v/>
      </c>
      <c r="N2247">
        <f>IF(ISERR(FIND("DECOUPE",Tableau1[[#This Row],[DESIGNATION]])),"","NEED REF")</f>
        <v/>
      </c>
    </row>
    <row r="2248">
      <c r="B2248" t="n">
        <v>34411753</v>
      </c>
      <c r="C2248" s="2" t="n">
        <v>45125</v>
      </c>
      <c r="D2248" t="inlineStr">
        <is>
          <t>SPEC</t>
        </is>
      </c>
      <c r="E2248">
        <f>_xlfn.CONCAT(Tableau1[[#This Row],[SHORT TYPE]]," ",Tableau1[[#This Row],[NUMERO]]," ",Tableau1[[#This Row],[GAMME]]," ",Tableau1[[#This Row],[TYPE PRODUIT]]," ",Tableau1[[#This Row],[PUISSANCE]])</f>
        <v/>
      </c>
      <c r="G2248" t="inlineStr">
        <is>
          <t>GVS</t>
        </is>
      </c>
      <c r="H2248" t="inlineStr">
        <is>
          <t>BYPASS</t>
        </is>
      </c>
      <c r="I2248" t="inlineStr">
        <is>
          <t>150kVA</t>
        </is>
      </c>
      <c r="J2248" t="inlineStr">
        <is>
          <t>MATRION</t>
        </is>
      </c>
      <c r="K2248" t="inlineStr">
        <is>
          <t>METAL</t>
        </is>
      </c>
      <c r="L2248">
        <f>_xlfn.XLOOKUP(Tableau1[[#This Row],[TYPE DE PIECE]],Tableau4[MATIERE],Tableau4[SHORT TYPE],"",0,1)</f>
        <v/>
      </c>
      <c r="N2248">
        <f>IF(ISERR(FIND("DECOUPE",Tableau1[[#This Row],[DESIGNATION]])),"","NEED REF")</f>
        <v/>
      </c>
    </row>
    <row r="2249">
      <c r="B2249" t="n">
        <v>34411752</v>
      </c>
      <c r="C2249" s="2" t="n">
        <v>45125</v>
      </c>
      <c r="D2249" t="inlineStr">
        <is>
          <t>SPEC</t>
        </is>
      </c>
      <c r="E2249">
        <f>_xlfn.CONCAT(Tableau1[[#This Row],[SHORT TYPE]]," ",Tableau1[[#This Row],[NUMERO]]," ",Tableau1[[#This Row],[GAMME]]," ",Tableau1[[#This Row],[TYPE PRODUIT]]," ",Tableau1[[#This Row],[PUISSANCE]])</f>
        <v/>
      </c>
      <c r="G2249" t="inlineStr">
        <is>
          <t>GVS</t>
        </is>
      </c>
      <c r="H2249" t="inlineStr">
        <is>
          <t>BYPASS</t>
        </is>
      </c>
      <c r="I2249" t="inlineStr">
        <is>
          <t>150kVA</t>
        </is>
      </c>
      <c r="J2249" t="inlineStr">
        <is>
          <t>MATRION</t>
        </is>
      </c>
      <c r="K2249" t="inlineStr">
        <is>
          <t>METAL</t>
        </is>
      </c>
      <c r="L2249">
        <f>_xlfn.XLOOKUP(Tableau1[[#This Row],[TYPE DE PIECE]],Tableau4[MATIERE],Tableau4[SHORT TYPE],"",0,1)</f>
        <v/>
      </c>
      <c r="N2249">
        <f>IF(ISERR(FIND("DECOUPE",Tableau1[[#This Row],[DESIGNATION]])),"","NEED REF")</f>
        <v/>
      </c>
    </row>
    <row r="2250">
      <c r="B2250" t="n">
        <v>34411751</v>
      </c>
      <c r="C2250" s="2" t="n">
        <v>45125</v>
      </c>
      <c r="D2250" t="inlineStr">
        <is>
          <t>SPEC</t>
        </is>
      </c>
      <c r="E2250">
        <f>_xlfn.CONCAT(Tableau1[[#This Row],[SHORT TYPE]]," ",Tableau1[[#This Row],[NUMERO]]," ",Tableau1[[#This Row],[GAMME]]," ",Tableau1[[#This Row],[TYPE PRODUIT]]," ",Tableau1[[#This Row],[PUISSANCE]])</f>
        <v/>
      </c>
      <c r="G2250" t="inlineStr">
        <is>
          <t>GVS</t>
        </is>
      </c>
      <c r="H2250" t="inlineStr">
        <is>
          <t>BYPASS</t>
        </is>
      </c>
      <c r="I2250" t="inlineStr">
        <is>
          <t>150kVA</t>
        </is>
      </c>
      <c r="J2250" t="inlineStr">
        <is>
          <t>MATRION</t>
        </is>
      </c>
      <c r="K2250" t="inlineStr">
        <is>
          <t>METAL</t>
        </is>
      </c>
      <c r="L2250">
        <f>_xlfn.XLOOKUP(Tableau1[[#This Row],[TYPE DE PIECE]],Tableau4[MATIERE],Tableau4[SHORT TYPE],"",0,1)</f>
        <v/>
      </c>
      <c r="N2250">
        <f>IF(ISERR(FIND("DECOUPE",Tableau1[[#This Row],[DESIGNATION]])),"","NEED REF")</f>
        <v/>
      </c>
    </row>
    <row r="2251">
      <c r="B2251" t="n">
        <v>34411750</v>
      </c>
      <c r="C2251" s="2" t="n">
        <v>45125</v>
      </c>
      <c r="D2251" t="inlineStr">
        <is>
          <t>SPEC</t>
        </is>
      </c>
      <c r="E2251">
        <f>_xlfn.CONCAT(Tableau1[[#This Row],[SHORT TYPE]]," ",Tableau1[[#This Row],[NUMERO]]," ",Tableau1[[#This Row],[GAMME]]," ",Tableau1[[#This Row],[TYPE PRODUIT]]," ",Tableau1[[#This Row],[PUISSANCE]])</f>
        <v/>
      </c>
      <c r="G2251" t="inlineStr">
        <is>
          <t>GVS</t>
        </is>
      </c>
      <c r="H2251" t="inlineStr">
        <is>
          <t>BYPASS</t>
        </is>
      </c>
      <c r="I2251" t="inlineStr">
        <is>
          <t>150kVA</t>
        </is>
      </c>
      <c r="J2251" t="inlineStr">
        <is>
          <t>MATRION</t>
        </is>
      </c>
      <c r="K2251" t="inlineStr">
        <is>
          <t>METAL</t>
        </is>
      </c>
      <c r="L2251">
        <f>_xlfn.XLOOKUP(Tableau1[[#This Row],[TYPE DE PIECE]],Tableau4[MATIERE],Tableau4[SHORT TYPE],"",0,1)</f>
        <v/>
      </c>
      <c r="N2251">
        <f>IF(ISERR(FIND("DECOUPE",Tableau1[[#This Row],[DESIGNATION]])),"","NEED REF")</f>
        <v/>
      </c>
    </row>
    <row r="2252">
      <c r="B2252" t="n">
        <v>34411749</v>
      </c>
      <c r="C2252" s="2" t="n">
        <v>45125</v>
      </c>
      <c r="D2252" t="inlineStr">
        <is>
          <t>SPEC</t>
        </is>
      </c>
      <c r="E2252">
        <f>_xlfn.CONCAT(Tableau1[[#This Row],[SHORT TYPE]]," ",Tableau1[[#This Row],[NUMERO]]," ",Tableau1[[#This Row],[GAMME]]," ",Tableau1[[#This Row],[TYPE PRODUIT]]," ",Tableau1[[#This Row],[PUISSANCE]])</f>
        <v/>
      </c>
      <c r="G2252" t="inlineStr">
        <is>
          <t>GVS</t>
        </is>
      </c>
      <c r="H2252" t="inlineStr">
        <is>
          <t>BYPASS</t>
        </is>
      </c>
      <c r="I2252" t="inlineStr">
        <is>
          <t>150kVA</t>
        </is>
      </c>
      <c r="J2252" t="inlineStr">
        <is>
          <t>MATRION</t>
        </is>
      </c>
      <c r="K2252" t="inlineStr">
        <is>
          <t>METAL</t>
        </is>
      </c>
      <c r="L2252">
        <f>_xlfn.XLOOKUP(Tableau1[[#This Row],[TYPE DE PIECE]],Tableau4[MATIERE],Tableau4[SHORT TYPE],"",0,1)</f>
        <v/>
      </c>
      <c r="N2252">
        <f>IF(ISERR(FIND("DECOUPE",Tableau1[[#This Row],[DESIGNATION]])),"","NEED REF")</f>
        <v/>
      </c>
    </row>
    <row r="2253">
      <c r="B2253" t="n">
        <v>34411748</v>
      </c>
      <c r="C2253" s="2" t="n">
        <v>45125</v>
      </c>
      <c r="D2253" t="inlineStr">
        <is>
          <t>SPEC</t>
        </is>
      </c>
      <c r="E2253">
        <f>_xlfn.CONCAT(Tableau1[[#This Row],[SHORT TYPE]]," ",Tableau1[[#This Row],[NUMERO]]," ",Tableau1[[#This Row],[GAMME]]," ",Tableau1[[#This Row],[TYPE PRODUIT]]," ",Tableau1[[#This Row],[PUISSANCE]])</f>
        <v/>
      </c>
      <c r="G2253" t="inlineStr">
        <is>
          <t>GVS</t>
        </is>
      </c>
      <c r="H2253" t="inlineStr">
        <is>
          <t>BYPASS</t>
        </is>
      </c>
      <c r="I2253" t="inlineStr">
        <is>
          <t>150kVA</t>
        </is>
      </c>
      <c r="J2253" t="inlineStr">
        <is>
          <t>MATRION</t>
        </is>
      </c>
      <c r="K2253" t="inlineStr">
        <is>
          <t>METAL</t>
        </is>
      </c>
      <c r="L2253">
        <f>_xlfn.XLOOKUP(Tableau1[[#This Row],[TYPE DE PIECE]],Tableau4[MATIERE],Tableau4[SHORT TYPE],"",0,1)</f>
        <v/>
      </c>
      <c r="N2253">
        <f>IF(ISERR(FIND("DECOUPE",Tableau1[[#This Row],[DESIGNATION]])),"","NEED REF")</f>
        <v/>
      </c>
    </row>
    <row r="2254">
      <c r="B2254" t="n">
        <v>34411747</v>
      </c>
      <c r="C2254" s="2" t="n">
        <v>45124</v>
      </c>
      <c r="D2254" t="inlineStr">
        <is>
          <t>SPEC</t>
        </is>
      </c>
      <c r="E2254">
        <f>_xlfn.CONCAT(Tableau1[[#This Row],[SHORT TYPE]]," ",Tableau1[[#This Row],[NUMERO]]," ",Tableau1[[#This Row],[GAMME]]," ",Tableau1[[#This Row],[TYPE PRODUIT]]," ",Tableau1[[#This Row],[PUISSANCE]])</f>
        <v/>
      </c>
      <c r="G2254" t="inlineStr">
        <is>
          <t>GVS</t>
        </is>
      </c>
      <c r="H2254" t="inlineStr">
        <is>
          <t>BYPASS</t>
        </is>
      </c>
      <c r="I2254" t="inlineStr">
        <is>
          <t>150kVA</t>
        </is>
      </c>
      <c r="J2254" t="inlineStr">
        <is>
          <t>MATRION</t>
        </is>
      </c>
      <c r="K2254" t="inlineStr">
        <is>
          <t>METAL</t>
        </is>
      </c>
      <c r="L2254">
        <f>_xlfn.XLOOKUP(Tableau1[[#This Row],[TYPE DE PIECE]],Tableau4[MATIERE],Tableau4[SHORT TYPE],"",0,1)</f>
        <v/>
      </c>
      <c r="N2254">
        <f>IF(ISERR(FIND("DECOUPE",Tableau1[[#This Row],[DESIGNATION]])),"","NEED REF")</f>
        <v/>
      </c>
    </row>
    <row r="2255">
      <c r="B2255" t="n">
        <v>34411746</v>
      </c>
      <c r="C2255" s="2" t="n">
        <v>45124</v>
      </c>
      <c r="D2255" t="inlineStr">
        <is>
          <t>SPEC</t>
        </is>
      </c>
      <c r="E2255">
        <f>_xlfn.CONCAT(Tableau1[[#This Row],[SHORT TYPE]]," ",Tableau1[[#This Row],[NUMERO]]," ",Tableau1[[#This Row],[GAMME]]," ",Tableau1[[#This Row],[TYPE PRODUIT]]," ",Tableau1[[#This Row],[PUISSANCE]])</f>
        <v/>
      </c>
      <c r="G2255" t="inlineStr">
        <is>
          <t>GVS</t>
        </is>
      </c>
      <c r="H2255" t="inlineStr">
        <is>
          <t>BYPASS</t>
        </is>
      </c>
      <c r="I2255" t="inlineStr">
        <is>
          <t>150kVA</t>
        </is>
      </c>
      <c r="J2255" t="inlineStr">
        <is>
          <t>MATRION</t>
        </is>
      </c>
      <c r="K2255" t="inlineStr">
        <is>
          <t>METAL</t>
        </is>
      </c>
      <c r="L2255">
        <f>_xlfn.XLOOKUP(Tableau1[[#This Row],[TYPE DE PIECE]],Tableau4[MATIERE],Tableau4[SHORT TYPE],"",0,1)</f>
        <v/>
      </c>
      <c r="N2255">
        <f>IF(ISERR(FIND("DECOUPE",Tableau1[[#This Row],[DESIGNATION]])),"","NEED REF")</f>
        <v/>
      </c>
    </row>
    <row r="2256">
      <c r="B2256" t="n">
        <v>34411745</v>
      </c>
      <c r="C2256" s="2" t="n">
        <v>45120</v>
      </c>
      <c r="D2256" t="inlineStr">
        <is>
          <t>SPEC</t>
        </is>
      </c>
      <c r="E2256" t="inlineStr">
        <is>
          <t>VIS M10x27.5 H 0099889301</t>
        </is>
      </c>
      <c r="J2256" t="inlineStr">
        <is>
          <t>BERNARDEAU</t>
        </is>
      </c>
      <c r="K2256" t="inlineStr">
        <is>
          <t>METAL</t>
        </is>
      </c>
      <c r="L2256">
        <f>_xlfn.XLOOKUP(Tableau1[[#This Row],[TYPE DE PIECE]],Tableau4[MATIERE],Tableau4[SHORT TYPE],"",0,1)</f>
        <v/>
      </c>
      <c r="N2256">
        <f>IF(ISERR(FIND("DECOUPE",Tableau1[[#This Row],[DESIGNATION]])),"","NEED REF")</f>
        <v/>
      </c>
    </row>
    <row r="2257">
      <c r="B2257" t="n">
        <v>34411744</v>
      </c>
      <c r="C2257" s="2" t="n">
        <v>45118</v>
      </c>
      <c r="D2257" t="inlineStr">
        <is>
          <t>SPEC</t>
        </is>
      </c>
      <c r="E2257">
        <f>_xlfn.CONCAT(Tableau1[[#This Row],[SHORT TYPE]]," ",Tableau1[[#This Row],[NUMERO]]," ",Tableau1[[#This Row],[GAMME]]," ",Tableau1[[#This Row],[TYPE PRODUIT]]," ",Tableau1[[#This Row],[PUISSANCE]])</f>
        <v/>
      </c>
      <c r="H2257" t="inlineStr">
        <is>
          <t>STS</t>
        </is>
      </c>
      <c r="I2257" t="inlineStr">
        <is>
          <t>1250A</t>
        </is>
      </c>
      <c r="J2257" t="inlineStr">
        <is>
          <t>MATRION</t>
        </is>
      </c>
      <c r="K2257" t="inlineStr">
        <is>
          <t>CUIVRE</t>
        </is>
      </c>
      <c r="L2257">
        <f>_xlfn.XLOOKUP(Tableau1[[#This Row],[TYPE DE PIECE]],Tableau4[MATIERE],Tableau4[SHORT TYPE],"",0,1)</f>
        <v/>
      </c>
      <c r="N2257">
        <f>IF(ISERR(FIND("DECOUPE",Tableau1[[#This Row],[DESIGNATION]])),"","NEED REF")</f>
        <v/>
      </c>
    </row>
    <row r="2258">
      <c r="B2258" t="n">
        <v>34411743</v>
      </c>
      <c r="C2258" s="2" t="n">
        <v>45118</v>
      </c>
      <c r="D2258" t="inlineStr">
        <is>
          <t>SPEC</t>
        </is>
      </c>
      <c r="E2258">
        <f>_xlfn.CONCAT(Tableau1[[#This Row],[SHORT TYPE]]," ",Tableau1[[#This Row],[NUMERO]]," ",Tableau1[[#This Row],[GAMME]]," ",Tableau1[[#This Row],[TYPE PRODUIT]]," ",Tableau1[[#This Row],[PUISSANCE]])</f>
        <v/>
      </c>
      <c r="H2258" t="inlineStr">
        <is>
          <t>STS</t>
        </is>
      </c>
      <c r="I2258" t="inlineStr">
        <is>
          <t>1250A</t>
        </is>
      </c>
      <c r="J2258" t="inlineStr">
        <is>
          <t>MATRION</t>
        </is>
      </c>
      <c r="K2258" t="inlineStr">
        <is>
          <t>CUIVRE</t>
        </is>
      </c>
      <c r="L2258">
        <f>_xlfn.XLOOKUP(Tableau1[[#This Row],[TYPE DE PIECE]],Tableau4[MATIERE],Tableau4[SHORT TYPE],"",0,1)</f>
        <v/>
      </c>
      <c r="N2258">
        <f>IF(ISERR(FIND("DECOUPE",Tableau1[[#This Row],[DESIGNATION]])),"","NEED REF")</f>
        <v/>
      </c>
    </row>
    <row r="2259">
      <c r="B2259" t="n">
        <v>34411742</v>
      </c>
      <c r="C2259" s="2" t="n">
        <v>45119</v>
      </c>
      <c r="D2259" t="inlineStr">
        <is>
          <t>SPEC</t>
        </is>
      </c>
      <c r="E2259">
        <f>_xlfn.CONCAT(Tableau1[[#This Row],[SHORT TYPE]]," ",Tableau1[[#This Row],[NUMERO]]," ",Tableau1[[#This Row],[GAMME]]," ",Tableau1[[#This Row],[TYPE PRODUIT]]," ",Tableau1[[#This Row],[PUISSANCE]])</f>
        <v/>
      </c>
      <c r="H2259" t="inlineStr">
        <is>
          <t>STS</t>
        </is>
      </c>
      <c r="I2259" t="inlineStr">
        <is>
          <t>1250A</t>
        </is>
      </c>
      <c r="J2259" t="inlineStr">
        <is>
          <t>MATRION</t>
        </is>
      </c>
      <c r="K2259" t="inlineStr">
        <is>
          <t>CUIVRE</t>
        </is>
      </c>
      <c r="L2259">
        <f>_xlfn.XLOOKUP(Tableau1[[#This Row],[TYPE DE PIECE]],Tableau4[MATIERE],Tableau4[SHORT TYPE],"",0,1)</f>
        <v/>
      </c>
      <c r="N2259">
        <f>IF(ISERR(FIND("DECOUPE",Tableau1[[#This Row],[DESIGNATION]])),"","NEED REF")</f>
        <v/>
      </c>
    </row>
    <row r="2260">
      <c r="B2260" t="n">
        <v>34411741</v>
      </c>
      <c r="C2260" s="2" t="n">
        <v>45120</v>
      </c>
      <c r="D2260" t="inlineStr">
        <is>
          <t>SPEC</t>
        </is>
      </c>
      <c r="E2260">
        <f>_xlfn.CONCAT(Tableau1[[#This Row],[SHORT TYPE]]," ",Tableau1[[#This Row],[NUMERO]]," ",Tableau1[[#This Row],[GAMME]]," ",Tableau1[[#This Row],[TYPE PRODUIT]]," ",Tableau1[[#This Row],[PUISSANCE]])</f>
        <v/>
      </c>
      <c r="H2260" t="inlineStr">
        <is>
          <t>STS</t>
        </is>
      </c>
      <c r="I2260" t="inlineStr">
        <is>
          <t>1250A</t>
        </is>
      </c>
      <c r="J2260" t="inlineStr">
        <is>
          <t>MATRION</t>
        </is>
      </c>
      <c r="K2260" t="inlineStr">
        <is>
          <t>CUIVRE</t>
        </is>
      </c>
      <c r="L2260">
        <f>_xlfn.XLOOKUP(Tableau1[[#This Row],[TYPE DE PIECE]],Tableau4[MATIERE],Tableau4[SHORT TYPE],"",0,1)</f>
        <v/>
      </c>
      <c r="N2260">
        <f>IF(ISERR(FIND("DECOUPE",Tableau1[[#This Row],[DESIGNATION]])),"","NEED REF")</f>
        <v/>
      </c>
    </row>
    <row r="2261">
      <c r="B2261" t="n">
        <v>34411740</v>
      </c>
      <c r="C2261" s="2" t="n">
        <v>45121</v>
      </c>
      <c r="D2261" t="inlineStr">
        <is>
          <t>SPEC</t>
        </is>
      </c>
      <c r="E2261">
        <f>_xlfn.CONCAT(Tableau1[[#This Row],[SHORT TYPE]]," ",Tableau1[[#This Row],[NUMERO]]," ",Tableau1[[#This Row],[GAMME]]," ",Tableau1[[#This Row],[TYPE PRODUIT]]," ",Tableau1[[#This Row],[PUISSANCE]])</f>
        <v/>
      </c>
      <c r="H2261" t="inlineStr">
        <is>
          <t>STS</t>
        </is>
      </c>
      <c r="I2261" t="inlineStr">
        <is>
          <t>1250A</t>
        </is>
      </c>
      <c r="J2261" t="inlineStr">
        <is>
          <t>MATRION</t>
        </is>
      </c>
      <c r="K2261" t="inlineStr">
        <is>
          <t>CUIVRE</t>
        </is>
      </c>
      <c r="L2261">
        <f>_xlfn.XLOOKUP(Tableau1[[#This Row],[TYPE DE PIECE]],Tableau4[MATIERE],Tableau4[SHORT TYPE],"",0,1)</f>
        <v/>
      </c>
      <c r="N2261">
        <f>IF(ISERR(FIND("DECOUPE",Tableau1[[#This Row],[DESIGNATION]])),"","NEED REF")</f>
        <v/>
      </c>
    </row>
    <row r="2262">
      <c r="B2262" t="n">
        <v>34411739</v>
      </c>
      <c r="C2262" s="2" t="n">
        <v>45117</v>
      </c>
      <c r="D2262" t="inlineStr">
        <is>
          <t>SPEC</t>
        </is>
      </c>
      <c r="E2262">
        <f>_xlfn.CONCAT(Tableau1[[#This Row],[SHORT TYPE]]," ",Tableau1[[#This Row],[NUMERO]]," ",Tableau1[[#This Row],[GAMME]]," ",Tableau1[[#This Row],[TYPE PRODUIT]]," ",Tableau1[[#This Row],[PUISSANCE]])</f>
        <v/>
      </c>
      <c r="H2262" t="inlineStr">
        <is>
          <t>STS</t>
        </is>
      </c>
      <c r="I2262" t="inlineStr">
        <is>
          <t>1250A</t>
        </is>
      </c>
      <c r="J2262" t="inlineStr">
        <is>
          <t>MATRION</t>
        </is>
      </c>
      <c r="K2262" t="inlineStr">
        <is>
          <t>CUIVRE</t>
        </is>
      </c>
      <c r="L2262">
        <f>_xlfn.XLOOKUP(Tableau1[[#This Row],[TYPE DE PIECE]],Tableau4[MATIERE],Tableau4[SHORT TYPE],"",0,1)</f>
        <v/>
      </c>
      <c r="N2262">
        <f>IF(ISERR(FIND("DECOUPE",Tableau1[[#This Row],[DESIGNATION]])),"","NEED REF")</f>
        <v/>
      </c>
    </row>
    <row r="2263">
      <c r="B2263" t="n">
        <v>34411738</v>
      </c>
      <c r="C2263" s="2" t="n">
        <v>45114</v>
      </c>
      <c r="D2263" t="inlineStr">
        <is>
          <t>SPEC</t>
        </is>
      </c>
      <c r="E2263">
        <f>_xlfn.CONCAT(Tableau1[[#This Row],[SHORT TYPE]]," ",Tableau1[[#This Row],[NUMERO]]," ",Tableau1[[#This Row],[GAMME]]," ",Tableau1[[#This Row],[TYPE PRODUIT]]," ",Tableau1[[#This Row],[PUISSANCE]])</f>
        <v/>
      </c>
      <c r="H2263" t="inlineStr">
        <is>
          <t>STS</t>
        </is>
      </c>
      <c r="I2263" t="inlineStr">
        <is>
          <t>1250A</t>
        </is>
      </c>
      <c r="J2263" t="inlineStr">
        <is>
          <t>MATRION</t>
        </is>
      </c>
      <c r="K2263" t="inlineStr">
        <is>
          <t>CUIVRE</t>
        </is>
      </c>
      <c r="L2263">
        <f>_xlfn.XLOOKUP(Tableau1[[#This Row],[TYPE DE PIECE]],Tableau4[MATIERE],Tableau4[SHORT TYPE],"",0,1)</f>
        <v/>
      </c>
      <c r="N2263">
        <f>IF(ISERR(FIND("DECOUPE",Tableau1[[#This Row],[DESIGNATION]])),"","NEED REF")</f>
        <v/>
      </c>
    </row>
    <row r="2264">
      <c r="B2264" t="n">
        <v>34411737</v>
      </c>
      <c r="C2264" s="2" t="n">
        <v>45114</v>
      </c>
      <c r="D2264" t="inlineStr">
        <is>
          <t>SPEC</t>
        </is>
      </c>
      <c r="E2264">
        <f>_xlfn.CONCAT(Tableau1[[#This Row],[SHORT TYPE]]," ",Tableau1[[#This Row],[NUMERO]]," ",Tableau1[[#This Row],[GAMME]]," ",Tableau1[[#This Row],[TYPE PRODUIT]]," ",Tableau1[[#This Row],[PUISSANCE]])</f>
        <v/>
      </c>
      <c r="H2264" t="inlineStr">
        <is>
          <t>STS</t>
        </is>
      </c>
      <c r="I2264" t="inlineStr">
        <is>
          <t>1250A</t>
        </is>
      </c>
      <c r="J2264" t="inlineStr">
        <is>
          <t>MATRION</t>
        </is>
      </c>
      <c r="K2264" t="inlineStr">
        <is>
          <t>CUIVRE</t>
        </is>
      </c>
      <c r="L2264">
        <f>_xlfn.XLOOKUP(Tableau1[[#This Row],[TYPE DE PIECE]],Tableau4[MATIERE],Tableau4[SHORT TYPE],"",0,1)</f>
        <v/>
      </c>
      <c r="N2264">
        <f>IF(ISERR(FIND("DECOUPE",Tableau1[[#This Row],[DESIGNATION]])),"","NEED REF")</f>
        <v/>
      </c>
    </row>
    <row r="2265">
      <c r="B2265" t="n">
        <v>34411736</v>
      </c>
      <c r="C2265" s="2" t="n">
        <v>45114</v>
      </c>
      <c r="D2265" t="inlineStr">
        <is>
          <t>SPEC</t>
        </is>
      </c>
      <c r="E2265">
        <f>_xlfn.CONCAT(Tableau1[[#This Row],[SHORT TYPE]]," ",Tableau1[[#This Row],[NUMERO]]," ",Tableau1[[#This Row],[GAMME]]," ",Tableau1[[#This Row],[TYPE PRODUIT]]," ",Tableau1[[#This Row],[PUISSANCE]])</f>
        <v/>
      </c>
      <c r="H2265" t="inlineStr">
        <is>
          <t>STS</t>
        </is>
      </c>
      <c r="I2265" t="inlineStr">
        <is>
          <t>1250A</t>
        </is>
      </c>
      <c r="J2265" t="inlineStr">
        <is>
          <t>MATRION</t>
        </is>
      </c>
      <c r="K2265" t="inlineStr">
        <is>
          <t>CUIVRE</t>
        </is>
      </c>
      <c r="L2265">
        <f>_xlfn.XLOOKUP(Tableau1[[#This Row],[TYPE DE PIECE]],Tableau4[MATIERE],Tableau4[SHORT TYPE],"",0,1)</f>
        <v/>
      </c>
      <c r="N2265">
        <f>IF(ISERR(FIND("DECOUPE",Tableau1[[#This Row],[DESIGNATION]])),"","NEED REF")</f>
        <v/>
      </c>
    </row>
    <row r="2266">
      <c r="B2266" t="n">
        <v>34411735</v>
      </c>
      <c r="C2266" s="2" t="n">
        <v>45114</v>
      </c>
      <c r="D2266" t="inlineStr">
        <is>
          <t>SPEC</t>
        </is>
      </c>
      <c r="E2266">
        <f>_xlfn.CONCAT(Tableau1[[#This Row],[SHORT TYPE]]," ",Tableau1[[#This Row],[NUMERO]]," ",Tableau1[[#This Row],[GAMME]]," ",Tableau1[[#This Row],[TYPE PRODUIT]]," ",Tableau1[[#This Row],[PUISSANCE]])</f>
        <v/>
      </c>
      <c r="H2266" t="inlineStr">
        <is>
          <t>STS</t>
        </is>
      </c>
      <c r="I2266" t="inlineStr">
        <is>
          <t>1250A</t>
        </is>
      </c>
      <c r="J2266" t="inlineStr">
        <is>
          <t>MATRION</t>
        </is>
      </c>
      <c r="K2266" t="inlineStr">
        <is>
          <t>CUIVRE</t>
        </is>
      </c>
      <c r="L2266">
        <f>_xlfn.XLOOKUP(Tableau1[[#This Row],[TYPE DE PIECE]],Tableau4[MATIERE],Tableau4[SHORT TYPE],"",0,1)</f>
        <v/>
      </c>
      <c r="N2266">
        <f>IF(ISERR(FIND("DECOUPE",Tableau1[[#This Row],[DESIGNATION]])),"","NEED REF")</f>
        <v/>
      </c>
    </row>
    <row r="2267">
      <c r="B2267" t="n">
        <v>34411734</v>
      </c>
      <c r="C2267" s="2" t="n">
        <v>45114</v>
      </c>
      <c r="D2267" t="inlineStr">
        <is>
          <t>SPEC</t>
        </is>
      </c>
      <c r="E2267">
        <f>_xlfn.CONCAT(Tableau1[[#This Row],[SHORT TYPE]]," ",Tableau1[[#This Row],[NUMERO]]," ",Tableau1[[#This Row],[GAMME]]," ",Tableau1[[#This Row],[TYPE PRODUIT]]," ",Tableau1[[#This Row],[PUISSANCE]])</f>
        <v/>
      </c>
      <c r="H2267" t="inlineStr">
        <is>
          <t>STS</t>
        </is>
      </c>
      <c r="I2267" t="inlineStr">
        <is>
          <t>1250A</t>
        </is>
      </c>
      <c r="J2267" t="inlineStr">
        <is>
          <t>MATRION</t>
        </is>
      </c>
      <c r="K2267" t="inlineStr">
        <is>
          <t>CUIVRE</t>
        </is>
      </c>
      <c r="L2267">
        <f>_xlfn.XLOOKUP(Tableau1[[#This Row],[TYPE DE PIECE]],Tableau4[MATIERE],Tableau4[SHORT TYPE],"",0,1)</f>
        <v/>
      </c>
      <c r="N2267">
        <f>IF(ISERR(FIND("DECOUPE",Tableau1[[#This Row],[DESIGNATION]])),"","NEED REF")</f>
        <v/>
      </c>
    </row>
    <row r="2268">
      <c r="B2268" t="n">
        <v>34411733</v>
      </c>
      <c r="C2268" s="2" t="n">
        <v>45114</v>
      </c>
      <c r="D2268" t="inlineStr">
        <is>
          <t>SPEC</t>
        </is>
      </c>
      <c r="E2268">
        <f>_xlfn.CONCAT(Tableau1[[#This Row],[SHORT TYPE]]," ",Tableau1[[#This Row],[NUMERO]]," ",Tableau1[[#This Row],[GAMME]]," ",Tableau1[[#This Row],[TYPE PRODUIT]]," ",Tableau1[[#This Row],[PUISSANCE]])</f>
        <v/>
      </c>
      <c r="H2268" t="inlineStr">
        <is>
          <t>STS</t>
        </is>
      </c>
      <c r="I2268" t="inlineStr">
        <is>
          <t>1250A</t>
        </is>
      </c>
      <c r="J2268" t="inlineStr">
        <is>
          <t>MATRION</t>
        </is>
      </c>
      <c r="K2268" t="inlineStr">
        <is>
          <t>CUIVRE</t>
        </is>
      </c>
      <c r="L2268">
        <f>_xlfn.XLOOKUP(Tableau1[[#This Row],[TYPE DE PIECE]],Tableau4[MATIERE],Tableau4[SHORT TYPE],"",0,1)</f>
        <v/>
      </c>
      <c r="N2268">
        <f>IF(ISERR(FIND("DECOUPE",Tableau1[[#This Row],[DESIGNATION]])),"","NEED REF")</f>
        <v/>
      </c>
    </row>
    <row r="2269">
      <c r="B2269" t="n">
        <v>34411732</v>
      </c>
      <c r="C2269" s="2" t="n">
        <v>45114</v>
      </c>
      <c r="D2269" t="inlineStr">
        <is>
          <t>SPEC</t>
        </is>
      </c>
      <c r="E2269">
        <f>_xlfn.CONCAT(Tableau1[[#This Row],[SHORT TYPE]]," ",Tableau1[[#This Row],[NUMERO]]," ",Tableau1[[#This Row],[GAMME]]," ",Tableau1[[#This Row],[TYPE PRODUIT]]," ",Tableau1[[#This Row],[PUISSANCE]])</f>
        <v/>
      </c>
      <c r="H2269" t="inlineStr">
        <is>
          <t>STS</t>
        </is>
      </c>
      <c r="I2269" t="inlineStr">
        <is>
          <t>1250A</t>
        </is>
      </c>
      <c r="J2269" t="inlineStr">
        <is>
          <t>MATRION</t>
        </is>
      </c>
      <c r="K2269" t="inlineStr">
        <is>
          <t>CUIVRE</t>
        </is>
      </c>
      <c r="L2269">
        <f>_xlfn.XLOOKUP(Tableau1[[#This Row],[TYPE DE PIECE]],Tableau4[MATIERE],Tableau4[SHORT TYPE],"",0,1)</f>
        <v/>
      </c>
      <c r="N2269">
        <f>IF(ISERR(FIND("DECOUPE",Tableau1[[#This Row],[DESIGNATION]])),"","NEED REF")</f>
        <v/>
      </c>
    </row>
    <row r="2270">
      <c r="B2270" t="n">
        <v>34411731</v>
      </c>
      <c r="C2270" s="2" t="n">
        <v>45114</v>
      </c>
      <c r="D2270" t="inlineStr">
        <is>
          <t>SPEC</t>
        </is>
      </c>
      <c r="E2270">
        <f>_xlfn.CONCAT(Tableau1[[#This Row],[SHORT TYPE]]," ",Tableau1[[#This Row],[NUMERO]]," ",Tableau1[[#This Row],[GAMME]]," ",Tableau1[[#This Row],[TYPE PRODUIT]]," ",Tableau1[[#This Row],[PUISSANCE]])</f>
        <v/>
      </c>
      <c r="H2270" t="inlineStr">
        <is>
          <t>STS</t>
        </is>
      </c>
      <c r="I2270" t="inlineStr">
        <is>
          <t>1250A</t>
        </is>
      </c>
      <c r="J2270" t="inlineStr">
        <is>
          <t>MATRION</t>
        </is>
      </c>
      <c r="K2270" t="inlineStr">
        <is>
          <t>CUIVRE</t>
        </is>
      </c>
      <c r="L2270">
        <f>_xlfn.XLOOKUP(Tableau1[[#This Row],[TYPE DE PIECE]],Tableau4[MATIERE],Tableau4[SHORT TYPE],"",0,1)</f>
        <v/>
      </c>
      <c r="N2270">
        <f>IF(ISERR(FIND("DECOUPE",Tableau1[[#This Row],[DESIGNATION]])),"","NEED REF")</f>
        <v/>
      </c>
    </row>
    <row r="2271">
      <c r="B2271" t="n">
        <v>34411730</v>
      </c>
      <c r="C2271" s="2" t="n">
        <v>45114</v>
      </c>
      <c r="D2271" t="inlineStr">
        <is>
          <t>SPEC</t>
        </is>
      </c>
      <c r="E2271">
        <f>_xlfn.CONCAT(Tableau1[[#This Row],[SHORT TYPE]]," ",Tableau1[[#This Row],[NUMERO]]," ",Tableau1[[#This Row],[GAMME]]," ",Tableau1[[#This Row],[TYPE PRODUIT]]," ",Tableau1[[#This Row],[PUISSANCE]])</f>
        <v/>
      </c>
      <c r="H2271" t="inlineStr">
        <is>
          <t>STS</t>
        </is>
      </c>
      <c r="I2271" t="inlineStr">
        <is>
          <t>1250A</t>
        </is>
      </c>
      <c r="J2271" t="inlineStr">
        <is>
          <t>MATRION</t>
        </is>
      </c>
      <c r="K2271" t="inlineStr">
        <is>
          <t>METAL</t>
        </is>
      </c>
      <c r="L2271">
        <f>_xlfn.XLOOKUP(Tableau1[[#This Row],[TYPE DE PIECE]],Tableau4[MATIERE],Tableau4[SHORT TYPE],"",0,1)</f>
        <v/>
      </c>
      <c r="N2271">
        <f>IF(ISERR(FIND("DECOUPE",Tableau1[[#This Row],[DESIGNATION]])),"","NEED REF")</f>
        <v/>
      </c>
    </row>
    <row r="2272">
      <c r="B2272" t="n">
        <v>34411729</v>
      </c>
      <c r="C2272" s="2" t="n">
        <v>45114</v>
      </c>
      <c r="D2272" t="inlineStr">
        <is>
          <t>SPEC</t>
        </is>
      </c>
      <c r="E2272">
        <f>_xlfn.CONCAT(Tableau1[[#This Row],[SHORT TYPE]]," ",Tableau1[[#This Row],[NUMERO]]," ",Tableau1[[#This Row],[GAMME]]," ",Tableau1[[#This Row],[TYPE PRODUIT]]," ",Tableau1[[#This Row],[PUISSANCE]])</f>
        <v/>
      </c>
      <c r="H2272" t="inlineStr">
        <is>
          <t>STS</t>
        </is>
      </c>
      <c r="I2272" t="inlineStr">
        <is>
          <t>1250A</t>
        </is>
      </c>
      <c r="J2272" t="inlineStr">
        <is>
          <t>MATRION</t>
        </is>
      </c>
      <c r="K2272" t="inlineStr">
        <is>
          <t>PLASTIQUE</t>
        </is>
      </c>
      <c r="L2272">
        <f>_xlfn.XLOOKUP(Tableau1[[#This Row],[TYPE DE PIECE]],Tableau4[MATIERE],Tableau4[SHORT TYPE],"",0,1)</f>
        <v/>
      </c>
      <c r="N2272">
        <f>IF(ISERR(FIND("DECOUPE",Tableau1[[#This Row],[DESIGNATION]])),"","NEED REF")</f>
        <v/>
      </c>
    </row>
    <row r="2273">
      <c r="B2273" t="n">
        <v>34411728</v>
      </c>
      <c r="C2273" s="2" t="n">
        <v>45114</v>
      </c>
      <c r="D2273" t="inlineStr">
        <is>
          <t>SPEC</t>
        </is>
      </c>
      <c r="E2273">
        <f>_xlfn.CONCAT(Tableau1[[#This Row],[SHORT TYPE]]," ",Tableau1[[#This Row],[NUMERO]]," ",Tableau1[[#This Row],[GAMME]]," ",Tableau1[[#This Row],[TYPE PRODUIT]]," ",Tableau1[[#This Row],[PUISSANCE]])</f>
        <v/>
      </c>
      <c r="H2273" t="inlineStr">
        <is>
          <t>STS</t>
        </is>
      </c>
      <c r="I2273" t="inlineStr">
        <is>
          <t>1250A</t>
        </is>
      </c>
      <c r="J2273" t="inlineStr">
        <is>
          <t>MATRION</t>
        </is>
      </c>
      <c r="K2273" t="inlineStr">
        <is>
          <t>PLASTIQUE</t>
        </is>
      </c>
      <c r="L2273">
        <f>_xlfn.XLOOKUP(Tableau1[[#This Row],[TYPE DE PIECE]],Tableau4[MATIERE],Tableau4[SHORT TYPE],"",0,1)</f>
        <v/>
      </c>
      <c r="N2273">
        <f>IF(ISERR(FIND("DECOUPE",Tableau1[[#This Row],[DESIGNATION]])),"","NEED REF")</f>
        <v/>
      </c>
    </row>
    <row r="2274">
      <c r="B2274" t="n">
        <v>34411727</v>
      </c>
      <c r="C2274" s="2" t="n">
        <v>45114</v>
      </c>
      <c r="D2274" t="inlineStr">
        <is>
          <t>SPEC</t>
        </is>
      </c>
      <c r="E2274">
        <f>_xlfn.CONCAT(Tableau1[[#This Row],[SHORT TYPE]]," ",Tableau1[[#This Row],[NUMERO]]," ",Tableau1[[#This Row],[GAMME]]," ",Tableau1[[#This Row],[TYPE PRODUIT]]," ",Tableau1[[#This Row],[PUISSANCE]])</f>
        <v/>
      </c>
      <c r="H2274" t="inlineStr">
        <is>
          <t>STS</t>
        </is>
      </c>
      <c r="I2274" t="inlineStr">
        <is>
          <t>1250A</t>
        </is>
      </c>
      <c r="J2274" t="inlineStr">
        <is>
          <t>MATRION</t>
        </is>
      </c>
      <c r="K2274" t="inlineStr">
        <is>
          <t>CUIVRE</t>
        </is>
      </c>
      <c r="L2274">
        <f>_xlfn.XLOOKUP(Tableau1[[#This Row],[TYPE DE PIECE]],Tableau4[MATIERE],Tableau4[SHORT TYPE],"",0,1)</f>
        <v/>
      </c>
      <c r="N2274">
        <f>IF(ISERR(FIND("DECOUPE",Tableau1[[#This Row],[DESIGNATION]])),"","NEED REF")</f>
        <v/>
      </c>
    </row>
    <row r="2275">
      <c r="B2275" t="n">
        <v>34411726</v>
      </c>
      <c r="C2275" s="2" t="n">
        <v>45114</v>
      </c>
      <c r="D2275" t="inlineStr">
        <is>
          <t>SPEC</t>
        </is>
      </c>
      <c r="E2275">
        <f>_xlfn.CONCAT(Tableau1[[#This Row],[SHORT TYPE]]," ",Tableau1[[#This Row],[NUMERO]]," ",Tableau1[[#This Row],[GAMME]]," ",Tableau1[[#This Row],[TYPE PRODUIT]]," ",Tableau1[[#This Row],[PUISSANCE]])</f>
        <v/>
      </c>
      <c r="H2275" t="inlineStr">
        <is>
          <t>STS</t>
        </is>
      </c>
      <c r="I2275" t="inlineStr">
        <is>
          <t>1250A</t>
        </is>
      </c>
      <c r="J2275" t="inlineStr">
        <is>
          <t>MATRION</t>
        </is>
      </c>
      <c r="K2275" t="inlineStr">
        <is>
          <t>CUIVRE</t>
        </is>
      </c>
      <c r="L2275">
        <f>_xlfn.XLOOKUP(Tableau1[[#This Row],[TYPE DE PIECE]],Tableau4[MATIERE],Tableau4[SHORT TYPE],"",0,1)</f>
        <v/>
      </c>
      <c r="N2275">
        <f>IF(ISERR(FIND("DECOUPE",Tableau1[[#This Row],[DESIGNATION]])),"","NEED REF")</f>
        <v/>
      </c>
    </row>
    <row r="2276">
      <c r="B2276" t="n">
        <v>34411725</v>
      </c>
      <c r="C2276" s="2" t="n">
        <v>45114</v>
      </c>
      <c r="D2276" t="inlineStr">
        <is>
          <t>SPEC</t>
        </is>
      </c>
      <c r="E2276">
        <f>_xlfn.CONCAT(Tableau1[[#This Row],[SHORT TYPE]]," ",Tableau1[[#This Row],[NUMERO]]," ",Tableau1[[#This Row],[GAMME]]," ",Tableau1[[#This Row],[TYPE PRODUIT]]," ",Tableau1[[#This Row],[PUISSANCE]])</f>
        <v/>
      </c>
      <c r="H2276" t="inlineStr">
        <is>
          <t>STS</t>
        </is>
      </c>
      <c r="I2276" t="inlineStr">
        <is>
          <t>1250A</t>
        </is>
      </c>
      <c r="J2276" t="inlineStr">
        <is>
          <t>MATRION</t>
        </is>
      </c>
      <c r="K2276" t="inlineStr">
        <is>
          <t>CUIVRE</t>
        </is>
      </c>
      <c r="L2276">
        <f>_xlfn.XLOOKUP(Tableau1[[#This Row],[TYPE DE PIECE]],Tableau4[MATIERE],Tableau4[SHORT TYPE],"",0,1)</f>
        <v/>
      </c>
      <c r="N2276">
        <f>IF(ISERR(FIND("DECOUPE",Tableau1[[#This Row],[DESIGNATION]])),"","NEED REF")</f>
        <v/>
      </c>
    </row>
    <row r="2277">
      <c r="B2277" t="n">
        <v>34411724</v>
      </c>
      <c r="C2277" s="2" t="n">
        <v>45114</v>
      </c>
      <c r="D2277" t="inlineStr">
        <is>
          <t>SPEC</t>
        </is>
      </c>
      <c r="E2277">
        <f>_xlfn.CONCAT(Tableau1[[#This Row],[SHORT TYPE]]," ",Tableau1[[#This Row],[NUMERO]]," ",Tableau1[[#This Row],[GAMME]]," ",Tableau1[[#This Row],[TYPE PRODUIT]]," ",Tableau1[[#This Row],[PUISSANCE]])</f>
        <v/>
      </c>
      <c r="H2277" t="inlineStr">
        <is>
          <t>STS</t>
        </is>
      </c>
      <c r="I2277" t="inlineStr">
        <is>
          <t>1250A</t>
        </is>
      </c>
      <c r="J2277" t="inlineStr">
        <is>
          <t>MATRION</t>
        </is>
      </c>
      <c r="K2277" t="inlineStr">
        <is>
          <t>CUIVRE</t>
        </is>
      </c>
      <c r="L2277">
        <f>_xlfn.XLOOKUP(Tableau1[[#This Row],[TYPE DE PIECE]],Tableau4[MATIERE],Tableau4[SHORT TYPE],"",0,1)</f>
        <v/>
      </c>
      <c r="N2277">
        <f>IF(ISERR(FIND("DECOUPE",Tableau1[[#This Row],[DESIGNATION]])),"","NEED REF")</f>
        <v/>
      </c>
    </row>
    <row r="2278">
      <c r="B2278" t="n">
        <v>34411723</v>
      </c>
      <c r="C2278" s="2" t="n">
        <v>45114</v>
      </c>
      <c r="D2278" t="inlineStr">
        <is>
          <t>SPEC</t>
        </is>
      </c>
      <c r="E2278">
        <f>_xlfn.CONCAT(Tableau1[[#This Row],[SHORT TYPE]]," ",Tableau1[[#This Row],[NUMERO]]," ",Tableau1[[#This Row],[GAMME]]," ",Tableau1[[#This Row],[TYPE PRODUIT]]," ",Tableau1[[#This Row],[PUISSANCE]])</f>
        <v/>
      </c>
      <c r="H2278" t="inlineStr">
        <is>
          <t>STS</t>
        </is>
      </c>
      <c r="I2278" t="inlineStr">
        <is>
          <t>1250A</t>
        </is>
      </c>
      <c r="J2278" t="inlineStr">
        <is>
          <t>MATRION</t>
        </is>
      </c>
      <c r="K2278" t="inlineStr">
        <is>
          <t>CUIVRE</t>
        </is>
      </c>
      <c r="L2278">
        <f>_xlfn.XLOOKUP(Tableau1[[#This Row],[TYPE DE PIECE]],Tableau4[MATIERE],Tableau4[SHORT TYPE],"",0,1)</f>
        <v/>
      </c>
      <c r="N2278">
        <f>IF(ISERR(FIND("DECOUPE",Tableau1[[#This Row],[DESIGNATION]])),"","NEED REF")</f>
        <v/>
      </c>
    </row>
    <row r="2279">
      <c r="B2279" t="n">
        <v>34411722</v>
      </c>
      <c r="C2279" s="2" t="n">
        <v>45114</v>
      </c>
      <c r="D2279" t="inlineStr">
        <is>
          <t>SPEC</t>
        </is>
      </c>
      <c r="E2279">
        <f>_xlfn.CONCAT(Tableau1[[#This Row],[SHORT TYPE]]," ",Tableau1[[#This Row],[NUMERO]]," ",Tableau1[[#This Row],[GAMME]]," ",Tableau1[[#This Row],[TYPE PRODUIT]]," ",Tableau1[[#This Row],[PUISSANCE]])</f>
        <v/>
      </c>
      <c r="H2279" t="inlineStr">
        <is>
          <t>STS</t>
        </is>
      </c>
      <c r="I2279" t="inlineStr">
        <is>
          <t>1250A</t>
        </is>
      </c>
      <c r="J2279" t="inlineStr">
        <is>
          <t>MATRION</t>
        </is>
      </c>
      <c r="K2279" t="inlineStr">
        <is>
          <t>CUIVRE</t>
        </is>
      </c>
      <c r="L2279">
        <f>_xlfn.XLOOKUP(Tableau1[[#This Row],[TYPE DE PIECE]],Tableau4[MATIERE],Tableau4[SHORT TYPE],"",0,1)</f>
        <v/>
      </c>
      <c r="N2279">
        <f>IF(ISERR(FIND("DECOUPE",Tableau1[[#This Row],[DESIGNATION]])),"","NEED REF")</f>
        <v/>
      </c>
    </row>
    <row r="2280">
      <c r="B2280" t="n">
        <v>34411721</v>
      </c>
      <c r="C2280" s="2" t="n">
        <v>45114</v>
      </c>
      <c r="D2280" t="inlineStr">
        <is>
          <t>SPEC</t>
        </is>
      </c>
      <c r="E2280">
        <f>_xlfn.CONCAT(Tableau1[[#This Row],[SHORT TYPE]]," ",Tableau1[[#This Row],[NUMERO]]," ",Tableau1[[#This Row],[GAMME]]," ",Tableau1[[#This Row],[TYPE PRODUIT]]," ",Tableau1[[#This Row],[PUISSANCE]])</f>
        <v/>
      </c>
      <c r="H2280" t="inlineStr">
        <is>
          <t>STS</t>
        </is>
      </c>
      <c r="I2280" t="inlineStr">
        <is>
          <t>1250A</t>
        </is>
      </c>
      <c r="J2280" t="inlineStr">
        <is>
          <t>MATRION</t>
        </is>
      </c>
      <c r="K2280" t="inlineStr">
        <is>
          <t>CUIVRE</t>
        </is>
      </c>
      <c r="L2280">
        <f>_xlfn.XLOOKUP(Tableau1[[#This Row],[TYPE DE PIECE]],Tableau4[MATIERE],Tableau4[SHORT TYPE],"",0,1)</f>
        <v/>
      </c>
      <c r="N2280">
        <f>IF(ISERR(FIND("DECOUPE",Tableau1[[#This Row],[DESIGNATION]])),"","NEED REF")</f>
        <v/>
      </c>
    </row>
    <row r="2281">
      <c r="B2281" t="n">
        <v>34411720</v>
      </c>
      <c r="C2281" s="2" t="n">
        <v>45114</v>
      </c>
      <c r="D2281" t="inlineStr">
        <is>
          <t>SPEC</t>
        </is>
      </c>
      <c r="E2281">
        <f>_xlfn.CONCAT(Tableau1[[#This Row],[SHORT TYPE]]," ",Tableau1[[#This Row],[NUMERO]]," ",Tableau1[[#This Row],[GAMME]]," ",Tableau1[[#This Row],[TYPE PRODUIT]]," ",Tableau1[[#This Row],[PUISSANCE]])</f>
        <v/>
      </c>
      <c r="H2281" t="inlineStr">
        <is>
          <t>STS</t>
        </is>
      </c>
      <c r="I2281" t="inlineStr">
        <is>
          <t>1250A</t>
        </is>
      </c>
      <c r="J2281" t="inlineStr">
        <is>
          <t>MATRION</t>
        </is>
      </c>
      <c r="K2281" t="inlineStr">
        <is>
          <t>CUIVRE</t>
        </is>
      </c>
      <c r="L2281">
        <f>_xlfn.XLOOKUP(Tableau1[[#This Row],[TYPE DE PIECE]],Tableau4[MATIERE],Tableau4[SHORT TYPE],"",0,1)</f>
        <v/>
      </c>
      <c r="N2281">
        <f>IF(ISERR(FIND("DECOUPE",Tableau1[[#This Row],[DESIGNATION]])),"","NEED REF")</f>
        <v/>
      </c>
    </row>
    <row r="2282">
      <c r="B2282" t="n">
        <v>34411719</v>
      </c>
      <c r="C2282" s="2" t="n">
        <v>45113</v>
      </c>
      <c r="D2282" t="inlineStr">
        <is>
          <t>SPEC</t>
        </is>
      </c>
      <c r="E2282" t="inlineStr">
        <is>
          <t>SHT plastron central MTZ2</t>
        </is>
      </c>
      <c r="J2282" t="inlineStr">
        <is>
          <t>BERNARDEAU</t>
        </is>
      </c>
      <c r="L2282">
        <f>_xlfn.XLOOKUP(Tableau1[[#This Row],[TYPE DE PIECE]],Tableau4[MATIERE],Tableau4[SHORT TYPE],"",0,1)</f>
        <v/>
      </c>
      <c r="N2282">
        <f>IF(ISERR(FIND("DECOUPE",Tableau1[[#This Row],[DESIGNATION]])),"","NEED REF")</f>
        <v/>
      </c>
    </row>
    <row r="2283">
      <c r="B2283" t="n">
        <v>34411718</v>
      </c>
      <c r="C2283" s="2" t="n">
        <v>45113</v>
      </c>
      <c r="D2283" t="inlineStr">
        <is>
          <t>SPEC</t>
        </is>
      </c>
      <c r="E2283">
        <f>_xlfn.CONCAT(Tableau1[[#This Row],[SHORT TYPE]]," ",Tableau1[[#This Row],[NUMERO]]," ",Tableau1[[#This Row],[GAMME]]," ",Tableau1[[#This Row],[TYPE PRODUIT]]," ",Tableau1[[#This Row],[PUISSANCE]])</f>
        <v/>
      </c>
      <c r="H2283" t="inlineStr">
        <is>
          <t>STS</t>
        </is>
      </c>
      <c r="I2283" t="inlineStr">
        <is>
          <t>1250A</t>
        </is>
      </c>
      <c r="J2283" t="inlineStr">
        <is>
          <t>MATRION</t>
        </is>
      </c>
      <c r="K2283" t="inlineStr">
        <is>
          <t>CUIVRE</t>
        </is>
      </c>
      <c r="L2283">
        <f>_xlfn.XLOOKUP(Tableau1[[#This Row],[TYPE DE PIECE]],Tableau4[MATIERE],Tableau4[SHORT TYPE],"",0,1)</f>
        <v/>
      </c>
      <c r="N2283">
        <f>IF(ISERR(FIND("DECOUPE",Tableau1[[#This Row],[DESIGNATION]])),"","NEED REF")</f>
        <v/>
      </c>
    </row>
    <row r="2284">
      <c r="B2284" t="n">
        <v>34411717</v>
      </c>
      <c r="C2284" s="2" t="n">
        <v>45113</v>
      </c>
      <c r="D2284" t="inlineStr">
        <is>
          <t>SPEC</t>
        </is>
      </c>
      <c r="E2284">
        <f>_xlfn.CONCAT(Tableau1[[#This Row],[SHORT TYPE]]," ",Tableau1[[#This Row],[NUMERO]]," ",Tableau1[[#This Row],[GAMME]]," ",Tableau1[[#This Row],[TYPE PRODUIT]]," ",Tableau1[[#This Row],[PUISSANCE]])</f>
        <v/>
      </c>
      <c r="H2284" t="inlineStr">
        <is>
          <t>STS</t>
        </is>
      </c>
      <c r="I2284" t="inlineStr">
        <is>
          <t>1250A</t>
        </is>
      </c>
      <c r="J2284" t="inlineStr">
        <is>
          <t>MATRION</t>
        </is>
      </c>
      <c r="K2284" t="inlineStr">
        <is>
          <t>CUIVRE</t>
        </is>
      </c>
      <c r="L2284">
        <f>_xlfn.XLOOKUP(Tableau1[[#This Row],[TYPE DE PIECE]],Tableau4[MATIERE],Tableau4[SHORT TYPE],"",0,1)</f>
        <v/>
      </c>
      <c r="N2284">
        <f>IF(ISERR(FIND("DECOUPE",Tableau1[[#This Row],[DESIGNATION]])),"","NEED REF")</f>
        <v/>
      </c>
    </row>
    <row r="2285">
      <c r="B2285" t="n">
        <v>34411716</v>
      </c>
      <c r="C2285" s="2" t="n">
        <v>45113</v>
      </c>
      <c r="D2285" t="inlineStr">
        <is>
          <t>SPEC</t>
        </is>
      </c>
      <c r="E2285">
        <f>_xlfn.CONCAT(Tableau1[[#This Row],[SHORT TYPE]]," ",Tableau1[[#This Row],[NUMERO]]," ",Tableau1[[#This Row],[GAMME]]," ",Tableau1[[#This Row],[TYPE PRODUIT]]," ",Tableau1[[#This Row],[PUISSANCE]])</f>
        <v/>
      </c>
      <c r="H2285" t="inlineStr">
        <is>
          <t>STS</t>
        </is>
      </c>
      <c r="I2285" t="inlineStr">
        <is>
          <t>1250A</t>
        </is>
      </c>
      <c r="J2285" t="inlineStr">
        <is>
          <t>MATRION</t>
        </is>
      </c>
      <c r="K2285" t="inlineStr">
        <is>
          <t>CUIVRE</t>
        </is>
      </c>
      <c r="L2285">
        <f>_xlfn.XLOOKUP(Tableau1[[#This Row],[TYPE DE PIECE]],Tableau4[MATIERE],Tableau4[SHORT TYPE],"",0,1)</f>
        <v/>
      </c>
      <c r="N2285">
        <f>IF(ISERR(FIND("DECOUPE",Tableau1[[#This Row],[DESIGNATION]])),"","NEED REF")</f>
        <v/>
      </c>
    </row>
    <row r="2286">
      <c r="B2286" t="n">
        <v>34411715</v>
      </c>
      <c r="C2286" s="2" t="n">
        <v>45113</v>
      </c>
      <c r="D2286" t="inlineStr">
        <is>
          <t>SPEC</t>
        </is>
      </c>
      <c r="E2286" t="inlineStr">
        <is>
          <t>CANEVAS NS1250A 3P Q1BP/Q2BP</t>
        </is>
      </c>
      <c r="H2286" t="inlineStr">
        <is>
          <t>STS</t>
        </is>
      </c>
      <c r="I2286" t="inlineStr">
        <is>
          <t>1250A</t>
        </is>
      </c>
      <c r="J2286" t="inlineStr">
        <is>
          <t>MATRION</t>
        </is>
      </c>
      <c r="K2286" t="inlineStr">
        <is>
          <t>SE</t>
        </is>
      </c>
      <c r="L2286">
        <f>_xlfn.XLOOKUP(Tableau1[[#This Row],[TYPE DE PIECE]],Tableau4[MATIERE],Tableau4[SHORT TYPE],"",0,1)</f>
        <v/>
      </c>
      <c r="N2286">
        <f>IF(ISERR(FIND("DECOUPE",Tableau1[[#This Row],[DESIGNATION]])),"","NEED REF")</f>
        <v/>
      </c>
    </row>
    <row r="2287">
      <c r="B2287" t="n">
        <v>34411714</v>
      </c>
      <c r="C2287" s="2" t="n">
        <v>45113</v>
      </c>
      <c r="D2287" t="inlineStr">
        <is>
          <t>SPEC</t>
        </is>
      </c>
      <c r="E2287" t="inlineStr">
        <is>
          <t>CANEVAS NS1250A 3P Q1/Q2/Q3</t>
        </is>
      </c>
      <c r="H2287" t="inlineStr">
        <is>
          <t>STS</t>
        </is>
      </c>
      <c r="I2287" t="inlineStr">
        <is>
          <t>1250A</t>
        </is>
      </c>
      <c r="J2287" t="inlineStr">
        <is>
          <t>MATRION</t>
        </is>
      </c>
      <c r="K2287" t="inlineStr">
        <is>
          <t>SE</t>
        </is>
      </c>
      <c r="L2287">
        <f>_xlfn.XLOOKUP(Tableau1[[#This Row],[TYPE DE PIECE]],Tableau4[MATIERE],Tableau4[SHORT TYPE],"",0,1)</f>
        <v/>
      </c>
      <c r="N2287">
        <f>IF(ISERR(FIND("DECOUPE",Tableau1[[#This Row],[DESIGNATION]])),"","NEED REF")</f>
        <v/>
      </c>
    </row>
    <row r="2288">
      <c r="B2288" t="n">
        <v>34411713</v>
      </c>
      <c r="C2288" s="2" t="n">
        <v>45113</v>
      </c>
      <c r="D2288" t="inlineStr">
        <is>
          <t>SPEC</t>
        </is>
      </c>
      <c r="E2288" t="inlineStr">
        <is>
          <t>SE 34411679 JDB LATERAL STS1250A 3P</t>
        </is>
      </c>
      <c r="H2288" t="inlineStr">
        <is>
          <t>STS</t>
        </is>
      </c>
      <c r="I2288" t="inlineStr">
        <is>
          <t>1250A</t>
        </is>
      </c>
      <c r="J2288" t="inlineStr">
        <is>
          <t>MATRION</t>
        </is>
      </c>
      <c r="K2288" t="inlineStr">
        <is>
          <t>NOMENCLATURE</t>
        </is>
      </c>
      <c r="L2288">
        <f>_xlfn.XLOOKUP(Tableau1[[#This Row],[TYPE DE PIECE]],Tableau4[MATIERE],Tableau4[SHORT TYPE],"",0,1)</f>
        <v/>
      </c>
      <c r="N2288">
        <f>IF(ISERR(FIND("DECOUPE",Tableau1[[#This Row],[DESIGNATION]])),"","NEED REF")</f>
        <v/>
      </c>
    </row>
    <row r="2289">
      <c r="B2289" t="n">
        <v>34411712</v>
      </c>
      <c r="C2289" s="2" t="n">
        <v>45113</v>
      </c>
      <c r="D2289" t="inlineStr">
        <is>
          <t>SPEC</t>
        </is>
      </c>
      <c r="E2289">
        <f>_xlfn.CONCAT(Tableau1[[#This Row],[SHORT TYPE]]," ",Tableau1[[#This Row],[NUMERO]]," ",Tableau1[[#This Row],[GAMME]]," ",Tableau1[[#This Row],[TYPE PRODUIT]]," ",Tableau1[[#This Row],[PUISSANCE]])</f>
        <v/>
      </c>
      <c r="H2289" t="inlineStr">
        <is>
          <t>STS</t>
        </is>
      </c>
      <c r="I2289" t="inlineStr">
        <is>
          <t>1250A</t>
        </is>
      </c>
      <c r="J2289" t="inlineStr">
        <is>
          <t>MATRION</t>
        </is>
      </c>
      <c r="K2289" t="inlineStr">
        <is>
          <t>CUIVRE</t>
        </is>
      </c>
      <c r="L2289">
        <f>_xlfn.XLOOKUP(Tableau1[[#This Row],[TYPE DE PIECE]],Tableau4[MATIERE],Tableau4[SHORT TYPE],"",0,1)</f>
        <v/>
      </c>
      <c r="N2289">
        <f>IF(ISERR(FIND("DECOUPE",Tableau1[[#This Row],[DESIGNATION]])),"","NEED REF")</f>
        <v/>
      </c>
    </row>
    <row r="2290">
      <c r="B2290" t="n">
        <v>34411711</v>
      </c>
      <c r="C2290" s="2" t="n">
        <v>45113</v>
      </c>
      <c r="D2290" t="inlineStr">
        <is>
          <t>SPEC</t>
        </is>
      </c>
      <c r="E2290">
        <f>_xlfn.CONCAT(Tableau1[[#This Row],[SHORT TYPE]]," ",Tableau1[[#This Row],[NUMERO]]," ",Tableau1[[#This Row],[GAMME]]," ",Tableau1[[#This Row],[TYPE PRODUIT]]," ",Tableau1[[#This Row],[PUISSANCE]])</f>
        <v/>
      </c>
      <c r="H2290" t="inlineStr">
        <is>
          <t>STS</t>
        </is>
      </c>
      <c r="I2290" t="inlineStr">
        <is>
          <t>1250A</t>
        </is>
      </c>
      <c r="J2290" t="inlineStr">
        <is>
          <t>MATRION</t>
        </is>
      </c>
      <c r="K2290" t="inlineStr">
        <is>
          <t>CUIVRE</t>
        </is>
      </c>
      <c r="L2290">
        <f>_xlfn.XLOOKUP(Tableau1[[#This Row],[TYPE DE PIECE]],Tableau4[MATIERE],Tableau4[SHORT TYPE],"",0,1)</f>
        <v/>
      </c>
      <c r="N2290">
        <f>IF(ISERR(FIND("DECOUPE",Tableau1[[#This Row],[DESIGNATION]])),"","NEED REF")</f>
        <v/>
      </c>
    </row>
    <row r="2291">
      <c r="B2291" t="n">
        <v>34411710</v>
      </c>
      <c r="C2291" s="2" t="n">
        <v>45112</v>
      </c>
      <c r="D2291" t="inlineStr">
        <is>
          <t>SPEC</t>
        </is>
      </c>
      <c r="E2291" t="inlineStr">
        <is>
          <t>COP JONCTION BARRE NEUTRE</t>
        </is>
      </c>
      <c r="G2291" t="inlineStr">
        <is>
          <t>GVL</t>
        </is>
      </c>
      <c r="H2291" t="inlineStr">
        <is>
          <t>BYPASS</t>
        </is>
      </c>
      <c r="I2291" t="inlineStr">
        <is>
          <t>1600A</t>
        </is>
      </c>
      <c r="J2291" t="inlineStr">
        <is>
          <t>BERNARDEAU</t>
        </is>
      </c>
      <c r="K2291" t="inlineStr">
        <is>
          <t>CUIVRE</t>
        </is>
      </c>
      <c r="L2291">
        <f>_xlfn.XLOOKUP(Tableau1[[#This Row],[TYPE DE PIECE]],Tableau4[MATIERE],Tableau4[SHORT TYPE],"",0,1)</f>
        <v/>
      </c>
      <c r="N2291">
        <f>IF(ISERR(FIND("DECOUPE",Tableau1[[#This Row],[DESIGNATION]])),"","NEED REF")</f>
        <v/>
      </c>
    </row>
    <row r="2292">
      <c r="B2292" t="n">
        <v>34411709</v>
      </c>
      <c r="C2292" s="2" t="n">
        <v>45112</v>
      </c>
      <c r="D2292" t="inlineStr">
        <is>
          <t>SPEC</t>
        </is>
      </c>
      <c r="E2292">
        <f>_xlfn.CONCAT(Tableau1[[#This Row],[SHORT TYPE]]," ",Tableau1[[#This Row],[NUMERO]]," ",Tableau1[[#This Row],[GAMME]]," ",Tableau1[[#This Row],[TYPE PRODUIT]]," ",Tableau1[[#This Row],[PUISSANCE]])</f>
        <v/>
      </c>
      <c r="H2292" t="inlineStr">
        <is>
          <t>STS</t>
        </is>
      </c>
      <c r="I2292" t="inlineStr">
        <is>
          <t>1250A</t>
        </is>
      </c>
      <c r="J2292" t="inlineStr">
        <is>
          <t>MATRION</t>
        </is>
      </c>
      <c r="K2292" t="inlineStr">
        <is>
          <t>CUIVRE</t>
        </is>
      </c>
      <c r="L2292">
        <f>_xlfn.XLOOKUP(Tableau1[[#This Row],[TYPE DE PIECE]],Tableau4[MATIERE],Tableau4[SHORT TYPE],"",0,1)</f>
        <v/>
      </c>
      <c r="N2292">
        <f>IF(ISERR(FIND("DECOUPE",Tableau1[[#This Row],[DESIGNATION]])),"","NEED REF")</f>
        <v/>
      </c>
    </row>
    <row r="2293">
      <c r="B2293" t="n">
        <v>34411708</v>
      </c>
      <c r="C2293" s="2" t="n">
        <v>45112</v>
      </c>
      <c r="D2293" t="inlineStr">
        <is>
          <t>SPEC</t>
        </is>
      </c>
      <c r="J2293" t="inlineStr">
        <is>
          <t>JAWORSKI</t>
        </is>
      </c>
      <c r="L2293">
        <f>_xlfn.XLOOKUP(Tableau1[[#This Row],[TYPE DE PIECE]],Tableau4[MATIERE],Tableau4[SHORT TYPE],"",0,1)</f>
        <v/>
      </c>
      <c r="N2293">
        <f>IF(ISERR(FIND("DECOUPE",Tableau1[[#This Row],[DESIGNATION]])),"","NEED REF")</f>
        <v/>
      </c>
    </row>
    <row r="2294">
      <c r="B2294" t="n">
        <v>34411707</v>
      </c>
      <c r="C2294" s="2" t="n">
        <v>45112</v>
      </c>
      <c r="D2294" t="inlineStr">
        <is>
          <t>SPEC</t>
        </is>
      </c>
      <c r="J2294" t="inlineStr">
        <is>
          <t>JAWORSKI</t>
        </is>
      </c>
      <c r="L2294">
        <f>_xlfn.XLOOKUP(Tableau1[[#This Row],[TYPE DE PIECE]],Tableau4[MATIERE],Tableau4[SHORT TYPE],"",0,1)</f>
        <v/>
      </c>
      <c r="N2294">
        <f>IF(ISERR(FIND("DECOUPE",Tableau1[[#This Row],[DESIGNATION]])),"","NEED REF")</f>
        <v/>
      </c>
    </row>
    <row r="2295">
      <c r="B2295" t="n">
        <v>34411706</v>
      </c>
      <c r="C2295" s="2" t="n">
        <v>45112</v>
      </c>
      <c r="D2295" t="inlineStr">
        <is>
          <t>SPEC</t>
        </is>
      </c>
      <c r="J2295" t="inlineStr">
        <is>
          <t>JAWORSKI</t>
        </is>
      </c>
      <c r="L2295">
        <f>_xlfn.XLOOKUP(Tableau1[[#This Row],[TYPE DE PIECE]],Tableau4[MATIERE],Tableau4[SHORT TYPE],"",0,1)</f>
        <v/>
      </c>
      <c r="N2295">
        <f>IF(ISERR(FIND("DECOUPE",Tableau1[[#This Row],[DESIGNATION]])),"","NEED REF")</f>
        <v/>
      </c>
    </row>
    <row r="2296">
      <c r="B2296" t="n">
        <v>34411705</v>
      </c>
      <c r="C2296" s="2" t="n">
        <v>45112</v>
      </c>
      <c r="D2296" t="inlineStr">
        <is>
          <t>SPEC</t>
        </is>
      </c>
      <c r="J2296" t="inlineStr">
        <is>
          <t>JAWORSKI</t>
        </is>
      </c>
      <c r="L2296">
        <f>_xlfn.XLOOKUP(Tableau1[[#This Row],[TYPE DE PIECE]],Tableau4[MATIERE],Tableau4[SHORT TYPE],"",0,1)</f>
        <v/>
      </c>
      <c r="N2296">
        <f>IF(ISERR(FIND("DECOUPE",Tableau1[[#This Row],[DESIGNATION]])),"","NEED REF")</f>
        <v/>
      </c>
    </row>
    <row r="2297">
      <c r="B2297" t="n">
        <v>34411704</v>
      </c>
      <c r="C2297" s="2" t="n">
        <v>45112</v>
      </c>
      <c r="D2297" t="inlineStr">
        <is>
          <t>SPEC</t>
        </is>
      </c>
      <c r="J2297" t="inlineStr">
        <is>
          <t>JAWORSKI</t>
        </is>
      </c>
      <c r="L2297">
        <f>_xlfn.XLOOKUP(Tableau1[[#This Row],[TYPE DE PIECE]],Tableau4[MATIERE],Tableau4[SHORT TYPE],"",0,1)</f>
        <v/>
      </c>
      <c r="N2297">
        <f>IF(ISERR(FIND("DECOUPE",Tableau1[[#This Row],[DESIGNATION]])),"","NEED REF")</f>
        <v/>
      </c>
    </row>
    <row r="2298">
      <c r="B2298" t="n">
        <v>34411703</v>
      </c>
      <c r="C2298" s="2" t="n">
        <v>45112</v>
      </c>
      <c r="D2298" t="inlineStr">
        <is>
          <t>SPEC</t>
        </is>
      </c>
      <c r="E2298" t="inlineStr">
        <is>
          <t>SMT RENFORT PLATINE</t>
        </is>
      </c>
      <c r="F2298" t="inlineStr">
        <is>
          <t>SE_BE101_SCHNEIDER ELECTRIC SA/NV</t>
        </is>
      </c>
      <c r="G2298" t="inlineStr">
        <is>
          <t>GVS</t>
        </is>
      </c>
      <c r="H2298" t="inlineStr">
        <is>
          <t>BYPASS</t>
        </is>
      </c>
      <c r="I2298" t="inlineStr">
        <is>
          <t>150KW</t>
        </is>
      </c>
      <c r="J2298" t="inlineStr">
        <is>
          <t>JAWORSKI</t>
        </is>
      </c>
      <c r="K2298" t="inlineStr">
        <is>
          <t>METAL</t>
        </is>
      </c>
      <c r="L2298">
        <f>_xlfn.XLOOKUP(Tableau1[[#This Row],[TYPE DE PIECE]],Tableau4[MATIERE],Tableau4[SHORT TYPE],"",0,1)</f>
        <v/>
      </c>
      <c r="N2298">
        <f>IF(ISERR(FIND("DECOUPE",Tableau1[[#This Row],[DESIGNATION]])),"","NEED REF")</f>
        <v/>
      </c>
    </row>
    <row r="2299">
      <c r="B2299" t="n">
        <v>34411702</v>
      </c>
      <c r="C2299" s="2" t="n">
        <v>45112</v>
      </c>
      <c r="D2299" t="inlineStr">
        <is>
          <t>SPEC</t>
        </is>
      </c>
      <c r="E2299" t="inlineStr">
        <is>
          <t>SMT PLATINE NSX250</t>
        </is>
      </c>
      <c r="F2299" t="inlineStr">
        <is>
          <t>SE_BE101_SCHNEIDER ELECTRIC SA/NV</t>
        </is>
      </c>
      <c r="G2299" t="inlineStr">
        <is>
          <t>GVS</t>
        </is>
      </c>
      <c r="H2299" t="inlineStr">
        <is>
          <t>BYPASS</t>
        </is>
      </c>
      <c r="I2299" t="inlineStr">
        <is>
          <t>150KW</t>
        </is>
      </c>
      <c r="J2299" t="inlineStr">
        <is>
          <t>JAWORSKI</t>
        </is>
      </c>
      <c r="K2299" t="inlineStr">
        <is>
          <t>METAL</t>
        </is>
      </c>
      <c r="L2299">
        <f>_xlfn.XLOOKUP(Tableau1[[#This Row],[TYPE DE PIECE]],Tableau4[MATIERE],Tableau4[SHORT TYPE],"",0,1)</f>
        <v/>
      </c>
      <c r="N2299">
        <f>IF(ISERR(FIND("DECOUPE",Tableau1[[#This Row],[DESIGNATION]])),"","NEED REF")</f>
        <v/>
      </c>
    </row>
    <row r="2300">
      <c r="B2300" t="n">
        <v>34411701</v>
      </c>
      <c r="C2300" s="2" t="n">
        <v>45112</v>
      </c>
      <c r="D2300" t="inlineStr">
        <is>
          <t>SPEC</t>
        </is>
      </c>
      <c r="E2300" t="inlineStr">
        <is>
          <t>SMT PLATINE NSX400</t>
        </is>
      </c>
      <c r="F2300" t="inlineStr">
        <is>
          <t>SE_BE101_SCHNEIDER ELECTRIC SA/NV</t>
        </is>
      </c>
      <c r="G2300" t="inlineStr">
        <is>
          <t>GVS</t>
        </is>
      </c>
      <c r="H2300" t="inlineStr">
        <is>
          <t>BYPASS</t>
        </is>
      </c>
      <c r="I2300" t="inlineStr">
        <is>
          <t>150KW</t>
        </is>
      </c>
      <c r="J2300" t="inlineStr">
        <is>
          <t>JAWORSKI</t>
        </is>
      </c>
      <c r="K2300" t="inlineStr">
        <is>
          <t>METAL</t>
        </is>
      </c>
      <c r="L2300">
        <f>_xlfn.XLOOKUP(Tableau1[[#This Row],[TYPE DE PIECE]],Tableau4[MATIERE],Tableau4[SHORT TYPE],"",0,1)</f>
        <v/>
      </c>
      <c r="N2300">
        <f>IF(ISERR(FIND("DECOUPE",Tableau1[[#This Row],[DESIGNATION]])),"","NEED REF")</f>
        <v/>
      </c>
    </row>
    <row r="2301">
      <c r="B2301" t="n">
        <v>34411700</v>
      </c>
      <c r="C2301" s="2" t="n">
        <v>45112</v>
      </c>
      <c r="D2301" t="inlineStr">
        <is>
          <t>SPEC</t>
        </is>
      </c>
      <c r="E2301" t="inlineStr">
        <is>
          <t>SMT PLATINE DE FOND</t>
        </is>
      </c>
      <c r="F2301" t="inlineStr">
        <is>
          <t>SE_BE101_SCHNEIDER ELECTRIC SA/NV</t>
        </is>
      </c>
      <c r="G2301" t="inlineStr">
        <is>
          <t>GVS</t>
        </is>
      </c>
      <c r="H2301" t="inlineStr">
        <is>
          <t>BYPASS</t>
        </is>
      </c>
      <c r="I2301" t="inlineStr">
        <is>
          <t>150KW</t>
        </is>
      </c>
      <c r="J2301" t="inlineStr">
        <is>
          <t>JAWORSKI</t>
        </is>
      </c>
      <c r="K2301" t="inlineStr">
        <is>
          <t>METAL</t>
        </is>
      </c>
      <c r="L2301">
        <f>_xlfn.XLOOKUP(Tableau1[[#This Row],[TYPE DE PIECE]],Tableau4[MATIERE],Tableau4[SHORT TYPE],"",0,1)</f>
        <v/>
      </c>
      <c r="N2301">
        <f>IF(ISERR(FIND("DECOUPE",Tableau1[[#This Row],[DESIGNATION]])),"","NEED REF")</f>
        <v/>
      </c>
    </row>
    <row r="2302">
      <c r="B2302" t="n">
        <v>34411699</v>
      </c>
      <c r="C2302" s="2" t="n">
        <v>45112</v>
      </c>
      <c r="D2302" t="inlineStr">
        <is>
          <t>SPEC</t>
        </is>
      </c>
      <c r="E2302" t="inlineStr">
        <is>
          <t>SMT LEFT RAIL ELEC PLT ASSEMBLY</t>
        </is>
      </c>
      <c r="F2302" t="inlineStr">
        <is>
          <t>TERACO</t>
        </is>
      </c>
      <c r="H2302" t="inlineStr">
        <is>
          <t>STS</t>
        </is>
      </c>
      <c r="I2302" t="inlineStr">
        <is>
          <t>600A</t>
        </is>
      </c>
      <c r="J2302" t="inlineStr">
        <is>
          <t>JAWORSKI</t>
        </is>
      </c>
      <c r="K2302" t="inlineStr">
        <is>
          <t>METAL</t>
        </is>
      </c>
      <c r="L2302">
        <f>_xlfn.XLOOKUP(Tableau1[[#This Row],[TYPE DE PIECE]],Tableau4[MATIERE],Tableau4[SHORT TYPE],"",0,1)</f>
        <v/>
      </c>
      <c r="N2302">
        <f>IF(ISERR(FIND("DECOUPE",Tableau1[[#This Row],[DESIGNATION]])),"","NEED REF")</f>
        <v/>
      </c>
    </row>
    <row r="2303">
      <c r="B2303" t="n">
        <v>34411698</v>
      </c>
      <c r="C2303" s="2" t="n">
        <v>45112</v>
      </c>
      <c r="D2303" t="inlineStr">
        <is>
          <t>SPEC</t>
        </is>
      </c>
      <c r="E2303" t="inlineStr">
        <is>
          <t>SMT RIGHT RAIL ELEC PLT ASSEMBLY</t>
        </is>
      </c>
      <c r="F2303" t="inlineStr">
        <is>
          <t>TERACO</t>
        </is>
      </c>
      <c r="H2303" t="inlineStr">
        <is>
          <t>STS</t>
        </is>
      </c>
      <c r="I2303" t="inlineStr">
        <is>
          <t>600A</t>
        </is>
      </c>
      <c r="J2303" t="inlineStr">
        <is>
          <t>JAWORSKI</t>
        </is>
      </c>
      <c r="K2303" t="inlineStr">
        <is>
          <t>METAL</t>
        </is>
      </c>
      <c r="L2303">
        <f>_xlfn.XLOOKUP(Tableau1[[#This Row],[TYPE DE PIECE]],Tableau4[MATIERE],Tableau4[SHORT TYPE],"",0,1)</f>
        <v/>
      </c>
      <c r="N2303">
        <f>IF(ISERR(FIND("DECOUPE",Tableau1[[#This Row],[DESIGNATION]])),"","NEED REF")</f>
        <v/>
      </c>
    </row>
    <row r="2304">
      <c r="B2304" t="n">
        <v>34411697</v>
      </c>
      <c r="C2304" s="2" t="n">
        <v>45112</v>
      </c>
      <c r="D2304" t="inlineStr">
        <is>
          <t>SPEC</t>
        </is>
      </c>
      <c r="E2304" t="inlineStr">
        <is>
          <t>NOM KIT RAILS SPT PLT ELEC UPSILON 4/600A</t>
        </is>
      </c>
      <c r="F2304" t="inlineStr">
        <is>
          <t>TERACO</t>
        </is>
      </c>
      <c r="H2304" t="inlineStr">
        <is>
          <t>STS</t>
        </is>
      </c>
      <c r="I2304" t="inlineStr">
        <is>
          <t>600A</t>
        </is>
      </c>
      <c r="J2304" t="inlineStr">
        <is>
          <t>JAWORSKI</t>
        </is>
      </c>
      <c r="K2304" t="inlineStr">
        <is>
          <t>NOMENCLATURE</t>
        </is>
      </c>
      <c r="L2304">
        <f>_xlfn.XLOOKUP(Tableau1[[#This Row],[TYPE DE PIECE]],Tableau4[MATIERE],Tableau4[SHORT TYPE],"",0,1)</f>
        <v/>
      </c>
      <c r="N2304">
        <f>IF(ISERR(FIND("DECOUPE",Tableau1[[#This Row],[DESIGNATION]])),"","NEED REF")</f>
        <v/>
      </c>
    </row>
    <row r="2305">
      <c r="B2305" t="n">
        <v>34411696</v>
      </c>
      <c r="C2305" s="2" t="n">
        <v>45112</v>
      </c>
      <c r="D2305" t="inlineStr">
        <is>
          <t>SPEC</t>
        </is>
      </c>
      <c r="E2305" t="inlineStr">
        <is>
          <t>PLA CONNECTION SUPPORT BUSBAR</t>
        </is>
      </c>
      <c r="F2305" t="inlineStr">
        <is>
          <t>TERACO</t>
        </is>
      </c>
      <c r="H2305" t="inlineStr">
        <is>
          <t>STS</t>
        </is>
      </c>
      <c r="I2305" t="inlineStr">
        <is>
          <t>600A</t>
        </is>
      </c>
      <c r="J2305" t="inlineStr">
        <is>
          <t>JAWORSKI</t>
        </is>
      </c>
      <c r="K2305" t="inlineStr">
        <is>
          <t>PLASTIQUE</t>
        </is>
      </c>
      <c r="L2305">
        <f>_xlfn.XLOOKUP(Tableau1[[#This Row],[TYPE DE PIECE]],Tableau4[MATIERE],Tableau4[SHORT TYPE],"",0,1)</f>
        <v/>
      </c>
      <c r="N2305">
        <f>IF(ISERR(FIND("DECOUPE",Tableau1[[#This Row],[DESIGNATION]])),"","NEED REF")</f>
        <v/>
      </c>
    </row>
    <row r="2306">
      <c r="B2306" t="n">
        <v>34411695</v>
      </c>
      <c r="C2306" s="2" t="n">
        <v>45112</v>
      </c>
      <c r="D2306" t="inlineStr">
        <is>
          <t>SPEC</t>
        </is>
      </c>
      <c r="E2306" t="inlineStr">
        <is>
          <t>COP ASSY CONNECT Q1 Q2 BYPASS 4/600A 4 POLES</t>
        </is>
      </c>
      <c r="F2306" t="inlineStr">
        <is>
          <t>TERACO</t>
        </is>
      </c>
      <c r="H2306" t="inlineStr">
        <is>
          <t>STS</t>
        </is>
      </c>
      <c r="I2306" t="inlineStr">
        <is>
          <t>600A</t>
        </is>
      </c>
      <c r="J2306" t="inlineStr">
        <is>
          <t>JAWORSKI</t>
        </is>
      </c>
      <c r="K2306" t="inlineStr">
        <is>
          <t>CUIVRE</t>
        </is>
      </c>
      <c r="L2306">
        <f>_xlfn.XLOOKUP(Tableau1[[#This Row],[TYPE DE PIECE]],Tableau4[MATIERE],Tableau4[SHORT TYPE],"",0,1)</f>
        <v/>
      </c>
      <c r="N2306">
        <f>IF(ISERR(FIND("DECOUPE",Tableau1[[#This Row],[DESIGNATION]])),"","NEED REF")</f>
        <v/>
      </c>
    </row>
    <row r="2307">
      <c r="B2307" t="n">
        <v>34411694</v>
      </c>
      <c r="C2307" s="2" t="n">
        <v>45112</v>
      </c>
      <c r="D2307" t="inlineStr">
        <is>
          <t>SPEC</t>
        </is>
      </c>
      <c r="E2307" t="inlineStr">
        <is>
          <t>SMT SUPPORT IC60</t>
        </is>
      </c>
      <c r="H2307" t="inlineStr">
        <is>
          <t>REGEN</t>
        </is>
      </c>
      <c r="I2307" t="inlineStr">
        <is>
          <t>250A</t>
        </is>
      </c>
      <c r="J2307" t="inlineStr">
        <is>
          <t>JAWORSKI</t>
        </is>
      </c>
      <c r="K2307" t="inlineStr">
        <is>
          <t>METAL</t>
        </is>
      </c>
      <c r="L2307">
        <f>_xlfn.XLOOKUP(Tableau1[[#This Row],[TYPE DE PIECE]],Tableau4[MATIERE],Tableau4[SHORT TYPE],"",0,1)</f>
        <v/>
      </c>
      <c r="N2307">
        <f>IF(ISERR(FIND("DECOUPE",Tableau1[[#This Row],[DESIGNATION]])),"","NEED REF")</f>
        <v/>
      </c>
    </row>
    <row r="2308">
      <c r="B2308" t="n">
        <v>34411693</v>
      </c>
      <c r="C2308" s="2" t="n">
        <v>45112</v>
      </c>
      <c r="D2308" t="inlineStr">
        <is>
          <t>SPEC</t>
        </is>
      </c>
      <c r="E2308" t="inlineStr">
        <is>
          <t>SMT PLATINE DE FOND</t>
        </is>
      </c>
      <c r="H2308" t="inlineStr">
        <is>
          <t>REGEN</t>
        </is>
      </c>
      <c r="I2308" t="inlineStr">
        <is>
          <t>250A</t>
        </is>
      </c>
      <c r="J2308" t="inlineStr">
        <is>
          <t>JAWORSKI</t>
        </is>
      </c>
      <c r="K2308" t="inlineStr">
        <is>
          <t>METAL</t>
        </is>
      </c>
      <c r="L2308">
        <f>_xlfn.XLOOKUP(Tableau1[[#This Row],[TYPE DE PIECE]],Tableau4[MATIERE],Tableau4[SHORT TYPE],"",0,1)</f>
        <v/>
      </c>
      <c r="N2308">
        <f>IF(ISERR(FIND("DECOUPE",Tableau1[[#This Row],[DESIGNATION]])),"","NEED REF")</f>
        <v/>
      </c>
    </row>
    <row r="2309">
      <c r="B2309" t="n">
        <v>34411692</v>
      </c>
      <c r="C2309" s="2" t="n">
        <v>45112</v>
      </c>
      <c r="D2309" t="inlineStr">
        <is>
          <t>SPEC</t>
        </is>
      </c>
      <c r="E2309" t="inlineStr">
        <is>
          <t>SMT PLASTRON REGEN 250A</t>
        </is>
      </c>
      <c r="H2309" t="inlineStr">
        <is>
          <t>REGEN</t>
        </is>
      </c>
      <c r="I2309" t="inlineStr">
        <is>
          <t>250A</t>
        </is>
      </c>
      <c r="J2309" t="inlineStr">
        <is>
          <t>JAWORSKI</t>
        </is>
      </c>
      <c r="K2309" t="inlineStr">
        <is>
          <t>METAL</t>
        </is>
      </c>
      <c r="L2309">
        <f>_xlfn.XLOOKUP(Tableau1[[#This Row],[TYPE DE PIECE]],Tableau4[MATIERE],Tableau4[SHORT TYPE],"",0,1)</f>
        <v/>
      </c>
      <c r="N2309">
        <f>IF(ISERR(FIND("DECOUPE",Tableau1[[#This Row],[DESIGNATION]])),"","NEED REF")</f>
        <v/>
      </c>
    </row>
    <row r="2310">
      <c r="B2310" t="n">
        <v>34411691</v>
      </c>
      <c r="C2310" s="2" t="n">
        <v>45112</v>
      </c>
      <c r="D2310" t="inlineStr">
        <is>
          <t>SPEC</t>
        </is>
      </c>
      <c r="E2310" t="inlineStr">
        <is>
          <t>SMT SOUPPORT PLASTRON 1000MM</t>
        </is>
      </c>
      <c r="H2310" t="inlineStr">
        <is>
          <t>REGEN</t>
        </is>
      </c>
      <c r="I2310" t="inlineStr">
        <is>
          <t>250A</t>
        </is>
      </c>
      <c r="J2310" t="inlineStr">
        <is>
          <t>JAWORSKI</t>
        </is>
      </c>
      <c r="K2310" t="inlineStr">
        <is>
          <t>METAL</t>
        </is>
      </c>
      <c r="L2310">
        <f>_xlfn.XLOOKUP(Tableau1[[#This Row],[TYPE DE PIECE]],Tableau4[MATIERE],Tableau4[SHORT TYPE],"",0,1)</f>
        <v/>
      </c>
      <c r="N2310">
        <f>IF(ISERR(FIND("DECOUPE",Tableau1[[#This Row],[DESIGNATION]])),"","NEED REF")</f>
        <v/>
      </c>
    </row>
    <row r="2311">
      <c r="B2311" t="n">
        <v>34411690</v>
      </c>
      <c r="C2311" s="2" t="n">
        <v>45112</v>
      </c>
      <c r="D2311" t="inlineStr">
        <is>
          <t>SPEC</t>
        </is>
      </c>
      <c r="E2311" t="inlineStr">
        <is>
          <t>SMT SUPPORT PUISSANCE</t>
        </is>
      </c>
      <c r="H2311" t="inlineStr">
        <is>
          <t>REGEN</t>
        </is>
      </c>
      <c r="I2311" t="inlineStr">
        <is>
          <t>250A</t>
        </is>
      </c>
      <c r="J2311" t="inlineStr">
        <is>
          <t>JAWORSKI</t>
        </is>
      </c>
      <c r="K2311" t="inlineStr">
        <is>
          <t>METAL</t>
        </is>
      </c>
      <c r="L2311">
        <f>_xlfn.XLOOKUP(Tableau1[[#This Row],[TYPE DE PIECE]],Tableau4[MATIERE],Tableau4[SHORT TYPE],"",0,1)</f>
        <v/>
      </c>
      <c r="N2311">
        <f>IF(ISERR(FIND("DECOUPE",Tableau1[[#This Row],[DESIGNATION]])),"","NEED REF")</f>
        <v/>
      </c>
    </row>
    <row r="2312">
      <c r="B2312" t="n">
        <v>34411689</v>
      </c>
      <c r="C2312" s="2" t="n">
        <v>45112</v>
      </c>
      <c r="D2312" t="inlineStr">
        <is>
          <t>SPEC</t>
        </is>
      </c>
      <c r="E2312" t="inlineStr">
        <is>
          <t>COP CX SSW-Q1</t>
        </is>
      </c>
      <c r="H2312" t="inlineStr">
        <is>
          <t>REGEN</t>
        </is>
      </c>
      <c r="I2312" t="inlineStr">
        <is>
          <t>250A</t>
        </is>
      </c>
      <c r="J2312" t="inlineStr">
        <is>
          <t>JAWORSKI</t>
        </is>
      </c>
      <c r="K2312" t="inlineStr">
        <is>
          <t>CUIVRE</t>
        </is>
      </c>
      <c r="L2312">
        <f>_xlfn.XLOOKUP(Tableau1[[#This Row],[TYPE DE PIECE]],Tableau4[MATIERE],Tableau4[SHORT TYPE],"",0,1)</f>
        <v/>
      </c>
      <c r="N2312">
        <f>IF(ISERR(FIND("DECOUPE",Tableau1[[#This Row],[DESIGNATION]])),"","NEED REF")</f>
        <v/>
      </c>
    </row>
    <row r="2313">
      <c r="B2313" t="n">
        <v>34411688</v>
      </c>
      <c r="C2313" s="2" t="n">
        <v>45112</v>
      </c>
      <c r="D2313" t="inlineStr">
        <is>
          <t>SPEC</t>
        </is>
      </c>
      <c r="E2313" t="inlineStr">
        <is>
          <t>COP CX SSW-KM1</t>
        </is>
      </c>
      <c r="H2313" t="inlineStr">
        <is>
          <t>REGEN</t>
        </is>
      </c>
      <c r="I2313" t="inlineStr">
        <is>
          <t>250A</t>
        </is>
      </c>
      <c r="J2313" t="inlineStr">
        <is>
          <t>JAWORSKI</t>
        </is>
      </c>
      <c r="K2313" t="inlineStr">
        <is>
          <t>CUIVRE</t>
        </is>
      </c>
      <c r="L2313">
        <f>_xlfn.XLOOKUP(Tableau1[[#This Row],[TYPE DE PIECE]],Tableau4[MATIERE],Tableau4[SHORT TYPE],"",0,1)</f>
        <v/>
      </c>
      <c r="N2313">
        <f>IF(ISERR(FIND("DECOUPE",Tableau1[[#This Row],[DESIGNATION]])),"","NEED REF")</f>
        <v/>
      </c>
    </row>
    <row r="2314">
      <c r="B2314" t="n">
        <v>34411687</v>
      </c>
      <c r="C2314" s="2" t="n">
        <v>45112</v>
      </c>
      <c r="D2314" t="inlineStr">
        <is>
          <t>SPEC</t>
        </is>
      </c>
      <c r="E2314" t="inlineStr">
        <is>
          <t>SMT TRAVERSE PORTE</t>
        </is>
      </c>
      <c r="H2314" t="inlineStr">
        <is>
          <t>REGEN</t>
        </is>
      </c>
      <c r="I2314" t="inlineStr">
        <is>
          <t>250A</t>
        </is>
      </c>
      <c r="J2314" t="inlineStr">
        <is>
          <t>JAWORSKI</t>
        </is>
      </c>
      <c r="K2314" t="inlineStr">
        <is>
          <t>METAL</t>
        </is>
      </c>
      <c r="L2314">
        <f>_xlfn.XLOOKUP(Tableau1[[#This Row],[TYPE DE PIECE]],Tableau4[MATIERE],Tableau4[SHORT TYPE],"",0,1)</f>
        <v/>
      </c>
      <c r="N2314">
        <f>IF(ISERR(FIND("DECOUPE",Tableau1[[#This Row],[DESIGNATION]])),"","NEED REF")</f>
        <v/>
      </c>
    </row>
    <row r="2315">
      <c r="B2315" t="n">
        <v>34411686</v>
      </c>
      <c r="C2315" s="2" t="n">
        <v>45112</v>
      </c>
      <c r="D2315" t="inlineStr">
        <is>
          <t>SPEC</t>
        </is>
      </c>
      <c r="E2315" t="inlineStr">
        <is>
          <t>CANEVAS MTZ2 1600A  SW 3P  +2 NC</t>
        </is>
      </c>
      <c r="J2315" t="inlineStr">
        <is>
          <t>BERNARDEAU</t>
        </is>
      </c>
      <c r="K2315" s="38" t="inlineStr">
        <is>
          <t>=SE=</t>
        </is>
      </c>
      <c r="L2315">
        <f>_xlfn.XLOOKUP(Tableau1[[#This Row],[TYPE DE PIECE]],Tableau4[MATIERE],Tableau4[SHORT TYPE],"",0,1)</f>
        <v/>
      </c>
      <c r="N2315">
        <f>IF(ISERR(FIND("DECOUPE",Tableau1[[#This Row],[DESIGNATION]])),"","NEED REF")</f>
        <v/>
      </c>
    </row>
    <row r="2316">
      <c r="B2316" t="n">
        <v>34411685</v>
      </c>
      <c r="C2316" s="2" t="n">
        <v>45112</v>
      </c>
      <c r="D2316" t="inlineStr">
        <is>
          <t>SPEC</t>
        </is>
      </c>
      <c r="E2316">
        <f>_xlfn.CONCAT(Tableau1[[#This Row],[SHORT TYPE]]," ",Tableau1[[#This Row],[NUMERO]]," ",Tableau1[[#This Row],[GAMME]]," ",Tableau1[[#This Row],[TYPE PRODUIT]]," ",Tableau1[[#This Row],[PUISSANCE]])</f>
        <v/>
      </c>
      <c r="H2316" t="inlineStr">
        <is>
          <t>STS</t>
        </is>
      </c>
      <c r="I2316" t="inlineStr">
        <is>
          <t>1250A</t>
        </is>
      </c>
      <c r="J2316" t="inlineStr">
        <is>
          <t>MATRION</t>
        </is>
      </c>
      <c r="K2316" t="inlineStr">
        <is>
          <t>CUIVRE</t>
        </is>
      </c>
      <c r="L2316">
        <f>_xlfn.XLOOKUP(Tableau1[[#This Row],[TYPE DE PIECE]],Tableau4[MATIERE],Tableau4[SHORT TYPE],"",0,1)</f>
        <v/>
      </c>
      <c r="N2316">
        <f>IF(ISERR(FIND("DECOUPE",Tableau1[[#This Row],[DESIGNATION]])),"","NEED REF")</f>
        <v/>
      </c>
    </row>
    <row r="2317">
      <c r="B2317" t="n">
        <v>34411684</v>
      </c>
      <c r="C2317" s="2" t="n">
        <v>45112</v>
      </c>
      <c r="D2317" t="inlineStr">
        <is>
          <t>SPEC</t>
        </is>
      </c>
      <c r="E2317" t="inlineStr">
        <is>
          <t>CANEVAS NS800NA 3P + 2OF</t>
        </is>
      </c>
      <c r="J2317" t="inlineStr">
        <is>
          <t>BERNARDEAU</t>
        </is>
      </c>
      <c r="K2317" s="38" t="inlineStr">
        <is>
          <t>=SE=</t>
        </is>
      </c>
      <c r="L2317">
        <f>_xlfn.XLOOKUP(Tableau1[[#This Row],[TYPE DE PIECE]],Tableau4[MATIERE],Tableau4[SHORT TYPE],"",0,1)</f>
        <v/>
      </c>
      <c r="N2317">
        <f>IF(ISERR(FIND("DECOUPE",Tableau1[[#This Row],[DESIGNATION]])),"","NEED REF")</f>
        <v/>
      </c>
    </row>
    <row r="2318">
      <c r="B2318" t="n">
        <v>34411683</v>
      </c>
      <c r="C2318" s="2" t="n">
        <v>45112</v>
      </c>
      <c r="D2318" t="inlineStr">
        <is>
          <t>SPEC</t>
        </is>
      </c>
      <c r="E2318">
        <f>_xlfn.CONCAT(Tableau1[[#This Row],[SHORT TYPE]]," ",Tableau1[[#This Row],[NUMERO]]," ",Tableau1[[#This Row],[GAMME]]," ",Tableau1[[#This Row],[TYPE PRODUIT]]," ",Tableau1[[#This Row],[PUISSANCE]])</f>
        <v/>
      </c>
      <c r="H2318" t="inlineStr">
        <is>
          <t>STS</t>
        </is>
      </c>
      <c r="I2318" t="inlineStr">
        <is>
          <t>1250A</t>
        </is>
      </c>
      <c r="J2318" t="inlineStr">
        <is>
          <t>MATRION</t>
        </is>
      </c>
      <c r="K2318" t="inlineStr">
        <is>
          <t>CUIVRE</t>
        </is>
      </c>
      <c r="L2318">
        <f>_xlfn.XLOOKUP(Tableau1[[#This Row],[TYPE DE PIECE]],Tableau4[MATIERE],Tableau4[SHORT TYPE],"",0,1)</f>
        <v/>
      </c>
      <c r="N2318">
        <f>IF(ISERR(FIND("DECOUPE",Tableau1[[#This Row],[DESIGNATION]])),"","NEED REF")</f>
        <v/>
      </c>
    </row>
    <row r="2319">
      <c r="B2319" t="n">
        <v>34411682</v>
      </c>
      <c r="C2319" s="2" t="n">
        <v>45112</v>
      </c>
      <c r="D2319" t="inlineStr">
        <is>
          <t>SPEC</t>
        </is>
      </c>
      <c r="E2319">
        <f>_xlfn.CONCAT(Tableau1[[#This Row],[SHORT TYPE]]," ",Tableau1[[#This Row],[NUMERO]]," ",Tableau1[[#This Row],[GAMME]]," ",Tableau1[[#This Row],[TYPE PRODUIT]]," ",Tableau1[[#This Row],[PUISSANCE]])</f>
        <v/>
      </c>
      <c r="H2319" t="inlineStr">
        <is>
          <t>STS</t>
        </is>
      </c>
      <c r="I2319" t="inlineStr">
        <is>
          <t>1250A</t>
        </is>
      </c>
      <c r="J2319" t="inlineStr">
        <is>
          <t>MATRION</t>
        </is>
      </c>
      <c r="K2319" t="inlineStr">
        <is>
          <t>CUIVRE</t>
        </is>
      </c>
      <c r="L2319">
        <f>_xlfn.XLOOKUP(Tableau1[[#This Row],[TYPE DE PIECE]],Tableau4[MATIERE],Tableau4[SHORT TYPE],"",0,1)</f>
        <v/>
      </c>
      <c r="N2319">
        <f>IF(ISERR(FIND("DECOUPE",Tableau1[[#This Row],[DESIGNATION]])),"","NEED REF")</f>
        <v/>
      </c>
    </row>
    <row r="2320">
      <c r="B2320" t="n">
        <v>34411681</v>
      </c>
      <c r="C2320" s="2" t="n">
        <v>45112</v>
      </c>
      <c r="D2320" t="inlineStr">
        <is>
          <t>SPEC</t>
        </is>
      </c>
      <c r="E2320">
        <f>_xlfn.CONCAT(Tableau1[[#This Row],[SHORT TYPE]]," ",Tableau1[[#This Row],[NUMERO]]," ",Tableau1[[#This Row],[GAMME]]," ",Tableau1[[#This Row],[TYPE PRODUIT]]," ",Tableau1[[#This Row],[PUISSANCE]])</f>
        <v/>
      </c>
      <c r="H2320" t="inlineStr">
        <is>
          <t>STS</t>
        </is>
      </c>
      <c r="I2320" t="inlineStr">
        <is>
          <t>1250A</t>
        </is>
      </c>
      <c r="J2320" t="inlineStr">
        <is>
          <t>MATRION</t>
        </is>
      </c>
      <c r="K2320" t="inlineStr">
        <is>
          <t>CUIVRE</t>
        </is>
      </c>
      <c r="L2320">
        <f>_xlfn.XLOOKUP(Tableau1[[#This Row],[TYPE DE PIECE]],Tableau4[MATIERE],Tableau4[SHORT TYPE],"",0,1)</f>
        <v/>
      </c>
      <c r="N2320">
        <f>IF(ISERR(FIND("DECOUPE",Tableau1[[#This Row],[DESIGNATION]])),"","NEED REF")</f>
        <v/>
      </c>
    </row>
    <row r="2321">
      <c r="B2321" t="n">
        <v>34411680</v>
      </c>
      <c r="C2321" s="2" t="n">
        <v>45112</v>
      </c>
      <c r="D2321" t="inlineStr">
        <is>
          <t>SPEC</t>
        </is>
      </c>
      <c r="E2321" t="inlineStr">
        <is>
          <t>SMT 34411680 PLATINE BYPASS STS 1250A</t>
        </is>
      </c>
      <c r="H2321" t="inlineStr">
        <is>
          <t>STS</t>
        </is>
      </c>
      <c r="I2321" t="inlineStr">
        <is>
          <t>1250A</t>
        </is>
      </c>
      <c r="J2321" t="inlineStr">
        <is>
          <t>MATRION</t>
        </is>
      </c>
      <c r="K2321" t="inlineStr">
        <is>
          <t>METAL</t>
        </is>
      </c>
      <c r="L2321">
        <f>_xlfn.XLOOKUP(Tableau1[[#This Row],[TYPE DE PIECE]],Tableau4[MATIERE],Tableau4[SHORT TYPE],"",0,1)</f>
        <v/>
      </c>
      <c r="N2321">
        <f>IF(ISERR(FIND("DECOUPE",Tableau1[[#This Row],[DESIGNATION]])),"","NEED REF")</f>
        <v/>
      </c>
    </row>
    <row r="2322">
      <c r="B2322" t="n">
        <v>34411679</v>
      </c>
      <c r="C2322" s="2" t="n">
        <v>45112</v>
      </c>
      <c r="D2322" t="inlineStr">
        <is>
          <t>SPEC</t>
        </is>
      </c>
      <c r="E2322" t="inlineStr">
        <is>
          <t>SE 34411679 BYPASS STS1250A 3P</t>
        </is>
      </c>
      <c r="H2322" t="inlineStr">
        <is>
          <t>STS</t>
        </is>
      </c>
      <c r="I2322" t="inlineStr">
        <is>
          <t>1250A</t>
        </is>
      </c>
      <c r="J2322" t="inlineStr">
        <is>
          <t>MATRION</t>
        </is>
      </c>
      <c r="K2322" t="inlineStr">
        <is>
          <t>NOMENCLATURE</t>
        </is>
      </c>
      <c r="L2322">
        <f>_xlfn.XLOOKUP(Tableau1[[#This Row],[TYPE DE PIECE]],Tableau4[MATIERE],Tableau4[SHORT TYPE],"",0,1)</f>
        <v/>
      </c>
      <c r="N2322">
        <f>IF(ISERR(FIND("DECOUPE",Tableau1[[#This Row],[DESIGNATION]])),"","NEED REF")</f>
        <v/>
      </c>
    </row>
    <row r="2323">
      <c r="B2323" t="n">
        <v>34411678</v>
      </c>
      <c r="C2323" s="2" t="n">
        <v>45111</v>
      </c>
      <c r="D2323" t="inlineStr">
        <is>
          <t>SPEC</t>
        </is>
      </c>
      <c r="E2323" t="inlineStr">
        <is>
          <t>COP 34411678 FLEX ERICO RACC HAUT STS 1250A</t>
        </is>
      </c>
      <c r="H2323" t="inlineStr">
        <is>
          <t>STS</t>
        </is>
      </c>
      <c r="I2323" t="inlineStr">
        <is>
          <t>1250A</t>
        </is>
      </c>
      <c r="J2323" t="inlineStr">
        <is>
          <t>MATRION</t>
        </is>
      </c>
      <c r="K2323" t="inlineStr">
        <is>
          <t>CUIVRE</t>
        </is>
      </c>
      <c r="L2323">
        <f>_xlfn.XLOOKUP(Tableau1[[#This Row],[TYPE DE PIECE]],Tableau4[MATIERE],Tableau4[SHORT TYPE],"",0,1)</f>
        <v/>
      </c>
      <c r="N2323">
        <f>IF(ISERR(FIND("DECOUPE",Tableau1[[#This Row],[DESIGNATION]])),"","NEED REF")</f>
        <v/>
      </c>
    </row>
    <row r="2324">
      <c r="B2324" t="n">
        <v>34411677</v>
      </c>
      <c r="C2324" s="2" t="n">
        <v>45111</v>
      </c>
      <c r="D2324" t="inlineStr">
        <is>
          <t>SPEC</t>
        </is>
      </c>
      <c r="E2324" t="inlineStr">
        <is>
          <t>COP 34411677 FLEX ERICO RACC HAUT STS 1250A</t>
        </is>
      </c>
      <c r="H2324" t="inlineStr">
        <is>
          <t>STS</t>
        </is>
      </c>
      <c r="I2324" t="inlineStr">
        <is>
          <t>1250A</t>
        </is>
      </c>
      <c r="J2324" t="inlineStr">
        <is>
          <t>MATRION</t>
        </is>
      </c>
      <c r="K2324" t="inlineStr">
        <is>
          <t>CUIVRE</t>
        </is>
      </c>
      <c r="L2324">
        <f>_xlfn.XLOOKUP(Tableau1[[#This Row],[TYPE DE PIECE]],Tableau4[MATIERE],Tableau4[SHORT TYPE],"",0,1)</f>
        <v/>
      </c>
      <c r="N2324">
        <f>IF(ISERR(FIND("DECOUPE",Tableau1[[#This Row],[DESIGNATION]])),"","NEED REF")</f>
        <v/>
      </c>
    </row>
    <row r="2325">
      <c r="B2325" t="n">
        <v>34411676</v>
      </c>
      <c r="C2325" s="2" t="n">
        <v>45111</v>
      </c>
      <c r="D2325" t="inlineStr">
        <is>
          <t>SPEC</t>
        </is>
      </c>
      <c r="E2325" t="inlineStr">
        <is>
          <t>COP 34411676 FLEX ERICO RACC HAUT STS 1250A</t>
        </is>
      </c>
      <c r="H2325" t="inlineStr">
        <is>
          <t>STS</t>
        </is>
      </c>
      <c r="I2325" t="inlineStr">
        <is>
          <t>1250A</t>
        </is>
      </c>
      <c r="J2325" t="inlineStr">
        <is>
          <t>MATRION</t>
        </is>
      </c>
      <c r="K2325" t="inlineStr">
        <is>
          <t>CUIVRE</t>
        </is>
      </c>
      <c r="L2325">
        <f>_xlfn.XLOOKUP(Tableau1[[#This Row],[TYPE DE PIECE]],Tableau4[MATIERE],Tableau4[SHORT TYPE],"",0,1)</f>
        <v/>
      </c>
      <c r="N2325">
        <f>IF(ISERR(FIND("DECOUPE",Tableau1[[#This Row],[DESIGNATION]])),"","NEED REF")</f>
        <v/>
      </c>
    </row>
    <row r="2326">
      <c r="B2326" t="n">
        <v>34411675</v>
      </c>
      <c r="C2326" s="2" t="n">
        <v>45111</v>
      </c>
      <c r="D2326" t="inlineStr">
        <is>
          <t>SPEC</t>
        </is>
      </c>
      <c r="E2326" t="inlineStr">
        <is>
          <t>COP 34411675 FLEX ERICO RACC HAUT STS 1250A</t>
        </is>
      </c>
      <c r="H2326" t="inlineStr">
        <is>
          <t>STS</t>
        </is>
      </c>
      <c r="I2326" t="inlineStr">
        <is>
          <t>1250A</t>
        </is>
      </c>
      <c r="J2326" t="inlineStr">
        <is>
          <t>MATRION</t>
        </is>
      </c>
      <c r="K2326" t="inlineStr">
        <is>
          <t>CUIVRE</t>
        </is>
      </c>
      <c r="L2326">
        <f>_xlfn.XLOOKUP(Tableau1[[#This Row],[TYPE DE PIECE]],Tableau4[MATIERE],Tableau4[SHORT TYPE],"",0,1)</f>
        <v/>
      </c>
      <c r="N2326">
        <f>IF(ISERR(FIND("DECOUPE",Tableau1[[#This Row],[DESIGNATION]])),"","NEED REF")</f>
        <v/>
      </c>
    </row>
    <row r="2327">
      <c r="B2327" t="n">
        <v>34411674</v>
      </c>
      <c r="C2327" s="2" t="n">
        <v>45111</v>
      </c>
      <c r="D2327" t="inlineStr">
        <is>
          <t>SPEC</t>
        </is>
      </c>
      <c r="E2327" t="inlineStr">
        <is>
          <t>SMT PLATINE BYPASS 3P</t>
        </is>
      </c>
      <c r="G2327" t="inlineStr">
        <is>
          <t>GVS</t>
        </is>
      </c>
      <c r="H2327" t="inlineStr">
        <is>
          <t>BYPASS</t>
        </is>
      </c>
      <c r="I2327" t="inlineStr">
        <is>
          <t>1000kVA</t>
        </is>
      </c>
      <c r="J2327" t="inlineStr">
        <is>
          <t>BERNARDEAU</t>
        </is>
      </c>
      <c r="K2327" t="inlineStr">
        <is>
          <t>METAL</t>
        </is>
      </c>
      <c r="L2327">
        <f>_xlfn.XLOOKUP(Tableau1[[#This Row],[TYPE DE PIECE]],Tableau4[MATIERE],Tableau4[SHORT TYPE],"",0,1)</f>
        <v/>
      </c>
      <c r="N2327">
        <f>IF(ISERR(FIND("DECOUPE",Tableau1[[#This Row],[DESIGNATION]])),"","NEED REF")</f>
        <v/>
      </c>
    </row>
    <row r="2328">
      <c r="B2328" t="n">
        <v>34411673</v>
      </c>
      <c r="C2328" s="2" t="n">
        <v>45111</v>
      </c>
      <c r="D2328" t="inlineStr">
        <is>
          <t>SPEC</t>
        </is>
      </c>
      <c r="E2328" t="inlineStr">
        <is>
          <t>SMT PLASTRON BAS NSX3P (abandonee)</t>
        </is>
      </c>
      <c r="G2328" t="inlineStr">
        <is>
          <t>GVS</t>
        </is>
      </c>
      <c r="H2328" t="inlineStr">
        <is>
          <t>BYPASS</t>
        </is>
      </c>
      <c r="J2328" t="inlineStr">
        <is>
          <t>BERNARDEAU</t>
        </is>
      </c>
      <c r="K2328" t="inlineStr">
        <is>
          <t>METAL</t>
        </is>
      </c>
      <c r="L2328">
        <f>_xlfn.XLOOKUP(Tableau1[[#This Row],[TYPE DE PIECE]],Tableau4[MATIERE],Tableau4[SHORT TYPE],"",0,1)</f>
        <v/>
      </c>
      <c r="N2328">
        <f>IF(ISERR(FIND("DECOUPE",Tableau1[[#This Row],[DESIGNATION]])),"","NEED REF")</f>
        <v/>
      </c>
    </row>
    <row r="2329">
      <c r="B2329" t="n">
        <v>34411672</v>
      </c>
      <c r="C2329" s="2" t="n">
        <v>45111</v>
      </c>
      <c r="D2329" t="inlineStr">
        <is>
          <t>SPEC</t>
        </is>
      </c>
      <c r="E2329" t="inlineStr">
        <is>
          <t>SMT PLASTRON HAUT NSX3P (abandonee)</t>
        </is>
      </c>
      <c r="G2329" t="inlineStr">
        <is>
          <t>GVS</t>
        </is>
      </c>
      <c r="H2329" t="inlineStr">
        <is>
          <t>BYPASS</t>
        </is>
      </c>
      <c r="J2329" t="inlineStr">
        <is>
          <t>BERNARDEAU</t>
        </is>
      </c>
      <c r="K2329" t="inlineStr">
        <is>
          <t>METAL</t>
        </is>
      </c>
      <c r="L2329">
        <f>_xlfn.XLOOKUP(Tableau1[[#This Row],[TYPE DE PIECE]],Tableau4[MATIERE],Tableau4[SHORT TYPE],"",0,1)</f>
        <v/>
      </c>
      <c r="N2329">
        <f>IF(ISERR(FIND("DECOUPE",Tableau1[[#This Row],[DESIGNATION]])),"","NEED REF")</f>
        <v/>
      </c>
    </row>
    <row r="2330">
      <c r="B2330" t="n">
        <v>34411671</v>
      </c>
      <c r="C2330" s="2" t="n">
        <v>45111</v>
      </c>
      <c r="D2330" t="inlineStr">
        <is>
          <t>SPEC</t>
        </is>
      </c>
      <c r="E2330" t="inlineStr">
        <is>
          <t>SMT PLATINE BYPASS 3P (abandonnee)</t>
        </is>
      </c>
      <c r="G2330" t="inlineStr">
        <is>
          <t>GVS</t>
        </is>
      </c>
      <c r="H2330" t="inlineStr">
        <is>
          <t>BYPASS</t>
        </is>
      </c>
      <c r="I2330" t="inlineStr">
        <is>
          <t>1000kVA</t>
        </is>
      </c>
      <c r="J2330" t="inlineStr">
        <is>
          <t>BERNARDEAU</t>
        </is>
      </c>
      <c r="K2330" t="inlineStr">
        <is>
          <t>METAL</t>
        </is>
      </c>
      <c r="L2330">
        <f>_xlfn.XLOOKUP(Tableau1[[#This Row],[TYPE DE PIECE]],Tableau4[MATIERE],Tableau4[SHORT TYPE],"",0,1)</f>
        <v/>
      </c>
      <c r="N2330">
        <f>IF(ISERR(FIND("DECOUPE",Tableau1[[#This Row],[DESIGNATION]])),"","NEED REF")</f>
        <v/>
      </c>
    </row>
    <row r="2331">
      <c r="B2331" t="n">
        <v>34411670</v>
      </c>
      <c r="C2331" s="2" t="n">
        <v>45110</v>
      </c>
      <c r="D2331" t="inlineStr">
        <is>
          <t>SPEC</t>
        </is>
      </c>
      <c r="E2331">
        <f>_xlfn.CONCAT(Tableau1[[#This Row],[SHORT TYPE]]," ",Tableau1[[#This Row],[NUMERO]]," ",Tableau1[[#This Row],[GAMME]]," ",Tableau1[[#This Row],[TYPE PRODUIT]]," ",Tableau1[[#This Row],[PUISSANCE]])</f>
        <v/>
      </c>
      <c r="G2331" t="inlineStr">
        <is>
          <t>GVL</t>
        </is>
      </c>
      <c r="H2331" t="inlineStr">
        <is>
          <t>BYPASS</t>
        </is>
      </c>
      <c r="I2331" t="inlineStr">
        <is>
          <t>500kVA</t>
        </is>
      </c>
      <c r="J2331" t="inlineStr">
        <is>
          <t>MATRION</t>
        </is>
      </c>
      <c r="K2331" t="inlineStr">
        <is>
          <t>FILERIE</t>
        </is>
      </c>
      <c r="L2331">
        <f>_xlfn.XLOOKUP(Tableau1[[#This Row],[TYPE DE PIECE]],Tableau4[MATIERE],Tableau4[SHORT TYPE],"",0,1)</f>
        <v/>
      </c>
      <c r="N2331">
        <f>IF(ISERR(FIND("DECOUPE",Tableau1[[#This Row],[DESIGNATION]])),"","NEED REF")</f>
        <v/>
      </c>
    </row>
    <row r="2332">
      <c r="B2332" t="n">
        <v>34411669</v>
      </c>
      <c r="C2332" s="2" t="n">
        <v>45105</v>
      </c>
      <c r="D2332" t="inlineStr">
        <is>
          <t>SPEC</t>
        </is>
      </c>
      <c r="E2332">
        <f>_xlfn.CONCAT(Tableau1[[#This Row],[SHORT TYPE]]," ",Tableau1[[#This Row],[NUMERO]]," ",Tableau1[[#This Row],[GAMME]]," ",Tableau1[[#This Row],[TYPE PRODUIT]]," ",Tableau1[[#This Row],[PUISSANCE]])</f>
        <v/>
      </c>
      <c r="G2332" t="inlineStr">
        <is>
          <t>GVL</t>
        </is>
      </c>
      <c r="H2332" t="inlineStr">
        <is>
          <t>BYPASS</t>
        </is>
      </c>
      <c r="I2332" t="inlineStr">
        <is>
          <t>500kVA</t>
        </is>
      </c>
      <c r="J2332" t="inlineStr">
        <is>
          <t>MATRION</t>
        </is>
      </c>
      <c r="K2332" t="inlineStr">
        <is>
          <t>PLASTIQUE</t>
        </is>
      </c>
      <c r="L2332">
        <f>_xlfn.XLOOKUP(Tableau1[[#This Row],[TYPE DE PIECE]],Tableau4[MATIERE],Tableau4[SHORT TYPE],"",0,1)</f>
        <v/>
      </c>
      <c r="N2332">
        <f>IF(ISERR(FIND("DECOUPE",Tableau1[[#This Row],[DESIGNATION]])),"","NEED REF")</f>
        <v/>
      </c>
    </row>
    <row r="2333">
      <c r="B2333" t="n">
        <v>34411668</v>
      </c>
      <c r="C2333" s="2" t="n">
        <v>45105</v>
      </c>
      <c r="D2333" t="inlineStr">
        <is>
          <t>SPEC</t>
        </is>
      </c>
      <c r="E2333" t="inlineStr">
        <is>
          <t>34411668 GVL UPS 400kVA DECOUPE 870-3400120900</t>
        </is>
      </c>
      <c r="G2333" t="inlineStr">
        <is>
          <t>GVL</t>
        </is>
      </c>
      <c r="H2333" t="inlineStr">
        <is>
          <t>UPS</t>
        </is>
      </c>
      <c r="I2333" t="inlineStr">
        <is>
          <t>400kVA</t>
        </is>
      </c>
      <c r="J2333" t="inlineStr">
        <is>
          <t>MATRION</t>
        </is>
      </c>
      <c r="K2333" t="inlineStr">
        <is>
          <t>METAL</t>
        </is>
      </c>
      <c r="L2333">
        <f>_xlfn.XLOOKUP(Tableau1[[#This Row],[TYPE DE PIECE]],Tableau4[MATIERE],Tableau4[SHORT TYPE],"",0,1)</f>
        <v/>
      </c>
      <c r="N2333">
        <f>IF(ISERR(FIND("DECOUPE",Tableau1[[#This Row],[DESIGNATION]])),"","NEED REF")</f>
        <v/>
      </c>
    </row>
    <row r="2334">
      <c r="B2334" t="n">
        <v>34411667</v>
      </c>
      <c r="C2334" s="2" t="n">
        <v>45105</v>
      </c>
      <c r="D2334" t="inlineStr">
        <is>
          <t>SPEC</t>
        </is>
      </c>
      <c r="E2334" t="inlineStr">
        <is>
          <t>34411667 GVL UPS 400kVA DECOUPE 870-3400120900</t>
        </is>
      </c>
      <c r="G2334" t="inlineStr">
        <is>
          <t>GVL</t>
        </is>
      </c>
      <c r="H2334" t="inlineStr">
        <is>
          <t>UPS</t>
        </is>
      </c>
      <c r="I2334" t="inlineStr">
        <is>
          <t>400kVA</t>
        </is>
      </c>
      <c r="J2334" t="inlineStr">
        <is>
          <t>MATRION</t>
        </is>
      </c>
      <c r="K2334" t="inlineStr">
        <is>
          <t>METAL</t>
        </is>
      </c>
      <c r="L2334">
        <f>_xlfn.XLOOKUP(Tableau1[[#This Row],[TYPE DE PIECE]],Tableau4[MATIERE],Tableau4[SHORT TYPE],"",0,1)</f>
        <v/>
      </c>
      <c r="N2334">
        <f>IF(ISERR(FIND("DECOUPE",Tableau1[[#This Row],[DESIGNATION]])),"","NEED REF")</f>
        <v/>
      </c>
    </row>
    <row r="2335">
      <c r="B2335" t="n">
        <v>34411666</v>
      </c>
      <c r="C2335" s="2" t="n">
        <v>45104</v>
      </c>
      <c r="D2335" t="inlineStr">
        <is>
          <t>SPEC</t>
        </is>
      </c>
      <c r="E2335">
        <f>_xlfn.CONCAT(Tableau1[[#This Row],[SHORT TYPE]]," ",Tableau1[[#This Row],[NUMERO]]," ",Tableau1[[#This Row],[GAMME]]," ",Tableau1[[#This Row],[TYPE PRODUIT]]," ",Tableau1[[#This Row],[PUISSANCE]])</f>
        <v/>
      </c>
      <c r="G2335" t="inlineStr">
        <is>
          <t>GVL</t>
        </is>
      </c>
      <c r="H2335" t="inlineStr">
        <is>
          <t>BYPASS</t>
        </is>
      </c>
      <c r="I2335" t="inlineStr">
        <is>
          <t>500kVA</t>
        </is>
      </c>
      <c r="J2335" t="inlineStr">
        <is>
          <t>MATRION</t>
        </is>
      </c>
      <c r="K2335" t="inlineStr">
        <is>
          <t>METAL</t>
        </is>
      </c>
      <c r="L2335">
        <f>_xlfn.XLOOKUP(Tableau1[[#This Row],[TYPE DE PIECE]],Tableau4[MATIERE],Tableau4[SHORT TYPE],"",0,1)</f>
        <v/>
      </c>
      <c r="N2335">
        <f>IF(ISERR(FIND("DECOUPE",Tableau1[[#This Row],[DESIGNATION]])),"","NEED REF")</f>
        <v/>
      </c>
    </row>
    <row r="2336">
      <c r="B2336" t="n">
        <v>34411665</v>
      </c>
      <c r="C2336" s="2" t="n">
        <v>45104</v>
      </c>
      <c r="D2336" t="inlineStr">
        <is>
          <t>SPEC</t>
        </is>
      </c>
      <c r="E2336">
        <f>_xlfn.CONCAT(Tableau1[[#This Row],[SHORT TYPE]]," ",Tableau1[[#This Row],[NUMERO]]," ",Tableau1[[#This Row],[GAMME]]," ",Tableau1[[#This Row],[TYPE PRODUIT]]," ",Tableau1[[#This Row],[PUISSANCE]])</f>
        <v/>
      </c>
      <c r="G2336" t="inlineStr">
        <is>
          <t>GVL</t>
        </is>
      </c>
      <c r="H2336" t="inlineStr">
        <is>
          <t>BYPASS</t>
        </is>
      </c>
      <c r="I2336" t="inlineStr">
        <is>
          <t>500kVA</t>
        </is>
      </c>
      <c r="J2336" t="inlineStr">
        <is>
          <t>MATRION</t>
        </is>
      </c>
      <c r="K2336" t="inlineStr">
        <is>
          <t>CUIVRE</t>
        </is>
      </c>
      <c r="L2336">
        <f>_xlfn.XLOOKUP(Tableau1[[#This Row],[TYPE DE PIECE]],Tableau4[MATIERE],Tableau4[SHORT TYPE],"",0,1)</f>
        <v/>
      </c>
      <c r="N2336">
        <f>IF(ISERR(FIND("DECOUPE",Tableau1[[#This Row],[DESIGNATION]])),"","NEED REF")</f>
        <v/>
      </c>
    </row>
    <row r="2337">
      <c r="B2337" t="n">
        <v>34411664</v>
      </c>
      <c r="C2337" s="2" t="n">
        <v>45104</v>
      </c>
      <c r="D2337" t="inlineStr">
        <is>
          <t>SPEC</t>
        </is>
      </c>
      <c r="E2337">
        <f>_xlfn.CONCAT(Tableau1[[#This Row],[SHORT TYPE]]," ",Tableau1[[#This Row],[NUMERO]]," ",Tableau1[[#This Row],[GAMME]]," ",Tableau1[[#This Row],[TYPE PRODUIT]]," ",Tableau1[[#This Row],[PUISSANCE]])</f>
        <v/>
      </c>
      <c r="G2337" t="inlineStr">
        <is>
          <t>GVL</t>
        </is>
      </c>
      <c r="H2337" t="inlineStr">
        <is>
          <t>BYPASS</t>
        </is>
      </c>
      <c r="I2337" t="inlineStr">
        <is>
          <t>500kVA</t>
        </is>
      </c>
      <c r="J2337" t="inlineStr">
        <is>
          <t>MATRION</t>
        </is>
      </c>
      <c r="K2337" t="inlineStr">
        <is>
          <t>CUIVRE</t>
        </is>
      </c>
      <c r="L2337">
        <f>_xlfn.XLOOKUP(Tableau1[[#This Row],[TYPE DE PIECE]],Tableau4[MATIERE],Tableau4[SHORT TYPE],"",0,1)</f>
        <v/>
      </c>
      <c r="N2337">
        <f>IF(ISERR(FIND("DECOUPE",Tableau1[[#This Row],[DESIGNATION]])),"","NEED REF")</f>
        <v/>
      </c>
    </row>
    <row r="2338">
      <c r="B2338" t="n">
        <v>34411663</v>
      </c>
      <c r="C2338" s="2" t="n">
        <v>45103</v>
      </c>
      <c r="D2338" t="inlineStr">
        <is>
          <t>SPEC</t>
        </is>
      </c>
      <c r="E2338" t="inlineStr">
        <is>
          <t>WIR KIT FILERIE BYPASS 150KW C1 M1 SINGLE MAIN</t>
        </is>
      </c>
      <c r="F2338" t="inlineStr">
        <is>
          <t>SE_IT0101_SCHNEIDER ELECTRIC S.P.A</t>
        </is>
      </c>
      <c r="G2338" t="inlineStr">
        <is>
          <t>GVS</t>
        </is>
      </c>
      <c r="H2338" t="inlineStr">
        <is>
          <t>BYPASS</t>
        </is>
      </c>
      <c r="I2338" t="inlineStr">
        <is>
          <t>150KW</t>
        </is>
      </c>
      <c r="J2338" t="inlineStr">
        <is>
          <t>JAWORSKI</t>
        </is>
      </c>
      <c r="K2338" t="inlineStr">
        <is>
          <t>FILERIE</t>
        </is>
      </c>
      <c r="L2338">
        <f>_xlfn.XLOOKUP(Tableau1[[#This Row],[TYPE DE PIECE]],Tableau4[MATIERE],Tableau4[SHORT TYPE],"",0,1)</f>
        <v/>
      </c>
      <c r="N2338">
        <f>IF(ISERR(FIND("DECOUPE",Tableau1[[#This Row],[DESIGNATION]])),"","NEED REF")</f>
        <v/>
      </c>
    </row>
    <row r="2339">
      <c r="B2339" t="n">
        <v>34411662</v>
      </c>
      <c r="C2339" s="2" t="n">
        <v>45103</v>
      </c>
      <c r="D2339" t="inlineStr">
        <is>
          <t>SPEC</t>
        </is>
      </c>
      <c r="E2339">
        <f>_xlfn.CONCAT(Tableau1[[#This Row],[SHORT TYPE]]," ",Tableau1[[#This Row],[NUMERO]]," ",Tableau1[[#This Row],[GAMME]]," ",Tableau1[[#This Row],[TYPE PRODUIT]]," ",Tableau1[[#This Row],[PUISSANCE]])</f>
        <v/>
      </c>
      <c r="G2339" t="inlineStr">
        <is>
          <t>GVL</t>
        </is>
      </c>
      <c r="H2339" t="inlineStr">
        <is>
          <t>BYPASS</t>
        </is>
      </c>
      <c r="I2339" t="inlineStr">
        <is>
          <t>500kVA</t>
        </is>
      </c>
      <c r="J2339" t="inlineStr">
        <is>
          <t>MATRION</t>
        </is>
      </c>
      <c r="K2339" t="inlineStr">
        <is>
          <t>METAL</t>
        </is>
      </c>
      <c r="L2339">
        <f>_xlfn.XLOOKUP(Tableau1[[#This Row],[TYPE DE PIECE]],Tableau4[MATIERE],Tableau4[SHORT TYPE],"",0,1)</f>
        <v/>
      </c>
      <c r="N2339">
        <f>IF(ISERR(FIND("DECOUPE",Tableau1[[#This Row],[DESIGNATION]])),"","NEED REF")</f>
        <v/>
      </c>
    </row>
    <row r="2340">
      <c r="B2340" t="n">
        <v>34411661</v>
      </c>
      <c r="C2340" s="2" t="n">
        <v>45103</v>
      </c>
      <c r="D2340" t="inlineStr">
        <is>
          <t>SPEC</t>
        </is>
      </c>
      <c r="E2340">
        <f>_xlfn.CONCAT(Tableau1[[#This Row],[SHORT TYPE]]," ",Tableau1[[#This Row],[NUMERO]]," ",Tableau1[[#This Row],[GAMME]]," ",Tableau1[[#This Row],[TYPE PRODUIT]]," ",Tableau1[[#This Row],[PUISSANCE]])</f>
        <v/>
      </c>
      <c r="G2340" t="inlineStr">
        <is>
          <t>GVL</t>
        </is>
      </c>
      <c r="H2340" t="inlineStr">
        <is>
          <t>BYPASS</t>
        </is>
      </c>
      <c r="I2340" t="inlineStr">
        <is>
          <t>500kVA</t>
        </is>
      </c>
      <c r="J2340" t="inlineStr">
        <is>
          <t>MATRION</t>
        </is>
      </c>
      <c r="K2340" t="inlineStr">
        <is>
          <t>METAL</t>
        </is>
      </c>
      <c r="L2340">
        <f>_xlfn.XLOOKUP(Tableau1[[#This Row],[TYPE DE PIECE]],Tableau4[MATIERE],Tableau4[SHORT TYPE],"",0,1)</f>
        <v/>
      </c>
      <c r="N2340">
        <f>IF(ISERR(FIND("DECOUPE",Tableau1[[#This Row],[DESIGNATION]])),"","NEED REF")</f>
        <v/>
      </c>
    </row>
    <row r="2341">
      <c r="B2341" t="n">
        <v>34411660</v>
      </c>
      <c r="C2341" s="2" t="n">
        <v>45103</v>
      </c>
      <c r="D2341" t="inlineStr">
        <is>
          <t>SPEC</t>
        </is>
      </c>
      <c r="E2341">
        <f>_xlfn.CONCAT(Tableau1[[#This Row],[SHORT TYPE]]," ",Tableau1[[#This Row],[NUMERO]]," ",Tableau1[[#This Row],[GAMME]]," ",Tableau1[[#This Row],[TYPE PRODUIT]]," ",Tableau1[[#This Row],[PUISSANCE]])</f>
        <v/>
      </c>
      <c r="G2341" t="inlineStr">
        <is>
          <t>GVL</t>
        </is>
      </c>
      <c r="H2341" t="inlineStr">
        <is>
          <t>BYPASS</t>
        </is>
      </c>
      <c r="I2341" t="inlineStr">
        <is>
          <t>500kVA</t>
        </is>
      </c>
      <c r="J2341" t="inlineStr">
        <is>
          <t>MATRION</t>
        </is>
      </c>
      <c r="K2341" t="inlineStr">
        <is>
          <t>METAL</t>
        </is>
      </c>
      <c r="L2341">
        <f>_xlfn.XLOOKUP(Tableau1[[#This Row],[TYPE DE PIECE]],Tableau4[MATIERE],Tableau4[SHORT TYPE],"",0,1)</f>
        <v/>
      </c>
      <c r="N2341">
        <f>IF(ISERR(FIND("DECOUPE",Tableau1[[#This Row],[DESIGNATION]])),"","NEED REF")</f>
        <v/>
      </c>
    </row>
    <row r="2342">
      <c r="B2342" t="n">
        <v>34411659</v>
      </c>
      <c r="C2342" s="2" t="n">
        <v>45103</v>
      </c>
      <c r="D2342" t="inlineStr">
        <is>
          <t>SPEC</t>
        </is>
      </c>
      <c r="E2342">
        <f>_xlfn.CONCAT(Tableau1[[#This Row],[SHORT TYPE]]," ",Tableau1[[#This Row],[NUMERO]]," ",Tableau1[[#This Row],[GAMME]]," ",Tableau1[[#This Row],[TYPE PRODUIT]]," ",Tableau1[[#This Row],[PUISSANCE]])</f>
        <v/>
      </c>
      <c r="G2342" t="inlineStr">
        <is>
          <t>GVL</t>
        </is>
      </c>
      <c r="H2342" t="inlineStr">
        <is>
          <t>BYPASS</t>
        </is>
      </c>
      <c r="I2342" t="inlineStr">
        <is>
          <t>500kVA</t>
        </is>
      </c>
      <c r="J2342" t="inlineStr">
        <is>
          <t>MATRION</t>
        </is>
      </c>
      <c r="K2342" t="inlineStr">
        <is>
          <t>METAL</t>
        </is>
      </c>
      <c r="L2342">
        <f>_xlfn.XLOOKUP(Tableau1[[#This Row],[TYPE DE PIECE]],Tableau4[MATIERE],Tableau4[SHORT TYPE],"",0,1)</f>
        <v/>
      </c>
      <c r="N2342">
        <f>IF(ISERR(FIND("DECOUPE",Tableau1[[#This Row],[DESIGNATION]])),"","NEED REF")</f>
        <v/>
      </c>
    </row>
    <row r="2343">
      <c r="B2343" t="n">
        <v>34411658</v>
      </c>
      <c r="C2343" s="2" t="n">
        <v>45103</v>
      </c>
      <c r="D2343" t="inlineStr">
        <is>
          <t>SPEC</t>
        </is>
      </c>
      <c r="E2343">
        <f>_xlfn.CONCAT(Tableau1[[#This Row],[SHORT TYPE]]," ",Tableau1[[#This Row],[NUMERO]]," ",Tableau1[[#This Row],[GAMME]]," ",Tableau1[[#This Row],[TYPE PRODUIT]]," ",Tableau1[[#This Row],[PUISSANCE]])</f>
        <v/>
      </c>
      <c r="G2343" t="inlineStr">
        <is>
          <t>GVL</t>
        </is>
      </c>
      <c r="H2343" t="inlineStr">
        <is>
          <t>BYPASS</t>
        </is>
      </c>
      <c r="I2343" t="inlineStr">
        <is>
          <t>500kVA</t>
        </is>
      </c>
      <c r="J2343" t="inlineStr">
        <is>
          <t>MATRION</t>
        </is>
      </c>
      <c r="K2343" t="inlineStr">
        <is>
          <t>METAL</t>
        </is>
      </c>
      <c r="L2343">
        <f>_xlfn.XLOOKUP(Tableau1[[#This Row],[TYPE DE PIECE]],Tableau4[MATIERE],Tableau4[SHORT TYPE],"",0,1)</f>
        <v/>
      </c>
      <c r="N2343">
        <f>IF(ISERR(FIND("DECOUPE",Tableau1[[#This Row],[DESIGNATION]])),"","NEED REF")</f>
        <v/>
      </c>
    </row>
    <row r="2344">
      <c r="B2344" t="n">
        <v>34411657</v>
      </c>
      <c r="C2344" s="2" t="n">
        <v>45103</v>
      </c>
      <c r="D2344" t="inlineStr">
        <is>
          <t>SPEC</t>
        </is>
      </c>
      <c r="E2344">
        <f>_xlfn.CONCAT(Tableau1[[#This Row],[SHORT TYPE]]," ",Tableau1[[#This Row],[NUMERO]]," ",Tableau1[[#This Row],[GAMME]]," ",Tableau1[[#This Row],[TYPE PRODUIT]]," ",Tableau1[[#This Row],[PUISSANCE]])</f>
        <v/>
      </c>
      <c r="G2344" t="inlineStr">
        <is>
          <t>GVL</t>
        </is>
      </c>
      <c r="H2344" t="inlineStr">
        <is>
          <t>BYPASS</t>
        </is>
      </c>
      <c r="I2344" t="inlineStr">
        <is>
          <t>500kVA</t>
        </is>
      </c>
      <c r="J2344" t="inlineStr">
        <is>
          <t>MATRION</t>
        </is>
      </c>
      <c r="K2344" t="inlineStr">
        <is>
          <t>METAL</t>
        </is>
      </c>
      <c r="L2344">
        <f>_xlfn.XLOOKUP(Tableau1[[#This Row],[TYPE DE PIECE]],Tableau4[MATIERE],Tableau4[SHORT TYPE],"",0,1)</f>
        <v/>
      </c>
      <c r="N2344">
        <f>IF(ISERR(FIND("DECOUPE",Tableau1[[#This Row],[DESIGNATION]])),"","NEED REF")</f>
        <v/>
      </c>
    </row>
    <row r="2345">
      <c r="B2345" t="n">
        <v>34411656</v>
      </c>
      <c r="C2345" s="2" t="n">
        <v>45103</v>
      </c>
      <c r="D2345" t="inlineStr">
        <is>
          <t>SPEC</t>
        </is>
      </c>
      <c r="E2345">
        <f>_xlfn.CONCAT(Tableau1[[#This Row],[SHORT TYPE]]," ",Tableau1[[#This Row],[NUMERO]]," ",Tableau1[[#This Row],[GAMME]]," ",Tableau1[[#This Row],[TYPE PRODUIT]]," ",Tableau1[[#This Row],[PUISSANCE]])</f>
        <v/>
      </c>
      <c r="G2345" t="inlineStr">
        <is>
          <t>GVL</t>
        </is>
      </c>
      <c r="H2345" t="inlineStr">
        <is>
          <t>BYPASS</t>
        </is>
      </c>
      <c r="I2345" t="inlineStr">
        <is>
          <t>500kVA</t>
        </is>
      </c>
      <c r="J2345" t="inlineStr">
        <is>
          <t>MATRION</t>
        </is>
      </c>
      <c r="K2345" t="inlineStr">
        <is>
          <t>METAL</t>
        </is>
      </c>
      <c r="L2345">
        <f>_xlfn.XLOOKUP(Tableau1[[#This Row],[TYPE DE PIECE]],Tableau4[MATIERE],Tableau4[SHORT TYPE],"",0,1)</f>
        <v/>
      </c>
      <c r="N2345">
        <f>IF(ISERR(FIND("DECOUPE",Tableau1[[#This Row],[DESIGNATION]])),"","NEED REF")</f>
        <v/>
      </c>
    </row>
    <row r="2346">
      <c r="B2346" t="n">
        <v>34411655</v>
      </c>
      <c r="C2346" s="2" t="n">
        <v>45103</v>
      </c>
      <c r="D2346" t="inlineStr">
        <is>
          <t>SPEC</t>
        </is>
      </c>
      <c r="E2346">
        <f>_xlfn.CONCAT(Tableau1[[#This Row],[SHORT TYPE]]," ",Tableau1[[#This Row],[NUMERO]]," ",Tableau1[[#This Row],[GAMME]]," ",Tableau1[[#This Row],[TYPE PRODUIT]]," ",Tableau1[[#This Row],[PUISSANCE]])</f>
        <v/>
      </c>
      <c r="G2346" t="inlineStr">
        <is>
          <t>GVL</t>
        </is>
      </c>
      <c r="H2346" t="inlineStr">
        <is>
          <t>BYPASS</t>
        </is>
      </c>
      <c r="I2346" t="inlineStr">
        <is>
          <t>500kVA</t>
        </is>
      </c>
      <c r="J2346" t="inlineStr">
        <is>
          <t>MATRION</t>
        </is>
      </c>
      <c r="K2346" t="inlineStr">
        <is>
          <t>METAL</t>
        </is>
      </c>
      <c r="L2346">
        <f>_xlfn.XLOOKUP(Tableau1[[#This Row],[TYPE DE PIECE]],Tableau4[MATIERE],Tableau4[SHORT TYPE],"",0,1)</f>
        <v/>
      </c>
      <c r="N2346">
        <f>IF(ISERR(FIND("DECOUPE",Tableau1[[#This Row],[DESIGNATION]])),"","NEED REF")</f>
        <v/>
      </c>
    </row>
    <row r="2347">
      <c r="B2347" t="n">
        <v>34411654</v>
      </c>
      <c r="C2347" s="2" t="n">
        <v>45103</v>
      </c>
      <c r="D2347" t="inlineStr">
        <is>
          <t>SPEC</t>
        </is>
      </c>
      <c r="E2347">
        <f>_xlfn.CONCAT(Tableau1[[#This Row],[SHORT TYPE]]," ",Tableau1[[#This Row],[NUMERO]]," ",Tableau1[[#This Row],[GAMME]]," ",Tableau1[[#This Row],[TYPE PRODUIT]]," ",Tableau1[[#This Row],[PUISSANCE]])</f>
        <v/>
      </c>
      <c r="G2347" t="inlineStr">
        <is>
          <t>GVL</t>
        </is>
      </c>
      <c r="H2347" t="inlineStr">
        <is>
          <t>BYPASS</t>
        </is>
      </c>
      <c r="I2347" t="inlineStr">
        <is>
          <t>500kVA</t>
        </is>
      </c>
      <c r="J2347" t="inlineStr">
        <is>
          <t>MATRION</t>
        </is>
      </c>
      <c r="K2347" t="inlineStr">
        <is>
          <t>METAL</t>
        </is>
      </c>
      <c r="L2347">
        <f>_xlfn.XLOOKUP(Tableau1[[#This Row],[TYPE DE PIECE]],Tableau4[MATIERE],Tableau4[SHORT TYPE],"",0,1)</f>
        <v/>
      </c>
      <c r="N2347">
        <f>IF(ISERR(FIND("DECOUPE",Tableau1[[#This Row],[DESIGNATION]])),"","NEED REF")</f>
        <v/>
      </c>
    </row>
    <row r="2348">
      <c r="B2348" t="n">
        <v>34411653</v>
      </c>
      <c r="C2348" s="2" t="n">
        <v>45103</v>
      </c>
      <c r="D2348" t="inlineStr">
        <is>
          <t>SPEC</t>
        </is>
      </c>
      <c r="E2348">
        <f>_xlfn.CONCAT(Tableau1[[#This Row],[SHORT TYPE]]," ",Tableau1[[#This Row],[NUMERO]]," ",Tableau1[[#This Row],[GAMME]]," ",Tableau1[[#This Row],[TYPE PRODUIT]]," ",Tableau1[[#This Row],[PUISSANCE]])</f>
        <v/>
      </c>
      <c r="G2348" t="inlineStr">
        <is>
          <t>GVL</t>
        </is>
      </c>
      <c r="H2348" t="inlineStr">
        <is>
          <t>BYPASS</t>
        </is>
      </c>
      <c r="I2348" t="inlineStr">
        <is>
          <t>500kVA</t>
        </is>
      </c>
      <c r="J2348" t="inlineStr">
        <is>
          <t>MATRION</t>
        </is>
      </c>
      <c r="K2348" t="inlineStr">
        <is>
          <t>METAL</t>
        </is>
      </c>
      <c r="L2348">
        <f>_xlfn.XLOOKUP(Tableau1[[#This Row],[TYPE DE PIECE]],Tableau4[MATIERE],Tableau4[SHORT TYPE],"",0,1)</f>
        <v/>
      </c>
      <c r="N2348">
        <f>IF(ISERR(FIND("DECOUPE",Tableau1[[#This Row],[DESIGNATION]])),"","NEED REF")</f>
        <v/>
      </c>
    </row>
    <row r="2349">
      <c r="B2349" t="n">
        <v>34411652</v>
      </c>
      <c r="C2349" s="2" t="n">
        <v>45103</v>
      </c>
      <c r="D2349" t="inlineStr">
        <is>
          <t>SPEC</t>
        </is>
      </c>
      <c r="E2349" t="inlineStr">
        <is>
          <t>SMT SURTOIT RAL9003</t>
        </is>
      </c>
      <c r="F2349" t="inlineStr">
        <is>
          <t>Belgique GSK WN30</t>
        </is>
      </c>
      <c r="G2349" t="inlineStr">
        <is>
          <t>GVM</t>
        </is>
      </c>
      <c r="H2349" t="inlineStr">
        <is>
          <t>ARMOIRE TFO</t>
        </is>
      </c>
      <c r="I2349" t="inlineStr">
        <is>
          <t>200KVA</t>
        </is>
      </c>
      <c r="J2349" t="inlineStr">
        <is>
          <t>JAWORSKI</t>
        </is>
      </c>
      <c r="K2349" t="inlineStr">
        <is>
          <t>METAL</t>
        </is>
      </c>
      <c r="L2349">
        <f>_xlfn.XLOOKUP(Tableau1[[#This Row],[TYPE DE PIECE]],Tableau4[MATIERE],Tableau4[SHORT TYPE],"",0,1)</f>
        <v/>
      </c>
      <c r="N2349">
        <f>IF(ISERR(FIND("DECOUPE",Tableau1[[#This Row],[DESIGNATION]])),"","NEED REF")</f>
        <v/>
      </c>
    </row>
    <row r="2350">
      <c r="B2350" t="n">
        <v>34411651</v>
      </c>
      <c r="C2350" s="2" t="n">
        <v>45103</v>
      </c>
      <c r="D2350" t="inlineStr">
        <is>
          <t>SPEC</t>
        </is>
      </c>
      <c r="E2350" t="inlineStr">
        <is>
          <t>SMT EQUERRE SURTOIT RAL9003</t>
        </is>
      </c>
      <c r="F2350" t="inlineStr">
        <is>
          <t>Belgique GSK WN30</t>
        </is>
      </c>
      <c r="G2350" t="inlineStr">
        <is>
          <t>GVM</t>
        </is>
      </c>
      <c r="H2350" t="inlineStr">
        <is>
          <t>ARMOIRE TFO</t>
        </is>
      </c>
      <c r="I2350" t="inlineStr">
        <is>
          <t>200KVA</t>
        </is>
      </c>
      <c r="J2350" t="inlineStr">
        <is>
          <t>JAWORSKI</t>
        </is>
      </c>
      <c r="K2350" t="inlineStr">
        <is>
          <t>METAL</t>
        </is>
      </c>
      <c r="L2350">
        <f>_xlfn.XLOOKUP(Tableau1[[#This Row],[TYPE DE PIECE]],Tableau4[MATIERE],Tableau4[SHORT TYPE],"",0,1)</f>
        <v/>
      </c>
      <c r="N2350">
        <f>IF(ISERR(FIND("DECOUPE",Tableau1[[#This Row],[DESIGNATION]])),"","NEED REF")</f>
        <v/>
      </c>
    </row>
    <row r="2351">
      <c r="B2351" t="n">
        <v>34411650</v>
      </c>
      <c r="C2351" s="2" t="n">
        <v>45103</v>
      </c>
      <c r="D2351" t="inlineStr">
        <is>
          <t>SPEC</t>
        </is>
      </c>
      <c r="E2351" t="inlineStr">
        <is>
          <t>SMT SUPPORT GOULOTTE</t>
        </is>
      </c>
      <c r="F2351" t="inlineStr">
        <is>
          <t>Belgique GSK WN30</t>
        </is>
      </c>
      <c r="G2351" t="inlineStr">
        <is>
          <t>GVM</t>
        </is>
      </c>
      <c r="H2351" t="inlineStr">
        <is>
          <t>ARMOIRE TFO</t>
        </is>
      </c>
      <c r="I2351" t="inlineStr">
        <is>
          <t>200KVA</t>
        </is>
      </c>
      <c r="J2351" t="inlineStr">
        <is>
          <t>JAWORSKI</t>
        </is>
      </c>
      <c r="K2351" t="inlineStr">
        <is>
          <t>METAL</t>
        </is>
      </c>
      <c r="L2351">
        <f>_xlfn.XLOOKUP(Tableau1[[#This Row],[TYPE DE PIECE]],Tableau4[MATIERE],Tableau4[SHORT TYPE],"",0,1)</f>
        <v/>
      </c>
      <c r="N2351">
        <f>IF(ISERR(FIND("DECOUPE",Tableau1[[#This Row],[DESIGNATION]])),"","NEED REF")</f>
        <v/>
      </c>
    </row>
    <row r="2352">
      <c r="B2352" t="n">
        <v>34411649</v>
      </c>
      <c r="C2352" s="2" t="n">
        <v>45103</v>
      </c>
      <c r="D2352" t="inlineStr">
        <is>
          <t>SPEC</t>
        </is>
      </c>
      <c r="E2352">
        <f>_xlfn.CONCAT(Tableau1[[#This Row],[SHORT TYPE]]," ",Tableau1[[#This Row],[NUMERO]]," ",Tableau1[[#This Row],[GAMME]]," ",Tableau1[[#This Row],[TYPE PRODUIT]]," ",Tableau1[[#This Row],[PUISSANCE]])</f>
        <v/>
      </c>
      <c r="G2352" t="inlineStr">
        <is>
          <t>GVL</t>
        </is>
      </c>
      <c r="H2352" t="inlineStr">
        <is>
          <t>BYPASS</t>
        </is>
      </c>
      <c r="I2352" t="inlineStr">
        <is>
          <t>500kVA</t>
        </is>
      </c>
      <c r="J2352" t="inlineStr">
        <is>
          <t>MATRION</t>
        </is>
      </c>
      <c r="K2352" t="inlineStr">
        <is>
          <t>CUIVRE</t>
        </is>
      </c>
      <c r="L2352">
        <f>_xlfn.XLOOKUP(Tableau1[[#This Row],[TYPE DE PIECE]],Tableau4[MATIERE],Tableau4[SHORT TYPE],"",0,1)</f>
        <v/>
      </c>
      <c r="N2352">
        <f>IF(ISERR(FIND("DECOUPE",Tableau1[[#This Row],[DESIGNATION]])),"","NEED REF")</f>
        <v/>
      </c>
    </row>
    <row r="2353">
      <c r="B2353" t="n">
        <v>34411648</v>
      </c>
      <c r="C2353" s="2" t="n">
        <v>45103</v>
      </c>
      <c r="D2353" t="inlineStr">
        <is>
          <t>SPEC</t>
        </is>
      </c>
      <c r="E2353">
        <f>_xlfn.CONCAT(Tableau1[[#This Row],[SHORT TYPE]]," ",Tableau1[[#This Row],[NUMERO]]," ",Tableau1[[#This Row],[GAMME]]," ",Tableau1[[#This Row],[TYPE PRODUIT]]," ",Tableau1[[#This Row],[PUISSANCE]])</f>
        <v/>
      </c>
      <c r="G2353" t="inlineStr">
        <is>
          <t>GVL</t>
        </is>
      </c>
      <c r="H2353" t="inlineStr">
        <is>
          <t>BYPASS</t>
        </is>
      </c>
      <c r="I2353" t="inlineStr">
        <is>
          <t>500kVA</t>
        </is>
      </c>
      <c r="J2353" t="inlineStr">
        <is>
          <t>MATRION</t>
        </is>
      </c>
      <c r="K2353" t="inlineStr">
        <is>
          <t>PLASTIQUE</t>
        </is>
      </c>
      <c r="L2353">
        <f>_xlfn.XLOOKUP(Tableau1[[#This Row],[TYPE DE PIECE]],Tableau4[MATIERE],Tableau4[SHORT TYPE],"",0,1)</f>
        <v/>
      </c>
      <c r="N2353">
        <f>IF(ISERR(FIND("DECOUPE",Tableau1[[#This Row],[DESIGNATION]])),"","NEED REF")</f>
        <v/>
      </c>
    </row>
    <row r="2354">
      <c r="B2354" t="n">
        <v>34411647</v>
      </c>
      <c r="C2354" s="2" t="n">
        <v>45103</v>
      </c>
      <c r="D2354" t="inlineStr">
        <is>
          <t>SPEC</t>
        </is>
      </c>
      <c r="E2354">
        <f>_xlfn.CONCAT(Tableau1[[#This Row],[SHORT TYPE]]," ",Tableau1[[#This Row],[NUMERO]]," ",Tableau1[[#This Row],[GAMME]]," ",Tableau1[[#This Row],[TYPE PRODUIT]]," ",Tableau1[[#This Row],[PUISSANCE]])</f>
        <v/>
      </c>
      <c r="G2354" t="inlineStr">
        <is>
          <t>GVL</t>
        </is>
      </c>
      <c r="H2354" t="inlineStr">
        <is>
          <t>BYPASS</t>
        </is>
      </c>
      <c r="I2354" t="inlineStr">
        <is>
          <t>500kVA</t>
        </is>
      </c>
      <c r="J2354" t="inlineStr">
        <is>
          <t>MATRION</t>
        </is>
      </c>
      <c r="K2354" t="inlineStr">
        <is>
          <t>PLASTIQUE</t>
        </is>
      </c>
      <c r="L2354">
        <f>_xlfn.XLOOKUP(Tableau1[[#This Row],[TYPE DE PIECE]],Tableau4[MATIERE],Tableau4[SHORT TYPE],"",0,1)</f>
        <v/>
      </c>
      <c r="N2354">
        <f>IF(ISERR(FIND("DECOUPE",Tableau1[[#This Row],[DESIGNATION]])),"","NEED REF")</f>
        <v/>
      </c>
    </row>
    <row r="2355">
      <c r="B2355" t="n">
        <v>34411646</v>
      </c>
      <c r="C2355" s="2" t="n">
        <v>45103</v>
      </c>
      <c r="D2355" t="inlineStr">
        <is>
          <t>SPEC</t>
        </is>
      </c>
      <c r="E2355">
        <f>_xlfn.CONCAT(Tableau1[[#This Row],[SHORT TYPE]]," ",Tableau1[[#This Row],[NUMERO]]," ",Tableau1[[#This Row],[GAMME]]," ",Tableau1[[#This Row],[TYPE PRODUIT]]," ",Tableau1[[#This Row],[PUISSANCE]])</f>
        <v/>
      </c>
      <c r="G2355" t="inlineStr">
        <is>
          <t>GVL</t>
        </is>
      </c>
      <c r="H2355" t="inlineStr">
        <is>
          <t>BYPASS</t>
        </is>
      </c>
      <c r="I2355" t="inlineStr">
        <is>
          <t>500kVA</t>
        </is>
      </c>
      <c r="J2355" t="inlineStr">
        <is>
          <t>MATRION</t>
        </is>
      </c>
      <c r="K2355" t="inlineStr">
        <is>
          <t>METAL</t>
        </is>
      </c>
      <c r="L2355">
        <f>_xlfn.XLOOKUP(Tableau1[[#This Row],[TYPE DE PIECE]],Tableau4[MATIERE],Tableau4[SHORT TYPE],"",0,1)</f>
        <v/>
      </c>
      <c r="N2355">
        <f>IF(ISERR(FIND("DECOUPE",Tableau1[[#This Row],[DESIGNATION]])),"","NEED REF")</f>
        <v/>
      </c>
    </row>
    <row r="2356">
      <c r="B2356" t="n">
        <v>34411645</v>
      </c>
      <c r="C2356" s="2" t="n">
        <v>45100</v>
      </c>
      <c r="D2356" t="inlineStr">
        <is>
          <t>SPEC</t>
        </is>
      </c>
      <c r="E2356" t="inlineStr">
        <is>
          <t>SMT CF54300EZ COUPE 1200MM</t>
        </is>
      </c>
      <c r="F2356" t="inlineStr">
        <is>
          <t>Belgique GSK WN30</t>
        </is>
      </c>
      <c r="G2356" t="inlineStr">
        <is>
          <t>GVM</t>
        </is>
      </c>
      <c r="H2356" t="inlineStr">
        <is>
          <t>ARMOIRE TFO</t>
        </is>
      </c>
      <c r="I2356" t="inlineStr">
        <is>
          <t>200KVA</t>
        </is>
      </c>
      <c r="J2356" t="inlineStr">
        <is>
          <t>JAWORSKI</t>
        </is>
      </c>
      <c r="K2356" t="inlineStr">
        <is>
          <t>METAL</t>
        </is>
      </c>
      <c r="L2356">
        <f>_xlfn.XLOOKUP(Tableau1[[#This Row],[TYPE DE PIECE]],Tableau4[MATIERE],Tableau4[SHORT TYPE],"",0,1)</f>
        <v/>
      </c>
      <c r="N2356">
        <f>IF(ISERR(FIND("DECOUPE",Tableau1[[#This Row],[DESIGNATION]])),"","NEED REF")</f>
        <v/>
      </c>
    </row>
    <row r="2357">
      <c r="B2357" t="n">
        <v>34411644</v>
      </c>
      <c r="C2357" s="2" t="n">
        <v>45100</v>
      </c>
      <c r="D2357" t="inlineStr">
        <is>
          <t>SPEC</t>
        </is>
      </c>
      <c r="E2357" t="inlineStr">
        <is>
          <t>SMT SUPPORT TORE</t>
        </is>
      </c>
      <c r="J2357" t="inlineStr">
        <is>
          <t>BERNARDEAU</t>
        </is>
      </c>
      <c r="K2357" t="inlineStr">
        <is>
          <t>METAL</t>
        </is>
      </c>
      <c r="L2357">
        <f>_xlfn.XLOOKUP(Tableau1[[#This Row],[TYPE DE PIECE]],Tableau4[MATIERE],Tableau4[SHORT TYPE],"",0,1)</f>
        <v/>
      </c>
      <c r="N2357">
        <f>IF(ISERR(FIND("DECOUPE",Tableau1[[#This Row],[DESIGNATION]])),"","NEED REF")</f>
        <v/>
      </c>
    </row>
    <row r="2358">
      <c r="B2358" t="n">
        <v>34411643</v>
      </c>
      <c r="C2358" s="2" t="n">
        <v>45100</v>
      </c>
      <c r="D2358" t="inlineStr">
        <is>
          <t>SPEC</t>
        </is>
      </c>
      <c r="E2358" t="inlineStr">
        <is>
          <t>SMT TRAVERSE SUPPORT TORE</t>
        </is>
      </c>
      <c r="J2358" t="inlineStr">
        <is>
          <t>BERNARDEAU</t>
        </is>
      </c>
      <c r="K2358" t="inlineStr">
        <is>
          <t>METAL</t>
        </is>
      </c>
      <c r="L2358">
        <f>_xlfn.XLOOKUP(Tableau1[[#This Row],[TYPE DE PIECE]],Tableau4[MATIERE],Tableau4[SHORT TYPE],"",0,1)</f>
        <v/>
      </c>
      <c r="N2358">
        <f>IF(ISERR(FIND("DECOUPE",Tableau1[[#This Row],[DESIGNATION]])),"","NEED REF")</f>
        <v/>
      </c>
    </row>
    <row r="2359">
      <c r="B2359" t="n">
        <v>34411642</v>
      </c>
      <c r="C2359" s="2" t="n">
        <v>45100</v>
      </c>
      <c r="D2359" t="inlineStr">
        <is>
          <t>SPEC</t>
        </is>
      </c>
      <c r="E2359" t="inlineStr">
        <is>
          <t>SMT BRIDE TRAVERSE 650MM</t>
        </is>
      </c>
      <c r="F2359" t="inlineStr">
        <is>
          <t>Belgique GSK WN30</t>
        </is>
      </c>
      <c r="G2359" t="inlineStr">
        <is>
          <t>GVM</t>
        </is>
      </c>
      <c r="H2359" t="inlineStr">
        <is>
          <t>ARMOIRE TFO</t>
        </is>
      </c>
      <c r="I2359" t="inlineStr">
        <is>
          <t>200KVA</t>
        </is>
      </c>
      <c r="J2359" t="inlineStr">
        <is>
          <t>JAWORSKI</t>
        </is>
      </c>
      <c r="K2359" t="inlineStr">
        <is>
          <t>METAL</t>
        </is>
      </c>
      <c r="L2359">
        <f>_xlfn.XLOOKUP(Tableau1[[#This Row],[TYPE DE PIECE]],Tableau4[MATIERE],Tableau4[SHORT TYPE],"",0,1)</f>
        <v/>
      </c>
      <c r="N2359">
        <f>IF(ISERR(FIND("DECOUPE",Tableau1[[#This Row],[DESIGNATION]])),"","NEED REF")</f>
        <v/>
      </c>
    </row>
    <row r="2360">
      <c r="B2360" t="n">
        <v>34411641</v>
      </c>
      <c r="C2360" s="2" t="n">
        <v>45100</v>
      </c>
      <c r="D2360" t="inlineStr">
        <is>
          <t>SPEC</t>
        </is>
      </c>
      <c r="E2360" t="inlineStr">
        <is>
          <t>COP LVS04174 COUPE 482,5MM</t>
        </is>
      </c>
      <c r="F2360" t="inlineStr">
        <is>
          <t>Belgique GSK WN30</t>
        </is>
      </c>
      <c r="G2360" t="inlineStr">
        <is>
          <t>GVM</t>
        </is>
      </c>
      <c r="H2360" t="inlineStr">
        <is>
          <t>ARMOIRE TFO</t>
        </is>
      </c>
      <c r="I2360" t="inlineStr">
        <is>
          <t>200KVA</t>
        </is>
      </c>
      <c r="J2360" t="inlineStr">
        <is>
          <t>JAWORSKI</t>
        </is>
      </c>
      <c r="K2360" t="inlineStr">
        <is>
          <t>CUIVRE</t>
        </is>
      </c>
      <c r="L2360">
        <f>_xlfn.XLOOKUP(Tableau1[[#This Row],[TYPE DE PIECE]],Tableau4[MATIERE],Tableau4[SHORT TYPE],"",0,1)</f>
        <v/>
      </c>
      <c r="N2360">
        <f>IF(ISERR(FIND("DECOUPE",Tableau1[[#This Row],[DESIGNATION]])),"","NEED REF")</f>
        <v/>
      </c>
    </row>
    <row r="2361">
      <c r="B2361" t="n">
        <v>34411640</v>
      </c>
      <c r="C2361" s="2" t="n">
        <v>45099</v>
      </c>
      <c r="D2361" t="inlineStr">
        <is>
          <t>SPEC</t>
        </is>
      </c>
      <c r="E2361" t="inlineStr">
        <is>
          <t>SMT 34411640 OUTIL PLAQUE DE SERRAGE</t>
        </is>
      </c>
      <c r="J2361" t="inlineStr">
        <is>
          <t>MATRION</t>
        </is>
      </c>
      <c r="K2361" t="inlineStr">
        <is>
          <t>METAL</t>
        </is>
      </c>
      <c r="L2361">
        <f>_xlfn.XLOOKUP(Tableau1[[#This Row],[TYPE DE PIECE]],Tableau4[MATIERE],Tableau4[SHORT TYPE],"",0,1)</f>
        <v/>
      </c>
      <c r="N2361">
        <f>IF(ISERR(FIND("DECOUPE",Tableau1[[#This Row],[DESIGNATION]])),"","NEED REF")</f>
        <v/>
      </c>
    </row>
    <row r="2362">
      <c r="B2362" t="n">
        <v>34411639</v>
      </c>
      <c r="C2362" s="2" t="n">
        <v>45098</v>
      </c>
      <c r="D2362" t="inlineStr">
        <is>
          <t>SPEC</t>
        </is>
      </c>
      <c r="E2362" t="inlineStr">
        <is>
          <t>COP LIAISON AR NSX400</t>
        </is>
      </c>
      <c r="F2362" t="inlineStr">
        <is>
          <t>Belgique GSK WN30</t>
        </is>
      </c>
      <c r="G2362" t="inlineStr">
        <is>
          <t>GVM</t>
        </is>
      </c>
      <c r="H2362" t="inlineStr">
        <is>
          <t>ARMOIRE TFO</t>
        </is>
      </c>
      <c r="I2362" t="inlineStr">
        <is>
          <t>200KVA</t>
        </is>
      </c>
      <c r="J2362" t="inlineStr">
        <is>
          <t>JAWORSKI</t>
        </is>
      </c>
      <c r="K2362" t="inlineStr">
        <is>
          <t>CUIVRE</t>
        </is>
      </c>
      <c r="L2362">
        <f>_xlfn.XLOOKUP(Tableau1[[#This Row],[TYPE DE PIECE]],Tableau4[MATIERE],Tableau4[SHORT TYPE],"",0,1)</f>
        <v/>
      </c>
      <c r="N2362">
        <f>IF(ISERR(FIND("DECOUPE",Tableau1[[#This Row],[DESIGNATION]])),"","NEED REF")</f>
        <v/>
      </c>
    </row>
    <row r="2363">
      <c r="B2363" t="n">
        <v>34411638</v>
      </c>
      <c r="C2363" s="2" t="n">
        <v>45096</v>
      </c>
      <c r="D2363" t="inlineStr">
        <is>
          <t>SPEC</t>
        </is>
      </c>
      <c r="E2363" t="inlineStr">
        <is>
          <t>SMT AMOUNT RIGHT SIDE</t>
        </is>
      </c>
      <c r="F2363" t="inlineStr">
        <is>
          <t>Suisse UBS</t>
        </is>
      </c>
      <c r="G2363" t="inlineStr">
        <is>
          <t>SYMMETRA PX</t>
        </is>
      </c>
      <c r="H2363" t="inlineStr">
        <is>
          <t>PDPM</t>
        </is>
      </c>
      <c r="I2363" t="inlineStr">
        <is>
          <t>500KVA</t>
        </is>
      </c>
      <c r="J2363" t="inlineStr">
        <is>
          <t>JAWORSKI</t>
        </is>
      </c>
      <c r="K2363" t="inlineStr">
        <is>
          <t>METAL</t>
        </is>
      </c>
      <c r="L2363">
        <f>_xlfn.XLOOKUP(Tableau1[[#This Row],[TYPE DE PIECE]],Tableau4[MATIERE],Tableau4[SHORT TYPE],"",0,1)</f>
        <v/>
      </c>
      <c r="N2363">
        <f>IF(ISERR(FIND("DECOUPE",Tableau1[[#This Row],[DESIGNATION]])),"","NEED REF")</f>
        <v/>
      </c>
    </row>
    <row r="2364" ht="15.75" customHeight="1" s="142">
      <c r="B2364" t="n">
        <v>34411637</v>
      </c>
      <c r="C2364" s="2" t="n">
        <v>45096</v>
      </c>
      <c r="D2364" t="inlineStr">
        <is>
          <t>SPEC</t>
        </is>
      </c>
      <c r="E2364" t="inlineStr">
        <is>
          <t>SMT AMOUNT LEFT SIDE</t>
        </is>
      </c>
      <c r="F2364" s="134" t="inlineStr">
        <is>
          <t>Suisse UBS</t>
        </is>
      </c>
      <c r="G2364" t="inlineStr">
        <is>
          <t>SYMMETRA PX</t>
        </is>
      </c>
      <c r="H2364" t="inlineStr">
        <is>
          <t>PDPM</t>
        </is>
      </c>
      <c r="I2364" t="inlineStr">
        <is>
          <t>500KVA</t>
        </is>
      </c>
      <c r="J2364" t="inlineStr">
        <is>
          <t>JAWORSKI</t>
        </is>
      </c>
      <c r="K2364" t="inlineStr">
        <is>
          <t>METAL</t>
        </is>
      </c>
      <c r="L2364">
        <f>_xlfn.XLOOKUP(Tableau1[[#This Row],[TYPE DE PIECE]],Tableau4[MATIERE],Tableau4[SHORT TYPE],"",0,1)</f>
        <v/>
      </c>
      <c r="N2364">
        <f>IF(ISERR(FIND("DECOUPE",Tableau1[[#This Row],[DESIGNATION]])),"","NEED REF")</f>
        <v/>
      </c>
    </row>
    <row r="2365">
      <c r="B2365" t="n">
        <v>34411636</v>
      </c>
      <c r="C2365" s="2" t="n">
        <v>45092</v>
      </c>
      <c r="D2365" t="inlineStr">
        <is>
          <t>SPEC</t>
        </is>
      </c>
      <c r="E2365" t="inlineStr">
        <is>
          <t>PLA PLASTRON PLEIN</t>
        </is>
      </c>
      <c r="F2365" t="inlineStr">
        <is>
          <t>Belgique GSK WN30</t>
        </is>
      </c>
      <c r="G2365" t="inlineStr">
        <is>
          <t>GVM</t>
        </is>
      </c>
      <c r="H2365" t="inlineStr">
        <is>
          <t>ARMOIRE TFO</t>
        </is>
      </c>
      <c r="I2365" t="inlineStr">
        <is>
          <t>200KVA</t>
        </is>
      </c>
      <c r="J2365" t="inlineStr">
        <is>
          <t>JAWORSKI</t>
        </is>
      </c>
      <c r="K2365" t="inlineStr">
        <is>
          <t>PLASTIQUE</t>
        </is>
      </c>
      <c r="L2365">
        <f>_xlfn.XLOOKUP(Tableau1[[#This Row],[TYPE DE PIECE]],Tableau4[MATIERE],Tableau4[SHORT TYPE],"",0,1)</f>
        <v/>
      </c>
      <c r="N2365">
        <f>IF(ISERR(FIND("DECOUPE",Tableau1[[#This Row],[DESIGNATION]])),"","NEED REF")</f>
        <v/>
      </c>
    </row>
    <row r="2366">
      <c r="B2366" t="n">
        <v>34411635</v>
      </c>
      <c r="C2366" s="2" t="n">
        <v>45092</v>
      </c>
      <c r="D2366" t="inlineStr">
        <is>
          <t>SPEC</t>
        </is>
      </c>
      <c r="E2366" t="inlineStr">
        <is>
          <t>PLA PLASTRON AUXILIAIRE</t>
        </is>
      </c>
      <c r="F2366" t="inlineStr">
        <is>
          <t>Belgique GSK WN30</t>
        </is>
      </c>
      <c r="G2366" t="inlineStr">
        <is>
          <t>GVM</t>
        </is>
      </c>
      <c r="H2366" t="inlineStr">
        <is>
          <t>ARMOIRE TFO</t>
        </is>
      </c>
      <c r="I2366" t="inlineStr">
        <is>
          <t>200KVA</t>
        </is>
      </c>
      <c r="J2366" t="inlineStr">
        <is>
          <t>JAWORSKI</t>
        </is>
      </c>
      <c r="K2366" t="inlineStr">
        <is>
          <t>PLASTIQUE</t>
        </is>
      </c>
      <c r="L2366">
        <f>_xlfn.XLOOKUP(Tableau1[[#This Row],[TYPE DE PIECE]],Tableau4[MATIERE],Tableau4[SHORT TYPE],"",0,1)</f>
        <v/>
      </c>
      <c r="N2366">
        <f>IF(ISERR(FIND("DECOUPE",Tableau1[[#This Row],[DESIGNATION]])),"","NEED REF")</f>
        <v/>
      </c>
    </row>
    <row r="2367">
      <c r="B2367" t="n">
        <v>34411634</v>
      </c>
      <c r="C2367" s="2" t="n">
        <v>45092</v>
      </c>
      <c r="D2367" t="inlineStr">
        <is>
          <t>SPEC</t>
        </is>
      </c>
      <c r="E2367" t="inlineStr">
        <is>
          <t>PLA PLASTRON NSX400</t>
        </is>
      </c>
      <c r="F2367" t="inlineStr">
        <is>
          <t>Belgique GSK WN30</t>
        </is>
      </c>
      <c r="G2367" t="inlineStr">
        <is>
          <t>GVM</t>
        </is>
      </c>
      <c r="H2367" t="inlineStr">
        <is>
          <t>ARMOIRE TFO</t>
        </is>
      </c>
      <c r="I2367" t="inlineStr">
        <is>
          <t>200KVA</t>
        </is>
      </c>
      <c r="J2367" t="inlineStr">
        <is>
          <t>JAWORSKI</t>
        </is>
      </c>
      <c r="K2367" t="inlineStr">
        <is>
          <t>PLASTIQUE</t>
        </is>
      </c>
      <c r="L2367">
        <f>_xlfn.XLOOKUP(Tableau1[[#This Row],[TYPE DE PIECE]],Tableau4[MATIERE],Tableau4[SHORT TYPE],"",0,1)</f>
        <v/>
      </c>
      <c r="N2367">
        <f>IF(ISERR(FIND("DECOUPE",Tableau1[[#This Row],[DESIGNATION]])),"","NEED REF")</f>
        <v/>
      </c>
    </row>
    <row r="2368">
      <c r="B2368" t="n">
        <v>34411633</v>
      </c>
      <c r="C2368" s="2" t="n">
        <v>45092</v>
      </c>
      <c r="D2368" t="inlineStr">
        <is>
          <t>SPEC</t>
        </is>
      </c>
      <c r="E2368" t="inlineStr">
        <is>
          <t>SMT 34411633 RETOUCHE ROLLER SKATE</t>
        </is>
      </c>
      <c r="J2368" t="inlineStr">
        <is>
          <t>MATRION</t>
        </is>
      </c>
      <c r="K2368" t="inlineStr">
        <is>
          <t>METAL</t>
        </is>
      </c>
      <c r="L2368">
        <f>_xlfn.XLOOKUP(Tableau1[[#This Row],[TYPE DE PIECE]],Tableau4[MATIERE],Tableau4[SHORT TYPE],"",0,1)</f>
        <v/>
      </c>
      <c r="N2368">
        <f>IF(ISERR(FIND("DECOUPE",Tableau1[[#This Row],[DESIGNATION]])),"","NEED REF")</f>
        <v/>
      </c>
    </row>
    <row r="2369">
      <c r="B2369" t="n">
        <v>34411632</v>
      </c>
      <c r="C2369" s="2" t="n">
        <v>45092</v>
      </c>
      <c r="D2369" t="inlineStr">
        <is>
          <t>SPEC</t>
        </is>
      </c>
      <c r="E2369" t="inlineStr">
        <is>
          <t>SMT 34411632 CALE ROLLER SKATE</t>
        </is>
      </c>
      <c r="J2369" t="inlineStr">
        <is>
          <t>MATRION</t>
        </is>
      </c>
      <c r="K2369" t="inlineStr">
        <is>
          <t>METAL</t>
        </is>
      </c>
      <c r="L2369">
        <f>_xlfn.XLOOKUP(Tableau1[[#This Row],[TYPE DE PIECE]],Tableau4[MATIERE],Tableau4[SHORT TYPE],"",0,1)</f>
        <v/>
      </c>
      <c r="N2369">
        <f>IF(ISERR(FIND("DECOUPE",Tableau1[[#This Row],[DESIGNATION]])),"","NEED REF")</f>
        <v/>
      </c>
    </row>
    <row r="2370">
      <c r="B2370" t="n">
        <v>34411631</v>
      </c>
      <c r="C2370" s="2" t="n">
        <v>45092</v>
      </c>
      <c r="D2370" t="inlineStr">
        <is>
          <t>SPEC</t>
        </is>
      </c>
      <c r="E2370" t="inlineStr">
        <is>
          <t>SMT 34411631 SUPPORT ROLLER SKATE</t>
        </is>
      </c>
      <c r="J2370" t="inlineStr">
        <is>
          <t>MATRION</t>
        </is>
      </c>
      <c r="K2370" t="inlineStr">
        <is>
          <t>METAL</t>
        </is>
      </c>
      <c r="L2370">
        <f>_xlfn.XLOOKUP(Tableau1[[#This Row],[TYPE DE PIECE]],Tableau4[MATIERE],Tableau4[SHORT TYPE],"",0,1)</f>
        <v/>
      </c>
      <c r="N2370">
        <f>IF(ISERR(FIND("DECOUPE",Tableau1[[#This Row],[DESIGNATION]])),"","NEED REF")</f>
        <v/>
      </c>
    </row>
    <row r="2371">
      <c r="B2371" t="n">
        <v>34411630</v>
      </c>
      <c r="C2371" s="2" t="n">
        <v>45091</v>
      </c>
      <c r="D2371" t="inlineStr">
        <is>
          <t>SPEC</t>
        </is>
      </c>
      <c r="E2371">
        <f>_xlfn.CONCAT(Tableau1[[#This Row],[SHORT TYPE]]," ",Tableau1[[#This Row],[NUMERO]]," ",Tableau1[[#This Row],[GAMME]]," ",Tableau1[[#This Row],[TYPE PRODUIT]]," ",Tableau1[[#This Row],[PUISSANCE]])</f>
        <v/>
      </c>
      <c r="H2371" t="inlineStr">
        <is>
          <t>STS</t>
        </is>
      </c>
      <c r="I2371" t="inlineStr">
        <is>
          <t>1250A</t>
        </is>
      </c>
      <c r="J2371" t="inlineStr">
        <is>
          <t>MATRION</t>
        </is>
      </c>
      <c r="K2371" t="inlineStr">
        <is>
          <t>CUIVRE</t>
        </is>
      </c>
      <c r="L2371">
        <f>_xlfn.XLOOKUP(Tableau1[[#This Row],[TYPE DE PIECE]],Tableau4[MATIERE],Tableau4[SHORT TYPE],"",0,1)</f>
        <v/>
      </c>
      <c r="N2371">
        <f>IF(ISERR(FIND("DECOUPE",Tableau1[[#This Row],[DESIGNATION]])),"","NEED REF")</f>
        <v/>
      </c>
    </row>
    <row r="2372">
      <c r="B2372" t="n">
        <v>34411629</v>
      </c>
      <c r="C2372" s="2" t="n">
        <v>45090</v>
      </c>
      <c r="D2372" t="inlineStr">
        <is>
          <t>SPEC</t>
        </is>
      </c>
      <c r="E2372" t="inlineStr">
        <is>
          <t>COP 34411629 FLEX ERICO RACC HAUT STS 1250A</t>
        </is>
      </c>
      <c r="H2372" t="inlineStr">
        <is>
          <t>STS</t>
        </is>
      </c>
      <c r="I2372" t="inlineStr">
        <is>
          <t>1250A</t>
        </is>
      </c>
      <c r="J2372" t="inlineStr">
        <is>
          <t>MATRION</t>
        </is>
      </c>
      <c r="K2372" t="inlineStr">
        <is>
          <t>CUIVRE</t>
        </is>
      </c>
      <c r="L2372">
        <f>_xlfn.XLOOKUP(Tableau1[[#This Row],[TYPE DE PIECE]],Tableau4[MATIERE],Tableau4[SHORT TYPE],"",0,1)</f>
        <v/>
      </c>
      <c r="N2372">
        <f>IF(ISERR(FIND("DECOUPE",Tableau1[[#This Row],[DESIGNATION]])),"","NEED REF")</f>
        <v/>
      </c>
    </row>
    <row r="2373">
      <c r="B2373" t="n">
        <v>34411628</v>
      </c>
      <c r="C2373" s="2" t="n">
        <v>45090</v>
      </c>
      <c r="D2373" t="inlineStr">
        <is>
          <t>SPEC</t>
        </is>
      </c>
      <c r="E2373" t="inlineStr">
        <is>
          <t>COP 34411628 FLEX ERICO RACC HAUT STS 1250A</t>
        </is>
      </c>
      <c r="H2373" t="inlineStr">
        <is>
          <t>STS</t>
        </is>
      </c>
      <c r="I2373" t="inlineStr">
        <is>
          <t>1250A</t>
        </is>
      </c>
      <c r="J2373" t="inlineStr">
        <is>
          <t>MATRION</t>
        </is>
      </c>
      <c r="K2373" t="inlineStr">
        <is>
          <t>CUIVRE</t>
        </is>
      </c>
      <c r="L2373">
        <f>_xlfn.XLOOKUP(Tableau1[[#This Row],[TYPE DE PIECE]],Tableau4[MATIERE],Tableau4[SHORT TYPE],"",0,1)</f>
        <v/>
      </c>
      <c r="N2373">
        <f>IF(ISERR(FIND("DECOUPE",Tableau1[[#This Row],[DESIGNATION]])),"","NEED REF")</f>
        <v/>
      </c>
    </row>
    <row r="2374">
      <c r="B2374" t="n">
        <v>34411627</v>
      </c>
      <c r="C2374" s="2" t="n">
        <v>45090</v>
      </c>
      <c r="D2374" t="inlineStr">
        <is>
          <t>SPEC</t>
        </is>
      </c>
      <c r="E2374" s="92" t="inlineStr">
        <is>
          <t>SPACIAL SF dimensions H1800xL700xP800  POUR STS H1900-F23060400OCE/B0</t>
        </is>
      </c>
      <c r="F2374" t="inlineStr">
        <is>
          <t>STS STD 1900</t>
        </is>
      </c>
      <c r="H2374" t="inlineStr">
        <is>
          <t>STS</t>
        </is>
      </c>
      <c r="I2374" t="inlineStr">
        <is>
          <t>630A</t>
        </is>
      </c>
      <c r="J2374" t="inlineStr">
        <is>
          <t>BERNARDEAU</t>
        </is>
      </c>
      <c r="K2374" t="inlineStr">
        <is>
          <t>SE</t>
        </is>
      </c>
      <c r="L2374" t="inlineStr">
        <is>
          <t>SE</t>
        </is>
      </c>
      <c r="N2374">
        <f>IF(ISERR(FIND("DECOUPE",Tableau1[[#This Row],[DESIGNATION]])),"","NEED REF")</f>
        <v/>
      </c>
    </row>
    <row r="2375">
      <c r="B2375" t="n">
        <v>34411626</v>
      </c>
      <c r="C2375" s="2" t="n">
        <v>45090</v>
      </c>
      <c r="D2375" t="inlineStr">
        <is>
          <t>SPEC</t>
        </is>
      </c>
      <c r="E2375" t="inlineStr">
        <is>
          <t>COP 34411626 FLEX ERICO RACC HAUT STS 1250A</t>
        </is>
      </c>
      <c r="H2375" t="inlineStr">
        <is>
          <t>STS</t>
        </is>
      </c>
      <c r="I2375" t="inlineStr">
        <is>
          <t>1250A</t>
        </is>
      </c>
      <c r="J2375" t="inlineStr">
        <is>
          <t>MATRION</t>
        </is>
      </c>
      <c r="K2375" t="inlineStr">
        <is>
          <t>CUIVRE</t>
        </is>
      </c>
      <c r="L2375">
        <f>_xlfn.XLOOKUP(Tableau1[[#This Row],[TYPE DE PIECE]],Tableau4[MATIERE],Tableau4[SHORT TYPE],"",0,1)</f>
        <v/>
      </c>
      <c r="N2375">
        <f>IF(ISERR(FIND("DECOUPE",Tableau1[[#This Row],[DESIGNATION]])),"","NEED REF")</f>
        <v/>
      </c>
    </row>
    <row r="2376">
      <c r="B2376" t="n">
        <v>34411625</v>
      </c>
      <c r="C2376" s="2" t="n">
        <v>45090</v>
      </c>
      <c r="D2376" t="inlineStr">
        <is>
          <t>SPEC</t>
        </is>
      </c>
      <c r="E2376" t="inlineStr">
        <is>
          <t>COP 34411625 FLEX ERICO RACC HAUT STS 1250A</t>
        </is>
      </c>
      <c r="H2376" t="inlineStr">
        <is>
          <t>STS</t>
        </is>
      </c>
      <c r="I2376" t="inlineStr">
        <is>
          <t>1250A</t>
        </is>
      </c>
      <c r="J2376" t="inlineStr">
        <is>
          <t>MATRION</t>
        </is>
      </c>
      <c r="K2376" t="inlineStr">
        <is>
          <t>CUIVRE</t>
        </is>
      </c>
      <c r="L2376">
        <f>_xlfn.XLOOKUP(Tableau1[[#This Row],[TYPE DE PIECE]],Tableau4[MATIERE],Tableau4[SHORT TYPE],"",0,1)</f>
        <v/>
      </c>
      <c r="N2376">
        <f>IF(ISERR(FIND("DECOUPE",Tableau1[[#This Row],[DESIGNATION]])),"","NEED REF")</f>
        <v/>
      </c>
    </row>
    <row r="2377">
      <c r="B2377" t="n">
        <v>34411624</v>
      </c>
      <c r="C2377" s="2" t="n">
        <v>45090</v>
      </c>
      <c r="D2377" t="inlineStr">
        <is>
          <t>SPEC</t>
        </is>
      </c>
      <c r="E2377" t="inlineStr">
        <is>
          <t>COP 34411624 FLEX ERICO RACC HAUT STS 1250A</t>
        </is>
      </c>
      <c r="H2377" t="inlineStr">
        <is>
          <t>STS</t>
        </is>
      </c>
      <c r="I2377" t="inlineStr">
        <is>
          <t>1250A</t>
        </is>
      </c>
      <c r="J2377" t="inlineStr">
        <is>
          <t>MATRION</t>
        </is>
      </c>
      <c r="K2377" t="inlineStr">
        <is>
          <t>CUIVRE</t>
        </is>
      </c>
      <c r="L2377">
        <f>_xlfn.XLOOKUP(Tableau1[[#This Row],[TYPE DE PIECE]],Tableau4[MATIERE],Tableau4[SHORT TYPE],"",0,1)</f>
        <v/>
      </c>
      <c r="N2377">
        <f>IF(ISERR(FIND("DECOUPE",Tableau1[[#This Row],[DESIGNATION]])),"","NEED REF")</f>
        <v/>
      </c>
    </row>
    <row r="2378">
      <c r="B2378" t="n">
        <v>34411623</v>
      </c>
      <c r="C2378" s="2" t="n">
        <v>45090</v>
      </c>
      <c r="D2378" t="inlineStr">
        <is>
          <t>SPEC</t>
        </is>
      </c>
      <c r="E2378" t="inlineStr">
        <is>
          <t>COP 34411623 FLEX ERICO RACC HAUT STS 1250A</t>
        </is>
      </c>
      <c r="H2378" t="inlineStr">
        <is>
          <t>STS</t>
        </is>
      </c>
      <c r="I2378" t="inlineStr">
        <is>
          <t>1250A</t>
        </is>
      </c>
      <c r="J2378" t="inlineStr">
        <is>
          <t>MATRION</t>
        </is>
      </c>
      <c r="K2378" t="inlineStr">
        <is>
          <t>CUIVRE</t>
        </is>
      </c>
      <c r="L2378">
        <f>_xlfn.XLOOKUP(Tableau1[[#This Row],[TYPE DE PIECE]],Tableau4[MATIERE],Tableau4[SHORT TYPE],"",0,1)</f>
        <v/>
      </c>
      <c r="N2378">
        <f>IF(ISERR(FIND("DECOUPE",Tableau1[[#This Row],[DESIGNATION]])),"","NEED REF")</f>
        <v/>
      </c>
    </row>
    <row r="2379">
      <c r="B2379" t="n">
        <v>34411622</v>
      </c>
      <c r="C2379" s="2" t="n">
        <v>45090</v>
      </c>
      <c r="D2379" t="inlineStr">
        <is>
          <t>SPEC</t>
        </is>
      </c>
      <c r="E2379" t="inlineStr">
        <is>
          <t>COP 34411622 FLEX ERICO RACC HAUT STS 1250A</t>
        </is>
      </c>
      <c r="H2379" t="inlineStr">
        <is>
          <t>STS</t>
        </is>
      </c>
      <c r="I2379" t="inlineStr">
        <is>
          <t>1250A</t>
        </is>
      </c>
      <c r="J2379" t="inlineStr">
        <is>
          <t>MATRION</t>
        </is>
      </c>
      <c r="K2379" t="inlineStr">
        <is>
          <t>CUIVRE</t>
        </is>
      </c>
      <c r="L2379">
        <f>_xlfn.XLOOKUP(Tableau1[[#This Row],[TYPE DE PIECE]],Tableau4[MATIERE],Tableau4[SHORT TYPE],"",0,1)</f>
        <v/>
      </c>
      <c r="N2379">
        <f>IF(ISERR(FIND("DECOUPE",Tableau1[[#This Row],[DESIGNATION]])),"","NEED REF")</f>
        <v/>
      </c>
    </row>
    <row r="2380">
      <c r="B2380" t="n">
        <v>34411621</v>
      </c>
      <c r="C2380" s="2" t="n">
        <v>45090</v>
      </c>
      <c r="D2380" t="inlineStr">
        <is>
          <t>SPEC</t>
        </is>
      </c>
      <c r="E2380" t="inlineStr">
        <is>
          <t>COP 34411621 FLEX ERICO RACC HAUT STS 1250A</t>
        </is>
      </c>
      <c r="H2380" t="inlineStr">
        <is>
          <t>STS</t>
        </is>
      </c>
      <c r="I2380" t="inlineStr">
        <is>
          <t>1250A</t>
        </is>
      </c>
      <c r="J2380" t="inlineStr">
        <is>
          <t>MATRION</t>
        </is>
      </c>
      <c r="K2380" t="inlineStr">
        <is>
          <t>CUIVRE</t>
        </is>
      </c>
      <c r="L2380">
        <f>_xlfn.XLOOKUP(Tableau1[[#This Row],[TYPE DE PIECE]],Tableau4[MATIERE],Tableau4[SHORT TYPE],"",0,1)</f>
        <v/>
      </c>
      <c r="N2380">
        <f>IF(ISERR(FIND("DECOUPE",Tableau1[[#This Row],[DESIGNATION]])),"","NEED REF")</f>
        <v/>
      </c>
    </row>
    <row r="2381">
      <c r="B2381" t="n">
        <v>34411620</v>
      </c>
      <c r="C2381" s="2" t="n">
        <v>45090</v>
      </c>
      <c r="D2381" t="inlineStr">
        <is>
          <t>SPEC</t>
        </is>
      </c>
      <c r="E2381" t="inlineStr">
        <is>
          <t>COP 34411620 FLEX ERICO RACC HAUT STS 1250A</t>
        </is>
      </c>
      <c r="H2381" t="inlineStr">
        <is>
          <t>STS</t>
        </is>
      </c>
      <c r="I2381" t="inlineStr">
        <is>
          <t>1250A</t>
        </is>
      </c>
      <c r="J2381" t="inlineStr">
        <is>
          <t>MATRION</t>
        </is>
      </c>
      <c r="K2381" t="inlineStr">
        <is>
          <t>CUIVRE</t>
        </is>
      </c>
      <c r="L2381">
        <f>_xlfn.XLOOKUP(Tableau1[[#This Row],[TYPE DE PIECE]],Tableau4[MATIERE],Tableau4[SHORT TYPE],"",0,1)</f>
        <v/>
      </c>
      <c r="N2381">
        <f>IF(ISERR(FIND("DECOUPE",Tableau1[[#This Row],[DESIGNATION]])),"","NEED REF")</f>
        <v/>
      </c>
    </row>
    <row r="2382">
      <c r="B2382" t="n">
        <v>34411619</v>
      </c>
      <c r="C2382" s="2" t="n">
        <v>45090</v>
      </c>
      <c r="D2382" t="inlineStr">
        <is>
          <t>SPEC</t>
        </is>
      </c>
      <c r="E2382" t="inlineStr">
        <is>
          <t>COP 34411619 FLEX ERICO RACC HAUT STS 1250A</t>
        </is>
      </c>
      <c r="H2382" t="inlineStr">
        <is>
          <t>STS</t>
        </is>
      </c>
      <c r="I2382" t="inlineStr">
        <is>
          <t>1250A</t>
        </is>
      </c>
      <c r="J2382" t="inlineStr">
        <is>
          <t>MATRION</t>
        </is>
      </c>
      <c r="K2382" t="inlineStr">
        <is>
          <t>CUIVRE</t>
        </is>
      </c>
      <c r="L2382">
        <f>_xlfn.XLOOKUP(Tableau1[[#This Row],[TYPE DE PIECE]],Tableau4[MATIERE],Tableau4[SHORT TYPE],"",0,1)</f>
        <v/>
      </c>
      <c r="N2382">
        <f>IF(ISERR(FIND("DECOUPE",Tableau1[[#This Row],[DESIGNATION]])),"","NEED REF")</f>
        <v/>
      </c>
    </row>
    <row r="2383">
      <c r="B2383" t="n">
        <v>34411618</v>
      </c>
      <c r="C2383" s="2" t="n">
        <v>45089</v>
      </c>
      <c r="D2383" t="inlineStr">
        <is>
          <t>SPEC</t>
        </is>
      </c>
      <c r="E2383" t="inlineStr">
        <is>
          <t>SMT 30 TOITS STS 700x800 SAREL GRILLAGE_F23090246OCE/B0</t>
        </is>
      </c>
      <c r="F2383" t="inlineStr">
        <is>
          <t>STS 630A</t>
        </is>
      </c>
      <c r="I2383" t="inlineStr">
        <is>
          <t>400/630A</t>
        </is>
      </c>
      <c r="J2383" t="inlineStr">
        <is>
          <t>BERNARDEAU</t>
        </is>
      </c>
      <c r="K2383" t="inlineStr">
        <is>
          <t>METAL</t>
        </is>
      </c>
      <c r="L2383">
        <f>_xlfn.XLOOKUP(Tableau1[[#This Row],[TYPE DE PIECE]],Tableau4[MATIERE],Tableau4[SHORT TYPE],"",0,1)</f>
        <v/>
      </c>
      <c r="N2383">
        <f>IF(ISERR(FIND("DECOUPE",Tableau1[[#This Row],[DESIGNATION]])),"","NEED REF")</f>
        <v/>
      </c>
    </row>
    <row r="2384">
      <c r="B2384" t="n">
        <v>34411617</v>
      </c>
      <c r="C2384" s="2" t="n">
        <v>45086</v>
      </c>
      <c r="D2384" t="inlineStr">
        <is>
          <t>SPEC</t>
        </is>
      </c>
      <c r="E2384">
        <f>_xlfn.CONCAT(Tableau1[[#This Row],[SHORT TYPE]]," ",Tableau1[[#This Row],[NUMERO]]," ",Tableau1[[#This Row],[GAMME]]," ",Tableau1[[#This Row],[TYPE PRODUIT]]," ",Tableau1[[#This Row],[PUISSANCE]])</f>
        <v/>
      </c>
      <c r="G2384" t="inlineStr">
        <is>
          <t>E3M</t>
        </is>
      </c>
      <c r="H2384" t="inlineStr">
        <is>
          <t>BATTERY</t>
        </is>
      </c>
      <c r="I2384" t="inlineStr">
        <is>
          <t>500A</t>
        </is>
      </c>
      <c r="J2384" t="inlineStr">
        <is>
          <t>MATRION</t>
        </is>
      </c>
      <c r="K2384" t="inlineStr">
        <is>
          <t>METAL</t>
        </is>
      </c>
      <c r="L2384">
        <f>_xlfn.XLOOKUP(Tableau1[[#This Row],[TYPE DE PIECE]],Tableau4[MATIERE],Tableau4[SHORT TYPE],"",0,1)</f>
        <v/>
      </c>
      <c r="N2384">
        <f>IF(ISERR(FIND("DECOUPE",Tableau1[[#This Row],[DESIGNATION]])),"","NEED REF")</f>
        <v/>
      </c>
    </row>
    <row r="2385">
      <c r="B2385" t="n">
        <v>34411616</v>
      </c>
      <c r="C2385" s="2" t="n">
        <v>45086</v>
      </c>
      <c r="D2385" t="inlineStr">
        <is>
          <t>SPEC</t>
        </is>
      </c>
      <c r="E2385" t="inlineStr">
        <is>
          <t>SMT DECOUPE PORTE STS 1800x700</t>
        </is>
      </c>
      <c r="F2385" t="inlineStr">
        <is>
          <t>sts 630A</t>
        </is>
      </c>
      <c r="J2385" t="inlineStr">
        <is>
          <t>BERNARDEAU</t>
        </is>
      </c>
      <c r="K2385" t="inlineStr">
        <is>
          <t>METAL</t>
        </is>
      </c>
      <c r="L2385">
        <f>_xlfn.XLOOKUP(Tableau1[[#This Row],[TYPE DE PIECE]],Tableau4[MATIERE],Tableau4[SHORT TYPE],"",0,1)</f>
        <v/>
      </c>
      <c r="N2385">
        <f>IF(ISERR(FIND("DECOUPE",Tableau1[[#This Row],[DESIGNATION]])),"","NEED REF")</f>
        <v/>
      </c>
    </row>
    <row r="2386">
      <c r="B2386" t="n">
        <v>34411615</v>
      </c>
      <c r="C2386" s="2" t="n">
        <v>45086</v>
      </c>
      <c r="D2386" t="inlineStr">
        <is>
          <t>SPEC</t>
        </is>
      </c>
      <c r="E2386">
        <f>_xlfn.CONCAT(Tableau1[[#This Row],[SHORT TYPE]]," ",Tableau1[[#This Row],[NUMERO]]," ",Tableau1[[#This Row],[GAMME]]," ",Tableau1[[#This Row],[TYPE PRODUIT]]," ",Tableau1[[#This Row],[PUISSANCE]])</f>
        <v/>
      </c>
      <c r="G2386" t="inlineStr">
        <is>
          <t>E3M</t>
        </is>
      </c>
      <c r="H2386" t="inlineStr">
        <is>
          <t>BATTERY</t>
        </is>
      </c>
      <c r="I2386" t="inlineStr">
        <is>
          <t>500A</t>
        </is>
      </c>
      <c r="J2386" t="inlineStr">
        <is>
          <t>MATRION</t>
        </is>
      </c>
      <c r="K2386" t="inlineStr">
        <is>
          <t>PLASTIQUE</t>
        </is>
      </c>
      <c r="L2386">
        <f>_xlfn.XLOOKUP(Tableau1[[#This Row],[TYPE DE PIECE]],Tableau4[MATIERE],Tableau4[SHORT TYPE],"",0,1)</f>
        <v/>
      </c>
      <c r="N2386">
        <f>IF(ISERR(FIND("DECOUPE",Tableau1[[#This Row],[DESIGNATION]])),"","NEED REF")</f>
        <v/>
      </c>
    </row>
    <row r="2387">
      <c r="B2387" t="n">
        <v>34411614</v>
      </c>
      <c r="C2387" s="2" t="n">
        <v>45086</v>
      </c>
      <c r="D2387" t="inlineStr">
        <is>
          <t>SPEC</t>
        </is>
      </c>
      <c r="E2387">
        <f>_xlfn.CONCAT(Tableau1[[#This Row],[SHORT TYPE]]," ",Tableau1[[#This Row],[NUMERO]]," ",Tableau1[[#This Row],[GAMME]]," ",Tableau1[[#This Row],[TYPE PRODUIT]]," ",Tableau1[[#This Row],[PUISSANCE]])</f>
        <v/>
      </c>
      <c r="G2387" t="inlineStr">
        <is>
          <t>E3M</t>
        </is>
      </c>
      <c r="H2387" t="inlineStr">
        <is>
          <t>BATTERY</t>
        </is>
      </c>
      <c r="I2387" t="inlineStr">
        <is>
          <t>500A</t>
        </is>
      </c>
      <c r="J2387" t="inlineStr">
        <is>
          <t>MATRION</t>
        </is>
      </c>
      <c r="K2387" t="inlineStr">
        <is>
          <t>PLASTIQUE</t>
        </is>
      </c>
      <c r="L2387">
        <f>_xlfn.XLOOKUP(Tableau1[[#This Row],[TYPE DE PIECE]],Tableau4[MATIERE],Tableau4[SHORT TYPE],"",0,1)</f>
        <v/>
      </c>
      <c r="N2387">
        <f>IF(ISERR(FIND("DECOUPE",Tableau1[[#This Row],[DESIGNATION]])),"","NEED REF")</f>
        <v/>
      </c>
    </row>
    <row r="2388">
      <c r="B2388" t="n">
        <v>34411613</v>
      </c>
      <c r="C2388" s="2" t="n">
        <v>45086</v>
      </c>
      <c r="D2388" t="inlineStr">
        <is>
          <t>SPEC</t>
        </is>
      </c>
      <c r="E2388">
        <f>_xlfn.CONCAT(Tableau1[[#This Row],[SHORT TYPE]]," ",Tableau1[[#This Row],[NUMERO]]," ",Tableau1[[#This Row],[GAMME]]," ",Tableau1[[#This Row],[TYPE PRODUIT]]," ",Tableau1[[#This Row],[PUISSANCE]])</f>
        <v/>
      </c>
      <c r="G2388" t="inlineStr">
        <is>
          <t>E3M</t>
        </is>
      </c>
      <c r="H2388" t="inlineStr">
        <is>
          <t>BATTERY</t>
        </is>
      </c>
      <c r="I2388" t="inlineStr">
        <is>
          <t>500A</t>
        </is>
      </c>
      <c r="J2388" t="inlineStr">
        <is>
          <t>MATRION</t>
        </is>
      </c>
      <c r="K2388" t="inlineStr">
        <is>
          <t>METAL</t>
        </is>
      </c>
      <c r="L2388">
        <f>_xlfn.XLOOKUP(Tableau1[[#This Row],[TYPE DE PIECE]],Tableau4[MATIERE],Tableau4[SHORT TYPE],"",0,1)</f>
        <v/>
      </c>
      <c r="N2388">
        <f>IF(ISERR(FIND("DECOUPE",Tableau1[[#This Row],[DESIGNATION]])),"","NEED REF")</f>
        <v/>
      </c>
    </row>
    <row r="2389">
      <c r="B2389" t="n">
        <v>34411612</v>
      </c>
      <c r="C2389" s="2" t="n">
        <v>45085</v>
      </c>
      <c r="D2389" t="inlineStr">
        <is>
          <t>SPEC</t>
        </is>
      </c>
      <c r="E2389" t="inlineStr">
        <is>
          <t>porte 1800X700 sarel</t>
        </is>
      </c>
      <c r="F2389" t="inlineStr">
        <is>
          <t>STS 630A</t>
        </is>
      </c>
      <c r="J2389" t="inlineStr">
        <is>
          <t>BERNARDEAU</t>
        </is>
      </c>
      <c r="K2389" t="inlineStr">
        <is>
          <t>METAL</t>
        </is>
      </c>
      <c r="L2389">
        <f>_xlfn.XLOOKUP(Tableau1[[#This Row],[TYPE DE PIECE]],Tableau4[MATIERE],Tableau4[SHORT TYPE],"",0,1)</f>
        <v/>
      </c>
      <c r="N2389">
        <f>IF(ISERR(FIND("DECOUPE",Tableau1[[#This Row],[DESIGNATION]])),"","NEED REF")</f>
        <v/>
      </c>
    </row>
    <row r="2390">
      <c r="B2390" t="n">
        <v>34411611</v>
      </c>
      <c r="C2390" s="2" t="n">
        <v>45085</v>
      </c>
      <c r="D2390" t="inlineStr">
        <is>
          <t>SPEC</t>
        </is>
      </c>
      <c r="E2390" t="inlineStr">
        <is>
          <t>SMT PORTE STS 1800x700-F23090215OCE-B0</t>
        </is>
      </c>
      <c r="F2390" t="inlineStr">
        <is>
          <t>STS 100 à 630A</t>
        </is>
      </c>
      <c r="J2390" t="inlineStr">
        <is>
          <t>BERNARDEAU</t>
        </is>
      </c>
      <c r="K2390" t="inlineStr">
        <is>
          <t>METAL</t>
        </is>
      </c>
      <c r="L2390">
        <f>_xlfn.XLOOKUP(Tableau1[[#This Row],[TYPE DE PIECE]],Tableau4[MATIERE],Tableau4[SHORT TYPE],"",0,1)</f>
        <v/>
      </c>
      <c r="N2390">
        <f>IF(ISERR(FIND("DECOUPE",Tableau1[[#This Row],[DESIGNATION]])),"","NEED REF")</f>
        <v/>
      </c>
    </row>
    <row r="2391">
      <c r="B2391" t="n">
        <v>34411610</v>
      </c>
      <c r="C2391" s="2" t="n">
        <v>45085</v>
      </c>
      <c r="D2391" t="inlineStr">
        <is>
          <t>SPEC</t>
        </is>
      </c>
      <c r="E2391" t="inlineStr">
        <is>
          <t>SMT PLATINE NSX250</t>
        </is>
      </c>
      <c r="F2391" t="inlineStr">
        <is>
          <t>Belgique GSK WN30</t>
        </is>
      </c>
      <c r="G2391" t="inlineStr">
        <is>
          <t>GVM</t>
        </is>
      </c>
      <c r="H2391" t="inlineStr">
        <is>
          <t>ARMOIRE TFO</t>
        </is>
      </c>
      <c r="I2391" t="inlineStr">
        <is>
          <t>200KVA</t>
        </is>
      </c>
      <c r="J2391" t="inlineStr">
        <is>
          <t>JAWORSKI</t>
        </is>
      </c>
      <c r="K2391" t="inlineStr">
        <is>
          <t>METAL</t>
        </is>
      </c>
      <c r="L2391">
        <f>_xlfn.XLOOKUP(Tableau1[[#This Row],[TYPE DE PIECE]],Tableau4[MATIERE],Tableau4[SHORT TYPE],"",0,1)</f>
        <v/>
      </c>
      <c r="N2391">
        <f>IF(ISERR(FIND("DECOUPE",Tableau1[[#This Row],[DESIGNATION]])),"","NEED REF")</f>
        <v/>
      </c>
    </row>
    <row r="2392">
      <c r="B2392" t="n">
        <v>34411609</v>
      </c>
      <c r="C2392" s="2" t="n">
        <v>45085</v>
      </c>
      <c r="D2392" t="inlineStr">
        <is>
          <t>SPEC</t>
        </is>
      </c>
      <c r="E2392" t="inlineStr">
        <is>
          <t>SMT PLATINE NSX400</t>
        </is>
      </c>
      <c r="F2392" t="inlineStr">
        <is>
          <t>Belgique GSK WN30</t>
        </is>
      </c>
      <c r="G2392" t="inlineStr">
        <is>
          <t>GVM</t>
        </is>
      </c>
      <c r="H2392" t="inlineStr">
        <is>
          <t>ARMOIRE TFO</t>
        </is>
      </c>
      <c r="I2392" t="inlineStr">
        <is>
          <t>200KVA</t>
        </is>
      </c>
      <c r="J2392" t="inlineStr">
        <is>
          <t>JAWORSKI</t>
        </is>
      </c>
      <c r="K2392" t="inlineStr">
        <is>
          <t>METAL</t>
        </is>
      </c>
      <c r="L2392">
        <f>_xlfn.XLOOKUP(Tableau1[[#This Row],[TYPE DE PIECE]],Tableau4[MATIERE],Tableau4[SHORT TYPE],"",0,1)</f>
        <v/>
      </c>
      <c r="N2392">
        <f>IF(ISERR(FIND("DECOUPE",Tableau1[[#This Row],[DESIGNATION]])),"","NEED REF")</f>
        <v/>
      </c>
    </row>
    <row r="2393">
      <c r="B2393" t="n">
        <v>34411608</v>
      </c>
      <c r="C2393" s="2" t="n">
        <v>45085</v>
      </c>
      <c r="D2393" t="inlineStr">
        <is>
          <t>SPEC</t>
        </is>
      </c>
      <c r="E2393" t="inlineStr">
        <is>
          <t>PLA PLASTRON NSX250</t>
        </is>
      </c>
      <c r="F2393" t="inlineStr">
        <is>
          <t>Belgique GSK WN30</t>
        </is>
      </c>
      <c r="G2393" t="inlineStr">
        <is>
          <t>GVM</t>
        </is>
      </c>
      <c r="H2393" t="inlineStr">
        <is>
          <t>ARMOIRE TFO</t>
        </is>
      </c>
      <c r="I2393" t="inlineStr">
        <is>
          <t>200KVA</t>
        </is>
      </c>
      <c r="J2393" t="inlineStr">
        <is>
          <t>JAWORSKI</t>
        </is>
      </c>
      <c r="K2393" t="inlineStr">
        <is>
          <t>PLASTIQUE</t>
        </is>
      </c>
      <c r="L2393">
        <f>_xlfn.XLOOKUP(Tableau1[[#This Row],[TYPE DE PIECE]],Tableau4[MATIERE],Tableau4[SHORT TYPE],"",0,1)</f>
        <v/>
      </c>
      <c r="N2393">
        <f>IF(ISERR(FIND("DECOUPE",Tableau1[[#This Row],[DESIGNATION]])),"","NEED REF")</f>
        <v/>
      </c>
    </row>
    <row r="2394">
      <c r="B2394" t="n">
        <v>34411607</v>
      </c>
      <c r="C2394" s="2" t="n">
        <v>45085</v>
      </c>
      <c r="D2394" t="inlineStr">
        <is>
          <t>SPEC</t>
        </is>
      </c>
      <c r="E2394" t="inlineStr">
        <is>
          <t>PLA PLASTRON BAS</t>
        </is>
      </c>
      <c r="F2394" t="inlineStr">
        <is>
          <t>Belgique GSK WN30</t>
        </is>
      </c>
      <c r="G2394" t="inlineStr">
        <is>
          <t>GVM</t>
        </is>
      </c>
      <c r="H2394" t="inlineStr">
        <is>
          <t>ARMOIRE TFO</t>
        </is>
      </c>
      <c r="I2394" t="inlineStr">
        <is>
          <t>200KVA</t>
        </is>
      </c>
      <c r="J2394" t="inlineStr">
        <is>
          <t>JAWORSKI</t>
        </is>
      </c>
      <c r="K2394" t="inlineStr">
        <is>
          <t>PLASTIQUE</t>
        </is>
      </c>
      <c r="L2394">
        <f>_xlfn.XLOOKUP(Tableau1[[#This Row],[TYPE DE PIECE]],Tableau4[MATIERE],Tableau4[SHORT TYPE],"",0,1)</f>
        <v/>
      </c>
      <c r="N2394">
        <f>IF(ISERR(FIND("DECOUPE",Tableau1[[#This Row],[DESIGNATION]])),"","NEED REF")</f>
        <v/>
      </c>
    </row>
    <row r="2395">
      <c r="B2395" t="n">
        <v>34411606</v>
      </c>
      <c r="C2395" s="2" t="n">
        <v>45085</v>
      </c>
      <c r="D2395" t="inlineStr">
        <is>
          <t>SPEC</t>
        </is>
      </c>
      <c r="E2395" t="inlineStr">
        <is>
          <t>PLA PLASTRON PLEIN</t>
        </is>
      </c>
      <c r="F2395" t="inlineStr">
        <is>
          <t>Belgique GSK WN30</t>
        </is>
      </c>
      <c r="G2395" t="inlineStr">
        <is>
          <t>GVM</t>
        </is>
      </c>
      <c r="H2395" t="inlineStr">
        <is>
          <t>ARMOIRE TFO</t>
        </is>
      </c>
      <c r="I2395" t="inlineStr">
        <is>
          <t>200KVA</t>
        </is>
      </c>
      <c r="J2395" t="inlineStr">
        <is>
          <t>JAWORSKI</t>
        </is>
      </c>
      <c r="K2395" t="inlineStr">
        <is>
          <t>PLASTIQUE</t>
        </is>
      </c>
      <c r="L2395">
        <f>_xlfn.XLOOKUP(Tableau1[[#This Row],[TYPE DE PIECE]],Tableau4[MATIERE],Tableau4[SHORT TYPE],"",0,1)</f>
        <v/>
      </c>
      <c r="N2395">
        <f>IF(ISERR(FIND("DECOUPE",Tableau1[[#This Row],[DESIGNATION]])),"","NEED REF")</f>
        <v/>
      </c>
    </row>
    <row r="2396">
      <c r="B2396" t="n">
        <v>34411605</v>
      </c>
      <c r="C2396" s="2" t="n">
        <v>45085</v>
      </c>
      <c r="D2396" t="inlineStr">
        <is>
          <t>SPEC</t>
        </is>
      </c>
      <c r="E2396" t="inlineStr">
        <is>
          <t>PLA PLASTRON IMD-IM400</t>
        </is>
      </c>
      <c r="F2396" t="inlineStr">
        <is>
          <t>Belgique GSK WN30</t>
        </is>
      </c>
      <c r="G2396" t="inlineStr">
        <is>
          <t>GVM</t>
        </is>
      </c>
      <c r="H2396" t="inlineStr">
        <is>
          <t>ARMOIRE TFO</t>
        </is>
      </c>
      <c r="I2396" t="inlineStr">
        <is>
          <t>200KVA</t>
        </is>
      </c>
      <c r="J2396" t="inlineStr">
        <is>
          <t>JAWORSKI</t>
        </is>
      </c>
      <c r="K2396" t="inlineStr">
        <is>
          <t>PLASTIQUE</t>
        </is>
      </c>
      <c r="L2396">
        <f>_xlfn.XLOOKUP(Tableau1[[#This Row],[TYPE DE PIECE]],Tableau4[MATIERE],Tableau4[SHORT TYPE],"",0,1)</f>
        <v/>
      </c>
      <c r="N2396">
        <f>IF(ISERR(FIND("DECOUPE",Tableau1[[#This Row],[DESIGNATION]])),"","NEED REF")</f>
        <v/>
      </c>
    </row>
    <row r="2397">
      <c r="B2397" t="n">
        <v>34411604</v>
      </c>
      <c r="C2397" s="2" t="n">
        <v>45085</v>
      </c>
      <c r="D2397" t="inlineStr">
        <is>
          <t>SPEC</t>
        </is>
      </c>
      <c r="E2397" t="inlineStr">
        <is>
          <t>SMT PLATINE IMD-IM400</t>
        </is>
      </c>
      <c r="F2397" t="inlineStr">
        <is>
          <t>Belgique GSK WN30</t>
        </is>
      </c>
      <c r="G2397" t="inlineStr">
        <is>
          <t>GVM</t>
        </is>
      </c>
      <c r="H2397" t="inlineStr">
        <is>
          <t>ARMOIRE TFO</t>
        </is>
      </c>
      <c r="I2397" t="inlineStr">
        <is>
          <t>200KVA</t>
        </is>
      </c>
      <c r="J2397" t="inlineStr">
        <is>
          <t>JAWORSKI</t>
        </is>
      </c>
      <c r="K2397" t="inlineStr">
        <is>
          <t>METAL</t>
        </is>
      </c>
      <c r="L2397">
        <f>_xlfn.XLOOKUP(Tableau1[[#This Row],[TYPE DE PIECE]],Tableau4[MATIERE],Tableau4[SHORT TYPE],"",0,1)</f>
        <v/>
      </c>
      <c r="N2397">
        <f>IF(ISERR(FIND("DECOUPE",Tableau1[[#This Row],[DESIGNATION]])),"","NEED REF")</f>
        <v/>
      </c>
    </row>
    <row r="2398">
      <c r="B2398" t="n">
        <v>34411603</v>
      </c>
      <c r="C2398" s="2" t="n">
        <v>45085</v>
      </c>
      <c r="D2398" t="inlineStr">
        <is>
          <t>SPEC</t>
        </is>
      </c>
      <c r="E2398" t="inlineStr">
        <is>
          <t>SMT SUPPORT LIMITEUR</t>
        </is>
      </c>
      <c r="F2398" t="inlineStr">
        <is>
          <t>Belgique GSK WN30</t>
        </is>
      </c>
      <c r="G2398" t="inlineStr">
        <is>
          <t>GVM</t>
        </is>
      </c>
      <c r="H2398" t="inlineStr">
        <is>
          <t>ARMOIRE TFO</t>
        </is>
      </c>
      <c r="I2398" t="inlineStr">
        <is>
          <t>200KVA</t>
        </is>
      </c>
      <c r="J2398" t="inlineStr">
        <is>
          <t>JAWORSKI</t>
        </is>
      </c>
      <c r="K2398" t="inlineStr">
        <is>
          <t>METAL</t>
        </is>
      </c>
      <c r="L2398">
        <f>_xlfn.XLOOKUP(Tableau1[[#This Row],[TYPE DE PIECE]],Tableau4[MATIERE],Tableau4[SHORT TYPE],"",0,1)</f>
        <v/>
      </c>
      <c r="N2398">
        <f>IF(ISERR(FIND("DECOUPE",Tableau1[[#This Row],[DESIGNATION]])),"","NEED REF")</f>
        <v/>
      </c>
    </row>
    <row r="2399">
      <c r="B2399" t="n">
        <v>34411602</v>
      </c>
      <c r="C2399" s="2" t="n">
        <v>45084</v>
      </c>
      <c r="D2399" t="inlineStr">
        <is>
          <t>SPEC</t>
        </is>
      </c>
      <c r="E2399" t="inlineStr">
        <is>
          <t>SMT SPACER 26MM LAT GVM RAL9003</t>
        </is>
      </c>
      <c r="F2399" t="inlineStr">
        <is>
          <t>Belgique GSK WN30</t>
        </is>
      </c>
      <c r="G2399" t="inlineStr">
        <is>
          <t>GVM</t>
        </is>
      </c>
      <c r="H2399" t="inlineStr">
        <is>
          <t>ARMOIRE TFO</t>
        </is>
      </c>
      <c r="I2399" t="inlineStr">
        <is>
          <t>200KVA</t>
        </is>
      </c>
      <c r="J2399" t="inlineStr">
        <is>
          <t>JAWORSKI</t>
        </is>
      </c>
      <c r="K2399" t="inlineStr">
        <is>
          <t>METAL</t>
        </is>
      </c>
      <c r="L2399">
        <f>_xlfn.XLOOKUP(Tableau1[[#This Row],[TYPE DE PIECE]],Tableau4[MATIERE],Tableau4[SHORT TYPE],"",0,1)</f>
        <v/>
      </c>
      <c r="N2399">
        <f>IF(ISERR(FIND("DECOUPE",Tableau1[[#This Row],[DESIGNATION]])),"","NEED REF")</f>
        <v/>
      </c>
    </row>
    <row r="2400">
      <c r="B2400" t="n">
        <v>34411601</v>
      </c>
      <c r="C2400" s="2" t="n">
        <v>45084</v>
      </c>
      <c r="D2400" t="inlineStr">
        <is>
          <t>SPEC</t>
        </is>
      </c>
      <c r="E2400" t="inlineStr">
        <is>
          <t>SMT SUPPORT TRANSFORMATEUR</t>
        </is>
      </c>
      <c r="F2400" t="inlineStr">
        <is>
          <t>Belgique GSK WN30</t>
        </is>
      </c>
      <c r="G2400" t="inlineStr">
        <is>
          <t>GVM</t>
        </is>
      </c>
      <c r="H2400" t="inlineStr">
        <is>
          <t>ARMOIRE TFO</t>
        </is>
      </c>
      <c r="I2400" t="inlineStr">
        <is>
          <t>200KVA</t>
        </is>
      </c>
      <c r="J2400" t="inlineStr">
        <is>
          <t>JAWORSKI</t>
        </is>
      </c>
      <c r="K2400" t="inlineStr">
        <is>
          <t>METAL</t>
        </is>
      </c>
      <c r="L2400">
        <f>_xlfn.XLOOKUP(Tableau1[[#This Row],[TYPE DE PIECE]],Tableau4[MATIERE],Tableau4[SHORT TYPE],"",0,1)</f>
        <v/>
      </c>
      <c r="N2400">
        <f>IF(ISERR(FIND("DECOUPE",Tableau1[[#This Row],[DESIGNATION]])),"","NEED REF")</f>
        <v/>
      </c>
    </row>
    <row r="2401">
      <c r="B2401" t="n">
        <v>34411600</v>
      </c>
      <c r="C2401" s="2" t="n">
        <v>45084</v>
      </c>
      <c r="D2401" t="inlineStr">
        <is>
          <t>SPEC</t>
        </is>
      </c>
      <c r="E2401">
        <f>_xlfn.CONCAT(Tableau1[[#This Row],[SHORT TYPE]]," ",Tableau1[[#This Row],[NUMERO]]," ",Tableau1[[#This Row],[GAMME]]," ",Tableau1[[#This Row],[TYPE PRODUIT]]," ",Tableau1[[#This Row],[PUISSANCE]])</f>
        <v/>
      </c>
      <c r="G2401" t="inlineStr">
        <is>
          <t>E3M</t>
        </is>
      </c>
      <c r="H2401" t="inlineStr">
        <is>
          <t>BATTERY</t>
        </is>
      </c>
      <c r="I2401" t="inlineStr">
        <is>
          <t>500A</t>
        </is>
      </c>
      <c r="J2401" t="inlineStr">
        <is>
          <t>MATRION</t>
        </is>
      </c>
      <c r="K2401" t="inlineStr">
        <is>
          <t>CUIVRE</t>
        </is>
      </c>
      <c r="L2401">
        <f>_xlfn.XLOOKUP(Tableau1[[#This Row],[TYPE DE PIECE]],Tableau4[MATIERE],Tableau4[SHORT TYPE],"",0,1)</f>
        <v/>
      </c>
      <c r="N2401">
        <f>IF(ISERR(FIND("DECOUPE",Tableau1[[#This Row],[DESIGNATION]])),"","NEED REF")</f>
        <v/>
      </c>
    </row>
    <row r="2402">
      <c r="B2402" t="n">
        <v>34411599</v>
      </c>
      <c r="C2402" s="2" t="n">
        <v>45084</v>
      </c>
      <c r="D2402" t="inlineStr">
        <is>
          <t>SPEC</t>
        </is>
      </c>
      <c r="E2402">
        <f>_xlfn.CONCAT(Tableau1[[#This Row],[SHORT TYPE]]," ",Tableau1[[#This Row],[NUMERO]]," ",Tableau1[[#This Row],[GAMME]]," ",Tableau1[[#This Row],[TYPE PRODUIT]]," ",Tableau1[[#This Row],[PUISSANCE]])</f>
        <v/>
      </c>
      <c r="G2402" t="inlineStr">
        <is>
          <t>E3M</t>
        </is>
      </c>
      <c r="H2402" t="inlineStr">
        <is>
          <t>BATTERY</t>
        </is>
      </c>
      <c r="I2402" t="inlineStr">
        <is>
          <t>500A</t>
        </is>
      </c>
      <c r="J2402" t="inlineStr">
        <is>
          <t>MATRION</t>
        </is>
      </c>
      <c r="K2402" t="inlineStr">
        <is>
          <t>METAL</t>
        </is>
      </c>
      <c r="L2402">
        <f>_xlfn.XLOOKUP(Tableau1[[#This Row],[TYPE DE PIECE]],Tableau4[MATIERE],Tableau4[SHORT TYPE],"",0,1)</f>
        <v/>
      </c>
      <c r="N2402">
        <f>IF(ISERR(FIND("DECOUPE",Tableau1[[#This Row],[DESIGNATION]])),"","NEED REF")</f>
        <v/>
      </c>
    </row>
    <row r="2403">
      <c r="B2403" t="n">
        <v>34411598</v>
      </c>
      <c r="C2403" s="2" t="n">
        <v>45083</v>
      </c>
      <c r="D2403" t="inlineStr">
        <is>
          <t>SPEC</t>
        </is>
      </c>
      <c r="E2403">
        <f>_xlfn.CONCAT(Tableau1[[#This Row],[SHORT TYPE]]," ",Tableau1[[#This Row],[NUMERO]]," ",Tableau1[[#This Row],[GAMME]]," ",Tableau1[[#This Row],[TYPE PRODUIT]]," ",Tableau1[[#This Row],[PUISSANCE]])</f>
        <v/>
      </c>
      <c r="G2403" t="inlineStr">
        <is>
          <t>E3M</t>
        </is>
      </c>
      <c r="H2403" t="inlineStr">
        <is>
          <t>BATTERY</t>
        </is>
      </c>
      <c r="I2403" t="inlineStr">
        <is>
          <t>500A</t>
        </is>
      </c>
      <c r="J2403" t="inlineStr">
        <is>
          <t>MATRION</t>
        </is>
      </c>
      <c r="K2403" t="inlineStr">
        <is>
          <t>CUIVRE</t>
        </is>
      </c>
      <c r="L2403">
        <f>_xlfn.XLOOKUP(Tableau1[[#This Row],[TYPE DE PIECE]],Tableau4[MATIERE],Tableau4[SHORT TYPE],"",0,1)</f>
        <v/>
      </c>
      <c r="N2403">
        <f>IF(ISERR(FIND("DECOUPE",Tableau1[[#This Row],[DESIGNATION]])),"","NEED REF")</f>
        <v/>
      </c>
    </row>
    <row r="2404">
      <c r="B2404" t="n">
        <v>34411597</v>
      </c>
      <c r="C2404" s="2" t="n">
        <v>45083</v>
      </c>
      <c r="D2404" t="inlineStr">
        <is>
          <t>SPEC</t>
        </is>
      </c>
      <c r="E2404">
        <f>_xlfn.CONCAT(Tableau1[[#This Row],[SHORT TYPE]]," ",Tableau1[[#This Row],[NUMERO]]," ",Tableau1[[#This Row],[GAMME]]," ",Tableau1[[#This Row],[TYPE PRODUIT]]," ",Tableau1[[#This Row],[PUISSANCE]])</f>
        <v/>
      </c>
      <c r="G2404" t="inlineStr">
        <is>
          <t>E3M</t>
        </is>
      </c>
      <c r="H2404" t="inlineStr">
        <is>
          <t>BATTERY</t>
        </is>
      </c>
      <c r="I2404" t="inlineStr">
        <is>
          <t>500A</t>
        </is>
      </c>
      <c r="J2404" t="inlineStr">
        <is>
          <t>MATRION</t>
        </is>
      </c>
      <c r="K2404" t="inlineStr">
        <is>
          <t>CUIVRE</t>
        </is>
      </c>
      <c r="L2404">
        <f>_xlfn.XLOOKUP(Tableau1[[#This Row],[TYPE DE PIECE]],Tableau4[MATIERE],Tableau4[SHORT TYPE],"",0,1)</f>
        <v/>
      </c>
      <c r="N2404">
        <f>IF(ISERR(FIND("DECOUPE",Tableau1[[#This Row],[DESIGNATION]])),"","NEED REF")</f>
        <v/>
      </c>
    </row>
    <row r="2405">
      <c r="B2405" t="n">
        <v>34411596</v>
      </c>
      <c r="C2405" s="2" t="n">
        <v>45083</v>
      </c>
      <c r="D2405" t="inlineStr">
        <is>
          <t>SPEC</t>
        </is>
      </c>
      <c r="E2405">
        <f>_xlfn.CONCAT(Tableau1[[#This Row],[SHORT TYPE]]," ",Tableau1[[#This Row],[NUMERO]]," ",Tableau1[[#This Row],[GAMME]]," ",Tableau1[[#This Row],[TYPE PRODUIT]]," ",Tableau1[[#This Row],[PUISSANCE]])</f>
        <v/>
      </c>
      <c r="G2405" t="inlineStr">
        <is>
          <t>E3M</t>
        </is>
      </c>
      <c r="H2405" t="inlineStr">
        <is>
          <t>BATTERY</t>
        </is>
      </c>
      <c r="I2405" t="inlineStr">
        <is>
          <t>500A</t>
        </is>
      </c>
      <c r="J2405" t="inlineStr">
        <is>
          <t>MATRION</t>
        </is>
      </c>
      <c r="K2405" t="inlineStr">
        <is>
          <t>METAL</t>
        </is>
      </c>
      <c r="L2405">
        <f>_xlfn.XLOOKUP(Tableau1[[#This Row],[TYPE DE PIECE]],Tableau4[MATIERE],Tableau4[SHORT TYPE],"",0,1)</f>
        <v/>
      </c>
      <c r="N2405">
        <f>IF(ISERR(FIND("DECOUPE",Tableau1[[#This Row],[DESIGNATION]])),"","NEED REF")</f>
        <v/>
      </c>
    </row>
    <row r="2406">
      <c r="B2406" t="n">
        <v>34411595</v>
      </c>
      <c r="C2406" s="2" t="n">
        <v>45070</v>
      </c>
      <c r="D2406" t="inlineStr">
        <is>
          <t>SPEC</t>
        </is>
      </c>
      <c r="E2406" t="inlineStr">
        <is>
          <t>LABEL DIAGRAM GVL MBC 500kVA WITHOUT MBB</t>
        </is>
      </c>
      <c r="G2406" t="inlineStr">
        <is>
          <t>GVL</t>
        </is>
      </c>
      <c r="H2406" t="inlineStr">
        <is>
          <t>BYPASS</t>
        </is>
      </c>
      <c r="I2406" t="inlineStr">
        <is>
          <t>500kVA</t>
        </is>
      </c>
      <c r="J2406" t="inlineStr">
        <is>
          <t>MATRION</t>
        </is>
      </c>
      <c r="K2406" t="inlineStr">
        <is>
          <t>ETIQUETTE</t>
        </is>
      </c>
      <c r="L2406">
        <f>_xlfn.XLOOKUP(Tableau1[[#This Row],[TYPE DE PIECE]],Tableau4[MATIERE],Tableau4[SHORT TYPE],"",0,1)</f>
        <v/>
      </c>
      <c r="N2406">
        <f>IF(ISERR(FIND("DECOUPE",Tableau1[[#This Row],[DESIGNATION]])),"","NEED REF")</f>
        <v/>
      </c>
    </row>
    <row r="2407">
      <c r="B2407" t="n">
        <v>34411594</v>
      </c>
      <c r="C2407" s="2" t="n">
        <v>45070</v>
      </c>
      <c r="D2407" t="inlineStr">
        <is>
          <t>SPEC</t>
        </is>
      </c>
      <c r="E2407" t="inlineStr">
        <is>
          <t>UOB - BOTTOM SWITCH NS1250NA - 4P BYPASS E3L</t>
        </is>
      </c>
      <c r="G2407" t="inlineStr">
        <is>
          <t>E3L</t>
        </is>
      </c>
      <c r="H2407" t="inlineStr">
        <is>
          <t>BYPASS</t>
        </is>
      </c>
      <c r="I2407" t="inlineStr">
        <is>
          <t>750kVA</t>
        </is>
      </c>
      <c r="J2407" t="inlineStr">
        <is>
          <t>MATRION</t>
        </is>
      </c>
      <c r="K2407" t="inlineStr">
        <is>
          <t>SE</t>
        </is>
      </c>
      <c r="L2407">
        <f>_xlfn.XLOOKUP(Tableau1[[#This Row],[TYPE DE PIECE]],Tableau4[MATIERE],Tableau4[SHORT TYPE],"",0,1)</f>
        <v/>
      </c>
      <c r="N2407">
        <f>IF(ISERR(FIND("DECOUPE",Tableau1[[#This Row],[DESIGNATION]])),"","NEED REF")</f>
        <v/>
      </c>
    </row>
    <row r="2408">
      <c r="B2408" t="n">
        <v>34411593</v>
      </c>
      <c r="C2408" s="2" t="n">
        <v>45068</v>
      </c>
      <c r="D2408" t="inlineStr">
        <is>
          <t>SPEC</t>
        </is>
      </c>
      <c r="E2408" t="inlineStr">
        <is>
          <t>SMT 34411593 GVL BYPASS 1200KVA JOUE INTERCELLULE 1970</t>
        </is>
      </c>
      <c r="G2408" t="inlineStr">
        <is>
          <t>GVL</t>
        </is>
      </c>
      <c r="H2408" t="inlineStr">
        <is>
          <t>BYPASS</t>
        </is>
      </c>
      <c r="I2408" t="inlineStr">
        <is>
          <t>1200KVA</t>
        </is>
      </c>
      <c r="J2408" t="inlineStr">
        <is>
          <t>MATRION</t>
        </is>
      </c>
      <c r="K2408" t="inlineStr">
        <is>
          <t>METAL</t>
        </is>
      </c>
      <c r="L2408">
        <f>_xlfn.XLOOKUP(Tableau1[[#This Row],[TYPE DE PIECE]],Tableau4[MATIERE],Tableau4[SHORT TYPE],"",0,1)</f>
        <v/>
      </c>
      <c r="N2408">
        <f>IF(ISERR(FIND("DECOUPE",Tableau1[[#This Row],[DESIGNATION]])),"","NEED REF")</f>
        <v/>
      </c>
    </row>
    <row r="2409">
      <c r="B2409" t="n">
        <v>34411592</v>
      </c>
      <c r="C2409" s="2" t="n">
        <v>45058</v>
      </c>
      <c r="D2409" t="inlineStr">
        <is>
          <t>SPEC</t>
        </is>
      </c>
      <c r="E2409" t="inlineStr">
        <is>
          <t>SMT PLASTRON 8</t>
        </is>
      </c>
      <c r="G2409" t="inlineStr">
        <is>
          <t>GVS</t>
        </is>
      </c>
      <c r="H2409" t="inlineStr">
        <is>
          <t>BYPASS</t>
        </is>
      </c>
      <c r="J2409" t="inlineStr">
        <is>
          <t>BERNARDEAU</t>
        </is>
      </c>
      <c r="K2409" t="inlineStr">
        <is>
          <t>METAL</t>
        </is>
      </c>
      <c r="L2409">
        <f>_xlfn.XLOOKUP(Tableau1[[#This Row],[TYPE DE PIECE]],Tableau4[MATIERE],Tableau4[SHORT TYPE],"",0,1)</f>
        <v/>
      </c>
      <c r="N2409">
        <f>IF(ISERR(FIND("DECOUPE",Tableau1[[#This Row],[DESIGNATION]])),"","NEED REF")</f>
        <v/>
      </c>
    </row>
    <row r="2410">
      <c r="B2410" t="n">
        <v>34411591</v>
      </c>
      <c r="C2410" s="2" t="n">
        <v>45058</v>
      </c>
      <c r="D2410" t="inlineStr">
        <is>
          <t>SPEC</t>
        </is>
      </c>
      <c r="E2410" t="inlineStr">
        <is>
          <t>SMT PLASTRON MBB</t>
        </is>
      </c>
      <c r="G2410" t="inlineStr">
        <is>
          <t>GVS</t>
        </is>
      </c>
      <c r="H2410" t="inlineStr">
        <is>
          <t>BYPASS</t>
        </is>
      </c>
      <c r="J2410" t="inlineStr">
        <is>
          <t>BERNARDEAU</t>
        </is>
      </c>
      <c r="K2410" t="inlineStr">
        <is>
          <t>METAL</t>
        </is>
      </c>
      <c r="L2410">
        <f>_xlfn.XLOOKUP(Tableau1[[#This Row],[TYPE DE PIECE]],Tableau4[MATIERE],Tableau4[SHORT TYPE],"",0,1)</f>
        <v/>
      </c>
      <c r="N2410">
        <f>IF(ISERR(FIND("DECOUPE",Tableau1[[#This Row],[DESIGNATION]])),"","NEED REF")</f>
        <v/>
      </c>
    </row>
    <row r="2411">
      <c r="B2411" t="n">
        <v>34411590</v>
      </c>
      <c r="C2411" s="2" t="n">
        <v>45055</v>
      </c>
      <c r="D2411" t="inlineStr">
        <is>
          <t>SPEC</t>
        </is>
      </c>
      <c r="E2411" t="inlineStr">
        <is>
          <t>DECOUPE LINERGY L700mm</t>
        </is>
      </c>
      <c r="G2411" t="inlineStr">
        <is>
          <t>GVX</t>
        </is>
      </c>
      <c r="H2411" t="inlineStr">
        <is>
          <t>IO</t>
        </is>
      </c>
      <c r="J2411" t="inlineStr">
        <is>
          <t>BERNARDEAU</t>
        </is>
      </c>
      <c r="K2411" s="38" t="inlineStr">
        <is>
          <t>METAL</t>
        </is>
      </c>
      <c r="L2411">
        <f>_xlfn.XLOOKUP(Tableau1[[#This Row],[TYPE DE PIECE]],Tableau4[MATIERE],Tableau4[SHORT TYPE],"",0,1)</f>
        <v/>
      </c>
      <c r="N2411">
        <f>IF(ISERR(FIND("DECOUPE",Tableau1[[#This Row],[DESIGNATION]])),"","NEED REF")</f>
        <v/>
      </c>
    </row>
    <row r="2412">
      <c r="B2412" t="n">
        <v>34411589</v>
      </c>
      <c r="C2412" s="2" t="n">
        <v>45055</v>
      </c>
      <c r="D2412" t="inlineStr">
        <is>
          <t>SPEC</t>
        </is>
      </c>
      <c r="E2412" t="inlineStr">
        <is>
          <t>SMT 34411589 GVS BYPASS 60KVA</t>
        </is>
      </c>
      <c r="F2412" t="inlineStr">
        <is>
          <t>SE_IT0101_SCHNEIDER ELECTRIC S.P.A</t>
        </is>
      </c>
      <c r="G2412" t="inlineStr">
        <is>
          <t>GVS</t>
        </is>
      </c>
      <c r="H2412" t="inlineStr">
        <is>
          <t>BYPASS</t>
        </is>
      </c>
      <c r="I2412" t="inlineStr">
        <is>
          <t>60KVA</t>
        </is>
      </c>
      <c r="J2412" t="inlineStr">
        <is>
          <t>JAWORSKI</t>
        </is>
      </c>
      <c r="K2412" t="inlineStr">
        <is>
          <t>METAL</t>
        </is>
      </c>
      <c r="L2412">
        <f>_xlfn.XLOOKUP(Tableau1[[#This Row],[TYPE DE PIECE]],Tableau4[MATIERE],Tableau4[SHORT TYPE],"",0,1)</f>
        <v/>
      </c>
      <c r="N2412">
        <f>IF(ISERR(FIND("DECOUPE",Tableau1[[#This Row],[DESIGNATION]])),"","NEED REF")</f>
        <v/>
      </c>
    </row>
    <row r="2413">
      <c r="B2413" t="n">
        <v>34411588</v>
      </c>
      <c r="C2413" s="2" t="n">
        <v>45055</v>
      </c>
      <c r="D2413" t="inlineStr">
        <is>
          <t>SPEC</t>
        </is>
      </c>
      <c r="E2413" t="inlineStr">
        <is>
          <t>SMT 34411588 GVS BYPASS 60KVA</t>
        </is>
      </c>
      <c r="F2413" t="inlineStr">
        <is>
          <t>SE_IT0101_SCHNEIDER ELECTRIC S.P.A</t>
        </is>
      </c>
      <c r="G2413" t="inlineStr">
        <is>
          <t>GVS</t>
        </is>
      </c>
      <c r="H2413" t="inlineStr">
        <is>
          <t>BYPASS</t>
        </is>
      </c>
      <c r="I2413" t="inlineStr">
        <is>
          <t>60KVA</t>
        </is>
      </c>
      <c r="J2413" t="inlineStr">
        <is>
          <t>JAWORSKI</t>
        </is>
      </c>
      <c r="K2413" t="inlineStr">
        <is>
          <t>METAL</t>
        </is>
      </c>
      <c r="L2413">
        <f>_xlfn.XLOOKUP(Tableau1[[#This Row],[TYPE DE PIECE]],Tableau4[MATIERE],Tableau4[SHORT TYPE],"",0,1)</f>
        <v/>
      </c>
      <c r="N2413">
        <f>IF(ISERR(FIND("DECOUPE",Tableau1[[#This Row],[DESIGNATION]])),"","NEED REF")</f>
        <v/>
      </c>
    </row>
    <row r="2414">
      <c r="B2414" t="n">
        <v>34411587</v>
      </c>
      <c r="C2414" s="2" t="n">
        <v>45055</v>
      </c>
      <c r="D2414" t="inlineStr">
        <is>
          <t>SPEC</t>
        </is>
      </c>
      <c r="E2414" t="inlineStr">
        <is>
          <t>SMT 34411587 GVS BYPASS 60KVA</t>
        </is>
      </c>
      <c r="F2414" t="inlineStr">
        <is>
          <t>SE_IT0101_SCHNEIDER ELECTRIC S.P.A</t>
        </is>
      </c>
      <c r="G2414" t="inlineStr">
        <is>
          <t>GVS</t>
        </is>
      </c>
      <c r="H2414" t="inlineStr">
        <is>
          <t>BYPASS</t>
        </is>
      </c>
      <c r="I2414" t="inlineStr">
        <is>
          <t>60KVA</t>
        </is>
      </c>
      <c r="J2414" t="inlineStr">
        <is>
          <t>JAWORSKI</t>
        </is>
      </c>
      <c r="K2414" t="inlineStr">
        <is>
          <t>METAL</t>
        </is>
      </c>
      <c r="L2414">
        <f>_xlfn.XLOOKUP(Tableau1[[#This Row],[TYPE DE PIECE]],Tableau4[MATIERE],Tableau4[SHORT TYPE],"",0,1)</f>
        <v/>
      </c>
      <c r="N2414">
        <f>IF(ISERR(FIND("DECOUPE",Tableau1[[#This Row],[DESIGNATION]])),"","NEED REF")</f>
        <v/>
      </c>
    </row>
    <row r="2415">
      <c r="B2415" t="n">
        <v>34411586</v>
      </c>
      <c r="C2415" s="2" t="n">
        <v>45055</v>
      </c>
      <c r="D2415" t="inlineStr">
        <is>
          <t>SPEC</t>
        </is>
      </c>
      <c r="E2415" t="inlineStr">
        <is>
          <t>SMT 34411586 GVS BYPASS 60KVA</t>
        </is>
      </c>
      <c r="F2415" t="inlineStr">
        <is>
          <t>SE_IT0101_SCHNEIDER ELECTRIC S.P.A</t>
        </is>
      </c>
      <c r="G2415" t="inlineStr">
        <is>
          <t>GVS</t>
        </is>
      </c>
      <c r="H2415" t="inlineStr">
        <is>
          <t>BYPASS</t>
        </is>
      </c>
      <c r="I2415" t="inlineStr">
        <is>
          <t>60KVA</t>
        </is>
      </c>
      <c r="J2415" t="inlineStr">
        <is>
          <t>JAWORSKI</t>
        </is>
      </c>
      <c r="K2415" t="inlineStr">
        <is>
          <t>METAL</t>
        </is>
      </c>
      <c r="L2415">
        <f>_xlfn.XLOOKUP(Tableau1[[#This Row],[TYPE DE PIECE]],Tableau4[MATIERE],Tableau4[SHORT TYPE],"",0,1)</f>
        <v/>
      </c>
      <c r="N2415">
        <f>IF(ISERR(FIND("DECOUPE",Tableau1[[#This Row],[DESIGNATION]])),"","NEED REF")</f>
        <v/>
      </c>
    </row>
    <row r="2416">
      <c r="B2416" t="n">
        <v>34411585</v>
      </c>
      <c r="C2416" s="2" t="n">
        <v>45048</v>
      </c>
      <c r="D2416" t="inlineStr">
        <is>
          <t>SPEC</t>
        </is>
      </c>
      <c r="E2416" t="inlineStr">
        <is>
          <t>COP LIAISON NSX100 LINERGY N</t>
        </is>
      </c>
      <c r="G2416" t="inlineStr">
        <is>
          <t>GVX</t>
        </is>
      </c>
      <c r="H2416" t="inlineStr">
        <is>
          <t>IO</t>
        </is>
      </c>
      <c r="J2416" t="inlineStr">
        <is>
          <t>BERNARDEAU</t>
        </is>
      </c>
      <c r="K2416" t="inlineStr">
        <is>
          <t>CUIVRE</t>
        </is>
      </c>
      <c r="L2416">
        <f>_xlfn.XLOOKUP(Tableau1[[#This Row],[TYPE DE PIECE]],Tableau4[MATIERE],Tableau4[SHORT TYPE],"",0,1)</f>
        <v/>
      </c>
      <c r="N2416">
        <f>IF(ISERR(FIND("DECOUPE",Tableau1[[#This Row],[DESIGNATION]])),"","NEED REF")</f>
        <v/>
      </c>
    </row>
    <row r="2417">
      <c r="B2417" t="n">
        <v>34411584</v>
      </c>
      <c r="C2417" s="2" t="n">
        <v>45048</v>
      </c>
      <c r="D2417" t="inlineStr">
        <is>
          <t>SPEC</t>
        </is>
      </c>
      <c r="E2417" t="inlineStr">
        <is>
          <t>COP LIAISON NSX100 LINERGY 1</t>
        </is>
      </c>
      <c r="G2417" t="inlineStr">
        <is>
          <t>GVX</t>
        </is>
      </c>
      <c r="H2417" t="inlineStr">
        <is>
          <t>IO</t>
        </is>
      </c>
      <c r="J2417" t="inlineStr">
        <is>
          <t>BERNARDEAU</t>
        </is>
      </c>
      <c r="K2417" t="inlineStr">
        <is>
          <t>CUIVRE</t>
        </is>
      </c>
      <c r="L2417">
        <f>_xlfn.XLOOKUP(Tableau1[[#This Row],[TYPE DE PIECE]],Tableau4[MATIERE],Tableau4[SHORT TYPE],"",0,1)</f>
        <v/>
      </c>
      <c r="N2417">
        <f>IF(ISERR(FIND("DECOUPE",Tableau1[[#This Row],[DESIGNATION]])),"","NEED REF")</f>
        <v/>
      </c>
    </row>
    <row r="2418">
      <c r="B2418" t="n">
        <v>34411583</v>
      </c>
      <c r="C2418" s="2" t="n">
        <v>45048</v>
      </c>
      <c r="D2418" t="inlineStr">
        <is>
          <t>SPEC</t>
        </is>
      </c>
      <c r="E2418" t="inlineStr">
        <is>
          <t>COP LIAISON NSX100 LINERGY 2</t>
        </is>
      </c>
      <c r="G2418" t="inlineStr">
        <is>
          <t>GVX</t>
        </is>
      </c>
      <c r="H2418" t="inlineStr">
        <is>
          <t>IO</t>
        </is>
      </c>
      <c r="J2418" t="inlineStr">
        <is>
          <t>BERNARDEAU</t>
        </is>
      </c>
      <c r="K2418" t="inlineStr">
        <is>
          <t>CUIVRE</t>
        </is>
      </c>
      <c r="L2418">
        <f>_xlfn.XLOOKUP(Tableau1[[#This Row],[TYPE DE PIECE]],Tableau4[MATIERE],Tableau4[SHORT TYPE],"",0,1)</f>
        <v/>
      </c>
      <c r="N2418">
        <f>IF(ISERR(FIND("DECOUPE",Tableau1[[#This Row],[DESIGNATION]])),"","NEED REF")</f>
        <v/>
      </c>
    </row>
    <row r="2419">
      <c r="B2419" t="n">
        <v>34411582</v>
      </c>
      <c r="C2419" s="2" t="n">
        <v>45043</v>
      </c>
      <c r="D2419" t="inlineStr">
        <is>
          <t>SPEC</t>
        </is>
      </c>
      <c r="E2419" t="inlineStr">
        <is>
          <t>SMT PLASTRON HAUT</t>
        </is>
      </c>
      <c r="F2419" t="inlineStr">
        <is>
          <t>VICOM PLUS LTD</t>
        </is>
      </c>
      <c r="G2419" t="inlineStr">
        <is>
          <t>GVL</t>
        </is>
      </c>
      <c r="H2419" t="inlineStr">
        <is>
          <t>BYPASS</t>
        </is>
      </c>
      <c r="I2419" t="inlineStr">
        <is>
          <t>1200KVA</t>
        </is>
      </c>
      <c r="J2419" t="inlineStr">
        <is>
          <t>JAWORSKI</t>
        </is>
      </c>
      <c r="K2419" t="inlineStr">
        <is>
          <t>METAL</t>
        </is>
      </c>
      <c r="L2419">
        <f>_xlfn.XLOOKUP(Tableau1[[#This Row],[TYPE DE PIECE]],Tableau4[MATIERE],Tableau4[SHORT TYPE],"",0,1)</f>
        <v/>
      </c>
      <c r="N2419">
        <f>IF(ISERR(FIND("DECOUPE",Tableau1[[#This Row],[DESIGNATION]])),"","NEED REF")</f>
        <v/>
      </c>
    </row>
    <row r="2420">
      <c r="B2420" t="n">
        <v>34411581</v>
      </c>
      <c r="C2420" s="2" t="n">
        <v>45043</v>
      </c>
      <c r="D2420" t="inlineStr">
        <is>
          <t>SPEC</t>
        </is>
      </c>
      <c r="E2420" t="inlineStr">
        <is>
          <t>SMT PLASTRON BAS</t>
        </is>
      </c>
      <c r="F2420" t="inlineStr">
        <is>
          <t>VICOM PLUS LTD</t>
        </is>
      </c>
      <c r="G2420" t="inlineStr">
        <is>
          <t>GVL</t>
        </is>
      </c>
      <c r="H2420" t="inlineStr">
        <is>
          <t>BYPASS</t>
        </is>
      </c>
      <c r="I2420" t="inlineStr">
        <is>
          <t>1200KVA</t>
        </is>
      </c>
      <c r="J2420" t="inlineStr">
        <is>
          <t>JAWORSKI</t>
        </is>
      </c>
      <c r="K2420" t="inlineStr">
        <is>
          <t>METAL</t>
        </is>
      </c>
      <c r="L2420">
        <f>_xlfn.XLOOKUP(Tableau1[[#This Row],[TYPE DE PIECE]],Tableau4[MATIERE],Tableau4[SHORT TYPE],"",0,1)</f>
        <v/>
      </c>
      <c r="N2420">
        <f>IF(ISERR(FIND("DECOUPE",Tableau1[[#This Row],[DESIGNATION]])),"","NEED REF")</f>
        <v/>
      </c>
    </row>
    <row r="2421">
      <c r="B2421" t="n">
        <v>34411580</v>
      </c>
      <c r="C2421" s="2" t="n">
        <v>45043</v>
      </c>
      <c r="D2421" t="inlineStr">
        <is>
          <t>SPEC</t>
        </is>
      </c>
      <c r="E2421" t="inlineStr">
        <is>
          <t>COP LIAISON NSX100 LINERGY 3</t>
        </is>
      </c>
      <c r="G2421" t="inlineStr">
        <is>
          <t>GVX</t>
        </is>
      </c>
      <c r="H2421" t="inlineStr">
        <is>
          <t>IO</t>
        </is>
      </c>
      <c r="J2421" t="inlineStr">
        <is>
          <t>BERNARDEAU</t>
        </is>
      </c>
      <c r="K2421" t="inlineStr">
        <is>
          <t>CUIVRE</t>
        </is>
      </c>
      <c r="L2421">
        <f>_xlfn.XLOOKUP(Tableau1[[#This Row],[TYPE DE PIECE]],Tableau4[MATIERE],Tableau4[SHORT TYPE],"",0,1)</f>
        <v/>
      </c>
      <c r="N2421">
        <f>IF(ISERR(FIND("DECOUPE",Tableau1[[#This Row],[DESIGNATION]])),"","NEED REF")</f>
        <v/>
      </c>
    </row>
    <row r="2422">
      <c r="B2422" t="n">
        <v>34411579</v>
      </c>
      <c r="C2422" s="2" t="n">
        <v>45042</v>
      </c>
      <c r="D2422" t="inlineStr">
        <is>
          <t>SPEC</t>
        </is>
      </c>
      <c r="E2422" t="inlineStr">
        <is>
          <t>COP 100x10 FLEXIBAR 2</t>
        </is>
      </c>
      <c r="G2422" t="inlineStr">
        <is>
          <t>GVX</t>
        </is>
      </c>
      <c r="H2422" t="inlineStr">
        <is>
          <t>IO</t>
        </is>
      </c>
      <c r="J2422" t="inlineStr">
        <is>
          <t>BERNARDEAU</t>
        </is>
      </c>
      <c r="K2422" t="inlineStr">
        <is>
          <t>CUIVRE</t>
        </is>
      </c>
      <c r="L2422">
        <f>_xlfn.XLOOKUP(Tableau1[[#This Row],[TYPE DE PIECE]],Tableau4[MATIERE],Tableau4[SHORT TYPE],"",0,1)</f>
        <v/>
      </c>
      <c r="N2422">
        <f>IF(ISERR(FIND("DECOUPE",Tableau1[[#This Row],[DESIGNATION]])),"","NEED REF")</f>
        <v/>
      </c>
    </row>
    <row r="2423">
      <c r="B2423" t="n">
        <v>34411578</v>
      </c>
      <c r="C2423" s="2" t="n">
        <v>45042</v>
      </c>
      <c r="D2423" t="inlineStr">
        <is>
          <t>SPEC</t>
        </is>
      </c>
      <c r="E2423" t="inlineStr">
        <is>
          <t>COP 100x10 FLEXIBAR 1</t>
        </is>
      </c>
      <c r="G2423" t="inlineStr">
        <is>
          <t>GVX</t>
        </is>
      </c>
      <c r="H2423" t="inlineStr">
        <is>
          <t>IO</t>
        </is>
      </c>
      <c r="J2423" t="inlineStr">
        <is>
          <t>BERNARDEAU</t>
        </is>
      </c>
      <c r="K2423" t="inlineStr">
        <is>
          <t>CUIVRE</t>
        </is>
      </c>
      <c r="L2423">
        <f>_xlfn.XLOOKUP(Tableau1[[#This Row],[TYPE DE PIECE]],Tableau4[MATIERE],Tableau4[SHORT TYPE],"",0,1)</f>
        <v/>
      </c>
      <c r="N2423">
        <f>IF(ISERR(FIND("DECOUPE",Tableau1[[#This Row],[DESIGNATION]])),"","NEED REF")</f>
        <v/>
      </c>
    </row>
    <row r="2424">
      <c r="B2424" t="n">
        <v>34411577</v>
      </c>
      <c r="C2424" s="2" t="n">
        <v>45037</v>
      </c>
      <c r="D2424" t="inlineStr">
        <is>
          <t>SPEC</t>
        </is>
      </c>
      <c r="E2424" t="inlineStr">
        <is>
          <t>FRONT COVER MBC500</t>
        </is>
      </c>
      <c r="G2424" t="inlineStr">
        <is>
          <t>GVL</t>
        </is>
      </c>
      <c r="H2424" t="inlineStr">
        <is>
          <t>BYPASS</t>
        </is>
      </c>
      <c r="I2424" t="inlineStr">
        <is>
          <t>500kVA</t>
        </is>
      </c>
      <c r="J2424" t="inlineStr">
        <is>
          <t>MATRION</t>
        </is>
      </c>
      <c r="K2424" t="inlineStr">
        <is>
          <t>METAL</t>
        </is>
      </c>
      <c r="L2424">
        <f>_xlfn.XLOOKUP(Tableau1[[#This Row],[TYPE DE PIECE]],Tableau4[MATIERE],Tableau4[SHORT TYPE],"",0,1)</f>
        <v/>
      </c>
      <c r="N2424">
        <f>IF(ISERR(FIND("DECOUPE",Tableau1[[#This Row],[DESIGNATION]])),"","NEED REF")</f>
        <v/>
      </c>
    </row>
    <row r="2425">
      <c r="B2425" t="n">
        <v>34411576</v>
      </c>
      <c r="C2425" s="2" t="n">
        <v>45035</v>
      </c>
      <c r="D2425" t="inlineStr">
        <is>
          <t>SPEC</t>
        </is>
      </c>
      <c r="E2425" t="inlineStr">
        <is>
          <t xml:space="preserve">SMT 34411576 JONCTION INTER CELLULE 800 RAL9003 </t>
        </is>
      </c>
      <c r="J2425" t="inlineStr">
        <is>
          <t>MATRION</t>
        </is>
      </c>
      <c r="K2425" t="inlineStr">
        <is>
          <t>METAL</t>
        </is>
      </c>
      <c r="L2425">
        <f>_xlfn.XLOOKUP(Tableau1[[#This Row],[TYPE DE PIECE]],Tableau4[MATIERE],Tableau4[SHORT TYPE],"",0,1)</f>
        <v/>
      </c>
      <c r="M2425" t="inlineStr">
        <is>
          <t>BIRDY</t>
        </is>
      </c>
      <c r="N2425">
        <f>IF(ISERR(FIND("DECOUPE",Tableau1[[#This Row],[DESIGNATION]])),"","NEED REF")</f>
        <v/>
      </c>
    </row>
    <row r="2426">
      <c r="B2426" t="n">
        <v>34411575</v>
      </c>
      <c r="C2426" s="2" t="n">
        <v>45034</v>
      </c>
      <c r="D2426" t="inlineStr">
        <is>
          <t>SPEC</t>
        </is>
      </c>
      <c r="E2426" t="inlineStr">
        <is>
          <t>SMT DEFLECTEUR TFO</t>
        </is>
      </c>
      <c r="G2426" t="inlineStr">
        <is>
          <t>GVS</t>
        </is>
      </c>
      <c r="I2426" t="inlineStr">
        <is>
          <t>80kVA</t>
        </is>
      </c>
      <c r="J2426" t="inlineStr">
        <is>
          <t>BERNARDEAU</t>
        </is>
      </c>
      <c r="K2426" t="inlineStr">
        <is>
          <t>METAL</t>
        </is>
      </c>
      <c r="L2426">
        <f>_xlfn.XLOOKUP(Tableau1[[#This Row],[TYPE DE PIECE]],Tableau4[MATIERE],Tableau4[SHORT TYPE],"",0,1)</f>
        <v/>
      </c>
      <c r="N2426">
        <f>IF(ISERR(FIND("DECOUPE",Tableau1[[#This Row],[DESIGNATION]])),"","NEED REF")</f>
        <v/>
      </c>
    </row>
    <row r="2427">
      <c r="B2427" t="n">
        <v>34411574</v>
      </c>
      <c r="C2427" s="2" t="n">
        <v>45033</v>
      </c>
      <c r="D2427" t="inlineStr">
        <is>
          <t>SPEC</t>
        </is>
      </c>
      <c r="E2427" t="inlineStr">
        <is>
          <t>SMT 34411574 GVX BATTERY 630A 1BBk</t>
        </is>
      </c>
      <c r="G2427" t="inlineStr">
        <is>
          <t>GVX</t>
        </is>
      </c>
      <c r="H2427" t="inlineStr">
        <is>
          <t>BATTERY</t>
        </is>
      </c>
      <c r="I2427" t="inlineStr">
        <is>
          <t>630A</t>
        </is>
      </c>
      <c r="J2427" t="inlineStr">
        <is>
          <t>MATRION</t>
        </is>
      </c>
      <c r="K2427" t="inlineStr">
        <is>
          <t>METAL</t>
        </is>
      </c>
      <c r="L2427">
        <f>_xlfn.XLOOKUP(Tableau1[[#This Row],[TYPE DE PIECE]],Tableau4[MATIERE],Tableau4[SHORT TYPE],"",0,1)</f>
        <v/>
      </c>
      <c r="N2427">
        <f>IF(ISERR(FIND("DECOUPE",Tableau1[[#This Row],[DESIGNATION]])),"","NEED REF")</f>
        <v/>
      </c>
    </row>
    <row r="2428">
      <c r="B2428" t="n">
        <v>34411573</v>
      </c>
      <c r="C2428" s="2" t="n">
        <v>45033</v>
      </c>
      <c r="D2428" t="inlineStr">
        <is>
          <t>SPEC</t>
        </is>
      </c>
      <c r="E2428" t="inlineStr">
        <is>
          <t>SMT 34411573 GVX BATTERY 630A 2BBK</t>
        </is>
      </c>
      <c r="G2428" t="inlineStr">
        <is>
          <t>GVX</t>
        </is>
      </c>
      <c r="H2428" t="inlineStr">
        <is>
          <t>BATTERY</t>
        </is>
      </c>
      <c r="I2428" t="inlineStr">
        <is>
          <t>630A</t>
        </is>
      </c>
      <c r="J2428" t="inlineStr">
        <is>
          <t>MATRION</t>
        </is>
      </c>
      <c r="K2428" t="inlineStr">
        <is>
          <t>METAL</t>
        </is>
      </c>
      <c r="L2428">
        <f>_xlfn.XLOOKUP(Tableau1[[#This Row],[TYPE DE PIECE]],Tableau4[MATIERE],Tableau4[SHORT TYPE],"",0,1)</f>
        <v/>
      </c>
      <c r="N2428">
        <f>IF(ISERR(FIND("DECOUPE",Tableau1[[#This Row],[DESIGNATION]])),"","NEED REF")</f>
        <v/>
      </c>
    </row>
    <row r="2429">
      <c r="B2429" t="n">
        <v>34411572</v>
      </c>
      <c r="C2429" s="2" t="n">
        <v>45029</v>
      </c>
      <c r="D2429" t="inlineStr">
        <is>
          <t>SPEC</t>
        </is>
      </c>
      <c r="E2429" t="inlineStr">
        <is>
          <t>KIT CABLES PUISSANCE PDPM QSMA57392</t>
        </is>
      </c>
      <c r="F2429" t="inlineStr">
        <is>
          <t>706483544-QSMA57392</t>
        </is>
      </c>
      <c r="G2429" t="inlineStr">
        <is>
          <t>SYMMETRA PX</t>
        </is>
      </c>
      <c r="H2429" t="inlineStr">
        <is>
          <t>PDPM</t>
        </is>
      </c>
      <c r="I2429" t="inlineStr">
        <is>
          <t>277kW</t>
        </is>
      </c>
      <c r="J2429" t="inlineStr">
        <is>
          <t>CAKIR</t>
        </is>
      </c>
      <c r="K2429" t="inlineStr">
        <is>
          <t>CABLE</t>
        </is>
      </c>
      <c r="L2429" t="inlineStr">
        <is>
          <t>WIR</t>
        </is>
      </c>
      <c r="N2429">
        <f>IF(ISERR(FIND("DECOUPE",Tableau1[[#This Row],[DESIGNATION]])),"","NEED REF")</f>
        <v/>
      </c>
    </row>
    <row r="2430">
      <c r="B2430" t="n">
        <v>34411571</v>
      </c>
      <c r="C2430" s="2" t="n">
        <v>45029</v>
      </c>
      <c r="D2430" t="inlineStr">
        <is>
          <t>SPEC</t>
        </is>
      </c>
      <c r="E2430">
        <f>_xlfn.CONCAT(Tableau1[[#This Row],[SHORT TYPE]]," ",Tableau1[[#This Row],[NUMERO]]," ",Tableau1[[#This Row],[GAMME]]," ",Tableau1[[#This Row],[TYPE PRODUIT]]," ",Tableau1[[#This Row],[PUISSANCE]])</f>
        <v/>
      </c>
      <c r="G2430" t="inlineStr">
        <is>
          <t>GVL</t>
        </is>
      </c>
      <c r="H2430" t="inlineStr">
        <is>
          <t>UPS</t>
        </is>
      </c>
      <c r="I2430" t="inlineStr">
        <is>
          <t>400kVA</t>
        </is>
      </c>
      <c r="J2430" t="inlineStr">
        <is>
          <t>MATRION</t>
        </is>
      </c>
      <c r="K2430" t="inlineStr">
        <is>
          <t>PLASTIQUE</t>
        </is>
      </c>
      <c r="L2430">
        <f>_xlfn.XLOOKUP(Tableau1[[#This Row],[TYPE DE PIECE]],Tableau4[MATIERE],Tableau4[SHORT TYPE],"",0,1)</f>
        <v/>
      </c>
      <c r="N2430">
        <f>IF(ISERR(FIND("DECOUPE",Tableau1[[#This Row],[DESIGNATION]])),"","NEED REF")</f>
        <v/>
      </c>
    </row>
    <row r="2431">
      <c r="B2431" t="n">
        <v>34411570</v>
      </c>
      <c r="C2431" s="2" t="n">
        <v>45029</v>
      </c>
      <c r="D2431" t="inlineStr">
        <is>
          <t>SPEC</t>
        </is>
      </c>
      <c r="E2431">
        <f>_xlfn.CONCAT(Tableau1[[#This Row],[SHORT TYPE]]," ",Tableau1[[#This Row],[NUMERO]]," ",Tableau1[[#This Row],[GAMME]]," ",Tableau1[[#This Row],[TYPE PRODUIT]]," ",Tableau1[[#This Row],[PUISSANCE]])</f>
        <v/>
      </c>
      <c r="G2431" t="inlineStr">
        <is>
          <t>GVL</t>
        </is>
      </c>
      <c r="H2431" t="inlineStr">
        <is>
          <t>UPS</t>
        </is>
      </c>
      <c r="I2431" t="inlineStr">
        <is>
          <t>400kVA</t>
        </is>
      </c>
      <c r="J2431" t="inlineStr">
        <is>
          <t>MATRION</t>
        </is>
      </c>
      <c r="K2431" t="inlineStr">
        <is>
          <t>PLASTIQUE</t>
        </is>
      </c>
      <c r="L2431">
        <f>_xlfn.XLOOKUP(Tableau1[[#This Row],[TYPE DE PIECE]],Tableau4[MATIERE],Tableau4[SHORT TYPE],"",0,1)</f>
        <v/>
      </c>
      <c r="N2431">
        <f>IF(ISERR(FIND("DECOUPE",Tableau1[[#This Row],[DESIGNATION]])),"","NEED REF")</f>
        <v/>
      </c>
    </row>
    <row r="2432">
      <c r="B2432" t="n">
        <v>34411569</v>
      </c>
      <c r="C2432" s="2" t="n">
        <v>45029</v>
      </c>
      <c r="D2432" t="inlineStr">
        <is>
          <t>SPEC</t>
        </is>
      </c>
      <c r="E2432">
        <f>_xlfn.CONCAT(Tableau1[[#This Row],[SHORT TYPE]]," ",Tableau1[[#This Row],[NUMERO]]," ",Tableau1[[#This Row],[GAMME]]," ",Tableau1[[#This Row],[TYPE PRODUIT]]," ",Tableau1[[#This Row],[PUISSANCE]])</f>
        <v/>
      </c>
      <c r="G2432" t="inlineStr">
        <is>
          <t>GVL</t>
        </is>
      </c>
      <c r="H2432" t="inlineStr">
        <is>
          <t>UPS</t>
        </is>
      </c>
      <c r="I2432" t="inlineStr">
        <is>
          <t>400kVA</t>
        </is>
      </c>
      <c r="J2432" t="inlineStr">
        <is>
          <t>MATRION</t>
        </is>
      </c>
      <c r="K2432" t="inlineStr">
        <is>
          <t>METAL</t>
        </is>
      </c>
      <c r="L2432">
        <f>_xlfn.XLOOKUP(Tableau1[[#This Row],[TYPE DE PIECE]],Tableau4[MATIERE],Tableau4[SHORT TYPE],"",0,1)</f>
        <v/>
      </c>
      <c r="N2432">
        <f>IF(ISERR(FIND("DECOUPE",Tableau1[[#This Row],[DESIGNATION]])),"","NEED REF")</f>
        <v/>
      </c>
    </row>
    <row r="2433">
      <c r="B2433" t="n">
        <v>34411568</v>
      </c>
      <c r="C2433" s="2" t="n">
        <v>45027</v>
      </c>
      <c r="D2433" t="inlineStr">
        <is>
          <t>SPEC</t>
        </is>
      </c>
      <c r="E2433">
        <f>_xlfn.CONCAT(Tableau1[[#This Row],[SHORT TYPE]]," ",Tableau1[[#This Row],[NUMERO]]," ",Tableau1[[#This Row],[GAMME]]," ",Tableau1[[#This Row],[TYPE PRODUIT]]," ",Tableau1[[#This Row],[PUISSANCE]])</f>
        <v/>
      </c>
      <c r="G2433" t="inlineStr">
        <is>
          <t>GVL</t>
        </is>
      </c>
      <c r="H2433" t="inlineStr">
        <is>
          <t>UPS</t>
        </is>
      </c>
      <c r="I2433" t="inlineStr">
        <is>
          <t>400kVA</t>
        </is>
      </c>
      <c r="J2433" t="inlineStr">
        <is>
          <t>MATRION</t>
        </is>
      </c>
      <c r="K2433" t="inlineStr">
        <is>
          <t>METAL</t>
        </is>
      </c>
      <c r="L2433">
        <f>_xlfn.XLOOKUP(Tableau1[[#This Row],[TYPE DE PIECE]],Tableau4[MATIERE],Tableau4[SHORT TYPE],"",0,1)</f>
        <v/>
      </c>
      <c r="N2433">
        <f>IF(ISERR(FIND("DECOUPE",Tableau1[[#This Row],[DESIGNATION]])),"","NEED REF")</f>
        <v/>
      </c>
    </row>
    <row r="2434">
      <c r="B2434" t="n">
        <v>34411567</v>
      </c>
      <c r="C2434" s="2" t="n">
        <v>45027</v>
      </c>
      <c r="D2434" t="inlineStr">
        <is>
          <t>SPEC</t>
        </is>
      </c>
      <c r="E2434">
        <f>_xlfn.CONCAT(Tableau1[[#This Row],[SHORT TYPE]]," ",Tableau1[[#This Row],[NUMERO]]," ",Tableau1[[#This Row],[GAMME]]," ",Tableau1[[#This Row],[TYPE PRODUIT]]," ",Tableau1[[#This Row],[PUISSANCE]])</f>
        <v/>
      </c>
      <c r="G2434" t="inlineStr">
        <is>
          <t>GVX</t>
        </is>
      </c>
      <c r="H2434" t="inlineStr">
        <is>
          <t>IO</t>
        </is>
      </c>
      <c r="I2434" t="inlineStr">
        <is>
          <t>1500KVA</t>
        </is>
      </c>
      <c r="J2434" t="inlineStr">
        <is>
          <t>MATRION</t>
        </is>
      </c>
      <c r="K2434" t="inlineStr">
        <is>
          <t>PLASTIQUE</t>
        </is>
      </c>
      <c r="L2434">
        <f>_xlfn.XLOOKUP(Tableau1[[#This Row],[TYPE DE PIECE]],Tableau4[MATIERE],Tableau4[SHORT TYPE],"",0,1)</f>
        <v/>
      </c>
      <c r="N2434">
        <f>IF(ISERR(FIND("DECOUPE",Tableau1[[#This Row],[DESIGNATION]])),"","NEED REF")</f>
        <v/>
      </c>
    </row>
    <row r="2435">
      <c r="B2435" t="n">
        <v>34411566</v>
      </c>
      <c r="C2435" s="2" t="n">
        <v>45027</v>
      </c>
      <c r="D2435" t="inlineStr">
        <is>
          <t>SPEC</t>
        </is>
      </c>
      <c r="E2435">
        <f>_xlfn.CONCAT(Tableau1[[#This Row],[SHORT TYPE]]," ",Tableau1[[#This Row],[NUMERO]]," ",Tableau1[[#This Row],[GAMME]]," ",Tableau1[[#This Row],[TYPE PRODUIT]]," ",Tableau1[[#This Row],[PUISSANCE]])</f>
        <v/>
      </c>
      <c r="G2435" t="inlineStr">
        <is>
          <t>GVL</t>
        </is>
      </c>
      <c r="H2435" t="inlineStr">
        <is>
          <t>UPS</t>
        </is>
      </c>
      <c r="I2435" t="inlineStr">
        <is>
          <t>400kVA</t>
        </is>
      </c>
      <c r="J2435" t="inlineStr">
        <is>
          <t>MATRION</t>
        </is>
      </c>
      <c r="K2435" t="inlineStr">
        <is>
          <t>METAL</t>
        </is>
      </c>
      <c r="L2435">
        <f>_xlfn.XLOOKUP(Tableau1[[#This Row],[TYPE DE PIECE]],Tableau4[MATIERE],Tableau4[SHORT TYPE],"",0,1)</f>
        <v/>
      </c>
      <c r="N2435">
        <f>IF(ISERR(FIND("DECOUPE",Tableau1[[#This Row],[DESIGNATION]])),"","NEED REF")</f>
        <v/>
      </c>
    </row>
    <row r="2436">
      <c r="B2436" t="n">
        <v>34411565</v>
      </c>
      <c r="C2436" s="2" t="n">
        <v>45027</v>
      </c>
      <c r="D2436" t="inlineStr">
        <is>
          <t>SPEC</t>
        </is>
      </c>
      <c r="E2436">
        <f>_xlfn.CONCAT(Tableau1[[#This Row],[SHORT TYPE]]," ",Tableau1[[#This Row],[NUMERO]]," ",Tableau1[[#This Row],[GAMME]]," ",Tableau1[[#This Row],[TYPE PRODUIT]]," ",Tableau1[[#This Row],[PUISSANCE]])</f>
        <v/>
      </c>
      <c r="G2436" t="inlineStr">
        <is>
          <t>GVL</t>
        </is>
      </c>
      <c r="H2436" t="inlineStr">
        <is>
          <t>UPS</t>
        </is>
      </c>
      <c r="I2436" t="inlineStr">
        <is>
          <t>400kVA</t>
        </is>
      </c>
      <c r="J2436" t="inlineStr">
        <is>
          <t>MATRION</t>
        </is>
      </c>
      <c r="K2436" t="inlineStr">
        <is>
          <t>METAL</t>
        </is>
      </c>
      <c r="L2436">
        <f>_xlfn.XLOOKUP(Tableau1[[#This Row],[TYPE DE PIECE]],Tableau4[MATIERE],Tableau4[SHORT TYPE],"",0,1)</f>
        <v/>
      </c>
      <c r="N2436">
        <f>IF(ISERR(FIND("DECOUPE",Tableau1[[#This Row],[DESIGNATION]])),"","NEED REF")</f>
        <v/>
      </c>
    </row>
    <row r="2437">
      <c r="B2437" t="n">
        <v>34411564</v>
      </c>
      <c r="C2437" s="2" t="n">
        <v>45023</v>
      </c>
      <c r="D2437" t="inlineStr">
        <is>
          <t>SPEC</t>
        </is>
      </c>
      <c r="E2437">
        <f>_xlfn.CONCAT(Tableau1[[#This Row],[SHORT TYPE]]," ",Tableau1[[#This Row],[NUMERO]]," ",Tableau1[[#This Row],[GAMME]]," ",Tableau1[[#This Row],[TYPE PRODUIT]]," ",Tableau1[[#This Row],[PUISSANCE]])</f>
        <v/>
      </c>
      <c r="G2437" t="inlineStr">
        <is>
          <t>GVL</t>
        </is>
      </c>
      <c r="H2437" t="inlineStr">
        <is>
          <t>UPS</t>
        </is>
      </c>
      <c r="I2437" t="inlineStr">
        <is>
          <t>400kVA</t>
        </is>
      </c>
      <c r="J2437" t="inlineStr">
        <is>
          <t>MATRION</t>
        </is>
      </c>
      <c r="K2437" t="inlineStr">
        <is>
          <t>METAL</t>
        </is>
      </c>
      <c r="L2437">
        <f>_xlfn.XLOOKUP(Tableau1[[#This Row],[TYPE DE PIECE]],Tableau4[MATIERE],Tableau4[SHORT TYPE],"",0,1)</f>
        <v/>
      </c>
      <c r="N2437">
        <f>IF(ISERR(FIND("DECOUPE",Tableau1[[#This Row],[DESIGNATION]])),"","NEED REF")</f>
        <v/>
      </c>
    </row>
    <row r="2438">
      <c r="B2438" t="n">
        <v>34411563</v>
      </c>
      <c r="C2438" s="2" t="n">
        <v>45023</v>
      </c>
      <c r="D2438" t="inlineStr">
        <is>
          <t>SPEC</t>
        </is>
      </c>
      <c r="E2438">
        <f>_xlfn.CONCAT(Tableau1[[#This Row],[SHORT TYPE]]," ",Tableau1[[#This Row],[NUMERO]]," ",Tableau1[[#This Row],[GAMME]]," ",Tableau1[[#This Row],[TYPE PRODUIT]]," ",Tableau1[[#This Row],[PUISSANCE]])</f>
        <v/>
      </c>
      <c r="F2438" t="inlineStr">
        <is>
          <t>DIGITAL LES ULIS SNC</t>
        </is>
      </c>
      <c r="G2438" t="inlineStr">
        <is>
          <t>GVX</t>
        </is>
      </c>
      <c r="H2438" t="inlineStr">
        <is>
          <t>IO</t>
        </is>
      </c>
      <c r="I2438" t="inlineStr">
        <is>
          <t>1250KVA</t>
        </is>
      </c>
      <c r="J2438" t="inlineStr">
        <is>
          <t>JAWORSKI</t>
        </is>
      </c>
      <c r="K2438" t="inlineStr">
        <is>
          <t>FILERIE</t>
        </is>
      </c>
      <c r="L2438">
        <f>_xlfn.XLOOKUP(Tableau1[[#This Row],[TYPE DE PIECE]],Tableau4[MATIERE],Tableau4[SHORT TYPE],"",0,1)</f>
        <v/>
      </c>
      <c r="N2438">
        <f>IF(ISERR(FIND("DECOUPE",Tableau1[[#This Row],[DESIGNATION]])),"","NEED REF")</f>
        <v/>
      </c>
    </row>
    <row r="2439">
      <c r="B2439" t="n">
        <v>34411562</v>
      </c>
      <c r="C2439" s="2" t="n">
        <v>45022</v>
      </c>
      <c r="D2439" t="inlineStr">
        <is>
          <t>SPEC</t>
        </is>
      </c>
      <c r="E2439">
        <f>_xlfn.CONCAT(Tableau1[[#This Row],[SHORT TYPE]]," ",Tableau1[[#This Row],[NUMERO]]," ",Tableau1[[#This Row],[GAMME]]," ",Tableau1[[#This Row],[TYPE PRODUIT]]," ",Tableau1[[#This Row],[PUISSANCE]])</f>
        <v/>
      </c>
      <c r="G2439" t="inlineStr">
        <is>
          <t>GVL</t>
        </is>
      </c>
      <c r="H2439" t="inlineStr">
        <is>
          <t>UPS</t>
        </is>
      </c>
      <c r="I2439" t="inlineStr">
        <is>
          <t>400kVA</t>
        </is>
      </c>
      <c r="J2439" t="inlineStr">
        <is>
          <t>MATRION</t>
        </is>
      </c>
      <c r="K2439" t="inlineStr">
        <is>
          <t>METAL</t>
        </is>
      </c>
      <c r="L2439">
        <f>_xlfn.XLOOKUP(Tableau1[[#This Row],[TYPE DE PIECE]],Tableau4[MATIERE],Tableau4[SHORT TYPE],"",0,1)</f>
        <v/>
      </c>
      <c r="N2439">
        <f>IF(ISERR(FIND("DECOUPE",Tableau1[[#This Row],[DESIGNATION]])),"","NEED REF")</f>
        <v/>
      </c>
    </row>
    <row r="2440">
      <c r="B2440" t="n">
        <v>34411561</v>
      </c>
      <c r="C2440" s="2" t="n">
        <v>45022</v>
      </c>
      <c r="D2440" t="inlineStr">
        <is>
          <t>SPEC</t>
        </is>
      </c>
      <c r="E2440" t="inlineStr">
        <is>
          <t>PLA  TIGE FILTE 225MM</t>
        </is>
      </c>
      <c r="J2440" t="inlineStr">
        <is>
          <t>BERNARDEAU</t>
        </is>
      </c>
      <c r="K2440" t="inlineStr">
        <is>
          <t>PLASTIQUE</t>
        </is>
      </c>
      <c r="L2440">
        <f>_xlfn.XLOOKUP(Tableau1[[#This Row],[TYPE DE PIECE]],Tableau4[MATIERE],Tableau4[SHORT TYPE],"",0,1)</f>
        <v/>
      </c>
      <c r="N2440">
        <f>IF(ISERR(FIND("DECOUPE",Tableau1[[#This Row],[DESIGNATION]])),"","NEED REF")</f>
        <v/>
      </c>
    </row>
    <row r="2441">
      <c r="B2441" t="n">
        <v>34411560</v>
      </c>
      <c r="C2441" s="2" t="n">
        <v>45022</v>
      </c>
      <c r="D2441" t="inlineStr">
        <is>
          <t>SPEC</t>
        </is>
      </c>
      <c r="E2441" t="inlineStr">
        <is>
          <t>PLA CANON 65MM</t>
        </is>
      </c>
      <c r="J2441" t="inlineStr">
        <is>
          <t>BERNARDEAU</t>
        </is>
      </c>
      <c r="K2441" t="inlineStr">
        <is>
          <t>PLASTIQUE</t>
        </is>
      </c>
      <c r="L2441">
        <f>_xlfn.XLOOKUP(Tableau1[[#This Row],[TYPE DE PIECE]],Tableau4[MATIERE],Tableau4[SHORT TYPE],"",0,1)</f>
        <v/>
      </c>
      <c r="N2441">
        <f>IF(ISERR(FIND("DECOUPE",Tableau1[[#This Row],[DESIGNATION]])),"","NEED REF")</f>
        <v/>
      </c>
    </row>
    <row r="2442">
      <c r="B2442" t="n">
        <v>34411559</v>
      </c>
      <c r="C2442" s="2" t="n">
        <v>45021</v>
      </c>
      <c r="D2442" t="inlineStr">
        <is>
          <t>SPEC</t>
        </is>
      </c>
      <c r="E2442">
        <f>_xlfn.CONCAT(Tableau1[[#This Row],[SHORT TYPE]]," ",Tableau1[[#This Row],[NUMERO]]," ",Tableau1[[#This Row],[GAMME]]," ",Tableau1[[#This Row],[TYPE PRODUIT]]," ",Tableau1[[#This Row],[PUISSANCE]])</f>
        <v/>
      </c>
      <c r="G2442" t="inlineStr">
        <is>
          <t>GVL</t>
        </is>
      </c>
      <c r="H2442" t="inlineStr">
        <is>
          <t>UPS</t>
        </is>
      </c>
      <c r="I2442" t="inlineStr">
        <is>
          <t>400kVA</t>
        </is>
      </c>
      <c r="J2442" t="inlineStr">
        <is>
          <t>MATRION</t>
        </is>
      </c>
      <c r="K2442" t="inlineStr">
        <is>
          <t>METAL</t>
        </is>
      </c>
      <c r="L2442">
        <f>_xlfn.XLOOKUP(Tableau1[[#This Row],[TYPE DE PIECE]],Tableau4[MATIERE],Tableau4[SHORT TYPE],"",0,1)</f>
        <v/>
      </c>
      <c r="N2442">
        <f>IF(ISERR(FIND("DECOUPE",Tableau1[[#This Row],[DESIGNATION]])),"","NEED REF")</f>
        <v/>
      </c>
    </row>
    <row r="2443">
      <c r="B2443" t="n">
        <v>34411558</v>
      </c>
      <c r="C2443" s="2" t="n">
        <v>45020</v>
      </c>
      <c r="D2443" t="inlineStr">
        <is>
          <t>SPEC</t>
        </is>
      </c>
      <c r="E2443" t="inlineStr">
        <is>
          <t>COP CONNEXION TERRE</t>
        </is>
      </c>
      <c r="F2443" t="inlineStr">
        <is>
          <t>COP CONNEXION TERRE</t>
        </is>
      </c>
      <c r="G2443" t="inlineStr">
        <is>
          <t>NEIROBI</t>
        </is>
      </c>
      <c r="H2443" t="inlineStr">
        <is>
          <t>GVX</t>
        </is>
      </c>
      <c r="J2443" t="inlineStr">
        <is>
          <t>BERNARDEAU</t>
        </is>
      </c>
      <c r="K2443" t="inlineStr">
        <is>
          <t>CUIVRE</t>
        </is>
      </c>
      <c r="L2443">
        <f>_xlfn.XLOOKUP(Tableau1[[#This Row],[TYPE DE PIECE]],Tableau4[MATIERE],Tableau4[SHORT TYPE],"",0,1)</f>
        <v/>
      </c>
      <c r="N2443">
        <f>IF(ISERR(FIND("DECOUPE",Tableau1[[#This Row],[DESIGNATION]])),"","NEED REF")</f>
        <v/>
      </c>
    </row>
    <row r="2444">
      <c r="B2444" t="n">
        <v>34411557</v>
      </c>
      <c r="C2444" s="2" t="n">
        <v>45020</v>
      </c>
      <c r="D2444" t="inlineStr">
        <is>
          <t>SPEC</t>
        </is>
      </c>
      <c r="E2444">
        <f>_xlfn.CONCAT(Tableau1[[#This Row],[SHORT TYPE]]," ",Tableau1[[#This Row],[NUMERO]]," ",Tableau1[[#This Row],[GAMME]]," ",Tableau1[[#This Row],[TYPE PRODUIT]]," ",Tableau1[[#This Row],[PUISSANCE]])</f>
        <v/>
      </c>
      <c r="H2444" t="inlineStr">
        <is>
          <t>REGEN</t>
        </is>
      </c>
      <c r="I2444" t="inlineStr">
        <is>
          <t>50A</t>
        </is>
      </c>
      <c r="J2444" t="inlineStr">
        <is>
          <t>Bisiaux</t>
        </is>
      </c>
      <c r="K2444" t="inlineStr">
        <is>
          <t>ETIQUETTE</t>
        </is>
      </c>
      <c r="L2444">
        <f>_xlfn.XLOOKUP(Tableau1[[#This Row],[TYPE DE PIECE]],Tableau4[MATIERE],Tableau4[SHORT TYPE],"",0,1)</f>
        <v/>
      </c>
      <c r="N2444">
        <f>IF(ISERR(FIND("DECOUPE",Tableau1[[#This Row],[DESIGNATION]])),"","NEED REF")</f>
        <v/>
      </c>
    </row>
    <row r="2445">
      <c r="B2445" t="n">
        <v>34411556</v>
      </c>
      <c r="C2445" s="2" t="n">
        <v>45015</v>
      </c>
      <c r="D2445" t="inlineStr">
        <is>
          <t>SPEC</t>
        </is>
      </c>
      <c r="E2445" t="inlineStr">
        <is>
          <t>SMT 34411556 RENFORT PROFILE BIRDY</t>
        </is>
      </c>
      <c r="F2445" t="inlineStr">
        <is>
          <t>BIRDY</t>
        </is>
      </c>
      <c r="J2445" t="inlineStr">
        <is>
          <t>MATRION</t>
        </is>
      </c>
      <c r="K2445" t="inlineStr">
        <is>
          <t>METAL</t>
        </is>
      </c>
      <c r="L2445">
        <f>_xlfn.XLOOKUP(Tableau1[[#This Row],[TYPE DE PIECE]],Tableau4[MATIERE],Tableau4[SHORT TYPE],"",0,1)</f>
        <v/>
      </c>
      <c r="M2445" t="inlineStr">
        <is>
          <t>BIRDY</t>
        </is>
      </c>
      <c r="N2445">
        <f>IF(ISERR(FIND("DECOUPE",Tableau1[[#This Row],[DESIGNATION]])),"","NEED REF")</f>
        <v/>
      </c>
    </row>
    <row r="2446">
      <c r="B2446" t="n">
        <v>34411555</v>
      </c>
      <c r="C2446" s="2" t="n">
        <v>45014</v>
      </c>
      <c r="D2446" t="inlineStr">
        <is>
          <t>SPEC</t>
        </is>
      </c>
      <c r="E2446">
        <f>_xlfn.CONCAT(Tableau1[[#This Row],[SHORT TYPE]]," ",Tableau1[[#This Row],[NUMERO]]," ",Tableau1[[#This Row],[GAMME]]," ",Tableau1[[#This Row],[TYPE PRODUIT]]," ",Tableau1[[#This Row],[PUISSANCE]])</f>
        <v/>
      </c>
      <c r="G2446" t="inlineStr">
        <is>
          <t>GVX</t>
        </is>
      </c>
      <c r="H2446" t="inlineStr">
        <is>
          <t>IO</t>
        </is>
      </c>
      <c r="I2446" t="inlineStr">
        <is>
          <t>1250kVA</t>
        </is>
      </c>
      <c r="J2446" t="inlineStr">
        <is>
          <t>MATRION</t>
        </is>
      </c>
      <c r="K2446" t="inlineStr">
        <is>
          <t>CUIVRE</t>
        </is>
      </c>
      <c r="L2446">
        <f>_xlfn.XLOOKUP(Tableau1[[#This Row],[TYPE DE PIECE]],Tableau4[MATIERE],Tableau4[SHORT TYPE],"",0,1)</f>
        <v/>
      </c>
      <c r="N2446">
        <f>IF(ISERR(FIND("DECOUPE",Tableau1[[#This Row],[DESIGNATION]])),"","NEED REF")</f>
        <v/>
      </c>
    </row>
    <row r="2447">
      <c r="B2447" t="n">
        <v>34411554</v>
      </c>
      <c r="C2447" s="2" t="n">
        <v>45014</v>
      </c>
      <c r="D2447" t="inlineStr">
        <is>
          <t>SPEC</t>
        </is>
      </c>
      <c r="E2447">
        <f>_xlfn.CONCAT(Tableau1[[#This Row],[SHORT TYPE]]," ",Tableau1[[#This Row],[NUMERO]]," ",Tableau1[[#This Row],[GAMME]]," ",Tableau1[[#This Row],[TYPE PRODUIT]]," ",Tableau1[[#This Row],[PUISSANCE]])</f>
        <v/>
      </c>
      <c r="G2447" t="inlineStr">
        <is>
          <t>GVX</t>
        </is>
      </c>
      <c r="H2447" t="inlineStr">
        <is>
          <t>IO</t>
        </is>
      </c>
      <c r="I2447" t="inlineStr">
        <is>
          <t>1250kVA</t>
        </is>
      </c>
      <c r="J2447" t="inlineStr">
        <is>
          <t>MATRION</t>
        </is>
      </c>
      <c r="K2447" t="inlineStr">
        <is>
          <t>CUIVRE</t>
        </is>
      </c>
      <c r="L2447">
        <f>_xlfn.XLOOKUP(Tableau1[[#This Row],[TYPE DE PIECE]],Tableau4[MATIERE],Tableau4[SHORT TYPE],"",0,1)</f>
        <v/>
      </c>
      <c r="N2447">
        <f>IF(ISERR(FIND("DECOUPE",Tableau1[[#This Row],[DESIGNATION]])),"","NEED REF")</f>
        <v/>
      </c>
    </row>
    <row r="2448">
      <c r="B2448" t="n">
        <v>34411553</v>
      </c>
      <c r="C2448" s="2" t="n">
        <v>45014</v>
      </c>
      <c r="D2448" t="inlineStr">
        <is>
          <t>SPEC</t>
        </is>
      </c>
      <c r="E2448" t="inlineStr">
        <is>
          <t>COP LIAISON PE VOLTADIS 2500A/2500A</t>
        </is>
      </c>
      <c r="G2448" t="inlineStr">
        <is>
          <t>GVX</t>
        </is>
      </c>
      <c r="H2448" t="inlineStr">
        <is>
          <t>IO</t>
        </is>
      </c>
      <c r="I2448" t="inlineStr">
        <is>
          <t>1250kVA</t>
        </is>
      </c>
      <c r="J2448" t="inlineStr">
        <is>
          <t>MATRION</t>
        </is>
      </c>
      <c r="K2448" t="inlineStr">
        <is>
          <t>CUIVRE</t>
        </is>
      </c>
      <c r="L2448">
        <f>_xlfn.XLOOKUP(Tableau1[[#This Row],[TYPE DE PIECE]],Tableau4[MATIERE],Tableau4[SHORT TYPE],"",0,1)</f>
        <v/>
      </c>
      <c r="N2448">
        <f>IF(ISERR(FIND("DECOUPE",Tableau1[[#This Row],[DESIGNATION]])),"","NEED REF")</f>
        <v/>
      </c>
    </row>
    <row r="2449">
      <c r="B2449" t="n">
        <v>34411552</v>
      </c>
      <c r="C2449" s="2" t="n">
        <v>45013</v>
      </c>
      <c r="D2449" t="inlineStr">
        <is>
          <t>SPEC</t>
        </is>
      </c>
      <c r="E2449">
        <f>_xlfn.CONCAT(Tableau1[[#This Row],[SHORT TYPE]]," ",Tableau1[[#This Row],[NUMERO]]," ",Tableau1[[#This Row],[GAMME]]," ",Tableau1[[#This Row],[TYPE PRODUIT]]," ",Tableau1[[#This Row],[PUISSANCE]])</f>
        <v/>
      </c>
      <c r="G2449" t="inlineStr">
        <is>
          <t>GVL</t>
        </is>
      </c>
      <c r="H2449" t="inlineStr">
        <is>
          <t>UPS</t>
        </is>
      </c>
      <c r="I2449" t="inlineStr">
        <is>
          <t>400kVA</t>
        </is>
      </c>
      <c r="J2449" t="inlineStr">
        <is>
          <t>MATRION</t>
        </is>
      </c>
      <c r="K2449" t="inlineStr">
        <is>
          <t>METAL</t>
        </is>
      </c>
      <c r="L2449">
        <f>_xlfn.XLOOKUP(Tableau1[[#This Row],[TYPE DE PIECE]],Tableau4[MATIERE],Tableau4[SHORT TYPE],"",0,1)</f>
        <v/>
      </c>
      <c r="N2449">
        <f>IF(ISERR(FIND("DECOUPE",Tableau1[[#This Row],[DESIGNATION]])),"","NEED REF")</f>
        <v/>
      </c>
    </row>
    <row r="2450">
      <c r="B2450" t="n">
        <v>34411551</v>
      </c>
      <c r="C2450" s="2" t="n">
        <v>45013</v>
      </c>
      <c r="D2450" t="inlineStr">
        <is>
          <t>SPEC</t>
        </is>
      </c>
      <c r="E2450">
        <f>_xlfn.CONCAT(Tableau1[[#This Row],[SHORT TYPE]]," ",Tableau1[[#This Row],[NUMERO]]," ",Tableau1[[#This Row],[GAMME]]," ",Tableau1[[#This Row],[TYPE PRODUIT]]," ",Tableau1[[#This Row],[PUISSANCE]])</f>
        <v/>
      </c>
      <c r="G2450" t="inlineStr">
        <is>
          <t>GVL</t>
        </is>
      </c>
      <c r="H2450" t="inlineStr">
        <is>
          <t>UPS</t>
        </is>
      </c>
      <c r="I2450" t="inlineStr">
        <is>
          <t>400kVA</t>
        </is>
      </c>
      <c r="J2450" t="inlineStr">
        <is>
          <t>MATRION</t>
        </is>
      </c>
      <c r="K2450" t="inlineStr">
        <is>
          <t>METAL</t>
        </is>
      </c>
      <c r="L2450">
        <f>_xlfn.XLOOKUP(Tableau1[[#This Row],[TYPE DE PIECE]],Tableau4[MATIERE],Tableau4[SHORT TYPE],"",0,1)</f>
        <v/>
      </c>
      <c r="N2450">
        <f>IF(ISERR(FIND("DECOUPE",Tableau1[[#This Row],[DESIGNATION]])),"","NEED REF")</f>
        <v/>
      </c>
    </row>
    <row r="2451">
      <c r="B2451" t="n">
        <v>34411550</v>
      </c>
      <c r="C2451" s="2" t="n">
        <v>45013</v>
      </c>
      <c r="D2451" t="inlineStr">
        <is>
          <t>SPEC</t>
        </is>
      </c>
      <c r="E2451">
        <f>_xlfn.CONCAT(Tableau1[[#This Row],[SHORT TYPE]]," ",Tableau1[[#This Row],[NUMERO]]," ",Tableau1[[#This Row],[GAMME]]," ",Tableau1[[#This Row],[TYPE PRODUIT]]," ",Tableau1[[#This Row],[PUISSANCE]])</f>
        <v/>
      </c>
      <c r="G2451" t="inlineStr">
        <is>
          <t>GVL</t>
        </is>
      </c>
      <c r="H2451" t="inlineStr">
        <is>
          <t>UPS</t>
        </is>
      </c>
      <c r="I2451" t="inlineStr">
        <is>
          <t>400kVA</t>
        </is>
      </c>
      <c r="J2451" t="inlineStr">
        <is>
          <t>MATRION</t>
        </is>
      </c>
      <c r="K2451" t="inlineStr">
        <is>
          <t>METAL</t>
        </is>
      </c>
      <c r="L2451">
        <f>_xlfn.XLOOKUP(Tableau1[[#This Row],[TYPE DE PIECE]],Tableau4[MATIERE],Tableau4[SHORT TYPE],"",0,1)</f>
        <v/>
      </c>
      <c r="N2451">
        <f>IF(ISERR(FIND("DECOUPE",Tableau1[[#This Row],[DESIGNATION]])),"","NEED REF")</f>
        <v/>
      </c>
    </row>
    <row r="2452">
      <c r="B2452" t="n">
        <v>34411549</v>
      </c>
      <c r="C2452" s="2" t="n">
        <v>45013</v>
      </c>
      <c r="D2452" t="inlineStr">
        <is>
          <t>SPEC</t>
        </is>
      </c>
      <c r="E2452">
        <f>_xlfn.CONCAT(Tableau1[[#This Row],[SHORT TYPE]]," ",Tableau1[[#This Row],[NUMERO]]," ",Tableau1[[#This Row],[GAMME]]," ",Tableau1[[#This Row],[TYPE PRODUIT]]," ",Tableau1[[#This Row],[PUISSANCE]])</f>
        <v/>
      </c>
      <c r="G2452" t="inlineStr">
        <is>
          <t>GVL</t>
        </is>
      </c>
      <c r="H2452" t="inlineStr">
        <is>
          <t>UPS</t>
        </is>
      </c>
      <c r="I2452" t="inlineStr">
        <is>
          <t>400kVA</t>
        </is>
      </c>
      <c r="J2452" t="inlineStr">
        <is>
          <t>MATRION</t>
        </is>
      </c>
      <c r="K2452" t="inlineStr">
        <is>
          <t>PLASTIQUE</t>
        </is>
      </c>
      <c r="L2452">
        <f>_xlfn.XLOOKUP(Tableau1[[#This Row],[TYPE DE PIECE]],Tableau4[MATIERE],Tableau4[SHORT TYPE],"",0,1)</f>
        <v/>
      </c>
      <c r="N2452">
        <f>IF(ISERR(FIND("DECOUPE",Tableau1[[#This Row],[DESIGNATION]])),"","NEED REF")</f>
        <v/>
      </c>
    </row>
    <row r="2453">
      <c r="B2453" t="n">
        <v>34411548</v>
      </c>
      <c r="C2453" s="2" t="n">
        <v>45013</v>
      </c>
      <c r="D2453" t="inlineStr">
        <is>
          <t>SPEC</t>
        </is>
      </c>
      <c r="E2453">
        <f>_xlfn.CONCAT(Tableau1[[#This Row],[SHORT TYPE]]," ",Tableau1[[#This Row],[NUMERO]]," ",Tableau1[[#This Row],[GAMME]]," ",Tableau1[[#This Row],[TYPE PRODUIT]]," ",Tableau1[[#This Row],[PUISSANCE]])</f>
        <v/>
      </c>
      <c r="G2453" t="inlineStr">
        <is>
          <t>GVL</t>
        </is>
      </c>
      <c r="H2453" t="inlineStr">
        <is>
          <t>UPS</t>
        </is>
      </c>
      <c r="I2453" t="inlineStr">
        <is>
          <t>400kVA</t>
        </is>
      </c>
      <c r="J2453" t="inlineStr">
        <is>
          <t>MATRION</t>
        </is>
      </c>
      <c r="K2453" t="inlineStr">
        <is>
          <t>PLASTIQUE</t>
        </is>
      </c>
      <c r="L2453">
        <f>_xlfn.XLOOKUP(Tableau1[[#This Row],[TYPE DE PIECE]],Tableau4[MATIERE],Tableau4[SHORT TYPE],"",0,1)</f>
        <v/>
      </c>
      <c r="N2453">
        <f>IF(ISERR(FIND("DECOUPE",Tableau1[[#This Row],[DESIGNATION]])),"","NEED REF")</f>
        <v/>
      </c>
    </row>
    <row r="2454">
      <c r="B2454" t="n">
        <v>34411547</v>
      </c>
      <c r="C2454" s="2" t="n">
        <v>45013</v>
      </c>
      <c r="D2454" t="inlineStr">
        <is>
          <t>SPEC</t>
        </is>
      </c>
      <c r="E2454" t="inlineStr">
        <is>
          <t>SMT 34411547 PLASTRON BAS UOB</t>
        </is>
      </c>
      <c r="F2454" t="inlineStr">
        <is>
          <t>INGRAM MICRO PAN EUROPE GMBH</t>
        </is>
      </c>
      <c r="G2454" t="inlineStr">
        <is>
          <t>E3L</t>
        </is>
      </c>
      <c r="H2454" t="inlineStr">
        <is>
          <t>BYPASS</t>
        </is>
      </c>
      <c r="I2454" t="inlineStr">
        <is>
          <t>1800KVA</t>
        </is>
      </c>
      <c r="J2454" t="inlineStr">
        <is>
          <t>JAWORSKI</t>
        </is>
      </c>
      <c r="K2454" t="inlineStr">
        <is>
          <t>METAL</t>
        </is>
      </c>
      <c r="L2454">
        <f>_xlfn.XLOOKUP(Tableau1[[#This Row],[TYPE DE PIECE]],Tableau4[MATIERE],Tableau4[SHORT TYPE],"",0,1)</f>
        <v/>
      </c>
      <c r="N2454">
        <f>IF(ISERR(FIND("DECOUPE",Tableau1[[#This Row],[DESIGNATION]])),"","NEED REF")</f>
        <v/>
      </c>
    </row>
    <row r="2455">
      <c r="B2455" t="n">
        <v>34411546</v>
      </c>
      <c r="C2455" s="2" t="n">
        <v>45013</v>
      </c>
      <c r="D2455" t="inlineStr">
        <is>
          <t>SPEC</t>
        </is>
      </c>
      <c r="E2455" t="inlineStr">
        <is>
          <t>SMT 34411546 PLASTRON HAUT MBB</t>
        </is>
      </c>
      <c r="F2455" t="inlineStr">
        <is>
          <t>INGRAM MICRO PAN EUROPE GMBH</t>
        </is>
      </c>
      <c r="G2455" t="inlineStr">
        <is>
          <t>E3L</t>
        </is>
      </c>
      <c r="H2455" t="inlineStr">
        <is>
          <t>BYPASS</t>
        </is>
      </c>
      <c r="I2455" t="inlineStr">
        <is>
          <t>1800KVA</t>
        </is>
      </c>
      <c r="J2455" t="inlineStr">
        <is>
          <t>JAWORSKI</t>
        </is>
      </c>
      <c r="K2455" t="inlineStr">
        <is>
          <t>METAL</t>
        </is>
      </c>
      <c r="L2455">
        <f>_xlfn.XLOOKUP(Tableau1[[#This Row],[TYPE DE PIECE]],Tableau4[MATIERE],Tableau4[SHORT TYPE],"",0,1)</f>
        <v/>
      </c>
      <c r="N2455">
        <f>IF(ISERR(FIND("DECOUPE",Tableau1[[#This Row],[DESIGNATION]])),"","NEED REF")</f>
        <v/>
      </c>
    </row>
    <row r="2456">
      <c r="B2456" t="n">
        <v>34411545</v>
      </c>
      <c r="C2456" s="2" t="n">
        <v>45013</v>
      </c>
      <c r="D2456" t="inlineStr">
        <is>
          <t>SPEC</t>
        </is>
      </c>
      <c r="E2456">
        <f>_xlfn.CONCAT(Tableau1[[#This Row],[SHORT TYPE]]," ",Tableau1[[#This Row],[NUMERO]]," ",Tableau1[[#This Row],[GAMME]]," ",Tableau1[[#This Row],[TYPE PRODUIT]]," ",Tableau1[[#This Row],[PUISSANCE]])</f>
        <v/>
      </c>
      <c r="G2456" t="inlineStr">
        <is>
          <t>GVL</t>
        </is>
      </c>
      <c r="H2456" t="inlineStr">
        <is>
          <t>UPS</t>
        </is>
      </c>
      <c r="I2456" t="inlineStr">
        <is>
          <t>400kVA</t>
        </is>
      </c>
      <c r="J2456" t="inlineStr">
        <is>
          <t>MATRION</t>
        </is>
      </c>
      <c r="K2456" t="inlineStr">
        <is>
          <t>PLASTIQUE</t>
        </is>
      </c>
      <c r="L2456">
        <f>_xlfn.XLOOKUP(Tableau1[[#This Row],[TYPE DE PIECE]],Tableau4[MATIERE],Tableau4[SHORT TYPE],"",0,1)</f>
        <v/>
      </c>
      <c r="N2456">
        <f>IF(ISERR(FIND("DECOUPE",Tableau1[[#This Row],[DESIGNATION]])),"","NEED REF")</f>
        <v/>
      </c>
    </row>
    <row r="2457">
      <c r="B2457" t="n">
        <v>34411544</v>
      </c>
      <c r="C2457" s="2" t="n">
        <v>45013</v>
      </c>
      <c r="D2457" t="inlineStr">
        <is>
          <t>SPEC</t>
        </is>
      </c>
      <c r="E2457">
        <f>_xlfn.CONCAT(Tableau1[[#This Row],[SHORT TYPE]]," ",Tableau1[[#This Row],[NUMERO]]," ",Tableau1[[#This Row],[GAMME]]," ",Tableau1[[#This Row],[TYPE PRODUIT]]," ",Tableau1[[#This Row],[PUISSANCE]])</f>
        <v/>
      </c>
      <c r="G2457" t="inlineStr">
        <is>
          <t>GVL</t>
        </is>
      </c>
      <c r="H2457" t="inlineStr">
        <is>
          <t>UPS</t>
        </is>
      </c>
      <c r="I2457" t="inlineStr">
        <is>
          <t>400kVA</t>
        </is>
      </c>
      <c r="J2457" t="inlineStr">
        <is>
          <t>MATRION</t>
        </is>
      </c>
      <c r="K2457" t="inlineStr">
        <is>
          <t>METAL</t>
        </is>
      </c>
      <c r="L2457">
        <f>_xlfn.XLOOKUP(Tableau1[[#This Row],[TYPE DE PIECE]],Tableau4[MATIERE],Tableau4[SHORT TYPE],"",0,1)</f>
        <v/>
      </c>
      <c r="N2457">
        <f>IF(ISERR(FIND("DECOUPE",Tableau1[[#This Row],[DESIGNATION]])),"","NEED REF")</f>
        <v/>
      </c>
    </row>
    <row r="2458">
      <c r="B2458" t="n">
        <v>34411543</v>
      </c>
      <c r="C2458" s="2" t="n">
        <v>45013</v>
      </c>
      <c r="D2458" t="inlineStr">
        <is>
          <t>SPEC</t>
        </is>
      </c>
      <c r="E2458">
        <f>_xlfn.CONCAT(Tableau1[[#This Row],[SHORT TYPE]]," ",Tableau1[[#This Row],[NUMERO]]," ",Tableau1[[#This Row],[GAMME]]," ",Tableau1[[#This Row],[TYPE PRODUIT]]," ",Tableau1[[#This Row],[PUISSANCE]])</f>
        <v/>
      </c>
      <c r="G2458" t="inlineStr">
        <is>
          <t>GVL</t>
        </is>
      </c>
      <c r="H2458" t="inlineStr">
        <is>
          <t>UPS</t>
        </is>
      </c>
      <c r="I2458" t="inlineStr">
        <is>
          <t>400kVA</t>
        </is>
      </c>
      <c r="J2458" t="inlineStr">
        <is>
          <t>MATRION</t>
        </is>
      </c>
      <c r="K2458" t="inlineStr">
        <is>
          <t>METAL</t>
        </is>
      </c>
      <c r="L2458">
        <f>_xlfn.XLOOKUP(Tableau1[[#This Row],[TYPE DE PIECE]],Tableau4[MATIERE],Tableau4[SHORT TYPE],"",0,1)</f>
        <v/>
      </c>
      <c r="N2458">
        <f>IF(ISERR(FIND("DECOUPE",Tableau1[[#This Row],[DESIGNATION]])),"","NEED REF")</f>
        <v/>
      </c>
    </row>
    <row r="2459">
      <c r="B2459" t="n">
        <v>34411542</v>
      </c>
      <c r="C2459" s="2" t="n">
        <v>45013</v>
      </c>
      <c r="D2459" t="inlineStr">
        <is>
          <t>SPEC</t>
        </is>
      </c>
      <c r="E2459">
        <f>_xlfn.CONCAT(Tableau1[[#This Row],[SHORT TYPE]]," ",Tableau1[[#This Row],[NUMERO]]," ",Tableau1[[#This Row],[GAMME]]," ",Tableau1[[#This Row],[TYPE PRODUIT]]," ",Tableau1[[#This Row],[PUISSANCE]])</f>
        <v/>
      </c>
      <c r="G2459" t="inlineStr">
        <is>
          <t>GVL</t>
        </is>
      </c>
      <c r="H2459" t="inlineStr">
        <is>
          <t>UPS</t>
        </is>
      </c>
      <c r="I2459" t="inlineStr">
        <is>
          <t>400kVA</t>
        </is>
      </c>
      <c r="J2459" t="inlineStr">
        <is>
          <t>MATRION</t>
        </is>
      </c>
      <c r="K2459" t="inlineStr">
        <is>
          <t>METAL</t>
        </is>
      </c>
      <c r="L2459">
        <f>_xlfn.XLOOKUP(Tableau1[[#This Row],[TYPE DE PIECE]],Tableau4[MATIERE],Tableau4[SHORT TYPE],"",0,1)</f>
        <v/>
      </c>
      <c r="N2459">
        <f>IF(ISERR(FIND("DECOUPE",Tableau1[[#This Row],[DESIGNATION]])),"","NEED REF")</f>
        <v/>
      </c>
    </row>
    <row r="2460">
      <c r="B2460" t="n">
        <v>34411541</v>
      </c>
      <c r="C2460" s="2" t="n">
        <v>45013</v>
      </c>
      <c r="D2460" t="inlineStr">
        <is>
          <t>SPEC</t>
        </is>
      </c>
      <c r="E2460">
        <f>_xlfn.CONCAT(Tableau1[[#This Row],[SHORT TYPE]]," ",Tableau1[[#This Row],[NUMERO]]," ",Tableau1[[#This Row],[GAMME]]," ",Tableau1[[#This Row],[TYPE PRODUIT]]," ",Tableau1[[#This Row],[PUISSANCE]])</f>
        <v/>
      </c>
      <c r="G2460" t="inlineStr">
        <is>
          <t>GVL</t>
        </is>
      </c>
      <c r="H2460" t="inlineStr">
        <is>
          <t>UPS</t>
        </is>
      </c>
      <c r="I2460" t="inlineStr">
        <is>
          <t>400kVA</t>
        </is>
      </c>
      <c r="J2460" t="inlineStr">
        <is>
          <t>MATRION</t>
        </is>
      </c>
      <c r="K2460" t="inlineStr">
        <is>
          <t>METAL</t>
        </is>
      </c>
      <c r="L2460">
        <f>_xlfn.XLOOKUP(Tableau1[[#This Row],[TYPE DE PIECE]],Tableau4[MATIERE],Tableau4[SHORT TYPE],"",0,1)</f>
        <v/>
      </c>
      <c r="N2460">
        <f>IF(ISERR(FIND("DECOUPE",Tableau1[[#This Row],[DESIGNATION]])),"","NEED REF")</f>
        <v/>
      </c>
    </row>
    <row r="2461">
      <c r="B2461" t="n">
        <v>34411540</v>
      </c>
      <c r="C2461" s="2" t="n">
        <v>45013</v>
      </c>
      <c r="D2461" t="inlineStr">
        <is>
          <t>SPEC</t>
        </is>
      </c>
      <c r="E2461">
        <f>_xlfn.CONCAT(Tableau1[[#This Row],[SHORT TYPE]]," ",Tableau1[[#This Row],[NUMERO]]," ",Tableau1[[#This Row],[GAMME]]," ",Tableau1[[#This Row],[TYPE PRODUIT]]," ",Tableau1[[#This Row],[PUISSANCE]])</f>
        <v/>
      </c>
      <c r="G2461" t="inlineStr">
        <is>
          <t>GVL</t>
        </is>
      </c>
      <c r="H2461" t="inlineStr">
        <is>
          <t>UPS</t>
        </is>
      </c>
      <c r="I2461" t="inlineStr">
        <is>
          <t>400kVA</t>
        </is>
      </c>
      <c r="J2461" t="inlineStr">
        <is>
          <t>MATRION</t>
        </is>
      </c>
      <c r="K2461" t="inlineStr">
        <is>
          <t>METAL</t>
        </is>
      </c>
      <c r="L2461">
        <f>_xlfn.XLOOKUP(Tableau1[[#This Row],[TYPE DE PIECE]],Tableau4[MATIERE],Tableau4[SHORT TYPE],"",0,1)</f>
        <v/>
      </c>
      <c r="N2461">
        <f>IF(ISERR(FIND("DECOUPE",Tableau1[[#This Row],[DESIGNATION]])),"","NEED REF")</f>
        <v/>
      </c>
    </row>
    <row r="2462">
      <c r="B2462" t="n">
        <v>34411539</v>
      </c>
      <c r="C2462" s="2" t="n">
        <v>45013</v>
      </c>
      <c r="D2462" t="inlineStr">
        <is>
          <t>SPEC</t>
        </is>
      </c>
      <c r="E2462" t="inlineStr">
        <is>
          <t>SMT CACHE FINITION IP20 RAL9003</t>
        </is>
      </c>
      <c r="F2462" t="inlineStr">
        <is>
          <t>INGRAM MICRO PAN EUROPE GMBH</t>
        </is>
      </c>
      <c r="G2462" t="inlineStr">
        <is>
          <t>E3L</t>
        </is>
      </c>
      <c r="H2462" t="inlineStr">
        <is>
          <t>BYPASS</t>
        </is>
      </c>
      <c r="I2462" t="inlineStr">
        <is>
          <t>1800KVA</t>
        </is>
      </c>
      <c r="J2462" t="inlineStr">
        <is>
          <t>JAWORSKI</t>
        </is>
      </c>
      <c r="K2462" t="inlineStr">
        <is>
          <t>METAL</t>
        </is>
      </c>
      <c r="L2462">
        <f>_xlfn.XLOOKUP(Tableau1[[#This Row],[TYPE DE PIECE]],Tableau4[MATIERE],Tableau4[SHORT TYPE],"",0,1)</f>
        <v/>
      </c>
      <c r="N2462">
        <f>IF(ISERR(FIND("DECOUPE",Tableau1[[#This Row],[DESIGNATION]])),"","NEED REF")</f>
        <v/>
      </c>
    </row>
    <row r="2463">
      <c r="B2463" t="n">
        <v>34411538</v>
      </c>
      <c r="C2463" s="2" t="n">
        <v>45012</v>
      </c>
      <c r="D2463" t="inlineStr">
        <is>
          <t>SPEC</t>
        </is>
      </c>
      <c r="E2463" t="inlineStr">
        <is>
          <t>TFO 63kva 400/400</t>
        </is>
      </c>
      <c r="J2463" t="inlineStr">
        <is>
          <t>BERNARDEAU</t>
        </is>
      </c>
      <c r="L2463">
        <f>_xlfn.XLOOKUP(Tableau1[[#This Row],[TYPE DE PIECE]],Tableau4[MATIERE],Tableau4[SHORT TYPE],"",0,1)</f>
        <v/>
      </c>
      <c r="N2463">
        <f>IF(ISERR(FIND("DECOUPE",Tableau1[[#This Row],[DESIGNATION]])),"","NEED REF")</f>
        <v/>
      </c>
    </row>
    <row r="2464">
      <c r="B2464" t="n">
        <v>34411537</v>
      </c>
      <c r="C2464" s="2" t="n">
        <v>45012</v>
      </c>
      <c r="D2464" t="inlineStr">
        <is>
          <t>SPEC</t>
        </is>
      </c>
      <c r="E2464">
        <f>_xlfn.CONCAT(Tableau1[[#This Row],[SHORT TYPE]]," ",Tableau1[[#This Row],[NUMERO]]," ",Tableau1[[#This Row],[GAMME]]," ",Tableau1[[#This Row],[TYPE PRODUIT]]," ",Tableau1[[#This Row],[PUISSANCE]])</f>
        <v/>
      </c>
      <c r="G2464" t="inlineStr">
        <is>
          <t>GVL</t>
        </is>
      </c>
      <c r="H2464" t="inlineStr">
        <is>
          <t>UPS</t>
        </is>
      </c>
      <c r="I2464" t="inlineStr">
        <is>
          <t>400kVA</t>
        </is>
      </c>
      <c r="J2464" t="inlineStr">
        <is>
          <t>MATRION</t>
        </is>
      </c>
      <c r="K2464" t="inlineStr">
        <is>
          <t>METAL</t>
        </is>
      </c>
      <c r="L2464">
        <f>_xlfn.XLOOKUP(Tableau1[[#This Row],[TYPE DE PIECE]],Tableau4[MATIERE],Tableau4[SHORT TYPE],"",0,1)</f>
        <v/>
      </c>
      <c r="N2464">
        <f>IF(ISERR(FIND("DECOUPE",Tableau1[[#This Row],[DESIGNATION]])),"","NEED REF")</f>
        <v/>
      </c>
    </row>
    <row r="2465">
      <c r="B2465" t="n">
        <v>34411536</v>
      </c>
      <c r="C2465" s="2" t="n">
        <v>45012</v>
      </c>
      <c r="D2465" t="inlineStr">
        <is>
          <t>SPEC</t>
        </is>
      </c>
      <c r="E2465">
        <f>_xlfn.CONCAT(Tableau1[[#This Row],[SHORT TYPE]]," ",Tableau1[[#This Row],[NUMERO]]," ",Tableau1[[#This Row],[GAMME]]," ",Tableau1[[#This Row],[TYPE PRODUIT]]," ",Tableau1[[#This Row],[PUISSANCE]])</f>
        <v/>
      </c>
      <c r="G2465" t="inlineStr">
        <is>
          <t>GVL</t>
        </is>
      </c>
      <c r="H2465" t="inlineStr">
        <is>
          <t>UPS</t>
        </is>
      </c>
      <c r="I2465" t="inlineStr">
        <is>
          <t>400kVA</t>
        </is>
      </c>
      <c r="J2465" t="inlineStr">
        <is>
          <t>MATRION</t>
        </is>
      </c>
      <c r="K2465" t="inlineStr">
        <is>
          <t>METAL</t>
        </is>
      </c>
      <c r="L2465">
        <f>_xlfn.XLOOKUP(Tableau1[[#This Row],[TYPE DE PIECE]],Tableau4[MATIERE],Tableau4[SHORT TYPE],"",0,1)</f>
        <v/>
      </c>
      <c r="N2465">
        <f>IF(ISERR(FIND("DECOUPE",Tableau1[[#This Row],[DESIGNATION]])),"","NEED REF")</f>
        <v/>
      </c>
    </row>
    <row r="2466">
      <c r="B2466" t="n">
        <v>34411535</v>
      </c>
      <c r="C2466" s="2" t="n">
        <v>45012</v>
      </c>
      <c r="D2466" t="inlineStr">
        <is>
          <t>SPEC</t>
        </is>
      </c>
      <c r="E2466">
        <f>_xlfn.CONCAT(Tableau1[[#This Row],[SHORT TYPE]]," ",Tableau1[[#This Row],[NUMERO]]," ",Tableau1[[#This Row],[GAMME]]," ",Tableau1[[#This Row],[TYPE PRODUIT]]," ",Tableau1[[#This Row],[PUISSANCE]])</f>
        <v/>
      </c>
      <c r="G2466" t="inlineStr">
        <is>
          <t>GVL</t>
        </is>
      </c>
      <c r="H2466" t="inlineStr">
        <is>
          <t>UPS</t>
        </is>
      </c>
      <c r="I2466" t="inlineStr">
        <is>
          <t>400kVA</t>
        </is>
      </c>
      <c r="J2466" t="inlineStr">
        <is>
          <t>MATRION</t>
        </is>
      </c>
      <c r="K2466" t="inlineStr">
        <is>
          <t>METAL</t>
        </is>
      </c>
      <c r="L2466">
        <f>_xlfn.XLOOKUP(Tableau1[[#This Row],[TYPE DE PIECE]],Tableau4[MATIERE],Tableau4[SHORT TYPE],"",0,1)</f>
        <v/>
      </c>
      <c r="N2466">
        <f>IF(ISERR(FIND("DECOUPE",Tableau1[[#This Row],[DESIGNATION]])),"","NEED REF")</f>
        <v/>
      </c>
    </row>
    <row r="2467">
      <c r="B2467" t="n">
        <v>34411534</v>
      </c>
      <c r="C2467" s="2" t="n">
        <v>45012</v>
      </c>
      <c r="D2467" t="inlineStr">
        <is>
          <t>SPEC</t>
        </is>
      </c>
      <c r="E2467" t="inlineStr">
        <is>
          <t>TFO 80 kva 400/400</t>
        </is>
      </c>
      <c r="J2467" t="inlineStr">
        <is>
          <t>BERNARDEAU</t>
        </is>
      </c>
      <c r="L2467">
        <f>_xlfn.XLOOKUP(Tableau1[[#This Row],[TYPE DE PIECE]],Tableau4[MATIERE],Tableau4[SHORT TYPE],"",0,1)</f>
        <v/>
      </c>
      <c r="N2467">
        <f>IF(ISERR(FIND("DECOUPE",Tableau1[[#This Row],[DESIGNATION]])),"","NEED REF")</f>
        <v/>
      </c>
    </row>
    <row r="2468">
      <c r="B2468" t="n">
        <v>34411533</v>
      </c>
      <c r="C2468" s="2" t="n">
        <v>45012</v>
      </c>
      <c r="D2468" t="inlineStr">
        <is>
          <t>SPEC</t>
        </is>
      </c>
      <c r="E2468">
        <f>_xlfn.CONCAT(Tableau1[[#This Row],[SHORT TYPE]]," ",Tableau1[[#This Row],[NUMERO]]," ",Tableau1[[#This Row],[GAMME]]," ",Tableau1[[#This Row],[TYPE PRODUIT]]," ",Tableau1[[#This Row],[PUISSANCE]])</f>
        <v/>
      </c>
      <c r="G2468" t="inlineStr">
        <is>
          <t>GVL</t>
        </is>
      </c>
      <c r="H2468" t="inlineStr">
        <is>
          <t>UPS</t>
        </is>
      </c>
      <c r="I2468" t="inlineStr">
        <is>
          <t>400kVA</t>
        </is>
      </c>
      <c r="J2468" t="inlineStr">
        <is>
          <t>MATRION</t>
        </is>
      </c>
      <c r="K2468" t="inlineStr">
        <is>
          <t>METAL</t>
        </is>
      </c>
      <c r="L2468">
        <f>_xlfn.XLOOKUP(Tableau1[[#This Row],[TYPE DE PIECE]],Tableau4[MATIERE],Tableau4[SHORT TYPE],"",0,1)</f>
        <v/>
      </c>
      <c r="N2468">
        <f>IF(ISERR(FIND("DECOUPE",Tableau1[[#This Row],[DESIGNATION]])),"","NEED REF")</f>
        <v/>
      </c>
    </row>
    <row r="2469">
      <c r="B2469" t="n">
        <v>34411532</v>
      </c>
      <c r="C2469" s="2" t="n">
        <v>45012</v>
      </c>
      <c r="D2469" t="inlineStr">
        <is>
          <t>SPEC</t>
        </is>
      </c>
      <c r="E2469">
        <f>_xlfn.CONCAT(Tableau1[[#This Row],[SHORT TYPE]]," ",Tableau1[[#This Row],[NUMERO]]," ",Tableau1[[#This Row],[GAMME]]," ",Tableau1[[#This Row],[TYPE PRODUIT]]," ",Tableau1[[#This Row],[PUISSANCE]])</f>
        <v/>
      </c>
      <c r="G2469" t="inlineStr">
        <is>
          <t>GVL</t>
        </is>
      </c>
      <c r="H2469" t="inlineStr">
        <is>
          <t>UPS</t>
        </is>
      </c>
      <c r="I2469" t="inlineStr">
        <is>
          <t>400kVA</t>
        </is>
      </c>
      <c r="J2469" t="inlineStr">
        <is>
          <t>MATRION</t>
        </is>
      </c>
      <c r="K2469" t="inlineStr">
        <is>
          <t>METAL</t>
        </is>
      </c>
      <c r="L2469">
        <f>_xlfn.XLOOKUP(Tableau1[[#This Row],[TYPE DE PIECE]],Tableau4[MATIERE],Tableau4[SHORT TYPE],"",0,1)</f>
        <v/>
      </c>
      <c r="N2469">
        <f>IF(ISERR(FIND("DECOUPE",Tableau1[[#This Row],[DESIGNATION]])),"","NEED REF")</f>
        <v/>
      </c>
    </row>
    <row r="2470">
      <c r="B2470" t="n">
        <v>34411531</v>
      </c>
      <c r="C2470" s="2" t="n">
        <v>45012</v>
      </c>
      <c r="D2470" t="inlineStr">
        <is>
          <t>SPEC</t>
        </is>
      </c>
      <c r="E2470">
        <f>_xlfn.CONCAT(Tableau1[[#This Row],[SHORT TYPE]]," ",Tableau1[[#This Row],[NUMERO]]," ",Tableau1[[#This Row],[GAMME]]," ",Tableau1[[#This Row],[TYPE PRODUIT]]," ",Tableau1[[#This Row],[PUISSANCE]])</f>
        <v/>
      </c>
      <c r="G2470" t="inlineStr">
        <is>
          <t>GVL</t>
        </is>
      </c>
      <c r="H2470" t="inlineStr">
        <is>
          <t>UPS</t>
        </is>
      </c>
      <c r="I2470" t="inlineStr">
        <is>
          <t>400kVA</t>
        </is>
      </c>
      <c r="J2470" t="inlineStr">
        <is>
          <t>MATRION</t>
        </is>
      </c>
      <c r="K2470" t="inlineStr">
        <is>
          <t>METAL</t>
        </is>
      </c>
      <c r="L2470">
        <f>_xlfn.XLOOKUP(Tableau1[[#This Row],[TYPE DE PIECE]],Tableau4[MATIERE],Tableau4[SHORT TYPE],"",0,1)</f>
        <v/>
      </c>
      <c r="N2470">
        <f>IF(ISERR(FIND("DECOUPE",Tableau1[[#This Row],[DESIGNATION]])),"","NEED REF")</f>
        <v/>
      </c>
    </row>
    <row r="2471">
      <c r="B2471" t="n">
        <v>34411530</v>
      </c>
      <c r="C2471" s="2" t="n">
        <v>45009</v>
      </c>
      <c r="D2471" t="inlineStr">
        <is>
          <t>SPEC</t>
        </is>
      </c>
      <c r="E2471">
        <f>_xlfn.CONCAT(Tableau1[[#This Row],[SHORT TYPE]]," ",Tableau1[[#This Row],[NUMERO]]," ",Tableau1[[#This Row],[GAMME]]," ",Tableau1[[#This Row],[TYPE PRODUIT]]," ",Tableau1[[#This Row],[PUISSANCE]])</f>
        <v/>
      </c>
      <c r="G2471" t="inlineStr">
        <is>
          <t>GVL</t>
        </is>
      </c>
      <c r="H2471" t="inlineStr">
        <is>
          <t>UPS</t>
        </is>
      </c>
      <c r="I2471" t="inlineStr">
        <is>
          <t>400kVA</t>
        </is>
      </c>
      <c r="J2471" t="inlineStr">
        <is>
          <t>MATRION</t>
        </is>
      </c>
      <c r="K2471" t="inlineStr">
        <is>
          <t>PLASTIQUE</t>
        </is>
      </c>
      <c r="L2471">
        <f>_xlfn.XLOOKUP(Tableau1[[#This Row],[TYPE DE PIECE]],Tableau4[MATIERE],Tableau4[SHORT TYPE],"",0,1)</f>
        <v/>
      </c>
      <c r="N2471">
        <f>IF(ISERR(FIND("DECOUPE",Tableau1[[#This Row],[DESIGNATION]])),"","NEED REF")</f>
        <v/>
      </c>
    </row>
    <row r="2472">
      <c r="B2472" t="n">
        <v>34411529</v>
      </c>
      <c r="C2472" s="2" t="n">
        <v>45009</v>
      </c>
      <c r="D2472" t="inlineStr">
        <is>
          <t>SPEC</t>
        </is>
      </c>
      <c r="E2472">
        <f>_xlfn.CONCAT(Tableau1[[#This Row],[SHORT TYPE]]," ",Tableau1[[#This Row],[NUMERO]]," ",Tableau1[[#This Row],[GAMME]]," ",Tableau1[[#This Row],[TYPE PRODUIT]]," ",Tableau1[[#This Row],[PUISSANCE]])</f>
        <v/>
      </c>
      <c r="G2472" t="inlineStr">
        <is>
          <t>GVL</t>
        </is>
      </c>
      <c r="H2472" t="inlineStr">
        <is>
          <t>UPS</t>
        </is>
      </c>
      <c r="I2472" t="inlineStr">
        <is>
          <t>400kVA</t>
        </is>
      </c>
      <c r="J2472" t="inlineStr">
        <is>
          <t>MATRION</t>
        </is>
      </c>
      <c r="K2472" t="inlineStr">
        <is>
          <t>METAL</t>
        </is>
      </c>
      <c r="L2472">
        <f>_xlfn.XLOOKUP(Tableau1[[#This Row],[TYPE DE PIECE]],Tableau4[MATIERE],Tableau4[SHORT TYPE],"",0,1)</f>
        <v/>
      </c>
      <c r="N2472">
        <f>IF(ISERR(FIND("DECOUPE",Tableau1[[#This Row],[DESIGNATION]])),"","NEED REF")</f>
        <v/>
      </c>
    </row>
    <row r="2473">
      <c r="B2473" t="n">
        <v>34411528</v>
      </c>
      <c r="C2473" s="2" t="n">
        <v>45009</v>
      </c>
      <c r="D2473" t="inlineStr">
        <is>
          <t>SPEC</t>
        </is>
      </c>
      <c r="E2473">
        <f>_xlfn.CONCAT(Tableau1[[#This Row],[SHORT TYPE]]," ",Tableau1[[#This Row],[NUMERO]]," ",Tableau1[[#This Row],[GAMME]]," ",Tableau1[[#This Row],[TYPE PRODUIT]]," ",Tableau1[[#This Row],[PUISSANCE]])</f>
        <v/>
      </c>
      <c r="G2473" t="inlineStr">
        <is>
          <t>GVL</t>
        </is>
      </c>
      <c r="H2473" t="inlineStr">
        <is>
          <t>UPS</t>
        </is>
      </c>
      <c r="I2473" t="inlineStr">
        <is>
          <t>400kVA</t>
        </is>
      </c>
      <c r="J2473" t="inlineStr">
        <is>
          <t>MATRION</t>
        </is>
      </c>
      <c r="K2473" t="inlineStr">
        <is>
          <t>METAL</t>
        </is>
      </c>
      <c r="L2473">
        <f>_xlfn.XLOOKUP(Tableau1[[#This Row],[TYPE DE PIECE]],Tableau4[MATIERE],Tableau4[SHORT TYPE],"",0,1)</f>
        <v/>
      </c>
      <c r="N2473">
        <f>IF(ISERR(FIND("DECOUPE",Tableau1[[#This Row],[DESIGNATION]])),"","NEED REF")</f>
        <v/>
      </c>
    </row>
    <row r="2474">
      <c r="B2474" t="n">
        <v>34411527</v>
      </c>
      <c r="C2474" s="2" t="n">
        <v>45009</v>
      </c>
      <c r="D2474" t="inlineStr">
        <is>
          <t>SPEC</t>
        </is>
      </c>
      <c r="E2474">
        <f>_xlfn.CONCAT(Tableau1[[#This Row],[SHORT TYPE]]," ",Tableau1[[#This Row],[NUMERO]]," ",Tableau1[[#This Row],[GAMME]]," ",Tableau1[[#This Row],[TYPE PRODUIT]]," ",Tableau1[[#This Row],[PUISSANCE]])</f>
        <v/>
      </c>
      <c r="G2474" t="inlineStr">
        <is>
          <t>GVL</t>
        </is>
      </c>
      <c r="H2474" t="inlineStr">
        <is>
          <t>UPS</t>
        </is>
      </c>
      <c r="I2474" t="inlineStr">
        <is>
          <t>400kVA</t>
        </is>
      </c>
      <c r="J2474" t="inlineStr">
        <is>
          <t>MATRION</t>
        </is>
      </c>
      <c r="K2474" t="inlineStr">
        <is>
          <t>PLASTIQUE</t>
        </is>
      </c>
      <c r="L2474">
        <f>_xlfn.XLOOKUP(Tableau1[[#This Row],[TYPE DE PIECE]],Tableau4[MATIERE],Tableau4[SHORT TYPE],"",0,1)</f>
        <v/>
      </c>
      <c r="N2474">
        <f>IF(ISERR(FIND("DECOUPE",Tableau1[[#This Row],[DESIGNATION]])),"","NEED REF")</f>
        <v/>
      </c>
    </row>
    <row r="2475">
      <c r="B2475" t="n">
        <v>34411526</v>
      </c>
      <c r="C2475" s="2" t="n">
        <v>45008</v>
      </c>
      <c r="D2475" t="inlineStr">
        <is>
          <t>SPEC</t>
        </is>
      </c>
      <c r="E2475">
        <f>_xlfn.CONCAT(Tableau1[[#This Row],[SHORT TYPE]]," ",Tableau1[[#This Row],[NUMERO]]," ",Tableau1[[#This Row],[GAMME]]," ",Tableau1[[#This Row],[TYPE PRODUIT]]," ",Tableau1[[#This Row],[PUISSANCE]])</f>
        <v/>
      </c>
      <c r="G2475" t="inlineStr">
        <is>
          <t>GVL</t>
        </is>
      </c>
      <c r="H2475" t="inlineStr">
        <is>
          <t>UPS</t>
        </is>
      </c>
      <c r="I2475" t="inlineStr">
        <is>
          <t>400kVA</t>
        </is>
      </c>
      <c r="J2475" t="inlineStr">
        <is>
          <t>MATRION</t>
        </is>
      </c>
      <c r="K2475" t="inlineStr">
        <is>
          <t>PLASTIQUE</t>
        </is>
      </c>
      <c r="L2475">
        <f>_xlfn.XLOOKUP(Tableau1[[#This Row],[TYPE DE PIECE]],Tableau4[MATIERE],Tableau4[SHORT TYPE],"",0,1)</f>
        <v/>
      </c>
      <c r="N2475">
        <f>IF(ISERR(FIND("DECOUPE",Tableau1[[#This Row],[DESIGNATION]])),"","NEED REF")</f>
        <v/>
      </c>
    </row>
    <row r="2476">
      <c r="B2476" t="n">
        <v>34411525</v>
      </c>
      <c r="C2476" s="2" t="n">
        <v>45008</v>
      </c>
      <c r="D2476" t="inlineStr">
        <is>
          <t>SPEC</t>
        </is>
      </c>
      <c r="E2476">
        <f>_xlfn.CONCAT(Tableau1[[#This Row],[SHORT TYPE]]," ",Tableau1[[#This Row],[NUMERO]]," ",Tableau1[[#This Row],[GAMME]]," ",Tableau1[[#This Row],[TYPE PRODUIT]]," ",Tableau1[[#This Row],[PUISSANCE]])</f>
        <v/>
      </c>
      <c r="G2476" t="inlineStr">
        <is>
          <t>GVL</t>
        </is>
      </c>
      <c r="H2476" t="inlineStr">
        <is>
          <t>UPS</t>
        </is>
      </c>
      <c r="I2476" t="inlineStr">
        <is>
          <t>400kVA</t>
        </is>
      </c>
      <c r="J2476" t="inlineStr">
        <is>
          <t>MATRION</t>
        </is>
      </c>
      <c r="K2476" t="inlineStr">
        <is>
          <t>METAL</t>
        </is>
      </c>
      <c r="L2476">
        <f>_xlfn.XLOOKUP(Tableau1[[#This Row],[TYPE DE PIECE]],Tableau4[MATIERE],Tableau4[SHORT TYPE],"",0,1)</f>
        <v/>
      </c>
      <c r="N2476">
        <f>IF(ISERR(FIND("DECOUPE",Tableau1[[#This Row],[DESIGNATION]])),"","NEED REF")</f>
        <v/>
      </c>
    </row>
    <row r="2477">
      <c r="B2477" t="n">
        <v>34411524</v>
      </c>
      <c r="C2477" s="2" t="n">
        <v>45008</v>
      </c>
      <c r="D2477" t="inlineStr">
        <is>
          <t>SPEC</t>
        </is>
      </c>
      <c r="E2477">
        <f>_xlfn.CONCAT(Tableau1[[#This Row],[SHORT TYPE]]," ",Tableau1[[#This Row],[NUMERO]]," ",Tableau1[[#This Row],[GAMME]]," ",Tableau1[[#This Row],[TYPE PRODUIT]]," ",Tableau1[[#This Row],[PUISSANCE]])</f>
        <v/>
      </c>
      <c r="G2477" t="inlineStr">
        <is>
          <t>GVL</t>
        </is>
      </c>
      <c r="H2477" t="inlineStr">
        <is>
          <t>UPS</t>
        </is>
      </c>
      <c r="I2477" t="inlineStr">
        <is>
          <t>400kVA</t>
        </is>
      </c>
      <c r="J2477" t="inlineStr">
        <is>
          <t>MATRION</t>
        </is>
      </c>
      <c r="K2477" t="inlineStr">
        <is>
          <t>PLASTIQUE</t>
        </is>
      </c>
      <c r="L2477">
        <f>_xlfn.XLOOKUP(Tableau1[[#This Row],[TYPE DE PIECE]],Tableau4[MATIERE],Tableau4[SHORT TYPE],"",0,1)</f>
        <v/>
      </c>
      <c r="N2477">
        <f>IF(ISERR(FIND("DECOUPE",Tableau1[[#This Row],[DESIGNATION]])),"","NEED REF")</f>
        <v/>
      </c>
    </row>
    <row r="2478">
      <c r="B2478" t="n">
        <v>34411523</v>
      </c>
      <c r="C2478" s="2" t="n">
        <v>45008</v>
      </c>
      <c r="D2478" t="inlineStr">
        <is>
          <t>SPEC</t>
        </is>
      </c>
      <c r="E2478">
        <f>_xlfn.CONCAT(Tableau1[[#This Row],[SHORT TYPE]]," ",Tableau1[[#This Row],[NUMERO]]," ",Tableau1[[#This Row],[GAMME]]," ",Tableau1[[#This Row],[TYPE PRODUIT]]," ",Tableau1[[#This Row],[PUISSANCE]])</f>
        <v/>
      </c>
      <c r="G2478" t="inlineStr">
        <is>
          <t>GVL</t>
        </is>
      </c>
      <c r="H2478" t="inlineStr">
        <is>
          <t>UPS</t>
        </is>
      </c>
      <c r="I2478" t="inlineStr">
        <is>
          <t>400kVA</t>
        </is>
      </c>
      <c r="J2478" t="inlineStr">
        <is>
          <t>MATRION</t>
        </is>
      </c>
      <c r="K2478" t="inlineStr">
        <is>
          <t>METAL</t>
        </is>
      </c>
      <c r="L2478">
        <f>_xlfn.XLOOKUP(Tableau1[[#This Row],[TYPE DE PIECE]],Tableau4[MATIERE],Tableau4[SHORT TYPE],"",0,1)</f>
        <v/>
      </c>
      <c r="N2478">
        <f>IF(ISERR(FIND("DECOUPE",Tableau1[[#This Row],[DESIGNATION]])),"","NEED REF")</f>
        <v/>
      </c>
    </row>
    <row r="2479">
      <c r="B2479" t="n">
        <v>34411522</v>
      </c>
      <c r="C2479" s="2" t="n">
        <v>45006</v>
      </c>
      <c r="D2479" t="inlineStr">
        <is>
          <t>SPEC</t>
        </is>
      </c>
      <c r="E2479">
        <f>_xlfn.CONCAT(Tableau1[[#This Row],[SHORT TYPE]]," ",Tableau1[[#This Row],[NUMERO]]," ",Tableau1[[#This Row],[GAMME]]," ",Tableau1[[#This Row],[TYPE PRODUIT]]," ",Tableau1[[#This Row],[PUISSANCE]])</f>
        <v/>
      </c>
      <c r="G2479" t="inlineStr">
        <is>
          <t>GVL</t>
        </is>
      </c>
      <c r="H2479" t="inlineStr">
        <is>
          <t>UPS</t>
        </is>
      </c>
      <c r="J2479" t="inlineStr">
        <is>
          <t>MATRION</t>
        </is>
      </c>
      <c r="K2479" t="inlineStr">
        <is>
          <t>PLASTIQUE</t>
        </is>
      </c>
      <c r="L2479">
        <f>_xlfn.XLOOKUP(Tableau1[[#This Row],[TYPE DE PIECE]],Tableau4[MATIERE],Tableau4[SHORT TYPE],"",0,1)</f>
        <v/>
      </c>
      <c r="N2479">
        <f>IF(ISERR(FIND("DECOUPE",Tableau1[[#This Row],[DESIGNATION]])),"","NEED REF")</f>
        <v/>
      </c>
    </row>
    <row r="2480">
      <c r="B2480" t="n">
        <v>34411521</v>
      </c>
      <c r="C2480" s="2" t="n">
        <v>45005</v>
      </c>
      <c r="D2480" t="inlineStr">
        <is>
          <t>SPEC</t>
        </is>
      </c>
      <c r="E2480" t="inlineStr">
        <is>
          <t>SMT SUPPORT BORNIER GVEAC4</t>
        </is>
      </c>
      <c r="F2480" t="inlineStr">
        <is>
          <t>SE_DE0104_SCHNEIDER ELECTRIC GMBH</t>
        </is>
      </c>
      <c r="G2480" t="inlineStr">
        <is>
          <t>GVS</t>
        </is>
      </c>
      <c r="H2480" t="inlineStr">
        <is>
          <t>BYPASS</t>
        </is>
      </c>
      <c r="I2480" t="inlineStr">
        <is>
          <t>300KVA</t>
        </is>
      </c>
      <c r="J2480" t="inlineStr">
        <is>
          <t>BERNARDEAU</t>
        </is>
      </c>
      <c r="K2480" t="inlineStr">
        <is>
          <t>METAL</t>
        </is>
      </c>
      <c r="L2480">
        <f>_xlfn.XLOOKUP(Tableau1[[#This Row],[TYPE DE PIECE]],Tableau4[MATIERE],Tableau4[SHORT TYPE],"",0,1)</f>
        <v/>
      </c>
      <c r="N2480">
        <f>IF(ISERR(FIND("DECOUPE",Tableau1[[#This Row],[DESIGNATION]])),"","NEED REF")</f>
        <v/>
      </c>
    </row>
    <row r="2481">
      <c r="B2481" t="n">
        <v>34411520</v>
      </c>
      <c r="C2481" s="2" t="n">
        <v>45005</v>
      </c>
      <c r="D2481" t="inlineStr">
        <is>
          <t>SPEC</t>
        </is>
      </c>
      <c r="E2481">
        <f>_xlfn.CONCAT(Tableau1[[#This Row],[SHORT TYPE]]," ",Tableau1[[#This Row],[NUMERO]]," ",Tableau1[[#This Row],[GAMME]]," ",Tableau1[[#This Row],[TYPE PRODUIT]]," ",Tableau1[[#This Row],[PUISSANCE]])</f>
        <v/>
      </c>
      <c r="F2481" t="inlineStr">
        <is>
          <t>SE_DE0104_SCHNEIDER ELECTRIC GMBH</t>
        </is>
      </c>
      <c r="G2481" t="inlineStr">
        <is>
          <t>GVS</t>
        </is>
      </c>
      <c r="H2481" t="inlineStr">
        <is>
          <t>BYPASS</t>
        </is>
      </c>
      <c r="I2481" t="inlineStr">
        <is>
          <t>300KVA</t>
        </is>
      </c>
      <c r="J2481" t="inlineStr">
        <is>
          <t>JAWORSKI</t>
        </is>
      </c>
      <c r="K2481" t="inlineStr">
        <is>
          <t>PLASTIQUE</t>
        </is>
      </c>
      <c r="L2481">
        <f>_xlfn.XLOOKUP(Tableau1[[#This Row],[TYPE DE PIECE]],Tableau4[MATIERE],Tableau4[SHORT TYPE],"",0,1)</f>
        <v/>
      </c>
      <c r="N2481">
        <f>IF(ISERR(FIND("DECOUPE",Tableau1[[#This Row],[DESIGNATION]])),"","NEED REF")</f>
        <v/>
      </c>
    </row>
    <row r="2482">
      <c r="B2482" t="n">
        <v>34411519</v>
      </c>
      <c r="C2482" s="2" t="n">
        <v>45005</v>
      </c>
      <c r="D2482" t="inlineStr">
        <is>
          <t>SPEC</t>
        </is>
      </c>
      <c r="E2482">
        <f>_xlfn.CONCAT(Tableau1[[#This Row],[SHORT TYPE]]," ",Tableau1[[#This Row],[NUMERO]]," ",Tableau1[[#This Row],[GAMME]]," ",Tableau1[[#This Row],[TYPE PRODUIT]]," ",Tableau1[[#This Row],[PUISSANCE]])</f>
        <v/>
      </c>
      <c r="F2482" t="inlineStr">
        <is>
          <t>SE_DE0104_SCHNEIDER ELECTRIC GMBH</t>
        </is>
      </c>
      <c r="G2482" t="inlineStr">
        <is>
          <t>GVS</t>
        </is>
      </c>
      <c r="H2482" t="inlineStr">
        <is>
          <t>BYPASS</t>
        </is>
      </c>
      <c r="I2482" t="inlineStr">
        <is>
          <t>300KVA</t>
        </is>
      </c>
      <c r="J2482" t="inlineStr">
        <is>
          <t>JAWORSKI</t>
        </is>
      </c>
      <c r="K2482" t="inlineStr">
        <is>
          <t>PLASTIQUE</t>
        </is>
      </c>
      <c r="L2482">
        <f>_xlfn.XLOOKUP(Tableau1[[#This Row],[TYPE DE PIECE]],Tableau4[MATIERE],Tableau4[SHORT TYPE],"",0,1)</f>
        <v/>
      </c>
      <c r="N2482">
        <f>IF(ISERR(FIND("DECOUPE",Tableau1[[#This Row],[DESIGNATION]])),"","NEED REF")</f>
        <v/>
      </c>
    </row>
    <row r="2483">
      <c r="B2483" t="n">
        <v>34411518</v>
      </c>
      <c r="C2483" s="2" t="n">
        <v>45002</v>
      </c>
      <c r="D2483" t="inlineStr">
        <is>
          <t>SPEC</t>
        </is>
      </c>
      <c r="E2483">
        <f>_xlfn.CONCAT(Tableau1[[#This Row],[SHORT TYPE]]," ",Tableau1[[#This Row],[NUMERO]]," ",Tableau1[[#This Row],[GAMME]]," ",Tableau1[[#This Row],[TYPE PRODUIT]]," ",Tableau1[[#This Row],[PUISSANCE]])</f>
        <v/>
      </c>
      <c r="G2483" t="inlineStr">
        <is>
          <t>GVL</t>
        </is>
      </c>
      <c r="H2483" t="inlineStr">
        <is>
          <t>UPS</t>
        </is>
      </c>
      <c r="I2483" t="inlineStr">
        <is>
          <t>400kVA</t>
        </is>
      </c>
      <c r="J2483" t="inlineStr">
        <is>
          <t>MATRION</t>
        </is>
      </c>
      <c r="K2483" t="inlineStr">
        <is>
          <t>METAL</t>
        </is>
      </c>
      <c r="L2483">
        <f>_xlfn.XLOOKUP(Tableau1[[#This Row],[TYPE DE PIECE]],Tableau4[MATIERE],Tableau4[SHORT TYPE],"",0,1)</f>
        <v/>
      </c>
      <c r="N2483">
        <f>IF(ISERR(FIND("DECOUPE",Tableau1[[#This Row],[DESIGNATION]])),"","NEED REF")</f>
        <v/>
      </c>
    </row>
    <row r="2484">
      <c r="B2484" t="n">
        <v>34411517</v>
      </c>
      <c r="C2484" s="2" t="n">
        <v>45002</v>
      </c>
      <c r="D2484" t="inlineStr">
        <is>
          <t>SPEC</t>
        </is>
      </c>
      <c r="E2484" t="inlineStr">
        <is>
          <t>PLA 34411517 GVL UPS 500kVA MODULE ELEC HAUT</t>
        </is>
      </c>
      <c r="G2484" t="inlineStr">
        <is>
          <t>GVL</t>
        </is>
      </c>
      <c r="H2484" t="inlineStr">
        <is>
          <t>UPS</t>
        </is>
      </c>
      <c r="I2484" t="inlineStr">
        <is>
          <t>500kVA</t>
        </is>
      </c>
      <c r="J2484" t="inlineStr">
        <is>
          <t>MATRION</t>
        </is>
      </c>
      <c r="K2484" t="inlineStr">
        <is>
          <t>PLASTIQUE</t>
        </is>
      </c>
      <c r="L2484">
        <f>_xlfn.XLOOKUP(Tableau1[[#This Row],[TYPE DE PIECE]],Tableau4[MATIERE],Tableau4[SHORT TYPE],"",0,1)</f>
        <v/>
      </c>
      <c r="N2484">
        <f>IF(ISERR(FIND("DECOUPE",Tableau1[[#This Row],[DESIGNATION]])),"","NEED REF")</f>
        <v/>
      </c>
    </row>
    <row r="2485">
      <c r="B2485" t="n">
        <v>34411516</v>
      </c>
      <c r="C2485" s="2" t="n">
        <v>45002</v>
      </c>
      <c r="D2485" t="inlineStr">
        <is>
          <t>SPEC</t>
        </is>
      </c>
      <c r="E2485" t="inlineStr">
        <is>
          <t>PLA 34411516 GVL UPS 500kVA MODULE ELEC BAS</t>
        </is>
      </c>
      <c r="G2485" t="inlineStr">
        <is>
          <t>GVL</t>
        </is>
      </c>
      <c r="H2485" t="inlineStr">
        <is>
          <t>UPS</t>
        </is>
      </c>
      <c r="I2485" t="inlineStr">
        <is>
          <t>500kVA</t>
        </is>
      </c>
      <c r="J2485" t="inlineStr">
        <is>
          <t>MATRION</t>
        </is>
      </c>
      <c r="K2485" t="inlineStr">
        <is>
          <t>PLASTIQUE</t>
        </is>
      </c>
      <c r="L2485">
        <f>_xlfn.XLOOKUP(Tableau1[[#This Row],[TYPE DE PIECE]],Tableau4[MATIERE],Tableau4[SHORT TYPE],"",0,1)</f>
        <v/>
      </c>
      <c r="N2485">
        <f>IF(ISERR(FIND("DECOUPE",Tableau1[[#This Row],[DESIGNATION]])),"","NEED REF")</f>
        <v/>
      </c>
    </row>
    <row r="2486">
      <c r="B2486" t="n">
        <v>34411515</v>
      </c>
      <c r="C2486" s="2" t="n">
        <v>45002</v>
      </c>
      <c r="D2486" t="inlineStr">
        <is>
          <t>SPEC</t>
        </is>
      </c>
      <c r="E2486">
        <f>_xlfn.CONCAT(Tableau1[[#This Row],[SHORT TYPE]]," ",Tableau1[[#This Row],[NUMERO]]," ",Tableau1[[#This Row],[GAMME]]," ",Tableau1[[#This Row],[TYPE PRODUIT]]," ",Tableau1[[#This Row],[PUISSANCE]])</f>
        <v/>
      </c>
      <c r="G2486" t="inlineStr">
        <is>
          <t>GVL</t>
        </is>
      </c>
      <c r="H2486" t="inlineStr">
        <is>
          <t>UPS</t>
        </is>
      </c>
      <c r="I2486" t="inlineStr">
        <is>
          <t>400kVA</t>
        </is>
      </c>
      <c r="J2486" t="inlineStr">
        <is>
          <t>MATRION</t>
        </is>
      </c>
      <c r="K2486" t="inlineStr">
        <is>
          <t>CUIVRE</t>
        </is>
      </c>
      <c r="L2486">
        <f>_xlfn.XLOOKUP(Tableau1[[#This Row],[TYPE DE PIECE]],Tableau4[MATIERE],Tableau4[SHORT TYPE],"",0,1)</f>
        <v/>
      </c>
      <c r="N2486">
        <f>IF(ISERR(FIND("DECOUPE",Tableau1[[#This Row],[DESIGNATION]])),"","NEED REF")</f>
        <v/>
      </c>
    </row>
    <row r="2487">
      <c r="B2487" t="n">
        <v>34411514</v>
      </c>
      <c r="C2487" s="2" t="n">
        <v>45002</v>
      </c>
      <c r="D2487" t="inlineStr">
        <is>
          <t>SPEC</t>
        </is>
      </c>
      <c r="E2487">
        <f>_xlfn.CONCAT(Tableau1[[#This Row],[SHORT TYPE]]," ",Tableau1[[#This Row],[NUMERO]]," ",Tableau1[[#This Row],[GAMME]]," ",Tableau1[[#This Row],[TYPE PRODUIT]]," ",Tableau1[[#This Row],[PUISSANCE]])</f>
        <v/>
      </c>
      <c r="G2487" t="inlineStr">
        <is>
          <t>GVL</t>
        </is>
      </c>
      <c r="H2487" t="inlineStr">
        <is>
          <t>UPS</t>
        </is>
      </c>
      <c r="I2487" t="inlineStr">
        <is>
          <t>400kVA</t>
        </is>
      </c>
      <c r="J2487" t="inlineStr">
        <is>
          <t>MATRION</t>
        </is>
      </c>
      <c r="K2487" t="inlineStr">
        <is>
          <t>CUIVRE</t>
        </is>
      </c>
      <c r="L2487">
        <f>_xlfn.XLOOKUP(Tableau1[[#This Row],[TYPE DE PIECE]],Tableau4[MATIERE],Tableau4[SHORT TYPE],"",0,1)</f>
        <v/>
      </c>
      <c r="N2487">
        <f>IF(ISERR(FIND("DECOUPE",Tableau1[[#This Row],[DESIGNATION]])),"","NEED REF")</f>
        <v/>
      </c>
    </row>
    <row r="2488">
      <c r="B2488" t="n">
        <v>34411513</v>
      </c>
      <c r="C2488" s="2" t="n">
        <v>45002</v>
      </c>
      <c r="D2488" t="inlineStr">
        <is>
          <t>SPEC</t>
        </is>
      </c>
      <c r="E2488">
        <f>_xlfn.CONCAT(Tableau1[[#This Row],[SHORT TYPE]]," ",Tableau1[[#This Row],[NUMERO]]," ",Tableau1[[#This Row],[GAMME]]," ",Tableau1[[#This Row],[TYPE PRODUIT]]," ",Tableau1[[#This Row],[PUISSANCE]])</f>
        <v/>
      </c>
      <c r="G2488" t="inlineStr">
        <is>
          <t>GVL</t>
        </is>
      </c>
      <c r="H2488" t="inlineStr">
        <is>
          <t>UPS</t>
        </is>
      </c>
      <c r="I2488" t="inlineStr">
        <is>
          <t>400kVA</t>
        </is>
      </c>
      <c r="J2488" t="inlineStr">
        <is>
          <t>MATRION</t>
        </is>
      </c>
      <c r="K2488" t="inlineStr">
        <is>
          <t>CUIVRE</t>
        </is>
      </c>
      <c r="L2488">
        <f>_xlfn.XLOOKUP(Tableau1[[#This Row],[TYPE DE PIECE]],Tableau4[MATIERE],Tableau4[SHORT TYPE],"",0,1)</f>
        <v/>
      </c>
      <c r="N2488">
        <f>IF(ISERR(FIND("DECOUPE",Tableau1[[#This Row],[DESIGNATION]])),"","NEED REF")</f>
        <v/>
      </c>
    </row>
    <row r="2489">
      <c r="B2489" t="n">
        <v>34411512</v>
      </c>
      <c r="C2489" s="2" t="n">
        <v>45001</v>
      </c>
      <c r="D2489" t="inlineStr">
        <is>
          <t>SPEC</t>
        </is>
      </c>
      <c r="E2489">
        <f>_xlfn.CONCAT(Tableau1[[#This Row],[SHORT TYPE]]," ",Tableau1[[#This Row],[NUMERO]]," ",Tableau1[[#This Row],[GAMME]]," ",Tableau1[[#This Row],[TYPE PRODUIT]]," ",Tableau1[[#This Row],[PUISSANCE]])</f>
        <v/>
      </c>
      <c r="G2489" t="inlineStr">
        <is>
          <t>GVL</t>
        </is>
      </c>
      <c r="H2489" t="inlineStr">
        <is>
          <t>UPS</t>
        </is>
      </c>
      <c r="I2489" t="inlineStr">
        <is>
          <t>400kVA</t>
        </is>
      </c>
      <c r="J2489" t="inlineStr">
        <is>
          <t>MATRION</t>
        </is>
      </c>
      <c r="K2489" t="inlineStr">
        <is>
          <t>METAL</t>
        </is>
      </c>
      <c r="L2489">
        <f>_xlfn.XLOOKUP(Tableau1[[#This Row],[TYPE DE PIECE]],Tableau4[MATIERE],Tableau4[SHORT TYPE],"",0,1)</f>
        <v/>
      </c>
      <c r="N2489">
        <f>IF(ISERR(FIND("DECOUPE",Tableau1[[#This Row],[DESIGNATION]])),"","NEED REF")</f>
        <v/>
      </c>
    </row>
    <row r="2490">
      <c r="B2490" t="n">
        <v>34411511</v>
      </c>
      <c r="C2490" s="2" t="n">
        <v>45000</v>
      </c>
      <c r="D2490" t="inlineStr">
        <is>
          <t>SPEC</t>
        </is>
      </c>
      <c r="E2490">
        <f>_xlfn.CONCAT(Tableau1[[#This Row],[SHORT TYPE]]," ",Tableau1[[#This Row],[NUMERO]]," ",Tableau1[[#This Row],[GAMME]]," ",Tableau1[[#This Row],[TYPE PRODUIT]]," ",Tableau1[[#This Row],[PUISSANCE]])</f>
        <v/>
      </c>
      <c r="G2490" t="inlineStr">
        <is>
          <t>GVL</t>
        </is>
      </c>
      <c r="H2490" t="inlineStr">
        <is>
          <t>UPS</t>
        </is>
      </c>
      <c r="I2490" t="inlineStr">
        <is>
          <t>400kVA</t>
        </is>
      </c>
      <c r="J2490" t="inlineStr">
        <is>
          <t>MATRION</t>
        </is>
      </c>
      <c r="K2490" t="inlineStr">
        <is>
          <t>METAL</t>
        </is>
      </c>
      <c r="L2490">
        <f>_xlfn.XLOOKUP(Tableau1[[#This Row],[TYPE DE PIECE]],Tableau4[MATIERE],Tableau4[SHORT TYPE],"",0,1)</f>
        <v/>
      </c>
      <c r="N2490">
        <f>IF(ISERR(FIND("DECOUPE",Tableau1[[#This Row],[DESIGNATION]])),"","NEED REF")</f>
        <v/>
      </c>
    </row>
    <row r="2491">
      <c r="B2491" t="n">
        <v>34411510</v>
      </c>
      <c r="C2491" s="2" t="n">
        <v>45000</v>
      </c>
      <c r="D2491" t="inlineStr">
        <is>
          <t>SPEC</t>
        </is>
      </c>
      <c r="E2491">
        <f>_xlfn.CONCAT(Tableau1[[#This Row],[SHORT TYPE]]," ",Tableau1[[#This Row],[NUMERO]]," ",Tableau1[[#This Row],[GAMME]]," ",Tableau1[[#This Row],[TYPE PRODUIT]]," ",Tableau1[[#This Row],[PUISSANCE]])</f>
        <v/>
      </c>
      <c r="G2491" t="inlineStr">
        <is>
          <t>GVL</t>
        </is>
      </c>
      <c r="H2491" t="inlineStr">
        <is>
          <t>UPS</t>
        </is>
      </c>
      <c r="I2491" t="inlineStr">
        <is>
          <t>400kVA</t>
        </is>
      </c>
      <c r="J2491" t="inlineStr">
        <is>
          <t>MATRION</t>
        </is>
      </c>
      <c r="K2491" t="inlineStr">
        <is>
          <t>METAL</t>
        </is>
      </c>
      <c r="L2491">
        <f>_xlfn.XLOOKUP(Tableau1[[#This Row],[TYPE DE PIECE]],Tableau4[MATIERE],Tableau4[SHORT TYPE],"",0,1)</f>
        <v/>
      </c>
      <c r="N2491">
        <f>IF(ISERR(FIND("DECOUPE",Tableau1[[#This Row],[DESIGNATION]])),"","NEED REF")</f>
        <v/>
      </c>
    </row>
    <row r="2492">
      <c r="B2492" t="n">
        <v>34411509</v>
      </c>
      <c r="C2492" s="2" t="n">
        <v>45000</v>
      </c>
      <c r="D2492" t="inlineStr">
        <is>
          <t>SPEC</t>
        </is>
      </c>
      <c r="E2492">
        <f>_xlfn.CONCAT(Tableau1[[#This Row],[SHORT TYPE]]," ",Tableau1[[#This Row],[NUMERO]]," ",Tableau1[[#This Row],[GAMME]]," ",Tableau1[[#This Row],[TYPE PRODUIT]]," ",Tableau1[[#This Row],[PUISSANCE]])</f>
        <v/>
      </c>
      <c r="G2492" t="inlineStr">
        <is>
          <t>GVL</t>
        </is>
      </c>
      <c r="H2492" t="inlineStr">
        <is>
          <t>UPS</t>
        </is>
      </c>
      <c r="I2492" t="inlineStr">
        <is>
          <t>400kVA</t>
        </is>
      </c>
      <c r="J2492" t="inlineStr">
        <is>
          <t>MATRION</t>
        </is>
      </c>
      <c r="K2492" t="inlineStr">
        <is>
          <t>METAL</t>
        </is>
      </c>
      <c r="L2492">
        <f>_xlfn.XLOOKUP(Tableau1[[#This Row],[TYPE DE PIECE]],Tableau4[MATIERE],Tableau4[SHORT TYPE],"",0,1)</f>
        <v/>
      </c>
      <c r="N2492">
        <f>IF(ISERR(FIND("DECOUPE",Tableau1[[#This Row],[DESIGNATION]])),"","NEED REF")</f>
        <v/>
      </c>
    </row>
    <row r="2493">
      <c r="B2493" t="n">
        <v>34411508</v>
      </c>
      <c r="C2493" s="2" t="n">
        <v>45000</v>
      </c>
      <c r="D2493" t="inlineStr">
        <is>
          <t>SPEC</t>
        </is>
      </c>
      <c r="E2493">
        <f>_xlfn.CONCAT(Tableau1[[#This Row],[SHORT TYPE]]," ",Tableau1[[#This Row],[NUMERO]]," ",Tableau1[[#This Row],[GAMME]]," ",Tableau1[[#This Row],[TYPE PRODUIT]]," ",Tableau1[[#This Row],[PUISSANCE]])</f>
        <v/>
      </c>
      <c r="G2493" t="inlineStr">
        <is>
          <t>GVL</t>
        </is>
      </c>
      <c r="H2493" t="inlineStr">
        <is>
          <t>UPS</t>
        </is>
      </c>
      <c r="I2493" t="inlineStr">
        <is>
          <t>400kVA</t>
        </is>
      </c>
      <c r="J2493" t="inlineStr">
        <is>
          <t>MATRION</t>
        </is>
      </c>
      <c r="K2493" t="inlineStr">
        <is>
          <t>METAL</t>
        </is>
      </c>
      <c r="L2493">
        <f>_xlfn.XLOOKUP(Tableau1[[#This Row],[TYPE DE PIECE]],Tableau4[MATIERE],Tableau4[SHORT TYPE],"",0,1)</f>
        <v/>
      </c>
      <c r="N2493">
        <f>IF(ISERR(FIND("DECOUPE",Tableau1[[#This Row],[DESIGNATION]])),"","NEED REF")</f>
        <v/>
      </c>
    </row>
    <row r="2494">
      <c r="B2494" t="n">
        <v>34411507</v>
      </c>
      <c r="C2494" s="2" t="n">
        <v>44999</v>
      </c>
      <c r="D2494" t="inlineStr">
        <is>
          <t>SPEC</t>
        </is>
      </c>
      <c r="E2494" t="inlineStr">
        <is>
          <t>COP LIAISON NSX 2</t>
        </is>
      </c>
      <c r="G2494" t="inlineStr">
        <is>
          <t>GVX</t>
        </is>
      </c>
      <c r="H2494" t="inlineStr">
        <is>
          <t>IO</t>
        </is>
      </c>
      <c r="J2494" t="inlineStr">
        <is>
          <t>BERNARDEAU</t>
        </is>
      </c>
      <c r="K2494" t="inlineStr">
        <is>
          <t>CUIVRE</t>
        </is>
      </c>
      <c r="L2494">
        <f>_xlfn.XLOOKUP(Tableau1[[#This Row],[TYPE DE PIECE]],Tableau4[MATIERE],Tableau4[SHORT TYPE],"",0,1)</f>
        <v/>
      </c>
      <c r="N2494">
        <f>IF(ISERR(FIND("DECOUPE",Tableau1[[#This Row],[DESIGNATION]])),"","NEED REF")</f>
        <v/>
      </c>
    </row>
    <row r="2495">
      <c r="B2495" t="n">
        <v>34411506</v>
      </c>
      <c r="C2495" s="2" t="n">
        <v>44999</v>
      </c>
      <c r="D2495" t="inlineStr">
        <is>
          <t>SPEC</t>
        </is>
      </c>
      <c r="E2495" t="inlineStr">
        <is>
          <t>COP LIAISON NSX 1</t>
        </is>
      </c>
      <c r="G2495" t="inlineStr">
        <is>
          <t>GVX</t>
        </is>
      </c>
      <c r="H2495" t="inlineStr">
        <is>
          <t>IO</t>
        </is>
      </c>
      <c r="J2495" t="inlineStr">
        <is>
          <t>BERNARDEAU</t>
        </is>
      </c>
      <c r="K2495" t="inlineStr">
        <is>
          <t>CUIVRE</t>
        </is>
      </c>
      <c r="L2495">
        <f>_xlfn.XLOOKUP(Tableau1[[#This Row],[TYPE DE PIECE]],Tableau4[MATIERE],Tableau4[SHORT TYPE],"",0,1)</f>
        <v/>
      </c>
      <c r="N2495">
        <f>IF(ISERR(FIND("DECOUPE",Tableau1[[#This Row],[DESIGNATION]])),"","NEED REF")</f>
        <v/>
      </c>
    </row>
    <row r="2496">
      <c r="B2496" t="n">
        <v>34411505</v>
      </c>
      <c r="C2496" s="2" t="n">
        <v>44999</v>
      </c>
      <c r="D2496" t="inlineStr">
        <is>
          <t>SPEC</t>
        </is>
      </c>
      <c r="E2496" t="inlineStr">
        <is>
          <t>COP RACC UTIL N</t>
        </is>
      </c>
      <c r="G2496" t="inlineStr">
        <is>
          <t>GVX</t>
        </is>
      </c>
      <c r="H2496" t="inlineStr">
        <is>
          <t>IO</t>
        </is>
      </c>
      <c r="J2496" t="inlineStr">
        <is>
          <t>BERNARDEAU</t>
        </is>
      </c>
      <c r="K2496" t="inlineStr">
        <is>
          <t>CUIVRE</t>
        </is>
      </c>
      <c r="L2496">
        <f>_xlfn.XLOOKUP(Tableau1[[#This Row],[TYPE DE PIECE]],Tableau4[MATIERE],Tableau4[SHORT TYPE],"",0,1)</f>
        <v/>
      </c>
      <c r="N2496">
        <f>IF(ISERR(FIND("DECOUPE",Tableau1[[#This Row],[DESIGNATION]])),"","NEED REF")</f>
        <v/>
      </c>
    </row>
    <row r="2497">
      <c r="B2497" t="n">
        <v>34411504</v>
      </c>
      <c r="C2497" s="2" t="n">
        <v>44999</v>
      </c>
      <c r="D2497" t="inlineStr">
        <is>
          <t>SPEC</t>
        </is>
      </c>
      <c r="E2497" t="inlineStr">
        <is>
          <t>COP RACC UTIL L3</t>
        </is>
      </c>
      <c r="G2497" t="inlineStr">
        <is>
          <t>GVX</t>
        </is>
      </c>
      <c r="H2497" t="inlineStr">
        <is>
          <t>IO</t>
        </is>
      </c>
      <c r="J2497" t="inlineStr">
        <is>
          <t>BERNARDEAU</t>
        </is>
      </c>
      <c r="K2497" t="inlineStr">
        <is>
          <t>CUIVRE</t>
        </is>
      </c>
      <c r="L2497">
        <f>_xlfn.XLOOKUP(Tableau1[[#This Row],[TYPE DE PIECE]],Tableau4[MATIERE],Tableau4[SHORT TYPE],"",0,1)</f>
        <v/>
      </c>
      <c r="N2497">
        <f>IF(ISERR(FIND("DECOUPE",Tableau1[[#This Row],[DESIGNATION]])),"","NEED REF")</f>
        <v/>
      </c>
    </row>
    <row r="2498">
      <c r="B2498" t="n">
        <v>34411503</v>
      </c>
      <c r="C2498" s="2" t="n">
        <v>44999</v>
      </c>
      <c r="D2498" t="inlineStr">
        <is>
          <t>SPEC</t>
        </is>
      </c>
      <c r="E2498" t="inlineStr">
        <is>
          <t>COP RACC UTIL L2</t>
        </is>
      </c>
      <c r="G2498" t="inlineStr">
        <is>
          <t>GVX</t>
        </is>
      </c>
      <c r="H2498" t="inlineStr">
        <is>
          <t>IO</t>
        </is>
      </c>
      <c r="J2498" t="inlineStr">
        <is>
          <t>BERNARDEAU</t>
        </is>
      </c>
      <c r="K2498" t="inlineStr">
        <is>
          <t>CUIVRE</t>
        </is>
      </c>
      <c r="L2498">
        <f>_xlfn.XLOOKUP(Tableau1[[#This Row],[TYPE DE PIECE]],Tableau4[MATIERE],Tableau4[SHORT TYPE],"",0,1)</f>
        <v/>
      </c>
      <c r="N2498">
        <f>IF(ISERR(FIND("DECOUPE",Tableau1[[#This Row],[DESIGNATION]])),"","NEED REF")</f>
        <v/>
      </c>
    </row>
    <row r="2499">
      <c r="B2499" t="n">
        <v>34411502</v>
      </c>
      <c r="C2499" s="2" t="n">
        <v>44999</v>
      </c>
      <c r="D2499" t="inlineStr">
        <is>
          <t>SPEC</t>
        </is>
      </c>
      <c r="E2499" t="inlineStr">
        <is>
          <t>COP RACC UTIL L1</t>
        </is>
      </c>
      <c r="G2499" t="inlineStr">
        <is>
          <t>GVX</t>
        </is>
      </c>
      <c r="H2499" t="inlineStr">
        <is>
          <t>IO</t>
        </is>
      </c>
      <c r="J2499" t="inlineStr">
        <is>
          <t>BERNARDEAU</t>
        </is>
      </c>
      <c r="K2499" t="inlineStr">
        <is>
          <t>CUIVRE</t>
        </is>
      </c>
      <c r="L2499">
        <f>_xlfn.XLOOKUP(Tableau1[[#This Row],[TYPE DE PIECE]],Tableau4[MATIERE],Tableau4[SHORT TYPE],"",0,1)</f>
        <v/>
      </c>
      <c r="N2499">
        <f>IF(ISERR(FIND("DECOUPE",Tableau1[[#This Row],[DESIGNATION]])),"","NEED REF")</f>
        <v/>
      </c>
    </row>
    <row r="2500">
      <c r="B2500" t="n">
        <v>34411501</v>
      </c>
      <c r="C2500" s="2" t="n">
        <v>44999</v>
      </c>
      <c r="D2500" t="inlineStr">
        <is>
          <t>SPEC</t>
        </is>
      </c>
      <c r="E2500">
        <f>_xlfn.CONCAT(Tableau1[[#This Row],[SHORT TYPE]]," ",Tableau1[[#This Row],[NUMERO]]," ",Tableau1[[#This Row],[GAMME]]," ",Tableau1[[#This Row],[TYPE PRODUIT]]," ",Tableau1[[#This Row],[PUISSANCE]])</f>
        <v/>
      </c>
      <c r="G2500" t="inlineStr">
        <is>
          <t>GVL</t>
        </is>
      </c>
      <c r="H2500" t="inlineStr">
        <is>
          <t>UPS</t>
        </is>
      </c>
      <c r="I2500" t="inlineStr">
        <is>
          <t>400kVA</t>
        </is>
      </c>
      <c r="J2500" t="inlineStr">
        <is>
          <t>MATRION</t>
        </is>
      </c>
      <c r="K2500" t="inlineStr">
        <is>
          <t>CUIVRE</t>
        </is>
      </c>
      <c r="L2500">
        <f>_xlfn.XLOOKUP(Tableau1[[#This Row],[TYPE DE PIECE]],Tableau4[MATIERE],Tableau4[SHORT TYPE],"",0,1)</f>
        <v/>
      </c>
      <c r="N2500">
        <f>IF(ISERR(FIND("DECOUPE",Tableau1[[#This Row],[DESIGNATION]])),"","NEED REF")</f>
        <v/>
      </c>
    </row>
    <row r="2501">
      <c r="B2501" t="n">
        <v>34411500</v>
      </c>
      <c r="C2501" s="2" t="n">
        <v>44999</v>
      </c>
      <c r="D2501" t="inlineStr">
        <is>
          <t>SPEC</t>
        </is>
      </c>
      <c r="E2501">
        <f>_xlfn.CONCAT(Tableau1[[#This Row],[SHORT TYPE]]," ",Tableau1[[#This Row],[NUMERO]]," ",Tableau1[[#This Row],[GAMME]]," ",Tableau1[[#This Row],[TYPE PRODUIT]]," ",Tableau1[[#This Row],[PUISSANCE]])</f>
        <v/>
      </c>
      <c r="G2501" t="inlineStr">
        <is>
          <t>GVL</t>
        </is>
      </c>
      <c r="H2501" t="inlineStr">
        <is>
          <t>UPS</t>
        </is>
      </c>
      <c r="I2501" t="inlineStr">
        <is>
          <t>400kVA</t>
        </is>
      </c>
      <c r="J2501" t="inlineStr">
        <is>
          <t>MATRION</t>
        </is>
      </c>
      <c r="K2501" t="inlineStr">
        <is>
          <t>CUIVRE</t>
        </is>
      </c>
      <c r="L2501">
        <f>_xlfn.XLOOKUP(Tableau1[[#This Row],[TYPE DE PIECE]],Tableau4[MATIERE],Tableau4[SHORT TYPE],"",0,1)</f>
        <v/>
      </c>
      <c r="N2501">
        <f>IF(ISERR(FIND("DECOUPE",Tableau1[[#This Row],[DESIGNATION]])),"","NEED REF")</f>
        <v/>
      </c>
    </row>
    <row r="2502">
      <c r="B2502" t="n">
        <v>34411499</v>
      </c>
      <c r="C2502" s="2" t="n">
        <v>44999</v>
      </c>
      <c r="D2502" t="inlineStr">
        <is>
          <t>SPEC</t>
        </is>
      </c>
      <c r="E2502">
        <f>_xlfn.CONCAT(Tableau1[[#This Row],[SHORT TYPE]]," ",Tableau1[[#This Row],[NUMERO]]," ",Tableau1[[#This Row],[GAMME]]," ",Tableau1[[#This Row],[TYPE PRODUIT]]," ",Tableau1[[#This Row],[PUISSANCE]])</f>
        <v/>
      </c>
      <c r="G2502" t="inlineStr">
        <is>
          <t>GVL</t>
        </is>
      </c>
      <c r="H2502" t="inlineStr">
        <is>
          <t>UPS</t>
        </is>
      </c>
      <c r="I2502" t="inlineStr">
        <is>
          <t>400kVA</t>
        </is>
      </c>
      <c r="J2502" t="inlineStr">
        <is>
          <t>MATRION</t>
        </is>
      </c>
      <c r="K2502" t="inlineStr">
        <is>
          <t>CUIVRE</t>
        </is>
      </c>
      <c r="L2502">
        <f>_xlfn.XLOOKUP(Tableau1[[#This Row],[TYPE DE PIECE]],Tableau4[MATIERE],Tableau4[SHORT TYPE],"",0,1)</f>
        <v/>
      </c>
      <c r="N2502">
        <f>IF(ISERR(FIND("DECOUPE",Tableau1[[#This Row],[DESIGNATION]])),"","NEED REF")</f>
        <v/>
      </c>
    </row>
    <row r="2503">
      <c r="B2503" t="n">
        <v>34411498</v>
      </c>
      <c r="C2503" s="2" t="n">
        <v>44998</v>
      </c>
      <c r="D2503" t="inlineStr">
        <is>
          <t>SPEC</t>
        </is>
      </c>
      <c r="E2503">
        <f>_xlfn.CONCAT(Tableau1[[#This Row],[SHORT TYPE]]," ",Tableau1[[#This Row],[NUMERO]]," ",Tableau1[[#This Row],[GAMME]]," ",Tableau1[[#This Row],[TYPE PRODUIT]]," ",Tableau1[[#This Row],[PUISSANCE]])</f>
        <v/>
      </c>
      <c r="G2503" t="inlineStr">
        <is>
          <t>GVL</t>
        </is>
      </c>
      <c r="H2503" t="inlineStr">
        <is>
          <t>UPS</t>
        </is>
      </c>
      <c r="I2503" t="inlineStr">
        <is>
          <t>400kVA</t>
        </is>
      </c>
      <c r="J2503" t="inlineStr">
        <is>
          <t>MATRION</t>
        </is>
      </c>
      <c r="K2503" t="inlineStr">
        <is>
          <t>METAL</t>
        </is>
      </c>
      <c r="L2503">
        <f>_xlfn.XLOOKUP(Tableau1[[#This Row],[TYPE DE PIECE]],Tableau4[MATIERE],Tableau4[SHORT TYPE],"",0,1)</f>
        <v/>
      </c>
      <c r="N2503">
        <f>IF(ISERR(FIND("DECOUPE",Tableau1[[#This Row],[DESIGNATION]])),"","NEED REF")</f>
        <v/>
      </c>
    </row>
    <row r="2504">
      <c r="B2504" t="n">
        <v>34411497</v>
      </c>
      <c r="C2504" s="2" t="n">
        <v>44998</v>
      </c>
      <c r="D2504" t="inlineStr">
        <is>
          <t>SPEC</t>
        </is>
      </c>
      <c r="E2504">
        <f>_xlfn.CONCAT(Tableau1[[#This Row],[SHORT TYPE]]," ",Tableau1[[#This Row],[NUMERO]]," ",Tableau1[[#This Row],[GAMME]]," ",Tableau1[[#This Row],[TYPE PRODUIT]]," ",Tableau1[[#This Row],[PUISSANCE]])</f>
        <v/>
      </c>
      <c r="G2504" t="inlineStr">
        <is>
          <t>GVL</t>
        </is>
      </c>
      <c r="H2504" t="inlineStr">
        <is>
          <t>UPS</t>
        </is>
      </c>
      <c r="I2504" t="inlineStr">
        <is>
          <t>400kVA</t>
        </is>
      </c>
      <c r="J2504" t="inlineStr">
        <is>
          <t>MATRION</t>
        </is>
      </c>
      <c r="K2504" t="inlineStr">
        <is>
          <t>METAL</t>
        </is>
      </c>
      <c r="L2504">
        <f>_xlfn.XLOOKUP(Tableau1[[#This Row],[TYPE DE PIECE]],Tableau4[MATIERE],Tableau4[SHORT TYPE],"",0,1)</f>
        <v/>
      </c>
      <c r="N2504">
        <f>IF(ISERR(FIND("DECOUPE",Tableau1[[#This Row],[DESIGNATION]])),"","NEED REF")</f>
        <v/>
      </c>
    </row>
    <row r="2505">
      <c r="B2505" t="n">
        <v>34411496</v>
      </c>
      <c r="C2505" s="2" t="n">
        <v>44998</v>
      </c>
      <c r="D2505" t="inlineStr">
        <is>
          <t>SPEC</t>
        </is>
      </c>
      <c r="E2505" t="inlineStr">
        <is>
          <t>SMT PLASTRON 3</t>
        </is>
      </c>
      <c r="G2505" t="inlineStr">
        <is>
          <t>GVX</t>
        </is>
      </c>
      <c r="H2505" t="inlineStr">
        <is>
          <t>IO</t>
        </is>
      </c>
      <c r="J2505" t="inlineStr">
        <is>
          <t>BERNARDEAU</t>
        </is>
      </c>
      <c r="K2505" t="inlineStr">
        <is>
          <t>METAL</t>
        </is>
      </c>
      <c r="L2505">
        <f>_xlfn.XLOOKUP(Tableau1[[#This Row],[TYPE DE PIECE]],Tableau4[MATIERE],Tableau4[SHORT TYPE],"",0,1)</f>
        <v/>
      </c>
      <c r="N2505">
        <f>IF(ISERR(FIND("DECOUPE",Tableau1[[#This Row],[DESIGNATION]])),"","NEED REF")</f>
        <v/>
      </c>
    </row>
    <row r="2506">
      <c r="B2506" t="n">
        <v>34411495</v>
      </c>
      <c r="C2506" s="2" t="n">
        <v>44998</v>
      </c>
      <c r="D2506" t="inlineStr">
        <is>
          <t>SPEC</t>
        </is>
      </c>
      <c r="E2506">
        <f>_xlfn.CONCAT(Tableau1[[#This Row],[SHORT TYPE]]," ",Tableau1[[#This Row],[NUMERO]]," ",Tableau1[[#This Row],[GAMME]]," ",Tableau1[[#This Row],[TYPE PRODUIT]]," ",Tableau1[[#This Row],[PUISSANCE]])</f>
        <v/>
      </c>
      <c r="G2506" t="inlineStr">
        <is>
          <t>GVL</t>
        </is>
      </c>
      <c r="H2506" t="inlineStr">
        <is>
          <t>UPS</t>
        </is>
      </c>
      <c r="I2506" t="inlineStr">
        <is>
          <t>400kVA</t>
        </is>
      </c>
      <c r="J2506" t="inlineStr">
        <is>
          <t>MATRION</t>
        </is>
      </c>
      <c r="K2506" t="inlineStr">
        <is>
          <t>METAL</t>
        </is>
      </c>
      <c r="L2506">
        <f>_xlfn.XLOOKUP(Tableau1[[#This Row],[TYPE DE PIECE]],Tableau4[MATIERE],Tableau4[SHORT TYPE],"",0,1)</f>
        <v/>
      </c>
      <c r="N2506">
        <f>IF(ISERR(FIND("DECOUPE",Tableau1[[#This Row],[DESIGNATION]])),"","NEED REF")</f>
        <v/>
      </c>
    </row>
    <row r="2507">
      <c r="B2507" t="n">
        <v>34411494</v>
      </c>
      <c r="C2507" s="2" t="n">
        <v>44998</v>
      </c>
      <c r="D2507" t="inlineStr">
        <is>
          <t>SPEC</t>
        </is>
      </c>
      <c r="E2507" t="inlineStr">
        <is>
          <t>SMT PLASTRON 2</t>
        </is>
      </c>
      <c r="G2507" t="inlineStr">
        <is>
          <t>GVX</t>
        </is>
      </c>
      <c r="H2507" t="inlineStr">
        <is>
          <t>IO</t>
        </is>
      </c>
      <c r="J2507" t="inlineStr">
        <is>
          <t>BERNARDEAU</t>
        </is>
      </c>
      <c r="K2507" t="inlineStr">
        <is>
          <t>METAL</t>
        </is>
      </c>
      <c r="L2507">
        <f>_xlfn.XLOOKUP(Tableau1[[#This Row],[TYPE DE PIECE]],Tableau4[MATIERE],Tableau4[SHORT TYPE],"",0,1)</f>
        <v/>
      </c>
      <c r="N2507">
        <f>IF(ISERR(FIND("DECOUPE",Tableau1[[#This Row],[DESIGNATION]])),"","NEED REF")</f>
        <v/>
      </c>
    </row>
    <row r="2508">
      <c r="B2508" t="n">
        <v>34411493</v>
      </c>
      <c r="C2508" s="2" t="n">
        <v>44998</v>
      </c>
      <c r="D2508" t="inlineStr">
        <is>
          <t>SPEC</t>
        </is>
      </c>
      <c r="E2508" t="inlineStr">
        <is>
          <t>COP LIAISON NSX400 LINERGY N</t>
        </is>
      </c>
      <c r="G2508" t="inlineStr">
        <is>
          <t>GVX</t>
        </is>
      </c>
      <c r="H2508" t="inlineStr">
        <is>
          <t>IO</t>
        </is>
      </c>
      <c r="J2508" t="inlineStr">
        <is>
          <t>BERNARDEAU</t>
        </is>
      </c>
      <c r="K2508" t="inlineStr">
        <is>
          <t>CUIVRE</t>
        </is>
      </c>
      <c r="L2508">
        <f>_xlfn.XLOOKUP(Tableau1[[#This Row],[TYPE DE PIECE]],Tableau4[MATIERE],Tableau4[SHORT TYPE],"",0,1)</f>
        <v/>
      </c>
      <c r="N2508">
        <f>IF(ISERR(FIND("DECOUPE",Tableau1[[#This Row],[DESIGNATION]])),"","NEED REF")</f>
        <v/>
      </c>
    </row>
    <row r="2509">
      <c r="B2509" t="n">
        <v>34411492</v>
      </c>
      <c r="C2509" s="2" t="n">
        <v>44998</v>
      </c>
      <c r="D2509" t="inlineStr">
        <is>
          <t>SPEC</t>
        </is>
      </c>
      <c r="E2509" t="inlineStr">
        <is>
          <t>COP LIAISON NSX400 LINERGY L3</t>
        </is>
      </c>
      <c r="G2509" t="inlineStr">
        <is>
          <t>GVX</t>
        </is>
      </c>
      <c r="H2509" t="inlineStr">
        <is>
          <t>IO</t>
        </is>
      </c>
      <c r="J2509" t="inlineStr">
        <is>
          <t>BERNARDEAU</t>
        </is>
      </c>
      <c r="K2509" t="inlineStr">
        <is>
          <t>CUIVRE</t>
        </is>
      </c>
      <c r="L2509">
        <f>_xlfn.XLOOKUP(Tableau1[[#This Row],[TYPE DE PIECE]],Tableau4[MATIERE],Tableau4[SHORT TYPE],"",0,1)</f>
        <v/>
      </c>
      <c r="N2509">
        <f>IF(ISERR(FIND("DECOUPE",Tableau1[[#This Row],[DESIGNATION]])),"","NEED REF")</f>
        <v/>
      </c>
    </row>
    <row r="2510">
      <c r="B2510" t="n">
        <v>34411491</v>
      </c>
      <c r="C2510" s="2" t="n">
        <v>44998</v>
      </c>
      <c r="D2510" t="inlineStr">
        <is>
          <t>SPEC</t>
        </is>
      </c>
      <c r="E2510" t="inlineStr">
        <is>
          <t>COP LIAISON NSX400 LINERGY L2</t>
        </is>
      </c>
      <c r="G2510" t="inlineStr">
        <is>
          <t>GVX</t>
        </is>
      </c>
      <c r="H2510" t="inlineStr">
        <is>
          <t>IO</t>
        </is>
      </c>
      <c r="J2510" t="inlineStr">
        <is>
          <t>BERNARDEAU</t>
        </is>
      </c>
      <c r="K2510" t="inlineStr">
        <is>
          <t>CUIVRE</t>
        </is>
      </c>
      <c r="L2510">
        <f>_xlfn.XLOOKUP(Tableau1[[#This Row],[TYPE DE PIECE]],Tableau4[MATIERE],Tableau4[SHORT TYPE],"",0,1)</f>
        <v/>
      </c>
      <c r="N2510">
        <f>IF(ISERR(FIND("DECOUPE",Tableau1[[#This Row],[DESIGNATION]])),"","NEED REF")</f>
        <v/>
      </c>
    </row>
    <row r="2511">
      <c r="B2511" t="n">
        <v>34411490</v>
      </c>
      <c r="C2511" s="2" t="n">
        <v>44998</v>
      </c>
      <c r="D2511" t="inlineStr">
        <is>
          <t>SPEC</t>
        </is>
      </c>
      <c r="E2511" t="inlineStr">
        <is>
          <t>COP LIAISON NSX400 LINERGY L1</t>
        </is>
      </c>
      <c r="G2511" t="inlineStr">
        <is>
          <t>GVX</t>
        </is>
      </c>
      <c r="H2511" t="inlineStr">
        <is>
          <t>IO</t>
        </is>
      </c>
      <c r="J2511" t="inlineStr">
        <is>
          <t>BERNARDEAU</t>
        </is>
      </c>
      <c r="K2511" t="inlineStr">
        <is>
          <t>CUIVRE</t>
        </is>
      </c>
      <c r="L2511">
        <f>_xlfn.XLOOKUP(Tableau1[[#This Row],[TYPE DE PIECE]],Tableau4[MATIERE],Tableau4[SHORT TYPE],"",0,1)</f>
        <v/>
      </c>
      <c r="N2511">
        <f>IF(ISERR(FIND("DECOUPE",Tableau1[[#This Row],[DESIGNATION]])),"","NEED REF")</f>
        <v/>
      </c>
    </row>
    <row r="2512">
      <c r="B2512" t="n">
        <v>34411489</v>
      </c>
      <c r="C2512" s="2" t="n">
        <v>44993</v>
      </c>
      <c r="D2512" t="inlineStr">
        <is>
          <t>SPEC</t>
        </is>
      </c>
      <c r="E2512" t="inlineStr">
        <is>
          <t>WIR 34411489 GVX IO 1250KVA SOITEC OUTPUT FEEDER</t>
        </is>
      </c>
      <c r="G2512" t="inlineStr">
        <is>
          <t>GVX</t>
        </is>
      </c>
      <c r="H2512" t="inlineStr">
        <is>
          <t>IO</t>
        </is>
      </c>
      <c r="I2512" t="inlineStr">
        <is>
          <t>1250KVA</t>
        </is>
      </c>
      <c r="J2512" t="inlineStr">
        <is>
          <t>MATRION</t>
        </is>
      </c>
      <c r="K2512" t="inlineStr">
        <is>
          <t>FILERIE</t>
        </is>
      </c>
      <c r="L2512">
        <f>_xlfn.XLOOKUP(Tableau1[[#This Row],[TYPE DE PIECE]],Tableau4[MATIERE],Tableau4[SHORT TYPE],"",0,1)</f>
        <v/>
      </c>
      <c r="N2512">
        <f>IF(ISERR(FIND("DECOUPE",Tableau1[[#This Row],[DESIGNATION]])),"","NEED REF")</f>
        <v/>
      </c>
    </row>
    <row r="2513">
      <c r="B2513" t="n">
        <v>34411488</v>
      </c>
      <c r="C2513" s="2" t="n">
        <v>44992</v>
      </c>
      <c r="D2513" t="inlineStr">
        <is>
          <t>SPEC</t>
        </is>
      </c>
      <c r="E2513" t="inlineStr">
        <is>
          <t>SMT PLASTRON 1</t>
        </is>
      </c>
      <c r="G2513" t="inlineStr">
        <is>
          <t>GVX</t>
        </is>
      </c>
      <c r="H2513" t="inlineStr">
        <is>
          <t>UPS</t>
        </is>
      </c>
      <c r="J2513" t="inlineStr">
        <is>
          <t>BERNARDEAU</t>
        </is>
      </c>
      <c r="K2513" t="inlineStr">
        <is>
          <t>METAL</t>
        </is>
      </c>
      <c r="L2513">
        <f>_xlfn.XLOOKUP(Tableau1[[#This Row],[TYPE DE PIECE]],Tableau4[MATIERE],Tableau4[SHORT TYPE],"",0,1)</f>
        <v/>
      </c>
      <c r="N2513">
        <f>IF(ISERR(FIND("DECOUPE",Tableau1[[#This Row],[DESIGNATION]])),"","NEED REF")</f>
        <v/>
      </c>
    </row>
    <row r="2514">
      <c r="B2514" t="n">
        <v>34411487</v>
      </c>
      <c r="C2514" s="2" t="n">
        <v>44991</v>
      </c>
      <c r="D2514" t="inlineStr">
        <is>
          <t>SPEC</t>
        </is>
      </c>
      <c r="E2514" t="inlineStr">
        <is>
          <t>KIT FILERIE BYPASS 600kVA</t>
        </is>
      </c>
      <c r="G2514" t="inlineStr">
        <is>
          <t>E3L/GVL</t>
        </is>
      </c>
      <c r="H2514" t="inlineStr">
        <is>
          <t>BYPASS</t>
        </is>
      </c>
      <c r="I2514" t="inlineStr">
        <is>
          <t>600kVA</t>
        </is>
      </c>
      <c r="J2514" t="inlineStr">
        <is>
          <t>CAKIR</t>
        </is>
      </c>
      <c r="K2514" t="inlineStr">
        <is>
          <t>KIT FILERIE</t>
        </is>
      </c>
      <c r="L2514" t="inlineStr">
        <is>
          <t>WIR</t>
        </is>
      </c>
      <c r="N2514">
        <f>IF(ISERR(FIND("DECOUPE",Tableau1[[#This Row],[DESIGNATION]])),"","NEED REF")</f>
        <v/>
      </c>
    </row>
    <row r="2515">
      <c r="B2515" t="n">
        <v>34411486</v>
      </c>
      <c r="C2515" s="2" t="n">
        <v>44991</v>
      </c>
      <c r="D2515" t="inlineStr">
        <is>
          <t>SPEC</t>
        </is>
      </c>
      <c r="E2515">
        <f>_xlfn.CONCAT(Tableau1[[#This Row],[SHORT TYPE]]," ",Tableau1[[#This Row],[NUMERO]]," ",Tableau1[[#This Row],[GAMME]]," ",Tableau1[[#This Row],[TYPE PRODUIT]]," ",Tableau1[[#This Row],[PUISSANCE]])</f>
        <v/>
      </c>
      <c r="G2515" t="inlineStr">
        <is>
          <t>GVL</t>
        </is>
      </c>
      <c r="H2515" t="inlineStr">
        <is>
          <t>UPS</t>
        </is>
      </c>
      <c r="I2515" t="inlineStr">
        <is>
          <t>400kVA</t>
        </is>
      </c>
      <c r="J2515" t="inlineStr">
        <is>
          <t>MATRION</t>
        </is>
      </c>
      <c r="K2515" t="inlineStr">
        <is>
          <t>METAL</t>
        </is>
      </c>
      <c r="L2515">
        <f>_xlfn.XLOOKUP(Tableau1[[#This Row],[TYPE DE PIECE]],Tableau4[MATIERE],Tableau4[SHORT TYPE],"",0,1)</f>
        <v/>
      </c>
      <c r="N2515">
        <f>IF(ISERR(FIND("DECOUPE",Tableau1[[#This Row],[DESIGNATION]])),"","NEED REF")</f>
        <v/>
      </c>
    </row>
    <row r="2516">
      <c r="B2516" t="n">
        <v>34411485</v>
      </c>
      <c r="C2516" s="2" t="n">
        <v>44991</v>
      </c>
      <c r="D2516" t="inlineStr">
        <is>
          <t>SPEC</t>
        </is>
      </c>
      <c r="E2516">
        <f>_xlfn.CONCAT(Tableau1[[#This Row],[SHORT TYPE]]," ",Tableau1[[#This Row],[NUMERO]]," ",Tableau1[[#This Row],[GAMME]]," ",Tableau1[[#This Row],[TYPE PRODUIT]]," ",Tableau1[[#This Row],[PUISSANCE]])</f>
        <v/>
      </c>
      <c r="G2516" t="inlineStr">
        <is>
          <t>GVL</t>
        </is>
      </c>
      <c r="H2516" t="inlineStr">
        <is>
          <t>UPS</t>
        </is>
      </c>
      <c r="I2516" t="inlineStr">
        <is>
          <t>400kVA</t>
        </is>
      </c>
      <c r="J2516" t="inlineStr">
        <is>
          <t>MATRION</t>
        </is>
      </c>
      <c r="K2516" t="inlineStr">
        <is>
          <t>METAL</t>
        </is>
      </c>
      <c r="L2516">
        <f>_xlfn.XLOOKUP(Tableau1[[#This Row],[TYPE DE PIECE]],Tableau4[MATIERE],Tableau4[SHORT TYPE],"",0,1)</f>
        <v/>
      </c>
      <c r="N2516">
        <f>IF(ISERR(FIND("DECOUPE",Tableau1[[#This Row],[DESIGNATION]])),"","NEED REF")</f>
        <v/>
      </c>
    </row>
    <row r="2517">
      <c r="B2517" t="n">
        <v>34411484</v>
      </c>
      <c r="C2517" s="2" t="n">
        <v>44991</v>
      </c>
      <c r="D2517" t="inlineStr">
        <is>
          <t>SPEC</t>
        </is>
      </c>
      <c r="E2517" t="inlineStr">
        <is>
          <t>COP LIAISON NSX250 LINERGY L3</t>
        </is>
      </c>
      <c r="G2517" t="inlineStr">
        <is>
          <t>GVX</t>
        </is>
      </c>
      <c r="H2517" t="inlineStr">
        <is>
          <t>UPS</t>
        </is>
      </c>
      <c r="J2517" t="inlineStr">
        <is>
          <t>BERNARDEAU</t>
        </is>
      </c>
      <c r="K2517" t="inlineStr">
        <is>
          <t>CUIVRE</t>
        </is>
      </c>
      <c r="L2517">
        <f>_xlfn.XLOOKUP(Tableau1[[#This Row],[TYPE DE PIECE]],Tableau4[MATIERE],Tableau4[SHORT TYPE],"",0,1)</f>
        <v/>
      </c>
      <c r="N2517">
        <f>IF(ISERR(FIND("DECOUPE",Tableau1[[#This Row],[DESIGNATION]])),"","NEED REF")</f>
        <v/>
      </c>
    </row>
    <row r="2518">
      <c r="B2518" t="n">
        <v>34411483</v>
      </c>
      <c r="C2518" s="2" t="n">
        <v>44991</v>
      </c>
      <c r="D2518" t="inlineStr">
        <is>
          <t>SPEC</t>
        </is>
      </c>
      <c r="E2518" t="inlineStr">
        <is>
          <t>COP LIAISON NSX250 LINERGY L2</t>
        </is>
      </c>
      <c r="G2518" t="inlineStr">
        <is>
          <t>GVX</t>
        </is>
      </c>
      <c r="H2518" t="inlineStr">
        <is>
          <t>UPS</t>
        </is>
      </c>
      <c r="J2518" t="inlineStr">
        <is>
          <t>BERNARDEAU</t>
        </is>
      </c>
      <c r="K2518" t="inlineStr">
        <is>
          <t>CUIVRE</t>
        </is>
      </c>
      <c r="L2518">
        <f>_xlfn.XLOOKUP(Tableau1[[#This Row],[TYPE DE PIECE]],Tableau4[MATIERE],Tableau4[SHORT TYPE],"",0,1)</f>
        <v/>
      </c>
      <c r="N2518">
        <f>IF(ISERR(FIND("DECOUPE",Tableau1[[#This Row],[DESIGNATION]])),"","NEED REF")</f>
        <v/>
      </c>
    </row>
    <row r="2519">
      <c r="B2519" t="n">
        <v>34411482</v>
      </c>
      <c r="C2519" s="2" t="n">
        <v>44991</v>
      </c>
      <c r="D2519" t="inlineStr">
        <is>
          <t>SPEC</t>
        </is>
      </c>
      <c r="E2519" t="inlineStr">
        <is>
          <t>COP LIAISON NSX250 LINERGY L1</t>
        </is>
      </c>
      <c r="G2519" t="inlineStr">
        <is>
          <t>GVX</t>
        </is>
      </c>
      <c r="H2519" t="inlineStr">
        <is>
          <t>UPS</t>
        </is>
      </c>
      <c r="J2519" t="inlineStr">
        <is>
          <t>BERNARDEAU</t>
        </is>
      </c>
      <c r="K2519" t="inlineStr">
        <is>
          <t>CUIVRE</t>
        </is>
      </c>
      <c r="L2519">
        <f>_xlfn.XLOOKUP(Tableau1[[#This Row],[TYPE DE PIECE]],Tableau4[MATIERE],Tableau4[SHORT TYPE],"",0,1)</f>
        <v/>
      </c>
      <c r="N2519">
        <f>IF(ISERR(FIND("DECOUPE",Tableau1[[#This Row],[DESIGNATION]])),"","NEED REF")</f>
        <v/>
      </c>
    </row>
    <row r="2520">
      <c r="B2520" t="n">
        <v>34411481</v>
      </c>
      <c r="C2520" s="2" t="n">
        <v>44987</v>
      </c>
      <c r="D2520" t="inlineStr">
        <is>
          <t>SPEC</t>
        </is>
      </c>
      <c r="E2520" t="inlineStr">
        <is>
          <t>COP LIAISON NSX250 LINERGY N</t>
        </is>
      </c>
      <c r="G2520" t="inlineStr">
        <is>
          <t>GVX</t>
        </is>
      </c>
      <c r="H2520" t="inlineStr">
        <is>
          <t>UPS</t>
        </is>
      </c>
      <c r="J2520" t="inlineStr">
        <is>
          <t>BERNARDEAU</t>
        </is>
      </c>
      <c r="K2520" t="inlineStr">
        <is>
          <t>CUIVRE</t>
        </is>
      </c>
      <c r="L2520">
        <f>_xlfn.XLOOKUP(Tableau1[[#This Row],[TYPE DE PIECE]],Tableau4[MATIERE],Tableau4[SHORT TYPE],"",0,1)</f>
        <v/>
      </c>
      <c r="N2520">
        <f>IF(ISERR(FIND("DECOUPE",Tableau1[[#This Row],[DESIGNATION]])),"","NEED REF")</f>
        <v/>
      </c>
    </row>
    <row r="2521">
      <c r="B2521" t="n">
        <v>34411480</v>
      </c>
      <c r="C2521" s="2" t="n">
        <v>44986</v>
      </c>
      <c r="D2521" t="inlineStr">
        <is>
          <t>SPEC</t>
        </is>
      </c>
      <c r="E2521">
        <f>_xlfn.CONCAT(Tableau1[[#This Row],[SHORT TYPE]]," ",Tableau1[[#This Row],[NUMERO]]," ",Tableau1[[#This Row],[GAMME]]," ",Tableau1[[#This Row],[TYPE PRODUIT]]," ",Tableau1[[#This Row],[PUISSANCE]])</f>
        <v/>
      </c>
      <c r="G2521" t="inlineStr">
        <is>
          <t>GVL</t>
        </is>
      </c>
      <c r="H2521" t="inlineStr">
        <is>
          <t>UPS</t>
        </is>
      </c>
      <c r="I2521" t="inlineStr">
        <is>
          <t>400kVA</t>
        </is>
      </c>
      <c r="J2521" t="inlineStr">
        <is>
          <t>MATRION</t>
        </is>
      </c>
      <c r="K2521" t="inlineStr">
        <is>
          <t>METAL</t>
        </is>
      </c>
      <c r="L2521">
        <f>_xlfn.XLOOKUP(Tableau1[[#This Row],[TYPE DE PIECE]],Tableau4[MATIERE],Tableau4[SHORT TYPE],"",0,1)</f>
        <v/>
      </c>
      <c r="N2521">
        <f>IF(ISERR(FIND("DECOUPE",Tableau1[[#This Row],[DESIGNATION]])),"","NEED REF")</f>
        <v/>
      </c>
    </row>
    <row r="2522">
      <c r="B2522" t="n">
        <v>34411479</v>
      </c>
      <c r="C2522" s="2" t="n">
        <v>44986</v>
      </c>
      <c r="D2522" t="inlineStr">
        <is>
          <t>SPEC</t>
        </is>
      </c>
      <c r="E2522">
        <f>_xlfn.CONCAT(Tableau1[[#This Row],[SHORT TYPE]]," ",Tableau1[[#This Row],[NUMERO]]," ",Tableau1[[#This Row],[GAMME]]," ",Tableau1[[#This Row],[TYPE PRODUIT]]," ",Tableau1[[#This Row],[PUISSANCE]])</f>
        <v/>
      </c>
      <c r="G2522" t="inlineStr">
        <is>
          <t>GVL</t>
        </is>
      </c>
      <c r="H2522" t="inlineStr">
        <is>
          <t>UPS</t>
        </is>
      </c>
      <c r="I2522" t="inlineStr">
        <is>
          <t>400kVA</t>
        </is>
      </c>
      <c r="J2522" t="inlineStr">
        <is>
          <t>MATRION</t>
        </is>
      </c>
      <c r="K2522" t="inlineStr">
        <is>
          <t>METAL</t>
        </is>
      </c>
      <c r="L2522">
        <f>_xlfn.XLOOKUP(Tableau1[[#This Row],[TYPE DE PIECE]],Tableau4[MATIERE],Tableau4[SHORT TYPE],"",0,1)</f>
        <v/>
      </c>
      <c r="N2522">
        <f>IF(ISERR(FIND("DECOUPE",Tableau1[[#This Row],[DESIGNATION]])),"","NEED REF")</f>
        <v/>
      </c>
    </row>
    <row r="2523">
      <c r="B2523" t="n">
        <v>34411478</v>
      </c>
      <c r="C2523" s="2" t="n">
        <v>44986</v>
      </c>
      <c r="D2523" t="inlineStr">
        <is>
          <t>SPEC</t>
        </is>
      </c>
      <c r="E2523">
        <f>_xlfn.CONCAT(Tableau1[[#This Row],[SHORT TYPE]]," ",Tableau1[[#This Row],[NUMERO]]," ",Tableau1[[#This Row],[GAMME]]," ",Tableau1[[#This Row],[TYPE PRODUIT]]," ",Tableau1[[#This Row],[PUISSANCE]])</f>
        <v/>
      </c>
      <c r="G2523" t="inlineStr">
        <is>
          <t>GVL</t>
        </is>
      </c>
      <c r="H2523" t="inlineStr">
        <is>
          <t>UPS</t>
        </is>
      </c>
      <c r="I2523" t="inlineStr">
        <is>
          <t>400kVA</t>
        </is>
      </c>
      <c r="J2523" t="inlineStr">
        <is>
          <t>MATRION</t>
        </is>
      </c>
      <c r="K2523" t="inlineStr">
        <is>
          <t>METAL</t>
        </is>
      </c>
      <c r="L2523">
        <f>_xlfn.XLOOKUP(Tableau1[[#This Row],[TYPE DE PIECE]],Tableau4[MATIERE],Tableau4[SHORT TYPE],"",0,1)</f>
        <v/>
      </c>
      <c r="N2523">
        <f>IF(ISERR(FIND("DECOUPE",Tableau1[[#This Row],[DESIGNATION]])),"","NEED REF")</f>
        <v/>
      </c>
    </row>
    <row r="2524">
      <c r="B2524" t="n">
        <v>34411477</v>
      </c>
      <c r="C2524" s="2" t="n">
        <v>44986</v>
      </c>
      <c r="D2524" t="inlineStr">
        <is>
          <t>SPEC</t>
        </is>
      </c>
      <c r="E2524">
        <f>_xlfn.CONCAT(Tableau1[[#This Row],[SHORT TYPE]]," ",Tableau1[[#This Row],[NUMERO]]," ",Tableau1[[#This Row],[GAMME]]," ",Tableau1[[#This Row],[TYPE PRODUIT]]," ",Tableau1[[#This Row],[PUISSANCE]])</f>
        <v/>
      </c>
      <c r="G2524" t="inlineStr">
        <is>
          <t>GVL</t>
        </is>
      </c>
      <c r="H2524" t="inlineStr">
        <is>
          <t>UPS</t>
        </is>
      </c>
      <c r="I2524" t="inlineStr">
        <is>
          <t>400kVA</t>
        </is>
      </c>
      <c r="J2524" t="inlineStr">
        <is>
          <t>MATRION</t>
        </is>
      </c>
      <c r="K2524" t="inlineStr">
        <is>
          <t>METAL</t>
        </is>
      </c>
      <c r="L2524">
        <f>_xlfn.XLOOKUP(Tableau1[[#This Row],[TYPE DE PIECE]],Tableau4[MATIERE],Tableau4[SHORT TYPE],"",0,1)</f>
        <v/>
      </c>
      <c r="N2524">
        <f>IF(ISERR(FIND("DECOUPE",Tableau1[[#This Row],[DESIGNATION]])),"","NEED REF")</f>
        <v/>
      </c>
    </row>
    <row r="2525">
      <c r="B2525" t="n">
        <v>34411476</v>
      </c>
      <c r="C2525" s="2" t="n">
        <v>44986</v>
      </c>
      <c r="D2525" t="inlineStr">
        <is>
          <t>SPEC</t>
        </is>
      </c>
      <c r="E2525">
        <f>_xlfn.CONCAT(Tableau1[[#This Row],[SHORT TYPE]]," ",Tableau1[[#This Row],[NUMERO]]," ",Tableau1[[#This Row],[GAMME]]," ",Tableau1[[#This Row],[TYPE PRODUIT]]," ",Tableau1[[#This Row],[PUISSANCE]])</f>
        <v/>
      </c>
      <c r="G2525" t="inlineStr">
        <is>
          <t>GVL</t>
        </is>
      </c>
      <c r="H2525" t="inlineStr">
        <is>
          <t>UPS</t>
        </is>
      </c>
      <c r="I2525" t="inlineStr">
        <is>
          <t>400kVA</t>
        </is>
      </c>
      <c r="J2525" t="inlineStr">
        <is>
          <t>MATRION</t>
        </is>
      </c>
      <c r="K2525" t="inlineStr">
        <is>
          <t>METAL</t>
        </is>
      </c>
      <c r="L2525">
        <f>_xlfn.XLOOKUP(Tableau1[[#This Row],[TYPE DE PIECE]],Tableau4[MATIERE],Tableau4[SHORT TYPE],"",0,1)</f>
        <v/>
      </c>
      <c r="N2525">
        <f>IF(ISERR(FIND("DECOUPE",Tableau1[[#This Row],[DESIGNATION]])),"","NEED REF")</f>
        <v/>
      </c>
    </row>
    <row r="2526">
      <c r="B2526" t="n">
        <v>34411475</v>
      </c>
      <c r="C2526" s="2" t="n">
        <v>44986</v>
      </c>
      <c r="D2526" t="inlineStr">
        <is>
          <t>SPEC</t>
        </is>
      </c>
      <c r="E2526">
        <f>_xlfn.CONCAT(Tableau1[[#This Row],[SHORT TYPE]]," ",Tableau1[[#This Row],[NUMERO]]," ",Tableau1[[#This Row],[GAMME]]," ",Tableau1[[#This Row],[TYPE PRODUIT]]," ",Tableau1[[#This Row],[PUISSANCE]])</f>
        <v/>
      </c>
      <c r="G2526" t="inlineStr">
        <is>
          <t>GVL</t>
        </is>
      </c>
      <c r="H2526" t="inlineStr">
        <is>
          <t>UPS</t>
        </is>
      </c>
      <c r="I2526" t="inlineStr">
        <is>
          <t>400kVA</t>
        </is>
      </c>
      <c r="J2526" t="inlineStr">
        <is>
          <t>MATRION</t>
        </is>
      </c>
      <c r="K2526" t="inlineStr">
        <is>
          <t>METAL</t>
        </is>
      </c>
      <c r="L2526">
        <f>_xlfn.XLOOKUP(Tableau1[[#This Row],[TYPE DE PIECE]],Tableau4[MATIERE],Tableau4[SHORT TYPE],"",0,1)</f>
        <v/>
      </c>
      <c r="N2526">
        <f>IF(ISERR(FIND("DECOUPE",Tableau1[[#This Row],[DESIGNATION]])),"","NEED REF")</f>
        <v/>
      </c>
    </row>
    <row r="2527">
      <c r="B2527" t="n">
        <v>34411474</v>
      </c>
      <c r="C2527" s="2" t="n">
        <v>44986</v>
      </c>
      <c r="D2527" t="inlineStr">
        <is>
          <t>SPEC</t>
        </is>
      </c>
      <c r="E2527">
        <f>_xlfn.CONCAT(Tableau1[[#This Row],[SHORT TYPE]]," ",Tableau1[[#This Row],[NUMERO]]," ",Tableau1[[#This Row],[GAMME]]," ",Tableau1[[#This Row],[TYPE PRODUIT]]," ",Tableau1[[#This Row],[PUISSANCE]])</f>
        <v/>
      </c>
      <c r="G2527" t="inlineStr">
        <is>
          <t>GVL</t>
        </is>
      </c>
      <c r="H2527" t="inlineStr">
        <is>
          <t>UPS</t>
        </is>
      </c>
      <c r="I2527" t="inlineStr">
        <is>
          <t>400kVA</t>
        </is>
      </c>
      <c r="J2527" t="inlineStr">
        <is>
          <t>MATRION</t>
        </is>
      </c>
      <c r="K2527" t="inlineStr">
        <is>
          <t>METAL</t>
        </is>
      </c>
      <c r="L2527">
        <f>_xlfn.XLOOKUP(Tableau1[[#This Row],[TYPE DE PIECE]],Tableau4[MATIERE],Tableau4[SHORT TYPE],"",0,1)</f>
        <v/>
      </c>
      <c r="N2527">
        <f>IF(ISERR(FIND("DECOUPE",Tableau1[[#This Row],[DESIGNATION]])),"","NEED REF")</f>
        <v/>
      </c>
    </row>
    <row r="2528">
      <c r="B2528" t="n">
        <v>34411473</v>
      </c>
      <c r="C2528" s="2" t="n">
        <v>44986</v>
      </c>
      <c r="D2528" t="inlineStr">
        <is>
          <t>SPEC</t>
        </is>
      </c>
      <c r="E2528">
        <f>_xlfn.CONCAT(Tableau1[[#This Row],[SHORT TYPE]]," ",Tableau1[[#This Row],[NUMERO]]," ",Tableau1[[#This Row],[GAMME]]," ",Tableau1[[#This Row],[TYPE PRODUIT]]," ",Tableau1[[#This Row],[PUISSANCE]])</f>
        <v/>
      </c>
      <c r="G2528" t="inlineStr">
        <is>
          <t>GVL</t>
        </is>
      </c>
      <c r="H2528" t="inlineStr">
        <is>
          <t>UPS</t>
        </is>
      </c>
      <c r="I2528" t="inlineStr">
        <is>
          <t>400kVA</t>
        </is>
      </c>
      <c r="J2528" t="inlineStr">
        <is>
          <t>MATRION</t>
        </is>
      </c>
      <c r="K2528" t="inlineStr">
        <is>
          <t>METAL</t>
        </is>
      </c>
      <c r="L2528">
        <f>_xlfn.XLOOKUP(Tableau1[[#This Row],[TYPE DE PIECE]],Tableau4[MATIERE],Tableau4[SHORT TYPE],"",0,1)</f>
        <v/>
      </c>
      <c r="N2528">
        <f>IF(ISERR(FIND("DECOUPE",Tableau1[[#This Row],[DESIGNATION]])),"","NEED REF")</f>
        <v/>
      </c>
    </row>
    <row r="2529">
      <c r="B2529" t="n">
        <v>34411472</v>
      </c>
      <c r="C2529" s="2" t="n">
        <v>44985</v>
      </c>
      <c r="D2529" t="inlineStr">
        <is>
          <t>SPEC</t>
        </is>
      </c>
      <c r="E2529">
        <f>_xlfn.CONCAT(Tableau1[[#This Row],[SHORT TYPE]]," ",Tableau1[[#This Row],[NUMERO]]," ",Tableau1[[#This Row],[GAMME]]," ",Tableau1[[#This Row],[TYPE PRODUIT]]," ",Tableau1[[#This Row],[PUISSANCE]])</f>
        <v/>
      </c>
      <c r="G2529" t="inlineStr">
        <is>
          <t>GVL</t>
        </is>
      </c>
      <c r="H2529" t="inlineStr">
        <is>
          <t>UPS</t>
        </is>
      </c>
      <c r="I2529" t="inlineStr">
        <is>
          <t>400kVA</t>
        </is>
      </c>
      <c r="J2529" t="inlineStr">
        <is>
          <t>MATRION</t>
        </is>
      </c>
      <c r="K2529" t="inlineStr">
        <is>
          <t>METAL</t>
        </is>
      </c>
      <c r="L2529">
        <f>_xlfn.XLOOKUP(Tableau1[[#This Row],[TYPE DE PIECE]],Tableau4[MATIERE],Tableau4[SHORT TYPE],"",0,1)</f>
        <v/>
      </c>
      <c r="N2529">
        <f>IF(ISERR(FIND("DECOUPE",Tableau1[[#This Row],[DESIGNATION]])),"","NEED REF")</f>
        <v/>
      </c>
    </row>
    <row r="2530">
      <c r="B2530" t="n">
        <v>34411471</v>
      </c>
      <c r="C2530" s="2" t="n">
        <v>44985</v>
      </c>
      <c r="D2530" t="inlineStr">
        <is>
          <t>SPEC</t>
        </is>
      </c>
      <c r="E2530">
        <f>_xlfn.CONCAT(Tableau1[[#This Row],[SHORT TYPE]]," ",Tableau1[[#This Row],[NUMERO]]," ",Tableau1[[#This Row],[GAMME]]," ",Tableau1[[#This Row],[TYPE PRODUIT]]," ",Tableau1[[#This Row],[PUISSANCE]])</f>
        <v/>
      </c>
      <c r="G2530" t="inlineStr">
        <is>
          <t>GVL</t>
        </is>
      </c>
      <c r="H2530" t="inlineStr">
        <is>
          <t>UPS</t>
        </is>
      </c>
      <c r="I2530" t="inlineStr">
        <is>
          <t>400kVA</t>
        </is>
      </c>
      <c r="J2530" t="inlineStr">
        <is>
          <t>MATRION</t>
        </is>
      </c>
      <c r="K2530" t="inlineStr">
        <is>
          <t>METAL</t>
        </is>
      </c>
      <c r="L2530">
        <f>_xlfn.XLOOKUP(Tableau1[[#This Row],[TYPE DE PIECE]],Tableau4[MATIERE],Tableau4[SHORT TYPE],"",0,1)</f>
        <v/>
      </c>
      <c r="N2530">
        <f>IF(ISERR(FIND("DECOUPE",Tableau1[[#This Row],[DESIGNATION]])),"","NEED REF")</f>
        <v/>
      </c>
    </row>
    <row r="2531">
      <c r="B2531" t="n">
        <v>34411470</v>
      </c>
      <c r="C2531" s="2" t="n">
        <v>44985</v>
      </c>
      <c r="D2531" t="inlineStr">
        <is>
          <t>SPEC</t>
        </is>
      </c>
      <c r="E2531">
        <f>_xlfn.CONCAT(Tableau1[[#This Row],[SHORT TYPE]]," ",Tableau1[[#This Row],[NUMERO]]," ",Tableau1[[#This Row],[GAMME]]," ",Tableau1[[#This Row],[TYPE PRODUIT]]," ",Tableau1[[#This Row],[PUISSANCE]])</f>
        <v/>
      </c>
      <c r="G2531" t="inlineStr">
        <is>
          <t>GVL</t>
        </is>
      </c>
      <c r="H2531" t="inlineStr">
        <is>
          <t>UPS</t>
        </is>
      </c>
      <c r="I2531" t="inlineStr">
        <is>
          <t>400kVA</t>
        </is>
      </c>
      <c r="J2531" t="inlineStr">
        <is>
          <t>MATRION</t>
        </is>
      </c>
      <c r="K2531" t="inlineStr">
        <is>
          <t>METAL</t>
        </is>
      </c>
      <c r="L2531">
        <f>_xlfn.XLOOKUP(Tableau1[[#This Row],[TYPE DE PIECE]],Tableau4[MATIERE],Tableau4[SHORT TYPE],"",0,1)</f>
        <v/>
      </c>
      <c r="N2531">
        <f>IF(ISERR(FIND("DECOUPE",Tableau1[[#This Row],[DESIGNATION]])),"","NEED REF")</f>
        <v/>
      </c>
    </row>
    <row r="2532">
      <c r="B2532" t="n">
        <v>34411469</v>
      </c>
      <c r="C2532" s="2" t="n">
        <v>44984</v>
      </c>
      <c r="D2532" t="inlineStr">
        <is>
          <t>SPEC</t>
        </is>
      </c>
      <c r="E2532">
        <f>_xlfn.CONCAT(Tableau1[[#This Row],[SHORT TYPE]]," ",Tableau1[[#This Row],[NUMERO]]," ",Tableau1[[#This Row],[GAMME]]," ",Tableau1[[#This Row],[TYPE PRODUIT]]," ",Tableau1[[#This Row],[PUISSANCE]])</f>
        <v/>
      </c>
      <c r="G2532" t="inlineStr">
        <is>
          <t>GVL</t>
        </is>
      </c>
      <c r="H2532" t="inlineStr">
        <is>
          <t>UPS</t>
        </is>
      </c>
      <c r="I2532" t="inlineStr">
        <is>
          <t>400kVA</t>
        </is>
      </c>
      <c r="J2532" t="inlineStr">
        <is>
          <t>MATRION</t>
        </is>
      </c>
      <c r="K2532" t="inlineStr">
        <is>
          <t>METAL</t>
        </is>
      </c>
      <c r="L2532">
        <f>_xlfn.XLOOKUP(Tableau1[[#This Row],[TYPE DE PIECE]],Tableau4[MATIERE],Tableau4[SHORT TYPE],"",0,1)</f>
        <v/>
      </c>
      <c r="N2532">
        <f>IF(ISERR(FIND("DECOUPE",Tableau1[[#This Row],[DESIGNATION]])),"","NEED REF")</f>
        <v/>
      </c>
    </row>
    <row r="2533">
      <c r="B2533" t="n">
        <v>34411468</v>
      </c>
      <c r="C2533" s="2" t="n">
        <v>44981</v>
      </c>
      <c r="D2533" t="inlineStr">
        <is>
          <t>SPEC</t>
        </is>
      </c>
      <c r="E2533">
        <f>_xlfn.CONCAT(Tableau1[[#This Row],[SHORT TYPE]]," ",Tableau1[[#This Row],[NUMERO]]," ",Tableau1[[#This Row],[GAMME]]," ",Tableau1[[#This Row],[TYPE PRODUIT]]," ",Tableau1[[#This Row],[PUISSANCE]])</f>
        <v/>
      </c>
      <c r="G2533" t="inlineStr">
        <is>
          <t>GVL</t>
        </is>
      </c>
      <c r="H2533" t="inlineStr">
        <is>
          <t>UPS</t>
        </is>
      </c>
      <c r="I2533" t="inlineStr">
        <is>
          <t>400kVA</t>
        </is>
      </c>
      <c r="J2533" t="inlineStr">
        <is>
          <t>MATRION</t>
        </is>
      </c>
      <c r="K2533" t="inlineStr">
        <is>
          <t>METAL</t>
        </is>
      </c>
      <c r="L2533">
        <f>_xlfn.XLOOKUP(Tableau1[[#This Row],[TYPE DE PIECE]],Tableau4[MATIERE],Tableau4[SHORT TYPE],"",0,1)</f>
        <v/>
      </c>
      <c r="N2533">
        <f>IF(ISERR(FIND("DECOUPE",Tableau1[[#This Row],[DESIGNATION]])),"","NEED REF")</f>
        <v/>
      </c>
    </row>
    <row r="2534">
      <c r="B2534" t="n">
        <v>34411467</v>
      </c>
      <c r="C2534" s="2" t="n">
        <v>44981</v>
      </c>
      <c r="D2534" t="inlineStr">
        <is>
          <t>SPEC</t>
        </is>
      </c>
      <c r="E2534">
        <f>_xlfn.CONCAT(Tableau1[[#This Row],[SHORT TYPE]]," ",Tableau1[[#This Row],[NUMERO]]," ",Tableau1[[#This Row],[GAMME]]," ",Tableau1[[#This Row],[TYPE PRODUIT]]," ",Tableau1[[#This Row],[PUISSANCE]])</f>
        <v/>
      </c>
      <c r="G2534" t="inlineStr">
        <is>
          <t>GVL</t>
        </is>
      </c>
      <c r="H2534" t="inlineStr">
        <is>
          <t>UPS</t>
        </is>
      </c>
      <c r="I2534" t="inlineStr">
        <is>
          <t>400kVA</t>
        </is>
      </c>
      <c r="J2534" t="inlineStr">
        <is>
          <t>MATRION</t>
        </is>
      </c>
      <c r="K2534" t="inlineStr">
        <is>
          <t>PLASTIQUE</t>
        </is>
      </c>
      <c r="L2534">
        <f>_xlfn.XLOOKUP(Tableau1[[#This Row],[TYPE DE PIECE]],Tableau4[MATIERE],Tableau4[SHORT TYPE],"",0,1)</f>
        <v/>
      </c>
      <c r="N2534">
        <f>IF(ISERR(FIND("DECOUPE",Tableau1[[#This Row],[DESIGNATION]])),"","NEED REF")</f>
        <v/>
      </c>
    </row>
    <row r="2535">
      <c r="B2535" t="n">
        <v>34411466</v>
      </c>
      <c r="C2535" s="2" t="n">
        <v>44981</v>
      </c>
      <c r="D2535" t="inlineStr">
        <is>
          <t>SPEC</t>
        </is>
      </c>
      <c r="E2535">
        <f>_xlfn.CONCAT(Tableau1[[#This Row],[SHORT TYPE]]," ",Tableau1[[#This Row],[NUMERO]]," ",Tableau1[[#This Row],[GAMME]]," ",Tableau1[[#This Row],[TYPE PRODUIT]]," ",Tableau1[[#This Row],[PUISSANCE]])</f>
        <v/>
      </c>
      <c r="G2535" t="inlineStr">
        <is>
          <t>GVL</t>
        </is>
      </c>
      <c r="H2535" t="inlineStr">
        <is>
          <t>UPS</t>
        </is>
      </c>
      <c r="I2535" t="inlineStr">
        <is>
          <t>400kVA</t>
        </is>
      </c>
      <c r="J2535" t="inlineStr">
        <is>
          <t>MATRION</t>
        </is>
      </c>
      <c r="K2535" t="inlineStr">
        <is>
          <t>METAL</t>
        </is>
      </c>
      <c r="L2535">
        <f>_xlfn.XLOOKUP(Tableau1[[#This Row],[TYPE DE PIECE]],Tableau4[MATIERE],Tableau4[SHORT TYPE],"",0,1)</f>
        <v/>
      </c>
      <c r="N2535">
        <f>IF(ISERR(FIND("DECOUPE",Tableau1[[#This Row],[DESIGNATION]])),"","NEED REF")</f>
        <v/>
      </c>
    </row>
    <row r="2536">
      <c r="B2536" t="n">
        <v>34411465</v>
      </c>
      <c r="C2536" s="2" t="n">
        <v>44981</v>
      </c>
      <c r="D2536" t="inlineStr">
        <is>
          <t>SPEC</t>
        </is>
      </c>
      <c r="E2536">
        <f>_xlfn.CONCAT(Tableau1[[#This Row],[SHORT TYPE]]," ",Tableau1[[#This Row],[NUMERO]]," ",Tableau1[[#This Row],[GAMME]]," ",Tableau1[[#This Row],[TYPE PRODUIT]]," ",Tableau1[[#This Row],[PUISSANCE]])</f>
        <v/>
      </c>
      <c r="G2536" t="inlineStr">
        <is>
          <t>GVL</t>
        </is>
      </c>
      <c r="H2536" t="inlineStr">
        <is>
          <t>UPS</t>
        </is>
      </c>
      <c r="I2536" t="inlineStr">
        <is>
          <t>400kVA</t>
        </is>
      </c>
      <c r="J2536" t="inlineStr">
        <is>
          <t>MATRION</t>
        </is>
      </c>
      <c r="K2536" t="inlineStr">
        <is>
          <t>METAL</t>
        </is>
      </c>
      <c r="L2536">
        <f>_xlfn.XLOOKUP(Tableau1[[#This Row],[TYPE DE PIECE]],Tableau4[MATIERE],Tableau4[SHORT TYPE],"",0,1)</f>
        <v/>
      </c>
      <c r="N2536">
        <f>IF(ISERR(FIND("DECOUPE",Tableau1[[#This Row],[DESIGNATION]])),"","NEED REF")</f>
        <v/>
      </c>
    </row>
    <row r="2537">
      <c r="B2537" t="n">
        <v>34411464</v>
      </c>
      <c r="C2537" s="2" t="n">
        <v>44981</v>
      </c>
      <c r="D2537" t="inlineStr">
        <is>
          <t>SPEC</t>
        </is>
      </c>
      <c r="E2537">
        <f>_xlfn.CONCAT(Tableau1[[#This Row],[SHORT TYPE]]," ",Tableau1[[#This Row],[NUMERO]]," ",Tableau1[[#This Row],[GAMME]]," ",Tableau1[[#This Row],[TYPE PRODUIT]]," ",Tableau1[[#This Row],[PUISSANCE]])</f>
        <v/>
      </c>
      <c r="G2537" t="inlineStr">
        <is>
          <t>GVL</t>
        </is>
      </c>
      <c r="H2537" t="inlineStr">
        <is>
          <t>UPS</t>
        </is>
      </c>
      <c r="I2537" t="inlineStr">
        <is>
          <t>400kVA</t>
        </is>
      </c>
      <c r="J2537" t="inlineStr">
        <is>
          <t>MATRION</t>
        </is>
      </c>
      <c r="K2537" t="inlineStr">
        <is>
          <t>METAL</t>
        </is>
      </c>
      <c r="L2537">
        <f>_xlfn.XLOOKUP(Tableau1[[#This Row],[TYPE DE PIECE]],Tableau4[MATIERE],Tableau4[SHORT TYPE],"",0,1)</f>
        <v/>
      </c>
      <c r="N2537">
        <f>IF(ISERR(FIND("DECOUPE",Tableau1[[#This Row],[DESIGNATION]])),"","NEED REF")</f>
        <v/>
      </c>
    </row>
    <row r="2538">
      <c r="B2538" t="n">
        <v>34411463</v>
      </c>
      <c r="C2538" s="2" t="n">
        <v>44979</v>
      </c>
      <c r="D2538" t="inlineStr">
        <is>
          <t>SPEC</t>
        </is>
      </c>
      <c r="E2538">
        <f>_xlfn.CONCAT(Tableau1[[#This Row],[SHORT TYPE]]," ",Tableau1[[#This Row],[NUMERO]]," ",Tableau1[[#This Row],[GAMME]]," ",Tableau1[[#This Row],[TYPE PRODUIT]]," ",Tableau1[[#This Row],[PUISSANCE]])</f>
        <v/>
      </c>
      <c r="G2538" t="inlineStr">
        <is>
          <t>GVX/GVM</t>
        </is>
      </c>
      <c r="H2538" t="inlineStr">
        <is>
          <t>BATTERY</t>
        </is>
      </c>
      <c r="I2538" t="inlineStr">
        <is>
          <t>630-1000A</t>
        </is>
      </c>
      <c r="J2538" t="inlineStr">
        <is>
          <t>MATRION</t>
        </is>
      </c>
      <c r="K2538" t="inlineStr">
        <is>
          <t>METAL</t>
        </is>
      </c>
      <c r="L2538">
        <f>_xlfn.XLOOKUP(Tableau1[[#This Row],[TYPE DE PIECE]],Tableau4[MATIERE],Tableau4[SHORT TYPE],"",0,1)</f>
        <v/>
      </c>
      <c r="N2538">
        <f>IF(ISERR(FIND("DECOUPE",Tableau1[[#This Row],[DESIGNATION]])),"","NEED REF")</f>
        <v/>
      </c>
    </row>
    <row r="2539">
      <c r="B2539" t="n">
        <v>34411462</v>
      </c>
      <c r="C2539" s="2" t="n">
        <v>44979</v>
      </c>
      <c r="D2539" t="inlineStr">
        <is>
          <t>SPEC</t>
        </is>
      </c>
      <c r="E2539" t="inlineStr">
        <is>
          <t>COP 100x10 FLEXIBAR 4</t>
        </is>
      </c>
      <c r="G2539" t="inlineStr">
        <is>
          <t>GVX</t>
        </is>
      </c>
      <c r="H2539" t="inlineStr">
        <is>
          <t>IO</t>
        </is>
      </c>
      <c r="J2539" t="inlineStr">
        <is>
          <t>BERNARDEAU</t>
        </is>
      </c>
      <c r="K2539" t="inlineStr">
        <is>
          <t>CUIVRE</t>
        </is>
      </c>
      <c r="L2539">
        <f>_xlfn.XLOOKUP(Tableau1[[#This Row],[TYPE DE PIECE]],Tableau4[MATIERE],Tableau4[SHORT TYPE],"",0,1)</f>
        <v/>
      </c>
      <c r="N2539">
        <f>IF(ISERR(FIND("DECOUPE",Tableau1[[#This Row],[DESIGNATION]])),"","NEED REF")</f>
        <v/>
      </c>
    </row>
    <row r="2540">
      <c r="B2540" t="n">
        <v>34411461</v>
      </c>
      <c r="C2540" s="2" t="n">
        <v>44979</v>
      </c>
      <c r="D2540" t="inlineStr">
        <is>
          <t>SPEC</t>
        </is>
      </c>
      <c r="E2540" t="inlineStr">
        <is>
          <t>COP 100x10 FLEXIBAR 3</t>
        </is>
      </c>
      <c r="G2540" t="inlineStr">
        <is>
          <t>GVX</t>
        </is>
      </c>
      <c r="H2540" t="inlineStr">
        <is>
          <t>IO</t>
        </is>
      </c>
      <c r="J2540" t="inlineStr">
        <is>
          <t>BERNARDEAU</t>
        </is>
      </c>
      <c r="K2540" t="inlineStr">
        <is>
          <t>CUIVRE</t>
        </is>
      </c>
      <c r="L2540">
        <f>_xlfn.XLOOKUP(Tableau1[[#This Row],[TYPE DE PIECE]],Tableau4[MATIERE],Tableau4[SHORT TYPE],"",0,1)</f>
        <v/>
      </c>
      <c r="N2540">
        <f>IF(ISERR(FIND("DECOUPE",Tableau1[[#This Row],[DESIGNATION]])),"","NEED REF")</f>
        <v/>
      </c>
    </row>
    <row r="2541">
      <c r="B2541" t="n">
        <v>34411460</v>
      </c>
      <c r="C2541" s="2" t="n">
        <v>44979</v>
      </c>
      <c r="D2541" t="inlineStr">
        <is>
          <t>SPEC</t>
        </is>
      </c>
      <c r="E2541" t="inlineStr">
        <is>
          <t>COP 100x10 FLEXIBAR 2</t>
        </is>
      </c>
      <c r="G2541" t="inlineStr">
        <is>
          <t>GVX</t>
        </is>
      </c>
      <c r="H2541" t="inlineStr">
        <is>
          <t>IO</t>
        </is>
      </c>
      <c r="J2541" t="inlineStr">
        <is>
          <t>BERNARDEAU</t>
        </is>
      </c>
      <c r="K2541" t="inlineStr">
        <is>
          <t>CUIVRE</t>
        </is>
      </c>
      <c r="L2541">
        <f>_xlfn.XLOOKUP(Tableau1[[#This Row],[TYPE DE PIECE]],Tableau4[MATIERE],Tableau4[SHORT TYPE],"",0,1)</f>
        <v/>
      </c>
      <c r="N2541">
        <f>IF(ISERR(FIND("DECOUPE",Tableau1[[#This Row],[DESIGNATION]])),"","NEED REF")</f>
        <v/>
      </c>
    </row>
    <row r="2542">
      <c r="B2542" t="n">
        <v>34411459</v>
      </c>
      <c r="C2542" s="2" t="n">
        <v>44979</v>
      </c>
      <c r="D2542" t="inlineStr">
        <is>
          <t>SPEC</t>
        </is>
      </c>
      <c r="E2542" t="inlineStr">
        <is>
          <t>COP 100x10 FLEXIBAR 1</t>
        </is>
      </c>
      <c r="G2542" t="inlineStr">
        <is>
          <t>GVX</t>
        </is>
      </c>
      <c r="H2542" t="inlineStr">
        <is>
          <t>IO</t>
        </is>
      </c>
      <c r="J2542" t="inlineStr">
        <is>
          <t>BERNARDEAU</t>
        </is>
      </c>
      <c r="K2542" t="inlineStr">
        <is>
          <t>CUIVRE</t>
        </is>
      </c>
      <c r="L2542">
        <f>_xlfn.XLOOKUP(Tableau1[[#This Row],[TYPE DE PIECE]],Tableau4[MATIERE],Tableau4[SHORT TYPE],"",0,1)</f>
        <v/>
      </c>
      <c r="N2542">
        <f>IF(ISERR(FIND("DECOUPE",Tableau1[[#This Row],[DESIGNATION]])),"","NEED REF")</f>
        <v/>
      </c>
    </row>
    <row r="2543">
      <c r="B2543" t="n">
        <v>34411458</v>
      </c>
      <c r="C2543" s="2" t="n">
        <v>44979</v>
      </c>
      <c r="D2543" t="inlineStr">
        <is>
          <t>SPEC</t>
        </is>
      </c>
      <c r="E2543">
        <f>_xlfn.CONCAT(Tableau1[[#This Row],[SHORT TYPE]]," ",Tableau1[[#This Row],[NUMERO]]," ",Tableau1[[#This Row],[GAMME]]," ",Tableau1[[#This Row],[TYPE PRODUIT]]," ",Tableau1[[#This Row],[PUISSANCE]])</f>
        <v/>
      </c>
      <c r="G2543" t="inlineStr">
        <is>
          <t>GVX/GVM</t>
        </is>
      </c>
      <c r="H2543" t="inlineStr">
        <is>
          <t>BATTERY</t>
        </is>
      </c>
      <c r="I2543" t="inlineStr">
        <is>
          <t>630-1000A</t>
        </is>
      </c>
      <c r="J2543" t="inlineStr">
        <is>
          <t>MATRION</t>
        </is>
      </c>
      <c r="K2543" t="inlineStr">
        <is>
          <t>PLASTIQUE</t>
        </is>
      </c>
      <c r="L2543">
        <f>_xlfn.XLOOKUP(Tableau1[[#This Row],[TYPE DE PIECE]],Tableau4[MATIERE],Tableau4[SHORT TYPE],"",0,1)</f>
        <v/>
      </c>
      <c r="N2543">
        <f>IF(ISERR(FIND("DECOUPE",Tableau1[[#This Row],[DESIGNATION]])),"","NEED REF")</f>
        <v/>
      </c>
    </row>
    <row r="2544">
      <c r="B2544" t="n">
        <v>34411457</v>
      </c>
      <c r="C2544" s="2" t="n">
        <v>44979</v>
      </c>
      <c r="D2544" t="inlineStr">
        <is>
          <t>SPEC</t>
        </is>
      </c>
      <c r="E2544">
        <f>_xlfn.CONCAT(Tableau1[[#This Row],[SHORT TYPE]]," ",Tableau1[[#This Row],[NUMERO]]," ",Tableau1[[#This Row],[GAMME]]," ",Tableau1[[#This Row],[TYPE PRODUIT]]," ",Tableau1[[#This Row],[PUISSANCE]])</f>
        <v/>
      </c>
      <c r="G2544" t="inlineStr">
        <is>
          <t>GVX/GVM</t>
        </is>
      </c>
      <c r="H2544" t="inlineStr">
        <is>
          <t>BATTERY</t>
        </is>
      </c>
      <c r="I2544" t="inlineStr">
        <is>
          <t>630-1000A</t>
        </is>
      </c>
      <c r="J2544" t="inlineStr">
        <is>
          <t>MATRION</t>
        </is>
      </c>
      <c r="K2544" t="inlineStr">
        <is>
          <t>PLASTIQUE</t>
        </is>
      </c>
      <c r="L2544">
        <f>_xlfn.XLOOKUP(Tableau1[[#This Row],[TYPE DE PIECE]],Tableau4[MATIERE],Tableau4[SHORT TYPE],"",0,1)</f>
        <v/>
      </c>
      <c r="N2544">
        <f>IF(ISERR(FIND("DECOUPE",Tableau1[[#This Row],[DESIGNATION]])),"","NEED REF")</f>
        <v/>
      </c>
    </row>
    <row r="2545">
      <c r="B2545" t="n">
        <v>34411456</v>
      </c>
      <c r="C2545" s="2" t="n">
        <v>44979</v>
      </c>
      <c r="D2545" t="inlineStr">
        <is>
          <t>SPEC</t>
        </is>
      </c>
      <c r="E2545">
        <f>_xlfn.CONCAT(Tableau1[[#This Row],[SHORT TYPE]]," ",Tableau1[[#This Row],[NUMERO]]," ",Tableau1[[#This Row],[GAMME]]," ",Tableau1[[#This Row],[TYPE PRODUIT]]," ",Tableau1[[#This Row],[PUISSANCE]])</f>
        <v/>
      </c>
      <c r="G2545" t="inlineStr">
        <is>
          <t>GVX/GVM</t>
        </is>
      </c>
      <c r="H2545" t="inlineStr">
        <is>
          <t>BATTERY</t>
        </is>
      </c>
      <c r="I2545" t="inlineStr">
        <is>
          <t>630-1000A</t>
        </is>
      </c>
      <c r="J2545" t="inlineStr">
        <is>
          <t>MATRION</t>
        </is>
      </c>
      <c r="K2545" t="inlineStr">
        <is>
          <t>METAL</t>
        </is>
      </c>
      <c r="L2545">
        <f>_xlfn.XLOOKUP(Tableau1[[#This Row],[TYPE DE PIECE]],Tableau4[MATIERE],Tableau4[SHORT TYPE],"",0,1)</f>
        <v/>
      </c>
      <c r="N2545">
        <f>IF(ISERR(FIND("DECOUPE",Tableau1[[#This Row],[DESIGNATION]])),"","NEED REF")</f>
        <v/>
      </c>
    </row>
    <row r="2546">
      <c r="B2546" t="n">
        <v>34411455</v>
      </c>
      <c r="C2546" s="2" t="n">
        <v>44978</v>
      </c>
      <c r="D2546" t="inlineStr">
        <is>
          <t>SPEC</t>
        </is>
      </c>
      <c r="E2546">
        <f>_xlfn.CONCAT(Tableau1[[#This Row],[SHORT TYPE]]," ",Tableau1[[#This Row],[NUMERO]]," ",Tableau1[[#This Row],[GAMME]]," ",Tableau1[[#This Row],[TYPE PRODUIT]]," ",Tableau1[[#This Row],[PUISSANCE]])</f>
        <v/>
      </c>
      <c r="G2546" t="inlineStr">
        <is>
          <t>GVX/GVM</t>
        </is>
      </c>
      <c r="H2546" t="inlineStr">
        <is>
          <t>BATTERY</t>
        </is>
      </c>
      <c r="I2546" t="inlineStr">
        <is>
          <t>630-1000A</t>
        </is>
      </c>
      <c r="J2546" t="inlineStr">
        <is>
          <t>MATRION</t>
        </is>
      </c>
      <c r="K2546" t="inlineStr">
        <is>
          <t>METAL</t>
        </is>
      </c>
      <c r="L2546">
        <f>_xlfn.XLOOKUP(Tableau1[[#This Row],[TYPE DE PIECE]],Tableau4[MATIERE],Tableau4[SHORT TYPE],"",0,1)</f>
        <v/>
      </c>
      <c r="N2546">
        <f>IF(ISERR(FIND("DECOUPE",Tableau1[[#This Row],[DESIGNATION]])),"","NEED REF")</f>
        <v/>
      </c>
    </row>
    <row r="2547">
      <c r="B2547" t="n">
        <v>34411454</v>
      </c>
      <c r="C2547" s="2" t="n">
        <v>44978</v>
      </c>
      <c r="D2547" t="inlineStr">
        <is>
          <t>SPEC</t>
        </is>
      </c>
      <c r="E2547">
        <f>_xlfn.CONCAT(Tableau1[[#This Row],[SHORT TYPE]]," ",Tableau1[[#This Row],[NUMERO]]," ",Tableau1[[#This Row],[GAMME]]," ",Tableau1[[#This Row],[TYPE PRODUIT]]," ",Tableau1[[#This Row],[PUISSANCE]])</f>
        <v/>
      </c>
      <c r="G2547" t="inlineStr">
        <is>
          <t>GVX/GVM</t>
        </is>
      </c>
      <c r="H2547" t="inlineStr">
        <is>
          <t>BATTERY</t>
        </is>
      </c>
      <c r="I2547" t="inlineStr">
        <is>
          <t>630-1000A</t>
        </is>
      </c>
      <c r="J2547" t="inlineStr">
        <is>
          <t>MATRION</t>
        </is>
      </c>
      <c r="K2547" t="inlineStr">
        <is>
          <t>METAL</t>
        </is>
      </c>
      <c r="L2547">
        <f>_xlfn.XLOOKUP(Tableau1[[#This Row],[TYPE DE PIECE]],Tableau4[MATIERE],Tableau4[SHORT TYPE],"",0,1)</f>
        <v/>
      </c>
      <c r="N2547">
        <f>IF(ISERR(FIND("DECOUPE",Tableau1[[#This Row],[DESIGNATION]])),"","NEED REF")</f>
        <v/>
      </c>
    </row>
    <row r="2548">
      <c r="B2548" t="n">
        <v>34411453</v>
      </c>
      <c r="C2548" s="2" t="n">
        <v>44977</v>
      </c>
      <c r="D2548" t="inlineStr">
        <is>
          <t>SPEC</t>
        </is>
      </c>
      <c r="E2548" t="inlineStr">
        <is>
          <t>SMT 34411453 GVL BYPASS DECOUPE PORTE IHM 870-34411453</t>
        </is>
      </c>
      <c r="F2548" t="inlineStr">
        <is>
          <t>DATA4 DC07</t>
        </is>
      </c>
      <c r="G2548" t="inlineStr">
        <is>
          <t>GVL</t>
        </is>
      </c>
      <c r="H2548" t="inlineStr">
        <is>
          <t>BYPASS</t>
        </is>
      </c>
      <c r="J2548" t="inlineStr">
        <is>
          <t>MATRION</t>
        </is>
      </c>
      <c r="K2548" t="inlineStr">
        <is>
          <t>METAL</t>
        </is>
      </c>
      <c r="L2548">
        <f>_xlfn.XLOOKUP(Tableau1[[#This Row],[TYPE DE PIECE]],Tableau4[MATIERE],Tableau4[SHORT TYPE],"",0,1)</f>
        <v/>
      </c>
      <c r="N2548" t="inlineStr">
        <is>
          <t>870-34411453</t>
        </is>
      </c>
    </row>
    <row r="2549">
      <c r="B2549" t="n">
        <v>34411452</v>
      </c>
      <c r="C2549" s="2" t="n">
        <v>44977</v>
      </c>
      <c r="D2549" t="inlineStr">
        <is>
          <t>SPEC</t>
        </is>
      </c>
      <c r="E2549">
        <f>_xlfn.CONCAT(Tableau1[[#This Row],[SHORT TYPE]]," ",Tableau1[[#This Row],[NUMERO]]," ",Tableau1[[#This Row],[GAMME]]," ",Tableau1[[#This Row],[TYPE PRODUIT]]," ",Tableau1[[#This Row],[PUISSANCE]])</f>
        <v/>
      </c>
      <c r="G2549" t="inlineStr">
        <is>
          <t>GVL</t>
        </is>
      </c>
      <c r="H2549" t="inlineStr">
        <is>
          <t>UPS</t>
        </is>
      </c>
      <c r="I2549" t="inlineStr">
        <is>
          <t>400kVA</t>
        </is>
      </c>
      <c r="J2549" t="inlineStr">
        <is>
          <t>MATRION</t>
        </is>
      </c>
      <c r="K2549" t="inlineStr">
        <is>
          <t>METAL</t>
        </is>
      </c>
      <c r="L2549">
        <f>_xlfn.XLOOKUP(Tableau1[[#This Row],[TYPE DE PIECE]],Tableau4[MATIERE],Tableau4[SHORT TYPE],"",0,1)</f>
        <v/>
      </c>
      <c r="N2549">
        <f>IF(ISERR(FIND("DECOUPE",Tableau1[[#This Row],[DESIGNATION]])),"","NEED REF")</f>
        <v/>
      </c>
    </row>
    <row r="2550">
      <c r="B2550" t="n">
        <v>34411451</v>
      </c>
      <c r="C2550" s="2" t="n">
        <v>44977</v>
      </c>
      <c r="D2550" t="inlineStr">
        <is>
          <t>SPEC</t>
        </is>
      </c>
      <c r="E2550">
        <f>_xlfn.CONCAT(Tableau1[[#This Row],[SHORT TYPE]]," ",Tableau1[[#This Row],[NUMERO]]," ",Tableau1[[#This Row],[GAMME]]," ",Tableau1[[#This Row],[TYPE PRODUIT]]," ",Tableau1[[#This Row],[PUISSANCE]])</f>
        <v/>
      </c>
      <c r="G2550" t="inlineStr">
        <is>
          <t>GVL</t>
        </is>
      </c>
      <c r="H2550" t="inlineStr">
        <is>
          <t>UPS</t>
        </is>
      </c>
      <c r="I2550" t="inlineStr">
        <is>
          <t>400kVA</t>
        </is>
      </c>
      <c r="J2550" t="inlineStr">
        <is>
          <t>MATRION</t>
        </is>
      </c>
      <c r="K2550" t="inlineStr">
        <is>
          <t>METAL</t>
        </is>
      </c>
      <c r="L2550">
        <f>_xlfn.XLOOKUP(Tableau1[[#This Row],[TYPE DE PIECE]],Tableau4[MATIERE],Tableau4[SHORT TYPE],"",0,1)</f>
        <v/>
      </c>
      <c r="N2550">
        <f>IF(ISERR(FIND("DECOUPE",Tableau1[[#This Row],[DESIGNATION]])),"","NEED REF")</f>
        <v/>
      </c>
    </row>
    <row r="2551">
      <c r="B2551" t="n">
        <v>34411450</v>
      </c>
      <c r="C2551" s="2" t="n">
        <v>44974</v>
      </c>
      <c r="D2551" t="inlineStr">
        <is>
          <t>SPEC</t>
        </is>
      </c>
      <c r="E2551" t="inlineStr">
        <is>
          <t xml:space="preserve">SMT 34411450 JONCTION INTER CELLULE 1000 RAL9003 </t>
        </is>
      </c>
      <c r="J2551" t="inlineStr">
        <is>
          <t>MATRION</t>
        </is>
      </c>
      <c r="K2551" t="inlineStr">
        <is>
          <t>METAL</t>
        </is>
      </c>
      <c r="L2551">
        <f>_xlfn.XLOOKUP(Tableau1[[#This Row],[TYPE DE PIECE]],Tableau4[MATIERE],Tableau4[SHORT TYPE],"",0,1)</f>
        <v/>
      </c>
      <c r="M2551" t="inlineStr">
        <is>
          <t>BIRDY</t>
        </is>
      </c>
      <c r="N2551">
        <f>IF(ISERR(FIND("DECOUPE",Tableau1[[#This Row],[DESIGNATION]])),"","NEED REF")</f>
        <v/>
      </c>
    </row>
    <row r="2552">
      <c r="B2552" t="n">
        <v>34411449</v>
      </c>
      <c r="C2552" s="2" t="n">
        <v>44973</v>
      </c>
      <c r="D2552" t="inlineStr">
        <is>
          <t>SPEC</t>
        </is>
      </c>
      <c r="E2552" t="inlineStr">
        <is>
          <t>SMT 34411449 TOIT ALU 3MM  300x1000 INTERCO WIRES</t>
        </is>
      </c>
      <c r="G2552" t="inlineStr">
        <is>
          <t>GVL</t>
        </is>
      </c>
      <c r="H2552" t="inlineStr">
        <is>
          <t>UPS</t>
        </is>
      </c>
      <c r="I2552" t="inlineStr">
        <is>
          <t>400kVA</t>
        </is>
      </c>
      <c r="J2552" t="inlineStr">
        <is>
          <t>MATRION</t>
        </is>
      </c>
      <c r="K2552" t="inlineStr">
        <is>
          <t>METAL</t>
        </is>
      </c>
      <c r="L2552">
        <f>_xlfn.XLOOKUP(Tableau1[[#This Row],[TYPE DE PIECE]],Tableau4[MATIERE],Tableau4[SHORT TYPE],"",0,1)</f>
        <v/>
      </c>
      <c r="N2552">
        <f>IF(ISERR(FIND("DECOUPE",Tableau1[[#This Row],[DESIGNATION]])),"","NEED REF")</f>
        <v/>
      </c>
    </row>
    <row r="2553">
      <c r="B2553" t="n">
        <v>34411448</v>
      </c>
      <c r="C2553" s="2" t="n">
        <v>44973</v>
      </c>
      <c r="D2553" t="inlineStr">
        <is>
          <t>SPEC</t>
        </is>
      </c>
      <c r="E2553" t="inlineStr">
        <is>
          <t>SMT 34411448 TOIT ALU 6MM  1000x1000 INPUT UPS</t>
        </is>
      </c>
      <c r="G2553" t="inlineStr">
        <is>
          <t>GVL</t>
        </is>
      </c>
      <c r="H2553" t="inlineStr">
        <is>
          <t>UPS</t>
        </is>
      </c>
      <c r="I2553" t="inlineStr">
        <is>
          <t>400kVA</t>
        </is>
      </c>
      <c r="J2553" t="inlineStr">
        <is>
          <t>MATRION</t>
        </is>
      </c>
      <c r="K2553" t="inlineStr">
        <is>
          <t>METAL</t>
        </is>
      </c>
      <c r="L2553">
        <f>_xlfn.XLOOKUP(Tableau1[[#This Row],[TYPE DE PIECE]],Tableau4[MATIERE],Tableau4[SHORT TYPE],"",0,1)</f>
        <v/>
      </c>
      <c r="N2553">
        <f>IF(ISERR(FIND("DECOUPE",Tableau1[[#This Row],[DESIGNATION]])),"","NEED REF")</f>
        <v/>
      </c>
    </row>
    <row r="2554">
      <c r="B2554" t="n">
        <v>34411447</v>
      </c>
      <c r="C2554" s="2" t="n">
        <v>44973</v>
      </c>
      <c r="D2554" t="inlineStr">
        <is>
          <t>SPEC</t>
        </is>
      </c>
      <c r="E2554" t="inlineStr">
        <is>
          <t>SMT 34411447 TOIT ALU 6MM  1000x1000 OUTPUT UPS</t>
        </is>
      </c>
      <c r="G2554" t="inlineStr">
        <is>
          <t>GVL</t>
        </is>
      </c>
      <c r="H2554" t="inlineStr">
        <is>
          <t>UPS</t>
        </is>
      </c>
      <c r="I2554" t="inlineStr">
        <is>
          <t>400kVA</t>
        </is>
      </c>
      <c r="J2554" t="inlineStr">
        <is>
          <t>MATRION</t>
        </is>
      </c>
      <c r="K2554" t="inlineStr">
        <is>
          <t>METAL</t>
        </is>
      </c>
      <c r="L2554">
        <f>_xlfn.XLOOKUP(Tableau1[[#This Row],[TYPE DE PIECE]],Tableau4[MATIERE],Tableau4[SHORT TYPE],"",0,1)</f>
        <v/>
      </c>
      <c r="N2554">
        <f>IF(ISERR(FIND("DECOUPE",Tableau1[[#This Row],[DESIGNATION]])),"","NEED REF")</f>
        <v/>
      </c>
    </row>
    <row r="2555">
      <c r="B2555" t="n">
        <v>34411446</v>
      </c>
      <c r="C2555" s="2" t="n">
        <v>44973</v>
      </c>
      <c r="D2555" t="inlineStr">
        <is>
          <t>SPEC</t>
        </is>
      </c>
      <c r="E2555" t="inlineStr">
        <is>
          <t>SMT 34411446 TOIT ALU 6MM  700x1000 OUTPUT</t>
        </is>
      </c>
      <c r="G2555" t="inlineStr">
        <is>
          <t>GVL</t>
        </is>
      </c>
      <c r="H2555" t="inlineStr">
        <is>
          <t>UPS</t>
        </is>
      </c>
      <c r="I2555" t="inlineStr">
        <is>
          <t>400kVA</t>
        </is>
      </c>
      <c r="J2555" t="inlineStr">
        <is>
          <t>MATRION</t>
        </is>
      </c>
      <c r="K2555" t="inlineStr">
        <is>
          <t>METAL</t>
        </is>
      </c>
      <c r="L2555">
        <f>_xlfn.XLOOKUP(Tableau1[[#This Row],[TYPE DE PIECE]],Tableau4[MATIERE],Tableau4[SHORT TYPE],"",0,1)</f>
        <v/>
      </c>
      <c r="N2555">
        <f>IF(ISERR(FIND("DECOUPE",Tableau1[[#This Row],[DESIGNATION]])),"","NEED REF")</f>
        <v/>
      </c>
    </row>
    <row r="2556">
      <c r="B2556" t="n">
        <v>34411445</v>
      </c>
      <c r="C2556" s="2" t="n">
        <v>44973</v>
      </c>
      <c r="D2556" t="inlineStr">
        <is>
          <t>SPEC</t>
        </is>
      </c>
      <c r="E2556" t="inlineStr">
        <is>
          <t>SMT 34411445 TOIT ALU 6MM  700x1000 INPUT</t>
        </is>
      </c>
      <c r="G2556" t="inlineStr">
        <is>
          <t>GVL</t>
        </is>
      </c>
      <c r="H2556" t="inlineStr">
        <is>
          <t>UPS</t>
        </is>
      </c>
      <c r="I2556" t="inlineStr">
        <is>
          <t>400kVA</t>
        </is>
      </c>
      <c r="J2556" t="inlineStr">
        <is>
          <t>MATRION</t>
        </is>
      </c>
      <c r="K2556" t="inlineStr">
        <is>
          <t>METAL</t>
        </is>
      </c>
      <c r="L2556">
        <f>_xlfn.XLOOKUP(Tableau1[[#This Row],[TYPE DE PIECE]],Tableau4[MATIERE],Tableau4[SHORT TYPE],"",0,1)</f>
        <v/>
      </c>
      <c r="N2556">
        <f>IF(ISERR(FIND("DECOUPE",Tableau1[[#This Row],[DESIGNATION]])),"","NEED REF")</f>
        <v/>
      </c>
    </row>
    <row r="2557">
      <c r="B2557" t="n">
        <v>34411444</v>
      </c>
      <c r="C2557" s="2" t="n">
        <v>44973</v>
      </c>
      <c r="D2557" t="inlineStr">
        <is>
          <t>SPEC</t>
        </is>
      </c>
      <c r="E2557">
        <f>_xlfn.CONCAT(Tableau1[[#This Row],[SHORT TYPE]]," ",Tableau1[[#This Row],[NUMERO]]," ",Tableau1[[#This Row],[GAMME]]," ",Tableau1[[#This Row],[TYPE PRODUIT]]," ",Tableau1[[#This Row],[PUISSANCE]])</f>
        <v/>
      </c>
      <c r="G2557" t="inlineStr">
        <is>
          <t>GVL</t>
        </is>
      </c>
      <c r="H2557" t="inlineStr">
        <is>
          <t>UPS</t>
        </is>
      </c>
      <c r="I2557" t="inlineStr">
        <is>
          <t>400kVA</t>
        </is>
      </c>
      <c r="J2557" t="inlineStr">
        <is>
          <t>MATRION</t>
        </is>
      </c>
      <c r="K2557" t="inlineStr">
        <is>
          <t>METAL</t>
        </is>
      </c>
      <c r="L2557">
        <f>_xlfn.XLOOKUP(Tableau1[[#This Row],[TYPE DE PIECE]],Tableau4[MATIERE],Tableau4[SHORT TYPE],"",0,1)</f>
        <v/>
      </c>
      <c r="N2557">
        <f>IF(ISERR(FIND("DECOUPE",Tableau1[[#This Row],[DESIGNATION]])),"","NEED REF")</f>
        <v/>
      </c>
    </row>
    <row r="2558">
      <c r="B2558" t="n">
        <v>34411443</v>
      </c>
      <c r="C2558" s="2" t="n">
        <v>44973</v>
      </c>
      <c r="D2558" t="inlineStr">
        <is>
          <t>SPEC</t>
        </is>
      </c>
      <c r="E2558">
        <f>_xlfn.CONCAT(Tableau1[[#This Row],[SHORT TYPE]]," ",Tableau1[[#This Row],[NUMERO]]," ",Tableau1[[#This Row],[GAMME]]," ",Tableau1[[#This Row],[TYPE PRODUIT]]," ",Tableau1[[#This Row],[PUISSANCE]])</f>
        <v/>
      </c>
      <c r="G2558" t="inlineStr">
        <is>
          <t>GVL</t>
        </is>
      </c>
      <c r="H2558" t="inlineStr">
        <is>
          <t>UPS</t>
        </is>
      </c>
      <c r="I2558" t="inlineStr">
        <is>
          <t>400kVA</t>
        </is>
      </c>
      <c r="J2558" t="inlineStr">
        <is>
          <t>MATRION</t>
        </is>
      </c>
      <c r="K2558" t="inlineStr">
        <is>
          <t>METAL</t>
        </is>
      </c>
      <c r="L2558">
        <f>_xlfn.XLOOKUP(Tableau1[[#This Row],[TYPE DE PIECE]],Tableau4[MATIERE],Tableau4[SHORT TYPE],"",0,1)</f>
        <v/>
      </c>
      <c r="N2558">
        <f>IF(ISERR(FIND("DECOUPE",Tableau1[[#This Row],[DESIGNATION]])),"","NEED REF")</f>
        <v/>
      </c>
    </row>
    <row r="2559">
      <c r="B2559" t="n">
        <v>34411442</v>
      </c>
      <c r="C2559" s="2" t="n">
        <v>44973</v>
      </c>
      <c r="D2559" t="inlineStr">
        <is>
          <t>SPEC</t>
        </is>
      </c>
      <c r="E2559">
        <f>_xlfn.CONCAT(Tableau1[[#This Row],[SHORT TYPE]]," ",Tableau1[[#This Row],[NUMERO]]," ",Tableau1[[#This Row],[GAMME]]," ",Tableau1[[#This Row],[TYPE PRODUIT]]," ",Tableau1[[#This Row],[PUISSANCE]])</f>
        <v/>
      </c>
      <c r="G2559" t="inlineStr">
        <is>
          <t>GVL</t>
        </is>
      </c>
      <c r="H2559" t="inlineStr">
        <is>
          <t>UPS</t>
        </is>
      </c>
      <c r="I2559" t="inlineStr">
        <is>
          <t>400kVA</t>
        </is>
      </c>
      <c r="J2559" t="inlineStr">
        <is>
          <t>MATRION</t>
        </is>
      </c>
      <c r="K2559" t="inlineStr">
        <is>
          <t>METAL</t>
        </is>
      </c>
      <c r="L2559">
        <f>_xlfn.XLOOKUP(Tableau1[[#This Row],[TYPE DE PIECE]],Tableau4[MATIERE],Tableau4[SHORT TYPE],"",0,1)</f>
        <v/>
      </c>
      <c r="N2559">
        <f>IF(ISERR(FIND("DECOUPE",Tableau1[[#This Row],[DESIGNATION]])),"","NEED REF")</f>
        <v/>
      </c>
    </row>
    <row r="2560">
      <c r="B2560" t="n">
        <v>34411441</v>
      </c>
      <c r="C2560" s="2" t="n">
        <v>44972</v>
      </c>
      <c r="D2560" t="inlineStr">
        <is>
          <t>SPEC</t>
        </is>
      </c>
      <c r="E2560">
        <f>_xlfn.CONCAT(Tableau1[[#This Row],[SHORT TYPE]]," ",Tableau1[[#This Row],[NUMERO]]," ",Tableau1[[#This Row],[GAMME]]," ",Tableau1[[#This Row],[TYPE PRODUIT]]," ",Tableau1[[#This Row],[PUISSANCE]])</f>
        <v/>
      </c>
      <c r="G2560" t="inlineStr">
        <is>
          <t>GVL</t>
        </is>
      </c>
      <c r="H2560" t="inlineStr">
        <is>
          <t>UPS</t>
        </is>
      </c>
      <c r="I2560" t="inlineStr">
        <is>
          <t>400kVA</t>
        </is>
      </c>
      <c r="J2560" t="inlineStr">
        <is>
          <t>MATRION</t>
        </is>
      </c>
      <c r="K2560" t="inlineStr">
        <is>
          <t>METAL</t>
        </is>
      </c>
      <c r="L2560">
        <f>_xlfn.XLOOKUP(Tableau1[[#This Row],[TYPE DE PIECE]],Tableau4[MATIERE],Tableau4[SHORT TYPE],"",0,1)</f>
        <v/>
      </c>
      <c r="N2560">
        <f>IF(ISERR(FIND("DECOUPE",Tableau1[[#This Row],[DESIGNATION]])),"","NEED REF")</f>
        <v/>
      </c>
    </row>
    <row r="2561">
      <c r="B2561" t="n">
        <v>34411440</v>
      </c>
      <c r="C2561" s="2" t="n">
        <v>44972</v>
      </c>
      <c r="D2561" t="inlineStr">
        <is>
          <t>SPEC</t>
        </is>
      </c>
      <c r="E2561">
        <f>_xlfn.CONCAT(Tableau1[[#This Row],[SHORT TYPE]]," ",Tableau1[[#This Row],[NUMERO]]," ",Tableau1[[#This Row],[GAMME]]," ",Tableau1[[#This Row],[TYPE PRODUIT]]," ",Tableau1[[#This Row],[PUISSANCE]])</f>
        <v/>
      </c>
      <c r="G2561" t="inlineStr">
        <is>
          <t>GVL</t>
        </is>
      </c>
      <c r="H2561" t="inlineStr">
        <is>
          <t>UPS</t>
        </is>
      </c>
      <c r="I2561" t="inlineStr">
        <is>
          <t>400kVA</t>
        </is>
      </c>
      <c r="J2561" t="inlineStr">
        <is>
          <t>MATRION</t>
        </is>
      </c>
      <c r="K2561" t="inlineStr">
        <is>
          <t>METAL</t>
        </is>
      </c>
      <c r="L2561">
        <f>_xlfn.XLOOKUP(Tableau1[[#This Row],[TYPE DE PIECE]],Tableau4[MATIERE],Tableau4[SHORT TYPE],"",0,1)</f>
        <v/>
      </c>
      <c r="N2561">
        <f>IF(ISERR(FIND("DECOUPE",Tableau1[[#This Row],[DESIGNATION]])),"","NEED REF")</f>
        <v/>
      </c>
    </row>
    <row r="2562">
      <c r="B2562" t="n">
        <v>34411439</v>
      </c>
      <c r="C2562" s="2" t="n">
        <v>44971</v>
      </c>
      <c r="D2562" t="inlineStr">
        <is>
          <t>SPEC</t>
        </is>
      </c>
      <c r="E2562">
        <f>_xlfn.CONCAT(Tableau1[[#This Row],[SHORT TYPE]]," ",Tableau1[[#This Row],[NUMERO]]," ",Tableau1[[#This Row],[GAMME]]," ",Tableau1[[#This Row],[TYPE PRODUIT]]," ",Tableau1[[#This Row],[PUISSANCE]])</f>
        <v/>
      </c>
      <c r="G2562" t="inlineStr">
        <is>
          <t>GVL</t>
        </is>
      </c>
      <c r="H2562" t="inlineStr">
        <is>
          <t>UPS</t>
        </is>
      </c>
      <c r="I2562" t="inlineStr">
        <is>
          <t>400kVA</t>
        </is>
      </c>
      <c r="J2562" t="inlineStr">
        <is>
          <t>MATRION</t>
        </is>
      </c>
      <c r="K2562" t="inlineStr">
        <is>
          <t>METAL</t>
        </is>
      </c>
      <c r="L2562">
        <f>_xlfn.XLOOKUP(Tableau1[[#This Row],[TYPE DE PIECE]],Tableau4[MATIERE],Tableau4[SHORT TYPE],"",0,1)</f>
        <v/>
      </c>
      <c r="N2562">
        <f>IF(ISERR(FIND("DECOUPE",Tableau1[[#This Row],[DESIGNATION]])),"","NEED REF")</f>
        <v/>
      </c>
    </row>
    <row r="2563">
      <c r="B2563" t="n">
        <v>34411438</v>
      </c>
      <c r="C2563" s="2" t="n">
        <v>44971</v>
      </c>
      <c r="D2563" t="inlineStr">
        <is>
          <t>SPEC</t>
        </is>
      </c>
      <c r="E2563">
        <f>_xlfn.CONCAT(Tableau1[[#This Row],[SHORT TYPE]]," ",Tableau1[[#This Row],[NUMERO]]," ",Tableau1[[#This Row],[GAMME]]," ",Tableau1[[#This Row],[TYPE PRODUIT]]," ",Tableau1[[#This Row],[PUISSANCE]])</f>
        <v/>
      </c>
      <c r="G2563" t="inlineStr">
        <is>
          <t>GVL</t>
        </is>
      </c>
      <c r="H2563" t="inlineStr">
        <is>
          <t>UPS</t>
        </is>
      </c>
      <c r="I2563" t="inlineStr">
        <is>
          <t>400kVA</t>
        </is>
      </c>
      <c r="J2563" t="inlineStr">
        <is>
          <t>MATRION</t>
        </is>
      </c>
      <c r="K2563" t="inlineStr">
        <is>
          <t>METAL</t>
        </is>
      </c>
      <c r="L2563">
        <f>_xlfn.XLOOKUP(Tableau1[[#This Row],[TYPE DE PIECE]],Tableau4[MATIERE],Tableau4[SHORT TYPE],"",0,1)</f>
        <v/>
      </c>
      <c r="N2563">
        <f>IF(ISERR(FIND("DECOUPE",Tableau1[[#This Row],[DESIGNATION]])),"","NEED REF")</f>
        <v/>
      </c>
    </row>
    <row r="2564">
      <c r="B2564" t="n">
        <v>34411437</v>
      </c>
      <c r="C2564" s="2" t="n">
        <v>44971</v>
      </c>
      <c r="D2564" t="inlineStr">
        <is>
          <t>SPEC</t>
        </is>
      </c>
      <c r="E2564">
        <f>_xlfn.CONCAT(Tableau1[[#This Row],[SHORT TYPE]]," ",Tableau1[[#This Row],[NUMERO]]," ",Tableau1[[#This Row],[GAMME]]," ",Tableau1[[#This Row],[TYPE PRODUIT]]," ",Tableau1[[#This Row],[PUISSANCE]])</f>
        <v/>
      </c>
      <c r="G2564" t="inlineStr">
        <is>
          <t>GVL</t>
        </is>
      </c>
      <c r="H2564" t="inlineStr">
        <is>
          <t>UPS</t>
        </is>
      </c>
      <c r="I2564" t="inlineStr">
        <is>
          <t>400kVA</t>
        </is>
      </c>
      <c r="J2564" t="inlineStr">
        <is>
          <t>MATRION</t>
        </is>
      </c>
      <c r="K2564" t="inlineStr">
        <is>
          <t>METAL</t>
        </is>
      </c>
      <c r="L2564">
        <f>_xlfn.XLOOKUP(Tableau1[[#This Row],[TYPE DE PIECE]],Tableau4[MATIERE],Tableau4[SHORT TYPE],"",0,1)</f>
        <v/>
      </c>
      <c r="N2564">
        <f>IF(ISERR(FIND("DECOUPE",Tableau1[[#This Row],[DESIGNATION]])),"","NEED REF")</f>
        <v/>
      </c>
    </row>
    <row r="2565">
      <c r="B2565" t="n">
        <v>34411436</v>
      </c>
      <c r="C2565" s="2" t="n">
        <v>44971</v>
      </c>
      <c r="D2565" t="inlineStr">
        <is>
          <t>SPEC</t>
        </is>
      </c>
      <c r="E2565">
        <f>_xlfn.CONCAT(Tableau1[[#This Row],[SHORT TYPE]]," ",Tableau1[[#This Row],[NUMERO]]," ",Tableau1[[#This Row],[GAMME]]," ",Tableau1[[#This Row],[TYPE PRODUIT]]," ",Tableau1[[#This Row],[PUISSANCE]])</f>
        <v/>
      </c>
      <c r="G2565" t="inlineStr">
        <is>
          <t>GVL</t>
        </is>
      </c>
      <c r="H2565" t="inlineStr">
        <is>
          <t>UPS</t>
        </is>
      </c>
      <c r="I2565" t="inlineStr">
        <is>
          <t>400kVA</t>
        </is>
      </c>
      <c r="J2565" t="inlineStr">
        <is>
          <t>MATRION</t>
        </is>
      </c>
      <c r="K2565" t="inlineStr">
        <is>
          <t>METAL</t>
        </is>
      </c>
      <c r="L2565">
        <f>_xlfn.XLOOKUP(Tableau1[[#This Row],[TYPE DE PIECE]],Tableau4[MATIERE],Tableau4[SHORT TYPE],"",0,1)</f>
        <v/>
      </c>
      <c r="N2565">
        <f>IF(ISERR(FIND("DECOUPE",Tableau1[[#This Row],[DESIGNATION]])),"","NEED REF")</f>
        <v/>
      </c>
    </row>
    <row r="2566">
      <c r="B2566" t="n">
        <v>34411435</v>
      </c>
      <c r="C2566" s="2" t="n">
        <v>44970</v>
      </c>
      <c r="D2566" t="inlineStr">
        <is>
          <t>SPEC</t>
        </is>
      </c>
      <c r="E2566" t="inlineStr">
        <is>
          <t>SMT REHAUSSE 1000MM H70MM LAT. VENTIL. DEMONTABLE RAL9003</t>
        </is>
      </c>
      <c r="G2566" t="inlineStr">
        <is>
          <t>GVL</t>
        </is>
      </c>
      <c r="H2566" t="inlineStr">
        <is>
          <t>UPS</t>
        </is>
      </c>
      <c r="I2566" t="inlineStr">
        <is>
          <t>400kVA</t>
        </is>
      </c>
      <c r="J2566" t="inlineStr">
        <is>
          <t>MATRION</t>
        </is>
      </c>
      <c r="K2566" t="inlineStr">
        <is>
          <t>METAL</t>
        </is>
      </c>
      <c r="L2566">
        <f>_xlfn.XLOOKUP(Tableau1[[#This Row],[TYPE DE PIECE]],Tableau4[MATIERE],Tableau4[SHORT TYPE],"",0,1)</f>
        <v/>
      </c>
      <c r="N2566">
        <f>IF(ISERR(FIND("DECOUPE",Tableau1[[#This Row],[DESIGNATION]])),"","NEED REF")</f>
        <v/>
      </c>
    </row>
    <row r="2567">
      <c r="B2567" t="n">
        <v>34411434</v>
      </c>
      <c r="C2567" s="2" t="n">
        <v>44970</v>
      </c>
      <c r="D2567" t="inlineStr">
        <is>
          <t>SPEC</t>
        </is>
      </c>
      <c r="E2567" t="inlineStr">
        <is>
          <t>SMT 34411434 ANGLE BIRDY ALEGE MONTANT DEMONTABLE</t>
        </is>
      </c>
      <c r="G2567" t="inlineStr">
        <is>
          <t>GVL</t>
        </is>
      </c>
      <c r="H2567" t="inlineStr">
        <is>
          <t>UPS</t>
        </is>
      </c>
      <c r="I2567" t="inlineStr">
        <is>
          <t>400kVA</t>
        </is>
      </c>
      <c r="J2567" t="inlineStr">
        <is>
          <t>MATRION</t>
        </is>
      </c>
      <c r="K2567" t="inlineStr">
        <is>
          <t>METAL</t>
        </is>
      </c>
      <c r="L2567">
        <f>_xlfn.XLOOKUP(Tableau1[[#This Row],[TYPE DE PIECE]],Tableau4[MATIERE],Tableau4[SHORT TYPE],"",0,1)</f>
        <v/>
      </c>
      <c r="N2567">
        <f>IF(ISERR(FIND("DECOUPE",Tableau1[[#This Row],[DESIGNATION]])),"","NEED REF")</f>
        <v/>
      </c>
    </row>
    <row r="2568">
      <c r="B2568" t="n">
        <v>34411433</v>
      </c>
      <c r="C2568" s="2" t="n">
        <v>44967</v>
      </c>
      <c r="D2568" t="inlineStr">
        <is>
          <t>SPEC</t>
        </is>
      </c>
      <c r="E2568">
        <f>_xlfn.CONCAT(Tableau1[[#This Row],[SHORT TYPE]]," ",Tableau1[[#This Row],[NUMERO]]," ",Tableau1[[#This Row],[GAMME]]," ",Tableau1[[#This Row],[TYPE PRODUIT]]," ",Tableau1[[#This Row],[PUISSANCE]])</f>
        <v/>
      </c>
      <c r="G2568" t="inlineStr">
        <is>
          <t>GVL</t>
        </is>
      </c>
      <c r="H2568" t="inlineStr">
        <is>
          <t>UPS</t>
        </is>
      </c>
      <c r="I2568" t="inlineStr">
        <is>
          <t>400kVA</t>
        </is>
      </c>
      <c r="J2568" t="inlineStr">
        <is>
          <t>MATRION</t>
        </is>
      </c>
      <c r="K2568" t="inlineStr">
        <is>
          <t>METAL</t>
        </is>
      </c>
      <c r="L2568">
        <f>_xlfn.XLOOKUP(Tableau1[[#This Row],[TYPE DE PIECE]],Tableau4[MATIERE],Tableau4[SHORT TYPE],"",0,1)</f>
        <v/>
      </c>
      <c r="N2568">
        <f>IF(ISERR(FIND("DECOUPE",Tableau1[[#This Row],[DESIGNATION]])),"","NEED REF")</f>
        <v/>
      </c>
    </row>
    <row r="2569">
      <c r="B2569" t="n">
        <v>34411432</v>
      </c>
      <c r="C2569" s="2" t="n">
        <v>44967</v>
      </c>
      <c r="D2569" t="inlineStr">
        <is>
          <t>SPEC</t>
        </is>
      </c>
      <c r="E2569">
        <f>_xlfn.CONCAT(Tableau1[[#This Row],[SHORT TYPE]]," ",Tableau1[[#This Row],[NUMERO]]," ",Tableau1[[#This Row],[GAMME]]," ",Tableau1[[#This Row],[TYPE PRODUIT]]," ",Tableau1[[#This Row],[PUISSANCE]])</f>
        <v/>
      </c>
      <c r="G2569" t="inlineStr">
        <is>
          <t>GVL</t>
        </is>
      </c>
      <c r="H2569" t="inlineStr">
        <is>
          <t>UPS</t>
        </is>
      </c>
      <c r="I2569" t="inlineStr">
        <is>
          <t>400kVA</t>
        </is>
      </c>
      <c r="J2569" t="inlineStr">
        <is>
          <t>MATRION</t>
        </is>
      </c>
      <c r="K2569" t="inlineStr">
        <is>
          <t>METAL</t>
        </is>
      </c>
      <c r="L2569">
        <f>_xlfn.XLOOKUP(Tableau1[[#This Row],[TYPE DE PIECE]],Tableau4[MATIERE],Tableau4[SHORT TYPE],"",0,1)</f>
        <v/>
      </c>
      <c r="N2569">
        <f>IF(ISERR(FIND("DECOUPE",Tableau1[[#This Row],[DESIGNATION]])),"","NEED REF")</f>
        <v/>
      </c>
    </row>
    <row r="2570">
      <c r="B2570" t="n">
        <v>34411431</v>
      </c>
      <c r="C2570" s="2" t="n">
        <v>44966</v>
      </c>
      <c r="D2570" t="inlineStr">
        <is>
          <t>SPEC</t>
        </is>
      </c>
      <c r="E2570">
        <f>_xlfn.CONCAT(Tableau1[[#This Row],[SHORT TYPE]]," ",Tableau1[[#This Row],[NUMERO]]," ",Tableau1[[#This Row],[GAMME]]," ",Tableau1[[#This Row],[TYPE PRODUIT]]," ",Tableau1[[#This Row],[PUISSANCE]])</f>
        <v/>
      </c>
      <c r="G2570" t="inlineStr">
        <is>
          <t>E3L/GVL</t>
        </is>
      </c>
      <c r="H2570" t="inlineStr">
        <is>
          <t>BYPASS</t>
        </is>
      </c>
      <c r="I2570" t="inlineStr">
        <is>
          <t>600kVA</t>
        </is>
      </c>
      <c r="J2570" t="inlineStr">
        <is>
          <t>MATRION</t>
        </is>
      </c>
      <c r="K2570" t="inlineStr">
        <is>
          <t>METAL</t>
        </is>
      </c>
      <c r="L2570">
        <f>_xlfn.XLOOKUP(Tableau1[[#This Row],[TYPE DE PIECE]],Tableau4[MATIERE],Tableau4[SHORT TYPE],"",0,1)</f>
        <v/>
      </c>
      <c r="N2570">
        <f>IF(ISERR(FIND("DECOUPE",Tableau1[[#This Row],[DESIGNATION]])),"","NEED REF")</f>
        <v/>
      </c>
    </row>
    <row r="2571">
      <c r="B2571" t="n">
        <v>34411430</v>
      </c>
      <c r="C2571" s="2" t="n">
        <v>44966</v>
      </c>
      <c r="D2571" t="inlineStr">
        <is>
          <t>SPEC</t>
        </is>
      </c>
      <c r="E2571">
        <f>_xlfn.CONCAT(Tableau1[[#This Row],[SHORT TYPE]]," ",Tableau1[[#This Row],[NUMERO]]," ",Tableau1[[#This Row],[GAMME]]," ",Tableau1[[#This Row],[TYPE PRODUIT]]," ",Tableau1[[#This Row],[PUISSANCE]])</f>
        <v/>
      </c>
      <c r="G2571" t="inlineStr">
        <is>
          <t>GVL</t>
        </is>
      </c>
      <c r="H2571" t="inlineStr">
        <is>
          <t>UPS</t>
        </is>
      </c>
      <c r="I2571" t="inlineStr">
        <is>
          <t>400kVA</t>
        </is>
      </c>
      <c r="J2571" t="inlineStr">
        <is>
          <t>MATRION</t>
        </is>
      </c>
      <c r="K2571" t="inlineStr">
        <is>
          <t>METAL</t>
        </is>
      </c>
      <c r="L2571">
        <f>_xlfn.XLOOKUP(Tableau1[[#This Row],[TYPE DE PIECE]],Tableau4[MATIERE],Tableau4[SHORT TYPE],"",0,1)</f>
        <v/>
      </c>
      <c r="N2571">
        <f>IF(ISERR(FIND("DECOUPE",Tableau1[[#This Row],[DESIGNATION]])),"","NEED REF")</f>
        <v/>
      </c>
    </row>
    <row r="2572">
      <c r="B2572" t="n">
        <v>34411429</v>
      </c>
      <c r="C2572" s="2" t="n">
        <v>44965</v>
      </c>
      <c r="D2572" t="inlineStr">
        <is>
          <t>SPEC</t>
        </is>
      </c>
      <c r="E2572">
        <f>_xlfn.CONCAT(Tableau1[[#This Row],[SHORT TYPE]]," ",Tableau1[[#This Row],[NUMERO]]," ",Tableau1[[#This Row],[GAMME]]," ",Tableau1[[#This Row],[TYPE PRODUIT]]," ",Tableau1[[#This Row],[PUISSANCE]])</f>
        <v/>
      </c>
      <c r="G2572" t="inlineStr">
        <is>
          <t>GVL</t>
        </is>
      </c>
      <c r="H2572" t="inlineStr">
        <is>
          <t>UPS</t>
        </is>
      </c>
      <c r="I2572" t="inlineStr">
        <is>
          <t>400kVA</t>
        </is>
      </c>
      <c r="J2572" t="inlineStr">
        <is>
          <t>MATRION</t>
        </is>
      </c>
      <c r="K2572" t="inlineStr">
        <is>
          <t>CUIVRE</t>
        </is>
      </c>
      <c r="L2572">
        <f>_xlfn.XLOOKUP(Tableau1[[#This Row],[TYPE DE PIECE]],Tableau4[MATIERE],Tableau4[SHORT TYPE],"",0,1)</f>
        <v/>
      </c>
      <c r="N2572">
        <f>IF(ISERR(FIND("DECOUPE",Tableau1[[#This Row],[DESIGNATION]])),"","NEED REF")</f>
        <v/>
      </c>
    </row>
    <row r="2573">
      <c r="B2573" t="n">
        <v>34411428</v>
      </c>
      <c r="C2573" s="2" t="n">
        <v>44965</v>
      </c>
      <c r="D2573" t="inlineStr">
        <is>
          <t>SPEC</t>
        </is>
      </c>
      <c r="E2573">
        <f>_xlfn.CONCAT(Tableau1[[#This Row],[SHORT TYPE]]," ",Tableau1[[#This Row],[NUMERO]]," ",Tableau1[[#This Row],[GAMME]]," ",Tableau1[[#This Row],[TYPE PRODUIT]]," ",Tableau1[[#This Row],[PUISSANCE]])</f>
        <v/>
      </c>
      <c r="G2573" t="inlineStr">
        <is>
          <t>GVL</t>
        </is>
      </c>
      <c r="H2573" t="inlineStr">
        <is>
          <t>UPS</t>
        </is>
      </c>
      <c r="I2573" t="inlineStr">
        <is>
          <t>400kVA</t>
        </is>
      </c>
      <c r="J2573" t="inlineStr">
        <is>
          <t>MATRION</t>
        </is>
      </c>
      <c r="K2573" t="inlineStr">
        <is>
          <t>PLASTIQUE</t>
        </is>
      </c>
      <c r="L2573">
        <f>_xlfn.XLOOKUP(Tableau1[[#This Row],[TYPE DE PIECE]],Tableau4[MATIERE],Tableau4[SHORT TYPE],"",0,1)</f>
        <v/>
      </c>
      <c r="N2573">
        <f>IF(ISERR(FIND("DECOUPE",Tableau1[[#This Row],[DESIGNATION]])),"","NEED REF")</f>
        <v/>
      </c>
    </row>
    <row r="2574">
      <c r="B2574" t="n">
        <v>34411427</v>
      </c>
      <c r="C2574" s="2" t="n">
        <v>44964</v>
      </c>
      <c r="D2574" t="inlineStr">
        <is>
          <t>SPEC</t>
        </is>
      </c>
      <c r="E2574">
        <f>_xlfn.CONCAT(Tableau1[[#This Row],[SHORT TYPE]]," ",Tableau1[[#This Row],[NUMERO]]," ",Tableau1[[#This Row],[GAMME]]," ",Tableau1[[#This Row],[TYPE PRODUIT]]," ",Tableau1[[#This Row],[PUISSANCE]])</f>
        <v/>
      </c>
      <c r="G2574" t="inlineStr">
        <is>
          <t>GVL</t>
        </is>
      </c>
      <c r="H2574" t="inlineStr">
        <is>
          <t>UPS</t>
        </is>
      </c>
      <c r="I2574" t="inlineStr">
        <is>
          <t>400kVA</t>
        </is>
      </c>
      <c r="J2574" t="inlineStr">
        <is>
          <t>MATRION</t>
        </is>
      </c>
      <c r="K2574" t="inlineStr">
        <is>
          <t>PLASTIQUE</t>
        </is>
      </c>
      <c r="L2574">
        <f>_xlfn.XLOOKUP(Tableau1[[#This Row],[TYPE DE PIECE]],Tableau4[MATIERE],Tableau4[SHORT TYPE],"",0,1)</f>
        <v/>
      </c>
      <c r="N2574">
        <f>IF(ISERR(FIND("DECOUPE",Tableau1[[#This Row],[DESIGNATION]])),"","NEED REF")</f>
        <v/>
      </c>
    </row>
    <row r="2575">
      <c r="B2575" t="n">
        <v>34411426</v>
      </c>
      <c r="C2575" s="2" t="n">
        <v>44964</v>
      </c>
      <c r="D2575" t="inlineStr">
        <is>
          <t>SPEC</t>
        </is>
      </c>
      <c r="E2575" t="inlineStr">
        <is>
          <t>PLA PETITE BRIDE JEU DE BARRE</t>
        </is>
      </c>
      <c r="G2575" t="inlineStr">
        <is>
          <t>E3L/GVL</t>
        </is>
      </c>
      <c r="H2575" t="inlineStr">
        <is>
          <t>BYPASS</t>
        </is>
      </c>
      <c r="J2575" t="inlineStr">
        <is>
          <t>BERNARDEAU</t>
        </is>
      </c>
      <c r="K2575" t="inlineStr">
        <is>
          <t>PLASTIQUE</t>
        </is>
      </c>
      <c r="L2575">
        <f>_xlfn.XLOOKUP(Tableau1[[#This Row],[TYPE DE PIECE]],Tableau4[MATIERE],Tableau4[SHORT TYPE],"",0,1)</f>
        <v/>
      </c>
      <c r="N2575">
        <f>IF(ISERR(FIND("DECOUPE",Tableau1[[#This Row],[DESIGNATION]])),"","NEED REF")</f>
        <v/>
      </c>
    </row>
    <row r="2576">
      <c r="B2576" t="n">
        <v>34411425</v>
      </c>
      <c r="C2576" s="2" t="n">
        <v>44964</v>
      </c>
      <c r="D2576" t="inlineStr">
        <is>
          <t>SPEC</t>
        </is>
      </c>
      <c r="E2576">
        <f>_xlfn.CONCAT(Tableau1[[#This Row],[SHORT TYPE]]," ",Tableau1[[#This Row],[NUMERO]]," ",Tableau1[[#This Row],[GAMME]]," ",Tableau1[[#This Row],[TYPE PRODUIT]]," ",Tableau1[[#This Row],[PUISSANCE]])</f>
        <v/>
      </c>
      <c r="G2576" t="inlineStr">
        <is>
          <t>GVL</t>
        </is>
      </c>
      <c r="H2576" t="inlineStr">
        <is>
          <t>UPS</t>
        </is>
      </c>
      <c r="I2576" t="inlineStr">
        <is>
          <t>400kVA</t>
        </is>
      </c>
      <c r="J2576" t="inlineStr">
        <is>
          <t>MATRION</t>
        </is>
      </c>
      <c r="K2576" t="inlineStr">
        <is>
          <t>CUIVRE</t>
        </is>
      </c>
      <c r="L2576">
        <f>_xlfn.XLOOKUP(Tableau1[[#This Row],[TYPE DE PIECE]],Tableau4[MATIERE],Tableau4[SHORT TYPE],"",0,1)</f>
        <v/>
      </c>
      <c r="N2576">
        <f>IF(ISERR(FIND("DECOUPE",Tableau1[[#This Row],[DESIGNATION]])),"","NEED REF")</f>
        <v/>
      </c>
    </row>
    <row r="2577">
      <c r="B2577" t="n">
        <v>34411424</v>
      </c>
      <c r="C2577" s="2" t="n">
        <v>44964</v>
      </c>
      <c r="D2577" t="inlineStr">
        <is>
          <t>SPEC</t>
        </is>
      </c>
      <c r="E2577">
        <f>_xlfn.CONCAT(Tableau1[[#This Row],[SHORT TYPE]]," ",Tableau1[[#This Row],[NUMERO]]," ",Tableau1[[#This Row],[GAMME]]," ",Tableau1[[#This Row],[TYPE PRODUIT]]," ",Tableau1[[#This Row],[PUISSANCE]])</f>
        <v/>
      </c>
      <c r="G2577" t="inlineStr">
        <is>
          <t>GVL</t>
        </is>
      </c>
      <c r="H2577" t="inlineStr">
        <is>
          <t>UPS</t>
        </is>
      </c>
      <c r="I2577" t="inlineStr">
        <is>
          <t>400kVA</t>
        </is>
      </c>
      <c r="J2577" t="inlineStr">
        <is>
          <t>MATRION</t>
        </is>
      </c>
      <c r="K2577" t="inlineStr">
        <is>
          <t>PLASTIQUE</t>
        </is>
      </c>
      <c r="L2577">
        <f>_xlfn.XLOOKUP(Tableau1[[#This Row],[TYPE DE PIECE]],Tableau4[MATIERE],Tableau4[SHORT TYPE],"",0,1)</f>
        <v/>
      </c>
      <c r="N2577">
        <f>IF(ISERR(FIND("DECOUPE",Tableau1[[#This Row],[DESIGNATION]])),"","NEED REF")</f>
        <v/>
      </c>
    </row>
    <row r="2578">
      <c r="B2578" t="n">
        <v>34411423</v>
      </c>
      <c r="C2578" s="2" t="n">
        <v>44964</v>
      </c>
      <c r="D2578" t="inlineStr">
        <is>
          <t>SPEC</t>
        </is>
      </c>
      <c r="E2578" t="inlineStr">
        <is>
          <t>ETQ 34411423  REGEN 250A ETIQUETTE PORTE</t>
        </is>
      </c>
      <c r="H2578" t="inlineStr">
        <is>
          <t>REGEN</t>
        </is>
      </c>
      <c r="I2578" t="inlineStr">
        <is>
          <t>250A</t>
        </is>
      </c>
      <c r="J2578" t="inlineStr">
        <is>
          <t>JAWORSKI</t>
        </is>
      </c>
      <c r="K2578" t="inlineStr">
        <is>
          <t>ETIQUETTE</t>
        </is>
      </c>
      <c r="L2578">
        <f>_xlfn.XLOOKUP(Tableau1[[#This Row],[TYPE DE PIECE]],Tableau4[MATIERE],Tableau4[SHORT TYPE],"",0,1)</f>
        <v/>
      </c>
      <c r="N2578">
        <f>IF(ISERR(FIND("DECOUPE",Tableau1[[#This Row],[DESIGNATION]])),"","NEED REF")</f>
        <v/>
      </c>
    </row>
    <row r="2579">
      <c r="B2579" t="n">
        <v>34411422</v>
      </c>
      <c r="C2579" s="2" t="n">
        <v>44964</v>
      </c>
      <c r="D2579" t="inlineStr">
        <is>
          <t>SPEC</t>
        </is>
      </c>
      <c r="E2579">
        <f>_xlfn.CONCAT(Tableau1[[#This Row],[SHORT TYPE]]," ",Tableau1[[#This Row],[NUMERO]]," ",Tableau1[[#This Row],[GAMME]]," ",Tableau1[[#This Row],[TYPE PRODUIT]]," ",Tableau1[[#This Row],[PUISSANCE]])</f>
        <v/>
      </c>
      <c r="G2579" t="inlineStr">
        <is>
          <t>GVL</t>
        </is>
      </c>
      <c r="H2579" t="inlineStr">
        <is>
          <t>UPS</t>
        </is>
      </c>
      <c r="I2579" t="inlineStr">
        <is>
          <t>400kVA</t>
        </is>
      </c>
      <c r="J2579" t="inlineStr">
        <is>
          <t>MATRION</t>
        </is>
      </c>
      <c r="K2579" t="inlineStr">
        <is>
          <t>CUIVRE</t>
        </is>
      </c>
      <c r="L2579">
        <f>_xlfn.XLOOKUP(Tableau1[[#This Row],[TYPE DE PIECE]],Tableau4[MATIERE],Tableau4[SHORT TYPE],"",0,1)</f>
        <v/>
      </c>
      <c r="N2579">
        <f>IF(ISERR(FIND("DECOUPE",Tableau1[[#This Row],[DESIGNATION]])),"","NEED REF")</f>
        <v/>
      </c>
    </row>
    <row r="2580">
      <c r="B2580" t="n">
        <v>34411421</v>
      </c>
      <c r="C2580" s="2" t="n">
        <v>44964</v>
      </c>
      <c r="D2580" t="inlineStr">
        <is>
          <t>SPEC</t>
        </is>
      </c>
      <c r="E2580">
        <f>_xlfn.CONCAT(Tableau1[[#This Row],[SHORT TYPE]]," ",Tableau1[[#This Row],[NUMERO]]," ",Tableau1[[#This Row],[GAMME]]," ",Tableau1[[#This Row],[TYPE PRODUIT]]," ",Tableau1[[#This Row],[PUISSANCE]])</f>
        <v/>
      </c>
      <c r="G2580" t="inlineStr">
        <is>
          <t>GVL</t>
        </is>
      </c>
      <c r="H2580" t="inlineStr">
        <is>
          <t>UPS</t>
        </is>
      </c>
      <c r="I2580" t="inlineStr">
        <is>
          <t>400kVA</t>
        </is>
      </c>
      <c r="J2580" t="inlineStr">
        <is>
          <t>MATRION</t>
        </is>
      </c>
      <c r="K2580" t="inlineStr">
        <is>
          <t>CUIVRE</t>
        </is>
      </c>
      <c r="L2580">
        <f>_xlfn.XLOOKUP(Tableau1[[#This Row],[TYPE DE PIECE]],Tableau4[MATIERE],Tableau4[SHORT TYPE],"",0,1)</f>
        <v/>
      </c>
      <c r="N2580">
        <f>IF(ISERR(FIND("DECOUPE",Tableau1[[#This Row],[DESIGNATION]])),"","NEED REF")</f>
        <v/>
      </c>
    </row>
    <row r="2581">
      <c r="B2581" t="n">
        <v>34411420</v>
      </c>
      <c r="C2581" s="2" t="n">
        <v>44964</v>
      </c>
      <c r="D2581" t="inlineStr">
        <is>
          <t>SPEC</t>
        </is>
      </c>
      <c r="E2581">
        <f>_xlfn.CONCAT(Tableau1[[#This Row],[SHORT TYPE]]," ",Tableau1[[#This Row],[NUMERO]]," ",Tableau1[[#This Row],[GAMME]]," ",Tableau1[[#This Row],[TYPE PRODUIT]]," ",Tableau1[[#This Row],[PUISSANCE]])</f>
        <v/>
      </c>
      <c r="G2581" t="inlineStr">
        <is>
          <t>GVL</t>
        </is>
      </c>
      <c r="H2581" t="inlineStr">
        <is>
          <t>UPS</t>
        </is>
      </c>
      <c r="I2581" t="inlineStr">
        <is>
          <t>400kVA</t>
        </is>
      </c>
      <c r="J2581" t="inlineStr">
        <is>
          <t>MATRION</t>
        </is>
      </c>
      <c r="K2581" t="inlineStr">
        <is>
          <t>CUIVRE</t>
        </is>
      </c>
      <c r="L2581">
        <f>_xlfn.XLOOKUP(Tableau1[[#This Row],[TYPE DE PIECE]],Tableau4[MATIERE],Tableau4[SHORT TYPE],"",0,1)</f>
        <v/>
      </c>
      <c r="N2581">
        <f>IF(ISERR(FIND("DECOUPE",Tableau1[[#This Row],[DESIGNATION]])),"","NEED REF")</f>
        <v/>
      </c>
    </row>
    <row r="2582">
      <c r="B2582" t="n">
        <v>34411419</v>
      </c>
      <c r="C2582" s="2" t="n">
        <v>44964</v>
      </c>
      <c r="D2582" t="inlineStr">
        <is>
          <t>SPEC</t>
        </is>
      </c>
      <c r="E2582">
        <f>_xlfn.CONCAT(Tableau1[[#This Row],[SHORT TYPE]]," ",Tableau1[[#This Row],[NUMERO]]," ",Tableau1[[#This Row],[GAMME]]," ",Tableau1[[#This Row],[TYPE PRODUIT]]," ",Tableau1[[#This Row],[PUISSANCE]])</f>
        <v/>
      </c>
      <c r="G2582" t="inlineStr">
        <is>
          <t>GVL</t>
        </is>
      </c>
      <c r="H2582" t="inlineStr">
        <is>
          <t>UPS</t>
        </is>
      </c>
      <c r="I2582" t="inlineStr">
        <is>
          <t>400kVA</t>
        </is>
      </c>
      <c r="J2582" t="inlineStr">
        <is>
          <t>MATRION</t>
        </is>
      </c>
      <c r="K2582" t="inlineStr">
        <is>
          <t>CUIVRE</t>
        </is>
      </c>
      <c r="L2582">
        <f>_xlfn.XLOOKUP(Tableau1[[#This Row],[TYPE DE PIECE]],Tableau4[MATIERE],Tableau4[SHORT TYPE],"",0,1)</f>
        <v/>
      </c>
      <c r="N2582">
        <f>IF(ISERR(FIND("DECOUPE",Tableau1[[#This Row],[DESIGNATION]])),"","NEED REF")</f>
        <v/>
      </c>
    </row>
    <row r="2583">
      <c r="B2583" t="n">
        <v>34411418</v>
      </c>
      <c r="C2583" s="2" t="n">
        <v>44964</v>
      </c>
      <c r="D2583" t="inlineStr">
        <is>
          <t>SPEC</t>
        </is>
      </c>
      <c r="E2583" t="inlineStr">
        <is>
          <t>SMT PLASTRON PLEIN GVEAC4</t>
        </is>
      </c>
      <c r="G2583" t="inlineStr">
        <is>
          <t>E3L/GVL</t>
        </is>
      </c>
      <c r="H2583" t="inlineStr">
        <is>
          <t>BYPASS</t>
        </is>
      </c>
      <c r="J2583" t="inlineStr">
        <is>
          <t>BERNARDEAU</t>
        </is>
      </c>
      <c r="K2583" t="inlineStr">
        <is>
          <t>METAL</t>
        </is>
      </c>
      <c r="L2583">
        <f>_xlfn.XLOOKUP(Tableau1[[#This Row],[TYPE DE PIECE]],Tableau4[MATIERE],Tableau4[SHORT TYPE],"",0,1)</f>
        <v/>
      </c>
      <c r="N2583">
        <f>IF(ISERR(FIND("DECOUPE",Tableau1[[#This Row],[DESIGNATION]])),"","NEED REF")</f>
        <v/>
      </c>
    </row>
    <row r="2584">
      <c r="B2584" t="n">
        <v>34411417</v>
      </c>
      <c r="C2584" s="2" t="n">
        <v>44964</v>
      </c>
      <c r="D2584" t="inlineStr">
        <is>
          <t>SPEC</t>
        </is>
      </c>
      <c r="E2584">
        <f>_xlfn.CONCAT(Tableau1[[#This Row],[SHORT TYPE]]," ",Tableau1[[#This Row],[NUMERO]]," ",Tableau1[[#This Row],[GAMME]]," ",Tableau1[[#This Row],[TYPE PRODUIT]]," ",Tableau1[[#This Row],[PUISSANCE]])</f>
        <v/>
      </c>
      <c r="G2584" t="inlineStr">
        <is>
          <t>GVL</t>
        </is>
      </c>
      <c r="H2584" t="inlineStr">
        <is>
          <t>UPS</t>
        </is>
      </c>
      <c r="I2584" t="inlineStr">
        <is>
          <t>400kVA</t>
        </is>
      </c>
      <c r="J2584" t="inlineStr">
        <is>
          <t>MATRION</t>
        </is>
      </c>
      <c r="K2584" t="inlineStr">
        <is>
          <t>CUIVRE</t>
        </is>
      </c>
      <c r="L2584">
        <f>_xlfn.XLOOKUP(Tableau1[[#This Row],[TYPE DE PIECE]],Tableau4[MATIERE],Tableau4[SHORT TYPE],"",0,1)</f>
        <v/>
      </c>
      <c r="N2584">
        <f>IF(ISERR(FIND("DECOUPE",Tableau1[[#This Row],[DESIGNATION]])),"","NEED REF")</f>
        <v/>
      </c>
    </row>
    <row r="2585">
      <c r="B2585" t="n">
        <v>34411416</v>
      </c>
      <c r="C2585" s="2" t="n">
        <v>44964</v>
      </c>
      <c r="D2585" t="inlineStr">
        <is>
          <t>SPEC</t>
        </is>
      </c>
      <c r="E2585">
        <f>_xlfn.CONCAT(Tableau1[[#This Row],[SHORT TYPE]]," ",Tableau1[[#This Row],[NUMERO]]," ",Tableau1[[#This Row],[GAMME]]," ",Tableau1[[#This Row],[TYPE PRODUIT]]," ",Tableau1[[#This Row],[PUISSANCE]])</f>
        <v/>
      </c>
      <c r="G2585" t="inlineStr">
        <is>
          <t>GVL</t>
        </is>
      </c>
      <c r="H2585" t="inlineStr">
        <is>
          <t>UPS</t>
        </is>
      </c>
      <c r="I2585" t="inlineStr">
        <is>
          <t>400kVA</t>
        </is>
      </c>
      <c r="J2585" t="inlineStr">
        <is>
          <t>MATRION</t>
        </is>
      </c>
      <c r="K2585" t="inlineStr">
        <is>
          <t>CUIVRE</t>
        </is>
      </c>
      <c r="L2585">
        <f>_xlfn.XLOOKUP(Tableau1[[#This Row],[TYPE DE PIECE]],Tableau4[MATIERE],Tableau4[SHORT TYPE],"",0,1)</f>
        <v/>
      </c>
      <c r="N2585">
        <f>IF(ISERR(FIND("DECOUPE",Tableau1[[#This Row],[DESIGNATION]])),"","NEED REF")</f>
        <v/>
      </c>
    </row>
    <row r="2586">
      <c r="B2586" t="n">
        <v>34411415</v>
      </c>
      <c r="C2586" s="2" t="n">
        <v>44964</v>
      </c>
      <c r="D2586" t="inlineStr">
        <is>
          <t>SPEC</t>
        </is>
      </c>
      <c r="E2586">
        <f>_xlfn.CONCAT(Tableau1[[#This Row],[SHORT TYPE]]," ",Tableau1[[#This Row],[NUMERO]]," ",Tableau1[[#This Row],[GAMME]]," ",Tableau1[[#This Row],[TYPE PRODUIT]]," ",Tableau1[[#This Row],[PUISSANCE]])</f>
        <v/>
      </c>
      <c r="G2586" t="inlineStr">
        <is>
          <t>GVL</t>
        </is>
      </c>
      <c r="H2586" t="inlineStr">
        <is>
          <t>UPS</t>
        </is>
      </c>
      <c r="I2586" t="inlineStr">
        <is>
          <t>400kVA</t>
        </is>
      </c>
      <c r="J2586" t="inlineStr">
        <is>
          <t>MATRION</t>
        </is>
      </c>
      <c r="K2586" t="inlineStr">
        <is>
          <t>CUIVRE</t>
        </is>
      </c>
      <c r="L2586">
        <f>_xlfn.XLOOKUP(Tableau1[[#This Row],[TYPE DE PIECE]],Tableau4[MATIERE],Tableau4[SHORT TYPE],"",0,1)</f>
        <v/>
      </c>
      <c r="N2586">
        <f>IF(ISERR(FIND("DECOUPE",Tableau1[[#This Row],[DESIGNATION]])),"","NEED REF")</f>
        <v/>
      </c>
    </row>
    <row r="2587">
      <c r="B2587" t="n">
        <v>34411414</v>
      </c>
      <c r="C2587" s="2" t="n">
        <v>44964</v>
      </c>
      <c r="D2587" t="inlineStr">
        <is>
          <t>SPEC</t>
        </is>
      </c>
      <c r="E2587">
        <f>_xlfn.CONCAT(Tableau1[[#This Row],[SHORT TYPE]]," ",Tableau1[[#This Row],[NUMERO]]," ",Tableau1[[#This Row],[GAMME]]," ",Tableau1[[#This Row],[TYPE PRODUIT]]," ",Tableau1[[#This Row],[PUISSANCE]])</f>
        <v/>
      </c>
      <c r="G2587" t="inlineStr">
        <is>
          <t>GVL</t>
        </is>
      </c>
      <c r="H2587" t="inlineStr">
        <is>
          <t>UPS</t>
        </is>
      </c>
      <c r="I2587" t="inlineStr">
        <is>
          <t>400kVA</t>
        </is>
      </c>
      <c r="J2587" t="inlineStr">
        <is>
          <t>MATRION</t>
        </is>
      </c>
      <c r="K2587" t="inlineStr">
        <is>
          <t>CUIVRE</t>
        </is>
      </c>
      <c r="L2587">
        <f>_xlfn.XLOOKUP(Tableau1[[#This Row],[TYPE DE PIECE]],Tableau4[MATIERE],Tableau4[SHORT TYPE],"",0,1)</f>
        <v/>
      </c>
      <c r="N2587">
        <f>IF(ISERR(FIND("DECOUPE",Tableau1[[#This Row],[DESIGNATION]])),"","NEED REF")</f>
        <v/>
      </c>
    </row>
    <row r="2588">
      <c r="B2588" t="n">
        <v>34411413</v>
      </c>
      <c r="C2588" s="2" t="n">
        <v>44963</v>
      </c>
      <c r="D2588" t="inlineStr">
        <is>
          <t>SPEC</t>
        </is>
      </c>
      <c r="E2588">
        <f>_xlfn.CONCAT(Tableau1[[#This Row],[SHORT TYPE]]," ",Tableau1[[#This Row],[NUMERO]]," ",Tableau1[[#This Row],[GAMME]]," ",Tableau1[[#This Row],[TYPE PRODUIT]]," ",Tableau1[[#This Row],[PUISSANCE]])</f>
        <v/>
      </c>
      <c r="G2588" t="inlineStr">
        <is>
          <t>GVL</t>
        </is>
      </c>
      <c r="H2588" t="inlineStr">
        <is>
          <t>UPS</t>
        </is>
      </c>
      <c r="I2588" t="inlineStr">
        <is>
          <t>400kVA</t>
        </is>
      </c>
      <c r="J2588" t="inlineStr">
        <is>
          <t>MATRION</t>
        </is>
      </c>
      <c r="K2588" t="inlineStr">
        <is>
          <t>CUIVRE</t>
        </is>
      </c>
      <c r="L2588">
        <f>_xlfn.XLOOKUP(Tableau1[[#This Row],[TYPE DE PIECE]],Tableau4[MATIERE],Tableau4[SHORT TYPE],"",0,1)</f>
        <v/>
      </c>
      <c r="N2588">
        <f>IF(ISERR(FIND("DECOUPE",Tableau1[[#This Row],[DESIGNATION]])),"","NEED REF")</f>
        <v/>
      </c>
    </row>
    <row r="2589">
      <c r="B2589" t="n">
        <v>34411412</v>
      </c>
      <c r="C2589" s="2" t="n">
        <v>44963</v>
      </c>
      <c r="D2589" t="inlineStr">
        <is>
          <t>SPEC</t>
        </is>
      </c>
      <c r="E2589">
        <f>_xlfn.CONCAT(Tableau1[[#This Row],[SHORT TYPE]]," ",Tableau1[[#This Row],[NUMERO]]," ",Tableau1[[#This Row],[GAMME]]," ",Tableau1[[#This Row],[TYPE PRODUIT]]," ",Tableau1[[#This Row],[PUISSANCE]])</f>
        <v/>
      </c>
      <c r="G2589" t="inlineStr">
        <is>
          <t>GVL</t>
        </is>
      </c>
      <c r="H2589" t="inlineStr">
        <is>
          <t>UPS</t>
        </is>
      </c>
      <c r="I2589" t="inlineStr">
        <is>
          <t>400kVA</t>
        </is>
      </c>
      <c r="J2589" t="inlineStr">
        <is>
          <t>MATRION</t>
        </is>
      </c>
      <c r="K2589" t="inlineStr">
        <is>
          <t>PLASTIQUE</t>
        </is>
      </c>
      <c r="L2589">
        <f>_xlfn.XLOOKUP(Tableau1[[#This Row],[TYPE DE PIECE]],Tableau4[MATIERE],Tableau4[SHORT TYPE],"",0,1)</f>
        <v/>
      </c>
      <c r="N2589">
        <f>IF(ISERR(FIND("DECOUPE",Tableau1[[#This Row],[DESIGNATION]])),"","NEED REF")</f>
        <v/>
      </c>
    </row>
    <row r="2590">
      <c r="B2590" t="n">
        <v>34411411</v>
      </c>
      <c r="C2590" s="2" t="n">
        <v>44963</v>
      </c>
      <c r="D2590" t="inlineStr">
        <is>
          <t>SPEC</t>
        </is>
      </c>
      <c r="E2590">
        <f>_xlfn.CONCAT(Tableau1[[#This Row],[SHORT TYPE]]," ",Tableau1[[#This Row],[NUMERO]]," ",Tableau1[[#This Row],[GAMME]]," ",Tableau1[[#This Row],[TYPE PRODUIT]]," ",Tableau1[[#This Row],[PUISSANCE]])</f>
        <v/>
      </c>
      <c r="G2590" t="inlineStr">
        <is>
          <t>GVL</t>
        </is>
      </c>
      <c r="H2590" t="inlineStr">
        <is>
          <t>UPS</t>
        </is>
      </c>
      <c r="I2590" t="inlineStr">
        <is>
          <t>400kVA</t>
        </is>
      </c>
      <c r="J2590" t="inlineStr">
        <is>
          <t>MATRION</t>
        </is>
      </c>
      <c r="K2590" t="inlineStr">
        <is>
          <t>CUIVRE</t>
        </is>
      </c>
      <c r="L2590">
        <f>_xlfn.XLOOKUP(Tableau1[[#This Row],[TYPE DE PIECE]],Tableau4[MATIERE],Tableau4[SHORT TYPE],"",0,1)</f>
        <v/>
      </c>
      <c r="N2590">
        <f>IF(ISERR(FIND("DECOUPE",Tableau1[[#This Row],[DESIGNATION]])),"","NEED REF")</f>
        <v/>
      </c>
    </row>
    <row r="2591">
      <c r="B2591" t="n">
        <v>34411410</v>
      </c>
      <c r="C2591" s="2" t="n">
        <v>44963</v>
      </c>
      <c r="D2591" t="inlineStr">
        <is>
          <t>SPEC</t>
        </is>
      </c>
      <c r="E2591" t="inlineStr">
        <is>
          <t>SWITCH MTZ32HA 4P + 4OF</t>
        </is>
      </c>
      <c r="G2591" t="inlineStr">
        <is>
          <t>E3L/GVL</t>
        </is>
      </c>
      <c r="H2591" t="inlineStr">
        <is>
          <t>BYPASS</t>
        </is>
      </c>
      <c r="J2591" t="inlineStr">
        <is>
          <t>BERNARDEAU</t>
        </is>
      </c>
      <c r="K2591" t="inlineStr">
        <is>
          <t>SCHNEIDER</t>
        </is>
      </c>
      <c r="L2591">
        <f>_xlfn.XLOOKUP(Tableau1[[#This Row],[TYPE DE PIECE]],Tableau4[MATIERE],Tableau4[SHORT TYPE],"",0,1)</f>
        <v/>
      </c>
      <c r="N2591">
        <f>IF(ISERR(FIND("DECOUPE",Tableau1[[#This Row],[DESIGNATION]])),"","NEED REF")</f>
        <v/>
      </c>
    </row>
    <row r="2592">
      <c r="B2592" t="n">
        <v>34411409</v>
      </c>
      <c r="C2592" s="2" t="n">
        <v>44963</v>
      </c>
      <c r="D2592" t="inlineStr">
        <is>
          <t>SPEC</t>
        </is>
      </c>
      <c r="E2592">
        <f>_xlfn.CONCAT(Tableau1[[#This Row],[SHORT TYPE]]," ",Tableau1[[#This Row],[NUMERO]]," ",Tableau1[[#This Row],[GAMME]]," ",Tableau1[[#This Row],[TYPE PRODUIT]]," ",Tableau1[[#This Row],[PUISSANCE]])</f>
        <v/>
      </c>
      <c r="G2592" t="inlineStr">
        <is>
          <t>GVL</t>
        </is>
      </c>
      <c r="H2592" t="inlineStr">
        <is>
          <t>UPS</t>
        </is>
      </c>
      <c r="I2592" t="inlineStr">
        <is>
          <t>400kVA</t>
        </is>
      </c>
      <c r="J2592" t="inlineStr">
        <is>
          <t>MATRION</t>
        </is>
      </c>
      <c r="K2592" t="inlineStr">
        <is>
          <t>CUIVRE</t>
        </is>
      </c>
      <c r="L2592">
        <f>_xlfn.XLOOKUP(Tableau1[[#This Row],[TYPE DE PIECE]],Tableau4[MATIERE],Tableau4[SHORT TYPE],"",0,1)</f>
        <v/>
      </c>
      <c r="N2592">
        <f>IF(ISERR(FIND("DECOUPE",Tableau1[[#This Row],[DESIGNATION]])),"","NEED REF")</f>
        <v/>
      </c>
    </row>
    <row r="2593">
      <c r="B2593" t="n">
        <v>34411408</v>
      </c>
      <c r="C2593" s="2" t="n">
        <v>44963</v>
      </c>
      <c r="D2593" t="inlineStr">
        <is>
          <t>SPEC</t>
        </is>
      </c>
      <c r="E2593">
        <f>_xlfn.CONCAT(Tableau1[[#This Row],[SHORT TYPE]]," ",Tableau1[[#This Row],[NUMERO]]," ",Tableau1[[#This Row],[GAMME]]," ",Tableau1[[#This Row],[TYPE PRODUIT]]," ",Tableau1[[#This Row],[PUISSANCE]])</f>
        <v/>
      </c>
      <c r="G2593" t="inlineStr">
        <is>
          <t>GVL</t>
        </is>
      </c>
      <c r="H2593" t="inlineStr">
        <is>
          <t>UPS</t>
        </is>
      </c>
      <c r="I2593" t="inlineStr">
        <is>
          <t>400kVA</t>
        </is>
      </c>
      <c r="J2593" t="inlineStr">
        <is>
          <t>MATRION</t>
        </is>
      </c>
      <c r="K2593" t="inlineStr">
        <is>
          <t>CUIVRE</t>
        </is>
      </c>
      <c r="L2593">
        <f>_xlfn.XLOOKUP(Tableau1[[#This Row],[TYPE DE PIECE]],Tableau4[MATIERE],Tableau4[SHORT TYPE],"",0,1)</f>
        <v/>
      </c>
      <c r="N2593">
        <f>IF(ISERR(FIND("DECOUPE",Tableau1[[#This Row],[DESIGNATION]])),"","NEED REF")</f>
        <v/>
      </c>
    </row>
    <row r="2594">
      <c r="B2594" t="n">
        <v>34411407</v>
      </c>
      <c r="C2594" s="2" t="n">
        <v>44960</v>
      </c>
      <c r="D2594" t="inlineStr">
        <is>
          <t>SPEC</t>
        </is>
      </c>
      <c r="E2594">
        <f>_xlfn.CONCAT(Tableau1[[#This Row],[SHORT TYPE]]," ",Tableau1[[#This Row],[NUMERO]]," ",Tableau1[[#This Row],[GAMME]]," ",Tableau1[[#This Row],[TYPE PRODUIT]]," ",Tableau1[[#This Row],[PUISSANCE]])</f>
        <v/>
      </c>
      <c r="G2594" t="inlineStr">
        <is>
          <t>GVL</t>
        </is>
      </c>
      <c r="H2594" t="inlineStr">
        <is>
          <t>UPS</t>
        </is>
      </c>
      <c r="I2594" t="inlineStr">
        <is>
          <t>400kVA</t>
        </is>
      </c>
      <c r="J2594" t="inlineStr">
        <is>
          <t>MATRION</t>
        </is>
      </c>
      <c r="K2594" t="inlineStr">
        <is>
          <t>METAL</t>
        </is>
      </c>
      <c r="L2594">
        <f>_xlfn.XLOOKUP(Tableau1[[#This Row],[TYPE DE PIECE]],Tableau4[MATIERE],Tableau4[SHORT TYPE],"",0,1)</f>
        <v/>
      </c>
      <c r="N2594">
        <f>IF(ISERR(FIND("DECOUPE",Tableau1[[#This Row],[DESIGNATION]])),"","NEED REF")</f>
        <v/>
      </c>
    </row>
    <row r="2595">
      <c r="B2595" t="n">
        <v>34411406</v>
      </c>
      <c r="C2595" s="2" t="n">
        <v>44960</v>
      </c>
      <c r="D2595" t="inlineStr">
        <is>
          <t>SPEC</t>
        </is>
      </c>
      <c r="E2595">
        <f>_xlfn.CONCAT(Tableau1[[#This Row],[SHORT TYPE]]," ",Tableau1[[#This Row],[NUMERO]]," ",Tableau1[[#This Row],[GAMME]]," ",Tableau1[[#This Row],[TYPE PRODUIT]]," ",Tableau1[[#This Row],[PUISSANCE]])</f>
        <v/>
      </c>
      <c r="G2595" t="inlineStr">
        <is>
          <t>GVL</t>
        </is>
      </c>
      <c r="H2595" t="inlineStr">
        <is>
          <t>UPS</t>
        </is>
      </c>
      <c r="I2595" t="inlineStr">
        <is>
          <t>400kVA</t>
        </is>
      </c>
      <c r="J2595" t="inlineStr">
        <is>
          <t>MATRION</t>
        </is>
      </c>
      <c r="K2595" t="inlineStr">
        <is>
          <t>METAL</t>
        </is>
      </c>
      <c r="L2595">
        <f>_xlfn.XLOOKUP(Tableau1[[#This Row],[TYPE DE PIECE]],Tableau4[MATIERE],Tableau4[SHORT TYPE],"",0,1)</f>
        <v/>
      </c>
      <c r="N2595">
        <f>IF(ISERR(FIND("DECOUPE",Tableau1[[#This Row],[DESIGNATION]])),"","NEED REF")</f>
        <v/>
      </c>
    </row>
    <row r="2596">
      <c r="B2596" t="n">
        <v>34411405</v>
      </c>
      <c r="C2596" s="2" t="n">
        <v>44960</v>
      </c>
      <c r="D2596" t="inlineStr">
        <is>
          <t>SPEC</t>
        </is>
      </c>
      <c r="E2596" t="inlineStr">
        <is>
          <t>SWITCH NS800NA 4P + 1OF</t>
        </is>
      </c>
      <c r="J2596" t="inlineStr">
        <is>
          <t>BERNARDEAU</t>
        </is>
      </c>
      <c r="L2596">
        <f>_xlfn.XLOOKUP(Tableau1[[#This Row],[TYPE DE PIECE]],Tableau4[MATIERE],Tableau4[SHORT TYPE],"",0,1)</f>
        <v/>
      </c>
      <c r="N2596">
        <f>IF(ISERR(FIND("DECOUPE",Tableau1[[#This Row],[DESIGNATION]])),"","NEED REF")</f>
        <v/>
      </c>
    </row>
    <row r="2597">
      <c r="B2597" t="n">
        <v>34411404</v>
      </c>
      <c r="C2597" s="2" t="n">
        <v>44960</v>
      </c>
      <c r="D2597" t="inlineStr">
        <is>
          <t>SPEC</t>
        </is>
      </c>
      <c r="E2597">
        <f>_xlfn.CONCAT(Tableau1[[#This Row],[SHORT TYPE]]," ",Tableau1[[#This Row],[NUMERO]]," ",Tableau1[[#This Row],[GAMME]]," ",Tableau1[[#This Row],[TYPE PRODUIT]]," ",Tableau1[[#This Row],[PUISSANCE]])</f>
        <v/>
      </c>
      <c r="G2597" t="inlineStr">
        <is>
          <t>GVL</t>
        </is>
      </c>
      <c r="H2597" t="inlineStr">
        <is>
          <t>UPS</t>
        </is>
      </c>
      <c r="I2597" t="inlineStr">
        <is>
          <t>400kVA</t>
        </is>
      </c>
      <c r="J2597" t="inlineStr">
        <is>
          <t>MATRION</t>
        </is>
      </c>
      <c r="K2597" t="inlineStr">
        <is>
          <t>CUIVRE</t>
        </is>
      </c>
      <c r="L2597">
        <f>_xlfn.XLOOKUP(Tableau1[[#This Row],[TYPE DE PIECE]],Tableau4[MATIERE],Tableau4[SHORT TYPE],"",0,1)</f>
        <v/>
      </c>
      <c r="N2597">
        <f>IF(ISERR(FIND("DECOUPE",Tableau1[[#This Row],[DESIGNATION]])),"","NEED REF")</f>
        <v/>
      </c>
    </row>
    <row r="2598">
      <c r="B2598" t="n">
        <v>34411403</v>
      </c>
      <c r="C2598" s="2" t="n">
        <v>44960</v>
      </c>
      <c r="D2598" t="inlineStr">
        <is>
          <t>SPEC</t>
        </is>
      </c>
      <c r="E2598" t="inlineStr">
        <is>
          <t>BARRE CUIVRE</t>
        </is>
      </c>
      <c r="G2598" t="inlineStr">
        <is>
          <t>E3L/GVL</t>
        </is>
      </c>
      <c r="H2598" t="inlineStr">
        <is>
          <t>BYPASS</t>
        </is>
      </c>
      <c r="J2598" t="inlineStr">
        <is>
          <t>BERNARDEAU</t>
        </is>
      </c>
      <c r="K2598" t="inlineStr">
        <is>
          <t>CUIVRE</t>
        </is>
      </c>
      <c r="L2598">
        <f>_xlfn.XLOOKUP(Tableau1[[#This Row],[TYPE DE PIECE]],Tableau4[MATIERE],Tableau4[SHORT TYPE],"",0,1)</f>
        <v/>
      </c>
      <c r="N2598">
        <f>IF(ISERR(FIND("DECOUPE",Tableau1[[#This Row],[DESIGNATION]])),"","NEED REF")</f>
        <v/>
      </c>
    </row>
    <row r="2599">
      <c r="B2599" t="n">
        <v>34411402</v>
      </c>
      <c r="C2599" s="2" t="n">
        <v>44960</v>
      </c>
      <c r="D2599" t="inlineStr">
        <is>
          <t>SPEC</t>
        </is>
      </c>
      <c r="E2599" t="inlineStr">
        <is>
          <t>BARRE CUIVRE</t>
        </is>
      </c>
      <c r="G2599" t="inlineStr">
        <is>
          <t>E3L/GVL</t>
        </is>
      </c>
      <c r="H2599" t="inlineStr">
        <is>
          <t>BYPASS</t>
        </is>
      </c>
      <c r="J2599" t="inlineStr">
        <is>
          <t>BERNARDEAU</t>
        </is>
      </c>
      <c r="K2599" t="inlineStr">
        <is>
          <t>CUIVRE</t>
        </is>
      </c>
      <c r="L2599">
        <f>_xlfn.XLOOKUP(Tableau1[[#This Row],[TYPE DE PIECE]],Tableau4[MATIERE],Tableau4[SHORT TYPE],"",0,1)</f>
        <v/>
      </c>
      <c r="N2599">
        <f>IF(ISERR(FIND("DECOUPE",Tableau1[[#This Row],[DESIGNATION]])),"","NEED REF")</f>
        <v/>
      </c>
    </row>
    <row r="2600">
      <c r="B2600" t="n">
        <v>34411401</v>
      </c>
      <c r="C2600" s="2" t="n">
        <v>44960</v>
      </c>
      <c r="D2600" t="inlineStr">
        <is>
          <t>SPEC</t>
        </is>
      </c>
      <c r="E2600" t="inlineStr">
        <is>
          <t>BARRE CUIVRE</t>
        </is>
      </c>
      <c r="G2600" t="inlineStr">
        <is>
          <t>E3L/GVL</t>
        </is>
      </c>
      <c r="H2600" t="inlineStr">
        <is>
          <t>BYPASS</t>
        </is>
      </c>
      <c r="J2600" t="inlineStr">
        <is>
          <t>BERNARDEAU</t>
        </is>
      </c>
      <c r="K2600" t="inlineStr">
        <is>
          <t>CUIVRE</t>
        </is>
      </c>
      <c r="L2600">
        <f>_xlfn.XLOOKUP(Tableau1[[#This Row],[TYPE DE PIECE]],Tableau4[MATIERE],Tableau4[SHORT TYPE],"",0,1)</f>
        <v/>
      </c>
      <c r="N2600">
        <f>IF(ISERR(FIND("DECOUPE",Tableau1[[#This Row],[DESIGNATION]])),"","NEED REF")</f>
        <v/>
      </c>
    </row>
    <row r="2601">
      <c r="B2601" t="n">
        <v>34411400</v>
      </c>
      <c r="C2601" s="2" t="n">
        <v>44960</v>
      </c>
      <c r="D2601" t="inlineStr">
        <is>
          <t>SPEC</t>
        </is>
      </c>
      <c r="E2601" t="inlineStr">
        <is>
          <t>BARRE CUIVRE</t>
        </is>
      </c>
      <c r="G2601" t="inlineStr">
        <is>
          <t>E3L/GVL</t>
        </is>
      </c>
      <c r="H2601" t="inlineStr">
        <is>
          <t>BYPASS</t>
        </is>
      </c>
      <c r="J2601" t="inlineStr">
        <is>
          <t>BERNARDEAU</t>
        </is>
      </c>
      <c r="K2601" t="inlineStr">
        <is>
          <t>CUIVRE</t>
        </is>
      </c>
      <c r="L2601">
        <f>_xlfn.XLOOKUP(Tableau1[[#This Row],[TYPE DE PIECE]],Tableau4[MATIERE],Tableau4[SHORT TYPE],"",0,1)</f>
        <v/>
      </c>
      <c r="N2601">
        <f>IF(ISERR(FIND("DECOUPE",Tableau1[[#This Row],[DESIGNATION]])),"","NEED REF")</f>
        <v/>
      </c>
    </row>
    <row r="2602">
      <c r="B2602" t="n">
        <v>34411399</v>
      </c>
      <c r="C2602" s="2" t="n">
        <v>44959</v>
      </c>
      <c r="D2602" t="inlineStr">
        <is>
          <t>SPEC</t>
        </is>
      </c>
      <c r="E2602" t="inlineStr">
        <is>
          <t>SE 34411399 MTZ2 2500A Micro.5.0X 3P 3d   + 1NC on SBP interface + CASTELL kit</t>
        </is>
      </c>
      <c r="G2602" t="inlineStr">
        <is>
          <t>GVL</t>
        </is>
      </c>
      <c r="H2602" t="inlineStr">
        <is>
          <t>UPS</t>
        </is>
      </c>
      <c r="I2602" t="inlineStr">
        <is>
          <t>400kVA</t>
        </is>
      </c>
      <c r="J2602" t="inlineStr">
        <is>
          <t>MATRION</t>
        </is>
      </c>
      <c r="K2602" t="inlineStr">
        <is>
          <t>SCHNEIDER</t>
        </is>
      </c>
      <c r="L2602">
        <f>_xlfn.XLOOKUP(Tableau1[[#This Row],[TYPE DE PIECE]],Tableau4[MATIERE],Tableau4[SHORT TYPE],"",0,1)</f>
        <v/>
      </c>
      <c r="N2602">
        <f>IF(ISERR(FIND("DECOUPE",Tableau1[[#This Row],[DESIGNATION]])),"","NEED REF")</f>
        <v/>
      </c>
    </row>
    <row r="2603">
      <c r="B2603" t="n">
        <v>34411398</v>
      </c>
      <c r="C2603" s="2" t="n">
        <v>44959</v>
      </c>
      <c r="D2603" t="inlineStr">
        <is>
          <t>SPEC</t>
        </is>
      </c>
      <c r="E2603">
        <f>_xlfn.CONCAT(Tableau1[[#This Row],[SHORT TYPE]]," ",Tableau1[[#This Row],[NUMERO]]," ",Tableau1[[#This Row],[GAMME]]," ",Tableau1[[#This Row],[TYPE PRODUIT]]," ",Tableau1[[#This Row],[PUISSANCE]])</f>
        <v/>
      </c>
      <c r="F2603" t="inlineStr">
        <is>
          <t>SE_NO 0102_SCHNEIDER ELECTRIC NORGE</t>
        </is>
      </c>
      <c r="G2603" t="inlineStr">
        <is>
          <t>GVS</t>
        </is>
      </c>
      <c r="H2603" t="inlineStr">
        <is>
          <t>UPS</t>
        </is>
      </c>
      <c r="I2603" t="inlineStr">
        <is>
          <t>40KW</t>
        </is>
      </c>
      <c r="J2603" t="inlineStr">
        <is>
          <t>JAWORSKI</t>
        </is>
      </c>
      <c r="K2603" t="inlineStr">
        <is>
          <t>METAL</t>
        </is>
      </c>
      <c r="L2603">
        <f>_xlfn.XLOOKUP(Tableau1[[#This Row],[TYPE DE PIECE]],Tableau4[MATIERE],Tableau4[SHORT TYPE],"",0,1)</f>
        <v/>
      </c>
      <c r="N2603">
        <f>IF(ISERR(FIND("DECOUPE",Tableau1[[#This Row],[DESIGNATION]])),"","NEED REF")</f>
        <v/>
      </c>
    </row>
    <row r="2604">
      <c r="B2604" t="n">
        <v>34411397</v>
      </c>
      <c r="C2604" s="2" t="n">
        <v>44959</v>
      </c>
      <c r="D2604" t="inlineStr">
        <is>
          <t>SPEC</t>
        </is>
      </c>
      <c r="E2604">
        <f>_xlfn.CONCAT(Tableau1[[#This Row],[SHORT TYPE]]," ",Tableau1[[#This Row],[NUMERO]]," ",Tableau1[[#This Row],[GAMME]]," ",Tableau1[[#This Row],[TYPE PRODUIT]]," ",Tableau1[[#This Row],[PUISSANCE]])</f>
        <v/>
      </c>
      <c r="G2604" t="inlineStr">
        <is>
          <t>GVL</t>
        </is>
      </c>
      <c r="H2604" t="inlineStr">
        <is>
          <t>UPS</t>
        </is>
      </c>
      <c r="I2604" t="inlineStr">
        <is>
          <t>400kVA</t>
        </is>
      </c>
      <c r="J2604" t="inlineStr">
        <is>
          <t>MATRION</t>
        </is>
      </c>
      <c r="K2604" t="inlineStr">
        <is>
          <t>CUIVRE</t>
        </is>
      </c>
      <c r="L2604">
        <f>_xlfn.XLOOKUP(Tableau1[[#This Row],[TYPE DE PIECE]],Tableau4[MATIERE],Tableau4[SHORT TYPE],"",0,1)</f>
        <v/>
      </c>
      <c r="N2604">
        <f>IF(ISERR(FIND("DECOUPE",Tableau1[[#This Row],[DESIGNATION]])),"","NEED REF")</f>
        <v/>
      </c>
    </row>
    <row r="2605">
      <c r="B2605" t="n">
        <v>34411396</v>
      </c>
      <c r="C2605" s="2" t="n">
        <v>44959</v>
      </c>
      <c r="D2605" t="inlineStr">
        <is>
          <t>SPEC</t>
        </is>
      </c>
      <c r="E2605">
        <f>_xlfn.CONCAT(Tableau1[[#This Row],[SHORT TYPE]]," ",Tableau1[[#This Row],[NUMERO]]," ",Tableau1[[#This Row],[GAMME]]," ",Tableau1[[#This Row],[TYPE PRODUIT]]," ",Tableau1[[#This Row],[PUISSANCE]])</f>
        <v/>
      </c>
      <c r="G2605" t="inlineStr">
        <is>
          <t>GVL</t>
        </is>
      </c>
      <c r="H2605" t="inlineStr">
        <is>
          <t>UPS</t>
        </is>
      </c>
      <c r="I2605" t="inlineStr">
        <is>
          <t>400kVA</t>
        </is>
      </c>
      <c r="J2605" t="inlineStr">
        <is>
          <t>MATRION</t>
        </is>
      </c>
      <c r="K2605" t="inlineStr">
        <is>
          <t>CUIVRE</t>
        </is>
      </c>
      <c r="L2605">
        <f>_xlfn.XLOOKUP(Tableau1[[#This Row],[TYPE DE PIECE]],Tableau4[MATIERE],Tableau4[SHORT TYPE],"",0,1)</f>
        <v/>
      </c>
      <c r="N2605">
        <f>IF(ISERR(FIND("DECOUPE",Tableau1[[#This Row],[DESIGNATION]])),"","NEED REF")</f>
        <v/>
      </c>
    </row>
    <row r="2606">
      <c r="B2606" t="n">
        <v>34411395</v>
      </c>
      <c r="C2606" s="2" t="n">
        <v>44959</v>
      </c>
      <c r="D2606" t="inlineStr">
        <is>
          <t>SPEC</t>
        </is>
      </c>
      <c r="E2606">
        <f>_xlfn.CONCAT(Tableau1[[#This Row],[SHORT TYPE]]," ",Tableau1[[#This Row],[NUMERO]]," ",Tableau1[[#This Row],[GAMME]]," ",Tableau1[[#This Row],[TYPE PRODUIT]]," ",Tableau1[[#This Row],[PUISSANCE]])</f>
        <v/>
      </c>
      <c r="G2606" t="inlineStr">
        <is>
          <t>GVL</t>
        </is>
      </c>
      <c r="H2606" t="inlineStr">
        <is>
          <t>UPS</t>
        </is>
      </c>
      <c r="I2606" t="inlineStr">
        <is>
          <t>400kVA</t>
        </is>
      </c>
      <c r="J2606" t="inlineStr">
        <is>
          <t>MATRION</t>
        </is>
      </c>
      <c r="K2606" t="inlineStr">
        <is>
          <t>CUIVRE</t>
        </is>
      </c>
      <c r="L2606">
        <f>_xlfn.XLOOKUP(Tableau1[[#This Row],[TYPE DE PIECE]],Tableau4[MATIERE],Tableau4[SHORT TYPE],"",0,1)</f>
        <v/>
      </c>
      <c r="N2606">
        <f>IF(ISERR(FIND("DECOUPE",Tableau1[[#This Row],[DESIGNATION]])),"","NEED REF")</f>
        <v/>
      </c>
    </row>
    <row r="2607">
      <c r="B2607" t="n">
        <v>34411394</v>
      </c>
      <c r="C2607" s="2" t="n">
        <v>44959</v>
      </c>
      <c r="D2607" t="inlineStr">
        <is>
          <t>SPEC</t>
        </is>
      </c>
      <c r="E2607">
        <f>_xlfn.CONCAT(Tableau1[[#This Row],[SHORT TYPE]]," ",Tableau1[[#This Row],[NUMERO]]," ",Tableau1[[#This Row],[GAMME]]," ",Tableau1[[#This Row],[TYPE PRODUIT]]," ",Tableau1[[#This Row],[PUISSANCE]])</f>
        <v/>
      </c>
      <c r="G2607" t="inlineStr">
        <is>
          <t>GVL</t>
        </is>
      </c>
      <c r="H2607" t="inlineStr">
        <is>
          <t>UPS</t>
        </is>
      </c>
      <c r="I2607" t="inlineStr">
        <is>
          <t>400kVA</t>
        </is>
      </c>
      <c r="J2607" t="inlineStr">
        <is>
          <t>MATRION</t>
        </is>
      </c>
      <c r="K2607" t="inlineStr">
        <is>
          <t>CUIVRE</t>
        </is>
      </c>
      <c r="L2607">
        <f>_xlfn.XLOOKUP(Tableau1[[#This Row],[TYPE DE PIECE]],Tableau4[MATIERE],Tableau4[SHORT TYPE],"",0,1)</f>
        <v/>
      </c>
      <c r="N2607">
        <f>IF(ISERR(FIND("DECOUPE",Tableau1[[#This Row],[DESIGNATION]])),"","NEED REF")</f>
        <v/>
      </c>
    </row>
    <row r="2608">
      <c r="B2608" t="n">
        <v>34411393</v>
      </c>
      <c r="C2608" s="2" t="n">
        <v>44959</v>
      </c>
      <c r="D2608" t="inlineStr">
        <is>
          <t>SPEC</t>
        </is>
      </c>
      <c r="E2608">
        <f>_xlfn.CONCAT(Tableau1[[#This Row],[SHORT TYPE]]," ",Tableau1[[#This Row],[NUMERO]]," ",Tableau1[[#This Row],[GAMME]]," ",Tableau1[[#This Row],[TYPE PRODUIT]]," ",Tableau1[[#This Row],[PUISSANCE]])</f>
        <v/>
      </c>
      <c r="G2608" t="inlineStr">
        <is>
          <t>GVL</t>
        </is>
      </c>
      <c r="H2608" t="inlineStr">
        <is>
          <t>UPS</t>
        </is>
      </c>
      <c r="I2608" t="inlineStr">
        <is>
          <t>400kVA</t>
        </is>
      </c>
      <c r="J2608" t="inlineStr">
        <is>
          <t>MATRION</t>
        </is>
      </c>
      <c r="K2608" t="inlineStr">
        <is>
          <t>CUIVRE</t>
        </is>
      </c>
      <c r="L2608">
        <f>_xlfn.XLOOKUP(Tableau1[[#This Row],[TYPE DE PIECE]],Tableau4[MATIERE],Tableau4[SHORT TYPE],"",0,1)</f>
        <v/>
      </c>
      <c r="N2608">
        <f>IF(ISERR(FIND("DECOUPE",Tableau1[[#This Row],[DESIGNATION]])),"","NEED REF")</f>
        <v/>
      </c>
    </row>
    <row r="2609">
      <c r="B2609" t="n">
        <v>34411392</v>
      </c>
      <c r="C2609" s="2" t="n">
        <v>44959</v>
      </c>
      <c r="D2609" t="inlineStr">
        <is>
          <t>SPEC</t>
        </is>
      </c>
      <c r="E2609">
        <f>_xlfn.CONCAT(Tableau1[[#This Row],[SHORT TYPE]]," ",Tableau1[[#This Row],[NUMERO]]," ",Tableau1[[#This Row],[GAMME]]," ",Tableau1[[#This Row],[TYPE PRODUIT]]," ",Tableau1[[#This Row],[PUISSANCE]])</f>
        <v/>
      </c>
      <c r="G2609" t="inlineStr">
        <is>
          <t>GVL</t>
        </is>
      </c>
      <c r="H2609" t="inlineStr">
        <is>
          <t>UPS</t>
        </is>
      </c>
      <c r="I2609" t="inlineStr">
        <is>
          <t>400kVA</t>
        </is>
      </c>
      <c r="J2609" t="inlineStr">
        <is>
          <t>MATRION</t>
        </is>
      </c>
      <c r="K2609" t="inlineStr">
        <is>
          <t>CUIVRE</t>
        </is>
      </c>
      <c r="L2609">
        <f>_xlfn.XLOOKUP(Tableau1[[#This Row],[TYPE DE PIECE]],Tableau4[MATIERE],Tableau4[SHORT TYPE],"",0,1)</f>
        <v/>
      </c>
      <c r="N2609">
        <f>IF(ISERR(FIND("DECOUPE",Tableau1[[#This Row],[DESIGNATION]])),"","NEED REF")</f>
        <v/>
      </c>
    </row>
    <row r="2610">
      <c r="B2610" t="n">
        <v>34411391</v>
      </c>
      <c r="C2610" s="2" t="n">
        <v>44959</v>
      </c>
      <c r="D2610" t="inlineStr">
        <is>
          <t>SPEC</t>
        </is>
      </c>
      <c r="E2610">
        <f>_xlfn.CONCAT(Tableau1[[#This Row],[SHORT TYPE]]," ",Tableau1[[#This Row],[NUMERO]]," ",Tableau1[[#This Row],[GAMME]]," ",Tableau1[[#This Row],[TYPE PRODUIT]]," ",Tableau1[[#This Row],[PUISSANCE]])</f>
        <v/>
      </c>
      <c r="G2610" t="inlineStr">
        <is>
          <t>GVL</t>
        </is>
      </c>
      <c r="H2610" t="inlineStr">
        <is>
          <t>UPS</t>
        </is>
      </c>
      <c r="I2610" t="inlineStr">
        <is>
          <t>400kVA</t>
        </is>
      </c>
      <c r="J2610" t="inlineStr">
        <is>
          <t>MATRION</t>
        </is>
      </c>
      <c r="K2610" t="inlineStr">
        <is>
          <t>CUIVRE</t>
        </is>
      </c>
      <c r="L2610">
        <f>_xlfn.XLOOKUP(Tableau1[[#This Row],[TYPE DE PIECE]],Tableau4[MATIERE],Tableau4[SHORT TYPE],"",0,1)</f>
        <v/>
      </c>
      <c r="N2610">
        <f>IF(ISERR(FIND("DECOUPE",Tableau1[[#This Row],[DESIGNATION]])),"","NEED REF")</f>
        <v/>
      </c>
    </row>
    <row r="2611">
      <c r="B2611" t="n">
        <v>34411390</v>
      </c>
      <c r="C2611" s="2" t="n">
        <v>44958</v>
      </c>
      <c r="D2611" t="inlineStr">
        <is>
          <t>SPEC</t>
        </is>
      </c>
      <c r="E2611">
        <f>_xlfn.CONCAT(Tableau1[[#This Row],[SHORT TYPE]]," ",Tableau1[[#This Row],[NUMERO]]," ",Tableau1[[#This Row],[GAMME]]," ",Tableau1[[#This Row],[TYPE PRODUIT]]," ",Tableau1[[#This Row],[PUISSANCE]])</f>
        <v/>
      </c>
      <c r="G2611" t="inlineStr">
        <is>
          <t>GVL</t>
        </is>
      </c>
      <c r="H2611" t="inlineStr">
        <is>
          <t>UPS</t>
        </is>
      </c>
      <c r="I2611" t="inlineStr">
        <is>
          <t>400kVA</t>
        </is>
      </c>
      <c r="J2611" t="inlineStr">
        <is>
          <t>MATRION</t>
        </is>
      </c>
      <c r="K2611" t="inlineStr">
        <is>
          <t>CUIVRE</t>
        </is>
      </c>
      <c r="L2611">
        <f>_xlfn.XLOOKUP(Tableau1[[#This Row],[TYPE DE PIECE]],Tableau4[MATIERE],Tableau4[SHORT TYPE],"",0,1)</f>
        <v/>
      </c>
      <c r="N2611">
        <f>IF(ISERR(FIND("DECOUPE",Tableau1[[#This Row],[DESIGNATION]])),"","NEED REF")</f>
        <v/>
      </c>
    </row>
    <row r="2612">
      <c r="B2612" t="n">
        <v>34411389</v>
      </c>
      <c r="C2612" s="2" t="n">
        <v>44958</v>
      </c>
      <c r="D2612" t="inlineStr">
        <is>
          <t>SPEC</t>
        </is>
      </c>
      <c r="E2612">
        <f>_xlfn.CONCAT(Tableau1[[#This Row],[SHORT TYPE]]," ",Tableau1[[#This Row],[NUMERO]]," ",Tableau1[[#This Row],[GAMME]]," ",Tableau1[[#This Row],[TYPE PRODUIT]]," ",Tableau1[[#This Row],[PUISSANCE]])</f>
        <v/>
      </c>
      <c r="G2612" t="inlineStr">
        <is>
          <t>GVL</t>
        </is>
      </c>
      <c r="H2612" t="inlineStr">
        <is>
          <t>UPS</t>
        </is>
      </c>
      <c r="I2612" t="inlineStr">
        <is>
          <t>400kVA</t>
        </is>
      </c>
      <c r="J2612" t="inlineStr">
        <is>
          <t>MATRION</t>
        </is>
      </c>
      <c r="K2612" t="inlineStr">
        <is>
          <t>CUIVRE</t>
        </is>
      </c>
      <c r="L2612">
        <f>_xlfn.XLOOKUP(Tableau1[[#This Row],[TYPE DE PIECE]],Tableau4[MATIERE],Tableau4[SHORT TYPE],"",0,1)</f>
        <v/>
      </c>
      <c r="N2612">
        <f>IF(ISERR(FIND("DECOUPE",Tableau1[[#This Row],[DESIGNATION]])),"","NEED REF")</f>
        <v/>
      </c>
    </row>
    <row r="2613">
      <c r="B2613" t="n">
        <v>34411388</v>
      </c>
      <c r="C2613" s="2" t="n">
        <v>44958</v>
      </c>
      <c r="D2613" t="inlineStr">
        <is>
          <t>SPEC</t>
        </is>
      </c>
      <c r="E2613">
        <f>_xlfn.CONCAT(Tableau1[[#This Row],[SHORT TYPE]]," ",Tableau1[[#This Row],[NUMERO]]," ",Tableau1[[#This Row],[GAMME]]," ",Tableau1[[#This Row],[TYPE PRODUIT]]," ",Tableau1[[#This Row],[PUISSANCE]])</f>
        <v/>
      </c>
      <c r="G2613" t="inlineStr">
        <is>
          <t>GVL</t>
        </is>
      </c>
      <c r="H2613" t="inlineStr">
        <is>
          <t>UPS</t>
        </is>
      </c>
      <c r="I2613" t="inlineStr">
        <is>
          <t>400kVA</t>
        </is>
      </c>
      <c r="J2613" t="inlineStr">
        <is>
          <t>MATRION</t>
        </is>
      </c>
      <c r="K2613" t="inlineStr">
        <is>
          <t>CUIVRE</t>
        </is>
      </c>
      <c r="L2613">
        <f>_xlfn.XLOOKUP(Tableau1[[#This Row],[TYPE DE PIECE]],Tableau4[MATIERE],Tableau4[SHORT TYPE],"",0,1)</f>
        <v/>
      </c>
      <c r="N2613">
        <f>IF(ISERR(FIND("DECOUPE",Tableau1[[#This Row],[DESIGNATION]])),"","NEED REF")</f>
        <v/>
      </c>
    </row>
    <row r="2614">
      <c r="B2614" t="n">
        <v>34411387</v>
      </c>
      <c r="C2614" s="2" t="n">
        <v>44958</v>
      </c>
      <c r="D2614" t="inlineStr">
        <is>
          <t>SPEC</t>
        </is>
      </c>
      <c r="E2614">
        <f>_xlfn.CONCAT(Tableau1[[#This Row],[SHORT TYPE]]," ",Tableau1[[#This Row],[NUMERO]]," ",Tableau1[[#This Row],[GAMME]]," ",Tableau1[[#This Row],[TYPE PRODUIT]]," ",Tableau1[[#This Row],[PUISSANCE]])</f>
        <v/>
      </c>
      <c r="G2614" t="inlineStr">
        <is>
          <t>GVL</t>
        </is>
      </c>
      <c r="H2614" t="inlineStr">
        <is>
          <t>UPS</t>
        </is>
      </c>
      <c r="I2614" t="inlineStr">
        <is>
          <t>400kVA</t>
        </is>
      </c>
      <c r="J2614" t="inlineStr">
        <is>
          <t>MATRION</t>
        </is>
      </c>
      <c r="K2614" t="inlineStr">
        <is>
          <t>CUIVRE</t>
        </is>
      </c>
      <c r="L2614">
        <f>_xlfn.XLOOKUP(Tableau1[[#This Row],[TYPE DE PIECE]],Tableau4[MATIERE],Tableau4[SHORT TYPE],"",0,1)</f>
        <v/>
      </c>
      <c r="N2614">
        <f>IF(ISERR(FIND("DECOUPE",Tableau1[[#This Row],[DESIGNATION]])),"","NEED REF")</f>
        <v/>
      </c>
    </row>
    <row r="2615">
      <c r="B2615" t="n">
        <v>34411386</v>
      </c>
      <c r="C2615" s="2" t="n">
        <v>44958</v>
      </c>
      <c r="D2615" t="inlineStr">
        <is>
          <t>SPEC</t>
        </is>
      </c>
      <c r="E2615">
        <f>_xlfn.CONCAT(Tableau1[[#This Row],[SHORT TYPE]]," ",Tableau1[[#This Row],[NUMERO]]," ",Tableau1[[#This Row],[GAMME]]," ",Tableau1[[#This Row],[TYPE PRODUIT]]," ",Tableau1[[#This Row],[PUISSANCE]])</f>
        <v/>
      </c>
      <c r="G2615" t="inlineStr">
        <is>
          <t>GVL</t>
        </is>
      </c>
      <c r="H2615" t="inlineStr">
        <is>
          <t>UPS</t>
        </is>
      </c>
      <c r="I2615" t="inlineStr">
        <is>
          <t>400kVA</t>
        </is>
      </c>
      <c r="J2615" t="inlineStr">
        <is>
          <t>MATRION</t>
        </is>
      </c>
      <c r="K2615" t="inlineStr">
        <is>
          <t>CUIVRE</t>
        </is>
      </c>
      <c r="L2615">
        <f>_xlfn.XLOOKUP(Tableau1[[#This Row],[TYPE DE PIECE]],Tableau4[MATIERE],Tableau4[SHORT TYPE],"",0,1)</f>
        <v/>
      </c>
      <c r="N2615">
        <f>IF(ISERR(FIND("DECOUPE",Tableau1[[#This Row],[DESIGNATION]])),"","NEED REF")</f>
        <v/>
      </c>
    </row>
    <row r="2616">
      <c r="B2616" t="n">
        <v>34411385</v>
      </c>
      <c r="C2616" s="2" t="n">
        <v>44958</v>
      </c>
      <c r="D2616" t="inlineStr">
        <is>
          <t>SPEC</t>
        </is>
      </c>
      <c r="E2616">
        <f>_xlfn.CONCAT(Tableau1[[#This Row],[SHORT TYPE]]," ",Tableau1[[#This Row],[NUMERO]]," ",Tableau1[[#This Row],[GAMME]]," ",Tableau1[[#This Row],[TYPE PRODUIT]]," ",Tableau1[[#This Row],[PUISSANCE]])</f>
        <v/>
      </c>
      <c r="G2616" t="inlineStr">
        <is>
          <t>GVL</t>
        </is>
      </c>
      <c r="H2616" t="inlineStr">
        <is>
          <t>UPS</t>
        </is>
      </c>
      <c r="I2616" t="inlineStr">
        <is>
          <t>400kVA</t>
        </is>
      </c>
      <c r="J2616" t="inlineStr">
        <is>
          <t>MATRION</t>
        </is>
      </c>
      <c r="K2616" t="inlineStr">
        <is>
          <t>CUIVRE</t>
        </is>
      </c>
      <c r="L2616">
        <f>_xlfn.XLOOKUP(Tableau1[[#This Row],[TYPE DE PIECE]],Tableau4[MATIERE],Tableau4[SHORT TYPE],"",0,1)</f>
        <v/>
      </c>
      <c r="N2616">
        <f>IF(ISERR(FIND("DECOUPE",Tableau1[[#This Row],[DESIGNATION]])),"","NEED REF")</f>
        <v/>
      </c>
    </row>
    <row r="2617">
      <c r="B2617" t="n">
        <v>34411384</v>
      </c>
      <c r="C2617" s="2" t="n">
        <v>44958</v>
      </c>
      <c r="D2617" t="inlineStr">
        <is>
          <t>SPEC</t>
        </is>
      </c>
      <c r="E2617">
        <f>_xlfn.CONCAT(Tableau1[[#This Row],[SHORT TYPE]]," ",Tableau1[[#This Row],[NUMERO]]," ",Tableau1[[#This Row],[GAMME]]," ",Tableau1[[#This Row],[TYPE PRODUIT]]," ",Tableau1[[#This Row],[PUISSANCE]])</f>
        <v/>
      </c>
      <c r="G2617" t="inlineStr">
        <is>
          <t>GVL</t>
        </is>
      </c>
      <c r="H2617" t="inlineStr">
        <is>
          <t>UPS</t>
        </is>
      </c>
      <c r="I2617" t="inlineStr">
        <is>
          <t>400kVA</t>
        </is>
      </c>
      <c r="J2617" t="inlineStr">
        <is>
          <t>MATRION</t>
        </is>
      </c>
      <c r="K2617" t="inlineStr">
        <is>
          <t>CUIVRE</t>
        </is>
      </c>
      <c r="L2617">
        <f>_xlfn.XLOOKUP(Tableau1[[#This Row],[TYPE DE PIECE]],Tableau4[MATIERE],Tableau4[SHORT TYPE],"",0,1)</f>
        <v/>
      </c>
      <c r="N2617">
        <f>IF(ISERR(FIND("DECOUPE",Tableau1[[#This Row],[DESIGNATION]])),"","NEED REF")</f>
        <v/>
      </c>
    </row>
    <row r="2618">
      <c r="B2618" t="n">
        <v>34411383</v>
      </c>
      <c r="C2618" s="2" t="n">
        <v>44958</v>
      </c>
      <c r="D2618" t="inlineStr">
        <is>
          <t>SPEC</t>
        </is>
      </c>
      <c r="E2618">
        <f>_xlfn.CONCAT(Tableau1[[#This Row],[SHORT TYPE]]," ",Tableau1[[#This Row],[NUMERO]]," ",Tableau1[[#This Row],[GAMME]]," ",Tableau1[[#This Row],[TYPE PRODUIT]]," ",Tableau1[[#This Row],[PUISSANCE]])</f>
        <v/>
      </c>
      <c r="G2618" t="inlineStr">
        <is>
          <t>GVL</t>
        </is>
      </c>
      <c r="H2618" t="inlineStr">
        <is>
          <t>UPS</t>
        </is>
      </c>
      <c r="I2618" t="inlineStr">
        <is>
          <t>400kVA</t>
        </is>
      </c>
      <c r="J2618" t="inlineStr">
        <is>
          <t>MATRION</t>
        </is>
      </c>
      <c r="K2618" t="inlineStr">
        <is>
          <t>CUIVRE</t>
        </is>
      </c>
      <c r="L2618">
        <f>_xlfn.XLOOKUP(Tableau1[[#This Row],[TYPE DE PIECE]],Tableau4[MATIERE],Tableau4[SHORT TYPE],"",0,1)</f>
        <v/>
      </c>
      <c r="N2618">
        <f>IF(ISERR(FIND("DECOUPE",Tableau1[[#This Row],[DESIGNATION]])),"","NEED REF")</f>
        <v/>
      </c>
    </row>
    <row r="2619">
      <c r="B2619" t="n">
        <v>34411382</v>
      </c>
      <c r="C2619" s="2" t="n">
        <v>44957</v>
      </c>
      <c r="D2619" t="inlineStr">
        <is>
          <t>SPEC</t>
        </is>
      </c>
      <c r="E2619">
        <f>_xlfn.CONCAT(Tableau1[[#This Row],[SHORT TYPE]]," ",Tableau1[[#This Row],[NUMERO]]," ",Tableau1[[#This Row],[GAMME]]," ",Tableau1[[#This Row],[TYPE PRODUIT]]," ",Tableau1[[#This Row],[PUISSANCE]])</f>
        <v/>
      </c>
      <c r="G2619" t="inlineStr">
        <is>
          <t>GVL</t>
        </is>
      </c>
      <c r="H2619" t="inlineStr">
        <is>
          <t>UPS</t>
        </is>
      </c>
      <c r="I2619" t="inlineStr">
        <is>
          <t>400kVA</t>
        </is>
      </c>
      <c r="J2619" t="inlineStr">
        <is>
          <t>MATRION</t>
        </is>
      </c>
      <c r="K2619" t="inlineStr">
        <is>
          <t>CUIVRE</t>
        </is>
      </c>
      <c r="L2619">
        <f>_xlfn.XLOOKUP(Tableau1[[#This Row],[TYPE DE PIECE]],Tableau4[MATIERE],Tableau4[SHORT TYPE],"",0,1)</f>
        <v/>
      </c>
      <c r="N2619">
        <f>IF(ISERR(FIND("DECOUPE",Tableau1[[#This Row],[DESIGNATION]])),"","NEED REF")</f>
        <v/>
      </c>
    </row>
    <row r="2620">
      <c r="B2620" t="n">
        <v>34411381</v>
      </c>
      <c r="C2620" s="2" t="n">
        <v>44957</v>
      </c>
      <c r="D2620" t="inlineStr">
        <is>
          <t>SPEC</t>
        </is>
      </c>
      <c r="E2620">
        <f>_xlfn.CONCAT(Tableau1[[#This Row],[SHORT TYPE]]," ",Tableau1[[#This Row],[NUMERO]]," ",Tableau1[[#This Row],[GAMME]]," ",Tableau1[[#This Row],[TYPE PRODUIT]]," ",Tableau1[[#This Row],[PUISSANCE]])</f>
        <v/>
      </c>
      <c r="G2620" t="inlineStr">
        <is>
          <t>GVL</t>
        </is>
      </c>
      <c r="H2620" t="inlineStr">
        <is>
          <t>UPS</t>
        </is>
      </c>
      <c r="I2620" t="inlineStr">
        <is>
          <t>400kVA</t>
        </is>
      </c>
      <c r="J2620" t="inlineStr">
        <is>
          <t>MATRION</t>
        </is>
      </c>
      <c r="K2620" t="inlineStr">
        <is>
          <t>CUIVRE</t>
        </is>
      </c>
      <c r="L2620">
        <f>_xlfn.XLOOKUP(Tableau1[[#This Row],[TYPE DE PIECE]],Tableau4[MATIERE],Tableau4[SHORT TYPE],"",0,1)</f>
        <v/>
      </c>
      <c r="N2620">
        <f>IF(ISERR(FIND("DECOUPE",Tableau1[[#This Row],[DESIGNATION]])),"","NEED REF")</f>
        <v/>
      </c>
    </row>
    <row r="2621">
      <c r="B2621" t="n">
        <v>34411380</v>
      </c>
      <c r="C2621" s="2" t="n">
        <v>44957</v>
      </c>
      <c r="D2621" t="inlineStr">
        <is>
          <t>SPEC</t>
        </is>
      </c>
      <c r="E2621">
        <f>_xlfn.CONCAT(Tableau1[[#This Row],[SHORT TYPE]]," ",Tableau1[[#This Row],[NUMERO]]," ",Tableau1[[#This Row],[GAMME]]," ",Tableau1[[#This Row],[TYPE PRODUIT]]," ",Tableau1[[#This Row],[PUISSANCE]])</f>
        <v/>
      </c>
      <c r="G2621" t="inlineStr">
        <is>
          <t>GVL</t>
        </is>
      </c>
      <c r="H2621" t="inlineStr">
        <is>
          <t>UPS</t>
        </is>
      </c>
      <c r="I2621" t="inlineStr">
        <is>
          <t>400kVA</t>
        </is>
      </c>
      <c r="J2621" t="inlineStr">
        <is>
          <t>MATRION</t>
        </is>
      </c>
      <c r="K2621" t="inlineStr">
        <is>
          <t>CUIVRE</t>
        </is>
      </c>
      <c r="L2621">
        <f>_xlfn.XLOOKUP(Tableau1[[#This Row],[TYPE DE PIECE]],Tableau4[MATIERE],Tableau4[SHORT TYPE],"",0,1)</f>
        <v/>
      </c>
      <c r="N2621">
        <f>IF(ISERR(FIND("DECOUPE",Tableau1[[#This Row],[DESIGNATION]])),"","NEED REF")</f>
        <v/>
      </c>
    </row>
    <row r="2622">
      <c r="B2622" t="n">
        <v>34411379</v>
      </c>
      <c r="C2622" s="2" t="n">
        <v>44957</v>
      </c>
      <c r="D2622" t="inlineStr">
        <is>
          <t>SPEC</t>
        </is>
      </c>
      <c r="E2622">
        <f>_xlfn.CONCAT(Tableau1[[#This Row],[SHORT TYPE]]," ",Tableau1[[#This Row],[NUMERO]]," ",Tableau1[[#This Row],[GAMME]]," ",Tableau1[[#This Row],[TYPE PRODUIT]]," ",Tableau1[[#This Row],[PUISSANCE]])</f>
        <v/>
      </c>
      <c r="G2622" t="inlineStr">
        <is>
          <t>GVL</t>
        </is>
      </c>
      <c r="H2622" t="inlineStr">
        <is>
          <t>UPS</t>
        </is>
      </c>
      <c r="I2622" t="inlineStr">
        <is>
          <t>400kVA</t>
        </is>
      </c>
      <c r="J2622" t="inlineStr">
        <is>
          <t>MATRION</t>
        </is>
      </c>
      <c r="K2622" t="inlineStr">
        <is>
          <t>CUIVRE</t>
        </is>
      </c>
      <c r="L2622">
        <f>_xlfn.XLOOKUP(Tableau1[[#This Row],[TYPE DE PIECE]],Tableau4[MATIERE],Tableau4[SHORT TYPE],"",0,1)</f>
        <v/>
      </c>
      <c r="N2622">
        <f>IF(ISERR(FIND("DECOUPE",Tableau1[[#This Row],[DESIGNATION]])),"","NEED REF")</f>
        <v/>
      </c>
    </row>
    <row r="2623">
      <c r="B2623" t="n">
        <v>34411378</v>
      </c>
      <c r="C2623" s="2" t="n">
        <v>44957</v>
      </c>
      <c r="D2623" t="inlineStr">
        <is>
          <t>SPEC</t>
        </is>
      </c>
      <c r="E2623">
        <f>_xlfn.CONCAT(Tableau1[[#This Row],[SHORT TYPE]]," ",Tableau1[[#This Row],[NUMERO]]," ",Tableau1[[#This Row],[GAMME]]," ",Tableau1[[#This Row],[TYPE PRODUIT]]," ",Tableau1[[#This Row],[PUISSANCE]])</f>
        <v/>
      </c>
      <c r="G2623" t="inlineStr">
        <is>
          <t>GVL</t>
        </is>
      </c>
      <c r="H2623" t="inlineStr">
        <is>
          <t>UPS</t>
        </is>
      </c>
      <c r="I2623" t="inlineStr">
        <is>
          <t>400kVA</t>
        </is>
      </c>
      <c r="J2623" t="inlineStr">
        <is>
          <t>MATRION</t>
        </is>
      </c>
      <c r="K2623" t="inlineStr">
        <is>
          <t>CUIVRE</t>
        </is>
      </c>
      <c r="L2623">
        <f>_xlfn.XLOOKUP(Tableau1[[#This Row],[TYPE DE PIECE]],Tableau4[MATIERE],Tableau4[SHORT TYPE],"",0,1)</f>
        <v/>
      </c>
      <c r="N2623">
        <f>IF(ISERR(FIND("DECOUPE",Tableau1[[#This Row],[DESIGNATION]])),"","NEED REF")</f>
        <v/>
      </c>
    </row>
    <row r="2624">
      <c r="B2624" t="n">
        <v>34411377</v>
      </c>
      <c r="C2624" s="2" t="n">
        <v>44957</v>
      </c>
      <c r="D2624" t="inlineStr">
        <is>
          <t>SPEC</t>
        </is>
      </c>
      <c r="E2624">
        <f>_xlfn.CONCAT(Tableau1[[#This Row],[SHORT TYPE]]," ",Tableau1[[#This Row],[NUMERO]]," ",Tableau1[[#This Row],[GAMME]]," ",Tableau1[[#This Row],[TYPE PRODUIT]]," ",Tableau1[[#This Row],[PUISSANCE]])</f>
        <v/>
      </c>
      <c r="G2624" t="inlineStr">
        <is>
          <t>GVL</t>
        </is>
      </c>
      <c r="H2624" t="inlineStr">
        <is>
          <t>UPS</t>
        </is>
      </c>
      <c r="I2624" t="inlineStr">
        <is>
          <t>400kVA</t>
        </is>
      </c>
      <c r="J2624" t="inlineStr">
        <is>
          <t>MATRION</t>
        </is>
      </c>
      <c r="K2624" t="inlineStr">
        <is>
          <t>CUIVRE</t>
        </is>
      </c>
      <c r="L2624">
        <f>_xlfn.XLOOKUP(Tableau1[[#This Row],[TYPE DE PIECE]],Tableau4[MATIERE],Tableau4[SHORT TYPE],"",0,1)</f>
        <v/>
      </c>
      <c r="N2624">
        <f>IF(ISERR(FIND("DECOUPE",Tableau1[[#This Row],[DESIGNATION]])),"","NEED REF")</f>
        <v/>
      </c>
    </row>
    <row r="2625">
      <c r="B2625" t="n">
        <v>34411376</v>
      </c>
      <c r="C2625" s="2" t="n">
        <v>44957</v>
      </c>
      <c r="D2625" t="inlineStr">
        <is>
          <t>SPEC</t>
        </is>
      </c>
      <c r="E2625">
        <f>_xlfn.CONCAT(Tableau1[[#This Row],[SHORT TYPE]]," ",Tableau1[[#This Row],[NUMERO]]," ",Tableau1[[#This Row],[GAMME]]," ",Tableau1[[#This Row],[TYPE PRODUIT]]," ",Tableau1[[#This Row],[PUISSANCE]])</f>
        <v/>
      </c>
      <c r="G2625" t="inlineStr">
        <is>
          <t>GVL</t>
        </is>
      </c>
      <c r="H2625" t="inlineStr">
        <is>
          <t>UPS</t>
        </is>
      </c>
      <c r="I2625" t="inlineStr">
        <is>
          <t>400kVA</t>
        </is>
      </c>
      <c r="J2625" t="inlineStr">
        <is>
          <t>MATRION</t>
        </is>
      </c>
      <c r="K2625" t="inlineStr">
        <is>
          <t>CUIVRE</t>
        </is>
      </c>
      <c r="L2625">
        <f>_xlfn.XLOOKUP(Tableau1[[#This Row],[TYPE DE PIECE]],Tableau4[MATIERE],Tableau4[SHORT TYPE],"",0,1)</f>
        <v/>
      </c>
      <c r="N2625">
        <f>IF(ISERR(FIND("DECOUPE",Tableau1[[#This Row],[DESIGNATION]])),"","NEED REF")</f>
        <v/>
      </c>
    </row>
    <row r="2626">
      <c r="B2626" t="n">
        <v>34411375</v>
      </c>
      <c r="C2626" s="2" t="n">
        <v>44957</v>
      </c>
      <c r="D2626" t="inlineStr">
        <is>
          <t>SPEC</t>
        </is>
      </c>
      <c r="E2626">
        <f>_xlfn.CONCAT(Tableau1[[#This Row],[SHORT TYPE]]," ",Tableau1[[#This Row],[NUMERO]]," ",Tableau1[[#This Row],[GAMME]]," ",Tableau1[[#This Row],[TYPE PRODUIT]]," ",Tableau1[[#This Row],[PUISSANCE]])</f>
        <v/>
      </c>
      <c r="G2626" t="inlineStr">
        <is>
          <t>GVL</t>
        </is>
      </c>
      <c r="H2626" t="inlineStr">
        <is>
          <t>UPS</t>
        </is>
      </c>
      <c r="I2626" t="inlineStr">
        <is>
          <t>400kVA</t>
        </is>
      </c>
      <c r="J2626" t="inlineStr">
        <is>
          <t>MATRION</t>
        </is>
      </c>
      <c r="K2626" t="inlineStr">
        <is>
          <t>CUIVRE</t>
        </is>
      </c>
      <c r="L2626">
        <f>_xlfn.XLOOKUP(Tableau1[[#This Row],[TYPE DE PIECE]],Tableau4[MATIERE],Tableau4[SHORT TYPE],"",0,1)</f>
        <v/>
      </c>
      <c r="N2626">
        <f>IF(ISERR(FIND("DECOUPE",Tableau1[[#This Row],[DESIGNATION]])),"","NEED REF")</f>
        <v/>
      </c>
    </row>
    <row r="2627">
      <c r="B2627" t="n">
        <v>34411374</v>
      </c>
      <c r="C2627" s="2" t="n">
        <v>44957</v>
      </c>
      <c r="D2627" t="inlineStr">
        <is>
          <t>SPEC</t>
        </is>
      </c>
      <c r="E2627">
        <f>_xlfn.CONCAT(Tableau1[[#This Row],[SHORT TYPE]]," ",Tableau1[[#This Row],[NUMERO]]," ",Tableau1[[#This Row],[GAMME]]," ",Tableau1[[#This Row],[TYPE PRODUIT]]," ",Tableau1[[#This Row],[PUISSANCE]])</f>
        <v/>
      </c>
      <c r="G2627" t="inlineStr">
        <is>
          <t>GVL</t>
        </is>
      </c>
      <c r="H2627" t="inlineStr">
        <is>
          <t>UPS</t>
        </is>
      </c>
      <c r="I2627" t="inlineStr">
        <is>
          <t>400kVA</t>
        </is>
      </c>
      <c r="J2627" t="inlineStr">
        <is>
          <t>MATRION</t>
        </is>
      </c>
      <c r="K2627" t="inlineStr">
        <is>
          <t>CUIVRE</t>
        </is>
      </c>
      <c r="L2627">
        <f>_xlfn.XLOOKUP(Tableau1[[#This Row],[TYPE DE PIECE]],Tableau4[MATIERE],Tableau4[SHORT TYPE],"",0,1)</f>
        <v/>
      </c>
      <c r="N2627">
        <f>IF(ISERR(FIND("DECOUPE",Tableau1[[#This Row],[DESIGNATION]])),"","NEED REF")</f>
        <v/>
      </c>
    </row>
    <row r="2628">
      <c r="B2628" t="n">
        <v>34411373</v>
      </c>
      <c r="C2628" s="2" t="n">
        <v>44957</v>
      </c>
      <c r="D2628" t="inlineStr">
        <is>
          <t>SPEC</t>
        </is>
      </c>
      <c r="E2628">
        <f>_xlfn.CONCAT(Tableau1[[#This Row],[SHORT TYPE]]," ",Tableau1[[#This Row],[NUMERO]]," ",Tableau1[[#This Row],[GAMME]]," ",Tableau1[[#This Row],[TYPE PRODUIT]]," ",Tableau1[[#This Row],[PUISSANCE]])</f>
        <v/>
      </c>
      <c r="G2628" t="inlineStr">
        <is>
          <t>GVL</t>
        </is>
      </c>
      <c r="H2628" t="inlineStr">
        <is>
          <t>UPS</t>
        </is>
      </c>
      <c r="I2628" t="inlineStr">
        <is>
          <t>400kVA</t>
        </is>
      </c>
      <c r="J2628" t="inlineStr">
        <is>
          <t>MATRION</t>
        </is>
      </c>
      <c r="K2628" t="inlineStr">
        <is>
          <t>CUIVRE</t>
        </is>
      </c>
      <c r="L2628">
        <f>_xlfn.XLOOKUP(Tableau1[[#This Row],[TYPE DE PIECE]],Tableau4[MATIERE],Tableau4[SHORT TYPE],"",0,1)</f>
        <v/>
      </c>
      <c r="N2628">
        <f>IF(ISERR(FIND("DECOUPE",Tableau1[[#This Row],[DESIGNATION]])),"","NEED REF")</f>
        <v/>
      </c>
    </row>
    <row r="2629">
      <c r="B2629" t="n">
        <v>34411372</v>
      </c>
      <c r="C2629" s="2" t="n">
        <v>44957</v>
      </c>
      <c r="D2629" t="inlineStr">
        <is>
          <t>SPEC</t>
        </is>
      </c>
      <c r="E2629">
        <f>_xlfn.CONCAT(Tableau1[[#This Row],[SHORT TYPE]]," ",Tableau1[[#This Row],[NUMERO]]," ",Tableau1[[#This Row],[GAMME]]," ",Tableau1[[#This Row],[TYPE PRODUIT]]," ",Tableau1[[#This Row],[PUISSANCE]])</f>
        <v/>
      </c>
      <c r="G2629" t="inlineStr">
        <is>
          <t>GVL</t>
        </is>
      </c>
      <c r="H2629" t="inlineStr">
        <is>
          <t>UPS</t>
        </is>
      </c>
      <c r="I2629" t="inlineStr">
        <is>
          <t>400kVA</t>
        </is>
      </c>
      <c r="J2629" t="inlineStr">
        <is>
          <t>MATRION</t>
        </is>
      </c>
      <c r="K2629" t="inlineStr">
        <is>
          <t>CUIVRE</t>
        </is>
      </c>
      <c r="L2629">
        <f>_xlfn.XLOOKUP(Tableau1[[#This Row],[TYPE DE PIECE]],Tableau4[MATIERE],Tableau4[SHORT TYPE],"",0,1)</f>
        <v/>
      </c>
      <c r="N2629">
        <f>IF(ISERR(FIND("DECOUPE",Tableau1[[#This Row],[DESIGNATION]])),"","NEED REF")</f>
        <v/>
      </c>
    </row>
    <row r="2630">
      <c r="B2630" t="n">
        <v>34411371</v>
      </c>
      <c r="C2630" s="2" t="n">
        <v>44957</v>
      </c>
      <c r="D2630" t="inlineStr">
        <is>
          <t>SPEC</t>
        </is>
      </c>
      <c r="E2630">
        <f>_xlfn.CONCAT(Tableau1[[#This Row],[SHORT TYPE]]," ",Tableau1[[#This Row],[NUMERO]]," ",Tableau1[[#This Row],[GAMME]]," ",Tableau1[[#This Row],[TYPE PRODUIT]]," ",Tableau1[[#This Row],[PUISSANCE]])</f>
        <v/>
      </c>
      <c r="G2630" t="inlineStr">
        <is>
          <t>GVL</t>
        </is>
      </c>
      <c r="H2630" t="inlineStr">
        <is>
          <t>UPS</t>
        </is>
      </c>
      <c r="I2630" t="inlineStr">
        <is>
          <t>400kVA</t>
        </is>
      </c>
      <c r="J2630" t="inlineStr">
        <is>
          <t>MATRION</t>
        </is>
      </c>
      <c r="K2630" t="inlineStr">
        <is>
          <t>CUIVRE</t>
        </is>
      </c>
      <c r="L2630">
        <f>_xlfn.XLOOKUP(Tableau1[[#This Row],[TYPE DE PIECE]],Tableau4[MATIERE],Tableau4[SHORT TYPE],"",0,1)</f>
        <v/>
      </c>
      <c r="N2630">
        <f>IF(ISERR(FIND("DECOUPE",Tableau1[[#This Row],[DESIGNATION]])),"","NEED REF")</f>
        <v/>
      </c>
    </row>
    <row r="2631">
      <c r="B2631" t="n">
        <v>34411370</v>
      </c>
      <c r="C2631" s="2" t="n">
        <v>44957</v>
      </c>
      <c r="D2631" t="inlineStr">
        <is>
          <t>SPEC</t>
        </is>
      </c>
      <c r="E2631">
        <f>_xlfn.CONCAT(Tableau1[[#This Row],[SHORT TYPE]]," ",Tableau1[[#This Row],[NUMERO]]," ",Tableau1[[#This Row],[GAMME]]," ",Tableau1[[#This Row],[TYPE PRODUIT]]," ",Tableau1[[#This Row],[PUISSANCE]])</f>
        <v/>
      </c>
      <c r="G2631" t="inlineStr">
        <is>
          <t>GVL</t>
        </is>
      </c>
      <c r="H2631" t="inlineStr">
        <is>
          <t>UPS</t>
        </is>
      </c>
      <c r="I2631" t="inlineStr">
        <is>
          <t>400kVA</t>
        </is>
      </c>
      <c r="J2631" t="inlineStr">
        <is>
          <t>MATRION</t>
        </is>
      </c>
      <c r="K2631" t="inlineStr">
        <is>
          <t>CUIVRE</t>
        </is>
      </c>
      <c r="L2631">
        <f>_xlfn.XLOOKUP(Tableau1[[#This Row],[TYPE DE PIECE]],Tableau4[MATIERE],Tableau4[SHORT TYPE],"",0,1)</f>
        <v/>
      </c>
      <c r="N2631">
        <f>IF(ISERR(FIND("DECOUPE",Tableau1[[#This Row],[DESIGNATION]])),"","NEED REF")</f>
        <v/>
      </c>
    </row>
    <row r="2632">
      <c r="B2632" t="n">
        <v>34411369</v>
      </c>
      <c r="C2632" s="2" t="n">
        <v>44957</v>
      </c>
      <c r="D2632" t="inlineStr">
        <is>
          <t>SPEC</t>
        </is>
      </c>
      <c r="E2632">
        <f>_xlfn.CONCAT(Tableau1[[#This Row],[SHORT TYPE]]," ",Tableau1[[#This Row],[NUMERO]]," ",Tableau1[[#This Row],[GAMME]]," ",Tableau1[[#This Row],[TYPE PRODUIT]]," ",Tableau1[[#This Row],[PUISSANCE]])</f>
        <v/>
      </c>
      <c r="G2632" t="inlineStr">
        <is>
          <t>GVL</t>
        </is>
      </c>
      <c r="H2632" t="inlineStr">
        <is>
          <t>UPS</t>
        </is>
      </c>
      <c r="I2632" t="inlineStr">
        <is>
          <t>400kVA</t>
        </is>
      </c>
      <c r="J2632" t="inlineStr">
        <is>
          <t>MATRION</t>
        </is>
      </c>
      <c r="K2632" t="inlineStr">
        <is>
          <t>CUIVRE</t>
        </is>
      </c>
      <c r="L2632">
        <f>_xlfn.XLOOKUP(Tableau1[[#This Row],[TYPE DE PIECE]],Tableau4[MATIERE],Tableau4[SHORT TYPE],"",0,1)</f>
        <v/>
      </c>
      <c r="N2632">
        <f>IF(ISERR(FIND("DECOUPE",Tableau1[[#This Row],[DESIGNATION]])),"","NEED REF")</f>
        <v/>
      </c>
    </row>
    <row r="2633">
      <c r="B2633" t="n">
        <v>34411368</v>
      </c>
      <c r="C2633" s="2" t="n">
        <v>44957</v>
      </c>
      <c r="D2633" t="inlineStr">
        <is>
          <t>SPEC</t>
        </is>
      </c>
      <c r="E2633">
        <f>_xlfn.CONCAT(Tableau1[[#This Row],[SHORT TYPE]]," ",Tableau1[[#This Row],[NUMERO]]," ",Tableau1[[#This Row],[GAMME]]," ",Tableau1[[#This Row],[TYPE PRODUIT]]," ",Tableau1[[#This Row],[PUISSANCE]])</f>
        <v/>
      </c>
      <c r="G2633" t="inlineStr">
        <is>
          <t>GVL</t>
        </is>
      </c>
      <c r="H2633" t="inlineStr">
        <is>
          <t>UPS</t>
        </is>
      </c>
      <c r="I2633" t="inlineStr">
        <is>
          <t>400kVA</t>
        </is>
      </c>
      <c r="J2633" t="inlineStr">
        <is>
          <t>MATRION</t>
        </is>
      </c>
      <c r="K2633" t="inlineStr">
        <is>
          <t>CUIVRE</t>
        </is>
      </c>
      <c r="L2633">
        <f>_xlfn.XLOOKUP(Tableau1[[#This Row],[TYPE DE PIECE]],Tableau4[MATIERE],Tableau4[SHORT TYPE],"",0,1)</f>
        <v/>
      </c>
      <c r="N2633">
        <f>IF(ISERR(FIND("DECOUPE",Tableau1[[#This Row],[DESIGNATION]])),"","NEED REF")</f>
        <v/>
      </c>
    </row>
    <row r="2634">
      <c r="B2634" t="n">
        <v>34411367</v>
      </c>
      <c r="C2634" s="2" t="n">
        <v>44957</v>
      </c>
      <c r="D2634" t="inlineStr">
        <is>
          <t>SPEC</t>
        </is>
      </c>
      <c r="E2634">
        <f>_xlfn.CONCAT(Tableau1[[#This Row],[SHORT TYPE]]," ",Tableau1[[#This Row],[NUMERO]]," ",Tableau1[[#This Row],[GAMME]]," ",Tableau1[[#This Row],[TYPE PRODUIT]]," ",Tableau1[[#This Row],[PUISSANCE]])</f>
        <v/>
      </c>
      <c r="G2634" t="inlineStr">
        <is>
          <t>GVL</t>
        </is>
      </c>
      <c r="H2634" t="inlineStr">
        <is>
          <t>UPS</t>
        </is>
      </c>
      <c r="I2634" t="inlineStr">
        <is>
          <t>400kVA</t>
        </is>
      </c>
      <c r="J2634" t="inlineStr">
        <is>
          <t>MATRION</t>
        </is>
      </c>
      <c r="K2634" t="inlineStr">
        <is>
          <t>CUIVRE</t>
        </is>
      </c>
      <c r="L2634">
        <f>_xlfn.XLOOKUP(Tableau1[[#This Row],[TYPE DE PIECE]],Tableau4[MATIERE],Tableau4[SHORT TYPE],"",0,1)</f>
        <v/>
      </c>
      <c r="N2634">
        <f>IF(ISERR(FIND("DECOUPE",Tableau1[[#This Row],[DESIGNATION]])),"","NEED REF")</f>
        <v/>
      </c>
    </row>
    <row r="2635">
      <c r="B2635" t="n">
        <v>34411366</v>
      </c>
      <c r="C2635" s="2" t="n">
        <v>44957</v>
      </c>
      <c r="D2635" t="inlineStr">
        <is>
          <t>SPEC</t>
        </is>
      </c>
      <c r="E2635">
        <f>_xlfn.CONCAT(Tableau1[[#This Row],[SHORT TYPE]]," ",Tableau1[[#This Row],[NUMERO]]," ",Tableau1[[#This Row],[GAMME]]," ",Tableau1[[#This Row],[TYPE PRODUIT]]," ",Tableau1[[#This Row],[PUISSANCE]])</f>
        <v/>
      </c>
      <c r="G2635" t="inlineStr">
        <is>
          <t>GVL</t>
        </is>
      </c>
      <c r="H2635" t="inlineStr">
        <is>
          <t>UPS</t>
        </is>
      </c>
      <c r="I2635" t="inlineStr">
        <is>
          <t>400kVA</t>
        </is>
      </c>
      <c r="J2635" t="inlineStr">
        <is>
          <t>MATRION</t>
        </is>
      </c>
      <c r="K2635" t="inlineStr">
        <is>
          <t>CUIVRE</t>
        </is>
      </c>
      <c r="L2635">
        <f>_xlfn.XLOOKUP(Tableau1[[#This Row],[TYPE DE PIECE]],Tableau4[MATIERE],Tableau4[SHORT TYPE],"",0,1)</f>
        <v/>
      </c>
      <c r="N2635">
        <f>IF(ISERR(FIND("DECOUPE",Tableau1[[#This Row],[DESIGNATION]])),"","NEED REF")</f>
        <v/>
      </c>
    </row>
    <row r="2636">
      <c r="B2636" t="n">
        <v>34411365</v>
      </c>
      <c r="C2636" s="2" t="n">
        <v>44957</v>
      </c>
      <c r="D2636" t="inlineStr">
        <is>
          <t>SPEC</t>
        </is>
      </c>
      <c r="E2636">
        <f>_xlfn.CONCAT(Tableau1[[#This Row],[SHORT TYPE]]," ",Tableau1[[#This Row],[NUMERO]]," ",Tableau1[[#This Row],[GAMME]]," ",Tableau1[[#This Row],[TYPE PRODUIT]]," ",Tableau1[[#This Row],[PUISSANCE]])</f>
        <v/>
      </c>
      <c r="G2636" t="inlineStr">
        <is>
          <t>GVL</t>
        </is>
      </c>
      <c r="H2636" t="inlineStr">
        <is>
          <t>UPS</t>
        </is>
      </c>
      <c r="I2636" t="inlineStr">
        <is>
          <t>400kVA</t>
        </is>
      </c>
      <c r="J2636" t="inlineStr">
        <is>
          <t>MATRION</t>
        </is>
      </c>
      <c r="K2636" t="inlineStr">
        <is>
          <t>CUIVRE</t>
        </is>
      </c>
      <c r="L2636">
        <f>_xlfn.XLOOKUP(Tableau1[[#This Row],[TYPE DE PIECE]],Tableau4[MATIERE],Tableau4[SHORT TYPE],"",0,1)</f>
        <v/>
      </c>
      <c r="N2636">
        <f>IF(ISERR(FIND("DECOUPE",Tableau1[[#This Row],[DESIGNATION]])),"","NEED REF")</f>
        <v/>
      </c>
    </row>
    <row r="2637">
      <c r="B2637" t="n">
        <v>34411364</v>
      </c>
      <c r="C2637" s="2" t="n">
        <v>44957</v>
      </c>
      <c r="D2637" t="inlineStr">
        <is>
          <t>SPEC</t>
        </is>
      </c>
      <c r="E2637">
        <f>_xlfn.CONCAT(Tableau1[[#This Row],[SHORT TYPE]]," ",Tableau1[[#This Row],[NUMERO]]," ",Tableau1[[#This Row],[GAMME]]," ",Tableau1[[#This Row],[TYPE PRODUIT]]," ",Tableau1[[#This Row],[PUISSANCE]])</f>
        <v/>
      </c>
      <c r="G2637" t="inlineStr">
        <is>
          <t>GVL</t>
        </is>
      </c>
      <c r="H2637" t="inlineStr">
        <is>
          <t>UPS</t>
        </is>
      </c>
      <c r="I2637" t="inlineStr">
        <is>
          <t>400kVA</t>
        </is>
      </c>
      <c r="J2637" t="inlineStr">
        <is>
          <t>MATRION</t>
        </is>
      </c>
      <c r="K2637" t="inlineStr">
        <is>
          <t>CUIVRE</t>
        </is>
      </c>
      <c r="L2637">
        <f>_xlfn.XLOOKUP(Tableau1[[#This Row],[TYPE DE PIECE]],Tableau4[MATIERE],Tableau4[SHORT TYPE],"",0,1)</f>
        <v/>
      </c>
      <c r="N2637">
        <f>IF(ISERR(FIND("DECOUPE",Tableau1[[#This Row],[DESIGNATION]])),"","NEED REF")</f>
        <v/>
      </c>
    </row>
    <row r="2638">
      <c r="B2638" t="n">
        <v>34411363</v>
      </c>
      <c r="C2638" s="2" t="n">
        <v>44957</v>
      </c>
      <c r="D2638" t="inlineStr">
        <is>
          <t>SPEC</t>
        </is>
      </c>
      <c r="E2638">
        <f>_xlfn.CONCAT(Tableau1[[#This Row],[SHORT TYPE]]," ",Tableau1[[#This Row],[NUMERO]]," ",Tableau1[[#This Row],[GAMME]]," ",Tableau1[[#This Row],[TYPE PRODUIT]]," ",Tableau1[[#This Row],[PUISSANCE]])</f>
        <v/>
      </c>
      <c r="G2638" t="inlineStr">
        <is>
          <t>GVL</t>
        </is>
      </c>
      <c r="H2638" t="inlineStr">
        <is>
          <t>UPS</t>
        </is>
      </c>
      <c r="I2638" t="inlineStr">
        <is>
          <t>400kVA</t>
        </is>
      </c>
      <c r="J2638" t="inlineStr">
        <is>
          <t>MATRION</t>
        </is>
      </c>
      <c r="K2638" t="inlineStr">
        <is>
          <t>CUIVRE</t>
        </is>
      </c>
      <c r="L2638">
        <f>_xlfn.XLOOKUP(Tableau1[[#This Row],[TYPE DE PIECE]],Tableau4[MATIERE],Tableau4[SHORT TYPE],"",0,1)</f>
        <v/>
      </c>
      <c r="N2638">
        <f>IF(ISERR(FIND("DECOUPE",Tableau1[[#This Row],[DESIGNATION]])),"","NEED REF")</f>
        <v/>
      </c>
    </row>
    <row r="2639">
      <c r="B2639" t="n">
        <v>34411362</v>
      </c>
      <c r="C2639" s="2" t="n">
        <v>44957</v>
      </c>
      <c r="D2639" t="inlineStr">
        <is>
          <t>SPEC</t>
        </is>
      </c>
      <c r="E2639">
        <f>_xlfn.CONCAT(Tableau1[[#This Row],[SHORT TYPE]]," ",Tableau1[[#This Row],[NUMERO]]," ",Tableau1[[#This Row],[GAMME]]," ",Tableau1[[#This Row],[TYPE PRODUIT]]," ",Tableau1[[#This Row],[PUISSANCE]])</f>
        <v/>
      </c>
      <c r="G2639" t="inlineStr">
        <is>
          <t>GVL</t>
        </is>
      </c>
      <c r="H2639" t="inlineStr">
        <is>
          <t>UPS</t>
        </is>
      </c>
      <c r="I2639" t="inlineStr">
        <is>
          <t>400kVA</t>
        </is>
      </c>
      <c r="J2639" t="inlineStr">
        <is>
          <t>MATRION</t>
        </is>
      </c>
      <c r="K2639" t="inlineStr">
        <is>
          <t>CUIVRE</t>
        </is>
      </c>
      <c r="L2639">
        <f>_xlfn.XLOOKUP(Tableau1[[#This Row],[TYPE DE PIECE]],Tableau4[MATIERE],Tableau4[SHORT TYPE],"",0,1)</f>
        <v/>
      </c>
      <c r="N2639">
        <f>IF(ISERR(FIND("DECOUPE",Tableau1[[#This Row],[DESIGNATION]])),"","NEED REF")</f>
        <v/>
      </c>
    </row>
    <row r="2640">
      <c r="B2640" t="n">
        <v>34411361</v>
      </c>
      <c r="C2640" s="2" t="n">
        <v>44957</v>
      </c>
      <c r="D2640" t="inlineStr">
        <is>
          <t>SPEC</t>
        </is>
      </c>
      <c r="E2640">
        <f>_xlfn.CONCAT(Tableau1[[#This Row],[SHORT TYPE]]," ",Tableau1[[#This Row],[NUMERO]]," ",Tableau1[[#This Row],[GAMME]]," ",Tableau1[[#This Row],[TYPE PRODUIT]]," ",Tableau1[[#This Row],[PUISSANCE]])</f>
        <v/>
      </c>
      <c r="G2640" t="inlineStr">
        <is>
          <t>GVL</t>
        </is>
      </c>
      <c r="H2640" t="inlineStr">
        <is>
          <t>UPS</t>
        </is>
      </c>
      <c r="I2640" t="inlineStr">
        <is>
          <t>400kVA</t>
        </is>
      </c>
      <c r="J2640" t="inlineStr">
        <is>
          <t>MATRION</t>
        </is>
      </c>
      <c r="K2640" t="inlineStr">
        <is>
          <t>CUIVRE</t>
        </is>
      </c>
      <c r="L2640">
        <f>_xlfn.XLOOKUP(Tableau1[[#This Row],[TYPE DE PIECE]],Tableau4[MATIERE],Tableau4[SHORT TYPE],"",0,1)</f>
        <v/>
      </c>
      <c r="N2640">
        <f>IF(ISERR(FIND("DECOUPE",Tableau1[[#This Row],[DESIGNATION]])),"","NEED REF")</f>
        <v/>
      </c>
    </row>
    <row r="2641">
      <c r="B2641" t="n">
        <v>34411360</v>
      </c>
      <c r="C2641" s="2" t="n">
        <v>44957</v>
      </c>
      <c r="D2641" t="inlineStr">
        <is>
          <t>SPEC</t>
        </is>
      </c>
      <c r="E2641">
        <f>_xlfn.CONCAT(Tableau1[[#This Row],[SHORT TYPE]]," ",Tableau1[[#This Row],[NUMERO]]," ",Tableau1[[#This Row],[GAMME]]," ",Tableau1[[#This Row],[TYPE PRODUIT]]," ",Tableau1[[#This Row],[PUISSANCE]])</f>
        <v/>
      </c>
      <c r="G2641" t="inlineStr">
        <is>
          <t>GVL</t>
        </is>
      </c>
      <c r="H2641" t="inlineStr">
        <is>
          <t>UPS</t>
        </is>
      </c>
      <c r="I2641" t="inlineStr">
        <is>
          <t>400kVA</t>
        </is>
      </c>
      <c r="J2641" t="inlineStr">
        <is>
          <t>MATRION</t>
        </is>
      </c>
      <c r="K2641" t="inlineStr">
        <is>
          <t>CUIVRE</t>
        </is>
      </c>
      <c r="L2641">
        <f>_xlfn.XLOOKUP(Tableau1[[#This Row],[TYPE DE PIECE]],Tableau4[MATIERE],Tableau4[SHORT TYPE],"",0,1)</f>
        <v/>
      </c>
      <c r="N2641">
        <f>IF(ISERR(FIND("DECOUPE",Tableau1[[#This Row],[DESIGNATION]])),"","NEED REF")</f>
        <v/>
      </c>
    </row>
    <row r="2642">
      <c r="B2642" t="n">
        <v>34411359</v>
      </c>
      <c r="C2642" s="2" t="n">
        <v>44957</v>
      </c>
      <c r="D2642" t="inlineStr">
        <is>
          <t>SPEC</t>
        </is>
      </c>
      <c r="E2642">
        <f>_xlfn.CONCAT(Tableau1[[#This Row],[SHORT TYPE]]," ",Tableau1[[#This Row],[NUMERO]]," ",Tableau1[[#This Row],[GAMME]]," ",Tableau1[[#This Row],[TYPE PRODUIT]]," ",Tableau1[[#This Row],[PUISSANCE]])</f>
        <v/>
      </c>
      <c r="G2642" t="inlineStr">
        <is>
          <t>GVL</t>
        </is>
      </c>
      <c r="H2642" t="inlineStr">
        <is>
          <t>UPS</t>
        </is>
      </c>
      <c r="I2642" t="inlineStr">
        <is>
          <t>400kVA</t>
        </is>
      </c>
      <c r="J2642" t="inlineStr">
        <is>
          <t>MATRION</t>
        </is>
      </c>
      <c r="K2642" t="inlineStr">
        <is>
          <t>CUIVRE</t>
        </is>
      </c>
      <c r="L2642">
        <f>_xlfn.XLOOKUP(Tableau1[[#This Row],[TYPE DE PIECE]],Tableau4[MATIERE],Tableau4[SHORT TYPE],"",0,1)</f>
        <v/>
      </c>
      <c r="N2642">
        <f>IF(ISERR(FIND("DECOUPE",Tableau1[[#This Row],[DESIGNATION]])),"","NEED REF")</f>
        <v/>
      </c>
    </row>
    <row r="2643">
      <c r="B2643" t="n">
        <v>34411358</v>
      </c>
      <c r="C2643" s="2" t="n">
        <v>44957</v>
      </c>
      <c r="D2643" t="inlineStr">
        <is>
          <t>SPEC</t>
        </is>
      </c>
      <c r="E2643">
        <f>_xlfn.CONCAT(Tableau1[[#This Row],[SHORT TYPE]]," ",Tableau1[[#This Row],[NUMERO]]," ",Tableau1[[#This Row],[GAMME]]," ",Tableau1[[#This Row],[TYPE PRODUIT]]," ",Tableau1[[#This Row],[PUISSANCE]])</f>
        <v/>
      </c>
      <c r="G2643" t="inlineStr">
        <is>
          <t>GVL</t>
        </is>
      </c>
      <c r="H2643" t="inlineStr">
        <is>
          <t>UPS</t>
        </is>
      </c>
      <c r="I2643" t="inlineStr">
        <is>
          <t>400kVA</t>
        </is>
      </c>
      <c r="J2643" t="inlineStr">
        <is>
          <t>MATRION</t>
        </is>
      </c>
      <c r="K2643" t="inlineStr">
        <is>
          <t>CUIVRE</t>
        </is>
      </c>
      <c r="L2643">
        <f>_xlfn.XLOOKUP(Tableau1[[#This Row],[TYPE DE PIECE]],Tableau4[MATIERE],Tableau4[SHORT TYPE],"",0,1)</f>
        <v/>
      </c>
      <c r="N2643">
        <f>IF(ISERR(FIND("DECOUPE",Tableau1[[#This Row],[DESIGNATION]])),"","NEED REF")</f>
        <v/>
      </c>
    </row>
    <row r="2644">
      <c r="B2644" t="n">
        <v>34411357</v>
      </c>
      <c r="C2644" s="2" t="n">
        <v>44957</v>
      </c>
      <c r="D2644" t="inlineStr">
        <is>
          <t>SPEC</t>
        </is>
      </c>
      <c r="E2644">
        <f>_xlfn.CONCAT(Tableau1[[#This Row],[SHORT TYPE]]," ",Tableau1[[#This Row],[NUMERO]]," ",Tableau1[[#This Row],[GAMME]]," ",Tableau1[[#This Row],[TYPE PRODUIT]]," ",Tableau1[[#This Row],[PUISSANCE]])</f>
        <v/>
      </c>
      <c r="G2644" t="inlineStr">
        <is>
          <t>GVL</t>
        </is>
      </c>
      <c r="H2644" t="inlineStr">
        <is>
          <t>UPS</t>
        </is>
      </c>
      <c r="I2644" t="inlineStr">
        <is>
          <t>400kVA</t>
        </is>
      </c>
      <c r="J2644" t="inlineStr">
        <is>
          <t>MATRION</t>
        </is>
      </c>
      <c r="K2644" t="inlineStr">
        <is>
          <t>CUIVRE</t>
        </is>
      </c>
      <c r="L2644">
        <f>_xlfn.XLOOKUP(Tableau1[[#This Row],[TYPE DE PIECE]],Tableau4[MATIERE],Tableau4[SHORT TYPE],"",0,1)</f>
        <v/>
      </c>
      <c r="N2644">
        <f>IF(ISERR(FIND("DECOUPE",Tableau1[[#This Row],[DESIGNATION]])),"","NEED REF")</f>
        <v/>
      </c>
    </row>
    <row r="2645">
      <c r="B2645" t="n">
        <v>34411356</v>
      </c>
      <c r="C2645" s="2" t="n">
        <v>44957</v>
      </c>
      <c r="D2645" t="inlineStr">
        <is>
          <t>SPEC</t>
        </is>
      </c>
      <c r="E2645">
        <f>_xlfn.CONCAT(Tableau1[[#This Row],[SHORT TYPE]]," ",Tableau1[[#This Row],[NUMERO]]," ",Tableau1[[#This Row],[GAMME]]," ",Tableau1[[#This Row],[TYPE PRODUIT]]," ",Tableau1[[#This Row],[PUISSANCE]])</f>
        <v/>
      </c>
      <c r="G2645" t="inlineStr">
        <is>
          <t>GVL</t>
        </is>
      </c>
      <c r="H2645" t="inlineStr">
        <is>
          <t>UPS</t>
        </is>
      </c>
      <c r="I2645" t="inlineStr">
        <is>
          <t>400kVA</t>
        </is>
      </c>
      <c r="J2645" t="inlineStr">
        <is>
          <t>MATRION</t>
        </is>
      </c>
      <c r="K2645" t="inlineStr">
        <is>
          <t>CUIVRE</t>
        </is>
      </c>
      <c r="L2645">
        <f>_xlfn.XLOOKUP(Tableau1[[#This Row],[TYPE DE PIECE]],Tableau4[MATIERE],Tableau4[SHORT TYPE],"",0,1)</f>
        <v/>
      </c>
      <c r="N2645">
        <f>IF(ISERR(FIND("DECOUPE",Tableau1[[#This Row],[DESIGNATION]])),"","NEED REF")</f>
        <v/>
      </c>
    </row>
    <row r="2646">
      <c r="B2646" t="n">
        <v>34411355</v>
      </c>
      <c r="C2646" s="2" t="n">
        <v>44956</v>
      </c>
      <c r="D2646" t="inlineStr">
        <is>
          <t>SPEC</t>
        </is>
      </c>
      <c r="E2646">
        <f>_xlfn.CONCAT(Tableau1[[#This Row],[SHORT TYPE]]," ",Tableau1[[#This Row],[NUMERO]]," ",Tableau1[[#This Row],[GAMME]]," ",Tableau1[[#This Row],[TYPE PRODUIT]]," ",Tableau1[[#This Row],[PUISSANCE]])</f>
        <v/>
      </c>
      <c r="G2646" t="inlineStr">
        <is>
          <t>GVL</t>
        </is>
      </c>
      <c r="H2646" t="inlineStr">
        <is>
          <t>UPS</t>
        </is>
      </c>
      <c r="I2646" t="inlineStr">
        <is>
          <t>400kVA</t>
        </is>
      </c>
      <c r="J2646" t="inlineStr">
        <is>
          <t>MATRION</t>
        </is>
      </c>
      <c r="K2646" t="inlineStr">
        <is>
          <t>CUIVRE</t>
        </is>
      </c>
      <c r="L2646">
        <f>_xlfn.XLOOKUP(Tableau1[[#This Row],[TYPE DE PIECE]],Tableau4[MATIERE],Tableau4[SHORT TYPE],"",0,1)</f>
        <v/>
      </c>
      <c r="N2646">
        <f>IF(ISERR(FIND("DECOUPE",Tableau1[[#This Row],[DESIGNATION]])),"","NEED REF")</f>
        <v/>
      </c>
    </row>
    <row r="2647">
      <c r="B2647" t="n">
        <v>34411354</v>
      </c>
      <c r="C2647" s="2" t="n">
        <v>44956</v>
      </c>
      <c r="D2647" t="inlineStr">
        <is>
          <t>SPEC</t>
        </is>
      </c>
      <c r="E2647" t="inlineStr">
        <is>
          <t>SMT TRAVERSE 718mm FIXE CABLE</t>
        </is>
      </c>
      <c r="J2647" t="inlineStr">
        <is>
          <t>BERNARDEAU</t>
        </is>
      </c>
      <c r="K2647" t="inlineStr">
        <is>
          <t>METAL</t>
        </is>
      </c>
      <c r="L2647">
        <f>_xlfn.XLOOKUP(Tableau1[[#This Row],[TYPE DE PIECE]],Tableau4[MATIERE],Tableau4[SHORT TYPE],"",0,1)</f>
        <v/>
      </c>
      <c r="N2647">
        <f>IF(ISERR(FIND("DECOUPE",Tableau1[[#This Row],[DESIGNATION]])),"","NEED REF")</f>
        <v/>
      </c>
    </row>
    <row r="2648">
      <c r="B2648" t="n">
        <v>34411353</v>
      </c>
      <c r="C2648" s="2" t="n">
        <v>44956</v>
      </c>
      <c r="D2648" t="inlineStr">
        <is>
          <t>SPEC</t>
        </is>
      </c>
      <c r="E2648">
        <f>_xlfn.CONCAT(Tableau1[[#This Row],[SHORT TYPE]]," ",Tableau1[[#This Row],[NUMERO]]," ",Tableau1[[#This Row],[GAMME]]," ",Tableau1[[#This Row],[TYPE PRODUIT]]," ",Tableau1[[#This Row],[PUISSANCE]])</f>
        <v/>
      </c>
      <c r="G2648" t="inlineStr">
        <is>
          <t>GVL</t>
        </is>
      </c>
      <c r="H2648" t="inlineStr">
        <is>
          <t>UPS</t>
        </is>
      </c>
      <c r="I2648" t="inlineStr">
        <is>
          <t>400kVA</t>
        </is>
      </c>
      <c r="J2648" t="inlineStr">
        <is>
          <t>MATRION</t>
        </is>
      </c>
      <c r="K2648" t="inlineStr">
        <is>
          <t>CUIVRE</t>
        </is>
      </c>
      <c r="L2648">
        <f>_xlfn.XLOOKUP(Tableau1[[#This Row],[TYPE DE PIECE]],Tableau4[MATIERE],Tableau4[SHORT TYPE],"",0,1)</f>
        <v/>
      </c>
      <c r="N2648">
        <f>IF(ISERR(FIND("DECOUPE",Tableau1[[#This Row],[DESIGNATION]])),"","NEED REF")</f>
        <v/>
      </c>
    </row>
    <row r="2649">
      <c r="B2649" t="n">
        <v>34411352</v>
      </c>
      <c r="C2649" s="2" t="n">
        <v>44956</v>
      </c>
      <c r="D2649" t="inlineStr">
        <is>
          <t>SPEC</t>
        </is>
      </c>
      <c r="E2649" t="inlineStr">
        <is>
          <t>SMT TRAVERSE 718mm OMEGA</t>
        </is>
      </c>
      <c r="J2649" t="inlineStr">
        <is>
          <t>BERNARDEAU</t>
        </is>
      </c>
      <c r="K2649" t="inlineStr">
        <is>
          <t>METAL</t>
        </is>
      </c>
      <c r="L2649">
        <f>_xlfn.XLOOKUP(Tableau1[[#This Row],[TYPE DE PIECE]],Tableau4[MATIERE],Tableau4[SHORT TYPE],"",0,1)</f>
        <v/>
      </c>
      <c r="N2649">
        <f>IF(ISERR(FIND("DECOUPE",Tableau1[[#This Row],[DESIGNATION]])),"","NEED REF")</f>
        <v/>
      </c>
    </row>
    <row r="2650">
      <c r="B2650" t="n">
        <v>34411351</v>
      </c>
      <c r="C2650" s="2" t="n">
        <v>44956</v>
      </c>
      <c r="D2650" t="inlineStr">
        <is>
          <t>SPEC</t>
        </is>
      </c>
      <c r="E2650">
        <f>_xlfn.CONCAT(Tableau1[[#This Row],[SHORT TYPE]]," ",Tableau1[[#This Row],[NUMERO]]," ",Tableau1[[#This Row],[GAMME]]," ",Tableau1[[#This Row],[TYPE PRODUIT]]," ",Tableau1[[#This Row],[PUISSANCE]])</f>
        <v/>
      </c>
      <c r="G2650" t="inlineStr">
        <is>
          <t>GVL</t>
        </is>
      </c>
      <c r="H2650" t="inlineStr">
        <is>
          <t>UPS</t>
        </is>
      </c>
      <c r="I2650" t="inlineStr">
        <is>
          <t>400kVA</t>
        </is>
      </c>
      <c r="J2650" t="inlineStr">
        <is>
          <t>MATRION</t>
        </is>
      </c>
      <c r="K2650" t="inlineStr">
        <is>
          <t>CUIVRE</t>
        </is>
      </c>
      <c r="L2650">
        <f>_xlfn.XLOOKUP(Tableau1[[#This Row],[TYPE DE PIECE]],Tableau4[MATIERE],Tableau4[SHORT TYPE],"",0,1)</f>
        <v/>
      </c>
      <c r="N2650">
        <f>IF(ISERR(FIND("DECOUPE",Tableau1[[#This Row],[DESIGNATION]])),"","NEED REF")</f>
        <v/>
      </c>
    </row>
    <row r="2651">
      <c r="B2651" t="n">
        <v>34411350</v>
      </c>
      <c r="C2651" s="2" t="n">
        <v>44956</v>
      </c>
      <c r="D2651" t="inlineStr">
        <is>
          <t>SPEC</t>
        </is>
      </c>
      <c r="E2651">
        <f>_xlfn.CONCAT(Tableau1[[#This Row],[SHORT TYPE]]," ",Tableau1[[#This Row],[NUMERO]]," ",Tableau1[[#This Row],[GAMME]]," ",Tableau1[[#This Row],[TYPE PRODUIT]]," ",Tableau1[[#This Row],[PUISSANCE]])</f>
        <v/>
      </c>
      <c r="G2651" t="inlineStr">
        <is>
          <t>GVL</t>
        </is>
      </c>
      <c r="H2651" t="inlineStr">
        <is>
          <t>UPS</t>
        </is>
      </c>
      <c r="I2651" t="inlineStr">
        <is>
          <t>400kVA</t>
        </is>
      </c>
      <c r="J2651" t="inlineStr">
        <is>
          <t>MATRION</t>
        </is>
      </c>
      <c r="K2651" t="inlineStr">
        <is>
          <t>CUIVRE</t>
        </is>
      </c>
      <c r="L2651">
        <f>_xlfn.XLOOKUP(Tableau1[[#This Row],[TYPE DE PIECE]],Tableau4[MATIERE],Tableau4[SHORT TYPE],"",0,1)</f>
        <v/>
      </c>
      <c r="N2651">
        <f>IF(ISERR(FIND("DECOUPE",Tableau1[[#This Row],[DESIGNATION]])),"","NEED REF")</f>
        <v/>
      </c>
    </row>
    <row r="2652">
      <c r="B2652" t="n">
        <v>34411349</v>
      </c>
      <c r="C2652" s="2" t="n">
        <v>44956</v>
      </c>
      <c r="D2652" t="inlineStr">
        <is>
          <t>SPEC</t>
        </is>
      </c>
      <c r="E2652" t="inlineStr">
        <is>
          <t>SMT PLATINE MTZ2 3P</t>
        </is>
      </c>
      <c r="G2652" t="inlineStr">
        <is>
          <t>GVL</t>
        </is>
      </c>
      <c r="H2652" t="inlineStr">
        <is>
          <t>UPS</t>
        </is>
      </c>
      <c r="I2652" t="inlineStr">
        <is>
          <t>400kVA</t>
        </is>
      </c>
      <c r="J2652" t="inlineStr">
        <is>
          <t>MATRION</t>
        </is>
      </c>
      <c r="K2652" t="inlineStr">
        <is>
          <t>METAL</t>
        </is>
      </c>
      <c r="L2652">
        <f>_xlfn.XLOOKUP(Tableau1[[#This Row],[TYPE DE PIECE]],Tableau4[MATIERE],Tableau4[SHORT TYPE],"",0,1)</f>
        <v/>
      </c>
      <c r="N2652">
        <f>IF(ISERR(FIND("DECOUPE",Tableau1[[#This Row],[DESIGNATION]])),"","NEED REF")</f>
        <v/>
      </c>
    </row>
    <row r="2653">
      <c r="B2653" t="n">
        <v>34411348</v>
      </c>
      <c r="C2653" s="2" t="n">
        <v>44956</v>
      </c>
      <c r="D2653" t="inlineStr">
        <is>
          <t>SPEC</t>
        </is>
      </c>
      <c r="E2653" t="inlineStr">
        <is>
          <t>SMT BRIDE TRAVERSE COUDEE</t>
        </is>
      </c>
      <c r="J2653" t="inlineStr">
        <is>
          <t>BERNARDEAU</t>
        </is>
      </c>
      <c r="K2653" t="inlineStr">
        <is>
          <t>METAL</t>
        </is>
      </c>
      <c r="L2653">
        <f>_xlfn.XLOOKUP(Tableau1[[#This Row],[TYPE DE PIECE]],Tableau4[MATIERE],Tableau4[SHORT TYPE],"",0,1)</f>
        <v/>
      </c>
      <c r="N2653">
        <f>IF(ISERR(FIND("DECOUPE",Tableau1[[#This Row],[DESIGNATION]])),"","NEED REF")</f>
        <v/>
      </c>
    </row>
    <row r="2654">
      <c r="B2654" t="n">
        <v>34411347</v>
      </c>
      <c r="C2654" s="2" t="n">
        <v>44956</v>
      </c>
      <c r="D2654" t="inlineStr">
        <is>
          <t>SPEC</t>
        </is>
      </c>
      <c r="E2654" t="inlineStr">
        <is>
          <t>SMT SUPPORT TFO</t>
        </is>
      </c>
      <c r="F2654" t="inlineStr">
        <is>
          <t>TOTAL</t>
        </is>
      </c>
      <c r="J2654" t="inlineStr">
        <is>
          <t>BERNARDEAU</t>
        </is>
      </c>
      <c r="K2654" t="inlineStr">
        <is>
          <t>METAL</t>
        </is>
      </c>
      <c r="L2654">
        <f>_xlfn.XLOOKUP(Tableau1[[#This Row],[TYPE DE PIECE]],Tableau4[MATIERE],Tableau4[SHORT TYPE],"",0,1)</f>
        <v/>
      </c>
      <c r="N2654">
        <f>IF(ISERR(FIND("DECOUPE",Tableau1[[#This Row],[DESIGNATION]])),"","NEED REF")</f>
        <v/>
      </c>
    </row>
    <row r="2655">
      <c r="B2655" t="n">
        <v>34411346</v>
      </c>
      <c r="C2655" s="2" t="n">
        <v>44953</v>
      </c>
      <c r="D2655" t="inlineStr">
        <is>
          <t>SPEC</t>
        </is>
      </c>
      <c r="E2655">
        <f>_xlfn.CONCAT(Tableau1[[#This Row],[SHORT TYPE]]," ",Tableau1[[#This Row],[NUMERO]]," ",Tableau1[[#This Row],[GAMME]]," ",Tableau1[[#This Row],[TYPE PRODUIT]]," ",Tableau1[[#This Row],[PUISSANCE]])</f>
        <v/>
      </c>
      <c r="J2655" t="inlineStr">
        <is>
          <t>MATRION</t>
        </is>
      </c>
      <c r="K2655" t="inlineStr">
        <is>
          <t>CUIVRE</t>
        </is>
      </c>
      <c r="L2655">
        <f>_xlfn.XLOOKUP(Tableau1[[#This Row],[TYPE DE PIECE]],Tableau4[MATIERE],Tableau4[SHORT TYPE],"",0,1)</f>
        <v/>
      </c>
      <c r="N2655">
        <f>IF(ISERR(FIND("DECOUPE",Tableau1[[#This Row],[DESIGNATION]])),"","NEED REF")</f>
        <v/>
      </c>
    </row>
    <row r="2656">
      <c r="B2656" t="n">
        <v>34411345</v>
      </c>
      <c r="C2656" s="2" t="n">
        <v>44953</v>
      </c>
      <c r="D2656" t="inlineStr">
        <is>
          <t>SPEC</t>
        </is>
      </c>
      <c r="E2656">
        <f>_xlfn.CONCAT(Tableau1[[#This Row],[SHORT TYPE]]," ",Tableau1[[#This Row],[NUMERO]]," ",Tableau1[[#This Row],[GAMME]]," ",Tableau1[[#This Row],[TYPE PRODUIT]]," ",Tableau1[[#This Row],[PUISSANCE]])</f>
        <v/>
      </c>
      <c r="J2656" t="inlineStr">
        <is>
          <t>MATRION</t>
        </is>
      </c>
      <c r="K2656" t="inlineStr">
        <is>
          <t>CUIVRE</t>
        </is>
      </c>
      <c r="L2656">
        <f>_xlfn.XLOOKUP(Tableau1[[#This Row],[TYPE DE PIECE]],Tableau4[MATIERE],Tableau4[SHORT TYPE],"",0,1)</f>
        <v/>
      </c>
      <c r="N2656">
        <f>IF(ISERR(FIND("DECOUPE",Tableau1[[#This Row],[DESIGNATION]])),"","NEED REF")</f>
        <v/>
      </c>
    </row>
    <row r="2657">
      <c r="B2657" t="n">
        <v>34411344</v>
      </c>
      <c r="C2657" s="2" t="n">
        <v>44953</v>
      </c>
      <c r="D2657" t="inlineStr">
        <is>
          <t>SPEC</t>
        </is>
      </c>
      <c r="E2657">
        <f>_xlfn.CONCAT(Tableau1[[#This Row],[SHORT TYPE]]," ",Tableau1[[#This Row],[NUMERO]]," ",Tableau1[[#This Row],[GAMME]]," ",Tableau1[[#This Row],[TYPE PRODUIT]]," ",Tableau1[[#This Row],[PUISSANCE]])</f>
        <v/>
      </c>
      <c r="J2657" t="inlineStr">
        <is>
          <t>MATRION</t>
        </is>
      </c>
      <c r="K2657" t="inlineStr">
        <is>
          <t>CUIVRE</t>
        </is>
      </c>
      <c r="L2657">
        <f>_xlfn.XLOOKUP(Tableau1[[#This Row],[TYPE DE PIECE]],Tableau4[MATIERE],Tableau4[SHORT TYPE],"",0,1)</f>
        <v/>
      </c>
      <c r="N2657">
        <f>IF(ISERR(FIND("DECOUPE",Tableau1[[#This Row],[DESIGNATION]])),"","NEED REF")</f>
        <v/>
      </c>
    </row>
    <row r="2658">
      <c r="B2658" t="n">
        <v>34411343</v>
      </c>
      <c r="C2658" s="2" t="n">
        <v>44953</v>
      </c>
      <c r="D2658" t="inlineStr">
        <is>
          <t>SPEC</t>
        </is>
      </c>
      <c r="E2658">
        <f>_xlfn.CONCAT(Tableau1[[#This Row],[SHORT TYPE]]," ",Tableau1[[#This Row],[NUMERO]]," ",Tableau1[[#This Row],[GAMME]]," ",Tableau1[[#This Row],[TYPE PRODUIT]]," ",Tableau1[[#This Row],[PUISSANCE]])</f>
        <v/>
      </c>
      <c r="J2658" t="inlineStr">
        <is>
          <t>MATRION</t>
        </is>
      </c>
      <c r="K2658" t="inlineStr">
        <is>
          <t>CUIVRE</t>
        </is>
      </c>
      <c r="L2658">
        <f>_xlfn.XLOOKUP(Tableau1[[#This Row],[TYPE DE PIECE]],Tableau4[MATIERE],Tableau4[SHORT TYPE],"",0,1)</f>
        <v/>
      </c>
      <c r="N2658">
        <f>IF(ISERR(FIND("DECOUPE",Tableau1[[#This Row],[DESIGNATION]])),"","NEED REF")</f>
        <v/>
      </c>
    </row>
    <row r="2659">
      <c r="B2659" t="n">
        <v>34411342</v>
      </c>
      <c r="C2659" s="2" t="n">
        <v>44950</v>
      </c>
      <c r="D2659" t="inlineStr">
        <is>
          <t>SPEC</t>
        </is>
      </c>
      <c r="E2659" t="inlineStr">
        <is>
          <t>SMT 2/2 TOIT KTA1600</t>
        </is>
      </c>
      <c r="G2659" t="inlineStr">
        <is>
          <t>GVL</t>
        </is>
      </c>
      <c r="H2659" t="inlineStr">
        <is>
          <t>UPS</t>
        </is>
      </c>
      <c r="I2659" t="inlineStr">
        <is>
          <t>400kVA</t>
        </is>
      </c>
      <c r="J2659" t="inlineStr">
        <is>
          <t>MATRION</t>
        </is>
      </c>
      <c r="K2659" t="inlineStr">
        <is>
          <t>METAL</t>
        </is>
      </c>
      <c r="L2659">
        <f>_xlfn.XLOOKUP(Tableau1[[#This Row],[TYPE DE PIECE]],Tableau4[MATIERE],Tableau4[SHORT TYPE],"",0,1)</f>
        <v/>
      </c>
      <c r="N2659">
        <f>IF(ISERR(FIND("DECOUPE",Tableau1[[#This Row],[DESIGNATION]])),"","NEED REF")</f>
        <v/>
      </c>
    </row>
    <row r="2660">
      <c r="B2660" t="n">
        <v>34411341</v>
      </c>
      <c r="C2660" s="2" t="n">
        <v>44950</v>
      </c>
      <c r="D2660" t="inlineStr">
        <is>
          <t>SPEC</t>
        </is>
      </c>
      <c r="E2660" t="inlineStr">
        <is>
          <t>SMT 1/2 TOIT KTA1600</t>
        </is>
      </c>
      <c r="G2660" t="inlineStr">
        <is>
          <t>GVL</t>
        </is>
      </c>
      <c r="H2660" t="inlineStr">
        <is>
          <t>UPS</t>
        </is>
      </c>
      <c r="I2660" t="inlineStr">
        <is>
          <t>400kVA</t>
        </is>
      </c>
      <c r="J2660" t="inlineStr">
        <is>
          <t>MATRION</t>
        </is>
      </c>
      <c r="K2660" t="inlineStr">
        <is>
          <t>METAL</t>
        </is>
      </c>
      <c r="L2660">
        <f>_xlfn.XLOOKUP(Tableau1[[#This Row],[TYPE DE PIECE]],Tableau4[MATIERE],Tableau4[SHORT TYPE],"",0,1)</f>
        <v/>
      </c>
      <c r="N2660">
        <f>IF(ISERR(FIND("DECOUPE",Tableau1[[#This Row],[DESIGNATION]])),"","NEED REF")</f>
        <v/>
      </c>
    </row>
    <row r="2661">
      <c r="B2661" t="n">
        <v>34411340</v>
      </c>
      <c r="C2661" s="2" t="n">
        <v>44950</v>
      </c>
      <c r="D2661" t="inlineStr">
        <is>
          <t>SPEC</t>
        </is>
      </c>
      <c r="E2661" t="inlineStr">
        <is>
          <t>COP 34411340 GVL UPS 500kVA PONTAGE N 1</t>
        </is>
      </c>
      <c r="G2661" t="inlineStr">
        <is>
          <t>GVL</t>
        </is>
      </c>
      <c r="H2661" t="inlineStr">
        <is>
          <t>UPS</t>
        </is>
      </c>
      <c r="I2661" t="inlineStr">
        <is>
          <t>400kVA</t>
        </is>
      </c>
      <c r="J2661" t="inlineStr">
        <is>
          <t>MATRION</t>
        </is>
      </c>
      <c r="K2661" t="inlineStr">
        <is>
          <t>CUIVRE</t>
        </is>
      </c>
      <c r="L2661">
        <f>_xlfn.XLOOKUP(Tableau1[[#This Row],[TYPE DE PIECE]],Tableau4[MATIERE],Tableau4[SHORT TYPE],"",0,1)</f>
        <v/>
      </c>
      <c r="N2661">
        <f>IF(ISERR(FIND("DECOUPE",Tableau1[[#This Row],[DESIGNATION]])),"","NEED REF")</f>
        <v/>
      </c>
    </row>
    <row r="2662">
      <c r="B2662" t="n">
        <v>34411339</v>
      </c>
      <c r="C2662" s="2" t="n">
        <v>44950</v>
      </c>
      <c r="D2662" t="inlineStr">
        <is>
          <t>SPEC</t>
        </is>
      </c>
      <c r="E2662" t="inlineStr">
        <is>
          <t>COP 34411339 GVL UPS 500kVA PONTAGE PER</t>
        </is>
      </c>
      <c r="G2662" t="inlineStr">
        <is>
          <t>GVL</t>
        </is>
      </c>
      <c r="H2662" t="inlineStr">
        <is>
          <t>UPS</t>
        </is>
      </c>
      <c r="I2662" t="inlineStr">
        <is>
          <t>400kVA</t>
        </is>
      </c>
      <c r="J2662" t="inlineStr">
        <is>
          <t>MATRION</t>
        </is>
      </c>
      <c r="K2662" t="inlineStr">
        <is>
          <t>CUIVRE</t>
        </is>
      </c>
      <c r="L2662">
        <f>_xlfn.XLOOKUP(Tableau1[[#This Row],[TYPE DE PIECE]],Tableau4[MATIERE],Tableau4[SHORT TYPE],"",0,1)</f>
        <v/>
      </c>
      <c r="N2662">
        <f>IF(ISERR(FIND("DECOUPE",Tableau1[[#This Row],[DESIGNATION]])),"","NEED REF")</f>
        <v/>
      </c>
    </row>
    <row r="2663">
      <c r="B2663" t="n">
        <v>34411338</v>
      </c>
      <c r="C2663" s="2" t="n">
        <v>44949</v>
      </c>
      <c r="D2663" t="inlineStr">
        <is>
          <t>SPEC</t>
        </is>
      </c>
      <c r="E2663" t="inlineStr">
        <is>
          <t>COP PLAGE INTERMEDIAIRE</t>
        </is>
      </c>
      <c r="G2663" t="inlineStr">
        <is>
          <t>GVS</t>
        </is>
      </c>
      <c r="H2663" t="inlineStr">
        <is>
          <t>BYPASS</t>
        </is>
      </c>
      <c r="J2663" t="inlineStr">
        <is>
          <t>BERNARDEAU</t>
        </is>
      </c>
      <c r="K2663" t="inlineStr">
        <is>
          <t>CUIVRE</t>
        </is>
      </c>
      <c r="L2663">
        <f>_xlfn.XLOOKUP(Tableau1[[#This Row],[TYPE DE PIECE]],Tableau4[MATIERE],Tableau4[SHORT TYPE],"",0,1)</f>
        <v/>
      </c>
      <c r="N2663">
        <f>IF(ISERR(FIND("DECOUPE",Tableau1[[#This Row],[DESIGNATION]])),"","NEED REF")</f>
        <v/>
      </c>
    </row>
    <row r="2664">
      <c r="B2664" t="n">
        <v>34411337</v>
      </c>
      <c r="C2664" s="2" t="n">
        <v>44949</v>
      </c>
      <c r="D2664" t="inlineStr">
        <is>
          <t>SPEC</t>
        </is>
      </c>
      <c r="E2664" t="inlineStr">
        <is>
          <t>COP PLAGE INTERMEDIAIRE</t>
        </is>
      </c>
      <c r="G2664" t="inlineStr">
        <is>
          <t>GVS</t>
        </is>
      </c>
      <c r="H2664" t="inlineStr">
        <is>
          <t>BYPASS</t>
        </is>
      </c>
      <c r="J2664" t="inlineStr">
        <is>
          <t>BERNARDEAU</t>
        </is>
      </c>
      <c r="K2664" t="inlineStr">
        <is>
          <t>CUIVRE</t>
        </is>
      </c>
      <c r="L2664">
        <f>_xlfn.XLOOKUP(Tableau1[[#This Row],[TYPE DE PIECE]],Tableau4[MATIERE],Tableau4[SHORT TYPE],"",0,1)</f>
        <v/>
      </c>
      <c r="N2664">
        <f>IF(ISERR(FIND("DECOUPE",Tableau1[[#This Row],[DESIGNATION]])),"","NEED REF")</f>
        <v/>
      </c>
    </row>
    <row r="2665">
      <c r="B2665" t="n">
        <v>34411336</v>
      </c>
      <c r="C2665" s="2" t="n">
        <v>44946</v>
      </c>
      <c r="D2665" t="inlineStr">
        <is>
          <t>SPEC</t>
        </is>
      </c>
      <c r="E2665" t="inlineStr">
        <is>
          <t>SMT 34411336 GVL/E3L BYPASS 1000KVA PLASTRON HAUT</t>
        </is>
      </c>
      <c r="F2665" t="inlineStr">
        <is>
          <t>ORIGO</t>
        </is>
      </c>
      <c r="G2665" t="inlineStr">
        <is>
          <t>GVL/E3L</t>
        </is>
      </c>
      <c r="H2665" t="inlineStr">
        <is>
          <t>BYPASS</t>
        </is>
      </c>
      <c r="I2665" t="inlineStr">
        <is>
          <t>1000KVA</t>
        </is>
      </c>
      <c r="J2665" t="inlineStr">
        <is>
          <t>JAWORSKI</t>
        </is>
      </c>
      <c r="K2665" t="inlineStr">
        <is>
          <t>METAL</t>
        </is>
      </c>
      <c r="L2665">
        <f>_xlfn.XLOOKUP(Tableau1[[#This Row],[TYPE DE PIECE]],Tableau4[MATIERE],Tableau4[SHORT TYPE],"",0,1)</f>
        <v/>
      </c>
      <c r="N2665">
        <f>IF(ISERR(FIND("DECOUPE",Tableau1[[#This Row],[DESIGNATION]])),"","NEED REF")</f>
        <v/>
      </c>
    </row>
    <row r="2666">
      <c r="B2666" t="n">
        <v>34411335</v>
      </c>
      <c r="C2666" s="2" t="n">
        <v>44946</v>
      </c>
      <c r="D2666" t="inlineStr">
        <is>
          <t>SPEC</t>
        </is>
      </c>
      <c r="E2666" t="inlineStr">
        <is>
          <t>SMT 34411335 GVL/E3L BYPASS 1000KVA PLASTRON CENTRE</t>
        </is>
      </c>
      <c r="F2666" t="inlineStr">
        <is>
          <t>ORIGO</t>
        </is>
      </c>
      <c r="G2666" t="inlineStr">
        <is>
          <t>GVL/E3L</t>
        </is>
      </c>
      <c r="H2666" t="inlineStr">
        <is>
          <t>BYPASS</t>
        </is>
      </c>
      <c r="I2666" t="inlineStr">
        <is>
          <t>1000KVA</t>
        </is>
      </c>
      <c r="J2666" t="inlineStr">
        <is>
          <t>JAWORSKI</t>
        </is>
      </c>
      <c r="K2666" t="inlineStr">
        <is>
          <t>METAL</t>
        </is>
      </c>
      <c r="L2666">
        <f>_xlfn.XLOOKUP(Tableau1[[#This Row],[TYPE DE PIECE]],Tableau4[MATIERE],Tableau4[SHORT TYPE],"",0,1)</f>
        <v/>
      </c>
      <c r="N2666">
        <f>IF(ISERR(FIND("DECOUPE",Tableau1[[#This Row],[DESIGNATION]])),"","NEED REF")</f>
        <v/>
      </c>
    </row>
    <row r="2667">
      <c r="B2667" t="n">
        <v>34411334</v>
      </c>
      <c r="C2667" s="2" t="n">
        <v>44946</v>
      </c>
      <c r="D2667" t="inlineStr">
        <is>
          <t>SPEC</t>
        </is>
      </c>
      <c r="E2667" t="inlineStr">
        <is>
          <t>SMT 34411334 GVL/E3L BYPASS 1000KVA PLASTRON BAS</t>
        </is>
      </c>
      <c r="F2667" t="inlineStr">
        <is>
          <t>ORIGO</t>
        </is>
      </c>
      <c r="G2667" t="inlineStr">
        <is>
          <t>GVL/E3L</t>
        </is>
      </c>
      <c r="H2667" t="inlineStr">
        <is>
          <t>BYPASS</t>
        </is>
      </c>
      <c r="I2667" t="inlineStr">
        <is>
          <t>1000KVA</t>
        </is>
      </c>
      <c r="J2667" t="inlineStr">
        <is>
          <t>JAWORSKI</t>
        </is>
      </c>
      <c r="K2667" t="inlineStr">
        <is>
          <t>METAL</t>
        </is>
      </c>
      <c r="L2667">
        <f>_xlfn.XLOOKUP(Tableau1[[#This Row],[TYPE DE PIECE]],Tableau4[MATIERE],Tableau4[SHORT TYPE],"",0,1)</f>
        <v/>
      </c>
      <c r="N2667">
        <f>IF(ISERR(FIND("DECOUPE",Tableau1[[#This Row],[DESIGNATION]])),"","NEED REF")</f>
        <v/>
      </c>
    </row>
    <row r="2668">
      <c r="B2668" t="n">
        <v>34411333</v>
      </c>
      <c r="C2668" s="2" t="n">
        <v>44945</v>
      </c>
      <c r="D2668" t="inlineStr">
        <is>
          <t>SPEC</t>
        </is>
      </c>
      <c r="E2668">
        <f>_xlfn.CONCAT(Tableau1[[#This Row],[SHORT TYPE]]," ",Tableau1[[#This Row],[NUMERO]]," ",Tableau1[[#This Row],[GAMME]]," ",Tableau1[[#This Row],[TYPE PRODUIT]]," ",Tableau1[[#This Row],[PUISSANCE]])</f>
        <v/>
      </c>
      <c r="F2668" t="inlineStr">
        <is>
          <t>ORIGO</t>
        </is>
      </c>
      <c r="G2668" t="inlineStr">
        <is>
          <t>GVL/E3L</t>
        </is>
      </c>
      <c r="H2668" t="inlineStr">
        <is>
          <t>BYPASS</t>
        </is>
      </c>
      <c r="I2668" t="inlineStr">
        <is>
          <t>1000KVA</t>
        </is>
      </c>
      <c r="J2668" t="inlineStr">
        <is>
          <t>JAWORSKI</t>
        </is>
      </c>
      <c r="K2668" t="inlineStr">
        <is>
          <t>CUIVRE</t>
        </is>
      </c>
      <c r="L2668">
        <f>_xlfn.XLOOKUP(Tableau1[[#This Row],[TYPE DE PIECE]],Tableau4[MATIERE],Tableau4[SHORT TYPE],"",0,1)</f>
        <v/>
      </c>
      <c r="N2668">
        <f>IF(ISERR(FIND("DECOUPE",Tableau1[[#This Row],[DESIGNATION]])),"","NEED REF")</f>
        <v/>
      </c>
    </row>
    <row r="2669">
      <c r="B2669" t="n">
        <v>34411332</v>
      </c>
      <c r="C2669" s="2" t="n">
        <v>44945</v>
      </c>
      <c r="D2669" t="inlineStr">
        <is>
          <t>SPEC</t>
        </is>
      </c>
      <c r="E2669">
        <f>_xlfn.CONCAT(Tableau1[[#This Row],[SHORT TYPE]]," ",Tableau1[[#This Row],[NUMERO]]," ",Tableau1[[#This Row],[GAMME]]," ",Tableau1[[#This Row],[TYPE PRODUIT]]," ",Tableau1[[#This Row],[PUISSANCE]])</f>
        <v/>
      </c>
      <c r="F2669" t="inlineStr">
        <is>
          <t>ORIGO</t>
        </is>
      </c>
      <c r="G2669" t="inlineStr">
        <is>
          <t>GVL/E3L</t>
        </is>
      </c>
      <c r="H2669" t="inlineStr">
        <is>
          <t>BYPASS</t>
        </is>
      </c>
      <c r="I2669" t="inlineStr">
        <is>
          <t>1000KVA</t>
        </is>
      </c>
      <c r="J2669" t="inlineStr">
        <is>
          <t>JAWORSKI</t>
        </is>
      </c>
      <c r="K2669" t="inlineStr">
        <is>
          <t>CUIVRE</t>
        </is>
      </c>
      <c r="L2669">
        <f>_xlfn.XLOOKUP(Tableau1[[#This Row],[TYPE DE PIECE]],Tableau4[MATIERE],Tableau4[SHORT TYPE],"",0,1)</f>
        <v/>
      </c>
      <c r="N2669">
        <f>IF(ISERR(FIND("DECOUPE",Tableau1[[#This Row],[DESIGNATION]])),"","NEED REF")</f>
        <v/>
      </c>
    </row>
    <row r="2670">
      <c r="B2670" t="n">
        <v>34411331</v>
      </c>
      <c r="C2670" s="2" t="n">
        <v>44945</v>
      </c>
      <c r="D2670" t="inlineStr">
        <is>
          <t>SPEC</t>
        </is>
      </c>
      <c r="E2670" t="inlineStr">
        <is>
          <t>PLA PROTECTION BARRE CUIVRE</t>
        </is>
      </c>
      <c r="F2670" t="inlineStr">
        <is>
          <t>INTERXION</t>
        </is>
      </c>
      <c r="G2670" t="inlineStr">
        <is>
          <t>GVX</t>
        </is>
      </c>
      <c r="J2670" t="inlineStr">
        <is>
          <t>BERNARDEAU</t>
        </is>
      </c>
      <c r="K2670" t="inlineStr">
        <is>
          <t>PLASTIQUE</t>
        </is>
      </c>
      <c r="L2670">
        <f>_xlfn.XLOOKUP(Tableau1[[#This Row],[TYPE DE PIECE]],Tableau4[MATIERE],Tableau4[SHORT TYPE],"",0,1)</f>
        <v/>
      </c>
      <c r="N2670">
        <f>IF(ISERR(FIND("DECOUPE",Tableau1[[#This Row],[DESIGNATION]])),"","NEED REF")</f>
        <v/>
      </c>
    </row>
    <row r="2671">
      <c r="B2671" t="n">
        <v>34411330</v>
      </c>
      <c r="C2671" s="2" t="n">
        <v>44944</v>
      </c>
      <c r="D2671" t="inlineStr">
        <is>
          <t>SPEC</t>
        </is>
      </c>
      <c r="E2671" t="inlineStr">
        <is>
          <t>SMT 34411330 GVL/E3L BYPASS 1000KVA PLATINE</t>
        </is>
      </c>
      <c r="F2671" t="inlineStr">
        <is>
          <t>ORIGO</t>
        </is>
      </c>
      <c r="G2671" t="inlineStr">
        <is>
          <t>GVL/E3L</t>
        </is>
      </c>
      <c r="H2671" t="inlineStr">
        <is>
          <t>BYPASS</t>
        </is>
      </c>
      <c r="I2671" t="inlineStr">
        <is>
          <t>1000KVA</t>
        </is>
      </c>
      <c r="J2671" t="inlineStr">
        <is>
          <t>JAWORSKI</t>
        </is>
      </c>
      <c r="K2671" t="inlineStr">
        <is>
          <t>METAL</t>
        </is>
      </c>
      <c r="L2671">
        <f>_xlfn.XLOOKUP(Tableau1[[#This Row],[TYPE DE PIECE]],Tableau4[MATIERE],Tableau4[SHORT TYPE],"",0,1)</f>
        <v/>
      </c>
      <c r="N2671">
        <f>IF(ISERR(FIND("DECOUPE",Tableau1[[#This Row],[DESIGNATION]])),"","NEED REF")</f>
        <v/>
      </c>
    </row>
    <row r="2672">
      <c r="B2672" t="n">
        <v>34411329</v>
      </c>
      <c r="C2672" s="2" t="n">
        <v>44943</v>
      </c>
      <c r="D2672" t="inlineStr">
        <is>
          <t>SPEC</t>
        </is>
      </c>
      <c r="E2672">
        <f>_xlfn.CONCAT(Tableau1[[#This Row],[SHORT TYPE]]," ",Tableau1[[#This Row],[NUMERO]]," ",Tableau1[[#This Row],[GAMME]]," ",Tableau1[[#This Row],[TYPE PRODUIT]]," ",Tableau1[[#This Row],[PUISSANCE]])</f>
        <v/>
      </c>
      <c r="F2672" t="inlineStr">
        <is>
          <t>ORIGO</t>
        </is>
      </c>
      <c r="G2672" t="inlineStr">
        <is>
          <t>GVL/E3L</t>
        </is>
      </c>
      <c r="H2672" t="inlineStr">
        <is>
          <t>BYPASS</t>
        </is>
      </c>
      <c r="I2672" t="inlineStr">
        <is>
          <t>1000KVA</t>
        </is>
      </c>
      <c r="J2672" t="inlineStr">
        <is>
          <t>JAWORSKI</t>
        </is>
      </c>
      <c r="K2672" t="inlineStr">
        <is>
          <t>CUIVRE</t>
        </is>
      </c>
      <c r="L2672">
        <f>_xlfn.XLOOKUP(Tableau1[[#This Row],[TYPE DE PIECE]],Tableau4[MATIERE],Tableau4[SHORT TYPE],"",0,1)</f>
        <v/>
      </c>
      <c r="N2672">
        <f>IF(ISERR(FIND("DECOUPE",Tableau1[[#This Row],[DESIGNATION]])),"","NEED REF")</f>
        <v/>
      </c>
    </row>
    <row r="2673">
      <c r="B2673" t="n">
        <v>34411328</v>
      </c>
      <c r="C2673" s="2" t="n">
        <v>44943</v>
      </c>
      <c r="D2673" t="inlineStr">
        <is>
          <t>SPEC</t>
        </is>
      </c>
      <c r="E2673">
        <f>_xlfn.CONCAT(Tableau1[[#This Row],[SHORT TYPE]]," ",Tableau1[[#This Row],[NUMERO]]," ",Tableau1[[#This Row],[GAMME]]," ",Tableau1[[#This Row],[TYPE PRODUIT]]," ",Tableau1[[#This Row],[PUISSANCE]])</f>
        <v/>
      </c>
      <c r="F2673" t="inlineStr">
        <is>
          <t>ORIGO</t>
        </is>
      </c>
      <c r="G2673" t="inlineStr">
        <is>
          <t>GVL/E3L</t>
        </is>
      </c>
      <c r="H2673" t="inlineStr">
        <is>
          <t>BYPASS</t>
        </is>
      </c>
      <c r="I2673" t="inlineStr">
        <is>
          <t>1000KVA</t>
        </is>
      </c>
      <c r="J2673" t="inlineStr">
        <is>
          <t>JAWORSKI</t>
        </is>
      </c>
      <c r="K2673" t="inlineStr">
        <is>
          <t>CUIVRE</t>
        </is>
      </c>
      <c r="L2673">
        <f>_xlfn.XLOOKUP(Tableau1[[#This Row],[TYPE DE PIECE]],Tableau4[MATIERE],Tableau4[SHORT TYPE],"",0,1)</f>
        <v/>
      </c>
      <c r="N2673">
        <f>IF(ISERR(FIND("DECOUPE",Tableau1[[#This Row],[DESIGNATION]])),"","NEED REF")</f>
        <v/>
      </c>
    </row>
    <row r="2674">
      <c r="B2674" t="n">
        <v>34411327</v>
      </c>
      <c r="C2674" s="2" t="n">
        <v>44943</v>
      </c>
      <c r="D2674" t="inlineStr">
        <is>
          <t>SPEC</t>
        </is>
      </c>
      <c r="E2674" t="inlineStr">
        <is>
          <t>PLA 34411327 GVL/E3L BYPASS 1000KVA BRIDE CX UOB</t>
        </is>
      </c>
      <c r="F2674" t="inlineStr">
        <is>
          <t>ORIGO</t>
        </is>
      </c>
      <c r="G2674" t="inlineStr">
        <is>
          <t>GVL/E3L</t>
        </is>
      </c>
      <c r="H2674" t="inlineStr">
        <is>
          <t>BYPASS</t>
        </is>
      </c>
      <c r="I2674" t="inlineStr">
        <is>
          <t>1000KVA</t>
        </is>
      </c>
      <c r="J2674" t="inlineStr">
        <is>
          <t>JAWORSKI</t>
        </is>
      </c>
      <c r="K2674" t="inlineStr">
        <is>
          <t>PLASTIQUE</t>
        </is>
      </c>
      <c r="L2674">
        <f>_xlfn.XLOOKUP(Tableau1[[#This Row],[TYPE DE PIECE]],Tableau4[MATIERE],Tableau4[SHORT TYPE],"",0,1)</f>
        <v/>
      </c>
      <c r="N2674">
        <f>IF(ISERR(FIND("DECOUPE",Tableau1[[#This Row],[DESIGNATION]])),"","NEED REF")</f>
        <v/>
      </c>
    </row>
    <row r="2675">
      <c r="B2675" t="n">
        <v>34411326</v>
      </c>
      <c r="C2675" s="2" t="n">
        <v>44943</v>
      </c>
      <c r="D2675" t="inlineStr">
        <is>
          <t>SPEC</t>
        </is>
      </c>
      <c r="E2675" t="inlineStr">
        <is>
          <t>SE 34411326 GVL/E3L BYPASS 1000KVA DJ MTZ16 Micrologic 5.0</t>
        </is>
      </c>
      <c r="F2675" t="inlineStr">
        <is>
          <t>ORIGO</t>
        </is>
      </c>
      <c r="G2675" t="inlineStr">
        <is>
          <t>GVL/E3L</t>
        </is>
      </c>
      <c r="H2675" t="inlineStr">
        <is>
          <t>BYPASS</t>
        </is>
      </c>
      <c r="I2675" t="inlineStr">
        <is>
          <t>1000KVA</t>
        </is>
      </c>
      <c r="J2675" t="inlineStr">
        <is>
          <t>JAWORSKI</t>
        </is>
      </c>
      <c r="K2675" t="inlineStr">
        <is>
          <t>SCHNEIDER</t>
        </is>
      </c>
      <c r="L2675">
        <f>_xlfn.XLOOKUP(Tableau1[[#This Row],[TYPE DE PIECE]],Tableau4[MATIERE],Tableau4[SHORT TYPE],"",0,1)</f>
        <v/>
      </c>
      <c r="N2675">
        <f>IF(ISERR(FIND("DECOUPE",Tableau1[[#This Row],[DESIGNATION]])),"","NEED REF")</f>
        <v/>
      </c>
    </row>
    <row r="2676">
      <c r="B2676" t="n">
        <v>34411325</v>
      </c>
      <c r="C2676" s="2" t="n">
        <v>44943</v>
      </c>
      <c r="D2676" t="inlineStr">
        <is>
          <t>SPEC</t>
        </is>
      </c>
      <c r="E2676" t="inlineStr">
        <is>
          <t>SE 34411325 GVL/E3L BYPASS 1000KVA DJ NS1000N 4P4D Micrologic 2.0E + 2*OF</t>
        </is>
      </c>
      <c r="F2676" t="inlineStr">
        <is>
          <t>ORIGO</t>
        </is>
      </c>
      <c r="G2676" t="inlineStr">
        <is>
          <t>GVL/E3L</t>
        </is>
      </c>
      <c r="H2676" t="inlineStr">
        <is>
          <t>BYPASS</t>
        </is>
      </c>
      <c r="I2676" t="inlineStr">
        <is>
          <t>1000KVA</t>
        </is>
      </c>
      <c r="J2676" t="inlineStr">
        <is>
          <t>JAWORSKI</t>
        </is>
      </c>
      <c r="K2676" t="inlineStr">
        <is>
          <t>SCHNEIDER</t>
        </is>
      </c>
      <c r="L2676">
        <f>_xlfn.XLOOKUP(Tableau1[[#This Row],[TYPE DE PIECE]],Tableau4[MATIERE],Tableau4[SHORT TYPE],"",0,1)</f>
        <v/>
      </c>
      <c r="N2676">
        <f>IF(ISERR(FIND("DECOUPE",Tableau1[[#This Row],[DESIGNATION]])),"","NEED REF")</f>
        <v/>
      </c>
    </row>
    <row r="2677">
      <c r="B2677" t="n">
        <v>34411324</v>
      </c>
      <c r="C2677" s="2" t="n">
        <v>44943</v>
      </c>
      <c r="D2677" t="inlineStr">
        <is>
          <t>SPEC</t>
        </is>
      </c>
      <c r="E2677" t="inlineStr">
        <is>
          <t>SE 34411324 GVL/E3L BYPASS 1000KVA INTER NS800NA 4P +2*OF</t>
        </is>
      </c>
      <c r="F2677" t="inlineStr">
        <is>
          <t>ORIGO</t>
        </is>
      </c>
      <c r="G2677" t="inlineStr">
        <is>
          <t>GVL/E3L</t>
        </is>
      </c>
      <c r="H2677" t="inlineStr">
        <is>
          <t>BYPASS</t>
        </is>
      </c>
      <c r="I2677" t="inlineStr">
        <is>
          <t>1000KVA</t>
        </is>
      </c>
      <c r="J2677" t="inlineStr">
        <is>
          <t>JAWORSKI</t>
        </is>
      </c>
      <c r="K2677" t="inlineStr">
        <is>
          <t>SCHNEIDER</t>
        </is>
      </c>
      <c r="L2677">
        <f>_xlfn.XLOOKUP(Tableau1[[#This Row],[TYPE DE PIECE]],Tableau4[MATIERE],Tableau4[SHORT TYPE],"",0,1)</f>
        <v/>
      </c>
      <c r="N2677">
        <f>IF(ISERR(FIND("DECOUPE",Tableau1[[#This Row],[DESIGNATION]])),"","NEED REF")</f>
        <v/>
      </c>
    </row>
    <row r="2678">
      <c r="B2678" t="n">
        <v>34411323</v>
      </c>
      <c r="C2678" s="2" t="n">
        <v>44943</v>
      </c>
      <c r="D2678" t="inlineStr">
        <is>
          <t>SPEC</t>
        </is>
      </c>
      <c r="E2678" t="inlineStr">
        <is>
          <t>SMT PLASTRON UIB 2 NSX VERTICAL</t>
        </is>
      </c>
      <c r="G2678" t="inlineStr">
        <is>
          <t>GVL</t>
        </is>
      </c>
      <c r="H2678" t="inlineStr">
        <is>
          <t>BYPASS</t>
        </is>
      </c>
      <c r="J2678" t="inlineStr">
        <is>
          <t>BERNARDEAU</t>
        </is>
      </c>
      <c r="K2678" t="inlineStr">
        <is>
          <t>METAL</t>
        </is>
      </c>
      <c r="L2678">
        <f>_xlfn.XLOOKUP(Tableau1[[#This Row],[TYPE DE PIECE]],Tableau4[MATIERE],Tableau4[SHORT TYPE],"",0,1)</f>
        <v/>
      </c>
      <c r="N2678">
        <f>IF(ISERR(FIND("DECOUPE",Tableau1[[#This Row],[DESIGNATION]])),"","NEED REF")</f>
        <v/>
      </c>
    </row>
    <row r="2679">
      <c r="B2679" t="n">
        <v>34411322</v>
      </c>
      <c r="C2679" s="2" t="n">
        <v>44939</v>
      </c>
      <c r="D2679" t="inlineStr">
        <is>
          <t>SPEC</t>
        </is>
      </c>
      <c r="E2679">
        <f>_xlfn.CONCAT(Tableau1[[#This Row],[SHORT TYPE]]," ",Tableau1[[#This Row],[NUMERO]]," ",Tableau1[[#This Row],[GAMME]]," ",Tableau1[[#This Row],[TYPE PRODUIT]]," ",Tableau1[[#This Row],[PUISSANCE]])</f>
        <v/>
      </c>
      <c r="F2679" t="inlineStr">
        <is>
          <t>DATA4 DC07</t>
        </is>
      </c>
      <c r="G2679" t="inlineStr">
        <is>
          <t>GVL</t>
        </is>
      </c>
      <c r="H2679" t="inlineStr">
        <is>
          <t>BYPASS</t>
        </is>
      </c>
      <c r="J2679" t="inlineStr">
        <is>
          <t>MATRION</t>
        </is>
      </c>
      <c r="K2679" t="inlineStr">
        <is>
          <t>CUIVRE</t>
        </is>
      </c>
      <c r="L2679">
        <f>_xlfn.XLOOKUP(Tableau1[[#This Row],[TYPE DE PIECE]],Tableau4[MATIERE],Tableau4[SHORT TYPE],"",0,1)</f>
        <v/>
      </c>
      <c r="N2679">
        <f>IF(ISERR(FIND("DECOUPE",Tableau1[[#This Row],[DESIGNATION]])),"","NEED REF")</f>
        <v/>
      </c>
    </row>
    <row r="2680">
      <c r="B2680" t="n">
        <v>34411321</v>
      </c>
      <c r="C2680" s="2" t="n">
        <v>44939</v>
      </c>
      <c r="D2680" t="inlineStr">
        <is>
          <t>SPEC</t>
        </is>
      </c>
      <c r="E2680">
        <f>_xlfn.CONCAT(Tableau1[[#This Row],[SHORT TYPE]]," ",Tableau1[[#This Row],[NUMERO]]," ",Tableau1[[#This Row],[GAMME]]," ",Tableau1[[#This Row],[TYPE PRODUIT]]," ",Tableau1[[#This Row],[PUISSANCE]])</f>
        <v/>
      </c>
      <c r="F2680" t="inlineStr">
        <is>
          <t>DATA4 DC07</t>
        </is>
      </c>
      <c r="G2680" t="inlineStr">
        <is>
          <t>GVL</t>
        </is>
      </c>
      <c r="H2680" t="inlineStr">
        <is>
          <t>BYPASS</t>
        </is>
      </c>
      <c r="J2680" t="inlineStr">
        <is>
          <t>MATRION</t>
        </is>
      </c>
      <c r="K2680" t="inlineStr">
        <is>
          <t>CUIVRE</t>
        </is>
      </c>
      <c r="L2680">
        <f>_xlfn.XLOOKUP(Tableau1[[#This Row],[TYPE DE PIECE]],Tableau4[MATIERE],Tableau4[SHORT TYPE],"",0,1)</f>
        <v/>
      </c>
      <c r="N2680">
        <f>IF(ISERR(FIND("DECOUPE",Tableau1[[#This Row],[DESIGNATION]])),"","NEED REF")</f>
        <v/>
      </c>
    </row>
    <row r="2681">
      <c r="B2681" t="n">
        <v>34411320</v>
      </c>
      <c r="C2681" s="2" t="n">
        <v>44939</v>
      </c>
      <c r="D2681" t="inlineStr">
        <is>
          <t>SPEC</t>
        </is>
      </c>
      <c r="E2681">
        <f>_xlfn.CONCAT(Tableau1[[#This Row],[SHORT TYPE]]," ",Tableau1[[#This Row],[NUMERO]]," ",Tableau1[[#This Row],[GAMME]]," ",Tableau1[[#This Row],[TYPE PRODUIT]]," ",Tableau1[[#This Row],[PUISSANCE]])</f>
        <v/>
      </c>
      <c r="F2681" t="inlineStr">
        <is>
          <t>DATA4 DC07</t>
        </is>
      </c>
      <c r="G2681" t="inlineStr">
        <is>
          <t>GVL</t>
        </is>
      </c>
      <c r="H2681" t="inlineStr">
        <is>
          <t>BYPASS</t>
        </is>
      </c>
      <c r="J2681" t="inlineStr">
        <is>
          <t>MATRION</t>
        </is>
      </c>
      <c r="K2681" t="inlineStr">
        <is>
          <t>CUIVRE</t>
        </is>
      </c>
      <c r="L2681">
        <f>_xlfn.XLOOKUP(Tableau1[[#This Row],[TYPE DE PIECE]],Tableau4[MATIERE],Tableau4[SHORT TYPE],"",0,1)</f>
        <v/>
      </c>
      <c r="N2681">
        <f>IF(ISERR(FIND("DECOUPE",Tableau1[[#This Row],[DESIGNATION]])),"","NEED REF")</f>
        <v/>
      </c>
    </row>
    <row r="2682">
      <c r="B2682" t="n">
        <v>34411319</v>
      </c>
      <c r="C2682" s="2" t="n">
        <v>44939</v>
      </c>
      <c r="D2682" t="inlineStr">
        <is>
          <t>SPEC</t>
        </is>
      </c>
      <c r="E2682">
        <f>_xlfn.CONCAT(Tableau1[[#This Row],[SHORT TYPE]]," ",Tableau1[[#This Row],[NUMERO]]," ",Tableau1[[#This Row],[GAMME]]," ",Tableau1[[#This Row],[TYPE PRODUIT]]," ",Tableau1[[#This Row],[PUISSANCE]])</f>
        <v/>
      </c>
      <c r="F2682" t="inlineStr">
        <is>
          <t>DATA4 DC07</t>
        </is>
      </c>
      <c r="G2682" t="inlineStr">
        <is>
          <t>GVL</t>
        </is>
      </c>
      <c r="H2682" t="inlineStr">
        <is>
          <t>BYPASS</t>
        </is>
      </c>
      <c r="J2682" t="inlineStr">
        <is>
          <t>MATRION</t>
        </is>
      </c>
      <c r="K2682" t="inlineStr">
        <is>
          <t>CUIVRE</t>
        </is>
      </c>
      <c r="L2682">
        <f>_xlfn.XLOOKUP(Tableau1[[#This Row],[TYPE DE PIECE]],Tableau4[MATIERE],Tableau4[SHORT TYPE],"",0,1)</f>
        <v/>
      </c>
      <c r="N2682">
        <f>IF(ISERR(FIND("DECOUPE",Tableau1[[#This Row],[DESIGNATION]])),"","NEED REF")</f>
        <v/>
      </c>
    </row>
    <row r="2683">
      <c r="B2683" t="n">
        <v>34411318</v>
      </c>
      <c r="C2683" s="2" t="n">
        <v>44939</v>
      </c>
      <c r="D2683" t="inlineStr">
        <is>
          <t>SPEC</t>
        </is>
      </c>
      <c r="E2683">
        <f>_xlfn.CONCAT(Tableau1[[#This Row],[SHORT TYPE]]," ",Tableau1[[#This Row],[NUMERO]]," ",Tableau1[[#This Row],[GAMME]]," ",Tableau1[[#This Row],[TYPE PRODUIT]]," ",Tableau1[[#This Row],[PUISSANCE]])</f>
        <v/>
      </c>
      <c r="F2683" t="inlineStr">
        <is>
          <t>DATA4 DC07</t>
        </is>
      </c>
      <c r="G2683" t="inlineStr">
        <is>
          <t>GVL</t>
        </is>
      </c>
      <c r="H2683" t="inlineStr">
        <is>
          <t>BYPASS</t>
        </is>
      </c>
      <c r="J2683" t="inlineStr">
        <is>
          <t>MATRION</t>
        </is>
      </c>
      <c r="K2683" t="inlineStr">
        <is>
          <t>CUIVRE</t>
        </is>
      </c>
      <c r="L2683">
        <f>_xlfn.XLOOKUP(Tableau1[[#This Row],[TYPE DE PIECE]],Tableau4[MATIERE],Tableau4[SHORT TYPE],"",0,1)</f>
        <v/>
      </c>
      <c r="N2683">
        <f>IF(ISERR(FIND("DECOUPE",Tableau1[[#This Row],[DESIGNATION]])),"","NEED REF")</f>
        <v/>
      </c>
    </row>
    <row r="2684">
      <c r="B2684" t="n">
        <v>34411317</v>
      </c>
      <c r="C2684" s="2" t="n">
        <v>44939</v>
      </c>
      <c r="D2684" t="inlineStr">
        <is>
          <t>SPEC</t>
        </is>
      </c>
      <c r="E2684">
        <f>_xlfn.CONCAT(Tableau1[[#This Row],[SHORT TYPE]]," ",Tableau1[[#This Row],[NUMERO]]," ",Tableau1[[#This Row],[GAMME]]," ",Tableau1[[#This Row],[TYPE PRODUIT]]," ",Tableau1[[#This Row],[PUISSANCE]])</f>
        <v/>
      </c>
      <c r="F2684" t="inlineStr">
        <is>
          <t>DATA4 DC07</t>
        </is>
      </c>
      <c r="G2684" t="inlineStr">
        <is>
          <t>GVL</t>
        </is>
      </c>
      <c r="H2684" t="inlineStr">
        <is>
          <t>BYPASS</t>
        </is>
      </c>
      <c r="J2684" t="inlineStr">
        <is>
          <t>MATRION</t>
        </is>
      </c>
      <c r="K2684" t="inlineStr">
        <is>
          <t>CUIVRE</t>
        </is>
      </c>
      <c r="L2684">
        <f>_xlfn.XLOOKUP(Tableau1[[#This Row],[TYPE DE PIECE]],Tableau4[MATIERE],Tableau4[SHORT TYPE],"",0,1)</f>
        <v/>
      </c>
      <c r="N2684">
        <f>IF(ISERR(FIND("DECOUPE",Tableau1[[#This Row],[DESIGNATION]])),"","NEED REF")</f>
        <v/>
      </c>
    </row>
    <row r="2685">
      <c r="B2685" t="n">
        <v>34411316</v>
      </c>
      <c r="C2685" s="2" t="n">
        <v>44939</v>
      </c>
      <c r="D2685" t="inlineStr">
        <is>
          <t>SPEC</t>
        </is>
      </c>
      <c r="E2685">
        <f>_xlfn.CONCAT(Tableau1[[#This Row],[SHORT TYPE]]," ",Tableau1[[#This Row],[NUMERO]]," ",Tableau1[[#This Row],[GAMME]]," ",Tableau1[[#This Row],[TYPE PRODUIT]]," ",Tableau1[[#This Row],[PUISSANCE]])</f>
        <v/>
      </c>
      <c r="F2685" t="inlineStr">
        <is>
          <t>DATA4 DC07</t>
        </is>
      </c>
      <c r="G2685" t="inlineStr">
        <is>
          <t>GVL</t>
        </is>
      </c>
      <c r="H2685" t="inlineStr">
        <is>
          <t>BYPASS</t>
        </is>
      </c>
      <c r="J2685" t="inlineStr">
        <is>
          <t>MATRION</t>
        </is>
      </c>
      <c r="K2685" t="inlineStr">
        <is>
          <t>CUIVRE</t>
        </is>
      </c>
      <c r="L2685">
        <f>_xlfn.XLOOKUP(Tableau1[[#This Row],[TYPE DE PIECE]],Tableau4[MATIERE],Tableau4[SHORT TYPE],"",0,1)</f>
        <v/>
      </c>
      <c r="N2685">
        <f>IF(ISERR(FIND("DECOUPE",Tableau1[[#This Row],[DESIGNATION]])),"","NEED REF")</f>
        <v/>
      </c>
    </row>
    <row r="2686">
      <c r="B2686" t="n">
        <v>34411315</v>
      </c>
      <c r="C2686" s="2" t="n">
        <v>44939</v>
      </c>
      <c r="D2686" t="inlineStr">
        <is>
          <t>SPEC</t>
        </is>
      </c>
      <c r="E2686">
        <f>_xlfn.CONCAT(Tableau1[[#This Row],[SHORT TYPE]]," ",Tableau1[[#This Row],[NUMERO]]," ",Tableau1[[#This Row],[GAMME]]," ",Tableau1[[#This Row],[TYPE PRODUIT]]," ",Tableau1[[#This Row],[PUISSANCE]])</f>
        <v/>
      </c>
      <c r="F2686" t="inlineStr">
        <is>
          <t>DATA4 DC07</t>
        </is>
      </c>
      <c r="G2686" t="inlineStr">
        <is>
          <t>GVL</t>
        </is>
      </c>
      <c r="H2686" t="inlineStr">
        <is>
          <t>BYPASS</t>
        </is>
      </c>
      <c r="J2686" t="inlineStr">
        <is>
          <t>MATRION</t>
        </is>
      </c>
      <c r="K2686" t="inlineStr">
        <is>
          <t>CUIVRE</t>
        </is>
      </c>
      <c r="L2686">
        <f>_xlfn.XLOOKUP(Tableau1[[#This Row],[TYPE DE PIECE]],Tableau4[MATIERE],Tableau4[SHORT TYPE],"",0,1)</f>
        <v/>
      </c>
      <c r="N2686">
        <f>IF(ISERR(FIND("DECOUPE",Tableau1[[#This Row],[DESIGNATION]])),"","NEED REF")</f>
        <v/>
      </c>
    </row>
    <row r="2687">
      <c r="B2687" t="n">
        <v>34411314</v>
      </c>
      <c r="C2687" s="2" t="n">
        <v>44939</v>
      </c>
      <c r="D2687" t="inlineStr">
        <is>
          <t>SPEC</t>
        </is>
      </c>
      <c r="E2687">
        <f>_xlfn.CONCAT(Tableau1[[#This Row],[SHORT TYPE]]," ",Tableau1[[#This Row],[NUMERO]]," ",Tableau1[[#This Row],[GAMME]]," ",Tableau1[[#This Row],[TYPE PRODUIT]]," ",Tableau1[[#This Row],[PUISSANCE]])</f>
        <v/>
      </c>
      <c r="F2687" t="inlineStr">
        <is>
          <t>DATA4 DC07</t>
        </is>
      </c>
      <c r="G2687" t="inlineStr">
        <is>
          <t>GVL</t>
        </is>
      </c>
      <c r="H2687" t="inlineStr">
        <is>
          <t>BYPASS</t>
        </is>
      </c>
      <c r="J2687" t="inlineStr">
        <is>
          <t>MATRION</t>
        </is>
      </c>
      <c r="K2687" t="inlineStr">
        <is>
          <t>CUIVRE</t>
        </is>
      </c>
      <c r="L2687">
        <f>_xlfn.XLOOKUP(Tableau1[[#This Row],[TYPE DE PIECE]],Tableau4[MATIERE],Tableau4[SHORT TYPE],"",0,1)</f>
        <v/>
      </c>
      <c r="N2687">
        <f>IF(ISERR(FIND("DECOUPE",Tableau1[[#This Row],[DESIGNATION]])),"","NEED REF")</f>
        <v/>
      </c>
    </row>
    <row r="2688">
      <c r="B2688" t="n">
        <v>34411313</v>
      </c>
      <c r="C2688" s="2" t="n">
        <v>44939</v>
      </c>
      <c r="D2688" t="inlineStr">
        <is>
          <t>SPEC</t>
        </is>
      </c>
      <c r="E2688">
        <f>_xlfn.CONCAT(Tableau1[[#This Row],[SHORT TYPE]]," ",Tableau1[[#This Row],[NUMERO]]," ",Tableau1[[#This Row],[GAMME]]," ",Tableau1[[#This Row],[TYPE PRODUIT]]," ",Tableau1[[#This Row],[PUISSANCE]])</f>
        <v/>
      </c>
      <c r="F2688" t="inlineStr">
        <is>
          <t>DATA4 DC07</t>
        </is>
      </c>
      <c r="G2688" t="inlineStr">
        <is>
          <t>GVL</t>
        </is>
      </c>
      <c r="H2688" t="inlineStr">
        <is>
          <t>BYPASS</t>
        </is>
      </c>
      <c r="J2688" t="inlineStr">
        <is>
          <t>MATRION</t>
        </is>
      </c>
      <c r="K2688" t="inlineStr">
        <is>
          <t>CUIVRE</t>
        </is>
      </c>
      <c r="L2688">
        <f>_xlfn.XLOOKUP(Tableau1[[#This Row],[TYPE DE PIECE]],Tableau4[MATIERE],Tableau4[SHORT TYPE],"",0,1)</f>
        <v/>
      </c>
      <c r="N2688">
        <f>IF(ISERR(FIND("DECOUPE",Tableau1[[#This Row],[DESIGNATION]])),"","NEED REF")</f>
        <v/>
      </c>
    </row>
    <row r="2689">
      <c r="B2689" t="n">
        <v>34411312</v>
      </c>
      <c r="C2689" s="2" t="n">
        <v>44939</v>
      </c>
      <c r="D2689" t="inlineStr">
        <is>
          <t>SPEC</t>
        </is>
      </c>
      <c r="E2689">
        <f>_xlfn.CONCAT(Tableau1[[#This Row],[SHORT TYPE]]," ",Tableau1[[#This Row],[NUMERO]]," ",Tableau1[[#This Row],[GAMME]]," ",Tableau1[[#This Row],[TYPE PRODUIT]]," ",Tableau1[[#This Row],[PUISSANCE]])</f>
        <v/>
      </c>
      <c r="F2689" t="inlineStr">
        <is>
          <t>DATA4 DC07</t>
        </is>
      </c>
      <c r="G2689" t="inlineStr">
        <is>
          <t>GVL</t>
        </is>
      </c>
      <c r="H2689" t="inlineStr">
        <is>
          <t>BYPASS</t>
        </is>
      </c>
      <c r="J2689" t="inlineStr">
        <is>
          <t>MATRION</t>
        </is>
      </c>
      <c r="K2689" t="inlineStr">
        <is>
          <t>CUIVRE</t>
        </is>
      </c>
      <c r="L2689">
        <f>_xlfn.XLOOKUP(Tableau1[[#This Row],[TYPE DE PIECE]],Tableau4[MATIERE],Tableau4[SHORT TYPE],"",0,1)</f>
        <v/>
      </c>
      <c r="N2689">
        <f>IF(ISERR(FIND("DECOUPE",Tableau1[[#This Row],[DESIGNATION]])),"","NEED REF")</f>
        <v/>
      </c>
    </row>
    <row r="2690">
      <c r="B2690" t="n">
        <v>34411311</v>
      </c>
      <c r="C2690" s="2" t="n">
        <v>44939</v>
      </c>
      <c r="D2690" t="inlineStr">
        <is>
          <t>SPEC</t>
        </is>
      </c>
      <c r="E2690">
        <f>_xlfn.CONCAT(Tableau1[[#This Row],[SHORT TYPE]]," ",Tableau1[[#This Row],[NUMERO]]," ",Tableau1[[#This Row],[GAMME]]," ",Tableau1[[#This Row],[TYPE PRODUIT]]," ",Tableau1[[#This Row],[PUISSANCE]])</f>
        <v/>
      </c>
      <c r="F2690" t="inlineStr">
        <is>
          <t>DATA4 DC07</t>
        </is>
      </c>
      <c r="G2690" t="inlineStr">
        <is>
          <t>GVL</t>
        </is>
      </c>
      <c r="H2690" t="inlineStr">
        <is>
          <t>BYPASS</t>
        </is>
      </c>
      <c r="J2690" t="inlineStr">
        <is>
          <t>MATRION</t>
        </is>
      </c>
      <c r="K2690" t="inlineStr">
        <is>
          <t>CUIVRE</t>
        </is>
      </c>
      <c r="L2690">
        <f>_xlfn.XLOOKUP(Tableau1[[#This Row],[TYPE DE PIECE]],Tableau4[MATIERE],Tableau4[SHORT TYPE],"",0,1)</f>
        <v/>
      </c>
      <c r="N2690">
        <f>IF(ISERR(FIND("DECOUPE",Tableau1[[#This Row],[DESIGNATION]])),"","NEED REF")</f>
        <v/>
      </c>
    </row>
    <row r="2691">
      <c r="B2691" t="n">
        <v>34411310</v>
      </c>
      <c r="C2691" s="2" t="n">
        <v>44938</v>
      </c>
      <c r="D2691" t="inlineStr">
        <is>
          <t>SPEC</t>
        </is>
      </c>
      <c r="E2691">
        <f>_xlfn.CONCAT(Tableau1[[#This Row],[SHORT TYPE]]," ",Tableau1[[#This Row],[NUMERO]]," ",Tableau1[[#This Row],[GAMME]]," ",Tableau1[[#This Row],[TYPE PRODUIT]]," ",Tableau1[[#This Row],[PUISSANCE]])</f>
        <v/>
      </c>
      <c r="F2691" t="inlineStr">
        <is>
          <t>DATA4 DC07</t>
        </is>
      </c>
      <c r="G2691" t="inlineStr">
        <is>
          <t>GVL</t>
        </is>
      </c>
      <c r="H2691" t="inlineStr">
        <is>
          <t>BYPASS</t>
        </is>
      </c>
      <c r="J2691" t="inlineStr">
        <is>
          <t>MATRION</t>
        </is>
      </c>
      <c r="K2691" t="inlineStr">
        <is>
          <t>CUIVRE</t>
        </is>
      </c>
      <c r="L2691">
        <f>_xlfn.XLOOKUP(Tableau1[[#This Row],[TYPE DE PIECE]],Tableau4[MATIERE],Tableau4[SHORT TYPE],"",0,1)</f>
        <v/>
      </c>
      <c r="N2691">
        <f>IF(ISERR(FIND("DECOUPE",Tableau1[[#This Row],[DESIGNATION]])),"","NEED REF")</f>
        <v/>
      </c>
    </row>
    <row r="2692">
      <c r="B2692" t="n">
        <v>34411309</v>
      </c>
      <c r="C2692" s="2" t="n">
        <v>44938</v>
      </c>
      <c r="D2692" t="inlineStr">
        <is>
          <t>SPEC</t>
        </is>
      </c>
      <c r="E2692">
        <f>_xlfn.CONCAT(Tableau1[[#This Row],[SHORT TYPE]]," ",Tableau1[[#This Row],[NUMERO]]," ",Tableau1[[#This Row],[GAMME]]," ",Tableau1[[#This Row],[TYPE PRODUIT]]," ",Tableau1[[#This Row],[PUISSANCE]])</f>
        <v/>
      </c>
      <c r="F2692" t="inlineStr">
        <is>
          <t>DATA4 DC07</t>
        </is>
      </c>
      <c r="G2692" t="inlineStr">
        <is>
          <t>GVL</t>
        </is>
      </c>
      <c r="H2692" t="inlineStr">
        <is>
          <t>BYPASS</t>
        </is>
      </c>
      <c r="J2692" t="inlineStr">
        <is>
          <t>MATRION</t>
        </is>
      </c>
      <c r="K2692" t="inlineStr">
        <is>
          <t>CUIVRE</t>
        </is>
      </c>
      <c r="L2692">
        <f>_xlfn.XLOOKUP(Tableau1[[#This Row],[TYPE DE PIECE]],Tableau4[MATIERE],Tableau4[SHORT TYPE],"",0,1)</f>
        <v/>
      </c>
      <c r="N2692">
        <f>IF(ISERR(FIND("DECOUPE",Tableau1[[#This Row],[DESIGNATION]])),"","NEED REF")</f>
        <v/>
      </c>
    </row>
    <row r="2693">
      <c r="B2693" t="n">
        <v>34411308</v>
      </c>
      <c r="C2693" s="2" t="n">
        <v>44938</v>
      </c>
      <c r="D2693" t="inlineStr">
        <is>
          <t>SPEC</t>
        </is>
      </c>
      <c r="E2693">
        <f>_xlfn.CONCAT(Tableau1[[#This Row],[SHORT TYPE]]," ",Tableau1[[#This Row],[NUMERO]]," ",Tableau1[[#This Row],[GAMME]]," ",Tableau1[[#This Row],[TYPE PRODUIT]]," ",Tableau1[[#This Row],[PUISSANCE]])</f>
        <v/>
      </c>
      <c r="F2693" t="inlineStr">
        <is>
          <t>DATA4 DC07</t>
        </is>
      </c>
      <c r="G2693" t="inlineStr">
        <is>
          <t>GVL</t>
        </is>
      </c>
      <c r="H2693" t="inlineStr">
        <is>
          <t>BYPASS</t>
        </is>
      </c>
      <c r="J2693" t="inlineStr">
        <is>
          <t>MATRION</t>
        </is>
      </c>
      <c r="K2693" t="inlineStr">
        <is>
          <t>CUIVRE</t>
        </is>
      </c>
      <c r="L2693">
        <f>_xlfn.XLOOKUP(Tableau1[[#This Row],[TYPE DE PIECE]],Tableau4[MATIERE],Tableau4[SHORT TYPE],"",0,1)</f>
        <v/>
      </c>
      <c r="N2693">
        <f>IF(ISERR(FIND("DECOUPE",Tableau1[[#This Row],[DESIGNATION]])),"","NEED REF")</f>
        <v/>
      </c>
    </row>
    <row r="2694">
      <c r="B2694" t="n">
        <v>34411307</v>
      </c>
      <c r="C2694" s="2" t="n">
        <v>44938</v>
      </c>
      <c r="D2694" t="inlineStr">
        <is>
          <t>SPEC</t>
        </is>
      </c>
      <c r="E2694">
        <f>_xlfn.CONCAT(Tableau1[[#This Row],[SHORT TYPE]]," ",Tableau1[[#This Row],[NUMERO]]," ",Tableau1[[#This Row],[GAMME]]," ",Tableau1[[#This Row],[TYPE PRODUIT]]," ",Tableau1[[#This Row],[PUISSANCE]])</f>
        <v/>
      </c>
      <c r="F2694" t="inlineStr">
        <is>
          <t>DATA4 DC07</t>
        </is>
      </c>
      <c r="G2694" t="inlineStr">
        <is>
          <t>GVL</t>
        </is>
      </c>
      <c r="H2694" t="inlineStr">
        <is>
          <t>BYPASS</t>
        </is>
      </c>
      <c r="J2694" t="inlineStr">
        <is>
          <t>MATRION</t>
        </is>
      </c>
      <c r="K2694" t="inlineStr">
        <is>
          <t>CUIVRE</t>
        </is>
      </c>
      <c r="L2694">
        <f>_xlfn.XLOOKUP(Tableau1[[#This Row],[TYPE DE PIECE]],Tableau4[MATIERE],Tableau4[SHORT TYPE],"",0,1)</f>
        <v/>
      </c>
      <c r="N2694">
        <f>IF(ISERR(FIND("DECOUPE",Tableau1[[#This Row],[DESIGNATION]])),"","NEED REF")</f>
        <v/>
      </c>
    </row>
    <row r="2695">
      <c r="B2695" t="n">
        <v>34411306</v>
      </c>
      <c r="C2695" s="2" t="n">
        <v>44938</v>
      </c>
      <c r="D2695" t="inlineStr">
        <is>
          <t>SPEC</t>
        </is>
      </c>
      <c r="E2695">
        <f>_xlfn.CONCAT(Tableau1[[#This Row],[SHORT TYPE]]," ",Tableau1[[#This Row],[NUMERO]]," ",Tableau1[[#This Row],[GAMME]]," ",Tableau1[[#This Row],[TYPE PRODUIT]]," ",Tableau1[[#This Row],[PUISSANCE]])</f>
        <v/>
      </c>
      <c r="F2695" t="inlineStr">
        <is>
          <t>DATA4 DC07</t>
        </is>
      </c>
      <c r="G2695" t="inlineStr">
        <is>
          <t>GVL</t>
        </is>
      </c>
      <c r="H2695" t="inlineStr">
        <is>
          <t>BYPASS</t>
        </is>
      </c>
      <c r="J2695" t="inlineStr">
        <is>
          <t>MATRION</t>
        </is>
      </c>
      <c r="K2695" t="inlineStr">
        <is>
          <t>CUIVRE</t>
        </is>
      </c>
      <c r="L2695">
        <f>_xlfn.XLOOKUP(Tableau1[[#This Row],[TYPE DE PIECE]],Tableau4[MATIERE],Tableau4[SHORT TYPE],"",0,1)</f>
        <v/>
      </c>
      <c r="N2695">
        <f>IF(ISERR(FIND("DECOUPE",Tableau1[[#This Row],[DESIGNATION]])),"","NEED REF")</f>
        <v/>
      </c>
    </row>
    <row r="2696">
      <c r="B2696" t="n">
        <v>34411305</v>
      </c>
      <c r="C2696" s="2" t="n">
        <v>44938</v>
      </c>
      <c r="D2696" t="inlineStr">
        <is>
          <t>SPEC</t>
        </is>
      </c>
      <c r="E2696">
        <f>_xlfn.CONCAT(Tableau1[[#This Row],[SHORT TYPE]]," ",Tableau1[[#This Row],[NUMERO]]," ",Tableau1[[#This Row],[GAMME]]," ",Tableau1[[#This Row],[TYPE PRODUIT]]," ",Tableau1[[#This Row],[PUISSANCE]])</f>
        <v/>
      </c>
      <c r="F2696" t="inlineStr">
        <is>
          <t>DATA4 DC07</t>
        </is>
      </c>
      <c r="G2696" t="inlineStr">
        <is>
          <t>GVL</t>
        </is>
      </c>
      <c r="H2696" t="inlineStr">
        <is>
          <t>BYPASS</t>
        </is>
      </c>
      <c r="J2696" t="inlineStr">
        <is>
          <t>MATRION</t>
        </is>
      </c>
      <c r="K2696" t="inlineStr">
        <is>
          <t>CUIVRE</t>
        </is>
      </c>
      <c r="L2696">
        <f>_xlfn.XLOOKUP(Tableau1[[#This Row],[TYPE DE PIECE]],Tableau4[MATIERE],Tableau4[SHORT TYPE],"",0,1)</f>
        <v/>
      </c>
      <c r="N2696">
        <f>IF(ISERR(FIND("DECOUPE",Tableau1[[#This Row],[DESIGNATION]])),"","NEED REF")</f>
        <v/>
      </c>
    </row>
    <row r="2697">
      <c r="B2697" t="n">
        <v>34411304</v>
      </c>
      <c r="C2697" s="2" t="n">
        <v>44938</v>
      </c>
      <c r="D2697" t="inlineStr">
        <is>
          <t>SPEC</t>
        </is>
      </c>
      <c r="E2697">
        <f>_xlfn.CONCAT(Tableau1[[#This Row],[SHORT TYPE]]," ",Tableau1[[#This Row],[NUMERO]]," ",Tableau1[[#This Row],[GAMME]]," ",Tableau1[[#This Row],[TYPE PRODUIT]]," ",Tableau1[[#This Row],[PUISSANCE]])</f>
        <v/>
      </c>
      <c r="F2697" t="inlineStr">
        <is>
          <t>DATA4 DC07</t>
        </is>
      </c>
      <c r="G2697" t="inlineStr">
        <is>
          <t>GVL</t>
        </is>
      </c>
      <c r="H2697" t="inlineStr">
        <is>
          <t>BYPASS</t>
        </is>
      </c>
      <c r="J2697" t="inlineStr">
        <is>
          <t>MATRION</t>
        </is>
      </c>
      <c r="K2697" t="inlineStr">
        <is>
          <t>CUIVRE</t>
        </is>
      </c>
      <c r="L2697">
        <f>_xlfn.XLOOKUP(Tableau1[[#This Row],[TYPE DE PIECE]],Tableau4[MATIERE],Tableau4[SHORT TYPE],"",0,1)</f>
        <v/>
      </c>
      <c r="N2697">
        <f>IF(ISERR(FIND("DECOUPE",Tableau1[[#This Row],[DESIGNATION]])),"","NEED REF")</f>
        <v/>
      </c>
    </row>
    <row r="2698">
      <c r="B2698" t="n">
        <v>34411303</v>
      </c>
      <c r="C2698" s="2" t="n">
        <v>44938</v>
      </c>
      <c r="D2698" t="inlineStr">
        <is>
          <t>SPEC</t>
        </is>
      </c>
      <c r="E2698" t="inlineStr">
        <is>
          <t>SMT PLASTRON UIB PLEIN</t>
        </is>
      </c>
      <c r="G2698" t="inlineStr">
        <is>
          <t>GVL</t>
        </is>
      </c>
      <c r="H2698" t="inlineStr">
        <is>
          <t>BYPASS</t>
        </is>
      </c>
      <c r="J2698" t="inlineStr">
        <is>
          <t>BERNARDEAU</t>
        </is>
      </c>
      <c r="K2698" t="inlineStr">
        <is>
          <t>METAL</t>
        </is>
      </c>
      <c r="L2698">
        <f>_xlfn.XLOOKUP(Tableau1[[#This Row],[TYPE DE PIECE]],Tableau4[MATIERE],Tableau4[SHORT TYPE],"",0,1)</f>
        <v/>
      </c>
      <c r="N2698">
        <f>IF(ISERR(FIND("DECOUPE",Tableau1[[#This Row],[DESIGNATION]])),"","NEED REF")</f>
        <v/>
      </c>
    </row>
    <row r="2699">
      <c r="B2699" t="n">
        <v>34411302</v>
      </c>
      <c r="C2699" s="2" t="n">
        <v>44938</v>
      </c>
      <c r="D2699" t="inlineStr">
        <is>
          <t>SPEC</t>
        </is>
      </c>
      <c r="E2699" t="inlineStr">
        <is>
          <t>SMT PLASTRON UOB PLEIN</t>
        </is>
      </c>
      <c r="G2699" t="inlineStr">
        <is>
          <t>GVL</t>
        </is>
      </c>
      <c r="H2699" t="inlineStr">
        <is>
          <t>BYPASS</t>
        </is>
      </c>
      <c r="J2699" t="inlineStr">
        <is>
          <t>BERNARDEAU</t>
        </is>
      </c>
      <c r="K2699" t="inlineStr">
        <is>
          <t>METAL</t>
        </is>
      </c>
      <c r="L2699">
        <f>_xlfn.XLOOKUP(Tableau1[[#This Row],[TYPE DE PIECE]],Tableau4[MATIERE],Tableau4[SHORT TYPE],"",0,1)</f>
        <v/>
      </c>
      <c r="N2699">
        <f>IF(ISERR(FIND("DECOUPE",Tableau1[[#This Row],[DESIGNATION]])),"","NEED REF")</f>
        <v/>
      </c>
    </row>
    <row r="2700">
      <c r="B2700" t="n">
        <v>34411301</v>
      </c>
      <c r="C2700" s="2" t="n">
        <v>44938</v>
      </c>
      <c r="D2700" t="inlineStr">
        <is>
          <t>SPEC</t>
        </is>
      </c>
      <c r="E2700">
        <f>_xlfn.CONCAT(Tableau1[[#This Row],[SHORT TYPE]]," ",Tableau1[[#This Row],[NUMERO]]," ",Tableau1[[#This Row],[GAMME]]," ",Tableau1[[#This Row],[TYPE PRODUIT]]," ",Tableau1[[#This Row],[PUISSANCE]])</f>
        <v/>
      </c>
      <c r="F2700" t="inlineStr">
        <is>
          <t>DATA4 DC07</t>
        </is>
      </c>
      <c r="G2700" t="inlineStr">
        <is>
          <t>GVL</t>
        </is>
      </c>
      <c r="H2700" t="inlineStr">
        <is>
          <t>BYPASS</t>
        </is>
      </c>
      <c r="J2700" t="inlineStr">
        <is>
          <t>MATRION</t>
        </is>
      </c>
      <c r="K2700" t="inlineStr">
        <is>
          <t>CUIVRE</t>
        </is>
      </c>
      <c r="L2700">
        <f>_xlfn.XLOOKUP(Tableau1[[#This Row],[TYPE DE PIECE]],Tableau4[MATIERE],Tableau4[SHORT TYPE],"",0,1)</f>
        <v/>
      </c>
      <c r="N2700">
        <f>IF(ISERR(FIND("DECOUPE",Tableau1[[#This Row],[DESIGNATION]])),"","NEED REF")</f>
        <v/>
      </c>
    </row>
    <row r="2701">
      <c r="B2701" t="n">
        <v>34411300</v>
      </c>
      <c r="C2701" s="2" t="n">
        <v>44938</v>
      </c>
      <c r="D2701" t="inlineStr">
        <is>
          <t>SPEC</t>
        </is>
      </c>
      <c r="E2701">
        <f>_xlfn.CONCAT(Tableau1[[#This Row],[SHORT TYPE]]," ",Tableau1[[#This Row],[NUMERO]]," ",Tableau1[[#This Row],[GAMME]]," ",Tableau1[[#This Row],[TYPE PRODUIT]]," ",Tableau1[[#This Row],[PUISSANCE]])</f>
        <v/>
      </c>
      <c r="F2701" t="inlineStr">
        <is>
          <t>DATA4 DC07</t>
        </is>
      </c>
      <c r="G2701" t="inlineStr">
        <is>
          <t>GVL</t>
        </is>
      </c>
      <c r="H2701" t="inlineStr">
        <is>
          <t>BYPASS</t>
        </is>
      </c>
      <c r="J2701" t="inlineStr">
        <is>
          <t>MATRION</t>
        </is>
      </c>
      <c r="K2701" t="inlineStr">
        <is>
          <t>CUIVRE</t>
        </is>
      </c>
      <c r="L2701">
        <f>_xlfn.XLOOKUP(Tableau1[[#This Row],[TYPE DE PIECE]],Tableau4[MATIERE],Tableau4[SHORT TYPE],"",0,1)</f>
        <v/>
      </c>
      <c r="N2701">
        <f>IF(ISERR(FIND("DECOUPE",Tableau1[[#This Row],[DESIGNATION]])),"","NEED REF")</f>
        <v/>
      </c>
    </row>
    <row r="2702">
      <c r="B2702" t="n">
        <v>34411299</v>
      </c>
      <c r="C2702" s="2" t="n">
        <v>44938</v>
      </c>
      <c r="D2702" t="inlineStr">
        <is>
          <t>SPEC</t>
        </is>
      </c>
      <c r="E2702" t="inlineStr">
        <is>
          <t>SMT PLASTRON MT2</t>
        </is>
      </c>
      <c r="G2702" t="inlineStr">
        <is>
          <t>GVL</t>
        </is>
      </c>
      <c r="H2702" t="inlineStr">
        <is>
          <t>BYPASS</t>
        </is>
      </c>
      <c r="J2702" t="inlineStr">
        <is>
          <t>BERNARDEAU</t>
        </is>
      </c>
      <c r="K2702" t="inlineStr">
        <is>
          <t>METAL</t>
        </is>
      </c>
      <c r="L2702">
        <f>_xlfn.XLOOKUP(Tableau1[[#This Row],[TYPE DE PIECE]],Tableau4[MATIERE],Tableau4[SHORT TYPE],"",0,1)</f>
        <v/>
      </c>
      <c r="N2702">
        <f>IF(ISERR(FIND("DECOUPE",Tableau1[[#This Row],[DESIGNATION]])),"","NEED REF")</f>
        <v/>
      </c>
    </row>
    <row r="2703">
      <c r="B2703" t="n">
        <v>34411298</v>
      </c>
      <c r="C2703" s="2" t="n">
        <v>44938</v>
      </c>
      <c r="D2703" t="inlineStr">
        <is>
          <t>SPEC</t>
        </is>
      </c>
      <c r="E2703">
        <f>_xlfn.CONCAT(Tableau1[[#This Row],[SHORT TYPE]]," ",Tableau1[[#This Row],[NUMERO]]," ",Tableau1[[#This Row],[GAMME]]," ",Tableau1[[#This Row],[TYPE PRODUIT]]," ",Tableau1[[#This Row],[PUISSANCE]])</f>
        <v/>
      </c>
      <c r="F2703" t="inlineStr">
        <is>
          <t>DATA4 DC07</t>
        </is>
      </c>
      <c r="G2703" t="inlineStr">
        <is>
          <t>GVL</t>
        </is>
      </c>
      <c r="H2703" t="inlineStr">
        <is>
          <t>BYPASS</t>
        </is>
      </c>
      <c r="J2703" t="inlineStr">
        <is>
          <t>MATRION</t>
        </is>
      </c>
      <c r="K2703" t="inlineStr">
        <is>
          <t>CUIVRE</t>
        </is>
      </c>
      <c r="L2703">
        <f>_xlfn.XLOOKUP(Tableau1[[#This Row],[TYPE DE PIECE]],Tableau4[MATIERE],Tableau4[SHORT TYPE],"",0,1)</f>
        <v/>
      </c>
      <c r="N2703">
        <f>IF(ISERR(FIND("DECOUPE",Tableau1[[#This Row],[DESIGNATION]])),"","NEED REF")</f>
        <v/>
      </c>
    </row>
    <row r="2704">
      <c r="B2704" t="n">
        <v>34411297</v>
      </c>
      <c r="C2704" s="2" t="n">
        <v>44938</v>
      </c>
      <c r="D2704" t="inlineStr">
        <is>
          <t>SPEC</t>
        </is>
      </c>
      <c r="E2704">
        <f>_xlfn.CONCAT(Tableau1[[#This Row],[SHORT TYPE]]," ",Tableau1[[#This Row],[NUMERO]]," ",Tableau1[[#This Row],[GAMME]]," ",Tableau1[[#This Row],[TYPE PRODUIT]]," ",Tableau1[[#This Row],[PUISSANCE]])</f>
        <v/>
      </c>
      <c r="F2704" t="inlineStr">
        <is>
          <t>DATA4 DC07</t>
        </is>
      </c>
      <c r="G2704" t="inlineStr">
        <is>
          <t>GVL</t>
        </is>
      </c>
      <c r="H2704" t="inlineStr">
        <is>
          <t>BYPASS</t>
        </is>
      </c>
      <c r="J2704" t="inlineStr">
        <is>
          <t>MATRION</t>
        </is>
      </c>
      <c r="K2704" t="inlineStr">
        <is>
          <t>CUIVRE</t>
        </is>
      </c>
      <c r="L2704">
        <f>_xlfn.XLOOKUP(Tableau1[[#This Row],[TYPE DE PIECE]],Tableau4[MATIERE],Tableau4[SHORT TYPE],"",0,1)</f>
        <v/>
      </c>
      <c r="N2704">
        <f>IF(ISERR(FIND("DECOUPE",Tableau1[[#This Row],[DESIGNATION]])),"","NEED REF")</f>
        <v/>
      </c>
    </row>
    <row r="2705">
      <c r="B2705" t="n">
        <v>34411296</v>
      </c>
      <c r="C2705" s="2" t="n">
        <v>44938</v>
      </c>
      <c r="D2705" t="inlineStr">
        <is>
          <t>SPEC</t>
        </is>
      </c>
      <c r="E2705">
        <f>_xlfn.CONCAT(Tableau1[[#This Row],[SHORT TYPE]]," ",Tableau1[[#This Row],[NUMERO]]," ",Tableau1[[#This Row],[GAMME]]," ",Tableau1[[#This Row],[TYPE PRODUIT]]," ",Tableau1[[#This Row],[PUISSANCE]])</f>
        <v/>
      </c>
      <c r="F2705" t="inlineStr">
        <is>
          <t>DATA4 DC07</t>
        </is>
      </c>
      <c r="G2705" t="inlineStr">
        <is>
          <t>GVL</t>
        </is>
      </c>
      <c r="H2705" t="inlineStr">
        <is>
          <t>BYPASS</t>
        </is>
      </c>
      <c r="J2705" t="inlineStr">
        <is>
          <t>MATRION</t>
        </is>
      </c>
      <c r="K2705" t="inlineStr">
        <is>
          <t>CUIVRE</t>
        </is>
      </c>
      <c r="L2705">
        <f>_xlfn.XLOOKUP(Tableau1[[#This Row],[TYPE DE PIECE]],Tableau4[MATIERE],Tableau4[SHORT TYPE],"",0,1)</f>
        <v/>
      </c>
      <c r="N2705">
        <f>IF(ISERR(FIND("DECOUPE",Tableau1[[#This Row],[DESIGNATION]])),"","NEED REF")</f>
        <v/>
      </c>
    </row>
    <row r="2706">
      <c r="B2706" t="n">
        <v>34411295</v>
      </c>
      <c r="C2706" s="2" t="n">
        <v>44938</v>
      </c>
      <c r="D2706" t="inlineStr">
        <is>
          <t>SPEC</t>
        </is>
      </c>
      <c r="E2706">
        <f>_xlfn.CONCAT(Tableau1[[#This Row],[SHORT TYPE]]," ",Tableau1[[#This Row],[NUMERO]]," ",Tableau1[[#This Row],[GAMME]]," ",Tableau1[[#This Row],[TYPE PRODUIT]]," ",Tableau1[[#This Row],[PUISSANCE]])</f>
        <v/>
      </c>
      <c r="F2706" t="inlineStr">
        <is>
          <t>DATA4 DC07</t>
        </is>
      </c>
      <c r="G2706" t="inlineStr">
        <is>
          <t>GVL</t>
        </is>
      </c>
      <c r="H2706" t="inlineStr">
        <is>
          <t>BYPASS</t>
        </is>
      </c>
      <c r="J2706" t="inlineStr">
        <is>
          <t>MATRION</t>
        </is>
      </c>
      <c r="K2706" t="inlineStr">
        <is>
          <t>CUIVRE</t>
        </is>
      </c>
      <c r="L2706">
        <f>_xlfn.XLOOKUP(Tableau1[[#This Row],[TYPE DE PIECE]],Tableau4[MATIERE],Tableau4[SHORT TYPE],"",0,1)</f>
        <v/>
      </c>
      <c r="N2706">
        <f>IF(ISERR(FIND("DECOUPE",Tableau1[[#This Row],[DESIGNATION]])),"","NEED REF")</f>
        <v/>
      </c>
    </row>
    <row r="2707">
      <c r="B2707" t="n">
        <v>34411294</v>
      </c>
      <c r="C2707" s="2" t="n">
        <v>44938</v>
      </c>
      <c r="D2707" t="inlineStr">
        <is>
          <t>SPEC</t>
        </is>
      </c>
      <c r="E2707">
        <f>_xlfn.CONCAT(Tableau1[[#This Row],[SHORT TYPE]]," ",Tableau1[[#This Row],[NUMERO]]," ",Tableau1[[#This Row],[GAMME]]," ",Tableau1[[#This Row],[TYPE PRODUIT]]," ",Tableau1[[#This Row],[PUISSANCE]])</f>
        <v/>
      </c>
      <c r="F2707" t="inlineStr">
        <is>
          <t>DATA4 DC07</t>
        </is>
      </c>
      <c r="G2707" t="inlineStr">
        <is>
          <t>GVL</t>
        </is>
      </c>
      <c r="H2707" t="inlineStr">
        <is>
          <t>BYPASS</t>
        </is>
      </c>
      <c r="J2707" t="inlineStr">
        <is>
          <t>MATRION</t>
        </is>
      </c>
      <c r="K2707" t="inlineStr">
        <is>
          <t>CUIVRE</t>
        </is>
      </c>
      <c r="L2707">
        <f>_xlfn.XLOOKUP(Tableau1[[#This Row],[TYPE DE PIECE]],Tableau4[MATIERE],Tableau4[SHORT TYPE],"",0,1)</f>
        <v/>
      </c>
      <c r="N2707">
        <f>IF(ISERR(FIND("DECOUPE",Tableau1[[#This Row],[DESIGNATION]])),"","NEED REF")</f>
        <v/>
      </c>
    </row>
    <row r="2708">
      <c r="B2708" t="n">
        <v>34411293</v>
      </c>
      <c r="C2708" s="2" t="n">
        <v>44938</v>
      </c>
      <c r="D2708" t="inlineStr">
        <is>
          <t>SPEC</t>
        </is>
      </c>
      <c r="L2708">
        <f>_xlfn.XLOOKUP(Tableau1[[#This Row],[TYPE DE PIECE]],Tableau4[MATIERE],Tableau4[SHORT TYPE],"",0,1)</f>
        <v/>
      </c>
      <c r="N2708">
        <f>IF(ISERR(FIND("DECOUPE",Tableau1[[#This Row],[DESIGNATION]])),"","NEED REF")</f>
        <v/>
      </c>
    </row>
    <row r="2709">
      <c r="B2709" t="n">
        <v>34411292</v>
      </c>
      <c r="C2709" s="2" t="n">
        <v>44937</v>
      </c>
      <c r="D2709" t="inlineStr">
        <is>
          <t>SPEC</t>
        </is>
      </c>
      <c r="E2709" t="inlineStr">
        <is>
          <t>SMT PLASTRON UIB 4 NSX</t>
        </is>
      </c>
      <c r="G2709" t="inlineStr">
        <is>
          <t>GVL</t>
        </is>
      </c>
      <c r="H2709" t="inlineStr">
        <is>
          <t>BYPASS</t>
        </is>
      </c>
      <c r="J2709" t="inlineStr">
        <is>
          <t>BERNARDEAU</t>
        </is>
      </c>
      <c r="K2709" t="inlineStr">
        <is>
          <t>METAL</t>
        </is>
      </c>
      <c r="L2709">
        <f>_xlfn.XLOOKUP(Tableau1[[#This Row],[TYPE DE PIECE]],Tableau4[MATIERE],Tableau4[SHORT TYPE],"",0,1)</f>
        <v/>
      </c>
      <c r="N2709">
        <f>IF(ISERR(FIND("DECOUPE",Tableau1[[#This Row],[DESIGNATION]])),"","NEED REF")</f>
        <v/>
      </c>
    </row>
    <row r="2710">
      <c r="B2710" t="n">
        <v>34411291</v>
      </c>
      <c r="C2710" s="2" t="n">
        <v>44937</v>
      </c>
      <c r="D2710" t="inlineStr">
        <is>
          <t>SPEC</t>
        </is>
      </c>
      <c r="E2710" t="inlineStr">
        <is>
          <t>SMT PLASTRON UIB 2 NSX VERTICAL</t>
        </is>
      </c>
      <c r="G2710" t="inlineStr">
        <is>
          <t>GVL</t>
        </is>
      </c>
      <c r="H2710" t="inlineStr">
        <is>
          <t>BYPASS</t>
        </is>
      </c>
      <c r="J2710" t="inlineStr">
        <is>
          <t>BERNARDEAU</t>
        </is>
      </c>
      <c r="K2710" t="inlineStr">
        <is>
          <t>METAL</t>
        </is>
      </c>
      <c r="L2710">
        <f>_xlfn.XLOOKUP(Tableau1[[#This Row],[TYPE DE PIECE]],Tableau4[MATIERE],Tableau4[SHORT TYPE],"",0,1)</f>
        <v/>
      </c>
      <c r="N2710">
        <f>IF(ISERR(FIND("DECOUPE",Tableau1[[#This Row],[DESIGNATION]])),"","NEED REF")</f>
        <v/>
      </c>
    </row>
    <row r="2711">
      <c r="B2711" t="n">
        <v>34411290</v>
      </c>
      <c r="C2711" s="2" t="n">
        <v>44937</v>
      </c>
      <c r="D2711" t="inlineStr">
        <is>
          <t>SPEC</t>
        </is>
      </c>
      <c r="E2711" t="inlineStr">
        <is>
          <t>SMT PLASTRON UIB 2 NSX HORIZONTAL</t>
        </is>
      </c>
      <c r="G2711" t="inlineStr">
        <is>
          <t>GVL</t>
        </is>
      </c>
      <c r="H2711" t="inlineStr">
        <is>
          <t>BYPASS</t>
        </is>
      </c>
      <c r="J2711" t="inlineStr">
        <is>
          <t>BERNARDEAU</t>
        </is>
      </c>
      <c r="K2711" t="inlineStr">
        <is>
          <t>METAL</t>
        </is>
      </c>
      <c r="L2711">
        <f>_xlfn.XLOOKUP(Tableau1[[#This Row],[TYPE DE PIECE]],Tableau4[MATIERE],Tableau4[SHORT TYPE],"",0,1)</f>
        <v/>
      </c>
      <c r="N2711">
        <f>IF(ISERR(FIND("DECOUPE",Tableau1[[#This Row],[DESIGNATION]])),"","NEED REF")</f>
        <v/>
      </c>
    </row>
    <row r="2712">
      <c r="B2712" t="n">
        <v>34411289</v>
      </c>
      <c r="C2712" s="2" t="n">
        <v>44937</v>
      </c>
      <c r="D2712" t="inlineStr">
        <is>
          <t>SPEC</t>
        </is>
      </c>
      <c r="E2712" t="inlineStr">
        <is>
          <t>SMT PLASTRON UIB 1NSX</t>
        </is>
      </c>
      <c r="G2712" t="inlineStr">
        <is>
          <t>GVL</t>
        </is>
      </c>
      <c r="H2712" t="inlineStr">
        <is>
          <t>BYPASS</t>
        </is>
      </c>
      <c r="J2712" t="inlineStr">
        <is>
          <t>BERNARDEAU</t>
        </is>
      </c>
      <c r="K2712" t="inlineStr">
        <is>
          <t>METAL</t>
        </is>
      </c>
      <c r="L2712">
        <f>_xlfn.XLOOKUP(Tableau1[[#This Row],[TYPE DE PIECE]],Tableau4[MATIERE],Tableau4[SHORT TYPE],"",0,1)</f>
        <v/>
      </c>
      <c r="N2712">
        <f>IF(ISERR(FIND("DECOUPE",Tableau1[[#This Row],[DESIGNATION]])),"","NEED REF")</f>
        <v/>
      </c>
    </row>
    <row r="2713">
      <c r="B2713" t="n">
        <v>34411288</v>
      </c>
      <c r="C2713" s="2" t="n">
        <v>44937</v>
      </c>
      <c r="D2713" t="inlineStr">
        <is>
          <t>SPEC</t>
        </is>
      </c>
      <c r="E2713" t="inlineStr">
        <is>
          <t>SMT PLASTRON UOB 4 NSX</t>
        </is>
      </c>
      <c r="G2713" t="inlineStr">
        <is>
          <t>GVL</t>
        </is>
      </c>
      <c r="H2713" t="inlineStr">
        <is>
          <t>BYPASS</t>
        </is>
      </c>
      <c r="J2713" t="inlineStr">
        <is>
          <t>BERNARDEAU</t>
        </is>
      </c>
      <c r="K2713" t="inlineStr">
        <is>
          <t>METAL</t>
        </is>
      </c>
      <c r="L2713">
        <f>_xlfn.XLOOKUP(Tableau1[[#This Row],[TYPE DE PIECE]],Tableau4[MATIERE],Tableau4[SHORT TYPE],"",0,1)</f>
        <v/>
      </c>
      <c r="N2713">
        <f>IF(ISERR(FIND("DECOUPE",Tableau1[[#This Row],[DESIGNATION]])),"","NEED REF")</f>
        <v/>
      </c>
    </row>
    <row r="2714">
      <c r="B2714" t="n">
        <v>34411287</v>
      </c>
      <c r="C2714" s="2" t="n">
        <v>44937</v>
      </c>
      <c r="D2714" t="inlineStr">
        <is>
          <t>SPEC</t>
        </is>
      </c>
      <c r="E2714" t="inlineStr">
        <is>
          <t>SMT PLASTRON UOB 2 NSX VERTICAL</t>
        </is>
      </c>
      <c r="G2714" t="inlineStr">
        <is>
          <t>GVL</t>
        </is>
      </c>
      <c r="H2714" t="inlineStr">
        <is>
          <t>BYPASS</t>
        </is>
      </c>
      <c r="J2714" t="inlineStr">
        <is>
          <t>BERNARDEAU</t>
        </is>
      </c>
      <c r="K2714" t="inlineStr">
        <is>
          <t>METAL</t>
        </is>
      </c>
      <c r="L2714">
        <f>_xlfn.XLOOKUP(Tableau1[[#This Row],[TYPE DE PIECE]],Tableau4[MATIERE],Tableau4[SHORT TYPE],"",0,1)</f>
        <v/>
      </c>
      <c r="N2714">
        <f>IF(ISERR(FIND("DECOUPE",Tableau1[[#This Row],[DESIGNATION]])),"","NEED REF")</f>
        <v/>
      </c>
    </row>
    <row r="2715">
      <c r="B2715" t="n">
        <v>34411286</v>
      </c>
      <c r="C2715" s="2" t="n">
        <v>44937</v>
      </c>
      <c r="D2715" t="inlineStr">
        <is>
          <t>SPEC</t>
        </is>
      </c>
      <c r="E2715" t="inlineStr">
        <is>
          <t>SMT PLASTRON UOB 2 NSX HORIZONTAL</t>
        </is>
      </c>
      <c r="G2715" t="inlineStr">
        <is>
          <t>GVL</t>
        </is>
      </c>
      <c r="H2715" t="inlineStr">
        <is>
          <t>BYPASS</t>
        </is>
      </c>
      <c r="J2715" t="inlineStr">
        <is>
          <t>BERNARDEAU</t>
        </is>
      </c>
      <c r="K2715" t="inlineStr">
        <is>
          <t>METAL</t>
        </is>
      </c>
      <c r="L2715">
        <f>_xlfn.XLOOKUP(Tableau1[[#This Row],[TYPE DE PIECE]],Tableau4[MATIERE],Tableau4[SHORT TYPE],"",0,1)</f>
        <v/>
      </c>
      <c r="N2715">
        <f>IF(ISERR(FIND("DECOUPE",Tableau1[[#This Row],[DESIGNATION]])),"","NEED REF")</f>
        <v/>
      </c>
    </row>
    <row r="2716">
      <c r="B2716" t="n">
        <v>34411285</v>
      </c>
      <c r="C2716" s="2" t="n">
        <v>44937</v>
      </c>
      <c r="D2716" t="inlineStr">
        <is>
          <t>SPEC</t>
        </is>
      </c>
      <c r="E2716" t="inlineStr">
        <is>
          <t>SMT PLASTRON UOB 1NSX</t>
        </is>
      </c>
      <c r="G2716" t="inlineStr">
        <is>
          <t>GVL</t>
        </is>
      </c>
      <c r="H2716" t="inlineStr">
        <is>
          <t>BYPASS</t>
        </is>
      </c>
      <c r="J2716" t="inlineStr">
        <is>
          <t>BERNARDEAU</t>
        </is>
      </c>
      <c r="K2716" t="inlineStr">
        <is>
          <t>METAL</t>
        </is>
      </c>
      <c r="L2716">
        <f>_xlfn.XLOOKUP(Tableau1[[#This Row],[TYPE DE PIECE]],Tableau4[MATIERE],Tableau4[SHORT TYPE],"",0,1)</f>
        <v/>
      </c>
      <c r="N2716">
        <f>IF(ISERR(FIND("DECOUPE",Tableau1[[#This Row],[DESIGNATION]])),"","NEED REF")</f>
        <v/>
      </c>
    </row>
    <row r="2717">
      <c r="B2717" t="n">
        <v>34411284</v>
      </c>
      <c r="C2717" s="2" t="n">
        <v>44932</v>
      </c>
      <c r="D2717" t="inlineStr">
        <is>
          <t>SPEC</t>
        </is>
      </c>
      <c r="E2717" t="inlineStr">
        <is>
          <t>SMT 34411284 GVX IO 1250KVA CAPOT REHAUSSE 4</t>
        </is>
      </c>
      <c r="F2717" t="inlineStr">
        <is>
          <t>MERCURY ENGINEERING</t>
        </is>
      </c>
      <c r="G2717" t="inlineStr">
        <is>
          <t>GVX</t>
        </is>
      </c>
      <c r="H2717" t="inlineStr">
        <is>
          <t>IO</t>
        </is>
      </c>
      <c r="I2717" t="inlineStr">
        <is>
          <t>1250KVA</t>
        </is>
      </c>
      <c r="J2717" t="inlineStr">
        <is>
          <t>JAWORSKI</t>
        </is>
      </c>
      <c r="K2717" t="inlineStr">
        <is>
          <t>METAL</t>
        </is>
      </c>
      <c r="L2717">
        <f>_xlfn.XLOOKUP(Tableau1[[#This Row],[TYPE DE PIECE]],Tableau4[MATIERE],Tableau4[SHORT TYPE],"",0,1)</f>
        <v/>
      </c>
      <c r="N2717">
        <f>IF(ISERR(FIND("DECOUPE",Tableau1[[#This Row],[DESIGNATION]])),"","NEED REF")</f>
        <v/>
      </c>
    </row>
    <row r="2718">
      <c r="B2718" t="n">
        <v>34411283</v>
      </c>
      <c r="C2718" s="2" t="n">
        <v>44932</v>
      </c>
      <c r="D2718" t="inlineStr">
        <is>
          <t>SPEC</t>
        </is>
      </c>
      <c r="E2718" t="inlineStr">
        <is>
          <t>SMT 34411283 GVX IO 1250KVA CAPOT REHAUSSE 3</t>
        </is>
      </c>
      <c r="F2718" t="inlineStr">
        <is>
          <t>MERCURY ENGINEERING</t>
        </is>
      </c>
      <c r="G2718" t="inlineStr">
        <is>
          <t>GVX</t>
        </is>
      </c>
      <c r="H2718" t="inlineStr">
        <is>
          <t>IO</t>
        </is>
      </c>
      <c r="I2718" t="inlineStr">
        <is>
          <t>1250KVA</t>
        </is>
      </c>
      <c r="J2718" t="inlineStr">
        <is>
          <t>JAWORSKI</t>
        </is>
      </c>
      <c r="K2718" t="inlineStr">
        <is>
          <t>METAL</t>
        </is>
      </c>
      <c r="L2718">
        <f>_xlfn.XLOOKUP(Tableau1[[#This Row],[TYPE DE PIECE]],Tableau4[MATIERE],Tableau4[SHORT TYPE],"",0,1)</f>
        <v/>
      </c>
      <c r="N2718">
        <f>IF(ISERR(FIND("DECOUPE",Tableau1[[#This Row],[DESIGNATION]])),"","NEED REF")</f>
        <v/>
      </c>
    </row>
    <row r="2719">
      <c r="B2719" t="n">
        <v>34411282</v>
      </c>
      <c r="C2719" s="2" t="n">
        <v>44932</v>
      </c>
      <c r="D2719" t="inlineStr">
        <is>
          <t>SPEC</t>
        </is>
      </c>
      <c r="E2719" t="inlineStr">
        <is>
          <t>WIR 34411281 GVX IO 1250kVA FEEDER OUTPUT</t>
        </is>
      </c>
      <c r="F2719" t="inlineStr">
        <is>
          <t>MERCURY ENGINEERING</t>
        </is>
      </c>
      <c r="G2719" t="inlineStr">
        <is>
          <t>GVX</t>
        </is>
      </c>
      <c r="H2719" t="inlineStr">
        <is>
          <t>IO</t>
        </is>
      </c>
      <c r="I2719" t="inlineStr">
        <is>
          <t>1250kVA</t>
        </is>
      </c>
      <c r="J2719" t="inlineStr">
        <is>
          <t>MATRION</t>
        </is>
      </c>
      <c r="K2719" t="inlineStr">
        <is>
          <t>FILERIE</t>
        </is>
      </c>
      <c r="L2719">
        <f>_xlfn.XLOOKUP(Tableau1[[#This Row],[TYPE DE PIECE]],Tableau4[MATIERE],Tableau4[SHORT TYPE],"",0,1)</f>
        <v/>
      </c>
      <c r="N2719">
        <f>IF(ISERR(FIND("DECOUPE",Tableau1[[#This Row],[DESIGNATION]])),"","NEED REF")</f>
        <v/>
      </c>
    </row>
    <row r="2720">
      <c r="B2720" t="n">
        <v>34411281</v>
      </c>
      <c r="C2720" s="2" t="n">
        <v>44932</v>
      </c>
      <c r="D2720" t="inlineStr">
        <is>
          <t>SPEC</t>
        </is>
      </c>
      <c r="E2720" t="inlineStr">
        <is>
          <t>WIR 34411281 GVX IO 1250kVA FEEDER INPUT</t>
        </is>
      </c>
      <c r="F2720" t="inlineStr">
        <is>
          <t>MERCURY ENGINEERING</t>
        </is>
      </c>
      <c r="G2720" t="inlineStr">
        <is>
          <t>GVX</t>
        </is>
      </c>
      <c r="H2720" t="inlineStr">
        <is>
          <t>IO</t>
        </is>
      </c>
      <c r="I2720" t="inlineStr">
        <is>
          <t>1250kVA</t>
        </is>
      </c>
      <c r="J2720" t="inlineStr">
        <is>
          <t>MATRION</t>
        </is>
      </c>
      <c r="K2720" t="inlineStr">
        <is>
          <t>FILERIE</t>
        </is>
      </c>
      <c r="L2720">
        <f>_xlfn.XLOOKUP(Tableau1[[#This Row],[TYPE DE PIECE]],Tableau4[MATIERE],Tableau4[SHORT TYPE],"",0,1)</f>
        <v/>
      </c>
      <c r="N2720">
        <f>IF(ISERR(FIND("DECOUPE",Tableau1[[#This Row],[DESIGNATION]])),"","NEED REF")</f>
        <v/>
      </c>
    </row>
    <row r="2721">
      <c r="B2721" t="n">
        <v>34411280</v>
      </c>
      <c r="C2721" s="2" t="n">
        <v>44931</v>
      </c>
      <c r="D2721" t="inlineStr">
        <is>
          <t>SPEC</t>
        </is>
      </c>
      <c r="E2721" t="inlineStr">
        <is>
          <t>SMT 34411280 SUPPORT SKATE ROULEUR 2</t>
        </is>
      </c>
      <c r="J2721" t="inlineStr">
        <is>
          <t>MATRION</t>
        </is>
      </c>
      <c r="K2721" t="inlineStr">
        <is>
          <t>METAL</t>
        </is>
      </c>
      <c r="L2721">
        <f>_xlfn.XLOOKUP(Tableau1[[#This Row],[TYPE DE PIECE]],Tableau4[MATIERE],Tableau4[SHORT TYPE],"",0,1)</f>
        <v/>
      </c>
      <c r="N2721">
        <f>IF(ISERR(FIND("DECOUPE",Tableau1[[#This Row],[DESIGNATION]])),"","NEED REF")</f>
        <v/>
      </c>
    </row>
    <row r="2722">
      <c r="B2722" t="n">
        <v>34411279</v>
      </c>
      <c r="C2722" s="2" t="n">
        <v>44931</v>
      </c>
      <c r="D2722" t="inlineStr">
        <is>
          <t>SPEC</t>
        </is>
      </c>
      <c r="E2722" t="inlineStr">
        <is>
          <t>SMT 34411279 SUPPORT SKATE ROULEUR 1</t>
        </is>
      </c>
      <c r="J2722" t="inlineStr">
        <is>
          <t>MATRION</t>
        </is>
      </c>
      <c r="K2722" t="inlineStr">
        <is>
          <t>METAL</t>
        </is>
      </c>
      <c r="L2722">
        <f>_xlfn.XLOOKUP(Tableau1[[#This Row],[TYPE DE PIECE]],Tableau4[MATIERE],Tableau4[SHORT TYPE],"",0,1)</f>
        <v/>
      </c>
      <c r="N2722">
        <f>IF(ISERR(FIND("DECOUPE",Tableau1[[#This Row],[DESIGNATION]])),"","NEED REF")</f>
        <v/>
      </c>
    </row>
    <row r="2723">
      <c r="B2723" t="n">
        <v>34411278</v>
      </c>
      <c r="C2723" s="2" t="n">
        <v>44930</v>
      </c>
      <c r="D2723" t="inlineStr">
        <is>
          <t>SPEC</t>
        </is>
      </c>
      <c r="E2723" t="inlineStr">
        <is>
          <t>COP 34411278 GVX IO 1250KVA</t>
        </is>
      </c>
      <c r="F2723" t="inlineStr">
        <is>
          <t>MERCURY ENGINEERING</t>
        </is>
      </c>
      <c r="G2723" t="inlineStr">
        <is>
          <t>GVX</t>
        </is>
      </c>
      <c r="H2723" t="inlineStr">
        <is>
          <t>IO</t>
        </is>
      </c>
      <c r="I2723" t="inlineStr">
        <is>
          <t>1250KVA</t>
        </is>
      </c>
      <c r="J2723" t="inlineStr">
        <is>
          <t>JAWORSKI</t>
        </is>
      </c>
      <c r="K2723" t="inlineStr">
        <is>
          <t>CUIVRE</t>
        </is>
      </c>
      <c r="L2723">
        <f>_xlfn.XLOOKUP(Tableau1[[#This Row],[TYPE DE PIECE]],Tableau4[MATIERE],Tableau4[SHORT TYPE],"",0,1)</f>
        <v/>
      </c>
      <c r="N2723">
        <f>IF(ISERR(FIND("DECOUPE",Tableau1[[#This Row],[DESIGNATION]])),"","NEED REF")</f>
        <v/>
      </c>
    </row>
    <row r="2724">
      <c r="B2724" t="n">
        <v>34411277</v>
      </c>
      <c r="C2724" s="2" t="n">
        <v>44930</v>
      </c>
      <c r="D2724" t="inlineStr">
        <is>
          <t>SPEC</t>
        </is>
      </c>
      <c r="E2724" t="inlineStr">
        <is>
          <t>COP 34411277 GVX IO 1250KVA</t>
        </is>
      </c>
      <c r="F2724" t="inlineStr">
        <is>
          <t>MERCURY ENGINEERING</t>
        </is>
      </c>
      <c r="G2724" t="inlineStr">
        <is>
          <t>GVX</t>
        </is>
      </c>
      <c r="H2724" t="inlineStr">
        <is>
          <t>IO</t>
        </is>
      </c>
      <c r="I2724" t="inlineStr">
        <is>
          <t>1250KVA</t>
        </is>
      </c>
      <c r="J2724" t="inlineStr">
        <is>
          <t>JAWORSKI</t>
        </is>
      </c>
      <c r="K2724" t="inlineStr">
        <is>
          <t>CUIVRE</t>
        </is>
      </c>
      <c r="L2724">
        <f>_xlfn.XLOOKUP(Tableau1[[#This Row],[TYPE DE PIECE]],Tableau4[MATIERE],Tableau4[SHORT TYPE],"",0,1)</f>
        <v/>
      </c>
      <c r="N2724">
        <f>IF(ISERR(FIND("DECOUPE",Tableau1[[#This Row],[DESIGNATION]])),"","NEED REF")</f>
        <v/>
      </c>
    </row>
    <row r="2725">
      <c r="B2725" t="n">
        <v>34411276</v>
      </c>
      <c r="C2725" s="2" t="n">
        <v>44930</v>
      </c>
      <c r="D2725" t="inlineStr">
        <is>
          <t>SPEC</t>
        </is>
      </c>
      <c r="E2725" t="inlineStr">
        <is>
          <t>SMT DECOUPE RAIL DIN NSYSDR200 LG70</t>
        </is>
      </c>
      <c r="F2725" t="inlineStr">
        <is>
          <t>M.C. DEAN EUROPE GMBH</t>
        </is>
      </c>
      <c r="G2725" t="inlineStr">
        <is>
          <t>GVX</t>
        </is>
      </c>
      <c r="H2725" t="inlineStr">
        <is>
          <t>BYPASS</t>
        </is>
      </c>
      <c r="I2725" t="inlineStr">
        <is>
          <t>750KVA</t>
        </is>
      </c>
      <c r="J2725" t="inlineStr">
        <is>
          <t>BERNARDEAU</t>
        </is>
      </c>
      <c r="K2725" t="inlineStr">
        <is>
          <t>METAL</t>
        </is>
      </c>
      <c r="L2725">
        <f>_xlfn.XLOOKUP(Tableau1[[#This Row],[TYPE DE PIECE]],Tableau4[MATIERE],Tableau4[SHORT TYPE],"",0,1)</f>
        <v/>
      </c>
      <c r="N2725" t="inlineStr">
        <is>
          <t>NSYSDR200</t>
        </is>
      </c>
    </row>
    <row r="2726">
      <c r="B2726" t="n">
        <v>34411275</v>
      </c>
      <c r="C2726" s="2" t="n">
        <v>44930</v>
      </c>
      <c r="D2726" t="inlineStr">
        <is>
          <t>SPEC</t>
        </is>
      </c>
      <c r="E2726" t="inlineStr">
        <is>
          <t>SMT JONCTION TOIT IP20</t>
        </is>
      </c>
      <c r="F2726" t="inlineStr">
        <is>
          <t>M.C. DEAN EUROPE GMBH</t>
        </is>
      </c>
      <c r="G2726" t="inlineStr">
        <is>
          <t>GVX</t>
        </is>
      </c>
      <c r="H2726" t="inlineStr">
        <is>
          <t>BYPASS</t>
        </is>
      </c>
      <c r="I2726" t="inlineStr">
        <is>
          <t>750KVA</t>
        </is>
      </c>
      <c r="J2726" t="inlineStr">
        <is>
          <t>BERNARDEAU</t>
        </is>
      </c>
      <c r="K2726" t="inlineStr">
        <is>
          <t>METAL</t>
        </is>
      </c>
      <c r="L2726">
        <f>_xlfn.XLOOKUP(Tableau1[[#This Row],[TYPE DE PIECE]],Tableau4[MATIERE],Tableau4[SHORT TYPE],"",0,1)</f>
        <v/>
      </c>
      <c r="N2726">
        <f>IF(ISERR(FIND("DECOUPE",Tableau1[[#This Row],[DESIGNATION]])),"","NEED REF")</f>
        <v/>
      </c>
    </row>
    <row r="2727">
      <c r="B2727" t="n">
        <v>34411274</v>
      </c>
      <c r="C2727" s="2" t="n">
        <v>44930</v>
      </c>
      <c r="D2727" t="inlineStr">
        <is>
          <t>SPEC</t>
        </is>
      </c>
      <c r="E2727" t="inlineStr">
        <is>
          <t>SMT JONCTION INTER CELLULE 1900 RAL9003</t>
        </is>
      </c>
      <c r="F2727" t="inlineStr">
        <is>
          <t>M.C. DEAN EUROPE GMBH</t>
        </is>
      </c>
      <c r="G2727" t="inlineStr">
        <is>
          <t>GVX</t>
        </is>
      </c>
      <c r="H2727" t="inlineStr">
        <is>
          <t>BYPASS</t>
        </is>
      </c>
      <c r="I2727" t="inlineStr">
        <is>
          <t>750KVA</t>
        </is>
      </c>
      <c r="J2727" t="inlineStr">
        <is>
          <t>BERNARDEAU</t>
        </is>
      </c>
      <c r="K2727" t="inlineStr">
        <is>
          <t>METAL</t>
        </is>
      </c>
      <c r="L2727">
        <f>_xlfn.XLOOKUP(Tableau1[[#This Row],[TYPE DE PIECE]],Tableau4[MATIERE],Tableau4[SHORT TYPE],"",0,1)</f>
        <v/>
      </c>
      <c r="N2727">
        <f>IF(ISERR(FIND("DECOUPE",Tableau1[[#This Row],[DESIGNATION]])),"","NEED REF")</f>
        <v/>
      </c>
    </row>
    <row r="2728">
      <c r="B2728" t="n">
        <v>34411273</v>
      </c>
      <c r="C2728" s="2" t="n">
        <v>44929</v>
      </c>
      <c r="D2728" t="inlineStr">
        <is>
          <t>SPEC</t>
        </is>
      </c>
      <c r="E2728" t="inlineStr">
        <is>
          <t>SMT 34411273  GVX IO 1250kVA PLAQUE ALU PASSE CABLE 570x350</t>
        </is>
      </c>
      <c r="F2728" t="inlineStr">
        <is>
          <t>MERCURY ENGINEERING</t>
        </is>
      </c>
      <c r="G2728" t="inlineStr">
        <is>
          <t>GVX</t>
        </is>
      </c>
      <c r="H2728" t="inlineStr">
        <is>
          <t>IO</t>
        </is>
      </c>
      <c r="I2728" t="inlineStr">
        <is>
          <t>1250KVA</t>
        </is>
      </c>
      <c r="J2728" t="inlineStr">
        <is>
          <t>JAWORSKI</t>
        </is>
      </c>
      <c r="K2728" t="inlineStr">
        <is>
          <t>METAL</t>
        </is>
      </c>
      <c r="L2728">
        <f>_xlfn.XLOOKUP(Tableau1[[#This Row],[TYPE DE PIECE]],Tableau4[MATIERE],Tableau4[SHORT TYPE],"",0,1)</f>
        <v/>
      </c>
      <c r="N2728">
        <f>IF(ISERR(FIND("DECOUPE",Tableau1[[#This Row],[DESIGNATION]])),"","NEED REF")</f>
        <v/>
      </c>
    </row>
    <row r="2729">
      <c r="B2729" t="n">
        <v>34411272</v>
      </c>
      <c r="C2729" s="2" t="n">
        <v>44929</v>
      </c>
      <c r="D2729" t="inlineStr">
        <is>
          <t>SPEC</t>
        </is>
      </c>
      <c r="E2729" t="inlineStr">
        <is>
          <t>SMT 34411272 GVX IO 1250kVA PLAQUE ALU PASSE CABLES 570x450</t>
        </is>
      </c>
      <c r="F2729" t="inlineStr">
        <is>
          <t>MERCURY ENGINEERING</t>
        </is>
      </c>
      <c r="G2729" t="inlineStr">
        <is>
          <t>GVX</t>
        </is>
      </c>
      <c r="H2729" t="inlineStr">
        <is>
          <t>IO</t>
        </is>
      </c>
      <c r="I2729" t="inlineStr">
        <is>
          <t>1250KVA</t>
        </is>
      </c>
      <c r="J2729" t="inlineStr">
        <is>
          <t>JAWORSKI</t>
        </is>
      </c>
      <c r="K2729" t="inlineStr">
        <is>
          <t>METAL</t>
        </is>
      </c>
      <c r="L2729">
        <f>_xlfn.XLOOKUP(Tableau1[[#This Row],[TYPE DE PIECE]],Tableau4[MATIERE],Tableau4[SHORT TYPE],"",0,1)</f>
        <v/>
      </c>
      <c r="N2729">
        <f>IF(ISERR(FIND("DECOUPE",Tableau1[[#This Row],[DESIGNATION]])),"","NEED REF")</f>
        <v/>
      </c>
    </row>
    <row r="2730">
      <c r="B2730" t="n">
        <v>34411271</v>
      </c>
      <c r="C2730" s="2" t="n">
        <v>44929</v>
      </c>
      <c r="D2730" t="inlineStr">
        <is>
          <t>SPEC</t>
        </is>
      </c>
      <c r="E2730" t="inlineStr">
        <is>
          <t>SMT 34411271 GVX IO 1250kVA PLAQUE TGAB 2000A</t>
        </is>
      </c>
      <c r="F2730" t="inlineStr">
        <is>
          <t>MERCURY ENGINEERING</t>
        </is>
      </c>
      <c r="G2730" t="inlineStr">
        <is>
          <t>GVX</t>
        </is>
      </c>
      <c r="H2730" t="inlineStr">
        <is>
          <t>IO</t>
        </is>
      </c>
      <c r="I2730" t="inlineStr">
        <is>
          <t>1250KVA</t>
        </is>
      </c>
      <c r="J2730" t="inlineStr">
        <is>
          <t>JAWORSKI</t>
        </is>
      </c>
      <c r="K2730" t="inlineStr">
        <is>
          <t>METAL</t>
        </is>
      </c>
      <c r="L2730">
        <f>_xlfn.XLOOKUP(Tableau1[[#This Row],[TYPE DE PIECE]],Tableau4[MATIERE],Tableau4[SHORT TYPE],"",0,1)</f>
        <v/>
      </c>
      <c r="N2730">
        <f>IF(ISERR(FIND("DECOUPE",Tableau1[[#This Row],[DESIGNATION]])),"","NEED REF")</f>
        <v/>
      </c>
    </row>
    <row r="2731">
      <c r="B2731" t="n">
        <v>34411270</v>
      </c>
      <c r="C2731" s="2" t="n">
        <v>44929</v>
      </c>
      <c r="D2731" t="inlineStr">
        <is>
          <t>SPEC</t>
        </is>
      </c>
      <c r="E2731" t="inlineStr">
        <is>
          <t>SMT 34411270 GVX IO 1250kVA PLAQUE TGAB 2500A</t>
        </is>
      </c>
      <c r="F2731" t="inlineStr">
        <is>
          <t>MERCURY ENGINEERING</t>
        </is>
      </c>
      <c r="G2731" t="inlineStr">
        <is>
          <t>GVX</t>
        </is>
      </c>
      <c r="H2731" t="inlineStr">
        <is>
          <t>IO</t>
        </is>
      </c>
      <c r="I2731" t="inlineStr">
        <is>
          <t>1250KVA</t>
        </is>
      </c>
      <c r="J2731" t="inlineStr">
        <is>
          <t>JAWORSKI</t>
        </is>
      </c>
      <c r="K2731" t="inlineStr">
        <is>
          <t>METAL</t>
        </is>
      </c>
      <c r="L2731">
        <f>_xlfn.XLOOKUP(Tableau1[[#This Row],[TYPE DE PIECE]],Tableau4[MATIERE],Tableau4[SHORT TYPE],"",0,1)</f>
        <v/>
      </c>
      <c r="N2731">
        <f>IF(ISERR(FIND("DECOUPE",Tableau1[[#This Row],[DESIGNATION]])),"","NEED REF")</f>
        <v/>
      </c>
    </row>
    <row r="2732">
      <c r="B2732" t="n">
        <v>34411269</v>
      </c>
      <c r="C2732" s="2" t="n">
        <v>44928</v>
      </c>
      <c r="D2732" t="inlineStr">
        <is>
          <t>SPEC</t>
        </is>
      </c>
      <c r="E2732" t="inlineStr">
        <is>
          <t>SMT 34411269 GVX IO 1250kVA REHAUSSE 200MM TGAB</t>
        </is>
      </c>
      <c r="G2732" t="inlineStr">
        <is>
          <t>GVX</t>
        </is>
      </c>
      <c r="H2732" t="inlineStr">
        <is>
          <t>IO</t>
        </is>
      </c>
      <c r="I2732" t="inlineStr">
        <is>
          <t>1250kVA</t>
        </is>
      </c>
      <c r="J2732" t="inlineStr">
        <is>
          <t>MATRION</t>
        </is>
      </c>
      <c r="K2732" t="inlineStr">
        <is>
          <t>METAL</t>
        </is>
      </c>
      <c r="L2732">
        <f>_xlfn.XLOOKUP(Tableau1[[#This Row],[TYPE DE PIECE]],Tableau4[MATIERE],Tableau4[SHORT TYPE],"",0,1)</f>
        <v/>
      </c>
      <c r="N2732">
        <f>IF(ISERR(FIND("DECOUPE",Tableau1[[#This Row],[DESIGNATION]])),"","NEED REF")</f>
        <v/>
      </c>
    </row>
    <row r="2733">
      <c r="B2733" t="n">
        <v>34411268</v>
      </c>
      <c r="C2733" s="2" t="n">
        <v>44921</v>
      </c>
      <c r="D2733" t="inlineStr">
        <is>
          <t>SPEC</t>
        </is>
      </c>
      <c r="E2733" t="inlineStr">
        <is>
          <t>COP 34411268 GVL UPS 500kVA PONTAGE PER 2</t>
        </is>
      </c>
      <c r="G2733" t="inlineStr">
        <is>
          <t>GVL</t>
        </is>
      </c>
      <c r="H2733" t="inlineStr">
        <is>
          <t>UPS</t>
        </is>
      </c>
      <c r="I2733" t="inlineStr">
        <is>
          <t>500kVA</t>
        </is>
      </c>
      <c r="J2733" t="inlineStr">
        <is>
          <t>MATRION</t>
        </is>
      </c>
      <c r="K2733" t="inlineStr">
        <is>
          <t>CUIVRE</t>
        </is>
      </c>
      <c r="L2733">
        <f>_xlfn.XLOOKUP(Tableau1[[#This Row],[TYPE DE PIECE]],Tableau4[MATIERE],Tableau4[SHORT TYPE],"",0,1)</f>
        <v/>
      </c>
      <c r="N2733">
        <f>IF(ISERR(FIND("DECOUPE",Tableau1[[#This Row],[DESIGNATION]])),"","NEED REF")</f>
        <v/>
      </c>
    </row>
    <row r="2734">
      <c r="B2734" t="n">
        <v>34411267</v>
      </c>
      <c r="C2734" s="2" t="n">
        <v>44921</v>
      </c>
      <c r="D2734" t="inlineStr">
        <is>
          <t>SPEC</t>
        </is>
      </c>
      <c r="E2734" t="inlineStr">
        <is>
          <t>COP 34411267 GVL UPS 500kVA PONTAGE PER</t>
        </is>
      </c>
      <c r="G2734" t="inlineStr">
        <is>
          <t>GVL</t>
        </is>
      </c>
      <c r="H2734" t="inlineStr">
        <is>
          <t>UPS</t>
        </is>
      </c>
      <c r="I2734" t="inlineStr">
        <is>
          <t>500kVA</t>
        </is>
      </c>
      <c r="J2734" t="inlineStr">
        <is>
          <t>MATRION</t>
        </is>
      </c>
      <c r="K2734" t="inlineStr">
        <is>
          <t>CUIVRE</t>
        </is>
      </c>
      <c r="L2734">
        <f>_xlfn.XLOOKUP(Tableau1[[#This Row],[TYPE DE PIECE]],Tableau4[MATIERE],Tableau4[SHORT TYPE],"",0,1)</f>
        <v/>
      </c>
      <c r="N2734">
        <f>IF(ISERR(FIND("DECOUPE",Tableau1[[#This Row],[DESIGNATION]])),"","NEED REF")</f>
        <v/>
      </c>
    </row>
    <row r="2735">
      <c r="B2735" t="n">
        <v>34411266</v>
      </c>
      <c r="C2735" s="2" t="n">
        <v>44921</v>
      </c>
      <c r="D2735" t="inlineStr">
        <is>
          <t>SPEC</t>
        </is>
      </c>
      <c r="E2735" t="inlineStr">
        <is>
          <t>SMT 34411266 GVL UPS 500kVA 1/2 TOIT KTA2000 à 0800 ER52</t>
        </is>
      </c>
      <c r="G2735" t="inlineStr">
        <is>
          <t>GVL</t>
        </is>
      </c>
      <c r="H2735" t="inlineStr">
        <is>
          <t>UPS</t>
        </is>
      </c>
      <c r="I2735" t="inlineStr">
        <is>
          <t>500kVA</t>
        </is>
      </c>
      <c r="J2735" t="inlineStr">
        <is>
          <t>MATRION</t>
        </is>
      </c>
      <c r="K2735" t="inlineStr">
        <is>
          <t>METAL</t>
        </is>
      </c>
      <c r="L2735">
        <f>_xlfn.XLOOKUP(Tableau1[[#This Row],[TYPE DE PIECE]],Tableau4[MATIERE],Tableau4[SHORT TYPE],"",0,1)</f>
        <v/>
      </c>
      <c r="N2735">
        <f>IF(ISERR(FIND("DECOUPE",Tableau1[[#This Row],[DESIGNATION]])),"","NEED REF")</f>
        <v/>
      </c>
    </row>
    <row r="2736">
      <c r="B2736" t="n">
        <v>34411265</v>
      </c>
      <c r="C2736" s="2" t="n">
        <v>44921</v>
      </c>
      <c r="D2736" t="inlineStr">
        <is>
          <t>SPEC</t>
        </is>
      </c>
      <c r="E2736" t="inlineStr">
        <is>
          <t>COP 34411265 GVL UPS 500kVA PONTAGE N 2 ER52</t>
        </is>
      </c>
      <c r="G2736" t="inlineStr">
        <is>
          <t>GVL</t>
        </is>
      </c>
      <c r="H2736" t="inlineStr">
        <is>
          <t>UPS</t>
        </is>
      </c>
      <c r="I2736" t="inlineStr">
        <is>
          <t>500kVA</t>
        </is>
      </c>
      <c r="J2736" t="inlineStr">
        <is>
          <t>MATRION</t>
        </is>
      </c>
      <c r="K2736" t="inlineStr">
        <is>
          <t>CUIVRE</t>
        </is>
      </c>
      <c r="L2736">
        <f>_xlfn.XLOOKUP(Tableau1[[#This Row],[TYPE DE PIECE]],Tableau4[MATIERE],Tableau4[SHORT TYPE],"",0,1)</f>
        <v/>
      </c>
      <c r="N2736">
        <f>IF(ISERR(FIND("DECOUPE",Tableau1[[#This Row],[DESIGNATION]])),"","NEED REF")</f>
        <v/>
      </c>
    </row>
    <row r="2737">
      <c r="B2737" t="n">
        <v>34411264</v>
      </c>
      <c r="C2737" s="2" t="n">
        <v>44921</v>
      </c>
      <c r="D2737" t="inlineStr">
        <is>
          <t>SPEC</t>
        </is>
      </c>
      <c r="E2737" t="inlineStr">
        <is>
          <t>WIR 34411264 GVL UPS 500kVA FEEDER KTA ER52</t>
        </is>
      </c>
      <c r="G2737" t="inlineStr">
        <is>
          <t>GVL</t>
        </is>
      </c>
      <c r="H2737" t="inlineStr">
        <is>
          <t>UPS</t>
        </is>
      </c>
      <c r="I2737" t="inlineStr">
        <is>
          <t>500kVA</t>
        </is>
      </c>
      <c r="J2737" t="inlineStr">
        <is>
          <t>MATRION</t>
        </is>
      </c>
      <c r="K2737" t="inlineStr">
        <is>
          <t>FILERIE</t>
        </is>
      </c>
      <c r="L2737">
        <f>_xlfn.XLOOKUP(Tableau1[[#This Row],[TYPE DE PIECE]],Tableau4[MATIERE],Tableau4[SHORT TYPE],"",0,1)</f>
        <v/>
      </c>
      <c r="N2737">
        <f>IF(ISERR(FIND("DECOUPE",Tableau1[[#This Row],[DESIGNATION]])),"","NEED REF")</f>
        <v/>
      </c>
    </row>
    <row r="2738">
      <c r="B2738" t="n">
        <v>34411263</v>
      </c>
      <c r="C2738" s="2" t="n">
        <v>44911</v>
      </c>
      <c r="D2738" t="inlineStr">
        <is>
          <t>SPEC</t>
        </is>
      </c>
      <c r="E2738" t="inlineStr">
        <is>
          <t>UIB - BREAKER NS1250N - 4P-4D - 2.0E BY PASS E3L</t>
        </is>
      </c>
      <c r="F2738" t="inlineStr">
        <is>
          <t>M.C. DEAN EUROPE GMBH</t>
        </is>
      </c>
      <c r="G2738" t="inlineStr">
        <is>
          <t>E3L/GVX</t>
        </is>
      </c>
      <c r="H2738" t="inlineStr">
        <is>
          <t>BYPASS</t>
        </is>
      </c>
      <c r="I2738" t="inlineStr">
        <is>
          <t>750KVA</t>
        </is>
      </c>
      <c r="J2738" t="inlineStr">
        <is>
          <t>MONGELLI</t>
        </is>
      </c>
      <c r="K2738" t="inlineStr">
        <is>
          <t>SCHNEIDER</t>
        </is>
      </c>
      <c r="L2738">
        <f>_xlfn.XLOOKUP(Tableau1[[#This Row],[TYPE DE PIECE]],Tableau4[MATIERE],Tableau4[SHORT TYPE],"",0,1)</f>
        <v/>
      </c>
      <c r="N2738">
        <f>IF(ISERR(FIND("DECOUPE",Tableau1[[#This Row],[DESIGNATION]])),"","NEED REF")</f>
        <v/>
      </c>
    </row>
    <row r="2739">
      <c r="B2739" t="n">
        <v>34411262</v>
      </c>
      <c r="C2739" s="2" t="n">
        <v>44911</v>
      </c>
      <c r="D2739" t="inlineStr">
        <is>
          <t>SPEC</t>
        </is>
      </c>
      <c r="E2739" t="inlineStr">
        <is>
          <t>MBB - MIDDLE BREAKER NS1250N - 4P-4D - 2.0E BY PASS E3L</t>
        </is>
      </c>
      <c r="F2739" t="inlineStr">
        <is>
          <t>M.C. DEAN EUROPE GMBH</t>
        </is>
      </c>
      <c r="G2739" t="inlineStr">
        <is>
          <t>E3L/GVX</t>
        </is>
      </c>
      <c r="H2739" t="inlineStr">
        <is>
          <t>BYPASS</t>
        </is>
      </c>
      <c r="I2739" t="inlineStr">
        <is>
          <t>750KVA</t>
        </is>
      </c>
      <c r="J2739" t="inlineStr">
        <is>
          <t>MONGELLI</t>
        </is>
      </c>
      <c r="K2739" t="inlineStr">
        <is>
          <t>SCHNEIDER</t>
        </is>
      </c>
      <c r="L2739">
        <f>_xlfn.XLOOKUP(Tableau1[[#This Row],[TYPE DE PIECE]],Tableau4[MATIERE],Tableau4[SHORT TYPE],"",0,1)</f>
        <v/>
      </c>
      <c r="N2739">
        <f>IF(ISERR(FIND("DECOUPE",Tableau1[[#This Row],[DESIGNATION]])),"","NEED REF")</f>
        <v/>
      </c>
    </row>
    <row r="2740">
      <c r="B2740" t="n">
        <v>34411261</v>
      </c>
      <c r="C2740" s="2" t="n">
        <v>44911</v>
      </c>
      <c r="D2740" t="inlineStr">
        <is>
          <t>SPEC</t>
        </is>
      </c>
      <c r="E2740" t="inlineStr">
        <is>
          <t>SSIB - HIGH BREAKER NS1250N - 4P-4D - 2.0E BY PASS E3L</t>
        </is>
      </c>
      <c r="F2740" t="inlineStr">
        <is>
          <t>M.C. DEAN EUROPE GMBH</t>
        </is>
      </c>
      <c r="G2740" t="inlineStr">
        <is>
          <t>E3L/GVX</t>
        </is>
      </c>
      <c r="H2740" t="inlineStr">
        <is>
          <t>BYPASS</t>
        </is>
      </c>
      <c r="I2740" t="inlineStr">
        <is>
          <t>750KVA</t>
        </is>
      </c>
      <c r="J2740" t="inlineStr">
        <is>
          <t>MONGELLI</t>
        </is>
      </c>
      <c r="K2740" t="inlineStr">
        <is>
          <t>SCHNEIDER</t>
        </is>
      </c>
      <c r="L2740" t="inlineStr">
        <is>
          <t>SE</t>
        </is>
      </c>
      <c r="N2740">
        <f>IF(ISERR(FIND("DECOUPE",Tableau1[[#This Row],[DESIGNATION]])),"","NEED REF")</f>
        <v/>
      </c>
    </row>
    <row r="2741">
      <c r="B2741" t="n">
        <v>34411260</v>
      </c>
      <c r="C2741" s="2" t="n">
        <v>44909</v>
      </c>
      <c r="D2741" t="inlineStr">
        <is>
          <t>SPEC</t>
        </is>
      </c>
      <c r="E2741" t="inlineStr">
        <is>
          <t>DECOUPE LVS04678 115MM 2P - FREE SUPPORT BUSBAR</t>
        </is>
      </c>
      <c r="F2741" t="inlineStr">
        <is>
          <t>21st Century Technologies Ltd / Nigéria</t>
        </is>
      </c>
      <c r="G2741" t="inlineStr">
        <is>
          <t>GVX</t>
        </is>
      </c>
      <c r="H2741" t="inlineStr">
        <is>
          <t>BYPASS</t>
        </is>
      </c>
      <c r="I2741" t="inlineStr">
        <is>
          <t>2500KVA</t>
        </is>
      </c>
      <c r="J2741" t="inlineStr">
        <is>
          <t>JAWORSKI</t>
        </is>
      </c>
      <c r="K2741" t="inlineStr">
        <is>
          <t>PLASTIQUE</t>
        </is>
      </c>
      <c r="L2741">
        <f>_xlfn.XLOOKUP(Tableau1[[#This Row],[TYPE DE PIECE]],Tableau4[MATIERE],Tableau4[SHORT TYPE],"",0,1)</f>
        <v/>
      </c>
      <c r="M2741" t="inlineStr">
        <is>
          <t>BUSBAR SUPPORT</t>
        </is>
      </c>
      <c r="N2741" t="inlineStr">
        <is>
          <t>LVS04678</t>
        </is>
      </c>
    </row>
    <row r="2742">
      <c r="B2742" t="n">
        <v>34411259</v>
      </c>
      <c r="C2742" s="2" t="n">
        <v>44909</v>
      </c>
      <c r="D2742" t="inlineStr">
        <is>
          <t>SPEC</t>
        </is>
      </c>
      <c r="E2742" t="inlineStr">
        <is>
          <t>DECOUPE LVS04678 115MM 2P - FREE SUPPORT BUSBAR</t>
        </is>
      </c>
      <c r="F2742" t="inlineStr">
        <is>
          <t>21st Century Technologies Ltd / Nigéria</t>
        </is>
      </c>
      <c r="G2742" t="inlineStr">
        <is>
          <t>GVX</t>
        </is>
      </c>
      <c r="H2742" t="inlineStr">
        <is>
          <t>BYPASS</t>
        </is>
      </c>
      <c r="I2742" t="inlineStr">
        <is>
          <t>2500KVA</t>
        </is>
      </c>
      <c r="J2742" t="inlineStr">
        <is>
          <t>JAWORSKI</t>
        </is>
      </c>
      <c r="K2742" t="inlineStr">
        <is>
          <t>PLASTIQUE</t>
        </is>
      </c>
      <c r="L2742">
        <f>_xlfn.XLOOKUP(Tableau1[[#This Row],[TYPE DE PIECE]],Tableau4[MATIERE],Tableau4[SHORT TYPE],"",0,1)</f>
        <v/>
      </c>
      <c r="M2742" t="inlineStr">
        <is>
          <t>BUSBAR SUPPORT</t>
        </is>
      </c>
      <c r="N2742" t="inlineStr">
        <is>
          <t>LVS04678</t>
        </is>
      </c>
    </row>
    <row r="2743">
      <c r="B2743" t="n">
        <v>34411258</v>
      </c>
      <c r="C2743" s="2" t="n">
        <v>44909</v>
      </c>
      <c r="D2743" t="inlineStr">
        <is>
          <t>SPEC</t>
        </is>
      </c>
      <c r="E2743">
        <f>_xlfn.CONCAT(Tableau1[[#This Row],[SHORT TYPE]]," ",Tableau1[[#This Row],[NUMERO]]," ",Tableau1[[#This Row],[GAMME]]," ",Tableau1[[#This Row],[TYPE PRODUIT]]," ",Tableau1[[#This Row],[PUISSANCE]])</f>
        <v/>
      </c>
      <c r="F2743" t="inlineStr">
        <is>
          <t>21st Century Technologies Ltd / Nigéria</t>
        </is>
      </c>
      <c r="G2743" t="inlineStr">
        <is>
          <t>GVX</t>
        </is>
      </c>
      <c r="H2743" t="inlineStr">
        <is>
          <t>BYPASS</t>
        </is>
      </c>
      <c r="I2743" t="inlineStr">
        <is>
          <t>2500KVA</t>
        </is>
      </c>
      <c r="J2743" t="inlineStr">
        <is>
          <t>JAWORSKI</t>
        </is>
      </c>
      <c r="K2743" t="inlineStr">
        <is>
          <t>PLASTIQUE</t>
        </is>
      </c>
      <c r="L2743">
        <f>_xlfn.XLOOKUP(Tableau1[[#This Row],[TYPE DE PIECE]],Tableau4[MATIERE],Tableau4[SHORT TYPE],"",0,1)</f>
        <v/>
      </c>
      <c r="N2743">
        <f>IF(ISERR(FIND("DECOUPE",Tableau1[[#This Row],[DESIGNATION]])),"","NEED REF")</f>
        <v/>
      </c>
    </row>
    <row r="2744">
      <c r="B2744" t="n">
        <v>34411257</v>
      </c>
      <c r="C2744" s="2" t="n">
        <v>44909</v>
      </c>
      <c r="D2744" t="inlineStr">
        <is>
          <t>SPEC</t>
        </is>
      </c>
      <c r="E2744">
        <f>_xlfn.CONCAT(Tableau1[[#This Row],[SHORT TYPE]]," ",Tableau1[[#This Row],[NUMERO]]," ",Tableau1[[#This Row],[GAMME]]," ",Tableau1[[#This Row],[TYPE PRODUIT]]," ",Tableau1[[#This Row],[PUISSANCE]])</f>
        <v/>
      </c>
      <c r="G2744" t="inlineStr">
        <is>
          <t>GVX</t>
        </is>
      </c>
      <c r="H2744" t="inlineStr">
        <is>
          <t>BYPASS</t>
        </is>
      </c>
      <c r="I2744" t="inlineStr">
        <is>
          <t>1500KVA</t>
        </is>
      </c>
      <c r="J2744" t="inlineStr">
        <is>
          <t>MATRION</t>
        </is>
      </c>
      <c r="K2744" t="inlineStr">
        <is>
          <t>METAL</t>
        </is>
      </c>
      <c r="L2744">
        <f>_xlfn.XLOOKUP(Tableau1[[#This Row],[TYPE DE PIECE]],Tableau4[MATIERE],Tableau4[SHORT TYPE],"",0,1)</f>
        <v/>
      </c>
      <c r="N2744">
        <f>IF(ISERR(FIND("DECOUPE",Tableau1[[#This Row],[DESIGNATION]])),"","NEED REF")</f>
        <v/>
      </c>
    </row>
    <row r="2745">
      <c r="B2745" t="n">
        <v>34411256</v>
      </c>
      <c r="C2745" s="2" t="n">
        <v>44909</v>
      </c>
      <c r="D2745" t="inlineStr">
        <is>
          <t>SPEC</t>
        </is>
      </c>
      <c r="E2745">
        <f>_xlfn.CONCAT(Tableau1[[#This Row],[SHORT TYPE]]," ",Tableau1[[#This Row],[NUMERO]]," ",Tableau1[[#This Row],[GAMME]]," ",Tableau1[[#This Row],[TYPE PRODUIT]]," ",Tableau1[[#This Row],[PUISSANCE]])</f>
        <v/>
      </c>
      <c r="G2745" t="inlineStr">
        <is>
          <t>GVX</t>
        </is>
      </c>
      <c r="H2745" t="inlineStr">
        <is>
          <t>BYPASS</t>
        </is>
      </c>
      <c r="I2745" t="inlineStr">
        <is>
          <t>1500KVA</t>
        </is>
      </c>
      <c r="J2745" t="inlineStr">
        <is>
          <t>MATRION</t>
        </is>
      </c>
      <c r="K2745" t="inlineStr">
        <is>
          <t>CUIVRE</t>
        </is>
      </c>
      <c r="L2745">
        <f>_xlfn.XLOOKUP(Tableau1[[#This Row],[TYPE DE PIECE]],Tableau4[MATIERE],Tableau4[SHORT TYPE],"",0,1)</f>
        <v/>
      </c>
      <c r="N2745">
        <f>IF(ISERR(FIND("DECOUPE",Tableau1[[#This Row],[DESIGNATION]])),"","NEED REF")</f>
        <v/>
      </c>
    </row>
    <row r="2746">
      <c r="B2746" t="n">
        <v>34411255</v>
      </c>
      <c r="C2746" s="2" t="n">
        <v>44909</v>
      </c>
      <c r="D2746" t="inlineStr">
        <is>
          <t>SPEC</t>
        </is>
      </c>
      <c r="E2746">
        <f>_xlfn.CONCAT(Tableau1[[#This Row],[SHORT TYPE]]," ",Tableau1[[#This Row],[NUMERO]]," ",Tableau1[[#This Row],[GAMME]]," ",Tableau1[[#This Row],[TYPE PRODUIT]]," ",Tableau1[[#This Row],[PUISSANCE]])</f>
        <v/>
      </c>
      <c r="G2746" t="inlineStr">
        <is>
          <t>GVX</t>
        </is>
      </c>
      <c r="H2746" t="inlineStr">
        <is>
          <t>BYPASS</t>
        </is>
      </c>
      <c r="I2746" t="inlineStr">
        <is>
          <t>1500KVA</t>
        </is>
      </c>
      <c r="J2746" t="inlineStr">
        <is>
          <t>MATRION</t>
        </is>
      </c>
      <c r="K2746" t="inlineStr">
        <is>
          <t>METAL</t>
        </is>
      </c>
      <c r="L2746">
        <f>_xlfn.XLOOKUP(Tableau1[[#This Row],[TYPE DE PIECE]],Tableau4[MATIERE],Tableau4[SHORT TYPE],"",0,1)</f>
        <v/>
      </c>
      <c r="N2746">
        <f>IF(ISERR(FIND("DECOUPE",Tableau1[[#This Row],[DESIGNATION]])),"","NEED REF")</f>
        <v/>
      </c>
    </row>
    <row r="2747">
      <c r="B2747" t="n">
        <v>34411254</v>
      </c>
      <c r="C2747" s="2" t="n">
        <v>44908</v>
      </c>
      <c r="D2747" t="inlineStr">
        <is>
          <t>SPEC</t>
        </is>
      </c>
      <c r="E2747">
        <f>_xlfn.CONCAT(Tableau1[[#This Row],[SHORT TYPE]]," ",Tableau1[[#This Row],[NUMERO]]," ",Tableau1[[#This Row],[GAMME]]," ",Tableau1[[#This Row],[TYPE PRODUIT]]," ",Tableau1[[#This Row],[PUISSANCE]])</f>
        <v/>
      </c>
      <c r="G2747" t="inlineStr">
        <is>
          <t>GVX</t>
        </is>
      </c>
      <c r="H2747" t="inlineStr">
        <is>
          <t>BYPASS</t>
        </is>
      </c>
      <c r="I2747" t="inlineStr">
        <is>
          <t>1500KVA</t>
        </is>
      </c>
      <c r="J2747" t="inlineStr">
        <is>
          <t>MATRION</t>
        </is>
      </c>
      <c r="K2747" t="inlineStr">
        <is>
          <t>METAL</t>
        </is>
      </c>
      <c r="L2747">
        <f>_xlfn.XLOOKUP(Tableau1[[#This Row],[TYPE DE PIECE]],Tableau4[MATIERE],Tableau4[SHORT TYPE],"",0,1)</f>
        <v/>
      </c>
      <c r="N2747">
        <f>IF(ISERR(FIND("DECOUPE",Tableau1[[#This Row],[DESIGNATION]])),"","NEED REF")</f>
        <v/>
      </c>
    </row>
    <row r="2748">
      <c r="B2748" t="n">
        <v>34411253</v>
      </c>
      <c r="C2748" s="2" t="n">
        <v>44907</v>
      </c>
      <c r="D2748" t="inlineStr">
        <is>
          <t>SPEC</t>
        </is>
      </c>
      <c r="E2748">
        <f>_xlfn.CONCAT(Tableau1[[#This Row],[SHORT TYPE]]," ",Tableau1[[#This Row],[NUMERO]]," ",Tableau1[[#This Row],[GAMME]]," ",Tableau1[[#This Row],[TYPE PRODUIT]]," ",Tableau1[[#This Row],[PUISSANCE]])</f>
        <v/>
      </c>
      <c r="F2748" t="inlineStr">
        <is>
          <t>21st Century Technologies Ltd / Nigéria</t>
        </is>
      </c>
      <c r="G2748" t="inlineStr">
        <is>
          <t>GVX</t>
        </is>
      </c>
      <c r="H2748" t="inlineStr">
        <is>
          <t>BYPASS</t>
        </is>
      </c>
      <c r="I2748" t="inlineStr">
        <is>
          <t>2500KVA</t>
        </is>
      </c>
      <c r="J2748" t="inlineStr">
        <is>
          <t>JAWORSKI</t>
        </is>
      </c>
      <c r="K2748" t="inlineStr">
        <is>
          <t>PLASTIQUE</t>
        </is>
      </c>
      <c r="L2748">
        <f>_xlfn.XLOOKUP(Tableau1[[#This Row],[TYPE DE PIECE]],Tableau4[MATIERE],Tableau4[SHORT TYPE],"",0,1)</f>
        <v/>
      </c>
      <c r="N2748">
        <f>IF(ISERR(FIND("DECOUPE",Tableau1[[#This Row],[DESIGNATION]])),"","NEED REF")</f>
        <v/>
      </c>
    </row>
    <row r="2749">
      <c r="B2749" t="n">
        <v>34411252</v>
      </c>
      <c r="C2749" s="2" t="n">
        <v>44907</v>
      </c>
      <c r="D2749" t="inlineStr">
        <is>
          <t>SPEC</t>
        </is>
      </c>
      <c r="E2749">
        <f>_xlfn.CONCAT(Tableau1[[#This Row],[SHORT TYPE]]," ",Tableau1[[#This Row],[NUMERO]]," ",Tableau1[[#This Row],[GAMME]]," ",Tableau1[[#This Row],[TYPE PRODUIT]]," ",Tableau1[[#This Row],[PUISSANCE]])</f>
        <v/>
      </c>
      <c r="G2749" t="inlineStr">
        <is>
          <t>GVX</t>
        </is>
      </c>
      <c r="H2749" t="inlineStr">
        <is>
          <t>IO</t>
        </is>
      </c>
      <c r="I2749" t="inlineStr">
        <is>
          <t>1500KVA</t>
        </is>
      </c>
      <c r="J2749" t="inlineStr">
        <is>
          <t>MATRION</t>
        </is>
      </c>
      <c r="K2749" t="inlineStr">
        <is>
          <t>CUIVRE</t>
        </is>
      </c>
      <c r="L2749">
        <f>_xlfn.XLOOKUP(Tableau1[[#This Row],[TYPE DE PIECE]],Tableau4[MATIERE],Tableau4[SHORT TYPE],"",0,1)</f>
        <v/>
      </c>
      <c r="N2749">
        <f>IF(ISERR(FIND("DECOUPE",Tableau1[[#This Row],[DESIGNATION]])),"","NEED REF")</f>
        <v/>
      </c>
    </row>
    <row r="2750">
      <c r="B2750" t="n">
        <v>34411251</v>
      </c>
      <c r="C2750" s="2" t="n">
        <v>44907</v>
      </c>
      <c r="D2750" t="inlineStr">
        <is>
          <t>SPEC</t>
        </is>
      </c>
      <c r="E2750">
        <f>_xlfn.CONCAT(Tableau1[[#This Row],[SHORT TYPE]]," ",Tableau1[[#This Row],[NUMERO]]," ",Tableau1[[#This Row],[GAMME]]," ",Tableau1[[#This Row],[TYPE PRODUIT]]," ",Tableau1[[#This Row],[PUISSANCE]])</f>
        <v/>
      </c>
      <c r="G2750" t="inlineStr">
        <is>
          <t>GVX</t>
        </is>
      </c>
      <c r="H2750" t="inlineStr">
        <is>
          <t>IO</t>
        </is>
      </c>
      <c r="I2750" t="inlineStr">
        <is>
          <t>1500KVA</t>
        </is>
      </c>
      <c r="J2750" t="inlineStr">
        <is>
          <t>MATRION</t>
        </is>
      </c>
      <c r="K2750" t="inlineStr">
        <is>
          <t>CUIVRE</t>
        </is>
      </c>
      <c r="L2750">
        <f>_xlfn.XLOOKUP(Tableau1[[#This Row],[TYPE DE PIECE]],Tableau4[MATIERE],Tableau4[SHORT TYPE],"",0,1)</f>
        <v/>
      </c>
      <c r="N2750">
        <f>IF(ISERR(FIND("DECOUPE",Tableau1[[#This Row],[DESIGNATION]])),"","NEED REF")</f>
        <v/>
      </c>
    </row>
    <row r="2751">
      <c r="B2751" t="n">
        <v>34411250</v>
      </c>
      <c r="C2751" s="2" t="n">
        <v>44904</v>
      </c>
      <c r="D2751" t="inlineStr">
        <is>
          <t>SPEC</t>
        </is>
      </c>
      <c r="E2751" t="inlineStr">
        <is>
          <t>COP LIAISON CUIVRE</t>
        </is>
      </c>
      <c r="G2751" t="inlineStr">
        <is>
          <t>GVM</t>
        </is>
      </c>
      <c r="H2751" t="inlineStr">
        <is>
          <t>BATTERY</t>
        </is>
      </c>
      <c r="I2751" t="inlineStr">
        <is>
          <t>80KVA</t>
        </is>
      </c>
      <c r="J2751" t="inlineStr">
        <is>
          <t>BERNARDEAU</t>
        </is>
      </c>
      <c r="K2751" t="inlineStr">
        <is>
          <t>CUIVRE</t>
        </is>
      </c>
      <c r="L2751">
        <f>_xlfn.XLOOKUP(Tableau1[[#This Row],[TYPE DE PIECE]],Tableau4[MATIERE],Tableau4[SHORT TYPE],"",0,1)</f>
        <v/>
      </c>
      <c r="N2751">
        <f>IF(ISERR(FIND("DECOUPE",Tableau1[[#This Row],[DESIGNATION]])),"","NEED REF")</f>
        <v/>
      </c>
    </row>
    <row r="2752">
      <c r="B2752" t="n">
        <v>34411249</v>
      </c>
      <c r="C2752" s="2" t="n">
        <v>44904</v>
      </c>
      <c r="D2752" t="inlineStr">
        <is>
          <t>SPEC</t>
        </is>
      </c>
      <c r="E2752" t="inlineStr">
        <is>
          <t>COP CUIVRE</t>
        </is>
      </c>
      <c r="G2752" t="inlineStr">
        <is>
          <t>GVM</t>
        </is>
      </c>
      <c r="H2752" t="inlineStr">
        <is>
          <t>BATTERY</t>
        </is>
      </c>
      <c r="I2752" t="inlineStr">
        <is>
          <t>80KVA</t>
        </is>
      </c>
      <c r="J2752" t="inlineStr">
        <is>
          <t>BERNARDEAU</t>
        </is>
      </c>
      <c r="K2752" t="inlineStr">
        <is>
          <t>CUIVRE</t>
        </is>
      </c>
      <c r="L2752">
        <f>_xlfn.XLOOKUP(Tableau1[[#This Row],[TYPE DE PIECE]],Tableau4[MATIERE],Tableau4[SHORT TYPE],"",0,1)</f>
        <v/>
      </c>
      <c r="N2752">
        <f>IF(ISERR(FIND("DECOUPE",Tableau1[[#This Row],[DESIGNATION]])),"","NEED REF")</f>
        <v/>
      </c>
    </row>
    <row r="2753">
      <c r="B2753" t="n">
        <v>34411248</v>
      </c>
      <c r="C2753" s="2" t="n">
        <v>44904</v>
      </c>
      <c r="D2753" t="inlineStr">
        <is>
          <t>SPEC</t>
        </is>
      </c>
      <c r="E2753" t="inlineStr">
        <is>
          <t>COP CUIVRE</t>
        </is>
      </c>
      <c r="G2753" t="inlineStr">
        <is>
          <t>GVM</t>
        </is>
      </c>
      <c r="H2753" t="inlineStr">
        <is>
          <t>BATTERY</t>
        </is>
      </c>
      <c r="I2753" t="inlineStr">
        <is>
          <t>80KVA</t>
        </is>
      </c>
      <c r="J2753" t="inlineStr">
        <is>
          <t>BERNARDEAU</t>
        </is>
      </c>
      <c r="K2753" t="inlineStr">
        <is>
          <t>CUIVRE</t>
        </is>
      </c>
      <c r="L2753">
        <f>_xlfn.XLOOKUP(Tableau1[[#This Row],[TYPE DE PIECE]],Tableau4[MATIERE],Tableau4[SHORT TYPE],"",0,1)</f>
        <v/>
      </c>
      <c r="N2753">
        <f>IF(ISERR(FIND("DECOUPE",Tableau1[[#This Row],[DESIGNATION]])),"","NEED REF")</f>
        <v/>
      </c>
    </row>
    <row r="2754">
      <c r="B2754" t="n">
        <v>34411247</v>
      </c>
      <c r="C2754" s="2" t="n">
        <v>44903</v>
      </c>
      <c r="D2754" t="inlineStr">
        <is>
          <t>SPEC</t>
        </is>
      </c>
      <c r="E2754" t="inlineStr">
        <is>
          <t>SWITCH MTZ32HA 4P + 3OF</t>
        </is>
      </c>
      <c r="F2754" t="inlineStr">
        <is>
          <t>ALGERIA</t>
        </is>
      </c>
      <c r="G2754" t="inlineStr">
        <is>
          <t>E3L/GVL</t>
        </is>
      </c>
      <c r="H2754" t="inlineStr">
        <is>
          <t>BYPASS</t>
        </is>
      </c>
      <c r="I2754" t="inlineStr">
        <is>
          <t>1800KVA</t>
        </is>
      </c>
      <c r="J2754" t="inlineStr">
        <is>
          <t>JAWORSKI</t>
        </is>
      </c>
      <c r="K2754" t="inlineStr">
        <is>
          <t>SCHNEIDER</t>
        </is>
      </c>
      <c r="L2754">
        <f>_xlfn.XLOOKUP(Tableau1[[#This Row],[TYPE DE PIECE]],Tableau4[MATIERE],Tableau4[SHORT TYPE],"",0,1)</f>
        <v/>
      </c>
      <c r="N2754">
        <f>IF(ISERR(FIND("DECOUPE",Tableau1[[#This Row],[DESIGNATION]])),"","NEED REF")</f>
        <v/>
      </c>
    </row>
    <row r="2755">
      <c r="B2755" t="n">
        <v>34411246</v>
      </c>
      <c r="C2755" s="2" t="n">
        <v>44903</v>
      </c>
      <c r="D2755" t="inlineStr">
        <is>
          <t>SPEC</t>
        </is>
      </c>
      <c r="E2755" t="inlineStr">
        <is>
          <t>SWITCH NS1000NA 4P + 2OF</t>
        </is>
      </c>
      <c r="F2755" t="inlineStr">
        <is>
          <t>ALGERIA</t>
        </is>
      </c>
      <c r="G2755" t="inlineStr">
        <is>
          <t>E3L/GVL</t>
        </is>
      </c>
      <c r="H2755" t="inlineStr">
        <is>
          <t>BYPASS</t>
        </is>
      </c>
      <c r="I2755" t="inlineStr">
        <is>
          <t>1800KVA</t>
        </is>
      </c>
      <c r="J2755" t="inlineStr">
        <is>
          <t>JAWORSKI</t>
        </is>
      </c>
      <c r="K2755" t="inlineStr">
        <is>
          <t>SCHNEIDER</t>
        </is>
      </c>
      <c r="L2755">
        <f>_xlfn.XLOOKUP(Tableau1[[#This Row],[TYPE DE PIECE]],Tableau4[MATIERE],Tableau4[SHORT TYPE],"",0,1)</f>
        <v/>
      </c>
      <c r="N2755">
        <f>IF(ISERR(FIND("DECOUPE",Tableau1[[#This Row],[DESIGNATION]])),"","NEED REF")</f>
        <v/>
      </c>
    </row>
    <row r="2756">
      <c r="B2756" t="n">
        <v>34411245</v>
      </c>
      <c r="C2756" s="2" t="n">
        <v>44902</v>
      </c>
      <c r="D2756" t="inlineStr">
        <is>
          <t>SPEC</t>
        </is>
      </c>
      <c r="E2756" t="inlineStr">
        <is>
          <t>PLA PROTECTION BARRE</t>
        </is>
      </c>
      <c r="G2756" t="inlineStr">
        <is>
          <t>GVM</t>
        </is>
      </c>
      <c r="H2756" t="inlineStr">
        <is>
          <t>BATTERY</t>
        </is>
      </c>
      <c r="I2756" t="inlineStr">
        <is>
          <t>80KVA</t>
        </is>
      </c>
      <c r="J2756" t="inlineStr">
        <is>
          <t>BERNARDEAU</t>
        </is>
      </c>
      <c r="K2756" t="inlineStr">
        <is>
          <t>PLASTIQUE</t>
        </is>
      </c>
      <c r="L2756">
        <f>_xlfn.XLOOKUP(Tableau1[[#This Row],[TYPE DE PIECE]],Tableau4[MATIERE],Tableau4[SHORT TYPE],"",0,1)</f>
        <v/>
      </c>
      <c r="N2756">
        <f>IF(ISERR(FIND("DECOUPE",Tableau1[[#This Row],[DESIGNATION]])),"","NEED REF")</f>
        <v/>
      </c>
    </row>
    <row r="2757">
      <c r="B2757" t="n">
        <v>34411244</v>
      </c>
      <c r="C2757" s="2" t="n">
        <v>44902</v>
      </c>
      <c r="D2757" t="inlineStr">
        <is>
          <t>SPEC</t>
        </is>
      </c>
      <c r="E2757" t="inlineStr">
        <is>
          <t>SMT SUPPORT RAIL FIXATION CABLE</t>
        </is>
      </c>
      <c r="G2757" t="inlineStr">
        <is>
          <t>GVM</t>
        </is>
      </c>
      <c r="H2757" t="inlineStr">
        <is>
          <t>BATTERY</t>
        </is>
      </c>
      <c r="I2757" t="inlineStr">
        <is>
          <t>80KVA</t>
        </is>
      </c>
      <c r="J2757" t="inlineStr">
        <is>
          <t>BERNARDEAU</t>
        </is>
      </c>
      <c r="K2757" t="inlineStr">
        <is>
          <t>METAL</t>
        </is>
      </c>
      <c r="L2757">
        <f>_xlfn.XLOOKUP(Tableau1[[#This Row],[TYPE DE PIECE]],Tableau4[MATIERE],Tableau4[SHORT TYPE],"",0,1)</f>
        <v/>
      </c>
      <c r="N2757">
        <f>IF(ISERR(FIND("DECOUPE",Tableau1[[#This Row],[DESIGNATION]])),"","NEED REF")</f>
        <v/>
      </c>
    </row>
    <row r="2758">
      <c r="B2758" t="n">
        <v>34411243</v>
      </c>
      <c r="C2758" s="2" t="n">
        <v>44902</v>
      </c>
      <c r="D2758" t="inlineStr">
        <is>
          <t>SPEC</t>
        </is>
      </c>
      <c r="E2758" t="inlineStr">
        <is>
          <t>SMT FIXATION CABLE CLIENT</t>
        </is>
      </c>
      <c r="G2758" t="inlineStr">
        <is>
          <t>GVM</t>
        </is>
      </c>
      <c r="H2758" t="inlineStr">
        <is>
          <t>BATTERY</t>
        </is>
      </c>
      <c r="I2758" t="inlineStr">
        <is>
          <t>80KVA</t>
        </is>
      </c>
      <c r="J2758" t="inlineStr">
        <is>
          <t>BERNARDEAU</t>
        </is>
      </c>
      <c r="K2758" t="inlineStr">
        <is>
          <t>METAL</t>
        </is>
      </c>
      <c r="L2758">
        <f>_xlfn.XLOOKUP(Tableau1[[#This Row],[TYPE DE PIECE]],Tableau4[MATIERE],Tableau4[SHORT TYPE],"",0,1)</f>
        <v/>
      </c>
      <c r="N2758">
        <f>IF(ISERR(FIND("DECOUPE",Tableau1[[#This Row],[DESIGNATION]])),"","NEED REF")</f>
        <v/>
      </c>
    </row>
    <row r="2759">
      <c r="B2759" t="n">
        <v>34411242</v>
      </c>
      <c r="C2759" s="2" t="n">
        <v>44901</v>
      </c>
      <c r="D2759" t="inlineStr">
        <is>
          <t>SPEC</t>
        </is>
      </c>
      <c r="E2759" t="inlineStr">
        <is>
          <t>SMT PLAQUE DE FOND</t>
        </is>
      </c>
      <c r="G2759" t="inlineStr">
        <is>
          <t>GVM</t>
        </is>
      </c>
      <c r="H2759" t="inlineStr">
        <is>
          <t>BATTERY</t>
        </is>
      </c>
      <c r="I2759" t="inlineStr">
        <is>
          <t>80KVA</t>
        </is>
      </c>
      <c r="J2759" t="inlineStr">
        <is>
          <t>BERNARDEAU</t>
        </is>
      </c>
      <c r="K2759" t="inlineStr">
        <is>
          <t>METAL</t>
        </is>
      </c>
      <c r="L2759">
        <f>_xlfn.XLOOKUP(Tableau1[[#This Row],[TYPE DE PIECE]],Tableau4[MATIERE],Tableau4[SHORT TYPE],"",0,1)</f>
        <v/>
      </c>
      <c r="N2759">
        <f>IF(ISERR(FIND("DECOUPE",Tableau1[[#This Row],[DESIGNATION]])),"","NEED REF")</f>
        <v/>
      </c>
    </row>
    <row r="2760">
      <c r="B2760" t="n">
        <v>34411241</v>
      </c>
      <c r="C2760" s="2" t="n">
        <v>44901</v>
      </c>
      <c r="D2760" t="inlineStr">
        <is>
          <t>SPEC</t>
        </is>
      </c>
      <c r="E2760" t="inlineStr">
        <is>
          <t>SMT PLASTRON</t>
        </is>
      </c>
      <c r="G2760" t="inlineStr">
        <is>
          <t>GVM</t>
        </is>
      </c>
      <c r="H2760" t="inlineStr">
        <is>
          <t>BATTERY</t>
        </is>
      </c>
      <c r="I2760" t="inlineStr">
        <is>
          <t>80KVA</t>
        </is>
      </c>
      <c r="J2760" t="inlineStr">
        <is>
          <t>BERNARDEAU</t>
        </is>
      </c>
      <c r="K2760" t="inlineStr">
        <is>
          <t>METAL</t>
        </is>
      </c>
      <c r="L2760">
        <f>_xlfn.XLOOKUP(Tableau1[[#This Row],[TYPE DE PIECE]],Tableau4[MATIERE],Tableau4[SHORT TYPE],"",0,1)</f>
        <v/>
      </c>
      <c r="N2760">
        <f>IF(ISERR(FIND("DECOUPE",Tableau1[[#This Row],[DESIGNATION]])),"","NEED REF")</f>
        <v/>
      </c>
    </row>
    <row r="2761">
      <c r="B2761" t="n">
        <v>34411240</v>
      </c>
      <c r="C2761" s="2" t="n">
        <v>44896</v>
      </c>
      <c r="D2761" t="inlineStr">
        <is>
          <t>SPEC</t>
        </is>
      </c>
      <c r="E2761" t="inlineStr">
        <is>
          <t>Document dépalettisation skid GVS</t>
        </is>
      </c>
      <c r="G2761" t="inlineStr">
        <is>
          <t>GVS</t>
        </is>
      </c>
      <c r="J2761" t="inlineStr">
        <is>
          <t>BERNARDEAU</t>
        </is>
      </c>
      <c r="K2761" t="inlineStr">
        <is>
          <t>DOCUMENT</t>
        </is>
      </c>
      <c r="L2761">
        <f>_xlfn.XLOOKUP(Tableau1[[#This Row],[TYPE DE PIECE]],Tableau4[MATIERE],Tableau4[SHORT TYPE],"",0,1)</f>
        <v/>
      </c>
      <c r="N2761">
        <f>IF(ISERR(FIND("DECOUPE",Tableau1[[#This Row],[DESIGNATION]])),"","NEED REF")</f>
        <v/>
      </c>
    </row>
    <row r="2762">
      <c r="B2762" t="n">
        <v>34411239</v>
      </c>
      <c r="C2762" s="2" t="n">
        <v>44895</v>
      </c>
      <c r="D2762" t="inlineStr">
        <is>
          <t>SPEC</t>
        </is>
      </c>
      <c r="E2762">
        <f>_xlfn.CONCAT(Tableau1[[#This Row],[SHORT TYPE]]," ",Tableau1[[#This Row],[NUMERO]]," ",Tableau1[[#This Row],[GAMME]]," ",Tableau1[[#This Row],[TYPE PRODUIT]]," ",Tableau1[[#This Row],[PUISSANCE]])</f>
        <v/>
      </c>
      <c r="F2762" t="inlineStr">
        <is>
          <t>ALGERIA</t>
        </is>
      </c>
      <c r="G2762" t="inlineStr">
        <is>
          <t>E3L/GVL</t>
        </is>
      </c>
      <c r="H2762" t="inlineStr">
        <is>
          <t>BYPASS</t>
        </is>
      </c>
      <c r="I2762" t="inlineStr">
        <is>
          <t>1800KVA</t>
        </is>
      </c>
      <c r="J2762" t="inlineStr">
        <is>
          <t>JAWORSKI</t>
        </is>
      </c>
      <c r="K2762" t="inlineStr">
        <is>
          <t>PLASTIQUE</t>
        </is>
      </c>
      <c r="L2762">
        <f>_xlfn.XLOOKUP(Tableau1[[#This Row],[TYPE DE PIECE]],Tableau4[MATIERE],Tableau4[SHORT TYPE],"",0,1)</f>
        <v/>
      </c>
      <c r="N2762">
        <f>IF(ISERR(FIND("DECOUPE",Tableau1[[#This Row],[DESIGNATION]])),"","NEED REF")</f>
        <v/>
      </c>
    </row>
    <row r="2763">
      <c r="B2763" t="n">
        <v>34411238</v>
      </c>
      <c r="C2763" s="2" t="n">
        <v>44895</v>
      </c>
      <c r="D2763" t="inlineStr">
        <is>
          <t>SPEC</t>
        </is>
      </c>
      <c r="E2763">
        <f>_xlfn.CONCAT(Tableau1[[#This Row],[SHORT TYPE]]," ",Tableau1[[#This Row],[NUMERO]]," ",Tableau1[[#This Row],[GAMME]]," ",Tableau1[[#This Row],[TYPE PRODUIT]]," ",Tableau1[[#This Row],[PUISSANCE]])</f>
        <v/>
      </c>
      <c r="F2763" t="inlineStr">
        <is>
          <t>ALGERIA</t>
        </is>
      </c>
      <c r="G2763" t="inlineStr">
        <is>
          <t>E3L/GVL</t>
        </is>
      </c>
      <c r="H2763" t="inlineStr">
        <is>
          <t>BYPASS</t>
        </is>
      </c>
      <c r="I2763" t="inlineStr">
        <is>
          <t>1800KVA</t>
        </is>
      </c>
      <c r="J2763" t="inlineStr">
        <is>
          <t>JAWORSKI</t>
        </is>
      </c>
      <c r="K2763" t="inlineStr">
        <is>
          <t>METAL</t>
        </is>
      </c>
      <c r="L2763">
        <f>_xlfn.XLOOKUP(Tableau1[[#This Row],[TYPE DE PIECE]],Tableau4[MATIERE],Tableau4[SHORT TYPE],"",0,1)</f>
        <v/>
      </c>
      <c r="N2763">
        <f>IF(ISERR(FIND("DECOUPE",Tableau1[[#This Row],[DESIGNATION]])),"","NEED REF")</f>
        <v/>
      </c>
    </row>
    <row r="2764">
      <c r="B2764" t="n">
        <v>34411237</v>
      </c>
      <c r="C2764" s="2" t="n">
        <v>44895</v>
      </c>
      <c r="D2764" t="inlineStr">
        <is>
          <t>SPEC</t>
        </is>
      </c>
      <c r="E2764">
        <f>_xlfn.CONCAT(Tableau1[[#This Row],[SHORT TYPE]]," ",Tableau1[[#This Row],[NUMERO]]," ",Tableau1[[#This Row],[GAMME]]," ",Tableau1[[#This Row],[TYPE PRODUIT]]," ",Tableau1[[#This Row],[PUISSANCE]])</f>
        <v/>
      </c>
      <c r="F2764" t="inlineStr">
        <is>
          <t>ALGERIA</t>
        </is>
      </c>
      <c r="G2764" t="inlineStr">
        <is>
          <t>E3L/GVL</t>
        </is>
      </c>
      <c r="H2764" t="inlineStr">
        <is>
          <t>BYPASS</t>
        </is>
      </c>
      <c r="I2764" t="inlineStr">
        <is>
          <t>1800KVA</t>
        </is>
      </c>
      <c r="J2764" t="inlineStr">
        <is>
          <t>JAWORSKI</t>
        </is>
      </c>
      <c r="K2764" t="inlineStr">
        <is>
          <t>METAL</t>
        </is>
      </c>
      <c r="L2764">
        <f>_xlfn.XLOOKUP(Tableau1[[#This Row],[TYPE DE PIECE]],Tableau4[MATIERE],Tableau4[SHORT TYPE],"",0,1)</f>
        <v/>
      </c>
      <c r="N2764">
        <f>IF(ISERR(FIND("DECOUPE",Tableau1[[#This Row],[DESIGNATION]])),"","NEED REF")</f>
        <v/>
      </c>
    </row>
    <row r="2765">
      <c r="B2765" t="n">
        <v>34411236</v>
      </c>
      <c r="C2765" s="2" t="n">
        <v>44895</v>
      </c>
      <c r="D2765" t="inlineStr">
        <is>
          <t>SPEC</t>
        </is>
      </c>
      <c r="E2765">
        <f>_xlfn.CONCAT(Tableau1[[#This Row],[SHORT TYPE]]," ",Tableau1[[#This Row],[NUMERO]]," ",Tableau1[[#This Row],[GAMME]]," ",Tableau1[[#This Row],[TYPE PRODUIT]]," ",Tableau1[[#This Row],[PUISSANCE]])</f>
        <v/>
      </c>
      <c r="F2765" t="inlineStr">
        <is>
          <t>ALGERIA</t>
        </is>
      </c>
      <c r="G2765" t="inlineStr">
        <is>
          <t>E3L/GVL</t>
        </is>
      </c>
      <c r="H2765" t="inlineStr">
        <is>
          <t>BYPASS</t>
        </is>
      </c>
      <c r="I2765" t="inlineStr">
        <is>
          <t>1800KVA</t>
        </is>
      </c>
      <c r="J2765" t="inlineStr">
        <is>
          <t>JAWORSKI</t>
        </is>
      </c>
      <c r="K2765" t="inlineStr">
        <is>
          <t>METAL</t>
        </is>
      </c>
      <c r="L2765">
        <f>_xlfn.XLOOKUP(Tableau1[[#This Row],[TYPE DE PIECE]],Tableau4[MATIERE],Tableau4[SHORT TYPE],"",0,1)</f>
        <v/>
      </c>
      <c r="N2765">
        <f>IF(ISERR(FIND("DECOUPE",Tableau1[[#This Row],[DESIGNATION]])),"","NEED REF")</f>
        <v/>
      </c>
    </row>
    <row r="2766">
      <c r="B2766" t="n">
        <v>34411235</v>
      </c>
      <c r="C2766" s="2" t="n">
        <v>44894</v>
      </c>
      <c r="D2766" t="inlineStr">
        <is>
          <t>SPEC</t>
        </is>
      </c>
      <c r="E2766">
        <f>_xlfn.CONCAT(Tableau1[[#This Row],[SHORT TYPE]]," ",Tableau1[[#This Row],[NUMERO]]," ",Tableau1[[#This Row],[GAMME]]," ",Tableau1[[#This Row],[TYPE PRODUIT]]," ",Tableau1[[#This Row],[PUISSANCE]])</f>
        <v/>
      </c>
      <c r="G2766" t="inlineStr">
        <is>
          <t>GVX</t>
        </is>
      </c>
      <c r="H2766" t="inlineStr">
        <is>
          <t>BYPASS</t>
        </is>
      </c>
      <c r="I2766" t="inlineStr">
        <is>
          <t>750kVA</t>
        </is>
      </c>
      <c r="J2766" t="inlineStr">
        <is>
          <t>MATRION</t>
        </is>
      </c>
      <c r="K2766" t="inlineStr">
        <is>
          <t>METAL</t>
        </is>
      </c>
      <c r="L2766">
        <f>_xlfn.XLOOKUP(Tableau1[[#This Row],[TYPE DE PIECE]],Tableau4[MATIERE],Tableau4[SHORT TYPE],"",0,1)</f>
        <v/>
      </c>
      <c r="N2766">
        <f>IF(ISERR(FIND("DECOUPE",Tableau1[[#This Row],[DESIGNATION]])),"","NEED REF")</f>
        <v/>
      </c>
    </row>
    <row r="2767">
      <c r="B2767" t="n">
        <v>34411234</v>
      </c>
      <c r="C2767" s="2" t="n">
        <v>44894</v>
      </c>
      <c r="D2767" t="inlineStr">
        <is>
          <t>SPEC</t>
        </is>
      </c>
      <c r="E2767">
        <f>_xlfn.CONCAT(Tableau1[[#This Row],[SHORT TYPE]]," ",Tableau1[[#This Row],[NUMERO]]," ",Tableau1[[#This Row],[GAMME]]," ",Tableau1[[#This Row],[TYPE PRODUIT]]," ",Tableau1[[#This Row],[PUISSANCE]])</f>
        <v/>
      </c>
      <c r="G2767" t="inlineStr">
        <is>
          <t>GVX</t>
        </is>
      </c>
      <c r="H2767" t="inlineStr">
        <is>
          <t>BYPASS</t>
        </is>
      </c>
      <c r="I2767" t="inlineStr">
        <is>
          <t>750kVA</t>
        </is>
      </c>
      <c r="J2767" t="inlineStr">
        <is>
          <t>MATRION</t>
        </is>
      </c>
      <c r="K2767" t="inlineStr">
        <is>
          <t>METAL</t>
        </is>
      </c>
      <c r="L2767">
        <f>_xlfn.XLOOKUP(Tableau1[[#This Row],[TYPE DE PIECE]],Tableau4[MATIERE],Tableau4[SHORT TYPE],"",0,1)</f>
        <v/>
      </c>
      <c r="N2767">
        <f>IF(ISERR(FIND("DECOUPE",Tableau1[[#This Row],[DESIGNATION]])),"","NEED REF")</f>
        <v/>
      </c>
    </row>
    <row r="2768">
      <c r="B2768" t="n">
        <v>34411233</v>
      </c>
      <c r="C2768" s="2" t="n">
        <v>44894</v>
      </c>
      <c r="D2768" t="inlineStr">
        <is>
          <t>SPEC</t>
        </is>
      </c>
      <c r="E2768">
        <f>_xlfn.CONCAT(Tableau1[[#This Row],[SHORT TYPE]]," ",Tableau1[[#This Row],[NUMERO]]," ",Tableau1[[#This Row],[GAMME]]," ",Tableau1[[#This Row],[TYPE PRODUIT]]," ",Tableau1[[#This Row],[PUISSANCE]])</f>
        <v/>
      </c>
      <c r="G2768" t="inlineStr">
        <is>
          <t>GVX</t>
        </is>
      </c>
      <c r="H2768" t="inlineStr">
        <is>
          <t>BYPASS</t>
        </is>
      </c>
      <c r="I2768" t="inlineStr">
        <is>
          <t>750kVA</t>
        </is>
      </c>
      <c r="J2768" t="inlineStr">
        <is>
          <t>MATRION</t>
        </is>
      </c>
      <c r="K2768" t="inlineStr">
        <is>
          <t>METAL</t>
        </is>
      </c>
      <c r="L2768">
        <f>_xlfn.XLOOKUP(Tableau1[[#This Row],[TYPE DE PIECE]],Tableau4[MATIERE],Tableau4[SHORT TYPE],"",0,1)</f>
        <v/>
      </c>
      <c r="N2768">
        <f>IF(ISERR(FIND("DECOUPE",Tableau1[[#This Row],[DESIGNATION]])),"","NEED REF")</f>
        <v/>
      </c>
    </row>
    <row r="2769">
      <c r="B2769" t="n">
        <v>34411232</v>
      </c>
      <c r="C2769" s="2" t="n">
        <v>44894</v>
      </c>
      <c r="D2769" t="inlineStr">
        <is>
          <t>SPEC</t>
        </is>
      </c>
      <c r="E2769">
        <f>_xlfn.CONCAT(Tableau1[[#This Row],[SHORT TYPE]]," ",Tableau1[[#This Row],[NUMERO]]," ",Tableau1[[#This Row],[GAMME]]," ",Tableau1[[#This Row],[TYPE PRODUIT]]," ",Tableau1[[#This Row],[PUISSANCE]])</f>
        <v/>
      </c>
      <c r="G2769" t="inlineStr">
        <is>
          <t>GVX</t>
        </is>
      </c>
      <c r="H2769" t="inlineStr">
        <is>
          <t>BYPASS</t>
        </is>
      </c>
      <c r="I2769" t="inlineStr">
        <is>
          <t>750kVA</t>
        </is>
      </c>
      <c r="J2769" t="inlineStr">
        <is>
          <t>MATRION</t>
        </is>
      </c>
      <c r="K2769" t="inlineStr">
        <is>
          <t>METAL</t>
        </is>
      </c>
      <c r="L2769">
        <f>_xlfn.XLOOKUP(Tableau1[[#This Row],[TYPE DE PIECE]],Tableau4[MATIERE],Tableau4[SHORT TYPE],"",0,1)</f>
        <v/>
      </c>
      <c r="N2769">
        <f>IF(ISERR(FIND("DECOUPE",Tableau1[[#This Row],[DESIGNATION]])),"","NEED REF")</f>
        <v/>
      </c>
    </row>
    <row r="2770">
      <c r="B2770" t="n">
        <v>34411231</v>
      </c>
      <c r="C2770" s="2" t="n">
        <v>44894</v>
      </c>
      <c r="D2770" t="inlineStr">
        <is>
          <t>SPEC</t>
        </is>
      </c>
      <c r="E2770">
        <f>_xlfn.CONCAT(Tableau1[[#This Row],[SHORT TYPE]]," ",Tableau1[[#This Row],[NUMERO]]," ",Tableau1[[#This Row],[GAMME]]," ",Tableau1[[#This Row],[TYPE PRODUIT]]," ",Tableau1[[#This Row],[PUISSANCE]])</f>
        <v/>
      </c>
      <c r="G2770" t="inlineStr">
        <is>
          <t>GVX</t>
        </is>
      </c>
      <c r="H2770" t="inlineStr">
        <is>
          <t>BYPASS</t>
        </is>
      </c>
      <c r="I2770" t="inlineStr">
        <is>
          <t>750kVA</t>
        </is>
      </c>
      <c r="J2770" t="inlineStr">
        <is>
          <t>MATRION</t>
        </is>
      </c>
      <c r="K2770" t="inlineStr">
        <is>
          <t>METAL</t>
        </is>
      </c>
      <c r="L2770">
        <f>_xlfn.XLOOKUP(Tableau1[[#This Row],[TYPE DE PIECE]],Tableau4[MATIERE],Tableau4[SHORT TYPE],"",0,1)</f>
        <v/>
      </c>
      <c r="N2770">
        <f>IF(ISERR(FIND("DECOUPE",Tableau1[[#This Row],[DESIGNATION]])),"","NEED REF")</f>
        <v/>
      </c>
    </row>
    <row r="2771">
      <c r="B2771" t="n">
        <v>34411230</v>
      </c>
      <c r="C2771" s="2" t="n">
        <v>44893</v>
      </c>
      <c r="D2771" t="inlineStr">
        <is>
          <t>SPEC</t>
        </is>
      </c>
      <c r="E2771">
        <f>_xlfn.CONCAT(Tableau1[[#This Row],[SHORT TYPE]]," ",Tableau1[[#This Row],[NUMERO]]," ",Tableau1[[#This Row],[GAMME]]," ",Tableau1[[#This Row],[TYPE PRODUIT]]," ",Tableau1[[#This Row],[PUISSANCE]])</f>
        <v/>
      </c>
      <c r="F2771" t="inlineStr">
        <is>
          <t>ALGERIA</t>
        </is>
      </c>
      <c r="G2771" t="inlineStr">
        <is>
          <t>E3L/GVL</t>
        </is>
      </c>
      <c r="H2771" t="inlineStr">
        <is>
          <t>BYPASS</t>
        </is>
      </c>
      <c r="I2771" t="inlineStr">
        <is>
          <t>1800KVA</t>
        </is>
      </c>
      <c r="J2771" t="inlineStr">
        <is>
          <t>JAWORSKI</t>
        </is>
      </c>
      <c r="K2771" t="inlineStr">
        <is>
          <t>PLASTIQUE</t>
        </is>
      </c>
      <c r="L2771">
        <f>_xlfn.XLOOKUP(Tableau1[[#This Row],[TYPE DE PIECE]],Tableau4[MATIERE],Tableau4[SHORT TYPE],"",0,1)</f>
        <v/>
      </c>
      <c r="N2771">
        <f>IF(ISERR(FIND("DECOUPE",Tableau1[[#This Row],[DESIGNATION]])),"","NEED REF")</f>
        <v/>
      </c>
    </row>
    <row r="2772">
      <c r="B2772" t="n">
        <v>34411229</v>
      </c>
      <c r="C2772" s="2" t="n">
        <v>44893</v>
      </c>
      <c r="D2772" t="inlineStr">
        <is>
          <t>SPEC</t>
        </is>
      </c>
      <c r="E2772">
        <f>_xlfn.CONCAT(Tableau1[[#This Row],[SHORT TYPE]]," ",Tableau1[[#This Row],[NUMERO]]," ",Tableau1[[#This Row],[GAMME]]," ",Tableau1[[#This Row],[TYPE PRODUIT]]," ",Tableau1[[#This Row],[PUISSANCE]])</f>
        <v/>
      </c>
      <c r="F2772" t="inlineStr">
        <is>
          <t>ALGERIA</t>
        </is>
      </c>
      <c r="G2772" t="inlineStr">
        <is>
          <t>E3L/GVL</t>
        </is>
      </c>
      <c r="H2772" t="inlineStr">
        <is>
          <t>BYPASS</t>
        </is>
      </c>
      <c r="I2772" t="inlineStr">
        <is>
          <t>1800KVA</t>
        </is>
      </c>
      <c r="J2772" t="inlineStr">
        <is>
          <t>JAWORSKI</t>
        </is>
      </c>
      <c r="K2772" t="inlineStr">
        <is>
          <t>CUIVRE</t>
        </is>
      </c>
      <c r="L2772">
        <f>_xlfn.XLOOKUP(Tableau1[[#This Row],[TYPE DE PIECE]],Tableau4[MATIERE],Tableau4[SHORT TYPE],"",0,1)</f>
        <v/>
      </c>
      <c r="N2772">
        <f>IF(ISERR(FIND("DECOUPE",Tableau1[[#This Row],[DESIGNATION]])),"","NEED REF")</f>
        <v/>
      </c>
    </row>
    <row r="2773">
      <c r="B2773" t="n">
        <v>34411228</v>
      </c>
      <c r="C2773" s="2" t="n">
        <v>44893</v>
      </c>
      <c r="D2773" t="inlineStr">
        <is>
          <t>SPEC</t>
        </is>
      </c>
      <c r="E2773">
        <f>_xlfn.CONCAT(Tableau1[[#This Row],[SHORT TYPE]]," ",Tableau1[[#This Row],[NUMERO]]," ",Tableau1[[#This Row],[GAMME]]," ",Tableau1[[#This Row],[TYPE PRODUIT]]," ",Tableau1[[#This Row],[PUISSANCE]])</f>
        <v/>
      </c>
      <c r="F2773" t="inlineStr">
        <is>
          <t>ALGERIA</t>
        </is>
      </c>
      <c r="G2773" t="inlineStr">
        <is>
          <t>E3L/GVL</t>
        </is>
      </c>
      <c r="H2773" t="inlineStr">
        <is>
          <t>BYPASS</t>
        </is>
      </c>
      <c r="I2773" t="inlineStr">
        <is>
          <t>1800KVA</t>
        </is>
      </c>
      <c r="J2773" t="inlineStr">
        <is>
          <t>JAWORSKI</t>
        </is>
      </c>
      <c r="K2773" t="inlineStr">
        <is>
          <t>CUIVRE</t>
        </is>
      </c>
      <c r="L2773">
        <f>_xlfn.XLOOKUP(Tableau1[[#This Row],[TYPE DE PIECE]],Tableau4[MATIERE],Tableau4[SHORT TYPE],"",0,1)</f>
        <v/>
      </c>
      <c r="N2773">
        <f>IF(ISERR(FIND("DECOUPE",Tableau1[[#This Row],[DESIGNATION]])),"","NEED REF")</f>
        <v/>
      </c>
    </row>
    <row r="2774">
      <c r="B2774" t="n">
        <v>34411227</v>
      </c>
      <c r="C2774" s="2" t="n">
        <v>44893</v>
      </c>
      <c r="D2774" t="inlineStr">
        <is>
          <t>SPEC</t>
        </is>
      </c>
      <c r="E2774">
        <f>_xlfn.CONCAT(Tableau1[[#This Row],[SHORT TYPE]]," ",Tableau1[[#This Row],[NUMERO]]," ",Tableau1[[#This Row],[GAMME]]," ",Tableau1[[#This Row],[TYPE PRODUIT]]," ",Tableau1[[#This Row],[PUISSANCE]])</f>
        <v/>
      </c>
      <c r="F2774" t="inlineStr">
        <is>
          <t>ALGERIA</t>
        </is>
      </c>
      <c r="G2774" t="inlineStr">
        <is>
          <t>E3L/GVL</t>
        </is>
      </c>
      <c r="H2774" t="inlineStr">
        <is>
          <t>BYPASS</t>
        </is>
      </c>
      <c r="I2774" t="inlineStr">
        <is>
          <t>1800KVA</t>
        </is>
      </c>
      <c r="J2774" t="inlineStr">
        <is>
          <t>JAWORSKI</t>
        </is>
      </c>
      <c r="K2774" t="inlineStr">
        <is>
          <t>CUIVRE</t>
        </is>
      </c>
      <c r="L2774">
        <f>_xlfn.XLOOKUP(Tableau1[[#This Row],[TYPE DE PIECE]],Tableau4[MATIERE],Tableau4[SHORT TYPE],"",0,1)</f>
        <v/>
      </c>
      <c r="N2774">
        <f>IF(ISERR(FIND("DECOUPE",Tableau1[[#This Row],[DESIGNATION]])),"","NEED REF")</f>
        <v/>
      </c>
    </row>
    <row r="2775">
      <c r="B2775" t="n">
        <v>34411226</v>
      </c>
      <c r="C2775" s="2" t="n">
        <v>44893</v>
      </c>
      <c r="D2775" t="inlineStr">
        <is>
          <t>SPEC</t>
        </is>
      </c>
      <c r="E2775">
        <f>_xlfn.CONCAT(Tableau1[[#This Row],[SHORT TYPE]]," ",Tableau1[[#This Row],[NUMERO]]," ",Tableau1[[#This Row],[GAMME]]," ",Tableau1[[#This Row],[TYPE PRODUIT]]," ",Tableau1[[#This Row],[PUISSANCE]])</f>
        <v/>
      </c>
      <c r="F2775" t="inlineStr">
        <is>
          <t>ALGERIA</t>
        </is>
      </c>
      <c r="G2775" t="inlineStr">
        <is>
          <t>E3L/GVL</t>
        </is>
      </c>
      <c r="H2775" t="inlineStr">
        <is>
          <t>BYPASS</t>
        </is>
      </c>
      <c r="I2775" t="inlineStr">
        <is>
          <t>1800KVA</t>
        </is>
      </c>
      <c r="J2775" t="inlineStr">
        <is>
          <t>JAWORSKI</t>
        </is>
      </c>
      <c r="K2775" t="inlineStr">
        <is>
          <t>CUIVRE</t>
        </is>
      </c>
      <c r="L2775">
        <f>_xlfn.XLOOKUP(Tableau1[[#This Row],[TYPE DE PIECE]],Tableau4[MATIERE],Tableau4[SHORT TYPE],"",0,1)</f>
        <v/>
      </c>
      <c r="N2775">
        <f>IF(ISERR(FIND("DECOUPE",Tableau1[[#This Row],[DESIGNATION]])),"","NEED REF")</f>
        <v/>
      </c>
    </row>
    <row r="2776">
      <c r="B2776" t="n">
        <v>34411225</v>
      </c>
      <c r="C2776" s="2" t="n">
        <v>44890</v>
      </c>
      <c r="D2776" t="inlineStr">
        <is>
          <t>SPEC</t>
        </is>
      </c>
      <c r="E2776">
        <f>_xlfn.CONCAT(Tableau1[[#This Row],[SHORT TYPE]]," ",Tableau1[[#This Row],[NUMERO]]," ",Tableau1[[#This Row],[GAMME]]," ",Tableau1[[#This Row],[TYPE PRODUIT]]," ",Tableau1[[#This Row],[PUISSANCE]])</f>
        <v/>
      </c>
      <c r="F2776" t="inlineStr">
        <is>
          <t>ALGERIA</t>
        </is>
      </c>
      <c r="G2776" t="inlineStr">
        <is>
          <t>E3L/GVL</t>
        </is>
      </c>
      <c r="H2776" t="inlineStr">
        <is>
          <t>BYPASS</t>
        </is>
      </c>
      <c r="I2776" t="inlineStr">
        <is>
          <t>1800KVA</t>
        </is>
      </c>
      <c r="J2776" t="inlineStr">
        <is>
          <t>JAWORSKI</t>
        </is>
      </c>
      <c r="K2776" t="inlineStr">
        <is>
          <t>CUIVRE</t>
        </is>
      </c>
      <c r="L2776">
        <f>_xlfn.XLOOKUP(Tableau1[[#This Row],[TYPE DE PIECE]],Tableau4[MATIERE],Tableau4[SHORT TYPE],"",0,1)</f>
        <v/>
      </c>
      <c r="N2776">
        <f>IF(ISERR(FIND("DECOUPE",Tableau1[[#This Row],[DESIGNATION]])),"","NEED REF")</f>
        <v/>
      </c>
    </row>
    <row r="2777">
      <c r="B2777" t="n">
        <v>34411224</v>
      </c>
      <c r="C2777" s="2" t="n">
        <v>44890</v>
      </c>
      <c r="D2777" t="inlineStr">
        <is>
          <t>SPEC</t>
        </is>
      </c>
      <c r="E2777">
        <f>_xlfn.CONCAT(Tableau1[[#This Row],[SHORT TYPE]]," ",Tableau1[[#This Row],[NUMERO]]," ",Tableau1[[#This Row],[GAMME]]," ",Tableau1[[#This Row],[TYPE PRODUIT]]," ",Tableau1[[#This Row],[PUISSANCE]])</f>
        <v/>
      </c>
      <c r="F2777" t="inlineStr">
        <is>
          <t>ALGERIA</t>
        </is>
      </c>
      <c r="G2777" t="inlineStr">
        <is>
          <t>E3L/GVL</t>
        </is>
      </c>
      <c r="H2777" t="inlineStr">
        <is>
          <t>BYPASS</t>
        </is>
      </c>
      <c r="I2777" t="inlineStr">
        <is>
          <t>1800KVA</t>
        </is>
      </c>
      <c r="J2777" t="inlineStr">
        <is>
          <t>JAWORSKI</t>
        </is>
      </c>
      <c r="K2777" t="inlineStr">
        <is>
          <t>CUIVRE</t>
        </is>
      </c>
      <c r="L2777">
        <f>_xlfn.XLOOKUP(Tableau1[[#This Row],[TYPE DE PIECE]],Tableau4[MATIERE],Tableau4[SHORT TYPE],"",0,1)</f>
        <v/>
      </c>
      <c r="N2777">
        <f>IF(ISERR(FIND("DECOUPE",Tableau1[[#This Row],[DESIGNATION]])),"","NEED REF")</f>
        <v/>
      </c>
    </row>
    <row r="2778">
      <c r="B2778" t="n">
        <v>34411223</v>
      </c>
      <c r="C2778" s="2" t="n">
        <v>44890</v>
      </c>
      <c r="D2778" t="inlineStr">
        <is>
          <t>SPEC</t>
        </is>
      </c>
      <c r="E2778">
        <f>_xlfn.CONCAT(Tableau1[[#This Row],[SHORT TYPE]]," ",Tableau1[[#This Row],[NUMERO]]," ",Tableau1[[#This Row],[GAMME]]," ",Tableau1[[#This Row],[TYPE PRODUIT]]," ",Tableau1[[#This Row],[PUISSANCE]])</f>
        <v/>
      </c>
      <c r="F2778" t="inlineStr">
        <is>
          <t>ALGERIA</t>
        </is>
      </c>
      <c r="G2778" t="inlineStr">
        <is>
          <t>E3L/GVL</t>
        </is>
      </c>
      <c r="H2778" t="inlineStr">
        <is>
          <t>BYPASS</t>
        </is>
      </c>
      <c r="I2778" t="inlineStr">
        <is>
          <t>1800KVA</t>
        </is>
      </c>
      <c r="J2778" t="inlineStr">
        <is>
          <t>JAWORSKI</t>
        </is>
      </c>
      <c r="K2778" t="inlineStr">
        <is>
          <t>CUIVRE</t>
        </is>
      </c>
      <c r="L2778">
        <f>_xlfn.XLOOKUP(Tableau1[[#This Row],[TYPE DE PIECE]],Tableau4[MATIERE],Tableau4[SHORT TYPE],"",0,1)</f>
        <v/>
      </c>
      <c r="N2778">
        <f>IF(ISERR(FIND("DECOUPE",Tableau1[[#This Row],[DESIGNATION]])),"","NEED REF")</f>
        <v/>
      </c>
    </row>
    <row r="2779">
      <c r="B2779" t="n">
        <v>34411222</v>
      </c>
      <c r="C2779" s="2" t="n">
        <v>44890</v>
      </c>
      <c r="D2779" t="inlineStr">
        <is>
          <t>SPEC</t>
        </is>
      </c>
      <c r="E2779">
        <f>_xlfn.CONCAT(Tableau1[[#This Row],[SHORT TYPE]]," ",Tableau1[[#This Row],[NUMERO]]," ",Tableau1[[#This Row],[GAMME]]," ",Tableau1[[#This Row],[TYPE PRODUIT]]," ",Tableau1[[#This Row],[PUISSANCE]])</f>
        <v/>
      </c>
      <c r="F2779" t="inlineStr">
        <is>
          <t>ALGERIA</t>
        </is>
      </c>
      <c r="G2779" t="inlineStr">
        <is>
          <t>E3L/GVL</t>
        </is>
      </c>
      <c r="H2779" t="inlineStr">
        <is>
          <t>BYPASS</t>
        </is>
      </c>
      <c r="I2779" t="inlineStr">
        <is>
          <t>1800KVA</t>
        </is>
      </c>
      <c r="J2779" t="inlineStr">
        <is>
          <t>JAWORSKI</t>
        </is>
      </c>
      <c r="K2779" t="inlineStr">
        <is>
          <t>CUIVRE</t>
        </is>
      </c>
      <c r="L2779">
        <f>_xlfn.XLOOKUP(Tableau1[[#This Row],[TYPE DE PIECE]],Tableau4[MATIERE],Tableau4[SHORT TYPE],"",0,1)</f>
        <v/>
      </c>
      <c r="N2779">
        <f>IF(ISERR(FIND("DECOUPE",Tableau1[[#This Row],[DESIGNATION]])),"","NEED REF")</f>
        <v/>
      </c>
    </row>
    <row r="2780">
      <c r="B2780" t="n">
        <v>34411221</v>
      </c>
      <c r="C2780" s="2" t="n">
        <v>44890</v>
      </c>
      <c r="D2780" t="inlineStr">
        <is>
          <t>SPEC</t>
        </is>
      </c>
      <c r="E2780">
        <f>_xlfn.CONCAT(Tableau1[[#This Row],[SHORT TYPE]]," ",Tableau1[[#This Row],[NUMERO]]," ",Tableau1[[#This Row],[GAMME]]," ",Tableau1[[#This Row],[TYPE PRODUIT]]," ",Tableau1[[#This Row],[PUISSANCE]])</f>
        <v/>
      </c>
      <c r="F2780" t="inlineStr">
        <is>
          <t>ALGERIA</t>
        </is>
      </c>
      <c r="G2780" t="inlineStr">
        <is>
          <t>E3L/GVL</t>
        </is>
      </c>
      <c r="H2780" t="inlineStr">
        <is>
          <t>BYPASS</t>
        </is>
      </c>
      <c r="I2780" t="inlineStr">
        <is>
          <t>1800KVA</t>
        </is>
      </c>
      <c r="J2780" t="inlineStr">
        <is>
          <t>JAWORSKI</t>
        </is>
      </c>
      <c r="K2780" t="inlineStr">
        <is>
          <t>CUIVRE</t>
        </is>
      </c>
      <c r="L2780">
        <f>_xlfn.XLOOKUP(Tableau1[[#This Row],[TYPE DE PIECE]],Tableau4[MATIERE],Tableau4[SHORT TYPE],"",0,1)</f>
        <v/>
      </c>
      <c r="N2780">
        <f>IF(ISERR(FIND("DECOUPE",Tableau1[[#This Row],[DESIGNATION]])),"","NEED REF")</f>
        <v/>
      </c>
    </row>
    <row r="2781">
      <c r="B2781" t="n">
        <v>34411220</v>
      </c>
      <c r="C2781" s="2" t="n">
        <v>44890</v>
      </c>
      <c r="D2781" t="inlineStr">
        <is>
          <t>SPEC</t>
        </is>
      </c>
      <c r="E2781">
        <f>_xlfn.CONCAT(Tableau1[[#This Row],[SHORT TYPE]]," ",Tableau1[[#This Row],[NUMERO]]," ",Tableau1[[#This Row],[GAMME]]," ",Tableau1[[#This Row],[TYPE PRODUIT]]," ",Tableau1[[#This Row],[PUISSANCE]])</f>
        <v/>
      </c>
      <c r="F2781" t="inlineStr">
        <is>
          <t>ALGERIA</t>
        </is>
      </c>
      <c r="G2781" t="inlineStr">
        <is>
          <t>E3L/GVL</t>
        </is>
      </c>
      <c r="H2781" t="inlineStr">
        <is>
          <t>BYPASS</t>
        </is>
      </c>
      <c r="I2781" t="inlineStr">
        <is>
          <t>1800KVA</t>
        </is>
      </c>
      <c r="J2781" t="inlineStr">
        <is>
          <t>JAWORSKI</t>
        </is>
      </c>
      <c r="K2781" t="inlineStr">
        <is>
          <t>CUIVRE</t>
        </is>
      </c>
      <c r="L2781">
        <f>_xlfn.XLOOKUP(Tableau1[[#This Row],[TYPE DE PIECE]],Tableau4[MATIERE],Tableau4[SHORT TYPE],"",0,1)</f>
        <v/>
      </c>
      <c r="N2781">
        <f>IF(ISERR(FIND("DECOUPE",Tableau1[[#This Row],[DESIGNATION]])),"","NEED REF")</f>
        <v/>
      </c>
    </row>
    <row r="2782">
      <c r="B2782" t="n">
        <v>34411219</v>
      </c>
      <c r="C2782" s="2" t="n">
        <v>44890</v>
      </c>
      <c r="D2782" t="inlineStr">
        <is>
          <t>SPEC</t>
        </is>
      </c>
      <c r="E2782">
        <f>_xlfn.CONCAT(Tableau1[[#This Row],[SHORT TYPE]]," ",Tableau1[[#This Row],[NUMERO]]," ",Tableau1[[#This Row],[GAMME]]," ",Tableau1[[#This Row],[TYPE PRODUIT]]," ",Tableau1[[#This Row],[PUISSANCE]])</f>
        <v/>
      </c>
      <c r="F2782" t="inlineStr">
        <is>
          <t>ALGERIA</t>
        </is>
      </c>
      <c r="G2782" t="inlineStr">
        <is>
          <t>E3L/GVL</t>
        </is>
      </c>
      <c r="H2782" t="inlineStr">
        <is>
          <t>BYPASS</t>
        </is>
      </c>
      <c r="I2782" t="inlineStr">
        <is>
          <t>1800KVA</t>
        </is>
      </c>
      <c r="J2782" t="inlineStr">
        <is>
          <t>JAWORSKI</t>
        </is>
      </c>
      <c r="K2782" t="inlineStr">
        <is>
          <t>CUIVRE</t>
        </is>
      </c>
      <c r="L2782">
        <f>_xlfn.XLOOKUP(Tableau1[[#This Row],[TYPE DE PIECE]],Tableau4[MATIERE],Tableau4[SHORT TYPE],"",0,1)</f>
        <v/>
      </c>
      <c r="N2782">
        <f>IF(ISERR(FIND("DECOUPE",Tableau1[[#This Row],[DESIGNATION]])),"","NEED REF")</f>
        <v/>
      </c>
    </row>
    <row r="2783">
      <c r="B2783" t="n">
        <v>34411218</v>
      </c>
      <c r="C2783" s="2" t="n">
        <v>44890</v>
      </c>
      <c r="D2783" t="inlineStr">
        <is>
          <t>SPEC</t>
        </is>
      </c>
      <c r="E2783">
        <f>_xlfn.CONCAT(Tableau1[[#This Row],[SHORT TYPE]]," ",Tableau1[[#This Row],[NUMERO]]," ",Tableau1[[#This Row],[GAMME]]," ",Tableau1[[#This Row],[TYPE PRODUIT]]," ",Tableau1[[#This Row],[PUISSANCE]])</f>
        <v/>
      </c>
      <c r="F2783" t="inlineStr">
        <is>
          <t>ALGERIA</t>
        </is>
      </c>
      <c r="G2783" t="inlineStr">
        <is>
          <t>E3L/GVL</t>
        </is>
      </c>
      <c r="H2783" t="inlineStr">
        <is>
          <t>BYPASS</t>
        </is>
      </c>
      <c r="I2783" t="inlineStr">
        <is>
          <t>1800KVA</t>
        </is>
      </c>
      <c r="J2783" t="inlineStr">
        <is>
          <t>JAWORSKI</t>
        </is>
      </c>
      <c r="K2783" t="inlineStr">
        <is>
          <t>CUIVRE</t>
        </is>
      </c>
      <c r="L2783">
        <f>_xlfn.XLOOKUP(Tableau1[[#This Row],[TYPE DE PIECE]],Tableau4[MATIERE],Tableau4[SHORT TYPE],"",0,1)</f>
        <v/>
      </c>
      <c r="N2783">
        <f>IF(ISERR(FIND("DECOUPE",Tableau1[[#This Row],[DESIGNATION]])),"","NEED REF")</f>
        <v/>
      </c>
    </row>
    <row r="2784">
      <c r="B2784" t="n">
        <v>34411217</v>
      </c>
      <c r="C2784" s="2" t="n">
        <v>44890</v>
      </c>
      <c r="D2784" t="inlineStr">
        <is>
          <t>SPEC</t>
        </is>
      </c>
      <c r="E2784" t="inlineStr">
        <is>
          <t>COVER GVS PAINTED RAL7035</t>
        </is>
      </c>
      <c r="F2784" t="inlineStr">
        <is>
          <t>CHANTIERS DE L ATLANTIQUE</t>
        </is>
      </c>
      <c r="G2784" t="inlineStr">
        <is>
          <t>GVS</t>
        </is>
      </c>
      <c r="J2784" t="inlineStr">
        <is>
          <t>BERNARDEAU</t>
        </is>
      </c>
      <c r="K2784" t="inlineStr">
        <is>
          <t>PEINTURE</t>
        </is>
      </c>
      <c r="L2784">
        <f>_xlfn.XLOOKUP(Tableau1[[#This Row],[TYPE DE PIECE]],Tableau4[MATIERE],Tableau4[SHORT TYPE],"",0,1)</f>
        <v/>
      </c>
      <c r="N2784">
        <f>IF(ISERR(FIND("DECOUPE",Tableau1[[#This Row],[DESIGNATION]])),"","NEED REF")</f>
        <v/>
      </c>
    </row>
    <row r="2785">
      <c r="B2785" t="n">
        <v>34411216</v>
      </c>
      <c r="C2785" s="2" t="n">
        <v>44890</v>
      </c>
      <c r="D2785" t="inlineStr">
        <is>
          <t>SPEC</t>
        </is>
      </c>
      <c r="E2785">
        <f>_xlfn.CONCAT(Tableau1[[#This Row],[SHORT TYPE]]," ",Tableau1[[#This Row],[NUMERO]]," ",Tableau1[[#This Row],[GAMME]]," ",Tableau1[[#This Row],[TYPE PRODUIT]]," ",Tableau1[[#This Row],[PUISSANCE]])</f>
        <v/>
      </c>
      <c r="F2785" t="inlineStr">
        <is>
          <t>ALGERIA</t>
        </is>
      </c>
      <c r="G2785" t="inlineStr">
        <is>
          <t>E3L/GVL</t>
        </is>
      </c>
      <c r="H2785" t="inlineStr">
        <is>
          <t>BYPASS</t>
        </is>
      </c>
      <c r="I2785" t="inlineStr">
        <is>
          <t>1800KVA</t>
        </is>
      </c>
      <c r="J2785" t="inlineStr">
        <is>
          <t>JAWORSKI</t>
        </is>
      </c>
      <c r="K2785" t="inlineStr">
        <is>
          <t>CUIVRE</t>
        </is>
      </c>
      <c r="L2785">
        <f>_xlfn.XLOOKUP(Tableau1[[#This Row],[TYPE DE PIECE]],Tableau4[MATIERE],Tableau4[SHORT TYPE],"",0,1)</f>
        <v/>
      </c>
      <c r="N2785">
        <f>IF(ISERR(FIND("DECOUPE",Tableau1[[#This Row],[DESIGNATION]])),"","NEED REF")</f>
        <v/>
      </c>
    </row>
    <row r="2786">
      <c r="B2786" t="n">
        <v>34411215</v>
      </c>
      <c r="C2786" s="2" t="n">
        <v>44890</v>
      </c>
      <c r="D2786" t="inlineStr">
        <is>
          <t>SPEC</t>
        </is>
      </c>
      <c r="E2786">
        <f>_xlfn.CONCAT(Tableau1[[#This Row],[SHORT TYPE]]," ",Tableau1[[#This Row],[NUMERO]]," ",Tableau1[[#This Row],[GAMME]]," ",Tableau1[[#This Row],[TYPE PRODUIT]]," ",Tableau1[[#This Row],[PUISSANCE]])</f>
        <v/>
      </c>
      <c r="F2786" t="inlineStr">
        <is>
          <t>ALGERIA</t>
        </is>
      </c>
      <c r="G2786" t="inlineStr">
        <is>
          <t>E3L/GVL</t>
        </is>
      </c>
      <c r="H2786" t="inlineStr">
        <is>
          <t>BYPASS</t>
        </is>
      </c>
      <c r="I2786" t="inlineStr">
        <is>
          <t>1800KVA</t>
        </is>
      </c>
      <c r="J2786" t="inlineStr">
        <is>
          <t>JAWORSKI</t>
        </is>
      </c>
      <c r="K2786" t="inlineStr">
        <is>
          <t>CUIVRE</t>
        </is>
      </c>
      <c r="L2786">
        <f>_xlfn.XLOOKUP(Tableau1[[#This Row],[TYPE DE PIECE]],Tableau4[MATIERE],Tableau4[SHORT TYPE],"",0,1)</f>
        <v/>
      </c>
      <c r="N2786">
        <f>IF(ISERR(FIND("DECOUPE",Tableau1[[#This Row],[DESIGNATION]])),"","NEED REF")</f>
        <v/>
      </c>
    </row>
    <row r="2787">
      <c r="B2787" t="n">
        <v>34411214</v>
      </c>
      <c r="C2787" s="2" t="n">
        <v>44890</v>
      </c>
      <c r="D2787" t="inlineStr">
        <is>
          <t>SPEC</t>
        </is>
      </c>
      <c r="E2787">
        <f>_xlfn.CONCAT(Tableau1[[#This Row],[SHORT TYPE]]," ",Tableau1[[#This Row],[NUMERO]]," ",Tableau1[[#This Row],[GAMME]]," ",Tableau1[[#This Row],[TYPE PRODUIT]]," ",Tableau1[[#This Row],[PUISSANCE]])</f>
        <v/>
      </c>
      <c r="F2787" t="inlineStr">
        <is>
          <t>ALGERIA</t>
        </is>
      </c>
      <c r="G2787" t="inlineStr">
        <is>
          <t>E3L/GVL</t>
        </is>
      </c>
      <c r="H2787" t="inlineStr">
        <is>
          <t>BYPASS</t>
        </is>
      </c>
      <c r="I2787" t="inlineStr">
        <is>
          <t>1800KVA</t>
        </is>
      </c>
      <c r="J2787" t="inlineStr">
        <is>
          <t>JAWORSKI</t>
        </is>
      </c>
      <c r="K2787" t="inlineStr">
        <is>
          <t>CUIVRE</t>
        </is>
      </c>
      <c r="L2787">
        <f>_xlfn.XLOOKUP(Tableau1[[#This Row],[TYPE DE PIECE]],Tableau4[MATIERE],Tableau4[SHORT TYPE],"",0,1)</f>
        <v/>
      </c>
      <c r="N2787">
        <f>IF(ISERR(FIND("DECOUPE",Tableau1[[#This Row],[DESIGNATION]])),"","NEED REF")</f>
        <v/>
      </c>
    </row>
    <row r="2788">
      <c r="B2788" t="n">
        <v>34411213</v>
      </c>
      <c r="C2788" s="2" t="n">
        <v>44890</v>
      </c>
      <c r="D2788" t="inlineStr">
        <is>
          <t>SPEC</t>
        </is>
      </c>
      <c r="E2788">
        <f>_xlfn.CONCAT(Tableau1[[#This Row],[SHORT TYPE]]," ",Tableau1[[#This Row],[NUMERO]]," ",Tableau1[[#This Row],[GAMME]]," ",Tableau1[[#This Row],[TYPE PRODUIT]]," ",Tableau1[[#This Row],[PUISSANCE]])</f>
        <v/>
      </c>
      <c r="F2788" t="inlineStr">
        <is>
          <t>ALGERIA</t>
        </is>
      </c>
      <c r="G2788" t="inlineStr">
        <is>
          <t>E3L/GVL</t>
        </is>
      </c>
      <c r="H2788" t="inlineStr">
        <is>
          <t>BYPASS</t>
        </is>
      </c>
      <c r="I2788" t="inlineStr">
        <is>
          <t>1800KVA</t>
        </is>
      </c>
      <c r="J2788" t="inlineStr">
        <is>
          <t>JAWORSKI</t>
        </is>
      </c>
      <c r="K2788" t="inlineStr">
        <is>
          <t>CUIVRE</t>
        </is>
      </c>
      <c r="L2788">
        <f>_xlfn.XLOOKUP(Tableau1[[#This Row],[TYPE DE PIECE]],Tableau4[MATIERE],Tableau4[SHORT TYPE],"",0,1)</f>
        <v/>
      </c>
      <c r="N2788">
        <f>IF(ISERR(FIND("DECOUPE",Tableau1[[#This Row],[DESIGNATION]])),"","NEED REF")</f>
        <v/>
      </c>
    </row>
    <row r="2789">
      <c r="B2789" t="n">
        <v>34411212</v>
      </c>
      <c r="C2789" s="2" t="n">
        <v>44890</v>
      </c>
      <c r="D2789" t="inlineStr">
        <is>
          <t>SPEC</t>
        </is>
      </c>
      <c r="E2789">
        <f>_xlfn.CONCAT(Tableau1[[#This Row],[SHORT TYPE]]," ",Tableau1[[#This Row],[NUMERO]]," ",Tableau1[[#This Row],[GAMME]]," ",Tableau1[[#This Row],[TYPE PRODUIT]]," ",Tableau1[[#This Row],[PUISSANCE]])</f>
        <v/>
      </c>
      <c r="F2789" t="inlineStr">
        <is>
          <t>ALGERIA</t>
        </is>
      </c>
      <c r="G2789" t="inlineStr">
        <is>
          <t>E3L/GVL</t>
        </is>
      </c>
      <c r="H2789" t="inlineStr">
        <is>
          <t>BYPASS</t>
        </is>
      </c>
      <c r="I2789" t="inlineStr">
        <is>
          <t>1800KVA</t>
        </is>
      </c>
      <c r="J2789" t="inlineStr">
        <is>
          <t>JAWORSKI</t>
        </is>
      </c>
      <c r="K2789" t="inlineStr">
        <is>
          <t>CUIVRE</t>
        </is>
      </c>
      <c r="L2789">
        <f>_xlfn.XLOOKUP(Tableau1[[#This Row],[TYPE DE PIECE]],Tableau4[MATIERE],Tableau4[SHORT TYPE],"",0,1)</f>
        <v/>
      </c>
      <c r="N2789">
        <f>IF(ISERR(FIND("DECOUPE",Tableau1[[#This Row],[DESIGNATION]])),"","NEED REF")</f>
        <v/>
      </c>
    </row>
    <row r="2790">
      <c r="B2790" t="n">
        <v>34411211</v>
      </c>
      <c r="C2790" s="2" t="n">
        <v>44889</v>
      </c>
      <c r="D2790" t="inlineStr">
        <is>
          <t>SPEC</t>
        </is>
      </c>
      <c r="E2790" t="inlineStr">
        <is>
          <t>WIR 34411211 GVX IO 1250KVA FEEDER BATTERY 750kVA</t>
        </is>
      </c>
      <c r="G2790" t="inlineStr">
        <is>
          <t>GVX</t>
        </is>
      </c>
      <c r="H2790" t="inlineStr">
        <is>
          <t>IO</t>
        </is>
      </c>
      <c r="I2790" t="inlineStr">
        <is>
          <t>750KVA</t>
        </is>
      </c>
      <c r="J2790" t="inlineStr">
        <is>
          <t>MATRION</t>
        </is>
      </c>
      <c r="K2790" t="inlineStr">
        <is>
          <t>FILERIE</t>
        </is>
      </c>
      <c r="L2790">
        <f>_xlfn.XLOOKUP(Tableau1[[#This Row],[TYPE DE PIECE]],Tableau4[MATIERE],Tableau4[SHORT TYPE],"",0,1)</f>
        <v/>
      </c>
      <c r="N2790">
        <f>IF(ISERR(FIND("DECOUPE",Tableau1[[#This Row],[DESIGNATION]])),"","NEED REF")</f>
        <v/>
      </c>
    </row>
    <row r="2791">
      <c r="B2791" t="n">
        <v>34411210</v>
      </c>
      <c r="C2791" s="2" t="n">
        <v>44889</v>
      </c>
      <c r="D2791" t="inlineStr">
        <is>
          <t>SPEC</t>
        </is>
      </c>
      <c r="E2791" t="inlineStr">
        <is>
          <t>WIR 34411210 GVX IO 1250KVA FEEDER OUTPUT 750kVA</t>
        </is>
      </c>
      <c r="G2791" t="inlineStr">
        <is>
          <t>GVX</t>
        </is>
      </c>
      <c r="H2791" t="inlineStr">
        <is>
          <t>IO</t>
        </is>
      </c>
      <c r="I2791" t="inlineStr">
        <is>
          <t>750KVA</t>
        </is>
      </c>
      <c r="J2791" t="inlineStr">
        <is>
          <t>MATRION</t>
        </is>
      </c>
      <c r="K2791" t="inlineStr">
        <is>
          <t>FILERIE</t>
        </is>
      </c>
      <c r="L2791">
        <f>_xlfn.XLOOKUP(Tableau1[[#This Row],[TYPE DE PIECE]],Tableau4[MATIERE],Tableau4[SHORT TYPE],"",0,1)</f>
        <v/>
      </c>
      <c r="N2791">
        <f>IF(ISERR(FIND("DECOUPE",Tableau1[[#This Row],[DESIGNATION]])),"","NEED REF")</f>
        <v/>
      </c>
    </row>
    <row r="2792">
      <c r="B2792" t="n">
        <v>34411209</v>
      </c>
      <c r="C2792" s="2" t="n">
        <v>44889</v>
      </c>
      <c r="D2792" t="inlineStr">
        <is>
          <t>SPEC</t>
        </is>
      </c>
      <c r="E2792" t="inlineStr">
        <is>
          <t>WIR 34411209 GVX IO 1250KVA FEEDER BYPASS 750kVA</t>
        </is>
      </c>
      <c r="G2792" t="inlineStr">
        <is>
          <t>GVX</t>
        </is>
      </c>
      <c r="H2792" t="inlineStr">
        <is>
          <t>IO</t>
        </is>
      </c>
      <c r="I2792" t="inlineStr">
        <is>
          <t>750KVA</t>
        </is>
      </c>
      <c r="J2792" t="inlineStr">
        <is>
          <t>MATRION</t>
        </is>
      </c>
      <c r="K2792" t="inlineStr">
        <is>
          <t>FILERIE</t>
        </is>
      </c>
      <c r="L2792">
        <f>_xlfn.XLOOKUP(Tableau1[[#This Row],[TYPE DE PIECE]],Tableau4[MATIERE],Tableau4[SHORT TYPE],"",0,1)</f>
        <v/>
      </c>
      <c r="N2792">
        <f>IF(ISERR(FIND("DECOUPE",Tableau1[[#This Row],[DESIGNATION]])),"","NEED REF")</f>
        <v/>
      </c>
    </row>
    <row r="2793">
      <c r="B2793" t="n">
        <v>34411208</v>
      </c>
      <c r="C2793" s="2" t="n">
        <v>44889</v>
      </c>
      <c r="D2793" t="inlineStr">
        <is>
          <t>SPEC</t>
        </is>
      </c>
      <c r="E2793" t="inlineStr">
        <is>
          <t>WIR 34411208 GVX IO 1250KVA FEEDER INPUT 750kVA</t>
        </is>
      </c>
      <c r="G2793" t="inlineStr">
        <is>
          <t>GVX</t>
        </is>
      </c>
      <c r="H2793" t="inlineStr">
        <is>
          <t>IO</t>
        </is>
      </c>
      <c r="I2793" t="inlineStr">
        <is>
          <t>750KVA</t>
        </is>
      </c>
      <c r="J2793" t="inlineStr">
        <is>
          <t>MATRION</t>
        </is>
      </c>
      <c r="K2793" t="inlineStr">
        <is>
          <t>FILERIE</t>
        </is>
      </c>
      <c r="L2793">
        <f>_xlfn.XLOOKUP(Tableau1[[#This Row],[TYPE DE PIECE]],Tableau4[MATIERE],Tableau4[SHORT TYPE],"",0,1)</f>
        <v/>
      </c>
      <c r="N2793">
        <f>IF(ISERR(FIND("DECOUPE",Tableau1[[#This Row],[DESIGNATION]])),"","NEED REF")</f>
        <v/>
      </c>
    </row>
    <row r="2794">
      <c r="B2794" t="n">
        <v>34411207</v>
      </c>
      <c r="C2794" s="2" t="n">
        <v>44889</v>
      </c>
      <c r="D2794" t="inlineStr">
        <is>
          <t>SPEC</t>
        </is>
      </c>
      <c r="E2794" t="inlineStr">
        <is>
          <t>WIR 34411207 GVX IO 1250KVA FEEDER BATTERY 1000kVA</t>
        </is>
      </c>
      <c r="G2794" t="inlineStr">
        <is>
          <t>GVX</t>
        </is>
      </c>
      <c r="H2794" t="inlineStr">
        <is>
          <t>IO</t>
        </is>
      </c>
      <c r="I2794" t="inlineStr">
        <is>
          <t>1000KVA</t>
        </is>
      </c>
      <c r="J2794" t="inlineStr">
        <is>
          <t>MATRION</t>
        </is>
      </c>
      <c r="K2794" t="inlineStr">
        <is>
          <t>FILERIE</t>
        </is>
      </c>
      <c r="L2794">
        <f>_xlfn.XLOOKUP(Tableau1[[#This Row],[TYPE DE PIECE]],Tableau4[MATIERE],Tableau4[SHORT TYPE],"",0,1)</f>
        <v/>
      </c>
      <c r="N2794">
        <f>IF(ISERR(FIND("DECOUPE",Tableau1[[#This Row],[DESIGNATION]])),"","NEED REF")</f>
        <v/>
      </c>
    </row>
    <row r="2795">
      <c r="B2795" t="n">
        <v>34411206</v>
      </c>
      <c r="C2795" s="2" t="n">
        <v>44889</v>
      </c>
      <c r="D2795" t="inlineStr">
        <is>
          <t>SPEC</t>
        </is>
      </c>
      <c r="E2795" t="inlineStr">
        <is>
          <t>WIR 34411206 GVX IO 1250KVA FEEDER OUTPUT 1000kVA</t>
        </is>
      </c>
      <c r="G2795" t="inlineStr">
        <is>
          <t>GVX</t>
        </is>
      </c>
      <c r="H2795" t="inlineStr">
        <is>
          <t>IO</t>
        </is>
      </c>
      <c r="I2795" t="inlineStr">
        <is>
          <t>1000KVA</t>
        </is>
      </c>
      <c r="J2795" t="inlineStr">
        <is>
          <t>MATRION</t>
        </is>
      </c>
      <c r="K2795" t="inlineStr">
        <is>
          <t>FILERIE</t>
        </is>
      </c>
      <c r="L2795">
        <f>_xlfn.XLOOKUP(Tableau1[[#This Row],[TYPE DE PIECE]],Tableau4[MATIERE],Tableau4[SHORT TYPE],"",0,1)</f>
        <v/>
      </c>
      <c r="N2795">
        <f>IF(ISERR(FIND("DECOUPE",Tableau1[[#This Row],[DESIGNATION]])),"","NEED REF")</f>
        <v/>
      </c>
    </row>
    <row r="2796">
      <c r="B2796" t="n">
        <v>34411205</v>
      </c>
      <c r="C2796" s="2" t="n">
        <v>44889</v>
      </c>
      <c r="D2796" t="inlineStr">
        <is>
          <t>SPEC</t>
        </is>
      </c>
      <c r="E2796" t="inlineStr">
        <is>
          <t>WIR 34411205 GVX IO 1250KVA FEEDER BYPASS 1000kVA</t>
        </is>
      </c>
      <c r="G2796" t="inlineStr">
        <is>
          <t>GVX</t>
        </is>
      </c>
      <c r="H2796" t="inlineStr">
        <is>
          <t>IO</t>
        </is>
      </c>
      <c r="I2796" t="inlineStr">
        <is>
          <t>1000KVA</t>
        </is>
      </c>
      <c r="J2796" t="inlineStr">
        <is>
          <t>MATRION</t>
        </is>
      </c>
      <c r="K2796" t="inlineStr">
        <is>
          <t>FILERIE</t>
        </is>
      </c>
      <c r="L2796">
        <f>_xlfn.XLOOKUP(Tableau1[[#This Row],[TYPE DE PIECE]],Tableau4[MATIERE],Tableau4[SHORT TYPE],"",0,1)</f>
        <v/>
      </c>
      <c r="N2796">
        <f>IF(ISERR(FIND("DECOUPE",Tableau1[[#This Row],[DESIGNATION]])),"","NEED REF")</f>
        <v/>
      </c>
    </row>
    <row r="2797">
      <c r="B2797" t="n">
        <v>34411204</v>
      </c>
      <c r="C2797" s="2" t="n">
        <v>44889</v>
      </c>
      <c r="D2797" t="inlineStr">
        <is>
          <t>SPEC</t>
        </is>
      </c>
      <c r="E2797" t="inlineStr">
        <is>
          <t>WIR 34411204 GVX IO 1250KVA FEEDER INPUT 1000kVA</t>
        </is>
      </c>
      <c r="G2797" t="inlineStr">
        <is>
          <t>GVX</t>
        </is>
      </c>
      <c r="H2797" t="inlineStr">
        <is>
          <t>IO</t>
        </is>
      </c>
      <c r="I2797" t="inlineStr">
        <is>
          <t>1000KVA</t>
        </is>
      </c>
      <c r="J2797" t="inlineStr">
        <is>
          <t>MATRION</t>
        </is>
      </c>
      <c r="K2797" t="inlineStr">
        <is>
          <t>FILERIE</t>
        </is>
      </c>
      <c r="L2797">
        <f>_xlfn.XLOOKUP(Tableau1[[#This Row],[TYPE DE PIECE]],Tableau4[MATIERE],Tableau4[SHORT TYPE],"",0,1)</f>
        <v/>
      </c>
      <c r="N2797">
        <f>IF(ISERR(FIND("DECOUPE",Tableau1[[#This Row],[DESIGNATION]])),"","NEED REF")</f>
        <v/>
      </c>
    </row>
    <row r="2798">
      <c r="B2798" t="n">
        <v>34411203</v>
      </c>
      <c r="C2798" s="2" t="n">
        <v>44882</v>
      </c>
      <c r="D2798" t="inlineStr">
        <is>
          <t>SPEC</t>
        </is>
      </c>
      <c r="E2798" t="inlineStr">
        <is>
          <t>COP JDB 32x5</t>
        </is>
      </c>
      <c r="J2798" t="inlineStr">
        <is>
          <t>BERNARDEAU</t>
        </is>
      </c>
      <c r="K2798" t="inlineStr">
        <is>
          <t>CUIVRE</t>
        </is>
      </c>
      <c r="L2798">
        <f>_xlfn.XLOOKUP(Tableau1[[#This Row],[TYPE DE PIECE]],Tableau4[MATIERE],Tableau4[SHORT TYPE],"",0,1)</f>
        <v/>
      </c>
      <c r="N2798">
        <f>IF(ISERR(FIND("DECOUPE",Tableau1[[#This Row],[DESIGNATION]])),"","NEED REF")</f>
        <v/>
      </c>
    </row>
    <row r="2799">
      <c r="B2799" t="n">
        <v>34411202</v>
      </c>
      <c r="C2799" s="2" t="n">
        <v>44881</v>
      </c>
      <c r="D2799" t="inlineStr">
        <is>
          <t>SPEC</t>
        </is>
      </c>
      <c r="E2799" t="inlineStr">
        <is>
          <t>SMT 34411202 GVL BYPASS SUPPORT PONTAGE NEUTRE</t>
        </is>
      </c>
      <c r="F2799" t="inlineStr">
        <is>
          <t>DATA4 DC07</t>
        </is>
      </c>
      <c r="G2799" t="inlineStr">
        <is>
          <t>GVL</t>
        </is>
      </c>
      <c r="H2799" t="inlineStr">
        <is>
          <t>BYPASS</t>
        </is>
      </c>
      <c r="J2799" t="inlineStr">
        <is>
          <t>MATRION</t>
        </is>
      </c>
      <c r="K2799" t="inlineStr">
        <is>
          <t>METAL</t>
        </is>
      </c>
      <c r="L2799">
        <f>_xlfn.XLOOKUP(Tableau1[[#This Row],[TYPE DE PIECE]],Tableau4[MATIERE],Tableau4[SHORT TYPE],"",0,1)</f>
        <v/>
      </c>
      <c r="N2799">
        <f>IF(ISERR(FIND("DECOUPE",Tableau1[[#This Row],[DESIGNATION]])),"","NEED REF")</f>
        <v/>
      </c>
    </row>
    <row r="2800">
      <c r="B2800" t="n">
        <v>34411201</v>
      </c>
      <c r="C2800" s="2" t="n">
        <v>44881</v>
      </c>
      <c r="D2800" t="inlineStr">
        <is>
          <t>SPEC</t>
        </is>
      </c>
      <c r="E2800" t="inlineStr">
        <is>
          <t>PLA 34411201 GVL BYPASS SUPPORT PONTAGE NEUTRE</t>
        </is>
      </c>
      <c r="F2800" t="inlineStr">
        <is>
          <t>DATA4 DC07</t>
        </is>
      </c>
      <c r="G2800" t="inlineStr">
        <is>
          <t>GVL</t>
        </is>
      </c>
      <c r="H2800" t="inlineStr">
        <is>
          <t>BYPASS</t>
        </is>
      </c>
      <c r="J2800" t="inlineStr">
        <is>
          <t>MATRION</t>
        </is>
      </c>
      <c r="K2800" t="inlineStr">
        <is>
          <t>PLASTIQUE</t>
        </is>
      </c>
      <c r="L2800">
        <f>_xlfn.XLOOKUP(Tableau1[[#This Row],[TYPE DE PIECE]],Tableau4[MATIERE],Tableau4[SHORT TYPE],"",0,1)</f>
        <v/>
      </c>
      <c r="N2800">
        <f>IF(ISERR(FIND("DECOUPE",Tableau1[[#This Row],[DESIGNATION]])),"","NEED REF")</f>
        <v/>
      </c>
    </row>
    <row r="2801">
      <c r="B2801" t="n">
        <v>34411200</v>
      </c>
      <c r="C2801" s="2" t="n">
        <v>44881</v>
      </c>
      <c r="D2801" t="inlineStr">
        <is>
          <t>SPEC</t>
        </is>
      </c>
      <c r="E2801" t="inlineStr">
        <is>
          <t>COP 34411200 GVL BYPASS PONTAGE NEUTRE 2</t>
        </is>
      </c>
      <c r="F2801" t="inlineStr">
        <is>
          <t>DATA4 DC07</t>
        </is>
      </c>
      <c r="G2801" t="inlineStr">
        <is>
          <t>GVL</t>
        </is>
      </c>
      <c r="H2801" t="inlineStr">
        <is>
          <t>BYPASS</t>
        </is>
      </c>
      <c r="J2801" t="inlineStr">
        <is>
          <t>MATRION</t>
        </is>
      </c>
      <c r="K2801" t="inlineStr">
        <is>
          <t>CUIVRE</t>
        </is>
      </c>
      <c r="L2801">
        <f>_xlfn.XLOOKUP(Tableau1[[#This Row],[TYPE DE PIECE]],Tableau4[MATIERE],Tableau4[SHORT TYPE],"",0,1)</f>
        <v/>
      </c>
      <c r="N2801">
        <f>IF(ISERR(FIND("DECOUPE",Tableau1[[#This Row],[DESIGNATION]])),"","NEED REF")</f>
        <v/>
      </c>
    </row>
    <row r="2802">
      <c r="B2802" t="n">
        <v>34411199</v>
      </c>
      <c r="C2802" s="2" t="n">
        <v>44881</v>
      </c>
      <c r="D2802" t="inlineStr">
        <is>
          <t>SPEC</t>
        </is>
      </c>
      <c r="E2802" t="inlineStr">
        <is>
          <t>COP 34411199 GVL BYPASS PONTAGE NEUTRE 1</t>
        </is>
      </c>
      <c r="F2802" t="inlineStr">
        <is>
          <t>DATA4 DC07</t>
        </is>
      </c>
      <c r="G2802" t="inlineStr">
        <is>
          <t>GVL</t>
        </is>
      </c>
      <c r="H2802" t="inlineStr">
        <is>
          <t>BYPASS</t>
        </is>
      </c>
      <c r="J2802" t="inlineStr">
        <is>
          <t>MATRION</t>
        </is>
      </c>
      <c r="K2802" t="inlineStr">
        <is>
          <t>CUIVRE</t>
        </is>
      </c>
      <c r="L2802">
        <f>_xlfn.XLOOKUP(Tableau1[[#This Row],[TYPE DE PIECE]],Tableau4[MATIERE],Tableau4[SHORT TYPE],"",0,1)</f>
        <v/>
      </c>
      <c r="N2802">
        <f>IF(ISERR(FIND("DECOUPE",Tableau1[[#This Row],[DESIGNATION]])),"","NEED REF")</f>
        <v/>
      </c>
    </row>
    <row r="2803">
      <c r="B2803" t="n">
        <v>34411198</v>
      </c>
      <c r="C2803" s="2" t="n">
        <v>44874</v>
      </c>
      <c r="D2803" t="inlineStr">
        <is>
          <t>SPEC</t>
        </is>
      </c>
      <c r="E2803" t="inlineStr">
        <is>
          <t>SMT SUPPORT COROPLAST</t>
        </is>
      </c>
      <c r="F2803" t="inlineStr">
        <is>
          <t>DATA4 DC07</t>
        </is>
      </c>
      <c r="G2803" t="inlineStr">
        <is>
          <t>GVL</t>
        </is>
      </c>
      <c r="H2803" t="inlineStr">
        <is>
          <t>BYPASS</t>
        </is>
      </c>
      <c r="J2803" t="inlineStr">
        <is>
          <t>BERNARDEAU</t>
        </is>
      </c>
      <c r="K2803" t="inlineStr">
        <is>
          <t>METAL</t>
        </is>
      </c>
      <c r="L2803">
        <f>_xlfn.XLOOKUP(Tableau1[[#This Row],[TYPE DE PIECE]],Tableau4[MATIERE],Tableau4[SHORT TYPE],"",0,1)</f>
        <v/>
      </c>
      <c r="N2803">
        <f>IF(ISERR(FIND("DECOUPE",Tableau1[[#This Row],[DESIGNATION]])),"","NEED REF")</f>
        <v/>
      </c>
    </row>
    <row r="2804">
      <c r="B2804" t="n">
        <v>34411197</v>
      </c>
      <c r="C2804" s="2" t="n">
        <v>44874</v>
      </c>
      <c r="D2804" t="inlineStr">
        <is>
          <t>SPEC</t>
        </is>
      </c>
      <c r="E2804" t="inlineStr">
        <is>
          <t>COP MBB AMONT N</t>
        </is>
      </c>
      <c r="F2804" t="inlineStr">
        <is>
          <t>DATA4 DC07</t>
        </is>
      </c>
      <c r="G2804" t="inlineStr">
        <is>
          <t>GVL</t>
        </is>
      </c>
      <c r="H2804" t="inlineStr">
        <is>
          <t>BYPASS</t>
        </is>
      </c>
      <c r="J2804" t="inlineStr">
        <is>
          <t>MATRION</t>
        </is>
      </c>
      <c r="K2804" t="inlineStr">
        <is>
          <t>CUIVRE</t>
        </is>
      </c>
      <c r="L2804">
        <f>_xlfn.XLOOKUP(Tableau1[[#This Row],[TYPE DE PIECE]],Tableau4[MATIERE],Tableau4[SHORT TYPE],"",0,1)</f>
        <v/>
      </c>
      <c r="N2804">
        <f>IF(ISERR(FIND("DECOUPE",Tableau1[[#This Row],[DESIGNATION]])),"","NEED REF")</f>
        <v/>
      </c>
    </row>
    <row r="2805">
      <c r="B2805" t="n">
        <v>34411196</v>
      </c>
      <c r="C2805" s="2" t="n">
        <v>44874</v>
      </c>
      <c r="D2805" t="inlineStr">
        <is>
          <t>SPEC</t>
        </is>
      </c>
      <c r="E2805" t="inlineStr">
        <is>
          <t>WIR 34411196 GVX IO 1250KVA FEEDER BATTERY 1250kVA</t>
        </is>
      </c>
      <c r="G2805" t="inlineStr">
        <is>
          <t>GVX</t>
        </is>
      </c>
      <c r="H2805" t="inlineStr">
        <is>
          <t>IO</t>
        </is>
      </c>
      <c r="I2805" t="inlineStr">
        <is>
          <t>1250KVA</t>
        </is>
      </c>
      <c r="J2805" t="inlineStr">
        <is>
          <t>MATRION</t>
        </is>
      </c>
      <c r="K2805" t="inlineStr">
        <is>
          <t>FILERIE</t>
        </is>
      </c>
      <c r="L2805">
        <f>_xlfn.XLOOKUP(Tableau1[[#This Row],[TYPE DE PIECE]],Tableau4[MATIERE],Tableau4[SHORT TYPE],"",0,1)</f>
        <v/>
      </c>
      <c r="N2805">
        <f>IF(ISERR(FIND("DECOUPE",Tableau1[[#This Row],[DESIGNATION]])),"","NEED REF")</f>
        <v/>
      </c>
    </row>
    <row r="2806">
      <c r="B2806" t="n">
        <v>34411195</v>
      </c>
      <c r="C2806" s="2" t="n">
        <v>44874</v>
      </c>
      <c r="D2806" t="inlineStr">
        <is>
          <t>SPEC</t>
        </is>
      </c>
      <c r="E2806" t="inlineStr">
        <is>
          <t>WIR 34411195 GVX IO 1250KVA FEEDER OUTPUT 1250kVA</t>
        </is>
      </c>
      <c r="G2806" t="inlineStr">
        <is>
          <t>GVX</t>
        </is>
      </c>
      <c r="H2806" t="inlineStr">
        <is>
          <t>IO</t>
        </is>
      </c>
      <c r="I2806" t="inlineStr">
        <is>
          <t>1250KVA</t>
        </is>
      </c>
      <c r="J2806" t="inlineStr">
        <is>
          <t>MATRION</t>
        </is>
      </c>
      <c r="K2806" t="inlineStr">
        <is>
          <t>FILERIE</t>
        </is>
      </c>
      <c r="L2806">
        <f>_xlfn.XLOOKUP(Tableau1[[#This Row],[TYPE DE PIECE]],Tableau4[MATIERE],Tableau4[SHORT TYPE],"",0,1)</f>
        <v/>
      </c>
      <c r="N2806">
        <f>IF(ISERR(FIND("DECOUPE",Tableau1[[#This Row],[DESIGNATION]])),"","NEED REF")</f>
        <v/>
      </c>
    </row>
    <row r="2807">
      <c r="B2807" t="n">
        <v>34411194</v>
      </c>
      <c r="C2807" s="2" t="n">
        <v>44874</v>
      </c>
      <c r="D2807" t="inlineStr">
        <is>
          <t>SPEC</t>
        </is>
      </c>
      <c r="E2807" t="inlineStr">
        <is>
          <t>WIR 34411194 GVX IO 1250KVA FEEDER BYPASS 1250kVA</t>
        </is>
      </c>
      <c r="G2807" t="inlineStr">
        <is>
          <t>GVX</t>
        </is>
      </c>
      <c r="H2807" t="inlineStr">
        <is>
          <t>IO</t>
        </is>
      </c>
      <c r="I2807" t="inlineStr">
        <is>
          <t>1250KVA</t>
        </is>
      </c>
      <c r="J2807" t="inlineStr">
        <is>
          <t>MATRION</t>
        </is>
      </c>
      <c r="K2807" t="inlineStr">
        <is>
          <t>FILERIE</t>
        </is>
      </c>
      <c r="L2807">
        <f>_xlfn.XLOOKUP(Tableau1[[#This Row],[TYPE DE PIECE]],Tableau4[MATIERE],Tableau4[SHORT TYPE],"",0,1)</f>
        <v/>
      </c>
      <c r="N2807">
        <f>IF(ISERR(FIND("DECOUPE",Tableau1[[#This Row],[DESIGNATION]])),"","NEED REF")</f>
        <v/>
      </c>
    </row>
    <row r="2808">
      <c r="B2808" t="n">
        <v>34411193</v>
      </c>
      <c r="C2808" s="2" t="n">
        <v>44874</v>
      </c>
      <c r="D2808" t="inlineStr">
        <is>
          <t>SPEC</t>
        </is>
      </c>
      <c r="E2808" t="inlineStr">
        <is>
          <t>WIR 34411193 GVX IO 1250KVA FEEDER INPUT 1250kVA</t>
        </is>
      </c>
      <c r="G2808" t="inlineStr">
        <is>
          <t>GVX</t>
        </is>
      </c>
      <c r="H2808" t="inlineStr">
        <is>
          <t>IO</t>
        </is>
      </c>
      <c r="I2808" t="inlineStr">
        <is>
          <t>1250KVA</t>
        </is>
      </c>
      <c r="J2808" t="inlineStr">
        <is>
          <t>MATRION</t>
        </is>
      </c>
      <c r="K2808" t="inlineStr">
        <is>
          <t>FILERIE</t>
        </is>
      </c>
      <c r="L2808">
        <f>_xlfn.XLOOKUP(Tableau1[[#This Row],[TYPE DE PIECE]],Tableau4[MATIERE],Tableau4[SHORT TYPE],"",0,1)</f>
        <v/>
      </c>
      <c r="N2808">
        <f>IF(ISERR(FIND("DECOUPE",Tableau1[[#This Row],[DESIGNATION]])),"","NEED REF")</f>
        <v/>
      </c>
    </row>
    <row r="2809">
      <c r="B2809" t="n">
        <v>34411192</v>
      </c>
      <c r="C2809" s="2" t="n">
        <v>44873</v>
      </c>
      <c r="D2809" t="inlineStr">
        <is>
          <t>SPEC</t>
        </is>
      </c>
      <c r="E2809">
        <f>_xlfn.CONCAT(Tableau1[[#This Row],[SHORT TYPE]]," ",Tableau1[[#This Row],[NUMERO]]," ",Tableau1[[#This Row],[GAMME]]," ",Tableau1[[#This Row],[TYPE PRODUIT]]," ",Tableau1[[#This Row],[PUISSANCE]])</f>
        <v/>
      </c>
      <c r="F2809" t="inlineStr">
        <is>
          <t>SCHNEIDER ELECTRIC S.P.A.</t>
        </is>
      </c>
      <c r="G2809" t="inlineStr">
        <is>
          <t>GVX</t>
        </is>
      </c>
      <c r="H2809" t="inlineStr">
        <is>
          <t>IO</t>
        </is>
      </c>
      <c r="I2809" t="inlineStr">
        <is>
          <t>1250KVA</t>
        </is>
      </c>
      <c r="J2809" t="inlineStr">
        <is>
          <t>JAWORSKI</t>
        </is>
      </c>
      <c r="K2809" t="inlineStr">
        <is>
          <t>CUIVRE</t>
        </is>
      </c>
      <c r="L2809">
        <f>_xlfn.XLOOKUP(Tableau1[[#This Row],[TYPE DE PIECE]],Tableau4[MATIERE],Tableau4[SHORT TYPE],"",0,1)</f>
        <v/>
      </c>
      <c r="N2809">
        <f>IF(ISERR(FIND("DECOUPE",Tableau1[[#This Row],[DESIGNATION]])),"","NEED REF")</f>
        <v/>
      </c>
    </row>
    <row r="2810">
      <c r="B2810" t="n">
        <v>34411191</v>
      </c>
      <c r="C2810" s="2" t="n">
        <v>44873</v>
      </c>
      <c r="D2810" t="inlineStr">
        <is>
          <t>SPEC</t>
        </is>
      </c>
      <c r="E2810">
        <f>_xlfn.CONCAT(Tableau1[[#This Row],[SHORT TYPE]]," ",Tableau1[[#This Row],[NUMERO]]," ",Tableau1[[#This Row],[GAMME]]," ",Tableau1[[#This Row],[TYPE PRODUIT]]," ",Tableau1[[#This Row],[PUISSANCE]])</f>
        <v/>
      </c>
      <c r="F2810" t="inlineStr">
        <is>
          <t>SCHNEIDER ELECTRIC S.P.A.</t>
        </is>
      </c>
      <c r="G2810" t="inlineStr">
        <is>
          <t>GVX</t>
        </is>
      </c>
      <c r="H2810" t="inlineStr">
        <is>
          <t>IO</t>
        </is>
      </c>
      <c r="I2810" t="inlineStr">
        <is>
          <t>1250KVA</t>
        </is>
      </c>
      <c r="J2810" t="inlineStr">
        <is>
          <t>JAWORSKI</t>
        </is>
      </c>
      <c r="K2810" t="inlineStr">
        <is>
          <t>CUIVRE</t>
        </is>
      </c>
      <c r="L2810">
        <f>_xlfn.XLOOKUP(Tableau1[[#This Row],[TYPE DE PIECE]],Tableau4[MATIERE],Tableau4[SHORT TYPE],"",0,1)</f>
        <v/>
      </c>
      <c r="N2810">
        <f>IF(ISERR(FIND("DECOUPE",Tableau1[[#This Row],[DESIGNATION]])),"","NEED REF")</f>
        <v/>
      </c>
    </row>
    <row r="2811">
      <c r="B2811" t="n">
        <v>34411190</v>
      </c>
      <c r="C2811" s="2" t="n">
        <v>44873</v>
      </c>
      <c r="D2811" t="inlineStr">
        <is>
          <t>SPEC</t>
        </is>
      </c>
      <c r="E2811">
        <f>_xlfn.CONCAT(Tableau1[[#This Row],[SHORT TYPE]]," ",Tableau1[[#This Row],[NUMERO]]," ",Tableau1[[#This Row],[GAMME]]," ",Tableau1[[#This Row],[TYPE PRODUIT]]," ",Tableau1[[#This Row],[PUISSANCE]])</f>
        <v/>
      </c>
      <c r="F2811" t="inlineStr">
        <is>
          <t>SCHNEIDER ELECTRIC S.P.A.</t>
        </is>
      </c>
      <c r="G2811" t="inlineStr">
        <is>
          <t>GVX</t>
        </is>
      </c>
      <c r="H2811" t="inlineStr">
        <is>
          <t>IO</t>
        </is>
      </c>
      <c r="I2811" t="inlineStr">
        <is>
          <t>1250KVA</t>
        </is>
      </c>
      <c r="J2811" t="inlineStr">
        <is>
          <t>JAWORSKI</t>
        </is>
      </c>
      <c r="K2811" t="inlineStr">
        <is>
          <t>CUIVRE</t>
        </is>
      </c>
      <c r="L2811">
        <f>_xlfn.XLOOKUP(Tableau1[[#This Row],[TYPE DE PIECE]],Tableau4[MATIERE],Tableau4[SHORT TYPE],"",0,1)</f>
        <v/>
      </c>
      <c r="N2811">
        <f>IF(ISERR(FIND("DECOUPE",Tableau1[[#This Row],[DESIGNATION]])),"","NEED REF")</f>
        <v/>
      </c>
    </row>
    <row r="2812">
      <c r="B2812" t="n">
        <v>34411189</v>
      </c>
      <c r="C2812" s="2" t="n">
        <v>44873</v>
      </c>
      <c r="D2812" t="inlineStr">
        <is>
          <t>SPEC</t>
        </is>
      </c>
      <c r="E2812">
        <f>_xlfn.CONCAT(Tableau1[[#This Row],[SHORT TYPE]]," ",Tableau1[[#This Row],[NUMERO]]," ",Tableau1[[#This Row],[GAMME]]," ",Tableau1[[#This Row],[TYPE PRODUIT]]," ",Tableau1[[#This Row],[PUISSANCE]])</f>
        <v/>
      </c>
      <c r="F2812" t="inlineStr">
        <is>
          <t>SCHNEIDER ELECTRIC S.P.A.</t>
        </is>
      </c>
      <c r="G2812" t="inlineStr">
        <is>
          <t>GVX</t>
        </is>
      </c>
      <c r="H2812" t="inlineStr">
        <is>
          <t>IO</t>
        </is>
      </c>
      <c r="I2812" t="inlineStr">
        <is>
          <t>1250KVA</t>
        </is>
      </c>
      <c r="J2812" t="inlineStr">
        <is>
          <t>JAWORSKI</t>
        </is>
      </c>
      <c r="K2812" t="inlineStr">
        <is>
          <t>CUIVRE</t>
        </is>
      </c>
      <c r="L2812">
        <f>_xlfn.XLOOKUP(Tableau1[[#This Row],[TYPE DE PIECE]],Tableau4[MATIERE],Tableau4[SHORT TYPE],"",0,1)</f>
        <v/>
      </c>
      <c r="N2812">
        <f>IF(ISERR(FIND("DECOUPE",Tableau1[[#This Row],[DESIGNATION]])),"","NEED REF")</f>
        <v/>
      </c>
    </row>
    <row r="2813">
      <c r="B2813" t="n">
        <v>34411188</v>
      </c>
      <c r="C2813" s="2" t="n">
        <v>44869</v>
      </c>
      <c r="D2813" t="inlineStr">
        <is>
          <t>SPEC</t>
        </is>
      </c>
      <c r="E2813" t="inlineStr">
        <is>
          <t>DOOR GVS PAINTED RAL7035</t>
        </is>
      </c>
      <c r="F2813" t="inlineStr">
        <is>
          <t>CHANTIERS DE L ATLANTIQUE</t>
        </is>
      </c>
      <c r="G2813" t="inlineStr">
        <is>
          <t>GVS</t>
        </is>
      </c>
      <c r="J2813" t="inlineStr">
        <is>
          <t>BERNARDEAU</t>
        </is>
      </c>
      <c r="K2813" t="inlineStr">
        <is>
          <t>PEINTURE</t>
        </is>
      </c>
      <c r="L2813">
        <f>_xlfn.XLOOKUP(Tableau1[[#This Row],[TYPE DE PIECE]],Tableau4[MATIERE],Tableau4[SHORT TYPE],"",0,1)</f>
        <v/>
      </c>
      <c r="N2813">
        <f>IF(ISERR(FIND("DECOUPE",Tableau1[[#This Row],[DESIGNATION]])),"","NEED REF")</f>
        <v/>
      </c>
    </row>
    <row r="2814">
      <c r="B2814" t="n">
        <v>34411187</v>
      </c>
      <c r="C2814" s="2" t="n">
        <v>44869</v>
      </c>
      <c r="D2814" t="inlineStr">
        <is>
          <t>SPEC</t>
        </is>
      </c>
      <c r="E2814" t="inlineStr">
        <is>
          <t>SMT 34411187 GVL BYPASS PROTECTION MANUTENTION GVEAC 10 RAL3001</t>
        </is>
      </c>
      <c r="F2814" t="inlineStr">
        <is>
          <t>DATA4 DC07</t>
        </is>
      </c>
      <c r="G2814" t="inlineStr">
        <is>
          <t>GVL</t>
        </is>
      </c>
      <c r="H2814" t="inlineStr">
        <is>
          <t>BYPASS</t>
        </is>
      </c>
      <c r="J2814" t="inlineStr">
        <is>
          <t>MATRION</t>
        </is>
      </c>
      <c r="K2814" t="inlineStr">
        <is>
          <t>METAL</t>
        </is>
      </c>
      <c r="L2814">
        <f>_xlfn.XLOOKUP(Tableau1[[#This Row],[TYPE DE PIECE]],Tableau4[MATIERE],Tableau4[SHORT TYPE],"",0,1)</f>
        <v/>
      </c>
      <c r="N2814">
        <f>IF(ISERR(FIND("DECOUPE",Tableau1[[#This Row],[DESIGNATION]])),"","NEED REF")</f>
        <v/>
      </c>
    </row>
    <row r="2815">
      <c r="B2815" t="n">
        <v>34411186</v>
      </c>
      <c r="C2815" s="2" t="n">
        <v>44869</v>
      </c>
      <c r="D2815" t="inlineStr">
        <is>
          <t>SPEC</t>
        </is>
      </c>
      <c r="E2815" t="inlineStr">
        <is>
          <t>SMT 34411186 GVL BYPASS PROTECTION MANUTENTION PALETTE RAL3001</t>
        </is>
      </c>
      <c r="F2815" t="inlineStr">
        <is>
          <t>DATA4 DC07</t>
        </is>
      </c>
      <c r="G2815" t="inlineStr">
        <is>
          <t>GVL</t>
        </is>
      </c>
      <c r="H2815" t="inlineStr">
        <is>
          <t>BYPASS</t>
        </is>
      </c>
      <c r="J2815" t="inlineStr">
        <is>
          <t>MATRION</t>
        </is>
      </c>
      <c r="K2815" t="inlineStr">
        <is>
          <t>METAL</t>
        </is>
      </c>
      <c r="L2815">
        <f>_xlfn.XLOOKUP(Tableau1[[#This Row],[TYPE DE PIECE]],Tableau4[MATIERE],Tableau4[SHORT TYPE],"",0,1)</f>
        <v/>
      </c>
      <c r="N2815">
        <f>IF(ISERR(FIND("DECOUPE",Tableau1[[#This Row],[DESIGNATION]])),"","NEED REF")</f>
        <v/>
      </c>
    </row>
    <row r="2816">
      <c r="B2816" t="n">
        <v>34411185</v>
      </c>
      <c r="C2816" s="2" t="n">
        <v>44868</v>
      </c>
      <c r="D2816" t="inlineStr">
        <is>
          <t>SPEC</t>
        </is>
      </c>
      <c r="E2816" t="inlineStr">
        <is>
          <t>ETO 34411185 GVL BYPASS DECOUPE GOULOTTE AK2GA69 + AK2CA6</t>
        </is>
      </c>
      <c r="F2816" t="inlineStr">
        <is>
          <t>DATA4 DC07</t>
        </is>
      </c>
      <c r="G2816" t="inlineStr">
        <is>
          <t>GVL</t>
        </is>
      </c>
      <c r="H2816" t="inlineStr">
        <is>
          <t>BYPASS</t>
        </is>
      </c>
      <c r="J2816" t="inlineStr">
        <is>
          <t>MATRION</t>
        </is>
      </c>
      <c r="K2816" t="inlineStr">
        <is>
          <t>ETO</t>
        </is>
      </c>
      <c r="L2816">
        <f>_xlfn.XLOOKUP(Tableau1[[#This Row],[TYPE DE PIECE]],Tableau4[MATIERE],Tableau4[SHORT TYPE],"",0,1)</f>
        <v/>
      </c>
      <c r="N2816" t="inlineStr">
        <is>
          <t>AK2GA69;AK2CA6</t>
        </is>
      </c>
    </row>
    <row r="2817">
      <c r="B2817" t="n">
        <v>34411184</v>
      </c>
      <c r="C2817" s="2" t="n">
        <v>44861</v>
      </c>
      <c r="D2817" t="inlineStr">
        <is>
          <t>SPEC</t>
        </is>
      </c>
      <c r="E2817" t="inlineStr">
        <is>
          <t>SMT DEFLECTEUR</t>
        </is>
      </c>
      <c r="F2817" t="inlineStr">
        <is>
          <t>TOTAL</t>
        </is>
      </c>
      <c r="J2817" t="inlineStr">
        <is>
          <t>BERNARDEAU</t>
        </is>
      </c>
      <c r="K2817" t="inlineStr">
        <is>
          <t>METAL</t>
        </is>
      </c>
      <c r="L2817">
        <f>_xlfn.XLOOKUP(Tableau1[[#This Row],[TYPE DE PIECE]],Tableau4[MATIERE],Tableau4[SHORT TYPE],"",0,1)</f>
        <v/>
      </c>
      <c r="N2817">
        <f>IF(ISERR(FIND("DECOUPE",Tableau1[[#This Row],[DESIGNATION]])),"","NEED REF")</f>
        <v/>
      </c>
    </row>
    <row r="2818">
      <c r="B2818" t="n">
        <v>34411183</v>
      </c>
      <c r="C2818" s="2" t="n">
        <v>44861</v>
      </c>
      <c r="D2818" t="inlineStr">
        <is>
          <t>SPEC</t>
        </is>
      </c>
      <c r="E2818" t="inlineStr">
        <is>
          <t>WIR BYPASS E3L with 1 CB</t>
        </is>
      </c>
      <c r="G2818" t="inlineStr">
        <is>
          <t>E3L</t>
        </is>
      </c>
      <c r="H2818" t="inlineStr">
        <is>
          <t>BYPASS</t>
        </is>
      </c>
      <c r="J2818" t="inlineStr">
        <is>
          <t>MATRION</t>
        </is>
      </c>
      <c r="K2818" t="inlineStr">
        <is>
          <t>FILERIE</t>
        </is>
      </c>
      <c r="L2818">
        <f>_xlfn.XLOOKUP(Tableau1[[#This Row],[TYPE DE PIECE]],Tableau4[MATIERE],Tableau4[SHORT TYPE],"",0,1)</f>
        <v/>
      </c>
      <c r="N2818">
        <f>IF(ISERR(FIND("DECOUPE",Tableau1[[#This Row],[DESIGNATION]])),"","NEED REF")</f>
        <v/>
      </c>
    </row>
    <row r="2819">
      <c r="B2819" t="n">
        <v>34411182</v>
      </c>
      <c r="C2819" s="2" t="n">
        <v>44855</v>
      </c>
      <c r="D2819" t="inlineStr">
        <is>
          <t>SPEC</t>
        </is>
      </c>
      <c r="E2819" t="inlineStr">
        <is>
          <t>SMT BRIDE ACCOUPLEMENT INTERCELLULE 5MM</t>
        </is>
      </c>
      <c r="G2819" t="inlineStr">
        <is>
          <t>TOUTES</t>
        </is>
      </c>
      <c r="H2819" t="inlineStr">
        <is>
          <t>AUX</t>
        </is>
      </c>
      <c r="J2819" t="inlineStr">
        <is>
          <t>MATRION</t>
        </is>
      </c>
      <c r="K2819" t="inlineStr">
        <is>
          <t>METAL</t>
        </is>
      </c>
      <c r="L2819">
        <f>_xlfn.XLOOKUP(Tableau1[[#This Row],[TYPE DE PIECE]],Tableau4[MATIERE],Tableau4[SHORT TYPE],"",0,1)</f>
        <v/>
      </c>
      <c r="N2819">
        <f>IF(ISERR(FIND("DECOUPE",Tableau1[[#This Row],[DESIGNATION]])),"","NEED REF")</f>
        <v/>
      </c>
    </row>
    <row r="2820">
      <c r="B2820" t="n">
        <v>34411181</v>
      </c>
      <c r="C2820" s="2" t="n">
        <v>44855</v>
      </c>
      <c r="D2820" t="inlineStr">
        <is>
          <t>SPEC</t>
        </is>
      </c>
      <c r="E2820" t="inlineStr">
        <is>
          <t>SMT 34411181 TOIT ALU 6MM  1000x1000</t>
        </is>
      </c>
      <c r="G2820" t="inlineStr">
        <is>
          <t>TOUTES</t>
        </is>
      </c>
      <c r="H2820" t="inlineStr">
        <is>
          <t>AUX</t>
        </is>
      </c>
      <c r="J2820" t="inlineStr">
        <is>
          <t>MATRION</t>
        </is>
      </c>
      <c r="K2820" t="inlineStr">
        <is>
          <t>METAL</t>
        </is>
      </c>
      <c r="L2820">
        <f>_xlfn.XLOOKUP(Tableau1[[#This Row],[TYPE DE PIECE]],Tableau4[MATIERE],Tableau4[SHORT TYPE],"",0,1)</f>
        <v/>
      </c>
      <c r="N2820">
        <f>IF(ISERR(FIND("DECOUPE",Tableau1[[#This Row],[DESIGNATION]])),"","NEED REF")</f>
        <v/>
      </c>
    </row>
    <row r="2821">
      <c r="B2821" t="n">
        <v>34411180</v>
      </c>
      <c r="C2821" s="2" t="n">
        <v>44855</v>
      </c>
      <c r="D2821" t="inlineStr">
        <is>
          <t>SPEC</t>
        </is>
      </c>
      <c r="E2821" t="inlineStr">
        <is>
          <t>SMT 34411180 TOIT ALU 6MM  700x1000</t>
        </is>
      </c>
      <c r="G2821" t="inlineStr">
        <is>
          <t>TOUTES</t>
        </is>
      </c>
      <c r="H2821" t="inlineStr">
        <is>
          <t>AUX</t>
        </is>
      </c>
      <c r="J2821" t="inlineStr">
        <is>
          <t>MATRION</t>
        </is>
      </c>
      <c r="K2821" t="inlineStr">
        <is>
          <t>METAL</t>
        </is>
      </c>
      <c r="L2821">
        <f>_xlfn.XLOOKUP(Tableau1[[#This Row],[TYPE DE PIECE]],Tableau4[MATIERE],Tableau4[SHORT TYPE],"",0,1)</f>
        <v/>
      </c>
      <c r="N2821">
        <f>IF(ISERR(FIND("DECOUPE",Tableau1[[#This Row],[DESIGNATION]])),"","NEED REF")</f>
        <v/>
      </c>
    </row>
    <row r="2822">
      <c r="B2822" t="n">
        <v>34411179</v>
      </c>
      <c r="C2822" s="2" t="n">
        <v>44855</v>
      </c>
      <c r="D2822" t="inlineStr">
        <is>
          <t>SPEC</t>
        </is>
      </c>
      <c r="E2822" t="inlineStr">
        <is>
          <t>SMT 34411179 TOIT ALU 6MM  500x1000</t>
        </is>
      </c>
      <c r="G2822" t="inlineStr">
        <is>
          <t>TOUTES</t>
        </is>
      </c>
      <c r="H2822" t="inlineStr">
        <is>
          <t>AUX</t>
        </is>
      </c>
      <c r="J2822" t="inlineStr">
        <is>
          <t>MATRION</t>
        </is>
      </c>
      <c r="K2822" t="inlineStr">
        <is>
          <t>METAL</t>
        </is>
      </c>
      <c r="L2822">
        <f>_xlfn.XLOOKUP(Tableau1[[#This Row],[TYPE DE PIECE]],Tableau4[MATIERE],Tableau4[SHORT TYPE],"",0,1)</f>
        <v/>
      </c>
      <c r="N2822">
        <f>IF(ISERR(FIND("DECOUPE",Tableau1[[#This Row],[DESIGNATION]])),"","NEED REF")</f>
        <v/>
      </c>
    </row>
    <row r="2823">
      <c r="B2823" t="n">
        <v>34411178</v>
      </c>
      <c r="C2823" s="2" t="n">
        <v>44855</v>
      </c>
      <c r="D2823" t="inlineStr">
        <is>
          <t>SPEC</t>
        </is>
      </c>
      <c r="E2823" t="inlineStr">
        <is>
          <t>SMT 34411178 TOIT ALU 6MM  400x1000</t>
        </is>
      </c>
      <c r="G2823" t="inlineStr">
        <is>
          <t>TOUTES</t>
        </is>
      </c>
      <c r="H2823" t="inlineStr">
        <is>
          <t>AUX</t>
        </is>
      </c>
      <c r="J2823" t="inlineStr">
        <is>
          <t>MATRION</t>
        </is>
      </c>
      <c r="K2823" t="inlineStr">
        <is>
          <t>METAL</t>
        </is>
      </c>
      <c r="L2823">
        <f>_xlfn.XLOOKUP(Tableau1[[#This Row],[TYPE DE PIECE]],Tableau4[MATIERE],Tableau4[SHORT TYPE],"",0,1)</f>
        <v/>
      </c>
      <c r="N2823">
        <f>IF(ISERR(FIND("DECOUPE",Tableau1[[#This Row],[DESIGNATION]])),"","NEED REF")</f>
        <v/>
      </c>
    </row>
    <row r="2824">
      <c r="B2824" t="n">
        <v>34411177</v>
      </c>
      <c r="C2824" s="2" t="n">
        <v>44855</v>
      </c>
      <c r="D2824" t="inlineStr">
        <is>
          <t>SPEC</t>
        </is>
      </c>
      <c r="E2824" t="inlineStr">
        <is>
          <t>SMT 34411177 TOIT ALU 6MM  1000x800</t>
        </is>
      </c>
      <c r="G2824" t="inlineStr">
        <is>
          <t>TOUTES</t>
        </is>
      </c>
      <c r="H2824" t="inlineStr">
        <is>
          <t>AUX</t>
        </is>
      </c>
      <c r="J2824" t="inlineStr">
        <is>
          <t>MATRION</t>
        </is>
      </c>
      <c r="K2824" t="inlineStr">
        <is>
          <t>METAL</t>
        </is>
      </c>
      <c r="L2824">
        <f>_xlfn.XLOOKUP(Tableau1[[#This Row],[TYPE DE PIECE]],Tableau4[MATIERE],Tableau4[SHORT TYPE],"",0,1)</f>
        <v/>
      </c>
      <c r="N2824">
        <f>IF(ISERR(FIND("DECOUPE",Tableau1[[#This Row],[DESIGNATION]])),"","NEED REF")</f>
        <v/>
      </c>
    </row>
    <row r="2825">
      <c r="B2825" t="n">
        <v>34411176</v>
      </c>
      <c r="C2825" s="2" t="n">
        <v>44855</v>
      </c>
      <c r="D2825" t="inlineStr">
        <is>
          <t>SPEC</t>
        </is>
      </c>
      <c r="E2825" t="inlineStr">
        <is>
          <t>SMT 34411176 TOIT ALU 6MM  700x800</t>
        </is>
      </c>
      <c r="G2825" t="inlineStr">
        <is>
          <t>TOUTES</t>
        </is>
      </c>
      <c r="H2825" t="inlineStr">
        <is>
          <t>AUX</t>
        </is>
      </c>
      <c r="J2825" t="inlineStr">
        <is>
          <t>MATRION</t>
        </is>
      </c>
      <c r="K2825" t="inlineStr">
        <is>
          <t>METAL</t>
        </is>
      </c>
      <c r="L2825">
        <f>_xlfn.XLOOKUP(Tableau1[[#This Row],[TYPE DE PIECE]],Tableau4[MATIERE],Tableau4[SHORT TYPE],"",0,1)</f>
        <v/>
      </c>
      <c r="N2825">
        <f>IF(ISERR(FIND("DECOUPE",Tableau1[[#This Row],[DESIGNATION]])),"","NEED REF")</f>
        <v/>
      </c>
    </row>
    <row r="2826">
      <c r="B2826" t="n">
        <v>34411175</v>
      </c>
      <c r="C2826" s="2" t="n">
        <v>44855</v>
      </c>
      <c r="D2826" t="inlineStr">
        <is>
          <t>SPEC</t>
        </is>
      </c>
      <c r="E2826" t="inlineStr">
        <is>
          <t>SMT 34411175 TOIT ALU 6MM  500x800</t>
        </is>
      </c>
      <c r="G2826" t="inlineStr">
        <is>
          <t>TOUTES</t>
        </is>
      </c>
      <c r="H2826" t="inlineStr">
        <is>
          <t>AUX</t>
        </is>
      </c>
      <c r="J2826" t="inlineStr">
        <is>
          <t>MATRION</t>
        </is>
      </c>
      <c r="K2826" t="inlineStr">
        <is>
          <t>METAL</t>
        </is>
      </c>
      <c r="L2826">
        <f>_xlfn.XLOOKUP(Tableau1[[#This Row],[TYPE DE PIECE]],Tableau4[MATIERE],Tableau4[SHORT TYPE],"",0,1)</f>
        <v/>
      </c>
      <c r="N2826">
        <f>IF(ISERR(FIND("DECOUPE",Tableau1[[#This Row],[DESIGNATION]])),"","NEED REF")</f>
        <v/>
      </c>
    </row>
    <row r="2827">
      <c r="B2827" t="n">
        <v>34411174</v>
      </c>
      <c r="C2827" s="2" t="n">
        <v>44855</v>
      </c>
      <c r="D2827" t="inlineStr">
        <is>
          <t>SPEC</t>
        </is>
      </c>
      <c r="E2827" t="inlineStr">
        <is>
          <t>SMT 34411174 TOIT ALU 6MM  400x800</t>
        </is>
      </c>
      <c r="G2827" t="inlineStr">
        <is>
          <t>TOUTES</t>
        </is>
      </c>
      <c r="H2827" t="inlineStr">
        <is>
          <t>AUX</t>
        </is>
      </c>
      <c r="J2827" t="inlineStr">
        <is>
          <t>MATRION</t>
        </is>
      </c>
      <c r="K2827" t="inlineStr">
        <is>
          <t>METAL</t>
        </is>
      </c>
      <c r="L2827">
        <f>_xlfn.XLOOKUP(Tableau1[[#This Row],[TYPE DE PIECE]],Tableau4[MATIERE],Tableau4[SHORT TYPE],"",0,1)</f>
        <v/>
      </c>
      <c r="N2827">
        <f>IF(ISERR(FIND("DECOUPE",Tableau1[[#This Row],[DESIGNATION]])),"","NEED REF")</f>
        <v/>
      </c>
    </row>
    <row r="2828">
      <c r="B2828" t="n">
        <v>34411173</v>
      </c>
      <c r="C2828" s="2" t="n">
        <v>44854</v>
      </c>
      <c r="D2828" t="inlineStr">
        <is>
          <t>SPEC</t>
        </is>
      </c>
      <c r="E2828" t="inlineStr">
        <is>
          <t>SMT REHAUSSE 500MM H100 AV. VENTIL. RAL9003</t>
        </is>
      </c>
      <c r="G2828" t="inlineStr">
        <is>
          <t>TOUTES</t>
        </is>
      </c>
      <c r="H2828" t="inlineStr">
        <is>
          <t>AUX</t>
        </is>
      </c>
      <c r="J2828" t="inlineStr">
        <is>
          <t>MATRION</t>
        </is>
      </c>
      <c r="K2828" t="inlineStr">
        <is>
          <t>METAL</t>
        </is>
      </c>
      <c r="L2828">
        <f>_xlfn.XLOOKUP(Tableau1[[#This Row],[TYPE DE PIECE]],Tableau4[MATIERE],Tableau4[SHORT TYPE],"",0,1)</f>
        <v/>
      </c>
      <c r="N2828">
        <f>IF(ISERR(FIND("DECOUPE",Tableau1[[#This Row],[DESIGNATION]])),"","NEED REF")</f>
        <v/>
      </c>
    </row>
    <row r="2829">
      <c r="B2829" t="n">
        <v>34411172</v>
      </c>
      <c r="C2829" s="2" t="n">
        <v>44854</v>
      </c>
      <c r="D2829" t="inlineStr">
        <is>
          <t>SPEC</t>
        </is>
      </c>
      <c r="E2829" t="inlineStr">
        <is>
          <t>SMT REHAUSSE 500MM H70 AV. VENTIL. RAL9003</t>
        </is>
      </c>
      <c r="G2829" t="inlineStr">
        <is>
          <t>TOUTES</t>
        </is>
      </c>
      <c r="H2829" t="inlineStr">
        <is>
          <t>AUX</t>
        </is>
      </c>
      <c r="J2829" t="inlineStr">
        <is>
          <t>MATRION</t>
        </is>
      </c>
      <c r="K2829" t="inlineStr">
        <is>
          <t>METAL</t>
        </is>
      </c>
      <c r="L2829">
        <f>_xlfn.XLOOKUP(Tableau1[[#This Row],[TYPE DE PIECE]],Tableau4[MATIERE],Tableau4[SHORT TYPE],"",0,1)</f>
        <v/>
      </c>
      <c r="N2829">
        <f>IF(ISERR(FIND("DECOUPE",Tableau1[[#This Row],[DESIGNATION]])),"","NEED REF")</f>
        <v/>
      </c>
    </row>
    <row r="2830">
      <c r="B2830" t="n">
        <v>34411171</v>
      </c>
      <c r="C2830" s="2" t="n">
        <v>44854</v>
      </c>
      <c r="D2830" t="inlineStr">
        <is>
          <t>SPEC</t>
        </is>
      </c>
      <c r="E2830" t="inlineStr">
        <is>
          <t>SMT 34411105 RENFORT DE TOIT 1000x1000</t>
        </is>
      </c>
      <c r="G2830" t="inlineStr">
        <is>
          <t>TOUTES</t>
        </is>
      </c>
      <c r="H2830" t="inlineStr">
        <is>
          <t>AUX</t>
        </is>
      </c>
      <c r="J2830" t="inlineStr">
        <is>
          <t>MATRION</t>
        </is>
      </c>
      <c r="K2830" t="inlineStr">
        <is>
          <t>METAL</t>
        </is>
      </c>
      <c r="L2830">
        <f>_xlfn.XLOOKUP(Tableau1[[#This Row],[TYPE DE PIECE]],Tableau4[MATIERE],Tableau4[SHORT TYPE],"",0,1)</f>
        <v/>
      </c>
      <c r="N2830">
        <f>IF(ISERR(FIND("DECOUPE",Tableau1[[#This Row],[DESIGNATION]])),"","NEED REF")</f>
        <v/>
      </c>
    </row>
    <row r="2831">
      <c r="B2831" t="n">
        <v>34411170</v>
      </c>
      <c r="C2831" s="2" t="n">
        <v>44854</v>
      </c>
      <c r="D2831" t="inlineStr">
        <is>
          <t>SPEC</t>
        </is>
      </c>
      <c r="E2831">
        <f>_xlfn.CONCAT(Tableau1[[#This Row],[SHORT TYPE]]," ",Tableau1[[#This Row],[NUMERO]]," ",Tableau1[[#This Row],[GAMME]]," ",Tableau1[[#This Row],[TYPE PRODUIT]]," ",Tableau1[[#This Row],[PUISSANCE]])</f>
        <v/>
      </c>
      <c r="J2831" t="inlineStr">
        <is>
          <t>MATRION</t>
        </is>
      </c>
      <c r="L2831">
        <f>_xlfn.XLOOKUP(Tableau1[[#This Row],[TYPE DE PIECE]],Tableau4[MATIERE],Tableau4[SHORT TYPE],"",0,1)</f>
        <v/>
      </c>
      <c r="N2831">
        <f>IF(ISERR(FIND("DECOUPE",Tableau1[[#This Row],[DESIGNATION]])),"","NEED REF")</f>
        <v/>
      </c>
    </row>
    <row r="2832">
      <c r="B2832" t="n">
        <v>34411169</v>
      </c>
      <c r="C2832" s="2" t="n">
        <v>44854</v>
      </c>
      <c r="D2832" t="inlineStr">
        <is>
          <t>SPEC</t>
        </is>
      </c>
      <c r="E2832">
        <f>_xlfn.CONCAT(Tableau1[[#This Row],[SHORT TYPE]]," ",Tableau1[[#This Row],[NUMERO]]," ",Tableau1[[#This Row],[GAMME]]," ",Tableau1[[#This Row],[TYPE PRODUIT]]," ",Tableau1[[#This Row],[PUISSANCE]])</f>
        <v/>
      </c>
      <c r="J2832" t="inlineStr">
        <is>
          <t>MATRION</t>
        </is>
      </c>
      <c r="L2832">
        <f>_xlfn.XLOOKUP(Tableau1[[#This Row],[TYPE DE PIECE]],Tableau4[MATIERE],Tableau4[SHORT TYPE],"",0,1)</f>
        <v/>
      </c>
      <c r="N2832">
        <f>IF(ISERR(FIND("DECOUPE",Tableau1[[#This Row],[DESIGNATION]])),"","NEED REF")</f>
        <v/>
      </c>
    </row>
    <row r="2833">
      <c r="B2833" t="n">
        <v>34411168</v>
      </c>
      <c r="C2833" s="2" t="n">
        <v>44854</v>
      </c>
      <c r="D2833" t="inlineStr">
        <is>
          <t>SPEC</t>
        </is>
      </c>
      <c r="E2833" t="inlineStr">
        <is>
          <t>SMT PORTE 500x1900</t>
        </is>
      </c>
      <c r="G2833" t="inlineStr">
        <is>
          <t>TOUTES</t>
        </is>
      </c>
      <c r="H2833" t="inlineStr">
        <is>
          <t>AUX</t>
        </is>
      </c>
      <c r="J2833" t="inlineStr">
        <is>
          <t>MATRION</t>
        </is>
      </c>
      <c r="K2833" t="inlineStr">
        <is>
          <t>METAL</t>
        </is>
      </c>
      <c r="L2833">
        <f>_xlfn.XLOOKUP(Tableau1[[#This Row],[TYPE DE PIECE]],Tableau4[MATIERE],Tableau4[SHORT TYPE],"",0,1)</f>
        <v/>
      </c>
      <c r="N2833">
        <f>IF(ISERR(FIND("DECOUPE",Tableau1[[#This Row],[DESIGNATION]])),"","NEED REF")</f>
        <v/>
      </c>
    </row>
    <row r="2834">
      <c r="B2834" t="n">
        <v>34411167</v>
      </c>
      <c r="C2834" s="2" t="n">
        <v>44854</v>
      </c>
      <c r="D2834" t="inlineStr">
        <is>
          <t>SPEC</t>
        </is>
      </c>
      <c r="E2834" t="inlineStr">
        <is>
          <t>SMT S/E PORTE 500x1900 RAL9003</t>
        </is>
      </c>
      <c r="G2834" t="inlineStr">
        <is>
          <t>TOUTES</t>
        </is>
      </c>
      <c r="H2834" t="inlineStr">
        <is>
          <t>AUX</t>
        </is>
      </c>
      <c r="J2834" t="inlineStr">
        <is>
          <t>MATRION</t>
        </is>
      </c>
      <c r="K2834" t="inlineStr">
        <is>
          <t>METAL</t>
        </is>
      </c>
      <c r="L2834">
        <f>_xlfn.XLOOKUP(Tableau1[[#This Row],[TYPE DE PIECE]],Tableau4[MATIERE],Tableau4[SHORT TYPE],"",0,1)</f>
        <v/>
      </c>
      <c r="N2834">
        <f>IF(ISERR(FIND("DECOUPE",Tableau1[[#This Row],[DESIGNATION]])),"","NEED REF")</f>
        <v/>
      </c>
    </row>
    <row r="2835">
      <c r="B2835" t="n">
        <v>34411166</v>
      </c>
      <c r="C2835" s="2" t="n">
        <v>44854</v>
      </c>
      <c r="D2835" t="inlineStr">
        <is>
          <t>SPEC</t>
        </is>
      </c>
      <c r="E2835" t="inlineStr">
        <is>
          <t>SMT PORTE 400x1900</t>
        </is>
      </c>
      <c r="G2835" t="inlineStr">
        <is>
          <t>TOUTES</t>
        </is>
      </c>
      <c r="H2835" t="inlineStr">
        <is>
          <t>AUX</t>
        </is>
      </c>
      <c r="J2835" t="inlineStr">
        <is>
          <t>MATRION</t>
        </is>
      </c>
      <c r="K2835" t="inlineStr">
        <is>
          <t>METAL</t>
        </is>
      </c>
      <c r="L2835">
        <f>_xlfn.XLOOKUP(Tableau1[[#This Row],[TYPE DE PIECE]],Tableau4[MATIERE],Tableau4[SHORT TYPE],"",0,1)</f>
        <v/>
      </c>
      <c r="N2835">
        <f>IF(ISERR(FIND("DECOUPE",Tableau1[[#This Row],[DESIGNATION]])),"","NEED REF")</f>
        <v/>
      </c>
    </row>
    <row r="2836">
      <c r="B2836" t="n">
        <v>34411165</v>
      </c>
      <c r="C2836" s="2" t="n">
        <v>44854</v>
      </c>
      <c r="D2836" t="inlineStr">
        <is>
          <t>SPEC</t>
        </is>
      </c>
      <c r="E2836" t="inlineStr">
        <is>
          <t>SMT S/E PORTE 400x1900 RAL9003</t>
        </is>
      </c>
      <c r="G2836" t="inlineStr">
        <is>
          <t>TOUTES</t>
        </is>
      </c>
      <c r="H2836" t="inlineStr">
        <is>
          <t>AUX</t>
        </is>
      </c>
      <c r="J2836" t="inlineStr">
        <is>
          <t>MATRION</t>
        </is>
      </c>
      <c r="K2836" t="inlineStr">
        <is>
          <t>METAL</t>
        </is>
      </c>
      <c r="L2836">
        <f>_xlfn.XLOOKUP(Tableau1[[#This Row],[TYPE DE PIECE]],Tableau4[MATIERE],Tableau4[SHORT TYPE],"",0,1)</f>
        <v/>
      </c>
      <c r="N2836">
        <f>IF(ISERR(FIND("DECOUPE",Tableau1[[#This Row],[DESIGNATION]])),"","NEED REF")</f>
        <v/>
      </c>
    </row>
    <row r="2837">
      <c r="B2837" t="n">
        <v>34411164</v>
      </c>
      <c r="C2837" s="2" t="n">
        <v>44854</v>
      </c>
      <c r="D2837" t="inlineStr">
        <is>
          <t>SPEC</t>
        </is>
      </c>
      <c r="E2837" t="inlineStr">
        <is>
          <t>SMT REHAUSSE 400MM H100 AV. VENTIL. RAL9003</t>
        </is>
      </c>
      <c r="G2837" t="inlineStr">
        <is>
          <t>TOUTES</t>
        </is>
      </c>
      <c r="H2837" t="inlineStr">
        <is>
          <t>AUX</t>
        </is>
      </c>
      <c r="J2837" t="inlineStr">
        <is>
          <t>MATRION</t>
        </is>
      </c>
      <c r="K2837" t="inlineStr">
        <is>
          <t>METAL</t>
        </is>
      </c>
      <c r="L2837">
        <f>_xlfn.XLOOKUP(Tableau1[[#This Row],[TYPE DE PIECE]],Tableau4[MATIERE],Tableau4[SHORT TYPE],"",0,1)</f>
        <v/>
      </c>
      <c r="N2837">
        <f>IF(ISERR(FIND("DECOUPE",Tableau1[[#This Row],[DESIGNATION]])),"","NEED REF")</f>
        <v/>
      </c>
    </row>
    <row r="2838">
      <c r="B2838" t="n">
        <v>34411163</v>
      </c>
      <c r="C2838" s="2" t="n">
        <v>44854</v>
      </c>
      <c r="D2838" t="inlineStr">
        <is>
          <t>SPEC</t>
        </is>
      </c>
      <c r="E2838" t="inlineStr">
        <is>
          <t>SMT TOIT ALU 6MM 400x1000</t>
        </is>
      </c>
      <c r="G2838" t="inlineStr">
        <is>
          <t>TOUTES</t>
        </is>
      </c>
      <c r="H2838" t="inlineStr">
        <is>
          <t>AUX</t>
        </is>
      </c>
      <c r="J2838" t="inlineStr">
        <is>
          <t>MATRION</t>
        </is>
      </c>
      <c r="K2838" t="inlineStr">
        <is>
          <t>METAL</t>
        </is>
      </c>
      <c r="L2838">
        <f>_xlfn.XLOOKUP(Tableau1[[#This Row],[TYPE DE PIECE]],Tableau4[MATIERE],Tableau4[SHORT TYPE],"",0,1)</f>
        <v/>
      </c>
      <c r="N2838">
        <f>IF(ISERR(FIND("DECOUPE",Tableau1[[#This Row],[DESIGNATION]])),"","NEED REF")</f>
        <v/>
      </c>
    </row>
    <row r="2839">
      <c r="B2839" t="n">
        <v>34411162</v>
      </c>
      <c r="C2839" s="2" t="n">
        <v>44854</v>
      </c>
      <c r="D2839" t="inlineStr">
        <is>
          <t>SPEC</t>
        </is>
      </c>
      <c r="E2839" t="inlineStr">
        <is>
          <t>SMT TOIT ALU 6MM 500x1000</t>
        </is>
      </c>
      <c r="G2839" t="inlineStr">
        <is>
          <t>TOUTES</t>
        </is>
      </c>
      <c r="H2839" t="inlineStr">
        <is>
          <t>AUX</t>
        </is>
      </c>
      <c r="J2839" t="inlineStr">
        <is>
          <t>MATRION</t>
        </is>
      </c>
      <c r="K2839" t="inlineStr">
        <is>
          <t>METAL</t>
        </is>
      </c>
      <c r="L2839">
        <f>_xlfn.XLOOKUP(Tableau1[[#This Row],[TYPE DE PIECE]],Tableau4[MATIERE],Tableau4[SHORT TYPE],"",0,1)</f>
        <v/>
      </c>
      <c r="N2839">
        <f>IF(ISERR(FIND("DECOUPE",Tableau1[[#This Row],[DESIGNATION]])),"","NEED REF")</f>
        <v/>
      </c>
    </row>
    <row r="2840">
      <c r="B2840" t="n">
        <v>34411161</v>
      </c>
      <c r="C2840" s="2" t="n">
        <v>44854</v>
      </c>
      <c r="D2840" t="inlineStr">
        <is>
          <t>SPEC</t>
        </is>
      </c>
      <c r="E2840" t="inlineStr">
        <is>
          <t>SMT 34411121 CORNIERE ACIER FIX CELLULE 400</t>
        </is>
      </c>
      <c r="G2840" t="inlineStr">
        <is>
          <t>TOUTES</t>
        </is>
      </c>
      <c r="H2840" t="inlineStr">
        <is>
          <t>AUX</t>
        </is>
      </c>
      <c r="J2840" t="inlineStr">
        <is>
          <t>MATRION</t>
        </is>
      </c>
      <c r="K2840" t="inlineStr">
        <is>
          <t>METAL</t>
        </is>
      </c>
      <c r="L2840">
        <f>_xlfn.XLOOKUP(Tableau1[[#This Row],[TYPE DE PIECE]],Tableau4[MATIERE],Tableau4[SHORT TYPE],"",0,1)</f>
        <v/>
      </c>
      <c r="N2840">
        <f>IF(ISERR(FIND("DECOUPE",Tableau1[[#This Row],[DESIGNATION]])),"","NEED REF")</f>
        <v/>
      </c>
    </row>
    <row r="2841">
      <c r="B2841" t="n">
        <v>34411160</v>
      </c>
      <c r="C2841" s="2" t="n">
        <v>44854</v>
      </c>
      <c r="D2841" t="inlineStr">
        <is>
          <t>SPEC</t>
        </is>
      </c>
      <c r="E2841" t="inlineStr">
        <is>
          <t xml:space="preserve">SMT 34411120 CORNIERE ACIER FIX CELLULE 500  </t>
        </is>
      </c>
      <c r="G2841" t="inlineStr">
        <is>
          <t>TOUTES</t>
        </is>
      </c>
      <c r="H2841" t="inlineStr">
        <is>
          <t>AUX</t>
        </is>
      </c>
      <c r="J2841" t="inlineStr">
        <is>
          <t>MATRION</t>
        </is>
      </c>
      <c r="K2841" t="inlineStr">
        <is>
          <t>METAL</t>
        </is>
      </c>
      <c r="L2841">
        <f>_xlfn.XLOOKUP(Tableau1[[#This Row],[TYPE DE PIECE]],Tableau4[MATIERE],Tableau4[SHORT TYPE],"",0,1)</f>
        <v/>
      </c>
      <c r="N2841">
        <f>IF(ISERR(FIND("DECOUPE",Tableau1[[#This Row],[DESIGNATION]])),"","NEED REF")</f>
        <v/>
      </c>
    </row>
    <row r="2842">
      <c r="B2842" t="n">
        <v>34411159</v>
      </c>
      <c r="C2842" s="2" t="n">
        <v>44853</v>
      </c>
      <c r="D2842" t="inlineStr">
        <is>
          <t>SPEC</t>
        </is>
      </c>
      <c r="E2842" t="inlineStr">
        <is>
          <t>SMT PORTE 300x1900</t>
        </is>
      </c>
      <c r="G2842" t="inlineStr">
        <is>
          <t>TOUTES</t>
        </is>
      </c>
      <c r="H2842" t="inlineStr">
        <is>
          <t>AUX</t>
        </is>
      </c>
      <c r="J2842" t="inlineStr">
        <is>
          <t>MATRION</t>
        </is>
      </c>
      <c r="K2842" t="inlineStr">
        <is>
          <t>METAL</t>
        </is>
      </c>
      <c r="L2842">
        <f>_xlfn.XLOOKUP(Tableau1[[#This Row],[TYPE DE PIECE]],Tableau4[MATIERE],Tableau4[SHORT TYPE],"",0,1)</f>
        <v/>
      </c>
      <c r="N2842">
        <f>IF(ISERR(FIND("DECOUPE",Tableau1[[#This Row],[DESIGNATION]])),"","NEED REF")</f>
        <v/>
      </c>
    </row>
    <row r="2843">
      <c r="B2843" t="n">
        <v>34411158</v>
      </c>
      <c r="C2843" s="2" t="n">
        <v>44853</v>
      </c>
      <c r="D2843" t="inlineStr">
        <is>
          <t>SPEC</t>
        </is>
      </c>
      <c r="E2843" t="inlineStr">
        <is>
          <t>SMT S/E PORTE 300x1900 RAL9003</t>
        </is>
      </c>
      <c r="G2843" t="inlineStr">
        <is>
          <t>TOUTES</t>
        </is>
      </c>
      <c r="H2843" t="inlineStr">
        <is>
          <t>AUX</t>
        </is>
      </c>
      <c r="J2843" t="inlineStr">
        <is>
          <t>MATRION</t>
        </is>
      </c>
      <c r="K2843" t="inlineStr">
        <is>
          <t>METAL</t>
        </is>
      </c>
      <c r="L2843">
        <f>_xlfn.XLOOKUP(Tableau1[[#This Row],[TYPE DE PIECE]],Tableau4[MATIERE],Tableau4[SHORT TYPE],"",0,1)</f>
        <v/>
      </c>
      <c r="N2843">
        <f>IF(ISERR(FIND("DECOUPE",Tableau1[[#This Row],[DESIGNATION]])),"","NEED REF")</f>
        <v/>
      </c>
    </row>
    <row r="2844">
      <c r="B2844" t="n">
        <v>34411157</v>
      </c>
      <c r="C2844" s="2" t="n">
        <v>44853</v>
      </c>
      <c r="D2844" t="inlineStr">
        <is>
          <t>SPEC</t>
        </is>
      </c>
      <c r="E2844" t="inlineStr">
        <is>
          <t>SMT 34411157 IP ANGLES 2 GVEAC5</t>
        </is>
      </c>
      <c r="G2844" t="inlineStr">
        <is>
          <t>TOUTES</t>
        </is>
      </c>
      <c r="J2844" t="inlineStr">
        <is>
          <t>MATRION</t>
        </is>
      </c>
      <c r="K2844" t="inlineStr">
        <is>
          <t>METAL</t>
        </is>
      </c>
      <c r="L2844">
        <f>_xlfn.XLOOKUP(Tableau1[[#This Row],[TYPE DE PIECE]],Tableau4[MATIERE],Tableau4[SHORT TYPE],"",0,1)</f>
        <v/>
      </c>
      <c r="N2844">
        <f>IF(ISERR(FIND("DECOUPE",Tableau1[[#This Row],[DESIGNATION]])),"","NEED REF")</f>
        <v/>
      </c>
    </row>
    <row r="2845">
      <c r="B2845" t="n">
        <v>34411156</v>
      </c>
      <c r="C2845" s="2" t="n">
        <v>44853</v>
      </c>
      <c r="D2845" t="inlineStr">
        <is>
          <t>SPEC</t>
        </is>
      </c>
      <c r="E2845" t="inlineStr">
        <is>
          <t>SMT 34411156 IP ANGLES 1 GVEAC5</t>
        </is>
      </c>
      <c r="G2845" t="inlineStr">
        <is>
          <t>TOUTES</t>
        </is>
      </c>
      <c r="J2845" t="inlineStr">
        <is>
          <t>MATRION</t>
        </is>
      </c>
      <c r="K2845" t="inlineStr">
        <is>
          <t>METAL</t>
        </is>
      </c>
      <c r="L2845">
        <f>_xlfn.XLOOKUP(Tableau1[[#This Row],[TYPE DE PIECE]],Tableau4[MATIERE],Tableau4[SHORT TYPE],"",0,1)</f>
        <v/>
      </c>
      <c r="N2845">
        <f>IF(ISERR(FIND("DECOUPE",Tableau1[[#This Row],[DESIGNATION]])),"","NEED REF")</f>
        <v/>
      </c>
    </row>
    <row r="2846">
      <c r="B2846" t="n">
        <v>34411155</v>
      </c>
      <c r="C2846" s="2" t="n">
        <v>44853</v>
      </c>
      <c r="D2846" t="inlineStr">
        <is>
          <t>SPEC</t>
        </is>
      </c>
      <c r="E2846" t="inlineStr">
        <is>
          <t xml:space="preserve">Kit Filerie cellule droite BP DATA4 </t>
        </is>
      </c>
      <c r="F2846" t="inlineStr">
        <is>
          <t>DATA4 DC07</t>
        </is>
      </c>
      <c r="G2846" t="inlineStr">
        <is>
          <t>GVL</t>
        </is>
      </c>
      <c r="H2846" t="inlineStr">
        <is>
          <t>BYPASS</t>
        </is>
      </c>
      <c r="J2846" t="inlineStr">
        <is>
          <t>MONGELLI</t>
        </is>
      </c>
      <c r="K2846" t="inlineStr">
        <is>
          <t>FILERIE</t>
        </is>
      </c>
      <c r="L2846">
        <f>_xlfn.XLOOKUP(Tableau1[[#This Row],[TYPE DE PIECE]],Tableau4[MATIERE],Tableau4[SHORT TYPE],"",0,1)</f>
        <v/>
      </c>
      <c r="N2846">
        <f>IF(ISERR(FIND("DECOUPE",Tableau1[[#This Row],[DESIGNATION]])),"","NEED REF")</f>
        <v/>
      </c>
    </row>
    <row r="2847">
      <c r="B2847" t="n">
        <v>34411154</v>
      </c>
      <c r="C2847" s="2" t="n">
        <v>44853</v>
      </c>
      <c r="D2847" t="inlineStr">
        <is>
          <t>SPEC</t>
        </is>
      </c>
      <c r="E2847" t="inlineStr">
        <is>
          <t xml:space="preserve">Kit Filerie cellule gauche + centre BP DATA4 </t>
        </is>
      </c>
      <c r="F2847" t="inlineStr">
        <is>
          <t>DATA4 DC07</t>
        </is>
      </c>
      <c r="G2847" t="inlineStr">
        <is>
          <t>GVL</t>
        </is>
      </c>
      <c r="H2847" t="inlineStr">
        <is>
          <t>BYPASS</t>
        </is>
      </c>
      <c r="J2847" t="inlineStr">
        <is>
          <t>MONGELLI</t>
        </is>
      </c>
      <c r="K2847" t="inlineStr">
        <is>
          <t>FILERIE</t>
        </is>
      </c>
      <c r="L2847" t="inlineStr">
        <is>
          <t>WIR</t>
        </is>
      </c>
      <c r="N2847">
        <f>IF(ISERR(FIND("DECOUPE",Tableau1[[#This Row],[DESIGNATION]])),"","NEED REF")</f>
        <v/>
      </c>
    </row>
    <row r="2848">
      <c r="B2848" t="n">
        <v>34411153</v>
      </c>
      <c r="C2848" s="2" t="n">
        <v>44852</v>
      </c>
      <c r="D2848" t="inlineStr">
        <is>
          <t>SPEC</t>
        </is>
      </c>
      <c r="E2848" t="inlineStr">
        <is>
          <t>SMT 34411153 BANDEAU INTERCELLULE GVL BYPASS RAL9003</t>
        </is>
      </c>
      <c r="F2848" t="inlineStr">
        <is>
          <t>DATA4 DC07</t>
        </is>
      </c>
      <c r="G2848" t="inlineStr">
        <is>
          <t>GVL</t>
        </is>
      </c>
      <c r="H2848" t="inlineStr">
        <is>
          <t>BYPASS</t>
        </is>
      </c>
      <c r="J2848" t="inlineStr">
        <is>
          <t>MATRION</t>
        </is>
      </c>
      <c r="K2848" t="inlineStr">
        <is>
          <t>METAL</t>
        </is>
      </c>
      <c r="L2848">
        <f>_xlfn.XLOOKUP(Tableau1[[#This Row],[TYPE DE PIECE]],Tableau4[MATIERE],Tableau4[SHORT TYPE],"",0,1)</f>
        <v/>
      </c>
      <c r="N2848">
        <f>IF(ISERR(FIND("DECOUPE",Tableau1[[#This Row],[DESIGNATION]])),"","NEED REF")</f>
        <v/>
      </c>
    </row>
    <row r="2849">
      <c r="B2849" t="n">
        <v>34411152</v>
      </c>
      <c r="C2849" s="2" t="n">
        <v>44851</v>
      </c>
      <c r="D2849" t="inlineStr">
        <is>
          <t>SPEC</t>
        </is>
      </c>
      <c r="E2849" t="inlineStr">
        <is>
          <t>SMT SUPPORT NSX400-630 x4</t>
        </is>
      </c>
      <c r="F2849" t="inlineStr">
        <is>
          <t>TOTAL</t>
        </is>
      </c>
      <c r="J2849" t="inlineStr">
        <is>
          <t>BERNARDEAU</t>
        </is>
      </c>
      <c r="K2849" t="inlineStr">
        <is>
          <t>METAL</t>
        </is>
      </c>
      <c r="L2849">
        <f>_xlfn.XLOOKUP(Tableau1[[#This Row],[TYPE DE PIECE]],Tableau4[MATIERE],Tableau4[SHORT TYPE],"",0,1)</f>
        <v/>
      </c>
      <c r="N2849">
        <f>IF(ISERR(FIND("DECOUPE",Tableau1[[#This Row],[DESIGNATION]])),"","NEED REF")</f>
        <v/>
      </c>
    </row>
    <row r="2850">
      <c r="B2850" t="n">
        <v>34411151</v>
      </c>
      <c r="C2850" s="2" t="n">
        <v>44851</v>
      </c>
      <c r="D2850" t="inlineStr">
        <is>
          <t>SPEC</t>
        </is>
      </c>
      <c r="E2850" t="inlineStr">
        <is>
          <t>SMT PLASTRON VENTILE</t>
        </is>
      </c>
      <c r="F2850" t="inlineStr">
        <is>
          <t>TOTAL</t>
        </is>
      </c>
      <c r="J2850" t="inlineStr">
        <is>
          <t>BERNARDEAU</t>
        </is>
      </c>
      <c r="K2850" t="inlineStr">
        <is>
          <t>METAL</t>
        </is>
      </c>
      <c r="L2850">
        <f>_xlfn.XLOOKUP(Tableau1[[#This Row],[TYPE DE PIECE]],Tableau4[MATIERE],Tableau4[SHORT TYPE],"",0,1)</f>
        <v/>
      </c>
      <c r="N2850">
        <f>IF(ISERR(FIND("DECOUPE",Tableau1[[#This Row],[DESIGNATION]])),"","NEED REF")</f>
        <v/>
      </c>
    </row>
    <row r="2851">
      <c r="B2851" t="n">
        <v>34411150</v>
      </c>
      <c r="C2851" s="2" t="n">
        <v>44851</v>
      </c>
      <c r="D2851" t="inlineStr">
        <is>
          <t>SPEC</t>
        </is>
      </c>
      <c r="E2851" t="inlineStr">
        <is>
          <t>SMT PLASTRON PLEIN</t>
        </is>
      </c>
      <c r="F2851" t="inlineStr">
        <is>
          <t>TOTAL</t>
        </is>
      </c>
      <c r="J2851" t="inlineStr">
        <is>
          <t>BERNARDEAU</t>
        </is>
      </c>
      <c r="K2851" t="inlineStr">
        <is>
          <t>METAL</t>
        </is>
      </c>
      <c r="L2851">
        <f>_xlfn.XLOOKUP(Tableau1[[#This Row],[TYPE DE PIECE]],Tableau4[MATIERE],Tableau4[SHORT TYPE],"",0,1)</f>
        <v/>
      </c>
      <c r="N2851">
        <f>IF(ISERR(FIND("DECOUPE",Tableau1[[#This Row],[DESIGNATION]])),"","NEED REF")</f>
        <v/>
      </c>
    </row>
    <row r="2852">
      <c r="B2852" t="n">
        <v>34411149</v>
      </c>
      <c r="C2852" s="2" t="n">
        <v>44851</v>
      </c>
      <c r="D2852" t="inlineStr">
        <is>
          <t>SPEC</t>
        </is>
      </c>
      <c r="E2852" t="inlineStr">
        <is>
          <t>SMT PLASTRON PLEIN</t>
        </is>
      </c>
      <c r="F2852" t="inlineStr">
        <is>
          <t>TOTAL</t>
        </is>
      </c>
      <c r="J2852" t="inlineStr">
        <is>
          <t>BERNARDEAU</t>
        </is>
      </c>
      <c r="K2852" t="inlineStr">
        <is>
          <t>METAL</t>
        </is>
      </c>
      <c r="L2852">
        <f>_xlfn.XLOOKUP(Tableau1[[#This Row],[TYPE DE PIECE]],Tableau4[MATIERE],Tableau4[SHORT TYPE],"",0,1)</f>
        <v/>
      </c>
      <c r="N2852">
        <f>IF(ISERR(FIND("DECOUPE",Tableau1[[#This Row],[DESIGNATION]])),"","NEED REF")</f>
        <v/>
      </c>
    </row>
    <row r="2853">
      <c r="B2853" t="n">
        <v>34411148</v>
      </c>
      <c r="C2853" s="2" t="n">
        <v>44851</v>
      </c>
      <c r="D2853" t="inlineStr">
        <is>
          <t>SPEC</t>
        </is>
      </c>
      <c r="E2853" t="inlineStr">
        <is>
          <t>SMT PLASTRON 4 NSX GUTTOR</t>
        </is>
      </c>
      <c r="F2853" t="inlineStr">
        <is>
          <t>TOTAL</t>
        </is>
      </c>
      <c r="J2853" t="inlineStr">
        <is>
          <t>BERNARDEAU</t>
        </is>
      </c>
      <c r="K2853" t="inlineStr">
        <is>
          <t>METAL</t>
        </is>
      </c>
      <c r="L2853">
        <f>_xlfn.XLOOKUP(Tableau1[[#This Row],[TYPE DE PIECE]],Tableau4[MATIERE],Tableau4[SHORT TYPE],"",0,1)</f>
        <v/>
      </c>
      <c r="N2853">
        <f>IF(ISERR(FIND("DECOUPE",Tableau1[[#This Row],[DESIGNATION]])),"","NEED REF")</f>
        <v/>
      </c>
    </row>
    <row r="2854">
      <c r="B2854" t="n">
        <v>34411147</v>
      </c>
      <c r="C2854" s="2" t="n">
        <v>44851</v>
      </c>
      <c r="D2854" t="inlineStr">
        <is>
          <t>SPEC</t>
        </is>
      </c>
      <c r="E2854" t="inlineStr">
        <is>
          <t>SMT PLASTRON 175 + DECOUPE DJ 2P</t>
        </is>
      </c>
      <c r="F2854" t="inlineStr">
        <is>
          <t>TOTAL</t>
        </is>
      </c>
      <c r="J2854" t="inlineStr">
        <is>
          <t>BERNARDEAU</t>
        </is>
      </c>
      <c r="K2854" t="inlineStr">
        <is>
          <t>METAL</t>
        </is>
      </c>
      <c r="L2854">
        <f>_xlfn.XLOOKUP(Tableau1[[#This Row],[TYPE DE PIECE]],Tableau4[MATIERE],Tableau4[SHORT TYPE],"",0,1)</f>
        <v/>
      </c>
      <c r="N2854">
        <f>IF(ISERR(FIND("DECOUPE",Tableau1[[#This Row],[DESIGNATION]])),"","NEED REF")</f>
        <v/>
      </c>
    </row>
    <row r="2855">
      <c r="B2855" t="n">
        <v>34411146</v>
      </c>
      <c r="C2855" s="2" t="n">
        <v>44851</v>
      </c>
      <c r="D2855" t="inlineStr">
        <is>
          <t>SPEC</t>
        </is>
      </c>
      <c r="E2855" t="inlineStr">
        <is>
          <t>SMT PLASTRON PLEIN</t>
        </is>
      </c>
      <c r="F2855" t="inlineStr">
        <is>
          <t>TOTAL</t>
        </is>
      </c>
      <c r="J2855" t="inlineStr">
        <is>
          <t>BERNARDEAU</t>
        </is>
      </c>
      <c r="K2855" t="inlineStr">
        <is>
          <t>METAL</t>
        </is>
      </c>
      <c r="L2855">
        <f>_xlfn.XLOOKUP(Tableau1[[#This Row],[TYPE DE PIECE]],Tableau4[MATIERE],Tableau4[SHORT TYPE],"",0,1)</f>
        <v/>
      </c>
      <c r="N2855">
        <f>IF(ISERR(FIND("DECOUPE",Tableau1[[#This Row],[DESIGNATION]])),"","NEED REF")</f>
        <v/>
      </c>
    </row>
    <row r="2856">
      <c r="B2856" t="n">
        <v>34411145</v>
      </c>
      <c r="C2856" s="2" t="n">
        <v>44850</v>
      </c>
      <c r="D2856" t="inlineStr">
        <is>
          <t>SPEC</t>
        </is>
      </c>
      <c r="E2856">
        <f>_xlfn.CONCAT(Tableau1[[#This Row],[SHORT TYPE]]," ",Tableau1[[#This Row],[NUMERO]]," ",Tableau1[[#This Row],[GAMME]]," ",Tableau1[[#This Row],[TYPE PRODUIT]]," ",Tableau1[[#This Row],[PUISSANCE]])</f>
        <v/>
      </c>
      <c r="G2856" t="inlineStr">
        <is>
          <t>GVM</t>
        </is>
      </c>
      <c r="H2856" t="inlineStr">
        <is>
          <t>BATTERY</t>
        </is>
      </c>
      <c r="I2856" t="inlineStr">
        <is>
          <t>160kVA</t>
        </is>
      </c>
      <c r="J2856" t="inlineStr">
        <is>
          <t>MATRION</t>
        </is>
      </c>
      <c r="K2856" t="inlineStr">
        <is>
          <t>METAL</t>
        </is>
      </c>
      <c r="L2856">
        <f>_xlfn.XLOOKUP(Tableau1[[#This Row],[TYPE DE PIECE]],Tableau4[MATIERE],Tableau4[SHORT TYPE],"",0,1)</f>
        <v/>
      </c>
      <c r="N2856">
        <f>IF(ISERR(FIND("DECOUPE",Tableau1[[#This Row],[DESIGNATION]])),"","NEED REF")</f>
        <v/>
      </c>
    </row>
    <row r="2857">
      <c r="B2857" t="n">
        <v>34411144</v>
      </c>
      <c r="C2857" s="2" t="n">
        <v>44850</v>
      </c>
      <c r="D2857" t="inlineStr">
        <is>
          <t>SPEC</t>
        </is>
      </c>
      <c r="E2857">
        <f>_xlfn.CONCAT(Tableau1[[#This Row],[SHORT TYPE]]," ",Tableau1[[#This Row],[NUMERO]]," ",Tableau1[[#This Row],[GAMME]]," ",Tableau1[[#This Row],[TYPE PRODUIT]]," ",Tableau1[[#This Row],[PUISSANCE]])</f>
        <v/>
      </c>
      <c r="G2857" t="inlineStr">
        <is>
          <t>GVM</t>
        </is>
      </c>
      <c r="H2857" t="inlineStr">
        <is>
          <t>BATTERY</t>
        </is>
      </c>
      <c r="I2857" t="inlineStr">
        <is>
          <t>160kVA</t>
        </is>
      </c>
      <c r="J2857" t="inlineStr">
        <is>
          <t>MATRION</t>
        </is>
      </c>
      <c r="K2857" t="inlineStr">
        <is>
          <t>METAL</t>
        </is>
      </c>
      <c r="L2857">
        <f>_xlfn.XLOOKUP(Tableau1[[#This Row],[TYPE DE PIECE]],Tableau4[MATIERE],Tableau4[SHORT TYPE],"",0,1)</f>
        <v/>
      </c>
      <c r="N2857">
        <f>IF(ISERR(FIND("DECOUPE",Tableau1[[#This Row],[DESIGNATION]])),"","NEED REF")</f>
        <v/>
      </c>
    </row>
    <row r="2858">
      <c r="B2858" t="n">
        <v>34411143</v>
      </c>
      <c r="C2858" s="2" t="n">
        <v>44848</v>
      </c>
      <c r="D2858" t="inlineStr">
        <is>
          <t>SPEC</t>
        </is>
      </c>
      <c r="E2858" t="inlineStr">
        <is>
          <t>SMT SUPPORT TFO BAS</t>
        </is>
      </c>
      <c r="F2858" t="inlineStr">
        <is>
          <t>TOTAL</t>
        </is>
      </c>
      <c r="J2858" t="inlineStr">
        <is>
          <t>BERNARDEAU</t>
        </is>
      </c>
      <c r="K2858" t="inlineStr">
        <is>
          <t>METAL</t>
        </is>
      </c>
      <c r="L2858">
        <f>_xlfn.XLOOKUP(Tableau1[[#This Row],[TYPE DE PIECE]],Tableau4[MATIERE],Tableau4[SHORT TYPE],"",0,1)</f>
        <v/>
      </c>
      <c r="N2858">
        <f>IF(ISERR(FIND("DECOUPE",Tableau1[[#This Row],[DESIGNATION]])),"","NEED REF")</f>
        <v/>
      </c>
    </row>
    <row r="2859">
      <c r="B2859" t="n">
        <v>34411142</v>
      </c>
      <c r="C2859" s="2" t="n">
        <v>44848</v>
      </c>
      <c r="D2859" t="inlineStr">
        <is>
          <t>SPEC</t>
        </is>
      </c>
      <c r="E2859">
        <f>_xlfn.CONCAT(Tableau1[[#This Row],[SHORT TYPE]]," ",Tableau1[[#This Row],[NUMERO]]," ",Tableau1[[#This Row],[GAMME]]," ",Tableau1[[#This Row],[TYPE PRODUIT]]," ",Tableau1[[#This Row],[PUISSANCE]])</f>
        <v/>
      </c>
      <c r="G2859" t="inlineStr">
        <is>
          <t>GVM</t>
        </is>
      </c>
      <c r="H2859" t="inlineStr">
        <is>
          <t>BATTERY</t>
        </is>
      </c>
      <c r="I2859" t="inlineStr">
        <is>
          <t>160kVA</t>
        </is>
      </c>
      <c r="J2859" t="inlineStr">
        <is>
          <t>MATRION</t>
        </is>
      </c>
      <c r="K2859" t="inlineStr">
        <is>
          <t>METAL</t>
        </is>
      </c>
      <c r="L2859">
        <f>_xlfn.XLOOKUP(Tableau1[[#This Row],[TYPE DE PIECE]],Tableau4[MATIERE],Tableau4[SHORT TYPE],"",0,1)</f>
        <v/>
      </c>
      <c r="N2859">
        <f>IF(ISERR(FIND("DECOUPE",Tableau1[[#This Row],[DESIGNATION]])),"","NEED REF")</f>
        <v/>
      </c>
    </row>
    <row r="2860">
      <c r="B2860" t="n">
        <v>34411141</v>
      </c>
      <c r="C2860" s="2" t="n">
        <v>44848</v>
      </c>
      <c r="D2860" t="inlineStr">
        <is>
          <t>SPEC</t>
        </is>
      </c>
      <c r="E2860">
        <f>_xlfn.CONCAT(Tableau1[[#This Row],[SHORT TYPE]]," ",Tableau1[[#This Row],[NUMERO]]," ",Tableau1[[#This Row],[GAMME]]," ",Tableau1[[#This Row],[TYPE PRODUIT]]," ",Tableau1[[#This Row],[PUISSANCE]])</f>
        <v/>
      </c>
      <c r="G2860" t="inlineStr">
        <is>
          <t>GVM</t>
        </is>
      </c>
      <c r="H2860" t="inlineStr">
        <is>
          <t>BATTERY</t>
        </is>
      </c>
      <c r="I2860" t="inlineStr">
        <is>
          <t>160kVA</t>
        </is>
      </c>
      <c r="J2860" t="inlineStr">
        <is>
          <t>MATRION</t>
        </is>
      </c>
      <c r="K2860" t="inlineStr">
        <is>
          <t>PLASTIQUE</t>
        </is>
      </c>
      <c r="L2860">
        <f>_xlfn.XLOOKUP(Tableau1[[#This Row],[TYPE DE PIECE]],Tableau4[MATIERE],Tableau4[SHORT TYPE],"",0,1)</f>
        <v/>
      </c>
      <c r="N2860">
        <f>IF(ISERR(FIND("DECOUPE",Tableau1[[#This Row],[DESIGNATION]])),"","NEED REF")</f>
        <v/>
      </c>
    </row>
    <row r="2861">
      <c r="B2861" t="n">
        <v>34411140</v>
      </c>
      <c r="C2861" s="2" t="n">
        <v>44848</v>
      </c>
      <c r="D2861" t="inlineStr">
        <is>
          <t>SPEC</t>
        </is>
      </c>
      <c r="E2861">
        <f>_xlfn.CONCAT(Tableau1[[#This Row],[SHORT TYPE]]," ",Tableau1[[#This Row],[NUMERO]]," ",Tableau1[[#This Row],[GAMME]]," ",Tableau1[[#This Row],[TYPE PRODUIT]]," ",Tableau1[[#This Row],[PUISSANCE]])</f>
        <v/>
      </c>
      <c r="G2861" t="inlineStr">
        <is>
          <t>GVM</t>
        </is>
      </c>
      <c r="H2861" t="inlineStr">
        <is>
          <t>BATTERY</t>
        </is>
      </c>
      <c r="I2861" t="inlineStr">
        <is>
          <t>160kVA</t>
        </is>
      </c>
      <c r="J2861" t="inlineStr">
        <is>
          <t>MATRION</t>
        </is>
      </c>
      <c r="K2861" t="inlineStr">
        <is>
          <t>CUIVRE</t>
        </is>
      </c>
      <c r="L2861">
        <f>_xlfn.XLOOKUP(Tableau1[[#This Row],[TYPE DE PIECE]],Tableau4[MATIERE],Tableau4[SHORT TYPE],"",0,1)</f>
        <v/>
      </c>
      <c r="N2861">
        <f>IF(ISERR(FIND("DECOUPE",Tableau1[[#This Row],[DESIGNATION]])),"","NEED REF")</f>
        <v/>
      </c>
    </row>
    <row r="2862">
      <c r="B2862" t="n">
        <v>34411139</v>
      </c>
      <c r="C2862" s="2" t="n">
        <v>44848</v>
      </c>
      <c r="D2862" t="inlineStr">
        <is>
          <t>SPEC</t>
        </is>
      </c>
      <c r="E2862">
        <f>_xlfn.CONCAT(Tableau1[[#This Row],[SHORT TYPE]]," ",Tableau1[[#This Row],[NUMERO]]," ",Tableau1[[#This Row],[GAMME]]," ",Tableau1[[#This Row],[TYPE PRODUIT]]," ",Tableau1[[#This Row],[PUISSANCE]])</f>
        <v/>
      </c>
      <c r="G2862" t="inlineStr">
        <is>
          <t>GVM</t>
        </is>
      </c>
      <c r="H2862" t="inlineStr">
        <is>
          <t>BATTERY</t>
        </is>
      </c>
      <c r="I2862" t="inlineStr">
        <is>
          <t>160kVA</t>
        </is>
      </c>
      <c r="J2862" t="inlineStr">
        <is>
          <t>MATRION</t>
        </is>
      </c>
      <c r="K2862" t="inlineStr">
        <is>
          <t>METAL</t>
        </is>
      </c>
      <c r="L2862">
        <f>_xlfn.XLOOKUP(Tableau1[[#This Row],[TYPE DE PIECE]],Tableau4[MATIERE],Tableau4[SHORT TYPE],"",0,1)</f>
        <v/>
      </c>
      <c r="N2862">
        <f>IF(ISERR(FIND("DECOUPE",Tableau1[[#This Row],[DESIGNATION]])),"","NEED REF")</f>
        <v/>
      </c>
    </row>
    <row r="2863">
      <c r="B2863" t="n">
        <v>34411138</v>
      </c>
      <c r="C2863" s="2" t="n">
        <v>44848</v>
      </c>
      <c r="D2863" t="inlineStr">
        <is>
          <t>SPEC</t>
        </is>
      </c>
      <c r="E2863">
        <f>_xlfn.CONCAT(Tableau1[[#This Row],[SHORT TYPE]]," ",Tableau1[[#This Row],[NUMERO]]," ",Tableau1[[#This Row],[GAMME]]," ",Tableau1[[#This Row],[TYPE PRODUIT]]," ",Tableau1[[#This Row],[PUISSANCE]])</f>
        <v/>
      </c>
      <c r="G2863" t="inlineStr">
        <is>
          <t>GVM</t>
        </is>
      </c>
      <c r="H2863" t="inlineStr">
        <is>
          <t>BATTERY</t>
        </is>
      </c>
      <c r="I2863" t="inlineStr">
        <is>
          <t>160kVA</t>
        </is>
      </c>
      <c r="J2863" t="inlineStr">
        <is>
          <t>MATRION</t>
        </is>
      </c>
      <c r="K2863" t="inlineStr">
        <is>
          <t>METAL</t>
        </is>
      </c>
      <c r="L2863">
        <f>_xlfn.XLOOKUP(Tableau1[[#This Row],[TYPE DE PIECE]],Tableau4[MATIERE],Tableau4[SHORT TYPE],"",0,1)</f>
        <v/>
      </c>
      <c r="N2863">
        <f>IF(ISERR(FIND("DECOUPE",Tableau1[[#This Row],[DESIGNATION]])),"","NEED REF")</f>
        <v/>
      </c>
    </row>
    <row r="2864">
      <c r="B2864" t="n">
        <v>34411137</v>
      </c>
      <c r="C2864" s="2" t="n">
        <v>44848</v>
      </c>
      <c r="D2864" t="inlineStr">
        <is>
          <t>SPEC</t>
        </is>
      </c>
      <c r="E2864">
        <f>_xlfn.CONCAT(Tableau1[[#This Row],[SHORT TYPE]]," ",Tableau1[[#This Row],[NUMERO]]," ",Tableau1[[#This Row],[GAMME]]," ",Tableau1[[#This Row],[TYPE PRODUIT]]," ",Tableau1[[#This Row],[PUISSANCE]])</f>
        <v/>
      </c>
      <c r="G2864" t="inlineStr">
        <is>
          <t>GVM</t>
        </is>
      </c>
      <c r="H2864" t="inlineStr">
        <is>
          <t>BATTERY</t>
        </is>
      </c>
      <c r="I2864" t="inlineStr">
        <is>
          <t>160kVA</t>
        </is>
      </c>
      <c r="J2864" t="inlineStr">
        <is>
          <t>MATRION</t>
        </is>
      </c>
      <c r="K2864" t="inlineStr">
        <is>
          <t>METAL</t>
        </is>
      </c>
      <c r="L2864">
        <f>_xlfn.XLOOKUP(Tableau1[[#This Row],[TYPE DE PIECE]],Tableau4[MATIERE],Tableau4[SHORT TYPE],"",0,1)</f>
        <v/>
      </c>
      <c r="N2864">
        <f>IF(ISERR(FIND("DECOUPE",Tableau1[[#This Row],[DESIGNATION]])),"","NEED REF")</f>
        <v/>
      </c>
    </row>
    <row r="2865">
      <c r="B2865" t="n">
        <v>34411136</v>
      </c>
      <c r="C2865" s="2" t="n">
        <v>44848</v>
      </c>
      <c r="D2865" t="inlineStr">
        <is>
          <t>SPEC</t>
        </is>
      </c>
      <c r="E2865" t="inlineStr">
        <is>
          <t>SMT 34411136 ANGLE BIRDY ALEGE GVEAC5</t>
        </is>
      </c>
      <c r="J2865" t="inlineStr">
        <is>
          <t>MATRION</t>
        </is>
      </c>
      <c r="K2865" t="inlineStr">
        <is>
          <t>METAL</t>
        </is>
      </c>
      <c r="L2865">
        <f>_xlfn.XLOOKUP(Tableau1[[#This Row],[TYPE DE PIECE]],Tableau4[MATIERE],Tableau4[SHORT TYPE],"",0,1)</f>
        <v/>
      </c>
      <c r="M2865" t="inlineStr">
        <is>
          <t>BIRDY</t>
        </is>
      </c>
      <c r="N2865">
        <f>IF(ISERR(FIND("DECOUPE",Tableau1[[#This Row],[DESIGNATION]])),"","NEED REF")</f>
        <v/>
      </c>
    </row>
    <row r="2866">
      <c r="B2866" t="n">
        <v>34411135</v>
      </c>
      <c r="C2866" s="2" t="n">
        <v>44848</v>
      </c>
      <c r="D2866" t="inlineStr">
        <is>
          <t>SPEC</t>
        </is>
      </c>
      <c r="E2866" t="inlineStr">
        <is>
          <t>SMT 34411135 ANGLE BIRDY ALEGE</t>
        </is>
      </c>
      <c r="J2866" t="inlineStr">
        <is>
          <t>MATRION</t>
        </is>
      </c>
      <c r="K2866" t="inlineStr">
        <is>
          <t>METAL</t>
        </is>
      </c>
      <c r="L2866">
        <f>_xlfn.XLOOKUP(Tableau1[[#This Row],[TYPE DE PIECE]],Tableau4[MATIERE],Tableau4[SHORT TYPE],"",0,1)</f>
        <v/>
      </c>
      <c r="M2866" t="inlineStr">
        <is>
          <t>BIRDY</t>
        </is>
      </c>
      <c r="N2866">
        <f>IF(ISERR(FIND("DECOUPE",Tableau1[[#This Row],[DESIGNATION]])),"","NEED REF")</f>
        <v/>
      </c>
    </row>
    <row r="2867">
      <c r="B2867" t="n">
        <v>34411134</v>
      </c>
      <c r="C2867" s="2" t="n">
        <v>44846</v>
      </c>
      <c r="D2867" t="inlineStr">
        <is>
          <t>SPEC</t>
        </is>
      </c>
      <c r="E2867" t="inlineStr">
        <is>
          <t>SIDE COVER GVS PAINTED RAL7035</t>
        </is>
      </c>
      <c r="F2867" t="inlineStr">
        <is>
          <t>CHANTIERS DE L ATLANTIQUE</t>
        </is>
      </c>
      <c r="G2867" t="inlineStr">
        <is>
          <t>GVS</t>
        </is>
      </c>
      <c r="J2867" t="inlineStr">
        <is>
          <t>BERNARDEAU</t>
        </is>
      </c>
      <c r="K2867" t="inlineStr">
        <is>
          <t>PEINTURE</t>
        </is>
      </c>
      <c r="L2867">
        <f>_xlfn.XLOOKUP(Tableau1[[#This Row],[TYPE DE PIECE]],Tableau4[MATIERE],Tableau4[SHORT TYPE],"",0,1)</f>
        <v/>
      </c>
      <c r="N2867">
        <f>IF(ISERR(FIND("DECOUPE",Tableau1[[#This Row],[DESIGNATION]])),"","NEED REF")</f>
        <v/>
      </c>
    </row>
    <row r="2868">
      <c r="B2868" t="n">
        <v>34411133</v>
      </c>
      <c r="C2868" s="2" t="n">
        <v>44846</v>
      </c>
      <c r="D2868" t="inlineStr">
        <is>
          <t>SPEC</t>
        </is>
      </c>
      <c r="E2868">
        <f>_xlfn.CONCAT(Tableau1[[#This Row],[SHORT TYPE]]," ",Tableau1[[#This Row],[NUMERO]]," ",Tableau1[[#This Row],[GAMME]]," ",Tableau1[[#This Row],[TYPE PRODUIT]]," ",Tableau1[[#This Row],[PUISSANCE]])</f>
        <v/>
      </c>
      <c r="F2868" t="inlineStr">
        <is>
          <t>DIGITAL LES ULIS HOLDING France</t>
        </is>
      </c>
      <c r="G2868" t="inlineStr">
        <is>
          <t>GVX</t>
        </is>
      </c>
      <c r="H2868" t="inlineStr">
        <is>
          <t>IO</t>
        </is>
      </c>
      <c r="I2868" t="n">
        <v>11100</v>
      </c>
      <c r="J2868" t="inlineStr">
        <is>
          <t>JAWORSKI</t>
        </is>
      </c>
      <c r="K2868" t="inlineStr">
        <is>
          <t>FILERIE</t>
        </is>
      </c>
      <c r="L2868">
        <f>_xlfn.XLOOKUP(Tableau1[[#This Row],[TYPE DE PIECE]],Tableau4[MATIERE],Tableau4[SHORT TYPE],"",0,1)</f>
        <v/>
      </c>
      <c r="N2868">
        <f>IF(ISERR(FIND("DECOUPE",Tableau1[[#This Row],[DESIGNATION]])),"","NEED REF")</f>
        <v/>
      </c>
    </row>
    <row r="2869">
      <c r="B2869" t="n">
        <v>34411132</v>
      </c>
      <c r="C2869" s="2" t="n">
        <v>44845</v>
      </c>
      <c r="D2869" t="inlineStr">
        <is>
          <t>SPEC</t>
        </is>
      </c>
      <c r="E2869" t="inlineStr">
        <is>
          <t>FILERIE KIT AUX</t>
        </is>
      </c>
      <c r="G2869" t="inlineStr">
        <is>
          <t>E3S</t>
        </is>
      </c>
      <c r="H2869" t="inlineStr">
        <is>
          <t>AUX</t>
        </is>
      </c>
      <c r="J2869" t="inlineStr">
        <is>
          <t>BERNARDEAU</t>
        </is>
      </c>
      <c r="K2869" t="inlineStr">
        <is>
          <t>FILERIE</t>
        </is>
      </c>
      <c r="L2869">
        <f>_xlfn.XLOOKUP(Tableau1[[#This Row],[TYPE DE PIECE]],Tableau4[MATIERE],Tableau4[SHORT TYPE],"",0,1)</f>
        <v/>
      </c>
      <c r="N2869">
        <f>IF(ISERR(FIND("DECOUPE",Tableau1[[#This Row],[DESIGNATION]])),"","NEED REF")</f>
        <v/>
      </c>
    </row>
    <row r="2870">
      <c r="B2870" t="n">
        <v>34411131</v>
      </c>
      <c r="C2870" s="2" t="n">
        <v>44845</v>
      </c>
      <c r="D2870" t="inlineStr">
        <is>
          <t>SPEC</t>
        </is>
      </c>
      <c r="E2870">
        <f>_xlfn.CONCAT(Tableau1[[#This Row],[SHORT TYPE]]," ",Tableau1[[#This Row],[NUMERO]]," ",Tableau1[[#This Row],[GAMME]]," ",Tableau1[[#This Row],[TYPE PRODUIT]]," ",Tableau1[[#This Row],[PUISSANCE]])</f>
        <v/>
      </c>
      <c r="F2870" t="inlineStr">
        <is>
          <t>DIGITAL LES ULIS HOLDING France</t>
        </is>
      </c>
      <c r="G2870" t="inlineStr">
        <is>
          <t>GVX</t>
        </is>
      </c>
      <c r="H2870" t="inlineStr">
        <is>
          <t>IO</t>
        </is>
      </c>
      <c r="I2870" t="n">
        <v>11100</v>
      </c>
      <c r="J2870" t="inlineStr">
        <is>
          <t>JAWORSKI</t>
        </is>
      </c>
      <c r="K2870" t="inlineStr">
        <is>
          <t>CUIVRE</t>
        </is>
      </c>
      <c r="L2870">
        <f>_xlfn.XLOOKUP(Tableau1[[#This Row],[TYPE DE PIECE]],Tableau4[MATIERE],Tableau4[SHORT TYPE],"",0,1)</f>
        <v/>
      </c>
      <c r="N2870">
        <f>IF(ISERR(FIND("DECOUPE",Tableau1[[#This Row],[DESIGNATION]])),"","NEED REF")</f>
        <v/>
      </c>
    </row>
    <row r="2871">
      <c r="B2871" t="n">
        <v>34411130</v>
      </c>
      <c r="C2871" s="2" t="n">
        <v>44840</v>
      </c>
      <c r="D2871" t="inlineStr">
        <is>
          <t>SPEC</t>
        </is>
      </c>
      <c r="E2871" t="inlineStr">
        <is>
          <t>SMT PLASTRON REGEN BOX 50A</t>
        </is>
      </c>
      <c r="F2871" t="inlineStr">
        <is>
          <t xml:space="preserve">REGEN BOX 50A </t>
        </is>
      </c>
      <c r="G2871" t="inlineStr">
        <is>
          <t>E3S</t>
        </is>
      </c>
      <c r="H2871" t="inlineStr">
        <is>
          <t>REGEN</t>
        </is>
      </c>
      <c r="I2871" t="inlineStr">
        <is>
          <t>20KW</t>
        </is>
      </c>
      <c r="J2871" t="inlineStr">
        <is>
          <t>JAWORSKI</t>
        </is>
      </c>
      <c r="K2871" t="inlineStr">
        <is>
          <t>METAL</t>
        </is>
      </c>
      <c r="L2871">
        <f>_xlfn.XLOOKUP(Tableau1[[#This Row],[TYPE DE PIECE]],Tableau4[MATIERE],Tableau4[SHORT TYPE],"",0,1)</f>
        <v/>
      </c>
      <c r="N2871">
        <f>IF(ISERR(FIND("DECOUPE",Tableau1[[#This Row],[DESIGNATION]])),"","NEED REF")</f>
        <v/>
      </c>
    </row>
    <row r="2872">
      <c r="B2872" t="n">
        <v>34411129</v>
      </c>
      <c r="C2872" s="2" t="n">
        <v>44840</v>
      </c>
      <c r="D2872" t="inlineStr">
        <is>
          <t>SPEC</t>
        </is>
      </c>
      <c r="E2872" t="inlineStr">
        <is>
          <t>Planche étiquettes Coffret BackFeed</t>
        </is>
      </c>
      <c r="F2872" t="inlineStr">
        <is>
          <t>Coffret BF</t>
        </is>
      </c>
      <c r="J2872" t="inlineStr">
        <is>
          <t>MONGELLI</t>
        </is>
      </c>
      <c r="K2872" t="inlineStr">
        <is>
          <t>CANEVAS</t>
        </is>
      </c>
      <c r="L2872">
        <f>_xlfn.XLOOKUP(Tableau1[[#This Row],[TYPE DE PIECE]],Tableau4[MATIERE],Tableau4[SHORT TYPE],"",0,1)</f>
        <v/>
      </c>
      <c r="M2872" t="inlineStr">
        <is>
          <t>ETIQUETTES</t>
        </is>
      </c>
      <c r="N2872">
        <f>IF(ISERR(FIND("DECOUPE",Tableau1[[#This Row],[DESIGNATION]])),"","NEED REF")</f>
        <v/>
      </c>
    </row>
    <row r="2873">
      <c r="B2873" t="n">
        <v>34411128</v>
      </c>
      <c r="C2873" s="2" t="n">
        <v>44839</v>
      </c>
      <c r="D2873" t="inlineStr">
        <is>
          <t>SPEC</t>
        </is>
      </c>
      <c r="E2873">
        <f>_xlfn.CONCAT(Tableau1[[#This Row],[SHORT TYPE]]," ",Tableau1[[#This Row],[NUMERO]]," ",Tableau1[[#This Row],[GAMME]]," ",Tableau1[[#This Row],[TYPE PRODUIT]]," ",Tableau1[[#This Row],[PUISSANCE]])</f>
        <v/>
      </c>
      <c r="G2873" t="inlineStr">
        <is>
          <t>TEST FIXATION ELINGUE</t>
        </is>
      </c>
      <c r="J2873" t="inlineStr">
        <is>
          <t>MATRION</t>
        </is>
      </c>
      <c r="K2873" t="inlineStr">
        <is>
          <t>METAL</t>
        </is>
      </c>
      <c r="L2873">
        <f>_xlfn.XLOOKUP(Tableau1[[#This Row],[TYPE DE PIECE]],Tableau4[MATIERE],Tableau4[SHORT TYPE],"",0,1)</f>
        <v/>
      </c>
      <c r="N2873">
        <f>IF(ISERR(FIND("DECOUPE",Tableau1[[#This Row],[DESIGNATION]])),"","NEED REF")</f>
        <v/>
      </c>
    </row>
    <row r="2874">
      <c r="B2874" t="n">
        <v>34411127</v>
      </c>
      <c r="C2874" s="2" t="n">
        <v>44839</v>
      </c>
      <c r="D2874" t="inlineStr">
        <is>
          <t>SPEC</t>
        </is>
      </c>
      <c r="E2874">
        <f>_xlfn.CONCAT(Tableau1[[#This Row],[SHORT TYPE]]," ",Tableau1[[#This Row],[NUMERO]]," ",Tableau1[[#This Row],[GAMME]]," ",Tableau1[[#This Row],[TYPE PRODUIT]]," ",Tableau1[[#This Row],[PUISSANCE]])</f>
        <v/>
      </c>
      <c r="G2874" t="inlineStr">
        <is>
          <t>TEST SOCLE POUR PIED BIRDY</t>
        </is>
      </c>
      <c r="J2874" t="inlineStr">
        <is>
          <t>MATRION</t>
        </is>
      </c>
      <c r="K2874" t="inlineStr">
        <is>
          <t>METAL</t>
        </is>
      </c>
      <c r="L2874">
        <f>_xlfn.XLOOKUP(Tableau1[[#This Row],[TYPE DE PIECE]],Tableau4[MATIERE],Tableau4[SHORT TYPE],"",0,1)</f>
        <v/>
      </c>
      <c r="N2874">
        <f>IF(ISERR(FIND("DECOUPE",Tableau1[[#This Row],[DESIGNATION]])),"","NEED REF")</f>
        <v/>
      </c>
    </row>
    <row r="2875">
      <c r="B2875" t="n">
        <v>34411126</v>
      </c>
      <c r="C2875" s="2" t="n">
        <v>44838</v>
      </c>
      <c r="D2875" t="inlineStr">
        <is>
          <t>SPEC</t>
        </is>
      </c>
      <c r="E2875" t="inlineStr">
        <is>
          <t>SE 34411126 CB MTZ1 H3 u5,0 FIXE 800A 4P</t>
        </is>
      </c>
      <c r="J2875" t="inlineStr">
        <is>
          <t>MATRION</t>
        </is>
      </c>
      <c r="K2875" t="inlineStr">
        <is>
          <t>SCHNEIDER</t>
        </is>
      </c>
      <c r="L2875">
        <f>_xlfn.XLOOKUP(Tableau1[[#This Row],[TYPE DE PIECE]],Tableau4[MATIERE],Tableau4[SHORT TYPE],"",0,1)</f>
        <v/>
      </c>
      <c r="N2875">
        <f>IF(ISERR(FIND("DECOUPE",Tableau1[[#This Row],[DESIGNATION]])),"","NEED REF")</f>
        <v/>
      </c>
    </row>
    <row r="2876">
      <c r="B2876" t="n">
        <v>34411125</v>
      </c>
      <c r="C2876" s="2" t="n">
        <v>44838</v>
      </c>
      <c r="D2876" t="inlineStr">
        <is>
          <t>SPEC</t>
        </is>
      </c>
      <c r="E2876" t="inlineStr">
        <is>
          <t>SE 34411125 MBB MTZ1  HA DEBRO 1600A 4P</t>
        </is>
      </c>
      <c r="J2876" t="inlineStr">
        <is>
          <t>MATRION</t>
        </is>
      </c>
      <c r="K2876" t="inlineStr">
        <is>
          <t>SCHNEIDER</t>
        </is>
      </c>
      <c r="L2876">
        <f>_xlfn.XLOOKUP(Tableau1[[#This Row],[TYPE DE PIECE]],Tableau4[MATIERE],Tableau4[SHORT TYPE],"",0,1)</f>
        <v/>
      </c>
      <c r="N2876">
        <f>IF(ISERR(FIND("DECOUPE",Tableau1[[#This Row],[DESIGNATION]])),"","NEED REF")</f>
        <v/>
      </c>
    </row>
    <row r="2877">
      <c r="B2877" t="n">
        <v>34411124</v>
      </c>
      <c r="C2877" s="2" t="n">
        <v>44838</v>
      </c>
      <c r="D2877" t="inlineStr">
        <is>
          <t>SPEC</t>
        </is>
      </c>
      <c r="E2877" t="inlineStr">
        <is>
          <t>SE 34411124 UIB/UOB MTZ1  HA DEBRO 1600A 4P</t>
        </is>
      </c>
      <c r="J2877" t="inlineStr">
        <is>
          <t>MATRION</t>
        </is>
      </c>
      <c r="K2877" t="inlineStr">
        <is>
          <t>SCHNEIDER</t>
        </is>
      </c>
      <c r="L2877">
        <f>_xlfn.XLOOKUP(Tableau1[[#This Row],[TYPE DE PIECE]],Tableau4[MATIERE],Tableau4[SHORT TYPE],"",0,1)</f>
        <v/>
      </c>
      <c r="N2877">
        <f>IF(ISERR(FIND("DECOUPE",Tableau1[[#This Row],[DESIGNATION]])),"","NEED REF")</f>
        <v/>
      </c>
    </row>
    <row r="2878">
      <c r="B2878" t="n">
        <v>34411123</v>
      </c>
      <c r="C2878" s="2" t="n">
        <v>44838</v>
      </c>
      <c r="D2878" t="inlineStr">
        <is>
          <t>SPEC</t>
        </is>
      </c>
      <c r="E2878" t="inlineStr">
        <is>
          <t>SMT 34411123 CORNIERE ACIER ELINGUAGE CELLULE 700</t>
        </is>
      </c>
      <c r="F2878" t="inlineStr">
        <is>
          <t>DATA4 DC07</t>
        </is>
      </c>
      <c r="G2878" t="inlineStr">
        <is>
          <t>GVL</t>
        </is>
      </c>
      <c r="H2878" t="inlineStr">
        <is>
          <t>BYPASS</t>
        </is>
      </c>
      <c r="J2878" t="inlineStr">
        <is>
          <t>MATRION</t>
        </is>
      </c>
      <c r="K2878" t="inlineStr">
        <is>
          <t>METAL</t>
        </is>
      </c>
      <c r="L2878">
        <f>_xlfn.XLOOKUP(Tableau1[[#This Row],[TYPE DE PIECE]],Tableau4[MATIERE],Tableau4[SHORT TYPE],"",0,1)</f>
        <v/>
      </c>
      <c r="N2878">
        <f>IF(ISERR(FIND("DECOUPE",Tableau1[[#This Row],[DESIGNATION]])),"","NEED REF")</f>
        <v/>
      </c>
    </row>
    <row r="2879">
      <c r="B2879" t="n">
        <v>34411122</v>
      </c>
      <c r="C2879" s="2" t="n">
        <v>44838</v>
      </c>
      <c r="D2879" t="inlineStr">
        <is>
          <t>SPEC</t>
        </is>
      </c>
      <c r="E2879" t="inlineStr">
        <is>
          <t xml:space="preserve">SMT 34411122 CORNIERE ACIER ELINGUAGE CELLULE 1000  </t>
        </is>
      </c>
      <c r="F2879" t="inlineStr">
        <is>
          <t>DATA4 DC07</t>
        </is>
      </c>
      <c r="G2879" t="inlineStr">
        <is>
          <t>GVL</t>
        </is>
      </c>
      <c r="H2879" t="inlineStr">
        <is>
          <t>BYPASS</t>
        </is>
      </c>
      <c r="J2879" t="inlineStr">
        <is>
          <t>MATRION</t>
        </is>
      </c>
      <c r="K2879" t="inlineStr">
        <is>
          <t>METAL</t>
        </is>
      </c>
      <c r="L2879">
        <f>_xlfn.XLOOKUP(Tableau1[[#This Row],[TYPE DE PIECE]],Tableau4[MATIERE],Tableau4[SHORT TYPE],"",0,1)</f>
        <v/>
      </c>
      <c r="N2879">
        <f>IF(ISERR(FIND("DECOUPE",Tableau1[[#This Row],[DESIGNATION]])),"","NEED REF")</f>
        <v/>
      </c>
    </row>
    <row r="2880">
      <c r="B2880" t="n">
        <v>34411121</v>
      </c>
      <c r="C2880" s="2" t="n">
        <v>44837</v>
      </c>
      <c r="D2880" t="inlineStr">
        <is>
          <t>SPEC</t>
        </is>
      </c>
      <c r="E2880" t="inlineStr">
        <is>
          <t>SMT 34411121 CORNIERE ACIER FIX CELLULE 700</t>
        </is>
      </c>
      <c r="G2880" t="inlineStr">
        <is>
          <t>TOUTES</t>
        </is>
      </c>
      <c r="H2880" t="inlineStr">
        <is>
          <t>AUX</t>
        </is>
      </c>
      <c r="J2880" t="inlineStr">
        <is>
          <t>MATRION</t>
        </is>
      </c>
      <c r="K2880" t="inlineStr">
        <is>
          <t>METAL</t>
        </is>
      </c>
      <c r="L2880">
        <f>_xlfn.XLOOKUP(Tableau1[[#This Row],[TYPE DE PIECE]],Tableau4[MATIERE],Tableau4[SHORT TYPE],"",0,1)</f>
        <v/>
      </c>
      <c r="N2880">
        <f>IF(ISERR(FIND("DECOUPE",Tableau1[[#This Row],[DESIGNATION]])),"","NEED REF")</f>
        <v/>
      </c>
    </row>
    <row r="2881">
      <c r="B2881" t="n">
        <v>34411120</v>
      </c>
      <c r="C2881" s="2" t="n">
        <v>44837</v>
      </c>
      <c r="D2881" t="inlineStr">
        <is>
          <t>SPEC</t>
        </is>
      </c>
      <c r="E2881" t="inlineStr">
        <is>
          <t xml:space="preserve">SMT 34411120 CORNIERE ACIER FIX CELLULE 1000  </t>
        </is>
      </c>
      <c r="G2881" t="inlineStr">
        <is>
          <t>TOUTES</t>
        </is>
      </c>
      <c r="H2881" t="inlineStr">
        <is>
          <t>AUX</t>
        </is>
      </c>
      <c r="J2881" t="inlineStr">
        <is>
          <t>MATRION</t>
        </is>
      </c>
      <c r="K2881" t="inlineStr">
        <is>
          <t>METAL</t>
        </is>
      </c>
      <c r="L2881">
        <f>_xlfn.XLOOKUP(Tableau1[[#This Row],[TYPE DE PIECE]],Tableau4[MATIERE],Tableau4[SHORT TYPE],"",0,1)</f>
        <v/>
      </c>
      <c r="N2881">
        <f>IF(ISERR(FIND("DECOUPE",Tableau1[[#This Row],[DESIGNATION]])),"","NEED REF")</f>
        <v/>
      </c>
    </row>
    <row r="2882">
      <c r="B2882" t="n">
        <v>34411119</v>
      </c>
      <c r="C2882" s="2" t="n">
        <v>44837</v>
      </c>
      <c r="D2882" t="inlineStr">
        <is>
          <t>SPEC</t>
        </is>
      </c>
      <c r="E2882" t="inlineStr">
        <is>
          <t>WOOD 34411119  PALETTE CELLULE 1000x1000 PLANCHER CROISE</t>
        </is>
      </c>
      <c r="G2882" t="inlineStr">
        <is>
          <t>TOUTES</t>
        </is>
      </c>
      <c r="H2882" t="inlineStr">
        <is>
          <t>AUX</t>
        </is>
      </c>
      <c r="J2882" t="inlineStr">
        <is>
          <t>MATRION</t>
        </is>
      </c>
      <c r="K2882" t="inlineStr">
        <is>
          <t>BOIS</t>
        </is>
      </c>
      <c r="L2882">
        <f>_xlfn.XLOOKUP(Tableau1[[#This Row],[TYPE DE PIECE]],Tableau4[MATIERE],Tableau4[SHORT TYPE],"",0,1)</f>
        <v/>
      </c>
      <c r="N2882">
        <f>IF(ISERR(FIND("DECOUPE",Tableau1[[#This Row],[DESIGNATION]])),"","NEED REF")</f>
        <v/>
      </c>
    </row>
    <row r="2883">
      <c r="B2883" t="n">
        <v>34411118</v>
      </c>
      <c r="C2883" s="2" t="n">
        <v>44837</v>
      </c>
      <c r="D2883" t="inlineStr">
        <is>
          <t>SPEC</t>
        </is>
      </c>
      <c r="E2883">
        <f>_xlfn.CONCAT(Tableau1[[#This Row],[SHORT TYPE]]," ",Tableau1[[#This Row],[NUMERO]]," ",Tableau1[[#This Row],[GAMME]]," ",Tableau1[[#This Row],[TYPE PRODUIT]]," ",Tableau1[[#This Row],[PUISSANCE]])</f>
        <v/>
      </c>
      <c r="F2883" t="inlineStr">
        <is>
          <t>MARINE</t>
        </is>
      </c>
      <c r="G2883" t="inlineStr">
        <is>
          <t>GVS</t>
        </is>
      </c>
      <c r="H2883" t="inlineStr">
        <is>
          <t>BATTERY</t>
        </is>
      </c>
      <c r="I2883" t="inlineStr">
        <is>
          <t>20-80KW</t>
        </is>
      </c>
      <c r="J2883" t="inlineStr">
        <is>
          <t>JAWORSKI</t>
        </is>
      </c>
      <c r="K2883" t="inlineStr">
        <is>
          <t>METAL</t>
        </is>
      </c>
      <c r="L2883">
        <f>_xlfn.XLOOKUP(Tableau1[[#This Row],[TYPE DE PIECE]],Tableau4[MATIERE],Tableau4[SHORT TYPE],"",0,1)</f>
        <v/>
      </c>
      <c r="N2883">
        <f>IF(ISERR(FIND("DECOUPE",Tableau1[[#This Row],[DESIGNATION]])),"","NEED REF")</f>
        <v/>
      </c>
    </row>
    <row r="2884">
      <c r="B2884" t="n">
        <v>34411117</v>
      </c>
      <c r="C2884" s="2" t="n">
        <v>44837</v>
      </c>
      <c r="D2884" t="inlineStr">
        <is>
          <t>SPEC</t>
        </is>
      </c>
      <c r="E2884" t="inlineStr">
        <is>
          <t>WOOD 34411117  PALETTE CELLULE 1700x1000 PLANCHER CROISE</t>
        </is>
      </c>
      <c r="G2884" t="inlineStr">
        <is>
          <t>TOUTES</t>
        </is>
      </c>
      <c r="H2884" t="inlineStr">
        <is>
          <t>AUX</t>
        </is>
      </c>
      <c r="J2884" t="inlineStr">
        <is>
          <t>MATRION</t>
        </is>
      </c>
      <c r="K2884" t="inlineStr">
        <is>
          <t>BOIS</t>
        </is>
      </c>
      <c r="L2884">
        <f>_xlfn.XLOOKUP(Tableau1[[#This Row],[TYPE DE PIECE]],Tableau4[MATIERE],Tableau4[SHORT TYPE],"",0,1)</f>
        <v/>
      </c>
      <c r="N2884">
        <f>IF(ISERR(FIND("DECOUPE",Tableau1[[#This Row],[DESIGNATION]])),"","NEED REF")</f>
        <v/>
      </c>
    </row>
    <row r="2885">
      <c r="B2885" t="n">
        <v>34411116</v>
      </c>
      <c r="C2885" s="2" t="n">
        <v>44837</v>
      </c>
      <c r="D2885" t="inlineStr">
        <is>
          <t>SPEC</t>
        </is>
      </c>
      <c r="E2885">
        <f>_xlfn.CONCAT(Tableau1[[#This Row],[SHORT TYPE]]," ",Tableau1[[#This Row],[NUMERO]]," ",Tableau1[[#This Row],[GAMME]]," ",Tableau1[[#This Row],[TYPE PRODUIT]]," ",Tableau1[[#This Row],[PUISSANCE]])</f>
        <v/>
      </c>
      <c r="F2885" t="inlineStr">
        <is>
          <t>MARINE</t>
        </is>
      </c>
      <c r="G2885" t="inlineStr">
        <is>
          <t>GVS</t>
        </is>
      </c>
      <c r="H2885" t="inlineStr">
        <is>
          <t>BATTERY</t>
        </is>
      </c>
      <c r="I2885" t="inlineStr">
        <is>
          <t>20-80KW</t>
        </is>
      </c>
      <c r="J2885" t="inlineStr">
        <is>
          <t>JAWORSKI</t>
        </is>
      </c>
      <c r="K2885" t="inlineStr">
        <is>
          <t>PLASTIQUE</t>
        </is>
      </c>
      <c r="L2885">
        <f>_xlfn.XLOOKUP(Tableau1[[#This Row],[TYPE DE PIECE]],Tableau4[MATIERE],Tableau4[SHORT TYPE],"",0,1)</f>
        <v/>
      </c>
      <c r="N2885">
        <f>IF(ISERR(FIND("DECOUPE",Tableau1[[#This Row],[DESIGNATION]])),"","NEED REF")</f>
        <v/>
      </c>
    </row>
    <row r="2886">
      <c r="B2886" t="n">
        <v>34411115</v>
      </c>
      <c r="C2886" s="2" t="n">
        <v>44837</v>
      </c>
      <c r="D2886" t="inlineStr">
        <is>
          <t>SPEC</t>
        </is>
      </c>
      <c r="E2886" t="inlineStr">
        <is>
          <t xml:space="preserve">COP 34411115 CALE IQ GVL BYPASS </t>
        </is>
      </c>
      <c r="F2886" t="inlineStr">
        <is>
          <t>DATA4 DC07</t>
        </is>
      </c>
      <c r="G2886" t="inlineStr">
        <is>
          <t>GVL</t>
        </is>
      </c>
      <c r="H2886" t="inlineStr">
        <is>
          <t>BYPASS</t>
        </is>
      </c>
      <c r="J2886" t="inlineStr">
        <is>
          <t>MATRION</t>
        </is>
      </c>
      <c r="K2886" t="inlineStr">
        <is>
          <t>CUIVRE</t>
        </is>
      </c>
      <c r="L2886">
        <f>_xlfn.XLOOKUP(Tableau1[[#This Row],[TYPE DE PIECE]],Tableau4[MATIERE],Tableau4[SHORT TYPE],"",0,1)</f>
        <v/>
      </c>
      <c r="N2886">
        <f>IF(ISERR(FIND("DECOUPE",Tableau1[[#This Row],[DESIGNATION]])),"","NEED REF")</f>
        <v/>
      </c>
    </row>
    <row r="2887">
      <c r="B2887" t="n">
        <v>34411114</v>
      </c>
      <c r="C2887" s="2" t="n">
        <v>44837</v>
      </c>
      <c r="D2887" t="inlineStr">
        <is>
          <t>SPEC</t>
        </is>
      </c>
      <c r="E2887" t="inlineStr">
        <is>
          <t xml:space="preserve">SMT 34411114 REPRISE DECOUPE 34410752 GVL BYPASS </t>
        </is>
      </c>
      <c r="F2887" t="inlineStr">
        <is>
          <t>DATA4 DC07</t>
        </is>
      </c>
      <c r="G2887" t="inlineStr">
        <is>
          <t>GVL</t>
        </is>
      </c>
      <c r="H2887" t="inlineStr">
        <is>
          <t>BYPASS</t>
        </is>
      </c>
      <c r="J2887" t="inlineStr">
        <is>
          <t>MATRION</t>
        </is>
      </c>
      <c r="K2887" t="inlineStr">
        <is>
          <t>METAL</t>
        </is>
      </c>
      <c r="L2887">
        <f>_xlfn.XLOOKUP(Tableau1[[#This Row],[TYPE DE PIECE]],Tableau4[MATIERE],Tableau4[SHORT TYPE],"",0,1)</f>
        <v/>
      </c>
      <c r="N2887">
        <f>IF(ISERR(FIND("DECOUPE",Tableau1[[#This Row],[DESIGNATION]])),"","NEED REF")</f>
        <v/>
      </c>
    </row>
    <row r="2888">
      <c r="B2888" t="n">
        <v>34411113</v>
      </c>
      <c r="C2888" s="2" t="n">
        <v>44834</v>
      </c>
      <c r="D2888" t="inlineStr">
        <is>
          <t>SPEC</t>
        </is>
      </c>
      <c r="E2888">
        <f>_xlfn.CONCAT(Tableau1[[#This Row],[SHORT TYPE]]," ",Tableau1[[#This Row],[NUMERO]]," ",Tableau1[[#This Row],[GAMME]]," ",Tableau1[[#This Row],[TYPE PRODUIT]]," ",Tableau1[[#This Row],[PUISSANCE]])</f>
        <v/>
      </c>
      <c r="G2888" t="inlineStr">
        <is>
          <t>TEST PIED BIRDY</t>
        </is>
      </c>
      <c r="J2888" t="inlineStr">
        <is>
          <t>MATRION</t>
        </is>
      </c>
      <c r="K2888" t="inlineStr">
        <is>
          <t>METAL</t>
        </is>
      </c>
      <c r="L2888">
        <f>_xlfn.XLOOKUP(Tableau1[[#This Row],[TYPE DE PIECE]],Tableau4[MATIERE],Tableau4[SHORT TYPE],"",0,1)</f>
        <v/>
      </c>
      <c r="N2888">
        <f>IF(ISERR(FIND("DECOUPE",Tableau1[[#This Row],[DESIGNATION]])),"","NEED REF")</f>
        <v/>
      </c>
    </row>
    <row r="2889">
      <c r="B2889" t="n">
        <v>34411112</v>
      </c>
      <c r="C2889" s="2" t="n">
        <v>44834</v>
      </c>
      <c r="D2889" t="inlineStr">
        <is>
          <t>SPEC</t>
        </is>
      </c>
      <c r="E2889">
        <f>_xlfn.CONCAT(Tableau1[[#This Row],[SHORT TYPE]]," ",Tableau1[[#This Row],[NUMERO]]," ",Tableau1[[#This Row],[GAMME]]," ",Tableau1[[#This Row],[TYPE PRODUIT]]," ",Tableau1[[#This Row],[PUISSANCE]])</f>
        <v/>
      </c>
      <c r="G2889" t="inlineStr">
        <is>
          <t>TEST SOCLE POUR PIED BIRDY</t>
        </is>
      </c>
      <c r="J2889" t="inlineStr">
        <is>
          <t>MATRION</t>
        </is>
      </c>
      <c r="K2889" t="inlineStr">
        <is>
          <t>METAL</t>
        </is>
      </c>
      <c r="L2889">
        <f>_xlfn.XLOOKUP(Tableau1[[#This Row],[TYPE DE PIECE]],Tableau4[MATIERE],Tableau4[SHORT TYPE],"",0,1)</f>
        <v/>
      </c>
      <c r="N2889">
        <f>IF(ISERR(FIND("DECOUPE",Tableau1[[#This Row],[DESIGNATION]])),"","NEED REF")</f>
        <v/>
      </c>
    </row>
    <row r="2890">
      <c r="B2890" t="n">
        <v>34411111</v>
      </c>
      <c r="C2890" s="2" t="n">
        <v>44834</v>
      </c>
      <c r="D2890" t="inlineStr">
        <is>
          <t>SPEC</t>
        </is>
      </c>
      <c r="E2890" t="inlineStr">
        <is>
          <t>SMT 34411111 CALES DE PIED GVEAC</t>
        </is>
      </c>
      <c r="G2890" t="inlineStr">
        <is>
          <t>TOUTES</t>
        </is>
      </c>
      <c r="J2890" t="inlineStr">
        <is>
          <t>MATRION</t>
        </is>
      </c>
      <c r="K2890" t="inlineStr">
        <is>
          <t>METAL</t>
        </is>
      </c>
      <c r="L2890">
        <f>_xlfn.XLOOKUP(Tableau1[[#This Row],[TYPE DE PIECE]],Tableau4[MATIERE],Tableau4[SHORT TYPE],"",0,1)</f>
        <v/>
      </c>
      <c r="N2890">
        <f>IF(ISERR(FIND("DECOUPE",Tableau1[[#This Row],[DESIGNATION]])),"","NEED REF")</f>
        <v/>
      </c>
    </row>
    <row r="2891">
      <c r="B2891" t="n">
        <v>34411110</v>
      </c>
      <c r="C2891" s="2" t="n">
        <v>44834</v>
      </c>
      <c r="D2891" t="inlineStr">
        <is>
          <t>SPEC</t>
        </is>
      </c>
      <c r="E2891" t="inlineStr">
        <is>
          <t>PLA SUPPORT ISOLANT</t>
        </is>
      </c>
      <c r="G2891" t="inlineStr">
        <is>
          <t>GVL</t>
        </is>
      </c>
      <c r="H2891" t="inlineStr">
        <is>
          <t>BYPASS</t>
        </is>
      </c>
      <c r="J2891" t="inlineStr">
        <is>
          <t>BERNARDEAU</t>
        </is>
      </c>
      <c r="K2891" t="inlineStr">
        <is>
          <t>PLASTIQUE</t>
        </is>
      </c>
      <c r="L2891">
        <f>_xlfn.XLOOKUP(Tableau1[[#This Row],[TYPE DE PIECE]],Tableau4[MATIERE],Tableau4[SHORT TYPE],"",0,1)</f>
        <v/>
      </c>
      <c r="N2891">
        <f>IF(ISERR(FIND("DECOUPE",Tableau1[[#This Row],[DESIGNATION]])),"","NEED REF")</f>
        <v/>
      </c>
    </row>
    <row r="2892">
      <c r="B2892" t="n">
        <v>34411109</v>
      </c>
      <c r="C2892" s="2" t="n">
        <v>44834</v>
      </c>
      <c r="D2892" t="inlineStr">
        <is>
          <t>SPEC</t>
        </is>
      </c>
      <c r="E2892" t="inlineStr">
        <is>
          <t>SMT SUPPORT BAS LINERGY</t>
        </is>
      </c>
      <c r="G2892" t="inlineStr">
        <is>
          <t>GVL</t>
        </is>
      </c>
      <c r="H2892" t="inlineStr">
        <is>
          <t>BYPASS</t>
        </is>
      </c>
      <c r="J2892" t="inlineStr">
        <is>
          <t>BERNARDEAU</t>
        </is>
      </c>
      <c r="K2892" t="inlineStr">
        <is>
          <t>METAL</t>
        </is>
      </c>
      <c r="L2892">
        <f>_xlfn.XLOOKUP(Tableau1[[#This Row],[TYPE DE PIECE]],Tableau4[MATIERE],Tableau4[SHORT TYPE],"",0,1)</f>
        <v/>
      </c>
      <c r="N2892">
        <f>IF(ISERR(FIND("DECOUPE",Tableau1[[#This Row],[DESIGNATION]])),"","NEED REF")</f>
        <v/>
      </c>
    </row>
    <row r="2893">
      <c r="B2893" t="n">
        <v>34411108</v>
      </c>
      <c r="C2893" s="2" t="n">
        <v>44834</v>
      </c>
      <c r="D2893" t="inlineStr">
        <is>
          <t>SPEC</t>
        </is>
      </c>
      <c r="E2893">
        <f>_xlfn.CONCAT(Tableau1[[#This Row],[SHORT TYPE]]," ",Tableau1[[#This Row],[NUMERO]]," ",Tableau1[[#This Row],[GAMME]]," ",Tableau1[[#This Row],[TYPE PRODUIT]]," ",Tableau1[[#This Row],[PUISSANCE]])</f>
        <v/>
      </c>
      <c r="F2893" t="inlineStr">
        <is>
          <t>MARINE</t>
        </is>
      </c>
      <c r="G2893" t="inlineStr">
        <is>
          <t>GVS</t>
        </is>
      </c>
      <c r="H2893" t="inlineStr">
        <is>
          <t>BATTERY</t>
        </is>
      </c>
      <c r="I2893" t="inlineStr">
        <is>
          <t>20-80KW</t>
        </is>
      </c>
      <c r="J2893" t="inlineStr">
        <is>
          <t>JAWORSKI</t>
        </is>
      </c>
      <c r="K2893" t="inlineStr">
        <is>
          <t>CUIVRE</t>
        </is>
      </c>
      <c r="L2893">
        <f>_xlfn.XLOOKUP(Tableau1[[#This Row],[TYPE DE PIECE]],Tableau4[MATIERE],Tableau4[SHORT TYPE],"",0,1)</f>
        <v/>
      </c>
      <c r="N2893">
        <f>IF(ISERR(FIND("DECOUPE",Tableau1[[#This Row],[DESIGNATION]])),"","NEED REF")</f>
        <v/>
      </c>
    </row>
    <row r="2894">
      <c r="B2894" t="n">
        <v>34411107</v>
      </c>
      <c r="C2894" s="2" t="n">
        <v>44834</v>
      </c>
      <c r="D2894" t="inlineStr">
        <is>
          <t>SPEC</t>
        </is>
      </c>
      <c r="E2894">
        <f>_xlfn.CONCAT(Tableau1[[#This Row],[SHORT TYPE]]," ",Tableau1[[#This Row],[NUMERO]]," ",Tableau1[[#This Row],[GAMME]]," ",Tableau1[[#This Row],[TYPE PRODUIT]]," ",Tableau1[[#This Row],[PUISSANCE]])</f>
        <v/>
      </c>
      <c r="F2894" t="inlineStr">
        <is>
          <t>MARINE</t>
        </is>
      </c>
      <c r="G2894" t="inlineStr">
        <is>
          <t>GVS</t>
        </is>
      </c>
      <c r="H2894" t="inlineStr">
        <is>
          <t>BATTERY</t>
        </is>
      </c>
      <c r="I2894" t="inlineStr">
        <is>
          <t>20-80KW</t>
        </is>
      </c>
      <c r="J2894" t="inlineStr">
        <is>
          <t>JAWORSKI</t>
        </is>
      </c>
      <c r="K2894" t="inlineStr">
        <is>
          <t>METAL</t>
        </is>
      </c>
      <c r="L2894">
        <f>_xlfn.XLOOKUP(Tableau1[[#This Row],[TYPE DE PIECE]],Tableau4[MATIERE],Tableau4[SHORT TYPE],"",0,1)</f>
        <v/>
      </c>
      <c r="N2894">
        <f>IF(ISERR(FIND("DECOUPE",Tableau1[[#This Row],[DESIGNATION]])),"","NEED REF")</f>
        <v/>
      </c>
    </row>
    <row r="2895">
      <c r="B2895" t="n">
        <v>34411106</v>
      </c>
      <c r="C2895" s="2" t="n">
        <v>44833</v>
      </c>
      <c r="D2895" t="inlineStr">
        <is>
          <t>SPEC</t>
        </is>
      </c>
      <c r="E2895">
        <f>_xlfn.CONCAT(Tableau1[[#This Row],[SHORT TYPE]]," ",Tableau1[[#This Row],[NUMERO]]," ",Tableau1[[#This Row],[GAMME]]," ",Tableau1[[#This Row],[TYPE PRODUIT]]," ",Tableau1[[#This Row],[PUISSANCE]])</f>
        <v/>
      </c>
      <c r="F2895" t="inlineStr">
        <is>
          <t>MARINE</t>
        </is>
      </c>
      <c r="G2895" t="inlineStr">
        <is>
          <t>GVS</t>
        </is>
      </c>
      <c r="H2895" t="inlineStr">
        <is>
          <t>BATTERY</t>
        </is>
      </c>
      <c r="I2895" t="inlineStr">
        <is>
          <t>20-80KW</t>
        </is>
      </c>
      <c r="J2895" t="inlineStr">
        <is>
          <t>JAWORSKI</t>
        </is>
      </c>
      <c r="K2895" t="inlineStr">
        <is>
          <t>METAL</t>
        </is>
      </c>
      <c r="L2895">
        <f>_xlfn.XLOOKUP(Tableau1[[#This Row],[TYPE DE PIECE]],Tableau4[MATIERE],Tableau4[SHORT TYPE],"",0,1)</f>
        <v/>
      </c>
      <c r="N2895">
        <f>IF(ISERR(FIND("DECOUPE",Tableau1[[#This Row],[DESIGNATION]])),"","NEED REF")</f>
        <v/>
      </c>
    </row>
    <row r="2896">
      <c r="B2896" t="n">
        <v>34411105</v>
      </c>
      <c r="C2896" s="2" t="n">
        <v>44832</v>
      </c>
      <c r="D2896" t="inlineStr">
        <is>
          <t>SPEC</t>
        </is>
      </c>
      <c r="E2896" t="inlineStr">
        <is>
          <t>SMT 34411105 RENFORT DE TOIT 1000x1000</t>
        </is>
      </c>
      <c r="G2896" t="inlineStr">
        <is>
          <t>TOUTES</t>
        </is>
      </c>
      <c r="J2896" t="inlineStr">
        <is>
          <t>MATRION</t>
        </is>
      </c>
      <c r="K2896" t="inlineStr">
        <is>
          <t>METAL</t>
        </is>
      </c>
      <c r="L2896">
        <f>_xlfn.XLOOKUP(Tableau1[[#This Row],[TYPE DE PIECE]],Tableau4[MATIERE],Tableau4[SHORT TYPE],"",0,1)</f>
        <v/>
      </c>
      <c r="N2896">
        <f>IF(ISERR(FIND("DECOUPE",Tableau1[[#This Row],[DESIGNATION]])),"","NEED REF")</f>
        <v/>
      </c>
    </row>
    <row r="2897">
      <c r="B2897" t="n">
        <v>34411104</v>
      </c>
      <c r="C2897" s="2" t="n">
        <v>44832</v>
      </c>
      <c r="D2897" t="inlineStr">
        <is>
          <t>SPEC</t>
        </is>
      </c>
      <c r="E2897" t="inlineStr">
        <is>
          <t>SMT 34411104 TOIT ALU 6MM  1000x1000</t>
        </is>
      </c>
      <c r="G2897" t="inlineStr">
        <is>
          <t>TOUTES</t>
        </is>
      </c>
      <c r="J2897" t="inlineStr">
        <is>
          <t>MATRION</t>
        </is>
      </c>
      <c r="K2897" t="inlineStr">
        <is>
          <t>METAL</t>
        </is>
      </c>
      <c r="L2897">
        <f>_xlfn.XLOOKUP(Tableau1[[#This Row],[TYPE DE PIECE]],Tableau4[MATIERE],Tableau4[SHORT TYPE],"",0,1)</f>
        <v/>
      </c>
      <c r="N2897">
        <f>IF(ISERR(FIND("DECOUPE",Tableau1[[#This Row],[DESIGNATION]])),"","NEED REF")</f>
        <v/>
      </c>
    </row>
    <row r="2898">
      <c r="B2898" t="n">
        <v>34411103</v>
      </c>
      <c r="C2898" s="2" t="n">
        <v>44832</v>
      </c>
      <c r="D2898" t="inlineStr">
        <is>
          <t>SPEC</t>
        </is>
      </c>
      <c r="E2898">
        <f>_xlfn.CONCAT(Tableau1[[#This Row],[SHORT TYPE]]," ",Tableau1[[#This Row],[NUMERO]]," ",Tableau1[[#This Row],[GAMME]]," ",Tableau1[[#This Row],[TYPE PRODUIT]]," ",Tableau1[[#This Row],[PUISSANCE]])</f>
        <v/>
      </c>
      <c r="G2898" t="inlineStr">
        <is>
          <t>GVX</t>
        </is>
      </c>
      <c r="H2898" t="inlineStr">
        <is>
          <t>BYPASS</t>
        </is>
      </c>
      <c r="I2898" t="inlineStr">
        <is>
          <t>750kVA</t>
        </is>
      </c>
      <c r="J2898" t="inlineStr">
        <is>
          <t>MATRION</t>
        </is>
      </c>
      <c r="K2898" t="inlineStr">
        <is>
          <t>METAL</t>
        </is>
      </c>
      <c r="L2898">
        <f>_xlfn.XLOOKUP(Tableau1[[#This Row],[TYPE DE PIECE]],Tableau4[MATIERE],Tableau4[SHORT TYPE],"",0,1)</f>
        <v/>
      </c>
      <c r="N2898">
        <f>IF(ISERR(FIND("DECOUPE",Tableau1[[#This Row],[DESIGNATION]])),"","NEED REF")</f>
        <v/>
      </c>
    </row>
    <row r="2899">
      <c r="B2899" t="n">
        <v>34411102</v>
      </c>
      <c r="C2899" s="2" t="n">
        <v>44832</v>
      </c>
      <c r="D2899" t="inlineStr">
        <is>
          <t>SPEC</t>
        </is>
      </c>
      <c r="E2899">
        <f>_xlfn.CONCAT(Tableau1[[#This Row],[SHORT TYPE]]," ",Tableau1[[#This Row],[NUMERO]]," ",Tableau1[[#This Row],[GAMME]]," ",Tableau1[[#This Row],[TYPE PRODUIT]]," ",Tableau1[[#This Row],[PUISSANCE]])</f>
        <v/>
      </c>
      <c r="G2899" t="inlineStr">
        <is>
          <t>GVX</t>
        </is>
      </c>
      <c r="H2899" t="inlineStr">
        <is>
          <t>BYPASS</t>
        </is>
      </c>
      <c r="I2899" t="inlineStr">
        <is>
          <t>750kVA</t>
        </is>
      </c>
      <c r="J2899" t="inlineStr">
        <is>
          <t>MATRION</t>
        </is>
      </c>
      <c r="K2899" t="inlineStr">
        <is>
          <t>METAL</t>
        </is>
      </c>
      <c r="L2899">
        <f>_xlfn.XLOOKUP(Tableau1[[#This Row],[TYPE DE PIECE]],Tableau4[MATIERE],Tableau4[SHORT TYPE],"",0,1)</f>
        <v/>
      </c>
      <c r="N2899">
        <f>IF(ISERR(FIND("DECOUPE",Tableau1[[#This Row],[DESIGNATION]])),"","NEED REF")</f>
        <v/>
      </c>
    </row>
    <row r="2900">
      <c r="B2900" t="n">
        <v>34411101</v>
      </c>
      <c r="C2900" s="2" t="n">
        <v>44832</v>
      </c>
      <c r="D2900" t="inlineStr">
        <is>
          <t>SPEC</t>
        </is>
      </c>
      <c r="E2900">
        <f>_xlfn.CONCAT(Tableau1[[#This Row],[SHORT TYPE]]," ",Tableau1[[#This Row],[NUMERO]]," ",Tableau1[[#This Row],[GAMME]]," ",Tableau1[[#This Row],[TYPE PRODUIT]]," ",Tableau1[[#This Row],[PUISSANCE]])</f>
        <v/>
      </c>
      <c r="G2900" t="inlineStr">
        <is>
          <t>GVX</t>
        </is>
      </c>
      <c r="H2900" t="inlineStr">
        <is>
          <t>BYPASS</t>
        </is>
      </c>
      <c r="I2900" t="inlineStr">
        <is>
          <t>750kVA</t>
        </is>
      </c>
      <c r="J2900" t="inlineStr">
        <is>
          <t>MATRION</t>
        </is>
      </c>
      <c r="K2900" t="inlineStr">
        <is>
          <t>METAL</t>
        </is>
      </c>
      <c r="L2900">
        <f>_xlfn.XLOOKUP(Tableau1[[#This Row],[TYPE DE PIECE]],Tableau4[MATIERE],Tableau4[SHORT TYPE],"",0,1)</f>
        <v/>
      </c>
      <c r="N2900">
        <f>IF(ISERR(FIND("DECOUPE",Tableau1[[#This Row],[DESIGNATION]])),"","NEED REF")</f>
        <v/>
      </c>
    </row>
    <row r="2901">
      <c r="B2901" t="n">
        <v>34411100</v>
      </c>
      <c r="C2901" s="2" t="n">
        <v>44832</v>
      </c>
      <c r="D2901" t="inlineStr">
        <is>
          <t>SPEC</t>
        </is>
      </c>
      <c r="E2901">
        <f>_xlfn.CONCAT(Tableau1[[#This Row],[SHORT TYPE]]," ",Tableau1[[#This Row],[NUMERO]]," ",Tableau1[[#This Row],[GAMME]]," ",Tableau1[[#This Row],[TYPE PRODUIT]]," ",Tableau1[[#This Row],[PUISSANCE]])</f>
        <v/>
      </c>
      <c r="G2901" t="inlineStr">
        <is>
          <t>GVX</t>
        </is>
      </c>
      <c r="H2901" t="inlineStr">
        <is>
          <t>BYPASS</t>
        </is>
      </c>
      <c r="I2901" t="inlineStr">
        <is>
          <t>750kVA</t>
        </is>
      </c>
      <c r="J2901" t="inlineStr">
        <is>
          <t>MATRION</t>
        </is>
      </c>
      <c r="K2901" t="inlineStr">
        <is>
          <t>METAL</t>
        </is>
      </c>
      <c r="L2901">
        <f>_xlfn.XLOOKUP(Tableau1[[#This Row],[TYPE DE PIECE]],Tableau4[MATIERE],Tableau4[SHORT TYPE],"",0,1)</f>
        <v/>
      </c>
      <c r="N2901">
        <f>IF(ISERR(FIND("DECOUPE",Tableau1[[#This Row],[DESIGNATION]])),"","NEED REF")</f>
        <v/>
      </c>
    </row>
    <row r="2902">
      <c r="B2902" t="n">
        <v>34411099</v>
      </c>
      <c r="C2902" s="2" t="n">
        <v>44832</v>
      </c>
      <c r="D2902" t="inlineStr">
        <is>
          <t>SPEC</t>
        </is>
      </c>
      <c r="E2902">
        <f>_xlfn.CONCAT(Tableau1[[#This Row],[SHORT TYPE]]," ",Tableau1[[#This Row],[NUMERO]]," ",Tableau1[[#This Row],[GAMME]]," ",Tableau1[[#This Row],[TYPE PRODUIT]]," ",Tableau1[[#This Row],[PUISSANCE]])</f>
        <v/>
      </c>
      <c r="G2902" t="inlineStr">
        <is>
          <t>GVX</t>
        </is>
      </c>
      <c r="H2902" t="inlineStr">
        <is>
          <t>BYPASS</t>
        </is>
      </c>
      <c r="I2902" t="inlineStr">
        <is>
          <t>750kVA</t>
        </is>
      </c>
      <c r="J2902" t="inlineStr">
        <is>
          <t>MATRION</t>
        </is>
      </c>
      <c r="K2902" t="inlineStr">
        <is>
          <t>METAL</t>
        </is>
      </c>
      <c r="L2902">
        <f>_xlfn.XLOOKUP(Tableau1[[#This Row],[TYPE DE PIECE]],Tableau4[MATIERE],Tableau4[SHORT TYPE],"",0,1)</f>
        <v/>
      </c>
      <c r="N2902">
        <f>IF(ISERR(FIND("DECOUPE",Tableau1[[#This Row],[DESIGNATION]])),"","NEED REF")</f>
        <v/>
      </c>
    </row>
    <row r="2903">
      <c r="B2903" t="n">
        <v>34411098</v>
      </c>
      <c r="C2903" s="2" t="n">
        <v>44832</v>
      </c>
      <c r="D2903" t="inlineStr">
        <is>
          <t>SPEC</t>
        </is>
      </c>
      <c r="E2903" t="inlineStr">
        <is>
          <t>SMT COFFRET SAREL 34410001 + PLATINE +PLASTRON</t>
        </is>
      </c>
      <c r="G2903" t="inlineStr">
        <is>
          <t>E3S</t>
        </is>
      </c>
      <c r="H2903" t="inlineStr">
        <is>
          <t>REGEN</t>
        </is>
      </c>
      <c r="I2903" t="inlineStr">
        <is>
          <t>20KW</t>
        </is>
      </c>
      <c r="J2903" t="inlineStr">
        <is>
          <t>JAWORSKI</t>
        </is>
      </c>
      <c r="K2903" t="inlineStr">
        <is>
          <t>METAL</t>
        </is>
      </c>
      <c r="L2903">
        <f>_xlfn.XLOOKUP(Tableau1[[#This Row],[TYPE DE PIECE]],Tableau4[MATIERE],Tableau4[SHORT TYPE],"",0,1)</f>
        <v/>
      </c>
      <c r="N2903">
        <f>IF(ISERR(FIND("DECOUPE",Tableau1[[#This Row],[DESIGNATION]])),"","NEED REF")</f>
        <v/>
      </c>
    </row>
    <row r="2904">
      <c r="B2904" t="n">
        <v>34411097</v>
      </c>
      <c r="C2904" s="2" t="n">
        <v>44832</v>
      </c>
      <c r="D2904" t="inlineStr">
        <is>
          <t>SPEC</t>
        </is>
      </c>
      <c r="E2904">
        <f>_xlfn.CONCAT(Tableau1[[#This Row],[SHORT TYPE]]," ",Tableau1[[#This Row],[NUMERO]]," ",Tableau1[[#This Row],[GAMME]]," ",Tableau1[[#This Row],[TYPE PRODUIT]]," ",Tableau1[[#This Row],[PUISSANCE]])</f>
        <v/>
      </c>
      <c r="G2904" t="inlineStr">
        <is>
          <t>GVX</t>
        </is>
      </c>
      <c r="H2904" t="inlineStr">
        <is>
          <t>BYPASS</t>
        </is>
      </c>
      <c r="I2904" t="inlineStr">
        <is>
          <t>750kVA</t>
        </is>
      </c>
      <c r="J2904" t="inlineStr">
        <is>
          <t>MATRION</t>
        </is>
      </c>
      <c r="K2904" t="inlineStr">
        <is>
          <t>PLASTIQUE</t>
        </is>
      </c>
      <c r="L2904">
        <f>_xlfn.XLOOKUP(Tableau1[[#This Row],[TYPE DE PIECE]],Tableau4[MATIERE],Tableau4[SHORT TYPE],"",0,1)</f>
        <v/>
      </c>
      <c r="N2904">
        <f>IF(ISERR(FIND("DECOUPE",Tableau1[[#This Row],[DESIGNATION]])),"","NEED REF")</f>
        <v/>
      </c>
    </row>
    <row r="2905">
      <c r="B2905" t="n">
        <v>34411096</v>
      </c>
      <c r="C2905" s="2" t="n">
        <v>44832</v>
      </c>
      <c r="D2905" t="inlineStr">
        <is>
          <t>SPEC</t>
        </is>
      </c>
      <c r="E2905">
        <f>_xlfn.CONCAT(Tableau1[[#This Row],[SHORT TYPE]]," ",Tableau1[[#This Row],[NUMERO]]," ",Tableau1[[#This Row],[GAMME]]," ",Tableau1[[#This Row],[TYPE PRODUIT]]," ",Tableau1[[#This Row],[PUISSANCE]])</f>
        <v/>
      </c>
      <c r="G2905" t="inlineStr">
        <is>
          <t>GVX</t>
        </is>
      </c>
      <c r="H2905" t="inlineStr">
        <is>
          <t>BYPASS</t>
        </is>
      </c>
      <c r="I2905" t="inlineStr">
        <is>
          <t>750kVA</t>
        </is>
      </c>
      <c r="J2905" t="inlineStr">
        <is>
          <t>MATRION</t>
        </is>
      </c>
      <c r="K2905" t="inlineStr">
        <is>
          <t>PLASTIQUE</t>
        </is>
      </c>
      <c r="L2905">
        <f>_xlfn.XLOOKUP(Tableau1[[#This Row],[TYPE DE PIECE]],Tableau4[MATIERE],Tableau4[SHORT TYPE],"",0,1)</f>
        <v/>
      </c>
      <c r="N2905">
        <f>IF(ISERR(FIND("DECOUPE",Tableau1[[#This Row],[DESIGNATION]])),"","NEED REF")</f>
        <v/>
      </c>
    </row>
    <row r="2906">
      <c r="B2906" t="n">
        <v>34411095</v>
      </c>
      <c r="C2906" s="2" t="n">
        <v>44832</v>
      </c>
      <c r="D2906" t="inlineStr">
        <is>
          <t>SPEC</t>
        </is>
      </c>
      <c r="E2906" t="inlineStr">
        <is>
          <t>SMT STIFFENER GOALPOST 1900</t>
        </is>
      </c>
      <c r="J2906" t="inlineStr">
        <is>
          <t>BERNARDEAU</t>
        </is>
      </c>
      <c r="K2906" t="inlineStr">
        <is>
          <t>METAL</t>
        </is>
      </c>
      <c r="L2906">
        <f>_xlfn.XLOOKUP(Tableau1[[#This Row],[TYPE DE PIECE]],Tableau4[MATIERE],Tableau4[SHORT TYPE],"",0,1)</f>
        <v/>
      </c>
      <c r="N2906">
        <f>IF(ISERR(FIND("DECOUPE",Tableau1[[#This Row],[DESIGNATION]])),"","NEED REF")</f>
        <v/>
      </c>
    </row>
    <row r="2907">
      <c r="B2907" t="n">
        <v>34411094</v>
      </c>
      <c r="C2907" s="2" t="n">
        <v>44831</v>
      </c>
      <c r="D2907" t="inlineStr">
        <is>
          <t>SPEC</t>
        </is>
      </c>
      <c r="E2907">
        <f>_xlfn.CONCAT(Tableau1[[#This Row],[SHORT TYPE]]," ",Tableau1[[#This Row],[NUMERO]]," ",Tableau1[[#This Row],[GAMME]]," ",Tableau1[[#This Row],[TYPE PRODUIT]]," ",Tableau1[[#This Row],[PUISSANCE]])</f>
        <v/>
      </c>
      <c r="F2907" t="inlineStr">
        <is>
          <t>SCHNEIDER ELECTRIC SCHWEIZ</t>
        </is>
      </c>
      <c r="G2907" t="inlineStr">
        <is>
          <t>E3S</t>
        </is>
      </c>
      <c r="H2907" t="inlineStr">
        <is>
          <t>REGEN</t>
        </is>
      </c>
      <c r="I2907" t="inlineStr">
        <is>
          <t>20KW</t>
        </is>
      </c>
      <c r="J2907" t="inlineStr">
        <is>
          <t>JAWORSKI</t>
        </is>
      </c>
      <c r="K2907" t="inlineStr">
        <is>
          <t>METAL</t>
        </is>
      </c>
      <c r="L2907">
        <f>_xlfn.XLOOKUP(Tableau1[[#This Row],[TYPE DE PIECE]],Tableau4[MATIERE],Tableau4[SHORT TYPE],"",0,1)</f>
        <v/>
      </c>
      <c r="N2907">
        <f>IF(ISERR(FIND("DECOUPE",Tableau1[[#This Row],[DESIGNATION]])),"","NEED REF")</f>
        <v/>
      </c>
    </row>
    <row r="2908">
      <c r="B2908" t="n">
        <v>34411093</v>
      </c>
      <c r="C2908" s="2" t="n">
        <v>44831</v>
      </c>
      <c r="D2908" t="inlineStr">
        <is>
          <t>SPEC</t>
        </is>
      </c>
      <c r="E2908" t="inlineStr">
        <is>
          <t>SMT SUPPORT APPAREILLAGE ACTI9</t>
        </is>
      </c>
      <c r="F2908" t="inlineStr">
        <is>
          <t>SCHNEIDER ELECTRIC SCHWEIZ</t>
        </is>
      </c>
      <c r="G2908" t="inlineStr">
        <is>
          <t>E3S</t>
        </is>
      </c>
      <c r="H2908" t="inlineStr">
        <is>
          <t>REGEN</t>
        </is>
      </c>
      <c r="I2908" t="inlineStr">
        <is>
          <t>20KW</t>
        </is>
      </c>
      <c r="J2908" t="inlineStr">
        <is>
          <t>JAWORSKI</t>
        </is>
      </c>
      <c r="K2908" t="inlineStr">
        <is>
          <t>METAL</t>
        </is>
      </c>
      <c r="L2908">
        <f>_xlfn.XLOOKUP(Tableau1[[#This Row],[TYPE DE PIECE]],Tableau4[MATIERE],Tableau4[SHORT TYPE],"",0,1)</f>
        <v/>
      </c>
      <c r="N2908">
        <f>IF(ISERR(FIND("DECOUPE",Tableau1[[#This Row],[DESIGNATION]])),"","NEED REF")</f>
        <v/>
      </c>
    </row>
    <row r="2909">
      <c r="B2909" t="n">
        <v>34411092</v>
      </c>
      <c r="C2909" s="2" t="n">
        <v>44831</v>
      </c>
      <c r="D2909" t="inlineStr">
        <is>
          <t>SPEC</t>
        </is>
      </c>
      <c r="E2909" t="inlineStr">
        <is>
          <t>SMT PLASTRON SAREL</t>
        </is>
      </c>
      <c r="F2909" t="inlineStr">
        <is>
          <t>SCHNEIDER ELECTRIC SCHWEIZ</t>
        </is>
      </c>
      <c r="G2909" t="inlineStr">
        <is>
          <t>E3S</t>
        </is>
      </c>
      <c r="H2909" t="inlineStr">
        <is>
          <t>REGEN</t>
        </is>
      </c>
      <c r="I2909" t="inlineStr">
        <is>
          <t>20KW</t>
        </is>
      </c>
      <c r="J2909" t="inlineStr">
        <is>
          <t>JAWORSKI</t>
        </is>
      </c>
      <c r="K2909" t="inlineStr">
        <is>
          <t>METAL</t>
        </is>
      </c>
      <c r="L2909">
        <f>_xlfn.XLOOKUP(Tableau1[[#This Row],[TYPE DE PIECE]],Tableau4[MATIERE],Tableau4[SHORT TYPE],"",0,1)</f>
        <v/>
      </c>
      <c r="N2909">
        <f>IF(ISERR(FIND("DECOUPE",Tableau1[[#This Row],[DESIGNATION]])),"","NEED REF")</f>
        <v/>
      </c>
    </row>
    <row r="2910">
      <c r="B2910" t="n">
        <v>34411091</v>
      </c>
      <c r="C2910" s="2" t="n">
        <v>44831</v>
      </c>
      <c r="D2910" t="inlineStr">
        <is>
          <t>SPEC</t>
        </is>
      </c>
      <c r="E2910" t="inlineStr">
        <is>
          <t>SMT PLATINE DE FOND SAREL</t>
        </is>
      </c>
      <c r="F2910" t="inlineStr">
        <is>
          <t>SCHNEIDER ELECTRIC SCHWEIZ</t>
        </is>
      </c>
      <c r="G2910" t="inlineStr">
        <is>
          <t>E3S</t>
        </is>
      </c>
      <c r="H2910" t="inlineStr">
        <is>
          <t>REGEN</t>
        </is>
      </c>
      <c r="I2910" t="inlineStr">
        <is>
          <t>20KW</t>
        </is>
      </c>
      <c r="J2910" t="inlineStr">
        <is>
          <t>JAWORSKI</t>
        </is>
      </c>
      <c r="K2910" t="inlineStr">
        <is>
          <t>METAL</t>
        </is>
      </c>
      <c r="L2910">
        <f>_xlfn.XLOOKUP(Tableau1[[#This Row],[TYPE DE PIECE]],Tableau4[MATIERE],Tableau4[SHORT TYPE],"",0,1)</f>
        <v/>
      </c>
      <c r="N2910">
        <f>IF(ISERR(FIND("DECOUPE",Tableau1[[#This Row],[DESIGNATION]])),"","NEED REF")</f>
        <v/>
      </c>
    </row>
    <row r="2911">
      <c r="B2911" t="n">
        <v>34411090</v>
      </c>
      <c r="C2911" s="2" t="n">
        <v>44831</v>
      </c>
      <c r="D2911" t="inlineStr">
        <is>
          <t>SPEC</t>
        </is>
      </c>
      <c r="E2911">
        <f>_xlfn.CONCAT(Tableau1[[#This Row],[SHORT TYPE]]," ",Tableau1[[#This Row],[NUMERO]]," ",Tableau1[[#This Row],[GAMME]]," ",Tableau1[[#This Row],[TYPE PRODUIT]]," ",Tableau1[[#This Row],[PUISSANCE]])</f>
        <v/>
      </c>
      <c r="G2911" t="inlineStr">
        <is>
          <t>GVX</t>
        </is>
      </c>
      <c r="H2911" t="inlineStr">
        <is>
          <t>BYPASS</t>
        </is>
      </c>
      <c r="I2911" t="inlineStr">
        <is>
          <t>750kVA</t>
        </is>
      </c>
      <c r="J2911" t="inlineStr">
        <is>
          <t>MATRION</t>
        </is>
      </c>
      <c r="K2911" t="inlineStr">
        <is>
          <t>METAL</t>
        </is>
      </c>
      <c r="L2911">
        <f>_xlfn.XLOOKUP(Tableau1[[#This Row],[TYPE DE PIECE]],Tableau4[MATIERE],Tableau4[SHORT TYPE],"",0,1)</f>
        <v/>
      </c>
      <c r="N2911">
        <f>IF(ISERR(FIND("DECOUPE",Tableau1[[#This Row],[DESIGNATION]])),"","NEED REF")</f>
        <v/>
      </c>
    </row>
    <row r="2912">
      <c r="B2912" t="n">
        <v>34411089</v>
      </c>
      <c r="C2912" s="2" t="n">
        <v>44831</v>
      </c>
      <c r="D2912" t="inlineStr">
        <is>
          <t>SPEC</t>
        </is>
      </c>
      <c r="E2912">
        <f>_xlfn.CONCAT(Tableau1[[#This Row],[SHORT TYPE]]," ",Tableau1[[#This Row],[NUMERO]]," ",Tableau1[[#This Row],[GAMME]]," ",Tableau1[[#This Row],[TYPE PRODUIT]]," ",Tableau1[[#This Row],[PUISSANCE]])</f>
        <v/>
      </c>
      <c r="G2912" t="inlineStr">
        <is>
          <t>GVX</t>
        </is>
      </c>
      <c r="H2912" t="inlineStr">
        <is>
          <t>BYPASS</t>
        </is>
      </c>
      <c r="I2912" t="inlineStr">
        <is>
          <t>750kVA</t>
        </is>
      </c>
      <c r="J2912" t="inlineStr">
        <is>
          <t>MATRION</t>
        </is>
      </c>
      <c r="K2912" t="inlineStr">
        <is>
          <t>CUIVRE</t>
        </is>
      </c>
      <c r="L2912">
        <f>_xlfn.XLOOKUP(Tableau1[[#This Row],[TYPE DE PIECE]],Tableau4[MATIERE],Tableau4[SHORT TYPE],"",0,1)</f>
        <v/>
      </c>
      <c r="N2912">
        <f>IF(ISERR(FIND("DECOUPE",Tableau1[[#This Row],[DESIGNATION]])),"","NEED REF")</f>
        <v/>
      </c>
    </row>
    <row r="2913">
      <c r="B2913" t="n">
        <v>34411088</v>
      </c>
      <c r="C2913" s="2" t="n">
        <v>44831</v>
      </c>
      <c r="D2913" t="inlineStr">
        <is>
          <t>SPEC</t>
        </is>
      </c>
      <c r="E2913">
        <f>_xlfn.CONCAT(Tableau1[[#This Row],[SHORT TYPE]]," ",Tableau1[[#This Row],[NUMERO]]," ",Tableau1[[#This Row],[GAMME]]," ",Tableau1[[#This Row],[TYPE PRODUIT]]," ",Tableau1[[#This Row],[PUISSANCE]])</f>
        <v/>
      </c>
      <c r="G2913" t="inlineStr">
        <is>
          <t>GVX</t>
        </is>
      </c>
      <c r="H2913" t="inlineStr">
        <is>
          <t>BYPASS</t>
        </is>
      </c>
      <c r="I2913" t="inlineStr">
        <is>
          <t>750kVA</t>
        </is>
      </c>
      <c r="J2913" t="inlineStr">
        <is>
          <t>MATRION</t>
        </is>
      </c>
      <c r="K2913" t="inlineStr">
        <is>
          <t>METAL</t>
        </is>
      </c>
      <c r="L2913">
        <f>_xlfn.XLOOKUP(Tableau1[[#This Row],[TYPE DE PIECE]],Tableau4[MATIERE],Tableau4[SHORT TYPE],"",0,1)</f>
        <v/>
      </c>
      <c r="N2913">
        <f>IF(ISERR(FIND("DECOUPE",Tableau1[[#This Row],[DESIGNATION]])),"","NEED REF")</f>
        <v/>
      </c>
    </row>
    <row r="2914">
      <c r="B2914" t="n">
        <v>34411087</v>
      </c>
      <c r="C2914" s="2" t="n">
        <v>44830</v>
      </c>
      <c r="D2914" t="inlineStr">
        <is>
          <t>SPEC</t>
        </is>
      </c>
      <c r="E2914">
        <f>_xlfn.CONCAT(Tableau1[[#This Row],[SHORT TYPE]]," ",Tableau1[[#This Row],[NUMERO]]," ",Tableau1[[#This Row],[GAMME]]," ",Tableau1[[#This Row],[TYPE PRODUIT]]," ",Tableau1[[#This Row],[PUISSANCE]])</f>
        <v/>
      </c>
      <c r="G2914" t="inlineStr">
        <is>
          <t>GVX</t>
        </is>
      </c>
      <c r="H2914" t="inlineStr">
        <is>
          <t>BYPASS</t>
        </is>
      </c>
      <c r="I2914" t="inlineStr">
        <is>
          <t>750kVA</t>
        </is>
      </c>
      <c r="J2914" t="inlineStr">
        <is>
          <t>MATRION</t>
        </is>
      </c>
      <c r="K2914" t="inlineStr">
        <is>
          <t>METAL</t>
        </is>
      </c>
      <c r="L2914">
        <f>_xlfn.XLOOKUP(Tableau1[[#This Row],[TYPE DE PIECE]],Tableau4[MATIERE],Tableau4[SHORT TYPE],"",0,1)</f>
        <v/>
      </c>
      <c r="N2914">
        <f>IF(ISERR(FIND("DECOUPE",Tableau1[[#This Row],[DESIGNATION]])),"","NEED REF")</f>
        <v/>
      </c>
    </row>
    <row r="2915">
      <c r="B2915" t="n">
        <v>34411086</v>
      </c>
      <c r="C2915" s="2" t="n">
        <v>44830</v>
      </c>
      <c r="D2915" t="inlineStr">
        <is>
          <t>SPEC</t>
        </is>
      </c>
      <c r="E2915">
        <f>_xlfn.CONCAT(Tableau1[[#This Row],[SHORT TYPE]]," ",Tableau1[[#This Row],[NUMERO]]," ",Tableau1[[#This Row],[GAMME]]," ",Tableau1[[#This Row],[TYPE PRODUIT]]," ",Tableau1[[#This Row],[PUISSANCE]])</f>
        <v/>
      </c>
      <c r="G2915" t="inlineStr">
        <is>
          <t>GVX</t>
        </is>
      </c>
      <c r="H2915" t="inlineStr">
        <is>
          <t>BYPASS</t>
        </is>
      </c>
      <c r="I2915" t="inlineStr">
        <is>
          <t>750kVA</t>
        </is>
      </c>
      <c r="J2915" t="inlineStr">
        <is>
          <t>MATRION</t>
        </is>
      </c>
      <c r="K2915" t="inlineStr">
        <is>
          <t>METAL</t>
        </is>
      </c>
      <c r="L2915">
        <f>_xlfn.XLOOKUP(Tableau1[[#This Row],[TYPE DE PIECE]],Tableau4[MATIERE],Tableau4[SHORT TYPE],"",0,1)</f>
        <v/>
      </c>
      <c r="N2915">
        <f>IF(ISERR(FIND("DECOUPE",Tableau1[[#This Row],[DESIGNATION]])),"","NEED REF")</f>
        <v/>
      </c>
    </row>
    <row r="2916">
      <c r="B2916" t="n">
        <v>34411085</v>
      </c>
      <c r="C2916" s="2" t="n">
        <v>44830</v>
      </c>
      <c r="D2916" t="inlineStr">
        <is>
          <t>SPEC</t>
        </is>
      </c>
      <c r="E2916">
        <f>_xlfn.CONCAT(Tableau1[[#This Row],[SHORT TYPE]]," ",Tableau1[[#This Row],[NUMERO]]," ",Tableau1[[#This Row],[GAMME]]," ",Tableau1[[#This Row],[TYPE PRODUIT]]," ",Tableau1[[#This Row],[PUISSANCE]])</f>
        <v/>
      </c>
      <c r="G2916" t="inlineStr">
        <is>
          <t>GVX</t>
        </is>
      </c>
      <c r="H2916" t="inlineStr">
        <is>
          <t>BYPASS</t>
        </is>
      </c>
      <c r="I2916" t="inlineStr">
        <is>
          <t>750kVA</t>
        </is>
      </c>
      <c r="J2916" t="inlineStr">
        <is>
          <t>MATRION</t>
        </is>
      </c>
      <c r="K2916" t="inlineStr">
        <is>
          <t>METAL</t>
        </is>
      </c>
      <c r="L2916">
        <f>_xlfn.XLOOKUP(Tableau1[[#This Row],[TYPE DE PIECE]],Tableau4[MATIERE],Tableau4[SHORT TYPE],"",0,1)</f>
        <v/>
      </c>
      <c r="N2916">
        <f>IF(ISERR(FIND("DECOUPE",Tableau1[[#This Row],[DESIGNATION]])),"","NEED REF")</f>
        <v/>
      </c>
    </row>
    <row r="2917">
      <c r="B2917" t="n">
        <v>34411084</v>
      </c>
      <c r="C2917" s="2" t="n">
        <v>44830</v>
      </c>
      <c r="D2917" t="inlineStr">
        <is>
          <t>SPEC</t>
        </is>
      </c>
      <c r="E2917">
        <f>_xlfn.CONCAT(Tableau1[[#This Row],[SHORT TYPE]]," ",Tableau1[[#This Row],[NUMERO]]," ",Tableau1[[#This Row],[GAMME]]," ",Tableau1[[#This Row],[TYPE PRODUIT]]," ",Tableau1[[#This Row],[PUISSANCE]])</f>
        <v/>
      </c>
      <c r="G2917" t="inlineStr">
        <is>
          <t>GVX</t>
        </is>
      </c>
      <c r="H2917" t="inlineStr">
        <is>
          <t>BYPASS</t>
        </is>
      </c>
      <c r="I2917" t="inlineStr">
        <is>
          <t>750kVA</t>
        </is>
      </c>
      <c r="J2917" t="inlineStr">
        <is>
          <t>MATRION</t>
        </is>
      </c>
      <c r="K2917" t="inlineStr">
        <is>
          <t>PLASTIQUE</t>
        </is>
      </c>
      <c r="L2917">
        <f>_xlfn.XLOOKUP(Tableau1[[#This Row],[TYPE DE PIECE]],Tableau4[MATIERE],Tableau4[SHORT TYPE],"",0,1)</f>
        <v/>
      </c>
      <c r="N2917">
        <f>IF(ISERR(FIND("DECOUPE",Tableau1[[#This Row],[DESIGNATION]])),"","NEED REF")</f>
        <v/>
      </c>
    </row>
    <row r="2918">
      <c r="B2918" t="n">
        <v>34411083</v>
      </c>
      <c r="C2918" s="2" t="n">
        <v>44830</v>
      </c>
      <c r="D2918" t="inlineStr">
        <is>
          <t>SPEC</t>
        </is>
      </c>
      <c r="E2918">
        <f>_xlfn.CONCAT(Tableau1[[#This Row],[SHORT TYPE]]," ",Tableau1[[#This Row],[NUMERO]]," ",Tableau1[[#This Row],[GAMME]]," ",Tableau1[[#This Row],[TYPE PRODUIT]]," ",Tableau1[[#This Row],[PUISSANCE]])</f>
        <v/>
      </c>
      <c r="G2918" t="inlineStr">
        <is>
          <t>GVX</t>
        </is>
      </c>
      <c r="H2918" t="inlineStr">
        <is>
          <t>BYPASS</t>
        </is>
      </c>
      <c r="I2918" t="inlineStr">
        <is>
          <t>750kVA</t>
        </is>
      </c>
      <c r="J2918" t="inlineStr">
        <is>
          <t>MATRION</t>
        </is>
      </c>
      <c r="K2918" t="inlineStr">
        <is>
          <t>CUIVRE</t>
        </is>
      </c>
      <c r="L2918">
        <f>_xlfn.XLOOKUP(Tableau1[[#This Row],[TYPE DE PIECE]],Tableau4[MATIERE],Tableau4[SHORT TYPE],"",0,1)</f>
        <v/>
      </c>
      <c r="N2918">
        <f>IF(ISERR(FIND("DECOUPE",Tableau1[[#This Row],[DESIGNATION]])),"","NEED REF")</f>
        <v/>
      </c>
    </row>
    <row r="2919">
      <c r="B2919" t="n">
        <v>34411082</v>
      </c>
      <c r="C2919" s="2" t="n">
        <v>44830</v>
      </c>
      <c r="D2919" t="inlineStr">
        <is>
          <t>SPEC</t>
        </is>
      </c>
      <c r="E2919">
        <f>_xlfn.CONCAT(Tableau1[[#This Row],[SHORT TYPE]]," ",Tableau1[[#This Row],[NUMERO]]," ",Tableau1[[#This Row],[GAMME]]," ",Tableau1[[#This Row],[TYPE PRODUIT]]," ",Tableau1[[#This Row],[PUISSANCE]])</f>
        <v/>
      </c>
      <c r="G2919" t="inlineStr">
        <is>
          <t>GVX</t>
        </is>
      </c>
      <c r="H2919" t="inlineStr">
        <is>
          <t>BYPASS</t>
        </is>
      </c>
      <c r="I2919" t="inlineStr">
        <is>
          <t>750kVA</t>
        </is>
      </c>
      <c r="J2919" t="inlineStr">
        <is>
          <t>MATRION</t>
        </is>
      </c>
      <c r="K2919" t="inlineStr">
        <is>
          <t>CUIVRE</t>
        </is>
      </c>
      <c r="L2919">
        <f>_xlfn.XLOOKUP(Tableau1[[#This Row],[TYPE DE PIECE]],Tableau4[MATIERE],Tableau4[SHORT TYPE],"",0,1)</f>
        <v/>
      </c>
      <c r="N2919">
        <f>IF(ISERR(FIND("DECOUPE",Tableau1[[#This Row],[DESIGNATION]])),"","NEED REF")</f>
        <v/>
      </c>
    </row>
    <row r="2920">
      <c r="B2920" t="n">
        <v>34411081</v>
      </c>
      <c r="C2920" s="2" t="n">
        <v>44827</v>
      </c>
      <c r="D2920" t="inlineStr">
        <is>
          <t>SPEC</t>
        </is>
      </c>
      <c r="E2920" t="inlineStr">
        <is>
          <t>PLA PROTECTION AMONT BYPASS</t>
        </is>
      </c>
      <c r="F2920" t="inlineStr">
        <is>
          <t>CHANTIERS DE L ATLANTIQUE</t>
        </is>
      </c>
      <c r="G2920" t="inlineStr">
        <is>
          <t>GVX</t>
        </is>
      </c>
      <c r="J2920" t="inlineStr">
        <is>
          <t>BERNARDEAU</t>
        </is>
      </c>
      <c r="K2920" t="inlineStr">
        <is>
          <t>PLASTIQUE</t>
        </is>
      </c>
      <c r="L2920">
        <f>_xlfn.XLOOKUP(Tableau1[[#This Row],[TYPE DE PIECE]],Tableau4[MATIERE],Tableau4[SHORT TYPE],"",0,1)</f>
        <v/>
      </c>
      <c r="N2920">
        <f>IF(ISERR(FIND("DECOUPE",Tableau1[[#This Row],[DESIGNATION]])),"","NEED REF")</f>
        <v/>
      </c>
    </row>
    <row r="2921">
      <c r="B2921" t="n">
        <v>34411080</v>
      </c>
      <c r="C2921" s="2" t="n">
        <v>44827</v>
      </c>
      <c r="D2921" t="inlineStr">
        <is>
          <t>SPEC</t>
        </is>
      </c>
      <c r="E2921">
        <f>_xlfn.CONCAT(Tableau1[[#This Row],[SHORT TYPE]]," ",Tableau1[[#This Row],[NUMERO]]," ",Tableau1[[#This Row],[GAMME]]," ",Tableau1[[#This Row],[TYPE PRODUIT]]," ",Tableau1[[#This Row],[PUISSANCE]])</f>
        <v/>
      </c>
      <c r="G2921" t="inlineStr">
        <is>
          <t>GVX</t>
        </is>
      </c>
      <c r="H2921" t="inlineStr">
        <is>
          <t>BYPASS</t>
        </is>
      </c>
      <c r="I2921" t="inlineStr">
        <is>
          <t>750kVA</t>
        </is>
      </c>
      <c r="J2921" t="inlineStr">
        <is>
          <t>MATRION</t>
        </is>
      </c>
      <c r="K2921" t="inlineStr">
        <is>
          <t>CUIVRE</t>
        </is>
      </c>
      <c r="L2921">
        <f>_xlfn.XLOOKUP(Tableau1[[#This Row],[TYPE DE PIECE]],Tableau4[MATIERE],Tableau4[SHORT TYPE],"",0,1)</f>
        <v/>
      </c>
      <c r="N2921">
        <f>IF(ISERR(FIND("DECOUPE",Tableau1[[#This Row],[DESIGNATION]])),"","NEED REF")</f>
        <v/>
      </c>
    </row>
    <row r="2922">
      <c r="B2922" t="n">
        <v>34411079</v>
      </c>
      <c r="C2922" s="2" t="n">
        <v>44827</v>
      </c>
      <c r="D2922" t="inlineStr">
        <is>
          <t>SPEC</t>
        </is>
      </c>
      <c r="E2922">
        <f>_xlfn.CONCAT(Tableau1[[#This Row],[SHORT TYPE]]," ",Tableau1[[#This Row],[NUMERO]]," ",Tableau1[[#This Row],[GAMME]]," ",Tableau1[[#This Row],[TYPE PRODUIT]]," ",Tableau1[[#This Row],[PUISSANCE]])</f>
        <v/>
      </c>
      <c r="G2922" t="inlineStr">
        <is>
          <t>GVX</t>
        </is>
      </c>
      <c r="H2922" t="inlineStr">
        <is>
          <t>BYPASS</t>
        </is>
      </c>
      <c r="I2922" t="inlineStr">
        <is>
          <t>750kVA</t>
        </is>
      </c>
      <c r="J2922" t="inlineStr">
        <is>
          <t>MATRION</t>
        </is>
      </c>
      <c r="K2922" t="inlineStr">
        <is>
          <t>CUIVRE</t>
        </is>
      </c>
      <c r="L2922">
        <f>_xlfn.XLOOKUP(Tableau1[[#This Row],[TYPE DE PIECE]],Tableau4[MATIERE],Tableau4[SHORT TYPE],"",0,1)</f>
        <v/>
      </c>
      <c r="N2922">
        <f>IF(ISERR(FIND("DECOUPE",Tableau1[[#This Row],[DESIGNATION]])),"","NEED REF")</f>
        <v/>
      </c>
    </row>
    <row r="2923">
      <c r="B2923" t="n">
        <v>34411078</v>
      </c>
      <c r="C2923" s="2" t="n">
        <v>44827</v>
      </c>
      <c r="D2923" t="inlineStr">
        <is>
          <t>SPEC</t>
        </is>
      </c>
      <c r="E2923" t="inlineStr">
        <is>
          <t>SMT PLASTRON BYPASS 1 RAL7035</t>
        </is>
      </c>
      <c r="F2923" t="inlineStr">
        <is>
          <t>CHANTIERS DE L ATLANTIQUE</t>
        </is>
      </c>
      <c r="G2923" t="inlineStr">
        <is>
          <t>GVX</t>
        </is>
      </c>
      <c r="J2923" t="inlineStr">
        <is>
          <t>BERNARDEAU</t>
        </is>
      </c>
      <c r="K2923" t="inlineStr">
        <is>
          <t>METAL</t>
        </is>
      </c>
      <c r="L2923">
        <f>_xlfn.XLOOKUP(Tableau1[[#This Row],[TYPE DE PIECE]],Tableau4[MATIERE],Tableau4[SHORT TYPE],"",0,1)</f>
        <v/>
      </c>
      <c r="N2923">
        <f>IF(ISERR(FIND("DECOUPE",Tableau1[[#This Row],[DESIGNATION]])),"","NEED REF")</f>
        <v/>
      </c>
    </row>
    <row r="2924">
      <c r="B2924" t="n">
        <v>34411077</v>
      </c>
      <c r="C2924" s="2" t="n">
        <v>44827</v>
      </c>
      <c r="D2924" t="inlineStr">
        <is>
          <t>SPEC</t>
        </is>
      </c>
      <c r="E2924" t="inlineStr">
        <is>
          <t>PLA Plastron DJ BATT 908x405</t>
        </is>
      </c>
      <c r="F2924" t="inlineStr">
        <is>
          <t>CHANTIERS DE L ATLANTIQUE</t>
        </is>
      </c>
      <c r="G2924" t="inlineStr">
        <is>
          <t>GVX</t>
        </is>
      </c>
      <c r="J2924" t="inlineStr">
        <is>
          <t>BERNARDEAU</t>
        </is>
      </c>
      <c r="K2924" t="inlineStr">
        <is>
          <t>PLASTIQUE</t>
        </is>
      </c>
      <c r="L2924">
        <f>_xlfn.XLOOKUP(Tableau1[[#This Row],[TYPE DE PIECE]],Tableau4[MATIERE],Tableau4[SHORT TYPE],"",0,1)</f>
        <v/>
      </c>
      <c r="N2924">
        <f>IF(ISERR(FIND("DECOUPE",Tableau1[[#This Row],[DESIGNATION]])),"","NEED REF")</f>
        <v/>
      </c>
    </row>
    <row r="2925">
      <c r="B2925" t="n">
        <v>34411076</v>
      </c>
      <c r="C2925" s="2" t="n">
        <v>44825</v>
      </c>
      <c r="D2925" t="inlineStr">
        <is>
          <t>SPEC</t>
        </is>
      </c>
      <c r="E2925" t="inlineStr">
        <is>
          <t>SMT PLATINE DE FOND</t>
        </is>
      </c>
      <c r="F2925" t="inlineStr">
        <is>
          <t>CHANTIERS DE L ATLANTIQUE</t>
        </is>
      </c>
      <c r="G2925" t="inlineStr">
        <is>
          <t>GVX</t>
        </is>
      </c>
      <c r="I2925" t="inlineStr">
        <is>
          <t>80kVA</t>
        </is>
      </c>
      <c r="J2925" t="inlineStr">
        <is>
          <t>BERNARDEAU</t>
        </is>
      </c>
      <c r="K2925" t="inlineStr">
        <is>
          <t>METAL</t>
        </is>
      </c>
      <c r="L2925">
        <f>_xlfn.XLOOKUP(Tableau1[[#This Row],[TYPE DE PIECE]],Tableau4[MATIERE],Tableau4[SHORT TYPE],"",0,1)</f>
        <v/>
      </c>
      <c r="N2925">
        <f>IF(ISERR(FIND("DECOUPE",Tableau1[[#This Row],[DESIGNATION]])),"","NEED REF")</f>
        <v/>
      </c>
    </row>
    <row r="2926">
      <c r="B2926" t="n">
        <v>34411075</v>
      </c>
      <c r="C2926" s="2" t="n">
        <v>44824</v>
      </c>
      <c r="D2926" t="inlineStr">
        <is>
          <t>SPEC</t>
        </is>
      </c>
      <c r="E2926" t="inlineStr">
        <is>
          <t>CANEVAS NS800NA 4P-Q3BP</t>
        </is>
      </c>
      <c r="F2926" t="inlineStr">
        <is>
          <t>CHANTIERS DE L ATLANTIQUE</t>
        </is>
      </c>
      <c r="G2926" t="inlineStr">
        <is>
          <t>GVX</t>
        </is>
      </c>
      <c r="J2926" t="inlineStr">
        <is>
          <t>BERNARDEAU</t>
        </is>
      </c>
      <c r="K2926" t="inlineStr">
        <is>
          <t>CANEVAS</t>
        </is>
      </c>
      <c r="L2926">
        <f>_xlfn.XLOOKUP(Tableau1[[#This Row],[TYPE DE PIECE]],Tableau4[MATIERE],Tableau4[SHORT TYPE],"",0,1)</f>
        <v/>
      </c>
      <c r="M2926" t="inlineStr">
        <is>
          <t>CANEVAS</t>
        </is>
      </c>
      <c r="N2926">
        <f>IF(ISERR(FIND("DECOUPE",Tableau1[[#This Row],[DESIGNATION]])),"","NEED REF")</f>
        <v/>
      </c>
    </row>
    <row r="2927">
      <c r="B2927" t="n">
        <v>34411074</v>
      </c>
      <c r="C2927" s="2" t="n">
        <v>44824</v>
      </c>
      <c r="D2927" t="inlineStr">
        <is>
          <t>SPEC</t>
        </is>
      </c>
      <c r="E2927" t="inlineStr">
        <is>
          <t>CANEVAS NS800 4P-Q5N</t>
        </is>
      </c>
      <c r="F2927" t="inlineStr">
        <is>
          <t>CHANTIERS DE L ATLANTIQUE</t>
        </is>
      </c>
      <c r="G2927" t="inlineStr">
        <is>
          <t>GVX</t>
        </is>
      </c>
      <c r="J2927" t="inlineStr">
        <is>
          <t>BERNARDEAU</t>
        </is>
      </c>
      <c r="K2927" t="inlineStr">
        <is>
          <t>CANEVAS</t>
        </is>
      </c>
      <c r="L2927">
        <f>_xlfn.XLOOKUP(Tableau1[[#This Row],[TYPE DE PIECE]],Tableau4[MATIERE],Tableau4[SHORT TYPE],"",0,1)</f>
        <v/>
      </c>
      <c r="M2927" t="inlineStr">
        <is>
          <t>CANEVAS</t>
        </is>
      </c>
      <c r="N2927">
        <f>IF(ISERR(FIND("DECOUPE",Tableau1[[#This Row],[DESIGNATION]])),"","NEED REF")</f>
        <v/>
      </c>
    </row>
    <row r="2928">
      <c r="B2928" t="n">
        <v>34411073</v>
      </c>
      <c r="C2928" s="2" t="n">
        <v>44824</v>
      </c>
      <c r="D2928" t="inlineStr">
        <is>
          <t>SPEC</t>
        </is>
      </c>
      <c r="E2928" t="inlineStr">
        <is>
          <t>SMT PLASTRON REGEN 50A</t>
        </is>
      </c>
      <c r="F2928" t="inlineStr">
        <is>
          <t>SCHNEIDER ELECTRIC SCHWEIZ</t>
        </is>
      </c>
      <c r="G2928" t="inlineStr">
        <is>
          <t>E3S</t>
        </is>
      </c>
      <c r="H2928" t="inlineStr">
        <is>
          <t>REGEN</t>
        </is>
      </c>
      <c r="I2928" t="inlineStr">
        <is>
          <t>20KW</t>
        </is>
      </c>
      <c r="J2928" t="inlineStr">
        <is>
          <t>JAWORSKI</t>
        </is>
      </c>
      <c r="K2928" t="inlineStr">
        <is>
          <t>METAL</t>
        </is>
      </c>
      <c r="L2928">
        <f>_xlfn.XLOOKUP(Tableau1[[#This Row],[TYPE DE PIECE]],Tableau4[MATIERE],Tableau4[SHORT TYPE],"",0,1)</f>
        <v/>
      </c>
      <c r="N2928">
        <f>IF(ISERR(FIND("DECOUPE",Tableau1[[#This Row],[DESIGNATION]])),"","NEED REF")</f>
        <v/>
      </c>
    </row>
    <row r="2929">
      <c r="B2929" t="n">
        <v>34411072</v>
      </c>
      <c r="C2929" s="2" t="n">
        <v>44824</v>
      </c>
      <c r="D2929" t="inlineStr">
        <is>
          <t>SPEC</t>
        </is>
      </c>
      <c r="E2929" t="inlineStr">
        <is>
          <t>SMT SUPPORT DJ ACTI9</t>
        </is>
      </c>
      <c r="F2929" t="inlineStr">
        <is>
          <t>SCHNEIDER ELECTRIC SCHWEIZ</t>
        </is>
      </c>
      <c r="G2929" t="inlineStr">
        <is>
          <t>E3S</t>
        </is>
      </c>
      <c r="H2929" t="inlineStr">
        <is>
          <t>REGEN</t>
        </is>
      </c>
      <c r="I2929" t="inlineStr">
        <is>
          <t>20KW</t>
        </is>
      </c>
      <c r="J2929" t="inlineStr">
        <is>
          <t>JAWORSKI</t>
        </is>
      </c>
      <c r="K2929" t="inlineStr">
        <is>
          <t>METAL</t>
        </is>
      </c>
      <c r="L2929">
        <f>_xlfn.XLOOKUP(Tableau1[[#This Row],[TYPE DE PIECE]],Tableau4[MATIERE],Tableau4[SHORT TYPE],"",0,1)</f>
        <v/>
      </c>
      <c r="N2929">
        <f>IF(ISERR(FIND("DECOUPE",Tableau1[[#This Row],[DESIGNATION]])),"","NEED REF")</f>
        <v/>
      </c>
    </row>
    <row r="2930">
      <c r="B2930" t="n">
        <v>34411071</v>
      </c>
      <c r="C2930" s="2" t="n">
        <v>44823</v>
      </c>
      <c r="D2930" t="inlineStr">
        <is>
          <t>SPEC</t>
        </is>
      </c>
      <c r="E2930" t="inlineStr">
        <is>
          <t>SMT 34411071 PLASTRON IC60 GVX BYPASS 750kVA</t>
        </is>
      </c>
      <c r="G2930" t="inlineStr">
        <is>
          <t>GVX</t>
        </is>
      </c>
      <c r="H2930" t="inlineStr">
        <is>
          <t>BYPASS</t>
        </is>
      </c>
      <c r="I2930" t="inlineStr">
        <is>
          <t>750kVA</t>
        </is>
      </c>
      <c r="J2930" t="inlineStr">
        <is>
          <t>MATRION</t>
        </is>
      </c>
      <c r="K2930" t="inlineStr">
        <is>
          <t>METAL</t>
        </is>
      </c>
      <c r="L2930" t="inlineStr">
        <is>
          <t>SMT</t>
        </is>
      </c>
      <c r="N2930">
        <f>IF(ISERR(FIND("DECOUPE",Tableau1[[#This Row],[DESIGNATION]])),"","NEED REF")</f>
        <v/>
      </c>
    </row>
    <row r="2931">
      <c r="B2931" t="n">
        <v>34411070</v>
      </c>
      <c r="C2931" s="2" t="n">
        <v>44823</v>
      </c>
      <c r="D2931" t="inlineStr">
        <is>
          <t>SPEC</t>
        </is>
      </c>
      <c r="E2931" t="inlineStr">
        <is>
          <t>SMT 34411070 PLATINE THERMISTANCE GVX BYPASS 750kVA</t>
        </is>
      </c>
      <c r="G2931" t="inlineStr">
        <is>
          <t>GVX</t>
        </is>
      </c>
      <c r="H2931" t="inlineStr">
        <is>
          <t>BYPASS</t>
        </is>
      </c>
      <c r="I2931" t="inlineStr">
        <is>
          <t>750kVA</t>
        </is>
      </c>
      <c r="J2931" t="inlineStr">
        <is>
          <t>MATRION</t>
        </is>
      </c>
      <c r="K2931" t="inlineStr">
        <is>
          <t>METAL</t>
        </is>
      </c>
      <c r="L2931" t="inlineStr">
        <is>
          <t>SMT</t>
        </is>
      </c>
      <c r="N2931">
        <f>IF(ISERR(FIND("DECOUPE",Tableau1[[#This Row],[DESIGNATION]])),"","NEED REF")</f>
        <v/>
      </c>
    </row>
    <row r="2932">
      <c r="B2932" t="n">
        <v>34411069</v>
      </c>
      <c r="C2932" s="2" t="n">
        <v>44823</v>
      </c>
      <c r="D2932" t="inlineStr">
        <is>
          <t>SPEC</t>
        </is>
      </c>
      <c r="E2932" t="inlineStr">
        <is>
          <t>SMT PLATINE DE FOND</t>
        </is>
      </c>
      <c r="F2932" t="inlineStr">
        <is>
          <t>SCHNEIDER ELECTRIC SCHWEIZ</t>
        </is>
      </c>
      <c r="G2932" t="inlineStr">
        <is>
          <t>E3S</t>
        </is>
      </c>
      <c r="H2932" t="inlineStr">
        <is>
          <t>REGEN</t>
        </is>
      </c>
      <c r="I2932" t="inlineStr">
        <is>
          <t>20KW</t>
        </is>
      </c>
      <c r="J2932" t="inlineStr">
        <is>
          <t>JAWORSKI</t>
        </is>
      </c>
      <c r="K2932" t="inlineStr">
        <is>
          <t>DECOUPE</t>
        </is>
      </c>
      <c r="L2932" t="inlineStr">
        <is>
          <t>SMT</t>
        </is>
      </c>
      <c r="N2932">
        <f>IF(ISERR(FIND("DECOUPE",Tableau1[[#This Row],[DESIGNATION]])),"","NEED REF")</f>
        <v/>
      </c>
    </row>
    <row r="2933">
      <c r="B2933" t="n">
        <v>34411068</v>
      </c>
      <c r="C2933" s="2" t="n">
        <v>44823</v>
      </c>
      <c r="D2933" t="inlineStr">
        <is>
          <t>SPEC</t>
        </is>
      </c>
      <c r="E2933" t="inlineStr">
        <is>
          <t>PLA GOULOTTE AK2GD2550 L=520MM</t>
        </is>
      </c>
      <c r="F2933" t="inlineStr">
        <is>
          <t>SCHNEIDER ELECTRIC SCHWEIZ</t>
        </is>
      </c>
      <c r="G2933" t="inlineStr">
        <is>
          <t>E3S</t>
        </is>
      </c>
      <c r="H2933" t="inlineStr">
        <is>
          <t>REGEN</t>
        </is>
      </c>
      <c r="I2933" t="inlineStr">
        <is>
          <t>20KW</t>
        </is>
      </c>
      <c r="J2933" t="inlineStr">
        <is>
          <t>JAWORSKI</t>
        </is>
      </c>
      <c r="K2933" t="inlineStr">
        <is>
          <t>DECOUPE</t>
        </is>
      </c>
      <c r="L2933" t="inlineStr">
        <is>
          <t>PLA</t>
        </is>
      </c>
      <c r="N2933">
        <f>IF(ISERR(FIND("DECOUPE",Tableau1[[#This Row],[DESIGNATION]])),"","NEED REF")</f>
        <v/>
      </c>
    </row>
    <row r="2934">
      <c r="B2934" t="n">
        <v>34411067</v>
      </c>
      <c r="C2934" s="2" t="n">
        <v>44811</v>
      </c>
      <c r="D2934" t="inlineStr">
        <is>
          <t>SPEC</t>
        </is>
      </c>
      <c r="E2934" s="133" t="inlineStr">
        <is>
          <t>ARMOIRE PXC SAREL SF 2000x800x800 Ventilé DEVIS F22080330MHZ/A0</t>
        </is>
      </c>
      <c r="F2934" t="inlineStr">
        <is>
          <t xml:space="preserve">TOTAL RAFFINAGE FRANCE </t>
        </is>
      </c>
      <c r="G2934" t="inlineStr">
        <is>
          <t>PXC</t>
        </is>
      </c>
      <c r="J2934" t="inlineStr">
        <is>
          <t>MONGELLI</t>
        </is>
      </c>
      <c r="K2934" t="inlineStr">
        <is>
          <t>ARMOIRE</t>
        </is>
      </c>
      <c r="L2934">
        <f>_xlfn.XLOOKUP(Tableau1[[#This Row],[TYPE DE PIECE]],Tableau4[MATIERE],Tableau4[SHORT TYPE],"",0,1)</f>
        <v/>
      </c>
      <c r="N2934">
        <f>IF(ISERR(FIND("DECOUPE",Tableau1[[#This Row],[DESIGNATION]])),"","NEED REF")</f>
        <v/>
      </c>
    </row>
    <row r="2935">
      <c r="B2935" t="n">
        <v>34411066</v>
      </c>
      <c r="C2935" s="2" t="n">
        <v>44811</v>
      </c>
      <c r="D2935" t="inlineStr">
        <is>
          <t>SPEC</t>
        </is>
      </c>
      <c r="E2935" t="inlineStr">
        <is>
          <t>COP 100x10 + EPOXY 2</t>
        </is>
      </c>
      <c r="F2935" t="inlineStr">
        <is>
          <t>INTERXION FRANCE</t>
        </is>
      </c>
      <c r="G2935" t="inlineStr">
        <is>
          <t>GVX</t>
        </is>
      </c>
      <c r="H2935" t="inlineStr">
        <is>
          <t>IO</t>
        </is>
      </c>
      <c r="J2935" t="inlineStr">
        <is>
          <t>BERNARDEAU</t>
        </is>
      </c>
      <c r="K2935" t="inlineStr">
        <is>
          <t>CUIVRE</t>
        </is>
      </c>
      <c r="L2935">
        <f>_xlfn.XLOOKUP(Tableau1[[#This Row],[TYPE DE PIECE]],Tableau4[MATIERE],Tableau4[SHORT TYPE],"",0,1)</f>
        <v/>
      </c>
      <c r="N2935">
        <f>IF(ISERR(FIND("DECOUPE",Tableau1[[#This Row],[DESIGNATION]])),"","NEED REF")</f>
        <v/>
      </c>
    </row>
    <row r="2936">
      <c r="B2936" t="n">
        <v>34411065</v>
      </c>
      <c r="C2936" s="2" t="n">
        <v>44811</v>
      </c>
      <c r="D2936" t="inlineStr">
        <is>
          <t>SPEC</t>
        </is>
      </c>
      <c r="E2936" t="inlineStr">
        <is>
          <t>COP 100x10 + EPOXY 1</t>
        </is>
      </c>
      <c r="F2936" t="inlineStr">
        <is>
          <t>INTERXION FRANCE</t>
        </is>
      </c>
      <c r="G2936" t="inlineStr">
        <is>
          <t>GVX</t>
        </is>
      </c>
      <c r="H2936" t="inlineStr">
        <is>
          <t>IO</t>
        </is>
      </c>
      <c r="J2936" t="inlineStr">
        <is>
          <t>BERNARDEAU</t>
        </is>
      </c>
      <c r="K2936" t="inlineStr">
        <is>
          <t>CUIVRE</t>
        </is>
      </c>
      <c r="L2936">
        <f>_xlfn.XLOOKUP(Tableau1[[#This Row],[TYPE DE PIECE]],Tableau4[MATIERE],Tableau4[SHORT TYPE],"",0,1)</f>
        <v/>
      </c>
      <c r="N2936">
        <f>IF(ISERR(FIND("DECOUPE",Tableau1[[#This Row],[DESIGNATION]])),"","NEED REF")</f>
        <v/>
      </c>
    </row>
    <row r="2937">
      <c r="B2937" t="n">
        <v>34411064</v>
      </c>
      <c r="C2937" s="2" t="n">
        <v>44811</v>
      </c>
      <c r="D2937" t="inlineStr">
        <is>
          <t>SPEC</t>
        </is>
      </c>
      <c r="E2937" t="inlineStr">
        <is>
          <t>COP PLAGE PONTAGE BATT3</t>
        </is>
      </c>
      <c r="F2937" t="inlineStr">
        <is>
          <t>INTERXION FRANCE</t>
        </is>
      </c>
      <c r="G2937" t="inlineStr">
        <is>
          <t>GVX</t>
        </is>
      </c>
      <c r="H2937" t="inlineStr">
        <is>
          <t>IO</t>
        </is>
      </c>
      <c r="J2937" t="inlineStr">
        <is>
          <t>BERNARDEAU</t>
        </is>
      </c>
      <c r="K2937" t="inlineStr">
        <is>
          <t>CUIVRE</t>
        </is>
      </c>
      <c r="L2937">
        <f>_xlfn.XLOOKUP(Tableau1[[#This Row],[TYPE DE PIECE]],Tableau4[MATIERE],Tableau4[SHORT TYPE],"",0,1)</f>
        <v/>
      </c>
      <c r="N2937">
        <f>IF(ISERR(FIND("DECOUPE",Tableau1[[#This Row],[DESIGNATION]])),"","NEED REF")</f>
        <v/>
      </c>
    </row>
    <row r="2938">
      <c r="B2938" t="n">
        <v>34411063</v>
      </c>
      <c r="C2938" s="2" t="n">
        <v>44811</v>
      </c>
      <c r="D2938" t="inlineStr">
        <is>
          <t>SPEC</t>
        </is>
      </c>
      <c r="E2938" t="inlineStr">
        <is>
          <t>COP PLAGE PONTAGE BATT2</t>
        </is>
      </c>
      <c r="F2938" t="inlineStr">
        <is>
          <t>INTERXION FRANCE</t>
        </is>
      </c>
      <c r="G2938" t="inlineStr">
        <is>
          <t>GVX</t>
        </is>
      </c>
      <c r="H2938" t="inlineStr">
        <is>
          <t>IO</t>
        </is>
      </c>
      <c r="J2938" t="inlineStr">
        <is>
          <t>BERNARDEAU</t>
        </is>
      </c>
      <c r="K2938" t="inlineStr">
        <is>
          <t>CUIVRE</t>
        </is>
      </c>
      <c r="L2938">
        <f>_xlfn.XLOOKUP(Tableau1[[#This Row],[TYPE DE PIECE]],Tableau4[MATIERE],Tableau4[SHORT TYPE],"",0,1)</f>
        <v/>
      </c>
      <c r="N2938">
        <f>IF(ISERR(FIND("DECOUPE",Tableau1[[#This Row],[DESIGNATION]])),"","NEED REF")</f>
        <v/>
      </c>
    </row>
    <row r="2939">
      <c r="B2939" t="n">
        <v>34411062</v>
      </c>
      <c r="C2939" s="2" t="n">
        <v>44810</v>
      </c>
      <c r="D2939" t="inlineStr">
        <is>
          <t>SPEC</t>
        </is>
      </c>
      <c r="E2939" t="inlineStr">
        <is>
          <t>SMT TRAVERSE 1000 RAIL OMEGA</t>
        </is>
      </c>
      <c r="F2939" t="inlineStr">
        <is>
          <t>BRUNET BATAILLE</t>
        </is>
      </c>
      <c r="G2939" t="inlineStr">
        <is>
          <t>GVL</t>
        </is>
      </c>
      <c r="H2939" t="inlineStr">
        <is>
          <t>AUX</t>
        </is>
      </c>
      <c r="I2939" t="inlineStr">
        <is>
          <t>200KVA</t>
        </is>
      </c>
      <c r="J2939" t="inlineStr">
        <is>
          <t>JAWORSKI</t>
        </is>
      </c>
      <c r="K2939" t="inlineStr">
        <is>
          <t>METAL</t>
        </is>
      </c>
      <c r="L2939">
        <f>_xlfn.XLOOKUP(Tableau1[[#This Row],[TYPE DE PIECE]],Tableau4[MATIERE],Tableau4[SHORT TYPE],"",0,1)</f>
        <v/>
      </c>
      <c r="N2939">
        <f>IF(ISERR(FIND("DECOUPE",Tableau1[[#This Row],[DESIGNATION]])),"","NEED REF")</f>
        <v/>
      </c>
    </row>
    <row r="2940">
      <c r="B2940" t="n">
        <v>34411061</v>
      </c>
      <c r="C2940" s="2" t="n">
        <v>44810</v>
      </c>
      <c r="D2940" t="inlineStr">
        <is>
          <t>SPEC</t>
        </is>
      </c>
      <c r="E2940" t="inlineStr">
        <is>
          <t>SMT PLASTRON NSX630</t>
        </is>
      </c>
      <c r="F2940" t="inlineStr">
        <is>
          <t>BRUNET BATAILLE</t>
        </is>
      </c>
      <c r="G2940" t="inlineStr">
        <is>
          <t>GVL</t>
        </is>
      </c>
      <c r="H2940" t="inlineStr">
        <is>
          <t>AUX</t>
        </is>
      </c>
      <c r="I2940" t="inlineStr">
        <is>
          <t>200KVA</t>
        </is>
      </c>
      <c r="J2940" t="inlineStr">
        <is>
          <t>JAWORSKI</t>
        </is>
      </c>
      <c r="K2940" t="inlineStr">
        <is>
          <t>METAL</t>
        </is>
      </c>
      <c r="L2940">
        <f>_xlfn.XLOOKUP(Tableau1[[#This Row],[TYPE DE PIECE]],Tableau4[MATIERE],Tableau4[SHORT TYPE],"",0,1)</f>
        <v/>
      </c>
      <c r="N2940">
        <f>IF(ISERR(FIND("DECOUPE",Tableau1[[#This Row],[DESIGNATION]])),"","NEED REF")</f>
        <v/>
      </c>
    </row>
    <row r="2941">
      <c r="B2941" t="n">
        <v>34411060</v>
      </c>
      <c r="C2941" s="2" t="n">
        <v>44810</v>
      </c>
      <c r="D2941" t="inlineStr">
        <is>
          <t>SPEC</t>
        </is>
      </c>
      <c r="E2941" t="inlineStr">
        <is>
          <t>SMT PLASTRON HAUT</t>
        </is>
      </c>
      <c r="F2941" t="inlineStr">
        <is>
          <t>BRUNET BATAILLE</t>
        </is>
      </c>
      <c r="G2941" t="inlineStr">
        <is>
          <t>GVL</t>
        </is>
      </c>
      <c r="H2941" t="inlineStr">
        <is>
          <t>AUX</t>
        </is>
      </c>
      <c r="I2941" t="inlineStr">
        <is>
          <t>200KVA</t>
        </is>
      </c>
      <c r="J2941" t="inlineStr">
        <is>
          <t>JAWORSKI</t>
        </is>
      </c>
      <c r="K2941" t="inlineStr">
        <is>
          <t>METAL</t>
        </is>
      </c>
      <c r="L2941">
        <f>_xlfn.XLOOKUP(Tableau1[[#This Row],[TYPE DE PIECE]],Tableau4[MATIERE],Tableau4[SHORT TYPE],"",0,1)</f>
        <v/>
      </c>
      <c r="N2941">
        <f>IF(ISERR(FIND("DECOUPE",Tableau1[[#This Row],[DESIGNATION]])),"","NEED REF")</f>
        <v/>
      </c>
    </row>
    <row r="2942">
      <c r="B2942" t="n">
        <v>34411059</v>
      </c>
      <c r="C2942" s="2" t="n">
        <v>44810</v>
      </c>
      <c r="D2942" t="inlineStr">
        <is>
          <t>SPEC</t>
        </is>
      </c>
      <c r="E2942" t="inlineStr">
        <is>
          <t>SMT PLATINE 1000 NSX630</t>
        </is>
      </c>
      <c r="F2942" t="inlineStr">
        <is>
          <t>BRUNET BATAILLE</t>
        </is>
      </c>
      <c r="G2942" t="inlineStr">
        <is>
          <t>GVL</t>
        </is>
      </c>
      <c r="H2942" t="inlineStr">
        <is>
          <t>AUX</t>
        </is>
      </c>
      <c r="I2942" t="inlineStr">
        <is>
          <t>200KVA</t>
        </is>
      </c>
      <c r="J2942" t="inlineStr">
        <is>
          <t>JAWORSKI</t>
        </is>
      </c>
      <c r="K2942" t="inlineStr">
        <is>
          <t>METAL</t>
        </is>
      </c>
      <c r="L2942">
        <f>_xlfn.XLOOKUP(Tableau1[[#This Row],[TYPE DE PIECE]],Tableau4[MATIERE],Tableau4[SHORT TYPE],"",0,1)</f>
        <v/>
      </c>
      <c r="N2942">
        <f>IF(ISERR(FIND("DECOUPE",Tableau1[[#This Row],[DESIGNATION]])),"","NEED REF")</f>
        <v/>
      </c>
    </row>
    <row r="2943">
      <c r="B2943" t="n">
        <v>34411058</v>
      </c>
      <c r="C2943" s="2" t="n">
        <v>44810</v>
      </c>
      <c r="D2943" t="inlineStr">
        <is>
          <t>SPEC</t>
        </is>
      </c>
      <c r="E2943" t="inlineStr">
        <is>
          <t>SMT ECLISSAGE HAUT INTER CELLULE 45MM</t>
        </is>
      </c>
      <c r="F2943" t="inlineStr">
        <is>
          <t>BRUNET BATAILLE</t>
        </is>
      </c>
      <c r="G2943" t="inlineStr">
        <is>
          <t>GVL</t>
        </is>
      </c>
      <c r="H2943" t="inlineStr">
        <is>
          <t>AUX</t>
        </is>
      </c>
      <c r="I2943" t="inlineStr">
        <is>
          <t>200KVA</t>
        </is>
      </c>
      <c r="J2943" t="inlineStr">
        <is>
          <t>JAWORSKI</t>
        </is>
      </c>
      <c r="K2943" t="inlineStr">
        <is>
          <t>METAL</t>
        </is>
      </c>
      <c r="L2943">
        <f>_xlfn.XLOOKUP(Tableau1[[#This Row],[TYPE DE PIECE]],Tableau4[MATIERE],Tableau4[SHORT TYPE],"",0,1)</f>
        <v/>
      </c>
      <c r="N2943">
        <f>IF(ISERR(FIND("DECOUPE",Tableau1[[#This Row],[DESIGNATION]])),"","NEED REF")</f>
        <v/>
      </c>
    </row>
    <row r="2944">
      <c r="B2944" t="n">
        <v>34411057</v>
      </c>
      <c r="C2944" s="2" t="n">
        <v>44810</v>
      </c>
      <c r="D2944" t="inlineStr">
        <is>
          <t>SPEC</t>
        </is>
      </c>
      <c r="E2944" t="inlineStr">
        <is>
          <t>SMT ECLISSAGE ARRIERE INTER CELLULE 45MM</t>
        </is>
      </c>
      <c r="F2944" t="inlineStr">
        <is>
          <t>BRUNET BATAILLE</t>
        </is>
      </c>
      <c r="G2944" t="inlineStr">
        <is>
          <t>GVL</t>
        </is>
      </c>
      <c r="H2944" t="inlineStr">
        <is>
          <t>AUX</t>
        </is>
      </c>
      <c r="I2944" t="inlineStr">
        <is>
          <t>200KVA</t>
        </is>
      </c>
      <c r="J2944" t="inlineStr">
        <is>
          <t>JAWORSKI</t>
        </is>
      </c>
      <c r="K2944" t="inlineStr">
        <is>
          <t>METAL</t>
        </is>
      </c>
      <c r="L2944">
        <f>_xlfn.XLOOKUP(Tableau1[[#This Row],[TYPE DE PIECE]],Tableau4[MATIERE],Tableau4[SHORT TYPE],"",0,1)</f>
        <v/>
      </c>
      <c r="N2944">
        <f>IF(ISERR(FIND("DECOUPE",Tableau1[[#This Row],[DESIGNATION]])),"","NEED REF")</f>
        <v/>
      </c>
    </row>
    <row r="2945">
      <c r="B2945" t="n">
        <v>34411056</v>
      </c>
      <c r="C2945" s="2" t="n">
        <v>44810</v>
      </c>
      <c r="D2945" t="inlineStr">
        <is>
          <t>SPEC</t>
        </is>
      </c>
      <c r="E2945" t="inlineStr">
        <is>
          <t>SMT ECLISSAGE AVANT INTER CELLULE 45MM</t>
        </is>
      </c>
      <c r="F2945" t="inlineStr">
        <is>
          <t>BRUNET BATAILLE</t>
        </is>
      </c>
      <c r="G2945" t="inlineStr">
        <is>
          <t>GVL</t>
        </is>
      </c>
      <c r="H2945" t="inlineStr">
        <is>
          <t>AUX</t>
        </is>
      </c>
      <c r="I2945" t="inlineStr">
        <is>
          <t>200KVA</t>
        </is>
      </c>
      <c r="J2945" t="inlineStr">
        <is>
          <t>JAWORSKI</t>
        </is>
      </c>
      <c r="K2945" t="inlineStr">
        <is>
          <t>METAL</t>
        </is>
      </c>
      <c r="L2945">
        <f>_xlfn.XLOOKUP(Tableau1[[#This Row],[TYPE DE PIECE]],Tableau4[MATIERE],Tableau4[SHORT TYPE],"",0,1)</f>
        <v/>
      </c>
      <c r="N2945">
        <f>IF(ISERR(FIND("DECOUPE",Tableau1[[#This Row],[DESIGNATION]])),"","NEED REF")</f>
        <v/>
      </c>
    </row>
    <row r="2946">
      <c r="B2946" t="n">
        <v>34411055</v>
      </c>
      <c r="C2946" s="2" t="n">
        <v>44810</v>
      </c>
      <c r="D2946" t="inlineStr">
        <is>
          <t>SPEC</t>
        </is>
      </c>
      <c r="E2946" t="inlineStr">
        <is>
          <t>SMT TRAVERSE SUPPORT TORE</t>
        </is>
      </c>
      <c r="J2946" t="inlineStr">
        <is>
          <t>BERNARDEAU</t>
        </is>
      </c>
      <c r="K2946" t="inlineStr">
        <is>
          <t>METAL</t>
        </is>
      </c>
      <c r="L2946">
        <f>_xlfn.XLOOKUP(Tableau1[[#This Row],[TYPE DE PIECE]],Tableau4[MATIERE],Tableau4[SHORT TYPE],"",0,1)</f>
        <v/>
      </c>
      <c r="N2946">
        <f>IF(ISERR(FIND("DECOUPE",Tableau1[[#This Row],[DESIGNATION]])),"","NEED REF")</f>
        <v/>
      </c>
    </row>
    <row r="2947">
      <c r="B2947" t="n">
        <v>34411054</v>
      </c>
      <c r="C2947" s="2" t="n">
        <v>44810</v>
      </c>
      <c r="D2947" t="inlineStr">
        <is>
          <t>SPEC</t>
        </is>
      </c>
      <c r="E2947" t="inlineStr">
        <is>
          <t>SMT SUPPORT TORE</t>
        </is>
      </c>
      <c r="J2947" t="inlineStr">
        <is>
          <t>BERNARDEAU</t>
        </is>
      </c>
      <c r="K2947" t="inlineStr">
        <is>
          <t>METAL</t>
        </is>
      </c>
      <c r="L2947">
        <f>_xlfn.XLOOKUP(Tableau1[[#This Row],[TYPE DE PIECE]],Tableau4[MATIERE],Tableau4[SHORT TYPE],"",0,1)</f>
        <v/>
      </c>
      <c r="N2947">
        <f>IF(ISERR(FIND("DECOUPE",Tableau1[[#This Row],[DESIGNATION]])),"","NEED REF")</f>
        <v/>
      </c>
    </row>
    <row r="2948">
      <c r="B2948" t="n">
        <v>34411053</v>
      </c>
      <c r="C2948" s="2" t="n">
        <v>44806</v>
      </c>
      <c r="D2948" t="inlineStr">
        <is>
          <t>SPEC</t>
        </is>
      </c>
      <c r="E2948" t="inlineStr">
        <is>
          <t>SMT PLASTRON UOB + VOYANT</t>
        </is>
      </c>
      <c r="F2948" t="inlineStr">
        <is>
          <t>ST ROUSSET</t>
        </is>
      </c>
      <c r="G2948" t="inlineStr">
        <is>
          <t>GVL</t>
        </is>
      </c>
      <c r="H2948" t="inlineStr">
        <is>
          <t>AUTRE</t>
        </is>
      </c>
      <c r="I2948" t="inlineStr">
        <is>
          <t>800KW</t>
        </is>
      </c>
      <c r="J2948" t="inlineStr">
        <is>
          <t>JAWORSKI</t>
        </is>
      </c>
      <c r="K2948" t="inlineStr">
        <is>
          <t>METAL</t>
        </is>
      </c>
      <c r="L2948">
        <f>_xlfn.XLOOKUP(Tableau1[[#This Row],[TYPE DE PIECE]],Tableau4[MATIERE],Tableau4[SHORT TYPE],"",0,1)</f>
        <v/>
      </c>
      <c r="N2948">
        <f>IF(ISERR(FIND("DECOUPE",Tableau1[[#This Row],[DESIGNATION]])),"","NEED REF")</f>
        <v/>
      </c>
    </row>
    <row r="2949">
      <c r="B2949" t="n">
        <v>34411052</v>
      </c>
      <c r="C2949" s="2" t="n">
        <v>44806</v>
      </c>
      <c r="D2949" t="inlineStr">
        <is>
          <t>SPEC</t>
        </is>
      </c>
      <c r="E2949" t="inlineStr">
        <is>
          <t>SMT SUPPORT VOYANT</t>
        </is>
      </c>
      <c r="F2949" t="inlineStr">
        <is>
          <t>ST ROUSSET</t>
        </is>
      </c>
      <c r="G2949" t="inlineStr">
        <is>
          <t>GVL</t>
        </is>
      </c>
      <c r="H2949" t="inlineStr">
        <is>
          <t>AUTRE</t>
        </is>
      </c>
      <c r="I2949" t="inlineStr">
        <is>
          <t>800KW</t>
        </is>
      </c>
      <c r="J2949" t="inlineStr">
        <is>
          <t>JAWORSKI</t>
        </is>
      </c>
      <c r="K2949" t="inlineStr">
        <is>
          <t>METAL</t>
        </is>
      </c>
      <c r="L2949">
        <f>_xlfn.XLOOKUP(Tableau1[[#This Row],[TYPE DE PIECE]],Tableau4[MATIERE],Tableau4[SHORT TYPE],"",0,1)</f>
        <v/>
      </c>
      <c r="N2949">
        <f>IF(ISERR(FIND("DECOUPE",Tableau1[[#This Row],[DESIGNATION]])),"","NEED REF")</f>
        <v/>
      </c>
    </row>
    <row r="2950">
      <c r="B2950" t="n">
        <v>34411051</v>
      </c>
      <c r="C2950" s="2" t="n">
        <v>44806</v>
      </c>
      <c r="D2950" t="inlineStr">
        <is>
          <t>SPEC</t>
        </is>
      </c>
      <c r="E2950" t="inlineStr">
        <is>
          <t>PLA PLAQUE DE BRIDAGE CUIVRE</t>
        </is>
      </c>
      <c r="F2950" t="inlineStr">
        <is>
          <t>ST ROUSSET</t>
        </is>
      </c>
      <c r="G2950" t="inlineStr">
        <is>
          <t>GVL</t>
        </is>
      </c>
      <c r="H2950" t="inlineStr">
        <is>
          <t>AUTRE</t>
        </is>
      </c>
      <c r="I2950" t="inlineStr">
        <is>
          <t>800KW</t>
        </is>
      </c>
      <c r="J2950" t="inlineStr">
        <is>
          <t>JAWORSKI</t>
        </is>
      </c>
      <c r="K2950" t="inlineStr">
        <is>
          <t>PLASTIQUE</t>
        </is>
      </c>
      <c r="L2950">
        <f>_xlfn.XLOOKUP(Tableau1[[#This Row],[TYPE DE PIECE]],Tableau4[MATIERE],Tableau4[SHORT TYPE],"",0,1)</f>
        <v/>
      </c>
      <c r="N2950">
        <f>IF(ISERR(FIND("DECOUPE",Tableau1[[#This Row],[DESIGNATION]])),"","NEED REF")</f>
        <v/>
      </c>
    </row>
    <row r="2951">
      <c r="B2951" t="n">
        <v>34411050</v>
      </c>
      <c r="C2951" s="2" t="n">
        <v>44806</v>
      </c>
      <c r="D2951" t="inlineStr">
        <is>
          <t>SPEC</t>
        </is>
      </c>
      <c r="E2951" t="inlineStr">
        <is>
          <t>COP LIAISON NSX630 LINERGY L3</t>
        </is>
      </c>
      <c r="F2951" t="inlineStr">
        <is>
          <t>ST ROUSSET</t>
        </is>
      </c>
      <c r="G2951" t="inlineStr">
        <is>
          <t>GVL</t>
        </is>
      </c>
      <c r="H2951" t="inlineStr">
        <is>
          <t>AUTRE</t>
        </is>
      </c>
      <c r="I2951" t="inlineStr">
        <is>
          <t>800KW</t>
        </is>
      </c>
      <c r="J2951" t="inlineStr">
        <is>
          <t>JAWORSKI</t>
        </is>
      </c>
      <c r="K2951" t="inlineStr">
        <is>
          <t>CUIVRE</t>
        </is>
      </c>
      <c r="L2951">
        <f>_xlfn.XLOOKUP(Tableau1[[#This Row],[TYPE DE PIECE]],Tableau4[MATIERE],Tableau4[SHORT TYPE],"",0,1)</f>
        <v/>
      </c>
      <c r="N2951">
        <f>IF(ISERR(FIND("DECOUPE",Tableau1[[#This Row],[DESIGNATION]])),"","NEED REF")</f>
        <v/>
      </c>
    </row>
    <row r="2952">
      <c r="B2952" t="n">
        <v>34411049</v>
      </c>
      <c r="C2952" s="2" t="n">
        <v>44806</v>
      </c>
      <c r="D2952" t="inlineStr">
        <is>
          <t>SPEC</t>
        </is>
      </c>
      <c r="E2952" t="inlineStr">
        <is>
          <t>COP LIAISON NSX630 LINERGY L2</t>
        </is>
      </c>
      <c r="F2952" t="inlineStr">
        <is>
          <t>ST ROUSSET</t>
        </is>
      </c>
      <c r="G2952" t="inlineStr">
        <is>
          <t>GVL</t>
        </is>
      </c>
      <c r="H2952" t="inlineStr">
        <is>
          <t>AUTRE</t>
        </is>
      </c>
      <c r="I2952" t="inlineStr">
        <is>
          <t>800KW</t>
        </is>
      </c>
      <c r="J2952" t="inlineStr">
        <is>
          <t>JAWORSKI</t>
        </is>
      </c>
      <c r="K2952" t="inlineStr">
        <is>
          <t>CUIVRE</t>
        </is>
      </c>
      <c r="L2952">
        <f>_xlfn.XLOOKUP(Tableau1[[#This Row],[TYPE DE PIECE]],Tableau4[MATIERE],Tableau4[SHORT TYPE],"",0,1)</f>
        <v/>
      </c>
      <c r="N2952">
        <f>IF(ISERR(FIND("DECOUPE",Tableau1[[#This Row],[DESIGNATION]])),"","NEED REF")</f>
        <v/>
      </c>
    </row>
    <row r="2953">
      <c r="B2953" t="n">
        <v>34411048</v>
      </c>
      <c r="C2953" s="2" t="n">
        <v>44806</v>
      </c>
      <c r="D2953" t="inlineStr">
        <is>
          <t>SPEC</t>
        </is>
      </c>
      <c r="E2953" t="inlineStr">
        <is>
          <t>COP LIAISON NSX630 LINERGY L1</t>
        </is>
      </c>
      <c r="F2953" t="inlineStr">
        <is>
          <t>ST ROUSSET</t>
        </is>
      </c>
      <c r="G2953" t="inlineStr">
        <is>
          <t>GVL</t>
        </is>
      </c>
      <c r="H2953" t="inlineStr">
        <is>
          <t>AUTRE</t>
        </is>
      </c>
      <c r="I2953" t="inlineStr">
        <is>
          <t>800KW</t>
        </is>
      </c>
      <c r="J2953" t="inlineStr">
        <is>
          <t>JAWORSKI</t>
        </is>
      </c>
      <c r="K2953" t="inlineStr">
        <is>
          <t>CUIVRE</t>
        </is>
      </c>
      <c r="L2953">
        <f>_xlfn.XLOOKUP(Tableau1[[#This Row],[TYPE DE PIECE]],Tableau4[MATIERE],Tableau4[SHORT TYPE],"",0,1)</f>
        <v/>
      </c>
      <c r="N2953">
        <f>IF(ISERR(FIND("DECOUPE",Tableau1[[#This Row],[DESIGNATION]])),"","NEED REF")</f>
        <v/>
      </c>
    </row>
    <row r="2954">
      <c r="B2954" t="n">
        <v>34411047</v>
      </c>
      <c r="C2954" s="2" t="n">
        <v>44805</v>
      </c>
      <c r="D2954" t="inlineStr">
        <is>
          <t>SPEC</t>
        </is>
      </c>
      <c r="E2954" t="inlineStr">
        <is>
          <t>COP LIAISON NSX630 LINERGY N</t>
        </is>
      </c>
      <c r="F2954" t="inlineStr">
        <is>
          <t>ST ROUSSET</t>
        </is>
      </c>
      <c r="G2954" t="inlineStr">
        <is>
          <t>GVL</t>
        </is>
      </c>
      <c r="H2954" t="inlineStr">
        <is>
          <t>AUTRE</t>
        </is>
      </c>
      <c r="I2954" t="inlineStr">
        <is>
          <t>800KW</t>
        </is>
      </c>
      <c r="J2954" t="inlineStr">
        <is>
          <t>JAWORSKI</t>
        </is>
      </c>
      <c r="K2954" t="inlineStr">
        <is>
          <t>CUIVRE</t>
        </is>
      </c>
      <c r="L2954">
        <f>_xlfn.XLOOKUP(Tableau1[[#This Row],[TYPE DE PIECE]],Tableau4[MATIERE],Tableau4[SHORT TYPE],"",0,1)</f>
        <v/>
      </c>
      <c r="N2954">
        <f>IF(ISERR(FIND("DECOUPE",Tableau1[[#This Row],[DESIGNATION]])),"","NEED REF")</f>
        <v/>
      </c>
    </row>
    <row r="2955">
      <c r="B2955" t="n">
        <v>34411046</v>
      </c>
      <c r="C2955" s="2" t="n">
        <v>44805</v>
      </c>
      <c r="D2955" t="inlineStr">
        <is>
          <t>SPEC</t>
        </is>
      </c>
      <c r="E2955" t="inlineStr">
        <is>
          <t>SMT SUPPORT PLATINE</t>
        </is>
      </c>
      <c r="F2955" t="inlineStr">
        <is>
          <t>ST ROUSSET</t>
        </is>
      </c>
      <c r="G2955" t="inlineStr">
        <is>
          <t>GVL</t>
        </is>
      </c>
      <c r="H2955" t="inlineStr">
        <is>
          <t>AUTRE</t>
        </is>
      </c>
      <c r="I2955" t="inlineStr">
        <is>
          <t>800KW</t>
        </is>
      </c>
      <c r="J2955" t="inlineStr">
        <is>
          <t>JAWORSKI</t>
        </is>
      </c>
      <c r="K2955" t="inlineStr">
        <is>
          <t>METAL</t>
        </is>
      </c>
      <c r="L2955">
        <f>_xlfn.XLOOKUP(Tableau1[[#This Row],[TYPE DE PIECE]],Tableau4[MATIERE],Tableau4[SHORT TYPE],"",0,1)</f>
        <v/>
      </c>
      <c r="N2955">
        <f>IF(ISERR(FIND("DECOUPE",Tableau1[[#This Row],[DESIGNATION]])),"","NEED REF")</f>
        <v/>
      </c>
    </row>
    <row r="2956">
      <c r="B2956" t="n">
        <v>34411045</v>
      </c>
      <c r="C2956" s="2" t="n">
        <v>44805</v>
      </c>
      <c r="D2956" t="inlineStr">
        <is>
          <t>SPEC</t>
        </is>
      </c>
      <c r="E2956" t="inlineStr">
        <is>
          <t>SMT SUPPORT PLATINE UOB BAS</t>
        </is>
      </c>
      <c r="F2956" t="inlineStr">
        <is>
          <t>ST ROUSSET</t>
        </is>
      </c>
      <c r="G2956" t="inlineStr">
        <is>
          <t>GVL</t>
        </is>
      </c>
      <c r="H2956" t="inlineStr">
        <is>
          <t>AUTRE</t>
        </is>
      </c>
      <c r="I2956" t="inlineStr">
        <is>
          <t>800KW</t>
        </is>
      </c>
      <c r="J2956" t="inlineStr">
        <is>
          <t>JAWORSKI</t>
        </is>
      </c>
      <c r="K2956" t="inlineStr">
        <is>
          <t>METAL</t>
        </is>
      </c>
      <c r="L2956">
        <f>_xlfn.XLOOKUP(Tableau1[[#This Row],[TYPE DE PIECE]],Tableau4[MATIERE],Tableau4[SHORT TYPE],"",0,1)</f>
        <v/>
      </c>
      <c r="N2956">
        <f>IF(ISERR(FIND("DECOUPE",Tableau1[[#This Row],[DESIGNATION]])),"","NEED REF")</f>
        <v/>
      </c>
    </row>
    <row r="2957">
      <c r="B2957" t="n">
        <v>34411044</v>
      </c>
      <c r="C2957" s="2" t="n">
        <v>44805</v>
      </c>
      <c r="D2957" t="inlineStr">
        <is>
          <t>SPEC</t>
        </is>
      </c>
      <c r="E2957" t="inlineStr">
        <is>
          <t>SMT SUPPORT LINERGY</t>
        </is>
      </c>
      <c r="F2957" t="inlineStr">
        <is>
          <t>ST ROUSSET</t>
        </is>
      </c>
      <c r="G2957" t="inlineStr">
        <is>
          <t>GVL</t>
        </is>
      </c>
      <c r="H2957" t="inlineStr">
        <is>
          <t>AUTRE</t>
        </is>
      </c>
      <c r="I2957" t="inlineStr">
        <is>
          <t>800KW</t>
        </is>
      </c>
      <c r="J2957" t="inlineStr">
        <is>
          <t>JAWORSKI</t>
        </is>
      </c>
      <c r="K2957" t="inlineStr">
        <is>
          <t>METAL</t>
        </is>
      </c>
      <c r="L2957">
        <f>_xlfn.XLOOKUP(Tableau1[[#This Row],[TYPE DE PIECE]],Tableau4[MATIERE],Tableau4[SHORT TYPE],"",0,1)</f>
        <v/>
      </c>
      <c r="N2957">
        <f>IF(ISERR(FIND("DECOUPE",Tableau1[[#This Row],[DESIGNATION]])),"","NEED REF")</f>
        <v/>
      </c>
    </row>
    <row r="2958">
      <c r="B2958" t="n">
        <v>34411043</v>
      </c>
      <c r="C2958" s="2" t="n">
        <v>44805</v>
      </c>
      <c r="D2958" t="inlineStr">
        <is>
          <t>SPEC</t>
        </is>
      </c>
      <c r="E2958" t="inlineStr">
        <is>
          <t>SMT PLATINE NSX630</t>
        </is>
      </c>
      <c r="F2958" t="inlineStr">
        <is>
          <t>ST ROUSSET</t>
        </is>
      </c>
      <c r="G2958" t="inlineStr">
        <is>
          <t>GVL</t>
        </is>
      </c>
      <c r="H2958" t="inlineStr">
        <is>
          <t>AUTRE</t>
        </is>
      </c>
      <c r="I2958" t="inlineStr">
        <is>
          <t>800KW</t>
        </is>
      </c>
      <c r="J2958" t="inlineStr">
        <is>
          <t>JAWORSKI</t>
        </is>
      </c>
      <c r="K2958" t="inlineStr">
        <is>
          <t>METAL</t>
        </is>
      </c>
      <c r="L2958">
        <f>_xlfn.XLOOKUP(Tableau1[[#This Row],[TYPE DE PIECE]],Tableau4[MATIERE],Tableau4[SHORT TYPE],"",0,1)</f>
        <v/>
      </c>
      <c r="N2958">
        <f>IF(ISERR(FIND("DECOUPE",Tableau1[[#This Row],[DESIGNATION]])),"","NEED REF")</f>
        <v/>
      </c>
    </row>
    <row r="2959">
      <c r="B2959" t="n">
        <v>34411042</v>
      </c>
      <c r="C2959" s="2" t="n">
        <v>44798</v>
      </c>
      <c r="D2959" t="inlineStr">
        <is>
          <t>SPEC</t>
        </is>
      </c>
      <c r="E2959" t="inlineStr">
        <is>
          <t>SE COMPACT NS800H 3P micro 5.0E</t>
        </is>
      </c>
      <c r="F2959" t="inlineStr">
        <is>
          <t>KEM ONE SAS</t>
        </is>
      </c>
      <c r="G2959" t="inlineStr">
        <is>
          <t>GVS</t>
        </is>
      </c>
      <c r="H2959" t="inlineStr">
        <is>
          <t>BYPASS</t>
        </is>
      </c>
      <c r="I2959" t="inlineStr">
        <is>
          <t>60kW</t>
        </is>
      </c>
      <c r="J2959" t="inlineStr">
        <is>
          <t>JAWORSKI</t>
        </is>
      </c>
      <c r="K2959" t="inlineStr">
        <is>
          <t>SCHNEIDER</t>
        </is>
      </c>
      <c r="L2959">
        <f>_xlfn.XLOOKUP(Tableau1[[#This Row],[TYPE DE PIECE]],Tableau4[MATIERE],Tableau4[SHORT TYPE],"",0,1)</f>
        <v/>
      </c>
      <c r="N2959">
        <f>IF(ISERR(FIND("DECOUPE",Tableau1[[#This Row],[DESIGNATION]])),"","NEED REF")</f>
        <v/>
      </c>
    </row>
    <row r="2960">
      <c r="B2960" t="n">
        <v>34411041</v>
      </c>
      <c r="C2960" s="2" t="n">
        <v>44797</v>
      </c>
      <c r="D2960" t="inlineStr">
        <is>
          <t>SPEC</t>
        </is>
      </c>
      <c r="E2960" t="inlineStr">
        <is>
          <t>SMT CACHE OUVERTURE TOIT</t>
        </is>
      </c>
      <c r="F2960" t="inlineStr">
        <is>
          <t>INTERXION France</t>
        </is>
      </c>
      <c r="G2960" t="inlineStr">
        <is>
          <t>GVX</t>
        </is>
      </c>
      <c r="J2960" t="inlineStr">
        <is>
          <t>BERNARDEAU</t>
        </is>
      </c>
      <c r="K2960" t="inlineStr">
        <is>
          <t>METAL</t>
        </is>
      </c>
      <c r="L2960">
        <f>_xlfn.XLOOKUP(Tableau1[[#This Row],[TYPE DE PIECE]],Tableau4[MATIERE],Tableau4[SHORT TYPE],"",0,1)</f>
        <v/>
      </c>
      <c r="N2960">
        <f>IF(ISERR(FIND("DECOUPE",Tableau1[[#This Row],[DESIGNATION]])),"","NEED REF")</f>
        <v/>
      </c>
    </row>
    <row r="2961">
      <c r="B2961" t="n">
        <v>34411040</v>
      </c>
      <c r="C2961" s="2" t="n">
        <v>44797</v>
      </c>
      <c r="D2961" t="inlineStr">
        <is>
          <t>SPEC</t>
        </is>
      </c>
      <c r="E2961" t="inlineStr">
        <is>
          <t>SMT CACHE OUVERTURE TOIT</t>
        </is>
      </c>
      <c r="F2961" t="inlineStr">
        <is>
          <t>INTERXION France</t>
        </is>
      </c>
      <c r="G2961" t="inlineStr">
        <is>
          <t>GVX</t>
        </is>
      </c>
      <c r="J2961" t="inlineStr">
        <is>
          <t>BERNARDEAU</t>
        </is>
      </c>
      <c r="K2961" t="inlineStr">
        <is>
          <t>METAL</t>
        </is>
      </c>
      <c r="L2961">
        <f>_xlfn.XLOOKUP(Tableau1[[#This Row],[TYPE DE PIECE]],Tableau4[MATIERE],Tableau4[SHORT TYPE],"",0,1)</f>
        <v/>
      </c>
      <c r="N2961">
        <f>IF(ISERR(FIND("DECOUPE",Tableau1[[#This Row],[DESIGNATION]])),"","NEED REF")</f>
        <v/>
      </c>
    </row>
    <row r="2962">
      <c r="B2962" t="n">
        <v>34411039</v>
      </c>
      <c r="C2962" s="2" t="n">
        <v>44796</v>
      </c>
      <c r="D2962" t="inlineStr">
        <is>
          <t>SPEC</t>
        </is>
      </c>
      <c r="E2962" t="inlineStr">
        <is>
          <t>SMT PLASTRON TRANSFO</t>
        </is>
      </c>
      <c r="F2962" t="inlineStr">
        <is>
          <t>KEM ONE SAS</t>
        </is>
      </c>
      <c r="G2962" t="inlineStr">
        <is>
          <t>GVS</t>
        </is>
      </c>
      <c r="H2962" t="inlineStr">
        <is>
          <t>BYPASS</t>
        </is>
      </c>
      <c r="I2962" t="inlineStr">
        <is>
          <t>60kW</t>
        </is>
      </c>
      <c r="J2962" t="inlineStr">
        <is>
          <t>JAWORSKI</t>
        </is>
      </c>
      <c r="K2962" t="inlineStr">
        <is>
          <t>METAL</t>
        </is>
      </c>
      <c r="L2962">
        <f>_xlfn.XLOOKUP(Tableau1[[#This Row],[TYPE DE PIECE]],Tableau4[MATIERE],Tableau4[SHORT TYPE],"",0,1)</f>
        <v/>
      </c>
      <c r="N2962">
        <f>IF(ISERR(FIND("DECOUPE",Tableau1[[#This Row],[DESIGNATION]])),"","NEED REF")</f>
        <v/>
      </c>
    </row>
    <row r="2963">
      <c r="B2963" t="n">
        <v>34411038</v>
      </c>
      <c r="C2963" s="2" t="n">
        <v>44796</v>
      </c>
      <c r="D2963" t="inlineStr">
        <is>
          <t>SPEC</t>
        </is>
      </c>
      <c r="E2963" t="inlineStr">
        <is>
          <t>SMT PLASTRON AUXILIAIRE</t>
        </is>
      </c>
      <c r="F2963" t="inlineStr">
        <is>
          <t>KEM ONE SAS</t>
        </is>
      </c>
      <c r="G2963" t="inlineStr">
        <is>
          <t>GVS</t>
        </is>
      </c>
      <c r="H2963" t="inlineStr">
        <is>
          <t>BYPASS</t>
        </is>
      </c>
      <c r="I2963" t="inlineStr">
        <is>
          <t>60kW</t>
        </is>
      </c>
      <c r="J2963" t="inlineStr">
        <is>
          <t>JAWORSKI</t>
        </is>
      </c>
      <c r="K2963" t="inlineStr">
        <is>
          <t>METAL</t>
        </is>
      </c>
      <c r="L2963">
        <f>_xlfn.XLOOKUP(Tableau1[[#This Row],[TYPE DE PIECE]],Tableau4[MATIERE],Tableau4[SHORT TYPE],"",0,1)</f>
        <v/>
      </c>
      <c r="N2963">
        <f>IF(ISERR(FIND("DECOUPE",Tableau1[[#This Row],[DESIGNATION]])),"","NEED REF")</f>
        <v/>
      </c>
    </row>
    <row r="2964">
      <c r="B2964" t="n">
        <v>34411037</v>
      </c>
      <c r="C2964" s="2" t="n">
        <v>44796</v>
      </c>
      <c r="D2964" t="inlineStr">
        <is>
          <t>SPEC</t>
        </is>
      </c>
      <c r="E2964" t="inlineStr">
        <is>
          <t>SMT PLASTRON PUISSANCE</t>
        </is>
      </c>
      <c r="F2964" t="inlineStr">
        <is>
          <t>KEM ONE SAS</t>
        </is>
      </c>
      <c r="G2964" t="inlineStr">
        <is>
          <t>GVS</t>
        </is>
      </c>
      <c r="H2964" t="inlineStr">
        <is>
          <t>BYPASS</t>
        </is>
      </c>
      <c r="I2964" t="inlineStr">
        <is>
          <t>60kW</t>
        </is>
      </c>
      <c r="J2964" t="inlineStr">
        <is>
          <t>JAWORSKI</t>
        </is>
      </c>
      <c r="K2964" t="inlineStr">
        <is>
          <t>METAL</t>
        </is>
      </c>
      <c r="L2964">
        <f>_xlfn.XLOOKUP(Tableau1[[#This Row],[TYPE DE PIECE]],Tableau4[MATIERE],Tableau4[SHORT TYPE],"",0,1)</f>
        <v/>
      </c>
      <c r="N2964">
        <f>IF(ISERR(FIND("DECOUPE",Tableau1[[#This Row],[DESIGNATION]])),"","NEED REF")</f>
        <v/>
      </c>
    </row>
    <row r="2965">
      <c r="B2965" t="n">
        <v>34411036</v>
      </c>
      <c r="C2965" s="2" t="n">
        <v>44796</v>
      </c>
      <c r="D2965" t="inlineStr">
        <is>
          <t>SPEC</t>
        </is>
      </c>
      <c r="E2965" t="inlineStr">
        <is>
          <t>PLA PROTECTION ISOLANTE</t>
        </is>
      </c>
      <c r="F2965" t="inlineStr">
        <is>
          <t>KEM ONE SAS</t>
        </is>
      </c>
      <c r="G2965" t="inlineStr">
        <is>
          <t>GVS</t>
        </is>
      </c>
      <c r="H2965" t="inlineStr">
        <is>
          <t>BYPASS</t>
        </is>
      </c>
      <c r="I2965" t="inlineStr">
        <is>
          <t>60kW</t>
        </is>
      </c>
      <c r="J2965" t="inlineStr">
        <is>
          <t>JAWORSKI</t>
        </is>
      </c>
      <c r="K2965" t="inlineStr">
        <is>
          <t>PLASTIQUE</t>
        </is>
      </c>
      <c r="L2965">
        <f>_xlfn.XLOOKUP(Tableau1[[#This Row],[TYPE DE PIECE]],Tableau4[MATIERE],Tableau4[SHORT TYPE],"",0,1)</f>
        <v/>
      </c>
      <c r="N2965">
        <f>IF(ISERR(FIND("DECOUPE",Tableau1[[#This Row],[DESIGNATION]])),"","NEED REF")</f>
        <v/>
      </c>
    </row>
    <row r="2966">
      <c r="B2966" t="n">
        <v>34411035</v>
      </c>
      <c r="C2966" s="2" t="n">
        <v>44796</v>
      </c>
      <c r="D2966" t="inlineStr">
        <is>
          <t>SPEC</t>
        </is>
      </c>
      <c r="E2966" t="inlineStr">
        <is>
          <t>SMT TRAVERSE TRANFO L940MM</t>
        </is>
      </c>
      <c r="F2966" t="inlineStr">
        <is>
          <t>KEM ONE SAS</t>
        </is>
      </c>
      <c r="G2966" t="inlineStr">
        <is>
          <t>GVS</t>
        </is>
      </c>
      <c r="H2966" t="inlineStr">
        <is>
          <t>BYPASS</t>
        </is>
      </c>
      <c r="I2966" t="inlineStr">
        <is>
          <t>60kW</t>
        </is>
      </c>
      <c r="J2966" t="inlineStr">
        <is>
          <t>JAWORSKI</t>
        </is>
      </c>
      <c r="K2966" t="inlineStr">
        <is>
          <t>METAL</t>
        </is>
      </c>
      <c r="L2966">
        <f>_xlfn.XLOOKUP(Tableau1[[#This Row],[TYPE DE PIECE]],Tableau4[MATIERE],Tableau4[SHORT TYPE],"",0,1)</f>
        <v/>
      </c>
      <c r="N2966">
        <f>IF(ISERR(FIND("DECOUPE",Tableau1[[#This Row],[DESIGNATION]])),"","NEED REF")</f>
        <v/>
      </c>
    </row>
    <row r="2967">
      <c r="B2967" t="n">
        <v>34411034</v>
      </c>
      <c r="C2967" s="2" t="n">
        <v>44796</v>
      </c>
      <c r="D2967" t="inlineStr">
        <is>
          <t>SPEC</t>
        </is>
      </c>
      <c r="E2967" t="inlineStr">
        <is>
          <t>SMT TOIT 800 x1000</t>
        </is>
      </c>
      <c r="F2967" t="inlineStr">
        <is>
          <t>KEM ONE SAS</t>
        </is>
      </c>
      <c r="G2967" t="inlineStr">
        <is>
          <t>GVS</t>
        </is>
      </c>
      <c r="H2967" t="inlineStr">
        <is>
          <t>BYPASS</t>
        </is>
      </c>
      <c r="I2967" t="inlineStr">
        <is>
          <t>60kW</t>
        </is>
      </c>
      <c r="J2967" t="inlineStr">
        <is>
          <t>JAWORSKI</t>
        </is>
      </c>
      <c r="K2967" t="inlineStr">
        <is>
          <t>METAL</t>
        </is>
      </c>
      <c r="L2967">
        <f>_xlfn.XLOOKUP(Tableau1[[#This Row],[TYPE DE PIECE]],Tableau4[MATIERE],Tableau4[SHORT TYPE],"",0,1)</f>
        <v/>
      </c>
      <c r="N2967">
        <f>IF(ISERR(FIND("DECOUPE",Tableau1[[#This Row],[DESIGNATION]])),"","NEED REF")</f>
        <v/>
      </c>
    </row>
    <row r="2968">
      <c r="B2968" t="n">
        <v>34411033</v>
      </c>
      <c r="C2968" s="2" t="n">
        <v>44796</v>
      </c>
      <c r="D2968" t="inlineStr">
        <is>
          <t>SPEC</t>
        </is>
      </c>
      <c r="E2968" t="inlineStr">
        <is>
          <t>SMT RAIL NSYSDR200 L=150MM</t>
        </is>
      </c>
      <c r="F2968" t="inlineStr">
        <is>
          <t>KEM ONE SAS</t>
        </is>
      </c>
      <c r="G2968" t="inlineStr">
        <is>
          <t>GVS</t>
        </is>
      </c>
      <c r="H2968" t="inlineStr">
        <is>
          <t>BYPASS</t>
        </is>
      </c>
      <c r="I2968" t="inlineStr">
        <is>
          <t>60kW</t>
        </is>
      </c>
      <c r="J2968" t="inlineStr">
        <is>
          <t>JAWORSKI</t>
        </is>
      </c>
      <c r="K2968" t="inlineStr">
        <is>
          <t>METAL</t>
        </is>
      </c>
      <c r="L2968">
        <f>_xlfn.XLOOKUP(Tableau1[[#This Row],[TYPE DE PIECE]],Tableau4[MATIERE],Tableau4[SHORT TYPE],"",0,1)</f>
        <v/>
      </c>
      <c r="N2968">
        <f>IF(ISERR(FIND("DECOUPE",Tableau1[[#This Row],[DESIGNATION]])),"","NEED REF")</f>
        <v/>
      </c>
    </row>
    <row r="2969">
      <c r="B2969" t="n">
        <v>34411032</v>
      </c>
      <c r="C2969" s="2" t="n">
        <v>44796</v>
      </c>
      <c r="D2969" t="inlineStr">
        <is>
          <t>SPEC</t>
        </is>
      </c>
      <c r="E2969" t="inlineStr">
        <is>
          <t>SMT SUPPORT RAIL OMEGA</t>
        </is>
      </c>
      <c r="F2969" t="inlineStr">
        <is>
          <t>KEM ONE SAS</t>
        </is>
      </c>
      <c r="G2969" t="inlineStr">
        <is>
          <t>GVS</t>
        </is>
      </c>
      <c r="H2969" t="inlineStr">
        <is>
          <t>BYPASS</t>
        </is>
      </c>
      <c r="I2969" t="inlineStr">
        <is>
          <t>60kW</t>
        </is>
      </c>
      <c r="J2969" t="inlineStr">
        <is>
          <t>JAWORSKI</t>
        </is>
      </c>
      <c r="K2969" t="inlineStr">
        <is>
          <t>METAL</t>
        </is>
      </c>
      <c r="L2969">
        <f>_xlfn.XLOOKUP(Tableau1[[#This Row],[TYPE DE PIECE]],Tableau4[MATIERE],Tableau4[SHORT TYPE],"",0,1)</f>
        <v/>
      </c>
      <c r="N2969">
        <f>IF(ISERR(FIND("DECOUPE",Tableau1[[#This Row],[DESIGNATION]])),"","NEED REF")</f>
        <v/>
      </c>
    </row>
    <row r="2970">
      <c r="B2970" t="n">
        <v>34411031</v>
      </c>
      <c r="C2970" s="2" t="n">
        <v>44796</v>
      </c>
      <c r="D2970" t="inlineStr">
        <is>
          <t>SPEC</t>
        </is>
      </c>
      <c r="E2970" t="inlineStr">
        <is>
          <t>SMT PLATINE NS - NSX</t>
        </is>
      </c>
      <c r="F2970" t="inlineStr">
        <is>
          <t>KEM ONE SAS</t>
        </is>
      </c>
      <c r="G2970" t="inlineStr">
        <is>
          <t>GVS</t>
        </is>
      </c>
      <c r="H2970" t="inlineStr">
        <is>
          <t>BYPASS</t>
        </is>
      </c>
      <c r="I2970" t="inlineStr">
        <is>
          <t>60kW</t>
        </is>
      </c>
      <c r="J2970" t="inlineStr">
        <is>
          <t>JAWORSKI</t>
        </is>
      </c>
      <c r="K2970" t="inlineStr">
        <is>
          <t>METAL</t>
        </is>
      </c>
      <c r="L2970">
        <f>_xlfn.XLOOKUP(Tableau1[[#This Row],[TYPE DE PIECE]],Tableau4[MATIERE],Tableau4[SHORT TYPE],"",0,1)</f>
        <v/>
      </c>
      <c r="N2970">
        <f>IF(ISERR(FIND("DECOUPE",Tableau1[[#This Row],[DESIGNATION]])),"","NEED REF")</f>
        <v/>
      </c>
    </row>
    <row r="2971">
      <c r="B2971" t="n">
        <v>34411030</v>
      </c>
      <c r="C2971" s="2" t="n">
        <v>44796</v>
      </c>
      <c r="D2971" t="inlineStr">
        <is>
          <t>SPEC</t>
        </is>
      </c>
      <c r="E2971" t="inlineStr">
        <is>
          <t>SMT PLATINE APPAREILLAGE</t>
        </is>
      </c>
      <c r="F2971" t="inlineStr">
        <is>
          <t>KEM ONE SAS</t>
        </is>
      </c>
      <c r="G2971" t="inlineStr">
        <is>
          <t>GVS</t>
        </is>
      </c>
      <c r="H2971" t="inlineStr">
        <is>
          <t>BYPASS</t>
        </is>
      </c>
      <c r="I2971" t="inlineStr">
        <is>
          <t>60kW</t>
        </is>
      </c>
      <c r="J2971" t="inlineStr">
        <is>
          <t>JAWORSKI</t>
        </is>
      </c>
      <c r="K2971" t="inlineStr">
        <is>
          <t>METAL</t>
        </is>
      </c>
      <c r="L2971">
        <f>_xlfn.XLOOKUP(Tableau1[[#This Row],[TYPE DE PIECE]],Tableau4[MATIERE],Tableau4[SHORT TYPE],"",0,1)</f>
        <v/>
      </c>
      <c r="N2971">
        <f>IF(ISERR(FIND("DECOUPE",Tableau1[[#This Row],[DESIGNATION]])),"","NEED REF")</f>
        <v/>
      </c>
    </row>
    <row r="2972">
      <c r="B2972" t="n">
        <v>34411029</v>
      </c>
      <c r="C2972" s="2" t="n">
        <v>44791</v>
      </c>
      <c r="D2972" t="inlineStr">
        <is>
          <t>SPEC</t>
        </is>
      </c>
      <c r="E2972" t="inlineStr">
        <is>
          <t>PLA PLASTRON 4</t>
        </is>
      </c>
      <c r="F2972" t="inlineStr">
        <is>
          <t>GSK rixensart / Belgique</t>
        </is>
      </c>
      <c r="G2972" t="inlineStr">
        <is>
          <t>GVM</t>
        </is>
      </c>
      <c r="H2972" t="inlineStr">
        <is>
          <t>AUX</t>
        </is>
      </c>
      <c r="J2972" t="inlineStr">
        <is>
          <t>BERNARDEAU</t>
        </is>
      </c>
      <c r="K2972" t="inlineStr">
        <is>
          <t>PLASTIQUE</t>
        </is>
      </c>
      <c r="L2972">
        <f>_xlfn.XLOOKUP(Tableau1[[#This Row],[TYPE DE PIECE]],Tableau4[MATIERE],Tableau4[SHORT TYPE],"",0,1)</f>
        <v/>
      </c>
      <c r="N2972">
        <f>IF(ISERR(FIND("DECOUPE",Tableau1[[#This Row],[DESIGNATION]])),"","NEED REF")</f>
        <v/>
      </c>
    </row>
    <row r="2973">
      <c r="B2973" t="n">
        <v>34411028</v>
      </c>
      <c r="C2973" s="2" t="n">
        <v>44790</v>
      </c>
      <c r="D2973" t="inlineStr">
        <is>
          <t>SPEC</t>
        </is>
      </c>
      <c r="E2973" t="inlineStr">
        <is>
          <t>PLA PROTECTION COPPER</t>
        </is>
      </c>
      <c r="F2973" s="38" t="inlineStr">
        <is>
          <t>=S= NETHERLANDS</t>
        </is>
      </c>
      <c r="G2973" t="inlineStr">
        <is>
          <t>GVX</t>
        </is>
      </c>
      <c r="J2973" t="inlineStr">
        <is>
          <t>BERNARDEAU</t>
        </is>
      </c>
      <c r="K2973" t="inlineStr">
        <is>
          <t>PLASTIQUE</t>
        </is>
      </c>
      <c r="L2973">
        <f>_xlfn.XLOOKUP(Tableau1[[#This Row],[TYPE DE PIECE]],Tableau4[MATIERE],Tableau4[SHORT TYPE],"",0,1)</f>
        <v/>
      </c>
      <c r="N2973">
        <f>IF(ISERR(FIND("DECOUPE",Tableau1[[#This Row],[DESIGNATION]])),"","NEED REF")</f>
        <v/>
      </c>
    </row>
    <row r="2974">
      <c r="B2974" t="n">
        <v>34411027</v>
      </c>
      <c r="C2974" s="2" t="n">
        <v>44790</v>
      </c>
      <c r="D2974" t="inlineStr">
        <is>
          <t>SPEC</t>
        </is>
      </c>
      <c r="E2974">
        <f>_xlfn.CONCAT(Tableau1[[#This Row],[SHORT TYPE]]," ",Tableau1[[#This Row],[NUMERO]]," ",Tableau1[[#This Row],[GAMME]]," ",Tableau1[[#This Row],[TYPE PRODUIT]]," ",Tableau1[[#This Row],[PUISSANCE]])</f>
        <v/>
      </c>
      <c r="F2974" t="inlineStr">
        <is>
          <t>SBC</t>
        </is>
      </c>
      <c r="G2974" t="inlineStr">
        <is>
          <t>GVX</t>
        </is>
      </c>
      <c r="H2974" t="inlineStr">
        <is>
          <t>BYPASS</t>
        </is>
      </c>
      <c r="I2974" t="inlineStr">
        <is>
          <t>1500kW</t>
        </is>
      </c>
      <c r="J2974" t="inlineStr">
        <is>
          <t>MATRION</t>
        </is>
      </c>
      <c r="K2974" t="inlineStr">
        <is>
          <t>CUIVRE</t>
        </is>
      </c>
      <c r="L2974">
        <f>_xlfn.XLOOKUP(Tableau1[[#This Row],[TYPE DE PIECE]],Tableau4[MATIERE],Tableau4[SHORT TYPE],"",0,1)</f>
        <v/>
      </c>
      <c r="N2974">
        <f>IF(ISERR(FIND("DECOUPE",Tableau1[[#This Row],[DESIGNATION]])),"","NEED REF")</f>
        <v/>
      </c>
    </row>
    <row r="2975">
      <c r="B2975" t="n">
        <v>34411026</v>
      </c>
      <c r="C2975" s="2" t="n">
        <v>44789</v>
      </c>
      <c r="D2975" t="inlineStr">
        <is>
          <t>SPEC</t>
        </is>
      </c>
      <c r="E2975" t="inlineStr">
        <is>
          <t>PLA PLASTRON 3</t>
        </is>
      </c>
      <c r="F2975" t="inlineStr">
        <is>
          <t>GSK rixensart / Belgique</t>
        </is>
      </c>
      <c r="G2975" t="inlineStr">
        <is>
          <t>GVM</t>
        </is>
      </c>
      <c r="H2975" t="inlineStr">
        <is>
          <t>AUX</t>
        </is>
      </c>
      <c r="J2975" t="inlineStr">
        <is>
          <t>BERNARDEAU</t>
        </is>
      </c>
      <c r="K2975" t="inlineStr">
        <is>
          <t>PLASTIQUE</t>
        </is>
      </c>
      <c r="L2975">
        <f>_xlfn.XLOOKUP(Tableau1[[#This Row],[TYPE DE PIECE]],Tableau4[MATIERE],Tableau4[SHORT TYPE],"",0,1)</f>
        <v/>
      </c>
      <c r="N2975">
        <f>IF(ISERR(FIND("DECOUPE",Tableau1[[#This Row],[DESIGNATION]])),"","NEED REF")</f>
        <v/>
      </c>
    </row>
    <row r="2976">
      <c r="B2976" t="n">
        <v>34411025</v>
      </c>
      <c r="C2976" s="2" t="n">
        <v>44785</v>
      </c>
      <c r="D2976" t="inlineStr">
        <is>
          <t>SPEC</t>
        </is>
      </c>
      <c r="E2976" t="inlineStr">
        <is>
          <t>SMT PLATINE NSX400 4P ARM 946</t>
        </is>
      </c>
      <c r="F2976" t="inlineStr">
        <is>
          <t>GSK rixensart / Belgique</t>
        </is>
      </c>
      <c r="G2976" t="inlineStr">
        <is>
          <t>GVM</t>
        </is>
      </c>
      <c r="H2976" t="inlineStr">
        <is>
          <t>AUX</t>
        </is>
      </c>
      <c r="J2976" t="inlineStr">
        <is>
          <t>BERNARDEAU</t>
        </is>
      </c>
      <c r="K2976" t="inlineStr">
        <is>
          <t>METAL</t>
        </is>
      </c>
      <c r="L2976">
        <f>_xlfn.XLOOKUP(Tableau1[[#This Row],[TYPE DE PIECE]],Tableau4[MATIERE],Tableau4[SHORT TYPE],"",0,1)</f>
        <v/>
      </c>
      <c r="N2976">
        <f>IF(ISERR(FIND("DECOUPE",Tableau1[[#This Row],[DESIGNATION]])),"","NEED REF")</f>
        <v/>
      </c>
    </row>
    <row r="2977">
      <c r="B2977" t="n">
        <v>34411024</v>
      </c>
      <c r="C2977" s="2" t="n">
        <v>44785</v>
      </c>
      <c r="D2977" t="inlineStr">
        <is>
          <t>SPEC</t>
        </is>
      </c>
      <c r="E2977" t="inlineStr">
        <is>
          <t>SMT TRAVERSE 946MM FIX_CABLE</t>
        </is>
      </c>
      <c r="F2977" t="inlineStr">
        <is>
          <t>GSK rixensart / Belgique</t>
        </is>
      </c>
      <c r="G2977" t="inlineStr">
        <is>
          <t>GVM</t>
        </is>
      </c>
      <c r="H2977" t="inlineStr">
        <is>
          <t>AUX</t>
        </is>
      </c>
      <c r="I2977" t="inlineStr">
        <is>
          <t>TOTO</t>
        </is>
      </c>
      <c r="J2977" t="inlineStr">
        <is>
          <t>BERNARDEAU</t>
        </is>
      </c>
      <c r="K2977" t="inlineStr">
        <is>
          <t>METAL</t>
        </is>
      </c>
      <c r="L2977">
        <f>_xlfn.XLOOKUP(Tableau1[[#This Row],[TYPE DE PIECE]],Tableau4[MATIERE],Tableau4[SHORT TYPE],"",0,1)</f>
        <v/>
      </c>
      <c r="N2977">
        <f>IF(ISERR(FIND("DECOUPE",Tableau1[[#This Row],[DESIGNATION]])),"","NEED REF")</f>
        <v/>
      </c>
    </row>
    <row r="2978">
      <c r="B2978" t="n">
        <v>34411023</v>
      </c>
      <c r="C2978" s="2" t="n">
        <v>44785</v>
      </c>
      <c r="D2978" t="inlineStr">
        <is>
          <t>SPEC</t>
        </is>
      </c>
      <c r="E2978" t="inlineStr">
        <is>
          <t>PLA PLASTRON 4</t>
        </is>
      </c>
      <c r="F2978" t="inlineStr">
        <is>
          <t>GSK rixensart / Belgique</t>
        </is>
      </c>
      <c r="G2978" t="inlineStr">
        <is>
          <t>GVM</t>
        </is>
      </c>
      <c r="H2978" t="inlineStr">
        <is>
          <t>AUX</t>
        </is>
      </c>
      <c r="J2978" t="inlineStr">
        <is>
          <t>BERNARDEAU</t>
        </is>
      </c>
      <c r="K2978" t="inlineStr">
        <is>
          <t>PLASTIQUE</t>
        </is>
      </c>
      <c r="L2978">
        <f>_xlfn.XLOOKUP(Tableau1[[#This Row],[TYPE DE PIECE]],Tableau4[MATIERE],Tableau4[SHORT TYPE],"",0,1)</f>
        <v/>
      </c>
      <c r="N2978">
        <f>IF(ISERR(FIND("DECOUPE",Tableau1[[#This Row],[DESIGNATION]])),"","NEED REF")</f>
        <v/>
      </c>
    </row>
    <row r="2979">
      <c r="B2979" t="n">
        <v>34411022</v>
      </c>
      <c r="C2979" s="2" t="n">
        <v>44785</v>
      </c>
      <c r="D2979" t="inlineStr">
        <is>
          <t>SPEC</t>
        </is>
      </c>
      <c r="E2979" t="inlineStr">
        <is>
          <t>HORIZONTAL  TFO SUPPORT BAR</t>
        </is>
      </c>
      <c r="G2979" t="inlineStr">
        <is>
          <t>GVE</t>
        </is>
      </c>
      <c r="J2979" t="inlineStr">
        <is>
          <t>BERNARDEAU</t>
        </is>
      </c>
      <c r="K2979" t="inlineStr">
        <is>
          <t>METAL</t>
        </is>
      </c>
      <c r="L2979">
        <f>_xlfn.XLOOKUP(Tableau1[[#This Row],[TYPE DE PIECE]],Tableau4[MATIERE],Tableau4[SHORT TYPE],"",0,1)</f>
        <v/>
      </c>
      <c r="N2979">
        <f>IF(ISERR(FIND("DECOUPE",Tableau1[[#This Row],[DESIGNATION]])),"","NEED REF")</f>
        <v/>
      </c>
    </row>
    <row r="2980">
      <c r="B2980" t="n">
        <v>34411021</v>
      </c>
      <c r="C2980" s="2" t="n">
        <v>44784</v>
      </c>
      <c r="D2980" t="inlineStr">
        <is>
          <t>SPEC</t>
        </is>
      </c>
      <c r="E2980" t="inlineStr">
        <is>
          <t>OMEGA SUPPORT TFO ARM-GVEAC10</t>
        </is>
      </c>
      <c r="F2980" t="inlineStr">
        <is>
          <t>GSK rixensart / Belgique</t>
        </is>
      </c>
      <c r="G2980" t="inlineStr">
        <is>
          <t>GVM</t>
        </is>
      </c>
      <c r="H2980" t="inlineStr">
        <is>
          <t>AUX</t>
        </is>
      </c>
      <c r="J2980" t="inlineStr">
        <is>
          <t>BERNARDEAU</t>
        </is>
      </c>
      <c r="K2980" t="inlineStr">
        <is>
          <t>METAL</t>
        </is>
      </c>
      <c r="L2980">
        <f>_xlfn.XLOOKUP(Tableau1[[#This Row],[TYPE DE PIECE]],Tableau4[MATIERE],Tableau4[SHORT TYPE],"",0,1)</f>
        <v/>
      </c>
      <c r="N2980">
        <f>IF(ISERR(FIND("DECOUPE",Tableau1[[#This Row],[DESIGNATION]])),"","NEED REF")</f>
        <v/>
      </c>
    </row>
    <row r="2981">
      <c r="B2981" t="n">
        <v>34411020</v>
      </c>
      <c r="C2981" s="2" t="n">
        <v>44784</v>
      </c>
      <c r="D2981" t="inlineStr">
        <is>
          <t>SPEC</t>
        </is>
      </c>
      <c r="E2981" t="inlineStr">
        <is>
          <t>SMT SUPPORT RELAIS</t>
        </is>
      </c>
      <c r="F2981" t="inlineStr">
        <is>
          <t>GSK rixensart / Belgique</t>
        </is>
      </c>
      <c r="G2981" t="inlineStr">
        <is>
          <t>GVM</t>
        </is>
      </c>
      <c r="H2981" t="inlineStr">
        <is>
          <t>AUX</t>
        </is>
      </c>
      <c r="J2981" t="inlineStr">
        <is>
          <t>BERNARDEAU</t>
        </is>
      </c>
      <c r="K2981" t="inlineStr">
        <is>
          <t>METAL</t>
        </is>
      </c>
      <c r="L2981">
        <f>_xlfn.XLOOKUP(Tableau1[[#This Row],[TYPE DE PIECE]],Tableau4[MATIERE],Tableau4[SHORT TYPE],"",0,1)</f>
        <v/>
      </c>
      <c r="N2981">
        <f>IF(ISERR(FIND("DECOUPE",Tableau1[[#This Row],[DESIGNATION]])),"","NEED REF")</f>
        <v/>
      </c>
    </row>
    <row r="2982">
      <c r="B2982" t="n">
        <v>34411019</v>
      </c>
      <c r="C2982" s="2" t="n">
        <v>44784</v>
      </c>
      <c r="D2982" t="inlineStr">
        <is>
          <t>SPEC</t>
        </is>
      </c>
      <c r="E2982" t="inlineStr">
        <is>
          <t xml:space="preserve">SMT TOIT PLEIN 1000x800 </t>
        </is>
      </c>
      <c r="G2982" t="inlineStr">
        <is>
          <t>GVE</t>
        </is>
      </c>
      <c r="J2982" t="inlineStr">
        <is>
          <t>BERNARDEAU</t>
        </is>
      </c>
      <c r="K2982" t="inlineStr">
        <is>
          <t>METAL</t>
        </is>
      </c>
      <c r="L2982">
        <f>_xlfn.XLOOKUP(Tableau1[[#This Row],[TYPE DE PIECE]],Tableau4[MATIERE],Tableau4[SHORT TYPE],"",0,1)</f>
        <v/>
      </c>
      <c r="N2982">
        <f>IF(ISERR(FIND("DECOUPE",Tableau1[[#This Row],[DESIGNATION]])),"","NEED REF")</f>
        <v/>
      </c>
    </row>
    <row r="2983">
      <c r="B2983" t="n">
        <v>34411018</v>
      </c>
      <c r="C2983" s="2" t="n">
        <v>44783</v>
      </c>
      <c r="D2983" t="inlineStr">
        <is>
          <t>SPEC</t>
        </is>
      </c>
      <c r="E2983" t="inlineStr">
        <is>
          <t>WOOD PLANCHE MILIEU 400x1000</t>
        </is>
      </c>
      <c r="J2983" t="inlineStr">
        <is>
          <t>MATRION</t>
        </is>
      </c>
      <c r="K2983" t="inlineStr">
        <is>
          <t>BOIS</t>
        </is>
      </c>
      <c r="L2983">
        <f>_xlfn.XLOOKUP(Tableau1[[#This Row],[TYPE DE PIECE]],Tableau4[MATIERE],Tableau4[SHORT TYPE],"",0,1)</f>
        <v/>
      </c>
      <c r="N2983">
        <f>IF(ISERR(FIND("DECOUPE",Tableau1[[#This Row],[DESIGNATION]])),"","NEED REF")</f>
        <v/>
      </c>
    </row>
    <row r="2984">
      <c r="B2984" t="n">
        <v>34411017</v>
      </c>
      <c r="C2984" s="2" t="n">
        <v>44783</v>
      </c>
      <c r="D2984" t="inlineStr">
        <is>
          <t>SPEC</t>
        </is>
      </c>
      <c r="E2984" t="inlineStr">
        <is>
          <t>WOOD SKATE 1000+700x1000 FRONT/BACK</t>
        </is>
      </c>
      <c r="J2984" t="inlineStr">
        <is>
          <t>MATRION</t>
        </is>
      </c>
      <c r="K2984" t="inlineStr">
        <is>
          <t>BOIS</t>
        </is>
      </c>
      <c r="L2984">
        <f>_xlfn.XLOOKUP(Tableau1[[#This Row],[TYPE DE PIECE]],Tableau4[MATIERE],Tableau4[SHORT TYPE],"",0,1)</f>
        <v/>
      </c>
      <c r="N2984">
        <f>IF(ISERR(FIND("DECOUPE",Tableau1[[#This Row],[DESIGNATION]])),"","NEED REF")</f>
        <v/>
      </c>
    </row>
    <row r="2985">
      <c r="B2985" t="n">
        <v>34411016</v>
      </c>
      <c r="C2985" s="2" t="n">
        <v>44783</v>
      </c>
      <c r="D2985" t="inlineStr">
        <is>
          <t>SPEC</t>
        </is>
      </c>
      <c r="J2985" t="inlineStr">
        <is>
          <t>MATRION</t>
        </is>
      </c>
      <c r="N2985">
        <f>IF(ISERR(FIND("DECOUPE",Tableau1[[#This Row],[DESIGNATION]])),"","NEED REF")</f>
        <v/>
      </c>
    </row>
    <row r="2986">
      <c r="B2986" t="n">
        <v>34411015</v>
      </c>
      <c r="C2986" s="2" t="n">
        <v>44783</v>
      </c>
      <c r="D2986" t="inlineStr">
        <is>
          <t>SPEC</t>
        </is>
      </c>
      <c r="E2986" t="inlineStr">
        <is>
          <t>SE MBB MTZ2 H2 DEBRO 1250A u5.0 3P MX + LOCK</t>
        </is>
      </c>
      <c r="F2986" t="inlineStr">
        <is>
          <t>SBC</t>
        </is>
      </c>
      <c r="G2986" t="inlineStr">
        <is>
          <t>GVX</t>
        </is>
      </c>
      <c r="H2986" t="inlineStr">
        <is>
          <t>BYPASS</t>
        </is>
      </c>
      <c r="I2986" t="inlineStr">
        <is>
          <t>750kW</t>
        </is>
      </c>
      <c r="J2986" t="inlineStr">
        <is>
          <t>MATRION</t>
        </is>
      </c>
      <c r="K2986" t="inlineStr">
        <is>
          <t>SCHNEIDER</t>
        </is>
      </c>
      <c r="L2986">
        <f>_xlfn.XLOOKUP(Tableau1[[#This Row],[TYPE DE PIECE]],Tableau4[MATIERE],Tableau4[SHORT TYPE],"",0,1)</f>
        <v/>
      </c>
      <c r="N2986">
        <f>IF(ISERR(FIND("DECOUPE",Tableau1[[#This Row],[DESIGNATION]])),"","NEED REF")</f>
        <v/>
      </c>
    </row>
    <row r="2987">
      <c r="B2987" t="n">
        <v>34411014</v>
      </c>
      <c r="C2987" s="2" t="n">
        <v>44783</v>
      </c>
      <c r="D2987" t="inlineStr">
        <is>
          <t>SPEC</t>
        </is>
      </c>
      <c r="E2987" t="inlineStr">
        <is>
          <t>SE UOB MTZ2 HF DEBRO 1250A 3P MX</t>
        </is>
      </c>
      <c r="F2987" t="inlineStr">
        <is>
          <t>SBC</t>
        </is>
      </c>
      <c r="G2987" t="inlineStr">
        <is>
          <t>GVX</t>
        </is>
      </c>
      <c r="H2987" t="inlineStr">
        <is>
          <t>BYPASS</t>
        </is>
      </c>
      <c r="I2987" t="inlineStr">
        <is>
          <t>750kW</t>
        </is>
      </c>
      <c r="J2987" t="inlineStr">
        <is>
          <t>MATRION</t>
        </is>
      </c>
      <c r="K2987" t="inlineStr">
        <is>
          <t>SCHNEIDER</t>
        </is>
      </c>
      <c r="L2987">
        <f>_xlfn.XLOOKUP(Tableau1[[#This Row],[TYPE DE PIECE]],Tableau4[MATIERE],Tableau4[SHORT TYPE],"",0,1)</f>
        <v/>
      </c>
      <c r="N2987">
        <f>IF(ISERR(FIND("DECOUPE",Tableau1[[#This Row],[DESIGNATION]])),"","NEED REF")</f>
        <v/>
      </c>
    </row>
    <row r="2988">
      <c r="B2988" t="n">
        <v>34411013</v>
      </c>
      <c r="C2988" s="2" t="n">
        <v>44783</v>
      </c>
      <c r="D2988" t="inlineStr">
        <is>
          <t>SPEC</t>
        </is>
      </c>
      <c r="E2988" t="inlineStr">
        <is>
          <t>SE SSIB MTZ2 H2 DEBRO 1250A u5.0 3P MX</t>
        </is>
      </c>
      <c r="F2988" t="inlineStr">
        <is>
          <t>SBC</t>
        </is>
      </c>
      <c r="G2988" t="inlineStr">
        <is>
          <t>GVX</t>
        </is>
      </c>
      <c r="H2988" t="inlineStr">
        <is>
          <t>BYPASS</t>
        </is>
      </c>
      <c r="I2988" t="inlineStr">
        <is>
          <t>750kW</t>
        </is>
      </c>
      <c r="J2988" t="inlineStr">
        <is>
          <t>MATRION</t>
        </is>
      </c>
      <c r="K2988" t="inlineStr">
        <is>
          <t>SCHNEIDER</t>
        </is>
      </c>
      <c r="L2988">
        <f>_xlfn.XLOOKUP(Tableau1[[#This Row],[TYPE DE PIECE]],Tableau4[MATIERE],Tableau4[SHORT TYPE],"",0,1)</f>
        <v/>
      </c>
      <c r="N2988">
        <f>IF(ISERR(FIND("DECOUPE",Tableau1[[#This Row],[DESIGNATION]])),"","NEED REF")</f>
        <v/>
      </c>
    </row>
    <row r="2989">
      <c r="B2989" t="n">
        <v>34411012</v>
      </c>
      <c r="C2989" s="2" t="n">
        <v>44783</v>
      </c>
      <c r="D2989" t="inlineStr">
        <is>
          <t>SPEC</t>
        </is>
      </c>
      <c r="E2989" t="inlineStr">
        <is>
          <t>SE UIB MTZ2 H2 DEBRO 1600A u5.0 3P MX</t>
        </is>
      </c>
      <c r="F2989" t="inlineStr">
        <is>
          <t>SBC</t>
        </is>
      </c>
      <c r="G2989" t="inlineStr">
        <is>
          <t>GVX</t>
        </is>
      </c>
      <c r="H2989" t="inlineStr">
        <is>
          <t>BYPASS</t>
        </is>
      </c>
      <c r="I2989" t="inlineStr">
        <is>
          <t>750kW</t>
        </is>
      </c>
      <c r="J2989" t="inlineStr">
        <is>
          <t>MATRION</t>
        </is>
      </c>
      <c r="K2989" t="inlineStr">
        <is>
          <t>SCHNEIDER</t>
        </is>
      </c>
      <c r="L2989">
        <f>_xlfn.XLOOKUP(Tableau1[[#This Row],[TYPE DE PIECE]],Tableau4[MATIERE],Tableau4[SHORT TYPE],"",0,1)</f>
        <v/>
      </c>
      <c r="N2989">
        <f>IF(ISERR(FIND("DECOUPE",Tableau1[[#This Row],[DESIGNATION]])),"","NEED REF")</f>
        <v/>
      </c>
    </row>
    <row r="2990">
      <c r="B2990" t="n">
        <v>34411011</v>
      </c>
      <c r="C2990" s="2" t="n">
        <v>44783</v>
      </c>
      <c r="D2990" t="inlineStr">
        <is>
          <t>SPEC</t>
        </is>
      </c>
      <c r="E2990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2990" t="inlineStr">
        <is>
          <t>SBC</t>
        </is>
      </c>
      <c r="G2990" t="inlineStr">
        <is>
          <t>GVX</t>
        </is>
      </c>
      <c r="H2990" t="inlineStr">
        <is>
          <t>BYPASS</t>
        </is>
      </c>
      <c r="I2990" t="inlineStr">
        <is>
          <t>1500kW</t>
        </is>
      </c>
      <c r="J2990" t="inlineStr">
        <is>
          <t>MATRION</t>
        </is>
      </c>
      <c r="K2990" t="inlineStr">
        <is>
          <t>CUIVRE</t>
        </is>
      </c>
      <c r="L2990">
        <f>_xlfn.XLOOKUP(Tableau1[[#This Row],[TYPE DE PIECE]],Tableau4[MATIERE],Tableau4[SHORT TYPE],"",0,1)</f>
        <v/>
      </c>
      <c r="N2990">
        <f>IF(ISERR(FIND("DECOUPE",Tableau1[[#This Row],[DESIGNATION]])),"","NEED REF")</f>
        <v/>
      </c>
    </row>
    <row r="2991">
      <c r="B2991" t="n">
        <v>34411010</v>
      </c>
      <c r="C2991" s="2" t="n">
        <v>44782</v>
      </c>
      <c r="D2991" t="inlineStr">
        <is>
          <t>SPEC</t>
        </is>
      </c>
      <c r="E2991" t="inlineStr">
        <is>
          <t>SMT PLASTRON BAS</t>
        </is>
      </c>
      <c r="F2991" t="inlineStr">
        <is>
          <t>SBC</t>
        </is>
      </c>
      <c r="G2991" t="inlineStr">
        <is>
          <t>GVX</t>
        </is>
      </c>
      <c r="H2991" t="inlineStr">
        <is>
          <t>BYPASS</t>
        </is>
      </c>
      <c r="I2991" t="inlineStr">
        <is>
          <t>1500kW</t>
        </is>
      </c>
      <c r="J2991" t="inlineStr">
        <is>
          <t>MATRION</t>
        </is>
      </c>
      <c r="K2991" t="inlineStr">
        <is>
          <t>METAL</t>
        </is>
      </c>
      <c r="L2991">
        <f>_xlfn.XLOOKUP(Tableau1[[#This Row],[TYPE DE PIECE]],Tableau4[MATIERE],Tableau4[SHORT TYPE],"",0,1)</f>
        <v/>
      </c>
      <c r="N2991">
        <f>IF(ISERR(FIND("DECOUPE",Tableau1[[#This Row],[DESIGNATION]])),"","NEED REF")</f>
        <v/>
      </c>
    </row>
    <row r="2992">
      <c r="B2992" t="n">
        <v>34411009</v>
      </c>
      <c r="C2992" s="2" t="n">
        <v>44782</v>
      </c>
      <c r="D2992" t="inlineStr">
        <is>
          <t>SPEC</t>
        </is>
      </c>
      <c r="E2992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2992" t="inlineStr">
        <is>
          <t>SBC</t>
        </is>
      </c>
      <c r="G2992" t="inlineStr">
        <is>
          <t>GVX</t>
        </is>
      </c>
      <c r="H2992" t="inlineStr">
        <is>
          <t>BYPASS</t>
        </is>
      </c>
      <c r="I2992" t="inlineStr">
        <is>
          <t>1500kW</t>
        </is>
      </c>
      <c r="J2992" t="inlineStr">
        <is>
          <t>MATRION</t>
        </is>
      </c>
      <c r="K2992" t="inlineStr">
        <is>
          <t>CUIVRE</t>
        </is>
      </c>
      <c r="L2992">
        <f>_xlfn.XLOOKUP(Tableau1[[#This Row],[TYPE DE PIECE]],Tableau4[MATIERE],Tableau4[SHORT TYPE],"",0,1)</f>
        <v/>
      </c>
      <c r="N2992">
        <f>IF(ISERR(FIND("DECOUPE",Tableau1[[#This Row],[DESIGNATION]])),"","NEED REF")</f>
        <v/>
      </c>
    </row>
    <row r="2993">
      <c r="B2993" t="n">
        <v>34411008</v>
      </c>
      <c r="C2993" s="2" t="n">
        <v>44782</v>
      </c>
      <c r="D2993" t="inlineStr">
        <is>
          <t>SPEC</t>
        </is>
      </c>
      <c r="E2993" t="inlineStr">
        <is>
          <t>SMT PLASTRON PLEIN</t>
        </is>
      </c>
      <c r="F2993" t="inlineStr">
        <is>
          <t>SBC</t>
        </is>
      </c>
      <c r="G2993" t="inlineStr">
        <is>
          <t>GVX</t>
        </is>
      </c>
      <c r="H2993" t="inlineStr">
        <is>
          <t>BYPASS</t>
        </is>
      </c>
      <c r="I2993" t="inlineStr">
        <is>
          <t>1500kW</t>
        </is>
      </c>
      <c r="J2993" t="inlineStr">
        <is>
          <t>MATRION</t>
        </is>
      </c>
      <c r="K2993" t="inlineStr">
        <is>
          <t>METAL</t>
        </is>
      </c>
      <c r="L2993">
        <f>_xlfn.XLOOKUP(Tableau1[[#This Row],[TYPE DE PIECE]],Tableau4[MATIERE],Tableau4[SHORT TYPE],"",0,1)</f>
        <v/>
      </c>
      <c r="N2993">
        <f>IF(ISERR(FIND("DECOUPE",Tableau1[[#This Row],[DESIGNATION]])),"","NEED REF")</f>
        <v/>
      </c>
    </row>
    <row r="2994">
      <c r="B2994" t="n">
        <v>34411007</v>
      </c>
      <c r="C2994" s="2" t="n">
        <v>44782</v>
      </c>
      <c r="D2994" t="inlineStr">
        <is>
          <t>SPEC</t>
        </is>
      </c>
      <c r="E2994" t="inlineStr">
        <is>
          <t>SMT PLATINE MTZ DEBRO</t>
        </is>
      </c>
      <c r="F2994" t="inlineStr">
        <is>
          <t>SBC</t>
        </is>
      </c>
      <c r="G2994" t="inlineStr">
        <is>
          <t>GVX</t>
        </is>
      </c>
      <c r="H2994" t="inlineStr">
        <is>
          <t>BYPASS</t>
        </is>
      </c>
      <c r="I2994" t="inlineStr">
        <is>
          <t>1500kW</t>
        </is>
      </c>
      <c r="J2994" t="inlineStr">
        <is>
          <t>MATRION</t>
        </is>
      </c>
      <c r="K2994" t="inlineStr">
        <is>
          <t>METAL</t>
        </is>
      </c>
      <c r="L2994">
        <f>_xlfn.XLOOKUP(Tableau1[[#This Row],[TYPE DE PIECE]],Tableau4[MATIERE],Tableau4[SHORT TYPE],"",0,1)</f>
        <v/>
      </c>
      <c r="N2994">
        <f>IF(ISERR(FIND("DECOUPE",Tableau1[[#This Row],[DESIGNATION]])),"","NEED REF")</f>
        <v/>
      </c>
    </row>
    <row r="2995">
      <c r="B2995" t="n">
        <v>34411006</v>
      </c>
      <c r="C2995" s="2" t="n">
        <v>44782</v>
      </c>
      <c r="D2995" t="inlineStr">
        <is>
          <t>SPEC</t>
        </is>
      </c>
      <c r="E2995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2995" t="inlineStr">
        <is>
          <t>SBC</t>
        </is>
      </c>
      <c r="G2995" t="inlineStr">
        <is>
          <t>GVX</t>
        </is>
      </c>
      <c r="H2995" t="inlineStr">
        <is>
          <t>BYPASS</t>
        </is>
      </c>
      <c r="I2995" t="inlineStr">
        <is>
          <t>1500kW</t>
        </is>
      </c>
      <c r="J2995" t="inlineStr">
        <is>
          <t>MATRION</t>
        </is>
      </c>
      <c r="K2995" t="inlineStr">
        <is>
          <t>CUIVRE</t>
        </is>
      </c>
      <c r="L2995">
        <f>_xlfn.XLOOKUP(Tableau1[[#This Row],[TYPE DE PIECE]],Tableau4[MATIERE],Tableau4[SHORT TYPE],"",0,1)</f>
        <v/>
      </c>
      <c r="N2995">
        <f>IF(ISERR(FIND("DECOUPE",Tableau1[[#This Row],[DESIGNATION]])),"","NEED REF")</f>
        <v/>
      </c>
    </row>
    <row r="2996">
      <c r="B2996" t="n">
        <v>34411005</v>
      </c>
      <c r="C2996" s="2" t="n">
        <v>44782</v>
      </c>
      <c r="D2996" t="inlineStr">
        <is>
          <t>SPEC</t>
        </is>
      </c>
      <c r="E2996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2996" t="inlineStr">
        <is>
          <t>SBC</t>
        </is>
      </c>
      <c r="G2996" t="inlineStr">
        <is>
          <t>GVX</t>
        </is>
      </c>
      <c r="H2996" t="inlineStr">
        <is>
          <t>BYPASS</t>
        </is>
      </c>
      <c r="I2996" t="inlineStr">
        <is>
          <t>1500kW</t>
        </is>
      </c>
      <c r="J2996" t="inlineStr">
        <is>
          <t>MATRION</t>
        </is>
      </c>
      <c r="K2996" t="inlineStr">
        <is>
          <t>CUIVRE</t>
        </is>
      </c>
      <c r="L2996">
        <f>_xlfn.XLOOKUP(Tableau1[[#This Row],[TYPE DE PIECE]],Tableau4[MATIERE],Tableau4[SHORT TYPE],"",0,1)</f>
        <v/>
      </c>
      <c r="N2996">
        <f>IF(ISERR(FIND("DECOUPE",Tableau1[[#This Row],[DESIGNATION]])),"","NEED REF")</f>
        <v/>
      </c>
    </row>
    <row r="2997">
      <c r="B2997" t="n">
        <v>34411004</v>
      </c>
      <c r="C2997" s="2" t="n">
        <v>44782</v>
      </c>
      <c r="D2997" t="inlineStr">
        <is>
          <t>SPEC</t>
        </is>
      </c>
      <c r="E2997" t="inlineStr">
        <is>
          <t>SMT SUPPORT PE 1</t>
        </is>
      </c>
      <c r="F2997" t="inlineStr">
        <is>
          <t>SBC</t>
        </is>
      </c>
      <c r="G2997" t="inlineStr">
        <is>
          <t>GVX</t>
        </is>
      </c>
      <c r="H2997" t="inlineStr">
        <is>
          <t>BYPASS</t>
        </is>
      </c>
      <c r="I2997" t="inlineStr">
        <is>
          <t>1500kW</t>
        </is>
      </c>
      <c r="J2997" t="inlineStr">
        <is>
          <t>MATRION</t>
        </is>
      </c>
      <c r="K2997" t="inlineStr">
        <is>
          <t>METAL</t>
        </is>
      </c>
      <c r="L2997">
        <f>_xlfn.XLOOKUP(Tableau1[[#This Row],[TYPE DE PIECE]],Tableau4[MATIERE],Tableau4[SHORT TYPE],"",0,1)</f>
        <v/>
      </c>
      <c r="N2997">
        <f>IF(ISERR(FIND("DECOUPE",Tableau1[[#This Row],[DESIGNATION]])),"","NEED REF")</f>
        <v/>
      </c>
    </row>
    <row r="2998">
      <c r="B2998" t="n">
        <v>34411003</v>
      </c>
      <c r="C2998" s="2" t="n">
        <v>44778</v>
      </c>
      <c r="D2998" t="inlineStr">
        <is>
          <t>SPEC</t>
        </is>
      </c>
      <c r="E2998" t="inlineStr">
        <is>
          <t>SMT OBTURATEUR VOYANT</t>
        </is>
      </c>
      <c r="F2998" t="inlineStr">
        <is>
          <t>SBC</t>
        </is>
      </c>
      <c r="G2998" t="inlineStr">
        <is>
          <t>GVX</t>
        </is>
      </c>
      <c r="H2998" t="inlineStr">
        <is>
          <t>BYPASS</t>
        </is>
      </c>
      <c r="I2998" t="inlineStr">
        <is>
          <t>1500kW</t>
        </is>
      </c>
      <c r="J2998" t="inlineStr">
        <is>
          <t>MATRION</t>
        </is>
      </c>
      <c r="K2998" t="inlineStr">
        <is>
          <t>METAL</t>
        </is>
      </c>
      <c r="L2998">
        <f>_xlfn.XLOOKUP(Tableau1[[#This Row],[TYPE DE PIECE]],Tableau4[MATIERE],Tableau4[SHORT TYPE],"",0,1)</f>
        <v/>
      </c>
      <c r="N2998">
        <f>IF(ISERR(FIND("DECOUPE",Tableau1[[#This Row],[DESIGNATION]])),"","NEED REF")</f>
        <v/>
      </c>
    </row>
    <row r="2999">
      <c r="B2999" t="n">
        <v>34411002</v>
      </c>
      <c r="C2999" s="2" t="n">
        <v>44777</v>
      </c>
      <c r="D2999" t="inlineStr">
        <is>
          <t>SPEC</t>
        </is>
      </c>
      <c r="E2999" t="inlineStr">
        <is>
          <t>SMT PLASTRON MTZ2 DEBRO</t>
        </is>
      </c>
      <c r="F2999" t="inlineStr">
        <is>
          <t>SBC</t>
        </is>
      </c>
      <c r="G2999" t="inlineStr">
        <is>
          <t>GVX</t>
        </is>
      </c>
      <c r="H2999" t="inlineStr">
        <is>
          <t>BYPASS</t>
        </is>
      </c>
      <c r="I2999" t="inlineStr">
        <is>
          <t>1500kW</t>
        </is>
      </c>
      <c r="J2999" t="inlineStr">
        <is>
          <t>MATRION</t>
        </is>
      </c>
      <c r="K2999" t="inlineStr">
        <is>
          <t>METAL</t>
        </is>
      </c>
      <c r="L2999">
        <f>_xlfn.XLOOKUP(Tableau1[[#This Row],[TYPE DE PIECE]],Tableau4[MATIERE],Tableau4[SHORT TYPE],"",0,1)</f>
        <v/>
      </c>
      <c r="N2999">
        <f>IF(ISERR(FIND("DECOUPE",Tableau1[[#This Row],[DESIGNATION]])),"","NEED REF")</f>
        <v/>
      </c>
    </row>
    <row r="3000">
      <c r="B3000" t="n">
        <v>34411001</v>
      </c>
      <c r="C3000" s="2" t="n">
        <v>44776</v>
      </c>
      <c r="D3000" t="inlineStr">
        <is>
          <t>SPEC</t>
        </is>
      </c>
      <c r="E3000" t="inlineStr">
        <is>
          <t>SMT PLASTRON BYPASS 2 RAL7035</t>
        </is>
      </c>
      <c r="F3000" t="inlineStr">
        <is>
          <t>STX</t>
        </is>
      </c>
      <c r="G3000" t="inlineStr">
        <is>
          <t>G55</t>
        </is>
      </c>
      <c r="H3000" t="inlineStr">
        <is>
          <t>BYPASS</t>
        </is>
      </c>
      <c r="J3000" t="inlineStr">
        <is>
          <t>MATRION</t>
        </is>
      </c>
      <c r="K3000" t="inlineStr">
        <is>
          <t>METAL</t>
        </is>
      </c>
      <c r="L3000">
        <f>_xlfn.XLOOKUP(Tableau1[[#This Row],[TYPE DE PIECE]],Tableau4[MATIERE],Tableau4[SHORT TYPE],"",0,1)</f>
        <v/>
      </c>
      <c r="N3000">
        <f>IF(ISERR(FIND("DECOUPE",Tableau1[[#This Row],[DESIGNATION]])),"","NEED REF")</f>
        <v/>
      </c>
    </row>
    <row r="3001">
      <c r="B3001" t="n">
        <v>34411000</v>
      </c>
      <c r="C3001" s="2" t="n">
        <v>44776</v>
      </c>
      <c r="D3001" t="inlineStr">
        <is>
          <t>SPEC</t>
        </is>
      </c>
      <c r="E3001" t="inlineStr">
        <is>
          <t>SMT PLASTRON BYPASS 1 RAL7035</t>
        </is>
      </c>
      <c r="F3001" t="inlineStr">
        <is>
          <t>STX</t>
        </is>
      </c>
      <c r="G3001" t="inlineStr">
        <is>
          <t>G55</t>
        </is>
      </c>
      <c r="H3001" t="inlineStr">
        <is>
          <t>BYPASS</t>
        </is>
      </c>
      <c r="J3001" t="inlineStr">
        <is>
          <t>MATRION</t>
        </is>
      </c>
      <c r="K3001" t="inlineStr">
        <is>
          <t>METAL</t>
        </is>
      </c>
      <c r="L3001">
        <f>_xlfn.XLOOKUP(Tableau1[[#This Row],[TYPE DE PIECE]],Tableau4[MATIERE],Tableau4[SHORT TYPE],"",0,1)</f>
        <v/>
      </c>
      <c r="N3001">
        <f>IF(ISERR(FIND("DECOUPE",Tableau1[[#This Row],[DESIGNATION]])),"","NEED REF")</f>
        <v/>
      </c>
    </row>
    <row r="3002">
      <c r="B3002" t="n">
        <v>34410999</v>
      </c>
      <c r="C3002" s="2" t="n">
        <v>44776</v>
      </c>
      <c r="D3002" t="inlineStr">
        <is>
          <t>SPEC</t>
        </is>
      </c>
      <c r="E3002" t="inlineStr">
        <is>
          <t>PLA PROTECTION AVAL BYPASS</t>
        </is>
      </c>
      <c r="F3002" t="inlineStr">
        <is>
          <t>STX</t>
        </is>
      </c>
      <c r="G3002" t="inlineStr">
        <is>
          <t>G55</t>
        </is>
      </c>
      <c r="H3002" t="inlineStr">
        <is>
          <t>BYPASS</t>
        </is>
      </c>
      <c r="J3002" t="inlineStr">
        <is>
          <t>MATRION</t>
        </is>
      </c>
      <c r="K3002" t="inlineStr">
        <is>
          <t>PLASTIQUE</t>
        </is>
      </c>
      <c r="L3002">
        <f>_xlfn.XLOOKUP(Tableau1[[#This Row],[TYPE DE PIECE]],Tableau4[MATIERE],Tableau4[SHORT TYPE],"",0,1)</f>
        <v/>
      </c>
      <c r="N3002">
        <f>IF(ISERR(FIND("DECOUPE",Tableau1[[#This Row],[DESIGNATION]])),"","NEED REF")</f>
        <v/>
      </c>
    </row>
    <row r="3003">
      <c r="B3003" t="n">
        <v>34410998</v>
      </c>
      <c r="C3003" s="2" t="n">
        <v>44776</v>
      </c>
      <c r="D3003" t="inlineStr">
        <is>
          <t>SPEC</t>
        </is>
      </c>
      <c r="E3003" t="inlineStr">
        <is>
          <t>SMT SUPPORT NSX Q4S 2</t>
        </is>
      </c>
      <c r="F3003" t="inlineStr">
        <is>
          <t>STX</t>
        </is>
      </c>
      <c r="G3003" t="inlineStr">
        <is>
          <t>G55</t>
        </is>
      </c>
      <c r="H3003" t="inlineStr">
        <is>
          <t>BYPASS</t>
        </is>
      </c>
      <c r="J3003" t="inlineStr">
        <is>
          <t>MATRION</t>
        </is>
      </c>
      <c r="K3003" t="inlineStr">
        <is>
          <t>METAL</t>
        </is>
      </c>
      <c r="L3003">
        <f>_xlfn.XLOOKUP(Tableau1[[#This Row],[TYPE DE PIECE]],Tableau4[MATIERE],Tableau4[SHORT TYPE],"",0,1)</f>
        <v/>
      </c>
      <c r="N3003">
        <f>IF(ISERR(FIND("DECOUPE",Tableau1[[#This Row],[DESIGNATION]])),"","NEED REF")</f>
        <v/>
      </c>
    </row>
    <row r="3004">
      <c r="B3004" t="n">
        <v>34410997</v>
      </c>
      <c r="C3004" s="2" t="n">
        <v>44776</v>
      </c>
      <c r="D3004" t="inlineStr">
        <is>
          <t>SPEC</t>
        </is>
      </c>
      <c r="E3004" t="inlineStr">
        <is>
          <t>SMT SUPPORT NS BYPASS 2</t>
        </is>
      </c>
      <c r="F3004" t="inlineStr">
        <is>
          <t>STX</t>
        </is>
      </c>
      <c r="G3004" t="inlineStr">
        <is>
          <t>G55</t>
        </is>
      </c>
      <c r="H3004" t="inlineStr">
        <is>
          <t>BYPASS</t>
        </is>
      </c>
      <c r="J3004" t="inlineStr">
        <is>
          <t>MATRION</t>
        </is>
      </c>
      <c r="K3004" t="inlineStr">
        <is>
          <t>METAL</t>
        </is>
      </c>
      <c r="L3004">
        <f>_xlfn.XLOOKUP(Tableau1[[#This Row],[TYPE DE PIECE]],Tableau4[MATIERE],Tableau4[SHORT TYPE],"",0,1)</f>
        <v/>
      </c>
      <c r="N3004">
        <f>IF(ISERR(FIND("DECOUPE",Tableau1[[#This Row],[DESIGNATION]])),"","NEED REF")</f>
        <v/>
      </c>
    </row>
    <row r="3005">
      <c r="B3005" t="n">
        <v>34410996</v>
      </c>
      <c r="C3005" s="2" t="n">
        <v>44776</v>
      </c>
      <c r="D3005" t="inlineStr">
        <is>
          <t>SPEC</t>
        </is>
      </c>
      <c r="E3005" t="inlineStr">
        <is>
          <t>PLA PROTECTION AMONT BYPASS</t>
        </is>
      </c>
      <c r="F3005" t="inlineStr">
        <is>
          <t>STX</t>
        </is>
      </c>
      <c r="G3005" t="inlineStr">
        <is>
          <t>G55</t>
        </is>
      </c>
      <c r="H3005" t="inlineStr">
        <is>
          <t>BYPASS</t>
        </is>
      </c>
      <c r="J3005" t="inlineStr">
        <is>
          <t>MATRION</t>
        </is>
      </c>
      <c r="K3005" t="inlineStr">
        <is>
          <t>PLASTIQUE</t>
        </is>
      </c>
      <c r="L3005">
        <f>_xlfn.XLOOKUP(Tableau1[[#This Row],[TYPE DE PIECE]],Tableau4[MATIERE],Tableau4[SHORT TYPE],"",0,1)</f>
        <v/>
      </c>
      <c r="N3005">
        <f>IF(ISERR(FIND("DECOUPE",Tableau1[[#This Row],[DESIGNATION]])),"","NEED REF")</f>
        <v/>
      </c>
    </row>
    <row r="3006">
      <c r="B3006" t="n">
        <v>34410995</v>
      </c>
      <c r="C3006" s="2" t="n">
        <v>44776</v>
      </c>
      <c r="D3006" t="inlineStr">
        <is>
          <t>SPEC</t>
        </is>
      </c>
      <c r="E3006" t="inlineStr">
        <is>
          <t>SMT PLASTRON HAUT 2</t>
        </is>
      </c>
      <c r="F3006" t="inlineStr">
        <is>
          <t>STX</t>
        </is>
      </c>
      <c r="G3006" t="inlineStr">
        <is>
          <t>G55</t>
        </is>
      </c>
      <c r="H3006" t="inlineStr">
        <is>
          <t>BYPASS</t>
        </is>
      </c>
      <c r="J3006" t="inlineStr">
        <is>
          <t>MATRION</t>
        </is>
      </c>
      <c r="K3006" t="inlineStr">
        <is>
          <t>METAL</t>
        </is>
      </c>
      <c r="L3006">
        <f>_xlfn.XLOOKUP(Tableau1[[#This Row],[TYPE DE PIECE]],Tableau4[MATIERE],Tableau4[SHORT TYPE],"",0,1)</f>
        <v/>
      </c>
      <c r="N3006">
        <f>IF(ISERR(FIND("DECOUPE",Tableau1[[#This Row],[DESIGNATION]])),"","NEED REF")</f>
        <v/>
      </c>
    </row>
    <row r="3007">
      <c r="B3007" t="n">
        <v>34410994</v>
      </c>
      <c r="C3007" s="2" t="n">
        <v>44776</v>
      </c>
      <c r="D3007" t="inlineStr">
        <is>
          <t>SPEC</t>
        </is>
      </c>
      <c r="E3007" t="inlineStr">
        <is>
          <t>SMT PLASTRON HAUT 1</t>
        </is>
      </c>
      <c r="F3007" t="inlineStr">
        <is>
          <t>STX</t>
        </is>
      </c>
      <c r="G3007" t="inlineStr">
        <is>
          <t>G55</t>
        </is>
      </c>
      <c r="H3007" t="inlineStr">
        <is>
          <t>BYPASS</t>
        </is>
      </c>
      <c r="J3007" t="inlineStr">
        <is>
          <t>MATRION</t>
        </is>
      </c>
      <c r="K3007" t="inlineStr">
        <is>
          <t>METAL</t>
        </is>
      </c>
      <c r="L3007">
        <f>_xlfn.XLOOKUP(Tableau1[[#This Row],[TYPE DE PIECE]],Tableau4[MATIERE],Tableau4[SHORT TYPE],"",0,1)</f>
        <v/>
      </c>
      <c r="N3007">
        <f>IF(ISERR(FIND("DECOUPE",Tableau1[[#This Row],[DESIGNATION]])),"","NEED REF")</f>
        <v/>
      </c>
    </row>
    <row r="3008">
      <c r="B3008" t="n">
        <v>34410993</v>
      </c>
      <c r="C3008" s="2" t="n">
        <v>44776</v>
      </c>
      <c r="D3008" t="inlineStr">
        <is>
          <t>SPEC</t>
        </is>
      </c>
      <c r="E3008" t="inlineStr">
        <is>
          <t>SMT JOUE LATERAL PLASTRON HAUT 2 RAL7035</t>
        </is>
      </c>
      <c r="F3008" t="inlineStr">
        <is>
          <t>STX</t>
        </is>
      </c>
      <c r="G3008" t="inlineStr">
        <is>
          <t>G55</t>
        </is>
      </c>
      <c r="H3008" t="inlineStr">
        <is>
          <t>BYPASS</t>
        </is>
      </c>
      <c r="J3008" t="inlineStr">
        <is>
          <t>MATRION</t>
        </is>
      </c>
      <c r="K3008" t="inlineStr">
        <is>
          <t>METAL</t>
        </is>
      </c>
      <c r="L3008">
        <f>_xlfn.XLOOKUP(Tableau1[[#This Row],[TYPE DE PIECE]],Tableau4[MATIERE],Tableau4[SHORT TYPE],"",0,1)</f>
        <v/>
      </c>
      <c r="N3008">
        <f>IF(ISERR(FIND("DECOUPE",Tableau1[[#This Row],[DESIGNATION]])),"","NEED REF")</f>
        <v/>
      </c>
    </row>
    <row r="3009">
      <c r="B3009" t="n">
        <v>34410992</v>
      </c>
      <c r="C3009" s="2" t="n">
        <v>44776</v>
      </c>
      <c r="D3009" t="inlineStr">
        <is>
          <t>SPEC</t>
        </is>
      </c>
      <c r="E3009" t="inlineStr">
        <is>
          <t>SMT JOUE LATERAL PLASTRON HAUT 1 RAL7035</t>
        </is>
      </c>
      <c r="F3009" t="inlineStr">
        <is>
          <t>STX</t>
        </is>
      </c>
      <c r="G3009" t="inlineStr">
        <is>
          <t>G55</t>
        </is>
      </c>
      <c r="H3009" t="inlineStr">
        <is>
          <t>BYPASS</t>
        </is>
      </c>
      <c r="J3009" t="inlineStr">
        <is>
          <t>MATRION</t>
        </is>
      </c>
      <c r="K3009" t="inlineStr">
        <is>
          <t>METAL</t>
        </is>
      </c>
      <c r="L3009">
        <f>_xlfn.XLOOKUP(Tableau1[[#This Row],[TYPE DE PIECE]],Tableau4[MATIERE],Tableau4[SHORT TYPE],"",0,1)</f>
        <v/>
      </c>
      <c r="N3009">
        <f>IF(ISERR(FIND("DECOUPE",Tableau1[[#This Row],[DESIGNATION]])),"","NEED REF")</f>
        <v/>
      </c>
    </row>
    <row r="3010">
      <c r="B3010" t="n">
        <v>34410991</v>
      </c>
      <c r="C3010" s="2" t="n">
        <v>44775</v>
      </c>
      <c r="D3010" t="inlineStr">
        <is>
          <t>SPEC</t>
        </is>
      </c>
      <c r="E3010" t="inlineStr">
        <is>
          <t>SMT SUPPORT IC60</t>
        </is>
      </c>
      <c r="F3010" t="inlineStr">
        <is>
          <t>STX</t>
        </is>
      </c>
      <c r="G3010" t="inlineStr">
        <is>
          <t>G55</t>
        </is>
      </c>
      <c r="H3010" t="inlineStr">
        <is>
          <t>BYPASS</t>
        </is>
      </c>
      <c r="J3010" t="inlineStr">
        <is>
          <t>MATRION</t>
        </is>
      </c>
      <c r="K3010" t="inlineStr">
        <is>
          <t>METAL</t>
        </is>
      </c>
      <c r="L3010">
        <f>_xlfn.XLOOKUP(Tableau1[[#This Row],[TYPE DE PIECE]],Tableau4[MATIERE],Tableau4[SHORT TYPE],"",0,1)</f>
        <v/>
      </c>
      <c r="N3010">
        <f>IF(ISERR(FIND("DECOUPE",Tableau1[[#This Row],[DESIGNATION]])),"","NEED REF")</f>
        <v/>
      </c>
    </row>
    <row r="3011">
      <c r="B3011" t="n">
        <v>34410990</v>
      </c>
      <c r="C3011" s="2" t="n">
        <v>44775</v>
      </c>
      <c r="D3011" t="inlineStr">
        <is>
          <t>SPEC</t>
        </is>
      </c>
      <c r="E3011" t="inlineStr">
        <is>
          <t>CX L3 Q3BP</t>
        </is>
      </c>
      <c r="F3011" t="inlineStr">
        <is>
          <t>STX</t>
        </is>
      </c>
      <c r="G3011" t="inlineStr">
        <is>
          <t>G55</t>
        </is>
      </c>
      <c r="H3011" t="inlineStr">
        <is>
          <t>BYPASS</t>
        </is>
      </c>
      <c r="J3011" t="inlineStr">
        <is>
          <t>MATRION</t>
        </is>
      </c>
      <c r="K3011" t="inlineStr">
        <is>
          <t>CUIVRE</t>
        </is>
      </c>
      <c r="L3011">
        <f>_xlfn.XLOOKUP(Tableau1[[#This Row],[TYPE DE PIECE]],Tableau4[MATIERE],Tableau4[SHORT TYPE],"",0,1)</f>
        <v/>
      </c>
      <c r="N3011">
        <f>IF(ISERR(FIND("DECOUPE",Tableau1[[#This Row],[DESIGNATION]])),"","NEED REF")</f>
        <v/>
      </c>
    </row>
    <row r="3012">
      <c r="B3012" t="n">
        <v>34410989</v>
      </c>
      <c r="C3012" s="2" t="n">
        <v>44775</v>
      </c>
      <c r="D3012" t="inlineStr">
        <is>
          <t>SPEC</t>
        </is>
      </c>
      <c r="E3012" t="inlineStr">
        <is>
          <t>CX L2 Q3BP</t>
        </is>
      </c>
      <c r="F3012" t="inlineStr">
        <is>
          <t>STX</t>
        </is>
      </c>
      <c r="G3012" t="inlineStr">
        <is>
          <t>G55</t>
        </is>
      </c>
      <c r="H3012" t="inlineStr">
        <is>
          <t>BYPASS</t>
        </is>
      </c>
      <c r="J3012" t="inlineStr">
        <is>
          <t>MATRION</t>
        </is>
      </c>
      <c r="K3012" t="inlineStr">
        <is>
          <t>CUIVRE</t>
        </is>
      </c>
      <c r="L3012">
        <f>_xlfn.XLOOKUP(Tableau1[[#This Row],[TYPE DE PIECE]],Tableau4[MATIERE],Tableau4[SHORT TYPE],"",0,1)</f>
        <v/>
      </c>
      <c r="N3012">
        <f>IF(ISERR(FIND("DECOUPE",Tableau1[[#This Row],[DESIGNATION]])),"","NEED REF")</f>
        <v/>
      </c>
    </row>
    <row r="3013">
      <c r="B3013" t="n">
        <v>34410988</v>
      </c>
      <c r="C3013" s="2" t="n">
        <v>44775</v>
      </c>
      <c r="D3013" t="inlineStr">
        <is>
          <t>SPEC</t>
        </is>
      </c>
      <c r="E3013" t="inlineStr">
        <is>
          <t>CX L1 Q3BP</t>
        </is>
      </c>
      <c r="F3013" t="inlineStr">
        <is>
          <t>STX</t>
        </is>
      </c>
      <c r="G3013" t="inlineStr">
        <is>
          <t>G55</t>
        </is>
      </c>
      <c r="H3013" t="inlineStr">
        <is>
          <t>BYPASS</t>
        </is>
      </c>
      <c r="J3013" t="inlineStr">
        <is>
          <t>MATRION</t>
        </is>
      </c>
      <c r="K3013" t="inlineStr">
        <is>
          <t>CUIVRE</t>
        </is>
      </c>
      <c r="L3013">
        <f>_xlfn.XLOOKUP(Tableau1[[#This Row],[TYPE DE PIECE]],Tableau4[MATIERE],Tableau4[SHORT TYPE],"",0,1)</f>
        <v/>
      </c>
      <c r="N3013">
        <f>IF(ISERR(FIND("DECOUPE",Tableau1[[#This Row],[DESIGNATION]])),"","NEED REF")</f>
        <v/>
      </c>
    </row>
    <row r="3014">
      <c r="B3014" t="n">
        <v>34410987</v>
      </c>
      <c r="C3014" s="2" t="n">
        <v>44775</v>
      </c>
      <c r="D3014" t="inlineStr">
        <is>
          <t>SPEC</t>
        </is>
      </c>
      <c r="E3014" t="inlineStr">
        <is>
          <t>CX N Q3BP</t>
        </is>
      </c>
      <c r="F3014" t="inlineStr">
        <is>
          <t>STX</t>
        </is>
      </c>
      <c r="G3014" t="inlineStr">
        <is>
          <t>G55</t>
        </is>
      </c>
      <c r="H3014" t="inlineStr">
        <is>
          <t>BYPASS</t>
        </is>
      </c>
      <c r="J3014" t="inlineStr">
        <is>
          <t>MATRION</t>
        </is>
      </c>
      <c r="K3014" t="inlineStr">
        <is>
          <t>CUIVRE</t>
        </is>
      </c>
      <c r="L3014">
        <f>_xlfn.XLOOKUP(Tableau1[[#This Row],[TYPE DE PIECE]],Tableau4[MATIERE],Tableau4[SHORT TYPE],"",0,1)</f>
        <v/>
      </c>
      <c r="N3014">
        <f>IF(ISERR(FIND("DECOUPE",Tableau1[[#This Row],[DESIGNATION]])),"","NEED REF")</f>
        <v/>
      </c>
    </row>
    <row r="3015">
      <c r="B3015" t="n">
        <v>34410986</v>
      </c>
      <c r="C3015" s="2" t="n">
        <v>44775</v>
      </c>
      <c r="D3015" t="inlineStr">
        <is>
          <t>SPEC</t>
        </is>
      </c>
      <c r="E3015" t="inlineStr">
        <is>
          <t>SMT SUPPORT NSX Q4S 1</t>
        </is>
      </c>
      <c r="F3015" t="inlineStr">
        <is>
          <t>STX</t>
        </is>
      </c>
      <c r="G3015" t="inlineStr">
        <is>
          <t>G55</t>
        </is>
      </c>
      <c r="H3015" t="inlineStr">
        <is>
          <t>BYPASS</t>
        </is>
      </c>
      <c r="J3015" t="inlineStr">
        <is>
          <t>MATRION</t>
        </is>
      </c>
      <c r="K3015" t="inlineStr">
        <is>
          <t>METAL</t>
        </is>
      </c>
      <c r="L3015">
        <f>_xlfn.XLOOKUP(Tableau1[[#This Row],[TYPE DE PIECE]],Tableau4[MATIERE],Tableau4[SHORT TYPE],"",0,1)</f>
        <v/>
      </c>
      <c r="N3015">
        <f>IF(ISERR(FIND("DECOUPE",Tableau1[[#This Row],[DESIGNATION]])),"","NEED REF")</f>
        <v/>
      </c>
    </row>
    <row r="3016">
      <c r="B3016" t="n">
        <v>34410985</v>
      </c>
      <c r="C3016" s="2" t="n">
        <v>44775</v>
      </c>
      <c r="D3016" t="inlineStr">
        <is>
          <t>SPEC</t>
        </is>
      </c>
      <c r="E3016" t="inlineStr">
        <is>
          <t>SMT SUPPORT NS BYPASS 1</t>
        </is>
      </c>
      <c r="F3016" t="inlineStr">
        <is>
          <t>STX</t>
        </is>
      </c>
      <c r="G3016" t="inlineStr">
        <is>
          <t>G55</t>
        </is>
      </c>
      <c r="H3016" t="inlineStr">
        <is>
          <t>BYPASS</t>
        </is>
      </c>
      <c r="J3016" t="inlineStr">
        <is>
          <t>MATRION</t>
        </is>
      </c>
      <c r="K3016" t="inlineStr">
        <is>
          <t>METAL</t>
        </is>
      </c>
      <c r="L3016">
        <f>_xlfn.XLOOKUP(Tableau1[[#This Row],[TYPE DE PIECE]],Tableau4[MATIERE],Tableau4[SHORT TYPE],"",0,1)</f>
        <v/>
      </c>
      <c r="N3016">
        <f>IF(ISERR(FIND("DECOUPE",Tableau1[[#This Row],[DESIGNATION]])),"","NEED REF")</f>
        <v/>
      </c>
    </row>
    <row r="3017">
      <c r="B3017" t="n">
        <v>34410984</v>
      </c>
      <c r="C3017" s="2" t="n">
        <v>44775</v>
      </c>
      <c r="D3017" t="inlineStr">
        <is>
          <t>SPEC</t>
        </is>
      </c>
      <c r="E3017" t="inlineStr">
        <is>
          <t>COP LIAISON BYPASS</t>
        </is>
      </c>
      <c r="F3017" t="inlineStr">
        <is>
          <t>STX</t>
        </is>
      </c>
      <c r="G3017" t="inlineStr">
        <is>
          <t>G55</t>
        </is>
      </c>
      <c r="H3017" t="inlineStr">
        <is>
          <t>BYPASS</t>
        </is>
      </c>
      <c r="J3017" t="inlineStr">
        <is>
          <t>MATRION</t>
        </is>
      </c>
      <c r="K3017" t="inlineStr">
        <is>
          <t>CUIVRE</t>
        </is>
      </c>
      <c r="L3017">
        <f>_xlfn.XLOOKUP(Tableau1[[#This Row],[TYPE DE PIECE]],Tableau4[MATIERE],Tableau4[SHORT TYPE],"",0,1)</f>
        <v/>
      </c>
      <c r="N3017">
        <f>IF(ISERR(FIND("DECOUPE",Tableau1[[#This Row],[DESIGNATION]])),"","NEED REF")</f>
        <v/>
      </c>
    </row>
    <row r="3018">
      <c r="B3018" t="n">
        <v>34410983</v>
      </c>
      <c r="C3018" s="2" t="n">
        <v>44769</v>
      </c>
      <c r="D3018" t="inlineStr">
        <is>
          <t>SPEC</t>
        </is>
      </c>
      <c r="E3018" t="inlineStr">
        <is>
          <t>SMT PLASTRON 4</t>
        </is>
      </c>
      <c r="J3018" t="inlineStr">
        <is>
          <t>MATRION</t>
        </is>
      </c>
      <c r="K3018" t="inlineStr">
        <is>
          <t>METAL</t>
        </is>
      </c>
      <c r="L3018">
        <f>_xlfn.XLOOKUP(Tableau1[[#This Row],[TYPE DE PIECE]],Tableau4[MATIERE],Tableau4[SHORT TYPE],"",0,1)</f>
        <v/>
      </c>
      <c r="N3018">
        <f>IF(ISERR(FIND("DECOUPE",Tableau1[[#This Row],[DESIGNATION]])),"","NEED REF")</f>
        <v/>
      </c>
    </row>
    <row r="3019">
      <c r="B3019" t="n">
        <v>34410982</v>
      </c>
      <c r="C3019" s="2" t="n">
        <v>44769</v>
      </c>
      <c r="D3019" t="inlineStr">
        <is>
          <t>SPEC</t>
        </is>
      </c>
      <c r="E3019" t="inlineStr">
        <is>
          <t>SMT PLASTRON 10</t>
        </is>
      </c>
      <c r="J3019" t="inlineStr">
        <is>
          <t>MATRION</t>
        </is>
      </c>
      <c r="K3019" t="inlineStr">
        <is>
          <t>METAL</t>
        </is>
      </c>
      <c r="L3019">
        <f>_xlfn.XLOOKUP(Tableau1[[#This Row],[TYPE DE PIECE]],Tableau4[MATIERE],Tableau4[SHORT TYPE],"",0,1)</f>
        <v/>
      </c>
      <c r="N3019">
        <f>IF(ISERR(FIND("DECOUPE",Tableau1[[#This Row],[DESIGNATION]])),"","NEED REF")</f>
        <v/>
      </c>
    </row>
    <row r="3020">
      <c r="B3020" t="n">
        <v>34410981</v>
      </c>
      <c r="C3020" s="2" t="n">
        <v>44769</v>
      </c>
      <c r="D3020" t="inlineStr">
        <is>
          <t>SPEC</t>
        </is>
      </c>
      <c r="E3020" t="inlineStr">
        <is>
          <t>SMT PLATINE SBP INTERFACE CARD</t>
        </is>
      </c>
      <c r="J3020" t="inlineStr">
        <is>
          <t>MATRION</t>
        </is>
      </c>
      <c r="K3020" t="inlineStr">
        <is>
          <t>METAL</t>
        </is>
      </c>
      <c r="L3020">
        <f>_xlfn.XLOOKUP(Tableau1[[#This Row],[TYPE DE PIECE]],Tableau4[MATIERE],Tableau4[SHORT TYPE],"",0,1)</f>
        <v/>
      </c>
      <c r="N3020">
        <f>IF(ISERR(FIND("DECOUPE",Tableau1[[#This Row],[DESIGNATION]])),"","NEED REF")</f>
        <v/>
      </c>
    </row>
    <row r="3021">
      <c r="B3021" t="n">
        <v>34410980</v>
      </c>
      <c r="C3021" s="2" t="n">
        <v>44768</v>
      </c>
      <c r="D3021" t="inlineStr">
        <is>
          <t>SPEC</t>
        </is>
      </c>
      <c r="E3021" t="inlineStr">
        <is>
          <t>SMT SOCLE 100M TYPE OKKEN</t>
        </is>
      </c>
      <c r="J3021" t="inlineStr">
        <is>
          <t>MATRION</t>
        </is>
      </c>
      <c r="K3021" t="inlineStr">
        <is>
          <t>METAL</t>
        </is>
      </c>
      <c r="L3021">
        <f>_xlfn.XLOOKUP(Tableau1[[#This Row],[TYPE DE PIECE]],Tableau4[MATIERE],Tableau4[SHORT TYPE],"",0,1)</f>
        <v/>
      </c>
      <c r="N3021">
        <f>IF(ISERR(FIND("DECOUPE",Tableau1[[#This Row],[DESIGNATION]])),"","NEED REF")</f>
        <v/>
      </c>
    </row>
    <row r="3022">
      <c r="B3022" t="n">
        <v>34410979</v>
      </c>
      <c r="C3022" s="2" t="n">
        <v>44768</v>
      </c>
      <c r="D3022" t="inlineStr">
        <is>
          <t>SPEC</t>
        </is>
      </c>
      <c r="E3022" t="inlineStr">
        <is>
          <t>SMT LOCK CAM LEFT DOOR</t>
        </is>
      </c>
      <c r="J3022" t="inlineStr">
        <is>
          <t>MATRION</t>
        </is>
      </c>
      <c r="K3022" t="inlineStr">
        <is>
          <t>METAL</t>
        </is>
      </c>
      <c r="L3022">
        <f>_xlfn.XLOOKUP(Tableau1[[#This Row],[TYPE DE PIECE]],Tableau4[MATIERE],Tableau4[SHORT TYPE],"",0,1)</f>
        <v/>
      </c>
      <c r="N3022">
        <f>IF(ISERR(FIND("DECOUPE",Tableau1[[#This Row],[DESIGNATION]])),"","NEED REF")</f>
        <v/>
      </c>
    </row>
    <row r="3023">
      <c r="B3023" t="n">
        <v>34410978</v>
      </c>
      <c r="C3023" s="2" t="n">
        <v>44768</v>
      </c>
      <c r="D3023" t="inlineStr">
        <is>
          <t>SPEC</t>
        </is>
      </c>
      <c r="E3023" t="inlineStr">
        <is>
          <t>SMT LOCK CAM RIGHT DOOR</t>
        </is>
      </c>
      <c r="J3023" t="inlineStr">
        <is>
          <t>MATRION</t>
        </is>
      </c>
      <c r="K3023" t="inlineStr">
        <is>
          <t>METAL</t>
        </is>
      </c>
      <c r="L3023">
        <f>_xlfn.XLOOKUP(Tableau1[[#This Row],[TYPE DE PIECE]],Tableau4[MATIERE],Tableau4[SHORT TYPE],"",0,1)</f>
        <v/>
      </c>
      <c r="N3023">
        <f>IF(ISERR(FIND("DECOUPE",Tableau1[[#This Row],[DESIGNATION]])),"","NEED REF")</f>
        <v/>
      </c>
    </row>
    <row r="3024">
      <c r="B3024" t="n">
        <v>34410977</v>
      </c>
      <c r="C3024" s="2" t="n">
        <v>44767</v>
      </c>
      <c r="D3024" t="inlineStr">
        <is>
          <t>SPEC</t>
        </is>
      </c>
      <c r="E3024" t="inlineStr">
        <is>
          <t>WOOD PLANCHE 800x1000</t>
        </is>
      </c>
      <c r="J3024" t="inlineStr">
        <is>
          <t>MATRION</t>
        </is>
      </c>
      <c r="K3024" t="inlineStr">
        <is>
          <t>BOIS</t>
        </is>
      </c>
      <c r="L3024">
        <f>_xlfn.XLOOKUP(Tableau1[[#This Row],[TYPE DE PIECE]],Tableau4[MATIERE],Tableau4[SHORT TYPE],"",0,1)</f>
        <v/>
      </c>
      <c r="N3024">
        <f>IF(ISERR(FIND("DECOUPE",Tableau1[[#This Row],[DESIGNATION]])),"","NEED REF")</f>
        <v/>
      </c>
    </row>
    <row r="3025">
      <c r="B3025" t="n">
        <v>34410976</v>
      </c>
      <c r="C3025" s="2" t="n">
        <v>44767</v>
      </c>
      <c r="D3025" t="inlineStr">
        <is>
          <t>SPEC</t>
        </is>
      </c>
      <c r="E3025" t="inlineStr">
        <is>
          <t>WOOD PLANCHE 800x700</t>
        </is>
      </c>
      <c r="J3025" t="inlineStr">
        <is>
          <t>MATRION</t>
        </is>
      </c>
      <c r="K3025" t="inlineStr">
        <is>
          <t>BOIS</t>
        </is>
      </c>
      <c r="L3025">
        <f>_xlfn.XLOOKUP(Tableau1[[#This Row],[TYPE DE PIECE]],Tableau4[MATIERE],Tableau4[SHORT TYPE],"",0,1)</f>
        <v/>
      </c>
      <c r="N3025">
        <f>IF(ISERR(FIND("DECOUPE",Tableau1[[#This Row],[DESIGNATION]])),"","NEED REF")</f>
        <v/>
      </c>
    </row>
    <row r="3026">
      <c r="B3026" t="n">
        <v>34410975</v>
      </c>
      <c r="C3026" s="2" t="n">
        <v>44763</v>
      </c>
      <c r="D3026" t="inlineStr">
        <is>
          <t>SPEC</t>
        </is>
      </c>
      <c r="E3026" t="inlineStr">
        <is>
          <t>SMT PLASTRON 4</t>
        </is>
      </c>
      <c r="F3026" t="inlineStr">
        <is>
          <t>GSK BELGIQUE</t>
        </is>
      </c>
      <c r="G3026" t="inlineStr">
        <is>
          <t>GVL</t>
        </is>
      </c>
      <c r="J3026" t="inlineStr">
        <is>
          <t>BERNARDEAU</t>
        </is>
      </c>
      <c r="K3026" t="inlineStr">
        <is>
          <t>METAL</t>
        </is>
      </c>
      <c r="L3026">
        <f>_xlfn.XLOOKUP(Tableau1[[#This Row],[TYPE DE PIECE]],Tableau4[MATIERE],Tableau4[SHORT TYPE],"",0,1)</f>
        <v/>
      </c>
      <c r="N3026">
        <f>IF(ISERR(FIND("DECOUPE",Tableau1[[#This Row],[DESIGNATION]])),"","NEED REF")</f>
        <v/>
      </c>
    </row>
    <row r="3027">
      <c r="B3027" t="n">
        <v>34410974</v>
      </c>
      <c r="C3027" s="2" t="n">
        <v>44763</v>
      </c>
      <c r="D3027" t="inlineStr">
        <is>
          <t>SPEC</t>
        </is>
      </c>
      <c r="E3027" t="inlineStr">
        <is>
          <t>SMT PLASTRON 3</t>
        </is>
      </c>
      <c r="F3027" t="inlineStr">
        <is>
          <t>GSK BELGIQUE</t>
        </is>
      </c>
      <c r="G3027" t="inlineStr">
        <is>
          <t>GVL</t>
        </is>
      </c>
      <c r="J3027" t="inlineStr">
        <is>
          <t>BERNARDEAU</t>
        </is>
      </c>
      <c r="K3027" t="inlineStr">
        <is>
          <t>METAL</t>
        </is>
      </c>
      <c r="L3027">
        <f>_xlfn.XLOOKUP(Tableau1[[#This Row],[TYPE DE PIECE]],Tableau4[MATIERE],Tableau4[SHORT TYPE],"",0,1)</f>
        <v/>
      </c>
      <c r="N3027">
        <f>IF(ISERR(FIND("DECOUPE",Tableau1[[#This Row],[DESIGNATION]])),"","NEED REF")</f>
        <v/>
      </c>
    </row>
    <row r="3028">
      <c r="B3028" t="n">
        <v>34410973</v>
      </c>
      <c r="C3028" s="2" t="n">
        <v>44763</v>
      </c>
      <c r="D3028" t="inlineStr">
        <is>
          <t>SPEC</t>
        </is>
      </c>
      <c r="E3028" t="inlineStr">
        <is>
          <t>SMT PANNEAU LATERAL CROWN BOX</t>
        </is>
      </c>
      <c r="F3028" t="inlineStr">
        <is>
          <t>Supernap Italy - LI ION TOP ENTRY PULL CABINET 4000A WITH FUS</t>
        </is>
      </c>
      <c r="G3028" t="inlineStr">
        <is>
          <t>GVX</t>
        </is>
      </c>
      <c r="H3028" t="inlineStr">
        <is>
          <t>AUX</t>
        </is>
      </c>
      <c r="J3028" t="inlineStr">
        <is>
          <t>MATRION</t>
        </is>
      </c>
      <c r="L3028">
        <f>_xlfn.XLOOKUP(Tableau1[[#This Row],[TYPE DE PIECE]],Tableau4[MATIERE],Tableau4[SHORT TYPE],"",0,1)</f>
        <v/>
      </c>
      <c r="N3028">
        <f>IF(ISERR(FIND("DECOUPE",Tableau1[[#This Row],[DESIGNATION]])),"","NEED REF")</f>
        <v/>
      </c>
    </row>
    <row r="3029">
      <c r="B3029" t="n">
        <v>34410972</v>
      </c>
      <c r="C3029" s="2" t="n">
        <v>44763</v>
      </c>
      <c r="D3029" t="inlineStr">
        <is>
          <t>SPEC</t>
        </is>
      </c>
      <c r="E3029" t="inlineStr">
        <is>
          <t>SMT SUPPORT TFO HAUT STRUTURE BIRDY</t>
        </is>
      </c>
      <c r="F3029" t="inlineStr">
        <is>
          <t>GSK BELGIQUE</t>
        </is>
      </c>
      <c r="G3029" t="inlineStr">
        <is>
          <t>GVL</t>
        </is>
      </c>
      <c r="J3029" t="inlineStr">
        <is>
          <t>BERNARDEAU</t>
        </is>
      </c>
      <c r="K3029" t="inlineStr">
        <is>
          <t>METAL</t>
        </is>
      </c>
      <c r="L3029">
        <f>_xlfn.XLOOKUP(Tableau1[[#This Row],[TYPE DE PIECE]],Tableau4[MATIERE],Tableau4[SHORT TYPE],"",0,1)</f>
        <v/>
      </c>
      <c r="N3029">
        <f>IF(ISERR(FIND("DECOUPE",Tableau1[[#This Row],[DESIGNATION]])),"","NEED REF")</f>
        <v/>
      </c>
    </row>
    <row r="3030">
      <c r="B3030" t="n">
        <v>34410971</v>
      </c>
      <c r="C3030" s="2" t="n">
        <v>44763</v>
      </c>
      <c r="D3030" t="inlineStr">
        <is>
          <t>SPEC</t>
        </is>
      </c>
      <c r="E3030" t="inlineStr">
        <is>
          <t>SMT TOIT COFFRET</t>
        </is>
      </c>
      <c r="F3030" t="inlineStr">
        <is>
          <t>GSK BELGIQUE</t>
        </is>
      </c>
      <c r="G3030" t="inlineStr">
        <is>
          <t>GVL</t>
        </is>
      </c>
      <c r="H3030" t="inlineStr">
        <is>
          <t>AUX</t>
        </is>
      </c>
      <c r="J3030" t="inlineStr">
        <is>
          <t>MATRION</t>
        </is>
      </c>
      <c r="L3030">
        <f>_xlfn.XLOOKUP(Tableau1[[#This Row],[TYPE DE PIECE]],Tableau4[MATIERE],Tableau4[SHORT TYPE],"",0,1)</f>
        <v/>
      </c>
      <c r="N3030">
        <f>IF(ISERR(FIND("DECOUPE",Tableau1[[#This Row],[DESIGNATION]])),"","NEED REF")</f>
        <v/>
      </c>
    </row>
    <row r="3031">
      <c r="B3031" t="n">
        <v>34410970</v>
      </c>
      <c r="C3031" s="2" t="n">
        <v>44763</v>
      </c>
      <c r="D3031" t="inlineStr">
        <is>
          <t>SPEC</t>
        </is>
      </c>
      <c r="E3031" t="inlineStr">
        <is>
          <t>SMT TRAVERSE ISO</t>
        </is>
      </c>
      <c r="F3031" t="inlineStr">
        <is>
          <t>Supernap Italy - LI ION TOP ENTRY PULL CABINET 4000A WITH FUS</t>
        </is>
      </c>
      <c r="G3031" t="inlineStr">
        <is>
          <t>GVX</t>
        </is>
      </c>
      <c r="H3031" t="inlineStr">
        <is>
          <t>AUX</t>
        </is>
      </c>
      <c r="J3031" t="inlineStr">
        <is>
          <t>MATRION</t>
        </is>
      </c>
      <c r="L3031">
        <f>_xlfn.XLOOKUP(Tableau1[[#This Row],[TYPE DE PIECE]],Tableau4[MATIERE],Tableau4[SHORT TYPE],"",0,1)</f>
        <v/>
      </c>
      <c r="N3031">
        <f>IF(ISERR(FIND("DECOUPE",Tableau1[[#This Row],[DESIGNATION]])),"","NEED REF")</f>
        <v/>
      </c>
    </row>
    <row r="3032">
      <c r="B3032" t="n">
        <v>34410969</v>
      </c>
      <c r="C3032" s="2" t="n">
        <v>44763</v>
      </c>
      <c r="D3032" t="inlineStr">
        <is>
          <t>SPEC</t>
        </is>
      </c>
      <c r="E3032" t="inlineStr">
        <is>
          <t>CALE 2</t>
        </is>
      </c>
      <c r="F3032" t="inlineStr">
        <is>
          <t>Supernap Italy - LI ION TOP ENTRY PULL CABINET 4000A WITH FUS</t>
        </is>
      </c>
      <c r="G3032" t="inlineStr">
        <is>
          <t>GVX</t>
        </is>
      </c>
      <c r="H3032" t="inlineStr">
        <is>
          <t>AUX</t>
        </is>
      </c>
      <c r="J3032" t="inlineStr">
        <is>
          <t>MATRION</t>
        </is>
      </c>
      <c r="L3032">
        <f>_xlfn.XLOOKUP(Tableau1[[#This Row],[TYPE DE PIECE]],Tableau4[MATIERE],Tableau4[SHORT TYPE],"",0,1)</f>
        <v/>
      </c>
      <c r="N3032">
        <f>IF(ISERR(FIND("DECOUPE",Tableau1[[#This Row],[DESIGNATION]])),"","NEED REF")</f>
        <v/>
      </c>
    </row>
    <row r="3033">
      <c r="B3033" t="n">
        <v>34410968</v>
      </c>
      <c r="C3033" s="2" t="n">
        <v>44763</v>
      </c>
      <c r="D3033" t="inlineStr">
        <is>
          <t>SPEC</t>
        </is>
      </c>
      <c r="E3033" t="inlineStr">
        <is>
          <t>CALE 1</t>
        </is>
      </c>
      <c r="F3033" t="inlineStr">
        <is>
          <t>Supernap Italy - LI ION TOP ENTRY PULL CABINET 4000A WITH FUS</t>
        </is>
      </c>
      <c r="G3033" t="inlineStr">
        <is>
          <t>GVX</t>
        </is>
      </c>
      <c r="H3033" t="inlineStr">
        <is>
          <t>AUX</t>
        </is>
      </c>
      <c r="J3033" t="inlineStr">
        <is>
          <t>MATRION</t>
        </is>
      </c>
      <c r="L3033">
        <f>_xlfn.XLOOKUP(Tableau1[[#This Row],[TYPE DE PIECE]],Tableau4[MATIERE],Tableau4[SHORT TYPE],"",0,1)</f>
        <v/>
      </c>
      <c r="N3033">
        <f>IF(ISERR(FIND("DECOUPE",Tableau1[[#This Row],[DESIGNATION]])),"","NEED REF")</f>
        <v/>
      </c>
    </row>
    <row r="3034">
      <c r="B3034" t="n">
        <v>34410967</v>
      </c>
      <c r="C3034" s="2" t="n">
        <v>44763</v>
      </c>
      <c r="D3034" t="inlineStr">
        <is>
          <t>SPEC</t>
        </is>
      </c>
      <c r="E3034" t="inlineStr">
        <is>
          <t>PLA PROTECTION</t>
        </is>
      </c>
      <c r="F3034" t="inlineStr">
        <is>
          <t>Supernap Italy - LI ION TOP ENTRY PULL CABINET 4000A WITH FUS</t>
        </is>
      </c>
      <c r="G3034" t="inlineStr">
        <is>
          <t>GVX</t>
        </is>
      </c>
      <c r="H3034" t="inlineStr">
        <is>
          <t>AUX</t>
        </is>
      </c>
      <c r="J3034" t="inlineStr">
        <is>
          <t>MATRION</t>
        </is>
      </c>
      <c r="L3034">
        <f>_xlfn.XLOOKUP(Tableau1[[#This Row],[TYPE DE PIECE]],Tableau4[MATIERE],Tableau4[SHORT TYPE],"",0,1)</f>
        <v/>
      </c>
      <c r="N3034">
        <f>IF(ISERR(FIND("DECOUPE",Tableau1[[#This Row],[DESIGNATION]])),"","NEED REF")</f>
        <v/>
      </c>
    </row>
    <row r="3035">
      <c r="B3035" t="n">
        <v>34410966</v>
      </c>
      <c r="C3035" s="2" t="n">
        <v>44763</v>
      </c>
      <c r="D3035" t="inlineStr">
        <is>
          <t>SPEC</t>
        </is>
      </c>
      <c r="J3035" t="inlineStr">
        <is>
          <t>MATRION</t>
        </is>
      </c>
      <c r="L3035">
        <f>_xlfn.XLOOKUP(Tableau1[[#This Row],[TYPE DE PIECE]],Tableau4[MATIERE],Tableau4[SHORT TYPE],"",0,1)</f>
        <v/>
      </c>
      <c r="N3035">
        <f>IF(ISERR(FIND("DECOUPE",Tableau1[[#This Row],[DESIGNATION]])),"","NEED REF")</f>
        <v/>
      </c>
    </row>
    <row r="3036">
      <c r="B3036" t="n">
        <v>34410965</v>
      </c>
      <c r="C3036" s="2" t="n">
        <v>44763</v>
      </c>
      <c r="D3036" t="inlineStr">
        <is>
          <t>SPEC</t>
        </is>
      </c>
      <c r="J3036" t="inlineStr">
        <is>
          <t>MATRION</t>
        </is>
      </c>
      <c r="L3036">
        <f>_xlfn.XLOOKUP(Tableau1[[#This Row],[TYPE DE PIECE]],Tableau4[MATIERE],Tableau4[SHORT TYPE],"",0,1)</f>
        <v/>
      </c>
      <c r="N3036">
        <f>IF(ISERR(FIND("DECOUPE",Tableau1[[#This Row],[DESIGNATION]])),"","NEED REF")</f>
        <v/>
      </c>
    </row>
    <row r="3037">
      <c r="B3037" t="n">
        <v>34410964</v>
      </c>
      <c r="C3037" s="2" t="n">
        <v>44763</v>
      </c>
      <c r="D3037" t="inlineStr">
        <is>
          <t>SPEC</t>
        </is>
      </c>
      <c r="J3037" t="inlineStr">
        <is>
          <t>MATRION</t>
        </is>
      </c>
      <c r="L3037">
        <f>_xlfn.XLOOKUP(Tableau1[[#This Row],[TYPE DE PIECE]],Tableau4[MATIERE],Tableau4[SHORT TYPE],"",0,1)</f>
        <v/>
      </c>
      <c r="N3037">
        <f>IF(ISERR(FIND("DECOUPE",Tableau1[[#This Row],[DESIGNATION]])),"","NEED REF")</f>
        <v/>
      </c>
    </row>
    <row r="3038">
      <c r="B3038" t="n">
        <v>34410963</v>
      </c>
      <c r="C3038" s="2" t="n">
        <v>44763</v>
      </c>
      <c r="D3038" t="inlineStr">
        <is>
          <t>SPEC</t>
        </is>
      </c>
      <c r="J3038" t="inlineStr">
        <is>
          <t>MATRION</t>
        </is>
      </c>
      <c r="L3038">
        <f>_xlfn.XLOOKUP(Tableau1[[#This Row],[TYPE DE PIECE]],Tableau4[MATIERE],Tableau4[SHORT TYPE],"",0,1)</f>
        <v/>
      </c>
      <c r="N3038">
        <f>IF(ISERR(FIND("DECOUPE",Tableau1[[#This Row],[DESIGNATION]])),"","NEED REF")</f>
        <v/>
      </c>
    </row>
    <row r="3039">
      <c r="B3039" t="n">
        <v>34410962</v>
      </c>
      <c r="C3039" s="2" t="n">
        <v>44763</v>
      </c>
      <c r="D3039" t="inlineStr">
        <is>
          <t>SPEC</t>
        </is>
      </c>
      <c r="E3039" t="inlineStr">
        <is>
          <t>SMT COFFRET SUPERNAP</t>
        </is>
      </c>
      <c r="F3039" t="inlineStr">
        <is>
          <t>Supernap Italy - LI ION TOP ENTRY PULL CABINET 4000A WITH FUS</t>
        </is>
      </c>
      <c r="G3039" t="inlineStr">
        <is>
          <t>GVX</t>
        </is>
      </c>
      <c r="H3039" t="inlineStr">
        <is>
          <t>AUX</t>
        </is>
      </c>
      <c r="J3039" t="inlineStr">
        <is>
          <t>MATRION</t>
        </is>
      </c>
      <c r="L3039">
        <f>_xlfn.XLOOKUP(Tableau1[[#This Row],[TYPE DE PIECE]],Tableau4[MATIERE],Tableau4[SHORT TYPE],"",0,1)</f>
        <v/>
      </c>
      <c r="N3039">
        <f>IF(ISERR(FIND("DECOUPE",Tableau1[[#This Row],[DESIGNATION]])),"","NEED REF")</f>
        <v/>
      </c>
    </row>
    <row r="3040">
      <c r="B3040" t="n">
        <v>34410961</v>
      </c>
      <c r="C3040" s="2" t="n">
        <v>44763</v>
      </c>
      <c r="D3040" t="inlineStr">
        <is>
          <t>SPEC</t>
        </is>
      </c>
      <c r="E3040" t="inlineStr">
        <is>
          <t>EQUERRE MAKROLON</t>
        </is>
      </c>
      <c r="F3040" t="inlineStr">
        <is>
          <t>Supernap Italy - LI ION TOP ENTRY PULL CABINET 4000A WITH FUS</t>
        </is>
      </c>
      <c r="G3040" t="inlineStr">
        <is>
          <t>GVX</t>
        </is>
      </c>
      <c r="H3040" t="inlineStr">
        <is>
          <t>AUX</t>
        </is>
      </c>
      <c r="J3040" t="inlineStr">
        <is>
          <t>MATRION</t>
        </is>
      </c>
      <c r="L3040">
        <f>_xlfn.XLOOKUP(Tableau1[[#This Row],[TYPE DE PIECE]],Tableau4[MATIERE],Tableau4[SHORT TYPE],"",0,1)</f>
        <v/>
      </c>
      <c r="N3040">
        <f>IF(ISERR(FIND("DECOUPE",Tableau1[[#This Row],[DESIGNATION]])),"","NEED REF")</f>
        <v/>
      </c>
    </row>
    <row r="3041">
      <c r="B3041" t="n">
        <v>34410960</v>
      </c>
      <c r="C3041" s="2" t="n">
        <v>44763</v>
      </c>
      <c r="D3041" t="inlineStr">
        <is>
          <t>SPEC</t>
        </is>
      </c>
      <c r="E3041" t="inlineStr">
        <is>
          <t>DECOUPE Cablofil CF30200EZ Coffret Samsung</t>
        </is>
      </c>
      <c r="F3041" t="inlineStr">
        <is>
          <t>Supernap Italy - LI ION TOP ENTRY PULL CABINET 4000A WITH FUS</t>
        </is>
      </c>
      <c r="G3041" t="inlineStr">
        <is>
          <t>GVX</t>
        </is>
      </c>
      <c r="H3041" t="inlineStr">
        <is>
          <t>AUX</t>
        </is>
      </c>
      <c r="J3041" t="inlineStr">
        <is>
          <t>MATRION</t>
        </is>
      </c>
      <c r="K3041" t="inlineStr">
        <is>
          <t>ETO</t>
        </is>
      </c>
      <c r="L3041">
        <f>_xlfn.XLOOKUP(Tableau1[[#This Row],[TYPE DE PIECE]],Tableau4[MATIERE],Tableau4[SHORT TYPE],"",0,1)</f>
        <v/>
      </c>
      <c r="N3041" t="inlineStr">
        <is>
          <t xml:space="preserve">CF30200EZ </t>
        </is>
      </c>
    </row>
    <row r="3042">
      <c r="B3042" t="n">
        <v>34410959</v>
      </c>
      <c r="C3042" s="2" t="n">
        <v>44763</v>
      </c>
      <c r="D3042" t="inlineStr">
        <is>
          <t>SPEC</t>
        </is>
      </c>
      <c r="E3042" t="inlineStr">
        <is>
          <t>TRAVERSE FIL FIN COFFRET SAMSUNG</t>
        </is>
      </c>
      <c r="F3042" t="inlineStr">
        <is>
          <t>Supernap Italy - LI ION TOP ENTRY PULL CABINET 4000A WITH FUS</t>
        </is>
      </c>
      <c r="G3042" t="inlineStr">
        <is>
          <t>GVX</t>
        </is>
      </c>
      <c r="H3042" t="inlineStr">
        <is>
          <t>AUX</t>
        </is>
      </c>
      <c r="J3042" t="inlineStr">
        <is>
          <t>MATRION</t>
        </is>
      </c>
      <c r="L3042">
        <f>_xlfn.XLOOKUP(Tableau1[[#This Row],[TYPE DE PIECE]],Tableau4[MATIERE],Tableau4[SHORT TYPE],"",0,1)</f>
        <v/>
      </c>
      <c r="N3042">
        <f>IF(ISERR(FIND("DECOUPE",Tableau1[[#This Row],[DESIGNATION]])),"","NEED REF")</f>
        <v/>
      </c>
    </row>
    <row r="3043">
      <c r="B3043" t="n">
        <v>34410958</v>
      </c>
      <c r="C3043" s="2" t="n">
        <v>44763</v>
      </c>
      <c r="D3043" t="inlineStr">
        <is>
          <t>SPEC</t>
        </is>
      </c>
      <c r="E3043" t="inlineStr">
        <is>
          <t>TRAVERSE CABLOFIL COFFRET SAMSUNG</t>
        </is>
      </c>
      <c r="F3043" t="inlineStr">
        <is>
          <t>Supernap Italy - LI ION TOP ENTRY PULL CABINET 4000A WITH FUS</t>
        </is>
      </c>
      <c r="G3043" t="inlineStr">
        <is>
          <t>GVX</t>
        </is>
      </c>
      <c r="H3043" t="inlineStr">
        <is>
          <t>AUX</t>
        </is>
      </c>
      <c r="J3043" t="inlineStr">
        <is>
          <t>MATRION</t>
        </is>
      </c>
      <c r="L3043">
        <f>_xlfn.XLOOKUP(Tableau1[[#This Row],[TYPE DE PIECE]],Tableau4[MATIERE],Tableau4[SHORT TYPE],"",0,1)</f>
        <v/>
      </c>
      <c r="N3043">
        <f>IF(ISERR(FIND("DECOUPE",Tableau1[[#This Row],[DESIGNATION]])),"","NEED REF")</f>
        <v/>
      </c>
    </row>
    <row r="3044">
      <c r="B3044" t="n">
        <v>34410957</v>
      </c>
      <c r="C3044" s="2" t="n">
        <v>44762</v>
      </c>
      <c r="D3044" t="inlineStr">
        <is>
          <t>SPEC</t>
        </is>
      </c>
      <c r="E3044" t="inlineStr">
        <is>
          <t>PLA PLASTRON 3</t>
        </is>
      </c>
      <c r="F3044" t="inlineStr">
        <is>
          <t>GSK Belgique</t>
        </is>
      </c>
      <c r="G3044" t="inlineStr">
        <is>
          <t>GVL</t>
        </is>
      </c>
      <c r="J3044" t="inlineStr">
        <is>
          <t>BERNARDEAU</t>
        </is>
      </c>
      <c r="K3044" t="inlineStr">
        <is>
          <t>PLASTIQUE</t>
        </is>
      </c>
      <c r="L3044">
        <f>_xlfn.XLOOKUP(Tableau1[[#This Row],[TYPE DE PIECE]],Tableau4[MATIERE],Tableau4[SHORT TYPE],"",0,1)</f>
        <v/>
      </c>
      <c r="N3044">
        <f>IF(ISERR(FIND("DECOUPE",Tableau1[[#This Row],[DESIGNATION]])),"","NEED REF")</f>
        <v/>
      </c>
    </row>
    <row r="3045">
      <c r="B3045" t="n">
        <v>34410956</v>
      </c>
      <c r="C3045" s="2" t="n">
        <v>44762</v>
      </c>
      <c r="D3045" t="inlineStr">
        <is>
          <t>SPEC</t>
        </is>
      </c>
      <c r="E3045" t="inlineStr">
        <is>
          <t>PLA PLASTRON 2</t>
        </is>
      </c>
      <c r="F3045" t="inlineStr">
        <is>
          <t>GSK Belgique</t>
        </is>
      </c>
      <c r="G3045" t="inlineStr">
        <is>
          <t>GVL</t>
        </is>
      </c>
      <c r="J3045" t="inlineStr">
        <is>
          <t>BERNARDEAU</t>
        </is>
      </c>
      <c r="K3045" t="inlineStr">
        <is>
          <t>PLASTIQUE</t>
        </is>
      </c>
      <c r="L3045">
        <f>_xlfn.XLOOKUP(Tableau1[[#This Row],[TYPE DE PIECE]],Tableau4[MATIERE],Tableau4[SHORT TYPE],"",0,1)</f>
        <v/>
      </c>
      <c r="N3045">
        <f>IF(ISERR(FIND("DECOUPE",Tableau1[[#This Row],[DESIGNATION]])),"","NEED REF")</f>
        <v/>
      </c>
    </row>
    <row r="3046">
      <c r="B3046" t="n">
        <v>34410955</v>
      </c>
      <c r="C3046" s="2" t="n">
        <v>44762</v>
      </c>
      <c r="D3046" t="inlineStr">
        <is>
          <t>SPEC</t>
        </is>
      </c>
      <c r="E3046" t="inlineStr">
        <is>
          <t>PLA PLASTRON 4</t>
        </is>
      </c>
      <c r="F3046" t="inlineStr">
        <is>
          <t>GSK Belgique</t>
        </is>
      </c>
      <c r="G3046" t="inlineStr">
        <is>
          <t>GVL</t>
        </is>
      </c>
      <c r="J3046" t="inlineStr">
        <is>
          <t>BERNARDEAU</t>
        </is>
      </c>
      <c r="K3046" t="inlineStr">
        <is>
          <t>PLASTIQUE</t>
        </is>
      </c>
      <c r="L3046">
        <f>_xlfn.XLOOKUP(Tableau1[[#This Row],[TYPE DE PIECE]],Tableau4[MATIERE],Tableau4[SHORT TYPE],"",0,1)</f>
        <v/>
      </c>
      <c r="N3046">
        <f>IF(ISERR(FIND("DECOUPE",Tableau1[[#This Row],[DESIGNATION]])),"","NEED REF")</f>
        <v/>
      </c>
    </row>
    <row r="3047">
      <c r="B3047" t="n">
        <v>34410954</v>
      </c>
      <c r="C3047" s="2" t="n">
        <v>44762</v>
      </c>
      <c r="D3047" t="inlineStr">
        <is>
          <t>SPEC</t>
        </is>
      </c>
      <c r="E3047" t="inlineStr">
        <is>
          <t>PLA PLASTRON 3</t>
        </is>
      </c>
      <c r="F3047" t="inlineStr">
        <is>
          <t>GSK Belgique</t>
        </is>
      </c>
      <c r="G3047" t="inlineStr">
        <is>
          <t>GVL</t>
        </is>
      </c>
      <c r="J3047" t="inlineStr">
        <is>
          <t>BERNARDEAU</t>
        </is>
      </c>
      <c r="K3047" t="inlineStr">
        <is>
          <t>PLASTIQUE</t>
        </is>
      </c>
      <c r="L3047">
        <f>_xlfn.XLOOKUP(Tableau1[[#This Row],[TYPE DE PIECE]],Tableau4[MATIERE],Tableau4[SHORT TYPE],"",0,1)</f>
        <v/>
      </c>
      <c r="N3047">
        <f>IF(ISERR(FIND("DECOUPE",Tableau1[[#This Row],[DESIGNATION]])),"","NEED REF")</f>
        <v/>
      </c>
    </row>
    <row r="3048">
      <c r="B3048" t="n">
        <v>34410953</v>
      </c>
      <c r="C3048" s="2" t="n">
        <v>44762</v>
      </c>
      <c r="D3048" t="inlineStr">
        <is>
          <t>SPEC</t>
        </is>
      </c>
      <c r="E3048" t="inlineStr">
        <is>
          <t>SMT TOIT VENTILE GVEAC7D10</t>
        </is>
      </c>
      <c r="G3048" t="inlineStr">
        <is>
          <t>TOUTES</t>
        </is>
      </c>
      <c r="H3048" t="inlineStr">
        <is>
          <t>AUX</t>
        </is>
      </c>
      <c r="J3048" t="inlineStr">
        <is>
          <t>MATRION</t>
        </is>
      </c>
      <c r="K3048" t="inlineStr">
        <is>
          <t>METAL</t>
        </is>
      </c>
      <c r="L3048">
        <f>_xlfn.XLOOKUP(Tableau1[[#This Row],[TYPE DE PIECE]],Tableau4[MATIERE],Tableau4[SHORT TYPE],"",0,1)</f>
        <v/>
      </c>
      <c r="N3048">
        <f>IF(ISERR(FIND("DECOUPE",Tableau1[[#This Row],[DESIGNATION]])),"","NEED REF")</f>
        <v/>
      </c>
    </row>
    <row r="3049">
      <c r="B3049" t="n">
        <v>34410952</v>
      </c>
      <c r="C3049" s="2" t="n">
        <v>44762</v>
      </c>
      <c r="D3049" t="inlineStr">
        <is>
          <t>SPEC</t>
        </is>
      </c>
      <c r="E3049" t="inlineStr">
        <is>
          <t>SMT TOIT VENTILE GVEAC10D10</t>
        </is>
      </c>
      <c r="G3049" t="inlineStr">
        <is>
          <t>TOUTES</t>
        </is>
      </c>
      <c r="H3049" t="inlineStr">
        <is>
          <t>AUX</t>
        </is>
      </c>
      <c r="J3049" t="inlineStr">
        <is>
          <t>MATRION</t>
        </is>
      </c>
      <c r="K3049" t="inlineStr">
        <is>
          <t>METAL</t>
        </is>
      </c>
      <c r="L3049">
        <f>_xlfn.XLOOKUP(Tableau1[[#This Row],[TYPE DE PIECE]],Tableau4[MATIERE],Tableau4[SHORT TYPE],"",0,1)</f>
        <v/>
      </c>
      <c r="N3049">
        <f>IF(ISERR(FIND("DECOUPE",Tableau1[[#This Row],[DESIGNATION]])),"","NEED REF")</f>
        <v/>
      </c>
    </row>
    <row r="3050">
      <c r="B3050" t="n">
        <v>34410951</v>
      </c>
      <c r="C3050" s="2" t="n">
        <v>44762</v>
      </c>
      <c r="D3050" t="inlineStr">
        <is>
          <t>SPEC</t>
        </is>
      </c>
      <c r="E3050" t="inlineStr">
        <is>
          <t>SMT PASSE CABLES ALU GVEAC7D10</t>
        </is>
      </c>
      <c r="G3050" t="inlineStr">
        <is>
          <t>TOUTES</t>
        </is>
      </c>
      <c r="H3050" t="inlineStr">
        <is>
          <t>AUX</t>
        </is>
      </c>
      <c r="J3050" t="inlineStr">
        <is>
          <t>MATRION</t>
        </is>
      </c>
      <c r="K3050" t="inlineStr">
        <is>
          <t>METAL</t>
        </is>
      </c>
      <c r="L3050">
        <f>_xlfn.XLOOKUP(Tableau1[[#This Row],[TYPE DE PIECE]],Tableau4[MATIERE],Tableau4[SHORT TYPE],"",0,1)</f>
        <v/>
      </c>
      <c r="N3050">
        <f>IF(ISERR(FIND("DECOUPE",Tableau1[[#This Row],[DESIGNATION]])),"","NEED REF")</f>
        <v/>
      </c>
    </row>
    <row r="3051">
      <c r="B3051" t="n">
        <v>34410950</v>
      </c>
      <c r="C3051" s="2" t="n">
        <v>44762</v>
      </c>
      <c r="D3051" t="inlineStr">
        <is>
          <t>SPEC</t>
        </is>
      </c>
      <c r="E3051" t="inlineStr">
        <is>
          <t>SMT CONTRE PORTE 300x1900</t>
        </is>
      </c>
      <c r="G3051" t="inlineStr">
        <is>
          <t>TOUTES</t>
        </is>
      </c>
      <c r="H3051" t="inlineStr">
        <is>
          <t>AUX</t>
        </is>
      </c>
      <c r="J3051" t="inlineStr">
        <is>
          <t>MATRION</t>
        </is>
      </c>
      <c r="K3051" t="inlineStr">
        <is>
          <t>METAL</t>
        </is>
      </c>
      <c r="L3051">
        <f>_xlfn.XLOOKUP(Tableau1[[#This Row],[TYPE DE PIECE]],Tableau4[MATIERE],Tableau4[SHORT TYPE],"",0,1)</f>
        <v/>
      </c>
      <c r="N3051">
        <f>IF(ISERR(FIND("DECOUPE",Tableau1[[#This Row],[DESIGNATION]])),"","NEED REF")</f>
        <v/>
      </c>
    </row>
    <row r="3052">
      <c r="B3052" t="n">
        <v>34410949</v>
      </c>
      <c r="C3052" s="2" t="n">
        <v>44762</v>
      </c>
      <c r="D3052" t="inlineStr">
        <is>
          <t>SPEC</t>
        </is>
      </c>
      <c r="E3052" t="inlineStr">
        <is>
          <t>SMT S/E CONTRE PORTE 300x1900 RAL9003</t>
        </is>
      </c>
      <c r="G3052" t="inlineStr">
        <is>
          <t>TOUTES</t>
        </is>
      </c>
      <c r="H3052" t="inlineStr">
        <is>
          <t>AUX</t>
        </is>
      </c>
      <c r="J3052" t="inlineStr">
        <is>
          <t>MATRION</t>
        </is>
      </c>
      <c r="K3052" t="inlineStr">
        <is>
          <t>METAL</t>
        </is>
      </c>
      <c r="L3052">
        <f>_xlfn.XLOOKUP(Tableau1[[#This Row],[TYPE DE PIECE]],Tableau4[MATIERE],Tableau4[SHORT TYPE],"",0,1)</f>
        <v/>
      </c>
      <c r="N3052">
        <f>IF(ISERR(FIND("DECOUPE",Tableau1[[#This Row],[DESIGNATION]])),"","NEED REF")</f>
        <v/>
      </c>
    </row>
    <row r="3053">
      <c r="B3053" t="n">
        <v>34410948</v>
      </c>
      <c r="C3053" s="2" t="n">
        <v>44762</v>
      </c>
      <c r="D3053" t="inlineStr">
        <is>
          <t>SPEC</t>
        </is>
      </c>
      <c r="E3053" t="inlineStr">
        <is>
          <t>SMT CHARNIERE PORTE PART 2</t>
        </is>
      </c>
      <c r="G3053" t="inlineStr">
        <is>
          <t>TOUTES</t>
        </is>
      </c>
      <c r="H3053" t="inlineStr">
        <is>
          <t>AUX</t>
        </is>
      </c>
      <c r="J3053" t="inlineStr">
        <is>
          <t>MATRION</t>
        </is>
      </c>
      <c r="K3053" t="inlineStr">
        <is>
          <t>METAL</t>
        </is>
      </c>
      <c r="L3053">
        <f>_xlfn.XLOOKUP(Tableau1[[#This Row],[TYPE DE PIECE]],Tableau4[MATIERE],Tableau4[SHORT TYPE],"",0,1)</f>
        <v/>
      </c>
      <c r="N3053">
        <f>IF(ISERR(FIND("DECOUPE",Tableau1[[#This Row],[DESIGNATION]])),"","NEED REF")</f>
        <v/>
      </c>
    </row>
    <row r="3054">
      <c r="B3054" t="n">
        <v>34410947</v>
      </c>
      <c r="C3054" s="2" t="n">
        <v>44762</v>
      </c>
      <c r="D3054" t="inlineStr">
        <is>
          <t>SPEC</t>
        </is>
      </c>
      <c r="E3054" t="inlineStr">
        <is>
          <t>SMT CHARNIERE PORTE PART 1</t>
        </is>
      </c>
      <c r="G3054" t="inlineStr">
        <is>
          <t>TOUTES</t>
        </is>
      </c>
      <c r="H3054" t="inlineStr">
        <is>
          <t>AUX</t>
        </is>
      </c>
      <c r="J3054" t="inlineStr">
        <is>
          <t>MATRION</t>
        </is>
      </c>
      <c r="K3054" t="inlineStr">
        <is>
          <t>METAL</t>
        </is>
      </c>
      <c r="L3054">
        <f>_xlfn.XLOOKUP(Tableau1[[#This Row],[TYPE DE PIECE]],Tableau4[MATIERE],Tableau4[SHORT TYPE],"",0,1)</f>
        <v/>
      </c>
      <c r="N3054">
        <f>IF(ISERR(FIND("DECOUPE",Tableau1[[#This Row],[DESIGNATION]])),"","NEED REF")</f>
        <v/>
      </c>
    </row>
    <row r="3055">
      <c r="B3055" t="n">
        <v>34410946</v>
      </c>
      <c r="C3055" s="2" t="n">
        <v>44762</v>
      </c>
      <c r="D3055" t="inlineStr">
        <is>
          <t>SPEC</t>
        </is>
      </c>
      <c r="E3055" t="inlineStr">
        <is>
          <t>SMT PORTE 700x1900</t>
        </is>
      </c>
      <c r="G3055" t="inlineStr">
        <is>
          <t>TOUTES</t>
        </is>
      </c>
      <c r="H3055" t="inlineStr">
        <is>
          <t>AUX</t>
        </is>
      </c>
      <c r="J3055" t="inlineStr">
        <is>
          <t>MATRION</t>
        </is>
      </c>
      <c r="K3055" t="inlineStr">
        <is>
          <t>METAL</t>
        </is>
      </c>
      <c r="L3055">
        <f>_xlfn.XLOOKUP(Tableau1[[#This Row],[TYPE DE PIECE]],Tableau4[MATIERE],Tableau4[SHORT TYPE],"",0,1)</f>
        <v/>
      </c>
      <c r="N3055">
        <f>IF(ISERR(FIND("DECOUPE",Tableau1[[#This Row],[DESIGNATION]])),"","NEED REF")</f>
        <v/>
      </c>
    </row>
    <row r="3056">
      <c r="B3056" t="n">
        <v>34410945</v>
      </c>
      <c r="C3056" s="2" t="n">
        <v>44762</v>
      </c>
      <c r="D3056" t="inlineStr">
        <is>
          <t>SPEC</t>
        </is>
      </c>
      <c r="E3056" t="inlineStr">
        <is>
          <t>SMT S/E PORTE 700x1900 RAL9003</t>
        </is>
      </c>
      <c r="G3056" t="inlineStr">
        <is>
          <t>TOUTES</t>
        </is>
      </c>
      <c r="H3056" t="inlineStr">
        <is>
          <t>AUX</t>
        </is>
      </c>
      <c r="J3056" t="inlineStr">
        <is>
          <t>MATRION</t>
        </is>
      </c>
      <c r="K3056" t="inlineStr">
        <is>
          <t>METAL</t>
        </is>
      </c>
      <c r="L3056">
        <f>_xlfn.XLOOKUP(Tableau1[[#This Row],[TYPE DE PIECE]],Tableau4[MATIERE],Tableau4[SHORT TYPE],"",0,1)</f>
        <v/>
      </c>
      <c r="N3056">
        <f>IF(ISERR(FIND("DECOUPE",Tableau1[[#This Row],[DESIGNATION]])),"","NEED REF")</f>
        <v/>
      </c>
    </row>
    <row r="3057">
      <c r="B3057" t="n">
        <v>34410944</v>
      </c>
      <c r="C3057" s="2" t="n">
        <v>44761</v>
      </c>
      <c r="D3057" t="inlineStr">
        <is>
          <t>SPEC</t>
        </is>
      </c>
      <c r="E3057" t="inlineStr">
        <is>
          <t>SMT PLASTRON 1</t>
        </is>
      </c>
      <c r="F3057" t="inlineStr">
        <is>
          <t>GSK BELGIQUE</t>
        </is>
      </c>
      <c r="G3057" t="inlineStr">
        <is>
          <t>GVL</t>
        </is>
      </c>
      <c r="J3057" t="inlineStr">
        <is>
          <t>BERNARDEAU</t>
        </is>
      </c>
      <c r="K3057" t="inlineStr">
        <is>
          <t>METAL</t>
        </is>
      </c>
      <c r="L3057">
        <f>_xlfn.XLOOKUP(Tableau1[[#This Row],[TYPE DE PIECE]],Tableau4[MATIERE],Tableau4[SHORT TYPE],"",0,1)</f>
        <v/>
      </c>
      <c r="N3057">
        <f>IF(ISERR(FIND("DECOUPE",Tableau1[[#This Row],[DESIGNATION]])),"","NEED REF")</f>
        <v/>
      </c>
    </row>
    <row r="3058">
      <c r="B3058" t="n">
        <v>34410943</v>
      </c>
      <c r="C3058" s="2" t="n">
        <v>44761</v>
      </c>
      <c r="D3058" t="inlineStr">
        <is>
          <t>SPEC</t>
        </is>
      </c>
      <c r="E3058" t="inlineStr">
        <is>
          <t>SMT PLASTRON 5</t>
        </is>
      </c>
      <c r="F3058" t="inlineStr">
        <is>
          <t>GSK BELGIQUE</t>
        </is>
      </c>
      <c r="G3058" t="inlineStr">
        <is>
          <t>GVL</t>
        </is>
      </c>
      <c r="J3058" t="inlineStr">
        <is>
          <t>BERNARDEAU</t>
        </is>
      </c>
      <c r="K3058" t="inlineStr">
        <is>
          <t>METAL</t>
        </is>
      </c>
      <c r="L3058">
        <f>_xlfn.XLOOKUP(Tableau1[[#This Row],[TYPE DE PIECE]],Tableau4[MATIERE],Tableau4[SHORT TYPE],"",0,1)</f>
        <v/>
      </c>
      <c r="N3058">
        <f>IF(ISERR(FIND("DECOUPE",Tableau1[[#This Row],[DESIGNATION]])),"","NEED REF")</f>
        <v/>
      </c>
    </row>
    <row r="3059">
      <c r="B3059" t="n">
        <v>34410942</v>
      </c>
      <c r="C3059" s="2" t="n">
        <v>44761</v>
      </c>
      <c r="D3059" t="inlineStr">
        <is>
          <t>SPEC</t>
        </is>
      </c>
      <c r="E3059" t="inlineStr">
        <is>
          <t>SMT PLASTRON 2</t>
        </is>
      </c>
      <c r="F3059" t="inlineStr">
        <is>
          <t>GSK BELGIQUE</t>
        </is>
      </c>
      <c r="G3059" t="inlineStr">
        <is>
          <t>GVL</t>
        </is>
      </c>
      <c r="J3059" t="inlineStr">
        <is>
          <t>BERNARDEAU</t>
        </is>
      </c>
      <c r="K3059" t="inlineStr">
        <is>
          <t>METAL</t>
        </is>
      </c>
      <c r="L3059">
        <f>_xlfn.XLOOKUP(Tableau1[[#This Row],[TYPE DE PIECE]],Tableau4[MATIERE],Tableau4[SHORT TYPE],"",0,1)</f>
        <v/>
      </c>
      <c r="N3059">
        <f>IF(ISERR(FIND("DECOUPE",Tableau1[[#This Row],[DESIGNATION]])),"","NEED REF")</f>
        <v/>
      </c>
    </row>
    <row r="3060">
      <c r="B3060" t="n">
        <v>34410941</v>
      </c>
      <c r="C3060" s="2" t="n">
        <v>44761</v>
      </c>
      <c r="D3060" t="inlineStr">
        <is>
          <t>SPEC</t>
        </is>
      </c>
      <c r="E3060" t="inlineStr">
        <is>
          <t>SMT PLASTRON 3</t>
        </is>
      </c>
      <c r="F3060" t="inlineStr">
        <is>
          <t>GSK BELGIQUE</t>
        </is>
      </c>
      <c r="G3060" t="inlineStr">
        <is>
          <t>GVL</t>
        </is>
      </c>
      <c r="J3060" t="inlineStr">
        <is>
          <t>BERNARDEAU</t>
        </is>
      </c>
      <c r="K3060" t="inlineStr">
        <is>
          <t>METAL</t>
        </is>
      </c>
      <c r="L3060">
        <f>_xlfn.XLOOKUP(Tableau1[[#This Row],[TYPE DE PIECE]],Tableau4[MATIERE],Tableau4[SHORT TYPE],"",0,1)</f>
        <v/>
      </c>
      <c r="N3060">
        <f>IF(ISERR(FIND("DECOUPE",Tableau1[[#This Row],[DESIGNATION]])),"","NEED REF")</f>
        <v/>
      </c>
    </row>
    <row r="3061">
      <c r="B3061" t="n">
        <v>34410940</v>
      </c>
      <c r="C3061" s="2" t="n">
        <v>44761</v>
      </c>
      <c r="D3061" t="inlineStr">
        <is>
          <t>SPEC</t>
        </is>
      </c>
      <c r="E3061" t="inlineStr">
        <is>
          <t>SMT PLASTRON 4</t>
        </is>
      </c>
      <c r="F3061" t="inlineStr">
        <is>
          <t>GSK BELGIQUE</t>
        </is>
      </c>
      <c r="G3061" t="inlineStr">
        <is>
          <t>GVL</t>
        </is>
      </c>
      <c r="J3061" t="inlineStr">
        <is>
          <t>BERNARDEAU</t>
        </is>
      </c>
      <c r="K3061" t="inlineStr">
        <is>
          <t>METAL</t>
        </is>
      </c>
      <c r="L3061">
        <f>_xlfn.XLOOKUP(Tableau1[[#This Row],[TYPE DE PIECE]],Tableau4[MATIERE],Tableau4[SHORT TYPE],"",0,1)</f>
        <v/>
      </c>
      <c r="N3061">
        <f>IF(ISERR(FIND("DECOUPE",Tableau1[[#This Row],[DESIGNATION]])),"","NEED REF")</f>
        <v/>
      </c>
    </row>
    <row r="3062">
      <c r="B3062" t="n">
        <v>34410939</v>
      </c>
      <c r="C3062" s="2" t="n">
        <v>44760</v>
      </c>
      <c r="D3062" t="inlineStr">
        <is>
          <t>SPEC</t>
        </is>
      </c>
      <c r="E3062" t="inlineStr">
        <is>
          <t>WOOD SKATE 100x1000 FRONT/BACK</t>
        </is>
      </c>
      <c r="J3062" t="inlineStr">
        <is>
          <t>MATRION</t>
        </is>
      </c>
      <c r="K3062" t="inlineStr">
        <is>
          <t>BOIS</t>
        </is>
      </c>
      <c r="L3062">
        <f>_xlfn.XLOOKUP(Tableau1[[#This Row],[TYPE DE PIECE]],Tableau4[MATIERE],Tableau4[SHORT TYPE],"",0,1)</f>
        <v/>
      </c>
      <c r="N3062">
        <f>IF(ISERR(FIND("DECOUPE",Tableau1[[#This Row],[DESIGNATION]])),"","NEED REF")</f>
        <v/>
      </c>
    </row>
    <row r="3063">
      <c r="B3063" t="n">
        <v>34410938</v>
      </c>
      <c r="C3063" s="2" t="n">
        <v>44760</v>
      </c>
      <c r="D3063" t="inlineStr">
        <is>
          <t>SPEC</t>
        </is>
      </c>
      <c r="E3063" t="inlineStr">
        <is>
          <t>WOOD PLANCHE 1000x700</t>
        </is>
      </c>
      <c r="J3063" t="inlineStr">
        <is>
          <t>MATRION</t>
        </is>
      </c>
      <c r="K3063" t="inlineStr">
        <is>
          <t>BOIS</t>
        </is>
      </c>
      <c r="L3063">
        <f>_xlfn.XLOOKUP(Tableau1[[#This Row],[TYPE DE PIECE]],Tableau4[MATIERE],Tableau4[SHORT TYPE],"",0,1)</f>
        <v/>
      </c>
      <c r="N3063">
        <f>IF(ISERR(FIND("DECOUPE",Tableau1[[#This Row],[DESIGNATION]])),"","NEED REF")</f>
        <v/>
      </c>
    </row>
    <row r="3064">
      <c r="B3064" t="n">
        <v>34410937</v>
      </c>
      <c r="C3064" s="2" t="n">
        <v>44760</v>
      </c>
      <c r="D3064" t="inlineStr">
        <is>
          <t>SPEC</t>
        </is>
      </c>
      <c r="E3064" t="inlineStr">
        <is>
          <t>WOOD SKATE 700x1000 FRONT/BACK</t>
        </is>
      </c>
      <c r="J3064" t="inlineStr">
        <is>
          <t>MATRION</t>
        </is>
      </c>
      <c r="K3064" t="inlineStr">
        <is>
          <t>BOIS</t>
        </is>
      </c>
      <c r="L3064">
        <f>_xlfn.XLOOKUP(Tableau1[[#This Row],[TYPE DE PIECE]],Tableau4[MATIERE],Tableau4[SHORT TYPE],"",0,1)</f>
        <v/>
      </c>
      <c r="N3064">
        <f>IF(ISERR(FIND("DECOUPE",Tableau1[[#This Row],[DESIGNATION]])),"","NEED REF")</f>
        <v/>
      </c>
    </row>
    <row r="3065">
      <c r="B3065" t="n">
        <v>34410936</v>
      </c>
      <c r="C3065" s="2" t="n">
        <v>44755</v>
      </c>
      <c r="D3065" t="inlineStr">
        <is>
          <t>SPEC</t>
        </is>
      </c>
      <c r="E3065" t="inlineStr">
        <is>
          <t>DECOUPE LVS04678 115MM 2P - FREE SUPPORT BUSBAR</t>
        </is>
      </c>
      <c r="J3065" t="inlineStr">
        <is>
          <t>MATRION</t>
        </is>
      </c>
      <c r="K3065" t="inlineStr">
        <is>
          <t>PLASTIQUE</t>
        </is>
      </c>
      <c r="L3065">
        <f>_xlfn.XLOOKUP(Tableau1[[#This Row],[TYPE DE PIECE]],Tableau4[MATIERE],Tableau4[SHORT TYPE],"",0,1)</f>
        <v/>
      </c>
      <c r="M3065" t="inlineStr">
        <is>
          <t>BUSBAR SUPPORT</t>
        </is>
      </c>
      <c r="N3065" t="inlineStr">
        <is>
          <t>LVS04678</t>
        </is>
      </c>
    </row>
    <row r="3066">
      <c r="B3066" t="n">
        <v>34410935</v>
      </c>
      <c r="C3066" s="2" t="n">
        <v>44755</v>
      </c>
      <c r="D3066" t="inlineStr">
        <is>
          <t>SPEC</t>
        </is>
      </c>
      <c r="E3066" t="inlineStr">
        <is>
          <t>DECOUPE LVS04678 115MM 3P - FREE SUPPORT BUSBAR</t>
        </is>
      </c>
      <c r="J3066" t="inlineStr">
        <is>
          <t>MATRION</t>
        </is>
      </c>
      <c r="K3066" t="inlineStr">
        <is>
          <t>PLASTIQUE</t>
        </is>
      </c>
      <c r="L3066">
        <f>_xlfn.XLOOKUP(Tableau1[[#This Row],[TYPE DE PIECE]],Tableau4[MATIERE],Tableau4[SHORT TYPE],"",0,1)</f>
        <v/>
      </c>
      <c r="M3066" t="inlineStr">
        <is>
          <t>BUSBAR SUPPORT</t>
        </is>
      </c>
      <c r="N3066" t="inlineStr">
        <is>
          <t>LVS04678</t>
        </is>
      </c>
    </row>
    <row r="3067">
      <c r="B3067" t="n">
        <v>34410934</v>
      </c>
      <c r="C3067" s="2" t="n">
        <v>44755</v>
      </c>
      <c r="D3067" t="inlineStr">
        <is>
          <t>SPEC</t>
        </is>
      </c>
      <c r="E3067" t="inlineStr">
        <is>
          <t>DECOUPE LVS04662 75MM 2P - FREE SUPPORT BUSBAR</t>
        </is>
      </c>
      <c r="J3067" t="inlineStr">
        <is>
          <t>MATRION</t>
        </is>
      </c>
      <c r="K3067" t="inlineStr">
        <is>
          <t>PLASTIQUE</t>
        </is>
      </c>
      <c r="L3067">
        <f>_xlfn.XLOOKUP(Tableau1[[#This Row],[TYPE DE PIECE]],Tableau4[MATIERE],Tableau4[SHORT TYPE],"",0,1)</f>
        <v/>
      </c>
      <c r="M3067" t="inlineStr">
        <is>
          <t>BUSBAR SUPPORT</t>
        </is>
      </c>
      <c r="N3067" t="inlineStr">
        <is>
          <t>LVS04662</t>
        </is>
      </c>
    </row>
    <row r="3068">
      <c r="B3068" t="n">
        <v>34410933</v>
      </c>
      <c r="C3068" s="2" t="n">
        <v>44755</v>
      </c>
      <c r="D3068" t="inlineStr">
        <is>
          <t>SPEC</t>
        </is>
      </c>
      <c r="E3068" t="inlineStr">
        <is>
          <t>DECOUPE LVS04662 75MM 3P - FREE SUPPORT BUSBAR</t>
        </is>
      </c>
      <c r="J3068" t="inlineStr">
        <is>
          <t>MATRION</t>
        </is>
      </c>
      <c r="K3068" t="inlineStr">
        <is>
          <t>PLASTIQUE</t>
        </is>
      </c>
      <c r="L3068">
        <f>_xlfn.XLOOKUP(Tableau1[[#This Row],[TYPE DE PIECE]],Tableau4[MATIERE],Tableau4[SHORT TYPE],"",0,1)</f>
        <v/>
      </c>
      <c r="M3068" t="inlineStr">
        <is>
          <t>BUSBAR SUPPORT</t>
        </is>
      </c>
      <c r="N3068" t="inlineStr">
        <is>
          <t>LVS04662</t>
        </is>
      </c>
    </row>
    <row r="3069">
      <c r="B3069" t="n">
        <v>34410932</v>
      </c>
      <c r="C3069" s="2" t="n">
        <v>44755</v>
      </c>
      <c r="D3069" t="inlineStr">
        <is>
          <t>SPEC</t>
        </is>
      </c>
      <c r="E3069" t="inlineStr">
        <is>
          <t>COP PE BATTERY</t>
        </is>
      </c>
      <c r="F3069" t="inlineStr">
        <is>
          <t>GVX 1500kVA</t>
        </is>
      </c>
      <c r="G3069" t="inlineStr">
        <is>
          <t>GVX</t>
        </is>
      </c>
      <c r="H3069" t="inlineStr">
        <is>
          <t>IO</t>
        </is>
      </c>
      <c r="J3069" t="inlineStr">
        <is>
          <t>MATRION</t>
        </is>
      </c>
      <c r="K3069" t="inlineStr">
        <is>
          <t>CUIVRE</t>
        </is>
      </c>
      <c r="L3069">
        <f>_xlfn.XLOOKUP(Tableau1[[#This Row],[TYPE DE PIECE]],Tableau4[MATIERE],Tableau4[SHORT TYPE],"",0,1)</f>
        <v/>
      </c>
      <c r="N3069">
        <f>IF(ISERR(FIND("DECOUPE",Tableau1[[#This Row],[DESIGNATION]])),"","NEED REF")</f>
        <v/>
      </c>
    </row>
    <row r="3070">
      <c r="B3070" t="n">
        <v>34410931</v>
      </c>
      <c r="C3070" s="2" t="n">
        <v>44755</v>
      </c>
      <c r="D3070" t="inlineStr">
        <is>
          <t>SPEC</t>
        </is>
      </c>
      <c r="E3070" t="inlineStr">
        <is>
          <t>COP PE/PER INPUT</t>
        </is>
      </c>
      <c r="F3070" t="inlineStr">
        <is>
          <t>GVX 1500kVA</t>
        </is>
      </c>
      <c r="G3070" t="inlineStr">
        <is>
          <t>GVX</t>
        </is>
      </c>
      <c r="H3070" t="inlineStr">
        <is>
          <t>IO</t>
        </is>
      </c>
      <c r="J3070" t="inlineStr">
        <is>
          <t>MATRION</t>
        </is>
      </c>
      <c r="K3070" t="inlineStr">
        <is>
          <t>CUIVRE</t>
        </is>
      </c>
      <c r="L3070">
        <f>_xlfn.XLOOKUP(Tableau1[[#This Row],[TYPE DE PIECE]],Tableau4[MATIERE],Tableau4[SHORT TYPE],"",0,1)</f>
        <v/>
      </c>
      <c r="N3070">
        <f>IF(ISERR(FIND("DECOUPE",Tableau1[[#This Row],[DESIGNATION]])),"","NEED REF")</f>
        <v/>
      </c>
    </row>
    <row r="3071">
      <c r="B3071" t="n">
        <v>34410930</v>
      </c>
      <c r="C3071" s="2" t="n">
        <v>44755</v>
      </c>
      <c r="D3071" t="inlineStr">
        <is>
          <t>SPEC</t>
        </is>
      </c>
      <c r="E3071" t="inlineStr">
        <is>
          <t>COP PE/PER OUTPUT + EPOXY</t>
        </is>
      </c>
      <c r="F3071" t="inlineStr">
        <is>
          <t>GVX 1500kVA</t>
        </is>
      </c>
      <c r="G3071" t="inlineStr">
        <is>
          <t>GVX</t>
        </is>
      </c>
      <c r="H3071" t="inlineStr">
        <is>
          <t>IO</t>
        </is>
      </c>
      <c r="J3071" t="inlineStr">
        <is>
          <t>MATRION</t>
        </is>
      </c>
      <c r="K3071" t="inlineStr">
        <is>
          <t>CUIVRE</t>
        </is>
      </c>
      <c r="L3071">
        <f>_xlfn.XLOOKUP(Tableau1[[#This Row],[TYPE DE PIECE]],Tableau4[MATIERE],Tableau4[SHORT TYPE],"",0,1)</f>
        <v/>
      </c>
      <c r="N3071">
        <f>IF(ISERR(FIND("DECOUPE",Tableau1[[#This Row],[DESIGNATION]])),"","NEED REF")</f>
        <v/>
      </c>
    </row>
    <row r="3072">
      <c r="B3072" t="n">
        <v>34410929</v>
      </c>
      <c r="C3072" s="2" t="n">
        <v>44755</v>
      </c>
      <c r="D3072" t="inlineStr">
        <is>
          <t>SPEC</t>
        </is>
      </c>
      <c r="E3072" t="inlineStr">
        <is>
          <t>COP PE/PER LIAISON VERTICAL + EPOXY</t>
        </is>
      </c>
      <c r="F3072" t="inlineStr">
        <is>
          <t>GVX 1500kVA</t>
        </is>
      </c>
      <c r="G3072" t="inlineStr">
        <is>
          <t>GVX</t>
        </is>
      </c>
      <c r="H3072" t="inlineStr">
        <is>
          <t>IO</t>
        </is>
      </c>
      <c r="J3072" t="inlineStr">
        <is>
          <t>MATRION</t>
        </is>
      </c>
      <c r="K3072" t="inlineStr">
        <is>
          <t>CUIVRE</t>
        </is>
      </c>
      <c r="L3072">
        <f>_xlfn.XLOOKUP(Tableau1[[#This Row],[TYPE DE PIECE]],Tableau4[MATIERE],Tableau4[SHORT TYPE],"",0,1)</f>
        <v/>
      </c>
      <c r="N3072">
        <f>IF(ISERR(FIND("DECOUPE",Tableau1[[#This Row],[DESIGNATION]])),"","NEED REF")</f>
        <v/>
      </c>
    </row>
    <row r="3073">
      <c r="B3073" t="n">
        <v>34410928</v>
      </c>
      <c r="C3073" s="2" t="n">
        <v>44754</v>
      </c>
      <c r="D3073" t="inlineStr">
        <is>
          <t>SPEC</t>
        </is>
      </c>
      <c r="E3073" t="inlineStr">
        <is>
          <t>COP ECLISSAGE TEST IQ</t>
        </is>
      </c>
      <c r="F3073" t="inlineStr">
        <is>
          <t>DATA4 DC07</t>
        </is>
      </c>
      <c r="G3073" t="inlineStr">
        <is>
          <t>GVL</t>
        </is>
      </c>
      <c r="H3073" t="inlineStr">
        <is>
          <t>BYPASS</t>
        </is>
      </c>
      <c r="J3073" t="inlineStr">
        <is>
          <t>MATRION</t>
        </is>
      </c>
      <c r="K3073" t="inlineStr">
        <is>
          <t>CUIVRE</t>
        </is>
      </c>
      <c r="L3073">
        <f>_xlfn.XLOOKUP(Tableau1[[#This Row],[TYPE DE PIECE]],Tableau4[MATIERE],Tableau4[SHORT TYPE],"",0,1)</f>
        <v/>
      </c>
      <c r="N3073">
        <f>IF(ISERR(FIND("DECOUPE",Tableau1[[#This Row],[DESIGNATION]])),"","NEED REF")</f>
        <v/>
      </c>
    </row>
    <row r="3074">
      <c r="B3074" t="n">
        <v>34410927</v>
      </c>
      <c r="C3074" s="2" t="n">
        <v>44754</v>
      </c>
      <c r="D3074" t="inlineStr">
        <is>
          <t>SPEC</t>
        </is>
      </c>
      <c r="E3074" t="inlineStr">
        <is>
          <t>SWITCH MTZ2 25HA 4P</t>
        </is>
      </c>
      <c r="F3074" t="inlineStr">
        <is>
          <t>21 CENTURY TECHNOLOGIE LTD/NIGERIA</t>
        </is>
      </c>
      <c r="G3074" t="inlineStr">
        <is>
          <t>GVX</t>
        </is>
      </c>
      <c r="H3074" t="inlineStr">
        <is>
          <t>BYPASS</t>
        </is>
      </c>
      <c r="J3074" t="inlineStr">
        <is>
          <t>JAWORSKI</t>
        </is>
      </c>
      <c r="K3074" t="inlineStr">
        <is>
          <t>=S=</t>
        </is>
      </c>
      <c r="L3074">
        <f>_xlfn.XLOOKUP(Tableau1[[#This Row],[TYPE DE PIECE]],Tableau4[MATIERE],Tableau4[SHORT TYPE],"",0,1)</f>
        <v/>
      </c>
      <c r="N3074">
        <f>IF(ISERR(FIND("DECOUPE",Tableau1[[#This Row],[DESIGNATION]])),"","NEED REF")</f>
        <v/>
      </c>
    </row>
    <row r="3075">
      <c r="B3075" t="n">
        <v>34410926</v>
      </c>
      <c r="C3075" s="2" t="n">
        <v>44754</v>
      </c>
      <c r="D3075" t="inlineStr">
        <is>
          <t>SPEC</t>
        </is>
      </c>
      <c r="E3075" t="inlineStr">
        <is>
          <t>SWITCH MTZ2 40HA 4P</t>
        </is>
      </c>
      <c r="F3075" t="inlineStr">
        <is>
          <t>21 CENTURY TECHNOLOGIE LTD/NIGERIA</t>
        </is>
      </c>
      <c r="G3075" t="inlineStr">
        <is>
          <t>GVX</t>
        </is>
      </c>
      <c r="H3075" t="inlineStr">
        <is>
          <t>BYPASS</t>
        </is>
      </c>
      <c r="J3075" t="inlineStr">
        <is>
          <t>JAWORSKI</t>
        </is>
      </c>
      <c r="K3075" t="inlineStr">
        <is>
          <t>=S=</t>
        </is>
      </c>
      <c r="L3075">
        <f>_xlfn.XLOOKUP(Tableau1[[#This Row],[TYPE DE PIECE]],Tableau4[MATIERE],Tableau4[SHORT TYPE],"",0,1)</f>
        <v/>
      </c>
      <c r="N3075">
        <f>IF(ISERR(FIND("DECOUPE",Tableau1[[#This Row],[DESIGNATION]])),"","NEED REF")</f>
        <v/>
      </c>
    </row>
    <row r="3076">
      <c r="B3076" t="n">
        <v>34410925</v>
      </c>
      <c r="C3076" s="2" t="n">
        <v>44753</v>
      </c>
      <c r="D3076" t="inlineStr">
        <is>
          <t>SPEC</t>
        </is>
      </c>
      <c r="E3076" t="inlineStr">
        <is>
          <t>SMT SUPPORT CABLES 1000 TEST IQ</t>
        </is>
      </c>
      <c r="F3076" t="inlineStr">
        <is>
          <t>DATA4 DC07</t>
        </is>
      </c>
      <c r="G3076" t="inlineStr">
        <is>
          <t>GVL</t>
        </is>
      </c>
      <c r="H3076" t="inlineStr">
        <is>
          <t>BYPASS</t>
        </is>
      </c>
      <c r="J3076" t="inlineStr">
        <is>
          <t>MATRION</t>
        </is>
      </c>
      <c r="K3076" t="inlineStr">
        <is>
          <t>METAL</t>
        </is>
      </c>
      <c r="L3076">
        <f>_xlfn.XLOOKUP(Tableau1[[#This Row],[TYPE DE PIECE]],Tableau4[MATIERE],Tableau4[SHORT TYPE],"",0,1)</f>
        <v/>
      </c>
      <c r="N3076">
        <f>IF(ISERR(FIND("DECOUPE",Tableau1[[#This Row],[DESIGNATION]])),"","NEED REF")</f>
        <v/>
      </c>
    </row>
    <row r="3077">
      <c r="B3077" t="n">
        <v>34410924</v>
      </c>
      <c r="C3077" s="2" t="n">
        <v>44753</v>
      </c>
      <c r="D3077" t="inlineStr">
        <is>
          <t>SPEC</t>
        </is>
      </c>
      <c r="E3077" t="inlineStr">
        <is>
          <t>SMT SUPPORT CABLES 700 TEST IQ</t>
        </is>
      </c>
      <c r="F3077" t="inlineStr">
        <is>
          <t>DATA4 DC07</t>
        </is>
      </c>
      <c r="G3077" t="inlineStr">
        <is>
          <t>GVL</t>
        </is>
      </c>
      <c r="H3077" t="inlineStr">
        <is>
          <t>BYPASS</t>
        </is>
      </c>
      <c r="J3077" t="inlineStr">
        <is>
          <t>MATRION</t>
        </is>
      </c>
      <c r="K3077" t="inlineStr">
        <is>
          <t>METAL</t>
        </is>
      </c>
      <c r="L3077">
        <f>_xlfn.XLOOKUP(Tableau1[[#This Row],[TYPE DE PIECE]],Tableau4[MATIERE],Tableau4[SHORT TYPE],"",0,1)</f>
        <v/>
      </c>
      <c r="N3077">
        <f>IF(ISERR(FIND("DECOUPE",Tableau1[[#This Row],[DESIGNATION]])),"","NEED REF")</f>
        <v/>
      </c>
    </row>
    <row r="3078">
      <c r="B3078" t="n">
        <v>34410923</v>
      </c>
      <c r="C3078" s="2" t="n">
        <v>44753</v>
      </c>
      <c r="D3078" t="inlineStr">
        <is>
          <t>SPEC</t>
        </is>
      </c>
      <c r="E3078" t="inlineStr">
        <is>
          <t>PLA BRIDE GPO RACCORDEMENT TEST IQ</t>
        </is>
      </c>
      <c r="F3078" t="inlineStr">
        <is>
          <t>DATA4 DC07</t>
        </is>
      </c>
      <c r="G3078" t="inlineStr">
        <is>
          <t>GVL</t>
        </is>
      </c>
      <c r="H3078" t="inlineStr">
        <is>
          <t>BYPASS</t>
        </is>
      </c>
      <c r="J3078" t="inlineStr">
        <is>
          <t>MATRION</t>
        </is>
      </c>
      <c r="K3078" t="inlineStr">
        <is>
          <t>PLASTIQUE</t>
        </is>
      </c>
      <c r="L3078">
        <f>_xlfn.XLOOKUP(Tableau1[[#This Row],[TYPE DE PIECE]],Tableau4[MATIERE],Tableau4[SHORT TYPE],"",0,1)</f>
        <v/>
      </c>
      <c r="N3078">
        <f>IF(ISERR(FIND("DECOUPE",Tableau1[[#This Row],[DESIGNATION]])),"","NEED REF")</f>
        <v/>
      </c>
    </row>
    <row r="3079">
      <c r="B3079" t="n">
        <v>34410922</v>
      </c>
      <c r="C3079" s="2" t="n">
        <v>44753</v>
      </c>
      <c r="D3079" t="inlineStr">
        <is>
          <t>SPEC</t>
        </is>
      </c>
      <c r="E3079" t="inlineStr">
        <is>
          <t>SMT PLATEAU SUPPORT RACCORDEMENT TEST IQ</t>
        </is>
      </c>
      <c r="F3079" t="inlineStr">
        <is>
          <t>DATA4 DC07</t>
        </is>
      </c>
      <c r="G3079" t="inlineStr">
        <is>
          <t>GVL</t>
        </is>
      </c>
      <c r="H3079" t="inlineStr">
        <is>
          <t>BYPASS</t>
        </is>
      </c>
      <c r="J3079" t="inlineStr">
        <is>
          <t>MATRION</t>
        </is>
      </c>
      <c r="K3079" t="inlineStr">
        <is>
          <t>PLASTIQUE</t>
        </is>
      </c>
      <c r="L3079">
        <f>_xlfn.XLOOKUP(Tableau1[[#This Row],[TYPE DE PIECE]],Tableau4[MATIERE],Tableau4[SHORT TYPE],"",0,1)</f>
        <v/>
      </c>
      <c r="N3079">
        <f>IF(ISERR(FIND("DECOUPE",Tableau1[[#This Row],[DESIGNATION]])),"","NEED REF")</f>
        <v/>
      </c>
    </row>
    <row r="3080">
      <c r="B3080" t="n">
        <v>34410921</v>
      </c>
      <c r="C3080" s="2" t="n">
        <v>44753</v>
      </c>
      <c r="D3080" t="inlineStr">
        <is>
          <t>SPEC</t>
        </is>
      </c>
      <c r="E3080" t="inlineStr">
        <is>
          <t>DECOUPE RAIL DIN SUPPORT</t>
        </is>
      </c>
      <c r="F3080" t="inlineStr">
        <is>
          <t>GSK BELGIQUE</t>
        </is>
      </c>
      <c r="G3080" t="inlineStr">
        <is>
          <t>GVL</t>
        </is>
      </c>
      <c r="J3080" t="inlineStr">
        <is>
          <t>BERNARDEAU</t>
        </is>
      </c>
      <c r="K3080" t="inlineStr">
        <is>
          <t>ETO</t>
        </is>
      </c>
      <c r="L3080">
        <f>_xlfn.XLOOKUP(Tableau1[[#This Row],[TYPE DE PIECE]],Tableau4[MATIERE],Tableau4[SHORT TYPE],"",0,1)</f>
        <v/>
      </c>
      <c r="N3080">
        <f>IF(ISERR(FIND("DECOUPE",Tableau1[[#This Row],[DESIGNATION]])),"","NEED REF")</f>
        <v/>
      </c>
    </row>
    <row r="3081">
      <c r="B3081" t="n">
        <v>34410920</v>
      </c>
      <c r="C3081" s="2" t="n">
        <v>44753</v>
      </c>
      <c r="D3081" t="inlineStr">
        <is>
          <t>SPEC</t>
        </is>
      </c>
      <c r="E3081" t="inlineStr">
        <is>
          <t>COP RACCORDEMENT TEST IQ</t>
        </is>
      </c>
      <c r="F3081" t="inlineStr">
        <is>
          <t>DATA4 DC07</t>
        </is>
      </c>
      <c r="G3081" t="inlineStr">
        <is>
          <t>GVL</t>
        </is>
      </c>
      <c r="H3081" t="inlineStr">
        <is>
          <t>BYPASS</t>
        </is>
      </c>
      <c r="J3081" t="inlineStr">
        <is>
          <t>MATRION</t>
        </is>
      </c>
      <c r="K3081" t="inlineStr">
        <is>
          <t>CUIVRE</t>
        </is>
      </c>
      <c r="L3081">
        <f>_xlfn.XLOOKUP(Tableau1[[#This Row],[TYPE DE PIECE]],Tableau4[MATIERE],Tableau4[SHORT TYPE],"",0,1)</f>
        <v/>
      </c>
      <c r="N3081">
        <f>IF(ISERR(FIND("DECOUPE",Tableau1[[#This Row],[DESIGNATION]])),"","NEED REF")</f>
        <v/>
      </c>
    </row>
    <row r="3082">
      <c r="B3082" t="n">
        <v>34410919</v>
      </c>
      <c r="C3082" s="2" t="n">
        <v>44750</v>
      </c>
      <c r="D3082" t="inlineStr">
        <is>
          <t>SPEC</t>
        </is>
      </c>
      <c r="E3082" t="inlineStr">
        <is>
          <t>MTZ2 4000A Micro.5.0X 3P 3d   + 1NC on SBP interface + CASTELL kit for lock in open position + MX24VDC   on terminal block</t>
        </is>
      </c>
      <c r="F3082" t="inlineStr">
        <is>
          <t>DATA4 DC01</t>
        </is>
      </c>
      <c r="G3082" t="inlineStr">
        <is>
          <t>GVL</t>
        </is>
      </c>
      <c r="H3082" t="inlineStr">
        <is>
          <t>BYPASS</t>
        </is>
      </c>
      <c r="J3082" t="inlineStr">
        <is>
          <t>MATRION</t>
        </is>
      </c>
      <c r="K3082" t="inlineStr">
        <is>
          <t>=S=</t>
        </is>
      </c>
      <c r="L3082">
        <f>_xlfn.XLOOKUP(Tableau1[[#This Row],[TYPE DE PIECE]],Tableau4[MATIERE],Tableau4[SHORT TYPE],"",0,1)</f>
        <v/>
      </c>
      <c r="N3082">
        <f>IF(ISERR(FIND("DECOUPE",Tableau1[[#This Row],[DESIGNATION]])),"","NEED REF")</f>
        <v/>
      </c>
    </row>
    <row r="3083">
      <c r="B3083" t="n">
        <v>34410918</v>
      </c>
      <c r="C3083" s="2" t="n">
        <v>44750</v>
      </c>
      <c r="D3083" t="inlineStr">
        <is>
          <t>SPEC</t>
        </is>
      </c>
      <c r="E3083" t="inlineStr">
        <is>
          <t>UOB - NS800NA Switch 3P + 2 NO + MX24VDC</t>
        </is>
      </c>
      <c r="F3083" t="inlineStr">
        <is>
          <t>DATA4 DC01</t>
        </is>
      </c>
      <c r="G3083" t="inlineStr">
        <is>
          <t>GVL</t>
        </is>
      </c>
      <c r="H3083" t="inlineStr">
        <is>
          <t>BYPASS</t>
        </is>
      </c>
      <c r="J3083" t="inlineStr">
        <is>
          <t>MATRION</t>
        </is>
      </c>
      <c r="K3083" t="inlineStr">
        <is>
          <t>=S=</t>
        </is>
      </c>
      <c r="L3083">
        <f>_xlfn.XLOOKUP(Tableau1[[#This Row],[TYPE DE PIECE]],Tableau4[MATIERE],Tableau4[SHORT TYPE],"",0,1)</f>
        <v/>
      </c>
      <c r="N3083">
        <f>IF(ISERR(FIND("DECOUPE",Tableau1[[#This Row],[DESIGNATION]])),"","NEED REF")</f>
        <v/>
      </c>
    </row>
    <row r="3084">
      <c r="B3084" t="n">
        <v>34410917</v>
      </c>
      <c r="C3084" s="2" t="n">
        <v>44750</v>
      </c>
      <c r="D3084" t="inlineStr">
        <is>
          <t>SPEC</t>
        </is>
      </c>
      <c r="E3084" t="inlineStr">
        <is>
          <t>UIB - NS1000H Mic 5.0  3P3d  + 1 NO and  1SD  and MX24VDC</t>
        </is>
      </c>
      <c r="F3084" t="inlineStr">
        <is>
          <t>DATA4 DC01</t>
        </is>
      </c>
      <c r="G3084" t="inlineStr">
        <is>
          <t>GVL</t>
        </is>
      </c>
      <c r="H3084" t="inlineStr">
        <is>
          <t>BYPASS</t>
        </is>
      </c>
      <c r="J3084" t="inlineStr">
        <is>
          <t>MATRION</t>
        </is>
      </c>
      <c r="K3084" t="inlineStr">
        <is>
          <t>=S=</t>
        </is>
      </c>
      <c r="L3084">
        <f>_xlfn.XLOOKUP(Tableau1[[#This Row],[TYPE DE PIECE]],Tableau4[MATIERE],Tableau4[SHORT TYPE],"",0,1)</f>
        <v/>
      </c>
      <c r="N3084">
        <f>IF(ISERR(FIND("DECOUPE",Tableau1[[#This Row],[DESIGNATION]])),"","NEED REF")</f>
        <v/>
      </c>
    </row>
    <row r="3085">
      <c r="B3085" t="n">
        <v>34410916</v>
      </c>
      <c r="C3085" s="2" t="n">
        <v>44750</v>
      </c>
      <c r="D3085" t="inlineStr">
        <is>
          <t>SPEC</t>
        </is>
      </c>
      <c r="E3085" t="inlineStr">
        <is>
          <t>PLA PLASTRON 5</t>
        </is>
      </c>
      <c r="F3085" t="inlineStr">
        <is>
          <t>GSK BELGIQUE</t>
        </is>
      </c>
      <c r="G3085" t="inlineStr">
        <is>
          <t>GVL</t>
        </is>
      </c>
      <c r="J3085" t="inlineStr">
        <is>
          <t>BERNARDEAU</t>
        </is>
      </c>
      <c r="K3085" t="inlineStr">
        <is>
          <t>PLASTIQUE</t>
        </is>
      </c>
      <c r="L3085">
        <f>_xlfn.XLOOKUP(Tableau1[[#This Row],[TYPE DE PIECE]],Tableau4[MATIERE],Tableau4[SHORT TYPE],"",0,1)</f>
        <v/>
      </c>
      <c r="N3085">
        <f>IF(ISERR(FIND("DECOUPE",Tableau1[[#This Row],[DESIGNATION]])),"","NEED REF")</f>
        <v/>
      </c>
    </row>
    <row r="3086">
      <c r="B3086" t="n">
        <v>34410915</v>
      </c>
      <c r="C3086" s="2" t="n">
        <v>44749</v>
      </c>
      <c r="D3086" t="inlineStr">
        <is>
          <t>SPEC</t>
        </is>
      </c>
      <c r="E3086" t="inlineStr">
        <is>
          <t>PLA PLASTRON 1</t>
        </is>
      </c>
      <c r="F3086" t="inlineStr">
        <is>
          <t>GSK BELGIQUE</t>
        </is>
      </c>
      <c r="G3086" t="inlineStr">
        <is>
          <t>GVL</t>
        </is>
      </c>
      <c r="J3086" t="inlineStr">
        <is>
          <t>BERNARDEAU</t>
        </is>
      </c>
      <c r="K3086" t="inlineStr">
        <is>
          <t>PLASTIQUE</t>
        </is>
      </c>
      <c r="L3086">
        <f>_xlfn.XLOOKUP(Tableau1[[#This Row],[TYPE DE PIECE]],Tableau4[MATIERE],Tableau4[SHORT TYPE],"",0,1)</f>
        <v/>
      </c>
      <c r="N3086">
        <f>IF(ISERR(FIND("DECOUPE",Tableau1[[#This Row],[DESIGNATION]])),"","NEED REF")</f>
        <v/>
      </c>
    </row>
    <row r="3087">
      <c r="B3087" t="n">
        <v>34410914</v>
      </c>
      <c r="C3087" s="2" t="n">
        <v>44749</v>
      </c>
      <c r="D3087" t="inlineStr">
        <is>
          <t>SPEC</t>
        </is>
      </c>
      <c r="E3087" t="inlineStr">
        <is>
          <t>SMT SUPPORT JDB</t>
        </is>
      </c>
      <c r="F3087" t="inlineStr">
        <is>
          <t>GSK BELGIQUE</t>
        </is>
      </c>
      <c r="G3087" t="inlineStr">
        <is>
          <t>GVL</t>
        </is>
      </c>
      <c r="J3087" t="inlineStr">
        <is>
          <t>BERNARDEAU</t>
        </is>
      </c>
      <c r="K3087" t="inlineStr">
        <is>
          <t>METAL</t>
        </is>
      </c>
      <c r="L3087">
        <f>_xlfn.XLOOKUP(Tableau1[[#This Row],[TYPE DE PIECE]],Tableau4[MATIERE],Tableau4[SHORT TYPE],"",0,1)</f>
        <v/>
      </c>
      <c r="N3087">
        <f>IF(ISERR(FIND("DECOUPE",Tableau1[[#This Row],[DESIGNATION]])),"","NEED REF")</f>
        <v/>
      </c>
    </row>
    <row r="3088">
      <c r="B3088" t="n">
        <v>34410913</v>
      </c>
      <c r="C3088" s="2" t="n">
        <v>44749</v>
      </c>
      <c r="D3088" t="inlineStr">
        <is>
          <t>SPEC</t>
        </is>
      </c>
      <c r="E3088" t="inlineStr">
        <is>
          <t>PLA PLASTRON 2</t>
        </is>
      </c>
      <c r="F3088" t="inlineStr">
        <is>
          <t>GSK BELGIQUE</t>
        </is>
      </c>
      <c r="G3088" t="inlineStr">
        <is>
          <t>GVL</t>
        </is>
      </c>
      <c r="J3088" t="inlineStr">
        <is>
          <t>BERNARDEAU</t>
        </is>
      </c>
      <c r="K3088" t="inlineStr">
        <is>
          <t>PLASTIQUE</t>
        </is>
      </c>
      <c r="L3088">
        <f>_xlfn.XLOOKUP(Tableau1[[#This Row],[TYPE DE PIECE]],Tableau4[MATIERE],Tableau4[SHORT TYPE],"",0,1)</f>
        <v/>
      </c>
      <c r="N3088">
        <f>IF(ISERR(FIND("DECOUPE",Tableau1[[#This Row],[DESIGNATION]])),"","NEED REF")</f>
        <v/>
      </c>
    </row>
    <row r="3089">
      <c r="B3089" t="n">
        <v>34410912</v>
      </c>
      <c r="C3089" s="2" t="n">
        <v>44749</v>
      </c>
      <c r="D3089" t="inlineStr">
        <is>
          <t>SPEC</t>
        </is>
      </c>
      <c r="E3089" t="inlineStr">
        <is>
          <t>SMT TOIT REHAUSSE 70 1000X10000</t>
        </is>
      </c>
      <c r="F3089" t="inlineStr">
        <is>
          <t>21 CENTURY TECHNOLOGIE LTD/NIGERIA</t>
        </is>
      </c>
      <c r="G3089" t="inlineStr">
        <is>
          <t>GVX</t>
        </is>
      </c>
      <c r="H3089" t="inlineStr">
        <is>
          <t>BYPASS</t>
        </is>
      </c>
      <c r="J3089" t="inlineStr">
        <is>
          <t>JAWORSKI</t>
        </is>
      </c>
      <c r="K3089" t="inlineStr">
        <is>
          <t>METAL</t>
        </is>
      </c>
      <c r="L3089">
        <f>_xlfn.XLOOKUP(Tableau1[[#This Row],[TYPE DE PIECE]],Tableau4[MATIERE],Tableau4[SHORT TYPE],"",0,1)</f>
        <v/>
      </c>
      <c r="N3089">
        <f>IF(ISERR(FIND("DECOUPE",Tableau1[[#This Row],[DESIGNATION]])),"","NEED REF")</f>
        <v/>
      </c>
    </row>
    <row r="3090">
      <c r="B3090" t="n">
        <v>34410911</v>
      </c>
      <c r="C3090" s="2" t="n">
        <v>44749</v>
      </c>
      <c r="D3090" t="inlineStr">
        <is>
          <t>SPEC</t>
        </is>
      </c>
      <c r="E3090" t="inlineStr">
        <is>
          <t xml:space="preserve">SMT TRAVERSE TOIT PE </t>
        </is>
      </c>
      <c r="F3090" t="inlineStr">
        <is>
          <t>21 CENTURY TECHNOLOGIE LTD/NIGERIA</t>
        </is>
      </c>
      <c r="G3090" t="inlineStr">
        <is>
          <t>GVX</t>
        </is>
      </c>
      <c r="H3090" t="inlineStr">
        <is>
          <t>BYPASS</t>
        </is>
      </c>
      <c r="J3090" t="inlineStr">
        <is>
          <t>JAWORSKI</t>
        </is>
      </c>
      <c r="K3090" t="inlineStr">
        <is>
          <t>METAL</t>
        </is>
      </c>
      <c r="L3090">
        <f>_xlfn.XLOOKUP(Tableau1[[#This Row],[TYPE DE PIECE]],Tableau4[MATIERE],Tableau4[SHORT TYPE],"",0,1)</f>
        <v/>
      </c>
      <c r="N3090">
        <f>IF(ISERR(FIND("DECOUPE",Tableau1[[#This Row],[DESIGNATION]])),"","NEED REF")</f>
        <v/>
      </c>
    </row>
    <row r="3091">
      <c r="B3091" t="n">
        <v>34410910</v>
      </c>
      <c r="C3091" s="2" t="n">
        <v>44749</v>
      </c>
      <c r="D3091" t="inlineStr">
        <is>
          <t>SPEC</t>
        </is>
      </c>
      <c r="E3091" t="inlineStr">
        <is>
          <t>SMT PLASTRON BAS L300</t>
        </is>
      </c>
      <c r="F3091" t="inlineStr">
        <is>
          <t>21 CENTURY TECHNOLOGIE LTD/NIGERIA</t>
        </is>
      </c>
      <c r="G3091" t="inlineStr">
        <is>
          <t>GVX</t>
        </is>
      </c>
      <c r="H3091" t="inlineStr">
        <is>
          <t>BYPASS</t>
        </is>
      </c>
      <c r="J3091" t="inlineStr">
        <is>
          <t>JAWORSKI</t>
        </is>
      </c>
      <c r="K3091" t="inlineStr">
        <is>
          <t>METAL</t>
        </is>
      </c>
      <c r="L3091">
        <f>_xlfn.XLOOKUP(Tableau1[[#This Row],[TYPE DE PIECE]],Tableau4[MATIERE],Tableau4[SHORT TYPE],"",0,1)</f>
        <v/>
      </c>
      <c r="N3091">
        <f>IF(ISERR(FIND("DECOUPE",Tableau1[[#This Row],[DESIGNATION]])),"","NEED REF")</f>
        <v/>
      </c>
    </row>
    <row r="3092">
      <c r="B3092" t="n">
        <v>34410909</v>
      </c>
      <c r="C3092" s="2" t="n">
        <v>44749</v>
      </c>
      <c r="D3092" t="inlineStr">
        <is>
          <t>SPEC</t>
        </is>
      </c>
      <c r="E3092" t="inlineStr">
        <is>
          <t>SMT ROOF-FAN IP31 RAL9003</t>
        </is>
      </c>
      <c r="F3092" t="inlineStr">
        <is>
          <t>GSK BELGIQUE</t>
        </is>
      </c>
      <c r="G3092" t="inlineStr">
        <is>
          <t>GVL</t>
        </is>
      </c>
      <c r="J3092" t="inlineStr">
        <is>
          <t>BERNARDEAU</t>
        </is>
      </c>
      <c r="K3092" t="inlineStr">
        <is>
          <t>METAL</t>
        </is>
      </c>
      <c r="L3092">
        <f>_xlfn.XLOOKUP(Tableau1[[#This Row],[TYPE DE PIECE]],Tableau4[MATIERE],Tableau4[SHORT TYPE],"",0,1)</f>
        <v/>
      </c>
      <c r="N3092">
        <f>IF(ISERR(FIND("DECOUPE",Tableau1[[#This Row],[DESIGNATION]])),"","NEED REF")</f>
        <v/>
      </c>
    </row>
    <row r="3093">
      <c r="B3093" t="n">
        <v>34410908</v>
      </c>
      <c r="C3093" s="2" t="n">
        <v>44749</v>
      </c>
      <c r="D3093" t="inlineStr">
        <is>
          <t>SPEC</t>
        </is>
      </c>
      <c r="E3093" t="inlineStr">
        <is>
          <t>SMT PLASTRON HAUT L300</t>
        </is>
      </c>
      <c r="F3093" t="inlineStr">
        <is>
          <t>21 CENTURY TECHNOLOGIE LTD/NIGERIA</t>
        </is>
      </c>
      <c r="G3093" t="inlineStr">
        <is>
          <t>GVX</t>
        </is>
      </c>
      <c r="H3093" t="inlineStr">
        <is>
          <t>BYPASS</t>
        </is>
      </c>
      <c r="J3093" t="inlineStr">
        <is>
          <t>JAWORSKI</t>
        </is>
      </c>
      <c r="K3093" t="inlineStr">
        <is>
          <t>METAL</t>
        </is>
      </c>
      <c r="L3093">
        <f>_xlfn.XLOOKUP(Tableau1[[#This Row],[TYPE DE PIECE]],Tableau4[MATIERE],Tableau4[SHORT TYPE],"",0,1)</f>
        <v/>
      </c>
      <c r="N3093">
        <f>IF(ISERR(FIND("DECOUPE",Tableau1[[#This Row],[DESIGNATION]])),"","NEED REF")</f>
        <v/>
      </c>
    </row>
    <row r="3094">
      <c r="B3094" t="n">
        <v>34410907</v>
      </c>
      <c r="C3094" s="2" t="n">
        <v>44749</v>
      </c>
      <c r="D3094" t="inlineStr">
        <is>
          <t>SPEC</t>
        </is>
      </c>
      <c r="E3094" t="inlineStr">
        <is>
          <t>SMT PLASTRON PLEIN</t>
        </is>
      </c>
      <c r="F3094" t="inlineStr">
        <is>
          <t>21 CENTURY TECHNOLOGIE LTD/NIGERIA</t>
        </is>
      </c>
      <c r="G3094" t="inlineStr">
        <is>
          <t>GVX</t>
        </is>
      </c>
      <c r="H3094" t="inlineStr">
        <is>
          <t>BYPASS</t>
        </is>
      </c>
      <c r="J3094" t="inlineStr">
        <is>
          <t>JAWORSKI</t>
        </is>
      </c>
      <c r="K3094" t="inlineStr">
        <is>
          <t>METAL</t>
        </is>
      </c>
      <c r="L3094">
        <f>_xlfn.XLOOKUP(Tableau1[[#This Row],[TYPE DE PIECE]],Tableau4[MATIERE],Tableau4[SHORT TYPE],"",0,1)</f>
        <v/>
      </c>
      <c r="N3094">
        <f>IF(ISERR(FIND("DECOUPE",Tableau1[[#This Row],[DESIGNATION]])),"","NEED REF")</f>
        <v/>
      </c>
    </row>
    <row r="3095">
      <c r="B3095" t="n">
        <v>34410906</v>
      </c>
      <c r="C3095" s="2" t="n">
        <v>44749</v>
      </c>
      <c r="D3095" t="inlineStr">
        <is>
          <t>SPEC</t>
        </is>
      </c>
      <c r="E3095" t="inlineStr">
        <is>
          <t>SMT PLASTRON BAS</t>
        </is>
      </c>
      <c r="F3095" t="inlineStr">
        <is>
          <t>21 CENTURY TECHNOLOGIE LTD/NIGERIA</t>
        </is>
      </c>
      <c r="G3095" t="inlineStr">
        <is>
          <t>GVX</t>
        </is>
      </c>
      <c r="H3095" t="inlineStr">
        <is>
          <t>BYPASS</t>
        </is>
      </c>
      <c r="J3095" t="inlineStr">
        <is>
          <t>JAWORSKI</t>
        </is>
      </c>
      <c r="K3095" t="inlineStr">
        <is>
          <t>METAL</t>
        </is>
      </c>
      <c r="L3095">
        <f>_xlfn.XLOOKUP(Tableau1[[#This Row],[TYPE DE PIECE]],Tableau4[MATIERE],Tableau4[SHORT TYPE],"",0,1)</f>
        <v/>
      </c>
      <c r="N3095">
        <f>IF(ISERR(FIND("DECOUPE",Tableau1[[#This Row],[DESIGNATION]])),"","NEED REF")</f>
        <v/>
      </c>
    </row>
    <row r="3096">
      <c r="B3096" t="n">
        <v>34410905</v>
      </c>
      <c r="C3096" s="2" t="n">
        <v>44749</v>
      </c>
      <c r="D3096" t="inlineStr">
        <is>
          <t>SPEC</t>
        </is>
      </c>
      <c r="E3096" t="inlineStr">
        <is>
          <t>SMT PLASTRON HAUT</t>
        </is>
      </c>
      <c r="F3096" t="inlineStr">
        <is>
          <t>21 CENTURY TECHNOLOGIE LTD/NIGERIA</t>
        </is>
      </c>
      <c r="G3096" t="inlineStr">
        <is>
          <t>GVX</t>
        </is>
      </c>
      <c r="H3096" t="inlineStr">
        <is>
          <t>BYPASS</t>
        </is>
      </c>
      <c r="J3096" t="inlineStr">
        <is>
          <t>JAWORSKI</t>
        </is>
      </c>
      <c r="K3096" t="inlineStr">
        <is>
          <t>METAL</t>
        </is>
      </c>
      <c r="L3096">
        <f>_xlfn.XLOOKUP(Tableau1[[#This Row],[TYPE DE PIECE]],Tableau4[MATIERE],Tableau4[SHORT TYPE],"",0,1)</f>
        <v/>
      </c>
      <c r="N3096">
        <f>IF(ISERR(FIND("DECOUPE",Tableau1[[#This Row],[DESIGNATION]])),"","NEED REF")</f>
        <v/>
      </c>
    </row>
    <row r="3097">
      <c r="B3097" t="n">
        <v>34410904</v>
      </c>
      <c r="C3097" s="2" t="n">
        <v>44749</v>
      </c>
      <c r="D3097" t="inlineStr">
        <is>
          <t>SPEC</t>
        </is>
      </c>
      <c r="E3097" t="inlineStr">
        <is>
          <t>SMT SUPPORT BORNIER AUXILIAIRE</t>
        </is>
      </c>
      <c r="F3097" t="inlineStr">
        <is>
          <t>21 CENTURY TECHNOLOGIE LTD/NIGERIA</t>
        </is>
      </c>
      <c r="G3097" t="inlineStr">
        <is>
          <t>GVX</t>
        </is>
      </c>
      <c r="H3097" t="inlineStr">
        <is>
          <t>BYPASS</t>
        </is>
      </c>
      <c r="J3097" t="inlineStr">
        <is>
          <t>JAWORSKI</t>
        </is>
      </c>
      <c r="K3097" t="inlineStr">
        <is>
          <t>METAL</t>
        </is>
      </c>
      <c r="L3097">
        <f>_xlfn.XLOOKUP(Tableau1[[#This Row],[TYPE DE PIECE]],Tableau4[MATIERE],Tableau4[SHORT TYPE],"",0,1)</f>
        <v/>
      </c>
      <c r="N3097">
        <f>IF(ISERR(FIND("DECOUPE",Tableau1[[#This Row],[DESIGNATION]])),"","NEED REF")</f>
        <v/>
      </c>
    </row>
    <row r="3098">
      <c r="B3098" t="n">
        <v>34410903</v>
      </c>
      <c r="C3098" s="2" t="n">
        <v>44749</v>
      </c>
      <c r="D3098" t="inlineStr">
        <is>
          <t>SPEC</t>
        </is>
      </c>
      <c r="E3098" t="inlineStr">
        <is>
          <t>PLA PROTECTION JDB</t>
        </is>
      </c>
      <c r="F3098" t="inlineStr">
        <is>
          <t>21 CENTURY TECHNOLOGIE LTD/NIGERIA</t>
        </is>
      </c>
      <c r="G3098" t="inlineStr">
        <is>
          <t>GVX</t>
        </is>
      </c>
      <c r="H3098" t="inlineStr">
        <is>
          <t>BYPASS</t>
        </is>
      </c>
      <c r="J3098" t="inlineStr">
        <is>
          <t>JAWORSKI</t>
        </is>
      </c>
      <c r="K3098" t="inlineStr">
        <is>
          <t>PLASTIQUE</t>
        </is>
      </c>
      <c r="L3098">
        <f>_xlfn.XLOOKUP(Tableau1[[#This Row],[TYPE DE PIECE]],Tableau4[MATIERE],Tableau4[SHORT TYPE],"",0,1)</f>
        <v/>
      </c>
      <c r="N3098">
        <f>IF(ISERR(FIND("DECOUPE",Tableau1[[#This Row],[DESIGNATION]])),"","NEED REF")</f>
        <v/>
      </c>
    </row>
    <row r="3099">
      <c r="B3099" t="n">
        <v>34410902</v>
      </c>
      <c r="C3099" s="2" t="n">
        <v>44749</v>
      </c>
      <c r="D3099" t="inlineStr">
        <is>
          <t>SPEC</t>
        </is>
      </c>
      <c r="E3099" t="inlineStr">
        <is>
          <t>PLA PROTECTION MTZ2 CC</t>
        </is>
      </c>
      <c r="F3099" t="inlineStr">
        <is>
          <t>21 CENTURY TECHNOLOGIE LTD/NIGERIA</t>
        </is>
      </c>
      <c r="G3099" t="inlineStr">
        <is>
          <t>GVX</t>
        </is>
      </c>
      <c r="H3099" t="inlineStr">
        <is>
          <t>BYPASS</t>
        </is>
      </c>
      <c r="J3099" t="inlineStr">
        <is>
          <t>JAWORSKI</t>
        </is>
      </c>
      <c r="K3099" t="inlineStr">
        <is>
          <t>PLASTIQUE</t>
        </is>
      </c>
      <c r="L3099">
        <f>_xlfn.XLOOKUP(Tableau1[[#This Row],[TYPE DE PIECE]],Tableau4[MATIERE],Tableau4[SHORT TYPE],"",0,1)</f>
        <v/>
      </c>
      <c r="N3099">
        <f>IF(ISERR(FIND("DECOUPE",Tableau1[[#This Row],[DESIGNATION]])),"","NEED REF")</f>
        <v/>
      </c>
    </row>
    <row r="3100">
      <c r="B3100" t="n">
        <v>34410901</v>
      </c>
      <c r="C3100" s="2" t="n">
        <v>44749</v>
      </c>
      <c r="D3100" t="inlineStr">
        <is>
          <t>SPEC</t>
        </is>
      </c>
      <c r="E3100" t="inlineStr">
        <is>
          <t>SMT PLASTRON MTZ2</t>
        </is>
      </c>
      <c r="F3100" t="inlineStr">
        <is>
          <t>21 CENTURY TECHNOLOGIE LTD/NIGERIA</t>
        </is>
      </c>
      <c r="G3100" t="inlineStr">
        <is>
          <t>GVX</t>
        </is>
      </c>
      <c r="H3100" t="inlineStr">
        <is>
          <t>BYPASS</t>
        </is>
      </c>
      <c r="J3100" t="inlineStr">
        <is>
          <t>JAWORSKI</t>
        </is>
      </c>
      <c r="K3100" t="inlineStr">
        <is>
          <t>METAL</t>
        </is>
      </c>
      <c r="L3100">
        <f>_xlfn.XLOOKUP(Tableau1[[#This Row],[TYPE DE PIECE]],Tableau4[MATIERE],Tableau4[SHORT TYPE],"",0,1)</f>
        <v/>
      </c>
      <c r="N3100">
        <f>IF(ISERR(FIND("DECOUPE",Tableau1[[#This Row],[DESIGNATION]])),"","NEED REF")</f>
        <v/>
      </c>
    </row>
    <row r="3101">
      <c r="B3101" t="n">
        <v>34410900</v>
      </c>
      <c r="C3101" s="2" t="n">
        <v>44749</v>
      </c>
      <c r="D3101" t="inlineStr">
        <is>
          <t>SPEC</t>
        </is>
      </c>
      <c r="E3101" t="inlineStr">
        <is>
          <t>PLA BARREAU ISOLANT ICC UOB</t>
        </is>
      </c>
      <c r="F3101" t="inlineStr">
        <is>
          <t>21 CENTURY TECHNOLOGIE LTD/NIGERIA</t>
        </is>
      </c>
      <c r="G3101" t="inlineStr">
        <is>
          <t>GVX</t>
        </is>
      </c>
      <c r="H3101" t="inlineStr">
        <is>
          <t>BYPASS</t>
        </is>
      </c>
      <c r="J3101" t="inlineStr">
        <is>
          <t>JAWORSKI</t>
        </is>
      </c>
      <c r="K3101" t="inlineStr">
        <is>
          <t>PLASTIQUE</t>
        </is>
      </c>
      <c r="L3101">
        <f>_xlfn.XLOOKUP(Tableau1[[#This Row],[TYPE DE PIECE]],Tableau4[MATIERE],Tableau4[SHORT TYPE],"",0,1)</f>
        <v/>
      </c>
      <c r="N3101">
        <f>IF(ISERR(FIND("DECOUPE",Tableau1[[#This Row],[DESIGNATION]])),"","NEED REF")</f>
        <v/>
      </c>
    </row>
    <row r="3102">
      <c r="B3102" t="n">
        <v>34410899</v>
      </c>
      <c r="C3102" s="2" t="n">
        <v>44749</v>
      </c>
      <c r="D3102" t="inlineStr">
        <is>
          <t>SPEC</t>
        </is>
      </c>
      <c r="E3102" t="inlineStr">
        <is>
          <t>SMT SUPPORT BARREAU ISOLANT 04678</t>
        </is>
      </c>
      <c r="F3102" t="inlineStr">
        <is>
          <t>21 CENTURY TECHNOLOGIE LTD/NIGERIA</t>
        </is>
      </c>
      <c r="G3102" t="inlineStr">
        <is>
          <t>GVX</t>
        </is>
      </c>
      <c r="H3102" t="inlineStr">
        <is>
          <t>BYPASS</t>
        </is>
      </c>
      <c r="J3102" t="inlineStr">
        <is>
          <t>JAWORSKI</t>
        </is>
      </c>
      <c r="K3102" t="inlineStr">
        <is>
          <t>METAL</t>
        </is>
      </c>
      <c r="L3102">
        <f>_xlfn.XLOOKUP(Tableau1[[#This Row],[TYPE DE PIECE]],Tableau4[MATIERE],Tableau4[SHORT TYPE],"",0,1)</f>
        <v/>
      </c>
      <c r="N3102">
        <f>IF(ISERR(FIND("DECOUPE",Tableau1[[#This Row],[DESIGNATION]])),"","NEED REF")</f>
        <v/>
      </c>
    </row>
    <row r="3103">
      <c r="B3103" t="n">
        <v>34410898</v>
      </c>
      <c r="C3103" s="2" t="n">
        <v>44749</v>
      </c>
      <c r="D3103" t="inlineStr">
        <is>
          <t>SPEC</t>
        </is>
      </c>
      <c r="E3103" t="inlineStr">
        <is>
          <t>SMT SUPPORT BARREAU ISOLANT</t>
        </is>
      </c>
      <c r="F3103" t="inlineStr">
        <is>
          <t>21 CENTURY TECHNOLOGIE LTD/NIGERIA</t>
        </is>
      </c>
      <c r="G3103" t="inlineStr">
        <is>
          <t>GVX</t>
        </is>
      </c>
      <c r="H3103" t="inlineStr">
        <is>
          <t>BYPASS</t>
        </is>
      </c>
      <c r="J3103" t="inlineStr">
        <is>
          <t>JAWORSKI</t>
        </is>
      </c>
      <c r="K3103" t="inlineStr">
        <is>
          <t>METAL</t>
        </is>
      </c>
      <c r="L3103">
        <f>_xlfn.XLOOKUP(Tableau1[[#This Row],[TYPE DE PIECE]],Tableau4[MATIERE],Tableau4[SHORT TYPE],"",0,1)</f>
        <v/>
      </c>
      <c r="N3103">
        <f>IF(ISERR(FIND("DECOUPE",Tableau1[[#This Row],[DESIGNATION]])),"","NEED REF")</f>
        <v/>
      </c>
    </row>
    <row r="3104">
      <c r="B3104" t="n">
        <v>34410897</v>
      </c>
      <c r="C3104" s="2" t="n">
        <v>44749</v>
      </c>
      <c r="D3104" t="inlineStr">
        <is>
          <t>SPEC</t>
        </is>
      </c>
      <c r="E3104" t="inlineStr">
        <is>
          <t>PLA BARREAU ISOLANT UOB</t>
        </is>
      </c>
      <c r="F3104" t="inlineStr">
        <is>
          <t>21 CENTURY TECHNOLOGIE LTD/NIGERIA</t>
        </is>
      </c>
      <c r="G3104" t="inlineStr">
        <is>
          <t>GVX</t>
        </is>
      </c>
      <c r="H3104" t="inlineStr">
        <is>
          <t>BYPASS</t>
        </is>
      </c>
      <c r="J3104" t="inlineStr">
        <is>
          <t>JAWORSKI</t>
        </is>
      </c>
      <c r="K3104" t="inlineStr">
        <is>
          <t>PLASTIQUE</t>
        </is>
      </c>
      <c r="L3104">
        <f>_xlfn.XLOOKUP(Tableau1[[#This Row],[TYPE DE PIECE]],Tableau4[MATIERE],Tableau4[SHORT TYPE],"",0,1)</f>
        <v/>
      </c>
      <c r="N3104">
        <f>IF(ISERR(FIND("DECOUPE",Tableau1[[#This Row],[DESIGNATION]])),"","NEED REF")</f>
        <v/>
      </c>
    </row>
    <row r="3105">
      <c r="B3105" t="n">
        <v>34410896</v>
      </c>
      <c r="C3105" s="2" t="n">
        <v>44749</v>
      </c>
      <c r="D3105" t="inlineStr">
        <is>
          <t>SPEC</t>
        </is>
      </c>
      <c r="E3105" t="inlineStr">
        <is>
          <t>SMT TRAVERSE HORIZONTALE 900MM BIS</t>
        </is>
      </c>
      <c r="F3105" t="inlineStr">
        <is>
          <t>21 CENTURY TECHNOLOGIE LTD/NIGERIA</t>
        </is>
      </c>
      <c r="G3105" t="inlineStr">
        <is>
          <t>GVX</t>
        </is>
      </c>
      <c r="H3105" t="inlineStr">
        <is>
          <t>BYPASS</t>
        </is>
      </c>
      <c r="J3105" t="inlineStr">
        <is>
          <t>JAWORSKI</t>
        </is>
      </c>
      <c r="K3105" t="inlineStr">
        <is>
          <t>METAL</t>
        </is>
      </c>
      <c r="L3105">
        <f>_xlfn.XLOOKUP(Tableau1[[#This Row],[TYPE DE PIECE]],Tableau4[MATIERE],Tableau4[SHORT TYPE],"",0,1)</f>
        <v/>
      </c>
      <c r="N3105">
        <f>IF(ISERR(FIND("DECOUPE",Tableau1[[#This Row],[DESIGNATION]])),"","NEED REF")</f>
        <v/>
      </c>
    </row>
    <row r="3106">
      <c r="B3106" t="n">
        <v>34410895</v>
      </c>
      <c r="C3106" s="2" t="n">
        <v>44749</v>
      </c>
      <c r="D3106" t="inlineStr">
        <is>
          <t>SPEC</t>
        </is>
      </c>
      <c r="E3106" t="inlineStr">
        <is>
          <t>SMT PROTECTION IP20 REHAUSSE</t>
        </is>
      </c>
      <c r="F3106" t="inlineStr">
        <is>
          <t>21 CENTURY TECHNOLOGIE LTD/NIGERIA</t>
        </is>
      </c>
      <c r="G3106" t="inlineStr">
        <is>
          <t>GVX</t>
        </is>
      </c>
      <c r="H3106" t="inlineStr">
        <is>
          <t>BYPASS</t>
        </is>
      </c>
      <c r="J3106" t="inlineStr">
        <is>
          <t>JAWORSKI</t>
        </is>
      </c>
      <c r="K3106" t="inlineStr">
        <is>
          <t>METAL</t>
        </is>
      </c>
      <c r="L3106">
        <f>_xlfn.XLOOKUP(Tableau1[[#This Row],[TYPE DE PIECE]],Tableau4[MATIERE],Tableau4[SHORT TYPE],"",0,1)</f>
        <v/>
      </c>
      <c r="N3106">
        <f>IF(ISERR(FIND("DECOUPE",Tableau1[[#This Row],[DESIGNATION]])),"","NEED REF")</f>
        <v/>
      </c>
    </row>
    <row r="3107">
      <c r="B3107" t="n">
        <v>34410894</v>
      </c>
      <c r="C3107" s="2" t="n">
        <v>44749</v>
      </c>
      <c r="D3107" t="inlineStr">
        <is>
          <t>SPEC</t>
        </is>
      </c>
      <c r="E3107" t="inlineStr">
        <is>
          <t>SMT TOIT REHAUSSE 70 700X1000</t>
        </is>
      </c>
      <c r="F3107" t="inlineStr">
        <is>
          <t>21 CENTURY TECHNOLOGIE LTD/NIGERIA</t>
        </is>
      </c>
      <c r="G3107" t="inlineStr">
        <is>
          <t>GVX</t>
        </is>
      </c>
      <c r="H3107" t="inlineStr">
        <is>
          <t>BYPASS</t>
        </is>
      </c>
      <c r="J3107" t="inlineStr">
        <is>
          <t>JAWORSKI</t>
        </is>
      </c>
      <c r="K3107" t="inlineStr">
        <is>
          <t>METAL</t>
        </is>
      </c>
      <c r="L3107">
        <f>_xlfn.XLOOKUP(Tableau1[[#This Row],[TYPE DE PIECE]],Tableau4[MATIERE],Tableau4[SHORT TYPE],"",0,1)</f>
        <v/>
      </c>
      <c r="N3107">
        <f>IF(ISERR(FIND("DECOUPE",Tableau1[[#This Row],[DESIGNATION]])),"","NEED REF")</f>
        <v/>
      </c>
    </row>
    <row r="3108">
      <c r="B3108" t="n">
        <v>34410893</v>
      </c>
      <c r="C3108" s="2" t="n">
        <v>44749</v>
      </c>
      <c r="D3108" t="inlineStr">
        <is>
          <t>SPEC</t>
        </is>
      </c>
      <c r="E3108" t="inlineStr">
        <is>
          <t xml:space="preserve">SMT TRAVERSE HORIZONTALE 900MM </t>
        </is>
      </c>
      <c r="F3108" t="inlineStr">
        <is>
          <t>21 CENTURY TECHNOLOGIE LTD/NIGERIA</t>
        </is>
      </c>
      <c r="G3108" t="inlineStr">
        <is>
          <t>GVX</t>
        </is>
      </c>
      <c r="H3108" t="inlineStr">
        <is>
          <t>BYPASS</t>
        </is>
      </c>
      <c r="J3108" t="inlineStr">
        <is>
          <t>JAWORSKI</t>
        </is>
      </c>
      <c r="K3108" t="inlineStr">
        <is>
          <t>METAL</t>
        </is>
      </c>
      <c r="L3108">
        <f>_xlfn.XLOOKUP(Tableau1[[#This Row],[TYPE DE PIECE]],Tableau4[MATIERE],Tableau4[SHORT TYPE],"",0,1)</f>
        <v/>
      </c>
      <c r="N3108">
        <f>IF(ISERR(FIND("DECOUPE",Tableau1[[#This Row],[DESIGNATION]])),"","NEED REF")</f>
        <v/>
      </c>
    </row>
    <row r="3109">
      <c r="B3109" t="n">
        <v>34410892</v>
      </c>
      <c r="C3109" s="2" t="n">
        <v>44749</v>
      </c>
      <c r="D3109" t="inlineStr">
        <is>
          <t>SPEC</t>
        </is>
      </c>
      <c r="E3109" t="inlineStr">
        <is>
          <t>COP CX MBB AV / UOB AV _ N</t>
        </is>
      </c>
      <c r="F3109" t="inlineStr">
        <is>
          <t>21 CENTURY TECHNOLOGIE LTD/NIGERIA</t>
        </is>
      </c>
      <c r="G3109" t="inlineStr">
        <is>
          <t>GVX</t>
        </is>
      </c>
      <c r="H3109" t="inlineStr">
        <is>
          <t>BYPASS</t>
        </is>
      </c>
      <c r="J3109" t="inlineStr">
        <is>
          <t>JAWORSKI</t>
        </is>
      </c>
      <c r="K3109" t="inlineStr">
        <is>
          <t>CUIVRE</t>
        </is>
      </c>
      <c r="L3109">
        <f>_xlfn.XLOOKUP(Tableau1[[#This Row],[TYPE DE PIECE]],Tableau4[MATIERE],Tableau4[SHORT TYPE],"",0,1)</f>
        <v/>
      </c>
      <c r="N3109">
        <f>IF(ISERR(FIND("DECOUPE",Tableau1[[#This Row],[DESIGNATION]])),"","NEED REF")</f>
        <v/>
      </c>
    </row>
    <row r="3110">
      <c r="B3110" t="n">
        <v>34410891</v>
      </c>
      <c r="C3110" s="2" t="n">
        <v>44749</v>
      </c>
      <c r="D3110" t="inlineStr">
        <is>
          <t>SPEC</t>
        </is>
      </c>
      <c r="E3110" t="inlineStr">
        <is>
          <t>COP CX UOB AM / UPS LOAD _ N</t>
        </is>
      </c>
      <c r="F3110" t="inlineStr">
        <is>
          <t>21 CENTURY TECHNOLOGIE LTD/NIGERIA</t>
        </is>
      </c>
      <c r="G3110" t="inlineStr">
        <is>
          <t>GVX</t>
        </is>
      </c>
      <c r="H3110" t="inlineStr">
        <is>
          <t>BYPASS</t>
        </is>
      </c>
      <c r="J3110" t="inlineStr">
        <is>
          <t>JAWORSKI</t>
        </is>
      </c>
      <c r="K3110" t="inlineStr">
        <is>
          <t>CUIVRE</t>
        </is>
      </c>
      <c r="L3110">
        <f>_xlfn.XLOOKUP(Tableau1[[#This Row],[TYPE DE PIECE]],Tableau4[MATIERE],Tableau4[SHORT TYPE],"",0,1)</f>
        <v/>
      </c>
      <c r="N3110">
        <f>IF(ISERR(FIND("DECOUPE",Tableau1[[#This Row],[DESIGNATION]])),"","NEED REF")</f>
        <v/>
      </c>
    </row>
    <row r="3111">
      <c r="B3111" t="n">
        <v>34410890</v>
      </c>
      <c r="C3111" s="2" t="n">
        <v>44749</v>
      </c>
      <c r="D3111" t="inlineStr">
        <is>
          <t>SPEC</t>
        </is>
      </c>
      <c r="E3111" t="inlineStr">
        <is>
          <t>SMT TRAVERSE SUPPORT VERTICAL JDB UOB</t>
        </is>
      </c>
      <c r="F3111" t="inlineStr">
        <is>
          <t>21 CENTURY TECHNOLOGIE LTD/NIGERIA</t>
        </is>
      </c>
      <c r="G3111" t="inlineStr">
        <is>
          <t>GVX</t>
        </is>
      </c>
      <c r="H3111" t="inlineStr">
        <is>
          <t>BYPASS</t>
        </is>
      </c>
      <c r="J3111" t="inlineStr">
        <is>
          <t>JAWORSKI</t>
        </is>
      </c>
      <c r="K3111" t="inlineStr">
        <is>
          <t>METAL</t>
        </is>
      </c>
      <c r="L3111">
        <f>_xlfn.XLOOKUP(Tableau1[[#This Row],[TYPE DE PIECE]],Tableau4[MATIERE],Tableau4[SHORT TYPE],"",0,1)</f>
        <v/>
      </c>
      <c r="N3111">
        <f>IF(ISERR(FIND("DECOUPE",Tableau1[[#This Row],[DESIGNATION]])),"","NEED REF")</f>
        <v/>
      </c>
    </row>
    <row r="3112">
      <c r="B3112" t="n">
        <v>34410889</v>
      </c>
      <c r="C3112" s="2" t="n">
        <v>44749</v>
      </c>
      <c r="D3112" t="inlineStr">
        <is>
          <t>SPEC</t>
        </is>
      </c>
      <c r="E3112" t="inlineStr">
        <is>
          <t>SMT PLATEAU MTZ2</t>
        </is>
      </c>
      <c r="F3112" t="inlineStr">
        <is>
          <t>21 CENTURY TECHNOLOGIE LTD/NIGERIA</t>
        </is>
      </c>
      <c r="G3112" t="inlineStr">
        <is>
          <t>GVX</t>
        </is>
      </c>
      <c r="H3112" t="inlineStr">
        <is>
          <t>BYPASS</t>
        </is>
      </c>
      <c r="J3112" t="inlineStr">
        <is>
          <t>JAWORSKI</t>
        </is>
      </c>
      <c r="K3112" t="inlineStr">
        <is>
          <t>METAL</t>
        </is>
      </c>
      <c r="L3112">
        <f>_xlfn.XLOOKUP(Tableau1[[#This Row],[TYPE DE PIECE]],Tableau4[MATIERE],Tableau4[SHORT TYPE],"",0,1)</f>
        <v/>
      </c>
      <c r="N3112">
        <f>IF(ISERR(FIND("DECOUPE",Tableau1[[#This Row],[DESIGNATION]])),"","NEED REF")</f>
        <v/>
      </c>
    </row>
    <row r="3113">
      <c r="B3113" t="n">
        <v>34410888</v>
      </c>
      <c r="C3113" s="2" t="n">
        <v>44749</v>
      </c>
      <c r="D3113" t="inlineStr">
        <is>
          <t>SPEC</t>
        </is>
      </c>
      <c r="E3113" t="inlineStr">
        <is>
          <t>SMT TRAVERSE HORIZONTALE PLATEAU MTZ2</t>
        </is>
      </c>
      <c r="F3113" t="inlineStr">
        <is>
          <t>21 CENTURY TECHNOLOGIE LTD/NIGERIA</t>
        </is>
      </c>
      <c r="G3113" t="inlineStr">
        <is>
          <t>GVX</t>
        </is>
      </c>
      <c r="H3113" t="inlineStr">
        <is>
          <t>BYPASS</t>
        </is>
      </c>
      <c r="J3113" t="inlineStr">
        <is>
          <t>JAWORSKI</t>
        </is>
      </c>
      <c r="K3113" t="inlineStr">
        <is>
          <t>METAL</t>
        </is>
      </c>
      <c r="L3113">
        <f>_xlfn.XLOOKUP(Tableau1[[#This Row],[TYPE DE PIECE]],Tableau4[MATIERE],Tableau4[SHORT TYPE],"",0,1)</f>
        <v/>
      </c>
      <c r="N3113">
        <f>IF(ISERR(FIND("DECOUPE",Tableau1[[#This Row],[DESIGNATION]])),"","NEED REF")</f>
        <v/>
      </c>
    </row>
    <row r="3114">
      <c r="B3114" t="n">
        <v>34410887</v>
      </c>
      <c r="C3114" s="2" t="n">
        <v>44749</v>
      </c>
      <c r="D3114" t="inlineStr">
        <is>
          <t>SPEC</t>
        </is>
      </c>
      <c r="E3114" t="inlineStr">
        <is>
          <t>SMT TRAVERSE VERTICALE</t>
        </is>
      </c>
      <c r="F3114" t="inlineStr">
        <is>
          <t>21 CENTURY TECHNOLOGIE LTD/NIGERIA</t>
        </is>
      </c>
      <c r="G3114" t="inlineStr">
        <is>
          <t>GVX</t>
        </is>
      </c>
      <c r="H3114" t="inlineStr">
        <is>
          <t>BYPASS</t>
        </is>
      </c>
      <c r="J3114" t="inlineStr">
        <is>
          <t>JAWORSKI</t>
        </is>
      </c>
      <c r="K3114" t="inlineStr">
        <is>
          <t>METAL</t>
        </is>
      </c>
      <c r="L3114">
        <f>_xlfn.XLOOKUP(Tableau1[[#This Row],[TYPE DE PIECE]],Tableau4[MATIERE],Tableau4[SHORT TYPE],"",0,1)</f>
        <v/>
      </c>
      <c r="N3114">
        <f>IF(ISERR(FIND("DECOUPE",Tableau1[[#This Row],[DESIGNATION]])),"","NEED REF")</f>
        <v/>
      </c>
    </row>
    <row r="3115">
      <c r="B3115" t="n">
        <v>34410886</v>
      </c>
      <c r="C3115" s="2" t="n">
        <v>44749</v>
      </c>
      <c r="D3115" t="inlineStr">
        <is>
          <t>SPEC</t>
        </is>
      </c>
      <c r="E3115" t="inlineStr">
        <is>
          <t>SMT TRAVERSE SUPPORT VERTICAL ICC</t>
        </is>
      </c>
      <c r="F3115" t="inlineStr">
        <is>
          <t>21 CENTURY TECHNOLOGIE LTD/NIGERIA</t>
        </is>
      </c>
      <c r="G3115" t="inlineStr">
        <is>
          <t>GVX</t>
        </is>
      </c>
      <c r="H3115" t="inlineStr">
        <is>
          <t>BYPASS</t>
        </is>
      </c>
      <c r="J3115" t="inlineStr">
        <is>
          <t>JAWORSKI</t>
        </is>
      </c>
      <c r="K3115" t="inlineStr">
        <is>
          <t>METAL</t>
        </is>
      </c>
      <c r="L3115">
        <f>_xlfn.XLOOKUP(Tableau1[[#This Row],[TYPE DE PIECE]],Tableau4[MATIERE],Tableau4[SHORT TYPE],"",0,1)</f>
        <v/>
      </c>
      <c r="N3115">
        <f>IF(ISERR(FIND("DECOUPE",Tableau1[[#This Row],[DESIGNATION]])),"","NEED REF")</f>
        <v/>
      </c>
    </row>
    <row r="3116">
      <c r="B3116" t="n">
        <v>34410885</v>
      </c>
      <c r="C3116" s="2" t="n">
        <v>44749</v>
      </c>
      <c r="D3116" t="inlineStr">
        <is>
          <t>SPEC</t>
        </is>
      </c>
      <c r="E3116" t="inlineStr">
        <is>
          <t xml:space="preserve"> SMT TRAVERSE SUPPORT HORIZONTAL JDB MBB </t>
        </is>
      </c>
      <c r="F3116" t="inlineStr">
        <is>
          <t>21 CENTURY TECHNOLOGIE LTD/NIGERIA</t>
        </is>
      </c>
      <c r="G3116" t="inlineStr">
        <is>
          <t>GVX</t>
        </is>
      </c>
      <c r="H3116" t="inlineStr">
        <is>
          <t>BYPASS</t>
        </is>
      </c>
      <c r="J3116" t="inlineStr">
        <is>
          <t>JAWORSKI</t>
        </is>
      </c>
      <c r="K3116" t="inlineStr">
        <is>
          <t>METAL</t>
        </is>
      </c>
      <c r="L3116">
        <f>_xlfn.XLOOKUP(Tableau1[[#This Row],[TYPE DE PIECE]],Tableau4[MATIERE],Tableau4[SHORT TYPE],"",0,1)</f>
        <v/>
      </c>
      <c r="N3116">
        <f>IF(ISERR(FIND("DECOUPE",Tableau1[[#This Row],[DESIGNATION]])),"","NEED REF")</f>
        <v/>
      </c>
    </row>
    <row r="3117">
      <c r="B3117" t="n">
        <v>34410884</v>
      </c>
      <c r="C3117" s="2" t="n">
        <v>44749</v>
      </c>
      <c r="D3117" t="inlineStr">
        <is>
          <t>SPEC</t>
        </is>
      </c>
      <c r="E3117" t="inlineStr">
        <is>
          <t>COP CX OUTPUT/MBBAV_3</t>
        </is>
      </c>
      <c r="F3117" t="inlineStr">
        <is>
          <t>21 CENTURY TECHNOLOGIE LTD/NIGERIA</t>
        </is>
      </c>
      <c r="G3117" t="inlineStr">
        <is>
          <t>GVX</t>
        </is>
      </c>
      <c r="H3117" t="inlineStr">
        <is>
          <t>BYPASS</t>
        </is>
      </c>
      <c r="J3117" t="inlineStr">
        <is>
          <t>JAWORSKI</t>
        </is>
      </c>
      <c r="K3117" t="inlineStr">
        <is>
          <t>CUIVRE</t>
        </is>
      </c>
      <c r="L3117">
        <f>_xlfn.XLOOKUP(Tableau1[[#This Row],[TYPE DE PIECE]],Tableau4[MATIERE],Tableau4[SHORT TYPE],"",0,1)</f>
        <v/>
      </c>
      <c r="N3117">
        <f>IF(ISERR(FIND("DECOUPE",Tableau1[[#This Row],[DESIGNATION]])),"","NEED REF")</f>
        <v/>
      </c>
    </row>
    <row r="3118">
      <c r="B3118" t="n">
        <v>34410883</v>
      </c>
      <c r="C3118" s="2" t="n">
        <v>44749</v>
      </c>
      <c r="D3118" t="inlineStr">
        <is>
          <t>SPEC</t>
        </is>
      </c>
      <c r="E3118" t="inlineStr">
        <is>
          <t>COP CX OUTPUT/MBBAV_1</t>
        </is>
      </c>
      <c r="F3118" t="inlineStr">
        <is>
          <t>21 CENTURY TECHNOLOGIE LTD/NIGERIA</t>
        </is>
      </c>
      <c r="G3118" t="inlineStr">
        <is>
          <t>GVX</t>
        </is>
      </c>
      <c r="H3118" t="inlineStr">
        <is>
          <t>BYPASS</t>
        </is>
      </c>
      <c r="J3118" t="inlineStr">
        <is>
          <t>JAWORSKI</t>
        </is>
      </c>
      <c r="K3118" t="inlineStr">
        <is>
          <t>CUIVRE</t>
        </is>
      </c>
      <c r="L3118">
        <f>_xlfn.XLOOKUP(Tableau1[[#This Row],[TYPE DE PIECE]],Tableau4[MATIERE],Tableau4[SHORT TYPE],"",0,1)</f>
        <v/>
      </c>
      <c r="N3118">
        <f>IF(ISERR(FIND("DECOUPE",Tableau1[[#This Row],[DESIGNATION]])),"","NEED REF")</f>
        <v/>
      </c>
    </row>
    <row r="3119">
      <c r="B3119" t="n">
        <v>34410882</v>
      </c>
      <c r="C3119" s="2" t="n">
        <v>44749</v>
      </c>
      <c r="D3119" t="inlineStr">
        <is>
          <t>SPEC</t>
        </is>
      </c>
      <c r="E3119" t="inlineStr">
        <is>
          <t>COP CX INPUT/MBBAM_3</t>
        </is>
      </c>
      <c r="F3119" t="inlineStr">
        <is>
          <t>21 CENTURY TECHNOLOGIE LTD/NIGERIA</t>
        </is>
      </c>
      <c r="G3119" t="inlineStr">
        <is>
          <t>GVX</t>
        </is>
      </c>
      <c r="H3119" t="inlineStr">
        <is>
          <t>BYPASS</t>
        </is>
      </c>
      <c r="J3119" t="inlineStr">
        <is>
          <t>JAWORSKI</t>
        </is>
      </c>
      <c r="K3119" t="inlineStr">
        <is>
          <t>CUIVRE</t>
        </is>
      </c>
      <c r="L3119">
        <f>_xlfn.XLOOKUP(Tableau1[[#This Row],[TYPE DE PIECE]],Tableau4[MATIERE],Tableau4[SHORT TYPE],"",0,1)</f>
        <v/>
      </c>
      <c r="N3119">
        <f>IF(ISERR(FIND("DECOUPE",Tableau1[[#This Row],[DESIGNATION]])),"","NEED REF")</f>
        <v/>
      </c>
    </row>
    <row r="3120">
      <c r="B3120" t="n">
        <v>34410881</v>
      </c>
      <c r="C3120" s="2" t="n">
        <v>44749</v>
      </c>
      <c r="D3120" t="inlineStr">
        <is>
          <t>SPEC</t>
        </is>
      </c>
      <c r="E3120" t="inlineStr">
        <is>
          <t>COP CX INPUT/MBBAM_2</t>
        </is>
      </c>
      <c r="F3120" t="inlineStr">
        <is>
          <t>21 CENTURY TECHNOLOGIE LTD/NIGERIA</t>
        </is>
      </c>
      <c r="G3120" t="inlineStr">
        <is>
          <t>GVX</t>
        </is>
      </c>
      <c r="H3120" t="inlineStr">
        <is>
          <t>BYPASS</t>
        </is>
      </c>
      <c r="J3120" t="inlineStr">
        <is>
          <t>JAWORSKI</t>
        </is>
      </c>
      <c r="K3120" t="inlineStr">
        <is>
          <t>CUIVRE</t>
        </is>
      </c>
      <c r="L3120">
        <f>_xlfn.XLOOKUP(Tableau1[[#This Row],[TYPE DE PIECE]],Tableau4[MATIERE],Tableau4[SHORT TYPE],"",0,1)</f>
        <v/>
      </c>
      <c r="N3120">
        <f>IF(ISERR(FIND("DECOUPE",Tableau1[[#This Row],[DESIGNATION]])),"","NEED REF")</f>
        <v/>
      </c>
    </row>
    <row r="3121">
      <c r="B3121" t="n">
        <v>34410880</v>
      </c>
      <c r="C3121" s="2" t="n">
        <v>44749</v>
      </c>
      <c r="D3121" t="inlineStr">
        <is>
          <t>SPEC</t>
        </is>
      </c>
      <c r="E3121" t="inlineStr">
        <is>
          <t>COP CX INPUT/MBBAM_1</t>
        </is>
      </c>
      <c r="F3121" t="inlineStr">
        <is>
          <t>21 CENTURY TECHNOLOGIE LTD/NIGERIA</t>
        </is>
      </c>
      <c r="G3121" t="inlineStr">
        <is>
          <t>GVX</t>
        </is>
      </c>
      <c r="H3121" t="inlineStr">
        <is>
          <t>BYPASS</t>
        </is>
      </c>
      <c r="J3121" t="inlineStr">
        <is>
          <t>JAWORSKI</t>
        </is>
      </c>
      <c r="K3121" t="inlineStr">
        <is>
          <t>CUIVRE</t>
        </is>
      </c>
      <c r="L3121">
        <f>_xlfn.XLOOKUP(Tableau1[[#This Row],[TYPE DE PIECE]],Tableau4[MATIERE],Tableau4[SHORT TYPE],"",0,1)</f>
        <v/>
      </c>
      <c r="N3121">
        <f>IF(ISERR(FIND("DECOUPE",Tableau1[[#This Row],[DESIGNATION]])),"","NEED REF")</f>
        <v/>
      </c>
    </row>
    <row r="3122">
      <c r="B3122" t="n">
        <v>34410879</v>
      </c>
      <c r="C3122" s="2" t="n">
        <v>44749</v>
      </c>
      <c r="D3122" t="inlineStr">
        <is>
          <t>SPEC</t>
        </is>
      </c>
      <c r="E3122" t="inlineStr">
        <is>
          <t>COP CX OUTPUT/MBBAV_2</t>
        </is>
      </c>
      <c r="F3122" t="inlineStr">
        <is>
          <t>21 CENTURY TECHNOLOGIE LTD/NIGERIA</t>
        </is>
      </c>
      <c r="G3122" t="inlineStr">
        <is>
          <t>GVX</t>
        </is>
      </c>
      <c r="H3122" t="inlineStr">
        <is>
          <t>BYPASS</t>
        </is>
      </c>
      <c r="J3122" t="inlineStr">
        <is>
          <t>JAWORSKI</t>
        </is>
      </c>
      <c r="K3122" t="inlineStr">
        <is>
          <t>CUIVRE</t>
        </is>
      </c>
      <c r="L3122">
        <f>_xlfn.XLOOKUP(Tableau1[[#This Row],[TYPE DE PIECE]],Tableau4[MATIERE],Tableau4[SHORT TYPE],"",0,1)</f>
        <v/>
      </c>
      <c r="N3122">
        <f>IF(ISERR(FIND("DECOUPE",Tableau1[[#This Row],[DESIGNATION]])),"","NEED REF")</f>
        <v/>
      </c>
    </row>
    <row r="3123">
      <c r="B3123" t="n">
        <v>34410878</v>
      </c>
      <c r="C3123" s="2" t="n">
        <v>44748</v>
      </c>
      <c r="D3123" t="inlineStr">
        <is>
          <t>SPEC</t>
        </is>
      </c>
      <c r="E3123" t="inlineStr">
        <is>
          <t>COP  CX INPUT/MBBAM_L3-2</t>
        </is>
      </c>
      <c r="F3123" t="inlineStr">
        <is>
          <t>21 CENTURY TECHNOLOGIE LTD/NIGERIA</t>
        </is>
      </c>
      <c r="G3123" t="inlineStr">
        <is>
          <t>GVX</t>
        </is>
      </c>
      <c r="H3123" t="inlineStr">
        <is>
          <t>BYPASS</t>
        </is>
      </c>
      <c r="J3123" t="inlineStr">
        <is>
          <t>JAWORSKI</t>
        </is>
      </c>
      <c r="K3123" t="inlineStr">
        <is>
          <t>CUIVRE</t>
        </is>
      </c>
      <c r="L3123">
        <f>_xlfn.XLOOKUP(Tableau1[[#This Row],[TYPE DE PIECE]],Tableau4[MATIERE],Tableau4[SHORT TYPE],"",0,1)</f>
        <v/>
      </c>
      <c r="N3123">
        <f>IF(ISERR(FIND("DECOUPE",Tableau1[[#This Row],[DESIGNATION]])),"","NEED REF")</f>
        <v/>
      </c>
    </row>
    <row r="3124">
      <c r="B3124" t="n">
        <v>34410877</v>
      </c>
      <c r="C3124" s="2" t="n">
        <v>44748</v>
      </c>
      <c r="D3124" t="inlineStr">
        <is>
          <t>SPEC</t>
        </is>
      </c>
      <c r="E3124" t="inlineStr">
        <is>
          <t>COP CX INPUT/MBBAM_L3-1/3</t>
        </is>
      </c>
      <c r="F3124" t="inlineStr">
        <is>
          <t>21 CENTURY TECHNOLOGIE LTD/NIGERIA</t>
        </is>
      </c>
      <c r="G3124" t="inlineStr">
        <is>
          <t>GVX</t>
        </is>
      </c>
      <c r="H3124" t="inlineStr">
        <is>
          <t>BYPASS</t>
        </is>
      </c>
      <c r="J3124" t="inlineStr">
        <is>
          <t>JAWORSKI</t>
        </is>
      </c>
      <c r="K3124" t="inlineStr">
        <is>
          <t>CUIVRE</t>
        </is>
      </c>
      <c r="L3124">
        <f>_xlfn.XLOOKUP(Tableau1[[#This Row],[TYPE DE PIECE]],Tableau4[MATIERE],Tableau4[SHORT TYPE],"",0,1)</f>
        <v/>
      </c>
      <c r="N3124">
        <f>IF(ISERR(FIND("DECOUPE",Tableau1[[#This Row],[DESIGNATION]])),"","NEED REF")</f>
        <v/>
      </c>
    </row>
    <row r="3125">
      <c r="B3125" t="n">
        <v>34410876</v>
      </c>
      <c r="C3125" s="2" t="n">
        <v>44748</v>
      </c>
      <c r="D3125" t="inlineStr">
        <is>
          <t>SPEC</t>
        </is>
      </c>
      <c r="E3125" t="inlineStr">
        <is>
          <t>COP CX INPUT/MBBAM_L2-2</t>
        </is>
      </c>
      <c r="F3125" t="inlineStr">
        <is>
          <t>21 CENTURY TECHNOLOGIE LTD/NIGERIA</t>
        </is>
      </c>
      <c r="G3125" t="inlineStr">
        <is>
          <t>GVX</t>
        </is>
      </c>
      <c r="H3125" t="inlineStr">
        <is>
          <t>BYPASS</t>
        </is>
      </c>
      <c r="J3125" t="inlineStr">
        <is>
          <t>JAWORSKI</t>
        </is>
      </c>
      <c r="K3125" t="inlineStr">
        <is>
          <t>CUIVRE</t>
        </is>
      </c>
      <c r="L3125">
        <f>_xlfn.XLOOKUP(Tableau1[[#This Row],[TYPE DE PIECE]],Tableau4[MATIERE],Tableau4[SHORT TYPE],"",0,1)</f>
        <v/>
      </c>
      <c r="N3125">
        <f>IF(ISERR(FIND("DECOUPE",Tableau1[[#This Row],[DESIGNATION]])),"","NEED REF")</f>
        <v/>
      </c>
    </row>
    <row r="3126">
      <c r="B3126" t="n">
        <v>34410875</v>
      </c>
      <c r="C3126" s="2" t="n">
        <v>44748</v>
      </c>
      <c r="D3126" t="inlineStr">
        <is>
          <t>SPEC</t>
        </is>
      </c>
      <c r="E3126" t="inlineStr">
        <is>
          <t>COP CX INPUT/MBBAM_L1-2</t>
        </is>
      </c>
      <c r="F3126" t="inlineStr">
        <is>
          <t>21 CENTURY TECHNOLOGIE LTD/NIGERIA</t>
        </is>
      </c>
      <c r="G3126" t="inlineStr">
        <is>
          <t>GVX</t>
        </is>
      </c>
      <c r="H3126" t="inlineStr">
        <is>
          <t>BYPASS</t>
        </is>
      </c>
      <c r="J3126" t="inlineStr">
        <is>
          <t>JAWORSKI</t>
        </is>
      </c>
      <c r="K3126" t="inlineStr">
        <is>
          <t>CUIVRE</t>
        </is>
      </c>
      <c r="L3126">
        <f>_xlfn.XLOOKUP(Tableau1[[#This Row],[TYPE DE PIECE]],Tableau4[MATIERE],Tableau4[SHORT TYPE],"",0,1)</f>
        <v/>
      </c>
      <c r="N3126">
        <f>IF(ISERR(FIND("DECOUPE",Tableau1[[#This Row],[DESIGNATION]])),"","NEED REF")</f>
        <v/>
      </c>
    </row>
    <row r="3127">
      <c r="B3127" t="n">
        <v>34410874</v>
      </c>
      <c r="C3127" s="2" t="n">
        <v>44748</v>
      </c>
      <c r="D3127" t="inlineStr">
        <is>
          <t>SPEC</t>
        </is>
      </c>
      <c r="E3127" t="inlineStr">
        <is>
          <t>COP CX INPUT/MBBAM_N-2</t>
        </is>
      </c>
      <c r="F3127" t="inlineStr">
        <is>
          <t>21 CENTURY TECHNOLOGIE LTD/NIGERIA</t>
        </is>
      </c>
      <c r="G3127" t="inlineStr">
        <is>
          <t>GVX</t>
        </is>
      </c>
      <c r="H3127" t="inlineStr">
        <is>
          <t>BYPASS</t>
        </is>
      </c>
      <c r="J3127" t="inlineStr">
        <is>
          <t>JAWORSKI</t>
        </is>
      </c>
      <c r="K3127" t="inlineStr">
        <is>
          <t>CUIVRE</t>
        </is>
      </c>
      <c r="L3127">
        <f>_xlfn.XLOOKUP(Tableau1[[#This Row],[TYPE DE PIECE]],Tableau4[MATIERE],Tableau4[SHORT TYPE],"",0,1)</f>
        <v/>
      </c>
      <c r="N3127">
        <f>IF(ISERR(FIND("DECOUPE",Tableau1[[#This Row],[DESIGNATION]])),"","NEED REF")</f>
        <v/>
      </c>
    </row>
    <row r="3128">
      <c r="B3128" t="n">
        <v>34410873</v>
      </c>
      <c r="C3128" s="2" t="n">
        <v>44748</v>
      </c>
      <c r="D3128" t="inlineStr">
        <is>
          <t>SPEC</t>
        </is>
      </c>
      <c r="E3128" t="inlineStr">
        <is>
          <t>COP CX INPUT/MBBAM_L2-3</t>
        </is>
      </c>
      <c r="F3128" t="inlineStr">
        <is>
          <t>21 CENTURY TECHNOLOGIE LTD/NIGERIA</t>
        </is>
      </c>
      <c r="G3128" t="inlineStr">
        <is>
          <t>GVX</t>
        </is>
      </c>
      <c r="H3128" t="inlineStr">
        <is>
          <t>BYPASS</t>
        </is>
      </c>
      <c r="J3128" t="inlineStr">
        <is>
          <t>JAWORSKI</t>
        </is>
      </c>
      <c r="K3128" t="inlineStr">
        <is>
          <t>CUIVRE</t>
        </is>
      </c>
      <c r="L3128">
        <f>_xlfn.XLOOKUP(Tableau1[[#This Row],[TYPE DE PIECE]],Tableau4[MATIERE],Tableau4[SHORT TYPE],"",0,1)</f>
        <v/>
      </c>
      <c r="N3128">
        <f>IF(ISERR(FIND("DECOUPE",Tableau1[[#This Row],[DESIGNATION]])),"","NEED REF")</f>
        <v/>
      </c>
    </row>
    <row r="3129">
      <c r="B3129" t="n">
        <v>34410872</v>
      </c>
      <c r="C3129" s="2" t="n">
        <v>44748</v>
      </c>
      <c r="D3129" t="inlineStr">
        <is>
          <t>SPEC</t>
        </is>
      </c>
      <c r="E3129" t="inlineStr">
        <is>
          <t>COP CX INPUT/MBBAM_L2-1</t>
        </is>
      </c>
      <c r="F3129" t="inlineStr">
        <is>
          <t>21 CENTURY TECHNOLOGIE LTD/NIGERIA</t>
        </is>
      </c>
      <c r="G3129" t="inlineStr">
        <is>
          <t>GVX</t>
        </is>
      </c>
      <c r="H3129" t="inlineStr">
        <is>
          <t>BYPASS</t>
        </is>
      </c>
      <c r="J3129" t="inlineStr">
        <is>
          <t>JAWORSKI</t>
        </is>
      </c>
      <c r="K3129" t="inlineStr">
        <is>
          <t>CUIVRE</t>
        </is>
      </c>
      <c r="L3129">
        <f>_xlfn.XLOOKUP(Tableau1[[#This Row],[TYPE DE PIECE]],Tableau4[MATIERE],Tableau4[SHORT TYPE],"",0,1)</f>
        <v/>
      </c>
      <c r="N3129">
        <f>IF(ISERR(FIND("DECOUPE",Tableau1[[#This Row],[DESIGNATION]])),"","NEED REF")</f>
        <v/>
      </c>
    </row>
    <row r="3130">
      <c r="B3130" t="n">
        <v>34410871</v>
      </c>
      <c r="C3130" s="2" t="n">
        <v>44748</v>
      </c>
      <c r="D3130" t="inlineStr">
        <is>
          <t>SPEC</t>
        </is>
      </c>
      <c r="E3130" t="inlineStr">
        <is>
          <t>COP CX INPUT/MBBAM_L1-3</t>
        </is>
      </c>
      <c r="F3130" t="inlineStr">
        <is>
          <t>21 CENTURY TECHNOLOGIE LTD/NIGERIA</t>
        </is>
      </c>
      <c r="G3130" t="inlineStr">
        <is>
          <t>GVX</t>
        </is>
      </c>
      <c r="H3130" t="inlineStr">
        <is>
          <t>BYPASS</t>
        </is>
      </c>
      <c r="J3130" t="inlineStr">
        <is>
          <t>JAWORSKI</t>
        </is>
      </c>
      <c r="K3130" t="inlineStr">
        <is>
          <t>CUIVRE</t>
        </is>
      </c>
      <c r="L3130">
        <f>_xlfn.XLOOKUP(Tableau1[[#This Row],[TYPE DE PIECE]],Tableau4[MATIERE],Tableau4[SHORT TYPE],"",0,1)</f>
        <v/>
      </c>
      <c r="N3130">
        <f>IF(ISERR(FIND("DECOUPE",Tableau1[[#This Row],[DESIGNATION]])),"","NEED REF")</f>
        <v/>
      </c>
    </row>
    <row r="3131">
      <c r="B3131" t="n">
        <v>34410870</v>
      </c>
      <c r="C3131" s="2" t="n">
        <v>44748</v>
      </c>
      <c r="D3131" t="inlineStr">
        <is>
          <t>SPEC</t>
        </is>
      </c>
      <c r="E3131" t="inlineStr">
        <is>
          <t>COP  CX INPUT/MBBAM_L1-1</t>
        </is>
      </c>
      <c r="F3131" t="inlineStr">
        <is>
          <t>21 CENTURY TECHNOLOGIE LTD/NIGERIA</t>
        </is>
      </c>
      <c r="G3131" t="inlineStr">
        <is>
          <t>GVX</t>
        </is>
      </c>
      <c r="H3131" t="inlineStr">
        <is>
          <t>BYPASS</t>
        </is>
      </c>
      <c r="J3131" t="inlineStr">
        <is>
          <t>JAWORSKI</t>
        </is>
      </c>
      <c r="K3131" t="inlineStr">
        <is>
          <t>CUIVRE</t>
        </is>
      </c>
      <c r="L3131">
        <f>_xlfn.XLOOKUP(Tableau1[[#This Row],[TYPE DE PIECE]],Tableau4[MATIERE],Tableau4[SHORT TYPE],"",0,1)</f>
        <v/>
      </c>
      <c r="N3131">
        <f>IF(ISERR(FIND("DECOUPE",Tableau1[[#This Row],[DESIGNATION]])),"","NEED REF")</f>
        <v/>
      </c>
    </row>
    <row r="3132">
      <c r="B3132" t="n">
        <v>34410869</v>
      </c>
      <c r="C3132" s="2" t="n">
        <v>44748</v>
      </c>
      <c r="D3132" t="inlineStr">
        <is>
          <t>SPEC</t>
        </is>
      </c>
      <c r="E3132" t="inlineStr">
        <is>
          <t>COP CX INPUT/MBBAM_N-3</t>
        </is>
      </c>
      <c r="F3132" t="inlineStr">
        <is>
          <t>21 CENTURY TECHNOLOGIE LTD/NIGERIA</t>
        </is>
      </c>
      <c r="G3132" t="inlineStr">
        <is>
          <t>GVX</t>
        </is>
      </c>
      <c r="H3132" t="inlineStr">
        <is>
          <t>BYPASS</t>
        </is>
      </c>
      <c r="J3132" t="inlineStr">
        <is>
          <t>JAWORSKI</t>
        </is>
      </c>
      <c r="K3132" t="inlineStr">
        <is>
          <t>CUIVRE</t>
        </is>
      </c>
      <c r="L3132">
        <f>_xlfn.XLOOKUP(Tableau1[[#This Row],[TYPE DE PIECE]],Tableau4[MATIERE],Tableau4[SHORT TYPE],"",0,1)</f>
        <v/>
      </c>
      <c r="N3132">
        <f>IF(ISERR(FIND("DECOUPE",Tableau1[[#This Row],[DESIGNATION]])),"","NEED REF")</f>
        <v/>
      </c>
    </row>
    <row r="3133">
      <c r="B3133" t="n">
        <v>34410868</v>
      </c>
      <c r="C3133" s="2" t="n">
        <v>44748</v>
      </c>
      <c r="D3133" t="inlineStr">
        <is>
          <t>SPEC</t>
        </is>
      </c>
      <c r="E3133" t="inlineStr">
        <is>
          <t>COP CX INPUT/MBBAM_N-1</t>
        </is>
      </c>
      <c r="F3133" t="inlineStr">
        <is>
          <t>21 CENTURY TECHNOLOGIE LTD/NIGERIA</t>
        </is>
      </c>
      <c r="G3133" t="inlineStr">
        <is>
          <t>GVX</t>
        </is>
      </c>
      <c r="H3133" t="inlineStr">
        <is>
          <t>BYPASS</t>
        </is>
      </c>
      <c r="J3133" t="inlineStr">
        <is>
          <t>JAWORSKI</t>
        </is>
      </c>
      <c r="K3133" t="inlineStr">
        <is>
          <t>CUIVRE</t>
        </is>
      </c>
      <c r="L3133">
        <f>_xlfn.XLOOKUP(Tableau1[[#This Row],[TYPE DE PIECE]],Tableau4[MATIERE],Tableau4[SHORT TYPE],"",0,1)</f>
        <v/>
      </c>
      <c r="N3133">
        <f>IF(ISERR(FIND("DECOUPE",Tableau1[[#This Row],[DESIGNATION]])),"","NEED REF")</f>
        <v/>
      </c>
    </row>
    <row r="3134">
      <c r="B3134" t="n">
        <v>34410867</v>
      </c>
      <c r="C3134" s="2" t="n">
        <v>44748</v>
      </c>
      <c r="D3134" t="inlineStr">
        <is>
          <t>SPEC</t>
        </is>
      </c>
      <c r="E3134" t="inlineStr">
        <is>
          <t>PLA BRIDE 2 CUIVRE 100X10</t>
        </is>
      </c>
      <c r="F3134" t="inlineStr">
        <is>
          <t>21 CENTURY TECHNOLOGIE LTD/NIGERIA</t>
        </is>
      </c>
      <c r="G3134" t="inlineStr">
        <is>
          <t>GVX</t>
        </is>
      </c>
      <c r="H3134" t="inlineStr">
        <is>
          <t>BYPASS</t>
        </is>
      </c>
      <c r="J3134" t="inlineStr">
        <is>
          <t>JAWORSKI</t>
        </is>
      </c>
      <c r="K3134" t="inlineStr">
        <is>
          <t>PLASTIQUE</t>
        </is>
      </c>
      <c r="L3134">
        <f>_xlfn.XLOOKUP(Tableau1[[#This Row],[TYPE DE PIECE]],Tableau4[MATIERE],Tableau4[SHORT TYPE],"",0,1)</f>
        <v/>
      </c>
      <c r="N3134">
        <f>IF(ISERR(FIND("DECOUPE",Tableau1[[#This Row],[DESIGNATION]])),"","NEED REF")</f>
        <v/>
      </c>
    </row>
    <row r="3135">
      <c r="B3135" t="n">
        <v>34410866</v>
      </c>
      <c r="C3135" s="2" t="n">
        <v>44748</v>
      </c>
      <c r="D3135" t="inlineStr">
        <is>
          <t>SPEC</t>
        </is>
      </c>
      <c r="E3135" t="inlineStr">
        <is>
          <t>PLA BRIDE 1 CUIVRE 100X10</t>
        </is>
      </c>
      <c r="F3135" t="inlineStr">
        <is>
          <t>21 CENTURY TECHNOLOGIE LTD/NIGERIA</t>
        </is>
      </c>
      <c r="G3135" t="inlineStr">
        <is>
          <t>GVX</t>
        </is>
      </c>
      <c r="H3135" t="inlineStr">
        <is>
          <t>BYPASS</t>
        </is>
      </c>
      <c r="J3135" t="inlineStr">
        <is>
          <t>JAWORSKI</t>
        </is>
      </c>
      <c r="K3135" t="inlineStr">
        <is>
          <t>PLASTIQUE</t>
        </is>
      </c>
      <c r="L3135">
        <f>_xlfn.XLOOKUP(Tableau1[[#This Row],[TYPE DE PIECE]],Tableau4[MATIERE],Tableau4[SHORT TYPE],"",0,1)</f>
        <v/>
      </c>
      <c r="N3135">
        <f>IF(ISERR(FIND("DECOUPE",Tableau1[[#This Row],[DESIGNATION]])),"","NEED REF")</f>
        <v/>
      </c>
    </row>
    <row r="3136">
      <c r="B3136" t="n">
        <v>34410865</v>
      </c>
      <c r="C3136" s="2" t="n">
        <v>44748</v>
      </c>
      <c r="D3136" t="inlineStr">
        <is>
          <t>SPEC</t>
        </is>
      </c>
      <c r="E3136" t="inlineStr">
        <is>
          <t>PLA  TIGE FILTE 380MM</t>
        </is>
      </c>
      <c r="F3136" t="inlineStr">
        <is>
          <t>21 CENTURY TECHNOLOGIE LTD/NIGERIA</t>
        </is>
      </c>
      <c r="G3136" t="inlineStr">
        <is>
          <t>GVX</t>
        </is>
      </c>
      <c r="H3136" t="inlineStr">
        <is>
          <t>BYPASS</t>
        </is>
      </c>
      <c r="J3136" t="inlineStr">
        <is>
          <t>JAWORSKI</t>
        </is>
      </c>
      <c r="K3136" t="inlineStr">
        <is>
          <t>PLASTIQUE</t>
        </is>
      </c>
      <c r="L3136">
        <f>_xlfn.XLOOKUP(Tableau1[[#This Row],[TYPE DE PIECE]],Tableau4[MATIERE],Tableau4[SHORT TYPE],"",0,1)</f>
        <v/>
      </c>
      <c r="N3136">
        <f>IF(ISERR(FIND("DECOUPE",Tableau1[[#This Row],[DESIGNATION]])),"","NEED REF")</f>
        <v/>
      </c>
    </row>
    <row r="3137">
      <c r="B3137" t="n">
        <v>34410864</v>
      </c>
      <c r="C3137" s="2" t="n">
        <v>44748</v>
      </c>
      <c r="D3137" t="inlineStr">
        <is>
          <t>SPEC</t>
        </is>
      </c>
      <c r="E3137" t="inlineStr">
        <is>
          <t>PLA CANNON 80MM FIBRE EPOXY G11</t>
        </is>
      </c>
      <c r="F3137" t="inlineStr">
        <is>
          <t>21 CENTURY TECHNOLOGIE LTD/NIGERIA</t>
        </is>
      </c>
      <c r="G3137" t="inlineStr">
        <is>
          <t>GVX</t>
        </is>
      </c>
      <c r="H3137" t="inlineStr">
        <is>
          <t>BYPASS</t>
        </is>
      </c>
      <c r="J3137" t="inlineStr">
        <is>
          <t>JAWORSKI</t>
        </is>
      </c>
      <c r="K3137" t="inlineStr">
        <is>
          <t>PLASTIQUE</t>
        </is>
      </c>
      <c r="L3137">
        <f>_xlfn.XLOOKUP(Tableau1[[#This Row],[TYPE DE PIECE]],Tableau4[MATIERE],Tableau4[SHORT TYPE],"",0,1)</f>
        <v/>
      </c>
      <c r="N3137">
        <f>IF(ISERR(FIND("DECOUPE",Tableau1[[#This Row],[DESIGNATION]])),"","NEED REF")</f>
        <v/>
      </c>
    </row>
    <row r="3138">
      <c r="B3138" t="n">
        <v>34410863</v>
      </c>
      <c r="C3138" s="2" t="n">
        <v>44748</v>
      </c>
      <c r="D3138" t="inlineStr">
        <is>
          <t>SPEC</t>
        </is>
      </c>
      <c r="E3138" t="inlineStr">
        <is>
          <t>SMT SUPPORT PLAQUE ICC 5</t>
        </is>
      </c>
      <c r="F3138" t="inlineStr">
        <is>
          <t>21 CENTURY TECHNOLOGIE LTD/NIGERIA</t>
        </is>
      </c>
      <c r="G3138" t="inlineStr">
        <is>
          <t>GVX</t>
        </is>
      </c>
      <c r="H3138" t="inlineStr">
        <is>
          <t>BYPASS</t>
        </is>
      </c>
      <c r="J3138" t="inlineStr">
        <is>
          <t>JAWORSKI</t>
        </is>
      </c>
      <c r="K3138" t="inlineStr">
        <is>
          <t>METAL</t>
        </is>
      </c>
      <c r="L3138">
        <f>_xlfn.XLOOKUP(Tableau1[[#This Row],[TYPE DE PIECE]],Tableau4[MATIERE],Tableau4[SHORT TYPE],"",0,1)</f>
        <v/>
      </c>
      <c r="N3138">
        <f>IF(ISERR(FIND("DECOUPE",Tableau1[[#This Row],[DESIGNATION]])),"","NEED REF")</f>
        <v/>
      </c>
    </row>
    <row r="3139">
      <c r="B3139" t="n">
        <v>34410862</v>
      </c>
      <c r="C3139" s="2" t="n">
        <v>44748</v>
      </c>
      <c r="D3139" t="inlineStr">
        <is>
          <t>SPEC</t>
        </is>
      </c>
      <c r="E3139" t="inlineStr">
        <is>
          <t>SMT SUPPORT PLAQUE ICC 4</t>
        </is>
      </c>
      <c r="F3139" t="inlineStr">
        <is>
          <t>21 CENTURY TECHNOLOGIE LTD/NIGERIA</t>
        </is>
      </c>
      <c r="G3139" t="inlineStr">
        <is>
          <t>GVX</t>
        </is>
      </c>
      <c r="H3139" t="inlineStr">
        <is>
          <t>BYPASS</t>
        </is>
      </c>
      <c r="J3139" t="inlineStr">
        <is>
          <t>JAWORSKI</t>
        </is>
      </c>
      <c r="K3139" t="inlineStr">
        <is>
          <t>METAL</t>
        </is>
      </c>
      <c r="L3139">
        <f>_xlfn.XLOOKUP(Tableau1[[#This Row],[TYPE DE PIECE]],Tableau4[MATIERE],Tableau4[SHORT TYPE],"",0,1)</f>
        <v/>
      </c>
      <c r="N3139">
        <f>IF(ISERR(FIND("DECOUPE",Tableau1[[#This Row],[DESIGNATION]])),"","NEED REF")</f>
        <v/>
      </c>
    </row>
    <row r="3140">
      <c r="B3140" t="n">
        <v>34410861</v>
      </c>
      <c r="C3140" s="2" t="n">
        <v>44748</v>
      </c>
      <c r="D3140" t="inlineStr">
        <is>
          <t>SPEC</t>
        </is>
      </c>
      <c r="E3140" t="inlineStr">
        <is>
          <t>SMT SUPPORT PLAQUE ICC 3</t>
        </is>
      </c>
      <c r="F3140" t="inlineStr">
        <is>
          <t>21 CENTURY TECHNOLOGIE LTD/NIGERIA</t>
        </is>
      </c>
      <c r="G3140" t="inlineStr">
        <is>
          <t>GVX</t>
        </is>
      </c>
      <c r="H3140" t="inlineStr">
        <is>
          <t>BYPASS</t>
        </is>
      </c>
      <c r="J3140" t="inlineStr">
        <is>
          <t>JAWORSKI</t>
        </is>
      </c>
      <c r="K3140" t="inlineStr">
        <is>
          <t>METAL</t>
        </is>
      </c>
      <c r="L3140">
        <f>_xlfn.XLOOKUP(Tableau1[[#This Row],[TYPE DE PIECE]],Tableau4[MATIERE],Tableau4[SHORT TYPE],"",0,1)</f>
        <v/>
      </c>
      <c r="N3140">
        <f>IF(ISERR(FIND("DECOUPE",Tableau1[[#This Row],[DESIGNATION]])),"","NEED REF")</f>
        <v/>
      </c>
    </row>
    <row r="3141">
      <c r="B3141" t="n">
        <v>34410860</v>
      </c>
      <c r="C3141" s="2" t="n">
        <v>44748</v>
      </c>
      <c r="D3141" t="inlineStr">
        <is>
          <t>SPEC</t>
        </is>
      </c>
      <c r="E3141" t="inlineStr">
        <is>
          <t>SMT SUPPORT PLAQUE ICC 2</t>
        </is>
      </c>
      <c r="F3141" t="inlineStr">
        <is>
          <t>21 CENTURY TECHNOLOGIE LTD/NIGERIA</t>
        </is>
      </c>
      <c r="G3141" t="inlineStr">
        <is>
          <t>GVX</t>
        </is>
      </c>
      <c r="H3141" t="inlineStr">
        <is>
          <t>BYPASS</t>
        </is>
      </c>
      <c r="J3141" t="inlineStr">
        <is>
          <t>JAWORSKI</t>
        </is>
      </c>
      <c r="K3141" t="inlineStr">
        <is>
          <t>METAL</t>
        </is>
      </c>
      <c r="L3141">
        <f>_xlfn.XLOOKUP(Tableau1[[#This Row],[TYPE DE PIECE]],Tableau4[MATIERE],Tableau4[SHORT TYPE],"",0,1)</f>
        <v/>
      </c>
      <c r="N3141">
        <f>IF(ISERR(FIND("DECOUPE",Tableau1[[#This Row],[DESIGNATION]])),"","NEED REF")</f>
        <v/>
      </c>
    </row>
    <row r="3142">
      <c r="B3142" t="n">
        <v>34410859</v>
      </c>
      <c r="C3142" s="2" t="n">
        <v>44748</v>
      </c>
      <c r="D3142" t="inlineStr">
        <is>
          <t>SPEC</t>
        </is>
      </c>
      <c r="E3142" t="inlineStr">
        <is>
          <t>SMT FIXATION PLAQUE ICC 1</t>
        </is>
      </c>
      <c r="F3142" t="inlineStr">
        <is>
          <t>21 CENTURY TECHNOLOGIE LTD/NIGERIA</t>
        </is>
      </c>
      <c r="G3142" t="inlineStr">
        <is>
          <t>GVX</t>
        </is>
      </c>
      <c r="H3142" t="inlineStr">
        <is>
          <t>BYPASS</t>
        </is>
      </c>
      <c r="J3142" t="inlineStr">
        <is>
          <t>JAWORSKI</t>
        </is>
      </c>
      <c r="K3142" t="inlineStr">
        <is>
          <t>METAL</t>
        </is>
      </c>
      <c r="L3142">
        <f>_xlfn.XLOOKUP(Tableau1[[#This Row],[TYPE DE PIECE]],Tableau4[MATIERE],Tableau4[SHORT TYPE],"",0,1)</f>
        <v/>
      </c>
      <c r="N3142">
        <f>IF(ISERR(FIND("DECOUPE",Tableau1[[#This Row],[DESIGNATION]])),"","NEED REF")</f>
        <v/>
      </c>
    </row>
    <row r="3143">
      <c r="B3143" t="n">
        <v>34410858</v>
      </c>
      <c r="C3143" s="2" t="n">
        <v>44748</v>
      </c>
      <c r="D3143" t="inlineStr">
        <is>
          <t>SPEC</t>
        </is>
      </c>
      <c r="E3143" t="inlineStr">
        <is>
          <t>PLA BRIDE RACCORDEMENT SIMPLE CLIENT</t>
        </is>
      </c>
      <c r="F3143" t="inlineStr">
        <is>
          <t>21 CENTURY TECHNOLOGIE LTD/NIGERIA</t>
        </is>
      </c>
      <c r="G3143" t="inlineStr">
        <is>
          <t>GVX</t>
        </is>
      </c>
      <c r="H3143" t="inlineStr">
        <is>
          <t>BYPASS</t>
        </is>
      </c>
      <c r="J3143" t="inlineStr">
        <is>
          <t>JAWORSKI</t>
        </is>
      </c>
      <c r="K3143" t="inlineStr">
        <is>
          <t>PLASTIQUE</t>
        </is>
      </c>
      <c r="L3143">
        <f>_xlfn.XLOOKUP(Tableau1[[#This Row],[TYPE DE PIECE]],Tableau4[MATIERE],Tableau4[SHORT TYPE],"",0,1)</f>
        <v/>
      </c>
      <c r="N3143">
        <f>IF(ISERR(FIND("DECOUPE",Tableau1[[#This Row],[DESIGNATION]])),"","NEED REF")</f>
        <v/>
      </c>
    </row>
    <row r="3144">
      <c r="B3144" t="n">
        <v>34410857</v>
      </c>
      <c r="C3144" s="2" t="n">
        <v>44748</v>
      </c>
      <c r="D3144" t="inlineStr">
        <is>
          <t>SPEC</t>
        </is>
      </c>
      <c r="E3144" t="inlineStr">
        <is>
          <t>PLA BRIDE RACCORDEMENT CLIENT</t>
        </is>
      </c>
      <c r="F3144" t="inlineStr">
        <is>
          <t>21 CENTURY TECHNOLOGIE LTD/NIGERIA</t>
        </is>
      </c>
      <c r="G3144" t="inlineStr">
        <is>
          <t>GVX</t>
        </is>
      </c>
      <c r="H3144" t="inlineStr">
        <is>
          <t>BYPASS</t>
        </is>
      </c>
      <c r="J3144" t="inlineStr">
        <is>
          <t>JAWORSKI</t>
        </is>
      </c>
      <c r="K3144" t="inlineStr">
        <is>
          <t>PLASTIQUE</t>
        </is>
      </c>
      <c r="L3144">
        <f>_xlfn.XLOOKUP(Tableau1[[#This Row],[TYPE DE PIECE]],Tableau4[MATIERE],Tableau4[SHORT TYPE],"",0,1)</f>
        <v/>
      </c>
      <c r="N3144">
        <f>IF(ISERR(FIND("DECOUPE",Tableau1[[#This Row],[DESIGNATION]])),"","NEED REF")</f>
        <v/>
      </c>
    </row>
    <row r="3145">
      <c r="B3145" t="n">
        <v>34410856</v>
      </c>
      <c r="C3145" s="2" t="n">
        <v>44748</v>
      </c>
      <c r="D3145" t="inlineStr">
        <is>
          <t>SPEC</t>
        </is>
      </c>
      <c r="E3145" t="inlineStr">
        <is>
          <t>COP CX OUTPUT / UOB AV _ 2</t>
        </is>
      </c>
      <c r="F3145" t="inlineStr">
        <is>
          <t>21 CENTURY TECHNOLOGIE LTD/NIGERIA</t>
        </is>
      </c>
      <c r="G3145" t="inlineStr">
        <is>
          <t>GVX</t>
        </is>
      </c>
      <c r="H3145" t="inlineStr">
        <is>
          <t>BYPASS</t>
        </is>
      </c>
      <c r="J3145" t="inlineStr">
        <is>
          <t>JAWORSKI</t>
        </is>
      </c>
      <c r="K3145" t="inlineStr">
        <is>
          <t>CUIVRE</t>
        </is>
      </c>
      <c r="L3145">
        <f>_xlfn.XLOOKUP(Tableau1[[#This Row],[TYPE DE PIECE]],Tableau4[MATIERE],Tableau4[SHORT TYPE],"",0,1)</f>
        <v/>
      </c>
      <c r="N3145">
        <f>IF(ISERR(FIND("DECOUPE",Tableau1[[#This Row],[DESIGNATION]])),"","NEED REF")</f>
        <v/>
      </c>
    </row>
    <row r="3146">
      <c r="B3146" t="n">
        <v>34410855</v>
      </c>
      <c r="C3146" s="2" t="n">
        <v>44748</v>
      </c>
      <c r="D3146" t="inlineStr">
        <is>
          <t>SPEC</t>
        </is>
      </c>
      <c r="E3146" t="inlineStr">
        <is>
          <t>COP CX OUTPUT / UOB AV</t>
        </is>
      </c>
      <c r="F3146" t="inlineStr">
        <is>
          <t>21 CENTURY TECHNOLOGIE LTD/NIGERIA</t>
        </is>
      </c>
      <c r="G3146" t="inlineStr">
        <is>
          <t>GVX</t>
        </is>
      </c>
      <c r="H3146" t="inlineStr">
        <is>
          <t>BYPASS</t>
        </is>
      </c>
      <c r="J3146" t="inlineStr">
        <is>
          <t>JAWORSKI</t>
        </is>
      </c>
      <c r="K3146" t="inlineStr">
        <is>
          <t>CUIVRE</t>
        </is>
      </c>
      <c r="L3146">
        <f>_xlfn.XLOOKUP(Tableau1[[#This Row],[TYPE DE PIECE]],Tableau4[MATIERE],Tableau4[SHORT TYPE],"",0,1)</f>
        <v/>
      </c>
      <c r="N3146">
        <f>IF(ISERR(FIND("DECOUPE",Tableau1[[#This Row],[DESIGNATION]])),"","NEED REF")</f>
        <v/>
      </c>
    </row>
    <row r="3147">
      <c r="B3147" t="n">
        <v>34410854</v>
      </c>
      <c r="C3147" s="2" t="n">
        <v>44748</v>
      </c>
      <c r="D3147" t="inlineStr">
        <is>
          <t>SPEC</t>
        </is>
      </c>
      <c r="E3147" t="inlineStr">
        <is>
          <t>COP CX MBB AM / CX INPUT _ L3 - 2</t>
        </is>
      </c>
      <c r="F3147" t="inlineStr">
        <is>
          <t>21 CENTURY TECHNOLOGIE LTD/NIGERIA</t>
        </is>
      </c>
      <c r="G3147" t="inlineStr">
        <is>
          <t>GVX</t>
        </is>
      </c>
      <c r="H3147" t="inlineStr">
        <is>
          <t>BYPASS</t>
        </is>
      </c>
      <c r="J3147" t="inlineStr">
        <is>
          <t>JAWORSKI</t>
        </is>
      </c>
      <c r="K3147" t="inlineStr">
        <is>
          <t>CUIVRE</t>
        </is>
      </c>
      <c r="L3147">
        <f>_xlfn.XLOOKUP(Tableau1[[#This Row],[TYPE DE PIECE]],Tableau4[MATIERE],Tableau4[SHORT TYPE],"",0,1)</f>
        <v/>
      </c>
      <c r="N3147">
        <f>IF(ISERR(FIND("DECOUPE",Tableau1[[#This Row],[DESIGNATION]])),"","NEED REF")</f>
        <v/>
      </c>
    </row>
    <row r="3148">
      <c r="B3148" t="n">
        <v>34410853</v>
      </c>
      <c r="C3148" s="2" t="n">
        <v>44748</v>
      </c>
      <c r="D3148" t="inlineStr">
        <is>
          <t>SPEC</t>
        </is>
      </c>
      <c r="E3148" t="inlineStr">
        <is>
          <t>COP CX MBB AM / CX INPUT _ L2 - 2</t>
        </is>
      </c>
      <c r="F3148" t="inlineStr">
        <is>
          <t>21 CENTURY TECHNOLOGIE LTD/NIGERIA</t>
        </is>
      </c>
      <c r="G3148" t="inlineStr">
        <is>
          <t>GVX</t>
        </is>
      </c>
      <c r="H3148" t="inlineStr">
        <is>
          <t>BYPASS</t>
        </is>
      </c>
      <c r="J3148" t="inlineStr">
        <is>
          <t>JAWORSKI</t>
        </is>
      </c>
      <c r="K3148" t="inlineStr">
        <is>
          <t>CUIVRE</t>
        </is>
      </c>
      <c r="L3148">
        <f>_xlfn.XLOOKUP(Tableau1[[#This Row],[TYPE DE PIECE]],Tableau4[MATIERE],Tableau4[SHORT TYPE],"",0,1)</f>
        <v/>
      </c>
      <c r="N3148">
        <f>IF(ISERR(FIND("DECOUPE",Tableau1[[#This Row],[DESIGNATION]])),"","NEED REF")</f>
        <v/>
      </c>
    </row>
    <row r="3149">
      <c r="B3149" t="n">
        <v>34410852</v>
      </c>
      <c r="C3149" s="2" t="n">
        <v>44748</v>
      </c>
      <c r="D3149" t="inlineStr">
        <is>
          <t>SPEC</t>
        </is>
      </c>
      <c r="E3149" t="inlineStr">
        <is>
          <t>COP CX MBB AM / CX INPUT _ L1 - 2</t>
        </is>
      </c>
      <c r="F3149" t="inlineStr">
        <is>
          <t>21 CENTURY TECHNOLOGIE LTD/NIGERIA</t>
        </is>
      </c>
      <c r="G3149" t="inlineStr">
        <is>
          <t>GVX</t>
        </is>
      </c>
      <c r="H3149" t="inlineStr">
        <is>
          <t>BYPASS</t>
        </is>
      </c>
      <c r="J3149" t="inlineStr">
        <is>
          <t>JAWORSKI</t>
        </is>
      </c>
      <c r="K3149" t="inlineStr">
        <is>
          <t>CUIVRE</t>
        </is>
      </c>
      <c r="L3149">
        <f>_xlfn.XLOOKUP(Tableau1[[#This Row],[TYPE DE PIECE]],Tableau4[MATIERE],Tableau4[SHORT TYPE],"",0,1)</f>
        <v/>
      </c>
      <c r="N3149">
        <f>IF(ISERR(FIND("DECOUPE",Tableau1[[#This Row],[DESIGNATION]])),"","NEED REF")</f>
        <v/>
      </c>
    </row>
    <row r="3150">
      <c r="B3150" t="n">
        <v>34410851</v>
      </c>
      <c r="C3150" s="2" t="n">
        <v>44748</v>
      </c>
      <c r="D3150" t="inlineStr">
        <is>
          <t>SPEC</t>
        </is>
      </c>
      <c r="E3150" t="inlineStr">
        <is>
          <t>COP CX MBB AM / CX INPUT _ N - 2</t>
        </is>
      </c>
      <c r="F3150" t="inlineStr">
        <is>
          <t>21 CENTURY TECHNOLOGIE LTD/NIGERIA</t>
        </is>
      </c>
      <c r="G3150" t="inlineStr">
        <is>
          <t>GVX</t>
        </is>
      </c>
      <c r="H3150" t="inlineStr">
        <is>
          <t>BYPASS</t>
        </is>
      </c>
      <c r="J3150" t="inlineStr">
        <is>
          <t>JAWORSKI</t>
        </is>
      </c>
      <c r="K3150" t="inlineStr">
        <is>
          <t>CUIVRE</t>
        </is>
      </c>
      <c r="L3150">
        <f>_xlfn.XLOOKUP(Tableau1[[#This Row],[TYPE DE PIECE]],Tableau4[MATIERE],Tableau4[SHORT TYPE],"",0,1)</f>
        <v/>
      </c>
      <c r="N3150">
        <f>IF(ISERR(FIND("DECOUPE",Tableau1[[#This Row],[DESIGNATION]])),"","NEED REF")</f>
        <v/>
      </c>
    </row>
    <row r="3151">
      <c r="B3151" t="n">
        <v>34410850</v>
      </c>
      <c r="C3151" s="2" t="n">
        <v>44748</v>
      </c>
      <c r="D3151" t="inlineStr">
        <is>
          <t>SPEC</t>
        </is>
      </c>
      <c r="E3151" t="inlineStr">
        <is>
          <t>COP CX UOB AM / UPS LOAD _ L3</t>
        </is>
      </c>
      <c r="F3151" t="inlineStr">
        <is>
          <t>21 CENTURY TECHNOLOGIE LTD/NIGERIA</t>
        </is>
      </c>
      <c r="G3151" t="inlineStr">
        <is>
          <t>GVX</t>
        </is>
      </c>
      <c r="H3151" t="inlineStr">
        <is>
          <t>BYPASS</t>
        </is>
      </c>
      <c r="J3151" t="inlineStr">
        <is>
          <t>JAWORSKI</t>
        </is>
      </c>
      <c r="K3151" t="inlineStr">
        <is>
          <t>CUIVRE</t>
        </is>
      </c>
      <c r="L3151">
        <f>_xlfn.XLOOKUP(Tableau1[[#This Row],[TYPE DE PIECE]],Tableau4[MATIERE],Tableau4[SHORT TYPE],"",0,1)</f>
        <v/>
      </c>
      <c r="N3151">
        <f>IF(ISERR(FIND("DECOUPE",Tableau1[[#This Row],[DESIGNATION]])),"","NEED REF")</f>
        <v/>
      </c>
    </row>
    <row r="3152">
      <c r="B3152" t="n">
        <v>34410849</v>
      </c>
      <c r="C3152" s="2" t="n">
        <v>44748</v>
      </c>
      <c r="D3152" t="inlineStr">
        <is>
          <t>SPEC</t>
        </is>
      </c>
      <c r="E3152" t="inlineStr">
        <is>
          <t>COP CX UOB AM / UPS LOAD _ L2</t>
        </is>
      </c>
      <c r="F3152" t="inlineStr">
        <is>
          <t>21 CENTURY TECHNOLOGIE LTD/NIGERIA</t>
        </is>
      </c>
      <c r="G3152" t="inlineStr">
        <is>
          <t>GVX</t>
        </is>
      </c>
      <c r="H3152" t="inlineStr">
        <is>
          <t>BYPASS</t>
        </is>
      </c>
      <c r="J3152" t="inlineStr">
        <is>
          <t>JAWORSKI</t>
        </is>
      </c>
      <c r="K3152" t="inlineStr">
        <is>
          <t>CUIVRE</t>
        </is>
      </c>
      <c r="L3152">
        <f>_xlfn.XLOOKUP(Tableau1[[#This Row],[TYPE DE PIECE]],Tableau4[MATIERE],Tableau4[SHORT TYPE],"",0,1)</f>
        <v/>
      </c>
      <c r="N3152">
        <f>IF(ISERR(FIND("DECOUPE",Tableau1[[#This Row],[DESIGNATION]])),"","NEED REF")</f>
        <v/>
      </c>
    </row>
    <row r="3153">
      <c r="B3153" t="n">
        <v>34410848</v>
      </c>
      <c r="C3153" s="2" t="n">
        <v>44748</v>
      </c>
      <c r="D3153" t="inlineStr">
        <is>
          <t>SPEC</t>
        </is>
      </c>
      <c r="E3153" t="inlineStr">
        <is>
          <t>COP CX UOB AM / UPS LOAD _ L1</t>
        </is>
      </c>
      <c r="F3153" t="inlineStr">
        <is>
          <t>21 CENTURY TECHNOLOGIE LTD/NIGERIA</t>
        </is>
      </c>
      <c r="G3153" t="inlineStr">
        <is>
          <t>GVX</t>
        </is>
      </c>
      <c r="H3153" t="inlineStr">
        <is>
          <t>BYPASS</t>
        </is>
      </c>
      <c r="J3153" t="inlineStr">
        <is>
          <t>JAWORSKI</t>
        </is>
      </c>
      <c r="K3153" t="inlineStr">
        <is>
          <t>CUIVRE</t>
        </is>
      </c>
      <c r="L3153">
        <f>_xlfn.XLOOKUP(Tableau1[[#This Row],[TYPE DE PIECE]],Tableau4[MATIERE],Tableau4[SHORT TYPE],"",0,1)</f>
        <v/>
      </c>
      <c r="N3153">
        <f>IF(ISERR(FIND("DECOUPE",Tableau1[[#This Row],[DESIGNATION]])),"","NEED REF")</f>
        <v/>
      </c>
    </row>
    <row r="3154">
      <c r="B3154" t="n">
        <v>34410847</v>
      </c>
      <c r="C3154" s="2" t="n">
        <v>44748</v>
      </c>
      <c r="D3154" t="inlineStr">
        <is>
          <t>SPEC</t>
        </is>
      </c>
      <c r="E3154" t="inlineStr">
        <is>
          <t>COP CX UOB AM / UPS LOAD _ N</t>
        </is>
      </c>
      <c r="F3154" t="inlineStr">
        <is>
          <t>21 CENTURY TECHNOLOGIE LTD/NIGERIA</t>
        </is>
      </c>
      <c r="G3154" t="inlineStr">
        <is>
          <t>GVX</t>
        </is>
      </c>
      <c r="H3154" t="inlineStr">
        <is>
          <t>BYPASS</t>
        </is>
      </c>
      <c r="J3154" t="inlineStr">
        <is>
          <t>JAWORSKI</t>
        </is>
      </c>
      <c r="K3154" t="inlineStr">
        <is>
          <t>CUIVRE</t>
        </is>
      </c>
      <c r="L3154">
        <f>_xlfn.XLOOKUP(Tableau1[[#This Row],[TYPE DE PIECE]],Tableau4[MATIERE],Tableau4[SHORT TYPE],"",0,1)</f>
        <v/>
      </c>
      <c r="N3154">
        <f>IF(ISERR(FIND("DECOUPE",Tableau1[[#This Row],[DESIGNATION]])),"","NEED REF")</f>
        <v/>
      </c>
    </row>
    <row r="3155">
      <c r="B3155" t="n">
        <v>34410846</v>
      </c>
      <c r="C3155" s="2" t="n">
        <v>44748</v>
      </c>
      <c r="D3155" t="inlineStr">
        <is>
          <t>SPEC</t>
        </is>
      </c>
      <c r="E3155" t="inlineStr">
        <is>
          <t>COP CX MBB AV / UOB AV _ L3</t>
        </is>
      </c>
      <c r="F3155" t="inlineStr">
        <is>
          <t>21 CENTURY TECHNOLOGIE LTD/NIGERIA</t>
        </is>
      </c>
      <c r="G3155" t="inlineStr">
        <is>
          <t>GVX</t>
        </is>
      </c>
      <c r="H3155" t="inlineStr">
        <is>
          <t>BYPASS</t>
        </is>
      </c>
      <c r="J3155" t="inlineStr">
        <is>
          <t>JAWORSKI</t>
        </is>
      </c>
      <c r="K3155" t="inlineStr">
        <is>
          <t>CUIVRE</t>
        </is>
      </c>
      <c r="L3155">
        <f>_xlfn.XLOOKUP(Tableau1[[#This Row],[TYPE DE PIECE]],Tableau4[MATIERE],Tableau4[SHORT TYPE],"",0,1)</f>
        <v/>
      </c>
      <c r="N3155">
        <f>IF(ISERR(FIND("DECOUPE",Tableau1[[#This Row],[DESIGNATION]])),"","NEED REF")</f>
        <v/>
      </c>
    </row>
    <row r="3156">
      <c r="B3156" t="n">
        <v>34410845</v>
      </c>
      <c r="C3156" s="2" t="n">
        <v>44748</v>
      </c>
      <c r="D3156" t="inlineStr">
        <is>
          <t>SPEC</t>
        </is>
      </c>
      <c r="E3156" t="inlineStr">
        <is>
          <t>COP CX MBB AV / UOB AV _ L2</t>
        </is>
      </c>
      <c r="F3156" t="inlineStr">
        <is>
          <t>21 CENTURY TECHNOLOGIE LTD/NIGERIA</t>
        </is>
      </c>
      <c r="G3156" t="inlineStr">
        <is>
          <t>GVX</t>
        </is>
      </c>
      <c r="H3156" t="inlineStr">
        <is>
          <t>BYPASS</t>
        </is>
      </c>
      <c r="J3156" t="inlineStr">
        <is>
          <t>JAWORSKI</t>
        </is>
      </c>
      <c r="K3156" t="inlineStr">
        <is>
          <t>CUIVRE</t>
        </is>
      </c>
      <c r="L3156">
        <f>_xlfn.XLOOKUP(Tableau1[[#This Row],[TYPE DE PIECE]],Tableau4[MATIERE],Tableau4[SHORT TYPE],"",0,1)</f>
        <v/>
      </c>
      <c r="N3156">
        <f>IF(ISERR(FIND("DECOUPE",Tableau1[[#This Row],[DESIGNATION]])),"","NEED REF")</f>
        <v/>
      </c>
    </row>
    <row r="3157">
      <c r="B3157" t="n">
        <v>34410844</v>
      </c>
      <c r="C3157" s="2" t="n">
        <v>44748</v>
      </c>
      <c r="D3157" t="inlineStr">
        <is>
          <t>SPEC</t>
        </is>
      </c>
      <c r="E3157" t="inlineStr">
        <is>
          <t>COP CX MBB AV / UOB AV _ L1</t>
        </is>
      </c>
      <c r="F3157" t="inlineStr">
        <is>
          <t>21 CENTURY TECHNOLOGIE LTD/NIGERIA</t>
        </is>
      </c>
      <c r="G3157" t="inlineStr">
        <is>
          <t>GVX</t>
        </is>
      </c>
      <c r="H3157" t="inlineStr">
        <is>
          <t>BYPASS</t>
        </is>
      </c>
      <c r="J3157" t="inlineStr">
        <is>
          <t>JAWORSKI</t>
        </is>
      </c>
      <c r="K3157" t="inlineStr">
        <is>
          <t>CUIVRE</t>
        </is>
      </c>
      <c r="L3157">
        <f>_xlfn.XLOOKUP(Tableau1[[#This Row],[TYPE DE PIECE]],Tableau4[MATIERE],Tableau4[SHORT TYPE],"",0,1)</f>
        <v/>
      </c>
      <c r="N3157">
        <f>IF(ISERR(FIND("DECOUPE",Tableau1[[#This Row],[DESIGNATION]])),"","NEED REF")</f>
        <v/>
      </c>
    </row>
    <row r="3158">
      <c r="B3158" t="n">
        <v>34410843</v>
      </c>
      <c r="C3158" s="2" t="n">
        <v>44748</v>
      </c>
      <c r="D3158" t="inlineStr">
        <is>
          <t>SPEC</t>
        </is>
      </c>
      <c r="E3158" t="inlineStr">
        <is>
          <t>COP CX MBB AV / UOB AV</t>
        </is>
      </c>
      <c r="F3158" t="inlineStr">
        <is>
          <t>21 CENTURY TECHNOLOGIE LTD/NIGERIA</t>
        </is>
      </c>
      <c r="G3158" t="inlineStr">
        <is>
          <t>GVX</t>
        </is>
      </c>
      <c r="H3158" t="inlineStr">
        <is>
          <t>BYPASS</t>
        </is>
      </c>
      <c r="J3158" t="inlineStr">
        <is>
          <t>JAWORSKI</t>
        </is>
      </c>
      <c r="K3158" t="inlineStr">
        <is>
          <t>CUIVRE</t>
        </is>
      </c>
      <c r="L3158">
        <f>_xlfn.XLOOKUP(Tableau1[[#This Row],[TYPE DE PIECE]],Tableau4[MATIERE],Tableau4[SHORT TYPE],"",0,1)</f>
        <v/>
      </c>
      <c r="N3158">
        <f>IF(ISERR(FIND("DECOUPE",Tableau1[[#This Row],[DESIGNATION]])),"","NEED REF")</f>
        <v/>
      </c>
    </row>
    <row r="3159">
      <c r="B3159" t="n">
        <v>34410842</v>
      </c>
      <c r="C3159" s="2" t="n">
        <v>44748</v>
      </c>
      <c r="D3159" t="inlineStr">
        <is>
          <t>SPEC</t>
        </is>
      </c>
      <c r="E3159" t="inlineStr">
        <is>
          <t>COP CX MBB AV / UOB AV _ L3 - 2</t>
        </is>
      </c>
      <c r="F3159" t="inlineStr">
        <is>
          <t>21 CENTURY TECHNOLOGIE LTD/NIGERIA</t>
        </is>
      </c>
      <c r="G3159" t="inlineStr">
        <is>
          <t>GVX</t>
        </is>
      </c>
      <c r="H3159" t="inlineStr">
        <is>
          <t>BYPASS</t>
        </is>
      </c>
      <c r="J3159" t="inlineStr">
        <is>
          <t>JAWORSKI</t>
        </is>
      </c>
      <c r="K3159" t="inlineStr">
        <is>
          <t>CUIVRE</t>
        </is>
      </c>
      <c r="L3159">
        <f>_xlfn.XLOOKUP(Tableau1[[#This Row],[TYPE DE PIECE]],Tableau4[MATIERE],Tableau4[SHORT TYPE],"",0,1)</f>
        <v/>
      </c>
      <c r="N3159">
        <f>IF(ISERR(FIND("DECOUPE",Tableau1[[#This Row],[DESIGNATION]])),"","NEED REF")</f>
        <v/>
      </c>
    </row>
    <row r="3160">
      <c r="B3160" t="n">
        <v>34410841</v>
      </c>
      <c r="C3160" s="2" t="n">
        <v>44748</v>
      </c>
      <c r="D3160" t="inlineStr">
        <is>
          <t>SPEC</t>
        </is>
      </c>
      <c r="E3160" t="inlineStr">
        <is>
          <t>COP CX MBB AV / UOB AV _ L3 -1</t>
        </is>
      </c>
      <c r="F3160" t="inlineStr">
        <is>
          <t>21 CENTURY TECHNOLOGIE LTD/NIGERIA</t>
        </is>
      </c>
      <c r="G3160" t="inlineStr">
        <is>
          <t>GVX</t>
        </is>
      </c>
      <c r="H3160" t="inlineStr">
        <is>
          <t>BYPASS</t>
        </is>
      </c>
      <c r="J3160" t="inlineStr">
        <is>
          <t>JAWORSKI</t>
        </is>
      </c>
      <c r="K3160" t="inlineStr">
        <is>
          <t>CUIVRE</t>
        </is>
      </c>
      <c r="L3160">
        <f>_xlfn.XLOOKUP(Tableau1[[#This Row],[TYPE DE PIECE]],Tableau4[MATIERE],Tableau4[SHORT TYPE],"",0,1)</f>
        <v/>
      </c>
      <c r="N3160">
        <f>IF(ISERR(FIND("DECOUPE",Tableau1[[#This Row],[DESIGNATION]])),"","NEED REF")</f>
        <v/>
      </c>
    </row>
    <row r="3161">
      <c r="B3161" t="n">
        <v>34410840</v>
      </c>
      <c r="C3161" s="2" t="n">
        <v>44748</v>
      </c>
      <c r="D3161" t="inlineStr">
        <is>
          <t>SPEC</t>
        </is>
      </c>
      <c r="E3161" t="inlineStr">
        <is>
          <t>COP CX MBB AV / UOB AV _ L2 - 2</t>
        </is>
      </c>
      <c r="F3161" t="inlineStr">
        <is>
          <t>21 CENTURY TECHNOLOGIE LTD/NIGERIA</t>
        </is>
      </c>
      <c r="G3161" t="inlineStr">
        <is>
          <t>GVX</t>
        </is>
      </c>
      <c r="H3161" t="inlineStr">
        <is>
          <t>BYPASS</t>
        </is>
      </c>
      <c r="J3161" t="inlineStr">
        <is>
          <t>JAWORSKI</t>
        </is>
      </c>
      <c r="K3161" t="inlineStr">
        <is>
          <t>CUIVRE</t>
        </is>
      </c>
      <c r="L3161">
        <f>_xlfn.XLOOKUP(Tableau1[[#This Row],[TYPE DE PIECE]],Tableau4[MATIERE],Tableau4[SHORT TYPE],"",0,1)</f>
        <v/>
      </c>
      <c r="N3161">
        <f>IF(ISERR(FIND("DECOUPE",Tableau1[[#This Row],[DESIGNATION]])),"","NEED REF")</f>
        <v/>
      </c>
    </row>
    <row r="3162">
      <c r="B3162" t="n">
        <v>34410839</v>
      </c>
      <c r="C3162" s="2" t="n">
        <v>44748</v>
      </c>
      <c r="D3162" t="inlineStr">
        <is>
          <t>SPEC</t>
        </is>
      </c>
      <c r="E3162" t="inlineStr">
        <is>
          <t>COP CX MBB AV / UOB AV _ L2 -1</t>
        </is>
      </c>
      <c r="F3162" t="inlineStr">
        <is>
          <t>21 CENTURY TECHNOLOGIE LTD/NIGERIA</t>
        </is>
      </c>
      <c r="G3162" t="inlineStr">
        <is>
          <t>GVX</t>
        </is>
      </c>
      <c r="H3162" t="inlineStr">
        <is>
          <t>BYPASS</t>
        </is>
      </c>
      <c r="J3162" t="inlineStr">
        <is>
          <t>JAWORSKI</t>
        </is>
      </c>
      <c r="K3162" t="inlineStr">
        <is>
          <t>CUIVRE</t>
        </is>
      </c>
      <c r="L3162">
        <f>_xlfn.XLOOKUP(Tableau1[[#This Row],[TYPE DE PIECE]],Tableau4[MATIERE],Tableau4[SHORT TYPE],"",0,1)</f>
        <v/>
      </c>
      <c r="N3162">
        <f>IF(ISERR(FIND("DECOUPE",Tableau1[[#This Row],[DESIGNATION]])),"","NEED REF")</f>
        <v/>
      </c>
    </row>
    <row r="3163">
      <c r="B3163" t="n">
        <v>34410838</v>
      </c>
      <c r="C3163" s="2" t="n">
        <v>44748</v>
      </c>
      <c r="D3163" t="inlineStr">
        <is>
          <t>SPEC</t>
        </is>
      </c>
      <c r="E3163" t="inlineStr">
        <is>
          <t>COP CX MBB AV / UOB AV _ L1 - 2</t>
        </is>
      </c>
      <c r="F3163" t="inlineStr">
        <is>
          <t>21 CENTURY TECHNOLOGIE LTD/NIGERIA</t>
        </is>
      </c>
      <c r="G3163" t="inlineStr">
        <is>
          <t>GVX</t>
        </is>
      </c>
      <c r="H3163" t="inlineStr">
        <is>
          <t>BYPASS</t>
        </is>
      </c>
      <c r="J3163" t="inlineStr">
        <is>
          <t>JAWORSKI</t>
        </is>
      </c>
      <c r="K3163" t="inlineStr">
        <is>
          <t>CUIVRE</t>
        </is>
      </c>
      <c r="L3163">
        <f>_xlfn.XLOOKUP(Tableau1[[#This Row],[TYPE DE PIECE]],Tableau4[MATIERE],Tableau4[SHORT TYPE],"",0,1)</f>
        <v/>
      </c>
      <c r="N3163">
        <f>IF(ISERR(FIND("DECOUPE",Tableau1[[#This Row],[DESIGNATION]])),"","NEED REF")</f>
        <v/>
      </c>
    </row>
    <row r="3164">
      <c r="B3164" t="n">
        <v>34410837</v>
      </c>
      <c r="C3164" s="2" t="n">
        <v>44748</v>
      </c>
      <c r="D3164" t="inlineStr">
        <is>
          <t>SPEC</t>
        </is>
      </c>
      <c r="E3164" t="inlineStr">
        <is>
          <t>COP CX MBB AV / UOB AV _ L1 - 1</t>
        </is>
      </c>
      <c r="F3164" t="inlineStr">
        <is>
          <t>21 CENTURY TECHNOLOGIE LTD/NIGERIA</t>
        </is>
      </c>
      <c r="G3164" t="inlineStr">
        <is>
          <t>GVX</t>
        </is>
      </c>
      <c r="H3164" t="inlineStr">
        <is>
          <t>BYPASS</t>
        </is>
      </c>
      <c r="J3164" t="inlineStr">
        <is>
          <t>JAWORSKI</t>
        </is>
      </c>
      <c r="K3164" t="inlineStr">
        <is>
          <t>CUIVRE</t>
        </is>
      </c>
      <c r="L3164">
        <f>_xlfn.XLOOKUP(Tableau1[[#This Row],[TYPE DE PIECE]],Tableau4[MATIERE],Tableau4[SHORT TYPE],"",0,1)</f>
        <v/>
      </c>
      <c r="N3164">
        <f>IF(ISERR(FIND("DECOUPE",Tableau1[[#This Row],[DESIGNATION]])),"","NEED REF")</f>
        <v/>
      </c>
    </row>
    <row r="3165">
      <c r="B3165" t="n">
        <v>34410836</v>
      </c>
      <c r="C3165" s="2" t="n">
        <v>44748</v>
      </c>
      <c r="D3165" t="inlineStr">
        <is>
          <t>SPEC</t>
        </is>
      </c>
      <c r="E3165" t="inlineStr">
        <is>
          <t>COP CX MBB AV / UOB AV _ N - 2</t>
        </is>
      </c>
      <c r="F3165" t="inlineStr">
        <is>
          <t>21 CENTURY TECHNOLOGIE LTD/NIGERIA</t>
        </is>
      </c>
      <c r="G3165" t="inlineStr">
        <is>
          <t>GVX</t>
        </is>
      </c>
      <c r="H3165" t="inlineStr">
        <is>
          <t>BYPASS</t>
        </is>
      </c>
      <c r="J3165" t="inlineStr">
        <is>
          <t>JAWORSKI</t>
        </is>
      </c>
      <c r="K3165" t="inlineStr">
        <is>
          <t>CUIVRE</t>
        </is>
      </c>
      <c r="L3165">
        <f>_xlfn.XLOOKUP(Tableau1[[#This Row],[TYPE DE PIECE]],Tableau4[MATIERE],Tableau4[SHORT TYPE],"",0,1)</f>
        <v/>
      </c>
      <c r="N3165">
        <f>IF(ISERR(FIND("DECOUPE",Tableau1[[#This Row],[DESIGNATION]])),"","NEED REF")</f>
        <v/>
      </c>
    </row>
    <row r="3166">
      <c r="B3166" t="n">
        <v>34410835</v>
      </c>
      <c r="C3166" s="2" t="n">
        <v>44748</v>
      </c>
      <c r="D3166" t="inlineStr">
        <is>
          <t>SPEC</t>
        </is>
      </c>
      <c r="E3166" t="inlineStr">
        <is>
          <t>COP CX MBB AV / UOB AV _ N - 1</t>
        </is>
      </c>
      <c r="F3166" t="inlineStr">
        <is>
          <t>21 CENTURY TECHNOLOGIE LTD/NIGERIA</t>
        </is>
      </c>
      <c r="G3166" t="inlineStr">
        <is>
          <t>GVX</t>
        </is>
      </c>
      <c r="H3166" t="inlineStr">
        <is>
          <t>BYPASS</t>
        </is>
      </c>
      <c r="J3166" t="inlineStr">
        <is>
          <t>JAWORSKI</t>
        </is>
      </c>
      <c r="K3166" t="inlineStr">
        <is>
          <t>CUIVRE</t>
        </is>
      </c>
      <c r="L3166">
        <f>_xlfn.XLOOKUP(Tableau1[[#This Row],[TYPE DE PIECE]],Tableau4[MATIERE],Tableau4[SHORT TYPE],"",0,1)</f>
        <v/>
      </c>
      <c r="N3166">
        <f>IF(ISERR(FIND("DECOUPE",Tableau1[[#This Row],[DESIGNATION]])),"","NEED REF")</f>
        <v/>
      </c>
    </row>
    <row r="3167">
      <c r="B3167" t="n">
        <v>34410834</v>
      </c>
      <c r="C3167" s="2" t="n">
        <v>44748</v>
      </c>
      <c r="D3167" t="inlineStr">
        <is>
          <t>SPEC</t>
        </is>
      </c>
      <c r="E3167" t="inlineStr">
        <is>
          <t>COP CX MBB / UOB</t>
        </is>
      </c>
      <c r="F3167" t="inlineStr">
        <is>
          <t>21 CENTURY TECHNOLOGIE LTD/NIGERIA</t>
        </is>
      </c>
      <c r="G3167" t="inlineStr">
        <is>
          <t>GVX</t>
        </is>
      </c>
      <c r="H3167" t="inlineStr">
        <is>
          <t>BYPASS</t>
        </is>
      </c>
      <c r="J3167" t="inlineStr">
        <is>
          <t>JAWORSKI</t>
        </is>
      </c>
      <c r="K3167" t="inlineStr">
        <is>
          <t>CUIVRE</t>
        </is>
      </c>
      <c r="L3167">
        <f>_xlfn.XLOOKUP(Tableau1[[#This Row],[TYPE DE PIECE]],Tableau4[MATIERE],Tableau4[SHORT TYPE],"",0,1)</f>
        <v/>
      </c>
      <c r="N3167">
        <f>IF(ISERR(FIND("DECOUPE",Tableau1[[#This Row],[DESIGNATION]])),"","NEED REF")</f>
        <v/>
      </c>
    </row>
    <row r="3168">
      <c r="B3168" t="n">
        <v>34410833</v>
      </c>
      <c r="C3168" s="2" t="n">
        <v>44748</v>
      </c>
      <c r="D3168" t="inlineStr">
        <is>
          <t>SPEC</t>
        </is>
      </c>
      <c r="E3168" t="inlineStr">
        <is>
          <t>COP CX MBB / UOB</t>
        </is>
      </c>
      <c r="F3168" t="inlineStr">
        <is>
          <t>21 CENTURY TECHNOLOGIE LTD/NIGERIA</t>
        </is>
      </c>
      <c r="G3168" t="inlineStr">
        <is>
          <t>GVX</t>
        </is>
      </c>
      <c r="H3168" t="inlineStr">
        <is>
          <t>BYPASS</t>
        </is>
      </c>
      <c r="J3168" t="inlineStr">
        <is>
          <t>JAWORSKI</t>
        </is>
      </c>
      <c r="K3168" t="inlineStr">
        <is>
          <t>CUIVRE</t>
        </is>
      </c>
      <c r="L3168">
        <f>_xlfn.XLOOKUP(Tableau1[[#This Row],[TYPE DE PIECE]],Tableau4[MATIERE],Tableau4[SHORT TYPE],"",0,1)</f>
        <v/>
      </c>
      <c r="N3168">
        <f>IF(ISERR(FIND("DECOUPE",Tableau1[[#This Row],[DESIGNATION]])),"","NEED REF")</f>
        <v/>
      </c>
    </row>
    <row r="3169">
      <c r="B3169" t="n">
        <v>34410832</v>
      </c>
      <c r="C3169" s="2" t="n">
        <v>44748</v>
      </c>
      <c r="D3169" t="inlineStr">
        <is>
          <t>SPEC</t>
        </is>
      </c>
      <c r="E3169" t="inlineStr">
        <is>
          <t>COP CX MBB-OUTPUT 2 - L3</t>
        </is>
      </c>
      <c r="F3169" t="inlineStr">
        <is>
          <t>21 CENTURY TECHNOLOGIE LTD/NIGERIA</t>
        </is>
      </c>
      <c r="G3169" t="inlineStr">
        <is>
          <t>GVX</t>
        </is>
      </c>
      <c r="H3169" t="inlineStr">
        <is>
          <t>BYPASS</t>
        </is>
      </c>
      <c r="J3169" t="inlineStr">
        <is>
          <t>JAWORSKI</t>
        </is>
      </c>
      <c r="K3169" t="inlineStr">
        <is>
          <t>CUIVRE</t>
        </is>
      </c>
      <c r="L3169">
        <f>_xlfn.XLOOKUP(Tableau1[[#This Row],[TYPE DE PIECE]],Tableau4[MATIERE],Tableau4[SHORT TYPE],"",0,1)</f>
        <v/>
      </c>
      <c r="N3169">
        <f>IF(ISERR(FIND("DECOUPE",Tableau1[[#This Row],[DESIGNATION]])),"","NEED REF")</f>
        <v/>
      </c>
    </row>
    <row r="3170">
      <c r="B3170" t="n">
        <v>34410831</v>
      </c>
      <c r="C3170" s="2" t="n">
        <v>44748</v>
      </c>
      <c r="D3170" t="inlineStr">
        <is>
          <t>SPEC</t>
        </is>
      </c>
      <c r="E3170" t="inlineStr">
        <is>
          <t>COP CX MBB-OUTPUT 2 - L2</t>
        </is>
      </c>
      <c r="F3170" t="inlineStr">
        <is>
          <t>21 CENTURY TECHNOLOGIE LTD/NIGERIA</t>
        </is>
      </c>
      <c r="G3170" t="inlineStr">
        <is>
          <t>GVX</t>
        </is>
      </c>
      <c r="H3170" t="inlineStr">
        <is>
          <t>BYPASS</t>
        </is>
      </c>
      <c r="J3170" t="inlineStr">
        <is>
          <t>JAWORSKI</t>
        </is>
      </c>
      <c r="K3170" t="inlineStr">
        <is>
          <t>CUIVRE</t>
        </is>
      </c>
      <c r="L3170">
        <f>_xlfn.XLOOKUP(Tableau1[[#This Row],[TYPE DE PIECE]],Tableau4[MATIERE],Tableau4[SHORT TYPE],"",0,1)</f>
        <v/>
      </c>
      <c r="N3170">
        <f>IF(ISERR(FIND("DECOUPE",Tableau1[[#This Row],[DESIGNATION]])),"","NEED REF")</f>
        <v/>
      </c>
    </row>
    <row r="3171">
      <c r="B3171" t="n">
        <v>34410830</v>
      </c>
      <c r="C3171" s="2" t="n">
        <v>44748</v>
      </c>
      <c r="D3171" t="inlineStr">
        <is>
          <t>SPEC</t>
        </is>
      </c>
      <c r="E3171" t="inlineStr">
        <is>
          <t>COP CX MBB-OUTPUT 2 - L1</t>
        </is>
      </c>
      <c r="F3171" t="inlineStr">
        <is>
          <t>21 CENTURY TECHNOLOGIE LTD/NIGERIA</t>
        </is>
      </c>
      <c r="G3171" t="inlineStr">
        <is>
          <t>GVX</t>
        </is>
      </c>
      <c r="H3171" t="inlineStr">
        <is>
          <t>BYPASS</t>
        </is>
      </c>
      <c r="J3171" t="inlineStr">
        <is>
          <t>JAWORSKI</t>
        </is>
      </c>
      <c r="K3171" t="inlineStr">
        <is>
          <t>CUIVRE</t>
        </is>
      </c>
      <c r="L3171">
        <f>_xlfn.XLOOKUP(Tableau1[[#This Row],[TYPE DE PIECE]],Tableau4[MATIERE],Tableau4[SHORT TYPE],"",0,1)</f>
        <v/>
      </c>
      <c r="N3171">
        <f>IF(ISERR(FIND("DECOUPE",Tableau1[[#This Row],[DESIGNATION]])),"","NEED REF")</f>
        <v/>
      </c>
    </row>
    <row r="3172">
      <c r="B3172" t="n">
        <v>34410829</v>
      </c>
      <c r="C3172" s="2" t="n">
        <v>44748</v>
      </c>
      <c r="D3172" t="inlineStr">
        <is>
          <t>SPEC</t>
        </is>
      </c>
      <c r="E3172" t="inlineStr">
        <is>
          <t>COP CX MBB OUTPUT 3 - L3</t>
        </is>
      </c>
      <c r="F3172" t="inlineStr">
        <is>
          <t>21 CENTURY TECHNOLOGIE LTD/NIGERIA</t>
        </is>
      </c>
      <c r="G3172" t="inlineStr">
        <is>
          <t>GVX</t>
        </is>
      </c>
      <c r="H3172" t="inlineStr">
        <is>
          <t>BYPASS</t>
        </is>
      </c>
      <c r="J3172" t="inlineStr">
        <is>
          <t>JAWORSKI</t>
        </is>
      </c>
      <c r="K3172" t="inlineStr">
        <is>
          <t>CUIVRE</t>
        </is>
      </c>
      <c r="L3172">
        <f>_xlfn.XLOOKUP(Tableau1[[#This Row],[TYPE DE PIECE]],Tableau4[MATIERE],Tableau4[SHORT TYPE],"",0,1)</f>
        <v/>
      </c>
      <c r="N3172">
        <f>IF(ISERR(FIND("DECOUPE",Tableau1[[#This Row],[DESIGNATION]])),"","NEED REF")</f>
        <v/>
      </c>
    </row>
    <row r="3173">
      <c r="B3173" t="n">
        <v>34410828</v>
      </c>
      <c r="C3173" s="2" t="n">
        <v>44748</v>
      </c>
      <c r="D3173" t="inlineStr">
        <is>
          <t>SPEC</t>
        </is>
      </c>
      <c r="E3173" t="inlineStr">
        <is>
          <t>COP CX MBB OUTPUT 1 - L3</t>
        </is>
      </c>
      <c r="F3173" t="inlineStr">
        <is>
          <t>21 CENTURY TECHNOLOGIE LTD/NIGERIA</t>
        </is>
      </c>
      <c r="G3173" t="inlineStr">
        <is>
          <t>GVX</t>
        </is>
      </c>
      <c r="H3173" t="inlineStr">
        <is>
          <t>BYPASS</t>
        </is>
      </c>
      <c r="J3173" t="inlineStr">
        <is>
          <t>JAWORSKI</t>
        </is>
      </c>
      <c r="K3173" t="inlineStr">
        <is>
          <t>CUIVRE</t>
        </is>
      </c>
      <c r="L3173">
        <f>_xlfn.XLOOKUP(Tableau1[[#This Row],[TYPE DE PIECE]],Tableau4[MATIERE],Tableau4[SHORT TYPE],"",0,1)</f>
        <v/>
      </c>
      <c r="N3173">
        <f>IF(ISERR(FIND("DECOUPE",Tableau1[[#This Row],[DESIGNATION]])),"","NEED REF")</f>
        <v/>
      </c>
    </row>
    <row r="3174">
      <c r="B3174" t="n">
        <v>34410827</v>
      </c>
      <c r="C3174" s="2" t="n">
        <v>44748</v>
      </c>
      <c r="D3174" t="inlineStr">
        <is>
          <t>SPEC</t>
        </is>
      </c>
      <c r="E3174" t="inlineStr">
        <is>
          <t>COP CX MBB OUTPUT 3 - L2</t>
        </is>
      </c>
      <c r="F3174" t="inlineStr">
        <is>
          <t>21 CENTURY TECHNOLOGIE LTD/NIGERIA</t>
        </is>
      </c>
      <c r="G3174" t="inlineStr">
        <is>
          <t>GVX</t>
        </is>
      </c>
      <c r="H3174" t="inlineStr">
        <is>
          <t>BYPASS</t>
        </is>
      </c>
      <c r="J3174" t="inlineStr">
        <is>
          <t>JAWORSKI</t>
        </is>
      </c>
      <c r="K3174" t="inlineStr">
        <is>
          <t>CUIVRE</t>
        </is>
      </c>
      <c r="L3174">
        <f>_xlfn.XLOOKUP(Tableau1[[#This Row],[TYPE DE PIECE]],Tableau4[MATIERE],Tableau4[SHORT TYPE],"",0,1)</f>
        <v/>
      </c>
      <c r="N3174">
        <f>IF(ISERR(FIND("DECOUPE",Tableau1[[#This Row],[DESIGNATION]])),"","NEED REF")</f>
        <v/>
      </c>
    </row>
    <row r="3175">
      <c r="B3175" t="n">
        <v>34410826</v>
      </c>
      <c r="C3175" s="2" t="n">
        <v>44748</v>
      </c>
      <c r="D3175" t="inlineStr">
        <is>
          <t>SPEC</t>
        </is>
      </c>
      <c r="E3175" t="inlineStr">
        <is>
          <t>COP CX MBB OUTPUT 1 - L2</t>
        </is>
      </c>
      <c r="F3175" t="inlineStr">
        <is>
          <t>21 CENTURY TECHNOLOGIE LTD/NIGERIA</t>
        </is>
      </c>
      <c r="G3175" t="inlineStr">
        <is>
          <t>GVX</t>
        </is>
      </c>
      <c r="H3175" t="inlineStr">
        <is>
          <t>BYPASS</t>
        </is>
      </c>
      <c r="J3175" t="inlineStr">
        <is>
          <t>JAWORSKI</t>
        </is>
      </c>
      <c r="K3175" t="inlineStr">
        <is>
          <t>CUIVRE</t>
        </is>
      </c>
      <c r="L3175">
        <f>_xlfn.XLOOKUP(Tableau1[[#This Row],[TYPE DE PIECE]],Tableau4[MATIERE],Tableau4[SHORT TYPE],"",0,1)</f>
        <v/>
      </c>
      <c r="N3175">
        <f>IF(ISERR(FIND("DECOUPE",Tableau1[[#This Row],[DESIGNATION]])),"","NEED REF")</f>
        <v/>
      </c>
    </row>
    <row r="3176">
      <c r="B3176" t="n">
        <v>34410825</v>
      </c>
      <c r="C3176" s="2" t="n">
        <v>44748</v>
      </c>
      <c r="D3176" t="inlineStr">
        <is>
          <t>SPEC</t>
        </is>
      </c>
      <c r="E3176" t="inlineStr">
        <is>
          <t>COP CX MBB OUTPUT 3 - L1</t>
        </is>
      </c>
      <c r="F3176" t="inlineStr">
        <is>
          <t>21 CENTURY TECHNOLOGIE LTD/NIGERIA</t>
        </is>
      </c>
      <c r="G3176" t="inlineStr">
        <is>
          <t>GVX</t>
        </is>
      </c>
      <c r="H3176" t="inlineStr">
        <is>
          <t>BYPASS</t>
        </is>
      </c>
      <c r="J3176" t="inlineStr">
        <is>
          <t>JAWORSKI</t>
        </is>
      </c>
      <c r="K3176" t="inlineStr">
        <is>
          <t>CUIVRE</t>
        </is>
      </c>
      <c r="L3176">
        <f>_xlfn.XLOOKUP(Tableau1[[#This Row],[TYPE DE PIECE]],Tableau4[MATIERE],Tableau4[SHORT TYPE],"",0,1)</f>
        <v/>
      </c>
      <c r="N3176">
        <f>IF(ISERR(FIND("DECOUPE",Tableau1[[#This Row],[DESIGNATION]])),"","NEED REF")</f>
        <v/>
      </c>
    </row>
    <row r="3177">
      <c r="B3177" t="n">
        <v>34410824</v>
      </c>
      <c r="C3177" s="2" t="n">
        <v>44748</v>
      </c>
      <c r="D3177" t="inlineStr">
        <is>
          <t>SPEC</t>
        </is>
      </c>
      <c r="E3177" t="inlineStr">
        <is>
          <t>COP CX MBB OUTPUT 1 - L1</t>
        </is>
      </c>
      <c r="F3177" t="inlineStr">
        <is>
          <t>21 CENTURY TECHNOLOGIE LTD/NIGERIA</t>
        </is>
      </c>
      <c r="G3177" t="inlineStr">
        <is>
          <t>GVX</t>
        </is>
      </c>
      <c r="H3177" t="inlineStr">
        <is>
          <t>BYPASS</t>
        </is>
      </c>
      <c r="J3177" t="inlineStr">
        <is>
          <t>JAWORSKI</t>
        </is>
      </c>
      <c r="K3177" t="inlineStr">
        <is>
          <t>CUIVRE</t>
        </is>
      </c>
      <c r="L3177">
        <f>_xlfn.XLOOKUP(Tableau1[[#This Row],[TYPE DE PIECE]],Tableau4[MATIERE],Tableau4[SHORT TYPE],"",0,1)</f>
        <v/>
      </c>
      <c r="N3177">
        <f>IF(ISERR(FIND("DECOUPE",Tableau1[[#This Row],[DESIGNATION]])),"","NEED REF")</f>
        <v/>
      </c>
    </row>
    <row r="3178">
      <c r="B3178" t="n">
        <v>34410823</v>
      </c>
      <c r="C3178" s="2" t="n">
        <v>44748</v>
      </c>
      <c r="D3178" t="inlineStr">
        <is>
          <t>SPEC</t>
        </is>
      </c>
      <c r="E3178" t="inlineStr">
        <is>
          <t>COP CX MBB INPUT 3 - L3</t>
        </is>
      </c>
      <c r="F3178" t="inlineStr">
        <is>
          <t>21 CENTURY TECHNOLOGIE LTD/NIGERIA</t>
        </is>
      </c>
      <c r="G3178" t="inlineStr">
        <is>
          <t>GVX</t>
        </is>
      </c>
      <c r="H3178" t="inlineStr">
        <is>
          <t>BYPASS</t>
        </is>
      </c>
      <c r="J3178" t="inlineStr">
        <is>
          <t>JAWORSKI</t>
        </is>
      </c>
      <c r="K3178" t="inlineStr">
        <is>
          <t>CUIVRE</t>
        </is>
      </c>
      <c r="L3178">
        <f>_xlfn.XLOOKUP(Tableau1[[#This Row],[TYPE DE PIECE]],Tableau4[MATIERE],Tableau4[SHORT TYPE],"",0,1)</f>
        <v/>
      </c>
      <c r="N3178">
        <f>IF(ISERR(FIND("DECOUPE",Tableau1[[#This Row],[DESIGNATION]])),"","NEED REF")</f>
        <v/>
      </c>
    </row>
    <row r="3179">
      <c r="B3179" t="n">
        <v>34410822</v>
      </c>
      <c r="C3179" s="2" t="n">
        <v>44748</v>
      </c>
      <c r="D3179" t="inlineStr">
        <is>
          <t>SPEC</t>
        </is>
      </c>
      <c r="E3179" t="inlineStr">
        <is>
          <t>COP CX MBB INPUT 2 - L3</t>
        </is>
      </c>
      <c r="F3179" t="inlineStr">
        <is>
          <t>21 CENTURY TECHNOLOGIE LTD/NIGERIA</t>
        </is>
      </c>
      <c r="G3179" t="inlineStr">
        <is>
          <t>GVX</t>
        </is>
      </c>
      <c r="H3179" t="inlineStr">
        <is>
          <t>BYPASS</t>
        </is>
      </c>
      <c r="J3179" t="inlineStr">
        <is>
          <t>JAWORSKI</t>
        </is>
      </c>
      <c r="K3179" t="inlineStr">
        <is>
          <t>CUIVRE</t>
        </is>
      </c>
      <c r="L3179">
        <f>_xlfn.XLOOKUP(Tableau1[[#This Row],[TYPE DE PIECE]],Tableau4[MATIERE],Tableau4[SHORT TYPE],"",0,1)</f>
        <v/>
      </c>
      <c r="N3179">
        <f>IF(ISERR(FIND("DECOUPE",Tableau1[[#This Row],[DESIGNATION]])),"","NEED REF")</f>
        <v/>
      </c>
    </row>
    <row r="3180">
      <c r="B3180" t="n">
        <v>34410821</v>
      </c>
      <c r="C3180" s="2" t="n">
        <v>44748</v>
      </c>
      <c r="D3180" t="inlineStr">
        <is>
          <t>SPEC</t>
        </is>
      </c>
      <c r="E3180" t="inlineStr">
        <is>
          <t>COP CX MBB INPUT 1 - L3</t>
        </is>
      </c>
      <c r="F3180" t="inlineStr">
        <is>
          <t>21 CENTURY TECHNOLOGIE LTD/NIGERIA</t>
        </is>
      </c>
      <c r="G3180" t="inlineStr">
        <is>
          <t>GVX</t>
        </is>
      </c>
      <c r="H3180" t="inlineStr">
        <is>
          <t>BYPASS</t>
        </is>
      </c>
      <c r="J3180" t="inlineStr">
        <is>
          <t>JAWORSKI</t>
        </is>
      </c>
      <c r="K3180" t="inlineStr">
        <is>
          <t>CUIVRE</t>
        </is>
      </c>
      <c r="L3180">
        <f>_xlfn.XLOOKUP(Tableau1[[#This Row],[TYPE DE PIECE]],Tableau4[MATIERE],Tableau4[SHORT TYPE],"",0,1)</f>
        <v/>
      </c>
      <c r="N3180">
        <f>IF(ISERR(FIND("DECOUPE",Tableau1[[#This Row],[DESIGNATION]])),"","NEED REF")</f>
        <v/>
      </c>
    </row>
    <row r="3181">
      <c r="B3181" t="n">
        <v>34410820</v>
      </c>
      <c r="C3181" s="2" t="n">
        <v>44748</v>
      </c>
      <c r="D3181" t="inlineStr">
        <is>
          <t>SPEC</t>
        </is>
      </c>
      <c r="E3181" t="inlineStr">
        <is>
          <t>COP CX MBB INPUT 3 - L2</t>
        </is>
      </c>
      <c r="F3181" t="inlineStr">
        <is>
          <t>21 CENTURY TECHNOLOGIE LTD/NIGERIA</t>
        </is>
      </c>
      <c r="G3181" t="inlineStr">
        <is>
          <t>GVX</t>
        </is>
      </c>
      <c r="H3181" t="inlineStr">
        <is>
          <t>BYPASS</t>
        </is>
      </c>
      <c r="J3181" t="inlineStr">
        <is>
          <t>JAWORSKI</t>
        </is>
      </c>
      <c r="K3181" t="inlineStr">
        <is>
          <t>CUIVRE</t>
        </is>
      </c>
      <c r="L3181">
        <f>_xlfn.XLOOKUP(Tableau1[[#This Row],[TYPE DE PIECE]],Tableau4[MATIERE],Tableau4[SHORT TYPE],"",0,1)</f>
        <v/>
      </c>
      <c r="N3181">
        <f>IF(ISERR(FIND("DECOUPE",Tableau1[[#This Row],[DESIGNATION]])),"","NEED REF")</f>
        <v/>
      </c>
    </row>
    <row r="3182">
      <c r="B3182" t="n">
        <v>34410819</v>
      </c>
      <c r="C3182" s="2" t="n">
        <v>44748</v>
      </c>
      <c r="D3182" t="inlineStr">
        <is>
          <t>SPEC</t>
        </is>
      </c>
      <c r="E3182" t="inlineStr">
        <is>
          <t>COP CX MBB INPUT 2 - L2</t>
        </is>
      </c>
      <c r="F3182" t="inlineStr">
        <is>
          <t>21 CENTURY TECHNOLOGIE LTD/NIGERIA</t>
        </is>
      </c>
      <c r="G3182" t="inlineStr">
        <is>
          <t>GVX</t>
        </is>
      </c>
      <c r="H3182" t="inlineStr">
        <is>
          <t>BYPASS</t>
        </is>
      </c>
      <c r="J3182" t="inlineStr">
        <is>
          <t>JAWORSKI</t>
        </is>
      </c>
      <c r="K3182" t="inlineStr">
        <is>
          <t>CUIVRE</t>
        </is>
      </c>
      <c r="L3182">
        <f>_xlfn.XLOOKUP(Tableau1[[#This Row],[TYPE DE PIECE]],Tableau4[MATIERE],Tableau4[SHORT TYPE],"",0,1)</f>
        <v/>
      </c>
      <c r="N3182">
        <f>IF(ISERR(FIND("DECOUPE",Tableau1[[#This Row],[DESIGNATION]])),"","NEED REF")</f>
        <v/>
      </c>
    </row>
    <row r="3183">
      <c r="B3183" t="n">
        <v>34410818</v>
      </c>
      <c r="C3183" s="2" t="n">
        <v>44748</v>
      </c>
      <c r="D3183" t="inlineStr">
        <is>
          <t>SPEC</t>
        </is>
      </c>
      <c r="E3183" t="inlineStr">
        <is>
          <t>COP CX MBB INPUT 1 - L2</t>
        </is>
      </c>
      <c r="F3183" t="inlineStr">
        <is>
          <t>21 CENTURY TECHNOLOGIE LTD/NIGERIA</t>
        </is>
      </c>
      <c r="G3183" t="inlineStr">
        <is>
          <t>GVX</t>
        </is>
      </c>
      <c r="H3183" t="inlineStr">
        <is>
          <t>BYPASS</t>
        </is>
      </c>
      <c r="J3183" t="inlineStr">
        <is>
          <t>JAWORSKI</t>
        </is>
      </c>
      <c r="K3183" t="inlineStr">
        <is>
          <t>CUIVRE</t>
        </is>
      </c>
      <c r="L3183">
        <f>_xlfn.XLOOKUP(Tableau1[[#This Row],[TYPE DE PIECE]],Tableau4[MATIERE],Tableau4[SHORT TYPE],"",0,1)</f>
        <v/>
      </c>
      <c r="N3183">
        <f>IF(ISERR(FIND("DECOUPE",Tableau1[[#This Row],[DESIGNATION]])),"","NEED REF")</f>
        <v/>
      </c>
    </row>
    <row r="3184">
      <c r="B3184" t="n">
        <v>34410817</v>
      </c>
      <c r="C3184" s="2" t="n">
        <v>44748</v>
      </c>
      <c r="D3184" t="inlineStr">
        <is>
          <t>SPEC</t>
        </is>
      </c>
      <c r="E3184" t="inlineStr">
        <is>
          <t>COP CX MBB INPUT 3 - L1</t>
        </is>
      </c>
      <c r="F3184" t="inlineStr">
        <is>
          <t>21 CENTURY TECHNOLOGIE LTD/NIGERIA</t>
        </is>
      </c>
      <c r="G3184" t="inlineStr">
        <is>
          <t>GVX</t>
        </is>
      </c>
      <c r="H3184" t="inlineStr">
        <is>
          <t>BYPASS</t>
        </is>
      </c>
      <c r="J3184" t="inlineStr">
        <is>
          <t>JAWORSKI</t>
        </is>
      </c>
      <c r="K3184" t="inlineStr">
        <is>
          <t>CUIVRE</t>
        </is>
      </c>
      <c r="L3184">
        <f>_xlfn.XLOOKUP(Tableau1[[#This Row],[TYPE DE PIECE]],Tableau4[MATIERE],Tableau4[SHORT TYPE],"",0,1)</f>
        <v/>
      </c>
      <c r="N3184">
        <f>IF(ISERR(FIND("DECOUPE",Tableau1[[#This Row],[DESIGNATION]])),"","NEED REF")</f>
        <v/>
      </c>
    </row>
    <row r="3185">
      <c r="B3185" t="n">
        <v>34410816</v>
      </c>
      <c r="C3185" s="2" t="n">
        <v>44748</v>
      </c>
      <c r="D3185" t="inlineStr">
        <is>
          <t>SPEC</t>
        </is>
      </c>
      <c r="E3185" t="inlineStr">
        <is>
          <t>COP CX MBB INPUT 2 - L1</t>
        </is>
      </c>
      <c r="F3185" t="inlineStr">
        <is>
          <t>21 CENTURY TECHNOLOGIE LTD/NIGERIA</t>
        </is>
      </c>
      <c r="G3185" t="inlineStr">
        <is>
          <t>GVX</t>
        </is>
      </c>
      <c r="H3185" t="inlineStr">
        <is>
          <t>BYPASS</t>
        </is>
      </c>
      <c r="J3185" t="inlineStr">
        <is>
          <t>JAWORSKI</t>
        </is>
      </c>
      <c r="K3185" t="inlineStr">
        <is>
          <t>CUIVRE</t>
        </is>
      </c>
      <c r="L3185">
        <f>_xlfn.XLOOKUP(Tableau1[[#This Row],[TYPE DE PIECE]],Tableau4[MATIERE],Tableau4[SHORT TYPE],"",0,1)</f>
        <v/>
      </c>
      <c r="N3185">
        <f>IF(ISERR(FIND("DECOUPE",Tableau1[[#This Row],[DESIGNATION]])),"","NEED REF")</f>
        <v/>
      </c>
    </row>
    <row r="3186">
      <c r="B3186" t="n">
        <v>34410815</v>
      </c>
      <c r="C3186" s="2" t="n">
        <v>44748</v>
      </c>
      <c r="D3186" t="inlineStr">
        <is>
          <t>SPEC</t>
        </is>
      </c>
      <c r="E3186" t="inlineStr">
        <is>
          <t>COP CX MBB INPUT 1 - L1</t>
        </is>
      </c>
      <c r="F3186" t="inlineStr">
        <is>
          <t>21 CENTURY TECHNOLOGIE LTD/NIGERIA</t>
        </is>
      </c>
      <c r="G3186" t="inlineStr">
        <is>
          <t>GVX</t>
        </is>
      </c>
      <c r="H3186" t="inlineStr">
        <is>
          <t>BYPASS</t>
        </is>
      </c>
      <c r="J3186" t="inlineStr">
        <is>
          <t>JAWORSKI</t>
        </is>
      </c>
      <c r="K3186" t="inlineStr">
        <is>
          <t>CUIVRE</t>
        </is>
      </c>
      <c r="L3186">
        <f>_xlfn.XLOOKUP(Tableau1[[#This Row],[TYPE DE PIECE]],Tableau4[MATIERE],Tableau4[SHORT TYPE],"",0,1)</f>
        <v/>
      </c>
      <c r="N3186">
        <f>IF(ISERR(FIND("DECOUPE",Tableau1[[#This Row],[DESIGNATION]])),"","NEED REF")</f>
        <v/>
      </c>
    </row>
    <row r="3187">
      <c r="B3187" t="n">
        <v>34410814</v>
      </c>
      <c r="C3187" s="2" t="n">
        <v>44748</v>
      </c>
      <c r="D3187" t="inlineStr">
        <is>
          <t>SPEC</t>
        </is>
      </c>
      <c r="E3187" t="inlineStr">
        <is>
          <t>COP CX MBB OUTPUT 3 - N</t>
        </is>
      </c>
      <c r="F3187" t="inlineStr">
        <is>
          <t>21 CENTURY TECHNOLOGIE LTD/NIGERIA</t>
        </is>
      </c>
      <c r="G3187" t="inlineStr">
        <is>
          <t>GVX</t>
        </is>
      </c>
      <c r="H3187" t="inlineStr">
        <is>
          <t>BYPASS</t>
        </is>
      </c>
      <c r="J3187" t="inlineStr">
        <is>
          <t>JAWORSKI</t>
        </is>
      </c>
      <c r="K3187" t="inlineStr">
        <is>
          <t>CUIVRE</t>
        </is>
      </c>
      <c r="L3187">
        <f>_xlfn.XLOOKUP(Tableau1[[#This Row],[TYPE DE PIECE]],Tableau4[MATIERE],Tableau4[SHORT TYPE],"",0,1)</f>
        <v/>
      </c>
      <c r="N3187">
        <f>IF(ISERR(FIND("DECOUPE",Tableau1[[#This Row],[DESIGNATION]])),"","NEED REF")</f>
        <v/>
      </c>
    </row>
    <row r="3188">
      <c r="B3188" t="n">
        <v>34410813</v>
      </c>
      <c r="C3188" s="2" t="n">
        <v>44748</v>
      </c>
      <c r="D3188" t="inlineStr">
        <is>
          <t>SPEC</t>
        </is>
      </c>
      <c r="E3188" t="inlineStr">
        <is>
          <t>COP CX MBB OUTPUT 1 - N</t>
        </is>
      </c>
      <c r="F3188" t="inlineStr">
        <is>
          <t>21 CENTURY TECHNOLOGIE LTD/NIGERIA</t>
        </is>
      </c>
      <c r="G3188" t="inlineStr">
        <is>
          <t>GVX</t>
        </is>
      </c>
      <c r="H3188" t="inlineStr">
        <is>
          <t>BYPASS</t>
        </is>
      </c>
      <c r="J3188" t="inlineStr">
        <is>
          <t>JAWORSKI</t>
        </is>
      </c>
      <c r="K3188" t="inlineStr">
        <is>
          <t>CUIVRE</t>
        </is>
      </c>
      <c r="L3188">
        <f>_xlfn.XLOOKUP(Tableau1[[#This Row],[TYPE DE PIECE]],Tableau4[MATIERE],Tableau4[SHORT TYPE],"",0,1)</f>
        <v/>
      </c>
      <c r="N3188">
        <f>IF(ISERR(FIND("DECOUPE",Tableau1[[#This Row],[DESIGNATION]])),"","NEED REF")</f>
        <v/>
      </c>
    </row>
    <row r="3189">
      <c r="B3189" t="n">
        <v>34410812</v>
      </c>
      <c r="C3189" s="2" t="n">
        <v>44748</v>
      </c>
      <c r="D3189" t="inlineStr">
        <is>
          <t>SPEC</t>
        </is>
      </c>
      <c r="E3189" t="inlineStr">
        <is>
          <t>COP CX MBB INPUT 3 - N</t>
        </is>
      </c>
      <c r="F3189" t="inlineStr">
        <is>
          <t>21 CENTURY TECHNOLOGIE LTD/NIGERIA</t>
        </is>
      </c>
      <c r="G3189" t="inlineStr">
        <is>
          <t>GVX</t>
        </is>
      </c>
      <c r="H3189" t="inlineStr">
        <is>
          <t>BYPASS</t>
        </is>
      </c>
      <c r="J3189" t="inlineStr">
        <is>
          <t>JAWORSKI</t>
        </is>
      </c>
      <c r="K3189" t="inlineStr">
        <is>
          <t>CUIVRE</t>
        </is>
      </c>
      <c r="L3189">
        <f>_xlfn.XLOOKUP(Tableau1[[#This Row],[TYPE DE PIECE]],Tableau4[MATIERE],Tableau4[SHORT TYPE],"",0,1)</f>
        <v/>
      </c>
      <c r="N3189">
        <f>IF(ISERR(FIND("DECOUPE",Tableau1[[#This Row],[DESIGNATION]])),"","NEED REF")</f>
        <v/>
      </c>
    </row>
    <row r="3190">
      <c r="B3190" t="n">
        <v>34410811</v>
      </c>
      <c r="C3190" s="2" t="n">
        <v>44748</v>
      </c>
      <c r="D3190" t="inlineStr">
        <is>
          <t>SPEC</t>
        </is>
      </c>
      <c r="E3190" t="inlineStr">
        <is>
          <t>COP CX MBB INPUT 2 - N</t>
        </is>
      </c>
      <c r="F3190" t="inlineStr">
        <is>
          <t>21 CENTURY TECHNOLOGIE LTD/NIGERIA</t>
        </is>
      </c>
      <c r="G3190" t="inlineStr">
        <is>
          <t>GVX</t>
        </is>
      </c>
      <c r="H3190" t="inlineStr">
        <is>
          <t>BYPASS</t>
        </is>
      </c>
      <c r="J3190" t="inlineStr">
        <is>
          <t>JAWORSKI</t>
        </is>
      </c>
      <c r="K3190" t="inlineStr">
        <is>
          <t>CUIVRE</t>
        </is>
      </c>
      <c r="L3190">
        <f>_xlfn.XLOOKUP(Tableau1[[#This Row],[TYPE DE PIECE]],Tableau4[MATIERE],Tableau4[SHORT TYPE],"",0,1)</f>
        <v/>
      </c>
      <c r="N3190">
        <f>IF(ISERR(FIND("DECOUPE",Tableau1[[#This Row],[DESIGNATION]])),"","NEED REF")</f>
        <v/>
      </c>
    </row>
    <row r="3191">
      <c r="B3191" t="n">
        <v>34410810</v>
      </c>
      <c r="C3191" s="2" t="n">
        <v>44748</v>
      </c>
      <c r="D3191" t="inlineStr">
        <is>
          <t>SPEC</t>
        </is>
      </c>
      <c r="E3191" t="inlineStr">
        <is>
          <t>COP CX MBB INPUT 1 - N</t>
        </is>
      </c>
      <c r="F3191" t="inlineStr">
        <is>
          <t>21 CENTURY TECHNOLOGIE LTD/NIGERIA</t>
        </is>
      </c>
      <c r="G3191" t="inlineStr">
        <is>
          <t>GVX</t>
        </is>
      </c>
      <c r="H3191" t="inlineStr">
        <is>
          <t>BYPASS</t>
        </is>
      </c>
      <c r="J3191" t="inlineStr">
        <is>
          <t>JAWORSKI</t>
        </is>
      </c>
      <c r="K3191" t="inlineStr">
        <is>
          <t>CUIVRE</t>
        </is>
      </c>
      <c r="L3191">
        <f>_xlfn.XLOOKUP(Tableau1[[#This Row],[TYPE DE PIECE]],Tableau4[MATIERE],Tableau4[SHORT TYPE],"",0,1)</f>
        <v/>
      </c>
      <c r="N3191">
        <f>IF(ISERR(FIND("DECOUPE",Tableau1[[#This Row],[DESIGNATION]])),"","NEED REF")</f>
        <v/>
      </c>
    </row>
    <row r="3192">
      <c r="B3192" t="n">
        <v>34410809</v>
      </c>
      <c r="C3192" s="2" t="n">
        <v>44748</v>
      </c>
      <c r="D3192" t="inlineStr">
        <is>
          <t>SPEC</t>
        </is>
      </c>
      <c r="E3192" t="inlineStr">
        <is>
          <t>COP CX MBB-OUTPUT 2 - N</t>
        </is>
      </c>
      <c r="F3192" t="inlineStr">
        <is>
          <t>21 CENTURY TECHNOLOGIE LTD/NIGERIA</t>
        </is>
      </c>
      <c r="G3192" t="inlineStr">
        <is>
          <t>GVX</t>
        </is>
      </c>
      <c r="H3192" t="inlineStr">
        <is>
          <t>BYPASS</t>
        </is>
      </c>
      <c r="J3192" t="inlineStr">
        <is>
          <t>JAWORSKI</t>
        </is>
      </c>
      <c r="K3192" t="inlineStr">
        <is>
          <t>CUIVRE</t>
        </is>
      </c>
      <c r="L3192">
        <f>_xlfn.XLOOKUP(Tableau1[[#This Row],[TYPE DE PIECE]],Tableau4[MATIERE],Tableau4[SHORT TYPE],"",0,1)</f>
        <v/>
      </c>
      <c r="N3192">
        <f>IF(ISERR(FIND("DECOUPE",Tableau1[[#This Row],[DESIGNATION]])),"","NEED REF")</f>
        <v/>
      </c>
    </row>
    <row r="3193">
      <c r="B3193" t="n">
        <v>34410808</v>
      </c>
      <c r="C3193" s="2" t="n">
        <v>44748</v>
      </c>
      <c r="D3193" t="inlineStr">
        <is>
          <t>SPEC</t>
        </is>
      </c>
      <c r="E3193" t="inlineStr">
        <is>
          <t>COP CX INPUT / MBB AM</t>
        </is>
      </c>
      <c r="F3193" t="inlineStr">
        <is>
          <t>21 CENTURY TECHNOLOGIE LTD/NIGERIA</t>
        </is>
      </c>
      <c r="G3193" t="inlineStr">
        <is>
          <t>GVX</t>
        </is>
      </c>
      <c r="H3193" t="inlineStr">
        <is>
          <t>BYPASS</t>
        </is>
      </c>
      <c r="J3193" t="inlineStr">
        <is>
          <t>JAWORSKI</t>
        </is>
      </c>
      <c r="K3193" t="inlineStr">
        <is>
          <t>CUIVRE</t>
        </is>
      </c>
      <c r="L3193">
        <f>_xlfn.XLOOKUP(Tableau1[[#This Row],[TYPE DE PIECE]],Tableau4[MATIERE],Tableau4[SHORT TYPE],"",0,1)</f>
        <v/>
      </c>
      <c r="N3193">
        <f>IF(ISERR(FIND("DECOUPE",Tableau1[[#This Row],[DESIGNATION]])),"","NEED REF")</f>
        <v/>
      </c>
    </row>
    <row r="3194">
      <c r="B3194" t="n">
        <v>34410807</v>
      </c>
      <c r="C3194" s="2" t="n">
        <v>44748</v>
      </c>
      <c r="D3194" t="inlineStr">
        <is>
          <t>SPEC</t>
        </is>
      </c>
      <c r="E3194" t="inlineStr">
        <is>
          <t>SMT PLATINE NSX + VIGI</t>
        </is>
      </c>
      <c r="F3194" t="inlineStr">
        <is>
          <t>GSK Belgique</t>
        </is>
      </c>
      <c r="G3194" t="inlineStr">
        <is>
          <t>GVL</t>
        </is>
      </c>
      <c r="J3194" t="inlineStr">
        <is>
          <t>BERNARDEAU</t>
        </is>
      </c>
      <c r="K3194" t="inlineStr">
        <is>
          <t>METAL</t>
        </is>
      </c>
      <c r="L3194">
        <f>_xlfn.XLOOKUP(Tableau1[[#This Row],[TYPE DE PIECE]],Tableau4[MATIERE],Tableau4[SHORT TYPE],"",0,1)</f>
        <v/>
      </c>
      <c r="N3194">
        <f>IF(ISERR(FIND("DECOUPE",Tableau1[[#This Row],[DESIGNATION]])),"","NEED REF")</f>
        <v/>
      </c>
    </row>
    <row r="3195">
      <c r="B3195" t="n">
        <v>34410806</v>
      </c>
      <c r="C3195" s="2" t="n">
        <v>44748</v>
      </c>
      <c r="D3195" t="inlineStr">
        <is>
          <t>SPEC</t>
        </is>
      </c>
      <c r="E3195" t="inlineStr">
        <is>
          <t>SMT FAKE FEEDER KXA40503-4000A_4P</t>
        </is>
      </c>
      <c r="F3195" t="inlineStr">
        <is>
          <t>DATA4 DC01</t>
        </is>
      </c>
      <c r="G3195" t="inlineStr">
        <is>
          <t>GVL</t>
        </is>
      </c>
      <c r="H3195" t="inlineStr">
        <is>
          <t>BYPASS</t>
        </is>
      </c>
      <c r="J3195" t="inlineStr">
        <is>
          <t>MATRION</t>
        </is>
      </c>
      <c r="K3195" t="inlineStr">
        <is>
          <t>METAL</t>
        </is>
      </c>
      <c r="L3195">
        <f>_xlfn.XLOOKUP(Tableau1[[#This Row],[TYPE DE PIECE]],Tableau4[MATIERE],Tableau4[SHORT TYPE],"",0,1)</f>
        <v/>
      </c>
      <c r="N3195">
        <f>IF(ISERR(FIND("DECOUPE",Tableau1[[#This Row],[DESIGNATION]])),"","NEED REF")</f>
        <v/>
      </c>
    </row>
    <row r="3196">
      <c r="B3196" t="n">
        <v>34410805</v>
      </c>
      <c r="C3196" s="2" t="n">
        <v>44746</v>
      </c>
      <c r="D3196" t="inlineStr">
        <is>
          <t>SPEC</t>
        </is>
      </c>
      <c r="E3196" t="inlineStr">
        <is>
          <t>PLA PLASTRON 4</t>
        </is>
      </c>
      <c r="F3196" t="inlineStr">
        <is>
          <t>GSK Belgique</t>
        </is>
      </c>
      <c r="G3196" t="inlineStr">
        <is>
          <t>GVL</t>
        </is>
      </c>
      <c r="J3196" t="inlineStr">
        <is>
          <t>BERNARDEAU</t>
        </is>
      </c>
      <c r="K3196" t="inlineStr">
        <is>
          <t>PLASTIQUE</t>
        </is>
      </c>
      <c r="L3196">
        <f>_xlfn.XLOOKUP(Tableau1[[#This Row],[TYPE DE PIECE]],Tableau4[MATIERE],Tableau4[SHORT TYPE],"",0,1)</f>
        <v/>
      </c>
      <c r="N3196">
        <f>IF(ISERR(FIND("DECOUPE",Tableau1[[#This Row],[DESIGNATION]])),"","NEED REF")</f>
        <v/>
      </c>
    </row>
    <row r="3197">
      <c r="B3197" t="n">
        <v>34410804</v>
      </c>
      <c r="C3197" s="2" t="n">
        <v>44746</v>
      </c>
      <c r="D3197" t="inlineStr">
        <is>
          <t>SPEC</t>
        </is>
      </c>
      <c r="E3197" t="inlineStr">
        <is>
          <t>SMT PASSE CABLES ALU GVEAC10D10</t>
        </is>
      </c>
      <c r="F3197" t="inlineStr">
        <is>
          <t>TOUTES</t>
        </is>
      </c>
      <c r="J3197" t="inlineStr">
        <is>
          <t>MATRION</t>
        </is>
      </c>
      <c r="K3197" t="inlineStr">
        <is>
          <t>METAL</t>
        </is>
      </c>
      <c r="L3197">
        <f>_xlfn.XLOOKUP(Tableau1[[#This Row],[TYPE DE PIECE]],Tableau4[MATIERE],Tableau4[SHORT TYPE],"",0,1)</f>
        <v/>
      </c>
      <c r="N3197">
        <f>IF(ISERR(FIND("DECOUPE",Tableau1[[#This Row],[DESIGNATION]])),"","NEED REF")</f>
        <v/>
      </c>
    </row>
    <row r="3198">
      <c r="B3198" t="n">
        <v>34410804</v>
      </c>
      <c r="C3198" s="2" t="n">
        <v>44746</v>
      </c>
      <c r="D3198" t="inlineStr">
        <is>
          <t>SPEC</t>
        </is>
      </c>
      <c r="E3198" t="inlineStr">
        <is>
          <t>PLA PLASTRON 3</t>
        </is>
      </c>
      <c r="F3198" t="inlineStr">
        <is>
          <t>GSK Belgique</t>
        </is>
      </c>
      <c r="G3198" t="inlineStr">
        <is>
          <t>GVL</t>
        </is>
      </c>
      <c r="J3198" t="inlineStr">
        <is>
          <t>BERNARDEAU</t>
        </is>
      </c>
      <c r="K3198" t="inlineStr">
        <is>
          <t>PLASTIQUE</t>
        </is>
      </c>
      <c r="L3198">
        <f>_xlfn.XLOOKUP(Tableau1[[#This Row],[TYPE DE PIECE]],Tableau4[MATIERE],Tableau4[SHORT TYPE],"",0,1)</f>
        <v/>
      </c>
      <c r="N3198">
        <f>IF(ISERR(FIND("DECOUPE",Tableau1[[#This Row],[DESIGNATION]])),"","NEED REF")</f>
        <v/>
      </c>
    </row>
    <row r="3199">
      <c r="B3199" t="n">
        <v>34410803</v>
      </c>
      <c r="C3199" s="2" t="n">
        <v>44743</v>
      </c>
      <c r="D3199" t="inlineStr">
        <is>
          <t>SPEC</t>
        </is>
      </c>
      <c r="E3199" t="inlineStr">
        <is>
          <t>COP LIAISON PEN</t>
        </is>
      </c>
      <c r="F3199" t="inlineStr">
        <is>
          <t>DATA4 DC01</t>
        </is>
      </c>
      <c r="G3199" t="inlineStr">
        <is>
          <t>GVL</t>
        </is>
      </c>
      <c r="H3199" t="inlineStr">
        <is>
          <t>BYPASS</t>
        </is>
      </c>
      <c r="J3199" t="inlineStr">
        <is>
          <t>MATRION</t>
        </is>
      </c>
      <c r="K3199" t="inlineStr">
        <is>
          <t>CUIVRE</t>
        </is>
      </c>
      <c r="L3199">
        <f>_xlfn.XLOOKUP(Tableau1[[#This Row],[TYPE DE PIECE]],Tableau4[MATIERE],Tableau4[SHORT TYPE],"",0,1)</f>
        <v/>
      </c>
      <c r="N3199">
        <f>IF(ISERR(FIND("DECOUPE",Tableau1[[#This Row],[DESIGNATION]])),"","NEED REF")</f>
        <v/>
      </c>
    </row>
    <row r="3200">
      <c r="B3200" t="n">
        <v>34410803</v>
      </c>
      <c r="C3200" s="2" t="n">
        <v>44743</v>
      </c>
      <c r="D3200" t="inlineStr">
        <is>
          <t>SPEC</t>
        </is>
      </c>
      <c r="E3200" t="inlineStr">
        <is>
          <t>PLA PLASTRON 2</t>
        </is>
      </c>
      <c r="F3200" t="inlineStr">
        <is>
          <t>GSK Belgique</t>
        </is>
      </c>
      <c r="G3200" t="inlineStr">
        <is>
          <t>GVL</t>
        </is>
      </c>
      <c r="J3200" t="inlineStr">
        <is>
          <t>BERNARDEAU</t>
        </is>
      </c>
      <c r="K3200" t="inlineStr">
        <is>
          <t>PLASTIQUE</t>
        </is>
      </c>
      <c r="L3200">
        <f>_xlfn.XLOOKUP(Tableau1[[#This Row],[TYPE DE PIECE]],Tableau4[MATIERE],Tableau4[SHORT TYPE],"",0,1)</f>
        <v/>
      </c>
      <c r="N3200">
        <f>IF(ISERR(FIND("DECOUPE",Tableau1[[#This Row],[DESIGNATION]])),"","NEED REF")</f>
        <v/>
      </c>
    </row>
    <row r="3201">
      <c r="B3201" t="n">
        <v>34410802</v>
      </c>
      <c r="C3201" s="2" t="n">
        <v>44742</v>
      </c>
      <c r="D3201" t="inlineStr">
        <is>
          <t>SPEC</t>
        </is>
      </c>
      <c r="E3201" t="inlineStr">
        <is>
          <t>COP NEUTRAL 12</t>
        </is>
      </c>
      <c r="F3201" t="inlineStr">
        <is>
          <t>DATA4 DC01</t>
        </is>
      </c>
      <c r="G3201" t="inlineStr">
        <is>
          <t>GVL</t>
        </is>
      </c>
      <c r="H3201" t="inlineStr">
        <is>
          <t>BYPASS</t>
        </is>
      </c>
      <c r="J3201" t="inlineStr">
        <is>
          <t>MATRION</t>
        </is>
      </c>
      <c r="K3201" t="inlineStr">
        <is>
          <t>CUIVRE</t>
        </is>
      </c>
      <c r="L3201">
        <f>_xlfn.XLOOKUP(Tableau1[[#This Row],[TYPE DE PIECE]],Tableau4[MATIERE],Tableau4[SHORT TYPE],"",0,1)</f>
        <v/>
      </c>
      <c r="N3201">
        <f>IF(ISERR(FIND("DECOUPE",Tableau1[[#This Row],[DESIGNATION]])),"","NEED REF")</f>
        <v/>
      </c>
    </row>
    <row r="3202">
      <c r="B3202" t="n">
        <v>34410802</v>
      </c>
      <c r="C3202" s="2" t="n">
        <v>44743</v>
      </c>
      <c r="D3202" t="inlineStr">
        <is>
          <t>SPEC</t>
        </is>
      </c>
      <c r="E3202" t="inlineStr">
        <is>
          <t>PLA PLASTRON 4</t>
        </is>
      </c>
      <c r="F3202" t="inlineStr">
        <is>
          <t>GSK Belgique</t>
        </is>
      </c>
      <c r="G3202" t="inlineStr">
        <is>
          <t>GVL</t>
        </is>
      </c>
      <c r="J3202" t="inlineStr">
        <is>
          <t>BERNARDEAU</t>
        </is>
      </c>
      <c r="K3202" t="inlineStr">
        <is>
          <t>PLASTIQUE</t>
        </is>
      </c>
      <c r="L3202">
        <f>_xlfn.XLOOKUP(Tableau1[[#This Row],[TYPE DE PIECE]],Tableau4[MATIERE],Tableau4[SHORT TYPE],"",0,1)</f>
        <v/>
      </c>
      <c r="N3202">
        <f>IF(ISERR(FIND("DECOUPE",Tableau1[[#This Row],[DESIGNATION]])),"","NEED REF")</f>
        <v/>
      </c>
    </row>
    <row r="3203">
      <c r="B3203" t="n">
        <v>34410801</v>
      </c>
      <c r="C3203" s="2" t="n">
        <v>44742</v>
      </c>
      <c r="D3203" t="inlineStr">
        <is>
          <t>SPEC</t>
        </is>
      </c>
      <c r="E3203" t="inlineStr">
        <is>
          <t>COP NEUTRAL 11</t>
        </is>
      </c>
      <c r="F3203" t="inlineStr">
        <is>
          <t>DATA4 DC01</t>
        </is>
      </c>
      <c r="G3203" t="inlineStr">
        <is>
          <t>GVL</t>
        </is>
      </c>
      <c r="H3203" t="inlineStr">
        <is>
          <t>BYPASS</t>
        </is>
      </c>
      <c r="J3203" t="inlineStr">
        <is>
          <t>MATRION</t>
        </is>
      </c>
      <c r="K3203" t="inlineStr">
        <is>
          <t>CUIVRE</t>
        </is>
      </c>
      <c r="L3203">
        <f>_xlfn.XLOOKUP(Tableau1[[#This Row],[TYPE DE PIECE]],Tableau4[MATIERE],Tableau4[SHORT TYPE],"",0,1)</f>
        <v/>
      </c>
      <c r="N3203">
        <f>IF(ISERR(FIND("DECOUPE",Tableau1[[#This Row],[DESIGNATION]])),"","NEED REF")</f>
        <v/>
      </c>
    </row>
    <row r="3204">
      <c r="B3204" t="n">
        <v>34410801</v>
      </c>
      <c r="C3204" s="2" t="n">
        <v>44743</v>
      </c>
      <c r="D3204" t="inlineStr">
        <is>
          <t>SPEC</t>
        </is>
      </c>
      <c r="E3204" t="inlineStr">
        <is>
          <t>PLA PLASTRON 3</t>
        </is>
      </c>
      <c r="F3204" t="inlineStr">
        <is>
          <t>GSK Belgique</t>
        </is>
      </c>
      <c r="G3204" t="inlineStr">
        <is>
          <t>GVL</t>
        </is>
      </c>
      <c r="J3204" t="inlineStr">
        <is>
          <t>BERNARDEAU</t>
        </is>
      </c>
      <c r="K3204" t="inlineStr">
        <is>
          <t>PLASTIQUE</t>
        </is>
      </c>
      <c r="L3204">
        <f>_xlfn.XLOOKUP(Tableau1[[#This Row],[TYPE DE PIECE]],Tableau4[MATIERE],Tableau4[SHORT TYPE],"",0,1)</f>
        <v/>
      </c>
      <c r="N3204">
        <f>IF(ISERR(FIND("DECOUPE",Tableau1[[#This Row],[DESIGNATION]])),"","NEED REF")</f>
        <v/>
      </c>
    </row>
    <row r="3205">
      <c r="B3205" t="n">
        <v>34410800</v>
      </c>
      <c r="C3205" s="2" t="n">
        <v>44742</v>
      </c>
      <c r="D3205" t="inlineStr">
        <is>
          <t>SPEC</t>
        </is>
      </c>
      <c r="E3205" t="inlineStr">
        <is>
          <t>COP OUTPUT 16</t>
        </is>
      </c>
      <c r="F3205" t="inlineStr">
        <is>
          <t>DATA4 DC01</t>
        </is>
      </c>
      <c r="G3205" t="inlineStr">
        <is>
          <t>GVL</t>
        </is>
      </c>
      <c r="H3205" t="inlineStr">
        <is>
          <t>BYPASS</t>
        </is>
      </c>
      <c r="J3205" t="inlineStr">
        <is>
          <t>MATRION</t>
        </is>
      </c>
      <c r="K3205" t="inlineStr">
        <is>
          <t>CUIVRE</t>
        </is>
      </c>
      <c r="L3205">
        <f>_xlfn.XLOOKUP(Tableau1[[#This Row],[TYPE DE PIECE]],Tableau4[MATIERE],Tableau4[SHORT TYPE],"",0,1)</f>
        <v/>
      </c>
      <c r="N3205">
        <f>IF(ISERR(FIND("DECOUPE",Tableau1[[#This Row],[DESIGNATION]])),"","NEED REF")</f>
        <v/>
      </c>
    </row>
    <row r="3206">
      <c r="B3206" t="n">
        <v>34410799</v>
      </c>
      <c r="C3206" s="2" t="n">
        <v>44742</v>
      </c>
      <c r="D3206" t="inlineStr">
        <is>
          <t>SPEC</t>
        </is>
      </c>
      <c r="E3206" t="inlineStr">
        <is>
          <t>COP OUTPUT 15</t>
        </is>
      </c>
      <c r="F3206" t="inlineStr">
        <is>
          <t>DATA4 DC02</t>
        </is>
      </c>
      <c r="G3206" t="inlineStr">
        <is>
          <t>GVL</t>
        </is>
      </c>
      <c r="H3206" t="inlineStr">
        <is>
          <t>BYPASS</t>
        </is>
      </c>
      <c r="J3206" t="inlineStr">
        <is>
          <t>MATRION</t>
        </is>
      </c>
      <c r="K3206" t="inlineStr">
        <is>
          <t>CUIVRE</t>
        </is>
      </c>
      <c r="L3206">
        <f>_xlfn.XLOOKUP(Tableau1[[#This Row],[TYPE DE PIECE]],Tableau4[MATIERE],Tableau4[SHORT TYPE],"",0,1)</f>
        <v/>
      </c>
      <c r="N3206">
        <f>IF(ISERR(FIND("DECOUPE",Tableau1[[#This Row],[DESIGNATION]])),"","NEED REF")</f>
        <v/>
      </c>
    </row>
    <row r="3207">
      <c r="B3207" t="n">
        <v>34410798</v>
      </c>
      <c r="C3207" s="2" t="n">
        <v>44742</v>
      </c>
      <c r="D3207" t="inlineStr">
        <is>
          <t>SPEC</t>
        </is>
      </c>
      <c r="E3207" t="inlineStr">
        <is>
          <t>COP OUTPUT 14</t>
        </is>
      </c>
      <c r="F3207" t="inlineStr">
        <is>
          <t>DATA4 DC03</t>
        </is>
      </c>
      <c r="G3207" t="inlineStr">
        <is>
          <t>GVL</t>
        </is>
      </c>
      <c r="H3207" t="inlineStr">
        <is>
          <t>BYPASS</t>
        </is>
      </c>
      <c r="J3207" t="inlineStr">
        <is>
          <t>MATRION</t>
        </is>
      </c>
      <c r="K3207" t="inlineStr">
        <is>
          <t>CUIVRE</t>
        </is>
      </c>
      <c r="L3207">
        <f>_xlfn.XLOOKUP(Tableau1[[#This Row],[TYPE DE PIECE]],Tableau4[MATIERE],Tableau4[SHORT TYPE],"",0,1)</f>
        <v/>
      </c>
      <c r="N3207">
        <f>IF(ISERR(FIND("DECOUPE",Tableau1[[#This Row],[DESIGNATION]])),"","NEED REF")</f>
        <v/>
      </c>
    </row>
    <row r="3208">
      <c r="B3208" t="n">
        <v>34410797</v>
      </c>
      <c r="C3208" s="2" t="n">
        <v>44742</v>
      </c>
      <c r="D3208" t="inlineStr">
        <is>
          <t>SPEC</t>
        </is>
      </c>
      <c r="E3208" t="inlineStr">
        <is>
          <t>COP OUTPUT 13</t>
        </is>
      </c>
      <c r="F3208" t="inlineStr">
        <is>
          <t>DATA4 DC04</t>
        </is>
      </c>
      <c r="G3208" t="inlineStr">
        <is>
          <t>GVL</t>
        </is>
      </c>
      <c r="H3208" t="inlineStr">
        <is>
          <t>BYPASS</t>
        </is>
      </c>
      <c r="J3208" t="inlineStr">
        <is>
          <t>MATRION</t>
        </is>
      </c>
      <c r="K3208" t="inlineStr">
        <is>
          <t>CUIVRE</t>
        </is>
      </c>
      <c r="L3208">
        <f>_xlfn.XLOOKUP(Tableau1[[#This Row],[TYPE DE PIECE]],Tableau4[MATIERE],Tableau4[SHORT TYPE],"",0,1)</f>
        <v/>
      </c>
      <c r="N3208">
        <f>IF(ISERR(FIND("DECOUPE",Tableau1[[#This Row],[DESIGNATION]])),"","NEED REF")</f>
        <v/>
      </c>
    </row>
    <row r="3209">
      <c r="B3209" t="n">
        <v>34410796</v>
      </c>
      <c r="C3209" s="2" t="n">
        <v>44742</v>
      </c>
      <c r="D3209" t="inlineStr">
        <is>
          <t>SPEC</t>
        </is>
      </c>
      <c r="E3209" t="inlineStr">
        <is>
          <t>COP OUTPUT 12</t>
        </is>
      </c>
      <c r="F3209" t="inlineStr">
        <is>
          <t>DATA4 DC05</t>
        </is>
      </c>
      <c r="G3209" t="inlineStr">
        <is>
          <t>GVL</t>
        </is>
      </c>
      <c r="H3209" t="inlineStr">
        <is>
          <t>BYPASS</t>
        </is>
      </c>
      <c r="J3209" t="inlineStr">
        <is>
          <t>MATRION</t>
        </is>
      </c>
      <c r="K3209" t="inlineStr">
        <is>
          <t>CUIVRE</t>
        </is>
      </c>
      <c r="L3209">
        <f>_xlfn.XLOOKUP(Tableau1[[#This Row],[TYPE DE PIECE]],Tableau4[MATIERE],Tableau4[SHORT TYPE],"",0,1)</f>
        <v/>
      </c>
      <c r="N3209">
        <f>IF(ISERR(FIND("DECOUPE",Tableau1[[#This Row],[DESIGNATION]])),"","NEED REF")</f>
        <v/>
      </c>
    </row>
    <row r="3210">
      <c r="B3210" t="n">
        <v>34410795</v>
      </c>
      <c r="C3210" s="2" t="n">
        <v>44742</v>
      </c>
      <c r="D3210" t="inlineStr">
        <is>
          <t>SPEC</t>
        </is>
      </c>
      <c r="E3210" t="inlineStr">
        <is>
          <t>COP OUTPUT 11</t>
        </is>
      </c>
      <c r="F3210" t="inlineStr">
        <is>
          <t>DATA4 DC06</t>
        </is>
      </c>
      <c r="G3210" t="inlineStr">
        <is>
          <t>GVL</t>
        </is>
      </c>
      <c r="H3210" t="inlineStr">
        <is>
          <t>BYPASS</t>
        </is>
      </c>
      <c r="J3210" t="inlineStr">
        <is>
          <t>MATRION</t>
        </is>
      </c>
      <c r="K3210" t="inlineStr">
        <is>
          <t>CUIVRE</t>
        </is>
      </c>
      <c r="L3210">
        <f>_xlfn.XLOOKUP(Tableau1[[#This Row],[TYPE DE PIECE]],Tableau4[MATIERE],Tableau4[SHORT TYPE],"",0,1)</f>
        <v/>
      </c>
      <c r="N3210">
        <f>IF(ISERR(FIND("DECOUPE",Tableau1[[#This Row],[DESIGNATION]])),"","NEED REF")</f>
        <v/>
      </c>
    </row>
    <row r="3211">
      <c r="B3211" t="n">
        <v>34410794</v>
      </c>
      <c r="C3211" s="2" t="n">
        <v>44742</v>
      </c>
      <c r="D3211" t="inlineStr">
        <is>
          <t>SPEC</t>
        </is>
      </c>
      <c r="E3211" t="inlineStr">
        <is>
          <t>COP INPUT 16</t>
        </is>
      </c>
      <c r="F3211" t="inlineStr">
        <is>
          <t>DATA4 DC07</t>
        </is>
      </c>
      <c r="G3211" t="inlineStr">
        <is>
          <t>GVL</t>
        </is>
      </c>
      <c r="H3211" t="inlineStr">
        <is>
          <t>BYPASS</t>
        </is>
      </c>
      <c r="J3211" t="inlineStr">
        <is>
          <t>MATRION</t>
        </is>
      </c>
      <c r="K3211" t="inlineStr">
        <is>
          <t>CUIVRE</t>
        </is>
      </c>
      <c r="L3211">
        <f>_xlfn.XLOOKUP(Tableau1[[#This Row],[TYPE DE PIECE]],Tableau4[MATIERE],Tableau4[SHORT TYPE],"",0,1)</f>
        <v/>
      </c>
      <c r="N3211">
        <f>IF(ISERR(FIND("DECOUPE",Tableau1[[#This Row],[DESIGNATION]])),"","NEED REF")</f>
        <v/>
      </c>
    </row>
    <row r="3212">
      <c r="B3212" t="n">
        <v>34410793</v>
      </c>
      <c r="C3212" s="2" t="n">
        <v>44742</v>
      </c>
      <c r="D3212" t="inlineStr">
        <is>
          <t>SPEC</t>
        </is>
      </c>
      <c r="E3212" t="inlineStr">
        <is>
          <t>COP INPUT 15</t>
        </is>
      </c>
      <c r="F3212" t="inlineStr">
        <is>
          <t>DATA4 DC07</t>
        </is>
      </c>
      <c r="G3212" t="inlineStr">
        <is>
          <t>GVL</t>
        </is>
      </c>
      <c r="H3212" t="inlineStr">
        <is>
          <t>BYPASS</t>
        </is>
      </c>
      <c r="J3212" t="inlineStr">
        <is>
          <t>MATRION</t>
        </is>
      </c>
      <c r="K3212" t="inlineStr">
        <is>
          <t>CUIVRE</t>
        </is>
      </c>
      <c r="L3212">
        <f>_xlfn.XLOOKUP(Tableau1[[#This Row],[TYPE DE PIECE]],Tableau4[MATIERE],Tableau4[SHORT TYPE],"",0,1)</f>
        <v/>
      </c>
      <c r="N3212">
        <f>IF(ISERR(FIND("DECOUPE",Tableau1[[#This Row],[DESIGNATION]])),"","NEED REF")</f>
        <v/>
      </c>
    </row>
    <row r="3213">
      <c r="B3213" t="n">
        <v>34410792</v>
      </c>
      <c r="C3213" s="2" t="n">
        <v>44742</v>
      </c>
      <c r="D3213" t="inlineStr">
        <is>
          <t>SPEC</t>
        </is>
      </c>
      <c r="E3213" t="inlineStr">
        <is>
          <t>COP INPUT 14</t>
        </is>
      </c>
      <c r="F3213" t="inlineStr">
        <is>
          <t>DATA4 DC07</t>
        </is>
      </c>
      <c r="G3213" t="inlineStr">
        <is>
          <t>GVL</t>
        </is>
      </c>
      <c r="H3213" t="inlineStr">
        <is>
          <t>BYPASS</t>
        </is>
      </c>
      <c r="J3213" t="inlineStr">
        <is>
          <t>MATRION</t>
        </is>
      </c>
      <c r="K3213" t="inlineStr">
        <is>
          <t>CUIVRE</t>
        </is>
      </c>
      <c r="L3213">
        <f>_xlfn.XLOOKUP(Tableau1[[#This Row],[TYPE DE PIECE]],Tableau4[MATIERE],Tableau4[SHORT TYPE],"",0,1)</f>
        <v/>
      </c>
      <c r="N3213">
        <f>IF(ISERR(FIND("DECOUPE",Tableau1[[#This Row],[DESIGNATION]])),"","NEED REF")</f>
        <v/>
      </c>
    </row>
    <row r="3214">
      <c r="B3214" t="n">
        <v>34410791</v>
      </c>
      <c r="C3214" s="2" t="n">
        <v>44742</v>
      </c>
      <c r="D3214" t="inlineStr">
        <is>
          <t>SPEC</t>
        </is>
      </c>
      <c r="E3214" t="inlineStr">
        <is>
          <t>COP INPUT 13</t>
        </is>
      </c>
      <c r="F3214" t="inlineStr">
        <is>
          <t>DATA4 DC07</t>
        </is>
      </c>
      <c r="G3214" t="inlineStr">
        <is>
          <t>GVL</t>
        </is>
      </c>
      <c r="H3214" t="inlineStr">
        <is>
          <t>BYPASS</t>
        </is>
      </c>
      <c r="J3214" t="inlineStr">
        <is>
          <t>MATRION</t>
        </is>
      </c>
      <c r="K3214" t="inlineStr">
        <is>
          <t>CUIVRE</t>
        </is>
      </c>
      <c r="L3214">
        <f>_xlfn.XLOOKUP(Tableau1[[#This Row],[TYPE DE PIECE]],Tableau4[MATIERE],Tableau4[SHORT TYPE],"",0,1)</f>
        <v/>
      </c>
      <c r="N3214">
        <f>IF(ISERR(FIND("DECOUPE",Tableau1[[#This Row],[DESIGNATION]])),"","NEED REF")</f>
        <v/>
      </c>
    </row>
    <row r="3215">
      <c r="B3215" t="n">
        <v>34410790</v>
      </c>
      <c r="C3215" s="2" t="n">
        <v>44742</v>
      </c>
      <c r="D3215" t="inlineStr">
        <is>
          <t>SPEC</t>
        </is>
      </c>
      <c r="E3215" t="inlineStr">
        <is>
          <t>COP INPUT 12</t>
        </is>
      </c>
      <c r="F3215" t="inlineStr">
        <is>
          <t>DATA4 DC07</t>
        </is>
      </c>
      <c r="G3215" t="inlineStr">
        <is>
          <t>GVL</t>
        </is>
      </c>
      <c r="H3215" t="inlineStr">
        <is>
          <t>BYPASS</t>
        </is>
      </c>
      <c r="J3215" t="inlineStr">
        <is>
          <t>MATRION</t>
        </is>
      </c>
      <c r="K3215" t="inlineStr">
        <is>
          <t>CUIVRE</t>
        </is>
      </c>
      <c r="L3215">
        <f>_xlfn.XLOOKUP(Tableau1[[#This Row],[TYPE DE PIECE]],Tableau4[MATIERE],Tableau4[SHORT TYPE],"",0,1)</f>
        <v/>
      </c>
      <c r="N3215">
        <f>IF(ISERR(FIND("DECOUPE",Tableau1[[#This Row],[DESIGNATION]])),"","NEED REF")</f>
        <v/>
      </c>
    </row>
    <row r="3216">
      <c r="B3216" t="n">
        <v>34410789</v>
      </c>
      <c r="C3216" s="2" t="n">
        <v>44742</v>
      </c>
      <c r="D3216" t="inlineStr">
        <is>
          <t>SPEC</t>
        </is>
      </c>
      <c r="E3216" t="inlineStr">
        <is>
          <t>COP INPUT 11</t>
        </is>
      </c>
      <c r="F3216" t="inlineStr">
        <is>
          <t>DATA4 DC07</t>
        </is>
      </c>
      <c r="G3216" t="inlineStr">
        <is>
          <t>GVL</t>
        </is>
      </c>
      <c r="H3216" t="inlineStr">
        <is>
          <t>BYPASS</t>
        </is>
      </c>
      <c r="J3216" t="inlineStr">
        <is>
          <t>MATRION</t>
        </is>
      </c>
      <c r="K3216" t="inlineStr">
        <is>
          <t>CUIVRE</t>
        </is>
      </c>
      <c r="L3216">
        <f>_xlfn.XLOOKUP(Tableau1[[#This Row],[TYPE DE PIECE]],Tableau4[MATIERE],Tableau4[SHORT TYPE],"",0,1)</f>
        <v/>
      </c>
      <c r="N3216">
        <f>IF(ISERR(FIND("DECOUPE",Tableau1[[#This Row],[DESIGNATION]])),"","NEED REF")</f>
        <v/>
      </c>
    </row>
    <row r="3217">
      <c r="B3217" t="n">
        <v>34410788</v>
      </c>
      <c r="C3217" s="2" t="n">
        <v>44742</v>
      </c>
      <c r="D3217" t="inlineStr">
        <is>
          <t>SPEC</t>
        </is>
      </c>
      <c r="E3217" t="inlineStr">
        <is>
          <t>DISJONCTEUR NW20 DC 4P + MN 24VDC</t>
        </is>
      </c>
      <c r="F3217" t="inlineStr">
        <is>
          <t>HOT - KOC KUWAIT</t>
        </is>
      </c>
      <c r="G3217" t="inlineStr">
        <is>
          <t>GVL</t>
        </is>
      </c>
      <c r="H3217" t="inlineStr">
        <is>
          <t>BATTERY</t>
        </is>
      </c>
      <c r="J3217" t="inlineStr">
        <is>
          <t>BERNARDEAU</t>
        </is>
      </c>
      <c r="K3217" t="inlineStr">
        <is>
          <t>=S=</t>
        </is>
      </c>
      <c r="L3217">
        <f>_xlfn.XLOOKUP(Tableau1[[#This Row],[TYPE DE PIECE]],Tableau4[MATIERE],Tableau4[SHORT TYPE],"",0,1)</f>
        <v/>
      </c>
      <c r="M3217" t="inlineStr">
        <is>
          <t>canevas</t>
        </is>
      </c>
      <c r="N3217">
        <f>IF(ISERR(FIND("DECOUPE",Tableau1[[#This Row],[DESIGNATION]])),"","NEED REF")</f>
        <v/>
      </c>
    </row>
    <row r="3218">
      <c r="B3218" t="n">
        <v>34410787</v>
      </c>
      <c r="C3218" s="2" t="n">
        <v>44742</v>
      </c>
      <c r="D3218" t="inlineStr">
        <is>
          <t>SPEC</t>
        </is>
      </c>
      <c r="E3218" t="inlineStr">
        <is>
          <t>SMT SUPPORT BORNES</t>
        </is>
      </c>
      <c r="F3218" t="inlineStr">
        <is>
          <t>HOT - KOC KUWAIT</t>
        </is>
      </c>
      <c r="G3218" t="inlineStr">
        <is>
          <t>GVL</t>
        </is>
      </c>
      <c r="H3218" t="inlineStr">
        <is>
          <t>BATTERY</t>
        </is>
      </c>
      <c r="J3218" t="inlineStr">
        <is>
          <t>BERNARDEAU</t>
        </is>
      </c>
      <c r="K3218" t="inlineStr">
        <is>
          <t>METAL</t>
        </is>
      </c>
      <c r="L3218">
        <f>_xlfn.XLOOKUP(Tableau1[[#This Row],[TYPE DE PIECE]],Tableau4[MATIERE],Tableau4[SHORT TYPE],"",0,1)</f>
        <v/>
      </c>
      <c r="N3218">
        <f>IF(ISERR(FIND("DECOUPE",Tableau1[[#This Row],[DESIGNATION]])),"","NEED REF")</f>
        <v/>
      </c>
    </row>
    <row r="3219">
      <c r="B3219" t="n">
        <v>34410786</v>
      </c>
      <c r="C3219" s="2" t="n">
        <v>44741</v>
      </c>
      <c r="D3219" t="inlineStr">
        <is>
          <t>SPEC</t>
        </is>
      </c>
      <c r="E3219" t="inlineStr">
        <is>
          <t>SMT PLAQUE OPTURATEUR TRANSPORT</t>
        </is>
      </c>
      <c r="F3219" t="inlineStr">
        <is>
          <t>DATA4 DC07</t>
        </is>
      </c>
      <c r="G3219" t="inlineStr">
        <is>
          <t>GVL</t>
        </is>
      </c>
      <c r="H3219" t="inlineStr">
        <is>
          <t>BYPASS</t>
        </is>
      </c>
      <c r="J3219" t="inlineStr">
        <is>
          <t>MATRION</t>
        </is>
      </c>
      <c r="K3219" t="inlineStr">
        <is>
          <t>METAL</t>
        </is>
      </c>
      <c r="L3219">
        <f>_xlfn.XLOOKUP(Tableau1[[#This Row],[TYPE DE PIECE]],Tableau4[MATIERE],Tableau4[SHORT TYPE],"",0,1)</f>
        <v/>
      </c>
      <c r="N3219">
        <f>IF(ISERR(FIND("DECOUPE",Tableau1[[#This Row],[DESIGNATION]])),"","NEED REF")</f>
        <v/>
      </c>
    </row>
    <row r="3220">
      <c r="B3220" t="n">
        <v>34410785</v>
      </c>
      <c r="C3220" s="2" t="n">
        <v>44741</v>
      </c>
      <c r="D3220" t="inlineStr">
        <is>
          <t>SPEC</t>
        </is>
      </c>
      <c r="E3220" t="inlineStr">
        <is>
          <t>WOOD PLANCHE MILIEU 725x1000</t>
        </is>
      </c>
      <c r="F3220" t="inlineStr">
        <is>
          <t>DATA4 DC07</t>
        </is>
      </c>
      <c r="G3220" t="inlineStr">
        <is>
          <t>GVL</t>
        </is>
      </c>
      <c r="H3220" t="inlineStr">
        <is>
          <t>BYPASS</t>
        </is>
      </c>
      <c r="J3220" t="inlineStr">
        <is>
          <t>MATRION</t>
        </is>
      </c>
      <c r="K3220" t="inlineStr">
        <is>
          <t>BOIS</t>
        </is>
      </c>
      <c r="L3220">
        <f>_xlfn.XLOOKUP(Tableau1[[#This Row],[TYPE DE PIECE]],Tableau4[MATIERE],Tableau4[SHORT TYPE],"",0,1)</f>
        <v/>
      </c>
      <c r="N3220">
        <f>IF(ISERR(FIND("DECOUPE",Tableau1[[#This Row],[DESIGNATION]])),"","NEED REF")</f>
        <v/>
      </c>
    </row>
    <row r="3221">
      <c r="B3221" t="n">
        <v>34410784</v>
      </c>
      <c r="C3221" s="2" t="n">
        <v>44741</v>
      </c>
      <c r="D3221" t="inlineStr">
        <is>
          <t>SPEC</t>
        </is>
      </c>
      <c r="E3221" t="inlineStr">
        <is>
          <t>WOOD SKATE 1000+700x1000 BACK</t>
        </is>
      </c>
      <c r="F3221" t="inlineStr">
        <is>
          <t>DATA4 DC07</t>
        </is>
      </c>
      <c r="G3221" t="inlineStr">
        <is>
          <t>GVL</t>
        </is>
      </c>
      <c r="H3221" t="inlineStr">
        <is>
          <t>BYPASS</t>
        </is>
      </c>
      <c r="J3221" t="inlineStr">
        <is>
          <t>MATRION</t>
        </is>
      </c>
      <c r="K3221" t="inlineStr">
        <is>
          <t>BOIS</t>
        </is>
      </c>
      <c r="L3221">
        <f>_xlfn.XLOOKUP(Tableau1[[#This Row],[TYPE DE PIECE]],Tableau4[MATIERE],Tableau4[SHORT TYPE],"",0,1)</f>
        <v/>
      </c>
      <c r="N3221">
        <f>IF(ISERR(FIND("DECOUPE",Tableau1[[#This Row],[DESIGNATION]])),"","NEED REF")</f>
        <v/>
      </c>
    </row>
    <row r="3222">
      <c r="B3222" t="n">
        <v>34410783</v>
      </c>
      <c r="C3222" s="2" t="n">
        <v>44741</v>
      </c>
      <c r="D3222" t="inlineStr">
        <is>
          <t>SPEC</t>
        </is>
      </c>
      <c r="E3222" t="inlineStr">
        <is>
          <t>WOOD SKATE 1000+700x1000 FRONT</t>
        </is>
      </c>
      <c r="F3222" t="inlineStr">
        <is>
          <t>DATA4 DC07</t>
        </is>
      </c>
      <c r="G3222" t="inlineStr">
        <is>
          <t>GVL</t>
        </is>
      </c>
      <c r="H3222" t="inlineStr">
        <is>
          <t>BYPASS</t>
        </is>
      </c>
      <c r="J3222" t="inlineStr">
        <is>
          <t>MATRION</t>
        </is>
      </c>
      <c r="K3222" t="inlineStr">
        <is>
          <t>BOIS</t>
        </is>
      </c>
      <c r="L3222">
        <f>_xlfn.XLOOKUP(Tableau1[[#This Row],[TYPE DE PIECE]],Tableau4[MATIERE],Tableau4[SHORT TYPE],"",0,1)</f>
        <v/>
      </c>
      <c r="N3222">
        <f>IF(ISERR(FIND("DECOUPE",Tableau1[[#This Row],[DESIGNATION]])),"","NEED REF")</f>
        <v/>
      </c>
    </row>
    <row r="3223">
      <c r="B3223" t="n">
        <v>34410782</v>
      </c>
      <c r="C3223" s="2" t="n">
        <v>44741</v>
      </c>
      <c r="D3223" t="inlineStr">
        <is>
          <t>SPEC</t>
        </is>
      </c>
      <c r="F3223" t="inlineStr">
        <is>
          <t>DATA4 DC07</t>
        </is>
      </c>
      <c r="G3223" t="inlineStr">
        <is>
          <t>GVL</t>
        </is>
      </c>
      <c r="H3223" t="inlineStr">
        <is>
          <t>BYPASS</t>
        </is>
      </c>
      <c r="J3223" t="inlineStr">
        <is>
          <t>MATRION</t>
        </is>
      </c>
      <c r="K3223" t="inlineStr">
        <is>
          <t>BOIS</t>
        </is>
      </c>
      <c r="L3223">
        <f>_xlfn.XLOOKUP(Tableau1[[#This Row],[TYPE DE PIECE]],Tableau4[MATIERE],Tableau4[SHORT TYPE],"",0,1)</f>
        <v/>
      </c>
      <c r="N3223">
        <f>IF(ISERR(FIND("DECOUPE",Tableau1[[#This Row],[DESIGNATION]])),"","NEED REF")</f>
        <v/>
      </c>
    </row>
    <row r="3224">
      <c r="B3224" t="n">
        <v>34410781</v>
      </c>
      <c r="C3224" s="2" t="n">
        <v>44740</v>
      </c>
      <c r="D3224" t="inlineStr">
        <is>
          <t>SPEC</t>
        </is>
      </c>
      <c r="F3224" t="inlineStr">
        <is>
          <t>DATA4 DC07</t>
        </is>
      </c>
      <c r="G3224" t="inlineStr">
        <is>
          <t>GVL</t>
        </is>
      </c>
      <c r="H3224" t="inlineStr">
        <is>
          <t>BYPASS</t>
        </is>
      </c>
      <c r="J3224" t="inlineStr">
        <is>
          <t>MATRION</t>
        </is>
      </c>
      <c r="K3224" t="inlineStr">
        <is>
          <t>BOIS</t>
        </is>
      </c>
      <c r="L3224">
        <f>_xlfn.XLOOKUP(Tableau1[[#This Row],[TYPE DE PIECE]],Tableau4[MATIERE],Tableau4[SHORT TYPE],"",0,1)</f>
        <v/>
      </c>
      <c r="N3224">
        <f>IF(ISERR(FIND("DECOUPE",Tableau1[[#This Row],[DESIGNATION]])),"","NEED REF")</f>
        <v/>
      </c>
    </row>
    <row r="3225">
      <c r="B3225" t="n">
        <v>34410780</v>
      </c>
      <c r="C3225" s="2" t="n">
        <v>44740</v>
      </c>
      <c r="D3225" t="inlineStr">
        <is>
          <t>SPEC</t>
        </is>
      </c>
      <c r="E3225" t="inlineStr">
        <is>
          <t>PIECE D ANGLE MINI</t>
        </is>
      </c>
      <c r="F3225" t="inlineStr">
        <is>
          <t>BIRDY</t>
        </is>
      </c>
      <c r="J3225" t="inlineStr">
        <is>
          <t>MATRION</t>
        </is>
      </c>
      <c r="L3225">
        <f>_xlfn.XLOOKUP(Tableau1[[#This Row],[TYPE DE PIECE]],Tableau4[MATIERE],Tableau4[SHORT TYPE],"",0,1)</f>
        <v/>
      </c>
      <c r="M3225" t="inlineStr">
        <is>
          <t>BIRDY</t>
        </is>
      </c>
      <c r="N3225">
        <f>IF(ISERR(FIND("DECOUPE",Tableau1[[#This Row],[DESIGNATION]])),"","NEED REF")</f>
        <v/>
      </c>
    </row>
    <row r="3226">
      <c r="B3226" t="n">
        <v>34410779</v>
      </c>
      <c r="C3226" s="2" t="n">
        <v>44740</v>
      </c>
      <c r="D3226" t="inlineStr">
        <is>
          <t>SPEC</t>
        </is>
      </c>
      <c r="E3226" t="inlineStr">
        <is>
          <t>PIECE D ANGLE ALEGE</t>
        </is>
      </c>
      <c r="F3226" t="inlineStr">
        <is>
          <t>BIRDY</t>
        </is>
      </c>
      <c r="J3226" t="inlineStr">
        <is>
          <t>MATRION</t>
        </is>
      </c>
      <c r="L3226">
        <f>_xlfn.XLOOKUP(Tableau1[[#This Row],[TYPE DE PIECE]],Tableau4[MATIERE],Tableau4[SHORT TYPE],"",0,1)</f>
        <v/>
      </c>
      <c r="M3226" t="inlineStr">
        <is>
          <t>BIRDY</t>
        </is>
      </c>
      <c r="N3226">
        <f>IF(ISERR(FIND("DECOUPE",Tableau1[[#This Row],[DESIGNATION]])),"","NEED REF")</f>
        <v/>
      </c>
    </row>
    <row r="3227">
      <c r="B3227" t="n">
        <v>34410778</v>
      </c>
      <c r="C3227" s="2" t="n">
        <v>44740</v>
      </c>
      <c r="D3227" t="inlineStr">
        <is>
          <t>SPEC</t>
        </is>
      </c>
      <c r="E3227" t="inlineStr">
        <is>
          <t>SMT SUPPORT PROTECTION IHM</t>
        </is>
      </c>
      <c r="F3227" t="inlineStr">
        <is>
          <t>DATA4 DC07</t>
        </is>
      </c>
      <c r="G3227" t="inlineStr">
        <is>
          <t>GVL</t>
        </is>
      </c>
      <c r="H3227" t="inlineStr">
        <is>
          <t>BYPASS</t>
        </is>
      </c>
      <c r="J3227" t="inlineStr">
        <is>
          <t>MATRION</t>
        </is>
      </c>
      <c r="K3227" t="inlineStr">
        <is>
          <t>METAL</t>
        </is>
      </c>
      <c r="L3227">
        <f>_xlfn.XLOOKUP(Tableau1[[#This Row],[TYPE DE PIECE]],Tableau4[MATIERE],Tableau4[SHORT TYPE],"",0,1)</f>
        <v/>
      </c>
      <c r="N3227">
        <f>IF(ISERR(FIND("DECOUPE",Tableau1[[#This Row],[DESIGNATION]])),"","NEED REF")</f>
        <v/>
      </c>
    </row>
    <row r="3228">
      <c r="B3228" t="n">
        <v>34410777</v>
      </c>
      <c r="C3228" s="2" t="n">
        <v>44740</v>
      </c>
      <c r="D3228" t="inlineStr">
        <is>
          <t>SPEC</t>
        </is>
      </c>
      <c r="E3228" t="inlineStr">
        <is>
          <t>PLA PROTECTION CARTE ELEC</t>
        </is>
      </c>
      <c r="F3228" t="inlineStr">
        <is>
          <t>DATA4 DC07</t>
        </is>
      </c>
      <c r="G3228" t="inlineStr">
        <is>
          <t>GVL</t>
        </is>
      </c>
      <c r="H3228" t="inlineStr">
        <is>
          <t>BYPASS</t>
        </is>
      </c>
      <c r="J3228" t="inlineStr">
        <is>
          <t>MATRION</t>
        </is>
      </c>
      <c r="K3228" t="inlineStr">
        <is>
          <t>PLASTIQUE</t>
        </is>
      </c>
      <c r="L3228">
        <f>_xlfn.XLOOKUP(Tableau1[[#This Row],[TYPE DE PIECE]],Tableau4[MATIERE],Tableau4[SHORT TYPE],"",0,1)</f>
        <v/>
      </c>
      <c r="N3228">
        <f>IF(ISERR(FIND("DECOUPE",Tableau1[[#This Row],[DESIGNATION]])),"","NEED REF")</f>
        <v/>
      </c>
    </row>
    <row r="3229">
      <c r="B3229" t="n">
        <v>34410776</v>
      </c>
      <c r="C3229" s="2" t="n">
        <v>44740</v>
      </c>
      <c r="D3229" t="inlineStr">
        <is>
          <t>SPEC</t>
        </is>
      </c>
      <c r="E3229" t="inlineStr">
        <is>
          <t>SMT SUPPORT CABLES PORTE IHM</t>
        </is>
      </c>
      <c r="F3229" t="inlineStr">
        <is>
          <t>DATA4 DC07</t>
        </is>
      </c>
      <c r="G3229" t="inlineStr">
        <is>
          <t>GVL</t>
        </is>
      </c>
      <c r="H3229" t="inlineStr">
        <is>
          <t>BYPASS</t>
        </is>
      </c>
      <c r="J3229" t="inlineStr">
        <is>
          <t>MATRION</t>
        </is>
      </c>
      <c r="K3229" t="inlineStr">
        <is>
          <t>METAL</t>
        </is>
      </c>
      <c r="L3229">
        <f>_xlfn.XLOOKUP(Tableau1[[#This Row],[TYPE DE PIECE]],Tableau4[MATIERE],Tableau4[SHORT TYPE],"",0,1)</f>
        <v/>
      </c>
      <c r="N3229">
        <f>IF(ISERR(FIND("DECOUPE",Tableau1[[#This Row],[DESIGNATION]])),"","NEED REF")</f>
        <v/>
      </c>
    </row>
    <row r="3230">
      <c r="B3230" t="n">
        <v>34410775</v>
      </c>
      <c r="C3230" s="2" t="n">
        <v>44740</v>
      </c>
      <c r="D3230" t="inlineStr">
        <is>
          <t>SPEC</t>
        </is>
      </c>
      <c r="E3230" t="inlineStr">
        <is>
          <t>SMT DECOUPE PORTE POUR IHM</t>
        </is>
      </c>
      <c r="F3230" t="inlineStr">
        <is>
          <t>DATA4 DC07</t>
        </is>
      </c>
      <c r="G3230" t="inlineStr">
        <is>
          <t>GVL</t>
        </is>
      </c>
      <c r="H3230" t="inlineStr">
        <is>
          <t>BYPASS</t>
        </is>
      </c>
      <c r="J3230" t="inlineStr">
        <is>
          <t>MATRION</t>
        </is>
      </c>
      <c r="K3230" t="inlineStr">
        <is>
          <t>METAL</t>
        </is>
      </c>
      <c r="L3230">
        <f>_xlfn.XLOOKUP(Tableau1[[#This Row],[TYPE DE PIECE]],Tableau4[MATIERE],Tableau4[SHORT TYPE],"",0,1)</f>
        <v/>
      </c>
      <c r="N3230">
        <f>IF(ISERR(FIND("DECOUPE",Tableau1[[#This Row],[DESIGNATION]])),"","NEED REF")</f>
        <v/>
      </c>
    </row>
    <row r="3231">
      <c r="B3231" t="n">
        <v>34410774</v>
      </c>
      <c r="C3231" s="2" t="n">
        <v>44740</v>
      </c>
      <c r="D3231" t="inlineStr">
        <is>
          <t>SPEC</t>
        </is>
      </c>
      <c r="E3231" t="inlineStr">
        <is>
          <t>SMT FIXATION GOULOTTE CROWBOX</t>
        </is>
      </c>
      <c r="F3231" t="inlineStr">
        <is>
          <t>DATA4 DC07</t>
        </is>
      </c>
      <c r="G3231" t="inlineStr">
        <is>
          <t>GVL</t>
        </is>
      </c>
      <c r="H3231" t="inlineStr">
        <is>
          <t>BYPASS</t>
        </is>
      </c>
      <c r="J3231" t="inlineStr">
        <is>
          <t>MATRION</t>
        </is>
      </c>
      <c r="K3231" t="inlineStr">
        <is>
          <t>METAL</t>
        </is>
      </c>
      <c r="L3231">
        <f>_xlfn.XLOOKUP(Tableau1[[#This Row],[TYPE DE PIECE]],Tableau4[MATIERE],Tableau4[SHORT TYPE],"",0,1)</f>
        <v/>
      </c>
      <c r="N3231">
        <f>IF(ISERR(FIND("DECOUPE",Tableau1[[#This Row],[DESIGNATION]])),"","NEED REF")</f>
        <v/>
      </c>
    </row>
    <row r="3232">
      <c r="B3232" t="n">
        <v>34410773</v>
      </c>
      <c r="C3232" s="2" t="n">
        <v>44740</v>
      </c>
      <c r="D3232" t="inlineStr">
        <is>
          <t>SPEC</t>
        </is>
      </c>
      <c r="E3232" t="inlineStr">
        <is>
          <t>SMT FIXATION GOULOTTE BYPASS 2</t>
        </is>
      </c>
      <c r="F3232" t="inlineStr">
        <is>
          <t>DATA4 DC07</t>
        </is>
      </c>
      <c r="G3232" t="inlineStr">
        <is>
          <t>GVL</t>
        </is>
      </c>
      <c r="H3232" t="inlineStr">
        <is>
          <t>BYPASS</t>
        </is>
      </c>
      <c r="J3232" t="inlineStr">
        <is>
          <t>MATRION</t>
        </is>
      </c>
      <c r="K3232" t="inlineStr">
        <is>
          <t>METAL</t>
        </is>
      </c>
      <c r="L3232">
        <f>_xlfn.XLOOKUP(Tableau1[[#This Row],[TYPE DE PIECE]],Tableau4[MATIERE],Tableau4[SHORT TYPE],"",0,1)</f>
        <v/>
      </c>
      <c r="N3232">
        <f>IF(ISERR(FIND("DECOUPE",Tableau1[[#This Row],[DESIGNATION]])),"","NEED REF")</f>
        <v/>
      </c>
    </row>
    <row r="3233">
      <c r="B3233" t="n">
        <v>34410772</v>
      </c>
      <c r="C3233" s="2" t="n">
        <v>44740</v>
      </c>
      <c r="D3233" t="inlineStr">
        <is>
          <t>SPEC</t>
        </is>
      </c>
      <c r="E3233" t="inlineStr">
        <is>
          <t>SMT FIXATION GOULOTTE BYPASS 1</t>
        </is>
      </c>
      <c r="F3233" t="inlineStr">
        <is>
          <t>DATA4 DC07</t>
        </is>
      </c>
      <c r="G3233" t="inlineStr">
        <is>
          <t>GVL</t>
        </is>
      </c>
      <c r="H3233" t="inlineStr">
        <is>
          <t>BYPASS</t>
        </is>
      </c>
      <c r="J3233" t="inlineStr">
        <is>
          <t>MATRION</t>
        </is>
      </c>
      <c r="K3233" t="inlineStr">
        <is>
          <t>METAL</t>
        </is>
      </c>
      <c r="L3233">
        <f>_xlfn.XLOOKUP(Tableau1[[#This Row],[TYPE DE PIECE]],Tableau4[MATIERE],Tableau4[SHORT TYPE],"",0,1)</f>
        <v/>
      </c>
      <c r="N3233">
        <f>IF(ISERR(FIND("DECOUPE",Tableau1[[#This Row],[DESIGNATION]])),"","NEED REF")</f>
        <v/>
      </c>
    </row>
    <row r="3234">
      <c r="B3234" t="n">
        <v>34410771</v>
      </c>
      <c r="C3234" s="2" t="n">
        <v>44736</v>
      </c>
      <c r="D3234" t="inlineStr">
        <is>
          <t>SPEC</t>
        </is>
      </c>
      <c r="E3234" t="inlineStr">
        <is>
          <t>SMT SUPPORT RAIL CB</t>
        </is>
      </c>
      <c r="F3234" t="inlineStr">
        <is>
          <t>DATA4 DC07</t>
        </is>
      </c>
      <c r="G3234" t="inlineStr">
        <is>
          <t>GVL</t>
        </is>
      </c>
      <c r="H3234" t="inlineStr">
        <is>
          <t>BYPASS</t>
        </is>
      </c>
      <c r="J3234" t="inlineStr">
        <is>
          <t>MATRION</t>
        </is>
      </c>
      <c r="K3234" t="inlineStr">
        <is>
          <t>METAL</t>
        </is>
      </c>
      <c r="L3234">
        <f>_xlfn.XLOOKUP(Tableau1[[#This Row],[TYPE DE PIECE]],Tableau4[MATIERE],Tableau4[SHORT TYPE],"",0,1)</f>
        <v/>
      </c>
      <c r="N3234">
        <f>IF(ISERR(FIND("DECOUPE",Tableau1[[#This Row],[DESIGNATION]])),"","NEED REF")</f>
        <v/>
      </c>
    </row>
    <row r="3235">
      <c r="B3235" t="n">
        <v>34410770</v>
      </c>
      <c r="C3235" s="2" t="n">
        <v>44736</v>
      </c>
      <c r="D3235" t="inlineStr">
        <is>
          <t>SPEC</t>
        </is>
      </c>
      <c r="E3235" t="inlineStr">
        <is>
          <t>WIRE KIT FILERIE MBP750-C1-M1</t>
        </is>
      </c>
      <c r="F3235" t="inlineStr">
        <is>
          <t>PEPSI-PAKISTAN</t>
        </is>
      </c>
      <c r="G3235" t="inlineStr">
        <is>
          <t>E3L</t>
        </is>
      </c>
      <c r="H3235" t="inlineStr">
        <is>
          <t>BYPASS</t>
        </is>
      </c>
      <c r="J3235" t="inlineStr">
        <is>
          <t>JAWORSKI</t>
        </is>
      </c>
      <c r="K3235" t="inlineStr">
        <is>
          <t>FILERIE</t>
        </is>
      </c>
      <c r="L3235">
        <f>_xlfn.XLOOKUP(Tableau1[[#This Row],[TYPE DE PIECE]],Tableau4[MATIERE],Tableau4[SHORT TYPE],"",0,1)</f>
        <v/>
      </c>
      <c r="N3235">
        <f>IF(ISERR(FIND("DECOUPE",Tableau1[[#This Row],[DESIGNATION]])),"","NEED REF")</f>
        <v/>
      </c>
    </row>
    <row r="3236">
      <c r="B3236" t="n">
        <v>34410769</v>
      </c>
      <c r="C3236" s="2" t="n">
        <v>44736</v>
      </c>
      <c r="D3236" t="inlineStr">
        <is>
          <t>SPEC</t>
        </is>
      </c>
      <c r="E3236" t="inlineStr">
        <is>
          <t>SMT PLASTRON HAUT</t>
        </is>
      </c>
      <c r="F3236" t="inlineStr">
        <is>
          <t>DATA4 DC07</t>
        </is>
      </c>
      <c r="G3236" t="inlineStr">
        <is>
          <t>GVL</t>
        </is>
      </c>
      <c r="H3236" t="inlineStr">
        <is>
          <t>BYPASS</t>
        </is>
      </c>
      <c r="J3236" t="inlineStr">
        <is>
          <t>MATRION</t>
        </is>
      </c>
      <c r="K3236" t="inlineStr">
        <is>
          <t>METAL</t>
        </is>
      </c>
      <c r="L3236">
        <f>_xlfn.XLOOKUP(Tableau1[[#This Row],[TYPE DE PIECE]],Tableau4[MATIERE],Tableau4[SHORT TYPE],"",0,1)</f>
        <v/>
      </c>
      <c r="N3236">
        <f>IF(ISERR(FIND("DECOUPE",Tableau1[[#This Row],[DESIGNATION]])),"","NEED REF")</f>
        <v/>
      </c>
    </row>
    <row r="3237">
      <c r="B3237" t="n">
        <v>34410768</v>
      </c>
      <c r="C3237" s="2" t="n">
        <v>44736</v>
      </c>
      <c r="D3237" t="inlineStr">
        <is>
          <t>SPEC</t>
        </is>
      </c>
      <c r="E3237" t="inlineStr">
        <is>
          <t>SMT PLASTRON BAS UOB DROIT</t>
        </is>
      </c>
      <c r="F3237" t="inlineStr">
        <is>
          <t>DATA4 DC07</t>
        </is>
      </c>
      <c r="G3237" t="inlineStr">
        <is>
          <t>GVL</t>
        </is>
      </c>
      <c r="H3237" t="inlineStr">
        <is>
          <t>BYPASS</t>
        </is>
      </c>
      <c r="J3237" t="inlineStr">
        <is>
          <t>MATRION</t>
        </is>
      </c>
      <c r="K3237" t="inlineStr">
        <is>
          <t>METAL</t>
        </is>
      </c>
      <c r="L3237">
        <f>_xlfn.XLOOKUP(Tableau1[[#This Row],[TYPE DE PIECE]],Tableau4[MATIERE],Tableau4[SHORT TYPE],"",0,1)</f>
        <v/>
      </c>
      <c r="N3237">
        <f>IF(ISERR(FIND("DECOUPE",Tableau1[[#This Row],[DESIGNATION]])),"","NEED REF")</f>
        <v/>
      </c>
    </row>
    <row r="3238">
      <c r="B3238" t="n">
        <v>34410767</v>
      </c>
      <c r="C3238" s="2" t="n">
        <v>44736</v>
      </c>
      <c r="D3238" t="inlineStr">
        <is>
          <t>SPEC</t>
        </is>
      </c>
      <c r="E3238" t="inlineStr">
        <is>
          <t>SMT PLASTRON BAS UIB</t>
        </is>
      </c>
      <c r="F3238" t="inlineStr">
        <is>
          <t>DATA4 DC07</t>
        </is>
      </c>
      <c r="G3238" t="inlineStr">
        <is>
          <t>GVL</t>
        </is>
      </c>
      <c r="H3238" t="inlineStr">
        <is>
          <t>BYPASS</t>
        </is>
      </c>
      <c r="J3238" t="inlineStr">
        <is>
          <t>MATRION</t>
        </is>
      </c>
      <c r="K3238" t="inlineStr">
        <is>
          <t>METAL</t>
        </is>
      </c>
      <c r="L3238">
        <f>_xlfn.XLOOKUP(Tableau1[[#This Row],[TYPE DE PIECE]],Tableau4[MATIERE],Tableau4[SHORT TYPE],"",0,1)</f>
        <v/>
      </c>
      <c r="N3238">
        <f>IF(ISERR(FIND("DECOUPE",Tableau1[[#This Row],[DESIGNATION]])),"","NEED REF")</f>
        <v/>
      </c>
    </row>
    <row r="3239">
      <c r="B3239" t="n">
        <v>34410766</v>
      </c>
      <c r="C3239" s="2" t="n">
        <v>44736</v>
      </c>
      <c r="D3239" t="inlineStr">
        <is>
          <t>SPEC</t>
        </is>
      </c>
      <c r="E3239" t="inlineStr">
        <is>
          <t>SMT PLASTRON BAS UOB GAUCHE</t>
        </is>
      </c>
      <c r="F3239" t="inlineStr">
        <is>
          <t>DATA4 DC07</t>
        </is>
      </c>
      <c r="G3239" t="inlineStr">
        <is>
          <t>GVL</t>
        </is>
      </c>
      <c r="H3239" t="inlineStr">
        <is>
          <t>BYPASS</t>
        </is>
      </c>
      <c r="J3239" t="inlineStr">
        <is>
          <t>MATRION</t>
        </is>
      </c>
      <c r="K3239" t="inlineStr">
        <is>
          <t>METAL</t>
        </is>
      </c>
      <c r="L3239">
        <f>_xlfn.XLOOKUP(Tableau1[[#This Row],[TYPE DE PIECE]],Tableau4[MATIERE],Tableau4[SHORT TYPE],"",0,1)</f>
        <v/>
      </c>
      <c r="N3239">
        <f>IF(ISERR(FIND("DECOUPE",Tableau1[[#This Row],[DESIGNATION]])),"","NEED REF")</f>
        <v/>
      </c>
    </row>
    <row r="3240">
      <c r="B3240" t="n">
        <v>34410765</v>
      </c>
      <c r="C3240" s="2" t="n">
        <v>44735</v>
      </c>
      <c r="D3240" t="inlineStr">
        <is>
          <t>SPEC</t>
        </is>
      </c>
      <c r="E3240" t="inlineStr">
        <is>
          <t>PLA ECRAN DE PROTECTION ELECTRIQUE</t>
        </is>
      </c>
      <c r="F3240" t="inlineStr">
        <is>
          <t>DATA4 DC07</t>
        </is>
      </c>
      <c r="G3240" t="inlineStr">
        <is>
          <t>GVL</t>
        </is>
      </c>
      <c r="H3240" t="inlineStr">
        <is>
          <t>BYPASS</t>
        </is>
      </c>
      <c r="J3240" t="inlineStr">
        <is>
          <t>MATRION</t>
        </is>
      </c>
      <c r="K3240" t="inlineStr">
        <is>
          <t>PLASTIQUE</t>
        </is>
      </c>
      <c r="L3240">
        <f>_xlfn.XLOOKUP(Tableau1[[#This Row],[TYPE DE PIECE]],Tableau4[MATIERE],Tableau4[SHORT TYPE],"",0,1)</f>
        <v/>
      </c>
      <c r="N3240">
        <f>IF(ISERR(FIND("DECOUPE",Tableau1[[#This Row],[DESIGNATION]])),"","NEED REF")</f>
        <v/>
      </c>
    </row>
    <row r="3241">
      <c r="B3241" t="n">
        <v>34410764</v>
      </c>
      <c r="C3241" s="2" t="n">
        <v>44735</v>
      </c>
      <c r="D3241" t="inlineStr">
        <is>
          <t>SPEC</t>
        </is>
      </c>
      <c r="E3241" t="inlineStr">
        <is>
          <t>SMT PLASTRON PROTECTION RACC UPS</t>
        </is>
      </c>
      <c r="F3241" t="inlineStr">
        <is>
          <t>DATA4 DC07</t>
        </is>
      </c>
      <c r="G3241" t="inlineStr">
        <is>
          <t>GVL</t>
        </is>
      </c>
      <c r="H3241" t="inlineStr">
        <is>
          <t>BYPASS</t>
        </is>
      </c>
      <c r="J3241" t="inlineStr">
        <is>
          <t>MATRION</t>
        </is>
      </c>
      <c r="K3241" t="inlineStr">
        <is>
          <t>METAL</t>
        </is>
      </c>
      <c r="L3241">
        <f>_xlfn.XLOOKUP(Tableau1[[#This Row],[TYPE DE PIECE]],Tableau4[MATIERE],Tableau4[SHORT TYPE],"",0,1)</f>
        <v/>
      </c>
      <c r="N3241">
        <f>IF(ISERR(FIND("DECOUPE",Tableau1[[#This Row],[DESIGNATION]])),"","NEED REF")</f>
        <v/>
      </c>
    </row>
    <row r="3242">
      <c r="B3242" t="n">
        <v>34410763</v>
      </c>
      <c r="C3242" s="2" t="n">
        <v>44735</v>
      </c>
      <c r="D3242" t="inlineStr">
        <is>
          <t>SPEC</t>
        </is>
      </c>
      <c r="E3242" t="inlineStr">
        <is>
          <t>SMT PLASTRON NW DC</t>
        </is>
      </c>
      <c r="F3242" t="inlineStr">
        <is>
          <t>HOT - KOC KUWAIT</t>
        </is>
      </c>
      <c r="G3242" t="inlineStr">
        <is>
          <t>GVL</t>
        </is>
      </c>
      <c r="H3242" t="inlineStr">
        <is>
          <t>BATTERY</t>
        </is>
      </c>
      <c r="J3242" t="inlineStr">
        <is>
          <t>BERNARDEAU</t>
        </is>
      </c>
      <c r="K3242" t="inlineStr">
        <is>
          <t>METAL</t>
        </is>
      </c>
      <c r="L3242">
        <f>_xlfn.XLOOKUP(Tableau1[[#This Row],[TYPE DE PIECE]],Tableau4[MATIERE],Tableau4[SHORT TYPE],"",0,1)</f>
        <v/>
      </c>
      <c r="N3242">
        <f>IF(ISERR(FIND("DECOUPE",Tableau1[[#This Row],[DESIGNATION]])),"","NEED REF")</f>
        <v/>
      </c>
    </row>
    <row r="3243">
      <c r="B3243" t="n">
        <v>34410762</v>
      </c>
      <c r="C3243" s="2" t="n">
        <v>44735</v>
      </c>
      <c r="D3243" t="inlineStr">
        <is>
          <t>SPEC</t>
        </is>
      </c>
      <c r="E3243" t="inlineStr">
        <is>
          <t>SMT CHEMIN DE CABLE LATERAL 1000</t>
        </is>
      </c>
      <c r="F3243" t="inlineStr">
        <is>
          <t>DATA4 DC07</t>
        </is>
      </c>
      <c r="G3243" t="inlineStr">
        <is>
          <t>GVL</t>
        </is>
      </c>
      <c r="H3243" t="inlineStr">
        <is>
          <t>BYPASS</t>
        </is>
      </c>
      <c r="J3243" t="inlineStr">
        <is>
          <t>MATRION</t>
        </is>
      </c>
      <c r="K3243" t="inlineStr">
        <is>
          <t>METAL</t>
        </is>
      </c>
      <c r="L3243">
        <f>_xlfn.XLOOKUP(Tableau1[[#This Row],[TYPE DE PIECE]],Tableau4[MATIERE],Tableau4[SHORT TYPE],"",0,1)</f>
        <v/>
      </c>
      <c r="N3243">
        <f>IF(ISERR(FIND("DECOUPE",Tableau1[[#This Row],[DESIGNATION]])),"","NEED REF")</f>
        <v/>
      </c>
    </row>
    <row r="3244">
      <c r="B3244" t="n">
        <v>34410761</v>
      </c>
      <c r="C3244" s="2" t="n">
        <v>44734</v>
      </c>
      <c r="D3244" t="inlineStr">
        <is>
          <t>SPEC</t>
        </is>
      </c>
      <c r="E3244" t="inlineStr">
        <is>
          <t>SMT SUPPORT GOULOTTE VERTICALE CELLULE LATERAL</t>
        </is>
      </c>
      <c r="F3244" t="inlineStr">
        <is>
          <t>DATA4 DC07</t>
        </is>
      </c>
      <c r="G3244" t="inlineStr">
        <is>
          <t>GVL</t>
        </is>
      </c>
      <c r="H3244" t="inlineStr">
        <is>
          <t>BYPASS</t>
        </is>
      </c>
      <c r="J3244" t="inlineStr">
        <is>
          <t>MATRION</t>
        </is>
      </c>
      <c r="K3244" t="inlineStr">
        <is>
          <t>METAL</t>
        </is>
      </c>
      <c r="L3244">
        <f>_xlfn.XLOOKUP(Tableau1[[#This Row],[TYPE DE PIECE]],Tableau4[MATIERE],Tableau4[SHORT TYPE],"",0,1)</f>
        <v/>
      </c>
      <c r="N3244">
        <f>IF(ISERR(FIND("DECOUPE",Tableau1[[#This Row],[DESIGNATION]])),"","NEED REF")</f>
        <v/>
      </c>
    </row>
    <row r="3245">
      <c r="B3245" t="n">
        <v>34410760</v>
      </c>
      <c r="C3245" s="2" t="n">
        <v>44734</v>
      </c>
      <c r="D3245" t="inlineStr">
        <is>
          <t>SPEC</t>
        </is>
      </c>
      <c r="E3245" t="inlineStr">
        <is>
          <t>SMT PLAQUE PASSE CABLE CELLULE CENTRAL 6MM ALU</t>
        </is>
      </c>
      <c r="F3245" t="inlineStr">
        <is>
          <t>DATA4 DC07</t>
        </is>
      </c>
      <c r="G3245" t="inlineStr">
        <is>
          <t>GVL</t>
        </is>
      </c>
      <c r="H3245" t="inlineStr">
        <is>
          <t>BYPASS</t>
        </is>
      </c>
      <c r="J3245" t="inlineStr">
        <is>
          <t>MATRION</t>
        </is>
      </c>
      <c r="K3245" t="inlineStr">
        <is>
          <t>METAL</t>
        </is>
      </c>
      <c r="L3245">
        <f>_xlfn.XLOOKUP(Tableau1[[#This Row],[TYPE DE PIECE]],Tableau4[MATIERE],Tableau4[SHORT TYPE],"",0,1)</f>
        <v/>
      </c>
      <c r="N3245">
        <f>IF(ISERR(FIND("DECOUPE",Tableau1[[#This Row],[DESIGNATION]])),"","NEED REF")</f>
        <v/>
      </c>
    </row>
    <row r="3246">
      <c r="B3246" t="n">
        <v>34410759</v>
      </c>
      <c r="C3246" s="2" t="n">
        <v>44734</v>
      </c>
      <c r="D3246" t="inlineStr">
        <is>
          <t>SPEC</t>
        </is>
      </c>
      <c r="E3246" t="inlineStr">
        <is>
          <t>SMT SUPPORT GOULOTTE CELLULE LATERAL 2</t>
        </is>
      </c>
      <c r="F3246" t="inlineStr">
        <is>
          <t>DATA4 DC07</t>
        </is>
      </c>
      <c r="G3246" t="inlineStr">
        <is>
          <t>GVL</t>
        </is>
      </c>
      <c r="H3246" t="inlineStr">
        <is>
          <t>BYPASS</t>
        </is>
      </c>
      <c r="J3246" t="inlineStr">
        <is>
          <t>MATRION</t>
        </is>
      </c>
      <c r="K3246" t="inlineStr">
        <is>
          <t>METAL</t>
        </is>
      </c>
      <c r="L3246">
        <f>_xlfn.XLOOKUP(Tableau1[[#This Row],[TYPE DE PIECE]],Tableau4[MATIERE],Tableau4[SHORT TYPE],"",0,1)</f>
        <v/>
      </c>
      <c r="N3246">
        <f>IF(ISERR(FIND("DECOUPE",Tableau1[[#This Row],[DESIGNATION]])),"","NEED REF")</f>
        <v/>
      </c>
    </row>
    <row r="3247">
      <c r="B3247" t="n">
        <v>34410758</v>
      </c>
      <c r="C3247" s="2" t="n">
        <v>44734</v>
      </c>
      <c r="D3247" t="inlineStr">
        <is>
          <t>SPEC</t>
        </is>
      </c>
      <c r="E3247" t="inlineStr">
        <is>
          <t>SMT SUPPORT GOULOTTE CELLULE LATERAL 1</t>
        </is>
      </c>
      <c r="F3247" t="inlineStr">
        <is>
          <t>DATA4 DC07</t>
        </is>
      </c>
      <c r="G3247" t="inlineStr">
        <is>
          <t>GVL</t>
        </is>
      </c>
      <c r="H3247" t="inlineStr">
        <is>
          <t>BYPASS</t>
        </is>
      </c>
      <c r="J3247" t="inlineStr">
        <is>
          <t>MATRION</t>
        </is>
      </c>
      <c r="K3247" t="inlineStr">
        <is>
          <t>METAL</t>
        </is>
      </c>
      <c r="L3247">
        <f>_xlfn.XLOOKUP(Tableau1[[#This Row],[TYPE DE PIECE]],Tableau4[MATIERE],Tableau4[SHORT TYPE],"",0,1)</f>
        <v/>
      </c>
      <c r="N3247">
        <f>IF(ISERR(FIND("DECOUPE",Tableau1[[#This Row],[DESIGNATION]])),"","NEED REF")</f>
        <v/>
      </c>
    </row>
    <row r="3248">
      <c r="B3248" t="n">
        <v>34410757</v>
      </c>
      <c r="C3248" s="2" t="n">
        <v>44732</v>
      </c>
      <c r="D3248" t="inlineStr">
        <is>
          <t>SPEC</t>
        </is>
      </c>
      <c r="E3248" t="inlineStr">
        <is>
          <t>SMT SUPPORT VOYANT 2</t>
        </is>
      </c>
      <c r="F3248" t="inlineStr">
        <is>
          <t>DATA4 DC07</t>
        </is>
      </c>
      <c r="G3248" t="inlineStr">
        <is>
          <t>GVL</t>
        </is>
      </c>
      <c r="H3248" t="inlineStr">
        <is>
          <t>BYPASS</t>
        </is>
      </c>
      <c r="J3248" t="inlineStr">
        <is>
          <t>MATRION</t>
        </is>
      </c>
      <c r="K3248" t="inlineStr">
        <is>
          <t>METAL</t>
        </is>
      </c>
      <c r="L3248">
        <f>_xlfn.XLOOKUP(Tableau1[[#This Row],[TYPE DE PIECE]],Tableau4[MATIERE],Tableau4[SHORT TYPE],"",0,1)</f>
        <v/>
      </c>
      <c r="N3248">
        <f>IF(ISERR(FIND("DECOUPE",Tableau1[[#This Row],[DESIGNATION]])),"","NEED REF")</f>
        <v/>
      </c>
    </row>
    <row r="3249">
      <c r="B3249" t="n">
        <v>34410756</v>
      </c>
      <c r="C3249" s="2" t="n">
        <v>44732</v>
      </c>
      <c r="D3249" t="inlineStr">
        <is>
          <t>SPEC</t>
        </is>
      </c>
      <c r="E3249" t="inlineStr">
        <is>
          <t>SMT BRIDE INTERCELLULE DEMONTABLE</t>
        </is>
      </c>
      <c r="F3249" t="inlineStr">
        <is>
          <t>DATA4 DC07</t>
        </is>
      </c>
      <c r="G3249" t="inlineStr">
        <is>
          <t>GVL</t>
        </is>
      </c>
      <c r="H3249" t="inlineStr">
        <is>
          <t>BYPASS</t>
        </is>
      </c>
      <c r="J3249" t="inlineStr">
        <is>
          <t>MATRION</t>
        </is>
      </c>
      <c r="K3249" t="inlineStr">
        <is>
          <t>METAL</t>
        </is>
      </c>
      <c r="L3249">
        <f>_xlfn.XLOOKUP(Tableau1[[#This Row],[TYPE DE PIECE]],Tableau4[MATIERE],Tableau4[SHORT TYPE],"",0,1)</f>
        <v/>
      </c>
      <c r="N3249">
        <f>IF(ISERR(FIND("DECOUPE",Tableau1[[#This Row],[DESIGNATION]])),"","NEED REF")</f>
        <v/>
      </c>
    </row>
    <row r="3250">
      <c r="B3250" t="n">
        <v>34410755</v>
      </c>
      <c r="C3250" s="2" t="n">
        <v>44731</v>
      </c>
      <c r="D3250" t="inlineStr">
        <is>
          <t>SPEC</t>
        </is>
      </c>
      <c r="E3250" t="inlineStr">
        <is>
          <t>SMT PLATINE MTZ2 3P</t>
        </is>
      </c>
      <c r="F3250" t="inlineStr">
        <is>
          <t>DATA4 DC07</t>
        </is>
      </c>
      <c r="G3250" t="inlineStr">
        <is>
          <t>GVL</t>
        </is>
      </c>
      <c r="H3250" t="inlineStr">
        <is>
          <t>BYPASS</t>
        </is>
      </c>
      <c r="J3250" t="inlineStr">
        <is>
          <t>MATRION</t>
        </is>
      </c>
      <c r="K3250" t="inlineStr">
        <is>
          <t>METAL</t>
        </is>
      </c>
      <c r="L3250">
        <f>_xlfn.XLOOKUP(Tableau1[[#This Row],[TYPE DE PIECE]],Tableau4[MATIERE],Tableau4[SHORT TYPE],"",0,1)</f>
        <v/>
      </c>
      <c r="N3250">
        <f>IF(ISERR(FIND("DECOUPE",Tableau1[[#This Row],[DESIGNATION]])),"","NEED REF")</f>
        <v/>
      </c>
    </row>
    <row r="3251">
      <c r="B3251" t="n">
        <v>34410754</v>
      </c>
      <c r="C3251" s="2" t="n">
        <v>44731</v>
      </c>
      <c r="D3251" t="inlineStr">
        <is>
          <t>SPEC</t>
        </is>
      </c>
      <c r="E3251" t="inlineStr">
        <is>
          <t>SMT GOULOTTE</t>
        </is>
      </c>
      <c r="F3251" t="inlineStr">
        <is>
          <t>DATA4 DC07</t>
        </is>
      </c>
      <c r="G3251" t="inlineStr">
        <is>
          <t>GVL</t>
        </is>
      </c>
      <c r="H3251" t="inlineStr">
        <is>
          <t>BYPASS</t>
        </is>
      </c>
      <c r="J3251" t="inlineStr">
        <is>
          <t>MATRION</t>
        </is>
      </c>
      <c r="K3251" t="inlineStr">
        <is>
          <t>METAL</t>
        </is>
      </c>
      <c r="L3251">
        <f>_xlfn.XLOOKUP(Tableau1[[#This Row],[TYPE DE PIECE]],Tableau4[MATIERE],Tableau4[SHORT TYPE],"",0,1)</f>
        <v/>
      </c>
      <c r="N3251">
        <f>IF(ISERR(FIND("DECOUPE",Tableau1[[#This Row],[DESIGNATION]])),"","NEED REF")</f>
        <v/>
      </c>
    </row>
    <row r="3252">
      <c r="B3252" t="n">
        <v>34410753</v>
      </c>
      <c r="C3252" s="2" t="n">
        <v>44729</v>
      </c>
      <c r="D3252" t="inlineStr">
        <is>
          <t>SPEC</t>
        </is>
      </c>
      <c r="E3252" t="inlineStr">
        <is>
          <t>SMT PLASTRON SIB</t>
        </is>
      </c>
      <c r="F3252" t="inlineStr">
        <is>
          <t>DATA4 DC07</t>
        </is>
      </c>
      <c r="G3252" t="inlineStr">
        <is>
          <t>GVL</t>
        </is>
      </c>
      <c r="H3252" t="inlineStr">
        <is>
          <t>BYPASS</t>
        </is>
      </c>
      <c r="J3252" t="inlineStr">
        <is>
          <t>MATRION</t>
        </is>
      </c>
      <c r="K3252" t="inlineStr">
        <is>
          <t>METAL</t>
        </is>
      </c>
      <c r="L3252">
        <f>_xlfn.XLOOKUP(Tableau1[[#This Row],[TYPE DE PIECE]],Tableau4[MATIERE],Tableau4[SHORT TYPE],"",0,1)</f>
        <v/>
      </c>
      <c r="N3252">
        <f>IF(ISERR(FIND("DECOUPE",Tableau1[[#This Row],[DESIGNATION]])),"","NEED REF")</f>
        <v/>
      </c>
    </row>
    <row r="3253">
      <c r="B3253" t="n">
        <v>34410752</v>
      </c>
      <c r="C3253" s="2" t="n">
        <v>44729</v>
      </c>
      <c r="D3253" t="inlineStr">
        <is>
          <t>SPEC</t>
        </is>
      </c>
      <c r="E3253" t="inlineStr">
        <is>
          <t>SMT PLASTON MBB + SKRU KEY</t>
        </is>
      </c>
      <c r="F3253" t="inlineStr">
        <is>
          <t>DATA4 DC07</t>
        </is>
      </c>
      <c r="G3253" t="inlineStr">
        <is>
          <t>GVL</t>
        </is>
      </c>
      <c r="H3253" t="inlineStr">
        <is>
          <t>BYPASS</t>
        </is>
      </c>
      <c r="J3253" t="inlineStr">
        <is>
          <t>MATRION</t>
        </is>
      </c>
      <c r="K3253" t="inlineStr">
        <is>
          <t>METAL</t>
        </is>
      </c>
      <c r="L3253">
        <f>_xlfn.XLOOKUP(Tableau1[[#This Row],[TYPE DE PIECE]],Tableau4[MATIERE],Tableau4[SHORT TYPE],"",0,1)</f>
        <v/>
      </c>
      <c r="N3253">
        <f>IF(ISERR(FIND("DECOUPE",Tableau1[[#This Row],[DESIGNATION]])),"","NEED REF")</f>
        <v/>
      </c>
    </row>
    <row r="3254">
      <c r="B3254" t="n">
        <v>34410751</v>
      </c>
      <c r="C3254" s="2" t="n">
        <v>44729</v>
      </c>
      <c r="D3254" t="inlineStr">
        <is>
          <t>SPEC</t>
        </is>
      </c>
      <c r="E3254" t="inlineStr">
        <is>
          <t>SMT SUPPORT BORNIERS</t>
        </is>
      </c>
      <c r="F3254" t="inlineStr">
        <is>
          <t>MOROCCO-DGSN Rabat - LETD</t>
        </is>
      </c>
      <c r="G3254" t="inlineStr">
        <is>
          <t>GVL</t>
        </is>
      </c>
      <c r="H3254" t="inlineStr">
        <is>
          <t>BATTERY</t>
        </is>
      </c>
      <c r="J3254" t="inlineStr">
        <is>
          <t>BERNARDEAU</t>
        </is>
      </c>
      <c r="K3254" t="inlineStr">
        <is>
          <t>METAL</t>
        </is>
      </c>
      <c r="L3254">
        <f>_xlfn.XLOOKUP(Tableau1[[#This Row],[TYPE DE PIECE]],Tableau4[MATIERE],Tableau4[SHORT TYPE],"",0,1)</f>
        <v/>
      </c>
      <c r="N3254">
        <f>IF(ISERR(FIND("DECOUPE",Tableau1[[#This Row],[DESIGNATION]])),"","NEED REF")</f>
        <v/>
      </c>
    </row>
    <row r="3255">
      <c r="B3255" t="n">
        <v>34410750</v>
      </c>
      <c r="C3255" s="2" t="n">
        <v>44729</v>
      </c>
      <c r="D3255" t="inlineStr">
        <is>
          <t>SPEC</t>
        </is>
      </c>
      <c r="E3255" t="inlineStr">
        <is>
          <t>SMT PROTECTION DEGAZAGE MODULE ELEC 1</t>
        </is>
      </c>
      <c r="F3255" t="inlineStr">
        <is>
          <t>DATA4 DC07</t>
        </is>
      </c>
      <c r="G3255" t="inlineStr">
        <is>
          <t>GVL</t>
        </is>
      </c>
      <c r="H3255" t="inlineStr">
        <is>
          <t>BYPASS</t>
        </is>
      </c>
      <c r="J3255" t="inlineStr">
        <is>
          <t>MATRION</t>
        </is>
      </c>
      <c r="K3255" t="inlineStr">
        <is>
          <t>METAL</t>
        </is>
      </c>
      <c r="L3255">
        <f>_xlfn.XLOOKUP(Tableau1[[#This Row],[TYPE DE PIECE]],Tableau4[MATIERE],Tableau4[SHORT TYPE],"",0,1)</f>
        <v/>
      </c>
      <c r="N3255">
        <f>IF(ISERR(FIND("DECOUPE",Tableau1[[#This Row],[DESIGNATION]])),"","NEED REF")</f>
        <v/>
      </c>
    </row>
    <row r="3256">
      <c r="B3256" t="n">
        <v>34410749</v>
      </c>
      <c r="C3256" s="2" t="n">
        <v>44729</v>
      </c>
      <c r="D3256" t="inlineStr">
        <is>
          <t>SPEC</t>
        </is>
      </c>
      <c r="E3256" t="inlineStr">
        <is>
          <t>SMT PLASTRON MODULE ELEC BAS</t>
        </is>
      </c>
      <c r="F3256" t="inlineStr">
        <is>
          <t>DATA4 DC07</t>
        </is>
      </c>
      <c r="G3256" t="inlineStr">
        <is>
          <t>GVL</t>
        </is>
      </c>
      <c r="H3256" t="inlineStr">
        <is>
          <t>BYPASS</t>
        </is>
      </c>
      <c r="J3256" t="inlineStr">
        <is>
          <t>MATRION</t>
        </is>
      </c>
      <c r="K3256" t="inlineStr">
        <is>
          <t>METAL</t>
        </is>
      </c>
      <c r="L3256">
        <f>_xlfn.XLOOKUP(Tableau1[[#This Row],[TYPE DE PIECE]],Tableau4[MATIERE],Tableau4[SHORT TYPE],"",0,1)</f>
        <v/>
      </c>
      <c r="N3256">
        <f>IF(ISERR(FIND("DECOUPE",Tableau1[[#This Row],[DESIGNATION]])),"","NEED REF")</f>
        <v/>
      </c>
    </row>
    <row r="3257">
      <c r="B3257" t="n">
        <v>34410748</v>
      </c>
      <c r="C3257" s="2" t="n">
        <v>44728</v>
      </c>
      <c r="D3257" t="inlineStr">
        <is>
          <t>SPEC</t>
        </is>
      </c>
      <c r="E3257" t="inlineStr">
        <is>
          <t>SMT TRAVERSE SUPPORT</t>
        </is>
      </c>
      <c r="F3257" t="inlineStr">
        <is>
          <t>MOROCCO-DGSN Rabat - LETD</t>
        </is>
      </c>
      <c r="G3257" t="inlineStr">
        <is>
          <t>GVL</t>
        </is>
      </c>
      <c r="H3257" t="inlineStr">
        <is>
          <t>BATTERY</t>
        </is>
      </c>
      <c r="J3257" t="inlineStr">
        <is>
          <t>BERNARDEAU</t>
        </is>
      </c>
      <c r="K3257" t="inlineStr">
        <is>
          <t>METAL</t>
        </is>
      </c>
      <c r="L3257">
        <f>_xlfn.XLOOKUP(Tableau1[[#This Row],[TYPE DE PIECE]],Tableau4[MATIERE],Tableau4[SHORT TYPE],"",0,1)</f>
        <v/>
      </c>
      <c r="N3257">
        <f>IF(ISERR(FIND("DECOUPE",Tableau1[[#This Row],[DESIGNATION]])),"","NEED REF")</f>
        <v/>
      </c>
    </row>
    <row r="3258">
      <c r="B3258" t="n">
        <v>34410747</v>
      </c>
      <c r="C3258" s="2" t="n">
        <v>44728</v>
      </c>
      <c r="D3258" t="inlineStr">
        <is>
          <t>SPEC</t>
        </is>
      </c>
      <c r="E3258" t="inlineStr">
        <is>
          <t>COP LIAISON COP BAR 4</t>
        </is>
      </c>
      <c r="F3258" t="inlineStr">
        <is>
          <t>MOROCCO-DGSN Rabat - LETD</t>
        </is>
      </c>
      <c r="G3258" t="inlineStr">
        <is>
          <t>GVL</t>
        </is>
      </c>
      <c r="H3258" t="inlineStr">
        <is>
          <t>BATTERY</t>
        </is>
      </c>
      <c r="J3258" t="inlineStr">
        <is>
          <t>BERNARDEAU</t>
        </is>
      </c>
      <c r="K3258" t="inlineStr">
        <is>
          <t>CUIVRE</t>
        </is>
      </c>
      <c r="L3258">
        <f>_xlfn.XLOOKUP(Tableau1[[#This Row],[TYPE DE PIECE]],Tableau4[MATIERE],Tableau4[SHORT TYPE],"",0,1)</f>
        <v/>
      </c>
      <c r="N3258">
        <f>IF(ISERR(FIND("DECOUPE",Tableau1[[#This Row],[DESIGNATION]])),"","NEED REF")</f>
        <v/>
      </c>
    </row>
    <row r="3259">
      <c r="B3259" t="n">
        <v>34410746</v>
      </c>
      <c r="C3259" s="2" t="n">
        <v>44728</v>
      </c>
      <c r="D3259" t="inlineStr">
        <is>
          <t>SPEC</t>
        </is>
      </c>
      <c r="E3259" t="inlineStr">
        <is>
          <t>COP LIAISON COP BAR 3</t>
        </is>
      </c>
      <c r="F3259" t="inlineStr">
        <is>
          <t>MOROCCO-DGSN Rabat - LETD</t>
        </is>
      </c>
      <c r="G3259" t="inlineStr">
        <is>
          <t>GVL</t>
        </is>
      </c>
      <c r="H3259" t="inlineStr">
        <is>
          <t>BATTERY</t>
        </is>
      </c>
      <c r="J3259" t="inlineStr">
        <is>
          <t>BERNARDEAU</t>
        </is>
      </c>
      <c r="K3259" t="inlineStr">
        <is>
          <t>CUIVRE</t>
        </is>
      </c>
      <c r="L3259">
        <f>_xlfn.XLOOKUP(Tableau1[[#This Row],[TYPE DE PIECE]],Tableau4[MATIERE],Tableau4[SHORT TYPE],"",0,1)</f>
        <v/>
      </c>
      <c r="N3259">
        <f>IF(ISERR(FIND("DECOUPE",Tableau1[[#This Row],[DESIGNATION]])),"","NEED REF")</f>
        <v/>
      </c>
    </row>
    <row r="3260">
      <c r="B3260" t="n">
        <v>34410745</v>
      </c>
      <c r="C3260" s="2" t="n">
        <v>44728</v>
      </c>
      <c r="D3260" t="inlineStr">
        <is>
          <t>SPEC</t>
        </is>
      </c>
      <c r="E3260" t="inlineStr">
        <is>
          <t>COP CALE 120x100</t>
        </is>
      </c>
      <c r="F3260" t="inlineStr">
        <is>
          <t>DATA4 DC07</t>
        </is>
      </c>
      <c r="G3260" t="inlineStr">
        <is>
          <t>GVL</t>
        </is>
      </c>
      <c r="H3260" t="inlineStr">
        <is>
          <t>BYPASS</t>
        </is>
      </c>
      <c r="J3260" t="inlineStr">
        <is>
          <t>MATRION</t>
        </is>
      </c>
      <c r="K3260" t="inlineStr">
        <is>
          <t>CUIVRE</t>
        </is>
      </c>
      <c r="L3260">
        <f>_xlfn.XLOOKUP(Tableau1[[#This Row],[TYPE DE PIECE]],Tableau4[MATIERE],Tableau4[SHORT TYPE],"",0,1)</f>
        <v/>
      </c>
      <c r="N3260">
        <f>IF(ISERR(FIND("DECOUPE",Tableau1[[#This Row],[DESIGNATION]])),"","NEED REF")</f>
        <v/>
      </c>
    </row>
    <row r="3261">
      <c r="B3261" t="n">
        <v>34410744</v>
      </c>
      <c r="C3261" s="2" t="n">
        <v>44728</v>
      </c>
      <c r="D3261" t="inlineStr">
        <is>
          <t>SPEC</t>
        </is>
      </c>
      <c r="E3261" t="inlineStr">
        <is>
          <t>COP CALE 60x120</t>
        </is>
      </c>
      <c r="F3261" t="inlineStr">
        <is>
          <t>DATA4 DC07</t>
        </is>
      </c>
      <c r="G3261" t="inlineStr">
        <is>
          <t>GVL</t>
        </is>
      </c>
      <c r="H3261" t="inlineStr">
        <is>
          <t>BYPASS</t>
        </is>
      </c>
      <c r="J3261" t="inlineStr">
        <is>
          <t>MATRION</t>
        </is>
      </c>
      <c r="K3261" t="inlineStr">
        <is>
          <t>CUIVRE</t>
        </is>
      </c>
      <c r="L3261">
        <f>_xlfn.XLOOKUP(Tableau1[[#This Row],[TYPE DE PIECE]],Tableau4[MATIERE],Tableau4[SHORT TYPE],"",0,1)</f>
        <v/>
      </c>
      <c r="N3261">
        <f>IF(ISERR(FIND("DECOUPE",Tableau1[[#This Row],[DESIGNATION]])),"","NEED REF")</f>
        <v/>
      </c>
    </row>
    <row r="3262">
      <c r="B3262" t="n">
        <v>34410743</v>
      </c>
      <c r="C3262" s="2" t="n">
        <v>44728</v>
      </c>
      <c r="D3262" t="inlineStr">
        <is>
          <t>SPEC</t>
        </is>
      </c>
      <c r="E3262" t="inlineStr">
        <is>
          <t>SMT SUPPORT ELEC BAS</t>
        </is>
      </c>
      <c r="F3262" t="inlineStr">
        <is>
          <t>DATA4 DC07</t>
        </is>
      </c>
      <c r="G3262" t="inlineStr">
        <is>
          <t>GVL</t>
        </is>
      </c>
      <c r="H3262" t="inlineStr">
        <is>
          <t>BYPASS</t>
        </is>
      </c>
      <c r="J3262" t="inlineStr">
        <is>
          <t>MATRION</t>
        </is>
      </c>
      <c r="K3262" t="inlineStr">
        <is>
          <t>METAL</t>
        </is>
      </c>
      <c r="L3262">
        <f>_xlfn.XLOOKUP(Tableau1[[#This Row],[TYPE DE PIECE]],Tableau4[MATIERE],Tableau4[SHORT TYPE],"",0,1)</f>
        <v/>
      </c>
      <c r="N3262">
        <f>IF(ISERR(FIND("DECOUPE",Tableau1[[#This Row],[DESIGNATION]])),"","NEED REF")</f>
        <v/>
      </c>
    </row>
    <row r="3263">
      <c r="B3263" t="n">
        <v>34410742</v>
      </c>
      <c r="C3263" s="2" t="n">
        <v>44727</v>
      </c>
      <c r="D3263" t="inlineStr">
        <is>
          <t>SPEC</t>
        </is>
      </c>
      <c r="E3263" t="inlineStr">
        <is>
          <t>SMT TOIT</t>
        </is>
      </c>
      <c r="F3263" t="inlineStr">
        <is>
          <t>MOROCCO-DGSN Rabat - LETD</t>
        </is>
      </c>
      <c r="G3263" t="inlineStr">
        <is>
          <t>GVL</t>
        </is>
      </c>
      <c r="H3263" t="inlineStr">
        <is>
          <t>BATTERY</t>
        </is>
      </c>
      <c r="J3263" t="inlineStr">
        <is>
          <t>BERNARDEAU</t>
        </is>
      </c>
      <c r="K3263" t="inlineStr">
        <is>
          <t>METAL</t>
        </is>
      </c>
      <c r="L3263">
        <f>_xlfn.XLOOKUP(Tableau1[[#This Row],[TYPE DE PIECE]],Tableau4[MATIERE],Tableau4[SHORT TYPE],"",0,1)</f>
        <v/>
      </c>
      <c r="N3263">
        <f>IF(ISERR(FIND("DECOUPE",Tableau1[[#This Row],[DESIGNATION]])),"","NEED REF")</f>
        <v/>
      </c>
    </row>
    <row r="3264">
      <c r="B3264" t="n">
        <v>34410741</v>
      </c>
      <c r="C3264" s="2" t="n">
        <v>44727</v>
      </c>
      <c r="D3264" t="inlineStr">
        <is>
          <t>SPEC</t>
        </is>
      </c>
      <c r="E3264" t="inlineStr">
        <is>
          <t>SMT TOIT AERATION</t>
        </is>
      </c>
      <c r="F3264" t="inlineStr">
        <is>
          <t>MOROCCO-DGSN Rabat - LETD</t>
        </is>
      </c>
      <c r="G3264" t="inlineStr">
        <is>
          <t>GVL</t>
        </is>
      </c>
      <c r="H3264" t="inlineStr">
        <is>
          <t>BATTERY</t>
        </is>
      </c>
      <c r="J3264" t="inlineStr">
        <is>
          <t>BERNARDEAU</t>
        </is>
      </c>
      <c r="K3264" t="inlineStr">
        <is>
          <t>METAL</t>
        </is>
      </c>
      <c r="L3264">
        <f>_xlfn.XLOOKUP(Tableau1[[#This Row],[TYPE DE PIECE]],Tableau4[MATIERE],Tableau4[SHORT TYPE],"",0,1)</f>
        <v/>
      </c>
      <c r="N3264">
        <f>IF(ISERR(FIND("DECOUPE",Tableau1[[#This Row],[DESIGNATION]])),"","NEED REF")</f>
        <v/>
      </c>
    </row>
    <row r="3265">
      <c r="B3265" t="n">
        <v>34410740</v>
      </c>
      <c r="C3265" s="2" t="n">
        <v>44727</v>
      </c>
      <c r="D3265" t="inlineStr">
        <is>
          <t>SPEC</t>
        </is>
      </c>
      <c r="E3265" t="inlineStr">
        <is>
          <t>SMT PLASTRON CENTRAL</t>
        </is>
      </c>
      <c r="F3265" t="inlineStr">
        <is>
          <t>MOROCCO-DGSN Rabat - LETD</t>
        </is>
      </c>
      <c r="G3265" t="inlineStr">
        <is>
          <t>GVL</t>
        </is>
      </c>
      <c r="H3265" t="inlineStr">
        <is>
          <t>BATTERY</t>
        </is>
      </c>
      <c r="J3265" t="inlineStr">
        <is>
          <t>BERNARDEAU</t>
        </is>
      </c>
      <c r="K3265" t="inlineStr">
        <is>
          <t>METAL</t>
        </is>
      </c>
      <c r="L3265">
        <f>_xlfn.XLOOKUP(Tableau1[[#This Row],[TYPE DE PIECE]],Tableau4[MATIERE],Tableau4[SHORT TYPE],"",0,1)</f>
        <v/>
      </c>
      <c r="N3265">
        <f>IF(ISERR(FIND("DECOUPE",Tableau1[[#This Row],[DESIGNATION]])),"","NEED REF")</f>
        <v/>
      </c>
    </row>
    <row r="3266">
      <c r="B3266" t="n">
        <v>34410739</v>
      </c>
      <c r="C3266" s="2" t="n">
        <v>44727</v>
      </c>
      <c r="D3266" t="inlineStr">
        <is>
          <t>SPEC</t>
        </is>
      </c>
      <c r="E3266" t="inlineStr">
        <is>
          <t>SMT PLASTRON HAUT / BAS</t>
        </is>
      </c>
      <c r="F3266" t="inlineStr">
        <is>
          <t>MOROCCO-DGSN Rabat - LETD</t>
        </is>
      </c>
      <c r="G3266" t="inlineStr">
        <is>
          <t>GVL</t>
        </is>
      </c>
      <c r="H3266" t="inlineStr">
        <is>
          <t>BATTERY</t>
        </is>
      </c>
      <c r="J3266" t="inlineStr">
        <is>
          <t>BERNARDEAU</t>
        </is>
      </c>
      <c r="K3266" t="inlineStr">
        <is>
          <t>METAL</t>
        </is>
      </c>
      <c r="L3266">
        <f>_xlfn.XLOOKUP(Tableau1[[#This Row],[TYPE DE PIECE]],Tableau4[MATIERE],Tableau4[SHORT TYPE],"",0,1)</f>
        <v/>
      </c>
      <c r="N3266">
        <f>IF(ISERR(FIND("DECOUPE",Tableau1[[#This Row],[DESIGNATION]])),"","NEED REF")</f>
        <v/>
      </c>
    </row>
    <row r="3267">
      <c r="B3267" t="n">
        <v>34410738</v>
      </c>
      <c r="C3267" s="2" t="n">
        <v>44727</v>
      </c>
      <c r="D3267" t="inlineStr">
        <is>
          <t>SPEC</t>
        </is>
      </c>
      <c r="E3267" t="inlineStr">
        <is>
          <t>SMT TRAVERSE SUPPORT</t>
        </is>
      </c>
      <c r="F3267" t="inlineStr">
        <is>
          <t>MOROCCO-DGSN Rabat - LETD</t>
        </is>
      </c>
      <c r="G3267" t="inlineStr">
        <is>
          <t>GVL</t>
        </is>
      </c>
      <c r="H3267" t="inlineStr">
        <is>
          <t>BATTERY</t>
        </is>
      </c>
      <c r="J3267" t="inlineStr">
        <is>
          <t>BERNARDEAU</t>
        </is>
      </c>
      <c r="K3267" t="inlineStr">
        <is>
          <t>METAL</t>
        </is>
      </c>
      <c r="L3267">
        <f>_xlfn.XLOOKUP(Tableau1[[#This Row],[TYPE DE PIECE]],Tableau4[MATIERE],Tableau4[SHORT TYPE],"",0,1)</f>
        <v/>
      </c>
      <c r="N3267">
        <f>IF(ISERR(FIND("DECOUPE",Tableau1[[#This Row],[DESIGNATION]])),"","NEED REF")</f>
        <v/>
      </c>
    </row>
    <row r="3268">
      <c r="B3268" t="n">
        <v>34410737</v>
      </c>
      <c r="C3268" s="2" t="n">
        <v>44727</v>
      </c>
      <c r="D3268" t="inlineStr">
        <is>
          <t>SPEC</t>
        </is>
      </c>
      <c r="E3268" t="inlineStr">
        <is>
          <t>COP LIAISON COP BAR 2</t>
        </is>
      </c>
      <c r="F3268" t="inlineStr">
        <is>
          <t>MOROCCO-DGSN Rabat - LETD</t>
        </is>
      </c>
      <c r="G3268" t="inlineStr">
        <is>
          <t>GVL</t>
        </is>
      </c>
      <c r="H3268" t="inlineStr">
        <is>
          <t>BATTERY</t>
        </is>
      </c>
      <c r="J3268" t="inlineStr">
        <is>
          <t>BERNARDEAU</t>
        </is>
      </c>
      <c r="K3268" t="inlineStr">
        <is>
          <t>CUIVRE</t>
        </is>
      </c>
      <c r="L3268">
        <f>_xlfn.XLOOKUP(Tableau1[[#This Row],[TYPE DE PIECE]],Tableau4[MATIERE],Tableau4[SHORT TYPE],"",0,1)</f>
        <v/>
      </c>
      <c r="N3268">
        <f>IF(ISERR(FIND("DECOUPE",Tableau1[[#This Row],[DESIGNATION]])),"","NEED REF")</f>
        <v/>
      </c>
    </row>
    <row r="3269">
      <c r="B3269" t="n">
        <v>34410736</v>
      </c>
      <c r="C3269" s="2" t="n">
        <v>44727</v>
      </c>
      <c r="D3269" t="inlineStr">
        <is>
          <t>SPEC</t>
        </is>
      </c>
      <c r="E3269" t="inlineStr">
        <is>
          <t>COP LIAISON COP BAR 1</t>
        </is>
      </c>
      <c r="F3269" t="inlineStr">
        <is>
          <t>MOROCCO-DGSN Rabat - LETD</t>
        </is>
      </c>
      <c r="G3269" t="inlineStr">
        <is>
          <t>GVL</t>
        </is>
      </c>
      <c r="H3269" t="inlineStr">
        <is>
          <t>BATTERY</t>
        </is>
      </c>
      <c r="J3269" t="inlineStr">
        <is>
          <t>BERNARDEAU</t>
        </is>
      </c>
      <c r="K3269" t="inlineStr">
        <is>
          <t>CUIVRE</t>
        </is>
      </c>
      <c r="L3269">
        <f>_xlfn.XLOOKUP(Tableau1[[#This Row],[TYPE DE PIECE]],Tableau4[MATIERE],Tableau4[SHORT TYPE],"",0,1)</f>
        <v/>
      </c>
      <c r="N3269">
        <f>IF(ISERR(FIND("DECOUPE",Tableau1[[#This Row],[DESIGNATION]])),"","NEED REF")</f>
        <v/>
      </c>
    </row>
    <row r="3270">
      <c r="B3270" t="n">
        <v>34410735</v>
      </c>
      <c r="C3270" s="2" t="n">
        <v>44727</v>
      </c>
      <c r="D3270" t="inlineStr">
        <is>
          <t>SPEC</t>
        </is>
      </c>
      <c r="E3270" t="inlineStr">
        <is>
          <t>COP CONNEXION BATT + / -</t>
        </is>
      </c>
      <c r="F3270" t="inlineStr">
        <is>
          <t>MOROCCO-DGSN Rabat - LETD</t>
        </is>
      </c>
      <c r="G3270" t="inlineStr">
        <is>
          <t>GVL</t>
        </is>
      </c>
      <c r="H3270" t="inlineStr">
        <is>
          <t>BATTERY</t>
        </is>
      </c>
      <c r="J3270" t="inlineStr">
        <is>
          <t>BERNARDEAU</t>
        </is>
      </c>
      <c r="K3270" t="inlineStr">
        <is>
          <t>CUIVRE</t>
        </is>
      </c>
      <c r="L3270">
        <f>_xlfn.XLOOKUP(Tableau1[[#This Row],[TYPE DE PIECE]],Tableau4[MATIERE],Tableau4[SHORT TYPE],"",0,1)</f>
        <v/>
      </c>
      <c r="N3270">
        <f>IF(ISERR(FIND("DECOUPE",Tableau1[[#This Row],[DESIGNATION]])),"","NEED REF")</f>
        <v/>
      </c>
    </row>
    <row r="3271">
      <c r="B3271" t="n">
        <v>34410734</v>
      </c>
      <c r="C3271" s="2" t="n">
        <v>44727</v>
      </c>
      <c r="D3271" t="inlineStr">
        <is>
          <t>SPEC</t>
        </is>
      </c>
      <c r="E3271" t="inlineStr">
        <is>
          <t>SMT SUPPORT NSX1200 x2</t>
        </is>
      </c>
      <c r="F3271" t="inlineStr">
        <is>
          <t>MOROCCO-DGSN Rabat - LETD</t>
        </is>
      </c>
      <c r="G3271" t="inlineStr">
        <is>
          <t>GVL</t>
        </is>
      </c>
      <c r="H3271" t="inlineStr">
        <is>
          <t>BATTERY</t>
        </is>
      </c>
      <c r="J3271" t="inlineStr">
        <is>
          <t>BERNARDEAU</t>
        </is>
      </c>
      <c r="K3271" t="inlineStr">
        <is>
          <t>METAL</t>
        </is>
      </c>
      <c r="L3271">
        <f>_xlfn.XLOOKUP(Tableau1[[#This Row],[TYPE DE PIECE]],Tableau4[MATIERE],Tableau4[SHORT TYPE],"",0,1)</f>
        <v/>
      </c>
      <c r="N3271">
        <f>IF(ISERR(FIND("DECOUPE",Tableau1[[#This Row],[DESIGNATION]])),"","NEED REF")</f>
        <v/>
      </c>
    </row>
    <row r="3272">
      <c r="B3272" t="n">
        <v>34410733</v>
      </c>
      <c r="C3272" s="2" t="n">
        <v>44725</v>
      </c>
      <c r="D3272" t="inlineStr">
        <is>
          <t>SPEC</t>
        </is>
      </c>
      <c r="E3272" t="inlineStr">
        <is>
          <t>SMT SUPPORT SKRU</t>
        </is>
      </c>
      <c r="F3272" t="inlineStr">
        <is>
          <t>DATA4 DC07</t>
        </is>
      </c>
      <c r="G3272" t="inlineStr">
        <is>
          <t>GVL</t>
        </is>
      </c>
      <c r="H3272" t="inlineStr">
        <is>
          <t>BYPASS</t>
        </is>
      </c>
      <c r="J3272" t="inlineStr">
        <is>
          <t>MATRION</t>
        </is>
      </c>
      <c r="K3272" t="inlineStr">
        <is>
          <t>METAL</t>
        </is>
      </c>
      <c r="L3272">
        <f>_xlfn.XLOOKUP(Tableau1[[#This Row],[TYPE DE PIECE]],Tableau4[MATIERE],Tableau4[SHORT TYPE],"",0,1)</f>
        <v/>
      </c>
      <c r="N3272">
        <f>IF(ISERR(FIND("DECOUPE",Tableau1[[#This Row],[DESIGNATION]])),"","NEED REF")</f>
        <v/>
      </c>
    </row>
    <row r="3273">
      <c r="B3273" t="n">
        <v>34410732</v>
      </c>
      <c r="C3273" s="2" t="n">
        <v>44725</v>
      </c>
      <c r="D3273" t="inlineStr">
        <is>
          <t>SPEC</t>
        </is>
      </c>
      <c r="E3273" t="inlineStr">
        <is>
          <t>SMT SUPPORT VOYANT</t>
        </is>
      </c>
      <c r="F3273" t="inlineStr">
        <is>
          <t>DATA4 DC07</t>
        </is>
      </c>
      <c r="G3273" t="inlineStr">
        <is>
          <t>GVL</t>
        </is>
      </c>
      <c r="H3273" t="inlineStr">
        <is>
          <t>BYPASS</t>
        </is>
      </c>
      <c r="J3273" t="inlineStr">
        <is>
          <t>MATRION</t>
        </is>
      </c>
      <c r="K3273" t="inlineStr">
        <is>
          <t>METAL</t>
        </is>
      </c>
      <c r="L3273">
        <f>_xlfn.XLOOKUP(Tableau1[[#This Row],[TYPE DE PIECE]],Tableau4[MATIERE],Tableau4[SHORT TYPE],"",0,1)</f>
        <v/>
      </c>
      <c r="N3273">
        <f>IF(ISERR(FIND("DECOUPE",Tableau1[[#This Row],[DESIGNATION]])),"","NEED REF")</f>
        <v/>
      </c>
    </row>
    <row r="3274">
      <c r="B3274" t="n">
        <v>34410731</v>
      </c>
      <c r="C3274" s="2" t="n">
        <v>44725</v>
      </c>
      <c r="D3274" t="inlineStr">
        <is>
          <t>SPEC</t>
        </is>
      </c>
      <c r="E3274" t="inlineStr">
        <is>
          <t>SMT PLASTRON MODULE ELEC HAUT</t>
        </is>
      </c>
      <c r="F3274" t="inlineStr">
        <is>
          <t>DATA4 DC07</t>
        </is>
      </c>
      <c r="G3274" t="inlineStr">
        <is>
          <t>GVL</t>
        </is>
      </c>
      <c r="H3274" t="inlineStr">
        <is>
          <t>BYPASS</t>
        </is>
      </c>
      <c r="J3274" t="inlineStr">
        <is>
          <t>MATRION</t>
        </is>
      </c>
      <c r="K3274" t="inlineStr">
        <is>
          <t>METAL</t>
        </is>
      </c>
      <c r="L3274">
        <f>_xlfn.XLOOKUP(Tableau1[[#This Row],[TYPE DE PIECE]],Tableau4[MATIERE],Tableau4[SHORT TYPE],"",0,1)</f>
        <v/>
      </c>
      <c r="N3274">
        <f>IF(ISERR(FIND("DECOUPE",Tableau1[[#This Row],[DESIGNATION]])),"","NEED REF")</f>
        <v/>
      </c>
    </row>
    <row r="3275">
      <c r="B3275" t="n">
        <v>34410730</v>
      </c>
      <c r="C3275" s="2" t="n">
        <v>44725</v>
      </c>
      <c r="D3275" t="inlineStr">
        <is>
          <t>SPEC</t>
        </is>
      </c>
      <c r="E3275" t="inlineStr">
        <is>
          <t>SMT SUPPORT DJ</t>
        </is>
      </c>
      <c r="F3275" t="inlineStr">
        <is>
          <t>DATA4 DC07</t>
        </is>
      </c>
      <c r="G3275" t="inlineStr">
        <is>
          <t>GVL</t>
        </is>
      </c>
      <c r="H3275" t="inlineStr">
        <is>
          <t>BYPASS</t>
        </is>
      </c>
      <c r="J3275" t="inlineStr">
        <is>
          <t>MATRION</t>
        </is>
      </c>
      <c r="K3275" t="inlineStr">
        <is>
          <t>METAL</t>
        </is>
      </c>
      <c r="L3275">
        <f>_xlfn.XLOOKUP(Tableau1[[#This Row],[TYPE DE PIECE]],Tableau4[MATIERE],Tableau4[SHORT TYPE],"",0,1)</f>
        <v/>
      </c>
      <c r="N3275">
        <f>IF(ISERR(FIND("DECOUPE",Tableau1[[#This Row],[DESIGNATION]])),"","NEED REF")</f>
        <v/>
      </c>
    </row>
    <row r="3276">
      <c r="B3276" t="n">
        <v>34410729</v>
      </c>
      <c r="C3276" s="2" t="n">
        <v>44725</v>
      </c>
      <c r="D3276" t="inlineStr">
        <is>
          <t>SPEC</t>
        </is>
      </c>
      <c r="E3276" t="inlineStr">
        <is>
          <t>SMT SUPPORT ELEC HAUT</t>
        </is>
      </c>
      <c r="F3276" t="inlineStr">
        <is>
          <t>DATA4 DC07</t>
        </is>
      </c>
      <c r="G3276" t="inlineStr">
        <is>
          <t>GVL</t>
        </is>
      </c>
      <c r="H3276" t="inlineStr">
        <is>
          <t>BYPASS</t>
        </is>
      </c>
      <c r="J3276" t="inlineStr">
        <is>
          <t>MATRION</t>
        </is>
      </c>
      <c r="K3276" t="inlineStr">
        <is>
          <t>METAL</t>
        </is>
      </c>
      <c r="L3276">
        <f>_xlfn.XLOOKUP(Tableau1[[#This Row],[TYPE DE PIECE]],Tableau4[MATIERE],Tableau4[SHORT TYPE],"",0,1)</f>
        <v/>
      </c>
      <c r="N3276">
        <f>IF(ISERR(FIND("DECOUPE",Tableau1[[#This Row],[DESIGNATION]])),"","NEED REF")</f>
        <v/>
      </c>
    </row>
    <row r="3277">
      <c r="B3277" t="n">
        <v>34410728</v>
      </c>
      <c r="C3277" s="2" t="n">
        <v>44722</v>
      </c>
      <c r="D3277" t="inlineStr">
        <is>
          <t>SPEC</t>
        </is>
      </c>
      <c r="E3277" t="inlineStr">
        <is>
          <t>SMT PANNEAU AV 2 BYPASS RAL9003</t>
        </is>
      </c>
      <c r="F3277" t="inlineStr">
        <is>
          <t>DATA4 DC07</t>
        </is>
      </c>
      <c r="G3277" t="inlineStr">
        <is>
          <t>GVL</t>
        </is>
      </c>
      <c r="H3277" t="inlineStr">
        <is>
          <t>BYPASS</t>
        </is>
      </c>
      <c r="J3277" t="inlineStr">
        <is>
          <t>MATRION</t>
        </is>
      </c>
      <c r="K3277" t="inlineStr">
        <is>
          <t>METAL</t>
        </is>
      </c>
      <c r="L3277">
        <f>_xlfn.XLOOKUP(Tableau1[[#This Row],[TYPE DE PIECE]],Tableau4[MATIERE],Tableau4[SHORT TYPE],"",0,1)</f>
        <v/>
      </c>
      <c r="N3277">
        <f>IF(ISERR(FIND("DECOUPE",Tableau1[[#This Row],[DESIGNATION]])),"","NEED REF")</f>
        <v/>
      </c>
    </row>
    <row r="3278">
      <c r="B3278" t="n">
        <v>34410727</v>
      </c>
      <c r="C3278" s="2" t="n">
        <v>44722</v>
      </c>
      <c r="D3278" t="inlineStr">
        <is>
          <t>SPEC</t>
        </is>
      </c>
      <c r="E3278" t="inlineStr">
        <is>
          <t>SMT PANNEAU AV 1 BYPASS RAL9003</t>
        </is>
      </c>
      <c r="F3278" t="inlineStr">
        <is>
          <t>DATA4 DC07</t>
        </is>
      </c>
      <c r="G3278" t="inlineStr">
        <is>
          <t>GVL</t>
        </is>
      </c>
      <c r="H3278" t="inlineStr">
        <is>
          <t>BYPASS</t>
        </is>
      </c>
      <c r="J3278" t="inlineStr">
        <is>
          <t>MATRION</t>
        </is>
      </c>
      <c r="K3278" t="inlineStr">
        <is>
          <t>METAL</t>
        </is>
      </c>
      <c r="L3278">
        <f>_xlfn.XLOOKUP(Tableau1[[#This Row],[TYPE DE PIECE]],Tableau4[MATIERE],Tableau4[SHORT TYPE],"",0,1)</f>
        <v/>
      </c>
      <c r="N3278">
        <f>IF(ISERR(FIND("DECOUPE",Tableau1[[#This Row],[DESIGNATION]])),"","NEED REF")</f>
        <v/>
      </c>
    </row>
    <row r="3279">
      <c r="B3279" t="n">
        <v>34410726</v>
      </c>
      <c r="C3279" s="2" t="n">
        <v>44722</v>
      </c>
      <c r="D3279" t="inlineStr">
        <is>
          <t>SPEC</t>
        </is>
      </c>
      <c r="E3279" t="inlineStr">
        <is>
          <t>SMT TOIT BYPASS DROIT</t>
        </is>
      </c>
      <c r="F3279" t="inlineStr">
        <is>
          <t>DATA4 DC07</t>
        </is>
      </c>
      <c r="G3279" t="inlineStr">
        <is>
          <t>GVL</t>
        </is>
      </c>
      <c r="H3279" t="inlineStr">
        <is>
          <t>BYPASS</t>
        </is>
      </c>
      <c r="J3279" t="inlineStr">
        <is>
          <t>MATRION</t>
        </is>
      </c>
      <c r="K3279" t="inlineStr">
        <is>
          <t>METAL</t>
        </is>
      </c>
      <c r="L3279">
        <f>_xlfn.XLOOKUP(Tableau1[[#This Row],[TYPE DE PIECE]],Tableau4[MATIERE],Tableau4[SHORT TYPE],"",0,1)</f>
        <v/>
      </c>
      <c r="N3279">
        <f>IF(ISERR(FIND("DECOUPE",Tableau1[[#This Row],[DESIGNATION]])),"","NEED REF")</f>
        <v/>
      </c>
    </row>
    <row r="3280">
      <c r="B3280" t="n">
        <v>34410725</v>
      </c>
      <c r="C3280" s="2" t="n">
        <v>44722</v>
      </c>
      <c r="D3280" t="inlineStr">
        <is>
          <t>SPEC</t>
        </is>
      </c>
      <c r="E3280" t="inlineStr">
        <is>
          <t>SMT TOIT BYPASS CENTRE</t>
        </is>
      </c>
      <c r="F3280" t="inlineStr">
        <is>
          <t>DATA4 DC07</t>
        </is>
      </c>
      <c r="G3280" t="inlineStr">
        <is>
          <t>GVL</t>
        </is>
      </c>
      <c r="H3280" t="inlineStr">
        <is>
          <t>BYPASS</t>
        </is>
      </c>
      <c r="J3280" t="inlineStr">
        <is>
          <t>MATRION</t>
        </is>
      </c>
      <c r="K3280" t="inlineStr">
        <is>
          <t>METAL</t>
        </is>
      </c>
      <c r="L3280">
        <f>_xlfn.XLOOKUP(Tableau1[[#This Row],[TYPE DE PIECE]],Tableau4[MATIERE],Tableau4[SHORT TYPE],"",0,1)</f>
        <v/>
      </c>
      <c r="N3280">
        <f>IF(ISERR(FIND("DECOUPE",Tableau1[[#This Row],[DESIGNATION]])),"","NEED REF")</f>
        <v/>
      </c>
    </row>
    <row r="3281">
      <c r="B3281" t="n">
        <v>34410724</v>
      </c>
      <c r="C3281" s="2" t="n">
        <v>44722</v>
      </c>
      <c r="D3281" t="inlineStr">
        <is>
          <t>SPEC</t>
        </is>
      </c>
      <c r="E3281" t="inlineStr">
        <is>
          <t>SMT TOIT BYPASS GAUCHE</t>
        </is>
      </c>
      <c r="F3281" t="inlineStr">
        <is>
          <t>DATA4 DC07</t>
        </is>
      </c>
      <c r="G3281" t="inlineStr">
        <is>
          <t>GVL</t>
        </is>
      </c>
      <c r="H3281" t="inlineStr">
        <is>
          <t>BYPASS</t>
        </is>
      </c>
      <c r="J3281" t="inlineStr">
        <is>
          <t>MATRION</t>
        </is>
      </c>
      <c r="K3281" t="inlineStr">
        <is>
          <t>METAL</t>
        </is>
      </c>
      <c r="L3281">
        <f>_xlfn.XLOOKUP(Tableau1[[#This Row],[TYPE DE PIECE]],Tableau4[MATIERE],Tableau4[SHORT TYPE],"",0,1)</f>
        <v/>
      </c>
      <c r="N3281">
        <f>IF(ISERR(FIND("DECOUPE",Tableau1[[#This Row],[DESIGNATION]])),"","NEED REF")</f>
        <v/>
      </c>
    </row>
    <row r="3282">
      <c r="B3282" t="n">
        <v>34410723</v>
      </c>
      <c r="C3282" s="2" t="n">
        <v>44722</v>
      </c>
      <c r="D3282" t="inlineStr">
        <is>
          <t>SPEC</t>
        </is>
      </c>
      <c r="E3282" t="inlineStr">
        <is>
          <t>SMT SUPPORT PANNEAU AV BYPASS</t>
        </is>
      </c>
      <c r="F3282" t="inlineStr">
        <is>
          <t>DATA4 DC07</t>
        </is>
      </c>
      <c r="G3282" t="inlineStr">
        <is>
          <t>GVL</t>
        </is>
      </c>
      <c r="H3282" t="inlineStr">
        <is>
          <t>BYPASS</t>
        </is>
      </c>
      <c r="J3282" t="inlineStr">
        <is>
          <t>MATRION</t>
        </is>
      </c>
      <c r="K3282" t="inlineStr">
        <is>
          <t>METAL</t>
        </is>
      </c>
      <c r="L3282">
        <f>_xlfn.XLOOKUP(Tableau1[[#This Row],[TYPE DE PIECE]],Tableau4[MATIERE],Tableau4[SHORT TYPE],"",0,1)</f>
        <v/>
      </c>
      <c r="N3282">
        <f>IF(ISERR(FIND("DECOUPE",Tableau1[[#This Row],[DESIGNATION]])),"","NEED REF")</f>
        <v/>
      </c>
    </row>
    <row r="3283">
      <c r="B3283" t="n">
        <v>34410722</v>
      </c>
      <c r="C3283" s="2" t="n">
        <v>44721</v>
      </c>
      <c r="D3283" t="inlineStr">
        <is>
          <t>SPEC</t>
        </is>
      </c>
      <c r="E3283" t="inlineStr">
        <is>
          <t>SMT PANNEAU AV CROWN BOX BYPASS RAL9003</t>
        </is>
      </c>
      <c r="F3283" t="inlineStr">
        <is>
          <t>DATA4 DC07</t>
        </is>
      </c>
      <c r="G3283" t="inlineStr">
        <is>
          <t>GVL</t>
        </is>
      </c>
      <c r="H3283" t="inlineStr">
        <is>
          <t>BYPASS</t>
        </is>
      </c>
      <c r="J3283" t="inlineStr">
        <is>
          <t>MATRION</t>
        </is>
      </c>
      <c r="K3283" t="inlineStr">
        <is>
          <t>METAL</t>
        </is>
      </c>
      <c r="L3283">
        <f>_xlfn.XLOOKUP(Tableau1[[#This Row],[TYPE DE PIECE]],Tableau4[MATIERE],Tableau4[SHORT TYPE],"",0,1)</f>
        <v/>
      </c>
      <c r="N3283">
        <f>IF(ISERR(FIND("DECOUPE",Tableau1[[#This Row],[DESIGNATION]])),"","NEED REF")</f>
        <v/>
      </c>
    </row>
    <row r="3284">
      <c r="B3284" t="n">
        <v>34410721</v>
      </c>
      <c r="C3284" s="2" t="n">
        <v>44721</v>
      </c>
      <c r="D3284" t="inlineStr">
        <is>
          <t>SPEC</t>
        </is>
      </c>
      <c r="E3284" t="inlineStr">
        <is>
          <t>SMT PANNEAU AV CROWN BOX UPS RAL9003</t>
        </is>
      </c>
      <c r="F3284" t="inlineStr">
        <is>
          <t>DATA4 DC07</t>
        </is>
      </c>
      <c r="G3284" t="inlineStr">
        <is>
          <t>GVL</t>
        </is>
      </c>
      <c r="H3284" t="inlineStr">
        <is>
          <t>BYPASS</t>
        </is>
      </c>
      <c r="J3284" t="inlineStr">
        <is>
          <t>MATRION</t>
        </is>
      </c>
      <c r="K3284" t="inlineStr">
        <is>
          <t>METAL</t>
        </is>
      </c>
      <c r="L3284">
        <f>_xlfn.XLOOKUP(Tableau1[[#This Row],[TYPE DE PIECE]],Tableau4[MATIERE],Tableau4[SHORT TYPE],"",0,1)</f>
        <v/>
      </c>
      <c r="N3284">
        <f>IF(ISERR(FIND("DECOUPE",Tableau1[[#This Row],[DESIGNATION]])),"","NEED REF")</f>
        <v/>
      </c>
    </row>
    <row r="3285">
      <c r="B3285" t="n">
        <v>34410720</v>
      </c>
      <c r="C3285" s="2" t="n">
        <v>44721</v>
      </c>
      <c r="D3285" t="inlineStr">
        <is>
          <t>SPEC</t>
        </is>
      </c>
      <c r="E3285" t="inlineStr">
        <is>
          <t>S/E MODULE ELECTRONIQUE TERRACO</t>
        </is>
      </c>
      <c r="F3285" t="inlineStr">
        <is>
          <t>TERRACO</t>
        </is>
      </c>
      <c r="H3285" t="inlineStr">
        <is>
          <t>STS</t>
        </is>
      </c>
      <c r="J3285" t="inlineStr">
        <is>
          <t>REVEL</t>
        </is>
      </c>
      <c r="K3285" t="inlineStr">
        <is>
          <t>NOMENCLATURE</t>
        </is>
      </c>
      <c r="L3285">
        <f>_xlfn.XLOOKUP(Tableau1[[#This Row],[TYPE DE PIECE]],Tableau4[MATIERE],Tableau4[SHORT TYPE],"",0,1)</f>
        <v/>
      </c>
      <c r="N3285">
        <f>IF(ISERR(FIND("DECOUPE",Tableau1[[#This Row],[DESIGNATION]])),"","NEED REF")</f>
        <v/>
      </c>
    </row>
    <row r="3286">
      <c r="B3286" t="n">
        <v>34410719</v>
      </c>
      <c r="C3286" s="2" t="n">
        <v>44721</v>
      </c>
      <c r="D3286" t="inlineStr">
        <is>
          <t>SPEC</t>
        </is>
      </c>
      <c r="E3286" t="inlineStr">
        <is>
          <t>S/E PLATINE NEUTRE COUPE TERRACO</t>
        </is>
      </c>
      <c r="F3286" t="inlineStr">
        <is>
          <t>TERRACO</t>
        </is>
      </c>
      <c r="H3286" t="inlineStr">
        <is>
          <t>STS</t>
        </is>
      </c>
      <c r="J3286" t="inlineStr">
        <is>
          <t>REVEL</t>
        </is>
      </c>
      <c r="K3286" t="inlineStr">
        <is>
          <t>NOMENCLATURE</t>
        </is>
      </c>
      <c r="L3286">
        <f>_xlfn.XLOOKUP(Tableau1[[#This Row],[TYPE DE PIECE]],Tableau4[MATIERE],Tableau4[SHORT TYPE],"",0,1)</f>
        <v/>
      </c>
      <c r="N3286">
        <f>IF(ISERR(FIND("DECOUPE",Tableau1[[#This Row],[DESIGNATION]])),"","NEED REF")</f>
        <v/>
      </c>
    </row>
    <row r="3287">
      <c r="B3287" t="n">
        <v>34410718</v>
      </c>
      <c r="C3287" s="2" t="n">
        <v>44721</v>
      </c>
      <c r="D3287" t="inlineStr">
        <is>
          <t>SPEC</t>
        </is>
      </c>
      <c r="E3287" t="inlineStr">
        <is>
          <t>S/E MONTAGE EASI TERRACO</t>
        </is>
      </c>
      <c r="F3287" t="inlineStr">
        <is>
          <t>TERRACO</t>
        </is>
      </c>
      <c r="H3287" t="inlineStr">
        <is>
          <t>STS</t>
        </is>
      </c>
      <c r="J3287" t="inlineStr">
        <is>
          <t>REVEL</t>
        </is>
      </c>
      <c r="K3287" t="inlineStr">
        <is>
          <t>NOMENCLATURE</t>
        </is>
      </c>
      <c r="L3287">
        <f>_xlfn.XLOOKUP(Tableau1[[#This Row],[TYPE DE PIECE]],Tableau4[MATIERE],Tableau4[SHORT TYPE],"",0,1)</f>
        <v/>
      </c>
      <c r="N3287">
        <f>IF(ISERR(FIND("DECOUPE",Tableau1[[#This Row],[DESIGNATION]])),"","NEED REF")</f>
        <v/>
      </c>
    </row>
    <row r="3288">
      <c r="B3288" t="n">
        <v>34410717</v>
      </c>
      <c r="C3288" s="2" t="n">
        <v>44720</v>
      </c>
      <c r="D3288" t="inlineStr">
        <is>
          <t>SPEC</t>
        </is>
      </c>
      <c r="E3288" t="inlineStr">
        <is>
          <t>SMT PLAQUE PE BATTERIE ALU 6MM</t>
        </is>
      </c>
      <c r="F3288" t="inlineStr">
        <is>
          <t>DATA4 DC07</t>
        </is>
      </c>
      <c r="G3288" t="inlineStr">
        <is>
          <t>GVL</t>
        </is>
      </c>
      <c r="H3288" t="inlineStr">
        <is>
          <t>BYPASS</t>
        </is>
      </c>
      <c r="J3288" t="inlineStr">
        <is>
          <t>MATRION</t>
        </is>
      </c>
      <c r="K3288" t="inlineStr">
        <is>
          <t>METAL</t>
        </is>
      </c>
      <c r="L3288">
        <f>_xlfn.XLOOKUP(Tableau1[[#This Row],[TYPE DE PIECE]],Tableau4[MATIERE],Tableau4[SHORT TYPE],"",0,1)</f>
        <v/>
      </c>
      <c r="N3288">
        <f>IF(ISERR(FIND("DECOUPE",Tableau1[[#This Row],[DESIGNATION]])),"","NEED REF")</f>
        <v/>
      </c>
    </row>
    <row r="3289">
      <c r="B3289" t="n">
        <v>34410716</v>
      </c>
      <c r="C3289" s="2" t="n">
        <v>44719</v>
      </c>
      <c r="D3289" t="inlineStr">
        <is>
          <t>SPEC</t>
        </is>
      </c>
      <c r="E3289" t="inlineStr">
        <is>
          <t>WIRE KIT FILERIE REGEN BOX 50A AUXILIAIRE</t>
        </is>
      </c>
      <c r="F3289" t="inlineStr">
        <is>
          <t xml:space="preserve">REGEN BOX 50A </t>
        </is>
      </c>
      <c r="G3289" t="inlineStr">
        <is>
          <t>E3S</t>
        </is>
      </c>
      <c r="H3289" t="inlineStr">
        <is>
          <t>REGEN</t>
        </is>
      </c>
      <c r="J3289" t="inlineStr">
        <is>
          <t>JAWORSKI</t>
        </is>
      </c>
      <c r="K3289" t="inlineStr">
        <is>
          <t>FILERIE</t>
        </is>
      </c>
      <c r="L3289">
        <f>_xlfn.XLOOKUP(Tableau1[[#This Row],[TYPE DE PIECE]],Tableau4[MATIERE],Tableau4[SHORT TYPE],"",0,1)</f>
        <v/>
      </c>
      <c r="N3289">
        <f>IF(ISERR(FIND("DECOUPE",Tableau1[[#This Row],[DESIGNATION]])),"","NEED REF")</f>
        <v/>
      </c>
    </row>
    <row r="3290">
      <c r="B3290" t="n">
        <v>34410715</v>
      </c>
      <c r="C3290" s="2" t="n">
        <v>44719</v>
      </c>
      <c r="D3290" t="inlineStr">
        <is>
          <t>SPEC</t>
        </is>
      </c>
      <c r="E3290" t="inlineStr">
        <is>
          <t xml:space="preserve">SMT PLASTRON BCB BOX           </t>
        </is>
      </c>
      <c r="F3290" t="inlineStr">
        <is>
          <t>RICHARD EQUIPEMENT</t>
        </is>
      </c>
      <c r="G3290" t="inlineStr">
        <is>
          <t>E3M</t>
        </is>
      </c>
      <c r="H3290" t="inlineStr">
        <is>
          <t>BATTERY</t>
        </is>
      </c>
      <c r="J3290" t="inlineStr">
        <is>
          <t>JAWORSKI</t>
        </is>
      </c>
      <c r="K3290" t="inlineStr">
        <is>
          <t>METAL</t>
        </is>
      </c>
      <c r="L3290">
        <f>_xlfn.XLOOKUP(Tableau1[[#This Row],[TYPE DE PIECE]],Tableau4[MATIERE],Tableau4[SHORT TYPE],"",0,1)</f>
        <v/>
      </c>
      <c r="N3290">
        <f>IF(ISERR(FIND("DECOUPE",Tableau1[[#This Row],[DESIGNATION]])),"","NEED REF")</f>
        <v/>
      </c>
    </row>
    <row r="3291">
      <c r="B3291" t="n">
        <v>34410714</v>
      </c>
      <c r="C3291" s="2" t="n">
        <v>44719</v>
      </c>
      <c r="D3291" t="inlineStr">
        <is>
          <t>SPEC</t>
        </is>
      </c>
      <c r="E3291" t="inlineStr">
        <is>
          <t>PLA ECRAN PROTECTION CONTACT</t>
        </is>
      </c>
      <c r="F3291" t="inlineStr">
        <is>
          <t>RICHARD EQUIPEMENT</t>
        </is>
      </c>
      <c r="G3291" t="inlineStr">
        <is>
          <t>E3M</t>
        </is>
      </c>
      <c r="H3291" t="inlineStr">
        <is>
          <t>BATTERY</t>
        </is>
      </c>
      <c r="J3291" t="inlineStr">
        <is>
          <t>JAWORSKI</t>
        </is>
      </c>
      <c r="K3291" t="inlineStr">
        <is>
          <t>PLASTIQUE</t>
        </is>
      </c>
      <c r="L3291">
        <f>_xlfn.XLOOKUP(Tableau1[[#This Row],[TYPE DE PIECE]],Tableau4[MATIERE],Tableau4[SHORT TYPE],"",0,1)</f>
        <v/>
      </c>
      <c r="N3291">
        <f>IF(ISERR(FIND("DECOUPE",Tableau1[[#This Row],[DESIGNATION]])),"","NEED REF")</f>
        <v/>
      </c>
    </row>
    <row r="3292">
      <c r="B3292" t="n">
        <v>34410713</v>
      </c>
      <c r="C3292" s="2" t="n">
        <v>44719</v>
      </c>
      <c r="D3292" t="inlineStr">
        <is>
          <t>SPEC</t>
        </is>
      </c>
      <c r="E3292" t="inlineStr">
        <is>
          <t>SMT EQUERRE FIXATION PROTECTION</t>
        </is>
      </c>
      <c r="F3292" t="inlineStr">
        <is>
          <t>RICHARD EQUIPEMENT</t>
        </is>
      </c>
      <c r="G3292" t="inlineStr">
        <is>
          <t>E3M</t>
        </is>
      </c>
      <c r="H3292" t="inlineStr">
        <is>
          <t>BATTERY</t>
        </is>
      </c>
      <c r="J3292" t="inlineStr">
        <is>
          <t>JAWORSKI</t>
        </is>
      </c>
      <c r="K3292" t="inlineStr">
        <is>
          <t>METAL</t>
        </is>
      </c>
      <c r="L3292">
        <f>_xlfn.XLOOKUP(Tableau1[[#This Row],[TYPE DE PIECE]],Tableau4[MATIERE],Tableau4[SHORT TYPE],"",0,1)</f>
        <v/>
      </c>
      <c r="N3292">
        <f>IF(ISERR(FIND("DECOUPE",Tableau1[[#This Row],[DESIGNATION]])),"","NEED REF")</f>
        <v/>
      </c>
    </row>
    <row r="3293">
      <c r="B3293" t="n">
        <v>34410712</v>
      </c>
      <c r="C3293" s="2" t="n">
        <v>44719</v>
      </c>
      <c r="D3293" t="inlineStr">
        <is>
          <t>SPEC</t>
        </is>
      </c>
      <c r="E3293" t="inlineStr">
        <is>
          <t>SMT SUPPORT ISOLATEUR</t>
        </is>
      </c>
      <c r="F3293" t="inlineStr">
        <is>
          <t>RICHARD EQUIPEMENT</t>
        </is>
      </c>
      <c r="G3293" t="inlineStr">
        <is>
          <t>E3M</t>
        </is>
      </c>
      <c r="H3293" t="inlineStr">
        <is>
          <t>BATTERY</t>
        </is>
      </c>
      <c r="J3293" t="inlineStr">
        <is>
          <t>JAWORSKI</t>
        </is>
      </c>
      <c r="K3293" t="inlineStr">
        <is>
          <t>METAL</t>
        </is>
      </c>
      <c r="L3293">
        <f>_xlfn.XLOOKUP(Tableau1[[#This Row],[TYPE DE PIECE]],Tableau4[MATIERE],Tableau4[SHORT TYPE],"",0,1)</f>
        <v/>
      </c>
      <c r="N3293">
        <f>IF(ISERR(FIND("DECOUPE",Tableau1[[#This Row],[DESIGNATION]])),"","NEED REF")</f>
        <v/>
      </c>
    </row>
    <row r="3294">
      <c r="B3294" t="n">
        <v>34410711</v>
      </c>
      <c r="C3294" s="2" t="n">
        <v>44719</v>
      </c>
      <c r="D3294" t="inlineStr">
        <is>
          <t>SPEC</t>
        </is>
      </c>
      <c r="E3294" t="inlineStr">
        <is>
          <t>COP CONNEXION BATT + / -</t>
        </is>
      </c>
      <c r="F3294" t="inlineStr">
        <is>
          <t>RICHARD EQUIPEMENT</t>
        </is>
      </c>
      <c r="G3294" t="inlineStr">
        <is>
          <t>E3M</t>
        </is>
      </c>
      <c r="H3294" t="inlineStr">
        <is>
          <t>BATTERY</t>
        </is>
      </c>
      <c r="J3294" t="inlineStr">
        <is>
          <t>JAWORSKI</t>
        </is>
      </c>
      <c r="K3294" t="inlineStr">
        <is>
          <t>CUIVRE</t>
        </is>
      </c>
      <c r="L3294">
        <f>_xlfn.XLOOKUP(Tableau1[[#This Row],[TYPE DE PIECE]],Tableau4[MATIERE],Tableau4[SHORT TYPE],"",0,1)</f>
        <v/>
      </c>
      <c r="N3294">
        <f>IF(ISERR(FIND("DECOUPE",Tableau1[[#This Row],[DESIGNATION]])),"","NEED REF")</f>
        <v/>
      </c>
    </row>
    <row r="3295">
      <c r="B3295" t="n">
        <v>34410710</v>
      </c>
      <c r="C3295" s="2" t="n">
        <v>44719</v>
      </c>
      <c r="D3295" t="inlineStr">
        <is>
          <t>SPEC</t>
        </is>
      </c>
      <c r="E3295" t="inlineStr">
        <is>
          <t>COP CONNEXION NEUTRE</t>
        </is>
      </c>
      <c r="F3295" t="inlineStr">
        <is>
          <t>RICHARD EQUIPEMENT</t>
        </is>
      </c>
      <c r="G3295" t="inlineStr">
        <is>
          <t>E3M</t>
        </is>
      </c>
      <c r="H3295" t="inlineStr">
        <is>
          <t>BATTERY</t>
        </is>
      </c>
      <c r="J3295" t="inlineStr">
        <is>
          <t>JAWORSKI</t>
        </is>
      </c>
      <c r="K3295" t="inlineStr">
        <is>
          <t>CUIVRE</t>
        </is>
      </c>
      <c r="L3295">
        <f>_xlfn.XLOOKUP(Tableau1[[#This Row],[TYPE DE PIECE]],Tableau4[MATIERE],Tableau4[SHORT TYPE],"",0,1)</f>
        <v/>
      </c>
      <c r="N3295">
        <f>IF(ISERR(FIND("DECOUPE",Tableau1[[#This Row],[DESIGNATION]])),"","NEED REF")</f>
        <v/>
      </c>
    </row>
    <row r="3296">
      <c r="B3296" t="n">
        <v>34410709</v>
      </c>
      <c r="C3296" s="2" t="n">
        <v>44719</v>
      </c>
      <c r="D3296" t="inlineStr">
        <is>
          <t>SPEC</t>
        </is>
      </c>
      <c r="E3296" t="inlineStr">
        <is>
          <t>SMT PLATINE DE FOND</t>
        </is>
      </c>
      <c r="F3296" t="inlineStr">
        <is>
          <t>RICHARD EQUIPEMENT</t>
        </is>
      </c>
      <c r="G3296" t="inlineStr">
        <is>
          <t>E3M</t>
        </is>
      </c>
      <c r="H3296" t="inlineStr">
        <is>
          <t>BATTERY</t>
        </is>
      </c>
      <c r="J3296" t="inlineStr">
        <is>
          <t>JAWORSKI</t>
        </is>
      </c>
      <c r="K3296" t="inlineStr">
        <is>
          <t>METAL</t>
        </is>
      </c>
      <c r="L3296">
        <f>_xlfn.XLOOKUP(Tableau1[[#This Row],[TYPE DE PIECE]],Tableau4[MATIERE],Tableau4[SHORT TYPE],"",0,1)</f>
        <v/>
      </c>
      <c r="N3296">
        <f>IF(ISERR(FIND("DECOUPE",Tableau1[[#This Row],[DESIGNATION]])),"","NEED REF")</f>
        <v/>
      </c>
    </row>
    <row r="3297">
      <c r="B3297" t="n">
        <v>34410708</v>
      </c>
      <c r="C3297" s="2" t="n">
        <v>44719</v>
      </c>
      <c r="D3297" t="inlineStr">
        <is>
          <t>SPEC</t>
        </is>
      </c>
      <c r="E3297" t="inlineStr">
        <is>
          <t>SMT PANNEAU LAT 2 CROWN BOX RAL9003</t>
        </is>
      </c>
      <c r="F3297" t="inlineStr">
        <is>
          <t>DATA4 DC07</t>
        </is>
      </c>
      <c r="G3297" t="inlineStr">
        <is>
          <t>GVL</t>
        </is>
      </c>
      <c r="H3297" t="inlineStr">
        <is>
          <t>BYPASS</t>
        </is>
      </c>
      <c r="J3297" t="inlineStr">
        <is>
          <t>MATRION</t>
        </is>
      </c>
      <c r="K3297" t="inlineStr">
        <is>
          <t>METAL</t>
        </is>
      </c>
      <c r="L3297">
        <f>_xlfn.XLOOKUP(Tableau1[[#This Row],[TYPE DE PIECE]],Tableau4[MATIERE],Tableau4[SHORT TYPE],"",0,1)</f>
        <v/>
      </c>
      <c r="N3297">
        <f>IF(ISERR(FIND("DECOUPE",Tableau1[[#This Row],[DESIGNATION]])),"","NEED REF")</f>
        <v/>
      </c>
    </row>
    <row r="3298">
      <c r="B3298" t="n">
        <v>34410707</v>
      </c>
      <c r="C3298" s="2" t="n">
        <v>44719</v>
      </c>
      <c r="D3298" t="inlineStr">
        <is>
          <t>SPEC</t>
        </is>
      </c>
      <c r="E3298" t="inlineStr">
        <is>
          <t>SMT PANNEAU LAT CROWN BOX RAL9003</t>
        </is>
      </c>
      <c r="F3298" t="inlineStr">
        <is>
          <t>DATA4 DC07</t>
        </is>
      </c>
      <c r="G3298" t="inlineStr">
        <is>
          <t>GVL</t>
        </is>
      </c>
      <c r="H3298" t="inlineStr">
        <is>
          <t>BYPASS</t>
        </is>
      </c>
      <c r="J3298" t="inlineStr">
        <is>
          <t>MATRION</t>
        </is>
      </c>
      <c r="K3298" t="inlineStr">
        <is>
          <t>METAL</t>
        </is>
      </c>
      <c r="L3298">
        <f>_xlfn.XLOOKUP(Tableau1[[#This Row],[TYPE DE PIECE]],Tableau4[MATIERE],Tableau4[SHORT TYPE],"",0,1)</f>
        <v/>
      </c>
      <c r="N3298">
        <f>IF(ISERR(FIND("DECOUPE",Tableau1[[#This Row],[DESIGNATION]])),"","NEED REF")</f>
        <v/>
      </c>
    </row>
    <row r="3299">
      <c r="B3299" t="n">
        <v>34410706</v>
      </c>
      <c r="C3299" s="2" t="n">
        <v>44719</v>
      </c>
      <c r="D3299" t="inlineStr">
        <is>
          <t>SPEC</t>
        </is>
      </c>
      <c r="E3299" t="inlineStr">
        <is>
          <t>SMT ROOF PANEL IP21 EASY UPS 160KVA</t>
        </is>
      </c>
      <c r="F3299" t="inlineStr">
        <is>
          <t>=SE= SVERIGE</t>
        </is>
      </c>
      <c r="G3299" t="inlineStr">
        <is>
          <t>E3M</t>
        </is>
      </c>
      <c r="J3299" t="inlineStr">
        <is>
          <t>BERNARDEAU</t>
        </is>
      </c>
      <c r="K3299" t="inlineStr">
        <is>
          <t>METAL</t>
        </is>
      </c>
      <c r="L3299">
        <f>_xlfn.XLOOKUP(Tableau1[[#This Row],[TYPE DE PIECE]],Tableau4[MATIERE],Tableau4[SHORT TYPE],"",0,1)</f>
        <v/>
      </c>
      <c r="N3299">
        <f>IF(ISERR(FIND("DECOUPE",Tableau1[[#This Row],[DESIGNATION]])),"","NEED REF")</f>
        <v/>
      </c>
    </row>
    <row r="3300">
      <c r="B3300" t="n">
        <v>34410705</v>
      </c>
      <c r="C3300" s="2" t="n">
        <v>44719</v>
      </c>
      <c r="D3300" t="inlineStr">
        <is>
          <t>SPEC</t>
        </is>
      </c>
      <c r="E3300" t="inlineStr">
        <is>
          <t>SWITCH / INTER NSX630NA 3P 1OF</t>
        </is>
      </c>
      <c r="F3300" t="inlineStr">
        <is>
          <t>KEM ONE SAS</t>
        </is>
      </c>
      <c r="G3300" t="inlineStr">
        <is>
          <t>PW</t>
        </is>
      </c>
      <c r="H3300" t="inlineStr">
        <is>
          <t>BYPASS</t>
        </is>
      </c>
      <c r="J3300" t="inlineStr">
        <is>
          <t>JAWORSKI</t>
        </is>
      </c>
      <c r="K3300" t="inlineStr">
        <is>
          <t>=SE=</t>
        </is>
      </c>
      <c r="L3300">
        <f>_xlfn.XLOOKUP(Tableau1[[#This Row],[TYPE DE PIECE]],Tableau4[MATIERE],Tableau4[SHORT TYPE],"",0,1)</f>
        <v/>
      </c>
      <c r="N3300">
        <f>IF(ISERR(FIND("DECOUPE",Tableau1[[#This Row],[DESIGNATION]])),"","NEED REF")</f>
        <v/>
      </c>
    </row>
    <row r="3301">
      <c r="B3301" t="n">
        <v>34410704</v>
      </c>
      <c r="C3301" s="2" t="n">
        <v>44719</v>
      </c>
      <c r="D3301" t="inlineStr">
        <is>
          <t>SPEC</t>
        </is>
      </c>
      <c r="E3301" t="inlineStr">
        <is>
          <t>SMT CROWN BOX UPS RAL9003</t>
        </is>
      </c>
      <c r="F3301" t="inlineStr">
        <is>
          <t>DATA4 DC07</t>
        </is>
      </c>
      <c r="G3301" t="inlineStr">
        <is>
          <t>GVL</t>
        </is>
      </c>
      <c r="H3301" t="inlineStr">
        <is>
          <t>BYPASS</t>
        </is>
      </c>
      <c r="J3301" t="inlineStr">
        <is>
          <t>MATRION</t>
        </is>
      </c>
      <c r="K3301" t="inlineStr">
        <is>
          <t>METAL</t>
        </is>
      </c>
      <c r="L3301">
        <f>_xlfn.XLOOKUP(Tableau1[[#This Row],[TYPE DE PIECE]],Tableau4[MATIERE],Tableau4[SHORT TYPE],"",0,1)</f>
        <v/>
      </c>
      <c r="N3301">
        <f>IF(ISERR(FIND("DECOUPE",Tableau1[[#This Row],[DESIGNATION]])),"","NEED REF")</f>
        <v/>
      </c>
    </row>
    <row r="3302">
      <c r="B3302" t="n">
        <v>34410703</v>
      </c>
      <c r="C3302" s="2" t="n">
        <v>44715</v>
      </c>
      <c r="D3302" t="inlineStr">
        <is>
          <t>SPEC</t>
        </is>
      </c>
      <c r="E3302" t="inlineStr">
        <is>
          <t>SMT PANNEAU LAT EP.26 GVEAC10D10 RAL9003</t>
        </is>
      </c>
      <c r="F3302" t="inlineStr">
        <is>
          <t>DATA4 DC07</t>
        </is>
      </c>
      <c r="G3302" t="inlineStr">
        <is>
          <t>GVL</t>
        </is>
      </c>
      <c r="H3302" t="inlineStr">
        <is>
          <t>BYPASS</t>
        </is>
      </c>
      <c r="J3302" t="inlineStr">
        <is>
          <t>MATRION</t>
        </is>
      </c>
      <c r="K3302" t="inlineStr">
        <is>
          <t>METAL</t>
        </is>
      </c>
      <c r="L3302">
        <f>_xlfn.XLOOKUP(Tableau1[[#This Row],[TYPE DE PIECE]],Tableau4[MATIERE],Tableau4[SHORT TYPE],"",0,1)</f>
        <v/>
      </c>
      <c r="N3302">
        <f>IF(ISERR(FIND("DECOUPE",Tableau1[[#This Row],[DESIGNATION]])),"","NEED REF")</f>
        <v/>
      </c>
    </row>
    <row r="3303">
      <c r="B3303" t="n">
        <v>34410702</v>
      </c>
      <c r="C3303" s="2" t="n">
        <v>44715</v>
      </c>
      <c r="D3303" t="inlineStr">
        <is>
          <t>SPEC</t>
        </is>
      </c>
      <c r="E3303" t="inlineStr">
        <is>
          <t>COP LIAISON PEN</t>
        </is>
      </c>
      <c r="F3303" t="inlineStr">
        <is>
          <t>DATA4 DC07</t>
        </is>
      </c>
      <c r="G3303" t="inlineStr">
        <is>
          <t>GVL</t>
        </is>
      </c>
      <c r="H3303" t="inlineStr">
        <is>
          <t>BYPASS</t>
        </is>
      </c>
      <c r="J3303" t="inlineStr">
        <is>
          <t>MATRION</t>
        </is>
      </c>
      <c r="K3303" t="inlineStr">
        <is>
          <t>CUIVRE</t>
        </is>
      </c>
      <c r="L3303">
        <f>_xlfn.XLOOKUP(Tableau1[[#This Row],[TYPE DE PIECE]],Tableau4[MATIERE],Tableau4[SHORT TYPE],"",0,1)</f>
        <v/>
      </c>
      <c r="N3303">
        <f>IF(ISERR(FIND("DECOUPE",Tableau1[[#This Row],[DESIGNATION]])),"","NEED REF")</f>
        <v/>
      </c>
    </row>
    <row r="3304">
      <c r="B3304" t="n">
        <v>34410701</v>
      </c>
      <c r="C3304" s="2" t="n">
        <v>44715</v>
      </c>
      <c r="D3304" t="inlineStr">
        <is>
          <t>SPEC</t>
        </is>
      </c>
      <c r="E3304" t="inlineStr">
        <is>
          <t>ASSY FINISHING CABINET WIDTH=700 IEC</t>
        </is>
      </c>
      <c r="F3304" t="inlineStr">
        <is>
          <t>GVEAC710</t>
        </is>
      </c>
      <c r="G3304" t="inlineStr">
        <is>
          <t>GVL</t>
        </is>
      </c>
      <c r="H3304" t="inlineStr">
        <is>
          <t>AUX</t>
        </is>
      </c>
      <c r="J3304" t="inlineStr">
        <is>
          <t>JAWORSKI</t>
        </is>
      </c>
      <c r="K3304" t="inlineStr">
        <is>
          <t>PHANTOM</t>
        </is>
      </c>
      <c r="L3304">
        <f>_xlfn.XLOOKUP(Tableau1[[#This Row],[TYPE DE PIECE]],Tableau4[MATIERE],Tableau4[SHORT TYPE],"",0,1)</f>
        <v/>
      </c>
      <c r="N3304">
        <f>IF(ISERR(FIND("DECOUPE",Tableau1[[#This Row],[DESIGNATION]])),"","NEED REF")</f>
        <v/>
      </c>
    </row>
    <row r="3305">
      <c r="B3305" t="n">
        <v>34410700</v>
      </c>
      <c r="C3305" s="2" t="n">
        <v>44715</v>
      </c>
      <c r="D3305" t="inlineStr">
        <is>
          <t>SPEC</t>
        </is>
      </c>
      <c r="E3305" t="inlineStr">
        <is>
          <t>HOUSING CABINET WIDTH =710 IEC</t>
        </is>
      </c>
      <c r="F3305" t="inlineStr">
        <is>
          <t>GVEAC710</t>
        </is>
      </c>
      <c r="G3305" t="inlineStr">
        <is>
          <t>GVL</t>
        </is>
      </c>
      <c r="H3305" t="inlineStr">
        <is>
          <t>AUX</t>
        </is>
      </c>
      <c r="J3305" t="inlineStr">
        <is>
          <t>JAWORSKI</t>
        </is>
      </c>
      <c r="K3305" t="inlineStr">
        <is>
          <t>PHANTOM</t>
        </is>
      </c>
      <c r="L3305">
        <f>_xlfn.XLOOKUP(Tableau1[[#This Row],[TYPE DE PIECE]],Tableau4[MATIERE],Tableau4[SHORT TYPE],"",0,1)</f>
        <v/>
      </c>
      <c r="N3305">
        <f>IF(ISERR(FIND("DECOUPE",Tableau1[[#This Row],[DESIGNATION]])),"","NEED REF")</f>
        <v/>
      </c>
    </row>
    <row r="3306">
      <c r="B3306" t="n">
        <v>34410699</v>
      </c>
      <c r="C3306" s="2" t="n">
        <v>44715</v>
      </c>
      <c r="D3306" t="inlineStr">
        <is>
          <t>SPEC</t>
        </is>
      </c>
      <c r="E3306" t="inlineStr">
        <is>
          <t>DOOR AUXILIARY WIDTH=700 IEC</t>
        </is>
      </c>
      <c r="F3306" t="inlineStr">
        <is>
          <t>GVEAC710</t>
        </is>
      </c>
      <c r="G3306" t="inlineStr">
        <is>
          <t>GVL</t>
        </is>
      </c>
      <c r="H3306" t="inlineStr">
        <is>
          <t>AUX</t>
        </is>
      </c>
      <c r="J3306" t="inlineStr">
        <is>
          <t>JAWORSKI</t>
        </is>
      </c>
      <c r="K3306" t="inlineStr">
        <is>
          <t>PHANTOM</t>
        </is>
      </c>
      <c r="L3306">
        <f>_xlfn.XLOOKUP(Tableau1[[#This Row],[TYPE DE PIECE]],Tableau4[MATIERE],Tableau4[SHORT TYPE],"",0,1)</f>
        <v/>
      </c>
      <c r="N3306">
        <f>IF(ISERR(FIND("DECOUPE",Tableau1[[#This Row],[DESIGNATION]])),"","NEED REF")</f>
        <v/>
      </c>
    </row>
    <row r="3307">
      <c r="B3307" t="n">
        <v>34410698</v>
      </c>
      <c r="C3307" s="2" t="n">
        <v>44715</v>
      </c>
      <c r="D3307" t="inlineStr">
        <is>
          <t>SPEC</t>
        </is>
      </c>
      <c r="E3307" t="inlineStr">
        <is>
          <t>ASSY AUXILIARY STRUCTURE WIDTH=710 IEC</t>
        </is>
      </c>
      <c r="F3307" t="inlineStr">
        <is>
          <t>GVEAC710</t>
        </is>
      </c>
      <c r="G3307" t="inlineStr">
        <is>
          <t>GVL</t>
        </is>
      </c>
      <c r="H3307" t="inlineStr">
        <is>
          <t>AUX</t>
        </is>
      </c>
      <c r="J3307" t="inlineStr">
        <is>
          <t>JAWORSKI</t>
        </is>
      </c>
      <c r="K3307" t="inlineStr">
        <is>
          <t>PHANTOM</t>
        </is>
      </c>
      <c r="L3307">
        <f>_xlfn.XLOOKUP(Tableau1[[#This Row],[TYPE DE PIECE]],Tableau4[MATIERE],Tableau4[SHORT TYPE],"",0,1)</f>
        <v/>
      </c>
      <c r="N3307">
        <f>IF(ISERR(FIND("DECOUPE",Tableau1[[#This Row],[DESIGNATION]])),"","NEED REF")</f>
        <v/>
      </c>
    </row>
    <row r="3308">
      <c r="B3308" t="n">
        <v>34410697</v>
      </c>
      <c r="C3308" s="2" t="n">
        <v>44715</v>
      </c>
      <c r="D3308" t="inlineStr">
        <is>
          <t>SPEC</t>
        </is>
      </c>
      <c r="E3308" t="inlineStr">
        <is>
          <t>SMT SUPPORT JDB OUTPUT AR</t>
        </is>
      </c>
      <c r="F3308" t="inlineStr">
        <is>
          <t>DATA4 DC07</t>
        </is>
      </c>
      <c r="G3308" t="inlineStr">
        <is>
          <t>GVL</t>
        </is>
      </c>
      <c r="H3308" t="inlineStr">
        <is>
          <t>BYPASS</t>
        </is>
      </c>
      <c r="J3308" t="inlineStr">
        <is>
          <t>MATRION</t>
        </is>
      </c>
      <c r="K3308" t="inlineStr">
        <is>
          <t>METAL</t>
        </is>
      </c>
      <c r="L3308">
        <f>_xlfn.XLOOKUP(Tableau1[[#This Row],[TYPE DE PIECE]],Tableau4[MATIERE],Tableau4[SHORT TYPE],"",0,1)</f>
        <v/>
      </c>
      <c r="N3308">
        <f>IF(ISERR(FIND("DECOUPE",Tableau1[[#This Row],[DESIGNATION]])),"","NEED REF")</f>
        <v/>
      </c>
    </row>
    <row r="3309">
      <c r="B3309" t="n">
        <v>34410696</v>
      </c>
      <c r="C3309" s="2" t="n">
        <v>44715</v>
      </c>
      <c r="D3309" t="inlineStr">
        <is>
          <t>SPEC</t>
        </is>
      </c>
      <c r="E3309" t="inlineStr">
        <is>
          <t>SMT SUPPORT JDB OUTPUT BAS</t>
        </is>
      </c>
      <c r="F3309" t="inlineStr">
        <is>
          <t>DATA4 DC07</t>
        </is>
      </c>
      <c r="G3309" t="inlineStr">
        <is>
          <t>GVL</t>
        </is>
      </c>
      <c r="H3309" t="inlineStr">
        <is>
          <t>BYPASS</t>
        </is>
      </c>
      <c r="J3309" t="inlineStr">
        <is>
          <t>MATRION</t>
        </is>
      </c>
      <c r="K3309" t="inlineStr">
        <is>
          <t>METAL</t>
        </is>
      </c>
      <c r="L3309">
        <f>_xlfn.XLOOKUP(Tableau1[[#This Row],[TYPE DE PIECE]],Tableau4[MATIERE],Tableau4[SHORT TYPE],"",0,1)</f>
        <v/>
      </c>
      <c r="N3309">
        <f>IF(ISERR(FIND("DECOUPE",Tableau1[[#This Row],[DESIGNATION]])),"","NEED REF")</f>
        <v/>
      </c>
    </row>
    <row r="3310">
      <c r="B3310" t="n">
        <v>34410695</v>
      </c>
      <c r="C3310" s="2" t="n">
        <v>44715</v>
      </c>
      <c r="D3310" t="inlineStr">
        <is>
          <t>SPEC</t>
        </is>
      </c>
      <c r="E3310" t="inlineStr">
        <is>
          <t>SMT SUPPORT JDB D/G MAINS1 UPS</t>
        </is>
      </c>
      <c r="F3310" t="inlineStr">
        <is>
          <t>DATA4 DC07</t>
        </is>
      </c>
      <c r="G3310" t="inlineStr">
        <is>
          <t>GVL</t>
        </is>
      </c>
      <c r="H3310" t="inlineStr">
        <is>
          <t>BYPASS</t>
        </is>
      </c>
      <c r="J3310" t="inlineStr">
        <is>
          <t>MATRION</t>
        </is>
      </c>
      <c r="K3310" t="inlineStr">
        <is>
          <t>METAL</t>
        </is>
      </c>
      <c r="L3310">
        <f>_xlfn.XLOOKUP(Tableau1[[#This Row],[TYPE DE PIECE]],Tableau4[MATIERE],Tableau4[SHORT TYPE],"",0,1)</f>
        <v/>
      </c>
      <c r="N3310">
        <f>IF(ISERR(FIND("DECOUPE",Tableau1[[#This Row],[DESIGNATION]])),"","NEED REF")</f>
        <v/>
      </c>
    </row>
    <row r="3311">
      <c r="B3311" t="n">
        <v>34410694</v>
      </c>
      <c r="C3311" s="2" t="n">
        <v>44715</v>
      </c>
      <c r="D3311" t="inlineStr">
        <is>
          <t>SPEC</t>
        </is>
      </c>
      <c r="E3311" t="inlineStr">
        <is>
          <t>PLA ISOLANT POUR 34410693</t>
        </is>
      </c>
      <c r="F3311" t="inlineStr">
        <is>
          <t>DATA4 DC07</t>
        </is>
      </c>
      <c r="G3311" t="inlineStr">
        <is>
          <t>GVL</t>
        </is>
      </c>
      <c r="H3311" t="inlineStr">
        <is>
          <t>BYPASS</t>
        </is>
      </c>
      <c r="J3311" t="inlineStr">
        <is>
          <t>MATRION</t>
        </is>
      </c>
      <c r="K3311" t="inlineStr">
        <is>
          <t>PLASTIQUE</t>
        </is>
      </c>
      <c r="L3311">
        <f>_xlfn.XLOOKUP(Tableau1[[#This Row],[TYPE DE PIECE]],Tableau4[MATIERE],Tableau4[SHORT TYPE],"",0,1)</f>
        <v/>
      </c>
      <c r="N3311">
        <f>IF(ISERR(FIND("DECOUPE",Tableau1[[#This Row],[DESIGNATION]])),"","NEED REF")</f>
        <v/>
      </c>
    </row>
    <row r="3312">
      <c r="B3312" t="n">
        <v>34410693</v>
      </c>
      <c r="C3312" s="2" t="n">
        <v>44715</v>
      </c>
      <c r="D3312" t="inlineStr">
        <is>
          <t>SPEC</t>
        </is>
      </c>
      <c r="E3312" t="inlineStr">
        <is>
          <t>SMT SUPPORT JDB DROIT INPUT</t>
        </is>
      </c>
      <c r="F3312" t="inlineStr">
        <is>
          <t>DATA4 DC07</t>
        </is>
      </c>
      <c r="G3312" t="inlineStr">
        <is>
          <t>GVL</t>
        </is>
      </c>
      <c r="H3312" t="inlineStr">
        <is>
          <t>BYPASS</t>
        </is>
      </c>
      <c r="J3312" t="inlineStr">
        <is>
          <t>MATRION</t>
        </is>
      </c>
      <c r="K3312" t="inlineStr">
        <is>
          <t>METAL</t>
        </is>
      </c>
      <c r="L3312">
        <f>_xlfn.XLOOKUP(Tableau1[[#This Row],[TYPE DE PIECE]],Tableau4[MATIERE],Tableau4[SHORT TYPE],"",0,1)</f>
        <v/>
      </c>
      <c r="N3312">
        <f>IF(ISERR(FIND("DECOUPE",Tableau1[[#This Row],[DESIGNATION]])),"","NEED REF")</f>
        <v/>
      </c>
    </row>
    <row r="3313">
      <c r="B3313" t="n">
        <v>34410692</v>
      </c>
      <c r="C3313" s="2" t="n">
        <v>44714</v>
      </c>
      <c r="D3313" t="inlineStr">
        <is>
          <t>SPEC</t>
        </is>
      </c>
      <c r="E3313" t="inlineStr">
        <is>
          <t>SMT RAIL OMEGA BORNIER</t>
        </is>
      </c>
      <c r="F3313" t="inlineStr">
        <is>
          <t>KEM ONE SAS</t>
        </is>
      </c>
      <c r="G3313" t="inlineStr">
        <is>
          <t>PW</t>
        </is>
      </c>
      <c r="H3313" t="inlineStr">
        <is>
          <t>BYPASS</t>
        </is>
      </c>
      <c r="J3313" t="inlineStr">
        <is>
          <t>JAWORSKI</t>
        </is>
      </c>
      <c r="K3313" t="inlineStr">
        <is>
          <t>METAL</t>
        </is>
      </c>
      <c r="L3313">
        <f>_xlfn.XLOOKUP(Tableau1[[#This Row],[TYPE DE PIECE]],Tableau4[MATIERE],Tableau4[SHORT TYPE],"",0,1)</f>
        <v/>
      </c>
      <c r="N3313">
        <f>IF(ISERR(FIND("DECOUPE",Tableau1[[#This Row],[DESIGNATION]])),"","NEED REF")</f>
        <v/>
      </c>
    </row>
    <row r="3314">
      <c r="B3314" t="n">
        <v>34410691</v>
      </c>
      <c r="C3314" s="2" t="n">
        <v>44714</v>
      </c>
      <c r="D3314" t="inlineStr">
        <is>
          <t>SPEC</t>
        </is>
      </c>
      <c r="E3314" t="inlineStr">
        <is>
          <t>COP  PE ECLISSAGE</t>
        </is>
      </c>
      <c r="F3314" t="inlineStr">
        <is>
          <t>DATA4 DC07</t>
        </is>
      </c>
      <c r="G3314" t="inlineStr">
        <is>
          <t>GVL</t>
        </is>
      </c>
      <c r="H3314" t="inlineStr">
        <is>
          <t>BYPASS</t>
        </is>
      </c>
      <c r="J3314" t="inlineStr">
        <is>
          <t>MATRION</t>
        </is>
      </c>
      <c r="K3314" t="inlineStr">
        <is>
          <t>CUIVRE</t>
        </is>
      </c>
      <c r="L3314">
        <f>_xlfn.XLOOKUP(Tableau1[[#This Row],[TYPE DE PIECE]],Tableau4[MATIERE],Tableau4[SHORT TYPE],"",0,1)</f>
        <v/>
      </c>
      <c r="N3314">
        <f>IF(ISERR(FIND("DECOUPE",Tableau1[[#This Row],[DESIGNATION]])),"","NEED REF")</f>
        <v/>
      </c>
    </row>
    <row r="3315">
      <c r="B3315" t="n">
        <v>34410690</v>
      </c>
      <c r="C3315" s="2" t="n">
        <v>44714</v>
      </c>
      <c r="D3315" t="inlineStr">
        <is>
          <t>SPEC</t>
        </is>
      </c>
      <c r="E3315" t="inlineStr">
        <is>
          <t>SMT SUPPORT PE CENTRAL</t>
        </is>
      </c>
      <c r="F3315" t="inlineStr">
        <is>
          <t>DATA4 DC07</t>
        </is>
      </c>
      <c r="G3315" t="inlineStr">
        <is>
          <t>GVL</t>
        </is>
      </c>
      <c r="H3315" t="inlineStr">
        <is>
          <t>BYPASS</t>
        </is>
      </c>
      <c r="J3315" t="inlineStr">
        <is>
          <t>MATRION</t>
        </is>
      </c>
      <c r="K3315" t="inlineStr">
        <is>
          <t>METAL</t>
        </is>
      </c>
      <c r="L3315">
        <f>_xlfn.XLOOKUP(Tableau1[[#This Row],[TYPE DE PIECE]],Tableau4[MATIERE],Tableau4[SHORT TYPE],"",0,1)</f>
        <v/>
      </c>
      <c r="N3315">
        <f>IF(ISERR(FIND("DECOUPE",Tableau1[[#This Row],[DESIGNATION]])),"","NEED REF")</f>
        <v/>
      </c>
    </row>
    <row r="3316">
      <c r="B3316" t="n">
        <v>34410689</v>
      </c>
      <c r="C3316" s="2" t="n">
        <v>44714</v>
      </c>
      <c r="D3316" t="inlineStr">
        <is>
          <t>SPEC</t>
        </is>
      </c>
      <c r="E3316" t="inlineStr">
        <is>
          <t>SMT SUPPORT PE FEEDER</t>
        </is>
      </c>
      <c r="F3316" t="inlineStr">
        <is>
          <t>DATA4 DC07</t>
        </is>
      </c>
      <c r="G3316" t="inlineStr">
        <is>
          <t>GVL</t>
        </is>
      </c>
      <c r="H3316" t="inlineStr">
        <is>
          <t>BYPASS</t>
        </is>
      </c>
      <c r="J3316" t="inlineStr">
        <is>
          <t>MATRION</t>
        </is>
      </c>
      <c r="K3316" t="inlineStr">
        <is>
          <t>METAL</t>
        </is>
      </c>
      <c r="L3316">
        <f>_xlfn.XLOOKUP(Tableau1[[#This Row],[TYPE DE PIECE]],Tableau4[MATIERE],Tableau4[SHORT TYPE],"",0,1)</f>
        <v/>
      </c>
      <c r="N3316">
        <f>IF(ISERR(FIND("DECOUPE",Tableau1[[#This Row],[DESIGNATION]])),"","NEED REF")</f>
        <v/>
      </c>
    </row>
    <row r="3317">
      <c r="B3317" t="n">
        <v>34410688</v>
      </c>
      <c r="C3317" s="2" t="n">
        <v>44714</v>
      </c>
      <c r="D3317" t="inlineStr">
        <is>
          <t>SPEC</t>
        </is>
      </c>
      <c r="E3317" t="inlineStr">
        <is>
          <t>COP  PE LINK</t>
        </is>
      </c>
      <c r="F3317" t="inlineStr">
        <is>
          <t>DATA4 DC07</t>
        </is>
      </c>
      <c r="G3317" t="inlineStr">
        <is>
          <t>GVL</t>
        </is>
      </c>
      <c r="H3317" t="inlineStr">
        <is>
          <t>BYPASS</t>
        </is>
      </c>
      <c r="J3317" t="inlineStr">
        <is>
          <t>MATRION</t>
        </is>
      </c>
      <c r="K3317" t="inlineStr">
        <is>
          <t>CUIVRE</t>
        </is>
      </c>
      <c r="L3317">
        <f>_xlfn.XLOOKUP(Tableau1[[#This Row],[TYPE DE PIECE]],Tableau4[MATIERE],Tableau4[SHORT TYPE],"",0,1)</f>
        <v/>
      </c>
      <c r="N3317">
        <f>IF(ISERR(FIND("DECOUPE",Tableau1[[#This Row],[DESIGNATION]])),"","NEED REF")</f>
        <v/>
      </c>
    </row>
    <row r="3318">
      <c r="B3318" t="n">
        <v>34410687</v>
      </c>
      <c r="C3318" s="2" t="n">
        <v>44714</v>
      </c>
      <c r="D3318" t="inlineStr">
        <is>
          <t>SPEC</t>
        </is>
      </c>
      <c r="E3318" t="inlineStr">
        <is>
          <t>COP  PE LINK OUTPUT FEEDER</t>
        </is>
      </c>
      <c r="F3318" t="inlineStr">
        <is>
          <t>DATA4 DC07</t>
        </is>
      </c>
      <c r="G3318" t="inlineStr">
        <is>
          <t>GVL</t>
        </is>
      </c>
      <c r="H3318" t="inlineStr">
        <is>
          <t>BYPASS</t>
        </is>
      </c>
      <c r="J3318" t="inlineStr">
        <is>
          <t>MATRION</t>
        </is>
      </c>
      <c r="K3318" t="inlineStr">
        <is>
          <t>CUIVRE</t>
        </is>
      </c>
      <c r="L3318">
        <f>_xlfn.XLOOKUP(Tableau1[[#This Row],[TYPE DE PIECE]],Tableau4[MATIERE],Tableau4[SHORT TYPE],"",0,1)</f>
        <v/>
      </c>
      <c r="N3318">
        <f>IF(ISERR(FIND("DECOUPE",Tableau1[[#This Row],[DESIGNATION]])),"","NEED REF")</f>
        <v/>
      </c>
    </row>
    <row r="3319">
      <c r="B3319" t="n">
        <v>34410686</v>
      </c>
      <c r="C3319" s="2" t="n">
        <v>44714</v>
      </c>
      <c r="D3319" t="inlineStr">
        <is>
          <t>SPEC</t>
        </is>
      </c>
      <c r="E3319" t="inlineStr">
        <is>
          <t>COP  PE LINK INPUT FEEDER</t>
        </is>
      </c>
      <c r="F3319" t="inlineStr">
        <is>
          <t>DATA4 DC07</t>
        </is>
      </c>
      <c r="G3319" t="inlineStr">
        <is>
          <t>GVL</t>
        </is>
      </c>
      <c r="H3319" t="inlineStr">
        <is>
          <t>BYPASS</t>
        </is>
      </c>
      <c r="J3319" t="inlineStr">
        <is>
          <t>MATRION</t>
        </is>
      </c>
      <c r="K3319" t="inlineStr">
        <is>
          <t>CUIVRE</t>
        </is>
      </c>
      <c r="L3319">
        <f>_xlfn.XLOOKUP(Tableau1[[#This Row],[TYPE DE PIECE]],Tableau4[MATIERE],Tableau4[SHORT TYPE],"",0,1)</f>
        <v/>
      </c>
      <c r="N3319">
        <f>IF(ISERR(FIND("DECOUPE",Tableau1[[#This Row],[DESIGNATION]])),"","NEED REF")</f>
        <v/>
      </c>
    </row>
    <row r="3320">
      <c r="B3320" t="n">
        <v>34410685</v>
      </c>
      <c r="C3320" s="2" t="n">
        <v>44714</v>
      </c>
      <c r="D3320" t="inlineStr">
        <is>
          <t>SPEC</t>
        </is>
      </c>
      <c r="E3320" t="inlineStr">
        <is>
          <t>CX1 BBK 630A 2HOLES</t>
        </is>
      </c>
      <c r="F3320" t="inlineStr">
        <is>
          <t>GVX BBK COSSES 2x TROUS</t>
        </is>
      </c>
      <c r="G3320" t="inlineStr">
        <is>
          <t>GVX</t>
        </is>
      </c>
      <c r="J3320" t="inlineStr">
        <is>
          <t>BERNARDEAU</t>
        </is>
      </c>
      <c r="K3320" t="inlineStr">
        <is>
          <t>CUIVRE</t>
        </is>
      </c>
      <c r="L3320">
        <f>_xlfn.XLOOKUP(Tableau1[[#This Row],[TYPE DE PIECE]],Tableau4[MATIERE],Tableau4[SHORT TYPE],"",0,1)</f>
        <v/>
      </c>
      <c r="N3320">
        <f>IF(ISERR(FIND("DECOUPE",Tableau1[[#This Row],[DESIGNATION]])),"","NEED REF")</f>
        <v/>
      </c>
    </row>
    <row r="3321">
      <c r="B3321" t="n">
        <v>34410684</v>
      </c>
      <c r="C3321" s="2" t="n">
        <v>44714</v>
      </c>
      <c r="D3321" t="inlineStr">
        <is>
          <t>SPEC</t>
        </is>
      </c>
      <c r="E3321" t="inlineStr">
        <is>
          <t>CX2 BBK 630A 2HOLES</t>
        </is>
      </c>
      <c r="F3321" t="inlineStr">
        <is>
          <t>GVX BBK COSSES 2x TROUS</t>
        </is>
      </c>
      <c r="G3321" t="inlineStr">
        <is>
          <t>GVX</t>
        </is>
      </c>
      <c r="J3321" t="inlineStr">
        <is>
          <t>BERNARDEAU</t>
        </is>
      </c>
      <c r="K3321" t="inlineStr">
        <is>
          <t>CUIVRE</t>
        </is>
      </c>
      <c r="L3321">
        <f>_xlfn.XLOOKUP(Tableau1[[#This Row],[TYPE DE PIECE]],Tableau4[MATIERE],Tableau4[SHORT TYPE],"",0,1)</f>
        <v/>
      </c>
      <c r="N3321">
        <f>IF(ISERR(FIND("DECOUPE",Tableau1[[#This Row],[DESIGNATION]])),"","NEED REF")</f>
        <v/>
      </c>
    </row>
    <row r="3322">
      <c r="B3322" t="n">
        <v>34410683</v>
      </c>
      <c r="C3322" s="2" t="n">
        <v>44714</v>
      </c>
      <c r="D3322" t="inlineStr">
        <is>
          <t>SPEC</t>
        </is>
      </c>
      <c r="E3322" t="inlineStr">
        <is>
          <t>COP ECLISSAGE INTER CELLULE</t>
        </is>
      </c>
      <c r="F3322" t="inlineStr">
        <is>
          <t>DATA4 DC07</t>
        </is>
      </c>
      <c r="G3322" t="inlineStr">
        <is>
          <t>GVL</t>
        </is>
      </c>
      <c r="H3322" t="inlineStr">
        <is>
          <t>BYPASS</t>
        </is>
      </c>
      <c r="J3322" t="inlineStr">
        <is>
          <t>MATRION</t>
        </is>
      </c>
      <c r="K3322" t="inlineStr">
        <is>
          <t>CUIVRE</t>
        </is>
      </c>
      <c r="L3322">
        <f>_xlfn.XLOOKUP(Tableau1[[#This Row],[TYPE DE PIECE]],Tableau4[MATIERE],Tableau4[SHORT TYPE],"",0,1)</f>
        <v/>
      </c>
      <c r="N3322">
        <f>IF(ISERR(FIND("DECOUPE",Tableau1[[#This Row],[DESIGNATION]])),"","NEED REF")</f>
        <v/>
      </c>
    </row>
    <row r="3323">
      <c r="B3323" t="n">
        <v>34410682</v>
      </c>
      <c r="C3323" s="2" t="n">
        <v>44712</v>
      </c>
      <c r="D3323" t="inlineStr">
        <is>
          <t>SPEC</t>
        </is>
      </c>
      <c r="E3323" t="inlineStr">
        <is>
          <t>CABLE PE 300mm2</t>
        </is>
      </c>
      <c r="F3323" t="inlineStr">
        <is>
          <t>ROTHERDAM</t>
        </is>
      </c>
      <c r="G3323" t="inlineStr">
        <is>
          <t>GVX</t>
        </is>
      </c>
      <c r="H3323" t="inlineStr">
        <is>
          <t>IO</t>
        </is>
      </c>
      <c r="J3323" t="inlineStr">
        <is>
          <t>BERNARDEAU</t>
        </is>
      </c>
      <c r="K3323" t="inlineStr">
        <is>
          <t>FILERIE</t>
        </is>
      </c>
      <c r="L3323">
        <f>_xlfn.XLOOKUP(Tableau1[[#This Row],[TYPE DE PIECE]],Tableau4[MATIERE],Tableau4[SHORT TYPE],"",0,1)</f>
        <v/>
      </c>
      <c r="N3323">
        <f>IF(ISERR(FIND("DECOUPE",Tableau1[[#This Row],[DESIGNATION]])),"","NEED REF")</f>
        <v/>
      </c>
    </row>
    <row r="3324">
      <c r="B3324" t="n">
        <v>34410681</v>
      </c>
      <c r="C3324" s="2" t="n">
        <v>44712</v>
      </c>
      <c r="D3324" t="inlineStr">
        <is>
          <t>SPEC</t>
        </is>
      </c>
      <c r="E3324" t="inlineStr">
        <is>
          <t xml:space="preserve">COP PLAGE PE </t>
        </is>
      </c>
      <c r="F3324" t="inlineStr">
        <is>
          <t>ROTHERDAM</t>
        </is>
      </c>
      <c r="G3324" t="inlineStr">
        <is>
          <t>GVX</t>
        </is>
      </c>
      <c r="H3324" t="inlineStr">
        <is>
          <t>IO</t>
        </is>
      </c>
      <c r="J3324" t="inlineStr">
        <is>
          <t>BERNARDEAU</t>
        </is>
      </c>
      <c r="K3324" t="inlineStr">
        <is>
          <t>CUIVRE</t>
        </is>
      </c>
      <c r="L3324">
        <f>_xlfn.XLOOKUP(Tableau1[[#This Row],[TYPE DE PIECE]],Tableau4[MATIERE],Tableau4[SHORT TYPE],"",0,1)</f>
        <v/>
      </c>
      <c r="N3324">
        <f>IF(ISERR(FIND("DECOUPE",Tableau1[[#This Row],[DESIGNATION]])),"","NEED REF")</f>
        <v/>
      </c>
    </row>
    <row r="3325">
      <c r="B3325" t="n">
        <v>34410680</v>
      </c>
      <c r="C3325" s="2" t="n">
        <v>44711</v>
      </c>
      <c r="D3325" t="inlineStr">
        <is>
          <t>SPEC</t>
        </is>
      </c>
      <c r="E3325" t="inlineStr">
        <is>
          <t>PLA BRIDAGE 3xCX 100x10</t>
        </is>
      </c>
      <c r="F3325" t="inlineStr">
        <is>
          <t>DATA4 DC07</t>
        </is>
      </c>
      <c r="G3325" t="inlineStr">
        <is>
          <t>GVL</t>
        </is>
      </c>
      <c r="H3325" t="inlineStr">
        <is>
          <t>BYPASS</t>
        </is>
      </c>
      <c r="J3325" t="inlineStr">
        <is>
          <t>MATRION</t>
        </is>
      </c>
      <c r="K3325" t="inlineStr">
        <is>
          <t>PLASTIQUE</t>
        </is>
      </c>
      <c r="L3325">
        <f>_xlfn.XLOOKUP(Tableau1[[#This Row],[TYPE DE PIECE]],Tableau4[MATIERE],Tableau4[SHORT TYPE],"",0,1)</f>
        <v/>
      </c>
      <c r="N3325">
        <f>IF(ISERR(FIND("DECOUPE",Tableau1[[#This Row],[DESIGNATION]])),"","NEED REF")</f>
        <v/>
      </c>
    </row>
    <row r="3326">
      <c r="B3326" t="n">
        <v>34410679</v>
      </c>
      <c r="C3326" s="2" t="n">
        <v>44711</v>
      </c>
      <c r="D3326" t="inlineStr">
        <is>
          <t>SPEC</t>
        </is>
      </c>
      <c r="E3326" t="inlineStr">
        <is>
          <t>SMT FIXATION CABLES CLIENT</t>
        </is>
      </c>
      <c r="F3326" t="inlineStr">
        <is>
          <t>KEM ONE SAS</t>
        </is>
      </c>
      <c r="G3326" t="inlineStr">
        <is>
          <t>PW</t>
        </is>
      </c>
      <c r="H3326" t="inlineStr">
        <is>
          <t>BYPASS</t>
        </is>
      </c>
      <c r="J3326" t="inlineStr">
        <is>
          <t>JAWORSKI</t>
        </is>
      </c>
      <c r="K3326" t="inlineStr">
        <is>
          <t>METAL</t>
        </is>
      </c>
      <c r="L3326">
        <f>_xlfn.XLOOKUP(Tableau1[[#This Row],[TYPE DE PIECE]],Tableau4[MATIERE],Tableau4[SHORT TYPE],"",0,1)</f>
        <v/>
      </c>
      <c r="N3326">
        <f>IF(ISERR(FIND("DECOUPE",Tableau1[[#This Row],[DESIGNATION]])),"","NEED REF")</f>
        <v/>
      </c>
    </row>
    <row r="3327">
      <c r="B3327" t="n">
        <v>34410678</v>
      </c>
      <c r="C3327" s="2" t="n">
        <v>44711</v>
      </c>
      <c r="D3327" t="inlineStr">
        <is>
          <t>SPEC</t>
        </is>
      </c>
      <c r="E3327" t="inlineStr">
        <is>
          <t>PLA PROTECTION PLASTIQUE NSX630</t>
        </is>
      </c>
      <c r="F3327" t="inlineStr">
        <is>
          <t>KEM ONE SAS</t>
        </is>
      </c>
      <c r="G3327" t="inlineStr">
        <is>
          <t>PW</t>
        </is>
      </c>
      <c r="H3327" t="inlineStr">
        <is>
          <t>BYPASS</t>
        </is>
      </c>
      <c r="J3327" t="inlineStr">
        <is>
          <t>JAWORSKI</t>
        </is>
      </c>
      <c r="K3327" t="inlineStr">
        <is>
          <t>PLASTIQUE</t>
        </is>
      </c>
      <c r="L3327">
        <f>_xlfn.XLOOKUP(Tableau1[[#This Row],[TYPE DE PIECE]],Tableau4[MATIERE],Tableau4[SHORT TYPE],"",0,1)</f>
        <v/>
      </c>
      <c r="N3327">
        <f>IF(ISERR(FIND("DECOUPE",Tableau1[[#This Row],[DESIGNATION]])),"","NEED REF")</f>
        <v/>
      </c>
    </row>
    <row r="3328">
      <c r="B3328" t="n">
        <v>34410677</v>
      </c>
      <c r="C3328" s="2" t="n">
        <v>44711</v>
      </c>
      <c r="D3328" t="inlineStr">
        <is>
          <t>SPEC</t>
        </is>
      </c>
      <c r="E3328" t="inlineStr">
        <is>
          <t>COP =S= 04525 80X10 L1050MM</t>
        </is>
      </c>
      <c r="F3328" t="inlineStr">
        <is>
          <t>KEM ONE SAS</t>
        </is>
      </c>
      <c r="G3328" t="inlineStr">
        <is>
          <t>PW</t>
        </is>
      </c>
      <c r="H3328" t="inlineStr">
        <is>
          <t>BYPASS</t>
        </is>
      </c>
      <c r="J3328" t="inlineStr">
        <is>
          <t>JAWORSKI</t>
        </is>
      </c>
      <c r="K3328" t="inlineStr">
        <is>
          <t>CUIVRE</t>
        </is>
      </c>
      <c r="L3328">
        <f>_xlfn.XLOOKUP(Tableau1[[#This Row],[TYPE DE PIECE]],Tableau4[MATIERE],Tableau4[SHORT TYPE],"",0,1)</f>
        <v/>
      </c>
      <c r="N3328">
        <f>IF(ISERR(FIND("DECOUPE",Tableau1[[#This Row],[DESIGNATION]])),"","NEED REF")</f>
        <v/>
      </c>
    </row>
    <row r="3329">
      <c r="B3329" t="n">
        <v>34410676</v>
      </c>
      <c r="C3329" s="2" t="n">
        <v>44711</v>
      </c>
      <c r="D3329" t="inlineStr">
        <is>
          <t>SPEC</t>
        </is>
      </c>
      <c r="E3329" t="inlineStr">
        <is>
          <t>SMT PLASTRON HAUT/BAS</t>
        </is>
      </c>
      <c r="F3329" t="inlineStr">
        <is>
          <t>KEM ONE SAS</t>
        </is>
      </c>
      <c r="G3329" t="inlineStr">
        <is>
          <t>PW</t>
        </is>
      </c>
      <c r="H3329" t="inlineStr">
        <is>
          <t>BYPASS</t>
        </is>
      </c>
      <c r="J3329" t="inlineStr">
        <is>
          <t>JAWORSKI</t>
        </is>
      </c>
      <c r="K3329" t="inlineStr">
        <is>
          <t>METAL</t>
        </is>
      </c>
      <c r="L3329">
        <f>_xlfn.XLOOKUP(Tableau1[[#This Row],[TYPE DE PIECE]],Tableau4[MATIERE],Tableau4[SHORT TYPE],"",0,1)</f>
        <v/>
      </c>
      <c r="N3329">
        <f>IF(ISERR(FIND("DECOUPE",Tableau1[[#This Row],[DESIGNATION]])),"","NEED REF")</f>
        <v/>
      </c>
    </row>
    <row r="3330">
      <c r="B3330" t="n">
        <v>34410675</v>
      </c>
      <c r="C3330" s="2" t="n">
        <v>44711</v>
      </c>
      <c r="D3330" t="inlineStr">
        <is>
          <t>SPEC</t>
        </is>
      </c>
      <c r="E3330" t="inlineStr">
        <is>
          <t>SMT PLASTRON NSX400-630 3P</t>
        </is>
      </c>
      <c r="F3330" t="inlineStr">
        <is>
          <t>KEM ONE SAS</t>
        </is>
      </c>
      <c r="G3330" t="inlineStr">
        <is>
          <t>PW</t>
        </is>
      </c>
      <c r="H3330" t="inlineStr">
        <is>
          <t>BYPASS</t>
        </is>
      </c>
      <c r="J3330" t="inlineStr">
        <is>
          <t>JAWORSKI</t>
        </is>
      </c>
      <c r="K3330" t="inlineStr">
        <is>
          <t>METAL</t>
        </is>
      </c>
      <c r="L3330">
        <f>_xlfn.XLOOKUP(Tableau1[[#This Row],[TYPE DE PIECE]],Tableau4[MATIERE],Tableau4[SHORT TYPE],"",0,1)</f>
        <v/>
      </c>
      <c r="N3330">
        <f>IF(ISERR(FIND("DECOUPE",Tableau1[[#This Row],[DESIGNATION]])),"","NEED REF")</f>
        <v/>
      </c>
    </row>
    <row r="3331">
      <c r="B3331" t="n">
        <v>34410674</v>
      </c>
      <c r="C3331" s="2" t="n">
        <v>44711</v>
      </c>
      <c r="D3331" t="inlineStr">
        <is>
          <t>SPEC</t>
        </is>
      </c>
      <c r="E3331" t="inlineStr">
        <is>
          <t>SMT PLATINE BYPASS</t>
        </is>
      </c>
      <c r="F3331" t="inlineStr">
        <is>
          <t>KEM ONE SAS</t>
        </is>
      </c>
      <c r="G3331" t="inlineStr">
        <is>
          <t>PW</t>
        </is>
      </c>
      <c r="H3331" t="inlineStr">
        <is>
          <t>BYPASS</t>
        </is>
      </c>
      <c r="J3331" t="inlineStr">
        <is>
          <t>JAWORSKI</t>
        </is>
      </c>
      <c r="K3331" t="inlineStr">
        <is>
          <t>METAL</t>
        </is>
      </c>
      <c r="L3331">
        <f>_xlfn.XLOOKUP(Tableau1[[#This Row],[TYPE DE PIECE]],Tableau4[MATIERE],Tableau4[SHORT TYPE],"",0,1)</f>
        <v/>
      </c>
      <c r="N3331">
        <f>IF(ISERR(FIND("DECOUPE",Tableau1[[#This Row],[DESIGNATION]])),"","NEED REF")</f>
        <v/>
      </c>
    </row>
    <row r="3332">
      <c r="B3332" t="n">
        <v>34410673</v>
      </c>
      <c r="C3332" s="2" t="n">
        <v>44711</v>
      </c>
      <c r="D3332" t="inlineStr">
        <is>
          <t>SPEC</t>
        </is>
      </c>
      <c r="E3332" t="inlineStr">
        <is>
          <t>COP SIB AVAL L3 -2</t>
        </is>
      </c>
      <c r="F3332" t="inlineStr">
        <is>
          <t>DATA4 DC07</t>
        </is>
      </c>
      <c r="G3332" t="inlineStr">
        <is>
          <t>GVL</t>
        </is>
      </c>
      <c r="H3332" t="inlineStr">
        <is>
          <t>BYPASS</t>
        </is>
      </c>
      <c r="J3332" t="inlineStr">
        <is>
          <t>MATRION</t>
        </is>
      </c>
      <c r="K3332" t="inlineStr">
        <is>
          <t>CUIVRE</t>
        </is>
      </c>
      <c r="L3332">
        <f>_xlfn.XLOOKUP(Tableau1[[#This Row],[TYPE DE PIECE]],Tableau4[MATIERE],Tableau4[SHORT TYPE],"",0,1)</f>
        <v/>
      </c>
      <c r="N3332">
        <f>IF(ISERR(FIND("DECOUPE",Tableau1[[#This Row],[DESIGNATION]])),"","NEED REF")</f>
        <v/>
      </c>
    </row>
    <row r="3333">
      <c r="B3333" t="n">
        <v>34410672</v>
      </c>
      <c r="C3333" s="2" t="n">
        <v>44711</v>
      </c>
      <c r="D3333" t="inlineStr">
        <is>
          <t>SPEC</t>
        </is>
      </c>
      <c r="E3333" t="inlineStr">
        <is>
          <t>COP SIB AVAL L2 -2</t>
        </is>
      </c>
      <c r="F3333" t="inlineStr">
        <is>
          <t>DATA4 DC07</t>
        </is>
      </c>
      <c r="G3333" t="inlineStr">
        <is>
          <t>GVL</t>
        </is>
      </c>
      <c r="H3333" t="inlineStr">
        <is>
          <t>BYPASS</t>
        </is>
      </c>
      <c r="J3333" t="inlineStr">
        <is>
          <t>MATRION</t>
        </is>
      </c>
      <c r="K3333" t="inlineStr">
        <is>
          <t>CUIVRE</t>
        </is>
      </c>
      <c r="L3333">
        <f>_xlfn.XLOOKUP(Tableau1[[#This Row],[TYPE DE PIECE]],Tableau4[MATIERE],Tableau4[SHORT TYPE],"",0,1)</f>
        <v/>
      </c>
      <c r="N3333">
        <f>IF(ISERR(FIND("DECOUPE",Tableau1[[#This Row],[DESIGNATION]])),"","NEED REF")</f>
        <v/>
      </c>
    </row>
    <row r="3334">
      <c r="B3334" t="n">
        <v>34410671</v>
      </c>
      <c r="C3334" s="2" t="n">
        <v>44711</v>
      </c>
      <c r="D3334" t="inlineStr">
        <is>
          <t>SPEC</t>
        </is>
      </c>
      <c r="E3334" t="inlineStr">
        <is>
          <t>COP SIB AVAL L1 -2</t>
        </is>
      </c>
      <c r="F3334" t="inlineStr">
        <is>
          <t>DATA4 DC07</t>
        </is>
      </c>
      <c r="G3334" t="inlineStr">
        <is>
          <t>GVL</t>
        </is>
      </c>
      <c r="H3334" t="inlineStr">
        <is>
          <t>BYPASS</t>
        </is>
      </c>
      <c r="J3334" t="inlineStr">
        <is>
          <t>MATRION</t>
        </is>
      </c>
      <c r="K3334" t="inlineStr">
        <is>
          <t>CUIVRE</t>
        </is>
      </c>
      <c r="L3334">
        <f>_xlfn.XLOOKUP(Tableau1[[#This Row],[TYPE DE PIECE]],Tableau4[MATIERE],Tableau4[SHORT TYPE],"",0,1)</f>
        <v/>
      </c>
      <c r="N3334">
        <f>IF(ISERR(FIND("DECOUPE",Tableau1[[#This Row],[DESIGNATION]])),"","NEED REF")</f>
        <v/>
      </c>
    </row>
    <row r="3335">
      <c r="B3335" t="n">
        <v>34410670</v>
      </c>
      <c r="C3335" s="2" t="n">
        <v>44711</v>
      </c>
      <c r="D3335" t="inlineStr">
        <is>
          <t>SPEC</t>
        </is>
      </c>
      <c r="E3335" t="inlineStr">
        <is>
          <t>COP SIB AVAL L3 -3</t>
        </is>
      </c>
      <c r="F3335" t="inlineStr">
        <is>
          <t>DATA4 DC07</t>
        </is>
      </c>
      <c r="G3335" t="inlineStr">
        <is>
          <t>GVL</t>
        </is>
      </c>
      <c r="H3335" t="inlineStr">
        <is>
          <t>BYPASS</t>
        </is>
      </c>
      <c r="J3335" t="inlineStr">
        <is>
          <t>MATRION</t>
        </is>
      </c>
      <c r="K3335" t="inlineStr">
        <is>
          <t>CUIVRE</t>
        </is>
      </c>
      <c r="L3335">
        <f>_xlfn.XLOOKUP(Tableau1[[#This Row],[TYPE DE PIECE]],Tableau4[MATIERE],Tableau4[SHORT TYPE],"",0,1)</f>
        <v/>
      </c>
      <c r="N3335">
        <f>IF(ISERR(FIND("DECOUPE",Tableau1[[#This Row],[DESIGNATION]])),"","NEED REF")</f>
        <v/>
      </c>
    </row>
    <row r="3336">
      <c r="B3336" t="n">
        <v>34410669</v>
      </c>
      <c r="C3336" s="2" t="n">
        <v>44711</v>
      </c>
      <c r="D3336" t="inlineStr">
        <is>
          <t>SPEC</t>
        </is>
      </c>
      <c r="E3336" t="inlineStr">
        <is>
          <t>COP SIB AVAL L3 -1</t>
        </is>
      </c>
      <c r="F3336" t="inlineStr">
        <is>
          <t>DATA4 DC07</t>
        </is>
      </c>
      <c r="G3336" t="inlineStr">
        <is>
          <t>GVL</t>
        </is>
      </c>
      <c r="H3336" t="inlineStr">
        <is>
          <t>BYPASS</t>
        </is>
      </c>
      <c r="J3336" t="inlineStr">
        <is>
          <t>MATRION</t>
        </is>
      </c>
      <c r="K3336" t="inlineStr">
        <is>
          <t>CUIVRE</t>
        </is>
      </c>
      <c r="L3336">
        <f>_xlfn.XLOOKUP(Tableau1[[#This Row],[TYPE DE PIECE]],Tableau4[MATIERE],Tableau4[SHORT TYPE],"",0,1)</f>
        <v/>
      </c>
      <c r="N3336">
        <f>IF(ISERR(FIND("DECOUPE",Tableau1[[#This Row],[DESIGNATION]])),"","NEED REF")</f>
        <v/>
      </c>
    </row>
    <row r="3337">
      <c r="B3337" t="n">
        <v>34410668</v>
      </c>
      <c r="C3337" s="2" t="n">
        <v>44711</v>
      </c>
      <c r="D3337" t="inlineStr">
        <is>
          <t>SPEC</t>
        </is>
      </c>
      <c r="E3337" t="inlineStr">
        <is>
          <t>COP SIB AVAL L2 -3</t>
        </is>
      </c>
      <c r="F3337" t="inlineStr">
        <is>
          <t>DATA4 DC07</t>
        </is>
      </c>
      <c r="G3337" t="inlineStr">
        <is>
          <t>GVL</t>
        </is>
      </c>
      <c r="H3337" t="inlineStr">
        <is>
          <t>BYPASS</t>
        </is>
      </c>
      <c r="J3337" t="inlineStr">
        <is>
          <t>MATRION</t>
        </is>
      </c>
      <c r="K3337" t="inlineStr">
        <is>
          <t>CUIVRE</t>
        </is>
      </c>
      <c r="L3337">
        <f>_xlfn.XLOOKUP(Tableau1[[#This Row],[TYPE DE PIECE]],Tableau4[MATIERE],Tableau4[SHORT TYPE],"",0,1)</f>
        <v/>
      </c>
      <c r="N3337">
        <f>IF(ISERR(FIND("DECOUPE",Tableau1[[#This Row],[DESIGNATION]])),"","NEED REF")</f>
        <v/>
      </c>
    </row>
    <row r="3338">
      <c r="B3338" t="n">
        <v>34410667</v>
      </c>
      <c r="C3338" s="2" t="n">
        <v>44711</v>
      </c>
      <c r="D3338" t="inlineStr">
        <is>
          <t>SPEC</t>
        </is>
      </c>
      <c r="E3338" t="inlineStr">
        <is>
          <t>COP SIB AVAL L2 -1</t>
        </is>
      </c>
      <c r="F3338" t="inlineStr">
        <is>
          <t>DATA4 DC07</t>
        </is>
      </c>
      <c r="G3338" t="inlineStr">
        <is>
          <t>GVL</t>
        </is>
      </c>
      <c r="H3338" t="inlineStr">
        <is>
          <t>BYPASS</t>
        </is>
      </c>
      <c r="J3338" t="inlineStr">
        <is>
          <t>MATRION</t>
        </is>
      </c>
      <c r="K3338" t="inlineStr">
        <is>
          <t>CUIVRE</t>
        </is>
      </c>
      <c r="L3338">
        <f>_xlfn.XLOOKUP(Tableau1[[#This Row],[TYPE DE PIECE]],Tableau4[MATIERE],Tableau4[SHORT TYPE],"",0,1)</f>
        <v/>
      </c>
      <c r="N3338">
        <f>IF(ISERR(FIND("DECOUPE",Tableau1[[#This Row],[DESIGNATION]])),"","NEED REF")</f>
        <v/>
      </c>
    </row>
    <row r="3339">
      <c r="B3339" t="n">
        <v>34410666</v>
      </c>
      <c r="C3339" s="2" t="n">
        <v>44711</v>
      </c>
      <c r="D3339" t="inlineStr">
        <is>
          <t>SPEC</t>
        </is>
      </c>
      <c r="E3339" t="inlineStr">
        <is>
          <t>COP SIB AVAL L1 -3</t>
        </is>
      </c>
      <c r="F3339" t="inlineStr">
        <is>
          <t>DATA4 DC07</t>
        </is>
      </c>
      <c r="G3339" t="inlineStr">
        <is>
          <t>GVL</t>
        </is>
      </c>
      <c r="H3339" t="inlineStr">
        <is>
          <t>BYPASS</t>
        </is>
      </c>
      <c r="J3339" t="inlineStr">
        <is>
          <t>MATRION</t>
        </is>
      </c>
      <c r="K3339" t="inlineStr">
        <is>
          <t>CUIVRE</t>
        </is>
      </c>
      <c r="L3339">
        <f>_xlfn.XLOOKUP(Tableau1[[#This Row],[TYPE DE PIECE]],Tableau4[MATIERE],Tableau4[SHORT TYPE],"",0,1)</f>
        <v/>
      </c>
      <c r="N3339">
        <f>IF(ISERR(FIND("DECOUPE",Tableau1[[#This Row],[DESIGNATION]])),"","NEED REF")</f>
        <v/>
      </c>
    </row>
    <row r="3340">
      <c r="B3340" t="n">
        <v>34410665</v>
      </c>
      <c r="C3340" s="2" t="n">
        <v>44711</v>
      </c>
      <c r="D3340" t="inlineStr">
        <is>
          <t>SPEC</t>
        </is>
      </c>
      <c r="E3340" t="inlineStr">
        <is>
          <t>COP SIB AVAL L1 -1</t>
        </is>
      </c>
      <c r="F3340" t="inlineStr">
        <is>
          <t>DATA4 DC07</t>
        </is>
      </c>
      <c r="G3340" t="inlineStr">
        <is>
          <t>GVL</t>
        </is>
      </c>
      <c r="H3340" t="inlineStr">
        <is>
          <t>BYPASS</t>
        </is>
      </c>
      <c r="J3340" t="inlineStr">
        <is>
          <t>MATRION</t>
        </is>
      </c>
      <c r="K3340" t="inlineStr">
        <is>
          <t>CUIVRE</t>
        </is>
      </c>
      <c r="L3340">
        <f>_xlfn.XLOOKUP(Tableau1[[#This Row],[TYPE DE PIECE]],Tableau4[MATIERE],Tableau4[SHORT TYPE],"",0,1)</f>
        <v/>
      </c>
      <c r="N3340">
        <f>IF(ISERR(FIND("DECOUPE",Tableau1[[#This Row],[DESIGNATION]])),"","NEED REF")</f>
        <v/>
      </c>
    </row>
    <row r="3341">
      <c r="B3341" t="n">
        <v>34410664</v>
      </c>
      <c r="C3341" s="2" t="n">
        <v>44704</v>
      </c>
      <c r="D3341" t="inlineStr">
        <is>
          <t>SPEC</t>
        </is>
      </c>
      <c r="E3341" t="inlineStr">
        <is>
          <t>ASSY FINISH AND HOUSING TERRACO STS</t>
        </is>
      </c>
      <c r="F3341" t="inlineStr">
        <is>
          <t>STS TERACO</t>
        </is>
      </c>
      <c r="H3341" t="inlineStr">
        <is>
          <t>STS</t>
        </is>
      </c>
      <c r="J3341" t="inlineStr">
        <is>
          <t>BERNARDEAU</t>
        </is>
      </c>
      <c r="L3341">
        <f>_xlfn.XLOOKUP(Tableau1[[#This Row],[TYPE DE PIECE]],Tableau4[MATIERE],Tableau4[SHORT TYPE],"",0,1)</f>
        <v/>
      </c>
      <c r="N3341">
        <f>IF(ISERR(FIND("DECOUPE",Tableau1[[#This Row],[DESIGNATION]])),"","NEED REF")</f>
        <v/>
      </c>
    </row>
    <row r="3342">
      <c r="B3342" t="n">
        <v>34410663</v>
      </c>
      <c r="C3342" s="2" t="n">
        <v>44704</v>
      </c>
      <c r="D3342" t="inlineStr">
        <is>
          <t>SPEC</t>
        </is>
      </c>
      <c r="E3342" t="inlineStr">
        <is>
          <t>INTEGRATION TERRACO STS</t>
        </is>
      </c>
      <c r="F3342" t="inlineStr">
        <is>
          <t>STS TERACO</t>
        </is>
      </c>
      <c r="H3342" t="inlineStr">
        <is>
          <t>STS</t>
        </is>
      </c>
      <c r="J3342" t="inlineStr">
        <is>
          <t>BERNARDEAU</t>
        </is>
      </c>
      <c r="L3342">
        <f>_xlfn.XLOOKUP(Tableau1[[#This Row],[TYPE DE PIECE]],Tableau4[MATIERE],Tableau4[SHORT TYPE],"",0,1)</f>
        <v/>
      </c>
      <c r="N3342">
        <f>IF(ISERR(FIND("DECOUPE",Tableau1[[#This Row],[DESIGNATION]])),"","NEED REF")</f>
        <v/>
      </c>
    </row>
    <row r="3343">
      <c r="B3343" t="n">
        <v>34410662</v>
      </c>
      <c r="C3343" s="2" t="n">
        <v>44704</v>
      </c>
      <c r="D3343" t="inlineStr">
        <is>
          <t>SPEC</t>
        </is>
      </c>
      <c r="E3343" t="inlineStr">
        <is>
          <t>ASSY STRUCT TERRACO STS</t>
        </is>
      </c>
      <c r="F3343" t="inlineStr">
        <is>
          <t>STS TERACO</t>
        </is>
      </c>
      <c r="H3343" t="inlineStr">
        <is>
          <t>STS</t>
        </is>
      </c>
      <c r="J3343" t="inlineStr">
        <is>
          <t>BERNARDEAU</t>
        </is>
      </c>
      <c r="L3343">
        <f>_xlfn.XLOOKUP(Tableau1[[#This Row],[TYPE DE PIECE]],Tableau4[MATIERE],Tableau4[SHORT TYPE],"",0,1)</f>
        <v/>
      </c>
      <c r="N3343">
        <f>IF(ISERR(FIND("DECOUPE",Tableau1[[#This Row],[DESIGNATION]])),"","NEED REF")</f>
        <v/>
      </c>
    </row>
    <row r="3344">
      <c r="B3344" t="n">
        <v>34410661</v>
      </c>
      <c r="C3344" s="2" t="n">
        <v>44704</v>
      </c>
      <c r="D3344" t="inlineStr">
        <is>
          <t>SPEC</t>
        </is>
      </c>
      <c r="E3344" t="inlineStr">
        <is>
          <t>ASSY BYPASS TERRACO STS</t>
        </is>
      </c>
      <c r="F3344" t="inlineStr">
        <is>
          <t>STS TERACO</t>
        </is>
      </c>
      <c r="H3344" t="inlineStr">
        <is>
          <t>STS</t>
        </is>
      </c>
      <c r="J3344" t="inlineStr">
        <is>
          <t>BERNARDEAU</t>
        </is>
      </c>
      <c r="L3344">
        <f>_xlfn.XLOOKUP(Tableau1[[#This Row],[TYPE DE PIECE]],Tableau4[MATIERE],Tableau4[SHORT TYPE],"",0,1)</f>
        <v/>
      </c>
      <c r="N3344">
        <f>IF(ISERR(FIND("DECOUPE",Tableau1[[#This Row],[DESIGNATION]])),"","NEED REF")</f>
        <v/>
      </c>
    </row>
    <row r="3345">
      <c r="B3345" t="n">
        <v>34410660</v>
      </c>
      <c r="C3345" s="2" t="n">
        <v>44704</v>
      </c>
      <c r="D3345" t="inlineStr">
        <is>
          <t>SPEC</t>
        </is>
      </c>
      <c r="E3345" t="inlineStr">
        <is>
          <t>SUB ASSY BYPASS TERRACO STS</t>
        </is>
      </c>
      <c r="F3345" t="inlineStr">
        <is>
          <t>STS TERACO</t>
        </is>
      </c>
      <c r="H3345" t="inlineStr">
        <is>
          <t>STS</t>
        </is>
      </c>
      <c r="J3345" t="inlineStr">
        <is>
          <t>BERNARDEAU</t>
        </is>
      </c>
      <c r="L3345">
        <f>_xlfn.XLOOKUP(Tableau1[[#This Row],[TYPE DE PIECE]],Tableau4[MATIERE],Tableau4[SHORT TYPE],"",0,1)</f>
        <v/>
      </c>
      <c r="N3345">
        <f>IF(ISERR(FIND("DECOUPE",Tableau1[[#This Row],[DESIGNATION]])),"","NEED REF")</f>
        <v/>
      </c>
    </row>
    <row r="3346">
      <c r="B3346" t="n">
        <v>34410659</v>
      </c>
      <c r="C3346" s="2" t="n">
        <v>44704</v>
      </c>
      <c r="D3346" t="inlineStr">
        <is>
          <t>SPEC</t>
        </is>
      </c>
      <c r="E3346" t="inlineStr">
        <is>
          <t>SUB ASSY DISTRIB NSX TERRACO STS</t>
        </is>
      </c>
      <c r="F3346" t="inlineStr">
        <is>
          <t>STS TERACO</t>
        </is>
      </c>
      <c r="H3346" t="inlineStr">
        <is>
          <t>STS</t>
        </is>
      </c>
      <c r="J3346" t="inlineStr">
        <is>
          <t>BERNARDEAU</t>
        </is>
      </c>
      <c r="L3346">
        <f>_xlfn.XLOOKUP(Tableau1[[#This Row],[TYPE DE PIECE]],Tableau4[MATIERE],Tableau4[SHORT TYPE],"",0,1)</f>
        <v/>
      </c>
      <c r="N3346">
        <f>IF(ISERR(FIND("DECOUPE",Tableau1[[#This Row],[DESIGNATION]])),"","NEED REF")</f>
        <v/>
      </c>
    </row>
    <row r="3347">
      <c r="B3347" t="n">
        <v>34410658</v>
      </c>
      <c r="C3347" s="2" t="n">
        <v>44701</v>
      </c>
      <c r="D3347" t="inlineStr">
        <is>
          <t>SPEC</t>
        </is>
      </c>
      <c r="E3347" t="inlineStr">
        <is>
          <t>SMT OUTPUT ROOF 2</t>
        </is>
      </c>
      <c r="F3347" t="inlineStr">
        <is>
          <t>ROTHERDAM</t>
        </is>
      </c>
      <c r="G3347" t="inlineStr">
        <is>
          <t>GVX</t>
        </is>
      </c>
      <c r="H3347" t="inlineStr">
        <is>
          <t>IO</t>
        </is>
      </c>
      <c r="J3347" t="inlineStr">
        <is>
          <t>BERNARDEAU</t>
        </is>
      </c>
      <c r="K3347" t="inlineStr">
        <is>
          <t>METAL</t>
        </is>
      </c>
      <c r="L3347">
        <f>_xlfn.XLOOKUP(Tableau1[[#This Row],[TYPE DE PIECE]],Tableau4[MATIERE],Tableau4[SHORT TYPE],"",0,1)</f>
        <v/>
      </c>
      <c r="N3347">
        <f>IF(ISERR(FIND("DECOUPE",Tableau1[[#This Row],[DESIGNATION]])),"","NEED REF")</f>
        <v/>
      </c>
    </row>
    <row r="3348">
      <c r="B3348" t="n">
        <v>34410657</v>
      </c>
      <c r="C3348" s="2" t="n">
        <v>44701</v>
      </c>
      <c r="D3348" t="inlineStr">
        <is>
          <t>SPEC</t>
        </is>
      </c>
      <c r="E3348" t="inlineStr">
        <is>
          <t>SMT OUTPUT ROOF 1</t>
        </is>
      </c>
      <c r="F3348" t="inlineStr">
        <is>
          <t>ROTHERDAM</t>
        </is>
      </c>
      <c r="G3348" t="inlineStr">
        <is>
          <t>GVX</t>
        </is>
      </c>
      <c r="H3348" t="inlineStr">
        <is>
          <t>IO</t>
        </is>
      </c>
      <c r="J3348" t="inlineStr">
        <is>
          <t>BERNARDEAU</t>
        </is>
      </c>
      <c r="K3348" t="inlineStr">
        <is>
          <t>METAL</t>
        </is>
      </c>
      <c r="L3348">
        <f>_xlfn.XLOOKUP(Tableau1[[#This Row],[TYPE DE PIECE]],Tableau4[MATIERE],Tableau4[SHORT TYPE],"",0,1)</f>
        <v/>
      </c>
      <c r="N3348">
        <f>IF(ISERR(FIND("DECOUPE",Tableau1[[#This Row],[DESIGNATION]])),"","NEED REF")</f>
        <v/>
      </c>
    </row>
    <row r="3349">
      <c r="B3349" t="n">
        <v>34410656</v>
      </c>
      <c r="C3349" s="2" t="n">
        <v>44701</v>
      </c>
      <c r="D3349" t="inlineStr">
        <is>
          <t>SPEC</t>
        </is>
      </c>
      <c r="E3349" t="inlineStr">
        <is>
          <t>SMT INPUT ROOF 2</t>
        </is>
      </c>
      <c r="F3349" t="inlineStr">
        <is>
          <t>ROTHERDAM</t>
        </is>
      </c>
      <c r="G3349" t="inlineStr">
        <is>
          <t>GVX</t>
        </is>
      </c>
      <c r="H3349" t="inlineStr">
        <is>
          <t>IO</t>
        </is>
      </c>
      <c r="J3349" t="inlineStr">
        <is>
          <t>BERNARDEAU</t>
        </is>
      </c>
      <c r="K3349" t="inlineStr">
        <is>
          <t>METAL</t>
        </is>
      </c>
      <c r="L3349">
        <f>_xlfn.XLOOKUP(Tableau1[[#This Row],[TYPE DE PIECE]],Tableau4[MATIERE],Tableau4[SHORT TYPE],"",0,1)</f>
        <v/>
      </c>
      <c r="N3349">
        <f>IF(ISERR(FIND("DECOUPE",Tableau1[[#This Row],[DESIGNATION]])),"","NEED REF")</f>
        <v/>
      </c>
    </row>
    <row r="3350">
      <c r="B3350" t="n">
        <v>34410655</v>
      </c>
      <c r="C3350" s="2" t="n">
        <v>44701</v>
      </c>
      <c r="D3350" t="inlineStr">
        <is>
          <t>SPEC</t>
        </is>
      </c>
      <c r="E3350" t="inlineStr">
        <is>
          <t>SMT INPUT ROOF 1</t>
        </is>
      </c>
      <c r="F3350" t="inlineStr">
        <is>
          <t>ROTHERDAM</t>
        </is>
      </c>
      <c r="G3350" t="inlineStr">
        <is>
          <t>GVX</t>
        </is>
      </c>
      <c r="H3350" t="inlineStr">
        <is>
          <t>IO</t>
        </is>
      </c>
      <c r="J3350" t="inlineStr">
        <is>
          <t>BERNARDEAU</t>
        </is>
      </c>
      <c r="K3350" t="inlineStr">
        <is>
          <t>METAL</t>
        </is>
      </c>
      <c r="L3350">
        <f>_xlfn.XLOOKUP(Tableau1[[#This Row],[TYPE DE PIECE]],Tableau4[MATIERE],Tableau4[SHORT TYPE],"",0,1)</f>
        <v/>
      </c>
      <c r="N3350">
        <f>IF(ISERR(FIND("DECOUPE",Tableau1[[#This Row],[DESIGNATION]])),"","NEED REF")</f>
        <v/>
      </c>
    </row>
    <row r="3351">
      <c r="B3351" t="n">
        <v>34410654</v>
      </c>
      <c r="C3351" s="2" t="n">
        <v>44700</v>
      </c>
      <c r="D3351" t="inlineStr">
        <is>
          <t>SPEC</t>
        </is>
      </c>
      <c r="E3351" t="inlineStr">
        <is>
          <t>Kit cable de neutre</t>
        </is>
      </c>
      <c r="J3351" t="inlineStr">
        <is>
          <t>MATRION</t>
        </is>
      </c>
      <c r="K3351" t="inlineStr">
        <is>
          <t>FILERIE</t>
        </is>
      </c>
      <c r="L3351">
        <f>_xlfn.XLOOKUP(Tableau1[[#This Row],[TYPE DE PIECE]],Tableau4[MATIERE],Tableau4[SHORT TYPE],"",0,1)</f>
        <v/>
      </c>
      <c r="N3351">
        <f>IF(ISERR(FIND("DECOUPE",Tableau1[[#This Row],[DESIGNATION]])),"","NEED REF")</f>
        <v/>
      </c>
    </row>
    <row r="3352">
      <c r="B3352" t="n">
        <v>34410653</v>
      </c>
      <c r="C3352" s="2" t="n">
        <v>44700</v>
      </c>
      <c r="D3352" t="inlineStr">
        <is>
          <t>SPEC</t>
        </is>
      </c>
      <c r="F3352" t="inlineStr">
        <is>
          <t>DATA4 DC07</t>
        </is>
      </c>
      <c r="G3352" t="inlineStr">
        <is>
          <t>GVL</t>
        </is>
      </c>
      <c r="H3352" t="inlineStr">
        <is>
          <t>BYPASS</t>
        </is>
      </c>
      <c r="J3352" t="inlineStr">
        <is>
          <t>MATRION</t>
        </is>
      </c>
      <c r="L3352">
        <f>_xlfn.XLOOKUP(Tableau1[[#This Row],[TYPE DE PIECE]],Tableau4[MATIERE],Tableau4[SHORT TYPE],"",0,1)</f>
        <v/>
      </c>
      <c r="N3352">
        <f>IF(ISERR(FIND("DECOUPE",Tableau1[[#This Row],[DESIGNATION]])),"","NEED REF")</f>
        <v/>
      </c>
    </row>
    <row r="3353">
      <c r="B3353" t="n">
        <v>34410652</v>
      </c>
      <c r="C3353" s="2" t="n">
        <v>44700</v>
      </c>
      <c r="D3353" t="inlineStr">
        <is>
          <t>SPEC</t>
        </is>
      </c>
      <c r="E3353" t="inlineStr">
        <is>
          <t>COP LIAISON LINERGY</t>
        </is>
      </c>
      <c r="F3353" t="inlineStr">
        <is>
          <t>DATA4 DC07</t>
        </is>
      </c>
      <c r="G3353" t="inlineStr">
        <is>
          <t>GVL</t>
        </is>
      </c>
      <c r="H3353" t="inlineStr">
        <is>
          <t>BYPASS</t>
        </is>
      </c>
      <c r="J3353" t="inlineStr">
        <is>
          <t>MATRION</t>
        </is>
      </c>
      <c r="L3353">
        <f>_xlfn.XLOOKUP(Tableau1[[#This Row],[TYPE DE PIECE]],Tableau4[MATIERE],Tableau4[SHORT TYPE],"",0,1)</f>
        <v/>
      </c>
      <c r="N3353">
        <f>IF(ISERR(FIND("DECOUPE",Tableau1[[#This Row],[DESIGNATION]])),"","NEED REF")</f>
        <v/>
      </c>
    </row>
    <row r="3354">
      <c r="B3354" t="n">
        <v>34410651</v>
      </c>
      <c r="C3354" s="2" t="n">
        <v>44700</v>
      </c>
      <c r="D3354" t="inlineStr">
        <is>
          <t>SPEC</t>
        </is>
      </c>
      <c r="F3354" t="inlineStr">
        <is>
          <t>DATA4 DC07</t>
        </is>
      </c>
      <c r="G3354" t="inlineStr">
        <is>
          <t>GVL</t>
        </is>
      </c>
      <c r="H3354" t="inlineStr">
        <is>
          <t>BYPASS</t>
        </is>
      </c>
      <c r="J3354" t="inlineStr">
        <is>
          <t>MATRION</t>
        </is>
      </c>
      <c r="L3354">
        <f>_xlfn.XLOOKUP(Tableau1[[#This Row],[TYPE DE PIECE]],Tableau4[MATIERE],Tableau4[SHORT TYPE],"",0,1)</f>
        <v/>
      </c>
      <c r="N3354">
        <f>IF(ISERR(FIND("DECOUPE",Tableau1[[#This Row],[DESIGNATION]])),"","NEED REF")</f>
        <v/>
      </c>
    </row>
    <row r="3355">
      <c r="B3355" t="n">
        <v>34410650</v>
      </c>
      <c r="C3355" s="2" t="n">
        <v>44700</v>
      </c>
      <c r="D3355" t="inlineStr">
        <is>
          <t>SPEC</t>
        </is>
      </c>
      <c r="F3355" t="inlineStr">
        <is>
          <t>DATA4 DC07</t>
        </is>
      </c>
      <c r="G3355" t="inlineStr">
        <is>
          <t>GVL</t>
        </is>
      </c>
      <c r="H3355" t="inlineStr">
        <is>
          <t>BYPASS</t>
        </is>
      </c>
      <c r="J3355" t="inlineStr">
        <is>
          <t>MATRION</t>
        </is>
      </c>
      <c r="L3355">
        <f>_xlfn.XLOOKUP(Tableau1[[#This Row],[TYPE DE PIECE]],Tableau4[MATIERE],Tableau4[SHORT TYPE],"",0,1)</f>
        <v/>
      </c>
      <c r="N3355">
        <f>IF(ISERR(FIND("DECOUPE",Tableau1[[#This Row],[DESIGNATION]])),"","NEED REF")</f>
        <v/>
      </c>
    </row>
    <row r="3356">
      <c r="B3356" t="n">
        <v>34410649</v>
      </c>
      <c r="C3356" s="2" t="n">
        <v>44699</v>
      </c>
      <c r="D3356" t="inlineStr">
        <is>
          <t>SPEC</t>
        </is>
      </c>
      <c r="F3356" t="inlineStr">
        <is>
          <t>DATA4 DC07</t>
        </is>
      </c>
      <c r="G3356" t="inlineStr">
        <is>
          <t>GVL</t>
        </is>
      </c>
      <c r="H3356" t="inlineStr">
        <is>
          <t>BYPASS</t>
        </is>
      </c>
      <c r="J3356" t="inlineStr">
        <is>
          <t>MATRION</t>
        </is>
      </c>
      <c r="L3356">
        <f>_xlfn.XLOOKUP(Tableau1[[#This Row],[TYPE DE PIECE]],Tableau4[MATIERE],Tableau4[SHORT TYPE],"",0,1)</f>
        <v/>
      </c>
      <c r="N3356">
        <f>IF(ISERR(FIND("DECOUPE",Tableau1[[#This Row],[DESIGNATION]])),"","NEED REF")</f>
        <v/>
      </c>
    </row>
    <row r="3357">
      <c r="B3357" t="n">
        <v>34410648</v>
      </c>
      <c r="C3357" s="2" t="n">
        <v>44699</v>
      </c>
      <c r="D3357" t="inlineStr">
        <is>
          <t>SPEC</t>
        </is>
      </c>
      <c r="F3357" t="inlineStr">
        <is>
          <t>DATA4 DC07</t>
        </is>
      </c>
      <c r="G3357" t="inlineStr">
        <is>
          <t>GVL</t>
        </is>
      </c>
      <c r="H3357" t="inlineStr">
        <is>
          <t>BYPASS</t>
        </is>
      </c>
      <c r="J3357" t="inlineStr">
        <is>
          <t>MATRION</t>
        </is>
      </c>
      <c r="L3357">
        <f>_xlfn.XLOOKUP(Tableau1[[#This Row],[TYPE DE PIECE]],Tableau4[MATIERE],Tableau4[SHORT TYPE],"",0,1)</f>
        <v/>
      </c>
      <c r="N3357">
        <f>IF(ISERR(FIND("DECOUPE",Tableau1[[#This Row],[DESIGNATION]])),"","NEED REF")</f>
        <v/>
      </c>
    </row>
    <row r="3358">
      <c r="B3358" t="n">
        <v>34410647</v>
      </c>
      <c r="C3358" s="2" t="n">
        <v>44699</v>
      </c>
      <c r="D3358" t="inlineStr">
        <is>
          <t>SPEC</t>
        </is>
      </c>
      <c r="E3358" t="inlineStr">
        <is>
          <t>COP JDB INPUT</t>
        </is>
      </c>
      <c r="F3358" t="inlineStr">
        <is>
          <t>DATA4 DC07</t>
        </is>
      </c>
      <c r="G3358" t="inlineStr">
        <is>
          <t>GVL</t>
        </is>
      </c>
      <c r="H3358" t="inlineStr">
        <is>
          <t>BYPASS</t>
        </is>
      </c>
      <c r="J3358" t="inlineStr">
        <is>
          <t>MATRION</t>
        </is>
      </c>
      <c r="L3358">
        <f>_xlfn.XLOOKUP(Tableau1[[#This Row],[TYPE DE PIECE]],Tableau4[MATIERE],Tableau4[SHORT TYPE],"",0,1)</f>
        <v/>
      </c>
      <c r="N3358">
        <f>IF(ISERR(FIND("DECOUPE",Tableau1[[#This Row],[DESIGNATION]])),"","NEED REF")</f>
        <v/>
      </c>
    </row>
    <row r="3359">
      <c r="B3359" t="n">
        <v>34410646</v>
      </c>
      <c r="C3359" s="2" t="n">
        <v>44699</v>
      </c>
      <c r="D3359" t="inlineStr">
        <is>
          <t>SPEC</t>
        </is>
      </c>
      <c r="E3359" t="inlineStr">
        <is>
          <t>SMT CHASSIS NS 3P</t>
        </is>
      </c>
      <c r="F3359" t="inlineStr">
        <is>
          <t>DATA4 DC07</t>
        </is>
      </c>
      <c r="G3359" t="inlineStr">
        <is>
          <t>GVL</t>
        </is>
      </c>
      <c r="H3359" t="inlineStr">
        <is>
          <t>BYPASS</t>
        </is>
      </c>
      <c r="J3359" t="inlineStr">
        <is>
          <t>MATRION</t>
        </is>
      </c>
      <c r="L3359">
        <f>_xlfn.XLOOKUP(Tableau1[[#This Row],[TYPE DE PIECE]],Tableau4[MATIERE],Tableau4[SHORT TYPE],"",0,1)</f>
        <v/>
      </c>
      <c r="N3359">
        <f>IF(ISERR(FIND("DECOUPE",Tableau1[[#This Row],[DESIGNATION]])),"","NEED REF")</f>
        <v/>
      </c>
    </row>
    <row r="3360">
      <c r="B3360" t="n">
        <v>34410645</v>
      </c>
      <c r="C3360" s="2" t="n">
        <v>44698</v>
      </c>
      <c r="D3360" t="inlineStr">
        <is>
          <t>SPEC</t>
        </is>
      </c>
      <c r="F3360" t="inlineStr">
        <is>
          <t>DATA4 DC07</t>
        </is>
      </c>
      <c r="G3360" t="inlineStr">
        <is>
          <t>GVL</t>
        </is>
      </c>
      <c r="H3360" t="inlineStr">
        <is>
          <t>BYPASS</t>
        </is>
      </c>
      <c r="J3360" t="inlineStr">
        <is>
          <t>MATRION</t>
        </is>
      </c>
      <c r="L3360">
        <f>_xlfn.XLOOKUP(Tableau1[[#This Row],[TYPE DE PIECE]],Tableau4[MATIERE],Tableau4[SHORT TYPE],"",0,1)</f>
        <v/>
      </c>
      <c r="N3360">
        <f>IF(ISERR(FIND("DECOUPE",Tableau1[[#This Row],[DESIGNATION]])),"","NEED REF")</f>
        <v/>
      </c>
    </row>
    <row r="3361">
      <c r="B3361" t="n">
        <v>34410644</v>
      </c>
      <c r="C3361" s="2" t="n">
        <v>44698</v>
      </c>
      <c r="D3361" t="inlineStr">
        <is>
          <t>SPEC</t>
        </is>
      </c>
      <c r="F3361" t="inlineStr">
        <is>
          <t>DATA4 DC07</t>
        </is>
      </c>
      <c r="G3361" t="inlineStr">
        <is>
          <t>GVL</t>
        </is>
      </c>
      <c r="H3361" t="inlineStr">
        <is>
          <t>BYPASS</t>
        </is>
      </c>
      <c r="J3361" t="inlineStr">
        <is>
          <t>MATRION</t>
        </is>
      </c>
      <c r="L3361">
        <f>_xlfn.XLOOKUP(Tableau1[[#This Row],[TYPE DE PIECE]],Tableau4[MATIERE],Tableau4[SHORT TYPE],"",0,1)</f>
        <v/>
      </c>
      <c r="N3361">
        <f>IF(ISERR(FIND("DECOUPE",Tableau1[[#This Row],[DESIGNATION]])),"","NEED REF")</f>
        <v/>
      </c>
    </row>
    <row r="3362">
      <c r="B3362" t="n">
        <v>34410643</v>
      </c>
      <c r="C3362" s="2" t="n">
        <v>44698</v>
      </c>
      <c r="D3362" t="inlineStr">
        <is>
          <t>SPEC</t>
        </is>
      </c>
      <c r="F3362" t="inlineStr">
        <is>
          <t>DATA4 DC07</t>
        </is>
      </c>
      <c r="G3362" t="inlineStr">
        <is>
          <t>GVL</t>
        </is>
      </c>
      <c r="H3362" t="inlineStr">
        <is>
          <t>BYPASS</t>
        </is>
      </c>
      <c r="J3362" t="inlineStr">
        <is>
          <t>MATRION</t>
        </is>
      </c>
      <c r="L3362">
        <f>_xlfn.XLOOKUP(Tableau1[[#This Row],[TYPE DE PIECE]],Tableau4[MATIERE],Tableau4[SHORT TYPE],"",0,1)</f>
        <v/>
      </c>
      <c r="N3362">
        <f>IF(ISERR(FIND("DECOUPE",Tableau1[[#This Row],[DESIGNATION]])),"","NEED REF")</f>
        <v/>
      </c>
    </row>
    <row r="3363">
      <c r="B3363" t="n">
        <v>34410642</v>
      </c>
      <c r="C3363" s="2" t="n">
        <v>44698</v>
      </c>
      <c r="D3363" t="inlineStr">
        <is>
          <t>SPEC</t>
        </is>
      </c>
      <c r="F3363" t="inlineStr">
        <is>
          <t>DATA4 DC07</t>
        </is>
      </c>
      <c r="G3363" t="inlineStr">
        <is>
          <t>GVL</t>
        </is>
      </c>
      <c r="H3363" t="inlineStr">
        <is>
          <t>BYPASS</t>
        </is>
      </c>
      <c r="J3363" t="inlineStr">
        <is>
          <t>MATRION</t>
        </is>
      </c>
      <c r="L3363">
        <f>_xlfn.XLOOKUP(Tableau1[[#This Row],[TYPE DE PIECE]],Tableau4[MATIERE],Tableau4[SHORT TYPE],"",0,1)</f>
        <v/>
      </c>
      <c r="N3363">
        <f>IF(ISERR(FIND("DECOUPE",Tableau1[[#This Row],[DESIGNATION]])),"","NEED REF")</f>
        <v/>
      </c>
    </row>
    <row r="3364">
      <c r="B3364" t="n">
        <v>34410641</v>
      </c>
      <c r="C3364" s="2" t="n">
        <v>44698</v>
      </c>
      <c r="D3364" t="inlineStr">
        <is>
          <t>SPEC</t>
        </is>
      </c>
      <c r="F3364" t="inlineStr">
        <is>
          <t>DATA4 DC07</t>
        </is>
      </c>
      <c r="G3364" t="inlineStr">
        <is>
          <t>GVL</t>
        </is>
      </c>
      <c r="H3364" t="inlineStr">
        <is>
          <t>BYPASS</t>
        </is>
      </c>
      <c r="J3364" t="inlineStr">
        <is>
          <t>MATRION</t>
        </is>
      </c>
      <c r="L3364">
        <f>_xlfn.XLOOKUP(Tableau1[[#This Row],[TYPE DE PIECE]],Tableau4[MATIERE],Tableau4[SHORT TYPE],"",0,1)</f>
        <v/>
      </c>
      <c r="N3364">
        <f>IF(ISERR(FIND("DECOUPE",Tableau1[[#This Row],[DESIGNATION]])),"","NEED REF")</f>
        <v/>
      </c>
    </row>
    <row r="3365">
      <c r="B3365" t="n">
        <v>34410640</v>
      </c>
      <c r="C3365" s="2" t="n">
        <v>44698</v>
      </c>
      <c r="D3365" t="inlineStr">
        <is>
          <t>SPEC</t>
        </is>
      </c>
      <c r="F3365" t="inlineStr">
        <is>
          <t>DATA4 DC07</t>
        </is>
      </c>
      <c r="G3365" t="inlineStr">
        <is>
          <t>GVL</t>
        </is>
      </c>
      <c r="H3365" t="inlineStr">
        <is>
          <t>BYPASS</t>
        </is>
      </c>
      <c r="J3365" t="inlineStr">
        <is>
          <t>MATRION</t>
        </is>
      </c>
      <c r="L3365">
        <f>_xlfn.XLOOKUP(Tableau1[[#This Row],[TYPE DE PIECE]],Tableau4[MATIERE],Tableau4[SHORT TYPE],"",0,1)</f>
        <v/>
      </c>
      <c r="N3365">
        <f>IF(ISERR(FIND("DECOUPE",Tableau1[[#This Row],[DESIGNATION]])),"","NEED REF")</f>
        <v/>
      </c>
    </row>
    <row r="3366">
      <c r="B3366" t="n">
        <v>34410639</v>
      </c>
      <c r="C3366" s="2" t="n">
        <v>44698</v>
      </c>
      <c r="D3366" t="inlineStr">
        <is>
          <t>SPEC</t>
        </is>
      </c>
      <c r="F3366" t="inlineStr">
        <is>
          <t>DATA4 DC07</t>
        </is>
      </c>
      <c r="G3366" t="inlineStr">
        <is>
          <t>GVL</t>
        </is>
      </c>
      <c r="H3366" t="inlineStr">
        <is>
          <t>BYPASS</t>
        </is>
      </c>
      <c r="J3366" t="inlineStr">
        <is>
          <t>MATRION</t>
        </is>
      </c>
      <c r="L3366">
        <f>_xlfn.XLOOKUP(Tableau1[[#This Row],[TYPE DE PIECE]],Tableau4[MATIERE],Tableau4[SHORT TYPE],"",0,1)</f>
        <v/>
      </c>
      <c r="N3366">
        <f>IF(ISERR(FIND("DECOUPE",Tableau1[[#This Row],[DESIGNATION]])),"","NEED REF")</f>
        <v/>
      </c>
    </row>
    <row r="3367">
      <c r="B3367" t="n">
        <v>34410638</v>
      </c>
      <c r="C3367" s="2" t="n">
        <v>44698</v>
      </c>
      <c r="D3367" t="inlineStr">
        <is>
          <t>SPEC</t>
        </is>
      </c>
      <c r="E3367" t="inlineStr">
        <is>
          <t>COP CONNEXION TERRE</t>
        </is>
      </c>
      <c r="F3367" t="inlineStr">
        <is>
          <t>NEIROBI</t>
        </is>
      </c>
      <c r="G3367" t="inlineStr">
        <is>
          <t>GVX</t>
        </is>
      </c>
      <c r="J3367" t="inlineStr">
        <is>
          <t>BERNARDEAU</t>
        </is>
      </c>
      <c r="K3367" t="inlineStr">
        <is>
          <t>CUIVRE</t>
        </is>
      </c>
      <c r="L3367">
        <f>_xlfn.XLOOKUP(Tableau1[[#This Row],[TYPE DE PIECE]],Tableau4[MATIERE],Tableau4[SHORT TYPE],"",0,1)</f>
        <v/>
      </c>
      <c r="N3367">
        <f>IF(ISERR(FIND("DECOUPE",Tableau1[[#This Row],[DESIGNATION]])),"","NEED REF")</f>
        <v/>
      </c>
    </row>
    <row r="3368">
      <c r="B3368" t="n">
        <v>34410637</v>
      </c>
      <c r="C3368" s="2" t="n">
        <v>44698</v>
      </c>
      <c r="D3368" t="inlineStr">
        <is>
          <t>SPEC</t>
        </is>
      </c>
      <c r="F3368" t="inlineStr">
        <is>
          <t>DATA4 DC07</t>
        </is>
      </c>
      <c r="G3368" t="inlineStr">
        <is>
          <t>GVL</t>
        </is>
      </c>
      <c r="H3368" t="inlineStr">
        <is>
          <t>BYPASS</t>
        </is>
      </c>
      <c r="J3368" t="inlineStr">
        <is>
          <t>MATRION</t>
        </is>
      </c>
      <c r="L3368">
        <f>_xlfn.XLOOKUP(Tableau1[[#This Row],[TYPE DE PIECE]],Tableau4[MATIERE],Tableau4[SHORT TYPE],"",0,1)</f>
        <v/>
      </c>
      <c r="N3368">
        <f>IF(ISERR(FIND("DECOUPE",Tableau1[[#This Row],[DESIGNATION]])),"","NEED REF")</f>
        <v/>
      </c>
    </row>
    <row r="3369">
      <c r="B3369" t="n">
        <v>34410636</v>
      </c>
      <c r="C3369" s="2" t="n">
        <v>44698</v>
      </c>
      <c r="D3369" t="inlineStr">
        <is>
          <t>SPEC</t>
        </is>
      </c>
      <c r="F3369" t="inlineStr">
        <is>
          <t>DATA4 DC07</t>
        </is>
      </c>
      <c r="G3369" t="inlineStr">
        <is>
          <t>GVL</t>
        </is>
      </c>
      <c r="H3369" t="inlineStr">
        <is>
          <t>BYPASS</t>
        </is>
      </c>
      <c r="J3369" t="inlineStr">
        <is>
          <t>MATRION</t>
        </is>
      </c>
      <c r="L3369">
        <f>_xlfn.XLOOKUP(Tableau1[[#This Row],[TYPE DE PIECE]],Tableau4[MATIERE],Tableau4[SHORT TYPE],"",0,1)</f>
        <v/>
      </c>
      <c r="N3369">
        <f>IF(ISERR(FIND("DECOUPE",Tableau1[[#This Row],[DESIGNATION]])),"","NEED REF")</f>
        <v/>
      </c>
    </row>
    <row r="3370">
      <c r="B3370" t="n">
        <v>34410635</v>
      </c>
      <c r="C3370" s="2" t="n">
        <v>44698</v>
      </c>
      <c r="D3370" t="inlineStr">
        <is>
          <t>SPEC</t>
        </is>
      </c>
      <c r="F3370" t="inlineStr">
        <is>
          <t>DATA4 DC07</t>
        </is>
      </c>
      <c r="G3370" t="inlineStr">
        <is>
          <t>GVL</t>
        </is>
      </c>
      <c r="H3370" t="inlineStr">
        <is>
          <t>BYPASS</t>
        </is>
      </c>
      <c r="J3370" t="inlineStr">
        <is>
          <t>MATRION</t>
        </is>
      </c>
      <c r="L3370">
        <f>_xlfn.XLOOKUP(Tableau1[[#This Row],[TYPE DE PIECE]],Tableau4[MATIERE],Tableau4[SHORT TYPE],"",0,1)</f>
        <v/>
      </c>
      <c r="N3370">
        <f>IF(ISERR(FIND("DECOUPE",Tableau1[[#This Row],[DESIGNATION]])),"","NEED REF")</f>
        <v/>
      </c>
    </row>
    <row r="3371">
      <c r="B3371" t="n">
        <v>34410634</v>
      </c>
      <c r="C3371" s="2" t="n">
        <v>44698</v>
      </c>
      <c r="D3371" t="inlineStr">
        <is>
          <t>SPEC</t>
        </is>
      </c>
      <c r="F3371" t="inlineStr">
        <is>
          <t>DATA4 DC07</t>
        </is>
      </c>
      <c r="G3371" t="inlineStr">
        <is>
          <t>GVL</t>
        </is>
      </c>
      <c r="H3371" t="inlineStr">
        <is>
          <t>BYPASS</t>
        </is>
      </c>
      <c r="J3371" t="inlineStr">
        <is>
          <t>MATRION</t>
        </is>
      </c>
      <c r="L3371">
        <f>_xlfn.XLOOKUP(Tableau1[[#This Row],[TYPE DE PIECE]],Tableau4[MATIERE],Tableau4[SHORT TYPE],"",0,1)</f>
        <v/>
      </c>
      <c r="N3371">
        <f>IF(ISERR(FIND("DECOUPE",Tableau1[[#This Row],[DESIGNATION]])),"","NEED REF")</f>
        <v/>
      </c>
    </row>
    <row r="3372">
      <c r="B3372" t="n">
        <v>34410633</v>
      </c>
      <c r="C3372" s="2" t="n">
        <v>44698</v>
      </c>
      <c r="D3372" t="inlineStr">
        <is>
          <t>SPEC</t>
        </is>
      </c>
      <c r="F3372" t="inlineStr">
        <is>
          <t>DATA4 DC07</t>
        </is>
      </c>
      <c r="G3372" t="inlineStr">
        <is>
          <t>GVL</t>
        </is>
      </c>
      <c r="H3372" t="inlineStr">
        <is>
          <t>BYPASS</t>
        </is>
      </c>
      <c r="J3372" t="inlineStr">
        <is>
          <t>MATRION</t>
        </is>
      </c>
      <c r="L3372">
        <f>_xlfn.XLOOKUP(Tableau1[[#This Row],[TYPE DE PIECE]],Tableau4[MATIERE],Tableau4[SHORT TYPE],"",0,1)</f>
        <v/>
      </c>
      <c r="N3372">
        <f>IF(ISERR(FIND("DECOUPE",Tableau1[[#This Row],[DESIGNATION]])),"","NEED REF")</f>
        <v/>
      </c>
    </row>
    <row r="3373">
      <c r="B3373" t="n">
        <v>34410632</v>
      </c>
      <c r="C3373" s="2" t="n">
        <v>44698</v>
      </c>
      <c r="D3373" t="inlineStr">
        <is>
          <t>SPEC</t>
        </is>
      </c>
      <c r="F3373" t="inlineStr">
        <is>
          <t>DATA4 DC07</t>
        </is>
      </c>
      <c r="G3373" t="inlineStr">
        <is>
          <t>GVL</t>
        </is>
      </c>
      <c r="H3373" t="inlineStr">
        <is>
          <t>BYPASS</t>
        </is>
      </c>
      <c r="J3373" t="inlineStr">
        <is>
          <t>MATRION</t>
        </is>
      </c>
      <c r="L3373">
        <f>_xlfn.XLOOKUP(Tableau1[[#This Row],[TYPE DE PIECE]],Tableau4[MATIERE],Tableau4[SHORT TYPE],"",0,1)</f>
        <v/>
      </c>
      <c r="N3373">
        <f>IF(ISERR(FIND("DECOUPE",Tableau1[[#This Row],[DESIGNATION]])),"","NEED REF")</f>
        <v/>
      </c>
    </row>
    <row r="3374">
      <c r="B3374" t="n">
        <v>34410631</v>
      </c>
      <c r="C3374" s="2" t="n">
        <v>44698</v>
      </c>
      <c r="D3374" t="inlineStr">
        <is>
          <t>SPEC</t>
        </is>
      </c>
      <c r="E3374" t="inlineStr">
        <is>
          <t>COP CONNEXION TERRE</t>
        </is>
      </c>
      <c r="F3374" t="inlineStr">
        <is>
          <t>NEIROBI</t>
        </is>
      </c>
      <c r="G3374" t="inlineStr">
        <is>
          <t>GVX</t>
        </is>
      </c>
      <c r="J3374" t="inlineStr">
        <is>
          <t>BERNARDEAU</t>
        </is>
      </c>
      <c r="K3374" t="inlineStr">
        <is>
          <t>CUIVRE</t>
        </is>
      </c>
      <c r="L3374">
        <f>_xlfn.XLOOKUP(Tableau1[[#This Row],[TYPE DE PIECE]],Tableau4[MATIERE],Tableau4[SHORT TYPE],"",0,1)</f>
        <v/>
      </c>
      <c r="N3374">
        <f>IF(ISERR(FIND("DECOUPE",Tableau1[[#This Row],[DESIGNATION]])),"","NEED REF")</f>
        <v/>
      </c>
    </row>
    <row r="3375">
      <c r="B3375" t="n">
        <v>34410630</v>
      </c>
      <c r="C3375" s="2" t="n">
        <v>44698</v>
      </c>
      <c r="D3375" t="inlineStr">
        <is>
          <t>SPEC</t>
        </is>
      </c>
      <c r="E3375" t="inlineStr">
        <is>
          <t>WIRE KIT PUISSANCE COMMON MAIN AND OUTPUT</t>
        </is>
      </c>
      <c r="F3375" t="inlineStr">
        <is>
          <t>NEIROBI</t>
        </is>
      </c>
      <c r="G3375" t="inlineStr">
        <is>
          <t>GVX</t>
        </is>
      </c>
      <c r="J3375" t="inlineStr">
        <is>
          <t>BERNARDEAU</t>
        </is>
      </c>
      <c r="K3375" t="inlineStr">
        <is>
          <t>KIT FILERIE</t>
        </is>
      </c>
      <c r="L3375">
        <f>_xlfn.XLOOKUP(Tableau1[[#This Row],[TYPE DE PIECE]],Tableau4[MATIERE],Tableau4[SHORT TYPE],"",0,1)</f>
        <v/>
      </c>
      <c r="N3375">
        <f>IF(ISERR(FIND("DECOUPE",Tableau1[[#This Row],[DESIGNATION]])),"","NEED REF")</f>
        <v/>
      </c>
    </row>
    <row r="3376">
      <c r="B3376" t="n">
        <v>34410629</v>
      </c>
      <c r="C3376" s="2" t="n">
        <v>44698</v>
      </c>
      <c r="D3376" t="inlineStr">
        <is>
          <t>SPEC</t>
        </is>
      </c>
      <c r="E3376" t="inlineStr">
        <is>
          <t>COP LIAISON N</t>
        </is>
      </c>
      <c r="F3376" t="inlineStr">
        <is>
          <t>NEIROBI</t>
        </is>
      </c>
      <c r="G3376" t="inlineStr">
        <is>
          <t>GVX</t>
        </is>
      </c>
      <c r="J3376" t="inlineStr">
        <is>
          <t>BERNARDEAU</t>
        </is>
      </c>
      <c r="K3376" t="inlineStr">
        <is>
          <t>CUIVRE</t>
        </is>
      </c>
      <c r="L3376">
        <f>_xlfn.XLOOKUP(Tableau1[[#This Row],[TYPE DE PIECE]],Tableau4[MATIERE],Tableau4[SHORT TYPE],"",0,1)</f>
        <v/>
      </c>
      <c r="N3376">
        <f>IF(ISERR(FIND("DECOUPE",Tableau1[[#This Row],[DESIGNATION]])),"","NEED REF")</f>
        <v/>
      </c>
    </row>
    <row r="3377">
      <c r="B3377" t="n">
        <v>34410628</v>
      </c>
      <c r="C3377" s="2" t="n">
        <v>44697</v>
      </c>
      <c r="D3377" t="inlineStr">
        <is>
          <t>SPEC</t>
        </is>
      </c>
      <c r="E3377" t="inlineStr">
        <is>
          <t>SMT PLAQUE TGAB</t>
        </is>
      </c>
      <c r="F3377" t="inlineStr">
        <is>
          <t>NEIROBI</t>
        </is>
      </c>
      <c r="G3377" t="inlineStr">
        <is>
          <t>GVX</t>
        </is>
      </c>
      <c r="J3377" t="inlineStr">
        <is>
          <t>BERNARDEAU</t>
        </is>
      </c>
      <c r="K3377" t="inlineStr">
        <is>
          <t>METAL</t>
        </is>
      </c>
      <c r="L3377">
        <f>_xlfn.XLOOKUP(Tableau1[[#This Row],[TYPE DE PIECE]],Tableau4[MATIERE],Tableau4[SHORT TYPE],"",0,1)</f>
        <v/>
      </c>
      <c r="N3377">
        <f>IF(ISERR(FIND("DECOUPE",Tableau1[[#This Row],[DESIGNATION]])),"","NEED REF")</f>
        <v/>
      </c>
    </row>
    <row r="3378">
      <c r="B3378" t="n">
        <v>34410627</v>
      </c>
      <c r="C3378" s="2" t="n">
        <v>44697</v>
      </c>
      <c r="D3378" t="inlineStr">
        <is>
          <t>SPEC</t>
        </is>
      </c>
      <c r="E3378" t="inlineStr">
        <is>
          <t>SMT PLAQUE TGAB</t>
        </is>
      </c>
      <c r="F3378" t="inlineStr">
        <is>
          <t>NEIROBI</t>
        </is>
      </c>
      <c r="G3378" t="inlineStr">
        <is>
          <t>GVX</t>
        </is>
      </c>
      <c r="J3378" t="inlineStr">
        <is>
          <t>BERNARDEAU</t>
        </is>
      </c>
      <c r="K3378" t="inlineStr">
        <is>
          <t>METAL</t>
        </is>
      </c>
      <c r="L3378">
        <f>_xlfn.XLOOKUP(Tableau1[[#This Row],[TYPE DE PIECE]],Tableau4[MATIERE],Tableau4[SHORT TYPE],"",0,1)</f>
        <v/>
      </c>
      <c r="N3378">
        <f>IF(ISERR(FIND("DECOUPE",Tableau1[[#This Row],[DESIGNATION]])),"","NEED REF")</f>
        <v/>
      </c>
    </row>
    <row r="3379">
      <c r="B3379" t="n">
        <v>34410626</v>
      </c>
      <c r="C3379" s="2" t="n">
        <v>44694</v>
      </c>
      <c r="D3379" t="inlineStr">
        <is>
          <t>SPEC</t>
        </is>
      </c>
      <c r="E3379" t="inlineStr">
        <is>
          <t>SMT SUPPORT BARRE CU DC</t>
        </is>
      </c>
      <c r="F3379" t="inlineStr">
        <is>
          <t>MATMUT</t>
        </is>
      </c>
      <c r="G3379" t="inlineStr">
        <is>
          <t>GVL</t>
        </is>
      </c>
      <c r="H3379" t="inlineStr">
        <is>
          <t>BATTERY</t>
        </is>
      </c>
      <c r="J3379" t="inlineStr">
        <is>
          <t>JAWORSKI</t>
        </is>
      </c>
      <c r="K3379" t="inlineStr">
        <is>
          <t>METAL</t>
        </is>
      </c>
      <c r="L3379">
        <f>_xlfn.XLOOKUP(Tableau1[[#This Row],[TYPE DE PIECE]],Tableau4[MATIERE],Tableau4[SHORT TYPE],"",0,1)</f>
        <v/>
      </c>
      <c r="N3379">
        <f>IF(ISERR(FIND("DECOUPE",Tableau1[[#This Row],[DESIGNATION]])),"","NEED REF")</f>
        <v/>
      </c>
    </row>
    <row r="3380">
      <c r="B3380" t="n">
        <v>34410625</v>
      </c>
      <c r="C3380" s="2" t="n">
        <v>44694</v>
      </c>
      <c r="D3380" t="inlineStr">
        <is>
          <t>SPEC</t>
        </is>
      </c>
      <c r="E3380" t="inlineStr">
        <is>
          <t>SMT TRAVERSE 600MM FIX_CABLE</t>
        </is>
      </c>
      <c r="F3380" t="inlineStr">
        <is>
          <t>MATMUT</t>
        </is>
      </c>
      <c r="G3380" t="inlineStr">
        <is>
          <t>GVL</t>
        </is>
      </c>
      <c r="H3380" t="inlineStr">
        <is>
          <t>BATTERY</t>
        </is>
      </c>
      <c r="J3380" t="inlineStr">
        <is>
          <t>JAWORSKI</t>
        </is>
      </c>
      <c r="K3380" t="inlineStr">
        <is>
          <t>METAL</t>
        </is>
      </c>
      <c r="L3380">
        <f>_xlfn.XLOOKUP(Tableau1[[#This Row],[TYPE DE PIECE]],Tableau4[MATIERE],Tableau4[SHORT TYPE],"",0,1)</f>
        <v/>
      </c>
      <c r="N3380">
        <f>IF(ISERR(FIND("DECOUPE",Tableau1[[#This Row],[DESIGNATION]])),"","NEED REF")</f>
        <v/>
      </c>
    </row>
    <row r="3381">
      <c r="B3381" t="n">
        <v>34410624</v>
      </c>
      <c r="C3381" s="2" t="n">
        <v>44694</v>
      </c>
      <c r="D3381" t="inlineStr">
        <is>
          <t>SPEC</t>
        </is>
      </c>
      <c r="E3381" t="inlineStr">
        <is>
          <t>COP =S= 04528 80X10 L925MM</t>
        </is>
      </c>
      <c r="F3381" t="inlineStr">
        <is>
          <t>MATMUT</t>
        </is>
      </c>
      <c r="G3381" t="inlineStr">
        <is>
          <t>GVL</t>
        </is>
      </c>
      <c r="H3381" t="inlineStr">
        <is>
          <t>BATTERY</t>
        </is>
      </c>
      <c r="J3381" t="inlineStr">
        <is>
          <t>JAWORSKI</t>
        </is>
      </c>
      <c r="K3381" t="inlineStr">
        <is>
          <t>CUIVRE</t>
        </is>
      </c>
      <c r="L3381">
        <f>_xlfn.XLOOKUP(Tableau1[[#This Row],[TYPE DE PIECE]],Tableau4[MATIERE],Tableau4[SHORT TYPE],"",0,1)</f>
        <v/>
      </c>
      <c r="N3381">
        <f>IF(ISERR(FIND("DECOUPE",Tableau1[[#This Row],[DESIGNATION]])),"","NEED REF")</f>
        <v/>
      </c>
    </row>
    <row r="3382">
      <c r="B3382" t="n">
        <v>34410623</v>
      </c>
      <c r="C3382" s="2" t="n">
        <v>44694</v>
      </c>
      <c r="D3382" t="inlineStr">
        <is>
          <t>SPEC</t>
        </is>
      </c>
      <c r="E3382" t="inlineStr">
        <is>
          <t>PLA BLOC DE PLAGE</t>
        </is>
      </c>
      <c r="F3382" t="inlineStr">
        <is>
          <t>NEIROBI</t>
        </is>
      </c>
      <c r="G3382" t="inlineStr">
        <is>
          <t>GVX</t>
        </is>
      </c>
      <c r="J3382" t="inlineStr">
        <is>
          <t>BERNARDEAU</t>
        </is>
      </c>
      <c r="K3382" t="inlineStr">
        <is>
          <t>PLASTIQUE</t>
        </is>
      </c>
      <c r="L3382">
        <f>_xlfn.XLOOKUP(Tableau1[[#This Row],[TYPE DE PIECE]],Tableau4[MATIERE],Tableau4[SHORT TYPE],"",0,1)</f>
        <v/>
      </c>
      <c r="N3382">
        <f>IF(ISERR(FIND("DECOUPE",Tableau1[[#This Row],[DESIGNATION]])),"","NEED REF")</f>
        <v/>
      </c>
    </row>
    <row r="3383">
      <c r="B3383" t="n">
        <v>34410622</v>
      </c>
      <c r="C3383" s="2" t="n">
        <v>44694</v>
      </c>
      <c r="D3383" t="inlineStr">
        <is>
          <t>SPEC</t>
        </is>
      </c>
      <c r="E3383" t="inlineStr">
        <is>
          <t>COP PLAGE AVANT</t>
        </is>
      </c>
      <c r="F3383" t="inlineStr">
        <is>
          <t>NEIROBI</t>
        </is>
      </c>
      <c r="G3383" t="inlineStr">
        <is>
          <t>GVX</t>
        </is>
      </c>
      <c r="J3383" t="inlineStr">
        <is>
          <t>BERNARDEAU</t>
        </is>
      </c>
      <c r="K3383" t="inlineStr">
        <is>
          <t>CUIVRE</t>
        </is>
      </c>
      <c r="L3383">
        <f>_xlfn.XLOOKUP(Tableau1[[#This Row],[TYPE DE PIECE]],Tableau4[MATIERE],Tableau4[SHORT TYPE],"",0,1)</f>
        <v/>
      </c>
      <c r="N3383">
        <f>IF(ISERR(FIND("DECOUPE",Tableau1[[#This Row],[DESIGNATION]])),"","NEED REF")</f>
        <v/>
      </c>
    </row>
    <row r="3384">
      <c r="B3384" t="n">
        <v>34410621</v>
      </c>
      <c r="C3384" s="2" t="n">
        <v>44694</v>
      </c>
      <c r="D3384" t="inlineStr">
        <is>
          <t>SPEC</t>
        </is>
      </c>
      <c r="E3384" t="inlineStr">
        <is>
          <t>COP PLAGE ARRIERE</t>
        </is>
      </c>
      <c r="F3384" t="inlineStr">
        <is>
          <t>NEIROBI</t>
        </is>
      </c>
      <c r="G3384" t="inlineStr">
        <is>
          <t>GVX</t>
        </is>
      </c>
      <c r="J3384" t="inlineStr">
        <is>
          <t>BERNARDEAU</t>
        </is>
      </c>
      <c r="K3384" t="inlineStr">
        <is>
          <t>CUIVRE</t>
        </is>
      </c>
      <c r="L3384">
        <f>_xlfn.XLOOKUP(Tableau1[[#This Row],[TYPE DE PIECE]],Tableau4[MATIERE],Tableau4[SHORT TYPE],"",0,1)</f>
        <v/>
      </c>
      <c r="N3384">
        <f>IF(ISERR(FIND("DECOUPE",Tableau1[[#This Row],[DESIGNATION]])),"","NEED REF")</f>
        <v/>
      </c>
    </row>
    <row r="3385">
      <c r="B3385" t="n">
        <v>34410620</v>
      </c>
      <c r="C3385" s="2" t="n">
        <v>44694</v>
      </c>
      <c r="D3385" t="inlineStr">
        <is>
          <t>SPEC</t>
        </is>
      </c>
      <c r="E3385" t="inlineStr">
        <is>
          <t>SMT TOIT P-E DC</t>
        </is>
      </c>
      <c r="F3385" t="inlineStr">
        <is>
          <t>MATMUT</t>
        </is>
      </c>
      <c r="G3385" t="inlineStr">
        <is>
          <t>GVL</t>
        </is>
      </c>
      <c r="H3385" t="inlineStr">
        <is>
          <t>BATTERY</t>
        </is>
      </c>
      <c r="J3385" t="inlineStr">
        <is>
          <t>JAWORSKI</t>
        </is>
      </c>
      <c r="K3385" t="inlineStr">
        <is>
          <t>METAL</t>
        </is>
      </c>
      <c r="L3385">
        <f>_xlfn.XLOOKUP(Tableau1[[#This Row],[TYPE DE PIECE]],Tableau4[MATIERE],Tableau4[SHORT TYPE],"",0,1)</f>
        <v/>
      </c>
      <c r="N3385">
        <f>IF(ISERR(FIND("DECOUPE",Tableau1[[#This Row],[DESIGNATION]])),"","NEED REF")</f>
        <v/>
      </c>
    </row>
    <row r="3386">
      <c r="B3386" t="n">
        <v>34410619</v>
      </c>
      <c r="C3386" s="2" t="n">
        <v>44694</v>
      </c>
      <c r="D3386" t="inlineStr">
        <is>
          <t>SPEC</t>
        </is>
      </c>
      <c r="E3386" t="inlineStr">
        <is>
          <t>SMT TOIT P-E  MAINS1</t>
        </is>
      </c>
      <c r="F3386" t="inlineStr">
        <is>
          <t>MATMUT</t>
        </is>
      </c>
      <c r="G3386" t="inlineStr">
        <is>
          <t>GVL</t>
        </is>
      </c>
      <c r="H3386" t="inlineStr">
        <is>
          <t>BATTERY</t>
        </is>
      </c>
      <c r="J3386" t="inlineStr">
        <is>
          <t>JAWORSKI</t>
        </is>
      </c>
      <c r="K3386" t="inlineStr">
        <is>
          <t>METAL</t>
        </is>
      </c>
      <c r="L3386">
        <f>_xlfn.XLOOKUP(Tableau1[[#This Row],[TYPE DE PIECE]],Tableau4[MATIERE],Tableau4[SHORT TYPE],"",0,1)</f>
        <v/>
      </c>
      <c r="N3386">
        <f>IF(ISERR(FIND("DECOUPE",Tableau1[[#This Row],[DESIGNATION]])),"","NEED REF")</f>
        <v/>
      </c>
    </row>
    <row r="3387">
      <c r="B3387" t="n">
        <v>34410618</v>
      </c>
      <c r="C3387" s="2" t="n">
        <v>44694</v>
      </c>
      <c r="D3387" t="inlineStr">
        <is>
          <t>SPEC</t>
        </is>
      </c>
      <c r="E3387" t="inlineStr">
        <is>
          <t>SMT FIXATION BARRE PE</t>
        </is>
      </c>
      <c r="F3387" t="inlineStr">
        <is>
          <t>MATMUT</t>
        </is>
      </c>
      <c r="G3387" t="inlineStr">
        <is>
          <t>GVL</t>
        </is>
      </c>
      <c r="H3387" t="inlineStr">
        <is>
          <t>BATTERY</t>
        </is>
      </c>
      <c r="J3387" t="inlineStr">
        <is>
          <t>JAWORSKI</t>
        </is>
      </c>
      <c r="K3387" t="inlineStr">
        <is>
          <t>METAL</t>
        </is>
      </c>
      <c r="L3387">
        <f>_xlfn.XLOOKUP(Tableau1[[#This Row],[TYPE DE PIECE]],Tableau4[MATIERE],Tableau4[SHORT TYPE],"",0,1)</f>
        <v/>
      </c>
      <c r="N3387">
        <f>IF(ISERR(FIND("DECOUPE",Tableau1[[#This Row],[DESIGNATION]])),"","NEED REF")</f>
        <v/>
      </c>
    </row>
    <row r="3388">
      <c r="B3388" t="n">
        <v>34410617</v>
      </c>
      <c r="C3388" s="2" t="n">
        <v>44694</v>
      </c>
      <c r="D3388" t="inlineStr">
        <is>
          <t>SPEC</t>
        </is>
      </c>
      <c r="E3388" t="inlineStr">
        <is>
          <t>SMT PROTECTION MAINS1</t>
        </is>
      </c>
      <c r="F3388" t="inlineStr">
        <is>
          <t>MATMUT</t>
        </is>
      </c>
      <c r="G3388" t="inlineStr">
        <is>
          <t>GVL</t>
        </is>
      </c>
      <c r="H3388" t="inlineStr">
        <is>
          <t>BATTERY</t>
        </is>
      </c>
      <c r="J3388" t="inlineStr">
        <is>
          <t>JAWORSKI</t>
        </is>
      </c>
      <c r="K3388" t="inlineStr">
        <is>
          <t>METAL</t>
        </is>
      </c>
      <c r="L3388">
        <f>_xlfn.XLOOKUP(Tableau1[[#This Row],[TYPE DE PIECE]],Tableau4[MATIERE],Tableau4[SHORT TYPE],"",0,1)</f>
        <v/>
      </c>
      <c r="N3388">
        <f>IF(ISERR(FIND("DECOUPE",Tableau1[[#This Row],[DESIGNATION]])),"","NEED REF")</f>
        <v/>
      </c>
    </row>
    <row r="3389">
      <c r="B3389" t="n">
        <v>34410616</v>
      </c>
      <c r="C3389" s="2" t="n">
        <v>44694</v>
      </c>
      <c r="D3389" t="inlineStr">
        <is>
          <t>SPEC</t>
        </is>
      </c>
      <c r="E3389" t="inlineStr">
        <is>
          <t>SMT FIXATION TOIT P-E</t>
        </is>
      </c>
      <c r="F3389" t="inlineStr">
        <is>
          <t>MATMUT</t>
        </is>
      </c>
      <c r="G3389" t="inlineStr">
        <is>
          <t>GVL</t>
        </is>
      </c>
      <c r="H3389" t="inlineStr">
        <is>
          <t>BATTERY</t>
        </is>
      </c>
      <c r="J3389" t="inlineStr">
        <is>
          <t>JAWORSKI</t>
        </is>
      </c>
      <c r="K3389" t="inlineStr">
        <is>
          <t>METAL</t>
        </is>
      </c>
      <c r="L3389">
        <f>_xlfn.XLOOKUP(Tableau1[[#This Row],[TYPE DE PIECE]],Tableau4[MATIERE],Tableau4[SHORT TYPE],"",0,1)</f>
        <v/>
      </c>
      <c r="N3389">
        <f>IF(ISERR(FIND("DECOUPE",Tableau1[[#This Row],[DESIGNATION]])),"","NEED REF")</f>
        <v/>
      </c>
    </row>
    <row r="3390">
      <c r="B3390" t="n">
        <v>34410615</v>
      </c>
      <c r="C3390" s="2" t="n">
        <v>44693</v>
      </c>
      <c r="D3390" t="inlineStr">
        <is>
          <t>SPEC</t>
        </is>
      </c>
      <c r="E3390" t="inlineStr">
        <is>
          <t>KIT FILERIE EASY UPS E3LBYPASSwith 2CB</t>
        </is>
      </c>
      <c r="G3390" t="inlineStr">
        <is>
          <t>E3L</t>
        </is>
      </c>
      <c r="J3390" t="inlineStr">
        <is>
          <t>BERNARDEAU</t>
        </is>
      </c>
      <c r="K3390" t="inlineStr">
        <is>
          <t>KIT FILERIE</t>
        </is>
      </c>
      <c r="L3390">
        <f>_xlfn.XLOOKUP(Tableau1[[#This Row],[TYPE DE PIECE]],Tableau4[MATIERE],Tableau4[SHORT TYPE],"",0,1)</f>
        <v/>
      </c>
      <c r="N3390">
        <f>IF(ISERR(FIND("DECOUPE",Tableau1[[#This Row],[DESIGNATION]])),"","NEED REF")</f>
        <v/>
      </c>
    </row>
    <row r="3391">
      <c r="B3391" t="n">
        <v>34410614</v>
      </c>
      <c r="C3391" s="2" t="n">
        <v>44693</v>
      </c>
      <c r="D3391" t="inlineStr">
        <is>
          <t>SPEC</t>
        </is>
      </c>
      <c r="E3391" t="inlineStr">
        <is>
          <t>SMT TRAVERSE HORIZONTALE L1000MM</t>
        </is>
      </c>
      <c r="F3391" t="inlineStr">
        <is>
          <t>MATMUT</t>
        </is>
      </c>
      <c r="G3391" t="inlineStr">
        <is>
          <t>GVL</t>
        </is>
      </c>
      <c r="H3391" t="inlineStr">
        <is>
          <t>BATTERY</t>
        </is>
      </c>
      <c r="J3391" t="inlineStr">
        <is>
          <t>JAWORSKI</t>
        </is>
      </c>
      <c r="K3391" t="inlineStr">
        <is>
          <t>CUIVRE</t>
        </is>
      </c>
      <c r="L3391">
        <f>_xlfn.XLOOKUP(Tableau1[[#This Row],[TYPE DE PIECE]],Tableau4[MATIERE],Tableau4[SHORT TYPE],"",0,1)</f>
        <v/>
      </c>
      <c r="N3391">
        <f>IF(ISERR(FIND("DECOUPE",Tableau1[[#This Row],[DESIGNATION]])),"","NEED REF")</f>
        <v/>
      </c>
    </row>
    <row r="3392">
      <c r="B3392" t="n">
        <v>34410613</v>
      </c>
      <c r="C3392" s="2" t="n">
        <v>44693</v>
      </c>
      <c r="D3392" t="inlineStr">
        <is>
          <t>SPEC</t>
        </is>
      </c>
      <c r="E3392" t="inlineStr">
        <is>
          <t>COP CONNEXION MAINS1 80X5</t>
        </is>
      </c>
      <c r="F3392" t="inlineStr">
        <is>
          <t>MATMUT</t>
        </is>
      </c>
      <c r="G3392" t="inlineStr">
        <is>
          <t>GVL</t>
        </is>
      </c>
      <c r="H3392" t="inlineStr">
        <is>
          <t>BATTERY</t>
        </is>
      </c>
      <c r="J3392" t="inlineStr">
        <is>
          <t>JAWORSKI</t>
        </is>
      </c>
      <c r="K3392" t="inlineStr">
        <is>
          <t>CUIVRE</t>
        </is>
      </c>
      <c r="L3392">
        <f>_xlfn.XLOOKUP(Tableau1[[#This Row],[TYPE DE PIECE]],Tableau4[MATIERE],Tableau4[SHORT TYPE],"",0,1)</f>
        <v/>
      </c>
      <c r="N3392">
        <f>IF(ISERR(FIND("DECOUPE",Tableau1[[#This Row],[DESIGNATION]])),"","NEED REF")</f>
        <v/>
      </c>
    </row>
    <row r="3393">
      <c r="B3393" t="n">
        <v>34410612</v>
      </c>
      <c r="C3393" s="2" t="n">
        <v>44693</v>
      </c>
      <c r="D3393" t="inlineStr">
        <is>
          <t>SPEC</t>
        </is>
      </c>
      <c r="E3393" t="inlineStr">
        <is>
          <t>COP BARRE  DC 80X10</t>
        </is>
      </c>
      <c r="F3393" t="inlineStr">
        <is>
          <t>MATMUT</t>
        </is>
      </c>
      <c r="G3393" t="inlineStr">
        <is>
          <t>GVL</t>
        </is>
      </c>
      <c r="H3393" t="inlineStr">
        <is>
          <t>BATTERY</t>
        </is>
      </c>
      <c r="J3393" t="inlineStr">
        <is>
          <t>JAWORSKI</t>
        </is>
      </c>
      <c r="K3393" t="inlineStr">
        <is>
          <t>CUIVRE</t>
        </is>
      </c>
      <c r="L3393">
        <f>_xlfn.XLOOKUP(Tableau1[[#This Row],[TYPE DE PIECE]],Tableau4[MATIERE],Tableau4[SHORT TYPE],"",0,1)</f>
        <v/>
      </c>
      <c r="N3393">
        <f>IF(ISERR(FIND("DECOUPE",Tableau1[[#This Row],[DESIGNATION]])),"","NEED REF")</f>
        <v/>
      </c>
    </row>
    <row r="3394">
      <c r="B3394" t="n">
        <v>34410611</v>
      </c>
      <c r="C3394" s="2" t="n">
        <v>44693</v>
      </c>
      <c r="D3394" t="inlineStr">
        <is>
          <t>SPEC</t>
        </is>
      </c>
      <c r="E3394" t="inlineStr">
        <is>
          <t>PLA ISOLATION INTER LINERGY BAS</t>
        </is>
      </c>
      <c r="F3394" t="inlineStr">
        <is>
          <t>DATA4 DC07</t>
        </is>
      </c>
      <c r="G3394" t="inlineStr">
        <is>
          <t>GVL</t>
        </is>
      </c>
      <c r="H3394" t="inlineStr">
        <is>
          <t>BYPASS</t>
        </is>
      </c>
      <c r="J3394" t="inlineStr">
        <is>
          <t>MATRION</t>
        </is>
      </c>
      <c r="K3394" t="inlineStr">
        <is>
          <t>PLASTIQUE</t>
        </is>
      </c>
      <c r="L3394">
        <f>_xlfn.XLOOKUP(Tableau1[[#This Row],[TYPE DE PIECE]],Tableau4[MATIERE],Tableau4[SHORT TYPE],"",0,1)</f>
        <v/>
      </c>
      <c r="N3394">
        <f>IF(ISERR(FIND("DECOUPE",Tableau1[[#This Row],[DESIGNATION]])),"","NEED REF")</f>
        <v/>
      </c>
    </row>
    <row r="3395">
      <c r="B3395" t="n">
        <v>34410610</v>
      </c>
      <c r="C3395" s="2" t="n">
        <v>44693</v>
      </c>
      <c r="D3395" t="inlineStr">
        <is>
          <t>SPEC</t>
        </is>
      </c>
      <c r="E3395" t="inlineStr">
        <is>
          <t>COP RACCORDEMENT CLIENT NEUTRE</t>
        </is>
      </c>
      <c r="F3395" t="inlineStr">
        <is>
          <t>DATA4 DC07</t>
        </is>
      </c>
      <c r="G3395" t="inlineStr">
        <is>
          <t>GVL</t>
        </is>
      </c>
      <c r="H3395" t="inlineStr">
        <is>
          <t>BYPASS</t>
        </is>
      </c>
      <c r="J3395" t="inlineStr">
        <is>
          <t>MATRION</t>
        </is>
      </c>
      <c r="K3395" t="inlineStr">
        <is>
          <t>CUIVRE</t>
        </is>
      </c>
      <c r="L3395">
        <f>_xlfn.XLOOKUP(Tableau1[[#This Row],[TYPE DE PIECE]],Tableau4[MATIERE],Tableau4[SHORT TYPE],"",0,1)</f>
        <v/>
      </c>
      <c r="N3395">
        <f>IF(ISERR(FIND("DECOUPE",Tableau1[[#This Row],[DESIGNATION]])),"","NEED REF")</f>
        <v/>
      </c>
    </row>
    <row r="3396">
      <c r="B3396" t="n">
        <v>34410609</v>
      </c>
      <c r="C3396" s="2" t="n">
        <v>44693</v>
      </c>
      <c r="D3396" t="inlineStr">
        <is>
          <t>SPEC</t>
        </is>
      </c>
      <c r="E3396" t="inlineStr">
        <is>
          <t>SMT SUPPORT LINERGY BAS</t>
        </is>
      </c>
      <c r="F3396" t="inlineStr">
        <is>
          <t>DATA4 DC07</t>
        </is>
      </c>
      <c r="G3396" t="inlineStr">
        <is>
          <t>GVL</t>
        </is>
      </c>
      <c r="H3396" t="inlineStr">
        <is>
          <t>BYPASS</t>
        </is>
      </c>
      <c r="J3396" t="inlineStr">
        <is>
          <t>MATRION</t>
        </is>
      </c>
      <c r="K3396" t="inlineStr">
        <is>
          <t>METAL</t>
        </is>
      </c>
      <c r="L3396">
        <f>_xlfn.XLOOKUP(Tableau1[[#This Row],[TYPE DE PIECE]],Tableau4[MATIERE],Tableau4[SHORT TYPE],"",0,1)</f>
        <v/>
      </c>
      <c r="N3396">
        <f>IF(ISERR(FIND("DECOUPE",Tableau1[[#This Row],[DESIGNATION]])),"","NEED REF")</f>
        <v/>
      </c>
    </row>
    <row r="3397">
      <c r="B3397" t="n">
        <v>34410608</v>
      </c>
      <c r="C3397" s="2" t="n">
        <v>44693</v>
      </c>
      <c r="D3397" t="inlineStr">
        <is>
          <t>SPEC</t>
        </is>
      </c>
      <c r="E3397" t="inlineStr">
        <is>
          <t>COP CS NS/LINERGY - L3/N</t>
        </is>
      </c>
      <c r="F3397" t="inlineStr">
        <is>
          <t>DATA4 DC07</t>
        </is>
      </c>
      <c r="G3397" t="inlineStr">
        <is>
          <t>GVL</t>
        </is>
      </c>
      <c r="H3397" t="inlineStr">
        <is>
          <t>BYPASS</t>
        </is>
      </c>
      <c r="J3397" t="inlineStr">
        <is>
          <t>MATRION</t>
        </is>
      </c>
      <c r="K3397" t="inlineStr">
        <is>
          <t>CUIVRE</t>
        </is>
      </c>
      <c r="L3397">
        <f>_xlfn.XLOOKUP(Tableau1[[#This Row],[TYPE DE PIECE]],Tableau4[MATIERE],Tableau4[SHORT TYPE],"",0,1)</f>
        <v/>
      </c>
      <c r="N3397">
        <f>IF(ISERR(FIND("DECOUPE",Tableau1[[#This Row],[DESIGNATION]])),"","NEED REF")</f>
        <v/>
      </c>
    </row>
    <row r="3398">
      <c r="B3398" t="n">
        <v>34410607</v>
      </c>
      <c r="C3398" s="2" t="n">
        <v>44693</v>
      </c>
      <c r="D3398" t="inlineStr">
        <is>
          <t>SPEC</t>
        </is>
      </c>
      <c r="E3398" t="inlineStr">
        <is>
          <t>COP CS NS/LINERGY - L2/L1</t>
        </is>
      </c>
      <c r="F3398" t="inlineStr">
        <is>
          <t>DATA4 DC07</t>
        </is>
      </c>
      <c r="G3398" t="inlineStr">
        <is>
          <t>GVL</t>
        </is>
      </c>
      <c r="H3398" t="inlineStr">
        <is>
          <t>BYPASS</t>
        </is>
      </c>
      <c r="J3398" t="inlineStr">
        <is>
          <t>MATRION</t>
        </is>
      </c>
      <c r="K3398" t="inlineStr">
        <is>
          <t>CUIVRE</t>
        </is>
      </c>
      <c r="L3398">
        <f>_xlfn.XLOOKUP(Tableau1[[#This Row],[TYPE DE PIECE]],Tableau4[MATIERE],Tableau4[SHORT TYPE],"",0,1)</f>
        <v/>
      </c>
      <c r="N3398">
        <f>IF(ISERR(FIND("DECOUPE",Tableau1[[#This Row],[DESIGNATION]])),"","NEED REF")</f>
        <v/>
      </c>
    </row>
    <row r="3399">
      <c r="B3399" t="n">
        <v>34410606</v>
      </c>
      <c r="C3399" s="2" t="n">
        <v>44693</v>
      </c>
      <c r="D3399" t="inlineStr">
        <is>
          <t>SPEC</t>
        </is>
      </c>
      <c r="E3399" t="inlineStr">
        <is>
          <t>COP CS NS/LINERGY - L1/L2</t>
        </is>
      </c>
      <c r="F3399" t="inlineStr">
        <is>
          <t>DATA4 DC07</t>
        </is>
      </c>
      <c r="G3399" t="inlineStr">
        <is>
          <t>GVL</t>
        </is>
      </c>
      <c r="H3399" t="inlineStr">
        <is>
          <t>BYPASS</t>
        </is>
      </c>
      <c r="J3399" t="inlineStr">
        <is>
          <t>MATRION</t>
        </is>
      </c>
      <c r="K3399" t="inlineStr">
        <is>
          <t>CUIVRE</t>
        </is>
      </c>
      <c r="L3399">
        <f>_xlfn.XLOOKUP(Tableau1[[#This Row],[TYPE DE PIECE]],Tableau4[MATIERE],Tableau4[SHORT TYPE],"",0,1)</f>
        <v/>
      </c>
      <c r="N3399">
        <f>IF(ISERR(FIND("DECOUPE",Tableau1[[#This Row],[DESIGNATION]])),"","NEED REF")</f>
        <v/>
      </c>
    </row>
    <row r="3400">
      <c r="B3400" t="n">
        <v>34410605</v>
      </c>
      <c r="C3400" s="2" t="n">
        <v>44693</v>
      </c>
      <c r="D3400" t="inlineStr">
        <is>
          <t>SPEC</t>
        </is>
      </c>
      <c r="E3400" t="inlineStr">
        <is>
          <t>COP CS NS/LINERGY - N/L3</t>
        </is>
      </c>
      <c r="F3400" t="inlineStr">
        <is>
          <t>DATA4 DC07</t>
        </is>
      </c>
      <c r="G3400" t="inlineStr">
        <is>
          <t>GVL</t>
        </is>
      </c>
      <c r="H3400" t="inlineStr">
        <is>
          <t>BYPASS</t>
        </is>
      </c>
      <c r="J3400" t="inlineStr">
        <is>
          <t>MATRION</t>
        </is>
      </c>
      <c r="K3400" t="inlineStr">
        <is>
          <t>CUIVRE</t>
        </is>
      </c>
      <c r="L3400">
        <f>_xlfn.XLOOKUP(Tableau1[[#This Row],[TYPE DE PIECE]],Tableau4[MATIERE],Tableau4[SHORT TYPE],"",0,1)</f>
        <v/>
      </c>
      <c r="N3400">
        <f>IF(ISERR(FIND("DECOUPE",Tableau1[[#This Row],[DESIGNATION]])),"","NEED REF")</f>
        <v/>
      </c>
    </row>
    <row r="3401">
      <c r="B3401" t="n">
        <v>34410604</v>
      </c>
      <c r="C3401" s="2" t="n">
        <v>44693</v>
      </c>
      <c r="D3401" t="inlineStr">
        <is>
          <t>SPEC</t>
        </is>
      </c>
      <c r="E3401" t="inlineStr">
        <is>
          <t>PLA BRIDE JEU DE BARRE NS1600 3P</t>
        </is>
      </c>
      <c r="F3401" t="inlineStr">
        <is>
          <t>DATA4 DC07</t>
        </is>
      </c>
      <c r="G3401" t="inlineStr">
        <is>
          <t>GVL</t>
        </is>
      </c>
      <c r="H3401" t="inlineStr">
        <is>
          <t>BYPASS</t>
        </is>
      </c>
      <c r="J3401" t="inlineStr">
        <is>
          <t>MATRION</t>
        </is>
      </c>
      <c r="K3401" t="inlineStr">
        <is>
          <t>PLASTIQUE</t>
        </is>
      </c>
      <c r="L3401">
        <f>_xlfn.XLOOKUP(Tableau1[[#This Row],[TYPE DE PIECE]],Tableau4[MATIERE],Tableau4[SHORT TYPE],"",0,1)</f>
        <v/>
      </c>
      <c r="N3401">
        <f>IF(ISERR(FIND("DECOUPE",Tableau1[[#This Row],[DESIGNATION]])),"","NEED REF")</f>
        <v/>
      </c>
    </row>
    <row r="3402">
      <c r="B3402" t="n">
        <v>34410603</v>
      </c>
      <c r="C3402" s="2" t="n">
        <v>44693</v>
      </c>
      <c r="D3402" t="inlineStr">
        <is>
          <t>SPEC</t>
        </is>
      </c>
      <c r="E3402" t="inlineStr">
        <is>
          <t>SMT EQUERRE FIXATION ISOLATION LINERGY</t>
        </is>
      </c>
      <c r="F3402" t="inlineStr">
        <is>
          <t>DATA4 DC07</t>
        </is>
      </c>
      <c r="G3402" t="inlineStr">
        <is>
          <t>GVL</t>
        </is>
      </c>
      <c r="H3402" t="inlineStr">
        <is>
          <t>BYPASS</t>
        </is>
      </c>
      <c r="J3402" t="inlineStr">
        <is>
          <t>MATRION</t>
        </is>
      </c>
      <c r="K3402" t="inlineStr">
        <is>
          <t>METAL</t>
        </is>
      </c>
      <c r="L3402">
        <f>_xlfn.XLOOKUP(Tableau1[[#This Row],[TYPE DE PIECE]],Tableau4[MATIERE],Tableau4[SHORT TYPE],"",0,1)</f>
        <v/>
      </c>
      <c r="N3402">
        <f>IF(ISERR(FIND("DECOUPE",Tableau1[[#This Row],[DESIGNATION]])),"","NEED REF")</f>
        <v/>
      </c>
    </row>
    <row r="3403">
      <c r="B3403" t="n">
        <v>34410602</v>
      </c>
      <c r="C3403" s="2" t="n">
        <v>44693</v>
      </c>
      <c r="D3403" t="inlineStr">
        <is>
          <t>SPEC</t>
        </is>
      </c>
      <c r="E3403" t="inlineStr">
        <is>
          <t>PLA ISOLATION INTER LINERGY</t>
        </is>
      </c>
      <c r="F3403" t="inlineStr">
        <is>
          <t>DATA4 DC07</t>
        </is>
      </c>
      <c r="G3403" t="inlineStr">
        <is>
          <t>GVL</t>
        </is>
      </c>
      <c r="H3403" t="inlineStr">
        <is>
          <t>BYPASS</t>
        </is>
      </c>
      <c r="J3403" t="inlineStr">
        <is>
          <t>MATRION</t>
        </is>
      </c>
      <c r="K3403" t="inlineStr">
        <is>
          <t>PLASTIQUE</t>
        </is>
      </c>
      <c r="L3403">
        <f>_xlfn.XLOOKUP(Tableau1[[#This Row],[TYPE DE PIECE]],Tableau4[MATIERE],Tableau4[SHORT TYPE],"",0,1)</f>
        <v/>
      </c>
      <c r="N3403">
        <f>IF(ISERR(FIND("DECOUPE",Tableau1[[#This Row],[DESIGNATION]])),"","NEED REF")</f>
        <v/>
      </c>
    </row>
    <row r="3404">
      <c r="B3404" t="n">
        <v>34410601</v>
      </c>
      <c r="C3404" s="2" t="n">
        <v>44693</v>
      </c>
      <c r="D3404" t="inlineStr">
        <is>
          <t>SPEC</t>
        </is>
      </c>
      <c r="E3404" t="inlineStr">
        <is>
          <t>SMT DECOUPE LINERGY LVS04565</t>
        </is>
      </c>
      <c r="F3404" t="inlineStr">
        <is>
          <t>DATA4 DC07</t>
        </is>
      </c>
      <c r="G3404" t="inlineStr">
        <is>
          <t>GVL</t>
        </is>
      </c>
      <c r="H3404" t="inlineStr">
        <is>
          <t>BYPASS</t>
        </is>
      </c>
      <c r="J3404" t="inlineStr">
        <is>
          <t>MATRION</t>
        </is>
      </c>
      <c r="K3404" t="inlineStr">
        <is>
          <t>METAL</t>
        </is>
      </c>
      <c r="L3404">
        <f>_xlfn.XLOOKUP(Tableau1[[#This Row],[TYPE DE PIECE]],Tableau4[MATIERE],Tableau4[SHORT TYPE],"",0,1)</f>
        <v/>
      </c>
      <c r="N3404" t="inlineStr">
        <is>
          <t>LVS04565</t>
        </is>
      </c>
    </row>
    <row r="3405">
      <c r="B3405" t="n">
        <v>34410600</v>
      </c>
      <c r="C3405" s="2" t="n">
        <v>44693</v>
      </c>
      <c r="D3405" t="inlineStr">
        <is>
          <t>SPEC</t>
        </is>
      </c>
      <c r="E3405" t="inlineStr">
        <is>
          <t>SMT DECOUPE LINERGY LVS04565</t>
        </is>
      </c>
      <c r="F3405" t="inlineStr">
        <is>
          <t>DATA4 DC07</t>
        </is>
      </c>
      <c r="G3405" t="inlineStr">
        <is>
          <t>GVL</t>
        </is>
      </c>
      <c r="H3405" t="inlineStr">
        <is>
          <t>BYPASS</t>
        </is>
      </c>
      <c r="J3405" t="inlineStr">
        <is>
          <t>MATRION</t>
        </is>
      </c>
      <c r="K3405" t="inlineStr">
        <is>
          <t>METAL</t>
        </is>
      </c>
      <c r="L3405">
        <f>_xlfn.XLOOKUP(Tableau1[[#This Row],[TYPE DE PIECE]],Tableau4[MATIERE],Tableau4[SHORT TYPE],"",0,1)</f>
        <v/>
      </c>
      <c r="N3405" t="inlineStr">
        <is>
          <t>LVS04565</t>
        </is>
      </c>
    </row>
    <row r="3406">
      <c r="B3406" t="n">
        <v>34410599</v>
      </c>
      <c r="C3406" s="2" t="n">
        <v>44692</v>
      </c>
      <c r="D3406" t="inlineStr">
        <is>
          <t>SPEC</t>
        </is>
      </c>
      <c r="E3406" t="inlineStr">
        <is>
          <t>SMT FINITION AR BYPASS</t>
        </is>
      </c>
      <c r="F3406" t="inlineStr">
        <is>
          <t>DATA4 DC07</t>
        </is>
      </c>
      <c r="G3406" t="inlineStr">
        <is>
          <t>GVL</t>
        </is>
      </c>
      <c r="H3406" t="inlineStr">
        <is>
          <t>BYPASS</t>
        </is>
      </c>
      <c r="J3406" t="inlineStr">
        <is>
          <t>MATRION</t>
        </is>
      </c>
      <c r="K3406" t="inlineStr">
        <is>
          <t>METAL</t>
        </is>
      </c>
      <c r="L3406">
        <f>_xlfn.XLOOKUP(Tableau1[[#This Row],[TYPE DE PIECE]],Tableau4[MATIERE],Tableau4[SHORT TYPE],"",0,1)</f>
        <v/>
      </c>
      <c r="N3406">
        <f>IF(ISERR(FIND("DECOUPE",Tableau1[[#This Row],[DESIGNATION]])),"","NEED REF")</f>
        <v/>
      </c>
    </row>
    <row r="3407">
      <c r="B3407" t="n">
        <v>34410598</v>
      </c>
      <c r="C3407" s="2" t="n">
        <v>44692</v>
      </c>
      <c r="D3407" t="inlineStr">
        <is>
          <t>SPEC</t>
        </is>
      </c>
      <c r="E3407" t="inlineStr">
        <is>
          <t>SMT FINITION AR UPS3&amp;4</t>
        </is>
      </c>
      <c r="F3407" t="inlineStr">
        <is>
          <t>DATA4 DC07</t>
        </is>
      </c>
      <c r="G3407" t="inlineStr">
        <is>
          <t>GVL</t>
        </is>
      </c>
      <c r="H3407" t="inlineStr">
        <is>
          <t>BYPASS</t>
        </is>
      </c>
      <c r="J3407" t="inlineStr">
        <is>
          <t>MATRION</t>
        </is>
      </c>
      <c r="K3407" t="inlineStr">
        <is>
          <t>METAL</t>
        </is>
      </c>
      <c r="L3407">
        <f>_xlfn.XLOOKUP(Tableau1[[#This Row],[TYPE DE PIECE]],Tableau4[MATIERE],Tableau4[SHORT TYPE],"",0,1)</f>
        <v/>
      </c>
      <c r="N3407">
        <f>IF(ISERR(FIND("DECOUPE",Tableau1[[#This Row],[DESIGNATION]])),"","NEED REF")</f>
        <v/>
      </c>
    </row>
    <row r="3408">
      <c r="B3408" t="n">
        <v>34410597</v>
      </c>
      <c r="C3408" s="2" t="n">
        <v>44692</v>
      </c>
      <c r="D3408" t="inlineStr">
        <is>
          <t>SPEC</t>
        </is>
      </c>
      <c r="E3408" t="inlineStr">
        <is>
          <t>SMT FINITION AR UPS1&amp;2</t>
        </is>
      </c>
      <c r="F3408" t="inlineStr">
        <is>
          <t>DATA4 DC07</t>
        </is>
      </c>
      <c r="G3408" t="inlineStr">
        <is>
          <t>GVL</t>
        </is>
      </c>
      <c r="H3408" t="inlineStr">
        <is>
          <t>BYPASS</t>
        </is>
      </c>
      <c r="J3408" t="inlineStr">
        <is>
          <t>MATRION</t>
        </is>
      </c>
      <c r="K3408" t="inlineStr">
        <is>
          <t>METAL</t>
        </is>
      </c>
      <c r="L3408">
        <f>_xlfn.XLOOKUP(Tableau1[[#This Row],[TYPE DE PIECE]],Tableau4[MATIERE],Tableau4[SHORT TYPE],"",0,1)</f>
        <v/>
      </c>
      <c r="N3408">
        <f>IF(ISERR(FIND("DECOUPE",Tableau1[[#This Row],[DESIGNATION]])),"","NEED REF")</f>
        <v/>
      </c>
    </row>
    <row r="3409">
      <c r="B3409" t="n">
        <v>34410596</v>
      </c>
      <c r="C3409" s="2" t="n">
        <v>44686</v>
      </c>
      <c r="D3409" t="inlineStr">
        <is>
          <t>SPEC</t>
        </is>
      </c>
      <c r="E3409" t="inlineStr">
        <is>
          <t>PLA PROTECTION TËTE DC</t>
        </is>
      </c>
      <c r="F3409" t="inlineStr">
        <is>
          <t>INTERXION</t>
        </is>
      </c>
      <c r="G3409" t="inlineStr">
        <is>
          <t>GVX</t>
        </is>
      </c>
      <c r="H3409" t="inlineStr">
        <is>
          <t>IO</t>
        </is>
      </c>
      <c r="J3409" t="inlineStr">
        <is>
          <t>MATRION</t>
        </is>
      </c>
      <c r="K3409" t="inlineStr">
        <is>
          <t>PLASTIQUE</t>
        </is>
      </c>
      <c r="L3409">
        <f>_xlfn.XLOOKUP(Tableau1[[#This Row],[TYPE DE PIECE]],Tableau4[MATIERE],Tableau4[SHORT TYPE],"",0,1)</f>
        <v/>
      </c>
      <c r="N3409">
        <f>IF(ISERR(FIND("DECOUPE",Tableau1[[#This Row],[DESIGNATION]])),"","NEED REF")</f>
        <v/>
      </c>
    </row>
    <row r="3410">
      <c r="B3410" t="n">
        <v>34410595</v>
      </c>
      <c r="C3410" s="2" t="n">
        <v>44686</v>
      </c>
      <c r="D3410" t="inlineStr">
        <is>
          <t>SPEC</t>
        </is>
      </c>
      <c r="E3410" t="inlineStr">
        <is>
          <t>SMT INPUT ROOF 2</t>
        </is>
      </c>
      <c r="F3410" t="inlineStr">
        <is>
          <t>INTERXION</t>
        </is>
      </c>
      <c r="G3410" t="inlineStr">
        <is>
          <t>GVX</t>
        </is>
      </c>
      <c r="H3410" t="inlineStr">
        <is>
          <t>IO</t>
        </is>
      </c>
      <c r="J3410" t="inlineStr">
        <is>
          <t>BERNARDEAU</t>
        </is>
      </c>
      <c r="K3410" t="inlineStr">
        <is>
          <t>METAL</t>
        </is>
      </c>
      <c r="L3410">
        <f>_xlfn.XLOOKUP(Tableau1[[#This Row],[TYPE DE PIECE]],Tableau4[MATIERE],Tableau4[SHORT TYPE],"",0,1)</f>
        <v/>
      </c>
      <c r="N3410">
        <f>IF(ISERR(FIND("DECOUPE",Tableau1[[#This Row],[DESIGNATION]])),"","NEED REF")</f>
        <v/>
      </c>
    </row>
    <row r="3411">
      <c r="B3411" t="n">
        <v>34410594</v>
      </c>
      <c r="C3411" s="2" t="n">
        <v>44686</v>
      </c>
      <c r="D3411" t="inlineStr">
        <is>
          <t>SPEC</t>
        </is>
      </c>
      <c r="E3411" t="inlineStr">
        <is>
          <t>SMT INPUT ROOF 1</t>
        </is>
      </c>
      <c r="F3411" t="inlineStr">
        <is>
          <t>INTERXION</t>
        </is>
      </c>
      <c r="G3411" t="inlineStr">
        <is>
          <t>GVX</t>
        </is>
      </c>
      <c r="H3411" t="inlineStr">
        <is>
          <t>IO</t>
        </is>
      </c>
      <c r="J3411" t="inlineStr">
        <is>
          <t>BERNARDEAU</t>
        </is>
      </c>
      <c r="K3411" t="inlineStr">
        <is>
          <t>METAL</t>
        </is>
      </c>
      <c r="L3411">
        <f>_xlfn.XLOOKUP(Tableau1[[#This Row],[TYPE DE PIECE]],Tableau4[MATIERE],Tableau4[SHORT TYPE],"",0,1)</f>
        <v/>
      </c>
      <c r="N3411">
        <f>IF(ISERR(FIND("DECOUPE",Tableau1[[#This Row],[DESIGNATION]])),"","NEED REF")</f>
        <v/>
      </c>
    </row>
    <row r="3412">
      <c r="B3412" t="n">
        <v>34410593</v>
      </c>
      <c r="C3412" s="2" t="n">
        <v>44686</v>
      </c>
      <c r="D3412" t="inlineStr">
        <is>
          <t>SPEC</t>
        </is>
      </c>
      <c r="E3412" t="inlineStr">
        <is>
          <t>COP PONTAGE NEUTRE 6</t>
        </is>
      </c>
      <c r="F3412" t="inlineStr">
        <is>
          <t>DATA4 DC07</t>
        </is>
      </c>
      <c r="G3412" t="inlineStr">
        <is>
          <t>GVL</t>
        </is>
      </c>
      <c r="H3412" t="inlineStr">
        <is>
          <t>BYPASS</t>
        </is>
      </c>
      <c r="J3412" t="inlineStr">
        <is>
          <t>MATRION</t>
        </is>
      </c>
      <c r="K3412" t="inlineStr">
        <is>
          <t>CUIVRE</t>
        </is>
      </c>
      <c r="L3412">
        <f>_xlfn.XLOOKUP(Tableau1[[#This Row],[TYPE DE PIECE]],Tableau4[MATIERE],Tableau4[SHORT TYPE],"",0,1)</f>
        <v/>
      </c>
      <c r="N3412">
        <f>IF(ISERR(FIND("DECOUPE",Tableau1[[#This Row],[DESIGNATION]])),"","NEED REF")</f>
        <v/>
      </c>
    </row>
    <row r="3413">
      <c r="B3413" t="n">
        <v>34410592</v>
      </c>
      <c r="C3413" s="2" t="n">
        <v>44686</v>
      </c>
      <c r="D3413" t="inlineStr">
        <is>
          <t>SPEC</t>
        </is>
      </c>
      <c r="E3413" t="inlineStr">
        <is>
          <t>COP PONTAGE NEUTRE 5</t>
        </is>
      </c>
      <c r="F3413" t="inlineStr">
        <is>
          <t>DATA4 DC07</t>
        </is>
      </c>
      <c r="G3413" t="inlineStr">
        <is>
          <t>GVL</t>
        </is>
      </c>
      <c r="H3413" t="inlineStr">
        <is>
          <t>BYPASS</t>
        </is>
      </c>
      <c r="J3413" t="inlineStr">
        <is>
          <t>MATRION</t>
        </is>
      </c>
      <c r="K3413" t="inlineStr">
        <is>
          <t>CUIVRE</t>
        </is>
      </c>
      <c r="L3413">
        <f>_xlfn.XLOOKUP(Tableau1[[#This Row],[TYPE DE PIECE]],Tableau4[MATIERE],Tableau4[SHORT TYPE],"",0,1)</f>
        <v/>
      </c>
      <c r="N3413">
        <f>IF(ISERR(FIND("DECOUPE",Tableau1[[#This Row],[DESIGNATION]])),"","NEED REF")</f>
        <v/>
      </c>
    </row>
    <row r="3414">
      <c r="B3414" t="n">
        <v>34410591</v>
      </c>
      <c r="C3414" s="2" t="n">
        <v>44686</v>
      </c>
      <c r="D3414" t="inlineStr">
        <is>
          <t>SPEC</t>
        </is>
      </c>
      <c r="E3414" t="inlineStr">
        <is>
          <t>COP PONTAGE NEUTRE 4</t>
        </is>
      </c>
      <c r="F3414" t="inlineStr">
        <is>
          <t>DATA4 DC07</t>
        </is>
      </c>
      <c r="G3414" t="inlineStr">
        <is>
          <t>GVL</t>
        </is>
      </c>
      <c r="H3414" t="inlineStr">
        <is>
          <t>BYPASS</t>
        </is>
      </c>
      <c r="J3414" t="inlineStr">
        <is>
          <t>MATRION</t>
        </is>
      </c>
      <c r="K3414" t="inlineStr">
        <is>
          <t>CUIVRE</t>
        </is>
      </c>
      <c r="L3414">
        <f>_xlfn.XLOOKUP(Tableau1[[#This Row],[TYPE DE PIECE]],Tableau4[MATIERE],Tableau4[SHORT TYPE],"",0,1)</f>
        <v/>
      </c>
      <c r="N3414">
        <f>IF(ISERR(FIND("DECOUPE",Tableau1[[#This Row],[DESIGNATION]])),"","NEED REF")</f>
        <v/>
      </c>
    </row>
    <row r="3415">
      <c r="B3415" t="n">
        <v>34410590</v>
      </c>
      <c r="C3415" s="2" t="n">
        <v>44686</v>
      </c>
      <c r="D3415" t="inlineStr">
        <is>
          <t>SPEC</t>
        </is>
      </c>
      <c r="E3415" t="inlineStr">
        <is>
          <t>COP PONTAGE NEUTRE 3</t>
        </is>
      </c>
      <c r="F3415" t="inlineStr">
        <is>
          <t>DATA4 DC07</t>
        </is>
      </c>
      <c r="G3415" t="inlineStr">
        <is>
          <t>GVL</t>
        </is>
      </c>
      <c r="H3415" t="inlineStr">
        <is>
          <t>BYPASS</t>
        </is>
      </c>
      <c r="J3415" t="inlineStr">
        <is>
          <t>MATRION</t>
        </is>
      </c>
      <c r="K3415" t="inlineStr">
        <is>
          <t>CUIVRE</t>
        </is>
      </c>
      <c r="L3415">
        <f>_xlfn.XLOOKUP(Tableau1[[#This Row],[TYPE DE PIECE]],Tableau4[MATIERE],Tableau4[SHORT TYPE],"",0,1)</f>
        <v/>
      </c>
      <c r="N3415">
        <f>IF(ISERR(FIND("DECOUPE",Tableau1[[#This Row],[DESIGNATION]])),"","NEED REF")</f>
        <v/>
      </c>
    </row>
    <row r="3416">
      <c r="B3416" t="n">
        <v>34410589</v>
      </c>
      <c r="C3416" s="2" t="n">
        <v>44686</v>
      </c>
      <c r="D3416" t="inlineStr">
        <is>
          <t>SPEC</t>
        </is>
      </c>
      <c r="E3416" t="inlineStr">
        <is>
          <t>COP PONTAGE NEUTRE 2</t>
        </is>
      </c>
      <c r="F3416" t="inlineStr">
        <is>
          <t>DATA4 DC07</t>
        </is>
      </c>
      <c r="G3416" t="inlineStr">
        <is>
          <t>GVL</t>
        </is>
      </c>
      <c r="H3416" t="inlineStr">
        <is>
          <t>BYPASS</t>
        </is>
      </c>
      <c r="J3416" t="inlineStr">
        <is>
          <t>MATRION</t>
        </is>
      </c>
      <c r="K3416" t="inlineStr">
        <is>
          <t>CUIVRE</t>
        </is>
      </c>
      <c r="L3416">
        <f>_xlfn.XLOOKUP(Tableau1[[#This Row],[TYPE DE PIECE]],Tableau4[MATIERE],Tableau4[SHORT TYPE],"",0,1)</f>
        <v/>
      </c>
      <c r="N3416">
        <f>IF(ISERR(FIND("DECOUPE",Tableau1[[#This Row],[DESIGNATION]])),"","NEED REF")</f>
        <v/>
      </c>
    </row>
    <row r="3417">
      <c r="B3417" t="n">
        <v>34410588</v>
      </c>
      <c r="C3417" s="2" t="n">
        <v>44686</v>
      </c>
      <c r="D3417" t="inlineStr">
        <is>
          <t>SPEC</t>
        </is>
      </c>
      <c r="E3417" t="inlineStr">
        <is>
          <t>COP PONTAGE NEUTRE 1</t>
        </is>
      </c>
      <c r="F3417" t="inlineStr">
        <is>
          <t>DATA4 DC07</t>
        </is>
      </c>
      <c r="G3417" t="inlineStr">
        <is>
          <t>GVL</t>
        </is>
      </c>
      <c r="H3417" t="inlineStr">
        <is>
          <t>BYPASS</t>
        </is>
      </c>
      <c r="J3417" t="inlineStr">
        <is>
          <t>MATRION</t>
        </is>
      </c>
      <c r="K3417" t="inlineStr">
        <is>
          <t>CUIVRE</t>
        </is>
      </c>
      <c r="L3417">
        <f>_xlfn.XLOOKUP(Tableau1[[#This Row],[TYPE DE PIECE]],Tableau4[MATIERE],Tableau4[SHORT TYPE],"",0,1)</f>
        <v/>
      </c>
      <c r="N3417">
        <f>IF(ISERR(FIND("DECOUPE",Tableau1[[#This Row],[DESIGNATION]])),"","NEED REF")</f>
        <v/>
      </c>
    </row>
    <row r="3418">
      <c r="B3418" t="n">
        <v>34410587</v>
      </c>
      <c r="C3418" s="2" t="n">
        <v>44686</v>
      </c>
      <c r="D3418" t="inlineStr">
        <is>
          <t>SPEC</t>
        </is>
      </c>
      <c r="E3418" t="inlineStr">
        <is>
          <t>SMT TOIT OUTPUT AND BATT ROOT 2</t>
        </is>
      </c>
      <c r="F3418" t="inlineStr">
        <is>
          <t>INTERXION</t>
        </is>
      </c>
      <c r="G3418" t="inlineStr">
        <is>
          <t>GVX</t>
        </is>
      </c>
      <c r="H3418" t="inlineStr">
        <is>
          <t>IO</t>
        </is>
      </c>
      <c r="J3418" t="inlineStr">
        <is>
          <t>BERNARDEAU</t>
        </is>
      </c>
      <c r="K3418" t="inlineStr">
        <is>
          <t>METAL</t>
        </is>
      </c>
      <c r="L3418">
        <f>_xlfn.XLOOKUP(Tableau1[[#This Row],[TYPE DE PIECE]],Tableau4[MATIERE],Tableau4[SHORT TYPE],"",0,1)</f>
        <v/>
      </c>
      <c r="N3418">
        <f>IF(ISERR(FIND("DECOUPE",Tableau1[[#This Row],[DESIGNATION]])),"","NEED REF")</f>
        <v/>
      </c>
    </row>
    <row r="3419">
      <c r="B3419" t="n">
        <v>34410586</v>
      </c>
      <c r="C3419" s="2" t="n">
        <v>44686</v>
      </c>
      <c r="D3419" t="inlineStr">
        <is>
          <t>SPEC</t>
        </is>
      </c>
      <c r="E3419" t="inlineStr">
        <is>
          <t>SMT TOIT OUTPUT AND BATT ROOT 1</t>
        </is>
      </c>
      <c r="F3419" t="inlineStr">
        <is>
          <t>INTERXION</t>
        </is>
      </c>
      <c r="G3419" t="inlineStr">
        <is>
          <t>GVX</t>
        </is>
      </c>
      <c r="H3419" t="inlineStr">
        <is>
          <t>IO</t>
        </is>
      </c>
      <c r="J3419" t="inlineStr">
        <is>
          <t>BERNARDEAU</t>
        </is>
      </c>
      <c r="K3419" t="inlineStr">
        <is>
          <t>METAL</t>
        </is>
      </c>
      <c r="L3419">
        <f>_xlfn.XLOOKUP(Tableau1[[#This Row],[TYPE DE PIECE]],Tableau4[MATIERE],Tableau4[SHORT TYPE],"",0,1)</f>
        <v/>
      </c>
      <c r="N3419">
        <f>IF(ISERR(FIND("DECOUPE",Tableau1[[#This Row],[DESIGNATION]])),"","NEED REF")</f>
        <v/>
      </c>
    </row>
    <row r="3420">
      <c r="B3420" t="n">
        <v>34410585</v>
      </c>
      <c r="C3420" s="2" t="n">
        <v>44686</v>
      </c>
      <c r="D3420" t="inlineStr">
        <is>
          <t>SPEC</t>
        </is>
      </c>
      <c r="E3420" t="inlineStr">
        <is>
          <t>COP OUTPUT 6</t>
        </is>
      </c>
      <c r="F3420" t="inlineStr">
        <is>
          <t>DATA4 DC07</t>
        </is>
      </c>
      <c r="G3420" t="inlineStr">
        <is>
          <t>GVL</t>
        </is>
      </c>
      <c r="H3420" t="inlineStr">
        <is>
          <t>BYPASS</t>
        </is>
      </c>
      <c r="J3420" t="inlineStr">
        <is>
          <t>MATRION</t>
        </is>
      </c>
      <c r="K3420" t="inlineStr">
        <is>
          <t>CUIVRE</t>
        </is>
      </c>
      <c r="L3420">
        <f>_xlfn.XLOOKUP(Tableau1[[#This Row],[TYPE DE PIECE]],Tableau4[MATIERE],Tableau4[SHORT TYPE],"",0,1)</f>
        <v/>
      </c>
      <c r="N3420">
        <f>IF(ISERR(FIND("DECOUPE",Tableau1[[#This Row],[DESIGNATION]])),"","NEED REF")</f>
        <v/>
      </c>
    </row>
    <row r="3421">
      <c r="B3421" t="n">
        <v>34410584</v>
      </c>
      <c r="C3421" s="2" t="n">
        <v>44686</v>
      </c>
      <c r="D3421" t="inlineStr">
        <is>
          <t>SPEC</t>
        </is>
      </c>
      <c r="E3421" t="inlineStr">
        <is>
          <t>COP OUTPUT 5</t>
        </is>
      </c>
      <c r="F3421" t="inlineStr">
        <is>
          <t>DATA4 DC07</t>
        </is>
      </c>
      <c r="G3421" t="inlineStr">
        <is>
          <t>GVL</t>
        </is>
      </c>
      <c r="H3421" t="inlineStr">
        <is>
          <t>BYPASS</t>
        </is>
      </c>
      <c r="J3421" t="inlineStr">
        <is>
          <t>MATRION</t>
        </is>
      </c>
      <c r="K3421" t="inlineStr">
        <is>
          <t>CUIVRE</t>
        </is>
      </c>
      <c r="L3421">
        <f>_xlfn.XLOOKUP(Tableau1[[#This Row],[TYPE DE PIECE]],Tableau4[MATIERE],Tableau4[SHORT TYPE],"",0,1)</f>
        <v/>
      </c>
      <c r="N3421">
        <f>IF(ISERR(FIND("DECOUPE",Tableau1[[#This Row],[DESIGNATION]])),"","NEED REF")</f>
        <v/>
      </c>
    </row>
    <row r="3422">
      <c r="B3422" t="n">
        <v>34410583</v>
      </c>
      <c r="C3422" s="2" t="n">
        <v>44686</v>
      </c>
      <c r="D3422" t="inlineStr">
        <is>
          <t>SPEC</t>
        </is>
      </c>
      <c r="E3422" t="inlineStr">
        <is>
          <t>COP OUTPUT 4</t>
        </is>
      </c>
      <c r="F3422" t="inlineStr">
        <is>
          <t>DATA4 DC07</t>
        </is>
      </c>
      <c r="G3422" t="inlineStr">
        <is>
          <t>GVL</t>
        </is>
      </c>
      <c r="H3422" t="inlineStr">
        <is>
          <t>BYPASS</t>
        </is>
      </c>
      <c r="J3422" t="inlineStr">
        <is>
          <t>MATRION</t>
        </is>
      </c>
      <c r="K3422" t="inlineStr">
        <is>
          <t>CUIVRE</t>
        </is>
      </c>
      <c r="L3422">
        <f>_xlfn.XLOOKUP(Tableau1[[#This Row],[TYPE DE PIECE]],Tableau4[MATIERE],Tableau4[SHORT TYPE],"",0,1)</f>
        <v/>
      </c>
      <c r="N3422">
        <f>IF(ISERR(FIND("DECOUPE",Tableau1[[#This Row],[DESIGNATION]])),"","NEED REF")</f>
        <v/>
      </c>
    </row>
    <row r="3423">
      <c r="B3423" t="n">
        <v>34410582</v>
      </c>
      <c r="C3423" s="2" t="n">
        <v>44686</v>
      </c>
      <c r="D3423" t="inlineStr">
        <is>
          <t>SPEC</t>
        </is>
      </c>
      <c r="E3423" t="inlineStr">
        <is>
          <t>COP OUTPUT 3</t>
        </is>
      </c>
      <c r="F3423" t="inlineStr">
        <is>
          <t>DATA4 DC07</t>
        </is>
      </c>
      <c r="G3423" t="inlineStr">
        <is>
          <t>GVL</t>
        </is>
      </c>
      <c r="H3423" t="inlineStr">
        <is>
          <t>BYPASS</t>
        </is>
      </c>
      <c r="J3423" t="inlineStr">
        <is>
          <t>MATRION</t>
        </is>
      </c>
      <c r="K3423" t="inlineStr">
        <is>
          <t>CUIVRE</t>
        </is>
      </c>
      <c r="L3423">
        <f>_xlfn.XLOOKUP(Tableau1[[#This Row],[TYPE DE PIECE]],Tableau4[MATIERE],Tableau4[SHORT TYPE],"",0,1)</f>
        <v/>
      </c>
      <c r="N3423">
        <f>IF(ISERR(FIND("DECOUPE",Tableau1[[#This Row],[DESIGNATION]])),"","NEED REF")</f>
        <v/>
      </c>
    </row>
    <row r="3424">
      <c r="B3424" t="n">
        <v>34410581</v>
      </c>
      <c r="C3424" s="2" t="n">
        <v>44686</v>
      </c>
      <c r="D3424" t="inlineStr">
        <is>
          <t>SPEC</t>
        </is>
      </c>
      <c r="E3424" t="inlineStr">
        <is>
          <t>COP OUTPUT 2</t>
        </is>
      </c>
      <c r="F3424" t="inlineStr">
        <is>
          <t>DATA4 DC07</t>
        </is>
      </c>
      <c r="G3424" t="inlineStr">
        <is>
          <t>GVL</t>
        </is>
      </c>
      <c r="H3424" t="inlineStr">
        <is>
          <t>BYPASS</t>
        </is>
      </c>
      <c r="J3424" t="inlineStr">
        <is>
          <t>MATRION</t>
        </is>
      </c>
      <c r="K3424" t="inlineStr">
        <is>
          <t>CUIVRE</t>
        </is>
      </c>
      <c r="L3424">
        <f>_xlfn.XLOOKUP(Tableau1[[#This Row],[TYPE DE PIECE]],Tableau4[MATIERE],Tableau4[SHORT TYPE],"",0,1)</f>
        <v/>
      </c>
      <c r="N3424">
        <f>IF(ISERR(FIND("DECOUPE",Tableau1[[#This Row],[DESIGNATION]])),"","NEED REF")</f>
        <v/>
      </c>
    </row>
    <row r="3425">
      <c r="B3425" t="n">
        <v>34410580</v>
      </c>
      <c r="C3425" s="2" t="n">
        <v>44686</v>
      </c>
      <c r="D3425" t="inlineStr">
        <is>
          <t>SPEC</t>
        </is>
      </c>
      <c r="E3425" t="inlineStr">
        <is>
          <t>COP OUTPUT 1</t>
        </is>
      </c>
      <c r="F3425" t="inlineStr">
        <is>
          <t>DATA4 DC07</t>
        </is>
      </c>
      <c r="G3425" t="inlineStr">
        <is>
          <t>GVL</t>
        </is>
      </c>
      <c r="H3425" t="inlineStr">
        <is>
          <t>BYPASS</t>
        </is>
      </c>
      <c r="J3425" t="inlineStr">
        <is>
          <t>MATRION</t>
        </is>
      </c>
      <c r="K3425" t="inlineStr">
        <is>
          <t>CUIVRE</t>
        </is>
      </c>
      <c r="L3425">
        <f>_xlfn.XLOOKUP(Tableau1[[#This Row],[TYPE DE PIECE]],Tableau4[MATIERE],Tableau4[SHORT TYPE],"",0,1)</f>
        <v/>
      </c>
      <c r="N3425">
        <f>IF(ISERR(FIND("DECOUPE",Tableau1[[#This Row],[DESIGNATION]])),"","NEED REF")</f>
        <v/>
      </c>
    </row>
    <row r="3426">
      <c r="B3426" t="n">
        <v>34410579</v>
      </c>
      <c r="C3426" s="2" t="n">
        <v>44686</v>
      </c>
      <c r="D3426" t="inlineStr">
        <is>
          <t>SPEC</t>
        </is>
      </c>
      <c r="E3426" t="inlineStr">
        <is>
          <t>COP INPUT 6</t>
        </is>
      </c>
      <c r="F3426" t="inlineStr">
        <is>
          <t>DATA4 DC07</t>
        </is>
      </c>
      <c r="G3426" t="inlineStr">
        <is>
          <t>GVL</t>
        </is>
      </c>
      <c r="H3426" t="inlineStr">
        <is>
          <t>BYPASS</t>
        </is>
      </c>
      <c r="J3426" t="inlineStr">
        <is>
          <t>MATRION</t>
        </is>
      </c>
      <c r="K3426" t="inlineStr">
        <is>
          <t>CUIVRE</t>
        </is>
      </c>
      <c r="L3426">
        <f>_xlfn.XLOOKUP(Tableau1[[#This Row],[TYPE DE PIECE]],Tableau4[MATIERE],Tableau4[SHORT TYPE],"",0,1)</f>
        <v/>
      </c>
      <c r="N3426">
        <f>IF(ISERR(FIND("DECOUPE",Tableau1[[#This Row],[DESIGNATION]])),"","NEED REF")</f>
        <v/>
      </c>
    </row>
    <row r="3427">
      <c r="B3427" t="n">
        <v>34410578</v>
      </c>
      <c r="C3427" s="2" t="n">
        <v>44686</v>
      </c>
      <c r="D3427" t="inlineStr">
        <is>
          <t>SPEC</t>
        </is>
      </c>
      <c r="E3427" t="inlineStr">
        <is>
          <t>COP INPUT 5</t>
        </is>
      </c>
      <c r="F3427" t="inlineStr">
        <is>
          <t>DATA4 DC07</t>
        </is>
      </c>
      <c r="G3427" t="inlineStr">
        <is>
          <t>GVL</t>
        </is>
      </c>
      <c r="H3427" t="inlineStr">
        <is>
          <t>BYPASS</t>
        </is>
      </c>
      <c r="J3427" t="inlineStr">
        <is>
          <t>MATRION</t>
        </is>
      </c>
      <c r="K3427" t="inlineStr">
        <is>
          <t>CUIVRE</t>
        </is>
      </c>
      <c r="L3427">
        <f>_xlfn.XLOOKUP(Tableau1[[#This Row],[TYPE DE PIECE]],Tableau4[MATIERE],Tableau4[SHORT TYPE],"",0,1)</f>
        <v/>
      </c>
      <c r="N3427">
        <f>IF(ISERR(FIND("DECOUPE",Tableau1[[#This Row],[DESIGNATION]])),"","NEED REF")</f>
        <v/>
      </c>
    </row>
    <row r="3428">
      <c r="B3428" t="n">
        <v>34410577</v>
      </c>
      <c r="C3428" s="2" t="n">
        <v>44686</v>
      </c>
      <c r="D3428" t="inlineStr">
        <is>
          <t>SPEC</t>
        </is>
      </c>
      <c r="E3428" t="inlineStr">
        <is>
          <t>COP INPUT 4</t>
        </is>
      </c>
      <c r="F3428" t="inlineStr">
        <is>
          <t>DATA4 DC07</t>
        </is>
      </c>
      <c r="G3428" t="inlineStr">
        <is>
          <t>GVL</t>
        </is>
      </c>
      <c r="H3428" t="inlineStr">
        <is>
          <t>BYPASS</t>
        </is>
      </c>
      <c r="J3428" t="inlineStr">
        <is>
          <t>MATRION</t>
        </is>
      </c>
      <c r="K3428" t="inlineStr">
        <is>
          <t>CUIVRE</t>
        </is>
      </c>
      <c r="L3428">
        <f>_xlfn.XLOOKUP(Tableau1[[#This Row],[TYPE DE PIECE]],Tableau4[MATIERE],Tableau4[SHORT TYPE],"",0,1)</f>
        <v/>
      </c>
      <c r="N3428">
        <f>IF(ISERR(FIND("DECOUPE",Tableau1[[#This Row],[DESIGNATION]])),"","NEED REF")</f>
        <v/>
      </c>
    </row>
    <row r="3429">
      <c r="B3429" t="n">
        <v>34410576</v>
      </c>
      <c r="C3429" s="2" t="n">
        <v>44686</v>
      </c>
      <c r="D3429" t="inlineStr">
        <is>
          <t>SPEC</t>
        </is>
      </c>
      <c r="E3429" t="inlineStr">
        <is>
          <t>COP INPUT 3</t>
        </is>
      </c>
      <c r="F3429" t="inlineStr">
        <is>
          <t>DATA4 DC07</t>
        </is>
      </c>
      <c r="G3429" t="inlineStr">
        <is>
          <t>GVL</t>
        </is>
      </c>
      <c r="H3429" t="inlineStr">
        <is>
          <t>BYPASS</t>
        </is>
      </c>
      <c r="J3429" t="inlineStr">
        <is>
          <t>MATRION</t>
        </is>
      </c>
      <c r="K3429" t="inlineStr">
        <is>
          <t>CUIVRE</t>
        </is>
      </c>
      <c r="L3429">
        <f>_xlfn.XLOOKUP(Tableau1[[#This Row],[TYPE DE PIECE]],Tableau4[MATIERE],Tableau4[SHORT TYPE],"",0,1)</f>
        <v/>
      </c>
      <c r="N3429">
        <f>IF(ISERR(FIND("DECOUPE",Tableau1[[#This Row],[DESIGNATION]])),"","NEED REF")</f>
        <v/>
      </c>
    </row>
    <row r="3430">
      <c r="B3430" t="n">
        <v>34410575</v>
      </c>
      <c r="C3430" s="2" t="n">
        <v>44686</v>
      </c>
      <c r="D3430" t="inlineStr">
        <is>
          <t>SPEC</t>
        </is>
      </c>
      <c r="E3430" t="inlineStr">
        <is>
          <t>COP INPUT 2</t>
        </is>
      </c>
      <c r="F3430" t="inlineStr">
        <is>
          <t>DATA4 DC07</t>
        </is>
      </c>
      <c r="G3430" t="inlineStr">
        <is>
          <t>GVL</t>
        </is>
      </c>
      <c r="H3430" t="inlineStr">
        <is>
          <t>BYPASS</t>
        </is>
      </c>
      <c r="J3430" t="inlineStr">
        <is>
          <t>MATRION</t>
        </is>
      </c>
      <c r="K3430" t="inlineStr">
        <is>
          <t>CUIVRE</t>
        </is>
      </c>
      <c r="L3430">
        <f>_xlfn.XLOOKUP(Tableau1[[#This Row],[TYPE DE PIECE]],Tableau4[MATIERE],Tableau4[SHORT TYPE],"",0,1)</f>
        <v/>
      </c>
      <c r="N3430">
        <f>IF(ISERR(FIND("DECOUPE",Tableau1[[#This Row],[DESIGNATION]])),"","NEED REF")</f>
        <v/>
      </c>
    </row>
    <row r="3431">
      <c r="B3431" t="n">
        <v>34410574</v>
      </c>
      <c r="C3431" s="2" t="n">
        <v>44686</v>
      </c>
      <c r="D3431" t="inlineStr">
        <is>
          <t>SPEC</t>
        </is>
      </c>
      <c r="E3431" t="inlineStr">
        <is>
          <t>COP INPUT 1</t>
        </is>
      </c>
      <c r="F3431" t="inlineStr">
        <is>
          <t>DATA4 DC07</t>
        </is>
      </c>
      <c r="G3431" t="inlineStr">
        <is>
          <t>GVL</t>
        </is>
      </c>
      <c r="H3431" t="inlineStr">
        <is>
          <t>BYPASS</t>
        </is>
      </c>
      <c r="J3431" t="inlineStr">
        <is>
          <t>MATRION</t>
        </is>
      </c>
      <c r="K3431" t="inlineStr">
        <is>
          <t>CUIVRE</t>
        </is>
      </c>
      <c r="L3431">
        <f>_xlfn.XLOOKUP(Tableau1[[#This Row],[TYPE DE PIECE]],Tableau4[MATIERE],Tableau4[SHORT TYPE],"",0,1)</f>
        <v/>
      </c>
      <c r="N3431">
        <f>IF(ISERR(FIND("DECOUPE",Tableau1[[#This Row],[DESIGNATION]])),"","NEED REF")</f>
        <v/>
      </c>
    </row>
    <row r="3432">
      <c r="B3432" t="n">
        <v>34410573</v>
      </c>
      <c r="C3432" s="2" t="n">
        <v>44686</v>
      </c>
      <c r="D3432" t="inlineStr">
        <is>
          <t>SPEC</t>
        </is>
      </c>
      <c r="E3432" t="inlineStr">
        <is>
          <t>COP MBB AVAL 6</t>
        </is>
      </c>
      <c r="F3432" t="inlineStr">
        <is>
          <t>DATA4 DC07</t>
        </is>
      </c>
      <c r="G3432" t="inlineStr">
        <is>
          <t>GVL</t>
        </is>
      </c>
      <c r="H3432" t="inlineStr">
        <is>
          <t>BYPASS</t>
        </is>
      </c>
      <c r="J3432" t="inlineStr">
        <is>
          <t>MATRION</t>
        </is>
      </c>
      <c r="K3432" t="inlineStr">
        <is>
          <t>CUIVRE</t>
        </is>
      </c>
      <c r="L3432">
        <f>_xlfn.XLOOKUP(Tableau1[[#This Row],[TYPE DE PIECE]],Tableau4[MATIERE],Tableau4[SHORT TYPE],"",0,1)</f>
        <v/>
      </c>
      <c r="N3432">
        <f>IF(ISERR(FIND("DECOUPE",Tableau1[[#This Row],[DESIGNATION]])),"","NEED REF")</f>
        <v/>
      </c>
    </row>
    <row r="3433">
      <c r="B3433" t="n">
        <v>34410572</v>
      </c>
      <c r="C3433" s="2" t="n">
        <v>44686</v>
      </c>
      <c r="D3433" t="inlineStr">
        <is>
          <t>SPEC</t>
        </is>
      </c>
      <c r="E3433" t="inlineStr">
        <is>
          <t>COP MBB AVAL 5</t>
        </is>
      </c>
      <c r="F3433" t="inlineStr">
        <is>
          <t>DATA4 DC07</t>
        </is>
      </c>
      <c r="G3433" t="inlineStr">
        <is>
          <t>GVL</t>
        </is>
      </c>
      <c r="H3433" t="inlineStr">
        <is>
          <t>BYPASS</t>
        </is>
      </c>
      <c r="J3433" t="inlineStr">
        <is>
          <t>MATRION</t>
        </is>
      </c>
      <c r="K3433" t="inlineStr">
        <is>
          <t>CUIVRE</t>
        </is>
      </c>
      <c r="L3433">
        <f>_xlfn.XLOOKUP(Tableau1[[#This Row],[TYPE DE PIECE]],Tableau4[MATIERE],Tableau4[SHORT TYPE],"",0,1)</f>
        <v/>
      </c>
      <c r="N3433">
        <f>IF(ISERR(FIND("DECOUPE",Tableau1[[#This Row],[DESIGNATION]])),"","NEED REF")</f>
        <v/>
      </c>
    </row>
    <row r="3434">
      <c r="B3434" t="n">
        <v>34410571</v>
      </c>
      <c r="C3434" s="2" t="n">
        <v>44686</v>
      </c>
      <c r="D3434" t="inlineStr">
        <is>
          <t>SPEC</t>
        </is>
      </c>
      <c r="E3434" t="inlineStr">
        <is>
          <t>COP MBB AVAL 4</t>
        </is>
      </c>
      <c r="F3434" t="inlineStr">
        <is>
          <t>DATA4 DC07</t>
        </is>
      </c>
      <c r="G3434" t="inlineStr">
        <is>
          <t>GVL</t>
        </is>
      </c>
      <c r="H3434" t="inlineStr">
        <is>
          <t>BYPASS</t>
        </is>
      </c>
      <c r="J3434" t="inlineStr">
        <is>
          <t>MATRION</t>
        </is>
      </c>
      <c r="K3434" t="inlineStr">
        <is>
          <t>CUIVRE</t>
        </is>
      </c>
      <c r="L3434">
        <f>_xlfn.XLOOKUP(Tableau1[[#This Row],[TYPE DE PIECE]],Tableau4[MATIERE],Tableau4[SHORT TYPE],"",0,1)</f>
        <v/>
      </c>
      <c r="N3434">
        <f>IF(ISERR(FIND("DECOUPE",Tableau1[[#This Row],[DESIGNATION]])),"","NEED REF")</f>
        <v/>
      </c>
    </row>
    <row r="3435">
      <c r="B3435" t="n">
        <v>34410570</v>
      </c>
      <c r="C3435" s="2" t="n">
        <v>44686</v>
      </c>
      <c r="D3435" t="inlineStr">
        <is>
          <t>SPEC</t>
        </is>
      </c>
      <c r="E3435" t="inlineStr">
        <is>
          <t>COP SIB AMONT 3</t>
        </is>
      </c>
      <c r="F3435" t="inlineStr">
        <is>
          <t>DATA4 DC07</t>
        </is>
      </c>
      <c r="G3435" t="inlineStr">
        <is>
          <t>GVL</t>
        </is>
      </c>
      <c r="H3435" t="inlineStr">
        <is>
          <t>BYPASS</t>
        </is>
      </c>
      <c r="J3435" t="inlineStr">
        <is>
          <t>MATRION</t>
        </is>
      </c>
      <c r="K3435" t="inlineStr">
        <is>
          <t>CUIVRE</t>
        </is>
      </c>
      <c r="L3435">
        <f>_xlfn.XLOOKUP(Tableau1[[#This Row],[TYPE DE PIECE]],Tableau4[MATIERE],Tableau4[SHORT TYPE],"",0,1)</f>
        <v/>
      </c>
      <c r="N3435">
        <f>IF(ISERR(FIND("DECOUPE",Tableau1[[#This Row],[DESIGNATION]])),"","NEED REF")</f>
        <v/>
      </c>
    </row>
    <row r="3436">
      <c r="B3436" t="n">
        <v>34410569</v>
      </c>
      <c r="C3436" s="2" t="n">
        <v>44686</v>
      </c>
      <c r="D3436" t="inlineStr">
        <is>
          <t>SPEC</t>
        </is>
      </c>
      <c r="E3436" t="inlineStr">
        <is>
          <t>COP SIB AMONT 2</t>
        </is>
      </c>
      <c r="F3436" t="inlineStr">
        <is>
          <t>DATA4 DC07</t>
        </is>
      </c>
      <c r="G3436" t="inlineStr">
        <is>
          <t>GVL</t>
        </is>
      </c>
      <c r="H3436" t="inlineStr">
        <is>
          <t>BYPASS</t>
        </is>
      </c>
      <c r="J3436" t="inlineStr">
        <is>
          <t>MATRION</t>
        </is>
      </c>
      <c r="K3436" t="inlineStr">
        <is>
          <t>CUIVRE</t>
        </is>
      </c>
      <c r="L3436">
        <f>_xlfn.XLOOKUP(Tableau1[[#This Row],[TYPE DE PIECE]],Tableau4[MATIERE],Tableau4[SHORT TYPE],"",0,1)</f>
        <v/>
      </c>
      <c r="N3436">
        <f>IF(ISERR(FIND("DECOUPE",Tableau1[[#This Row],[DESIGNATION]])),"","NEED REF")</f>
        <v/>
      </c>
    </row>
    <row r="3437">
      <c r="B3437" t="n">
        <v>34410568</v>
      </c>
      <c r="C3437" s="2" t="n">
        <v>44686</v>
      </c>
      <c r="D3437" t="inlineStr">
        <is>
          <t>SPEC</t>
        </is>
      </c>
      <c r="E3437" t="inlineStr">
        <is>
          <t>COP SIB AMONT 1</t>
        </is>
      </c>
      <c r="F3437" t="inlineStr">
        <is>
          <t>DATA4 DC07</t>
        </is>
      </c>
      <c r="G3437" t="inlineStr">
        <is>
          <t>GVL</t>
        </is>
      </c>
      <c r="H3437" t="inlineStr">
        <is>
          <t>BYPASS</t>
        </is>
      </c>
      <c r="J3437" t="inlineStr">
        <is>
          <t>MATRION</t>
        </is>
      </c>
      <c r="K3437" t="inlineStr">
        <is>
          <t>CUIVRE</t>
        </is>
      </c>
      <c r="L3437">
        <f>_xlfn.XLOOKUP(Tableau1[[#This Row],[TYPE DE PIECE]],Tableau4[MATIERE],Tableau4[SHORT TYPE],"",0,1)</f>
        <v/>
      </c>
      <c r="N3437">
        <f>IF(ISERR(FIND("DECOUPE",Tableau1[[#This Row],[DESIGNATION]])),"","NEED REF")</f>
        <v/>
      </c>
    </row>
    <row r="3438">
      <c r="B3438" t="n">
        <v>34410567</v>
      </c>
      <c r="C3438" s="2" t="n">
        <v>44686</v>
      </c>
      <c r="D3438" t="inlineStr">
        <is>
          <t>SPEC</t>
        </is>
      </c>
      <c r="E3438" t="inlineStr">
        <is>
          <t>COP MBB AVAL 3</t>
        </is>
      </c>
      <c r="F3438" t="inlineStr">
        <is>
          <t>DATA4 DC07</t>
        </is>
      </c>
      <c r="G3438" t="inlineStr">
        <is>
          <t>GVL</t>
        </is>
      </c>
      <c r="H3438" t="inlineStr">
        <is>
          <t>BYPASS</t>
        </is>
      </c>
      <c r="J3438" t="inlineStr">
        <is>
          <t>MATRION</t>
        </is>
      </c>
      <c r="K3438" t="inlineStr">
        <is>
          <t>CUIVRE</t>
        </is>
      </c>
      <c r="L3438">
        <f>_xlfn.XLOOKUP(Tableau1[[#This Row],[TYPE DE PIECE]],Tableau4[MATIERE],Tableau4[SHORT TYPE],"",0,1)</f>
        <v/>
      </c>
      <c r="N3438">
        <f>IF(ISERR(FIND("DECOUPE",Tableau1[[#This Row],[DESIGNATION]])),"","NEED REF")</f>
        <v/>
      </c>
    </row>
    <row r="3439">
      <c r="B3439" t="n">
        <v>34410566</v>
      </c>
      <c r="C3439" s="2" t="n">
        <v>44685</v>
      </c>
      <c r="D3439" t="inlineStr">
        <is>
          <t>SPEC</t>
        </is>
      </c>
      <c r="E3439" t="inlineStr">
        <is>
          <t>COP MBB AVAL 2</t>
        </is>
      </c>
      <c r="F3439" t="inlineStr">
        <is>
          <t>DATA4 DC07</t>
        </is>
      </c>
      <c r="G3439" t="inlineStr">
        <is>
          <t>GVL</t>
        </is>
      </c>
      <c r="H3439" t="inlineStr">
        <is>
          <t>BYPASS</t>
        </is>
      </c>
      <c r="J3439" t="inlineStr">
        <is>
          <t>MATRION</t>
        </is>
      </c>
      <c r="K3439" t="inlineStr">
        <is>
          <t>CUIVRE</t>
        </is>
      </c>
      <c r="L3439">
        <f>_xlfn.XLOOKUP(Tableau1[[#This Row],[TYPE DE PIECE]],Tableau4[MATIERE],Tableau4[SHORT TYPE],"",0,1)</f>
        <v/>
      </c>
      <c r="N3439">
        <f>IF(ISERR(FIND("DECOUPE",Tableau1[[#This Row],[DESIGNATION]])),"","NEED REF")</f>
        <v/>
      </c>
    </row>
    <row r="3440">
      <c r="B3440" t="n">
        <v>34410565</v>
      </c>
      <c r="C3440" s="2" t="n">
        <v>44685</v>
      </c>
      <c r="D3440" t="inlineStr">
        <is>
          <t>SPEC</t>
        </is>
      </c>
      <c r="E3440" t="inlineStr">
        <is>
          <t>COP MBB AVAL 1</t>
        </is>
      </c>
      <c r="F3440" t="inlineStr">
        <is>
          <t>DATA4 DC07</t>
        </is>
      </c>
      <c r="G3440" t="inlineStr">
        <is>
          <t>GVL</t>
        </is>
      </c>
      <c r="H3440" t="inlineStr">
        <is>
          <t>BYPASS</t>
        </is>
      </c>
      <c r="J3440" t="inlineStr">
        <is>
          <t>MATRION</t>
        </is>
      </c>
      <c r="K3440" t="inlineStr">
        <is>
          <t>CUIVRE</t>
        </is>
      </c>
      <c r="L3440">
        <f>_xlfn.XLOOKUP(Tableau1[[#This Row],[TYPE DE PIECE]],Tableau4[MATIERE],Tableau4[SHORT TYPE],"",0,1)</f>
        <v/>
      </c>
      <c r="N3440">
        <f>IF(ISERR(FIND("DECOUPE",Tableau1[[#This Row],[DESIGNATION]])),"","NEED REF")</f>
        <v/>
      </c>
    </row>
    <row r="3441">
      <c r="B3441" t="n">
        <v>34410564</v>
      </c>
      <c r="C3441" s="2" t="n">
        <v>44684</v>
      </c>
      <c r="D3441" t="inlineStr">
        <is>
          <t>SPEC</t>
        </is>
      </c>
      <c r="E3441" t="inlineStr">
        <is>
          <t>COP MBB AMONT L3 -3</t>
        </is>
      </c>
      <c r="F3441" t="inlineStr">
        <is>
          <t>DATA4 DC07</t>
        </is>
      </c>
      <c r="G3441" t="inlineStr">
        <is>
          <t>GVL</t>
        </is>
      </c>
      <c r="H3441" t="inlineStr">
        <is>
          <t>BYPASS</t>
        </is>
      </c>
      <c r="J3441" t="inlineStr">
        <is>
          <t>MATRION</t>
        </is>
      </c>
      <c r="K3441" t="inlineStr">
        <is>
          <t>CUIVRE</t>
        </is>
      </c>
      <c r="L3441">
        <f>_xlfn.XLOOKUP(Tableau1[[#This Row],[TYPE DE PIECE]],Tableau4[MATIERE],Tableau4[SHORT TYPE],"",0,1)</f>
        <v/>
      </c>
      <c r="N3441">
        <f>IF(ISERR(FIND("DECOUPE",Tableau1[[#This Row],[DESIGNATION]])),"","NEED REF")</f>
        <v/>
      </c>
    </row>
    <row r="3442">
      <c r="B3442" t="n">
        <v>34410563</v>
      </c>
      <c r="C3442" s="2" t="n">
        <v>44684</v>
      </c>
      <c r="D3442" t="inlineStr">
        <is>
          <t>SPEC</t>
        </is>
      </c>
      <c r="E3442" t="inlineStr">
        <is>
          <t>COP MBB AMONT L3 -2</t>
        </is>
      </c>
      <c r="F3442" t="inlineStr">
        <is>
          <t>DATA4 DC07</t>
        </is>
      </c>
      <c r="G3442" t="inlineStr">
        <is>
          <t>GVL</t>
        </is>
      </c>
      <c r="H3442" t="inlineStr">
        <is>
          <t>BYPASS</t>
        </is>
      </c>
      <c r="J3442" t="inlineStr">
        <is>
          <t>MATRION</t>
        </is>
      </c>
      <c r="K3442" t="inlineStr">
        <is>
          <t>CUIVRE</t>
        </is>
      </c>
      <c r="L3442">
        <f>_xlfn.XLOOKUP(Tableau1[[#This Row],[TYPE DE PIECE]],Tableau4[MATIERE],Tableau4[SHORT TYPE],"",0,1)</f>
        <v/>
      </c>
      <c r="N3442">
        <f>IF(ISERR(FIND("DECOUPE",Tableau1[[#This Row],[DESIGNATION]])),"","NEED REF")</f>
        <v/>
      </c>
    </row>
    <row r="3443">
      <c r="B3443" t="n">
        <v>34410562</v>
      </c>
      <c r="C3443" s="2" t="n">
        <v>44684</v>
      </c>
      <c r="D3443" t="inlineStr">
        <is>
          <t>SPEC</t>
        </is>
      </c>
      <c r="E3443" t="inlineStr">
        <is>
          <t>COP MBB AMONT L3 -1</t>
        </is>
      </c>
      <c r="F3443" t="inlineStr">
        <is>
          <t>DATA4 DC07</t>
        </is>
      </c>
      <c r="G3443" t="inlineStr">
        <is>
          <t>GVL</t>
        </is>
      </c>
      <c r="H3443" t="inlineStr">
        <is>
          <t>BYPASS</t>
        </is>
      </c>
      <c r="J3443" t="inlineStr">
        <is>
          <t>MATRION</t>
        </is>
      </c>
      <c r="K3443" t="inlineStr">
        <is>
          <t>CUIVRE</t>
        </is>
      </c>
      <c r="L3443">
        <f>_xlfn.XLOOKUP(Tableau1[[#This Row],[TYPE DE PIECE]],Tableau4[MATIERE],Tableau4[SHORT TYPE],"",0,1)</f>
        <v/>
      </c>
      <c r="N3443">
        <f>IF(ISERR(FIND("DECOUPE",Tableau1[[#This Row],[DESIGNATION]])),"","NEED REF")</f>
        <v/>
      </c>
    </row>
    <row r="3444">
      <c r="B3444" t="n">
        <v>34410561</v>
      </c>
      <c r="C3444" s="2" t="n">
        <v>44684</v>
      </c>
      <c r="D3444" t="inlineStr">
        <is>
          <t>SPEC</t>
        </is>
      </c>
      <c r="E3444" t="inlineStr">
        <is>
          <t>COP MBB AMONT L2 -3</t>
        </is>
      </c>
      <c r="F3444" t="inlineStr">
        <is>
          <t>DATA4 DC07</t>
        </is>
      </c>
      <c r="G3444" t="inlineStr">
        <is>
          <t>GVL</t>
        </is>
      </c>
      <c r="H3444" t="inlineStr">
        <is>
          <t>BYPASS</t>
        </is>
      </c>
      <c r="J3444" t="inlineStr">
        <is>
          <t>MATRION</t>
        </is>
      </c>
      <c r="K3444" t="inlineStr">
        <is>
          <t>CUIVRE</t>
        </is>
      </c>
      <c r="L3444">
        <f>_xlfn.XLOOKUP(Tableau1[[#This Row],[TYPE DE PIECE]],Tableau4[MATIERE],Tableau4[SHORT TYPE],"",0,1)</f>
        <v/>
      </c>
      <c r="N3444">
        <f>IF(ISERR(FIND("DECOUPE",Tableau1[[#This Row],[DESIGNATION]])),"","NEED REF")</f>
        <v/>
      </c>
    </row>
    <row r="3445">
      <c r="B3445" t="n">
        <v>34410560</v>
      </c>
      <c r="C3445" s="2" t="n">
        <v>44684</v>
      </c>
      <c r="D3445" t="inlineStr">
        <is>
          <t>SPEC</t>
        </is>
      </c>
      <c r="E3445" t="inlineStr">
        <is>
          <t>COP MBB AMONT L2-2</t>
        </is>
      </c>
      <c r="F3445" t="inlineStr">
        <is>
          <t>DATA4 DC07</t>
        </is>
      </c>
      <c r="G3445" t="inlineStr">
        <is>
          <t>GVL</t>
        </is>
      </c>
      <c r="H3445" t="inlineStr">
        <is>
          <t>BYPASS</t>
        </is>
      </c>
      <c r="J3445" t="inlineStr">
        <is>
          <t>MATRION</t>
        </is>
      </c>
      <c r="K3445" t="inlineStr">
        <is>
          <t>CUIVRE</t>
        </is>
      </c>
      <c r="L3445">
        <f>_xlfn.XLOOKUP(Tableau1[[#This Row],[TYPE DE PIECE]],Tableau4[MATIERE],Tableau4[SHORT TYPE],"",0,1)</f>
        <v/>
      </c>
      <c r="N3445">
        <f>IF(ISERR(FIND("DECOUPE",Tableau1[[#This Row],[DESIGNATION]])),"","NEED REF")</f>
        <v/>
      </c>
    </row>
    <row r="3446">
      <c r="B3446" t="n">
        <v>34410559</v>
      </c>
      <c r="C3446" s="2" t="n">
        <v>44684</v>
      </c>
      <c r="D3446" t="inlineStr">
        <is>
          <t>SPEC</t>
        </is>
      </c>
      <c r="E3446" t="inlineStr">
        <is>
          <t>COP MBB AMONT L2 -1</t>
        </is>
      </c>
      <c r="F3446" t="inlineStr">
        <is>
          <t>DATA4 DC07</t>
        </is>
      </c>
      <c r="G3446" t="inlineStr">
        <is>
          <t>GVL</t>
        </is>
      </c>
      <c r="H3446" t="inlineStr">
        <is>
          <t>BYPASS</t>
        </is>
      </c>
      <c r="J3446" t="inlineStr">
        <is>
          <t>MATRION</t>
        </is>
      </c>
      <c r="K3446" t="inlineStr">
        <is>
          <t>CUIVRE</t>
        </is>
      </c>
      <c r="L3446">
        <f>_xlfn.XLOOKUP(Tableau1[[#This Row],[TYPE DE PIECE]],Tableau4[MATIERE],Tableau4[SHORT TYPE],"",0,1)</f>
        <v/>
      </c>
      <c r="N3446">
        <f>IF(ISERR(FIND("DECOUPE",Tableau1[[#This Row],[DESIGNATION]])),"","NEED REF")</f>
        <v/>
      </c>
    </row>
    <row r="3447">
      <c r="B3447" t="n">
        <v>34410558</v>
      </c>
      <c r="C3447" s="2" t="n">
        <v>44684</v>
      </c>
      <c r="D3447" t="inlineStr">
        <is>
          <t>SPEC</t>
        </is>
      </c>
      <c r="E3447" t="inlineStr">
        <is>
          <t>COP MBB AMONT L1 -3</t>
        </is>
      </c>
      <c r="F3447" t="inlineStr">
        <is>
          <t>DATA4 DC07</t>
        </is>
      </c>
      <c r="G3447" t="inlineStr">
        <is>
          <t>GVL</t>
        </is>
      </c>
      <c r="H3447" t="inlineStr">
        <is>
          <t>BYPASS</t>
        </is>
      </c>
      <c r="J3447" t="inlineStr">
        <is>
          <t>MATRION</t>
        </is>
      </c>
      <c r="K3447" t="inlineStr">
        <is>
          <t>CUIVRE</t>
        </is>
      </c>
      <c r="L3447">
        <f>_xlfn.XLOOKUP(Tableau1[[#This Row],[TYPE DE PIECE]],Tableau4[MATIERE],Tableau4[SHORT TYPE],"",0,1)</f>
        <v/>
      </c>
      <c r="N3447">
        <f>IF(ISERR(FIND("DECOUPE",Tableau1[[#This Row],[DESIGNATION]])),"","NEED REF")</f>
        <v/>
      </c>
    </row>
    <row r="3448">
      <c r="B3448" t="n">
        <v>34410557</v>
      </c>
      <c r="C3448" s="2" t="n">
        <v>44684</v>
      </c>
      <c r="D3448" t="inlineStr">
        <is>
          <t>SPEC</t>
        </is>
      </c>
      <c r="E3448" t="inlineStr">
        <is>
          <t>COP MBB AMONT L1 -2</t>
        </is>
      </c>
      <c r="F3448" t="inlineStr">
        <is>
          <t>DATA4 DC07</t>
        </is>
      </c>
      <c r="G3448" t="inlineStr">
        <is>
          <t>GVL</t>
        </is>
      </c>
      <c r="H3448" t="inlineStr">
        <is>
          <t>BYPASS</t>
        </is>
      </c>
      <c r="J3448" t="inlineStr">
        <is>
          <t>MATRION</t>
        </is>
      </c>
      <c r="K3448" t="inlineStr">
        <is>
          <t>CUIVRE</t>
        </is>
      </c>
      <c r="L3448">
        <f>_xlfn.XLOOKUP(Tableau1[[#This Row],[TYPE DE PIECE]],Tableau4[MATIERE],Tableau4[SHORT TYPE],"",0,1)</f>
        <v/>
      </c>
      <c r="N3448">
        <f>IF(ISERR(FIND("DECOUPE",Tableau1[[#This Row],[DESIGNATION]])),"","NEED REF")</f>
        <v/>
      </c>
    </row>
    <row r="3449">
      <c r="B3449" t="n">
        <v>34410556</v>
      </c>
      <c r="C3449" s="2" t="n">
        <v>44684</v>
      </c>
      <c r="D3449" t="inlineStr">
        <is>
          <t>SPEC</t>
        </is>
      </c>
      <c r="E3449" t="inlineStr">
        <is>
          <t>COP MBB AMONT L1 -1</t>
        </is>
      </c>
      <c r="F3449" t="inlineStr">
        <is>
          <t>DATA4 DC07</t>
        </is>
      </c>
      <c r="G3449" t="inlineStr">
        <is>
          <t>GVL</t>
        </is>
      </c>
      <c r="H3449" t="inlineStr">
        <is>
          <t>BYPASS</t>
        </is>
      </c>
      <c r="J3449" t="inlineStr">
        <is>
          <t>MATRION</t>
        </is>
      </c>
      <c r="K3449" t="inlineStr">
        <is>
          <t>CUIVRE</t>
        </is>
      </c>
      <c r="L3449">
        <f>_xlfn.XLOOKUP(Tableau1[[#This Row],[TYPE DE PIECE]],Tableau4[MATIERE],Tableau4[SHORT TYPE],"",0,1)</f>
        <v/>
      </c>
      <c r="N3449">
        <f>IF(ISERR(FIND("DECOUPE",Tableau1[[#This Row],[DESIGNATION]])),"","NEED REF")</f>
        <v/>
      </c>
    </row>
    <row r="3450">
      <c r="B3450" t="n">
        <v>34410555</v>
      </c>
      <c r="C3450" s="2" t="n">
        <v>44684</v>
      </c>
      <c r="D3450" t="inlineStr">
        <is>
          <t>SPEC</t>
        </is>
      </c>
      <c r="E3450" t="inlineStr">
        <is>
          <t>COP JDB 2x2xUOB/UIB</t>
        </is>
      </c>
      <c r="F3450" t="inlineStr">
        <is>
          <t>DATA4 DC07</t>
        </is>
      </c>
      <c r="G3450" t="inlineStr">
        <is>
          <t>GVL</t>
        </is>
      </c>
      <c r="H3450" t="inlineStr">
        <is>
          <t>BYPASS</t>
        </is>
      </c>
      <c r="J3450" t="inlineStr">
        <is>
          <t>MATRION</t>
        </is>
      </c>
      <c r="K3450" t="inlineStr">
        <is>
          <t>CUIVRE</t>
        </is>
      </c>
      <c r="L3450">
        <f>_xlfn.XLOOKUP(Tableau1[[#This Row],[TYPE DE PIECE]],Tableau4[MATIERE],Tableau4[SHORT TYPE],"",0,1)</f>
        <v/>
      </c>
      <c r="N3450">
        <f>IF(ISERR(FIND("DECOUPE",Tableau1[[#This Row],[DESIGNATION]])),"","NEED REF")</f>
        <v/>
      </c>
    </row>
    <row r="3451">
      <c r="B3451" t="n">
        <v>34410554</v>
      </c>
      <c r="C3451" s="2" t="n">
        <v>44684</v>
      </c>
      <c r="D3451" t="inlineStr">
        <is>
          <t>SPEC</t>
        </is>
      </c>
      <c r="E3451" t="inlineStr">
        <is>
          <t>SMT SUPPORT LIMANDE</t>
        </is>
      </c>
      <c r="H3451" t="inlineStr">
        <is>
          <t>STS</t>
        </is>
      </c>
      <c r="J3451" t="inlineStr">
        <is>
          <t>BERNARDEAU</t>
        </is>
      </c>
      <c r="K3451" t="inlineStr">
        <is>
          <t>METAL</t>
        </is>
      </c>
      <c r="L3451">
        <f>_xlfn.XLOOKUP(Tableau1[[#This Row],[TYPE DE PIECE]],Tableau4[MATIERE],Tableau4[SHORT TYPE],"",0,1)</f>
        <v/>
      </c>
      <c r="N3451">
        <f>IF(ISERR(FIND("DECOUPE",Tableau1[[#This Row],[DESIGNATION]])),"","NEED REF")</f>
        <v/>
      </c>
    </row>
    <row r="3452">
      <c r="B3452" t="n">
        <v>34410553</v>
      </c>
      <c r="C3452" s="2" t="n">
        <v>44683</v>
      </c>
      <c r="D3452" t="inlineStr">
        <is>
          <t>SPEC</t>
        </is>
      </c>
      <c r="E3452" t="inlineStr">
        <is>
          <t>SMT PLAQUE SURTOIT IP20 RAL9003</t>
        </is>
      </c>
      <c r="F3452" t="inlineStr">
        <is>
          <t>DATA4 DC07</t>
        </is>
      </c>
      <c r="G3452" t="inlineStr">
        <is>
          <t>GVL</t>
        </is>
      </c>
      <c r="H3452" t="inlineStr">
        <is>
          <t>BYPASS</t>
        </is>
      </c>
      <c r="J3452" t="inlineStr">
        <is>
          <t>JAWORSKI</t>
        </is>
      </c>
      <c r="K3452" t="inlineStr">
        <is>
          <t>METAL</t>
        </is>
      </c>
      <c r="L3452">
        <f>_xlfn.XLOOKUP(Tableau1[[#This Row],[TYPE DE PIECE]],Tableau4[MATIERE],Tableau4[SHORT TYPE],"",0,1)</f>
        <v/>
      </c>
      <c r="N3452">
        <f>IF(ISERR(FIND("DECOUPE",Tableau1[[#This Row],[DESIGNATION]])),"","NEED REF")</f>
        <v/>
      </c>
    </row>
    <row r="3453">
      <c r="B3453" t="n">
        <v>34410552</v>
      </c>
      <c r="C3453" s="2" t="n">
        <v>44678</v>
      </c>
      <c r="D3453" t="inlineStr">
        <is>
          <t>SPEC</t>
        </is>
      </c>
      <c r="E3453" t="inlineStr">
        <is>
          <t>SMT FINITION LAT DROIT RAL9003</t>
        </is>
      </c>
      <c r="F3453" t="inlineStr">
        <is>
          <t>DATA4 DC07</t>
        </is>
      </c>
      <c r="G3453" t="inlineStr">
        <is>
          <t>GVL</t>
        </is>
      </c>
      <c r="H3453" t="inlineStr">
        <is>
          <t>BYPASS</t>
        </is>
      </c>
      <c r="J3453" t="inlineStr">
        <is>
          <t>MATRION</t>
        </is>
      </c>
      <c r="K3453" t="inlineStr">
        <is>
          <t>METAL</t>
        </is>
      </c>
      <c r="L3453">
        <f>_xlfn.XLOOKUP(Tableau1[[#This Row],[TYPE DE PIECE]],Tableau4[MATIERE],Tableau4[SHORT TYPE],"",0,1)</f>
        <v/>
      </c>
      <c r="N3453">
        <f>IF(ISERR(FIND("DECOUPE",Tableau1[[#This Row],[DESIGNATION]])),"","NEED REF")</f>
        <v/>
      </c>
    </row>
    <row r="3454">
      <c r="B3454" t="n">
        <v>34410551</v>
      </c>
      <c r="C3454" s="2" t="n">
        <v>44678</v>
      </c>
      <c r="D3454" t="inlineStr">
        <is>
          <t>SPEC</t>
        </is>
      </c>
      <c r="E3454" t="inlineStr">
        <is>
          <t>SMT FINITION LAT GAUCHE RAL9003</t>
        </is>
      </c>
      <c r="F3454" t="inlineStr">
        <is>
          <t>DATA4 DC07</t>
        </is>
      </c>
      <c r="G3454" t="inlineStr">
        <is>
          <t>GVL</t>
        </is>
      </c>
      <c r="H3454" t="inlineStr">
        <is>
          <t>BYPASS</t>
        </is>
      </c>
      <c r="J3454" t="inlineStr">
        <is>
          <t>MATRION</t>
        </is>
      </c>
      <c r="K3454" t="inlineStr">
        <is>
          <t>METAL</t>
        </is>
      </c>
      <c r="L3454">
        <f>_xlfn.XLOOKUP(Tableau1[[#This Row],[TYPE DE PIECE]],Tableau4[MATIERE],Tableau4[SHORT TYPE],"",0,1)</f>
        <v/>
      </c>
      <c r="N3454">
        <f>IF(ISERR(FIND("DECOUPE",Tableau1[[#This Row],[DESIGNATION]])),"","NEED REF")</f>
        <v/>
      </c>
    </row>
    <row r="3455">
      <c r="B3455" t="n">
        <v>34410550</v>
      </c>
      <c r="C3455" s="2" t="n">
        <v>44678</v>
      </c>
      <c r="D3455" t="inlineStr">
        <is>
          <t>SPEC</t>
        </is>
      </c>
      <c r="E3455" t="inlineStr">
        <is>
          <t>SMT JOUE LAT 1000 RAL9003</t>
        </is>
      </c>
      <c r="F3455" t="inlineStr">
        <is>
          <t>DATA4 DC07</t>
        </is>
      </c>
      <c r="G3455" t="inlineStr">
        <is>
          <t>GVL</t>
        </is>
      </c>
      <c r="H3455" t="inlineStr">
        <is>
          <t>BYPASS</t>
        </is>
      </c>
      <c r="J3455" t="inlineStr">
        <is>
          <t>MATRION</t>
        </is>
      </c>
      <c r="K3455" t="inlineStr">
        <is>
          <t>METAL</t>
        </is>
      </c>
      <c r="L3455">
        <f>_xlfn.XLOOKUP(Tableau1[[#This Row],[TYPE DE PIECE]],Tableau4[MATIERE],Tableau4[SHORT TYPE],"",0,1)</f>
        <v/>
      </c>
      <c r="N3455">
        <f>IF(ISERR(FIND("DECOUPE",Tableau1[[#This Row],[DESIGNATION]])),"","NEED REF")</f>
        <v/>
      </c>
    </row>
    <row r="3456">
      <c r="B3456" t="n">
        <v>34410549</v>
      </c>
      <c r="C3456" s="2" t="n">
        <v>44678</v>
      </c>
      <c r="D3456" t="inlineStr">
        <is>
          <t>SPEC</t>
        </is>
      </c>
      <c r="E3456" t="inlineStr">
        <is>
          <t>SMT JOUE LAT GVL RAL9003</t>
        </is>
      </c>
      <c r="F3456" t="inlineStr">
        <is>
          <t>DATA4 DC07</t>
        </is>
      </c>
      <c r="G3456" t="inlineStr">
        <is>
          <t>GVL</t>
        </is>
      </c>
      <c r="H3456" t="inlineStr">
        <is>
          <t>BYPASS</t>
        </is>
      </c>
      <c r="J3456" t="inlineStr">
        <is>
          <t>MATRION</t>
        </is>
      </c>
      <c r="K3456" t="inlineStr">
        <is>
          <t>METAL</t>
        </is>
      </c>
      <c r="L3456">
        <f>_xlfn.XLOOKUP(Tableau1[[#This Row],[TYPE DE PIECE]],Tableau4[MATIERE],Tableau4[SHORT TYPE],"",0,1)</f>
        <v/>
      </c>
      <c r="N3456">
        <f>IF(ISERR(FIND("DECOUPE",Tableau1[[#This Row],[DESIGNATION]])),"","NEED REF")</f>
        <v/>
      </c>
    </row>
    <row r="3457">
      <c r="B3457" t="n">
        <v>34410548</v>
      </c>
      <c r="C3457" s="2" t="n">
        <v>44678</v>
      </c>
      <c r="D3457" t="inlineStr">
        <is>
          <t>SPEC</t>
        </is>
      </c>
      <c r="E3457" t="inlineStr">
        <is>
          <t>SMT JOUE LAT GVL RAL9003</t>
        </is>
      </c>
      <c r="F3457" t="inlineStr">
        <is>
          <t>DATA4 DC07</t>
        </is>
      </c>
      <c r="G3457" t="inlineStr">
        <is>
          <t>GVL</t>
        </is>
      </c>
      <c r="H3457" t="inlineStr">
        <is>
          <t>BYPASS</t>
        </is>
      </c>
      <c r="J3457" t="inlineStr">
        <is>
          <t>MATRION</t>
        </is>
      </c>
      <c r="K3457" t="inlineStr">
        <is>
          <t>METAL</t>
        </is>
      </c>
      <c r="L3457">
        <f>_xlfn.XLOOKUP(Tableau1[[#This Row],[TYPE DE PIECE]],Tableau4[MATIERE],Tableau4[SHORT TYPE],"",0,1)</f>
        <v/>
      </c>
      <c r="N3457">
        <f>IF(ISERR(FIND("DECOUPE",Tableau1[[#This Row],[DESIGNATION]])),"","NEED REF")</f>
        <v/>
      </c>
    </row>
    <row r="3458">
      <c r="B3458" t="n">
        <v>34410547</v>
      </c>
      <c r="C3458" s="2" t="n">
        <v>44678</v>
      </c>
      <c r="D3458" t="inlineStr">
        <is>
          <t>SPEC</t>
        </is>
      </c>
      <c r="E3458" t="inlineStr">
        <is>
          <t>SMT TOIT GVL</t>
        </is>
      </c>
      <c r="F3458" t="inlineStr">
        <is>
          <t>DATA4 DC07</t>
        </is>
      </c>
      <c r="G3458" t="inlineStr">
        <is>
          <t>GVL</t>
        </is>
      </c>
      <c r="H3458" t="inlineStr">
        <is>
          <t>BYPASS</t>
        </is>
      </c>
      <c r="J3458" t="inlineStr">
        <is>
          <t>MATRION</t>
        </is>
      </c>
      <c r="K3458" t="inlineStr">
        <is>
          <t>METAL</t>
        </is>
      </c>
      <c r="L3458">
        <f>_xlfn.XLOOKUP(Tableau1[[#This Row],[TYPE DE PIECE]],Tableau4[MATIERE],Tableau4[SHORT TYPE],"",0,1)</f>
        <v/>
      </c>
      <c r="N3458">
        <f>IF(ISERR(FIND("DECOUPE",Tableau1[[#This Row],[DESIGNATION]])),"","NEED REF")</f>
        <v/>
      </c>
    </row>
    <row r="3459">
      <c r="B3459" t="n">
        <v>34410546</v>
      </c>
      <c r="C3459" s="2" t="n">
        <v>44677</v>
      </c>
      <c r="D3459" t="inlineStr">
        <is>
          <t>SPEC</t>
        </is>
      </c>
      <c r="E3459" t="inlineStr">
        <is>
          <t>WIRE KIT PUISSANCE MAINS1 AND OUTPUT</t>
        </is>
      </c>
      <c r="G3459" t="inlineStr">
        <is>
          <t>GVL</t>
        </is>
      </c>
      <c r="H3459" t="inlineStr">
        <is>
          <t>UPS</t>
        </is>
      </c>
      <c r="J3459" t="inlineStr">
        <is>
          <t>MATRION</t>
        </is>
      </c>
      <c r="K3459" t="inlineStr">
        <is>
          <t>FILERIE</t>
        </is>
      </c>
      <c r="L3459">
        <f>_xlfn.XLOOKUP(Tableau1[[#This Row],[TYPE DE PIECE]],Tableau4[MATIERE],Tableau4[SHORT TYPE],"",0,1)</f>
        <v/>
      </c>
      <c r="N3459">
        <f>IF(ISERR(FIND("DECOUPE",Tableau1[[#This Row],[DESIGNATION]])),"","NEED REF")</f>
        <v/>
      </c>
    </row>
    <row r="3460">
      <c r="B3460" t="n">
        <v>34410545</v>
      </c>
      <c r="C3460" s="2" t="n">
        <v>44677</v>
      </c>
      <c r="D3460" t="inlineStr">
        <is>
          <t>SPEC</t>
        </is>
      </c>
      <c r="E3460" t="inlineStr">
        <is>
          <t>SMT PLAQUE ALU 6mm GVEAC4</t>
        </is>
      </c>
      <c r="F3460" t="inlineStr">
        <is>
          <t>DATA4 DC07</t>
        </is>
      </c>
      <c r="G3460" t="inlineStr">
        <is>
          <t>GVL</t>
        </is>
      </c>
      <c r="H3460" t="inlineStr">
        <is>
          <t>BYPASS</t>
        </is>
      </c>
      <c r="J3460" t="inlineStr">
        <is>
          <t>MATRION</t>
        </is>
      </c>
      <c r="K3460" t="inlineStr">
        <is>
          <t>METAL</t>
        </is>
      </c>
      <c r="L3460">
        <f>_xlfn.XLOOKUP(Tableau1[[#This Row],[TYPE DE PIECE]],Tableau4[MATIERE],Tableau4[SHORT TYPE],"",0,1)</f>
        <v/>
      </c>
      <c r="N3460">
        <f>IF(ISERR(FIND("DECOUPE",Tableau1[[#This Row],[DESIGNATION]])),"","NEED REF")</f>
        <v/>
      </c>
    </row>
    <row r="3461">
      <c r="B3461" t="n">
        <v>34410544</v>
      </c>
      <c r="C3461" s="2" t="n">
        <v>44677</v>
      </c>
      <c r="D3461" t="inlineStr">
        <is>
          <t>SPEC</t>
        </is>
      </c>
      <c r="E3461" t="inlineStr">
        <is>
          <t>SE PORTE TERACO</t>
        </is>
      </c>
      <c r="F3461" t="inlineStr">
        <is>
          <t>STS TERACO</t>
        </is>
      </c>
      <c r="H3461" t="inlineStr">
        <is>
          <t>STS</t>
        </is>
      </c>
      <c r="J3461" t="inlineStr">
        <is>
          <t>BERNARDEAU</t>
        </is>
      </c>
      <c r="K3461" t="inlineStr">
        <is>
          <t>METAL</t>
        </is>
      </c>
      <c r="L3461">
        <f>_xlfn.XLOOKUP(Tableau1[[#This Row],[TYPE DE PIECE]],Tableau4[MATIERE],Tableau4[SHORT TYPE],"",0,1)</f>
        <v/>
      </c>
      <c r="N3461">
        <f>IF(ISERR(FIND("DECOUPE",Tableau1[[#This Row],[DESIGNATION]])),"","NEED REF")</f>
        <v/>
      </c>
    </row>
    <row r="3462">
      <c r="B3462" t="n">
        <v>34410543</v>
      </c>
      <c r="C3462" s="2" t="n">
        <v>44677</v>
      </c>
      <c r="D3462" t="inlineStr">
        <is>
          <t>SPEC</t>
        </is>
      </c>
      <c r="E3462" t="inlineStr">
        <is>
          <t>DECOUPE PORTE STS AFFICHEUR TERACO F22050071MHZ/A0</t>
        </is>
      </c>
      <c r="F3462" t="inlineStr">
        <is>
          <t>STS TERACO</t>
        </is>
      </c>
      <c r="H3462" t="inlineStr">
        <is>
          <t>STS</t>
        </is>
      </c>
      <c r="J3462" t="inlineStr">
        <is>
          <t>BERNARDEAU</t>
        </is>
      </c>
      <c r="K3462" t="inlineStr">
        <is>
          <t>METAL</t>
        </is>
      </c>
      <c r="L3462">
        <f>_xlfn.XLOOKUP(Tableau1[[#This Row],[TYPE DE PIECE]],Tableau4[MATIERE],Tableau4[SHORT TYPE],"",0,1)</f>
        <v/>
      </c>
      <c r="N3462">
        <f>IF(ISERR(FIND("DECOUPE",Tableau1[[#This Row],[DESIGNATION]])),"","NEED REF")</f>
        <v/>
      </c>
    </row>
    <row r="3463">
      <c r="B3463" t="n">
        <v>34410542</v>
      </c>
      <c r="C3463" s="2" t="n">
        <v>44677</v>
      </c>
      <c r="D3463" t="inlineStr">
        <is>
          <t>SPEC</t>
        </is>
      </c>
      <c r="E3463" t="inlineStr">
        <is>
          <t>MODULE_ELEC</t>
        </is>
      </c>
      <c r="H3463" t="inlineStr">
        <is>
          <t>STS</t>
        </is>
      </c>
      <c r="J3463" t="inlineStr">
        <is>
          <t>BERNARDEAU</t>
        </is>
      </c>
      <c r="K3463" t="inlineStr">
        <is>
          <t>METAL</t>
        </is>
      </c>
      <c r="L3463">
        <f>_xlfn.XLOOKUP(Tableau1[[#This Row],[TYPE DE PIECE]],Tableau4[MATIERE],Tableau4[SHORT TYPE],"",0,1)</f>
        <v/>
      </c>
      <c r="N3463">
        <f>IF(ISERR(FIND("DECOUPE",Tableau1[[#This Row],[DESIGNATION]])),"","NEED REF")</f>
        <v/>
      </c>
    </row>
    <row r="3464">
      <c r="B3464" t="n">
        <v>34410541</v>
      </c>
      <c r="C3464" s="2" t="n">
        <v>44676</v>
      </c>
      <c r="D3464" t="inlineStr">
        <is>
          <t>SPEC</t>
        </is>
      </c>
      <c r="E3464" t="inlineStr">
        <is>
          <t>BOTTOM CB NS1250NA 4P BYPASS GVX</t>
        </is>
      </c>
      <c r="G3464" t="inlineStr">
        <is>
          <t>GVX</t>
        </is>
      </c>
      <c r="H3464" t="inlineStr">
        <is>
          <t>BYPASS</t>
        </is>
      </c>
      <c r="J3464" t="inlineStr">
        <is>
          <t>MONGELLI</t>
        </is>
      </c>
      <c r="K3464" t="inlineStr">
        <is>
          <t>=SE=</t>
        </is>
      </c>
      <c r="L3464">
        <f>_xlfn.XLOOKUP(Tableau1[[#This Row],[TYPE DE PIECE]],Tableau4[MATIERE],Tableau4[SHORT TYPE],"",0,1)</f>
        <v/>
      </c>
      <c r="N3464">
        <f>IF(ISERR(FIND("DECOUPE",Tableau1[[#This Row],[DESIGNATION]])),"","NEED REF")</f>
        <v/>
      </c>
    </row>
    <row r="3465">
      <c r="B3465" t="n">
        <v>34410540</v>
      </c>
      <c r="C3465" s="2" t="n">
        <v>44676</v>
      </c>
      <c r="D3465" t="inlineStr">
        <is>
          <t>SPEC</t>
        </is>
      </c>
      <c r="E3465" t="inlineStr">
        <is>
          <t>MIDDLE CB NS1250N 4P4D 2.0E BYPASS GVX</t>
        </is>
      </c>
      <c r="G3465" t="inlineStr">
        <is>
          <t>GVX</t>
        </is>
      </c>
      <c r="H3465" t="inlineStr">
        <is>
          <t>BYPASS</t>
        </is>
      </c>
      <c r="J3465" t="inlineStr">
        <is>
          <t>MONGELLI</t>
        </is>
      </c>
      <c r="K3465" t="inlineStr">
        <is>
          <t>=SE=</t>
        </is>
      </c>
      <c r="L3465">
        <f>_xlfn.XLOOKUP(Tableau1[[#This Row],[TYPE DE PIECE]],Tableau4[MATIERE],Tableau4[SHORT TYPE],"",0,1)</f>
        <v/>
      </c>
      <c r="N3465">
        <f>IF(ISERR(FIND("DECOUPE",Tableau1[[#This Row],[DESIGNATION]])),"","NEED REF")</f>
        <v/>
      </c>
    </row>
    <row r="3466">
      <c r="B3466" t="n">
        <v>34410539</v>
      </c>
      <c r="C3466" s="2" t="n">
        <v>44676</v>
      </c>
      <c r="D3466" t="inlineStr">
        <is>
          <t>SPEC</t>
        </is>
      </c>
      <c r="E3466" t="inlineStr">
        <is>
          <t>HIGH CB NS1600N 4P4D 2.0E BYPASS GVX</t>
        </is>
      </c>
      <c r="G3466" t="inlineStr">
        <is>
          <t>GVX</t>
        </is>
      </c>
      <c r="H3466" t="inlineStr">
        <is>
          <t>BYPASS</t>
        </is>
      </c>
      <c r="J3466" t="inlineStr">
        <is>
          <t>MONGELLI</t>
        </is>
      </c>
      <c r="K3466" t="inlineStr">
        <is>
          <t>=SE=</t>
        </is>
      </c>
      <c r="L3466">
        <f>_xlfn.XLOOKUP(Tableau1[[#This Row],[TYPE DE PIECE]],Tableau4[MATIERE],Tableau4[SHORT TYPE],"",0,1)</f>
        <v/>
      </c>
      <c r="N3466">
        <f>IF(ISERR(FIND("DECOUPE",Tableau1[[#This Row],[DESIGNATION]])),"","NEED REF")</f>
        <v/>
      </c>
    </row>
    <row r="3467">
      <c r="B3467" t="n">
        <v>34410538</v>
      </c>
      <c r="C3467" s="2" t="n">
        <v>44676</v>
      </c>
      <c r="D3467" t="inlineStr">
        <is>
          <t>SPEC</t>
        </is>
      </c>
      <c r="E3467" t="inlineStr">
        <is>
          <t>SMT FINITION AV BYPASS</t>
        </is>
      </c>
      <c r="F3467" t="inlineStr">
        <is>
          <t>DATA4 DC07</t>
        </is>
      </c>
      <c r="G3467" t="inlineStr">
        <is>
          <t>GVL</t>
        </is>
      </c>
      <c r="H3467" t="inlineStr">
        <is>
          <t>BYPASS</t>
        </is>
      </c>
      <c r="J3467" t="inlineStr">
        <is>
          <t>MATRION</t>
        </is>
      </c>
      <c r="K3467" t="inlineStr">
        <is>
          <t>METAL</t>
        </is>
      </c>
      <c r="L3467">
        <f>_xlfn.XLOOKUP(Tableau1[[#This Row],[TYPE DE PIECE]],Tableau4[MATIERE],Tableau4[SHORT TYPE],"",0,1)</f>
        <v/>
      </c>
      <c r="N3467">
        <f>IF(ISERR(FIND("DECOUPE",Tableau1[[#This Row],[DESIGNATION]])),"","NEED REF")</f>
        <v/>
      </c>
    </row>
    <row r="3468">
      <c r="B3468" t="n">
        <v>34410537</v>
      </c>
      <c r="C3468" s="2" t="n">
        <v>44676</v>
      </c>
      <c r="D3468" t="inlineStr">
        <is>
          <t>SPEC</t>
        </is>
      </c>
      <c r="E3468" t="inlineStr">
        <is>
          <t>SMT FINITION AV UPS3&amp;4</t>
        </is>
      </c>
      <c r="F3468" t="inlineStr">
        <is>
          <t>DATA4 DC07</t>
        </is>
      </c>
      <c r="G3468" t="inlineStr">
        <is>
          <t>GVL</t>
        </is>
      </c>
      <c r="H3468" t="inlineStr">
        <is>
          <t>BYPASS</t>
        </is>
      </c>
      <c r="J3468" t="inlineStr">
        <is>
          <t>MATRION</t>
        </is>
      </c>
      <c r="K3468" t="inlineStr">
        <is>
          <t>METAL</t>
        </is>
      </c>
      <c r="L3468">
        <f>_xlfn.XLOOKUP(Tableau1[[#This Row],[TYPE DE PIECE]],Tableau4[MATIERE],Tableau4[SHORT TYPE],"",0,1)</f>
        <v/>
      </c>
      <c r="N3468">
        <f>IF(ISERR(FIND("DECOUPE",Tableau1[[#This Row],[DESIGNATION]])),"","NEED REF")</f>
        <v/>
      </c>
    </row>
    <row r="3469">
      <c r="B3469" t="n">
        <v>34410536</v>
      </c>
      <c r="C3469" s="2" t="n">
        <v>44676</v>
      </c>
      <c r="D3469" t="inlineStr">
        <is>
          <t>SPEC</t>
        </is>
      </c>
      <c r="E3469" t="inlineStr">
        <is>
          <t>SMT FINITION AV UPS1&amp;2</t>
        </is>
      </c>
      <c r="F3469" t="inlineStr">
        <is>
          <t>DATA4 DC07</t>
        </is>
      </c>
      <c r="G3469" t="inlineStr">
        <is>
          <t>GVL</t>
        </is>
      </c>
      <c r="H3469" t="inlineStr">
        <is>
          <t>BYPASS</t>
        </is>
      </c>
      <c r="J3469" t="inlineStr">
        <is>
          <t>MATRION</t>
        </is>
      </c>
      <c r="K3469" t="inlineStr">
        <is>
          <t>METAL</t>
        </is>
      </c>
      <c r="L3469">
        <f>_xlfn.XLOOKUP(Tableau1[[#This Row],[TYPE DE PIECE]],Tableau4[MATIERE],Tableau4[SHORT TYPE],"",0,1)</f>
        <v/>
      </c>
      <c r="N3469">
        <f>IF(ISERR(FIND("DECOUPE",Tableau1[[#This Row],[DESIGNATION]])),"","NEED REF")</f>
        <v/>
      </c>
    </row>
    <row r="3470">
      <c r="B3470" t="n">
        <v>34410535</v>
      </c>
      <c r="C3470" s="2" t="n">
        <v>44676</v>
      </c>
      <c r="D3470" t="inlineStr">
        <is>
          <t>SPEC</t>
        </is>
      </c>
      <c r="E3470" t="inlineStr">
        <is>
          <t>SMT FINITION 70mm BYPASS RAL9003</t>
        </is>
      </c>
      <c r="F3470" t="inlineStr">
        <is>
          <t>DATA4 DC07</t>
        </is>
      </c>
      <c r="G3470" t="inlineStr">
        <is>
          <t>GVL</t>
        </is>
      </c>
      <c r="H3470" t="inlineStr">
        <is>
          <t>BYPASS</t>
        </is>
      </c>
      <c r="J3470" t="inlineStr">
        <is>
          <t>MATRION</t>
        </is>
      </c>
      <c r="K3470" t="inlineStr">
        <is>
          <t>METAL</t>
        </is>
      </c>
      <c r="L3470">
        <f>_xlfn.XLOOKUP(Tableau1[[#This Row],[TYPE DE PIECE]],Tableau4[MATIERE],Tableau4[SHORT TYPE],"",0,1)</f>
        <v/>
      </c>
      <c r="N3470">
        <f>IF(ISERR(FIND("DECOUPE",Tableau1[[#This Row],[DESIGNATION]])),"","NEED REF")</f>
        <v/>
      </c>
    </row>
    <row r="3471">
      <c r="B3471" t="n">
        <v>34410534</v>
      </c>
      <c r="C3471" s="2" t="n">
        <v>44676</v>
      </c>
      <c r="D3471" t="inlineStr">
        <is>
          <t>SPEC</t>
        </is>
      </c>
      <c r="E3471" t="inlineStr">
        <is>
          <t>SMT FINITION 70mm GVEAC4 2 RAL9003</t>
        </is>
      </c>
      <c r="F3471" t="inlineStr">
        <is>
          <t>DATA4 DC07</t>
        </is>
      </c>
      <c r="G3471" t="inlineStr">
        <is>
          <t>GVL</t>
        </is>
      </c>
      <c r="H3471" t="inlineStr">
        <is>
          <t>BYPASS</t>
        </is>
      </c>
      <c r="J3471" t="inlineStr">
        <is>
          <t>MATRION</t>
        </is>
      </c>
      <c r="K3471" t="inlineStr">
        <is>
          <t>METAL</t>
        </is>
      </c>
      <c r="L3471">
        <f>_xlfn.XLOOKUP(Tableau1[[#This Row],[TYPE DE PIECE]],Tableau4[MATIERE],Tableau4[SHORT TYPE],"",0,1)</f>
        <v/>
      </c>
      <c r="N3471">
        <f>IF(ISERR(FIND("DECOUPE",Tableau1[[#This Row],[DESIGNATION]])),"","NEED REF")</f>
        <v/>
      </c>
    </row>
    <row r="3472">
      <c r="B3472" t="n">
        <v>34410533</v>
      </c>
      <c r="C3472" s="2" t="n">
        <v>44676</v>
      </c>
      <c r="D3472" t="inlineStr">
        <is>
          <t>SPEC</t>
        </is>
      </c>
      <c r="E3472" t="inlineStr">
        <is>
          <t>SMT FINITION 70mm GVEAC4 1 RAL9003</t>
        </is>
      </c>
      <c r="F3472" t="inlineStr">
        <is>
          <t>DATA4 DC07</t>
        </is>
      </c>
      <c r="G3472" t="inlineStr">
        <is>
          <t>GVL</t>
        </is>
      </c>
      <c r="H3472" t="inlineStr">
        <is>
          <t>BYPASS</t>
        </is>
      </c>
      <c r="J3472" t="inlineStr">
        <is>
          <t>MATRION</t>
        </is>
      </c>
      <c r="K3472" t="inlineStr">
        <is>
          <t>METAL</t>
        </is>
      </c>
      <c r="L3472">
        <f>_xlfn.XLOOKUP(Tableau1[[#This Row],[TYPE DE PIECE]],Tableau4[MATIERE],Tableau4[SHORT TYPE],"",0,1)</f>
        <v/>
      </c>
      <c r="N3472">
        <f>IF(ISERR(FIND("DECOUPE",Tableau1[[#This Row],[DESIGNATION]])),"","NEED REF")</f>
        <v/>
      </c>
    </row>
    <row r="3473">
      <c r="B3473" t="n">
        <v>34410532</v>
      </c>
      <c r="C3473" s="2" t="n">
        <v>44676</v>
      </c>
      <c r="D3473" t="inlineStr">
        <is>
          <t>SPEC</t>
        </is>
      </c>
      <c r="E3473" t="inlineStr">
        <is>
          <t>SMT CALE FIX CHOWNBOX 2</t>
        </is>
      </c>
      <c r="F3473" t="inlineStr">
        <is>
          <t>DATA4 DC07</t>
        </is>
      </c>
      <c r="G3473" t="inlineStr">
        <is>
          <t>GVL</t>
        </is>
      </c>
      <c r="H3473" t="inlineStr">
        <is>
          <t>BYPASS</t>
        </is>
      </c>
      <c r="J3473" t="inlineStr">
        <is>
          <t>MATRION</t>
        </is>
      </c>
      <c r="K3473" t="inlineStr">
        <is>
          <t>METAL</t>
        </is>
      </c>
      <c r="L3473">
        <f>_xlfn.XLOOKUP(Tableau1[[#This Row],[TYPE DE PIECE]],Tableau4[MATIERE],Tableau4[SHORT TYPE],"",0,1)</f>
        <v/>
      </c>
      <c r="N3473">
        <f>IF(ISERR(FIND("DECOUPE",Tableau1[[#This Row],[DESIGNATION]])),"","NEED REF")</f>
        <v/>
      </c>
    </row>
    <row r="3474">
      <c r="B3474" t="n">
        <v>34410531</v>
      </c>
      <c r="C3474" s="2" t="n">
        <v>44676</v>
      </c>
      <c r="D3474" t="inlineStr">
        <is>
          <t>SPEC</t>
        </is>
      </c>
      <c r="E3474" t="inlineStr">
        <is>
          <t>SMT CALE FIX CHOWNBOX 1</t>
        </is>
      </c>
      <c r="F3474" t="inlineStr">
        <is>
          <t>DATA4 DC07</t>
        </is>
      </c>
      <c r="G3474" t="inlineStr">
        <is>
          <t>GVL</t>
        </is>
      </c>
      <c r="H3474" t="inlineStr">
        <is>
          <t>BYPASS</t>
        </is>
      </c>
      <c r="J3474" t="inlineStr">
        <is>
          <t>MATRION</t>
        </is>
      </c>
      <c r="K3474" t="inlineStr">
        <is>
          <t>METAL</t>
        </is>
      </c>
      <c r="L3474">
        <f>_xlfn.XLOOKUP(Tableau1[[#This Row],[TYPE DE PIECE]],Tableau4[MATIERE],Tableau4[SHORT TYPE],"",0,1)</f>
        <v/>
      </c>
      <c r="N3474">
        <f>IF(ISERR(FIND("DECOUPE",Tableau1[[#This Row],[DESIGNATION]])),"","NEED REF")</f>
        <v/>
      </c>
    </row>
    <row r="3475">
      <c r="B3475" t="n">
        <v>34410530</v>
      </c>
      <c r="C3475" s="2" t="n">
        <v>44676</v>
      </c>
      <c r="D3475" t="inlineStr">
        <is>
          <t>SPEC</t>
        </is>
      </c>
      <c r="E3475" t="inlineStr">
        <is>
          <t>SMT CROWNBOX BYPASS CENTER</t>
        </is>
      </c>
      <c r="F3475" t="inlineStr">
        <is>
          <t>DATA4 DC07</t>
        </is>
      </c>
      <c r="G3475" t="inlineStr">
        <is>
          <t>GVL</t>
        </is>
      </c>
      <c r="H3475" t="inlineStr">
        <is>
          <t>BYPASS</t>
        </is>
      </c>
      <c r="J3475" t="inlineStr">
        <is>
          <t>MATRION</t>
        </is>
      </c>
      <c r="K3475" t="inlineStr">
        <is>
          <t>METAL</t>
        </is>
      </c>
      <c r="L3475">
        <f>_xlfn.XLOOKUP(Tableau1[[#This Row],[TYPE DE PIECE]],Tableau4[MATIERE],Tableau4[SHORT TYPE],"",0,1)</f>
        <v/>
      </c>
      <c r="N3475">
        <f>IF(ISERR(FIND("DECOUPE",Tableau1[[#This Row],[DESIGNATION]])),"","NEED REF")</f>
        <v/>
      </c>
    </row>
    <row r="3476">
      <c r="B3476" t="n">
        <v>34410529</v>
      </c>
      <c r="C3476" s="2" t="n">
        <v>44676</v>
      </c>
      <c r="D3476" t="inlineStr">
        <is>
          <t>SPEC</t>
        </is>
      </c>
      <c r="E3476" t="inlineStr">
        <is>
          <t>SMT CROWNBOX BYPASS LEFT/RIGHT</t>
        </is>
      </c>
      <c r="F3476" t="inlineStr">
        <is>
          <t>DATA4 DC07</t>
        </is>
      </c>
      <c r="G3476" t="inlineStr">
        <is>
          <t>GVL</t>
        </is>
      </c>
      <c r="H3476" t="inlineStr">
        <is>
          <t>BYPASS</t>
        </is>
      </c>
      <c r="J3476" t="inlineStr">
        <is>
          <t>MATRION</t>
        </is>
      </c>
      <c r="K3476" t="inlineStr">
        <is>
          <t>METAL</t>
        </is>
      </c>
      <c r="L3476">
        <f>_xlfn.XLOOKUP(Tableau1[[#This Row],[TYPE DE PIECE]],Tableau4[MATIERE],Tableau4[SHORT TYPE],"",0,1)</f>
        <v/>
      </c>
      <c r="N3476">
        <f>IF(ISERR(FIND("DECOUPE",Tableau1[[#This Row],[DESIGNATION]])),"","NEED REF")</f>
        <v/>
      </c>
    </row>
    <row r="3477">
      <c r="B3477" t="n">
        <v>34410528</v>
      </c>
      <c r="C3477" s="2" t="n">
        <v>44676</v>
      </c>
      <c r="D3477" t="inlineStr">
        <is>
          <t>SPEC</t>
        </is>
      </c>
      <c r="E3477" t="inlineStr">
        <is>
          <t>SMT CROWNBOX GVEAC4</t>
        </is>
      </c>
      <c r="F3477" t="inlineStr">
        <is>
          <t>DATA4 DC07</t>
        </is>
      </c>
      <c r="G3477" t="inlineStr">
        <is>
          <t>GVL</t>
        </is>
      </c>
      <c r="H3477" t="inlineStr">
        <is>
          <t>BYPASS</t>
        </is>
      </c>
      <c r="J3477" t="inlineStr">
        <is>
          <t>MATRION</t>
        </is>
      </c>
      <c r="K3477" t="inlineStr">
        <is>
          <t>METAL</t>
        </is>
      </c>
      <c r="L3477">
        <f>_xlfn.XLOOKUP(Tableau1[[#This Row],[TYPE DE PIECE]],Tableau4[MATIERE],Tableau4[SHORT TYPE],"",0,1)</f>
        <v/>
      </c>
      <c r="N3477">
        <f>IF(ISERR(FIND("DECOUPE",Tableau1[[#This Row],[DESIGNATION]])),"","NEED REF")</f>
        <v/>
      </c>
    </row>
    <row r="3478">
      <c r="B3478" t="n">
        <v>34410527</v>
      </c>
      <c r="C3478" s="2" t="n">
        <v>44672</v>
      </c>
      <c r="D3478" t="inlineStr">
        <is>
          <t>SPEC</t>
        </is>
      </c>
      <c r="E3478" t="inlineStr">
        <is>
          <t>SMT PANNEAU ARR GVEAC4W10 RAL9003</t>
        </is>
      </c>
      <c r="F3478" t="inlineStr">
        <is>
          <t>DATA4 DC07</t>
        </is>
      </c>
      <c r="G3478" t="inlineStr">
        <is>
          <t>GVL</t>
        </is>
      </c>
      <c r="H3478" t="inlineStr">
        <is>
          <t>BYPASS</t>
        </is>
      </c>
      <c r="J3478" t="inlineStr">
        <is>
          <t>MATRION</t>
        </is>
      </c>
      <c r="K3478" t="inlineStr">
        <is>
          <t>METAL</t>
        </is>
      </c>
      <c r="L3478">
        <f>_xlfn.XLOOKUP(Tableau1[[#This Row],[TYPE DE PIECE]],Tableau4[MATIERE],Tableau4[SHORT TYPE],"",0,1)</f>
        <v/>
      </c>
      <c r="N3478">
        <f>IF(ISERR(FIND("DECOUPE",Tableau1[[#This Row],[DESIGNATION]])),"","NEED REF")</f>
        <v/>
      </c>
    </row>
    <row r="3479">
      <c r="B3479" t="n">
        <v>34410526</v>
      </c>
      <c r="C3479" s="2" t="n">
        <v>44672</v>
      </c>
      <c r="D3479" t="inlineStr">
        <is>
          <t>SPEC</t>
        </is>
      </c>
      <c r="E3479" t="inlineStr">
        <is>
          <t>SMT ACCOUPLEMENT AUX GVL 1900 RAL9003</t>
        </is>
      </c>
      <c r="F3479" t="inlineStr">
        <is>
          <t>DATA4 DC07</t>
        </is>
      </c>
      <c r="G3479" t="inlineStr">
        <is>
          <t>GVL</t>
        </is>
      </c>
      <c r="H3479" t="inlineStr">
        <is>
          <t>BYPASS</t>
        </is>
      </c>
      <c r="J3479" t="inlineStr">
        <is>
          <t>MATRION</t>
        </is>
      </c>
      <c r="K3479" t="inlineStr">
        <is>
          <t>METAL</t>
        </is>
      </c>
      <c r="L3479">
        <f>_xlfn.XLOOKUP(Tableau1[[#This Row],[TYPE DE PIECE]],Tableau4[MATIERE],Tableau4[SHORT TYPE],"",0,1)</f>
        <v/>
      </c>
      <c r="N3479">
        <f>IF(ISERR(FIND("DECOUPE",Tableau1[[#This Row],[DESIGNATION]])),"","NEED REF")</f>
        <v/>
      </c>
    </row>
    <row r="3480">
      <c r="B3480" t="n">
        <v>34410525</v>
      </c>
      <c r="C3480" s="2" t="n">
        <v>44672</v>
      </c>
      <c r="D3480" t="inlineStr">
        <is>
          <t>SPEC</t>
        </is>
      </c>
      <c r="E3480" t="inlineStr">
        <is>
          <t>SMT TOIT KTA40503 OUTPUT</t>
        </is>
      </c>
      <c r="F3480" t="inlineStr">
        <is>
          <t>DATA4 DC07</t>
        </is>
      </c>
      <c r="G3480" t="inlineStr">
        <is>
          <t>GVL</t>
        </is>
      </c>
      <c r="H3480" t="inlineStr">
        <is>
          <t>BYPASS</t>
        </is>
      </c>
      <c r="J3480" t="inlineStr">
        <is>
          <t>MATRION</t>
        </is>
      </c>
      <c r="K3480" t="inlineStr">
        <is>
          <t>METAL</t>
        </is>
      </c>
      <c r="L3480">
        <f>_xlfn.XLOOKUP(Tableau1[[#This Row],[TYPE DE PIECE]],Tableau4[MATIERE],Tableau4[SHORT TYPE],"",0,1)</f>
        <v/>
      </c>
      <c r="N3480">
        <f>IF(ISERR(FIND("DECOUPE",Tableau1[[#This Row],[DESIGNATION]])),"","NEED REF")</f>
        <v/>
      </c>
    </row>
    <row r="3481">
      <c r="B3481" t="n">
        <v>34410524</v>
      </c>
      <c r="C3481" s="2" t="n">
        <v>44672</v>
      </c>
      <c r="D3481" t="inlineStr">
        <is>
          <t>SPEC</t>
        </is>
      </c>
      <c r="F3481" t="inlineStr">
        <is>
          <t>DATA4 DC07</t>
        </is>
      </c>
      <c r="G3481" t="inlineStr">
        <is>
          <t>GVL</t>
        </is>
      </c>
      <c r="H3481" t="inlineStr">
        <is>
          <t>BYPASS</t>
        </is>
      </c>
      <c r="J3481" t="inlineStr">
        <is>
          <t>MATRION</t>
        </is>
      </c>
      <c r="K3481" t="inlineStr">
        <is>
          <t>METAL</t>
        </is>
      </c>
      <c r="L3481">
        <f>_xlfn.XLOOKUP(Tableau1[[#This Row],[TYPE DE PIECE]],Tableau4[MATIERE],Tableau4[SHORT TYPE],"",0,1)</f>
        <v/>
      </c>
      <c r="N3481">
        <f>IF(ISERR(FIND("DECOUPE",Tableau1[[#This Row],[DESIGNATION]])),"","NEED REF")</f>
        <v/>
      </c>
    </row>
    <row r="3482">
      <c r="B3482" t="n">
        <v>34410523</v>
      </c>
      <c r="C3482" s="2" t="n">
        <v>44672</v>
      </c>
      <c r="D3482" t="inlineStr">
        <is>
          <t>SPEC</t>
        </is>
      </c>
      <c r="F3482" t="inlineStr">
        <is>
          <t>DATA4 DC07</t>
        </is>
      </c>
      <c r="G3482" t="inlineStr">
        <is>
          <t>GVL</t>
        </is>
      </c>
      <c r="H3482" t="inlineStr">
        <is>
          <t>BYPASS</t>
        </is>
      </c>
      <c r="J3482" t="inlineStr">
        <is>
          <t>MATRION</t>
        </is>
      </c>
      <c r="K3482" t="inlineStr">
        <is>
          <t>METAL</t>
        </is>
      </c>
      <c r="L3482">
        <f>_xlfn.XLOOKUP(Tableau1[[#This Row],[TYPE DE PIECE]],Tableau4[MATIERE],Tableau4[SHORT TYPE],"",0,1)</f>
        <v/>
      </c>
      <c r="N3482">
        <f>IF(ISERR(FIND("DECOUPE",Tableau1[[#This Row],[DESIGNATION]])),"","NEED REF")</f>
        <v/>
      </c>
    </row>
    <row r="3483">
      <c r="B3483" t="n">
        <v>34410522</v>
      </c>
      <c r="C3483" s="2" t="n">
        <v>44671</v>
      </c>
      <c r="D3483" t="inlineStr">
        <is>
          <t>SPEC</t>
        </is>
      </c>
      <c r="F3483" t="inlineStr">
        <is>
          <t>DATA4 DC07</t>
        </is>
      </c>
      <c r="G3483" t="inlineStr">
        <is>
          <t>GVL</t>
        </is>
      </c>
      <c r="H3483" t="inlineStr">
        <is>
          <t>BYPASS</t>
        </is>
      </c>
      <c r="J3483" t="inlineStr">
        <is>
          <t>MATRION</t>
        </is>
      </c>
      <c r="K3483" t="inlineStr">
        <is>
          <t>METAL</t>
        </is>
      </c>
      <c r="L3483">
        <f>_xlfn.XLOOKUP(Tableau1[[#This Row],[TYPE DE PIECE]],Tableau4[MATIERE],Tableau4[SHORT TYPE],"",0,1)</f>
        <v/>
      </c>
      <c r="N3483">
        <f>IF(ISERR(FIND("DECOUPE",Tableau1[[#This Row],[DESIGNATION]])),"","NEED REF")</f>
        <v/>
      </c>
    </row>
    <row r="3484">
      <c r="B3484" t="n">
        <v>34410521</v>
      </c>
      <c r="C3484" s="2" t="n">
        <v>44671</v>
      </c>
      <c r="D3484" t="inlineStr">
        <is>
          <t>SPEC</t>
        </is>
      </c>
      <c r="F3484" t="inlineStr">
        <is>
          <t>DATA4 DC07</t>
        </is>
      </c>
      <c r="G3484" t="inlineStr">
        <is>
          <t>GVL</t>
        </is>
      </c>
      <c r="H3484" t="inlineStr">
        <is>
          <t>BYPASS</t>
        </is>
      </c>
      <c r="J3484" t="inlineStr">
        <is>
          <t>MATRION</t>
        </is>
      </c>
      <c r="K3484" t="inlineStr">
        <is>
          <t>METAL</t>
        </is>
      </c>
      <c r="L3484">
        <f>_xlfn.XLOOKUP(Tableau1[[#This Row],[TYPE DE PIECE]],Tableau4[MATIERE],Tableau4[SHORT TYPE],"",0,1)</f>
        <v/>
      </c>
      <c r="N3484">
        <f>IF(ISERR(FIND("DECOUPE",Tableau1[[#This Row],[DESIGNATION]])),"","NEED REF")</f>
        <v/>
      </c>
    </row>
    <row r="3485">
      <c r="B3485" t="n">
        <v>34410520</v>
      </c>
      <c r="C3485" s="2" t="n">
        <v>44671</v>
      </c>
      <c r="D3485" t="inlineStr">
        <is>
          <t>SPEC</t>
        </is>
      </c>
      <c r="F3485" t="inlineStr">
        <is>
          <t>DATA4 DC07</t>
        </is>
      </c>
      <c r="G3485" t="inlineStr">
        <is>
          <t>GVL</t>
        </is>
      </c>
      <c r="H3485" t="inlineStr">
        <is>
          <t>BYPASS</t>
        </is>
      </c>
      <c r="J3485" t="inlineStr">
        <is>
          <t>MATRION</t>
        </is>
      </c>
      <c r="K3485" t="inlineStr">
        <is>
          <t>METAL</t>
        </is>
      </c>
      <c r="L3485">
        <f>_xlfn.XLOOKUP(Tableau1[[#This Row],[TYPE DE PIECE]],Tableau4[MATIERE],Tableau4[SHORT TYPE],"",0,1)</f>
        <v/>
      </c>
      <c r="N3485">
        <f>IF(ISERR(FIND("DECOUPE",Tableau1[[#This Row],[DESIGNATION]])),"","NEED REF")</f>
        <v/>
      </c>
    </row>
    <row r="3486">
      <c r="B3486" t="n">
        <v>34410519</v>
      </c>
      <c r="C3486" s="2" t="n">
        <v>44671</v>
      </c>
      <c r="D3486" t="inlineStr">
        <is>
          <t>SPEC</t>
        </is>
      </c>
      <c r="F3486" t="inlineStr">
        <is>
          <t>DATA4 DC07</t>
        </is>
      </c>
      <c r="G3486" t="inlineStr">
        <is>
          <t>GVL</t>
        </is>
      </c>
      <c r="H3486" t="inlineStr">
        <is>
          <t>BYPASS</t>
        </is>
      </c>
      <c r="J3486" t="inlineStr">
        <is>
          <t>JAWORSKI</t>
        </is>
      </c>
      <c r="L3486">
        <f>_xlfn.XLOOKUP(Tableau1[[#This Row],[TYPE DE PIECE]],Tableau4[MATIERE],Tableau4[SHORT TYPE],"",0,1)</f>
        <v/>
      </c>
      <c r="N3486">
        <f>IF(ISERR(FIND("DECOUPE",Tableau1[[#This Row],[DESIGNATION]])),"","NEED REF")</f>
        <v/>
      </c>
    </row>
    <row r="3487">
      <c r="B3487" t="n">
        <v>34410518</v>
      </c>
      <c r="C3487" s="2" t="n">
        <v>44671</v>
      </c>
      <c r="D3487" t="inlineStr">
        <is>
          <t>SPEC</t>
        </is>
      </c>
      <c r="E3487" t="inlineStr">
        <is>
          <t>SMT BARRE POSITION CÂBLE</t>
        </is>
      </c>
      <c r="F3487" t="inlineStr">
        <is>
          <t>DATA4 DC07</t>
        </is>
      </c>
      <c r="G3487" t="inlineStr">
        <is>
          <t>GVL</t>
        </is>
      </c>
      <c r="H3487" t="inlineStr">
        <is>
          <t>BYPASS</t>
        </is>
      </c>
      <c r="J3487" t="inlineStr">
        <is>
          <t>JAWORSKI</t>
        </is>
      </c>
      <c r="L3487">
        <f>_xlfn.XLOOKUP(Tableau1[[#This Row],[TYPE DE PIECE]],Tableau4[MATIERE],Tableau4[SHORT TYPE],"",0,1)</f>
        <v/>
      </c>
      <c r="N3487">
        <f>IF(ISERR(FIND("DECOUPE",Tableau1[[#This Row],[DESIGNATION]])),"","NEED REF")</f>
        <v/>
      </c>
    </row>
    <row r="3488">
      <c r="B3488" t="n">
        <v>34410517</v>
      </c>
      <c r="C3488" s="2" t="n">
        <v>44671</v>
      </c>
      <c r="D3488" t="inlineStr">
        <is>
          <t>SPEC</t>
        </is>
      </c>
      <c r="E3488" t="inlineStr">
        <is>
          <t>SMT CROWNBOX MBB/SIB</t>
        </is>
      </c>
      <c r="F3488" t="inlineStr">
        <is>
          <t>DATA4 DC07</t>
        </is>
      </c>
      <c r="G3488" t="inlineStr">
        <is>
          <t>GVL</t>
        </is>
      </c>
      <c r="H3488" t="inlineStr">
        <is>
          <t>BYPASS</t>
        </is>
      </c>
      <c r="J3488" t="inlineStr">
        <is>
          <t>JAWORSKI</t>
        </is>
      </c>
      <c r="L3488">
        <f>_xlfn.XLOOKUP(Tableau1[[#This Row],[TYPE DE PIECE]],Tableau4[MATIERE],Tableau4[SHORT TYPE],"",0,1)</f>
        <v/>
      </c>
      <c r="N3488">
        <f>IF(ISERR(FIND("DECOUPE",Tableau1[[#This Row],[DESIGNATION]])),"","NEED REF")</f>
        <v/>
      </c>
    </row>
    <row r="3489">
      <c r="B3489" t="n">
        <v>34410516</v>
      </c>
      <c r="C3489" s="2" t="n">
        <v>44671</v>
      </c>
      <c r="D3489" t="inlineStr">
        <is>
          <t>SPEC</t>
        </is>
      </c>
      <c r="E3489" t="inlineStr">
        <is>
          <t>SMT CROWNBOX UIB/UOB</t>
        </is>
      </c>
      <c r="F3489" t="inlineStr">
        <is>
          <t>DATA4 DC07</t>
        </is>
      </c>
      <c r="G3489" t="inlineStr">
        <is>
          <t>GVL</t>
        </is>
      </c>
      <c r="H3489" t="inlineStr">
        <is>
          <t>BYPASS</t>
        </is>
      </c>
      <c r="J3489" t="inlineStr">
        <is>
          <t>JAWORSKI</t>
        </is>
      </c>
      <c r="L3489">
        <f>_xlfn.XLOOKUP(Tableau1[[#This Row],[TYPE DE PIECE]],Tableau4[MATIERE],Tableau4[SHORT TYPE],"",0,1)</f>
        <v/>
      </c>
      <c r="N3489">
        <f>IF(ISERR(FIND("DECOUPE",Tableau1[[#This Row],[DESIGNATION]])),"","NEED REF")</f>
        <v/>
      </c>
    </row>
    <row r="3490">
      <c r="B3490" t="n">
        <v>34410515</v>
      </c>
      <c r="C3490" s="2" t="n">
        <v>44671</v>
      </c>
      <c r="D3490" t="inlineStr">
        <is>
          <t>SPEC</t>
        </is>
      </c>
      <c r="E3490" t="inlineStr">
        <is>
          <t>SMT CROWNBOX GVEAC4</t>
        </is>
      </c>
      <c r="F3490" t="inlineStr">
        <is>
          <t>DATA4 DC07</t>
        </is>
      </c>
      <c r="G3490" t="inlineStr">
        <is>
          <t>GVL</t>
        </is>
      </c>
      <c r="H3490" t="inlineStr">
        <is>
          <t>BYPASS</t>
        </is>
      </c>
      <c r="J3490" t="inlineStr">
        <is>
          <t>JAWORSKI</t>
        </is>
      </c>
      <c r="L3490">
        <f>_xlfn.XLOOKUP(Tableau1[[#This Row],[TYPE DE PIECE]],Tableau4[MATIERE],Tableau4[SHORT TYPE],"",0,1)</f>
        <v/>
      </c>
      <c r="N3490">
        <f>IF(ISERR(FIND("DECOUPE",Tableau1[[#This Row],[DESIGNATION]])),"","NEED REF")</f>
        <v/>
      </c>
    </row>
    <row r="3491">
      <c r="B3491" t="n">
        <v>34410514</v>
      </c>
      <c r="C3491" s="2" t="n">
        <v>44671</v>
      </c>
      <c r="D3491" t="inlineStr">
        <is>
          <t>SPEC</t>
        </is>
      </c>
      <c r="E3491" t="inlineStr">
        <is>
          <t>SMT CROWNBOX GVL</t>
        </is>
      </c>
      <c r="F3491" t="inlineStr">
        <is>
          <t>DATA4 DC07</t>
        </is>
      </c>
      <c r="G3491" t="inlineStr">
        <is>
          <t>GVL</t>
        </is>
      </c>
      <c r="H3491" t="inlineStr">
        <is>
          <t>BYPASS</t>
        </is>
      </c>
      <c r="J3491" t="inlineStr">
        <is>
          <t>JAWORSKI</t>
        </is>
      </c>
      <c r="L3491">
        <f>_xlfn.XLOOKUP(Tableau1[[#This Row],[TYPE DE PIECE]],Tableau4[MATIERE],Tableau4[SHORT TYPE],"",0,1)</f>
        <v/>
      </c>
      <c r="N3491">
        <f>IF(ISERR(FIND("DECOUPE",Tableau1[[#This Row],[DESIGNATION]])),"","NEED REF")</f>
        <v/>
      </c>
    </row>
    <row r="3492">
      <c r="B3492" t="n">
        <v>34410513</v>
      </c>
      <c r="C3492" s="2" t="n">
        <v>44666</v>
      </c>
      <c r="D3492" t="inlineStr">
        <is>
          <t>SPEC</t>
        </is>
      </c>
      <c r="E3492" t="inlineStr">
        <is>
          <t>1/2 WOOD PLANCHE 1000x800</t>
        </is>
      </c>
      <c r="J3492" t="inlineStr">
        <is>
          <t>BERNARDEAU</t>
        </is>
      </c>
      <c r="K3492" t="inlineStr">
        <is>
          <t>BOIS</t>
        </is>
      </c>
      <c r="L3492">
        <f>_xlfn.XLOOKUP(Tableau1[[#This Row],[TYPE DE PIECE]],Tableau4[MATIERE],Tableau4[SHORT TYPE],"",0,1)</f>
        <v/>
      </c>
      <c r="N3492">
        <f>IF(ISERR(FIND("DECOUPE",Tableau1[[#This Row],[DESIGNATION]])),"","NEED REF")</f>
        <v/>
      </c>
    </row>
    <row r="3493">
      <c r="B3493" t="n">
        <v>34410512</v>
      </c>
      <c r="C3493" s="2" t="n">
        <v>44665</v>
      </c>
      <c r="D3493" t="inlineStr">
        <is>
          <t>SPEC</t>
        </is>
      </c>
      <c r="E3493" t="inlineStr">
        <is>
          <t>WOOD BLOC</t>
        </is>
      </c>
      <c r="J3493" t="inlineStr">
        <is>
          <t>BERNARDEAU</t>
        </is>
      </c>
      <c r="K3493" t="inlineStr">
        <is>
          <t>BOIS</t>
        </is>
      </c>
      <c r="L3493">
        <f>_xlfn.XLOOKUP(Tableau1[[#This Row],[TYPE DE PIECE]],Tableau4[MATIERE],Tableau4[SHORT TYPE],"",0,1)</f>
        <v/>
      </c>
      <c r="N3493">
        <f>IF(ISERR(FIND("DECOUPE",Tableau1[[#This Row],[DESIGNATION]])),"","NEED REF")</f>
        <v/>
      </c>
    </row>
    <row r="3494">
      <c r="B3494" t="n">
        <v>34410511</v>
      </c>
      <c r="C3494" s="2" t="n">
        <v>44665</v>
      </c>
      <c r="D3494" t="inlineStr">
        <is>
          <t>SPEC</t>
        </is>
      </c>
      <c r="E3494" t="inlineStr">
        <is>
          <t>WOOD BLOC</t>
        </is>
      </c>
      <c r="J3494" t="inlineStr">
        <is>
          <t>BERNARDEAU</t>
        </is>
      </c>
      <c r="K3494" t="inlineStr">
        <is>
          <t>BOIS</t>
        </is>
      </c>
      <c r="L3494">
        <f>_xlfn.XLOOKUP(Tableau1[[#This Row],[TYPE DE PIECE]],Tableau4[MATIERE],Tableau4[SHORT TYPE],"",0,1)</f>
        <v/>
      </c>
      <c r="N3494">
        <f>IF(ISERR(FIND("DECOUPE",Tableau1[[#This Row],[DESIGNATION]])),"","NEED REF")</f>
        <v/>
      </c>
    </row>
    <row r="3495">
      <c r="B3495" t="n">
        <v>34410510</v>
      </c>
      <c r="C3495" s="2" t="n">
        <v>44665</v>
      </c>
      <c r="D3495" t="inlineStr">
        <is>
          <t>SPEC</t>
        </is>
      </c>
      <c r="E3495" t="inlineStr">
        <is>
          <t>PLAT ISOLATION ENTRE PHASES</t>
        </is>
      </c>
      <c r="F3495" t="inlineStr">
        <is>
          <t>DATA4 DC07</t>
        </is>
      </c>
      <c r="G3495" t="inlineStr">
        <is>
          <t>GVL</t>
        </is>
      </c>
      <c r="H3495" t="inlineStr">
        <is>
          <t>BYPASS</t>
        </is>
      </c>
      <c r="J3495" t="inlineStr">
        <is>
          <t>MATRION</t>
        </is>
      </c>
      <c r="K3495" t="inlineStr">
        <is>
          <t>PLASTIQUE</t>
        </is>
      </c>
      <c r="L3495">
        <f>_xlfn.XLOOKUP(Tableau1[[#This Row],[TYPE DE PIECE]],Tableau4[MATIERE],Tableau4[SHORT TYPE],"",0,1)</f>
        <v/>
      </c>
      <c r="N3495">
        <f>IF(ISERR(FIND("DECOUPE",Tableau1[[#This Row],[DESIGNATION]])),"","NEED REF")</f>
        <v/>
      </c>
    </row>
    <row r="3496">
      <c r="B3496" t="n">
        <v>34410509</v>
      </c>
      <c r="C3496" s="2" t="n">
        <v>44665</v>
      </c>
      <c r="D3496" t="inlineStr">
        <is>
          <t>SPEC</t>
        </is>
      </c>
      <c r="E3496" t="inlineStr">
        <is>
          <t>COP PLAGE RACC NS - N</t>
        </is>
      </c>
      <c r="F3496" t="inlineStr">
        <is>
          <t>DATA4 DC07</t>
        </is>
      </c>
      <c r="G3496" t="inlineStr">
        <is>
          <t>GVL</t>
        </is>
      </c>
      <c r="H3496" t="inlineStr">
        <is>
          <t>BYPASS</t>
        </is>
      </c>
      <c r="J3496" t="inlineStr">
        <is>
          <t>MATRION</t>
        </is>
      </c>
      <c r="K3496" t="inlineStr">
        <is>
          <t>CUIVRE</t>
        </is>
      </c>
      <c r="L3496">
        <f>_xlfn.XLOOKUP(Tableau1[[#This Row],[TYPE DE PIECE]],Tableau4[MATIERE],Tableau4[SHORT TYPE],"",0,1)</f>
        <v/>
      </c>
      <c r="N3496">
        <f>IF(ISERR(FIND("DECOUPE",Tableau1[[#This Row],[DESIGNATION]])),"","NEED REF")</f>
        <v/>
      </c>
    </row>
    <row r="3497">
      <c r="B3497" t="n">
        <v>34410508</v>
      </c>
      <c r="C3497" s="2" t="n">
        <v>44663</v>
      </c>
      <c r="D3497" t="inlineStr">
        <is>
          <t>SPEC</t>
        </is>
      </c>
      <c r="E3497" t="inlineStr">
        <is>
          <t>COP LIAISON 4 PER</t>
        </is>
      </c>
      <c r="F3497" t="inlineStr">
        <is>
          <t>INTERXION</t>
        </is>
      </c>
      <c r="G3497" t="inlineStr">
        <is>
          <t>GVX</t>
        </is>
      </c>
      <c r="H3497" t="inlineStr">
        <is>
          <t>IO</t>
        </is>
      </c>
      <c r="J3497" t="inlineStr">
        <is>
          <t>MATRION</t>
        </is>
      </c>
      <c r="K3497" t="inlineStr">
        <is>
          <t>CUIVRE</t>
        </is>
      </c>
      <c r="L3497">
        <f>_xlfn.XLOOKUP(Tableau1[[#This Row],[TYPE DE PIECE]],Tableau4[MATIERE],Tableau4[SHORT TYPE],"",0,1)</f>
        <v/>
      </c>
      <c r="N3497">
        <f>IF(ISERR(FIND("DECOUPE",Tableau1[[#This Row],[DESIGNATION]])),"","NEED REF")</f>
        <v/>
      </c>
    </row>
    <row r="3498">
      <c r="B3498" t="n">
        <v>34410507</v>
      </c>
      <c r="C3498" s="2" t="n">
        <v>44663</v>
      </c>
      <c r="D3498" t="inlineStr">
        <is>
          <t>SPEC</t>
        </is>
      </c>
      <c r="E3498" t="inlineStr">
        <is>
          <t>COP CS NS/LINERGY - L3/N</t>
        </is>
      </c>
      <c r="F3498" t="inlineStr">
        <is>
          <t>DATA4 DC07</t>
        </is>
      </c>
      <c r="G3498" t="inlineStr">
        <is>
          <t>GVL</t>
        </is>
      </c>
      <c r="H3498" t="inlineStr">
        <is>
          <t>BYPASS</t>
        </is>
      </c>
      <c r="J3498" t="inlineStr">
        <is>
          <t>MATRION</t>
        </is>
      </c>
      <c r="K3498" t="inlineStr">
        <is>
          <t>CUIVRE</t>
        </is>
      </c>
      <c r="L3498">
        <f>_xlfn.XLOOKUP(Tableau1[[#This Row],[TYPE DE PIECE]],Tableau4[MATIERE],Tableau4[SHORT TYPE],"",0,1)</f>
        <v/>
      </c>
      <c r="N3498">
        <f>IF(ISERR(FIND("DECOUPE",Tableau1[[#This Row],[DESIGNATION]])),"","NEED REF")</f>
        <v/>
      </c>
    </row>
    <row r="3499">
      <c r="B3499" t="n">
        <v>34410506</v>
      </c>
      <c r="C3499" s="2" t="n">
        <v>44663</v>
      </c>
      <c r="D3499" t="inlineStr">
        <is>
          <t>SPEC</t>
        </is>
      </c>
      <c r="E3499" t="inlineStr">
        <is>
          <t>COP CS NS/LINERGY - L2/L1</t>
        </is>
      </c>
      <c r="F3499" t="inlineStr">
        <is>
          <t>DATA4 DC07</t>
        </is>
      </c>
      <c r="G3499" t="inlineStr">
        <is>
          <t>GVL</t>
        </is>
      </c>
      <c r="H3499" t="inlineStr">
        <is>
          <t>BYPASS</t>
        </is>
      </c>
      <c r="J3499" t="inlineStr">
        <is>
          <t>MATRION</t>
        </is>
      </c>
      <c r="K3499" t="inlineStr">
        <is>
          <t>CUIVRE</t>
        </is>
      </c>
      <c r="L3499">
        <f>_xlfn.XLOOKUP(Tableau1[[#This Row],[TYPE DE PIECE]],Tableau4[MATIERE],Tableau4[SHORT TYPE],"",0,1)</f>
        <v/>
      </c>
      <c r="N3499">
        <f>IF(ISERR(FIND("DECOUPE",Tableau1[[#This Row],[DESIGNATION]])),"","NEED REF")</f>
        <v/>
      </c>
    </row>
    <row r="3500">
      <c r="B3500" t="n">
        <v>34410505</v>
      </c>
      <c r="C3500" s="2" t="n">
        <v>44663</v>
      </c>
      <c r="D3500" t="inlineStr">
        <is>
          <t>SPEC</t>
        </is>
      </c>
      <c r="E3500" t="inlineStr">
        <is>
          <t>COP CS NS/LINERGY - L1/L2</t>
        </is>
      </c>
      <c r="F3500" t="inlineStr">
        <is>
          <t>DATA4 DC07</t>
        </is>
      </c>
      <c r="G3500" t="inlineStr">
        <is>
          <t>GVL</t>
        </is>
      </c>
      <c r="H3500" t="inlineStr">
        <is>
          <t>BYPASS</t>
        </is>
      </c>
      <c r="J3500" t="inlineStr">
        <is>
          <t>MATRION</t>
        </is>
      </c>
      <c r="K3500" t="inlineStr">
        <is>
          <t>CUIVRE</t>
        </is>
      </c>
      <c r="L3500">
        <f>_xlfn.XLOOKUP(Tableau1[[#This Row],[TYPE DE PIECE]],Tableau4[MATIERE],Tableau4[SHORT TYPE],"",0,1)</f>
        <v/>
      </c>
      <c r="N3500">
        <f>IF(ISERR(FIND("DECOUPE",Tableau1[[#This Row],[DESIGNATION]])),"","NEED REF")</f>
        <v/>
      </c>
    </row>
    <row r="3501">
      <c r="B3501" t="n">
        <v>34410504</v>
      </c>
      <c r="C3501" s="2" t="n">
        <v>44663</v>
      </c>
      <c r="D3501" t="inlineStr">
        <is>
          <t>SPEC</t>
        </is>
      </c>
      <c r="E3501" t="inlineStr">
        <is>
          <t>COP CS NS/LINERGY - N/L3</t>
        </is>
      </c>
      <c r="F3501" t="inlineStr">
        <is>
          <t>DATA4 DC07</t>
        </is>
      </c>
      <c r="G3501" t="inlineStr">
        <is>
          <t>GVL</t>
        </is>
      </c>
      <c r="H3501" t="inlineStr">
        <is>
          <t>BYPASS</t>
        </is>
      </c>
      <c r="J3501" t="inlineStr">
        <is>
          <t>MATRION</t>
        </is>
      </c>
      <c r="K3501" t="inlineStr">
        <is>
          <t>CUIVRE</t>
        </is>
      </c>
      <c r="L3501">
        <f>_xlfn.XLOOKUP(Tableau1[[#This Row],[TYPE DE PIECE]],Tableau4[MATIERE],Tableau4[SHORT TYPE],"",0,1)</f>
        <v/>
      </c>
      <c r="N3501">
        <f>IF(ISERR(FIND("DECOUPE",Tableau1[[#This Row],[DESIGNATION]])),"","NEED REF")</f>
        <v/>
      </c>
    </row>
    <row r="3502">
      <c r="B3502" t="n">
        <v>34410503</v>
      </c>
      <c r="C3502" s="2" t="n">
        <v>44662</v>
      </c>
      <c r="D3502" t="inlineStr">
        <is>
          <t>SPEC</t>
        </is>
      </c>
      <c r="E3502" t="inlineStr">
        <is>
          <t>SMT SUPPORT LAT L1000 BIRDY</t>
        </is>
      </c>
      <c r="F3502" t="inlineStr">
        <is>
          <t>DATA4 DC07</t>
        </is>
      </c>
      <c r="G3502" t="inlineStr">
        <is>
          <t>GVL</t>
        </is>
      </c>
      <c r="H3502" t="inlineStr">
        <is>
          <t>BYPASS</t>
        </is>
      </c>
      <c r="J3502" t="inlineStr">
        <is>
          <t>MATRION</t>
        </is>
      </c>
      <c r="K3502" t="inlineStr">
        <is>
          <t>METAL</t>
        </is>
      </c>
      <c r="L3502">
        <f>_xlfn.XLOOKUP(Tableau1[[#This Row],[TYPE DE PIECE]],Tableau4[MATIERE],Tableau4[SHORT TYPE],"",0,1)</f>
        <v/>
      </c>
      <c r="M3502" t="inlineStr">
        <is>
          <t>SUPPORT MTZ</t>
        </is>
      </c>
      <c r="N3502">
        <f>IF(ISERR(FIND("DECOUPE",Tableau1[[#This Row],[DESIGNATION]])),"","NEED REF")</f>
        <v/>
      </c>
    </row>
    <row r="3503">
      <c r="B3503" t="n">
        <v>34410502</v>
      </c>
      <c r="C3503" s="2" t="n">
        <v>44658</v>
      </c>
      <c r="D3503" t="inlineStr">
        <is>
          <t>SPEC</t>
        </is>
      </c>
      <c r="E3503" t="inlineStr">
        <is>
          <t>SMT COUPE LINERGY LVS04510 L2&amp;L3</t>
        </is>
      </c>
      <c r="F3503" t="inlineStr">
        <is>
          <t>DATA4 DC07</t>
        </is>
      </c>
      <c r="G3503" t="inlineStr">
        <is>
          <t>GVL</t>
        </is>
      </c>
      <c r="H3503" t="inlineStr">
        <is>
          <t>BYPASS</t>
        </is>
      </c>
      <c r="J3503" t="inlineStr">
        <is>
          <t>MATRION</t>
        </is>
      </c>
      <c r="K3503" t="inlineStr">
        <is>
          <t>METAL</t>
        </is>
      </c>
      <c r="L3503">
        <f>_xlfn.XLOOKUP(Tableau1[[#This Row],[TYPE DE PIECE]],Tableau4[MATIERE],Tableau4[SHORT TYPE],"",0,1)</f>
        <v/>
      </c>
      <c r="N3503">
        <f>IF(ISERR(FIND("DECOUPE",Tableau1[[#This Row],[DESIGNATION]])),"","NEED REF")</f>
        <v/>
      </c>
    </row>
    <row r="3504">
      <c r="B3504" t="n">
        <v>34410501</v>
      </c>
      <c r="C3504" s="2" t="n">
        <v>44658</v>
      </c>
      <c r="D3504" t="inlineStr">
        <is>
          <t>SPEC</t>
        </is>
      </c>
      <c r="E3504" t="inlineStr">
        <is>
          <t>SMT COUPE LINERGY LVS04510 N&amp;L1</t>
        </is>
      </c>
      <c r="F3504" t="inlineStr">
        <is>
          <t>DATA4 DC07</t>
        </is>
      </c>
      <c r="G3504" t="inlineStr">
        <is>
          <t>GVL</t>
        </is>
      </c>
      <c r="H3504" t="inlineStr">
        <is>
          <t>BYPASS</t>
        </is>
      </c>
      <c r="J3504" t="inlineStr">
        <is>
          <t>MATRION</t>
        </is>
      </c>
      <c r="K3504" t="inlineStr">
        <is>
          <t>METAL</t>
        </is>
      </c>
      <c r="L3504">
        <f>_xlfn.XLOOKUP(Tableau1[[#This Row],[TYPE DE PIECE]],Tableau4[MATIERE],Tableau4[SHORT TYPE],"",0,1)</f>
        <v/>
      </c>
      <c r="N3504">
        <f>IF(ISERR(FIND("DECOUPE",Tableau1[[#This Row],[DESIGNATION]])),"","NEED REF")</f>
        <v/>
      </c>
    </row>
    <row r="3505">
      <c r="B3505" t="n">
        <v>34410500</v>
      </c>
      <c r="C3505" s="2" t="n">
        <v>44658</v>
      </c>
      <c r="D3505" t="inlineStr">
        <is>
          <t>SPEC</t>
        </is>
      </c>
      <c r="E3505" t="inlineStr">
        <is>
          <t>SMT SUPPORT LINERGY BAS</t>
        </is>
      </c>
      <c r="F3505" t="inlineStr">
        <is>
          <t>DATA4 DC07</t>
        </is>
      </c>
      <c r="G3505" t="inlineStr">
        <is>
          <t>GVL</t>
        </is>
      </c>
      <c r="H3505" t="inlineStr">
        <is>
          <t>BYPASS</t>
        </is>
      </c>
      <c r="J3505" t="inlineStr">
        <is>
          <t>MATRION</t>
        </is>
      </c>
      <c r="K3505" t="inlineStr">
        <is>
          <t>METAL</t>
        </is>
      </c>
      <c r="L3505">
        <f>_xlfn.XLOOKUP(Tableau1[[#This Row],[TYPE DE PIECE]],Tableau4[MATIERE],Tableau4[SHORT TYPE],"",0,1)</f>
        <v/>
      </c>
      <c r="N3505">
        <f>IF(ISERR(FIND("DECOUPE",Tableau1[[#This Row],[DESIGNATION]])),"","NEED REF")</f>
        <v/>
      </c>
    </row>
    <row r="3506">
      <c r="B3506" t="n">
        <v>34410499</v>
      </c>
      <c r="C3506" s="2" t="n">
        <v>44658</v>
      </c>
      <c r="D3506" t="inlineStr">
        <is>
          <t>SPEC</t>
        </is>
      </c>
      <c r="F3506" t="inlineStr">
        <is>
          <t>DATA4 DC07</t>
        </is>
      </c>
      <c r="G3506" t="inlineStr">
        <is>
          <t>GVL</t>
        </is>
      </c>
      <c r="H3506" t="inlineStr">
        <is>
          <t>BYPASS</t>
        </is>
      </c>
      <c r="J3506" t="inlineStr">
        <is>
          <t>MATRION</t>
        </is>
      </c>
      <c r="K3506" t="inlineStr">
        <is>
          <t>CUIVRE</t>
        </is>
      </c>
      <c r="L3506">
        <f>_xlfn.XLOOKUP(Tableau1[[#This Row],[TYPE DE PIECE]],Tableau4[MATIERE],Tableau4[SHORT TYPE],"",0,1)</f>
        <v/>
      </c>
      <c r="N3506">
        <f>IF(ISERR(FIND("DECOUPE",Tableau1[[#This Row],[DESIGNATION]])),"","NEED REF")</f>
        <v/>
      </c>
    </row>
    <row r="3507">
      <c r="B3507" t="n">
        <v>34410498</v>
      </c>
      <c r="C3507" s="2" t="n">
        <v>44658</v>
      </c>
      <c r="D3507" t="inlineStr">
        <is>
          <t>SPEC</t>
        </is>
      </c>
      <c r="F3507" t="inlineStr">
        <is>
          <t>DATA4 DC07</t>
        </is>
      </c>
      <c r="G3507" t="inlineStr">
        <is>
          <t>GVL</t>
        </is>
      </c>
      <c r="H3507" t="inlineStr">
        <is>
          <t>BYPASS</t>
        </is>
      </c>
      <c r="J3507" t="inlineStr">
        <is>
          <t>MATRION</t>
        </is>
      </c>
      <c r="K3507" t="inlineStr">
        <is>
          <t>CUIVRE</t>
        </is>
      </c>
      <c r="L3507">
        <f>_xlfn.XLOOKUP(Tableau1[[#This Row],[TYPE DE PIECE]],Tableau4[MATIERE],Tableau4[SHORT TYPE],"",0,1)</f>
        <v/>
      </c>
      <c r="N3507">
        <f>IF(ISERR(FIND("DECOUPE",Tableau1[[#This Row],[DESIGNATION]])),"","NEED REF")</f>
        <v/>
      </c>
    </row>
    <row r="3508">
      <c r="B3508" t="n">
        <v>34410497</v>
      </c>
      <c r="C3508" s="2" t="n">
        <v>44658</v>
      </c>
      <c r="D3508" t="inlineStr">
        <is>
          <t>SPEC</t>
        </is>
      </c>
      <c r="F3508" t="inlineStr">
        <is>
          <t>DATA4 DC07</t>
        </is>
      </c>
      <c r="G3508" t="inlineStr">
        <is>
          <t>GVL</t>
        </is>
      </c>
      <c r="H3508" t="inlineStr">
        <is>
          <t>BYPASS</t>
        </is>
      </c>
      <c r="J3508" t="inlineStr">
        <is>
          <t>MATRION</t>
        </is>
      </c>
      <c r="K3508" t="inlineStr">
        <is>
          <t>CUIVRE</t>
        </is>
      </c>
      <c r="L3508">
        <f>_xlfn.XLOOKUP(Tableau1[[#This Row],[TYPE DE PIECE]],Tableau4[MATIERE],Tableau4[SHORT TYPE],"",0,1)</f>
        <v/>
      </c>
      <c r="N3508">
        <f>IF(ISERR(FIND("DECOUPE",Tableau1[[#This Row],[DESIGNATION]])),"","NEED REF")</f>
        <v/>
      </c>
    </row>
    <row r="3509">
      <c r="B3509" t="n">
        <v>34410496</v>
      </c>
      <c r="C3509" s="2" t="n">
        <v>44658</v>
      </c>
      <c r="D3509" t="inlineStr">
        <is>
          <t>SPEC</t>
        </is>
      </c>
      <c r="F3509" t="inlineStr">
        <is>
          <t>DATA4 DC07</t>
        </is>
      </c>
      <c r="G3509" t="inlineStr">
        <is>
          <t>GVL</t>
        </is>
      </c>
      <c r="H3509" t="inlineStr">
        <is>
          <t>BYPASS</t>
        </is>
      </c>
      <c r="J3509" t="inlineStr">
        <is>
          <t>MATRION</t>
        </is>
      </c>
      <c r="K3509" t="inlineStr">
        <is>
          <t>CUIVRE</t>
        </is>
      </c>
      <c r="L3509">
        <f>_xlfn.XLOOKUP(Tableau1[[#This Row],[TYPE DE PIECE]],Tableau4[MATIERE],Tableau4[SHORT TYPE],"",0,1)</f>
        <v/>
      </c>
      <c r="N3509">
        <f>IF(ISERR(FIND("DECOUPE",Tableau1[[#This Row],[DESIGNATION]])),"","NEED REF")</f>
        <v/>
      </c>
    </row>
    <row r="3510">
      <c r="B3510" t="n">
        <v>34410495</v>
      </c>
      <c r="C3510" s="2" t="n">
        <v>44658</v>
      </c>
      <c r="D3510" t="inlineStr">
        <is>
          <t>SPEC</t>
        </is>
      </c>
      <c r="F3510" t="inlineStr">
        <is>
          <t>DATA4 DC07</t>
        </is>
      </c>
      <c r="G3510" t="inlineStr">
        <is>
          <t>GVL</t>
        </is>
      </c>
      <c r="H3510" t="inlineStr">
        <is>
          <t>BYPASS</t>
        </is>
      </c>
      <c r="J3510" t="inlineStr">
        <is>
          <t>MATRION</t>
        </is>
      </c>
      <c r="K3510" t="inlineStr">
        <is>
          <t>CUIVRE</t>
        </is>
      </c>
      <c r="L3510">
        <f>_xlfn.XLOOKUP(Tableau1[[#This Row],[TYPE DE PIECE]],Tableau4[MATIERE],Tableau4[SHORT TYPE],"",0,1)</f>
        <v/>
      </c>
      <c r="N3510">
        <f>IF(ISERR(FIND("DECOUPE",Tableau1[[#This Row],[DESIGNATION]])),"","NEED REF")</f>
        <v/>
      </c>
    </row>
    <row r="3511">
      <c r="B3511" t="n">
        <v>34410494</v>
      </c>
      <c r="C3511" s="2" t="n">
        <v>44658</v>
      </c>
      <c r="D3511" t="inlineStr">
        <is>
          <t>SPEC</t>
        </is>
      </c>
      <c r="F3511" t="inlineStr">
        <is>
          <t>DATA4 DC07</t>
        </is>
      </c>
      <c r="G3511" t="inlineStr">
        <is>
          <t>GVL</t>
        </is>
      </c>
      <c r="H3511" t="inlineStr">
        <is>
          <t>BYPASS</t>
        </is>
      </c>
      <c r="J3511" t="inlineStr">
        <is>
          <t>MATRION</t>
        </is>
      </c>
      <c r="K3511" t="inlineStr">
        <is>
          <t>CUIVRE</t>
        </is>
      </c>
      <c r="L3511">
        <f>_xlfn.XLOOKUP(Tableau1[[#This Row],[TYPE DE PIECE]],Tableau4[MATIERE],Tableau4[SHORT TYPE],"",0,1)</f>
        <v/>
      </c>
      <c r="N3511">
        <f>IF(ISERR(FIND("DECOUPE",Tableau1[[#This Row],[DESIGNATION]])),"","NEED REF")</f>
        <v/>
      </c>
    </row>
    <row r="3512">
      <c r="B3512" t="n">
        <v>34410493</v>
      </c>
      <c r="C3512" s="2" t="n">
        <v>44658</v>
      </c>
      <c r="D3512" t="inlineStr">
        <is>
          <t>SPEC</t>
        </is>
      </c>
      <c r="F3512" t="inlineStr">
        <is>
          <t>DATA4 DC07</t>
        </is>
      </c>
      <c r="G3512" t="inlineStr">
        <is>
          <t>GVL</t>
        </is>
      </c>
      <c r="H3512" t="inlineStr">
        <is>
          <t>BYPASS</t>
        </is>
      </c>
      <c r="J3512" t="inlineStr">
        <is>
          <t>MATRION</t>
        </is>
      </c>
      <c r="K3512" t="inlineStr">
        <is>
          <t>CUIVRE</t>
        </is>
      </c>
      <c r="L3512">
        <f>_xlfn.XLOOKUP(Tableau1[[#This Row],[TYPE DE PIECE]],Tableau4[MATIERE],Tableau4[SHORT TYPE],"",0,1)</f>
        <v/>
      </c>
      <c r="N3512">
        <f>IF(ISERR(FIND("DECOUPE",Tableau1[[#This Row],[DESIGNATION]])),"","NEED REF")</f>
        <v/>
      </c>
    </row>
    <row r="3513">
      <c r="B3513" t="n">
        <v>34410492</v>
      </c>
      <c r="C3513" s="2" t="n">
        <v>44657</v>
      </c>
      <c r="D3513" t="inlineStr">
        <is>
          <t>SPEC</t>
        </is>
      </c>
      <c r="F3513" t="inlineStr">
        <is>
          <t>DATA4 DC07</t>
        </is>
      </c>
      <c r="G3513" t="inlineStr">
        <is>
          <t>GVL</t>
        </is>
      </c>
      <c r="H3513" t="inlineStr">
        <is>
          <t>BYPASS</t>
        </is>
      </c>
      <c r="J3513" t="inlineStr">
        <is>
          <t>MATRION</t>
        </is>
      </c>
      <c r="K3513" t="inlineStr">
        <is>
          <t>CUIVRE</t>
        </is>
      </c>
      <c r="L3513">
        <f>_xlfn.XLOOKUP(Tableau1[[#This Row],[TYPE DE PIECE]],Tableau4[MATIERE],Tableau4[SHORT TYPE],"",0,1)</f>
        <v/>
      </c>
      <c r="N3513">
        <f>IF(ISERR(FIND("DECOUPE",Tableau1[[#This Row],[DESIGNATION]])),"","NEED REF")</f>
        <v/>
      </c>
    </row>
    <row r="3514">
      <c r="B3514" t="n">
        <v>34410491</v>
      </c>
      <c r="C3514" s="2" t="n">
        <v>44657</v>
      </c>
      <c r="D3514" t="inlineStr">
        <is>
          <t>SPEC</t>
        </is>
      </c>
      <c r="F3514" t="inlineStr">
        <is>
          <t>DATA4 DC07</t>
        </is>
      </c>
      <c r="G3514" t="inlineStr">
        <is>
          <t>GVL</t>
        </is>
      </c>
      <c r="H3514" t="inlineStr">
        <is>
          <t>BYPASS</t>
        </is>
      </c>
      <c r="J3514" t="inlineStr">
        <is>
          <t>MATRION</t>
        </is>
      </c>
      <c r="K3514" t="inlineStr">
        <is>
          <t>CUIVRE</t>
        </is>
      </c>
      <c r="L3514">
        <f>_xlfn.XLOOKUP(Tableau1[[#This Row],[TYPE DE PIECE]],Tableau4[MATIERE],Tableau4[SHORT TYPE],"",0,1)</f>
        <v/>
      </c>
      <c r="N3514">
        <f>IF(ISERR(FIND("DECOUPE",Tableau1[[#This Row],[DESIGNATION]])),"","NEED REF")</f>
        <v/>
      </c>
    </row>
    <row r="3515">
      <c r="B3515" t="n">
        <v>34410490</v>
      </c>
      <c r="C3515" s="2" t="n">
        <v>44657</v>
      </c>
      <c r="D3515" t="inlineStr">
        <is>
          <t>SPEC</t>
        </is>
      </c>
      <c r="F3515" t="inlineStr">
        <is>
          <t>DATA4 DC07</t>
        </is>
      </c>
      <c r="G3515" t="inlineStr">
        <is>
          <t>GVL</t>
        </is>
      </c>
      <c r="H3515" t="inlineStr">
        <is>
          <t>BYPASS</t>
        </is>
      </c>
      <c r="J3515" t="inlineStr">
        <is>
          <t>MATRION</t>
        </is>
      </c>
      <c r="K3515" t="inlineStr">
        <is>
          <t>CUIVRE</t>
        </is>
      </c>
      <c r="L3515">
        <f>_xlfn.XLOOKUP(Tableau1[[#This Row],[TYPE DE PIECE]],Tableau4[MATIERE],Tableau4[SHORT TYPE],"",0,1)</f>
        <v/>
      </c>
      <c r="N3515">
        <f>IF(ISERR(FIND("DECOUPE",Tableau1[[#This Row],[DESIGNATION]])),"","NEED REF")</f>
        <v/>
      </c>
    </row>
    <row r="3516">
      <c r="B3516" t="n">
        <v>34410489</v>
      </c>
      <c r="C3516" s="2" t="n">
        <v>44657</v>
      </c>
      <c r="D3516" t="inlineStr">
        <is>
          <t>SPEC</t>
        </is>
      </c>
      <c r="F3516" t="inlineStr">
        <is>
          <t>DATA4 DC07</t>
        </is>
      </c>
      <c r="G3516" t="inlineStr">
        <is>
          <t>GVL</t>
        </is>
      </c>
      <c r="H3516" t="inlineStr">
        <is>
          <t>BYPASS</t>
        </is>
      </c>
      <c r="J3516" t="inlineStr">
        <is>
          <t>MATRION</t>
        </is>
      </c>
      <c r="K3516" t="inlineStr">
        <is>
          <t>CUIVRE</t>
        </is>
      </c>
      <c r="L3516">
        <f>_xlfn.XLOOKUP(Tableau1[[#This Row],[TYPE DE PIECE]],Tableau4[MATIERE],Tableau4[SHORT TYPE],"",0,1)</f>
        <v/>
      </c>
      <c r="N3516">
        <f>IF(ISERR(FIND("DECOUPE",Tableau1[[#This Row],[DESIGNATION]])),"","NEED REF")</f>
        <v/>
      </c>
    </row>
    <row r="3517">
      <c r="B3517" t="n">
        <v>34410488</v>
      </c>
      <c r="C3517" s="2" t="n">
        <v>44657</v>
      </c>
      <c r="D3517" t="inlineStr">
        <is>
          <t>SPEC</t>
        </is>
      </c>
      <c r="F3517" t="inlineStr">
        <is>
          <t>DATA4 DC07</t>
        </is>
      </c>
      <c r="G3517" t="inlineStr">
        <is>
          <t>GVL</t>
        </is>
      </c>
      <c r="H3517" t="inlineStr">
        <is>
          <t>BYPASS</t>
        </is>
      </c>
      <c r="J3517" t="inlineStr">
        <is>
          <t>MATRION</t>
        </is>
      </c>
      <c r="K3517" t="inlineStr">
        <is>
          <t>CUIVRE</t>
        </is>
      </c>
      <c r="L3517">
        <f>_xlfn.XLOOKUP(Tableau1[[#This Row],[TYPE DE PIECE]],Tableau4[MATIERE],Tableau4[SHORT TYPE],"",0,1)</f>
        <v/>
      </c>
      <c r="N3517">
        <f>IF(ISERR(FIND("DECOUPE",Tableau1[[#This Row],[DESIGNATION]])),"","NEED REF")</f>
        <v/>
      </c>
    </row>
    <row r="3518">
      <c r="B3518" t="n">
        <v>34410487</v>
      </c>
      <c r="C3518" s="2" t="n">
        <v>44657</v>
      </c>
      <c r="D3518" t="inlineStr">
        <is>
          <t>SPEC</t>
        </is>
      </c>
      <c r="F3518" t="inlineStr">
        <is>
          <t>DATA4 DC07</t>
        </is>
      </c>
      <c r="G3518" t="inlineStr">
        <is>
          <t>GVL</t>
        </is>
      </c>
      <c r="H3518" t="inlineStr">
        <is>
          <t>BYPASS</t>
        </is>
      </c>
      <c r="J3518" t="inlineStr">
        <is>
          <t>MATRION</t>
        </is>
      </c>
      <c r="K3518" t="inlineStr">
        <is>
          <t>CUIVRE</t>
        </is>
      </c>
      <c r="L3518">
        <f>_xlfn.XLOOKUP(Tableau1[[#This Row],[TYPE DE PIECE]],Tableau4[MATIERE],Tableau4[SHORT TYPE],"",0,1)</f>
        <v/>
      </c>
      <c r="N3518">
        <f>IF(ISERR(FIND("DECOUPE",Tableau1[[#This Row],[DESIGNATION]])),"","NEED REF")</f>
        <v/>
      </c>
    </row>
    <row r="3519">
      <c r="B3519" t="n">
        <v>34410486</v>
      </c>
      <c r="C3519" s="2" t="n">
        <v>44657</v>
      </c>
      <c r="D3519" t="inlineStr">
        <is>
          <t>SPEC</t>
        </is>
      </c>
      <c r="F3519" t="inlineStr">
        <is>
          <t>DATA4 DC07</t>
        </is>
      </c>
      <c r="G3519" t="inlineStr">
        <is>
          <t>GVL</t>
        </is>
      </c>
      <c r="H3519" t="inlineStr">
        <is>
          <t>BYPASS</t>
        </is>
      </c>
      <c r="J3519" t="inlineStr">
        <is>
          <t>MATRION</t>
        </is>
      </c>
      <c r="K3519" t="inlineStr">
        <is>
          <t>CUIVRE</t>
        </is>
      </c>
      <c r="L3519">
        <f>_xlfn.XLOOKUP(Tableau1[[#This Row],[TYPE DE PIECE]],Tableau4[MATIERE],Tableau4[SHORT TYPE],"",0,1)</f>
        <v/>
      </c>
      <c r="N3519">
        <f>IF(ISERR(FIND("DECOUPE",Tableau1[[#This Row],[DESIGNATION]])),"","NEED REF")</f>
        <v/>
      </c>
    </row>
    <row r="3520">
      <c r="B3520" t="n">
        <v>34410485</v>
      </c>
      <c r="C3520" s="2" t="n">
        <v>44656</v>
      </c>
      <c r="D3520" t="inlineStr">
        <is>
          <t>SPEC</t>
        </is>
      </c>
      <c r="E3520" t="inlineStr">
        <is>
          <t>COP NEUTRAL LINK</t>
        </is>
      </c>
      <c r="F3520" t="inlineStr">
        <is>
          <t>DATA4 DC07</t>
        </is>
      </c>
      <c r="G3520" t="inlineStr">
        <is>
          <t>GVL</t>
        </is>
      </c>
      <c r="H3520" t="inlineStr">
        <is>
          <t>BYPASS</t>
        </is>
      </c>
      <c r="J3520" t="inlineStr">
        <is>
          <t>MATRION</t>
        </is>
      </c>
      <c r="K3520" t="inlineStr">
        <is>
          <t>CUIVRE</t>
        </is>
      </c>
      <c r="L3520">
        <f>_xlfn.XLOOKUP(Tableau1[[#This Row],[TYPE DE PIECE]],Tableau4[MATIERE],Tableau4[SHORT TYPE],"",0,1)</f>
        <v/>
      </c>
      <c r="N3520">
        <f>IF(ISERR(FIND("DECOUPE",Tableau1[[#This Row],[DESIGNATION]])),"","NEED REF")</f>
        <v/>
      </c>
    </row>
    <row r="3521">
      <c r="B3521" t="n">
        <v>34410484</v>
      </c>
      <c r="C3521" s="2" t="n">
        <v>44656</v>
      </c>
      <c r="D3521" t="inlineStr">
        <is>
          <t>SPEC</t>
        </is>
      </c>
      <c r="F3521" t="inlineStr">
        <is>
          <t>DATA4 DC07</t>
        </is>
      </c>
      <c r="G3521" t="inlineStr">
        <is>
          <t>GVL</t>
        </is>
      </c>
      <c r="H3521" t="inlineStr">
        <is>
          <t>BYPASS</t>
        </is>
      </c>
      <c r="J3521" t="inlineStr">
        <is>
          <t>MATRION</t>
        </is>
      </c>
      <c r="K3521" t="inlineStr">
        <is>
          <t>CUIVRE</t>
        </is>
      </c>
      <c r="L3521">
        <f>_xlfn.XLOOKUP(Tableau1[[#This Row],[TYPE DE PIECE]],Tableau4[MATIERE],Tableau4[SHORT TYPE],"",0,1)</f>
        <v/>
      </c>
      <c r="N3521">
        <f>IF(ISERR(FIND("DECOUPE",Tableau1[[#This Row],[DESIGNATION]])),"","NEED REF")</f>
        <v/>
      </c>
    </row>
    <row r="3522">
      <c r="B3522" t="n">
        <v>34410483</v>
      </c>
      <c r="C3522" s="2" t="n">
        <v>44656</v>
      </c>
      <c r="D3522" t="inlineStr">
        <is>
          <t>SPEC</t>
        </is>
      </c>
      <c r="F3522" t="inlineStr">
        <is>
          <t>DATA4 DC07</t>
        </is>
      </c>
      <c r="G3522" t="inlineStr">
        <is>
          <t>GVL</t>
        </is>
      </c>
      <c r="H3522" t="inlineStr">
        <is>
          <t>BYPASS</t>
        </is>
      </c>
      <c r="J3522" t="inlineStr">
        <is>
          <t>MATRION</t>
        </is>
      </c>
      <c r="K3522" t="inlineStr">
        <is>
          <t>CUIVRE</t>
        </is>
      </c>
      <c r="L3522">
        <f>_xlfn.XLOOKUP(Tableau1[[#This Row],[TYPE DE PIECE]],Tableau4[MATIERE],Tableau4[SHORT TYPE],"",0,1)</f>
        <v/>
      </c>
      <c r="N3522">
        <f>IF(ISERR(FIND("DECOUPE",Tableau1[[#This Row],[DESIGNATION]])),"","NEED REF")</f>
        <v/>
      </c>
    </row>
    <row r="3523">
      <c r="B3523" t="n">
        <v>34410482</v>
      </c>
      <c r="C3523" s="2" t="n">
        <v>44656</v>
      </c>
      <c r="D3523" t="inlineStr">
        <is>
          <t>SPEC</t>
        </is>
      </c>
      <c r="F3523" t="inlineStr">
        <is>
          <t>DATA4 DC07</t>
        </is>
      </c>
      <c r="G3523" t="inlineStr">
        <is>
          <t>GVL</t>
        </is>
      </c>
      <c r="H3523" t="inlineStr">
        <is>
          <t>BYPASS</t>
        </is>
      </c>
      <c r="J3523" t="inlineStr">
        <is>
          <t>MATRION</t>
        </is>
      </c>
      <c r="K3523" t="inlineStr">
        <is>
          <t>CUIVRE</t>
        </is>
      </c>
      <c r="L3523">
        <f>_xlfn.XLOOKUP(Tableau1[[#This Row],[TYPE DE PIECE]],Tableau4[MATIERE],Tableau4[SHORT TYPE],"",0,1)</f>
        <v/>
      </c>
      <c r="N3523">
        <f>IF(ISERR(FIND("DECOUPE",Tableau1[[#This Row],[DESIGNATION]])),"","NEED REF")</f>
        <v/>
      </c>
    </row>
    <row r="3524">
      <c r="B3524" t="n">
        <v>34410481</v>
      </c>
      <c r="C3524" s="2" t="n">
        <v>44656</v>
      </c>
      <c r="D3524" t="inlineStr">
        <is>
          <t>SPEC</t>
        </is>
      </c>
      <c r="F3524" t="inlineStr">
        <is>
          <t>DATA4 DC07</t>
        </is>
      </c>
      <c r="G3524" t="inlineStr">
        <is>
          <t>GVL</t>
        </is>
      </c>
      <c r="H3524" t="inlineStr">
        <is>
          <t>BYPASS</t>
        </is>
      </c>
      <c r="J3524" t="inlineStr">
        <is>
          <t>MATRION</t>
        </is>
      </c>
      <c r="K3524" t="inlineStr">
        <is>
          <t>CUIVRE</t>
        </is>
      </c>
      <c r="L3524">
        <f>_xlfn.XLOOKUP(Tableau1[[#This Row],[TYPE DE PIECE]],Tableau4[MATIERE],Tableau4[SHORT TYPE],"",0,1)</f>
        <v/>
      </c>
      <c r="N3524">
        <f>IF(ISERR(FIND("DECOUPE",Tableau1[[#This Row],[DESIGNATION]])),"","NEED REF")</f>
        <v/>
      </c>
    </row>
    <row r="3525">
      <c r="B3525" t="n">
        <v>34410480</v>
      </c>
      <c r="C3525" s="2" t="n">
        <v>44656</v>
      </c>
      <c r="D3525" t="inlineStr">
        <is>
          <t>SPEC</t>
        </is>
      </c>
      <c r="F3525" t="inlineStr">
        <is>
          <t>DATA4 DC07</t>
        </is>
      </c>
      <c r="G3525" t="inlineStr">
        <is>
          <t>GVL</t>
        </is>
      </c>
      <c r="H3525" t="inlineStr">
        <is>
          <t>BYPASS</t>
        </is>
      </c>
      <c r="J3525" t="inlineStr">
        <is>
          <t>MATRION</t>
        </is>
      </c>
      <c r="K3525" t="inlineStr">
        <is>
          <t>CUIVRE</t>
        </is>
      </c>
      <c r="L3525">
        <f>_xlfn.XLOOKUP(Tableau1[[#This Row],[TYPE DE PIECE]],Tableau4[MATIERE],Tableau4[SHORT TYPE],"",0,1)</f>
        <v/>
      </c>
      <c r="N3525">
        <f>IF(ISERR(FIND("DECOUPE",Tableau1[[#This Row],[DESIGNATION]])),"","NEED REF")</f>
        <v/>
      </c>
    </row>
    <row r="3526">
      <c r="B3526" t="n">
        <v>34410479</v>
      </c>
      <c r="C3526" s="2" t="n">
        <v>44656</v>
      </c>
      <c r="D3526" t="inlineStr">
        <is>
          <t>SPEC</t>
        </is>
      </c>
      <c r="F3526" t="inlineStr">
        <is>
          <t>DATA4 DC07</t>
        </is>
      </c>
      <c r="G3526" t="inlineStr">
        <is>
          <t>GVL</t>
        </is>
      </c>
      <c r="H3526" t="inlineStr">
        <is>
          <t>BYPASS</t>
        </is>
      </c>
      <c r="J3526" t="inlineStr">
        <is>
          <t>MATRION</t>
        </is>
      </c>
      <c r="K3526" t="inlineStr">
        <is>
          <t>CUIVRE</t>
        </is>
      </c>
      <c r="L3526">
        <f>_xlfn.XLOOKUP(Tableau1[[#This Row],[TYPE DE PIECE]],Tableau4[MATIERE],Tableau4[SHORT TYPE],"",0,1)</f>
        <v/>
      </c>
      <c r="N3526">
        <f>IF(ISERR(FIND("DECOUPE",Tableau1[[#This Row],[DESIGNATION]])),"","NEED REF")</f>
        <v/>
      </c>
    </row>
    <row r="3527">
      <c r="B3527" t="n">
        <v>34410478</v>
      </c>
      <c r="C3527" s="2" t="n">
        <v>44656</v>
      </c>
      <c r="D3527" t="inlineStr">
        <is>
          <t>SPEC</t>
        </is>
      </c>
      <c r="F3527" t="inlineStr">
        <is>
          <t>DATA4 DC07</t>
        </is>
      </c>
      <c r="G3527" t="inlineStr">
        <is>
          <t>GVL</t>
        </is>
      </c>
      <c r="H3527" t="inlineStr">
        <is>
          <t>BYPASS</t>
        </is>
      </c>
      <c r="J3527" t="inlineStr">
        <is>
          <t>MATRION</t>
        </is>
      </c>
      <c r="K3527" t="inlineStr">
        <is>
          <t>CUIVRE</t>
        </is>
      </c>
      <c r="L3527">
        <f>_xlfn.XLOOKUP(Tableau1[[#This Row],[TYPE DE PIECE]],Tableau4[MATIERE],Tableau4[SHORT TYPE],"",0,1)</f>
        <v/>
      </c>
      <c r="N3527">
        <f>IF(ISERR(FIND("DECOUPE",Tableau1[[#This Row],[DESIGNATION]])),"","NEED REF")</f>
        <v/>
      </c>
    </row>
    <row r="3528">
      <c r="B3528" t="n">
        <v>34410477</v>
      </c>
      <c r="C3528" s="2" t="n">
        <v>44656</v>
      </c>
      <c r="D3528" t="inlineStr">
        <is>
          <t>SPEC</t>
        </is>
      </c>
      <c r="F3528" t="inlineStr">
        <is>
          <t>DATA4 DC07</t>
        </is>
      </c>
      <c r="G3528" t="inlineStr">
        <is>
          <t>GVL</t>
        </is>
      </c>
      <c r="H3528" t="inlineStr">
        <is>
          <t>BYPASS</t>
        </is>
      </c>
      <c r="J3528" t="inlineStr">
        <is>
          <t>MATRION</t>
        </is>
      </c>
      <c r="K3528" t="inlineStr">
        <is>
          <t>CUIVRE</t>
        </is>
      </c>
      <c r="L3528">
        <f>_xlfn.XLOOKUP(Tableau1[[#This Row],[TYPE DE PIECE]],Tableau4[MATIERE],Tableau4[SHORT TYPE],"",0,1)</f>
        <v/>
      </c>
      <c r="N3528">
        <f>IF(ISERR(FIND("DECOUPE",Tableau1[[#This Row],[DESIGNATION]])),"","NEED REF")</f>
        <v/>
      </c>
    </row>
    <row r="3529">
      <c r="B3529" t="n">
        <v>34410476</v>
      </c>
      <c r="C3529" s="2" t="n">
        <v>44656</v>
      </c>
      <c r="D3529" t="inlineStr">
        <is>
          <t>SPEC</t>
        </is>
      </c>
      <c r="E3529" t="inlineStr">
        <is>
          <t>COP CX DC 100x10 + GAINE THERO issue de 34410450</t>
        </is>
      </c>
      <c r="J3529" t="inlineStr">
        <is>
          <t>MATRION</t>
        </is>
      </c>
      <c r="K3529" t="inlineStr">
        <is>
          <t>CUIVRE</t>
        </is>
      </c>
      <c r="L3529">
        <f>_xlfn.XLOOKUP(Tableau1[[#This Row],[TYPE DE PIECE]],Tableau4[MATIERE],Tableau4[SHORT TYPE],"",0,1)</f>
        <v/>
      </c>
      <c r="N3529">
        <f>IF(ISERR(FIND("DECOUPE",Tableau1[[#This Row],[DESIGNATION]])),"","NEED REF")</f>
        <v/>
      </c>
    </row>
    <row r="3530">
      <c r="B3530" t="n">
        <v>34410475</v>
      </c>
      <c r="C3530" s="2" t="n">
        <v>44656</v>
      </c>
      <c r="D3530" t="inlineStr">
        <is>
          <t>SPEC</t>
        </is>
      </c>
      <c r="F3530" t="inlineStr">
        <is>
          <t>DATA4 DC07</t>
        </is>
      </c>
      <c r="G3530" t="inlineStr">
        <is>
          <t>GVL</t>
        </is>
      </c>
      <c r="H3530" t="inlineStr">
        <is>
          <t>BYPASS</t>
        </is>
      </c>
      <c r="J3530" t="inlineStr">
        <is>
          <t>MATRION</t>
        </is>
      </c>
      <c r="K3530" t="inlineStr">
        <is>
          <t>CUIVRE</t>
        </is>
      </c>
      <c r="L3530">
        <f>_xlfn.XLOOKUP(Tableau1[[#This Row],[TYPE DE PIECE]],Tableau4[MATIERE],Tableau4[SHORT TYPE],"",0,1)</f>
        <v/>
      </c>
      <c r="N3530">
        <f>IF(ISERR(FIND("DECOUPE",Tableau1[[#This Row],[DESIGNATION]])),"","NEED REF")</f>
        <v/>
      </c>
    </row>
    <row r="3531">
      <c r="B3531" t="n">
        <v>34410474</v>
      </c>
      <c r="C3531" s="2" t="n">
        <v>44656</v>
      </c>
      <c r="D3531" t="inlineStr">
        <is>
          <t>SPEC</t>
        </is>
      </c>
      <c r="F3531" t="inlineStr">
        <is>
          <t>DATA4 DC07</t>
        </is>
      </c>
      <c r="G3531" t="inlineStr">
        <is>
          <t>GVL</t>
        </is>
      </c>
      <c r="H3531" t="inlineStr">
        <is>
          <t>BYPASS</t>
        </is>
      </c>
      <c r="J3531" t="inlineStr">
        <is>
          <t>MATRION</t>
        </is>
      </c>
      <c r="K3531" t="inlineStr">
        <is>
          <t>CUIVRE</t>
        </is>
      </c>
      <c r="L3531">
        <f>_xlfn.XLOOKUP(Tableau1[[#This Row],[TYPE DE PIECE]],Tableau4[MATIERE],Tableau4[SHORT TYPE],"",0,1)</f>
        <v/>
      </c>
      <c r="N3531">
        <f>IF(ISERR(FIND("DECOUPE",Tableau1[[#This Row],[DESIGNATION]])),"","NEED REF")</f>
        <v/>
      </c>
    </row>
    <row r="3532">
      <c r="B3532" t="n">
        <v>34410473</v>
      </c>
      <c r="C3532" s="2" t="n">
        <v>44656</v>
      </c>
      <c r="D3532" t="inlineStr">
        <is>
          <t>SPEC</t>
        </is>
      </c>
      <c r="F3532" t="inlineStr">
        <is>
          <t>DATA4 DC07</t>
        </is>
      </c>
      <c r="G3532" t="inlineStr">
        <is>
          <t>GVL</t>
        </is>
      </c>
      <c r="H3532" t="inlineStr">
        <is>
          <t>BYPASS</t>
        </is>
      </c>
      <c r="J3532" t="inlineStr">
        <is>
          <t>MATRION</t>
        </is>
      </c>
      <c r="K3532" t="inlineStr">
        <is>
          <t>CUIVRE</t>
        </is>
      </c>
      <c r="L3532">
        <f>_xlfn.XLOOKUP(Tableau1[[#This Row],[TYPE DE PIECE]],Tableau4[MATIERE],Tableau4[SHORT TYPE],"",0,1)</f>
        <v/>
      </c>
      <c r="N3532">
        <f>IF(ISERR(FIND("DECOUPE",Tableau1[[#This Row],[DESIGNATION]])),"","NEED REF")</f>
        <v/>
      </c>
    </row>
    <row r="3533">
      <c r="B3533" t="n">
        <v>34410472</v>
      </c>
      <c r="C3533" s="2" t="n">
        <v>44656</v>
      </c>
      <c r="D3533" t="inlineStr">
        <is>
          <t>SPEC</t>
        </is>
      </c>
      <c r="F3533" t="inlineStr">
        <is>
          <t>DATA4 DC07</t>
        </is>
      </c>
      <c r="G3533" t="inlineStr">
        <is>
          <t>GVL</t>
        </is>
      </c>
      <c r="H3533" t="inlineStr">
        <is>
          <t>BYPASS</t>
        </is>
      </c>
      <c r="J3533" t="inlineStr">
        <is>
          <t>MATRION</t>
        </is>
      </c>
      <c r="K3533" t="inlineStr">
        <is>
          <t>METAL</t>
        </is>
      </c>
      <c r="L3533">
        <f>_xlfn.XLOOKUP(Tableau1[[#This Row],[TYPE DE PIECE]],Tableau4[MATIERE],Tableau4[SHORT TYPE],"",0,1)</f>
        <v/>
      </c>
      <c r="N3533">
        <f>IF(ISERR(FIND("DECOUPE",Tableau1[[#This Row],[DESIGNATION]])),"","NEED REF")</f>
        <v/>
      </c>
    </row>
    <row r="3534">
      <c r="B3534" t="n">
        <v>34410471</v>
      </c>
      <c r="C3534" s="2" t="n">
        <v>44655</v>
      </c>
      <c r="D3534" t="inlineStr">
        <is>
          <t>SPEC</t>
        </is>
      </c>
      <c r="F3534" t="inlineStr">
        <is>
          <t>DATA4 DC07</t>
        </is>
      </c>
      <c r="G3534" t="inlineStr">
        <is>
          <t>GVL</t>
        </is>
      </c>
      <c r="H3534" t="inlineStr">
        <is>
          <t>BYPASS</t>
        </is>
      </c>
      <c r="J3534" t="inlineStr">
        <is>
          <t>MATRION</t>
        </is>
      </c>
      <c r="K3534" t="inlineStr">
        <is>
          <t>CUIVRE</t>
        </is>
      </c>
      <c r="L3534">
        <f>_xlfn.XLOOKUP(Tableau1[[#This Row],[TYPE DE PIECE]],Tableau4[MATIERE],Tableau4[SHORT TYPE],"",0,1)</f>
        <v/>
      </c>
      <c r="N3534">
        <f>IF(ISERR(FIND("DECOUPE",Tableau1[[#This Row],[DESIGNATION]])),"","NEED REF")</f>
        <v/>
      </c>
    </row>
    <row r="3535">
      <c r="B3535" t="n">
        <v>34410470</v>
      </c>
      <c r="C3535" s="2" t="n">
        <v>44655</v>
      </c>
      <c r="D3535" t="inlineStr">
        <is>
          <t>SPEC</t>
        </is>
      </c>
      <c r="F3535" t="inlineStr">
        <is>
          <t>DATA4 DC07</t>
        </is>
      </c>
      <c r="G3535" t="inlineStr">
        <is>
          <t>GVL</t>
        </is>
      </c>
      <c r="H3535" t="inlineStr">
        <is>
          <t>BYPASS</t>
        </is>
      </c>
      <c r="J3535" t="inlineStr">
        <is>
          <t>MATRION</t>
        </is>
      </c>
      <c r="K3535" t="inlineStr">
        <is>
          <t>CUIVRE</t>
        </is>
      </c>
      <c r="L3535">
        <f>_xlfn.XLOOKUP(Tableau1[[#This Row],[TYPE DE PIECE]],Tableau4[MATIERE],Tableau4[SHORT TYPE],"",0,1)</f>
        <v/>
      </c>
      <c r="N3535">
        <f>IF(ISERR(FIND("DECOUPE",Tableau1[[#This Row],[DESIGNATION]])),"","NEED REF")</f>
        <v/>
      </c>
    </row>
    <row r="3536">
      <c r="B3536" t="n">
        <v>34410469</v>
      </c>
      <c r="C3536" s="2" t="n">
        <v>44651</v>
      </c>
      <c r="D3536" t="inlineStr">
        <is>
          <t>SPEC</t>
        </is>
      </c>
      <c r="E3536" t="inlineStr">
        <is>
          <t>WIRE KIT FILERIE REGEN BOX 250A VENTILO</t>
        </is>
      </c>
      <c r="F3536" t="inlineStr">
        <is>
          <t>=S= POLOGNE</t>
        </is>
      </c>
      <c r="G3536" t="inlineStr">
        <is>
          <t>GVL</t>
        </is>
      </c>
      <c r="H3536" t="inlineStr">
        <is>
          <t>BYPASS</t>
        </is>
      </c>
      <c r="J3536" t="inlineStr">
        <is>
          <t>JAWORSKI</t>
        </is>
      </c>
      <c r="K3536" t="inlineStr">
        <is>
          <t>FILERIE</t>
        </is>
      </c>
      <c r="L3536">
        <f>_xlfn.XLOOKUP(Tableau1[[#This Row],[TYPE DE PIECE]],Tableau4[MATIERE],Tableau4[SHORT TYPE],"",0,1)</f>
        <v/>
      </c>
      <c r="N3536">
        <f>IF(ISERR(FIND("DECOUPE",Tableau1[[#This Row],[DESIGNATION]])),"","NEED REF")</f>
        <v/>
      </c>
    </row>
    <row r="3537">
      <c r="B3537" t="n">
        <v>34410468</v>
      </c>
      <c r="C3537" s="2" t="n">
        <v>44651</v>
      </c>
      <c r="D3537" t="inlineStr">
        <is>
          <t>SPEC</t>
        </is>
      </c>
      <c r="E3537" t="inlineStr">
        <is>
          <t>DECOUPE RAIL DIN</t>
        </is>
      </c>
      <c r="J3537" t="inlineStr">
        <is>
          <t>BERNARDEAU</t>
        </is>
      </c>
      <c r="K3537" t="inlineStr">
        <is>
          <t>ETO</t>
        </is>
      </c>
      <c r="L3537">
        <f>_xlfn.XLOOKUP(Tableau1[[#This Row],[TYPE DE PIECE]],Tableau4[MATIERE],Tableau4[SHORT TYPE],"",0,1)</f>
        <v/>
      </c>
      <c r="N3537">
        <f>IF(ISERR(FIND("DECOUPE",Tableau1[[#This Row],[DESIGNATION]])),"","NEED REF")</f>
        <v/>
      </c>
    </row>
    <row r="3538">
      <c r="B3538" t="n">
        <v>34410467</v>
      </c>
      <c r="C3538" s="2" t="n">
        <v>44651</v>
      </c>
      <c r="D3538" t="inlineStr">
        <is>
          <t>SPEC</t>
        </is>
      </c>
      <c r="E3538" t="inlineStr">
        <is>
          <t>WIRE KIT FILERIE REGEN BOX 250A AUXILIAIRE</t>
        </is>
      </c>
      <c r="F3538" t="inlineStr">
        <is>
          <t>=S= POLOGNE</t>
        </is>
      </c>
      <c r="G3538" t="inlineStr">
        <is>
          <t>E3S</t>
        </is>
      </c>
      <c r="H3538" t="inlineStr">
        <is>
          <t>BYPASS</t>
        </is>
      </c>
      <c r="J3538" t="inlineStr">
        <is>
          <t>JAWORSKI</t>
        </is>
      </c>
      <c r="K3538" t="inlineStr">
        <is>
          <t>FILERIE</t>
        </is>
      </c>
      <c r="L3538">
        <f>_xlfn.XLOOKUP(Tableau1[[#This Row],[TYPE DE PIECE]],Tableau4[MATIERE],Tableau4[SHORT TYPE],"",0,1)</f>
        <v/>
      </c>
      <c r="N3538">
        <f>IF(ISERR(FIND("DECOUPE",Tableau1[[#This Row],[DESIGNATION]])),"","NEED REF")</f>
        <v/>
      </c>
    </row>
    <row r="3539">
      <c r="B3539" t="n">
        <v>34410466</v>
      </c>
      <c r="C3539" s="2" t="n">
        <v>44650</v>
      </c>
      <c r="D3539" t="inlineStr">
        <is>
          <t>SPEC</t>
        </is>
      </c>
      <c r="F3539" t="inlineStr">
        <is>
          <t>DATA4 DC07</t>
        </is>
      </c>
      <c r="G3539" t="inlineStr">
        <is>
          <t>GVL</t>
        </is>
      </c>
      <c r="H3539" t="inlineStr">
        <is>
          <t>BYPASS</t>
        </is>
      </c>
      <c r="J3539" t="inlineStr">
        <is>
          <t>MATRION</t>
        </is>
      </c>
      <c r="K3539" t="inlineStr">
        <is>
          <t>CUIVRE</t>
        </is>
      </c>
      <c r="L3539">
        <f>_xlfn.XLOOKUP(Tableau1[[#This Row],[TYPE DE PIECE]],Tableau4[MATIERE],Tableau4[SHORT TYPE],"",0,1)</f>
        <v/>
      </c>
      <c r="N3539">
        <f>IF(ISERR(FIND("DECOUPE",Tableau1[[#This Row],[DESIGNATION]])),"","NEED REF")</f>
        <v/>
      </c>
    </row>
    <row r="3540">
      <c r="B3540" t="n">
        <v>34410465</v>
      </c>
      <c r="C3540" s="2" t="n">
        <v>44650</v>
      </c>
      <c r="D3540" t="inlineStr">
        <is>
          <t>SPEC</t>
        </is>
      </c>
      <c r="F3540" t="inlineStr">
        <is>
          <t>DATA4 DC07</t>
        </is>
      </c>
      <c r="G3540" t="inlineStr">
        <is>
          <t>GVL</t>
        </is>
      </c>
      <c r="H3540" t="inlineStr">
        <is>
          <t>BYPASS</t>
        </is>
      </c>
      <c r="J3540" t="inlineStr">
        <is>
          <t>MATRION</t>
        </is>
      </c>
      <c r="K3540" t="inlineStr">
        <is>
          <t>CUIVRE</t>
        </is>
      </c>
      <c r="L3540">
        <f>_xlfn.XLOOKUP(Tableau1[[#This Row],[TYPE DE PIECE]],Tableau4[MATIERE],Tableau4[SHORT TYPE],"",0,1)</f>
        <v/>
      </c>
      <c r="N3540">
        <f>IF(ISERR(FIND("DECOUPE",Tableau1[[#This Row],[DESIGNATION]])),"","NEED REF")</f>
        <v/>
      </c>
    </row>
    <row r="3541">
      <c r="B3541" t="n">
        <v>34410464</v>
      </c>
      <c r="C3541" s="2" t="n">
        <v>44650</v>
      </c>
      <c r="D3541" t="inlineStr">
        <is>
          <t>SPEC</t>
        </is>
      </c>
      <c r="F3541" t="inlineStr">
        <is>
          <t>DATA4 DC07</t>
        </is>
      </c>
      <c r="G3541" t="inlineStr">
        <is>
          <t>GVL</t>
        </is>
      </c>
      <c r="H3541" t="inlineStr">
        <is>
          <t>BYPASS</t>
        </is>
      </c>
      <c r="J3541" t="inlineStr">
        <is>
          <t>MATRION</t>
        </is>
      </c>
      <c r="K3541" t="inlineStr">
        <is>
          <t>CUIVRE</t>
        </is>
      </c>
      <c r="L3541">
        <f>_xlfn.XLOOKUP(Tableau1[[#This Row],[TYPE DE PIECE]],Tableau4[MATIERE],Tableau4[SHORT TYPE],"",0,1)</f>
        <v/>
      </c>
      <c r="N3541">
        <f>IF(ISERR(FIND("DECOUPE",Tableau1[[#This Row],[DESIGNATION]])),"","NEED REF")</f>
        <v/>
      </c>
    </row>
    <row r="3542">
      <c r="B3542" t="n">
        <v>34410463</v>
      </c>
      <c r="C3542" s="2" t="n">
        <v>44650</v>
      </c>
      <c r="D3542" t="inlineStr">
        <is>
          <t>SPEC</t>
        </is>
      </c>
      <c r="F3542" t="inlineStr">
        <is>
          <t>DATA4 DC07</t>
        </is>
      </c>
      <c r="G3542" t="inlineStr">
        <is>
          <t>GVL</t>
        </is>
      </c>
      <c r="H3542" t="inlineStr">
        <is>
          <t>BYPASS</t>
        </is>
      </c>
      <c r="J3542" t="inlineStr">
        <is>
          <t>MATRION</t>
        </is>
      </c>
      <c r="K3542" t="inlineStr">
        <is>
          <t>CUIVRE</t>
        </is>
      </c>
      <c r="L3542">
        <f>_xlfn.XLOOKUP(Tableau1[[#This Row],[TYPE DE PIECE]],Tableau4[MATIERE],Tableau4[SHORT TYPE],"",0,1)</f>
        <v/>
      </c>
      <c r="N3542">
        <f>IF(ISERR(FIND("DECOUPE",Tableau1[[#This Row],[DESIGNATION]])),"","NEED REF")</f>
        <v/>
      </c>
    </row>
    <row r="3543">
      <c r="B3543" t="n">
        <v>34410462</v>
      </c>
      <c r="C3543" s="2" t="n">
        <v>44650</v>
      </c>
      <c r="D3543" t="inlineStr">
        <is>
          <t>SPEC</t>
        </is>
      </c>
      <c r="F3543" t="inlineStr">
        <is>
          <t>DATA4 DC07</t>
        </is>
      </c>
      <c r="G3543" t="inlineStr">
        <is>
          <t>GVL</t>
        </is>
      </c>
      <c r="H3543" t="inlineStr">
        <is>
          <t>BYPASS</t>
        </is>
      </c>
      <c r="J3543" t="inlineStr">
        <is>
          <t>MATRION</t>
        </is>
      </c>
      <c r="K3543" t="inlineStr">
        <is>
          <t>CUIVRE</t>
        </is>
      </c>
      <c r="L3543">
        <f>_xlfn.XLOOKUP(Tableau1[[#This Row],[TYPE DE PIECE]],Tableau4[MATIERE],Tableau4[SHORT TYPE],"",0,1)</f>
        <v/>
      </c>
      <c r="N3543">
        <f>IF(ISERR(FIND("DECOUPE",Tableau1[[#This Row],[DESIGNATION]])),"","NEED REF")</f>
        <v/>
      </c>
    </row>
    <row r="3544">
      <c r="B3544" t="n">
        <v>34410461</v>
      </c>
      <c r="C3544" s="2" t="n">
        <v>44650</v>
      </c>
      <c r="D3544" t="inlineStr">
        <is>
          <t>SPEC</t>
        </is>
      </c>
      <c r="E3544" t="inlineStr">
        <is>
          <t>WIRE KIT FILERIE REGEN BOX 250A PUISSANCE</t>
        </is>
      </c>
      <c r="F3544" t="inlineStr">
        <is>
          <t>=S= POLOGNE</t>
        </is>
      </c>
      <c r="G3544" t="inlineStr">
        <is>
          <t>GVL</t>
        </is>
      </c>
      <c r="H3544" t="inlineStr">
        <is>
          <t>REGEN</t>
        </is>
      </c>
      <c r="J3544" t="inlineStr">
        <is>
          <t>JAWORSKI</t>
        </is>
      </c>
      <c r="K3544" t="inlineStr">
        <is>
          <t>FILERIE</t>
        </is>
      </c>
      <c r="L3544">
        <f>_xlfn.XLOOKUP(Tableau1[[#This Row],[TYPE DE PIECE]],Tableau4[MATIERE],Tableau4[SHORT TYPE],"",0,1)</f>
        <v/>
      </c>
      <c r="N3544">
        <f>IF(ISERR(FIND("DECOUPE",Tableau1[[#This Row],[DESIGNATION]])),"","NEED REF")</f>
        <v/>
      </c>
    </row>
    <row r="3545">
      <c r="B3545" t="n">
        <v>34410460</v>
      </c>
      <c r="C3545" s="2" t="n">
        <v>44649</v>
      </c>
      <c r="D3545" t="inlineStr">
        <is>
          <t>SPEC</t>
        </is>
      </c>
      <c r="F3545" t="inlineStr">
        <is>
          <t>DATA4 DC07</t>
        </is>
      </c>
      <c r="G3545" t="inlineStr">
        <is>
          <t>GVL</t>
        </is>
      </c>
      <c r="H3545" t="inlineStr">
        <is>
          <t>BYPASS</t>
        </is>
      </c>
      <c r="J3545" t="inlineStr">
        <is>
          <t>MATRION</t>
        </is>
      </c>
      <c r="K3545" t="inlineStr">
        <is>
          <t>CUIVRE</t>
        </is>
      </c>
      <c r="L3545">
        <f>_xlfn.XLOOKUP(Tableau1[[#This Row],[TYPE DE PIECE]],Tableau4[MATIERE],Tableau4[SHORT TYPE],"",0,1)</f>
        <v/>
      </c>
      <c r="N3545">
        <f>IF(ISERR(FIND("DECOUPE",Tableau1[[#This Row],[DESIGNATION]])),"","NEED REF")</f>
        <v/>
      </c>
    </row>
    <row r="3546">
      <c r="B3546" t="n">
        <v>34410459</v>
      </c>
      <c r="C3546" s="2" t="n">
        <v>44649</v>
      </c>
      <c r="D3546" t="inlineStr">
        <is>
          <t>SPEC</t>
        </is>
      </c>
      <c r="F3546" t="inlineStr">
        <is>
          <t>DATA4 DC07</t>
        </is>
      </c>
      <c r="G3546" t="inlineStr">
        <is>
          <t>GVL</t>
        </is>
      </c>
      <c r="H3546" t="inlineStr">
        <is>
          <t>BYPASS</t>
        </is>
      </c>
      <c r="J3546" t="inlineStr">
        <is>
          <t>MATRION</t>
        </is>
      </c>
      <c r="K3546" t="inlineStr">
        <is>
          <t>CUIVRE</t>
        </is>
      </c>
      <c r="L3546">
        <f>_xlfn.XLOOKUP(Tableau1[[#This Row],[TYPE DE PIECE]],Tableau4[MATIERE],Tableau4[SHORT TYPE],"",0,1)</f>
        <v/>
      </c>
      <c r="N3546">
        <f>IF(ISERR(FIND("DECOUPE",Tableau1[[#This Row],[DESIGNATION]])),"","NEED REF")</f>
        <v/>
      </c>
    </row>
    <row r="3547">
      <c r="B3547" t="n">
        <v>34410458</v>
      </c>
      <c r="C3547" s="2" t="n">
        <v>44649</v>
      </c>
      <c r="D3547" t="inlineStr">
        <is>
          <t>SPEC</t>
        </is>
      </c>
      <c r="F3547" t="inlineStr">
        <is>
          <t>DATA4 DC07</t>
        </is>
      </c>
      <c r="G3547" t="inlineStr">
        <is>
          <t>GVL</t>
        </is>
      </c>
      <c r="H3547" t="inlineStr">
        <is>
          <t>BYPASS</t>
        </is>
      </c>
      <c r="J3547" t="inlineStr">
        <is>
          <t>MATRION</t>
        </is>
      </c>
      <c r="K3547" t="inlineStr">
        <is>
          <t>CUIVRE</t>
        </is>
      </c>
      <c r="L3547">
        <f>_xlfn.XLOOKUP(Tableau1[[#This Row],[TYPE DE PIECE]],Tableau4[MATIERE],Tableau4[SHORT TYPE],"",0,1)</f>
        <v/>
      </c>
      <c r="N3547">
        <f>IF(ISERR(FIND("DECOUPE",Tableau1[[#This Row],[DESIGNATION]])),"","NEED REF")</f>
        <v/>
      </c>
    </row>
    <row r="3548">
      <c r="B3548" t="n">
        <v>34410457</v>
      </c>
      <c r="C3548" s="2" t="n">
        <v>44649</v>
      </c>
      <c r="D3548" t="inlineStr">
        <is>
          <t>SPEC</t>
        </is>
      </c>
      <c r="F3548" t="inlineStr">
        <is>
          <t>DATA4 DC07</t>
        </is>
      </c>
      <c r="G3548" t="inlineStr">
        <is>
          <t>GVL</t>
        </is>
      </c>
      <c r="H3548" t="inlineStr">
        <is>
          <t>BYPASS</t>
        </is>
      </c>
      <c r="J3548" t="inlineStr">
        <is>
          <t>MATRION</t>
        </is>
      </c>
      <c r="K3548" t="inlineStr">
        <is>
          <t>CUIVRE</t>
        </is>
      </c>
      <c r="L3548">
        <f>_xlfn.XLOOKUP(Tableau1[[#This Row],[TYPE DE PIECE]],Tableau4[MATIERE],Tableau4[SHORT TYPE],"",0,1)</f>
        <v/>
      </c>
      <c r="N3548">
        <f>IF(ISERR(FIND("DECOUPE",Tableau1[[#This Row],[DESIGNATION]])),"","NEED REF")</f>
        <v/>
      </c>
    </row>
    <row r="3549">
      <c r="B3549" t="n">
        <v>34410456</v>
      </c>
      <c r="C3549" s="2" t="n">
        <v>44648</v>
      </c>
      <c r="D3549" t="inlineStr">
        <is>
          <t>SPEC</t>
        </is>
      </c>
      <c r="E3549" t="inlineStr">
        <is>
          <t>SMT SUPPORT PLASTRON h340mm</t>
        </is>
      </c>
      <c r="F3549" t="inlineStr">
        <is>
          <t>BACK FEED</t>
        </is>
      </c>
      <c r="J3549" t="inlineStr">
        <is>
          <t>BERNARDEAU</t>
        </is>
      </c>
      <c r="K3549" t="inlineStr">
        <is>
          <t>METAL</t>
        </is>
      </c>
      <c r="L3549">
        <f>_xlfn.XLOOKUP(Tableau1[[#This Row],[TYPE DE PIECE]],Tableau4[MATIERE],Tableau4[SHORT TYPE],"",0,1)</f>
        <v/>
      </c>
      <c r="N3549">
        <f>IF(ISERR(FIND("DECOUPE",Tableau1[[#This Row],[DESIGNATION]])),"","NEED REF")</f>
        <v/>
      </c>
    </row>
    <row r="3550">
      <c r="B3550" t="n">
        <v>34410455</v>
      </c>
      <c r="C3550" s="2" t="n">
        <v>44648</v>
      </c>
      <c r="D3550" t="inlineStr">
        <is>
          <t>SPEC</t>
        </is>
      </c>
      <c r="E3550" t="inlineStr">
        <is>
          <t>SMT SUPPORT PLASTRON h202mm</t>
        </is>
      </c>
      <c r="F3550" t="inlineStr">
        <is>
          <t>BACK FEED</t>
        </is>
      </c>
      <c r="J3550" t="inlineStr">
        <is>
          <t>BERNARDEAU</t>
        </is>
      </c>
      <c r="K3550" t="inlineStr">
        <is>
          <t>METAL</t>
        </is>
      </c>
      <c r="L3550">
        <f>_xlfn.XLOOKUP(Tableau1[[#This Row],[TYPE DE PIECE]],Tableau4[MATIERE],Tableau4[SHORT TYPE],"",0,1)</f>
        <v/>
      </c>
      <c r="N3550">
        <f>IF(ISERR(FIND("DECOUPE",Tableau1[[#This Row],[DESIGNATION]])),"","NEED REF")</f>
        <v/>
      </c>
    </row>
    <row r="3551">
      <c r="B3551" t="n">
        <v>34410454</v>
      </c>
      <c r="C3551" s="2" t="n">
        <v>44648</v>
      </c>
      <c r="D3551" t="inlineStr">
        <is>
          <t>SPEC</t>
        </is>
      </c>
      <c r="E3551" t="inlineStr">
        <is>
          <t>SMT SUPPORT PLASTRON h142mm</t>
        </is>
      </c>
      <c r="F3551" t="inlineStr">
        <is>
          <t>BACK FEED</t>
        </is>
      </c>
      <c r="J3551" t="inlineStr">
        <is>
          <t>BERNARDEAU</t>
        </is>
      </c>
      <c r="K3551" t="inlineStr">
        <is>
          <t>METAL</t>
        </is>
      </c>
      <c r="L3551">
        <f>_xlfn.XLOOKUP(Tableau1[[#This Row],[TYPE DE PIECE]],Tableau4[MATIERE],Tableau4[SHORT TYPE],"",0,1)</f>
        <v/>
      </c>
      <c r="N3551">
        <f>IF(ISERR(FIND("DECOUPE",Tableau1[[#This Row],[DESIGNATION]])),"","NEED REF")</f>
        <v/>
      </c>
    </row>
    <row r="3552">
      <c r="B3552" t="n">
        <v>34410453</v>
      </c>
      <c r="C3552" s="2" t="n">
        <v>44648</v>
      </c>
      <c r="D3552" t="inlineStr">
        <is>
          <t>SPEC</t>
        </is>
      </c>
      <c r="E3552" t="inlineStr">
        <is>
          <t>SMT SUPPORT PLASTRON h142mm</t>
        </is>
      </c>
      <c r="F3552" t="inlineStr">
        <is>
          <t>BACK FEED</t>
        </is>
      </c>
      <c r="J3552" t="inlineStr">
        <is>
          <t>BERNARDEAU</t>
        </is>
      </c>
      <c r="K3552" t="inlineStr">
        <is>
          <t>METAL</t>
        </is>
      </c>
      <c r="L3552">
        <f>_xlfn.XLOOKUP(Tableau1[[#This Row],[TYPE DE PIECE]],Tableau4[MATIERE],Tableau4[SHORT TYPE],"",0,1)</f>
        <v/>
      </c>
      <c r="N3552">
        <f>IF(ISERR(FIND("DECOUPE",Tableau1[[#This Row],[DESIGNATION]])),"","NEED REF")</f>
        <v/>
      </c>
    </row>
    <row r="3553">
      <c r="B3553" t="n">
        <v>34410452</v>
      </c>
      <c r="C3553" s="2" t="n">
        <v>44644</v>
      </c>
      <c r="D3553" t="inlineStr">
        <is>
          <t>SPEC</t>
        </is>
      </c>
      <c r="E3553" t="inlineStr">
        <is>
          <t>LEG AUXILIARY WIRE KIT FOR BBK GVX</t>
        </is>
      </c>
      <c r="F3553" t="inlineStr">
        <is>
          <t>INTERXION</t>
        </is>
      </c>
      <c r="G3553" t="inlineStr">
        <is>
          <t>GVX</t>
        </is>
      </c>
      <c r="J3553" t="inlineStr">
        <is>
          <t>MONGELLI</t>
        </is>
      </c>
      <c r="K3553" t="inlineStr">
        <is>
          <t>FILERIE</t>
        </is>
      </c>
      <c r="L3553">
        <f>_xlfn.XLOOKUP(Tableau1[[#This Row],[TYPE DE PIECE]],Tableau4[MATIERE],Tableau4[SHORT TYPE],"",0,1)</f>
        <v/>
      </c>
      <c r="N3553">
        <f>IF(ISERR(FIND("DECOUPE",Tableau1[[#This Row],[DESIGNATION]])),"","NEED REF")</f>
        <v/>
      </c>
    </row>
    <row r="3554">
      <c r="B3554" t="n">
        <v>34410451</v>
      </c>
      <c r="C3554" s="2" t="n">
        <v>44644</v>
      </c>
      <c r="D3554" t="inlineStr">
        <is>
          <t>SPEC</t>
        </is>
      </c>
      <c r="E3554" t="inlineStr">
        <is>
          <t>COP LIAISON L2 LOAD</t>
        </is>
      </c>
      <c r="F3554" t="inlineStr">
        <is>
          <t>Data4 DC16</t>
        </is>
      </c>
      <c r="G3554" t="inlineStr">
        <is>
          <t>GVX</t>
        </is>
      </c>
      <c r="J3554" t="inlineStr">
        <is>
          <t>BERNARDEAU</t>
        </is>
      </c>
      <c r="K3554" t="inlineStr">
        <is>
          <t>CUIVRE</t>
        </is>
      </c>
      <c r="L3554">
        <f>_xlfn.XLOOKUP(Tableau1[[#This Row],[TYPE DE PIECE]],Tableau4[MATIERE],Tableau4[SHORT TYPE],"",0,1)</f>
        <v/>
      </c>
      <c r="N3554">
        <f>IF(ISERR(FIND("DECOUPE",Tableau1[[#This Row],[DESIGNATION]])),"","NEED REF")</f>
        <v/>
      </c>
    </row>
    <row r="3555">
      <c r="B3555" t="n">
        <v>34410450</v>
      </c>
      <c r="C3555" s="2" t="n">
        <v>44643</v>
      </c>
      <c r="D3555" t="inlineStr">
        <is>
          <t>SPEC</t>
        </is>
      </c>
      <c r="E3555" t="inlineStr">
        <is>
          <t>COP CX DC 100x10 + RESINE EPOXY 1</t>
        </is>
      </c>
      <c r="F3555" t="inlineStr">
        <is>
          <t>INTERXION</t>
        </is>
      </c>
      <c r="G3555" t="inlineStr">
        <is>
          <t>GVX</t>
        </is>
      </c>
      <c r="H3555" t="inlineStr">
        <is>
          <t>IO</t>
        </is>
      </c>
      <c r="J3555" t="inlineStr">
        <is>
          <t>MATRION</t>
        </is>
      </c>
      <c r="K3555" t="inlineStr">
        <is>
          <t>CUIVRE</t>
        </is>
      </c>
      <c r="L3555">
        <f>_xlfn.XLOOKUP(Tableau1[[#This Row],[TYPE DE PIECE]],Tableau4[MATIERE],Tableau4[SHORT TYPE],"",0,1)</f>
        <v/>
      </c>
      <c r="N3555">
        <f>IF(ISERR(FIND("DECOUPE",Tableau1[[#This Row],[DESIGNATION]])),"","NEED REF")</f>
        <v/>
      </c>
    </row>
    <row r="3556">
      <c r="B3556" t="n">
        <v>34410449</v>
      </c>
      <c r="C3556" s="2" t="n">
        <v>44643</v>
      </c>
      <c r="D3556" t="inlineStr">
        <is>
          <t>SPEC</t>
        </is>
      </c>
      <c r="E3556" t="inlineStr">
        <is>
          <t>COP CX DC 100x10 + RESINE EPOXY 3</t>
        </is>
      </c>
      <c r="F3556" t="inlineStr">
        <is>
          <t>INTERXION</t>
        </is>
      </c>
      <c r="G3556" t="inlineStr">
        <is>
          <t>GVX</t>
        </is>
      </c>
      <c r="H3556" t="inlineStr">
        <is>
          <t>IO</t>
        </is>
      </c>
      <c r="J3556" t="inlineStr">
        <is>
          <t>MATRION</t>
        </is>
      </c>
      <c r="K3556" t="inlineStr">
        <is>
          <t>CUIVRE</t>
        </is>
      </c>
      <c r="L3556">
        <f>_xlfn.XLOOKUP(Tableau1[[#This Row],[TYPE DE PIECE]],Tableau4[MATIERE],Tableau4[SHORT TYPE],"",0,1)</f>
        <v/>
      </c>
      <c r="N3556">
        <f>IF(ISERR(FIND("DECOUPE",Tableau1[[#This Row],[DESIGNATION]])),"","NEED REF")</f>
        <v/>
      </c>
    </row>
    <row r="3557">
      <c r="B3557" t="n">
        <v>34410448</v>
      </c>
      <c r="C3557" s="2" t="n">
        <v>44643</v>
      </c>
      <c r="D3557" t="inlineStr">
        <is>
          <t>SPEC</t>
        </is>
      </c>
      <c r="E3557" t="inlineStr">
        <is>
          <t>COP CX DC 100x10 + RESINE EPOXY 2</t>
        </is>
      </c>
      <c r="F3557" t="inlineStr">
        <is>
          <t>INTERXION</t>
        </is>
      </c>
      <c r="G3557" t="inlineStr">
        <is>
          <t>GVX</t>
        </is>
      </c>
      <c r="H3557" t="inlineStr">
        <is>
          <t>IO</t>
        </is>
      </c>
      <c r="J3557" t="inlineStr">
        <is>
          <t>MATRION</t>
        </is>
      </c>
      <c r="K3557" t="inlineStr">
        <is>
          <t>CUIVRE</t>
        </is>
      </c>
      <c r="L3557">
        <f>_xlfn.XLOOKUP(Tableau1[[#This Row],[TYPE DE PIECE]],Tableau4[MATIERE],Tableau4[SHORT TYPE],"",0,1)</f>
        <v/>
      </c>
      <c r="N3557">
        <f>IF(ISERR(FIND("DECOUPE",Tableau1[[#This Row],[DESIGNATION]])),"","NEED REF")</f>
        <v/>
      </c>
    </row>
    <row r="3558">
      <c r="B3558" t="n">
        <v>34410447</v>
      </c>
      <c r="C3558" s="2" t="n">
        <v>44643</v>
      </c>
      <c r="D3558" t="inlineStr">
        <is>
          <t>SPEC</t>
        </is>
      </c>
      <c r="E3558" t="inlineStr">
        <is>
          <t>COP CX DC 100x10 + RESINE EPOXY 4</t>
        </is>
      </c>
      <c r="F3558" t="inlineStr">
        <is>
          <t>INTERXION</t>
        </is>
      </c>
      <c r="G3558" t="inlineStr">
        <is>
          <t>GVX</t>
        </is>
      </c>
      <c r="H3558" t="inlineStr">
        <is>
          <t>IO</t>
        </is>
      </c>
      <c r="J3558" t="inlineStr">
        <is>
          <t>MATRION</t>
        </is>
      </c>
      <c r="K3558" t="inlineStr">
        <is>
          <t>CUIVRE</t>
        </is>
      </c>
      <c r="L3558">
        <f>_xlfn.XLOOKUP(Tableau1[[#This Row],[TYPE DE PIECE]],Tableau4[MATIERE],Tableau4[SHORT TYPE],"",0,1)</f>
        <v/>
      </c>
      <c r="N3558">
        <f>IF(ISERR(FIND("DECOUPE",Tableau1[[#This Row],[DESIGNATION]])),"","NEED REF")</f>
        <v/>
      </c>
    </row>
    <row r="3559">
      <c r="B3559" t="n">
        <v>34410446</v>
      </c>
      <c r="C3559" s="2" t="n">
        <v>44642</v>
      </c>
      <c r="D3559" t="inlineStr">
        <is>
          <t>SPEC</t>
        </is>
      </c>
      <c r="E3559" t="inlineStr">
        <is>
          <t>SMT TOIT MAINS-LOAD</t>
        </is>
      </c>
      <c r="F3559" t="inlineStr">
        <is>
          <t>Data4 DC16</t>
        </is>
      </c>
      <c r="G3559" t="inlineStr">
        <is>
          <t>GVX</t>
        </is>
      </c>
      <c r="J3559" t="inlineStr">
        <is>
          <t>BERNARDEAU</t>
        </is>
      </c>
      <c r="K3559" t="inlineStr">
        <is>
          <t>METAL</t>
        </is>
      </c>
      <c r="L3559">
        <f>_xlfn.XLOOKUP(Tableau1[[#This Row],[TYPE DE PIECE]],Tableau4[MATIERE],Tableau4[SHORT TYPE],"",0,1)</f>
        <v/>
      </c>
      <c r="N3559">
        <f>IF(ISERR(FIND("DECOUPE",Tableau1[[#This Row],[DESIGNATION]])),"","NEED REF")</f>
        <v/>
      </c>
    </row>
    <row r="3560">
      <c r="B3560" t="n">
        <v>34410445</v>
      </c>
      <c r="C3560" s="2" t="n">
        <v>44641</v>
      </c>
      <c r="D3560" t="inlineStr">
        <is>
          <t>SPEC</t>
        </is>
      </c>
      <c r="E3560" t="inlineStr">
        <is>
          <t>COP LIAISON L1 LOAD</t>
        </is>
      </c>
      <c r="F3560" t="inlineStr">
        <is>
          <t>Data4 DC16</t>
        </is>
      </c>
      <c r="G3560" t="inlineStr">
        <is>
          <t>GVX</t>
        </is>
      </c>
      <c r="J3560" t="inlineStr">
        <is>
          <t>BERNARDEAU</t>
        </is>
      </c>
      <c r="K3560" t="inlineStr">
        <is>
          <t>CUIVRE</t>
        </is>
      </c>
      <c r="L3560">
        <f>_xlfn.XLOOKUP(Tableau1[[#This Row],[TYPE DE PIECE]],Tableau4[MATIERE],Tableau4[SHORT TYPE],"",0,1)</f>
        <v/>
      </c>
      <c r="N3560">
        <f>IF(ISERR(FIND("DECOUPE",Tableau1[[#This Row],[DESIGNATION]])),"","NEED REF")</f>
        <v/>
      </c>
    </row>
    <row r="3561">
      <c r="B3561" t="n">
        <v>34410444</v>
      </c>
      <c r="C3561" s="2" t="n">
        <v>44641</v>
      </c>
      <c r="D3561" t="inlineStr">
        <is>
          <t>SPEC</t>
        </is>
      </c>
      <c r="E3561" t="inlineStr">
        <is>
          <t>COP LIAISON L3 LOAD</t>
        </is>
      </c>
      <c r="F3561" t="inlineStr">
        <is>
          <t>Data4 DC16</t>
        </is>
      </c>
      <c r="G3561" t="inlineStr">
        <is>
          <t>GVX</t>
        </is>
      </c>
      <c r="J3561" t="inlineStr">
        <is>
          <t>BERNARDEAU</t>
        </is>
      </c>
      <c r="K3561" t="inlineStr">
        <is>
          <t>CUIVRE</t>
        </is>
      </c>
      <c r="L3561">
        <f>_xlfn.XLOOKUP(Tableau1[[#This Row],[TYPE DE PIECE]],Tableau4[MATIERE],Tableau4[SHORT TYPE],"",0,1)</f>
        <v/>
      </c>
      <c r="N3561">
        <f>IF(ISERR(FIND("DECOUPE",Tableau1[[#This Row],[DESIGNATION]])),"","NEED REF")</f>
        <v/>
      </c>
    </row>
    <row r="3562">
      <c r="B3562" t="n">
        <v>34410443</v>
      </c>
      <c r="C3562" s="2" t="n">
        <v>44641</v>
      </c>
      <c r="D3562" t="inlineStr">
        <is>
          <t>SPEC</t>
        </is>
      </c>
      <c r="E3562" t="inlineStr">
        <is>
          <t>PLA SEPARATEUR DE PHASES</t>
        </is>
      </c>
      <c r="H3562" t="inlineStr">
        <is>
          <t>AUX</t>
        </is>
      </c>
      <c r="J3562" t="inlineStr">
        <is>
          <t>MATRION</t>
        </is>
      </c>
      <c r="K3562" t="inlineStr">
        <is>
          <t>PLASTIQUE</t>
        </is>
      </c>
      <c r="L3562">
        <f>_xlfn.XLOOKUP(Tableau1[[#This Row],[TYPE DE PIECE]],Tableau4[MATIERE],Tableau4[SHORT TYPE],"",0,1)</f>
        <v/>
      </c>
      <c r="N3562">
        <f>IF(ISERR(FIND("DECOUPE",Tableau1[[#This Row],[DESIGNATION]])),"","NEED REF")</f>
        <v/>
      </c>
    </row>
    <row r="3563">
      <c r="B3563" t="n">
        <v>34410442</v>
      </c>
      <c r="C3563" s="2" t="n">
        <v>44641</v>
      </c>
      <c r="D3563" t="inlineStr">
        <is>
          <t>SPEC</t>
        </is>
      </c>
      <c r="E3563" t="inlineStr">
        <is>
          <t>COP CONNEXION PE</t>
        </is>
      </c>
      <c r="F3563" t="inlineStr">
        <is>
          <t>Data4 DC16</t>
        </is>
      </c>
      <c r="G3563" t="inlineStr">
        <is>
          <t>GVX</t>
        </is>
      </c>
      <c r="J3563" t="inlineStr">
        <is>
          <t>BERNARDEAU</t>
        </is>
      </c>
      <c r="K3563" t="inlineStr">
        <is>
          <t>CUIVRE</t>
        </is>
      </c>
      <c r="L3563">
        <f>_xlfn.XLOOKUP(Tableau1[[#This Row],[TYPE DE PIECE]],Tableau4[MATIERE],Tableau4[SHORT TYPE],"",0,1)</f>
        <v/>
      </c>
      <c r="N3563">
        <f>IF(ISERR(FIND("DECOUPE",Tableau1[[#This Row],[DESIGNATION]])),"","NEED REF")</f>
        <v/>
      </c>
    </row>
    <row r="3564">
      <c r="B3564" t="n">
        <v>34410441</v>
      </c>
      <c r="C3564" s="2" t="n">
        <v>44641</v>
      </c>
      <c r="D3564" t="inlineStr">
        <is>
          <t>SPEC</t>
        </is>
      </c>
      <c r="E3564" t="inlineStr">
        <is>
          <t>COP PE ENTRE TETE</t>
        </is>
      </c>
      <c r="F3564" t="inlineStr">
        <is>
          <t>Data4 DC16</t>
        </is>
      </c>
      <c r="G3564" t="inlineStr">
        <is>
          <t>GVX</t>
        </is>
      </c>
      <c r="J3564" t="inlineStr">
        <is>
          <t>BERNARDEAU</t>
        </is>
      </c>
      <c r="K3564" t="inlineStr">
        <is>
          <t>CUIVRE</t>
        </is>
      </c>
      <c r="L3564">
        <f>_xlfn.XLOOKUP(Tableau1[[#This Row],[TYPE DE PIECE]],Tableau4[MATIERE],Tableau4[SHORT TYPE],"",0,1)</f>
        <v/>
      </c>
      <c r="N3564">
        <f>IF(ISERR(FIND("DECOUPE",Tableau1[[#This Row],[DESIGNATION]])),"","NEED REF")</f>
        <v/>
      </c>
    </row>
    <row r="3565">
      <c r="B3565" t="n">
        <v>34410440</v>
      </c>
      <c r="C3565" s="2" t="n">
        <v>44641</v>
      </c>
      <c r="D3565" t="inlineStr">
        <is>
          <t>SPEC</t>
        </is>
      </c>
      <c r="E3565" t="inlineStr">
        <is>
          <t>PLA GOULOTTE AK2GD2550 L650MM</t>
        </is>
      </c>
      <c r="F3565" t="inlineStr">
        <is>
          <t>=S= POLOGNE</t>
        </is>
      </c>
      <c r="G3565" t="inlineStr">
        <is>
          <t>E3S</t>
        </is>
      </c>
      <c r="H3565" t="inlineStr">
        <is>
          <t>REGEN</t>
        </is>
      </c>
      <c r="J3565" t="inlineStr">
        <is>
          <t>JAWORSKI</t>
        </is>
      </c>
      <c r="K3565" t="inlineStr">
        <is>
          <t>=SE=</t>
        </is>
      </c>
      <c r="L3565">
        <f>_xlfn.XLOOKUP(Tableau1[[#This Row],[TYPE DE PIECE]],Tableau4[MATIERE],Tableau4[SHORT TYPE],"",0,1)</f>
        <v/>
      </c>
      <c r="N3565">
        <f>IF(ISERR(FIND("DECOUPE",Tableau1[[#This Row],[DESIGNATION]])),"","NEED REF")</f>
        <v/>
      </c>
    </row>
    <row r="3566">
      <c r="B3566" t="n">
        <v>34410439</v>
      </c>
      <c r="C3566" s="2" t="n">
        <v>44641</v>
      </c>
      <c r="D3566" t="inlineStr">
        <is>
          <t>SPEC</t>
        </is>
      </c>
      <c r="E3566" t="inlineStr">
        <is>
          <t>PLA GOULOTTE AK2GD2550 L350MM</t>
        </is>
      </c>
      <c r="F3566" t="inlineStr">
        <is>
          <t>=S= POLOGNE</t>
        </is>
      </c>
      <c r="G3566" t="inlineStr">
        <is>
          <t>E3S</t>
        </is>
      </c>
      <c r="H3566" t="inlineStr">
        <is>
          <t>REGEN</t>
        </is>
      </c>
      <c r="J3566" t="inlineStr">
        <is>
          <t>JAWORSKI</t>
        </is>
      </c>
      <c r="K3566" t="inlineStr">
        <is>
          <t>=SE=</t>
        </is>
      </c>
      <c r="L3566">
        <f>_xlfn.XLOOKUP(Tableau1[[#This Row],[TYPE DE PIECE]],Tableau4[MATIERE],Tableau4[SHORT TYPE],"",0,1)</f>
        <v/>
      </c>
      <c r="N3566">
        <f>IF(ISERR(FIND("DECOUPE",Tableau1[[#This Row],[DESIGNATION]])),"","NEED REF")</f>
        <v/>
      </c>
    </row>
    <row r="3567">
      <c r="B3567" t="n">
        <v>34410438</v>
      </c>
      <c r="C3567" s="2" t="n">
        <v>44641</v>
      </c>
      <c r="D3567" t="inlineStr">
        <is>
          <t>SPEC</t>
        </is>
      </c>
      <c r="E3567" t="inlineStr">
        <is>
          <t>COP CONNEXION PEN TGAB</t>
        </is>
      </c>
      <c r="F3567" t="inlineStr">
        <is>
          <t>Data4 DC16</t>
        </is>
      </c>
      <c r="G3567" t="inlineStr">
        <is>
          <t>GVX</t>
        </is>
      </c>
      <c r="J3567" t="inlineStr">
        <is>
          <t>BERNARDEAU</t>
        </is>
      </c>
      <c r="K3567" t="inlineStr">
        <is>
          <t>CUIVRE</t>
        </is>
      </c>
      <c r="L3567">
        <f>_xlfn.XLOOKUP(Tableau1[[#This Row],[TYPE DE PIECE]],Tableau4[MATIERE],Tableau4[SHORT TYPE],"",0,1)</f>
        <v/>
      </c>
      <c r="N3567">
        <f>IF(ISERR(FIND("DECOUPE",Tableau1[[#This Row],[DESIGNATION]])),"","NEED REF")</f>
        <v/>
      </c>
    </row>
    <row r="3568">
      <c r="B3568" t="n">
        <v>34410437</v>
      </c>
      <c r="C3568" s="2" t="n">
        <v>44638</v>
      </c>
      <c r="D3568" t="inlineStr">
        <is>
          <t>SPEC</t>
        </is>
      </c>
      <c r="E3568" t="inlineStr">
        <is>
          <t>MTZ1 1250H3 5.0X</t>
        </is>
      </c>
      <c r="H3568" t="inlineStr">
        <is>
          <t>AUX</t>
        </is>
      </c>
      <c r="J3568" t="inlineStr">
        <is>
          <t>MATRION</t>
        </is>
      </c>
      <c r="K3568" t="inlineStr">
        <is>
          <t>=SE=</t>
        </is>
      </c>
      <c r="L3568">
        <f>_xlfn.XLOOKUP(Tableau1[[#This Row],[TYPE DE PIECE]],Tableau4[MATIERE],Tableau4[SHORT TYPE],"",0,1)</f>
        <v/>
      </c>
      <c r="N3568">
        <f>IF(ISERR(FIND("DECOUPE",Tableau1[[#This Row],[DESIGNATION]])),"","NEED REF")</f>
        <v/>
      </c>
    </row>
    <row r="3569">
      <c r="B3569" t="n">
        <v>34410436</v>
      </c>
      <c r="C3569" s="2" t="n">
        <v>44638</v>
      </c>
      <c r="D3569" t="inlineStr">
        <is>
          <t>SPEC</t>
        </is>
      </c>
      <c r="E3569" t="inlineStr">
        <is>
          <t>COP LIAISON N TETE</t>
        </is>
      </c>
      <c r="F3569" t="inlineStr">
        <is>
          <t>Data4 DC16</t>
        </is>
      </c>
      <c r="G3569" t="inlineStr">
        <is>
          <t>GVX</t>
        </is>
      </c>
      <c r="J3569" t="inlineStr">
        <is>
          <t>BERNARDEAU</t>
        </is>
      </c>
      <c r="K3569" t="inlineStr">
        <is>
          <t>CUIVRE</t>
        </is>
      </c>
      <c r="L3569">
        <f>_xlfn.XLOOKUP(Tableau1[[#This Row],[TYPE DE PIECE]],Tableau4[MATIERE],Tableau4[SHORT TYPE],"",0,1)</f>
        <v/>
      </c>
      <c r="N3569">
        <f>IF(ISERR(FIND("DECOUPE",Tableau1[[#This Row],[DESIGNATION]])),"","NEED REF")</f>
        <v/>
      </c>
    </row>
    <row r="3570">
      <c r="B3570" t="n">
        <v>34410435</v>
      </c>
      <c r="C3570" s="2" t="n">
        <v>44638</v>
      </c>
      <c r="D3570" t="inlineStr">
        <is>
          <t>SPEC</t>
        </is>
      </c>
      <c r="E3570" t="inlineStr">
        <is>
          <t>COP LIAISON PE MAINS</t>
        </is>
      </c>
      <c r="F3570" t="inlineStr">
        <is>
          <t>Data4 DC16</t>
        </is>
      </c>
      <c r="G3570" t="inlineStr">
        <is>
          <t>GVX</t>
        </is>
      </c>
      <c r="J3570" t="inlineStr">
        <is>
          <t>BERNARDEAU</t>
        </is>
      </c>
      <c r="K3570" t="inlineStr">
        <is>
          <t>CUIVRE</t>
        </is>
      </c>
      <c r="L3570">
        <f>_xlfn.XLOOKUP(Tableau1[[#This Row],[TYPE DE PIECE]],Tableau4[MATIERE],Tableau4[SHORT TYPE],"",0,1)</f>
        <v/>
      </c>
      <c r="N3570">
        <f>IF(ISERR(FIND("DECOUPE",Tableau1[[#This Row],[DESIGNATION]])),"","NEED REF")</f>
        <v/>
      </c>
    </row>
    <row r="3571">
      <c r="B3571" t="n">
        <v>34410434</v>
      </c>
      <c r="C3571" s="2" t="n">
        <v>44638</v>
      </c>
      <c r="D3571" t="inlineStr">
        <is>
          <t>SPEC</t>
        </is>
      </c>
      <c r="E3571" t="inlineStr">
        <is>
          <t>COP LIAISON L3 MAINS</t>
        </is>
      </c>
      <c r="F3571" t="inlineStr">
        <is>
          <t>Data4 DC16</t>
        </is>
      </c>
      <c r="G3571" t="inlineStr">
        <is>
          <t>GVX</t>
        </is>
      </c>
      <c r="J3571" t="inlineStr">
        <is>
          <t>BERNARDEAU</t>
        </is>
      </c>
      <c r="K3571" t="inlineStr">
        <is>
          <t>CUIVRE</t>
        </is>
      </c>
      <c r="L3571">
        <f>_xlfn.XLOOKUP(Tableau1[[#This Row],[TYPE DE PIECE]],Tableau4[MATIERE],Tableau4[SHORT TYPE],"",0,1)</f>
        <v/>
      </c>
      <c r="N3571">
        <f>IF(ISERR(FIND("DECOUPE",Tableau1[[#This Row],[DESIGNATION]])),"","NEED REF")</f>
        <v/>
      </c>
    </row>
    <row r="3572">
      <c r="B3572" t="n">
        <v>34410433</v>
      </c>
      <c r="C3572" s="2" t="n">
        <v>44638</v>
      </c>
      <c r="D3572" t="inlineStr">
        <is>
          <t>SPEC</t>
        </is>
      </c>
      <c r="E3572" t="inlineStr">
        <is>
          <t>COP LIAISON L2 MAINS</t>
        </is>
      </c>
      <c r="F3572" t="inlineStr">
        <is>
          <t>Data4 DC16</t>
        </is>
      </c>
      <c r="G3572" t="inlineStr">
        <is>
          <t>GVX</t>
        </is>
      </c>
      <c r="J3572" t="inlineStr">
        <is>
          <t>BERNARDEAU</t>
        </is>
      </c>
      <c r="K3572" t="inlineStr">
        <is>
          <t>CUIVRE</t>
        </is>
      </c>
      <c r="L3572">
        <f>_xlfn.XLOOKUP(Tableau1[[#This Row],[TYPE DE PIECE]],Tableau4[MATIERE],Tableau4[SHORT TYPE],"",0,1)</f>
        <v/>
      </c>
      <c r="N3572">
        <f>IF(ISERR(FIND("DECOUPE",Tableau1[[#This Row],[DESIGNATION]])),"","NEED REF")</f>
        <v/>
      </c>
    </row>
    <row r="3573">
      <c r="B3573" t="n">
        <v>34410432</v>
      </c>
      <c r="C3573" s="2" t="n">
        <v>44638</v>
      </c>
      <c r="D3573" t="inlineStr">
        <is>
          <t>SPEC</t>
        </is>
      </c>
      <c r="E3573" t="inlineStr">
        <is>
          <t>COP LIAISON L1 MAINS</t>
        </is>
      </c>
      <c r="F3573" t="inlineStr">
        <is>
          <t>Data4 DC16</t>
        </is>
      </c>
      <c r="G3573" t="inlineStr">
        <is>
          <t>GVX</t>
        </is>
      </c>
      <c r="J3573" t="inlineStr">
        <is>
          <t>BERNARDEAU</t>
        </is>
      </c>
      <c r="K3573" t="inlineStr">
        <is>
          <t>CUIVRE</t>
        </is>
      </c>
      <c r="L3573">
        <f>_xlfn.XLOOKUP(Tableau1[[#This Row],[TYPE DE PIECE]],Tableau4[MATIERE],Tableau4[SHORT TYPE],"",0,1)</f>
        <v/>
      </c>
      <c r="N3573">
        <f>IF(ISERR(FIND("DECOUPE",Tableau1[[#This Row],[DESIGNATION]])),"","NEED REF")</f>
        <v/>
      </c>
    </row>
    <row r="3574">
      <c r="B3574" t="n">
        <v>34410431</v>
      </c>
      <c r="C3574" s="2" t="n">
        <v>44638</v>
      </c>
      <c r="D3574" t="inlineStr">
        <is>
          <t>SPEC</t>
        </is>
      </c>
      <c r="E3574" t="inlineStr">
        <is>
          <t>SMT PLASTRON 400</t>
        </is>
      </c>
      <c r="H3574" t="inlineStr">
        <is>
          <t>AUX</t>
        </is>
      </c>
      <c r="J3574" t="inlineStr">
        <is>
          <t>MATRION</t>
        </is>
      </c>
      <c r="K3574" t="inlineStr">
        <is>
          <t>METAL</t>
        </is>
      </c>
      <c r="L3574">
        <f>_xlfn.XLOOKUP(Tableau1[[#This Row],[TYPE DE PIECE]],Tableau4[MATIERE],Tableau4[SHORT TYPE],"",0,1)</f>
        <v/>
      </c>
      <c r="N3574">
        <f>IF(ISERR(FIND("DECOUPE",Tableau1[[#This Row],[DESIGNATION]])),"","NEED REF")</f>
        <v/>
      </c>
    </row>
    <row r="3575">
      <c r="B3575" t="n">
        <v>34410430</v>
      </c>
      <c r="C3575" s="2" t="n">
        <v>44638</v>
      </c>
      <c r="D3575" t="inlineStr">
        <is>
          <t>SPEC</t>
        </is>
      </c>
      <c r="E3575" t="inlineStr">
        <is>
          <t>SMT TOIT ALU 6MM 700x800</t>
        </is>
      </c>
      <c r="H3575" t="inlineStr">
        <is>
          <t>AUX</t>
        </is>
      </c>
      <c r="J3575" t="inlineStr">
        <is>
          <t>MATRION</t>
        </is>
      </c>
      <c r="K3575" t="inlineStr">
        <is>
          <t>METAL</t>
        </is>
      </c>
      <c r="L3575">
        <f>_xlfn.XLOOKUP(Tableau1[[#This Row],[TYPE DE PIECE]],Tableau4[MATIERE],Tableau4[SHORT TYPE],"",0,1)</f>
        <v/>
      </c>
      <c r="N3575">
        <f>IF(ISERR(FIND("DECOUPE",Tableau1[[#This Row],[DESIGNATION]])),"","NEED REF")</f>
        <v/>
      </c>
    </row>
    <row r="3576">
      <c r="B3576" t="n">
        <v>34410429</v>
      </c>
      <c r="C3576" s="2" t="n">
        <v>44638</v>
      </c>
      <c r="D3576" t="inlineStr">
        <is>
          <t>SPEC</t>
        </is>
      </c>
      <c r="E3576" t="inlineStr">
        <is>
          <t>SMT CAPOT TOIT IP20 RAL9003</t>
        </is>
      </c>
      <c r="H3576" t="inlineStr">
        <is>
          <t>AUX</t>
        </is>
      </c>
      <c r="J3576" t="inlineStr">
        <is>
          <t>MATRION</t>
        </is>
      </c>
      <c r="K3576" t="inlineStr">
        <is>
          <t>METAL</t>
        </is>
      </c>
      <c r="L3576">
        <f>_xlfn.XLOOKUP(Tableau1[[#This Row],[TYPE DE PIECE]],Tableau4[MATIERE],Tableau4[SHORT TYPE],"",0,1)</f>
        <v/>
      </c>
      <c r="N3576">
        <f>IF(ISERR(FIND("DECOUPE",Tableau1[[#This Row],[DESIGNATION]])),"","NEED REF")</f>
        <v/>
      </c>
    </row>
    <row r="3577">
      <c r="B3577" t="n">
        <v>34410428</v>
      </c>
      <c r="C3577" s="2" t="n">
        <v>44638</v>
      </c>
      <c r="D3577" t="inlineStr">
        <is>
          <t>SPEC</t>
        </is>
      </c>
      <c r="E3577" t="inlineStr">
        <is>
          <t>SMT TOIT ALU 6MM 400x800</t>
        </is>
      </c>
      <c r="H3577" t="inlineStr">
        <is>
          <t>AUX</t>
        </is>
      </c>
      <c r="J3577" t="inlineStr">
        <is>
          <t>MATRION</t>
        </is>
      </c>
      <c r="K3577" t="inlineStr">
        <is>
          <t>METAL</t>
        </is>
      </c>
      <c r="L3577">
        <f>_xlfn.XLOOKUP(Tableau1[[#This Row],[TYPE DE PIECE]],Tableau4[MATIERE],Tableau4[SHORT TYPE],"",0,1)</f>
        <v/>
      </c>
      <c r="N3577">
        <f>IF(ISERR(FIND("DECOUPE",Tableau1[[#This Row],[DESIGNATION]])),"","NEED REF")</f>
        <v/>
      </c>
    </row>
    <row r="3578">
      <c r="B3578" t="n">
        <v>34410427</v>
      </c>
      <c r="C3578" s="2" t="n">
        <v>44637</v>
      </c>
      <c r="D3578" t="inlineStr">
        <is>
          <t>SPEC</t>
        </is>
      </c>
      <c r="G3578" t="inlineStr">
        <is>
          <t>GV</t>
        </is>
      </c>
      <c r="H3578" t="inlineStr">
        <is>
          <t>AUX</t>
        </is>
      </c>
      <c r="J3578" t="inlineStr">
        <is>
          <t>BERNARDEAU</t>
        </is>
      </c>
      <c r="L3578">
        <f>_xlfn.XLOOKUP(Tableau1[[#This Row],[TYPE DE PIECE]],Tableau4[MATIERE],Tableau4[SHORT TYPE],"",0,1)</f>
        <v/>
      </c>
      <c r="N3578">
        <f>IF(ISERR(FIND("DECOUPE",Tableau1[[#This Row],[DESIGNATION]])),"","NEED REF")</f>
        <v/>
      </c>
    </row>
    <row r="3579">
      <c r="B3579" t="n">
        <v>34410426</v>
      </c>
      <c r="C3579" s="2" t="n">
        <v>44635</v>
      </c>
      <c r="D3579" t="inlineStr">
        <is>
          <t>SPEC</t>
        </is>
      </c>
      <c r="G3579" t="inlineStr">
        <is>
          <t>GV</t>
        </is>
      </c>
      <c r="H3579" t="inlineStr">
        <is>
          <t>AUX</t>
        </is>
      </c>
      <c r="J3579" t="inlineStr">
        <is>
          <t>BERNARDEAU</t>
        </is>
      </c>
      <c r="L3579">
        <f>_xlfn.XLOOKUP(Tableau1[[#This Row],[TYPE DE PIECE]],Tableau4[MATIERE],Tableau4[SHORT TYPE],"",0,1)</f>
        <v/>
      </c>
      <c r="N3579">
        <f>IF(ISERR(FIND("DECOUPE",Tableau1[[#This Row],[DESIGNATION]])),"","NEED REF")</f>
        <v/>
      </c>
    </row>
    <row r="3580">
      <c r="B3580" t="n">
        <v>34410425</v>
      </c>
      <c r="C3580" s="2" t="n">
        <v>44634</v>
      </c>
      <c r="D3580" t="inlineStr">
        <is>
          <t>SPEC</t>
        </is>
      </c>
      <c r="E3580" t="inlineStr">
        <is>
          <t>SMT PLASTRON PLEIN</t>
        </is>
      </c>
      <c r="J3580" t="inlineStr">
        <is>
          <t>MATRION</t>
        </is>
      </c>
      <c r="L3580">
        <f>_xlfn.XLOOKUP(Tableau1[[#This Row],[TYPE DE PIECE]],Tableau4[MATIERE],Tableau4[SHORT TYPE],"",0,1)</f>
        <v/>
      </c>
      <c r="N3580">
        <f>IF(ISERR(FIND("DECOUPE",Tableau1[[#This Row],[DESIGNATION]])),"","NEED REF")</f>
        <v/>
      </c>
    </row>
    <row r="3581">
      <c r="B3581" t="n">
        <v>34410424</v>
      </c>
      <c r="C3581" s="2" t="n">
        <v>44634</v>
      </c>
      <c r="D3581" t="inlineStr">
        <is>
          <t>SPEC</t>
        </is>
      </c>
      <c r="J3581" t="inlineStr">
        <is>
          <t>MATRION</t>
        </is>
      </c>
      <c r="L3581">
        <f>_xlfn.XLOOKUP(Tableau1[[#This Row],[TYPE DE PIECE]],Tableau4[MATIERE],Tableau4[SHORT TYPE],"",0,1)</f>
        <v/>
      </c>
      <c r="N3581">
        <f>IF(ISERR(FIND("DECOUPE",Tableau1[[#This Row],[DESIGNATION]])),"","NEED REF")</f>
        <v/>
      </c>
    </row>
    <row r="3582">
      <c r="B3582" t="n">
        <v>34410423</v>
      </c>
      <c r="C3582" s="2" t="n">
        <v>44634</v>
      </c>
      <c r="D3582" t="inlineStr">
        <is>
          <t>SPEC</t>
        </is>
      </c>
      <c r="J3582" t="inlineStr">
        <is>
          <t>MATRION</t>
        </is>
      </c>
      <c r="L3582">
        <f>_xlfn.XLOOKUP(Tableau1[[#This Row],[TYPE DE PIECE]],Tableau4[MATIERE],Tableau4[SHORT TYPE],"",0,1)</f>
        <v/>
      </c>
      <c r="N3582">
        <f>IF(ISERR(FIND("DECOUPE",Tableau1[[#This Row],[DESIGNATION]])),"","NEED REF")</f>
        <v/>
      </c>
    </row>
    <row r="3583">
      <c r="B3583" t="n">
        <v>34410422</v>
      </c>
      <c r="C3583" s="2" t="n">
        <v>44634</v>
      </c>
      <c r="D3583" t="inlineStr">
        <is>
          <t>SPEC</t>
        </is>
      </c>
      <c r="E3583" t="inlineStr">
        <is>
          <t>SMT PLASTRON PLEIN</t>
        </is>
      </c>
      <c r="J3583" t="inlineStr">
        <is>
          <t>MATRION</t>
        </is>
      </c>
      <c r="L3583">
        <f>_xlfn.XLOOKUP(Tableau1[[#This Row],[TYPE DE PIECE]],Tableau4[MATIERE],Tableau4[SHORT TYPE],"",0,1)</f>
        <v/>
      </c>
      <c r="N3583">
        <f>IF(ISERR(FIND("DECOUPE",Tableau1[[#This Row],[DESIGNATION]])),"","NEED REF")</f>
        <v/>
      </c>
    </row>
    <row r="3584">
      <c r="B3584" t="n">
        <v>34410421</v>
      </c>
      <c r="C3584" s="2" t="n">
        <v>44634</v>
      </c>
      <c r="D3584" t="inlineStr">
        <is>
          <t>SPEC</t>
        </is>
      </c>
      <c r="E3584" t="inlineStr">
        <is>
          <t>SMT PLASTRON 2xUIB NSX</t>
        </is>
      </c>
      <c r="J3584" t="inlineStr">
        <is>
          <t>MATRION</t>
        </is>
      </c>
      <c r="L3584">
        <f>_xlfn.XLOOKUP(Tableau1[[#This Row],[TYPE DE PIECE]],Tableau4[MATIERE],Tableau4[SHORT TYPE],"",0,1)</f>
        <v/>
      </c>
      <c r="N3584">
        <f>IF(ISERR(FIND("DECOUPE",Tableau1[[#This Row],[DESIGNATION]])),"","NEED REF")</f>
        <v/>
      </c>
    </row>
    <row r="3585">
      <c r="B3585" t="n">
        <v>34410420</v>
      </c>
      <c r="C3585" s="2" t="n">
        <v>44634</v>
      </c>
      <c r="D3585" t="inlineStr">
        <is>
          <t>SPEC</t>
        </is>
      </c>
      <c r="E3585" t="inlineStr">
        <is>
          <t>SMT PLASTRON UIB</t>
        </is>
      </c>
      <c r="J3585" t="inlineStr">
        <is>
          <t>MATRION</t>
        </is>
      </c>
      <c r="L3585">
        <f>_xlfn.XLOOKUP(Tableau1[[#This Row],[TYPE DE PIECE]],Tableau4[MATIERE],Tableau4[SHORT TYPE],"",0,1)</f>
        <v/>
      </c>
      <c r="N3585">
        <f>IF(ISERR(FIND("DECOUPE",Tableau1[[#This Row],[DESIGNATION]])),"","NEED REF")</f>
        <v/>
      </c>
    </row>
    <row r="3586">
      <c r="B3586" t="n">
        <v>34410419</v>
      </c>
      <c r="C3586" s="2" t="n">
        <v>44634</v>
      </c>
      <c r="D3586" t="inlineStr">
        <is>
          <t>SPEC</t>
        </is>
      </c>
      <c r="E3586" t="inlineStr">
        <is>
          <t>SMT PLASTRON 2xUOB NSX</t>
        </is>
      </c>
      <c r="J3586" t="inlineStr">
        <is>
          <t>MATRION</t>
        </is>
      </c>
      <c r="L3586">
        <f>_xlfn.XLOOKUP(Tableau1[[#This Row],[TYPE DE PIECE]],Tableau4[MATIERE],Tableau4[SHORT TYPE],"",0,1)</f>
        <v/>
      </c>
      <c r="N3586">
        <f>IF(ISERR(FIND("DECOUPE",Tableau1[[#This Row],[DESIGNATION]])),"","NEED REF")</f>
        <v/>
      </c>
    </row>
    <row r="3587">
      <c r="B3587" t="n">
        <v>34410418</v>
      </c>
      <c r="C3587" s="2" t="n">
        <v>44634</v>
      </c>
      <c r="D3587" t="inlineStr">
        <is>
          <t>SPEC</t>
        </is>
      </c>
      <c r="E3587" t="inlineStr">
        <is>
          <t>SMT PLASTRON UOB</t>
        </is>
      </c>
      <c r="J3587" t="inlineStr">
        <is>
          <t>MATRION</t>
        </is>
      </c>
      <c r="L3587">
        <f>_xlfn.XLOOKUP(Tableau1[[#This Row],[TYPE DE PIECE]],Tableau4[MATIERE],Tableau4[SHORT TYPE],"",0,1)</f>
        <v/>
      </c>
      <c r="N3587">
        <f>IF(ISERR(FIND("DECOUPE",Tableau1[[#This Row],[DESIGNATION]])),"","NEED REF")</f>
        <v/>
      </c>
    </row>
    <row r="3588">
      <c r="B3588" t="n">
        <v>34410417</v>
      </c>
      <c r="C3588" s="2" t="n">
        <v>44634</v>
      </c>
      <c r="D3588" t="inlineStr">
        <is>
          <t>SPEC</t>
        </is>
      </c>
      <c r="E3588" t="inlineStr">
        <is>
          <t>SMT PLASTRON UIB</t>
        </is>
      </c>
      <c r="J3588" t="inlineStr">
        <is>
          <t>MATRION</t>
        </is>
      </c>
      <c r="L3588">
        <f>_xlfn.XLOOKUP(Tableau1[[#This Row],[TYPE DE PIECE]],Tableau4[MATIERE],Tableau4[SHORT TYPE],"",0,1)</f>
        <v/>
      </c>
      <c r="N3588">
        <f>IF(ISERR(FIND("DECOUPE",Tableau1[[#This Row],[DESIGNATION]])),"","NEED REF")</f>
        <v/>
      </c>
    </row>
    <row r="3589">
      <c r="B3589" t="n">
        <v>34410416</v>
      </c>
      <c r="C3589" s="2" t="n">
        <v>44634</v>
      </c>
      <c r="D3589" t="inlineStr">
        <is>
          <t>SPEC</t>
        </is>
      </c>
      <c r="E3589" t="inlineStr">
        <is>
          <t>SMT PLASTRON UIB</t>
        </is>
      </c>
      <c r="J3589" t="inlineStr">
        <is>
          <t>MATRION</t>
        </is>
      </c>
      <c r="L3589">
        <f>_xlfn.XLOOKUP(Tableau1[[#This Row],[TYPE DE PIECE]],Tableau4[MATIERE],Tableau4[SHORT TYPE],"",0,1)</f>
        <v/>
      </c>
      <c r="N3589">
        <f>IF(ISERR(FIND("DECOUPE",Tableau1[[#This Row],[DESIGNATION]])),"","NEED REF")</f>
        <v/>
      </c>
    </row>
    <row r="3590">
      <c r="B3590" t="n">
        <v>34410415</v>
      </c>
      <c r="C3590" s="2" t="n">
        <v>44634</v>
      </c>
      <c r="D3590" t="inlineStr">
        <is>
          <t>SPEC</t>
        </is>
      </c>
      <c r="E3590" t="inlineStr">
        <is>
          <t>SMT PLASTRON UOB/SSIB</t>
        </is>
      </c>
      <c r="J3590" t="inlineStr">
        <is>
          <t>MATRION</t>
        </is>
      </c>
      <c r="L3590">
        <f>_xlfn.XLOOKUP(Tableau1[[#This Row],[TYPE DE PIECE]],Tableau4[MATIERE],Tableau4[SHORT TYPE],"",0,1)</f>
        <v/>
      </c>
      <c r="N3590">
        <f>IF(ISERR(FIND("DECOUPE",Tableau1[[#This Row],[DESIGNATION]])),"","NEED REF")</f>
        <v/>
      </c>
    </row>
    <row r="3591">
      <c r="B3591" t="n">
        <v>34410414</v>
      </c>
      <c r="C3591" s="2" t="n">
        <v>44631</v>
      </c>
      <c r="D3591" t="inlineStr">
        <is>
          <t>SPEC</t>
        </is>
      </c>
      <c r="E3591" t="inlineStr">
        <is>
          <t>SMT PLASTRON UOB/SSIB</t>
        </is>
      </c>
      <c r="H3591" t="inlineStr">
        <is>
          <t>BYPASS</t>
        </is>
      </c>
      <c r="J3591" t="inlineStr">
        <is>
          <t>MATRION</t>
        </is>
      </c>
      <c r="K3591" t="inlineStr">
        <is>
          <t>METAL</t>
        </is>
      </c>
      <c r="L3591">
        <f>_xlfn.XLOOKUP(Tableau1[[#This Row],[TYPE DE PIECE]],Tableau4[MATIERE],Tableau4[SHORT TYPE],"",0,1)</f>
        <v/>
      </c>
      <c r="N3591">
        <f>IF(ISERR(FIND("DECOUPE",Tableau1[[#This Row],[DESIGNATION]])),"","NEED REF")</f>
        <v/>
      </c>
    </row>
    <row r="3592">
      <c r="B3592" t="n">
        <v>34410413</v>
      </c>
      <c r="C3592" s="2" t="n">
        <v>44631</v>
      </c>
      <c r="D3592" t="inlineStr">
        <is>
          <t>SPEC</t>
        </is>
      </c>
      <c r="E3592" t="inlineStr">
        <is>
          <t>SMT PLASTRON UOB</t>
        </is>
      </c>
      <c r="H3592" t="inlineStr">
        <is>
          <t>BYPASS</t>
        </is>
      </c>
      <c r="J3592" t="inlineStr">
        <is>
          <t>MATRION</t>
        </is>
      </c>
      <c r="K3592" t="inlineStr">
        <is>
          <t>METAL</t>
        </is>
      </c>
      <c r="L3592">
        <f>_xlfn.XLOOKUP(Tableau1[[#This Row],[TYPE DE PIECE]],Tableau4[MATIERE],Tableau4[SHORT TYPE],"",0,1)</f>
        <v/>
      </c>
      <c r="N3592">
        <f>IF(ISERR(FIND("DECOUPE",Tableau1[[#This Row],[DESIGNATION]])),"","NEED REF")</f>
        <v/>
      </c>
    </row>
    <row r="3593">
      <c r="B3593" t="n">
        <v>34410412</v>
      </c>
      <c r="C3593" s="2" t="n">
        <v>44631</v>
      </c>
      <c r="D3593" t="inlineStr">
        <is>
          <t>SPEC</t>
        </is>
      </c>
      <c r="E3593" t="inlineStr">
        <is>
          <t>SMT PLASTRON UIB</t>
        </is>
      </c>
      <c r="H3593" t="inlineStr">
        <is>
          <t>BYPASS</t>
        </is>
      </c>
      <c r="J3593" t="inlineStr">
        <is>
          <t>MATRION</t>
        </is>
      </c>
      <c r="K3593" t="inlineStr">
        <is>
          <t>METAL</t>
        </is>
      </c>
      <c r="L3593">
        <f>_xlfn.XLOOKUP(Tableau1[[#This Row],[TYPE DE PIECE]],Tableau4[MATIERE],Tableau4[SHORT TYPE],"",0,1)</f>
        <v/>
      </c>
      <c r="N3593">
        <f>IF(ISERR(FIND("DECOUPE",Tableau1[[#This Row],[DESIGNATION]])),"","NEED REF")</f>
        <v/>
      </c>
    </row>
    <row r="3594">
      <c r="B3594" t="n">
        <v>34410411</v>
      </c>
      <c r="C3594" s="2" t="n">
        <v>44631</v>
      </c>
      <c r="D3594" t="inlineStr">
        <is>
          <t>SPEC</t>
        </is>
      </c>
      <c r="E3594" t="inlineStr">
        <is>
          <t>SMT PLASTRON MTZ1</t>
        </is>
      </c>
      <c r="H3594" t="inlineStr">
        <is>
          <t>BYPASS</t>
        </is>
      </c>
      <c r="J3594" t="inlineStr">
        <is>
          <t>MATRION</t>
        </is>
      </c>
      <c r="K3594" t="inlineStr">
        <is>
          <t>METAL</t>
        </is>
      </c>
      <c r="L3594">
        <f>_xlfn.XLOOKUP(Tableau1[[#This Row],[TYPE DE PIECE]],Tableau4[MATIERE],Tableau4[SHORT TYPE],"",0,1)</f>
        <v/>
      </c>
      <c r="N3594">
        <f>IF(ISERR(FIND("DECOUPE",Tableau1[[#This Row],[DESIGNATION]])),"","NEED REF")</f>
        <v/>
      </c>
    </row>
    <row r="3595">
      <c r="B3595" t="n">
        <v>34410410</v>
      </c>
      <c r="C3595" s="2" t="n">
        <v>44631</v>
      </c>
      <c r="D3595" t="inlineStr">
        <is>
          <t>SPEC</t>
        </is>
      </c>
      <c r="E3595" t="inlineStr">
        <is>
          <t>SMT PLASTRON UOB</t>
        </is>
      </c>
      <c r="H3595" t="inlineStr">
        <is>
          <t>BYPASS</t>
        </is>
      </c>
      <c r="J3595" t="inlineStr">
        <is>
          <t>MATRION</t>
        </is>
      </c>
      <c r="K3595" t="inlineStr">
        <is>
          <t>METAL</t>
        </is>
      </c>
      <c r="L3595">
        <f>_xlfn.XLOOKUP(Tableau1[[#This Row],[TYPE DE PIECE]],Tableau4[MATIERE],Tableau4[SHORT TYPE],"",0,1)</f>
        <v/>
      </c>
      <c r="N3595">
        <f>IF(ISERR(FIND("DECOUPE",Tableau1[[#This Row],[DESIGNATION]])),"","NEED REF")</f>
        <v/>
      </c>
    </row>
    <row r="3596">
      <c r="B3596" t="n">
        <v>34410409</v>
      </c>
      <c r="C3596" s="2" t="n">
        <v>44631</v>
      </c>
      <c r="D3596" t="inlineStr">
        <is>
          <t>SPEC</t>
        </is>
      </c>
      <c r="E3596" t="inlineStr">
        <is>
          <t>SMT PLASTRON UIB</t>
        </is>
      </c>
      <c r="H3596" t="inlineStr">
        <is>
          <t>BYPASS</t>
        </is>
      </c>
      <c r="J3596" t="inlineStr">
        <is>
          <t>MATRION</t>
        </is>
      </c>
      <c r="K3596" t="inlineStr">
        <is>
          <t>METAL</t>
        </is>
      </c>
      <c r="L3596">
        <f>_xlfn.XLOOKUP(Tableau1[[#This Row],[TYPE DE PIECE]],Tableau4[MATIERE],Tableau4[SHORT TYPE],"",0,1)</f>
        <v/>
      </c>
      <c r="N3596">
        <f>IF(ISERR(FIND("DECOUPE",Tableau1[[#This Row],[DESIGNATION]])),"","NEED REF")</f>
        <v/>
      </c>
    </row>
    <row r="3597">
      <c r="B3597" t="n">
        <v>34410408</v>
      </c>
      <c r="C3597" s="2" t="n">
        <v>44631</v>
      </c>
      <c r="D3597" t="inlineStr">
        <is>
          <t>SPEC</t>
        </is>
      </c>
      <c r="E3597" t="inlineStr">
        <is>
          <t>SMT REAR COVER DOWN 1 - P0000534209</t>
        </is>
      </c>
      <c r="F3597" t="inlineStr">
        <is>
          <t>MARINE</t>
        </is>
      </c>
      <c r="G3597" t="inlineStr">
        <is>
          <t>E3L 250-300</t>
        </is>
      </c>
      <c r="H3597" t="inlineStr">
        <is>
          <t>UPS</t>
        </is>
      </c>
      <c r="J3597" t="inlineStr">
        <is>
          <t>JAWORSKI</t>
        </is>
      </c>
      <c r="K3597" t="inlineStr">
        <is>
          <t>METAL</t>
        </is>
      </c>
      <c r="L3597">
        <f>_xlfn.XLOOKUP(Tableau1[[#This Row],[TYPE DE PIECE]],Tableau4[MATIERE],Tableau4[SHORT TYPE],"",0,1)</f>
        <v/>
      </c>
      <c r="N3597">
        <f>IF(ISERR(FIND("DECOUPE",Tableau1[[#This Row],[DESIGNATION]])),"","NEED REF")</f>
        <v/>
      </c>
    </row>
    <row r="3598">
      <c r="B3598" t="n">
        <v>34410407</v>
      </c>
      <c r="C3598" s="2" t="n">
        <v>44631</v>
      </c>
      <c r="D3598" t="inlineStr">
        <is>
          <t>SPEC</t>
        </is>
      </c>
      <c r="E3598" t="inlineStr">
        <is>
          <t>SMT REAR COVER UP 1 - P0000534207</t>
        </is>
      </c>
      <c r="F3598" t="inlineStr">
        <is>
          <t>MARINE</t>
        </is>
      </c>
      <c r="G3598" t="inlineStr">
        <is>
          <t>E3L 250-300</t>
        </is>
      </c>
      <c r="H3598" t="inlineStr">
        <is>
          <t>UPS</t>
        </is>
      </c>
      <c r="J3598" t="inlineStr">
        <is>
          <t>JAWORSKI</t>
        </is>
      </c>
      <c r="K3598" t="inlineStr">
        <is>
          <t>METAL</t>
        </is>
      </c>
      <c r="L3598">
        <f>_xlfn.XLOOKUP(Tableau1[[#This Row],[TYPE DE PIECE]],Tableau4[MATIERE],Tableau4[SHORT TYPE],"",0,1)</f>
        <v/>
      </c>
      <c r="N3598">
        <f>IF(ISERR(FIND("DECOUPE",Tableau1[[#This Row],[DESIGNATION]])),"","NEED REF")</f>
        <v/>
      </c>
    </row>
    <row r="3599">
      <c r="B3599" t="n">
        <v>34410406</v>
      </c>
      <c r="C3599" s="2" t="n">
        <v>44631</v>
      </c>
      <c r="D3599" t="inlineStr">
        <is>
          <t>SPEC</t>
        </is>
      </c>
      <c r="E3599" t="inlineStr">
        <is>
          <t>SUPPORT BORNIER AUXILIAIRE</t>
        </is>
      </c>
      <c r="H3599" t="inlineStr">
        <is>
          <t>BYPASS</t>
        </is>
      </c>
      <c r="J3599" t="inlineStr">
        <is>
          <t>MATRION</t>
        </is>
      </c>
      <c r="K3599" t="inlineStr">
        <is>
          <t>METAL</t>
        </is>
      </c>
      <c r="L3599">
        <f>_xlfn.XLOOKUP(Tableau1[[#This Row],[TYPE DE PIECE]],Tableau4[MATIERE],Tableau4[SHORT TYPE],"",0,1)</f>
        <v/>
      </c>
      <c r="N3599">
        <f>IF(ISERR(FIND("DECOUPE",Tableau1[[#This Row],[DESIGNATION]])),"","NEED REF")</f>
        <v/>
      </c>
    </row>
    <row r="3600">
      <c r="B3600" t="n">
        <v>34410405</v>
      </c>
      <c r="C3600" s="2" t="n">
        <v>44631</v>
      </c>
      <c r="D3600" t="inlineStr">
        <is>
          <t>SPEC</t>
        </is>
      </c>
      <c r="E3600" t="inlineStr">
        <is>
          <t>SMT 34410405  BYPASS EQUERRE 3</t>
        </is>
      </c>
      <c r="H3600" t="inlineStr">
        <is>
          <t>BYPASS</t>
        </is>
      </c>
      <c r="J3600" t="inlineStr">
        <is>
          <t>MATRION</t>
        </is>
      </c>
      <c r="K3600" t="inlineStr">
        <is>
          <t>METAL</t>
        </is>
      </c>
      <c r="L3600">
        <f>_xlfn.XLOOKUP(Tableau1[[#This Row],[TYPE DE PIECE]],Tableau4[MATIERE],Tableau4[SHORT TYPE],"",0,1)</f>
        <v/>
      </c>
      <c r="N3600">
        <f>IF(ISERR(FIND("DECOUPE",Tableau1[[#This Row],[DESIGNATION]])),"","NEED REF")</f>
        <v/>
      </c>
    </row>
    <row r="3601">
      <c r="B3601" t="n">
        <v>34410404</v>
      </c>
      <c r="C3601" s="2" t="n">
        <v>44631</v>
      </c>
      <c r="D3601" t="inlineStr">
        <is>
          <t>SPEC</t>
        </is>
      </c>
      <c r="E3601" t="inlineStr">
        <is>
          <t>SMT 34410404  BYPASS EQUERRE 2</t>
        </is>
      </c>
      <c r="H3601" t="inlineStr">
        <is>
          <t>BYPASS</t>
        </is>
      </c>
      <c r="J3601" t="inlineStr">
        <is>
          <t>MATRION</t>
        </is>
      </c>
      <c r="K3601" t="inlineStr">
        <is>
          <t>METAL</t>
        </is>
      </c>
      <c r="L3601">
        <f>_xlfn.XLOOKUP(Tableau1[[#This Row],[TYPE DE PIECE]],Tableau4[MATIERE],Tableau4[SHORT TYPE],"",0,1)</f>
        <v/>
      </c>
      <c r="N3601">
        <f>IF(ISERR(FIND("DECOUPE",Tableau1[[#This Row],[DESIGNATION]])),"","NEED REF")</f>
        <v/>
      </c>
    </row>
    <row r="3602">
      <c r="B3602" t="n">
        <v>34410403</v>
      </c>
      <c r="C3602" s="2" t="n">
        <v>44631</v>
      </c>
      <c r="D3602" t="inlineStr">
        <is>
          <t>SPEC</t>
        </is>
      </c>
      <c r="E3602" t="inlineStr">
        <is>
          <t>SMT 34410403  BYPASS EQUERRE 1</t>
        </is>
      </c>
      <c r="H3602" t="inlineStr">
        <is>
          <t>BYPASS</t>
        </is>
      </c>
      <c r="J3602" t="inlineStr">
        <is>
          <t>MATRION</t>
        </is>
      </c>
      <c r="K3602" t="inlineStr">
        <is>
          <t>METAL</t>
        </is>
      </c>
      <c r="L3602">
        <f>_xlfn.XLOOKUP(Tableau1[[#This Row],[TYPE DE PIECE]],Tableau4[MATIERE],Tableau4[SHORT TYPE],"",0,1)</f>
        <v/>
      </c>
      <c r="N3602">
        <f>IF(ISERR(FIND("DECOUPE",Tableau1[[#This Row],[DESIGNATION]])),"","NEED REF")</f>
        <v/>
      </c>
    </row>
    <row r="3603">
      <c r="B3603" t="n">
        <v>34410402</v>
      </c>
      <c r="C3603" s="2" t="n">
        <v>44630</v>
      </c>
      <c r="D3603" t="inlineStr">
        <is>
          <t>SPEC</t>
        </is>
      </c>
      <c r="E3603" t="inlineStr">
        <is>
          <t>WIRE KIT FILERIE MBx-450kW-4P</t>
        </is>
      </c>
      <c r="G3603" t="inlineStr">
        <is>
          <t>E3L</t>
        </is>
      </c>
      <c r="H3603" t="inlineStr">
        <is>
          <t>BYPASS</t>
        </is>
      </c>
      <c r="J3603" t="inlineStr">
        <is>
          <t>JAWORSKI</t>
        </is>
      </c>
      <c r="K3603" t="inlineStr">
        <is>
          <t>FILERIE</t>
        </is>
      </c>
      <c r="L3603">
        <f>_xlfn.XLOOKUP(Tableau1[[#This Row],[TYPE DE PIECE]],Tableau4[MATIERE],Tableau4[SHORT TYPE],"",0,1)</f>
        <v/>
      </c>
      <c r="N3603">
        <f>IF(ISERR(FIND("DECOUPE",Tableau1[[#This Row],[DESIGNATION]])),"","NEED REF")</f>
        <v/>
      </c>
    </row>
    <row r="3604">
      <c r="B3604" t="n">
        <v>34410401</v>
      </c>
      <c r="C3604" s="2" t="n">
        <v>44630</v>
      </c>
      <c r="D3604" t="inlineStr">
        <is>
          <t>SPEC</t>
        </is>
      </c>
      <c r="E3604" t="inlineStr">
        <is>
          <t>SMT SUPPORT =S= 04662</t>
        </is>
      </c>
      <c r="H3604" t="inlineStr">
        <is>
          <t>BYPASS</t>
        </is>
      </c>
      <c r="J3604" t="inlineStr">
        <is>
          <t>MATRION</t>
        </is>
      </c>
      <c r="K3604" t="inlineStr">
        <is>
          <t>METAL</t>
        </is>
      </c>
      <c r="L3604">
        <f>_xlfn.XLOOKUP(Tableau1[[#This Row],[TYPE DE PIECE]],Tableau4[MATIERE],Tableau4[SHORT TYPE],"",0,1)</f>
        <v/>
      </c>
      <c r="N3604">
        <f>IF(ISERR(FIND("DECOUPE",Tableau1[[#This Row],[DESIGNATION]])),"","NEED REF")</f>
        <v/>
      </c>
    </row>
    <row r="3605">
      <c r="B3605" t="n">
        <v>34410400</v>
      </c>
      <c r="C3605" s="2" t="n">
        <v>44630</v>
      </c>
      <c r="D3605" t="inlineStr">
        <is>
          <t>SPEC</t>
        </is>
      </c>
      <c r="E3605" t="inlineStr">
        <is>
          <t>PLA PLAQUE ICC CX CLIENT</t>
        </is>
      </c>
      <c r="H3605" t="inlineStr">
        <is>
          <t>BYPASS</t>
        </is>
      </c>
      <c r="J3605" t="inlineStr">
        <is>
          <t>MATRION</t>
        </is>
      </c>
      <c r="K3605" t="inlineStr">
        <is>
          <t>PLASTIQUE</t>
        </is>
      </c>
      <c r="L3605">
        <f>_xlfn.XLOOKUP(Tableau1[[#This Row],[TYPE DE PIECE]],Tableau4[MATIERE],Tableau4[SHORT TYPE],"",0,1)</f>
        <v/>
      </c>
      <c r="N3605">
        <f>IF(ISERR(FIND("DECOUPE",Tableau1[[#This Row],[DESIGNATION]])),"","NEED REF")</f>
        <v/>
      </c>
    </row>
    <row r="3606">
      <c r="B3606" t="n">
        <v>34410399</v>
      </c>
      <c r="C3606" s="2" t="n">
        <v>44630</v>
      </c>
      <c r="D3606" t="inlineStr">
        <is>
          <t>SPEC</t>
        </is>
      </c>
      <c r="E3606" t="inlineStr">
        <is>
          <t>COP RACCORD MAINS2</t>
        </is>
      </c>
      <c r="H3606" t="inlineStr">
        <is>
          <t>BYPASS</t>
        </is>
      </c>
      <c r="J3606" t="inlineStr">
        <is>
          <t>MATRION</t>
        </is>
      </c>
      <c r="K3606" t="inlineStr">
        <is>
          <t>CUIVRE</t>
        </is>
      </c>
      <c r="L3606">
        <f>_xlfn.XLOOKUP(Tableau1[[#This Row],[TYPE DE PIECE]],Tableau4[MATIERE],Tableau4[SHORT TYPE],"",0,1)</f>
        <v/>
      </c>
      <c r="N3606">
        <f>IF(ISERR(FIND("DECOUPE",Tableau1[[#This Row],[DESIGNATION]])),"","NEED REF")</f>
        <v/>
      </c>
    </row>
    <row r="3607">
      <c r="B3607" t="n">
        <v>34410398</v>
      </c>
      <c r="C3607" s="2" t="n">
        <v>44630</v>
      </c>
      <c r="D3607" t="inlineStr">
        <is>
          <t>SPEC</t>
        </is>
      </c>
      <c r="E3607" t="inlineStr">
        <is>
          <t>COP CX MTZ1 1600A</t>
        </is>
      </c>
      <c r="H3607" t="inlineStr">
        <is>
          <t>BYPASS</t>
        </is>
      </c>
      <c r="J3607" t="inlineStr">
        <is>
          <t>MATRION</t>
        </is>
      </c>
      <c r="K3607" t="inlineStr">
        <is>
          <t>CUIVRE</t>
        </is>
      </c>
      <c r="L3607">
        <f>_xlfn.XLOOKUP(Tableau1[[#This Row],[TYPE DE PIECE]],Tableau4[MATIERE],Tableau4[SHORT TYPE],"",0,1)</f>
        <v/>
      </c>
      <c r="N3607">
        <f>IF(ISERR(FIND("DECOUPE",Tableau1[[#This Row],[DESIGNATION]])),"","NEED REF")</f>
        <v/>
      </c>
    </row>
    <row r="3608">
      <c r="B3608" t="n">
        <v>34410397</v>
      </c>
      <c r="C3608" s="2" t="n">
        <v>44630</v>
      </c>
      <c r="D3608" t="inlineStr">
        <is>
          <t>SPEC</t>
        </is>
      </c>
      <c r="E3608" t="inlineStr">
        <is>
          <t>SMT PLAQUE TGAB</t>
        </is>
      </c>
      <c r="J3608" t="inlineStr">
        <is>
          <t>BERNARDEAU</t>
        </is>
      </c>
      <c r="K3608" t="inlineStr">
        <is>
          <t>METAL</t>
        </is>
      </c>
      <c r="L3608">
        <f>_xlfn.XLOOKUP(Tableau1[[#This Row],[TYPE DE PIECE]],Tableau4[MATIERE],Tableau4[SHORT TYPE],"",0,1)</f>
        <v/>
      </c>
      <c r="N3608">
        <f>IF(ISERR(FIND("DECOUPE",Tableau1[[#This Row],[DESIGNATION]])),"","NEED REF")</f>
        <v/>
      </c>
    </row>
    <row r="3609">
      <c r="B3609" t="n">
        <v>34410396</v>
      </c>
      <c r="C3609" s="2" t="n">
        <v>44629</v>
      </c>
      <c r="D3609" t="inlineStr">
        <is>
          <t>SPEC</t>
        </is>
      </c>
      <c r="E3609" t="inlineStr">
        <is>
          <t>SMT EQUERRE BARRE PE</t>
        </is>
      </c>
      <c r="F3609" t="inlineStr">
        <is>
          <t>MBx 450kW</t>
        </is>
      </c>
      <c r="G3609" t="inlineStr">
        <is>
          <t>TOUTES</t>
        </is>
      </c>
      <c r="H3609" t="inlineStr">
        <is>
          <t>BYPASS</t>
        </is>
      </c>
      <c r="J3609" t="inlineStr">
        <is>
          <t>JAWORSKI</t>
        </is>
      </c>
      <c r="K3609" t="inlineStr">
        <is>
          <t>METAL</t>
        </is>
      </c>
      <c r="L3609">
        <f>_xlfn.XLOOKUP(Tableau1[[#This Row],[TYPE DE PIECE]],Tableau4[MATIERE],Tableau4[SHORT TYPE],"",0,1)</f>
        <v/>
      </c>
      <c r="N3609">
        <f>IF(ISERR(FIND("DECOUPE",Tableau1[[#This Row],[DESIGNATION]])),"","NEED REF")</f>
        <v/>
      </c>
    </row>
    <row r="3610">
      <c r="B3610" t="n">
        <v>34410395</v>
      </c>
      <c r="C3610" s="2" t="n">
        <v>44629</v>
      </c>
      <c r="D3610" t="inlineStr">
        <is>
          <t>SPEC</t>
        </is>
      </c>
      <c r="E3610" t="inlineStr">
        <is>
          <t>COP CX CLIENT SOURCE</t>
        </is>
      </c>
      <c r="H3610" t="inlineStr">
        <is>
          <t>BYPASS</t>
        </is>
      </c>
      <c r="J3610" t="inlineStr">
        <is>
          <t>MATRION</t>
        </is>
      </c>
      <c r="K3610" t="inlineStr">
        <is>
          <t>CUIVRE</t>
        </is>
      </c>
      <c r="L3610">
        <f>_xlfn.XLOOKUP(Tableau1[[#This Row],[TYPE DE PIECE]],Tableau4[MATIERE],Tableau4[SHORT TYPE],"",0,1)</f>
        <v/>
      </c>
      <c r="N3610">
        <f>IF(ISERR(FIND("DECOUPE",Tableau1[[#This Row],[DESIGNATION]])),"","NEED REF")</f>
        <v/>
      </c>
    </row>
    <row r="3611">
      <c r="B3611" t="n">
        <v>34410394</v>
      </c>
      <c r="C3611" s="2" t="n">
        <v>44629</v>
      </c>
      <c r="D3611" t="inlineStr">
        <is>
          <t>SPEC</t>
        </is>
      </c>
      <c r="E3611" t="inlineStr">
        <is>
          <t>COP CX CLIENT BYPASS OUTPUT</t>
        </is>
      </c>
      <c r="H3611" t="inlineStr">
        <is>
          <t>BYPASS</t>
        </is>
      </c>
      <c r="J3611" t="inlineStr">
        <is>
          <t>MATRION</t>
        </is>
      </c>
      <c r="K3611" t="inlineStr">
        <is>
          <t>CUIVRE</t>
        </is>
      </c>
      <c r="L3611">
        <f>_xlfn.XLOOKUP(Tableau1[[#This Row],[TYPE DE PIECE]],Tableau4[MATIERE],Tableau4[SHORT TYPE],"",0,1)</f>
        <v/>
      </c>
      <c r="N3611">
        <f>IF(ISERR(FIND("DECOUPE",Tableau1[[#This Row],[DESIGNATION]])),"","NEED REF")</f>
        <v/>
      </c>
    </row>
    <row r="3612">
      <c r="B3612" t="n">
        <v>34410393</v>
      </c>
      <c r="C3612" s="2" t="n">
        <v>44629</v>
      </c>
      <c r="D3612" t="inlineStr">
        <is>
          <t>SPEC</t>
        </is>
      </c>
      <c r="E3612" t="inlineStr">
        <is>
          <t>COP CX CLIENT BYPASS INPUT</t>
        </is>
      </c>
      <c r="H3612" t="inlineStr">
        <is>
          <t>BYPASS</t>
        </is>
      </c>
      <c r="J3612" t="inlineStr">
        <is>
          <t>MATRION</t>
        </is>
      </c>
      <c r="K3612" t="inlineStr">
        <is>
          <t>CUIVRE</t>
        </is>
      </c>
      <c r="L3612">
        <f>_xlfn.XLOOKUP(Tableau1[[#This Row],[TYPE DE PIECE]],Tableau4[MATIERE],Tableau4[SHORT TYPE],"",0,1)</f>
        <v/>
      </c>
      <c r="N3612">
        <f>IF(ISERR(FIND("DECOUPE",Tableau1[[#This Row],[DESIGNATION]])),"","NEED REF")</f>
        <v/>
      </c>
    </row>
    <row r="3613">
      <c r="B3613" t="n">
        <v>34410392</v>
      </c>
      <c r="C3613" s="2" t="n">
        <v>44629</v>
      </c>
      <c r="D3613" t="inlineStr">
        <is>
          <t>SPEC</t>
        </is>
      </c>
      <c r="E3613" t="inlineStr">
        <is>
          <t>COP CX MBB/SSIB_UOB - L3</t>
        </is>
      </c>
      <c r="H3613" t="inlineStr">
        <is>
          <t>BYPASS</t>
        </is>
      </c>
      <c r="J3613" t="inlineStr">
        <is>
          <t>MATRION</t>
        </is>
      </c>
      <c r="K3613" t="inlineStr">
        <is>
          <t>CUIVRE</t>
        </is>
      </c>
      <c r="L3613">
        <f>_xlfn.XLOOKUP(Tableau1[[#This Row],[TYPE DE PIECE]],Tableau4[MATIERE],Tableau4[SHORT TYPE],"",0,1)</f>
        <v/>
      </c>
      <c r="N3613">
        <f>IF(ISERR(FIND("DECOUPE",Tableau1[[#This Row],[DESIGNATION]])),"","NEED REF")</f>
        <v/>
      </c>
    </row>
    <row r="3614">
      <c r="B3614" t="n">
        <v>34410391</v>
      </c>
      <c r="C3614" s="2" t="n">
        <v>44629</v>
      </c>
      <c r="D3614" t="inlineStr">
        <is>
          <t>SPEC</t>
        </is>
      </c>
      <c r="E3614" t="inlineStr">
        <is>
          <t>COP CX MBB/SSIB_UOB - L2</t>
        </is>
      </c>
      <c r="H3614" t="inlineStr">
        <is>
          <t>BYPASS</t>
        </is>
      </c>
      <c r="J3614" t="inlineStr">
        <is>
          <t>MATRION</t>
        </is>
      </c>
      <c r="K3614" t="inlineStr">
        <is>
          <t>CUIVRE</t>
        </is>
      </c>
      <c r="L3614">
        <f>_xlfn.XLOOKUP(Tableau1[[#This Row],[TYPE DE PIECE]],Tableau4[MATIERE],Tableau4[SHORT TYPE],"",0,1)</f>
        <v/>
      </c>
      <c r="N3614">
        <f>IF(ISERR(FIND("DECOUPE",Tableau1[[#This Row],[DESIGNATION]])),"","NEED REF")</f>
        <v/>
      </c>
    </row>
    <row r="3615">
      <c r="B3615" t="n">
        <v>34410390</v>
      </c>
      <c r="C3615" s="2" t="n">
        <v>44629</v>
      </c>
      <c r="D3615" t="inlineStr">
        <is>
          <t>SPEC</t>
        </is>
      </c>
      <c r="E3615" t="inlineStr">
        <is>
          <t>COP CX MBB/SSIB_UOB - L1</t>
        </is>
      </c>
      <c r="H3615" t="inlineStr">
        <is>
          <t>BYPASS</t>
        </is>
      </c>
      <c r="J3615" t="inlineStr">
        <is>
          <t>MATRION</t>
        </is>
      </c>
      <c r="K3615" t="inlineStr">
        <is>
          <t>CUIVRE</t>
        </is>
      </c>
      <c r="L3615">
        <f>_xlfn.XLOOKUP(Tableau1[[#This Row],[TYPE DE PIECE]],Tableau4[MATIERE],Tableau4[SHORT TYPE],"",0,1)</f>
        <v/>
      </c>
      <c r="N3615">
        <f>IF(ISERR(FIND("DECOUPE",Tableau1[[#This Row],[DESIGNATION]])),"","NEED REF")</f>
        <v/>
      </c>
    </row>
    <row r="3616">
      <c r="B3616" t="n">
        <v>34410389</v>
      </c>
      <c r="C3616" s="2" t="n">
        <v>44629</v>
      </c>
      <c r="D3616" t="inlineStr">
        <is>
          <t>SPEC</t>
        </is>
      </c>
      <c r="E3616" t="inlineStr">
        <is>
          <t>COP CX MBB/SSIB_UOB - N</t>
        </is>
      </c>
      <c r="H3616" t="inlineStr">
        <is>
          <t>BYPASS</t>
        </is>
      </c>
      <c r="J3616" t="inlineStr">
        <is>
          <t>MATRION</t>
        </is>
      </c>
      <c r="K3616" t="inlineStr">
        <is>
          <t>CUIVRE</t>
        </is>
      </c>
      <c r="L3616">
        <f>_xlfn.XLOOKUP(Tableau1[[#This Row],[TYPE DE PIECE]],Tableau4[MATIERE],Tableau4[SHORT TYPE],"",0,1)</f>
        <v/>
      </c>
      <c r="N3616">
        <f>IF(ISERR(FIND("DECOUPE",Tableau1[[#This Row],[DESIGNATION]])),"","NEED REF")</f>
        <v/>
      </c>
    </row>
    <row r="3617">
      <c r="B3617" t="n">
        <v>34410388</v>
      </c>
      <c r="C3617" s="2" t="n">
        <v>44627</v>
      </c>
      <c r="D3617" t="inlineStr">
        <is>
          <t>SPEC</t>
        </is>
      </c>
      <c r="E3617" t="inlineStr">
        <is>
          <t>SMT SUPPORT ISW</t>
        </is>
      </c>
      <c r="F3617" t="inlineStr">
        <is>
          <t>=S= POLOGNE</t>
        </is>
      </c>
      <c r="G3617" t="inlineStr">
        <is>
          <t>E3S</t>
        </is>
      </c>
      <c r="H3617" t="inlineStr">
        <is>
          <t>REGEN</t>
        </is>
      </c>
      <c r="J3617" t="inlineStr">
        <is>
          <t>JAWORSKI</t>
        </is>
      </c>
      <c r="K3617" t="inlineStr">
        <is>
          <t>METAL</t>
        </is>
      </c>
      <c r="L3617">
        <f>_xlfn.XLOOKUP(Tableau1[[#This Row],[TYPE DE PIECE]],Tableau4[MATIERE],Tableau4[SHORT TYPE],"",0,1)</f>
        <v/>
      </c>
      <c r="N3617">
        <f>IF(ISERR(FIND("DECOUPE",Tableau1[[#This Row],[DESIGNATION]])),"","NEED REF")</f>
        <v/>
      </c>
    </row>
    <row r="3618">
      <c r="B3618" t="n">
        <v>34410387</v>
      </c>
      <c r="C3618" s="2" t="n">
        <v>44627</v>
      </c>
      <c r="D3618" t="inlineStr">
        <is>
          <t>SPEC</t>
        </is>
      </c>
      <c r="E3618" t="inlineStr">
        <is>
          <t xml:space="preserve">COP PE </t>
        </is>
      </c>
      <c r="J3618" t="inlineStr">
        <is>
          <t>BERNARDEAU</t>
        </is>
      </c>
      <c r="K3618" t="inlineStr">
        <is>
          <t>CUIVRE</t>
        </is>
      </c>
      <c r="L3618">
        <f>_xlfn.XLOOKUP(Tableau1[[#This Row],[TYPE DE PIECE]],Tableau4[MATIERE],Tableau4[SHORT TYPE],"",0,1)</f>
        <v/>
      </c>
      <c r="N3618">
        <f>IF(ISERR(FIND("DECOUPE",Tableau1[[#This Row],[DESIGNATION]])),"","NEED REF")</f>
        <v/>
      </c>
    </row>
    <row r="3619">
      <c r="B3619" t="n">
        <v>34410386</v>
      </c>
      <c r="C3619" s="2" t="n">
        <v>44627</v>
      </c>
      <c r="D3619" t="inlineStr">
        <is>
          <t>SPEC</t>
        </is>
      </c>
      <c r="E3619" t="inlineStr">
        <is>
          <t>COP LIAISON PE</t>
        </is>
      </c>
      <c r="J3619" t="inlineStr">
        <is>
          <t>BERNARDEAU</t>
        </is>
      </c>
      <c r="K3619" t="inlineStr">
        <is>
          <t>CUIVRE</t>
        </is>
      </c>
      <c r="L3619">
        <f>_xlfn.XLOOKUP(Tableau1[[#This Row],[TYPE DE PIECE]],Tableau4[MATIERE],Tableau4[SHORT TYPE],"",0,1)</f>
        <v/>
      </c>
      <c r="N3619">
        <f>IF(ISERR(FIND("DECOUPE",Tableau1[[#This Row],[DESIGNATION]])),"","NEED REF")</f>
        <v/>
      </c>
    </row>
    <row r="3620">
      <c r="B3620" t="n">
        <v>34410385</v>
      </c>
      <c r="C3620" s="2" t="n">
        <v>44627</v>
      </c>
      <c r="D3620" t="inlineStr">
        <is>
          <t>SPEC</t>
        </is>
      </c>
      <c r="E3620" t="inlineStr">
        <is>
          <t>SMT PLAQUE TGAB</t>
        </is>
      </c>
      <c r="J3620" t="inlineStr">
        <is>
          <t>BERNARDEAU</t>
        </is>
      </c>
      <c r="K3620" t="inlineStr">
        <is>
          <t>METAL</t>
        </is>
      </c>
      <c r="L3620">
        <f>_xlfn.XLOOKUP(Tableau1[[#This Row],[TYPE DE PIECE]],Tableau4[MATIERE],Tableau4[SHORT TYPE],"",0,1)</f>
        <v/>
      </c>
      <c r="N3620">
        <f>IF(ISERR(FIND("DECOUPE",Tableau1[[#This Row],[DESIGNATION]])),"","NEED REF")</f>
        <v/>
      </c>
    </row>
    <row r="3621">
      <c r="B3621" t="n">
        <v>34410384</v>
      </c>
      <c r="C3621" s="2" t="n">
        <v>44627</v>
      </c>
      <c r="D3621" t="inlineStr">
        <is>
          <t>SPEC</t>
        </is>
      </c>
      <c r="E3621" t="inlineStr">
        <is>
          <t>PLA BRIDE JEU DE BARRE NSX630</t>
        </is>
      </c>
      <c r="H3621" t="inlineStr">
        <is>
          <t>BYPASS</t>
        </is>
      </c>
      <c r="J3621" t="inlineStr">
        <is>
          <t>MATRION</t>
        </is>
      </c>
      <c r="K3621" t="inlineStr">
        <is>
          <t>METAL</t>
        </is>
      </c>
      <c r="L3621">
        <f>_xlfn.XLOOKUP(Tableau1[[#This Row],[TYPE DE PIECE]],Tableau4[MATIERE],Tableau4[SHORT TYPE],"",0,1)</f>
        <v/>
      </c>
      <c r="N3621">
        <f>IF(ISERR(FIND("DECOUPE",Tableau1[[#This Row],[DESIGNATION]])),"","NEED REF")</f>
        <v/>
      </c>
    </row>
    <row r="3622">
      <c r="B3622" t="n">
        <v>34410383</v>
      </c>
      <c r="C3622" s="2" t="n">
        <v>44624</v>
      </c>
      <c r="D3622" t="inlineStr">
        <is>
          <t>SPEC</t>
        </is>
      </c>
      <c r="E3622" t="inlineStr">
        <is>
          <t>ENSEMBLE CABLE REINFORCEMENT HALO</t>
        </is>
      </c>
      <c r="J3622" t="inlineStr">
        <is>
          <t>BERNARDEAU</t>
        </is>
      </c>
      <c r="K3622" t="inlineStr">
        <is>
          <t>=S=</t>
        </is>
      </c>
      <c r="L3622">
        <f>_xlfn.XLOOKUP(Tableau1[[#This Row],[TYPE DE PIECE]],Tableau4[MATIERE],Tableau4[SHORT TYPE],"",0,1)</f>
        <v/>
      </c>
      <c r="N3622">
        <f>IF(ISERR(FIND("DECOUPE",Tableau1[[#This Row],[DESIGNATION]])),"","NEED REF")</f>
        <v/>
      </c>
    </row>
    <row r="3623">
      <c r="B3623" t="n">
        <v>34410382</v>
      </c>
      <c r="C3623" s="2" t="n">
        <v>44624</v>
      </c>
      <c r="D3623" t="inlineStr">
        <is>
          <t>SPEC</t>
        </is>
      </c>
      <c r="E3623" t="inlineStr">
        <is>
          <t>COP LIAISON N</t>
        </is>
      </c>
      <c r="J3623" t="inlineStr">
        <is>
          <t>BERNARDEAU</t>
        </is>
      </c>
      <c r="K3623" t="inlineStr">
        <is>
          <t>CUIVRE</t>
        </is>
      </c>
      <c r="L3623">
        <f>_xlfn.XLOOKUP(Tableau1[[#This Row],[TYPE DE PIECE]],Tableau4[MATIERE],Tableau4[SHORT TYPE],"",0,1)</f>
        <v/>
      </c>
      <c r="N3623">
        <f>IF(ISERR(FIND("DECOUPE",Tableau1[[#This Row],[DESIGNATION]])),"","NEED REF")</f>
        <v/>
      </c>
    </row>
    <row r="3624">
      <c r="B3624" t="n">
        <v>34410381</v>
      </c>
      <c r="C3624" s="2" t="n">
        <v>44624</v>
      </c>
      <c r="D3624" t="inlineStr">
        <is>
          <t>SPEC</t>
        </is>
      </c>
      <c r="E3624" t="inlineStr">
        <is>
          <t>COP LIAISON</t>
        </is>
      </c>
      <c r="J3624" t="inlineStr">
        <is>
          <t>BERNARDEAU</t>
        </is>
      </c>
      <c r="K3624" t="inlineStr">
        <is>
          <t>CUIVRE</t>
        </is>
      </c>
      <c r="L3624">
        <f>_xlfn.XLOOKUP(Tableau1[[#This Row],[TYPE DE PIECE]],Tableau4[MATIERE],Tableau4[SHORT TYPE],"",0,1)</f>
        <v/>
      </c>
      <c r="N3624">
        <f>IF(ISERR(FIND("DECOUPE",Tableau1[[#This Row],[DESIGNATION]])),"","NEED REF")</f>
        <v/>
      </c>
    </row>
    <row r="3625">
      <c r="B3625" t="n">
        <v>34410380</v>
      </c>
      <c r="C3625" s="2" t="n">
        <v>44624</v>
      </c>
      <c r="D3625" t="inlineStr">
        <is>
          <t>SPEC</t>
        </is>
      </c>
      <c r="E3625" t="inlineStr">
        <is>
          <t>COP CX MBB/SSIB_UOB - 4</t>
        </is>
      </c>
      <c r="H3625" t="inlineStr">
        <is>
          <t>BYPASS</t>
        </is>
      </c>
      <c r="J3625" t="inlineStr">
        <is>
          <t>MATRION</t>
        </is>
      </c>
      <c r="K3625" t="inlineStr">
        <is>
          <t>CUIVRE</t>
        </is>
      </c>
      <c r="L3625">
        <f>_xlfn.XLOOKUP(Tableau1[[#This Row],[TYPE DE PIECE]],Tableau4[MATIERE],Tableau4[SHORT TYPE],"",0,1)</f>
        <v/>
      </c>
      <c r="N3625">
        <f>IF(ISERR(FIND("DECOUPE",Tableau1[[#This Row],[DESIGNATION]])),"","NEED REF")</f>
        <v/>
      </c>
    </row>
    <row r="3626">
      <c r="B3626" t="n">
        <v>34410379</v>
      </c>
      <c r="C3626" s="2" t="n">
        <v>44624</v>
      </c>
      <c r="D3626" t="inlineStr">
        <is>
          <t>SPEC</t>
        </is>
      </c>
      <c r="E3626" t="inlineStr">
        <is>
          <t>COP CX MBB/SSIB_UOB - 3</t>
        </is>
      </c>
      <c r="H3626" t="inlineStr">
        <is>
          <t>BYPASS</t>
        </is>
      </c>
      <c r="J3626" t="inlineStr">
        <is>
          <t>MATRION</t>
        </is>
      </c>
      <c r="K3626" t="inlineStr">
        <is>
          <t>CUIVRE</t>
        </is>
      </c>
      <c r="L3626">
        <f>_xlfn.XLOOKUP(Tableau1[[#This Row],[TYPE DE PIECE]],Tableau4[MATIERE],Tableau4[SHORT TYPE],"",0,1)</f>
        <v/>
      </c>
      <c r="N3626">
        <f>IF(ISERR(FIND("DECOUPE",Tableau1[[#This Row],[DESIGNATION]])),"","NEED REF")</f>
        <v/>
      </c>
    </row>
    <row r="3627">
      <c r="B3627" t="n">
        <v>34410378</v>
      </c>
      <c r="C3627" s="2" t="n">
        <v>44624</v>
      </c>
      <c r="D3627" t="inlineStr">
        <is>
          <t>SPEC</t>
        </is>
      </c>
      <c r="E3627" t="inlineStr">
        <is>
          <t>COP CX MBB/SSIB_UOB - 2</t>
        </is>
      </c>
      <c r="H3627" t="inlineStr">
        <is>
          <t>BYPASS</t>
        </is>
      </c>
      <c r="J3627" t="inlineStr">
        <is>
          <t>MATRION</t>
        </is>
      </c>
      <c r="K3627" t="inlineStr">
        <is>
          <t>CUIVRE</t>
        </is>
      </c>
      <c r="L3627">
        <f>_xlfn.XLOOKUP(Tableau1[[#This Row],[TYPE DE PIECE]],Tableau4[MATIERE],Tableau4[SHORT TYPE],"",0,1)</f>
        <v/>
      </c>
      <c r="N3627">
        <f>IF(ISERR(FIND("DECOUPE",Tableau1[[#This Row],[DESIGNATION]])),"","NEED REF")</f>
        <v/>
      </c>
    </row>
    <row r="3628">
      <c r="B3628" t="n">
        <v>34410377</v>
      </c>
      <c r="C3628" s="2" t="n">
        <v>44624</v>
      </c>
      <c r="D3628" t="inlineStr">
        <is>
          <t>SPEC</t>
        </is>
      </c>
      <c r="E3628" t="inlineStr">
        <is>
          <t>COP CX MBB/SSIB_UOB - 1</t>
        </is>
      </c>
      <c r="H3628" t="inlineStr">
        <is>
          <t>BYPASS</t>
        </is>
      </c>
      <c r="J3628" t="inlineStr">
        <is>
          <t>MATRION</t>
        </is>
      </c>
      <c r="K3628" t="inlineStr">
        <is>
          <t>CUIVRE</t>
        </is>
      </c>
      <c r="L3628">
        <f>_xlfn.XLOOKUP(Tableau1[[#This Row],[TYPE DE PIECE]],Tableau4[MATIERE],Tableau4[SHORT TYPE],"",0,1)</f>
        <v/>
      </c>
      <c r="N3628">
        <f>IF(ISERR(FIND("DECOUPE",Tableau1[[#This Row],[DESIGNATION]])),"","NEED REF")</f>
        <v/>
      </c>
    </row>
    <row r="3629">
      <c r="B3629" t="n">
        <v>34410376</v>
      </c>
      <c r="C3629" s="2" t="n">
        <v>44624</v>
      </c>
      <c r="D3629" t="inlineStr">
        <is>
          <t>SPEC</t>
        </is>
      </c>
      <c r="E3629" t="inlineStr">
        <is>
          <t>SMT PLATINE MTZ1</t>
        </is>
      </c>
      <c r="H3629" t="inlineStr">
        <is>
          <t>BYPASS</t>
        </is>
      </c>
      <c r="J3629" t="inlineStr">
        <is>
          <t>MATRION</t>
        </is>
      </c>
      <c r="K3629" t="inlineStr">
        <is>
          <t>METAL</t>
        </is>
      </c>
      <c r="L3629">
        <f>_xlfn.XLOOKUP(Tableau1[[#This Row],[TYPE DE PIECE]],Tableau4[MATIERE],Tableau4[SHORT TYPE],"",0,1)</f>
        <v/>
      </c>
      <c r="N3629">
        <f>IF(ISERR(FIND("DECOUPE",Tableau1[[#This Row],[DESIGNATION]])),"","NEED REF")</f>
        <v/>
      </c>
    </row>
    <row r="3630">
      <c r="B3630" t="n">
        <v>34410375</v>
      </c>
      <c r="C3630" s="2" t="n">
        <v>44623</v>
      </c>
      <c r="D3630" t="inlineStr">
        <is>
          <t>SPEC</t>
        </is>
      </c>
      <c r="E3630" t="inlineStr">
        <is>
          <t>COP CX CLIENT SOURCE</t>
        </is>
      </c>
      <c r="H3630" t="inlineStr">
        <is>
          <t>BYPASS</t>
        </is>
      </c>
      <c r="J3630" t="inlineStr">
        <is>
          <t>MATRION</t>
        </is>
      </c>
      <c r="K3630" t="inlineStr">
        <is>
          <t>CUIVRE</t>
        </is>
      </c>
      <c r="L3630">
        <f>_xlfn.XLOOKUP(Tableau1[[#This Row],[TYPE DE PIECE]],Tableau4[MATIERE],Tableau4[SHORT TYPE],"",0,1)</f>
        <v/>
      </c>
      <c r="N3630">
        <f>IF(ISERR(FIND("DECOUPE",Tableau1[[#This Row],[DESIGNATION]])),"","NEED REF")</f>
        <v/>
      </c>
    </row>
    <row r="3631">
      <c r="B3631" t="n">
        <v>34410374</v>
      </c>
      <c r="C3631" s="2" t="n">
        <v>44623</v>
      </c>
      <c r="D3631" t="inlineStr">
        <is>
          <t>SPEC</t>
        </is>
      </c>
      <c r="E3631" t="inlineStr">
        <is>
          <t>COP CX CLIENT BYPASS OUTPUT</t>
        </is>
      </c>
      <c r="H3631" t="inlineStr">
        <is>
          <t>BYPASS</t>
        </is>
      </c>
      <c r="J3631" t="inlineStr">
        <is>
          <t>MATRION</t>
        </is>
      </c>
      <c r="K3631" t="inlineStr">
        <is>
          <t>CUIVRE</t>
        </is>
      </c>
      <c r="L3631">
        <f>_xlfn.XLOOKUP(Tableau1[[#This Row],[TYPE DE PIECE]],Tableau4[MATIERE],Tableau4[SHORT TYPE],"",0,1)</f>
        <v/>
      </c>
      <c r="N3631">
        <f>IF(ISERR(FIND("DECOUPE",Tableau1[[#This Row],[DESIGNATION]])),"","NEED REF")</f>
        <v/>
      </c>
    </row>
    <row r="3632">
      <c r="B3632" t="n">
        <v>34410373</v>
      </c>
      <c r="C3632" s="2" t="n">
        <v>44623</v>
      </c>
      <c r="D3632" t="inlineStr">
        <is>
          <t>SPEC</t>
        </is>
      </c>
      <c r="E3632" t="inlineStr">
        <is>
          <t>COP CX CLIENT BYPASS INPUT</t>
        </is>
      </c>
      <c r="H3632" t="inlineStr">
        <is>
          <t>BYPASS</t>
        </is>
      </c>
      <c r="J3632" t="inlineStr">
        <is>
          <t>MATRION</t>
        </is>
      </c>
      <c r="K3632" t="inlineStr">
        <is>
          <t>CUIVRE</t>
        </is>
      </c>
      <c r="L3632">
        <f>_xlfn.XLOOKUP(Tableau1[[#This Row],[TYPE DE PIECE]],Tableau4[MATIERE],Tableau4[SHORT TYPE],"",0,1)</f>
        <v/>
      </c>
      <c r="N3632">
        <f>IF(ISERR(FIND("DECOUPE",Tableau1[[#This Row],[DESIGNATION]])),"","NEED REF")</f>
        <v/>
      </c>
    </row>
    <row r="3633">
      <c r="B3633" t="n">
        <v>34410372</v>
      </c>
      <c r="C3633" s="2" t="n">
        <v>44623</v>
      </c>
      <c r="D3633" t="inlineStr">
        <is>
          <t>SPEC</t>
        </is>
      </c>
      <c r="E3633" t="inlineStr">
        <is>
          <t>COP CX MBB/UIB - L3</t>
        </is>
      </c>
      <c r="H3633" t="inlineStr">
        <is>
          <t>BYPASS</t>
        </is>
      </c>
      <c r="J3633" t="inlineStr">
        <is>
          <t>MATRION</t>
        </is>
      </c>
      <c r="K3633" t="inlineStr">
        <is>
          <t>CUIVRE</t>
        </is>
      </c>
      <c r="L3633">
        <f>_xlfn.XLOOKUP(Tableau1[[#This Row],[TYPE DE PIECE]],Tableau4[MATIERE],Tableau4[SHORT TYPE],"",0,1)</f>
        <v/>
      </c>
      <c r="N3633">
        <f>IF(ISERR(FIND("DECOUPE",Tableau1[[#This Row],[DESIGNATION]])),"","NEED REF")</f>
        <v/>
      </c>
    </row>
    <row r="3634">
      <c r="B3634" t="n">
        <v>34410371</v>
      </c>
      <c r="C3634" s="2" t="n">
        <v>44623</v>
      </c>
      <c r="D3634" t="inlineStr">
        <is>
          <t>SPEC</t>
        </is>
      </c>
      <c r="E3634" t="inlineStr">
        <is>
          <t>COP CX MBB/UIB - L2</t>
        </is>
      </c>
      <c r="H3634" t="inlineStr">
        <is>
          <t>BYPASS</t>
        </is>
      </c>
      <c r="J3634" t="inlineStr">
        <is>
          <t>MATRION</t>
        </is>
      </c>
      <c r="K3634" t="inlineStr">
        <is>
          <t>CUIVRE</t>
        </is>
      </c>
      <c r="L3634">
        <f>_xlfn.XLOOKUP(Tableau1[[#This Row],[TYPE DE PIECE]],Tableau4[MATIERE],Tableau4[SHORT TYPE],"",0,1)</f>
        <v/>
      </c>
      <c r="N3634">
        <f>IF(ISERR(FIND("DECOUPE",Tableau1[[#This Row],[DESIGNATION]])),"","NEED REF")</f>
        <v/>
      </c>
    </row>
    <row r="3635">
      <c r="B3635" t="n">
        <v>34410370</v>
      </c>
      <c r="C3635" s="2" t="n">
        <v>44623</v>
      </c>
      <c r="D3635" t="inlineStr">
        <is>
          <t>SPEC</t>
        </is>
      </c>
      <c r="E3635" t="inlineStr">
        <is>
          <t>COP CX MBB/UIB - L1</t>
        </is>
      </c>
      <c r="H3635" t="inlineStr">
        <is>
          <t>BYPASS</t>
        </is>
      </c>
      <c r="J3635" t="inlineStr">
        <is>
          <t>MATRION</t>
        </is>
      </c>
      <c r="K3635" t="inlineStr">
        <is>
          <t>CUIVRE</t>
        </is>
      </c>
      <c r="L3635">
        <f>_xlfn.XLOOKUP(Tableau1[[#This Row],[TYPE DE PIECE]],Tableau4[MATIERE],Tableau4[SHORT TYPE],"",0,1)</f>
        <v/>
      </c>
      <c r="N3635">
        <f>IF(ISERR(FIND("DECOUPE",Tableau1[[#This Row],[DESIGNATION]])),"","NEED REF")</f>
        <v/>
      </c>
    </row>
    <row r="3636">
      <c r="B3636" t="n">
        <v>34410369</v>
      </c>
      <c r="C3636" s="2" t="n">
        <v>44623</v>
      </c>
      <c r="D3636" t="inlineStr">
        <is>
          <t>SPEC</t>
        </is>
      </c>
      <c r="E3636" t="inlineStr">
        <is>
          <t>COP CX MBB/UIB - N</t>
        </is>
      </c>
      <c r="H3636" t="inlineStr">
        <is>
          <t>BYPASS</t>
        </is>
      </c>
      <c r="J3636" t="inlineStr">
        <is>
          <t>MATRION</t>
        </is>
      </c>
      <c r="K3636" t="inlineStr">
        <is>
          <t>CUIVRE</t>
        </is>
      </c>
      <c r="L3636">
        <f>_xlfn.XLOOKUP(Tableau1[[#This Row],[TYPE DE PIECE]],Tableau4[MATIERE],Tableau4[SHORT TYPE],"",0,1)</f>
        <v/>
      </c>
      <c r="N3636">
        <f>IF(ISERR(FIND("DECOUPE",Tableau1[[#This Row],[DESIGNATION]])),"","NEED REF")</f>
        <v/>
      </c>
    </row>
    <row r="3637">
      <c r="B3637" t="n">
        <v>34410368</v>
      </c>
      <c r="C3637" s="2" t="n">
        <v>44622</v>
      </c>
      <c r="D3637" t="inlineStr">
        <is>
          <t>SPEC</t>
        </is>
      </c>
      <c r="E3637" t="inlineStr">
        <is>
          <t>SWITCH / INTER NS800NA 4P + 2*OF</t>
        </is>
      </c>
      <c r="F3637" t="inlineStr">
        <is>
          <t>COMTRADE DISTRIBUTION DOO SERBIE</t>
        </is>
      </c>
      <c r="G3637" t="inlineStr">
        <is>
          <t>GVL</t>
        </is>
      </c>
      <c r="H3637" t="inlineStr">
        <is>
          <t>BYPASS</t>
        </is>
      </c>
      <c r="J3637" t="inlineStr">
        <is>
          <t>JAWORSKI</t>
        </is>
      </c>
      <c r="K3637" t="inlineStr">
        <is>
          <t>=S=</t>
        </is>
      </c>
      <c r="L3637">
        <f>_xlfn.XLOOKUP(Tableau1[[#This Row],[TYPE DE PIECE]],Tableau4[MATIERE],Tableau4[SHORT TYPE],"",0,1)</f>
        <v/>
      </c>
      <c r="N3637">
        <f>IF(ISERR(FIND("DECOUPE",Tableau1[[#This Row],[DESIGNATION]])),"","NEED REF")</f>
        <v/>
      </c>
    </row>
    <row r="3638">
      <c r="B3638" t="n">
        <v>34410367</v>
      </c>
      <c r="C3638" s="2" t="n">
        <v>44622</v>
      </c>
      <c r="D3638" t="inlineStr">
        <is>
          <t>SPEC</t>
        </is>
      </c>
      <c r="E3638" t="inlineStr">
        <is>
          <t>CB / DJ NS1000N 4P4D Micrologic 2.0E + 2*OF</t>
        </is>
      </c>
      <c r="F3638" t="inlineStr">
        <is>
          <t>COMTRADE DISTRIBUTION DOO SERBIE</t>
        </is>
      </c>
      <c r="G3638" t="inlineStr">
        <is>
          <t>GVL</t>
        </is>
      </c>
      <c r="H3638" t="inlineStr">
        <is>
          <t>BYPASS</t>
        </is>
      </c>
      <c r="J3638" t="inlineStr">
        <is>
          <t>JAWORSKI</t>
        </is>
      </c>
      <c r="K3638" t="inlineStr">
        <is>
          <t>=S=</t>
        </is>
      </c>
      <c r="L3638">
        <f>_xlfn.XLOOKUP(Tableau1[[#This Row],[TYPE DE PIECE]],Tableau4[MATIERE],Tableau4[SHORT TYPE],"",0,1)</f>
        <v/>
      </c>
      <c r="N3638">
        <f>IF(ISERR(FIND("DECOUPE",Tableau1[[#This Row],[DESIGNATION]])),"","NEED REF")</f>
        <v/>
      </c>
    </row>
    <row r="3639">
      <c r="B3639" t="n">
        <v>34410366</v>
      </c>
      <c r="C3639" s="2" t="n">
        <v>44622</v>
      </c>
      <c r="D3639" t="inlineStr">
        <is>
          <t>SPEC</t>
        </is>
      </c>
      <c r="E3639" t="inlineStr">
        <is>
          <t>CB / DJ MTZ16 Micrologic 5.0 4P + 2*OF</t>
        </is>
      </c>
      <c r="F3639" t="inlineStr">
        <is>
          <t>COMTRADE DISTRIBUTION DOO SERBIE</t>
        </is>
      </c>
      <c r="G3639" t="inlineStr">
        <is>
          <t>GVL</t>
        </is>
      </c>
      <c r="H3639" t="inlineStr">
        <is>
          <t>BYPASS</t>
        </is>
      </c>
      <c r="J3639" t="inlineStr">
        <is>
          <t>JAWORSKI</t>
        </is>
      </c>
      <c r="K3639" t="inlineStr">
        <is>
          <t>=S=</t>
        </is>
      </c>
      <c r="L3639">
        <f>_xlfn.XLOOKUP(Tableau1[[#This Row],[TYPE DE PIECE]],Tableau4[MATIERE],Tableau4[SHORT TYPE],"",0,1)</f>
        <v/>
      </c>
      <c r="N3639">
        <f>IF(ISERR(FIND("DECOUPE",Tableau1[[#This Row],[DESIGNATION]])),"","NEED REF")</f>
        <v/>
      </c>
    </row>
    <row r="3640">
      <c r="B3640" t="n">
        <v>34410365</v>
      </c>
      <c r="C3640" s="2" t="n">
        <v>44622</v>
      </c>
      <c r="D3640" t="inlineStr">
        <is>
          <t>SPEC</t>
        </is>
      </c>
      <c r="E3640" t="inlineStr">
        <is>
          <t>WIRE KIT CABLE 1250</t>
        </is>
      </c>
      <c r="G3640" t="inlineStr">
        <is>
          <t>GVX</t>
        </is>
      </c>
      <c r="H3640" t="inlineStr">
        <is>
          <t>IO</t>
        </is>
      </c>
      <c r="J3640" t="inlineStr">
        <is>
          <t>BERNARDEAU</t>
        </is>
      </c>
      <c r="K3640" t="inlineStr">
        <is>
          <t>FILERIE</t>
        </is>
      </c>
      <c r="L3640">
        <f>_xlfn.XLOOKUP(Tableau1[[#This Row],[TYPE DE PIECE]],Tableau4[MATIERE],Tableau4[SHORT TYPE],"",0,1)</f>
        <v/>
      </c>
      <c r="N3640">
        <f>IF(ISERR(FIND("DECOUPE",Tableau1[[#This Row],[DESIGNATION]])),"","NEED REF")</f>
        <v/>
      </c>
    </row>
    <row r="3641">
      <c r="B3641" t="n">
        <v>34410364</v>
      </c>
      <c r="C3641" s="2" t="n">
        <v>44622</v>
      </c>
      <c r="D3641" t="inlineStr">
        <is>
          <t>SPEC</t>
        </is>
      </c>
      <c r="E3641" t="inlineStr">
        <is>
          <t>PLA PLAQUE ISOLATION SORTIES NSX</t>
        </is>
      </c>
      <c r="G3641" t="inlineStr">
        <is>
          <t>GVL</t>
        </is>
      </c>
      <c r="H3641" t="inlineStr">
        <is>
          <t>BYPASS</t>
        </is>
      </c>
      <c r="J3641" t="inlineStr">
        <is>
          <t>MATRION</t>
        </is>
      </c>
      <c r="K3641" t="inlineStr">
        <is>
          <t>PLASTIQUE</t>
        </is>
      </c>
      <c r="L3641">
        <f>_xlfn.XLOOKUP(Tableau1[[#This Row],[TYPE DE PIECE]],Tableau4[MATIERE],Tableau4[SHORT TYPE],"",0,1)</f>
        <v/>
      </c>
      <c r="N3641">
        <f>IF(ISERR(FIND("DECOUPE",Tableau1[[#This Row],[DESIGNATION]])),"","NEED REF")</f>
        <v/>
      </c>
    </row>
    <row r="3642">
      <c r="B3642" t="n">
        <v>34410363</v>
      </c>
      <c r="C3642" s="2" t="n">
        <v>44622</v>
      </c>
      <c r="D3642" t="inlineStr">
        <is>
          <t>SPEC</t>
        </is>
      </c>
      <c r="E3642" t="inlineStr">
        <is>
          <t>SMT SUPPORT NSX</t>
        </is>
      </c>
      <c r="G3642" t="inlineStr">
        <is>
          <t>GVL</t>
        </is>
      </c>
      <c r="H3642" t="inlineStr">
        <is>
          <t>BYPASS</t>
        </is>
      </c>
      <c r="J3642" t="inlineStr">
        <is>
          <t>MATRION</t>
        </is>
      </c>
      <c r="K3642" t="inlineStr">
        <is>
          <t>METAL</t>
        </is>
      </c>
      <c r="L3642">
        <f>_xlfn.XLOOKUP(Tableau1[[#This Row],[TYPE DE PIECE]],Tableau4[MATIERE],Tableau4[SHORT TYPE],"",0,1)</f>
        <v/>
      </c>
      <c r="N3642">
        <f>IF(ISERR(FIND("DECOUPE",Tableau1[[#This Row],[DESIGNATION]])),"","NEED REF")</f>
        <v/>
      </c>
    </row>
    <row r="3643">
      <c r="B3643" t="n">
        <v>34410362</v>
      </c>
      <c r="C3643" s="2" t="n">
        <v>44621</v>
      </c>
      <c r="D3643" t="inlineStr">
        <is>
          <t>SPEC</t>
        </is>
      </c>
      <c r="E3643" t="inlineStr">
        <is>
          <t>SMT RENFORCEMENT PROTECTION IP30</t>
        </is>
      </c>
      <c r="F3643" t="inlineStr">
        <is>
          <t>GVEAC5</t>
        </is>
      </c>
      <c r="G3643" t="inlineStr">
        <is>
          <t>GVE</t>
        </is>
      </c>
      <c r="J3643" t="inlineStr">
        <is>
          <t>MATRION</t>
        </is>
      </c>
      <c r="L3643">
        <f>_xlfn.XLOOKUP(Tableau1[[#This Row],[TYPE DE PIECE]],Tableau4[MATIERE],Tableau4[SHORT TYPE],"",0,1)</f>
        <v/>
      </c>
      <c r="M3643" t="inlineStr">
        <is>
          <t>IP30</t>
        </is>
      </c>
      <c r="N3643">
        <f>IF(ISERR(FIND("DECOUPE",Tableau1[[#This Row],[DESIGNATION]])),"","NEED REF")</f>
        <v/>
      </c>
    </row>
    <row r="3644">
      <c r="B3644" t="n">
        <v>34410361</v>
      </c>
      <c r="C3644" s="2" t="n">
        <v>44621</v>
      </c>
      <c r="D3644" t="inlineStr">
        <is>
          <t>SPEC</t>
        </is>
      </c>
      <c r="E3644" t="inlineStr">
        <is>
          <t>SMT PATTE FIXATION GOULOTTE</t>
        </is>
      </c>
      <c r="G3644" t="inlineStr">
        <is>
          <t>GV</t>
        </is>
      </c>
      <c r="H3644" t="inlineStr">
        <is>
          <t>BYPASS</t>
        </is>
      </c>
      <c r="J3644" t="inlineStr">
        <is>
          <t>MATRION</t>
        </is>
      </c>
      <c r="K3644" t="inlineStr">
        <is>
          <t>METAL</t>
        </is>
      </c>
      <c r="L3644">
        <f>_xlfn.XLOOKUP(Tableau1[[#This Row],[TYPE DE PIECE]],Tableau4[MATIERE],Tableau4[SHORT TYPE],"",0,1)</f>
        <v/>
      </c>
      <c r="N3644">
        <f>IF(ISERR(FIND("DECOUPE",Tableau1[[#This Row],[DESIGNATION]])),"","NEED REF")</f>
        <v/>
      </c>
    </row>
    <row r="3645">
      <c r="B3645" t="n">
        <v>34410360</v>
      </c>
      <c r="C3645" s="2" t="n">
        <v>44620</v>
      </c>
      <c r="D3645" t="inlineStr">
        <is>
          <t>SPEC</t>
        </is>
      </c>
      <c r="E3645" t="inlineStr">
        <is>
          <t>SMT SUPPORT LATERAL ELEC DROIT</t>
        </is>
      </c>
      <c r="H3645" t="inlineStr">
        <is>
          <t>STS</t>
        </is>
      </c>
      <c r="J3645" t="inlineStr">
        <is>
          <t>MATRION</t>
        </is>
      </c>
      <c r="K3645" t="inlineStr">
        <is>
          <t>METAL</t>
        </is>
      </c>
      <c r="L3645">
        <f>_xlfn.XLOOKUP(Tableau1[[#This Row],[TYPE DE PIECE]],Tableau4[MATIERE],Tableau4[SHORT TYPE],"",0,1)</f>
        <v/>
      </c>
      <c r="N3645">
        <f>IF(ISERR(FIND("DECOUPE",Tableau1[[#This Row],[DESIGNATION]])),"","NEED REF")</f>
        <v/>
      </c>
    </row>
    <row r="3646">
      <c r="B3646" t="n">
        <v>34410359</v>
      </c>
      <c r="C3646" s="2" t="n">
        <v>44616</v>
      </c>
      <c r="D3646" t="inlineStr">
        <is>
          <t>SPEC</t>
        </is>
      </c>
      <c r="E3646" t="inlineStr">
        <is>
          <t>canevas ComPacT NSX630H - disjoncteur - MicroLogic 2.3 630A - 4P4D - 70kA - fixe CB2</t>
        </is>
      </c>
      <c r="F3646" t="inlineStr">
        <is>
          <t>SLTE France</t>
        </is>
      </c>
      <c r="J3646" t="inlineStr">
        <is>
          <t>BERNARDEAU</t>
        </is>
      </c>
      <c r="K3646" t="inlineStr">
        <is>
          <t>CANEVAS</t>
        </is>
      </c>
      <c r="L3646">
        <f>_xlfn.XLOOKUP(Tableau1[[#This Row],[TYPE DE PIECE]],Tableau4[MATIERE],Tableau4[SHORT TYPE],"",0,1)</f>
        <v/>
      </c>
      <c r="N3646">
        <f>IF(ISERR(FIND("DECOUPE",Tableau1[[#This Row],[DESIGNATION]])),"","NEED REF")</f>
        <v/>
      </c>
    </row>
    <row r="3647">
      <c r="B3647" t="n">
        <v>34410358</v>
      </c>
      <c r="C3647" s="2" t="n">
        <v>44616</v>
      </c>
      <c r="D3647" t="inlineStr">
        <is>
          <t>SPEC</t>
        </is>
      </c>
      <c r="E3647" t="inlineStr">
        <is>
          <t>canevas ComPacT NSX630H - disjoncteur - MicroLogic 2.3 630A - 4P4D - 70kA - fixe CB1</t>
        </is>
      </c>
      <c r="F3647" t="inlineStr">
        <is>
          <t>SLTE France</t>
        </is>
      </c>
      <c r="J3647" t="inlineStr">
        <is>
          <t>BERNARDEAU</t>
        </is>
      </c>
      <c r="K3647" t="inlineStr">
        <is>
          <t>CANEVAS</t>
        </is>
      </c>
      <c r="L3647">
        <f>_xlfn.XLOOKUP(Tableau1[[#This Row],[TYPE DE PIECE]],Tableau4[MATIERE],Tableau4[SHORT TYPE],"",0,1)</f>
        <v/>
      </c>
      <c r="N3647">
        <f>IF(ISERR(FIND("DECOUPE",Tableau1[[#This Row],[DESIGNATION]])),"","NEED REF")</f>
        <v/>
      </c>
    </row>
    <row r="3648">
      <c r="B3648" t="n">
        <v>34410357</v>
      </c>
      <c r="C3648" s="2" t="n">
        <v>44616</v>
      </c>
      <c r="D3648" t="inlineStr">
        <is>
          <t>SPEC</t>
        </is>
      </c>
      <c r="E3648" t="inlineStr">
        <is>
          <t>KIT VISSERIE CROWNBOX QPBE16221</t>
        </is>
      </c>
      <c r="F3648" t="inlineStr">
        <is>
          <t>Supernap Italy</t>
        </is>
      </c>
      <c r="G3648" t="inlineStr">
        <is>
          <t>GVX</t>
        </is>
      </c>
      <c r="H3648" t="inlineStr">
        <is>
          <t>AUX</t>
        </is>
      </c>
      <c r="J3648" t="inlineStr">
        <is>
          <t>JAWORSKI</t>
        </is>
      </c>
      <c r="K3648" t="inlineStr">
        <is>
          <t>KIT</t>
        </is>
      </c>
      <c r="L3648">
        <f>_xlfn.XLOOKUP(Tableau1[[#This Row],[TYPE DE PIECE]],Tableau4[MATIERE],Tableau4[SHORT TYPE],"",0,1)</f>
        <v/>
      </c>
      <c r="N3648">
        <f>IF(ISERR(FIND("DECOUPE",Tableau1[[#This Row],[DESIGNATION]])),"","NEED REF")</f>
        <v/>
      </c>
    </row>
    <row r="3649">
      <c r="B3649" t="n">
        <v>34410356</v>
      </c>
      <c r="C3649" s="2" t="n">
        <v>44615</v>
      </c>
      <c r="D3649" t="inlineStr">
        <is>
          <t>SPEC</t>
        </is>
      </c>
      <c r="E3649" t="inlineStr">
        <is>
          <t>SMT SUPPORT CABLE CLIENT</t>
        </is>
      </c>
      <c r="F3649" t="inlineStr">
        <is>
          <t xml:space="preserve">REGEN BOX 50A </t>
        </is>
      </c>
      <c r="G3649" t="inlineStr">
        <is>
          <t>E3S</t>
        </is>
      </c>
      <c r="H3649" t="inlineStr">
        <is>
          <t>REGEN</t>
        </is>
      </c>
      <c r="J3649" t="inlineStr">
        <is>
          <t>JAWORSKI</t>
        </is>
      </c>
      <c r="K3649" t="inlineStr">
        <is>
          <t>METAL</t>
        </is>
      </c>
      <c r="L3649">
        <f>_xlfn.XLOOKUP(Tableau1[[#This Row],[TYPE DE PIECE]],Tableau4[MATIERE],Tableau4[SHORT TYPE],"",0,1)</f>
        <v/>
      </c>
      <c r="N3649">
        <f>IF(ISERR(FIND("DECOUPE",Tableau1[[#This Row],[DESIGNATION]])),"","NEED REF")</f>
        <v/>
      </c>
    </row>
    <row r="3650">
      <c r="B3650" t="n">
        <v>34410355</v>
      </c>
      <c r="C3650" s="2" t="n">
        <v>44615</v>
      </c>
      <c r="D3650" t="inlineStr">
        <is>
          <t>SPEC</t>
        </is>
      </c>
      <c r="E3650" t="inlineStr">
        <is>
          <t>PLA PROTECTION JDB BATTERY</t>
        </is>
      </c>
      <c r="F3650" t="inlineStr">
        <is>
          <t>=S= Italie</t>
        </is>
      </c>
      <c r="G3650" t="inlineStr">
        <is>
          <t>GVM</t>
        </is>
      </c>
      <c r="J3650" t="inlineStr">
        <is>
          <t>BERNARDEAU</t>
        </is>
      </c>
      <c r="K3650" t="inlineStr">
        <is>
          <t>PLASTIQUE</t>
        </is>
      </c>
      <c r="L3650">
        <f>_xlfn.XLOOKUP(Tableau1[[#This Row],[TYPE DE PIECE]],Tableau4[MATIERE],Tableau4[SHORT TYPE],"",0,1)</f>
        <v/>
      </c>
      <c r="N3650">
        <f>IF(ISERR(FIND("DECOUPE",Tableau1[[#This Row],[DESIGNATION]])),"","NEED REF")</f>
        <v/>
      </c>
    </row>
    <row r="3651">
      <c r="B3651" t="n">
        <v>34410354</v>
      </c>
      <c r="C3651" s="2" t="n">
        <v>44615</v>
      </c>
      <c r="D3651" t="inlineStr">
        <is>
          <t>SPEC</t>
        </is>
      </c>
      <c r="E3651" t="inlineStr">
        <is>
          <t>SMT SUPPORT ISW</t>
        </is>
      </c>
      <c r="F3651" t="inlineStr">
        <is>
          <t xml:space="preserve">REGEN BOX 50A </t>
        </is>
      </c>
      <c r="G3651" t="inlineStr">
        <is>
          <t>E3S</t>
        </is>
      </c>
      <c r="H3651" t="inlineStr">
        <is>
          <t>REGEN</t>
        </is>
      </c>
      <c r="J3651" t="inlineStr">
        <is>
          <t>JAWORSKI</t>
        </is>
      </c>
      <c r="K3651" t="inlineStr">
        <is>
          <t>METAL</t>
        </is>
      </c>
      <c r="L3651">
        <f>_xlfn.XLOOKUP(Tableau1[[#This Row],[TYPE DE PIECE]],Tableau4[MATIERE],Tableau4[SHORT TYPE],"",0,1)</f>
        <v/>
      </c>
      <c r="N3651">
        <f>IF(ISERR(FIND("DECOUPE",Tableau1[[#This Row],[DESIGNATION]])),"","NEED REF")</f>
        <v/>
      </c>
    </row>
    <row r="3652">
      <c r="B3652" t="n">
        <v>34410353</v>
      </c>
      <c r="C3652" s="2" t="n">
        <v>44614</v>
      </c>
      <c r="D3652" t="inlineStr">
        <is>
          <t>SPEC</t>
        </is>
      </c>
      <c r="E3652" t="inlineStr">
        <is>
          <t>SMT PLASTRON REGEN 50A</t>
        </is>
      </c>
      <c r="F3652" t="inlineStr">
        <is>
          <t xml:space="preserve">REGEN BOX 50A </t>
        </is>
      </c>
      <c r="G3652" t="inlineStr">
        <is>
          <t>E3S</t>
        </is>
      </c>
      <c r="H3652" t="inlineStr">
        <is>
          <t>REGEN</t>
        </is>
      </c>
      <c r="J3652" t="inlineStr">
        <is>
          <t>JAWORSKI</t>
        </is>
      </c>
      <c r="K3652" t="inlineStr">
        <is>
          <t>METAL</t>
        </is>
      </c>
      <c r="L3652">
        <f>_xlfn.XLOOKUP(Tableau1[[#This Row],[TYPE DE PIECE]],Tableau4[MATIERE],Tableau4[SHORT TYPE],"",0,1)</f>
        <v/>
      </c>
      <c r="N3652">
        <f>IF(ISERR(FIND("DECOUPE",Tableau1[[#This Row],[DESIGNATION]])),"","NEED REF")</f>
        <v/>
      </c>
    </row>
    <row r="3653">
      <c r="B3653" t="n">
        <v>34410352</v>
      </c>
      <c r="C3653" s="2" t="n">
        <v>44614</v>
      </c>
      <c r="D3653" t="inlineStr">
        <is>
          <t>SPEC</t>
        </is>
      </c>
      <c r="E3653" t="inlineStr">
        <is>
          <t>SMT SUPPORT ISW + BORNES</t>
        </is>
      </c>
      <c r="F3653" t="inlineStr">
        <is>
          <t xml:space="preserve">REGEN BOX 50A </t>
        </is>
      </c>
      <c r="G3653" t="inlineStr">
        <is>
          <t>E3S</t>
        </is>
      </c>
      <c r="H3653" t="inlineStr">
        <is>
          <t>REGEN</t>
        </is>
      </c>
      <c r="J3653" t="inlineStr">
        <is>
          <t>JAWORSKI</t>
        </is>
      </c>
      <c r="K3653" t="inlineStr">
        <is>
          <t>METAL</t>
        </is>
      </c>
      <c r="L3653">
        <f>_xlfn.XLOOKUP(Tableau1[[#This Row],[TYPE DE PIECE]],Tableau4[MATIERE],Tableau4[SHORT TYPE],"",0,1)</f>
        <v/>
      </c>
      <c r="N3653">
        <f>IF(ISERR(FIND("DECOUPE",Tableau1[[#This Row],[DESIGNATION]])),"","NEED REF")</f>
        <v/>
      </c>
    </row>
    <row r="3654">
      <c r="B3654" t="n">
        <v>34410351</v>
      </c>
      <c r="C3654" s="2" t="n">
        <v>44614</v>
      </c>
      <c r="D3654" t="inlineStr">
        <is>
          <t>SPEC</t>
        </is>
      </c>
      <c r="E3654" t="inlineStr">
        <is>
          <t>PLASTRON ASSEMBLE</t>
        </is>
      </c>
      <c r="F3654" t="inlineStr">
        <is>
          <t>=S= Italie</t>
        </is>
      </c>
      <c r="G3654" t="inlineStr">
        <is>
          <t>GVM</t>
        </is>
      </c>
      <c r="J3654" t="inlineStr">
        <is>
          <t>BERNARDEAU</t>
        </is>
      </c>
      <c r="L3654">
        <f>_xlfn.XLOOKUP(Tableau1[[#This Row],[TYPE DE PIECE]],Tableau4[MATIERE],Tableau4[SHORT TYPE],"",0,1)</f>
        <v/>
      </c>
      <c r="N3654">
        <f>IF(ISERR(FIND("DECOUPE",Tableau1[[#This Row],[DESIGNATION]])),"","NEED REF")</f>
        <v/>
      </c>
    </row>
    <row r="3655">
      <c r="B3655" t="n">
        <v>34410350</v>
      </c>
      <c r="C3655" s="2" t="n">
        <v>44614</v>
      </c>
      <c r="D3655" t="inlineStr">
        <is>
          <t>SPEC</t>
        </is>
      </c>
      <c r="E3655" t="inlineStr">
        <is>
          <t>COP CONNEXION 3 BATT 2HOLES</t>
        </is>
      </c>
      <c r="F3655" t="inlineStr">
        <is>
          <t>E3MBBK60K80H</t>
        </is>
      </c>
      <c r="G3655" t="inlineStr">
        <is>
          <t>E3M</t>
        </is>
      </c>
      <c r="H3655" t="inlineStr">
        <is>
          <t>BATTERY</t>
        </is>
      </c>
      <c r="J3655" t="inlineStr">
        <is>
          <t>MATRION</t>
        </is>
      </c>
      <c r="K3655" t="inlineStr">
        <is>
          <t>CUIVRE</t>
        </is>
      </c>
      <c r="L3655">
        <f>_xlfn.XLOOKUP(Tableau1[[#This Row],[TYPE DE PIECE]],Tableau4[MATIERE],Tableau4[SHORT TYPE],"",0,1)</f>
        <v/>
      </c>
      <c r="N3655">
        <f>IF(ISERR(FIND("DECOUPE",Tableau1[[#This Row],[DESIGNATION]])),"","NEED REF")</f>
        <v/>
      </c>
    </row>
    <row r="3656">
      <c r="B3656" t="n">
        <v>34410349</v>
      </c>
      <c r="C3656" s="2" t="n">
        <v>44614</v>
      </c>
      <c r="D3656" t="inlineStr">
        <is>
          <t>SPEC</t>
        </is>
      </c>
      <c r="E3656" t="inlineStr">
        <is>
          <t>SMT PROTECTION CARTE</t>
        </is>
      </c>
      <c r="F3656" t="inlineStr">
        <is>
          <t>=S= Italie</t>
        </is>
      </c>
      <c r="G3656" t="inlineStr">
        <is>
          <t>GVM</t>
        </is>
      </c>
      <c r="J3656" t="inlineStr">
        <is>
          <t>BERNARDEAU</t>
        </is>
      </c>
      <c r="L3656">
        <f>_xlfn.XLOOKUP(Tableau1[[#This Row],[TYPE DE PIECE]],Tableau4[MATIERE],Tableau4[SHORT TYPE],"",0,1)</f>
        <v/>
      </c>
      <c r="N3656">
        <f>IF(ISERR(FIND("DECOUPE",Tableau1[[#This Row],[DESIGNATION]])),"","NEED REF")</f>
        <v/>
      </c>
    </row>
    <row r="3657">
      <c r="B3657" t="n">
        <v>34410348</v>
      </c>
      <c r="C3657" s="2" t="n">
        <v>44614</v>
      </c>
      <c r="D3657" t="inlineStr">
        <is>
          <t>SPEC</t>
        </is>
      </c>
      <c r="E3657" t="inlineStr">
        <is>
          <t>SMT CAPOT 2 KIT GVMBBK630EL</t>
        </is>
      </c>
      <c r="F3657" t="inlineStr">
        <is>
          <t>=S= Italie</t>
        </is>
      </c>
      <c r="G3657" t="inlineStr">
        <is>
          <t>GVM</t>
        </is>
      </c>
      <c r="J3657" t="inlineStr">
        <is>
          <t>BERNARDEAU</t>
        </is>
      </c>
      <c r="L3657">
        <f>_xlfn.XLOOKUP(Tableau1[[#This Row],[TYPE DE PIECE]],Tableau4[MATIERE],Tableau4[SHORT TYPE],"",0,1)</f>
        <v/>
      </c>
      <c r="N3657">
        <f>IF(ISERR(FIND("DECOUPE",Tableau1[[#This Row],[DESIGNATION]])),"","NEED REF")</f>
        <v/>
      </c>
    </row>
    <row r="3658">
      <c r="B3658" t="n">
        <v>34410347</v>
      </c>
      <c r="C3658" s="2" t="n">
        <v>44614</v>
      </c>
      <c r="D3658" t="inlineStr">
        <is>
          <t>SPEC</t>
        </is>
      </c>
      <c r="E3658" t="inlineStr">
        <is>
          <t>SMT PLASTRON</t>
        </is>
      </c>
      <c r="F3658" t="inlineStr">
        <is>
          <t>=S= Italie</t>
        </is>
      </c>
      <c r="G3658" t="inlineStr">
        <is>
          <t>GVM</t>
        </is>
      </c>
      <c r="J3658" t="inlineStr">
        <is>
          <t>BERNARDEAU</t>
        </is>
      </c>
      <c r="L3658">
        <f>_xlfn.XLOOKUP(Tableau1[[#This Row],[TYPE DE PIECE]],Tableau4[MATIERE],Tableau4[SHORT TYPE],"",0,1)</f>
        <v/>
      </c>
      <c r="N3658">
        <f>IF(ISERR(FIND("DECOUPE",Tableau1[[#This Row],[DESIGNATION]])),"","NEED REF")</f>
        <v/>
      </c>
    </row>
    <row r="3659">
      <c r="B3659" t="n">
        <v>34410346</v>
      </c>
      <c r="C3659" s="2" t="n">
        <v>44614</v>
      </c>
      <c r="D3659" t="inlineStr">
        <is>
          <t>SPEC</t>
        </is>
      </c>
      <c r="E3659" t="inlineStr">
        <is>
          <t>SMT SUPPORT PLASTRON H232</t>
        </is>
      </c>
      <c r="F3659" t="inlineStr">
        <is>
          <t>=S= Italie</t>
        </is>
      </c>
      <c r="G3659" t="inlineStr">
        <is>
          <t>GVM</t>
        </is>
      </c>
      <c r="J3659" t="inlineStr">
        <is>
          <t>BERNARDEAU</t>
        </is>
      </c>
      <c r="K3659" t="inlineStr">
        <is>
          <t>METAL</t>
        </is>
      </c>
      <c r="L3659">
        <f>_xlfn.XLOOKUP(Tableau1[[#This Row],[TYPE DE PIECE]],Tableau4[MATIERE],Tableau4[SHORT TYPE],"",0,1)</f>
        <v/>
      </c>
      <c r="N3659">
        <f>IF(ISERR(FIND("DECOUPE",Tableau1[[#This Row],[DESIGNATION]])),"","NEED REF")</f>
        <v/>
      </c>
    </row>
    <row r="3660">
      <c r="B3660" t="n">
        <v>34410345</v>
      </c>
      <c r="C3660" s="2" t="n">
        <v>44614</v>
      </c>
      <c r="D3660" t="inlineStr">
        <is>
          <t>SPEC</t>
        </is>
      </c>
      <c r="E3660" t="inlineStr">
        <is>
          <t>COP CONNEXION 2 BATT 2HOLES</t>
        </is>
      </c>
      <c r="F3660" t="inlineStr">
        <is>
          <t>E3MBBK60K80H</t>
        </is>
      </c>
      <c r="G3660" t="inlineStr">
        <is>
          <t>E3M</t>
        </is>
      </c>
      <c r="H3660" t="inlineStr">
        <is>
          <t>BATTERY</t>
        </is>
      </c>
      <c r="J3660" t="inlineStr">
        <is>
          <t>MATRION</t>
        </is>
      </c>
      <c r="K3660" t="inlineStr">
        <is>
          <t>CUIVRE</t>
        </is>
      </c>
      <c r="L3660">
        <f>_xlfn.XLOOKUP(Tableau1[[#This Row],[TYPE DE PIECE]],Tableau4[MATIERE],Tableau4[SHORT TYPE],"",0,1)</f>
        <v/>
      </c>
      <c r="N3660">
        <f>IF(ISERR(FIND("DECOUPE",Tableau1[[#This Row],[DESIGNATION]])),"","NEED REF")</f>
        <v/>
      </c>
    </row>
    <row r="3661">
      <c r="B3661" t="n">
        <v>34410344</v>
      </c>
      <c r="C3661" s="2" t="n">
        <v>44614</v>
      </c>
      <c r="D3661" t="inlineStr">
        <is>
          <t>SPEC</t>
        </is>
      </c>
      <c r="E3661" t="inlineStr">
        <is>
          <t>COP CONNEXION 1 BATT 2HOLES</t>
        </is>
      </c>
      <c r="F3661" t="inlineStr">
        <is>
          <t>E3MBBK60K80H</t>
        </is>
      </c>
      <c r="G3661" t="inlineStr">
        <is>
          <t>E3M</t>
        </is>
      </c>
      <c r="H3661" t="inlineStr">
        <is>
          <t>BATTERY</t>
        </is>
      </c>
      <c r="J3661" t="inlineStr">
        <is>
          <t>MATRION</t>
        </is>
      </c>
      <c r="K3661" t="inlineStr">
        <is>
          <t>CUIVRE</t>
        </is>
      </c>
      <c r="L3661">
        <f>_xlfn.XLOOKUP(Tableau1[[#This Row],[TYPE DE PIECE]],Tableau4[MATIERE],Tableau4[SHORT TYPE],"",0,1)</f>
        <v/>
      </c>
      <c r="N3661">
        <f>IF(ISERR(FIND("DECOUPE",Tableau1[[#This Row],[DESIGNATION]])),"","NEED REF")</f>
        <v/>
      </c>
    </row>
    <row r="3662">
      <c r="B3662" t="n">
        <v>34410343</v>
      </c>
      <c r="C3662" s="2" t="n">
        <v>44614</v>
      </c>
      <c r="D3662" t="inlineStr">
        <is>
          <t>SPEC</t>
        </is>
      </c>
      <c r="E3662" t="inlineStr">
        <is>
          <t>COP CONNEXION 2 BATT 4HOLES</t>
        </is>
      </c>
      <c r="F3662" t="inlineStr">
        <is>
          <t>E3MBBK60K80H</t>
        </is>
      </c>
      <c r="G3662" t="inlineStr">
        <is>
          <t>E3M</t>
        </is>
      </c>
      <c r="H3662" t="inlineStr">
        <is>
          <t>BATTERY</t>
        </is>
      </c>
      <c r="J3662" t="inlineStr">
        <is>
          <t>MATRION</t>
        </is>
      </c>
      <c r="K3662" t="inlineStr">
        <is>
          <t>CUIVRE</t>
        </is>
      </c>
      <c r="L3662">
        <f>_xlfn.XLOOKUP(Tableau1[[#This Row],[TYPE DE PIECE]],Tableau4[MATIERE],Tableau4[SHORT TYPE],"",0,1)</f>
        <v/>
      </c>
      <c r="N3662">
        <f>IF(ISERR(FIND("DECOUPE",Tableau1[[#This Row],[DESIGNATION]])),"","NEED REF")</f>
        <v/>
      </c>
    </row>
    <row r="3663">
      <c r="B3663" t="n">
        <v>34410342</v>
      </c>
      <c r="C3663" s="2" t="n">
        <v>44614</v>
      </c>
      <c r="D3663" t="inlineStr">
        <is>
          <t>SPEC</t>
        </is>
      </c>
      <c r="E3663" t="inlineStr">
        <is>
          <t>COP CONNEXION 1 BATT 4HOLES</t>
        </is>
      </c>
      <c r="F3663" t="inlineStr">
        <is>
          <t>E3MBBK60K80H</t>
        </is>
      </c>
      <c r="G3663" t="inlineStr">
        <is>
          <t>E3M</t>
        </is>
      </c>
      <c r="H3663" t="inlineStr">
        <is>
          <t>BATTERY</t>
        </is>
      </c>
      <c r="J3663" t="inlineStr">
        <is>
          <t>MATRION</t>
        </is>
      </c>
      <c r="K3663" t="inlineStr">
        <is>
          <t>CUIVRE</t>
        </is>
      </c>
      <c r="L3663">
        <f>_xlfn.XLOOKUP(Tableau1[[#This Row],[TYPE DE PIECE]],Tableau4[MATIERE],Tableau4[SHORT TYPE],"",0,1)</f>
        <v/>
      </c>
      <c r="N3663">
        <f>IF(ISERR(FIND("DECOUPE",Tableau1[[#This Row],[DESIGNATION]])),"","NEED REF")</f>
        <v/>
      </c>
    </row>
    <row r="3664">
      <c r="B3664" t="n">
        <v>34410341</v>
      </c>
      <c r="C3664" s="2" t="n">
        <v>44614</v>
      </c>
      <c r="D3664" t="inlineStr">
        <is>
          <t>SPEC</t>
        </is>
      </c>
      <c r="E3664" t="inlineStr">
        <is>
          <t>COP CONNEXION 2 BATT 4HOLES</t>
        </is>
      </c>
      <c r="F3664" t="inlineStr">
        <is>
          <t>E3MBBK100K200H</t>
        </is>
      </c>
      <c r="G3664" t="inlineStr">
        <is>
          <t>E3M</t>
        </is>
      </c>
      <c r="H3664" t="inlineStr">
        <is>
          <t>BATTERY</t>
        </is>
      </c>
      <c r="J3664" t="inlineStr">
        <is>
          <t>MATRION</t>
        </is>
      </c>
      <c r="K3664" t="inlineStr">
        <is>
          <t>CUIVRE</t>
        </is>
      </c>
      <c r="L3664">
        <f>_xlfn.XLOOKUP(Tableau1[[#This Row],[TYPE DE PIECE]],Tableau4[MATIERE],Tableau4[SHORT TYPE],"",0,1)</f>
        <v/>
      </c>
      <c r="N3664">
        <f>IF(ISERR(FIND("DECOUPE",Tableau1[[#This Row],[DESIGNATION]])),"","NEED REF")</f>
        <v/>
      </c>
    </row>
    <row r="3665">
      <c r="B3665" t="n">
        <v>34410340</v>
      </c>
      <c r="C3665" s="2" t="n">
        <v>44614</v>
      </c>
      <c r="D3665" t="inlineStr">
        <is>
          <t>SPEC</t>
        </is>
      </c>
      <c r="E3665" t="inlineStr">
        <is>
          <t>COP CONNEXION 1 BATT 4HOLES</t>
        </is>
      </c>
      <c r="F3665" t="inlineStr">
        <is>
          <t>E3MBBK100K200H</t>
        </is>
      </c>
      <c r="G3665" t="inlineStr">
        <is>
          <t>E3M</t>
        </is>
      </c>
      <c r="H3665" t="inlineStr">
        <is>
          <t>BATTERY</t>
        </is>
      </c>
      <c r="J3665" t="inlineStr">
        <is>
          <t>MATRION</t>
        </is>
      </c>
      <c r="K3665" t="inlineStr">
        <is>
          <t>CUIVRE</t>
        </is>
      </c>
      <c r="L3665">
        <f>_xlfn.XLOOKUP(Tableau1[[#This Row],[TYPE DE PIECE]],Tableau4[MATIERE],Tableau4[SHORT TYPE],"",0,1)</f>
        <v/>
      </c>
      <c r="N3665">
        <f>IF(ISERR(FIND("DECOUPE",Tableau1[[#This Row],[DESIGNATION]])),"","NEED REF")</f>
        <v/>
      </c>
    </row>
    <row r="3666">
      <c r="B3666" t="n">
        <v>34410339</v>
      </c>
      <c r="C3666" s="2" t="n">
        <v>44614</v>
      </c>
      <c r="D3666" t="inlineStr">
        <is>
          <t>SPEC</t>
        </is>
      </c>
      <c r="E3666" t="inlineStr">
        <is>
          <t>SMT SUPPORT PLASTRON P300</t>
        </is>
      </c>
      <c r="F3666" t="inlineStr">
        <is>
          <t xml:space="preserve">REGEN BOX 50A </t>
        </is>
      </c>
      <c r="G3666" t="inlineStr">
        <is>
          <t>E3S</t>
        </is>
      </c>
      <c r="H3666" t="inlineStr">
        <is>
          <t>REGEN</t>
        </is>
      </c>
      <c r="J3666" t="inlineStr">
        <is>
          <t>JAWORSKI</t>
        </is>
      </c>
      <c r="K3666" t="inlineStr">
        <is>
          <t>METAL</t>
        </is>
      </c>
      <c r="L3666">
        <f>_xlfn.XLOOKUP(Tableau1[[#This Row],[TYPE DE PIECE]],Tableau4[MATIERE],Tableau4[SHORT TYPE],"",0,1)</f>
        <v/>
      </c>
      <c r="N3666">
        <f>IF(ISERR(FIND("DECOUPE",Tableau1[[#This Row],[DESIGNATION]])),"","NEED REF")</f>
        <v/>
      </c>
    </row>
    <row r="3667">
      <c r="B3667" t="n">
        <v>34410338</v>
      </c>
      <c r="C3667" s="2" t="n">
        <v>44614</v>
      </c>
      <c r="D3667" t="inlineStr">
        <is>
          <t>SPEC</t>
        </is>
      </c>
      <c r="E3667" t="inlineStr">
        <is>
          <t>SMT PLATINE DE FOND</t>
        </is>
      </c>
      <c r="F3667" t="inlineStr">
        <is>
          <t>=S= Italie</t>
        </is>
      </c>
      <c r="G3667" t="inlineStr">
        <is>
          <t>GVM</t>
        </is>
      </c>
      <c r="J3667" t="inlineStr">
        <is>
          <t>BERNARDEAU</t>
        </is>
      </c>
      <c r="K3667" t="inlineStr">
        <is>
          <t>METAL</t>
        </is>
      </c>
      <c r="L3667">
        <f>_xlfn.XLOOKUP(Tableau1[[#This Row],[TYPE DE PIECE]],Tableau4[MATIERE],Tableau4[SHORT TYPE],"",0,1)</f>
        <v/>
      </c>
      <c r="N3667">
        <f>IF(ISERR(FIND("DECOUPE",Tableau1[[#This Row],[DESIGNATION]])),"","NEED REF")</f>
        <v/>
      </c>
    </row>
    <row r="3668">
      <c r="B3668" t="n">
        <v>34410337</v>
      </c>
      <c r="C3668" s="2" t="n">
        <v>44613</v>
      </c>
      <c r="D3668" t="inlineStr">
        <is>
          <t>SPEC</t>
        </is>
      </c>
      <c r="E3668" t="inlineStr">
        <is>
          <t>SMT PLATINE DE FOND REGEN 50A</t>
        </is>
      </c>
      <c r="F3668" t="inlineStr">
        <is>
          <t xml:space="preserve">REGEN BOX 50A </t>
        </is>
      </c>
      <c r="G3668" t="inlineStr">
        <is>
          <t>E3S</t>
        </is>
      </c>
      <c r="H3668" t="inlineStr">
        <is>
          <t>REGEN</t>
        </is>
      </c>
      <c r="J3668" t="inlineStr">
        <is>
          <t>JAWORSKI</t>
        </is>
      </c>
      <c r="K3668" t="inlineStr">
        <is>
          <t>METAL</t>
        </is>
      </c>
      <c r="L3668">
        <f>_xlfn.XLOOKUP(Tableau1[[#This Row],[TYPE DE PIECE]],Tableau4[MATIERE],Tableau4[SHORT TYPE],"",0,1)</f>
        <v/>
      </c>
      <c r="N3668">
        <f>IF(ISERR(FIND("DECOUPE",Tableau1[[#This Row],[DESIGNATION]])),"","NEED REF")</f>
        <v/>
      </c>
    </row>
    <row r="3669">
      <c r="B3669" t="n">
        <v>34410336</v>
      </c>
      <c r="C3669" s="2" t="n">
        <v>44613</v>
      </c>
      <c r="D3669" t="inlineStr">
        <is>
          <t>SPEC</t>
        </is>
      </c>
      <c r="E3669" t="inlineStr">
        <is>
          <t>ARMOIRE PXC SAREL SF 2000x600x800 Ventilé DEVIS F22020376MHZ/A0</t>
        </is>
      </c>
      <c r="F3669" t="inlineStr">
        <is>
          <t xml:space="preserve">	TOTAL RAFFINAGE France</t>
        </is>
      </c>
      <c r="G3669" t="inlineStr">
        <is>
          <t>PXC</t>
        </is>
      </c>
      <c r="H3669" t="inlineStr">
        <is>
          <t>BYPASS</t>
        </is>
      </c>
      <c r="J3669" t="inlineStr">
        <is>
          <t>ÇAKIR</t>
        </is>
      </c>
      <c r="K3669" t="inlineStr">
        <is>
          <t>ARMOIRE</t>
        </is>
      </c>
      <c r="L3669">
        <f>_xlfn.XLOOKUP(Tableau1[[#This Row],[TYPE DE PIECE]],Tableau4[MATIERE],Tableau4[SHORT TYPE],"",0,1)</f>
        <v/>
      </c>
      <c r="N3669">
        <f>IF(ISERR(FIND("DECOUPE",Tableau1[[#This Row],[DESIGNATION]])),"","NEED REF")</f>
        <v/>
      </c>
    </row>
    <row r="3670">
      <c r="B3670" t="n">
        <v>34410335</v>
      </c>
      <c r="C3670" s="2" t="n">
        <v>44610</v>
      </c>
      <c r="D3670" t="inlineStr">
        <is>
          <t>SPEC</t>
        </is>
      </c>
      <c r="E3670" t="inlineStr">
        <is>
          <t>TIGE FILTE EPRS1 300MM</t>
        </is>
      </c>
      <c r="F3670" t="inlineStr">
        <is>
          <t>INTERXION BY MERCURY</t>
        </is>
      </c>
      <c r="G3670" t="inlineStr">
        <is>
          <t>GVX</t>
        </is>
      </c>
      <c r="H3670" t="inlineStr">
        <is>
          <t>IO</t>
        </is>
      </c>
      <c r="J3670" t="inlineStr">
        <is>
          <t>MATRION</t>
        </is>
      </c>
      <c r="K3670" t="inlineStr">
        <is>
          <t>PLASTIQUE</t>
        </is>
      </c>
      <c r="L3670">
        <f>_xlfn.XLOOKUP(Tableau1[[#This Row],[TYPE DE PIECE]],Tableau4[MATIERE],Tableau4[SHORT TYPE],"",0,1)</f>
        <v/>
      </c>
      <c r="N3670">
        <f>IF(ISERR(FIND("DECOUPE",Tableau1[[#This Row],[DESIGNATION]])),"","NEED REF")</f>
        <v/>
      </c>
    </row>
    <row r="3671">
      <c r="B3671" t="n">
        <v>34410334</v>
      </c>
      <c r="C3671" s="2" t="n">
        <v>44608</v>
      </c>
      <c r="D3671" t="inlineStr">
        <is>
          <t>SPEC</t>
        </is>
      </c>
      <c r="E3671" t="inlineStr">
        <is>
          <t>SMT PROTECTION BAS 5 IP20</t>
        </is>
      </c>
      <c r="F3671" t="inlineStr">
        <is>
          <t>INTERXION BY MERCURY</t>
        </is>
      </c>
      <c r="G3671" t="inlineStr">
        <is>
          <t>GVX</t>
        </is>
      </c>
      <c r="H3671" t="inlineStr">
        <is>
          <t>IO</t>
        </is>
      </c>
      <c r="J3671" t="inlineStr">
        <is>
          <t>MATRION</t>
        </is>
      </c>
      <c r="K3671" t="inlineStr">
        <is>
          <t>METAL</t>
        </is>
      </c>
      <c r="L3671">
        <f>_xlfn.XLOOKUP(Tableau1[[#This Row],[TYPE DE PIECE]],Tableau4[MATIERE],Tableau4[SHORT TYPE],"",0,1)</f>
        <v/>
      </c>
      <c r="N3671">
        <f>IF(ISERR(FIND("DECOUPE",Tableau1[[#This Row],[DESIGNATION]])),"","NEED REF")</f>
        <v/>
      </c>
    </row>
    <row r="3672">
      <c r="B3672" t="n">
        <v>34410333</v>
      </c>
      <c r="C3672" s="2" t="n">
        <v>44607</v>
      </c>
      <c r="D3672" t="inlineStr">
        <is>
          <t>SPEC</t>
        </is>
      </c>
      <c r="E3672" t="inlineStr">
        <is>
          <t>SMT GUIDE D'AIR BYPASS</t>
        </is>
      </c>
      <c r="F3672" t="inlineStr">
        <is>
          <t>TOTAL RAFINAGE</t>
        </is>
      </c>
      <c r="H3672" t="inlineStr">
        <is>
          <t>BYPASS</t>
        </is>
      </c>
      <c r="J3672" t="inlineStr">
        <is>
          <t>BERNARDEAU</t>
        </is>
      </c>
      <c r="K3672" t="inlineStr">
        <is>
          <t>METAL</t>
        </is>
      </c>
      <c r="L3672">
        <f>_xlfn.XLOOKUP(Tableau1[[#This Row],[TYPE DE PIECE]],Tableau4[MATIERE],Tableau4[SHORT TYPE],"",0,1)</f>
        <v/>
      </c>
      <c r="N3672">
        <f>IF(ISERR(FIND("DECOUPE",Tableau1[[#This Row],[DESIGNATION]])),"","NEED REF")</f>
        <v/>
      </c>
    </row>
    <row r="3673">
      <c r="B3673" t="n">
        <v>34410332</v>
      </c>
      <c r="C3673" s="2" t="n">
        <v>44607</v>
      </c>
      <c r="D3673" t="inlineStr">
        <is>
          <t>SPEC</t>
        </is>
      </c>
      <c r="E3673" t="inlineStr">
        <is>
          <t>SMT EIE OUTPUT ROOF 2 (FOR EIE PLATE)</t>
        </is>
      </c>
      <c r="F3673" t="inlineStr">
        <is>
          <t>INTERXION BY MERCURY</t>
        </is>
      </c>
      <c r="G3673" t="inlineStr">
        <is>
          <t>GVX</t>
        </is>
      </c>
      <c r="H3673" t="inlineStr">
        <is>
          <t>IO</t>
        </is>
      </c>
      <c r="J3673" t="inlineStr">
        <is>
          <t>MATRION</t>
        </is>
      </c>
      <c r="K3673" t="inlineStr">
        <is>
          <t>METAL</t>
        </is>
      </c>
      <c r="L3673">
        <f>_xlfn.XLOOKUP(Tableau1[[#This Row],[TYPE DE PIECE]],Tableau4[MATIERE],Tableau4[SHORT TYPE],"",0,1)</f>
        <v/>
      </c>
      <c r="N3673">
        <f>IF(ISERR(FIND("DECOUPE",Tableau1[[#This Row],[DESIGNATION]])),"","NEED REF")</f>
        <v/>
      </c>
    </row>
    <row r="3674">
      <c r="B3674" t="n">
        <v>34410331</v>
      </c>
      <c r="C3674" s="2" t="n">
        <v>44607</v>
      </c>
      <c r="D3674" t="inlineStr">
        <is>
          <t>SPEC</t>
        </is>
      </c>
      <c r="E3674" t="inlineStr">
        <is>
          <t>SMT EIE OUTPUT ROOF 1 (FOR EIE PLATE)</t>
        </is>
      </c>
      <c r="F3674" t="inlineStr">
        <is>
          <t>INTERXION BY MERCURY</t>
        </is>
      </c>
      <c r="G3674" t="inlineStr">
        <is>
          <t>GVX</t>
        </is>
      </c>
      <c r="H3674" t="inlineStr">
        <is>
          <t>IO</t>
        </is>
      </c>
      <c r="J3674" t="inlineStr">
        <is>
          <t>MATRION</t>
        </is>
      </c>
      <c r="K3674" t="inlineStr">
        <is>
          <t>METAL</t>
        </is>
      </c>
      <c r="L3674">
        <f>_xlfn.XLOOKUP(Tableau1[[#This Row],[TYPE DE PIECE]],Tableau4[MATIERE],Tableau4[SHORT TYPE],"",0,1)</f>
        <v/>
      </c>
      <c r="N3674">
        <f>IF(ISERR(FIND("DECOUPE",Tableau1[[#This Row],[DESIGNATION]])),"","NEED REF")</f>
        <v/>
      </c>
    </row>
    <row r="3675">
      <c r="B3675" t="n">
        <v>34410330</v>
      </c>
      <c r="C3675" s="2" t="n">
        <v>44607</v>
      </c>
      <c r="D3675" t="inlineStr">
        <is>
          <t>SPEC</t>
        </is>
      </c>
      <c r="E3675" t="inlineStr">
        <is>
          <t>SMT EIE INPUT ROOF 2 (FOR EIE PLATE)</t>
        </is>
      </c>
      <c r="F3675" t="inlineStr">
        <is>
          <t>INTERXION BY MERCURY</t>
        </is>
      </c>
      <c r="G3675" t="inlineStr">
        <is>
          <t>GVX</t>
        </is>
      </c>
      <c r="H3675" t="inlineStr">
        <is>
          <t>IO</t>
        </is>
      </c>
      <c r="J3675" t="inlineStr">
        <is>
          <t>MATRION</t>
        </is>
      </c>
      <c r="K3675" t="inlineStr">
        <is>
          <t>METAL</t>
        </is>
      </c>
      <c r="L3675">
        <f>_xlfn.XLOOKUP(Tableau1[[#This Row],[TYPE DE PIECE]],Tableau4[MATIERE],Tableau4[SHORT TYPE],"",0,1)</f>
        <v/>
      </c>
      <c r="N3675">
        <f>IF(ISERR(FIND("DECOUPE",Tableau1[[#This Row],[DESIGNATION]])),"","NEED REF")</f>
        <v/>
      </c>
    </row>
    <row r="3676">
      <c r="B3676" t="n">
        <v>34410329</v>
      </c>
      <c r="C3676" s="2" t="n">
        <v>44607</v>
      </c>
      <c r="D3676" t="inlineStr">
        <is>
          <t>SPEC</t>
        </is>
      </c>
      <c r="E3676" t="inlineStr">
        <is>
          <t>SMT EIE INPUT ROOF 1 (FOR EIE PLATE)</t>
        </is>
      </c>
      <c r="F3676" t="inlineStr">
        <is>
          <t>INTERXION BY MERCURY</t>
        </is>
      </c>
      <c r="G3676" t="inlineStr">
        <is>
          <t>GVX</t>
        </is>
      </c>
      <c r="H3676" t="inlineStr">
        <is>
          <t>IO</t>
        </is>
      </c>
      <c r="J3676" t="inlineStr">
        <is>
          <t>MATRION</t>
        </is>
      </c>
      <c r="K3676" t="inlineStr">
        <is>
          <t>METAL</t>
        </is>
      </c>
      <c r="L3676">
        <f>_xlfn.XLOOKUP(Tableau1[[#This Row],[TYPE DE PIECE]],Tableau4[MATIERE],Tableau4[SHORT TYPE],"",0,1)</f>
        <v/>
      </c>
      <c r="N3676">
        <f>IF(ISERR(FIND("DECOUPE",Tableau1[[#This Row],[DESIGNATION]])),"","NEED REF")</f>
        <v/>
      </c>
    </row>
    <row r="3677">
      <c r="B3677" t="n">
        <v>34410328</v>
      </c>
      <c r="C3677" s="2" t="n">
        <v>44607</v>
      </c>
      <c r="D3677" t="inlineStr">
        <is>
          <t>SPEC</t>
        </is>
      </c>
      <c r="E3677" t="inlineStr">
        <is>
          <t>SMT PLASTRON 1x NSX GUTOR</t>
        </is>
      </c>
      <c r="F3677" t="inlineStr">
        <is>
          <t>TOTAL RAFINAGE</t>
        </is>
      </c>
      <c r="H3677" t="inlineStr">
        <is>
          <t>BYPASS</t>
        </is>
      </c>
      <c r="J3677" t="inlineStr">
        <is>
          <t>BERNARDEAU</t>
        </is>
      </c>
      <c r="K3677" t="inlineStr">
        <is>
          <t>METAL</t>
        </is>
      </c>
      <c r="L3677">
        <f>_xlfn.XLOOKUP(Tableau1[[#This Row],[TYPE DE PIECE]],Tableau4[MATIERE],Tableau4[SHORT TYPE],"",0,1)</f>
        <v/>
      </c>
      <c r="N3677">
        <f>IF(ISERR(FIND("DECOUPE",Tableau1[[#This Row],[DESIGNATION]])),"","NEED REF")</f>
        <v/>
      </c>
    </row>
    <row r="3678">
      <c r="B3678" t="n">
        <v>34410327</v>
      </c>
      <c r="C3678" s="2" t="n">
        <v>44607</v>
      </c>
      <c r="D3678" t="inlineStr">
        <is>
          <t>SPEC</t>
        </is>
      </c>
      <c r="E3678" t="inlineStr">
        <is>
          <t>SMT PLASTRON UOB</t>
        </is>
      </c>
      <c r="F3678" t="inlineStr">
        <is>
          <t>COMTRADE DISTRIBUTION DOO SERBIE</t>
        </is>
      </c>
      <c r="G3678" t="inlineStr">
        <is>
          <t>GVL</t>
        </is>
      </c>
      <c r="H3678" t="inlineStr">
        <is>
          <t>BYPASS</t>
        </is>
      </c>
      <c r="J3678" t="inlineStr">
        <is>
          <t>JAWORSKI</t>
        </is>
      </c>
      <c r="K3678" t="inlineStr">
        <is>
          <t>METAL</t>
        </is>
      </c>
      <c r="L3678">
        <f>_xlfn.XLOOKUP(Tableau1[[#This Row],[TYPE DE PIECE]],Tableau4[MATIERE],Tableau4[SHORT TYPE],"",0,1)</f>
        <v/>
      </c>
      <c r="N3678">
        <f>IF(ISERR(FIND("DECOUPE",Tableau1[[#This Row],[DESIGNATION]])),"","NEED REF")</f>
        <v/>
      </c>
    </row>
    <row r="3679">
      <c r="B3679" t="n">
        <v>34410326</v>
      </c>
      <c r="C3679" s="2" t="n">
        <v>44606</v>
      </c>
      <c r="D3679" t="inlineStr">
        <is>
          <t>SPEC</t>
        </is>
      </c>
      <c r="E3679" t="inlineStr">
        <is>
          <t>SMT PLASTRON UIB/SSIB</t>
        </is>
      </c>
      <c r="F3679" t="inlineStr">
        <is>
          <t>COMTRADE DISTRIBUTION DOO SERBIE</t>
        </is>
      </c>
      <c r="G3679" t="inlineStr">
        <is>
          <t>GVL</t>
        </is>
      </c>
      <c r="H3679" t="inlineStr">
        <is>
          <t>BYPASS</t>
        </is>
      </c>
      <c r="J3679" t="inlineStr">
        <is>
          <t>JAWORSKI</t>
        </is>
      </c>
      <c r="K3679" t="inlineStr">
        <is>
          <t>METAL</t>
        </is>
      </c>
      <c r="L3679">
        <f>_xlfn.XLOOKUP(Tableau1[[#This Row],[TYPE DE PIECE]],Tableau4[MATIERE],Tableau4[SHORT TYPE],"",0,1)</f>
        <v/>
      </c>
      <c r="N3679">
        <f>IF(ISERR(FIND("DECOUPE",Tableau1[[#This Row],[DESIGNATION]])),"","NEED REF")</f>
        <v/>
      </c>
    </row>
    <row r="3680">
      <c r="B3680" t="n">
        <v>34410325</v>
      </c>
      <c r="C3680" s="2" t="n">
        <v>44606</v>
      </c>
      <c r="D3680" t="inlineStr">
        <is>
          <t>SPEC</t>
        </is>
      </c>
      <c r="E3680" t="inlineStr">
        <is>
          <t>SMT PLASTRON MTZ2</t>
        </is>
      </c>
      <c r="F3680" t="inlineStr">
        <is>
          <t>COMTRADE DISTRIBUTION DOO SERBIE</t>
        </is>
      </c>
      <c r="G3680" t="inlineStr">
        <is>
          <t>GVL</t>
        </is>
      </c>
      <c r="H3680" t="inlineStr">
        <is>
          <t>BYPASS</t>
        </is>
      </c>
      <c r="J3680" t="inlineStr">
        <is>
          <t>JAWORSKI</t>
        </is>
      </c>
      <c r="K3680" t="inlineStr">
        <is>
          <t>METAL</t>
        </is>
      </c>
      <c r="L3680">
        <f>_xlfn.XLOOKUP(Tableau1[[#This Row],[TYPE DE PIECE]],Tableau4[MATIERE],Tableau4[SHORT TYPE],"",0,1)</f>
        <v/>
      </c>
      <c r="N3680">
        <f>IF(ISERR(FIND("DECOUPE",Tableau1[[#This Row],[DESIGNATION]])),"","NEED REF")</f>
        <v/>
      </c>
    </row>
    <row r="3681">
      <c r="B3681" t="n">
        <v>34410324</v>
      </c>
      <c r="C3681" s="2" t="n">
        <v>44606</v>
      </c>
      <c r="D3681" t="inlineStr">
        <is>
          <t>SPEC</t>
        </is>
      </c>
      <c r="E3681" t="inlineStr">
        <is>
          <t>SMT PROTECTION BAS 4 IP20</t>
        </is>
      </c>
      <c r="F3681" t="inlineStr">
        <is>
          <t>INTERXION BY MERCURY</t>
        </is>
      </c>
      <c r="G3681" t="inlineStr">
        <is>
          <t>GVX</t>
        </is>
      </c>
      <c r="H3681" t="inlineStr">
        <is>
          <t>IO</t>
        </is>
      </c>
      <c r="J3681" t="inlineStr">
        <is>
          <t>MATRION</t>
        </is>
      </c>
      <c r="K3681" t="inlineStr">
        <is>
          <t>METAL</t>
        </is>
      </c>
      <c r="L3681">
        <f>_xlfn.XLOOKUP(Tableau1[[#This Row],[TYPE DE PIECE]],Tableau4[MATIERE],Tableau4[SHORT TYPE],"",0,1)</f>
        <v/>
      </c>
      <c r="N3681">
        <f>IF(ISERR(FIND("DECOUPE",Tableau1[[#This Row],[DESIGNATION]])),"","NEED REF")</f>
        <v/>
      </c>
    </row>
    <row r="3682">
      <c r="B3682" t="n">
        <v>34410323</v>
      </c>
      <c r="C3682" s="2" t="n">
        <v>44606</v>
      </c>
      <c r="D3682" t="inlineStr">
        <is>
          <t>SPEC</t>
        </is>
      </c>
      <c r="E3682" t="inlineStr">
        <is>
          <t>SMT PROTECTION BAS 3 IP20</t>
        </is>
      </c>
      <c r="F3682" t="inlineStr">
        <is>
          <t>INTERXION BY MERCURY</t>
        </is>
      </c>
      <c r="G3682" t="inlineStr">
        <is>
          <t>GVX</t>
        </is>
      </c>
      <c r="H3682" t="inlineStr">
        <is>
          <t>IO</t>
        </is>
      </c>
      <c r="J3682" t="inlineStr">
        <is>
          <t>MATRION</t>
        </is>
      </c>
      <c r="K3682" t="inlineStr">
        <is>
          <t>METAL</t>
        </is>
      </c>
      <c r="L3682">
        <f>_xlfn.XLOOKUP(Tableau1[[#This Row],[TYPE DE PIECE]],Tableau4[MATIERE],Tableau4[SHORT TYPE],"",0,1)</f>
        <v/>
      </c>
      <c r="N3682">
        <f>IF(ISERR(FIND("DECOUPE",Tableau1[[#This Row],[DESIGNATION]])),"","NEED REF")</f>
        <v/>
      </c>
    </row>
    <row r="3683">
      <c r="B3683" t="n">
        <v>34410322</v>
      </c>
      <c r="C3683" s="2" t="n">
        <v>44606</v>
      </c>
      <c r="D3683" t="inlineStr">
        <is>
          <t>SPEC</t>
        </is>
      </c>
      <c r="E3683" t="inlineStr">
        <is>
          <t>SMT PROTECTION BAS 2 IP20</t>
        </is>
      </c>
      <c r="F3683" t="inlineStr">
        <is>
          <t>INTERXION BY MERCURY</t>
        </is>
      </c>
      <c r="G3683" t="inlineStr">
        <is>
          <t>GVX</t>
        </is>
      </c>
      <c r="H3683" t="inlineStr">
        <is>
          <t>IO</t>
        </is>
      </c>
      <c r="J3683" t="inlineStr">
        <is>
          <t>MATRION</t>
        </is>
      </c>
      <c r="K3683" t="inlineStr">
        <is>
          <t>METAL</t>
        </is>
      </c>
      <c r="L3683">
        <f>_xlfn.XLOOKUP(Tableau1[[#This Row],[TYPE DE PIECE]],Tableau4[MATIERE],Tableau4[SHORT TYPE],"",0,1)</f>
        <v/>
      </c>
      <c r="N3683">
        <f>IF(ISERR(FIND("DECOUPE",Tableau1[[#This Row],[DESIGNATION]])),"","NEED REF")</f>
        <v/>
      </c>
    </row>
    <row r="3684">
      <c r="B3684" t="n">
        <v>34410321</v>
      </c>
      <c r="C3684" s="2" t="n">
        <v>44606</v>
      </c>
      <c r="D3684" t="inlineStr">
        <is>
          <t>SPEC</t>
        </is>
      </c>
      <c r="E3684" t="inlineStr">
        <is>
          <t>SMT PROTECTION BAS 1 IP20</t>
        </is>
      </c>
      <c r="F3684" t="inlineStr">
        <is>
          <t>INTERXION BY MERCURY</t>
        </is>
      </c>
      <c r="G3684" t="inlineStr">
        <is>
          <t>GVX</t>
        </is>
      </c>
      <c r="H3684" t="inlineStr">
        <is>
          <t>IO</t>
        </is>
      </c>
      <c r="J3684" t="inlineStr">
        <is>
          <t>MATRION</t>
        </is>
      </c>
      <c r="K3684" t="inlineStr">
        <is>
          <t>METAL</t>
        </is>
      </c>
      <c r="L3684">
        <f>_xlfn.XLOOKUP(Tableau1[[#This Row],[TYPE DE PIECE]],Tableau4[MATIERE],Tableau4[SHORT TYPE],"",0,1)</f>
        <v/>
      </c>
      <c r="N3684">
        <f>IF(ISERR(FIND("DECOUPE",Tableau1[[#This Row],[DESIGNATION]])),"","NEED REF")</f>
        <v/>
      </c>
    </row>
    <row r="3685">
      <c r="B3685" t="n">
        <v>34410320</v>
      </c>
      <c r="C3685" s="2" t="n">
        <v>44606</v>
      </c>
      <c r="D3685" t="inlineStr">
        <is>
          <t>SPEC</t>
        </is>
      </c>
      <c r="E3685" t="inlineStr">
        <is>
          <t>SMT DEMI PLATEAU TGAB BATT 2</t>
        </is>
      </c>
      <c r="F3685" t="inlineStr">
        <is>
          <t>INTERXION BY MERCURY</t>
        </is>
      </c>
      <c r="G3685" t="inlineStr">
        <is>
          <t>GVX</t>
        </is>
      </c>
      <c r="H3685" t="inlineStr">
        <is>
          <t>IO</t>
        </is>
      </c>
      <c r="J3685" t="inlineStr">
        <is>
          <t>MATRION</t>
        </is>
      </c>
      <c r="K3685" t="inlineStr">
        <is>
          <t>METAL</t>
        </is>
      </c>
      <c r="L3685">
        <f>_xlfn.XLOOKUP(Tableau1[[#This Row],[TYPE DE PIECE]],Tableau4[MATIERE],Tableau4[SHORT TYPE],"",0,1)</f>
        <v/>
      </c>
      <c r="N3685">
        <f>IF(ISERR(FIND("DECOUPE",Tableau1[[#This Row],[DESIGNATION]])),"","NEED REF")</f>
        <v/>
      </c>
    </row>
    <row r="3686">
      <c r="B3686" t="n">
        <v>34410319</v>
      </c>
      <c r="C3686" s="2" t="n">
        <v>44606</v>
      </c>
      <c r="D3686" t="inlineStr">
        <is>
          <t>SPEC</t>
        </is>
      </c>
      <c r="E3686" t="inlineStr">
        <is>
          <t>SMT DEMI PLATEAU TGAB BATT 1</t>
        </is>
      </c>
      <c r="F3686" t="inlineStr">
        <is>
          <t>INTERXION BY MERCURY</t>
        </is>
      </c>
      <c r="G3686" t="inlineStr">
        <is>
          <t>GVX</t>
        </is>
      </c>
      <c r="H3686" t="inlineStr">
        <is>
          <t>IO</t>
        </is>
      </c>
      <c r="J3686" t="inlineStr">
        <is>
          <t>MATRION</t>
        </is>
      </c>
      <c r="K3686" t="inlineStr">
        <is>
          <t>METAL</t>
        </is>
      </c>
      <c r="L3686">
        <f>_xlfn.XLOOKUP(Tableau1[[#This Row],[TYPE DE PIECE]],Tableau4[MATIERE],Tableau4[SHORT TYPE],"",0,1)</f>
        <v/>
      </c>
      <c r="N3686">
        <f>IF(ISERR(FIND("DECOUPE",Tableau1[[#This Row],[DESIGNATION]])),"","NEED REF")</f>
        <v/>
      </c>
    </row>
    <row r="3687">
      <c r="B3687" t="n">
        <v>34410318</v>
      </c>
      <c r="C3687" s="2" t="n">
        <v>44606</v>
      </c>
      <c r="D3687" t="inlineStr">
        <is>
          <t>SPEC</t>
        </is>
      </c>
      <c r="E3687" t="inlineStr">
        <is>
          <t>SMT SUPPORT TGAB BATT 2</t>
        </is>
      </c>
      <c r="F3687" t="inlineStr">
        <is>
          <t>INTERXION BY MERCURY</t>
        </is>
      </c>
      <c r="G3687" t="inlineStr">
        <is>
          <t>GVX</t>
        </is>
      </c>
      <c r="H3687" t="inlineStr">
        <is>
          <t>IO</t>
        </is>
      </c>
      <c r="J3687" t="inlineStr">
        <is>
          <t>MATRION</t>
        </is>
      </c>
      <c r="K3687" t="inlineStr">
        <is>
          <t>METAL</t>
        </is>
      </c>
      <c r="L3687">
        <f>_xlfn.XLOOKUP(Tableau1[[#This Row],[TYPE DE PIECE]],Tableau4[MATIERE],Tableau4[SHORT TYPE],"",0,1)</f>
        <v/>
      </c>
      <c r="N3687">
        <f>IF(ISERR(FIND("DECOUPE",Tableau1[[#This Row],[DESIGNATION]])),"","NEED REF")</f>
        <v/>
      </c>
    </row>
    <row r="3688">
      <c r="B3688" t="n">
        <v>34410317</v>
      </c>
      <c r="C3688" s="2" t="n">
        <v>44606</v>
      </c>
      <c r="D3688" t="inlineStr">
        <is>
          <t>SPEC</t>
        </is>
      </c>
      <c r="E3688" t="inlineStr">
        <is>
          <t>SMT SUPPORT TGAB BATT 1</t>
        </is>
      </c>
      <c r="F3688" t="inlineStr">
        <is>
          <t>INTERXION BY MERCURY</t>
        </is>
      </c>
      <c r="G3688" t="inlineStr">
        <is>
          <t>GVX</t>
        </is>
      </c>
      <c r="H3688" t="inlineStr">
        <is>
          <t>IO</t>
        </is>
      </c>
      <c r="J3688" t="inlineStr">
        <is>
          <t>MATRION</t>
        </is>
      </c>
      <c r="K3688" t="inlineStr">
        <is>
          <t>METAL</t>
        </is>
      </c>
      <c r="L3688">
        <f>_xlfn.XLOOKUP(Tableau1[[#This Row],[TYPE DE PIECE]],Tableau4[MATIERE],Tableau4[SHORT TYPE],"",0,1)</f>
        <v/>
      </c>
      <c r="N3688">
        <f>IF(ISERR(FIND("DECOUPE",Tableau1[[#This Row],[DESIGNATION]])),"","NEED REF")</f>
        <v/>
      </c>
    </row>
    <row r="3689">
      <c r="B3689" t="n">
        <v>34410316</v>
      </c>
      <c r="C3689" s="2" t="n">
        <v>44606</v>
      </c>
      <c r="D3689" t="inlineStr">
        <is>
          <t>SPEC</t>
        </is>
      </c>
      <c r="E3689" t="inlineStr">
        <is>
          <t>SMT PIED SUPPORT TGAB BATT</t>
        </is>
      </c>
      <c r="F3689" t="inlineStr">
        <is>
          <t>INTERXION BY MERCURY</t>
        </is>
      </c>
      <c r="G3689" t="inlineStr">
        <is>
          <t>GVX</t>
        </is>
      </c>
      <c r="H3689" t="inlineStr">
        <is>
          <t>IO</t>
        </is>
      </c>
      <c r="J3689" t="inlineStr">
        <is>
          <t>MATRION</t>
        </is>
      </c>
      <c r="K3689" t="inlineStr">
        <is>
          <t>METAL</t>
        </is>
      </c>
      <c r="L3689">
        <f>_xlfn.XLOOKUP(Tableau1[[#This Row],[TYPE DE PIECE]],Tableau4[MATIERE],Tableau4[SHORT TYPE],"",0,1)</f>
        <v/>
      </c>
      <c r="N3689">
        <f>IF(ISERR(FIND("DECOUPE",Tableau1[[#This Row],[DESIGNATION]])),"","NEED REF")</f>
        <v/>
      </c>
    </row>
    <row r="3690">
      <c r="B3690" t="n">
        <v>34410315</v>
      </c>
      <c r="C3690" s="2" t="n">
        <v>44603</v>
      </c>
      <c r="D3690" t="inlineStr">
        <is>
          <t>SPEC</t>
        </is>
      </c>
      <c r="E3690" t="inlineStr">
        <is>
          <t>SMT SUPPORT =S= 04662</t>
        </is>
      </c>
      <c r="F3690" t="inlineStr">
        <is>
          <t>COMTRADE DISTRIBUTION DOO SERBIE</t>
        </is>
      </c>
      <c r="G3690" t="inlineStr">
        <is>
          <t>GVL</t>
        </is>
      </c>
      <c r="H3690" t="inlineStr">
        <is>
          <t>BYPASS</t>
        </is>
      </c>
      <c r="J3690" t="inlineStr">
        <is>
          <t>JAWORSKI</t>
        </is>
      </c>
      <c r="K3690" t="inlineStr">
        <is>
          <t>METAL</t>
        </is>
      </c>
      <c r="L3690">
        <f>_xlfn.XLOOKUP(Tableau1[[#This Row],[TYPE DE PIECE]],Tableau4[MATIERE],Tableau4[SHORT TYPE],"",0,1)</f>
        <v/>
      </c>
      <c r="N3690">
        <f>IF(ISERR(FIND("DECOUPE",Tableau1[[#This Row],[DESIGNATION]])),"","NEED REF")</f>
        <v/>
      </c>
    </row>
    <row r="3691">
      <c r="B3691" t="n">
        <v>34410314</v>
      </c>
      <c r="C3691" s="2" t="n">
        <v>44603</v>
      </c>
      <c r="D3691" t="inlineStr">
        <is>
          <t>SPEC</t>
        </is>
      </c>
      <c r="E3691" t="inlineStr">
        <is>
          <t>SMT PIED SUPPORT TGAB BATT 2</t>
        </is>
      </c>
      <c r="F3691" t="inlineStr">
        <is>
          <t>INTERXION BY MERCURY</t>
        </is>
      </c>
      <c r="G3691" t="inlineStr">
        <is>
          <t>GVX</t>
        </is>
      </c>
      <c r="H3691" t="inlineStr">
        <is>
          <t>IO</t>
        </is>
      </c>
      <c r="J3691" t="inlineStr">
        <is>
          <t>MATRION</t>
        </is>
      </c>
      <c r="K3691" t="inlineStr">
        <is>
          <t>METAL</t>
        </is>
      </c>
      <c r="L3691">
        <f>_xlfn.XLOOKUP(Tableau1[[#This Row],[TYPE DE PIECE]],Tableau4[MATIERE],Tableau4[SHORT TYPE],"",0,1)</f>
        <v/>
      </c>
      <c r="N3691">
        <f>IF(ISERR(FIND("DECOUPE",Tableau1[[#This Row],[DESIGNATION]])),"","NEED REF")</f>
        <v/>
      </c>
    </row>
    <row r="3692">
      <c r="B3692" t="n">
        <v>34410313</v>
      </c>
      <c r="C3692" s="2" t="n">
        <v>44603</v>
      </c>
      <c r="D3692" t="inlineStr">
        <is>
          <t>SPEC</t>
        </is>
      </c>
      <c r="E3692" t="inlineStr">
        <is>
          <t>SMT PIED SUPPORT TGAB BATT 1</t>
        </is>
      </c>
      <c r="F3692" t="inlineStr">
        <is>
          <t>INTERXION BY MERCURY</t>
        </is>
      </c>
      <c r="G3692" t="inlineStr">
        <is>
          <t>GVX</t>
        </is>
      </c>
      <c r="H3692" t="inlineStr">
        <is>
          <t>IO</t>
        </is>
      </c>
      <c r="J3692" t="inlineStr">
        <is>
          <t>MATRION</t>
        </is>
      </c>
      <c r="K3692" t="inlineStr">
        <is>
          <t>METAL</t>
        </is>
      </c>
      <c r="L3692">
        <f>_xlfn.XLOOKUP(Tableau1[[#This Row],[TYPE DE PIECE]],Tableau4[MATIERE],Tableau4[SHORT TYPE],"",0,1)</f>
        <v/>
      </c>
      <c r="N3692">
        <f>IF(ISERR(FIND("DECOUPE",Tableau1[[#This Row],[DESIGNATION]])),"","NEED REF")</f>
        <v/>
      </c>
    </row>
    <row r="3693">
      <c r="B3693" t="n">
        <v>34410312</v>
      </c>
      <c r="C3693" s="2" t="n">
        <v>44603</v>
      </c>
      <c r="D3693" t="inlineStr">
        <is>
          <t>SPEC</t>
        </is>
      </c>
      <c r="E3693" t="inlineStr">
        <is>
          <t>WIRE KIT FILERIE CSDT REGENBOX</t>
        </is>
      </c>
      <c r="F3693" t="inlineStr">
        <is>
          <t>REGENBOX</t>
        </is>
      </c>
      <c r="H3693" t="inlineStr">
        <is>
          <t>REGEN</t>
        </is>
      </c>
      <c r="J3693" t="inlineStr">
        <is>
          <t>MATRION</t>
        </is>
      </c>
      <c r="K3693" t="inlineStr">
        <is>
          <t>FILERIE</t>
        </is>
      </c>
      <c r="L3693">
        <f>_xlfn.XLOOKUP(Tableau1[[#This Row],[TYPE DE PIECE]],Tableau4[MATIERE],Tableau4[SHORT TYPE],"",0,1)</f>
        <v/>
      </c>
      <c r="N3693">
        <f>IF(ISERR(FIND("DECOUPE",Tableau1[[#This Row],[DESIGNATION]])),"","NEED REF")</f>
        <v/>
      </c>
    </row>
    <row r="3694">
      <c r="B3694" t="n">
        <v>34410311</v>
      </c>
      <c r="C3694" s="2" t="n">
        <v>44603</v>
      </c>
      <c r="D3694" t="inlineStr">
        <is>
          <t>SPEC</t>
        </is>
      </c>
      <c r="E3694" t="inlineStr">
        <is>
          <t>WOOD SKATE LG 1100</t>
        </is>
      </c>
      <c r="G3694" t="inlineStr">
        <is>
          <t>GV</t>
        </is>
      </c>
      <c r="H3694" t="inlineStr">
        <is>
          <t>AUX</t>
        </is>
      </c>
      <c r="J3694" t="inlineStr">
        <is>
          <t>BERNARDEAU</t>
        </is>
      </c>
      <c r="K3694" t="inlineStr">
        <is>
          <t>BOIS</t>
        </is>
      </c>
      <c r="L3694">
        <f>_xlfn.XLOOKUP(Tableau1[[#This Row],[TYPE DE PIECE]],Tableau4[MATIERE],Tableau4[SHORT TYPE],"",0,1)</f>
        <v/>
      </c>
      <c r="N3694">
        <f>IF(ISERR(FIND("DECOUPE",Tableau1[[#This Row],[DESIGNATION]])),"","NEED REF")</f>
        <v/>
      </c>
    </row>
    <row r="3695">
      <c r="B3695" t="n">
        <v>34410310</v>
      </c>
      <c r="C3695" s="2" t="n">
        <v>44603</v>
      </c>
      <c r="D3695" t="inlineStr">
        <is>
          <t>SPEC</t>
        </is>
      </c>
      <c r="E3695" t="inlineStr">
        <is>
          <t>PLA PROTECTION ISOLANTE CX</t>
        </is>
      </c>
      <c r="F3695" t="inlineStr">
        <is>
          <t>COMTRADE DISTRIBUTION DOO SERBIE</t>
        </is>
      </c>
      <c r="G3695" t="inlineStr">
        <is>
          <t>GVL</t>
        </is>
      </c>
      <c r="H3695" t="inlineStr">
        <is>
          <t>BYPASS</t>
        </is>
      </c>
      <c r="J3695" t="inlineStr">
        <is>
          <t>JAWORSKI</t>
        </is>
      </c>
      <c r="K3695" t="inlineStr">
        <is>
          <t>PLASTIQUE</t>
        </is>
      </c>
      <c r="L3695">
        <f>_xlfn.XLOOKUP(Tableau1[[#This Row],[TYPE DE PIECE]],Tableau4[MATIERE],Tableau4[SHORT TYPE],"",0,1)</f>
        <v/>
      </c>
      <c r="N3695">
        <f>IF(ISERR(FIND("DECOUPE",Tableau1[[#This Row],[DESIGNATION]])),"","NEED REF")</f>
        <v/>
      </c>
    </row>
    <row r="3696">
      <c r="B3696" t="n">
        <v>34410309</v>
      </c>
      <c r="C3696" s="2" t="n">
        <v>44603</v>
      </c>
      <c r="D3696" t="inlineStr">
        <is>
          <t>SPEC</t>
        </is>
      </c>
      <c r="E3696" t="inlineStr">
        <is>
          <t>SMT EIE INPUT ROOF 3</t>
        </is>
      </c>
      <c r="F3696" t="inlineStr">
        <is>
          <t>INTERXION BY MERCURY</t>
        </is>
      </c>
      <c r="G3696" t="inlineStr">
        <is>
          <t>GVX</t>
        </is>
      </c>
      <c r="H3696" t="inlineStr">
        <is>
          <t>IO</t>
        </is>
      </c>
      <c r="J3696" t="inlineStr">
        <is>
          <t>MATRION</t>
        </is>
      </c>
      <c r="K3696" t="inlineStr">
        <is>
          <t>METAL</t>
        </is>
      </c>
      <c r="L3696">
        <f>_xlfn.XLOOKUP(Tableau1[[#This Row],[TYPE DE PIECE]],Tableau4[MATIERE],Tableau4[SHORT TYPE],"",0,1)</f>
        <v/>
      </c>
      <c r="N3696">
        <f>IF(ISERR(FIND("DECOUPE",Tableau1[[#This Row],[DESIGNATION]])),"","NEED REF")</f>
        <v/>
      </c>
    </row>
    <row r="3697">
      <c r="B3697" t="n">
        <v>34410308</v>
      </c>
      <c r="C3697" s="2" t="n">
        <v>44603</v>
      </c>
      <c r="D3697" t="inlineStr">
        <is>
          <t>SPEC</t>
        </is>
      </c>
      <c r="E3697" t="inlineStr">
        <is>
          <t>SMT EIE OUTPUT ROOF 2</t>
        </is>
      </c>
      <c r="F3697" t="inlineStr">
        <is>
          <t>INTERXION BY MERCURY</t>
        </is>
      </c>
      <c r="G3697" t="inlineStr">
        <is>
          <t>GVX</t>
        </is>
      </c>
      <c r="H3697" t="inlineStr">
        <is>
          <t>IO</t>
        </is>
      </c>
      <c r="J3697" t="inlineStr">
        <is>
          <t>MATRION</t>
        </is>
      </c>
      <c r="K3697" t="inlineStr">
        <is>
          <t>METAL</t>
        </is>
      </c>
      <c r="L3697">
        <f>_xlfn.XLOOKUP(Tableau1[[#This Row],[TYPE DE PIECE]],Tableau4[MATIERE],Tableau4[SHORT TYPE],"",0,1)</f>
        <v/>
      </c>
      <c r="N3697">
        <f>IF(ISERR(FIND("DECOUPE",Tableau1[[#This Row],[DESIGNATION]])),"","NEED REF")</f>
        <v/>
      </c>
    </row>
    <row r="3698">
      <c r="B3698" t="n">
        <v>34410307</v>
      </c>
      <c r="C3698" s="2" t="n">
        <v>44603</v>
      </c>
      <c r="D3698" t="inlineStr">
        <is>
          <t>SPEC</t>
        </is>
      </c>
      <c r="E3698" t="inlineStr">
        <is>
          <t>SMT EIE OUTPUT ROOF 1</t>
        </is>
      </c>
      <c r="F3698" t="inlineStr">
        <is>
          <t>INTERXION BY MERCURY</t>
        </is>
      </c>
      <c r="G3698" t="inlineStr">
        <is>
          <t>GVX</t>
        </is>
      </c>
      <c r="H3698" t="inlineStr">
        <is>
          <t>IO</t>
        </is>
      </c>
      <c r="J3698" t="inlineStr">
        <is>
          <t>MATRION</t>
        </is>
      </c>
      <c r="K3698" t="inlineStr">
        <is>
          <t>METAL</t>
        </is>
      </c>
      <c r="L3698">
        <f>_xlfn.XLOOKUP(Tableau1[[#This Row],[TYPE DE PIECE]],Tableau4[MATIERE],Tableau4[SHORT TYPE],"",0,1)</f>
        <v/>
      </c>
      <c r="N3698">
        <f>IF(ISERR(FIND("DECOUPE",Tableau1[[#This Row],[DESIGNATION]])),"","NEED REF")</f>
        <v/>
      </c>
    </row>
    <row r="3699">
      <c r="B3699" t="n">
        <v>34410306</v>
      </c>
      <c r="C3699" s="2" t="n">
        <v>44603</v>
      </c>
      <c r="D3699" t="inlineStr">
        <is>
          <t>SPEC</t>
        </is>
      </c>
      <c r="E3699" t="inlineStr">
        <is>
          <t>SMT EIE INPUT ROOF 2</t>
        </is>
      </c>
      <c r="F3699" t="inlineStr">
        <is>
          <t>INTERXION BY MERCURY</t>
        </is>
      </c>
      <c r="G3699" t="inlineStr">
        <is>
          <t>GVX</t>
        </is>
      </c>
      <c r="H3699" t="inlineStr">
        <is>
          <t>IO</t>
        </is>
      </c>
      <c r="J3699" t="inlineStr">
        <is>
          <t>MATRION</t>
        </is>
      </c>
      <c r="K3699" t="inlineStr">
        <is>
          <t>METAL</t>
        </is>
      </c>
      <c r="L3699">
        <f>_xlfn.XLOOKUP(Tableau1[[#This Row],[TYPE DE PIECE]],Tableau4[MATIERE],Tableau4[SHORT TYPE],"",0,1)</f>
        <v/>
      </c>
      <c r="N3699">
        <f>IF(ISERR(FIND("DECOUPE",Tableau1[[#This Row],[DESIGNATION]])),"","NEED REF")</f>
        <v/>
      </c>
    </row>
    <row r="3700">
      <c r="B3700" t="n">
        <v>34410305</v>
      </c>
      <c r="C3700" s="2" t="n">
        <v>44603</v>
      </c>
      <c r="D3700" t="inlineStr">
        <is>
          <t>SPEC</t>
        </is>
      </c>
      <c r="E3700" t="inlineStr">
        <is>
          <t>SMT EIE INPUT ROOF 1</t>
        </is>
      </c>
      <c r="F3700" t="inlineStr">
        <is>
          <t>INTERXION BY MERCURY</t>
        </is>
      </c>
      <c r="G3700" t="inlineStr">
        <is>
          <t>GVX</t>
        </is>
      </c>
      <c r="H3700" t="inlineStr">
        <is>
          <t>IO</t>
        </is>
      </c>
      <c r="J3700" t="inlineStr">
        <is>
          <t>MATRION</t>
        </is>
      </c>
      <c r="K3700" t="inlineStr">
        <is>
          <t>METAL</t>
        </is>
      </c>
      <c r="L3700">
        <f>_xlfn.XLOOKUP(Tableau1[[#This Row],[TYPE DE PIECE]],Tableau4[MATIERE],Tableau4[SHORT TYPE],"",0,1)</f>
        <v/>
      </c>
      <c r="N3700">
        <f>IF(ISERR(FIND("DECOUPE",Tableau1[[#This Row],[DESIGNATION]])),"","NEED REF")</f>
        <v/>
      </c>
    </row>
    <row r="3701">
      <c r="B3701" t="n">
        <v>34410304</v>
      </c>
      <c r="C3701" s="2" t="n">
        <v>44603</v>
      </c>
      <c r="D3701" t="inlineStr">
        <is>
          <t>SPEC</t>
        </is>
      </c>
      <c r="E3701" t="inlineStr">
        <is>
          <t>SMT SUPPORT =S= 04662</t>
        </is>
      </c>
      <c r="F3701" t="inlineStr">
        <is>
          <t>COMTRADE DISTRIBUTION DOO SERBIE</t>
        </is>
      </c>
      <c r="G3701" t="inlineStr">
        <is>
          <t>GVL</t>
        </is>
      </c>
      <c r="H3701" t="inlineStr">
        <is>
          <t>BYPASS</t>
        </is>
      </c>
      <c r="J3701" t="inlineStr">
        <is>
          <t>JAWORSKI</t>
        </is>
      </c>
      <c r="K3701" t="inlineStr">
        <is>
          <t>METAL</t>
        </is>
      </c>
      <c r="L3701">
        <f>_xlfn.XLOOKUP(Tableau1[[#This Row],[TYPE DE PIECE]],Tableau4[MATIERE],Tableau4[SHORT TYPE],"",0,1)</f>
        <v/>
      </c>
      <c r="N3701">
        <f>IF(ISERR(FIND("DECOUPE",Tableau1[[#This Row],[DESIGNATION]])),"","NEED REF")</f>
        <v/>
      </c>
    </row>
    <row r="3702">
      <c r="B3702" t="n">
        <v>34410303</v>
      </c>
      <c r="C3702" s="2" t="n">
        <v>44603</v>
      </c>
      <c r="D3702" t="inlineStr">
        <is>
          <t>SPEC</t>
        </is>
      </c>
      <c r="E3702" t="inlineStr">
        <is>
          <t>COP CX CLIENT BYPASS OUTPUT</t>
        </is>
      </c>
      <c r="F3702" t="inlineStr">
        <is>
          <t>COMTRADE DISTRIBUTION DOO SERBIE</t>
        </is>
      </c>
      <c r="G3702" t="inlineStr">
        <is>
          <t>GVL</t>
        </is>
      </c>
      <c r="H3702" t="inlineStr">
        <is>
          <t>BYPASS</t>
        </is>
      </c>
      <c r="J3702" t="inlineStr">
        <is>
          <t>JAWORSKI</t>
        </is>
      </c>
      <c r="K3702" t="inlineStr">
        <is>
          <t>CUIVRE</t>
        </is>
      </c>
      <c r="L3702">
        <f>_xlfn.XLOOKUP(Tableau1[[#This Row],[TYPE DE PIECE]],Tableau4[MATIERE],Tableau4[SHORT TYPE],"",0,1)</f>
        <v/>
      </c>
      <c r="N3702">
        <f>IF(ISERR(FIND("DECOUPE",Tableau1[[#This Row],[DESIGNATION]])),"","NEED REF")</f>
        <v/>
      </c>
    </row>
    <row r="3703">
      <c r="B3703" t="n">
        <v>34410302</v>
      </c>
      <c r="C3703" s="2" t="n">
        <v>44603</v>
      </c>
      <c r="D3703" t="inlineStr">
        <is>
          <t>SPEC</t>
        </is>
      </c>
      <c r="E3703" t="inlineStr">
        <is>
          <t>CABLE PE 300mm2</t>
        </is>
      </c>
      <c r="F3703" t="inlineStr">
        <is>
          <t>INTERXION BY MERCURY</t>
        </is>
      </c>
      <c r="G3703" t="inlineStr">
        <is>
          <t>GVX</t>
        </is>
      </c>
      <c r="H3703" t="inlineStr">
        <is>
          <t>IO</t>
        </is>
      </c>
      <c r="J3703" t="inlineStr">
        <is>
          <t>MATRION</t>
        </is>
      </c>
      <c r="K3703" t="inlineStr">
        <is>
          <t>FILERIE</t>
        </is>
      </c>
      <c r="L3703">
        <f>_xlfn.XLOOKUP(Tableau1[[#This Row],[TYPE DE PIECE]],Tableau4[MATIERE],Tableau4[SHORT TYPE],"",0,1)</f>
        <v/>
      </c>
      <c r="N3703">
        <f>IF(ISERR(FIND("DECOUPE",Tableau1[[#This Row],[DESIGNATION]])),"","NEED REF")</f>
        <v/>
      </c>
    </row>
    <row r="3704">
      <c r="B3704" t="n">
        <v>34410301</v>
      </c>
      <c r="C3704" s="2" t="n">
        <v>44603</v>
      </c>
      <c r="D3704" t="inlineStr">
        <is>
          <t>SPEC</t>
        </is>
      </c>
      <c r="E3704" t="inlineStr">
        <is>
          <t>TIGE FILTE EPRS1 320MM</t>
        </is>
      </c>
      <c r="F3704" t="inlineStr">
        <is>
          <t>INTERXION BY MERCURY</t>
        </is>
      </c>
      <c r="G3704" t="inlineStr">
        <is>
          <t>GVX</t>
        </is>
      </c>
      <c r="H3704" t="inlineStr">
        <is>
          <t>IO</t>
        </is>
      </c>
      <c r="J3704" t="inlineStr">
        <is>
          <t>MATRION</t>
        </is>
      </c>
      <c r="K3704" t="inlineStr">
        <is>
          <t>PLASTIQUE</t>
        </is>
      </c>
      <c r="L3704">
        <f>_xlfn.XLOOKUP(Tableau1[[#This Row],[TYPE DE PIECE]],Tableau4[MATIERE],Tableau4[SHORT TYPE],"",0,1)</f>
        <v/>
      </c>
      <c r="N3704">
        <f>IF(ISERR(FIND("DECOUPE",Tableau1[[#This Row],[DESIGNATION]])),"","NEED REF")</f>
        <v/>
      </c>
    </row>
    <row r="3705">
      <c r="B3705" t="n">
        <v>34410300</v>
      </c>
      <c r="C3705" s="2" t="n">
        <v>44603</v>
      </c>
      <c r="D3705" t="inlineStr">
        <is>
          <t>SPEC</t>
        </is>
      </c>
      <c r="E3705" t="inlineStr">
        <is>
          <t>TIGE FILTE EPRS1 405MM</t>
        </is>
      </c>
      <c r="F3705" t="inlineStr">
        <is>
          <t>INTERXION BY MERCURY</t>
        </is>
      </c>
      <c r="G3705" t="inlineStr">
        <is>
          <t>GVX</t>
        </is>
      </c>
      <c r="H3705" t="inlineStr">
        <is>
          <t>IO</t>
        </is>
      </c>
      <c r="J3705" t="inlineStr">
        <is>
          <t>MATRION</t>
        </is>
      </c>
      <c r="K3705" t="inlineStr">
        <is>
          <t>PLASTIQUE</t>
        </is>
      </c>
      <c r="L3705">
        <f>_xlfn.XLOOKUP(Tableau1[[#This Row],[TYPE DE PIECE]],Tableau4[MATIERE],Tableau4[SHORT TYPE],"",0,1)</f>
        <v/>
      </c>
      <c r="N3705">
        <f>IF(ISERR(FIND("DECOUPE",Tableau1[[#This Row],[DESIGNATION]])),"","NEED REF")</f>
        <v/>
      </c>
    </row>
    <row r="3706">
      <c r="B3706" t="n">
        <v>34410299</v>
      </c>
      <c r="C3706" s="2" t="n">
        <v>44603</v>
      </c>
      <c r="D3706" t="inlineStr">
        <is>
          <t>SPEC</t>
        </is>
      </c>
      <c r="E3706" t="inlineStr">
        <is>
          <t>TIGE FILTE EPRS1 170MM</t>
        </is>
      </c>
      <c r="F3706" t="inlineStr">
        <is>
          <t>INTERXION BY MERCURY</t>
        </is>
      </c>
      <c r="G3706" t="inlineStr">
        <is>
          <t>GVX</t>
        </is>
      </c>
      <c r="H3706" t="inlineStr">
        <is>
          <t>IO</t>
        </is>
      </c>
      <c r="J3706" t="inlineStr">
        <is>
          <t>MATRION</t>
        </is>
      </c>
      <c r="K3706" t="inlineStr">
        <is>
          <t>PLASTIQUE</t>
        </is>
      </c>
      <c r="L3706">
        <f>_xlfn.XLOOKUP(Tableau1[[#This Row],[TYPE DE PIECE]],Tableau4[MATIERE],Tableau4[SHORT TYPE],"",0,1)</f>
        <v/>
      </c>
      <c r="N3706">
        <f>IF(ISERR(FIND("DECOUPE",Tableau1[[#This Row],[DESIGNATION]])),"","NEED REF")</f>
        <v/>
      </c>
    </row>
    <row r="3707">
      <c r="B3707" t="n">
        <v>34410298</v>
      </c>
      <c r="C3707" s="2" t="n">
        <v>44603</v>
      </c>
      <c r="D3707" t="inlineStr">
        <is>
          <t>SPEC</t>
        </is>
      </c>
      <c r="E3707" t="inlineStr">
        <is>
          <t>TIGE FILTE EPRS1 170MM</t>
        </is>
      </c>
      <c r="F3707" t="inlineStr">
        <is>
          <t>INTERXION BY MERCURY</t>
        </is>
      </c>
      <c r="G3707" t="inlineStr">
        <is>
          <t>GVX</t>
        </is>
      </c>
      <c r="H3707" t="inlineStr">
        <is>
          <t>IO</t>
        </is>
      </c>
      <c r="J3707" t="inlineStr">
        <is>
          <t>MATRION</t>
        </is>
      </c>
      <c r="K3707" t="inlineStr">
        <is>
          <t>PLASTIQUE</t>
        </is>
      </c>
      <c r="L3707">
        <f>_xlfn.XLOOKUP(Tableau1[[#This Row],[TYPE DE PIECE]],Tableau4[MATIERE],Tableau4[SHORT TYPE],"",0,1)</f>
        <v/>
      </c>
      <c r="N3707">
        <f>IF(ISERR(FIND("DECOUPE",Tableau1[[#This Row],[DESIGNATION]])),"","NEED REF")</f>
        <v/>
      </c>
    </row>
    <row r="3708">
      <c r="B3708" t="n">
        <v>34410297</v>
      </c>
      <c r="C3708" s="2" t="n">
        <v>44603</v>
      </c>
      <c r="D3708" t="inlineStr">
        <is>
          <t>SPEC</t>
        </is>
      </c>
      <c r="E3708" t="inlineStr">
        <is>
          <t>CANNON 95mm FIBRE EPOXY G11</t>
        </is>
      </c>
      <c r="F3708" t="inlineStr">
        <is>
          <t>INTERXION BY MERCURY</t>
        </is>
      </c>
      <c r="G3708" t="inlineStr">
        <is>
          <t>GVX</t>
        </is>
      </c>
      <c r="H3708" t="inlineStr">
        <is>
          <t>IO</t>
        </is>
      </c>
      <c r="J3708" t="inlineStr">
        <is>
          <t>MATRION</t>
        </is>
      </c>
      <c r="K3708" t="inlineStr">
        <is>
          <t>PLASTIQUE</t>
        </is>
      </c>
      <c r="L3708">
        <f>_xlfn.XLOOKUP(Tableau1[[#This Row],[TYPE DE PIECE]],Tableau4[MATIERE],Tableau4[SHORT TYPE],"",0,1)</f>
        <v/>
      </c>
      <c r="N3708">
        <f>IF(ISERR(FIND("DECOUPE",Tableau1[[#This Row],[DESIGNATION]])),"","NEED REF")</f>
        <v/>
      </c>
    </row>
    <row r="3709">
      <c r="B3709" t="n">
        <v>34410296</v>
      </c>
      <c r="C3709" s="2" t="n">
        <v>44603</v>
      </c>
      <c r="D3709" t="inlineStr">
        <is>
          <t>SPEC</t>
        </is>
      </c>
      <c r="E3709" t="inlineStr">
        <is>
          <t>CANNON 85mm FIBRE EPOXY G11</t>
        </is>
      </c>
      <c r="F3709" t="inlineStr">
        <is>
          <t>INTERXION BY MERCURY</t>
        </is>
      </c>
      <c r="G3709" t="inlineStr">
        <is>
          <t>GVX</t>
        </is>
      </c>
      <c r="H3709" t="inlineStr">
        <is>
          <t>IO</t>
        </is>
      </c>
      <c r="J3709" t="inlineStr">
        <is>
          <t>MATRION</t>
        </is>
      </c>
      <c r="K3709" t="inlineStr">
        <is>
          <t>PLASTIQUE</t>
        </is>
      </c>
      <c r="L3709">
        <f>_xlfn.XLOOKUP(Tableau1[[#This Row],[TYPE DE PIECE]],Tableau4[MATIERE],Tableau4[SHORT TYPE],"",0,1)</f>
        <v/>
      </c>
      <c r="N3709">
        <f>IF(ISERR(FIND("DECOUPE",Tableau1[[#This Row],[DESIGNATION]])),"","NEED REF")</f>
        <v/>
      </c>
    </row>
    <row r="3710">
      <c r="B3710" t="n">
        <v>34410295</v>
      </c>
      <c r="C3710" s="2" t="n">
        <v>44602</v>
      </c>
      <c r="D3710" t="inlineStr">
        <is>
          <t>SPEC</t>
        </is>
      </c>
      <c r="E3710" t="inlineStr">
        <is>
          <t>SMT CACHE TGAB BATT 2</t>
        </is>
      </c>
      <c r="F3710" t="inlineStr">
        <is>
          <t>INTERXION BY MERCURY</t>
        </is>
      </c>
      <c r="G3710" t="inlineStr">
        <is>
          <t>GVX</t>
        </is>
      </c>
      <c r="H3710" t="inlineStr">
        <is>
          <t>IO</t>
        </is>
      </c>
      <c r="J3710" t="inlineStr">
        <is>
          <t>MATRION</t>
        </is>
      </c>
      <c r="K3710" t="inlineStr">
        <is>
          <t>METAL</t>
        </is>
      </c>
      <c r="L3710">
        <f>_xlfn.XLOOKUP(Tableau1[[#This Row],[TYPE DE PIECE]],Tableau4[MATIERE],Tableau4[SHORT TYPE],"",0,1)</f>
        <v/>
      </c>
      <c r="N3710">
        <f>IF(ISERR(FIND("DECOUPE",Tableau1[[#This Row],[DESIGNATION]])),"","NEED REF")</f>
        <v/>
      </c>
    </row>
    <row r="3711">
      <c r="B3711" t="n">
        <v>34410294</v>
      </c>
      <c r="C3711" s="2" t="n">
        <v>44602</v>
      </c>
      <c r="D3711" t="inlineStr">
        <is>
          <t>SPEC</t>
        </is>
      </c>
      <c r="E3711" t="inlineStr">
        <is>
          <t>SMT CACHE TGAB BATT 1</t>
        </is>
      </c>
      <c r="F3711" t="inlineStr">
        <is>
          <t>INTERXION BY MERCURY</t>
        </is>
      </c>
      <c r="G3711" t="inlineStr">
        <is>
          <t>GVX</t>
        </is>
      </c>
      <c r="H3711" t="inlineStr">
        <is>
          <t>IO</t>
        </is>
      </c>
      <c r="J3711" t="inlineStr">
        <is>
          <t>MATRION</t>
        </is>
      </c>
      <c r="K3711" t="inlineStr">
        <is>
          <t>METAL</t>
        </is>
      </c>
      <c r="L3711">
        <f>_xlfn.XLOOKUP(Tableau1[[#This Row],[TYPE DE PIECE]],Tableau4[MATIERE],Tableau4[SHORT TYPE],"",0,1)</f>
        <v/>
      </c>
      <c r="N3711">
        <f>IF(ISERR(FIND("DECOUPE",Tableau1[[#This Row],[DESIGNATION]])),"","NEED REF")</f>
        <v/>
      </c>
    </row>
    <row r="3712">
      <c r="B3712" t="n">
        <v>34410293</v>
      </c>
      <c r="C3712" s="2" t="n">
        <v>44602</v>
      </c>
      <c r="D3712" t="inlineStr">
        <is>
          <t>SPEC</t>
        </is>
      </c>
      <c r="E3712" t="inlineStr">
        <is>
          <t>SMT SUPPORT =S= 04662</t>
        </is>
      </c>
      <c r="F3712" t="inlineStr">
        <is>
          <t>COMTRADE DISTRIBUTION DOO SERBIE</t>
        </is>
      </c>
      <c r="G3712" t="inlineStr">
        <is>
          <t>GVL</t>
        </is>
      </c>
      <c r="H3712" t="inlineStr">
        <is>
          <t>BYPASS</t>
        </is>
      </c>
      <c r="J3712" t="inlineStr">
        <is>
          <t>JAWORSKI</t>
        </is>
      </c>
      <c r="K3712" t="inlineStr">
        <is>
          <t>METAL</t>
        </is>
      </c>
      <c r="L3712">
        <f>_xlfn.XLOOKUP(Tableau1[[#This Row],[TYPE DE PIECE]],Tableau4[MATIERE],Tableau4[SHORT TYPE],"",0,1)</f>
        <v/>
      </c>
      <c r="N3712">
        <f>IF(ISERR(FIND("DECOUPE",Tableau1[[#This Row],[DESIGNATION]])),"","NEED REF")</f>
        <v/>
      </c>
    </row>
    <row r="3713">
      <c r="B3713" t="n">
        <v>34410292</v>
      </c>
      <c r="C3713" s="2" t="n">
        <v>44602</v>
      </c>
      <c r="D3713" t="inlineStr">
        <is>
          <t>SPEC</t>
        </is>
      </c>
      <c r="E3713" t="inlineStr">
        <is>
          <t>PLA PLAQUE SUPPORT &amp; ISOLATION N</t>
        </is>
      </c>
      <c r="F3713" t="inlineStr">
        <is>
          <t>INTERXION BY MERCURY</t>
        </is>
      </c>
      <c r="G3713" t="inlineStr">
        <is>
          <t>GVX</t>
        </is>
      </c>
      <c r="H3713" t="inlineStr">
        <is>
          <t>IO</t>
        </is>
      </c>
      <c r="J3713" t="inlineStr">
        <is>
          <t>MATRION</t>
        </is>
      </c>
      <c r="K3713" t="inlineStr">
        <is>
          <t>CUIVRE</t>
        </is>
      </c>
      <c r="L3713">
        <f>_xlfn.XLOOKUP(Tableau1[[#This Row],[TYPE DE PIECE]],Tableau4[MATIERE],Tableau4[SHORT TYPE],"",0,1)</f>
        <v/>
      </c>
      <c r="N3713">
        <f>IF(ISERR(FIND("DECOUPE",Tableau1[[#This Row],[DESIGNATION]])),"","NEED REF")</f>
        <v/>
      </c>
    </row>
    <row r="3714">
      <c r="B3714" t="n">
        <v>34410291</v>
      </c>
      <c r="C3714" s="2" t="n">
        <v>44602</v>
      </c>
      <c r="D3714" t="inlineStr">
        <is>
          <t>SPEC</t>
        </is>
      </c>
      <c r="E3714" t="inlineStr">
        <is>
          <t>SMT PLATEAU TGAB BATT</t>
        </is>
      </c>
      <c r="F3714" t="inlineStr">
        <is>
          <t>INTERXION BY MERCURY</t>
        </is>
      </c>
      <c r="G3714" t="inlineStr">
        <is>
          <t>GVX</t>
        </is>
      </c>
      <c r="H3714" t="inlineStr">
        <is>
          <t>IO</t>
        </is>
      </c>
      <c r="J3714" t="inlineStr">
        <is>
          <t>MATRION</t>
        </is>
      </c>
      <c r="K3714" t="inlineStr">
        <is>
          <t>METAL</t>
        </is>
      </c>
      <c r="L3714">
        <f>_xlfn.XLOOKUP(Tableau1[[#This Row],[TYPE DE PIECE]],Tableau4[MATIERE],Tableau4[SHORT TYPE],"",0,1)</f>
        <v/>
      </c>
      <c r="N3714">
        <f>IF(ISERR(FIND("DECOUPE",Tableau1[[#This Row],[DESIGNATION]])),"","NEED REF")</f>
        <v/>
      </c>
    </row>
    <row r="3715">
      <c r="B3715" t="n">
        <v>34410290</v>
      </c>
      <c r="C3715" s="2" t="n">
        <v>44602</v>
      </c>
      <c r="D3715" t="inlineStr">
        <is>
          <t>SPEC</t>
        </is>
      </c>
      <c r="E3715" t="inlineStr">
        <is>
          <t>COP CX MBB/SSIB_UOB - L3</t>
        </is>
      </c>
      <c r="F3715" t="inlineStr">
        <is>
          <t>COMTRADE DISTRIBUTION DOO SERBIE</t>
        </is>
      </c>
      <c r="G3715" t="inlineStr">
        <is>
          <t>GVL</t>
        </is>
      </c>
      <c r="H3715" t="inlineStr">
        <is>
          <t>BYPASS</t>
        </is>
      </c>
      <c r="J3715" t="inlineStr">
        <is>
          <t>JAWORSKI</t>
        </is>
      </c>
      <c r="K3715" t="inlineStr">
        <is>
          <t>CUIVRE</t>
        </is>
      </c>
      <c r="L3715">
        <f>_xlfn.XLOOKUP(Tableau1[[#This Row],[TYPE DE PIECE]],Tableau4[MATIERE],Tableau4[SHORT TYPE],"",0,1)</f>
        <v/>
      </c>
      <c r="N3715">
        <f>IF(ISERR(FIND("DECOUPE",Tableau1[[#This Row],[DESIGNATION]])),"","NEED REF")</f>
        <v/>
      </c>
    </row>
    <row r="3716">
      <c r="B3716" t="n">
        <v>34410289</v>
      </c>
      <c r="C3716" s="2" t="n">
        <v>44602</v>
      </c>
      <c r="D3716" t="inlineStr">
        <is>
          <t>SPEC</t>
        </is>
      </c>
      <c r="E3716" t="inlineStr">
        <is>
          <t>COP CX MBB/SSIB_UOB - L2</t>
        </is>
      </c>
      <c r="F3716" t="inlineStr">
        <is>
          <t>COMTRADE DISTRIBUTION DOO SERBIE</t>
        </is>
      </c>
      <c r="G3716" t="inlineStr">
        <is>
          <t>GVL</t>
        </is>
      </c>
      <c r="H3716" t="inlineStr">
        <is>
          <t>BYPASS</t>
        </is>
      </c>
      <c r="J3716" t="inlineStr">
        <is>
          <t>JAWORSKI</t>
        </is>
      </c>
      <c r="K3716" t="inlineStr">
        <is>
          <t>CUIVRE</t>
        </is>
      </c>
      <c r="L3716">
        <f>_xlfn.XLOOKUP(Tableau1[[#This Row],[TYPE DE PIECE]],Tableau4[MATIERE],Tableau4[SHORT TYPE],"",0,1)</f>
        <v/>
      </c>
      <c r="N3716">
        <f>IF(ISERR(FIND("DECOUPE",Tableau1[[#This Row],[DESIGNATION]])),"","NEED REF")</f>
        <v/>
      </c>
    </row>
    <row r="3717">
      <c r="B3717" t="n">
        <v>34410288</v>
      </c>
      <c r="C3717" s="2" t="n">
        <v>44602</v>
      </c>
      <c r="D3717" t="inlineStr">
        <is>
          <t>SPEC</t>
        </is>
      </c>
      <c r="E3717" t="inlineStr">
        <is>
          <t>COP CX MBB/SSIB_UOB - L1</t>
        </is>
      </c>
      <c r="F3717" t="inlineStr">
        <is>
          <t>COMTRADE DISTRIBUTION DOO SERBIE</t>
        </is>
      </c>
      <c r="G3717" t="inlineStr">
        <is>
          <t>GVL</t>
        </is>
      </c>
      <c r="H3717" t="inlineStr">
        <is>
          <t>BYPASS</t>
        </is>
      </c>
      <c r="J3717" t="inlineStr">
        <is>
          <t>JAWORSKI</t>
        </is>
      </c>
      <c r="K3717" t="inlineStr">
        <is>
          <t>CUIVRE</t>
        </is>
      </c>
      <c r="L3717">
        <f>_xlfn.XLOOKUP(Tableau1[[#This Row],[TYPE DE PIECE]],Tableau4[MATIERE],Tableau4[SHORT TYPE],"",0,1)</f>
        <v/>
      </c>
      <c r="N3717">
        <f>IF(ISERR(FIND("DECOUPE",Tableau1[[#This Row],[DESIGNATION]])),"","NEED REF")</f>
        <v/>
      </c>
    </row>
    <row r="3718">
      <c r="B3718" t="n">
        <v>34410287</v>
      </c>
      <c r="C3718" s="2" t="n">
        <v>44602</v>
      </c>
      <c r="D3718" t="inlineStr">
        <is>
          <t>SPEC</t>
        </is>
      </c>
      <c r="E3718" t="inlineStr">
        <is>
          <t>COP CX MBB/SSIB_UOB - N</t>
        </is>
      </c>
      <c r="F3718" t="inlineStr">
        <is>
          <t>COMTRADE DISTRIBUTION DOO SERBIE</t>
        </is>
      </c>
      <c r="G3718" t="inlineStr">
        <is>
          <t>GVL</t>
        </is>
      </c>
      <c r="H3718" t="inlineStr">
        <is>
          <t>BYPASS</t>
        </is>
      </c>
      <c r="J3718" t="inlineStr">
        <is>
          <t>JAWORSKI</t>
        </is>
      </c>
      <c r="K3718" t="inlineStr">
        <is>
          <t>CUIVRE</t>
        </is>
      </c>
      <c r="L3718">
        <f>_xlfn.XLOOKUP(Tableau1[[#This Row],[TYPE DE PIECE]],Tableau4[MATIERE],Tableau4[SHORT TYPE],"",0,1)</f>
        <v/>
      </c>
      <c r="N3718">
        <f>IF(ISERR(FIND("DECOUPE",Tableau1[[#This Row],[DESIGNATION]])),"","NEED REF")</f>
        <v/>
      </c>
    </row>
    <row r="3719">
      <c r="B3719" t="n">
        <v>34410286</v>
      </c>
      <c r="C3719" s="2" t="n">
        <v>44602</v>
      </c>
      <c r="D3719" t="inlineStr">
        <is>
          <t>SPEC</t>
        </is>
      </c>
      <c r="E3719" t="inlineStr">
        <is>
          <t>COP CX CLIENT BYPASS INPUT</t>
        </is>
      </c>
      <c r="F3719" t="inlineStr">
        <is>
          <t>COMTRADE DISTRIBUTION DOO SERBIE</t>
        </is>
      </c>
      <c r="G3719" t="inlineStr">
        <is>
          <t>GVL</t>
        </is>
      </c>
      <c r="H3719" t="inlineStr">
        <is>
          <t>BYPASS</t>
        </is>
      </c>
      <c r="J3719" t="inlineStr">
        <is>
          <t>JAWORSKI</t>
        </is>
      </c>
      <c r="K3719" t="inlineStr">
        <is>
          <t>CUIVRE</t>
        </is>
      </c>
      <c r="L3719">
        <f>_xlfn.XLOOKUP(Tableau1[[#This Row],[TYPE DE PIECE]],Tableau4[MATIERE],Tableau4[SHORT TYPE],"",0,1)</f>
        <v/>
      </c>
      <c r="N3719">
        <f>IF(ISERR(FIND("DECOUPE",Tableau1[[#This Row],[DESIGNATION]])),"","NEED REF")</f>
        <v/>
      </c>
    </row>
    <row r="3720">
      <c r="B3720" t="n">
        <v>34410285</v>
      </c>
      <c r="C3720" s="2" t="n">
        <v>44601</v>
      </c>
      <c r="D3720" t="inlineStr">
        <is>
          <t>SPEC</t>
        </is>
      </c>
      <c r="E3720" t="inlineStr">
        <is>
          <t>SMT SUPPORT TGAB BATT 2</t>
        </is>
      </c>
      <c r="F3720" t="inlineStr">
        <is>
          <t>INTERXION BY MERCURY</t>
        </is>
      </c>
      <c r="G3720" t="inlineStr">
        <is>
          <t>GVX</t>
        </is>
      </c>
      <c r="H3720" t="inlineStr">
        <is>
          <t>IO</t>
        </is>
      </c>
      <c r="J3720" t="inlineStr">
        <is>
          <t>MATRION</t>
        </is>
      </c>
      <c r="K3720" t="inlineStr">
        <is>
          <t>METAL</t>
        </is>
      </c>
      <c r="L3720">
        <f>_xlfn.XLOOKUP(Tableau1[[#This Row],[TYPE DE PIECE]],Tableau4[MATIERE],Tableau4[SHORT TYPE],"",0,1)</f>
        <v/>
      </c>
      <c r="N3720">
        <f>IF(ISERR(FIND("DECOUPE",Tableau1[[#This Row],[DESIGNATION]])),"","NEED REF")</f>
        <v/>
      </c>
    </row>
    <row r="3721">
      <c r="B3721" t="n">
        <v>34410284</v>
      </c>
      <c r="C3721" s="2" t="n">
        <v>44601</v>
      </c>
      <c r="D3721" t="inlineStr">
        <is>
          <t>SPEC</t>
        </is>
      </c>
      <c r="E3721" t="inlineStr">
        <is>
          <t>SMT SUPPORT TGAB BATT 1</t>
        </is>
      </c>
      <c r="F3721" t="inlineStr">
        <is>
          <t>INTERXION BY MERCURY</t>
        </is>
      </c>
      <c r="G3721" t="inlineStr">
        <is>
          <t>GVX</t>
        </is>
      </c>
      <c r="H3721" t="inlineStr">
        <is>
          <t>IO</t>
        </is>
      </c>
      <c r="J3721" t="inlineStr">
        <is>
          <t>MATRION</t>
        </is>
      </c>
      <c r="K3721" t="inlineStr">
        <is>
          <t>METAL</t>
        </is>
      </c>
      <c r="L3721">
        <f>_xlfn.XLOOKUP(Tableau1[[#This Row],[TYPE DE PIECE]],Tableau4[MATIERE],Tableau4[SHORT TYPE],"",0,1)</f>
        <v/>
      </c>
      <c r="N3721">
        <f>IF(ISERR(FIND("DECOUPE",Tableau1[[#This Row],[DESIGNATION]])),"","NEED REF")</f>
        <v/>
      </c>
    </row>
    <row r="3722">
      <c r="B3722" t="n">
        <v>34410283</v>
      </c>
      <c r="C3722" s="2" t="n">
        <v>44601</v>
      </c>
      <c r="D3722" t="inlineStr">
        <is>
          <t>SPEC</t>
        </is>
      </c>
      <c r="E3722" t="inlineStr">
        <is>
          <t>SMT DEMI PLATEAU BAS TGAB BATT 2</t>
        </is>
      </c>
      <c r="F3722" t="inlineStr">
        <is>
          <t>INTERXION BY MERCURY</t>
        </is>
      </c>
      <c r="G3722" t="inlineStr">
        <is>
          <t>GVX</t>
        </is>
      </c>
      <c r="H3722" t="inlineStr">
        <is>
          <t>IO</t>
        </is>
      </c>
      <c r="J3722" t="inlineStr">
        <is>
          <t>MATRION</t>
        </is>
      </c>
      <c r="K3722" t="inlineStr">
        <is>
          <t>METAL</t>
        </is>
      </c>
      <c r="L3722">
        <f>_xlfn.XLOOKUP(Tableau1[[#This Row],[TYPE DE PIECE]],Tableau4[MATIERE],Tableau4[SHORT TYPE],"",0,1)</f>
        <v/>
      </c>
      <c r="N3722">
        <f>IF(ISERR(FIND("DECOUPE",Tableau1[[#This Row],[DESIGNATION]])),"","NEED REF")</f>
        <v/>
      </c>
    </row>
    <row r="3723">
      <c r="B3723" t="n">
        <v>34410282</v>
      </c>
      <c r="C3723" s="2" t="n">
        <v>44601</v>
      </c>
      <c r="D3723" t="inlineStr">
        <is>
          <t>SPEC</t>
        </is>
      </c>
      <c r="E3723" t="inlineStr">
        <is>
          <t>SMT DEMI PLATEAU BAS TGAB BATT 1</t>
        </is>
      </c>
      <c r="F3723" t="inlineStr">
        <is>
          <t>INTERXION BY MERCURY</t>
        </is>
      </c>
      <c r="G3723" t="inlineStr">
        <is>
          <t>GVX</t>
        </is>
      </c>
      <c r="H3723" t="inlineStr">
        <is>
          <t>IO</t>
        </is>
      </c>
      <c r="J3723" t="inlineStr">
        <is>
          <t>MATRION</t>
        </is>
      </c>
      <c r="K3723" t="inlineStr">
        <is>
          <t>METAL</t>
        </is>
      </c>
      <c r="L3723">
        <f>_xlfn.XLOOKUP(Tableau1[[#This Row],[TYPE DE PIECE]],Tableau4[MATIERE],Tableau4[SHORT TYPE],"",0,1)</f>
        <v/>
      </c>
      <c r="N3723">
        <f>IF(ISERR(FIND("DECOUPE",Tableau1[[#This Row],[DESIGNATION]])),"","NEED REF")</f>
        <v/>
      </c>
    </row>
    <row r="3724">
      <c r="B3724" t="n">
        <v>34410281</v>
      </c>
      <c r="C3724" s="2" t="n">
        <v>44601</v>
      </c>
      <c r="D3724" t="inlineStr">
        <is>
          <t>SPEC</t>
        </is>
      </c>
      <c r="E3724" t="inlineStr">
        <is>
          <t>COP CX MBB/UIB - L3</t>
        </is>
      </c>
      <c r="F3724" t="inlineStr">
        <is>
          <t>COMTRADE DISTRIBUTION DOO SERBIE</t>
        </is>
      </c>
      <c r="G3724" t="inlineStr">
        <is>
          <t>GVL</t>
        </is>
      </c>
      <c r="H3724" t="inlineStr">
        <is>
          <t>BYPASS</t>
        </is>
      </c>
      <c r="J3724" t="inlineStr">
        <is>
          <t>JAWORSKI</t>
        </is>
      </c>
      <c r="K3724" t="inlineStr">
        <is>
          <t>CUIVRE</t>
        </is>
      </c>
      <c r="L3724">
        <f>_xlfn.XLOOKUP(Tableau1[[#This Row],[TYPE DE PIECE]],Tableau4[MATIERE],Tableau4[SHORT TYPE],"",0,1)</f>
        <v/>
      </c>
      <c r="N3724">
        <f>IF(ISERR(FIND("DECOUPE",Tableau1[[#This Row],[DESIGNATION]])),"","NEED REF")</f>
        <v/>
      </c>
    </row>
    <row r="3725">
      <c r="B3725" t="n">
        <v>34410280</v>
      </c>
      <c r="C3725" s="2" t="n">
        <v>44601</v>
      </c>
      <c r="D3725" t="inlineStr">
        <is>
          <t>SPEC</t>
        </is>
      </c>
      <c r="E3725" t="inlineStr">
        <is>
          <t>COP CX MBB/UIB - L2</t>
        </is>
      </c>
      <c r="F3725" t="inlineStr">
        <is>
          <t>COMTRADE DISTRIBUTION DOO SERBIE</t>
        </is>
      </c>
      <c r="G3725" t="inlineStr">
        <is>
          <t>GVL</t>
        </is>
      </c>
      <c r="H3725" t="inlineStr">
        <is>
          <t>BYPASS</t>
        </is>
      </c>
      <c r="J3725" t="inlineStr">
        <is>
          <t>JAWORSKI</t>
        </is>
      </c>
      <c r="K3725" t="inlineStr">
        <is>
          <t>CUIVRE</t>
        </is>
      </c>
      <c r="L3725">
        <f>_xlfn.XLOOKUP(Tableau1[[#This Row],[TYPE DE PIECE]],Tableau4[MATIERE],Tableau4[SHORT TYPE],"",0,1)</f>
        <v/>
      </c>
      <c r="N3725">
        <f>IF(ISERR(FIND("DECOUPE",Tableau1[[#This Row],[DESIGNATION]])),"","NEED REF")</f>
        <v/>
      </c>
    </row>
    <row r="3726">
      <c r="B3726" t="n">
        <v>34410279</v>
      </c>
      <c r="C3726" s="2" t="n">
        <v>44601</v>
      </c>
      <c r="D3726" t="inlineStr">
        <is>
          <t>SPEC</t>
        </is>
      </c>
      <c r="E3726" t="inlineStr">
        <is>
          <t>COP CX MBB/UIB - L1</t>
        </is>
      </c>
      <c r="F3726" t="inlineStr">
        <is>
          <t>COMTRADE DISTRIBUTION DOO SERBIE</t>
        </is>
      </c>
      <c r="G3726" t="inlineStr">
        <is>
          <t>GVL</t>
        </is>
      </c>
      <c r="H3726" t="inlineStr">
        <is>
          <t>BYPASS</t>
        </is>
      </c>
      <c r="J3726" t="inlineStr">
        <is>
          <t>JAWORSKI</t>
        </is>
      </c>
      <c r="K3726" t="inlineStr">
        <is>
          <t>CUIVRE</t>
        </is>
      </c>
      <c r="L3726">
        <f>_xlfn.XLOOKUP(Tableau1[[#This Row],[TYPE DE PIECE]],Tableau4[MATIERE],Tableau4[SHORT TYPE],"",0,1)</f>
        <v/>
      </c>
      <c r="N3726">
        <f>IF(ISERR(FIND("DECOUPE",Tableau1[[#This Row],[DESIGNATION]])),"","NEED REF")</f>
        <v/>
      </c>
    </row>
    <row r="3727">
      <c r="B3727" t="n">
        <v>34410278</v>
      </c>
      <c r="C3727" s="2" t="n">
        <v>44601</v>
      </c>
      <c r="D3727" t="inlineStr">
        <is>
          <t>SPEC</t>
        </is>
      </c>
      <c r="E3727" t="inlineStr">
        <is>
          <t>COP CX MBB/UIB - N</t>
        </is>
      </c>
      <c r="F3727" t="inlineStr">
        <is>
          <t>COMTRADE DISTRIBUTION DOO SERBIE</t>
        </is>
      </c>
      <c r="G3727" t="inlineStr">
        <is>
          <t>GVL</t>
        </is>
      </c>
      <c r="H3727" t="inlineStr">
        <is>
          <t>BYPASS</t>
        </is>
      </c>
      <c r="J3727" t="inlineStr">
        <is>
          <t>JAWORSKI</t>
        </is>
      </c>
      <c r="K3727" t="inlineStr">
        <is>
          <t>CUIVRE</t>
        </is>
      </c>
      <c r="L3727">
        <f>_xlfn.XLOOKUP(Tableau1[[#This Row],[TYPE DE PIECE]],Tableau4[MATIERE],Tableau4[SHORT TYPE],"",0,1)</f>
        <v/>
      </c>
      <c r="N3727">
        <f>IF(ISERR(FIND("DECOUPE",Tableau1[[#This Row],[DESIGNATION]])),"","NEED REF")</f>
        <v/>
      </c>
    </row>
    <row r="3728">
      <c r="B3728" t="n">
        <v>34410277</v>
      </c>
      <c r="C3728" s="2" t="n">
        <v>44601</v>
      </c>
      <c r="D3728" t="inlineStr">
        <is>
          <t>SPEC</t>
        </is>
      </c>
      <c r="E3728" t="inlineStr">
        <is>
          <t>COP LIAISON 2 PER</t>
        </is>
      </c>
      <c r="F3728" t="inlineStr">
        <is>
          <t>INTERXION</t>
        </is>
      </c>
      <c r="G3728" t="inlineStr">
        <is>
          <t>GVX</t>
        </is>
      </c>
      <c r="H3728" t="inlineStr">
        <is>
          <t>IO</t>
        </is>
      </c>
      <c r="J3728" t="inlineStr">
        <is>
          <t>BERNARDEAU</t>
        </is>
      </c>
      <c r="K3728" t="inlineStr">
        <is>
          <t>CUIVRE</t>
        </is>
      </c>
      <c r="L3728">
        <f>_xlfn.XLOOKUP(Tableau1[[#This Row],[TYPE DE PIECE]],Tableau4[MATIERE],Tableau4[SHORT TYPE],"",0,1)</f>
        <v/>
      </c>
      <c r="N3728">
        <f>IF(ISERR(FIND("DECOUPE",Tableau1[[#This Row],[DESIGNATION]])),"","NEED REF")</f>
        <v/>
      </c>
    </row>
    <row r="3729">
      <c r="B3729" t="n">
        <v>34410276</v>
      </c>
      <c r="C3729" s="2" t="n">
        <v>44601</v>
      </c>
      <c r="D3729" t="inlineStr">
        <is>
          <t>SPEC</t>
        </is>
      </c>
      <c r="E3729" t="inlineStr">
        <is>
          <t>SMT EQUERRE SUPPORT  =S=  04662</t>
        </is>
      </c>
      <c r="F3729" t="inlineStr">
        <is>
          <t>COMTRADE DISTRIBUTION DOO SERBIE</t>
        </is>
      </c>
      <c r="G3729" t="inlineStr">
        <is>
          <t>GVL</t>
        </is>
      </c>
      <c r="H3729" t="inlineStr">
        <is>
          <t>BYPASS</t>
        </is>
      </c>
      <c r="J3729" t="inlineStr">
        <is>
          <t>JAWORSKI</t>
        </is>
      </c>
      <c r="K3729" t="inlineStr">
        <is>
          <t>METAL</t>
        </is>
      </c>
      <c r="L3729">
        <f>_xlfn.XLOOKUP(Tableau1[[#This Row],[TYPE DE PIECE]],Tableau4[MATIERE],Tableau4[SHORT TYPE],"",0,1)</f>
        <v/>
      </c>
      <c r="N3729">
        <f>IF(ISERR(FIND("DECOUPE",Tableau1[[#This Row],[DESIGNATION]])),"","NEED REF")</f>
        <v/>
      </c>
    </row>
    <row r="3730">
      <c r="B3730" t="n">
        <v>34410275</v>
      </c>
      <c r="C3730" s="2" t="n">
        <v>44601</v>
      </c>
      <c r="D3730" t="inlineStr">
        <is>
          <t>SPEC</t>
        </is>
      </c>
      <c r="E3730" t="inlineStr">
        <is>
          <t>COP PONTAGE BATT FEEDER EAE 2</t>
        </is>
      </c>
      <c r="F3730" t="inlineStr">
        <is>
          <t>INTERXION BY MERCURY</t>
        </is>
      </c>
      <c r="G3730" t="inlineStr">
        <is>
          <t>GVX</t>
        </is>
      </c>
      <c r="H3730" t="inlineStr">
        <is>
          <t>IO</t>
        </is>
      </c>
      <c r="J3730" t="inlineStr">
        <is>
          <t>MATRION</t>
        </is>
      </c>
      <c r="K3730" t="inlineStr">
        <is>
          <t>CUIVRE</t>
        </is>
      </c>
      <c r="L3730">
        <f>_xlfn.XLOOKUP(Tableau1[[#This Row],[TYPE DE PIECE]],Tableau4[MATIERE],Tableau4[SHORT TYPE],"",0,1)</f>
        <v/>
      </c>
      <c r="N3730">
        <f>IF(ISERR(FIND("DECOUPE",Tableau1[[#This Row],[DESIGNATION]])),"","NEED REF")</f>
        <v/>
      </c>
    </row>
    <row r="3731">
      <c r="B3731" t="n">
        <v>34410274</v>
      </c>
      <c r="C3731" s="2" t="n">
        <v>44601</v>
      </c>
      <c r="D3731" t="inlineStr">
        <is>
          <t>SPEC</t>
        </is>
      </c>
      <c r="E3731" t="inlineStr">
        <is>
          <t>COP PONTAGE BATT FEEDER EAE 1</t>
        </is>
      </c>
      <c r="F3731" t="inlineStr">
        <is>
          <t>INTERXION BY MERCURY</t>
        </is>
      </c>
      <c r="G3731" t="inlineStr">
        <is>
          <t>GVX</t>
        </is>
      </c>
      <c r="H3731" t="inlineStr">
        <is>
          <t>IO</t>
        </is>
      </c>
      <c r="J3731" t="inlineStr">
        <is>
          <t>MATRION</t>
        </is>
      </c>
      <c r="K3731" t="inlineStr">
        <is>
          <t>CUIVRE</t>
        </is>
      </c>
      <c r="L3731">
        <f>_xlfn.XLOOKUP(Tableau1[[#This Row],[TYPE DE PIECE]],Tableau4[MATIERE],Tableau4[SHORT TYPE],"",0,1)</f>
        <v/>
      </c>
      <c r="N3731">
        <f>IF(ISERR(FIND("DECOUPE",Tableau1[[#This Row],[DESIGNATION]])),"","NEED REF")</f>
        <v/>
      </c>
    </row>
    <row r="3732">
      <c r="B3732" t="n">
        <v>34410273</v>
      </c>
      <c r="C3732" s="2" t="n">
        <v>44600</v>
      </c>
      <c r="D3732" t="inlineStr">
        <is>
          <t>SPEC</t>
        </is>
      </c>
      <c r="E3732" t="inlineStr">
        <is>
          <t>COP CX CLIENT SOURCE</t>
        </is>
      </c>
      <c r="F3732" t="inlineStr">
        <is>
          <t>COMTRADE DISTRIBUTION DOO SERBIE</t>
        </is>
      </c>
      <c r="G3732" t="inlineStr">
        <is>
          <t>GVL</t>
        </is>
      </c>
      <c r="H3732" t="inlineStr">
        <is>
          <t>BYPASS</t>
        </is>
      </c>
      <c r="J3732" t="inlineStr">
        <is>
          <t>JAWORSKI</t>
        </is>
      </c>
      <c r="K3732" t="inlineStr">
        <is>
          <t>CUIVRE</t>
        </is>
      </c>
      <c r="L3732">
        <f>_xlfn.XLOOKUP(Tableau1[[#This Row],[TYPE DE PIECE]],Tableau4[MATIERE],Tableau4[SHORT TYPE],"",0,1)</f>
        <v/>
      </c>
      <c r="N3732">
        <f>IF(ISERR(FIND("DECOUPE",Tableau1[[#This Row],[DESIGNATION]])),"","NEED REF")</f>
        <v/>
      </c>
    </row>
    <row r="3733">
      <c r="B3733" t="n">
        <v>34410272</v>
      </c>
      <c r="C3733" s="2" t="n">
        <v>44600</v>
      </c>
      <c r="D3733" t="inlineStr">
        <is>
          <t>SPEC</t>
        </is>
      </c>
      <c r="E3733" t="inlineStr">
        <is>
          <t>COP INPUT NEUTRE 2</t>
        </is>
      </c>
      <c r="F3733" t="inlineStr">
        <is>
          <t>INTERXION BY MERCURY</t>
        </is>
      </c>
      <c r="G3733" t="inlineStr">
        <is>
          <t>GVX</t>
        </is>
      </c>
      <c r="H3733" t="inlineStr">
        <is>
          <t>IO</t>
        </is>
      </c>
      <c r="J3733" t="inlineStr">
        <is>
          <t>MATRION</t>
        </is>
      </c>
      <c r="K3733" t="inlineStr">
        <is>
          <t>CUIVRE</t>
        </is>
      </c>
      <c r="L3733">
        <f>_xlfn.XLOOKUP(Tableau1[[#This Row],[TYPE DE PIECE]],Tableau4[MATIERE],Tableau4[SHORT TYPE],"",0,1)</f>
        <v/>
      </c>
      <c r="N3733">
        <f>IF(ISERR(FIND("DECOUPE",Tableau1[[#This Row],[DESIGNATION]])),"","NEED REF")</f>
        <v/>
      </c>
    </row>
    <row r="3734">
      <c r="B3734" t="n">
        <v>34410271</v>
      </c>
      <c r="C3734" s="2" t="n">
        <v>44600</v>
      </c>
      <c r="D3734" t="inlineStr">
        <is>
          <t>SPEC</t>
        </is>
      </c>
      <c r="E3734" t="inlineStr">
        <is>
          <t>COP INPUT NEUTRE 1</t>
        </is>
      </c>
      <c r="F3734" t="inlineStr">
        <is>
          <t>INTERXION BY MERCURY</t>
        </is>
      </c>
      <c r="G3734" t="inlineStr">
        <is>
          <t>GVX</t>
        </is>
      </c>
      <c r="H3734" t="inlineStr">
        <is>
          <t>IO</t>
        </is>
      </c>
      <c r="J3734" t="inlineStr">
        <is>
          <t>MATRION</t>
        </is>
      </c>
      <c r="K3734" t="inlineStr">
        <is>
          <t>CUIVRE</t>
        </is>
      </c>
      <c r="L3734">
        <f>_xlfn.XLOOKUP(Tableau1[[#This Row],[TYPE DE PIECE]],Tableau4[MATIERE],Tableau4[SHORT TYPE],"",0,1)</f>
        <v/>
      </c>
      <c r="N3734">
        <f>IF(ISERR(FIND("DECOUPE",Tableau1[[#This Row],[DESIGNATION]])),"","NEED REF")</f>
        <v/>
      </c>
    </row>
    <row r="3735">
      <c r="B3735" t="n">
        <v>34410270</v>
      </c>
      <c r="C3735" s="2" t="n">
        <v>44600</v>
      </c>
      <c r="D3735" t="inlineStr">
        <is>
          <t>SPEC</t>
        </is>
      </c>
      <c r="E3735" t="inlineStr">
        <is>
          <t>COP CALE INPUT</t>
        </is>
      </c>
      <c r="F3735" t="inlineStr">
        <is>
          <t>INTERXION BY MERCURY</t>
        </is>
      </c>
      <c r="G3735" t="inlineStr">
        <is>
          <t>GVX</t>
        </is>
      </c>
      <c r="H3735" t="inlineStr">
        <is>
          <t>IO</t>
        </is>
      </c>
      <c r="J3735" t="inlineStr">
        <is>
          <t>MATRION</t>
        </is>
      </c>
      <c r="K3735" t="inlineStr">
        <is>
          <t>CUIVRE</t>
        </is>
      </c>
      <c r="L3735">
        <f>_xlfn.XLOOKUP(Tableau1[[#This Row],[TYPE DE PIECE]],Tableau4[MATIERE],Tableau4[SHORT TYPE],"",0,1)</f>
        <v/>
      </c>
      <c r="N3735">
        <f>IF(ISERR(FIND("DECOUPE",Tableau1[[#This Row],[DESIGNATION]])),"","NEED REF")</f>
        <v/>
      </c>
    </row>
    <row r="3736">
      <c r="B3736" t="n">
        <v>34410269</v>
      </c>
      <c r="C3736" s="2" t="n">
        <v>44600</v>
      </c>
      <c r="D3736" t="inlineStr">
        <is>
          <t>SPEC</t>
        </is>
      </c>
      <c r="E3736" t="inlineStr">
        <is>
          <t>COP NEUTRE LINK 3</t>
        </is>
      </c>
      <c r="F3736" t="inlineStr">
        <is>
          <t>INTERXION BY MERCURY</t>
        </is>
      </c>
      <c r="G3736" t="inlineStr">
        <is>
          <t>GVX</t>
        </is>
      </c>
      <c r="H3736" t="inlineStr">
        <is>
          <t>IO</t>
        </is>
      </c>
      <c r="J3736" t="inlineStr">
        <is>
          <t>MATRION</t>
        </is>
      </c>
      <c r="K3736" t="inlineStr">
        <is>
          <t>CUIVRE</t>
        </is>
      </c>
      <c r="L3736">
        <f>_xlfn.XLOOKUP(Tableau1[[#This Row],[TYPE DE PIECE]],Tableau4[MATIERE],Tableau4[SHORT TYPE],"",0,1)</f>
        <v/>
      </c>
      <c r="N3736">
        <f>IF(ISERR(FIND("DECOUPE",Tableau1[[#This Row],[DESIGNATION]])),"","NEED REF")</f>
        <v/>
      </c>
    </row>
    <row r="3737">
      <c r="B3737" t="n">
        <v>34410268</v>
      </c>
      <c r="C3737" s="2" t="n">
        <v>44600</v>
      </c>
      <c r="D3737" t="inlineStr">
        <is>
          <t>SPEC</t>
        </is>
      </c>
      <c r="E3737" t="inlineStr">
        <is>
          <t>COP NEUTRE LINK 2</t>
        </is>
      </c>
      <c r="F3737" t="inlineStr">
        <is>
          <t>INTERXION BY MERCURY</t>
        </is>
      </c>
      <c r="G3737" t="inlineStr">
        <is>
          <t>GVX</t>
        </is>
      </c>
      <c r="H3737" t="inlineStr">
        <is>
          <t>IO</t>
        </is>
      </c>
      <c r="J3737" t="inlineStr">
        <is>
          <t>MATRION</t>
        </is>
      </c>
      <c r="K3737" t="inlineStr">
        <is>
          <t>CUIVRE</t>
        </is>
      </c>
      <c r="L3737">
        <f>_xlfn.XLOOKUP(Tableau1[[#This Row],[TYPE DE PIECE]],Tableau4[MATIERE],Tableau4[SHORT TYPE],"",0,1)</f>
        <v/>
      </c>
      <c r="N3737">
        <f>IF(ISERR(FIND("DECOUPE",Tableau1[[#This Row],[DESIGNATION]])),"","NEED REF")</f>
        <v/>
      </c>
    </row>
    <row r="3738">
      <c r="B3738" t="n">
        <v>34410267</v>
      </c>
      <c r="C3738" s="2" t="n">
        <v>44600</v>
      </c>
      <c r="D3738" t="inlineStr">
        <is>
          <t>SPEC</t>
        </is>
      </c>
      <c r="E3738" t="inlineStr">
        <is>
          <t>COP NEUTRE LINK 1</t>
        </is>
      </c>
      <c r="F3738" t="inlineStr">
        <is>
          <t>INTERXION BY MERCURY</t>
        </is>
      </c>
      <c r="G3738" t="inlineStr">
        <is>
          <t>GVX</t>
        </is>
      </c>
      <c r="H3738" t="inlineStr">
        <is>
          <t>IO</t>
        </is>
      </c>
      <c r="J3738" t="inlineStr">
        <is>
          <t>MATRION</t>
        </is>
      </c>
      <c r="K3738" t="inlineStr">
        <is>
          <t>CUIVRE</t>
        </is>
      </c>
      <c r="L3738">
        <f>_xlfn.XLOOKUP(Tableau1[[#This Row],[TYPE DE PIECE]],Tableau4[MATIERE],Tableau4[SHORT TYPE],"",0,1)</f>
        <v/>
      </c>
      <c r="N3738">
        <f>IF(ISERR(FIND("DECOUPE",Tableau1[[#This Row],[DESIGNATION]])),"","NEED REF")</f>
        <v/>
      </c>
    </row>
    <row r="3739">
      <c r="B3739" t="n">
        <v>34410266</v>
      </c>
      <c r="C3739" s="2" t="n">
        <v>44600</v>
      </c>
      <c r="D3739" t="inlineStr">
        <is>
          <t>SPEC</t>
        </is>
      </c>
      <c r="E3739" t="inlineStr">
        <is>
          <t>COP BAT- RENFORCEMENT</t>
        </is>
      </c>
      <c r="F3739" t="inlineStr">
        <is>
          <t>INTERXION BY MERCURY</t>
        </is>
      </c>
      <c r="G3739" t="inlineStr">
        <is>
          <t>GVX</t>
        </is>
      </c>
      <c r="H3739" t="inlineStr">
        <is>
          <t>IO</t>
        </is>
      </c>
      <c r="J3739" t="inlineStr">
        <is>
          <t>MATRION</t>
        </is>
      </c>
      <c r="K3739" t="inlineStr">
        <is>
          <t>CUIVRE</t>
        </is>
      </c>
      <c r="L3739">
        <f>_xlfn.XLOOKUP(Tableau1[[#This Row],[TYPE DE PIECE]],Tableau4[MATIERE],Tableau4[SHORT TYPE],"",0,1)</f>
        <v/>
      </c>
      <c r="N3739">
        <f>IF(ISERR(FIND("DECOUPE",Tableau1[[#This Row],[DESIGNATION]])),"","NEED REF")</f>
        <v/>
      </c>
    </row>
    <row r="3740">
      <c r="B3740" t="n">
        <v>34410265</v>
      </c>
      <c r="C3740" s="2" t="n">
        <v>44600</v>
      </c>
      <c r="D3740" t="inlineStr">
        <is>
          <t>SPEC</t>
        </is>
      </c>
      <c r="E3740" t="inlineStr">
        <is>
          <t>SMT RENFORCEMENT PROTECTION IP30</t>
        </is>
      </c>
      <c r="F3740" t="inlineStr">
        <is>
          <t>GVEAC5</t>
        </is>
      </c>
      <c r="G3740" t="inlineStr">
        <is>
          <t>GVE</t>
        </is>
      </c>
      <c r="J3740" t="inlineStr">
        <is>
          <t>MATRION</t>
        </is>
      </c>
      <c r="L3740">
        <f>_xlfn.XLOOKUP(Tableau1[[#This Row],[TYPE DE PIECE]],Tableau4[MATIERE],Tableau4[SHORT TYPE],"",0,1)</f>
        <v/>
      </c>
      <c r="M3740" t="inlineStr">
        <is>
          <t>IP30</t>
        </is>
      </c>
      <c r="N3740">
        <f>IF(ISERR(FIND("DECOUPE",Tableau1[[#This Row],[DESIGNATION]])),"","NEED REF")</f>
        <v/>
      </c>
    </row>
    <row r="3741">
      <c r="B3741" t="n">
        <v>34410264</v>
      </c>
      <c r="C3741" s="2" t="n">
        <v>44600</v>
      </c>
      <c r="D3741" t="inlineStr">
        <is>
          <t>SPEC</t>
        </is>
      </c>
      <c r="E3741" t="inlineStr">
        <is>
          <t>PLA PROTECTION CC MTZ2</t>
        </is>
      </c>
      <c r="F3741" t="inlineStr">
        <is>
          <t>COMTRADE DISTRIBUTION DOO SERBIE</t>
        </is>
      </c>
      <c r="G3741" t="inlineStr">
        <is>
          <t>GVL</t>
        </is>
      </c>
      <c r="H3741" t="inlineStr">
        <is>
          <t>BYPASS</t>
        </is>
      </c>
      <c r="J3741" t="inlineStr">
        <is>
          <t>JAWORSKI</t>
        </is>
      </c>
      <c r="K3741" t="inlineStr">
        <is>
          <t>PLASTIQUE</t>
        </is>
      </c>
      <c r="L3741">
        <f>_xlfn.XLOOKUP(Tableau1[[#This Row],[TYPE DE PIECE]],Tableau4[MATIERE],Tableau4[SHORT TYPE],"",0,1)</f>
        <v/>
      </c>
      <c r="N3741">
        <f>IF(ISERR(FIND("DECOUPE",Tableau1[[#This Row],[DESIGNATION]])),"","NEED REF")</f>
        <v/>
      </c>
    </row>
    <row r="3742">
      <c r="B3742" t="n">
        <v>34410263</v>
      </c>
      <c r="C3742" s="2" t="n">
        <v>44600</v>
      </c>
      <c r="D3742" t="inlineStr">
        <is>
          <t>SPEC</t>
        </is>
      </c>
      <c r="E3742" t="inlineStr">
        <is>
          <t>COP LIAISON BATT 4</t>
        </is>
      </c>
      <c r="F3742" t="inlineStr">
        <is>
          <t>INTERXION BY MERCURY</t>
        </is>
      </c>
      <c r="G3742" t="inlineStr">
        <is>
          <t>GVX</t>
        </is>
      </c>
      <c r="H3742" t="inlineStr">
        <is>
          <t>IO</t>
        </is>
      </c>
      <c r="J3742" t="inlineStr">
        <is>
          <t>MATRION</t>
        </is>
      </c>
      <c r="K3742" t="inlineStr">
        <is>
          <t>CUIVRE</t>
        </is>
      </c>
      <c r="L3742">
        <f>_xlfn.XLOOKUP(Tableau1[[#This Row],[TYPE DE PIECE]],Tableau4[MATIERE],Tableau4[SHORT TYPE],"",0,1)</f>
        <v/>
      </c>
      <c r="N3742">
        <f>IF(ISERR(FIND("DECOUPE",Tableau1[[#This Row],[DESIGNATION]])),"","NEED REF")</f>
        <v/>
      </c>
    </row>
    <row r="3743">
      <c r="B3743" t="n">
        <v>34410262</v>
      </c>
      <c r="C3743" s="2" t="n">
        <v>44600</v>
      </c>
      <c r="D3743" t="inlineStr">
        <is>
          <t>SPEC</t>
        </is>
      </c>
      <c r="E3743" t="inlineStr">
        <is>
          <t>COP LIAISON BATT 3</t>
        </is>
      </c>
      <c r="F3743" t="inlineStr">
        <is>
          <t>INTERXION BY MERCURY</t>
        </is>
      </c>
      <c r="G3743" t="inlineStr">
        <is>
          <t>GVX</t>
        </is>
      </c>
      <c r="H3743" t="inlineStr">
        <is>
          <t>IO</t>
        </is>
      </c>
      <c r="J3743" t="inlineStr">
        <is>
          <t>MATRION</t>
        </is>
      </c>
      <c r="K3743" t="inlineStr">
        <is>
          <t>CUIVRE</t>
        </is>
      </c>
      <c r="L3743">
        <f>_xlfn.XLOOKUP(Tableau1[[#This Row],[TYPE DE PIECE]],Tableau4[MATIERE],Tableau4[SHORT TYPE],"",0,1)</f>
        <v/>
      </c>
      <c r="N3743">
        <f>IF(ISERR(FIND("DECOUPE",Tableau1[[#This Row],[DESIGNATION]])),"","NEED REF")</f>
        <v/>
      </c>
    </row>
    <row r="3744">
      <c r="B3744" t="n">
        <v>34410261</v>
      </c>
      <c r="C3744" s="2" t="n">
        <v>44600</v>
      </c>
      <c r="D3744" t="inlineStr">
        <is>
          <t>SPEC</t>
        </is>
      </c>
      <c r="E3744" t="inlineStr">
        <is>
          <t>COP LIAISON BATT 2</t>
        </is>
      </c>
      <c r="F3744" t="inlineStr">
        <is>
          <t>INTERXION BY MERCURY</t>
        </is>
      </c>
      <c r="G3744" t="inlineStr">
        <is>
          <t>GVX</t>
        </is>
      </c>
      <c r="H3744" t="inlineStr">
        <is>
          <t>IO</t>
        </is>
      </c>
      <c r="J3744" t="inlineStr">
        <is>
          <t>MATRION</t>
        </is>
      </c>
      <c r="K3744" t="inlineStr">
        <is>
          <t>CUIVRE</t>
        </is>
      </c>
      <c r="L3744">
        <f>_xlfn.XLOOKUP(Tableau1[[#This Row],[TYPE DE PIECE]],Tableau4[MATIERE],Tableau4[SHORT TYPE],"",0,1)</f>
        <v/>
      </c>
      <c r="N3744">
        <f>IF(ISERR(FIND("DECOUPE",Tableau1[[#This Row],[DESIGNATION]])),"","NEED REF")</f>
        <v/>
      </c>
    </row>
    <row r="3745">
      <c r="B3745" t="n">
        <v>34410260</v>
      </c>
      <c r="C3745" s="2" t="n">
        <v>44600</v>
      </c>
      <c r="D3745" t="inlineStr">
        <is>
          <t>SPEC</t>
        </is>
      </c>
      <c r="E3745" t="inlineStr">
        <is>
          <t>COP LIAISON BATT 1</t>
        </is>
      </c>
      <c r="F3745" t="inlineStr">
        <is>
          <t>INTERXION BY MERCURY</t>
        </is>
      </c>
      <c r="G3745" t="inlineStr">
        <is>
          <t>GVX</t>
        </is>
      </c>
      <c r="H3745" t="inlineStr">
        <is>
          <t>IO</t>
        </is>
      </c>
      <c r="J3745" t="inlineStr">
        <is>
          <t>MATRION</t>
        </is>
      </c>
      <c r="K3745" t="inlineStr">
        <is>
          <t>CUIVRE</t>
        </is>
      </c>
      <c r="L3745">
        <f>_xlfn.XLOOKUP(Tableau1[[#This Row],[TYPE DE PIECE]],Tableau4[MATIERE],Tableau4[SHORT TYPE],"",0,1)</f>
        <v/>
      </c>
      <c r="N3745">
        <f>IF(ISERR(FIND("DECOUPE",Tableau1[[#This Row],[DESIGNATION]])),"","NEED REF")</f>
        <v/>
      </c>
    </row>
    <row r="3746">
      <c r="B3746" t="n">
        <v>34410259</v>
      </c>
      <c r="C3746" s="2" t="n">
        <v>44600</v>
      </c>
      <c r="D3746" t="inlineStr">
        <is>
          <t>SPEC</t>
        </is>
      </c>
      <c r="E3746" t="inlineStr">
        <is>
          <t>COP PONTAGE BATT FEEDER EAE</t>
        </is>
      </c>
      <c r="F3746" t="inlineStr">
        <is>
          <t>INTERXION BY MERCURY</t>
        </is>
      </c>
      <c r="G3746" t="inlineStr">
        <is>
          <t>GVX</t>
        </is>
      </c>
      <c r="H3746" t="inlineStr">
        <is>
          <t>IO</t>
        </is>
      </c>
      <c r="J3746" t="inlineStr">
        <is>
          <t>MATRION</t>
        </is>
      </c>
      <c r="K3746" t="inlineStr">
        <is>
          <t>CUIVRE</t>
        </is>
      </c>
      <c r="L3746">
        <f>_xlfn.XLOOKUP(Tableau1[[#This Row],[TYPE DE PIECE]],Tableau4[MATIERE],Tableau4[SHORT TYPE],"",0,1)</f>
        <v/>
      </c>
      <c r="N3746">
        <f>IF(ISERR(FIND("DECOUPE",Tableau1[[#This Row],[DESIGNATION]])),"","NEED REF")</f>
        <v/>
      </c>
    </row>
    <row r="3747">
      <c r="B3747" t="n">
        <v>34410258</v>
      </c>
      <c r="C3747" s="2" t="n">
        <v>44600</v>
      </c>
      <c r="D3747" t="inlineStr">
        <is>
          <t>SPEC</t>
        </is>
      </c>
      <c r="E3747" t="inlineStr">
        <is>
          <t>COP BAT+ RENFORCEMENT</t>
        </is>
      </c>
      <c r="F3747" t="inlineStr">
        <is>
          <t>INTERXION BY MERCURY</t>
        </is>
      </c>
      <c r="G3747" t="inlineStr">
        <is>
          <t>GVX</t>
        </is>
      </c>
      <c r="H3747" t="inlineStr">
        <is>
          <t>IO</t>
        </is>
      </c>
      <c r="J3747" t="inlineStr">
        <is>
          <t>MATRION</t>
        </is>
      </c>
      <c r="K3747" t="inlineStr">
        <is>
          <t>CUIVRE</t>
        </is>
      </c>
      <c r="L3747">
        <f>_xlfn.XLOOKUP(Tableau1[[#This Row],[TYPE DE PIECE]],Tableau4[MATIERE],Tableau4[SHORT TYPE],"",0,1)</f>
        <v/>
      </c>
      <c r="N3747">
        <f>IF(ISERR(FIND("DECOUPE",Tableau1[[#This Row],[DESIGNATION]])),"","NEED REF")</f>
        <v/>
      </c>
    </row>
    <row r="3748">
      <c r="B3748" t="n">
        <v>34410257</v>
      </c>
      <c r="C3748" s="2" t="n">
        <v>44600</v>
      </c>
      <c r="D3748" t="inlineStr">
        <is>
          <t>SPEC</t>
        </is>
      </c>
      <c r="E3748" t="inlineStr">
        <is>
          <t>COP INPUT  L3</t>
        </is>
      </c>
      <c r="F3748" t="inlineStr">
        <is>
          <t>INTERXION BY MERCURY</t>
        </is>
      </c>
      <c r="G3748" t="inlineStr">
        <is>
          <t>GVX</t>
        </is>
      </c>
      <c r="H3748" t="inlineStr">
        <is>
          <t>IO</t>
        </is>
      </c>
      <c r="J3748" t="inlineStr">
        <is>
          <t>MATRION</t>
        </is>
      </c>
      <c r="K3748" t="inlineStr">
        <is>
          <t>CUIVRE</t>
        </is>
      </c>
      <c r="L3748">
        <f>_xlfn.XLOOKUP(Tableau1[[#This Row],[TYPE DE PIECE]],Tableau4[MATIERE],Tableau4[SHORT TYPE],"",0,1)</f>
        <v/>
      </c>
      <c r="N3748">
        <f>IF(ISERR(FIND("DECOUPE",Tableau1[[#This Row],[DESIGNATION]])),"","NEED REF")</f>
        <v/>
      </c>
    </row>
    <row r="3749">
      <c r="B3749" t="n">
        <v>34410256</v>
      </c>
      <c r="C3749" s="2" t="n">
        <v>44600</v>
      </c>
      <c r="D3749" t="inlineStr">
        <is>
          <t>SPEC</t>
        </is>
      </c>
      <c r="E3749" t="inlineStr">
        <is>
          <t>COP INPUT  L2</t>
        </is>
      </c>
      <c r="F3749" t="inlineStr">
        <is>
          <t>INTERXION BY MERCURY</t>
        </is>
      </c>
      <c r="G3749" t="inlineStr">
        <is>
          <t>GVX</t>
        </is>
      </c>
      <c r="H3749" t="inlineStr">
        <is>
          <t>IO</t>
        </is>
      </c>
      <c r="J3749" t="inlineStr">
        <is>
          <t>MATRION</t>
        </is>
      </c>
      <c r="K3749" t="inlineStr">
        <is>
          <t>CUIVRE</t>
        </is>
      </c>
      <c r="L3749">
        <f>_xlfn.XLOOKUP(Tableau1[[#This Row],[TYPE DE PIECE]],Tableau4[MATIERE],Tableau4[SHORT TYPE],"",0,1)</f>
        <v/>
      </c>
      <c r="N3749">
        <f>IF(ISERR(FIND("DECOUPE",Tableau1[[#This Row],[DESIGNATION]])),"","NEED REF")</f>
        <v/>
      </c>
    </row>
    <row r="3750">
      <c r="B3750" t="n">
        <v>34410255</v>
      </c>
      <c r="C3750" s="2" t="n">
        <v>44600</v>
      </c>
      <c r="D3750" t="inlineStr">
        <is>
          <t>SPEC</t>
        </is>
      </c>
      <c r="E3750" t="inlineStr">
        <is>
          <t>COP INPUT  L1</t>
        </is>
      </c>
      <c r="F3750" t="inlineStr">
        <is>
          <t>INTERXION BY MERCURY</t>
        </is>
      </c>
      <c r="G3750" t="inlineStr">
        <is>
          <t>GVX</t>
        </is>
      </c>
      <c r="H3750" t="inlineStr">
        <is>
          <t>IO</t>
        </is>
      </c>
      <c r="J3750" t="inlineStr">
        <is>
          <t>MATRION</t>
        </is>
      </c>
      <c r="K3750" t="inlineStr">
        <is>
          <t>CUIVRE</t>
        </is>
      </c>
      <c r="L3750">
        <f>_xlfn.XLOOKUP(Tableau1[[#This Row],[TYPE DE PIECE]],Tableau4[MATIERE],Tableau4[SHORT TYPE],"",0,1)</f>
        <v/>
      </c>
      <c r="N3750">
        <f>IF(ISERR(FIND("DECOUPE",Tableau1[[#This Row],[DESIGNATION]])),"","NEED REF")</f>
        <v/>
      </c>
    </row>
    <row r="3751">
      <c r="B3751" t="n">
        <v>34410254</v>
      </c>
      <c r="C3751" s="2" t="n">
        <v>44600</v>
      </c>
      <c r="D3751" t="inlineStr">
        <is>
          <t>SPEC</t>
        </is>
      </c>
      <c r="E3751" t="inlineStr">
        <is>
          <t>PLA PLAQUE ICC CX CLIENT</t>
        </is>
      </c>
      <c r="F3751" t="inlineStr">
        <is>
          <t>COMTRADE DISTRIBUTION DOO SERBIE</t>
        </is>
      </c>
      <c r="G3751" t="inlineStr">
        <is>
          <t>GVL</t>
        </is>
      </c>
      <c r="H3751" t="inlineStr">
        <is>
          <t>BYPASS</t>
        </is>
      </c>
      <c r="J3751" t="inlineStr">
        <is>
          <t>JAWORSKI</t>
        </is>
      </c>
      <c r="K3751" t="inlineStr">
        <is>
          <t>PLASTIQUE</t>
        </is>
      </c>
      <c r="L3751">
        <f>_xlfn.XLOOKUP(Tableau1[[#This Row],[TYPE DE PIECE]],Tableau4[MATIERE],Tableau4[SHORT TYPE],"",0,1)</f>
        <v/>
      </c>
      <c r="N3751">
        <f>IF(ISERR(FIND("DECOUPE",Tableau1[[#This Row],[DESIGNATION]])),"","NEED REF")</f>
        <v/>
      </c>
    </row>
    <row r="3752">
      <c r="B3752" t="n">
        <v>34410253</v>
      </c>
      <c r="C3752" s="2" t="n">
        <v>44600</v>
      </c>
      <c r="D3752" t="inlineStr">
        <is>
          <t>SPEC</t>
        </is>
      </c>
      <c r="E3752" t="inlineStr">
        <is>
          <t>SMT CALE EQUERRE FIXATION</t>
        </is>
      </c>
      <c r="F3752" t="inlineStr">
        <is>
          <t>COMTRADE DISTRIBUTION DOO SERBIE</t>
        </is>
      </c>
      <c r="G3752" t="inlineStr">
        <is>
          <t>GVL</t>
        </is>
      </c>
      <c r="H3752" t="inlineStr">
        <is>
          <t>BYPASS</t>
        </is>
      </c>
      <c r="J3752" t="inlineStr">
        <is>
          <t>JAWORSKI</t>
        </is>
      </c>
      <c r="K3752" t="inlineStr">
        <is>
          <t>METAL</t>
        </is>
      </c>
      <c r="L3752">
        <f>_xlfn.XLOOKUP(Tableau1[[#This Row],[TYPE DE PIECE]],Tableau4[MATIERE],Tableau4[SHORT TYPE],"",0,1)</f>
        <v/>
      </c>
      <c r="N3752">
        <f>IF(ISERR(FIND("DECOUPE",Tableau1[[#This Row],[DESIGNATION]])),"","NEED REF")</f>
        <v/>
      </c>
    </row>
    <row r="3753">
      <c r="B3753" t="n">
        <v>34410252</v>
      </c>
      <c r="C3753" s="2" t="n">
        <v>44600</v>
      </c>
      <c r="D3753" t="inlineStr">
        <is>
          <t>SPEC</t>
        </is>
      </c>
      <c r="E3753" t="inlineStr">
        <is>
          <t>COP LOAD  L3</t>
        </is>
      </c>
      <c r="F3753" t="inlineStr">
        <is>
          <t>INTERXION BY MERCURY</t>
        </is>
      </c>
      <c r="G3753" t="inlineStr">
        <is>
          <t>GVX</t>
        </is>
      </c>
      <c r="H3753" t="inlineStr">
        <is>
          <t>IO</t>
        </is>
      </c>
      <c r="J3753" t="inlineStr">
        <is>
          <t>MATRION</t>
        </is>
      </c>
      <c r="K3753" t="inlineStr">
        <is>
          <t>CUIVRE</t>
        </is>
      </c>
      <c r="L3753">
        <f>_xlfn.XLOOKUP(Tableau1[[#This Row],[TYPE DE PIECE]],Tableau4[MATIERE],Tableau4[SHORT TYPE],"",0,1)</f>
        <v/>
      </c>
      <c r="N3753">
        <f>IF(ISERR(FIND("DECOUPE",Tableau1[[#This Row],[DESIGNATION]])),"","NEED REF")</f>
        <v/>
      </c>
    </row>
    <row r="3754">
      <c r="B3754" t="n">
        <v>34410251</v>
      </c>
      <c r="C3754" s="2" t="n">
        <v>44600</v>
      </c>
      <c r="D3754" t="inlineStr">
        <is>
          <t>SPEC</t>
        </is>
      </c>
      <c r="E3754" t="inlineStr">
        <is>
          <t>COP LOAD  L2</t>
        </is>
      </c>
      <c r="F3754" t="inlineStr">
        <is>
          <t>INTERXION BY MERCURY</t>
        </is>
      </c>
      <c r="G3754" t="inlineStr">
        <is>
          <t>GVX</t>
        </is>
      </c>
      <c r="H3754" t="inlineStr">
        <is>
          <t>IO</t>
        </is>
      </c>
      <c r="J3754" t="inlineStr">
        <is>
          <t>MATRION</t>
        </is>
      </c>
      <c r="K3754" t="inlineStr">
        <is>
          <t>CUIVRE</t>
        </is>
      </c>
      <c r="L3754">
        <f>_xlfn.XLOOKUP(Tableau1[[#This Row],[TYPE DE PIECE]],Tableau4[MATIERE],Tableau4[SHORT TYPE],"",0,1)</f>
        <v/>
      </c>
      <c r="N3754">
        <f>IF(ISERR(FIND("DECOUPE",Tableau1[[#This Row],[DESIGNATION]])),"","NEED REF")</f>
        <v/>
      </c>
    </row>
    <row r="3755">
      <c r="B3755" t="n">
        <v>34410250</v>
      </c>
      <c r="C3755" s="2" t="n">
        <v>44600</v>
      </c>
      <c r="D3755" t="inlineStr">
        <is>
          <t>SPEC</t>
        </is>
      </c>
      <c r="E3755" t="inlineStr">
        <is>
          <t>COP LOAD  L1</t>
        </is>
      </c>
      <c r="F3755" t="inlineStr">
        <is>
          <t>INTERXION BY MERCURY</t>
        </is>
      </c>
      <c r="G3755" t="inlineStr">
        <is>
          <t>GVX</t>
        </is>
      </c>
      <c r="H3755" t="inlineStr">
        <is>
          <t>IO</t>
        </is>
      </c>
      <c r="J3755" t="inlineStr">
        <is>
          <t>MATRION</t>
        </is>
      </c>
      <c r="K3755" t="inlineStr">
        <is>
          <t>CUIVRE</t>
        </is>
      </c>
      <c r="L3755">
        <f>_xlfn.XLOOKUP(Tableau1[[#This Row],[TYPE DE PIECE]],Tableau4[MATIERE],Tableau4[SHORT TYPE],"",0,1)</f>
        <v/>
      </c>
      <c r="N3755">
        <f>IF(ISERR(FIND("DECOUPE",Tableau1[[#This Row],[DESIGNATION]])),"","NEED REF")</f>
        <v/>
      </c>
    </row>
    <row r="3756">
      <c r="B3756" t="n">
        <v>34410249</v>
      </c>
      <c r="C3756" s="2" t="n">
        <v>44600</v>
      </c>
      <c r="D3756" t="inlineStr">
        <is>
          <t>SPEC</t>
        </is>
      </c>
      <c r="E3756" t="inlineStr">
        <is>
          <t>SMT TRAVERSE LAT L700 BIRDY</t>
        </is>
      </c>
      <c r="F3756" t="inlineStr">
        <is>
          <t>COMTRADE DISTRIBUTION DOO SERBIE</t>
        </is>
      </c>
      <c r="G3756" t="inlineStr">
        <is>
          <t>GVL</t>
        </is>
      </c>
      <c r="H3756" t="inlineStr">
        <is>
          <t>BYPASS</t>
        </is>
      </c>
      <c r="J3756" t="inlineStr">
        <is>
          <t>JAWORSKI</t>
        </is>
      </c>
      <c r="K3756" t="inlineStr">
        <is>
          <t>METAL</t>
        </is>
      </c>
      <c r="L3756">
        <f>_xlfn.XLOOKUP(Tableau1[[#This Row],[TYPE DE PIECE]],Tableau4[MATIERE],Tableau4[SHORT TYPE],"",0,1)</f>
        <v/>
      </c>
      <c r="N3756">
        <f>IF(ISERR(FIND("DECOUPE",Tableau1[[#This Row],[DESIGNATION]])),"","NEED REF")</f>
        <v/>
      </c>
    </row>
    <row r="3757">
      <c r="B3757" t="n">
        <v>34410248</v>
      </c>
      <c r="C3757" s="2" t="n">
        <v>44599</v>
      </c>
      <c r="D3757" t="inlineStr">
        <is>
          <t>SPEC</t>
        </is>
      </c>
      <c r="E3757" t="inlineStr">
        <is>
          <t>COP LIAISON 3 PER</t>
        </is>
      </c>
      <c r="F3757" t="inlineStr">
        <is>
          <t>INTERXION</t>
        </is>
      </c>
      <c r="G3757" t="inlineStr">
        <is>
          <t>GVX</t>
        </is>
      </c>
      <c r="H3757" t="inlineStr">
        <is>
          <t>IO</t>
        </is>
      </c>
      <c r="J3757" t="inlineStr">
        <is>
          <t>BERNARDEAU</t>
        </is>
      </c>
      <c r="K3757" t="inlineStr">
        <is>
          <t>CUIVRE</t>
        </is>
      </c>
      <c r="L3757">
        <f>_xlfn.XLOOKUP(Tableau1[[#This Row],[TYPE DE PIECE]],Tableau4[MATIERE],Tableau4[SHORT TYPE],"",0,1)</f>
        <v/>
      </c>
      <c r="N3757">
        <f>IF(ISERR(FIND("DECOUPE",Tableau1[[#This Row],[DESIGNATION]])),"","NEED REF")</f>
        <v/>
      </c>
    </row>
    <row r="3758">
      <c r="B3758" t="n">
        <v>34410247</v>
      </c>
      <c r="C3758" s="2" t="n">
        <v>44599</v>
      </c>
      <c r="D3758" t="inlineStr">
        <is>
          <t>SPEC</t>
        </is>
      </c>
      <c r="E3758" t="inlineStr">
        <is>
          <t>COP LIAISON 2 PER</t>
        </is>
      </c>
      <c r="F3758" t="inlineStr">
        <is>
          <t>INTERXION</t>
        </is>
      </c>
      <c r="G3758" t="inlineStr">
        <is>
          <t>GVX</t>
        </is>
      </c>
      <c r="H3758" t="inlineStr">
        <is>
          <t>IO</t>
        </is>
      </c>
      <c r="J3758" t="inlineStr">
        <is>
          <t>BERNARDEAU</t>
        </is>
      </c>
      <c r="K3758" t="inlineStr">
        <is>
          <t>CUIVRE</t>
        </is>
      </c>
      <c r="L3758">
        <f>_xlfn.XLOOKUP(Tableau1[[#This Row],[TYPE DE PIECE]],Tableau4[MATIERE],Tableau4[SHORT TYPE],"",0,1)</f>
        <v/>
      </c>
      <c r="N3758">
        <f>IF(ISERR(FIND("DECOUPE",Tableau1[[#This Row],[DESIGNATION]])),"","NEED REF")</f>
        <v/>
      </c>
    </row>
    <row r="3759">
      <c r="B3759" t="n">
        <v>34410246</v>
      </c>
      <c r="C3759" s="2" t="n">
        <v>44599</v>
      </c>
      <c r="D3759" t="inlineStr">
        <is>
          <t>SPEC</t>
        </is>
      </c>
      <c r="E3759" t="inlineStr">
        <is>
          <t>PLA PLAQUE ICC CX CLIENT</t>
        </is>
      </c>
      <c r="F3759" t="inlineStr">
        <is>
          <t>COMTRADE DISTRIBUTION DOO SERBIE</t>
        </is>
      </c>
      <c r="G3759" t="inlineStr">
        <is>
          <t>GVL</t>
        </is>
      </c>
      <c r="H3759" t="inlineStr">
        <is>
          <t>BYPASS</t>
        </is>
      </c>
      <c r="J3759" t="inlineStr">
        <is>
          <t>JAWORSKI</t>
        </is>
      </c>
      <c r="K3759" t="inlineStr">
        <is>
          <t>PLASTIQUE</t>
        </is>
      </c>
      <c r="L3759">
        <f>_xlfn.XLOOKUP(Tableau1[[#This Row],[TYPE DE PIECE]],Tableau4[MATIERE],Tableau4[SHORT TYPE],"",0,1)</f>
        <v/>
      </c>
      <c r="N3759">
        <f>IF(ISERR(FIND("DECOUPE",Tableau1[[#This Row],[DESIGNATION]])),"","NEED REF")</f>
        <v/>
      </c>
    </row>
    <row r="3760">
      <c r="B3760" t="n">
        <v>34410245</v>
      </c>
      <c r="C3760" s="2" t="n">
        <v>44599</v>
      </c>
      <c r="D3760" t="inlineStr">
        <is>
          <t>SPEC</t>
        </is>
      </c>
      <c r="E3760" t="inlineStr">
        <is>
          <t>SMT TOIT INTPUT 2</t>
        </is>
      </c>
      <c r="F3760" t="inlineStr">
        <is>
          <t>INTERXION</t>
        </is>
      </c>
      <c r="G3760" t="inlineStr">
        <is>
          <t>GVX</t>
        </is>
      </c>
      <c r="H3760" t="inlineStr">
        <is>
          <t>IO</t>
        </is>
      </c>
      <c r="J3760" t="inlineStr">
        <is>
          <t>BERNARDEAU</t>
        </is>
      </c>
      <c r="K3760" t="inlineStr">
        <is>
          <t>METAL</t>
        </is>
      </c>
      <c r="L3760">
        <f>_xlfn.XLOOKUP(Tableau1[[#This Row],[TYPE DE PIECE]],Tableau4[MATIERE],Tableau4[SHORT TYPE],"",0,1)</f>
        <v/>
      </c>
      <c r="N3760">
        <f>IF(ISERR(FIND("DECOUPE",Tableau1[[#This Row],[DESIGNATION]])),"","NEED REF")</f>
        <v/>
      </c>
    </row>
    <row r="3761">
      <c r="B3761" t="n">
        <v>34410244</v>
      </c>
      <c r="C3761" s="2" t="n">
        <v>44599</v>
      </c>
      <c r="D3761" t="inlineStr">
        <is>
          <t>SPEC</t>
        </is>
      </c>
      <c r="E3761" t="inlineStr">
        <is>
          <t>SMT TOIT INTPUT 1</t>
        </is>
      </c>
      <c r="F3761" t="inlineStr">
        <is>
          <t>INTERXION</t>
        </is>
      </c>
      <c r="G3761" t="inlineStr">
        <is>
          <t>GVX</t>
        </is>
      </c>
      <c r="H3761" t="inlineStr">
        <is>
          <t>IO</t>
        </is>
      </c>
      <c r="J3761" t="inlineStr">
        <is>
          <t>BERNARDEAU</t>
        </is>
      </c>
      <c r="K3761" t="inlineStr">
        <is>
          <t>METAL</t>
        </is>
      </c>
      <c r="L3761">
        <f>_xlfn.XLOOKUP(Tableau1[[#This Row],[TYPE DE PIECE]],Tableau4[MATIERE],Tableau4[SHORT TYPE],"",0,1)</f>
        <v/>
      </c>
      <c r="N3761">
        <f>IF(ISERR(FIND("DECOUPE",Tableau1[[#This Row],[DESIGNATION]])),"","NEED REF")</f>
        <v/>
      </c>
    </row>
    <row r="3762">
      <c r="B3762" t="n">
        <v>34410243</v>
      </c>
      <c r="C3762" s="2" t="n">
        <v>44599</v>
      </c>
      <c r="D3762" t="inlineStr">
        <is>
          <t>SPEC</t>
        </is>
      </c>
      <c r="E3762" t="inlineStr">
        <is>
          <t>SMT TOIT OUTPUT AND BATT ROOT 2</t>
        </is>
      </c>
      <c r="F3762" t="inlineStr">
        <is>
          <t>INTERXION</t>
        </is>
      </c>
      <c r="G3762" t="inlineStr">
        <is>
          <t>GVX</t>
        </is>
      </c>
      <c r="H3762" t="inlineStr">
        <is>
          <t>IO</t>
        </is>
      </c>
      <c r="J3762" t="inlineStr">
        <is>
          <t>BERNARDEAU</t>
        </is>
      </c>
      <c r="K3762" t="inlineStr">
        <is>
          <t>METAL</t>
        </is>
      </c>
      <c r="L3762">
        <f>_xlfn.XLOOKUP(Tableau1[[#This Row],[TYPE DE PIECE]],Tableau4[MATIERE],Tableau4[SHORT TYPE],"",0,1)</f>
        <v/>
      </c>
      <c r="N3762">
        <f>IF(ISERR(FIND("DECOUPE",Tableau1[[#This Row],[DESIGNATION]])),"","NEED REF")</f>
        <v/>
      </c>
    </row>
    <row r="3763">
      <c r="B3763" t="n">
        <v>34410242</v>
      </c>
      <c r="C3763" s="2" t="n">
        <v>44599</v>
      </c>
      <c r="D3763" t="inlineStr">
        <is>
          <t>SPEC</t>
        </is>
      </c>
      <c r="E3763" t="inlineStr">
        <is>
          <t>SMT TOIT OUTPUT AND BATT ROOT 1</t>
        </is>
      </c>
      <c r="F3763" t="inlineStr">
        <is>
          <t>INTERXION</t>
        </is>
      </c>
      <c r="G3763" t="inlineStr">
        <is>
          <t>GVX</t>
        </is>
      </c>
      <c r="H3763" t="inlineStr">
        <is>
          <t>IO</t>
        </is>
      </c>
      <c r="J3763" t="inlineStr">
        <is>
          <t>BERNARDEAU</t>
        </is>
      </c>
      <c r="K3763" t="inlineStr">
        <is>
          <t>METAL</t>
        </is>
      </c>
      <c r="L3763">
        <f>_xlfn.XLOOKUP(Tableau1[[#This Row],[TYPE DE PIECE]],Tableau4[MATIERE],Tableau4[SHORT TYPE],"",0,1)</f>
        <v/>
      </c>
      <c r="N3763">
        <f>IF(ISERR(FIND("DECOUPE",Tableau1[[#This Row],[DESIGNATION]])),"","NEED REF")</f>
        <v/>
      </c>
    </row>
    <row r="3764">
      <c r="B3764" t="n">
        <v>34410241</v>
      </c>
      <c r="C3764" s="2" t="n">
        <v>44599</v>
      </c>
      <c r="D3764" t="inlineStr">
        <is>
          <t>SPEC</t>
        </is>
      </c>
      <c r="E3764" t="inlineStr">
        <is>
          <t>SMT EQUERRE FIXATION PLAQUE ICC</t>
        </is>
      </c>
      <c r="F3764" t="inlineStr">
        <is>
          <t>COMTRADE DISTRIBUTION DOO SERBIE</t>
        </is>
      </c>
      <c r="G3764" t="inlineStr">
        <is>
          <t>GVL</t>
        </is>
      </c>
      <c r="H3764" t="inlineStr">
        <is>
          <t>BYPASS</t>
        </is>
      </c>
      <c r="J3764" t="inlineStr">
        <is>
          <t>JAWORSKI</t>
        </is>
      </c>
      <c r="K3764" t="inlineStr">
        <is>
          <t>METAL</t>
        </is>
      </c>
      <c r="L3764">
        <f>_xlfn.XLOOKUP(Tableau1[[#This Row],[TYPE DE PIECE]],Tableau4[MATIERE],Tableau4[SHORT TYPE],"",0,1)</f>
        <v/>
      </c>
      <c r="N3764">
        <f>IF(ISERR(FIND("DECOUPE",Tableau1[[#This Row],[DESIGNATION]])),"","NEED REF")</f>
        <v/>
      </c>
    </row>
    <row r="3765">
      <c r="B3765" t="n">
        <v>34410240</v>
      </c>
      <c r="C3765" s="2" t="n">
        <v>44599</v>
      </c>
      <c r="D3765" t="inlineStr">
        <is>
          <t>SPEC</t>
        </is>
      </c>
      <c r="E3765" t="inlineStr">
        <is>
          <t>SMT TRAVERSE LAT L700 BIRDY</t>
        </is>
      </c>
      <c r="F3765" t="inlineStr">
        <is>
          <t>COMTRADE DISTRIBUTION DOO SERBIE</t>
        </is>
      </c>
      <c r="G3765" t="inlineStr">
        <is>
          <t>GVL</t>
        </is>
      </c>
      <c r="H3765" t="inlineStr">
        <is>
          <t>BYPASS</t>
        </is>
      </c>
      <c r="J3765" t="inlineStr">
        <is>
          <t>JAWORSKI</t>
        </is>
      </c>
      <c r="K3765" t="inlineStr">
        <is>
          <t>METAL</t>
        </is>
      </c>
      <c r="L3765">
        <f>_xlfn.XLOOKUP(Tableau1[[#This Row],[TYPE DE PIECE]],Tableau4[MATIERE],Tableau4[SHORT TYPE],"",0,1)</f>
        <v/>
      </c>
      <c r="N3765">
        <f>IF(ISERR(FIND("DECOUPE",Tableau1[[#This Row],[DESIGNATION]])),"","NEED REF")</f>
        <v/>
      </c>
    </row>
    <row r="3766">
      <c r="B3766" t="n">
        <v>34410239</v>
      </c>
      <c r="C3766" s="2" t="n">
        <v>44599</v>
      </c>
      <c r="D3766" t="inlineStr">
        <is>
          <t>SPEC</t>
        </is>
      </c>
      <c r="E3766" t="inlineStr">
        <is>
          <t>KIT FILERIE EMA Box QERE28763</t>
        </is>
      </c>
      <c r="F3766" t="inlineStr">
        <is>
          <t>=S= NETHERLANDS</t>
        </is>
      </c>
      <c r="G3766" t="inlineStr">
        <is>
          <t>GVS</t>
        </is>
      </c>
      <c r="H3766" t="inlineStr">
        <is>
          <t>BYPASS</t>
        </is>
      </c>
      <c r="J3766" t="inlineStr">
        <is>
          <t>ÇAKIR</t>
        </is>
      </c>
      <c r="K3766" t="inlineStr">
        <is>
          <t>MAKROLON TRANS</t>
        </is>
      </c>
      <c r="L3766">
        <f>_xlfn.XLOOKUP(Tableau1[[#This Row],[TYPE DE PIECE]],Tableau4[MATIERE],Tableau4[SHORT TYPE],"",0,1)</f>
        <v/>
      </c>
      <c r="N3766">
        <f>IF(ISERR(FIND("DECOUPE",Tableau1[[#This Row],[DESIGNATION]])),"","NEED REF")</f>
        <v/>
      </c>
    </row>
    <row r="3767">
      <c r="B3767" t="n">
        <v>34410238</v>
      </c>
      <c r="C3767" s="2" t="n">
        <v>44599</v>
      </c>
      <c r="D3767" t="inlineStr">
        <is>
          <t>SPEC</t>
        </is>
      </c>
      <c r="E3767" t="inlineStr">
        <is>
          <t>1/2 WOOD PLANCHE 700x1000</t>
        </is>
      </c>
      <c r="F3767" t="inlineStr">
        <is>
          <t>=S= ITALY</t>
        </is>
      </c>
      <c r="G3767" t="inlineStr">
        <is>
          <t>GVL</t>
        </is>
      </c>
      <c r="H3767" t="inlineStr">
        <is>
          <t>BYPASS</t>
        </is>
      </c>
      <c r="J3767" t="inlineStr">
        <is>
          <t>BERNARDEAU</t>
        </is>
      </c>
      <c r="K3767" t="inlineStr">
        <is>
          <t>BOIS</t>
        </is>
      </c>
      <c r="L3767">
        <f>_xlfn.XLOOKUP(Tableau1[[#This Row],[TYPE DE PIECE]],Tableau4[MATIERE],Tableau4[SHORT TYPE],"",0,1)</f>
        <v/>
      </c>
      <c r="N3767">
        <f>IF(ISERR(FIND("DECOUPE",Tableau1[[#This Row],[DESIGNATION]])),"","NEED REF")</f>
        <v/>
      </c>
    </row>
    <row r="3768">
      <c r="B3768" t="n">
        <v>34410237</v>
      </c>
      <c r="C3768" s="2" t="n">
        <v>44599</v>
      </c>
      <c r="D3768" t="inlineStr">
        <is>
          <t>SPEC</t>
        </is>
      </c>
      <c r="E3768" t="inlineStr">
        <is>
          <t>1/2 WOOD PLANCHE 400x1000</t>
        </is>
      </c>
      <c r="F3768" t="inlineStr">
        <is>
          <t>=S= ITALY</t>
        </is>
      </c>
      <c r="G3768" t="inlineStr">
        <is>
          <t>GVL</t>
        </is>
      </c>
      <c r="H3768" t="inlineStr">
        <is>
          <t>BYPASS</t>
        </is>
      </c>
      <c r="J3768" t="inlineStr">
        <is>
          <t>BERNARDEAU</t>
        </is>
      </c>
      <c r="K3768" t="inlineStr">
        <is>
          <t>BOIS</t>
        </is>
      </c>
      <c r="L3768">
        <f>_xlfn.XLOOKUP(Tableau1[[#This Row],[TYPE DE PIECE]],Tableau4[MATIERE],Tableau4[SHORT TYPE],"",0,1)</f>
        <v/>
      </c>
      <c r="N3768">
        <f>IF(ISERR(FIND("DECOUPE",Tableau1[[#This Row],[DESIGNATION]])),"","NEED REF")</f>
        <v/>
      </c>
    </row>
    <row r="3769">
      <c r="B3769" t="n">
        <v>34410236</v>
      </c>
      <c r="C3769" s="2" t="n">
        <v>44599</v>
      </c>
      <c r="D3769" t="inlineStr">
        <is>
          <t>SPEC</t>
        </is>
      </c>
      <c r="E3769" t="inlineStr">
        <is>
          <t>COP_RACC_2</t>
        </is>
      </c>
      <c r="F3769" t="inlineStr">
        <is>
          <t>=S= ITALY</t>
        </is>
      </c>
      <c r="G3769" t="inlineStr">
        <is>
          <t>GVL</t>
        </is>
      </c>
      <c r="H3769" t="inlineStr">
        <is>
          <t>BYPASS</t>
        </is>
      </c>
      <c r="J3769" t="inlineStr">
        <is>
          <t>BERNARDEAU</t>
        </is>
      </c>
      <c r="K3769" t="inlineStr">
        <is>
          <t>CUIVRE</t>
        </is>
      </c>
      <c r="L3769">
        <f>_xlfn.XLOOKUP(Tableau1[[#This Row],[TYPE DE PIECE]],Tableau4[MATIERE],Tableau4[SHORT TYPE],"",0,1)</f>
        <v/>
      </c>
      <c r="N3769">
        <f>IF(ISERR(FIND("DECOUPE",Tableau1[[#This Row],[DESIGNATION]])),"","NEED REF")</f>
        <v/>
      </c>
    </row>
    <row r="3770">
      <c r="B3770" t="n">
        <v>34410235</v>
      </c>
      <c r="C3770" s="2" t="n">
        <v>44599</v>
      </c>
      <c r="D3770" t="inlineStr">
        <is>
          <t>SPEC</t>
        </is>
      </c>
      <c r="E3770" t="inlineStr">
        <is>
          <t>COP_RACC_1</t>
        </is>
      </c>
      <c r="F3770" t="inlineStr">
        <is>
          <t>=S= ITALY</t>
        </is>
      </c>
      <c r="G3770" t="inlineStr">
        <is>
          <t>GVL</t>
        </is>
      </c>
      <c r="H3770" t="inlineStr">
        <is>
          <t>BYPASS</t>
        </is>
      </c>
      <c r="J3770" t="inlineStr">
        <is>
          <t>BERNARDEAU</t>
        </is>
      </c>
      <c r="K3770" t="inlineStr">
        <is>
          <t>CUIVRE</t>
        </is>
      </c>
      <c r="L3770">
        <f>_xlfn.XLOOKUP(Tableau1[[#This Row],[TYPE DE PIECE]],Tableau4[MATIERE],Tableau4[SHORT TYPE],"",0,1)</f>
        <v/>
      </c>
      <c r="N3770">
        <f>IF(ISERR(FIND("DECOUPE",Tableau1[[#This Row],[DESIGNATION]])),"","NEED REF")</f>
        <v/>
      </c>
    </row>
    <row r="3771">
      <c r="B3771" t="n">
        <v>34410234</v>
      </c>
      <c r="C3771" s="2" t="n">
        <v>44596</v>
      </c>
      <c r="D3771" t="inlineStr">
        <is>
          <t>SPEC</t>
        </is>
      </c>
      <c r="E3771" t="inlineStr">
        <is>
          <t>PLA PROTECTION MAKROLON</t>
        </is>
      </c>
      <c r="F3771" t="inlineStr">
        <is>
          <t>=S= NETHERLANDS</t>
        </is>
      </c>
      <c r="G3771" t="inlineStr">
        <is>
          <t>GVX</t>
        </is>
      </c>
      <c r="J3771" t="inlineStr">
        <is>
          <t>BERNARDEAU</t>
        </is>
      </c>
      <c r="K3771" t="inlineStr">
        <is>
          <t>PLASTIQUE</t>
        </is>
      </c>
      <c r="L3771">
        <f>_xlfn.XLOOKUP(Tableau1[[#This Row],[TYPE DE PIECE]],Tableau4[MATIERE],Tableau4[SHORT TYPE],"",0,1)</f>
        <v/>
      </c>
      <c r="N3771">
        <f>IF(ISERR(FIND("DECOUPE",Tableau1[[#This Row],[DESIGNATION]])),"","NEED REF")</f>
        <v/>
      </c>
    </row>
    <row r="3772">
      <c r="B3772" t="n">
        <v>34410233</v>
      </c>
      <c r="C3772" s="2" t="n">
        <v>44596</v>
      </c>
      <c r="D3772" t="inlineStr">
        <is>
          <t>SPEC</t>
        </is>
      </c>
      <c r="E3772" t="inlineStr">
        <is>
          <t>PLA PROTECTION MAKROLON</t>
        </is>
      </c>
      <c r="F3772" t="inlineStr">
        <is>
          <t>=S= NETHERLANDS</t>
        </is>
      </c>
      <c r="G3772" t="inlineStr">
        <is>
          <t>GVX</t>
        </is>
      </c>
      <c r="J3772" t="inlineStr">
        <is>
          <t>BERNARDEAU</t>
        </is>
      </c>
      <c r="K3772" t="inlineStr">
        <is>
          <t>PLASTIQUE</t>
        </is>
      </c>
      <c r="L3772">
        <f>_xlfn.XLOOKUP(Tableau1[[#This Row],[TYPE DE PIECE]],Tableau4[MATIERE],Tableau4[SHORT TYPE],"",0,1)</f>
        <v/>
      </c>
      <c r="N3772">
        <f>IF(ISERR(FIND("DECOUPE",Tableau1[[#This Row],[DESIGNATION]])),"","NEED REF")</f>
        <v/>
      </c>
    </row>
    <row r="3773">
      <c r="B3773" t="n">
        <v>34410232</v>
      </c>
      <c r="C3773" s="2" t="n">
        <v>44596</v>
      </c>
      <c r="D3773" t="inlineStr">
        <is>
          <t>SPEC</t>
        </is>
      </c>
      <c r="E3773" t="inlineStr">
        <is>
          <t>PLA PROTECTION MAKROLON</t>
        </is>
      </c>
      <c r="F3773" t="inlineStr">
        <is>
          <t>=S= NETHERLANDS</t>
        </is>
      </c>
      <c r="G3773" t="inlineStr">
        <is>
          <t>GVX</t>
        </is>
      </c>
      <c r="J3773" t="inlineStr">
        <is>
          <t>BERNARDEAU</t>
        </is>
      </c>
      <c r="K3773" t="inlineStr">
        <is>
          <t>PLASTIQUE</t>
        </is>
      </c>
      <c r="L3773">
        <f>_xlfn.XLOOKUP(Tableau1[[#This Row],[TYPE DE PIECE]],Tableau4[MATIERE],Tableau4[SHORT TYPE],"",0,1)</f>
        <v/>
      </c>
      <c r="N3773">
        <f>IF(ISERR(FIND("DECOUPE",Tableau1[[#This Row],[DESIGNATION]])),"","NEED REF")</f>
        <v/>
      </c>
    </row>
    <row r="3774">
      <c r="B3774" t="n">
        <v>34410231</v>
      </c>
      <c r="C3774" s="2" t="n">
        <v>44595</v>
      </c>
      <c r="D3774" t="inlineStr">
        <is>
          <t>SPEC</t>
        </is>
      </c>
      <c r="E3774" t="inlineStr">
        <is>
          <t>SMT CAPOT TOIT IP20</t>
        </is>
      </c>
      <c r="F3774" t="inlineStr">
        <is>
          <t>COMTRADE DISTRIBUTION DOO SERBIE</t>
        </is>
      </c>
      <c r="G3774" t="inlineStr">
        <is>
          <t>GVL</t>
        </is>
      </c>
      <c r="H3774" t="inlineStr">
        <is>
          <t>BYPASS</t>
        </is>
      </c>
      <c r="J3774" t="inlineStr">
        <is>
          <t>JAWORSKI</t>
        </is>
      </c>
      <c r="K3774" t="inlineStr">
        <is>
          <t>METAL</t>
        </is>
      </c>
      <c r="L3774">
        <f>_xlfn.XLOOKUP(Tableau1[[#This Row],[TYPE DE PIECE]],Tableau4[MATIERE],Tableau4[SHORT TYPE],"",0,1)</f>
        <v/>
      </c>
      <c r="N3774">
        <f>IF(ISERR(FIND("DECOUPE",Tableau1[[#This Row],[DESIGNATION]])),"","NEED REF")</f>
        <v/>
      </c>
    </row>
    <row r="3775">
      <c r="B3775" t="n">
        <v>34410230</v>
      </c>
      <c r="C3775" s="2" t="n">
        <v>44595</v>
      </c>
      <c r="D3775" t="inlineStr">
        <is>
          <t>SPEC</t>
        </is>
      </c>
      <c r="E3775" t="inlineStr">
        <is>
          <t>SMT BRIDE ACCOUPLEMENT GVEAC</t>
        </is>
      </c>
      <c r="F3775" t="inlineStr">
        <is>
          <t>COMTRADE DISTRIBUTION DOO SERBIE</t>
        </is>
      </c>
      <c r="G3775" t="inlineStr">
        <is>
          <t>GVL</t>
        </is>
      </c>
      <c r="H3775" t="inlineStr">
        <is>
          <t>BYPASS</t>
        </is>
      </c>
      <c r="J3775" t="inlineStr">
        <is>
          <t>JAWORSKI</t>
        </is>
      </c>
      <c r="K3775" t="inlineStr">
        <is>
          <t>METAL</t>
        </is>
      </c>
      <c r="L3775">
        <f>_xlfn.XLOOKUP(Tableau1[[#This Row],[TYPE DE PIECE]],Tableau4[MATIERE],Tableau4[SHORT TYPE],"",0,1)</f>
        <v/>
      </c>
      <c r="N3775">
        <f>IF(ISERR(FIND("DECOUPE",Tableau1[[#This Row],[DESIGNATION]])),"","NEED REF")</f>
        <v/>
      </c>
    </row>
    <row r="3776">
      <c r="B3776" t="n">
        <v>34410229</v>
      </c>
      <c r="C3776" s="2" t="n">
        <v>44592</v>
      </c>
      <c r="D3776" t="inlineStr">
        <is>
          <t>SPEC</t>
        </is>
      </c>
      <c r="E3776" t="inlineStr">
        <is>
          <t>ARMOIRE SAREL SF 2000x1000x800 en RAL 7035 offre de SAREL F13050316OHY/E2</t>
        </is>
      </c>
      <c r="F3776" t="inlineStr">
        <is>
          <t>REEL SA FRANCE</t>
        </is>
      </c>
      <c r="G3776" t="inlineStr">
        <is>
          <t>GVS</t>
        </is>
      </c>
      <c r="H3776" t="inlineStr">
        <is>
          <t>AUX</t>
        </is>
      </c>
      <c r="J3776" t="inlineStr">
        <is>
          <t>ÇAKIR</t>
        </is>
      </c>
      <c r="K3776" t="inlineStr">
        <is>
          <t>SAREL</t>
        </is>
      </c>
      <c r="L3776">
        <f>_xlfn.XLOOKUP(Tableau1[[#This Row],[TYPE DE PIECE]],Tableau4[MATIERE],Tableau4[SHORT TYPE],"",0,1)</f>
        <v/>
      </c>
      <c r="N3776">
        <f>IF(ISERR(FIND("DECOUPE",Tableau1[[#This Row],[DESIGNATION]])),"","NEED REF")</f>
        <v/>
      </c>
    </row>
    <row r="3777">
      <c r="B3777" t="n">
        <v>34410228</v>
      </c>
      <c r="C3777" s="2" t="n">
        <v>44592</v>
      </c>
      <c r="D3777" t="inlineStr">
        <is>
          <t>SPEC</t>
        </is>
      </c>
      <c r="E3777" t="inlineStr">
        <is>
          <t>PLA PLASTRON CB NSX160/250 DC 3P GAUCHE</t>
        </is>
      </c>
      <c r="G3777" t="inlineStr">
        <is>
          <t>GVS</t>
        </is>
      </c>
      <c r="J3777" t="inlineStr">
        <is>
          <t>BERNARDEAU</t>
        </is>
      </c>
      <c r="K3777" t="inlineStr">
        <is>
          <t>PLASTIQUE</t>
        </is>
      </c>
      <c r="L3777">
        <f>_xlfn.XLOOKUP(Tableau1[[#This Row],[TYPE DE PIECE]],Tableau4[MATIERE],Tableau4[SHORT TYPE],"",0,1)</f>
        <v/>
      </c>
      <c r="N3777">
        <f>IF(ISERR(FIND("DECOUPE",Tableau1[[#This Row],[DESIGNATION]])),"","NEED REF")</f>
        <v/>
      </c>
    </row>
    <row r="3778">
      <c r="B3778" t="n">
        <v>34410227</v>
      </c>
      <c r="C3778" s="2" t="n">
        <v>44592</v>
      </c>
      <c r="D3778" t="inlineStr">
        <is>
          <t>SPEC</t>
        </is>
      </c>
      <c r="E3778" t="inlineStr">
        <is>
          <t>PLA PLASTRON CB NSX160/250 DC 3P DROIT</t>
        </is>
      </c>
      <c r="G3778" t="inlineStr">
        <is>
          <t>GVS</t>
        </is>
      </c>
      <c r="J3778" t="inlineStr">
        <is>
          <t>BERNARDEAU</t>
        </is>
      </c>
      <c r="K3778" t="inlineStr">
        <is>
          <t>PLASTIQUE</t>
        </is>
      </c>
      <c r="L3778">
        <f>_xlfn.XLOOKUP(Tableau1[[#This Row],[TYPE DE PIECE]],Tableau4[MATIERE],Tableau4[SHORT TYPE],"",0,1)</f>
        <v/>
      </c>
      <c r="N3778">
        <f>IF(ISERR(FIND("DECOUPE",Tableau1[[#This Row],[DESIGNATION]])),"","NEED REF")</f>
        <v/>
      </c>
    </row>
    <row r="3779">
      <c r="B3779" t="n">
        <v>34410226</v>
      </c>
      <c r="C3779" s="2" t="n">
        <v>44592</v>
      </c>
      <c r="D3779" t="inlineStr">
        <is>
          <t>SPEC</t>
        </is>
      </c>
      <c r="E3779" t="inlineStr">
        <is>
          <t>SMT TRAVERSE SUPPORT NSX</t>
        </is>
      </c>
      <c r="G3779" t="inlineStr">
        <is>
          <t>GVS</t>
        </is>
      </c>
      <c r="J3779" t="inlineStr">
        <is>
          <t>BERNARDEAU</t>
        </is>
      </c>
      <c r="K3779" t="inlineStr">
        <is>
          <t>METAL</t>
        </is>
      </c>
      <c r="L3779">
        <f>_xlfn.XLOOKUP(Tableau1[[#This Row],[TYPE DE PIECE]],Tableau4[MATIERE],Tableau4[SHORT TYPE],"",0,1)</f>
        <v/>
      </c>
      <c r="N3779">
        <f>IF(ISERR(FIND("DECOUPE",Tableau1[[#This Row],[DESIGNATION]])),"","NEED REF")</f>
        <v/>
      </c>
    </row>
    <row r="3780">
      <c r="B3780" t="n">
        <v>34410225</v>
      </c>
      <c r="C3780" s="2" t="n">
        <v>44592</v>
      </c>
      <c r="D3780" t="inlineStr">
        <is>
          <t>SPEC</t>
        </is>
      </c>
      <c r="E3780" t="inlineStr">
        <is>
          <t>SMT TRAVERSE SUPPORT NSX</t>
        </is>
      </c>
      <c r="G3780" t="inlineStr">
        <is>
          <t>GVS</t>
        </is>
      </c>
      <c r="J3780" t="inlineStr">
        <is>
          <t>BERNARDEAU</t>
        </is>
      </c>
      <c r="K3780" t="inlineStr">
        <is>
          <t>METAL</t>
        </is>
      </c>
      <c r="L3780">
        <f>_xlfn.XLOOKUP(Tableau1[[#This Row],[TYPE DE PIECE]],Tableau4[MATIERE],Tableau4[SHORT TYPE],"",0,1)</f>
        <v/>
      </c>
      <c r="N3780">
        <f>IF(ISERR(FIND("DECOUPE",Tableau1[[#This Row],[DESIGNATION]])),"","NEED REF")</f>
        <v/>
      </c>
    </row>
    <row r="3781">
      <c r="B3781" t="n">
        <v>34410224</v>
      </c>
      <c r="C3781" s="2" t="n">
        <v>44589</v>
      </c>
      <c r="D3781" t="inlineStr">
        <is>
          <t>SPEC</t>
        </is>
      </c>
      <c r="E3781" t="inlineStr">
        <is>
          <t>COP BATT-</t>
        </is>
      </c>
      <c r="F3781" t="inlineStr">
        <is>
          <t>INTERXION</t>
        </is>
      </c>
      <c r="G3781" t="inlineStr">
        <is>
          <t>GVX</t>
        </is>
      </c>
      <c r="J3781" t="inlineStr">
        <is>
          <t>MATRION</t>
        </is>
      </c>
      <c r="K3781" t="inlineStr">
        <is>
          <t>CUIVRE</t>
        </is>
      </c>
      <c r="L3781">
        <f>_xlfn.XLOOKUP(Tableau1[[#This Row],[TYPE DE PIECE]],Tableau4[MATIERE],Tableau4[SHORT TYPE],"",0,1)</f>
        <v/>
      </c>
      <c r="N3781">
        <f>IF(ISERR(FIND("DECOUPE",Tableau1[[#This Row],[DESIGNATION]])),"","NEED REF")</f>
        <v/>
      </c>
    </row>
    <row r="3782">
      <c r="B3782" t="n">
        <v>34410223</v>
      </c>
      <c r="C3782" s="2" t="n">
        <v>44589</v>
      </c>
      <c r="D3782" t="inlineStr">
        <is>
          <t>SPEC</t>
        </is>
      </c>
      <c r="E3782" t="inlineStr">
        <is>
          <t>COP BATT+</t>
        </is>
      </c>
      <c r="F3782" t="inlineStr">
        <is>
          <t>INTERXION</t>
        </is>
      </c>
      <c r="G3782" t="inlineStr">
        <is>
          <t>GVX</t>
        </is>
      </c>
      <c r="J3782" t="inlineStr">
        <is>
          <t>MATRION</t>
        </is>
      </c>
      <c r="K3782" t="inlineStr">
        <is>
          <t>CUIVRE</t>
        </is>
      </c>
      <c r="L3782">
        <f>_xlfn.XLOOKUP(Tableau1[[#This Row],[TYPE DE PIECE]],Tableau4[MATIERE],Tableau4[SHORT TYPE],"",0,1)</f>
        <v/>
      </c>
      <c r="N3782">
        <f>IF(ISERR(FIND("DECOUPE",Tableau1[[#This Row],[DESIGNATION]])),"","NEED REF")</f>
        <v/>
      </c>
    </row>
    <row r="3783">
      <c r="B3783" t="n">
        <v>34410222</v>
      </c>
      <c r="C3783" s="2" t="n">
        <v>44589</v>
      </c>
      <c r="D3783" t="inlineStr">
        <is>
          <t>SPEC</t>
        </is>
      </c>
      <c r="E3783" t="inlineStr">
        <is>
          <t>COP PONTAGE BATT 4</t>
        </is>
      </c>
      <c r="F3783" t="inlineStr">
        <is>
          <t>INTERXION</t>
        </is>
      </c>
      <c r="G3783" t="inlineStr">
        <is>
          <t>GVX</t>
        </is>
      </c>
      <c r="J3783" t="inlineStr">
        <is>
          <t>MATRION</t>
        </is>
      </c>
      <c r="K3783" t="inlineStr">
        <is>
          <t>CUIVRE</t>
        </is>
      </c>
      <c r="L3783">
        <f>_xlfn.XLOOKUP(Tableau1[[#This Row],[TYPE DE PIECE]],Tableau4[MATIERE],Tableau4[SHORT TYPE],"",0,1)</f>
        <v/>
      </c>
      <c r="N3783">
        <f>IF(ISERR(FIND("DECOUPE",Tableau1[[#This Row],[DESIGNATION]])),"","NEED REF")</f>
        <v/>
      </c>
    </row>
    <row r="3784">
      <c r="B3784" t="n">
        <v>34410221</v>
      </c>
      <c r="C3784" s="2" t="n">
        <v>44589</v>
      </c>
      <c r="D3784" t="inlineStr">
        <is>
          <t>SPEC</t>
        </is>
      </c>
      <c r="E3784" t="inlineStr">
        <is>
          <t>COP PONTAGE BATT 3</t>
        </is>
      </c>
      <c r="F3784" t="inlineStr">
        <is>
          <t>INTERXION</t>
        </is>
      </c>
      <c r="G3784" t="inlineStr">
        <is>
          <t>GVX</t>
        </is>
      </c>
      <c r="J3784" t="inlineStr">
        <is>
          <t>MATRION</t>
        </is>
      </c>
      <c r="K3784" t="inlineStr">
        <is>
          <t>CUIVRE</t>
        </is>
      </c>
      <c r="L3784">
        <f>_xlfn.XLOOKUP(Tableau1[[#This Row],[TYPE DE PIECE]],Tableau4[MATIERE],Tableau4[SHORT TYPE],"",0,1)</f>
        <v/>
      </c>
      <c r="N3784">
        <f>IF(ISERR(FIND("DECOUPE",Tableau1[[#This Row],[DESIGNATION]])),"","NEED REF")</f>
        <v/>
      </c>
    </row>
    <row r="3785">
      <c r="B3785" t="n">
        <v>34410220</v>
      </c>
      <c r="C3785" s="2" t="n">
        <v>44589</v>
      </c>
      <c r="D3785" t="inlineStr">
        <is>
          <t>SPEC</t>
        </is>
      </c>
      <c r="E3785" t="inlineStr">
        <is>
          <t>COP PONTAGE BATT 2</t>
        </is>
      </c>
      <c r="F3785" t="inlineStr">
        <is>
          <t>INTERXION</t>
        </is>
      </c>
      <c r="G3785" t="inlineStr">
        <is>
          <t>GVX</t>
        </is>
      </c>
      <c r="J3785" t="inlineStr">
        <is>
          <t>MATRION</t>
        </is>
      </c>
      <c r="K3785" t="inlineStr">
        <is>
          <t>CUIVRE</t>
        </is>
      </c>
      <c r="L3785">
        <f>_xlfn.XLOOKUP(Tableau1[[#This Row],[TYPE DE PIECE]],Tableau4[MATIERE],Tableau4[SHORT TYPE],"",0,1)</f>
        <v/>
      </c>
      <c r="N3785">
        <f>IF(ISERR(FIND("DECOUPE",Tableau1[[#This Row],[DESIGNATION]])),"","NEED REF")</f>
        <v/>
      </c>
    </row>
    <row r="3786">
      <c r="B3786" t="n">
        <v>34410219</v>
      </c>
      <c r="C3786" s="2" t="n">
        <v>44589</v>
      </c>
      <c r="D3786" t="inlineStr">
        <is>
          <t>SPEC</t>
        </is>
      </c>
      <c r="E3786" t="inlineStr">
        <is>
          <t>COP PONTAGE BATT 1</t>
        </is>
      </c>
      <c r="F3786" t="inlineStr">
        <is>
          <t>INTERXION</t>
        </is>
      </c>
      <c r="G3786" t="inlineStr">
        <is>
          <t>GVX</t>
        </is>
      </c>
      <c r="J3786" t="inlineStr">
        <is>
          <t>MATRION</t>
        </is>
      </c>
      <c r="K3786" t="inlineStr">
        <is>
          <t>CUIVRE</t>
        </is>
      </c>
      <c r="L3786">
        <f>_xlfn.XLOOKUP(Tableau1[[#This Row],[TYPE DE PIECE]],Tableau4[MATIERE],Tableau4[SHORT TYPE],"",0,1)</f>
        <v/>
      </c>
      <c r="N3786">
        <f>IF(ISERR(FIND("DECOUPE",Tableau1[[#This Row],[DESIGNATION]])),"","NEED REF")</f>
        <v/>
      </c>
    </row>
    <row r="3787">
      <c r="B3787" t="n">
        <v>34410218</v>
      </c>
      <c r="C3787" s="2" t="n">
        <v>44588</v>
      </c>
      <c r="D3787" t="inlineStr">
        <is>
          <t>SPEC</t>
        </is>
      </c>
      <c r="E3787" t="inlineStr">
        <is>
          <t>PLA BRIDE CX UOB</t>
        </is>
      </c>
      <c r="F3787" t="inlineStr">
        <is>
          <t>=S= ITALY</t>
        </is>
      </c>
      <c r="G3787" t="inlineStr">
        <is>
          <t>GVL</t>
        </is>
      </c>
      <c r="H3787" t="inlineStr">
        <is>
          <t>BYPASS</t>
        </is>
      </c>
      <c r="J3787" t="inlineStr">
        <is>
          <t>BERNARDEAU</t>
        </is>
      </c>
      <c r="K3787" t="inlineStr">
        <is>
          <t>PLASTIQUE</t>
        </is>
      </c>
      <c r="L3787">
        <f>_xlfn.XLOOKUP(Tableau1[[#This Row],[TYPE DE PIECE]],Tableau4[MATIERE],Tableau4[SHORT TYPE],"",0,1)</f>
        <v/>
      </c>
      <c r="N3787">
        <f>IF(ISERR(FIND("DECOUPE",Tableau1[[#This Row],[DESIGNATION]])),"","NEED REF")</f>
        <v/>
      </c>
    </row>
    <row r="3788">
      <c r="B3788" t="n">
        <v>34410217</v>
      </c>
      <c r="C3788" s="2" t="n">
        <v>44588</v>
      </c>
      <c r="D3788" t="inlineStr">
        <is>
          <t>SPEC</t>
        </is>
      </c>
      <c r="E3788" t="inlineStr">
        <is>
          <t>PLA BRIDE CX UIB</t>
        </is>
      </c>
      <c r="F3788" t="inlineStr">
        <is>
          <t>=S= ITALY</t>
        </is>
      </c>
      <c r="G3788" t="inlineStr">
        <is>
          <t>GVL</t>
        </is>
      </c>
      <c r="H3788" t="inlineStr">
        <is>
          <t>BYPASS</t>
        </is>
      </c>
      <c r="J3788" t="inlineStr">
        <is>
          <t>BERNARDEAU</t>
        </is>
      </c>
      <c r="K3788" t="inlineStr">
        <is>
          <t>PLASTIQUE</t>
        </is>
      </c>
      <c r="L3788">
        <f>_xlfn.XLOOKUP(Tableau1[[#This Row],[TYPE DE PIECE]],Tableau4[MATIERE],Tableau4[SHORT TYPE],"",0,1)</f>
        <v/>
      </c>
      <c r="N3788">
        <f>IF(ISERR(FIND("DECOUPE",Tableau1[[#This Row],[DESIGNATION]])),"","NEED REF")</f>
        <v/>
      </c>
    </row>
    <row r="3789">
      <c r="B3789" t="n">
        <v>34410216</v>
      </c>
      <c r="C3789" s="2" t="n">
        <v>44588</v>
      </c>
      <c r="D3789" t="inlineStr">
        <is>
          <t>SPEC</t>
        </is>
      </c>
      <c r="J3789" t="inlineStr">
        <is>
          <t>MATRION</t>
        </is>
      </c>
      <c r="L3789">
        <f>_xlfn.XLOOKUP(Tableau1[[#This Row],[TYPE DE PIECE]],Tableau4[MATIERE],Tableau4[SHORT TYPE],"",0,1)</f>
        <v/>
      </c>
      <c r="N3789">
        <f>IF(ISERR(FIND("DECOUPE",Tableau1[[#This Row],[DESIGNATION]])),"","NEED REF")</f>
        <v/>
      </c>
    </row>
    <row r="3790">
      <c r="B3790" t="n">
        <v>34410215</v>
      </c>
      <c r="C3790" s="2" t="n">
        <v>44588</v>
      </c>
      <c r="D3790" t="inlineStr">
        <is>
          <t>SPEC</t>
        </is>
      </c>
      <c r="E3790" t="inlineStr">
        <is>
          <t>COP PLAGE TGAB HXC-16</t>
        </is>
      </c>
      <c r="G3790" t="inlineStr">
        <is>
          <t>GVX</t>
        </is>
      </c>
      <c r="H3790" t="inlineStr">
        <is>
          <t>IO</t>
        </is>
      </c>
      <c r="J3790" t="inlineStr">
        <is>
          <t>MATRION</t>
        </is>
      </c>
      <c r="K3790" t="inlineStr">
        <is>
          <t>CUIVRE</t>
        </is>
      </c>
      <c r="L3790">
        <f>_xlfn.XLOOKUP(Tableau1[[#This Row],[TYPE DE PIECE]],Tableau4[MATIERE],Tableau4[SHORT TYPE],"",0,1)</f>
        <v/>
      </c>
      <c r="N3790">
        <f>IF(ISERR(FIND("DECOUPE",Tableau1[[#This Row],[DESIGNATION]])),"","NEED REF")</f>
        <v/>
      </c>
    </row>
    <row r="3791">
      <c r="B3791" t="n">
        <v>34410214</v>
      </c>
      <c r="C3791" s="2" t="n">
        <v>44588</v>
      </c>
      <c r="D3791" t="inlineStr">
        <is>
          <t>SPEC</t>
        </is>
      </c>
      <c r="E3791" t="inlineStr">
        <is>
          <t>COP PLAGE TGAB HXC-16</t>
        </is>
      </c>
      <c r="G3791" t="inlineStr">
        <is>
          <t>GVX</t>
        </is>
      </c>
      <c r="H3791" t="inlineStr">
        <is>
          <t>IO</t>
        </is>
      </c>
      <c r="J3791" t="inlineStr">
        <is>
          <t>MATRION</t>
        </is>
      </c>
      <c r="K3791" t="inlineStr">
        <is>
          <t>CUIVRE</t>
        </is>
      </c>
      <c r="L3791">
        <f>_xlfn.XLOOKUP(Tableau1[[#This Row],[TYPE DE PIECE]],Tableau4[MATIERE],Tableau4[SHORT TYPE],"",0,1)</f>
        <v/>
      </c>
      <c r="N3791">
        <f>IF(ISERR(FIND("DECOUPE",Tableau1[[#This Row],[DESIGNATION]])),"","NEED REF")</f>
        <v/>
      </c>
    </row>
    <row r="3792">
      <c r="B3792" t="n">
        <v>34410213</v>
      </c>
      <c r="C3792" s="2" t="n">
        <v>44588</v>
      </c>
      <c r="D3792" t="inlineStr">
        <is>
          <t>SPEC</t>
        </is>
      </c>
      <c r="E3792" t="inlineStr">
        <is>
          <t>SMT TOIT IO1500 3xFEEDER HXC</t>
        </is>
      </c>
      <c r="G3792" t="inlineStr">
        <is>
          <t>GVX</t>
        </is>
      </c>
      <c r="H3792" t="inlineStr">
        <is>
          <t>IO</t>
        </is>
      </c>
      <c r="J3792" t="inlineStr">
        <is>
          <t>MATRION</t>
        </is>
      </c>
      <c r="K3792" t="inlineStr">
        <is>
          <t>METAL</t>
        </is>
      </c>
      <c r="L3792">
        <f>_xlfn.XLOOKUP(Tableau1[[#This Row],[TYPE DE PIECE]],Tableau4[MATIERE],Tableau4[SHORT TYPE],"",0,1)</f>
        <v/>
      </c>
      <c r="N3792">
        <f>IF(ISERR(FIND("DECOUPE",Tableau1[[#This Row],[DESIGNATION]])),"","NEED REF")</f>
        <v/>
      </c>
    </row>
    <row r="3793">
      <c r="B3793" t="n">
        <v>34410212</v>
      </c>
      <c r="C3793" s="2" t="n">
        <v>44588</v>
      </c>
      <c r="D3793" t="inlineStr">
        <is>
          <t>SPEC</t>
        </is>
      </c>
      <c r="E3793" t="inlineStr">
        <is>
          <t>COP PLAGE TGAB HXC-16</t>
        </is>
      </c>
      <c r="G3793" t="inlineStr">
        <is>
          <t>GVX</t>
        </is>
      </c>
      <c r="H3793" t="inlineStr">
        <is>
          <t>IO</t>
        </is>
      </c>
      <c r="J3793" t="inlineStr">
        <is>
          <t>MATRION</t>
        </is>
      </c>
      <c r="K3793" t="inlineStr">
        <is>
          <t>CUIVRE</t>
        </is>
      </c>
      <c r="L3793">
        <f>_xlfn.XLOOKUP(Tableau1[[#This Row],[TYPE DE PIECE]],Tableau4[MATIERE],Tableau4[SHORT TYPE],"",0,1)</f>
        <v/>
      </c>
      <c r="N3793">
        <f>IF(ISERR(FIND("DECOUPE",Tableau1[[#This Row],[DESIGNATION]])),"","NEED REF")</f>
        <v/>
      </c>
    </row>
    <row r="3794">
      <c r="B3794" t="n">
        <v>34410211</v>
      </c>
      <c r="C3794" s="2" t="n">
        <v>44588</v>
      </c>
      <c r="D3794" t="inlineStr">
        <is>
          <t>SPEC</t>
        </is>
      </c>
      <c r="E3794" t="inlineStr">
        <is>
          <t>COP CX MAINS1_N-1</t>
        </is>
      </c>
      <c r="G3794" t="inlineStr">
        <is>
          <t>GVX</t>
        </is>
      </c>
      <c r="H3794" t="inlineStr">
        <is>
          <t>IO</t>
        </is>
      </c>
      <c r="J3794" t="inlineStr">
        <is>
          <t>MATRION</t>
        </is>
      </c>
      <c r="K3794" t="inlineStr">
        <is>
          <t>CUIVRE</t>
        </is>
      </c>
      <c r="L3794">
        <f>_xlfn.XLOOKUP(Tableau1[[#This Row],[TYPE DE PIECE]],Tableau4[MATIERE],Tableau4[SHORT TYPE],"",0,1)</f>
        <v/>
      </c>
      <c r="N3794">
        <f>IF(ISERR(FIND("DECOUPE",Tableau1[[#This Row],[DESIGNATION]])),"","NEED REF")</f>
        <v/>
      </c>
    </row>
    <row r="3795">
      <c r="B3795" t="n">
        <v>34410210</v>
      </c>
      <c r="C3795" s="2" t="n">
        <v>44588</v>
      </c>
      <c r="D3795" t="inlineStr">
        <is>
          <t>SPEC</t>
        </is>
      </c>
      <c r="E3795" t="inlineStr">
        <is>
          <t>SMT PLASTRON CENTRAL CENTRAL</t>
        </is>
      </c>
      <c r="F3795" t="inlineStr">
        <is>
          <t>=S= ITALY</t>
        </is>
      </c>
      <c r="G3795" t="inlineStr">
        <is>
          <t>GVL</t>
        </is>
      </c>
      <c r="H3795" t="inlineStr">
        <is>
          <t>BYPASS</t>
        </is>
      </c>
      <c r="J3795" t="inlineStr">
        <is>
          <t>BERNARDEAU</t>
        </is>
      </c>
      <c r="K3795" t="inlineStr">
        <is>
          <t>METAL</t>
        </is>
      </c>
      <c r="L3795">
        <f>_xlfn.XLOOKUP(Tableau1[[#This Row],[TYPE DE PIECE]],Tableau4[MATIERE],Tableau4[SHORT TYPE],"",0,1)</f>
        <v/>
      </c>
      <c r="N3795">
        <f>IF(ISERR(FIND("DECOUPE",Tableau1[[#This Row],[DESIGNATION]])),"","NEED REF")</f>
        <v/>
      </c>
    </row>
    <row r="3796">
      <c r="B3796" t="n">
        <v>34410209</v>
      </c>
      <c r="C3796" s="2" t="n">
        <v>44587</v>
      </c>
      <c r="D3796" t="inlineStr">
        <is>
          <t>SPEC</t>
        </is>
      </c>
      <c r="E3796" t="inlineStr">
        <is>
          <t>SMT TOIT PLEIN 400x1000</t>
        </is>
      </c>
      <c r="J3796" t="inlineStr">
        <is>
          <t>BERNARDEAU</t>
        </is>
      </c>
      <c r="K3796" t="inlineStr">
        <is>
          <t>METAL</t>
        </is>
      </c>
      <c r="L3796">
        <f>_xlfn.XLOOKUP(Tableau1[[#This Row],[TYPE DE PIECE]],Tableau4[MATIERE],Tableau4[SHORT TYPE],"",0,1)</f>
        <v/>
      </c>
      <c r="N3796">
        <f>IF(ISERR(FIND("DECOUPE",Tableau1[[#This Row],[DESIGNATION]])),"","NEED REF")</f>
        <v/>
      </c>
    </row>
    <row r="3797">
      <c r="B3797" t="n">
        <v>34410208</v>
      </c>
      <c r="C3797" s="2" t="n">
        <v>44587</v>
      </c>
      <c r="D3797" t="inlineStr">
        <is>
          <t>SPEC</t>
        </is>
      </c>
      <c r="E3797" t="inlineStr">
        <is>
          <t>SMT PLASTRON BAS</t>
        </is>
      </c>
      <c r="F3797" t="inlineStr">
        <is>
          <t>=S= ITALY</t>
        </is>
      </c>
      <c r="G3797" t="inlineStr">
        <is>
          <t>GVL</t>
        </is>
      </c>
      <c r="H3797" t="inlineStr">
        <is>
          <t>BYPASS</t>
        </is>
      </c>
      <c r="J3797" t="inlineStr">
        <is>
          <t>BERNARDEAU</t>
        </is>
      </c>
      <c r="K3797" t="inlineStr">
        <is>
          <t>METAL</t>
        </is>
      </c>
      <c r="L3797">
        <f>_xlfn.XLOOKUP(Tableau1[[#This Row],[TYPE DE PIECE]],Tableau4[MATIERE],Tableau4[SHORT TYPE],"",0,1)</f>
        <v/>
      </c>
      <c r="N3797">
        <f>IF(ISERR(FIND("DECOUPE",Tableau1[[#This Row],[DESIGNATION]])),"","NEED REF")</f>
        <v/>
      </c>
    </row>
    <row r="3798">
      <c r="B3798" t="n">
        <v>34410207</v>
      </c>
      <c r="C3798" s="2" t="n">
        <v>44586</v>
      </c>
      <c r="D3798" t="inlineStr">
        <is>
          <t>SPEC</t>
        </is>
      </c>
      <c r="E3798" t="inlineStr">
        <is>
          <t>MASTERPACT UOB/MBB MTZ2H2 micro 2.0 4P FIXE</t>
        </is>
      </c>
      <c r="F3798" t="inlineStr">
        <is>
          <t>=S= ROMANIA</t>
        </is>
      </c>
      <c r="G3798" t="inlineStr">
        <is>
          <t>GVX</t>
        </is>
      </c>
      <c r="H3798" t="inlineStr">
        <is>
          <t>BYPASS</t>
        </is>
      </c>
      <c r="J3798" t="inlineStr">
        <is>
          <t>JAWORSKI</t>
        </is>
      </c>
      <c r="K3798" t="inlineStr">
        <is>
          <t>=S=</t>
        </is>
      </c>
      <c r="L3798">
        <f>_xlfn.XLOOKUP(Tableau1[[#This Row],[TYPE DE PIECE]],Tableau4[MATIERE],Tableau4[SHORT TYPE],"",0,1)</f>
        <v/>
      </c>
      <c r="N3798">
        <f>IF(ISERR(FIND("DECOUPE",Tableau1[[#This Row],[DESIGNATION]])),"","NEED REF")</f>
        <v/>
      </c>
    </row>
    <row r="3799">
      <c r="B3799" t="n">
        <v>34410206</v>
      </c>
      <c r="C3799" s="2" t="n">
        <v>44586</v>
      </c>
      <c r="D3799" t="inlineStr">
        <is>
          <t>SPEC</t>
        </is>
      </c>
      <c r="E3799" t="inlineStr">
        <is>
          <t>MASTERPACT UIB MTZ25H2 micro 2.0 4P FIXE</t>
        </is>
      </c>
      <c r="F3799" t="inlineStr">
        <is>
          <t>=S= ROMANIA</t>
        </is>
      </c>
      <c r="G3799" t="inlineStr">
        <is>
          <t>GVX</t>
        </is>
      </c>
      <c r="H3799" t="inlineStr">
        <is>
          <t>BYPASS</t>
        </is>
      </c>
      <c r="J3799" t="inlineStr">
        <is>
          <t>JAWORSKI</t>
        </is>
      </c>
      <c r="K3799" t="inlineStr">
        <is>
          <t>=S=</t>
        </is>
      </c>
      <c r="L3799">
        <f>_xlfn.XLOOKUP(Tableau1[[#This Row],[TYPE DE PIECE]],Tableau4[MATIERE],Tableau4[SHORT TYPE],"",0,1)</f>
        <v/>
      </c>
      <c r="N3799">
        <f>IF(ISERR(FIND("DECOUPE",Tableau1[[#This Row],[DESIGNATION]])),"","NEED REF")</f>
        <v/>
      </c>
    </row>
    <row r="3800">
      <c r="B3800" t="n">
        <v>34410205</v>
      </c>
      <c r="C3800" s="2" t="n">
        <v>44586</v>
      </c>
      <c r="D3800" t="inlineStr">
        <is>
          <t>SPEC</t>
        </is>
      </c>
      <c r="E3800" t="inlineStr">
        <is>
          <t>KIT FILERIE GVXBP1250KW-C1-M1</t>
        </is>
      </c>
      <c r="F3800" t="inlineStr">
        <is>
          <t>=S= ROMANIA</t>
        </is>
      </c>
      <c r="G3800" t="inlineStr">
        <is>
          <t>GVX</t>
        </is>
      </c>
      <c r="H3800" t="inlineStr">
        <is>
          <t>BYPASS</t>
        </is>
      </c>
      <c r="J3800" t="inlineStr">
        <is>
          <t>JAWORSKI</t>
        </is>
      </c>
      <c r="K3800" t="inlineStr">
        <is>
          <t>FILERIE</t>
        </is>
      </c>
      <c r="L3800">
        <f>_xlfn.XLOOKUP(Tableau1[[#This Row],[TYPE DE PIECE]],Tableau4[MATIERE],Tableau4[SHORT TYPE],"",0,1)</f>
        <v/>
      </c>
      <c r="N3800">
        <f>IF(ISERR(FIND("DECOUPE",Tableau1[[#This Row],[DESIGNATION]])),"","NEED REF")</f>
        <v/>
      </c>
    </row>
    <row r="3801">
      <c r="B3801" t="n">
        <v>34410204</v>
      </c>
      <c r="C3801" s="2" t="n">
        <v>44586</v>
      </c>
      <c r="D3801" t="inlineStr">
        <is>
          <t>SPEC</t>
        </is>
      </c>
      <c r="E3801" t="inlineStr">
        <is>
          <t>SMT PLASTRON UIB WITHOUT LAMP</t>
        </is>
      </c>
      <c r="F3801" t="inlineStr">
        <is>
          <t>=S= ROMANIA</t>
        </is>
      </c>
      <c r="G3801" t="inlineStr">
        <is>
          <t>GVX</t>
        </is>
      </c>
      <c r="H3801" t="inlineStr">
        <is>
          <t>BYPASS</t>
        </is>
      </c>
      <c r="J3801" t="inlineStr">
        <is>
          <t>JAWORSKI</t>
        </is>
      </c>
      <c r="K3801" t="inlineStr">
        <is>
          <t>METAL</t>
        </is>
      </c>
      <c r="L3801">
        <f>_xlfn.XLOOKUP(Tableau1[[#This Row],[TYPE DE PIECE]],Tableau4[MATIERE],Tableau4[SHORT TYPE],"",0,1)</f>
        <v/>
      </c>
      <c r="N3801">
        <f>IF(ISERR(FIND("DECOUPE",Tableau1[[#This Row],[DESIGNATION]])),"","NEED REF")</f>
        <v/>
      </c>
    </row>
    <row r="3802">
      <c r="B3802" t="n">
        <v>34410203</v>
      </c>
      <c r="C3802" s="2" t="n">
        <v>44585</v>
      </c>
      <c r="D3802" t="inlineStr">
        <is>
          <t>SPEC</t>
        </is>
      </c>
      <c r="E3802" t="inlineStr">
        <is>
          <t>PLAQUE_ASSEMBLEE</t>
        </is>
      </c>
      <c r="F3802" t="inlineStr">
        <is>
          <t>=S= DANEMARK</t>
        </is>
      </c>
      <c r="J3802" t="inlineStr">
        <is>
          <t>BERNARDEAU</t>
        </is>
      </c>
      <c r="L3802">
        <f>_xlfn.XLOOKUP(Tableau1[[#This Row],[TYPE DE PIECE]],Tableau4[MATIERE],Tableau4[SHORT TYPE],"",0,1)</f>
        <v/>
      </c>
      <c r="N3802">
        <f>IF(ISERR(FIND("DECOUPE",Tableau1[[#This Row],[DESIGNATION]])),"","NEED REF")</f>
        <v/>
      </c>
    </row>
    <row r="3803">
      <c r="B3803" t="n">
        <v>34410202</v>
      </c>
      <c r="C3803" s="2" t="n">
        <v>44585</v>
      </c>
      <c r="D3803" t="inlineStr">
        <is>
          <t>SPEC</t>
        </is>
      </c>
      <c r="E3803" t="inlineStr">
        <is>
          <t>PLAQUE DE FOND</t>
        </is>
      </c>
      <c r="F3803" t="inlineStr">
        <is>
          <t>=S= DANEMARK</t>
        </is>
      </c>
      <c r="J3803" t="inlineStr">
        <is>
          <t>BERNARDEAU</t>
        </is>
      </c>
      <c r="K3803" t="inlineStr">
        <is>
          <t>METAL</t>
        </is>
      </c>
      <c r="L3803">
        <f>_xlfn.XLOOKUP(Tableau1[[#This Row],[TYPE DE PIECE]],Tableau4[MATIERE],Tableau4[SHORT TYPE],"",0,1)</f>
        <v/>
      </c>
      <c r="N3803">
        <f>IF(ISERR(FIND("DECOUPE",Tableau1[[#This Row],[DESIGNATION]])),"","NEED REF")</f>
        <v/>
      </c>
    </row>
    <row r="3804">
      <c r="B3804" t="n">
        <v>34410201</v>
      </c>
      <c r="C3804" s="2" t="n">
        <v>44582</v>
      </c>
      <c r="D3804" t="inlineStr">
        <is>
          <t>SPEC</t>
        </is>
      </c>
      <c r="E3804" t="inlineStr">
        <is>
          <t>SMT SURTOIT IP21 EASY UPS-RAL9003 Alu</t>
        </is>
      </c>
      <c r="F3804" t="inlineStr">
        <is>
          <t>=S= MAROC</t>
        </is>
      </c>
      <c r="G3804" t="inlineStr">
        <is>
          <t>E3S</t>
        </is>
      </c>
      <c r="J3804" t="inlineStr">
        <is>
          <t>BERNARDEAU</t>
        </is>
      </c>
      <c r="K3804" t="inlineStr">
        <is>
          <t>METAL</t>
        </is>
      </c>
      <c r="L3804">
        <f>_xlfn.XLOOKUP(Tableau1[[#This Row],[TYPE DE PIECE]],Tableau4[MATIERE],Tableau4[SHORT TYPE],"",0,1)</f>
        <v/>
      </c>
      <c r="N3804">
        <f>IF(ISERR(FIND("DECOUPE",Tableau1[[#This Row],[DESIGNATION]])),"","NEED REF")</f>
        <v/>
      </c>
    </row>
    <row r="3805">
      <c r="B3805" t="n">
        <v>34410200</v>
      </c>
      <c r="C3805" s="2" t="n">
        <v>44582</v>
      </c>
      <c r="D3805" t="inlineStr">
        <is>
          <t>SPEC</t>
        </is>
      </c>
      <c r="E3805" t="inlineStr">
        <is>
          <t>SMT PLATINE SUPPORT CUIVRE</t>
        </is>
      </c>
      <c r="F3805" t="inlineStr">
        <is>
          <t>=S= ITALY</t>
        </is>
      </c>
      <c r="G3805" t="inlineStr">
        <is>
          <t>GVL</t>
        </is>
      </c>
      <c r="H3805" t="inlineStr">
        <is>
          <t>BYPASS</t>
        </is>
      </c>
      <c r="J3805" t="inlineStr">
        <is>
          <t>BERNARDEAU</t>
        </is>
      </c>
      <c r="K3805" t="inlineStr">
        <is>
          <t>METAL</t>
        </is>
      </c>
      <c r="L3805">
        <f>_xlfn.XLOOKUP(Tableau1[[#This Row],[TYPE DE PIECE]],Tableau4[MATIERE],Tableau4[SHORT TYPE],"",0,1)</f>
        <v/>
      </c>
      <c r="N3805">
        <f>IF(ISERR(FIND("DECOUPE",Tableau1[[#This Row],[DESIGNATION]])),"","NEED REF")</f>
        <v/>
      </c>
    </row>
    <row r="3806">
      <c r="B3806" t="n">
        <v>34410199</v>
      </c>
      <c r="C3806" s="2" t="n">
        <v>44581</v>
      </c>
      <c r="D3806" t="inlineStr">
        <is>
          <t>SPEC</t>
        </is>
      </c>
      <c r="E3806" t="inlineStr">
        <is>
          <t>SMT TRAVERSE SUPPORT PLATINE</t>
        </is>
      </c>
      <c r="F3806" t="inlineStr">
        <is>
          <t>=S= ITALY</t>
        </is>
      </c>
      <c r="G3806" t="inlineStr">
        <is>
          <t>GVL</t>
        </is>
      </c>
      <c r="H3806" t="inlineStr">
        <is>
          <t>BYPASS</t>
        </is>
      </c>
      <c r="J3806" t="inlineStr">
        <is>
          <t>BERNARDEAU</t>
        </is>
      </c>
      <c r="K3806" t="inlineStr">
        <is>
          <t>METAL</t>
        </is>
      </c>
      <c r="L3806">
        <f>_xlfn.XLOOKUP(Tableau1[[#This Row],[TYPE DE PIECE]],Tableau4[MATIERE],Tableau4[SHORT TYPE],"",0,1)</f>
        <v/>
      </c>
      <c r="N3806">
        <f>IF(ISERR(FIND("DECOUPE",Tableau1[[#This Row],[DESIGNATION]])),"","NEED REF")</f>
        <v/>
      </c>
    </row>
    <row r="3807">
      <c r="B3807" t="n">
        <v>34410198</v>
      </c>
      <c r="C3807" s="2" t="n">
        <v>44581</v>
      </c>
      <c r="D3807" t="inlineStr">
        <is>
          <t>SPEC</t>
        </is>
      </c>
      <c r="E3807" t="inlineStr">
        <is>
          <t>SMT TRAVERSE SUPPORT PLATINE</t>
        </is>
      </c>
      <c r="F3807" t="inlineStr">
        <is>
          <t>=S= ITALY</t>
        </is>
      </c>
      <c r="G3807" t="inlineStr">
        <is>
          <t>GVL</t>
        </is>
      </c>
      <c r="H3807" t="inlineStr">
        <is>
          <t>BYPASS</t>
        </is>
      </c>
      <c r="J3807" t="inlineStr">
        <is>
          <t>BERNARDEAU</t>
        </is>
      </c>
      <c r="K3807" t="inlineStr">
        <is>
          <t>METAL</t>
        </is>
      </c>
      <c r="L3807">
        <f>_xlfn.XLOOKUP(Tableau1[[#This Row],[TYPE DE PIECE]],Tableau4[MATIERE],Tableau4[SHORT TYPE],"",0,1)</f>
        <v/>
      </c>
      <c r="N3807">
        <f>IF(ISERR(FIND("DECOUPE",Tableau1[[#This Row],[DESIGNATION]])),"","NEED REF")</f>
        <v/>
      </c>
    </row>
    <row r="3808">
      <c r="B3808" t="n">
        <v>34410197</v>
      </c>
      <c r="C3808" s="2" t="n">
        <v>44581</v>
      </c>
      <c r="D3808" t="inlineStr">
        <is>
          <t>SPEC</t>
        </is>
      </c>
      <c r="E3808" t="inlineStr">
        <is>
          <t>SMT PLATINE SUPPORT CUIVRE</t>
        </is>
      </c>
      <c r="F3808" t="inlineStr">
        <is>
          <t>=S= ITALY</t>
        </is>
      </c>
      <c r="G3808" t="inlineStr">
        <is>
          <t>GVL</t>
        </is>
      </c>
      <c r="H3808" t="inlineStr">
        <is>
          <t>BYPASS</t>
        </is>
      </c>
      <c r="J3808" t="inlineStr">
        <is>
          <t>BERNARDEAU</t>
        </is>
      </c>
      <c r="K3808" t="inlineStr">
        <is>
          <t>METAL</t>
        </is>
      </c>
      <c r="L3808">
        <f>_xlfn.XLOOKUP(Tableau1[[#This Row],[TYPE DE PIECE]],Tableau4[MATIERE],Tableau4[SHORT TYPE],"",0,1)</f>
        <v/>
      </c>
      <c r="N3808">
        <f>IF(ISERR(FIND("DECOUPE",Tableau1[[#This Row],[DESIGNATION]])),"","NEED REF")</f>
        <v/>
      </c>
    </row>
    <row r="3809">
      <c r="B3809" t="n">
        <v>34410196</v>
      </c>
      <c r="C3809" s="2" t="n">
        <v>44581</v>
      </c>
      <c r="D3809" t="inlineStr">
        <is>
          <t>SPEC</t>
        </is>
      </c>
      <c r="E3809" t="inlineStr">
        <is>
          <t>COP_RACCORDEMENT</t>
        </is>
      </c>
      <c r="F3809" t="inlineStr">
        <is>
          <t>=S= ITALY</t>
        </is>
      </c>
      <c r="G3809" t="inlineStr">
        <is>
          <t>GVL</t>
        </is>
      </c>
      <c r="H3809" t="inlineStr">
        <is>
          <t>BYPASS</t>
        </is>
      </c>
      <c r="J3809" t="inlineStr">
        <is>
          <t>BERNARDEAU</t>
        </is>
      </c>
      <c r="K3809" t="inlineStr">
        <is>
          <t>CUIVRE</t>
        </is>
      </c>
      <c r="L3809">
        <f>_xlfn.XLOOKUP(Tableau1[[#This Row],[TYPE DE PIECE]],Tableau4[MATIERE],Tableau4[SHORT TYPE],"",0,1)</f>
        <v/>
      </c>
      <c r="N3809">
        <f>IF(ISERR(FIND("DECOUPE",Tableau1[[#This Row],[DESIGNATION]])),"","NEED REF")</f>
        <v/>
      </c>
    </row>
    <row r="3810">
      <c r="B3810" t="n">
        <v>34410195</v>
      </c>
      <c r="C3810" s="2" t="n">
        <v>44581</v>
      </c>
      <c r="D3810" t="inlineStr">
        <is>
          <t>SPEC</t>
        </is>
      </c>
      <c r="E3810" t="inlineStr">
        <is>
          <t>COP_LIAISON_4_NSX630</t>
        </is>
      </c>
      <c r="F3810" t="inlineStr">
        <is>
          <t>=S= ITALY</t>
        </is>
      </c>
      <c r="G3810" t="inlineStr">
        <is>
          <t>GVL</t>
        </is>
      </c>
      <c r="H3810" t="inlineStr">
        <is>
          <t>BYPASS</t>
        </is>
      </c>
      <c r="J3810" t="inlineStr">
        <is>
          <t>BERNARDEAU</t>
        </is>
      </c>
      <c r="K3810" t="inlineStr">
        <is>
          <t>CUIVRE</t>
        </is>
      </c>
      <c r="L3810">
        <f>_xlfn.XLOOKUP(Tableau1[[#This Row],[TYPE DE PIECE]],Tableau4[MATIERE],Tableau4[SHORT TYPE],"",0,1)</f>
        <v/>
      </c>
      <c r="N3810">
        <f>IF(ISERR(FIND("DECOUPE",Tableau1[[#This Row],[DESIGNATION]])),"","NEED REF")</f>
        <v/>
      </c>
    </row>
    <row r="3811">
      <c r="B3811" t="n">
        <v>34410194</v>
      </c>
      <c r="C3811" s="2" t="n">
        <v>44581</v>
      </c>
      <c r="D3811" t="inlineStr">
        <is>
          <t>SPEC</t>
        </is>
      </c>
      <c r="E3811" t="inlineStr">
        <is>
          <t>COP_LIAISON_3_NSX630</t>
        </is>
      </c>
      <c r="F3811" t="inlineStr">
        <is>
          <t>=S= ITALY</t>
        </is>
      </c>
      <c r="G3811" t="inlineStr">
        <is>
          <t>GVL</t>
        </is>
      </c>
      <c r="H3811" t="inlineStr">
        <is>
          <t>BYPASS</t>
        </is>
      </c>
      <c r="J3811" t="inlineStr">
        <is>
          <t>BERNARDEAU</t>
        </is>
      </c>
      <c r="K3811" t="inlineStr">
        <is>
          <t>CUIVRE</t>
        </is>
      </c>
      <c r="L3811">
        <f>_xlfn.XLOOKUP(Tableau1[[#This Row],[TYPE DE PIECE]],Tableau4[MATIERE],Tableau4[SHORT TYPE],"",0,1)</f>
        <v/>
      </c>
      <c r="N3811">
        <f>IF(ISERR(FIND("DECOUPE",Tableau1[[#This Row],[DESIGNATION]])),"","NEED REF")</f>
        <v/>
      </c>
    </row>
    <row r="3812">
      <c r="B3812" t="n">
        <v>34410193</v>
      </c>
      <c r="C3812" s="2" t="n">
        <v>44581</v>
      </c>
      <c r="D3812" t="inlineStr">
        <is>
          <t>SPEC</t>
        </is>
      </c>
      <c r="E3812" t="inlineStr">
        <is>
          <t>COP_LIAISON_2_NSX630</t>
        </is>
      </c>
      <c r="F3812" t="inlineStr">
        <is>
          <t>=S= ITALY</t>
        </is>
      </c>
      <c r="G3812" t="inlineStr">
        <is>
          <t>GVL</t>
        </is>
      </c>
      <c r="H3812" t="inlineStr">
        <is>
          <t>BYPASS</t>
        </is>
      </c>
      <c r="J3812" t="inlineStr">
        <is>
          <t>BERNARDEAU</t>
        </is>
      </c>
      <c r="K3812" t="inlineStr">
        <is>
          <t>CUIVRE</t>
        </is>
      </c>
      <c r="L3812">
        <f>_xlfn.XLOOKUP(Tableau1[[#This Row],[TYPE DE PIECE]],Tableau4[MATIERE],Tableau4[SHORT TYPE],"",0,1)</f>
        <v/>
      </c>
      <c r="N3812">
        <f>IF(ISERR(FIND("DECOUPE",Tableau1[[#This Row],[DESIGNATION]])),"","NEED REF")</f>
        <v/>
      </c>
    </row>
    <row r="3813">
      <c r="B3813" t="n">
        <v>34410192</v>
      </c>
      <c r="C3813" s="2" t="n">
        <v>44581</v>
      </c>
      <c r="D3813" t="inlineStr">
        <is>
          <t>SPEC</t>
        </is>
      </c>
      <c r="E3813" t="inlineStr">
        <is>
          <t>COP_LIAISON_1_NSX630</t>
        </is>
      </c>
      <c r="F3813" t="inlineStr">
        <is>
          <t>=S= ITALY</t>
        </is>
      </c>
      <c r="G3813" t="inlineStr">
        <is>
          <t>GVL</t>
        </is>
      </c>
      <c r="H3813" t="inlineStr">
        <is>
          <t>BYPASS</t>
        </is>
      </c>
      <c r="J3813" t="inlineStr">
        <is>
          <t>BERNARDEAU</t>
        </is>
      </c>
      <c r="K3813" t="inlineStr">
        <is>
          <t>CUIVRE</t>
        </is>
      </c>
      <c r="L3813">
        <f>_xlfn.XLOOKUP(Tableau1[[#This Row],[TYPE DE PIECE]],Tableau4[MATIERE],Tableau4[SHORT TYPE],"",0,1)</f>
        <v/>
      </c>
      <c r="N3813">
        <f>IF(ISERR(FIND("DECOUPE",Tableau1[[#This Row],[DESIGNATION]])),"","NEED REF")</f>
        <v/>
      </c>
    </row>
    <row r="3814">
      <c r="B3814" t="n">
        <v>34410191</v>
      </c>
      <c r="C3814" s="2" t="n">
        <v>44581</v>
      </c>
      <c r="D3814" t="inlineStr">
        <is>
          <t>SPEC</t>
        </is>
      </c>
      <c r="E3814" t="inlineStr">
        <is>
          <t>SMT Traverse support cuivre LG1000</t>
        </is>
      </c>
      <c r="F3814" t="inlineStr">
        <is>
          <t>=S= ITALY</t>
        </is>
      </c>
      <c r="G3814" t="inlineStr">
        <is>
          <t>GVL</t>
        </is>
      </c>
      <c r="H3814" t="inlineStr">
        <is>
          <t>BYPASS</t>
        </is>
      </c>
      <c r="J3814" t="inlineStr">
        <is>
          <t>BERNARDEAU</t>
        </is>
      </c>
      <c r="K3814" t="inlineStr">
        <is>
          <t>METAL</t>
        </is>
      </c>
      <c r="L3814">
        <f>_xlfn.XLOOKUP(Tableau1[[#This Row],[TYPE DE PIECE]],Tableau4[MATIERE],Tableau4[SHORT TYPE],"",0,1)</f>
        <v/>
      </c>
      <c r="N3814">
        <f>IF(ISERR(FIND("DECOUPE",Tableau1[[#This Row],[DESIGNATION]])),"","NEED REF")</f>
        <v/>
      </c>
    </row>
    <row r="3815">
      <c r="B3815" t="n">
        <v>34410190</v>
      </c>
      <c r="C3815" s="2" t="n">
        <v>44581</v>
      </c>
      <c r="D3815" t="inlineStr">
        <is>
          <t>SPEC</t>
        </is>
      </c>
      <c r="E3815" t="inlineStr">
        <is>
          <t>COP_LIAISON_4_NS1250</t>
        </is>
      </c>
      <c r="F3815" t="inlineStr">
        <is>
          <t>=S= ITALY</t>
        </is>
      </c>
      <c r="G3815" t="inlineStr">
        <is>
          <t>GVL</t>
        </is>
      </c>
      <c r="H3815" t="inlineStr">
        <is>
          <t>BYPASS</t>
        </is>
      </c>
      <c r="J3815" t="inlineStr">
        <is>
          <t>BERNARDEAU</t>
        </is>
      </c>
      <c r="K3815" t="inlineStr">
        <is>
          <t>CUIVRE</t>
        </is>
      </c>
      <c r="L3815">
        <f>_xlfn.XLOOKUP(Tableau1[[#This Row],[TYPE DE PIECE]],Tableau4[MATIERE],Tableau4[SHORT TYPE],"",0,1)</f>
        <v/>
      </c>
      <c r="N3815">
        <f>IF(ISERR(FIND("DECOUPE",Tableau1[[#This Row],[DESIGNATION]])),"","NEED REF")</f>
        <v/>
      </c>
    </row>
    <row r="3816">
      <c r="B3816" t="n">
        <v>34410189</v>
      </c>
      <c r="C3816" s="2" t="n">
        <v>44581</v>
      </c>
      <c r="D3816" t="inlineStr">
        <is>
          <t>SPEC</t>
        </is>
      </c>
      <c r="E3816" t="inlineStr">
        <is>
          <t>COP_LIAISON_3_NS1250</t>
        </is>
      </c>
      <c r="F3816" t="inlineStr">
        <is>
          <t>=S= ITALY</t>
        </is>
      </c>
      <c r="G3816" t="inlineStr">
        <is>
          <t>GVL</t>
        </is>
      </c>
      <c r="H3816" t="inlineStr">
        <is>
          <t>BYPASS</t>
        </is>
      </c>
      <c r="J3816" t="inlineStr">
        <is>
          <t>BERNARDEAU</t>
        </is>
      </c>
      <c r="K3816" t="inlineStr">
        <is>
          <t>CUIVRE</t>
        </is>
      </c>
      <c r="L3816">
        <f>_xlfn.XLOOKUP(Tableau1[[#This Row],[TYPE DE PIECE]],Tableau4[MATIERE],Tableau4[SHORT TYPE],"",0,1)</f>
        <v/>
      </c>
      <c r="N3816">
        <f>IF(ISERR(FIND("DECOUPE",Tableau1[[#This Row],[DESIGNATION]])),"","NEED REF")</f>
        <v/>
      </c>
    </row>
    <row r="3817">
      <c r="B3817" t="n">
        <v>34410188</v>
      </c>
      <c r="C3817" s="2" t="n">
        <v>44581</v>
      </c>
      <c r="D3817" t="inlineStr">
        <is>
          <t>SPEC</t>
        </is>
      </c>
      <c r="E3817" t="inlineStr">
        <is>
          <t>COP_LIAISON_2_NS1250</t>
        </is>
      </c>
      <c r="F3817" t="inlineStr">
        <is>
          <t>=S= ITALY</t>
        </is>
      </c>
      <c r="G3817" t="inlineStr">
        <is>
          <t>GVL</t>
        </is>
      </c>
      <c r="H3817" t="inlineStr">
        <is>
          <t>BYPASS</t>
        </is>
      </c>
      <c r="J3817" t="inlineStr">
        <is>
          <t>BERNARDEAU</t>
        </is>
      </c>
      <c r="K3817" t="inlineStr">
        <is>
          <t>CUIVRE</t>
        </is>
      </c>
      <c r="L3817">
        <f>_xlfn.XLOOKUP(Tableau1[[#This Row],[TYPE DE PIECE]],Tableau4[MATIERE],Tableau4[SHORT TYPE],"",0,1)</f>
        <v/>
      </c>
      <c r="N3817">
        <f>IF(ISERR(FIND("DECOUPE",Tableau1[[#This Row],[DESIGNATION]])),"","NEED REF")</f>
        <v/>
      </c>
    </row>
    <row r="3818">
      <c r="B3818" t="n">
        <v>34410187</v>
      </c>
      <c r="C3818" s="2" t="n">
        <v>44581</v>
      </c>
      <c r="D3818" t="inlineStr">
        <is>
          <t>SPEC</t>
        </is>
      </c>
      <c r="E3818" t="inlineStr">
        <is>
          <t>COP_LIAISON_1_Ns1250</t>
        </is>
      </c>
      <c r="F3818" t="inlineStr">
        <is>
          <t>=S= ITALY</t>
        </is>
      </c>
      <c r="G3818" t="inlineStr">
        <is>
          <t>GVL</t>
        </is>
      </c>
      <c r="H3818" t="inlineStr">
        <is>
          <t>BYPASS</t>
        </is>
      </c>
      <c r="J3818" t="inlineStr">
        <is>
          <t>BERNARDEAU</t>
        </is>
      </c>
      <c r="K3818" t="inlineStr">
        <is>
          <t>CUIVRE</t>
        </is>
      </c>
      <c r="L3818">
        <f>_xlfn.XLOOKUP(Tableau1[[#This Row],[TYPE DE PIECE]],Tableau4[MATIERE],Tableau4[SHORT TYPE],"",0,1)</f>
        <v/>
      </c>
      <c r="N3818">
        <f>IF(ISERR(FIND("DECOUPE",Tableau1[[#This Row],[DESIGNATION]])),"","NEED REF")</f>
        <v/>
      </c>
    </row>
    <row r="3819">
      <c r="B3819" t="n">
        <v>34410186</v>
      </c>
      <c r="C3819" s="2" t="n">
        <v>44581</v>
      </c>
      <c r="D3819" t="inlineStr">
        <is>
          <t>SPEC</t>
        </is>
      </c>
      <c r="E3819" t="inlineStr">
        <is>
          <t>UOB NSX630NA + Rear top and Front bottom 45° connexions</t>
        </is>
      </c>
      <c r="F3819" t="inlineStr">
        <is>
          <t>MBx 450kW</t>
        </is>
      </c>
      <c r="G3819" t="inlineStr">
        <is>
          <t>TOUTES</t>
        </is>
      </c>
      <c r="H3819" t="inlineStr">
        <is>
          <t>BYPASS</t>
        </is>
      </c>
      <c r="J3819" t="inlineStr">
        <is>
          <t>MATRION</t>
        </is>
      </c>
      <c r="K3819" t="inlineStr">
        <is>
          <t>=S=</t>
        </is>
      </c>
      <c r="L3819">
        <f>_xlfn.XLOOKUP(Tableau1[[#This Row],[TYPE DE PIECE]],Tableau4[MATIERE],Tableau4[SHORT TYPE],"",0,1)</f>
        <v/>
      </c>
      <c r="N3819">
        <f>IF(ISERR(FIND("DECOUPE",Tableau1[[#This Row],[DESIGNATION]])),"","NEED REF")</f>
        <v/>
      </c>
    </row>
    <row r="3820">
      <c r="B3820" t="n">
        <v>34410185</v>
      </c>
      <c r="C3820" s="2" t="n">
        <v>44581</v>
      </c>
      <c r="D3820" t="inlineStr">
        <is>
          <t>SPEC</t>
        </is>
      </c>
      <c r="E3820" t="inlineStr">
        <is>
          <t>MBB NSX630NA + Rear Connections</t>
        </is>
      </c>
      <c r="F3820" t="inlineStr">
        <is>
          <t>MBx 450kW</t>
        </is>
      </c>
      <c r="G3820" t="inlineStr">
        <is>
          <t>TOUTES</t>
        </is>
      </c>
      <c r="H3820" t="inlineStr">
        <is>
          <t>BYPASS</t>
        </is>
      </c>
      <c r="J3820" t="inlineStr">
        <is>
          <t>MATRION</t>
        </is>
      </c>
      <c r="K3820" t="inlineStr">
        <is>
          <t>=S=</t>
        </is>
      </c>
      <c r="L3820">
        <f>_xlfn.XLOOKUP(Tableau1[[#This Row],[TYPE DE PIECE]],Tableau4[MATIERE],Tableau4[SHORT TYPE],"",0,1)</f>
        <v/>
      </c>
      <c r="N3820">
        <f>IF(ISERR(FIND("DECOUPE",Tableau1[[#This Row],[DESIGNATION]])),"","NEED REF")</f>
        <v/>
      </c>
    </row>
    <row r="3821">
      <c r="B3821" t="n">
        <v>34410184</v>
      </c>
      <c r="C3821" s="2" t="n">
        <v>44581</v>
      </c>
      <c r="D3821" t="inlineStr">
        <is>
          <t>SPEC</t>
        </is>
      </c>
      <c r="E3821" t="inlineStr">
        <is>
          <t>UIB NSX630NA + Front top 45° connections and Front bottom</t>
        </is>
      </c>
      <c r="F3821" t="inlineStr">
        <is>
          <t>MBx 450kW</t>
        </is>
      </c>
      <c r="G3821" t="inlineStr">
        <is>
          <t>TOUTES</t>
        </is>
      </c>
      <c r="H3821" t="inlineStr">
        <is>
          <t>BYPASS</t>
        </is>
      </c>
      <c r="J3821" t="inlineStr">
        <is>
          <t>MATRION</t>
        </is>
      </c>
      <c r="K3821" t="inlineStr">
        <is>
          <t>=S=</t>
        </is>
      </c>
      <c r="L3821">
        <f>_xlfn.XLOOKUP(Tableau1[[#This Row],[TYPE DE PIECE]],Tableau4[MATIERE],Tableau4[SHORT TYPE],"",0,1)</f>
        <v/>
      </c>
      <c r="N3821">
        <f>IF(ISERR(FIND("DECOUPE",Tableau1[[#This Row],[DESIGNATION]])),"","NEED REF")</f>
        <v/>
      </c>
    </row>
    <row r="3822">
      <c r="B3822" t="n">
        <v>34410183</v>
      </c>
      <c r="C3822" s="2" t="n">
        <v>44580</v>
      </c>
      <c r="D3822" t="inlineStr">
        <is>
          <t>SPEC</t>
        </is>
      </c>
      <c r="E3822" t="inlineStr">
        <is>
          <t>COP_LIAISON_4_NS800</t>
        </is>
      </c>
      <c r="F3822" t="inlineStr">
        <is>
          <t>=S= ITALY</t>
        </is>
      </c>
      <c r="G3822" t="inlineStr">
        <is>
          <t>GVL</t>
        </is>
      </c>
      <c r="H3822" t="inlineStr">
        <is>
          <t>BYPASS</t>
        </is>
      </c>
      <c r="J3822" t="inlineStr">
        <is>
          <t>BERNARDEAU</t>
        </is>
      </c>
      <c r="K3822" t="inlineStr">
        <is>
          <t>CUIVRE</t>
        </is>
      </c>
      <c r="L3822">
        <f>_xlfn.XLOOKUP(Tableau1[[#This Row],[TYPE DE PIECE]],Tableau4[MATIERE],Tableau4[SHORT TYPE],"",0,1)</f>
        <v/>
      </c>
      <c r="N3822">
        <f>IF(ISERR(FIND("DECOUPE",Tableau1[[#This Row],[DESIGNATION]])),"","NEED REF")</f>
        <v/>
      </c>
    </row>
    <row r="3823">
      <c r="B3823" t="n">
        <v>34410182</v>
      </c>
      <c r="C3823" s="2" t="n">
        <v>44580</v>
      </c>
      <c r="D3823" t="inlineStr">
        <is>
          <t>SPEC</t>
        </is>
      </c>
      <c r="E3823" t="inlineStr">
        <is>
          <t>COP_LIAISON_3_NS800</t>
        </is>
      </c>
      <c r="F3823" t="inlineStr">
        <is>
          <t>=S= ITALY</t>
        </is>
      </c>
      <c r="G3823" t="inlineStr">
        <is>
          <t>GVL</t>
        </is>
      </c>
      <c r="H3823" t="inlineStr">
        <is>
          <t>BYPASS</t>
        </is>
      </c>
      <c r="J3823" t="inlineStr">
        <is>
          <t>BERNARDEAU</t>
        </is>
      </c>
      <c r="K3823" t="inlineStr">
        <is>
          <t>CUIVRE</t>
        </is>
      </c>
      <c r="L3823">
        <f>_xlfn.XLOOKUP(Tableau1[[#This Row],[TYPE DE PIECE]],Tableau4[MATIERE],Tableau4[SHORT TYPE],"",0,1)</f>
        <v/>
      </c>
      <c r="N3823">
        <f>IF(ISERR(FIND("DECOUPE",Tableau1[[#This Row],[DESIGNATION]])),"","NEED REF")</f>
        <v/>
      </c>
    </row>
    <row r="3824">
      <c r="B3824" t="n">
        <v>34410181</v>
      </c>
      <c r="C3824" s="2" t="n">
        <v>44580</v>
      </c>
      <c r="D3824" t="inlineStr">
        <is>
          <t>SPEC</t>
        </is>
      </c>
      <c r="E3824" t="inlineStr">
        <is>
          <t>COP_LIAISON_2_NS800</t>
        </is>
      </c>
      <c r="F3824" t="inlineStr">
        <is>
          <t>=S= ITALY</t>
        </is>
      </c>
      <c r="G3824" t="inlineStr">
        <is>
          <t>GVL</t>
        </is>
      </c>
      <c r="H3824" t="inlineStr">
        <is>
          <t>BYPASS</t>
        </is>
      </c>
      <c r="J3824" t="inlineStr">
        <is>
          <t>BERNARDEAU</t>
        </is>
      </c>
      <c r="K3824" t="inlineStr">
        <is>
          <t>CUIVRE</t>
        </is>
      </c>
      <c r="L3824">
        <f>_xlfn.XLOOKUP(Tableau1[[#This Row],[TYPE DE PIECE]],Tableau4[MATIERE],Tableau4[SHORT TYPE],"",0,1)</f>
        <v/>
      </c>
      <c r="N3824">
        <f>IF(ISERR(FIND("DECOUPE",Tableau1[[#This Row],[DESIGNATION]])),"","NEED REF")</f>
        <v/>
      </c>
    </row>
    <row r="3825">
      <c r="B3825" t="n">
        <v>34410180</v>
      </c>
      <c r="C3825" s="2" t="n">
        <v>44580</v>
      </c>
      <c r="D3825" t="inlineStr">
        <is>
          <t>SPEC</t>
        </is>
      </c>
      <c r="E3825" t="inlineStr">
        <is>
          <t>COP_LIAISON_1_NS800</t>
        </is>
      </c>
      <c r="F3825" t="inlineStr">
        <is>
          <t>=S= ITALY</t>
        </is>
      </c>
      <c r="G3825" t="inlineStr">
        <is>
          <t>GVL</t>
        </is>
      </c>
      <c r="H3825" t="inlineStr">
        <is>
          <t>BYPASS</t>
        </is>
      </c>
      <c r="J3825" t="inlineStr">
        <is>
          <t>BERNARDEAU</t>
        </is>
      </c>
      <c r="K3825" t="inlineStr">
        <is>
          <t>CUIVRE</t>
        </is>
      </c>
      <c r="L3825">
        <f>_xlfn.XLOOKUP(Tableau1[[#This Row],[TYPE DE PIECE]],Tableau4[MATIERE],Tableau4[SHORT TYPE],"",0,1)</f>
        <v/>
      </c>
      <c r="N3825">
        <f>IF(ISERR(FIND("DECOUPE",Tableau1[[#This Row],[DESIGNATION]])),"","NEED REF")</f>
        <v/>
      </c>
    </row>
    <row r="3826">
      <c r="B3826" t="n">
        <v>34410179</v>
      </c>
      <c r="C3826" s="2" t="n">
        <v>44580</v>
      </c>
      <c r="D3826" t="inlineStr">
        <is>
          <t>SPEC</t>
        </is>
      </c>
      <c r="E3826" t="inlineStr">
        <is>
          <t>COP_RACCORDEMENT</t>
        </is>
      </c>
      <c r="F3826" t="inlineStr">
        <is>
          <t>=S= ITALY</t>
        </is>
      </c>
      <c r="G3826" t="inlineStr">
        <is>
          <t>GVL</t>
        </is>
      </c>
      <c r="H3826" t="inlineStr">
        <is>
          <t>BYPASS</t>
        </is>
      </c>
      <c r="J3826" t="inlineStr">
        <is>
          <t>BERNARDEAU</t>
        </is>
      </c>
      <c r="K3826" t="inlineStr">
        <is>
          <t>CUIVRE</t>
        </is>
      </c>
      <c r="L3826">
        <f>_xlfn.XLOOKUP(Tableau1[[#This Row],[TYPE DE PIECE]],Tableau4[MATIERE],Tableau4[SHORT TYPE],"",0,1)</f>
        <v/>
      </c>
      <c r="N3826">
        <f>IF(ISERR(FIND("DECOUPE",Tableau1[[#This Row],[DESIGNATION]])),"","NEED REF")</f>
        <v/>
      </c>
    </row>
    <row r="3827">
      <c r="B3827" t="n">
        <v>34410178</v>
      </c>
      <c r="C3827" s="2" t="n">
        <v>44580</v>
      </c>
      <c r="D3827" t="inlineStr">
        <is>
          <t>SPEC</t>
        </is>
      </c>
      <c r="E3827" t="inlineStr">
        <is>
          <t>SMT platine bypass NS1250H</t>
        </is>
      </c>
      <c r="F3827" t="inlineStr">
        <is>
          <t>=S= ITALY</t>
        </is>
      </c>
      <c r="G3827" t="inlineStr">
        <is>
          <t>GVL</t>
        </is>
      </c>
      <c r="H3827" t="inlineStr">
        <is>
          <t>BYPASS</t>
        </is>
      </c>
      <c r="J3827" t="inlineStr">
        <is>
          <t>BERNARDEAU</t>
        </is>
      </c>
      <c r="K3827" t="inlineStr">
        <is>
          <t>METAL</t>
        </is>
      </c>
      <c r="L3827">
        <f>_xlfn.XLOOKUP(Tableau1[[#This Row],[TYPE DE PIECE]],Tableau4[MATIERE],Tableau4[SHORT TYPE],"",0,1)</f>
        <v/>
      </c>
      <c r="N3827">
        <f>IF(ISERR(FIND("DECOUPE",Tableau1[[#This Row],[DESIGNATION]])),"","NEED REF")</f>
        <v/>
      </c>
    </row>
    <row r="3828">
      <c r="B3828" t="n">
        <v>34410177</v>
      </c>
      <c r="C3828" s="2" t="n">
        <v>44579</v>
      </c>
      <c r="D3828" t="inlineStr">
        <is>
          <t>SPEC</t>
        </is>
      </c>
      <c r="E3828" t="inlineStr">
        <is>
          <t>NS1250H Mic 5.0 4P4d +2 NC on terminal blocks + PA Amont et Aval H</t>
        </is>
      </c>
      <c r="F3828" t="inlineStr">
        <is>
          <t>=S= ITALY</t>
        </is>
      </c>
      <c r="G3828" t="inlineStr">
        <is>
          <t>GVL</t>
        </is>
      </c>
      <c r="H3828" t="inlineStr">
        <is>
          <t>BYPASS</t>
        </is>
      </c>
      <c r="J3828" t="inlineStr">
        <is>
          <t>BERNARDEAU</t>
        </is>
      </c>
      <c r="K3828" t="inlineStr">
        <is>
          <t>=S=</t>
        </is>
      </c>
      <c r="L3828">
        <f>_xlfn.XLOOKUP(Tableau1[[#This Row],[TYPE DE PIECE]],Tableau4[MATIERE],Tableau4[SHORT TYPE],"",0,1)</f>
        <v/>
      </c>
      <c r="M3828" t="inlineStr">
        <is>
          <t>cadenas</t>
        </is>
      </c>
      <c r="N3828">
        <f>IF(ISERR(FIND("DECOUPE",Tableau1[[#This Row],[DESIGNATION]])),"","NEED REF")</f>
        <v/>
      </c>
    </row>
    <row r="3829">
      <c r="B3829" t="n">
        <v>34410176</v>
      </c>
      <c r="C3829" s="2" t="n">
        <v>44579</v>
      </c>
      <c r="D3829" t="inlineStr">
        <is>
          <t>SPEC</t>
        </is>
      </c>
      <c r="E3829" t="inlineStr">
        <is>
          <t>TRAVERSE SUPPORT CUIVRE</t>
        </is>
      </c>
      <c r="F3829" t="inlineStr">
        <is>
          <t>=S= ITALY</t>
        </is>
      </c>
      <c r="G3829" t="inlineStr">
        <is>
          <t>GVL</t>
        </is>
      </c>
      <c r="H3829" t="inlineStr">
        <is>
          <t>BYPASS</t>
        </is>
      </c>
      <c r="J3829" t="inlineStr">
        <is>
          <t>BERNARDEAU</t>
        </is>
      </c>
      <c r="K3829" t="inlineStr">
        <is>
          <t>METAL</t>
        </is>
      </c>
      <c r="L3829">
        <f>_xlfn.XLOOKUP(Tableau1[[#This Row],[TYPE DE PIECE]],Tableau4[MATIERE],Tableau4[SHORT TYPE],"",0,1)</f>
        <v/>
      </c>
      <c r="N3829">
        <f>IF(ISERR(FIND("DECOUPE",Tableau1[[#This Row],[DESIGNATION]])),"","NEED REF")</f>
        <v/>
      </c>
    </row>
    <row r="3830">
      <c r="B3830" t="n">
        <v>34410175</v>
      </c>
      <c r="C3830" s="2" t="n">
        <v>44578</v>
      </c>
      <c r="D3830" t="inlineStr">
        <is>
          <t>SPEC</t>
        </is>
      </c>
      <c r="E3830" t="inlineStr">
        <is>
          <t>NS800H Mic 5.0 4P4d + 1 NO + PA Amont et Aval H</t>
        </is>
      </c>
      <c r="F3830" t="inlineStr">
        <is>
          <t>=S= ITALY</t>
        </is>
      </c>
      <c r="G3830" t="inlineStr">
        <is>
          <t>GVL</t>
        </is>
      </c>
      <c r="H3830" t="inlineStr">
        <is>
          <t>BYPASS</t>
        </is>
      </c>
      <c r="J3830" t="inlineStr">
        <is>
          <t>BERNARDEAU</t>
        </is>
      </c>
      <c r="K3830" t="inlineStr">
        <is>
          <t>=S=</t>
        </is>
      </c>
      <c r="L3830">
        <f>_xlfn.XLOOKUP(Tableau1[[#This Row],[TYPE DE PIECE]],Tableau4[MATIERE],Tableau4[SHORT TYPE],"",0,1)</f>
        <v/>
      </c>
      <c r="M3830" t="inlineStr">
        <is>
          <t>cadenas</t>
        </is>
      </c>
      <c r="N3830">
        <f>IF(ISERR(FIND("DECOUPE",Tableau1[[#This Row],[DESIGNATION]])),"","NEED REF")</f>
        <v/>
      </c>
    </row>
    <row r="3831">
      <c r="B3831" t="n">
        <v>34410174</v>
      </c>
      <c r="C3831" s="2" t="n">
        <v>44578</v>
      </c>
      <c r="D3831" t="inlineStr">
        <is>
          <t>SPEC</t>
        </is>
      </c>
      <c r="E3831" t="inlineStr">
        <is>
          <t>SMT CACHE PLASTRON NSX</t>
        </is>
      </c>
      <c r="F3831" t="inlineStr">
        <is>
          <t>MBx 450kW</t>
        </is>
      </c>
      <c r="G3831" t="inlineStr">
        <is>
          <t>TOUTES</t>
        </is>
      </c>
      <c r="H3831" t="inlineStr">
        <is>
          <t>BYPASS</t>
        </is>
      </c>
      <c r="J3831" t="inlineStr">
        <is>
          <t>MATRION</t>
        </is>
      </c>
      <c r="K3831" t="inlineStr">
        <is>
          <t>METAL</t>
        </is>
      </c>
      <c r="L3831">
        <f>_xlfn.XLOOKUP(Tableau1[[#This Row],[TYPE DE PIECE]],Tableau4[MATIERE],Tableau4[SHORT TYPE],"",0,1)</f>
        <v/>
      </c>
      <c r="M3831" t="inlineStr">
        <is>
          <t>IP20</t>
        </is>
      </c>
      <c r="N3831">
        <f>IF(ISERR(FIND("DECOUPE",Tableau1[[#This Row],[DESIGNATION]])),"","NEED REF")</f>
        <v/>
      </c>
    </row>
    <row r="3832">
      <c r="B3832" t="n">
        <v>34410173</v>
      </c>
      <c r="C3832" s="2" t="n">
        <v>44578</v>
      </c>
      <c r="D3832" t="inlineStr">
        <is>
          <t>SPEC</t>
        </is>
      </c>
      <c r="E3832" t="inlineStr">
        <is>
          <t>SMT PLASTRON 1xNSX 3P</t>
        </is>
      </c>
      <c r="F3832" t="inlineStr">
        <is>
          <t>MBx 450kW</t>
        </is>
      </c>
      <c r="G3832" t="inlineStr">
        <is>
          <t>TOUTES</t>
        </is>
      </c>
      <c r="H3832" t="inlineStr">
        <is>
          <t>BYPASS</t>
        </is>
      </c>
      <c r="J3832" t="inlineStr">
        <is>
          <t>MATRION</t>
        </is>
      </c>
      <c r="K3832" t="inlineStr">
        <is>
          <t>METAL</t>
        </is>
      </c>
      <c r="L3832">
        <f>_xlfn.XLOOKUP(Tableau1[[#This Row],[TYPE DE PIECE]],Tableau4[MATIERE],Tableau4[SHORT TYPE],"",0,1)</f>
        <v/>
      </c>
      <c r="M3832" t="inlineStr">
        <is>
          <t>IP20</t>
        </is>
      </c>
      <c r="N3832">
        <f>IF(ISERR(FIND("DECOUPE",Tableau1[[#This Row],[DESIGNATION]])),"","NEED REF")</f>
        <v/>
      </c>
    </row>
    <row r="3833">
      <c r="B3833" t="n">
        <v>34410172</v>
      </c>
      <c r="C3833" s="2" t="n">
        <v>44578</v>
      </c>
      <c r="D3833" t="inlineStr">
        <is>
          <t>SPEC</t>
        </is>
      </c>
      <c r="E3833" t="inlineStr">
        <is>
          <t>SMT PLASTRON 2xNSX 3P</t>
        </is>
      </c>
      <c r="F3833" t="inlineStr">
        <is>
          <t>MBx 450kW</t>
        </is>
      </c>
      <c r="G3833" t="inlineStr">
        <is>
          <t>TOUTES</t>
        </is>
      </c>
      <c r="H3833" t="inlineStr">
        <is>
          <t>BYPASS</t>
        </is>
      </c>
      <c r="J3833" t="inlineStr">
        <is>
          <t>MATRION</t>
        </is>
      </c>
      <c r="K3833" t="inlineStr">
        <is>
          <t>METAL</t>
        </is>
      </c>
      <c r="L3833">
        <f>_xlfn.XLOOKUP(Tableau1[[#This Row],[TYPE DE PIECE]],Tableau4[MATIERE],Tableau4[SHORT TYPE],"",0,1)</f>
        <v/>
      </c>
      <c r="M3833" t="inlineStr">
        <is>
          <t>IP20</t>
        </is>
      </c>
      <c r="N3833">
        <f>IF(ISERR(FIND("DECOUPE",Tableau1[[#This Row],[DESIGNATION]])),"","NEED REF")</f>
        <v/>
      </c>
    </row>
    <row r="3834">
      <c r="B3834" t="n">
        <v>34410171</v>
      </c>
      <c r="C3834" s="2" t="n">
        <v>44578</v>
      </c>
      <c r="D3834" t="inlineStr">
        <is>
          <t>SPEC</t>
        </is>
      </c>
      <c r="E3834" t="inlineStr">
        <is>
          <t>SMT DOIGT D'ACCOUPLEMENT</t>
        </is>
      </c>
      <c r="F3834" t="inlineStr">
        <is>
          <t>MBx 450kW</t>
        </is>
      </c>
      <c r="G3834" t="inlineStr">
        <is>
          <t>TOUTES</t>
        </is>
      </c>
      <c r="H3834" t="inlineStr">
        <is>
          <t>BYPASS</t>
        </is>
      </c>
      <c r="J3834" t="inlineStr">
        <is>
          <t>MATRION</t>
        </is>
      </c>
      <c r="K3834" t="inlineStr">
        <is>
          <t>METAL</t>
        </is>
      </c>
      <c r="L3834">
        <f>_xlfn.XLOOKUP(Tableau1[[#This Row],[TYPE DE PIECE]],Tableau4[MATIERE],Tableau4[SHORT TYPE],"",0,1)</f>
        <v/>
      </c>
      <c r="N3834">
        <f>IF(ISERR(FIND("DECOUPE",Tableau1[[#This Row],[DESIGNATION]])),"","NEED REF")</f>
        <v/>
      </c>
    </row>
    <row r="3835">
      <c r="B3835" t="n">
        <v>34410170</v>
      </c>
      <c r="C3835" s="2" t="n">
        <v>44578</v>
      </c>
      <c r="D3835" t="inlineStr">
        <is>
          <t>SPEC</t>
        </is>
      </c>
      <c r="E3835" t="inlineStr">
        <is>
          <t>SMT PIECE D'ACCOUPLEMENT 2 GVEAC5-E3L</t>
        </is>
      </c>
      <c r="F3835" t="inlineStr">
        <is>
          <t>MBx 450kW</t>
        </is>
      </c>
      <c r="G3835" t="inlineStr">
        <is>
          <t>TOUTES</t>
        </is>
      </c>
      <c r="H3835" t="inlineStr">
        <is>
          <t>BYPASS</t>
        </is>
      </c>
      <c r="J3835" t="inlineStr">
        <is>
          <t>MATRION</t>
        </is>
      </c>
      <c r="K3835" t="inlineStr">
        <is>
          <t>METAL</t>
        </is>
      </c>
      <c r="L3835">
        <f>_xlfn.XLOOKUP(Tableau1[[#This Row],[TYPE DE PIECE]],Tableau4[MATIERE],Tableau4[SHORT TYPE],"",0,1)</f>
        <v/>
      </c>
      <c r="N3835">
        <f>IF(ISERR(FIND("DECOUPE",Tableau1[[#This Row],[DESIGNATION]])),"","NEED REF")</f>
        <v/>
      </c>
    </row>
    <row r="3836">
      <c r="B3836" t="n">
        <v>34410169</v>
      </c>
      <c r="C3836" s="2" t="n">
        <v>44578</v>
      </c>
      <c r="D3836" t="inlineStr">
        <is>
          <t>SPEC</t>
        </is>
      </c>
      <c r="E3836" t="inlineStr">
        <is>
          <t>SMT PIECE D'ACCOUPLEMENT 1 GVEAC5-E3L</t>
        </is>
      </c>
      <c r="F3836" t="inlineStr">
        <is>
          <t>MBx 450kW</t>
        </is>
      </c>
      <c r="G3836" t="inlineStr">
        <is>
          <t>TOUTES</t>
        </is>
      </c>
      <c r="H3836" t="inlineStr">
        <is>
          <t>BYPASS</t>
        </is>
      </c>
      <c r="J3836" t="inlineStr">
        <is>
          <t>MATRION</t>
        </is>
      </c>
      <c r="K3836" t="inlineStr">
        <is>
          <t>METAL</t>
        </is>
      </c>
      <c r="L3836">
        <f>_xlfn.XLOOKUP(Tableau1[[#This Row],[TYPE DE PIECE]],Tableau4[MATIERE],Tableau4[SHORT TYPE],"",0,1)</f>
        <v/>
      </c>
      <c r="N3836">
        <f>IF(ISERR(FIND("DECOUPE",Tableau1[[#This Row],[DESIGNATION]])),"","NEED REF")</f>
        <v/>
      </c>
    </row>
    <row r="3837">
      <c r="B3837" t="n">
        <v>34410168</v>
      </c>
      <c r="C3837" s="2" t="n">
        <v>44578</v>
      </c>
      <c r="D3837" t="inlineStr">
        <is>
          <t>SPEC</t>
        </is>
      </c>
      <c r="F3837" t="inlineStr">
        <is>
          <t>MBx 450kW</t>
        </is>
      </c>
      <c r="G3837" t="inlineStr">
        <is>
          <t>TOUTES</t>
        </is>
      </c>
      <c r="H3837" t="inlineStr">
        <is>
          <t>BYPASS</t>
        </is>
      </c>
      <c r="J3837" t="inlineStr">
        <is>
          <t>MATRION</t>
        </is>
      </c>
      <c r="K3837" t="inlineStr">
        <is>
          <t>METAL</t>
        </is>
      </c>
      <c r="L3837">
        <f>_xlfn.XLOOKUP(Tableau1[[#This Row],[TYPE DE PIECE]],Tableau4[MATIERE],Tableau4[SHORT TYPE],"",0,1)</f>
        <v/>
      </c>
      <c r="N3837">
        <f>IF(ISERR(FIND("DECOUPE",Tableau1[[#This Row],[DESIGNATION]])),"","NEED REF")</f>
        <v/>
      </c>
    </row>
    <row r="3838">
      <c r="B3838" t="n">
        <v>34410167</v>
      </c>
      <c r="C3838" s="2" t="n">
        <v>44578</v>
      </c>
      <c r="D3838" t="inlineStr">
        <is>
          <t>SPEC</t>
        </is>
      </c>
      <c r="E3838" t="inlineStr">
        <is>
          <t>SMT RAIL OMEGA BORNIER</t>
        </is>
      </c>
      <c r="F3838" t="inlineStr">
        <is>
          <t>MBx 450kW</t>
        </is>
      </c>
      <c r="G3838" t="inlineStr">
        <is>
          <t>TOUTES</t>
        </is>
      </c>
      <c r="H3838" t="inlineStr">
        <is>
          <t>BYPASS</t>
        </is>
      </c>
      <c r="J3838" t="inlineStr">
        <is>
          <t>MATRION</t>
        </is>
      </c>
      <c r="K3838" t="inlineStr">
        <is>
          <t>METAL</t>
        </is>
      </c>
      <c r="L3838">
        <f>_xlfn.XLOOKUP(Tableau1[[#This Row],[TYPE DE PIECE]],Tableau4[MATIERE],Tableau4[SHORT TYPE],"",0,1)</f>
        <v/>
      </c>
      <c r="M3838" t="inlineStr">
        <is>
          <t>BORNIER</t>
        </is>
      </c>
      <c r="N3838">
        <f>IF(ISERR(FIND("DECOUPE",Tableau1[[#This Row],[DESIGNATION]])),"","NEED REF")</f>
        <v/>
      </c>
    </row>
    <row r="3839">
      <c r="B3839" t="n">
        <v>34410166</v>
      </c>
      <c r="C3839" s="2" t="n">
        <v>44578</v>
      </c>
      <c r="D3839" t="inlineStr">
        <is>
          <t>SPEC</t>
        </is>
      </c>
      <c r="E3839" t="inlineStr">
        <is>
          <t>SMT PLASTRON HAUT/BAS</t>
        </is>
      </c>
      <c r="F3839" t="inlineStr">
        <is>
          <t>MBx 450kW</t>
        </is>
      </c>
      <c r="G3839" t="inlineStr">
        <is>
          <t>TOUTES</t>
        </is>
      </c>
      <c r="H3839" t="inlineStr">
        <is>
          <t>BYPASS</t>
        </is>
      </c>
      <c r="J3839" t="inlineStr">
        <is>
          <t>MATRION</t>
        </is>
      </c>
      <c r="K3839" t="inlineStr">
        <is>
          <t>METAL</t>
        </is>
      </c>
      <c r="L3839">
        <f>_xlfn.XLOOKUP(Tableau1[[#This Row],[TYPE DE PIECE]],Tableau4[MATIERE],Tableau4[SHORT TYPE],"",0,1)</f>
        <v/>
      </c>
      <c r="M3839" t="inlineStr">
        <is>
          <t>IP20</t>
        </is>
      </c>
      <c r="N3839">
        <f>IF(ISERR(FIND("DECOUPE",Tableau1[[#This Row],[DESIGNATION]])),"","NEED REF")</f>
        <v/>
      </c>
    </row>
    <row r="3840">
      <c r="B3840" t="n">
        <v>34410165</v>
      </c>
      <c r="C3840" s="2" t="n">
        <v>44578</v>
      </c>
      <c r="D3840" t="inlineStr">
        <is>
          <t>SPEC</t>
        </is>
      </c>
      <c r="E3840" t="inlineStr">
        <is>
          <t>SMT PLASTRON 1xNSX 4P</t>
        </is>
      </c>
      <c r="F3840" t="inlineStr">
        <is>
          <t>MBx 450kW</t>
        </is>
      </c>
      <c r="G3840" t="inlineStr">
        <is>
          <t>TOUTES</t>
        </is>
      </c>
      <c r="H3840" t="inlineStr">
        <is>
          <t>BYPASS</t>
        </is>
      </c>
      <c r="J3840" t="inlineStr">
        <is>
          <t>MATRION</t>
        </is>
      </c>
      <c r="K3840" t="inlineStr">
        <is>
          <t>METAL</t>
        </is>
      </c>
      <c r="L3840">
        <f>_xlfn.XLOOKUP(Tableau1[[#This Row],[TYPE DE PIECE]],Tableau4[MATIERE],Tableau4[SHORT TYPE],"",0,1)</f>
        <v/>
      </c>
      <c r="M3840" t="inlineStr">
        <is>
          <t>IP20</t>
        </is>
      </c>
      <c r="N3840">
        <f>IF(ISERR(FIND("DECOUPE",Tableau1[[#This Row],[DESIGNATION]])),"","NEED REF")</f>
        <v/>
      </c>
    </row>
    <row r="3841">
      <c r="B3841" t="n">
        <v>34410164</v>
      </c>
      <c r="C3841" s="2" t="n">
        <v>44578</v>
      </c>
      <c r="D3841" t="inlineStr">
        <is>
          <t>SPEC</t>
        </is>
      </c>
      <c r="E3841" t="inlineStr">
        <is>
          <t>SMT PLASTRON 2xNSX 4P</t>
        </is>
      </c>
      <c r="F3841" t="inlineStr">
        <is>
          <t>MBx 450kW</t>
        </is>
      </c>
      <c r="G3841" t="inlineStr">
        <is>
          <t>TOUTES</t>
        </is>
      </c>
      <c r="H3841" t="inlineStr">
        <is>
          <t>BYPASS</t>
        </is>
      </c>
      <c r="J3841" t="inlineStr">
        <is>
          <t>MATRION</t>
        </is>
      </c>
      <c r="K3841" t="inlineStr">
        <is>
          <t>METAL</t>
        </is>
      </c>
      <c r="L3841">
        <f>_xlfn.XLOOKUP(Tableau1[[#This Row],[TYPE DE PIECE]],Tableau4[MATIERE],Tableau4[SHORT TYPE],"",0,1)</f>
        <v/>
      </c>
      <c r="M3841" t="inlineStr">
        <is>
          <t>IP20</t>
        </is>
      </c>
      <c r="N3841">
        <f>IF(ISERR(FIND("DECOUPE",Tableau1[[#This Row],[DESIGNATION]])),"","NEED REF")</f>
        <v/>
      </c>
    </row>
    <row r="3842">
      <c r="B3842" t="n">
        <v>34410163</v>
      </c>
      <c r="C3842" s="2" t="n">
        <v>44578</v>
      </c>
      <c r="D3842" t="inlineStr">
        <is>
          <t>SPEC</t>
        </is>
      </c>
      <c r="E3842" t="inlineStr">
        <is>
          <t>PLA PROTECTION PLASTIQUE NSX630</t>
        </is>
      </c>
      <c r="F3842" t="inlineStr">
        <is>
          <t>MBx 450kW</t>
        </is>
      </c>
      <c r="G3842" t="inlineStr">
        <is>
          <t>TOUTES</t>
        </is>
      </c>
      <c r="H3842" t="inlineStr">
        <is>
          <t>BYPASS</t>
        </is>
      </c>
      <c r="J3842" t="inlineStr">
        <is>
          <t>MATRION</t>
        </is>
      </c>
      <c r="K3842" t="inlineStr">
        <is>
          <t>PLASTIQUE</t>
        </is>
      </c>
      <c r="L3842">
        <f>_xlfn.XLOOKUP(Tableau1[[#This Row],[TYPE DE PIECE]],Tableau4[MATIERE],Tableau4[SHORT TYPE],"",0,1)</f>
        <v/>
      </c>
      <c r="M3842" t="inlineStr">
        <is>
          <t>IP00</t>
        </is>
      </c>
      <c r="N3842">
        <f>IF(ISERR(FIND("DECOUPE",Tableau1[[#This Row],[DESIGNATION]])),"","NEED REF")</f>
        <v/>
      </c>
    </row>
    <row r="3843">
      <c r="B3843" t="n">
        <v>34410162</v>
      </c>
      <c r="C3843" s="2" t="n">
        <v>44578</v>
      </c>
      <c r="D3843" t="inlineStr">
        <is>
          <t>SPEC</t>
        </is>
      </c>
      <c r="E3843" t="inlineStr">
        <is>
          <t>SMT EQUERRE SUPPORT PROTECTION NSX</t>
        </is>
      </c>
      <c r="F3843" t="inlineStr">
        <is>
          <t>MBx 450kW</t>
        </is>
      </c>
      <c r="G3843" t="inlineStr">
        <is>
          <t>TOUTES</t>
        </is>
      </c>
      <c r="H3843" t="inlineStr">
        <is>
          <t>BYPASS</t>
        </is>
      </c>
      <c r="J3843" t="inlineStr">
        <is>
          <t>MATRION</t>
        </is>
      </c>
      <c r="K3843" t="inlineStr">
        <is>
          <t>METAL</t>
        </is>
      </c>
      <c r="L3843">
        <f>_xlfn.XLOOKUP(Tableau1[[#This Row],[TYPE DE PIECE]],Tableau4[MATIERE],Tableau4[SHORT TYPE],"",0,1)</f>
        <v/>
      </c>
      <c r="M3843" t="inlineStr">
        <is>
          <t>IP00</t>
        </is>
      </c>
      <c r="N3843">
        <f>IF(ISERR(FIND("DECOUPE",Tableau1[[#This Row],[DESIGNATION]])),"","NEED REF")</f>
        <v/>
      </c>
    </row>
    <row r="3844">
      <c r="B3844" t="n">
        <v>34410161</v>
      </c>
      <c r="C3844" s="2" t="n">
        <v>44578</v>
      </c>
      <c r="D3844" t="inlineStr">
        <is>
          <t>SPEC</t>
        </is>
      </c>
      <c r="E3844" t="inlineStr">
        <is>
          <t>SMT PLATINE BYPASS NSX630</t>
        </is>
      </c>
      <c r="F3844" t="inlineStr">
        <is>
          <t>MBx 450kW</t>
        </is>
      </c>
      <c r="G3844" t="inlineStr">
        <is>
          <t>TOUTES</t>
        </is>
      </c>
      <c r="H3844" t="inlineStr">
        <is>
          <t>BYPASS</t>
        </is>
      </c>
      <c r="J3844" t="inlineStr">
        <is>
          <t>MATRION</t>
        </is>
      </c>
      <c r="K3844" t="inlineStr">
        <is>
          <t>METAL</t>
        </is>
      </c>
      <c r="L3844">
        <f>_xlfn.XLOOKUP(Tableau1[[#This Row],[TYPE DE PIECE]],Tableau4[MATIERE],Tableau4[SHORT TYPE],"",0,1)</f>
        <v/>
      </c>
      <c r="N3844">
        <f>IF(ISERR(FIND("DECOUPE",Tableau1[[#This Row],[DESIGNATION]])),"","NEED REF")</f>
        <v/>
      </c>
    </row>
    <row r="3845">
      <c r="B3845" t="n">
        <v>34410160</v>
      </c>
      <c r="C3845" s="2" t="n">
        <v>44578</v>
      </c>
      <c r="D3845" t="inlineStr">
        <is>
          <t>SPEC</t>
        </is>
      </c>
      <c r="E3845" t="inlineStr">
        <is>
          <t>COP LIAISON 45° NSX630</t>
        </is>
      </c>
      <c r="F3845" t="inlineStr">
        <is>
          <t>MBx 450kW</t>
        </is>
      </c>
      <c r="G3845" t="inlineStr">
        <is>
          <t>TOUTES</t>
        </is>
      </c>
      <c r="H3845" t="inlineStr">
        <is>
          <t>BYPASS</t>
        </is>
      </c>
      <c r="J3845" t="inlineStr">
        <is>
          <t>MATRION</t>
        </is>
      </c>
      <c r="K3845" t="inlineStr">
        <is>
          <t>CUIVRE</t>
        </is>
      </c>
      <c r="L3845">
        <f>_xlfn.XLOOKUP(Tableau1[[#This Row],[TYPE DE PIECE]],Tableau4[MATIERE],Tableau4[SHORT TYPE],"",0,1)</f>
        <v/>
      </c>
      <c r="N3845">
        <f>IF(ISERR(FIND("DECOUPE",Tableau1[[#This Row],[DESIGNATION]])),"","NEED REF")</f>
        <v/>
      </c>
    </row>
    <row r="3846">
      <c r="B3846" t="n">
        <v>34410159</v>
      </c>
      <c r="C3846" s="2" t="n">
        <v>44578</v>
      </c>
      <c r="D3846" t="inlineStr">
        <is>
          <t>SPEC</t>
        </is>
      </c>
      <c r="F3846" t="inlineStr">
        <is>
          <t>MBx 450kW</t>
        </is>
      </c>
      <c r="G3846" t="inlineStr">
        <is>
          <t>TOUTES</t>
        </is>
      </c>
      <c r="H3846" t="inlineStr">
        <is>
          <t>BYPASS</t>
        </is>
      </c>
      <c r="J3846" t="inlineStr">
        <is>
          <t>MATRION</t>
        </is>
      </c>
      <c r="K3846" t="inlineStr">
        <is>
          <t>CUIVRE</t>
        </is>
      </c>
      <c r="L3846">
        <f>_xlfn.XLOOKUP(Tableau1[[#This Row],[TYPE DE PIECE]],Tableau4[MATIERE],Tableau4[SHORT TYPE],"",0,1)</f>
        <v/>
      </c>
      <c r="N3846">
        <f>IF(ISERR(FIND("DECOUPE",Tableau1[[#This Row],[DESIGNATION]])),"","NEED REF")</f>
        <v/>
      </c>
    </row>
    <row r="3847">
      <c r="B3847" t="n">
        <v>34410158</v>
      </c>
      <c r="C3847" s="2" t="n">
        <v>44578</v>
      </c>
      <c r="D3847" t="inlineStr">
        <is>
          <t>SPEC</t>
        </is>
      </c>
      <c r="E3847" t="inlineStr">
        <is>
          <t>COP LIAISON DROITE NSX630</t>
        </is>
      </c>
      <c r="F3847" t="inlineStr">
        <is>
          <t>MBx 450kW</t>
        </is>
      </c>
      <c r="G3847" t="inlineStr">
        <is>
          <t>TOUTES</t>
        </is>
      </c>
      <c r="H3847" t="inlineStr">
        <is>
          <t>BYPASS</t>
        </is>
      </c>
      <c r="J3847" t="inlineStr">
        <is>
          <t>MATRION</t>
        </is>
      </c>
      <c r="K3847" t="inlineStr">
        <is>
          <t>CUIVRE</t>
        </is>
      </c>
      <c r="L3847">
        <f>_xlfn.XLOOKUP(Tableau1[[#This Row],[TYPE DE PIECE]],Tableau4[MATIERE],Tableau4[SHORT TYPE],"",0,1)</f>
        <v/>
      </c>
      <c r="N3847">
        <f>IF(ISERR(FIND("DECOUPE",Tableau1[[#This Row],[DESIGNATION]])),"","NEED REF")</f>
        <v/>
      </c>
    </row>
    <row r="3848">
      <c r="B3848" t="n">
        <v>34410157</v>
      </c>
      <c r="C3848" s="2" t="n">
        <v>44578</v>
      </c>
      <c r="D3848" t="inlineStr">
        <is>
          <t>SPEC</t>
        </is>
      </c>
      <c r="E3848" t="inlineStr">
        <is>
          <t>PLA ECRAN PLASTRON</t>
        </is>
      </c>
      <c r="F3848" t="inlineStr">
        <is>
          <t>=S= POLOGNE</t>
        </is>
      </c>
      <c r="G3848" t="inlineStr">
        <is>
          <t>E3S</t>
        </is>
      </c>
      <c r="H3848" t="inlineStr">
        <is>
          <t>REGEN</t>
        </is>
      </c>
      <c r="J3848" t="inlineStr">
        <is>
          <t>JAWORSKI</t>
        </is>
      </c>
      <c r="K3848" t="inlineStr">
        <is>
          <t>PLASTIQUE</t>
        </is>
      </c>
      <c r="L3848">
        <f>_xlfn.XLOOKUP(Tableau1[[#This Row],[TYPE DE PIECE]],Tableau4[MATIERE],Tableau4[SHORT TYPE],"",0,1)</f>
        <v/>
      </c>
      <c r="N3848">
        <f>IF(ISERR(FIND("DECOUPE",Tableau1[[#This Row],[DESIGNATION]])),"","NEED REF")</f>
        <v/>
      </c>
    </row>
    <row r="3849">
      <c r="B3849" t="n">
        <v>34410156</v>
      </c>
      <c r="C3849" s="2" t="n">
        <v>44578</v>
      </c>
      <c r="D3849" t="inlineStr">
        <is>
          <t>SPEC</t>
        </is>
      </c>
      <c r="E3849" t="inlineStr">
        <is>
          <t>SMT PLASTRON REGEN 250A</t>
        </is>
      </c>
      <c r="F3849" t="inlineStr">
        <is>
          <t>=S= POLOGNE</t>
        </is>
      </c>
      <c r="G3849" t="inlineStr">
        <is>
          <t>E3S</t>
        </is>
      </c>
      <c r="H3849" t="inlineStr">
        <is>
          <t>REGEN</t>
        </is>
      </c>
      <c r="J3849" t="inlineStr">
        <is>
          <t>JAWORSKI</t>
        </is>
      </c>
      <c r="K3849" t="inlineStr">
        <is>
          <t>METAL</t>
        </is>
      </c>
      <c r="L3849">
        <f>_xlfn.XLOOKUP(Tableau1[[#This Row],[TYPE DE PIECE]],Tableau4[MATIERE],Tableau4[SHORT TYPE],"",0,1)</f>
        <v/>
      </c>
      <c r="N3849">
        <f>IF(ISERR(FIND("DECOUPE",Tableau1[[#This Row],[DESIGNATION]])),"","NEED REF")</f>
        <v/>
      </c>
    </row>
    <row r="3850">
      <c r="B3850" t="n">
        <v>34410155</v>
      </c>
      <c r="C3850" s="2" t="n">
        <v>44578</v>
      </c>
      <c r="D3850" t="inlineStr">
        <is>
          <t>SPEC</t>
        </is>
      </c>
      <c r="E3850" t="inlineStr">
        <is>
          <t>SMT SUPPORT CARTE SY588-C</t>
        </is>
      </c>
      <c r="F3850" t="inlineStr">
        <is>
          <t>=S= POLOGNE</t>
        </is>
      </c>
      <c r="G3850" t="inlineStr">
        <is>
          <t>E3S</t>
        </is>
      </c>
      <c r="H3850" t="inlineStr">
        <is>
          <t>REGEN</t>
        </is>
      </c>
      <c r="J3850" t="inlineStr">
        <is>
          <t>JAWORSKI</t>
        </is>
      </c>
      <c r="K3850" t="inlineStr">
        <is>
          <t>METAL</t>
        </is>
      </c>
      <c r="L3850">
        <f>_xlfn.XLOOKUP(Tableau1[[#This Row],[TYPE DE PIECE]],Tableau4[MATIERE],Tableau4[SHORT TYPE],"",0,1)</f>
        <v/>
      </c>
      <c r="N3850">
        <f>IF(ISERR(FIND("DECOUPE",Tableau1[[#This Row],[DESIGNATION]])),"","NEED REF")</f>
        <v/>
      </c>
    </row>
    <row r="3851">
      <c r="B3851" t="n">
        <v>34410154</v>
      </c>
      <c r="C3851" s="2" t="n">
        <v>44578</v>
      </c>
      <c r="D3851" t="inlineStr">
        <is>
          <t>SPEC</t>
        </is>
      </c>
      <c r="E3851" t="inlineStr">
        <is>
          <t>SMT SUPPORT PLASTRON</t>
        </is>
      </c>
      <c r="F3851" t="inlineStr">
        <is>
          <t>=S= POLOGNE</t>
        </is>
      </c>
      <c r="G3851" t="inlineStr">
        <is>
          <t>E3S</t>
        </is>
      </c>
      <c r="H3851" t="inlineStr">
        <is>
          <t>REGEN</t>
        </is>
      </c>
      <c r="J3851" t="inlineStr">
        <is>
          <t>JAWORSKI</t>
        </is>
      </c>
      <c r="K3851" t="inlineStr">
        <is>
          <t>METAL</t>
        </is>
      </c>
      <c r="L3851">
        <f>_xlfn.XLOOKUP(Tableau1[[#This Row],[TYPE DE PIECE]],Tableau4[MATIERE],Tableau4[SHORT TYPE],"",0,1)</f>
        <v/>
      </c>
      <c r="N3851">
        <f>IF(ISERR(FIND("DECOUPE",Tableau1[[#This Row],[DESIGNATION]])),"","NEED REF")</f>
        <v/>
      </c>
    </row>
    <row r="3852">
      <c r="B3852" t="n">
        <v>34410153</v>
      </c>
      <c r="C3852" s="2" t="n">
        <v>44578</v>
      </c>
      <c r="D3852" t="inlineStr">
        <is>
          <t>SPEC</t>
        </is>
      </c>
      <c r="E3852" t="inlineStr">
        <is>
          <t>SMT SUPPORT INS250 + BORNES</t>
        </is>
      </c>
      <c r="F3852" t="inlineStr">
        <is>
          <t>=S= POLOGNE</t>
        </is>
      </c>
      <c r="G3852" t="inlineStr">
        <is>
          <t>E3S</t>
        </is>
      </c>
      <c r="H3852" t="inlineStr">
        <is>
          <t>REGEN</t>
        </is>
      </c>
      <c r="J3852" t="inlineStr">
        <is>
          <t>JAWORSKI</t>
        </is>
      </c>
      <c r="K3852" t="inlineStr">
        <is>
          <t>METAL</t>
        </is>
      </c>
      <c r="L3852">
        <f>_xlfn.XLOOKUP(Tableau1[[#This Row],[TYPE DE PIECE]],Tableau4[MATIERE],Tableau4[SHORT TYPE],"",0,1)</f>
        <v/>
      </c>
      <c r="N3852">
        <f>IF(ISERR(FIND("DECOUPE",Tableau1[[#This Row],[DESIGNATION]])),"","NEED REF")</f>
        <v/>
      </c>
    </row>
    <row r="3853">
      <c r="B3853" t="n">
        <v>34410152</v>
      </c>
      <c r="C3853" s="2" t="n">
        <v>44578</v>
      </c>
      <c r="D3853" t="inlineStr">
        <is>
          <t>SPEC</t>
        </is>
      </c>
      <c r="E3853" t="inlineStr">
        <is>
          <t>PLA BARREAU ISOLANT</t>
        </is>
      </c>
      <c r="F3853" t="inlineStr">
        <is>
          <t>=S= POLOGNE</t>
        </is>
      </c>
      <c r="G3853" t="inlineStr">
        <is>
          <t>E3S</t>
        </is>
      </c>
      <c r="H3853" t="inlineStr">
        <is>
          <t>REGEN</t>
        </is>
      </c>
      <c r="J3853" t="inlineStr">
        <is>
          <t>JAWORSKI</t>
        </is>
      </c>
      <c r="K3853" t="inlineStr">
        <is>
          <t>PLASTIQUE</t>
        </is>
      </c>
      <c r="L3853">
        <f>_xlfn.XLOOKUP(Tableau1[[#This Row],[TYPE DE PIECE]],Tableau4[MATIERE],Tableau4[SHORT TYPE],"",0,1)</f>
        <v/>
      </c>
      <c r="N3853">
        <f>IF(ISERR(FIND("DECOUPE",Tableau1[[#This Row],[DESIGNATION]])),"","NEED REF")</f>
        <v/>
      </c>
    </row>
    <row r="3854">
      <c r="B3854" t="n">
        <v>34410151</v>
      </c>
      <c r="C3854" s="2" t="n">
        <v>44578</v>
      </c>
      <c r="D3854" t="inlineStr">
        <is>
          <t>SPEC</t>
        </is>
      </c>
      <c r="E3854" t="inlineStr">
        <is>
          <t>SMT SUPPORT CUIVRE CS</t>
        </is>
      </c>
      <c r="F3854" t="inlineStr">
        <is>
          <t>=S= POLOGNE</t>
        </is>
      </c>
      <c r="G3854" t="inlineStr">
        <is>
          <t>E3S</t>
        </is>
      </c>
      <c r="H3854" t="inlineStr">
        <is>
          <t>REGEN</t>
        </is>
      </c>
      <c r="J3854" t="inlineStr">
        <is>
          <t>JAWORSKI</t>
        </is>
      </c>
      <c r="K3854" t="inlineStr">
        <is>
          <t>METAL</t>
        </is>
      </c>
      <c r="L3854">
        <f>_xlfn.XLOOKUP(Tableau1[[#This Row],[TYPE DE PIECE]],Tableau4[MATIERE],Tableau4[SHORT TYPE],"",0,1)</f>
        <v/>
      </c>
      <c r="N3854">
        <f>IF(ISERR(FIND("DECOUPE",Tableau1[[#This Row],[DESIGNATION]])),"","NEED REF")</f>
        <v/>
      </c>
    </row>
    <row r="3855">
      <c r="B3855" t="n">
        <v>34410150</v>
      </c>
      <c r="C3855" s="2" t="n">
        <v>44578</v>
      </c>
      <c r="D3855" t="inlineStr">
        <is>
          <t>SPEC</t>
        </is>
      </c>
      <c r="E3855" t="inlineStr">
        <is>
          <t>COP CONNEXION CS - BANK</t>
        </is>
      </c>
      <c r="F3855" t="inlineStr">
        <is>
          <t>=S= POLOGNE</t>
        </is>
      </c>
      <c r="G3855" t="inlineStr">
        <is>
          <t>E3S</t>
        </is>
      </c>
      <c r="H3855" t="inlineStr">
        <is>
          <t>REGEN</t>
        </is>
      </c>
      <c r="J3855" t="inlineStr">
        <is>
          <t>JAWORSKI</t>
        </is>
      </c>
      <c r="K3855" t="inlineStr">
        <is>
          <t>CUIVRE</t>
        </is>
      </c>
      <c r="L3855">
        <f>_xlfn.XLOOKUP(Tableau1[[#This Row],[TYPE DE PIECE]],Tableau4[MATIERE],Tableau4[SHORT TYPE],"",0,1)</f>
        <v/>
      </c>
      <c r="N3855">
        <f>IF(ISERR(FIND("DECOUPE",Tableau1[[#This Row],[DESIGNATION]])),"","NEED REF")</f>
        <v/>
      </c>
    </row>
    <row r="3856">
      <c r="B3856" t="n">
        <v>34410149</v>
      </c>
      <c r="C3856" s="2" t="n">
        <v>44578</v>
      </c>
      <c r="D3856" t="inlineStr">
        <is>
          <t>SPEC</t>
        </is>
      </c>
      <c r="E3856" t="inlineStr">
        <is>
          <t>COP CONNEXION CS - INTER</t>
        </is>
      </c>
      <c r="F3856" t="inlineStr">
        <is>
          <t>=S= POLOGNE</t>
        </is>
      </c>
      <c r="G3856" t="inlineStr">
        <is>
          <t>E3S</t>
        </is>
      </c>
      <c r="H3856" t="inlineStr">
        <is>
          <t>REGEN</t>
        </is>
      </c>
      <c r="J3856" t="inlineStr">
        <is>
          <t>JAWORSKI</t>
        </is>
      </c>
      <c r="K3856" t="inlineStr">
        <is>
          <t>CUIVRE</t>
        </is>
      </c>
      <c r="L3856">
        <f>_xlfn.XLOOKUP(Tableau1[[#This Row],[TYPE DE PIECE]],Tableau4[MATIERE],Tableau4[SHORT TYPE],"",0,1)</f>
        <v/>
      </c>
      <c r="N3856">
        <f>IF(ISERR(FIND("DECOUPE",Tableau1[[#This Row],[DESIGNATION]])),"","NEED REF")</f>
        <v/>
      </c>
    </row>
    <row r="3857">
      <c r="B3857" t="n">
        <v>34410148</v>
      </c>
      <c r="C3857" s="2" t="n">
        <v>44578</v>
      </c>
      <c r="D3857" t="inlineStr">
        <is>
          <t>SPEC</t>
        </is>
      </c>
      <c r="E3857" t="inlineStr">
        <is>
          <t>SMT EXTRACTION AIR CS</t>
        </is>
      </c>
      <c r="F3857" t="inlineStr">
        <is>
          <t>=S= POLOGNE</t>
        </is>
      </c>
      <c r="G3857" t="inlineStr">
        <is>
          <t>E3S</t>
        </is>
      </c>
      <c r="H3857" t="inlineStr">
        <is>
          <t>REGEN</t>
        </is>
      </c>
      <c r="J3857" t="inlineStr">
        <is>
          <t>JAWORSKI</t>
        </is>
      </c>
      <c r="K3857" t="inlineStr">
        <is>
          <t>METAL</t>
        </is>
      </c>
      <c r="L3857">
        <f>_xlfn.XLOOKUP(Tableau1[[#This Row],[TYPE DE PIECE]],Tableau4[MATIERE],Tableau4[SHORT TYPE],"",0,1)</f>
        <v/>
      </c>
      <c r="N3857">
        <f>IF(ISERR(FIND("DECOUPE",Tableau1[[#This Row],[DESIGNATION]])),"","NEED REF")</f>
        <v/>
      </c>
    </row>
    <row r="3858">
      <c r="B3858" t="n">
        <v>34410147</v>
      </c>
      <c r="C3858" s="2" t="n">
        <v>44578</v>
      </c>
      <c r="D3858" t="inlineStr">
        <is>
          <t>SPEC</t>
        </is>
      </c>
      <c r="E3858" t="inlineStr">
        <is>
          <t>PLA SUPPORT CARTE CS</t>
        </is>
      </c>
      <c r="F3858" t="inlineStr">
        <is>
          <t>=S= POLOGNE</t>
        </is>
      </c>
      <c r="G3858" t="inlineStr">
        <is>
          <t>E3S</t>
        </is>
      </c>
      <c r="H3858" t="inlineStr">
        <is>
          <t>REGEN</t>
        </is>
      </c>
      <c r="J3858" t="inlineStr">
        <is>
          <t>JAWORSKI</t>
        </is>
      </c>
      <c r="K3858" t="inlineStr">
        <is>
          <t>PLASTIQUE</t>
        </is>
      </c>
      <c r="L3858">
        <f>_xlfn.XLOOKUP(Tableau1[[#This Row],[TYPE DE PIECE]],Tableau4[MATIERE],Tableau4[SHORT TYPE],"",0,1)</f>
        <v/>
      </c>
      <c r="N3858">
        <f>IF(ISERR(FIND("DECOUPE",Tableau1[[#This Row],[DESIGNATION]])),"","NEED REF")</f>
        <v/>
      </c>
    </row>
    <row r="3859">
      <c r="B3859" t="n">
        <v>34410146</v>
      </c>
      <c r="C3859" s="2" t="n">
        <v>44578</v>
      </c>
      <c r="D3859" t="inlineStr">
        <is>
          <t>SPEC</t>
        </is>
      </c>
      <c r="E3859" t="inlineStr">
        <is>
          <t>SMT SUPPORT CS 250A</t>
        </is>
      </c>
      <c r="F3859" t="inlineStr">
        <is>
          <t>=S= POLOGNE</t>
        </is>
      </c>
      <c r="G3859" t="inlineStr">
        <is>
          <t>E3S</t>
        </is>
      </c>
      <c r="H3859" t="inlineStr">
        <is>
          <t>REGEN</t>
        </is>
      </c>
      <c r="J3859" t="inlineStr">
        <is>
          <t>JAWORSKI</t>
        </is>
      </c>
      <c r="K3859" t="inlineStr">
        <is>
          <t>METAL</t>
        </is>
      </c>
      <c r="L3859">
        <f>_xlfn.XLOOKUP(Tableau1[[#This Row],[TYPE DE PIECE]],Tableau4[MATIERE],Tableau4[SHORT TYPE],"",0,1)</f>
        <v/>
      </c>
      <c r="N3859">
        <f>IF(ISERR(FIND("DECOUPE",Tableau1[[#This Row],[DESIGNATION]])),"","NEED REF")</f>
        <v/>
      </c>
    </row>
    <row r="3860">
      <c r="B3860" t="n">
        <v>34410145</v>
      </c>
      <c r="C3860" s="2" t="n">
        <v>44578</v>
      </c>
      <c r="D3860" t="inlineStr">
        <is>
          <t>SPEC</t>
        </is>
      </c>
      <c r="E3860" t="inlineStr">
        <is>
          <t>SMT PLATINE DE FOND</t>
        </is>
      </c>
      <c r="F3860" t="inlineStr">
        <is>
          <t>=S= POLOGNE</t>
        </is>
      </c>
      <c r="G3860" t="inlineStr">
        <is>
          <t>E3S</t>
        </is>
      </c>
      <c r="H3860" t="inlineStr">
        <is>
          <t>REGEN</t>
        </is>
      </c>
      <c r="J3860" t="inlineStr">
        <is>
          <t>JAWORSKI</t>
        </is>
      </c>
      <c r="K3860" t="inlineStr">
        <is>
          <t>METAL</t>
        </is>
      </c>
      <c r="L3860">
        <f>_xlfn.XLOOKUP(Tableau1[[#This Row],[TYPE DE PIECE]],Tableau4[MATIERE],Tableau4[SHORT TYPE],"",0,1)</f>
        <v/>
      </c>
      <c r="N3860">
        <f>IF(ISERR(FIND("DECOUPE",Tableau1[[#This Row],[DESIGNATION]])),"","NEED REF")</f>
        <v/>
      </c>
    </row>
    <row r="3861">
      <c r="B3861" t="n">
        <v>34410144</v>
      </c>
      <c r="C3861" s="2" t="n">
        <v>44574</v>
      </c>
      <c r="D3861" t="inlineStr">
        <is>
          <t>SPEC</t>
        </is>
      </c>
      <c r="E3861" t="inlineStr">
        <is>
          <t>SMT ROOF LIP GVEAC7 LG1000mm</t>
        </is>
      </c>
      <c r="J3861" t="inlineStr">
        <is>
          <t>BERNARDEAU</t>
        </is>
      </c>
      <c r="K3861" t="inlineStr">
        <is>
          <t>metal</t>
        </is>
      </c>
      <c r="L3861">
        <f>_xlfn.XLOOKUP(Tableau1[[#This Row],[TYPE DE PIECE]],Tableau4[MATIERE],Tableau4[SHORT TYPE],"",0,1)</f>
        <v/>
      </c>
      <c r="N3861">
        <f>IF(ISERR(FIND("DECOUPE",Tableau1[[#This Row],[DESIGNATION]])),"","NEED REF")</f>
        <v/>
      </c>
    </row>
    <row r="3862">
      <c r="B3862" t="n">
        <v>34410143</v>
      </c>
      <c r="C3862" s="2" t="n">
        <v>44574</v>
      </c>
      <c r="D3862" t="inlineStr">
        <is>
          <t>SPEC</t>
        </is>
      </c>
      <c r="E3862" t="inlineStr">
        <is>
          <t>SMT 1_SUPPORT 04678 - L650MM</t>
        </is>
      </c>
      <c r="J3862" t="inlineStr">
        <is>
          <t>BERNARDEAU</t>
        </is>
      </c>
      <c r="K3862" t="inlineStr">
        <is>
          <t>metal</t>
        </is>
      </c>
      <c r="L3862">
        <f>_xlfn.XLOOKUP(Tableau1[[#This Row],[TYPE DE PIECE]],Tableau4[MATIERE],Tableau4[SHORT TYPE],"",0,1)</f>
        <v/>
      </c>
      <c r="N3862">
        <f>IF(ISERR(FIND("DECOUPE",Tableau1[[#This Row],[DESIGNATION]])),"","NEED REF")</f>
        <v/>
      </c>
    </row>
    <row r="3863">
      <c r="B3863" t="n">
        <v>34410142</v>
      </c>
      <c r="C3863" s="2" t="n">
        <v>44574</v>
      </c>
      <c r="D3863" t="inlineStr">
        <is>
          <t>SPEC</t>
        </is>
      </c>
      <c r="E3863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63" t="inlineStr">
        <is>
          <t>SBC</t>
        </is>
      </c>
      <c r="G3863" t="inlineStr">
        <is>
          <t>GVX</t>
        </is>
      </c>
      <c r="H3863" t="inlineStr">
        <is>
          <t>BYPASS</t>
        </is>
      </c>
      <c r="J3863" t="inlineStr">
        <is>
          <t>BERNARDEAU</t>
        </is>
      </c>
      <c r="K3863" t="inlineStr">
        <is>
          <t>CUIVRE</t>
        </is>
      </c>
      <c r="L3863">
        <f>_xlfn.XLOOKUP(Tableau1[[#This Row],[TYPE DE PIECE]],Tableau4[MATIERE],Tableau4[SHORT TYPE],"",0,1)</f>
        <v/>
      </c>
      <c r="N3863">
        <f>IF(ISERR(FIND("DECOUPE",Tableau1[[#This Row],[DESIGNATION]])),"","NEED REF")</f>
        <v/>
      </c>
    </row>
    <row r="3864">
      <c r="B3864" t="n">
        <v>34410141</v>
      </c>
      <c r="C3864" s="2" t="n">
        <v>44574</v>
      </c>
      <c r="D3864" t="inlineStr">
        <is>
          <t>SPEC</t>
        </is>
      </c>
      <c r="E3864" t="inlineStr">
        <is>
          <t>SMT CALE SUPPORT MTZ2</t>
        </is>
      </c>
      <c r="J3864" t="inlineStr">
        <is>
          <t>BERNARDEAU</t>
        </is>
      </c>
      <c r="K3864" t="inlineStr">
        <is>
          <t>metal</t>
        </is>
      </c>
      <c r="L3864">
        <f>_xlfn.XLOOKUP(Tableau1[[#This Row],[TYPE DE PIECE]],Tableau4[MATIERE],Tableau4[SHORT TYPE],"",0,1)</f>
        <v/>
      </c>
      <c r="N3864">
        <f>IF(ISERR(FIND("DECOUPE",Tableau1[[#This Row],[DESIGNATION]])),"","NEED REF")</f>
        <v/>
      </c>
    </row>
    <row r="3865">
      <c r="B3865" t="n">
        <v>34410140</v>
      </c>
      <c r="C3865" s="2" t="n">
        <v>44573</v>
      </c>
      <c r="D3865" t="inlineStr">
        <is>
          <t>SPEC</t>
        </is>
      </c>
      <c r="E3865" t="inlineStr">
        <is>
          <t>TOIT PLEIN 700x1000</t>
        </is>
      </c>
      <c r="J3865" t="inlineStr">
        <is>
          <t>BERNARDEAU</t>
        </is>
      </c>
      <c r="K3865" t="inlineStr">
        <is>
          <t>metal</t>
        </is>
      </c>
      <c r="L3865">
        <f>_xlfn.XLOOKUP(Tableau1[[#This Row],[TYPE DE PIECE]],Tableau4[MATIERE],Tableau4[SHORT TYPE],"",0,1)</f>
        <v/>
      </c>
      <c r="N3865">
        <f>IF(ISERR(FIND("DECOUPE",Tableau1[[#This Row],[DESIGNATION]])),"","NEED REF")</f>
        <v/>
      </c>
    </row>
    <row r="3866">
      <c r="B3866" t="n">
        <v>34410139</v>
      </c>
      <c r="C3866" s="2" t="n">
        <v>44573</v>
      </c>
      <c r="D3866" t="inlineStr">
        <is>
          <t>SPEC</t>
        </is>
      </c>
      <c r="E3866" t="inlineStr">
        <is>
          <t>SUPPORT PE</t>
        </is>
      </c>
      <c r="J3866" t="inlineStr">
        <is>
          <t>BERNARDEAU</t>
        </is>
      </c>
      <c r="K3866" t="inlineStr">
        <is>
          <t>metal</t>
        </is>
      </c>
      <c r="L3866">
        <f>_xlfn.XLOOKUP(Tableau1[[#This Row],[TYPE DE PIECE]],Tableau4[MATIERE],Tableau4[SHORT TYPE],"",0,1)</f>
        <v/>
      </c>
      <c r="N3866">
        <f>IF(ISERR(FIND("DECOUPE",Tableau1[[#This Row],[DESIGNATION]])),"","NEED REF")</f>
        <v/>
      </c>
    </row>
    <row r="3867">
      <c r="B3867" t="n">
        <v>34410138</v>
      </c>
      <c r="C3867" s="2" t="n">
        <v>44573</v>
      </c>
      <c r="D3867" t="inlineStr">
        <is>
          <t>SPEC</t>
        </is>
      </c>
      <c r="E3867" t="inlineStr">
        <is>
          <t>CX RACCORDEMENT PE</t>
        </is>
      </c>
      <c r="J3867" t="inlineStr">
        <is>
          <t>BERNARDEAU</t>
        </is>
      </c>
      <c r="K3867" t="inlineStr">
        <is>
          <t>CUIVRE</t>
        </is>
      </c>
      <c r="L3867">
        <f>_xlfn.XLOOKUP(Tableau1[[#This Row],[TYPE DE PIECE]],Tableau4[MATIERE],Tableau4[SHORT TYPE],"",0,1)</f>
        <v/>
      </c>
      <c r="N3867">
        <f>IF(ISERR(FIND("DECOUPE",Tableau1[[#This Row],[DESIGNATION]])),"","NEED REF")</f>
        <v/>
      </c>
    </row>
    <row r="3868">
      <c r="B3868" t="n">
        <v>34410137</v>
      </c>
      <c r="C3868" s="2" t="n">
        <v>44573</v>
      </c>
      <c r="D3868" t="inlineStr">
        <is>
          <t>SPEC</t>
        </is>
      </c>
      <c r="E3868" t="inlineStr">
        <is>
          <t>DECOUPE PROFIL NSYCNT40</t>
        </is>
      </c>
      <c r="J3868" t="inlineStr">
        <is>
          <t>BERNARDEAU</t>
        </is>
      </c>
      <c r="K3868" t="inlineStr">
        <is>
          <t>ETO</t>
        </is>
      </c>
      <c r="L3868">
        <f>_xlfn.XLOOKUP(Tableau1[[#This Row],[TYPE DE PIECE]],Tableau4[MATIERE],Tableau4[SHORT TYPE],"",0,1)</f>
        <v/>
      </c>
      <c r="N3868" t="inlineStr">
        <is>
          <t>NSYCNT40</t>
        </is>
      </c>
    </row>
    <row r="3869">
      <c r="B3869" t="n">
        <v>34410136</v>
      </c>
      <c r="C3869" s="2" t="n">
        <v>44573</v>
      </c>
      <c r="D3869" t="inlineStr">
        <is>
          <t>SPEC</t>
        </is>
      </c>
      <c r="E3869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69" t="inlineStr">
        <is>
          <t>SBC</t>
        </is>
      </c>
      <c r="G3869" t="inlineStr">
        <is>
          <t>GVX</t>
        </is>
      </c>
      <c r="H3869" t="inlineStr">
        <is>
          <t>BYPASS</t>
        </is>
      </c>
      <c r="J3869" t="inlineStr">
        <is>
          <t>BERNARDEAU</t>
        </is>
      </c>
      <c r="K3869" t="inlineStr">
        <is>
          <t>CUIVRE</t>
        </is>
      </c>
      <c r="L3869">
        <f>_xlfn.XLOOKUP(Tableau1[[#This Row],[TYPE DE PIECE]],Tableau4[MATIERE],Tableau4[SHORT TYPE],"",0,1)</f>
        <v/>
      </c>
      <c r="N3869">
        <f>IF(ISERR(FIND("DECOUPE",Tableau1[[#This Row],[DESIGNATION]])),"","NEED REF")</f>
        <v/>
      </c>
    </row>
    <row r="3870">
      <c r="B3870" t="n">
        <v>34410135</v>
      </c>
      <c r="C3870" s="2" t="n">
        <v>44572</v>
      </c>
      <c r="D3870" t="inlineStr">
        <is>
          <t>SPEC</t>
        </is>
      </c>
      <c r="E3870" t="inlineStr">
        <is>
          <t>COP BARRE PE</t>
        </is>
      </c>
      <c r="J3870" t="inlineStr">
        <is>
          <t>BERNARDEAU</t>
        </is>
      </c>
      <c r="K3870" t="inlineStr">
        <is>
          <t>CUIVRE</t>
        </is>
      </c>
      <c r="L3870">
        <f>_xlfn.XLOOKUP(Tableau1[[#This Row],[TYPE DE PIECE]],Tableau4[MATIERE],Tableau4[SHORT TYPE],"",0,1)</f>
        <v/>
      </c>
      <c r="N3870">
        <f>IF(ISERR(FIND("DECOUPE",Tableau1[[#This Row],[DESIGNATION]])),"","NEED REF")</f>
        <v/>
      </c>
    </row>
    <row r="3871">
      <c r="B3871" t="n">
        <v>34410134</v>
      </c>
      <c r="C3871" s="2" t="n">
        <v>44572</v>
      </c>
      <c r="D3871" t="inlineStr">
        <is>
          <t>SPEC</t>
        </is>
      </c>
      <c r="E3871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71" t="inlineStr">
        <is>
          <t>SBC</t>
        </is>
      </c>
      <c r="G3871" t="inlineStr">
        <is>
          <t>GVX</t>
        </is>
      </c>
      <c r="H3871" t="inlineStr">
        <is>
          <t>BYPASS</t>
        </is>
      </c>
      <c r="J3871" t="inlineStr">
        <is>
          <t>BERNARDEAU</t>
        </is>
      </c>
      <c r="K3871" t="inlineStr">
        <is>
          <t>CUIVRE</t>
        </is>
      </c>
      <c r="L3871">
        <f>_xlfn.XLOOKUP(Tableau1[[#This Row],[TYPE DE PIECE]],Tableau4[MATIERE],Tableau4[SHORT TYPE],"",0,1)</f>
        <v/>
      </c>
      <c r="N3871">
        <f>IF(ISERR(FIND("DECOUPE",Tableau1[[#This Row],[DESIGNATION]])),"","NEED REF")</f>
        <v/>
      </c>
    </row>
    <row r="3872">
      <c r="B3872" t="n">
        <v>34410133</v>
      </c>
      <c r="C3872" s="2" t="n">
        <v>44571</v>
      </c>
      <c r="D3872" t="inlineStr">
        <is>
          <t>SPEC</t>
        </is>
      </c>
      <c r="E3872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72" t="inlineStr">
        <is>
          <t>SBC</t>
        </is>
      </c>
      <c r="G3872" t="inlineStr">
        <is>
          <t>GVX</t>
        </is>
      </c>
      <c r="H3872" t="inlineStr">
        <is>
          <t>BYPASS</t>
        </is>
      </c>
      <c r="J3872" t="inlineStr">
        <is>
          <t>BERNARDEAU</t>
        </is>
      </c>
      <c r="K3872" t="inlineStr">
        <is>
          <t>CUIVRE</t>
        </is>
      </c>
      <c r="L3872">
        <f>_xlfn.XLOOKUP(Tableau1[[#This Row],[TYPE DE PIECE]],Tableau4[MATIERE],Tableau4[SHORT TYPE],"",0,1)</f>
        <v/>
      </c>
      <c r="N3872">
        <f>IF(ISERR(FIND("DECOUPE",Tableau1[[#This Row],[DESIGNATION]])),"","NEED REF")</f>
        <v/>
      </c>
    </row>
    <row r="3873">
      <c r="B3873" t="n">
        <v>34410132</v>
      </c>
      <c r="C3873" s="2" t="n">
        <v>44571</v>
      </c>
      <c r="D3873" t="inlineStr">
        <is>
          <t>SPEC</t>
        </is>
      </c>
      <c r="E3873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73" t="inlineStr">
        <is>
          <t>SBC</t>
        </is>
      </c>
      <c r="G3873" t="inlineStr">
        <is>
          <t>GVX</t>
        </is>
      </c>
      <c r="H3873" t="inlineStr">
        <is>
          <t>BYPASS</t>
        </is>
      </c>
      <c r="J3873" t="inlineStr">
        <is>
          <t>BERNARDEAU</t>
        </is>
      </c>
      <c r="K3873" t="inlineStr">
        <is>
          <t>CUIVRE</t>
        </is>
      </c>
      <c r="L3873">
        <f>_xlfn.XLOOKUP(Tableau1[[#This Row],[TYPE DE PIECE]],Tableau4[MATIERE],Tableau4[SHORT TYPE],"",0,1)</f>
        <v/>
      </c>
      <c r="N3873">
        <f>IF(ISERR(FIND("DECOUPE",Tableau1[[#This Row],[DESIGNATION]])),"","NEED REF")</f>
        <v/>
      </c>
    </row>
    <row r="3874">
      <c r="B3874" t="n">
        <v>34410131</v>
      </c>
      <c r="C3874" s="2" t="n">
        <v>44571</v>
      </c>
      <c r="D3874" t="inlineStr">
        <is>
          <t>SPEC</t>
        </is>
      </c>
      <c r="E3874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74" t="inlineStr">
        <is>
          <t>SBC</t>
        </is>
      </c>
      <c r="G3874" t="inlineStr">
        <is>
          <t>GVX</t>
        </is>
      </c>
      <c r="H3874" t="inlineStr">
        <is>
          <t>BYPASS</t>
        </is>
      </c>
      <c r="J3874" t="inlineStr">
        <is>
          <t>BERNARDEAU</t>
        </is>
      </c>
      <c r="K3874" t="inlineStr">
        <is>
          <t>CUIVRE</t>
        </is>
      </c>
      <c r="L3874">
        <f>_xlfn.XLOOKUP(Tableau1[[#This Row],[TYPE DE PIECE]],Tableau4[MATIERE],Tableau4[SHORT TYPE],"",0,1)</f>
        <v/>
      </c>
      <c r="N3874">
        <f>IF(ISERR(FIND("DECOUPE",Tableau1[[#This Row],[DESIGNATION]])),"","NEED REF")</f>
        <v/>
      </c>
    </row>
    <row r="3875">
      <c r="B3875" t="n">
        <v>34410130</v>
      </c>
      <c r="C3875" s="2" t="n">
        <v>44571</v>
      </c>
      <c r="D3875" t="inlineStr">
        <is>
          <t>SPEC</t>
        </is>
      </c>
      <c r="E3875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75" t="inlineStr">
        <is>
          <t>SBC</t>
        </is>
      </c>
      <c r="G3875" t="inlineStr">
        <is>
          <t>GVX</t>
        </is>
      </c>
      <c r="H3875" t="inlineStr">
        <is>
          <t>BYPASS</t>
        </is>
      </c>
      <c r="J3875" t="inlineStr">
        <is>
          <t>BERNARDEAU</t>
        </is>
      </c>
      <c r="K3875" t="inlineStr">
        <is>
          <t>CUIVRE</t>
        </is>
      </c>
      <c r="L3875">
        <f>_xlfn.XLOOKUP(Tableau1[[#This Row],[TYPE DE PIECE]],Tableau4[MATIERE],Tableau4[SHORT TYPE],"",0,1)</f>
        <v/>
      </c>
      <c r="N3875">
        <f>IF(ISERR(FIND("DECOUPE",Tableau1[[#This Row],[DESIGNATION]])),"","NEED REF")</f>
        <v/>
      </c>
    </row>
    <row r="3876">
      <c r="B3876" t="n">
        <v>34410129</v>
      </c>
      <c r="C3876" s="2" t="n">
        <v>44571</v>
      </c>
      <c r="D3876" t="inlineStr">
        <is>
          <t>SPEC</t>
        </is>
      </c>
      <c r="E3876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76" t="inlineStr">
        <is>
          <t>SBC</t>
        </is>
      </c>
      <c r="G3876" t="inlineStr">
        <is>
          <t>GVX</t>
        </is>
      </c>
      <c r="H3876" t="inlineStr">
        <is>
          <t>BYPASS</t>
        </is>
      </c>
      <c r="J3876" t="inlineStr">
        <is>
          <t>BERNARDEAU</t>
        </is>
      </c>
      <c r="K3876" t="inlineStr">
        <is>
          <t>CUIVRE</t>
        </is>
      </c>
      <c r="L3876">
        <f>_xlfn.XLOOKUP(Tableau1[[#This Row],[TYPE DE PIECE]],Tableau4[MATIERE],Tableau4[SHORT TYPE],"",0,1)</f>
        <v/>
      </c>
      <c r="N3876">
        <f>IF(ISERR(FIND("DECOUPE",Tableau1[[#This Row],[DESIGNATION]])),"","NEED REF")</f>
        <v/>
      </c>
    </row>
    <row r="3877">
      <c r="B3877" t="n">
        <v>34410128</v>
      </c>
      <c r="C3877" s="2" t="n">
        <v>44571</v>
      </c>
      <c r="D3877" t="inlineStr">
        <is>
          <t>SPEC</t>
        </is>
      </c>
      <c r="E3877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77" t="inlineStr">
        <is>
          <t>SBC</t>
        </is>
      </c>
      <c r="G3877" t="inlineStr">
        <is>
          <t>GVX</t>
        </is>
      </c>
      <c r="H3877" t="inlineStr">
        <is>
          <t>BYPASS</t>
        </is>
      </c>
      <c r="J3877" t="inlineStr">
        <is>
          <t>BERNARDEAU</t>
        </is>
      </c>
      <c r="K3877" t="inlineStr">
        <is>
          <t>CUIVRE</t>
        </is>
      </c>
      <c r="L3877">
        <f>_xlfn.XLOOKUP(Tableau1[[#This Row],[TYPE DE PIECE]],Tableau4[MATIERE],Tableau4[SHORT TYPE],"",0,1)</f>
        <v/>
      </c>
      <c r="N3877">
        <f>IF(ISERR(FIND("DECOUPE",Tableau1[[#This Row],[DESIGNATION]])),"","NEED REF")</f>
        <v/>
      </c>
    </row>
    <row r="3878">
      <c r="B3878" t="n">
        <v>34410127</v>
      </c>
      <c r="C3878" s="2" t="n">
        <v>44571</v>
      </c>
      <c r="D3878" t="inlineStr">
        <is>
          <t>SPEC</t>
        </is>
      </c>
      <c r="E3878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78" t="inlineStr">
        <is>
          <t>SBC</t>
        </is>
      </c>
      <c r="G3878" t="inlineStr">
        <is>
          <t>GVX</t>
        </is>
      </c>
      <c r="H3878" t="inlineStr">
        <is>
          <t>BYPASS</t>
        </is>
      </c>
      <c r="J3878" t="inlineStr">
        <is>
          <t>BERNARDEAU</t>
        </is>
      </c>
      <c r="K3878" t="inlineStr">
        <is>
          <t>CUIVRE</t>
        </is>
      </c>
      <c r="L3878">
        <f>_xlfn.XLOOKUP(Tableau1[[#This Row],[TYPE DE PIECE]],Tableau4[MATIERE],Tableau4[SHORT TYPE],"",0,1)</f>
        <v/>
      </c>
      <c r="N3878">
        <f>IF(ISERR(FIND("DECOUPE",Tableau1[[#This Row],[DESIGNATION]])),"","NEED REF")</f>
        <v/>
      </c>
    </row>
    <row r="3879">
      <c r="B3879" t="n">
        <v>34410126</v>
      </c>
      <c r="C3879" s="2" t="n">
        <v>44571</v>
      </c>
      <c r="D3879" t="inlineStr">
        <is>
          <t>SPEC</t>
        </is>
      </c>
      <c r="E3879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79" t="inlineStr">
        <is>
          <t>SBC</t>
        </is>
      </c>
      <c r="G3879" t="inlineStr">
        <is>
          <t>GVX</t>
        </is>
      </c>
      <c r="H3879" t="inlineStr">
        <is>
          <t>BYPASS</t>
        </is>
      </c>
      <c r="J3879" t="inlineStr">
        <is>
          <t>BERNARDEAU</t>
        </is>
      </c>
      <c r="K3879" t="inlineStr">
        <is>
          <t>CUIVRE</t>
        </is>
      </c>
      <c r="L3879">
        <f>_xlfn.XLOOKUP(Tableau1[[#This Row],[TYPE DE PIECE]],Tableau4[MATIERE],Tableau4[SHORT TYPE],"",0,1)</f>
        <v/>
      </c>
      <c r="N3879">
        <f>IF(ISERR(FIND("DECOUPE",Tableau1[[#This Row],[DESIGNATION]])),"","NEED REF")</f>
        <v/>
      </c>
    </row>
    <row r="3880">
      <c r="B3880" t="n">
        <v>34410125</v>
      </c>
      <c r="C3880" s="2" t="n">
        <v>44571</v>
      </c>
      <c r="D3880" t="inlineStr">
        <is>
          <t>SPEC</t>
        </is>
      </c>
      <c r="E3880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80" t="inlineStr">
        <is>
          <t>SBC</t>
        </is>
      </c>
      <c r="G3880" t="inlineStr">
        <is>
          <t>GVX</t>
        </is>
      </c>
      <c r="H3880" t="inlineStr">
        <is>
          <t>BYPASS</t>
        </is>
      </c>
      <c r="J3880" t="inlineStr">
        <is>
          <t>BERNARDEAU</t>
        </is>
      </c>
      <c r="K3880" t="inlineStr">
        <is>
          <t>CUIVRE</t>
        </is>
      </c>
      <c r="L3880">
        <f>_xlfn.XLOOKUP(Tableau1[[#This Row],[TYPE DE PIECE]],Tableau4[MATIERE],Tableau4[SHORT TYPE],"",0,1)</f>
        <v/>
      </c>
      <c r="N3880">
        <f>IF(ISERR(FIND("DECOUPE",Tableau1[[#This Row],[DESIGNATION]])),"","NEED REF")</f>
        <v/>
      </c>
    </row>
    <row r="3881">
      <c r="B3881" t="n">
        <v>34410124</v>
      </c>
      <c r="C3881" s="2" t="n">
        <v>44571</v>
      </c>
      <c r="D3881" t="inlineStr">
        <is>
          <t>SPEC</t>
        </is>
      </c>
      <c r="E3881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81" t="inlineStr">
        <is>
          <t>SBC</t>
        </is>
      </c>
      <c r="G3881" t="inlineStr">
        <is>
          <t>GVX</t>
        </is>
      </c>
      <c r="H3881" t="inlineStr">
        <is>
          <t>BYPASS</t>
        </is>
      </c>
      <c r="J3881" t="inlineStr">
        <is>
          <t>BERNARDEAU</t>
        </is>
      </c>
      <c r="K3881" t="inlineStr">
        <is>
          <t>CUIVRE</t>
        </is>
      </c>
      <c r="L3881">
        <f>_xlfn.XLOOKUP(Tableau1[[#This Row],[TYPE DE PIECE]],Tableau4[MATIERE],Tableau4[SHORT TYPE],"",0,1)</f>
        <v/>
      </c>
      <c r="N3881">
        <f>IF(ISERR(FIND("DECOUPE",Tableau1[[#This Row],[DESIGNATION]])),"","NEED REF")</f>
        <v/>
      </c>
    </row>
    <row r="3882">
      <c r="B3882" t="n">
        <v>34410123</v>
      </c>
      <c r="C3882" s="2" t="n">
        <v>44571</v>
      </c>
      <c r="D3882" t="inlineStr">
        <is>
          <t>SPEC</t>
        </is>
      </c>
      <c r="E3882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82" t="inlineStr">
        <is>
          <t>SBC</t>
        </is>
      </c>
      <c r="G3882" t="inlineStr">
        <is>
          <t>GVX</t>
        </is>
      </c>
      <c r="H3882" t="inlineStr">
        <is>
          <t>BYPASS</t>
        </is>
      </c>
      <c r="J3882" t="inlineStr">
        <is>
          <t>BERNARDEAU</t>
        </is>
      </c>
      <c r="K3882" t="inlineStr">
        <is>
          <t>CUIVRE</t>
        </is>
      </c>
      <c r="L3882">
        <f>_xlfn.XLOOKUP(Tableau1[[#This Row],[TYPE DE PIECE]],Tableau4[MATIERE],Tableau4[SHORT TYPE],"",0,1)</f>
        <v/>
      </c>
      <c r="N3882">
        <f>IF(ISERR(FIND("DECOUPE",Tableau1[[#This Row],[DESIGNATION]])),"","NEED REF")</f>
        <v/>
      </c>
    </row>
    <row r="3883">
      <c r="B3883" t="n">
        <v>34410122</v>
      </c>
      <c r="C3883" s="2" t="n">
        <v>44571</v>
      </c>
      <c r="D3883" t="inlineStr">
        <is>
          <t>SPEC</t>
        </is>
      </c>
      <c r="E3883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83" t="inlineStr">
        <is>
          <t>SBC</t>
        </is>
      </c>
      <c r="G3883" t="inlineStr">
        <is>
          <t>GVX</t>
        </is>
      </c>
      <c r="H3883" t="inlineStr">
        <is>
          <t>BYPASS</t>
        </is>
      </c>
      <c r="J3883" t="inlineStr">
        <is>
          <t>BERNARDEAU</t>
        </is>
      </c>
      <c r="K3883" t="inlineStr">
        <is>
          <t>CUIVRE</t>
        </is>
      </c>
      <c r="L3883">
        <f>_xlfn.XLOOKUP(Tableau1[[#This Row],[TYPE DE PIECE]],Tableau4[MATIERE],Tableau4[SHORT TYPE],"",0,1)</f>
        <v/>
      </c>
      <c r="N3883">
        <f>IF(ISERR(FIND("DECOUPE",Tableau1[[#This Row],[DESIGNATION]])),"","NEED REF")</f>
        <v/>
      </c>
    </row>
    <row r="3884">
      <c r="B3884" t="n">
        <v>34410121</v>
      </c>
      <c r="C3884" s="2" t="n">
        <v>44571</v>
      </c>
      <c r="D3884" t="inlineStr">
        <is>
          <t>SPEC</t>
        </is>
      </c>
      <c r="E3884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84" t="inlineStr">
        <is>
          <t>SBC</t>
        </is>
      </c>
      <c r="G3884" t="inlineStr">
        <is>
          <t>GVX</t>
        </is>
      </c>
      <c r="H3884" t="inlineStr">
        <is>
          <t>BYPASS</t>
        </is>
      </c>
      <c r="J3884" t="inlineStr">
        <is>
          <t>BERNARDEAU</t>
        </is>
      </c>
      <c r="K3884" t="inlineStr">
        <is>
          <t>CUIVRE</t>
        </is>
      </c>
      <c r="L3884">
        <f>_xlfn.XLOOKUP(Tableau1[[#This Row],[TYPE DE PIECE]],Tableau4[MATIERE],Tableau4[SHORT TYPE],"",0,1)</f>
        <v/>
      </c>
      <c r="N3884">
        <f>IF(ISERR(FIND("DECOUPE",Tableau1[[#This Row],[DESIGNATION]])),"","NEED REF")</f>
        <v/>
      </c>
    </row>
    <row r="3885">
      <c r="B3885" t="n">
        <v>34410120</v>
      </c>
      <c r="C3885" s="2" t="n">
        <v>44571</v>
      </c>
      <c r="D3885" t="inlineStr">
        <is>
          <t>SPEC</t>
        </is>
      </c>
      <c r="E3885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85" t="inlineStr">
        <is>
          <t>SBC</t>
        </is>
      </c>
      <c r="G3885" t="inlineStr">
        <is>
          <t>GVX</t>
        </is>
      </c>
      <c r="H3885" t="inlineStr">
        <is>
          <t>BYPASS</t>
        </is>
      </c>
      <c r="J3885" t="inlineStr">
        <is>
          <t>BERNARDEAU</t>
        </is>
      </c>
      <c r="K3885" t="inlineStr">
        <is>
          <t>CUIVRE</t>
        </is>
      </c>
      <c r="L3885">
        <f>_xlfn.XLOOKUP(Tableau1[[#This Row],[TYPE DE PIECE]],Tableau4[MATIERE],Tableau4[SHORT TYPE],"",0,1)</f>
        <v/>
      </c>
      <c r="N3885">
        <f>IF(ISERR(FIND("DECOUPE",Tableau1[[#This Row],[DESIGNATION]])),"","NEED REF")</f>
        <v/>
      </c>
    </row>
    <row r="3886">
      <c r="B3886" t="n">
        <v>34410119</v>
      </c>
      <c r="C3886" s="2" t="n">
        <v>44571</v>
      </c>
      <c r="D3886" t="inlineStr">
        <is>
          <t>SPEC</t>
        </is>
      </c>
      <c r="E3886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86" t="inlineStr">
        <is>
          <t>SBC</t>
        </is>
      </c>
      <c r="G3886" t="inlineStr">
        <is>
          <t>GVX</t>
        </is>
      </c>
      <c r="H3886" t="inlineStr">
        <is>
          <t>BYPASS</t>
        </is>
      </c>
      <c r="J3886" t="inlineStr">
        <is>
          <t>BERNARDEAU</t>
        </is>
      </c>
      <c r="K3886" t="inlineStr">
        <is>
          <t>CUIVRE</t>
        </is>
      </c>
      <c r="L3886">
        <f>_xlfn.XLOOKUP(Tableau1[[#This Row],[TYPE DE PIECE]],Tableau4[MATIERE],Tableau4[SHORT TYPE],"",0,1)</f>
        <v/>
      </c>
      <c r="N3886">
        <f>IF(ISERR(FIND("DECOUPE",Tableau1[[#This Row],[DESIGNATION]])),"","NEED REF")</f>
        <v/>
      </c>
    </row>
    <row r="3887">
      <c r="B3887" t="n">
        <v>34410118</v>
      </c>
      <c r="C3887" s="2" t="n">
        <v>44571</v>
      </c>
      <c r="D3887" t="inlineStr">
        <is>
          <t>SPEC</t>
        </is>
      </c>
      <c r="E3887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87" t="inlineStr">
        <is>
          <t>SBC</t>
        </is>
      </c>
      <c r="G3887" t="inlineStr">
        <is>
          <t>GVX</t>
        </is>
      </c>
      <c r="H3887" t="inlineStr">
        <is>
          <t>BYPASS</t>
        </is>
      </c>
      <c r="J3887" t="inlineStr">
        <is>
          <t>BERNARDEAU</t>
        </is>
      </c>
      <c r="K3887" t="inlineStr">
        <is>
          <t>CUIVRE</t>
        </is>
      </c>
      <c r="L3887">
        <f>_xlfn.XLOOKUP(Tableau1[[#This Row],[TYPE DE PIECE]],Tableau4[MATIERE],Tableau4[SHORT TYPE],"",0,1)</f>
        <v/>
      </c>
      <c r="N3887">
        <f>IF(ISERR(FIND("DECOUPE",Tableau1[[#This Row],[DESIGNATION]])),"","NEED REF")</f>
        <v/>
      </c>
    </row>
    <row r="3888">
      <c r="B3888" t="n">
        <v>34410117</v>
      </c>
      <c r="C3888" s="2" t="n">
        <v>44568</v>
      </c>
      <c r="D3888" t="inlineStr">
        <is>
          <t>SPEC</t>
        </is>
      </c>
      <c r="E3888" t="inlineStr">
        <is>
          <t>SMT SUPPORT VOYANT LED 16MM</t>
        </is>
      </c>
      <c r="J3888" t="inlineStr">
        <is>
          <t>BERNARDEAU</t>
        </is>
      </c>
      <c r="K3888" t="inlineStr">
        <is>
          <t>metal</t>
        </is>
      </c>
      <c r="L3888">
        <f>_xlfn.XLOOKUP(Tableau1[[#This Row],[TYPE DE PIECE]],Tableau4[MATIERE],Tableau4[SHORT TYPE],"",0,1)</f>
        <v/>
      </c>
      <c r="N3888">
        <f>IF(ISERR(FIND("DECOUPE",Tableau1[[#This Row],[DESIGNATION]])),"","NEED REF")</f>
        <v/>
      </c>
    </row>
    <row r="3889">
      <c r="B3889" t="n">
        <v>34410116</v>
      </c>
      <c r="C3889" s="2" t="n">
        <v>44568</v>
      </c>
      <c r="D3889" t="inlineStr">
        <is>
          <t>SPEC</t>
        </is>
      </c>
      <c r="E3889" t="inlineStr">
        <is>
          <t>ENS PLASTRON</t>
        </is>
      </c>
      <c r="J3889" t="inlineStr">
        <is>
          <t>BERNARDEAU</t>
        </is>
      </c>
      <c r="K3889" t="inlineStr">
        <is>
          <t>metal</t>
        </is>
      </c>
      <c r="L3889">
        <f>_xlfn.XLOOKUP(Tableau1[[#This Row],[TYPE DE PIECE]],Tableau4[MATIERE],Tableau4[SHORT TYPE],"",0,1)</f>
        <v/>
      </c>
      <c r="N3889">
        <f>IF(ISERR(FIND("DECOUPE",Tableau1[[#This Row],[DESIGNATION]])),"","NEED REF")</f>
        <v/>
      </c>
    </row>
    <row r="3890">
      <c r="B3890" t="n">
        <v>34410115</v>
      </c>
      <c r="C3890" s="2" t="n">
        <v>44568</v>
      </c>
      <c r="D3890" t="inlineStr">
        <is>
          <t>SPEC</t>
        </is>
      </c>
      <c r="E3890" t="inlineStr">
        <is>
          <t>SMT PLASTRON</t>
        </is>
      </c>
      <c r="J3890" t="inlineStr">
        <is>
          <t>BERNARDEAU</t>
        </is>
      </c>
      <c r="K3890" t="inlineStr">
        <is>
          <t>metal</t>
        </is>
      </c>
      <c r="L3890">
        <f>_xlfn.XLOOKUP(Tableau1[[#This Row],[TYPE DE PIECE]],Tableau4[MATIERE],Tableau4[SHORT TYPE],"",0,1)</f>
        <v/>
      </c>
      <c r="N3890">
        <f>IF(ISERR(FIND("DECOUPE",Tableau1[[#This Row],[DESIGNATION]])),"","NEED REF")</f>
        <v/>
      </c>
    </row>
    <row r="3891">
      <c r="B3891" t="n">
        <v>34410114</v>
      </c>
      <c r="C3891" s="2" t="n">
        <v>44566</v>
      </c>
      <c r="D3891" t="inlineStr">
        <is>
          <t>SPEC</t>
        </is>
      </c>
      <c r="E3891" t="inlineStr">
        <is>
          <t>SMT 1_SUPPORT 04678 - L650MM</t>
        </is>
      </c>
      <c r="J3891" t="inlineStr">
        <is>
          <t>BERNARDEAU</t>
        </is>
      </c>
      <c r="K3891" t="inlineStr">
        <is>
          <t>METAL</t>
        </is>
      </c>
      <c r="L3891">
        <f>_xlfn.XLOOKUP(Tableau1[[#This Row],[TYPE DE PIECE]],Tableau4[MATIERE],Tableau4[SHORT TYPE],"",0,1)</f>
        <v/>
      </c>
      <c r="N3891">
        <f>IF(ISERR(FIND("DECOUPE",Tableau1[[#This Row],[DESIGNATION]])),"","NEED REF")</f>
        <v/>
      </c>
    </row>
    <row r="3892">
      <c r="B3892" t="n">
        <v>34410113</v>
      </c>
      <c r="C3892" s="2" t="n">
        <v>44565</v>
      </c>
      <c r="D3892" t="inlineStr">
        <is>
          <t>SPEC</t>
        </is>
      </c>
      <c r="E3892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92" t="inlineStr">
        <is>
          <t>SBC</t>
        </is>
      </c>
      <c r="G3892" t="inlineStr">
        <is>
          <t>GVX</t>
        </is>
      </c>
      <c r="H3892" t="inlineStr">
        <is>
          <t>BYPASS</t>
        </is>
      </c>
      <c r="J3892" t="inlineStr">
        <is>
          <t>BERNARDEAU</t>
        </is>
      </c>
      <c r="K3892" t="inlineStr">
        <is>
          <t>CUIVRE</t>
        </is>
      </c>
      <c r="L3892">
        <f>_xlfn.XLOOKUP(Tableau1[[#This Row],[TYPE DE PIECE]],Tableau4[MATIERE],Tableau4[SHORT TYPE],"",0,1)</f>
        <v/>
      </c>
      <c r="N3892">
        <f>IF(ISERR(FIND("DECOUPE",Tableau1[[#This Row],[DESIGNATION]])),"","NEED REF")</f>
        <v/>
      </c>
    </row>
    <row r="3893">
      <c r="B3893" t="n">
        <v>34410112</v>
      </c>
      <c r="C3893" s="2" t="n">
        <v>44565</v>
      </c>
      <c r="D3893" t="inlineStr">
        <is>
          <t>SPEC</t>
        </is>
      </c>
      <c r="E3893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893" t="inlineStr">
        <is>
          <t>SBC</t>
        </is>
      </c>
      <c r="G3893" t="inlineStr">
        <is>
          <t>GVX</t>
        </is>
      </c>
      <c r="H3893" t="inlineStr">
        <is>
          <t>BYPASS</t>
        </is>
      </c>
      <c r="J3893" t="inlineStr">
        <is>
          <t>BERNARDEAU</t>
        </is>
      </c>
      <c r="K3893" t="inlineStr">
        <is>
          <t>CUIVRE</t>
        </is>
      </c>
      <c r="L3893">
        <f>_xlfn.XLOOKUP(Tableau1[[#This Row],[TYPE DE PIECE]],Tableau4[MATIERE],Tableau4[SHORT TYPE],"",0,1)</f>
        <v/>
      </c>
      <c r="N3893">
        <f>IF(ISERR(FIND("DECOUPE",Tableau1[[#This Row],[DESIGNATION]])),"","NEED REF")</f>
        <v/>
      </c>
    </row>
    <row r="3894">
      <c r="B3894" t="n">
        <v>34410111</v>
      </c>
      <c r="C3894" s="2" t="n">
        <v>44565</v>
      </c>
      <c r="D3894" t="inlineStr">
        <is>
          <t>SPEC</t>
        </is>
      </c>
      <c r="E3894" t="inlineStr">
        <is>
          <t>SMT TOIT L1000 2xTGAB</t>
        </is>
      </c>
      <c r="J3894" t="inlineStr">
        <is>
          <t>BERNARDEAU</t>
        </is>
      </c>
      <c r="K3894" t="inlineStr">
        <is>
          <t>METAL</t>
        </is>
      </c>
      <c r="L3894">
        <f>_xlfn.XLOOKUP(Tableau1[[#This Row],[TYPE DE PIECE]],Tableau4[MATIERE],Tableau4[SHORT TYPE],"",0,1)</f>
        <v/>
      </c>
      <c r="N3894">
        <f>IF(ISERR(FIND("DECOUPE",Tableau1[[#This Row],[DESIGNATION]])),"","NEED REF")</f>
        <v/>
      </c>
    </row>
    <row r="3895">
      <c r="B3895" t="n">
        <v>34410110</v>
      </c>
      <c r="C3895" s="2" t="n">
        <v>44564</v>
      </c>
      <c r="D3895" t="inlineStr">
        <is>
          <t>SPEC</t>
        </is>
      </c>
      <c r="E3895" t="inlineStr">
        <is>
          <t>SMT TOIT IP3x GVEAC10</t>
        </is>
      </c>
      <c r="G3895" t="inlineStr">
        <is>
          <t>GV</t>
        </is>
      </c>
      <c r="H3895" t="inlineStr">
        <is>
          <t>AUX</t>
        </is>
      </c>
      <c r="J3895" t="inlineStr">
        <is>
          <t>MATRION</t>
        </is>
      </c>
      <c r="K3895" t="inlineStr">
        <is>
          <t>METAL</t>
        </is>
      </c>
      <c r="L3895">
        <f>_xlfn.XLOOKUP(Tableau1[[#This Row],[TYPE DE PIECE]],Tableau4[MATIERE],Tableau4[SHORT TYPE],"",0,1)</f>
        <v/>
      </c>
      <c r="N3895">
        <f>IF(ISERR(FIND("DECOUPE",Tableau1[[#This Row],[DESIGNATION]])),"","NEED REF")</f>
        <v/>
      </c>
    </row>
    <row r="3896">
      <c r="B3896" t="n">
        <v>34410109</v>
      </c>
      <c r="C3896" s="2" t="n">
        <v>44561</v>
      </c>
      <c r="D3896" t="inlineStr">
        <is>
          <t>SPEC</t>
        </is>
      </c>
      <c r="E3896" t="inlineStr">
        <is>
          <t>COP LIAISON 3</t>
        </is>
      </c>
      <c r="J3896" t="inlineStr">
        <is>
          <t>BERNARDEAU</t>
        </is>
      </c>
      <c r="K3896" t="inlineStr">
        <is>
          <t>CUIVRE</t>
        </is>
      </c>
      <c r="L3896">
        <f>_xlfn.XLOOKUP(Tableau1[[#This Row],[TYPE DE PIECE]],Tableau4[MATIERE],Tableau4[SHORT TYPE],"",0,1)</f>
        <v/>
      </c>
      <c r="N3896">
        <f>IF(ISERR(FIND("DECOUPE",Tableau1[[#This Row],[DESIGNATION]])),"","NEED REF")</f>
        <v/>
      </c>
    </row>
    <row r="3897">
      <c r="B3897" t="n">
        <v>34410108</v>
      </c>
      <c r="C3897" s="2" t="n">
        <v>44561</v>
      </c>
      <c r="D3897" t="inlineStr">
        <is>
          <t>SPEC</t>
        </is>
      </c>
      <c r="E3897" t="inlineStr">
        <is>
          <t>COP LIAISON 2</t>
        </is>
      </c>
      <c r="J3897" t="inlineStr">
        <is>
          <t>BERNARDEAU</t>
        </is>
      </c>
      <c r="K3897" t="inlineStr">
        <is>
          <t>CUIVRE</t>
        </is>
      </c>
      <c r="L3897">
        <f>_xlfn.XLOOKUP(Tableau1[[#This Row],[TYPE DE PIECE]],Tableau4[MATIERE],Tableau4[SHORT TYPE],"",0,1)</f>
        <v/>
      </c>
      <c r="N3897">
        <f>IF(ISERR(FIND("DECOUPE",Tableau1[[#This Row],[DESIGNATION]])),"","NEED REF")</f>
        <v/>
      </c>
    </row>
    <row r="3898">
      <c r="B3898" t="n">
        <v>34410107</v>
      </c>
      <c r="C3898" s="2" t="n">
        <v>44561</v>
      </c>
      <c r="D3898" t="inlineStr">
        <is>
          <t>SPEC</t>
        </is>
      </c>
      <c r="E3898" t="inlineStr">
        <is>
          <t>COP LIAISON 1</t>
        </is>
      </c>
      <c r="J3898" t="inlineStr">
        <is>
          <t>BERNARDEAU</t>
        </is>
      </c>
      <c r="K3898" t="inlineStr">
        <is>
          <t>CUIVRE</t>
        </is>
      </c>
      <c r="L3898">
        <f>_xlfn.XLOOKUP(Tableau1[[#This Row],[TYPE DE PIECE]],Tableau4[MATIERE],Tableau4[SHORT TYPE],"",0,1)</f>
        <v/>
      </c>
      <c r="N3898">
        <f>IF(ISERR(FIND("DECOUPE",Tableau1[[#This Row],[DESIGNATION]])),"","NEED REF")</f>
        <v/>
      </c>
    </row>
    <row r="3899">
      <c r="B3899" t="n">
        <v>34410106</v>
      </c>
      <c r="C3899" s="2" t="n">
        <v>44561</v>
      </c>
      <c r="D3899" t="inlineStr">
        <is>
          <t>SPEC</t>
        </is>
      </c>
      <c r="E3899" t="inlineStr">
        <is>
          <t>COP LIAISON PE</t>
        </is>
      </c>
      <c r="J3899" t="inlineStr">
        <is>
          <t>BERNARDEAU</t>
        </is>
      </c>
      <c r="K3899" t="inlineStr">
        <is>
          <t>CUIVRE</t>
        </is>
      </c>
      <c r="L3899">
        <f>_xlfn.XLOOKUP(Tableau1[[#This Row],[TYPE DE PIECE]],Tableau4[MATIERE],Tableau4[SHORT TYPE],"",0,1)</f>
        <v/>
      </c>
      <c r="N3899">
        <f>IF(ISERR(FIND("DECOUPE",Tableau1[[#This Row],[DESIGNATION]])),"","NEED REF")</f>
        <v/>
      </c>
    </row>
    <row r="3900">
      <c r="B3900" t="n">
        <v>34410105</v>
      </c>
      <c r="C3900" s="2" t="n">
        <v>44561</v>
      </c>
      <c r="D3900" t="inlineStr">
        <is>
          <t>SPEC</t>
        </is>
      </c>
      <c r="E3900" t="inlineStr">
        <is>
          <t>COP LIAISON 3</t>
        </is>
      </c>
      <c r="J3900" t="inlineStr">
        <is>
          <t>BERNARDEAU</t>
        </is>
      </c>
      <c r="K3900" t="inlineStr">
        <is>
          <t>CUIVRE</t>
        </is>
      </c>
      <c r="L3900">
        <f>_xlfn.XLOOKUP(Tableau1[[#This Row],[TYPE DE PIECE]],Tableau4[MATIERE],Tableau4[SHORT TYPE],"",0,1)</f>
        <v/>
      </c>
      <c r="N3900">
        <f>IF(ISERR(FIND("DECOUPE",Tableau1[[#This Row],[DESIGNATION]])),"","NEED REF")</f>
        <v/>
      </c>
    </row>
    <row r="3901">
      <c r="B3901" t="n">
        <v>34410104</v>
      </c>
      <c r="C3901" s="2" t="n">
        <v>44561</v>
      </c>
      <c r="D3901" t="inlineStr">
        <is>
          <t>SPEC</t>
        </is>
      </c>
      <c r="E3901" t="inlineStr">
        <is>
          <t>COP LIAISON 2</t>
        </is>
      </c>
      <c r="J3901" t="inlineStr">
        <is>
          <t>BERNARDEAU</t>
        </is>
      </c>
      <c r="K3901" t="inlineStr">
        <is>
          <t>CUIVRE</t>
        </is>
      </c>
      <c r="L3901">
        <f>_xlfn.XLOOKUP(Tableau1[[#This Row],[TYPE DE PIECE]],Tableau4[MATIERE],Tableau4[SHORT TYPE],"",0,1)</f>
        <v/>
      </c>
      <c r="N3901">
        <f>IF(ISERR(FIND("DECOUPE",Tableau1[[#This Row],[DESIGNATION]])),"","NEED REF")</f>
        <v/>
      </c>
    </row>
    <row r="3902">
      <c r="B3902" t="n">
        <v>34410103</v>
      </c>
      <c r="C3902" s="2" t="n">
        <v>44561</v>
      </c>
      <c r="D3902" t="inlineStr">
        <is>
          <t>SPEC</t>
        </is>
      </c>
      <c r="E3902" t="inlineStr">
        <is>
          <t>COP LIAISON 1</t>
        </is>
      </c>
      <c r="J3902" t="inlineStr">
        <is>
          <t>BERNARDEAU</t>
        </is>
      </c>
      <c r="K3902" t="inlineStr">
        <is>
          <t>CUIVRE</t>
        </is>
      </c>
      <c r="L3902">
        <f>_xlfn.XLOOKUP(Tableau1[[#This Row],[TYPE DE PIECE]],Tableau4[MATIERE],Tableau4[SHORT TYPE],"",0,1)</f>
        <v/>
      </c>
      <c r="N3902">
        <f>IF(ISERR(FIND("DECOUPE",Tableau1[[#This Row],[DESIGNATION]])),"","NEED REF")</f>
        <v/>
      </c>
    </row>
    <row r="3903">
      <c r="B3903" t="n">
        <v>34410102</v>
      </c>
      <c r="C3903" s="2" t="n">
        <v>44561</v>
      </c>
      <c r="D3903" t="inlineStr">
        <is>
          <t>SPEC</t>
        </is>
      </c>
      <c r="E3903" t="inlineStr">
        <is>
          <t>COP LIAISON PE</t>
        </is>
      </c>
      <c r="J3903" t="inlineStr">
        <is>
          <t>BERNARDEAU</t>
        </is>
      </c>
      <c r="K3903" t="inlineStr">
        <is>
          <t>CUIVRE</t>
        </is>
      </c>
      <c r="L3903">
        <f>_xlfn.XLOOKUP(Tableau1[[#This Row],[TYPE DE PIECE]],Tableau4[MATIERE],Tableau4[SHORT TYPE],"",0,1)</f>
        <v/>
      </c>
      <c r="N3903">
        <f>IF(ISERR(FIND("DECOUPE",Tableau1[[#This Row],[DESIGNATION]])),"","NEED REF")</f>
        <v/>
      </c>
    </row>
    <row r="3904">
      <c r="B3904" t="n">
        <v>34410101</v>
      </c>
      <c r="C3904" s="2" t="n">
        <v>44561</v>
      </c>
      <c r="D3904" t="inlineStr">
        <is>
          <t>SPEC</t>
        </is>
      </c>
      <c r="E3904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904" t="inlineStr">
        <is>
          <t>SBC</t>
        </is>
      </c>
      <c r="G3904" t="inlineStr">
        <is>
          <t>GVX</t>
        </is>
      </c>
      <c r="H3904" t="inlineStr">
        <is>
          <t>BYPASS</t>
        </is>
      </c>
      <c r="J3904" t="inlineStr">
        <is>
          <t>BERNARDEAU</t>
        </is>
      </c>
      <c r="K3904" t="inlineStr">
        <is>
          <t>CUIVRE</t>
        </is>
      </c>
      <c r="L3904">
        <f>_xlfn.XLOOKUP(Tableau1[[#This Row],[TYPE DE PIECE]],Tableau4[MATIERE],Tableau4[SHORT TYPE],"",0,1)</f>
        <v/>
      </c>
      <c r="N3904">
        <f>IF(ISERR(FIND("DECOUPE",Tableau1[[#This Row],[DESIGNATION]])),"","NEED REF")</f>
        <v/>
      </c>
    </row>
    <row r="3905">
      <c r="B3905" t="n">
        <v>34410100</v>
      </c>
      <c r="C3905" s="2" t="n">
        <v>44561</v>
      </c>
      <c r="D3905" t="inlineStr">
        <is>
          <t>SPEC</t>
        </is>
      </c>
      <c r="E3905" t="inlineStr">
        <is>
          <t>COP LIAISON 3</t>
        </is>
      </c>
      <c r="J3905" t="inlineStr">
        <is>
          <t>BERNARDEAU</t>
        </is>
      </c>
      <c r="K3905" t="inlineStr">
        <is>
          <t>CUIVRE</t>
        </is>
      </c>
      <c r="L3905">
        <f>_xlfn.XLOOKUP(Tableau1[[#This Row],[TYPE DE PIECE]],Tableau4[MATIERE],Tableau4[SHORT TYPE],"",0,1)</f>
        <v/>
      </c>
      <c r="N3905">
        <f>IF(ISERR(FIND("DECOUPE",Tableau1[[#This Row],[DESIGNATION]])),"","NEED REF")</f>
        <v/>
      </c>
    </row>
    <row r="3906">
      <c r="B3906" t="n">
        <v>34410099</v>
      </c>
      <c r="C3906" s="2" t="n">
        <v>44561</v>
      </c>
      <c r="D3906" t="inlineStr">
        <is>
          <t>SPEC</t>
        </is>
      </c>
      <c r="E3906" t="inlineStr">
        <is>
          <t>COP LIAISON 2</t>
        </is>
      </c>
      <c r="J3906" t="inlineStr">
        <is>
          <t>BERNARDEAU</t>
        </is>
      </c>
      <c r="K3906" t="inlineStr">
        <is>
          <t>CUIVRE</t>
        </is>
      </c>
      <c r="L3906">
        <f>_xlfn.XLOOKUP(Tableau1[[#This Row],[TYPE DE PIECE]],Tableau4[MATIERE],Tableau4[SHORT TYPE],"",0,1)</f>
        <v/>
      </c>
      <c r="N3906">
        <f>IF(ISERR(FIND("DECOUPE",Tableau1[[#This Row],[DESIGNATION]])),"","NEED REF")</f>
        <v/>
      </c>
    </row>
    <row r="3907">
      <c r="B3907" t="n">
        <v>34410098</v>
      </c>
      <c r="C3907" s="2" t="n">
        <v>44561</v>
      </c>
      <c r="D3907" t="inlineStr">
        <is>
          <t>SPEC</t>
        </is>
      </c>
      <c r="E3907" t="inlineStr">
        <is>
          <t>COP LIAISON 1</t>
        </is>
      </c>
      <c r="J3907" t="inlineStr">
        <is>
          <t>BERNARDEAU</t>
        </is>
      </c>
      <c r="K3907" t="inlineStr">
        <is>
          <t>CUIVRE</t>
        </is>
      </c>
      <c r="L3907">
        <f>_xlfn.XLOOKUP(Tableau1[[#This Row],[TYPE DE PIECE]],Tableau4[MATIERE],Tableau4[SHORT TYPE],"",0,1)</f>
        <v/>
      </c>
      <c r="N3907">
        <f>IF(ISERR(FIND("DECOUPE",Tableau1[[#This Row],[DESIGNATION]])),"","NEED REF")</f>
        <v/>
      </c>
    </row>
    <row r="3908">
      <c r="B3908" t="n">
        <v>34410097</v>
      </c>
      <c r="C3908" s="2" t="n">
        <v>44561</v>
      </c>
      <c r="D3908" t="inlineStr">
        <is>
          <t>SPEC</t>
        </is>
      </c>
      <c r="E3908" t="inlineStr">
        <is>
          <t>COP LIAISON PE</t>
        </is>
      </c>
      <c r="J3908" t="inlineStr">
        <is>
          <t>BERNARDEAU</t>
        </is>
      </c>
      <c r="K3908" t="inlineStr">
        <is>
          <t>CUIVRE</t>
        </is>
      </c>
      <c r="L3908">
        <f>_xlfn.XLOOKUP(Tableau1[[#This Row],[TYPE DE PIECE]],Tableau4[MATIERE],Tableau4[SHORT TYPE],"",0,1)</f>
        <v/>
      </c>
      <c r="N3908">
        <f>IF(ISERR(FIND("DECOUPE",Tableau1[[#This Row],[DESIGNATION]])),"","NEED REF")</f>
        <v/>
      </c>
    </row>
    <row r="3909">
      <c r="B3909" t="n">
        <v>34410096</v>
      </c>
      <c r="C3909" s="2" t="n">
        <v>44561</v>
      </c>
      <c r="D3909" t="inlineStr">
        <is>
          <t>SPEC</t>
        </is>
      </c>
      <c r="E3909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909" t="inlineStr">
        <is>
          <t>SBC</t>
        </is>
      </c>
      <c r="G3909" t="inlineStr">
        <is>
          <t>GVX</t>
        </is>
      </c>
      <c r="H3909" t="inlineStr">
        <is>
          <t>BYPASS</t>
        </is>
      </c>
      <c r="J3909" t="inlineStr">
        <is>
          <t>BERNARDEAU</t>
        </is>
      </c>
      <c r="K3909" t="inlineStr">
        <is>
          <t>CUIVRE</t>
        </is>
      </c>
      <c r="L3909">
        <f>_xlfn.XLOOKUP(Tableau1[[#This Row],[TYPE DE PIECE]],Tableau4[MATIERE],Tableau4[SHORT TYPE],"",0,1)</f>
        <v/>
      </c>
      <c r="N3909">
        <f>IF(ISERR(FIND("DECOUPE",Tableau1[[#This Row],[DESIGNATION]])),"","NEED REF")</f>
        <v/>
      </c>
    </row>
    <row r="3910">
      <c r="B3910" t="n">
        <v>34410095</v>
      </c>
      <c r="C3910" s="2" t="n">
        <v>44560</v>
      </c>
      <c r="D3910" t="inlineStr">
        <is>
          <t>SPEC</t>
        </is>
      </c>
      <c r="E3910" t="inlineStr">
        <is>
          <t>SUPPORT POUR 04662 L.650</t>
        </is>
      </c>
      <c r="J3910" t="inlineStr">
        <is>
          <t>BERNARDEAU</t>
        </is>
      </c>
      <c r="K3910" t="inlineStr">
        <is>
          <t>METAL</t>
        </is>
      </c>
      <c r="L3910">
        <f>_xlfn.XLOOKUP(Tableau1[[#This Row],[TYPE DE PIECE]],Tableau4[MATIERE],Tableau4[SHORT TYPE],"",0,1)</f>
        <v/>
      </c>
      <c r="N3910">
        <f>IF(ISERR(FIND("DECOUPE",Tableau1[[#This Row],[DESIGNATION]])),"","NEED REF")</f>
        <v/>
      </c>
    </row>
    <row r="3911">
      <c r="B3911" t="n">
        <v>34410094</v>
      </c>
      <c r="C3911" s="2" t="n">
        <v>44559</v>
      </c>
      <c r="D3911" t="inlineStr">
        <is>
          <t>SPEC</t>
        </is>
      </c>
      <c r="E3911" t="inlineStr">
        <is>
          <t>COP LIAISON</t>
        </is>
      </c>
      <c r="J3911" t="inlineStr">
        <is>
          <t>BERNARDEAU</t>
        </is>
      </c>
      <c r="K3911" t="inlineStr">
        <is>
          <t>CUIVRE</t>
        </is>
      </c>
      <c r="L3911">
        <f>_xlfn.XLOOKUP(Tableau1[[#This Row],[TYPE DE PIECE]],Tableau4[MATIERE],Tableau4[SHORT TYPE],"",0,1)</f>
        <v/>
      </c>
      <c r="N3911">
        <f>IF(ISERR(FIND("DECOUPE",Tableau1[[#This Row],[DESIGNATION]])),"","NEED REF")</f>
        <v/>
      </c>
    </row>
    <row r="3912">
      <c r="B3912" t="n">
        <v>34410093</v>
      </c>
      <c r="C3912" s="2" t="n">
        <v>44559</v>
      </c>
      <c r="D3912" t="inlineStr">
        <is>
          <t>SPEC</t>
        </is>
      </c>
      <c r="E3912" t="inlineStr">
        <is>
          <t>COP LIAISON</t>
        </is>
      </c>
      <c r="J3912" t="inlineStr">
        <is>
          <t>BERNARDEAU</t>
        </is>
      </c>
      <c r="K3912" t="inlineStr">
        <is>
          <t>CUIVRE</t>
        </is>
      </c>
      <c r="L3912">
        <f>_xlfn.XLOOKUP(Tableau1[[#This Row],[TYPE DE PIECE]],Tableau4[MATIERE],Tableau4[SHORT TYPE],"",0,1)</f>
        <v/>
      </c>
      <c r="N3912">
        <f>IF(ISERR(FIND("DECOUPE",Tableau1[[#This Row],[DESIGNATION]])),"","NEED REF")</f>
        <v/>
      </c>
    </row>
    <row r="3913">
      <c r="B3913" t="n">
        <v>34410092</v>
      </c>
      <c r="C3913" s="2" t="n">
        <v>44559</v>
      </c>
      <c r="D3913" t="inlineStr">
        <is>
          <t>SPEC</t>
        </is>
      </c>
      <c r="E3913" t="inlineStr">
        <is>
          <t>COP LIAISON</t>
        </is>
      </c>
      <c r="J3913" t="inlineStr">
        <is>
          <t>BERNARDEAU</t>
        </is>
      </c>
      <c r="K3913" t="inlineStr">
        <is>
          <t>CUIVRE</t>
        </is>
      </c>
      <c r="L3913">
        <f>_xlfn.XLOOKUP(Tableau1[[#This Row],[TYPE DE PIECE]],Tableau4[MATIERE],Tableau4[SHORT TYPE],"",0,1)</f>
        <v/>
      </c>
      <c r="N3913">
        <f>IF(ISERR(FIND("DECOUPE",Tableau1[[#This Row],[DESIGNATION]])),"","NEED REF")</f>
        <v/>
      </c>
    </row>
    <row r="3914">
      <c r="B3914" t="n">
        <v>34410091</v>
      </c>
      <c r="C3914" s="2" t="n">
        <v>44559</v>
      </c>
      <c r="D3914" t="inlineStr">
        <is>
          <t>SPEC</t>
        </is>
      </c>
      <c r="E3914" t="inlineStr">
        <is>
          <t>COP LIAISON</t>
        </is>
      </c>
      <c r="J3914" t="inlineStr">
        <is>
          <t>BERNARDEAU</t>
        </is>
      </c>
      <c r="K3914" t="inlineStr">
        <is>
          <t>CUIVRE</t>
        </is>
      </c>
      <c r="L3914">
        <f>_xlfn.XLOOKUP(Tableau1[[#This Row],[TYPE DE PIECE]],Tableau4[MATIERE],Tableau4[SHORT TYPE],"",0,1)</f>
        <v/>
      </c>
      <c r="N3914">
        <f>IF(ISERR(FIND("DECOUPE",Tableau1[[#This Row],[DESIGNATION]])),"","NEED REF")</f>
        <v/>
      </c>
    </row>
    <row r="3915">
      <c r="B3915" t="n">
        <v>34410090</v>
      </c>
      <c r="C3915" s="2" t="n">
        <v>44559</v>
      </c>
      <c r="D3915" t="inlineStr">
        <is>
          <t>SPEC</t>
        </is>
      </c>
      <c r="E3915" t="inlineStr">
        <is>
          <t>SUPPORT POUR 04662 L.650</t>
        </is>
      </c>
      <c r="J3915" t="inlineStr">
        <is>
          <t>BERNARDEAU</t>
        </is>
      </c>
      <c r="K3915" t="inlineStr">
        <is>
          <t>METAL</t>
        </is>
      </c>
      <c r="L3915">
        <f>_xlfn.XLOOKUP(Tableau1[[#This Row],[TYPE DE PIECE]],Tableau4[MATIERE],Tableau4[SHORT TYPE],"",0,1)</f>
        <v/>
      </c>
      <c r="N3915">
        <f>IF(ISERR(FIND("DECOUPE",Tableau1[[#This Row],[DESIGNATION]])),"","NEED REF")</f>
        <v/>
      </c>
    </row>
    <row r="3916">
      <c r="B3916" t="n">
        <v>34410089</v>
      </c>
      <c r="C3916" s="2" t="n">
        <v>44559</v>
      </c>
      <c r="D3916" t="inlineStr">
        <is>
          <t>SPEC</t>
        </is>
      </c>
      <c r="E3916" t="inlineStr">
        <is>
          <t>COP LIAISON</t>
        </is>
      </c>
      <c r="J3916" t="inlineStr">
        <is>
          <t>BERNARDEAU</t>
        </is>
      </c>
      <c r="K3916" t="inlineStr">
        <is>
          <t>CUIVRE</t>
        </is>
      </c>
      <c r="L3916">
        <f>_xlfn.XLOOKUP(Tableau1[[#This Row],[TYPE DE PIECE]],Tableau4[MATIERE],Tableau4[SHORT TYPE],"",0,1)</f>
        <v/>
      </c>
      <c r="N3916">
        <f>IF(ISERR(FIND("DECOUPE",Tableau1[[#This Row],[DESIGNATION]])),"","NEED REF")</f>
        <v/>
      </c>
    </row>
    <row r="3917">
      <c r="B3917" t="n">
        <v>34410088</v>
      </c>
      <c r="C3917" s="2" t="n">
        <v>44559</v>
      </c>
      <c r="D3917" t="inlineStr">
        <is>
          <t>SPEC</t>
        </is>
      </c>
      <c r="E3917" t="inlineStr">
        <is>
          <t>COP LIAISON</t>
        </is>
      </c>
      <c r="J3917" t="inlineStr">
        <is>
          <t>BERNARDEAU</t>
        </is>
      </c>
      <c r="K3917" t="inlineStr">
        <is>
          <t>CUIVRE</t>
        </is>
      </c>
      <c r="L3917">
        <f>_xlfn.XLOOKUP(Tableau1[[#This Row],[TYPE DE PIECE]],Tableau4[MATIERE],Tableau4[SHORT TYPE],"",0,1)</f>
        <v/>
      </c>
      <c r="N3917">
        <f>IF(ISERR(FIND("DECOUPE",Tableau1[[#This Row],[DESIGNATION]])),"","NEED REF")</f>
        <v/>
      </c>
    </row>
    <row r="3918">
      <c r="B3918" t="n">
        <v>34410087</v>
      </c>
      <c r="C3918" s="2" t="n">
        <v>44559</v>
      </c>
      <c r="D3918" t="inlineStr">
        <is>
          <t>SPEC</t>
        </is>
      </c>
      <c r="E3918" t="inlineStr">
        <is>
          <t>COP LIAISON</t>
        </is>
      </c>
      <c r="J3918" t="inlineStr">
        <is>
          <t>BERNARDEAU</t>
        </is>
      </c>
      <c r="K3918" t="inlineStr">
        <is>
          <t>CUIVRE</t>
        </is>
      </c>
      <c r="L3918">
        <f>_xlfn.XLOOKUP(Tableau1[[#This Row],[TYPE DE PIECE]],Tableau4[MATIERE],Tableau4[SHORT TYPE],"",0,1)</f>
        <v/>
      </c>
      <c r="N3918">
        <f>IF(ISERR(FIND("DECOUPE",Tableau1[[#This Row],[DESIGNATION]])),"","NEED REF")</f>
        <v/>
      </c>
    </row>
    <row r="3919">
      <c r="B3919" t="n">
        <v>34410086</v>
      </c>
      <c r="C3919" s="2" t="n">
        <v>44559</v>
      </c>
      <c r="D3919" t="inlineStr">
        <is>
          <t>SPEC</t>
        </is>
      </c>
      <c r="E3919" t="inlineStr">
        <is>
          <t>COP LIAISON</t>
        </is>
      </c>
      <c r="J3919" t="inlineStr">
        <is>
          <t>BERNARDEAU</t>
        </is>
      </c>
      <c r="K3919" t="inlineStr">
        <is>
          <t>CUIVRE</t>
        </is>
      </c>
      <c r="L3919">
        <f>_xlfn.XLOOKUP(Tableau1[[#This Row],[TYPE DE PIECE]],Tableau4[MATIERE],Tableau4[SHORT TYPE],"",0,1)</f>
        <v/>
      </c>
      <c r="N3919">
        <f>IF(ISERR(FIND("DECOUPE",Tableau1[[#This Row],[DESIGNATION]])),"","NEED REF")</f>
        <v/>
      </c>
    </row>
    <row r="3920">
      <c r="B3920" t="n">
        <v>34410085</v>
      </c>
      <c r="C3920" s="2" t="n">
        <v>44559</v>
      </c>
      <c r="D3920" t="inlineStr">
        <is>
          <t>SPEC</t>
        </is>
      </c>
      <c r="E3920" t="inlineStr">
        <is>
          <t>SMT TOIT L1000 2xTGAB</t>
        </is>
      </c>
      <c r="J3920" t="inlineStr">
        <is>
          <t>BERNARDEAU</t>
        </is>
      </c>
      <c r="K3920" t="inlineStr">
        <is>
          <t>METAL</t>
        </is>
      </c>
      <c r="L3920">
        <f>_xlfn.XLOOKUP(Tableau1[[#This Row],[TYPE DE PIECE]],Tableau4[MATIERE],Tableau4[SHORT TYPE],"",0,1)</f>
        <v/>
      </c>
      <c r="N3920">
        <f>IF(ISERR(FIND("DECOUPE",Tableau1[[#This Row],[DESIGNATION]])),"","NEED REF")</f>
        <v/>
      </c>
    </row>
    <row r="3921">
      <c r="B3921" t="n">
        <v>34410084</v>
      </c>
      <c r="C3921" s="2" t="n">
        <v>44559</v>
      </c>
      <c r="D3921" t="inlineStr">
        <is>
          <t>SPEC</t>
        </is>
      </c>
      <c r="E3921" t="inlineStr">
        <is>
          <t>SMT 2_SUPPORT 04678 - L350MM</t>
        </is>
      </c>
      <c r="J3921" t="inlineStr">
        <is>
          <t>BERNARDEAU</t>
        </is>
      </c>
      <c r="K3921" t="inlineStr">
        <is>
          <t>METAL</t>
        </is>
      </c>
      <c r="L3921">
        <f>_xlfn.XLOOKUP(Tableau1[[#This Row],[TYPE DE PIECE]],Tableau4[MATIERE],Tableau4[SHORT TYPE],"",0,1)</f>
        <v/>
      </c>
      <c r="N3921">
        <f>IF(ISERR(FIND("DECOUPE",Tableau1[[#This Row],[DESIGNATION]])),"","NEED REF")</f>
        <v/>
      </c>
    </row>
    <row r="3922">
      <c r="B3922" t="n">
        <v>34410083</v>
      </c>
      <c r="C3922" s="2" t="n">
        <v>44559</v>
      </c>
      <c r="D3922" t="inlineStr">
        <is>
          <t>SPEC</t>
        </is>
      </c>
      <c r="E3922" t="inlineStr">
        <is>
          <t>COP LIAISON 80X10</t>
        </is>
      </c>
      <c r="J3922" t="inlineStr">
        <is>
          <t>BERNARDEAU</t>
        </is>
      </c>
      <c r="K3922" t="inlineStr">
        <is>
          <t>CUIVRE</t>
        </is>
      </c>
      <c r="L3922">
        <f>_xlfn.XLOOKUP(Tableau1[[#This Row],[TYPE DE PIECE]],Tableau4[MATIERE],Tableau4[SHORT TYPE],"",0,1)</f>
        <v/>
      </c>
      <c r="N3922">
        <f>IF(ISERR(FIND("DECOUPE",Tableau1[[#This Row],[DESIGNATION]])),"","NEED REF")</f>
        <v/>
      </c>
    </row>
    <row r="3923">
      <c r="B3923" t="n">
        <v>34410082</v>
      </c>
      <c r="C3923" s="2" t="n">
        <v>44559</v>
      </c>
      <c r="D3923" t="inlineStr">
        <is>
          <t>SPEC</t>
        </is>
      </c>
      <c r="E3923">
        <f>_xlfn.CONCAT(VLOOKUP(Tableau1[[#This Row],[TYPE DE PIECE]],Tableau4[],2,FALSE)," ",Tableau1[[#This Row],[NUMERO]]," ",Tableau1[[#This Row],[GAMME]]," ",Tableau1[[#This Row],[TYPE PRODUIT]]," ",Tableau1[[#This Row],[PUISSANCE]])</f>
        <v/>
      </c>
      <c r="F3923" t="inlineStr">
        <is>
          <t>SBC</t>
        </is>
      </c>
      <c r="G3923" t="inlineStr">
        <is>
          <t>GVX</t>
        </is>
      </c>
      <c r="H3923" t="inlineStr">
        <is>
          <t>BYPASS</t>
        </is>
      </c>
      <c r="J3923" t="inlineStr">
        <is>
          <t>BERNARDEAU</t>
        </is>
      </c>
      <c r="K3923" t="inlineStr">
        <is>
          <t>CUIVRE</t>
        </is>
      </c>
      <c r="L3923">
        <f>_xlfn.XLOOKUP(Tableau1[[#This Row],[TYPE DE PIECE]],Tableau4[MATIERE],Tableau4[SHORT TYPE],"",0,1)</f>
        <v/>
      </c>
      <c r="N3923">
        <f>IF(ISERR(FIND("DECOUPE",Tableau1[[#This Row],[DESIGNATION]])),"","NEED REF")</f>
        <v/>
      </c>
    </row>
    <row r="3924">
      <c r="B3924" t="n">
        <v>34410081</v>
      </c>
      <c r="C3924" s="2" t="n">
        <v>44559</v>
      </c>
      <c r="D3924" t="inlineStr">
        <is>
          <t>SPEC</t>
        </is>
      </c>
      <c r="E3924" t="inlineStr">
        <is>
          <t>COP LIAISON 80X10</t>
        </is>
      </c>
      <c r="J3924" t="inlineStr">
        <is>
          <t>BERNARDEAU</t>
        </is>
      </c>
      <c r="K3924" t="inlineStr">
        <is>
          <t>CUIVRE</t>
        </is>
      </c>
      <c r="L3924">
        <f>_xlfn.XLOOKUP(Tableau1[[#This Row],[TYPE DE PIECE]],Tableau4[MATIERE],Tableau4[SHORT TYPE],"",0,1)</f>
        <v/>
      </c>
      <c r="N3924">
        <f>IF(ISERR(FIND("DECOUPE",Tableau1[[#This Row],[DESIGNATION]])),"","NEED REF")</f>
        <v/>
      </c>
    </row>
    <row r="3925">
      <c r="B3925" t="n">
        <v>34410080</v>
      </c>
      <c r="C3925" s="2" t="n">
        <v>44559</v>
      </c>
      <c r="D3925" t="inlineStr">
        <is>
          <t>SPEC</t>
        </is>
      </c>
      <c r="E3925" t="inlineStr">
        <is>
          <t>SMT SUPPORT 2 LIAISON TGAB</t>
        </is>
      </c>
      <c r="J3925" t="inlineStr">
        <is>
          <t>BERNARDEAU</t>
        </is>
      </c>
      <c r="K3925" t="inlineStr">
        <is>
          <t>METAL</t>
        </is>
      </c>
      <c r="L3925">
        <f>_xlfn.XLOOKUP(Tableau1[[#This Row],[TYPE DE PIECE]],Tableau4[MATIERE],Tableau4[SHORT TYPE],"",0,1)</f>
        <v/>
      </c>
      <c r="N3925">
        <f>IF(ISERR(FIND("DECOUPE",Tableau1[[#This Row],[DESIGNATION]])),"","NEED REF")</f>
        <v/>
      </c>
    </row>
    <row r="3926">
      <c r="B3926" t="n">
        <v>34410079</v>
      </c>
      <c r="C3926" s="2" t="n">
        <v>44559</v>
      </c>
      <c r="D3926" t="inlineStr">
        <is>
          <t>SPEC</t>
        </is>
      </c>
      <c r="E3926" t="inlineStr">
        <is>
          <t>SMT SUPPORT 1 LIAISON TGAB</t>
        </is>
      </c>
      <c r="J3926" t="inlineStr">
        <is>
          <t>BERNARDEAU</t>
        </is>
      </c>
      <c r="K3926" t="inlineStr">
        <is>
          <t>METAL</t>
        </is>
      </c>
      <c r="L3926">
        <f>_xlfn.XLOOKUP(Tableau1[[#This Row],[TYPE DE PIECE]],Tableau4[MATIERE],Tableau4[SHORT TYPE],"",0,1)</f>
        <v/>
      </c>
      <c r="N3926">
        <f>IF(ISERR(FIND("DECOUPE",Tableau1[[#This Row],[DESIGNATION]])),"","NEED REF")</f>
        <v/>
      </c>
    </row>
    <row r="3927">
      <c r="B3927" t="n">
        <v>34410078</v>
      </c>
      <c r="C3927" s="2" t="n">
        <v>44559</v>
      </c>
      <c r="D3927" t="inlineStr">
        <is>
          <t>SPEC</t>
        </is>
      </c>
      <c r="E3927" t="inlineStr">
        <is>
          <t>SMT SUPPORT LATERAL - L950MM</t>
        </is>
      </c>
      <c r="J3927" t="inlineStr">
        <is>
          <t>BERNARDEAU</t>
        </is>
      </c>
      <c r="K3927" t="inlineStr">
        <is>
          <t>METAL</t>
        </is>
      </c>
      <c r="L3927">
        <f>_xlfn.XLOOKUP(Tableau1[[#This Row],[TYPE DE PIECE]],Tableau4[MATIERE],Tableau4[SHORT TYPE],"",0,1)</f>
        <v/>
      </c>
      <c r="N3927">
        <f>IF(ISERR(FIND("DECOUPE",Tableau1[[#This Row],[DESIGNATION]])),"","NEED REF")</f>
        <v/>
      </c>
    </row>
    <row r="3928">
      <c r="B3928" t="n">
        <v>34410077</v>
      </c>
      <c r="C3928" s="2" t="n">
        <v>44559</v>
      </c>
      <c r="D3928" t="inlineStr">
        <is>
          <t>SPEC</t>
        </is>
      </c>
      <c r="E3928" t="inlineStr">
        <is>
          <t>SMT CALE SUPPORT MTZ2</t>
        </is>
      </c>
      <c r="J3928" t="inlineStr">
        <is>
          <t>BERNARDEAU</t>
        </is>
      </c>
      <c r="K3928" t="inlineStr">
        <is>
          <t>METAL</t>
        </is>
      </c>
      <c r="L3928">
        <f>_xlfn.XLOOKUP(Tableau1[[#This Row],[TYPE DE PIECE]],Tableau4[MATIERE],Tableau4[SHORT TYPE],"",0,1)</f>
        <v/>
      </c>
      <c r="N3928">
        <f>IF(ISERR(FIND("DECOUPE",Tableau1[[#This Row],[DESIGNATION]])),"","NEED REF")</f>
        <v/>
      </c>
    </row>
    <row r="3929">
      <c r="B3929" t="n">
        <v>34410076</v>
      </c>
      <c r="C3929" s="2" t="n">
        <v>44559</v>
      </c>
      <c r="D3929" t="inlineStr">
        <is>
          <t>SPEC</t>
        </is>
      </c>
      <c r="E3929" t="inlineStr">
        <is>
          <t>SMT SUPPORT LATERAUX</t>
        </is>
      </c>
      <c r="J3929" t="inlineStr">
        <is>
          <t>BERNARDEAU</t>
        </is>
      </c>
      <c r="K3929" t="inlineStr">
        <is>
          <t>METAL</t>
        </is>
      </c>
      <c r="L3929">
        <f>_xlfn.XLOOKUP(Tableau1[[#This Row],[TYPE DE PIECE]],Tableau4[MATIERE],Tableau4[SHORT TYPE],"",0,1)</f>
        <v/>
      </c>
      <c r="N3929">
        <f>IF(ISERR(FIND("DECOUPE",Tableau1[[#This Row],[DESIGNATION]])),"","NEED REF")</f>
        <v/>
      </c>
    </row>
    <row r="3930">
      <c r="B3930" t="n">
        <v>34410075</v>
      </c>
      <c r="C3930" s="2" t="n">
        <v>44558</v>
      </c>
      <c r="D3930" t="inlineStr">
        <is>
          <t>SPEC</t>
        </is>
      </c>
      <c r="E3930" t="inlineStr">
        <is>
          <t>COP LIAISON</t>
        </is>
      </c>
      <c r="J3930" t="inlineStr">
        <is>
          <t>BERNARDEAU</t>
        </is>
      </c>
      <c r="K3930" t="inlineStr">
        <is>
          <t>CUIVRE</t>
        </is>
      </c>
      <c r="L3930">
        <f>_xlfn.XLOOKUP(Tableau1[[#This Row],[TYPE DE PIECE]],Tableau4[MATIERE],Tableau4[SHORT TYPE],"",0,1)</f>
        <v/>
      </c>
      <c r="N3930">
        <f>IF(ISERR(FIND("DECOUPE",Tableau1[[#This Row],[DESIGNATION]])),"","NEED REF")</f>
        <v/>
      </c>
    </row>
    <row r="3931">
      <c r="B3931" t="n">
        <v>34410074</v>
      </c>
      <c r="C3931" s="2" t="n">
        <v>44558</v>
      </c>
      <c r="D3931" t="inlineStr">
        <is>
          <t>SPEC</t>
        </is>
      </c>
      <c r="E3931" t="inlineStr">
        <is>
          <t>SUPPORT POUR 04662 L.350</t>
        </is>
      </c>
      <c r="J3931" t="inlineStr">
        <is>
          <t>BERNARDEAU</t>
        </is>
      </c>
      <c r="K3931" t="inlineStr">
        <is>
          <t>METAL</t>
        </is>
      </c>
      <c r="L3931">
        <f>_xlfn.XLOOKUP(Tableau1[[#This Row],[TYPE DE PIECE]],Tableau4[MATIERE],Tableau4[SHORT TYPE],"",0,1)</f>
        <v/>
      </c>
      <c r="N3931">
        <f>IF(ISERR(FIND("DECOUPE",Tableau1[[#This Row],[DESIGNATION]])),"","NEED REF")</f>
        <v/>
      </c>
    </row>
    <row r="3932">
      <c r="B3932" t="n">
        <v>34410073</v>
      </c>
      <c r="C3932" s="2" t="n">
        <v>44558</v>
      </c>
      <c r="D3932" t="inlineStr">
        <is>
          <t>SPEC</t>
        </is>
      </c>
      <c r="E3932" t="inlineStr">
        <is>
          <t>COP LIAISON 3</t>
        </is>
      </c>
      <c r="J3932" t="inlineStr">
        <is>
          <t>BERNARDEAU</t>
        </is>
      </c>
      <c r="K3932" t="inlineStr">
        <is>
          <t>CUIVRE</t>
        </is>
      </c>
      <c r="L3932">
        <f>_xlfn.XLOOKUP(Tableau1[[#This Row],[TYPE DE PIECE]],Tableau4[MATIERE],Tableau4[SHORT TYPE],"",0,1)</f>
        <v/>
      </c>
      <c r="N3932">
        <f>IF(ISERR(FIND("DECOUPE",Tableau1[[#This Row],[DESIGNATION]])),"","NEED REF")</f>
        <v/>
      </c>
    </row>
    <row r="3933">
      <c r="B3933" t="n">
        <v>34410072</v>
      </c>
      <c r="C3933" s="2" t="n">
        <v>44558</v>
      </c>
      <c r="D3933" t="inlineStr">
        <is>
          <t>SPEC</t>
        </is>
      </c>
      <c r="E3933" t="inlineStr">
        <is>
          <t>COP LIAISON 2</t>
        </is>
      </c>
      <c r="J3933" t="inlineStr">
        <is>
          <t>BERNARDEAU</t>
        </is>
      </c>
      <c r="K3933" t="inlineStr">
        <is>
          <t>CUIVRE</t>
        </is>
      </c>
      <c r="L3933">
        <f>_xlfn.XLOOKUP(Tableau1[[#This Row],[TYPE DE PIECE]],Tableau4[MATIERE],Tableau4[SHORT TYPE],"",0,1)</f>
        <v/>
      </c>
      <c r="N3933">
        <f>IF(ISERR(FIND("DECOUPE",Tableau1[[#This Row],[DESIGNATION]])),"","NEED REF")</f>
        <v/>
      </c>
    </row>
    <row r="3934">
      <c r="B3934" t="n">
        <v>34410071</v>
      </c>
      <c r="C3934" s="2" t="n">
        <v>44558</v>
      </c>
      <c r="D3934" t="inlineStr">
        <is>
          <t>SPEC</t>
        </is>
      </c>
      <c r="E3934" t="inlineStr">
        <is>
          <t>COP LIAISON 1</t>
        </is>
      </c>
      <c r="J3934" t="inlineStr">
        <is>
          <t>BERNARDEAU</t>
        </is>
      </c>
      <c r="K3934" t="inlineStr">
        <is>
          <t>CUIVRE</t>
        </is>
      </c>
      <c r="L3934">
        <f>_xlfn.XLOOKUP(Tableau1[[#This Row],[TYPE DE PIECE]],Tableau4[MATIERE],Tableau4[SHORT TYPE],"",0,1)</f>
        <v/>
      </c>
      <c r="N3934">
        <f>IF(ISERR(FIND("DECOUPE",Tableau1[[#This Row],[DESIGNATION]])),"","NEED REF")</f>
        <v/>
      </c>
    </row>
    <row r="3935">
      <c r="B3935" t="n">
        <v>34410070</v>
      </c>
      <c r="C3935" s="2" t="n">
        <v>44558</v>
      </c>
      <c r="D3935" t="inlineStr">
        <is>
          <t>SPEC</t>
        </is>
      </c>
      <c r="E3935" t="inlineStr">
        <is>
          <t>COP LIAISON PE</t>
        </is>
      </c>
      <c r="J3935" t="inlineStr">
        <is>
          <t>BERNARDEAU</t>
        </is>
      </c>
      <c r="K3935" t="inlineStr">
        <is>
          <t>CUIVRE</t>
        </is>
      </c>
      <c r="L3935">
        <f>_xlfn.XLOOKUP(Tableau1[[#This Row],[TYPE DE PIECE]],Tableau4[MATIERE],Tableau4[SHORT TYPE],"",0,1)</f>
        <v/>
      </c>
      <c r="N3935">
        <f>IF(ISERR(FIND("DECOUPE",Tableau1[[#This Row],[DESIGNATION]])),"","NEED REF")</f>
        <v/>
      </c>
    </row>
    <row r="3936">
      <c r="B3936" t="n">
        <v>34410069</v>
      </c>
      <c r="C3936" s="2" t="n">
        <v>44550</v>
      </c>
      <c r="D3936" t="inlineStr">
        <is>
          <t>SPEC</t>
        </is>
      </c>
      <c r="E3936" t="inlineStr">
        <is>
          <t>SMT REHAUSSE 400MM H70MM LAT. VENTIL. RAL9003</t>
        </is>
      </c>
      <c r="G3936" t="inlineStr">
        <is>
          <t>GVX</t>
        </is>
      </c>
      <c r="H3936" t="inlineStr">
        <is>
          <t>AUX</t>
        </is>
      </c>
      <c r="J3936" t="inlineStr">
        <is>
          <t>BERNARDEAU</t>
        </is>
      </c>
      <c r="K3936" t="inlineStr">
        <is>
          <t>METAL</t>
        </is>
      </c>
      <c r="L3936">
        <f>_xlfn.XLOOKUP(Tableau1[[#This Row],[TYPE DE PIECE]],Tableau4[MATIERE],Tableau4[SHORT TYPE],"",0,1)</f>
        <v/>
      </c>
      <c r="N3936">
        <f>IF(ISERR(FIND("DECOUPE",Tableau1[[#This Row],[DESIGNATION]])),"","NEED REF")</f>
        <v/>
      </c>
    </row>
    <row r="3937">
      <c r="B3937" t="n">
        <v>34410068</v>
      </c>
      <c r="C3937" s="2" t="n">
        <v>44550</v>
      </c>
      <c r="D3937" t="inlineStr">
        <is>
          <t>SPEC</t>
        </is>
      </c>
      <c r="E3937" t="inlineStr">
        <is>
          <t>SMT TOIT COFFRET</t>
        </is>
      </c>
      <c r="F3937" t="inlineStr">
        <is>
          <t>Supernap Italy - LI ION TOP ENTRY PULL CABINET 4000A WITH FUS</t>
        </is>
      </c>
      <c r="G3937" t="inlineStr">
        <is>
          <t>GVX</t>
        </is>
      </c>
      <c r="H3937" t="inlineStr">
        <is>
          <t>AUX</t>
        </is>
      </c>
      <c r="J3937" t="inlineStr">
        <is>
          <t>BERNARDEAU</t>
        </is>
      </c>
      <c r="K3937" t="inlineStr">
        <is>
          <t>METAL</t>
        </is>
      </c>
      <c r="L3937">
        <f>_xlfn.XLOOKUP(Tableau1[[#This Row],[TYPE DE PIECE]],Tableau4[MATIERE],Tableau4[SHORT TYPE],"",0,1)</f>
        <v/>
      </c>
      <c r="N3937">
        <f>IF(ISERR(FIND("DECOUPE",Tableau1[[#This Row],[DESIGNATION]])),"","NEED REF")</f>
        <v/>
      </c>
    </row>
    <row r="3938">
      <c r="B3938" t="n">
        <v>34410067</v>
      </c>
      <c r="C3938" s="2" t="n">
        <v>44546</v>
      </c>
      <c r="D3938" t="inlineStr">
        <is>
          <t>SPEC</t>
        </is>
      </c>
      <c r="E3938" t="inlineStr">
        <is>
          <t>Plastron bas</t>
        </is>
      </c>
      <c r="F3938" t="inlineStr">
        <is>
          <t>PDPM277H</t>
        </is>
      </c>
      <c r="J3938" t="inlineStr">
        <is>
          <t>BERNARDEAU</t>
        </is>
      </c>
      <c r="K3938" t="inlineStr">
        <is>
          <t>METAL</t>
        </is>
      </c>
      <c r="L3938">
        <f>_xlfn.XLOOKUP(Tableau1[[#This Row],[TYPE DE PIECE]],Tableau4[MATIERE],Tableau4[SHORT TYPE],"",0,1)</f>
        <v/>
      </c>
      <c r="N3938">
        <f>IF(ISERR(FIND("DECOUPE",Tableau1[[#This Row],[DESIGNATION]])),"","NEED REF")</f>
        <v/>
      </c>
    </row>
    <row r="3939">
      <c r="B3939" t="n">
        <v>34410066</v>
      </c>
      <c r="C3939" s="2" t="n">
        <v>44545</v>
      </c>
      <c r="D3939" t="inlineStr">
        <is>
          <t>SPEC</t>
        </is>
      </c>
      <c r="E3939" t="inlineStr">
        <is>
          <t>Plaque transparente</t>
        </is>
      </c>
      <c r="F3939" t="inlineStr">
        <is>
          <t>PDPM277H</t>
        </is>
      </c>
      <c r="J3939" t="inlineStr">
        <is>
          <t>BERNARDEAU</t>
        </is>
      </c>
      <c r="K3939" t="inlineStr">
        <is>
          <t>PLASTIQUE</t>
        </is>
      </c>
      <c r="L3939">
        <f>_xlfn.XLOOKUP(Tableau1[[#This Row],[TYPE DE PIECE]],Tableau4[MATIERE],Tableau4[SHORT TYPE],"",0,1)</f>
        <v/>
      </c>
      <c r="N3939">
        <f>IF(ISERR(FIND("DECOUPE",Tableau1[[#This Row],[DESIGNATION]])),"","NEED REF")</f>
        <v/>
      </c>
    </row>
    <row r="3940">
      <c r="B3940" t="n">
        <v>34410065</v>
      </c>
      <c r="C3940" s="2" t="n">
        <v>44545</v>
      </c>
      <c r="D3940" t="inlineStr">
        <is>
          <t>SPEC</t>
        </is>
      </c>
      <c r="E3940" t="inlineStr">
        <is>
          <t>SE HALO EXTRA LARGE</t>
        </is>
      </c>
      <c r="G3940" t="inlineStr">
        <is>
          <t>GV</t>
        </is>
      </c>
      <c r="J3940" t="inlineStr">
        <is>
          <t>MATRION</t>
        </is>
      </c>
      <c r="L3940">
        <f>_xlfn.XLOOKUP(Tableau1[[#This Row],[TYPE DE PIECE]],Tableau4[MATIERE],Tableau4[SHORT TYPE],"",0,1)</f>
        <v/>
      </c>
      <c r="N3940">
        <f>IF(ISERR(FIND("DECOUPE",Tableau1[[#This Row],[DESIGNATION]])),"","NEED REF")</f>
        <v/>
      </c>
    </row>
    <row r="3941">
      <c r="B3941" t="n">
        <v>34410064</v>
      </c>
      <c r="C3941" s="2" t="n">
        <v>44545</v>
      </c>
      <c r="D3941" t="inlineStr">
        <is>
          <t>SPEC</t>
        </is>
      </c>
      <c r="J3941" t="inlineStr">
        <is>
          <t>BERNARDEAU</t>
        </is>
      </c>
      <c r="L3941">
        <f>_xlfn.XLOOKUP(Tableau1[[#This Row],[TYPE DE PIECE]],Tableau4[MATIERE],Tableau4[SHORT TYPE],"",0,1)</f>
        <v/>
      </c>
      <c r="N3941">
        <f>IF(ISERR(FIND("DECOUPE",Tableau1[[#This Row],[DESIGNATION]])),"","NEED REF")</f>
        <v/>
      </c>
    </row>
    <row r="3942">
      <c r="B3942" t="n">
        <v>34410063</v>
      </c>
      <c r="C3942" s="2" t="n">
        <v>44545</v>
      </c>
      <c r="D3942" t="inlineStr">
        <is>
          <t>SPEC</t>
        </is>
      </c>
      <c r="G3942" t="inlineStr">
        <is>
          <t>GV</t>
        </is>
      </c>
      <c r="H3942" t="inlineStr">
        <is>
          <t>AUX</t>
        </is>
      </c>
      <c r="J3942" t="inlineStr">
        <is>
          <t>BERNARDEAU</t>
        </is>
      </c>
      <c r="L3942">
        <f>_xlfn.XLOOKUP(Tableau1[[#This Row],[TYPE DE PIECE]],Tableau4[MATIERE],Tableau4[SHORT TYPE],"",0,1)</f>
        <v/>
      </c>
      <c r="N3942">
        <f>IF(ISERR(FIND("DECOUPE",Tableau1[[#This Row],[DESIGNATION]])),"","NEED REF")</f>
        <v/>
      </c>
    </row>
    <row r="3943" ht="15" customHeight="1" s="142">
      <c r="B3943" t="n">
        <v>34410062</v>
      </c>
      <c r="C3943" s="2" t="n">
        <v>44545</v>
      </c>
      <c r="D3943" t="inlineStr">
        <is>
          <t>SPEC</t>
        </is>
      </c>
      <c r="G3943" t="inlineStr">
        <is>
          <t>GV</t>
        </is>
      </c>
      <c r="H3943" t="inlineStr">
        <is>
          <t>AUX</t>
        </is>
      </c>
      <c r="J3943" t="inlineStr">
        <is>
          <t>BERNARDEAU</t>
        </is>
      </c>
      <c r="L3943">
        <f>_xlfn.XLOOKUP(Tableau1[[#This Row],[TYPE DE PIECE]],Tableau4[MATIERE],Tableau4[SHORT TYPE],"",0,1)</f>
        <v/>
      </c>
      <c r="N3943">
        <f>IF(ISERR(FIND("DECOUPE",Tableau1[[#This Row],[DESIGNATION]])),"","NEED REF")</f>
        <v/>
      </c>
    </row>
    <row r="3944" ht="15" customHeight="1" s="142">
      <c r="B3944" t="n">
        <v>34410061</v>
      </c>
      <c r="C3944" s="2" t="n">
        <v>44545</v>
      </c>
      <c r="D3944" t="inlineStr">
        <is>
          <t>SPEC</t>
        </is>
      </c>
      <c r="G3944" t="inlineStr">
        <is>
          <t>GV</t>
        </is>
      </c>
      <c r="H3944" t="inlineStr">
        <is>
          <t>AUX</t>
        </is>
      </c>
      <c r="J3944" t="inlineStr">
        <is>
          <t>BERNARDEAU</t>
        </is>
      </c>
      <c r="L3944">
        <f>_xlfn.XLOOKUP(Tableau1[[#This Row],[TYPE DE PIECE]],Tableau4[MATIERE],Tableau4[SHORT TYPE],"",0,1)</f>
        <v/>
      </c>
      <c r="N3944">
        <f>IF(ISERR(FIND("DECOUPE",Tableau1[[#This Row],[DESIGNATION]])),"","NEED REF")</f>
        <v/>
      </c>
    </row>
    <row r="3945" ht="15" customHeight="1" s="142">
      <c r="B3945" t="n">
        <v>34410060</v>
      </c>
      <c r="C3945" s="2" t="n">
        <v>44545</v>
      </c>
      <c r="D3945" t="inlineStr">
        <is>
          <t>SPEC</t>
        </is>
      </c>
      <c r="G3945" t="inlineStr">
        <is>
          <t>GV</t>
        </is>
      </c>
      <c r="H3945" t="inlineStr">
        <is>
          <t>AUX</t>
        </is>
      </c>
      <c r="J3945" t="inlineStr">
        <is>
          <t>BERNARDEAU</t>
        </is>
      </c>
      <c r="L3945">
        <f>_xlfn.XLOOKUP(Tableau1[[#This Row],[TYPE DE PIECE]],Tableau4[MATIERE],Tableau4[SHORT TYPE],"",0,1)</f>
        <v/>
      </c>
      <c r="N3945">
        <f>IF(ISERR(FIND("DECOUPE",Tableau1[[#This Row],[DESIGNATION]])),"","NEED REF")</f>
        <v/>
      </c>
    </row>
    <row r="3946" ht="15" customHeight="1" s="142">
      <c r="B3946" t="n">
        <v>34410059</v>
      </c>
      <c r="C3946" s="2" t="n">
        <v>44545</v>
      </c>
      <c r="D3946" t="inlineStr">
        <is>
          <t>SPEC</t>
        </is>
      </c>
      <c r="G3946" t="inlineStr">
        <is>
          <t>GV</t>
        </is>
      </c>
      <c r="H3946" t="inlineStr">
        <is>
          <t>AUX</t>
        </is>
      </c>
      <c r="J3946" t="inlineStr">
        <is>
          <t>BERNARDEAU</t>
        </is>
      </c>
      <c r="L3946">
        <f>_xlfn.XLOOKUP(Tableau1[[#This Row],[TYPE DE PIECE]],Tableau4[MATIERE],Tableau4[SHORT TYPE],"",0,1)</f>
        <v/>
      </c>
      <c r="N3946">
        <f>IF(ISERR(FIND("DECOUPE",Tableau1[[#This Row],[DESIGNATION]])),"","NEED REF")</f>
        <v/>
      </c>
    </row>
    <row r="3947" ht="15" customHeight="1" s="142">
      <c r="B3947" t="n">
        <v>34410058</v>
      </c>
      <c r="C3947" s="2" t="n">
        <v>44545</v>
      </c>
      <c r="D3947" t="inlineStr">
        <is>
          <t>SPEC</t>
        </is>
      </c>
      <c r="E3947" t="inlineStr">
        <is>
          <t>WOOD BOTTOM FLOOR BOARD</t>
        </is>
      </c>
      <c r="F3947" t="inlineStr">
        <is>
          <t>ABU DHABI</t>
        </is>
      </c>
      <c r="G3947" t="inlineStr">
        <is>
          <t>GVX</t>
        </is>
      </c>
      <c r="H3947" t="inlineStr">
        <is>
          <t>BYPASS</t>
        </is>
      </c>
      <c r="J3947" t="inlineStr">
        <is>
          <t>JAWORSKI</t>
        </is>
      </c>
      <c r="K3947" t="inlineStr">
        <is>
          <t>PALETTE</t>
        </is>
      </c>
      <c r="L3947">
        <f>_xlfn.XLOOKUP(Tableau1[[#This Row],[TYPE DE PIECE]],Tableau4[MATIERE],Tableau4[SHORT TYPE],"",0,1)</f>
        <v/>
      </c>
      <c r="N3947">
        <f>IF(ISERR(FIND("DECOUPE",Tableau1[[#This Row],[DESIGNATION]])),"","NEED REF")</f>
        <v/>
      </c>
    </row>
    <row r="3948" ht="15" customHeight="1" s="142">
      <c r="B3948" t="n">
        <v>34410057</v>
      </c>
      <c r="C3948" s="2" t="n">
        <v>44540</v>
      </c>
      <c r="D3948" t="inlineStr">
        <is>
          <t>SPEC</t>
        </is>
      </c>
      <c r="E3948" t="inlineStr">
        <is>
          <t>SMT ANGLE RAIL DIN AJUSTABLE</t>
        </is>
      </c>
      <c r="F3948" t="inlineStr">
        <is>
          <t>Supernap Italy - LI ION TOP ENTRY PULL CABINET 4000A WITH FUS</t>
        </is>
      </c>
      <c r="G3948" t="inlineStr">
        <is>
          <t>GVX</t>
        </is>
      </c>
      <c r="H3948" t="inlineStr">
        <is>
          <t>IO</t>
        </is>
      </c>
      <c r="J3948" t="inlineStr">
        <is>
          <t>JAWORSKI</t>
        </is>
      </c>
      <c r="K3948" t="inlineStr">
        <is>
          <t>METAL</t>
        </is>
      </c>
      <c r="L3948">
        <f>_xlfn.XLOOKUP(Tableau1[[#This Row],[TYPE DE PIECE]],Tableau4[MATIERE],Tableau4[SHORT TYPE],"",0,1)</f>
        <v/>
      </c>
      <c r="N3948">
        <f>IF(ISERR(FIND("DECOUPE",Tableau1[[#This Row],[DESIGNATION]])),"","NEED REF")</f>
        <v/>
      </c>
    </row>
    <row r="3949" ht="15" customHeight="1" s="142">
      <c r="B3949" t="n">
        <v>34410056</v>
      </c>
      <c r="C3949" s="2" t="n">
        <v>44540</v>
      </c>
      <c r="D3949" t="inlineStr">
        <is>
          <t>SPEC</t>
        </is>
      </c>
      <c r="E3949" t="inlineStr">
        <is>
          <t>SMT REHAUSSE 200MM IO1250kW RAL9003</t>
        </is>
      </c>
      <c r="G3949" t="inlineStr">
        <is>
          <t>GVX</t>
        </is>
      </c>
      <c r="H3949" t="inlineStr">
        <is>
          <t>IO</t>
        </is>
      </c>
      <c r="J3949" t="inlineStr">
        <is>
          <t>MATRION</t>
        </is>
      </c>
      <c r="K3949" t="inlineStr">
        <is>
          <t>METAL</t>
        </is>
      </c>
      <c r="L3949">
        <f>_xlfn.XLOOKUP(Tableau1[[#This Row],[TYPE DE PIECE]],Tableau4[MATIERE],Tableau4[SHORT TYPE],"",0,1)</f>
        <v/>
      </c>
      <c r="N3949">
        <f>IF(ISERR(FIND("DECOUPE",Tableau1[[#This Row],[DESIGNATION]])),"","NEED REF")</f>
        <v/>
      </c>
    </row>
    <row r="3950" ht="15" customHeight="1" s="142">
      <c r="B3950" t="n">
        <v>34410055</v>
      </c>
      <c r="C3950" s="2" t="n">
        <v>44540</v>
      </c>
      <c r="D3950" t="inlineStr">
        <is>
          <t>SPEC</t>
        </is>
      </c>
      <c r="E3950" t="inlineStr">
        <is>
          <t>COP PONTAGE PE</t>
        </is>
      </c>
      <c r="G3950" t="inlineStr">
        <is>
          <t>GVX</t>
        </is>
      </c>
      <c r="H3950" t="inlineStr">
        <is>
          <t>IO</t>
        </is>
      </c>
      <c r="J3950" t="inlineStr">
        <is>
          <t>MATRION</t>
        </is>
      </c>
      <c r="K3950" t="inlineStr">
        <is>
          <t>CUIVRE</t>
        </is>
      </c>
      <c r="L3950">
        <f>_xlfn.XLOOKUP(Tableau1[[#This Row],[TYPE DE PIECE]],Tableau4[MATIERE],Tableau4[SHORT TYPE],"",0,1)</f>
        <v/>
      </c>
      <c r="N3950">
        <f>IF(ISERR(FIND("DECOUPE",Tableau1[[#This Row],[DESIGNATION]])),"","NEED REF")</f>
        <v/>
      </c>
    </row>
    <row r="3951" ht="15" customHeight="1" s="142">
      <c r="B3951" t="n">
        <v>34410054</v>
      </c>
      <c r="C3951" s="2" t="n">
        <v>44539</v>
      </c>
      <c r="D3951" t="inlineStr">
        <is>
          <t>SPEC</t>
        </is>
      </c>
      <c r="E3951" t="inlineStr">
        <is>
          <t>COP LIAISON N 1250kVA 3</t>
        </is>
      </c>
      <c r="G3951" t="inlineStr">
        <is>
          <t>GVX</t>
        </is>
      </c>
      <c r="H3951" t="inlineStr">
        <is>
          <t>IO</t>
        </is>
      </c>
      <c r="J3951" t="inlineStr">
        <is>
          <t>MATRION</t>
        </is>
      </c>
      <c r="K3951" t="inlineStr">
        <is>
          <t>CUIVRE</t>
        </is>
      </c>
      <c r="L3951">
        <f>_xlfn.XLOOKUP(Tableau1[[#This Row],[TYPE DE PIECE]],Tableau4[MATIERE],Tableau4[SHORT TYPE],"",0,1)</f>
        <v/>
      </c>
      <c r="N3951">
        <f>IF(ISERR(FIND("DECOUPE",Tableau1[[#This Row],[DESIGNATION]])),"","NEED REF")</f>
        <v/>
      </c>
    </row>
    <row r="3952" ht="15" customHeight="1" s="142">
      <c r="B3952" t="n">
        <v>34410053</v>
      </c>
      <c r="C3952" s="2" t="n">
        <v>44539</v>
      </c>
      <c r="D3952" t="inlineStr">
        <is>
          <t>SPEC</t>
        </is>
      </c>
      <c r="E3952" t="inlineStr">
        <is>
          <t>COP LIAISON N 1250kVA 2</t>
        </is>
      </c>
      <c r="G3952" t="inlineStr">
        <is>
          <t>GVX</t>
        </is>
      </c>
      <c r="H3952" t="inlineStr">
        <is>
          <t>IO</t>
        </is>
      </c>
      <c r="J3952" t="inlineStr">
        <is>
          <t>MATRION</t>
        </is>
      </c>
      <c r="K3952" t="inlineStr">
        <is>
          <t>CUIVRE</t>
        </is>
      </c>
      <c r="L3952">
        <f>_xlfn.XLOOKUP(Tableau1[[#This Row],[TYPE DE PIECE]],Tableau4[MATIERE],Tableau4[SHORT TYPE],"",0,1)</f>
        <v/>
      </c>
      <c r="N3952">
        <f>IF(ISERR(FIND("DECOUPE",Tableau1[[#This Row],[DESIGNATION]])),"","NEED REF")</f>
        <v/>
      </c>
    </row>
    <row r="3953" ht="15" customHeight="1" s="142">
      <c r="B3953" t="n">
        <v>34410052</v>
      </c>
      <c r="C3953" s="2" t="n">
        <v>44539</v>
      </c>
      <c r="D3953" t="inlineStr">
        <is>
          <t>SPEC</t>
        </is>
      </c>
      <c r="E3953" t="inlineStr">
        <is>
          <t>COP LIAISON N 1250kVA 1</t>
        </is>
      </c>
      <c r="G3953" t="inlineStr">
        <is>
          <t>GVX</t>
        </is>
      </c>
      <c r="H3953" t="inlineStr">
        <is>
          <t>IO</t>
        </is>
      </c>
      <c r="J3953" t="inlineStr">
        <is>
          <t>MATRION</t>
        </is>
      </c>
      <c r="K3953" t="inlineStr">
        <is>
          <t>CUIVRE</t>
        </is>
      </c>
      <c r="L3953">
        <f>_xlfn.XLOOKUP(Tableau1[[#This Row],[TYPE DE PIECE]],Tableau4[MATIERE],Tableau4[SHORT TYPE],"",0,1)</f>
        <v/>
      </c>
      <c r="N3953">
        <f>IF(ISERR(FIND("DECOUPE",Tableau1[[#This Row],[DESIGNATION]])),"","NEED REF")</f>
        <v/>
      </c>
    </row>
    <row r="3954" ht="15" customHeight="1" s="142">
      <c r="B3954" t="n">
        <v>34410051</v>
      </c>
      <c r="C3954" s="2" t="n">
        <v>44539</v>
      </c>
      <c r="D3954" t="inlineStr">
        <is>
          <t>SPEC</t>
        </is>
      </c>
      <c r="E3954" t="inlineStr">
        <is>
          <t>CABLE REINFORCEMENT HALO EXTRA LARGE</t>
        </is>
      </c>
      <c r="G3954" t="inlineStr">
        <is>
          <t>GV</t>
        </is>
      </c>
      <c r="J3954" t="inlineStr">
        <is>
          <t>MATRION</t>
        </is>
      </c>
      <c r="K3954" t="inlineStr">
        <is>
          <t>PLASTIQUE</t>
        </is>
      </c>
      <c r="L3954">
        <f>_xlfn.XLOOKUP(Tableau1[[#This Row],[TYPE DE PIECE]],Tableau4[MATIERE],Tableau4[SHORT TYPE],"",0,1)</f>
        <v/>
      </c>
      <c r="N3954">
        <f>IF(ISERR(FIND("DECOUPE",Tableau1[[#This Row],[DESIGNATION]])),"","NEED REF")</f>
        <v/>
      </c>
    </row>
    <row r="3955" ht="15" customHeight="1" s="142">
      <c r="B3955" t="n">
        <v>34410050</v>
      </c>
      <c r="C3955" s="2" t="n">
        <v>44538</v>
      </c>
      <c r="D3955" t="inlineStr">
        <is>
          <t>SPEC</t>
        </is>
      </c>
      <c r="E3955" t="inlineStr">
        <is>
          <t>Armoire SAREL SPACIAL SF dimensions H1800xL1200xP600xsocle173 - Sans RAL - F21120123MHZ/A0</t>
        </is>
      </c>
      <c r="F3955" t="inlineStr">
        <is>
          <t>Supernap Italy - LI ION TOP ENTRY PULL CABINET 4000A WITH FUS</t>
        </is>
      </c>
      <c r="G3955" t="inlineStr">
        <is>
          <t>GVX</t>
        </is>
      </c>
      <c r="H3955" t="inlineStr">
        <is>
          <t>AUX</t>
        </is>
      </c>
      <c r="J3955" t="inlineStr">
        <is>
          <t>JAWORSKI</t>
        </is>
      </c>
      <c r="K3955" t="inlineStr">
        <is>
          <t>METAL</t>
        </is>
      </c>
      <c r="L3955">
        <f>_xlfn.XLOOKUP(Tableau1[[#This Row],[TYPE DE PIECE]],Tableau4[MATIERE],Tableau4[SHORT TYPE],"",0,1)</f>
        <v/>
      </c>
      <c r="N3955">
        <f>IF(ISERR(FIND("DECOUPE",Tableau1[[#This Row],[DESIGNATION]])),"","NEED REF")</f>
        <v/>
      </c>
    </row>
    <row r="3956" ht="15" customHeight="1" s="142">
      <c r="B3956" t="n">
        <v>34410049</v>
      </c>
      <c r="C3956" s="2" t="n">
        <v>44537</v>
      </c>
      <c r="D3956" t="inlineStr">
        <is>
          <t>SPEC</t>
        </is>
      </c>
      <c r="E3956" t="inlineStr">
        <is>
          <t>COP PE 1/2 LIAISON TGAB</t>
        </is>
      </c>
      <c r="G3956" t="inlineStr">
        <is>
          <t>GVX</t>
        </is>
      </c>
      <c r="H3956" t="inlineStr">
        <is>
          <t>IO</t>
        </is>
      </c>
      <c r="J3956" t="inlineStr">
        <is>
          <t>MATRION</t>
        </is>
      </c>
      <c r="K3956" t="inlineStr">
        <is>
          <t>CUIVRE</t>
        </is>
      </c>
      <c r="L3956">
        <f>_xlfn.XLOOKUP(Tableau1[[#This Row],[TYPE DE PIECE]],Tableau4[MATIERE],Tableau4[SHORT TYPE],"",0,1)</f>
        <v/>
      </c>
      <c r="N3956">
        <f>IF(ISERR(FIND("DECOUPE",Tableau1[[#This Row],[DESIGNATION]])),"","NEED REF")</f>
        <v/>
      </c>
    </row>
    <row r="3957" ht="15" customHeight="1" s="142">
      <c r="B3957" t="n">
        <v>34410048</v>
      </c>
      <c r="C3957" s="2" t="n">
        <v>44537</v>
      </c>
      <c r="D3957" t="inlineStr">
        <is>
          <t>SPEC</t>
        </is>
      </c>
      <c r="E3957" t="inlineStr">
        <is>
          <t>COP PE LIAISON TGAB</t>
        </is>
      </c>
      <c r="G3957" t="inlineStr">
        <is>
          <t>GVX</t>
        </is>
      </c>
      <c r="H3957" t="inlineStr">
        <is>
          <t>IO</t>
        </is>
      </c>
      <c r="J3957" t="inlineStr">
        <is>
          <t>MATRION</t>
        </is>
      </c>
      <c r="K3957" t="inlineStr">
        <is>
          <t>CUIVRE</t>
        </is>
      </c>
      <c r="L3957">
        <f>_xlfn.XLOOKUP(Tableau1[[#This Row],[TYPE DE PIECE]],Tableau4[MATIERE],Tableau4[SHORT TYPE],"",0,1)</f>
        <v/>
      </c>
      <c r="N3957">
        <f>IF(ISERR(FIND("DECOUPE",Tableau1[[#This Row],[DESIGNATION]])),"","NEED REF")</f>
        <v/>
      </c>
    </row>
    <row r="3958" ht="15" customHeight="1" s="142">
      <c r="B3958" t="n">
        <v>34410047</v>
      </c>
      <c r="C3958" s="2" t="n">
        <v>44536</v>
      </c>
      <c r="D3958" t="inlineStr">
        <is>
          <t>SPEC</t>
        </is>
      </c>
      <c r="E3958" t="inlineStr">
        <is>
          <t>SMT Traverse ISO</t>
        </is>
      </c>
      <c r="F3958" t="inlineStr">
        <is>
          <t>Supernap Italy - LI ION TOP ENTRY PULL CABINET 4000A WITH FUS</t>
        </is>
      </c>
      <c r="G3958" t="inlineStr">
        <is>
          <t>GVX</t>
        </is>
      </c>
      <c r="H3958" t="inlineStr">
        <is>
          <t>AUX</t>
        </is>
      </c>
      <c r="J3958" t="inlineStr">
        <is>
          <t>BERNARDEAU</t>
        </is>
      </c>
      <c r="K3958" t="inlineStr">
        <is>
          <t>METAL</t>
        </is>
      </c>
      <c r="L3958">
        <f>_xlfn.XLOOKUP(Tableau1[[#This Row],[TYPE DE PIECE]],Tableau4[MATIERE],Tableau4[SHORT TYPE],"",0,1)</f>
        <v/>
      </c>
      <c r="N3958">
        <f>IF(ISERR(FIND("DECOUPE",Tableau1[[#This Row],[DESIGNATION]])),"","NEED REF")</f>
        <v/>
      </c>
    </row>
    <row r="3959" ht="15" customHeight="1" s="142">
      <c r="B3959" t="n">
        <v>34410046</v>
      </c>
      <c r="C3959" s="2" t="n">
        <v>44536</v>
      </c>
      <c r="D3959" t="inlineStr">
        <is>
          <t>SPEC</t>
        </is>
      </c>
      <c r="E3959" t="inlineStr">
        <is>
          <t>CALE 2</t>
        </is>
      </c>
      <c r="F3959" t="inlineStr">
        <is>
          <t>Supernap Italy - LI ION TOP ENTRY PULL CABINET 4000A WITH FUS</t>
        </is>
      </c>
      <c r="G3959" t="inlineStr">
        <is>
          <t>GVX</t>
        </is>
      </c>
      <c r="H3959" t="inlineStr">
        <is>
          <t>AUX</t>
        </is>
      </c>
      <c r="J3959" t="inlineStr">
        <is>
          <t>BERNARDEAU</t>
        </is>
      </c>
      <c r="L3959">
        <f>_xlfn.XLOOKUP(Tableau1[[#This Row],[TYPE DE PIECE]],Tableau4[MATIERE],Tableau4[SHORT TYPE],"",0,1)</f>
        <v/>
      </c>
      <c r="N3959">
        <f>IF(ISERR(FIND("DECOUPE",Tableau1[[#This Row],[DESIGNATION]])),"","NEED REF")</f>
        <v/>
      </c>
    </row>
    <row r="3960" ht="15" customHeight="1" s="142">
      <c r="B3960" t="n">
        <v>34410045</v>
      </c>
      <c r="C3960" s="2" t="n">
        <v>44536</v>
      </c>
      <c r="D3960" t="inlineStr">
        <is>
          <t>SPEC</t>
        </is>
      </c>
      <c r="E3960" t="inlineStr">
        <is>
          <t>CALE 1</t>
        </is>
      </c>
      <c r="F3960" t="inlineStr">
        <is>
          <t>Supernap Italy - LI ION TOP ENTRY PULL CABINET 4000A WITH FUS</t>
        </is>
      </c>
      <c r="G3960" t="inlineStr">
        <is>
          <t>GVX</t>
        </is>
      </c>
      <c r="H3960" t="inlineStr">
        <is>
          <t>AUX</t>
        </is>
      </c>
      <c r="J3960" t="inlineStr">
        <is>
          <t>BERNARDEAU</t>
        </is>
      </c>
      <c r="L3960">
        <f>_xlfn.XLOOKUP(Tableau1[[#This Row],[TYPE DE PIECE]],Tableau4[MATIERE],Tableau4[SHORT TYPE],"",0,1)</f>
        <v/>
      </c>
      <c r="N3960">
        <f>IF(ISERR(FIND("DECOUPE",Tableau1[[#This Row],[DESIGNATION]])),"","NEED REF")</f>
        <v/>
      </c>
    </row>
    <row r="3961" ht="15" customHeight="1" s="142">
      <c r="B3961" t="n">
        <v>34410044</v>
      </c>
      <c r="C3961" s="2" t="n">
        <v>44536</v>
      </c>
      <c r="D3961" t="inlineStr">
        <is>
          <t>SPEC</t>
        </is>
      </c>
      <c r="E3961" t="inlineStr">
        <is>
          <t xml:space="preserve">PLA PROTECTION </t>
        </is>
      </c>
      <c r="F3961" t="inlineStr">
        <is>
          <t>Supernap Italy - LI ION TOP ENTRY PULL CABINET 4000A WITH FUS</t>
        </is>
      </c>
      <c r="G3961" t="inlineStr">
        <is>
          <t>GVX</t>
        </is>
      </c>
      <c r="H3961" t="inlineStr">
        <is>
          <t>AUX</t>
        </is>
      </c>
      <c r="J3961" t="inlineStr">
        <is>
          <t>BERNARDEAU</t>
        </is>
      </c>
      <c r="K3961" t="inlineStr">
        <is>
          <t>PLASTIQUE</t>
        </is>
      </c>
      <c r="L3961">
        <f>_xlfn.XLOOKUP(Tableau1[[#This Row],[TYPE DE PIECE]],Tableau4[MATIERE],Tableau4[SHORT TYPE],"",0,1)</f>
        <v/>
      </c>
      <c r="N3961">
        <f>IF(ISERR(FIND("DECOUPE",Tableau1[[#This Row],[DESIGNATION]])),"","NEED REF")</f>
        <v/>
      </c>
    </row>
    <row r="3962" ht="15" customHeight="1" s="142">
      <c r="B3962" t="n">
        <v>34410043</v>
      </c>
      <c r="C3962" s="2" t="n">
        <v>44536</v>
      </c>
      <c r="D3962" t="inlineStr">
        <is>
          <t>SPEC</t>
        </is>
      </c>
      <c r="E3962" t="inlineStr">
        <is>
          <t>COP LIAISON 3</t>
        </is>
      </c>
      <c r="F3962" t="inlineStr">
        <is>
          <t>Supernap Italy - LI ION TOP ENTRY PULL CABINET 4000A WITH FUS</t>
        </is>
      </c>
      <c r="G3962" t="inlineStr">
        <is>
          <t>GVX</t>
        </is>
      </c>
      <c r="H3962" t="inlineStr">
        <is>
          <t>AUX</t>
        </is>
      </c>
      <c r="J3962" t="inlineStr">
        <is>
          <t>BERNARDEAU</t>
        </is>
      </c>
      <c r="K3962" t="inlineStr">
        <is>
          <t>CUIVRE</t>
        </is>
      </c>
      <c r="L3962">
        <f>_xlfn.XLOOKUP(Tableau1[[#This Row],[TYPE DE PIECE]],Tableau4[MATIERE],Tableau4[SHORT TYPE],"",0,1)</f>
        <v/>
      </c>
      <c r="N3962">
        <f>IF(ISERR(FIND("DECOUPE",Tableau1[[#This Row],[DESIGNATION]])),"","NEED REF")</f>
        <v/>
      </c>
    </row>
    <row r="3963" ht="15" customHeight="1" s="142">
      <c r="B3963" t="n">
        <v>34410042</v>
      </c>
      <c r="C3963" s="2" t="n">
        <v>44536</v>
      </c>
      <c r="D3963" t="inlineStr">
        <is>
          <t>SPEC</t>
        </is>
      </c>
      <c r="E3963" t="inlineStr">
        <is>
          <t>COP LIAISON 2</t>
        </is>
      </c>
      <c r="F3963" t="inlineStr">
        <is>
          <t>Supernap Italy - LI ION TOP ENTRY PULL CABINET 4000A WITH FUS</t>
        </is>
      </c>
      <c r="G3963" t="inlineStr">
        <is>
          <t>GVX</t>
        </is>
      </c>
      <c r="H3963" t="inlineStr">
        <is>
          <t>AUX</t>
        </is>
      </c>
      <c r="J3963" t="inlineStr">
        <is>
          <t>BERNARDEAU</t>
        </is>
      </c>
      <c r="K3963" t="inlineStr">
        <is>
          <t>CUIVRE</t>
        </is>
      </c>
      <c r="L3963">
        <f>_xlfn.XLOOKUP(Tableau1[[#This Row],[TYPE DE PIECE]],Tableau4[MATIERE],Tableau4[SHORT TYPE],"",0,1)</f>
        <v/>
      </c>
      <c r="N3963">
        <f>IF(ISERR(FIND("DECOUPE",Tableau1[[#This Row],[DESIGNATION]])),"","NEED REF")</f>
        <v/>
      </c>
    </row>
    <row r="3964" ht="15" customHeight="1" s="142">
      <c r="B3964" t="n">
        <v>34410041</v>
      </c>
      <c r="C3964" s="2" t="n">
        <v>44536</v>
      </c>
      <c r="D3964" t="inlineStr">
        <is>
          <t>SPEC</t>
        </is>
      </c>
      <c r="E3964" t="inlineStr">
        <is>
          <t>COP LIAISON 1</t>
        </is>
      </c>
      <c r="F3964" t="inlineStr">
        <is>
          <t>Supernap Italy - LI ION TOP ENTRY PULL CABINET 4000A WITH FUS</t>
        </is>
      </c>
      <c r="G3964" t="inlineStr">
        <is>
          <t>GVX</t>
        </is>
      </c>
      <c r="H3964" t="inlineStr">
        <is>
          <t>AUX</t>
        </is>
      </c>
      <c r="J3964" t="inlineStr">
        <is>
          <t>BERNARDEAU</t>
        </is>
      </c>
      <c r="K3964" t="inlineStr">
        <is>
          <t>CUIVRE</t>
        </is>
      </c>
      <c r="L3964">
        <f>_xlfn.XLOOKUP(Tableau1[[#This Row],[TYPE DE PIECE]],Tableau4[MATIERE],Tableau4[SHORT TYPE],"",0,1)</f>
        <v/>
      </c>
      <c r="N3964">
        <f>IF(ISERR(FIND("DECOUPE",Tableau1[[#This Row],[DESIGNATION]])),"","NEED REF")</f>
        <v/>
      </c>
    </row>
    <row r="3965" ht="15" customHeight="1" s="142">
      <c r="B3965" t="n">
        <v>34410040</v>
      </c>
      <c r="C3965" s="2" t="n">
        <v>44536</v>
      </c>
      <c r="D3965" t="inlineStr">
        <is>
          <t>SPEC</t>
        </is>
      </c>
      <c r="E3965" t="inlineStr">
        <is>
          <t>COP LIAISON PE</t>
        </is>
      </c>
      <c r="F3965" t="inlineStr">
        <is>
          <t>Supernap Italy - LI ION TOP ENTRY PULL CABINET 4000A WITH FUS</t>
        </is>
      </c>
      <c r="G3965" t="inlineStr">
        <is>
          <t>GVX</t>
        </is>
      </c>
      <c r="H3965" t="inlineStr">
        <is>
          <t>AUX</t>
        </is>
      </c>
      <c r="J3965" t="inlineStr">
        <is>
          <t>BERNARDEAU</t>
        </is>
      </c>
      <c r="K3965" t="inlineStr">
        <is>
          <t>CUIVRE</t>
        </is>
      </c>
      <c r="L3965">
        <f>_xlfn.XLOOKUP(Tableau1[[#This Row],[TYPE DE PIECE]],Tableau4[MATIERE],Tableau4[SHORT TYPE],"",0,1)</f>
        <v/>
      </c>
      <c r="N3965">
        <f>IF(ISERR(FIND("DECOUPE",Tableau1[[#This Row],[DESIGNATION]])),"","NEED REF")</f>
        <v/>
      </c>
    </row>
    <row r="3966" ht="15" customHeight="1" s="142">
      <c r="B3966" t="n">
        <v>34410039</v>
      </c>
      <c r="C3966" s="2" t="n">
        <v>44536</v>
      </c>
      <c r="D3966" t="inlineStr">
        <is>
          <t>SPEC</t>
        </is>
      </c>
      <c r="E3966" t="inlineStr">
        <is>
          <t>SMT COFFRET SUPERNAP</t>
        </is>
      </c>
      <c r="F3966" t="inlineStr">
        <is>
          <t>Supernap Italy - LI ION TOP ENTRY PULL CABINET 4000A WITH FUS</t>
        </is>
      </c>
      <c r="G3966" t="inlineStr">
        <is>
          <t>GVX</t>
        </is>
      </c>
      <c r="H3966" t="inlineStr">
        <is>
          <t>AUX</t>
        </is>
      </c>
      <c r="J3966" t="inlineStr">
        <is>
          <t>BERNARDEAU</t>
        </is>
      </c>
      <c r="K3966" t="inlineStr">
        <is>
          <t>METAL</t>
        </is>
      </c>
      <c r="L3966">
        <f>_xlfn.XLOOKUP(Tableau1[[#This Row],[TYPE DE PIECE]],Tableau4[MATIERE],Tableau4[SHORT TYPE],"",0,1)</f>
        <v/>
      </c>
      <c r="N3966">
        <f>IF(ISERR(FIND("DECOUPE",Tableau1[[#This Row],[DESIGNATION]])),"","NEED REF")</f>
        <v/>
      </c>
    </row>
    <row r="3967" ht="15" customHeight="1" s="142">
      <c r="B3967" t="n">
        <v>34410038</v>
      </c>
      <c r="C3967" s="2" t="n">
        <v>44536</v>
      </c>
      <c r="D3967" t="inlineStr">
        <is>
          <t>SPEC</t>
        </is>
      </c>
      <c r="E3967" t="inlineStr">
        <is>
          <t>WIR INTERCONNEXION IO 3xTETE GAINE A BARRE 1250kVA</t>
        </is>
      </c>
      <c r="G3967" t="inlineStr">
        <is>
          <t>GVX</t>
        </is>
      </c>
      <c r="H3967" t="inlineStr">
        <is>
          <t>IO</t>
        </is>
      </c>
      <c r="J3967" t="inlineStr">
        <is>
          <t>MATRION</t>
        </is>
      </c>
      <c r="K3967" t="inlineStr">
        <is>
          <t>FILERIE</t>
        </is>
      </c>
      <c r="L3967">
        <f>_xlfn.XLOOKUP(Tableau1[[#This Row],[TYPE DE PIECE]],Tableau4[MATIERE],Tableau4[SHORT TYPE],"",0,1)</f>
        <v/>
      </c>
      <c r="N3967">
        <f>IF(ISERR(FIND("DECOUPE",Tableau1[[#This Row],[DESIGNATION]])),"","NEED REF")</f>
        <v/>
      </c>
    </row>
    <row r="3968" ht="15" customHeight="1" s="142">
      <c r="B3968" t="n">
        <v>34410037</v>
      </c>
      <c r="C3968" s="2" t="n">
        <v>44533</v>
      </c>
      <c r="D3968" t="inlineStr">
        <is>
          <t>SPEC</t>
        </is>
      </c>
      <c r="E3968" t="inlineStr">
        <is>
          <t>PLA BRIDAGE PONTAGE</t>
        </is>
      </c>
      <c r="F3968" t="inlineStr">
        <is>
          <t>CHEVRON ORONITE France</t>
        </is>
      </c>
      <c r="G3968" t="inlineStr">
        <is>
          <t>GVX</t>
        </is>
      </c>
      <c r="H3968" t="inlineStr">
        <is>
          <t>BYPASS</t>
        </is>
      </c>
      <c r="J3968" t="inlineStr">
        <is>
          <t>MATRION</t>
        </is>
      </c>
      <c r="K3968" t="inlineStr">
        <is>
          <t>PLASTIQUE</t>
        </is>
      </c>
      <c r="L3968">
        <f>_xlfn.XLOOKUP(Tableau1[[#This Row],[TYPE DE PIECE]],Tableau4[MATIERE],Tableau4[SHORT TYPE],"",0,1)</f>
        <v/>
      </c>
      <c r="N3968">
        <f>IF(ISERR(FIND("DECOUPE",Tableau1[[#This Row],[DESIGNATION]])),"","NEED REF")</f>
        <v/>
      </c>
    </row>
    <row r="3969" ht="15" customHeight="1" s="142">
      <c r="B3969" t="n">
        <v>34410036</v>
      </c>
      <c r="C3969" s="2" t="n">
        <v>44533</v>
      </c>
      <c r="D3969" t="inlineStr">
        <is>
          <t>SPEC</t>
        </is>
      </c>
      <c r="E3969" t="inlineStr">
        <is>
          <t>SMT PLASTRON OUT1 OUT2</t>
        </is>
      </c>
      <c r="F3969" t="inlineStr">
        <is>
          <t>CHEVRON ORONITE France</t>
        </is>
      </c>
      <c r="G3969" t="inlineStr">
        <is>
          <t>GVX</t>
        </is>
      </c>
      <c r="H3969" t="inlineStr">
        <is>
          <t>BYPASS</t>
        </is>
      </c>
      <c r="J3969" t="inlineStr">
        <is>
          <t>MATRION</t>
        </is>
      </c>
      <c r="K3969" t="inlineStr">
        <is>
          <t>METAL</t>
        </is>
      </c>
      <c r="L3969">
        <f>_xlfn.XLOOKUP(Tableau1[[#This Row],[TYPE DE PIECE]],Tableau4[MATIERE],Tableau4[SHORT TYPE],"",0,1)</f>
        <v/>
      </c>
      <c r="N3969">
        <f>IF(ISERR(FIND("DECOUPE",Tableau1[[#This Row],[DESIGNATION]])),"","NEED REF")</f>
        <v/>
      </c>
    </row>
    <row r="3970" ht="15" customHeight="1" s="142">
      <c r="B3970" t="n">
        <v>34410035</v>
      </c>
      <c r="C3970" s="2" t="n">
        <v>44533</v>
      </c>
      <c r="D3970" t="inlineStr">
        <is>
          <t>SPEC</t>
        </is>
      </c>
      <c r="E3970" t="inlineStr">
        <is>
          <t>COP MAINS1 UPS NEUTRE NON COUPE</t>
        </is>
      </c>
      <c r="F3970" t="inlineStr">
        <is>
          <t>CHEVRON ORONITE France</t>
        </is>
      </c>
      <c r="G3970" t="inlineStr">
        <is>
          <t>GVX</t>
        </is>
      </c>
      <c r="H3970" t="inlineStr">
        <is>
          <t>BYPASS</t>
        </is>
      </c>
      <c r="J3970" t="inlineStr">
        <is>
          <t>MATRION</t>
        </is>
      </c>
      <c r="K3970" t="inlineStr">
        <is>
          <t>CUIVRE</t>
        </is>
      </c>
      <c r="L3970">
        <f>_xlfn.XLOOKUP(Tableau1[[#This Row],[TYPE DE PIECE]],Tableau4[MATIERE],Tableau4[SHORT TYPE],"",0,1)</f>
        <v/>
      </c>
      <c r="N3970">
        <f>IF(ISERR(FIND("DECOUPE",Tableau1[[#This Row],[DESIGNATION]])),"","NEED REF")</f>
        <v/>
      </c>
    </row>
    <row r="3971" ht="15" customHeight="1" s="142">
      <c r="B3971" t="n">
        <v>34410034</v>
      </c>
      <c r="C3971" s="2" t="n">
        <v>44533</v>
      </c>
      <c r="D3971" t="inlineStr">
        <is>
          <t>SPEC</t>
        </is>
      </c>
      <c r="E3971" t="inlineStr">
        <is>
          <t>COP LIAISON + PONTAGE</t>
        </is>
      </c>
      <c r="F3971" t="inlineStr">
        <is>
          <t>CHEVRON ORONITE France</t>
        </is>
      </c>
      <c r="G3971" t="inlineStr">
        <is>
          <t>GVX</t>
        </is>
      </c>
      <c r="H3971" t="inlineStr">
        <is>
          <t>BYPASS</t>
        </is>
      </c>
      <c r="J3971" t="inlineStr">
        <is>
          <t>MATRION</t>
        </is>
      </c>
      <c r="K3971" t="inlineStr">
        <is>
          <t>CUIVRE</t>
        </is>
      </c>
      <c r="L3971">
        <f>_xlfn.XLOOKUP(Tableau1[[#This Row],[TYPE DE PIECE]],Tableau4[MATIERE],Tableau4[SHORT TYPE],"",0,1)</f>
        <v/>
      </c>
      <c r="N3971">
        <f>IF(ISERR(FIND("DECOUPE",Tableau1[[#This Row],[DESIGNATION]])),"","NEED REF")</f>
        <v/>
      </c>
    </row>
    <row r="3972" ht="15" customHeight="1" s="142">
      <c r="B3972" t="n">
        <v>34410033</v>
      </c>
      <c r="C3972" s="2" t="n">
        <v>44533</v>
      </c>
      <c r="D3972" t="inlineStr">
        <is>
          <t>SPEC</t>
        </is>
      </c>
      <c r="E3972" t="inlineStr">
        <is>
          <t>COP LIAISON RACC CLIENT ARRIERE + PONTAGE</t>
        </is>
      </c>
      <c r="F3972" t="inlineStr">
        <is>
          <t>CHEVRON ORONITE France</t>
        </is>
      </c>
      <c r="G3972" t="inlineStr">
        <is>
          <t>GVX</t>
        </is>
      </c>
      <c r="H3972" t="inlineStr">
        <is>
          <t>BYPASS</t>
        </is>
      </c>
      <c r="J3972" t="inlineStr">
        <is>
          <t>MATRION</t>
        </is>
      </c>
      <c r="K3972" t="inlineStr">
        <is>
          <t>CUIVRE</t>
        </is>
      </c>
      <c r="L3972">
        <f>_xlfn.XLOOKUP(Tableau1[[#This Row],[TYPE DE PIECE]],Tableau4[MATIERE],Tableau4[SHORT TYPE],"",0,1)</f>
        <v/>
      </c>
      <c r="N3972">
        <f>IF(ISERR(FIND("DECOUPE",Tableau1[[#This Row],[DESIGNATION]])),"","NEED REF")</f>
        <v/>
      </c>
    </row>
    <row r="3973" ht="15" customHeight="1" s="142">
      <c r="B3973" t="n">
        <v>34410032</v>
      </c>
      <c r="C3973" s="2" t="n">
        <v>44532</v>
      </c>
      <c r="D3973" t="inlineStr">
        <is>
          <t>SPEC</t>
        </is>
      </c>
      <c r="E3973" t="inlineStr">
        <is>
          <t>COP PONTAGE BYPASS 500</t>
        </is>
      </c>
      <c r="F3973" t="inlineStr">
        <is>
          <t>CHEVRON ORONITE France</t>
        </is>
      </c>
      <c r="G3973" t="inlineStr">
        <is>
          <t>GVX</t>
        </is>
      </c>
      <c r="H3973" t="inlineStr">
        <is>
          <t>BYPASS</t>
        </is>
      </c>
      <c r="J3973" t="inlineStr">
        <is>
          <t>MATRION</t>
        </is>
      </c>
      <c r="K3973" t="inlineStr">
        <is>
          <t>CUIVRE</t>
        </is>
      </c>
      <c r="L3973">
        <f>_xlfn.XLOOKUP(Tableau1[[#This Row],[TYPE DE PIECE]],Tableau4[MATIERE],Tableau4[SHORT TYPE],"",0,1)</f>
        <v/>
      </c>
      <c r="N3973">
        <f>IF(ISERR(FIND("DECOUPE",Tableau1[[#This Row],[DESIGNATION]])),"","NEED REF")</f>
        <v/>
      </c>
    </row>
    <row r="3974" ht="15" customHeight="1" s="142">
      <c r="B3974" t="n">
        <v>34410031</v>
      </c>
      <c r="C3974" s="2" t="n">
        <v>44531</v>
      </c>
      <c r="D3974" t="inlineStr">
        <is>
          <t>SPEC</t>
        </is>
      </c>
      <c r="E3974" t="inlineStr">
        <is>
          <t>ComPacT NSX NA - PRISES - OF - LOCK</t>
        </is>
      </c>
      <c r="F3974" t="inlineStr">
        <is>
          <t>CHEVRON ORONITE France</t>
        </is>
      </c>
      <c r="G3974" t="inlineStr">
        <is>
          <t>G300</t>
        </is>
      </c>
      <c r="H3974" t="inlineStr">
        <is>
          <t>BYPASS</t>
        </is>
      </c>
      <c r="J3974" t="inlineStr">
        <is>
          <t>MATRION</t>
        </is>
      </c>
      <c r="K3974" t="inlineStr">
        <is>
          <t>=S=</t>
        </is>
      </c>
      <c r="L3974">
        <f>_xlfn.XLOOKUP(Tableau1[[#This Row],[TYPE DE PIECE]],Tableau4[MATIERE],Tableau4[SHORT TYPE],"",0,1)</f>
        <v/>
      </c>
      <c r="N3974">
        <f>IF(ISERR(FIND("DECOUPE",Tableau1[[#This Row],[DESIGNATION]])),"","NEED REF")</f>
        <v/>
      </c>
    </row>
    <row r="3975" ht="15" customHeight="1" s="142">
      <c r="B3975" t="n">
        <v>34410030</v>
      </c>
      <c r="C3975" s="2" t="n">
        <v>44531</v>
      </c>
      <c r="D3975" t="inlineStr">
        <is>
          <t>SPEC</t>
        </is>
      </c>
      <c r="E3975" t="inlineStr">
        <is>
          <t>PLASTRON TRANSPARENT BAS DC CABINET</t>
        </is>
      </c>
      <c r="F3975" t="inlineStr">
        <is>
          <t>Supernap Italy - LI ION TOP ENTRY PULL CABINET 4000A WITH FUS</t>
        </is>
      </c>
      <c r="G3975" t="inlineStr">
        <is>
          <t>GVX</t>
        </is>
      </c>
      <c r="H3975" t="inlineStr">
        <is>
          <t>AUX</t>
        </is>
      </c>
      <c r="J3975" t="inlineStr">
        <is>
          <t>BERNARDEAU</t>
        </is>
      </c>
      <c r="K3975" t="inlineStr">
        <is>
          <t>PLASTIQUE</t>
        </is>
      </c>
      <c r="L3975">
        <f>_xlfn.XLOOKUP(Tableau1[[#This Row],[TYPE DE PIECE]],Tableau4[MATIERE],Tableau4[SHORT TYPE],"",0,1)</f>
        <v/>
      </c>
      <c r="N3975">
        <f>IF(ISERR(FIND("DECOUPE",Tableau1[[#This Row],[DESIGNATION]])),"","NEED REF")</f>
        <v/>
      </c>
    </row>
    <row r="3976" ht="15" customHeight="1" s="142">
      <c r="B3976" t="n">
        <v>34410029</v>
      </c>
      <c r="C3976" s="2" t="n">
        <v>44530</v>
      </c>
      <c r="D3976" t="inlineStr">
        <is>
          <t>SPEC</t>
        </is>
      </c>
      <c r="E3976" t="inlineStr">
        <is>
          <t>SMT PLASTRON HAUT/BAS 100x700MM</t>
        </is>
      </c>
      <c r="G3976" t="inlineStr">
        <is>
          <t>GV</t>
        </is>
      </c>
      <c r="H3976" t="inlineStr">
        <is>
          <t>AUX</t>
        </is>
      </c>
      <c r="J3976" t="inlineStr">
        <is>
          <t>MATRION</t>
        </is>
      </c>
      <c r="K3976" t="inlineStr">
        <is>
          <t>METAL</t>
        </is>
      </c>
      <c r="L3976">
        <f>_xlfn.XLOOKUP(Tableau1[[#This Row],[TYPE DE PIECE]],Tableau4[MATIERE],Tableau4[SHORT TYPE],"",0,1)</f>
        <v/>
      </c>
      <c r="M3976" t="inlineStr">
        <is>
          <t>IP20</t>
        </is>
      </c>
      <c r="N3976">
        <f>IF(ISERR(FIND("DECOUPE",Tableau1[[#This Row],[DESIGNATION]])),"","NEED REF")</f>
        <v/>
      </c>
    </row>
    <row r="3977" ht="15" customHeight="1" s="142">
      <c r="B3977" t="n">
        <v>34410028</v>
      </c>
      <c r="C3977" s="2" t="n">
        <v>44530</v>
      </c>
      <c r="D3977" t="inlineStr">
        <is>
          <t>SPEC</t>
        </is>
      </c>
      <c r="E3977" t="inlineStr">
        <is>
          <t>SMT PLASTRON PLEIN 700x700MM</t>
        </is>
      </c>
      <c r="G3977" t="inlineStr">
        <is>
          <t>GV</t>
        </is>
      </c>
      <c r="H3977" t="inlineStr">
        <is>
          <t>AUX</t>
        </is>
      </c>
      <c r="J3977" t="inlineStr">
        <is>
          <t>MATRION</t>
        </is>
      </c>
      <c r="K3977" t="inlineStr">
        <is>
          <t>METAL</t>
        </is>
      </c>
      <c r="L3977">
        <f>_xlfn.XLOOKUP(Tableau1[[#This Row],[TYPE DE PIECE]],Tableau4[MATIERE],Tableau4[SHORT TYPE],"",0,1)</f>
        <v/>
      </c>
      <c r="M3977" t="inlineStr">
        <is>
          <t>IP20</t>
        </is>
      </c>
      <c r="N3977">
        <f>IF(ISERR(FIND("DECOUPE",Tableau1[[#This Row],[DESIGNATION]])),"","NEED REF")</f>
        <v/>
      </c>
    </row>
    <row r="3978" ht="15" customHeight="1" s="142">
      <c r="B3978" t="n">
        <v>34410027</v>
      </c>
      <c r="C3978" s="2" t="n">
        <v>44530</v>
      </c>
      <c r="D3978" t="inlineStr">
        <is>
          <t>SPEC</t>
        </is>
      </c>
      <c r="E3978" t="inlineStr">
        <is>
          <t>SMT PLASTRON PLEIN 200x700MM</t>
        </is>
      </c>
      <c r="G3978" t="inlineStr">
        <is>
          <t>GV</t>
        </is>
      </c>
      <c r="H3978" t="inlineStr">
        <is>
          <t>AUX</t>
        </is>
      </c>
      <c r="J3978" t="inlineStr">
        <is>
          <t>MATRION</t>
        </is>
      </c>
      <c r="K3978" t="inlineStr">
        <is>
          <t>METAL</t>
        </is>
      </c>
      <c r="L3978">
        <f>_xlfn.XLOOKUP(Tableau1[[#This Row],[TYPE DE PIECE]],Tableau4[MATIERE],Tableau4[SHORT TYPE],"",0,1)</f>
        <v/>
      </c>
      <c r="M3978" t="inlineStr">
        <is>
          <t>IP20</t>
        </is>
      </c>
      <c r="N3978">
        <f>IF(ISERR(FIND("DECOUPE",Tableau1[[#This Row],[DESIGNATION]])),"","NEED REF")</f>
        <v/>
      </c>
    </row>
    <row r="3979" ht="15" customHeight="1" s="142">
      <c r="B3979" t="n">
        <v>34410026</v>
      </c>
      <c r="C3979" s="2" t="n">
        <v>44530</v>
      </c>
      <c r="D3979" t="inlineStr">
        <is>
          <t>SPEC</t>
        </is>
      </c>
      <c r="E3979" t="inlineStr">
        <is>
          <t>SMT PLASTRON PLEIN 300x700MM</t>
        </is>
      </c>
      <c r="G3979" t="inlineStr">
        <is>
          <t>GV</t>
        </is>
      </c>
      <c r="H3979" t="inlineStr">
        <is>
          <t>AUX</t>
        </is>
      </c>
      <c r="J3979" t="inlineStr">
        <is>
          <t>MATRION</t>
        </is>
      </c>
      <c r="K3979" t="inlineStr">
        <is>
          <t>METAL</t>
        </is>
      </c>
      <c r="L3979">
        <f>_xlfn.XLOOKUP(Tableau1[[#This Row],[TYPE DE PIECE]],Tableau4[MATIERE],Tableau4[SHORT TYPE],"",0,1)</f>
        <v/>
      </c>
      <c r="M3979" t="inlineStr">
        <is>
          <t>IP20</t>
        </is>
      </c>
      <c r="N3979">
        <f>IF(ISERR(FIND("DECOUPE",Tableau1[[#This Row],[DESIGNATION]])),"","NEED REF")</f>
        <v/>
      </c>
    </row>
    <row r="3980" ht="15" customHeight="1" s="142">
      <c r="B3980" t="n">
        <v>34410025</v>
      </c>
      <c r="C3980" s="2" t="n">
        <v>44530</v>
      </c>
      <c r="D3980" t="inlineStr">
        <is>
          <t>SPEC</t>
        </is>
      </c>
      <c r="E3980" t="inlineStr">
        <is>
          <t>COP LIAISON 4 PER</t>
        </is>
      </c>
      <c r="F3980" t="inlineStr">
        <is>
          <t>INTERXION MADRID</t>
        </is>
      </c>
      <c r="G3980" t="inlineStr">
        <is>
          <t>GVX</t>
        </is>
      </c>
      <c r="H3980" t="inlineStr">
        <is>
          <t>IO</t>
        </is>
      </c>
      <c r="J3980" t="inlineStr">
        <is>
          <t>JAWORSKI</t>
        </is>
      </c>
      <c r="K3980" t="inlineStr">
        <is>
          <t>CUIVRE</t>
        </is>
      </c>
      <c r="L3980">
        <f>_xlfn.XLOOKUP(Tableau1[[#This Row],[TYPE DE PIECE]],Tableau4[MATIERE],Tableau4[SHORT TYPE],"",0,1)</f>
        <v/>
      </c>
      <c r="N3980">
        <f>IF(ISERR(FIND("DECOUPE",Tableau1[[#This Row],[DESIGNATION]])),"","NEED REF")</f>
        <v/>
      </c>
    </row>
    <row r="3981" ht="15" customHeight="1" s="142">
      <c r="B3981" t="n">
        <v>34410024</v>
      </c>
      <c r="C3981" s="2" t="n">
        <v>44530</v>
      </c>
      <c r="D3981" t="inlineStr">
        <is>
          <t>SPEC</t>
        </is>
      </c>
      <c r="E3981" t="inlineStr">
        <is>
          <t>COP LIAISON 3 PER</t>
        </is>
      </c>
      <c r="F3981" t="inlineStr">
        <is>
          <t>INTERXION MADRID</t>
        </is>
      </c>
      <c r="G3981" t="inlineStr">
        <is>
          <t>GVX</t>
        </is>
      </c>
      <c r="H3981" t="inlineStr">
        <is>
          <t>IO</t>
        </is>
      </c>
      <c r="J3981" t="inlineStr">
        <is>
          <t>JAWORSKI</t>
        </is>
      </c>
      <c r="K3981" t="inlineStr">
        <is>
          <t>CUIVRE</t>
        </is>
      </c>
      <c r="L3981">
        <f>_xlfn.XLOOKUP(Tableau1[[#This Row],[TYPE DE PIECE]],Tableau4[MATIERE],Tableau4[SHORT TYPE],"",0,1)</f>
        <v/>
      </c>
      <c r="N3981">
        <f>IF(ISERR(FIND("DECOUPE",Tableau1[[#This Row],[DESIGNATION]])),"","NEED REF")</f>
        <v/>
      </c>
    </row>
    <row r="3982" ht="15" customHeight="1" s="142">
      <c r="B3982" t="n">
        <v>34410023</v>
      </c>
      <c r="C3982" s="2" t="n">
        <v>44530</v>
      </c>
      <c r="D3982" t="inlineStr">
        <is>
          <t>SPEC</t>
        </is>
      </c>
      <c r="E3982" t="inlineStr">
        <is>
          <t>COP LIAISON 2 PER</t>
        </is>
      </c>
      <c r="F3982" t="inlineStr">
        <is>
          <t>INTERXION MADRID</t>
        </is>
      </c>
      <c r="G3982" t="inlineStr">
        <is>
          <t>GVX</t>
        </is>
      </c>
      <c r="H3982" t="inlineStr">
        <is>
          <t>IO</t>
        </is>
      </c>
      <c r="J3982" t="inlineStr">
        <is>
          <t>JAWORSKI</t>
        </is>
      </c>
      <c r="K3982" t="inlineStr">
        <is>
          <t>CUIVRE</t>
        </is>
      </c>
      <c r="L3982">
        <f>_xlfn.XLOOKUP(Tableau1[[#This Row],[TYPE DE PIECE]],Tableau4[MATIERE],Tableau4[SHORT TYPE],"",0,1)</f>
        <v/>
      </c>
      <c r="N3982">
        <f>IF(ISERR(FIND("DECOUPE",Tableau1[[#This Row],[DESIGNATION]])),"","NEED REF")</f>
        <v/>
      </c>
    </row>
    <row r="3983" ht="15" customHeight="1" s="142">
      <c r="B3983" t="n">
        <v>34410022</v>
      </c>
      <c r="C3983" s="2" t="n">
        <v>44530</v>
      </c>
      <c r="D3983" t="inlineStr">
        <is>
          <t>SPEC</t>
        </is>
      </c>
      <c r="E3983" t="inlineStr">
        <is>
          <t>COP LIAISON 1 PER</t>
        </is>
      </c>
      <c r="F3983" t="inlineStr">
        <is>
          <t>INTERXION MADRID</t>
        </is>
      </c>
      <c r="G3983" t="inlineStr">
        <is>
          <t>GVX</t>
        </is>
      </c>
      <c r="H3983" t="inlineStr">
        <is>
          <t>IO</t>
        </is>
      </c>
      <c r="J3983" t="inlineStr">
        <is>
          <t>JAWORSKI</t>
        </is>
      </c>
      <c r="K3983" t="inlineStr">
        <is>
          <t>CUIVRE</t>
        </is>
      </c>
      <c r="L3983">
        <f>_xlfn.XLOOKUP(Tableau1[[#This Row],[TYPE DE PIECE]],Tableau4[MATIERE],Tableau4[SHORT TYPE],"",0,1)</f>
        <v/>
      </c>
      <c r="N3983">
        <f>IF(ISERR(FIND("DECOUPE",Tableau1[[#This Row],[DESIGNATION]])),"","NEED REF")</f>
        <v/>
      </c>
    </row>
    <row r="3984" ht="15" customHeight="1" s="142">
      <c r="B3984" t="n">
        <v>34410021</v>
      </c>
      <c r="C3984" s="2" t="n">
        <v>44530</v>
      </c>
      <c r="D3984" t="inlineStr">
        <is>
          <t>SPEC</t>
        </is>
      </c>
      <c r="E3984" t="inlineStr">
        <is>
          <t>SMT DEFLECTEUR</t>
        </is>
      </c>
      <c r="G3984" t="inlineStr">
        <is>
          <t>GV</t>
        </is>
      </c>
      <c r="H3984" t="inlineStr">
        <is>
          <t>AUX</t>
        </is>
      </c>
      <c r="J3984" t="inlineStr">
        <is>
          <t>MATRION</t>
        </is>
      </c>
      <c r="K3984" t="inlineStr">
        <is>
          <t>METAL</t>
        </is>
      </c>
      <c r="L3984">
        <f>_xlfn.XLOOKUP(Tableau1[[#This Row],[TYPE DE PIECE]],Tableau4[MATIERE],Tableau4[SHORT TYPE],"",0,1)</f>
        <v/>
      </c>
      <c r="M3984" t="inlineStr">
        <is>
          <t>TFO</t>
        </is>
      </c>
      <c r="N3984">
        <f>IF(ISERR(FIND("DECOUPE",Tableau1[[#This Row],[DESIGNATION]])),"","NEED REF")</f>
        <v/>
      </c>
    </row>
    <row r="3985" ht="15" customHeight="1" s="142">
      <c r="B3985" t="n">
        <v>34410020</v>
      </c>
      <c r="C3985" s="2" t="n">
        <v>44530</v>
      </c>
      <c r="D3985" t="inlineStr">
        <is>
          <t>SPEC</t>
        </is>
      </c>
      <c r="E3985" t="inlineStr">
        <is>
          <t>SMT SUPPORT DEFLECTEUR</t>
        </is>
      </c>
      <c r="G3985" t="inlineStr">
        <is>
          <t>GV</t>
        </is>
      </c>
      <c r="H3985" t="inlineStr">
        <is>
          <t>AUX</t>
        </is>
      </c>
      <c r="J3985" t="inlineStr">
        <is>
          <t>MATRION</t>
        </is>
      </c>
      <c r="K3985" t="inlineStr">
        <is>
          <t>METAL</t>
        </is>
      </c>
      <c r="L3985">
        <f>_xlfn.XLOOKUP(Tableau1[[#This Row],[TYPE DE PIECE]],Tableau4[MATIERE],Tableau4[SHORT TYPE],"",0,1)</f>
        <v/>
      </c>
      <c r="M3985" t="inlineStr">
        <is>
          <t>TFO</t>
        </is>
      </c>
      <c r="N3985">
        <f>IF(ISERR(FIND("DECOUPE",Tableau1[[#This Row],[DESIGNATION]])),"","NEED REF")</f>
        <v/>
      </c>
    </row>
    <row r="3986" ht="15" customHeight="1" s="142">
      <c r="B3986" t="n">
        <v>34410019</v>
      </c>
      <c r="C3986" s="2" t="n">
        <v>44530</v>
      </c>
      <c r="D3986" t="inlineStr">
        <is>
          <t>SPEC</t>
        </is>
      </c>
      <c r="E3986" t="inlineStr">
        <is>
          <t>PLA PROTECTION BORNIER 700MM</t>
        </is>
      </c>
      <c r="G3986" t="inlineStr">
        <is>
          <t>GV</t>
        </is>
      </c>
      <c r="H3986" t="inlineStr">
        <is>
          <t>AUX</t>
        </is>
      </c>
      <c r="J3986" t="inlineStr">
        <is>
          <t>MATRION</t>
        </is>
      </c>
      <c r="K3986" t="inlineStr">
        <is>
          <t>PLASTIQUE</t>
        </is>
      </c>
      <c r="L3986">
        <f>_xlfn.XLOOKUP(Tableau1[[#This Row],[TYPE DE PIECE]],Tableau4[MATIERE],Tableau4[SHORT TYPE],"",0,1)</f>
        <v/>
      </c>
      <c r="M3986" t="inlineStr">
        <is>
          <t>IP20</t>
        </is>
      </c>
      <c r="N3986">
        <f>IF(ISERR(FIND("DECOUPE",Tableau1[[#This Row],[DESIGNATION]])),"","NEED REF")</f>
        <v/>
      </c>
    </row>
    <row r="3987" ht="15" customHeight="1" s="142">
      <c r="B3987" t="n">
        <v>34410018</v>
      </c>
      <c r="C3987" s="2" t="n">
        <v>44529</v>
      </c>
      <c r="D3987" t="inlineStr">
        <is>
          <t>SPEC</t>
        </is>
      </c>
      <c r="E3987" t="inlineStr">
        <is>
          <t>SMT SUPPORT 2xIC60 - EMPLACEMENT NSX250</t>
        </is>
      </c>
      <c r="G3987" t="inlineStr">
        <is>
          <t>GV</t>
        </is>
      </c>
      <c r="H3987" t="inlineStr">
        <is>
          <t>AUX</t>
        </is>
      </c>
      <c r="J3987" t="inlineStr">
        <is>
          <t>MATRION</t>
        </is>
      </c>
      <c r="K3987" t="inlineStr">
        <is>
          <t>METAL</t>
        </is>
      </c>
      <c r="L3987">
        <f>_xlfn.XLOOKUP(Tableau1[[#This Row],[TYPE DE PIECE]],Tableau4[MATIERE],Tableau4[SHORT TYPE],"",0,1)</f>
        <v/>
      </c>
      <c r="M3987" t="inlineStr">
        <is>
          <t>SUPPORT</t>
        </is>
      </c>
      <c r="N3987">
        <f>IF(ISERR(FIND("DECOUPE",Tableau1[[#This Row],[DESIGNATION]])),"","NEED REF")</f>
        <v/>
      </c>
    </row>
    <row r="3988" ht="15" customHeight="1" s="142">
      <c r="B3988" t="n">
        <v>34410017</v>
      </c>
      <c r="C3988" s="2" t="n">
        <v>44529</v>
      </c>
      <c r="D3988" t="inlineStr">
        <is>
          <t>SPEC</t>
        </is>
      </c>
      <c r="E3988" t="inlineStr">
        <is>
          <t>SMT PLASTRON 4xNSX250 300x700MM</t>
        </is>
      </c>
      <c r="G3988" t="inlineStr">
        <is>
          <t>GV</t>
        </is>
      </c>
      <c r="H3988" t="inlineStr">
        <is>
          <t>AUX</t>
        </is>
      </c>
      <c r="J3988" t="inlineStr">
        <is>
          <t>MATRION</t>
        </is>
      </c>
      <c r="K3988" t="inlineStr">
        <is>
          <t>METAL</t>
        </is>
      </c>
      <c r="L3988">
        <f>_xlfn.XLOOKUP(Tableau1[[#This Row],[TYPE DE PIECE]],Tableau4[MATIERE],Tableau4[SHORT TYPE],"",0,1)</f>
        <v/>
      </c>
      <c r="M3988" t="inlineStr">
        <is>
          <t>IP20</t>
        </is>
      </c>
      <c r="N3988">
        <f>IF(ISERR(FIND("DECOUPE",Tableau1[[#This Row],[DESIGNATION]])),"","NEED REF")</f>
        <v/>
      </c>
    </row>
    <row r="3989" ht="15" customHeight="1" s="142">
      <c r="B3989" t="n">
        <v>34410016</v>
      </c>
      <c r="C3989" s="2" t="n">
        <v>44529</v>
      </c>
      <c r="D3989" t="inlineStr">
        <is>
          <t>SPEC</t>
        </is>
      </c>
      <c r="G3989" t="inlineStr">
        <is>
          <t>GV</t>
        </is>
      </c>
      <c r="H3989" t="inlineStr">
        <is>
          <t>AUX</t>
        </is>
      </c>
      <c r="J3989" t="inlineStr">
        <is>
          <t>MATRION</t>
        </is>
      </c>
      <c r="K3989" t="inlineStr">
        <is>
          <t>METAL</t>
        </is>
      </c>
      <c r="L3989">
        <f>_xlfn.XLOOKUP(Tableau1[[#This Row],[TYPE DE PIECE]],Tableau4[MATIERE],Tableau4[SHORT TYPE],"",0,1)</f>
        <v/>
      </c>
      <c r="N3989">
        <f>IF(ISERR(FIND("DECOUPE",Tableau1[[#This Row],[DESIGNATION]])),"","NEED REF")</f>
        <v/>
      </c>
    </row>
    <row r="3990" ht="15" customHeight="1" s="142">
      <c r="B3990" t="n">
        <v>34410015</v>
      </c>
      <c r="C3990" s="2" t="n">
        <v>44529</v>
      </c>
      <c r="D3990" t="inlineStr">
        <is>
          <t>SPEC</t>
        </is>
      </c>
      <c r="E3990" t="inlineStr">
        <is>
          <t>SMT PLASTRON 2xIC60 - EMPLACEMENT NSX250</t>
        </is>
      </c>
      <c r="G3990" t="inlineStr">
        <is>
          <t>GV</t>
        </is>
      </c>
      <c r="H3990" t="inlineStr">
        <is>
          <t>AUX</t>
        </is>
      </c>
      <c r="J3990" t="inlineStr">
        <is>
          <t>MATRION</t>
        </is>
      </c>
      <c r="K3990" t="inlineStr">
        <is>
          <t>METAL</t>
        </is>
      </c>
      <c r="L3990">
        <f>_xlfn.XLOOKUP(Tableau1[[#This Row],[TYPE DE PIECE]],Tableau4[MATIERE],Tableau4[SHORT TYPE],"",0,1)</f>
        <v/>
      </c>
      <c r="M3990" t="inlineStr">
        <is>
          <t>IP20</t>
        </is>
      </c>
      <c r="N3990">
        <f>IF(ISERR(FIND("DECOUPE",Tableau1[[#This Row],[DESIGNATION]])),"","NEED REF")</f>
        <v/>
      </c>
    </row>
    <row r="3991" ht="15" customHeight="1" s="142">
      <c r="B3991" t="n">
        <v>34410014</v>
      </c>
      <c r="C3991" s="2" t="n">
        <v>44529</v>
      </c>
      <c r="D3991" t="inlineStr">
        <is>
          <t>SPEC</t>
        </is>
      </c>
      <c r="E3991" t="inlineStr">
        <is>
          <t>SMT PLASTRON 1xIC60 - EMPLACEMENT NSX250</t>
        </is>
      </c>
      <c r="G3991" t="inlineStr">
        <is>
          <t>GV</t>
        </is>
      </c>
      <c r="H3991" t="inlineStr">
        <is>
          <t>AUX</t>
        </is>
      </c>
      <c r="J3991" t="inlineStr">
        <is>
          <t>MATRION</t>
        </is>
      </c>
      <c r="K3991" t="inlineStr">
        <is>
          <t>METAL</t>
        </is>
      </c>
      <c r="L3991">
        <f>_xlfn.XLOOKUP(Tableau1[[#This Row],[TYPE DE PIECE]],Tableau4[MATIERE],Tableau4[SHORT TYPE],"",0,1)</f>
        <v/>
      </c>
      <c r="M3991" t="inlineStr">
        <is>
          <t>IP20</t>
        </is>
      </c>
      <c r="N3991">
        <f>IF(ISERR(FIND("DECOUPE",Tableau1[[#This Row],[DESIGNATION]])),"","NEED REF")</f>
        <v/>
      </c>
    </row>
    <row r="3992" ht="15" customHeight="1" s="142">
      <c r="B3992" t="n">
        <v>34410013</v>
      </c>
      <c r="C3992" s="2" t="n">
        <v>44524</v>
      </c>
      <c r="D3992" t="inlineStr">
        <is>
          <t>SPEC</t>
        </is>
      </c>
      <c r="E3992" t="inlineStr">
        <is>
          <t>KIT Filaire QTCH77586</t>
        </is>
      </c>
      <c r="J3992" t="inlineStr">
        <is>
          <t>BERNARDEAU</t>
        </is>
      </c>
      <c r="L3992">
        <f>_xlfn.XLOOKUP(Tableau1[[#This Row],[TYPE DE PIECE]],Tableau4[MATIERE],Tableau4[SHORT TYPE],"",0,1)</f>
        <v/>
      </c>
      <c r="N3992">
        <f>IF(ISERR(FIND("DECOUPE",Tableau1[[#This Row],[DESIGNATION]])),"","NEED REF")</f>
        <v/>
      </c>
    </row>
    <row r="3993" ht="15" customHeight="1" s="142">
      <c r="B3993" t="n">
        <v>34410012</v>
      </c>
      <c r="C3993" s="2" t="n">
        <v>44524</v>
      </c>
      <c r="D3993" t="inlineStr">
        <is>
          <t>SPEC</t>
        </is>
      </c>
      <c r="E3993" t="inlineStr">
        <is>
          <t>SMT TOIT AVANT</t>
        </is>
      </c>
      <c r="G3993" t="inlineStr">
        <is>
          <t>GVL</t>
        </is>
      </c>
      <c r="H3993" t="inlineStr">
        <is>
          <t>UPS</t>
        </is>
      </c>
      <c r="J3993" t="inlineStr">
        <is>
          <t>MATRION</t>
        </is>
      </c>
      <c r="K3993" t="inlineStr">
        <is>
          <t>METAL</t>
        </is>
      </c>
      <c r="L3993">
        <f>_xlfn.XLOOKUP(Tableau1[[#This Row],[TYPE DE PIECE]],Tableau4[MATIERE],Tableau4[SHORT TYPE],"",0,1)</f>
        <v/>
      </c>
      <c r="N3993">
        <f>IF(ISERR(FIND("DECOUPE",Tableau1[[#This Row],[DESIGNATION]])),"","NEED REF")</f>
        <v/>
      </c>
    </row>
    <row r="3994" ht="15" customHeight="1" s="142">
      <c r="B3994" t="n">
        <v>34410011</v>
      </c>
      <c r="C3994" s="2" t="n">
        <v>44524</v>
      </c>
      <c r="D3994" t="inlineStr">
        <is>
          <t>SPEC</t>
        </is>
      </c>
      <c r="E3994" t="inlineStr">
        <is>
          <t>SMT TOIT PASSE CABLE ALU</t>
        </is>
      </c>
      <c r="G3994" t="inlineStr">
        <is>
          <t>GVL</t>
        </is>
      </c>
      <c r="H3994" t="inlineStr">
        <is>
          <t>UPS</t>
        </is>
      </c>
      <c r="J3994" t="inlineStr">
        <is>
          <t>MATRION</t>
        </is>
      </c>
      <c r="K3994" t="inlineStr">
        <is>
          <t>METAL</t>
        </is>
      </c>
      <c r="L3994">
        <f>_xlfn.XLOOKUP(Tableau1[[#This Row],[TYPE DE PIECE]],Tableau4[MATIERE],Tableau4[SHORT TYPE],"",0,1)</f>
        <v/>
      </c>
      <c r="N3994">
        <f>IF(ISERR(FIND("DECOUPE",Tableau1[[#This Row],[DESIGNATION]])),"","NEED REF")</f>
        <v/>
      </c>
    </row>
    <row r="3995" ht="15" customHeight="1" s="142">
      <c r="B3995" t="n">
        <v>34410010</v>
      </c>
      <c r="C3995" s="2" t="n">
        <v>44524</v>
      </c>
      <c r="D3995" t="inlineStr">
        <is>
          <t>SPEC</t>
        </is>
      </c>
      <c r="E3995" t="inlineStr">
        <is>
          <t>SMT 1/2 TOIT KTA2000 et KTA0800</t>
        </is>
      </c>
      <c r="G3995" t="inlineStr">
        <is>
          <t>GVL</t>
        </is>
      </c>
      <c r="H3995" t="inlineStr">
        <is>
          <t>UPS</t>
        </is>
      </c>
      <c r="J3995" t="inlineStr">
        <is>
          <t>MATRION</t>
        </is>
      </c>
      <c r="K3995" t="inlineStr">
        <is>
          <t>METAL</t>
        </is>
      </c>
      <c r="L3995">
        <f>_xlfn.XLOOKUP(Tableau1[[#This Row],[TYPE DE PIECE]],Tableau4[MATIERE],Tableau4[SHORT TYPE],"",0,1)</f>
        <v/>
      </c>
      <c r="N3995">
        <f>IF(ISERR(FIND("DECOUPE",Tableau1[[#This Row],[DESIGNATION]])),"","NEED REF")</f>
        <v/>
      </c>
    </row>
    <row r="3996" ht="15" customHeight="1" s="142">
      <c r="B3996" t="n">
        <v>34410009</v>
      </c>
      <c r="C3996" s="2" t="n">
        <v>44524</v>
      </c>
      <c r="D3996" t="inlineStr">
        <is>
          <t>SPEC</t>
        </is>
      </c>
      <c r="E3996" t="inlineStr">
        <is>
          <t>WIRE KIT PUISSANCE MAINS1 AND OUTPUT</t>
        </is>
      </c>
      <c r="G3996" t="inlineStr">
        <is>
          <t>GVL</t>
        </is>
      </c>
      <c r="H3996" t="inlineStr">
        <is>
          <t>UPS</t>
        </is>
      </c>
      <c r="J3996" t="inlineStr">
        <is>
          <t>MATRION</t>
        </is>
      </c>
      <c r="K3996" t="inlineStr">
        <is>
          <t>FILERIE</t>
        </is>
      </c>
      <c r="L3996">
        <f>_xlfn.XLOOKUP(Tableau1[[#This Row],[TYPE DE PIECE]],Tableau4[MATIERE],Tableau4[SHORT TYPE],"",0,1)</f>
        <v/>
      </c>
      <c r="N3996">
        <f>IF(ISERR(FIND("DECOUPE",Tableau1[[#This Row],[DESIGNATION]])),"","NEED REF")</f>
        <v/>
      </c>
    </row>
    <row r="3997" ht="15" customHeight="1" s="142">
      <c r="B3997" t="n">
        <v>34410008</v>
      </c>
      <c r="C3997" s="2" t="n">
        <v>44524</v>
      </c>
      <c r="D3997" t="inlineStr">
        <is>
          <t>SPEC</t>
        </is>
      </c>
      <c r="E3997" t="inlineStr">
        <is>
          <t>COP CALE N</t>
        </is>
      </c>
      <c r="G3997" t="inlineStr">
        <is>
          <t>GVL</t>
        </is>
      </c>
      <c r="H3997" t="inlineStr">
        <is>
          <t>UPS</t>
        </is>
      </c>
      <c r="J3997" t="inlineStr">
        <is>
          <t>MATRION</t>
        </is>
      </c>
      <c r="K3997" t="inlineStr">
        <is>
          <t>CUIVRE</t>
        </is>
      </c>
      <c r="L3997">
        <f>_xlfn.XLOOKUP(Tableau1[[#This Row],[TYPE DE PIECE]],Tableau4[MATIERE],Tableau4[SHORT TYPE],"",0,1)</f>
        <v/>
      </c>
      <c r="N3997">
        <f>IF(ISERR(FIND("DECOUPE",Tableau1[[#This Row],[DESIGNATION]])),"","NEED REF")</f>
        <v/>
      </c>
    </row>
    <row r="3998" ht="15" customHeight="1" s="142">
      <c r="B3998" t="n">
        <v>34410007</v>
      </c>
      <c r="C3998" s="2" t="n">
        <v>44523</v>
      </c>
      <c r="D3998" t="inlineStr">
        <is>
          <t>SPEC</t>
        </is>
      </c>
      <c r="E3998" t="inlineStr">
        <is>
          <t>COP PONTAGE N 2</t>
        </is>
      </c>
      <c r="G3998" t="inlineStr">
        <is>
          <t>GVL</t>
        </is>
      </c>
      <c r="H3998" t="inlineStr">
        <is>
          <t>UPS</t>
        </is>
      </c>
      <c r="J3998" t="inlineStr">
        <is>
          <t>MATRION</t>
        </is>
      </c>
      <c r="K3998" t="inlineStr">
        <is>
          <t>CUIVRE</t>
        </is>
      </c>
      <c r="L3998">
        <f>_xlfn.XLOOKUP(Tableau1[[#This Row],[TYPE DE PIECE]],Tableau4[MATIERE],Tableau4[SHORT TYPE],"",0,1)</f>
        <v/>
      </c>
      <c r="N3998">
        <f>IF(ISERR(FIND("DECOUPE",Tableau1[[#This Row],[DESIGNATION]])),"","NEED REF")</f>
        <v/>
      </c>
    </row>
    <row r="3999" ht="15" customHeight="1" s="142">
      <c r="B3999" t="n">
        <v>34410006</v>
      </c>
      <c r="C3999" s="2" t="n">
        <v>44523</v>
      </c>
      <c r="D3999" t="inlineStr">
        <is>
          <t>SPEC</t>
        </is>
      </c>
      <c r="E3999" t="inlineStr">
        <is>
          <t>COP PONTAGE N 1</t>
        </is>
      </c>
      <c r="G3999" t="inlineStr">
        <is>
          <t>GVL</t>
        </is>
      </c>
      <c r="H3999" t="inlineStr">
        <is>
          <t>UPS</t>
        </is>
      </c>
      <c r="J3999" t="inlineStr">
        <is>
          <t>MATRION</t>
        </is>
      </c>
      <c r="K3999" t="inlineStr">
        <is>
          <t>CUIVRE</t>
        </is>
      </c>
      <c r="L3999">
        <f>_xlfn.XLOOKUP(Tableau1[[#This Row],[TYPE DE PIECE]],Tableau4[MATIERE],Tableau4[SHORT TYPE],"",0,1)</f>
        <v/>
      </c>
      <c r="N3999">
        <f>IF(ISERR(FIND("DECOUPE",Tableau1[[#This Row],[DESIGNATION]])),"","NEED REF")</f>
        <v/>
      </c>
    </row>
    <row r="4000" ht="15" customHeight="1" s="142">
      <c r="B4000" t="n">
        <v>34410005</v>
      </c>
      <c r="C4000" s="2" t="n">
        <v>44523</v>
      </c>
      <c r="D4000" t="inlineStr">
        <is>
          <t>SPEC</t>
        </is>
      </c>
      <c r="E4000" t="inlineStr">
        <is>
          <t>COFFRET S3D H500xL500xP250 RAL9003ST W21090152GHL/A0 317759COR</t>
        </is>
      </c>
      <c r="G4000" t="inlineStr">
        <is>
          <t>GV</t>
        </is>
      </c>
      <c r="H4000" t="inlineStr">
        <is>
          <t>AUX</t>
        </is>
      </c>
      <c r="J4000" t="inlineStr">
        <is>
          <t>MATRION</t>
        </is>
      </c>
      <c r="K4000" t="inlineStr">
        <is>
          <t>=S=</t>
        </is>
      </c>
      <c r="L4000">
        <f>_xlfn.XLOOKUP(Tableau1[[#This Row],[TYPE DE PIECE]],Tableau4[MATIERE],Tableau4[SHORT TYPE],"",0,1)</f>
        <v/>
      </c>
      <c r="M4000" t="inlineStr">
        <is>
          <t>COFFRET</t>
        </is>
      </c>
      <c r="N4000">
        <f>IF(ISERR(FIND("DECOUPE",Tableau1[[#This Row],[DESIGNATION]])),"","NEED REF")</f>
        <v/>
      </c>
    </row>
    <row r="4001" ht="15" customHeight="1" s="142">
      <c r="B4001" t="n">
        <v>34410004</v>
      </c>
      <c r="C4001" s="2" t="n">
        <v>44523</v>
      </c>
      <c r="D4001" t="inlineStr">
        <is>
          <t>SPEC</t>
        </is>
      </c>
      <c r="E4001" t="inlineStr">
        <is>
          <t>COFFRET S3D H1000xL800xP400 RAL9003ST W21070270TGF/A0 317558cor</t>
        </is>
      </c>
      <c r="G4001" t="inlineStr">
        <is>
          <t>GV</t>
        </is>
      </c>
      <c r="H4001" t="inlineStr">
        <is>
          <t>AUX</t>
        </is>
      </c>
      <c r="J4001" t="inlineStr">
        <is>
          <t>MATRION</t>
        </is>
      </c>
      <c r="K4001" t="inlineStr">
        <is>
          <t>=S=</t>
        </is>
      </c>
      <c r="L4001">
        <f>_xlfn.XLOOKUP(Tableau1[[#This Row],[TYPE DE PIECE]],Tableau4[MATIERE],Tableau4[SHORT TYPE],"",0,1)</f>
        <v/>
      </c>
      <c r="M4001" t="inlineStr">
        <is>
          <t>COFFRET</t>
        </is>
      </c>
      <c r="N4001">
        <f>IF(ISERR(FIND("DECOUPE",Tableau1[[#This Row],[DESIGNATION]])),"","NEED REF")</f>
        <v/>
      </c>
    </row>
    <row r="4002" ht="15" customHeight="1" s="142">
      <c r="B4002" t="n">
        <v>34410003</v>
      </c>
      <c r="C4002" s="2" t="n">
        <v>44523</v>
      </c>
      <c r="D4002" t="inlineStr">
        <is>
          <t>SPEC</t>
        </is>
      </c>
      <c r="E4002" t="inlineStr">
        <is>
          <t>COFFRET S3D H1000xL800xP300 RAL9003ST W21070269TGF/A0 - 106442/01 - 317556cor</t>
        </is>
      </c>
      <c r="G4002" t="inlineStr">
        <is>
          <t>GV</t>
        </is>
      </c>
      <c r="H4002" t="inlineStr">
        <is>
          <t>AUX</t>
        </is>
      </c>
      <c r="J4002" t="inlineStr">
        <is>
          <t>MATRION</t>
        </is>
      </c>
      <c r="K4002" t="inlineStr">
        <is>
          <t>=S=</t>
        </is>
      </c>
      <c r="L4002">
        <f>_xlfn.XLOOKUP(Tableau1[[#This Row],[TYPE DE PIECE]],Tableau4[MATIERE],Tableau4[SHORT TYPE],"",0,1)</f>
        <v/>
      </c>
      <c r="M4002" t="inlineStr">
        <is>
          <t>COFFRET</t>
        </is>
      </c>
      <c r="N4002">
        <f>IF(ISERR(FIND("DECOUPE",Tableau1[[#This Row],[DESIGNATION]])),"","NEED REF")</f>
        <v/>
      </c>
    </row>
    <row r="4003" ht="15" customHeight="1" s="142">
      <c r="B4003" t="n">
        <v>34410002</v>
      </c>
      <c r="C4003" s="2" t="n">
        <v>44523</v>
      </c>
      <c r="D4003" t="inlineStr">
        <is>
          <t>SPEC</t>
        </is>
      </c>
      <c r="E4003" t="inlineStr">
        <is>
          <t>COFFRET S3D H1000xL600xP300 RAL9003ST W21070273TGF/A0 317555cor</t>
        </is>
      </c>
      <c r="G4003" t="inlineStr">
        <is>
          <t>GV</t>
        </is>
      </c>
      <c r="H4003" t="inlineStr">
        <is>
          <t>AUX</t>
        </is>
      </c>
      <c r="J4003" t="inlineStr">
        <is>
          <t>MATRION</t>
        </is>
      </c>
      <c r="K4003" t="inlineStr">
        <is>
          <t>=S=</t>
        </is>
      </c>
      <c r="L4003">
        <f>_xlfn.XLOOKUP(Tableau1[[#This Row],[TYPE DE PIECE]],Tableau4[MATIERE],Tableau4[SHORT TYPE],"",0,1)</f>
        <v/>
      </c>
      <c r="M4003" t="inlineStr">
        <is>
          <t>COFFRET</t>
        </is>
      </c>
      <c r="N4003">
        <f>IF(ISERR(FIND("DECOUPE",Tableau1[[#This Row],[DESIGNATION]])),"","NEED REF")</f>
        <v/>
      </c>
    </row>
    <row r="4004" ht="15" customHeight="1" s="142">
      <c r="B4004" t="n">
        <v>34410001</v>
      </c>
      <c r="C4004" s="2" t="n">
        <v>44523</v>
      </c>
      <c r="D4004" t="inlineStr">
        <is>
          <t>SPEC</t>
        </is>
      </c>
      <c r="E4004" t="inlineStr">
        <is>
          <t>COFFRET S3D H800xL800xP300 RAL9003ST W21070266TGF/A0 317554cor</t>
        </is>
      </c>
      <c r="G4004" t="inlineStr">
        <is>
          <t>GV</t>
        </is>
      </c>
      <c r="H4004" t="inlineStr">
        <is>
          <t>AUX</t>
        </is>
      </c>
      <c r="J4004" t="inlineStr">
        <is>
          <t>MATRION</t>
        </is>
      </c>
      <c r="K4004" t="inlineStr">
        <is>
          <t>=S=</t>
        </is>
      </c>
      <c r="L4004">
        <f>_xlfn.XLOOKUP(Tableau1[[#This Row],[TYPE DE PIECE]],Tableau4[MATIERE],Tableau4[SHORT TYPE],"",0,1)</f>
        <v/>
      </c>
      <c r="M4004" t="inlineStr">
        <is>
          <t>COFFRET</t>
        </is>
      </c>
      <c r="N4004">
        <f>IF(ISERR(FIND("DECOUPE",Tableau1[[#This Row],[DESIGNATION]])),"","NEED REF")</f>
        <v/>
      </c>
    </row>
    <row r="4005" ht="15" customHeight="1" s="142">
      <c r="B4005" t="n">
        <v>34410000</v>
      </c>
      <c r="C4005" s="2" t="n">
        <v>44523</v>
      </c>
      <c r="D4005" t="inlineStr">
        <is>
          <t>SPEC</t>
        </is>
      </c>
      <c r="E4005" t="inlineStr">
        <is>
          <t>COFFRET S3D H800xL600xP400 RAL9003ST W21070265TGF/A0 317553cor</t>
        </is>
      </c>
      <c r="G4005" t="inlineStr">
        <is>
          <t>GV</t>
        </is>
      </c>
      <c r="H4005" t="inlineStr">
        <is>
          <t>AUX</t>
        </is>
      </c>
      <c r="J4005" t="inlineStr">
        <is>
          <t>MATRION</t>
        </is>
      </c>
      <c r="K4005" t="inlineStr">
        <is>
          <t>=S=</t>
        </is>
      </c>
      <c r="L4005">
        <f>_xlfn.XLOOKUP(Tableau1[[#This Row],[TYPE DE PIECE]],Tableau4[MATIERE],Tableau4[SHORT TYPE],"",0,1)</f>
        <v/>
      </c>
      <c r="M4005" t="inlineStr">
        <is>
          <t>COFFRET</t>
        </is>
      </c>
      <c r="N4005">
        <f>IF(ISERR(FIND("DECOUPE",Tableau1[[#This Row],[DESIGNATION]])),"","NEED REF")</f>
        <v/>
      </c>
    </row>
    <row r="4006" ht="15" customHeight="1" s="142">
      <c r="B4006" t="n">
        <v>34409999</v>
      </c>
      <c r="C4006" s="2" t="n">
        <v>44523</v>
      </c>
      <c r="D4006" t="inlineStr">
        <is>
          <t>SPEC</t>
        </is>
      </c>
      <c r="E4006" t="inlineStr">
        <is>
          <t>COFFRET S3D H300xL400xP200 RAL9003ST W21070264TGF/A0 317552cor</t>
        </is>
      </c>
      <c r="G4006" t="inlineStr">
        <is>
          <t>GV</t>
        </is>
      </c>
      <c r="H4006" t="inlineStr">
        <is>
          <t>AUX</t>
        </is>
      </c>
      <c r="J4006" t="inlineStr">
        <is>
          <t>MATRION</t>
        </is>
      </c>
      <c r="K4006" t="inlineStr">
        <is>
          <t>=S=</t>
        </is>
      </c>
      <c r="L4006">
        <f>_xlfn.XLOOKUP(Tableau1[[#This Row],[TYPE DE PIECE]],Tableau4[MATIERE],Tableau4[SHORT TYPE],"",0,1)</f>
        <v/>
      </c>
      <c r="M4006" t="inlineStr">
        <is>
          <t>COFFRET</t>
        </is>
      </c>
      <c r="N4006">
        <f>IF(ISERR(FIND("DECOUPE",Tableau1[[#This Row],[DESIGNATION]])),"","NEED REF")</f>
        <v/>
      </c>
    </row>
    <row r="4007" ht="15" customHeight="1" s="142">
      <c r="B4007" t="n">
        <v>34409998</v>
      </c>
      <c r="C4007" s="2" t="n">
        <v>44522</v>
      </c>
      <c r="D4007" t="inlineStr">
        <is>
          <t>SPEC</t>
        </is>
      </c>
      <c r="E4007" t="inlineStr">
        <is>
          <t>SMT =S= INPUT ROOF 2 2000A</t>
        </is>
      </c>
      <c r="F4007" t="inlineStr">
        <is>
          <t>INTERXION MADRID</t>
        </is>
      </c>
      <c r="G4007" t="inlineStr">
        <is>
          <t>GVX</t>
        </is>
      </c>
      <c r="H4007" t="inlineStr">
        <is>
          <t>IO</t>
        </is>
      </c>
      <c r="J4007" t="inlineStr">
        <is>
          <t>JAWORSKI</t>
        </is>
      </c>
      <c r="K4007" t="inlineStr">
        <is>
          <t>METAL</t>
        </is>
      </c>
      <c r="L4007">
        <f>_xlfn.XLOOKUP(Tableau1[[#This Row],[TYPE DE PIECE]],Tableau4[MATIERE],Tableau4[SHORT TYPE],"",0,1)</f>
        <v/>
      </c>
      <c r="N4007">
        <f>IF(ISERR(FIND("DECOUPE",Tableau1[[#This Row],[DESIGNATION]])),"","NEED REF")</f>
        <v/>
      </c>
    </row>
    <row r="4008" ht="15" customHeight="1" s="142">
      <c r="B4008" t="n">
        <v>34409997</v>
      </c>
      <c r="C4008" s="2" t="n">
        <v>44522</v>
      </c>
      <c r="D4008" t="inlineStr">
        <is>
          <t>SPEC</t>
        </is>
      </c>
      <c r="E4008" t="inlineStr">
        <is>
          <t>SMT =S= INPUT ROOF 1 2000A</t>
        </is>
      </c>
      <c r="F4008" t="inlineStr">
        <is>
          <t>INTERXION MADRID</t>
        </is>
      </c>
      <c r="G4008" t="inlineStr">
        <is>
          <t>GVX</t>
        </is>
      </c>
      <c r="H4008" t="inlineStr">
        <is>
          <t>IO</t>
        </is>
      </c>
      <c r="J4008" t="inlineStr">
        <is>
          <t>JAWORSKI</t>
        </is>
      </c>
      <c r="K4008" t="inlineStr">
        <is>
          <t>METAL</t>
        </is>
      </c>
      <c r="L4008">
        <f>_xlfn.XLOOKUP(Tableau1[[#This Row],[TYPE DE PIECE]],Tableau4[MATIERE],Tableau4[SHORT TYPE],"",0,1)</f>
        <v/>
      </c>
      <c r="N4008">
        <f>IF(ISERR(FIND("DECOUPE",Tableau1[[#This Row],[DESIGNATION]])),"","NEED REF")</f>
        <v/>
      </c>
    </row>
    <row r="4009" ht="15" customHeight="1" s="142">
      <c r="B4009" t="n">
        <v>34409996</v>
      </c>
      <c r="C4009" s="2" t="n">
        <v>44522</v>
      </c>
      <c r="D4009" t="inlineStr">
        <is>
          <t>SPEC</t>
        </is>
      </c>
      <c r="E4009" t="inlineStr">
        <is>
          <t>PLA PROTECTION OUTPUT</t>
        </is>
      </c>
      <c r="F4009" t="inlineStr">
        <is>
          <t>INTERXION MADRID</t>
        </is>
      </c>
      <c r="G4009" t="inlineStr">
        <is>
          <t>GVX</t>
        </is>
      </c>
      <c r="H4009" t="inlineStr">
        <is>
          <t>IO</t>
        </is>
      </c>
      <c r="J4009" t="inlineStr">
        <is>
          <t>JAWORSKI</t>
        </is>
      </c>
      <c r="K4009" t="inlineStr">
        <is>
          <t>PLASTIQUE</t>
        </is>
      </c>
      <c r="L4009">
        <f>_xlfn.XLOOKUP(Tableau1[[#This Row],[TYPE DE PIECE]],Tableau4[MATIERE],Tableau4[SHORT TYPE],"",0,1)</f>
        <v/>
      </c>
      <c r="N4009">
        <f>IF(ISERR(FIND("DECOUPE",Tableau1[[#This Row],[DESIGNATION]])),"","NEED REF")</f>
        <v/>
      </c>
    </row>
    <row r="4010" ht="15" customHeight="1" s="142">
      <c r="B4010" t="n">
        <v>34409995</v>
      </c>
      <c r="C4010" s="2" t="n">
        <v>44522</v>
      </c>
      <c r="D4010" t="inlineStr">
        <is>
          <t>SPEC</t>
        </is>
      </c>
      <c r="E4010" t="inlineStr">
        <is>
          <t>SMT SUPPOT ISOLAION LOAD</t>
        </is>
      </c>
      <c r="F4010" t="inlineStr">
        <is>
          <t>INTERXION MADRID</t>
        </is>
      </c>
      <c r="G4010" t="inlineStr">
        <is>
          <t>GVX</t>
        </is>
      </c>
      <c r="H4010" t="inlineStr">
        <is>
          <t>IO</t>
        </is>
      </c>
      <c r="J4010" t="inlineStr">
        <is>
          <t>JAWORSKI</t>
        </is>
      </c>
      <c r="K4010" t="inlineStr">
        <is>
          <t>METAL</t>
        </is>
      </c>
      <c r="L4010">
        <f>_xlfn.XLOOKUP(Tableau1[[#This Row],[TYPE DE PIECE]],Tableau4[MATIERE],Tableau4[SHORT TYPE],"",0,1)</f>
        <v/>
      </c>
      <c r="N4010">
        <f>IF(ISERR(FIND("DECOUPE",Tableau1[[#This Row],[DESIGNATION]])),"","NEED REF")</f>
        <v/>
      </c>
    </row>
    <row r="4011" ht="15" customHeight="1" s="142">
      <c r="B4011" t="n">
        <v>34409994</v>
      </c>
      <c r="C4011" s="2" t="n">
        <v>44522</v>
      </c>
      <c r="D4011" t="inlineStr">
        <is>
          <t>SPEC</t>
        </is>
      </c>
      <c r="E4011" t="inlineStr">
        <is>
          <t>SMT CACHE IC60 32x9MM 288MM</t>
        </is>
      </c>
      <c r="J4011" t="inlineStr">
        <is>
          <t>MATRION</t>
        </is>
      </c>
      <c r="L4011">
        <f>_xlfn.XLOOKUP(Tableau1[[#This Row],[TYPE DE PIECE]],Tableau4[MATIERE],Tableau4[SHORT TYPE],"",0,1)</f>
        <v/>
      </c>
      <c r="N4011">
        <f>IF(ISERR(FIND("DECOUPE",Tableau1[[#This Row],[DESIGNATION]])),"","NEED REF")</f>
        <v/>
      </c>
    </row>
    <row r="4012" ht="15" customHeight="1" s="142">
      <c r="B4012" t="n">
        <v>34409993</v>
      </c>
      <c r="C4012" s="2" t="n">
        <v>44522</v>
      </c>
      <c r="D4012" t="inlineStr">
        <is>
          <t>SPEC</t>
        </is>
      </c>
      <c r="E4012" t="inlineStr">
        <is>
          <t>SMT CACHE IC60 16x9MM 144MM</t>
        </is>
      </c>
      <c r="J4012" t="inlineStr">
        <is>
          <t>MATRION</t>
        </is>
      </c>
      <c r="L4012">
        <f>_xlfn.XLOOKUP(Tableau1[[#This Row],[TYPE DE PIECE]],Tableau4[MATIERE],Tableau4[SHORT TYPE],"",0,1)</f>
        <v/>
      </c>
      <c r="N4012">
        <f>IF(ISERR(FIND("DECOUPE",Tableau1[[#This Row],[DESIGNATION]])),"","NEED REF")</f>
        <v/>
      </c>
    </row>
    <row r="4013" ht="15" customHeight="1" s="142">
      <c r="B4013" t="n">
        <v>34409992</v>
      </c>
      <c r="C4013" s="2" t="n">
        <v>44522</v>
      </c>
      <c r="D4013" t="inlineStr">
        <is>
          <t>SPEC</t>
        </is>
      </c>
      <c r="E4013" t="inlineStr">
        <is>
          <t>SMT CACHE IC60 8x9MM 72MM</t>
        </is>
      </c>
      <c r="J4013" t="inlineStr">
        <is>
          <t>MATRION</t>
        </is>
      </c>
      <c r="L4013">
        <f>_xlfn.XLOOKUP(Tableau1[[#This Row],[TYPE DE PIECE]],Tableau4[MATIERE],Tableau4[SHORT TYPE],"",0,1)</f>
        <v/>
      </c>
      <c r="N4013">
        <f>IF(ISERR(FIND("DECOUPE",Tableau1[[#This Row],[DESIGNATION]])),"","NEED REF")</f>
        <v/>
      </c>
    </row>
    <row r="4014" ht="15" customHeight="1" s="142">
      <c r="B4014" t="n">
        <v>34409991</v>
      </c>
      <c r="C4014" s="2" t="n">
        <v>44522</v>
      </c>
      <c r="D4014" t="inlineStr">
        <is>
          <t>SPEC</t>
        </is>
      </c>
      <c r="E4014" t="inlineStr">
        <is>
          <t>WOOD 1/2 PLANCHE 1000x800</t>
        </is>
      </c>
      <c r="G4014" t="inlineStr">
        <is>
          <t>GV</t>
        </is>
      </c>
      <c r="H4014" t="inlineStr">
        <is>
          <t>AUX</t>
        </is>
      </c>
      <c r="J4014" t="inlineStr">
        <is>
          <t>MATRION</t>
        </is>
      </c>
      <c r="K4014" t="inlineStr">
        <is>
          <t>PALETTE</t>
        </is>
      </c>
      <c r="L4014">
        <f>_xlfn.XLOOKUP(Tableau1[[#This Row],[TYPE DE PIECE]],Tableau4[MATIERE],Tableau4[SHORT TYPE],"",0,1)</f>
        <v/>
      </c>
      <c r="M4014" t="inlineStr">
        <is>
          <t>PALETTE</t>
        </is>
      </c>
      <c r="N4014">
        <f>IF(ISERR(FIND("DECOUPE",Tableau1[[#This Row],[DESIGNATION]])),"","NEED REF")</f>
        <v/>
      </c>
    </row>
    <row r="4015" ht="15" customHeight="1" s="142">
      <c r="B4015" t="n">
        <v>34409990</v>
      </c>
      <c r="C4015" s="2" t="n">
        <v>44522</v>
      </c>
      <c r="D4015" t="inlineStr">
        <is>
          <t>SPEC</t>
        </is>
      </c>
      <c r="E4015" t="inlineStr">
        <is>
          <t>WOOD 1/2 PLANCHE 700x800</t>
        </is>
      </c>
      <c r="G4015" t="inlineStr">
        <is>
          <t>GV</t>
        </is>
      </c>
      <c r="H4015" t="inlineStr">
        <is>
          <t>AUX</t>
        </is>
      </c>
      <c r="J4015" t="inlineStr">
        <is>
          <t>MATRION</t>
        </is>
      </c>
      <c r="K4015" t="inlineStr">
        <is>
          <t>PALETTE</t>
        </is>
      </c>
      <c r="L4015">
        <f>_xlfn.XLOOKUP(Tableau1[[#This Row],[TYPE DE PIECE]],Tableau4[MATIERE],Tableau4[SHORT TYPE],"",0,1)</f>
        <v/>
      </c>
      <c r="M4015" t="inlineStr">
        <is>
          <t>PALETTE</t>
        </is>
      </c>
      <c r="N4015">
        <f>IF(ISERR(FIND("DECOUPE",Tableau1[[#This Row],[DESIGNATION]])),"","NEED REF")</f>
        <v/>
      </c>
    </row>
    <row r="4016" ht="15" customHeight="1" s="142">
      <c r="B4016" t="n">
        <v>34409989</v>
      </c>
      <c r="C4016" s="2" t="n">
        <v>44522</v>
      </c>
      <c r="D4016" t="inlineStr">
        <is>
          <t>SPEC</t>
        </is>
      </c>
      <c r="E4016" t="inlineStr">
        <is>
          <t>WOOD SKATE 700x800</t>
        </is>
      </c>
      <c r="G4016" t="inlineStr">
        <is>
          <t>GV</t>
        </is>
      </c>
      <c r="H4016" t="inlineStr">
        <is>
          <t>AUX</t>
        </is>
      </c>
      <c r="J4016" t="inlineStr">
        <is>
          <t>MATRION</t>
        </is>
      </c>
      <c r="K4016" t="inlineStr">
        <is>
          <t>PALETTE</t>
        </is>
      </c>
      <c r="L4016">
        <f>_xlfn.XLOOKUP(Tableau1[[#This Row],[TYPE DE PIECE]],Tableau4[MATIERE],Tableau4[SHORT TYPE],"",0,1)</f>
        <v/>
      </c>
      <c r="M4016" t="inlineStr">
        <is>
          <t>PALETTE</t>
        </is>
      </c>
      <c r="N4016">
        <f>IF(ISERR(FIND("DECOUPE",Tableau1[[#This Row],[DESIGNATION]])),"","NEED REF")</f>
        <v/>
      </c>
    </row>
    <row r="4017" ht="15" customHeight="1" s="142">
      <c r="B4017" t="n">
        <v>34409988</v>
      </c>
      <c r="C4017" s="2" t="n">
        <v>44518</v>
      </c>
      <c r="D4017" t="inlineStr">
        <is>
          <t>SPEC</t>
        </is>
      </c>
      <c r="E4017" t="inlineStr">
        <is>
          <t>SMT JONCTION INTER CELLULE 1900 RAL9003</t>
        </is>
      </c>
      <c r="G4017" t="inlineStr">
        <is>
          <t>GV</t>
        </is>
      </c>
      <c r="H4017" t="inlineStr">
        <is>
          <t>AUX</t>
        </is>
      </c>
      <c r="J4017" t="inlineStr">
        <is>
          <t>MATRION</t>
        </is>
      </c>
      <c r="K4017" t="inlineStr">
        <is>
          <t>METAL</t>
        </is>
      </c>
      <c r="L4017">
        <f>_xlfn.XLOOKUP(Tableau1[[#This Row],[TYPE DE PIECE]],Tableau4[MATIERE],Tableau4[SHORT TYPE],"",0,1)</f>
        <v/>
      </c>
      <c r="N4017">
        <f>IF(ISERR(FIND("DECOUPE",Tableau1[[#This Row],[DESIGNATION]])),"","NEED REF")</f>
        <v/>
      </c>
    </row>
    <row r="4018" ht="15" customHeight="1" s="142">
      <c r="B4018" t="n">
        <v>34409987</v>
      </c>
      <c r="C4018" s="2" t="n">
        <v>44518</v>
      </c>
      <c r="D4018" t="inlineStr">
        <is>
          <t>SPEC</t>
        </is>
      </c>
      <c r="E4018" t="inlineStr">
        <is>
          <t xml:space="preserve">SMT MIDDLE BATTERY SUPPORT </t>
        </is>
      </c>
      <c r="G4018" t="inlineStr">
        <is>
          <t>GV</t>
        </is>
      </c>
      <c r="H4018" t="inlineStr">
        <is>
          <t>AUX</t>
        </is>
      </c>
      <c r="J4018" t="inlineStr">
        <is>
          <t>MATRION</t>
        </is>
      </c>
      <c r="K4018" t="inlineStr">
        <is>
          <t>METAL</t>
        </is>
      </c>
      <c r="L4018">
        <f>_xlfn.XLOOKUP(Tableau1[[#This Row],[TYPE DE PIECE]],Tableau4[MATIERE],Tableau4[SHORT TYPE],"",0,1)</f>
        <v/>
      </c>
      <c r="N4018">
        <f>IF(ISERR(FIND("DECOUPE",Tableau1[[#This Row],[DESIGNATION]])),"","NEED REF")</f>
        <v/>
      </c>
    </row>
    <row r="4019" ht="15" customHeight="1" s="142">
      <c r="B4019" t="n">
        <v>34409986</v>
      </c>
      <c r="C4019" s="2" t="n">
        <v>44518</v>
      </c>
      <c r="D4019" t="inlineStr">
        <is>
          <t>SPEC</t>
        </is>
      </c>
      <c r="E4019" t="inlineStr">
        <is>
          <t>SMT plaque cache DJ</t>
        </is>
      </c>
      <c r="G4019" t="inlineStr">
        <is>
          <t>E3L</t>
        </is>
      </c>
      <c r="H4019" t="inlineStr">
        <is>
          <t>BACKFEED</t>
        </is>
      </c>
      <c r="J4019" t="inlineStr">
        <is>
          <t>BERNARDEAU</t>
        </is>
      </c>
      <c r="K4019" t="inlineStr">
        <is>
          <t>METAL</t>
        </is>
      </c>
      <c r="L4019">
        <f>_xlfn.XLOOKUP(Tableau1[[#This Row],[TYPE DE PIECE]],Tableau4[MATIERE],Tableau4[SHORT TYPE],"",0,1)</f>
        <v/>
      </c>
      <c r="N4019">
        <f>IF(ISERR(FIND("DECOUPE",Tableau1[[#This Row],[DESIGNATION]])),"","NEED REF")</f>
        <v/>
      </c>
    </row>
    <row r="4020" ht="15" customHeight="1" s="142">
      <c r="B4020" t="n">
        <v>34409985</v>
      </c>
      <c r="C4020" s="2" t="n">
        <v>44517</v>
      </c>
      <c r="D4020" t="inlineStr">
        <is>
          <t>SPEC</t>
        </is>
      </c>
      <c r="E4020" t="inlineStr">
        <is>
          <t>SMT SUPPORT GOULOTTE</t>
        </is>
      </c>
      <c r="F4020" t="inlineStr">
        <is>
          <t>ST MICRO (ROUSSET)</t>
        </is>
      </c>
      <c r="G4020" t="inlineStr">
        <is>
          <t>GVX</t>
        </is>
      </c>
      <c r="H4020" t="inlineStr">
        <is>
          <t>AUX</t>
        </is>
      </c>
      <c r="J4020" t="inlineStr">
        <is>
          <t>JAWORSKI</t>
        </is>
      </c>
      <c r="K4020" t="inlineStr">
        <is>
          <t>METAL</t>
        </is>
      </c>
      <c r="L4020">
        <f>_xlfn.XLOOKUP(Tableau1[[#This Row],[TYPE DE PIECE]],Tableau4[MATIERE],Tableau4[SHORT TYPE],"",0,1)</f>
        <v/>
      </c>
      <c r="N4020">
        <f>IF(ISERR(FIND("DECOUPE",Tableau1[[#This Row],[DESIGNATION]])),"","NEED REF")</f>
        <v/>
      </c>
    </row>
    <row r="4021" ht="15" customHeight="1" s="142">
      <c r="B4021" t="n">
        <v>34409984</v>
      </c>
      <c r="C4021" s="2" t="n">
        <v>44517</v>
      </c>
      <c r="D4021" t="inlineStr">
        <is>
          <t>SPEC</t>
        </is>
      </c>
      <c r="E4021" t="inlineStr">
        <is>
          <t>NS1000NA 4P + 2NO prise AR-H</t>
        </is>
      </c>
      <c r="F4021" t="inlineStr">
        <is>
          <t>ST MICRO (ROUSSET)</t>
        </is>
      </c>
      <c r="G4021" t="inlineStr">
        <is>
          <t>GVX</t>
        </is>
      </c>
      <c r="H4021" t="inlineStr">
        <is>
          <t>AUX</t>
        </is>
      </c>
      <c r="J4021" t="inlineStr">
        <is>
          <t>JAWORSKI</t>
        </is>
      </c>
      <c r="K4021" t="inlineStr">
        <is>
          <t>=S=</t>
        </is>
      </c>
      <c r="L4021">
        <f>_xlfn.XLOOKUP(Tableau1[[#This Row],[TYPE DE PIECE]],Tableau4[MATIERE],Tableau4[SHORT TYPE],"",0,1)</f>
        <v/>
      </c>
      <c r="N4021">
        <f>IF(ISERR(FIND("DECOUPE",Tableau1[[#This Row],[DESIGNATION]])),"","NEED REF")</f>
        <v/>
      </c>
    </row>
    <row r="4022" ht="15" customHeight="1" s="142">
      <c r="B4022" t="n">
        <v>34409983</v>
      </c>
      <c r="C4022" s="2" t="n">
        <v>44517</v>
      </c>
      <c r="D4022" t="inlineStr">
        <is>
          <t>SPEC</t>
        </is>
      </c>
      <c r="E4022" t="inlineStr">
        <is>
          <t>NS1000H Micro 5.0 4P4d + 1NO prise AR-H</t>
        </is>
      </c>
      <c r="F4022" t="inlineStr">
        <is>
          <t>ST MICRO (ROUSSET)</t>
        </is>
      </c>
      <c r="G4022" t="inlineStr">
        <is>
          <t>GVX</t>
        </is>
      </c>
      <c r="H4022" t="inlineStr">
        <is>
          <t>AUX</t>
        </is>
      </c>
      <c r="J4022" t="inlineStr">
        <is>
          <t>JAWORSKI</t>
        </is>
      </c>
      <c r="K4022" t="inlineStr">
        <is>
          <t>=S=</t>
        </is>
      </c>
      <c r="L4022">
        <f>_xlfn.XLOOKUP(Tableau1[[#This Row],[TYPE DE PIECE]],Tableau4[MATIERE],Tableau4[SHORT TYPE],"",0,1)</f>
        <v/>
      </c>
      <c r="N4022">
        <f>IF(ISERR(FIND("DECOUPE",Tableau1[[#This Row],[DESIGNATION]])),"","NEED REF")</f>
        <v/>
      </c>
    </row>
    <row r="4023" ht="15" customHeight="1" s="142">
      <c r="B4023" t="n">
        <v>34409982</v>
      </c>
      <c r="C4023" s="2" t="n">
        <v>44517</v>
      </c>
      <c r="D4023" t="inlineStr">
        <is>
          <t>SPEC</t>
        </is>
      </c>
      <c r="E4023" t="inlineStr">
        <is>
          <t>WOOD 1/2 PLANCHE 1000x1000</t>
        </is>
      </c>
      <c r="G4023" t="inlineStr">
        <is>
          <t>GV</t>
        </is>
      </c>
      <c r="H4023" t="inlineStr">
        <is>
          <t>AUX</t>
        </is>
      </c>
      <c r="J4023" t="inlineStr">
        <is>
          <t>MATRION</t>
        </is>
      </c>
      <c r="K4023" t="inlineStr">
        <is>
          <t>PALETTE</t>
        </is>
      </c>
      <c r="L4023">
        <f>_xlfn.XLOOKUP(Tableau1[[#This Row],[TYPE DE PIECE]],Tableau4[MATIERE],Tableau4[SHORT TYPE],"",0,1)</f>
        <v/>
      </c>
      <c r="M4023" t="inlineStr">
        <is>
          <t>PALETTE</t>
        </is>
      </c>
      <c r="N4023">
        <f>IF(ISERR(FIND("DECOUPE",Tableau1[[#This Row],[DESIGNATION]])),"","NEED REF")</f>
        <v/>
      </c>
    </row>
    <row r="4024" ht="15" customHeight="1" s="142">
      <c r="B4024" t="n">
        <v>34409981</v>
      </c>
      <c r="C4024" s="2" t="n">
        <v>44517</v>
      </c>
      <c r="D4024" t="inlineStr">
        <is>
          <t>SPEC</t>
        </is>
      </c>
      <c r="E4024" t="inlineStr">
        <is>
          <t>WOOD SKATE 1000x1000</t>
        </is>
      </c>
      <c r="G4024" t="inlineStr">
        <is>
          <t>GV</t>
        </is>
      </c>
      <c r="H4024" t="inlineStr">
        <is>
          <t>AUX</t>
        </is>
      </c>
      <c r="J4024" t="inlineStr">
        <is>
          <t>MATRION</t>
        </is>
      </c>
      <c r="K4024" t="inlineStr">
        <is>
          <t>PALETTE</t>
        </is>
      </c>
      <c r="L4024">
        <f>_xlfn.XLOOKUP(Tableau1[[#This Row],[TYPE DE PIECE]],Tableau4[MATIERE],Tableau4[SHORT TYPE],"",0,1)</f>
        <v/>
      </c>
      <c r="M4024" t="inlineStr">
        <is>
          <t>PALETTE</t>
        </is>
      </c>
      <c r="N4024">
        <f>IF(ISERR(FIND("DECOUPE",Tableau1[[#This Row],[DESIGNATION]])),"","NEED REF")</f>
        <v/>
      </c>
    </row>
    <row r="4025" ht="15" customHeight="1" s="142">
      <c r="B4025" t="n">
        <v>34409980</v>
      </c>
      <c r="C4025" s="2" t="n">
        <v>44516</v>
      </c>
      <c r="D4025" t="inlineStr">
        <is>
          <t>SPEC</t>
        </is>
      </c>
      <c r="E4025" t="inlineStr">
        <is>
          <t>SMT PANNEAU LATERAL DECOUPE RAL9003</t>
        </is>
      </c>
      <c r="F4025" t="inlineStr">
        <is>
          <t>ST MICRO (ROUSSET)</t>
        </is>
      </c>
      <c r="G4025" t="inlineStr">
        <is>
          <t>GVX</t>
        </is>
      </c>
      <c r="H4025" t="inlineStr">
        <is>
          <t>AUX</t>
        </is>
      </c>
      <c r="J4025" t="inlineStr">
        <is>
          <t>MATRION</t>
        </is>
      </c>
      <c r="K4025" t="inlineStr">
        <is>
          <t>METAL</t>
        </is>
      </c>
      <c r="L4025">
        <f>_xlfn.XLOOKUP(Tableau1[[#This Row],[TYPE DE PIECE]],Tableau4[MATIERE],Tableau4[SHORT TYPE],"",0,1)</f>
        <v/>
      </c>
      <c r="N4025">
        <f>IF(ISERR(FIND("DECOUPE",Tableau1[[#This Row],[DESIGNATION]])),"","NEED REF")</f>
        <v/>
      </c>
    </row>
    <row r="4026" ht="15" customHeight="1" s="142">
      <c r="B4026" t="n">
        <v>34409979</v>
      </c>
      <c r="C4026" s="2" t="n">
        <v>44515</v>
      </c>
      <c r="D4026" t="inlineStr">
        <is>
          <t>SPEC</t>
        </is>
      </c>
      <c r="E4026" t="inlineStr">
        <is>
          <t>SMT =S= INPUT ROOT 2</t>
        </is>
      </c>
      <c r="F4026" t="inlineStr">
        <is>
          <t>QPROJET_14</t>
        </is>
      </c>
      <c r="G4026" t="inlineStr">
        <is>
          <t>GVX</t>
        </is>
      </c>
      <c r="H4026" t="inlineStr">
        <is>
          <t>IO</t>
        </is>
      </c>
      <c r="J4026" t="inlineStr">
        <is>
          <t>BERNARDEAU</t>
        </is>
      </c>
      <c r="K4026" t="inlineStr">
        <is>
          <t>METAL</t>
        </is>
      </c>
      <c r="L4026">
        <f>_xlfn.XLOOKUP(Tableau1[[#This Row],[TYPE DE PIECE]],Tableau4[MATIERE],Tableau4[SHORT TYPE],"",0,1)</f>
        <v/>
      </c>
      <c r="N4026">
        <f>IF(ISERR(FIND("DECOUPE",Tableau1[[#This Row],[DESIGNATION]])),"","NEED REF")</f>
        <v/>
      </c>
    </row>
    <row r="4027" ht="15" customHeight="1" s="142">
      <c r="B4027" t="n">
        <v>34409978</v>
      </c>
      <c r="C4027" s="2" t="n">
        <v>44515</v>
      </c>
      <c r="D4027" t="inlineStr">
        <is>
          <t>SPEC</t>
        </is>
      </c>
      <c r="E4027" t="inlineStr">
        <is>
          <t>SMT =S= INPUT ROOT 1</t>
        </is>
      </c>
      <c r="F4027" t="inlineStr">
        <is>
          <t>QPROJET_14</t>
        </is>
      </c>
      <c r="G4027" t="inlineStr">
        <is>
          <t>GVX</t>
        </is>
      </c>
      <c r="H4027" t="inlineStr">
        <is>
          <t>IO</t>
        </is>
      </c>
      <c r="J4027" t="inlineStr">
        <is>
          <t>BERNARDEAU</t>
        </is>
      </c>
      <c r="K4027" t="inlineStr">
        <is>
          <t>METAL</t>
        </is>
      </c>
      <c r="L4027">
        <f>_xlfn.XLOOKUP(Tableau1[[#This Row],[TYPE DE PIECE]],Tableau4[MATIERE],Tableau4[SHORT TYPE],"",0,1)</f>
        <v/>
      </c>
      <c r="N4027">
        <f>IF(ISERR(FIND("DECOUPE",Tableau1[[#This Row],[DESIGNATION]])),"","NEED REF")</f>
        <v/>
      </c>
    </row>
    <row r="4028" ht="15" customHeight="1" s="142">
      <c r="B4028" t="n">
        <v>34409977</v>
      </c>
      <c r="C4028" s="2" t="n">
        <v>44515</v>
      </c>
      <c r="D4028" t="inlineStr">
        <is>
          <t>SPEC</t>
        </is>
      </c>
      <c r="E4028" t="inlineStr">
        <is>
          <t>SMT REHAUSSE 1000MM H100MM LAT. VENTIL. RAL9003</t>
        </is>
      </c>
      <c r="F4028" t="inlineStr">
        <is>
          <t>34409961.ASM</t>
        </is>
      </c>
      <c r="G4028" t="inlineStr">
        <is>
          <t>GVS</t>
        </is>
      </c>
      <c r="H4028" t="inlineStr">
        <is>
          <t>AUX</t>
        </is>
      </c>
      <c r="J4028" t="inlineStr">
        <is>
          <t>MATRION</t>
        </is>
      </c>
      <c r="K4028" t="inlineStr">
        <is>
          <t>METAL</t>
        </is>
      </c>
      <c r="L4028">
        <f>_xlfn.XLOOKUP(Tableau1[[#This Row],[TYPE DE PIECE]],Tableau4[MATIERE],Tableau4[SHORT TYPE],"",0,1)</f>
        <v/>
      </c>
      <c r="N4028">
        <f>IF(ISERR(FIND("DECOUPE",Tableau1[[#This Row],[DESIGNATION]])),"","NEED REF")</f>
        <v/>
      </c>
    </row>
    <row r="4029" ht="15" customHeight="1" s="142">
      <c r="B4029" t="n">
        <v>34409976</v>
      </c>
      <c r="C4029" s="2" t="n">
        <v>44515</v>
      </c>
      <c r="D4029" t="inlineStr">
        <is>
          <t>SPEC</t>
        </is>
      </c>
      <c r="E4029" t="inlineStr">
        <is>
          <t>SMT REHAUSSE 1000MM H100MM AV. VENTIL. RAL9003</t>
        </is>
      </c>
      <c r="F4029" t="inlineStr">
        <is>
          <t>34409611.ASM</t>
        </is>
      </c>
      <c r="G4029" t="inlineStr">
        <is>
          <t>GVS</t>
        </is>
      </c>
      <c r="H4029" t="inlineStr">
        <is>
          <t>AUX</t>
        </is>
      </c>
      <c r="J4029" t="inlineStr">
        <is>
          <t>MATRION</t>
        </is>
      </c>
      <c r="K4029" t="inlineStr">
        <is>
          <t>METAL</t>
        </is>
      </c>
      <c r="L4029">
        <f>_xlfn.XLOOKUP(Tableau1[[#This Row],[TYPE DE PIECE]],Tableau4[MATIERE],Tableau4[SHORT TYPE],"",0,1)</f>
        <v/>
      </c>
      <c r="N4029">
        <f>IF(ISERR(FIND("DECOUPE",Tableau1[[#This Row],[DESIGNATION]])),"","NEED REF")</f>
        <v/>
      </c>
    </row>
    <row r="4030" ht="15" customHeight="1" s="142">
      <c r="B4030" t="n">
        <v>34409975</v>
      </c>
      <c r="C4030" s="2" t="n">
        <v>44515</v>
      </c>
      <c r="D4030" t="inlineStr">
        <is>
          <t>SPEC</t>
        </is>
      </c>
      <c r="E4030" t="inlineStr">
        <is>
          <t>SMT REHAUSSE 800MM H100MM LAT. VENTIL. RAL9003</t>
        </is>
      </c>
      <c r="F4030" t="inlineStr">
        <is>
          <t>34408988.ASM</t>
        </is>
      </c>
      <c r="G4030" t="inlineStr">
        <is>
          <t>GVS</t>
        </is>
      </c>
      <c r="H4030" t="inlineStr">
        <is>
          <t>AUX</t>
        </is>
      </c>
      <c r="J4030" t="inlineStr">
        <is>
          <t>MATRION</t>
        </is>
      </c>
      <c r="K4030" t="inlineStr">
        <is>
          <t>METAL</t>
        </is>
      </c>
      <c r="L4030">
        <f>_xlfn.XLOOKUP(Tableau1[[#This Row],[TYPE DE PIECE]],Tableau4[MATIERE],Tableau4[SHORT TYPE],"",0,1)</f>
        <v/>
      </c>
      <c r="N4030">
        <f>IF(ISERR(FIND("DECOUPE",Tableau1[[#This Row],[DESIGNATION]])),"","NEED REF")</f>
        <v/>
      </c>
    </row>
    <row r="4031" ht="15" customHeight="1" s="142">
      <c r="B4031" t="n">
        <v>34409974</v>
      </c>
      <c r="C4031" s="2" t="n">
        <v>44515</v>
      </c>
      <c r="D4031" t="inlineStr">
        <is>
          <t>SPEC</t>
        </is>
      </c>
      <c r="E4031" t="inlineStr">
        <is>
          <t>SMT REHAUSSE 700MM H100MM AV. VENTIL. RAL9003</t>
        </is>
      </c>
      <c r="F4031" t="inlineStr">
        <is>
          <t>34408987.ASM</t>
        </is>
      </c>
      <c r="G4031" t="inlineStr">
        <is>
          <t>GVS</t>
        </is>
      </c>
      <c r="H4031" t="inlineStr">
        <is>
          <t>AUX</t>
        </is>
      </c>
      <c r="J4031" t="inlineStr">
        <is>
          <t>MATRION</t>
        </is>
      </c>
      <c r="K4031" t="inlineStr">
        <is>
          <t>METAL</t>
        </is>
      </c>
      <c r="L4031">
        <f>_xlfn.XLOOKUP(Tableau1[[#This Row],[TYPE DE PIECE]],Tableau4[MATIERE],Tableau4[SHORT TYPE],"",0,1)</f>
        <v/>
      </c>
      <c r="N4031">
        <f>IF(ISERR(FIND("DECOUPE",Tableau1[[#This Row],[DESIGNATION]])),"","NEED REF")</f>
        <v/>
      </c>
    </row>
    <row r="4032" ht="15" customHeight="1" s="142">
      <c r="B4032" t="n">
        <v>34409973</v>
      </c>
      <c r="C4032" s="2" t="n">
        <v>44515</v>
      </c>
      <c r="D4032" t="inlineStr">
        <is>
          <t>SPEC</t>
        </is>
      </c>
      <c r="E4032" t="inlineStr">
        <is>
          <t>SMT REHAUSSE 1000MM H70MM LAT. VENTIL. RAL9003</t>
        </is>
      </c>
      <c r="G4032" t="inlineStr">
        <is>
          <t>GVS</t>
        </is>
      </c>
      <c r="H4032" t="inlineStr">
        <is>
          <t>AUX</t>
        </is>
      </c>
      <c r="J4032" t="inlineStr">
        <is>
          <t>MATRION</t>
        </is>
      </c>
      <c r="K4032" t="inlineStr">
        <is>
          <t>METAL</t>
        </is>
      </c>
      <c r="L4032">
        <f>_xlfn.XLOOKUP(Tableau1[[#This Row],[TYPE DE PIECE]],Tableau4[MATIERE],Tableau4[SHORT TYPE],"",0,1)</f>
        <v/>
      </c>
      <c r="N4032">
        <f>IF(ISERR(FIND("DECOUPE",Tableau1[[#This Row],[DESIGNATION]])),"","NEED REF")</f>
        <v/>
      </c>
    </row>
    <row r="4033" ht="15" customHeight="1" s="142">
      <c r="B4033" t="n">
        <v>34409972</v>
      </c>
      <c r="C4033" s="2" t="n">
        <v>44515</v>
      </c>
      <c r="D4033" t="inlineStr">
        <is>
          <t>SPEC</t>
        </is>
      </c>
      <c r="E4033" t="inlineStr">
        <is>
          <t>SMT =S= OUTPUT AND BATT ROOT 2</t>
        </is>
      </c>
      <c r="F4033" t="inlineStr">
        <is>
          <t>QPROJET_14</t>
        </is>
      </c>
      <c r="G4033" t="inlineStr">
        <is>
          <t>GVX</t>
        </is>
      </c>
      <c r="H4033" t="inlineStr">
        <is>
          <t>IO</t>
        </is>
      </c>
      <c r="J4033" t="inlineStr">
        <is>
          <t>BERNARDEAU</t>
        </is>
      </c>
      <c r="K4033" t="inlineStr">
        <is>
          <t>METAL</t>
        </is>
      </c>
      <c r="L4033">
        <f>_xlfn.XLOOKUP(Tableau1[[#This Row],[TYPE DE PIECE]],Tableau4[MATIERE],Tableau4[SHORT TYPE],"",0,1)</f>
        <v/>
      </c>
      <c r="N4033">
        <f>IF(ISERR(FIND("DECOUPE",Tableau1[[#This Row],[DESIGNATION]])),"","NEED REF")</f>
        <v/>
      </c>
    </row>
    <row r="4034" ht="15" customHeight="1" s="142">
      <c r="B4034" t="n">
        <v>34409971</v>
      </c>
      <c r="C4034" s="2" t="n">
        <v>44515</v>
      </c>
      <c r="D4034" t="inlineStr">
        <is>
          <t>SPEC</t>
        </is>
      </c>
      <c r="E4034" t="inlineStr">
        <is>
          <t>SMT =S= OUTPUT AND BATT ROOT 1</t>
        </is>
      </c>
      <c r="F4034" t="inlineStr">
        <is>
          <t>QPROJET_14</t>
        </is>
      </c>
      <c r="G4034" t="inlineStr">
        <is>
          <t>GVX</t>
        </is>
      </c>
      <c r="H4034" t="inlineStr">
        <is>
          <t>IO</t>
        </is>
      </c>
      <c r="J4034" t="inlineStr">
        <is>
          <t>BERNARDEAU</t>
        </is>
      </c>
      <c r="K4034" t="inlineStr">
        <is>
          <t>METAL</t>
        </is>
      </c>
      <c r="L4034">
        <f>_xlfn.XLOOKUP(Tableau1[[#This Row],[TYPE DE PIECE]],Tableau4[MATIERE],Tableau4[SHORT TYPE],"",0,1)</f>
        <v/>
      </c>
      <c r="N4034">
        <f>IF(ISERR(FIND("DECOUPE",Tableau1[[#This Row],[DESIGNATION]])),"","NEED REF")</f>
        <v/>
      </c>
    </row>
    <row r="4035" ht="15" customHeight="1" s="142">
      <c r="B4035" t="n">
        <v>34409970</v>
      </c>
      <c r="C4035" s="2" t="n">
        <v>44515</v>
      </c>
      <c r="D4035" t="inlineStr">
        <is>
          <t>SPEC</t>
        </is>
      </c>
      <c r="E4035" t="inlineStr">
        <is>
          <t>SMT REHAUSSE 1000MM H70MM AV. VENTIL. RAL9003</t>
        </is>
      </c>
      <c r="F4035" t="inlineStr">
        <is>
          <t>34409611.ASM</t>
        </is>
      </c>
      <c r="G4035" t="inlineStr">
        <is>
          <t>GVS</t>
        </is>
      </c>
      <c r="H4035" t="inlineStr">
        <is>
          <t>AUX</t>
        </is>
      </c>
      <c r="J4035" t="inlineStr">
        <is>
          <t>MATRION</t>
        </is>
      </c>
      <c r="K4035" t="inlineStr">
        <is>
          <t>METAL</t>
        </is>
      </c>
      <c r="L4035">
        <f>_xlfn.XLOOKUP(Tableau1[[#This Row],[TYPE DE PIECE]],Tableau4[MATIERE],Tableau4[SHORT TYPE],"",0,1)</f>
        <v/>
      </c>
      <c r="N4035">
        <f>IF(ISERR(FIND("DECOUPE",Tableau1[[#This Row],[DESIGNATION]])),"","NEED REF")</f>
        <v/>
      </c>
    </row>
    <row r="4036" ht="15" customHeight="1" s="142">
      <c r="B4036" t="n">
        <v>34409969</v>
      </c>
      <c r="C4036" s="2" t="n">
        <v>44515</v>
      </c>
      <c r="D4036" t="inlineStr">
        <is>
          <t>SPEC</t>
        </is>
      </c>
      <c r="E4036" t="inlineStr">
        <is>
          <t>SMT REHAUSSE 800MM H70MM LAT. VENTIL. RAL9003</t>
        </is>
      </c>
      <c r="F4036" t="inlineStr">
        <is>
          <t>34408988.ASM</t>
        </is>
      </c>
      <c r="G4036" t="inlineStr">
        <is>
          <t>GVS</t>
        </is>
      </c>
      <c r="H4036" t="inlineStr">
        <is>
          <t>AUX</t>
        </is>
      </c>
      <c r="J4036" t="inlineStr">
        <is>
          <t>MATRION</t>
        </is>
      </c>
      <c r="K4036" t="inlineStr">
        <is>
          <t>METAL</t>
        </is>
      </c>
      <c r="L4036">
        <f>_xlfn.XLOOKUP(Tableau1[[#This Row],[TYPE DE PIECE]],Tableau4[MATIERE],Tableau4[SHORT TYPE],"",0,1)</f>
        <v/>
      </c>
      <c r="N4036">
        <f>IF(ISERR(FIND("DECOUPE",Tableau1[[#This Row],[DESIGNATION]])),"","NEED REF")</f>
        <v/>
      </c>
    </row>
    <row r="4037" ht="15" customHeight="1" s="142">
      <c r="B4037" t="n">
        <v>34409968</v>
      </c>
      <c r="C4037" s="2" t="n">
        <v>44515</v>
      </c>
      <c r="D4037" t="inlineStr">
        <is>
          <t>SPEC</t>
        </is>
      </c>
      <c r="E4037" t="inlineStr">
        <is>
          <t>SMT REHAUSSE 700MM H70MM AV. VENTIL. RAL9003</t>
        </is>
      </c>
      <c r="F4037" t="inlineStr">
        <is>
          <t>34408987.ASM</t>
        </is>
      </c>
      <c r="G4037" t="inlineStr">
        <is>
          <t>GVS</t>
        </is>
      </c>
      <c r="H4037" t="inlineStr">
        <is>
          <t>AUX</t>
        </is>
      </c>
      <c r="J4037" t="inlineStr">
        <is>
          <t>MATRION</t>
        </is>
      </c>
      <c r="K4037" t="inlineStr">
        <is>
          <t>METAL</t>
        </is>
      </c>
      <c r="L4037">
        <f>_xlfn.XLOOKUP(Tableau1[[#This Row],[TYPE DE PIECE]],Tableau4[MATIERE],Tableau4[SHORT TYPE],"",0,1)</f>
        <v/>
      </c>
      <c r="N4037">
        <f>IF(ISERR(FIND("DECOUPE",Tableau1[[#This Row],[DESIGNATION]])),"","NEED REF")</f>
        <v/>
      </c>
    </row>
    <row r="4038" ht="15" customHeight="1" s="142">
      <c r="B4038" t="n">
        <v>34409967</v>
      </c>
      <c r="C4038" s="2" t="n">
        <v>44510</v>
      </c>
      <c r="D4038" t="inlineStr">
        <is>
          <t>SPEC</t>
        </is>
      </c>
      <c r="E4038" t="inlineStr">
        <is>
          <t>SMT SUPPORT LATERAL 1000mm FIXATION CABLES CLIENT</t>
        </is>
      </c>
      <c r="G4038" t="inlineStr">
        <is>
          <t>GVS</t>
        </is>
      </c>
      <c r="H4038" t="inlineStr">
        <is>
          <t>AUX</t>
        </is>
      </c>
      <c r="J4038" t="inlineStr">
        <is>
          <t>MATRION</t>
        </is>
      </c>
      <c r="K4038" t="inlineStr">
        <is>
          <t>METAL</t>
        </is>
      </c>
      <c r="L4038">
        <f>_xlfn.XLOOKUP(Tableau1[[#This Row],[TYPE DE PIECE]],Tableau4[MATIERE],Tableau4[SHORT TYPE],"",0,1)</f>
        <v/>
      </c>
      <c r="N4038">
        <f>IF(ISERR(FIND("DECOUPE",Tableau1[[#This Row],[DESIGNATION]])),"","NEED REF")</f>
        <v/>
      </c>
    </row>
    <row r="4039" ht="15" customHeight="1" s="142">
      <c r="B4039" t="n">
        <v>34409966</v>
      </c>
      <c r="C4039" s="2" t="n">
        <v>44510</v>
      </c>
      <c r="D4039" t="inlineStr">
        <is>
          <t>SPEC</t>
        </is>
      </c>
      <c r="E4039" t="inlineStr">
        <is>
          <t>SMT SUPPORT CENTRAL POUR REHAUSSE 100mm</t>
        </is>
      </c>
      <c r="F4039" t="inlineStr">
        <is>
          <t>ST MICRO (ROUSSET)</t>
        </is>
      </c>
      <c r="G4039" t="inlineStr">
        <is>
          <t>GVX</t>
        </is>
      </c>
      <c r="H4039" t="inlineStr">
        <is>
          <t>AUX</t>
        </is>
      </c>
      <c r="J4039" t="inlineStr">
        <is>
          <t>MATRION</t>
        </is>
      </c>
      <c r="K4039" t="inlineStr">
        <is>
          <t>METAL</t>
        </is>
      </c>
      <c r="L4039">
        <f>_xlfn.XLOOKUP(Tableau1[[#This Row],[TYPE DE PIECE]],Tableau4[MATIERE],Tableau4[SHORT TYPE],"",0,1)</f>
        <v/>
      </c>
      <c r="N4039">
        <f>IF(ISERR(FIND("DECOUPE",Tableau1[[#This Row],[DESIGNATION]])),"","NEED REF")</f>
        <v/>
      </c>
    </row>
    <row r="4040" ht="15" customHeight="1" s="142">
      <c r="B4040" t="n">
        <v>34409965</v>
      </c>
      <c r="C4040" s="2" t="n">
        <v>44510</v>
      </c>
      <c r="D4040" t="inlineStr">
        <is>
          <t>SPEC</t>
        </is>
      </c>
      <c r="E4040" t="inlineStr">
        <is>
          <t>SMT REHAUSSE 1000MM H100MM LAT. VENTIL. RAL9003</t>
        </is>
      </c>
      <c r="F4040" t="inlineStr">
        <is>
          <t>34409961.ASM</t>
        </is>
      </c>
      <c r="G4040" t="inlineStr">
        <is>
          <t>GVS</t>
        </is>
      </c>
      <c r="H4040" t="inlineStr">
        <is>
          <t>AUX</t>
        </is>
      </c>
      <c r="J4040" t="inlineStr">
        <is>
          <t>MATRION</t>
        </is>
      </c>
      <c r="K4040" t="inlineStr">
        <is>
          <t>METAL</t>
        </is>
      </c>
      <c r="L4040">
        <f>_xlfn.XLOOKUP(Tableau1[[#This Row],[TYPE DE PIECE]],Tableau4[MATIERE],Tableau4[SHORT TYPE],"",0,1)</f>
        <v/>
      </c>
      <c r="N4040">
        <f>IF(ISERR(FIND("DECOUPE",Tableau1[[#This Row],[DESIGNATION]])),"","NEED REF")</f>
        <v/>
      </c>
    </row>
    <row r="4041" ht="15" customHeight="1" s="142">
      <c r="B4041" t="n">
        <v>34409964</v>
      </c>
      <c r="C4041" s="2" t="n">
        <v>44510</v>
      </c>
      <c r="D4041" t="inlineStr">
        <is>
          <t>SPEC</t>
        </is>
      </c>
      <c r="E4041" t="inlineStr">
        <is>
          <t>SMT REHAUSSE 1000MM H100MM AV. VENTIL. RAL9003</t>
        </is>
      </c>
      <c r="F4041" t="inlineStr">
        <is>
          <t>34409611.ASM</t>
        </is>
      </c>
      <c r="G4041" t="inlineStr">
        <is>
          <t>GVS</t>
        </is>
      </c>
      <c r="H4041" t="inlineStr">
        <is>
          <t>AUX</t>
        </is>
      </c>
      <c r="J4041" t="inlineStr">
        <is>
          <t>MATRION</t>
        </is>
      </c>
      <c r="K4041" t="inlineStr">
        <is>
          <t>METAL</t>
        </is>
      </c>
      <c r="L4041">
        <f>_xlfn.XLOOKUP(Tableau1[[#This Row],[TYPE DE PIECE]],Tableau4[MATIERE],Tableau4[SHORT TYPE],"",0,1)</f>
        <v/>
      </c>
      <c r="N4041">
        <f>IF(ISERR(FIND("DECOUPE",Tableau1[[#This Row],[DESIGNATION]])),"","NEED REF")</f>
        <v/>
      </c>
    </row>
    <row r="4042" ht="15" customHeight="1" s="142">
      <c r="B4042" t="n">
        <v>34409963</v>
      </c>
      <c r="C4042" s="2" t="n">
        <v>44510</v>
      </c>
      <c r="D4042" t="inlineStr">
        <is>
          <t>SPEC</t>
        </is>
      </c>
      <c r="E4042" t="inlineStr">
        <is>
          <t>SMT REHAUSSE 800MM H100MM LAT. VENTIL. RAL9003</t>
        </is>
      </c>
      <c r="F4042" t="inlineStr">
        <is>
          <t>34408988.ASM</t>
        </is>
      </c>
      <c r="G4042" t="inlineStr">
        <is>
          <t>GVS</t>
        </is>
      </c>
      <c r="H4042" t="inlineStr">
        <is>
          <t>AUX</t>
        </is>
      </c>
      <c r="J4042" t="inlineStr">
        <is>
          <t>MATRION</t>
        </is>
      </c>
      <c r="K4042" t="inlineStr">
        <is>
          <t>METAL</t>
        </is>
      </c>
      <c r="L4042">
        <f>_xlfn.XLOOKUP(Tableau1[[#This Row],[TYPE DE PIECE]],Tableau4[MATIERE],Tableau4[SHORT TYPE],"",0,1)</f>
        <v/>
      </c>
      <c r="N4042">
        <f>IF(ISERR(FIND("DECOUPE",Tableau1[[#This Row],[DESIGNATION]])),"","NEED REF")</f>
        <v/>
      </c>
    </row>
    <row r="4043" ht="15" customHeight="1" s="142">
      <c r="B4043" t="n">
        <v>34409962</v>
      </c>
      <c r="C4043" s="2" t="n">
        <v>44510</v>
      </c>
      <c r="D4043" t="inlineStr">
        <is>
          <t>SPEC</t>
        </is>
      </c>
      <c r="E4043" t="inlineStr">
        <is>
          <t>SMT REHAUSSE 700MM H100MM AV. VENTIL. RAL9003</t>
        </is>
      </c>
      <c r="F4043" t="inlineStr">
        <is>
          <t>34408987.ASM</t>
        </is>
      </c>
      <c r="G4043" t="inlineStr">
        <is>
          <t>GVS</t>
        </is>
      </c>
      <c r="H4043" t="inlineStr">
        <is>
          <t>AUX</t>
        </is>
      </c>
      <c r="J4043" t="inlineStr">
        <is>
          <t>MATRION</t>
        </is>
      </c>
      <c r="K4043" t="inlineStr">
        <is>
          <t>METAL</t>
        </is>
      </c>
      <c r="L4043">
        <f>_xlfn.XLOOKUP(Tableau1[[#This Row],[TYPE DE PIECE]],Tableau4[MATIERE],Tableau4[SHORT TYPE],"",0,1)</f>
        <v/>
      </c>
      <c r="N4043">
        <f>IF(ISERR(FIND("DECOUPE",Tableau1[[#This Row],[DESIGNATION]])),"","NEED REF")</f>
        <v/>
      </c>
    </row>
    <row r="4044" ht="15" customHeight="1" s="142">
      <c r="B4044" t="n">
        <v>34409961</v>
      </c>
      <c r="C4044" s="2" t="n">
        <v>44510</v>
      </c>
      <c r="D4044" t="inlineStr">
        <is>
          <t>SPEC</t>
        </is>
      </c>
      <c r="E4044" t="inlineStr">
        <is>
          <t>SMT REHAUSSE 1000MM H70MM LAT. VENTIL. RAL9003</t>
        </is>
      </c>
      <c r="G4044" t="inlineStr">
        <is>
          <t>GVS</t>
        </is>
      </c>
      <c r="H4044" t="inlineStr">
        <is>
          <t>AUX</t>
        </is>
      </c>
      <c r="J4044" t="inlineStr">
        <is>
          <t>MATRION</t>
        </is>
      </c>
      <c r="K4044" t="inlineStr">
        <is>
          <t>METAL</t>
        </is>
      </c>
      <c r="L4044">
        <f>_xlfn.XLOOKUP(Tableau1[[#This Row],[TYPE DE PIECE]],Tableau4[MATIERE],Tableau4[SHORT TYPE],"",0,1)</f>
        <v/>
      </c>
      <c r="N4044">
        <f>IF(ISERR(FIND("DECOUPE",Tableau1[[#This Row],[DESIGNATION]])),"","NEED REF")</f>
        <v/>
      </c>
    </row>
    <row r="4045" ht="15" customHeight="1" s="142">
      <c r="B4045" t="n">
        <v>34409960</v>
      </c>
      <c r="C4045" s="2" t="n">
        <v>44510</v>
      </c>
      <c r="D4045" t="inlineStr">
        <is>
          <t>SPEC</t>
        </is>
      </c>
      <c r="E4045" t="inlineStr">
        <is>
          <t>PLA PROTECTION LATERAL KTA3200</t>
        </is>
      </c>
      <c r="F4045" t="inlineStr">
        <is>
          <t>ST MICRO (ROUSSET)</t>
        </is>
      </c>
      <c r="G4045" t="inlineStr">
        <is>
          <t>GVX</t>
        </is>
      </c>
      <c r="H4045" t="inlineStr">
        <is>
          <t>AUX</t>
        </is>
      </c>
      <c r="J4045" t="inlineStr">
        <is>
          <t>MATRION</t>
        </is>
      </c>
      <c r="K4045" t="inlineStr">
        <is>
          <t>PLASTIQUE</t>
        </is>
      </c>
      <c r="L4045">
        <f>_xlfn.XLOOKUP(Tableau1[[#This Row],[TYPE DE PIECE]],Tableau4[MATIERE],Tableau4[SHORT TYPE],"",0,1)</f>
        <v/>
      </c>
      <c r="N4045">
        <f>IF(ISERR(FIND("DECOUPE",Tableau1[[#This Row],[DESIGNATION]])),"","NEED REF")</f>
        <v/>
      </c>
    </row>
    <row r="4046" ht="15" customHeight="1" s="142">
      <c r="B4046" t="n">
        <v>34409959</v>
      </c>
      <c r="C4046" s="2" t="n">
        <v>44510</v>
      </c>
      <c r="D4046" t="inlineStr">
        <is>
          <t>SPEC</t>
        </is>
      </c>
      <c r="E4046" t="inlineStr">
        <is>
          <t>SMT SUPPORT VOYANT</t>
        </is>
      </c>
      <c r="F4046" t="inlineStr">
        <is>
          <t>ST MICRO (ROUSSET)</t>
        </is>
      </c>
      <c r="G4046" t="inlineStr">
        <is>
          <t>GVX</t>
        </is>
      </c>
      <c r="H4046" t="inlineStr">
        <is>
          <t>AUX</t>
        </is>
      </c>
      <c r="J4046" t="inlineStr">
        <is>
          <t>MATRION</t>
        </is>
      </c>
      <c r="K4046" t="inlineStr">
        <is>
          <t>METAL</t>
        </is>
      </c>
      <c r="L4046">
        <f>_xlfn.XLOOKUP(Tableau1[[#This Row],[TYPE DE PIECE]],Tableau4[MATIERE],Tableau4[SHORT TYPE],"",0,1)</f>
        <v/>
      </c>
      <c r="N4046">
        <f>IF(ISERR(FIND("DECOUPE",Tableau1[[#This Row],[DESIGNATION]])),"","NEED REF")</f>
        <v/>
      </c>
    </row>
    <row r="4047" ht="15" customHeight="1" s="142">
      <c r="B4047" t="n">
        <v>34409958</v>
      </c>
      <c r="C4047" s="2" t="n">
        <v>44510</v>
      </c>
      <c r="D4047" t="inlineStr">
        <is>
          <t>SPEC</t>
        </is>
      </c>
      <c r="E4047" t="inlineStr">
        <is>
          <t>COP INTERCONNEXION KTA2500 VERS LINERGY</t>
        </is>
      </c>
      <c r="F4047" t="inlineStr">
        <is>
          <t>SMT</t>
        </is>
      </c>
      <c r="G4047" t="inlineStr">
        <is>
          <t>GVX</t>
        </is>
      </c>
      <c r="H4047" t="inlineStr">
        <is>
          <t>AUX</t>
        </is>
      </c>
      <c r="J4047" t="inlineStr">
        <is>
          <t>MATRION</t>
        </is>
      </c>
      <c r="K4047" t="inlineStr">
        <is>
          <t>CUIVRE</t>
        </is>
      </c>
      <c r="L4047">
        <f>_xlfn.XLOOKUP(Tableau1[[#This Row],[TYPE DE PIECE]],Tableau4[MATIERE],Tableau4[SHORT TYPE],"",0,1)</f>
        <v/>
      </c>
      <c r="N4047">
        <f>IF(ISERR(FIND("DECOUPE",Tableau1[[#This Row],[DESIGNATION]])),"","NEED REF")</f>
        <v/>
      </c>
    </row>
    <row r="4048" ht="15" customHeight="1" s="142">
      <c r="B4048" t="n">
        <v>34409957</v>
      </c>
      <c r="C4048" s="2" t="n">
        <v>44510</v>
      </c>
      <c r="D4048" t="inlineStr">
        <is>
          <t>SPEC</t>
        </is>
      </c>
      <c r="E4048" t="inlineStr">
        <is>
          <t>SMT PANNEAU LATERAL DECOUPE RAL9003</t>
        </is>
      </c>
      <c r="F4048" t="inlineStr">
        <is>
          <t>ST MICRO (ROUSSET)</t>
        </is>
      </c>
      <c r="G4048" t="inlineStr">
        <is>
          <t>GVX</t>
        </is>
      </c>
      <c r="H4048" t="inlineStr">
        <is>
          <t>AUX</t>
        </is>
      </c>
      <c r="J4048" t="inlineStr">
        <is>
          <t>MATRION</t>
        </is>
      </c>
      <c r="K4048" t="inlineStr">
        <is>
          <t>METAL</t>
        </is>
      </c>
      <c r="L4048">
        <f>_xlfn.XLOOKUP(Tableau1[[#This Row],[TYPE DE PIECE]],Tableau4[MATIERE],Tableau4[SHORT TYPE],"",0,1)</f>
        <v/>
      </c>
      <c r="N4048">
        <f>IF(ISERR(FIND("DECOUPE",Tableau1[[#This Row],[DESIGNATION]])),"","NEED REF")</f>
        <v/>
      </c>
    </row>
    <row r="4049" ht="15" customHeight="1" s="142">
      <c r="B4049" t="n">
        <v>34409956</v>
      </c>
      <c r="C4049" s="2" t="n">
        <v>44510</v>
      </c>
      <c r="D4049" t="inlineStr">
        <is>
          <t>SPEC</t>
        </is>
      </c>
      <c r="E4049" t="inlineStr">
        <is>
          <t>SMT TOIT PLEIN</t>
        </is>
      </c>
      <c r="F4049" t="inlineStr">
        <is>
          <t>ST MICRO (ROUSSET)</t>
        </is>
      </c>
      <c r="G4049" t="inlineStr">
        <is>
          <t>GVX</t>
        </is>
      </c>
      <c r="H4049" t="inlineStr">
        <is>
          <t>AUX</t>
        </is>
      </c>
      <c r="J4049" t="inlineStr">
        <is>
          <t>MATRION</t>
        </is>
      </c>
      <c r="K4049" t="inlineStr">
        <is>
          <t>METAL</t>
        </is>
      </c>
      <c r="L4049">
        <f>_xlfn.XLOOKUP(Tableau1[[#This Row],[TYPE DE PIECE]],Tableau4[MATIERE],Tableau4[SHORT TYPE],"",0,1)</f>
        <v/>
      </c>
      <c r="N4049">
        <f>IF(ISERR(FIND("DECOUPE",Tableau1[[#This Row],[DESIGNATION]])),"","NEED REF")</f>
        <v/>
      </c>
    </row>
    <row r="4050" ht="15" customHeight="1" s="142">
      <c r="B4050" t="n">
        <v>34409955</v>
      </c>
      <c r="C4050" s="2" t="n">
        <v>44509</v>
      </c>
      <c r="D4050" t="inlineStr">
        <is>
          <t>SPEC</t>
        </is>
      </c>
      <c r="E4050" t="inlineStr">
        <is>
          <t>SMT SUPPORT GOULOTTE</t>
        </is>
      </c>
      <c r="F4050" t="inlineStr">
        <is>
          <t>ST MICRO (ROUSSET)</t>
        </is>
      </c>
      <c r="G4050" t="inlineStr">
        <is>
          <t>GVX</t>
        </is>
      </c>
      <c r="H4050" t="inlineStr">
        <is>
          <t>AUX</t>
        </is>
      </c>
      <c r="J4050" t="inlineStr">
        <is>
          <t>JAWORSKI</t>
        </is>
      </c>
      <c r="K4050" t="inlineStr">
        <is>
          <t>METAL</t>
        </is>
      </c>
      <c r="L4050">
        <f>_xlfn.XLOOKUP(Tableau1[[#This Row],[TYPE DE PIECE]],Tableau4[MATIERE],Tableau4[SHORT TYPE],"",0,1)</f>
        <v/>
      </c>
      <c r="N4050">
        <f>IF(ISERR(FIND("DECOUPE",Tableau1[[#This Row],[DESIGNATION]])),"","NEED REF")</f>
        <v/>
      </c>
    </row>
    <row r="4051" ht="15" customHeight="1" s="142">
      <c r="B4051" t="n">
        <v>34409954</v>
      </c>
      <c r="C4051" s="2" t="n">
        <v>44509</v>
      </c>
      <c r="D4051" t="inlineStr">
        <is>
          <t>SPEC</t>
        </is>
      </c>
      <c r="E4051" t="inlineStr">
        <is>
          <t>SMT PASSE CABLES ALU</t>
        </is>
      </c>
      <c r="F4051" t="inlineStr">
        <is>
          <t>ST MICRO (ROUSSET)</t>
        </is>
      </c>
      <c r="G4051" t="inlineStr">
        <is>
          <t>GVX</t>
        </is>
      </c>
      <c r="H4051" t="inlineStr">
        <is>
          <t>AUX</t>
        </is>
      </c>
      <c r="J4051" t="inlineStr">
        <is>
          <t>MATRION</t>
        </is>
      </c>
      <c r="K4051" t="inlineStr">
        <is>
          <t>METAL</t>
        </is>
      </c>
      <c r="L4051">
        <f>_xlfn.XLOOKUP(Tableau1[[#This Row],[TYPE DE PIECE]],Tableau4[MATIERE],Tableau4[SHORT TYPE],"",0,1)</f>
        <v/>
      </c>
      <c r="N4051">
        <f>IF(ISERR(FIND("DECOUPE",Tableau1[[#This Row],[DESIGNATION]])),"","NEED REF")</f>
        <v/>
      </c>
    </row>
    <row r="4052" ht="15" customHeight="1" s="142">
      <c r="B4052" t="n">
        <v>34409953</v>
      </c>
      <c r="C4052" s="2" t="n">
        <v>44509</v>
      </c>
      <c r="D4052" t="inlineStr">
        <is>
          <t>SPEC</t>
        </is>
      </c>
      <c r="E4052" t="inlineStr">
        <is>
          <t>SMT PLASTRON BAS</t>
        </is>
      </c>
      <c r="J4052" t="inlineStr">
        <is>
          <t>BERNARDEAU</t>
        </is>
      </c>
      <c r="K4052" t="inlineStr">
        <is>
          <t>METAL</t>
        </is>
      </c>
      <c r="L4052">
        <f>_xlfn.XLOOKUP(Tableau1[[#This Row],[TYPE DE PIECE]],Tableau4[MATIERE],Tableau4[SHORT TYPE],"",0,1)</f>
        <v/>
      </c>
      <c r="N4052">
        <f>IF(ISERR(FIND("DECOUPE",Tableau1[[#This Row],[DESIGNATION]])),"","NEED REF")</f>
        <v/>
      </c>
    </row>
    <row r="4053" ht="15" customHeight="1" s="142">
      <c r="B4053" t="n">
        <v>34409952</v>
      </c>
      <c r="C4053" s="2" t="n">
        <v>44509</v>
      </c>
      <c r="D4053" t="inlineStr">
        <is>
          <t>SPEC</t>
        </is>
      </c>
      <c r="E4053" t="inlineStr">
        <is>
          <t>SMT PALSTRON HAUT</t>
        </is>
      </c>
      <c r="J4053" t="inlineStr">
        <is>
          <t>BERNARDEAU</t>
        </is>
      </c>
      <c r="K4053" t="inlineStr">
        <is>
          <t>METAL</t>
        </is>
      </c>
      <c r="L4053">
        <f>_xlfn.XLOOKUP(Tableau1[[#This Row],[TYPE DE PIECE]],Tableau4[MATIERE],Tableau4[SHORT TYPE],"",0,1)</f>
        <v/>
      </c>
      <c r="N4053">
        <f>IF(ISERR(FIND("DECOUPE",Tableau1[[#This Row],[DESIGNATION]])),"","NEED REF")</f>
        <v/>
      </c>
    </row>
    <row r="4054" ht="15" customHeight="1" s="142">
      <c r="B4054" t="n">
        <v>34409951</v>
      </c>
      <c r="C4054" s="2" t="n">
        <v>44509</v>
      </c>
      <c r="D4054" t="inlineStr">
        <is>
          <t>SPEC</t>
        </is>
      </c>
      <c r="E4054" t="inlineStr">
        <is>
          <t>KIT CABLE COMMANDE PDPM QSMA57392 RAC BAS</t>
        </is>
      </c>
      <c r="F4054" t="inlineStr">
        <is>
          <t>PDPM277H</t>
        </is>
      </c>
      <c r="G4054" t="inlineStr">
        <is>
          <t>PDU</t>
        </is>
      </c>
      <c r="H4054" t="inlineStr">
        <is>
          <t>AUTRE</t>
        </is>
      </c>
      <c r="J4054" t="inlineStr">
        <is>
          <t>CAKIR</t>
        </is>
      </c>
      <c r="K4054" t="inlineStr">
        <is>
          <t>CABLES</t>
        </is>
      </c>
      <c r="L4054">
        <f>_xlfn.XLOOKUP(Tableau1[[#This Row],[TYPE DE PIECE]],Tableau4[MATIERE],Tableau4[SHORT TYPE],"",0,1)</f>
        <v/>
      </c>
      <c r="N4054">
        <f>IF(ISERR(FIND("DECOUPE",Tableau1[[#This Row],[DESIGNATION]])),"","NEED REF")</f>
        <v/>
      </c>
    </row>
    <row r="4055">
      <c r="B4055" t="n">
        <v>34409950</v>
      </c>
      <c r="C4055" s="2" t="n">
        <v>44509</v>
      </c>
      <c r="D4055" t="inlineStr">
        <is>
          <t>SPEC</t>
        </is>
      </c>
      <c r="E4055" t="inlineStr">
        <is>
          <t>SMT DEMI TOIT 2/2 KTA2500</t>
        </is>
      </c>
      <c r="F4055" t="inlineStr">
        <is>
          <t>ST MICRO (ROUSSET)</t>
        </is>
      </c>
      <c r="G4055" t="inlineStr">
        <is>
          <t>GVX</t>
        </is>
      </c>
      <c r="H4055" t="inlineStr">
        <is>
          <t>AUX</t>
        </is>
      </c>
      <c r="J4055" t="inlineStr">
        <is>
          <t>MATRION</t>
        </is>
      </c>
      <c r="K4055" t="inlineStr">
        <is>
          <t>METAL</t>
        </is>
      </c>
      <c r="L4055">
        <f>_xlfn.XLOOKUP(Tableau1[[#This Row],[TYPE DE PIECE]],Tableau4[MATIERE],Tableau4[SHORT TYPE],"",0,1)</f>
        <v/>
      </c>
      <c r="N4055">
        <f>IF(ISERR(FIND("DECOUPE",Tableau1[[#This Row],[DESIGNATION]])),"","NEED REF")</f>
        <v/>
      </c>
    </row>
    <row r="4056">
      <c r="B4056" t="n">
        <v>34409949</v>
      </c>
      <c r="C4056" s="2" t="n">
        <v>44509</v>
      </c>
      <c r="D4056" t="inlineStr">
        <is>
          <t>SPEC</t>
        </is>
      </c>
      <c r="E4056" t="inlineStr">
        <is>
          <t>SMT DEMI TOIT 1/2 KTA2500</t>
        </is>
      </c>
      <c r="F4056" t="inlineStr">
        <is>
          <t>ST MICRO (ROUSSET)</t>
        </is>
      </c>
      <c r="G4056" t="inlineStr">
        <is>
          <t>GVX</t>
        </is>
      </c>
      <c r="H4056" t="inlineStr">
        <is>
          <t>AUX</t>
        </is>
      </c>
      <c r="J4056" t="inlineStr">
        <is>
          <t>MATRION</t>
        </is>
      </c>
      <c r="K4056" t="inlineStr">
        <is>
          <t>METAL</t>
        </is>
      </c>
      <c r="L4056">
        <f>_xlfn.XLOOKUP(Tableau1[[#This Row],[TYPE DE PIECE]],Tableau4[MATIERE],Tableau4[SHORT TYPE],"",0,1)</f>
        <v/>
      </c>
      <c r="N4056">
        <f>IF(ISERR(FIND("DECOUPE",Tableau1[[#This Row],[DESIGNATION]])),"","NEED REF")</f>
        <v/>
      </c>
    </row>
    <row r="4057">
      <c r="B4057" t="n">
        <v>34409948</v>
      </c>
      <c r="C4057" s="2" t="n">
        <v>44508</v>
      </c>
      <c r="D4057" t="inlineStr">
        <is>
          <t>SPEC</t>
        </is>
      </c>
      <c r="E4057" t="inlineStr">
        <is>
          <t>DECOUPE LINERGY 04567 L1520MM</t>
        </is>
      </c>
      <c r="F4057" t="inlineStr">
        <is>
          <t>ST MICRO (ROUSSET)</t>
        </is>
      </c>
      <c r="G4057" t="inlineStr">
        <is>
          <t>GVX</t>
        </is>
      </c>
      <c r="H4057" t="inlineStr">
        <is>
          <t>AUX</t>
        </is>
      </c>
      <c r="J4057" t="inlineStr">
        <is>
          <t>MATRION</t>
        </is>
      </c>
      <c r="K4057" t="inlineStr">
        <is>
          <t>METAL</t>
        </is>
      </c>
      <c r="L4057">
        <f>_xlfn.XLOOKUP(Tableau1[[#This Row],[TYPE DE PIECE]],Tableau4[MATIERE],Tableau4[SHORT TYPE],"",0,1)</f>
        <v/>
      </c>
      <c r="N4057" t="inlineStr">
        <is>
          <t>LVS04567</t>
        </is>
      </c>
    </row>
    <row r="4058">
      <c r="B4058" t="n">
        <v>34409947</v>
      </c>
      <c r="C4058" s="2" t="n">
        <v>44505</v>
      </c>
      <c r="D4058" t="inlineStr">
        <is>
          <t>SPEC</t>
        </is>
      </c>
      <c r="E4058" t="inlineStr">
        <is>
          <t>SMT SUPPORT BARRE PE</t>
        </is>
      </c>
      <c r="F4058" t="inlineStr">
        <is>
          <t>ST MICRO (ROUSSET)</t>
        </is>
      </c>
      <c r="G4058" t="inlineStr">
        <is>
          <t>GVX</t>
        </is>
      </c>
      <c r="H4058" t="inlineStr">
        <is>
          <t>AUX</t>
        </is>
      </c>
      <c r="J4058" t="inlineStr">
        <is>
          <t>JAWORSKI</t>
        </is>
      </c>
      <c r="K4058" t="inlineStr">
        <is>
          <t>METAL</t>
        </is>
      </c>
      <c r="L4058">
        <f>_xlfn.XLOOKUP(Tableau1[[#This Row],[TYPE DE PIECE]],Tableau4[MATIERE],Tableau4[SHORT TYPE],"",0,1)</f>
        <v/>
      </c>
      <c r="N4058">
        <f>IF(ISERR(FIND("DECOUPE",Tableau1[[#This Row],[DESIGNATION]])),"","NEED REF")</f>
        <v/>
      </c>
    </row>
    <row r="4059">
      <c r="B4059" t="n">
        <v>34409946</v>
      </c>
      <c r="C4059" s="2" t="n">
        <v>44505</v>
      </c>
      <c r="D4059" t="inlineStr">
        <is>
          <t>SPEC</t>
        </is>
      </c>
      <c r="E4059" t="inlineStr">
        <is>
          <t>SMT PLASTRON DROIT H/B</t>
        </is>
      </c>
      <c r="F4059" t="inlineStr">
        <is>
          <t>ST MICRO (ROUSSET)</t>
        </is>
      </c>
      <c r="G4059" t="inlineStr">
        <is>
          <t>GVX</t>
        </is>
      </c>
      <c r="H4059" t="inlineStr">
        <is>
          <t>AUX</t>
        </is>
      </c>
      <c r="J4059" t="inlineStr">
        <is>
          <t>JAWORSKI</t>
        </is>
      </c>
      <c r="K4059" t="inlineStr">
        <is>
          <t>METAL</t>
        </is>
      </c>
      <c r="L4059">
        <f>_xlfn.XLOOKUP(Tableau1[[#This Row],[TYPE DE PIECE]],Tableau4[MATIERE],Tableau4[SHORT TYPE],"",0,1)</f>
        <v/>
      </c>
      <c r="N4059">
        <f>IF(ISERR(FIND("DECOUPE",Tableau1[[#This Row],[DESIGNATION]])),"","NEED REF")</f>
        <v/>
      </c>
    </row>
    <row r="4060">
      <c r="B4060" t="n">
        <v>34409945</v>
      </c>
      <c r="C4060" s="2" t="n">
        <v>44505</v>
      </c>
      <c r="D4060" t="inlineStr">
        <is>
          <t>SPEC</t>
        </is>
      </c>
      <c r="E4060" t="inlineStr">
        <is>
          <t>SMT PLASTRON GAUCHE HAUT NS1000</t>
        </is>
      </c>
      <c r="F4060" t="inlineStr">
        <is>
          <t>ST MICRO (ROUSSET)</t>
        </is>
      </c>
      <c r="G4060" t="inlineStr">
        <is>
          <t>GVX</t>
        </is>
      </c>
      <c r="H4060" t="inlineStr">
        <is>
          <t>AUX</t>
        </is>
      </c>
      <c r="J4060" t="inlineStr">
        <is>
          <t>JAWORSKI</t>
        </is>
      </c>
      <c r="K4060" t="inlineStr">
        <is>
          <t>METAL</t>
        </is>
      </c>
      <c r="L4060">
        <f>_xlfn.XLOOKUP(Tableau1[[#This Row],[TYPE DE PIECE]],Tableau4[MATIERE],Tableau4[SHORT TYPE],"",0,1)</f>
        <v/>
      </c>
      <c r="N4060">
        <f>IF(ISERR(FIND("DECOUPE",Tableau1[[#This Row],[DESIGNATION]])),"","NEED REF")</f>
        <v/>
      </c>
    </row>
    <row r="4061">
      <c r="B4061" t="n">
        <v>34409944</v>
      </c>
      <c r="C4061" s="2" t="n">
        <v>44505</v>
      </c>
      <c r="D4061" t="inlineStr">
        <is>
          <t>SPEC</t>
        </is>
      </c>
      <c r="E4061" t="inlineStr">
        <is>
          <t>SMT PLASTRON GAUCHE BAS NS1000</t>
        </is>
      </c>
      <c r="F4061" t="inlineStr">
        <is>
          <t>ST MICRO (ROUSSET)</t>
        </is>
      </c>
      <c r="G4061" t="inlineStr">
        <is>
          <t>GVX</t>
        </is>
      </c>
      <c r="H4061" t="inlineStr">
        <is>
          <t>AUX</t>
        </is>
      </c>
      <c r="J4061" t="inlineStr">
        <is>
          <t>JAWORSKI</t>
        </is>
      </c>
      <c r="K4061" t="inlineStr">
        <is>
          <t>METAL</t>
        </is>
      </c>
      <c r="L4061">
        <f>_xlfn.XLOOKUP(Tableau1[[#This Row],[TYPE DE PIECE]],Tableau4[MATIERE],Tableau4[SHORT TYPE],"",0,1)</f>
        <v/>
      </c>
      <c r="N4061">
        <f>IF(ISERR(FIND("DECOUPE",Tableau1[[#This Row],[DESIGNATION]])),"","NEED REF")</f>
        <v/>
      </c>
    </row>
    <row r="4062">
      <c r="B4062" t="n">
        <v>34409943</v>
      </c>
      <c r="C4062" s="2" t="n">
        <v>44505</v>
      </c>
      <c r="D4062" t="inlineStr">
        <is>
          <t>SPEC</t>
        </is>
      </c>
      <c r="E4062" t="inlineStr">
        <is>
          <t xml:space="preserve">SMT PLATINE AUXILLIAIRE </t>
        </is>
      </c>
      <c r="F4062" t="inlineStr">
        <is>
          <t>ST MICRO (ROUSSET)</t>
        </is>
      </c>
      <c r="G4062" t="inlineStr">
        <is>
          <t>GVX</t>
        </is>
      </c>
      <c r="H4062" t="inlineStr">
        <is>
          <t>AUX</t>
        </is>
      </c>
      <c r="J4062" t="inlineStr">
        <is>
          <t>JAWORSKI</t>
        </is>
      </c>
      <c r="K4062" t="inlineStr">
        <is>
          <t>METAL</t>
        </is>
      </c>
      <c r="L4062">
        <f>_xlfn.XLOOKUP(Tableau1[[#This Row],[TYPE DE PIECE]],Tableau4[MATIERE],Tableau4[SHORT TYPE],"",0,1)</f>
        <v/>
      </c>
      <c r="N4062">
        <f>IF(ISERR(FIND("DECOUPE",Tableau1[[#This Row],[DESIGNATION]])),"","NEED REF")</f>
        <v/>
      </c>
    </row>
    <row r="4063">
      <c r="B4063" t="n">
        <v>34409942</v>
      </c>
      <c r="C4063" s="2" t="n">
        <v>44505</v>
      </c>
      <c r="D4063" t="inlineStr">
        <is>
          <t>SPEC</t>
        </is>
      </c>
      <c r="E4063" t="inlineStr">
        <is>
          <t>PLA BRIDE JEU DE BARRE NS1000</t>
        </is>
      </c>
      <c r="F4063" t="inlineStr">
        <is>
          <t>ST MICRO (ROUSSET)</t>
        </is>
      </c>
      <c r="G4063" t="inlineStr">
        <is>
          <t>GVX</t>
        </is>
      </c>
      <c r="H4063" t="inlineStr">
        <is>
          <t>AUX</t>
        </is>
      </c>
      <c r="J4063" t="inlineStr">
        <is>
          <t>JAWORSKI</t>
        </is>
      </c>
      <c r="K4063" t="inlineStr">
        <is>
          <t>PLASTIQUE</t>
        </is>
      </c>
      <c r="L4063">
        <f>_xlfn.XLOOKUP(Tableau1[[#This Row],[TYPE DE PIECE]],Tableau4[MATIERE],Tableau4[SHORT TYPE],"",0,1)</f>
        <v/>
      </c>
      <c r="N4063">
        <f>IF(ISERR(FIND("DECOUPE",Tableau1[[#This Row],[DESIGNATION]])),"","NEED REF")</f>
        <v/>
      </c>
    </row>
    <row r="4064">
      <c r="B4064" t="n">
        <v>34409941</v>
      </c>
      <c r="C4064" s="2" t="n">
        <v>44504</v>
      </c>
      <c r="D4064" t="inlineStr">
        <is>
          <t>SPEC</t>
        </is>
      </c>
      <c r="E4064" t="inlineStr">
        <is>
          <t>SMT SUPPORT LINERGY BAS 2</t>
        </is>
      </c>
      <c r="F4064" t="inlineStr">
        <is>
          <t>ST MICRO (ROUSSET)</t>
        </is>
      </c>
      <c r="G4064" t="inlineStr">
        <is>
          <t>GVX</t>
        </is>
      </c>
      <c r="H4064" t="inlineStr">
        <is>
          <t>AUX</t>
        </is>
      </c>
      <c r="J4064" t="inlineStr">
        <is>
          <t>JAWORSKI</t>
        </is>
      </c>
      <c r="K4064" t="inlineStr">
        <is>
          <t>METAL</t>
        </is>
      </c>
      <c r="L4064">
        <f>_xlfn.XLOOKUP(Tableau1[[#This Row],[TYPE DE PIECE]],Tableau4[MATIERE],Tableau4[SHORT TYPE],"",0,1)</f>
        <v/>
      </c>
      <c r="N4064">
        <f>IF(ISERR(FIND("DECOUPE",Tableau1[[#This Row],[DESIGNATION]])),"","NEED REF")</f>
        <v/>
      </c>
    </row>
    <row r="4065">
      <c r="B4065" t="n">
        <v>34409940</v>
      </c>
      <c r="C4065" s="2" t="n">
        <v>44504</v>
      </c>
      <c r="D4065" t="inlineStr">
        <is>
          <t>SPEC</t>
        </is>
      </c>
      <c r="E4065" t="inlineStr">
        <is>
          <t>SMT SUPPORT LINERGY BAS 1</t>
        </is>
      </c>
      <c r="F4065" t="inlineStr">
        <is>
          <t>ST MICRO (ROUSSET)</t>
        </is>
      </c>
      <c r="G4065" t="inlineStr">
        <is>
          <t>GVX</t>
        </is>
      </c>
      <c r="H4065" t="inlineStr">
        <is>
          <t>AUX</t>
        </is>
      </c>
      <c r="J4065" t="inlineStr">
        <is>
          <t>JAWORSKI</t>
        </is>
      </c>
      <c r="K4065" t="inlineStr">
        <is>
          <t>METAL</t>
        </is>
      </c>
      <c r="L4065">
        <f>_xlfn.XLOOKUP(Tableau1[[#This Row],[TYPE DE PIECE]],Tableau4[MATIERE],Tableau4[SHORT TYPE],"",0,1)</f>
        <v/>
      </c>
      <c r="N4065">
        <f>IF(ISERR(FIND("DECOUPE",Tableau1[[#This Row],[DESIGNATION]])),"","NEED REF")</f>
        <v/>
      </c>
    </row>
    <row r="4066">
      <c r="B4066" t="n">
        <v>34409939</v>
      </c>
      <c r="C4066" s="2" t="n">
        <v>44504</v>
      </c>
      <c r="D4066" t="inlineStr">
        <is>
          <t>SPEC</t>
        </is>
      </c>
      <c r="E4066" t="inlineStr">
        <is>
          <t>SMT EQUERRE STRUCTURE BIRDY</t>
        </is>
      </c>
      <c r="F4066" t="inlineStr">
        <is>
          <t>ST MICRO (ROUSSET)</t>
        </is>
      </c>
      <c r="G4066" t="inlineStr">
        <is>
          <t>GVX</t>
        </is>
      </c>
      <c r="H4066" t="inlineStr">
        <is>
          <t>AUX</t>
        </is>
      </c>
      <c r="J4066" t="inlineStr">
        <is>
          <t>JAWORSKI</t>
        </is>
      </c>
      <c r="K4066" t="inlineStr">
        <is>
          <t>METAL</t>
        </is>
      </c>
      <c r="L4066">
        <f>_xlfn.XLOOKUP(Tableau1[[#This Row],[TYPE DE PIECE]],Tableau4[MATIERE],Tableau4[SHORT TYPE],"",0,1)</f>
        <v/>
      </c>
      <c r="N4066">
        <f>IF(ISERR(FIND("DECOUPE",Tableau1[[#This Row],[DESIGNATION]])),"","NEED REF")</f>
        <v/>
      </c>
    </row>
    <row r="4067">
      <c r="B4067" t="n">
        <v>34409938</v>
      </c>
      <c r="C4067" s="2" t="n">
        <v>44504</v>
      </c>
      <c r="D4067" t="inlineStr">
        <is>
          <t>SPEC</t>
        </is>
      </c>
      <c r="E4067" t="inlineStr">
        <is>
          <t>KIT CABLE COMMANDE PDPM QPBE74112</t>
        </is>
      </c>
      <c r="F4067" t="inlineStr">
        <is>
          <t>PDPM277H</t>
        </is>
      </c>
      <c r="G4067" t="inlineStr">
        <is>
          <t>PDU</t>
        </is>
      </c>
      <c r="H4067" t="inlineStr">
        <is>
          <t>AUTRE</t>
        </is>
      </c>
      <c r="J4067" t="inlineStr">
        <is>
          <t>CAKIR</t>
        </is>
      </c>
      <c r="K4067" t="inlineStr">
        <is>
          <t>CABLES</t>
        </is>
      </c>
      <c r="L4067">
        <f>_xlfn.XLOOKUP(Tableau1[[#This Row],[TYPE DE PIECE]],Tableau4[MATIERE],Tableau4[SHORT TYPE],"",0,1)</f>
        <v/>
      </c>
      <c r="N4067">
        <f>IF(ISERR(FIND("DECOUPE",Tableau1[[#This Row],[DESIGNATION]])),"","NEED REF")</f>
        <v/>
      </c>
    </row>
    <row r="4068">
      <c r="B4068" t="n">
        <v>34409937</v>
      </c>
      <c r="C4068" s="2" t="n">
        <v>44503</v>
      </c>
      <c r="D4068" t="inlineStr">
        <is>
          <t>SPEC</t>
        </is>
      </c>
      <c r="E4068" t="inlineStr">
        <is>
          <t>DECOUPE LINERGY 04567 L1600MM</t>
        </is>
      </c>
      <c r="F4068" t="inlineStr">
        <is>
          <t>ST MICRO (ROUSSET)</t>
        </is>
      </c>
      <c r="G4068" t="inlineStr">
        <is>
          <t>GVX</t>
        </is>
      </c>
      <c r="H4068" t="inlineStr">
        <is>
          <t>AUX</t>
        </is>
      </c>
      <c r="J4068" t="inlineStr">
        <is>
          <t>JAWORSKI</t>
        </is>
      </c>
      <c r="K4068" t="inlineStr">
        <is>
          <t>METAL</t>
        </is>
      </c>
      <c r="L4068">
        <f>_xlfn.XLOOKUP(Tableau1[[#This Row],[TYPE DE PIECE]],Tableau4[MATIERE],Tableau4[SHORT TYPE],"",0,1)</f>
        <v/>
      </c>
      <c r="N4068" t="inlineStr">
        <is>
          <t>LVS04567</t>
        </is>
      </c>
    </row>
    <row r="4069">
      <c r="B4069" t="n">
        <v>34409936</v>
      </c>
      <c r="C4069" s="2" t="n">
        <v>44503</v>
      </c>
      <c r="D4069" t="inlineStr">
        <is>
          <t>SPEC</t>
        </is>
      </c>
      <c r="E4069" t="inlineStr">
        <is>
          <t>COP ECLISSAGE SSIB</t>
        </is>
      </c>
      <c r="F4069" t="inlineStr">
        <is>
          <t>ST MICRO (ROUSSET)</t>
        </is>
      </c>
      <c r="G4069" t="inlineStr">
        <is>
          <t>GVX</t>
        </is>
      </c>
      <c r="H4069" t="inlineStr">
        <is>
          <t>AUX</t>
        </is>
      </c>
      <c r="J4069" t="inlineStr">
        <is>
          <t>JAWORSKI</t>
        </is>
      </c>
      <c r="K4069" t="inlineStr">
        <is>
          <t>CUIVRE</t>
        </is>
      </c>
      <c r="L4069">
        <f>_xlfn.XLOOKUP(Tableau1[[#This Row],[TYPE DE PIECE]],Tableau4[MATIERE],Tableau4[SHORT TYPE],"",0,1)</f>
        <v/>
      </c>
      <c r="N4069">
        <f>IF(ISERR(FIND("DECOUPE",Tableau1[[#This Row],[DESIGNATION]])),"","NEED REF")</f>
        <v/>
      </c>
    </row>
    <row r="4070">
      <c r="B4070" t="n">
        <v>34409935</v>
      </c>
      <c r="C4070" s="2" t="n">
        <v>44503</v>
      </c>
      <c r="D4070" t="inlineStr">
        <is>
          <t>SPEC</t>
        </is>
      </c>
      <c r="E4070" t="inlineStr">
        <is>
          <t>SMT SUPPORT ECLISSAGE/LINERGY</t>
        </is>
      </c>
      <c r="F4070" t="inlineStr">
        <is>
          <t>ST MICRO (ROUSSET)</t>
        </is>
      </c>
      <c r="G4070" t="inlineStr">
        <is>
          <t>GVX</t>
        </is>
      </c>
      <c r="H4070" t="inlineStr">
        <is>
          <t>AUX</t>
        </is>
      </c>
      <c r="J4070" t="inlineStr">
        <is>
          <t>JAWORSKI</t>
        </is>
      </c>
      <c r="K4070" t="inlineStr">
        <is>
          <t>METAL</t>
        </is>
      </c>
      <c r="L4070">
        <f>_xlfn.XLOOKUP(Tableau1[[#This Row],[TYPE DE PIECE]],Tableau4[MATIERE],Tableau4[SHORT TYPE],"",0,1)</f>
        <v/>
      </c>
      <c r="N4070">
        <f>IF(ISERR(FIND("DECOUPE",Tableau1[[#This Row],[DESIGNATION]])),"","NEED REF")</f>
        <v/>
      </c>
    </row>
    <row r="4071">
      <c r="B4071" t="n">
        <v>34409934</v>
      </c>
      <c r="C4071" s="2" t="n">
        <v>44502</v>
      </c>
      <c r="D4071" t="inlineStr">
        <is>
          <t>SPEC</t>
        </is>
      </c>
      <c r="E4071" t="inlineStr">
        <is>
          <t>COP CX NS/LINERGY - L3</t>
        </is>
      </c>
      <c r="F4071" t="inlineStr">
        <is>
          <t>ST MICRO (ROUSSET)</t>
        </is>
      </c>
      <c r="G4071" t="inlineStr">
        <is>
          <t>GVX</t>
        </is>
      </c>
      <c r="H4071" t="inlineStr">
        <is>
          <t>AUX</t>
        </is>
      </c>
      <c r="J4071" t="inlineStr">
        <is>
          <t>JAWORSKI</t>
        </is>
      </c>
      <c r="K4071" t="inlineStr">
        <is>
          <t>CUIVRE</t>
        </is>
      </c>
      <c r="L4071">
        <f>_xlfn.XLOOKUP(Tableau1[[#This Row],[TYPE DE PIECE]],Tableau4[MATIERE],Tableau4[SHORT TYPE],"",0,1)</f>
        <v/>
      </c>
      <c r="N4071">
        <f>IF(ISERR(FIND("DECOUPE",Tableau1[[#This Row],[DESIGNATION]])),"","NEED REF")</f>
        <v/>
      </c>
    </row>
    <row r="4072">
      <c r="B4072" t="n">
        <v>34409933</v>
      </c>
      <c r="C4072" s="2" t="n">
        <v>44502</v>
      </c>
      <c r="D4072" t="inlineStr">
        <is>
          <t>SPEC</t>
        </is>
      </c>
      <c r="E4072" t="inlineStr">
        <is>
          <t>COP CX NS/LINERGY - L2</t>
        </is>
      </c>
      <c r="F4072" t="inlineStr">
        <is>
          <t>ST MICRO (ROUSSET)</t>
        </is>
      </c>
      <c r="G4072" t="inlineStr">
        <is>
          <t>GVX</t>
        </is>
      </c>
      <c r="H4072" t="inlineStr">
        <is>
          <t>AUX</t>
        </is>
      </c>
      <c r="J4072" t="inlineStr">
        <is>
          <t>JAWORSKI</t>
        </is>
      </c>
      <c r="K4072" t="inlineStr">
        <is>
          <t>CUIVRE</t>
        </is>
      </c>
      <c r="L4072">
        <f>_xlfn.XLOOKUP(Tableau1[[#This Row],[TYPE DE PIECE]],Tableau4[MATIERE],Tableau4[SHORT TYPE],"",0,1)</f>
        <v/>
      </c>
      <c r="N4072">
        <f>IF(ISERR(FIND("DECOUPE",Tableau1[[#This Row],[DESIGNATION]])),"","NEED REF")</f>
        <v/>
      </c>
    </row>
    <row r="4073">
      <c r="B4073" t="n">
        <v>34409932</v>
      </c>
      <c r="C4073" s="2" t="n">
        <v>44502</v>
      </c>
      <c r="D4073" t="inlineStr">
        <is>
          <t>SPEC</t>
        </is>
      </c>
      <c r="E4073" t="inlineStr">
        <is>
          <t>COP CX NS/LINERGY - L1</t>
        </is>
      </c>
      <c r="F4073" t="inlineStr">
        <is>
          <t>ST MICRO (ROUSSET)</t>
        </is>
      </c>
      <c r="G4073" t="inlineStr">
        <is>
          <t>GVX</t>
        </is>
      </c>
      <c r="H4073" t="inlineStr">
        <is>
          <t>AUX</t>
        </is>
      </c>
      <c r="J4073" t="inlineStr">
        <is>
          <t>JAWORSKI</t>
        </is>
      </c>
      <c r="K4073" t="inlineStr">
        <is>
          <t>CUIVRE</t>
        </is>
      </c>
      <c r="L4073">
        <f>_xlfn.XLOOKUP(Tableau1[[#This Row],[TYPE DE PIECE]],Tableau4[MATIERE],Tableau4[SHORT TYPE],"",0,1)</f>
        <v/>
      </c>
      <c r="N4073">
        <f>IF(ISERR(FIND("DECOUPE",Tableau1[[#This Row],[DESIGNATION]])),"","NEED REF")</f>
        <v/>
      </c>
    </row>
    <row r="4074">
      <c r="B4074" t="n">
        <v>34409931</v>
      </c>
      <c r="C4074" s="2" t="n">
        <v>44502</v>
      </c>
      <c r="D4074" t="inlineStr">
        <is>
          <t>SPEC</t>
        </is>
      </c>
      <c r="E4074" t="inlineStr">
        <is>
          <t>COP CX NS/LINERGY - N</t>
        </is>
      </c>
      <c r="F4074" t="inlineStr">
        <is>
          <t>ST MICRO (ROUSSET)</t>
        </is>
      </c>
      <c r="G4074" t="inlineStr">
        <is>
          <t>GVX</t>
        </is>
      </c>
      <c r="H4074" t="inlineStr">
        <is>
          <t>AUX</t>
        </is>
      </c>
      <c r="J4074" t="inlineStr">
        <is>
          <t>JAWORSKI</t>
        </is>
      </c>
      <c r="K4074" t="inlineStr">
        <is>
          <t>CUIVRE</t>
        </is>
      </c>
      <c r="L4074">
        <f>_xlfn.XLOOKUP(Tableau1[[#This Row],[TYPE DE PIECE]],Tableau4[MATIERE],Tableau4[SHORT TYPE],"",0,1)</f>
        <v/>
      </c>
      <c r="N4074">
        <f>IF(ISERR(FIND("DECOUPE",Tableau1[[#This Row],[DESIGNATION]])),"","NEED REF")</f>
        <v/>
      </c>
    </row>
    <row r="4075">
      <c r="B4075" t="n">
        <v>34409930</v>
      </c>
      <c r="C4075" s="2" t="n">
        <v>44502</v>
      </c>
      <c r="D4075" t="inlineStr">
        <is>
          <t>SPEC</t>
        </is>
      </c>
      <c r="E4075" t="inlineStr">
        <is>
          <t>SMT PLATINE COMPACT NS1xxx</t>
        </is>
      </c>
      <c r="F4075" t="inlineStr">
        <is>
          <t>ST MICRO (ROUSSET)</t>
        </is>
      </c>
      <c r="G4075" t="inlineStr">
        <is>
          <t>GVX</t>
        </is>
      </c>
      <c r="H4075" t="inlineStr">
        <is>
          <t>AUX</t>
        </is>
      </c>
      <c r="J4075" t="inlineStr">
        <is>
          <t>JAWORSKI</t>
        </is>
      </c>
      <c r="K4075" t="inlineStr">
        <is>
          <t>METAL</t>
        </is>
      </c>
      <c r="L4075">
        <f>_xlfn.XLOOKUP(Tableau1[[#This Row],[TYPE DE PIECE]],Tableau4[MATIERE],Tableau4[SHORT TYPE],"",0,1)</f>
        <v/>
      </c>
      <c r="N4075">
        <f>IF(ISERR(FIND("DECOUPE",Tableau1[[#This Row],[DESIGNATION]])),"","NEED REF")</f>
        <v/>
      </c>
    </row>
    <row r="4076">
      <c r="B4076" t="n">
        <v>34409929</v>
      </c>
      <c r="C4076" s="2" t="n">
        <v>44496</v>
      </c>
      <c r="D4076" t="inlineStr">
        <is>
          <t>SPEC</t>
        </is>
      </c>
      <c r="E4076" t="inlineStr">
        <is>
          <t>SMT PLASTRON HAUT / BAS</t>
        </is>
      </c>
      <c r="F4076" t="inlineStr">
        <is>
          <t>AMAZON</t>
        </is>
      </c>
      <c r="G4076" t="inlineStr">
        <is>
          <t>GVS</t>
        </is>
      </c>
      <c r="J4076" t="inlineStr">
        <is>
          <t>BERNARDEAU</t>
        </is>
      </c>
      <c r="K4076" t="inlineStr">
        <is>
          <t>METAL</t>
        </is>
      </c>
      <c r="L4076">
        <f>_xlfn.XLOOKUP(Tableau1[[#This Row],[TYPE DE PIECE]],Tableau4[MATIERE],Tableau4[SHORT TYPE],"",0,1)</f>
        <v/>
      </c>
      <c r="N4076">
        <f>IF(ISERR(FIND("DECOUPE",Tableau1[[#This Row],[DESIGNATION]])),"","NEED REF")</f>
        <v/>
      </c>
    </row>
    <row r="4077">
      <c r="B4077" t="n">
        <v>34409928</v>
      </c>
      <c r="C4077" s="2" t="n">
        <v>44496</v>
      </c>
      <c r="D4077" t="inlineStr">
        <is>
          <t>SPEC</t>
        </is>
      </c>
      <c r="E4077" t="inlineStr">
        <is>
          <t>COP ONNEXION CS</t>
        </is>
      </c>
      <c r="H4077" t="inlineStr">
        <is>
          <t>STS</t>
        </is>
      </c>
      <c r="J4077" t="inlineStr">
        <is>
          <t>BERNARDEAU</t>
        </is>
      </c>
      <c r="K4077" t="inlineStr">
        <is>
          <t>CUIVRE</t>
        </is>
      </c>
      <c r="L4077">
        <f>_xlfn.XLOOKUP(Tableau1[[#This Row],[TYPE DE PIECE]],Tableau4[MATIERE],Tableau4[SHORT TYPE],"",0,1)</f>
        <v/>
      </c>
      <c r="N4077">
        <f>IF(ISERR(FIND("DECOUPE",Tableau1[[#This Row],[DESIGNATION]])),"","NEED REF")</f>
        <v/>
      </c>
    </row>
    <row r="4078">
      <c r="B4078" t="n">
        <v>34409927</v>
      </c>
      <c r="C4078" s="2" t="n">
        <v>44495</v>
      </c>
      <c r="D4078" t="inlineStr">
        <is>
          <t>SPEC</t>
        </is>
      </c>
      <c r="E4078" t="inlineStr">
        <is>
          <t>WOOD PLANCHE 1000x1000</t>
        </is>
      </c>
      <c r="G4078" t="inlineStr">
        <is>
          <t>GV</t>
        </is>
      </c>
      <c r="H4078" t="inlineStr">
        <is>
          <t>AUX</t>
        </is>
      </c>
      <c r="J4078" t="inlineStr">
        <is>
          <t>MATRION</t>
        </is>
      </c>
      <c r="K4078" t="inlineStr">
        <is>
          <t>PALETTE</t>
        </is>
      </c>
      <c r="L4078">
        <f>_xlfn.XLOOKUP(Tableau1[[#This Row],[TYPE DE PIECE]],Tableau4[MATIERE],Tableau4[SHORT TYPE],"",0,1)</f>
        <v/>
      </c>
      <c r="M4078" t="inlineStr">
        <is>
          <t>PALETTE</t>
        </is>
      </c>
      <c r="N4078">
        <f>IF(ISERR(FIND("DECOUPE",Tableau1[[#This Row],[DESIGNATION]])),"","NEED REF")</f>
        <v/>
      </c>
    </row>
    <row r="4079">
      <c r="B4079" t="n">
        <v>34409926</v>
      </c>
      <c r="C4079" s="2" t="n">
        <v>44495</v>
      </c>
      <c r="D4079" t="inlineStr">
        <is>
          <t>SPEC</t>
        </is>
      </c>
      <c r="E4079" t="inlineStr">
        <is>
          <t>WOOD PLANCHE 700x1000</t>
        </is>
      </c>
      <c r="G4079" t="inlineStr">
        <is>
          <t>GV</t>
        </is>
      </c>
      <c r="H4079" t="inlineStr">
        <is>
          <t>AUX</t>
        </is>
      </c>
      <c r="J4079" t="inlineStr">
        <is>
          <t>MATRION</t>
        </is>
      </c>
      <c r="K4079" t="inlineStr">
        <is>
          <t>PALETTE</t>
        </is>
      </c>
      <c r="L4079">
        <f>_xlfn.XLOOKUP(Tableau1[[#This Row],[TYPE DE PIECE]],Tableau4[MATIERE],Tableau4[SHORT TYPE],"",0,1)</f>
        <v/>
      </c>
      <c r="M4079" t="inlineStr">
        <is>
          <t>PALETTE</t>
        </is>
      </c>
      <c r="N4079">
        <f>IF(ISERR(FIND("DECOUPE",Tableau1[[#This Row],[DESIGNATION]])),"","NEED REF")</f>
        <v/>
      </c>
    </row>
    <row r="4080">
      <c r="B4080" t="n">
        <v>34409925</v>
      </c>
      <c r="C4080" s="2" t="n">
        <v>44495</v>
      </c>
      <c r="D4080" t="inlineStr">
        <is>
          <t>SPEC</t>
        </is>
      </c>
      <c r="E4080" t="inlineStr">
        <is>
          <t>WOOD PLANCHE 1000x800</t>
        </is>
      </c>
      <c r="G4080" t="inlineStr">
        <is>
          <t>GV</t>
        </is>
      </c>
      <c r="H4080" t="inlineStr">
        <is>
          <t>AUX</t>
        </is>
      </c>
      <c r="J4080" t="inlineStr">
        <is>
          <t>MATRION</t>
        </is>
      </c>
      <c r="K4080" t="inlineStr">
        <is>
          <t>PALETTE</t>
        </is>
      </c>
      <c r="L4080">
        <f>_xlfn.XLOOKUP(Tableau1[[#This Row],[TYPE DE PIECE]],Tableau4[MATIERE],Tableau4[SHORT TYPE],"",0,1)</f>
        <v/>
      </c>
      <c r="M4080" t="inlineStr">
        <is>
          <t>PALETTE</t>
        </is>
      </c>
      <c r="N4080">
        <f>IF(ISERR(FIND("DECOUPE",Tableau1[[#This Row],[DESIGNATION]])),"","NEED REF")</f>
        <v/>
      </c>
    </row>
    <row r="4081">
      <c r="B4081" t="n">
        <v>34409924</v>
      </c>
      <c r="C4081" s="2" t="n">
        <v>44495</v>
      </c>
      <c r="D4081" t="inlineStr">
        <is>
          <t>SPEC</t>
        </is>
      </c>
      <c r="E4081" t="inlineStr">
        <is>
          <t>WOOD PLANCHE 700x800</t>
        </is>
      </c>
      <c r="G4081" t="inlineStr">
        <is>
          <t>GV</t>
        </is>
      </c>
      <c r="H4081" t="inlineStr">
        <is>
          <t>AUX</t>
        </is>
      </c>
      <c r="J4081" t="inlineStr">
        <is>
          <t>MATRION</t>
        </is>
      </c>
      <c r="K4081" t="inlineStr">
        <is>
          <t>PALETTE</t>
        </is>
      </c>
      <c r="L4081">
        <f>_xlfn.XLOOKUP(Tableau1[[#This Row],[TYPE DE PIECE]],Tableau4[MATIERE],Tableau4[SHORT TYPE],"",0,1)</f>
        <v/>
      </c>
      <c r="M4081" t="inlineStr">
        <is>
          <t>PALETTE</t>
        </is>
      </c>
      <c r="N4081">
        <f>IF(ISERR(FIND("DECOUPE",Tableau1[[#This Row],[DESIGNATION]])),"","NEED REF")</f>
        <v/>
      </c>
    </row>
    <row r="4082">
      <c r="B4082" t="n">
        <v>34409923</v>
      </c>
      <c r="C4082" s="2" t="n">
        <v>44495</v>
      </c>
      <c r="D4082" t="inlineStr">
        <is>
          <t>SPEC</t>
        </is>
      </c>
      <c r="E4082" t="inlineStr">
        <is>
          <t>WOOD PLANCHE 500x800</t>
        </is>
      </c>
      <c r="G4082" t="inlineStr">
        <is>
          <t>GV</t>
        </is>
      </c>
      <c r="H4082" t="inlineStr">
        <is>
          <t>AUX</t>
        </is>
      </c>
      <c r="J4082" t="inlineStr">
        <is>
          <t>MATRION</t>
        </is>
      </c>
      <c r="K4082" t="inlineStr">
        <is>
          <t>PALETTE</t>
        </is>
      </c>
      <c r="L4082">
        <f>_xlfn.XLOOKUP(Tableau1[[#This Row],[TYPE DE PIECE]],Tableau4[MATIERE],Tableau4[SHORT TYPE],"",0,1)</f>
        <v/>
      </c>
      <c r="M4082" t="inlineStr">
        <is>
          <t>PALETTE</t>
        </is>
      </c>
      <c r="N4082">
        <f>IF(ISERR(FIND("DECOUPE",Tableau1[[#This Row],[DESIGNATION]])),"","NEED REF")</f>
        <v/>
      </c>
    </row>
    <row r="4083">
      <c r="B4083" t="n">
        <v>34409922</v>
      </c>
      <c r="C4083" s="2" t="n">
        <v>44495</v>
      </c>
      <c r="D4083" t="inlineStr">
        <is>
          <t>SPEC</t>
        </is>
      </c>
      <c r="E4083" t="inlineStr">
        <is>
          <t>WOOD PLANCHE 400x800</t>
        </is>
      </c>
      <c r="G4083" t="inlineStr">
        <is>
          <t>GV</t>
        </is>
      </c>
      <c r="H4083" t="inlineStr">
        <is>
          <t>AUX</t>
        </is>
      </c>
      <c r="J4083" t="inlineStr">
        <is>
          <t>MATRION</t>
        </is>
      </c>
      <c r="K4083" t="inlineStr">
        <is>
          <t>PALETTE</t>
        </is>
      </c>
      <c r="L4083">
        <f>_xlfn.XLOOKUP(Tableau1[[#This Row],[TYPE DE PIECE]],Tableau4[MATIERE],Tableau4[SHORT TYPE],"",0,1)</f>
        <v/>
      </c>
      <c r="M4083" t="inlineStr">
        <is>
          <t>PALETTE</t>
        </is>
      </c>
      <c r="N4083">
        <f>IF(ISERR(FIND("DECOUPE",Tableau1[[#This Row],[DESIGNATION]])),"","NEED REF")</f>
        <v/>
      </c>
    </row>
    <row r="4084">
      <c r="B4084" t="n">
        <v>34409921</v>
      </c>
      <c r="C4084" s="2" t="n">
        <v>44495</v>
      </c>
      <c r="D4084" t="inlineStr">
        <is>
          <t>SPEC</t>
        </is>
      </c>
      <c r="E4084" t="inlineStr">
        <is>
          <t>SMT PIED DE TRANSPORT - ABANDONNE</t>
        </is>
      </c>
      <c r="G4084" t="inlineStr">
        <is>
          <t>GV</t>
        </is>
      </c>
      <c r="H4084" t="inlineStr">
        <is>
          <t>AUX</t>
        </is>
      </c>
      <c r="J4084" t="inlineStr">
        <is>
          <t>MATRION</t>
        </is>
      </c>
      <c r="K4084" t="inlineStr">
        <is>
          <t>METAL</t>
        </is>
      </c>
      <c r="L4084">
        <f>_xlfn.XLOOKUP(Tableau1[[#This Row],[TYPE DE PIECE]],Tableau4[MATIERE],Tableau4[SHORT TYPE],"",0,1)</f>
        <v/>
      </c>
      <c r="N4084">
        <f>IF(ISERR(FIND("DECOUPE",Tableau1[[#This Row],[DESIGNATION]])),"","NEED REF")</f>
        <v/>
      </c>
    </row>
    <row r="4085">
      <c r="B4085" t="n">
        <v>34409920</v>
      </c>
      <c r="C4085" s="2" t="n">
        <v>44495</v>
      </c>
      <c r="D4085" t="inlineStr">
        <is>
          <t>SPEC</t>
        </is>
      </c>
      <c r="E4085" t="inlineStr">
        <is>
          <t>WOOD PLANCHETTE PIEDS</t>
        </is>
      </c>
      <c r="G4085" t="inlineStr">
        <is>
          <t>GV</t>
        </is>
      </c>
      <c r="H4085" t="inlineStr">
        <is>
          <t>AUX</t>
        </is>
      </c>
      <c r="J4085" t="inlineStr">
        <is>
          <t>MATRION</t>
        </is>
      </c>
      <c r="K4085" t="inlineStr">
        <is>
          <t>PALETTE</t>
        </is>
      </c>
      <c r="L4085">
        <f>_xlfn.XLOOKUP(Tableau1[[#This Row],[TYPE DE PIECE]],Tableau4[MATIERE],Tableau4[SHORT TYPE],"",0,1)</f>
        <v/>
      </c>
      <c r="M4085" t="inlineStr">
        <is>
          <t>PALETTE</t>
        </is>
      </c>
      <c r="N4085">
        <f>IF(ISERR(FIND("DECOUPE",Tableau1[[#This Row],[DESIGNATION]])),"","NEED REF")</f>
        <v/>
      </c>
    </row>
    <row r="4086">
      <c r="B4086" t="n">
        <v>34409919</v>
      </c>
      <c r="C4086" s="2" t="n">
        <v>44495</v>
      </c>
      <c r="D4086" t="inlineStr">
        <is>
          <t>SPEC</t>
        </is>
      </c>
      <c r="E4086" t="inlineStr">
        <is>
          <t>WOOD PLANCHETTE 1000</t>
        </is>
      </c>
      <c r="G4086" t="inlineStr">
        <is>
          <t>GV</t>
        </is>
      </c>
      <c r="H4086" t="inlineStr">
        <is>
          <t>AUX</t>
        </is>
      </c>
      <c r="J4086" t="inlineStr">
        <is>
          <t>MATRION</t>
        </is>
      </c>
      <c r="K4086" t="inlineStr">
        <is>
          <t>PALETTE</t>
        </is>
      </c>
      <c r="L4086">
        <f>_xlfn.XLOOKUP(Tableau1[[#This Row],[TYPE DE PIECE]],Tableau4[MATIERE],Tableau4[SHORT TYPE],"",0,1)</f>
        <v/>
      </c>
      <c r="M4086" t="inlineStr">
        <is>
          <t>PALETTE</t>
        </is>
      </c>
      <c r="N4086">
        <f>IF(ISERR(FIND("DECOUPE",Tableau1[[#This Row],[DESIGNATION]])),"","NEED REF")</f>
        <v/>
      </c>
    </row>
    <row r="4087">
      <c r="B4087" t="n">
        <v>34409918</v>
      </c>
      <c r="C4087" s="2" t="n">
        <v>44495</v>
      </c>
      <c r="D4087" t="inlineStr">
        <is>
          <t>SPEC</t>
        </is>
      </c>
      <c r="E4087" t="inlineStr">
        <is>
          <t>WOOD PLANCHETTE 700</t>
        </is>
      </c>
      <c r="G4087" t="inlineStr">
        <is>
          <t>GV</t>
        </is>
      </c>
      <c r="H4087" t="inlineStr">
        <is>
          <t>AUX</t>
        </is>
      </c>
      <c r="J4087" t="inlineStr">
        <is>
          <t>MATRION</t>
        </is>
      </c>
      <c r="K4087" t="inlineStr">
        <is>
          <t>PALETTE</t>
        </is>
      </c>
      <c r="L4087">
        <f>_xlfn.XLOOKUP(Tableau1[[#This Row],[TYPE DE PIECE]],Tableau4[MATIERE],Tableau4[SHORT TYPE],"",0,1)</f>
        <v/>
      </c>
      <c r="M4087" t="inlineStr">
        <is>
          <t>PALETTE</t>
        </is>
      </c>
      <c r="N4087">
        <f>IF(ISERR(FIND("DECOUPE",Tableau1[[#This Row],[DESIGNATION]])),"","NEED REF")</f>
        <v/>
      </c>
    </row>
    <row r="4088">
      <c r="B4088" t="n">
        <v>34409917</v>
      </c>
      <c r="C4088" s="2" t="n">
        <v>44495</v>
      </c>
      <c r="D4088" t="inlineStr">
        <is>
          <t>SPEC</t>
        </is>
      </c>
      <c r="E4088" t="inlineStr">
        <is>
          <t>WOOD PLANCHETTE 500</t>
        </is>
      </c>
      <c r="G4088" t="inlineStr">
        <is>
          <t>GV</t>
        </is>
      </c>
      <c r="H4088" t="inlineStr">
        <is>
          <t>AUX</t>
        </is>
      </c>
      <c r="J4088" t="inlineStr">
        <is>
          <t>MATRION</t>
        </is>
      </c>
      <c r="K4088" t="inlineStr">
        <is>
          <t>PALETTE</t>
        </is>
      </c>
      <c r="L4088">
        <f>_xlfn.XLOOKUP(Tableau1[[#This Row],[TYPE DE PIECE]],Tableau4[MATIERE],Tableau4[SHORT TYPE],"",0,1)</f>
        <v/>
      </c>
      <c r="M4088" t="inlineStr">
        <is>
          <t>PALETTE</t>
        </is>
      </c>
      <c r="N4088">
        <f>IF(ISERR(FIND("DECOUPE",Tableau1[[#This Row],[DESIGNATION]])),"","NEED REF")</f>
        <v/>
      </c>
    </row>
    <row r="4089">
      <c r="B4089" t="n">
        <v>34409916</v>
      </c>
      <c r="C4089" s="2" t="n">
        <v>44495</v>
      </c>
      <c r="D4089" t="inlineStr">
        <is>
          <t>SPEC</t>
        </is>
      </c>
      <c r="E4089" t="inlineStr">
        <is>
          <t>WOOD PLANCHETTE 400</t>
        </is>
      </c>
      <c r="G4089" t="inlineStr">
        <is>
          <t>GV</t>
        </is>
      </c>
      <c r="H4089" t="inlineStr">
        <is>
          <t>AUX</t>
        </is>
      </c>
      <c r="J4089" t="inlineStr">
        <is>
          <t>MATRION</t>
        </is>
      </c>
      <c r="K4089" t="inlineStr">
        <is>
          <t>PALETTE</t>
        </is>
      </c>
      <c r="L4089">
        <f>_xlfn.XLOOKUP(Tableau1[[#This Row],[TYPE DE PIECE]],Tableau4[MATIERE],Tableau4[SHORT TYPE],"",0,1)</f>
        <v/>
      </c>
      <c r="M4089" t="inlineStr">
        <is>
          <t>PALETTE</t>
        </is>
      </c>
      <c r="N4089">
        <f>IF(ISERR(FIND("DECOUPE",Tableau1[[#This Row],[DESIGNATION]])),"","NEED REF")</f>
        <v/>
      </c>
    </row>
    <row r="4090">
      <c r="B4090" t="n">
        <v>34409915</v>
      </c>
      <c r="C4090" s="2" t="n">
        <v>44495</v>
      </c>
      <c r="D4090" t="inlineStr">
        <is>
          <t>SPEC</t>
        </is>
      </c>
      <c r="E4090" t="inlineStr">
        <is>
          <t>SMT BANDEAU PLEIN 1000 RAL9003</t>
        </is>
      </c>
      <c r="G4090" t="inlineStr">
        <is>
          <t>GV</t>
        </is>
      </c>
      <c r="H4090" t="inlineStr">
        <is>
          <t>AUX</t>
        </is>
      </c>
      <c r="J4090" t="inlineStr">
        <is>
          <t>MATRION</t>
        </is>
      </c>
      <c r="K4090" t="inlineStr">
        <is>
          <t>METAL</t>
        </is>
      </c>
      <c r="L4090">
        <f>_xlfn.XLOOKUP(Tableau1[[#This Row],[TYPE DE PIECE]],Tableau4[MATIERE],Tableau4[SHORT TYPE],"",0,1)</f>
        <v/>
      </c>
      <c r="M4090" t="inlineStr">
        <is>
          <t>PIED</t>
        </is>
      </c>
      <c r="N4090">
        <f>IF(ISERR(FIND("DECOUPE",Tableau1[[#This Row],[DESIGNATION]])),"","NEED REF")</f>
        <v/>
      </c>
    </row>
    <row r="4091">
      <c r="B4091" t="n">
        <v>34409914</v>
      </c>
      <c r="C4091" s="2" t="n">
        <v>44495</v>
      </c>
      <c r="D4091" t="inlineStr">
        <is>
          <t>SPEC</t>
        </is>
      </c>
      <c r="E4091" t="inlineStr">
        <is>
          <t>SMT BANDEAU PLEIN 800 RAL9003</t>
        </is>
      </c>
      <c r="G4091" t="inlineStr">
        <is>
          <t>GV</t>
        </is>
      </c>
      <c r="H4091" t="inlineStr">
        <is>
          <t>AUX</t>
        </is>
      </c>
      <c r="J4091" t="inlineStr">
        <is>
          <t>MATRION</t>
        </is>
      </c>
      <c r="K4091" t="inlineStr">
        <is>
          <t>METAL</t>
        </is>
      </c>
      <c r="L4091">
        <f>_xlfn.XLOOKUP(Tableau1[[#This Row],[TYPE DE PIECE]],Tableau4[MATIERE],Tableau4[SHORT TYPE],"",0,1)</f>
        <v/>
      </c>
      <c r="M4091" t="inlineStr">
        <is>
          <t>PIED</t>
        </is>
      </c>
      <c r="N4091">
        <f>IF(ISERR(FIND("DECOUPE",Tableau1[[#This Row],[DESIGNATION]])),"","NEED REF")</f>
        <v/>
      </c>
    </row>
    <row r="4092">
      <c r="B4092" t="n">
        <v>34409913</v>
      </c>
      <c r="C4092" s="2" t="n">
        <v>44495</v>
      </c>
      <c r="D4092" t="inlineStr">
        <is>
          <t>SPEC</t>
        </is>
      </c>
      <c r="E4092" t="inlineStr">
        <is>
          <t>SMT PLASTRON BAS STS630</t>
        </is>
      </c>
      <c r="H4092" t="inlineStr">
        <is>
          <t>STS</t>
        </is>
      </c>
      <c r="J4092" t="inlineStr">
        <is>
          <t>BERNARDEAU</t>
        </is>
      </c>
      <c r="K4092" t="inlineStr">
        <is>
          <t>METAL</t>
        </is>
      </c>
      <c r="L4092">
        <f>_xlfn.XLOOKUP(Tableau1[[#This Row],[TYPE DE PIECE]],Tableau4[MATIERE],Tableau4[SHORT TYPE],"",0,1)</f>
        <v/>
      </c>
      <c r="N4092">
        <f>IF(ISERR(FIND("DECOUPE",Tableau1[[#This Row],[DESIGNATION]])),"","NEED REF")</f>
        <v/>
      </c>
    </row>
    <row r="4093">
      <c r="B4093" t="n">
        <v>34409912</v>
      </c>
      <c r="C4093" s="2" t="n">
        <v>44495</v>
      </c>
      <c r="D4093" t="inlineStr">
        <is>
          <t>SPEC</t>
        </is>
      </c>
      <c r="E4093" t="inlineStr">
        <is>
          <t>SMT BANDEAU VENTILE 1000 RAL9003</t>
        </is>
      </c>
      <c r="G4093" t="inlineStr">
        <is>
          <t>GV</t>
        </is>
      </c>
      <c r="H4093" t="inlineStr">
        <is>
          <t>AUX</t>
        </is>
      </c>
      <c r="J4093" t="inlineStr">
        <is>
          <t>MATRION</t>
        </is>
      </c>
      <c r="K4093" t="inlineStr">
        <is>
          <t>METAL</t>
        </is>
      </c>
      <c r="L4093">
        <f>_xlfn.XLOOKUP(Tableau1[[#This Row],[TYPE DE PIECE]],Tableau4[MATIERE],Tableau4[SHORT TYPE],"",0,1)</f>
        <v/>
      </c>
      <c r="M4093" t="inlineStr">
        <is>
          <t>PIED</t>
        </is>
      </c>
      <c r="N4093">
        <f>IF(ISERR(FIND("DECOUPE",Tableau1[[#This Row],[DESIGNATION]])),"","NEED REF")</f>
        <v/>
      </c>
    </row>
    <row r="4094">
      <c r="B4094" t="n">
        <v>34409911</v>
      </c>
      <c r="C4094" s="2" t="n">
        <v>44495</v>
      </c>
      <c r="D4094" t="inlineStr">
        <is>
          <t>SPEC</t>
        </is>
      </c>
      <c r="E4094" t="inlineStr">
        <is>
          <t>SMT BANDEAU VENTILE 800 RAL9003</t>
        </is>
      </c>
      <c r="G4094" t="inlineStr">
        <is>
          <t>GV</t>
        </is>
      </c>
      <c r="H4094" t="inlineStr">
        <is>
          <t>AUX</t>
        </is>
      </c>
      <c r="J4094" t="inlineStr">
        <is>
          <t>MATRION</t>
        </is>
      </c>
      <c r="K4094" t="inlineStr">
        <is>
          <t>METAL</t>
        </is>
      </c>
      <c r="L4094">
        <f>_xlfn.XLOOKUP(Tableau1[[#This Row],[TYPE DE PIECE]],Tableau4[MATIERE],Tableau4[SHORT TYPE],"",0,1)</f>
        <v/>
      </c>
      <c r="M4094" t="inlineStr">
        <is>
          <t>PIED</t>
        </is>
      </c>
      <c r="N4094">
        <f>IF(ISERR(FIND("DECOUPE",Tableau1[[#This Row],[DESIGNATION]])),"","NEED REF")</f>
        <v/>
      </c>
    </row>
    <row r="4095">
      <c r="B4095" t="n">
        <v>34409910</v>
      </c>
      <c r="C4095" s="2" t="n">
        <v>44495</v>
      </c>
      <c r="D4095" t="inlineStr">
        <is>
          <t>SPEC</t>
        </is>
      </c>
      <c r="E4095" t="inlineStr">
        <is>
          <t>SMT BANDEAU VENTILE 700 RAL9003</t>
        </is>
      </c>
      <c r="G4095" t="inlineStr">
        <is>
          <t>GV</t>
        </is>
      </c>
      <c r="H4095" t="inlineStr">
        <is>
          <t>AUX</t>
        </is>
      </c>
      <c r="J4095" t="inlineStr">
        <is>
          <t>MATRION</t>
        </is>
      </c>
      <c r="K4095" t="inlineStr">
        <is>
          <t>METAL</t>
        </is>
      </c>
      <c r="L4095">
        <f>_xlfn.XLOOKUP(Tableau1[[#This Row],[TYPE DE PIECE]],Tableau4[MATIERE],Tableau4[SHORT TYPE],"",0,1)</f>
        <v/>
      </c>
      <c r="M4095" t="inlineStr">
        <is>
          <t>PIED</t>
        </is>
      </c>
      <c r="N4095">
        <f>IF(ISERR(FIND("DECOUPE",Tableau1[[#This Row],[DESIGNATION]])),"","NEED REF")</f>
        <v/>
      </c>
    </row>
    <row r="4096">
      <c r="B4096" t="n">
        <v>34409909</v>
      </c>
      <c r="C4096" s="2" t="n">
        <v>44495</v>
      </c>
      <c r="D4096" t="inlineStr">
        <is>
          <t>SPEC</t>
        </is>
      </c>
      <c r="E4096" t="inlineStr">
        <is>
          <t>SMT BANDEAU VENTILE 500 RAL9003</t>
        </is>
      </c>
      <c r="G4096" t="inlineStr">
        <is>
          <t>GV</t>
        </is>
      </c>
      <c r="H4096" t="inlineStr">
        <is>
          <t>AUX</t>
        </is>
      </c>
      <c r="J4096" t="inlineStr">
        <is>
          <t>MATRION</t>
        </is>
      </c>
      <c r="K4096" t="inlineStr">
        <is>
          <t>METAL</t>
        </is>
      </c>
      <c r="L4096">
        <f>_xlfn.XLOOKUP(Tableau1[[#This Row],[TYPE DE PIECE]],Tableau4[MATIERE],Tableau4[SHORT TYPE],"",0,1)</f>
        <v/>
      </c>
      <c r="M4096" t="inlineStr">
        <is>
          <t>PIED</t>
        </is>
      </c>
      <c r="N4096">
        <f>IF(ISERR(FIND("DECOUPE",Tableau1[[#This Row],[DESIGNATION]])),"","NEED REF")</f>
        <v/>
      </c>
    </row>
    <row r="4097">
      <c r="B4097" t="n">
        <v>34409908</v>
      </c>
      <c r="C4097" s="2" t="n">
        <v>44495</v>
      </c>
      <c r="D4097" t="inlineStr">
        <is>
          <t>SPEC</t>
        </is>
      </c>
      <c r="E4097" t="inlineStr">
        <is>
          <t>SMT BANDEAU VENTILE 400 RAL9003</t>
        </is>
      </c>
      <c r="G4097" t="inlineStr">
        <is>
          <t>GV</t>
        </is>
      </c>
      <c r="H4097" t="inlineStr">
        <is>
          <t>AUX</t>
        </is>
      </c>
      <c r="J4097" t="inlineStr">
        <is>
          <t>MATRION</t>
        </is>
      </c>
      <c r="K4097" t="inlineStr">
        <is>
          <t>METAL</t>
        </is>
      </c>
      <c r="L4097">
        <f>_xlfn.XLOOKUP(Tableau1[[#This Row],[TYPE DE PIECE]],Tableau4[MATIERE],Tableau4[SHORT TYPE],"",0,1)</f>
        <v/>
      </c>
      <c r="M4097" t="inlineStr">
        <is>
          <t>PIED</t>
        </is>
      </c>
      <c r="N4097">
        <f>IF(ISERR(FIND("DECOUPE",Tableau1[[#This Row],[DESIGNATION]])),"","NEED REF")</f>
        <v/>
      </c>
    </row>
    <row r="4098">
      <c r="B4098" t="n">
        <v>34409907</v>
      </c>
      <c r="C4098" s="2" t="n">
        <v>44494</v>
      </c>
      <c r="D4098" t="inlineStr">
        <is>
          <t>SPEC</t>
        </is>
      </c>
      <c r="E4098" t="inlineStr">
        <is>
          <t>SMT PLASTRON HAUT STS630</t>
        </is>
      </c>
      <c r="H4098" t="inlineStr">
        <is>
          <t>STS</t>
        </is>
      </c>
      <c r="J4098" t="inlineStr">
        <is>
          <t>BERNARDEAU</t>
        </is>
      </c>
      <c r="K4098" t="inlineStr">
        <is>
          <t>METAL</t>
        </is>
      </c>
      <c r="L4098">
        <f>_xlfn.XLOOKUP(Tableau1[[#This Row],[TYPE DE PIECE]],Tableau4[MATIERE],Tableau4[SHORT TYPE],"",0,1)</f>
        <v/>
      </c>
      <c r="N4098">
        <f>IF(ISERR(FIND("DECOUPE",Tableau1[[#This Row],[DESIGNATION]])),"","NEED REF")</f>
        <v/>
      </c>
    </row>
    <row r="4099">
      <c r="B4099" t="n">
        <v>34409906</v>
      </c>
      <c r="C4099" s="2" t="n">
        <v>44494</v>
      </c>
      <c r="D4099" t="inlineStr">
        <is>
          <t>SPEC</t>
        </is>
      </c>
      <c r="E4099" t="inlineStr">
        <is>
          <t>SMT PLASTRON CENTRAL STS630</t>
        </is>
      </c>
      <c r="H4099" t="inlineStr">
        <is>
          <t>STS</t>
        </is>
      </c>
      <c r="J4099" t="inlineStr">
        <is>
          <t>BERNARDEAU</t>
        </is>
      </c>
      <c r="K4099" t="inlineStr">
        <is>
          <t>METAL</t>
        </is>
      </c>
      <c r="L4099">
        <f>_xlfn.XLOOKUP(Tableau1[[#This Row],[TYPE DE PIECE]],Tableau4[MATIERE],Tableau4[SHORT TYPE],"",0,1)</f>
        <v/>
      </c>
      <c r="N4099">
        <f>IF(ISERR(FIND("DECOUPE",Tableau1[[#This Row],[DESIGNATION]])),"","NEED REF")</f>
        <v/>
      </c>
    </row>
    <row r="4100">
      <c r="B4100" t="n">
        <v>34409905</v>
      </c>
      <c r="C4100" s="2" t="n">
        <v>44494</v>
      </c>
      <c r="D4100" t="inlineStr">
        <is>
          <t>SPEC</t>
        </is>
      </c>
      <c r="E4100" t="inlineStr">
        <is>
          <t>SMT PIED H100</t>
        </is>
      </c>
      <c r="G4100" t="inlineStr">
        <is>
          <t>GV</t>
        </is>
      </c>
      <c r="H4100" t="inlineStr">
        <is>
          <t>AUX</t>
        </is>
      </c>
      <c r="J4100" t="inlineStr">
        <is>
          <t>MATRION</t>
        </is>
      </c>
      <c r="K4100" t="inlineStr">
        <is>
          <t>METAL</t>
        </is>
      </c>
      <c r="L4100">
        <f>_xlfn.XLOOKUP(Tableau1[[#This Row],[TYPE DE PIECE]],Tableau4[MATIERE],Tableau4[SHORT TYPE],"",0,1)</f>
        <v/>
      </c>
      <c r="M4100" t="inlineStr">
        <is>
          <t>PIED</t>
        </is>
      </c>
      <c r="N4100">
        <f>IF(ISERR(FIND("DECOUPE",Tableau1[[#This Row],[DESIGNATION]])),"","NEED REF")</f>
        <v/>
      </c>
    </row>
    <row r="4101">
      <c r="B4101" t="n">
        <v>34409904</v>
      </c>
      <c r="C4101" s="2" t="n">
        <v>44494</v>
      </c>
      <c r="D4101" t="inlineStr">
        <is>
          <t>SPEC</t>
        </is>
      </c>
      <c r="E4101" t="inlineStr">
        <is>
          <t>WOOD SKATE 1000x1000</t>
        </is>
      </c>
      <c r="G4101" t="inlineStr">
        <is>
          <t>GV</t>
        </is>
      </c>
      <c r="H4101" t="inlineStr">
        <is>
          <t>AUX</t>
        </is>
      </c>
      <c r="J4101" t="inlineStr">
        <is>
          <t>MATRION</t>
        </is>
      </c>
      <c r="K4101" t="inlineStr">
        <is>
          <t>PALETTE</t>
        </is>
      </c>
      <c r="L4101">
        <f>_xlfn.XLOOKUP(Tableau1[[#This Row],[TYPE DE PIECE]],Tableau4[MATIERE],Tableau4[SHORT TYPE],"",0,1)</f>
        <v/>
      </c>
      <c r="M4101" t="inlineStr">
        <is>
          <t>PALETTE</t>
        </is>
      </c>
      <c r="N4101">
        <f>IF(ISERR(FIND("DECOUPE",Tableau1[[#This Row],[DESIGNATION]])),"","NEED REF")</f>
        <v/>
      </c>
    </row>
    <row r="4102">
      <c r="B4102" t="n">
        <v>34409903</v>
      </c>
      <c r="C4102" s="2" t="n">
        <v>44494</v>
      </c>
      <c r="D4102" t="inlineStr">
        <is>
          <t>SPEC</t>
        </is>
      </c>
      <c r="E4102" t="inlineStr">
        <is>
          <t>WOOD SKATE 1000x800</t>
        </is>
      </c>
      <c r="G4102" t="inlineStr">
        <is>
          <t>GV</t>
        </is>
      </c>
      <c r="H4102" t="inlineStr">
        <is>
          <t>AUX</t>
        </is>
      </c>
      <c r="J4102" t="inlineStr">
        <is>
          <t>MATRION</t>
        </is>
      </c>
      <c r="K4102" t="inlineStr">
        <is>
          <t>PALETTE</t>
        </is>
      </c>
      <c r="L4102">
        <f>_xlfn.XLOOKUP(Tableau1[[#This Row],[TYPE DE PIECE]],Tableau4[MATIERE],Tableau4[SHORT TYPE],"",0,1)</f>
        <v/>
      </c>
      <c r="M4102" t="inlineStr">
        <is>
          <t>PALETTE</t>
        </is>
      </c>
      <c r="N4102">
        <f>IF(ISERR(FIND("DECOUPE",Tableau1[[#This Row],[DESIGNATION]])),"","NEED REF")</f>
        <v/>
      </c>
    </row>
    <row r="4103">
      <c r="B4103" t="n">
        <v>34409902</v>
      </c>
      <c r="C4103" s="2" t="n">
        <v>44491</v>
      </c>
      <c r="D4103" t="inlineStr">
        <is>
          <t>SPEC</t>
        </is>
      </c>
      <c r="H4103" t="inlineStr">
        <is>
          <t>STS</t>
        </is>
      </c>
      <c r="J4103" t="inlineStr">
        <is>
          <t>BERNARDEAU</t>
        </is>
      </c>
      <c r="L4103">
        <f>_xlfn.XLOOKUP(Tableau1[[#This Row],[TYPE DE PIECE]],Tableau4[MATIERE],Tableau4[SHORT TYPE],"",0,1)</f>
        <v/>
      </c>
      <c r="N4103">
        <f>IF(ISERR(FIND("DECOUPE",Tableau1[[#This Row],[DESIGNATION]])),"","NEED REF")</f>
        <v/>
      </c>
    </row>
    <row r="4104">
      <c r="B4104" t="n">
        <v>34409901</v>
      </c>
      <c r="C4104" s="2" t="n">
        <v>44491</v>
      </c>
      <c r="D4104" t="inlineStr">
        <is>
          <t>SPEC</t>
        </is>
      </c>
      <c r="E4104" t="inlineStr">
        <is>
          <t>SMT SUPPORT IC60</t>
        </is>
      </c>
      <c r="H4104" t="inlineStr">
        <is>
          <t>STS</t>
        </is>
      </c>
      <c r="J4104" t="inlineStr">
        <is>
          <t>BERNARDEAU</t>
        </is>
      </c>
      <c r="K4104" t="inlineStr">
        <is>
          <t>METAL</t>
        </is>
      </c>
      <c r="L4104">
        <f>_xlfn.XLOOKUP(Tableau1[[#This Row],[TYPE DE PIECE]],Tableau4[MATIERE],Tableau4[SHORT TYPE],"",0,1)</f>
        <v/>
      </c>
      <c r="N4104">
        <f>IF(ISERR(FIND("DECOUPE",Tableau1[[#This Row],[DESIGNATION]])),"","NEED REF")</f>
        <v/>
      </c>
    </row>
    <row r="4105">
      <c r="B4105" t="n">
        <v>34409900</v>
      </c>
      <c r="C4105" s="2" t="n">
        <v>44491</v>
      </c>
      <c r="D4105" t="inlineStr">
        <is>
          <t>SPEC</t>
        </is>
      </c>
      <c r="E4105" t="inlineStr">
        <is>
          <t>SMT SUPPORT DJ</t>
        </is>
      </c>
      <c r="H4105" t="inlineStr">
        <is>
          <t>STS</t>
        </is>
      </c>
      <c r="J4105" t="inlineStr">
        <is>
          <t>BERNARDEAU</t>
        </is>
      </c>
      <c r="K4105" t="inlineStr">
        <is>
          <t>METAL</t>
        </is>
      </c>
      <c r="L4105">
        <f>_xlfn.XLOOKUP(Tableau1[[#This Row],[TYPE DE PIECE]],Tableau4[MATIERE],Tableau4[SHORT TYPE],"",0,1)</f>
        <v/>
      </c>
      <c r="N4105">
        <f>IF(ISERR(FIND("DECOUPE",Tableau1[[#This Row],[DESIGNATION]])),"","NEED REF")</f>
        <v/>
      </c>
    </row>
    <row r="4106">
      <c r="B4106" t="n">
        <v>34409899</v>
      </c>
      <c r="C4106" s="2" t="n">
        <v>44491</v>
      </c>
      <c r="D4106" t="inlineStr">
        <is>
          <t>SPEC</t>
        </is>
      </c>
      <c r="E4106" t="inlineStr">
        <is>
          <t>COP CALE INTERCO KTA AC</t>
        </is>
      </c>
      <c r="F4106" t="inlineStr">
        <is>
          <t>INTERXION</t>
        </is>
      </c>
      <c r="G4106" t="inlineStr">
        <is>
          <t>GVX</t>
        </is>
      </c>
      <c r="H4106" t="inlineStr">
        <is>
          <t>IO</t>
        </is>
      </c>
      <c r="J4106" t="inlineStr">
        <is>
          <t>MATRION</t>
        </is>
      </c>
      <c r="K4106" t="inlineStr">
        <is>
          <t>CUIVRE</t>
        </is>
      </c>
      <c r="L4106">
        <f>_xlfn.XLOOKUP(Tableau1[[#This Row],[TYPE DE PIECE]],Tableau4[MATIERE],Tableau4[SHORT TYPE],"",0,1)</f>
        <v/>
      </c>
      <c r="N4106">
        <f>IF(ISERR(FIND("DECOUPE",Tableau1[[#This Row],[DESIGNATION]])),"","NEED REF")</f>
        <v/>
      </c>
    </row>
    <row r="4107">
      <c r="B4107" t="n">
        <v>34409898</v>
      </c>
      <c r="C4107" s="2" t="n">
        <v>44491</v>
      </c>
      <c r="D4107" t="inlineStr">
        <is>
          <t>SPEC</t>
        </is>
      </c>
      <c r="E4107" t="inlineStr">
        <is>
          <t>COP INTERCO KTA LOAD</t>
        </is>
      </c>
      <c r="F4107" t="inlineStr">
        <is>
          <t>INTERXION</t>
        </is>
      </c>
      <c r="G4107" t="inlineStr">
        <is>
          <t>GVX</t>
        </is>
      </c>
      <c r="H4107" t="inlineStr">
        <is>
          <t>IO</t>
        </is>
      </c>
      <c r="J4107" t="inlineStr">
        <is>
          <t>MATRION</t>
        </is>
      </c>
      <c r="K4107" t="inlineStr">
        <is>
          <t>CUIVRE</t>
        </is>
      </c>
      <c r="L4107">
        <f>_xlfn.XLOOKUP(Tableau1[[#This Row],[TYPE DE PIECE]],Tableau4[MATIERE],Tableau4[SHORT TYPE],"",0,1)</f>
        <v/>
      </c>
      <c r="N4107">
        <f>IF(ISERR(FIND("DECOUPE",Tableau1[[#This Row],[DESIGNATION]])),"","NEED REF")</f>
        <v/>
      </c>
    </row>
    <row r="4108">
      <c r="B4108" t="n">
        <v>34409897</v>
      </c>
      <c r="C4108" s="2" t="n">
        <v>44490</v>
      </c>
      <c r="D4108" t="inlineStr">
        <is>
          <t>SPEC</t>
        </is>
      </c>
      <c r="E4108" t="inlineStr">
        <is>
          <t>SMT =S= INPUT ROOF 4</t>
        </is>
      </c>
      <c r="F4108" t="inlineStr">
        <is>
          <t>INTERXION</t>
        </is>
      </c>
      <c r="G4108" t="inlineStr">
        <is>
          <t>GVX</t>
        </is>
      </c>
      <c r="H4108" t="inlineStr">
        <is>
          <t>IO</t>
        </is>
      </c>
      <c r="J4108" t="inlineStr">
        <is>
          <t>MATRION</t>
        </is>
      </c>
      <c r="K4108" t="inlineStr">
        <is>
          <t>METAL</t>
        </is>
      </c>
      <c r="L4108">
        <f>_xlfn.XLOOKUP(Tableau1[[#This Row],[TYPE DE PIECE]],Tableau4[MATIERE],Tableau4[SHORT TYPE],"",0,1)</f>
        <v/>
      </c>
      <c r="N4108">
        <f>IF(ISERR(FIND("DECOUPE",Tableau1[[#This Row],[DESIGNATION]])),"","NEED REF")</f>
        <v/>
      </c>
    </row>
    <row r="4109">
      <c r="B4109" t="n">
        <v>34409896</v>
      </c>
      <c r="C4109" s="2" t="n">
        <v>44490</v>
      </c>
      <c r="D4109" t="inlineStr">
        <is>
          <t>SPEC</t>
        </is>
      </c>
      <c r="E4109" t="inlineStr">
        <is>
          <t>SMT =S= INPUT ROOF 3</t>
        </is>
      </c>
      <c r="F4109" t="inlineStr">
        <is>
          <t>INTERXION</t>
        </is>
      </c>
      <c r="G4109" t="inlineStr">
        <is>
          <t>GVX</t>
        </is>
      </c>
      <c r="H4109" t="inlineStr">
        <is>
          <t>IO</t>
        </is>
      </c>
      <c r="J4109" t="inlineStr">
        <is>
          <t>MATRION</t>
        </is>
      </c>
      <c r="K4109" t="inlineStr">
        <is>
          <t>METAL</t>
        </is>
      </c>
      <c r="L4109">
        <f>_xlfn.XLOOKUP(Tableau1[[#This Row],[TYPE DE PIECE]],Tableau4[MATIERE],Tableau4[SHORT TYPE],"",0,1)</f>
        <v/>
      </c>
      <c r="N4109">
        <f>IF(ISERR(FIND("DECOUPE",Tableau1[[#This Row],[DESIGNATION]])),"","NEED REF")</f>
        <v/>
      </c>
    </row>
    <row r="4110">
      <c r="B4110" t="n">
        <v>34409895</v>
      </c>
      <c r="C4110" s="2" t="n">
        <v>44490</v>
      </c>
      <c r="D4110" t="inlineStr">
        <is>
          <t>SPEC</t>
        </is>
      </c>
      <c r="E4110" t="inlineStr">
        <is>
          <t>SMT =S= INPUT ROOF 2</t>
        </is>
      </c>
      <c r="F4110" t="inlineStr">
        <is>
          <t>INTERXION</t>
        </is>
      </c>
      <c r="G4110" t="inlineStr">
        <is>
          <t>GVX</t>
        </is>
      </c>
      <c r="H4110" t="inlineStr">
        <is>
          <t>IO</t>
        </is>
      </c>
      <c r="J4110" t="inlineStr">
        <is>
          <t>MATRION</t>
        </is>
      </c>
      <c r="K4110" t="inlineStr">
        <is>
          <t>METAL</t>
        </is>
      </c>
      <c r="L4110">
        <f>_xlfn.XLOOKUP(Tableau1[[#This Row],[TYPE DE PIECE]],Tableau4[MATIERE],Tableau4[SHORT TYPE],"",0,1)</f>
        <v/>
      </c>
      <c r="N4110">
        <f>IF(ISERR(FIND("DECOUPE",Tableau1[[#This Row],[DESIGNATION]])),"","NEED REF")</f>
        <v/>
      </c>
    </row>
    <row r="4111">
      <c r="B4111" t="n">
        <v>34409894</v>
      </c>
      <c r="C4111" s="2" t="n">
        <v>44490</v>
      </c>
      <c r="D4111" t="inlineStr">
        <is>
          <t>SPEC</t>
        </is>
      </c>
      <c r="E4111" t="inlineStr">
        <is>
          <t>SMT =S= INPUT ROOF 1</t>
        </is>
      </c>
      <c r="F4111" t="inlineStr">
        <is>
          <t>INTERXION</t>
        </is>
      </c>
      <c r="G4111" t="inlineStr">
        <is>
          <t>GVX</t>
        </is>
      </c>
      <c r="H4111" t="inlineStr">
        <is>
          <t>IO</t>
        </is>
      </c>
      <c r="J4111" t="inlineStr">
        <is>
          <t>MATRION</t>
        </is>
      </c>
      <c r="K4111" t="inlineStr">
        <is>
          <t>METAL</t>
        </is>
      </c>
      <c r="L4111">
        <f>_xlfn.XLOOKUP(Tableau1[[#This Row],[TYPE DE PIECE]],Tableau4[MATIERE],Tableau4[SHORT TYPE],"",0,1)</f>
        <v/>
      </c>
      <c r="N4111">
        <f>IF(ISERR(FIND("DECOUPE",Tableau1[[#This Row],[DESIGNATION]])),"","NEED REF")</f>
        <v/>
      </c>
    </row>
    <row r="4112">
      <c r="B4112" t="n">
        <v>34409893</v>
      </c>
      <c r="C4112" s="2" t="n">
        <v>44490</v>
      </c>
      <c r="D4112" t="inlineStr">
        <is>
          <t>SPEC</t>
        </is>
      </c>
      <c r="E4112" t="inlineStr">
        <is>
          <t>PLS ISOLATION DC</t>
        </is>
      </c>
      <c r="F4112" t="inlineStr">
        <is>
          <t>INTERXION</t>
        </is>
      </c>
      <c r="G4112" t="inlineStr">
        <is>
          <t>GVX</t>
        </is>
      </c>
      <c r="H4112" t="inlineStr">
        <is>
          <t>IO</t>
        </is>
      </c>
      <c r="J4112" t="inlineStr">
        <is>
          <t>MATRION</t>
        </is>
      </c>
      <c r="K4112" t="inlineStr">
        <is>
          <t>PLASTIQUE</t>
        </is>
      </c>
      <c r="L4112">
        <f>_xlfn.XLOOKUP(Tableau1[[#This Row],[TYPE DE PIECE]],Tableau4[MATIERE],Tableau4[SHORT TYPE],"",0,1)</f>
        <v/>
      </c>
      <c r="N4112">
        <f>IF(ISERR(FIND("DECOUPE",Tableau1[[#This Row],[DESIGNATION]])),"","NEED REF")</f>
        <v/>
      </c>
    </row>
    <row r="4113">
      <c r="B4113" t="n">
        <v>34409892</v>
      </c>
      <c r="C4113" s="2" t="n">
        <v>44490</v>
      </c>
      <c r="D4113" t="inlineStr">
        <is>
          <t>SPEC</t>
        </is>
      </c>
      <c r="J4113" t="inlineStr">
        <is>
          <t>MATRION</t>
        </is>
      </c>
      <c r="L4113">
        <f>_xlfn.XLOOKUP(Tableau1[[#This Row],[TYPE DE PIECE]],Tableau4[MATIERE],Tableau4[SHORT TYPE],"",0,1)</f>
        <v/>
      </c>
      <c r="N4113">
        <f>IF(ISERR(FIND("DECOUPE",Tableau1[[#This Row],[DESIGNATION]])),"","NEED REF")</f>
        <v/>
      </c>
    </row>
    <row r="4114">
      <c r="B4114" t="n">
        <v>34409891</v>
      </c>
      <c r="C4114" s="2" t="n">
        <v>44490</v>
      </c>
      <c r="D4114" t="inlineStr">
        <is>
          <t>SPEC</t>
        </is>
      </c>
      <c r="E4114" t="inlineStr">
        <is>
          <t>1/2 SIDE PANEL 1000x1900 GALAXY WHITE 9003 - ABANDONNE</t>
        </is>
      </c>
      <c r="G4114" t="inlineStr">
        <is>
          <t>GV</t>
        </is>
      </c>
      <c r="H4114" t="inlineStr">
        <is>
          <t>AUX</t>
        </is>
      </c>
      <c r="J4114" t="inlineStr">
        <is>
          <t>MATRION</t>
        </is>
      </c>
      <c r="L4114">
        <f>_xlfn.XLOOKUP(Tableau1[[#This Row],[TYPE DE PIECE]],Tableau4[MATIERE],Tableau4[SHORT TYPE],"",0,1)</f>
        <v/>
      </c>
      <c r="N4114">
        <f>IF(ISERR(FIND("DECOUPE",Tableau1[[#This Row],[DESIGNATION]])),"","NEED REF")</f>
        <v/>
      </c>
    </row>
    <row r="4115">
      <c r="B4115" t="n">
        <v>34409890</v>
      </c>
      <c r="C4115" s="2" t="n">
        <v>44490</v>
      </c>
      <c r="D4115" t="inlineStr">
        <is>
          <t>SPEC</t>
        </is>
      </c>
      <c r="E4115" t="inlineStr">
        <is>
          <t>SIDE PANEL 1000x1900 GALAXY WHITE 9003</t>
        </is>
      </c>
      <c r="G4115" t="inlineStr">
        <is>
          <t>GV</t>
        </is>
      </c>
      <c r="H4115" t="inlineStr">
        <is>
          <t>AUX</t>
        </is>
      </c>
      <c r="J4115" t="inlineStr">
        <is>
          <t>MATRION</t>
        </is>
      </c>
      <c r="L4115">
        <f>_xlfn.XLOOKUP(Tableau1[[#This Row],[TYPE DE PIECE]],Tableau4[MATIERE],Tableau4[SHORT TYPE],"",0,1)</f>
        <v/>
      </c>
      <c r="N4115">
        <f>IF(ISERR(FIND("DECOUPE",Tableau1[[#This Row],[DESIGNATION]])),"","NEED REF")</f>
        <v/>
      </c>
    </row>
    <row r="4116">
      <c r="B4116" t="n">
        <v>34409889</v>
      </c>
      <c r="C4116" s="2" t="n">
        <v>44489</v>
      </c>
      <c r="D4116" t="inlineStr">
        <is>
          <t>SPEC</t>
        </is>
      </c>
      <c r="G4116" t="inlineStr">
        <is>
          <t>GV</t>
        </is>
      </c>
      <c r="H4116" t="inlineStr">
        <is>
          <t>AUX</t>
        </is>
      </c>
      <c r="J4116" t="inlineStr">
        <is>
          <t>MATRION</t>
        </is>
      </c>
      <c r="L4116">
        <f>_xlfn.XLOOKUP(Tableau1[[#This Row],[TYPE DE PIECE]],Tableau4[MATIERE],Tableau4[SHORT TYPE],"",0,1)</f>
        <v/>
      </c>
      <c r="N4116">
        <f>IF(ISERR(FIND("DECOUPE",Tableau1[[#This Row],[DESIGNATION]])),"","NEED REF")</f>
        <v/>
      </c>
    </row>
    <row r="4117">
      <c r="B4117" t="n">
        <v>34409888</v>
      </c>
      <c r="C4117" s="2" t="n">
        <v>44489</v>
      </c>
      <c r="D4117" t="inlineStr">
        <is>
          <t>SPEC</t>
        </is>
      </c>
      <c r="G4117" t="inlineStr">
        <is>
          <t>GV</t>
        </is>
      </c>
      <c r="H4117" t="inlineStr">
        <is>
          <t>AUX</t>
        </is>
      </c>
      <c r="J4117" t="inlineStr">
        <is>
          <t>MATRION</t>
        </is>
      </c>
      <c r="L4117">
        <f>_xlfn.XLOOKUP(Tableau1[[#This Row],[TYPE DE PIECE]],Tableau4[MATIERE],Tableau4[SHORT TYPE],"",0,1)</f>
        <v/>
      </c>
      <c r="N4117">
        <f>IF(ISERR(FIND("DECOUPE",Tableau1[[#This Row],[DESIGNATION]])),"","NEED REF")</f>
        <v/>
      </c>
    </row>
    <row r="4118">
      <c r="B4118" t="n">
        <v>34409887</v>
      </c>
      <c r="C4118" s="2" t="n">
        <v>44489</v>
      </c>
      <c r="D4118" t="inlineStr">
        <is>
          <t>SPEC</t>
        </is>
      </c>
      <c r="G4118" t="inlineStr">
        <is>
          <t>GV</t>
        </is>
      </c>
      <c r="H4118" t="inlineStr">
        <is>
          <t>AUX</t>
        </is>
      </c>
      <c r="J4118" t="inlineStr">
        <is>
          <t>MATRION</t>
        </is>
      </c>
      <c r="L4118">
        <f>_xlfn.XLOOKUP(Tableau1[[#This Row],[TYPE DE PIECE]],Tableau4[MATIERE],Tableau4[SHORT TYPE],"",0,1)</f>
        <v/>
      </c>
      <c r="N4118">
        <f>IF(ISERR(FIND("DECOUPE",Tableau1[[#This Row],[DESIGNATION]])),"","NEED REF")</f>
        <v/>
      </c>
    </row>
    <row r="4119">
      <c r="B4119" t="n">
        <v>34409886</v>
      </c>
      <c r="C4119" s="2" t="n">
        <v>44489</v>
      </c>
      <c r="D4119" t="inlineStr">
        <is>
          <t>SPEC</t>
        </is>
      </c>
      <c r="G4119" t="inlineStr">
        <is>
          <t>GV</t>
        </is>
      </c>
      <c r="H4119" t="inlineStr">
        <is>
          <t>AUX</t>
        </is>
      </c>
      <c r="J4119" t="inlineStr">
        <is>
          <t>MATRION</t>
        </is>
      </c>
      <c r="L4119">
        <f>_xlfn.XLOOKUP(Tableau1[[#This Row],[TYPE DE PIECE]],Tableau4[MATIERE],Tableau4[SHORT TYPE],"",0,1)</f>
        <v/>
      </c>
      <c r="N4119">
        <f>IF(ISERR(FIND("DECOUPE",Tableau1[[#This Row],[DESIGNATION]])),"","NEED REF")</f>
        <v/>
      </c>
    </row>
    <row r="4120">
      <c r="B4120" t="n">
        <v>34409885</v>
      </c>
      <c r="C4120" s="2" t="n">
        <v>44489</v>
      </c>
      <c r="D4120" t="inlineStr">
        <is>
          <t>SPEC</t>
        </is>
      </c>
      <c r="G4120" t="inlineStr">
        <is>
          <t>GV</t>
        </is>
      </c>
      <c r="H4120" t="inlineStr">
        <is>
          <t>AUX</t>
        </is>
      </c>
      <c r="J4120" t="inlineStr">
        <is>
          <t>MATRION</t>
        </is>
      </c>
      <c r="L4120">
        <f>_xlfn.XLOOKUP(Tableau1[[#This Row],[TYPE DE PIECE]],Tableau4[MATIERE],Tableau4[SHORT TYPE],"",0,1)</f>
        <v/>
      </c>
      <c r="N4120">
        <f>IF(ISERR(FIND("DECOUPE",Tableau1[[#This Row],[DESIGNATION]])),"","NEED REF")</f>
        <v/>
      </c>
    </row>
    <row r="4121">
      <c r="B4121" t="n">
        <v>34409884</v>
      </c>
      <c r="C4121" s="2" t="n">
        <v>44489</v>
      </c>
      <c r="D4121" t="inlineStr">
        <is>
          <t>SPEC</t>
        </is>
      </c>
      <c r="E4121" t="inlineStr">
        <is>
          <t>400 BOTTOM FLOOR BOARD</t>
        </is>
      </c>
      <c r="G4121" t="inlineStr">
        <is>
          <t>GV</t>
        </is>
      </c>
      <c r="H4121" t="inlineStr">
        <is>
          <t>AUX</t>
        </is>
      </c>
      <c r="J4121" t="inlineStr">
        <is>
          <t>MATRION</t>
        </is>
      </c>
      <c r="K4121" t="inlineStr">
        <is>
          <t>PALETTE</t>
        </is>
      </c>
      <c r="L4121">
        <f>_xlfn.XLOOKUP(Tableau1[[#This Row],[TYPE DE PIECE]],Tableau4[MATIERE],Tableau4[SHORT TYPE],"",0,1)</f>
        <v/>
      </c>
      <c r="M4121" t="inlineStr">
        <is>
          <t>PALETTE</t>
        </is>
      </c>
      <c r="N4121">
        <f>IF(ISERR(FIND("DECOUPE",Tableau1[[#This Row],[DESIGNATION]])),"","NEED REF")</f>
        <v/>
      </c>
    </row>
    <row r="4122">
      <c r="B4122" t="n">
        <v>34409883</v>
      </c>
      <c r="C4122" s="2" t="n">
        <v>44489</v>
      </c>
      <c r="D4122" t="inlineStr">
        <is>
          <t>SPEC</t>
        </is>
      </c>
      <c r="E4122" t="inlineStr">
        <is>
          <t>500 BOTTOM FLOOR BOARD</t>
        </is>
      </c>
      <c r="G4122" t="inlineStr">
        <is>
          <t>GV</t>
        </is>
      </c>
      <c r="H4122" t="inlineStr">
        <is>
          <t>AUX</t>
        </is>
      </c>
      <c r="J4122" t="inlineStr">
        <is>
          <t>MATRION</t>
        </is>
      </c>
      <c r="K4122" t="inlineStr">
        <is>
          <t>PALETTE</t>
        </is>
      </c>
      <c r="L4122">
        <f>_xlfn.XLOOKUP(Tableau1[[#This Row],[TYPE DE PIECE]],Tableau4[MATIERE],Tableau4[SHORT TYPE],"",0,1)</f>
        <v/>
      </c>
      <c r="M4122" t="inlineStr">
        <is>
          <t>PALETTE</t>
        </is>
      </c>
      <c r="N4122">
        <f>IF(ISERR(FIND("DECOUPE",Tableau1[[#This Row],[DESIGNATION]])),"","NEED REF")</f>
        <v/>
      </c>
    </row>
    <row r="4123">
      <c r="B4123" t="n">
        <v>34409882</v>
      </c>
      <c r="C4123" s="2" t="n">
        <v>44489</v>
      </c>
      <c r="D4123" t="inlineStr">
        <is>
          <t>SPEC</t>
        </is>
      </c>
      <c r="E4123" t="inlineStr">
        <is>
          <t>COP RACCORD UTIL</t>
        </is>
      </c>
      <c r="F4123" t="inlineStr">
        <is>
          <t>MERLION TRADE WORLDWIDE LTD. RUSSIA</t>
        </is>
      </c>
      <c r="G4123" t="inlineStr">
        <is>
          <t>GVL</t>
        </is>
      </c>
      <c r="H4123" t="inlineStr">
        <is>
          <t>BYPASS</t>
        </is>
      </c>
      <c r="J4123" t="inlineStr">
        <is>
          <t>JAWORSKI</t>
        </is>
      </c>
      <c r="K4123" t="inlineStr">
        <is>
          <t>CUIVRE</t>
        </is>
      </c>
      <c r="L4123">
        <f>_xlfn.XLOOKUP(Tableau1[[#This Row],[TYPE DE PIECE]],Tableau4[MATIERE],Tableau4[SHORT TYPE],"",0,1)</f>
        <v/>
      </c>
      <c r="N4123">
        <f>IF(ISERR(FIND("DECOUPE",Tableau1[[#This Row],[DESIGNATION]])),"","NEED REF")</f>
        <v/>
      </c>
    </row>
    <row r="4124">
      <c r="B4124" t="n">
        <v>34409881</v>
      </c>
      <c r="C4124" s="2" t="n">
        <v>44489</v>
      </c>
      <c r="D4124" t="inlineStr">
        <is>
          <t>SPEC</t>
        </is>
      </c>
      <c r="E4124" t="inlineStr">
        <is>
          <t>REPRISE DECOUPE PORTE BYPASS STD</t>
        </is>
      </c>
      <c r="G4124" t="inlineStr">
        <is>
          <t>GVL</t>
        </is>
      </c>
      <c r="H4124" t="inlineStr">
        <is>
          <t>BYPASS</t>
        </is>
      </c>
      <c r="J4124" t="inlineStr">
        <is>
          <t>BERNARDEAU</t>
        </is>
      </c>
      <c r="K4124" t="inlineStr">
        <is>
          <t>METAL</t>
        </is>
      </c>
      <c r="L4124">
        <f>_xlfn.XLOOKUP(Tableau1[[#This Row],[TYPE DE PIECE]],Tableau4[MATIERE],Tableau4[SHORT TYPE],"",0,1)</f>
        <v/>
      </c>
      <c r="N4124">
        <f>IF(ISERR(FIND("DECOUPE",Tableau1[[#This Row],[DESIGNATION]])),"","NEED REF")</f>
        <v/>
      </c>
    </row>
    <row r="4125">
      <c r="B4125" t="n">
        <v>34409880</v>
      </c>
      <c r="C4125" s="2" t="n">
        <v>44488</v>
      </c>
      <c r="D4125" t="inlineStr">
        <is>
          <t>SPEC</t>
        </is>
      </c>
      <c r="E4125" t="inlineStr">
        <is>
          <t>Inter NS800NA-4P-2OF-Prise Arr Hori</t>
        </is>
      </c>
      <c r="F4125" t="inlineStr">
        <is>
          <t>ARAMCO</t>
        </is>
      </c>
      <c r="G4125" t="inlineStr">
        <is>
          <t>GVX</t>
        </is>
      </c>
      <c r="H4125" t="inlineStr">
        <is>
          <t>BYPASS</t>
        </is>
      </c>
      <c r="J4125" t="inlineStr">
        <is>
          <t>JAWORSKI</t>
        </is>
      </c>
      <c r="K4125" t="inlineStr">
        <is>
          <t>=S=</t>
        </is>
      </c>
      <c r="L4125">
        <f>_xlfn.XLOOKUP(Tableau1[[#This Row],[TYPE DE PIECE]],Tableau4[MATIERE],Tableau4[SHORT TYPE],"",0,1)</f>
        <v/>
      </c>
      <c r="N4125">
        <f>IF(ISERR(FIND("DECOUPE",Tableau1[[#This Row],[DESIGNATION]])),"","NEED REF")</f>
        <v/>
      </c>
    </row>
    <row r="4126">
      <c r="B4126" t="n">
        <v>34409879</v>
      </c>
      <c r="C4126" s="2" t="n">
        <v>44488</v>
      </c>
      <c r="D4126" t="inlineStr">
        <is>
          <t>SPEC</t>
        </is>
      </c>
      <c r="E4126" t="inlineStr">
        <is>
          <t>Disj. MTZ2H1-800A-4P-Micro5.0X</t>
        </is>
      </c>
      <c r="F4126" t="inlineStr">
        <is>
          <t>ARAMCO</t>
        </is>
      </c>
      <c r="G4126" t="inlineStr">
        <is>
          <t>GVX</t>
        </is>
      </c>
      <c r="H4126" t="inlineStr">
        <is>
          <t>BYPASS</t>
        </is>
      </c>
      <c r="J4126" t="inlineStr">
        <is>
          <t>JAWORSKI</t>
        </is>
      </c>
      <c r="K4126" t="inlineStr">
        <is>
          <t>=S=</t>
        </is>
      </c>
      <c r="L4126">
        <f>_xlfn.XLOOKUP(Tableau1[[#This Row],[TYPE DE PIECE]],Tableau4[MATIERE],Tableau4[SHORT TYPE],"",0,1)</f>
        <v/>
      </c>
      <c r="N4126">
        <f>IF(ISERR(FIND("DECOUPE",Tableau1[[#This Row],[DESIGNATION]])),"","NEED REF")</f>
        <v/>
      </c>
    </row>
    <row r="4127">
      <c r="B4127" t="n">
        <v>34409878</v>
      </c>
      <c r="C4127" s="2" t="n">
        <v>44488</v>
      </c>
      <c r="D4127" t="inlineStr">
        <is>
          <t>SPEC</t>
        </is>
      </c>
      <c r="E4127" t="inlineStr">
        <is>
          <t>SMT CHEMINEE POUR BYPASS SSIB-MBB</t>
        </is>
      </c>
      <c r="G4127" t="inlineStr">
        <is>
          <t>GVL</t>
        </is>
      </c>
      <c r="H4127" t="inlineStr">
        <is>
          <t>BYPASS</t>
        </is>
      </c>
      <c r="J4127" t="inlineStr">
        <is>
          <t>BERNARDEAU</t>
        </is>
      </c>
      <c r="K4127" t="inlineStr">
        <is>
          <t>METAL</t>
        </is>
      </c>
      <c r="L4127">
        <f>_xlfn.XLOOKUP(Tableau1[[#This Row],[TYPE DE PIECE]],Tableau4[MATIERE],Tableau4[SHORT TYPE],"",0,1)</f>
        <v/>
      </c>
      <c r="N4127">
        <f>IF(ISERR(FIND("DECOUPE",Tableau1[[#This Row],[DESIGNATION]])),"","NEED REF")</f>
        <v/>
      </c>
    </row>
    <row r="4128">
      <c r="B4128" t="n">
        <v>34409877</v>
      </c>
      <c r="C4128" s="2" t="n">
        <v>44488</v>
      </c>
      <c r="D4128" t="inlineStr">
        <is>
          <t>SPEC</t>
        </is>
      </c>
      <c r="E4128" t="inlineStr">
        <is>
          <t>SMT PLAQUE INTER TOIT BYPASS-ONDULEUR</t>
        </is>
      </c>
      <c r="G4128" t="inlineStr">
        <is>
          <t>GVL</t>
        </is>
      </c>
      <c r="H4128" t="inlineStr">
        <is>
          <t>BYPASS</t>
        </is>
      </c>
      <c r="J4128" t="inlineStr">
        <is>
          <t>BERNARDEAU</t>
        </is>
      </c>
      <c r="K4128" t="inlineStr">
        <is>
          <t>METAL</t>
        </is>
      </c>
      <c r="L4128">
        <f>_xlfn.XLOOKUP(Tableau1[[#This Row],[TYPE DE PIECE]],Tableau4[MATIERE],Tableau4[SHORT TYPE],"",0,1)</f>
        <v/>
      </c>
      <c r="N4128">
        <f>IF(ISERR(FIND("DECOUPE",Tableau1[[#This Row],[DESIGNATION]])),"","NEED REF")</f>
        <v/>
      </c>
    </row>
    <row r="4129">
      <c r="B4129" t="n">
        <v>34409876</v>
      </c>
      <c r="C4129" s="2" t="n">
        <v>44487</v>
      </c>
      <c r="D4129" t="inlineStr">
        <is>
          <t>SPEC</t>
        </is>
      </c>
      <c r="E4129" t="inlineStr">
        <is>
          <t>SMT SUPPORT ISOLATION DC</t>
        </is>
      </c>
      <c r="F4129" t="inlineStr">
        <is>
          <t>INTERXION</t>
        </is>
      </c>
      <c r="G4129" t="inlineStr">
        <is>
          <t>GVX</t>
        </is>
      </c>
      <c r="H4129" t="inlineStr">
        <is>
          <t>IO</t>
        </is>
      </c>
      <c r="J4129" t="inlineStr">
        <is>
          <t>MATRION</t>
        </is>
      </c>
      <c r="K4129" t="inlineStr">
        <is>
          <t>METAL</t>
        </is>
      </c>
      <c r="L4129">
        <f>_xlfn.XLOOKUP(Tableau1[[#This Row],[TYPE DE PIECE]],Tableau4[MATIERE],Tableau4[SHORT TYPE],"",0,1)</f>
        <v/>
      </c>
      <c r="N4129">
        <f>IF(ISERR(FIND("DECOUPE",Tableau1[[#This Row],[DESIGNATION]])),"","NEED REF")</f>
        <v/>
      </c>
    </row>
    <row r="4130">
      <c r="B4130" t="n">
        <v>34409875</v>
      </c>
      <c r="C4130" s="2" t="n">
        <v>44487</v>
      </c>
      <c r="D4130" t="inlineStr">
        <is>
          <t>SPEC</t>
        </is>
      </c>
      <c r="E4130" t="inlineStr">
        <is>
          <t>ENSEMBLE FALE PCA</t>
        </is>
      </c>
      <c r="H4130" t="inlineStr">
        <is>
          <t>STS</t>
        </is>
      </c>
      <c r="J4130" t="inlineStr">
        <is>
          <t>BERNARDEAU</t>
        </is>
      </c>
      <c r="L4130">
        <f>_xlfn.XLOOKUP(Tableau1[[#This Row],[TYPE DE PIECE]],Tableau4[MATIERE],Tableau4[SHORT TYPE],"",0,1)</f>
        <v/>
      </c>
      <c r="N4130">
        <f>IF(ISERR(FIND("DECOUPE",Tableau1[[#This Row],[DESIGNATION]])),"","NEED REF")</f>
        <v/>
      </c>
    </row>
    <row r="4131">
      <c r="B4131" t="n">
        <v>34409874</v>
      </c>
      <c r="C4131" s="2" t="n">
        <v>44487</v>
      </c>
      <c r="D4131" t="inlineStr">
        <is>
          <t>SPEC</t>
        </is>
      </c>
      <c r="E4131" t="inlineStr">
        <is>
          <t>PLA PROTECTION OUTPUT</t>
        </is>
      </c>
      <c r="F4131" t="inlineStr">
        <is>
          <t>INTERXION</t>
        </is>
      </c>
      <c r="G4131" t="inlineStr">
        <is>
          <t>GVX</t>
        </is>
      </c>
      <c r="H4131" t="inlineStr">
        <is>
          <t>IO</t>
        </is>
      </c>
      <c r="J4131" t="inlineStr">
        <is>
          <t>MATRION</t>
        </is>
      </c>
      <c r="K4131" t="inlineStr">
        <is>
          <t>PLASTIQUE</t>
        </is>
      </c>
      <c r="L4131">
        <f>_xlfn.XLOOKUP(Tableau1[[#This Row],[TYPE DE PIECE]],Tableau4[MATIERE],Tableau4[SHORT TYPE],"",0,1)</f>
        <v/>
      </c>
      <c r="N4131">
        <f>IF(ISERR(FIND("DECOUPE",Tableau1[[#This Row],[DESIGNATION]])),"","NEED REF")</f>
        <v/>
      </c>
    </row>
    <row r="4132">
      <c r="B4132" t="n">
        <v>34409873</v>
      </c>
      <c r="C4132" s="2" t="n">
        <v>44487</v>
      </c>
      <c r="D4132" t="inlineStr">
        <is>
          <t>SPEC</t>
        </is>
      </c>
      <c r="E4132" t="inlineStr">
        <is>
          <t>COP PER 3</t>
        </is>
      </c>
      <c r="F4132" t="inlineStr">
        <is>
          <t>INTERXION</t>
        </is>
      </c>
      <c r="G4132" t="inlineStr">
        <is>
          <t>GVX</t>
        </is>
      </c>
      <c r="H4132" t="inlineStr">
        <is>
          <t>IO</t>
        </is>
      </c>
      <c r="J4132" t="inlineStr">
        <is>
          <t>MATRION</t>
        </is>
      </c>
      <c r="K4132" t="inlineStr">
        <is>
          <t>CUIVRE</t>
        </is>
      </c>
      <c r="L4132">
        <f>_xlfn.XLOOKUP(Tableau1[[#This Row],[TYPE DE PIECE]],Tableau4[MATIERE],Tableau4[SHORT TYPE],"",0,1)</f>
        <v/>
      </c>
      <c r="N4132">
        <f>IF(ISERR(FIND("DECOUPE",Tableau1[[#This Row],[DESIGNATION]])),"","NEED REF")</f>
        <v/>
      </c>
    </row>
    <row r="4133">
      <c r="B4133" t="n">
        <v>34409872</v>
      </c>
      <c r="C4133" s="2" t="n">
        <v>44487</v>
      </c>
      <c r="D4133" t="inlineStr">
        <is>
          <t>SPEC</t>
        </is>
      </c>
      <c r="E4133" t="inlineStr">
        <is>
          <t>SMT SUPPORT BORNIER AUXILLIAIRE</t>
        </is>
      </c>
      <c r="F4133" t="inlineStr">
        <is>
          <t>ARAMCO</t>
        </is>
      </c>
      <c r="G4133" t="inlineStr">
        <is>
          <t>GVX</t>
        </is>
      </c>
      <c r="H4133" t="inlineStr">
        <is>
          <t>BYPASS</t>
        </is>
      </c>
      <c r="J4133" t="inlineStr">
        <is>
          <t>JAWORSKI</t>
        </is>
      </c>
      <c r="K4133" t="inlineStr">
        <is>
          <t>METAL</t>
        </is>
      </c>
      <c r="L4133">
        <f>_xlfn.XLOOKUP(Tableau1[[#This Row],[TYPE DE PIECE]],Tableau4[MATIERE],Tableau4[SHORT TYPE],"",0,1)</f>
        <v/>
      </c>
      <c r="N4133">
        <f>IF(ISERR(FIND("DECOUPE",Tableau1[[#This Row],[DESIGNATION]])),"","NEED REF")</f>
        <v/>
      </c>
    </row>
    <row r="4134">
      <c r="B4134" t="n">
        <v>34409871</v>
      </c>
      <c r="C4134" s="2" t="n">
        <v>44486</v>
      </c>
      <c r="D4134" t="inlineStr">
        <is>
          <t>SPEC</t>
        </is>
      </c>
      <c r="E4134" t="inlineStr">
        <is>
          <t>COP RACCORDEMENT MAINS INPUT</t>
        </is>
      </c>
      <c r="F4134" t="inlineStr">
        <is>
          <t>ARAMCO</t>
        </is>
      </c>
      <c r="G4134" t="inlineStr">
        <is>
          <t>GVX</t>
        </is>
      </c>
      <c r="H4134" t="inlineStr">
        <is>
          <t>BYPASS</t>
        </is>
      </c>
      <c r="J4134" t="inlineStr">
        <is>
          <t>JAWORSKI</t>
        </is>
      </c>
      <c r="K4134" t="inlineStr">
        <is>
          <t>CUIVRE</t>
        </is>
      </c>
      <c r="L4134">
        <f>_xlfn.XLOOKUP(Tableau1[[#This Row],[TYPE DE PIECE]],Tableau4[MATIERE],Tableau4[SHORT TYPE],"",0,1)</f>
        <v/>
      </c>
      <c r="N4134">
        <f>IF(ISERR(FIND("DECOUPE",Tableau1[[#This Row],[DESIGNATION]])),"","NEED REF")</f>
        <v/>
      </c>
    </row>
    <row r="4135">
      <c r="B4135" t="n">
        <v>34409870</v>
      </c>
      <c r="C4135" s="2" t="n">
        <v>44486</v>
      </c>
      <c r="D4135" t="inlineStr">
        <is>
          <t>SPEC</t>
        </is>
      </c>
      <c r="E4135" t="inlineStr">
        <is>
          <t>COP RACCORDEMENT OUTPUT</t>
        </is>
      </c>
      <c r="F4135" t="inlineStr">
        <is>
          <t>ARAMCO</t>
        </is>
      </c>
      <c r="G4135" t="inlineStr">
        <is>
          <t>GVX</t>
        </is>
      </c>
      <c r="H4135" t="inlineStr">
        <is>
          <t>BYPASS</t>
        </is>
      </c>
      <c r="J4135" t="inlineStr">
        <is>
          <t>JAWORSKI</t>
        </is>
      </c>
      <c r="K4135" t="inlineStr">
        <is>
          <t>CUIVRE</t>
        </is>
      </c>
      <c r="L4135">
        <f>_xlfn.XLOOKUP(Tableau1[[#This Row],[TYPE DE PIECE]],Tableau4[MATIERE],Tableau4[SHORT TYPE],"",0,1)</f>
        <v/>
      </c>
      <c r="N4135">
        <f>IF(ISERR(FIND("DECOUPE",Tableau1[[#This Row],[DESIGNATION]])),"","NEED REF")</f>
        <v/>
      </c>
    </row>
    <row r="4136">
      <c r="B4136" t="n">
        <v>34409869</v>
      </c>
      <c r="C4136" s="2" t="n">
        <v>44486</v>
      </c>
      <c r="D4136" t="inlineStr">
        <is>
          <t>SPEC</t>
        </is>
      </c>
      <c r="E4136" t="inlineStr">
        <is>
          <t>COP LIAISON L3_OUTPUT</t>
        </is>
      </c>
      <c r="F4136" t="inlineStr">
        <is>
          <t>ARAMCO</t>
        </is>
      </c>
      <c r="G4136" t="inlineStr">
        <is>
          <t>GVX</t>
        </is>
      </c>
      <c r="H4136" t="inlineStr">
        <is>
          <t>BYPASS</t>
        </is>
      </c>
      <c r="J4136" t="inlineStr">
        <is>
          <t>JAWORSKI</t>
        </is>
      </c>
      <c r="K4136" t="inlineStr">
        <is>
          <t>CUIVRE</t>
        </is>
      </c>
      <c r="L4136">
        <f>_xlfn.XLOOKUP(Tableau1[[#This Row],[TYPE DE PIECE]],Tableau4[MATIERE],Tableau4[SHORT TYPE],"",0,1)</f>
        <v/>
      </c>
      <c r="N4136">
        <f>IF(ISERR(FIND("DECOUPE",Tableau1[[#This Row],[DESIGNATION]])),"","NEED REF")</f>
        <v/>
      </c>
    </row>
    <row r="4137">
      <c r="B4137" t="n">
        <v>34409868</v>
      </c>
      <c r="C4137" s="2" t="n">
        <v>44486</v>
      </c>
      <c r="D4137" t="inlineStr">
        <is>
          <t>SPEC</t>
        </is>
      </c>
      <c r="E4137" t="inlineStr">
        <is>
          <t>COP LIAISON L2_OUTPUT</t>
        </is>
      </c>
      <c r="F4137" t="inlineStr">
        <is>
          <t>ARAMCO</t>
        </is>
      </c>
      <c r="G4137" t="inlineStr">
        <is>
          <t>GVX</t>
        </is>
      </c>
      <c r="H4137" t="inlineStr">
        <is>
          <t>BYPASS</t>
        </is>
      </c>
      <c r="J4137" t="inlineStr">
        <is>
          <t>JAWORSKI</t>
        </is>
      </c>
      <c r="K4137" t="inlineStr">
        <is>
          <t>CUIVRE</t>
        </is>
      </c>
      <c r="L4137">
        <f>_xlfn.XLOOKUP(Tableau1[[#This Row],[TYPE DE PIECE]],Tableau4[MATIERE],Tableau4[SHORT TYPE],"",0,1)</f>
        <v/>
      </c>
      <c r="N4137">
        <f>IF(ISERR(FIND("DECOUPE",Tableau1[[#This Row],[DESIGNATION]])),"","NEED REF")</f>
        <v/>
      </c>
    </row>
    <row r="4138">
      <c r="B4138" t="n">
        <v>34409867</v>
      </c>
      <c r="C4138" s="2" t="n">
        <v>44486</v>
      </c>
      <c r="D4138" t="inlineStr">
        <is>
          <t>SPEC</t>
        </is>
      </c>
      <c r="E4138" t="inlineStr">
        <is>
          <t>COP LIAISON L1_OUTPUT</t>
        </is>
      </c>
      <c r="F4138" t="inlineStr">
        <is>
          <t>ARAMCO</t>
        </is>
      </c>
      <c r="G4138" t="inlineStr">
        <is>
          <t>GVX</t>
        </is>
      </c>
      <c r="H4138" t="inlineStr">
        <is>
          <t>BYPASS</t>
        </is>
      </c>
      <c r="J4138" t="inlineStr">
        <is>
          <t>JAWORSKI</t>
        </is>
      </c>
      <c r="K4138" t="inlineStr">
        <is>
          <t>CUIVRE</t>
        </is>
      </c>
      <c r="L4138">
        <f>_xlfn.XLOOKUP(Tableau1[[#This Row],[TYPE DE PIECE]],Tableau4[MATIERE],Tableau4[SHORT TYPE],"",0,1)</f>
        <v/>
      </c>
      <c r="N4138">
        <f>IF(ISERR(FIND("DECOUPE",Tableau1[[#This Row],[DESIGNATION]])),"","NEED REF")</f>
        <v/>
      </c>
    </row>
    <row r="4139">
      <c r="B4139" t="n">
        <v>34409866</v>
      </c>
      <c r="C4139" s="2" t="n">
        <v>44486</v>
      </c>
      <c r="D4139" t="inlineStr">
        <is>
          <t>SPEC</t>
        </is>
      </c>
      <c r="E4139" t="inlineStr">
        <is>
          <t>COP LIAISON N_OUTPUT</t>
        </is>
      </c>
      <c r="F4139" t="inlineStr">
        <is>
          <t>ARAMCO</t>
        </is>
      </c>
      <c r="G4139" t="inlineStr">
        <is>
          <t>GVX</t>
        </is>
      </c>
      <c r="H4139" t="inlineStr">
        <is>
          <t>BYPASS</t>
        </is>
      </c>
      <c r="J4139" t="inlineStr">
        <is>
          <t>JAWORSKI</t>
        </is>
      </c>
      <c r="K4139" t="inlineStr">
        <is>
          <t>CUIVRE</t>
        </is>
      </c>
      <c r="L4139">
        <f>_xlfn.XLOOKUP(Tableau1[[#This Row],[TYPE DE PIECE]],Tableau4[MATIERE],Tableau4[SHORT TYPE],"",0,1)</f>
        <v/>
      </c>
      <c r="N4139">
        <f>IF(ISERR(FIND("DECOUPE",Tableau1[[#This Row],[DESIGNATION]])),"","NEED REF")</f>
        <v/>
      </c>
    </row>
    <row r="4140">
      <c r="B4140" t="n">
        <v>34409865</v>
      </c>
      <c r="C4140" s="2" t="n">
        <v>44484</v>
      </c>
      <c r="D4140" t="inlineStr">
        <is>
          <t>SPEC</t>
        </is>
      </c>
      <c r="E4140" t="inlineStr">
        <is>
          <t>PLA BRIDE CX UOB</t>
        </is>
      </c>
      <c r="F4140" t="inlineStr">
        <is>
          <t>ARAMCO</t>
        </is>
      </c>
      <c r="G4140" t="inlineStr">
        <is>
          <t>GVX</t>
        </is>
      </c>
      <c r="H4140" t="inlineStr">
        <is>
          <t>BYPASS</t>
        </is>
      </c>
      <c r="J4140" t="inlineStr">
        <is>
          <t>JAWORSKI</t>
        </is>
      </c>
      <c r="K4140" t="inlineStr">
        <is>
          <t>PLASTIQUE</t>
        </is>
      </c>
      <c r="L4140">
        <f>_xlfn.XLOOKUP(Tableau1[[#This Row],[TYPE DE PIECE]],Tableau4[MATIERE],Tableau4[SHORT TYPE],"",0,1)</f>
        <v/>
      </c>
      <c r="N4140">
        <f>IF(ISERR(FIND("DECOUPE",Tableau1[[#This Row],[DESIGNATION]])),"","NEED REF")</f>
        <v/>
      </c>
    </row>
    <row r="4141">
      <c r="B4141" t="n">
        <v>34409864</v>
      </c>
      <c r="C4141" s="2" t="n">
        <v>44484</v>
      </c>
      <c r="D4141" t="inlineStr">
        <is>
          <t>SPEC</t>
        </is>
      </c>
      <c r="E4141" t="inlineStr">
        <is>
          <t>ENSEMBLE_BYPASS STS 630A</t>
        </is>
      </c>
      <c r="H4141" t="inlineStr">
        <is>
          <t>STS</t>
        </is>
      </c>
      <c r="J4141" t="inlineStr">
        <is>
          <t>BERNARDEAU</t>
        </is>
      </c>
      <c r="L4141">
        <f>_xlfn.XLOOKUP(Tableau1[[#This Row],[TYPE DE PIECE]],Tableau4[MATIERE],Tableau4[SHORT TYPE],"",0,1)</f>
        <v/>
      </c>
      <c r="N4141">
        <f>IF(ISERR(FIND("DECOUPE",Tableau1[[#This Row],[DESIGNATION]])),"","NEED REF")</f>
        <v/>
      </c>
    </row>
    <row r="4142">
      <c r="B4142" t="n">
        <v>34409863</v>
      </c>
      <c r="C4142" s="2" t="n">
        <v>44484</v>
      </c>
      <c r="D4142" t="inlineStr">
        <is>
          <t>SPEC</t>
        </is>
      </c>
      <c r="E4142" t="inlineStr">
        <is>
          <t>SMT =S= INPUT ROOF 2</t>
        </is>
      </c>
      <c r="F4142" t="inlineStr">
        <is>
          <t>INTERXION</t>
        </is>
      </c>
      <c r="G4142" t="inlineStr">
        <is>
          <t>GVX</t>
        </is>
      </c>
      <c r="H4142" t="inlineStr">
        <is>
          <t>IO</t>
        </is>
      </c>
      <c r="J4142" t="inlineStr">
        <is>
          <t>MATRION</t>
        </is>
      </c>
      <c r="K4142" t="inlineStr">
        <is>
          <t>METAL</t>
        </is>
      </c>
      <c r="L4142">
        <f>_xlfn.XLOOKUP(Tableau1[[#This Row],[TYPE DE PIECE]],Tableau4[MATIERE],Tableau4[SHORT TYPE],"",0,1)</f>
        <v/>
      </c>
      <c r="N4142">
        <f>IF(ISERR(FIND("DECOUPE",Tableau1[[#This Row],[DESIGNATION]])),"","NEED REF")</f>
        <v/>
      </c>
    </row>
    <row r="4143">
      <c r="B4143" t="n">
        <v>34409862</v>
      </c>
      <c r="C4143" s="2" t="n">
        <v>44484</v>
      </c>
      <c r="D4143" t="inlineStr">
        <is>
          <t>SPEC</t>
        </is>
      </c>
      <c r="E4143" t="inlineStr">
        <is>
          <t>SMT =S= INPUT ROOF 1</t>
        </is>
      </c>
      <c r="F4143" t="inlineStr">
        <is>
          <t>INTERXION</t>
        </is>
      </c>
      <c r="G4143" t="inlineStr">
        <is>
          <t>GVX</t>
        </is>
      </c>
      <c r="H4143" t="inlineStr">
        <is>
          <t>IO</t>
        </is>
      </c>
      <c r="J4143" t="inlineStr">
        <is>
          <t>MATRION</t>
        </is>
      </c>
      <c r="K4143" t="inlineStr">
        <is>
          <t>METAL</t>
        </is>
      </c>
      <c r="L4143">
        <f>_xlfn.XLOOKUP(Tableau1[[#This Row],[TYPE DE PIECE]],Tableau4[MATIERE],Tableau4[SHORT TYPE],"",0,1)</f>
        <v/>
      </c>
      <c r="N4143">
        <f>IF(ISERR(FIND("DECOUPE",Tableau1[[#This Row],[DESIGNATION]])),"","NEED REF")</f>
        <v/>
      </c>
    </row>
    <row r="4144">
      <c r="B4144" t="n">
        <v>34409861</v>
      </c>
      <c r="C4144" s="2" t="n">
        <v>44484</v>
      </c>
      <c r="D4144" t="inlineStr">
        <is>
          <t>SPEC</t>
        </is>
      </c>
      <c r="E4144" t="inlineStr">
        <is>
          <t>SMT =S= OUTPUT AND BATT ROOT 2</t>
        </is>
      </c>
      <c r="F4144" t="inlineStr">
        <is>
          <t>INTERXION</t>
        </is>
      </c>
      <c r="G4144" t="inlineStr">
        <is>
          <t>GVX</t>
        </is>
      </c>
      <c r="H4144" t="inlineStr">
        <is>
          <t>IO</t>
        </is>
      </c>
      <c r="J4144" t="inlineStr">
        <is>
          <t>MATRION</t>
        </is>
      </c>
      <c r="K4144" t="inlineStr">
        <is>
          <t>METAL</t>
        </is>
      </c>
      <c r="L4144">
        <f>_xlfn.XLOOKUP(Tableau1[[#This Row],[TYPE DE PIECE]],Tableau4[MATIERE],Tableau4[SHORT TYPE],"",0,1)</f>
        <v/>
      </c>
      <c r="N4144">
        <f>IF(ISERR(FIND("DECOUPE",Tableau1[[#This Row],[DESIGNATION]])),"","NEED REF")</f>
        <v/>
      </c>
    </row>
    <row r="4145">
      <c r="B4145" t="n">
        <v>34409860</v>
      </c>
      <c r="C4145" s="2" t="n">
        <v>44484</v>
      </c>
      <c r="D4145" t="inlineStr">
        <is>
          <t>SPEC</t>
        </is>
      </c>
      <c r="E4145" t="inlineStr">
        <is>
          <t>SMT =S= OUTPUT AND BATT ROOT 1</t>
        </is>
      </c>
      <c r="F4145" t="inlineStr">
        <is>
          <t>INTERXION</t>
        </is>
      </c>
      <c r="G4145" t="inlineStr">
        <is>
          <t>GVX</t>
        </is>
      </c>
      <c r="H4145" t="inlineStr">
        <is>
          <t>IO</t>
        </is>
      </c>
      <c r="J4145" t="inlineStr">
        <is>
          <t>MATRION</t>
        </is>
      </c>
      <c r="K4145" t="inlineStr">
        <is>
          <t>METAL</t>
        </is>
      </c>
      <c r="L4145">
        <f>_xlfn.XLOOKUP(Tableau1[[#This Row],[TYPE DE PIECE]],Tableau4[MATIERE],Tableau4[SHORT TYPE],"",0,1)</f>
        <v/>
      </c>
      <c r="N4145">
        <f>IF(ISERR(FIND("DECOUPE",Tableau1[[#This Row],[DESIGNATION]])),"","NEED REF")</f>
        <v/>
      </c>
    </row>
    <row r="4146">
      <c r="B4146" t="n">
        <v>34409859</v>
      </c>
      <c r="C4146" s="2" t="n">
        <v>44484</v>
      </c>
      <c r="D4146" t="inlineStr">
        <is>
          <t>SPEC</t>
        </is>
      </c>
      <c r="E4146" t="inlineStr">
        <is>
          <t>COP INTERCO KTA LOAD</t>
        </is>
      </c>
      <c r="F4146" t="inlineStr">
        <is>
          <t>INTERXION</t>
        </is>
      </c>
      <c r="G4146" t="inlineStr">
        <is>
          <t>GVX</t>
        </is>
      </c>
      <c r="H4146" t="inlineStr">
        <is>
          <t>IO</t>
        </is>
      </c>
      <c r="J4146" t="inlineStr">
        <is>
          <t>MATRION</t>
        </is>
      </c>
      <c r="K4146" t="inlineStr">
        <is>
          <t>CUIVRE</t>
        </is>
      </c>
      <c r="L4146">
        <f>_xlfn.XLOOKUP(Tableau1[[#This Row],[TYPE DE PIECE]],Tableau4[MATIERE],Tableau4[SHORT TYPE],"",0,1)</f>
        <v/>
      </c>
      <c r="N4146">
        <f>IF(ISERR(FIND("DECOUPE",Tableau1[[#This Row],[DESIGNATION]])),"","NEED REF")</f>
        <v/>
      </c>
    </row>
    <row r="4147">
      <c r="B4147" t="n">
        <v>34409858</v>
      </c>
      <c r="C4147" s="2" t="n">
        <v>44484</v>
      </c>
      <c r="D4147" t="inlineStr">
        <is>
          <t>SPEC</t>
        </is>
      </c>
      <c r="E4147" t="inlineStr">
        <is>
          <t>COP PLAGE PONTAGE BAT4</t>
        </is>
      </c>
      <c r="F4147" t="inlineStr">
        <is>
          <t>INTERXION</t>
        </is>
      </c>
      <c r="G4147" t="inlineStr">
        <is>
          <t>GVX</t>
        </is>
      </c>
      <c r="H4147" t="inlineStr">
        <is>
          <t>IO</t>
        </is>
      </c>
      <c r="J4147" t="inlineStr">
        <is>
          <t>MATRION</t>
        </is>
      </c>
      <c r="K4147" t="inlineStr">
        <is>
          <t>CUIVRE</t>
        </is>
      </c>
      <c r="L4147">
        <f>_xlfn.XLOOKUP(Tableau1[[#This Row],[TYPE DE PIECE]],Tableau4[MATIERE],Tableau4[SHORT TYPE],"",0,1)</f>
        <v/>
      </c>
      <c r="N4147">
        <f>IF(ISERR(FIND("DECOUPE",Tableau1[[#This Row],[DESIGNATION]])),"","NEED REF")</f>
        <v/>
      </c>
    </row>
    <row r="4148">
      <c r="B4148" t="n">
        <v>34409857</v>
      </c>
      <c r="C4148" s="2" t="n">
        <v>44484</v>
      </c>
      <c r="D4148" t="inlineStr">
        <is>
          <t>SPEC</t>
        </is>
      </c>
      <c r="E4148" t="inlineStr">
        <is>
          <t>COP PLAGE PONTAGE BAT3</t>
        </is>
      </c>
      <c r="F4148" t="inlineStr">
        <is>
          <t>INTERXION</t>
        </is>
      </c>
      <c r="G4148" t="inlineStr">
        <is>
          <t>GVX</t>
        </is>
      </c>
      <c r="H4148" t="inlineStr">
        <is>
          <t>IO</t>
        </is>
      </c>
      <c r="J4148" t="inlineStr">
        <is>
          <t>MATRION</t>
        </is>
      </c>
      <c r="K4148" t="inlineStr">
        <is>
          <t>CUIVRE</t>
        </is>
      </c>
      <c r="L4148">
        <f>_xlfn.XLOOKUP(Tableau1[[#This Row],[TYPE DE PIECE]],Tableau4[MATIERE],Tableau4[SHORT TYPE],"",0,1)</f>
        <v/>
      </c>
      <c r="N4148">
        <f>IF(ISERR(FIND("DECOUPE",Tableau1[[#This Row],[DESIGNATION]])),"","NEED REF")</f>
        <v/>
      </c>
    </row>
    <row r="4149">
      <c r="B4149" t="n">
        <v>34409856</v>
      </c>
      <c r="C4149" s="2" t="n">
        <v>44484</v>
      </c>
      <c r="D4149" t="inlineStr">
        <is>
          <t>SPEC</t>
        </is>
      </c>
      <c r="E4149" t="inlineStr">
        <is>
          <t>SMT PLATINE BYPASS</t>
        </is>
      </c>
      <c r="H4149" t="inlineStr">
        <is>
          <t>STS</t>
        </is>
      </c>
      <c r="J4149" t="inlineStr">
        <is>
          <t>BERNARDEAU</t>
        </is>
      </c>
      <c r="K4149" t="inlineStr">
        <is>
          <t>METAL</t>
        </is>
      </c>
      <c r="L4149">
        <f>_xlfn.XLOOKUP(Tableau1[[#This Row],[TYPE DE PIECE]],Tableau4[MATIERE],Tableau4[SHORT TYPE],"",0,1)</f>
        <v/>
      </c>
      <c r="N4149">
        <f>IF(ISERR(FIND("DECOUPE",Tableau1[[#This Row],[DESIGNATION]])),"","NEED REF")</f>
        <v/>
      </c>
    </row>
    <row r="4150">
      <c r="B4150" t="n">
        <v>34409855</v>
      </c>
      <c r="C4150" s="2" t="n">
        <v>44484</v>
      </c>
      <c r="D4150" t="inlineStr">
        <is>
          <t>SPEC</t>
        </is>
      </c>
      <c r="E4150" t="inlineStr">
        <is>
          <t>COP PLAGE PONTAGE BAT2</t>
        </is>
      </c>
      <c r="F4150" t="inlineStr">
        <is>
          <t>INTERXION</t>
        </is>
      </c>
      <c r="G4150" t="inlineStr">
        <is>
          <t>GVX</t>
        </is>
      </c>
      <c r="H4150" t="inlineStr">
        <is>
          <t>IO</t>
        </is>
      </c>
      <c r="J4150" t="inlineStr">
        <is>
          <t>MATRION</t>
        </is>
      </c>
      <c r="K4150" t="inlineStr">
        <is>
          <t>CUIVRE</t>
        </is>
      </c>
      <c r="L4150">
        <f>_xlfn.XLOOKUP(Tableau1[[#This Row],[TYPE DE PIECE]],Tableau4[MATIERE],Tableau4[SHORT TYPE],"",0,1)</f>
        <v/>
      </c>
      <c r="N4150">
        <f>IF(ISERR(FIND("DECOUPE",Tableau1[[#This Row],[DESIGNATION]])),"","NEED REF")</f>
        <v/>
      </c>
    </row>
    <row r="4151">
      <c r="B4151" t="n">
        <v>34409854</v>
      </c>
      <c r="C4151" s="2" t="n">
        <v>44484</v>
      </c>
      <c r="D4151" t="inlineStr">
        <is>
          <t>SPEC</t>
        </is>
      </c>
      <c r="E4151" t="inlineStr">
        <is>
          <t>COP PLAGE PONTAGE BAT1</t>
        </is>
      </c>
      <c r="F4151" t="inlineStr">
        <is>
          <t>INTERXION</t>
        </is>
      </c>
      <c r="G4151" t="inlineStr">
        <is>
          <t>GVX</t>
        </is>
      </c>
      <c r="H4151" t="inlineStr">
        <is>
          <t>IO</t>
        </is>
      </c>
      <c r="J4151" t="inlineStr">
        <is>
          <t>MATRION</t>
        </is>
      </c>
      <c r="K4151" t="inlineStr">
        <is>
          <t>CUIVRE</t>
        </is>
      </c>
      <c r="L4151">
        <f>_xlfn.XLOOKUP(Tableau1[[#This Row],[TYPE DE PIECE]],Tableau4[MATIERE],Tableau4[SHORT TYPE],"",0,1)</f>
        <v/>
      </c>
      <c r="N4151">
        <f>IF(ISERR(FIND("DECOUPE",Tableau1[[#This Row],[DESIGNATION]])),"","NEED REF")</f>
        <v/>
      </c>
    </row>
    <row r="4152">
      <c r="B4152" t="n">
        <v>34409853</v>
      </c>
      <c r="C4152" s="2" t="n">
        <v>44484</v>
      </c>
      <c r="D4152" t="inlineStr">
        <is>
          <t>SPEC</t>
        </is>
      </c>
      <c r="E4152" t="inlineStr">
        <is>
          <t>SMT SUPPORT BAS LINERGY</t>
        </is>
      </c>
      <c r="F4152" t="inlineStr">
        <is>
          <t>ARAMCO</t>
        </is>
      </c>
      <c r="G4152" t="inlineStr">
        <is>
          <t>GVX</t>
        </is>
      </c>
      <c r="H4152" t="inlineStr">
        <is>
          <t>BYPASS</t>
        </is>
      </c>
      <c r="J4152" t="inlineStr">
        <is>
          <t>JAWORSKI</t>
        </is>
      </c>
      <c r="K4152" t="inlineStr">
        <is>
          <t>METAL</t>
        </is>
      </c>
      <c r="L4152">
        <f>_xlfn.XLOOKUP(Tableau1[[#This Row],[TYPE DE PIECE]],Tableau4[MATIERE],Tableau4[SHORT TYPE],"",0,1)</f>
        <v/>
      </c>
      <c r="N4152">
        <f>IF(ISERR(FIND("DECOUPE",Tableau1[[#This Row],[DESIGNATION]])),"","NEED REF")</f>
        <v/>
      </c>
    </row>
    <row r="4153">
      <c r="B4153" t="n">
        <v>34409852</v>
      </c>
      <c r="C4153" s="2" t="n">
        <v>44482</v>
      </c>
      <c r="D4153" t="inlineStr">
        <is>
          <t>SPEC</t>
        </is>
      </c>
      <c r="E4153" t="inlineStr">
        <is>
          <t>PLA PLAQUE DE PROTECTION CONTACT</t>
        </is>
      </c>
      <c r="G4153" t="inlineStr">
        <is>
          <t>PDPMQ</t>
        </is>
      </c>
      <c r="J4153" t="inlineStr">
        <is>
          <t>BERNARDEAU</t>
        </is>
      </c>
      <c r="K4153" t="inlineStr">
        <is>
          <t>PLASTIQUE</t>
        </is>
      </c>
      <c r="L4153">
        <f>_xlfn.XLOOKUP(Tableau1[[#This Row],[TYPE DE PIECE]],Tableau4[MATIERE],Tableau4[SHORT TYPE],"",0,1)</f>
        <v/>
      </c>
      <c r="N4153">
        <f>IF(ISERR(FIND("DECOUPE",Tableau1[[#This Row],[DESIGNATION]])),"","NEED REF")</f>
        <v/>
      </c>
    </row>
    <row r="4154">
      <c r="B4154" t="n">
        <v>34409851</v>
      </c>
      <c r="C4154" s="2" t="n">
        <v>44482</v>
      </c>
      <c r="D4154" t="inlineStr">
        <is>
          <t>SPEC</t>
        </is>
      </c>
      <c r="E4154" t="inlineStr">
        <is>
          <t>PLAN DE DECOUPE RAIL DIN</t>
        </is>
      </c>
      <c r="G4154" t="inlineStr">
        <is>
          <t>PDPMQ</t>
        </is>
      </c>
      <c r="J4154" t="inlineStr">
        <is>
          <t>BERNARDEAU</t>
        </is>
      </c>
      <c r="K4154" t="inlineStr">
        <is>
          <t>ETO</t>
        </is>
      </c>
      <c r="L4154">
        <f>_xlfn.XLOOKUP(Tableau1[[#This Row],[TYPE DE PIECE]],Tableau4[MATIERE],Tableau4[SHORT TYPE],"",0,1)</f>
        <v/>
      </c>
      <c r="N4154">
        <f>IF(ISERR(FIND("DECOUPE",Tableau1[[#This Row],[DESIGNATION]])),"","NEED REF")</f>
        <v/>
      </c>
    </row>
    <row r="4155">
      <c r="B4155" t="n">
        <v>34409850</v>
      </c>
      <c r="C4155" s="2" t="n">
        <v>44480</v>
      </c>
      <c r="D4155" t="inlineStr">
        <is>
          <t>SPEC</t>
        </is>
      </c>
      <c r="E4155" t="inlineStr">
        <is>
          <t>SMT PLASTRON BAS</t>
        </is>
      </c>
      <c r="G4155" t="inlineStr">
        <is>
          <t>PDPMQ</t>
        </is>
      </c>
      <c r="J4155" t="inlineStr">
        <is>
          <t>BERNARDEAU</t>
        </is>
      </c>
      <c r="K4155" t="inlineStr">
        <is>
          <t>METAL</t>
        </is>
      </c>
      <c r="L4155">
        <f>_xlfn.XLOOKUP(Tableau1[[#This Row],[TYPE DE PIECE]],Tableau4[MATIERE],Tableau4[SHORT TYPE],"",0,1)</f>
        <v/>
      </c>
      <c r="N4155">
        <f>IF(ISERR(FIND("DECOUPE",Tableau1[[#This Row],[DESIGNATION]])),"","NEED REF")</f>
        <v/>
      </c>
    </row>
    <row r="4156">
      <c r="B4156" t="n">
        <v>34409849</v>
      </c>
      <c r="C4156" s="2" t="n">
        <v>44480</v>
      </c>
      <c r="D4156" t="inlineStr">
        <is>
          <t>SPEC</t>
        </is>
      </c>
      <c r="E4156" t="inlineStr">
        <is>
          <t>SMT PLASTRON HAUT</t>
        </is>
      </c>
      <c r="G4156" t="inlineStr">
        <is>
          <t>PDPMQ</t>
        </is>
      </c>
      <c r="J4156" t="inlineStr">
        <is>
          <t>BERNARDEAU</t>
        </is>
      </c>
      <c r="K4156" t="inlineStr">
        <is>
          <t>METAL</t>
        </is>
      </c>
      <c r="L4156">
        <f>_xlfn.XLOOKUP(Tableau1[[#This Row],[TYPE DE PIECE]],Tableau4[MATIERE],Tableau4[SHORT TYPE],"",0,1)</f>
        <v/>
      </c>
      <c r="N4156">
        <f>IF(ISERR(FIND("DECOUPE",Tableau1[[#This Row],[DESIGNATION]])),"","NEED REF")</f>
        <v/>
      </c>
    </row>
    <row r="4157">
      <c r="B4157" t="n">
        <v>34409848</v>
      </c>
      <c r="C4157" s="2" t="n">
        <v>44480</v>
      </c>
      <c r="D4157" t="inlineStr">
        <is>
          <t>SPEC</t>
        </is>
      </c>
      <c r="E4157" t="inlineStr">
        <is>
          <t>SMT MONTANT 2 CHASSIS PDPM</t>
        </is>
      </c>
      <c r="G4157" t="inlineStr">
        <is>
          <t>PDPMQ</t>
        </is>
      </c>
      <c r="J4157" t="inlineStr">
        <is>
          <t>BERNARDEAU</t>
        </is>
      </c>
      <c r="K4157" t="inlineStr">
        <is>
          <t>METAL</t>
        </is>
      </c>
      <c r="L4157">
        <f>_xlfn.XLOOKUP(Tableau1[[#This Row],[TYPE DE PIECE]],Tableau4[MATIERE],Tableau4[SHORT TYPE],"",0,1)</f>
        <v/>
      </c>
      <c r="N4157">
        <f>IF(ISERR(FIND("DECOUPE",Tableau1[[#This Row],[DESIGNATION]])),"","NEED REF")</f>
        <v/>
      </c>
    </row>
    <row r="4158">
      <c r="B4158" t="n">
        <v>34409847</v>
      </c>
      <c r="C4158" s="2" t="n">
        <v>44480</v>
      </c>
      <c r="D4158" t="inlineStr">
        <is>
          <t>SPEC</t>
        </is>
      </c>
      <c r="E4158" t="inlineStr">
        <is>
          <t>SMT MONTANT 1 CHASSIS PDPM</t>
        </is>
      </c>
      <c r="G4158" t="inlineStr">
        <is>
          <t>PDPMQ</t>
        </is>
      </c>
      <c r="J4158" t="inlineStr">
        <is>
          <t>BERNARDEAU</t>
        </is>
      </c>
      <c r="K4158" t="inlineStr">
        <is>
          <t>METAL</t>
        </is>
      </c>
      <c r="L4158">
        <f>_xlfn.XLOOKUP(Tableau1[[#This Row],[TYPE DE PIECE]],Tableau4[MATIERE],Tableau4[SHORT TYPE],"",0,1)</f>
        <v/>
      </c>
      <c r="N4158">
        <f>IF(ISERR(FIND("DECOUPE",Tableau1[[#This Row],[DESIGNATION]])),"","NEED REF")</f>
        <v/>
      </c>
    </row>
    <row r="4159">
      <c r="B4159" t="n">
        <v>34409846</v>
      </c>
      <c r="C4159" s="2" t="n">
        <v>44480</v>
      </c>
      <c r="D4159" t="inlineStr">
        <is>
          <t>SPEC</t>
        </is>
      </c>
      <c r="E4159" t="inlineStr">
        <is>
          <t>ENS_CHASSIS NSX400 + FU POUR PDPMQ RC_BAS</t>
        </is>
      </c>
      <c r="G4159" t="inlineStr">
        <is>
          <t>PDPMQ</t>
        </is>
      </c>
      <c r="J4159" t="inlineStr">
        <is>
          <t>BERNARDEAU</t>
        </is>
      </c>
      <c r="L4159">
        <f>_xlfn.XLOOKUP(Tableau1[[#This Row],[TYPE DE PIECE]],Tableau4[MATIERE],Tableau4[SHORT TYPE],"",0,1)</f>
        <v/>
      </c>
      <c r="N4159">
        <f>IF(ISERR(FIND("DECOUPE",Tableau1[[#This Row],[DESIGNATION]])),"","NEED REF")</f>
        <v/>
      </c>
    </row>
    <row r="4160">
      <c r="B4160" t="n">
        <v>34409845</v>
      </c>
      <c r="C4160" s="2" t="n">
        <v>44480</v>
      </c>
      <c r="D4160" t="inlineStr">
        <is>
          <t>SPEC</t>
        </is>
      </c>
      <c r="E4160" t="inlineStr">
        <is>
          <t>ENS_CHASSIS NSX400 + FU POUR PDPMQ RC_HAUT</t>
        </is>
      </c>
      <c r="G4160" t="inlineStr">
        <is>
          <t>PDPMQ</t>
        </is>
      </c>
      <c r="J4160" t="inlineStr">
        <is>
          <t>BERNARDEAU</t>
        </is>
      </c>
      <c r="L4160">
        <f>_xlfn.XLOOKUP(Tableau1[[#This Row],[TYPE DE PIECE]],Tableau4[MATIERE],Tableau4[SHORT TYPE],"",0,1)</f>
        <v/>
      </c>
      <c r="N4160">
        <f>IF(ISERR(FIND("DECOUPE",Tableau1[[#This Row],[DESIGNATION]])),"","NEED REF")</f>
        <v/>
      </c>
    </row>
    <row r="4161">
      <c r="B4161" t="n">
        <v>34409844</v>
      </c>
      <c r="C4161" s="2" t="n">
        <v>44476</v>
      </c>
      <c r="D4161" t="inlineStr">
        <is>
          <t>SPEC</t>
        </is>
      </c>
      <c r="E4161" t="inlineStr">
        <is>
          <t>COP LIAISON NSX400 LINERGY N</t>
        </is>
      </c>
      <c r="G4161" t="inlineStr">
        <is>
          <t>GVS</t>
        </is>
      </c>
      <c r="H4161" t="inlineStr">
        <is>
          <t>BYPASS</t>
        </is>
      </c>
      <c r="J4161" t="inlineStr">
        <is>
          <t>MATRION</t>
        </is>
      </c>
      <c r="K4161" t="inlineStr">
        <is>
          <t>CUIVRE</t>
        </is>
      </c>
      <c r="L4161">
        <f>_xlfn.XLOOKUP(Tableau1[[#This Row],[TYPE DE PIECE]],Tableau4[MATIERE],Tableau4[SHORT TYPE],"",0,1)</f>
        <v/>
      </c>
      <c r="N4161">
        <f>IF(ISERR(FIND("DECOUPE",Tableau1[[#This Row],[DESIGNATION]])),"","NEED REF")</f>
        <v/>
      </c>
    </row>
    <row r="4162">
      <c r="B4162" t="n">
        <v>34409843</v>
      </c>
      <c r="C4162" s="2" t="n">
        <v>44476</v>
      </c>
      <c r="D4162" t="inlineStr">
        <is>
          <t>SPEC</t>
        </is>
      </c>
      <c r="E4162" t="inlineStr">
        <is>
          <t>COP LIAISON NSX400 LINERGY L1</t>
        </is>
      </c>
      <c r="G4162" t="inlineStr">
        <is>
          <t>GVS</t>
        </is>
      </c>
      <c r="H4162" t="inlineStr">
        <is>
          <t>BYPASS</t>
        </is>
      </c>
      <c r="J4162" t="inlineStr">
        <is>
          <t>MATRION</t>
        </is>
      </c>
      <c r="K4162" t="inlineStr">
        <is>
          <t>CUIVRE</t>
        </is>
      </c>
      <c r="L4162">
        <f>_xlfn.XLOOKUP(Tableau1[[#This Row],[TYPE DE PIECE]],Tableau4[MATIERE],Tableau4[SHORT TYPE],"",0,1)</f>
        <v/>
      </c>
      <c r="N4162">
        <f>IF(ISERR(FIND("DECOUPE",Tableau1[[#This Row],[DESIGNATION]])),"","NEED REF")</f>
        <v/>
      </c>
    </row>
    <row r="4163">
      <c r="B4163" t="n">
        <v>34409842</v>
      </c>
      <c r="C4163" s="2" t="n">
        <v>44476</v>
      </c>
      <c r="D4163" t="inlineStr">
        <is>
          <t>SPEC</t>
        </is>
      </c>
      <c r="E4163" t="inlineStr">
        <is>
          <t>COP LIAISON NSX400 LINERGY L2</t>
        </is>
      </c>
      <c r="G4163" t="inlineStr">
        <is>
          <t>GVS</t>
        </is>
      </c>
      <c r="H4163" t="inlineStr">
        <is>
          <t>BYPASS</t>
        </is>
      </c>
      <c r="J4163" t="inlineStr">
        <is>
          <t>MATRION</t>
        </is>
      </c>
      <c r="K4163" t="inlineStr">
        <is>
          <t>CUIVRE</t>
        </is>
      </c>
      <c r="L4163">
        <f>_xlfn.XLOOKUP(Tableau1[[#This Row],[TYPE DE PIECE]],Tableau4[MATIERE],Tableau4[SHORT TYPE],"",0,1)</f>
        <v/>
      </c>
      <c r="N4163">
        <f>IF(ISERR(FIND("DECOUPE",Tableau1[[#This Row],[DESIGNATION]])),"","NEED REF")</f>
        <v/>
      </c>
    </row>
    <row r="4164">
      <c r="B4164" t="n">
        <v>34409841</v>
      </c>
      <c r="C4164" s="2" t="n">
        <v>44476</v>
      </c>
      <c r="D4164" t="inlineStr">
        <is>
          <t>SPEC</t>
        </is>
      </c>
      <c r="E4164" t="inlineStr">
        <is>
          <t>COP LIAISON NSX400 LINERGY L3</t>
        </is>
      </c>
      <c r="G4164" t="inlineStr">
        <is>
          <t>GVS</t>
        </is>
      </c>
      <c r="H4164" t="inlineStr">
        <is>
          <t>BYPASS</t>
        </is>
      </c>
      <c r="J4164" t="inlineStr">
        <is>
          <t>MATRION</t>
        </is>
      </c>
      <c r="K4164" t="inlineStr">
        <is>
          <t>CUIVRE</t>
        </is>
      </c>
      <c r="L4164">
        <f>_xlfn.XLOOKUP(Tableau1[[#This Row],[TYPE DE PIECE]],Tableau4[MATIERE],Tableau4[SHORT TYPE],"",0,1)</f>
        <v/>
      </c>
      <c r="N4164">
        <f>IF(ISERR(FIND("DECOUPE",Tableau1[[#This Row],[DESIGNATION]])),"","NEED REF")</f>
        <v/>
      </c>
    </row>
    <row r="4165">
      <c r="B4165" t="n">
        <v>34409840</v>
      </c>
      <c r="C4165" s="2" t="n">
        <v>44475</v>
      </c>
      <c r="D4165" t="inlineStr">
        <is>
          <t>SPEC</t>
        </is>
      </c>
      <c r="E4165" t="inlineStr">
        <is>
          <t>SMT TOIT ALU 400x600</t>
        </is>
      </c>
      <c r="F4165" t="inlineStr">
        <is>
          <t>SCHNEIDER ELECTRIC GERMANY</t>
        </is>
      </c>
      <c r="G4165" t="inlineStr">
        <is>
          <t>SYMMETRA PX</t>
        </is>
      </c>
      <c r="H4165" t="inlineStr">
        <is>
          <t>BYPASS</t>
        </is>
      </c>
      <c r="J4165" t="inlineStr">
        <is>
          <t>MATRION</t>
        </is>
      </c>
      <c r="K4165" t="inlineStr">
        <is>
          <t>METAL</t>
        </is>
      </c>
      <c r="L4165">
        <f>_xlfn.XLOOKUP(Tableau1[[#This Row],[TYPE DE PIECE]],Tableau4[MATIERE],Tableau4[SHORT TYPE],"",0,1)</f>
        <v/>
      </c>
      <c r="N4165">
        <f>IF(ISERR(FIND("DECOUPE",Tableau1[[#This Row],[DESIGNATION]])),"","NEED REF")</f>
        <v/>
      </c>
    </row>
    <row r="4166">
      <c r="B4166" t="n">
        <v>34409839</v>
      </c>
      <c r="C4166" s="2" t="n">
        <v>44475</v>
      </c>
      <c r="D4166" t="inlineStr">
        <is>
          <t>SPEC</t>
        </is>
      </c>
      <c r="E4166" t="inlineStr">
        <is>
          <t>SMT TOIT ALU 800x600</t>
        </is>
      </c>
      <c r="F4166" t="inlineStr">
        <is>
          <t>SCHNEIDER ELECTRIC GERMANY</t>
        </is>
      </c>
      <c r="G4166" t="inlineStr">
        <is>
          <t>SYMMETRA PX</t>
        </is>
      </c>
      <c r="H4166" t="inlineStr">
        <is>
          <t>BYPASS</t>
        </is>
      </c>
      <c r="J4166" t="inlineStr">
        <is>
          <t>MATRION</t>
        </is>
      </c>
      <c r="K4166" t="inlineStr">
        <is>
          <t>METAL</t>
        </is>
      </c>
      <c r="L4166">
        <f>_xlfn.XLOOKUP(Tableau1[[#This Row],[TYPE DE PIECE]],Tableau4[MATIERE],Tableau4[SHORT TYPE],"",0,1)</f>
        <v/>
      </c>
      <c r="N4166">
        <f>IF(ISERR(FIND("DECOUPE",Tableau1[[#This Row],[DESIGNATION]])),"","NEED REF")</f>
        <v/>
      </c>
    </row>
    <row r="4167">
      <c r="B4167" t="n">
        <v>34409838</v>
      </c>
      <c r="C4167" s="2" t="n">
        <v>44475</v>
      </c>
      <c r="D4167" t="inlineStr">
        <is>
          <t>SPEC</t>
        </is>
      </c>
      <c r="E4167" t="inlineStr">
        <is>
          <t>SMT SUPPORT IC60+BORNIER</t>
        </is>
      </c>
      <c r="F4167" t="inlineStr">
        <is>
          <t>SCHNEIDER ELECTRIC GERMANY</t>
        </is>
      </c>
      <c r="G4167" t="inlineStr">
        <is>
          <t>SYMMETRA PX</t>
        </is>
      </c>
      <c r="H4167" t="inlineStr">
        <is>
          <t>BYPASS</t>
        </is>
      </c>
      <c r="J4167" t="inlineStr">
        <is>
          <t>MATRION</t>
        </is>
      </c>
      <c r="K4167" t="inlineStr">
        <is>
          <t>METAL</t>
        </is>
      </c>
      <c r="L4167">
        <f>_xlfn.XLOOKUP(Tableau1[[#This Row],[TYPE DE PIECE]],Tableau4[MATIERE],Tableau4[SHORT TYPE],"",0,1)</f>
        <v/>
      </c>
      <c r="N4167">
        <f>IF(ISERR(FIND("DECOUPE",Tableau1[[#This Row],[DESIGNATION]])),"","NEED REF")</f>
        <v/>
      </c>
    </row>
    <row r="4168">
      <c r="B4168" t="n">
        <v>34409837</v>
      </c>
      <c r="C4168" s="2" t="n">
        <v>44475</v>
      </c>
      <c r="D4168" t="inlineStr">
        <is>
          <t>SPEC</t>
        </is>
      </c>
      <c r="E4168" t="inlineStr">
        <is>
          <t>SPACIAL SF 800+400 H1800+R100</t>
        </is>
      </c>
      <c r="F4168" t="inlineStr">
        <is>
          <t>SCHNEIDER ELECTRIC GERMANY</t>
        </is>
      </c>
      <c r="G4168" t="inlineStr">
        <is>
          <t>SYMMETRA PX</t>
        </is>
      </c>
      <c r="H4168" t="inlineStr">
        <is>
          <t>BYPASS</t>
        </is>
      </c>
      <c r="J4168" t="inlineStr">
        <is>
          <t>MATRION</t>
        </is>
      </c>
      <c r="K4168" t="inlineStr">
        <is>
          <t>SAREL</t>
        </is>
      </c>
      <c r="L4168">
        <f>_xlfn.XLOOKUP(Tableau1[[#This Row],[TYPE DE PIECE]],Tableau4[MATIERE],Tableau4[SHORT TYPE],"",0,1)</f>
        <v/>
      </c>
      <c r="N4168">
        <f>IF(ISERR(FIND("DECOUPE",Tableau1[[#This Row],[DESIGNATION]])),"","NEED REF")</f>
        <v/>
      </c>
    </row>
    <row r="4169">
      <c r="B4169" t="n">
        <v>34409836</v>
      </c>
      <c r="C4169" s="2" t="n">
        <v>44474</v>
      </c>
      <c r="D4169" t="inlineStr">
        <is>
          <t>SPEC</t>
        </is>
      </c>
      <c r="E4169" t="inlineStr">
        <is>
          <t>NSX400H micro 2.3 4P 4d</t>
        </is>
      </c>
      <c r="F4169" t="inlineStr">
        <is>
          <t>SCHNEIDER ELECTRIC GERMANY</t>
        </is>
      </c>
      <c r="G4169" t="inlineStr">
        <is>
          <t>SYMMETRA PX</t>
        </is>
      </c>
      <c r="H4169" t="inlineStr">
        <is>
          <t>BYPASS</t>
        </is>
      </c>
      <c r="J4169" t="inlineStr">
        <is>
          <t>JAWORSKI</t>
        </is>
      </c>
      <c r="K4169" t="inlineStr">
        <is>
          <t>=S=</t>
        </is>
      </c>
      <c r="L4169">
        <f>_xlfn.XLOOKUP(Tableau1[[#This Row],[TYPE DE PIECE]],Tableau4[MATIERE],Tableau4[SHORT TYPE],"",0,1)</f>
        <v/>
      </c>
      <c r="N4169">
        <f>IF(ISERR(FIND("DECOUPE",Tableau1[[#This Row],[DESIGNATION]])),"","NEED REF")</f>
        <v/>
      </c>
    </row>
    <row r="4170">
      <c r="B4170" t="n">
        <v>34409835</v>
      </c>
      <c r="C4170" s="2" t="n">
        <v>44474</v>
      </c>
      <c r="D4170" t="inlineStr">
        <is>
          <t>SPEC</t>
        </is>
      </c>
      <c r="E4170" t="inlineStr">
        <is>
          <t>NSX400NA 4P + MX24DC</t>
        </is>
      </c>
      <c r="F4170" t="inlineStr">
        <is>
          <t>SCHNEIDER ELECTRIC GERMANY</t>
        </is>
      </c>
      <c r="G4170" t="inlineStr">
        <is>
          <t>SYMMETRA PX</t>
        </is>
      </c>
      <c r="H4170" t="inlineStr">
        <is>
          <t>BYPASS</t>
        </is>
      </c>
      <c r="J4170" t="inlineStr">
        <is>
          <t>JAWORSKI</t>
        </is>
      </c>
      <c r="K4170" t="inlineStr">
        <is>
          <t>=S=</t>
        </is>
      </c>
      <c r="L4170">
        <f>_xlfn.XLOOKUP(Tableau1[[#This Row],[TYPE DE PIECE]],Tableau4[MATIERE],Tableau4[SHORT TYPE],"",0,1)</f>
        <v/>
      </c>
      <c r="N4170">
        <f>IF(ISERR(FIND("DECOUPE",Tableau1[[#This Row],[DESIGNATION]])),"","NEED REF")</f>
        <v/>
      </c>
    </row>
    <row r="4171">
      <c r="B4171" t="n">
        <v>34409834</v>
      </c>
      <c r="C4171" s="2" t="n">
        <v>44474</v>
      </c>
      <c r="D4171" t="inlineStr">
        <is>
          <t>SPEC</t>
        </is>
      </c>
      <c r="E4171" t="inlineStr">
        <is>
          <t xml:space="preserve">NSX630H micro 2.3 4P 4d </t>
        </is>
      </c>
      <c r="F4171" t="inlineStr">
        <is>
          <t>SCHNEIDER ELECTRIC GERMANY</t>
        </is>
      </c>
      <c r="G4171" t="inlineStr">
        <is>
          <t>SYMMETRA PX</t>
        </is>
      </c>
      <c r="H4171" t="inlineStr">
        <is>
          <t>BYPASS</t>
        </is>
      </c>
      <c r="J4171" t="inlineStr">
        <is>
          <t>JAWORSKI</t>
        </is>
      </c>
      <c r="K4171" t="inlineStr">
        <is>
          <t>=S=</t>
        </is>
      </c>
      <c r="L4171">
        <f>_xlfn.XLOOKUP(Tableau1[[#This Row],[TYPE DE PIECE]],Tableau4[MATIERE],Tableau4[SHORT TYPE],"",0,1)</f>
        <v/>
      </c>
      <c r="N4171">
        <f>IF(ISERR(FIND("DECOUPE",Tableau1[[#This Row],[DESIGNATION]])),"","NEED REF")</f>
        <v/>
      </c>
    </row>
    <row r="4172">
      <c r="B4172" t="n">
        <v>34409833</v>
      </c>
      <c r="C4172" s="2" t="n">
        <v>44474</v>
      </c>
      <c r="D4172" t="inlineStr">
        <is>
          <t>SPEC</t>
        </is>
      </c>
      <c r="E4172" t="inlineStr">
        <is>
          <t>KIT CABLE DE PUISSANCE</t>
        </is>
      </c>
      <c r="G4172" t="inlineStr">
        <is>
          <t>PDPMQ</t>
        </is>
      </c>
      <c r="J4172" t="inlineStr">
        <is>
          <t>BERNARDEAU</t>
        </is>
      </c>
      <c r="L4172">
        <f>_xlfn.XLOOKUP(Tableau1[[#This Row],[TYPE DE PIECE]],Tableau4[MATIERE],Tableau4[SHORT TYPE],"",0,1)</f>
        <v/>
      </c>
      <c r="N4172">
        <f>IF(ISERR(FIND("DECOUPE",Tableau1[[#This Row],[DESIGNATION]])),"","NEED REF")</f>
        <v/>
      </c>
    </row>
    <row r="4173">
      <c r="B4173" t="n">
        <v>34409832</v>
      </c>
      <c r="C4173" s="2" t="n">
        <v>44474</v>
      </c>
      <c r="D4173" t="inlineStr">
        <is>
          <t>SPEC</t>
        </is>
      </c>
      <c r="E4173" t="inlineStr">
        <is>
          <t>SMT SUPPORT MODULE ELEC</t>
        </is>
      </c>
      <c r="H4173" t="inlineStr">
        <is>
          <t>STS</t>
        </is>
      </c>
      <c r="J4173" t="inlineStr">
        <is>
          <t>BERNARDEAU</t>
        </is>
      </c>
      <c r="K4173" t="inlineStr">
        <is>
          <t>METAL</t>
        </is>
      </c>
      <c r="L4173">
        <f>_xlfn.XLOOKUP(Tableau1[[#This Row],[TYPE DE PIECE]],Tableau4[MATIERE],Tableau4[SHORT TYPE],"",0,1)</f>
        <v/>
      </c>
      <c r="N4173">
        <f>IF(ISERR(FIND("DECOUPE",Tableau1[[#This Row],[DESIGNATION]])),"","NEED REF")</f>
        <v/>
      </c>
    </row>
    <row r="4174">
      <c r="B4174" t="n">
        <v>34409831</v>
      </c>
      <c r="C4174" s="2" t="n">
        <v>44474</v>
      </c>
      <c r="D4174" t="inlineStr">
        <is>
          <t>SPEC</t>
        </is>
      </c>
      <c r="E4174" t="inlineStr">
        <is>
          <t>ENSEMBLE MODULE ELEC</t>
        </is>
      </c>
      <c r="H4174" t="inlineStr">
        <is>
          <t>STS</t>
        </is>
      </c>
      <c r="J4174" t="inlineStr">
        <is>
          <t>BERNARDEAU</t>
        </is>
      </c>
      <c r="L4174">
        <f>_xlfn.XLOOKUP(Tableau1[[#This Row],[TYPE DE PIECE]],Tableau4[MATIERE],Tableau4[SHORT TYPE],"",0,1)</f>
        <v/>
      </c>
      <c r="N4174">
        <f>IF(ISERR(FIND("DECOUPE",Tableau1[[#This Row],[DESIGNATION]])),"","NEED REF")</f>
        <v/>
      </c>
    </row>
    <row r="4175">
      <c r="B4175" t="n">
        <v>34409830</v>
      </c>
      <c r="C4175" s="2" t="n">
        <v>44474</v>
      </c>
      <c r="D4175" t="inlineStr">
        <is>
          <t>SPEC</t>
        </is>
      </c>
      <c r="E4175" t="inlineStr">
        <is>
          <t>SMT PLASTRON PLEIN</t>
        </is>
      </c>
      <c r="F4175" t="inlineStr">
        <is>
          <t>SCHNEIDER ELECTRIC GERMANY</t>
        </is>
      </c>
      <c r="G4175" t="inlineStr">
        <is>
          <t>SYMMETRA PX</t>
        </is>
      </c>
      <c r="H4175" t="inlineStr">
        <is>
          <t>BYPASS</t>
        </is>
      </c>
      <c r="J4175" t="inlineStr">
        <is>
          <t>MATRION</t>
        </is>
      </c>
      <c r="K4175" t="inlineStr">
        <is>
          <t>METAL</t>
        </is>
      </c>
      <c r="L4175">
        <f>_xlfn.XLOOKUP(Tableau1[[#This Row],[TYPE DE PIECE]],Tableau4[MATIERE],Tableau4[SHORT TYPE],"",0,1)</f>
        <v/>
      </c>
      <c r="N4175">
        <f>IF(ISERR(FIND("DECOUPE",Tableau1[[#This Row],[DESIGNATION]])),"","NEED REF")</f>
        <v/>
      </c>
    </row>
    <row r="4176">
      <c r="B4176" t="n">
        <v>34409829</v>
      </c>
      <c r="C4176" s="2" t="n">
        <v>44474</v>
      </c>
      <c r="D4176" t="inlineStr">
        <is>
          <t>SPEC</t>
        </is>
      </c>
      <c r="E4176" t="inlineStr">
        <is>
          <t>SMT SUPPORT PLASTRON</t>
        </is>
      </c>
      <c r="F4176" t="inlineStr">
        <is>
          <t>SCHNEIDER ELECTRIC GERMANY</t>
        </is>
      </c>
      <c r="G4176" t="inlineStr">
        <is>
          <t>SYMMETRA PX</t>
        </is>
      </c>
      <c r="H4176" t="inlineStr">
        <is>
          <t>BYPASS</t>
        </is>
      </c>
      <c r="J4176" t="inlineStr">
        <is>
          <t>MATRION</t>
        </is>
      </c>
      <c r="K4176" t="inlineStr">
        <is>
          <t>METAL</t>
        </is>
      </c>
      <c r="L4176">
        <f>_xlfn.XLOOKUP(Tableau1[[#This Row],[TYPE DE PIECE]],Tableau4[MATIERE],Tableau4[SHORT TYPE],"",0,1)</f>
        <v/>
      </c>
      <c r="N4176">
        <f>IF(ISERR(FIND("DECOUPE",Tableau1[[#This Row],[DESIGNATION]])),"","NEED REF")</f>
        <v/>
      </c>
    </row>
    <row r="4177">
      <c r="B4177" t="n">
        <v>34409828</v>
      </c>
      <c r="C4177" s="2" t="n">
        <v>44474</v>
      </c>
      <c r="D4177" t="inlineStr">
        <is>
          <t>SPEC</t>
        </is>
      </c>
      <c r="E4177" t="inlineStr">
        <is>
          <t>SMT PLASTRON HAUT / BORNIER</t>
        </is>
      </c>
      <c r="F4177" t="inlineStr">
        <is>
          <t>SCHNEIDER ELECTRIC GERMANY</t>
        </is>
      </c>
      <c r="G4177" t="inlineStr">
        <is>
          <t>SYMMETRA PX</t>
        </is>
      </c>
      <c r="H4177" t="inlineStr">
        <is>
          <t>BYPASS</t>
        </is>
      </c>
      <c r="J4177" t="inlineStr">
        <is>
          <t>MATRION</t>
        </is>
      </c>
      <c r="K4177" t="inlineStr">
        <is>
          <t>METAL</t>
        </is>
      </c>
      <c r="L4177">
        <f>_xlfn.XLOOKUP(Tableau1[[#This Row],[TYPE DE PIECE]],Tableau4[MATIERE],Tableau4[SHORT TYPE],"",0,1)</f>
        <v/>
      </c>
      <c r="N4177">
        <f>IF(ISERR(FIND("DECOUPE",Tableau1[[#This Row],[DESIGNATION]])),"","NEED REF")</f>
        <v/>
      </c>
    </row>
    <row r="4178">
      <c r="B4178" t="n">
        <v>34409827</v>
      </c>
      <c r="C4178" s="2" t="n">
        <v>44474</v>
      </c>
      <c r="D4178" t="inlineStr">
        <is>
          <t>SPEC</t>
        </is>
      </c>
      <c r="E4178" t="inlineStr">
        <is>
          <t>SMT PLASTRON INTER</t>
        </is>
      </c>
      <c r="F4178" t="inlineStr">
        <is>
          <t>SCHNEIDER ELECTRIC GERMANY</t>
        </is>
      </c>
      <c r="G4178" t="inlineStr">
        <is>
          <t>SYMMETRA PX</t>
        </is>
      </c>
      <c r="H4178" t="inlineStr">
        <is>
          <t>BYPASS</t>
        </is>
      </c>
      <c r="J4178" t="inlineStr">
        <is>
          <t>MATRION</t>
        </is>
      </c>
      <c r="K4178" t="inlineStr">
        <is>
          <t>METAL</t>
        </is>
      </c>
      <c r="L4178">
        <f>_xlfn.XLOOKUP(Tableau1[[#This Row],[TYPE DE PIECE]],Tableau4[MATIERE],Tableau4[SHORT TYPE],"",0,1)</f>
        <v/>
      </c>
      <c r="N4178">
        <f>IF(ISERR(FIND("DECOUPE",Tableau1[[#This Row],[DESIGNATION]])),"","NEED REF")</f>
        <v/>
      </c>
    </row>
    <row r="4179">
      <c r="B4179" t="n">
        <v>34409826</v>
      </c>
      <c r="C4179" s="2" t="n">
        <v>44474</v>
      </c>
      <c r="D4179" t="inlineStr">
        <is>
          <t>SPEC</t>
        </is>
      </c>
      <c r="E4179" t="inlineStr">
        <is>
          <t>SMT PLASTRON INTER + VOYANT</t>
        </is>
      </c>
      <c r="F4179" t="inlineStr">
        <is>
          <t>SCHNEIDER ELECTRIC GERMANY</t>
        </is>
      </c>
      <c r="G4179" t="inlineStr">
        <is>
          <t>SYMMETRA PX</t>
        </is>
      </c>
      <c r="H4179" t="inlineStr">
        <is>
          <t>BYPASS</t>
        </is>
      </c>
      <c r="J4179" t="inlineStr">
        <is>
          <t>MATRION</t>
        </is>
      </c>
      <c r="K4179" t="inlineStr">
        <is>
          <t>METAL</t>
        </is>
      </c>
      <c r="L4179">
        <f>_xlfn.XLOOKUP(Tableau1[[#This Row],[TYPE DE PIECE]],Tableau4[MATIERE],Tableau4[SHORT TYPE],"",0,1)</f>
        <v/>
      </c>
      <c r="N4179">
        <f>IF(ISERR(FIND("DECOUPE",Tableau1[[#This Row],[DESIGNATION]])),"","NEED REF")</f>
        <v/>
      </c>
    </row>
    <row r="4180">
      <c r="B4180" t="n">
        <v>34409825</v>
      </c>
      <c r="C4180" s="2" t="n">
        <v>44474</v>
      </c>
      <c r="D4180" t="inlineStr">
        <is>
          <t>SPEC</t>
        </is>
      </c>
      <c r="E4180" t="inlineStr">
        <is>
          <t>SMT PLASTRON BAS</t>
        </is>
      </c>
      <c r="F4180" t="inlineStr">
        <is>
          <t>SCHNEIDER ELECTRIC GERMANY</t>
        </is>
      </c>
      <c r="G4180" t="inlineStr">
        <is>
          <t>SYMMETRA PX</t>
        </is>
      </c>
      <c r="H4180" t="inlineStr">
        <is>
          <t>BYPASS</t>
        </is>
      </c>
      <c r="J4180" t="inlineStr">
        <is>
          <t>MATRION</t>
        </is>
      </c>
      <c r="K4180" t="inlineStr">
        <is>
          <t>METAL</t>
        </is>
      </c>
      <c r="L4180">
        <f>_xlfn.XLOOKUP(Tableau1[[#This Row],[TYPE DE PIECE]],Tableau4[MATIERE],Tableau4[SHORT TYPE],"",0,1)</f>
        <v/>
      </c>
      <c r="N4180">
        <f>IF(ISERR(FIND("DECOUPE",Tableau1[[#This Row],[DESIGNATION]])),"","NEED REF")</f>
        <v/>
      </c>
    </row>
    <row r="4181">
      <c r="B4181" t="n">
        <v>34409824</v>
      </c>
      <c r="C4181" s="2" t="n">
        <v>44473</v>
      </c>
      <c r="D4181" t="inlineStr">
        <is>
          <t>SPEC</t>
        </is>
      </c>
      <c r="E4181" t="inlineStr">
        <is>
          <t>SMT PLASTRON GAINE 400</t>
        </is>
      </c>
      <c r="F4181" t="inlineStr">
        <is>
          <t>SCHNEIDER ELECTRIC GERMANY</t>
        </is>
      </c>
      <c r="G4181" t="inlineStr">
        <is>
          <t>SYMMETRA PX</t>
        </is>
      </c>
      <c r="H4181" t="inlineStr">
        <is>
          <t>BYPASS</t>
        </is>
      </c>
      <c r="J4181" t="inlineStr">
        <is>
          <t>JAWORSKI</t>
        </is>
      </c>
      <c r="K4181" t="inlineStr">
        <is>
          <t>METAL</t>
        </is>
      </c>
      <c r="L4181">
        <f>_xlfn.XLOOKUP(Tableau1[[#This Row],[TYPE DE PIECE]],Tableau4[MATIERE],Tableau4[SHORT TYPE],"",0,1)</f>
        <v/>
      </c>
      <c r="N4181">
        <f>IF(ISERR(FIND("DECOUPE",Tableau1[[#This Row],[DESIGNATION]])),"","NEED REF")</f>
        <v/>
      </c>
    </row>
    <row r="4182">
      <c r="B4182" t="n">
        <v>34409823</v>
      </c>
      <c r="C4182" s="2" t="n">
        <v>44473</v>
      </c>
      <c r="D4182" t="inlineStr">
        <is>
          <t>SPEC</t>
        </is>
      </c>
      <c r="E4182" t="inlineStr">
        <is>
          <t>SMT PLATINE SUPPORT ARRIERE</t>
        </is>
      </c>
      <c r="H4182" t="inlineStr">
        <is>
          <t>STS</t>
        </is>
      </c>
      <c r="J4182" t="inlineStr">
        <is>
          <t>BERNARDEAU</t>
        </is>
      </c>
      <c r="K4182" t="inlineStr">
        <is>
          <t>METAL</t>
        </is>
      </c>
      <c r="L4182">
        <f>_xlfn.XLOOKUP(Tableau1[[#This Row],[TYPE DE PIECE]],Tableau4[MATIERE],Tableau4[SHORT TYPE],"",0,1)</f>
        <v/>
      </c>
      <c r="N4182">
        <f>IF(ISERR(FIND("DECOUPE",Tableau1[[#This Row],[DESIGNATION]])),"","NEED REF")</f>
        <v/>
      </c>
    </row>
    <row r="4183">
      <c r="B4183" t="n">
        <v>34409822</v>
      </c>
      <c r="C4183" s="2" t="n">
        <v>44473</v>
      </c>
      <c r="D4183" t="inlineStr">
        <is>
          <t>SPEC</t>
        </is>
      </c>
      <c r="E4183" t="inlineStr">
        <is>
          <t>ENSEMBLE CONTACTEUR NEUTRE</t>
        </is>
      </c>
      <c r="H4183" t="inlineStr">
        <is>
          <t>STS</t>
        </is>
      </c>
      <c r="J4183" t="inlineStr">
        <is>
          <t>BERNARDEAU</t>
        </is>
      </c>
      <c r="L4183">
        <f>_xlfn.XLOOKUP(Tableau1[[#This Row],[TYPE DE PIECE]],Tableau4[MATIERE],Tableau4[SHORT TYPE],"",0,1)</f>
        <v/>
      </c>
      <c r="N4183">
        <f>IF(ISERR(FIND("DECOUPE",Tableau1[[#This Row],[DESIGNATION]])),"","NEED REF")</f>
        <v/>
      </c>
    </row>
    <row r="4184">
      <c r="B4184" t="n">
        <v>34409821</v>
      </c>
      <c r="C4184" s="2" t="n">
        <v>44473</v>
      </c>
      <c r="D4184" t="inlineStr">
        <is>
          <t>SPEC</t>
        </is>
      </c>
      <c r="E4184" t="inlineStr">
        <is>
          <t>SMT SUPPORT BARRE PE</t>
        </is>
      </c>
      <c r="F4184" t="inlineStr">
        <is>
          <t>SCHNEIDER ELECTRIC GERMANY</t>
        </is>
      </c>
      <c r="G4184" t="inlineStr">
        <is>
          <t>SYMMETRA PX</t>
        </is>
      </c>
      <c r="H4184" t="inlineStr">
        <is>
          <t>BYPASS</t>
        </is>
      </c>
      <c r="J4184" t="inlineStr">
        <is>
          <t>JAWORSKI</t>
        </is>
      </c>
      <c r="K4184" t="inlineStr">
        <is>
          <t>METAL</t>
        </is>
      </c>
      <c r="L4184">
        <f>_xlfn.XLOOKUP(Tableau1[[#This Row],[TYPE DE PIECE]],Tableau4[MATIERE],Tableau4[SHORT TYPE],"",0,1)</f>
        <v/>
      </c>
      <c r="N4184">
        <f>IF(ISERR(FIND("DECOUPE",Tableau1[[#This Row],[DESIGNATION]])),"","NEED REF")</f>
        <v/>
      </c>
    </row>
    <row r="4185">
      <c r="B4185" t="n">
        <v>34409820</v>
      </c>
      <c r="C4185" s="2" t="n">
        <v>44473</v>
      </c>
      <c r="D4185" t="inlineStr">
        <is>
          <t>SPEC</t>
        </is>
      </c>
      <c r="E4185" t="inlineStr">
        <is>
          <t>COP CX INPUT</t>
        </is>
      </c>
      <c r="F4185" t="inlineStr">
        <is>
          <t>SCHNEIDER ELECTRIC GERMANY</t>
        </is>
      </c>
      <c r="G4185" t="inlineStr">
        <is>
          <t>SYMMETRA PX</t>
        </is>
      </c>
      <c r="H4185" t="inlineStr">
        <is>
          <t>BYPASS</t>
        </is>
      </c>
      <c r="J4185" t="inlineStr">
        <is>
          <t>JAWORSKI</t>
        </is>
      </c>
      <c r="K4185" t="inlineStr">
        <is>
          <t>CUIVRE</t>
        </is>
      </c>
      <c r="L4185">
        <f>_xlfn.XLOOKUP(Tableau1[[#This Row],[TYPE DE PIECE]],Tableau4[MATIERE],Tableau4[SHORT TYPE],"",0,1)</f>
        <v/>
      </c>
      <c r="N4185">
        <f>IF(ISERR(FIND("DECOUPE",Tableau1[[#This Row],[DESIGNATION]])),"","NEED REF")</f>
        <v/>
      </c>
    </row>
    <row r="4186">
      <c r="B4186" t="n">
        <v>34409819</v>
      </c>
      <c r="C4186" s="2" t="n">
        <v>44473</v>
      </c>
      <c r="D4186" t="inlineStr">
        <is>
          <t>SPEC</t>
        </is>
      </c>
      <c r="E4186" t="inlineStr">
        <is>
          <t>SMT ENTRETOISE SUPPORT CS MODULE</t>
        </is>
      </c>
      <c r="H4186" t="inlineStr">
        <is>
          <t>STS</t>
        </is>
      </c>
      <c r="J4186" t="inlineStr">
        <is>
          <t>BERNARDEAU</t>
        </is>
      </c>
      <c r="K4186" t="inlineStr">
        <is>
          <t>METAL</t>
        </is>
      </c>
      <c r="L4186">
        <f>_xlfn.XLOOKUP(Tableau1[[#This Row],[TYPE DE PIECE]],Tableau4[MATIERE],Tableau4[SHORT TYPE],"",0,1)</f>
        <v/>
      </c>
      <c r="N4186">
        <f>IF(ISERR(FIND("DECOUPE",Tableau1[[#This Row],[DESIGNATION]])),"","NEED REF")</f>
        <v/>
      </c>
    </row>
    <row r="4187">
      <c r="B4187" t="n">
        <v>34409818</v>
      </c>
      <c r="C4187" s="2" t="n">
        <v>44473</v>
      </c>
      <c r="D4187" t="inlineStr">
        <is>
          <t>SPEC</t>
        </is>
      </c>
      <c r="E4187" t="inlineStr">
        <is>
          <t>SMT SUPPORT JDB</t>
        </is>
      </c>
      <c r="F4187" t="inlineStr">
        <is>
          <t>SCHNEIDER ELECTRIC GERMANY</t>
        </is>
      </c>
      <c r="G4187" t="inlineStr">
        <is>
          <t>SYMMETRA PX</t>
        </is>
      </c>
      <c r="H4187" t="inlineStr">
        <is>
          <t>BYPASS</t>
        </is>
      </c>
      <c r="J4187" t="inlineStr">
        <is>
          <t>JAWORSKI</t>
        </is>
      </c>
      <c r="K4187" t="inlineStr">
        <is>
          <t>METAL</t>
        </is>
      </c>
      <c r="L4187">
        <f>_xlfn.XLOOKUP(Tableau1[[#This Row],[TYPE DE PIECE]],Tableau4[MATIERE],Tableau4[SHORT TYPE],"",0,1)</f>
        <v/>
      </c>
      <c r="N4187">
        <f>IF(ISERR(FIND("DECOUPE",Tableau1[[#This Row],[DESIGNATION]])),"","NEED REF")</f>
        <v/>
      </c>
    </row>
    <row r="4188">
      <c r="B4188" t="n">
        <v>34409817</v>
      </c>
      <c r="C4188" s="2" t="n">
        <v>44473</v>
      </c>
      <c r="D4188" t="inlineStr">
        <is>
          <t>SPEC</t>
        </is>
      </c>
      <c r="E4188" t="inlineStr">
        <is>
          <t>SMT SUPPORT PLASTRON</t>
        </is>
      </c>
      <c r="F4188" t="inlineStr">
        <is>
          <t>SCHNEIDER ELECTRIC GERMANY</t>
        </is>
      </c>
      <c r="G4188" t="inlineStr">
        <is>
          <t>SYMMETRA PX</t>
        </is>
      </c>
      <c r="H4188" t="inlineStr">
        <is>
          <t>BYPASS</t>
        </is>
      </c>
      <c r="J4188" t="inlineStr">
        <is>
          <t>JAWORSKI</t>
        </is>
      </c>
      <c r="K4188" t="inlineStr">
        <is>
          <t>METAL</t>
        </is>
      </c>
      <c r="L4188">
        <f>_xlfn.XLOOKUP(Tableau1[[#This Row],[TYPE DE PIECE]],Tableau4[MATIERE],Tableau4[SHORT TYPE],"",0,1)</f>
        <v/>
      </c>
      <c r="N4188">
        <f>IF(ISERR(FIND("DECOUPE",Tableau1[[#This Row],[DESIGNATION]])),"","NEED REF")</f>
        <v/>
      </c>
    </row>
    <row r="4189">
      <c r="B4189" t="n">
        <v>34409816</v>
      </c>
      <c r="C4189" s="2" t="n">
        <v>44470</v>
      </c>
      <c r="D4189" t="inlineStr">
        <is>
          <t>SPEC</t>
        </is>
      </c>
      <c r="E4189" t="inlineStr">
        <is>
          <t>ENSEMBLE TRAVERSE SUP. CS MODULE</t>
        </is>
      </c>
      <c r="H4189" t="inlineStr">
        <is>
          <t>STS</t>
        </is>
      </c>
      <c r="J4189" t="inlineStr">
        <is>
          <t>BERNARDEAU</t>
        </is>
      </c>
      <c r="L4189">
        <f>_xlfn.XLOOKUP(Tableau1[[#This Row],[TYPE DE PIECE]],Tableau4[MATIERE],Tableau4[SHORT TYPE],"",0,1)</f>
        <v/>
      </c>
      <c r="N4189">
        <f>IF(ISERR(FIND("DECOUPE",Tableau1[[#This Row],[DESIGNATION]])),"","NEED REF")</f>
        <v/>
      </c>
    </row>
    <row r="4190">
      <c r="B4190" t="n">
        <v>34409815</v>
      </c>
      <c r="C4190" s="2" t="n">
        <v>44470</v>
      </c>
      <c r="D4190" t="inlineStr">
        <is>
          <t>SPEC</t>
        </is>
      </c>
      <c r="E4190" t="inlineStr">
        <is>
          <t>PLA SUPPORT LINERGY</t>
        </is>
      </c>
      <c r="F4190" t="inlineStr">
        <is>
          <t>SCHNEIDER ELECTRIC GERMANY</t>
        </is>
      </c>
      <c r="G4190" t="inlineStr">
        <is>
          <t>SYMMETRA PX</t>
        </is>
      </c>
      <c r="H4190" t="inlineStr">
        <is>
          <t>BYPASS</t>
        </is>
      </c>
      <c r="J4190" t="inlineStr">
        <is>
          <t>JAWORSKI</t>
        </is>
      </c>
      <c r="K4190" t="inlineStr">
        <is>
          <t>PLASTIQUE</t>
        </is>
      </c>
      <c r="L4190">
        <f>_xlfn.XLOOKUP(Tableau1[[#This Row],[TYPE DE PIECE]],Tableau4[MATIERE],Tableau4[SHORT TYPE],"",0,1)</f>
        <v/>
      </c>
      <c r="N4190">
        <f>IF(ISERR(FIND("DECOUPE",Tableau1[[#This Row],[DESIGNATION]])),"","NEED REF")</f>
        <v/>
      </c>
    </row>
    <row r="4191">
      <c r="B4191" t="n">
        <v>34409814</v>
      </c>
      <c r="C4191" s="2" t="n">
        <v>44470</v>
      </c>
      <c r="D4191" t="inlineStr">
        <is>
          <t>SPEC</t>
        </is>
      </c>
      <c r="E4191" t="inlineStr">
        <is>
          <t>SMT SUPPORT LINERGY</t>
        </is>
      </c>
      <c r="F4191" t="inlineStr">
        <is>
          <t>SCHNEIDER ELECTRIC GERMANY</t>
        </is>
      </c>
      <c r="G4191" t="inlineStr">
        <is>
          <t>SYMMETRA PX</t>
        </is>
      </c>
      <c r="H4191" t="inlineStr">
        <is>
          <t>BYPASS</t>
        </is>
      </c>
      <c r="J4191" t="inlineStr">
        <is>
          <t>JAWORSKI</t>
        </is>
      </c>
      <c r="K4191" t="inlineStr">
        <is>
          <t>METAL</t>
        </is>
      </c>
      <c r="L4191">
        <f>_xlfn.XLOOKUP(Tableau1[[#This Row],[TYPE DE PIECE]],Tableau4[MATIERE],Tableau4[SHORT TYPE],"",0,1)</f>
        <v/>
      </c>
      <c r="N4191">
        <f>IF(ISERR(FIND("DECOUPE",Tableau1[[#This Row],[DESIGNATION]])),"","NEED REF")</f>
        <v/>
      </c>
    </row>
    <row r="4192">
      <c r="B4192" t="n">
        <v>34409813</v>
      </c>
      <c r="C4192" s="2" t="n">
        <v>44470</v>
      </c>
      <c r="D4192" t="inlineStr">
        <is>
          <t>SPEC</t>
        </is>
      </c>
      <c r="E4192" t="inlineStr">
        <is>
          <t>SMT TRAVERSE SUPPORT CS MODULE</t>
        </is>
      </c>
      <c r="H4192" t="inlineStr">
        <is>
          <t>STS</t>
        </is>
      </c>
      <c r="J4192" t="inlineStr">
        <is>
          <t>BERNARDEAU</t>
        </is>
      </c>
      <c r="K4192" t="inlineStr">
        <is>
          <t>METAL</t>
        </is>
      </c>
      <c r="L4192">
        <f>_xlfn.XLOOKUP(Tableau1[[#This Row],[TYPE DE PIECE]],Tableau4[MATIERE],Tableau4[SHORT TYPE],"",0,1)</f>
        <v/>
      </c>
      <c r="N4192">
        <f>IF(ISERR(FIND("DECOUPE",Tableau1[[#This Row],[DESIGNATION]])),"","NEED REF")</f>
        <v/>
      </c>
    </row>
    <row r="4193">
      <c r="B4193" t="n">
        <v>34409812</v>
      </c>
      <c r="C4193" s="2" t="n">
        <v>44470</v>
      </c>
      <c r="D4193" t="inlineStr">
        <is>
          <t>SPEC</t>
        </is>
      </c>
      <c r="E4193" t="inlineStr">
        <is>
          <t>ENSEMBLE CS MODULE</t>
        </is>
      </c>
      <c r="H4193" t="inlineStr">
        <is>
          <t>STS</t>
        </is>
      </c>
      <c r="J4193" t="inlineStr">
        <is>
          <t>BERNARDEAU</t>
        </is>
      </c>
      <c r="L4193">
        <f>_xlfn.XLOOKUP(Tableau1[[#This Row],[TYPE DE PIECE]],Tableau4[MATIERE],Tableau4[SHORT TYPE],"",0,1)</f>
        <v/>
      </c>
      <c r="N4193">
        <f>IF(ISERR(FIND("DECOUPE",Tableau1[[#This Row],[DESIGNATION]])),"","NEED REF")</f>
        <v/>
      </c>
    </row>
    <row r="4194">
      <c r="B4194" t="n">
        <v>34409811</v>
      </c>
      <c r="C4194" s="2" t="n">
        <v>44470</v>
      </c>
      <c r="D4194" t="inlineStr">
        <is>
          <t>SPEC</t>
        </is>
      </c>
      <c r="E4194" t="inlineStr">
        <is>
          <t>ENSEMBLE SUPPORT DOE</t>
        </is>
      </c>
      <c r="H4194" t="inlineStr">
        <is>
          <t>STS</t>
        </is>
      </c>
      <c r="J4194" t="inlineStr">
        <is>
          <t>BERNARDEAU</t>
        </is>
      </c>
      <c r="L4194">
        <f>_xlfn.XLOOKUP(Tableau1[[#This Row],[TYPE DE PIECE]],Tableau4[MATIERE],Tableau4[SHORT TYPE],"",0,1)</f>
        <v/>
      </c>
      <c r="N4194">
        <f>IF(ISERR(FIND("DECOUPE",Tableau1[[#This Row],[DESIGNATION]])),"","NEED REF")</f>
        <v/>
      </c>
    </row>
    <row r="4195">
      <c r="B4195" t="n">
        <v>34409810</v>
      </c>
      <c r="C4195" s="2" t="n">
        <v>44470</v>
      </c>
      <c r="D4195" t="inlineStr">
        <is>
          <t>SPEC</t>
        </is>
      </c>
      <c r="E4195" t="inlineStr">
        <is>
          <t>COP FLEX CX BYPASS</t>
        </is>
      </c>
      <c r="F4195" t="inlineStr">
        <is>
          <t>SCHNEIDER ELECTRIC GERMANY</t>
        </is>
      </c>
      <c r="G4195" t="inlineStr">
        <is>
          <t>SYMMETRA PX</t>
        </is>
      </c>
      <c r="H4195" t="inlineStr">
        <is>
          <t>BYPASS</t>
        </is>
      </c>
      <c r="J4195" t="inlineStr">
        <is>
          <t>JAWORSKI</t>
        </is>
      </c>
      <c r="K4195" t="inlineStr">
        <is>
          <t>CUIVRE</t>
        </is>
      </c>
      <c r="L4195">
        <f>_xlfn.XLOOKUP(Tableau1[[#This Row],[TYPE DE PIECE]],Tableau4[MATIERE],Tableau4[SHORT TYPE],"",0,1)</f>
        <v/>
      </c>
      <c r="N4195">
        <f>IF(ISERR(FIND("DECOUPE",Tableau1[[#This Row],[DESIGNATION]])),"","NEED REF")</f>
        <v/>
      </c>
    </row>
    <row r="4196">
      <c r="B4196" t="n">
        <v>34409809</v>
      </c>
      <c r="C4196" s="2" t="n">
        <v>44470</v>
      </c>
      <c r="D4196" t="inlineStr">
        <is>
          <t>SPEC</t>
        </is>
      </c>
      <c r="E4196" t="inlineStr">
        <is>
          <t>SMT TRAVERSE SUPPORT DROE</t>
        </is>
      </c>
      <c r="H4196" t="inlineStr">
        <is>
          <t>STS</t>
        </is>
      </c>
      <c r="J4196" t="inlineStr">
        <is>
          <t>BERNARDEAU</t>
        </is>
      </c>
      <c r="L4196">
        <f>_xlfn.XLOOKUP(Tableau1[[#This Row],[TYPE DE PIECE]],Tableau4[MATIERE],Tableau4[SHORT TYPE],"",0,1)</f>
        <v/>
      </c>
      <c r="N4196">
        <f>IF(ISERR(FIND("DECOUPE",Tableau1[[#This Row],[DESIGNATION]])),"","NEED REF")</f>
        <v/>
      </c>
    </row>
    <row r="4197">
      <c r="B4197" t="n">
        <v>34409808</v>
      </c>
      <c r="C4197" s="2" t="n">
        <v>44470</v>
      </c>
      <c r="D4197" t="inlineStr">
        <is>
          <t>SPEC</t>
        </is>
      </c>
      <c r="E4197" t="inlineStr">
        <is>
          <t>SMT SUPPORT DROE</t>
        </is>
      </c>
      <c r="H4197" t="inlineStr">
        <is>
          <t>STS</t>
        </is>
      </c>
      <c r="J4197" t="inlineStr">
        <is>
          <t>BERNARDEAU</t>
        </is>
      </c>
      <c r="K4197" t="inlineStr">
        <is>
          <t>METAL</t>
        </is>
      </c>
      <c r="L4197">
        <f>_xlfn.XLOOKUP(Tableau1[[#This Row],[TYPE DE PIECE]],Tableau4[MATIERE],Tableau4[SHORT TYPE],"",0,1)</f>
        <v/>
      </c>
      <c r="N4197">
        <f>IF(ISERR(FIND("DECOUPE",Tableau1[[#This Row],[DESIGNATION]])),"","NEED REF")</f>
        <v/>
      </c>
    </row>
    <row r="4198">
      <c r="B4198" t="n">
        <v>34409807</v>
      </c>
      <c r="C4198" s="2" t="n">
        <v>44470</v>
      </c>
      <c r="D4198" t="inlineStr">
        <is>
          <t>SPEC</t>
        </is>
      </c>
      <c r="E4198" t="inlineStr">
        <is>
          <t>ENSEMBLE PRISE DROE</t>
        </is>
      </c>
      <c r="H4198" t="inlineStr">
        <is>
          <t>STS</t>
        </is>
      </c>
      <c r="J4198" t="inlineStr">
        <is>
          <t>BERNARDEAU</t>
        </is>
      </c>
      <c r="L4198">
        <f>_xlfn.XLOOKUP(Tableau1[[#This Row],[TYPE DE PIECE]],Tableau4[MATIERE],Tableau4[SHORT TYPE],"",0,1)</f>
        <v/>
      </c>
      <c r="N4198">
        <f>IF(ISERR(FIND("DECOUPE",Tableau1[[#This Row],[DESIGNATION]])),"","NEED REF")</f>
        <v/>
      </c>
    </row>
    <row r="4199">
      <c r="B4199" t="n">
        <v>34409806</v>
      </c>
      <c r="C4199" s="2" t="n">
        <v>44470</v>
      </c>
      <c r="D4199" t="inlineStr">
        <is>
          <t>SPEC</t>
        </is>
      </c>
      <c r="E4199" t="inlineStr">
        <is>
          <t>STS_630_BYPASS_ASM</t>
        </is>
      </c>
      <c r="H4199" t="inlineStr">
        <is>
          <t>STS</t>
        </is>
      </c>
      <c r="J4199" t="inlineStr">
        <is>
          <t>BERNARDEAU</t>
        </is>
      </c>
      <c r="L4199">
        <f>_xlfn.XLOOKUP(Tableau1[[#This Row],[TYPE DE PIECE]],Tableau4[MATIERE],Tableau4[SHORT TYPE],"",0,1)</f>
        <v/>
      </c>
      <c r="N4199">
        <f>IF(ISERR(FIND("DECOUPE",Tableau1[[#This Row],[DESIGNATION]])),"","NEED REF")</f>
        <v/>
      </c>
    </row>
    <row r="4200">
      <c r="B4200" t="n">
        <v>34409805</v>
      </c>
      <c r="C4200" s="2" t="n">
        <v>44469</v>
      </c>
      <c r="D4200" t="inlineStr">
        <is>
          <t>SPEC</t>
        </is>
      </c>
      <c r="E4200" t="inlineStr">
        <is>
          <t>STRUCTURE_ASM</t>
        </is>
      </c>
      <c r="H4200" t="inlineStr">
        <is>
          <t>STS</t>
        </is>
      </c>
      <c r="J4200" t="inlineStr">
        <is>
          <t>BERNARDEAU</t>
        </is>
      </c>
      <c r="L4200">
        <f>_xlfn.XLOOKUP(Tableau1[[#This Row],[TYPE DE PIECE]],Tableau4[MATIERE],Tableau4[SHORT TYPE],"",0,1)</f>
        <v/>
      </c>
      <c r="N4200">
        <f>IF(ISERR(FIND("DECOUPE",Tableau1[[#This Row],[DESIGNATION]])),"","NEED REF")</f>
        <v/>
      </c>
    </row>
    <row r="4201">
      <c r="B4201" t="n">
        <v>34409804</v>
      </c>
      <c r="C4201" s="2" t="n">
        <v>44469</v>
      </c>
      <c r="D4201" t="inlineStr">
        <is>
          <t>SPEC</t>
        </is>
      </c>
      <c r="E4201" t="inlineStr">
        <is>
          <t>RC ASSEMBLE</t>
        </is>
      </c>
      <c r="H4201" t="inlineStr">
        <is>
          <t>STS</t>
        </is>
      </c>
      <c r="J4201" t="inlineStr">
        <is>
          <t>BERNARDEAU</t>
        </is>
      </c>
      <c r="L4201">
        <f>_xlfn.XLOOKUP(Tableau1[[#This Row],[TYPE DE PIECE]],Tableau4[MATIERE],Tableau4[SHORT TYPE],"",0,1)</f>
        <v/>
      </c>
      <c r="N4201">
        <f>IF(ISERR(FIND("DECOUPE",Tableau1[[#This Row],[DESIGNATION]])),"","NEED REF")</f>
        <v/>
      </c>
    </row>
    <row r="4202">
      <c r="B4202" t="n">
        <v>34409804</v>
      </c>
      <c r="C4202" s="2" t="n">
        <v>44469</v>
      </c>
      <c r="D4202" t="inlineStr">
        <is>
          <t>SPEC</t>
        </is>
      </c>
      <c r="E4202" t="inlineStr">
        <is>
          <t>SMT PIECE ACCOUPLEMENT STRUCTURE BIRDY</t>
        </is>
      </c>
      <c r="G4202" t="inlineStr">
        <is>
          <t>GVX</t>
        </is>
      </c>
      <c r="H4202" t="inlineStr">
        <is>
          <t>BYPASS</t>
        </is>
      </c>
      <c r="J4202" t="inlineStr">
        <is>
          <t>JAWORSKI</t>
        </is>
      </c>
      <c r="K4202" t="inlineStr">
        <is>
          <t>METAL</t>
        </is>
      </c>
      <c r="L4202">
        <f>_xlfn.XLOOKUP(Tableau1[[#This Row],[TYPE DE PIECE]],Tableau4[MATIERE],Tableau4[SHORT TYPE],"",0,1)</f>
        <v/>
      </c>
      <c r="N4202">
        <f>IF(ISERR(FIND("DECOUPE",Tableau1[[#This Row],[DESIGNATION]])),"","NEED REF")</f>
        <v/>
      </c>
    </row>
    <row r="4203">
      <c r="B4203" t="n">
        <v>34409803</v>
      </c>
      <c r="C4203" s="2" t="n">
        <v>44468</v>
      </c>
      <c r="D4203" t="inlineStr">
        <is>
          <t>SPEC</t>
        </is>
      </c>
      <c r="E4203" t="inlineStr">
        <is>
          <t>SMT PLAQUE ALU PASSE CABLES</t>
        </is>
      </c>
      <c r="G4203" t="inlineStr">
        <is>
          <t>GVX</t>
        </is>
      </c>
      <c r="H4203" t="inlineStr">
        <is>
          <t>IO</t>
        </is>
      </c>
      <c r="J4203" t="inlineStr">
        <is>
          <t>MATRION</t>
        </is>
      </c>
      <c r="K4203" t="inlineStr">
        <is>
          <t>METAL</t>
        </is>
      </c>
      <c r="L4203">
        <f>_xlfn.XLOOKUP(Tableau1[[#This Row],[TYPE DE PIECE]],Tableau4[MATIERE],Tableau4[SHORT TYPE],"",0,1)</f>
        <v/>
      </c>
      <c r="N4203">
        <f>IF(ISERR(FIND("DECOUPE",Tableau1[[#This Row],[DESIGNATION]])),"","NEED REF")</f>
        <v/>
      </c>
    </row>
    <row r="4204">
      <c r="B4204" t="n">
        <v>34409802</v>
      </c>
      <c r="C4204" s="2" t="n">
        <v>44468</v>
      </c>
      <c r="D4204" t="inlineStr">
        <is>
          <t>SPEC</t>
        </is>
      </c>
      <c r="E4204" t="inlineStr">
        <is>
          <t>COP FLEX L3 32x4x1</t>
        </is>
      </c>
      <c r="F4204" t="inlineStr">
        <is>
          <t>SCHNEIDER ELECTRIC GERMANY</t>
        </is>
      </c>
      <c r="G4204" t="inlineStr">
        <is>
          <t>SYMMETRA PX</t>
        </is>
      </c>
      <c r="H4204" t="inlineStr">
        <is>
          <t>BYPASS</t>
        </is>
      </c>
      <c r="J4204" t="inlineStr">
        <is>
          <t>JAWORSKI</t>
        </is>
      </c>
      <c r="K4204" t="inlineStr">
        <is>
          <t>CUIVRE</t>
        </is>
      </c>
      <c r="L4204">
        <f>_xlfn.XLOOKUP(Tableau1[[#This Row],[TYPE DE PIECE]],Tableau4[MATIERE],Tableau4[SHORT TYPE],"",0,1)</f>
        <v/>
      </c>
      <c r="N4204">
        <f>IF(ISERR(FIND("DECOUPE",Tableau1[[#This Row],[DESIGNATION]])),"","NEED REF")</f>
        <v/>
      </c>
    </row>
    <row r="4205">
      <c r="B4205" t="n">
        <v>34409801</v>
      </c>
      <c r="C4205" s="2" t="n">
        <v>44468</v>
      </c>
      <c r="D4205" t="inlineStr">
        <is>
          <t>SPEC</t>
        </is>
      </c>
      <c r="E4205" t="inlineStr">
        <is>
          <t>COP FLEX L2 32x4x1</t>
        </is>
      </c>
      <c r="F4205" t="inlineStr">
        <is>
          <t>SCHNEIDER ELECTRIC GERMANY</t>
        </is>
      </c>
      <c r="G4205" t="inlineStr">
        <is>
          <t>SYMMETRA PX</t>
        </is>
      </c>
      <c r="H4205" t="inlineStr">
        <is>
          <t>BYPASS</t>
        </is>
      </c>
      <c r="J4205" t="inlineStr">
        <is>
          <t>JAWORSKI</t>
        </is>
      </c>
      <c r="K4205" t="inlineStr">
        <is>
          <t>CUIVRE</t>
        </is>
      </c>
      <c r="L4205">
        <f>_xlfn.XLOOKUP(Tableau1[[#This Row],[TYPE DE PIECE]],Tableau4[MATIERE],Tableau4[SHORT TYPE],"",0,1)</f>
        <v/>
      </c>
      <c r="N4205">
        <f>IF(ISERR(FIND("DECOUPE",Tableau1[[#This Row],[DESIGNATION]])),"","NEED REF")</f>
        <v/>
      </c>
    </row>
    <row r="4206">
      <c r="B4206" t="n">
        <v>34409800</v>
      </c>
      <c r="C4206" s="2" t="n">
        <v>44468</v>
      </c>
      <c r="D4206" t="inlineStr">
        <is>
          <t>SPEC</t>
        </is>
      </c>
      <c r="E4206" t="inlineStr">
        <is>
          <t>COP FLEX L1 32x4x1</t>
        </is>
      </c>
      <c r="F4206" t="inlineStr">
        <is>
          <t>SCHNEIDER ELECTRIC GERMANY</t>
        </is>
      </c>
      <c r="G4206" t="inlineStr">
        <is>
          <t>SYMMETRA PX</t>
        </is>
      </c>
      <c r="H4206" t="inlineStr">
        <is>
          <t>BYPASS</t>
        </is>
      </c>
      <c r="J4206" t="inlineStr">
        <is>
          <t>JAWORSKI</t>
        </is>
      </c>
      <c r="K4206" t="inlineStr">
        <is>
          <t>CUIVRE</t>
        </is>
      </c>
      <c r="L4206">
        <f>_xlfn.XLOOKUP(Tableau1[[#This Row],[TYPE DE PIECE]],Tableau4[MATIERE],Tableau4[SHORT TYPE],"",0,1)</f>
        <v/>
      </c>
      <c r="N4206">
        <f>IF(ISERR(FIND("DECOUPE",Tableau1[[#This Row],[DESIGNATION]])),"","NEED REF")</f>
        <v/>
      </c>
    </row>
    <row r="4207">
      <c r="B4207" t="n">
        <v>34409799</v>
      </c>
      <c r="C4207" s="2" t="n">
        <v>44468</v>
      </c>
      <c r="D4207" t="inlineStr">
        <is>
          <t>SPEC</t>
        </is>
      </c>
      <c r="E4207" t="inlineStr">
        <is>
          <t>COP FLEX N 32x4x1</t>
        </is>
      </c>
      <c r="F4207" t="inlineStr">
        <is>
          <t>SCHNEIDER ELECTRIC GERMANY</t>
        </is>
      </c>
      <c r="G4207" t="inlineStr">
        <is>
          <t>SYMMETRA PX</t>
        </is>
      </c>
      <c r="H4207" t="inlineStr">
        <is>
          <t>BYPASS</t>
        </is>
      </c>
      <c r="J4207" t="inlineStr">
        <is>
          <t>JAWORSKI</t>
        </is>
      </c>
      <c r="K4207" t="inlineStr">
        <is>
          <t>CUIVRE</t>
        </is>
      </c>
      <c r="L4207">
        <f>_xlfn.XLOOKUP(Tableau1[[#This Row],[TYPE DE PIECE]],Tableau4[MATIERE],Tableau4[SHORT TYPE],"",0,1)</f>
        <v/>
      </c>
      <c r="N4207">
        <f>IF(ISERR(FIND("DECOUPE",Tableau1[[#This Row],[DESIGNATION]])),"","NEED REF")</f>
        <v/>
      </c>
    </row>
    <row r="4208">
      <c r="B4208" t="n">
        <v>34409798</v>
      </c>
      <c r="C4208" s="2" t="n">
        <v>44468</v>
      </c>
      <c r="D4208" t="inlineStr">
        <is>
          <t>SPEC</t>
        </is>
      </c>
      <c r="E4208" t="inlineStr">
        <is>
          <t>SUPPORT FUSIBLES</t>
        </is>
      </c>
      <c r="H4208" t="inlineStr">
        <is>
          <t>STS</t>
        </is>
      </c>
      <c r="J4208" t="inlineStr">
        <is>
          <t>BERNARDEAU</t>
        </is>
      </c>
      <c r="K4208" t="inlineStr">
        <is>
          <t>METAL</t>
        </is>
      </c>
      <c r="L4208">
        <f>_xlfn.XLOOKUP(Tableau1[[#This Row],[TYPE DE PIECE]],Tableau4[MATIERE],Tableau4[SHORT TYPE],"",0,1)</f>
        <v/>
      </c>
      <c r="N4208">
        <f>IF(ISERR(FIND("DECOUPE",Tableau1[[#This Row],[DESIGNATION]])),"","NEED REF")</f>
        <v/>
      </c>
    </row>
    <row r="4209">
      <c r="B4209" t="n">
        <v>34409797</v>
      </c>
      <c r="C4209" s="2" t="n">
        <v>44468</v>
      </c>
      <c r="D4209" t="inlineStr">
        <is>
          <t>SPEC</t>
        </is>
      </c>
      <c r="E4209" t="inlineStr">
        <is>
          <t>FUSES AND RESISTORS ASSEMBLY</t>
        </is>
      </c>
      <c r="H4209" t="inlineStr">
        <is>
          <t>STS</t>
        </is>
      </c>
      <c r="J4209" t="inlineStr">
        <is>
          <t>BERNARDEAU</t>
        </is>
      </c>
      <c r="L4209">
        <f>_xlfn.XLOOKUP(Tableau1[[#This Row],[TYPE DE PIECE]],Tableau4[MATIERE],Tableau4[SHORT TYPE],"",0,1)</f>
        <v/>
      </c>
      <c r="N4209">
        <f>IF(ISERR(FIND("DECOUPE",Tableau1[[#This Row],[DESIGNATION]])),"","NEED REF")</f>
        <v/>
      </c>
    </row>
    <row r="4210">
      <c r="B4210" t="n">
        <v>34409796</v>
      </c>
      <c r="C4210" s="2" t="n">
        <v>44468</v>
      </c>
      <c r="D4210" t="inlineStr">
        <is>
          <t>SPEC</t>
        </is>
      </c>
      <c r="E4210" t="inlineStr">
        <is>
          <t>WIRE KIT PUISSANCE COMMON MAIN AND OUTPUT</t>
        </is>
      </c>
      <c r="G4210" t="inlineStr">
        <is>
          <t>GVX</t>
        </is>
      </c>
      <c r="H4210" t="inlineStr">
        <is>
          <t>IO</t>
        </is>
      </c>
      <c r="J4210" t="inlineStr">
        <is>
          <t>MATRION</t>
        </is>
      </c>
      <c r="K4210" t="inlineStr">
        <is>
          <t>FILERIE</t>
        </is>
      </c>
      <c r="L4210">
        <f>_xlfn.XLOOKUP(Tableau1[[#This Row],[TYPE DE PIECE]],Tableau4[MATIERE],Tableau4[SHORT TYPE],"",0,1)</f>
        <v/>
      </c>
      <c r="N4210">
        <f>IF(ISERR(FIND("DECOUPE",Tableau1[[#This Row],[DESIGNATION]])),"","NEED REF")</f>
        <v/>
      </c>
    </row>
    <row r="4211">
      <c r="B4211" t="n">
        <v>34409795</v>
      </c>
      <c r="C4211" s="2" t="n">
        <v>44468</v>
      </c>
      <c r="D4211" t="inlineStr">
        <is>
          <t>SPEC</t>
        </is>
      </c>
      <c r="E4211" t="inlineStr">
        <is>
          <t>SMT PLATINE RC</t>
        </is>
      </c>
      <c r="H4211" t="inlineStr">
        <is>
          <t>STS</t>
        </is>
      </c>
      <c r="J4211" t="inlineStr">
        <is>
          <t>BERNARDEAU</t>
        </is>
      </c>
      <c r="L4211">
        <f>_xlfn.XLOOKUP(Tableau1[[#This Row],[TYPE DE PIECE]],Tableau4[MATIERE],Tableau4[SHORT TYPE],"",0,1)</f>
        <v/>
      </c>
      <c r="N4211">
        <f>IF(ISERR(FIND("DECOUPE",Tableau1[[#This Row],[DESIGNATION]])),"","NEED REF")</f>
        <v/>
      </c>
    </row>
    <row r="4212">
      <c r="B4212" t="n">
        <v>34409794</v>
      </c>
      <c r="C4212" s="2" t="n">
        <v>44468</v>
      </c>
      <c r="D4212" t="inlineStr">
        <is>
          <t>SPEC</t>
        </is>
      </c>
      <c r="E4212" t="inlineStr">
        <is>
          <t>SMT SUPPORT PLATINES RC</t>
        </is>
      </c>
      <c r="H4212" t="inlineStr">
        <is>
          <t>STS</t>
        </is>
      </c>
      <c r="J4212" t="inlineStr">
        <is>
          <t>BERNARDEAU</t>
        </is>
      </c>
      <c r="L4212">
        <f>_xlfn.XLOOKUP(Tableau1[[#This Row],[TYPE DE PIECE]],Tableau4[MATIERE],Tableau4[SHORT TYPE],"",0,1)</f>
        <v/>
      </c>
      <c r="N4212">
        <f>IF(ISERR(FIND("DECOUPE",Tableau1[[#This Row],[DESIGNATION]])),"","NEED REF")</f>
        <v/>
      </c>
    </row>
    <row r="4213">
      <c r="B4213" t="n">
        <v>34409793</v>
      </c>
      <c r="C4213" s="2" t="n">
        <v>44468</v>
      </c>
      <c r="D4213" t="inlineStr">
        <is>
          <t>SPEC</t>
        </is>
      </c>
      <c r="E4213" t="inlineStr">
        <is>
          <t>ensemble RC</t>
        </is>
      </c>
      <c r="H4213" t="inlineStr">
        <is>
          <t>STS</t>
        </is>
      </c>
      <c r="J4213" t="inlineStr">
        <is>
          <t>BERNARDEAU</t>
        </is>
      </c>
      <c r="L4213">
        <f>_xlfn.XLOOKUP(Tableau1[[#This Row],[TYPE DE PIECE]],Tableau4[MATIERE],Tableau4[SHORT TYPE],"",0,1)</f>
        <v/>
      </c>
      <c r="N4213">
        <f>IF(ISERR(FIND("DECOUPE",Tableau1[[#This Row],[DESIGNATION]])),"","NEED REF")</f>
        <v/>
      </c>
    </row>
    <row r="4214">
      <c r="B4214" t="n">
        <v>34409792</v>
      </c>
      <c r="C4214" s="2" t="n">
        <v>44468</v>
      </c>
      <c r="D4214" t="inlineStr">
        <is>
          <t>SPEC</t>
        </is>
      </c>
      <c r="E4214" t="inlineStr">
        <is>
          <t>SMT SUPPORT SWITCHGEAR KIT</t>
        </is>
      </c>
      <c r="F4214" t="inlineStr">
        <is>
          <t>SCHNEIDER ELECTRIC GERMANY</t>
        </is>
      </c>
      <c r="G4214" t="inlineStr">
        <is>
          <t>SYMMETRA PX</t>
        </is>
      </c>
      <c r="H4214" t="inlineStr">
        <is>
          <t>BYPASS</t>
        </is>
      </c>
      <c r="J4214" t="inlineStr">
        <is>
          <t>MATRION</t>
        </is>
      </c>
      <c r="K4214" t="inlineStr">
        <is>
          <t>METAL</t>
        </is>
      </c>
      <c r="L4214">
        <f>_xlfn.XLOOKUP(Tableau1[[#This Row],[TYPE DE PIECE]],Tableau4[MATIERE],Tableau4[SHORT TYPE],"",0,1)</f>
        <v/>
      </c>
      <c r="N4214">
        <f>IF(ISERR(FIND("DECOUPE",Tableau1[[#This Row],[DESIGNATION]])),"","NEED REF")</f>
        <v/>
      </c>
    </row>
    <row r="4215">
      <c r="B4215" t="n">
        <v>34409791</v>
      </c>
      <c r="C4215" s="2" t="n">
        <v>44467</v>
      </c>
      <c r="D4215" t="inlineStr">
        <is>
          <t>SPEC</t>
        </is>
      </c>
      <c r="E4215" t="inlineStr">
        <is>
          <t>Toit IP32 pour CBC 1000mm RAL9003</t>
        </is>
      </c>
      <c r="G4215" t="inlineStr">
        <is>
          <t>GVM</t>
        </is>
      </c>
      <c r="H4215" t="inlineStr">
        <is>
          <t>BATTERY</t>
        </is>
      </c>
      <c r="J4215" t="inlineStr">
        <is>
          <t>MATRION</t>
        </is>
      </c>
      <c r="K4215" t="inlineStr">
        <is>
          <t>METAL</t>
        </is>
      </c>
      <c r="L4215">
        <f>_xlfn.XLOOKUP(Tableau1[[#This Row],[TYPE DE PIECE]],Tableau4[MATIERE],Tableau4[SHORT TYPE],"",0,1)</f>
        <v/>
      </c>
      <c r="N4215">
        <f>IF(ISERR(FIND("DECOUPE",Tableau1[[#This Row],[DESIGNATION]])),"","NEED REF")</f>
        <v/>
      </c>
    </row>
    <row r="4216">
      <c r="B4216" t="n">
        <v>34409790</v>
      </c>
      <c r="C4216" s="2" t="n">
        <v>44467</v>
      </c>
      <c r="D4216" t="inlineStr">
        <is>
          <t>SPEC</t>
        </is>
      </c>
      <c r="E4216" t="inlineStr">
        <is>
          <t>SMT PLATINE BYPASS NSX</t>
        </is>
      </c>
      <c r="F4216" t="inlineStr">
        <is>
          <t>SCHNEIDER ELECTRIC GERMANY</t>
        </is>
      </c>
      <c r="G4216" t="inlineStr">
        <is>
          <t>SYMMETRA PX</t>
        </is>
      </c>
      <c r="H4216" t="inlineStr">
        <is>
          <t>BYPASS</t>
        </is>
      </c>
      <c r="J4216" t="inlineStr">
        <is>
          <t>JAWORSKI</t>
        </is>
      </c>
      <c r="K4216" t="inlineStr">
        <is>
          <t>METAL</t>
        </is>
      </c>
      <c r="L4216">
        <f>_xlfn.XLOOKUP(Tableau1[[#This Row],[TYPE DE PIECE]],Tableau4[MATIERE],Tableau4[SHORT TYPE],"",0,1)</f>
        <v/>
      </c>
      <c r="N4216">
        <f>IF(ISERR(FIND("DECOUPE",Tableau1[[#This Row],[DESIGNATION]])),"","NEED REF")</f>
        <v/>
      </c>
    </row>
    <row r="4217">
      <c r="B4217" t="n">
        <v>34409789</v>
      </c>
      <c r="C4217" s="2" t="n">
        <v>44467</v>
      </c>
      <c r="D4217" t="inlineStr">
        <is>
          <t>SPEC</t>
        </is>
      </c>
      <c r="E4217" t="inlineStr">
        <is>
          <t>SMT TRAVERSE SAREL L=800</t>
        </is>
      </c>
      <c r="F4217" t="inlineStr">
        <is>
          <t>SCHNEIDER ELECTRIC GERMANY</t>
        </is>
      </c>
      <c r="G4217" t="inlineStr">
        <is>
          <t>SYMMETRA PX</t>
        </is>
      </c>
      <c r="H4217" t="inlineStr">
        <is>
          <t>BYPASS</t>
        </is>
      </c>
      <c r="J4217" t="inlineStr">
        <is>
          <t>JAWORSKI</t>
        </is>
      </c>
      <c r="K4217" t="inlineStr">
        <is>
          <t>METAL</t>
        </is>
      </c>
      <c r="L4217">
        <f>_xlfn.XLOOKUP(Tableau1[[#This Row],[TYPE DE PIECE]],Tableau4[MATIERE],Tableau4[SHORT TYPE],"",0,1)</f>
        <v/>
      </c>
      <c r="N4217">
        <f>IF(ISERR(FIND("DECOUPE",Tableau1[[#This Row],[DESIGNATION]])),"","NEED REF")</f>
        <v/>
      </c>
    </row>
    <row r="4218">
      <c r="B4218" t="n">
        <v>34409788</v>
      </c>
      <c r="C4218" s="2" t="n">
        <v>44462</v>
      </c>
      <c r="D4218" t="inlineStr">
        <is>
          <t>SPEC</t>
        </is>
      </c>
      <c r="E4218" t="inlineStr">
        <is>
          <t>SMT PANNEAU LATERAL RAL9003</t>
        </is>
      </c>
      <c r="F4218" t="inlineStr">
        <is>
          <t>AMAZON</t>
        </is>
      </c>
      <c r="G4218" t="inlineStr">
        <is>
          <t>GVS</t>
        </is>
      </c>
      <c r="J4218" t="inlineStr">
        <is>
          <t>MATRION</t>
        </is>
      </c>
      <c r="K4218" t="inlineStr">
        <is>
          <t>METAL</t>
        </is>
      </c>
      <c r="L4218">
        <f>_xlfn.XLOOKUP(Tableau1[[#This Row],[TYPE DE PIECE]],Tableau4[MATIERE],Tableau4[SHORT TYPE],"",0,1)</f>
        <v/>
      </c>
      <c r="N4218">
        <f>IF(ISERR(FIND("DECOUPE",Tableau1[[#This Row],[DESIGNATION]])),"","NEED REF")</f>
        <v/>
      </c>
    </row>
    <row r="4219">
      <c r="B4219" t="n">
        <v>34409787</v>
      </c>
      <c r="C4219" s="2" t="n">
        <v>44462</v>
      </c>
      <c r="D4219" t="inlineStr">
        <is>
          <t>SPEC</t>
        </is>
      </c>
      <c r="E4219" t="inlineStr">
        <is>
          <t>KIT SKID POUR UPS ET GAINE</t>
        </is>
      </c>
      <c r="F4219" t="inlineStr">
        <is>
          <t>AMAZON</t>
        </is>
      </c>
      <c r="G4219" t="inlineStr">
        <is>
          <t>GVS</t>
        </is>
      </c>
      <c r="J4219" t="inlineStr">
        <is>
          <t>MATRION</t>
        </is>
      </c>
      <c r="L4219">
        <f>_xlfn.XLOOKUP(Tableau1[[#This Row],[TYPE DE PIECE]],Tableau4[MATIERE],Tableau4[SHORT TYPE],"",0,1)</f>
        <v/>
      </c>
      <c r="N4219">
        <f>IF(ISERR(FIND("DECOUPE",Tableau1[[#This Row],[DESIGNATION]])),"","NEED REF")</f>
        <v/>
      </c>
    </row>
    <row r="4220">
      <c r="B4220" t="n">
        <v>34409786</v>
      </c>
      <c r="C4220" s="2" t="n">
        <v>44462</v>
      </c>
      <c r="D4220" t="inlineStr">
        <is>
          <t>NOM</t>
        </is>
      </c>
      <c r="E4220" t="inlineStr">
        <is>
          <t>KIT SKID POUR UPS ET GAINE</t>
        </is>
      </c>
      <c r="F4220" t="inlineStr">
        <is>
          <t>AMAZON</t>
        </is>
      </c>
      <c r="G4220" t="inlineStr">
        <is>
          <t>GVS</t>
        </is>
      </c>
      <c r="J4220" t="inlineStr">
        <is>
          <t>MATRION</t>
        </is>
      </c>
      <c r="L4220">
        <f>_xlfn.XLOOKUP(Tableau1[[#This Row],[TYPE DE PIECE]],Tableau4[MATIERE],Tableau4[SHORT TYPE],"",0,1)</f>
        <v/>
      </c>
      <c r="N4220">
        <f>IF(ISERR(FIND("DECOUPE",Tableau1[[#This Row],[DESIGNATION]])),"","NEED REF")</f>
        <v/>
      </c>
    </row>
    <row r="4221">
      <c r="B4221" t="n">
        <v>34409785</v>
      </c>
      <c r="C4221" s="2" t="n">
        <v>44461</v>
      </c>
      <c r="D4221" t="inlineStr">
        <is>
          <t>NOM</t>
        </is>
      </c>
      <c r="E4221" t="inlineStr">
        <is>
          <t>KIT GAINE RACCORDEMENT HAUT</t>
        </is>
      </c>
      <c r="F4221" t="inlineStr">
        <is>
          <t>AMAZON</t>
        </is>
      </c>
      <c r="G4221" t="inlineStr">
        <is>
          <t>GVS</t>
        </is>
      </c>
      <c r="J4221" t="inlineStr">
        <is>
          <t>MATRION</t>
        </is>
      </c>
      <c r="L4221">
        <f>_xlfn.XLOOKUP(Tableau1[[#This Row],[TYPE DE PIECE]],Tableau4[MATIERE],Tableau4[SHORT TYPE],"",0,1)</f>
        <v/>
      </c>
      <c r="N4221">
        <f>IF(ISERR(FIND("DECOUPE",Tableau1[[#This Row],[DESIGNATION]])),"","NEED REF")</f>
        <v/>
      </c>
    </row>
    <row r="4222">
      <c r="B4222" t="n">
        <v>34409784</v>
      </c>
      <c r="C4222" s="2" t="n">
        <v>44461</v>
      </c>
      <c r="D4222" t="inlineStr">
        <is>
          <t>SPEC</t>
        </is>
      </c>
      <c r="E4222" t="inlineStr">
        <is>
          <t>SMT SUPPORT PANNEAU LATERAL BAS</t>
        </is>
      </c>
      <c r="F4222" t="inlineStr">
        <is>
          <t>AMAZON</t>
        </is>
      </c>
      <c r="G4222" t="inlineStr">
        <is>
          <t>GVS</t>
        </is>
      </c>
      <c r="J4222" t="inlineStr">
        <is>
          <t>MATRION</t>
        </is>
      </c>
      <c r="K4222" t="inlineStr">
        <is>
          <t>METAL</t>
        </is>
      </c>
      <c r="L4222">
        <f>_xlfn.XLOOKUP(Tableau1[[#This Row],[TYPE DE PIECE]],Tableau4[MATIERE],Tableau4[SHORT TYPE],"",0,1)</f>
        <v/>
      </c>
      <c r="N4222">
        <f>IF(ISERR(FIND("DECOUPE",Tableau1[[#This Row],[DESIGNATION]])),"","NEED REF")</f>
        <v/>
      </c>
    </row>
    <row r="4223">
      <c r="B4223" t="n">
        <v>34409783</v>
      </c>
      <c r="C4223" s="2" t="n">
        <v>44461</v>
      </c>
      <c r="D4223" t="inlineStr">
        <is>
          <t>SPEC</t>
        </is>
      </c>
      <c r="E4223" t="inlineStr">
        <is>
          <t>SMT SUPPORT PANNEAU LATERAL HAUT</t>
        </is>
      </c>
      <c r="F4223" t="inlineStr">
        <is>
          <t>AMAZON</t>
        </is>
      </c>
      <c r="G4223" t="inlineStr">
        <is>
          <t>GVS</t>
        </is>
      </c>
      <c r="J4223" t="inlineStr">
        <is>
          <t>MATRION</t>
        </is>
      </c>
      <c r="K4223" t="inlineStr">
        <is>
          <t>METAL</t>
        </is>
      </c>
      <c r="L4223">
        <f>_xlfn.XLOOKUP(Tableau1[[#This Row],[TYPE DE PIECE]],Tableau4[MATIERE],Tableau4[SHORT TYPE],"",0,1)</f>
        <v/>
      </c>
      <c r="N4223">
        <f>IF(ISERR(FIND("DECOUPE",Tableau1[[#This Row],[DESIGNATION]])),"","NEED REF")</f>
        <v/>
      </c>
    </row>
    <row r="4224">
      <c r="B4224" t="n">
        <v>34409782</v>
      </c>
      <c r="C4224" s="2" t="n">
        <v>44459</v>
      </c>
      <c r="D4224" t="inlineStr">
        <is>
          <t>SPEC</t>
        </is>
      </c>
      <c r="E4224" t="inlineStr">
        <is>
          <t>SMT BUTEE CENTRAL ROUE GVS</t>
        </is>
      </c>
      <c r="F4224" t="inlineStr">
        <is>
          <t>AMAZON</t>
        </is>
      </c>
      <c r="G4224" t="inlineStr">
        <is>
          <t>GVS</t>
        </is>
      </c>
      <c r="J4224" t="inlineStr">
        <is>
          <t>MATRION</t>
        </is>
      </c>
      <c r="K4224" t="inlineStr">
        <is>
          <t>METAL</t>
        </is>
      </c>
      <c r="L4224">
        <f>_xlfn.XLOOKUP(Tableau1[[#This Row],[TYPE DE PIECE]],Tableau4[MATIERE],Tableau4[SHORT TYPE],"",0,1)</f>
        <v/>
      </c>
      <c r="N4224">
        <f>IF(ISERR(FIND("DECOUPE",Tableau1[[#This Row],[DESIGNATION]])),"","NEED REF")</f>
        <v/>
      </c>
    </row>
    <row r="4225">
      <c r="B4225" t="n">
        <v>34409781</v>
      </c>
      <c r="C4225" s="2" t="n">
        <v>44456</v>
      </c>
      <c r="D4225" t="inlineStr">
        <is>
          <t>SPEC</t>
        </is>
      </c>
      <c r="E4225" t="inlineStr">
        <is>
          <t>BOTTOM SW NS1250NA 3P BYPASS GVX</t>
        </is>
      </c>
      <c r="G4225" t="inlineStr">
        <is>
          <t>GVX</t>
        </is>
      </c>
      <c r="H4225" t="inlineStr">
        <is>
          <t>BYPASS</t>
        </is>
      </c>
      <c r="J4225" t="inlineStr">
        <is>
          <t>JAWORSKI</t>
        </is>
      </c>
      <c r="K4225" t="inlineStr">
        <is>
          <t>=S=</t>
        </is>
      </c>
      <c r="L4225">
        <f>_xlfn.XLOOKUP(Tableau1[[#This Row],[TYPE DE PIECE]],Tableau4[MATIERE],Tableau4[SHORT TYPE],"",0,1)</f>
        <v/>
      </c>
      <c r="N4225">
        <f>IF(ISERR(FIND("DECOUPE",Tableau1[[#This Row],[DESIGNATION]])),"","NEED REF")</f>
        <v/>
      </c>
    </row>
    <row r="4226">
      <c r="B4226" t="n">
        <v>34409780</v>
      </c>
      <c r="C4226" s="2" t="n">
        <v>44456</v>
      </c>
      <c r="D4226" t="inlineStr">
        <is>
          <t>SPEC</t>
        </is>
      </c>
      <c r="E4226" t="inlineStr">
        <is>
          <t>MIDDLE CB NS1250H 3P3D 2.0 BYPASS GVX</t>
        </is>
      </c>
      <c r="G4226" t="inlineStr">
        <is>
          <t>GVX</t>
        </is>
      </c>
      <c r="H4226" t="inlineStr">
        <is>
          <t>BYPASS</t>
        </is>
      </c>
      <c r="J4226" t="inlineStr">
        <is>
          <t>JAWORSKI</t>
        </is>
      </c>
      <c r="K4226" t="inlineStr">
        <is>
          <t>=S=</t>
        </is>
      </c>
      <c r="L4226">
        <f>_xlfn.XLOOKUP(Tableau1[[#This Row],[TYPE DE PIECE]],Tableau4[MATIERE],Tableau4[SHORT TYPE],"",0,1)</f>
        <v/>
      </c>
      <c r="N4226">
        <f>IF(ISERR(FIND("DECOUPE",Tableau1[[#This Row],[DESIGNATION]])),"","NEED REF")</f>
        <v/>
      </c>
    </row>
    <row r="4227">
      <c r="B4227" t="n">
        <v>34409779</v>
      </c>
      <c r="C4227" s="2" t="n">
        <v>44456</v>
      </c>
      <c r="D4227" t="inlineStr">
        <is>
          <t>SPEC</t>
        </is>
      </c>
      <c r="E4227" t="inlineStr">
        <is>
          <t>HIGH CB NS1600H 3P3D 2.0 BYPASS GVX</t>
        </is>
      </c>
      <c r="G4227" t="inlineStr">
        <is>
          <t>GVX</t>
        </is>
      </c>
      <c r="H4227" t="inlineStr">
        <is>
          <t>BYPASS</t>
        </is>
      </c>
      <c r="J4227" t="inlineStr">
        <is>
          <t>JAWORSKI</t>
        </is>
      </c>
      <c r="K4227" t="inlineStr">
        <is>
          <t>=S=</t>
        </is>
      </c>
      <c r="L4227">
        <f>_xlfn.XLOOKUP(Tableau1[[#This Row],[TYPE DE PIECE]],Tableau4[MATIERE],Tableau4[SHORT TYPE],"",0,1)</f>
        <v/>
      </c>
      <c r="N4227">
        <f>IF(ISERR(FIND("DECOUPE",Tableau1[[#This Row],[DESIGNATION]])),"","NEED REF")</f>
        <v/>
      </c>
    </row>
    <row r="4228">
      <c r="B4228" t="n">
        <v>34409778</v>
      </c>
      <c r="C4228" s="2" t="n">
        <v>44454</v>
      </c>
      <c r="D4228" t="inlineStr">
        <is>
          <t>SPEC</t>
        </is>
      </c>
      <c r="E4228" t="inlineStr">
        <is>
          <t>KIT FILERIE COFFRET BACK FEED 580A - QSMA91069</t>
        </is>
      </c>
      <c r="G4228" t="inlineStr">
        <is>
          <t>ALL</t>
        </is>
      </c>
      <c r="H4228" t="inlineStr">
        <is>
          <t>AUX</t>
        </is>
      </c>
      <c r="J4228" t="inlineStr">
        <is>
          <t>MONGELLI</t>
        </is>
      </c>
      <c r="K4228" t="inlineStr">
        <is>
          <t>FILERIE</t>
        </is>
      </c>
      <c r="L4228">
        <f>_xlfn.XLOOKUP(Tableau1[[#This Row],[TYPE DE PIECE]],Tableau4[MATIERE],Tableau4[SHORT TYPE],"",0,1)</f>
        <v/>
      </c>
      <c r="N4228">
        <f>IF(ISERR(FIND("DECOUPE",Tableau1[[#This Row],[DESIGNATION]])),"","NEED REF")</f>
        <v/>
      </c>
    </row>
    <row r="4229">
      <c r="B4229" t="n">
        <v>34409777</v>
      </c>
      <c r="C4229" s="2" t="n">
        <v>44454</v>
      </c>
      <c r="D4229" t="inlineStr">
        <is>
          <t>SPEC</t>
        </is>
      </c>
      <c r="E4229" t="inlineStr">
        <is>
          <t>SMT JONCTION INTER CELLULE</t>
        </is>
      </c>
      <c r="G4229" t="inlineStr">
        <is>
          <t>GV</t>
        </is>
      </c>
      <c r="H4229" t="inlineStr">
        <is>
          <t>BATTERY</t>
        </is>
      </c>
      <c r="J4229" t="inlineStr">
        <is>
          <t>MATRION</t>
        </is>
      </c>
      <c r="K4229" t="inlineStr">
        <is>
          <t>METAL</t>
        </is>
      </c>
      <c r="L4229">
        <f>_xlfn.XLOOKUP(Tableau1[[#This Row],[TYPE DE PIECE]],Tableau4[MATIERE],Tableau4[SHORT TYPE],"",0,1)</f>
        <v/>
      </c>
      <c r="N4229">
        <f>IF(ISERR(FIND("DECOUPE",Tableau1[[#This Row],[DESIGNATION]])),"","NEED REF")</f>
        <v/>
      </c>
    </row>
    <row r="4230">
      <c r="B4230" t="n">
        <v>34409776</v>
      </c>
      <c r="C4230" s="2" t="n">
        <v>44454</v>
      </c>
      <c r="D4230" t="inlineStr">
        <is>
          <t>SPEC</t>
        </is>
      </c>
      <c r="E4230" t="inlineStr">
        <is>
          <t>SMT SURTOIT IP RAL9003</t>
        </is>
      </c>
      <c r="G4230" t="inlineStr">
        <is>
          <t>GV</t>
        </is>
      </c>
      <c r="H4230" t="inlineStr">
        <is>
          <t>BATTERY</t>
        </is>
      </c>
      <c r="J4230" t="inlineStr">
        <is>
          <t>MATRION</t>
        </is>
      </c>
      <c r="K4230" t="inlineStr">
        <is>
          <t>METAL</t>
        </is>
      </c>
      <c r="L4230">
        <f>_xlfn.XLOOKUP(Tableau1[[#This Row],[TYPE DE PIECE]],Tableau4[MATIERE],Tableau4[SHORT TYPE],"",0,1)</f>
        <v/>
      </c>
      <c r="N4230">
        <f>IF(ISERR(FIND("DECOUPE",Tableau1[[#This Row],[DESIGNATION]])),"","NEED REF")</f>
        <v/>
      </c>
    </row>
    <row r="4231">
      <c r="B4231" t="n">
        <v>34409775</v>
      </c>
      <c r="C4231" s="2" t="n">
        <v>44453</v>
      </c>
      <c r="D4231" t="inlineStr">
        <is>
          <t>SPEC</t>
        </is>
      </c>
      <c r="E4231" t="inlineStr">
        <is>
          <t>SMT SUPPORT BYPASS 3 SWITCH 3P</t>
        </is>
      </c>
      <c r="G4231" t="inlineStr">
        <is>
          <t>E3L</t>
        </is>
      </c>
      <c r="H4231" t="inlineStr">
        <is>
          <t>BYPASS</t>
        </is>
      </c>
      <c r="J4231" t="inlineStr">
        <is>
          <t>BERNARDEAU</t>
        </is>
      </c>
      <c r="K4231" t="inlineStr">
        <is>
          <t>METAL</t>
        </is>
      </c>
      <c r="L4231">
        <f>_xlfn.XLOOKUP(Tableau1[[#This Row],[TYPE DE PIECE]],Tableau4[MATIERE],Tableau4[SHORT TYPE],"",0,1)</f>
        <v/>
      </c>
      <c r="N4231">
        <f>IF(ISERR(FIND("DECOUPE",Tableau1[[#This Row],[DESIGNATION]])),"","NEED REF")</f>
        <v/>
      </c>
    </row>
    <row r="4232">
      <c r="B4232" t="n">
        <v>34409774</v>
      </c>
      <c r="C4232" s="2" t="n">
        <v>44452</v>
      </c>
      <c r="D4232" t="inlineStr">
        <is>
          <t>SPEC</t>
        </is>
      </c>
      <c r="E4232" t="inlineStr">
        <is>
          <t>SMT CADRE 2*NSX250 IP20</t>
        </is>
      </c>
      <c r="F4232" t="inlineStr">
        <is>
          <t>ELCORE DISTRIBUTION AG RUSSIA</t>
        </is>
      </c>
      <c r="G4232" t="inlineStr">
        <is>
          <t>GVM</t>
        </is>
      </c>
      <c r="H4232" t="inlineStr">
        <is>
          <t>BYPASS</t>
        </is>
      </c>
      <c r="J4232" t="inlineStr">
        <is>
          <t>JAWORSKI</t>
        </is>
      </c>
      <c r="K4232" t="inlineStr">
        <is>
          <t>METAL</t>
        </is>
      </c>
      <c r="L4232">
        <f>_xlfn.XLOOKUP(Tableau1[[#This Row],[TYPE DE PIECE]],Tableau4[MATIERE],Tableau4[SHORT TYPE],"",0,1)</f>
        <v/>
      </c>
      <c r="N4232">
        <f>IF(ISERR(FIND("DECOUPE",Tableau1[[#This Row],[DESIGNATION]])),"","NEED REF")</f>
        <v/>
      </c>
    </row>
    <row r="4233">
      <c r="B4233" t="n">
        <v>34409773</v>
      </c>
      <c r="C4233" s="2" t="n">
        <v>44452</v>
      </c>
      <c r="D4233" t="inlineStr">
        <is>
          <t>SPEC</t>
        </is>
      </c>
      <c r="E4233" t="inlineStr">
        <is>
          <t>HIGH CB NS1250N 4P4D 2.0E BYPASS GVX</t>
        </is>
      </c>
      <c r="G4233" t="inlineStr">
        <is>
          <t>GVX</t>
        </is>
      </c>
      <c r="H4233" t="inlineStr">
        <is>
          <t>BYPASS</t>
        </is>
      </c>
      <c r="J4233" t="inlineStr">
        <is>
          <t>MATRION</t>
        </is>
      </c>
      <c r="K4233" t="inlineStr">
        <is>
          <t>=S=</t>
        </is>
      </c>
      <c r="L4233">
        <f>_xlfn.XLOOKUP(Tableau1[[#This Row],[TYPE DE PIECE]],Tableau4[MATIERE],Tableau4[SHORT TYPE],"",0,1)</f>
        <v/>
      </c>
      <c r="N4233">
        <f>IF(ISERR(FIND("DECOUPE",Tableau1[[#This Row],[DESIGNATION]])),"","NEED REF")</f>
        <v/>
      </c>
    </row>
    <row r="4234">
      <c r="B4234" t="n">
        <v>34409772</v>
      </c>
      <c r="C4234" s="2" t="n">
        <v>44452</v>
      </c>
      <c r="D4234" t="inlineStr">
        <is>
          <t>SPEC</t>
        </is>
      </c>
      <c r="E4234" t="inlineStr">
        <is>
          <t>MIDDLE CB NS1250N 4P4D 2.0E BYPASS GVX</t>
        </is>
      </c>
      <c r="G4234" t="inlineStr">
        <is>
          <t>GVX</t>
        </is>
      </c>
      <c r="H4234" t="inlineStr">
        <is>
          <t>BYPASS</t>
        </is>
      </c>
      <c r="J4234" t="inlineStr">
        <is>
          <t>MATRION</t>
        </is>
      </c>
      <c r="K4234" t="inlineStr">
        <is>
          <t>=S=</t>
        </is>
      </c>
      <c r="L4234">
        <f>_xlfn.XLOOKUP(Tableau1[[#This Row],[TYPE DE PIECE]],Tableau4[MATIERE],Tableau4[SHORT TYPE],"",0,1)</f>
        <v/>
      </c>
      <c r="N4234">
        <f>IF(ISERR(FIND("DECOUPE",Tableau1[[#This Row],[DESIGNATION]])),"","NEED REF")</f>
        <v/>
      </c>
    </row>
    <row r="4235">
      <c r="B4235" t="n">
        <v>34409771</v>
      </c>
      <c r="C4235" s="2" t="n">
        <v>44452</v>
      </c>
      <c r="D4235" t="inlineStr">
        <is>
          <t>SPEC</t>
        </is>
      </c>
      <c r="E4235" t="inlineStr">
        <is>
          <t>BOTTOM CB NS1250N 4P4D 2.0E BYPASS GVX</t>
        </is>
      </c>
      <c r="G4235" t="inlineStr">
        <is>
          <t>GVX</t>
        </is>
      </c>
      <c r="H4235" t="inlineStr">
        <is>
          <t>BYPASS</t>
        </is>
      </c>
      <c r="J4235" t="inlineStr">
        <is>
          <t>MATRION</t>
        </is>
      </c>
      <c r="K4235" t="inlineStr">
        <is>
          <t>=S=</t>
        </is>
      </c>
      <c r="L4235">
        <f>_xlfn.XLOOKUP(Tableau1[[#This Row],[TYPE DE PIECE]],Tableau4[MATIERE],Tableau4[SHORT TYPE],"",0,1)</f>
        <v/>
      </c>
      <c r="N4235">
        <f>IF(ISERR(FIND("DECOUPE",Tableau1[[#This Row],[DESIGNATION]])),"","NEED REF")</f>
        <v/>
      </c>
    </row>
    <row r="4236">
      <c r="B4236" t="n">
        <v>34409770</v>
      </c>
      <c r="C4236" s="2" t="n">
        <v>44449</v>
      </c>
      <c r="D4236" t="inlineStr">
        <is>
          <t>SPEC</t>
        </is>
      </c>
      <c r="E4236" t="inlineStr">
        <is>
          <t>CACHE NSYATPUND</t>
        </is>
      </c>
      <c r="H4236" t="inlineStr">
        <is>
          <t>BYPASS</t>
        </is>
      </c>
      <c r="J4236" t="inlineStr">
        <is>
          <t>BERNARDEAU</t>
        </is>
      </c>
      <c r="L4236">
        <f>_xlfn.XLOOKUP(Tableau1[[#This Row],[TYPE DE PIECE]],Tableau4[MATIERE],Tableau4[SHORT TYPE],"",0,1)</f>
        <v/>
      </c>
      <c r="N4236">
        <f>IF(ISERR(FIND("DECOUPE",Tableau1[[#This Row],[DESIGNATION]])),"","NEED REF")</f>
        <v/>
      </c>
    </row>
    <row r="4237">
      <c r="B4237" t="n">
        <v>34409769</v>
      </c>
      <c r="C4237" s="2" t="n">
        <v>44449</v>
      </c>
      <c r="D4237" t="inlineStr">
        <is>
          <t>SPEC</t>
        </is>
      </c>
      <c r="E4237" t="inlineStr">
        <is>
          <t>SMT SUPPORT 2*NSX250</t>
        </is>
      </c>
      <c r="F4237" t="inlineStr">
        <is>
          <t>ELCORE DISTRIBUTION AG RUSSIA</t>
        </is>
      </c>
      <c r="G4237" t="inlineStr">
        <is>
          <t>GVM</t>
        </is>
      </c>
      <c r="H4237" t="inlineStr">
        <is>
          <t>BYPASS</t>
        </is>
      </c>
      <c r="J4237" t="inlineStr">
        <is>
          <t>JAWORSKI</t>
        </is>
      </c>
      <c r="K4237" t="inlineStr">
        <is>
          <t>METAL</t>
        </is>
      </c>
      <c r="L4237">
        <f>_xlfn.XLOOKUP(Tableau1[[#This Row],[TYPE DE PIECE]],Tableau4[MATIERE],Tableau4[SHORT TYPE],"",0,1)</f>
        <v/>
      </c>
      <c r="N4237">
        <f>IF(ISERR(FIND("DECOUPE",Tableau1[[#This Row],[DESIGNATION]])),"","NEED REF")</f>
        <v/>
      </c>
    </row>
    <row r="4238">
      <c r="B4238" t="n">
        <v>34409768</v>
      </c>
      <c r="C4238" s="2" t="n">
        <v>44449</v>
      </c>
      <c r="D4238" t="inlineStr">
        <is>
          <t>SPEC</t>
        </is>
      </c>
      <c r="E4238" t="inlineStr">
        <is>
          <t>KIT FILERIE BYPASS 3 SWITCHES</t>
        </is>
      </c>
      <c r="G4238" t="inlineStr">
        <is>
          <t>E3L</t>
        </is>
      </c>
      <c r="H4238" t="inlineStr">
        <is>
          <t>BYPASS</t>
        </is>
      </c>
      <c r="J4238" t="inlineStr">
        <is>
          <t>MATRION</t>
        </is>
      </c>
      <c r="K4238" t="inlineStr">
        <is>
          <t>FILERIE</t>
        </is>
      </c>
      <c r="L4238">
        <f>_xlfn.XLOOKUP(Tableau1[[#This Row],[TYPE DE PIECE]],Tableau4[MATIERE],Tableau4[SHORT TYPE],"",0,1)</f>
        <v/>
      </c>
      <c r="N4238">
        <f>IF(ISERR(FIND("DECOUPE",Tableau1[[#This Row],[DESIGNATION]])),"","NEED REF")</f>
        <v/>
      </c>
    </row>
    <row r="4239">
      <c r="B4239" t="n">
        <v>34409767</v>
      </c>
      <c r="C4239" s="2" t="n">
        <v>44448</v>
      </c>
      <c r="D4239" t="inlineStr">
        <is>
          <t>SPEC</t>
        </is>
      </c>
      <c r="E4239" t="inlineStr">
        <is>
          <t>HIGH SWITCH NS1600BNA 3P BYPASS E3L</t>
        </is>
      </c>
      <c r="G4239" t="inlineStr">
        <is>
          <t>E3L</t>
        </is>
      </c>
      <c r="H4239" t="inlineStr">
        <is>
          <t>BYPASS</t>
        </is>
      </c>
      <c r="J4239" t="inlineStr">
        <is>
          <t>MATRION</t>
        </is>
      </c>
      <c r="K4239" t="inlineStr">
        <is>
          <t>=S=</t>
        </is>
      </c>
      <c r="L4239">
        <f>_xlfn.XLOOKUP(Tableau1[[#This Row],[TYPE DE PIECE]],Tableau4[MATIERE],Tableau4[SHORT TYPE],"",0,1)</f>
        <v/>
      </c>
      <c r="N4239">
        <f>IF(ISERR(FIND("DECOUPE",Tableau1[[#This Row],[DESIGNATION]])),"","NEED REF")</f>
        <v/>
      </c>
    </row>
    <row r="4240">
      <c r="B4240" t="n">
        <v>34409766</v>
      </c>
      <c r="C4240" s="2" t="n">
        <v>44448</v>
      </c>
      <c r="D4240" t="inlineStr">
        <is>
          <t>SPEC</t>
        </is>
      </c>
      <c r="E4240" t="inlineStr">
        <is>
          <t>MIDDLE SWITCH NS1600BNA 3P BYPASS E3L</t>
        </is>
      </c>
      <c r="G4240" t="inlineStr">
        <is>
          <t>E3L</t>
        </is>
      </c>
      <c r="H4240" t="inlineStr">
        <is>
          <t>BYPASS</t>
        </is>
      </c>
      <c r="J4240" t="inlineStr">
        <is>
          <t>MATRION</t>
        </is>
      </c>
      <c r="K4240" t="inlineStr">
        <is>
          <t>=S=</t>
        </is>
      </c>
      <c r="L4240">
        <f>_xlfn.XLOOKUP(Tableau1[[#This Row],[TYPE DE PIECE]],Tableau4[MATIERE],Tableau4[SHORT TYPE],"",0,1)</f>
        <v/>
      </c>
      <c r="N4240">
        <f>IF(ISERR(FIND("DECOUPE",Tableau1[[#This Row],[DESIGNATION]])),"","NEED REF")</f>
        <v/>
      </c>
    </row>
    <row r="4241">
      <c r="B4241" t="n">
        <v>34409765</v>
      </c>
      <c r="C4241" s="2" t="n">
        <v>44448</v>
      </c>
      <c r="D4241" t="inlineStr">
        <is>
          <t>SPEC</t>
        </is>
      </c>
      <c r="E4241" t="inlineStr">
        <is>
          <t>BOTTOM SWITCH NS1600BNA 3P BYPASS E3L</t>
        </is>
      </c>
      <c r="G4241" t="inlineStr">
        <is>
          <t>E3L</t>
        </is>
      </c>
      <c r="H4241" t="inlineStr">
        <is>
          <t>BYPASS</t>
        </is>
      </c>
      <c r="J4241" t="inlineStr">
        <is>
          <t>MATRION</t>
        </is>
      </c>
      <c r="K4241" t="inlineStr">
        <is>
          <t>=S=</t>
        </is>
      </c>
      <c r="L4241">
        <f>_xlfn.XLOOKUP(Tableau1[[#This Row],[TYPE DE PIECE]],Tableau4[MATIERE],Tableau4[SHORT TYPE],"",0,1)</f>
        <v/>
      </c>
      <c r="N4241">
        <f>IF(ISERR(FIND("DECOUPE",Tableau1[[#This Row],[DESIGNATION]])),"","NEED REF")</f>
        <v/>
      </c>
    </row>
    <row r="4242">
      <c r="B4242" t="n">
        <v>34409764</v>
      </c>
      <c r="C4242" s="2" t="n">
        <v>44448</v>
      </c>
      <c r="D4242" t="inlineStr">
        <is>
          <t>SPEC</t>
        </is>
      </c>
      <c r="E4242" t="inlineStr">
        <is>
          <t>RAIL TELEX LG 590mm</t>
        </is>
      </c>
      <c r="F4242" t="inlineStr">
        <is>
          <t>SE BE0101</t>
        </is>
      </c>
      <c r="G4242" t="inlineStr">
        <is>
          <t>GVL</t>
        </is>
      </c>
      <c r="H4242" t="inlineStr">
        <is>
          <t>BYPASS</t>
        </is>
      </c>
      <c r="J4242" t="inlineStr">
        <is>
          <t>BERNARDEAU</t>
        </is>
      </c>
      <c r="K4242" t="inlineStr">
        <is>
          <t>METAL</t>
        </is>
      </c>
      <c r="L4242">
        <f>_xlfn.XLOOKUP(Tableau1[[#This Row],[TYPE DE PIECE]],Tableau4[MATIERE],Tableau4[SHORT TYPE],"",0,1)</f>
        <v/>
      </c>
      <c r="N4242">
        <f>IF(ISERR(FIND("DECOUPE",Tableau1[[#This Row],[DESIGNATION]])),"","NEED REF")</f>
        <v/>
      </c>
    </row>
    <row r="4243">
      <c r="B4243" t="n">
        <v>34409763</v>
      </c>
      <c r="C4243" s="2" t="n">
        <v>44448</v>
      </c>
      <c r="D4243" t="inlineStr">
        <is>
          <t>SPEC</t>
        </is>
      </c>
      <c r="E4243" t="inlineStr">
        <is>
          <t>Compact NSX250F - disjoncteur + déclencheur élect. micrologic 2.2 - 250A - 4P4d + 1OF + verrouillage</t>
        </is>
      </c>
      <c r="F4243" t="inlineStr">
        <is>
          <t>ELCORE DISTRIBUTION AG RUSSIA</t>
        </is>
      </c>
      <c r="G4243" t="inlineStr">
        <is>
          <t>GVM</t>
        </is>
      </c>
      <c r="H4243" t="inlineStr">
        <is>
          <t>BYPASS</t>
        </is>
      </c>
      <c r="J4243" t="inlineStr">
        <is>
          <t>JAWORSKI</t>
        </is>
      </c>
      <c r="K4243" t="inlineStr">
        <is>
          <t>=S=</t>
        </is>
      </c>
      <c r="L4243">
        <f>_xlfn.XLOOKUP(Tableau1[[#This Row],[TYPE DE PIECE]],Tableau4[MATIERE],Tableau4[SHORT TYPE],"",0,1)</f>
        <v/>
      </c>
      <c r="N4243">
        <f>IF(ISERR(FIND("DECOUPE",Tableau1[[#This Row],[DESIGNATION]])),"","NEED REF")</f>
        <v/>
      </c>
    </row>
    <row r="4244">
      <c r="B4244" t="n">
        <v>34409762</v>
      </c>
      <c r="C4244" s="2" t="n">
        <v>44448</v>
      </c>
      <c r="D4244" t="inlineStr">
        <is>
          <t>SPEC</t>
        </is>
      </c>
      <c r="E4244" t="inlineStr">
        <is>
          <t>SMT SUPPORT BYPASS 2SWITCH 3P</t>
        </is>
      </c>
      <c r="G4244" t="inlineStr">
        <is>
          <t>E3L</t>
        </is>
      </c>
      <c r="H4244" t="inlineStr">
        <is>
          <t>BYPASS</t>
        </is>
      </c>
      <c r="J4244" t="inlineStr">
        <is>
          <t>MATRION</t>
        </is>
      </c>
      <c r="K4244" t="inlineStr">
        <is>
          <t>METAL</t>
        </is>
      </c>
      <c r="L4244">
        <f>_xlfn.XLOOKUP(Tableau1[[#This Row],[TYPE DE PIECE]],Tableau4[MATIERE],Tableau4[SHORT TYPE],"",0,1)</f>
        <v/>
      </c>
      <c r="N4244">
        <f>IF(ISERR(FIND("DECOUPE",Tableau1[[#This Row],[DESIGNATION]])),"","NEED REF")</f>
        <v/>
      </c>
    </row>
    <row r="4245">
      <c r="B4245" t="n">
        <v>34409761</v>
      </c>
      <c r="C4245" s="2" t="n">
        <v>44448</v>
      </c>
      <c r="D4245" t="inlineStr">
        <is>
          <t>SPEC</t>
        </is>
      </c>
      <c r="E4245" t="inlineStr">
        <is>
          <t>SMT TOIT IP21 GVEAC7G</t>
        </is>
      </c>
      <c r="F4245" t="inlineStr">
        <is>
          <t>SE BE0101</t>
        </is>
      </c>
      <c r="G4245" t="inlineStr">
        <is>
          <t>GVL</t>
        </is>
      </c>
      <c r="H4245" t="inlineStr">
        <is>
          <t>BYPASS</t>
        </is>
      </c>
      <c r="J4245" t="inlineStr">
        <is>
          <t>BERNARDEAU</t>
        </is>
      </c>
      <c r="K4245" t="inlineStr">
        <is>
          <t>METAL</t>
        </is>
      </c>
      <c r="L4245">
        <f>_xlfn.XLOOKUP(Tableau1[[#This Row],[TYPE DE PIECE]],Tableau4[MATIERE],Tableau4[SHORT TYPE],"",0,1)</f>
        <v/>
      </c>
      <c r="N4245">
        <f>IF(ISERR(FIND("DECOUPE",Tableau1[[#This Row],[DESIGNATION]])),"","NEED REF")</f>
        <v/>
      </c>
    </row>
    <row r="4246">
      <c r="B4246" t="n">
        <v>34409760</v>
      </c>
      <c r="C4246" s="2" t="n">
        <v>44447</v>
      </c>
      <c r="D4246" t="inlineStr">
        <is>
          <t>SPEC</t>
        </is>
      </c>
      <c r="E4246" t="inlineStr">
        <is>
          <t>SMT TRAVERSE SUPPORT BORNIER D185/55_FF</t>
        </is>
      </c>
      <c r="F4246" t="inlineStr">
        <is>
          <t>SE BE0101</t>
        </is>
      </c>
      <c r="G4246" t="inlineStr">
        <is>
          <t>GVL</t>
        </is>
      </c>
      <c r="H4246" t="inlineStr">
        <is>
          <t>BYPASS</t>
        </is>
      </c>
      <c r="J4246" t="inlineStr">
        <is>
          <t>BERNARDEAU</t>
        </is>
      </c>
      <c r="K4246" t="inlineStr">
        <is>
          <t>METAL</t>
        </is>
      </c>
      <c r="L4246">
        <f>_xlfn.XLOOKUP(Tableau1[[#This Row],[TYPE DE PIECE]],Tableau4[MATIERE],Tableau4[SHORT TYPE],"",0,1)</f>
        <v/>
      </c>
      <c r="N4246">
        <f>IF(ISERR(FIND("DECOUPE",Tableau1[[#This Row],[DESIGNATION]])),"","NEED REF")</f>
        <v/>
      </c>
    </row>
    <row r="4247">
      <c r="B4247" t="n">
        <v>34409759</v>
      </c>
      <c r="C4247" s="2" t="n">
        <v>44446</v>
      </c>
      <c r="D4247" t="inlineStr">
        <is>
          <t>SPEC</t>
        </is>
      </c>
      <c r="E4247" t="inlineStr">
        <is>
          <t>PLA PLASTRON 4</t>
        </is>
      </c>
      <c r="F4247" t="inlineStr">
        <is>
          <t>SE BE0101</t>
        </is>
      </c>
      <c r="G4247" t="inlineStr">
        <is>
          <t>GVL</t>
        </is>
      </c>
      <c r="H4247" t="inlineStr">
        <is>
          <t>BYPASS</t>
        </is>
      </c>
      <c r="J4247" t="inlineStr">
        <is>
          <t>BERNARDEAU</t>
        </is>
      </c>
      <c r="K4247" t="inlineStr">
        <is>
          <t>METAL</t>
        </is>
      </c>
      <c r="L4247">
        <f>_xlfn.XLOOKUP(Tableau1[[#This Row],[TYPE DE PIECE]],Tableau4[MATIERE],Tableau4[SHORT TYPE],"",0,1)</f>
        <v/>
      </c>
      <c r="N4247">
        <f>IF(ISERR(FIND("DECOUPE",Tableau1[[#This Row],[DESIGNATION]])),"","NEED REF")</f>
        <v/>
      </c>
    </row>
    <row r="4248">
      <c r="B4248" t="n">
        <v>34409758</v>
      </c>
      <c r="C4248" s="2" t="n">
        <v>44446</v>
      </c>
      <c r="D4248" t="inlineStr">
        <is>
          <t>SPEC</t>
        </is>
      </c>
      <c r="E4248" t="inlineStr">
        <is>
          <t>SMT SUPPORT NSX400-NSX630</t>
        </is>
      </c>
      <c r="F4248" t="inlineStr">
        <is>
          <t>SE BE0101</t>
        </is>
      </c>
      <c r="G4248" t="inlineStr">
        <is>
          <t>GVL</t>
        </is>
      </c>
      <c r="H4248" t="inlineStr">
        <is>
          <t>BYPASS</t>
        </is>
      </c>
      <c r="J4248" t="inlineStr">
        <is>
          <t>BERNARDEAU</t>
        </is>
      </c>
      <c r="K4248" t="inlineStr">
        <is>
          <t>METAL</t>
        </is>
      </c>
      <c r="L4248">
        <f>_xlfn.XLOOKUP(Tableau1[[#This Row],[TYPE DE PIECE]],Tableau4[MATIERE],Tableau4[SHORT TYPE],"",0,1)</f>
        <v/>
      </c>
      <c r="N4248">
        <f>IF(ISERR(FIND("DECOUPE",Tableau1[[#This Row],[DESIGNATION]])),"","NEED REF")</f>
        <v/>
      </c>
    </row>
    <row r="4249">
      <c r="B4249" t="n">
        <v>34409757</v>
      </c>
      <c r="C4249" s="2" t="n">
        <v>44446</v>
      </c>
      <c r="D4249" t="inlineStr">
        <is>
          <t>SPEC</t>
        </is>
      </c>
      <c r="E4249" t="inlineStr">
        <is>
          <t>COP BUSBAR 04516 LG 550mm</t>
        </is>
      </c>
      <c r="F4249" t="inlineStr">
        <is>
          <t>SE BE0101</t>
        </is>
      </c>
      <c r="G4249" t="inlineStr">
        <is>
          <t>GVL</t>
        </is>
      </c>
      <c r="H4249" t="inlineStr">
        <is>
          <t>BYPASS</t>
        </is>
      </c>
      <c r="J4249" t="inlineStr">
        <is>
          <t>BERNARDEAU</t>
        </is>
      </c>
      <c r="K4249" t="inlineStr">
        <is>
          <t>CUIVRE</t>
        </is>
      </c>
      <c r="L4249">
        <f>_xlfn.XLOOKUP(Tableau1[[#This Row],[TYPE DE PIECE]],Tableau4[MATIERE],Tableau4[SHORT TYPE],"",0,1)</f>
        <v/>
      </c>
      <c r="N4249">
        <f>IF(ISERR(FIND("DECOUPE",Tableau1[[#This Row],[DESIGNATION]])),"","NEED REF")</f>
        <v/>
      </c>
    </row>
    <row r="4250">
      <c r="B4250" t="n">
        <v>34409756</v>
      </c>
      <c r="C4250" s="2" t="n">
        <v>44446</v>
      </c>
      <c r="D4250" t="inlineStr">
        <is>
          <t>SPEC</t>
        </is>
      </c>
      <c r="E4250" t="inlineStr">
        <is>
          <t>PLA PLASTRON 3</t>
        </is>
      </c>
      <c r="F4250" t="inlineStr">
        <is>
          <t>SE BE0101</t>
        </is>
      </c>
      <c r="G4250" t="inlineStr">
        <is>
          <t>GVL</t>
        </is>
      </c>
      <c r="H4250" t="inlineStr">
        <is>
          <t>BYPASS</t>
        </is>
      </c>
      <c r="J4250" t="inlineStr">
        <is>
          <t>BERNARDEAU</t>
        </is>
      </c>
      <c r="K4250" t="inlineStr">
        <is>
          <t>METAL</t>
        </is>
      </c>
      <c r="L4250">
        <f>_xlfn.XLOOKUP(Tableau1[[#This Row],[TYPE DE PIECE]],Tableau4[MATIERE],Tableau4[SHORT TYPE],"",0,1)</f>
        <v/>
      </c>
      <c r="N4250">
        <f>IF(ISERR(FIND("DECOUPE",Tableau1[[#This Row],[DESIGNATION]])),"","NEED REF")</f>
        <v/>
      </c>
    </row>
    <row r="4251">
      <c r="B4251" t="n">
        <v>34409755</v>
      </c>
      <c r="C4251" s="2" t="n">
        <v>44445</v>
      </c>
      <c r="D4251" t="inlineStr">
        <is>
          <t>SPEC</t>
        </is>
      </c>
      <c r="E4251" t="inlineStr">
        <is>
          <t>SMT BRIDE TRAVERSE 650MM</t>
        </is>
      </c>
      <c r="F4251" t="inlineStr">
        <is>
          <t>SE BE0101</t>
        </is>
      </c>
      <c r="G4251" t="inlineStr">
        <is>
          <t>GVL</t>
        </is>
      </c>
      <c r="H4251" t="inlineStr">
        <is>
          <t>BYPASS</t>
        </is>
      </c>
      <c r="J4251" t="inlineStr">
        <is>
          <t>BERNARDEAU</t>
        </is>
      </c>
      <c r="K4251" t="inlineStr">
        <is>
          <t>METAL</t>
        </is>
      </c>
      <c r="L4251">
        <f>_xlfn.XLOOKUP(Tableau1[[#This Row],[TYPE DE PIECE]],Tableau4[MATIERE],Tableau4[SHORT TYPE],"",0,1)</f>
        <v/>
      </c>
      <c r="N4251">
        <f>IF(ISERR(FIND("DECOUPE",Tableau1[[#This Row],[DESIGNATION]])),"","NEED REF")</f>
        <v/>
      </c>
    </row>
    <row r="4252">
      <c r="B4252" t="n">
        <v>34409754</v>
      </c>
      <c r="C4252" s="2" t="n">
        <v>44441</v>
      </c>
      <c r="D4252" t="inlineStr">
        <is>
          <t>SPEC</t>
        </is>
      </c>
      <c r="E4252" t="inlineStr">
        <is>
          <t>COP LIAISON NSX250 LINERGY L3</t>
        </is>
      </c>
      <c r="G4252" t="inlineStr">
        <is>
          <t>GVS</t>
        </is>
      </c>
      <c r="H4252" t="inlineStr">
        <is>
          <t>BYPASS</t>
        </is>
      </c>
      <c r="J4252" t="inlineStr">
        <is>
          <t>MATRION</t>
        </is>
      </c>
      <c r="K4252" t="inlineStr">
        <is>
          <t>CUIVRE</t>
        </is>
      </c>
      <c r="L4252">
        <f>_xlfn.XLOOKUP(Tableau1[[#This Row],[TYPE DE PIECE]],Tableau4[MATIERE],Tableau4[SHORT TYPE],"",0,1)</f>
        <v/>
      </c>
      <c r="N4252">
        <f>IF(ISERR(FIND("DECOUPE",Tableau1[[#This Row],[DESIGNATION]])),"","NEED REF")</f>
        <v/>
      </c>
    </row>
    <row r="4253">
      <c r="B4253" t="n">
        <v>34409753</v>
      </c>
      <c r="C4253" s="2" t="n">
        <v>44441</v>
      </c>
      <c r="D4253" t="inlineStr">
        <is>
          <t>SPEC</t>
        </is>
      </c>
      <c r="E4253" t="inlineStr">
        <is>
          <t>COP LIAISON NSX250 LINERGY L2</t>
        </is>
      </c>
      <c r="G4253" t="inlineStr">
        <is>
          <t>GVS</t>
        </is>
      </c>
      <c r="H4253" t="inlineStr">
        <is>
          <t>BYPASS</t>
        </is>
      </c>
      <c r="J4253" t="inlineStr">
        <is>
          <t>MATRION</t>
        </is>
      </c>
      <c r="K4253" t="inlineStr">
        <is>
          <t>CUIVRE</t>
        </is>
      </c>
      <c r="L4253">
        <f>_xlfn.XLOOKUP(Tableau1[[#This Row],[TYPE DE PIECE]],Tableau4[MATIERE],Tableau4[SHORT TYPE],"",0,1)</f>
        <v/>
      </c>
      <c r="N4253">
        <f>IF(ISERR(FIND("DECOUPE",Tableau1[[#This Row],[DESIGNATION]])),"","NEED REF")</f>
        <v/>
      </c>
    </row>
    <row r="4254">
      <c r="B4254" t="n">
        <v>34409752</v>
      </c>
      <c r="C4254" s="2" t="n">
        <v>44441</v>
      </c>
      <c r="D4254" t="inlineStr">
        <is>
          <t>SPEC</t>
        </is>
      </c>
      <c r="E4254" t="inlineStr">
        <is>
          <t>COP LIAISON NSX250 LINERGY L1</t>
        </is>
      </c>
      <c r="G4254" t="inlineStr">
        <is>
          <t>GVS</t>
        </is>
      </c>
      <c r="H4254" t="inlineStr">
        <is>
          <t>BYPASS</t>
        </is>
      </c>
      <c r="J4254" t="inlineStr">
        <is>
          <t>MATRION</t>
        </is>
      </c>
      <c r="K4254" t="inlineStr">
        <is>
          <t>CUIVRE</t>
        </is>
      </c>
      <c r="L4254">
        <f>_xlfn.XLOOKUP(Tableau1[[#This Row],[TYPE DE PIECE]],Tableau4[MATIERE],Tableau4[SHORT TYPE],"",0,1)</f>
        <v/>
      </c>
      <c r="N4254">
        <f>IF(ISERR(FIND("DECOUPE",Tableau1[[#This Row],[DESIGNATION]])),"","NEED REF")</f>
        <v/>
      </c>
    </row>
    <row r="4255">
      <c r="B4255" t="n">
        <v>34409751</v>
      </c>
      <c r="C4255" s="2" t="n">
        <v>44441</v>
      </c>
      <c r="D4255" t="inlineStr">
        <is>
          <t>SPEC</t>
        </is>
      </c>
      <c r="E4255" t="inlineStr">
        <is>
          <t>COP LIAISON NSX250 LINERGY N</t>
        </is>
      </c>
      <c r="G4255" t="inlineStr">
        <is>
          <t>GVS</t>
        </is>
      </c>
      <c r="H4255" t="inlineStr">
        <is>
          <t>BYPASS</t>
        </is>
      </c>
      <c r="J4255" t="inlineStr">
        <is>
          <t>MATRION</t>
        </is>
      </c>
      <c r="K4255" t="inlineStr">
        <is>
          <t>CUIVRE</t>
        </is>
      </c>
      <c r="L4255">
        <f>_xlfn.XLOOKUP(Tableau1[[#This Row],[TYPE DE PIECE]],Tableau4[MATIERE],Tableau4[SHORT TYPE],"",0,1)</f>
        <v/>
      </c>
      <c r="N4255">
        <f>IF(ISERR(FIND("DECOUPE",Tableau1[[#This Row],[DESIGNATION]])),"","NEED REF")</f>
        <v/>
      </c>
    </row>
    <row r="4256">
      <c r="B4256" t="n">
        <v>34409750</v>
      </c>
      <c r="C4256" s="2" t="n">
        <v>44441</v>
      </c>
      <c r="D4256" t="inlineStr">
        <is>
          <t>SPEC</t>
        </is>
      </c>
      <c r="E4256" t="inlineStr">
        <is>
          <t>SMT TOIT IP21 onduleur</t>
        </is>
      </c>
      <c r="F4256" t="inlineStr">
        <is>
          <t>SE BE0101</t>
        </is>
      </c>
      <c r="G4256" t="inlineStr">
        <is>
          <t>GVL</t>
        </is>
      </c>
      <c r="H4256" t="inlineStr">
        <is>
          <t>BYPASS</t>
        </is>
      </c>
      <c r="J4256" t="inlineStr">
        <is>
          <t>BERNARDEAU</t>
        </is>
      </c>
      <c r="K4256" t="inlineStr">
        <is>
          <t>METAL</t>
        </is>
      </c>
      <c r="L4256">
        <f>_xlfn.XLOOKUP(Tableau1[[#This Row],[TYPE DE PIECE]],Tableau4[MATIERE],Tableau4[SHORT TYPE],"",0,1)</f>
        <v/>
      </c>
      <c r="N4256">
        <f>IF(ISERR(FIND("DECOUPE",Tableau1[[#This Row],[DESIGNATION]])),"","NEED REF")</f>
        <v/>
      </c>
    </row>
    <row r="4257">
      <c r="B4257" t="n">
        <v>34409749</v>
      </c>
      <c r="C4257" s="2" t="n">
        <v>44441</v>
      </c>
      <c r="D4257" t="inlineStr">
        <is>
          <t>SPEC</t>
        </is>
      </c>
      <c r="E4257" t="inlineStr">
        <is>
          <t>SMT support toit ar onduleur</t>
        </is>
      </c>
      <c r="F4257" t="inlineStr">
        <is>
          <t>SE BE0101</t>
        </is>
      </c>
      <c r="G4257" t="inlineStr">
        <is>
          <t>GVL</t>
        </is>
      </c>
      <c r="H4257" t="inlineStr">
        <is>
          <t>BYPASS</t>
        </is>
      </c>
      <c r="J4257" t="inlineStr">
        <is>
          <t>BERNARDEAU</t>
        </is>
      </c>
      <c r="K4257" t="inlineStr">
        <is>
          <t>METAL</t>
        </is>
      </c>
      <c r="L4257">
        <f>_xlfn.XLOOKUP(Tableau1[[#This Row],[TYPE DE PIECE]],Tableau4[MATIERE],Tableau4[SHORT TYPE],"",0,1)</f>
        <v/>
      </c>
      <c r="N4257">
        <f>IF(ISERR(FIND("DECOUPE",Tableau1[[#This Row],[DESIGNATION]])),"","NEED REF")</f>
        <v/>
      </c>
    </row>
    <row r="4258">
      <c r="B4258" t="n">
        <v>34409748</v>
      </c>
      <c r="C4258" s="2" t="n">
        <v>44441</v>
      </c>
      <c r="D4258" t="inlineStr">
        <is>
          <t>SPEC</t>
        </is>
      </c>
      <c r="E4258" t="inlineStr">
        <is>
          <t>SMT support toit av onduleur</t>
        </is>
      </c>
      <c r="F4258" t="inlineStr">
        <is>
          <t>SE BE0101</t>
        </is>
      </c>
      <c r="G4258" t="inlineStr">
        <is>
          <t>GVL</t>
        </is>
      </c>
      <c r="H4258" t="inlineStr">
        <is>
          <t>BYPASS</t>
        </is>
      </c>
      <c r="J4258" t="inlineStr">
        <is>
          <t>BERNARDEAU</t>
        </is>
      </c>
      <c r="K4258" t="inlineStr">
        <is>
          <t>METAL</t>
        </is>
      </c>
      <c r="L4258">
        <f>_xlfn.XLOOKUP(Tableau1[[#This Row],[TYPE DE PIECE]],Tableau4[MATIERE],Tableau4[SHORT TYPE],"",0,1)</f>
        <v/>
      </c>
      <c r="N4258">
        <f>IF(ISERR(FIND("DECOUPE",Tableau1[[#This Row],[DESIGNATION]])),"","NEED REF")</f>
        <v/>
      </c>
    </row>
    <row r="4259">
      <c r="B4259" t="n">
        <v>34409747</v>
      </c>
      <c r="C4259" s="2" t="n">
        <v>44440</v>
      </c>
      <c r="D4259" t="inlineStr">
        <is>
          <t>SPEC</t>
        </is>
      </c>
      <c r="E4259" t="inlineStr">
        <is>
          <t>TOIT IP21 GVEAC500 + BYPASS</t>
        </is>
      </c>
      <c r="F4259" t="inlineStr">
        <is>
          <t>SE BE0101</t>
        </is>
      </c>
      <c r="G4259" t="inlineStr">
        <is>
          <t>GVL</t>
        </is>
      </c>
      <c r="H4259" t="inlineStr">
        <is>
          <t>BYPASS</t>
        </is>
      </c>
      <c r="J4259" t="inlineStr">
        <is>
          <t>BERNARDEAU</t>
        </is>
      </c>
      <c r="K4259" t="inlineStr">
        <is>
          <t>METAL</t>
        </is>
      </c>
      <c r="L4259">
        <f>_xlfn.XLOOKUP(Tableau1[[#This Row],[TYPE DE PIECE]],Tableau4[MATIERE],Tableau4[SHORT TYPE],"",0,1)</f>
        <v/>
      </c>
      <c r="N4259">
        <f>IF(ISERR(FIND("DECOUPE",Tableau1[[#This Row],[DESIGNATION]])),"","NEED REF")</f>
        <v/>
      </c>
    </row>
    <row r="4260">
      <c r="B4260" t="n">
        <v>34409746</v>
      </c>
      <c r="C4260" s="2" t="n">
        <v>44439</v>
      </c>
      <c r="D4260" t="inlineStr">
        <is>
          <t>SPEC</t>
        </is>
      </c>
      <c r="E4260" t="inlineStr">
        <is>
          <t>ARMOIRE SAREL SF H1600xL300xP800 RAL9003 FAF0002979 - F21080289OCE</t>
        </is>
      </c>
      <c r="F4260" t="inlineStr">
        <is>
          <t>AMAZON</t>
        </is>
      </c>
      <c r="G4260" t="inlineStr">
        <is>
          <t>GVS</t>
        </is>
      </c>
      <c r="J4260" t="inlineStr">
        <is>
          <t>MONGELLI</t>
        </is>
      </c>
      <c r="K4260" t="inlineStr">
        <is>
          <t>SAREL</t>
        </is>
      </c>
      <c r="L4260">
        <f>_xlfn.XLOOKUP(Tableau1[[#This Row],[TYPE DE PIECE]],Tableau4[MATIERE],Tableau4[SHORT TYPE],"",0,1)</f>
        <v/>
      </c>
      <c r="N4260">
        <f>IF(ISERR(FIND("DECOUPE",Tableau1[[#This Row],[DESIGNATION]])),"","NEED REF")</f>
        <v/>
      </c>
    </row>
    <row r="4261">
      <c r="B4261" t="n">
        <v>34409745</v>
      </c>
      <c r="C4261" s="2" t="n">
        <v>44439</v>
      </c>
      <c r="D4261" t="inlineStr">
        <is>
          <t>SPEC</t>
        </is>
      </c>
      <c r="E4261" t="inlineStr">
        <is>
          <t>SMT support toit ar GVEAC500 RAL9003</t>
        </is>
      </c>
      <c r="F4261" t="inlineStr">
        <is>
          <t>SE BE0101</t>
        </is>
      </c>
      <c r="G4261" t="inlineStr">
        <is>
          <t>GVL</t>
        </is>
      </c>
      <c r="H4261" t="inlineStr">
        <is>
          <t>BYPASS</t>
        </is>
      </c>
      <c r="J4261" t="inlineStr">
        <is>
          <t>BERNARDEAU</t>
        </is>
      </c>
      <c r="K4261" t="inlineStr">
        <is>
          <t>METAL</t>
        </is>
      </c>
      <c r="L4261">
        <f>_xlfn.XLOOKUP(Tableau1[[#This Row],[TYPE DE PIECE]],Tableau4[MATIERE],Tableau4[SHORT TYPE],"",0,1)</f>
        <v/>
      </c>
      <c r="N4261">
        <f>IF(ISERR(FIND("DECOUPE",Tableau1[[#This Row],[DESIGNATION]])),"","NEED REF")</f>
        <v/>
      </c>
    </row>
    <row r="4262">
      <c r="B4262" t="n">
        <v>34409744</v>
      </c>
      <c r="C4262" s="2" t="n">
        <v>44439</v>
      </c>
      <c r="D4262" t="inlineStr">
        <is>
          <t>SPEC</t>
        </is>
      </c>
      <c r="E4262" t="inlineStr">
        <is>
          <t>SMT support toit av GVEAC500 RAL9003</t>
        </is>
      </c>
      <c r="F4262" t="inlineStr">
        <is>
          <t>SE BE0101</t>
        </is>
      </c>
      <c r="G4262" t="inlineStr">
        <is>
          <t>GVL</t>
        </is>
      </c>
      <c r="H4262" t="inlineStr">
        <is>
          <t>BYPASS</t>
        </is>
      </c>
      <c r="J4262" t="inlineStr">
        <is>
          <t>BERNARDEAU</t>
        </is>
      </c>
      <c r="K4262" t="inlineStr">
        <is>
          <t>METAL</t>
        </is>
      </c>
      <c r="L4262">
        <f>_xlfn.XLOOKUP(Tableau1[[#This Row],[TYPE DE PIECE]],Tableau4[MATIERE],Tableau4[SHORT TYPE],"",0,1)</f>
        <v/>
      </c>
      <c r="N4262">
        <f>IF(ISERR(FIND("DECOUPE",Tableau1[[#This Row],[DESIGNATION]])),"","NEED REF")</f>
        <v/>
      </c>
    </row>
    <row r="4263">
      <c r="B4263" t="n">
        <v>34409743</v>
      </c>
      <c r="C4263" s="2" t="n">
        <v>44439</v>
      </c>
      <c r="D4263" t="inlineStr">
        <is>
          <t>SPEC</t>
        </is>
      </c>
      <c r="E4263" t="inlineStr">
        <is>
          <t>SMT support toit ar BYPASS</t>
        </is>
      </c>
      <c r="F4263" t="inlineStr">
        <is>
          <t>SE BE0101</t>
        </is>
      </c>
      <c r="G4263" t="inlineStr">
        <is>
          <t>GVL</t>
        </is>
      </c>
      <c r="H4263" t="inlineStr">
        <is>
          <t>BYPASS</t>
        </is>
      </c>
      <c r="J4263" t="inlineStr">
        <is>
          <t>BERNARDEAU</t>
        </is>
      </c>
      <c r="K4263" t="inlineStr">
        <is>
          <t>METAL</t>
        </is>
      </c>
      <c r="L4263">
        <f>_xlfn.XLOOKUP(Tableau1[[#This Row],[TYPE DE PIECE]],Tableau4[MATIERE],Tableau4[SHORT TYPE],"",0,1)</f>
        <v/>
      </c>
      <c r="N4263">
        <f>IF(ISERR(FIND("DECOUPE",Tableau1[[#This Row],[DESIGNATION]])),"","NEED REF")</f>
        <v/>
      </c>
    </row>
    <row r="4264">
      <c r="B4264" t="n">
        <v>34409742</v>
      </c>
      <c r="C4264" s="2" t="n">
        <v>44439</v>
      </c>
      <c r="D4264" t="inlineStr">
        <is>
          <t>SPEC</t>
        </is>
      </c>
      <c r="E4264" t="inlineStr">
        <is>
          <t>SMT support toit av BYPASS</t>
        </is>
      </c>
      <c r="F4264" t="inlineStr">
        <is>
          <t>SE BE0101</t>
        </is>
      </c>
      <c r="G4264" t="inlineStr">
        <is>
          <t>GVL</t>
        </is>
      </c>
      <c r="H4264" t="inlineStr">
        <is>
          <t>BYPASS</t>
        </is>
      </c>
      <c r="J4264" t="inlineStr">
        <is>
          <t>BERNARDEAU</t>
        </is>
      </c>
      <c r="K4264" t="inlineStr">
        <is>
          <t>METAL</t>
        </is>
      </c>
      <c r="L4264">
        <f>_xlfn.XLOOKUP(Tableau1[[#This Row],[TYPE DE PIECE]],Tableau4[MATIERE],Tableau4[SHORT TYPE],"",0,1)</f>
        <v/>
      </c>
      <c r="N4264">
        <f>IF(ISERR(FIND("DECOUPE",Tableau1[[#This Row],[DESIGNATION]])),"","NEED REF")</f>
        <v/>
      </c>
    </row>
    <row r="4265">
      <c r="B4265" t="n">
        <v>34409741</v>
      </c>
      <c r="C4265" s="2" t="n">
        <v>44439</v>
      </c>
      <c r="D4265" t="inlineStr">
        <is>
          <t>SPEC</t>
        </is>
      </c>
      <c r="E4265" t="inlineStr">
        <is>
          <t>COP LIAISON NSX250 LINERGY L3</t>
        </is>
      </c>
      <c r="G4265" t="inlineStr">
        <is>
          <t>GVL</t>
        </is>
      </c>
      <c r="H4265" t="inlineStr">
        <is>
          <t>BYPASS</t>
        </is>
      </c>
      <c r="J4265" t="inlineStr">
        <is>
          <t>MATRION</t>
        </is>
      </c>
      <c r="L4265">
        <f>_xlfn.XLOOKUP(Tableau1[[#This Row],[TYPE DE PIECE]],Tableau4[MATIERE],Tableau4[SHORT TYPE],"",0,1)</f>
        <v/>
      </c>
      <c r="N4265">
        <f>IF(ISERR(FIND("DECOUPE",Tableau1[[#This Row],[DESIGNATION]])),"","NEED REF")</f>
        <v/>
      </c>
    </row>
    <row r="4266">
      <c r="B4266" t="n">
        <v>34409740</v>
      </c>
      <c r="C4266" s="2" t="n">
        <v>44434</v>
      </c>
      <c r="D4266" t="inlineStr">
        <is>
          <t>SPEC</t>
        </is>
      </c>
      <c r="E4266" t="inlineStr">
        <is>
          <t>NS 1000L u2.0 HAUT</t>
        </is>
      </c>
      <c r="G4266" t="inlineStr">
        <is>
          <t>E3L</t>
        </is>
      </c>
      <c r="H4266" t="inlineStr">
        <is>
          <t>BYPASS</t>
        </is>
      </c>
      <c r="J4266" t="inlineStr">
        <is>
          <t>MATRION</t>
        </is>
      </c>
      <c r="K4266" t="inlineStr">
        <is>
          <t>=S=</t>
        </is>
      </c>
      <c r="L4266">
        <f>_xlfn.XLOOKUP(Tableau1[[#This Row],[TYPE DE PIECE]],Tableau4[MATIERE],Tableau4[SHORT TYPE],"",0,1)</f>
        <v/>
      </c>
      <c r="N4266">
        <f>IF(ISERR(FIND("DECOUPE",Tableau1[[#This Row],[DESIGNATION]])),"","NEED REF")</f>
        <v/>
      </c>
    </row>
    <row r="4267">
      <c r="B4267" t="n">
        <v>34409739</v>
      </c>
      <c r="C4267" s="2" t="n">
        <v>44434</v>
      </c>
      <c r="D4267" t="inlineStr">
        <is>
          <t>SPEC</t>
        </is>
      </c>
      <c r="E4267" t="inlineStr">
        <is>
          <t>NS 1000L u2.0 BAS</t>
        </is>
      </c>
      <c r="G4267" t="inlineStr">
        <is>
          <t>E3L</t>
        </is>
      </c>
      <c r="H4267" t="inlineStr">
        <is>
          <t>BYPASS</t>
        </is>
      </c>
      <c r="J4267" t="inlineStr">
        <is>
          <t>MATRION</t>
        </is>
      </c>
      <c r="K4267" t="inlineStr">
        <is>
          <t>=S=</t>
        </is>
      </c>
      <c r="L4267">
        <f>_xlfn.XLOOKUP(Tableau1[[#This Row],[TYPE DE PIECE]],Tableau4[MATIERE],Tableau4[SHORT TYPE],"",0,1)</f>
        <v/>
      </c>
      <c r="N4267">
        <f>IF(ISERR(FIND("DECOUPE",Tableau1[[#This Row],[DESIGNATION]])),"","NEED REF")</f>
        <v/>
      </c>
    </row>
    <row r="4268">
      <c r="B4268" t="n">
        <v>34409738</v>
      </c>
      <c r="C4268" s="2" t="n">
        <v>44434</v>
      </c>
      <c r="D4268" t="inlineStr">
        <is>
          <t>SPEC</t>
        </is>
      </c>
      <c r="E4268" t="inlineStr">
        <is>
          <t>NS1250NA 4P 2*OF UOB</t>
        </is>
      </c>
      <c r="F4268" t="inlineStr">
        <is>
          <t>SE BE0101</t>
        </is>
      </c>
      <c r="G4268" t="inlineStr">
        <is>
          <t>GVL</t>
        </is>
      </c>
      <c r="H4268" t="inlineStr">
        <is>
          <t>BYPASS</t>
        </is>
      </c>
      <c r="J4268" t="inlineStr">
        <is>
          <t>BERNARDEAU</t>
        </is>
      </c>
      <c r="K4268" t="inlineStr">
        <is>
          <t>=S=</t>
        </is>
      </c>
      <c r="L4268">
        <f>_xlfn.XLOOKUP(Tableau1[[#This Row],[TYPE DE PIECE]],Tableau4[MATIERE],Tableau4[SHORT TYPE],"",0,1)</f>
        <v/>
      </c>
      <c r="N4268">
        <f>IF(ISERR(FIND("DECOUPE",Tableau1[[#This Row],[DESIGNATION]])),"","NEED REF")</f>
        <v/>
      </c>
    </row>
    <row r="4269">
      <c r="B4269" t="n">
        <v>34409737</v>
      </c>
      <c r="C4269" s="2" t="n">
        <v>44434</v>
      </c>
      <c r="D4269" t="inlineStr">
        <is>
          <t>SPEC</t>
        </is>
      </c>
      <c r="E4269" t="inlineStr">
        <is>
          <t>SMT PLATINE 3BBK KIT</t>
        </is>
      </c>
      <c r="F4269" t="inlineStr">
        <is>
          <t>SPIE INDUSTRIE</t>
        </is>
      </c>
      <c r="G4269" t="inlineStr">
        <is>
          <t>E3L</t>
        </is>
      </c>
      <c r="H4269" t="inlineStr">
        <is>
          <t>BATTERY</t>
        </is>
      </c>
      <c r="J4269" t="inlineStr">
        <is>
          <t>JAWORSKI</t>
        </is>
      </c>
      <c r="K4269" t="inlineStr">
        <is>
          <t>METAL</t>
        </is>
      </c>
      <c r="L4269">
        <f>_xlfn.XLOOKUP(Tableau1[[#This Row],[TYPE DE PIECE]],Tableau4[MATIERE],Tableau4[SHORT TYPE],"",0,1)</f>
        <v/>
      </c>
      <c r="N4269">
        <f>IF(ISERR(FIND("DECOUPE",Tableau1[[#This Row],[DESIGNATION]])),"","NEED REF")</f>
        <v/>
      </c>
    </row>
    <row r="4270">
      <c r="B4270" t="n">
        <v>34409736</v>
      </c>
      <c r="C4270" s="2" t="n">
        <v>44434</v>
      </c>
      <c r="D4270" t="inlineStr">
        <is>
          <t>SPEC</t>
        </is>
      </c>
      <c r="E4270" t="inlineStr">
        <is>
          <t>SMT BAGUETTE SUP INTER CELLULE</t>
        </is>
      </c>
      <c r="F4270" t="inlineStr">
        <is>
          <t>SE BE0101</t>
        </is>
      </c>
      <c r="G4270" t="inlineStr">
        <is>
          <t>GVL</t>
        </is>
      </c>
      <c r="H4270" t="inlineStr">
        <is>
          <t>BYPASS</t>
        </is>
      </c>
      <c r="J4270" t="inlineStr">
        <is>
          <t>BERNARDEAU</t>
        </is>
      </c>
      <c r="K4270" t="inlineStr">
        <is>
          <t>METAL</t>
        </is>
      </c>
      <c r="L4270">
        <f>_xlfn.XLOOKUP(Tableau1[[#This Row],[TYPE DE PIECE]],Tableau4[MATIERE],Tableau4[SHORT TYPE],"",0,1)</f>
        <v/>
      </c>
      <c r="N4270">
        <f>IF(ISERR(FIND("DECOUPE",Tableau1[[#This Row],[DESIGNATION]])),"","NEED REF")</f>
        <v/>
      </c>
    </row>
    <row r="4271">
      <c r="B4271" t="n">
        <v>34409735</v>
      </c>
      <c r="C4271" s="2" t="n">
        <v>44434</v>
      </c>
      <c r="D4271" t="inlineStr">
        <is>
          <t>SPEC</t>
        </is>
      </c>
      <c r="E4271" t="inlineStr">
        <is>
          <t>SMT BAGUETTE AR INTER CELLULE</t>
        </is>
      </c>
      <c r="F4271" t="inlineStr">
        <is>
          <t>SE BE0101</t>
        </is>
      </c>
      <c r="G4271" t="inlineStr">
        <is>
          <t>GVL</t>
        </is>
      </c>
      <c r="H4271" t="inlineStr">
        <is>
          <t>BYPASS</t>
        </is>
      </c>
      <c r="J4271" t="inlineStr">
        <is>
          <t>BERNARDEAU</t>
        </is>
      </c>
      <c r="K4271" t="inlineStr">
        <is>
          <t>METAL</t>
        </is>
      </c>
      <c r="L4271">
        <f>_xlfn.XLOOKUP(Tableau1[[#This Row],[TYPE DE PIECE]],Tableau4[MATIERE],Tableau4[SHORT TYPE],"",0,1)</f>
        <v/>
      </c>
      <c r="N4271">
        <f>IF(ISERR(FIND("DECOUPE",Tableau1[[#This Row],[DESIGNATION]])),"","NEED REF")</f>
        <v/>
      </c>
    </row>
    <row r="4272">
      <c r="B4272" t="n">
        <v>34409734</v>
      </c>
      <c r="C4272" s="2" t="n">
        <v>44434</v>
      </c>
      <c r="D4272" t="inlineStr">
        <is>
          <t>SPEC</t>
        </is>
      </c>
      <c r="E4272" t="inlineStr">
        <is>
          <t>SMT BAGUETTE AV INTER CELLULE RAL9003</t>
        </is>
      </c>
      <c r="F4272" t="inlineStr">
        <is>
          <t>SE BE0101</t>
        </is>
      </c>
      <c r="G4272" t="inlineStr">
        <is>
          <t>GVL</t>
        </is>
      </c>
      <c r="H4272" t="inlineStr">
        <is>
          <t>BYPASS</t>
        </is>
      </c>
      <c r="J4272" t="inlineStr">
        <is>
          <t>BERNARDEAU</t>
        </is>
      </c>
      <c r="K4272" t="inlineStr">
        <is>
          <t>METAL</t>
        </is>
      </c>
      <c r="L4272">
        <f>_xlfn.XLOOKUP(Tableau1[[#This Row],[TYPE DE PIECE]],Tableau4[MATIERE],Tableau4[SHORT TYPE],"",0,1)</f>
        <v/>
      </c>
      <c r="N4272">
        <f>IF(ISERR(FIND("DECOUPE",Tableau1[[#This Row],[DESIGNATION]])),"","NEED REF")</f>
        <v/>
      </c>
    </row>
    <row r="4273">
      <c r="B4273" t="n">
        <v>34409733</v>
      </c>
      <c r="C4273" s="2" t="n">
        <v>44433</v>
      </c>
      <c r="D4273" t="inlineStr">
        <is>
          <t>SPEC</t>
        </is>
      </c>
      <c r="E4273" t="inlineStr">
        <is>
          <t>SMT TOIT</t>
        </is>
      </c>
      <c r="F4273" t="inlineStr">
        <is>
          <t>BIGBEAR</t>
        </is>
      </c>
      <c r="G4273" t="inlineStr">
        <is>
          <t>GVX</t>
        </is>
      </c>
      <c r="H4273" t="inlineStr">
        <is>
          <t>IO</t>
        </is>
      </c>
      <c r="J4273" t="inlineStr">
        <is>
          <t>MATRION</t>
        </is>
      </c>
      <c r="K4273" t="inlineStr">
        <is>
          <t>METAL</t>
        </is>
      </c>
      <c r="L4273">
        <f>_xlfn.XLOOKUP(Tableau1[[#This Row],[TYPE DE PIECE]],Tableau4[MATIERE],Tableau4[SHORT TYPE],"",0,1)</f>
        <v/>
      </c>
      <c r="N4273">
        <f>IF(ISERR(FIND("DECOUPE",Tableau1[[#This Row],[DESIGNATION]])),"","NEED REF")</f>
        <v/>
      </c>
    </row>
    <row r="4274">
      <c r="B4274" t="n">
        <v>34409732</v>
      </c>
      <c r="C4274" s="2" t="n">
        <v>44433</v>
      </c>
      <c r="D4274" t="inlineStr">
        <is>
          <t>SPEC</t>
        </is>
      </c>
      <c r="E4274" t="inlineStr">
        <is>
          <t>COP PER</t>
        </is>
      </c>
      <c r="F4274" t="inlineStr">
        <is>
          <t>BIGBEAR</t>
        </is>
      </c>
      <c r="G4274" t="inlineStr">
        <is>
          <t>GVX</t>
        </is>
      </c>
      <c r="H4274" t="inlineStr">
        <is>
          <t>IO</t>
        </is>
      </c>
      <c r="J4274" t="inlineStr">
        <is>
          <t>MATRION</t>
        </is>
      </c>
      <c r="K4274" t="inlineStr">
        <is>
          <t>CUIVRE</t>
        </is>
      </c>
      <c r="L4274">
        <f>_xlfn.XLOOKUP(Tableau1[[#This Row],[TYPE DE PIECE]],Tableau4[MATIERE],Tableau4[SHORT TYPE],"",0,1)</f>
        <v/>
      </c>
      <c r="N4274">
        <f>IF(ISERR(FIND("DECOUPE",Tableau1[[#This Row],[DESIGNATION]])),"","NEED REF")</f>
        <v/>
      </c>
    </row>
    <row r="4275">
      <c r="B4275" t="n">
        <v>34409731</v>
      </c>
      <c r="C4275" s="2" t="n">
        <v>44433</v>
      </c>
      <c r="D4275" t="inlineStr">
        <is>
          <t>SPEC</t>
        </is>
      </c>
      <c r="E4275" t="inlineStr">
        <is>
          <t>COP DC  01</t>
        </is>
      </c>
      <c r="F4275" t="inlineStr">
        <is>
          <t>BIGBEAR</t>
        </is>
      </c>
      <c r="G4275" t="inlineStr">
        <is>
          <t>GVX</t>
        </is>
      </c>
      <c r="H4275" t="inlineStr">
        <is>
          <t>IO</t>
        </is>
      </c>
      <c r="J4275" t="inlineStr">
        <is>
          <t>MATRION</t>
        </is>
      </c>
      <c r="K4275" t="inlineStr">
        <is>
          <t>CUIVRE</t>
        </is>
      </c>
      <c r="L4275">
        <f>_xlfn.XLOOKUP(Tableau1[[#This Row],[TYPE DE PIECE]],Tableau4[MATIERE],Tableau4[SHORT TYPE],"",0,1)</f>
        <v/>
      </c>
      <c r="N4275">
        <f>IF(ISERR(FIND("DECOUPE",Tableau1[[#This Row],[DESIGNATION]])),"","NEED REF")</f>
        <v/>
      </c>
    </row>
    <row r="4276">
      <c r="B4276" t="n">
        <v>34409730</v>
      </c>
      <c r="C4276" s="2" t="n">
        <v>44433</v>
      </c>
      <c r="D4276" t="inlineStr">
        <is>
          <t>SPEC</t>
        </is>
      </c>
      <c r="E4276" t="inlineStr">
        <is>
          <t>COP DC  02</t>
        </is>
      </c>
      <c r="F4276" t="inlineStr">
        <is>
          <t>BIGBEAR</t>
        </is>
      </c>
      <c r="G4276" t="inlineStr">
        <is>
          <t>GVX</t>
        </is>
      </c>
      <c r="H4276" t="inlineStr">
        <is>
          <t>IO</t>
        </is>
      </c>
      <c r="J4276" t="inlineStr">
        <is>
          <t>MATRION</t>
        </is>
      </c>
      <c r="K4276" t="inlineStr">
        <is>
          <t>CUIVRE</t>
        </is>
      </c>
      <c r="L4276">
        <f>_xlfn.XLOOKUP(Tableau1[[#This Row],[TYPE DE PIECE]],Tableau4[MATIERE],Tableau4[SHORT TYPE],"",0,1)</f>
        <v/>
      </c>
      <c r="N4276">
        <f>IF(ISERR(FIND("DECOUPE",Tableau1[[#This Row],[DESIGNATION]])),"","NEED REF")</f>
        <v/>
      </c>
    </row>
    <row r="4277">
      <c r="B4277" t="n">
        <v>34409729</v>
      </c>
      <c r="C4277" s="2" t="n">
        <v>44433</v>
      </c>
      <c r="D4277" t="inlineStr">
        <is>
          <t>SPEC</t>
        </is>
      </c>
      <c r="E4277" t="inlineStr">
        <is>
          <t>COP DC  03</t>
        </is>
      </c>
      <c r="F4277" t="inlineStr">
        <is>
          <t>BIGBEAR</t>
        </is>
      </c>
      <c r="G4277" t="inlineStr">
        <is>
          <t>GVX</t>
        </is>
      </c>
      <c r="H4277" t="inlineStr">
        <is>
          <t>IO</t>
        </is>
      </c>
      <c r="J4277" t="inlineStr">
        <is>
          <t>MATRION</t>
        </is>
      </c>
      <c r="K4277" t="inlineStr">
        <is>
          <t>CUIVRE</t>
        </is>
      </c>
      <c r="L4277">
        <f>_xlfn.XLOOKUP(Tableau1[[#This Row],[TYPE DE PIECE]],Tableau4[MATIERE],Tableau4[SHORT TYPE],"",0,1)</f>
        <v/>
      </c>
      <c r="N4277">
        <f>IF(ISERR(FIND("DECOUPE",Tableau1[[#This Row],[DESIGNATION]])),"","NEED REF")</f>
        <v/>
      </c>
    </row>
    <row r="4278">
      <c r="B4278" t="n">
        <v>34409728</v>
      </c>
      <c r="C4278" s="2" t="n">
        <v>44432</v>
      </c>
      <c r="D4278" t="inlineStr">
        <is>
          <t>SPEC</t>
        </is>
      </c>
      <c r="E4278" t="inlineStr">
        <is>
          <t>NS1000N 4PAD Micrologic 2.0E + 2*OF SSIB</t>
        </is>
      </c>
      <c r="F4278" t="inlineStr">
        <is>
          <t>SE BE0101</t>
        </is>
      </c>
      <c r="G4278" t="inlineStr">
        <is>
          <t>GVL</t>
        </is>
      </c>
      <c r="H4278" t="inlineStr">
        <is>
          <t>BYPASS</t>
        </is>
      </c>
      <c r="J4278" t="inlineStr">
        <is>
          <t>ÇAKIR</t>
        </is>
      </c>
      <c r="K4278" t="inlineStr">
        <is>
          <t>=S=</t>
        </is>
      </c>
      <c r="L4278">
        <f>_xlfn.XLOOKUP(Tableau1[[#This Row],[TYPE DE PIECE]],Tableau4[MATIERE],Tableau4[SHORT TYPE],"",0,1)</f>
        <v/>
      </c>
      <c r="N4278">
        <f>IF(ISERR(FIND("DECOUPE",Tableau1[[#This Row],[DESIGNATION]])),"","NEED REF")</f>
        <v/>
      </c>
    </row>
    <row r="4279">
      <c r="B4279" t="n">
        <v>34409727</v>
      </c>
      <c r="C4279" s="2" t="n">
        <v>44432</v>
      </c>
      <c r="D4279" t="inlineStr">
        <is>
          <t>SPEC</t>
        </is>
      </c>
      <c r="E4279" t="inlineStr">
        <is>
          <t>NS800N 4PAD Micrologic 5.0E MBB</t>
        </is>
      </c>
      <c r="F4279" t="inlineStr">
        <is>
          <t>SE BE0101</t>
        </is>
      </c>
      <c r="G4279" t="inlineStr">
        <is>
          <t>GVL</t>
        </is>
      </c>
      <c r="H4279" t="inlineStr">
        <is>
          <t>BYPASS</t>
        </is>
      </c>
      <c r="J4279" t="inlineStr">
        <is>
          <t>ÇAKIR</t>
        </is>
      </c>
      <c r="K4279" t="inlineStr">
        <is>
          <t>=S=</t>
        </is>
      </c>
      <c r="L4279">
        <f>_xlfn.XLOOKUP(Tableau1[[#This Row],[TYPE DE PIECE]],Tableau4[MATIERE],Tableau4[SHORT TYPE],"",0,1)</f>
        <v/>
      </c>
      <c r="N4279">
        <f>IF(ISERR(FIND("DECOUPE",Tableau1[[#This Row],[DESIGNATION]])),"","NEED REF")</f>
        <v/>
      </c>
    </row>
    <row r="4280">
      <c r="B4280" t="n">
        <v>34409726</v>
      </c>
      <c r="C4280" s="2" t="n">
        <v>44432</v>
      </c>
      <c r="D4280" t="inlineStr">
        <is>
          <t>SPEC</t>
        </is>
      </c>
      <c r="E4280" t="inlineStr">
        <is>
          <t>COP N  01</t>
        </is>
      </c>
      <c r="F4280" t="inlineStr">
        <is>
          <t>BIGBEAR</t>
        </is>
      </c>
      <c r="G4280" t="inlineStr">
        <is>
          <t>GVX</t>
        </is>
      </c>
      <c r="H4280" t="inlineStr">
        <is>
          <t>IO</t>
        </is>
      </c>
      <c r="J4280" t="inlineStr">
        <is>
          <t>MATRION</t>
        </is>
      </c>
      <c r="K4280" t="inlineStr">
        <is>
          <t>CUIVRE</t>
        </is>
      </c>
      <c r="L4280">
        <f>_xlfn.XLOOKUP(Tableau1[[#This Row],[TYPE DE PIECE]],Tableau4[MATIERE],Tableau4[SHORT TYPE],"",0,1)</f>
        <v/>
      </c>
      <c r="N4280">
        <f>IF(ISERR(FIND("DECOUPE",Tableau1[[#This Row],[DESIGNATION]])),"","NEED REF")</f>
        <v/>
      </c>
    </row>
    <row r="4281">
      <c r="B4281" t="n">
        <v>34409725</v>
      </c>
      <c r="C4281" s="2" t="n">
        <v>44432</v>
      </c>
      <c r="D4281" t="inlineStr">
        <is>
          <t>SPEC</t>
        </is>
      </c>
      <c r="E4281" t="inlineStr">
        <is>
          <t>COP N  02</t>
        </is>
      </c>
      <c r="F4281" t="inlineStr">
        <is>
          <t>BIGBEAR</t>
        </is>
      </c>
      <c r="G4281" t="inlineStr">
        <is>
          <t>GVX</t>
        </is>
      </c>
      <c r="H4281" t="inlineStr">
        <is>
          <t>IO</t>
        </is>
      </c>
      <c r="J4281" t="inlineStr">
        <is>
          <t>MATRION</t>
        </is>
      </c>
      <c r="K4281" t="inlineStr">
        <is>
          <t>CUIVRE</t>
        </is>
      </c>
      <c r="L4281">
        <f>_xlfn.XLOOKUP(Tableau1[[#This Row],[TYPE DE PIECE]],Tableau4[MATIERE],Tableau4[SHORT TYPE],"",0,1)</f>
        <v/>
      </c>
      <c r="N4281">
        <f>IF(ISERR(FIND("DECOUPE",Tableau1[[#This Row],[DESIGNATION]])),"","NEED REF")</f>
        <v/>
      </c>
    </row>
    <row r="4282">
      <c r="B4282" t="n">
        <v>34409724</v>
      </c>
      <c r="C4282" s="2" t="n">
        <v>44432</v>
      </c>
      <c r="D4282" t="inlineStr">
        <is>
          <t>SPEC</t>
        </is>
      </c>
      <c r="E4282" t="inlineStr">
        <is>
          <t>COP N  03</t>
        </is>
      </c>
      <c r="F4282" t="inlineStr">
        <is>
          <t>BIGBEAR</t>
        </is>
      </c>
      <c r="G4282" t="inlineStr">
        <is>
          <t>GVX</t>
        </is>
      </c>
      <c r="H4282" t="inlineStr">
        <is>
          <t>IO</t>
        </is>
      </c>
      <c r="J4282" t="inlineStr">
        <is>
          <t>MATRION</t>
        </is>
      </c>
      <c r="K4282" t="inlineStr">
        <is>
          <t>CUIVRE</t>
        </is>
      </c>
      <c r="L4282">
        <f>_xlfn.XLOOKUP(Tableau1[[#This Row],[TYPE DE PIECE]],Tableau4[MATIERE],Tableau4[SHORT TYPE],"",0,1)</f>
        <v/>
      </c>
      <c r="N4282">
        <f>IF(ISERR(FIND("DECOUPE",Tableau1[[#This Row],[DESIGNATION]])),"","NEED REF")</f>
        <v/>
      </c>
    </row>
    <row r="4283">
      <c r="B4283" t="n">
        <v>34409723</v>
      </c>
      <c r="C4283" s="2" t="n">
        <v>44432</v>
      </c>
      <c r="D4283" t="inlineStr">
        <is>
          <t>SPEC</t>
        </is>
      </c>
      <c r="E4283" t="inlineStr">
        <is>
          <t>COP MAINS1 09</t>
        </is>
      </c>
      <c r="F4283" t="inlineStr">
        <is>
          <t>BIGBEAR</t>
        </is>
      </c>
      <c r="G4283" t="inlineStr">
        <is>
          <t>GVX</t>
        </is>
      </c>
      <c r="H4283" t="inlineStr">
        <is>
          <t>IO</t>
        </is>
      </c>
      <c r="J4283" t="inlineStr">
        <is>
          <t>MATRION</t>
        </is>
      </c>
      <c r="K4283" t="inlineStr">
        <is>
          <t>CUIVRE</t>
        </is>
      </c>
      <c r="L4283">
        <f>_xlfn.XLOOKUP(Tableau1[[#This Row],[TYPE DE PIECE]],Tableau4[MATIERE],Tableau4[SHORT TYPE],"",0,1)</f>
        <v/>
      </c>
      <c r="N4283">
        <f>IF(ISERR(FIND("DECOUPE",Tableau1[[#This Row],[DESIGNATION]])),"","NEED REF")</f>
        <v/>
      </c>
    </row>
    <row r="4284">
      <c r="B4284" t="n">
        <v>34409722</v>
      </c>
      <c r="C4284" s="2" t="n">
        <v>44432</v>
      </c>
      <c r="D4284" t="inlineStr">
        <is>
          <t>SPEC</t>
        </is>
      </c>
      <c r="E4284" t="inlineStr">
        <is>
          <t>COP MAINS1 06</t>
        </is>
      </c>
      <c r="F4284" t="inlineStr">
        <is>
          <t>BIGBEAR</t>
        </is>
      </c>
      <c r="G4284" t="inlineStr">
        <is>
          <t>GVX</t>
        </is>
      </c>
      <c r="H4284" t="inlineStr">
        <is>
          <t>IO</t>
        </is>
      </c>
      <c r="J4284" t="inlineStr">
        <is>
          <t>MATRION</t>
        </is>
      </c>
      <c r="K4284" t="inlineStr">
        <is>
          <t>CUIVRE</t>
        </is>
      </c>
      <c r="L4284">
        <f>_xlfn.XLOOKUP(Tableau1[[#This Row],[TYPE DE PIECE]],Tableau4[MATIERE],Tableau4[SHORT TYPE],"",0,1)</f>
        <v/>
      </c>
      <c r="N4284">
        <f>IF(ISERR(FIND("DECOUPE",Tableau1[[#This Row],[DESIGNATION]])),"","NEED REF")</f>
        <v/>
      </c>
    </row>
    <row r="4285">
      <c r="B4285" t="n">
        <v>34409721</v>
      </c>
      <c r="C4285" s="2" t="n">
        <v>44432</v>
      </c>
      <c r="D4285" t="inlineStr">
        <is>
          <t>SPEC</t>
        </is>
      </c>
      <c r="E4285" t="inlineStr">
        <is>
          <t>COP MAINS1 07</t>
        </is>
      </c>
      <c r="F4285" t="inlineStr">
        <is>
          <t>BIGBEAR</t>
        </is>
      </c>
      <c r="G4285" t="inlineStr">
        <is>
          <t>GVX</t>
        </is>
      </c>
      <c r="H4285" t="inlineStr">
        <is>
          <t>IO</t>
        </is>
      </c>
      <c r="J4285" t="inlineStr">
        <is>
          <t>MATRION</t>
        </is>
      </c>
      <c r="K4285" t="inlineStr">
        <is>
          <t>CUIVRE</t>
        </is>
      </c>
      <c r="L4285">
        <f>_xlfn.XLOOKUP(Tableau1[[#This Row],[TYPE DE PIECE]],Tableau4[MATIERE],Tableau4[SHORT TYPE],"",0,1)</f>
        <v/>
      </c>
      <c r="N4285">
        <f>IF(ISERR(FIND("DECOUPE",Tableau1[[#This Row],[DESIGNATION]])),"","NEED REF")</f>
        <v/>
      </c>
    </row>
    <row r="4286">
      <c r="B4286" t="n">
        <v>34409720</v>
      </c>
      <c r="C4286" s="2" t="n">
        <v>44432</v>
      </c>
      <c r="D4286" t="inlineStr">
        <is>
          <t>SPEC</t>
        </is>
      </c>
      <c r="E4286" t="inlineStr">
        <is>
          <t>COP MAINS1 08</t>
        </is>
      </c>
      <c r="F4286" t="inlineStr">
        <is>
          <t>BIGBEAR</t>
        </is>
      </c>
      <c r="G4286" t="inlineStr">
        <is>
          <t>GVX</t>
        </is>
      </c>
      <c r="H4286" t="inlineStr">
        <is>
          <t>IO</t>
        </is>
      </c>
      <c r="J4286" t="inlineStr">
        <is>
          <t>MATRION</t>
        </is>
      </c>
      <c r="K4286" t="inlineStr">
        <is>
          <t>CUIVRE</t>
        </is>
      </c>
      <c r="L4286">
        <f>_xlfn.XLOOKUP(Tableau1[[#This Row],[TYPE DE PIECE]],Tableau4[MATIERE],Tableau4[SHORT TYPE],"",0,1)</f>
        <v/>
      </c>
      <c r="N4286">
        <f>IF(ISERR(FIND("DECOUPE",Tableau1[[#This Row],[DESIGNATION]])),"","NEED REF")</f>
        <v/>
      </c>
    </row>
    <row r="4287">
      <c r="B4287" t="n">
        <v>34409719</v>
      </c>
      <c r="C4287" s="2" t="n">
        <v>44432</v>
      </c>
      <c r="D4287" t="inlineStr">
        <is>
          <t>SPEC</t>
        </is>
      </c>
      <c r="E4287" t="inlineStr">
        <is>
          <t>SMT PLASTRON UIB</t>
        </is>
      </c>
      <c r="F4287" t="inlineStr">
        <is>
          <t>SE BE0101</t>
        </is>
      </c>
      <c r="G4287" t="inlineStr">
        <is>
          <t>GVL</t>
        </is>
      </c>
      <c r="H4287" t="inlineStr">
        <is>
          <t>BYPASS</t>
        </is>
      </c>
      <c r="J4287" t="inlineStr">
        <is>
          <t>BERNARDEAU</t>
        </is>
      </c>
      <c r="K4287" t="inlineStr">
        <is>
          <t>METAL</t>
        </is>
      </c>
      <c r="L4287">
        <f>_xlfn.XLOOKUP(Tableau1[[#This Row],[TYPE DE PIECE]],Tableau4[MATIERE],Tableau4[SHORT TYPE],"",0,1)</f>
        <v/>
      </c>
      <c r="N4287">
        <f>IF(ISERR(FIND("DECOUPE",Tableau1[[#This Row],[DESIGNATION]])),"","NEED REF")</f>
        <v/>
      </c>
    </row>
    <row r="4288">
      <c r="B4288" t="n">
        <v>34409718</v>
      </c>
      <c r="C4288" s="2" t="n">
        <v>44432</v>
      </c>
      <c r="D4288" t="inlineStr">
        <is>
          <t>SPEC</t>
        </is>
      </c>
      <c r="E4288" t="inlineStr">
        <is>
          <t>COP LOAD 03</t>
        </is>
      </c>
      <c r="F4288" t="inlineStr">
        <is>
          <t>BIGBEAR</t>
        </is>
      </c>
      <c r="G4288" t="inlineStr">
        <is>
          <t>GVX</t>
        </is>
      </c>
      <c r="H4288" t="inlineStr">
        <is>
          <t>IO</t>
        </is>
      </c>
      <c r="J4288" t="inlineStr">
        <is>
          <t>MATRION</t>
        </is>
      </c>
      <c r="K4288" t="inlineStr">
        <is>
          <t>CUIVRE</t>
        </is>
      </c>
      <c r="L4288">
        <f>_xlfn.XLOOKUP(Tableau1[[#This Row],[TYPE DE PIECE]],Tableau4[MATIERE],Tableau4[SHORT TYPE],"",0,1)</f>
        <v/>
      </c>
      <c r="N4288">
        <f>IF(ISERR(FIND("DECOUPE",Tableau1[[#This Row],[DESIGNATION]])),"","NEED REF")</f>
        <v/>
      </c>
    </row>
    <row r="4289">
      <c r="B4289" t="n">
        <v>34409717</v>
      </c>
      <c r="C4289" s="2" t="n">
        <v>44432</v>
      </c>
      <c r="D4289" t="inlineStr">
        <is>
          <t>SPEC</t>
        </is>
      </c>
      <c r="E4289" t="inlineStr">
        <is>
          <t>COP LOAD 04</t>
        </is>
      </c>
      <c r="F4289" t="inlineStr">
        <is>
          <t>BIGBEAR</t>
        </is>
      </c>
      <c r="G4289" t="inlineStr">
        <is>
          <t>GVX</t>
        </is>
      </c>
      <c r="H4289" t="inlineStr">
        <is>
          <t>IO</t>
        </is>
      </c>
      <c r="J4289" t="inlineStr">
        <is>
          <t>MATRION</t>
        </is>
      </c>
      <c r="K4289" t="inlineStr">
        <is>
          <t>CUIVRE</t>
        </is>
      </c>
      <c r="L4289">
        <f>_xlfn.XLOOKUP(Tableau1[[#This Row],[TYPE DE PIECE]],Tableau4[MATIERE],Tableau4[SHORT TYPE],"",0,1)</f>
        <v/>
      </c>
      <c r="N4289">
        <f>IF(ISERR(FIND("DECOUPE",Tableau1[[#This Row],[DESIGNATION]])),"","NEED REF")</f>
        <v/>
      </c>
    </row>
    <row r="4290">
      <c r="B4290" t="n">
        <v>34409716</v>
      </c>
      <c r="C4290" s="2" t="n">
        <v>44432</v>
      </c>
      <c r="D4290" t="inlineStr">
        <is>
          <t>SPEC</t>
        </is>
      </c>
      <c r="E4290" t="inlineStr">
        <is>
          <t>COP LOAD 05</t>
        </is>
      </c>
      <c r="F4290" t="inlineStr">
        <is>
          <t>BIGBEAR</t>
        </is>
      </c>
      <c r="G4290" t="inlineStr">
        <is>
          <t>GVX</t>
        </is>
      </c>
      <c r="H4290" t="inlineStr">
        <is>
          <t>IO</t>
        </is>
      </c>
      <c r="J4290" t="inlineStr">
        <is>
          <t>MATRION</t>
        </is>
      </c>
      <c r="K4290" t="inlineStr">
        <is>
          <t>CUIVRE</t>
        </is>
      </c>
      <c r="L4290">
        <f>_xlfn.XLOOKUP(Tableau1[[#This Row],[TYPE DE PIECE]],Tableau4[MATIERE],Tableau4[SHORT TYPE],"",0,1)</f>
        <v/>
      </c>
      <c r="N4290">
        <f>IF(ISERR(FIND("DECOUPE",Tableau1[[#This Row],[DESIGNATION]])),"","NEED REF")</f>
        <v/>
      </c>
    </row>
    <row r="4291">
      <c r="B4291" t="n">
        <v>34409715</v>
      </c>
      <c r="C4291" s="2" t="n">
        <v>44432</v>
      </c>
      <c r="D4291" t="inlineStr">
        <is>
          <t>SPEC</t>
        </is>
      </c>
      <c r="E4291" t="inlineStr">
        <is>
          <t>NS1000N 4P4D Micrologic 2.0E + 2*OF UIB</t>
        </is>
      </c>
      <c r="F4291" t="inlineStr">
        <is>
          <t>SE BE0100</t>
        </is>
      </c>
      <c r="G4291" t="inlineStr">
        <is>
          <t>GVL</t>
        </is>
      </c>
      <c r="H4291" t="inlineStr">
        <is>
          <t>BYPASS</t>
        </is>
      </c>
      <c r="J4291" t="inlineStr">
        <is>
          <t>BERNARDEAU</t>
        </is>
      </c>
      <c r="K4291" t="inlineStr">
        <is>
          <t>=S=</t>
        </is>
      </c>
      <c r="L4291">
        <f>_xlfn.XLOOKUP(Tableau1[[#This Row],[TYPE DE PIECE]],Tableau4[MATIERE],Tableau4[SHORT TYPE],"",0,1)</f>
        <v/>
      </c>
      <c r="N4291">
        <f>IF(ISERR(FIND("DECOUPE",Tableau1[[#This Row],[DESIGNATION]])),"","NEED REF")</f>
        <v/>
      </c>
    </row>
    <row r="4292">
      <c r="B4292" t="n">
        <v>34409714</v>
      </c>
      <c r="C4292" s="2" t="n">
        <v>44432</v>
      </c>
      <c r="D4292" t="inlineStr">
        <is>
          <t>SPEC</t>
        </is>
      </c>
      <c r="E4292" t="inlineStr">
        <is>
          <t>COP MAINS2  01</t>
        </is>
      </c>
      <c r="F4292" t="inlineStr">
        <is>
          <t>BIGBEAR</t>
        </is>
      </c>
      <c r="G4292" t="inlineStr">
        <is>
          <t>GVX</t>
        </is>
      </c>
      <c r="H4292" t="inlineStr">
        <is>
          <t>IO</t>
        </is>
      </c>
      <c r="J4292" t="inlineStr">
        <is>
          <t>MATRION</t>
        </is>
      </c>
      <c r="K4292" t="inlineStr">
        <is>
          <t>CUIVRE</t>
        </is>
      </c>
      <c r="L4292">
        <f>_xlfn.XLOOKUP(Tableau1[[#This Row],[TYPE DE PIECE]],Tableau4[MATIERE],Tableau4[SHORT TYPE],"",0,1)</f>
        <v/>
      </c>
      <c r="N4292">
        <f>IF(ISERR(FIND("DECOUPE",Tableau1[[#This Row],[DESIGNATION]])),"","NEED REF")</f>
        <v/>
      </c>
    </row>
    <row r="4293">
      <c r="B4293" t="n">
        <v>34409713</v>
      </c>
      <c r="C4293" s="2" t="n">
        <v>44432</v>
      </c>
      <c r="D4293" t="inlineStr">
        <is>
          <t>SPEC</t>
        </is>
      </c>
      <c r="E4293" t="inlineStr">
        <is>
          <t>COP MAINS2  02</t>
        </is>
      </c>
      <c r="F4293" t="inlineStr">
        <is>
          <t>BIGBEAR</t>
        </is>
      </c>
      <c r="G4293" t="inlineStr">
        <is>
          <t>GVX</t>
        </is>
      </c>
      <c r="H4293" t="inlineStr">
        <is>
          <t>IO</t>
        </is>
      </c>
      <c r="J4293" t="inlineStr">
        <is>
          <t>MATRION</t>
        </is>
      </c>
      <c r="K4293" t="inlineStr">
        <is>
          <t>CUIVRE</t>
        </is>
      </c>
      <c r="L4293">
        <f>_xlfn.XLOOKUP(Tableau1[[#This Row],[TYPE DE PIECE]],Tableau4[MATIERE],Tableau4[SHORT TYPE],"",0,1)</f>
        <v/>
      </c>
      <c r="N4293">
        <f>IF(ISERR(FIND("DECOUPE",Tableau1[[#This Row],[DESIGNATION]])),"","NEED REF")</f>
        <v/>
      </c>
    </row>
    <row r="4294">
      <c r="B4294" t="n">
        <v>34409712</v>
      </c>
      <c r="C4294" s="2" t="n">
        <v>44432</v>
      </c>
      <c r="D4294" t="inlineStr">
        <is>
          <t>SPEC</t>
        </is>
      </c>
      <c r="E4294" t="inlineStr">
        <is>
          <t>COP MAINS2  03</t>
        </is>
      </c>
      <c r="F4294" t="inlineStr">
        <is>
          <t>BIGBEAR</t>
        </is>
      </c>
      <c r="G4294" t="inlineStr">
        <is>
          <t>GVX</t>
        </is>
      </c>
      <c r="H4294" t="inlineStr">
        <is>
          <t>IO</t>
        </is>
      </c>
      <c r="J4294" t="inlineStr">
        <is>
          <t>MATRION</t>
        </is>
      </c>
      <c r="K4294" t="inlineStr">
        <is>
          <t>CUIVRE</t>
        </is>
      </c>
      <c r="L4294">
        <f>_xlfn.XLOOKUP(Tableau1[[#This Row],[TYPE DE PIECE]],Tableau4[MATIERE],Tableau4[SHORT TYPE],"",0,1)</f>
        <v/>
      </c>
      <c r="N4294">
        <f>IF(ISERR(FIND("DECOUPE",Tableau1[[#This Row],[DESIGNATION]])),"","NEED REF")</f>
        <v/>
      </c>
    </row>
    <row r="4295">
      <c r="B4295" t="n">
        <v>34409711</v>
      </c>
      <c r="C4295" s="2" t="n">
        <v>44432</v>
      </c>
      <c r="D4295" t="inlineStr">
        <is>
          <t>SPEC</t>
        </is>
      </c>
      <c r="E4295" t="inlineStr">
        <is>
          <t>SMT SUPPORT BYPASS</t>
        </is>
      </c>
      <c r="F4295" t="inlineStr">
        <is>
          <t>SE BE0101</t>
        </is>
      </c>
      <c r="G4295" t="inlineStr">
        <is>
          <t>GVL</t>
        </is>
      </c>
      <c r="H4295" t="inlineStr">
        <is>
          <t>BYPASS</t>
        </is>
      </c>
      <c r="J4295" t="inlineStr">
        <is>
          <t>BERNARDEAU</t>
        </is>
      </c>
      <c r="K4295" t="inlineStr">
        <is>
          <t>METAL</t>
        </is>
      </c>
      <c r="L4295">
        <f>_xlfn.XLOOKUP(Tableau1[[#This Row],[TYPE DE PIECE]],Tableau4[MATIERE],Tableau4[SHORT TYPE],"",0,1)</f>
        <v/>
      </c>
      <c r="N4295">
        <f>IF(ISERR(FIND("DECOUPE",Tableau1[[#This Row],[DESIGNATION]])),"","NEED REF")</f>
        <v/>
      </c>
    </row>
    <row r="4296">
      <c r="B4296" t="n">
        <v>34409710</v>
      </c>
      <c r="C4296" s="2" t="n">
        <v>44426</v>
      </c>
      <c r="D4296" t="inlineStr">
        <is>
          <t>SPEC</t>
        </is>
      </c>
      <c r="E4296" t="inlineStr">
        <is>
          <t>SMT PLASTRON BYPASS</t>
        </is>
      </c>
      <c r="G4296" t="inlineStr">
        <is>
          <t>E3L</t>
        </is>
      </c>
      <c r="H4296" t="inlineStr">
        <is>
          <t>BYPASS</t>
        </is>
      </c>
      <c r="J4296" t="inlineStr">
        <is>
          <t>BERNARDEAU</t>
        </is>
      </c>
      <c r="K4296" t="inlineStr">
        <is>
          <t>METAL</t>
        </is>
      </c>
      <c r="L4296">
        <f>_xlfn.XLOOKUP(Tableau1[[#This Row],[TYPE DE PIECE]],Tableau4[MATIERE],Tableau4[SHORT TYPE],"",0,1)</f>
        <v/>
      </c>
      <c r="N4296">
        <f>IF(ISERR(FIND("DECOUPE",Tableau1[[#This Row],[DESIGNATION]])),"","NEED REF")</f>
        <v/>
      </c>
    </row>
    <row r="4297">
      <c r="B4297" t="n">
        <v>34409709</v>
      </c>
      <c r="C4297" s="2" t="n">
        <v>44424</v>
      </c>
      <c r="D4297" t="inlineStr">
        <is>
          <t>SPEC</t>
        </is>
      </c>
      <c r="E4297" t="inlineStr">
        <is>
          <t>PLA PROTECTION OUTPUT</t>
        </is>
      </c>
      <c r="F4297" t="inlineStr">
        <is>
          <t>INTERXION MARSEILLE</t>
        </is>
      </c>
      <c r="G4297" t="inlineStr">
        <is>
          <t>GVX</t>
        </is>
      </c>
      <c r="H4297" t="inlineStr">
        <is>
          <t>IO</t>
        </is>
      </c>
      <c r="J4297" t="inlineStr">
        <is>
          <t>JAWORSKI</t>
        </is>
      </c>
      <c r="K4297" t="inlineStr">
        <is>
          <t>PLASTIQUE</t>
        </is>
      </c>
      <c r="L4297">
        <f>_xlfn.XLOOKUP(Tableau1[[#This Row],[TYPE DE PIECE]],Tableau4[MATIERE],Tableau4[SHORT TYPE],"",0,1)</f>
        <v/>
      </c>
      <c r="N4297">
        <f>IF(ISERR(FIND("DECOUPE",Tableau1[[#This Row],[DESIGNATION]])),"","NEED REF")</f>
        <v/>
      </c>
    </row>
    <row r="4298">
      <c r="B4298" t="n">
        <v>34409708</v>
      </c>
      <c r="C4298" s="2" t="n">
        <v>44424</v>
      </c>
      <c r="D4298" t="inlineStr">
        <is>
          <t>SPEC</t>
        </is>
      </c>
      <c r="E4298" t="inlineStr">
        <is>
          <t>COP LOAD PER 1</t>
        </is>
      </c>
      <c r="F4298" t="inlineStr">
        <is>
          <t>INTERXION MARSEILLE</t>
        </is>
      </c>
      <c r="G4298" t="inlineStr">
        <is>
          <t>GVX</t>
        </is>
      </c>
      <c r="H4298" t="inlineStr">
        <is>
          <t>IO</t>
        </is>
      </c>
      <c r="J4298" t="inlineStr">
        <is>
          <t>JAWORSKI</t>
        </is>
      </c>
      <c r="K4298" t="inlineStr">
        <is>
          <t>CUIVRE</t>
        </is>
      </c>
      <c r="L4298">
        <f>_xlfn.XLOOKUP(Tableau1[[#This Row],[TYPE DE PIECE]],Tableau4[MATIERE],Tableau4[SHORT TYPE],"",0,1)</f>
        <v/>
      </c>
      <c r="N4298">
        <f>IF(ISERR(FIND("DECOUPE",Tableau1[[#This Row],[DESIGNATION]])),"","NEED REF")</f>
        <v/>
      </c>
    </row>
    <row r="4299">
      <c r="B4299" t="n">
        <v>34409707</v>
      </c>
      <c r="C4299" s="2" t="n">
        <v>44420</v>
      </c>
      <c r="D4299" t="inlineStr">
        <is>
          <t>SPEC</t>
        </is>
      </c>
      <c r="E4299" t="inlineStr">
        <is>
          <t>outlet_grille_nsycag130x110lm</t>
        </is>
      </c>
      <c r="F4299" t="inlineStr">
        <is>
          <t>SE Belgium</t>
        </is>
      </c>
      <c r="G4299" t="inlineStr">
        <is>
          <t>GVS</t>
        </is>
      </c>
      <c r="H4299" t="inlineStr">
        <is>
          <t>BYPASS</t>
        </is>
      </c>
      <c r="J4299" t="inlineStr">
        <is>
          <t>PILLON</t>
        </is>
      </c>
      <c r="K4299" t="inlineStr">
        <is>
          <t>METAL</t>
        </is>
      </c>
      <c r="L4299">
        <f>_xlfn.XLOOKUP(Tableau1[[#This Row],[TYPE DE PIECE]],Tableau4[MATIERE],Tableau4[SHORT TYPE],"",0,1)</f>
        <v/>
      </c>
      <c r="N4299">
        <f>IF(ISERR(FIND("DECOUPE",Tableau1[[#This Row],[DESIGNATION]])),"","NEED REF")</f>
        <v/>
      </c>
    </row>
    <row r="4300">
      <c r="B4300" t="n">
        <v>34409706</v>
      </c>
      <c r="C4300" s="2" t="n">
        <v>44420</v>
      </c>
      <c r="D4300" t="inlineStr">
        <is>
          <t>SPEC</t>
        </is>
      </c>
      <c r="E4300" t="inlineStr">
        <is>
          <t>COP INTERCO VOLTADIS OUTPUT</t>
        </is>
      </c>
      <c r="F4300" t="inlineStr">
        <is>
          <t>INTERXION MARSEILLE</t>
        </is>
      </c>
      <c r="G4300" t="inlineStr">
        <is>
          <t>GVX</t>
        </is>
      </c>
      <c r="H4300" t="inlineStr">
        <is>
          <t>IO</t>
        </is>
      </c>
      <c r="J4300" t="inlineStr">
        <is>
          <t>JAWORSKI</t>
        </is>
      </c>
      <c r="K4300" t="inlineStr">
        <is>
          <t>CUIVRE</t>
        </is>
      </c>
      <c r="L4300">
        <f>_xlfn.XLOOKUP(Tableau1[[#This Row],[TYPE DE PIECE]],Tableau4[MATIERE],Tableau4[SHORT TYPE],"",0,1)</f>
        <v/>
      </c>
      <c r="N4300">
        <f>IF(ISERR(FIND("DECOUPE",Tableau1[[#This Row],[DESIGNATION]])),"","NEED REF")</f>
        <v/>
      </c>
    </row>
    <row r="4301">
      <c r="B4301" t="n">
        <v>34409705</v>
      </c>
      <c r="C4301" s="2" t="n">
        <v>44420</v>
      </c>
      <c r="D4301" t="inlineStr">
        <is>
          <t>SPEC</t>
        </is>
      </c>
      <c r="E4301" t="inlineStr">
        <is>
          <t>COP INTERCO VOLTADIS INPUT</t>
        </is>
      </c>
      <c r="F4301" t="inlineStr">
        <is>
          <t>INTERXION MARSEILLE</t>
        </is>
      </c>
      <c r="G4301" t="inlineStr">
        <is>
          <t>GVX</t>
        </is>
      </c>
      <c r="H4301" t="inlineStr">
        <is>
          <t>IO</t>
        </is>
      </c>
      <c r="J4301" t="inlineStr">
        <is>
          <t>JAWORSKI</t>
        </is>
      </c>
      <c r="K4301" t="inlineStr">
        <is>
          <t>CUIVRE</t>
        </is>
      </c>
      <c r="L4301">
        <f>_xlfn.XLOOKUP(Tableau1[[#This Row],[TYPE DE PIECE]],Tableau4[MATIERE],Tableau4[SHORT TYPE],"",0,1)</f>
        <v/>
      </c>
      <c r="N4301">
        <f>IF(ISERR(FIND("DECOUPE",Tableau1[[#This Row],[DESIGNATION]])),"","NEED REF")</f>
        <v/>
      </c>
    </row>
    <row r="4302">
      <c r="B4302" t="n">
        <v>34409704</v>
      </c>
      <c r="C4302" s="2" t="n">
        <v>44420</v>
      </c>
      <c r="D4302" t="inlineStr">
        <is>
          <t>SPEC</t>
        </is>
      </c>
      <c r="E4302" t="inlineStr">
        <is>
          <t>COP PLAGE PONTAGE BATT2</t>
        </is>
      </c>
      <c r="F4302" t="inlineStr">
        <is>
          <t>INTERXION MARSEILLE</t>
        </is>
      </c>
      <c r="G4302" t="inlineStr">
        <is>
          <t>GVX</t>
        </is>
      </c>
      <c r="H4302" t="inlineStr">
        <is>
          <t>IO</t>
        </is>
      </c>
      <c r="J4302" t="inlineStr">
        <is>
          <t>JAWORSKI</t>
        </is>
      </c>
      <c r="K4302" t="inlineStr">
        <is>
          <t>CUIVRE</t>
        </is>
      </c>
      <c r="L4302">
        <f>_xlfn.XLOOKUP(Tableau1[[#This Row],[TYPE DE PIECE]],Tableau4[MATIERE],Tableau4[SHORT TYPE],"",0,1)</f>
        <v/>
      </c>
      <c r="N4302">
        <f>IF(ISERR(FIND("DECOUPE",Tableau1[[#This Row],[DESIGNATION]])),"","NEED REF")</f>
        <v/>
      </c>
    </row>
    <row r="4303">
      <c r="B4303" t="n">
        <v>34409703</v>
      </c>
      <c r="C4303" s="2" t="n">
        <v>44420</v>
      </c>
      <c r="D4303" t="inlineStr">
        <is>
          <t>SPEC</t>
        </is>
      </c>
      <c r="E4303" t="inlineStr">
        <is>
          <t>COP PLAGE PONTAGE BATT1</t>
        </is>
      </c>
      <c r="F4303" t="inlineStr">
        <is>
          <t>INTERXION MARSEILLE</t>
        </is>
      </c>
      <c r="G4303" t="inlineStr">
        <is>
          <t>GVX</t>
        </is>
      </c>
      <c r="H4303" t="inlineStr">
        <is>
          <t>IO</t>
        </is>
      </c>
      <c r="J4303" t="inlineStr">
        <is>
          <t>JAWORSKI</t>
        </is>
      </c>
      <c r="K4303" t="inlineStr">
        <is>
          <t>CUIVRE</t>
        </is>
      </c>
      <c r="L4303">
        <f>_xlfn.XLOOKUP(Tableau1[[#This Row],[TYPE DE PIECE]],Tableau4[MATIERE],Tableau4[SHORT TYPE],"",0,1)</f>
        <v/>
      </c>
      <c r="N4303">
        <f>IF(ISERR(FIND("DECOUPE",Tableau1[[#This Row],[DESIGNATION]])),"","NEED REF")</f>
        <v/>
      </c>
    </row>
    <row r="4304">
      <c r="B4304" t="n">
        <v>34409702</v>
      </c>
      <c r="C4304" s="2" t="n">
        <v>44420</v>
      </c>
      <c r="D4304" t="inlineStr">
        <is>
          <t>SPEC</t>
        </is>
      </c>
      <c r="E4304" t="inlineStr">
        <is>
          <t>COP CALE INTERCO KXA AC3</t>
        </is>
      </c>
      <c r="F4304" t="inlineStr">
        <is>
          <t>INTERXION MARSEILLE</t>
        </is>
      </c>
      <c r="G4304" t="inlineStr">
        <is>
          <t>GVX</t>
        </is>
      </c>
      <c r="H4304" t="inlineStr">
        <is>
          <t>IO</t>
        </is>
      </c>
      <c r="J4304" t="inlineStr">
        <is>
          <t>JAWORSKI</t>
        </is>
      </c>
      <c r="K4304" t="inlineStr">
        <is>
          <t>CUIVRE</t>
        </is>
      </c>
      <c r="L4304">
        <f>_xlfn.XLOOKUP(Tableau1[[#This Row],[TYPE DE PIECE]],Tableau4[MATIERE],Tableau4[SHORT TYPE],"",0,1)</f>
        <v/>
      </c>
      <c r="N4304">
        <f>IF(ISERR(FIND("DECOUPE",Tableau1[[#This Row],[DESIGNATION]])),"","NEED REF")</f>
        <v/>
      </c>
    </row>
    <row r="4305">
      <c r="B4305" t="n">
        <v>34409701</v>
      </c>
      <c r="C4305" s="2" t="n">
        <v>44420</v>
      </c>
      <c r="D4305" t="inlineStr">
        <is>
          <t>SPEC</t>
        </is>
      </c>
      <c r="E4305" t="inlineStr">
        <is>
          <t>COP CALE INTERCO KXA AC2</t>
        </is>
      </c>
      <c r="F4305" t="inlineStr">
        <is>
          <t>INTERXION MARSEILLE</t>
        </is>
      </c>
      <c r="G4305" t="inlineStr">
        <is>
          <t>GVX</t>
        </is>
      </c>
      <c r="H4305" t="inlineStr">
        <is>
          <t>IO</t>
        </is>
      </c>
      <c r="J4305" t="inlineStr">
        <is>
          <t>JAWORSKI</t>
        </is>
      </c>
      <c r="K4305" t="inlineStr">
        <is>
          <t>CUIVRE</t>
        </is>
      </c>
      <c r="L4305">
        <f>_xlfn.XLOOKUP(Tableau1[[#This Row],[TYPE DE PIECE]],Tableau4[MATIERE],Tableau4[SHORT TYPE],"",0,1)</f>
        <v/>
      </c>
      <c r="N4305">
        <f>IF(ISERR(FIND("DECOUPE",Tableau1[[#This Row],[DESIGNATION]])),"","NEED REF")</f>
        <v/>
      </c>
    </row>
    <row r="4306">
      <c r="B4306" t="n">
        <v>34409700</v>
      </c>
      <c r="C4306" s="2" t="n">
        <v>44420</v>
      </c>
      <c r="D4306" t="inlineStr">
        <is>
          <t>SPEC</t>
        </is>
      </c>
      <c r="E4306" t="inlineStr">
        <is>
          <t>COP CALE INTERCO KXA AC1</t>
        </is>
      </c>
      <c r="F4306" t="inlineStr">
        <is>
          <t>INTERXION MARSEILLE</t>
        </is>
      </c>
      <c r="G4306" t="inlineStr">
        <is>
          <t>GVX</t>
        </is>
      </c>
      <c r="H4306" t="inlineStr">
        <is>
          <t>IO</t>
        </is>
      </c>
      <c r="J4306" t="inlineStr">
        <is>
          <t>JAWORSKI</t>
        </is>
      </c>
      <c r="K4306" t="inlineStr">
        <is>
          <t>CUIVRE</t>
        </is>
      </c>
      <c r="L4306">
        <f>_xlfn.XLOOKUP(Tableau1[[#This Row],[TYPE DE PIECE]],Tableau4[MATIERE],Tableau4[SHORT TYPE],"",0,1)</f>
        <v/>
      </c>
      <c r="N4306">
        <f>IF(ISERR(FIND("DECOUPE",Tableau1[[#This Row],[DESIGNATION]])),"","NEED REF")</f>
        <v/>
      </c>
    </row>
    <row r="4307">
      <c r="B4307" t="n">
        <v>34409699</v>
      </c>
      <c r="C4307" s="2" t="n">
        <v>44419</v>
      </c>
      <c r="D4307" t="inlineStr">
        <is>
          <t>SPEC</t>
        </is>
      </c>
      <c r="E4307" t="inlineStr">
        <is>
          <t>SMT COFFRET 800x800x300 DECOUPE + RAL9003</t>
        </is>
      </c>
      <c r="F4307" t="inlineStr">
        <is>
          <t>SE Belgium</t>
        </is>
      </c>
      <c r="G4307" t="inlineStr">
        <is>
          <t>GVS</t>
        </is>
      </c>
      <c r="H4307" t="inlineStr">
        <is>
          <t>BYPASS</t>
        </is>
      </c>
      <c r="J4307" t="inlineStr">
        <is>
          <t>PILLON</t>
        </is>
      </c>
      <c r="K4307" t="inlineStr">
        <is>
          <t>METAL</t>
        </is>
      </c>
      <c r="L4307">
        <f>_xlfn.XLOOKUP(Tableau1[[#This Row],[TYPE DE PIECE]],Tableau4[MATIERE],Tableau4[SHORT TYPE],"",0,1)</f>
        <v/>
      </c>
      <c r="N4307">
        <f>IF(ISERR(FIND("DECOUPE",Tableau1[[#This Row],[DESIGNATION]])),"","NEED REF")</f>
        <v/>
      </c>
    </row>
    <row r="4308">
      <c r="B4308" t="n">
        <v>34409698</v>
      </c>
      <c r="C4308" s="2" t="n">
        <v>44418</v>
      </c>
      <c r="D4308" t="inlineStr">
        <is>
          <t>SPEC</t>
        </is>
      </c>
      <c r="E4308" t="inlineStr">
        <is>
          <t>sous ensenble câbles + cosse</t>
        </is>
      </c>
      <c r="J4308" t="inlineStr">
        <is>
          <t>PLANTIER</t>
        </is>
      </c>
      <c r="K4308" t="inlineStr">
        <is>
          <t>CABLES</t>
        </is>
      </c>
      <c r="L4308">
        <f>_xlfn.XLOOKUP(Tableau1[[#This Row],[TYPE DE PIECE]],Tableau4[MATIERE],Tableau4[SHORT TYPE],"",0,1)</f>
        <v/>
      </c>
      <c r="N4308">
        <f>IF(ISERR(FIND("DECOUPE",Tableau1[[#This Row],[DESIGNATION]])),"","NEED REF")</f>
        <v/>
      </c>
    </row>
    <row r="4309">
      <c r="B4309" t="n">
        <v>34409697</v>
      </c>
      <c r="C4309" s="2" t="n">
        <v>44413</v>
      </c>
      <c r="D4309" t="inlineStr">
        <is>
          <t>SPEC</t>
        </is>
      </c>
      <c r="E4309" t="inlineStr">
        <is>
          <t>CABLES  PUISANCES BP &gt; GVL 4x240mm² SILICOUL</t>
        </is>
      </c>
      <c r="F4309" t="inlineStr">
        <is>
          <t>SE SA</t>
        </is>
      </c>
      <c r="G4309" t="inlineStr">
        <is>
          <t>GVL</t>
        </is>
      </c>
      <c r="H4309" t="inlineStr">
        <is>
          <t>BYPASS</t>
        </is>
      </c>
      <c r="J4309" t="inlineStr">
        <is>
          <t>ÇAKIR</t>
        </is>
      </c>
      <c r="K4309" t="inlineStr">
        <is>
          <t>CABLES</t>
        </is>
      </c>
      <c r="L4309">
        <f>_xlfn.XLOOKUP(Tableau1[[#This Row],[TYPE DE PIECE]],Tableau4[MATIERE],Tableau4[SHORT TYPE],"",0,1)</f>
        <v/>
      </c>
      <c r="N4309">
        <f>IF(ISERR(FIND("DECOUPE",Tableau1[[#This Row],[DESIGNATION]])),"","NEED REF")</f>
        <v/>
      </c>
    </row>
    <row r="4310">
      <c r="B4310" t="n">
        <v>34409696</v>
      </c>
      <c r="C4310" s="2" t="n">
        <v>44410</v>
      </c>
      <c r="D4310" t="inlineStr">
        <is>
          <t>SPEC</t>
        </is>
      </c>
      <c r="E4310" t="inlineStr">
        <is>
          <t>SMT PROTECTION VOYANT</t>
        </is>
      </c>
      <c r="G4310" t="inlineStr">
        <is>
          <t>GVS</t>
        </is>
      </c>
      <c r="H4310" t="inlineStr">
        <is>
          <t>BYPASS</t>
        </is>
      </c>
      <c r="J4310" t="inlineStr">
        <is>
          <t>BERNARDEAU</t>
        </is>
      </c>
      <c r="K4310" t="inlineStr">
        <is>
          <t>METAL</t>
        </is>
      </c>
      <c r="L4310">
        <f>_xlfn.XLOOKUP(Tableau1[[#This Row],[TYPE DE PIECE]],Tableau4[MATIERE],Tableau4[SHORT TYPE],"",0,1)</f>
        <v/>
      </c>
      <c r="N4310">
        <f>IF(ISERR(FIND("DECOUPE",Tableau1[[#This Row],[DESIGNATION]])),"","NEED REF")</f>
        <v/>
      </c>
    </row>
    <row r="4311">
      <c r="B4311" t="n">
        <v>34409695</v>
      </c>
      <c r="C4311" s="2" t="n">
        <v>44410</v>
      </c>
      <c r="D4311" t="inlineStr">
        <is>
          <t>SPEC</t>
        </is>
      </c>
      <c r="E4311" t="inlineStr">
        <is>
          <t>SMT PLASTRON WITH R1 NSX250</t>
        </is>
      </c>
      <c r="G4311" t="inlineStr">
        <is>
          <t>GVS</t>
        </is>
      </c>
      <c r="H4311" t="inlineStr">
        <is>
          <t>BYPASS</t>
        </is>
      </c>
      <c r="J4311" t="inlineStr">
        <is>
          <t>BERNARDEAU</t>
        </is>
      </c>
      <c r="K4311" t="inlineStr">
        <is>
          <t>METAL</t>
        </is>
      </c>
      <c r="L4311">
        <f>_xlfn.XLOOKUP(Tableau1[[#This Row],[TYPE DE PIECE]],Tableau4[MATIERE],Tableau4[SHORT TYPE],"",0,1)</f>
        <v/>
      </c>
      <c r="N4311">
        <f>IF(ISERR(FIND("DECOUPE",Tableau1[[#This Row],[DESIGNATION]])),"","NEED REF")</f>
        <v/>
      </c>
    </row>
    <row r="4312">
      <c r="B4312" t="n">
        <v>34409694</v>
      </c>
      <c r="C4312" s="2" t="n">
        <v>44407</v>
      </c>
      <c r="D4312" t="inlineStr">
        <is>
          <t>SPEC</t>
        </is>
      </c>
      <c r="E4312" t="inlineStr">
        <is>
          <t>PLA PROTECTION FLEXIBAR DC</t>
        </is>
      </c>
      <c r="F4312" t="inlineStr">
        <is>
          <t>INTERXION</t>
        </is>
      </c>
      <c r="G4312" t="inlineStr">
        <is>
          <t>GVX</t>
        </is>
      </c>
      <c r="H4312" t="inlineStr">
        <is>
          <t>IO</t>
        </is>
      </c>
      <c r="J4312" t="inlineStr">
        <is>
          <t>MATRION</t>
        </is>
      </c>
      <c r="K4312" t="inlineStr">
        <is>
          <t>PLASTIQUE</t>
        </is>
      </c>
      <c r="L4312">
        <f>_xlfn.XLOOKUP(Tableau1[[#This Row],[TYPE DE PIECE]],Tableau4[MATIERE],Tableau4[SHORT TYPE],"",0,1)</f>
        <v/>
      </c>
      <c r="N4312">
        <f>IF(ISERR(FIND("DECOUPE",Tableau1[[#This Row],[DESIGNATION]])),"","NEED REF")</f>
        <v/>
      </c>
    </row>
    <row r="4313">
      <c r="B4313" t="n">
        <v>34409693</v>
      </c>
      <c r="C4313" s="2" t="n">
        <v>44407</v>
      </c>
      <c r="D4313" t="inlineStr">
        <is>
          <t>SPEC</t>
        </is>
      </c>
      <c r="E4313" t="inlineStr">
        <is>
          <t>SMT PLASTRON WITH R1 NSX400</t>
        </is>
      </c>
      <c r="G4313" t="inlineStr">
        <is>
          <t>GVS</t>
        </is>
      </c>
      <c r="H4313" t="inlineStr">
        <is>
          <t>BYPASS</t>
        </is>
      </c>
      <c r="J4313" t="inlineStr">
        <is>
          <t>BERNARDEAU</t>
        </is>
      </c>
      <c r="K4313" t="inlineStr">
        <is>
          <t>METAL</t>
        </is>
      </c>
      <c r="L4313">
        <f>_xlfn.XLOOKUP(Tableau1[[#This Row],[TYPE DE PIECE]],Tableau4[MATIERE],Tableau4[SHORT TYPE],"",0,1)</f>
        <v/>
      </c>
      <c r="N4313">
        <f>IF(ISERR(FIND("DECOUPE",Tableau1[[#This Row],[DESIGNATION]])),"","NEED REF")</f>
        <v/>
      </c>
    </row>
    <row r="4314">
      <c r="B4314" t="n">
        <v>34409692</v>
      </c>
      <c r="C4314" s="2" t="n">
        <v>44407</v>
      </c>
      <c r="D4314" t="inlineStr">
        <is>
          <t>SPEC</t>
        </is>
      </c>
      <c r="E4314" t="inlineStr">
        <is>
          <t>PLAN DE DECOUPE RAIL DIN</t>
        </is>
      </c>
      <c r="G4314" t="inlineStr">
        <is>
          <t>GVS</t>
        </is>
      </c>
      <c r="H4314" t="inlineStr">
        <is>
          <t>BYPASS</t>
        </is>
      </c>
      <c r="J4314" t="inlineStr">
        <is>
          <t>BERNARDEAU</t>
        </is>
      </c>
      <c r="K4314" t="inlineStr">
        <is>
          <t>ETO</t>
        </is>
      </c>
      <c r="L4314">
        <f>_xlfn.XLOOKUP(Tableau1[[#This Row],[TYPE DE PIECE]],Tableau4[MATIERE],Tableau4[SHORT TYPE],"",0,1)</f>
        <v/>
      </c>
      <c r="N4314">
        <f>IF(ISERR(FIND("DECOUPE",Tableau1[[#This Row],[DESIGNATION]])),"","NEED REF")</f>
        <v/>
      </c>
    </row>
    <row r="4315">
      <c r="B4315" t="n">
        <v>34409691</v>
      </c>
      <c r="C4315" s="2" t="n">
        <v>44406</v>
      </c>
      <c r="D4315" t="inlineStr">
        <is>
          <t>SPEC</t>
        </is>
      </c>
      <c r="E4315" t="inlineStr">
        <is>
          <t>SMT SUPPORT PLASTRON</t>
        </is>
      </c>
      <c r="G4315" t="inlineStr">
        <is>
          <t>GVS</t>
        </is>
      </c>
      <c r="H4315" t="inlineStr">
        <is>
          <t>BYPASS</t>
        </is>
      </c>
      <c r="J4315" t="inlineStr">
        <is>
          <t>BERNARDEAU</t>
        </is>
      </c>
      <c r="K4315" t="inlineStr">
        <is>
          <t>METAL</t>
        </is>
      </c>
      <c r="L4315">
        <f>_xlfn.XLOOKUP(Tableau1[[#This Row],[TYPE DE PIECE]],Tableau4[MATIERE],Tableau4[SHORT TYPE],"",0,1)</f>
        <v/>
      </c>
      <c r="N4315">
        <f>IF(ISERR(FIND("DECOUPE",Tableau1[[#This Row],[DESIGNATION]])),"","NEED REF")</f>
        <v/>
      </c>
    </row>
    <row r="4316">
      <c r="B4316" t="n">
        <v>34409690</v>
      </c>
      <c r="C4316" s="2" t="n">
        <v>44406</v>
      </c>
      <c r="D4316" t="inlineStr">
        <is>
          <t>SPEC</t>
        </is>
      </c>
      <c r="E4316" t="inlineStr">
        <is>
          <t>SMT SUPPORT VERSION NSX250</t>
        </is>
      </c>
      <c r="G4316" t="inlineStr">
        <is>
          <t>GVS</t>
        </is>
      </c>
      <c r="H4316" t="inlineStr">
        <is>
          <t>BYPASS</t>
        </is>
      </c>
      <c r="J4316" t="inlineStr">
        <is>
          <t>BERNARDEAU</t>
        </is>
      </c>
      <c r="K4316" t="inlineStr">
        <is>
          <t>METAL</t>
        </is>
      </c>
      <c r="L4316">
        <f>_xlfn.XLOOKUP(Tableau1[[#This Row],[TYPE DE PIECE]],Tableau4[MATIERE],Tableau4[SHORT TYPE],"",0,1)</f>
        <v/>
      </c>
      <c r="N4316">
        <f>IF(ISERR(FIND("DECOUPE",Tableau1[[#This Row],[DESIGNATION]])),"","NEED REF")</f>
        <v/>
      </c>
    </row>
    <row r="4317">
      <c r="B4317" t="n">
        <v>34409689</v>
      </c>
      <c r="C4317" s="2" t="n">
        <v>44406</v>
      </c>
      <c r="D4317" t="inlineStr">
        <is>
          <t>SPEC</t>
        </is>
      </c>
      <c r="E4317" t="inlineStr">
        <is>
          <t>SMT SUPPORT</t>
        </is>
      </c>
      <c r="G4317" t="inlineStr">
        <is>
          <t>GVS</t>
        </is>
      </c>
      <c r="H4317" t="inlineStr">
        <is>
          <t>BYPASS</t>
        </is>
      </c>
      <c r="J4317" t="inlineStr">
        <is>
          <t>BERNARDEAU</t>
        </is>
      </c>
      <c r="K4317" t="inlineStr">
        <is>
          <t>METAL</t>
        </is>
      </c>
      <c r="L4317">
        <f>_xlfn.XLOOKUP(Tableau1[[#This Row],[TYPE DE PIECE]],Tableau4[MATIERE],Tableau4[SHORT TYPE],"",0,1)</f>
        <v/>
      </c>
      <c r="N4317">
        <f>IF(ISERR(FIND("DECOUPE",Tableau1[[#This Row],[DESIGNATION]])),"","NEED REF")</f>
        <v/>
      </c>
    </row>
    <row r="4318">
      <c r="B4318" t="n">
        <v>34409688</v>
      </c>
      <c r="C4318" s="2" t="n">
        <v>44406</v>
      </c>
      <c r="D4318" t="inlineStr">
        <is>
          <t>SPEC</t>
        </is>
      </c>
      <c r="E4318" t="inlineStr">
        <is>
          <t>SMT FIXATION VOLTADIS DC</t>
        </is>
      </c>
      <c r="F4318" t="inlineStr">
        <is>
          <t>INTERXION MARSEILLE</t>
        </is>
      </c>
      <c r="G4318" t="inlineStr">
        <is>
          <t>GVX</t>
        </is>
      </c>
      <c r="H4318" t="inlineStr">
        <is>
          <t>IO</t>
        </is>
      </c>
      <c r="J4318" t="inlineStr">
        <is>
          <t>MATRION</t>
        </is>
      </c>
      <c r="K4318" t="inlineStr">
        <is>
          <t>METAL</t>
        </is>
      </c>
      <c r="L4318">
        <f>_xlfn.XLOOKUP(Tableau1[[#This Row],[TYPE DE PIECE]],Tableau4[MATIERE],Tableau4[SHORT TYPE],"",0,1)</f>
        <v/>
      </c>
      <c r="N4318">
        <f>IF(ISERR(FIND("DECOUPE",Tableau1[[#This Row],[DESIGNATION]])),"","NEED REF")</f>
        <v/>
      </c>
    </row>
    <row r="4319">
      <c r="B4319" t="n">
        <v>34409687</v>
      </c>
      <c r="C4319" s="2" t="n">
        <v>44406</v>
      </c>
      <c r="D4319" t="inlineStr">
        <is>
          <t>SPEC</t>
        </is>
      </c>
      <c r="E4319" t="inlineStr">
        <is>
          <t>SMT VOLTADIS INPUT ROOF 2</t>
        </is>
      </c>
      <c r="F4319" t="inlineStr">
        <is>
          <t>INTERXION MARSEILLE</t>
        </is>
      </c>
      <c r="G4319" t="inlineStr">
        <is>
          <t>GVX</t>
        </is>
      </c>
      <c r="H4319" t="inlineStr">
        <is>
          <t>IO</t>
        </is>
      </c>
      <c r="J4319" t="inlineStr">
        <is>
          <t>MATRION</t>
        </is>
      </c>
      <c r="K4319" t="inlineStr">
        <is>
          <t>METAL</t>
        </is>
      </c>
      <c r="L4319">
        <f>_xlfn.XLOOKUP(Tableau1[[#This Row],[TYPE DE PIECE]],Tableau4[MATIERE],Tableau4[SHORT TYPE],"",0,1)</f>
        <v/>
      </c>
      <c r="N4319">
        <f>IF(ISERR(FIND("DECOUPE",Tableau1[[#This Row],[DESIGNATION]])),"","NEED REF")</f>
        <v/>
      </c>
    </row>
    <row r="4320">
      <c r="B4320" t="n">
        <v>34409686</v>
      </c>
      <c r="C4320" s="2" t="n">
        <v>44406</v>
      </c>
      <c r="D4320" t="inlineStr">
        <is>
          <t>SPEC</t>
        </is>
      </c>
      <c r="E4320" t="inlineStr">
        <is>
          <t>SMT VOLTADIS INPUT ROOF 1</t>
        </is>
      </c>
      <c r="F4320" t="inlineStr">
        <is>
          <t>INTERXION MARSEILLE</t>
        </is>
      </c>
      <c r="G4320" t="inlineStr">
        <is>
          <t>GVX</t>
        </is>
      </c>
      <c r="H4320" t="inlineStr">
        <is>
          <t>IO</t>
        </is>
      </c>
      <c r="J4320" t="inlineStr">
        <is>
          <t>MATRION</t>
        </is>
      </c>
      <c r="K4320" t="inlineStr">
        <is>
          <t>METAL</t>
        </is>
      </c>
      <c r="L4320">
        <f>_xlfn.XLOOKUP(Tableau1[[#This Row],[TYPE DE PIECE]],Tableau4[MATIERE],Tableau4[SHORT TYPE],"",0,1)</f>
        <v/>
      </c>
      <c r="N4320">
        <f>IF(ISERR(FIND("DECOUPE",Tableau1[[#This Row],[DESIGNATION]])),"","NEED REF")</f>
        <v/>
      </c>
    </row>
    <row r="4321">
      <c r="B4321" t="n">
        <v>34409685</v>
      </c>
      <c r="C4321" s="2" t="n">
        <v>44406</v>
      </c>
      <c r="D4321" t="inlineStr">
        <is>
          <t>SPEC</t>
        </is>
      </c>
      <c r="E4321" t="inlineStr">
        <is>
          <t>SMT VOLTADIS OUTPUT AND BATT ROOF 2</t>
        </is>
      </c>
      <c r="F4321" t="inlineStr">
        <is>
          <t>INTERXION MARSEILLE</t>
        </is>
      </c>
      <c r="G4321" t="inlineStr">
        <is>
          <t>GVX</t>
        </is>
      </c>
      <c r="H4321" t="inlineStr">
        <is>
          <t>IO</t>
        </is>
      </c>
      <c r="J4321" t="inlineStr">
        <is>
          <t>MATRION</t>
        </is>
      </c>
      <c r="K4321" t="inlineStr">
        <is>
          <t>METAL</t>
        </is>
      </c>
      <c r="L4321">
        <f>_xlfn.XLOOKUP(Tableau1[[#This Row],[TYPE DE PIECE]],Tableau4[MATIERE],Tableau4[SHORT TYPE],"",0,1)</f>
        <v/>
      </c>
      <c r="N4321">
        <f>IF(ISERR(FIND("DECOUPE",Tableau1[[#This Row],[DESIGNATION]])),"","NEED REF")</f>
        <v/>
      </c>
    </row>
    <row r="4322">
      <c r="B4322" t="n">
        <v>34409684</v>
      </c>
      <c r="C4322" s="2" t="n">
        <v>44406</v>
      </c>
      <c r="D4322" t="inlineStr">
        <is>
          <t>SPEC</t>
        </is>
      </c>
      <c r="E4322" t="inlineStr">
        <is>
          <t>SMT VOLTADIS OUTPUT AND BATT ROOF 1</t>
        </is>
      </c>
      <c r="F4322" t="inlineStr">
        <is>
          <t>INTERXION MARSEILLE</t>
        </is>
      </c>
      <c r="G4322" t="inlineStr">
        <is>
          <t>GVX</t>
        </is>
      </c>
      <c r="H4322" t="inlineStr">
        <is>
          <t>IO</t>
        </is>
      </c>
      <c r="J4322" t="inlineStr">
        <is>
          <t>MATRION</t>
        </is>
      </c>
      <c r="K4322" t="inlineStr">
        <is>
          <t>METAL</t>
        </is>
      </c>
      <c r="L4322">
        <f>_xlfn.XLOOKUP(Tableau1[[#This Row],[TYPE DE PIECE]],Tableau4[MATIERE],Tableau4[SHORT TYPE],"",0,1)</f>
        <v/>
      </c>
      <c r="N4322">
        <f>IF(ISERR(FIND("DECOUPE",Tableau1[[#This Row],[DESIGNATION]])),"","NEED REF")</f>
        <v/>
      </c>
    </row>
    <row r="4323">
      <c r="B4323" t="n">
        <v>34409683</v>
      </c>
      <c r="C4323" s="2" t="n">
        <v>44405</v>
      </c>
      <c r="D4323" t="inlineStr">
        <is>
          <t>SPEC</t>
        </is>
      </c>
      <c r="E4323" t="inlineStr">
        <is>
          <t>PLA protection plexi</t>
        </is>
      </c>
      <c r="G4323" t="inlineStr">
        <is>
          <t>GVS</t>
        </is>
      </c>
      <c r="H4323" t="inlineStr">
        <is>
          <t>BYPASS</t>
        </is>
      </c>
      <c r="J4323" t="inlineStr">
        <is>
          <t>BERNARDEAU</t>
        </is>
      </c>
      <c r="K4323" t="inlineStr">
        <is>
          <t>PLASTIQUE</t>
        </is>
      </c>
      <c r="L4323">
        <f>_xlfn.XLOOKUP(Tableau1[[#This Row],[TYPE DE PIECE]],Tableau4[MATIERE],Tableau4[SHORT TYPE],"",0,1)</f>
        <v/>
      </c>
      <c r="N4323">
        <f>IF(ISERR(FIND("DECOUPE",Tableau1[[#This Row],[DESIGNATION]])),"","NEED REF")</f>
        <v/>
      </c>
    </row>
    <row r="4324">
      <c r="B4324" t="n">
        <v>34409682</v>
      </c>
      <c r="C4324" s="2" t="n">
        <v>44404</v>
      </c>
      <c r="D4324" t="inlineStr">
        <is>
          <t>SPEC</t>
        </is>
      </c>
      <c r="E4324" t="inlineStr">
        <is>
          <t>DECOUPE ET PERCAGE COP LIAISON LINERGY 1</t>
        </is>
      </c>
      <c r="F4324" t="inlineStr">
        <is>
          <t>SCHNEIDER INTERNE</t>
        </is>
      </c>
      <c r="G4324" t="inlineStr">
        <is>
          <t>GVE</t>
        </is>
      </c>
      <c r="H4324" t="inlineStr">
        <is>
          <t>AUX</t>
        </is>
      </c>
      <c r="J4324" t="inlineStr">
        <is>
          <t>BERNARDEAU</t>
        </is>
      </c>
      <c r="K4324" t="inlineStr">
        <is>
          <t>CUIVRE</t>
        </is>
      </c>
      <c r="L4324">
        <f>_xlfn.XLOOKUP(Tableau1[[#This Row],[TYPE DE PIECE]],Tableau4[MATIERE],Tableau4[SHORT TYPE],"",0,1)</f>
        <v/>
      </c>
      <c r="N4324">
        <f>IF(ISERR(FIND("DECOUPE",Tableau1[[#This Row],[DESIGNATION]])),"","NEED REF")</f>
        <v/>
      </c>
    </row>
    <row r="4325">
      <c r="B4325" t="n">
        <v>34409681</v>
      </c>
      <c r="C4325" s="2" t="n">
        <v>44404</v>
      </c>
      <c r="D4325" t="inlineStr">
        <is>
          <t>SPEC</t>
        </is>
      </c>
      <c r="E4325" t="inlineStr">
        <is>
          <t>DECOUPE ET PERCAGE COP LIAISON LINERGY PE</t>
        </is>
      </c>
      <c r="F4325" t="inlineStr">
        <is>
          <t>SCHNEIDER INTERNE</t>
        </is>
      </c>
      <c r="G4325" t="inlineStr">
        <is>
          <t>GVE</t>
        </is>
      </c>
      <c r="H4325" t="inlineStr">
        <is>
          <t>AUX</t>
        </is>
      </c>
      <c r="J4325" t="inlineStr">
        <is>
          <t>BERNARDEAU</t>
        </is>
      </c>
      <c r="K4325" t="inlineStr">
        <is>
          <t>CUIVRE</t>
        </is>
      </c>
      <c r="L4325">
        <f>_xlfn.XLOOKUP(Tableau1[[#This Row],[TYPE DE PIECE]],Tableau4[MATIERE],Tableau4[SHORT TYPE],"",0,1)</f>
        <v/>
      </c>
      <c r="N4325">
        <f>IF(ISERR(FIND("DECOUPE",Tableau1[[#This Row],[DESIGNATION]])),"","NEED REF")</f>
        <v/>
      </c>
    </row>
    <row r="4326">
      <c r="B4326" t="n">
        <v>34409680</v>
      </c>
      <c r="C4326" s="2" t="n">
        <v>44404</v>
      </c>
      <c r="D4326" t="inlineStr">
        <is>
          <t>SPEC</t>
        </is>
      </c>
      <c r="E4326" t="inlineStr">
        <is>
          <t>COP LIAISON LINERGY PE</t>
        </is>
      </c>
      <c r="F4326" t="inlineStr">
        <is>
          <t>SCHNEIDER INTERNE</t>
        </is>
      </c>
      <c r="G4326" t="inlineStr">
        <is>
          <t>GVE</t>
        </is>
      </c>
      <c r="H4326" t="inlineStr">
        <is>
          <t>AUX</t>
        </is>
      </c>
      <c r="J4326" t="inlineStr">
        <is>
          <t>BERNARDEAU</t>
        </is>
      </c>
      <c r="K4326" t="inlineStr">
        <is>
          <t>CUIVRE</t>
        </is>
      </c>
      <c r="L4326">
        <f>_xlfn.XLOOKUP(Tableau1[[#This Row],[TYPE DE PIECE]],Tableau4[MATIERE],Tableau4[SHORT TYPE],"",0,1)</f>
        <v/>
      </c>
      <c r="N4326">
        <f>IF(ISERR(FIND("DECOUPE",Tableau1[[#This Row],[DESIGNATION]])),"","NEED REF")</f>
        <v/>
      </c>
    </row>
    <row r="4327">
      <c r="B4327" t="n">
        <v>34409679</v>
      </c>
      <c r="C4327" s="2" t="n">
        <v>44403</v>
      </c>
      <c r="D4327" t="inlineStr">
        <is>
          <t>SPEC</t>
        </is>
      </c>
      <c r="E4327" t="inlineStr">
        <is>
          <t>SMT SUPPORT JDB LG750</t>
        </is>
      </c>
      <c r="F4327" t="inlineStr">
        <is>
          <t>SCHNEIDER INTERNE</t>
        </is>
      </c>
      <c r="G4327" t="inlineStr">
        <is>
          <t>GVE</t>
        </is>
      </c>
      <c r="H4327" t="inlineStr">
        <is>
          <t>AUX</t>
        </is>
      </c>
      <c r="J4327" t="inlineStr">
        <is>
          <t>BERNARDEAU</t>
        </is>
      </c>
      <c r="K4327" t="inlineStr">
        <is>
          <t>METAL</t>
        </is>
      </c>
      <c r="L4327">
        <f>_xlfn.XLOOKUP(Tableau1[[#This Row],[TYPE DE PIECE]],Tableau4[MATIERE],Tableau4[SHORT TYPE],"",0,1)</f>
        <v/>
      </c>
      <c r="N4327">
        <f>IF(ISERR(FIND("DECOUPE",Tableau1[[#This Row],[DESIGNATION]])),"","NEED REF")</f>
        <v/>
      </c>
    </row>
    <row r="4328">
      <c r="B4328" t="n">
        <v>34409678</v>
      </c>
      <c r="C4328" s="2" t="n">
        <v>44403</v>
      </c>
      <c r="D4328" t="inlineStr">
        <is>
          <t>SPEC</t>
        </is>
      </c>
      <c r="E4328" t="inlineStr">
        <is>
          <t>COP LIAISON LINERGY 1</t>
        </is>
      </c>
      <c r="F4328" t="inlineStr">
        <is>
          <t>SCHNEIDER INTERNE</t>
        </is>
      </c>
      <c r="G4328" t="inlineStr">
        <is>
          <t>GVE</t>
        </is>
      </c>
      <c r="H4328" t="inlineStr">
        <is>
          <t>AUX</t>
        </is>
      </c>
      <c r="J4328" t="inlineStr">
        <is>
          <t>BERNARDEAU</t>
        </is>
      </c>
      <c r="K4328" t="inlineStr">
        <is>
          <t>CUIVRE</t>
        </is>
      </c>
      <c r="L4328">
        <f>_xlfn.XLOOKUP(Tableau1[[#This Row],[TYPE DE PIECE]],Tableau4[MATIERE],Tableau4[SHORT TYPE],"",0,1)</f>
        <v/>
      </c>
      <c r="N4328">
        <f>IF(ISERR(FIND("DECOUPE",Tableau1[[#This Row],[DESIGNATION]])),"","NEED REF")</f>
        <v/>
      </c>
    </row>
    <row r="4329">
      <c r="B4329" t="n">
        <v>34409677</v>
      </c>
      <c r="C4329" s="2" t="n">
        <v>44403</v>
      </c>
      <c r="D4329" t="inlineStr">
        <is>
          <t>SPEC</t>
        </is>
      </c>
      <c r="E4329" t="inlineStr">
        <is>
          <t>SMT 2_SUPPORT 04678 - L650MM</t>
        </is>
      </c>
      <c r="F4329" t="inlineStr">
        <is>
          <t>SNEF GRENOBLE</t>
        </is>
      </c>
      <c r="G4329" t="inlineStr">
        <is>
          <t>gvx</t>
        </is>
      </c>
      <c r="H4329" t="inlineStr">
        <is>
          <t>BYPASS</t>
        </is>
      </c>
      <c r="J4329" t="inlineStr">
        <is>
          <t>BERNARDEAU</t>
        </is>
      </c>
      <c r="K4329" t="inlineStr">
        <is>
          <t>METAL</t>
        </is>
      </c>
      <c r="L4329">
        <f>_xlfn.XLOOKUP(Tableau1[[#This Row],[TYPE DE PIECE]],Tableau4[MATIERE],Tableau4[SHORT TYPE],"",0,1)</f>
        <v/>
      </c>
      <c r="N4329">
        <f>IF(ISERR(FIND("DECOUPE",Tableau1[[#This Row],[DESIGNATION]])),"","NEED REF")</f>
        <v/>
      </c>
    </row>
    <row r="4330">
      <c r="B4330" t="n">
        <v>34409676</v>
      </c>
      <c r="C4330" s="2" t="n">
        <v>44400</v>
      </c>
      <c r="D4330" t="inlineStr">
        <is>
          <t>SPEC</t>
        </is>
      </c>
      <c r="E4330" t="inlineStr">
        <is>
          <t>MTZ2 HA 2500A 3P</t>
        </is>
      </c>
      <c r="F4330" t="inlineStr">
        <is>
          <t>SNEF GRENOBLE</t>
        </is>
      </c>
      <c r="G4330" t="inlineStr">
        <is>
          <t>GVX</t>
        </is>
      </c>
      <c r="H4330" t="inlineStr">
        <is>
          <t>BYPASS</t>
        </is>
      </c>
      <c r="J4330" t="inlineStr">
        <is>
          <t>MATRION</t>
        </is>
      </c>
      <c r="K4330" t="inlineStr">
        <is>
          <t>=S=</t>
        </is>
      </c>
      <c r="L4330">
        <f>_xlfn.XLOOKUP(Tableau1[[#This Row],[TYPE DE PIECE]],Tableau4[MATIERE],Tableau4[SHORT TYPE],"",0,1)</f>
        <v/>
      </c>
      <c r="N4330">
        <f>IF(ISERR(FIND("DECOUPE",Tableau1[[#This Row],[DESIGNATION]])),"","NEED REF")</f>
        <v/>
      </c>
    </row>
    <row r="4331">
      <c r="B4331" t="n">
        <v>34409675</v>
      </c>
      <c r="C4331" s="2" t="n">
        <v>44400</v>
      </c>
      <c r="D4331" t="inlineStr">
        <is>
          <t>SPEC</t>
        </is>
      </c>
      <c r="E4331" t="inlineStr">
        <is>
          <t>MTZ2 H2 3200A 3P Micro 5.0X</t>
        </is>
      </c>
      <c r="F4331" t="inlineStr">
        <is>
          <t>SNEF GRENOBLE</t>
        </is>
      </c>
      <c r="G4331" t="inlineStr">
        <is>
          <t>GVX</t>
        </is>
      </c>
      <c r="H4331" t="inlineStr">
        <is>
          <t>BYPASS</t>
        </is>
      </c>
      <c r="J4331" t="inlineStr">
        <is>
          <t>MATRION</t>
        </is>
      </c>
      <c r="K4331" t="inlineStr">
        <is>
          <t>=S=</t>
        </is>
      </c>
      <c r="L4331">
        <f>_xlfn.XLOOKUP(Tableau1[[#This Row],[TYPE DE PIECE]],Tableau4[MATIERE],Tableau4[SHORT TYPE],"",0,1)</f>
        <v/>
      </c>
      <c r="N4331">
        <f>IF(ISERR(FIND("DECOUPE",Tableau1[[#This Row],[DESIGNATION]])),"","NEED REF")</f>
        <v/>
      </c>
    </row>
    <row r="4332">
      <c r="B4332" t="n">
        <v>34409674</v>
      </c>
      <c r="C4332" s="2" t="n">
        <v>44400</v>
      </c>
      <c r="D4332" t="inlineStr">
        <is>
          <t>SPEC</t>
        </is>
      </c>
      <c r="E4332" t="inlineStr">
        <is>
          <t>MTZ2 H2 2500A 3P Micro 5.0X</t>
        </is>
      </c>
      <c r="F4332" t="inlineStr">
        <is>
          <t>SNEF GRENOBLE</t>
        </is>
      </c>
      <c r="G4332" t="inlineStr">
        <is>
          <t>GVX</t>
        </is>
      </c>
      <c r="H4332" t="inlineStr">
        <is>
          <t>BYPASS</t>
        </is>
      </c>
      <c r="J4332" t="inlineStr">
        <is>
          <t>MATRION</t>
        </is>
      </c>
      <c r="K4332" t="inlineStr">
        <is>
          <t>=S=</t>
        </is>
      </c>
      <c r="L4332">
        <f>_xlfn.XLOOKUP(Tableau1[[#This Row],[TYPE DE PIECE]],Tableau4[MATIERE],Tableau4[SHORT TYPE],"",0,1)</f>
        <v/>
      </c>
      <c r="N4332">
        <f>IF(ISERR(FIND("DECOUPE",Tableau1[[#This Row],[DESIGNATION]])),"","NEED REF")</f>
        <v/>
      </c>
    </row>
    <row r="4333">
      <c r="B4333" t="n">
        <v>34409673</v>
      </c>
      <c r="C4333" s="2" t="n">
        <v>44399</v>
      </c>
      <c r="D4333" t="inlineStr">
        <is>
          <t>SPEC</t>
        </is>
      </c>
      <c r="E4333" t="inlineStr">
        <is>
          <t>COP PE/PEN LINK</t>
        </is>
      </c>
      <c r="F4333" t="inlineStr">
        <is>
          <t>SNEF GRENOBLE</t>
        </is>
      </c>
      <c r="G4333" t="inlineStr">
        <is>
          <t>GVX</t>
        </is>
      </c>
      <c r="H4333" t="inlineStr">
        <is>
          <t>BYPASS</t>
        </is>
      </c>
      <c r="J4333" t="inlineStr">
        <is>
          <t>MATRION</t>
        </is>
      </c>
      <c r="K4333" t="inlineStr">
        <is>
          <t>CUIVRE</t>
        </is>
      </c>
      <c r="L4333">
        <f>_xlfn.XLOOKUP(Tableau1[[#This Row],[TYPE DE PIECE]],Tableau4[MATIERE],Tableau4[SHORT TYPE],"",0,1)</f>
        <v/>
      </c>
      <c r="N4333">
        <f>IF(ISERR(FIND("DECOUPE",Tableau1[[#This Row],[DESIGNATION]])),"","NEED REF")</f>
        <v/>
      </c>
    </row>
    <row r="4334">
      <c r="B4334" t="n">
        <v>34409672</v>
      </c>
      <c r="C4334" s="2" t="n">
        <v>44399</v>
      </c>
      <c r="D4334" t="inlineStr">
        <is>
          <t>SPEC</t>
        </is>
      </c>
      <c r="E4334" t="inlineStr">
        <is>
          <t>COP 19_LIAISON PEN</t>
        </is>
      </c>
      <c r="F4334" t="inlineStr">
        <is>
          <t>SNEF GRENOBLE</t>
        </is>
      </c>
      <c r="G4334" t="inlineStr">
        <is>
          <t>GVX</t>
        </is>
      </c>
      <c r="H4334" t="inlineStr">
        <is>
          <t>BYPASS</t>
        </is>
      </c>
      <c r="J4334" t="inlineStr">
        <is>
          <t>MATRION</t>
        </is>
      </c>
      <c r="K4334" t="inlineStr">
        <is>
          <t>CUIVRE</t>
        </is>
      </c>
      <c r="L4334">
        <f>_xlfn.XLOOKUP(Tableau1[[#This Row],[TYPE DE PIECE]],Tableau4[MATIERE],Tableau4[SHORT TYPE],"",0,1)</f>
        <v/>
      </c>
      <c r="N4334">
        <f>IF(ISERR(FIND("DECOUPE",Tableau1[[#This Row],[DESIGNATION]])),"","NEED REF")</f>
        <v/>
      </c>
    </row>
    <row r="4335">
      <c r="B4335" t="n">
        <v>34409671</v>
      </c>
      <c r="C4335" s="2" t="n">
        <v>44399</v>
      </c>
      <c r="D4335" t="inlineStr">
        <is>
          <t>SPEC</t>
        </is>
      </c>
      <c r="E4335" t="inlineStr">
        <is>
          <t>COP 18_LIAISON PEN</t>
        </is>
      </c>
      <c r="F4335" t="inlineStr">
        <is>
          <t>SNEF GRENOBLE</t>
        </is>
      </c>
      <c r="G4335" t="inlineStr">
        <is>
          <t>GVX</t>
        </is>
      </c>
      <c r="H4335" t="inlineStr">
        <is>
          <t>BYPASS</t>
        </is>
      </c>
      <c r="J4335" t="inlineStr">
        <is>
          <t>MATRION</t>
        </is>
      </c>
      <c r="K4335" t="inlineStr">
        <is>
          <t>CUIVRE</t>
        </is>
      </c>
      <c r="L4335">
        <f>_xlfn.XLOOKUP(Tableau1[[#This Row],[TYPE DE PIECE]],Tableau4[MATIERE],Tableau4[SHORT TYPE],"",0,1)</f>
        <v/>
      </c>
      <c r="N4335">
        <f>IF(ISERR(FIND("DECOUPE",Tableau1[[#This Row],[DESIGNATION]])),"","NEED REF")</f>
        <v/>
      </c>
    </row>
    <row r="4336">
      <c r="B4336" t="n">
        <v>34409670</v>
      </c>
      <c r="C4336" s="2" t="n">
        <v>44399</v>
      </c>
      <c r="D4336" t="inlineStr">
        <is>
          <t>SPEC</t>
        </is>
      </c>
      <c r="E4336" t="inlineStr">
        <is>
          <t>COP 17_LIAISON PEN</t>
        </is>
      </c>
      <c r="F4336" t="inlineStr">
        <is>
          <t>SNEF GRENOBLE</t>
        </is>
      </c>
      <c r="G4336" t="inlineStr">
        <is>
          <t>GVX</t>
        </is>
      </c>
      <c r="H4336" t="inlineStr">
        <is>
          <t>BYPASS</t>
        </is>
      </c>
      <c r="J4336" t="inlineStr">
        <is>
          <t>MATRION</t>
        </is>
      </c>
      <c r="K4336" t="inlineStr">
        <is>
          <t>CUIVRE</t>
        </is>
      </c>
      <c r="L4336">
        <f>_xlfn.XLOOKUP(Tableau1[[#This Row],[TYPE DE PIECE]],Tableau4[MATIERE],Tableau4[SHORT TYPE],"",0,1)</f>
        <v/>
      </c>
      <c r="N4336">
        <f>IF(ISERR(FIND("DECOUPE",Tableau1[[#This Row],[DESIGNATION]])),"","NEED REF")</f>
        <v/>
      </c>
    </row>
    <row r="4337">
      <c r="B4337" t="n">
        <v>34409669</v>
      </c>
      <c r="C4337" s="2" t="n">
        <v>44399</v>
      </c>
      <c r="D4337" t="inlineStr">
        <is>
          <t>SPEC</t>
        </is>
      </c>
      <c r="E4337" t="inlineStr">
        <is>
          <t>COP 16_LIAISON PEN</t>
        </is>
      </c>
      <c r="F4337" t="inlineStr">
        <is>
          <t>SNEF GRENOBLE</t>
        </is>
      </c>
      <c r="G4337" t="inlineStr">
        <is>
          <t>GVX</t>
        </is>
      </c>
      <c r="H4337" t="inlineStr">
        <is>
          <t>BYPASS</t>
        </is>
      </c>
      <c r="J4337" t="inlineStr">
        <is>
          <t>MATRION</t>
        </is>
      </c>
      <c r="K4337" t="inlineStr">
        <is>
          <t>CUIVRE</t>
        </is>
      </c>
      <c r="L4337">
        <f>_xlfn.XLOOKUP(Tableau1[[#This Row],[TYPE DE PIECE]],Tableau4[MATIERE],Tableau4[SHORT TYPE],"",0,1)</f>
        <v/>
      </c>
      <c r="N4337">
        <f>IF(ISERR(FIND("DECOUPE",Tableau1[[#This Row],[DESIGNATION]])),"","NEED REF")</f>
        <v/>
      </c>
    </row>
    <row r="4338">
      <c r="B4338" t="n">
        <v>34409668</v>
      </c>
      <c r="C4338" s="2" t="n">
        <v>44399</v>
      </c>
      <c r="D4338" t="inlineStr">
        <is>
          <t>SPEC</t>
        </is>
      </c>
      <c r="E4338" t="inlineStr">
        <is>
          <t>COP 15_LIAISON PEN</t>
        </is>
      </c>
      <c r="F4338" t="inlineStr">
        <is>
          <t>SNEF GRENOBLE</t>
        </is>
      </c>
      <c r="G4338" t="inlineStr">
        <is>
          <t>GVX</t>
        </is>
      </c>
      <c r="H4338" t="inlineStr">
        <is>
          <t>BYPASS</t>
        </is>
      </c>
      <c r="J4338" t="inlineStr">
        <is>
          <t>MATRION</t>
        </is>
      </c>
      <c r="K4338" t="inlineStr">
        <is>
          <t>CUIVRE</t>
        </is>
      </c>
      <c r="L4338">
        <f>_xlfn.XLOOKUP(Tableau1[[#This Row],[TYPE DE PIECE]],Tableau4[MATIERE],Tableau4[SHORT TYPE],"",0,1)</f>
        <v/>
      </c>
      <c r="N4338">
        <f>IF(ISERR(FIND("DECOUPE",Tableau1[[#This Row],[DESIGNATION]])),"","NEED REF")</f>
        <v/>
      </c>
    </row>
    <row r="4339">
      <c r="B4339" t="n">
        <v>34409667</v>
      </c>
      <c r="C4339" s="2" t="n">
        <v>44399</v>
      </c>
      <c r="D4339" t="inlineStr">
        <is>
          <t>SPEC</t>
        </is>
      </c>
      <c r="E4339" t="inlineStr">
        <is>
          <t>COP 1_LIAISON PEN 100X10</t>
        </is>
      </c>
      <c r="F4339" t="inlineStr">
        <is>
          <t>SNEF GRENOBLE</t>
        </is>
      </c>
      <c r="G4339" t="inlineStr">
        <is>
          <t>GVX</t>
        </is>
      </c>
      <c r="H4339" t="inlineStr">
        <is>
          <t>BYPASS</t>
        </is>
      </c>
      <c r="J4339" t="inlineStr">
        <is>
          <t>MATRION</t>
        </is>
      </c>
      <c r="K4339" t="inlineStr">
        <is>
          <t>CUIVRE</t>
        </is>
      </c>
      <c r="L4339">
        <f>_xlfn.XLOOKUP(Tableau1[[#This Row],[TYPE DE PIECE]],Tableau4[MATIERE],Tableau4[SHORT TYPE],"",0,1)</f>
        <v/>
      </c>
      <c r="N4339">
        <f>IF(ISERR(FIND("DECOUPE",Tableau1[[#This Row],[DESIGNATION]])),"","NEED REF")</f>
        <v/>
      </c>
    </row>
    <row r="4340">
      <c r="B4340" t="n">
        <v>34409666</v>
      </c>
      <c r="C4340" s="2" t="n">
        <v>44399</v>
      </c>
      <c r="D4340" t="inlineStr">
        <is>
          <t>SPEC</t>
        </is>
      </c>
      <c r="E4340" t="inlineStr">
        <is>
          <t>COP 5_LIAISON TGAB 100X10</t>
        </is>
      </c>
      <c r="F4340" t="inlineStr">
        <is>
          <t>SNEF GRENOBLE</t>
        </is>
      </c>
      <c r="G4340" t="inlineStr">
        <is>
          <t>GVX</t>
        </is>
      </c>
      <c r="H4340" t="inlineStr">
        <is>
          <t>BYPASS</t>
        </is>
      </c>
      <c r="J4340" t="inlineStr">
        <is>
          <t>MATRION</t>
        </is>
      </c>
      <c r="K4340" t="inlineStr">
        <is>
          <t>CUIVRE</t>
        </is>
      </c>
      <c r="L4340">
        <f>_xlfn.XLOOKUP(Tableau1[[#This Row],[TYPE DE PIECE]],Tableau4[MATIERE],Tableau4[SHORT TYPE],"",0,1)</f>
        <v/>
      </c>
      <c r="N4340">
        <f>IF(ISERR(FIND("DECOUPE",Tableau1[[#This Row],[DESIGNATION]])),"","NEED REF")</f>
        <v/>
      </c>
    </row>
    <row r="4341">
      <c r="B4341" t="n">
        <v>34409665</v>
      </c>
      <c r="C4341" s="2" t="n">
        <v>44397</v>
      </c>
      <c r="D4341" t="inlineStr">
        <is>
          <t>SPEC</t>
        </is>
      </c>
      <c r="E4341" t="inlineStr">
        <is>
          <t>SMT PLASTRON PLEIN</t>
        </is>
      </c>
      <c r="F4341" t="inlineStr">
        <is>
          <t>SNEF GRENOBLE</t>
        </is>
      </c>
      <c r="G4341" t="inlineStr">
        <is>
          <t>GVX</t>
        </is>
      </c>
      <c r="H4341" t="inlineStr">
        <is>
          <t>BYPASS</t>
        </is>
      </c>
      <c r="J4341" t="inlineStr">
        <is>
          <t>MATRION</t>
        </is>
      </c>
      <c r="K4341" t="inlineStr">
        <is>
          <t>METAL</t>
        </is>
      </c>
      <c r="L4341">
        <f>_xlfn.XLOOKUP(Tableau1[[#This Row],[TYPE DE PIECE]],Tableau4[MATIERE],Tableau4[SHORT TYPE],"",0,1)</f>
        <v/>
      </c>
      <c r="N4341">
        <f>IF(ISERR(FIND("DECOUPE",Tableau1[[#This Row],[DESIGNATION]])),"","NEED REF")</f>
        <v/>
      </c>
    </row>
    <row r="4342">
      <c r="B4342" t="n">
        <v>34409664</v>
      </c>
      <c r="C4342" s="2" t="n">
        <v>44397</v>
      </c>
      <c r="D4342" t="inlineStr">
        <is>
          <t>SPEC</t>
        </is>
      </c>
      <c r="E4342" t="inlineStr">
        <is>
          <t>SMT PLASTRON HAUT</t>
        </is>
      </c>
      <c r="F4342" t="inlineStr">
        <is>
          <t>SNEF GRENOBLE</t>
        </is>
      </c>
      <c r="G4342" t="inlineStr">
        <is>
          <t>GVX</t>
        </is>
      </c>
      <c r="H4342" t="inlineStr">
        <is>
          <t>BYPASS</t>
        </is>
      </c>
      <c r="J4342" t="inlineStr">
        <is>
          <t>MATRION</t>
        </is>
      </c>
      <c r="K4342" t="inlineStr">
        <is>
          <t>METAL</t>
        </is>
      </c>
      <c r="L4342">
        <f>_xlfn.XLOOKUP(Tableau1[[#This Row],[TYPE DE PIECE]],Tableau4[MATIERE],Tableau4[SHORT TYPE],"",0,1)</f>
        <v/>
      </c>
      <c r="N4342">
        <f>IF(ISERR(FIND("DECOUPE",Tableau1[[#This Row],[DESIGNATION]])),"","NEED REF")</f>
        <v/>
      </c>
    </row>
    <row r="4343">
      <c r="B4343" t="n">
        <v>34409663</v>
      </c>
      <c r="C4343" s="2" t="n">
        <v>44397</v>
      </c>
      <c r="D4343" t="inlineStr">
        <is>
          <t>SPEC</t>
        </is>
      </c>
      <c r="E4343" t="inlineStr">
        <is>
          <t>SMT PLASTRON BAS</t>
        </is>
      </c>
      <c r="F4343" t="inlineStr">
        <is>
          <t>SNEF GRENOBLE</t>
        </is>
      </c>
      <c r="G4343" t="inlineStr">
        <is>
          <t>GVX</t>
        </is>
      </c>
      <c r="H4343" t="inlineStr">
        <is>
          <t>BYPASS</t>
        </is>
      </c>
      <c r="J4343" t="inlineStr">
        <is>
          <t>MATRION</t>
        </is>
      </c>
      <c r="K4343" t="inlineStr">
        <is>
          <t>METAL</t>
        </is>
      </c>
      <c r="L4343">
        <f>_xlfn.XLOOKUP(Tableau1[[#This Row],[TYPE DE PIECE]],Tableau4[MATIERE],Tableau4[SHORT TYPE],"",0,1)</f>
        <v/>
      </c>
      <c r="N4343">
        <f>IF(ISERR(FIND("DECOUPE",Tableau1[[#This Row],[DESIGNATION]])),"","NEED REF")</f>
        <v/>
      </c>
    </row>
    <row r="4344">
      <c r="B4344" t="n">
        <v>34409662</v>
      </c>
      <c r="C4344" s="2" t="n">
        <v>44397</v>
      </c>
      <c r="D4344" t="inlineStr">
        <is>
          <t>SPEC</t>
        </is>
      </c>
      <c r="E4344" t="inlineStr">
        <is>
          <t>SMT PLASTRON MTZ</t>
        </is>
      </c>
      <c r="F4344" t="inlineStr">
        <is>
          <t>SNEF GRENOBLE</t>
        </is>
      </c>
      <c r="G4344" t="inlineStr">
        <is>
          <t>GVX</t>
        </is>
      </c>
      <c r="H4344" t="inlineStr">
        <is>
          <t>BYPASS</t>
        </is>
      </c>
      <c r="J4344" t="inlineStr">
        <is>
          <t>MATRION</t>
        </is>
      </c>
      <c r="K4344" t="inlineStr">
        <is>
          <t>METAL</t>
        </is>
      </c>
      <c r="L4344">
        <f>_xlfn.XLOOKUP(Tableau1[[#This Row],[TYPE DE PIECE]],Tableau4[MATIERE],Tableau4[SHORT TYPE],"",0,1)</f>
        <v/>
      </c>
      <c r="N4344">
        <f>IF(ISERR(FIND("DECOUPE",Tableau1[[#This Row],[DESIGNATION]])),"","NEED REF")</f>
        <v/>
      </c>
    </row>
    <row r="4345">
      <c r="B4345" t="n">
        <v>34409661</v>
      </c>
      <c r="C4345" s="2" t="n">
        <v>44397</v>
      </c>
      <c r="D4345" t="inlineStr">
        <is>
          <t>SPEC</t>
        </is>
      </c>
      <c r="E4345" t="inlineStr">
        <is>
          <t>COP 13_LIAISON LOAD 80X10</t>
        </is>
      </c>
      <c r="F4345" t="inlineStr">
        <is>
          <t>SNEF GRENOBLE</t>
        </is>
      </c>
      <c r="G4345" t="inlineStr">
        <is>
          <t>GVX</t>
        </is>
      </c>
      <c r="H4345" t="inlineStr">
        <is>
          <t>BYPASS</t>
        </is>
      </c>
      <c r="J4345" t="inlineStr">
        <is>
          <t>JAWORSKI</t>
        </is>
      </c>
      <c r="K4345" t="inlineStr">
        <is>
          <t>CUIVRE</t>
        </is>
      </c>
      <c r="L4345">
        <f>_xlfn.XLOOKUP(Tableau1[[#This Row],[TYPE DE PIECE]],Tableau4[MATIERE],Tableau4[SHORT TYPE],"",0,1)</f>
        <v/>
      </c>
      <c r="N4345">
        <f>IF(ISERR(FIND("DECOUPE",Tableau1[[#This Row],[DESIGNATION]])),"","NEED REF")</f>
        <v/>
      </c>
    </row>
    <row r="4346">
      <c r="B4346" t="n">
        <v>34409660</v>
      </c>
      <c r="C4346" s="2" t="n">
        <v>44397</v>
      </c>
      <c r="D4346" t="inlineStr">
        <is>
          <t>SPEC</t>
        </is>
      </c>
      <c r="E4346" t="inlineStr">
        <is>
          <t>COP 5_LIAISON TGAB 80X10</t>
        </is>
      </c>
      <c r="F4346" t="inlineStr">
        <is>
          <t>SNEF GRENOBLE</t>
        </is>
      </c>
      <c r="G4346" t="inlineStr">
        <is>
          <t>GVX</t>
        </is>
      </c>
      <c r="H4346" t="inlineStr">
        <is>
          <t>BYPASS</t>
        </is>
      </c>
      <c r="J4346" t="inlineStr">
        <is>
          <t>JAWORSKI</t>
        </is>
      </c>
      <c r="K4346" t="inlineStr">
        <is>
          <t>CUIVRE</t>
        </is>
      </c>
      <c r="L4346">
        <f>_xlfn.XLOOKUP(Tableau1[[#This Row],[TYPE DE PIECE]],Tableau4[MATIERE],Tableau4[SHORT TYPE],"",0,1)</f>
        <v/>
      </c>
      <c r="N4346">
        <f>IF(ISERR(FIND("DECOUPE",Tableau1[[#This Row],[DESIGNATION]])),"","NEED REF")</f>
        <v/>
      </c>
    </row>
    <row r="4347">
      <c r="B4347" t="n">
        <v>34409659</v>
      </c>
      <c r="C4347" s="2" t="n">
        <v>44397</v>
      </c>
      <c r="D4347" t="inlineStr">
        <is>
          <t>SPEC</t>
        </is>
      </c>
      <c r="E4347" t="inlineStr">
        <is>
          <t>SMT SUPPORT LIAISON TGAB</t>
        </is>
      </c>
      <c r="F4347" t="inlineStr">
        <is>
          <t>SNEF GRENOBLE</t>
        </is>
      </c>
      <c r="G4347" t="inlineStr">
        <is>
          <t>GVX</t>
        </is>
      </c>
      <c r="H4347" t="inlineStr">
        <is>
          <t>BYPASS</t>
        </is>
      </c>
      <c r="J4347" t="inlineStr">
        <is>
          <t>JAWORSKI</t>
        </is>
      </c>
      <c r="K4347" t="inlineStr">
        <is>
          <t>METAL</t>
        </is>
      </c>
      <c r="L4347">
        <f>_xlfn.XLOOKUP(Tableau1[[#This Row],[TYPE DE PIECE]],Tableau4[MATIERE],Tableau4[SHORT TYPE],"",0,1)</f>
        <v/>
      </c>
      <c r="N4347">
        <f>IF(ISERR(FIND("DECOUPE",Tableau1[[#This Row],[DESIGNATION]])),"","NEED REF")</f>
        <v/>
      </c>
    </row>
    <row r="4348">
      <c r="B4348" t="n">
        <v>34409658</v>
      </c>
      <c r="C4348" s="2" t="n">
        <v>44394</v>
      </c>
      <c r="D4348" t="inlineStr">
        <is>
          <t>SPEC</t>
        </is>
      </c>
      <c r="E4348" t="inlineStr">
        <is>
          <t>SMT SUPPORT VOYANT LED 16MM</t>
        </is>
      </c>
      <c r="F4348" t="inlineStr">
        <is>
          <t>SNEF GRENOBLE</t>
        </is>
      </c>
      <c r="G4348" t="inlineStr">
        <is>
          <t>GVX</t>
        </is>
      </c>
      <c r="H4348" t="inlineStr">
        <is>
          <t>BYPASS</t>
        </is>
      </c>
      <c r="J4348" t="inlineStr">
        <is>
          <t>JAWORSKI</t>
        </is>
      </c>
      <c r="K4348" t="inlineStr">
        <is>
          <t>METAL</t>
        </is>
      </c>
      <c r="L4348">
        <f>_xlfn.XLOOKUP(Tableau1[[#This Row],[TYPE DE PIECE]],Tableau4[MATIERE],Tableau4[SHORT TYPE],"",0,1)</f>
        <v/>
      </c>
      <c r="N4348">
        <f>IF(ISERR(FIND("DECOUPE",Tableau1[[#This Row],[DESIGNATION]])),"","NEED REF")</f>
        <v/>
      </c>
    </row>
    <row r="4349">
      <c r="B4349" t="n">
        <v>34409657</v>
      </c>
      <c r="C4349" s="2" t="n">
        <v>44394</v>
      </c>
      <c r="D4349" t="inlineStr">
        <is>
          <t>SPEC</t>
        </is>
      </c>
      <c r="E4349" t="inlineStr">
        <is>
          <t>SMT ROOF LIP GVEAC7</t>
        </is>
      </c>
      <c r="F4349" t="inlineStr">
        <is>
          <t>SNEF GRENOBLE</t>
        </is>
      </c>
      <c r="G4349" t="inlineStr">
        <is>
          <t>GVX</t>
        </is>
      </c>
      <c r="H4349" t="inlineStr">
        <is>
          <t>BYPASS</t>
        </is>
      </c>
      <c r="J4349" t="inlineStr">
        <is>
          <t>JAWORSKI</t>
        </is>
      </c>
      <c r="K4349" t="inlineStr">
        <is>
          <t>METAL</t>
        </is>
      </c>
      <c r="L4349">
        <f>_xlfn.XLOOKUP(Tableau1[[#This Row],[TYPE DE PIECE]],Tableau4[MATIERE],Tableau4[SHORT TYPE],"",0,1)</f>
        <v/>
      </c>
      <c r="N4349">
        <f>IF(ISERR(FIND("DECOUPE",Tableau1[[#This Row],[DESIGNATION]])),"","NEED REF")</f>
        <v/>
      </c>
    </row>
    <row r="4350">
      <c r="B4350" t="n">
        <v>34409656</v>
      </c>
      <c r="C4350" s="2" t="n">
        <v>44392</v>
      </c>
      <c r="D4350" t="inlineStr">
        <is>
          <t>SPEC</t>
        </is>
      </c>
      <c r="E4350" t="inlineStr">
        <is>
          <t>COP 14_LIAISON LOAD 80X10</t>
        </is>
      </c>
      <c r="F4350" t="inlineStr">
        <is>
          <t>SNEF GRENOBLE</t>
        </is>
      </c>
      <c r="G4350" t="inlineStr">
        <is>
          <t>GVX</t>
        </is>
      </c>
      <c r="H4350" t="inlineStr">
        <is>
          <t>BYPASS</t>
        </is>
      </c>
      <c r="J4350" t="inlineStr">
        <is>
          <t>JAWORSKI</t>
        </is>
      </c>
      <c r="K4350" t="inlineStr">
        <is>
          <t>CUIVRE</t>
        </is>
      </c>
      <c r="L4350">
        <f>_xlfn.XLOOKUP(Tableau1[[#This Row],[TYPE DE PIECE]],Tableau4[MATIERE],Tableau4[SHORT TYPE],"",0,1)</f>
        <v/>
      </c>
      <c r="N4350">
        <f>IF(ISERR(FIND("DECOUPE",Tableau1[[#This Row],[DESIGNATION]])),"","NEED REF")</f>
        <v/>
      </c>
    </row>
    <row r="4351">
      <c r="B4351" t="n">
        <v>34409655</v>
      </c>
      <c r="C4351" s="2" t="n">
        <v>44392</v>
      </c>
      <c r="D4351" t="inlineStr">
        <is>
          <t>SPEC</t>
        </is>
      </c>
      <c r="E4351" t="inlineStr">
        <is>
          <t>COP 13_LIAISON LOAD 80X10</t>
        </is>
      </c>
      <c r="F4351" t="inlineStr">
        <is>
          <t>SNEF GRENOBLE</t>
        </is>
      </c>
      <c r="G4351" t="inlineStr">
        <is>
          <t>GVX</t>
        </is>
      </c>
      <c r="H4351" t="inlineStr">
        <is>
          <t>BYPASS</t>
        </is>
      </c>
      <c r="J4351" t="inlineStr">
        <is>
          <t>JAWORSKI</t>
        </is>
      </c>
      <c r="K4351" t="inlineStr">
        <is>
          <t>CUIVRE</t>
        </is>
      </c>
      <c r="L4351">
        <f>_xlfn.XLOOKUP(Tableau1[[#This Row],[TYPE DE PIECE]],Tableau4[MATIERE],Tableau4[SHORT TYPE],"",0,1)</f>
        <v/>
      </c>
      <c r="N4351">
        <f>IF(ISERR(FIND("DECOUPE",Tableau1[[#This Row],[DESIGNATION]])),"","NEED REF")</f>
        <v/>
      </c>
    </row>
    <row r="4352">
      <c r="B4352" t="n">
        <v>34409654</v>
      </c>
      <c r="C4352" s="2" t="n">
        <v>44392</v>
      </c>
      <c r="D4352" t="inlineStr">
        <is>
          <t>SPEC</t>
        </is>
      </c>
      <c r="E4352" t="inlineStr">
        <is>
          <t>COP 12_LIAISON LOAD 80X10</t>
        </is>
      </c>
      <c r="F4352" t="inlineStr">
        <is>
          <t>SNEF GRENOBLE</t>
        </is>
      </c>
      <c r="G4352" t="inlineStr">
        <is>
          <t>GVX</t>
        </is>
      </c>
      <c r="H4352" t="inlineStr">
        <is>
          <t>BYPASS</t>
        </is>
      </c>
      <c r="J4352" t="inlineStr">
        <is>
          <t>JAWORSKI</t>
        </is>
      </c>
      <c r="K4352" t="inlineStr">
        <is>
          <t>CUIVRE</t>
        </is>
      </c>
      <c r="L4352">
        <f>_xlfn.XLOOKUP(Tableau1[[#This Row],[TYPE DE PIECE]],Tableau4[MATIERE],Tableau4[SHORT TYPE],"",0,1)</f>
        <v/>
      </c>
      <c r="N4352">
        <f>IF(ISERR(FIND("DECOUPE",Tableau1[[#This Row],[DESIGNATION]])),"","NEED REF")</f>
        <v/>
      </c>
    </row>
    <row r="4353">
      <c r="B4353" t="n">
        <v>34409653</v>
      </c>
      <c r="C4353" s="2" t="n">
        <v>44392</v>
      </c>
      <c r="D4353" t="inlineStr">
        <is>
          <t>SPEC</t>
        </is>
      </c>
      <c r="E4353" t="inlineStr">
        <is>
          <t>COP 11_LIAISON LOAD 80X10</t>
        </is>
      </c>
      <c r="F4353" t="inlineStr">
        <is>
          <t>SNEF GRENOBLE</t>
        </is>
      </c>
      <c r="G4353" t="inlineStr">
        <is>
          <t>GVX</t>
        </is>
      </c>
      <c r="H4353" t="inlineStr">
        <is>
          <t>BYPASS</t>
        </is>
      </c>
      <c r="J4353" t="inlineStr">
        <is>
          <t>JAWORSKI</t>
        </is>
      </c>
      <c r="K4353" t="inlineStr">
        <is>
          <t>CUIVRE</t>
        </is>
      </c>
      <c r="L4353">
        <f>_xlfn.XLOOKUP(Tableau1[[#This Row],[TYPE DE PIECE]],Tableau4[MATIERE],Tableau4[SHORT TYPE],"",0,1)</f>
        <v/>
      </c>
      <c r="N4353">
        <f>IF(ISERR(FIND("DECOUPE",Tableau1[[#This Row],[DESIGNATION]])),"","NEED REF")</f>
        <v/>
      </c>
    </row>
    <row r="4354">
      <c r="B4354" t="n">
        <v>34409652</v>
      </c>
      <c r="C4354" s="2" t="n">
        <v>44392</v>
      </c>
      <c r="D4354" t="inlineStr">
        <is>
          <t>SPEC</t>
        </is>
      </c>
      <c r="E4354" t="inlineStr">
        <is>
          <t>COP 10_LIAISON LOAD 80X10</t>
        </is>
      </c>
      <c r="F4354" t="inlineStr">
        <is>
          <t>SNEF GRENOBLE</t>
        </is>
      </c>
      <c r="G4354" t="inlineStr">
        <is>
          <t>GVX</t>
        </is>
      </c>
      <c r="H4354" t="inlineStr">
        <is>
          <t>BYPASS</t>
        </is>
      </c>
      <c r="J4354" t="inlineStr">
        <is>
          <t>JAWORSKI</t>
        </is>
      </c>
      <c r="K4354" t="inlineStr">
        <is>
          <t>CUIVRE</t>
        </is>
      </c>
      <c r="L4354">
        <f>_xlfn.XLOOKUP(Tableau1[[#This Row],[TYPE DE PIECE]],Tableau4[MATIERE],Tableau4[SHORT TYPE],"",0,1)</f>
        <v/>
      </c>
      <c r="N4354">
        <f>IF(ISERR(FIND("DECOUPE",Tableau1[[#This Row],[DESIGNATION]])),"","NEED REF")</f>
        <v/>
      </c>
    </row>
    <row r="4355">
      <c r="B4355" t="n">
        <v>34409651</v>
      </c>
      <c r="C4355" s="2" t="n">
        <v>44392</v>
      </c>
      <c r="D4355" t="inlineStr">
        <is>
          <t>SPEC</t>
        </is>
      </c>
      <c r="E4355" t="inlineStr">
        <is>
          <t>COP 9_LIAISON LOAD 80X10</t>
        </is>
      </c>
      <c r="F4355" t="inlineStr">
        <is>
          <t>SNEF GRENOBLE</t>
        </is>
      </c>
      <c r="G4355" t="inlineStr">
        <is>
          <t>GVX</t>
        </is>
      </c>
      <c r="H4355" t="inlineStr">
        <is>
          <t>BYPASS</t>
        </is>
      </c>
      <c r="J4355" t="inlineStr">
        <is>
          <t>JAWORSKI</t>
        </is>
      </c>
      <c r="K4355" t="inlineStr">
        <is>
          <t>CUIVRE</t>
        </is>
      </c>
      <c r="L4355">
        <f>_xlfn.XLOOKUP(Tableau1[[#This Row],[TYPE DE PIECE]],Tableau4[MATIERE],Tableau4[SHORT TYPE],"",0,1)</f>
        <v/>
      </c>
      <c r="N4355">
        <f>IF(ISERR(FIND("DECOUPE",Tableau1[[#This Row],[DESIGNATION]])),"","NEED REF")</f>
        <v/>
      </c>
    </row>
    <row r="4356">
      <c r="B4356" t="n">
        <v>34409650</v>
      </c>
      <c r="C4356" s="2" t="n">
        <v>44392</v>
      </c>
      <c r="D4356" t="inlineStr">
        <is>
          <t>SPEC</t>
        </is>
      </c>
      <c r="E4356" t="inlineStr">
        <is>
          <t>COP 8_LIAISON LOAD 80X10</t>
        </is>
      </c>
      <c r="F4356" t="inlineStr">
        <is>
          <t>SNEF GRENOBLE</t>
        </is>
      </c>
      <c r="G4356" t="inlineStr">
        <is>
          <t>GVX</t>
        </is>
      </c>
      <c r="H4356" t="inlineStr">
        <is>
          <t>BYPASS</t>
        </is>
      </c>
      <c r="J4356" t="inlineStr">
        <is>
          <t>JAWORSKI</t>
        </is>
      </c>
      <c r="K4356" t="inlineStr">
        <is>
          <t>CUIVRE</t>
        </is>
      </c>
      <c r="L4356">
        <f>_xlfn.XLOOKUP(Tableau1[[#This Row],[TYPE DE PIECE]],Tableau4[MATIERE],Tableau4[SHORT TYPE],"",0,1)</f>
        <v/>
      </c>
      <c r="N4356">
        <f>IF(ISERR(FIND("DECOUPE",Tableau1[[#This Row],[DESIGNATION]])),"","NEED REF")</f>
        <v/>
      </c>
    </row>
    <row r="4357">
      <c r="B4357" t="n">
        <v>34409649</v>
      </c>
      <c r="C4357" s="2" t="n">
        <v>44392</v>
      </c>
      <c r="D4357" t="inlineStr">
        <is>
          <t>SPEC</t>
        </is>
      </c>
      <c r="E4357" t="inlineStr">
        <is>
          <t>COP DECOUPE BARRE CU 04161 15X5</t>
        </is>
      </c>
      <c r="F4357" t="inlineStr">
        <is>
          <t>REGEN 50A</t>
        </is>
      </c>
      <c r="G4357" t="inlineStr">
        <is>
          <t>ALL</t>
        </is>
      </c>
      <c r="H4357" t="inlineStr">
        <is>
          <t>REGEN</t>
        </is>
      </c>
      <c r="J4357" t="inlineStr">
        <is>
          <t>JAWORSKI</t>
        </is>
      </c>
      <c r="K4357" t="inlineStr">
        <is>
          <t>ETO</t>
        </is>
      </c>
      <c r="L4357">
        <f>_xlfn.XLOOKUP(Tableau1[[#This Row],[TYPE DE PIECE]],Tableau4[MATIERE],Tableau4[SHORT TYPE],"",0,1)</f>
        <v/>
      </c>
      <c r="N4357" t="inlineStr">
        <is>
          <t>LVS04161</t>
        </is>
      </c>
    </row>
    <row r="4358">
      <c r="B4358" t="n">
        <v>34409648</v>
      </c>
      <c r="C4358" s="2" t="n">
        <v>44390</v>
      </c>
      <c r="D4358" t="inlineStr">
        <is>
          <t>SPEC</t>
        </is>
      </c>
      <c r="E4358" t="inlineStr">
        <is>
          <t>COP 7_LIAISON R2 80X10</t>
        </is>
      </c>
      <c r="F4358" t="inlineStr">
        <is>
          <t>SNEF GRENOBLE</t>
        </is>
      </c>
      <c r="G4358" t="inlineStr">
        <is>
          <t>GVX</t>
        </is>
      </c>
      <c r="H4358" t="inlineStr">
        <is>
          <t>BYPASS</t>
        </is>
      </c>
      <c r="J4358" t="inlineStr">
        <is>
          <t>JAWORSKI</t>
        </is>
      </c>
      <c r="K4358" t="inlineStr">
        <is>
          <t>CUIVRE</t>
        </is>
      </c>
      <c r="L4358">
        <f>_xlfn.XLOOKUP(Tableau1[[#This Row],[TYPE DE PIECE]],Tableau4[MATIERE],Tableau4[SHORT TYPE],"",0,1)</f>
        <v/>
      </c>
      <c r="N4358">
        <f>IF(ISERR(FIND("DECOUPE",Tableau1[[#This Row],[DESIGNATION]])),"","NEED REF")</f>
        <v/>
      </c>
    </row>
    <row r="4359">
      <c r="B4359" t="n">
        <v>34409647</v>
      </c>
      <c r="C4359" s="2" t="n">
        <v>44390</v>
      </c>
      <c r="D4359" t="inlineStr">
        <is>
          <t>SPEC</t>
        </is>
      </c>
      <c r="E4359" t="inlineStr">
        <is>
          <t>COP 6_LIAISON R2 80X10</t>
        </is>
      </c>
      <c r="F4359" t="inlineStr">
        <is>
          <t>SNEF GRENOBLE</t>
        </is>
      </c>
      <c r="G4359" t="inlineStr">
        <is>
          <t>GVX</t>
        </is>
      </c>
      <c r="H4359" t="inlineStr">
        <is>
          <t>BYPASS</t>
        </is>
      </c>
      <c r="J4359" t="inlineStr">
        <is>
          <t>JAWORSKI</t>
        </is>
      </c>
      <c r="K4359" t="inlineStr">
        <is>
          <t>CUIVRE</t>
        </is>
      </c>
      <c r="L4359">
        <f>_xlfn.XLOOKUP(Tableau1[[#This Row],[TYPE DE PIECE]],Tableau4[MATIERE],Tableau4[SHORT TYPE],"",0,1)</f>
        <v/>
      </c>
      <c r="N4359">
        <f>IF(ISERR(FIND("DECOUPE",Tableau1[[#This Row],[DESIGNATION]])),"","NEED REF")</f>
        <v/>
      </c>
    </row>
    <row r="4360">
      <c r="B4360" t="n">
        <v>34409646</v>
      </c>
      <c r="C4360" s="2" t="n">
        <v>44390</v>
      </c>
      <c r="D4360" t="inlineStr">
        <is>
          <t>SPEC</t>
        </is>
      </c>
      <c r="E4360" t="inlineStr">
        <is>
          <t>SMT SUPPORT LATERAL - L750MM</t>
        </is>
      </c>
      <c r="F4360" t="inlineStr">
        <is>
          <t>SNEF GRENOBLE</t>
        </is>
      </c>
      <c r="G4360" t="inlineStr">
        <is>
          <t>GVX</t>
        </is>
      </c>
      <c r="H4360" t="inlineStr">
        <is>
          <t>BYPASS</t>
        </is>
      </c>
      <c r="J4360" t="inlineStr">
        <is>
          <t>JAWORSKI</t>
        </is>
      </c>
      <c r="K4360" t="inlineStr">
        <is>
          <t>METAL</t>
        </is>
      </c>
      <c r="L4360">
        <f>_xlfn.XLOOKUP(Tableau1[[#This Row],[TYPE DE PIECE]],Tableau4[MATIERE],Tableau4[SHORT TYPE],"",0,1)</f>
        <v/>
      </c>
      <c r="N4360">
        <f>IF(ISERR(FIND("DECOUPE",Tableau1[[#This Row],[DESIGNATION]])),"","NEED REF")</f>
        <v/>
      </c>
    </row>
    <row r="4361">
      <c r="B4361" t="n">
        <v>34409645</v>
      </c>
      <c r="C4361" s="2" t="n">
        <v>44390</v>
      </c>
      <c r="D4361" t="inlineStr">
        <is>
          <t>SPEC</t>
        </is>
      </c>
      <c r="E4361" t="inlineStr">
        <is>
          <t>SMT 2_SUPPORT 04678 - L650MM</t>
        </is>
      </c>
      <c r="F4361" t="inlineStr">
        <is>
          <t>SNEF GRENOBLE</t>
        </is>
      </c>
      <c r="G4361" t="inlineStr">
        <is>
          <t>GVX</t>
        </is>
      </c>
      <c r="H4361" t="inlineStr">
        <is>
          <t>BYPASS</t>
        </is>
      </c>
      <c r="J4361" t="inlineStr">
        <is>
          <t>JAWORSKI</t>
        </is>
      </c>
      <c r="K4361" t="inlineStr">
        <is>
          <t>METAL</t>
        </is>
      </c>
      <c r="L4361">
        <f>_xlfn.XLOOKUP(Tableau1[[#This Row],[TYPE DE PIECE]],Tableau4[MATIERE],Tableau4[SHORT TYPE],"",0,1)</f>
        <v/>
      </c>
      <c r="N4361">
        <f>IF(ISERR(FIND("DECOUPE",Tableau1[[#This Row],[DESIGNATION]])),"","NEED REF")</f>
        <v/>
      </c>
    </row>
    <row r="4362">
      <c r="B4362" t="n">
        <v>34409644</v>
      </c>
      <c r="C4362" s="2" t="n">
        <v>44389</v>
      </c>
      <c r="D4362" t="inlineStr">
        <is>
          <t>SPEC</t>
        </is>
      </c>
      <c r="E4362" t="inlineStr">
        <is>
          <t>COP 5_LIAISON TGAB 80X10</t>
        </is>
      </c>
      <c r="F4362" t="inlineStr">
        <is>
          <t>SNEF GRENOBLE</t>
        </is>
      </c>
      <c r="G4362" t="inlineStr">
        <is>
          <t>GVX</t>
        </is>
      </c>
      <c r="H4362" t="inlineStr">
        <is>
          <t>BYPASS</t>
        </is>
      </c>
      <c r="J4362" t="inlineStr">
        <is>
          <t>JAWORSKI</t>
        </is>
      </c>
      <c r="K4362" t="inlineStr">
        <is>
          <t>CUIVRE</t>
        </is>
      </c>
      <c r="L4362">
        <f>_xlfn.XLOOKUP(Tableau1[[#This Row],[TYPE DE PIECE]],Tableau4[MATIERE],Tableau4[SHORT TYPE],"",0,1)</f>
        <v/>
      </c>
      <c r="N4362">
        <f>IF(ISERR(FIND("DECOUPE",Tableau1[[#This Row],[DESIGNATION]])),"","NEED REF")</f>
        <v/>
      </c>
    </row>
    <row r="4363">
      <c r="B4363" t="n">
        <v>34409643</v>
      </c>
      <c r="C4363" s="2" t="n">
        <v>44389</v>
      </c>
      <c r="D4363" t="inlineStr">
        <is>
          <t>SPEC</t>
        </is>
      </c>
      <c r="E4363" t="inlineStr">
        <is>
          <t>SMT 1_SUPPORT 04678 - L650MM</t>
        </is>
      </c>
      <c r="F4363" t="inlineStr">
        <is>
          <t>SNEF GRENOBLE</t>
        </is>
      </c>
      <c r="G4363" t="inlineStr">
        <is>
          <t>GVX</t>
        </is>
      </c>
      <c r="H4363" t="inlineStr">
        <is>
          <t>BYPASS</t>
        </is>
      </c>
      <c r="J4363" t="inlineStr">
        <is>
          <t>JAWORSKI</t>
        </is>
      </c>
      <c r="K4363" t="inlineStr">
        <is>
          <t>METAL</t>
        </is>
      </c>
      <c r="L4363">
        <f>_xlfn.XLOOKUP(Tableau1[[#This Row],[TYPE DE PIECE]],Tableau4[MATIERE],Tableau4[SHORT TYPE],"",0,1)</f>
        <v/>
      </c>
      <c r="N4363">
        <f>IF(ISERR(FIND("DECOUPE",Tableau1[[#This Row],[DESIGNATION]])),"","NEED REF")</f>
        <v/>
      </c>
    </row>
    <row r="4364">
      <c r="B4364" t="n">
        <v>34409642</v>
      </c>
      <c r="C4364" s="2" t="n">
        <v>44389</v>
      </c>
      <c r="D4364" t="inlineStr">
        <is>
          <t>SPEC</t>
        </is>
      </c>
      <c r="E4364" t="inlineStr">
        <is>
          <t>SMT PLATEAU MTZ2 3P-4P</t>
        </is>
      </c>
      <c r="F4364" t="inlineStr">
        <is>
          <t>SNEF GRENOBLE</t>
        </is>
      </c>
      <c r="G4364" t="inlineStr">
        <is>
          <t>GVX</t>
        </is>
      </c>
      <c r="H4364" t="inlineStr">
        <is>
          <t>BYPASS</t>
        </is>
      </c>
      <c r="J4364" t="inlineStr">
        <is>
          <t>JAWORSKI</t>
        </is>
      </c>
      <c r="K4364" t="inlineStr">
        <is>
          <t>METAL</t>
        </is>
      </c>
      <c r="L4364">
        <f>_xlfn.XLOOKUP(Tableau1[[#This Row],[TYPE DE PIECE]],Tableau4[MATIERE],Tableau4[SHORT TYPE],"",0,1)</f>
        <v/>
      </c>
      <c r="N4364">
        <f>IF(ISERR(FIND("DECOUPE",Tableau1[[#This Row],[DESIGNATION]])),"","NEED REF")</f>
        <v/>
      </c>
    </row>
    <row r="4365">
      <c r="B4365" t="n">
        <v>34409641</v>
      </c>
      <c r="C4365" s="2" t="n">
        <v>44386</v>
      </c>
      <c r="D4365" t="inlineStr">
        <is>
          <t>SPEC</t>
        </is>
      </c>
      <c r="E4365" t="inlineStr">
        <is>
          <t>COP BARRE PEN LIAISON TGAB</t>
        </is>
      </c>
      <c r="F4365" t="inlineStr">
        <is>
          <t>JAGUAR NETWORK FR</t>
        </is>
      </c>
      <c r="G4365" t="inlineStr">
        <is>
          <t>GVX</t>
        </is>
      </c>
      <c r="H4365" t="inlineStr">
        <is>
          <t>IO</t>
        </is>
      </c>
      <c r="J4365" t="inlineStr">
        <is>
          <t>BERNARDEAU</t>
        </is>
      </c>
      <c r="K4365" t="inlineStr">
        <is>
          <t>CUIVRE</t>
        </is>
      </c>
      <c r="L4365">
        <f>_xlfn.XLOOKUP(Tableau1[[#This Row],[TYPE DE PIECE]],Tableau4[MATIERE],Tableau4[SHORT TYPE],"",0,1)</f>
        <v/>
      </c>
      <c r="N4365">
        <f>IF(ISERR(FIND("DECOUPE",Tableau1[[#This Row],[DESIGNATION]])),"","NEED REF")</f>
        <v/>
      </c>
    </row>
    <row r="4366">
      <c r="B4366" t="n">
        <v>34409640</v>
      </c>
      <c r="C4366" s="2" t="n">
        <v>44385</v>
      </c>
      <c r="D4366" t="inlineStr">
        <is>
          <t>SPEC</t>
        </is>
      </c>
      <c r="E4366" t="inlineStr">
        <is>
          <t>SMT SUPPORT LIAISON TGAB</t>
        </is>
      </c>
      <c r="F4366" t="inlineStr">
        <is>
          <t>SNEF GRENOBLE</t>
        </is>
      </c>
      <c r="G4366" t="inlineStr">
        <is>
          <t>GVX</t>
        </is>
      </c>
      <c r="H4366" t="inlineStr">
        <is>
          <t>BYPASS</t>
        </is>
      </c>
      <c r="J4366" t="inlineStr">
        <is>
          <t>JAWORSKI</t>
        </is>
      </c>
      <c r="K4366" t="inlineStr">
        <is>
          <t>METAL</t>
        </is>
      </c>
      <c r="L4366">
        <f>_xlfn.XLOOKUP(Tableau1[[#This Row],[TYPE DE PIECE]],Tableau4[MATIERE],Tableau4[SHORT TYPE],"",0,1)</f>
        <v/>
      </c>
      <c r="N4366">
        <f>IF(ISERR(FIND("DECOUPE",Tableau1[[#This Row],[DESIGNATION]])),"","NEED REF")</f>
        <v/>
      </c>
    </row>
    <row r="4367">
      <c r="B4367" t="n">
        <v>34409639</v>
      </c>
      <c r="C4367" s="2" t="n">
        <v>44385</v>
      </c>
      <c r="D4367" t="inlineStr">
        <is>
          <t>SPEC</t>
        </is>
      </c>
      <c r="E4367" t="inlineStr">
        <is>
          <t>COP LIAISON 2_PE 80X10</t>
        </is>
      </c>
      <c r="F4367" t="inlineStr">
        <is>
          <t>ZURICH</t>
        </is>
      </c>
      <c r="G4367" t="inlineStr">
        <is>
          <t>GVX</t>
        </is>
      </c>
      <c r="H4367" t="inlineStr">
        <is>
          <t>IO</t>
        </is>
      </c>
      <c r="J4367" t="inlineStr">
        <is>
          <t>JAWORSKI</t>
        </is>
      </c>
      <c r="K4367" t="inlineStr">
        <is>
          <t>CUIVRE</t>
        </is>
      </c>
      <c r="L4367">
        <f>_xlfn.XLOOKUP(Tableau1[[#This Row],[TYPE DE PIECE]],Tableau4[MATIERE],Tableau4[SHORT TYPE],"",0,1)</f>
        <v/>
      </c>
      <c r="N4367">
        <f>IF(ISERR(FIND("DECOUPE",Tableau1[[#This Row],[DESIGNATION]])),"","NEED REF")</f>
        <v/>
      </c>
    </row>
    <row r="4368">
      <c r="B4368" t="n">
        <v>34409638</v>
      </c>
      <c r="C4368" s="2" t="n">
        <v>44385</v>
      </c>
      <c r="D4368" t="inlineStr">
        <is>
          <t>SPEC</t>
        </is>
      </c>
      <c r="E4368" t="inlineStr">
        <is>
          <t>COP LIAISON 1_PE 80X10</t>
        </is>
      </c>
      <c r="F4368" t="inlineStr">
        <is>
          <t>ZURICH</t>
        </is>
      </c>
      <c r="G4368" t="inlineStr">
        <is>
          <t>GVX</t>
        </is>
      </c>
      <c r="H4368" t="inlineStr">
        <is>
          <t>IO</t>
        </is>
      </c>
      <c r="J4368" t="inlineStr">
        <is>
          <t>JAWORSKI</t>
        </is>
      </c>
      <c r="K4368" t="inlineStr">
        <is>
          <t>CUIVRE</t>
        </is>
      </c>
      <c r="L4368">
        <f>_xlfn.XLOOKUP(Tableau1[[#This Row],[TYPE DE PIECE]],Tableau4[MATIERE],Tableau4[SHORT TYPE],"",0,1)</f>
        <v/>
      </c>
      <c r="N4368">
        <f>IF(ISERR(FIND("DECOUPE",Tableau1[[#This Row],[DESIGNATION]])),"","NEED REF")</f>
        <v/>
      </c>
    </row>
    <row r="4369">
      <c r="B4369" t="n">
        <v>34409637</v>
      </c>
      <c r="C4369" s="2" t="n">
        <v>44384</v>
      </c>
      <c r="D4369" t="inlineStr">
        <is>
          <t>SPEC</t>
        </is>
      </c>
      <c r="E4369" t="inlineStr">
        <is>
          <t>PLA SUPPORT VOLANT JDB MAINS1</t>
        </is>
      </c>
      <c r="F4369" t="inlineStr">
        <is>
          <t>JAGUAR NETWORK FR</t>
        </is>
      </c>
      <c r="G4369" t="inlineStr">
        <is>
          <t>GVX</t>
        </is>
      </c>
      <c r="H4369" t="inlineStr">
        <is>
          <t>IO</t>
        </is>
      </c>
      <c r="J4369" t="inlineStr">
        <is>
          <t>BERNARDEAU</t>
        </is>
      </c>
      <c r="K4369" t="inlineStr">
        <is>
          <t>PLASTIQUE</t>
        </is>
      </c>
      <c r="L4369">
        <f>_xlfn.XLOOKUP(Tableau1[[#This Row],[TYPE DE PIECE]],Tableau4[MATIERE],Tableau4[SHORT TYPE],"",0,1)</f>
        <v/>
      </c>
      <c r="N4369">
        <f>IF(ISERR(FIND("DECOUPE",Tableau1[[#This Row],[DESIGNATION]])),"","NEED REF")</f>
        <v/>
      </c>
    </row>
    <row r="4370">
      <c r="B4370" t="n">
        <v>34409636</v>
      </c>
      <c r="C4370" s="2" t="n">
        <v>44384</v>
      </c>
      <c r="D4370" t="inlineStr">
        <is>
          <t>SPEC</t>
        </is>
      </c>
      <c r="E4370" t="inlineStr">
        <is>
          <t>COP CX MAINS 1_N-2</t>
        </is>
      </c>
      <c r="F4370" t="inlineStr">
        <is>
          <t>JAGUAR NETWORK FR</t>
        </is>
      </c>
      <c r="G4370" t="inlineStr">
        <is>
          <t>GVX</t>
        </is>
      </c>
      <c r="H4370" t="inlineStr">
        <is>
          <t>IO</t>
        </is>
      </c>
      <c r="J4370" t="inlineStr">
        <is>
          <t>BERNARDEAU</t>
        </is>
      </c>
      <c r="K4370" t="inlineStr">
        <is>
          <t>CUIVRE</t>
        </is>
      </c>
      <c r="L4370">
        <f>_xlfn.XLOOKUP(Tableau1[[#This Row],[TYPE DE PIECE]],Tableau4[MATIERE],Tableau4[SHORT TYPE],"",0,1)</f>
        <v/>
      </c>
      <c r="N4370">
        <f>IF(ISERR(FIND("DECOUPE",Tableau1[[#This Row],[DESIGNATION]])),"","NEED REF")</f>
        <v/>
      </c>
    </row>
    <row r="4371">
      <c r="B4371" t="n">
        <v>34409635</v>
      </c>
      <c r="C4371" s="2" t="n">
        <v>44384</v>
      </c>
      <c r="D4371" t="inlineStr">
        <is>
          <t>SPEC</t>
        </is>
      </c>
      <c r="E4371" t="inlineStr">
        <is>
          <t>COP 4_LIAISON R1 80X10</t>
        </is>
      </c>
      <c r="F4371" t="inlineStr">
        <is>
          <t>SNEF GRENOBLE</t>
        </is>
      </c>
      <c r="G4371" t="inlineStr">
        <is>
          <t>GVX</t>
        </is>
      </c>
      <c r="H4371" t="inlineStr">
        <is>
          <t>BYPASS</t>
        </is>
      </c>
      <c r="J4371" t="inlineStr">
        <is>
          <t>JAWORSKI</t>
        </is>
      </c>
      <c r="K4371" t="inlineStr">
        <is>
          <t>CUIVRE</t>
        </is>
      </c>
      <c r="L4371">
        <f>_xlfn.XLOOKUP(Tableau1[[#This Row],[TYPE DE PIECE]],Tableau4[MATIERE],Tableau4[SHORT TYPE],"",0,1)</f>
        <v/>
      </c>
      <c r="N4371">
        <f>IF(ISERR(FIND("DECOUPE",Tableau1[[#This Row],[DESIGNATION]])),"","NEED REF")</f>
        <v/>
      </c>
    </row>
    <row r="4372">
      <c r="B4372" t="n">
        <v>34409634</v>
      </c>
      <c r="C4372" s="2" t="n">
        <v>44384</v>
      </c>
      <c r="D4372" t="inlineStr">
        <is>
          <t>SPEC</t>
        </is>
      </c>
      <c r="E4372" t="inlineStr">
        <is>
          <t>COP 3_LIAISON R1 80X10</t>
        </is>
      </c>
      <c r="F4372" t="inlineStr">
        <is>
          <t>SNEF GRENOBLE</t>
        </is>
      </c>
      <c r="G4372" t="inlineStr">
        <is>
          <t>GVX</t>
        </is>
      </c>
      <c r="H4372" t="inlineStr">
        <is>
          <t>BYPASS</t>
        </is>
      </c>
      <c r="J4372" t="inlineStr">
        <is>
          <t>JAWORSKI</t>
        </is>
      </c>
      <c r="K4372" t="inlineStr">
        <is>
          <t>CUIVRE</t>
        </is>
      </c>
      <c r="L4372">
        <f>_xlfn.XLOOKUP(Tableau1[[#This Row],[TYPE DE PIECE]],Tableau4[MATIERE],Tableau4[SHORT TYPE],"",0,1)</f>
        <v/>
      </c>
      <c r="N4372">
        <f>IF(ISERR(FIND("DECOUPE",Tableau1[[#This Row],[DESIGNATION]])),"","NEED REF")</f>
        <v/>
      </c>
    </row>
    <row r="4373">
      <c r="B4373" t="n">
        <v>34409633</v>
      </c>
      <c r="C4373" s="2" t="n">
        <v>44383</v>
      </c>
      <c r="D4373" t="inlineStr">
        <is>
          <t>SPEC</t>
        </is>
      </c>
      <c r="E4373" t="inlineStr">
        <is>
          <t>COP 2_LIAISON R1 80X10</t>
        </is>
      </c>
      <c r="F4373" t="inlineStr">
        <is>
          <t>SNEF GRENOBLE</t>
        </is>
      </c>
      <c r="G4373" t="inlineStr">
        <is>
          <t>GVX</t>
        </is>
      </c>
      <c r="H4373" t="inlineStr">
        <is>
          <t>BYPASS</t>
        </is>
      </c>
      <c r="J4373" t="inlineStr">
        <is>
          <t>JAWORSKI</t>
        </is>
      </c>
      <c r="K4373" t="inlineStr">
        <is>
          <t>CUIVRE</t>
        </is>
      </c>
      <c r="L4373">
        <f>_xlfn.XLOOKUP(Tableau1[[#This Row],[TYPE DE PIECE]],Tableau4[MATIERE],Tableau4[SHORT TYPE],"",0,1)</f>
        <v/>
      </c>
      <c r="N4373">
        <f>IF(ISERR(FIND("DECOUPE",Tableau1[[#This Row],[DESIGNATION]])),"","NEED REF")</f>
        <v/>
      </c>
    </row>
    <row r="4374">
      <c r="B4374" t="n">
        <v>34409632</v>
      </c>
      <c r="C4374" s="2" t="n">
        <v>44383</v>
      </c>
      <c r="D4374" t="inlineStr">
        <is>
          <t>SPEC</t>
        </is>
      </c>
      <c r="E4374" t="inlineStr">
        <is>
          <t>COP 1_LIAISON PEN 80X10</t>
        </is>
      </c>
      <c r="F4374" t="inlineStr">
        <is>
          <t>SNEF GRENOBLE</t>
        </is>
      </c>
      <c r="G4374" t="inlineStr">
        <is>
          <t>GVX</t>
        </is>
      </c>
      <c r="H4374" t="inlineStr">
        <is>
          <t>BYPASS</t>
        </is>
      </c>
      <c r="J4374" t="inlineStr">
        <is>
          <t>JAWORSKI</t>
        </is>
      </c>
      <c r="K4374" t="inlineStr">
        <is>
          <t>CUIVRE</t>
        </is>
      </c>
      <c r="L4374">
        <f>_xlfn.XLOOKUP(Tableau1[[#This Row],[TYPE DE PIECE]],Tableau4[MATIERE],Tableau4[SHORT TYPE],"",0,1)</f>
        <v/>
      </c>
      <c r="N4374">
        <f>IF(ISERR(FIND("DECOUPE",Tableau1[[#This Row],[DESIGNATION]])),"","NEED REF")</f>
        <v/>
      </c>
    </row>
    <row r="4375">
      <c r="B4375" t="n">
        <v>34409631</v>
      </c>
      <c r="C4375" s="2" t="n">
        <v>44382</v>
      </c>
      <c r="D4375" t="inlineStr">
        <is>
          <t>SPEC</t>
        </is>
      </c>
      <c r="E4375" t="inlineStr">
        <is>
          <t>SMT TOIT L700 2xTGAB</t>
        </is>
      </c>
      <c r="F4375" t="inlineStr">
        <is>
          <t>SNEF GRENOBLE</t>
        </is>
      </c>
      <c r="G4375" t="inlineStr">
        <is>
          <t>GVX</t>
        </is>
      </c>
      <c r="H4375" t="inlineStr">
        <is>
          <t>BYPASS</t>
        </is>
      </c>
      <c r="J4375" t="inlineStr">
        <is>
          <t>JAWORSKI</t>
        </is>
      </c>
      <c r="K4375" t="inlineStr">
        <is>
          <t>METAL</t>
        </is>
      </c>
      <c r="L4375">
        <f>_xlfn.XLOOKUP(Tableau1[[#This Row],[TYPE DE PIECE]],Tableau4[MATIERE],Tableau4[SHORT TYPE],"",0,1)</f>
        <v/>
      </c>
      <c r="N4375">
        <f>IF(ISERR(FIND("DECOUPE",Tableau1[[#This Row],[DESIGNATION]])),"","NEED REF")</f>
        <v/>
      </c>
    </row>
    <row r="4376">
      <c r="B4376" t="n">
        <v>34409630</v>
      </c>
      <c r="C4376" s="2" t="n">
        <v>44378</v>
      </c>
      <c r="D4376" t="inlineStr">
        <is>
          <t>SPEC</t>
        </is>
      </c>
      <c r="E4376" t="inlineStr">
        <is>
          <t>DECOUPE BARRE CU 04528 L800MM</t>
        </is>
      </c>
      <c r="F4376" t="inlineStr">
        <is>
          <t>SNEF GRENOBLE</t>
        </is>
      </c>
      <c r="G4376" t="inlineStr">
        <is>
          <t>GVX</t>
        </is>
      </c>
      <c r="H4376" t="inlineStr">
        <is>
          <t>BATTERY</t>
        </is>
      </c>
      <c r="J4376" t="inlineStr">
        <is>
          <t>JAWORSKI</t>
        </is>
      </c>
      <c r="K4376" t="inlineStr">
        <is>
          <t>ETO</t>
        </is>
      </c>
      <c r="L4376">
        <f>_xlfn.XLOOKUP(Tableau1[[#This Row],[TYPE DE PIECE]],Tableau4[MATIERE],Tableau4[SHORT TYPE],"",0,1)</f>
        <v/>
      </c>
      <c r="N4376" t="inlineStr">
        <is>
          <t>LVS04528</t>
        </is>
      </c>
    </row>
    <row r="4377">
      <c r="B4377" t="n">
        <v>34409629</v>
      </c>
      <c r="C4377" s="2" t="n">
        <v>44376</v>
      </c>
      <c r="D4377" t="inlineStr">
        <is>
          <t>SPEC</t>
        </is>
      </c>
      <c r="E4377" t="inlineStr">
        <is>
          <t>COP PLAQUE JONCTION NS BYPASS</t>
        </is>
      </c>
      <c r="G4377" t="inlineStr">
        <is>
          <t>E3L</t>
        </is>
      </c>
      <c r="H4377" t="inlineStr">
        <is>
          <t>BYPASS</t>
        </is>
      </c>
      <c r="J4377" t="inlineStr">
        <is>
          <t>BERNARDEAU</t>
        </is>
      </c>
      <c r="K4377" t="inlineStr">
        <is>
          <t>CUIVRE</t>
        </is>
      </c>
      <c r="L4377">
        <f>_xlfn.XLOOKUP(Tableau1[[#This Row],[TYPE DE PIECE]],Tableau4[MATIERE],Tableau4[SHORT TYPE],"",0,1)</f>
        <v/>
      </c>
      <c r="N4377">
        <f>IF(ISERR(FIND("DECOUPE",Tableau1[[#This Row],[DESIGNATION]])),"","NEED REF")</f>
        <v/>
      </c>
    </row>
    <row r="4378">
      <c r="B4378" t="n">
        <v>34409628</v>
      </c>
      <c r="C4378" s="2" t="n">
        <v>44376</v>
      </c>
      <c r="D4378" t="inlineStr">
        <is>
          <t>SPEC</t>
        </is>
      </c>
      <c r="E4378" t="inlineStr">
        <is>
          <t>ROOF FULL 6MM ALU</t>
        </is>
      </c>
      <c r="F4378" t="inlineStr">
        <is>
          <t>MTN BN ALGERIA</t>
        </is>
      </c>
      <c r="J4378" t="inlineStr">
        <is>
          <t>MASCELLINO</t>
        </is>
      </c>
      <c r="K4378" t="inlineStr">
        <is>
          <t>ALU</t>
        </is>
      </c>
      <c r="L4378">
        <f>_xlfn.XLOOKUP(Tableau1[[#This Row],[TYPE DE PIECE]],Tableau4[MATIERE],Tableau4[SHORT TYPE],"",0,1)</f>
        <v/>
      </c>
      <c r="N4378">
        <f>IF(ISERR(FIND("DECOUPE",Tableau1[[#This Row],[DESIGNATION]])),"","NEED REF")</f>
        <v/>
      </c>
    </row>
    <row r="4379">
      <c r="B4379" t="n">
        <v>34409627</v>
      </c>
      <c r="C4379" s="2" t="n">
        <v>44371</v>
      </c>
      <c r="D4379" t="inlineStr">
        <is>
          <t>SPEC</t>
        </is>
      </c>
      <c r="L4379">
        <f>_xlfn.XLOOKUP(Tableau1[[#This Row],[TYPE DE PIECE]],Tableau4[MATIERE],Tableau4[SHORT TYPE],"",0,1)</f>
        <v/>
      </c>
      <c r="N4379">
        <f>IF(ISERR(FIND("DECOUPE",Tableau1[[#This Row],[DESIGNATION]])),"","NEED REF")</f>
        <v/>
      </c>
    </row>
    <row r="4380">
      <c r="B4380" t="n">
        <v>34409626</v>
      </c>
      <c r="C4380" s="2" t="n">
        <v>44371</v>
      </c>
      <c r="D4380" t="inlineStr">
        <is>
          <t>SPEC</t>
        </is>
      </c>
      <c r="E4380" t="inlineStr">
        <is>
          <t>SMT PLASTRON BBK_4</t>
        </is>
      </c>
      <c r="F4380" t="inlineStr">
        <is>
          <t>NSPA SIGONELLA</t>
        </is>
      </c>
      <c r="G4380" t="inlineStr">
        <is>
          <t>E3L</t>
        </is>
      </c>
      <c r="H4380" t="inlineStr">
        <is>
          <t>BATTERY</t>
        </is>
      </c>
      <c r="J4380" t="inlineStr">
        <is>
          <t>JAWORSKI</t>
        </is>
      </c>
      <c r="K4380" t="inlineStr">
        <is>
          <t>METAL</t>
        </is>
      </c>
      <c r="L4380">
        <f>_xlfn.XLOOKUP(Tableau1[[#This Row],[TYPE DE PIECE]],Tableau4[MATIERE],Tableau4[SHORT TYPE],"",0,1)</f>
        <v/>
      </c>
      <c r="N4380">
        <f>IF(ISERR(FIND("DECOUPE",Tableau1[[#This Row],[DESIGNATION]])),"","NEED REF")</f>
        <v/>
      </c>
    </row>
    <row r="4381">
      <c r="B4381" t="n">
        <v>34409625</v>
      </c>
      <c r="C4381" s="2" t="n">
        <v>44371</v>
      </c>
      <c r="D4381" t="inlineStr">
        <is>
          <t>SPEC</t>
        </is>
      </c>
      <c r="E4381" t="inlineStr">
        <is>
          <t>SMT TOIT AVANT</t>
        </is>
      </c>
      <c r="F4381" t="inlineStr">
        <is>
          <t>NETHERLANDS</t>
        </is>
      </c>
      <c r="J4381" t="inlineStr">
        <is>
          <t>MASCELLINO</t>
        </is>
      </c>
      <c r="K4381" t="inlineStr">
        <is>
          <t>METAL</t>
        </is>
      </c>
      <c r="L4381">
        <f>_xlfn.XLOOKUP(Tableau1[[#This Row],[TYPE DE PIECE]],Tableau4[MATIERE],Tableau4[SHORT TYPE],"",0,1)</f>
        <v/>
      </c>
      <c r="N4381">
        <f>IF(ISERR(FIND("DECOUPE",Tableau1[[#This Row],[DESIGNATION]])),"","NEED REF")</f>
        <v/>
      </c>
    </row>
    <row r="4382">
      <c r="B4382" t="n">
        <v>34409624</v>
      </c>
      <c r="C4382" s="2" t="n">
        <v>44371</v>
      </c>
      <c r="D4382" t="inlineStr">
        <is>
          <t>SPEC</t>
        </is>
      </c>
      <c r="E4382" t="inlineStr">
        <is>
          <t>SMT TOIT KTA</t>
        </is>
      </c>
      <c r="F4382" t="inlineStr">
        <is>
          <t>NETHERLANDS</t>
        </is>
      </c>
      <c r="J4382" t="inlineStr">
        <is>
          <t>MASCELLINO</t>
        </is>
      </c>
      <c r="K4382" t="inlineStr">
        <is>
          <t>METAL</t>
        </is>
      </c>
      <c r="L4382">
        <f>_xlfn.XLOOKUP(Tableau1[[#This Row],[TYPE DE PIECE]],Tableau4[MATIERE],Tableau4[SHORT TYPE],"",0,1)</f>
        <v/>
      </c>
      <c r="N4382">
        <f>IF(ISERR(FIND("DECOUPE",Tableau1[[#This Row],[DESIGNATION]])),"","NEED REF")</f>
        <v/>
      </c>
    </row>
    <row r="4383">
      <c r="B4383" t="n">
        <v>34409623</v>
      </c>
      <c r="C4383" s="2" t="n">
        <v>44370</v>
      </c>
      <c r="D4383" t="inlineStr">
        <is>
          <t>SPEC</t>
        </is>
      </c>
      <c r="E4383" t="inlineStr">
        <is>
          <t>CACHE ARMOIRE</t>
        </is>
      </c>
      <c r="F4383" t="inlineStr">
        <is>
          <t>MTN BN ALGERIA</t>
        </is>
      </c>
      <c r="J4383" t="inlineStr">
        <is>
          <t>MASCELLINO</t>
        </is>
      </c>
      <c r="K4383" t="inlineStr">
        <is>
          <t>METAL</t>
        </is>
      </c>
      <c r="L4383">
        <f>_xlfn.XLOOKUP(Tableau1[[#This Row],[TYPE DE PIECE]],Tableau4[MATIERE],Tableau4[SHORT TYPE],"",0,1)</f>
        <v/>
      </c>
      <c r="N4383">
        <f>IF(ISERR(FIND("DECOUPE",Tableau1[[#This Row],[DESIGNATION]])),"","NEED REF")</f>
        <v/>
      </c>
    </row>
    <row r="4384">
      <c r="B4384" t="n">
        <v>34409622</v>
      </c>
      <c r="C4384" s="2" t="n">
        <v>44370</v>
      </c>
      <c r="D4384" t="inlineStr">
        <is>
          <t>SPEC</t>
        </is>
      </c>
      <c r="E4384" t="inlineStr">
        <is>
          <t>ROOF LIP</t>
        </is>
      </c>
      <c r="F4384" t="inlineStr">
        <is>
          <t>MTN BN ALGERIA</t>
        </is>
      </c>
      <c r="J4384" t="inlineStr">
        <is>
          <t>MASCELLINO</t>
        </is>
      </c>
      <c r="K4384" t="inlineStr">
        <is>
          <t>METAL</t>
        </is>
      </c>
      <c r="L4384">
        <f>_xlfn.XLOOKUP(Tableau1[[#This Row],[TYPE DE PIECE]],Tableau4[MATIERE],Tableau4[SHORT TYPE],"",0,1)</f>
        <v/>
      </c>
      <c r="N4384">
        <f>IF(ISERR(FIND("DECOUPE",Tableau1[[#This Row],[DESIGNATION]])),"","NEED REF")</f>
        <v/>
      </c>
    </row>
    <row r="4385">
      <c r="B4385" t="n">
        <v>34409621</v>
      </c>
      <c r="C4385" s="2" t="n">
        <v>44370</v>
      </c>
      <c r="D4385" t="inlineStr">
        <is>
          <t>SPEC</t>
        </is>
      </c>
      <c r="E4385" t="inlineStr">
        <is>
          <t>SMT PLASTRON PLEIN</t>
        </is>
      </c>
      <c r="F4385" t="inlineStr">
        <is>
          <t>MTN BN ALGERIA</t>
        </is>
      </c>
      <c r="J4385" t="inlineStr">
        <is>
          <t>MASCELLINO</t>
        </is>
      </c>
      <c r="K4385" t="inlineStr">
        <is>
          <t>METAL</t>
        </is>
      </c>
      <c r="L4385">
        <f>_xlfn.XLOOKUP(Tableau1[[#This Row],[TYPE DE PIECE]],Tableau4[MATIERE],Tableau4[SHORT TYPE],"",0,1)</f>
        <v/>
      </c>
      <c r="N4385">
        <f>IF(ISERR(FIND("DECOUPE",Tableau1[[#This Row],[DESIGNATION]])),"","NEED REF")</f>
        <v/>
      </c>
    </row>
    <row r="4386">
      <c r="B4386" t="n">
        <v>34409620</v>
      </c>
      <c r="C4386" s="2" t="n">
        <v>44368</v>
      </c>
      <c r="D4386" t="inlineStr">
        <is>
          <t>SPEC</t>
        </is>
      </c>
      <c r="E4386" t="inlineStr">
        <is>
          <t>SMT PROTECTION BAS IP20</t>
        </is>
      </c>
      <c r="F4386" t="inlineStr">
        <is>
          <t>NSPA SIGONELLA</t>
        </is>
      </c>
      <c r="G4386" t="inlineStr">
        <is>
          <t>E3L</t>
        </is>
      </c>
      <c r="H4386" t="inlineStr">
        <is>
          <t>BATTERY</t>
        </is>
      </c>
      <c r="J4386" t="inlineStr">
        <is>
          <t>JAWORSKI</t>
        </is>
      </c>
      <c r="K4386" t="inlineStr">
        <is>
          <t>METAL</t>
        </is>
      </c>
      <c r="L4386">
        <f>_xlfn.XLOOKUP(Tableau1[[#This Row],[TYPE DE PIECE]],Tableau4[MATIERE],Tableau4[SHORT TYPE],"",0,1)</f>
        <v/>
      </c>
      <c r="N4386">
        <f>IF(ISERR(FIND("DECOUPE",Tableau1[[#This Row],[DESIGNATION]])),"","NEED REF")</f>
        <v/>
      </c>
    </row>
    <row r="4387">
      <c r="B4387" t="n">
        <v>34409619</v>
      </c>
      <c r="C4387" s="2" t="n">
        <v>44368</v>
      </c>
      <c r="D4387" t="inlineStr">
        <is>
          <t>SPEC</t>
        </is>
      </c>
      <c r="E4387" t="inlineStr">
        <is>
          <t>SMT JOUE DROITE LATERAL PLASTRON</t>
        </is>
      </c>
      <c r="F4387" t="inlineStr">
        <is>
          <t>NSPA SIGONELLA</t>
        </is>
      </c>
      <c r="G4387" t="inlineStr">
        <is>
          <t>E3L</t>
        </is>
      </c>
      <c r="H4387" t="inlineStr">
        <is>
          <t>BATTERY</t>
        </is>
      </c>
      <c r="J4387" t="inlineStr">
        <is>
          <t>JAWORSKI</t>
        </is>
      </c>
      <c r="K4387" t="inlineStr">
        <is>
          <t>METAL</t>
        </is>
      </c>
      <c r="L4387">
        <f>_xlfn.XLOOKUP(Tableau1[[#This Row],[TYPE DE PIECE]],Tableau4[MATIERE],Tableau4[SHORT TYPE],"",0,1)</f>
        <v/>
      </c>
      <c r="N4387">
        <f>IF(ISERR(FIND("DECOUPE",Tableau1[[#This Row],[DESIGNATION]])),"","NEED REF")</f>
        <v/>
      </c>
    </row>
    <row r="4388">
      <c r="B4388" t="n">
        <v>34409618</v>
      </c>
      <c r="C4388" s="2" t="n">
        <v>44368</v>
      </c>
      <c r="D4388" t="inlineStr">
        <is>
          <t>SPEC</t>
        </is>
      </c>
      <c r="E4388" t="inlineStr">
        <is>
          <t>SMT PLASTRON BBK_3</t>
        </is>
      </c>
      <c r="F4388" t="inlineStr">
        <is>
          <t>NSPA SIGONELLA</t>
        </is>
      </c>
      <c r="G4388" t="inlineStr">
        <is>
          <t>E3L</t>
        </is>
      </c>
      <c r="H4388" t="inlineStr">
        <is>
          <t>BATTERY</t>
        </is>
      </c>
      <c r="J4388" t="inlineStr">
        <is>
          <t>JAWORSKI</t>
        </is>
      </c>
      <c r="K4388" t="inlineStr">
        <is>
          <t>METAL</t>
        </is>
      </c>
      <c r="L4388">
        <f>_xlfn.XLOOKUP(Tableau1[[#This Row],[TYPE DE PIECE]],Tableau4[MATIERE],Tableau4[SHORT TYPE],"",0,1)</f>
        <v/>
      </c>
      <c r="N4388">
        <f>IF(ISERR(FIND("DECOUPE",Tableau1[[#This Row],[DESIGNATION]])),"","NEED REF")</f>
        <v/>
      </c>
    </row>
    <row r="4389">
      <c r="B4389" t="n">
        <v>34409617</v>
      </c>
      <c r="C4389" s="2" t="n">
        <v>44368</v>
      </c>
      <c r="D4389" t="inlineStr">
        <is>
          <t>SPEC</t>
        </is>
      </c>
      <c r="E4389" t="inlineStr">
        <is>
          <t>SMT PLASTRON BBK_2</t>
        </is>
      </c>
      <c r="F4389" t="inlineStr">
        <is>
          <t>NSPA SIGONELLA</t>
        </is>
      </c>
      <c r="G4389" t="inlineStr">
        <is>
          <t>E3L</t>
        </is>
      </c>
      <c r="H4389" t="inlineStr">
        <is>
          <t>BATTERY</t>
        </is>
      </c>
      <c r="J4389" t="inlineStr">
        <is>
          <t>JAWORSKI</t>
        </is>
      </c>
      <c r="K4389" t="inlineStr">
        <is>
          <t>METAL</t>
        </is>
      </c>
      <c r="L4389">
        <f>_xlfn.XLOOKUP(Tableau1[[#This Row],[TYPE DE PIECE]],Tableau4[MATIERE],Tableau4[SHORT TYPE],"",0,1)</f>
        <v/>
      </c>
      <c r="N4389">
        <f>IF(ISERR(FIND("DECOUPE",Tableau1[[#This Row],[DESIGNATION]])),"","NEED REF")</f>
        <v/>
      </c>
    </row>
    <row r="4390">
      <c r="B4390" t="n">
        <v>34409616</v>
      </c>
      <c r="C4390" s="2" t="n">
        <v>44368</v>
      </c>
      <c r="D4390" t="inlineStr">
        <is>
          <t>SPEC</t>
        </is>
      </c>
      <c r="E4390" t="inlineStr">
        <is>
          <t>SMT FIXATION CABLES</t>
        </is>
      </c>
      <c r="G4390" t="inlineStr">
        <is>
          <t>GVM</t>
        </is>
      </c>
      <c r="H4390" t="inlineStr">
        <is>
          <t>BYPASS</t>
        </is>
      </c>
      <c r="J4390" t="inlineStr">
        <is>
          <t>MATRION</t>
        </is>
      </c>
      <c r="K4390" t="inlineStr">
        <is>
          <t>METAL</t>
        </is>
      </c>
      <c r="L4390">
        <f>_xlfn.XLOOKUP(Tableau1[[#This Row],[TYPE DE PIECE]],Tableau4[MATIERE],Tableau4[SHORT TYPE],"",0,1)</f>
        <v/>
      </c>
      <c r="N4390">
        <f>IF(ISERR(FIND("DECOUPE",Tableau1[[#This Row],[DESIGNATION]])),"","NEED REF")</f>
        <v/>
      </c>
    </row>
    <row r="4391">
      <c r="B4391" t="n">
        <v>34409615</v>
      </c>
      <c r="C4391" s="2" t="n">
        <v>44368</v>
      </c>
      <c r="D4391" t="inlineStr">
        <is>
          <t>SPEC</t>
        </is>
      </c>
      <c r="E4391" t="inlineStr">
        <is>
          <t>SMT JOUE GAUCHE LATERALE PLASTRON</t>
        </is>
      </c>
      <c r="F4391" t="inlineStr">
        <is>
          <t>NSPA SIGONELLA</t>
        </is>
      </c>
      <c r="G4391" t="inlineStr">
        <is>
          <t>E3L</t>
        </is>
      </c>
      <c r="H4391" t="inlineStr">
        <is>
          <t>BATTERY</t>
        </is>
      </c>
      <c r="J4391" t="inlineStr">
        <is>
          <t>JAWORSKI</t>
        </is>
      </c>
      <c r="K4391" t="inlineStr">
        <is>
          <t>METAL</t>
        </is>
      </c>
      <c r="L4391">
        <f>_xlfn.XLOOKUP(Tableau1[[#This Row],[TYPE DE PIECE]],Tableau4[MATIERE],Tableau4[SHORT TYPE],"",0,1)</f>
        <v/>
      </c>
      <c r="N4391">
        <f>IF(ISERR(FIND("DECOUPE",Tableau1[[#This Row],[DESIGNATION]])),"","NEED REF")</f>
        <v/>
      </c>
    </row>
    <row r="4392">
      <c r="B4392" t="n">
        <v>34409614</v>
      </c>
      <c r="C4392" s="2" t="n">
        <v>44368</v>
      </c>
      <c r="D4392" t="inlineStr">
        <is>
          <t>SPEC</t>
        </is>
      </c>
      <c r="E4392" t="inlineStr">
        <is>
          <t>NS800H 4P u2.0E</t>
        </is>
      </c>
      <c r="F4392" t="inlineStr">
        <is>
          <t>MTN BN ALGERIA</t>
        </is>
      </c>
      <c r="J4392" t="inlineStr">
        <is>
          <t>MATRION</t>
        </is>
      </c>
      <c r="K4392" t="inlineStr">
        <is>
          <t>=S=</t>
        </is>
      </c>
      <c r="L4392">
        <f>_xlfn.XLOOKUP(Tableau1[[#This Row],[TYPE DE PIECE]],Tableau4[MATIERE],Tableau4[SHORT TYPE],"",0,1)</f>
        <v/>
      </c>
      <c r="N4392">
        <f>IF(ISERR(FIND("DECOUPE",Tableau1[[#This Row],[DESIGNATION]])),"","NEED REF")</f>
        <v/>
      </c>
    </row>
    <row r="4393">
      <c r="B4393" t="n">
        <v>34409613</v>
      </c>
      <c r="C4393" s="2" t="n">
        <v>44365</v>
      </c>
      <c r="D4393" t="inlineStr">
        <is>
          <t>SPEC</t>
        </is>
      </c>
      <c r="E4393" t="inlineStr">
        <is>
          <t>SMT PLASTRON BBK_1</t>
        </is>
      </c>
      <c r="F4393" t="inlineStr">
        <is>
          <t>NSPA SIGONELLA</t>
        </is>
      </c>
      <c r="G4393" t="inlineStr">
        <is>
          <t>E3L</t>
        </is>
      </c>
      <c r="H4393" t="inlineStr">
        <is>
          <t>BATTERY</t>
        </is>
      </c>
      <c r="J4393" t="inlineStr">
        <is>
          <t>JAWORSKI</t>
        </is>
      </c>
      <c r="K4393" t="inlineStr">
        <is>
          <t>METAL</t>
        </is>
      </c>
      <c r="L4393">
        <f>_xlfn.XLOOKUP(Tableau1[[#This Row],[TYPE DE PIECE]],Tableau4[MATIERE],Tableau4[SHORT TYPE],"",0,1)</f>
        <v/>
      </c>
      <c r="N4393">
        <f>IF(ISERR(FIND("DECOUPE",Tableau1[[#This Row],[DESIGNATION]])),"","NEED REF")</f>
        <v/>
      </c>
    </row>
    <row r="4394">
      <c r="B4394" t="n">
        <v>34409612</v>
      </c>
      <c r="C4394" s="2" t="n">
        <v>44365</v>
      </c>
      <c r="D4394" t="inlineStr">
        <is>
          <t>SPEC</t>
        </is>
      </c>
      <c r="E4394" t="inlineStr">
        <is>
          <t>SMT TOIT PE ALU 6MM 1000x800</t>
        </is>
      </c>
      <c r="F4394" t="inlineStr">
        <is>
          <t>NSPA SIGONELLA</t>
        </is>
      </c>
      <c r="G4394" t="inlineStr">
        <is>
          <t>E3L</t>
        </is>
      </c>
      <c r="H4394" t="inlineStr">
        <is>
          <t>BATTERY</t>
        </is>
      </c>
      <c r="J4394" t="inlineStr">
        <is>
          <t>JAWORSKI</t>
        </is>
      </c>
      <c r="K4394" t="inlineStr">
        <is>
          <t>METAL</t>
        </is>
      </c>
      <c r="L4394">
        <f>_xlfn.XLOOKUP(Tableau1[[#This Row],[TYPE DE PIECE]],Tableau4[MATIERE],Tableau4[SHORT TYPE],"",0,1)</f>
        <v/>
      </c>
      <c r="N4394">
        <f>IF(ISERR(FIND("DECOUPE",Tableau1[[#This Row],[DESIGNATION]])),"","NEED REF")</f>
        <v/>
      </c>
    </row>
    <row r="4395">
      <c r="B4395" t="n">
        <v>34409611</v>
      </c>
      <c r="C4395" s="2" t="n">
        <v>44365</v>
      </c>
      <c r="D4395" t="inlineStr">
        <is>
          <t>SPEC</t>
        </is>
      </c>
      <c r="E4395" t="inlineStr">
        <is>
          <t>SMT REHAUSSE 70MM VENTILE 3</t>
        </is>
      </c>
      <c r="F4395" t="inlineStr">
        <is>
          <t>NSPA SIGONELLA</t>
        </is>
      </c>
      <c r="G4395" t="inlineStr">
        <is>
          <t>E3L</t>
        </is>
      </c>
      <c r="H4395" t="inlineStr">
        <is>
          <t>BATTERY</t>
        </is>
      </c>
      <c r="J4395" t="inlineStr">
        <is>
          <t>JAWORSKI</t>
        </is>
      </c>
      <c r="K4395" t="inlineStr">
        <is>
          <t>METAL</t>
        </is>
      </c>
      <c r="L4395">
        <f>_xlfn.XLOOKUP(Tableau1[[#This Row],[TYPE DE PIECE]],Tableau4[MATIERE],Tableau4[SHORT TYPE],"",0,1)</f>
        <v/>
      </c>
      <c r="N4395">
        <f>IF(ISERR(FIND("DECOUPE",Tableau1[[#This Row],[DESIGNATION]])),"","NEED REF")</f>
        <v/>
      </c>
    </row>
    <row r="4396">
      <c r="B4396" t="n">
        <v>34409610</v>
      </c>
      <c r="C4396" s="2" t="n">
        <v>44365</v>
      </c>
      <c r="D4396" t="inlineStr">
        <is>
          <t>SPEC</t>
        </is>
      </c>
      <c r="E4396" t="inlineStr">
        <is>
          <t>FIL_VERT_JAUNE_6mm2 L135</t>
        </is>
      </c>
      <c r="F4396" t="inlineStr">
        <is>
          <t>STS1250</t>
        </is>
      </c>
      <c r="G4396" t="inlineStr">
        <is>
          <t>GVE</t>
        </is>
      </c>
      <c r="H4396" t="inlineStr">
        <is>
          <t>STS</t>
        </is>
      </c>
      <c r="J4396" t="inlineStr">
        <is>
          <t>BERNARDEAU</t>
        </is>
      </c>
      <c r="K4396" t="inlineStr">
        <is>
          <t>FILERIE</t>
        </is>
      </c>
      <c r="L4396">
        <f>_xlfn.XLOOKUP(Tableau1[[#This Row],[TYPE DE PIECE]],Tableau4[MATIERE],Tableau4[SHORT TYPE],"",0,1)</f>
        <v/>
      </c>
      <c r="N4396">
        <f>IF(ISERR(FIND("DECOUPE",Tableau1[[#This Row],[DESIGNATION]])),"","NEED REF")</f>
        <v/>
      </c>
    </row>
    <row r="4397">
      <c r="B4397" t="n">
        <v>34409609</v>
      </c>
      <c r="C4397" s="2" t="n">
        <v>44365</v>
      </c>
      <c r="D4397" t="inlineStr">
        <is>
          <t>SPEC</t>
        </is>
      </c>
      <c r="E4397" t="inlineStr">
        <is>
          <t>SMT PROTECTION IP</t>
        </is>
      </c>
      <c r="G4397" t="inlineStr">
        <is>
          <t>GVM</t>
        </is>
      </c>
      <c r="H4397" t="inlineStr">
        <is>
          <t>BYPASS</t>
        </is>
      </c>
      <c r="J4397" t="inlineStr">
        <is>
          <t>MATRION</t>
        </is>
      </c>
      <c r="K4397" t="inlineStr">
        <is>
          <t>PLASTIQUE</t>
        </is>
      </c>
      <c r="L4397">
        <f>_xlfn.XLOOKUP(Tableau1[[#This Row],[TYPE DE PIECE]],Tableau4[MATIERE],Tableau4[SHORT TYPE],"",0,1)</f>
        <v/>
      </c>
      <c r="N4397">
        <f>IF(ISERR(FIND("DECOUPE",Tableau1[[#This Row],[DESIGNATION]])),"","NEED REF")</f>
        <v/>
      </c>
    </row>
    <row r="4398">
      <c r="B4398" t="n">
        <v>34409608</v>
      </c>
      <c r="C4398" s="2" t="n">
        <v>44365</v>
      </c>
      <c r="D4398" t="inlineStr">
        <is>
          <t>SPEC</t>
        </is>
      </c>
      <c r="E4398" t="inlineStr">
        <is>
          <t>PLA CACHE DE CONNEXION AVAL</t>
        </is>
      </c>
      <c r="G4398" t="inlineStr">
        <is>
          <t>GVM</t>
        </is>
      </c>
      <c r="H4398" t="inlineStr">
        <is>
          <t>BYPASS</t>
        </is>
      </c>
      <c r="J4398" t="inlineStr">
        <is>
          <t>MATRION</t>
        </is>
      </c>
      <c r="K4398" t="inlineStr">
        <is>
          <t>PLASTIQUE</t>
        </is>
      </c>
      <c r="L4398">
        <f>_xlfn.XLOOKUP(Tableau1[[#This Row],[TYPE DE PIECE]],Tableau4[MATIERE],Tableau4[SHORT TYPE],"",0,1)</f>
        <v/>
      </c>
      <c r="N4398">
        <f>IF(ISERR(FIND("DECOUPE",Tableau1[[#This Row],[DESIGNATION]])),"","NEED REF")</f>
        <v/>
      </c>
    </row>
    <row r="4399">
      <c r="B4399" t="n">
        <v>34409607</v>
      </c>
      <c r="C4399" s="2" t="n">
        <v>44365</v>
      </c>
      <c r="D4399" t="inlineStr">
        <is>
          <t>SPEC</t>
        </is>
      </c>
      <c r="E4399" t="inlineStr">
        <is>
          <t>SMT SUPPORT VOYANT</t>
        </is>
      </c>
      <c r="G4399" t="inlineStr">
        <is>
          <t>GVM</t>
        </is>
      </c>
      <c r="H4399" t="inlineStr">
        <is>
          <t>BYPASS</t>
        </is>
      </c>
      <c r="J4399" t="inlineStr">
        <is>
          <t>MATRION</t>
        </is>
      </c>
      <c r="K4399" t="inlineStr">
        <is>
          <t>METAL</t>
        </is>
      </c>
      <c r="L4399">
        <f>_xlfn.XLOOKUP(Tableau1[[#This Row],[TYPE DE PIECE]],Tableau4[MATIERE],Tableau4[SHORT TYPE],"",0,1)</f>
        <v/>
      </c>
      <c r="N4399">
        <f>IF(ISERR(FIND("DECOUPE",Tableau1[[#This Row],[DESIGNATION]])),"","NEED REF")</f>
        <v/>
      </c>
    </row>
    <row r="4400">
      <c r="B4400" t="n">
        <v>34409606</v>
      </c>
      <c r="C4400" s="2" t="n">
        <v>44365</v>
      </c>
      <c r="D4400" t="inlineStr">
        <is>
          <t>SPEC</t>
        </is>
      </c>
      <c r="E4400" t="inlineStr">
        <is>
          <t>SMT SUPPORT CARTE</t>
        </is>
      </c>
      <c r="G4400" t="inlineStr">
        <is>
          <t>GVM</t>
        </is>
      </c>
      <c r="H4400" t="inlineStr">
        <is>
          <t>BYPASS</t>
        </is>
      </c>
      <c r="J4400" t="inlineStr">
        <is>
          <t>MATRION</t>
        </is>
      </c>
      <c r="K4400" t="inlineStr">
        <is>
          <t>METAL</t>
        </is>
      </c>
      <c r="L4400">
        <f>_xlfn.XLOOKUP(Tableau1[[#This Row],[TYPE DE PIECE]],Tableau4[MATIERE],Tableau4[SHORT TYPE],"",0,1)</f>
        <v/>
      </c>
      <c r="N4400">
        <f>IF(ISERR(FIND("DECOUPE",Tableau1[[#This Row],[DESIGNATION]])),"","NEED REF")</f>
        <v/>
      </c>
    </row>
    <row r="4401">
      <c r="B4401" t="n">
        <v>34409605</v>
      </c>
      <c r="C4401" s="2" t="n">
        <v>44365</v>
      </c>
      <c r="D4401" t="inlineStr">
        <is>
          <t>SPEC</t>
        </is>
      </c>
      <c r="E4401" t="inlineStr">
        <is>
          <t>SMT SUPPORT BYPASS</t>
        </is>
      </c>
      <c r="G4401" t="inlineStr">
        <is>
          <t>GVM</t>
        </is>
      </c>
      <c r="H4401" t="inlineStr">
        <is>
          <t>BYPASS</t>
        </is>
      </c>
      <c r="J4401" t="inlineStr">
        <is>
          <t>MATRION</t>
        </is>
      </c>
      <c r="K4401" t="inlineStr">
        <is>
          <t>METAL</t>
        </is>
      </c>
      <c r="L4401">
        <f>_xlfn.XLOOKUP(Tableau1[[#This Row],[TYPE DE PIECE]],Tableau4[MATIERE],Tableau4[SHORT TYPE],"",0,1)</f>
        <v/>
      </c>
      <c r="N4401">
        <f>IF(ISERR(FIND("DECOUPE",Tableau1[[#This Row],[DESIGNATION]])),"","NEED REF")</f>
        <v/>
      </c>
    </row>
    <row r="4402">
      <c r="B4402" t="n">
        <v>34409604</v>
      </c>
      <c r="C4402" s="2" t="n">
        <v>44365</v>
      </c>
      <c r="D4402" t="inlineStr">
        <is>
          <t>SPEC</t>
        </is>
      </c>
      <c r="E4402" t="inlineStr">
        <is>
          <t>SMT PLATINE BYPASS 160kVA GVM</t>
        </is>
      </c>
      <c r="G4402" t="inlineStr">
        <is>
          <t>GVM</t>
        </is>
      </c>
      <c r="H4402" t="inlineStr">
        <is>
          <t>BYPASS</t>
        </is>
      </c>
      <c r="J4402" t="inlineStr">
        <is>
          <t>MATRION</t>
        </is>
      </c>
      <c r="K4402" t="inlineStr">
        <is>
          <t>METAL</t>
        </is>
      </c>
      <c r="L4402">
        <f>_xlfn.XLOOKUP(Tableau1[[#This Row],[TYPE DE PIECE]],Tableau4[MATIERE],Tableau4[SHORT TYPE],"",0,1)</f>
        <v/>
      </c>
      <c r="N4402">
        <f>IF(ISERR(FIND("DECOUPE",Tableau1[[#This Row],[DESIGNATION]])),"","NEED REF")</f>
        <v/>
      </c>
    </row>
    <row r="4403">
      <c r="B4403" t="n">
        <v>34409603</v>
      </c>
      <c r="C4403" s="2" t="n">
        <v>44364</v>
      </c>
      <c r="D4403" t="inlineStr">
        <is>
          <t>SPEC</t>
        </is>
      </c>
      <c r="E4403" t="inlineStr">
        <is>
          <t>SMT TRAVERSE HAUT SUPPORT PLATINE L930</t>
        </is>
      </c>
      <c r="F4403" t="inlineStr">
        <is>
          <t>NSPA SIGONELLA</t>
        </is>
      </c>
      <c r="G4403" t="inlineStr">
        <is>
          <t>E3L</t>
        </is>
      </c>
      <c r="H4403" t="inlineStr">
        <is>
          <t>BATTERY</t>
        </is>
      </c>
      <c r="J4403" t="inlineStr">
        <is>
          <t>JAWORSKI</t>
        </is>
      </c>
      <c r="K4403" t="inlineStr">
        <is>
          <t>METAL</t>
        </is>
      </c>
      <c r="L4403">
        <f>_xlfn.XLOOKUP(Tableau1[[#This Row],[TYPE DE PIECE]],Tableau4[MATIERE],Tableau4[SHORT TYPE],"",0,1)</f>
        <v/>
      </c>
      <c r="N4403">
        <f>IF(ISERR(FIND("DECOUPE",Tableau1[[#This Row],[DESIGNATION]])),"","NEED REF")</f>
        <v/>
      </c>
    </row>
    <row r="4404">
      <c r="B4404" t="n">
        <v>34409602</v>
      </c>
      <c r="C4404" s="2" t="n">
        <v>44364</v>
      </c>
      <c r="D4404" t="inlineStr">
        <is>
          <t>SPEC</t>
        </is>
      </c>
      <c r="E4404" t="inlineStr">
        <is>
          <t>SMT SUPPORT FU DC</t>
        </is>
      </c>
      <c r="F4404" t="inlineStr">
        <is>
          <t>MTN BN ALGERIA</t>
        </is>
      </c>
      <c r="J4404" t="inlineStr">
        <is>
          <t>MASCELLINO</t>
        </is>
      </c>
      <c r="K4404" t="inlineStr">
        <is>
          <t>METAL</t>
        </is>
      </c>
      <c r="L4404">
        <f>_xlfn.XLOOKUP(Tableau1[[#This Row],[TYPE DE PIECE]],Tableau4[MATIERE],Tableau4[SHORT TYPE],"",0,1)</f>
        <v/>
      </c>
      <c r="N4404">
        <f>IF(ISERR(FIND("DECOUPE",Tableau1[[#This Row],[DESIGNATION]])),"","NEED REF")</f>
        <v/>
      </c>
    </row>
    <row r="4405">
      <c r="B4405" t="n">
        <v>34409601</v>
      </c>
      <c r="C4405" s="2" t="n">
        <v>44364</v>
      </c>
      <c r="D4405" t="inlineStr">
        <is>
          <t>SPEC</t>
        </is>
      </c>
      <c r="E4405" t="inlineStr">
        <is>
          <t>SMT TRAVERSE BAS SUPPORT PLATINE L930</t>
        </is>
      </c>
      <c r="F4405" t="inlineStr">
        <is>
          <t>NSPA SIGONELLA</t>
        </is>
      </c>
      <c r="G4405" t="inlineStr">
        <is>
          <t>E3L</t>
        </is>
      </c>
      <c r="H4405" t="inlineStr">
        <is>
          <t>BATTERY</t>
        </is>
      </c>
      <c r="J4405" t="inlineStr">
        <is>
          <t>JAWORSKI</t>
        </is>
      </c>
      <c r="K4405" t="inlineStr">
        <is>
          <t>METAL</t>
        </is>
      </c>
      <c r="L4405">
        <f>_xlfn.XLOOKUP(Tableau1[[#This Row],[TYPE DE PIECE]],Tableau4[MATIERE],Tableau4[SHORT TYPE],"",0,1)</f>
        <v/>
      </c>
      <c r="N4405">
        <f>IF(ISERR(FIND("DECOUPE",Tableau1[[#This Row],[DESIGNATION]])),"","NEED REF")</f>
        <v/>
      </c>
    </row>
    <row r="4406">
      <c r="B4406" t="n">
        <v>34409600</v>
      </c>
      <c r="C4406" s="2" t="n">
        <v>44364</v>
      </c>
      <c r="D4406" t="inlineStr">
        <is>
          <t>SPEC</t>
        </is>
      </c>
      <c r="E4406" t="inlineStr">
        <is>
          <t>FIL_VERT_JAUNE_6mm2 L450</t>
        </is>
      </c>
      <c r="F4406" t="inlineStr">
        <is>
          <t>STS1250</t>
        </is>
      </c>
      <c r="G4406" t="inlineStr">
        <is>
          <t>GVE</t>
        </is>
      </c>
      <c r="H4406" t="inlineStr">
        <is>
          <t>STS</t>
        </is>
      </c>
      <c r="J4406" t="inlineStr">
        <is>
          <t>BERNARDEAU</t>
        </is>
      </c>
      <c r="K4406" t="inlineStr">
        <is>
          <t>FILERIE</t>
        </is>
      </c>
      <c r="L4406">
        <f>_xlfn.XLOOKUP(Tableau1[[#This Row],[TYPE DE PIECE]],Tableau4[MATIERE],Tableau4[SHORT TYPE],"",0,1)</f>
        <v/>
      </c>
      <c r="N4406">
        <f>IF(ISERR(FIND("DECOUPE",Tableau1[[#This Row],[DESIGNATION]])),"","NEED REF")</f>
        <v/>
      </c>
    </row>
    <row r="4407">
      <c r="B4407" t="n">
        <v>34409599</v>
      </c>
      <c r="C4407" s="2" t="n">
        <v>44363</v>
      </c>
      <c r="D4407" t="inlineStr">
        <is>
          <t>SPEC</t>
        </is>
      </c>
      <c r="E4407" t="inlineStr">
        <is>
          <t>WIR KIT CABLES PE</t>
        </is>
      </c>
      <c r="F4407" t="inlineStr">
        <is>
          <t>ST MICRO Italie</t>
        </is>
      </c>
      <c r="G4407" t="inlineStr">
        <is>
          <t>GVX</t>
        </is>
      </c>
      <c r="H4407" t="inlineStr">
        <is>
          <t>IO</t>
        </is>
      </c>
      <c r="J4407" t="inlineStr">
        <is>
          <t>MATRION</t>
        </is>
      </c>
      <c r="K4407" t="inlineStr">
        <is>
          <t>FILERIE</t>
        </is>
      </c>
      <c r="L4407">
        <f>_xlfn.XLOOKUP(Tableau1[[#This Row],[TYPE DE PIECE]],Tableau4[MATIERE],Tableau4[SHORT TYPE],"",0,1)</f>
        <v/>
      </c>
      <c r="N4407">
        <f>IF(ISERR(FIND("DECOUPE",Tableau1[[#This Row],[DESIGNATION]])),"","NEED REF")</f>
        <v/>
      </c>
    </row>
    <row r="4408">
      <c r="B4408" t="n">
        <v>34409598</v>
      </c>
      <c r="C4408" s="2" t="n">
        <v>44363</v>
      </c>
      <c r="D4408" t="inlineStr">
        <is>
          <t>SPEC</t>
        </is>
      </c>
      <c r="E4408" t="inlineStr">
        <is>
          <t>SMT SUPPORT VOYANT 1</t>
        </is>
      </c>
      <c r="F4408" t="inlineStr">
        <is>
          <t>MTN BN ALGERIA</t>
        </is>
      </c>
      <c r="J4408" t="inlineStr">
        <is>
          <t>MASCELLINO</t>
        </is>
      </c>
      <c r="K4408" t="inlineStr">
        <is>
          <t>METAL</t>
        </is>
      </c>
      <c r="L4408">
        <f>_xlfn.XLOOKUP(Tableau1[[#This Row],[TYPE DE PIECE]],Tableau4[MATIERE],Tableau4[SHORT TYPE],"",0,1)</f>
        <v/>
      </c>
      <c r="N4408">
        <f>IF(ISERR(FIND("DECOUPE",Tableau1[[#This Row],[DESIGNATION]])),"","NEED REF")</f>
        <v/>
      </c>
    </row>
    <row r="4409">
      <c r="B4409" t="n">
        <v>34409597</v>
      </c>
      <c r="C4409" s="2" t="n">
        <v>44363</v>
      </c>
      <c r="D4409" t="inlineStr">
        <is>
          <t>SPEC</t>
        </is>
      </c>
      <c r="E4409" t="inlineStr">
        <is>
          <t>SMT SUPPORT PLATINE Q2 BAS</t>
        </is>
      </c>
      <c r="F4409" t="inlineStr">
        <is>
          <t>MTN BN ALGERIA</t>
        </is>
      </c>
      <c r="J4409" t="inlineStr">
        <is>
          <t>MASCELLINO</t>
        </is>
      </c>
      <c r="K4409" t="inlineStr">
        <is>
          <t>METAL</t>
        </is>
      </c>
      <c r="L4409">
        <f>_xlfn.XLOOKUP(Tableau1[[#This Row],[TYPE DE PIECE]],Tableau4[MATIERE],Tableau4[SHORT TYPE],"",0,1)</f>
        <v/>
      </c>
      <c r="N4409">
        <f>IF(ISERR(FIND("DECOUPE",Tableau1[[#This Row],[DESIGNATION]])),"","NEED REF")</f>
        <v/>
      </c>
    </row>
    <row r="4410">
      <c r="B4410" t="n">
        <v>34409596</v>
      </c>
      <c r="C4410" s="2" t="n">
        <v>44363</v>
      </c>
      <c r="D4410" t="inlineStr">
        <is>
          <t>SPEC</t>
        </is>
      </c>
      <c r="E4410" t="inlineStr">
        <is>
          <t>SMT PLATINE Q1 630</t>
        </is>
      </c>
      <c r="F4410" t="inlineStr">
        <is>
          <t>MTN BN ALGERIA</t>
        </is>
      </c>
      <c r="J4410" t="inlineStr">
        <is>
          <t>MASCELLINO</t>
        </is>
      </c>
      <c r="K4410" t="inlineStr">
        <is>
          <t>METAL</t>
        </is>
      </c>
      <c r="L4410">
        <f>_xlfn.XLOOKUP(Tableau1[[#This Row],[TYPE DE PIECE]],Tableau4[MATIERE],Tableau4[SHORT TYPE],"",0,1)</f>
        <v/>
      </c>
      <c r="N4410">
        <f>IF(ISERR(FIND("DECOUPE",Tableau1[[#This Row],[DESIGNATION]])),"","NEED REF")</f>
        <v/>
      </c>
    </row>
    <row r="4411">
      <c r="B4411" t="n">
        <v>34409595</v>
      </c>
      <c r="C4411" s="2" t="n">
        <v>44363</v>
      </c>
      <c r="D4411" t="inlineStr">
        <is>
          <t>SPEC</t>
        </is>
      </c>
      <c r="E4411" t="inlineStr">
        <is>
          <t>SMT PLASTRON 1</t>
        </is>
      </c>
      <c r="F4411" t="inlineStr">
        <is>
          <t>MTN BN ALGERIA</t>
        </is>
      </c>
      <c r="J4411" t="inlineStr">
        <is>
          <t>MASCELLINO</t>
        </is>
      </c>
      <c r="K4411" t="inlineStr">
        <is>
          <t>METAL</t>
        </is>
      </c>
      <c r="L4411">
        <f>_xlfn.XLOOKUP(Tableau1[[#This Row],[TYPE DE PIECE]],Tableau4[MATIERE],Tableau4[SHORT TYPE],"",0,1)</f>
        <v/>
      </c>
      <c r="N4411">
        <f>IF(ISERR(FIND("DECOUPE",Tableau1[[#This Row],[DESIGNATION]])),"","NEED REF")</f>
        <v/>
      </c>
    </row>
    <row r="4412">
      <c r="B4412" t="n">
        <v>34409594</v>
      </c>
      <c r="C4412" s="2" t="n">
        <v>44363</v>
      </c>
      <c r="D4412" t="inlineStr">
        <is>
          <t>SPEC</t>
        </is>
      </c>
      <c r="E4412" t="inlineStr">
        <is>
          <t>SMT PLASTRON 2</t>
        </is>
      </c>
      <c r="F4412" t="inlineStr">
        <is>
          <t>MTN BN ALGERIA</t>
        </is>
      </c>
      <c r="J4412" t="inlineStr">
        <is>
          <t>MASCELLINO</t>
        </is>
      </c>
      <c r="K4412" t="inlineStr">
        <is>
          <t>METAL</t>
        </is>
      </c>
      <c r="L4412">
        <f>_xlfn.XLOOKUP(Tableau1[[#This Row],[TYPE DE PIECE]],Tableau4[MATIERE],Tableau4[SHORT TYPE],"",0,1)</f>
        <v/>
      </c>
      <c r="N4412">
        <f>IF(ISERR(FIND("DECOUPE",Tableau1[[#This Row],[DESIGNATION]])),"","NEED REF")</f>
        <v/>
      </c>
    </row>
    <row r="4413">
      <c r="B4413" t="n">
        <v>34409593</v>
      </c>
      <c r="C4413" s="2" t="n">
        <v>44363</v>
      </c>
      <c r="D4413" t="inlineStr">
        <is>
          <t>SPEC</t>
        </is>
      </c>
      <c r="E4413" t="inlineStr">
        <is>
          <t>SMT PLASTRON 3</t>
        </is>
      </c>
      <c r="F4413" t="inlineStr">
        <is>
          <t>MTN BN ALGERIA</t>
        </is>
      </c>
      <c r="J4413" t="inlineStr">
        <is>
          <t>MASCELLINO</t>
        </is>
      </c>
      <c r="K4413" t="inlineStr">
        <is>
          <t>METAL</t>
        </is>
      </c>
      <c r="L4413">
        <f>_xlfn.XLOOKUP(Tableau1[[#This Row],[TYPE DE PIECE]],Tableau4[MATIERE],Tableau4[SHORT TYPE],"",0,1)</f>
        <v/>
      </c>
      <c r="N4413">
        <f>IF(ISERR(FIND("DECOUPE",Tableau1[[#This Row],[DESIGNATION]])),"","NEED REF")</f>
        <v/>
      </c>
    </row>
    <row r="4414">
      <c r="B4414" t="n">
        <v>34409592</v>
      </c>
      <c r="C4414" s="2" t="n">
        <v>44363</v>
      </c>
      <c r="D4414" t="inlineStr">
        <is>
          <t>SPEC</t>
        </is>
      </c>
      <c r="E4414" t="inlineStr">
        <is>
          <t>SMT SUPPORT PLATINE Q2 BAS</t>
        </is>
      </c>
      <c r="F4414" t="inlineStr">
        <is>
          <t>MTN BN ALGERIA</t>
        </is>
      </c>
      <c r="J4414" t="inlineStr">
        <is>
          <t>MASCELLINO</t>
        </is>
      </c>
      <c r="K4414" t="inlineStr">
        <is>
          <t>METAL</t>
        </is>
      </c>
      <c r="L4414">
        <f>_xlfn.XLOOKUP(Tableau1[[#This Row],[TYPE DE PIECE]],Tableau4[MATIERE],Tableau4[SHORT TYPE],"",0,1)</f>
        <v/>
      </c>
      <c r="N4414">
        <f>IF(ISERR(FIND("DECOUPE",Tableau1[[#This Row],[DESIGNATION]])),"","NEED REF")</f>
        <v/>
      </c>
    </row>
    <row r="4415">
      <c r="B4415" t="n">
        <v>34409591</v>
      </c>
      <c r="C4415" s="2" t="n">
        <v>44363</v>
      </c>
      <c r="D4415" t="inlineStr">
        <is>
          <t>SPEC</t>
        </is>
      </c>
      <c r="E4415" t="inlineStr">
        <is>
          <t>LIAISON NSX630 LINERGY L3</t>
        </is>
      </c>
      <c r="F4415" t="inlineStr">
        <is>
          <t>MTN BN ALGERIA</t>
        </is>
      </c>
      <c r="J4415" t="inlineStr">
        <is>
          <t>MASCELLINO</t>
        </is>
      </c>
      <c r="K4415" t="inlineStr">
        <is>
          <t>CUIVRE</t>
        </is>
      </c>
      <c r="L4415">
        <f>_xlfn.XLOOKUP(Tableau1[[#This Row],[TYPE DE PIECE]],Tableau4[MATIERE],Tableau4[SHORT TYPE],"",0,1)</f>
        <v/>
      </c>
      <c r="N4415">
        <f>IF(ISERR(FIND("DECOUPE",Tableau1[[#This Row],[DESIGNATION]])),"","NEED REF")</f>
        <v/>
      </c>
    </row>
    <row r="4416">
      <c r="B4416" t="n">
        <v>34409590</v>
      </c>
      <c r="C4416" s="2" t="n">
        <v>44363</v>
      </c>
      <c r="D4416" t="inlineStr">
        <is>
          <t>SPEC</t>
        </is>
      </c>
      <c r="E4416" t="inlineStr">
        <is>
          <t>PLAQUE DE BRIDAGE CUIVRE</t>
        </is>
      </c>
      <c r="F4416" t="inlineStr">
        <is>
          <t>MTN BN ALGERIA</t>
        </is>
      </c>
      <c r="J4416" t="inlineStr">
        <is>
          <t>MASCELLINO</t>
        </is>
      </c>
      <c r="K4416" t="inlineStr">
        <is>
          <t>PLASTIQUE</t>
        </is>
      </c>
      <c r="L4416">
        <f>_xlfn.XLOOKUP(Tableau1[[#This Row],[TYPE DE PIECE]],Tableau4[MATIERE],Tableau4[SHORT TYPE],"",0,1)</f>
        <v/>
      </c>
      <c r="N4416">
        <f>IF(ISERR(FIND("DECOUPE",Tableau1[[#This Row],[DESIGNATION]])),"","NEED REF")</f>
        <v/>
      </c>
    </row>
    <row r="4417">
      <c r="B4417" t="n">
        <v>34409589</v>
      </c>
      <c r="C4417" s="2" t="n">
        <v>44363</v>
      </c>
      <c r="D4417" t="inlineStr">
        <is>
          <t>SPEC</t>
        </is>
      </c>
      <c r="E4417" t="inlineStr">
        <is>
          <t>SMT PLATINE CARTE ELECTRONIQUE</t>
        </is>
      </c>
      <c r="F4417" t="inlineStr">
        <is>
          <t>MTN BN ALGERIA</t>
        </is>
      </c>
      <c r="J4417" t="inlineStr">
        <is>
          <t>MASCELLINO</t>
        </is>
      </c>
      <c r="K4417" t="inlineStr">
        <is>
          <t>METAL</t>
        </is>
      </c>
      <c r="L4417">
        <f>_xlfn.XLOOKUP(Tableau1[[#This Row],[TYPE DE PIECE]],Tableau4[MATIERE],Tableau4[SHORT TYPE],"",0,1)</f>
        <v/>
      </c>
      <c r="N4417">
        <f>IF(ISERR(FIND("DECOUPE",Tableau1[[#This Row],[DESIGNATION]])),"","NEED REF")</f>
        <v/>
      </c>
    </row>
    <row r="4418">
      <c r="B4418" t="n">
        <v>34409588</v>
      </c>
      <c r="C4418" s="2" t="n">
        <v>44362</v>
      </c>
      <c r="D4418" t="inlineStr">
        <is>
          <t>SPEC</t>
        </is>
      </c>
      <c r="E4418" t="inlineStr">
        <is>
          <t>PLA ELECTRICAL CONTACT PROTECTION</t>
        </is>
      </c>
      <c r="F4418" t="inlineStr">
        <is>
          <t>NSPA SIGONELLA</t>
        </is>
      </c>
      <c r="G4418" t="inlineStr">
        <is>
          <t>E3L</t>
        </is>
      </c>
      <c r="H4418" t="inlineStr">
        <is>
          <t>BYPASS</t>
        </is>
      </c>
      <c r="J4418" t="inlineStr">
        <is>
          <t>JAWORSKI</t>
        </is>
      </c>
      <c r="K4418" t="inlineStr">
        <is>
          <t>PLASTIQUE</t>
        </is>
      </c>
      <c r="L4418">
        <f>_xlfn.XLOOKUP(Tableau1[[#This Row],[TYPE DE PIECE]],Tableau4[MATIERE],Tableau4[SHORT TYPE],"",0,1)</f>
        <v/>
      </c>
      <c r="M4418" t="inlineStr">
        <is>
          <t>IP00</t>
        </is>
      </c>
      <c r="N4418">
        <f>IF(ISERR(FIND("DECOUPE",Tableau1[[#This Row],[DESIGNATION]])),"","NEED REF")</f>
        <v/>
      </c>
    </row>
    <row r="4419">
      <c r="B4419" t="n">
        <v>34409587</v>
      </c>
      <c r="C4419" s="2" t="n">
        <v>44362</v>
      </c>
      <c r="D4419" t="inlineStr">
        <is>
          <t>SPEC</t>
        </is>
      </c>
      <c r="E4419" t="inlineStr">
        <is>
          <t>PLAQUE DE PROTECTION</t>
        </is>
      </c>
      <c r="J4419" t="inlineStr">
        <is>
          <t>BERNARDEAU</t>
        </is>
      </c>
      <c r="K4419" t="inlineStr">
        <is>
          <t>PLASTIQUE</t>
        </is>
      </c>
      <c r="L4419">
        <f>_xlfn.XLOOKUP(Tableau1[[#This Row],[TYPE DE PIECE]],Tableau4[MATIERE],Tableau4[SHORT TYPE],"",0,1)</f>
        <v/>
      </c>
      <c r="N4419">
        <f>IF(ISERR(FIND("DECOUPE",Tableau1[[#This Row],[DESIGNATION]])),"","NEED REF")</f>
        <v/>
      </c>
    </row>
    <row r="4420">
      <c r="B4420" t="n">
        <v>34409586</v>
      </c>
      <c r="C4420" s="2" t="n">
        <v>44361</v>
      </c>
      <c r="D4420" t="inlineStr">
        <is>
          <t>SPEC</t>
        </is>
      </c>
      <c r="E4420" t="inlineStr">
        <is>
          <t>SMT SUPPORT PLASTRON</t>
        </is>
      </c>
      <c r="J4420" t="inlineStr">
        <is>
          <t>BERNARDEAU</t>
        </is>
      </c>
      <c r="K4420" t="inlineStr">
        <is>
          <t>METAL</t>
        </is>
      </c>
      <c r="L4420">
        <f>_xlfn.XLOOKUP(Tableau1[[#This Row],[TYPE DE PIECE]],Tableau4[MATIERE],Tableau4[SHORT TYPE],"",0,1)</f>
        <v/>
      </c>
      <c r="N4420">
        <f>IF(ISERR(FIND("DECOUPE",Tableau1[[#This Row],[DESIGNATION]])),"","NEED REF")</f>
        <v/>
      </c>
    </row>
    <row r="4421">
      <c r="B4421" t="n">
        <v>34409585</v>
      </c>
      <c r="C4421" s="2" t="n">
        <v>44361</v>
      </c>
      <c r="D4421" t="inlineStr">
        <is>
          <t>SPEC</t>
        </is>
      </c>
      <c r="E4421" t="inlineStr">
        <is>
          <t>PLAN DE DECOUPE RAIL DIN</t>
        </is>
      </c>
      <c r="G4421" t="inlineStr">
        <is>
          <t>E3L</t>
        </is>
      </c>
      <c r="H4421" t="inlineStr">
        <is>
          <t>BACKFEED</t>
        </is>
      </c>
      <c r="J4421" t="inlineStr">
        <is>
          <t>BERNARDEAU</t>
        </is>
      </c>
      <c r="K4421" t="inlineStr">
        <is>
          <t>METAL</t>
        </is>
      </c>
      <c r="L4421">
        <f>_xlfn.XLOOKUP(Tableau1[[#This Row],[TYPE DE PIECE]],Tableau4[MATIERE],Tableau4[SHORT TYPE],"",0,1)</f>
        <v/>
      </c>
      <c r="N4421">
        <f>IF(ISERR(FIND("DECOUPE",Tableau1[[#This Row],[DESIGNATION]])),"","NEED REF")</f>
        <v/>
      </c>
    </row>
    <row r="4422">
      <c r="B4422" t="n">
        <v>34409584</v>
      </c>
      <c r="C4422" s="2" t="n">
        <v>44361</v>
      </c>
      <c r="D4422" t="inlineStr">
        <is>
          <t>SPEC</t>
        </is>
      </c>
      <c r="E4422" t="inlineStr">
        <is>
          <t>SMT PLAQUE DE FOND</t>
        </is>
      </c>
      <c r="J4422" t="inlineStr">
        <is>
          <t>BERNARDEAU</t>
        </is>
      </c>
      <c r="K4422" t="inlineStr">
        <is>
          <t>METAL</t>
        </is>
      </c>
      <c r="L4422">
        <f>_xlfn.XLOOKUP(Tableau1[[#This Row],[TYPE DE PIECE]],Tableau4[MATIERE],Tableau4[SHORT TYPE],"",0,1)</f>
        <v/>
      </c>
      <c r="N4422">
        <f>IF(ISERR(FIND("DECOUPE",Tableau1[[#This Row],[DESIGNATION]])),"","NEED REF")</f>
        <v/>
      </c>
    </row>
    <row r="4423">
      <c r="B4423" t="n">
        <v>34409583</v>
      </c>
      <c r="C4423" s="2" t="n">
        <v>44356</v>
      </c>
      <c r="D4423" t="inlineStr">
        <is>
          <t>SPEC</t>
        </is>
      </c>
      <c r="E4423" t="inlineStr">
        <is>
          <t>SMT PLASTRON BYPASS</t>
        </is>
      </c>
      <c r="G4423" t="inlineStr">
        <is>
          <t>E3L</t>
        </is>
      </c>
      <c r="H4423" t="inlineStr">
        <is>
          <t>BACKFEED</t>
        </is>
      </c>
      <c r="J4423" t="inlineStr">
        <is>
          <t>BERNARDEAU</t>
        </is>
      </c>
      <c r="K4423" t="inlineStr">
        <is>
          <t>METAL</t>
        </is>
      </c>
      <c r="L4423">
        <f>_xlfn.XLOOKUP(Tableau1[[#This Row],[TYPE DE PIECE]],Tableau4[MATIERE],Tableau4[SHORT TYPE],"",0,1)</f>
        <v/>
      </c>
      <c r="N4423">
        <f>IF(ISERR(FIND("DECOUPE",Tableau1[[#This Row],[DESIGNATION]])),"","NEED REF")</f>
        <v/>
      </c>
    </row>
    <row r="4424">
      <c r="B4424" t="n">
        <v>34409582</v>
      </c>
      <c r="C4424" s="2" t="n">
        <v>44356</v>
      </c>
      <c r="D4424" t="inlineStr">
        <is>
          <t>SPEC</t>
        </is>
      </c>
      <c r="E4424" t="inlineStr">
        <is>
          <t>PLAN DE DECOUPE RAIL DIN</t>
        </is>
      </c>
      <c r="G4424" t="inlineStr">
        <is>
          <t>E3L</t>
        </is>
      </c>
      <c r="H4424" t="inlineStr">
        <is>
          <t>BACKFEED</t>
        </is>
      </c>
      <c r="J4424" t="inlineStr">
        <is>
          <t>BERNARDEAU</t>
        </is>
      </c>
      <c r="K4424" t="inlineStr">
        <is>
          <t>METAL</t>
        </is>
      </c>
      <c r="L4424">
        <f>_xlfn.XLOOKUP(Tableau1[[#This Row],[TYPE DE PIECE]],Tableau4[MATIERE],Tableau4[SHORT TYPE],"",0,1)</f>
        <v/>
      </c>
      <c r="N4424">
        <f>IF(ISERR(FIND("DECOUPE",Tableau1[[#This Row],[DESIGNATION]])),"","NEED REF")</f>
        <v/>
      </c>
    </row>
    <row r="4425">
      <c r="B4425" t="n">
        <v>34409581</v>
      </c>
      <c r="C4425" s="2" t="n">
        <v>44356</v>
      </c>
      <c r="D4425" t="inlineStr">
        <is>
          <t>SPEC</t>
        </is>
      </c>
      <c r="E4425" t="inlineStr">
        <is>
          <t>SMT SUPPORT DJ</t>
        </is>
      </c>
      <c r="G4425" t="inlineStr">
        <is>
          <t>E3L</t>
        </is>
      </c>
      <c r="H4425" t="inlineStr">
        <is>
          <t>BACKFEED</t>
        </is>
      </c>
      <c r="J4425" t="inlineStr">
        <is>
          <t>BERNARDEAU</t>
        </is>
      </c>
      <c r="K4425" t="inlineStr">
        <is>
          <t>METAL</t>
        </is>
      </c>
      <c r="L4425">
        <f>_xlfn.XLOOKUP(Tableau1[[#This Row],[TYPE DE PIECE]],Tableau4[MATIERE],Tableau4[SHORT TYPE],"",0,1)</f>
        <v/>
      </c>
      <c r="N4425">
        <f>IF(ISERR(FIND("DECOUPE",Tableau1[[#This Row],[DESIGNATION]])),"","NEED REF")</f>
        <v/>
      </c>
    </row>
    <row r="4426">
      <c r="B4426" t="n">
        <v>34409580</v>
      </c>
      <c r="C4426" s="2" t="n">
        <v>44355</v>
      </c>
      <c r="D4426" t="inlineStr">
        <is>
          <t>SPEC</t>
        </is>
      </c>
      <c r="E4426" t="inlineStr">
        <is>
          <t>NS100NA</t>
        </is>
      </c>
      <c r="F4426" t="inlineStr">
        <is>
          <t>NSPA SIGONELLA</t>
        </is>
      </c>
      <c r="G4426" t="inlineStr">
        <is>
          <t>E3L</t>
        </is>
      </c>
      <c r="H4426" t="inlineStr">
        <is>
          <t>BYPASS</t>
        </is>
      </c>
      <c r="J4426" t="inlineStr">
        <is>
          <t>JAWORSKI</t>
        </is>
      </c>
      <c r="K4426" t="inlineStr">
        <is>
          <t>=S=</t>
        </is>
      </c>
      <c r="L4426">
        <f>_xlfn.XLOOKUP(Tableau1[[#This Row],[TYPE DE PIECE]],Tableau4[MATIERE],Tableau4[SHORT TYPE],"",0,1)</f>
        <v/>
      </c>
      <c r="N4426">
        <f>IF(ISERR(FIND("DECOUPE",Tableau1[[#This Row],[DESIGNATION]])),"","NEED REF")</f>
        <v/>
      </c>
    </row>
    <row r="4427">
      <c r="B4427" t="n">
        <v>34409579</v>
      </c>
      <c r="C4427" s="2" t="n">
        <v>44355</v>
      </c>
      <c r="D4427" t="inlineStr">
        <is>
          <t>SPEC</t>
        </is>
      </c>
      <c r="E4427" t="inlineStr">
        <is>
          <t>MTZ2 INTER 4P 2000A HA</t>
        </is>
      </c>
      <c r="F4427" t="inlineStr">
        <is>
          <t>NSPA SIGONELLA</t>
        </is>
      </c>
      <c r="G4427" t="inlineStr">
        <is>
          <t>E3L</t>
        </is>
      </c>
      <c r="H4427" t="inlineStr">
        <is>
          <t>BYPASS</t>
        </is>
      </c>
      <c r="J4427" t="inlineStr">
        <is>
          <t>JAWORSKI</t>
        </is>
      </c>
      <c r="K4427" t="inlineStr">
        <is>
          <t>=S=</t>
        </is>
      </c>
      <c r="L4427">
        <f>_xlfn.XLOOKUP(Tableau1[[#This Row],[TYPE DE PIECE]],Tableau4[MATIERE],Tableau4[SHORT TYPE],"",0,1)</f>
        <v/>
      </c>
      <c r="N4427">
        <f>IF(ISERR(FIND("DECOUPE",Tableau1[[#This Row],[DESIGNATION]])),"","NEED REF")</f>
        <v/>
      </c>
    </row>
    <row r="4428">
      <c r="B4428" t="n">
        <v>34409578</v>
      </c>
      <c r="C4428" s="2" t="n">
        <v>44355</v>
      </c>
      <c r="D4428" t="inlineStr">
        <is>
          <t>SPEC</t>
        </is>
      </c>
      <c r="E4428" t="inlineStr">
        <is>
          <t>COP CX MTZ2 2000A</t>
        </is>
      </c>
      <c r="F4428" t="inlineStr">
        <is>
          <t>NSPA SIGONELLA</t>
        </is>
      </c>
      <c r="G4428" t="inlineStr">
        <is>
          <t>E3L</t>
        </is>
      </c>
      <c r="H4428" t="inlineStr">
        <is>
          <t>BYPASS</t>
        </is>
      </c>
      <c r="J4428" t="inlineStr">
        <is>
          <t>JAWORSKI</t>
        </is>
      </c>
      <c r="K4428" t="inlineStr">
        <is>
          <t>CUIVRE</t>
        </is>
      </c>
      <c r="L4428">
        <f>_xlfn.XLOOKUP(Tableau1[[#This Row],[TYPE DE PIECE]],Tableau4[MATIERE],Tableau4[SHORT TYPE],"",0,1)</f>
        <v/>
      </c>
      <c r="N4428">
        <f>IF(ISERR(FIND("DECOUPE",Tableau1[[#This Row],[DESIGNATION]])),"","NEED REF")</f>
        <v/>
      </c>
    </row>
    <row r="4429">
      <c r="B4429" t="n">
        <v>34409577</v>
      </c>
      <c r="C4429" s="2" t="n">
        <v>44355</v>
      </c>
      <c r="D4429" t="inlineStr">
        <is>
          <t>SPEC</t>
        </is>
      </c>
      <c r="E4429" t="inlineStr">
        <is>
          <t>COP PE 1</t>
        </is>
      </c>
      <c r="F4429" t="inlineStr">
        <is>
          <t>INTERXION</t>
        </is>
      </c>
      <c r="J4429" t="inlineStr">
        <is>
          <t>MASCELLINO</t>
        </is>
      </c>
      <c r="K4429" t="inlineStr">
        <is>
          <t>CUIVRE</t>
        </is>
      </c>
      <c r="L4429">
        <f>_xlfn.XLOOKUP(Tableau1[[#This Row],[TYPE DE PIECE]],Tableau4[MATIERE],Tableau4[SHORT TYPE],"",0,1)</f>
        <v/>
      </c>
      <c r="N4429">
        <f>IF(ISERR(FIND("DECOUPE",Tableau1[[#This Row],[DESIGNATION]])),"","NEED REF")</f>
        <v/>
      </c>
    </row>
    <row r="4430">
      <c r="B4430" t="n">
        <v>34409576</v>
      </c>
      <c r="C4430" s="2" t="n">
        <v>44355</v>
      </c>
      <c r="D4430" t="inlineStr">
        <is>
          <t>SPEC</t>
        </is>
      </c>
      <c r="E4430" t="inlineStr">
        <is>
          <t>COP PE 2</t>
        </is>
      </c>
      <c r="F4430" t="inlineStr">
        <is>
          <t>INTERXION</t>
        </is>
      </c>
      <c r="J4430" t="inlineStr">
        <is>
          <t>MASCELLINO</t>
        </is>
      </c>
      <c r="K4430" t="inlineStr">
        <is>
          <t>CUIVRE</t>
        </is>
      </c>
      <c r="L4430">
        <f>_xlfn.XLOOKUP(Tableau1[[#This Row],[TYPE DE PIECE]],Tableau4[MATIERE],Tableau4[SHORT TYPE],"",0,1)</f>
        <v/>
      </c>
      <c r="N4430">
        <f>IF(ISERR(FIND("DECOUPE",Tableau1[[#This Row],[DESIGNATION]])),"","NEED REF")</f>
        <v/>
      </c>
    </row>
    <row r="4431">
      <c r="B4431" t="n">
        <v>34409575</v>
      </c>
      <c r="C4431" s="2" t="n">
        <v>44355</v>
      </c>
      <c r="D4431" t="inlineStr">
        <is>
          <t>SPEC</t>
        </is>
      </c>
      <c r="E4431" t="inlineStr">
        <is>
          <t>COP PE 3</t>
        </is>
      </c>
      <c r="F4431" t="inlineStr">
        <is>
          <t>INTERXION</t>
        </is>
      </c>
      <c r="J4431" t="inlineStr">
        <is>
          <t>MASCELLINO</t>
        </is>
      </c>
      <c r="K4431" t="inlineStr">
        <is>
          <t>CUIVRE</t>
        </is>
      </c>
      <c r="L4431">
        <f>_xlfn.XLOOKUP(Tableau1[[#This Row],[TYPE DE PIECE]],Tableau4[MATIERE],Tableau4[SHORT TYPE],"",0,1)</f>
        <v/>
      </c>
      <c r="N4431">
        <f>IF(ISERR(FIND("DECOUPE",Tableau1[[#This Row],[DESIGNATION]])),"","NEED REF")</f>
        <v/>
      </c>
    </row>
    <row r="4432">
      <c r="B4432" t="n">
        <v>34409574</v>
      </c>
      <c r="C4432" s="2" t="n">
        <v>44355</v>
      </c>
      <c r="D4432" t="inlineStr">
        <is>
          <t>SPEC</t>
        </is>
      </c>
      <c r="E4432" t="inlineStr">
        <is>
          <t>COP PE 4</t>
        </is>
      </c>
      <c r="F4432" t="inlineStr">
        <is>
          <t>INTERXION</t>
        </is>
      </c>
      <c r="J4432" t="inlineStr">
        <is>
          <t>MASCELLINO</t>
        </is>
      </c>
      <c r="K4432" t="inlineStr">
        <is>
          <t>CUIVRE</t>
        </is>
      </c>
      <c r="L4432">
        <f>_xlfn.XLOOKUP(Tableau1[[#This Row],[TYPE DE PIECE]],Tableau4[MATIERE],Tableau4[SHORT TYPE],"",0,1)</f>
        <v/>
      </c>
      <c r="N4432">
        <f>IF(ISERR(FIND("DECOUPE",Tableau1[[#This Row],[DESIGNATION]])),"","NEED REF")</f>
        <v/>
      </c>
    </row>
    <row r="4433">
      <c r="B4433" t="n">
        <v>34409573</v>
      </c>
      <c r="C4433" s="2" t="n">
        <v>44355</v>
      </c>
      <c r="D4433" t="inlineStr">
        <is>
          <t>SPEC</t>
        </is>
      </c>
      <c r="E4433" t="inlineStr">
        <is>
          <t>PLA BRIDE GPO</t>
        </is>
      </c>
      <c r="F4433" t="inlineStr">
        <is>
          <t>INTERXION</t>
        </is>
      </c>
      <c r="J4433" t="inlineStr">
        <is>
          <t>MASCELLINO</t>
        </is>
      </c>
      <c r="K4433" t="inlineStr">
        <is>
          <t>PLASTIQUE</t>
        </is>
      </c>
      <c r="L4433">
        <f>_xlfn.XLOOKUP(Tableau1[[#This Row],[TYPE DE PIECE]],Tableau4[MATIERE],Tableau4[SHORT TYPE],"",0,1)</f>
        <v/>
      </c>
      <c r="N4433">
        <f>IF(ISERR(FIND("DECOUPE",Tableau1[[#This Row],[DESIGNATION]])),"","NEED REF")</f>
        <v/>
      </c>
    </row>
    <row r="4434">
      <c r="B4434" t="n">
        <v>34409572</v>
      </c>
      <c r="C4434" s="2" t="n">
        <v>44355</v>
      </c>
      <c r="D4434" t="inlineStr">
        <is>
          <t>SPEC</t>
        </is>
      </c>
      <c r="E4434" t="inlineStr">
        <is>
          <t>PLA BRIDE GPO</t>
        </is>
      </c>
      <c r="F4434" t="inlineStr">
        <is>
          <t>INTERXION</t>
        </is>
      </c>
      <c r="J4434" t="inlineStr">
        <is>
          <t>MASCELLINO</t>
        </is>
      </c>
      <c r="K4434" t="inlineStr">
        <is>
          <t>PLASTIQUE</t>
        </is>
      </c>
      <c r="L4434">
        <f>_xlfn.XLOOKUP(Tableau1[[#This Row],[TYPE DE PIECE]],Tableau4[MATIERE],Tableau4[SHORT TYPE],"",0,1)</f>
        <v/>
      </c>
      <c r="N4434">
        <f>IF(ISERR(FIND("DECOUPE",Tableau1[[#This Row],[DESIGNATION]])),"","NEED REF")</f>
        <v/>
      </c>
    </row>
    <row r="4435">
      <c r="B4435" t="n">
        <v>34409571</v>
      </c>
      <c r="C4435" s="2" t="n">
        <v>44355</v>
      </c>
      <c r="D4435" t="inlineStr">
        <is>
          <t>SPEC</t>
        </is>
      </c>
      <c r="E4435" t="inlineStr">
        <is>
          <t>COP PE 5</t>
        </is>
      </c>
      <c r="F4435" t="inlineStr">
        <is>
          <t>INTERXION</t>
        </is>
      </c>
      <c r="J4435" t="inlineStr">
        <is>
          <t>MASCELLINO</t>
        </is>
      </c>
      <c r="K4435" t="inlineStr">
        <is>
          <t>CUIVRE</t>
        </is>
      </c>
      <c r="L4435">
        <f>_xlfn.XLOOKUP(Tableau1[[#This Row],[TYPE DE PIECE]],Tableau4[MATIERE],Tableau4[SHORT TYPE],"",0,1)</f>
        <v/>
      </c>
      <c r="N4435">
        <f>IF(ISERR(FIND("DECOUPE",Tableau1[[#This Row],[DESIGNATION]])),"","NEED REF")</f>
        <v/>
      </c>
    </row>
    <row r="4436">
      <c r="B4436" t="n">
        <v>34409570</v>
      </c>
      <c r="C4436" s="2" t="n">
        <v>44355</v>
      </c>
      <c r="D4436" t="inlineStr">
        <is>
          <t>SPEC</t>
        </is>
      </c>
      <c r="E4436" t="inlineStr">
        <is>
          <t>EQUERRE PLA BRIDE GPO</t>
        </is>
      </c>
      <c r="F4436" t="inlineStr">
        <is>
          <t>INTERXION</t>
        </is>
      </c>
      <c r="J4436" t="inlineStr">
        <is>
          <t>MASCELLINO</t>
        </is>
      </c>
      <c r="K4436" t="inlineStr">
        <is>
          <t>METAL</t>
        </is>
      </c>
      <c r="L4436">
        <f>_xlfn.XLOOKUP(Tableau1[[#This Row],[TYPE DE PIECE]],Tableau4[MATIERE],Tableau4[SHORT TYPE],"",0,1)</f>
        <v/>
      </c>
      <c r="N4436">
        <f>IF(ISERR(FIND("DECOUPE",Tableau1[[#This Row],[DESIGNATION]])),"","NEED REF")</f>
        <v/>
      </c>
    </row>
    <row r="4437">
      <c r="B4437" t="n">
        <v>34409569</v>
      </c>
      <c r="C4437" s="2" t="n">
        <v>44351</v>
      </c>
      <c r="D4437" t="inlineStr">
        <is>
          <t>SPEC</t>
        </is>
      </c>
      <c r="E4437" t="inlineStr">
        <is>
          <t>PLAN DE DECOUPE RAIL DIN REGEN</t>
        </is>
      </c>
      <c r="H4437" t="inlineStr">
        <is>
          <t>REGEN</t>
        </is>
      </c>
      <c r="J4437" t="inlineStr">
        <is>
          <t>BERNARDEAU</t>
        </is>
      </c>
      <c r="K4437" t="inlineStr">
        <is>
          <t>METAL</t>
        </is>
      </c>
      <c r="L4437">
        <f>_xlfn.XLOOKUP(Tableau1[[#This Row],[TYPE DE PIECE]],Tableau4[MATIERE],Tableau4[SHORT TYPE],"",0,1)</f>
        <v/>
      </c>
      <c r="N4437">
        <f>IF(ISERR(FIND("DECOUPE",Tableau1[[#This Row],[DESIGNATION]])),"","NEED REF")</f>
        <v/>
      </c>
    </row>
    <row r="4438">
      <c r="B4438" t="n">
        <v>34409568</v>
      </c>
      <c r="C4438" s="2" t="n">
        <v>44351</v>
      </c>
      <c r="D4438" t="inlineStr">
        <is>
          <t>SPEC</t>
        </is>
      </c>
      <c r="E4438" t="inlineStr">
        <is>
          <t xml:space="preserve">PLAQUE DE FOND REGEN BOX 125A </t>
        </is>
      </c>
      <c r="H4438" t="inlineStr">
        <is>
          <t>REGEN</t>
        </is>
      </c>
      <c r="J4438" t="inlineStr">
        <is>
          <t>BERNARDEAU</t>
        </is>
      </c>
      <c r="K4438" t="inlineStr">
        <is>
          <t>METAL</t>
        </is>
      </c>
      <c r="L4438">
        <f>_xlfn.XLOOKUP(Tableau1[[#This Row],[TYPE DE PIECE]],Tableau4[MATIERE],Tableau4[SHORT TYPE],"",0,1)</f>
        <v/>
      </c>
      <c r="N4438">
        <f>IF(ISERR(FIND("DECOUPE",Tableau1[[#This Row],[DESIGNATION]])),"","NEED REF")</f>
        <v/>
      </c>
    </row>
    <row r="4439">
      <c r="B4439" t="n">
        <v>34409567</v>
      </c>
      <c r="C4439" s="2" t="n">
        <v>44351</v>
      </c>
      <c r="D4439" t="inlineStr">
        <is>
          <t>SPEC</t>
        </is>
      </c>
      <c r="E4439" t="inlineStr">
        <is>
          <t>SMT PLATINE CONTACTEUR LC1F1400</t>
        </is>
      </c>
      <c r="F4439" t="inlineStr">
        <is>
          <t>NSPA SIGONELLA</t>
        </is>
      </c>
      <c r="G4439" t="inlineStr">
        <is>
          <t>E3L</t>
        </is>
      </c>
      <c r="H4439" t="inlineStr">
        <is>
          <t>BYPASS</t>
        </is>
      </c>
      <c r="J4439" t="inlineStr">
        <is>
          <t>MATRION</t>
        </is>
      </c>
      <c r="K4439" t="inlineStr">
        <is>
          <t>METAL</t>
        </is>
      </c>
      <c r="L4439">
        <f>_xlfn.XLOOKUP(Tableau1[[#This Row],[TYPE DE PIECE]],Tableau4[MATIERE],Tableau4[SHORT TYPE],"",0,1)</f>
        <v/>
      </c>
      <c r="N4439">
        <f>IF(ISERR(FIND("DECOUPE",Tableau1[[#This Row],[DESIGNATION]])),"","NEED REF")</f>
        <v/>
      </c>
    </row>
    <row r="4440">
      <c r="B4440" t="n">
        <v>34409566</v>
      </c>
      <c r="C4440" s="2" t="n">
        <v>44351</v>
      </c>
      <c r="D4440" t="inlineStr">
        <is>
          <t>SPEC</t>
        </is>
      </c>
      <c r="E4440" t="inlineStr">
        <is>
          <t>KIT FILERIE REGEN BOX 50A CHARGE INTERNE LIFT</t>
        </is>
      </c>
      <c r="H4440" t="inlineStr">
        <is>
          <t>REGEN</t>
        </is>
      </c>
      <c r="J4440" t="inlineStr">
        <is>
          <t>MONGELLI</t>
        </is>
      </c>
      <c r="K4440" t="inlineStr">
        <is>
          <t>CUIVRE</t>
        </is>
      </c>
      <c r="L4440">
        <f>_xlfn.XLOOKUP(Tableau1[[#This Row],[TYPE DE PIECE]],Tableau4[MATIERE],Tableau4[SHORT TYPE],"",0,1)</f>
        <v/>
      </c>
      <c r="N4440">
        <f>IF(ISERR(FIND("DECOUPE",Tableau1[[#This Row],[DESIGNATION]])),"","NEED REF")</f>
        <v/>
      </c>
    </row>
    <row r="4441">
      <c r="B4441" t="n">
        <v>34409565</v>
      </c>
      <c r="C4441" s="2" t="n">
        <v>44351</v>
      </c>
      <c r="D4441" t="inlineStr">
        <is>
          <t>SPEC</t>
        </is>
      </c>
      <c r="E4441" t="inlineStr">
        <is>
          <t>SMT EQUERRE SUPPORT PROTECTION</t>
        </is>
      </c>
      <c r="F4441" t="inlineStr">
        <is>
          <t>NSPA SIGONELLA</t>
        </is>
      </c>
      <c r="G4441" t="inlineStr">
        <is>
          <t>E3L</t>
        </is>
      </c>
      <c r="H4441" t="inlineStr">
        <is>
          <t>BYPASS</t>
        </is>
      </c>
      <c r="J4441" t="inlineStr">
        <is>
          <t>MATRION</t>
        </is>
      </c>
      <c r="K4441" t="inlineStr">
        <is>
          <t>METAL</t>
        </is>
      </c>
      <c r="L4441">
        <f>_xlfn.XLOOKUP(Tableau1[[#This Row],[TYPE DE PIECE]],Tableau4[MATIERE],Tableau4[SHORT TYPE],"",0,1)</f>
        <v/>
      </c>
      <c r="M4441" t="inlineStr">
        <is>
          <t>IP00</t>
        </is>
      </c>
      <c r="N4441">
        <f>IF(ISERR(FIND("DECOUPE",Tableau1[[#This Row],[DESIGNATION]])),"","NEED REF")</f>
        <v/>
      </c>
    </row>
    <row r="4442">
      <c r="B4442" t="n">
        <v>34409564</v>
      </c>
      <c r="C4442" s="2" t="n">
        <v>44351</v>
      </c>
      <c r="D4442" t="inlineStr">
        <is>
          <t>SPEC</t>
        </is>
      </c>
      <c r="E4442" t="inlineStr">
        <is>
          <t>PLA ECRAN DE PROTECTION ELECTRIQUE</t>
        </is>
      </c>
      <c r="F4442" t="inlineStr">
        <is>
          <t>NSPA SIGONELLA</t>
        </is>
      </c>
      <c r="G4442" t="inlineStr">
        <is>
          <t>E3L</t>
        </is>
      </c>
      <c r="H4442" t="inlineStr">
        <is>
          <t>BACKFEED</t>
        </is>
      </c>
      <c r="J4442" t="inlineStr">
        <is>
          <t>MATRION</t>
        </is>
      </c>
      <c r="K4442" t="inlineStr">
        <is>
          <t>PLASTIQUE</t>
        </is>
      </c>
      <c r="L4442">
        <f>_xlfn.XLOOKUP(Tableau1[[#This Row],[TYPE DE PIECE]],Tableau4[MATIERE],Tableau4[SHORT TYPE],"",0,1)</f>
        <v/>
      </c>
      <c r="N4442">
        <f>IF(ISERR(FIND("DECOUPE",Tableau1[[#This Row],[DESIGNATION]])),"","NEED REF")</f>
        <v/>
      </c>
    </row>
    <row r="4443">
      <c r="B4443" t="n">
        <v>34409563</v>
      </c>
      <c r="C4443" s="2" t="n">
        <v>44350</v>
      </c>
      <c r="D4443" t="inlineStr">
        <is>
          <t>SPEC</t>
        </is>
      </c>
      <c r="E4443" t="inlineStr">
        <is>
          <t>SMT SUPPORT NEUTRE</t>
        </is>
      </c>
      <c r="F4443" t="inlineStr">
        <is>
          <t>NSPA SIGONELLA</t>
        </is>
      </c>
      <c r="G4443" t="inlineStr">
        <is>
          <t>E3L</t>
        </is>
      </c>
      <c r="H4443" t="inlineStr">
        <is>
          <t>BACKFEED</t>
        </is>
      </c>
      <c r="J4443" t="inlineStr">
        <is>
          <t>MATRION</t>
        </is>
      </c>
      <c r="K4443" t="inlineStr">
        <is>
          <t>METAL</t>
        </is>
      </c>
      <c r="L4443">
        <f>_xlfn.XLOOKUP(Tableau1[[#This Row],[TYPE DE PIECE]],Tableau4[MATIERE],Tableau4[SHORT TYPE],"",0,1)</f>
        <v/>
      </c>
      <c r="N4443">
        <f>IF(ISERR(FIND("DECOUPE",Tableau1[[#This Row],[DESIGNATION]])),"","NEED REF")</f>
        <v/>
      </c>
    </row>
    <row r="4444">
      <c r="B4444" t="n">
        <v>34409562</v>
      </c>
      <c r="C4444" s="2" t="n">
        <v>44349</v>
      </c>
      <c r="D4444" t="inlineStr">
        <is>
          <t>SPEC</t>
        </is>
      </c>
      <c r="E4444" t="inlineStr">
        <is>
          <t>SMT PLASTRON MTZ2</t>
        </is>
      </c>
      <c r="F4444" t="inlineStr">
        <is>
          <t>NSPA SIGONELLA</t>
        </is>
      </c>
      <c r="G4444" t="inlineStr">
        <is>
          <t>E3L</t>
        </is>
      </c>
      <c r="H4444" t="inlineStr">
        <is>
          <t>BYPASS</t>
        </is>
      </c>
      <c r="J4444" t="inlineStr">
        <is>
          <t>JAWORSKI</t>
        </is>
      </c>
      <c r="K4444" t="inlineStr">
        <is>
          <t>METAL</t>
        </is>
      </c>
      <c r="L4444">
        <f>_xlfn.XLOOKUP(Tableau1[[#This Row],[TYPE DE PIECE]],Tableau4[MATIERE],Tableau4[SHORT TYPE],"",0,1)</f>
        <v/>
      </c>
      <c r="N4444">
        <f>IF(ISERR(FIND("DECOUPE",Tableau1[[#This Row],[DESIGNATION]])),"","NEED REF")</f>
        <v/>
      </c>
    </row>
    <row r="4445">
      <c r="B4445" t="n">
        <v>34409561</v>
      </c>
      <c r="C4445" s="2" t="n">
        <v>44349</v>
      </c>
      <c r="D4445" t="inlineStr">
        <is>
          <t>SPEC</t>
        </is>
      </c>
      <c r="E4445" t="inlineStr">
        <is>
          <t>SMT PLASTRON HAUT</t>
        </is>
      </c>
      <c r="F4445" t="inlineStr">
        <is>
          <t>NSPA SIGONELLA</t>
        </is>
      </c>
      <c r="G4445" t="inlineStr">
        <is>
          <t>E3L</t>
        </is>
      </c>
      <c r="H4445" t="inlineStr">
        <is>
          <t>BYPASS</t>
        </is>
      </c>
      <c r="J4445" t="inlineStr">
        <is>
          <t>JAWORSKI</t>
        </is>
      </c>
      <c r="K4445" t="inlineStr">
        <is>
          <t>METAL</t>
        </is>
      </c>
      <c r="L4445">
        <f>_xlfn.XLOOKUP(Tableau1[[#This Row],[TYPE DE PIECE]],Tableau4[MATIERE],Tableau4[SHORT TYPE],"",0,1)</f>
        <v/>
      </c>
      <c r="N4445">
        <f>IF(ISERR(FIND("DECOUPE",Tableau1[[#This Row],[DESIGNATION]])),"","NEED REF")</f>
        <v/>
      </c>
    </row>
    <row r="4446">
      <c r="B4446" t="n">
        <v>34409560</v>
      </c>
      <c r="C4446" s="2" t="n">
        <v>44349</v>
      </c>
      <c r="D4446" t="inlineStr">
        <is>
          <t>SPEC</t>
        </is>
      </c>
      <c r="E4446" t="inlineStr">
        <is>
          <t>PLA ECRAN DE PROTECTION ELECTRIQUE</t>
        </is>
      </c>
      <c r="F4446" t="inlineStr">
        <is>
          <t>NSPA SIGONELLA</t>
        </is>
      </c>
      <c r="G4446" t="inlineStr">
        <is>
          <t>E3L</t>
        </is>
      </c>
      <c r="H4446" t="inlineStr">
        <is>
          <t>BYPASS</t>
        </is>
      </c>
      <c r="J4446" t="inlineStr">
        <is>
          <t>JAWORSKI</t>
        </is>
      </c>
      <c r="K4446" t="inlineStr">
        <is>
          <t>PLASTIQUE</t>
        </is>
      </c>
      <c r="L4446">
        <f>_xlfn.XLOOKUP(Tableau1[[#This Row],[TYPE DE PIECE]],Tableau4[MATIERE],Tableau4[SHORT TYPE],"",0,1)</f>
        <v/>
      </c>
      <c r="N4446">
        <f>IF(ISERR(FIND("DECOUPE",Tableau1[[#This Row],[DESIGNATION]])),"","NEED REF")</f>
        <v/>
      </c>
    </row>
    <row r="4447">
      <c r="B4447" t="n">
        <v>34409559</v>
      </c>
      <c r="C4447" s="2" t="n">
        <v>44349</v>
      </c>
      <c r="D4447" t="inlineStr">
        <is>
          <t>SPEC</t>
        </is>
      </c>
      <c r="E4447" t="inlineStr">
        <is>
          <t>SMT EQUERRE SUPPORT PROTECTION</t>
        </is>
      </c>
      <c r="F4447" t="inlineStr">
        <is>
          <t>NSPA SIGONELLA</t>
        </is>
      </c>
      <c r="G4447" t="inlineStr">
        <is>
          <t>E3L</t>
        </is>
      </c>
      <c r="H4447" t="inlineStr">
        <is>
          <t>BYPASS</t>
        </is>
      </c>
      <c r="J4447" t="inlineStr">
        <is>
          <t>JAWORSKI</t>
        </is>
      </c>
      <c r="K4447" t="inlineStr">
        <is>
          <t>METAL</t>
        </is>
      </c>
      <c r="L4447">
        <f>_xlfn.XLOOKUP(Tableau1[[#This Row],[TYPE DE PIECE]],Tableau4[MATIERE],Tableau4[SHORT TYPE],"",0,1)</f>
        <v/>
      </c>
      <c r="M4447" t="inlineStr">
        <is>
          <t>IP00</t>
        </is>
      </c>
      <c r="N4447">
        <f>IF(ISERR(FIND("DECOUPE",Tableau1[[#This Row],[DESIGNATION]])),"","NEED REF")</f>
        <v/>
      </c>
    </row>
    <row r="4448">
      <c r="B4448" t="n">
        <v>34409558</v>
      </c>
      <c r="C4448" s="2" t="n">
        <v>44349</v>
      </c>
      <c r="D4448" t="inlineStr">
        <is>
          <t>SPEC</t>
        </is>
      </c>
      <c r="E4448" t="inlineStr">
        <is>
          <t>CUIVRE RACCORDEMENT</t>
        </is>
      </c>
      <c r="F4448" t="inlineStr">
        <is>
          <t>INTERXION</t>
        </is>
      </c>
      <c r="J4448" t="inlineStr">
        <is>
          <t>MASCELLINO</t>
        </is>
      </c>
      <c r="K4448" t="inlineStr">
        <is>
          <t>CUIVRE</t>
        </is>
      </c>
      <c r="L4448">
        <f>_xlfn.XLOOKUP(Tableau1[[#This Row],[TYPE DE PIECE]],Tableau4[MATIERE],Tableau4[SHORT TYPE],"",0,1)</f>
        <v/>
      </c>
      <c r="N4448">
        <f>IF(ISERR(FIND("DECOUPE",Tableau1[[#This Row],[DESIGNATION]])),"","NEED REF")</f>
        <v/>
      </c>
    </row>
    <row r="4449">
      <c r="B4449" t="n">
        <v>34409557</v>
      </c>
      <c r="C4449" s="2" t="n">
        <v>44349</v>
      </c>
      <c r="D4449" t="inlineStr">
        <is>
          <t>SPEC</t>
        </is>
      </c>
      <c r="E4449" t="inlineStr">
        <is>
          <t>TOIT 1 MAIN</t>
        </is>
      </c>
      <c r="F4449" t="inlineStr">
        <is>
          <t>INTERXION</t>
        </is>
      </c>
      <c r="J4449" t="inlineStr">
        <is>
          <t>MASCELLINO</t>
        </is>
      </c>
      <c r="K4449" t="inlineStr">
        <is>
          <t>METAL</t>
        </is>
      </c>
      <c r="L4449">
        <f>_xlfn.XLOOKUP(Tableau1[[#This Row],[TYPE DE PIECE]],Tableau4[MATIERE],Tableau4[SHORT TYPE],"",0,1)</f>
        <v/>
      </c>
      <c r="N4449">
        <f>IF(ISERR(FIND("DECOUPE",Tableau1[[#This Row],[DESIGNATION]])),"","NEED REF")</f>
        <v/>
      </c>
    </row>
    <row r="4450">
      <c r="B4450" t="n">
        <v>34409556</v>
      </c>
      <c r="C4450" s="2" t="n">
        <v>44349</v>
      </c>
      <c r="D4450" t="inlineStr">
        <is>
          <t>SPEC</t>
        </is>
      </c>
      <c r="E4450" t="inlineStr">
        <is>
          <t>TOIT 2 MAIN</t>
        </is>
      </c>
      <c r="F4450" t="inlineStr">
        <is>
          <t>INTERXION</t>
        </is>
      </c>
      <c r="J4450" t="inlineStr">
        <is>
          <t>MASCELLINO</t>
        </is>
      </c>
      <c r="K4450" t="inlineStr">
        <is>
          <t>METAL</t>
        </is>
      </c>
      <c r="L4450">
        <f>_xlfn.XLOOKUP(Tableau1[[#This Row],[TYPE DE PIECE]],Tableau4[MATIERE],Tableau4[SHORT TYPE],"",0,1)</f>
        <v/>
      </c>
      <c r="N4450">
        <f>IF(ISERR(FIND("DECOUPE",Tableau1[[#This Row],[DESIGNATION]])),"","NEED REF")</f>
        <v/>
      </c>
    </row>
    <row r="4451">
      <c r="B4451" t="n">
        <v>34409555</v>
      </c>
      <c r="C4451" s="2" t="n">
        <v>44349</v>
      </c>
      <c r="D4451" t="inlineStr">
        <is>
          <t>SPEC</t>
        </is>
      </c>
      <c r="E4451" t="inlineStr">
        <is>
          <t>TOIT 1 LOAD BATT</t>
        </is>
      </c>
      <c r="F4451" t="inlineStr">
        <is>
          <t>INTERXION</t>
        </is>
      </c>
      <c r="J4451" t="inlineStr">
        <is>
          <t>MASCELLINO</t>
        </is>
      </c>
      <c r="K4451" t="inlineStr">
        <is>
          <t>METAL</t>
        </is>
      </c>
      <c r="L4451">
        <f>_xlfn.XLOOKUP(Tableau1[[#This Row],[TYPE DE PIECE]],Tableau4[MATIERE],Tableau4[SHORT TYPE],"",0,1)</f>
        <v/>
      </c>
      <c r="N4451">
        <f>IF(ISERR(FIND("DECOUPE",Tableau1[[#This Row],[DESIGNATION]])),"","NEED REF")</f>
        <v/>
      </c>
    </row>
    <row r="4452">
      <c r="B4452" t="n">
        <v>34409554</v>
      </c>
      <c r="C4452" s="2" t="n">
        <v>44349</v>
      </c>
      <c r="D4452" t="inlineStr">
        <is>
          <t>SPEC</t>
        </is>
      </c>
      <c r="E4452" t="inlineStr">
        <is>
          <t>TOIT 2 LOAD BATT</t>
        </is>
      </c>
      <c r="F4452" t="inlineStr">
        <is>
          <t>INTERXION</t>
        </is>
      </c>
      <c r="J4452" t="inlineStr">
        <is>
          <t>MASCELLINO</t>
        </is>
      </c>
      <c r="K4452" t="inlineStr">
        <is>
          <t>METAL</t>
        </is>
      </c>
      <c r="L4452">
        <f>_xlfn.XLOOKUP(Tableau1[[#This Row],[TYPE DE PIECE]],Tableau4[MATIERE],Tableau4[SHORT TYPE],"",0,1)</f>
        <v/>
      </c>
      <c r="N4452">
        <f>IF(ISERR(FIND("DECOUPE",Tableau1[[#This Row],[DESIGNATION]])),"","NEED REF")</f>
        <v/>
      </c>
    </row>
    <row r="4453">
      <c r="B4453" t="n">
        <v>34409553</v>
      </c>
      <c r="C4453" s="2" t="n">
        <v>44349</v>
      </c>
      <c r="D4453" t="inlineStr">
        <is>
          <t>SPEC</t>
        </is>
      </c>
      <c r="E4453" t="inlineStr">
        <is>
          <t>SMT TRAVERSE SUPPORT OMEGA DJ</t>
        </is>
      </c>
      <c r="F4453" t="inlineStr">
        <is>
          <t>BF 580A</t>
        </is>
      </c>
      <c r="G4453" t="inlineStr">
        <is>
          <t>E3M</t>
        </is>
      </c>
      <c r="H4453" t="inlineStr">
        <is>
          <t>BACKFEED</t>
        </is>
      </c>
      <c r="J4453" t="inlineStr">
        <is>
          <t>ÇAKIR</t>
        </is>
      </c>
      <c r="K4453" t="inlineStr">
        <is>
          <t>METAL</t>
        </is>
      </c>
      <c r="L4453">
        <f>_xlfn.XLOOKUP(Tableau1[[#This Row],[TYPE DE PIECE]],Tableau4[MATIERE],Tableau4[SHORT TYPE],"",0,1)</f>
        <v/>
      </c>
      <c r="N4453">
        <f>IF(ISERR(FIND("DECOUPE",Tableau1[[#This Row],[DESIGNATION]])),"","NEED REF")</f>
        <v/>
      </c>
    </row>
    <row r="4454">
      <c r="B4454" t="n">
        <v>34409552</v>
      </c>
      <c r="C4454" s="2" t="n">
        <v>44348</v>
      </c>
      <c r="D4454" t="inlineStr">
        <is>
          <t>SPEC</t>
        </is>
      </c>
      <c r="E4454" t="inlineStr">
        <is>
          <t>COP RACC_L3 - LGYE 2000A</t>
        </is>
      </c>
      <c r="F4454" t="inlineStr">
        <is>
          <t>NSPA SIGONELLA</t>
        </is>
      </c>
      <c r="G4454" t="inlineStr">
        <is>
          <t>E3L</t>
        </is>
      </c>
      <c r="H4454" t="inlineStr">
        <is>
          <t>BYPASS</t>
        </is>
      </c>
      <c r="J4454" t="inlineStr">
        <is>
          <t>JAWORSKI</t>
        </is>
      </c>
      <c r="K4454" t="inlineStr">
        <is>
          <t>CUIVRE</t>
        </is>
      </c>
      <c r="L4454">
        <f>_xlfn.XLOOKUP(Tableau1[[#This Row],[TYPE DE PIECE]],Tableau4[MATIERE],Tableau4[SHORT TYPE],"",0,1)</f>
        <v/>
      </c>
      <c r="N4454">
        <f>IF(ISERR(FIND("DECOUPE",Tableau1[[#This Row],[DESIGNATION]])),"","NEED REF")</f>
        <v/>
      </c>
    </row>
    <row r="4455">
      <c r="B4455" t="n">
        <v>34409551</v>
      </c>
      <c r="C4455" s="2" t="n">
        <v>44348</v>
      </c>
      <c r="D4455" t="inlineStr">
        <is>
          <t>SPEC</t>
        </is>
      </c>
      <c r="E4455" t="inlineStr">
        <is>
          <t>COP RACC_L2 - LGYE 2000A</t>
        </is>
      </c>
      <c r="F4455" t="inlineStr">
        <is>
          <t>NSPA SIGONELLA</t>
        </is>
      </c>
      <c r="G4455" t="inlineStr">
        <is>
          <t>E3L</t>
        </is>
      </c>
      <c r="H4455" t="inlineStr">
        <is>
          <t>BYPASS</t>
        </is>
      </c>
      <c r="J4455" t="inlineStr">
        <is>
          <t>JAWORSKI</t>
        </is>
      </c>
      <c r="K4455" t="inlineStr">
        <is>
          <t>CUIVRE</t>
        </is>
      </c>
      <c r="L4455">
        <f>_xlfn.XLOOKUP(Tableau1[[#This Row],[TYPE DE PIECE]],Tableau4[MATIERE],Tableau4[SHORT TYPE],"",0,1)</f>
        <v/>
      </c>
      <c r="N4455">
        <f>IF(ISERR(FIND("DECOUPE",Tableau1[[#This Row],[DESIGNATION]])),"","NEED REF")</f>
        <v/>
      </c>
    </row>
    <row r="4456">
      <c r="B4456" t="n">
        <v>34409550</v>
      </c>
      <c r="C4456" s="2" t="n">
        <v>44348</v>
      </c>
      <c r="D4456" t="inlineStr">
        <is>
          <t>SPEC</t>
        </is>
      </c>
      <c r="E4456" t="inlineStr">
        <is>
          <t>COP RACC_L1 - LGYE 2000A</t>
        </is>
      </c>
      <c r="F4456" t="inlineStr">
        <is>
          <t>NSPA SIGONELLA</t>
        </is>
      </c>
      <c r="G4456" t="inlineStr">
        <is>
          <t>E3L</t>
        </is>
      </c>
      <c r="H4456" t="inlineStr">
        <is>
          <t>BYPASS</t>
        </is>
      </c>
      <c r="J4456" t="inlineStr">
        <is>
          <t>JAWORSKI</t>
        </is>
      </c>
      <c r="K4456" t="inlineStr">
        <is>
          <t>CUIVRE</t>
        </is>
      </c>
      <c r="L4456">
        <f>_xlfn.XLOOKUP(Tableau1[[#This Row],[TYPE DE PIECE]],Tableau4[MATIERE],Tableau4[SHORT TYPE],"",0,1)</f>
        <v/>
      </c>
      <c r="N4456">
        <f>IF(ISERR(FIND("DECOUPE",Tableau1[[#This Row],[DESIGNATION]])),"","NEED REF")</f>
        <v/>
      </c>
    </row>
    <row r="4457">
      <c r="B4457" t="n">
        <v>34409549</v>
      </c>
      <c r="C4457" s="2" t="n">
        <v>44348</v>
      </c>
      <c r="D4457" t="inlineStr">
        <is>
          <t>SPEC</t>
        </is>
      </c>
      <c r="E4457" t="inlineStr">
        <is>
          <t>COP RACC_N - LGYE 2000A</t>
        </is>
      </c>
      <c r="F4457" t="inlineStr">
        <is>
          <t>NSPA SIGONELLA</t>
        </is>
      </c>
      <c r="G4457" t="inlineStr">
        <is>
          <t>E3L</t>
        </is>
      </c>
      <c r="H4457" t="inlineStr">
        <is>
          <t>BYPASS</t>
        </is>
      </c>
      <c r="J4457" t="inlineStr">
        <is>
          <t>JAWORSKI</t>
        </is>
      </c>
      <c r="K4457" t="inlineStr">
        <is>
          <t>CUIVRE</t>
        </is>
      </c>
      <c r="L4457">
        <f>_xlfn.XLOOKUP(Tableau1[[#This Row],[TYPE DE PIECE]],Tableau4[MATIERE],Tableau4[SHORT TYPE],"",0,1)</f>
        <v/>
      </c>
      <c r="N4457">
        <f>IF(ISERR(FIND("DECOUPE",Tableau1[[#This Row],[DESIGNATION]])),"","NEED REF")</f>
        <v/>
      </c>
    </row>
    <row r="4458">
      <c r="B4458" t="n">
        <v>34409548</v>
      </c>
      <c r="C4458" s="2" t="n">
        <v>44348</v>
      </c>
      <c r="D4458" t="inlineStr">
        <is>
          <t>SPEC</t>
        </is>
      </c>
      <c r="E4458" t="inlineStr">
        <is>
          <t>COP CX MTZ2 - LGYE 2000A</t>
        </is>
      </c>
      <c r="F4458" t="inlineStr">
        <is>
          <t>NSPA SIGONELLA</t>
        </is>
      </c>
      <c r="G4458" t="inlineStr">
        <is>
          <t>E3L</t>
        </is>
      </c>
      <c r="H4458" t="inlineStr">
        <is>
          <t>BYPASS</t>
        </is>
      </c>
      <c r="J4458" t="inlineStr">
        <is>
          <t>JAWORSKI</t>
        </is>
      </c>
      <c r="K4458" t="inlineStr">
        <is>
          <t>CUIVRE</t>
        </is>
      </c>
      <c r="L4458">
        <f>_xlfn.XLOOKUP(Tableau1[[#This Row],[TYPE DE PIECE]],Tableau4[MATIERE],Tableau4[SHORT TYPE],"",0,1)</f>
        <v/>
      </c>
      <c r="N4458">
        <f>IF(ISERR(FIND("DECOUPE",Tableau1[[#This Row],[DESIGNATION]])),"","NEED REF")</f>
        <v/>
      </c>
    </row>
    <row r="4459">
      <c r="B4459" t="n">
        <v>34409547</v>
      </c>
      <c r="C4459" s="2" t="n">
        <v>44348</v>
      </c>
      <c r="D4459" t="inlineStr">
        <is>
          <t>SPEC</t>
        </is>
      </c>
      <c r="E4459" t="inlineStr">
        <is>
          <t>PLA BRIDE CX 2*UOB</t>
        </is>
      </c>
      <c r="F4459" t="inlineStr">
        <is>
          <t>NSPA SIGONELLA</t>
        </is>
      </c>
      <c r="G4459" t="inlineStr">
        <is>
          <t>E3L</t>
        </is>
      </c>
      <c r="H4459" t="inlineStr">
        <is>
          <t>BYPASS</t>
        </is>
      </c>
      <c r="J4459" t="inlineStr">
        <is>
          <t>JAWORSKI</t>
        </is>
      </c>
      <c r="K4459" t="inlineStr">
        <is>
          <t>PLASTIQUE</t>
        </is>
      </c>
      <c r="L4459">
        <f>_xlfn.XLOOKUP(Tableau1[[#This Row],[TYPE DE PIECE]],Tableau4[MATIERE],Tableau4[SHORT TYPE],"",0,1)</f>
        <v/>
      </c>
      <c r="N4459">
        <f>IF(ISERR(FIND("DECOUPE",Tableau1[[#This Row],[DESIGNATION]])),"","NEED REF")</f>
        <v/>
      </c>
    </row>
    <row r="4460">
      <c r="B4460" t="n">
        <v>34409546</v>
      </c>
      <c r="C4460" s="2" t="n">
        <v>44348</v>
      </c>
      <c r="D4460" t="inlineStr">
        <is>
          <t>SPEC</t>
        </is>
      </c>
      <c r="E4460" t="inlineStr">
        <is>
          <t>SMT DECOUPE LINERGY 04565 (2000A) 750MM</t>
        </is>
      </c>
      <c r="F4460" t="inlineStr">
        <is>
          <t>NSPA SIGONELLA</t>
        </is>
      </c>
      <c r="G4460" t="inlineStr">
        <is>
          <t>E3L</t>
        </is>
      </c>
      <c r="H4460" t="inlineStr">
        <is>
          <t>BYPASS</t>
        </is>
      </c>
      <c r="J4460" t="inlineStr">
        <is>
          <t>JAWORSKI</t>
        </is>
      </c>
      <c r="K4460" t="inlineStr">
        <is>
          <t>METAL</t>
        </is>
      </c>
      <c r="L4460">
        <f>_xlfn.XLOOKUP(Tableau1[[#This Row],[TYPE DE PIECE]],Tableau4[MATIERE],Tableau4[SHORT TYPE],"",0,1)</f>
        <v/>
      </c>
      <c r="N4460" t="inlineStr">
        <is>
          <t>LVS04565</t>
        </is>
      </c>
    </row>
    <row r="4461">
      <c r="B4461" t="n">
        <v>34409545</v>
      </c>
      <c r="C4461" s="2" t="n">
        <v>44348</v>
      </c>
      <c r="D4461" t="inlineStr">
        <is>
          <t>SPEC</t>
        </is>
      </c>
      <c r="E4461" t="inlineStr">
        <is>
          <t>RAIL DIN NSYSDR200B lg 180</t>
        </is>
      </c>
      <c r="F4461" t="inlineStr">
        <is>
          <t>BF 580A</t>
        </is>
      </c>
      <c r="G4461" t="inlineStr">
        <is>
          <t>E3M</t>
        </is>
      </c>
      <c r="H4461" t="inlineStr">
        <is>
          <t>BACKFEED</t>
        </is>
      </c>
      <c r="J4461" t="inlineStr">
        <is>
          <t>BERNARDEAU</t>
        </is>
      </c>
      <c r="K4461" t="inlineStr">
        <is>
          <t>METAL</t>
        </is>
      </c>
      <c r="L4461">
        <f>_xlfn.XLOOKUP(Tableau1[[#This Row],[TYPE DE PIECE]],Tableau4[MATIERE],Tableau4[SHORT TYPE],"",0,1)</f>
        <v/>
      </c>
      <c r="N4461">
        <f>IF(ISERR(FIND("DECOUPE",Tableau1[[#This Row],[DESIGNATION]])),"","NEED REF")</f>
        <v/>
      </c>
    </row>
    <row r="4462">
      <c r="B4462" t="n">
        <v>34409544</v>
      </c>
      <c r="C4462" s="2" t="n">
        <v>44342</v>
      </c>
      <c r="D4462" t="inlineStr">
        <is>
          <t>SPEC</t>
        </is>
      </c>
      <c r="E4462" t="inlineStr">
        <is>
          <t>GOULOTTE AK2GD3750 + COUVERCLE AK2CD37 LG 700</t>
        </is>
      </c>
      <c r="H4462" t="inlineStr">
        <is>
          <t>REGEN</t>
        </is>
      </c>
      <c r="J4462" t="inlineStr">
        <is>
          <t>BERNARDEAU</t>
        </is>
      </c>
      <c r="K4462" t="inlineStr">
        <is>
          <t>PLASTIQUE</t>
        </is>
      </c>
      <c r="L4462">
        <f>_xlfn.XLOOKUP(Tableau1[[#This Row],[TYPE DE PIECE]],Tableau4[MATIERE],Tableau4[SHORT TYPE],"",0,1)</f>
        <v/>
      </c>
      <c r="N4462">
        <f>IF(ISERR(FIND("DECOUPE",Tableau1[[#This Row],[DESIGNATION]])),"","NEED REF")</f>
        <v/>
      </c>
    </row>
    <row r="4463">
      <c r="B4463" t="n">
        <v>34409543</v>
      </c>
      <c r="C4463" s="2" t="n">
        <v>44342</v>
      </c>
      <c r="D4463" t="inlineStr">
        <is>
          <t>SPEC</t>
        </is>
      </c>
      <c r="E4463" t="inlineStr">
        <is>
          <t>GOULOTTE AK2GD3750 + COUVERCLE AK2CD37 LG 670</t>
        </is>
      </c>
      <c r="H4463" t="inlineStr">
        <is>
          <t>REGEN</t>
        </is>
      </c>
      <c r="J4463" t="inlineStr">
        <is>
          <t>BERNARDEAU</t>
        </is>
      </c>
      <c r="K4463" t="inlineStr">
        <is>
          <t>PLASTIQUE</t>
        </is>
      </c>
      <c r="L4463">
        <f>_xlfn.XLOOKUP(Tableau1[[#This Row],[TYPE DE PIECE]],Tableau4[MATIERE],Tableau4[SHORT TYPE],"",0,1)</f>
        <v/>
      </c>
      <c r="N4463">
        <f>IF(ISERR(FIND("DECOUPE",Tableau1[[#This Row],[DESIGNATION]])),"","NEED REF")</f>
        <v/>
      </c>
    </row>
    <row r="4464">
      <c r="B4464" t="n">
        <v>34409542</v>
      </c>
      <c r="C4464" s="2" t="n">
        <v>44342</v>
      </c>
      <c r="D4464" t="inlineStr">
        <is>
          <t>SPEC</t>
        </is>
      </c>
      <c r="E4464" t="inlineStr">
        <is>
          <t>GOULOTTE AK2GD3750 + COUVERCLE AK2CD37 LG 635</t>
        </is>
      </c>
      <c r="H4464" t="inlineStr">
        <is>
          <t>REGEN</t>
        </is>
      </c>
      <c r="J4464" t="inlineStr">
        <is>
          <t>BERNARDEAU</t>
        </is>
      </c>
      <c r="K4464" t="inlineStr">
        <is>
          <t>PLASTIQUE</t>
        </is>
      </c>
      <c r="L4464">
        <f>_xlfn.XLOOKUP(Tableau1[[#This Row],[TYPE DE PIECE]],Tableau4[MATIERE],Tableau4[SHORT TYPE],"",0,1)</f>
        <v/>
      </c>
      <c r="N4464">
        <f>IF(ISERR(FIND("DECOUPE",Tableau1[[#This Row],[DESIGNATION]])),"","NEED REF")</f>
        <v/>
      </c>
    </row>
    <row r="4465">
      <c r="B4465" t="n">
        <v>34409541</v>
      </c>
      <c r="C4465" s="2" t="n">
        <v>44342</v>
      </c>
      <c r="D4465" t="inlineStr">
        <is>
          <t>SPEC</t>
        </is>
      </c>
      <c r="E4465" t="inlineStr">
        <is>
          <t>GOULOTTE AK2GD3750 + COUVERCLE AK2CD37 LG 470</t>
        </is>
      </c>
      <c r="H4465" t="inlineStr">
        <is>
          <t>REGEN</t>
        </is>
      </c>
      <c r="J4465" t="inlineStr">
        <is>
          <t>BERNARDEAU</t>
        </is>
      </c>
      <c r="K4465" t="inlineStr">
        <is>
          <t>PLASTIQUE</t>
        </is>
      </c>
      <c r="L4465">
        <f>_xlfn.XLOOKUP(Tableau1[[#This Row],[TYPE DE PIECE]],Tableau4[MATIERE],Tableau4[SHORT TYPE],"",0,1)</f>
        <v/>
      </c>
      <c r="N4465">
        <f>IF(ISERR(FIND("DECOUPE",Tableau1[[#This Row],[DESIGNATION]])),"","NEED REF")</f>
        <v/>
      </c>
    </row>
    <row r="4466">
      <c r="B4466" t="n">
        <v>34409540</v>
      </c>
      <c r="C4466" s="2" t="n">
        <v>44342</v>
      </c>
      <c r="D4466" t="inlineStr">
        <is>
          <t>SPEC</t>
        </is>
      </c>
      <c r="E4466" t="inlineStr">
        <is>
          <t>GOULOTTE AK2GD3750 + COUVERCLE AK2CD37 LG 355</t>
        </is>
      </c>
      <c r="H4466" t="inlineStr">
        <is>
          <t>REGEN</t>
        </is>
      </c>
      <c r="J4466" t="inlineStr">
        <is>
          <t>BERNARDEAU</t>
        </is>
      </c>
      <c r="K4466" t="inlineStr">
        <is>
          <t>PLASTIQUE</t>
        </is>
      </c>
      <c r="L4466">
        <f>_xlfn.XLOOKUP(Tableau1[[#This Row],[TYPE DE PIECE]],Tableau4[MATIERE],Tableau4[SHORT TYPE],"",0,1)</f>
        <v/>
      </c>
      <c r="N4466">
        <f>IF(ISERR(FIND("DECOUPE",Tableau1[[#This Row],[DESIGNATION]])),"","NEED REF")</f>
        <v/>
      </c>
    </row>
    <row r="4467">
      <c r="B4467" t="n">
        <v>34409539</v>
      </c>
      <c r="C4467" s="2" t="n">
        <v>44341</v>
      </c>
      <c r="D4467" t="inlineStr">
        <is>
          <t>SPEC</t>
        </is>
      </c>
      <c r="E4467" t="inlineStr">
        <is>
          <t>SMT COFFRET 800x800x300 DECOUPE</t>
        </is>
      </c>
      <c r="H4467" t="inlineStr">
        <is>
          <t>REGEN</t>
        </is>
      </c>
      <c r="J4467" t="inlineStr">
        <is>
          <t>JAWORSKI</t>
        </is>
      </c>
      <c r="K4467" t="inlineStr">
        <is>
          <t>METAL</t>
        </is>
      </c>
      <c r="L4467">
        <f>_xlfn.XLOOKUP(Tableau1[[#This Row],[TYPE DE PIECE]],Tableau4[MATIERE],Tableau4[SHORT TYPE],"",0,1)</f>
        <v/>
      </c>
      <c r="N4467">
        <f>IF(ISERR(FIND("DECOUPE",Tableau1[[#This Row],[DESIGNATION]])),"","NEED REF")</f>
        <v/>
      </c>
    </row>
    <row r="4468">
      <c r="B4468" t="n">
        <v>34409538</v>
      </c>
      <c r="C4468" s="2" t="n">
        <v>44337</v>
      </c>
      <c r="D4468" t="inlineStr">
        <is>
          <t>SPEC</t>
        </is>
      </c>
      <c r="E4468" t="inlineStr">
        <is>
          <t>MTZ2 2000A H2 4P u5,0 + Prises Vertical</t>
        </is>
      </c>
      <c r="G4468" t="inlineStr">
        <is>
          <t>GVL-E3L</t>
        </is>
      </c>
      <c r="H4468" t="inlineStr">
        <is>
          <t>BYPASS</t>
        </is>
      </c>
      <c r="J4468" t="inlineStr">
        <is>
          <t>MATRION</t>
        </is>
      </c>
      <c r="K4468" t="inlineStr">
        <is>
          <t>=S=</t>
        </is>
      </c>
      <c r="L4468">
        <f>_xlfn.XLOOKUP(Tableau1[[#This Row],[TYPE DE PIECE]],Tableau4[MATIERE],Tableau4[SHORT TYPE],"",0,1)</f>
        <v/>
      </c>
      <c r="N4468">
        <f>IF(ISERR(FIND("DECOUPE",Tableau1[[#This Row],[DESIGNATION]])),"","NEED REF")</f>
        <v/>
      </c>
    </row>
    <row r="4469">
      <c r="B4469" t="n">
        <v>34409537</v>
      </c>
      <c r="C4469" s="2" t="n">
        <v>44337</v>
      </c>
      <c r="D4469" t="inlineStr">
        <is>
          <t>SPEC</t>
        </is>
      </c>
      <c r="E4469" t="inlineStr">
        <is>
          <t>NS1000NA 4P + Prises + OF</t>
        </is>
      </c>
      <c r="G4469" t="inlineStr">
        <is>
          <t>GVL-E3L</t>
        </is>
      </c>
      <c r="H4469" t="inlineStr">
        <is>
          <t>BYPASS</t>
        </is>
      </c>
      <c r="J4469" t="inlineStr">
        <is>
          <t>MATRION</t>
        </is>
      </c>
      <c r="K4469" t="inlineStr">
        <is>
          <t>=S=</t>
        </is>
      </c>
      <c r="L4469">
        <f>_xlfn.XLOOKUP(Tableau1[[#This Row],[TYPE DE PIECE]],Tableau4[MATIERE],Tableau4[SHORT TYPE],"",0,1)</f>
        <v/>
      </c>
      <c r="N4469">
        <f>IF(ISERR(FIND("DECOUPE",Tableau1[[#This Row],[DESIGNATION]])),"","NEED REF")</f>
        <v/>
      </c>
    </row>
    <row r="4470">
      <c r="B4470" t="n">
        <v>34409536</v>
      </c>
      <c r="C4470" s="2" t="n">
        <v>44337</v>
      </c>
      <c r="D4470" t="inlineStr">
        <is>
          <t>SPEC</t>
        </is>
      </c>
      <c r="E4470" t="inlineStr">
        <is>
          <t>NS1250 4P u2,0 + Prises + OF</t>
        </is>
      </c>
      <c r="G4470" t="inlineStr">
        <is>
          <t>GVL-E3L</t>
        </is>
      </c>
      <c r="H4470" t="inlineStr">
        <is>
          <t>BYPASS</t>
        </is>
      </c>
      <c r="J4470" t="inlineStr">
        <is>
          <t>MATRION</t>
        </is>
      </c>
      <c r="K4470" t="inlineStr">
        <is>
          <t>=S=</t>
        </is>
      </c>
      <c r="L4470">
        <f>_xlfn.XLOOKUP(Tableau1[[#This Row],[TYPE DE PIECE]],Tableau4[MATIERE],Tableau4[SHORT TYPE],"",0,1)</f>
        <v/>
      </c>
      <c r="N4470">
        <f>IF(ISERR(FIND("DECOUPE",Tableau1[[#This Row],[DESIGNATION]])),"","NEED REF")</f>
        <v/>
      </c>
    </row>
    <row r="4471">
      <c r="B4471" t="n">
        <v>34409535</v>
      </c>
      <c r="C4471" s="2" t="n">
        <v>44337</v>
      </c>
      <c r="D4471" t="inlineStr">
        <is>
          <t>SPEC</t>
        </is>
      </c>
      <c r="E4471" t="inlineStr">
        <is>
          <t>PLA PROTECTION OUTPUT</t>
        </is>
      </c>
      <c r="G4471" t="inlineStr">
        <is>
          <t>GVX</t>
        </is>
      </c>
      <c r="H4471" t="inlineStr">
        <is>
          <t>IO</t>
        </is>
      </c>
      <c r="J4471" t="inlineStr">
        <is>
          <t>MATRION</t>
        </is>
      </c>
      <c r="K4471" t="inlineStr">
        <is>
          <t>PLASTIQUE</t>
        </is>
      </c>
      <c r="L4471">
        <f>_xlfn.XLOOKUP(Tableau1[[#This Row],[TYPE DE PIECE]],Tableau4[MATIERE],Tableau4[SHORT TYPE],"",0,1)</f>
        <v/>
      </c>
      <c r="N4471">
        <f>IF(ISERR(FIND("DECOUPE",Tableau1[[#This Row],[DESIGNATION]])),"","NEED REF")</f>
        <v/>
      </c>
    </row>
    <row r="4472">
      <c r="B4472" t="n">
        <v>34409534</v>
      </c>
      <c r="C4472" s="2" t="n">
        <v>44336</v>
      </c>
      <c r="D4472" t="inlineStr">
        <is>
          <t>SPEC</t>
        </is>
      </c>
      <c r="E4472" t="inlineStr">
        <is>
          <t>COP INTERCO LEGRAND 2</t>
        </is>
      </c>
      <c r="G4472" t="inlineStr">
        <is>
          <t>GVX</t>
        </is>
      </c>
      <c r="H4472" t="inlineStr">
        <is>
          <t>IO</t>
        </is>
      </c>
      <c r="J4472" t="inlineStr">
        <is>
          <t>MATRION</t>
        </is>
      </c>
      <c r="K4472" t="inlineStr">
        <is>
          <t>CUIVRE</t>
        </is>
      </c>
      <c r="L4472">
        <f>_xlfn.XLOOKUP(Tableau1[[#This Row],[TYPE DE PIECE]],Tableau4[MATIERE],Tableau4[SHORT TYPE],"",0,1)</f>
        <v/>
      </c>
      <c r="N4472">
        <f>IF(ISERR(FIND("DECOUPE",Tableau1[[#This Row],[DESIGNATION]])),"","NEED REF")</f>
        <v/>
      </c>
    </row>
    <row r="4473">
      <c r="B4473" t="n">
        <v>34409533</v>
      </c>
      <c r="C4473" s="2" t="n">
        <v>44336</v>
      </c>
      <c r="D4473" t="inlineStr">
        <is>
          <t>SPEC</t>
        </is>
      </c>
      <c r="E4473" t="inlineStr">
        <is>
          <t>COP INTERCO LEGRAND 1</t>
        </is>
      </c>
      <c r="G4473" t="inlineStr">
        <is>
          <t>GVX</t>
        </is>
      </c>
      <c r="H4473" t="inlineStr">
        <is>
          <t>IO</t>
        </is>
      </c>
      <c r="J4473" t="inlineStr">
        <is>
          <t>MATRION</t>
        </is>
      </c>
      <c r="K4473" t="inlineStr">
        <is>
          <t>CUIVRE</t>
        </is>
      </c>
      <c r="L4473">
        <f>_xlfn.XLOOKUP(Tableau1[[#This Row],[TYPE DE PIECE]],Tableau4[MATIERE],Tableau4[SHORT TYPE],"",0,1)</f>
        <v/>
      </c>
      <c r="N4473">
        <f>IF(ISERR(FIND("DECOUPE",Tableau1[[#This Row],[DESIGNATION]])),"","NEED REF")</f>
        <v/>
      </c>
    </row>
    <row r="4474">
      <c r="B4474" t="n">
        <v>34409532</v>
      </c>
      <c r="C4474" s="2" t="n">
        <v>44336</v>
      </c>
      <c r="D4474" t="inlineStr">
        <is>
          <t>SPEC</t>
        </is>
      </c>
      <c r="E4474" t="inlineStr">
        <is>
          <t>SUPPORT JEU DE BARRES</t>
        </is>
      </c>
      <c r="G4474" t="inlineStr">
        <is>
          <t>E3L</t>
        </is>
      </c>
      <c r="H4474" t="inlineStr">
        <is>
          <t>BYPASS</t>
        </is>
      </c>
      <c r="J4474" t="inlineStr">
        <is>
          <t>MASCELLINO</t>
        </is>
      </c>
      <c r="K4474" t="inlineStr">
        <is>
          <t>PLASTIQUE</t>
        </is>
      </c>
      <c r="L4474">
        <f>_xlfn.XLOOKUP(Tableau1[[#This Row],[TYPE DE PIECE]],Tableau4[MATIERE],Tableau4[SHORT TYPE],"",0,1)</f>
        <v/>
      </c>
      <c r="N4474">
        <f>IF(ISERR(FIND("DECOUPE",Tableau1[[#This Row],[DESIGNATION]])),"","NEED REF")</f>
        <v/>
      </c>
    </row>
    <row r="4475">
      <c r="B4475" t="n">
        <v>34409531</v>
      </c>
      <c r="C4475" s="2" t="n">
        <v>44336</v>
      </c>
      <c r="D4475" t="inlineStr">
        <is>
          <t>SPEC</t>
        </is>
      </c>
      <c r="E4475" t="inlineStr">
        <is>
          <t>SMT SUPPORT ISOLATION INPUT 2</t>
        </is>
      </c>
      <c r="G4475" t="inlineStr">
        <is>
          <t>GVX</t>
        </is>
      </c>
      <c r="H4475" t="inlineStr">
        <is>
          <t>IO</t>
        </is>
      </c>
      <c r="J4475" t="inlineStr">
        <is>
          <t>MATRION</t>
        </is>
      </c>
      <c r="L4475">
        <f>_xlfn.XLOOKUP(Tableau1[[#This Row],[TYPE DE PIECE]],Tableau4[MATIERE],Tableau4[SHORT TYPE],"",0,1)</f>
        <v/>
      </c>
      <c r="N4475">
        <f>IF(ISERR(FIND("DECOUPE",Tableau1[[#This Row],[DESIGNATION]])),"","NEED REF")</f>
        <v/>
      </c>
    </row>
    <row r="4476">
      <c r="B4476" t="n">
        <v>34409530</v>
      </c>
      <c r="C4476" s="2" t="n">
        <v>44336</v>
      </c>
      <c r="D4476" t="inlineStr">
        <is>
          <t>SPEC</t>
        </is>
      </c>
      <c r="E4476" t="inlineStr">
        <is>
          <t>SMT SUPPORT ISOLATION INPUT 1</t>
        </is>
      </c>
      <c r="G4476" t="inlineStr">
        <is>
          <t>GVX</t>
        </is>
      </c>
      <c r="H4476" t="inlineStr">
        <is>
          <t>IO</t>
        </is>
      </c>
      <c r="J4476" t="inlineStr">
        <is>
          <t>MATRION</t>
        </is>
      </c>
      <c r="L4476">
        <f>_xlfn.XLOOKUP(Tableau1[[#This Row],[TYPE DE PIECE]],Tableau4[MATIERE],Tableau4[SHORT TYPE],"",0,1)</f>
        <v/>
      </c>
      <c r="N4476">
        <f>IF(ISERR(FIND("DECOUPE",Tableau1[[#This Row],[DESIGNATION]])),"","NEED REF")</f>
        <v/>
      </c>
    </row>
    <row r="4477">
      <c r="B4477" t="n">
        <v>34409529</v>
      </c>
      <c r="C4477" s="2" t="n">
        <v>44335</v>
      </c>
      <c r="D4477" t="inlineStr">
        <is>
          <t>SPEC</t>
        </is>
      </c>
      <c r="E4477" t="inlineStr">
        <is>
          <t>EQUERRE SUPPORT CUIVRE</t>
        </is>
      </c>
      <c r="G4477" t="inlineStr">
        <is>
          <t>E3L</t>
        </is>
      </c>
      <c r="H4477" t="inlineStr">
        <is>
          <t>BYPASS</t>
        </is>
      </c>
      <c r="J4477" t="inlineStr">
        <is>
          <t>MASCELLINO</t>
        </is>
      </c>
      <c r="K4477" t="inlineStr">
        <is>
          <t>METAL</t>
        </is>
      </c>
      <c r="L4477">
        <f>_xlfn.XLOOKUP(Tableau1[[#This Row],[TYPE DE PIECE]],Tableau4[MATIERE],Tableau4[SHORT TYPE],"",0,1)</f>
        <v/>
      </c>
      <c r="N4477">
        <f>IF(ISERR(FIND("DECOUPE",Tableau1[[#This Row],[DESIGNATION]])),"","NEED REF")</f>
        <v/>
      </c>
    </row>
    <row r="4478">
      <c r="B4478" t="n">
        <v>34409528</v>
      </c>
      <c r="C4478" s="2" t="n">
        <v>44335</v>
      </c>
      <c r="D4478" t="inlineStr">
        <is>
          <t>SPEC</t>
        </is>
      </c>
      <c r="E4478" t="inlineStr">
        <is>
          <t>TRAVERSE SUPPORT GP03</t>
        </is>
      </c>
      <c r="G4478" t="inlineStr">
        <is>
          <t>E3L</t>
        </is>
      </c>
      <c r="H4478" t="inlineStr">
        <is>
          <t>BYPASS</t>
        </is>
      </c>
      <c r="J4478" t="inlineStr">
        <is>
          <t>MASCELLINO</t>
        </is>
      </c>
      <c r="K4478" t="inlineStr">
        <is>
          <t>METAL</t>
        </is>
      </c>
      <c r="L4478">
        <f>_xlfn.XLOOKUP(Tableau1[[#This Row],[TYPE DE PIECE]],Tableau4[MATIERE],Tableau4[SHORT TYPE],"",0,1)</f>
        <v/>
      </c>
      <c r="N4478">
        <f>IF(ISERR(FIND("DECOUPE",Tableau1[[#This Row],[DESIGNATION]])),"","NEED REF")</f>
        <v/>
      </c>
    </row>
    <row r="4479">
      <c r="B4479" t="n">
        <v>34409527</v>
      </c>
      <c r="C4479" s="2" t="n">
        <v>44335</v>
      </c>
      <c r="D4479" t="inlineStr">
        <is>
          <t>SPEC</t>
        </is>
      </c>
      <c r="E4479" t="inlineStr">
        <is>
          <t>PLA BRIDE CX</t>
        </is>
      </c>
      <c r="G4479" t="inlineStr">
        <is>
          <t>E3L</t>
        </is>
      </c>
      <c r="H4479" t="inlineStr">
        <is>
          <t>BYPASS</t>
        </is>
      </c>
      <c r="J4479" t="inlineStr">
        <is>
          <t>MASCELLINO</t>
        </is>
      </c>
      <c r="K4479" t="inlineStr">
        <is>
          <t>PLASTIQUE</t>
        </is>
      </c>
      <c r="L4479">
        <f>_xlfn.XLOOKUP(Tableau1[[#This Row],[TYPE DE PIECE]],Tableau4[MATIERE],Tableau4[SHORT TYPE],"",0,1)</f>
        <v/>
      </c>
      <c r="N4479">
        <f>IF(ISERR(FIND("DECOUPE",Tableau1[[#This Row],[DESIGNATION]])),"","NEED REF")</f>
        <v/>
      </c>
    </row>
    <row r="4480">
      <c r="B4480" t="n">
        <v>34409526</v>
      </c>
      <c r="C4480" s="2" t="n"/>
      <c r="L4480">
        <f>_xlfn.XLOOKUP(Tableau1[[#This Row],[TYPE DE PIECE]],Tableau4[MATIERE],Tableau4[SHORT TYPE],"",0,1)</f>
        <v/>
      </c>
      <c r="N4480">
        <f>IF(ISERR(FIND("DECOUPE",Tableau1[[#This Row],[DESIGNATION]])),"","NEED REF")</f>
        <v/>
      </c>
    </row>
    <row r="4481">
      <c r="B4481" t="n">
        <v>34409525</v>
      </c>
      <c r="C4481" s="2" t="n"/>
      <c r="L4481">
        <f>_xlfn.XLOOKUP(Tableau1[[#This Row],[TYPE DE PIECE]],Tableau4[MATIERE],Tableau4[SHORT TYPE],"",0,1)</f>
        <v/>
      </c>
      <c r="N4481">
        <f>IF(ISERR(FIND("DECOUPE",Tableau1[[#This Row],[DESIGNATION]])),"","NEED REF")</f>
        <v/>
      </c>
    </row>
    <row r="4482">
      <c r="B4482" t="n">
        <v>34409524</v>
      </c>
      <c r="C4482" s="2" t="n"/>
      <c r="L4482">
        <f>_xlfn.XLOOKUP(Tableau1[[#This Row],[TYPE DE PIECE]],Tableau4[MATIERE],Tableau4[SHORT TYPE],"",0,1)</f>
        <v/>
      </c>
      <c r="N4482">
        <f>IF(ISERR(FIND("DECOUPE",Tableau1[[#This Row],[DESIGNATION]])),"","NEED REF")</f>
        <v/>
      </c>
    </row>
    <row r="4483">
      <c r="B4483" t="n">
        <v>34409523</v>
      </c>
      <c r="C4483" s="2" t="n"/>
      <c r="L4483">
        <f>_xlfn.XLOOKUP(Tableau1[[#This Row],[TYPE DE PIECE]],Tableau4[MATIERE],Tableau4[SHORT TYPE],"",0,1)</f>
        <v/>
      </c>
      <c r="N4483">
        <f>IF(ISERR(FIND("DECOUPE",Tableau1[[#This Row],[DESIGNATION]])),"","NEED REF")</f>
        <v/>
      </c>
    </row>
    <row r="4484">
      <c r="B4484" t="n">
        <v>34409522</v>
      </c>
      <c r="C4484" s="2" t="n"/>
      <c r="L4484">
        <f>_xlfn.XLOOKUP(Tableau1[[#This Row],[TYPE DE PIECE]],Tableau4[MATIERE],Tableau4[SHORT TYPE],"",0,1)</f>
        <v/>
      </c>
      <c r="N4484">
        <f>IF(ISERR(FIND("DECOUPE",Tableau1[[#This Row],[DESIGNATION]])),"","NEED REF")</f>
        <v/>
      </c>
    </row>
    <row r="4485">
      <c r="B4485" t="n">
        <v>34409521</v>
      </c>
      <c r="C4485" s="2" t="n"/>
      <c r="L4485">
        <f>_xlfn.XLOOKUP(Tableau1[[#This Row],[TYPE DE PIECE]],Tableau4[MATIERE],Tableau4[SHORT TYPE],"",0,1)</f>
        <v/>
      </c>
      <c r="N4485">
        <f>IF(ISERR(FIND("DECOUPE",Tableau1[[#This Row],[DESIGNATION]])),"","NEED REF")</f>
        <v/>
      </c>
    </row>
    <row r="4486">
      <c r="B4486" t="n">
        <v>34409520</v>
      </c>
      <c r="C4486" s="2" t="n">
        <v>44332</v>
      </c>
      <c r="D4486" t="inlineStr">
        <is>
          <t>SPEC</t>
        </is>
      </c>
      <c r="E4486" t="inlineStr">
        <is>
          <t>SMT PLASTRON IP20 BF 580A</t>
        </is>
      </c>
      <c r="F4486" t="inlineStr">
        <is>
          <t>BF 580A</t>
        </is>
      </c>
      <c r="G4486" t="inlineStr">
        <is>
          <t>E3M</t>
        </is>
      </c>
      <c r="H4486" t="inlineStr">
        <is>
          <t>BACKFEED</t>
        </is>
      </c>
      <c r="J4486" t="inlineStr">
        <is>
          <t>ÇAKIR</t>
        </is>
      </c>
      <c r="K4486" t="inlineStr">
        <is>
          <t>METAL</t>
        </is>
      </c>
      <c r="L4486">
        <f>_xlfn.XLOOKUP(Tableau1[[#This Row],[TYPE DE PIECE]],Tableau4[MATIERE],Tableau4[SHORT TYPE],"",0,1)</f>
        <v/>
      </c>
      <c r="N4486">
        <f>IF(ISERR(FIND("DECOUPE",Tableau1[[#This Row],[DESIGNATION]])),"","NEED REF")</f>
        <v/>
      </c>
    </row>
    <row r="4487">
      <c r="B4487" t="n">
        <v>34409519</v>
      </c>
      <c r="C4487" s="2" t="n">
        <v>44333</v>
      </c>
      <c r="D4487" t="inlineStr">
        <is>
          <t>SPEC</t>
        </is>
      </c>
      <c r="E4487" t="inlineStr">
        <is>
          <t>SMT SUPPORT PLASTRON IP20 BF 580A</t>
        </is>
      </c>
      <c r="F4487" t="inlineStr">
        <is>
          <t>BF 580A</t>
        </is>
      </c>
      <c r="G4487" t="inlineStr">
        <is>
          <t>E3M</t>
        </is>
      </c>
      <c r="H4487" t="inlineStr">
        <is>
          <t>BACKFEED</t>
        </is>
      </c>
      <c r="J4487" t="inlineStr">
        <is>
          <t>ÇAKIR</t>
        </is>
      </c>
      <c r="K4487" t="inlineStr">
        <is>
          <t>METAL</t>
        </is>
      </c>
      <c r="L4487">
        <f>_xlfn.XLOOKUP(Tableau1[[#This Row],[TYPE DE PIECE]],Tableau4[MATIERE],Tableau4[SHORT TYPE],"",0,1)</f>
        <v/>
      </c>
      <c r="N4487">
        <f>IF(ISERR(FIND("DECOUPE",Tableau1[[#This Row],[DESIGNATION]])),"","NEED REF")</f>
        <v/>
      </c>
    </row>
    <row r="4488">
      <c r="B4488" t="n">
        <v>34409518</v>
      </c>
      <c r="C4488" s="2" t="n">
        <v>44334</v>
      </c>
      <c r="D4488" t="inlineStr">
        <is>
          <t>SPEC</t>
        </is>
      </c>
      <c r="E4488" t="inlineStr">
        <is>
          <t>SMT SUPPORT DJ BF 580A</t>
        </is>
      </c>
      <c r="F4488" t="inlineStr">
        <is>
          <t>BF 580A</t>
        </is>
      </c>
      <c r="G4488" t="inlineStr">
        <is>
          <t>E3M</t>
        </is>
      </c>
      <c r="H4488" t="inlineStr">
        <is>
          <t>BACKFEED</t>
        </is>
      </c>
      <c r="J4488" t="inlineStr">
        <is>
          <t>ÇAKIR</t>
        </is>
      </c>
      <c r="K4488" t="inlineStr">
        <is>
          <t>METAL</t>
        </is>
      </c>
      <c r="L4488">
        <f>_xlfn.XLOOKUP(Tableau1[[#This Row],[TYPE DE PIECE]],Tableau4[MATIERE],Tableau4[SHORT TYPE],"",0,1)</f>
        <v/>
      </c>
      <c r="N4488">
        <f>IF(ISERR(FIND("DECOUPE",Tableau1[[#This Row],[DESIGNATION]])),"","NEED REF")</f>
        <v/>
      </c>
    </row>
    <row r="4489">
      <c r="B4489" t="n">
        <v>34409517</v>
      </c>
      <c r="C4489" s="2" t="n">
        <v>44335</v>
      </c>
      <c r="D4489" t="inlineStr">
        <is>
          <t>SPEC</t>
        </is>
      </c>
      <c r="E4489" t="inlineStr">
        <is>
          <t>SMT PLATINE DE FOND BF 580A</t>
        </is>
      </c>
      <c r="F4489" t="inlineStr">
        <is>
          <t>BF 580A</t>
        </is>
      </c>
      <c r="G4489" t="inlineStr">
        <is>
          <t>E3M</t>
        </is>
      </c>
      <c r="H4489" t="inlineStr">
        <is>
          <t>BACKFEED</t>
        </is>
      </c>
      <c r="J4489" t="inlineStr">
        <is>
          <t>ÇAKIR</t>
        </is>
      </c>
      <c r="K4489" t="inlineStr">
        <is>
          <t>METAL</t>
        </is>
      </c>
      <c r="L4489">
        <f>_xlfn.XLOOKUP(Tableau1[[#This Row],[TYPE DE PIECE]],Tableau4[MATIERE],Tableau4[SHORT TYPE],"",0,1)</f>
        <v/>
      </c>
      <c r="N4489">
        <f>IF(ISERR(FIND("DECOUPE",Tableau1[[#This Row],[DESIGNATION]])),"","NEED REF")</f>
        <v/>
      </c>
    </row>
    <row r="4490">
      <c r="B4490" t="n">
        <v>34409516</v>
      </c>
      <c r="C4490" s="2" t="n">
        <v>44335</v>
      </c>
      <c r="D4490" t="inlineStr">
        <is>
          <t>SPEC</t>
        </is>
      </c>
      <c r="J4490" t="inlineStr">
        <is>
          <t>MATRION</t>
        </is>
      </c>
      <c r="L4490">
        <f>_xlfn.XLOOKUP(Tableau1[[#This Row],[TYPE DE PIECE]],Tableau4[MATIERE],Tableau4[SHORT TYPE],"",0,1)</f>
        <v/>
      </c>
      <c r="N4490">
        <f>IF(ISERR(FIND("DECOUPE",Tableau1[[#This Row],[DESIGNATION]])),"","NEED REF")</f>
        <v/>
      </c>
    </row>
    <row r="4491">
      <c r="B4491" t="n">
        <v>34409515</v>
      </c>
      <c r="C4491" s="2" t="n">
        <v>44335</v>
      </c>
      <c r="D4491" t="inlineStr">
        <is>
          <t>SPEC</t>
        </is>
      </c>
      <c r="J4491" t="inlineStr">
        <is>
          <t>MATRION</t>
        </is>
      </c>
      <c r="L4491">
        <f>_xlfn.XLOOKUP(Tableau1[[#This Row],[TYPE DE PIECE]],Tableau4[MATIERE],Tableau4[SHORT TYPE],"",0,1)</f>
        <v/>
      </c>
      <c r="N4491">
        <f>IF(ISERR(FIND("DECOUPE",Tableau1[[#This Row],[DESIGNATION]])),"","NEED REF")</f>
        <v/>
      </c>
    </row>
    <row r="4492">
      <c r="B4492" t="n">
        <v>34409514</v>
      </c>
      <c r="C4492" s="2" t="n">
        <v>44335</v>
      </c>
      <c r="D4492" t="inlineStr">
        <is>
          <t>SPEC</t>
        </is>
      </c>
      <c r="J4492" t="inlineStr">
        <is>
          <t>MATRION</t>
        </is>
      </c>
      <c r="L4492">
        <f>_xlfn.XLOOKUP(Tableau1[[#This Row],[TYPE DE PIECE]],Tableau4[MATIERE],Tableau4[SHORT TYPE],"",0,1)</f>
        <v/>
      </c>
      <c r="N4492">
        <f>IF(ISERR(FIND("DECOUPE",Tableau1[[#This Row],[DESIGNATION]])),"","NEED REF")</f>
        <v/>
      </c>
    </row>
    <row r="4493">
      <c r="B4493" t="n">
        <v>34409513</v>
      </c>
      <c r="C4493" s="2" t="n">
        <v>44334</v>
      </c>
      <c r="D4493" t="inlineStr">
        <is>
          <t>SPEC</t>
        </is>
      </c>
      <c r="E4493" t="inlineStr">
        <is>
          <t>SMT EQUERRE SUPPORT GP03</t>
        </is>
      </c>
      <c r="G4493" t="inlineStr">
        <is>
          <t>E3L</t>
        </is>
      </c>
      <c r="H4493" t="inlineStr">
        <is>
          <t>BYPASS</t>
        </is>
      </c>
      <c r="J4493" t="inlineStr">
        <is>
          <t>MASCELLINO</t>
        </is>
      </c>
      <c r="K4493" t="inlineStr">
        <is>
          <t>METAL</t>
        </is>
      </c>
      <c r="L4493">
        <f>_xlfn.XLOOKUP(Tableau1[[#This Row],[TYPE DE PIECE]],Tableau4[MATIERE],Tableau4[SHORT TYPE],"",0,1)</f>
        <v/>
      </c>
      <c r="N4493">
        <f>IF(ISERR(FIND("DECOUPE",Tableau1[[#This Row],[DESIGNATION]])),"","NEED REF")</f>
        <v/>
      </c>
    </row>
    <row r="4494">
      <c r="B4494" t="n">
        <v>34409512</v>
      </c>
      <c r="C4494" s="2" t="n">
        <v>44334</v>
      </c>
      <c r="D4494" t="inlineStr">
        <is>
          <t>SPEC</t>
        </is>
      </c>
      <c r="E4494" t="inlineStr">
        <is>
          <t>PLA SUPPORT LINERGY</t>
        </is>
      </c>
      <c r="G4494" t="inlineStr">
        <is>
          <t>GVX</t>
        </is>
      </c>
      <c r="H4494" t="inlineStr">
        <is>
          <t>IO</t>
        </is>
      </c>
      <c r="J4494" t="inlineStr">
        <is>
          <t>MATRION</t>
        </is>
      </c>
      <c r="K4494" t="inlineStr">
        <is>
          <t>PLASTIQUE</t>
        </is>
      </c>
      <c r="L4494">
        <f>_xlfn.XLOOKUP(Tableau1[[#This Row],[TYPE DE PIECE]],Tableau4[MATIERE],Tableau4[SHORT TYPE],"",0,1)</f>
        <v/>
      </c>
      <c r="N4494">
        <f>IF(ISERR(FIND("DECOUPE",Tableau1[[#This Row],[DESIGNATION]])),"","NEED REF")</f>
        <v/>
      </c>
    </row>
    <row r="4495">
      <c r="B4495" t="n">
        <v>34409511</v>
      </c>
      <c r="C4495" s="2" t="n">
        <v>44334</v>
      </c>
      <c r="D4495" t="inlineStr">
        <is>
          <t>SPEC</t>
        </is>
      </c>
      <c r="E4495" t="inlineStr">
        <is>
          <t>COP BARRE DE NEUTRE</t>
        </is>
      </c>
      <c r="F4495" t="inlineStr">
        <is>
          <t>NSPA SIGONELLA</t>
        </is>
      </c>
      <c r="G4495" t="inlineStr">
        <is>
          <t>E3L</t>
        </is>
      </c>
      <c r="H4495" t="inlineStr">
        <is>
          <t>BACKFEED</t>
        </is>
      </c>
      <c r="J4495" t="inlineStr">
        <is>
          <t>JAWORSKI</t>
        </is>
      </c>
      <c r="K4495" t="inlineStr">
        <is>
          <t>CUIVRE</t>
        </is>
      </c>
      <c r="L4495">
        <f>_xlfn.XLOOKUP(Tableau1[[#This Row],[TYPE DE PIECE]],Tableau4[MATIERE],Tableau4[SHORT TYPE],"",0,1)</f>
        <v/>
      </c>
      <c r="N4495">
        <f>IF(ISERR(FIND("DECOUPE",Tableau1[[#This Row],[DESIGNATION]])),"","NEED REF")</f>
        <v/>
      </c>
    </row>
    <row r="4496">
      <c r="B4496" t="n">
        <v>34409510</v>
      </c>
      <c r="C4496" s="2" t="n">
        <v>44334</v>
      </c>
      <c r="D4496" t="inlineStr">
        <is>
          <t>SPEC</t>
        </is>
      </c>
      <c r="E4496" t="inlineStr">
        <is>
          <t>SMT PLASTRON 1</t>
        </is>
      </c>
      <c r="F4496" t="inlineStr">
        <is>
          <t>NSPA SIGONELLA</t>
        </is>
      </c>
      <c r="G4496" t="inlineStr">
        <is>
          <t>E3L</t>
        </is>
      </c>
      <c r="H4496" t="inlineStr">
        <is>
          <t>BACKFEED</t>
        </is>
      </c>
      <c r="J4496" t="inlineStr">
        <is>
          <t>JAWORSKI</t>
        </is>
      </c>
      <c r="K4496" t="inlineStr">
        <is>
          <t>METAL</t>
        </is>
      </c>
      <c r="L4496">
        <f>_xlfn.XLOOKUP(Tableau1[[#This Row],[TYPE DE PIECE]],Tableau4[MATIERE],Tableau4[SHORT TYPE],"",0,1)</f>
        <v/>
      </c>
      <c r="N4496">
        <f>IF(ISERR(FIND("DECOUPE",Tableau1[[#This Row],[DESIGNATION]])),"","NEED REF")</f>
        <v/>
      </c>
    </row>
    <row r="4497">
      <c r="B4497" t="n">
        <v>34409509</v>
      </c>
      <c r="C4497" s="2" t="n">
        <v>44334</v>
      </c>
      <c r="D4497" t="inlineStr">
        <is>
          <t>SPEC</t>
        </is>
      </c>
      <c r="E4497" t="inlineStr">
        <is>
          <t>PLA ECRAN DE PROTECTION ELECTRIQUE</t>
        </is>
      </c>
      <c r="F4497" t="inlineStr">
        <is>
          <t>NSPA SIGONELLA</t>
        </is>
      </c>
      <c r="G4497" t="inlineStr">
        <is>
          <t>E3L</t>
        </is>
      </c>
      <c r="H4497" t="inlineStr">
        <is>
          <t>BACKFEED</t>
        </is>
      </c>
      <c r="J4497" t="inlineStr">
        <is>
          <t>JAWORSKI</t>
        </is>
      </c>
      <c r="K4497" t="inlineStr">
        <is>
          <t>PLASTIQUE</t>
        </is>
      </c>
      <c r="L4497">
        <f>_xlfn.XLOOKUP(Tableau1[[#This Row],[TYPE DE PIECE]],Tableau4[MATIERE],Tableau4[SHORT TYPE],"",0,1)</f>
        <v/>
      </c>
      <c r="N4497">
        <f>IF(ISERR(FIND("DECOUPE",Tableau1[[#This Row],[DESIGNATION]])),"","NEED REF")</f>
        <v/>
      </c>
    </row>
    <row r="4498">
      <c r="B4498" t="n">
        <v>34409508</v>
      </c>
      <c r="C4498" s="2" t="n">
        <v>44334</v>
      </c>
      <c r="D4498" t="inlineStr">
        <is>
          <t>SPEC</t>
        </is>
      </c>
      <c r="E4498" t="inlineStr">
        <is>
          <t>SMT SUPPORT DISJ AUX</t>
        </is>
      </c>
      <c r="F4498" t="inlineStr">
        <is>
          <t>NSPA SIGONELLA</t>
        </is>
      </c>
      <c r="G4498" t="inlineStr">
        <is>
          <t>E3L</t>
        </is>
      </c>
      <c r="H4498" t="inlineStr">
        <is>
          <t>BACKFEED</t>
        </is>
      </c>
      <c r="J4498" t="inlineStr">
        <is>
          <t>JAWORSKI</t>
        </is>
      </c>
      <c r="K4498" t="inlineStr">
        <is>
          <t>METAL</t>
        </is>
      </c>
      <c r="L4498">
        <f>_xlfn.XLOOKUP(Tableau1[[#This Row],[TYPE DE PIECE]],Tableau4[MATIERE],Tableau4[SHORT TYPE],"",0,1)</f>
        <v/>
      </c>
      <c r="N4498">
        <f>IF(ISERR(FIND("DECOUPE",Tableau1[[#This Row],[DESIGNATION]])),"","NEED REF")</f>
        <v/>
      </c>
    </row>
    <row r="4499">
      <c r="B4499" t="n">
        <v>34409507</v>
      </c>
      <c r="C4499" s="2" t="n">
        <v>44334</v>
      </c>
      <c r="D4499" t="inlineStr">
        <is>
          <t>SPEC</t>
        </is>
      </c>
      <c r="E4499" t="inlineStr">
        <is>
          <t>SMT PLATINE CONTACTEUR LC1F1250</t>
        </is>
      </c>
      <c r="F4499" t="inlineStr">
        <is>
          <t>NSPA SIGONELLA</t>
        </is>
      </c>
      <c r="G4499" t="inlineStr">
        <is>
          <t>E3L</t>
        </is>
      </c>
      <c r="H4499" t="inlineStr">
        <is>
          <t>BACKFEED</t>
        </is>
      </c>
      <c r="J4499" t="inlineStr">
        <is>
          <t>JAWORSKI</t>
        </is>
      </c>
      <c r="K4499" t="inlineStr">
        <is>
          <t>METAL</t>
        </is>
      </c>
      <c r="L4499">
        <f>_xlfn.XLOOKUP(Tableau1[[#This Row],[TYPE DE PIECE]],Tableau4[MATIERE],Tableau4[SHORT TYPE],"",0,1)</f>
        <v/>
      </c>
      <c r="N4499">
        <f>IF(ISERR(FIND("DECOUPE",Tableau1[[#This Row],[DESIGNATION]])),"","NEED REF")</f>
        <v/>
      </c>
    </row>
    <row r="4500">
      <c r="B4500" t="n">
        <v>34409506</v>
      </c>
      <c r="C4500" s="2" t="n">
        <v>44334</v>
      </c>
      <c r="D4500" t="inlineStr">
        <is>
          <t>SPEC</t>
        </is>
      </c>
      <c r="J4500" t="inlineStr">
        <is>
          <t>MATRION</t>
        </is>
      </c>
      <c r="L4500">
        <f>_xlfn.XLOOKUP(Tableau1[[#This Row],[TYPE DE PIECE]],Tableau4[MATIERE],Tableau4[SHORT TYPE],"",0,1)</f>
        <v/>
      </c>
      <c r="N4500">
        <f>IF(ISERR(FIND("DECOUPE",Tableau1[[#This Row],[DESIGNATION]])),"","NEED REF")</f>
        <v/>
      </c>
    </row>
    <row r="4501">
      <c r="B4501" t="n">
        <v>34409505</v>
      </c>
      <c r="C4501" s="2" t="n">
        <v>44334</v>
      </c>
      <c r="D4501" t="inlineStr">
        <is>
          <t>SPEC</t>
        </is>
      </c>
      <c r="J4501" t="inlineStr">
        <is>
          <t>MATRION</t>
        </is>
      </c>
      <c r="L4501">
        <f>_xlfn.XLOOKUP(Tableau1[[#This Row],[TYPE DE PIECE]],Tableau4[MATIERE],Tableau4[SHORT TYPE],"",0,1)</f>
        <v/>
      </c>
      <c r="N4501">
        <f>IF(ISERR(FIND("DECOUPE",Tableau1[[#This Row],[DESIGNATION]])),"","NEED REF")</f>
        <v/>
      </c>
    </row>
    <row r="4502">
      <c r="B4502" t="n">
        <v>34409504</v>
      </c>
      <c r="C4502" s="2" t="n">
        <v>44334</v>
      </c>
      <c r="D4502" t="inlineStr">
        <is>
          <t>SPEC</t>
        </is>
      </c>
      <c r="E4502" t="inlineStr">
        <is>
          <t>SMT PLASTRON HAUT</t>
        </is>
      </c>
      <c r="G4502" t="inlineStr">
        <is>
          <t>E3L</t>
        </is>
      </c>
      <c r="H4502" t="inlineStr">
        <is>
          <t>BYPASS</t>
        </is>
      </c>
      <c r="J4502" t="inlineStr">
        <is>
          <t>MASCELLINO</t>
        </is>
      </c>
      <c r="K4502" t="inlineStr">
        <is>
          <t>METAL</t>
        </is>
      </c>
      <c r="L4502">
        <f>_xlfn.XLOOKUP(Tableau1[[#This Row],[TYPE DE PIECE]],Tableau4[MATIERE],Tableau4[SHORT TYPE],"",0,1)</f>
        <v/>
      </c>
      <c r="N4502">
        <f>IF(ISERR(FIND("DECOUPE",Tableau1[[#This Row],[DESIGNATION]])),"","NEED REF")</f>
        <v/>
      </c>
    </row>
    <row r="4503">
      <c r="B4503" t="n">
        <v>34409503</v>
      </c>
      <c r="C4503" s="2" t="n">
        <v>44334</v>
      </c>
      <c r="D4503" t="inlineStr">
        <is>
          <t>SPEC</t>
        </is>
      </c>
      <c r="E4503" t="inlineStr">
        <is>
          <t>SMT PLASTRON BAS</t>
        </is>
      </c>
      <c r="G4503" t="inlineStr">
        <is>
          <t>E3L</t>
        </is>
      </c>
      <c r="H4503" t="inlineStr">
        <is>
          <t>BYPASS</t>
        </is>
      </c>
      <c r="J4503" t="inlineStr">
        <is>
          <t>MASCELLINO</t>
        </is>
      </c>
      <c r="K4503" t="inlineStr">
        <is>
          <t>METAL</t>
        </is>
      </c>
      <c r="L4503">
        <f>_xlfn.XLOOKUP(Tableau1[[#This Row],[TYPE DE PIECE]],Tableau4[MATIERE],Tableau4[SHORT TYPE],"",0,1)</f>
        <v/>
      </c>
      <c r="N4503">
        <f>IF(ISERR(FIND("DECOUPE",Tableau1[[#This Row],[DESIGNATION]])),"","NEED REF")</f>
        <v/>
      </c>
    </row>
    <row r="4504">
      <c r="B4504" t="n">
        <v>34409502</v>
      </c>
      <c r="C4504" s="2" t="n">
        <v>44334</v>
      </c>
      <c r="D4504" t="inlineStr">
        <is>
          <t>SPEC</t>
        </is>
      </c>
      <c r="E4504" t="inlineStr">
        <is>
          <t>SMT PLASTRON MILIEU</t>
        </is>
      </c>
      <c r="G4504" t="inlineStr">
        <is>
          <t>E3L</t>
        </is>
      </c>
      <c r="H4504" t="inlineStr">
        <is>
          <t>BYPASS</t>
        </is>
      </c>
      <c r="J4504" t="inlineStr">
        <is>
          <t>MASCELLINO</t>
        </is>
      </c>
      <c r="K4504" t="inlineStr">
        <is>
          <t>METAL</t>
        </is>
      </c>
      <c r="L4504">
        <f>_xlfn.XLOOKUP(Tableau1[[#This Row],[TYPE DE PIECE]],Tableau4[MATIERE],Tableau4[SHORT TYPE],"",0,1)</f>
        <v/>
      </c>
      <c r="N4504">
        <f>IF(ISERR(FIND("DECOUPE",Tableau1[[#This Row],[DESIGNATION]])),"","NEED REF")</f>
        <v/>
      </c>
    </row>
    <row r="4505">
      <c r="B4505" t="n">
        <v>34409501</v>
      </c>
      <c r="C4505" s="2" t="n">
        <v>44334</v>
      </c>
      <c r="D4505" t="inlineStr">
        <is>
          <t>SPEC</t>
        </is>
      </c>
      <c r="E4505" t="inlineStr">
        <is>
          <t>COP RACCORDEMENT 1</t>
        </is>
      </c>
      <c r="G4505" t="inlineStr">
        <is>
          <t>E3L</t>
        </is>
      </c>
      <c r="H4505" t="inlineStr">
        <is>
          <t>BYPASS</t>
        </is>
      </c>
      <c r="J4505" t="inlineStr">
        <is>
          <t>MASCELLINO</t>
        </is>
      </c>
      <c r="K4505" t="inlineStr">
        <is>
          <t>CUIVRE</t>
        </is>
      </c>
      <c r="L4505">
        <f>_xlfn.XLOOKUP(Tableau1[[#This Row],[TYPE DE PIECE]],Tableau4[MATIERE],Tableau4[SHORT TYPE],"",0,1)</f>
        <v/>
      </c>
      <c r="N4505">
        <f>IF(ISERR(FIND("DECOUPE",Tableau1[[#This Row],[DESIGNATION]])),"","NEED REF")</f>
        <v/>
      </c>
    </row>
    <row r="4506">
      <c r="B4506" t="n">
        <v>34409500</v>
      </c>
      <c r="C4506" s="2" t="n">
        <v>44334</v>
      </c>
      <c r="D4506" t="inlineStr">
        <is>
          <t>SPEC</t>
        </is>
      </c>
      <c r="E4506" t="inlineStr">
        <is>
          <t>COP RACCORDEMENT 2</t>
        </is>
      </c>
      <c r="G4506" t="inlineStr">
        <is>
          <t>E3L</t>
        </is>
      </c>
      <c r="H4506" t="inlineStr">
        <is>
          <t>BYPASS</t>
        </is>
      </c>
      <c r="J4506" t="inlineStr">
        <is>
          <t>MASCELLINO</t>
        </is>
      </c>
      <c r="K4506" t="inlineStr">
        <is>
          <t>CUIVRE</t>
        </is>
      </c>
      <c r="L4506">
        <f>_xlfn.XLOOKUP(Tableau1[[#This Row],[TYPE DE PIECE]],Tableau4[MATIERE],Tableau4[SHORT TYPE],"",0,1)</f>
        <v/>
      </c>
      <c r="N4506">
        <f>IF(ISERR(FIND("DECOUPE",Tableau1[[#This Row],[DESIGNATION]])),"","NEED REF")</f>
        <v/>
      </c>
    </row>
    <row r="4507">
      <c r="B4507" t="n">
        <v>34409499</v>
      </c>
      <c r="C4507" s="2" t="n">
        <v>44334</v>
      </c>
      <c r="D4507" t="inlineStr">
        <is>
          <t>SPEC</t>
        </is>
      </c>
      <c r="E4507" t="inlineStr">
        <is>
          <t>COP RACCORDEMENT 3</t>
        </is>
      </c>
      <c r="G4507" t="inlineStr">
        <is>
          <t>E3L</t>
        </is>
      </c>
      <c r="H4507" t="inlineStr">
        <is>
          <t>BYPASS</t>
        </is>
      </c>
      <c r="J4507" t="inlineStr">
        <is>
          <t>MASCELLINO</t>
        </is>
      </c>
      <c r="K4507" t="inlineStr">
        <is>
          <t>CUIVRE</t>
        </is>
      </c>
      <c r="L4507">
        <f>_xlfn.XLOOKUP(Tableau1[[#This Row],[TYPE DE PIECE]],Tableau4[MATIERE],Tableau4[SHORT TYPE],"",0,1)</f>
        <v/>
      </c>
      <c r="N4507">
        <f>IF(ISERR(FIND("DECOUPE",Tableau1[[#This Row],[DESIGNATION]])),"","NEED REF")</f>
        <v/>
      </c>
    </row>
    <row r="4508">
      <c r="B4508" t="n">
        <v>34409498</v>
      </c>
      <c r="C4508" s="2" t="n">
        <v>44334</v>
      </c>
      <c r="D4508" t="inlineStr">
        <is>
          <t>SPEC</t>
        </is>
      </c>
      <c r="E4508" t="inlineStr">
        <is>
          <t>SMT CACHE ARMOIRE</t>
        </is>
      </c>
      <c r="G4508" t="inlineStr">
        <is>
          <t>E3L</t>
        </is>
      </c>
      <c r="H4508" t="inlineStr">
        <is>
          <t>BYPASS</t>
        </is>
      </c>
      <c r="J4508" t="inlineStr">
        <is>
          <t>MASCELLINO</t>
        </is>
      </c>
      <c r="K4508" t="inlineStr">
        <is>
          <t>METAL</t>
        </is>
      </c>
      <c r="L4508">
        <f>_xlfn.XLOOKUP(Tableau1[[#This Row],[TYPE DE PIECE]],Tableau4[MATIERE],Tableau4[SHORT TYPE],"",0,1)</f>
        <v/>
      </c>
      <c r="N4508">
        <f>IF(ISERR(FIND("DECOUPE",Tableau1[[#This Row],[DESIGNATION]])),"","NEED REF")</f>
        <v/>
      </c>
    </row>
    <row r="4509">
      <c r="B4509" t="n">
        <v>34409497</v>
      </c>
      <c r="C4509" s="2" t="n">
        <v>44334</v>
      </c>
      <c r="D4509" t="inlineStr">
        <is>
          <t>SPEC</t>
        </is>
      </c>
      <c r="E4509" t="inlineStr">
        <is>
          <t>TRAVERSE SUPPORT CUIVRE</t>
        </is>
      </c>
      <c r="G4509" t="inlineStr">
        <is>
          <t>E3L</t>
        </is>
      </c>
      <c r="H4509" t="inlineStr">
        <is>
          <t>BYPASS</t>
        </is>
      </c>
      <c r="J4509" t="inlineStr">
        <is>
          <t>MASCELLINO</t>
        </is>
      </c>
      <c r="K4509" t="inlineStr">
        <is>
          <t>METAL</t>
        </is>
      </c>
      <c r="L4509">
        <f>_xlfn.XLOOKUP(Tableau1[[#This Row],[TYPE DE PIECE]],Tableau4[MATIERE],Tableau4[SHORT TYPE],"",0,1)</f>
        <v/>
      </c>
      <c r="N4509">
        <f>IF(ISERR(FIND("DECOUPE",Tableau1[[#This Row],[DESIGNATION]])),"","NEED REF")</f>
        <v/>
      </c>
    </row>
    <row r="4510">
      <c r="B4510" t="n">
        <v>34409496</v>
      </c>
      <c r="C4510" s="2" t="n">
        <v>44334</v>
      </c>
      <c r="D4510" t="inlineStr">
        <is>
          <t>SPEC</t>
        </is>
      </c>
      <c r="E4510" t="inlineStr">
        <is>
          <t>OMEGA 80</t>
        </is>
      </c>
      <c r="G4510" t="inlineStr">
        <is>
          <t>E3L</t>
        </is>
      </c>
      <c r="H4510" t="inlineStr">
        <is>
          <t>BYPASS</t>
        </is>
      </c>
      <c r="J4510" t="inlineStr">
        <is>
          <t>MASCELLINO</t>
        </is>
      </c>
      <c r="K4510" t="inlineStr">
        <is>
          <t>METAL</t>
        </is>
      </c>
      <c r="L4510">
        <f>_xlfn.XLOOKUP(Tableau1[[#This Row],[TYPE DE PIECE]],Tableau4[MATIERE],Tableau4[SHORT TYPE],"",0,1)</f>
        <v/>
      </c>
      <c r="N4510">
        <f>IF(ISERR(FIND("DECOUPE",Tableau1[[#This Row],[DESIGNATION]])),"","NEED REF")</f>
        <v/>
      </c>
    </row>
    <row r="4511">
      <c r="B4511" t="n">
        <v>34409495</v>
      </c>
      <c r="C4511" s="2" t="n">
        <v>44334</v>
      </c>
      <c r="D4511" t="inlineStr">
        <is>
          <t>SPEC</t>
        </is>
      </c>
      <c r="J4511" t="inlineStr">
        <is>
          <t>MATRION</t>
        </is>
      </c>
      <c r="L4511">
        <f>_xlfn.XLOOKUP(Tableau1[[#This Row],[TYPE DE PIECE]],Tableau4[MATIERE],Tableau4[SHORT TYPE],"",0,1)</f>
        <v/>
      </c>
      <c r="N4511">
        <f>IF(ISERR(FIND("DECOUPE",Tableau1[[#This Row],[DESIGNATION]])),"","NEED REF")</f>
        <v/>
      </c>
    </row>
    <row r="4512">
      <c r="B4512" t="n">
        <v>34409494</v>
      </c>
      <c r="C4512" s="2" t="n">
        <v>44334</v>
      </c>
      <c r="D4512" t="inlineStr">
        <is>
          <t>SPEC</t>
        </is>
      </c>
      <c r="J4512" t="inlineStr">
        <is>
          <t>MATRION</t>
        </is>
      </c>
      <c r="L4512">
        <f>_xlfn.XLOOKUP(Tableau1[[#This Row],[TYPE DE PIECE]],Tableau4[MATIERE],Tableau4[SHORT TYPE],"",0,1)</f>
        <v/>
      </c>
      <c r="N4512">
        <f>IF(ISERR(FIND("DECOUPE",Tableau1[[#This Row],[DESIGNATION]])),"","NEED REF")</f>
        <v/>
      </c>
    </row>
    <row r="4513">
      <c r="B4513" t="n">
        <v>34409493</v>
      </c>
      <c r="C4513" s="2" t="n">
        <v>44334</v>
      </c>
      <c r="D4513" t="inlineStr">
        <is>
          <t>SPEC</t>
        </is>
      </c>
      <c r="J4513" t="inlineStr">
        <is>
          <t>MATRION</t>
        </is>
      </c>
      <c r="L4513">
        <f>_xlfn.XLOOKUP(Tableau1[[#This Row],[TYPE DE PIECE]],Tableau4[MATIERE],Tableau4[SHORT TYPE],"",0,1)</f>
        <v/>
      </c>
      <c r="N4513">
        <f>IF(ISERR(FIND("DECOUPE",Tableau1[[#This Row],[DESIGNATION]])),"","NEED REF")</f>
        <v/>
      </c>
    </row>
    <row r="4514">
      <c r="B4514" t="n">
        <v>34409492</v>
      </c>
      <c r="C4514" s="2" t="n">
        <v>44334</v>
      </c>
      <c r="D4514" t="inlineStr">
        <is>
          <t>SPEC</t>
        </is>
      </c>
      <c r="J4514" t="inlineStr">
        <is>
          <t>MATRION</t>
        </is>
      </c>
      <c r="L4514">
        <f>_xlfn.XLOOKUP(Tableau1[[#This Row],[TYPE DE PIECE]],Tableau4[MATIERE],Tableau4[SHORT TYPE],"",0,1)</f>
        <v/>
      </c>
      <c r="N4514">
        <f>IF(ISERR(FIND("DECOUPE",Tableau1[[#This Row],[DESIGNATION]])),"","NEED REF")</f>
        <v/>
      </c>
    </row>
    <row r="4515">
      <c r="B4515" t="n">
        <v>34409491</v>
      </c>
      <c r="C4515" s="2" t="n">
        <v>44333</v>
      </c>
      <c r="D4515" t="inlineStr">
        <is>
          <t>SPEC</t>
        </is>
      </c>
      <c r="E4515" t="inlineStr">
        <is>
          <t>COP LIAISON LINERGY 4</t>
        </is>
      </c>
      <c r="G4515" t="inlineStr">
        <is>
          <t>E3L</t>
        </is>
      </c>
      <c r="H4515" t="inlineStr">
        <is>
          <t>BYPASS</t>
        </is>
      </c>
      <c r="J4515" t="inlineStr">
        <is>
          <t>MASCELLINO</t>
        </is>
      </c>
      <c r="K4515" t="inlineStr">
        <is>
          <t>CUIVRE</t>
        </is>
      </c>
      <c r="L4515">
        <f>_xlfn.XLOOKUP(Tableau1[[#This Row],[TYPE DE PIECE]],Tableau4[MATIERE],Tableau4[SHORT TYPE],"",0,1)</f>
        <v/>
      </c>
      <c r="N4515">
        <f>IF(ISERR(FIND("DECOUPE",Tableau1[[#This Row],[DESIGNATION]])),"","NEED REF")</f>
        <v/>
      </c>
    </row>
    <row r="4516">
      <c r="B4516" t="n">
        <v>34409490</v>
      </c>
      <c r="C4516" s="2" t="n">
        <v>44333</v>
      </c>
      <c r="D4516" t="inlineStr">
        <is>
          <t>SPEC</t>
        </is>
      </c>
      <c r="E4516" t="inlineStr">
        <is>
          <t>PLAQUE D'OBTURATION KIT SKID</t>
        </is>
      </c>
      <c r="F4516" t="inlineStr">
        <is>
          <t>AMAZON</t>
        </is>
      </c>
      <c r="G4516" t="inlineStr">
        <is>
          <t>GVS</t>
        </is>
      </c>
      <c r="J4516" t="inlineStr">
        <is>
          <t>BERNARDEAU</t>
        </is>
      </c>
      <c r="K4516" t="inlineStr">
        <is>
          <t>METAL</t>
        </is>
      </c>
      <c r="L4516">
        <f>_xlfn.XLOOKUP(Tableau1[[#This Row],[TYPE DE PIECE]],Tableau4[MATIERE],Tableau4[SHORT TYPE],"",0,1)</f>
        <v/>
      </c>
      <c r="N4516">
        <f>IF(ISERR(FIND("DECOUPE",Tableau1[[#This Row],[DESIGNATION]])),"","NEED REF")</f>
        <v/>
      </c>
    </row>
    <row r="4517">
      <c r="B4517" t="n">
        <v>34409489</v>
      </c>
      <c r="C4517" s="2" t="n">
        <v>44328</v>
      </c>
      <c r="D4517" t="inlineStr">
        <is>
          <t>SPEC</t>
        </is>
      </c>
      <c r="E4517" t="inlineStr">
        <is>
          <t>ROOF LIP</t>
        </is>
      </c>
      <c r="G4517" t="inlineStr">
        <is>
          <t>E3L</t>
        </is>
      </c>
      <c r="H4517" t="inlineStr">
        <is>
          <t>BYPASS</t>
        </is>
      </c>
      <c r="J4517" t="inlineStr">
        <is>
          <t>MASCELLINO</t>
        </is>
      </c>
      <c r="K4517" t="inlineStr">
        <is>
          <t>METAL</t>
        </is>
      </c>
      <c r="L4517">
        <f>_xlfn.XLOOKUP(Tableau1[[#This Row],[TYPE DE PIECE]],Tableau4[MATIERE],Tableau4[SHORT TYPE],"",0,1)</f>
        <v/>
      </c>
      <c r="N4517">
        <f>IF(ISERR(FIND("DECOUPE",Tableau1[[#This Row],[DESIGNATION]])),"","NEED REF")</f>
        <v/>
      </c>
    </row>
    <row r="4518">
      <c r="B4518" t="n">
        <v>34409488</v>
      </c>
      <c r="C4518" s="2" t="n">
        <v>44328</v>
      </c>
      <c r="D4518" t="inlineStr">
        <is>
          <t>SPEC</t>
        </is>
      </c>
      <c r="E4518" t="inlineStr">
        <is>
          <t>SMT ASSEMBLAGE PANNEAU INTEL RAL9003</t>
        </is>
      </c>
      <c r="G4518" t="inlineStr">
        <is>
          <t>GVX</t>
        </is>
      </c>
      <c r="H4518" t="inlineStr">
        <is>
          <t>BYPASS</t>
        </is>
      </c>
      <c r="J4518" t="inlineStr">
        <is>
          <t>JAWORSKI</t>
        </is>
      </c>
      <c r="K4518" t="inlineStr">
        <is>
          <t>METAL</t>
        </is>
      </c>
      <c r="L4518">
        <f>_xlfn.XLOOKUP(Tableau1[[#This Row],[TYPE DE PIECE]],Tableau4[MATIERE],Tableau4[SHORT TYPE],"",0,1)</f>
        <v/>
      </c>
      <c r="N4518">
        <f>IF(ISERR(FIND("DECOUPE",Tableau1[[#This Row],[DESIGNATION]])),"","NEED REF")</f>
        <v/>
      </c>
    </row>
    <row r="4519">
      <c r="B4519" t="n">
        <v>34409487</v>
      </c>
      <c r="C4519" s="2" t="n">
        <v>44328</v>
      </c>
      <c r="D4519" t="inlineStr">
        <is>
          <t>SPEC</t>
        </is>
      </c>
      <c r="E4519" t="inlineStr">
        <is>
          <t>COP SUPPORT</t>
        </is>
      </c>
      <c r="G4519" t="inlineStr">
        <is>
          <t>E3L</t>
        </is>
      </c>
      <c r="H4519" t="inlineStr">
        <is>
          <t>BYPASS</t>
        </is>
      </c>
      <c r="J4519" t="inlineStr">
        <is>
          <t>MASCELLINO</t>
        </is>
      </c>
      <c r="K4519" t="inlineStr">
        <is>
          <t>METAL</t>
        </is>
      </c>
      <c r="L4519">
        <f>_xlfn.XLOOKUP(Tableau1[[#This Row],[TYPE DE PIECE]],Tableau4[MATIERE],Tableau4[SHORT TYPE],"",0,1)</f>
        <v/>
      </c>
      <c r="N4519">
        <f>IF(ISERR(FIND("DECOUPE",Tableau1[[#This Row],[DESIGNATION]])),"","NEED REF")</f>
        <v/>
      </c>
    </row>
    <row r="4520">
      <c r="B4520" t="n">
        <v>34409486</v>
      </c>
      <c r="C4520" s="2" t="n">
        <v>44328</v>
      </c>
      <c r="D4520" t="inlineStr">
        <is>
          <t>SPEC</t>
        </is>
      </c>
      <c r="E4520" t="inlineStr">
        <is>
          <t>COP RACCORDEMENT</t>
        </is>
      </c>
      <c r="G4520" t="inlineStr">
        <is>
          <t>E3L</t>
        </is>
      </c>
      <c r="H4520" t="inlineStr">
        <is>
          <t>BYPASS</t>
        </is>
      </c>
      <c r="J4520" t="inlineStr">
        <is>
          <t>MASCELLINO</t>
        </is>
      </c>
      <c r="K4520" t="inlineStr">
        <is>
          <t>CUIVRE</t>
        </is>
      </c>
      <c r="L4520">
        <f>_xlfn.XLOOKUP(Tableau1[[#This Row],[TYPE DE PIECE]],Tableau4[MATIERE],Tableau4[SHORT TYPE],"",0,1)</f>
        <v/>
      </c>
      <c r="N4520">
        <f>IF(ISERR(FIND("DECOUPE",Tableau1[[#This Row],[DESIGNATION]])),"","NEED REF")</f>
        <v/>
      </c>
    </row>
    <row r="4521">
      <c r="B4521" t="n">
        <v>34409485</v>
      </c>
      <c r="C4521" s="2" t="n">
        <v>44328</v>
      </c>
      <c r="D4521" t="inlineStr">
        <is>
          <t>SPEC</t>
        </is>
      </c>
      <c r="E4521" t="inlineStr">
        <is>
          <t>COP RACCORDEMENT</t>
        </is>
      </c>
      <c r="G4521" t="inlineStr">
        <is>
          <t>E3L</t>
        </is>
      </c>
      <c r="H4521" t="inlineStr">
        <is>
          <t>BYPASS</t>
        </is>
      </c>
      <c r="J4521" t="inlineStr">
        <is>
          <t>MASCELLINO</t>
        </is>
      </c>
      <c r="K4521" t="inlineStr">
        <is>
          <t>CUIVRE</t>
        </is>
      </c>
      <c r="L4521">
        <f>_xlfn.XLOOKUP(Tableau1[[#This Row],[TYPE DE PIECE]],Tableau4[MATIERE],Tableau4[SHORT TYPE],"",0,1)</f>
        <v/>
      </c>
      <c r="N4521">
        <f>IF(ISERR(FIND("DECOUPE",Tableau1[[#This Row],[DESIGNATION]])),"","NEED REF")</f>
        <v/>
      </c>
    </row>
    <row r="4522">
      <c r="B4522" t="n">
        <v>34409484</v>
      </c>
      <c r="C4522" s="2" t="n">
        <v>44328</v>
      </c>
      <c r="D4522" t="inlineStr">
        <is>
          <t>SPEC</t>
        </is>
      </c>
      <c r="E4522" t="inlineStr">
        <is>
          <t>SMT SUPPORT JDB LOAD 3</t>
        </is>
      </c>
      <c r="G4522" t="inlineStr">
        <is>
          <t>E3L</t>
        </is>
      </c>
      <c r="H4522" t="inlineStr">
        <is>
          <t>BYPASS</t>
        </is>
      </c>
      <c r="J4522" t="inlineStr">
        <is>
          <t>MASCELLINO</t>
        </is>
      </c>
      <c r="K4522" t="inlineStr">
        <is>
          <t>METAL</t>
        </is>
      </c>
      <c r="L4522">
        <f>_xlfn.XLOOKUP(Tableau1[[#This Row],[TYPE DE PIECE]],Tableau4[MATIERE],Tableau4[SHORT TYPE],"",0,1)</f>
        <v/>
      </c>
      <c r="N4522">
        <f>IF(ISERR(FIND("DECOUPE",Tableau1[[#This Row],[DESIGNATION]])),"","NEED REF")</f>
        <v/>
      </c>
    </row>
    <row r="4523">
      <c r="B4523" t="n">
        <v>34409483</v>
      </c>
      <c r="C4523" s="2" t="n">
        <v>44327</v>
      </c>
      <c r="D4523" t="inlineStr">
        <is>
          <t>SPEC</t>
        </is>
      </c>
      <c r="E4523" t="inlineStr">
        <is>
          <t>COP LIAISON LINERGY 8</t>
        </is>
      </c>
      <c r="G4523" t="inlineStr">
        <is>
          <t>E3L</t>
        </is>
      </c>
      <c r="H4523" t="inlineStr">
        <is>
          <t>BYPASS</t>
        </is>
      </c>
      <c r="J4523" t="inlineStr">
        <is>
          <t>BERNARDEAU</t>
        </is>
      </c>
      <c r="K4523" t="inlineStr">
        <is>
          <t>CUIVRE</t>
        </is>
      </c>
      <c r="L4523">
        <f>_xlfn.XLOOKUP(Tableau1[[#This Row],[TYPE DE PIECE]],Tableau4[MATIERE],Tableau4[SHORT TYPE],"",0,1)</f>
        <v/>
      </c>
      <c r="N4523">
        <f>IF(ISERR(FIND("DECOUPE",Tableau1[[#This Row],[DESIGNATION]])),"","NEED REF")</f>
        <v/>
      </c>
    </row>
    <row r="4524">
      <c r="B4524" t="n">
        <v>34409482</v>
      </c>
      <c r="C4524" s="2" t="n">
        <v>44327</v>
      </c>
      <c r="D4524" t="inlineStr">
        <is>
          <t>SPEC</t>
        </is>
      </c>
      <c r="E4524" t="inlineStr">
        <is>
          <t>COP LIAISON LINERGY 7</t>
        </is>
      </c>
      <c r="G4524" t="inlineStr">
        <is>
          <t>E3L</t>
        </is>
      </c>
      <c r="H4524" t="inlineStr">
        <is>
          <t>BYPASS</t>
        </is>
      </c>
      <c r="J4524" t="inlineStr">
        <is>
          <t>BERNARDEAU</t>
        </is>
      </c>
      <c r="K4524" t="inlineStr">
        <is>
          <t>CUIVRE</t>
        </is>
      </c>
      <c r="L4524">
        <f>_xlfn.XLOOKUP(Tableau1[[#This Row],[TYPE DE PIECE]],Tableau4[MATIERE],Tableau4[SHORT TYPE],"",0,1)</f>
        <v/>
      </c>
      <c r="N4524">
        <f>IF(ISERR(FIND("DECOUPE",Tableau1[[#This Row],[DESIGNATION]])),"","NEED REF")</f>
        <v/>
      </c>
    </row>
    <row r="4525">
      <c r="B4525" t="n">
        <v>34409481</v>
      </c>
      <c r="C4525" s="2" t="n">
        <v>44327</v>
      </c>
      <c r="D4525" t="inlineStr">
        <is>
          <t>SPEC</t>
        </is>
      </c>
      <c r="E4525" t="inlineStr">
        <is>
          <t>COP LIAISON LINERGY 6</t>
        </is>
      </c>
      <c r="G4525" t="inlineStr">
        <is>
          <t>E3L</t>
        </is>
      </c>
      <c r="H4525" t="inlineStr">
        <is>
          <t>BYPASS</t>
        </is>
      </c>
      <c r="J4525" t="inlineStr">
        <is>
          <t>BERNARDEAU</t>
        </is>
      </c>
      <c r="K4525" t="inlineStr">
        <is>
          <t>CUIVRE</t>
        </is>
      </c>
      <c r="L4525">
        <f>_xlfn.XLOOKUP(Tableau1[[#This Row],[TYPE DE PIECE]],Tableau4[MATIERE],Tableau4[SHORT TYPE],"",0,1)</f>
        <v/>
      </c>
      <c r="N4525">
        <f>IF(ISERR(FIND("DECOUPE",Tableau1[[#This Row],[DESIGNATION]])),"","NEED REF")</f>
        <v/>
      </c>
    </row>
    <row r="4526">
      <c r="B4526" t="n">
        <v>34409480</v>
      </c>
      <c r="C4526" s="2" t="n">
        <v>44327</v>
      </c>
      <c r="D4526" t="inlineStr">
        <is>
          <t>SPEC</t>
        </is>
      </c>
      <c r="E4526" t="inlineStr">
        <is>
          <t>COP LIAISON LINERGY 5</t>
        </is>
      </c>
      <c r="G4526" t="inlineStr">
        <is>
          <t>E3L</t>
        </is>
      </c>
      <c r="H4526" t="inlineStr">
        <is>
          <t>BYPASS</t>
        </is>
      </c>
      <c r="J4526" t="inlineStr">
        <is>
          <t>BERNARDEAU</t>
        </is>
      </c>
      <c r="K4526" t="inlineStr">
        <is>
          <t>CUIVRE</t>
        </is>
      </c>
      <c r="L4526">
        <f>_xlfn.XLOOKUP(Tableau1[[#This Row],[TYPE DE PIECE]],Tableau4[MATIERE],Tableau4[SHORT TYPE],"",0,1)</f>
        <v/>
      </c>
      <c r="N4526">
        <f>IF(ISERR(FIND("DECOUPE",Tableau1[[#This Row],[DESIGNATION]])),"","NEED REF")</f>
        <v/>
      </c>
    </row>
    <row r="4527">
      <c r="B4527" t="n">
        <v>34409479</v>
      </c>
      <c r="C4527" s="2" t="n">
        <v>44326</v>
      </c>
      <c r="D4527" t="inlineStr">
        <is>
          <t>SPEC</t>
        </is>
      </c>
      <c r="E4527" t="inlineStr">
        <is>
          <t>SUPPORT JEU DE BARRES</t>
        </is>
      </c>
      <c r="G4527" t="inlineStr">
        <is>
          <t>E3L</t>
        </is>
      </c>
      <c r="H4527" t="inlineStr">
        <is>
          <t>BYPASS</t>
        </is>
      </c>
      <c r="J4527" t="inlineStr">
        <is>
          <t>MASCELLINO</t>
        </is>
      </c>
      <c r="K4527" t="inlineStr">
        <is>
          <t>METAL</t>
        </is>
      </c>
      <c r="L4527">
        <f>_xlfn.XLOOKUP(Tableau1[[#This Row],[TYPE DE PIECE]],Tableau4[MATIERE],Tableau4[SHORT TYPE],"",0,1)</f>
        <v/>
      </c>
      <c r="N4527">
        <f>IF(ISERR(FIND("DECOUPE",Tableau1[[#This Row],[DESIGNATION]])),"","NEED REF")</f>
        <v/>
      </c>
    </row>
    <row r="4528">
      <c r="B4528" t="n">
        <v>34409478</v>
      </c>
      <c r="C4528" s="2" t="n">
        <v>44322</v>
      </c>
      <c r="D4528" t="inlineStr">
        <is>
          <t>SPEC</t>
        </is>
      </c>
      <c r="E4528" t="inlineStr">
        <is>
          <t>Prestation peinture coffret SAREL STD NSYS3D10630P en RAL9003</t>
        </is>
      </c>
      <c r="F4528" t="inlineStr">
        <is>
          <t>SYPXSGQ-QSMA80809-02</t>
        </is>
      </c>
      <c r="G4528" t="inlineStr">
        <is>
          <t>ALL</t>
        </is>
      </c>
      <c r="H4528" t="inlineStr">
        <is>
          <t>AUTRE</t>
        </is>
      </c>
      <c r="J4528" t="inlineStr">
        <is>
          <t>MONGELLI</t>
        </is>
      </c>
      <c r="K4528" t="inlineStr">
        <is>
          <t>METAL</t>
        </is>
      </c>
      <c r="L4528">
        <f>_xlfn.XLOOKUP(Tableau1[[#This Row],[TYPE DE PIECE]],Tableau4[MATIERE],Tableau4[SHORT TYPE],"",0,1)</f>
        <v/>
      </c>
      <c r="N4528">
        <f>IF(ISERR(FIND("DECOUPE",Tableau1[[#This Row],[DESIGNATION]])),"","NEED REF")</f>
        <v/>
      </c>
    </row>
    <row r="4529">
      <c r="B4529" t="n">
        <v>34409477</v>
      </c>
      <c r="C4529" s="2" t="n">
        <v>44322</v>
      </c>
      <c r="D4529" t="inlineStr">
        <is>
          <t>SPEC</t>
        </is>
      </c>
      <c r="E4529" t="inlineStr">
        <is>
          <t>COFFRET SYNCHRO NEW RAL9003 DEVIS SAREL W21050079TGF/A0</t>
        </is>
      </c>
      <c r="G4529" t="inlineStr">
        <is>
          <t>ALL</t>
        </is>
      </c>
      <c r="H4529" t="inlineStr">
        <is>
          <t>AUTRE</t>
        </is>
      </c>
      <c r="J4529" t="inlineStr">
        <is>
          <t>MONGELLI</t>
        </is>
      </c>
      <c r="K4529" t="inlineStr">
        <is>
          <t>METAL</t>
        </is>
      </c>
      <c r="L4529">
        <f>_xlfn.XLOOKUP(Tableau1[[#This Row],[TYPE DE PIECE]],Tableau4[MATIERE],Tableau4[SHORT TYPE],"",0,1)</f>
        <v/>
      </c>
      <c r="N4529">
        <f>IF(ISERR(FIND("DECOUPE",Tableau1[[#This Row],[DESIGNATION]])),"","NEED REF")</f>
        <v/>
      </c>
    </row>
    <row r="4530">
      <c r="B4530" t="n">
        <v>34409476</v>
      </c>
      <c r="C4530" s="2" t="n">
        <v>44322</v>
      </c>
      <c r="D4530" t="inlineStr">
        <is>
          <t>SPEC</t>
        </is>
      </c>
      <c r="E4530" t="inlineStr">
        <is>
          <t>SMT PLATINE AUX</t>
        </is>
      </c>
      <c r="G4530" t="inlineStr">
        <is>
          <t>E3L</t>
        </is>
      </c>
      <c r="H4530" t="inlineStr">
        <is>
          <t>BYPASS</t>
        </is>
      </c>
      <c r="J4530" t="inlineStr">
        <is>
          <t>MASCELLINO</t>
        </is>
      </c>
      <c r="K4530" t="inlineStr">
        <is>
          <t>METAL</t>
        </is>
      </c>
      <c r="L4530">
        <f>_xlfn.XLOOKUP(Tableau1[[#This Row],[TYPE DE PIECE]],Tableau4[MATIERE],Tableau4[SHORT TYPE],"",0,1)</f>
        <v/>
      </c>
      <c r="N4530">
        <f>IF(ISERR(FIND("DECOUPE",Tableau1[[#This Row],[DESIGNATION]])),"","NEED REF")</f>
        <v/>
      </c>
    </row>
    <row r="4531">
      <c r="B4531" t="n">
        <v>34409475</v>
      </c>
      <c r="C4531" s="2" t="n">
        <v>44322</v>
      </c>
      <c r="D4531" t="inlineStr">
        <is>
          <t>SPEC</t>
        </is>
      </c>
      <c r="E4531" t="inlineStr">
        <is>
          <t>SMT EQUERRE SUPPORT</t>
        </is>
      </c>
      <c r="G4531" t="inlineStr">
        <is>
          <t>E3L</t>
        </is>
      </c>
      <c r="H4531" t="inlineStr">
        <is>
          <t>BYPASS</t>
        </is>
      </c>
      <c r="J4531" t="inlineStr">
        <is>
          <t>MASCELLINO</t>
        </is>
      </c>
      <c r="K4531" t="inlineStr">
        <is>
          <t>METAL</t>
        </is>
      </c>
      <c r="L4531">
        <f>_xlfn.XLOOKUP(Tableau1[[#This Row],[TYPE DE PIECE]],Tableau4[MATIERE],Tableau4[SHORT TYPE],"",0,1)</f>
        <v/>
      </c>
      <c r="N4531">
        <f>IF(ISERR(FIND("DECOUPE",Tableau1[[#This Row],[DESIGNATION]])),"","NEED REF")</f>
        <v/>
      </c>
    </row>
    <row r="4532">
      <c r="B4532" t="n">
        <v>34409474</v>
      </c>
      <c r="C4532" s="2" t="n">
        <v>44322</v>
      </c>
      <c r="D4532" t="inlineStr">
        <is>
          <t>SPEC</t>
        </is>
      </c>
      <c r="E4532" t="inlineStr">
        <is>
          <t>PLA BRIDE CX UOB</t>
        </is>
      </c>
      <c r="G4532" t="inlineStr">
        <is>
          <t>E3L</t>
        </is>
      </c>
      <c r="H4532" t="inlineStr">
        <is>
          <t>BYPASS</t>
        </is>
      </c>
      <c r="J4532" t="inlineStr">
        <is>
          <t>MASCELLINO</t>
        </is>
      </c>
      <c r="K4532" t="inlineStr">
        <is>
          <t>PLASTIQUE</t>
        </is>
      </c>
      <c r="L4532">
        <f>_xlfn.XLOOKUP(Tableau1[[#This Row],[TYPE DE PIECE]],Tableau4[MATIERE],Tableau4[SHORT TYPE],"",0,1)</f>
        <v/>
      </c>
      <c r="N4532">
        <f>IF(ISERR(FIND("DECOUPE",Tableau1[[#This Row],[DESIGNATION]])),"","NEED REF")</f>
        <v/>
      </c>
    </row>
    <row r="4533">
      <c r="B4533" t="n">
        <v>34409473</v>
      </c>
      <c r="C4533" s="2" t="n">
        <v>44321</v>
      </c>
      <c r="D4533" t="inlineStr">
        <is>
          <t>SPEC</t>
        </is>
      </c>
      <c r="E4533" t="inlineStr">
        <is>
          <t>COP RACCORDEMENT</t>
        </is>
      </c>
      <c r="G4533" t="inlineStr">
        <is>
          <t>E3L</t>
        </is>
      </c>
      <c r="H4533" t="inlineStr">
        <is>
          <t>BYPASS</t>
        </is>
      </c>
      <c r="J4533" t="inlineStr">
        <is>
          <t>MASCELLINO</t>
        </is>
      </c>
      <c r="K4533" t="inlineStr">
        <is>
          <t>CUIVRE</t>
        </is>
      </c>
      <c r="L4533">
        <f>_xlfn.XLOOKUP(Tableau1[[#This Row],[TYPE DE PIECE]],Tableau4[MATIERE],Tableau4[SHORT TYPE],"",0,1)</f>
        <v/>
      </c>
      <c r="N4533">
        <f>IF(ISERR(FIND("DECOUPE",Tableau1[[#This Row],[DESIGNATION]])),"","NEED REF")</f>
        <v/>
      </c>
    </row>
    <row r="4534">
      <c r="B4534" t="n">
        <v>34409472</v>
      </c>
      <c r="C4534" s="2" t="n">
        <v>44321</v>
      </c>
      <c r="D4534" t="inlineStr">
        <is>
          <t>SPEC</t>
        </is>
      </c>
      <c r="E4534" t="inlineStr">
        <is>
          <t>PLA SUPPORT VOLANT JDB UTIL</t>
        </is>
      </c>
      <c r="F4534" t="inlineStr">
        <is>
          <t>JAGUAR NETWORK FR</t>
        </is>
      </c>
      <c r="G4534" t="inlineStr">
        <is>
          <t>GVX</t>
        </is>
      </c>
      <c r="H4534" t="inlineStr">
        <is>
          <t>IO</t>
        </is>
      </c>
      <c r="J4534" t="inlineStr">
        <is>
          <t>JAWORSKI</t>
        </is>
      </c>
      <c r="K4534" t="inlineStr">
        <is>
          <t>PLASTIQUE</t>
        </is>
      </c>
      <c r="L4534">
        <f>_xlfn.XLOOKUP(Tableau1[[#This Row],[TYPE DE PIECE]],Tableau4[MATIERE],Tableau4[SHORT TYPE],"",0,1)</f>
        <v/>
      </c>
      <c r="N4534">
        <f>IF(ISERR(FIND("DECOUPE",Tableau1[[#This Row],[DESIGNATION]])),"","NEED REF")</f>
        <v/>
      </c>
    </row>
    <row r="4535">
      <c r="B4535" t="n">
        <v>34409471</v>
      </c>
      <c r="C4535" s="2" t="n">
        <v>44321</v>
      </c>
      <c r="D4535" t="inlineStr">
        <is>
          <t>SPEC</t>
        </is>
      </c>
      <c r="E4535" t="inlineStr">
        <is>
          <t>PLA SUPPORT VOLANT JDB MAINS1</t>
        </is>
      </c>
      <c r="F4535" t="inlineStr">
        <is>
          <t>JAGUAR NETWORK FR</t>
        </is>
      </c>
      <c r="G4535" t="inlineStr">
        <is>
          <t>GVX</t>
        </is>
      </c>
      <c r="H4535" t="inlineStr">
        <is>
          <t>IO</t>
        </is>
      </c>
      <c r="J4535" t="inlineStr">
        <is>
          <t>JAWORSKI</t>
        </is>
      </c>
      <c r="K4535" t="inlineStr">
        <is>
          <t>PLASTIQUE</t>
        </is>
      </c>
      <c r="L4535">
        <f>_xlfn.XLOOKUP(Tableau1[[#This Row],[TYPE DE PIECE]],Tableau4[MATIERE],Tableau4[SHORT TYPE],"",0,1)</f>
        <v/>
      </c>
      <c r="N4535">
        <f>IF(ISERR(FIND("DECOUPE",Tableau1[[#This Row],[DESIGNATION]])),"","NEED REF")</f>
        <v/>
      </c>
    </row>
    <row r="4536">
      <c r="B4536" t="n">
        <v>34409470</v>
      </c>
      <c r="C4536" s="2" t="n">
        <v>44320</v>
      </c>
      <c r="D4536" t="inlineStr">
        <is>
          <t>SPEC</t>
        </is>
      </c>
      <c r="E4536" t="inlineStr">
        <is>
          <t>COP LIAISON LINERGY 4</t>
        </is>
      </c>
      <c r="G4536" t="inlineStr">
        <is>
          <t>E3L</t>
        </is>
      </c>
      <c r="H4536" t="inlineStr">
        <is>
          <t>BYPASS</t>
        </is>
      </c>
      <c r="J4536" t="inlineStr">
        <is>
          <t>MASCELLINO</t>
        </is>
      </c>
      <c r="K4536" t="inlineStr">
        <is>
          <t>CUIVRE</t>
        </is>
      </c>
      <c r="L4536">
        <f>_xlfn.XLOOKUP(Tableau1[[#This Row],[TYPE DE PIECE]],Tableau4[MATIERE],Tableau4[SHORT TYPE],"",0,1)</f>
        <v/>
      </c>
      <c r="N4536">
        <f>IF(ISERR(FIND("DECOUPE",Tableau1[[#This Row],[DESIGNATION]])),"","NEED REF")</f>
        <v/>
      </c>
    </row>
    <row r="4537">
      <c r="B4537" t="n">
        <v>34409469</v>
      </c>
      <c r="C4537" s="2" t="n">
        <v>44320</v>
      </c>
      <c r="D4537" t="inlineStr">
        <is>
          <t>SPEC</t>
        </is>
      </c>
      <c r="E4537" t="inlineStr">
        <is>
          <t>COP LIAISON LINERGY 3</t>
        </is>
      </c>
      <c r="G4537" t="inlineStr">
        <is>
          <t>E3L</t>
        </is>
      </c>
      <c r="H4537" t="inlineStr">
        <is>
          <t>BYPASS</t>
        </is>
      </c>
      <c r="J4537" t="inlineStr">
        <is>
          <t>MASCELLINO</t>
        </is>
      </c>
      <c r="K4537" t="inlineStr">
        <is>
          <t>CUIVRE</t>
        </is>
      </c>
      <c r="L4537">
        <f>_xlfn.XLOOKUP(Tableau1[[#This Row],[TYPE DE PIECE]],Tableau4[MATIERE],Tableau4[SHORT TYPE],"",0,1)</f>
        <v/>
      </c>
      <c r="N4537">
        <f>IF(ISERR(FIND("DECOUPE",Tableau1[[#This Row],[DESIGNATION]])),"","NEED REF")</f>
        <v/>
      </c>
    </row>
    <row r="4538">
      <c r="B4538" t="n">
        <v>34409468</v>
      </c>
      <c r="C4538" s="2" t="n">
        <v>44320</v>
      </c>
      <c r="D4538" t="inlineStr">
        <is>
          <t>SPEC</t>
        </is>
      </c>
      <c r="E4538" t="inlineStr">
        <is>
          <t>COP LIAISON LINERGY 2</t>
        </is>
      </c>
      <c r="G4538" t="inlineStr">
        <is>
          <t>E3L</t>
        </is>
      </c>
      <c r="H4538" t="inlineStr">
        <is>
          <t>BYPASS</t>
        </is>
      </c>
      <c r="J4538" t="inlineStr">
        <is>
          <t>MASCELLINO</t>
        </is>
      </c>
      <c r="K4538" t="inlineStr">
        <is>
          <t>CUIVRE</t>
        </is>
      </c>
      <c r="L4538">
        <f>_xlfn.XLOOKUP(Tableau1[[#This Row],[TYPE DE PIECE]],Tableau4[MATIERE],Tableau4[SHORT TYPE],"",0,1)</f>
        <v/>
      </c>
      <c r="N4538">
        <f>IF(ISERR(FIND("DECOUPE",Tableau1[[#This Row],[DESIGNATION]])),"","NEED REF")</f>
        <v/>
      </c>
    </row>
    <row r="4539">
      <c r="B4539" t="n">
        <v>34409467</v>
      </c>
      <c r="C4539" s="2" t="n">
        <v>44320</v>
      </c>
      <c r="D4539" t="inlineStr">
        <is>
          <t>SPEC</t>
        </is>
      </c>
      <c r="E4539" t="inlineStr">
        <is>
          <t>COP LIAISON LINERGY 1</t>
        </is>
      </c>
      <c r="G4539" t="inlineStr">
        <is>
          <t>E3L</t>
        </is>
      </c>
      <c r="H4539" t="inlineStr">
        <is>
          <t>BYPASS</t>
        </is>
      </c>
      <c r="J4539" t="inlineStr">
        <is>
          <t>MASCELLINO</t>
        </is>
      </c>
      <c r="K4539" t="inlineStr">
        <is>
          <t>CUIVRE</t>
        </is>
      </c>
      <c r="L4539">
        <f>_xlfn.XLOOKUP(Tableau1[[#This Row],[TYPE DE PIECE]],Tableau4[MATIERE],Tableau4[SHORT TYPE],"",0,1)</f>
        <v/>
      </c>
      <c r="N4539">
        <f>IF(ISERR(FIND("DECOUPE",Tableau1[[#This Row],[DESIGNATION]])),"","NEED REF")</f>
        <v/>
      </c>
    </row>
    <row r="4540">
      <c r="B4540" t="n">
        <v>34409466</v>
      </c>
      <c r="C4540" s="2" t="n">
        <v>44316</v>
      </c>
      <c r="D4540" t="inlineStr">
        <is>
          <t>SPEC</t>
        </is>
      </c>
      <c r="E4540" t="inlineStr">
        <is>
          <t>COP CALE 80X95X10 KTA3200</t>
        </is>
      </c>
      <c r="F4540" t="inlineStr">
        <is>
          <t>JAGUAR NETWORK FR</t>
        </is>
      </c>
      <c r="G4540" t="inlineStr">
        <is>
          <t>GVX</t>
        </is>
      </c>
      <c r="H4540" t="inlineStr">
        <is>
          <t>IO</t>
        </is>
      </c>
      <c r="J4540" t="inlineStr">
        <is>
          <t>JAWORSKI</t>
        </is>
      </c>
      <c r="K4540" t="inlineStr">
        <is>
          <t>CUIVRE</t>
        </is>
      </c>
      <c r="L4540">
        <f>_xlfn.XLOOKUP(Tableau1[[#This Row],[TYPE DE PIECE]],Tableau4[MATIERE],Tableau4[SHORT TYPE],"",0,1)</f>
        <v/>
      </c>
      <c r="N4540">
        <f>IF(ISERR(FIND("DECOUPE",Tableau1[[#This Row],[DESIGNATION]])),"","NEED REF")</f>
        <v/>
      </c>
    </row>
    <row r="4541">
      <c r="B4541" t="n">
        <v>34409465</v>
      </c>
      <c r="C4541" s="2" t="n">
        <v>44316</v>
      </c>
      <c r="D4541" t="inlineStr">
        <is>
          <t>SPEC</t>
        </is>
      </c>
      <c r="E4541" t="inlineStr">
        <is>
          <t>joue arriere</t>
        </is>
      </c>
      <c r="F4541" t="inlineStr">
        <is>
          <t>GSK BELGIUM</t>
        </is>
      </c>
      <c r="G4541" t="inlineStr">
        <is>
          <t>GVM</t>
        </is>
      </c>
      <c r="J4541" t="inlineStr">
        <is>
          <t>BERNARDEAU</t>
        </is>
      </c>
      <c r="K4541" t="inlineStr">
        <is>
          <t>METAL</t>
        </is>
      </c>
      <c r="L4541">
        <f>_xlfn.XLOOKUP(Tableau1[[#This Row],[TYPE DE PIECE]],Tableau4[MATIERE],Tableau4[SHORT TYPE],"",0,1)</f>
        <v/>
      </c>
      <c r="N4541">
        <f>IF(ISERR(FIND("DECOUPE",Tableau1[[#This Row],[DESIGNATION]])),"","NEED REF")</f>
        <v/>
      </c>
    </row>
    <row r="4542">
      <c r="B4542" t="n">
        <v>34409464</v>
      </c>
      <c r="C4542" s="2" t="n">
        <v>44316</v>
      </c>
      <c r="D4542" t="inlineStr">
        <is>
          <t>SPEC</t>
        </is>
      </c>
      <c r="E4542" t="inlineStr">
        <is>
          <t>joue droite</t>
        </is>
      </c>
      <c r="F4542" t="inlineStr">
        <is>
          <t>GSK BELGIUM</t>
        </is>
      </c>
      <c r="J4542" t="inlineStr">
        <is>
          <t>BERNARDEAU</t>
        </is>
      </c>
      <c r="K4542" t="inlineStr">
        <is>
          <t>METAL</t>
        </is>
      </c>
      <c r="L4542">
        <f>_xlfn.XLOOKUP(Tableau1[[#This Row],[TYPE DE PIECE]],Tableau4[MATIERE],Tableau4[SHORT TYPE],"",0,1)</f>
        <v/>
      </c>
      <c r="N4542">
        <f>IF(ISERR(FIND("DECOUPE",Tableau1[[#This Row],[DESIGNATION]])),"","NEED REF")</f>
        <v/>
      </c>
    </row>
    <row r="4543">
      <c r="B4543" t="n">
        <v>34409463</v>
      </c>
      <c r="C4543" s="2" t="n">
        <v>44316</v>
      </c>
      <c r="D4543" t="inlineStr">
        <is>
          <t>SPEC</t>
        </is>
      </c>
      <c r="E4543" t="inlineStr">
        <is>
          <t>Joue gauche</t>
        </is>
      </c>
      <c r="F4543" t="inlineStr">
        <is>
          <t>GSK BELGIUM</t>
        </is>
      </c>
      <c r="J4543" t="inlineStr">
        <is>
          <t>BERNARDEAU</t>
        </is>
      </c>
      <c r="K4543" t="inlineStr">
        <is>
          <t>METAL</t>
        </is>
      </c>
      <c r="L4543">
        <f>_xlfn.XLOOKUP(Tableau1[[#This Row],[TYPE DE PIECE]],Tableau4[MATIERE],Tableau4[SHORT TYPE],"",0,1)</f>
        <v/>
      </c>
      <c r="N4543">
        <f>IF(ISERR(FIND("DECOUPE",Tableau1[[#This Row],[DESIGNATION]])),"","NEED REF")</f>
        <v/>
      </c>
    </row>
    <row r="4544">
      <c r="B4544" t="n">
        <v>34409462</v>
      </c>
      <c r="C4544" s="2" t="n">
        <v>44316</v>
      </c>
      <c r="D4544" t="inlineStr">
        <is>
          <t>SPEC</t>
        </is>
      </c>
      <c r="E4544" t="inlineStr">
        <is>
          <t>SMT TOIT ALU PASSE CABLE BATTERIE</t>
        </is>
      </c>
      <c r="F4544" t="inlineStr">
        <is>
          <t>JAGUAR NETWORK FR</t>
        </is>
      </c>
      <c r="G4544" t="inlineStr">
        <is>
          <t>GVX</t>
        </is>
      </c>
      <c r="H4544" t="inlineStr">
        <is>
          <t>IO</t>
        </is>
      </c>
      <c r="J4544" t="inlineStr">
        <is>
          <t>MATRION</t>
        </is>
      </c>
      <c r="K4544" t="inlineStr">
        <is>
          <t>METAL</t>
        </is>
      </c>
      <c r="L4544">
        <f>_xlfn.XLOOKUP(Tableau1[[#This Row],[TYPE DE PIECE]],Tableau4[MATIERE],Tableau4[SHORT TYPE],"",0,1)</f>
        <v/>
      </c>
      <c r="N4544">
        <f>IF(ISERR(FIND("DECOUPE",Tableau1[[#This Row],[DESIGNATION]])),"","NEED REF")</f>
        <v/>
      </c>
    </row>
    <row r="4545">
      <c r="B4545" t="n">
        <v>34409461</v>
      </c>
      <c r="C4545" s="2" t="n">
        <v>44316</v>
      </c>
      <c r="D4545" t="inlineStr">
        <is>
          <t>SPEC</t>
        </is>
      </c>
      <c r="E4545" t="inlineStr">
        <is>
          <t>SMT PLASTRON REHUASSE 7</t>
        </is>
      </c>
      <c r="F4545" t="inlineStr">
        <is>
          <t>JAGUAR NETWORK FR</t>
        </is>
      </c>
      <c r="G4545" t="inlineStr">
        <is>
          <t>GVX</t>
        </is>
      </c>
      <c r="H4545" t="inlineStr">
        <is>
          <t>IO</t>
        </is>
      </c>
      <c r="J4545" t="inlineStr">
        <is>
          <t>MATRION</t>
        </is>
      </c>
      <c r="K4545" t="inlineStr">
        <is>
          <t>METAL</t>
        </is>
      </c>
      <c r="L4545">
        <f>_xlfn.XLOOKUP(Tableau1[[#This Row],[TYPE DE PIECE]],Tableau4[MATIERE],Tableau4[SHORT TYPE],"",0,1)</f>
        <v/>
      </c>
      <c r="N4545">
        <f>IF(ISERR(FIND("DECOUPE",Tableau1[[#This Row],[DESIGNATION]])),"","NEED REF")</f>
        <v/>
      </c>
    </row>
    <row r="4546">
      <c r="B4546" t="n">
        <v>34409460</v>
      </c>
      <c r="C4546" s="2" t="n">
        <v>44316</v>
      </c>
      <c r="D4546" t="inlineStr">
        <is>
          <t>SPEC</t>
        </is>
      </c>
      <c r="E4546" t="inlineStr">
        <is>
          <t>SMT PLASTRON REHUASSE 6</t>
        </is>
      </c>
      <c r="F4546" t="inlineStr">
        <is>
          <t>JAGUAR NETWORK FR</t>
        </is>
      </c>
      <c r="G4546" t="inlineStr">
        <is>
          <t>GVX</t>
        </is>
      </c>
      <c r="H4546" t="inlineStr">
        <is>
          <t>IO</t>
        </is>
      </c>
      <c r="J4546" t="inlineStr">
        <is>
          <t>MATRION</t>
        </is>
      </c>
      <c r="K4546" t="inlineStr">
        <is>
          <t>METAL</t>
        </is>
      </c>
      <c r="L4546">
        <f>_xlfn.XLOOKUP(Tableau1[[#This Row],[TYPE DE PIECE]],Tableau4[MATIERE],Tableau4[SHORT TYPE],"",0,1)</f>
        <v/>
      </c>
      <c r="N4546">
        <f>IF(ISERR(FIND("DECOUPE",Tableau1[[#This Row],[DESIGNATION]])),"","NEED REF")</f>
        <v/>
      </c>
    </row>
    <row r="4547">
      <c r="B4547" t="n">
        <v>34409459</v>
      </c>
      <c r="C4547" s="2" t="n">
        <v>44316</v>
      </c>
      <c r="D4547" t="inlineStr">
        <is>
          <t>SPEC</t>
        </is>
      </c>
      <c r="E4547" t="inlineStr">
        <is>
          <t>SMT PLASTRON REHUASSE 5</t>
        </is>
      </c>
      <c r="F4547" t="inlineStr">
        <is>
          <t>JAGUAR NETWORK FR</t>
        </is>
      </c>
      <c r="G4547" t="inlineStr">
        <is>
          <t>GVX</t>
        </is>
      </c>
      <c r="H4547" t="inlineStr">
        <is>
          <t>IO</t>
        </is>
      </c>
      <c r="J4547" t="inlineStr">
        <is>
          <t>MATRION</t>
        </is>
      </c>
      <c r="K4547" t="inlineStr">
        <is>
          <t>METAL</t>
        </is>
      </c>
      <c r="L4547">
        <f>_xlfn.XLOOKUP(Tableau1[[#This Row],[TYPE DE PIECE]],Tableau4[MATIERE],Tableau4[SHORT TYPE],"",0,1)</f>
        <v/>
      </c>
      <c r="N4547">
        <f>IF(ISERR(FIND("DECOUPE",Tableau1[[#This Row],[DESIGNATION]])),"","NEED REF")</f>
        <v/>
      </c>
    </row>
    <row r="4548">
      <c r="B4548" t="n">
        <v>34409458</v>
      </c>
      <c r="C4548" s="2" t="n">
        <v>44316</v>
      </c>
      <c r="D4548" t="inlineStr">
        <is>
          <t>SPEC</t>
        </is>
      </c>
      <c r="E4548" t="inlineStr">
        <is>
          <t>SMT PLASTRON REHUASSE 4</t>
        </is>
      </c>
      <c r="F4548" t="inlineStr">
        <is>
          <t>JAGUAR NETWORK FR</t>
        </is>
      </c>
      <c r="G4548" t="inlineStr">
        <is>
          <t>GVX</t>
        </is>
      </c>
      <c r="H4548" t="inlineStr">
        <is>
          <t>IO</t>
        </is>
      </c>
      <c r="J4548" t="inlineStr">
        <is>
          <t>MATRION</t>
        </is>
      </c>
      <c r="K4548" t="inlineStr">
        <is>
          <t>METAL</t>
        </is>
      </c>
      <c r="L4548">
        <f>_xlfn.XLOOKUP(Tableau1[[#This Row],[TYPE DE PIECE]],Tableau4[MATIERE],Tableau4[SHORT TYPE],"",0,1)</f>
        <v/>
      </c>
      <c r="N4548">
        <f>IF(ISERR(FIND("DECOUPE",Tableau1[[#This Row],[DESIGNATION]])),"","NEED REF")</f>
        <v/>
      </c>
    </row>
    <row r="4549">
      <c r="B4549" t="n">
        <v>34409457</v>
      </c>
      <c r="C4549" s="2" t="n">
        <v>44315</v>
      </c>
      <c r="D4549" t="inlineStr">
        <is>
          <t>SPEC</t>
        </is>
      </c>
      <c r="E4549" t="inlineStr">
        <is>
          <t>COP RACCORDEMENT</t>
        </is>
      </c>
      <c r="G4549" t="inlineStr">
        <is>
          <t>E3L</t>
        </is>
      </c>
      <c r="H4549" t="inlineStr">
        <is>
          <t>BYPASS</t>
        </is>
      </c>
      <c r="J4549" t="inlineStr">
        <is>
          <t>MASCELLINO</t>
        </is>
      </c>
      <c r="K4549" t="inlineStr">
        <is>
          <t>CUIVRE</t>
        </is>
      </c>
      <c r="L4549">
        <f>_xlfn.XLOOKUP(Tableau1[[#This Row],[TYPE DE PIECE]],Tableau4[MATIERE],Tableau4[SHORT TYPE],"",0,1)</f>
        <v/>
      </c>
      <c r="N4549">
        <f>IF(ISERR(FIND("DECOUPE",Tableau1[[#This Row],[DESIGNATION]])),"","NEED REF")</f>
        <v/>
      </c>
    </row>
    <row r="4550">
      <c r="B4550" t="n">
        <v>34409456</v>
      </c>
      <c r="C4550" s="2" t="n">
        <v>44315</v>
      </c>
      <c r="D4550" t="inlineStr">
        <is>
          <t>SPEC</t>
        </is>
      </c>
      <c r="E4550" t="inlineStr">
        <is>
          <t>COP CX UTIL_L3-2</t>
        </is>
      </c>
      <c r="F4550" t="inlineStr">
        <is>
          <t>JAGUAR NETWORK FR</t>
        </is>
      </c>
      <c r="G4550" t="inlineStr">
        <is>
          <t>GVX</t>
        </is>
      </c>
      <c r="H4550" t="inlineStr">
        <is>
          <t>IO</t>
        </is>
      </c>
      <c r="J4550" t="inlineStr">
        <is>
          <t>JAWORSKI</t>
        </is>
      </c>
      <c r="K4550" t="inlineStr">
        <is>
          <t>CUIVRE</t>
        </is>
      </c>
      <c r="L4550">
        <f>_xlfn.XLOOKUP(Tableau1[[#This Row],[TYPE DE PIECE]],Tableau4[MATIERE],Tableau4[SHORT TYPE],"",0,1)</f>
        <v/>
      </c>
      <c r="N4550">
        <f>IF(ISERR(FIND("DECOUPE",Tableau1[[#This Row],[DESIGNATION]])),"","NEED REF")</f>
        <v/>
      </c>
    </row>
    <row r="4551">
      <c r="B4551" t="n">
        <v>34409455</v>
      </c>
      <c r="C4551" s="2" t="n">
        <v>44315</v>
      </c>
      <c r="D4551" t="inlineStr">
        <is>
          <t>SPEC</t>
        </is>
      </c>
      <c r="E4551" t="inlineStr">
        <is>
          <t>COP CX UTIL_L3-1</t>
        </is>
      </c>
      <c r="F4551" t="inlineStr">
        <is>
          <t>JAGUAR NETWORK FR</t>
        </is>
      </c>
      <c r="G4551" t="inlineStr">
        <is>
          <t>GVX</t>
        </is>
      </c>
      <c r="H4551" t="inlineStr">
        <is>
          <t>IO</t>
        </is>
      </c>
      <c r="J4551" t="inlineStr">
        <is>
          <t>JAWORSKI</t>
        </is>
      </c>
      <c r="K4551" t="inlineStr">
        <is>
          <t>CUIVRE</t>
        </is>
      </c>
      <c r="L4551">
        <f>_xlfn.XLOOKUP(Tableau1[[#This Row],[TYPE DE PIECE]],Tableau4[MATIERE],Tableau4[SHORT TYPE],"",0,1)</f>
        <v/>
      </c>
      <c r="N4551">
        <f>IF(ISERR(FIND("DECOUPE",Tableau1[[#This Row],[DESIGNATION]])),"","NEED REF")</f>
        <v/>
      </c>
    </row>
    <row r="4552">
      <c r="B4552" t="n">
        <v>34409454</v>
      </c>
      <c r="C4552" s="2" t="n">
        <v>44315</v>
      </c>
      <c r="D4552" t="inlineStr">
        <is>
          <t>SPEC</t>
        </is>
      </c>
      <c r="E4552" t="inlineStr">
        <is>
          <t>COP CX UTIL_L2-2</t>
        </is>
      </c>
      <c r="F4552" t="inlineStr">
        <is>
          <t>JAGUAR NETWORK FR</t>
        </is>
      </c>
      <c r="G4552" t="inlineStr">
        <is>
          <t>GVX</t>
        </is>
      </c>
      <c r="H4552" t="inlineStr">
        <is>
          <t>IO</t>
        </is>
      </c>
      <c r="J4552" t="inlineStr">
        <is>
          <t>JAWORSKI</t>
        </is>
      </c>
      <c r="K4552" t="inlineStr">
        <is>
          <t>CUIVRE</t>
        </is>
      </c>
      <c r="L4552">
        <f>_xlfn.XLOOKUP(Tableau1[[#This Row],[TYPE DE PIECE]],Tableau4[MATIERE],Tableau4[SHORT TYPE],"",0,1)</f>
        <v/>
      </c>
      <c r="N4552">
        <f>IF(ISERR(FIND("DECOUPE",Tableau1[[#This Row],[DESIGNATION]])),"","NEED REF")</f>
        <v/>
      </c>
    </row>
    <row r="4553">
      <c r="B4553" t="n">
        <v>34409453</v>
      </c>
      <c r="C4553" s="2" t="n">
        <v>44315</v>
      </c>
      <c r="D4553" t="inlineStr">
        <is>
          <t>SPEC</t>
        </is>
      </c>
      <c r="E4553" t="inlineStr">
        <is>
          <t>COP CX UTIL_L2-1</t>
        </is>
      </c>
      <c r="F4553" t="inlineStr">
        <is>
          <t>JAGUAR NETWORK FR</t>
        </is>
      </c>
      <c r="G4553" t="inlineStr">
        <is>
          <t>GVX</t>
        </is>
      </c>
      <c r="H4553" t="inlineStr">
        <is>
          <t>IO</t>
        </is>
      </c>
      <c r="J4553" t="inlineStr">
        <is>
          <t>JAWORSKI</t>
        </is>
      </c>
      <c r="K4553" t="inlineStr">
        <is>
          <t>CUIVRE</t>
        </is>
      </c>
      <c r="L4553">
        <f>_xlfn.XLOOKUP(Tableau1[[#This Row],[TYPE DE PIECE]],Tableau4[MATIERE],Tableau4[SHORT TYPE],"",0,1)</f>
        <v/>
      </c>
      <c r="N4553">
        <f>IF(ISERR(FIND("DECOUPE",Tableau1[[#This Row],[DESIGNATION]])),"","NEED REF")</f>
        <v/>
      </c>
    </row>
    <row r="4554">
      <c r="B4554" t="n">
        <v>34409452</v>
      </c>
      <c r="C4554" s="2" t="n">
        <v>44315</v>
      </c>
      <c r="D4554" t="inlineStr">
        <is>
          <t>SPEC</t>
        </is>
      </c>
      <c r="E4554" t="inlineStr">
        <is>
          <t>COP CX UTIL_L1-2</t>
        </is>
      </c>
      <c r="F4554" t="inlineStr">
        <is>
          <t>JAGUAR NETWORK FR</t>
        </is>
      </c>
      <c r="G4554" t="inlineStr">
        <is>
          <t>GVX</t>
        </is>
      </c>
      <c r="H4554" t="inlineStr">
        <is>
          <t>IO</t>
        </is>
      </c>
      <c r="J4554" t="inlineStr">
        <is>
          <t>JAWORSKI</t>
        </is>
      </c>
      <c r="K4554" t="inlineStr">
        <is>
          <t>CUIVRE</t>
        </is>
      </c>
      <c r="L4554">
        <f>_xlfn.XLOOKUP(Tableau1[[#This Row],[TYPE DE PIECE]],Tableau4[MATIERE],Tableau4[SHORT TYPE],"",0,1)</f>
        <v/>
      </c>
      <c r="N4554">
        <f>IF(ISERR(FIND("DECOUPE",Tableau1[[#This Row],[DESIGNATION]])),"","NEED REF")</f>
        <v/>
      </c>
    </row>
    <row r="4555">
      <c r="B4555" t="n">
        <v>34409451</v>
      </c>
      <c r="C4555" s="2" t="n">
        <v>44315</v>
      </c>
      <c r="D4555" t="inlineStr">
        <is>
          <t>SPEC</t>
        </is>
      </c>
      <c r="E4555" t="inlineStr">
        <is>
          <t>COP CX UTIL_L1-1</t>
        </is>
      </c>
      <c r="F4555" t="inlineStr">
        <is>
          <t>JAGUAR NETWORK FR</t>
        </is>
      </c>
      <c r="G4555" t="inlineStr">
        <is>
          <t>GVX</t>
        </is>
      </c>
      <c r="H4555" t="inlineStr">
        <is>
          <t>IO</t>
        </is>
      </c>
      <c r="J4555" t="inlineStr">
        <is>
          <t>JAWORSKI</t>
        </is>
      </c>
      <c r="K4555" t="inlineStr">
        <is>
          <t>CUIVRE</t>
        </is>
      </c>
      <c r="L4555">
        <f>_xlfn.XLOOKUP(Tableau1[[#This Row],[TYPE DE PIECE]],Tableau4[MATIERE],Tableau4[SHORT TYPE],"",0,1)</f>
        <v/>
      </c>
      <c r="N4555">
        <f>IF(ISERR(FIND("DECOUPE",Tableau1[[#This Row],[DESIGNATION]])),"","NEED REF")</f>
        <v/>
      </c>
    </row>
    <row r="4556">
      <c r="B4556" t="n">
        <v>34409450</v>
      </c>
      <c r="C4556" s="2" t="n">
        <v>44315</v>
      </c>
      <c r="D4556" t="inlineStr">
        <is>
          <t>SPEC</t>
        </is>
      </c>
      <c r="E4556" t="inlineStr">
        <is>
          <t>COP PLAGE TGAB KTA2500 UTIL</t>
        </is>
      </c>
      <c r="F4556" t="inlineStr">
        <is>
          <t>JAGUAR NETWORK FR</t>
        </is>
      </c>
      <c r="G4556" t="inlineStr">
        <is>
          <t>GVX</t>
        </is>
      </c>
      <c r="H4556" t="inlineStr">
        <is>
          <t>IO</t>
        </is>
      </c>
      <c r="J4556" t="inlineStr">
        <is>
          <t>JAWORSKI</t>
        </is>
      </c>
      <c r="K4556" t="inlineStr">
        <is>
          <t>CUIVRE</t>
        </is>
      </c>
      <c r="L4556">
        <f>_xlfn.XLOOKUP(Tableau1[[#This Row],[TYPE DE PIECE]],Tableau4[MATIERE],Tableau4[SHORT TYPE],"",0,1)</f>
        <v/>
      </c>
      <c r="N4556">
        <f>IF(ISERR(FIND("DECOUPE",Tableau1[[#This Row],[DESIGNATION]])),"","NEED REF")</f>
        <v/>
      </c>
    </row>
    <row r="4557">
      <c r="B4557" t="n">
        <v>34409449</v>
      </c>
      <c r="C4557" s="2" t="n">
        <v>44315</v>
      </c>
      <c r="D4557" t="inlineStr">
        <is>
          <t>SPEC</t>
        </is>
      </c>
      <c r="E4557" t="inlineStr">
        <is>
          <t>COP CX PEN 3TGAB</t>
        </is>
      </c>
      <c r="F4557" t="inlineStr">
        <is>
          <t>JAGUAR NETWORK FR</t>
        </is>
      </c>
      <c r="G4557" t="inlineStr">
        <is>
          <t>GVX</t>
        </is>
      </c>
      <c r="H4557" t="inlineStr">
        <is>
          <t>IO</t>
        </is>
      </c>
      <c r="J4557" t="inlineStr">
        <is>
          <t>JAWORSKI</t>
        </is>
      </c>
      <c r="K4557" t="inlineStr">
        <is>
          <t>CUIVRE</t>
        </is>
      </c>
      <c r="L4557">
        <f>_xlfn.XLOOKUP(Tableau1[[#This Row],[TYPE DE PIECE]],Tableau4[MATIERE],Tableau4[SHORT TYPE],"",0,1)</f>
        <v/>
      </c>
      <c r="N4557">
        <f>IF(ISERR(FIND("DECOUPE",Tableau1[[#This Row],[DESIGNATION]])),"","NEED REF")</f>
        <v/>
      </c>
    </row>
    <row r="4558">
      <c r="B4558" t="n">
        <v>34409448</v>
      </c>
      <c r="C4558" s="2" t="n">
        <v>44315</v>
      </c>
      <c r="D4558" t="inlineStr">
        <is>
          <t>SPEC</t>
        </is>
      </c>
      <c r="E4558" t="inlineStr">
        <is>
          <t>COP CX MAINS1_N-3</t>
        </is>
      </c>
      <c r="F4558" t="inlineStr">
        <is>
          <t>JAGUAR NETWORK FR</t>
        </is>
      </c>
      <c r="G4558" t="inlineStr">
        <is>
          <t>GVX</t>
        </is>
      </c>
      <c r="H4558" t="inlineStr">
        <is>
          <t>IO</t>
        </is>
      </c>
      <c r="J4558" t="inlineStr">
        <is>
          <t>JAWORSKI</t>
        </is>
      </c>
      <c r="K4558" t="inlineStr">
        <is>
          <t>CUIVRE</t>
        </is>
      </c>
      <c r="L4558">
        <f>_xlfn.XLOOKUP(Tableau1[[#This Row],[TYPE DE PIECE]],Tableau4[MATIERE],Tableau4[SHORT TYPE],"",0,1)</f>
        <v/>
      </c>
      <c r="N4558">
        <f>IF(ISERR(FIND("DECOUPE",Tableau1[[#This Row],[DESIGNATION]])),"","NEED REF")</f>
        <v/>
      </c>
    </row>
    <row r="4559">
      <c r="B4559" t="n">
        <v>34409447</v>
      </c>
      <c r="C4559" s="2" t="n">
        <v>44315</v>
      </c>
      <c r="D4559" t="inlineStr">
        <is>
          <t>SPEC</t>
        </is>
      </c>
      <c r="E4559" t="inlineStr">
        <is>
          <t>entretoise support toit ar</t>
        </is>
      </c>
      <c r="F4559" t="inlineStr">
        <is>
          <t>GSK BELGIUM</t>
        </is>
      </c>
      <c r="G4559" t="inlineStr">
        <is>
          <t>GVM</t>
        </is>
      </c>
      <c r="J4559" t="inlineStr">
        <is>
          <t>BERNARDEAU</t>
        </is>
      </c>
      <c r="K4559" t="inlineStr">
        <is>
          <t>METAL</t>
        </is>
      </c>
      <c r="L4559">
        <f>_xlfn.XLOOKUP(Tableau1[[#This Row],[TYPE DE PIECE]],Tableau4[MATIERE],Tableau4[SHORT TYPE],"",0,1)</f>
        <v/>
      </c>
      <c r="N4559">
        <f>IF(ISERR(FIND("DECOUPE",Tableau1[[#This Row],[DESIGNATION]])),"","NEED REF")</f>
        <v/>
      </c>
    </row>
    <row r="4560">
      <c r="B4560" t="n">
        <v>34409446</v>
      </c>
      <c r="C4560" s="2" t="n">
        <v>44315</v>
      </c>
      <c r="D4560" t="inlineStr">
        <is>
          <t>SPEC</t>
        </is>
      </c>
      <c r="E4560" t="inlineStr">
        <is>
          <t>entretoise support toit avt</t>
        </is>
      </c>
      <c r="F4560" t="inlineStr">
        <is>
          <t>GSK BELGIUM</t>
        </is>
      </c>
      <c r="G4560" t="inlineStr">
        <is>
          <t>GVM</t>
        </is>
      </c>
      <c r="J4560" t="inlineStr">
        <is>
          <t>BERNARDEAU</t>
        </is>
      </c>
      <c r="K4560" t="inlineStr">
        <is>
          <t>METAL</t>
        </is>
      </c>
      <c r="L4560">
        <f>_xlfn.XLOOKUP(Tableau1[[#This Row],[TYPE DE PIECE]],Tableau4[MATIERE],Tableau4[SHORT TYPE],"",0,1)</f>
        <v/>
      </c>
      <c r="N4560">
        <f>IF(ISERR(FIND("DECOUPE",Tableau1[[#This Row],[DESIGNATION]])),"","NEED REF")</f>
        <v/>
      </c>
    </row>
    <row r="4561">
      <c r="B4561" t="n">
        <v>34409445</v>
      </c>
      <c r="C4561" s="2" t="n">
        <v>44315</v>
      </c>
      <c r="D4561" t="inlineStr">
        <is>
          <t>SPEC</t>
        </is>
      </c>
      <c r="E4561" t="inlineStr">
        <is>
          <t>COP RACC_1 NS1250</t>
        </is>
      </c>
      <c r="G4561" t="inlineStr">
        <is>
          <t>E3L</t>
        </is>
      </c>
      <c r="J4561" t="inlineStr">
        <is>
          <t>MASCELLINO</t>
        </is>
      </c>
      <c r="K4561" t="inlineStr">
        <is>
          <t>CUIVRE</t>
        </is>
      </c>
      <c r="L4561">
        <f>_xlfn.XLOOKUP(Tableau1[[#This Row],[TYPE DE PIECE]],Tableau4[MATIERE],Tableau4[SHORT TYPE],"",0,1)</f>
        <v/>
      </c>
      <c r="N4561">
        <f>IF(ISERR(FIND("DECOUPE",Tableau1[[#This Row],[DESIGNATION]])),"","NEED REF")</f>
        <v/>
      </c>
    </row>
    <row r="4562">
      <c r="B4562" t="n">
        <v>34409444</v>
      </c>
      <c r="C4562" s="2" t="n">
        <v>44315</v>
      </c>
      <c r="D4562" t="inlineStr">
        <is>
          <t>SPEC</t>
        </is>
      </c>
      <c r="E4562" t="inlineStr">
        <is>
          <t>COP RACC_2 NS1250</t>
        </is>
      </c>
      <c r="G4562" t="inlineStr">
        <is>
          <t>E3L</t>
        </is>
      </c>
      <c r="J4562" t="inlineStr">
        <is>
          <t>MASCELLINO</t>
        </is>
      </c>
      <c r="K4562" t="inlineStr">
        <is>
          <t>CUIVRE</t>
        </is>
      </c>
      <c r="L4562">
        <f>_xlfn.XLOOKUP(Tableau1[[#This Row],[TYPE DE PIECE]],Tableau4[MATIERE],Tableau4[SHORT TYPE],"",0,1)</f>
        <v/>
      </c>
      <c r="N4562">
        <f>IF(ISERR(FIND("DECOUPE",Tableau1[[#This Row],[DESIGNATION]])),"","NEED REF")</f>
        <v/>
      </c>
    </row>
    <row r="4563">
      <c r="B4563" t="n">
        <v>34409443</v>
      </c>
      <c r="C4563" s="2" t="n">
        <v>44315</v>
      </c>
      <c r="D4563" t="inlineStr">
        <is>
          <t>SPEC</t>
        </is>
      </c>
      <c r="E4563" t="inlineStr">
        <is>
          <t>COP RACC_3 NS1250</t>
        </is>
      </c>
      <c r="G4563" t="inlineStr">
        <is>
          <t>E3L</t>
        </is>
      </c>
      <c r="J4563" t="inlineStr">
        <is>
          <t>MASCELLINO</t>
        </is>
      </c>
      <c r="K4563" t="inlineStr">
        <is>
          <t>CUIVRE</t>
        </is>
      </c>
      <c r="L4563">
        <f>_xlfn.XLOOKUP(Tableau1[[#This Row],[TYPE DE PIECE]],Tableau4[MATIERE],Tableau4[SHORT TYPE],"",0,1)</f>
        <v/>
      </c>
      <c r="N4563">
        <f>IF(ISERR(FIND("DECOUPE",Tableau1[[#This Row],[DESIGNATION]])),"","NEED REF")</f>
        <v/>
      </c>
    </row>
    <row r="4564">
      <c r="B4564" t="n">
        <v>34409442</v>
      </c>
      <c r="C4564" s="2" t="n">
        <v>44315</v>
      </c>
      <c r="D4564" t="inlineStr">
        <is>
          <t>SPEC</t>
        </is>
      </c>
      <c r="E4564" t="inlineStr">
        <is>
          <t>COP RACC_4 NS1250</t>
        </is>
      </c>
      <c r="G4564" t="inlineStr">
        <is>
          <t>E3L</t>
        </is>
      </c>
      <c r="J4564" t="inlineStr">
        <is>
          <t>MASCELLINO</t>
        </is>
      </c>
      <c r="K4564" t="inlineStr">
        <is>
          <t>CUIVRE</t>
        </is>
      </c>
      <c r="L4564">
        <f>_xlfn.XLOOKUP(Tableau1[[#This Row],[TYPE DE PIECE]],Tableau4[MATIERE],Tableau4[SHORT TYPE],"",0,1)</f>
        <v/>
      </c>
      <c r="N4564">
        <f>IF(ISERR(FIND("DECOUPE",Tableau1[[#This Row],[DESIGNATION]])),"","NEED REF")</f>
        <v/>
      </c>
    </row>
    <row r="4565">
      <c r="B4565" t="n">
        <v>34409441</v>
      </c>
      <c r="C4565" s="2" t="n">
        <v>44315</v>
      </c>
      <c r="D4565" t="inlineStr">
        <is>
          <t>SPEC</t>
        </is>
      </c>
      <c r="E4565" t="inlineStr">
        <is>
          <t>Toit IP32 pour CBC 700mm</t>
        </is>
      </c>
      <c r="F4565" t="inlineStr">
        <is>
          <t>GSK BELGIUM</t>
        </is>
      </c>
      <c r="G4565" t="inlineStr">
        <is>
          <t>GVM</t>
        </is>
      </c>
      <c r="J4565" t="inlineStr">
        <is>
          <t>BERNARDEAU</t>
        </is>
      </c>
      <c r="K4565" t="inlineStr">
        <is>
          <t>METAL</t>
        </is>
      </c>
      <c r="L4565">
        <f>_xlfn.XLOOKUP(Tableau1[[#This Row],[TYPE DE PIECE]],Tableau4[MATIERE],Tableau4[SHORT TYPE],"",0,1)</f>
        <v/>
      </c>
      <c r="N4565">
        <f>IF(ISERR(FIND("DECOUPE",Tableau1[[#This Row],[DESIGNATION]])),"","NEED REF")</f>
        <v/>
      </c>
    </row>
    <row r="4566">
      <c r="B4566" t="n">
        <v>34409440</v>
      </c>
      <c r="C4566" s="2" t="n">
        <v>44315</v>
      </c>
      <c r="D4566" t="inlineStr">
        <is>
          <t>SPEC</t>
        </is>
      </c>
      <c r="E4566" t="inlineStr">
        <is>
          <t>Armoire CBC 700mm avec toit IP32</t>
        </is>
      </c>
      <c r="F4566" t="inlineStr">
        <is>
          <t>GSK BELGIUM</t>
        </is>
      </c>
      <c r="G4566" t="inlineStr">
        <is>
          <t>GVM</t>
        </is>
      </c>
      <c r="J4566" t="inlineStr">
        <is>
          <t>BERNARDEAU</t>
        </is>
      </c>
      <c r="L4566">
        <f>_xlfn.XLOOKUP(Tableau1[[#This Row],[TYPE DE PIECE]],Tableau4[MATIERE],Tableau4[SHORT TYPE],"",0,1)</f>
        <v/>
      </c>
      <c r="N4566">
        <f>IF(ISERR(FIND("DECOUPE",Tableau1[[#This Row],[DESIGNATION]])),"","NEED REF")</f>
        <v/>
      </c>
    </row>
    <row r="4567">
      <c r="B4567" t="n">
        <v>34409439</v>
      </c>
      <c r="C4567" s="2" t="n">
        <v>44315</v>
      </c>
      <c r="D4567" t="inlineStr">
        <is>
          <t>SPEC</t>
        </is>
      </c>
      <c r="E4567" t="inlineStr">
        <is>
          <t>traverse renfort toit IP31</t>
        </is>
      </c>
      <c r="F4567" t="inlineStr">
        <is>
          <t>GSK BELGIUM</t>
        </is>
      </c>
      <c r="G4567" t="inlineStr">
        <is>
          <t>GVM</t>
        </is>
      </c>
      <c r="J4567" t="inlineStr">
        <is>
          <t>BERNARDEAU</t>
        </is>
      </c>
      <c r="K4567" t="inlineStr">
        <is>
          <t>METAL</t>
        </is>
      </c>
      <c r="L4567">
        <f>_xlfn.XLOOKUP(Tableau1[[#This Row],[TYPE DE PIECE]],Tableau4[MATIERE],Tableau4[SHORT TYPE],"",0,1)</f>
        <v/>
      </c>
      <c r="N4567">
        <f>IF(ISERR(FIND("DECOUPE",Tableau1[[#This Row],[DESIGNATION]])),"","NEED REF")</f>
        <v/>
      </c>
    </row>
    <row r="4568">
      <c r="B4568" t="n">
        <v>34409438</v>
      </c>
      <c r="C4568" s="2" t="n">
        <v>44315</v>
      </c>
      <c r="D4568" t="inlineStr">
        <is>
          <t>SPEC</t>
        </is>
      </c>
      <c r="E4568" t="inlineStr">
        <is>
          <t>SMT PLATEAU MTZ</t>
        </is>
      </c>
      <c r="G4568" t="inlineStr">
        <is>
          <t>E3L</t>
        </is>
      </c>
      <c r="H4568" t="inlineStr">
        <is>
          <t>BYPASS</t>
        </is>
      </c>
      <c r="J4568" t="inlineStr">
        <is>
          <t>MASCELLINO</t>
        </is>
      </c>
      <c r="K4568" t="inlineStr">
        <is>
          <t>METAL</t>
        </is>
      </c>
      <c r="L4568">
        <f>_xlfn.XLOOKUP(Tableau1[[#This Row],[TYPE DE PIECE]],Tableau4[MATIERE],Tableau4[SHORT TYPE],"",0,1)</f>
        <v/>
      </c>
      <c r="N4568">
        <f>IF(ISERR(FIND("DECOUPE",Tableau1[[#This Row],[DESIGNATION]])),"","NEED REF")</f>
        <v/>
      </c>
    </row>
    <row r="4569">
      <c r="B4569" t="n">
        <v>34409437</v>
      </c>
      <c r="C4569" s="2" t="n">
        <v>44315</v>
      </c>
      <c r="D4569" t="inlineStr">
        <is>
          <t>SPEC</t>
        </is>
      </c>
      <c r="E4569" t="inlineStr">
        <is>
          <t>SMT TOIT IO1500 3xFEEDER</t>
        </is>
      </c>
      <c r="G4569" t="inlineStr">
        <is>
          <t>GVX</t>
        </is>
      </c>
      <c r="H4569" t="inlineStr">
        <is>
          <t>IO</t>
        </is>
      </c>
      <c r="J4569" t="inlineStr">
        <is>
          <t>MATRION</t>
        </is>
      </c>
      <c r="K4569" t="inlineStr">
        <is>
          <t>METAL</t>
        </is>
      </c>
      <c r="L4569">
        <f>_xlfn.XLOOKUP(Tableau1[[#This Row],[TYPE DE PIECE]],Tableau4[MATIERE],Tableau4[SHORT TYPE],"",0,1)</f>
        <v/>
      </c>
      <c r="N4569">
        <f>IF(ISERR(FIND("DECOUPE",Tableau1[[#This Row],[DESIGNATION]])),"","NEED REF")</f>
        <v/>
      </c>
    </row>
    <row r="4570">
      <c r="B4570" t="n">
        <v>34409436</v>
      </c>
      <c r="C4570" s="2" t="n">
        <v>44315</v>
      </c>
      <c r="D4570" t="inlineStr">
        <is>
          <t>SPEC</t>
        </is>
      </c>
      <c r="E4570" t="inlineStr">
        <is>
          <t>entretoise support toit ar</t>
        </is>
      </c>
      <c r="F4570" t="inlineStr">
        <is>
          <t>GSK BELGIUM</t>
        </is>
      </c>
      <c r="G4570" t="inlineStr">
        <is>
          <t>GVM</t>
        </is>
      </c>
      <c r="J4570" t="inlineStr">
        <is>
          <t>BERNARDEAU</t>
        </is>
      </c>
      <c r="K4570" t="inlineStr">
        <is>
          <t>METAL</t>
        </is>
      </c>
      <c r="L4570">
        <f>_xlfn.XLOOKUP(Tableau1[[#This Row],[TYPE DE PIECE]],Tableau4[MATIERE],Tableau4[SHORT TYPE],"",0,1)</f>
        <v/>
      </c>
      <c r="N4570">
        <f>IF(ISERR(FIND("DECOUPE",Tableau1[[#This Row],[DESIGNATION]])),"","NEED REF")</f>
        <v/>
      </c>
    </row>
    <row r="4571">
      <c r="B4571" t="n">
        <v>34409435</v>
      </c>
      <c r="C4571" s="2" t="n">
        <v>44315</v>
      </c>
      <c r="D4571" t="inlineStr">
        <is>
          <t>SPEC</t>
        </is>
      </c>
      <c r="E4571" t="inlineStr">
        <is>
          <t>PLA PLAQUE ISOLANTE TGAB KTA2500</t>
        </is>
      </c>
      <c r="F4571" t="inlineStr">
        <is>
          <t>JAGUAR NETWORK FR</t>
        </is>
      </c>
      <c r="G4571" t="inlineStr">
        <is>
          <t>GVX</t>
        </is>
      </c>
      <c r="H4571" t="inlineStr">
        <is>
          <t>IO</t>
        </is>
      </c>
      <c r="J4571" t="inlineStr">
        <is>
          <t>JAWORSKI</t>
        </is>
      </c>
      <c r="K4571" t="inlineStr">
        <is>
          <t>PLASTIQUE</t>
        </is>
      </c>
      <c r="L4571">
        <f>_xlfn.XLOOKUP(Tableau1[[#This Row],[TYPE DE PIECE]],Tableau4[MATIERE],Tableau4[SHORT TYPE],"",0,1)</f>
        <v/>
      </c>
      <c r="N4571">
        <f>IF(ISERR(FIND("DECOUPE",Tableau1[[#This Row],[DESIGNATION]])),"","NEED REF")</f>
        <v/>
      </c>
    </row>
    <row r="4572">
      <c r="B4572" t="n">
        <v>34409434</v>
      </c>
      <c r="C4572" s="2" t="n">
        <v>44315</v>
      </c>
      <c r="D4572" t="inlineStr">
        <is>
          <t>SPEC</t>
        </is>
      </c>
      <c r="E4572" t="inlineStr">
        <is>
          <t>COP PLAGE TGAB KTA2500 MAINS2</t>
        </is>
      </c>
      <c r="F4572" t="inlineStr">
        <is>
          <t>JAGUAR NETWORK FR</t>
        </is>
      </c>
      <c r="G4572" t="inlineStr">
        <is>
          <t>GVX</t>
        </is>
      </c>
      <c r="H4572" t="inlineStr">
        <is>
          <t>IO</t>
        </is>
      </c>
      <c r="J4572" t="inlineStr">
        <is>
          <t>JAWORSKI</t>
        </is>
      </c>
      <c r="K4572" t="inlineStr">
        <is>
          <t>CUIVRE</t>
        </is>
      </c>
      <c r="L4572">
        <f>_xlfn.XLOOKUP(Tableau1[[#This Row],[TYPE DE PIECE]],Tableau4[MATIERE],Tableau4[SHORT TYPE],"",0,1)</f>
        <v/>
      </c>
      <c r="N4572">
        <f>IF(ISERR(FIND("DECOUPE",Tableau1[[#This Row],[DESIGNATION]])),"","NEED REF")</f>
        <v/>
      </c>
    </row>
    <row r="4573">
      <c r="B4573" t="n">
        <v>34409433</v>
      </c>
      <c r="C4573" s="2" t="n">
        <v>44314</v>
      </c>
      <c r="D4573" t="inlineStr">
        <is>
          <t>SPEC</t>
        </is>
      </c>
      <c r="E4573" t="inlineStr">
        <is>
          <t>COP CX MAINS2_L3-2</t>
        </is>
      </c>
      <c r="F4573" t="inlineStr">
        <is>
          <t>JAGUAR NETWORK FR</t>
        </is>
      </c>
      <c r="G4573" t="inlineStr">
        <is>
          <t>GVX</t>
        </is>
      </c>
      <c r="H4573" t="inlineStr">
        <is>
          <t>IO</t>
        </is>
      </c>
      <c r="J4573" t="inlineStr">
        <is>
          <t>JAWORSKI</t>
        </is>
      </c>
      <c r="K4573" t="inlineStr">
        <is>
          <t>CUIVRE</t>
        </is>
      </c>
      <c r="L4573">
        <f>_xlfn.XLOOKUP(Tableau1[[#This Row],[TYPE DE PIECE]],Tableau4[MATIERE],Tableau4[SHORT TYPE],"",0,1)</f>
        <v/>
      </c>
      <c r="N4573">
        <f>IF(ISERR(FIND("DECOUPE",Tableau1[[#This Row],[DESIGNATION]])),"","NEED REF")</f>
        <v/>
      </c>
    </row>
    <row r="4574">
      <c r="B4574" t="n">
        <v>34409432</v>
      </c>
      <c r="C4574" s="2" t="n">
        <v>44314</v>
      </c>
      <c r="D4574" t="inlineStr">
        <is>
          <t>SPEC</t>
        </is>
      </c>
      <c r="E4574" t="inlineStr">
        <is>
          <t>COP CX MAINS2_L3-1</t>
        </is>
      </c>
      <c r="F4574" t="inlineStr">
        <is>
          <t>JAGUAR NETWORK FR</t>
        </is>
      </c>
      <c r="G4574" t="inlineStr">
        <is>
          <t>GVX</t>
        </is>
      </c>
      <c r="H4574" t="inlineStr">
        <is>
          <t>IO</t>
        </is>
      </c>
      <c r="J4574" t="inlineStr">
        <is>
          <t>JAWORSKI</t>
        </is>
      </c>
      <c r="K4574" t="inlineStr">
        <is>
          <t>CUIVRE</t>
        </is>
      </c>
      <c r="L4574">
        <f>_xlfn.XLOOKUP(Tableau1[[#This Row],[TYPE DE PIECE]],Tableau4[MATIERE],Tableau4[SHORT TYPE],"",0,1)</f>
        <v/>
      </c>
      <c r="N4574">
        <f>IF(ISERR(FIND("DECOUPE",Tableau1[[#This Row],[DESIGNATION]])),"","NEED REF")</f>
        <v/>
      </c>
    </row>
    <row r="4575">
      <c r="B4575" t="n">
        <v>34409431</v>
      </c>
      <c r="C4575" s="2" t="n">
        <v>44314</v>
      </c>
      <c r="D4575" t="inlineStr">
        <is>
          <t>SPEC</t>
        </is>
      </c>
      <c r="E4575" t="inlineStr">
        <is>
          <t>COP CX MAINS2_L2-2</t>
        </is>
      </c>
      <c r="F4575" t="inlineStr">
        <is>
          <t>JAGUAR NETWORK FR</t>
        </is>
      </c>
      <c r="G4575" t="inlineStr">
        <is>
          <t>GVX</t>
        </is>
      </c>
      <c r="H4575" t="inlineStr">
        <is>
          <t>IO</t>
        </is>
      </c>
      <c r="J4575" t="inlineStr">
        <is>
          <t>JAWORSKI</t>
        </is>
      </c>
      <c r="K4575" t="inlineStr">
        <is>
          <t>CUIVRE</t>
        </is>
      </c>
      <c r="L4575">
        <f>_xlfn.XLOOKUP(Tableau1[[#This Row],[TYPE DE PIECE]],Tableau4[MATIERE],Tableau4[SHORT TYPE],"",0,1)</f>
        <v/>
      </c>
      <c r="N4575">
        <f>IF(ISERR(FIND("DECOUPE",Tableau1[[#This Row],[DESIGNATION]])),"","NEED REF")</f>
        <v/>
      </c>
    </row>
    <row r="4576">
      <c r="B4576" t="n">
        <v>34409430</v>
      </c>
      <c r="C4576" s="2" t="n">
        <v>44314</v>
      </c>
      <c r="D4576" t="inlineStr">
        <is>
          <t>SPEC</t>
        </is>
      </c>
      <c r="E4576" t="inlineStr">
        <is>
          <t>COP CX MAINS2_L2-1</t>
        </is>
      </c>
      <c r="F4576" t="inlineStr">
        <is>
          <t>JAGUAR NETWORK FR</t>
        </is>
      </c>
      <c r="G4576" t="inlineStr">
        <is>
          <t>GVX</t>
        </is>
      </c>
      <c r="H4576" t="inlineStr">
        <is>
          <t>IO</t>
        </is>
      </c>
      <c r="J4576" t="inlineStr">
        <is>
          <t>JAWORSKI</t>
        </is>
      </c>
      <c r="K4576" t="inlineStr">
        <is>
          <t>CUIVRE</t>
        </is>
      </c>
      <c r="L4576">
        <f>_xlfn.XLOOKUP(Tableau1[[#This Row],[TYPE DE PIECE]],Tableau4[MATIERE],Tableau4[SHORT TYPE],"",0,1)</f>
        <v/>
      </c>
      <c r="N4576">
        <f>IF(ISERR(FIND("DECOUPE",Tableau1[[#This Row],[DESIGNATION]])),"","NEED REF")</f>
        <v/>
      </c>
    </row>
    <row r="4577">
      <c r="B4577" t="n">
        <v>34409429</v>
      </c>
      <c r="C4577" s="2" t="n">
        <v>44314</v>
      </c>
      <c r="D4577" t="inlineStr">
        <is>
          <t>SPEC</t>
        </is>
      </c>
      <c r="E4577" t="inlineStr">
        <is>
          <t>COP CX MAINS2_L1-2</t>
        </is>
      </c>
      <c r="F4577" t="inlineStr">
        <is>
          <t>JAGUAR NETWORK FR</t>
        </is>
      </c>
      <c r="G4577" t="inlineStr">
        <is>
          <t>GVX</t>
        </is>
      </c>
      <c r="H4577" t="inlineStr">
        <is>
          <t>IO</t>
        </is>
      </c>
      <c r="J4577" t="inlineStr">
        <is>
          <t>JAWORSKI</t>
        </is>
      </c>
      <c r="K4577" t="inlineStr">
        <is>
          <t>CUIVRE</t>
        </is>
      </c>
      <c r="L4577">
        <f>_xlfn.XLOOKUP(Tableau1[[#This Row],[TYPE DE PIECE]],Tableau4[MATIERE],Tableau4[SHORT TYPE],"",0,1)</f>
        <v/>
      </c>
      <c r="N4577">
        <f>IF(ISERR(FIND("DECOUPE",Tableau1[[#This Row],[DESIGNATION]])),"","NEED REF")</f>
        <v/>
      </c>
    </row>
    <row r="4578">
      <c r="B4578" t="n">
        <v>34409428</v>
      </c>
      <c r="C4578" s="2" t="n">
        <v>44314</v>
      </c>
      <c r="D4578" t="inlineStr">
        <is>
          <t>SPEC</t>
        </is>
      </c>
      <c r="E4578" t="inlineStr">
        <is>
          <t>COP CX MAINS2_L1-1</t>
        </is>
      </c>
      <c r="F4578" t="inlineStr">
        <is>
          <t>JAGUAR NETWORK FR</t>
        </is>
      </c>
      <c r="G4578" t="inlineStr">
        <is>
          <t>GVX</t>
        </is>
      </c>
      <c r="H4578" t="inlineStr">
        <is>
          <t>IO</t>
        </is>
      </c>
      <c r="J4578" t="inlineStr">
        <is>
          <t>JAWORSKI</t>
        </is>
      </c>
      <c r="K4578" t="inlineStr">
        <is>
          <t>CUIVRE</t>
        </is>
      </c>
      <c r="L4578">
        <f>_xlfn.XLOOKUP(Tableau1[[#This Row],[TYPE DE PIECE]],Tableau4[MATIERE],Tableau4[SHORT TYPE],"",0,1)</f>
        <v/>
      </c>
      <c r="N4578">
        <f>IF(ISERR(FIND("DECOUPE",Tableau1[[#This Row],[DESIGNATION]])),"","NEED REF")</f>
        <v/>
      </c>
    </row>
    <row r="4579">
      <c r="B4579" t="n">
        <v>34409427</v>
      </c>
      <c r="C4579" s="2" t="n">
        <v>44314</v>
      </c>
      <c r="D4579" t="inlineStr">
        <is>
          <t>SPEC</t>
        </is>
      </c>
      <c r="E4579" t="inlineStr">
        <is>
          <t>COP PLAGE NEUTRE</t>
        </is>
      </c>
      <c r="F4579" t="inlineStr">
        <is>
          <t>JAGUAR NETWORK FR</t>
        </is>
      </c>
      <c r="G4579" t="inlineStr">
        <is>
          <t>GVX</t>
        </is>
      </c>
      <c r="H4579" t="inlineStr">
        <is>
          <t>IO</t>
        </is>
      </c>
      <c r="J4579" t="inlineStr">
        <is>
          <t>JAWORSKI</t>
        </is>
      </c>
      <c r="K4579" t="inlineStr">
        <is>
          <t>CUIVRE</t>
        </is>
      </c>
      <c r="L4579">
        <f>_xlfn.XLOOKUP(Tableau1[[#This Row],[TYPE DE PIECE]],Tableau4[MATIERE],Tableau4[SHORT TYPE],"",0,1)</f>
        <v/>
      </c>
      <c r="N4579">
        <f>IF(ISERR(FIND("DECOUPE",Tableau1[[#This Row],[DESIGNATION]])),"","NEED REF")</f>
        <v/>
      </c>
    </row>
    <row r="4580">
      <c r="B4580" t="n">
        <v>34409426</v>
      </c>
      <c r="C4580" s="2" t="n">
        <v>44314</v>
      </c>
      <c r="D4580" t="inlineStr">
        <is>
          <t>SPEC</t>
        </is>
      </c>
      <c r="E4580" t="inlineStr">
        <is>
          <t>entretoise support toit avt</t>
        </is>
      </c>
      <c r="F4580" t="inlineStr">
        <is>
          <t>GSK BELGIUM</t>
        </is>
      </c>
      <c r="G4580" t="inlineStr">
        <is>
          <t>GVM</t>
        </is>
      </c>
      <c r="J4580" t="inlineStr">
        <is>
          <t>BERNARDEAU</t>
        </is>
      </c>
      <c r="K4580" t="inlineStr">
        <is>
          <t>METAL</t>
        </is>
      </c>
      <c r="L4580">
        <f>_xlfn.XLOOKUP(Tableau1[[#This Row],[TYPE DE PIECE]],Tableau4[MATIERE],Tableau4[SHORT TYPE],"",0,1)</f>
        <v/>
      </c>
      <c r="N4580">
        <f>IF(ISERR(FIND("DECOUPE",Tableau1[[#This Row],[DESIGNATION]])),"","NEED REF")</f>
        <v/>
      </c>
    </row>
    <row r="4581">
      <c r="B4581" t="n">
        <v>34409425</v>
      </c>
      <c r="C4581" s="2" t="n">
        <v>44314</v>
      </c>
      <c r="D4581" t="inlineStr">
        <is>
          <t>SPEC</t>
        </is>
      </c>
      <c r="E4581" t="inlineStr">
        <is>
          <t>toit IP31 L1400mm</t>
        </is>
      </c>
      <c r="F4581" t="inlineStr">
        <is>
          <t>GSK BELGIUM</t>
        </is>
      </c>
      <c r="G4581" t="inlineStr">
        <is>
          <t>GVM</t>
        </is>
      </c>
      <c r="J4581" t="inlineStr">
        <is>
          <t>BERNARDEAU</t>
        </is>
      </c>
      <c r="K4581" t="inlineStr">
        <is>
          <t>METAL</t>
        </is>
      </c>
      <c r="L4581">
        <f>_xlfn.XLOOKUP(Tableau1[[#This Row],[TYPE DE PIECE]],Tableau4[MATIERE],Tableau4[SHORT TYPE],"",0,1)</f>
        <v/>
      </c>
      <c r="N4581">
        <f>IF(ISERR(FIND("DECOUPE",Tableau1[[#This Row],[DESIGNATION]])),"","NEED REF")</f>
        <v/>
      </c>
    </row>
    <row r="4582">
      <c r="B4582" t="n">
        <v>34409424</v>
      </c>
      <c r="C4582" s="2" t="n">
        <v>44314</v>
      </c>
      <c r="D4582" t="inlineStr">
        <is>
          <t>SPEC</t>
        </is>
      </c>
      <c r="E4582" t="inlineStr">
        <is>
          <t>GVM L1400mm</t>
        </is>
      </c>
      <c r="F4582" t="inlineStr">
        <is>
          <t>GSK BELGIUM</t>
        </is>
      </c>
      <c r="G4582" t="inlineStr">
        <is>
          <t>GVM</t>
        </is>
      </c>
      <c r="J4582" t="inlineStr">
        <is>
          <t>BERNARDEAU</t>
        </is>
      </c>
      <c r="L4582">
        <f>_xlfn.XLOOKUP(Tableau1[[#This Row],[TYPE DE PIECE]],Tableau4[MATIERE],Tableau4[SHORT TYPE],"",0,1)</f>
        <v/>
      </c>
      <c r="N4582">
        <f>IF(ISERR(FIND("DECOUPE",Tableau1[[#This Row],[DESIGNATION]])),"","NEED REF")</f>
        <v/>
      </c>
    </row>
    <row r="4583">
      <c r="B4583" t="n">
        <v>34409423</v>
      </c>
      <c r="C4583" s="2" t="n">
        <v>44314</v>
      </c>
      <c r="D4583" t="inlineStr">
        <is>
          <t>SPEC</t>
        </is>
      </c>
      <c r="E4583" t="inlineStr">
        <is>
          <t>COP</t>
        </is>
      </c>
      <c r="J4583" t="inlineStr">
        <is>
          <t>MATRION</t>
        </is>
      </c>
      <c r="L4583">
        <f>_xlfn.XLOOKUP(Tableau1[[#This Row],[TYPE DE PIECE]],Tableau4[MATIERE],Tableau4[SHORT TYPE],"",0,1)</f>
        <v/>
      </c>
      <c r="N4583">
        <f>IF(ISERR(FIND("DECOUPE",Tableau1[[#This Row],[DESIGNATION]])),"","NEED REF")</f>
        <v/>
      </c>
    </row>
    <row r="4584">
      <c r="B4584" t="n">
        <v>34409422</v>
      </c>
      <c r="C4584" s="2" t="n">
        <v>44314</v>
      </c>
      <c r="D4584" t="inlineStr">
        <is>
          <t>SPEC</t>
        </is>
      </c>
      <c r="E4584" t="inlineStr">
        <is>
          <t>COP MAINS_L3-2</t>
        </is>
      </c>
      <c r="F4584" t="inlineStr">
        <is>
          <t>JAGUAR NETWORK FR</t>
        </is>
      </c>
      <c r="G4584" t="inlineStr">
        <is>
          <t>GVX</t>
        </is>
      </c>
      <c r="H4584" t="inlineStr">
        <is>
          <t>IO</t>
        </is>
      </c>
      <c r="J4584" t="inlineStr">
        <is>
          <t>JAWORSKI</t>
        </is>
      </c>
      <c r="K4584" t="inlineStr">
        <is>
          <t>CUIVRE</t>
        </is>
      </c>
      <c r="L4584">
        <f>_xlfn.XLOOKUP(Tableau1[[#This Row],[TYPE DE PIECE]],Tableau4[MATIERE],Tableau4[SHORT TYPE],"",0,1)</f>
        <v/>
      </c>
      <c r="N4584">
        <f>IF(ISERR(FIND("DECOUPE",Tableau1[[#This Row],[DESIGNATION]])),"","NEED REF")</f>
        <v/>
      </c>
    </row>
    <row r="4585">
      <c r="B4585" t="n">
        <v>34409421</v>
      </c>
      <c r="C4585" s="2" t="n">
        <v>44314</v>
      </c>
      <c r="D4585" t="inlineStr">
        <is>
          <t>SPEC</t>
        </is>
      </c>
      <c r="E4585" t="inlineStr">
        <is>
          <t>COP CX MAINS_L3-1</t>
        </is>
      </c>
      <c r="F4585" t="inlineStr">
        <is>
          <t>JAGUAR NETWORK FR</t>
        </is>
      </c>
      <c r="G4585" t="inlineStr">
        <is>
          <t>GVX</t>
        </is>
      </c>
      <c r="H4585" t="inlineStr">
        <is>
          <t>IO</t>
        </is>
      </c>
      <c r="J4585" t="inlineStr">
        <is>
          <t>JAWORSKI</t>
        </is>
      </c>
      <c r="K4585" t="inlineStr">
        <is>
          <t>CUIVRE</t>
        </is>
      </c>
      <c r="L4585">
        <f>_xlfn.XLOOKUP(Tableau1[[#This Row],[TYPE DE PIECE]],Tableau4[MATIERE],Tableau4[SHORT TYPE],"",0,1)</f>
        <v/>
      </c>
      <c r="N4585">
        <f>IF(ISERR(FIND("DECOUPE",Tableau1[[#This Row],[DESIGNATION]])),"","NEED REF")</f>
        <v/>
      </c>
    </row>
    <row r="4586">
      <c r="B4586" t="n">
        <v>34409420</v>
      </c>
      <c r="C4586" s="2" t="n">
        <v>44314</v>
      </c>
      <c r="D4586" t="inlineStr">
        <is>
          <t>SPEC</t>
        </is>
      </c>
      <c r="E4586" t="inlineStr">
        <is>
          <t>COP CX MAINS_L2-2</t>
        </is>
      </c>
      <c r="F4586" t="inlineStr">
        <is>
          <t>JAGUAR NETWORK FR</t>
        </is>
      </c>
      <c r="G4586" t="inlineStr">
        <is>
          <t>GVX</t>
        </is>
      </c>
      <c r="H4586" t="inlineStr">
        <is>
          <t>IO</t>
        </is>
      </c>
      <c r="J4586" t="inlineStr">
        <is>
          <t>JAWORSKI</t>
        </is>
      </c>
      <c r="K4586" t="inlineStr">
        <is>
          <t>CUIVRE</t>
        </is>
      </c>
      <c r="L4586">
        <f>_xlfn.XLOOKUP(Tableau1[[#This Row],[TYPE DE PIECE]],Tableau4[MATIERE],Tableau4[SHORT TYPE],"",0,1)</f>
        <v/>
      </c>
      <c r="N4586">
        <f>IF(ISERR(FIND("DECOUPE",Tableau1[[#This Row],[DESIGNATION]])),"","NEED REF")</f>
        <v/>
      </c>
    </row>
    <row r="4587">
      <c r="B4587" t="n">
        <v>34409419</v>
      </c>
      <c r="C4587" s="2" t="n">
        <v>44314</v>
      </c>
      <c r="D4587" t="inlineStr">
        <is>
          <t>SPEC</t>
        </is>
      </c>
      <c r="E4587" t="inlineStr">
        <is>
          <t>COP CX MAINS_L2-1</t>
        </is>
      </c>
      <c r="F4587" t="inlineStr">
        <is>
          <t>JAGUAR NETWORK FR</t>
        </is>
      </c>
      <c r="G4587" t="inlineStr">
        <is>
          <t>GVX</t>
        </is>
      </c>
      <c r="H4587" t="inlineStr">
        <is>
          <t>IO</t>
        </is>
      </c>
      <c r="J4587" t="inlineStr">
        <is>
          <t>JAWORSKI</t>
        </is>
      </c>
      <c r="K4587" t="inlineStr">
        <is>
          <t>CUIVRE</t>
        </is>
      </c>
      <c r="L4587">
        <f>_xlfn.XLOOKUP(Tableau1[[#This Row],[TYPE DE PIECE]],Tableau4[MATIERE],Tableau4[SHORT TYPE],"",0,1)</f>
        <v/>
      </c>
      <c r="N4587">
        <f>IF(ISERR(FIND("DECOUPE",Tableau1[[#This Row],[DESIGNATION]])),"","NEED REF")</f>
        <v/>
      </c>
    </row>
    <row r="4588">
      <c r="B4588" t="n">
        <v>34409418</v>
      </c>
      <c r="C4588" s="2" t="n">
        <v>44314</v>
      </c>
      <c r="D4588" t="inlineStr">
        <is>
          <t>SPEC</t>
        </is>
      </c>
      <c r="E4588" t="inlineStr">
        <is>
          <t>COP CX MAINS_L1-2</t>
        </is>
      </c>
      <c r="F4588" t="inlineStr">
        <is>
          <t>JAGUAR NETWORK FR</t>
        </is>
      </c>
      <c r="G4588" t="inlineStr">
        <is>
          <t>GVX</t>
        </is>
      </c>
      <c r="H4588" t="inlineStr">
        <is>
          <t>IO</t>
        </is>
      </c>
      <c r="J4588" t="inlineStr">
        <is>
          <t>JAWORSKI</t>
        </is>
      </c>
      <c r="K4588" t="inlineStr">
        <is>
          <t>CUIVRE</t>
        </is>
      </c>
      <c r="L4588">
        <f>_xlfn.XLOOKUP(Tableau1[[#This Row],[TYPE DE PIECE]],Tableau4[MATIERE],Tableau4[SHORT TYPE],"",0,1)</f>
        <v/>
      </c>
      <c r="N4588">
        <f>IF(ISERR(FIND("DECOUPE",Tableau1[[#This Row],[DESIGNATION]])),"","NEED REF")</f>
        <v/>
      </c>
    </row>
    <row r="4589">
      <c r="B4589" t="n">
        <v>34409417</v>
      </c>
      <c r="C4589" s="2" t="n">
        <v>44314</v>
      </c>
      <c r="D4589" t="inlineStr">
        <is>
          <t>SPEC</t>
        </is>
      </c>
      <c r="E4589" t="inlineStr">
        <is>
          <t>COP CX MAINS 1_L1-1</t>
        </is>
      </c>
      <c r="F4589" t="inlineStr">
        <is>
          <t>JAGUAR NETWORK FR</t>
        </is>
      </c>
      <c r="G4589" t="inlineStr">
        <is>
          <t>GVX</t>
        </is>
      </c>
      <c r="H4589" t="inlineStr">
        <is>
          <t>IO</t>
        </is>
      </c>
      <c r="J4589" t="inlineStr">
        <is>
          <t>JAWORSKI</t>
        </is>
      </c>
      <c r="K4589" t="inlineStr">
        <is>
          <t>CUIVRE</t>
        </is>
      </c>
      <c r="L4589">
        <f>_xlfn.XLOOKUP(Tableau1[[#This Row],[TYPE DE PIECE]],Tableau4[MATIERE],Tableau4[SHORT TYPE],"",0,1)</f>
        <v/>
      </c>
      <c r="N4589">
        <f>IF(ISERR(FIND("DECOUPE",Tableau1[[#This Row],[DESIGNATION]])),"","NEED REF")</f>
        <v/>
      </c>
    </row>
    <row r="4590">
      <c r="B4590" t="n">
        <v>34409416</v>
      </c>
      <c r="C4590" s="2" t="n">
        <v>44314</v>
      </c>
      <c r="D4590" t="inlineStr">
        <is>
          <t>SPEC</t>
        </is>
      </c>
      <c r="E4590" t="inlineStr">
        <is>
          <t>COP CX MAINS 1_N-2</t>
        </is>
      </c>
      <c r="F4590" t="inlineStr">
        <is>
          <t>JAGUAR NETWORK FR</t>
        </is>
      </c>
      <c r="G4590" t="inlineStr">
        <is>
          <t>GVX</t>
        </is>
      </c>
      <c r="H4590" t="inlineStr">
        <is>
          <t>IO</t>
        </is>
      </c>
      <c r="J4590" t="inlineStr">
        <is>
          <t>JAWORSKI</t>
        </is>
      </c>
      <c r="K4590" t="inlineStr">
        <is>
          <t>CUIVRE</t>
        </is>
      </c>
      <c r="L4590">
        <f>_xlfn.XLOOKUP(Tableau1[[#This Row],[TYPE DE PIECE]],Tableau4[MATIERE],Tableau4[SHORT TYPE],"",0,1)</f>
        <v/>
      </c>
      <c r="N4590">
        <f>IF(ISERR(FIND("DECOUPE",Tableau1[[#This Row],[DESIGNATION]])),"","NEED REF")</f>
        <v/>
      </c>
    </row>
    <row r="4591">
      <c r="B4591" t="n">
        <v>34409415</v>
      </c>
      <c r="C4591" s="2" t="n">
        <v>44314</v>
      </c>
      <c r="D4591" t="inlineStr">
        <is>
          <t>SPEC</t>
        </is>
      </c>
      <c r="E4591" t="inlineStr">
        <is>
          <t>COP CX MAINS 1_N-1</t>
        </is>
      </c>
      <c r="F4591" t="inlineStr">
        <is>
          <t>JAGUAR NETWORK FR</t>
        </is>
      </c>
      <c r="G4591" t="inlineStr">
        <is>
          <t>GVX</t>
        </is>
      </c>
      <c r="H4591" t="inlineStr">
        <is>
          <t>IO</t>
        </is>
      </c>
      <c r="J4591" t="inlineStr">
        <is>
          <t>JAWORSKI</t>
        </is>
      </c>
      <c r="K4591" t="inlineStr">
        <is>
          <t>CUIVRE</t>
        </is>
      </c>
      <c r="L4591">
        <f>_xlfn.XLOOKUP(Tableau1[[#This Row],[TYPE DE PIECE]],Tableau4[MATIERE],Tableau4[SHORT TYPE],"",0,1)</f>
        <v/>
      </c>
      <c r="N4591">
        <f>IF(ISERR(FIND("DECOUPE",Tableau1[[#This Row],[DESIGNATION]])),"","NEED REF")</f>
        <v/>
      </c>
    </row>
    <row r="4592">
      <c r="B4592" t="n">
        <v>34409414</v>
      </c>
      <c r="C4592" s="2" t="n">
        <v>44313</v>
      </c>
      <c r="D4592" t="inlineStr">
        <is>
          <t>SPEC</t>
        </is>
      </c>
      <c r="E4592" t="inlineStr">
        <is>
          <t>COP PLAGE TGAB KTA3200</t>
        </is>
      </c>
      <c r="F4592" t="inlineStr">
        <is>
          <t>JAGUAR NETWORK FR</t>
        </is>
      </c>
      <c r="G4592" t="inlineStr">
        <is>
          <t>GVX</t>
        </is>
      </c>
      <c r="H4592" t="inlineStr">
        <is>
          <t>IO</t>
        </is>
      </c>
      <c r="J4592" t="inlineStr">
        <is>
          <t>JAWORSKI</t>
        </is>
      </c>
      <c r="K4592" t="inlineStr">
        <is>
          <t>CUIVRE</t>
        </is>
      </c>
      <c r="L4592">
        <f>_xlfn.XLOOKUP(Tableau1[[#This Row],[TYPE DE PIECE]],Tableau4[MATIERE],Tableau4[SHORT TYPE],"",0,1)</f>
        <v/>
      </c>
      <c r="N4592">
        <f>IF(ISERR(FIND("DECOUPE",Tableau1[[#This Row],[DESIGNATION]])),"","NEED REF")</f>
        <v/>
      </c>
    </row>
    <row r="4593">
      <c r="B4593" t="n">
        <v>34409413</v>
      </c>
      <c r="C4593" s="2" t="n">
        <v>44313</v>
      </c>
      <c r="D4593" t="inlineStr">
        <is>
          <t>SPEC</t>
        </is>
      </c>
      <c r="E4593" t="inlineStr">
        <is>
          <t>SMT REHAUSSE IO 1500kVA 200MM 3xKTA RAL9003</t>
        </is>
      </c>
      <c r="F4593" t="inlineStr">
        <is>
          <t>JAGUAR NETWORK FR</t>
        </is>
      </c>
      <c r="G4593" t="inlineStr">
        <is>
          <t>GVX</t>
        </is>
      </c>
      <c r="H4593" t="inlineStr">
        <is>
          <t>IO</t>
        </is>
      </c>
      <c r="J4593" t="inlineStr">
        <is>
          <t>JAWORSKI</t>
        </is>
      </c>
      <c r="K4593" t="inlineStr">
        <is>
          <t>METAL</t>
        </is>
      </c>
      <c r="L4593">
        <f>_xlfn.XLOOKUP(Tableau1[[#This Row],[TYPE DE PIECE]],Tableau4[MATIERE],Tableau4[SHORT TYPE],"",0,1)</f>
        <v/>
      </c>
      <c r="N4593">
        <f>IF(ISERR(FIND("DECOUPE",Tableau1[[#This Row],[DESIGNATION]])),"","NEED REF")</f>
        <v/>
      </c>
    </row>
    <row r="4594">
      <c r="B4594" t="n">
        <v>34409412</v>
      </c>
      <c r="C4594" s="2" t="n">
        <v>44313</v>
      </c>
      <c r="D4594" t="inlineStr">
        <is>
          <t>SPEC</t>
        </is>
      </c>
      <c r="E4594" t="inlineStr">
        <is>
          <t>COP L3 MAINS 2</t>
        </is>
      </c>
      <c r="F4594" t="inlineStr">
        <is>
          <t>JAGUAR NETWORK FR</t>
        </is>
      </c>
      <c r="G4594" t="inlineStr">
        <is>
          <t>GVX</t>
        </is>
      </c>
      <c r="H4594" t="inlineStr">
        <is>
          <t>IO</t>
        </is>
      </c>
      <c r="J4594" t="inlineStr">
        <is>
          <t>JAWORSKI</t>
        </is>
      </c>
      <c r="K4594" t="inlineStr">
        <is>
          <t>CUIVRE</t>
        </is>
      </c>
      <c r="L4594">
        <f>_xlfn.XLOOKUP(Tableau1[[#This Row],[TYPE DE PIECE]],Tableau4[MATIERE],Tableau4[SHORT TYPE],"",0,1)</f>
        <v/>
      </c>
      <c r="N4594">
        <f>IF(ISERR(FIND("DECOUPE",Tableau1[[#This Row],[DESIGNATION]])),"","NEED REF")</f>
        <v/>
      </c>
    </row>
    <row r="4595">
      <c r="B4595" t="n">
        <v>34409411</v>
      </c>
      <c r="C4595" s="2" t="n">
        <v>44313</v>
      </c>
      <c r="D4595" t="inlineStr">
        <is>
          <t>SPEC</t>
        </is>
      </c>
      <c r="E4595" t="inlineStr">
        <is>
          <t>COP L2 MAINS 2</t>
        </is>
      </c>
      <c r="F4595" t="inlineStr">
        <is>
          <t>JAGUAR NETWORK FR</t>
        </is>
      </c>
      <c r="G4595" t="inlineStr">
        <is>
          <t>GVX</t>
        </is>
      </c>
      <c r="H4595" t="inlineStr">
        <is>
          <t>IO</t>
        </is>
      </c>
      <c r="J4595" t="inlineStr">
        <is>
          <t>JAWORSKI</t>
        </is>
      </c>
      <c r="K4595" t="inlineStr">
        <is>
          <t>CUIVRE</t>
        </is>
      </c>
      <c r="L4595">
        <f>_xlfn.XLOOKUP(Tableau1[[#This Row],[TYPE DE PIECE]],Tableau4[MATIERE],Tableau4[SHORT TYPE],"",0,1)</f>
        <v/>
      </c>
      <c r="N4595">
        <f>IF(ISERR(FIND("DECOUPE",Tableau1[[#This Row],[DESIGNATION]])),"","NEED REF")</f>
        <v/>
      </c>
    </row>
    <row r="4596">
      <c r="B4596" t="n">
        <v>34409410</v>
      </c>
      <c r="C4596" s="2" t="n">
        <v>44313</v>
      </c>
      <c r="D4596" t="inlineStr">
        <is>
          <t>SPEC</t>
        </is>
      </c>
      <c r="E4596" t="inlineStr">
        <is>
          <t>COP L1 MAINS 2</t>
        </is>
      </c>
      <c r="F4596" t="inlineStr">
        <is>
          <t>JAGUAR NETWORK FR</t>
        </is>
      </c>
      <c r="G4596" t="inlineStr">
        <is>
          <t>GVX</t>
        </is>
      </c>
      <c r="H4596" t="inlineStr">
        <is>
          <t>IO</t>
        </is>
      </c>
      <c r="J4596" t="inlineStr">
        <is>
          <t>JAWORSKI</t>
        </is>
      </c>
      <c r="K4596" t="inlineStr">
        <is>
          <t>CUIVRE</t>
        </is>
      </c>
      <c r="L4596">
        <f>_xlfn.XLOOKUP(Tableau1[[#This Row],[TYPE DE PIECE]],Tableau4[MATIERE],Tableau4[SHORT TYPE],"",0,1)</f>
        <v/>
      </c>
      <c r="N4596">
        <f>IF(ISERR(FIND("DECOUPE",Tableau1[[#This Row],[DESIGNATION]])),"","NEED REF")</f>
        <v/>
      </c>
    </row>
    <row r="4597">
      <c r="B4597" t="n">
        <v>34409409</v>
      </c>
      <c r="C4597" s="2" t="n">
        <v>44313</v>
      </c>
      <c r="D4597" t="inlineStr">
        <is>
          <t>SPEC</t>
        </is>
      </c>
      <c r="E4597" t="inlineStr">
        <is>
          <t>CALE</t>
        </is>
      </c>
      <c r="F4597" t="inlineStr">
        <is>
          <t>ST MICRO Italie</t>
        </is>
      </c>
      <c r="G4597" t="inlineStr">
        <is>
          <t>GVX</t>
        </is>
      </c>
      <c r="H4597" t="inlineStr">
        <is>
          <t>IO</t>
        </is>
      </c>
      <c r="J4597" t="inlineStr">
        <is>
          <t>MASCELLINO</t>
        </is>
      </c>
      <c r="K4597" t="inlineStr">
        <is>
          <t>CUIVRE</t>
        </is>
      </c>
      <c r="L4597">
        <f>_xlfn.XLOOKUP(Tableau1[[#This Row],[TYPE DE PIECE]],Tableau4[MATIERE],Tableau4[SHORT TYPE],"",0,1)</f>
        <v/>
      </c>
      <c r="N4597">
        <f>IF(ISERR(FIND("DECOUPE",Tableau1[[#This Row],[DESIGNATION]])),"","NEED REF")</f>
        <v/>
      </c>
    </row>
    <row r="4598">
      <c r="B4598" t="n">
        <v>34409408</v>
      </c>
      <c r="C4598" s="2" t="n">
        <v>44312</v>
      </c>
      <c r="D4598" t="inlineStr">
        <is>
          <t>SPEC</t>
        </is>
      </c>
      <c r="E4598" t="inlineStr">
        <is>
          <t>COP LIAISON LLINERGY VERS TETE 6</t>
        </is>
      </c>
      <c r="F4598" t="inlineStr">
        <is>
          <t>ST MICRO Italie</t>
        </is>
      </c>
      <c r="G4598" t="inlineStr">
        <is>
          <t>GVX</t>
        </is>
      </c>
      <c r="H4598" t="inlineStr">
        <is>
          <t>IO</t>
        </is>
      </c>
      <c r="J4598" t="inlineStr">
        <is>
          <t>MASCELLINO</t>
        </is>
      </c>
      <c r="K4598" t="inlineStr">
        <is>
          <t>CUIVRE</t>
        </is>
      </c>
      <c r="L4598">
        <f>_xlfn.XLOOKUP(Tableau1[[#This Row],[TYPE DE PIECE]],Tableau4[MATIERE],Tableau4[SHORT TYPE],"",0,1)</f>
        <v/>
      </c>
      <c r="N4598">
        <f>IF(ISERR(FIND("DECOUPE",Tableau1[[#This Row],[DESIGNATION]])),"","NEED REF")</f>
        <v/>
      </c>
    </row>
    <row r="4599">
      <c r="B4599" t="n">
        <v>34409407</v>
      </c>
      <c r="C4599" s="2" t="n">
        <v>44306</v>
      </c>
      <c r="D4599" t="inlineStr">
        <is>
          <t>SPEC</t>
        </is>
      </c>
      <c r="E4599" t="inlineStr">
        <is>
          <t>PROTECTION CUIVRE</t>
        </is>
      </c>
      <c r="F4599" t="inlineStr">
        <is>
          <t>ST MICRO Italie</t>
        </is>
      </c>
      <c r="G4599" t="inlineStr">
        <is>
          <t>GVX</t>
        </is>
      </c>
      <c r="H4599" t="inlineStr">
        <is>
          <t>IO</t>
        </is>
      </c>
      <c r="J4599" t="inlineStr">
        <is>
          <t>MASCELLINO</t>
        </is>
      </c>
      <c r="K4599" t="inlineStr">
        <is>
          <t>PLASTIQUE</t>
        </is>
      </c>
      <c r="L4599">
        <f>_xlfn.XLOOKUP(Tableau1[[#This Row],[TYPE DE PIECE]],Tableau4[MATIERE],Tableau4[SHORT TYPE],"",0,1)</f>
        <v/>
      </c>
      <c r="N4599">
        <f>IF(ISERR(FIND("DECOUPE",Tableau1[[#This Row],[DESIGNATION]])),"","NEED REF")</f>
        <v/>
      </c>
    </row>
    <row r="4600">
      <c r="B4600" t="n">
        <v>34409406</v>
      </c>
      <c r="C4600" s="2" t="n">
        <v>44306</v>
      </c>
      <c r="D4600" t="inlineStr">
        <is>
          <t>SPEC</t>
        </is>
      </c>
      <c r="E4600" t="inlineStr">
        <is>
          <t>COP LIAISON LLINERGY VERS TETE 4</t>
        </is>
      </c>
      <c r="F4600" t="inlineStr">
        <is>
          <t>ST MICRO Italie</t>
        </is>
      </c>
      <c r="G4600" t="inlineStr">
        <is>
          <t>GVX</t>
        </is>
      </c>
      <c r="H4600" t="inlineStr">
        <is>
          <t>IO</t>
        </is>
      </c>
      <c r="J4600" t="inlineStr">
        <is>
          <t>MASCELLINO</t>
        </is>
      </c>
      <c r="K4600" t="inlineStr">
        <is>
          <t>CUIVRE</t>
        </is>
      </c>
      <c r="L4600">
        <f>_xlfn.XLOOKUP(Tableau1[[#This Row],[TYPE DE PIECE]],Tableau4[MATIERE],Tableau4[SHORT TYPE],"",0,1)</f>
        <v/>
      </c>
      <c r="N4600">
        <f>IF(ISERR(FIND("DECOUPE",Tableau1[[#This Row],[DESIGNATION]])),"","NEED REF")</f>
        <v/>
      </c>
    </row>
    <row r="4601">
      <c r="B4601" t="n">
        <v>34409405</v>
      </c>
      <c r="C4601" s="2" t="n">
        <v>44306</v>
      </c>
      <c r="D4601" t="inlineStr">
        <is>
          <t>SPEC</t>
        </is>
      </c>
      <c r="E4601" t="inlineStr">
        <is>
          <t>COP CALE 100x100x1</t>
        </is>
      </c>
      <c r="F4601" t="inlineStr">
        <is>
          <t>ST MICRO Italie</t>
        </is>
      </c>
      <c r="G4601" t="inlineStr">
        <is>
          <t>GVX</t>
        </is>
      </c>
      <c r="H4601" t="inlineStr">
        <is>
          <t>IO</t>
        </is>
      </c>
      <c r="J4601" t="inlineStr">
        <is>
          <t>MASCELLINO</t>
        </is>
      </c>
      <c r="K4601" t="inlineStr">
        <is>
          <t>CUIVRE</t>
        </is>
      </c>
      <c r="L4601">
        <f>_xlfn.XLOOKUP(Tableau1[[#This Row],[TYPE DE PIECE]],Tableau4[MATIERE],Tableau4[SHORT TYPE],"",0,1)</f>
        <v/>
      </c>
      <c r="N4601">
        <f>IF(ISERR(FIND("DECOUPE",Tableau1[[#This Row],[DESIGNATION]])),"","NEED REF")</f>
        <v/>
      </c>
    </row>
    <row r="4602">
      <c r="B4602" t="n">
        <v>34409404</v>
      </c>
      <c r="C4602" s="2" t="n">
        <v>44306</v>
      </c>
      <c r="D4602" t="inlineStr">
        <is>
          <t>SPEC</t>
        </is>
      </c>
      <c r="E4602" t="inlineStr">
        <is>
          <t>COP LIAISON LLINERGY VERS TETE 5</t>
        </is>
      </c>
      <c r="F4602" t="inlineStr">
        <is>
          <t>ST MICRO Italie</t>
        </is>
      </c>
      <c r="G4602" t="inlineStr">
        <is>
          <t>GVX</t>
        </is>
      </c>
      <c r="H4602" t="inlineStr">
        <is>
          <t>IO</t>
        </is>
      </c>
      <c r="J4602" t="inlineStr">
        <is>
          <t>MASCELLINO</t>
        </is>
      </c>
      <c r="K4602" t="inlineStr">
        <is>
          <t>CUIVRE</t>
        </is>
      </c>
      <c r="L4602">
        <f>_xlfn.XLOOKUP(Tableau1[[#This Row],[TYPE DE PIECE]],Tableau4[MATIERE],Tableau4[SHORT TYPE],"",0,1)</f>
        <v/>
      </c>
      <c r="N4602">
        <f>IF(ISERR(FIND("DECOUPE",Tableau1[[#This Row],[DESIGNATION]])),"","NEED REF")</f>
        <v/>
      </c>
    </row>
    <row r="4603">
      <c r="B4603" t="n">
        <v>34409403</v>
      </c>
      <c r="C4603" s="2" t="n">
        <v>44306</v>
      </c>
      <c r="D4603" t="inlineStr">
        <is>
          <t>SPEC</t>
        </is>
      </c>
      <c r="E4603" t="inlineStr">
        <is>
          <t>COP MAINS1 4</t>
        </is>
      </c>
      <c r="F4603" t="inlineStr">
        <is>
          <t>ST MICRO Italie</t>
        </is>
      </c>
      <c r="G4603" t="inlineStr">
        <is>
          <t>GVX</t>
        </is>
      </c>
      <c r="H4603" t="inlineStr">
        <is>
          <t>IO</t>
        </is>
      </c>
      <c r="J4603" t="inlineStr">
        <is>
          <t>MASCELLINO</t>
        </is>
      </c>
      <c r="K4603" t="inlineStr">
        <is>
          <t>CUIVRE</t>
        </is>
      </c>
      <c r="L4603">
        <f>_xlfn.XLOOKUP(Tableau1[[#This Row],[TYPE DE PIECE]],Tableau4[MATIERE],Tableau4[SHORT TYPE],"",0,1)</f>
        <v/>
      </c>
      <c r="N4603">
        <f>IF(ISERR(FIND("DECOUPE",Tableau1[[#This Row],[DESIGNATION]])),"","NEED REF")</f>
        <v/>
      </c>
    </row>
    <row r="4604">
      <c r="B4604" t="n">
        <v>34409402</v>
      </c>
      <c r="C4604" s="2" t="n">
        <v>44306</v>
      </c>
      <c r="D4604" t="inlineStr">
        <is>
          <t>SPEC</t>
        </is>
      </c>
      <c r="E4604" t="inlineStr">
        <is>
          <t>COP MAINS1 5</t>
        </is>
      </c>
      <c r="F4604" t="inlineStr">
        <is>
          <t>ST MICRO Italie</t>
        </is>
      </c>
      <c r="G4604" t="inlineStr">
        <is>
          <t>GVX</t>
        </is>
      </c>
      <c r="H4604" t="inlineStr">
        <is>
          <t>IO</t>
        </is>
      </c>
      <c r="J4604" t="inlineStr">
        <is>
          <t>MASCELLINO</t>
        </is>
      </c>
      <c r="K4604" t="inlineStr">
        <is>
          <t>CUIVRE</t>
        </is>
      </c>
      <c r="L4604">
        <f>_xlfn.XLOOKUP(Tableau1[[#This Row],[TYPE DE PIECE]],Tableau4[MATIERE],Tableau4[SHORT TYPE],"",0,1)</f>
        <v/>
      </c>
      <c r="N4604">
        <f>IF(ISERR(FIND("DECOUPE",Tableau1[[#This Row],[DESIGNATION]])),"","NEED REF")</f>
        <v/>
      </c>
    </row>
    <row r="4605">
      <c r="B4605" t="n">
        <v>34409401</v>
      </c>
      <c r="C4605" s="2" t="n">
        <v>44306</v>
      </c>
      <c r="D4605" t="inlineStr">
        <is>
          <t>SPEC</t>
        </is>
      </c>
      <c r="E4605" t="inlineStr">
        <is>
          <t>COP MAINS1 4</t>
        </is>
      </c>
      <c r="F4605" t="inlineStr">
        <is>
          <t>ST MICRO Italie</t>
        </is>
      </c>
      <c r="G4605" t="inlineStr">
        <is>
          <t>GVX</t>
        </is>
      </c>
      <c r="H4605" t="inlineStr">
        <is>
          <t>IO</t>
        </is>
      </c>
      <c r="J4605" t="inlineStr">
        <is>
          <t>MASCELLINO</t>
        </is>
      </c>
      <c r="K4605" t="inlineStr">
        <is>
          <t>CUIVRE</t>
        </is>
      </c>
      <c r="L4605">
        <f>_xlfn.XLOOKUP(Tableau1[[#This Row],[TYPE DE PIECE]],Tableau4[MATIERE],Tableau4[SHORT TYPE],"",0,1)</f>
        <v/>
      </c>
      <c r="N4605">
        <f>IF(ISERR(FIND("DECOUPE",Tableau1[[#This Row],[DESIGNATION]])),"","NEED REF")</f>
        <v/>
      </c>
    </row>
    <row r="4606">
      <c r="B4606" t="n">
        <v>34409400</v>
      </c>
      <c r="C4606" s="2" t="n">
        <v>44305</v>
      </c>
      <c r="D4606" t="inlineStr">
        <is>
          <t>SPEC</t>
        </is>
      </c>
      <c r="E4606" t="inlineStr">
        <is>
          <t>COP MAINS1 5</t>
        </is>
      </c>
      <c r="F4606" t="inlineStr">
        <is>
          <t>ST MICRO Italie</t>
        </is>
      </c>
      <c r="G4606" t="inlineStr">
        <is>
          <t>GVX</t>
        </is>
      </c>
      <c r="H4606" t="inlineStr">
        <is>
          <t>IO</t>
        </is>
      </c>
      <c r="J4606" t="inlineStr">
        <is>
          <t>MASCELLINO</t>
        </is>
      </c>
      <c r="K4606" t="inlineStr">
        <is>
          <t>CUIVRE</t>
        </is>
      </c>
      <c r="L4606">
        <f>_xlfn.XLOOKUP(Tableau1[[#This Row],[TYPE DE PIECE]],Tableau4[MATIERE],Tableau4[SHORT TYPE],"",0,1)</f>
        <v/>
      </c>
      <c r="N4606">
        <f>IF(ISERR(FIND("DECOUPE",Tableau1[[#This Row],[DESIGNATION]])),"","NEED REF")</f>
        <v/>
      </c>
    </row>
    <row r="4607">
      <c r="B4607" t="n">
        <v>34409399</v>
      </c>
      <c r="C4607" s="2" t="n">
        <v>44305</v>
      </c>
      <c r="D4607" t="inlineStr">
        <is>
          <t>SPEC</t>
        </is>
      </c>
      <c r="E4607" t="inlineStr">
        <is>
          <t>COP LIAISON LLINERGY VERS TETE 3</t>
        </is>
      </c>
      <c r="F4607" t="inlineStr">
        <is>
          <t>ST MICRO Italie</t>
        </is>
      </c>
      <c r="G4607" t="inlineStr">
        <is>
          <t>GVX</t>
        </is>
      </c>
      <c r="H4607" t="inlineStr">
        <is>
          <t>IO</t>
        </is>
      </c>
      <c r="J4607" t="inlineStr">
        <is>
          <t>MASCELLINO</t>
        </is>
      </c>
      <c r="K4607" t="inlineStr">
        <is>
          <t>CUIVRE</t>
        </is>
      </c>
      <c r="L4607">
        <f>_xlfn.XLOOKUP(Tableau1[[#This Row],[TYPE DE PIECE]],Tableau4[MATIERE],Tableau4[SHORT TYPE],"",0,1)</f>
        <v/>
      </c>
      <c r="N4607">
        <f>IF(ISERR(FIND("DECOUPE",Tableau1[[#This Row],[DESIGNATION]])),"","NEED REF")</f>
        <v/>
      </c>
    </row>
    <row r="4608">
      <c r="B4608" t="n">
        <v>34409398</v>
      </c>
      <c r="C4608" s="2" t="n">
        <v>44305</v>
      </c>
      <c r="D4608" t="inlineStr">
        <is>
          <t>SPEC</t>
        </is>
      </c>
      <c r="E4608" t="inlineStr">
        <is>
          <t>COP LIAISON LLINERGY VERS TETE 4</t>
        </is>
      </c>
      <c r="F4608" t="inlineStr">
        <is>
          <t>ST MICRO Italie</t>
        </is>
      </c>
      <c r="G4608" t="inlineStr">
        <is>
          <t>GVX</t>
        </is>
      </c>
      <c r="H4608" t="inlineStr">
        <is>
          <t>IO</t>
        </is>
      </c>
      <c r="J4608" t="inlineStr">
        <is>
          <t>MASCELLINO</t>
        </is>
      </c>
      <c r="K4608" t="inlineStr">
        <is>
          <t>CUIVRE</t>
        </is>
      </c>
      <c r="L4608">
        <f>_xlfn.XLOOKUP(Tableau1[[#This Row],[TYPE DE PIECE]],Tableau4[MATIERE],Tableau4[SHORT TYPE],"",0,1)</f>
        <v/>
      </c>
      <c r="N4608">
        <f>IF(ISERR(FIND("DECOUPE",Tableau1[[#This Row],[DESIGNATION]])),"","NEED REF")</f>
        <v/>
      </c>
    </row>
    <row r="4609">
      <c r="B4609" t="n">
        <v>34409397</v>
      </c>
      <c r="C4609" s="2" t="n">
        <v>44305</v>
      </c>
      <c r="D4609" t="inlineStr">
        <is>
          <t>SPEC</t>
        </is>
      </c>
      <c r="E4609" t="inlineStr">
        <is>
          <t>COP LIAISON LLINERGY VERS TETE 1</t>
        </is>
      </c>
      <c r="F4609" t="inlineStr">
        <is>
          <t>ST MICRO Italie</t>
        </is>
      </c>
      <c r="G4609" t="inlineStr">
        <is>
          <t>GVX</t>
        </is>
      </c>
      <c r="H4609" t="inlineStr">
        <is>
          <t>IO</t>
        </is>
      </c>
      <c r="J4609" t="inlineStr">
        <is>
          <t>MASCELLINO</t>
        </is>
      </c>
      <c r="K4609" t="inlineStr">
        <is>
          <t>CUIVRE</t>
        </is>
      </c>
      <c r="L4609">
        <f>_xlfn.XLOOKUP(Tableau1[[#This Row],[TYPE DE PIECE]],Tableau4[MATIERE],Tableau4[SHORT TYPE],"",0,1)</f>
        <v/>
      </c>
      <c r="N4609">
        <f>IF(ISERR(FIND("DECOUPE",Tableau1[[#This Row],[DESIGNATION]])),"","NEED REF")</f>
        <v/>
      </c>
    </row>
    <row r="4610">
      <c r="B4610" t="n">
        <v>34409396</v>
      </c>
      <c r="C4610" s="2" t="n">
        <v>44305</v>
      </c>
      <c r="D4610" t="inlineStr">
        <is>
          <t>SPEC</t>
        </is>
      </c>
      <c r="E4610" t="inlineStr">
        <is>
          <t>COP LIAISON LLINERGY VERS TETE 2</t>
        </is>
      </c>
      <c r="F4610" t="inlineStr">
        <is>
          <t>ST MICRO Italie</t>
        </is>
      </c>
      <c r="G4610" t="inlineStr">
        <is>
          <t>GVX</t>
        </is>
      </c>
      <c r="H4610" t="inlineStr">
        <is>
          <t>IO</t>
        </is>
      </c>
      <c r="J4610" t="inlineStr">
        <is>
          <t>MASCELLINO</t>
        </is>
      </c>
      <c r="K4610" t="inlineStr">
        <is>
          <t>CUIVRE</t>
        </is>
      </c>
      <c r="L4610">
        <f>_xlfn.XLOOKUP(Tableau1[[#This Row],[TYPE DE PIECE]],Tableau4[MATIERE],Tableau4[SHORT TYPE],"",0,1)</f>
        <v/>
      </c>
      <c r="N4610">
        <f>IF(ISERR(FIND("DECOUPE",Tableau1[[#This Row],[DESIGNATION]])),"","NEED REF")</f>
        <v/>
      </c>
    </row>
    <row r="4611">
      <c r="B4611" t="n">
        <v>34409395</v>
      </c>
      <c r="C4611" s="2" t="n">
        <v>44302</v>
      </c>
      <c r="D4611" t="inlineStr">
        <is>
          <t>SPEC</t>
        </is>
      </c>
      <c r="E4611" t="inlineStr">
        <is>
          <t>DECOUPE LINERGY 04566 L=465</t>
        </is>
      </c>
      <c r="F4611" t="inlineStr">
        <is>
          <t>ST MICRO Italie</t>
        </is>
      </c>
      <c r="G4611" t="inlineStr">
        <is>
          <t>GVX</t>
        </is>
      </c>
      <c r="H4611" t="inlineStr">
        <is>
          <t>IO</t>
        </is>
      </c>
      <c r="J4611" t="inlineStr">
        <is>
          <t>MASCELLINO</t>
        </is>
      </c>
      <c r="K4611" t="inlineStr">
        <is>
          <t>METAL</t>
        </is>
      </c>
      <c r="L4611">
        <f>_xlfn.XLOOKUP(Tableau1[[#This Row],[TYPE DE PIECE]],Tableau4[MATIERE],Tableau4[SHORT TYPE],"",0,1)</f>
        <v/>
      </c>
      <c r="N4611" t="inlineStr">
        <is>
          <t>LVS04566</t>
        </is>
      </c>
    </row>
    <row r="4612">
      <c r="B4612" t="n">
        <v>34409394</v>
      </c>
      <c r="C4612" s="2" t="n">
        <v>44302</v>
      </c>
      <c r="D4612" t="inlineStr">
        <is>
          <t>SPEC</t>
        </is>
      </c>
      <c r="E4612" t="inlineStr">
        <is>
          <t>TOIT IO1000 POUR TETE BESHIELDING AVEC RACC BATT CABLES</t>
        </is>
      </c>
      <c r="F4612" t="inlineStr">
        <is>
          <t>ST MICRO Italie</t>
        </is>
      </c>
      <c r="G4612" t="inlineStr">
        <is>
          <t>GVX</t>
        </is>
      </c>
      <c r="H4612" t="inlineStr">
        <is>
          <t>IO</t>
        </is>
      </c>
      <c r="J4612" t="inlineStr">
        <is>
          <t>MATRION</t>
        </is>
      </c>
      <c r="L4612">
        <f>_xlfn.XLOOKUP(Tableau1[[#This Row],[TYPE DE PIECE]],Tableau4[MATIERE],Tableau4[SHORT TYPE],"",0,1)</f>
        <v/>
      </c>
      <c r="N4612">
        <f>IF(ISERR(FIND("DECOUPE",Tableau1[[#This Row],[DESIGNATION]])),"","NEED REF")</f>
        <v/>
      </c>
    </row>
    <row r="4613">
      <c r="B4613" t="n">
        <v>34409393</v>
      </c>
      <c r="C4613" s="2" t="n">
        <v>44301</v>
      </c>
      <c r="D4613" t="inlineStr">
        <is>
          <t>SPEC</t>
        </is>
      </c>
      <c r="E4613" t="inlineStr">
        <is>
          <t>PROTECTION</t>
        </is>
      </c>
      <c r="F4613" t="inlineStr">
        <is>
          <t>BBB GVM 160-250kVA LITHIUM ION</t>
        </is>
      </c>
      <c r="J4613" t="inlineStr">
        <is>
          <t>MASCELLINO</t>
        </is>
      </c>
      <c r="K4613" t="inlineStr">
        <is>
          <t>PLASTIQUE</t>
        </is>
      </c>
      <c r="L4613">
        <f>_xlfn.XLOOKUP(Tableau1[[#This Row],[TYPE DE PIECE]],Tableau4[MATIERE],Tableau4[SHORT TYPE],"",0,1)</f>
        <v/>
      </c>
      <c r="N4613">
        <f>IF(ISERR(FIND("DECOUPE",Tableau1[[#This Row],[DESIGNATION]])),"","NEED REF")</f>
        <v/>
      </c>
    </row>
    <row r="4614">
      <c r="B4614" t="n">
        <v>34409392</v>
      </c>
      <c r="C4614" s="2" t="n">
        <v>44301</v>
      </c>
      <c r="D4614" t="inlineStr">
        <is>
          <t>SPEC</t>
        </is>
      </c>
      <c r="E4614" t="inlineStr">
        <is>
          <t>SMT PLASTRON</t>
        </is>
      </c>
      <c r="F4614" t="inlineStr">
        <is>
          <t>BBB GVM 160-250kVA LITHIUM ION</t>
        </is>
      </c>
      <c r="J4614" t="inlineStr">
        <is>
          <t>MASCELLINO</t>
        </is>
      </c>
      <c r="K4614" t="inlineStr">
        <is>
          <t>METAL</t>
        </is>
      </c>
      <c r="L4614">
        <f>_xlfn.XLOOKUP(Tableau1[[#This Row],[TYPE DE PIECE]],Tableau4[MATIERE],Tableau4[SHORT TYPE],"",0,1)</f>
        <v/>
      </c>
      <c r="N4614">
        <f>IF(ISERR(FIND("DECOUPE",Tableau1[[#This Row],[DESIGNATION]])),"","NEED REF")</f>
        <v/>
      </c>
    </row>
    <row r="4615">
      <c r="B4615" t="n">
        <v>34409391</v>
      </c>
      <c r="C4615" s="2" t="n">
        <v>44300</v>
      </c>
      <c r="D4615" t="inlineStr">
        <is>
          <t>SPEC</t>
        </is>
      </c>
      <c r="E4615" t="inlineStr">
        <is>
          <t>SMT PLATINE DE FOND</t>
        </is>
      </c>
      <c r="F4615" t="inlineStr">
        <is>
          <t>BBB GVM 160-250kVA LITHIUM ION</t>
        </is>
      </c>
      <c r="J4615" t="inlineStr">
        <is>
          <t>MASCELLINO</t>
        </is>
      </c>
      <c r="K4615" t="inlineStr">
        <is>
          <t>METAL</t>
        </is>
      </c>
      <c r="L4615">
        <f>_xlfn.XLOOKUP(Tableau1[[#This Row],[TYPE DE PIECE]],Tableau4[MATIERE],Tableau4[SHORT TYPE],"",0,1)</f>
        <v/>
      </c>
      <c r="N4615">
        <f>IF(ISERR(FIND("DECOUPE",Tableau1[[#This Row],[DESIGNATION]])),"","NEED REF")</f>
        <v/>
      </c>
    </row>
    <row r="4616">
      <c r="B4616" t="n">
        <v>34409390</v>
      </c>
      <c r="C4616" s="2" t="n">
        <v>44299</v>
      </c>
      <c r="D4616" t="inlineStr">
        <is>
          <t>SPEC</t>
        </is>
      </c>
      <c r="E4616" t="inlineStr">
        <is>
          <t>SMT SUPPORT CABLES</t>
        </is>
      </c>
      <c r="H4616" t="inlineStr">
        <is>
          <t>BATTERY</t>
        </is>
      </c>
      <c r="J4616" t="inlineStr">
        <is>
          <t>MATRION</t>
        </is>
      </c>
      <c r="K4616" t="inlineStr">
        <is>
          <t>METAL</t>
        </is>
      </c>
      <c r="L4616">
        <f>_xlfn.XLOOKUP(Tableau1[[#This Row],[TYPE DE PIECE]],Tableau4[MATIERE],Tableau4[SHORT TYPE],"",0,1)</f>
        <v/>
      </c>
      <c r="N4616">
        <f>IF(ISERR(FIND("DECOUPE",Tableau1[[#This Row],[DESIGNATION]])),"","NEED REF")</f>
        <v/>
      </c>
    </row>
    <row r="4617">
      <c r="B4617" t="n">
        <v>34409389</v>
      </c>
      <c r="C4617" s="2" t="n">
        <v>44299</v>
      </c>
      <c r="D4617" t="inlineStr">
        <is>
          <t>SPEC</t>
        </is>
      </c>
      <c r="E4617" t="inlineStr">
        <is>
          <t>MAINTIEN PLATINE</t>
        </is>
      </c>
      <c r="G4617" t="inlineStr">
        <is>
          <t>GVS</t>
        </is>
      </c>
      <c r="H4617" t="inlineStr">
        <is>
          <t>BYPASS</t>
        </is>
      </c>
      <c r="J4617" t="inlineStr">
        <is>
          <t>MASCELLINO</t>
        </is>
      </c>
      <c r="K4617" t="inlineStr">
        <is>
          <t>METAL</t>
        </is>
      </c>
      <c r="L4617">
        <f>_xlfn.XLOOKUP(Tableau1[[#This Row],[TYPE DE PIECE]],Tableau4[MATIERE],Tableau4[SHORT TYPE],"",0,1)</f>
        <v/>
      </c>
      <c r="N4617">
        <f>IF(ISERR(FIND("DECOUPE",Tableau1[[#This Row],[DESIGNATION]])),"","NEED REF")</f>
        <v/>
      </c>
    </row>
    <row r="4618">
      <c r="B4618" t="n">
        <v>34409388</v>
      </c>
      <c r="C4618" s="2" t="n">
        <v>44299</v>
      </c>
      <c r="D4618" t="inlineStr">
        <is>
          <t>SPEC</t>
        </is>
      </c>
      <c r="E4618" t="inlineStr">
        <is>
          <t>OBTURATEUR PLASTRON</t>
        </is>
      </c>
      <c r="G4618" t="inlineStr">
        <is>
          <t>GVS</t>
        </is>
      </c>
      <c r="H4618" t="inlineStr">
        <is>
          <t>BYPASS</t>
        </is>
      </c>
      <c r="J4618" t="inlineStr">
        <is>
          <t>MASCELLINO</t>
        </is>
      </c>
      <c r="K4618" t="inlineStr">
        <is>
          <t>METAL</t>
        </is>
      </c>
      <c r="L4618">
        <f>_xlfn.XLOOKUP(Tableau1[[#This Row],[TYPE DE PIECE]],Tableau4[MATIERE],Tableau4[SHORT TYPE],"",0,1)</f>
        <v/>
      </c>
      <c r="N4618">
        <f>IF(ISERR(FIND("DECOUPE",Tableau1[[#This Row],[DESIGNATION]])),"","NEED REF")</f>
        <v/>
      </c>
    </row>
    <row r="4619">
      <c r="B4619" t="n">
        <v>34409387</v>
      </c>
      <c r="C4619" s="2" t="n">
        <v>44299</v>
      </c>
      <c r="D4619" t="inlineStr">
        <is>
          <t>SPEC</t>
        </is>
      </c>
      <c r="E4619" t="inlineStr">
        <is>
          <t>SMT PLASTRON</t>
        </is>
      </c>
      <c r="G4619" t="inlineStr">
        <is>
          <t>GVS</t>
        </is>
      </c>
      <c r="H4619" t="inlineStr">
        <is>
          <t>BYPASS</t>
        </is>
      </c>
      <c r="J4619" t="inlineStr">
        <is>
          <t>MASCELLINO</t>
        </is>
      </c>
      <c r="K4619" t="inlineStr">
        <is>
          <t>METAL</t>
        </is>
      </c>
      <c r="L4619">
        <f>_xlfn.XLOOKUP(Tableau1[[#This Row],[TYPE DE PIECE]],Tableau4[MATIERE],Tableau4[SHORT TYPE],"",0,1)</f>
        <v/>
      </c>
      <c r="N4619">
        <f>IF(ISERR(FIND("DECOUPE",Tableau1[[#This Row],[DESIGNATION]])),"","NEED REF")</f>
        <v/>
      </c>
    </row>
    <row r="4620">
      <c r="B4620" t="n">
        <v>34409386</v>
      </c>
      <c r="C4620" s="2" t="n">
        <v>44298</v>
      </c>
      <c r="D4620" t="inlineStr">
        <is>
          <t>SPEC</t>
        </is>
      </c>
      <c r="E4620" t="inlineStr">
        <is>
          <t>SMT PLATINE 8xCB 250 3/4P</t>
        </is>
      </c>
      <c r="H4620" t="inlineStr">
        <is>
          <t>BATTERY</t>
        </is>
      </c>
      <c r="J4620" t="inlineStr">
        <is>
          <t>MATRION</t>
        </is>
      </c>
      <c r="K4620" t="inlineStr">
        <is>
          <t>METAL</t>
        </is>
      </c>
      <c r="L4620">
        <f>_xlfn.XLOOKUP(Tableau1[[#This Row],[TYPE DE PIECE]],Tableau4[MATIERE],Tableau4[SHORT TYPE],"",0,1)</f>
        <v/>
      </c>
      <c r="N4620">
        <f>IF(ISERR(FIND("DECOUPE",Tableau1[[#This Row],[DESIGNATION]])),"","NEED REF")</f>
        <v/>
      </c>
    </row>
    <row r="4621">
      <c r="B4621" t="n">
        <v>34409385</v>
      </c>
      <c r="C4621" s="2" t="n">
        <v>44298</v>
      </c>
      <c r="D4621" t="inlineStr">
        <is>
          <t>SPEC</t>
        </is>
      </c>
      <c r="E4621" t="inlineStr">
        <is>
          <t>SMT SUPPORT HAUT/BAS PLATINE 8xCB</t>
        </is>
      </c>
      <c r="H4621" t="inlineStr">
        <is>
          <t>BATTERY</t>
        </is>
      </c>
      <c r="J4621" t="inlineStr">
        <is>
          <t>MATRION</t>
        </is>
      </c>
      <c r="K4621" t="inlineStr">
        <is>
          <t>METAL</t>
        </is>
      </c>
      <c r="L4621">
        <f>_xlfn.XLOOKUP(Tableau1[[#This Row],[TYPE DE PIECE]],Tableau4[MATIERE],Tableau4[SHORT TYPE],"",0,1)</f>
        <v/>
      </c>
      <c r="N4621">
        <f>IF(ISERR(FIND("DECOUPE",Tableau1[[#This Row],[DESIGNATION]])),"","NEED REF")</f>
        <v/>
      </c>
    </row>
    <row r="4622">
      <c r="B4622" t="n">
        <v>34409384</v>
      </c>
      <c r="C4622" s="2" t="n">
        <v>44298</v>
      </c>
      <c r="D4622" t="inlineStr">
        <is>
          <t>SPEC</t>
        </is>
      </c>
      <c r="E4622" t="inlineStr">
        <is>
          <t>DECOUPE 34409384 LINERGY LG 550MM LVS04566</t>
        </is>
      </c>
      <c r="G4622" t="inlineStr">
        <is>
          <t>GVX</t>
        </is>
      </c>
      <c r="H4622" t="inlineStr">
        <is>
          <t>IO</t>
        </is>
      </c>
      <c r="J4622" t="inlineStr">
        <is>
          <t>MATRION</t>
        </is>
      </c>
      <c r="K4622" t="inlineStr">
        <is>
          <t>DECOUPE</t>
        </is>
      </c>
      <c r="L4622" t="inlineStr">
        <is>
          <t>ETO</t>
        </is>
      </c>
      <c r="N4622" t="inlineStr">
        <is>
          <t>LVS04566</t>
        </is>
      </c>
    </row>
    <row r="4623">
      <c r="B4623" t="n">
        <v>34409383</v>
      </c>
      <c r="C4623" s="2" t="n">
        <v>44298</v>
      </c>
      <c r="D4623" t="inlineStr">
        <is>
          <t>SPEC</t>
        </is>
      </c>
      <c r="E4623" t="inlineStr">
        <is>
          <t>DECOUPE 34409383 LINERGY LG 885MM LVS04566</t>
        </is>
      </c>
      <c r="G4623" t="inlineStr">
        <is>
          <t>GVX</t>
        </is>
      </c>
      <c r="H4623" t="inlineStr">
        <is>
          <t>IO</t>
        </is>
      </c>
      <c r="J4623" t="inlineStr">
        <is>
          <t>MATRION</t>
        </is>
      </c>
      <c r="K4623" t="inlineStr">
        <is>
          <t>DECOUPE</t>
        </is>
      </c>
      <c r="L4623" t="inlineStr">
        <is>
          <t>ETO</t>
        </is>
      </c>
      <c r="N4623" t="inlineStr">
        <is>
          <t>LVS04566</t>
        </is>
      </c>
    </row>
    <row r="4624">
      <c r="B4624" t="n">
        <v>34409382</v>
      </c>
      <c r="C4624" s="2" t="n">
        <v>44298</v>
      </c>
      <c r="D4624" t="inlineStr">
        <is>
          <t>SPEC</t>
        </is>
      </c>
      <c r="E4624" t="inlineStr">
        <is>
          <t>DECOUPE 34409382 LINERGY LG 1150MM LVS04566</t>
        </is>
      </c>
      <c r="G4624" t="inlineStr">
        <is>
          <t>GVX</t>
        </is>
      </c>
      <c r="H4624" t="inlineStr">
        <is>
          <t>IO</t>
        </is>
      </c>
      <c r="J4624" t="inlineStr">
        <is>
          <t>MATRION</t>
        </is>
      </c>
      <c r="K4624" t="inlineStr">
        <is>
          <t>DECOUPE</t>
        </is>
      </c>
      <c r="L4624" t="inlineStr">
        <is>
          <t>ETO</t>
        </is>
      </c>
      <c r="N4624" t="inlineStr">
        <is>
          <t>LVS04566</t>
        </is>
      </c>
    </row>
    <row r="4625">
      <c r="B4625" t="n">
        <v>34409381</v>
      </c>
      <c r="C4625" s="2" t="n">
        <v>44295</v>
      </c>
      <c r="D4625" t="inlineStr">
        <is>
          <t>SPEC</t>
        </is>
      </c>
      <c r="E4625" t="inlineStr">
        <is>
          <t>SMT CALE DE TOIT FRONTALE</t>
        </is>
      </c>
      <c r="G4625" t="inlineStr">
        <is>
          <t>GVS</t>
        </is>
      </c>
      <c r="H4625" t="inlineStr">
        <is>
          <t>BYPASS</t>
        </is>
      </c>
      <c r="J4625" t="inlineStr">
        <is>
          <t>MASCELLINO</t>
        </is>
      </c>
      <c r="K4625" t="inlineStr">
        <is>
          <t>METAL</t>
        </is>
      </c>
      <c r="L4625">
        <f>_xlfn.XLOOKUP(Tableau1[[#This Row],[TYPE DE PIECE]],Tableau4[MATIERE],Tableau4[SHORT TYPE],"",0,1)</f>
        <v/>
      </c>
      <c r="N4625">
        <f>IF(ISERR(FIND("DECOUPE",Tableau1[[#This Row],[DESIGNATION]])),"","NEED REF")</f>
        <v/>
      </c>
    </row>
    <row r="4626">
      <c r="B4626" t="n">
        <v>34409380</v>
      </c>
      <c r="C4626" s="2" t="n">
        <v>44295</v>
      </c>
      <c r="D4626" t="inlineStr">
        <is>
          <t>SPEC</t>
        </is>
      </c>
      <c r="E4626" t="inlineStr">
        <is>
          <t>SMT ROOF-FAN IP31 RAL9003</t>
        </is>
      </c>
      <c r="G4626" t="inlineStr">
        <is>
          <t>GVS</t>
        </is>
      </c>
      <c r="H4626" t="inlineStr">
        <is>
          <t>BYPASS</t>
        </is>
      </c>
      <c r="J4626" t="inlineStr">
        <is>
          <t>MASCELLINO</t>
        </is>
      </c>
      <c r="K4626" t="inlineStr">
        <is>
          <t>METAL</t>
        </is>
      </c>
      <c r="L4626">
        <f>_xlfn.XLOOKUP(Tableau1[[#This Row],[TYPE DE PIECE]],Tableau4[MATIERE],Tableau4[SHORT TYPE],"",0,1)</f>
        <v/>
      </c>
      <c r="N4626">
        <f>IF(ISERR(FIND("DECOUPE",Tableau1[[#This Row],[DESIGNATION]])),"","NEED REF")</f>
        <v/>
      </c>
    </row>
    <row r="4627">
      <c r="B4627" t="n">
        <v>34409379</v>
      </c>
      <c r="C4627" s="2" t="n">
        <v>44295</v>
      </c>
      <c r="D4627" t="inlineStr">
        <is>
          <t>SPEC</t>
        </is>
      </c>
      <c r="E4627" t="inlineStr">
        <is>
          <t>PLA PROTECTION JDB BATTERY</t>
        </is>
      </c>
      <c r="G4627" t="inlineStr">
        <is>
          <t>GVS</t>
        </is>
      </c>
      <c r="H4627" t="inlineStr">
        <is>
          <t>BATTERY</t>
        </is>
      </c>
      <c r="J4627" t="inlineStr">
        <is>
          <t>MASCELLINO</t>
        </is>
      </c>
      <c r="K4627" t="inlineStr">
        <is>
          <t>PLASTIQUE</t>
        </is>
      </c>
      <c r="L4627">
        <f>_xlfn.XLOOKUP(Tableau1[[#This Row],[TYPE DE PIECE]],Tableau4[MATIERE],Tableau4[SHORT TYPE],"",0,1)</f>
        <v/>
      </c>
      <c r="N4627">
        <f>IF(ISERR(FIND("DECOUPE",Tableau1[[#This Row],[DESIGNATION]])),"","NEED REF")</f>
        <v/>
      </c>
    </row>
    <row r="4628">
      <c r="B4628" t="n">
        <v>34409378</v>
      </c>
      <c r="C4628" s="2" t="n">
        <v>44294</v>
      </c>
      <c r="D4628" t="inlineStr">
        <is>
          <t>SPEC</t>
        </is>
      </c>
      <c r="L4628">
        <f>_xlfn.XLOOKUP(Tableau1[[#This Row],[TYPE DE PIECE]],Tableau4[MATIERE],Tableau4[SHORT TYPE],"",0,1)</f>
        <v/>
      </c>
      <c r="N4628">
        <f>IF(ISERR(FIND("DECOUPE",Tableau1[[#This Row],[DESIGNATION]])),"","NEED REF")</f>
        <v/>
      </c>
    </row>
    <row r="4629">
      <c r="B4629" t="n">
        <v>34409377</v>
      </c>
      <c r="C4629" s="2" t="n">
        <v>44293</v>
      </c>
      <c r="D4629" t="inlineStr">
        <is>
          <t>SPEC</t>
        </is>
      </c>
      <c r="E4629" t="inlineStr">
        <is>
          <t>Toit armoire 3AB006 standard RAL 7012</t>
        </is>
      </c>
      <c r="J4629" t="inlineStr">
        <is>
          <t>PLANTIER</t>
        </is>
      </c>
      <c r="L4629">
        <f>_xlfn.XLOOKUP(Tableau1[[#This Row],[TYPE DE PIECE]],Tableau4[MATIERE],Tableau4[SHORT TYPE],"",0,1)</f>
        <v/>
      </c>
      <c r="N4629">
        <f>IF(ISERR(FIND("DECOUPE",Tableau1[[#This Row],[DESIGNATION]])),"","NEED REF")</f>
        <v/>
      </c>
    </row>
    <row r="4630">
      <c r="B4630" t="n">
        <v>34409376</v>
      </c>
      <c r="C4630" s="2" t="n">
        <v>44292</v>
      </c>
      <c r="D4630" t="inlineStr">
        <is>
          <t>SPEC</t>
        </is>
      </c>
      <c r="E4630" t="inlineStr">
        <is>
          <t>SMT SUPPORT CABLES ARRIERE 700</t>
        </is>
      </c>
      <c r="G4630" t="inlineStr">
        <is>
          <t>GVS</t>
        </is>
      </c>
      <c r="J4630" t="inlineStr">
        <is>
          <t>MASCELLINO</t>
        </is>
      </c>
      <c r="K4630" t="inlineStr">
        <is>
          <t>METAL</t>
        </is>
      </c>
      <c r="L4630">
        <f>_xlfn.XLOOKUP(Tableau1[[#This Row],[TYPE DE PIECE]],Tableau4[MATIERE],Tableau4[SHORT TYPE],"",0,1)</f>
        <v/>
      </c>
      <c r="N4630">
        <f>IF(ISERR(FIND("DECOUPE",Tableau1[[#This Row],[DESIGNATION]])),"","NEED REF")</f>
        <v/>
      </c>
    </row>
    <row r="4631">
      <c r="B4631" t="n">
        <v>34409375</v>
      </c>
      <c r="C4631" s="2" t="n">
        <v>44292</v>
      </c>
      <c r="D4631" t="inlineStr">
        <is>
          <t>SPEC</t>
        </is>
      </c>
      <c r="E4631" t="inlineStr">
        <is>
          <t>COP BARRE DE TERRE 850</t>
        </is>
      </c>
      <c r="G4631" t="inlineStr">
        <is>
          <t>GVS</t>
        </is>
      </c>
      <c r="J4631" t="inlineStr">
        <is>
          <t>MASCELLINO</t>
        </is>
      </c>
      <c r="K4631" t="inlineStr">
        <is>
          <t>CUIVRE</t>
        </is>
      </c>
      <c r="L4631">
        <f>_xlfn.XLOOKUP(Tableau1[[#This Row],[TYPE DE PIECE]],Tableau4[MATIERE],Tableau4[SHORT TYPE],"",0,1)</f>
        <v/>
      </c>
      <c r="N4631">
        <f>IF(ISERR(FIND("DECOUPE",Tableau1[[#This Row],[DESIGNATION]])),"","NEED REF")</f>
        <v/>
      </c>
    </row>
    <row r="4632">
      <c r="B4632" t="n">
        <v>34409374</v>
      </c>
      <c r="C4632" s="2" t="n">
        <v>44287</v>
      </c>
      <c r="D4632" t="inlineStr">
        <is>
          <t>SPEC</t>
        </is>
      </c>
      <c r="E4632" t="inlineStr">
        <is>
          <t>SMT PLASTRON</t>
        </is>
      </c>
      <c r="G4632" t="inlineStr">
        <is>
          <t>GVS</t>
        </is>
      </c>
      <c r="H4632" t="inlineStr">
        <is>
          <t>BATTERY</t>
        </is>
      </c>
      <c r="J4632" t="inlineStr">
        <is>
          <t>MASCELLINO</t>
        </is>
      </c>
      <c r="K4632" t="inlineStr">
        <is>
          <t>METAL</t>
        </is>
      </c>
      <c r="L4632">
        <f>_xlfn.XLOOKUP(Tableau1[[#This Row],[TYPE DE PIECE]],Tableau4[MATIERE],Tableau4[SHORT TYPE],"",0,1)</f>
        <v/>
      </c>
      <c r="N4632">
        <f>IF(ISERR(FIND("DECOUPE",Tableau1[[#This Row],[DESIGNATION]])),"","NEED REF")</f>
        <v/>
      </c>
    </row>
    <row r="4633">
      <c r="B4633" t="n">
        <v>34409373</v>
      </c>
      <c r="C4633" s="2" t="n">
        <v>44287</v>
      </c>
      <c r="D4633" t="inlineStr">
        <is>
          <t>SPEC</t>
        </is>
      </c>
      <c r="E4633" t="inlineStr">
        <is>
          <t>DECOUPE 04174 732mm</t>
        </is>
      </c>
      <c r="G4633" t="inlineStr">
        <is>
          <t>GVS</t>
        </is>
      </c>
      <c r="H4633" t="inlineStr">
        <is>
          <t>BATTERY</t>
        </is>
      </c>
      <c r="J4633" t="inlineStr">
        <is>
          <t>MASCELLINO</t>
        </is>
      </c>
      <c r="K4633" t="inlineStr">
        <is>
          <t>ETO</t>
        </is>
      </c>
      <c r="L4633">
        <f>_xlfn.XLOOKUP(Tableau1[[#This Row],[TYPE DE PIECE]],Tableau4[MATIERE],Tableau4[SHORT TYPE],"",0,1)</f>
        <v/>
      </c>
      <c r="N4633" t="inlineStr">
        <is>
          <t>LVS04174</t>
        </is>
      </c>
    </row>
    <row r="4634">
      <c r="B4634" t="n">
        <v>34409372</v>
      </c>
      <c r="C4634" s="2" t="n">
        <v>44287</v>
      </c>
      <c r="D4634" t="inlineStr">
        <is>
          <t>SPEC</t>
        </is>
      </c>
      <c r="E4634" t="inlineStr">
        <is>
          <t>SMT PLASTRON</t>
        </is>
      </c>
      <c r="G4634" t="inlineStr">
        <is>
          <t>GVS</t>
        </is>
      </c>
      <c r="H4634" t="inlineStr">
        <is>
          <t>BATTERY</t>
        </is>
      </c>
      <c r="J4634" t="inlineStr">
        <is>
          <t>MASCELLINO</t>
        </is>
      </c>
      <c r="K4634" t="inlineStr">
        <is>
          <t>METAL</t>
        </is>
      </c>
      <c r="L4634">
        <f>_xlfn.XLOOKUP(Tableau1[[#This Row],[TYPE DE PIECE]],Tableau4[MATIERE],Tableau4[SHORT TYPE],"",0,1)</f>
        <v/>
      </c>
      <c r="N4634">
        <f>IF(ISERR(FIND("DECOUPE",Tableau1[[#This Row],[DESIGNATION]])),"","NEED REF")</f>
        <v/>
      </c>
    </row>
    <row r="4635">
      <c r="B4635" t="n">
        <v>34409371</v>
      </c>
      <c r="C4635" s="2" t="n">
        <v>44287</v>
      </c>
      <c r="D4635" t="inlineStr">
        <is>
          <t>SPEC</t>
        </is>
      </c>
      <c r="E4635" t="inlineStr">
        <is>
          <t>SMT CAPOT 2 CB NSX250DC</t>
        </is>
      </c>
      <c r="G4635" t="inlineStr">
        <is>
          <t>GVS</t>
        </is>
      </c>
      <c r="H4635" t="inlineStr">
        <is>
          <t>BATTERY</t>
        </is>
      </c>
      <c r="J4635" t="inlineStr">
        <is>
          <t>MASCELLINO</t>
        </is>
      </c>
      <c r="K4635" t="inlineStr">
        <is>
          <t>METAL</t>
        </is>
      </c>
      <c r="L4635">
        <f>_xlfn.XLOOKUP(Tableau1[[#This Row],[TYPE DE PIECE]],Tableau4[MATIERE],Tableau4[SHORT TYPE],"",0,1)</f>
        <v/>
      </c>
      <c r="N4635">
        <f>IF(ISERR(FIND("DECOUPE",Tableau1[[#This Row],[DESIGNATION]])),"","NEED REF")</f>
        <v/>
      </c>
    </row>
    <row r="4636">
      <c r="B4636" t="n">
        <v>34409370</v>
      </c>
      <c r="C4636" s="2" t="n">
        <v>44287</v>
      </c>
      <c r="D4636" t="inlineStr">
        <is>
          <t>SPEC</t>
        </is>
      </c>
      <c r="E4636" t="inlineStr">
        <is>
          <t>COP LIAISON BATT C2</t>
        </is>
      </c>
      <c r="G4636" t="inlineStr">
        <is>
          <t>GVS</t>
        </is>
      </c>
      <c r="H4636" t="inlineStr">
        <is>
          <t>BATTERY</t>
        </is>
      </c>
      <c r="J4636" t="inlineStr">
        <is>
          <t>MASCELLINO</t>
        </is>
      </c>
      <c r="K4636" t="inlineStr">
        <is>
          <t>CUIVRE</t>
        </is>
      </c>
      <c r="L4636">
        <f>_xlfn.XLOOKUP(Tableau1[[#This Row],[TYPE DE PIECE]],Tableau4[MATIERE],Tableau4[SHORT TYPE],"",0,1)</f>
        <v/>
      </c>
      <c r="N4636">
        <f>IF(ISERR(FIND("DECOUPE",Tableau1[[#This Row],[DESIGNATION]])),"","NEED REF")</f>
        <v/>
      </c>
    </row>
    <row r="4637">
      <c r="B4637" t="n">
        <v>34409369</v>
      </c>
      <c r="C4637" s="2" t="n">
        <v>44287</v>
      </c>
      <c r="D4637" t="inlineStr">
        <is>
          <t>SPEC</t>
        </is>
      </c>
      <c r="E4637" t="inlineStr">
        <is>
          <t>COP LIAISON BATT C1</t>
        </is>
      </c>
      <c r="G4637" t="inlineStr">
        <is>
          <t>GVS</t>
        </is>
      </c>
      <c r="H4637" t="inlineStr">
        <is>
          <t>BATTERY</t>
        </is>
      </c>
      <c r="J4637" t="inlineStr">
        <is>
          <t>MASCELLINO</t>
        </is>
      </c>
      <c r="K4637" t="inlineStr">
        <is>
          <t>CUIVRE</t>
        </is>
      </c>
      <c r="L4637">
        <f>_xlfn.XLOOKUP(Tableau1[[#This Row],[TYPE DE PIECE]],Tableau4[MATIERE],Tableau4[SHORT TYPE],"",0,1)</f>
        <v/>
      </c>
      <c r="N4637">
        <f>IF(ISERR(FIND("DECOUPE",Tableau1[[#This Row],[DESIGNATION]])),"","NEED REF")</f>
        <v/>
      </c>
    </row>
    <row r="4638">
      <c r="B4638" t="n">
        <v>34409368</v>
      </c>
      <c r="C4638" s="2" t="n">
        <v>44287</v>
      </c>
      <c r="D4638" t="inlineStr">
        <is>
          <t>SPEC</t>
        </is>
      </c>
      <c r="E4638" t="inlineStr">
        <is>
          <t>COP LIAISON BATT - FLEXI BAR ERICO 24x4</t>
        </is>
      </c>
      <c r="G4638" t="inlineStr">
        <is>
          <t>GVS</t>
        </is>
      </c>
      <c r="H4638" t="inlineStr">
        <is>
          <t>BATTERY</t>
        </is>
      </c>
      <c r="J4638" t="inlineStr">
        <is>
          <t>MASCELLINO</t>
        </is>
      </c>
      <c r="K4638" t="inlineStr">
        <is>
          <t>CUIVRE</t>
        </is>
      </c>
      <c r="L4638">
        <f>_xlfn.XLOOKUP(Tableau1[[#This Row],[TYPE DE PIECE]],Tableau4[MATIERE],Tableau4[SHORT TYPE],"",0,1)</f>
        <v/>
      </c>
      <c r="N4638">
        <f>IF(ISERR(FIND("DECOUPE",Tableau1[[#This Row],[DESIGNATION]])),"","NEED REF")</f>
        <v/>
      </c>
    </row>
    <row r="4639">
      <c r="B4639" t="n">
        <v>34409367</v>
      </c>
      <c r="C4639" s="2" t="n">
        <v>44287</v>
      </c>
      <c r="D4639" t="inlineStr">
        <is>
          <t>SPEC</t>
        </is>
      </c>
      <c r="E4639" t="inlineStr">
        <is>
          <t>COP LIAISON BATT + FLEXI BAR ERICO 24x4</t>
        </is>
      </c>
      <c r="G4639" t="inlineStr">
        <is>
          <t>GVS</t>
        </is>
      </c>
      <c r="H4639" t="inlineStr">
        <is>
          <t>BATTERY</t>
        </is>
      </c>
      <c r="J4639" t="inlineStr">
        <is>
          <t>MASCELLINO</t>
        </is>
      </c>
      <c r="K4639" t="inlineStr">
        <is>
          <t>CUIVRE</t>
        </is>
      </c>
      <c r="L4639">
        <f>_xlfn.XLOOKUP(Tableau1[[#This Row],[TYPE DE PIECE]],Tableau4[MATIERE],Tableau4[SHORT TYPE],"",0,1)</f>
        <v/>
      </c>
      <c r="N4639">
        <f>IF(ISERR(FIND("DECOUPE",Tableau1[[#This Row],[DESIGNATION]])),"","NEED REF")</f>
        <v/>
      </c>
    </row>
    <row r="4640">
      <c r="B4640" t="n">
        <v>34409366</v>
      </c>
      <c r="C4640" s="2" t="n">
        <v>44286</v>
      </c>
      <c r="D4640" t="inlineStr">
        <is>
          <t>SPEC</t>
        </is>
      </c>
      <c r="E4640" t="inlineStr">
        <is>
          <t>Prestation reprise vague STS réf 876-5102790800AB</t>
        </is>
      </c>
      <c r="F4640" t="inlineStr">
        <is>
          <t>TERRACO</t>
        </is>
      </c>
      <c r="G4640" t="inlineStr">
        <is>
          <t>G7K</t>
        </is>
      </c>
      <c r="H4640" t="inlineStr">
        <is>
          <t>STS</t>
        </is>
      </c>
      <c r="J4640" t="inlineStr">
        <is>
          <t>MONGELLI</t>
        </is>
      </c>
      <c r="K4640" t="inlineStr">
        <is>
          <t>PLASTIQUE</t>
        </is>
      </c>
      <c r="L4640">
        <f>_xlfn.XLOOKUP(Tableau1[[#This Row],[TYPE DE PIECE]],Tableau4[MATIERE],Tableau4[SHORT TYPE],"",0,1)</f>
        <v/>
      </c>
      <c r="N4640">
        <f>IF(ISERR(FIND("DECOUPE",Tableau1[[#This Row],[DESIGNATION]])),"","NEED REF")</f>
        <v/>
      </c>
    </row>
    <row r="4641">
      <c r="B4641" t="n">
        <v>34409365</v>
      </c>
      <c r="C4641" s="2" t="n">
        <v>44285</v>
      </c>
      <c r="D4641" t="inlineStr">
        <is>
          <t>SPEC</t>
        </is>
      </c>
      <c r="E4641" t="inlineStr">
        <is>
          <t>SMT DECOUPE LINERGY 04567 1070MM</t>
        </is>
      </c>
      <c r="F4641" t="inlineStr">
        <is>
          <t>SOUTH AFRICA</t>
        </is>
      </c>
      <c r="G4641" t="inlineStr">
        <is>
          <t>GVX</t>
        </is>
      </c>
      <c r="H4641" t="inlineStr">
        <is>
          <t>BYPASS</t>
        </is>
      </c>
      <c r="J4641" t="inlineStr">
        <is>
          <t>JAWORSKI</t>
        </is>
      </c>
      <c r="K4641" t="inlineStr">
        <is>
          <t>METAL</t>
        </is>
      </c>
      <c r="L4641">
        <f>_xlfn.XLOOKUP(Tableau1[[#This Row],[TYPE DE PIECE]],Tableau4[MATIERE],Tableau4[SHORT TYPE],"",0,1)</f>
        <v/>
      </c>
      <c r="N4641" t="inlineStr">
        <is>
          <t>LVS04567</t>
        </is>
      </c>
    </row>
    <row r="4642">
      <c r="B4642" t="n">
        <v>34409364</v>
      </c>
      <c r="C4642" s="2" t="n">
        <v>44285</v>
      </c>
      <c r="D4642" t="inlineStr">
        <is>
          <t>SPEC</t>
        </is>
      </c>
      <c r="E4642" t="inlineStr">
        <is>
          <t>SMT SUPPORT COP BARRE PE FIX 600MM</t>
        </is>
      </c>
      <c r="F4642" t="inlineStr">
        <is>
          <t>SOUTH AFRICA</t>
        </is>
      </c>
      <c r="G4642" t="inlineStr">
        <is>
          <t>GVX</t>
        </is>
      </c>
      <c r="H4642" t="inlineStr">
        <is>
          <t>BYPASS</t>
        </is>
      </c>
      <c r="J4642" t="inlineStr">
        <is>
          <t>JAWORSKI</t>
        </is>
      </c>
      <c r="K4642" t="inlineStr">
        <is>
          <t>METAL</t>
        </is>
      </c>
      <c r="L4642">
        <f>_xlfn.XLOOKUP(Tableau1[[#This Row],[TYPE DE PIECE]],Tableau4[MATIERE],Tableau4[SHORT TYPE],"",0,1)</f>
        <v/>
      </c>
      <c r="N4642">
        <f>IF(ISERR(FIND("DECOUPE",Tableau1[[#This Row],[DESIGNATION]])),"","NEED REF")</f>
        <v/>
      </c>
    </row>
    <row r="4643">
      <c r="B4643" t="n">
        <v>34409363</v>
      </c>
      <c r="C4643" s="2" t="n">
        <v>44285</v>
      </c>
      <c r="D4643" t="inlineStr">
        <is>
          <t>SPEC</t>
        </is>
      </c>
      <c r="E4643" t="inlineStr">
        <is>
          <t>PROTECTION IP20 LIMANDE</t>
        </is>
      </c>
      <c r="F4643" t="inlineStr">
        <is>
          <t>TERRACO</t>
        </is>
      </c>
      <c r="J4643" t="inlineStr">
        <is>
          <t>MASCELLINO</t>
        </is>
      </c>
      <c r="K4643" t="inlineStr">
        <is>
          <t>METAL</t>
        </is>
      </c>
      <c r="L4643">
        <f>_xlfn.XLOOKUP(Tableau1[[#This Row],[TYPE DE PIECE]],Tableau4[MATIERE],Tableau4[SHORT TYPE],"",0,1)</f>
        <v/>
      </c>
      <c r="N4643">
        <f>IF(ISERR(FIND("DECOUPE",Tableau1[[#This Row],[DESIGNATION]])),"","NEED REF")</f>
        <v/>
      </c>
    </row>
    <row r="4644">
      <c r="B4644" t="n">
        <v>34409362</v>
      </c>
      <c r="C4644" s="2" t="n">
        <v>44285</v>
      </c>
      <c r="D4644" t="inlineStr">
        <is>
          <t>SPEC</t>
        </is>
      </c>
      <c r="E4644" t="inlineStr">
        <is>
          <t>EQUERRE PROTECTION IP20</t>
        </is>
      </c>
      <c r="F4644" t="inlineStr">
        <is>
          <t>TERRACO</t>
        </is>
      </c>
      <c r="J4644" t="inlineStr">
        <is>
          <t>MASCELLINO</t>
        </is>
      </c>
      <c r="K4644" t="inlineStr">
        <is>
          <t>METAL</t>
        </is>
      </c>
      <c r="L4644">
        <f>_xlfn.XLOOKUP(Tableau1[[#This Row],[TYPE DE PIECE]],Tableau4[MATIERE],Tableau4[SHORT TYPE],"",0,1)</f>
        <v/>
      </c>
      <c r="N4644">
        <f>IF(ISERR(FIND("DECOUPE",Tableau1[[#This Row],[DESIGNATION]])),"","NEED REF")</f>
        <v/>
      </c>
    </row>
    <row r="4645">
      <c r="B4645" t="n">
        <v>34409361</v>
      </c>
      <c r="C4645" s="2" t="n">
        <v>44284</v>
      </c>
      <c r="D4645" t="inlineStr">
        <is>
          <t>SPEC</t>
        </is>
      </c>
      <c r="E4645" t="inlineStr">
        <is>
          <t>SMT PLASTRON RACCORD HAUT</t>
        </is>
      </c>
      <c r="F4645" t="inlineStr">
        <is>
          <t>SOUTH AFRICA</t>
        </is>
      </c>
      <c r="G4645" t="inlineStr">
        <is>
          <t>GVX</t>
        </is>
      </c>
      <c r="H4645" t="inlineStr">
        <is>
          <t>BYPASS</t>
        </is>
      </c>
      <c r="J4645" t="inlineStr">
        <is>
          <t>JAWORSKI</t>
        </is>
      </c>
      <c r="K4645" t="inlineStr">
        <is>
          <t>METAL</t>
        </is>
      </c>
      <c r="L4645">
        <f>_xlfn.XLOOKUP(Tableau1[[#This Row],[TYPE DE PIECE]],Tableau4[MATIERE],Tableau4[SHORT TYPE],"",0,1)</f>
        <v/>
      </c>
      <c r="N4645">
        <f>IF(ISERR(FIND("DECOUPE",Tableau1[[#This Row],[DESIGNATION]])),"","NEED REF")</f>
        <v/>
      </c>
    </row>
    <row r="4646">
      <c r="B4646" t="n">
        <v>34409360</v>
      </c>
      <c r="C4646" s="2" t="n">
        <v>44284</v>
      </c>
      <c r="D4646" t="inlineStr">
        <is>
          <t>SPEC</t>
        </is>
      </c>
      <c r="E4646" t="inlineStr">
        <is>
          <t>SMT PLASTRON NS1250</t>
        </is>
      </c>
      <c r="F4646" t="inlineStr">
        <is>
          <t>SOUTH AFRICA</t>
        </is>
      </c>
      <c r="G4646" t="inlineStr">
        <is>
          <t>GVX</t>
        </is>
      </c>
      <c r="H4646" t="inlineStr">
        <is>
          <t>BYPASS</t>
        </is>
      </c>
      <c r="J4646" t="inlineStr">
        <is>
          <t>JAWORSKI</t>
        </is>
      </c>
      <c r="K4646" t="inlineStr">
        <is>
          <t>METAL</t>
        </is>
      </c>
      <c r="L4646">
        <f>_xlfn.XLOOKUP(Tableau1[[#This Row],[TYPE DE PIECE]],Tableau4[MATIERE],Tableau4[SHORT TYPE],"",0,1)</f>
        <v/>
      </c>
      <c r="N4646">
        <f>IF(ISERR(FIND("DECOUPE",Tableau1[[#This Row],[DESIGNATION]])),"","NEED REF")</f>
        <v/>
      </c>
    </row>
    <row r="4647">
      <c r="B4647" t="n">
        <v>34409359</v>
      </c>
      <c r="C4647" s="2" t="n">
        <v>44284</v>
      </c>
      <c r="D4647" t="inlineStr">
        <is>
          <t>SPEC</t>
        </is>
      </c>
      <c r="E4647" t="inlineStr">
        <is>
          <t>COP RACCORD_2 UOB</t>
        </is>
      </c>
      <c r="F4647" t="inlineStr">
        <is>
          <t>SOUTH AFRICA</t>
        </is>
      </c>
      <c r="G4647" t="inlineStr">
        <is>
          <t>GVX</t>
        </is>
      </c>
      <c r="H4647" t="inlineStr">
        <is>
          <t>BYPASS</t>
        </is>
      </c>
      <c r="J4647" t="inlineStr">
        <is>
          <t>JAWORSKI</t>
        </is>
      </c>
      <c r="K4647" t="inlineStr">
        <is>
          <t>CUIVRE</t>
        </is>
      </c>
      <c r="L4647">
        <f>_xlfn.XLOOKUP(Tableau1[[#This Row],[TYPE DE PIECE]],Tableau4[MATIERE],Tableau4[SHORT TYPE],"",0,1)</f>
        <v/>
      </c>
      <c r="N4647">
        <f>IF(ISERR(FIND("DECOUPE",Tableau1[[#This Row],[DESIGNATION]])),"","NEED REF")</f>
        <v/>
      </c>
    </row>
    <row r="4648">
      <c r="B4648" t="n">
        <v>34409358</v>
      </c>
      <c r="C4648" s="2" t="n">
        <v>44284</v>
      </c>
      <c r="D4648" t="inlineStr">
        <is>
          <t>SPEC</t>
        </is>
      </c>
      <c r="E4648" t="inlineStr">
        <is>
          <t>COP RACCORD_1 UOB</t>
        </is>
      </c>
      <c r="F4648" t="inlineStr">
        <is>
          <t>SOUTH AFRICA</t>
        </is>
      </c>
      <c r="G4648" t="inlineStr">
        <is>
          <t>GVX</t>
        </is>
      </c>
      <c r="H4648" t="inlineStr">
        <is>
          <t>BYPASS</t>
        </is>
      </c>
      <c r="J4648" t="inlineStr">
        <is>
          <t>JAWORSKI</t>
        </is>
      </c>
      <c r="K4648" t="inlineStr">
        <is>
          <t>CUIVRE</t>
        </is>
      </c>
      <c r="L4648">
        <f>_xlfn.XLOOKUP(Tableau1[[#This Row],[TYPE DE PIECE]],Tableau4[MATIERE],Tableau4[SHORT TYPE],"",0,1)</f>
        <v/>
      </c>
      <c r="N4648">
        <f>IF(ISERR(FIND("DECOUPE",Tableau1[[#This Row],[DESIGNATION]])),"","NEED REF")</f>
        <v/>
      </c>
    </row>
    <row r="4649">
      <c r="B4649" t="n">
        <v>34409357</v>
      </c>
      <c r="C4649" s="2" t="n">
        <v>44284</v>
      </c>
      <c r="D4649" t="inlineStr">
        <is>
          <t>SPEC</t>
        </is>
      </c>
      <c r="E4649" t="inlineStr">
        <is>
          <t>COP RACC_4 NS1250</t>
        </is>
      </c>
      <c r="F4649" t="inlineStr">
        <is>
          <t>SOUTH AFRICA</t>
        </is>
      </c>
      <c r="G4649" t="inlineStr">
        <is>
          <t>GVX</t>
        </is>
      </c>
      <c r="H4649" t="inlineStr">
        <is>
          <t>BYPASS</t>
        </is>
      </c>
      <c r="J4649" t="inlineStr">
        <is>
          <t>JAWORSKI</t>
        </is>
      </c>
      <c r="K4649" t="inlineStr">
        <is>
          <t>CUIVRE</t>
        </is>
      </c>
      <c r="L4649">
        <f>_xlfn.XLOOKUP(Tableau1[[#This Row],[TYPE DE PIECE]],Tableau4[MATIERE],Tableau4[SHORT TYPE],"",0,1)</f>
        <v/>
      </c>
      <c r="N4649">
        <f>IF(ISERR(FIND("DECOUPE",Tableau1[[#This Row],[DESIGNATION]])),"","NEED REF")</f>
        <v/>
      </c>
    </row>
    <row r="4650">
      <c r="B4650" t="n">
        <v>34409356</v>
      </c>
      <c r="C4650" s="2" t="n">
        <v>44284</v>
      </c>
      <c r="D4650" t="inlineStr">
        <is>
          <t>SPEC</t>
        </is>
      </c>
      <c r="E4650" t="inlineStr">
        <is>
          <t>COP RACC_3 NS1250</t>
        </is>
      </c>
      <c r="F4650" t="inlineStr">
        <is>
          <t>SOUTH AFRICA</t>
        </is>
      </c>
      <c r="G4650" t="inlineStr">
        <is>
          <t>GVX</t>
        </is>
      </c>
      <c r="H4650" t="inlineStr">
        <is>
          <t>BYPASS</t>
        </is>
      </c>
      <c r="J4650" t="inlineStr">
        <is>
          <t>JAWORSKI</t>
        </is>
      </c>
      <c r="K4650" t="inlineStr">
        <is>
          <t>CUIVRE</t>
        </is>
      </c>
      <c r="L4650">
        <f>_xlfn.XLOOKUP(Tableau1[[#This Row],[TYPE DE PIECE]],Tableau4[MATIERE],Tableau4[SHORT TYPE],"",0,1)</f>
        <v/>
      </c>
      <c r="N4650">
        <f>IF(ISERR(FIND("DECOUPE",Tableau1[[#This Row],[DESIGNATION]])),"","NEED REF")</f>
        <v/>
      </c>
    </row>
    <row r="4651">
      <c r="B4651" t="n">
        <v>34409355</v>
      </c>
      <c r="C4651" s="2" t="n">
        <v>44281</v>
      </c>
      <c r="D4651" t="inlineStr">
        <is>
          <t>SPEC</t>
        </is>
      </c>
      <c r="E4651" t="inlineStr">
        <is>
          <t>SMT PLATINE AUXILLIAIRE</t>
        </is>
      </c>
      <c r="F4651" t="inlineStr">
        <is>
          <t>SOUTH AFRICA</t>
        </is>
      </c>
      <c r="G4651" t="inlineStr">
        <is>
          <t>GVX</t>
        </is>
      </c>
      <c r="H4651" t="inlineStr">
        <is>
          <t>BYPASS</t>
        </is>
      </c>
      <c r="J4651" t="inlineStr">
        <is>
          <t>JAWORSKI</t>
        </is>
      </c>
      <c r="K4651" t="inlineStr">
        <is>
          <t>METAL</t>
        </is>
      </c>
      <c r="L4651">
        <f>_xlfn.XLOOKUP(Tableau1[[#This Row],[TYPE DE PIECE]],Tableau4[MATIERE],Tableau4[SHORT TYPE],"",0,1)</f>
        <v/>
      </c>
      <c r="N4651">
        <f>IF(ISERR(FIND("DECOUPE",Tableau1[[#This Row],[DESIGNATION]])),"","NEED REF")</f>
        <v/>
      </c>
    </row>
    <row r="4652">
      <c r="B4652" t="n">
        <v>34409354</v>
      </c>
      <c r="C4652" s="2" t="n">
        <v>44281</v>
      </c>
      <c r="D4652" t="inlineStr">
        <is>
          <t>SPEC</t>
        </is>
      </c>
      <c r="E4652" t="inlineStr">
        <is>
          <t>PLA PROTECTION RACCORD LOAD</t>
        </is>
      </c>
      <c r="F4652" t="inlineStr">
        <is>
          <t>SOUTH AFRICA</t>
        </is>
      </c>
      <c r="G4652" t="inlineStr">
        <is>
          <t>GVX</t>
        </is>
      </c>
      <c r="H4652" t="inlineStr">
        <is>
          <t>BYPASS</t>
        </is>
      </c>
      <c r="J4652" t="inlineStr">
        <is>
          <t>JAWORSKI</t>
        </is>
      </c>
      <c r="K4652" t="inlineStr">
        <is>
          <t>PLASTIQUE</t>
        </is>
      </c>
      <c r="L4652">
        <f>_xlfn.XLOOKUP(Tableau1[[#This Row],[TYPE DE PIECE]],Tableau4[MATIERE],Tableau4[SHORT TYPE],"",0,1)</f>
        <v/>
      </c>
      <c r="N4652">
        <f>IF(ISERR(FIND("DECOUPE",Tableau1[[#This Row],[DESIGNATION]])),"","NEED REF")</f>
        <v/>
      </c>
    </row>
    <row r="4653">
      <c r="B4653" t="n">
        <v>34409353</v>
      </c>
      <c r="C4653" s="2" t="n">
        <v>44281</v>
      </c>
      <c r="D4653" t="inlineStr">
        <is>
          <t>SPEC</t>
        </is>
      </c>
      <c r="E4653" t="inlineStr">
        <is>
          <t>COP LIAISON PEN / PE</t>
        </is>
      </c>
      <c r="F4653" t="inlineStr">
        <is>
          <t>INTERXION</t>
        </is>
      </c>
      <c r="G4653" t="inlineStr">
        <is>
          <t>GVX</t>
        </is>
      </c>
      <c r="H4653" t="inlineStr">
        <is>
          <t>IO</t>
        </is>
      </c>
      <c r="J4653" t="inlineStr">
        <is>
          <t>MATRION</t>
        </is>
      </c>
      <c r="K4653" t="inlineStr">
        <is>
          <t>CUIVRE</t>
        </is>
      </c>
      <c r="L4653">
        <f>_xlfn.XLOOKUP(Tableau1[[#This Row],[TYPE DE PIECE]],Tableau4[MATIERE],Tableau4[SHORT TYPE],"",0,1)</f>
        <v/>
      </c>
      <c r="N4653">
        <f>IF(ISERR(FIND("DECOUPE",Tableau1[[#This Row],[DESIGNATION]])),"","NEED REF")</f>
        <v/>
      </c>
    </row>
    <row r="4654">
      <c r="B4654" t="n">
        <v>34409352</v>
      </c>
      <c r="C4654" s="2" t="n">
        <v>44281</v>
      </c>
      <c r="D4654" t="inlineStr">
        <is>
          <t>SPEC</t>
        </is>
      </c>
      <c r="E4654" t="inlineStr">
        <is>
          <t>COP RACCORD MAINS2</t>
        </is>
      </c>
      <c r="F4654" t="inlineStr">
        <is>
          <t>SOUTH AFRICA</t>
        </is>
      </c>
      <c r="G4654" t="inlineStr">
        <is>
          <t>GVX</t>
        </is>
      </c>
      <c r="H4654" t="inlineStr">
        <is>
          <t>BYPASS</t>
        </is>
      </c>
      <c r="J4654" t="inlineStr">
        <is>
          <t>JAWORSKI</t>
        </is>
      </c>
      <c r="K4654" t="inlineStr">
        <is>
          <t>CUIVRE</t>
        </is>
      </c>
      <c r="L4654">
        <f>_xlfn.XLOOKUP(Tableau1[[#This Row],[TYPE DE PIECE]],Tableau4[MATIERE],Tableau4[SHORT TYPE],"",0,1)</f>
        <v/>
      </c>
      <c r="N4654">
        <f>IF(ISERR(FIND("DECOUPE",Tableau1[[#This Row],[DESIGNATION]])),"","NEED REF")</f>
        <v/>
      </c>
    </row>
    <row r="4655">
      <c r="B4655" t="n">
        <v>34409351</v>
      </c>
      <c r="C4655" s="2" t="n">
        <v>44281</v>
      </c>
      <c r="D4655" t="inlineStr">
        <is>
          <t>SPEC</t>
        </is>
      </c>
      <c r="E4655" t="inlineStr">
        <is>
          <t>COP CALE MTZ2</t>
        </is>
      </c>
      <c r="F4655" t="inlineStr">
        <is>
          <t>SOUTH AFRICA</t>
        </is>
      </c>
      <c r="G4655" t="inlineStr">
        <is>
          <t>GVX</t>
        </is>
      </c>
      <c r="H4655" t="inlineStr">
        <is>
          <t>BYPASS</t>
        </is>
      </c>
      <c r="J4655" t="inlineStr">
        <is>
          <t>JAWORSKI</t>
        </is>
      </c>
      <c r="K4655" t="inlineStr">
        <is>
          <t>CUIVRE</t>
        </is>
      </c>
      <c r="L4655">
        <f>_xlfn.XLOOKUP(Tableau1[[#This Row],[TYPE DE PIECE]],Tableau4[MATIERE],Tableau4[SHORT TYPE],"",0,1)</f>
        <v/>
      </c>
      <c r="N4655">
        <f>IF(ISERR(FIND("DECOUPE",Tableau1[[#This Row],[DESIGNATION]])),"","NEED REF")</f>
        <v/>
      </c>
    </row>
    <row r="4656">
      <c r="B4656" t="n">
        <v>34409350</v>
      </c>
      <c r="C4656" s="2" t="n">
        <v>44281</v>
      </c>
      <c r="D4656" t="inlineStr">
        <is>
          <t>SPEC</t>
        </is>
      </c>
      <c r="E4656" t="inlineStr">
        <is>
          <t>COP BARRE PE SOUS TOIT</t>
        </is>
      </c>
      <c r="F4656" t="inlineStr">
        <is>
          <t>INTERXION</t>
        </is>
      </c>
      <c r="G4656" t="inlineStr">
        <is>
          <t>GVX</t>
        </is>
      </c>
      <c r="H4656" t="inlineStr">
        <is>
          <t>IO</t>
        </is>
      </c>
      <c r="J4656" t="inlineStr">
        <is>
          <t>MATRION</t>
        </is>
      </c>
      <c r="K4656" t="inlineStr">
        <is>
          <t>CUIVRE</t>
        </is>
      </c>
      <c r="L4656">
        <f>_xlfn.XLOOKUP(Tableau1[[#This Row],[TYPE DE PIECE]],Tableau4[MATIERE],Tableau4[SHORT TYPE],"",0,1)</f>
        <v/>
      </c>
      <c r="N4656">
        <f>IF(ISERR(FIND("DECOUPE",Tableau1[[#This Row],[DESIGNATION]])),"","NEED REF")</f>
        <v/>
      </c>
    </row>
    <row r="4657">
      <c r="B4657" t="n">
        <v>34409349</v>
      </c>
      <c r="C4657" s="2" t="n">
        <v>44281</v>
      </c>
      <c r="D4657" t="inlineStr">
        <is>
          <t>SPEC</t>
        </is>
      </c>
      <c r="E4657" t="inlineStr">
        <is>
          <t>COP BARRE PE SOUS TOIT 1</t>
        </is>
      </c>
      <c r="F4657" t="inlineStr">
        <is>
          <t>INTERXION</t>
        </is>
      </c>
      <c r="G4657" t="inlineStr">
        <is>
          <t>GVX</t>
        </is>
      </c>
      <c r="H4657" t="inlineStr">
        <is>
          <t>IO</t>
        </is>
      </c>
      <c r="J4657" t="inlineStr">
        <is>
          <t>MATRION</t>
        </is>
      </c>
      <c r="K4657" t="inlineStr">
        <is>
          <t>CUIVRE</t>
        </is>
      </c>
      <c r="L4657">
        <f>_xlfn.XLOOKUP(Tableau1[[#This Row],[TYPE DE PIECE]],Tableau4[MATIERE],Tableau4[SHORT TYPE],"",0,1)</f>
        <v/>
      </c>
      <c r="N4657">
        <f>IF(ISERR(FIND("DECOUPE",Tableau1[[#This Row],[DESIGNATION]])),"","NEED REF")</f>
        <v/>
      </c>
    </row>
    <row r="4658">
      <c r="B4658" t="n">
        <v>34409348</v>
      </c>
      <c r="C4658" s="2" t="n">
        <v>44281</v>
      </c>
      <c r="D4658" t="inlineStr">
        <is>
          <t>SPEC</t>
        </is>
      </c>
      <c r="E4658" t="inlineStr">
        <is>
          <t>SMT PLAQUE COMPENSATION SOUS TOIT</t>
        </is>
      </c>
      <c r="F4658" t="inlineStr">
        <is>
          <t>INTERXION</t>
        </is>
      </c>
      <c r="G4658" t="inlineStr">
        <is>
          <t>GVX</t>
        </is>
      </c>
      <c r="H4658" t="inlineStr">
        <is>
          <t>IO</t>
        </is>
      </c>
      <c r="J4658" t="inlineStr">
        <is>
          <t>MATRION</t>
        </is>
      </c>
      <c r="K4658" t="inlineStr">
        <is>
          <t>METAL</t>
        </is>
      </c>
      <c r="L4658">
        <f>_xlfn.XLOOKUP(Tableau1[[#This Row],[TYPE DE PIECE]],Tableau4[MATIERE],Tableau4[SHORT TYPE],"",0,1)</f>
        <v/>
      </c>
      <c r="N4658">
        <f>IF(ISERR(FIND("DECOUPE",Tableau1[[#This Row],[DESIGNATION]])),"","NEED REF")</f>
        <v/>
      </c>
    </row>
    <row r="4659">
      <c r="B4659" t="n">
        <v>34409347</v>
      </c>
      <c r="C4659" s="2" t="n">
        <v>44280</v>
      </c>
      <c r="D4659" t="inlineStr">
        <is>
          <t>SPEC</t>
        </is>
      </c>
      <c r="E4659" t="inlineStr">
        <is>
          <t>COP CALE LGYE 3200A</t>
        </is>
      </c>
      <c r="F4659" t="inlineStr">
        <is>
          <t>SOUTH AFRICA</t>
        </is>
      </c>
      <c r="G4659" t="inlineStr">
        <is>
          <t>GVX</t>
        </is>
      </c>
      <c r="H4659" t="inlineStr">
        <is>
          <t>BYPASS</t>
        </is>
      </c>
      <c r="J4659" t="inlineStr">
        <is>
          <t>JAWORSKI</t>
        </is>
      </c>
      <c r="K4659" t="inlineStr">
        <is>
          <t>CUIVRE</t>
        </is>
      </c>
      <c r="L4659">
        <f>_xlfn.XLOOKUP(Tableau1[[#This Row],[TYPE DE PIECE]],Tableau4[MATIERE],Tableau4[SHORT TYPE],"",0,1)</f>
        <v/>
      </c>
      <c r="N4659">
        <f>IF(ISERR(FIND("DECOUPE",Tableau1[[#This Row],[DESIGNATION]])),"","NEED REF")</f>
        <v/>
      </c>
    </row>
    <row r="4660">
      <c r="B4660" t="n">
        <v>34409346</v>
      </c>
      <c r="C4660" s="2" t="n">
        <v>44280</v>
      </c>
      <c r="D4660" t="inlineStr">
        <is>
          <t>SPEC</t>
        </is>
      </c>
      <c r="E4660" t="inlineStr">
        <is>
          <t>COP CX MTZ2 - LGYE 3200A</t>
        </is>
      </c>
      <c r="F4660" t="inlineStr">
        <is>
          <t>SOUTH AFRICA</t>
        </is>
      </c>
      <c r="G4660" t="inlineStr">
        <is>
          <t>GVX</t>
        </is>
      </c>
      <c r="H4660" t="inlineStr">
        <is>
          <t>BYPASS</t>
        </is>
      </c>
      <c r="J4660" t="inlineStr">
        <is>
          <t>JAWORSKI</t>
        </is>
      </c>
      <c r="K4660" t="inlineStr">
        <is>
          <t>CUIVRE</t>
        </is>
      </c>
      <c r="L4660">
        <f>_xlfn.XLOOKUP(Tableau1[[#This Row],[TYPE DE PIECE]],Tableau4[MATIERE],Tableau4[SHORT TYPE],"",0,1)</f>
        <v/>
      </c>
      <c r="N4660">
        <f>IF(ISERR(FIND("DECOUPE",Tableau1[[#This Row],[DESIGNATION]])),"","NEED REF")</f>
        <v/>
      </c>
    </row>
    <row r="4661">
      <c r="B4661" t="n">
        <v>34409345</v>
      </c>
      <c r="C4661" s="2" t="n">
        <v>44280</v>
      </c>
      <c r="D4661" t="inlineStr">
        <is>
          <t>SPEC</t>
        </is>
      </c>
      <c r="E4661" t="inlineStr">
        <is>
          <t>PLA PLAQUE ISOLANTE 3</t>
        </is>
      </c>
      <c r="F4661" t="inlineStr">
        <is>
          <t>INTERXION</t>
        </is>
      </c>
      <c r="G4661" t="inlineStr">
        <is>
          <t>GVX</t>
        </is>
      </c>
      <c r="H4661" t="inlineStr">
        <is>
          <t>IO</t>
        </is>
      </c>
      <c r="J4661" t="inlineStr">
        <is>
          <t>MATRION</t>
        </is>
      </c>
      <c r="K4661" t="inlineStr">
        <is>
          <t>PLASTIQUE</t>
        </is>
      </c>
      <c r="L4661">
        <f>_xlfn.XLOOKUP(Tableau1[[#This Row],[TYPE DE PIECE]],Tableau4[MATIERE],Tableau4[SHORT TYPE],"",0,1)</f>
        <v/>
      </c>
      <c r="N4661">
        <f>IF(ISERR(FIND("DECOUPE",Tableau1[[#This Row],[DESIGNATION]])),"","NEED REF")</f>
        <v/>
      </c>
    </row>
    <row r="4662">
      <c r="B4662" t="n">
        <v>34409344</v>
      </c>
      <c r="C4662" s="2" t="n">
        <v>44280</v>
      </c>
      <c r="D4662" t="inlineStr">
        <is>
          <t>SPEC</t>
        </is>
      </c>
      <c r="E4662" t="inlineStr">
        <is>
          <t>PLA PLAQUE ISOLANTE 2</t>
        </is>
      </c>
      <c r="F4662" t="inlineStr">
        <is>
          <t>INTERXION</t>
        </is>
      </c>
      <c r="G4662" t="inlineStr">
        <is>
          <t>GVX</t>
        </is>
      </c>
      <c r="H4662" t="inlineStr">
        <is>
          <t>IO</t>
        </is>
      </c>
      <c r="J4662" t="inlineStr">
        <is>
          <t>MATRION</t>
        </is>
      </c>
      <c r="K4662" t="inlineStr">
        <is>
          <t>PLASTIQUE</t>
        </is>
      </c>
      <c r="L4662">
        <f>_xlfn.XLOOKUP(Tableau1[[#This Row],[TYPE DE PIECE]],Tableau4[MATIERE],Tableau4[SHORT TYPE],"",0,1)</f>
        <v/>
      </c>
      <c r="N4662">
        <f>IF(ISERR(FIND("DECOUPE",Tableau1[[#This Row],[DESIGNATION]])),"","NEED REF")</f>
        <v/>
      </c>
    </row>
    <row r="4663">
      <c r="B4663" t="n">
        <v>34409343</v>
      </c>
      <c r="C4663" s="2" t="n">
        <v>44280</v>
      </c>
      <c r="D4663" t="inlineStr">
        <is>
          <t>SPEC</t>
        </is>
      </c>
      <c r="E4663" t="inlineStr">
        <is>
          <t>PLA PLAQUE ISOLANTE 1</t>
        </is>
      </c>
      <c r="F4663" t="inlineStr">
        <is>
          <t>INTERXION</t>
        </is>
      </c>
      <c r="G4663" t="inlineStr">
        <is>
          <t>GVX</t>
        </is>
      </c>
      <c r="H4663" t="inlineStr">
        <is>
          <t>IO</t>
        </is>
      </c>
      <c r="J4663" t="inlineStr">
        <is>
          <t>MATRION</t>
        </is>
      </c>
      <c r="K4663" t="inlineStr">
        <is>
          <t>PLASTIQUE</t>
        </is>
      </c>
      <c r="L4663">
        <f>_xlfn.XLOOKUP(Tableau1[[#This Row],[TYPE DE PIECE]],Tableau4[MATIERE],Tableau4[SHORT TYPE],"",0,1)</f>
        <v/>
      </c>
      <c r="N4663">
        <f>IF(ISERR(FIND("DECOUPE",Tableau1[[#This Row],[DESIGNATION]])),"","NEED REF")</f>
        <v/>
      </c>
    </row>
    <row r="4664">
      <c r="B4664" t="n">
        <v>34409342</v>
      </c>
      <c r="C4664" s="2" t="n">
        <v>44280</v>
      </c>
      <c r="D4664" t="inlineStr">
        <is>
          <t>SPEC</t>
        </is>
      </c>
      <c r="E4664" t="inlineStr">
        <is>
          <t>SMT SUPPORT ISOLATION DC</t>
        </is>
      </c>
      <c r="F4664" t="inlineStr">
        <is>
          <t>INTERXION</t>
        </is>
      </c>
      <c r="G4664" t="inlineStr">
        <is>
          <t>GVX</t>
        </is>
      </c>
      <c r="H4664" t="inlineStr">
        <is>
          <t>IO</t>
        </is>
      </c>
      <c r="J4664" t="inlineStr">
        <is>
          <t>MATRION</t>
        </is>
      </c>
      <c r="K4664" t="inlineStr">
        <is>
          <t>METAL</t>
        </is>
      </c>
      <c r="L4664">
        <f>_xlfn.XLOOKUP(Tableau1[[#This Row],[TYPE DE PIECE]],Tableau4[MATIERE],Tableau4[SHORT TYPE],"",0,1)</f>
        <v/>
      </c>
      <c r="N4664">
        <f>IF(ISERR(FIND("DECOUPE",Tableau1[[#This Row],[DESIGNATION]])),"","NEED REF")</f>
        <v/>
      </c>
    </row>
    <row r="4665">
      <c r="B4665" t="n">
        <v>34409341</v>
      </c>
      <c r="C4665" s="2" t="n">
        <v>44280</v>
      </c>
      <c r="D4665" t="inlineStr">
        <is>
          <t>SPEC</t>
        </is>
      </c>
      <c r="E4665" t="inlineStr">
        <is>
          <t>COP PLAGE PONTAGE BATT 2</t>
        </is>
      </c>
      <c r="F4665" t="inlineStr">
        <is>
          <t>INTERXION</t>
        </is>
      </c>
      <c r="G4665" t="inlineStr">
        <is>
          <t>GVX</t>
        </is>
      </c>
      <c r="H4665" t="inlineStr">
        <is>
          <t>IO</t>
        </is>
      </c>
      <c r="J4665" t="inlineStr">
        <is>
          <t>MATRION</t>
        </is>
      </c>
      <c r="K4665" t="inlineStr">
        <is>
          <t>CUIVRE</t>
        </is>
      </c>
      <c r="L4665">
        <f>_xlfn.XLOOKUP(Tableau1[[#This Row],[TYPE DE PIECE]],Tableau4[MATIERE],Tableau4[SHORT TYPE],"",0,1)</f>
        <v/>
      </c>
      <c r="N4665">
        <f>IF(ISERR(FIND("DECOUPE",Tableau1[[#This Row],[DESIGNATION]])),"","NEED REF")</f>
        <v/>
      </c>
    </row>
    <row r="4666">
      <c r="B4666" t="n">
        <v>34409340</v>
      </c>
      <c r="C4666" s="2" t="n">
        <v>44280</v>
      </c>
      <c r="D4666" t="inlineStr">
        <is>
          <t>SPEC</t>
        </is>
      </c>
      <c r="E4666" t="inlineStr">
        <is>
          <t>COP LOAD PER 2</t>
        </is>
      </c>
      <c r="F4666" t="inlineStr">
        <is>
          <t>INTERXION</t>
        </is>
      </c>
      <c r="G4666" t="inlineStr">
        <is>
          <t>GVX</t>
        </is>
      </c>
      <c r="H4666" t="inlineStr">
        <is>
          <t>IO</t>
        </is>
      </c>
      <c r="J4666" t="inlineStr">
        <is>
          <t>MATRION</t>
        </is>
      </c>
      <c r="K4666" t="inlineStr">
        <is>
          <t>CUIVRE</t>
        </is>
      </c>
      <c r="L4666">
        <f>_xlfn.XLOOKUP(Tableau1[[#This Row],[TYPE DE PIECE]],Tableau4[MATIERE],Tableau4[SHORT TYPE],"",0,1)</f>
        <v/>
      </c>
      <c r="N4666">
        <f>IF(ISERR(FIND("DECOUPE",Tableau1[[#This Row],[DESIGNATION]])),"","NEED REF")</f>
        <v/>
      </c>
    </row>
    <row r="4667">
      <c r="B4667" t="n">
        <v>34409339</v>
      </c>
      <c r="C4667" s="2" t="n">
        <v>44280</v>
      </c>
      <c r="D4667" t="inlineStr">
        <is>
          <t>SPEC</t>
        </is>
      </c>
      <c r="E4667" t="inlineStr">
        <is>
          <t>PLS ISOLATION PER</t>
        </is>
      </c>
      <c r="G4667" t="inlineStr">
        <is>
          <t>GVX</t>
        </is>
      </c>
      <c r="H4667" t="inlineStr">
        <is>
          <t>IO</t>
        </is>
      </c>
      <c r="J4667" t="inlineStr">
        <is>
          <t>MATRION</t>
        </is>
      </c>
      <c r="K4667" t="inlineStr">
        <is>
          <t>PLASTIQUE</t>
        </is>
      </c>
      <c r="L4667">
        <f>_xlfn.XLOOKUP(Tableau1[[#This Row],[TYPE DE PIECE]],Tableau4[MATIERE],Tableau4[SHORT TYPE],"",0,1)</f>
        <v/>
      </c>
      <c r="N4667">
        <f>IF(ISERR(FIND("DECOUPE",Tableau1[[#This Row],[DESIGNATION]])),"","NEED REF")</f>
        <v/>
      </c>
    </row>
    <row r="4668">
      <c r="B4668" t="n">
        <v>34409338</v>
      </c>
      <c r="C4668" s="2" t="n">
        <v>44280</v>
      </c>
      <c r="D4668" t="inlineStr">
        <is>
          <t>SPEC</t>
        </is>
      </c>
      <c r="E4668" t="inlineStr">
        <is>
          <t>COP LOAD PER 1</t>
        </is>
      </c>
      <c r="F4668" t="inlineStr">
        <is>
          <t>INTERXION</t>
        </is>
      </c>
      <c r="G4668" t="inlineStr">
        <is>
          <t>GVX</t>
        </is>
      </c>
      <c r="H4668" t="inlineStr">
        <is>
          <t>IO</t>
        </is>
      </c>
      <c r="J4668" t="inlineStr">
        <is>
          <t>MATRION</t>
        </is>
      </c>
      <c r="K4668" t="inlineStr">
        <is>
          <t>CUIVRE</t>
        </is>
      </c>
      <c r="L4668">
        <f>_xlfn.XLOOKUP(Tableau1[[#This Row],[TYPE DE PIECE]],Tableau4[MATIERE],Tableau4[SHORT TYPE],"",0,1)</f>
        <v/>
      </c>
      <c r="N4668">
        <f>IF(ISERR(FIND("DECOUPE",Tableau1[[#This Row],[DESIGNATION]])),"","NEED REF")</f>
        <v/>
      </c>
    </row>
    <row r="4669">
      <c r="B4669" t="n">
        <v>34409337</v>
      </c>
      <c r="C4669" s="2" t="n">
        <v>44280</v>
      </c>
      <c r="D4669" t="inlineStr">
        <is>
          <t>SPEC</t>
        </is>
      </c>
      <c r="E4669" t="inlineStr">
        <is>
          <t>COP EQUERRE PE</t>
        </is>
      </c>
      <c r="F4669" t="inlineStr">
        <is>
          <t>INTERXION</t>
        </is>
      </c>
      <c r="G4669" t="inlineStr">
        <is>
          <t>GVX</t>
        </is>
      </c>
      <c r="H4669" t="inlineStr">
        <is>
          <t>IO</t>
        </is>
      </c>
      <c r="J4669" t="inlineStr">
        <is>
          <t>MATRION</t>
        </is>
      </c>
      <c r="K4669" t="inlineStr">
        <is>
          <t>CUIVRE</t>
        </is>
      </c>
      <c r="L4669">
        <f>_xlfn.XLOOKUP(Tableau1[[#This Row],[TYPE DE PIECE]],Tableau4[MATIERE],Tableau4[SHORT TYPE],"",0,1)</f>
        <v/>
      </c>
      <c r="N4669">
        <f>IF(ISERR(FIND("DECOUPE",Tableau1[[#This Row],[DESIGNATION]])),"","NEED REF")</f>
        <v/>
      </c>
    </row>
    <row r="4670">
      <c r="B4670" t="n">
        <v>34409336</v>
      </c>
      <c r="C4670" s="2" t="n">
        <v>44279</v>
      </c>
      <c r="D4670" t="inlineStr">
        <is>
          <t>SPEC</t>
        </is>
      </c>
      <c r="E4670" t="inlineStr">
        <is>
          <t>COP INTERCO KTA AC 2</t>
        </is>
      </c>
      <c r="F4670" t="inlineStr">
        <is>
          <t>INTERXION</t>
        </is>
      </c>
      <c r="G4670" t="inlineStr">
        <is>
          <t>GVX</t>
        </is>
      </c>
      <c r="H4670" t="inlineStr">
        <is>
          <t>IO</t>
        </is>
      </c>
      <c r="J4670" t="inlineStr">
        <is>
          <t>MATRION</t>
        </is>
      </c>
      <c r="K4670" t="inlineStr">
        <is>
          <t>CUIVRE</t>
        </is>
      </c>
      <c r="L4670">
        <f>_xlfn.XLOOKUP(Tableau1[[#This Row],[TYPE DE PIECE]],Tableau4[MATIERE],Tableau4[SHORT TYPE],"",0,1)</f>
        <v/>
      </c>
      <c r="N4670">
        <f>IF(ISERR(FIND("DECOUPE",Tableau1[[#This Row],[DESIGNATION]])),"","NEED REF")</f>
        <v/>
      </c>
    </row>
    <row r="4671">
      <c r="B4671" t="n">
        <v>34409335</v>
      </c>
      <c r="C4671" s="2" t="n">
        <v>44279</v>
      </c>
      <c r="D4671" t="inlineStr">
        <is>
          <t>SPEC</t>
        </is>
      </c>
      <c r="E4671" t="inlineStr">
        <is>
          <t>PLA BRIDE CX UOB</t>
        </is>
      </c>
      <c r="F4671" t="inlineStr">
        <is>
          <t>SOUTH AFRICA</t>
        </is>
      </c>
      <c r="G4671" t="inlineStr">
        <is>
          <t>GVX</t>
        </is>
      </c>
      <c r="H4671" t="inlineStr">
        <is>
          <t>BYPASS</t>
        </is>
      </c>
      <c r="J4671" t="inlineStr">
        <is>
          <t>JAWORSKI</t>
        </is>
      </c>
      <c r="K4671" t="inlineStr">
        <is>
          <t>PLASTIQUE</t>
        </is>
      </c>
      <c r="L4671">
        <f>_xlfn.XLOOKUP(Tableau1[[#This Row],[TYPE DE PIECE]],Tableau4[MATIERE],Tableau4[SHORT TYPE],"",0,1)</f>
        <v/>
      </c>
      <c r="N4671">
        <f>IF(ISERR(FIND("DECOUPE",Tableau1[[#This Row],[DESIGNATION]])),"","NEED REF")</f>
        <v/>
      </c>
    </row>
    <row r="4672">
      <c r="B4672" t="n">
        <v>34409334</v>
      </c>
      <c r="C4672" s="2" t="n">
        <v>44279</v>
      </c>
      <c r="D4672" t="inlineStr">
        <is>
          <t>SPEC</t>
        </is>
      </c>
      <c r="E4672" t="inlineStr">
        <is>
          <t>Légende visserie client STS TERRACO QSMA64093</t>
        </is>
      </c>
      <c r="F4672" t="inlineStr">
        <is>
          <t>TERRACO</t>
        </is>
      </c>
      <c r="G4672" t="inlineStr">
        <is>
          <t>G7K</t>
        </is>
      </c>
      <c r="H4672" t="inlineStr">
        <is>
          <t>STS</t>
        </is>
      </c>
      <c r="J4672" t="inlineStr">
        <is>
          <t>MONGELLI</t>
        </is>
      </c>
      <c r="K4672" t="inlineStr">
        <is>
          <t>METAL</t>
        </is>
      </c>
      <c r="L4672">
        <f>_xlfn.XLOOKUP(Tableau1[[#This Row],[TYPE DE PIECE]],Tableau4[MATIERE],Tableau4[SHORT TYPE],"",0,1)</f>
        <v/>
      </c>
      <c r="N4672">
        <f>IF(ISERR(FIND("DECOUPE",Tableau1[[#This Row],[DESIGNATION]])),"","NEED REF")</f>
        <v/>
      </c>
    </row>
    <row r="4673">
      <c r="B4673" t="n">
        <v>34409333</v>
      </c>
      <c r="C4673" s="2" t="n">
        <v>44279</v>
      </c>
      <c r="D4673" t="inlineStr">
        <is>
          <t>SPEC</t>
        </is>
      </c>
      <c r="J4673" t="inlineStr">
        <is>
          <t>MATRION</t>
        </is>
      </c>
      <c r="L4673">
        <f>_xlfn.XLOOKUP(Tableau1[[#This Row],[TYPE DE PIECE]],Tableau4[MATIERE],Tableau4[SHORT TYPE],"",0,1)</f>
        <v/>
      </c>
      <c r="N4673">
        <f>IF(ISERR(FIND("DECOUPE",Tableau1[[#This Row],[DESIGNATION]])),"","NEED REF")</f>
        <v/>
      </c>
    </row>
    <row r="4674">
      <c r="B4674" t="n">
        <v>34409332</v>
      </c>
      <c r="C4674" s="2" t="n">
        <v>44279</v>
      </c>
      <c r="D4674" t="inlineStr">
        <is>
          <t>SPEC</t>
        </is>
      </c>
      <c r="E4674" t="inlineStr">
        <is>
          <t>WIR INTERCONNEXION IO TETE GAINE A BARRE 750kVA</t>
        </is>
      </c>
      <c r="F4674" t="inlineStr">
        <is>
          <t>SPA ITALY</t>
        </is>
      </c>
      <c r="G4674" t="inlineStr">
        <is>
          <t>GVX</t>
        </is>
      </c>
      <c r="H4674" t="inlineStr">
        <is>
          <t>IO</t>
        </is>
      </c>
      <c r="J4674" t="inlineStr">
        <is>
          <t>JAWORSKI</t>
        </is>
      </c>
      <c r="K4674" t="inlineStr">
        <is>
          <t>FILERIE</t>
        </is>
      </c>
      <c r="L4674">
        <f>_xlfn.XLOOKUP(Tableau1[[#This Row],[TYPE DE PIECE]],Tableau4[MATIERE],Tableau4[SHORT TYPE],"",0,1)</f>
        <v/>
      </c>
      <c r="N4674">
        <f>IF(ISERR(FIND("DECOUPE",Tableau1[[#This Row],[DESIGNATION]])),"","NEED REF")</f>
        <v/>
      </c>
    </row>
    <row r="4675">
      <c r="B4675" t="n">
        <v>34409331</v>
      </c>
      <c r="C4675" s="2" t="n">
        <v>44279</v>
      </c>
      <c r="D4675" t="inlineStr">
        <is>
          <t>SPEC</t>
        </is>
      </c>
      <c r="E4675" t="inlineStr">
        <is>
          <t>SMT MOYEN LEVAGE LEGRAND FEEDER</t>
        </is>
      </c>
      <c r="F4675" t="inlineStr">
        <is>
          <t>INTERXION</t>
        </is>
      </c>
      <c r="G4675" t="inlineStr">
        <is>
          <t>GVX</t>
        </is>
      </c>
      <c r="H4675" t="inlineStr">
        <is>
          <t>IO</t>
        </is>
      </c>
      <c r="J4675" t="inlineStr">
        <is>
          <t>MATRION</t>
        </is>
      </c>
      <c r="K4675" t="inlineStr">
        <is>
          <t>METAL</t>
        </is>
      </c>
      <c r="L4675">
        <f>_xlfn.XLOOKUP(Tableau1[[#This Row],[TYPE DE PIECE]],Tableau4[MATIERE],Tableau4[SHORT TYPE],"",0,1)</f>
        <v/>
      </c>
      <c r="N4675">
        <f>IF(ISERR(FIND("DECOUPE",Tableau1[[#This Row],[DESIGNATION]])),"","NEED REF")</f>
        <v/>
      </c>
    </row>
    <row r="4676">
      <c r="B4676" t="n">
        <v>34409330</v>
      </c>
      <c r="C4676" s="2" t="n">
        <v>44279</v>
      </c>
      <c r="D4676" t="inlineStr">
        <is>
          <t>SPEC</t>
        </is>
      </c>
      <c r="E4676" t="inlineStr">
        <is>
          <t>SMT LEGRAND OUTPUT AND BATT ROOF 3</t>
        </is>
      </c>
      <c r="F4676" t="inlineStr">
        <is>
          <t>INTERXION</t>
        </is>
      </c>
      <c r="G4676" t="inlineStr">
        <is>
          <t>GVX</t>
        </is>
      </c>
      <c r="H4676" t="inlineStr">
        <is>
          <t>IO</t>
        </is>
      </c>
      <c r="J4676" t="inlineStr">
        <is>
          <t>MATRION</t>
        </is>
      </c>
      <c r="K4676" t="inlineStr">
        <is>
          <t>METAL</t>
        </is>
      </c>
      <c r="L4676">
        <f>_xlfn.XLOOKUP(Tableau1[[#This Row],[TYPE DE PIECE]],Tableau4[MATIERE],Tableau4[SHORT TYPE],"",0,1)</f>
        <v/>
      </c>
      <c r="N4676">
        <f>IF(ISERR(FIND("DECOUPE",Tableau1[[#This Row],[DESIGNATION]])),"","NEED REF")</f>
        <v/>
      </c>
    </row>
    <row r="4677">
      <c r="B4677" t="n">
        <v>34409329</v>
      </c>
      <c r="C4677" s="2" t="n">
        <v>44278</v>
      </c>
      <c r="D4677" t="inlineStr">
        <is>
          <t>SPEC</t>
        </is>
      </c>
      <c r="E4677" t="inlineStr">
        <is>
          <t>COP PLAGE PONTAGE BATT 1</t>
        </is>
      </c>
      <c r="F4677" t="inlineStr">
        <is>
          <t>INTERXION</t>
        </is>
      </c>
      <c r="G4677" t="inlineStr">
        <is>
          <t>GVX</t>
        </is>
      </c>
      <c r="H4677" t="inlineStr">
        <is>
          <t>IO</t>
        </is>
      </c>
      <c r="J4677" t="inlineStr">
        <is>
          <t>MATRION</t>
        </is>
      </c>
      <c r="K4677" t="inlineStr">
        <is>
          <t>CUIVRE</t>
        </is>
      </c>
      <c r="L4677">
        <f>_xlfn.XLOOKUP(Tableau1[[#This Row],[TYPE DE PIECE]],Tableau4[MATIERE],Tableau4[SHORT TYPE],"",0,1)</f>
        <v/>
      </c>
      <c r="N4677">
        <f>IF(ISERR(FIND("DECOUPE",Tableau1[[#This Row],[DESIGNATION]])),"","NEED REF")</f>
        <v/>
      </c>
    </row>
    <row r="4678">
      <c r="B4678" t="n">
        <v>34409328</v>
      </c>
      <c r="C4678" s="2" t="n">
        <v>44278</v>
      </c>
      <c r="D4678" t="inlineStr">
        <is>
          <t>SPEC</t>
        </is>
      </c>
      <c r="E4678" t="inlineStr">
        <is>
          <t>COFFRET SYNCHRO NEW RAL9003 DEVIS SAREL W21030525TGF/A0</t>
        </is>
      </c>
      <c r="H4678" t="inlineStr">
        <is>
          <t>AUTRE</t>
        </is>
      </c>
      <c r="J4678" t="inlineStr">
        <is>
          <t>ÇAKIR</t>
        </is>
      </c>
      <c r="K4678" t="inlineStr">
        <is>
          <t>DEVIS</t>
        </is>
      </c>
      <c r="L4678">
        <f>_xlfn.XLOOKUP(Tableau1[[#This Row],[TYPE DE PIECE]],Tableau4[MATIERE],Tableau4[SHORT TYPE],"",0,1)</f>
        <v/>
      </c>
      <c r="N4678">
        <f>IF(ISERR(FIND("DECOUPE",Tableau1[[#This Row],[DESIGNATION]])),"","NEED REF")</f>
        <v/>
      </c>
    </row>
    <row r="4679">
      <c r="B4679" t="n">
        <v>34409327</v>
      </c>
      <c r="C4679" s="2" t="n">
        <v>44278</v>
      </c>
      <c r="D4679" t="inlineStr">
        <is>
          <t>SPEC</t>
        </is>
      </c>
      <c r="E4679" t="inlineStr">
        <is>
          <t>PLA CALE CX LOAD</t>
        </is>
      </c>
      <c r="F4679" t="inlineStr">
        <is>
          <t>SOUTH AFRICA</t>
        </is>
      </c>
      <c r="G4679" t="inlineStr">
        <is>
          <t>GVX</t>
        </is>
      </c>
      <c r="H4679" t="inlineStr">
        <is>
          <t>BYPASS</t>
        </is>
      </c>
      <c r="J4679" t="inlineStr">
        <is>
          <t>JAWORSKI</t>
        </is>
      </c>
      <c r="K4679" t="inlineStr">
        <is>
          <t>PLASTIQUE</t>
        </is>
      </c>
      <c r="L4679">
        <f>_xlfn.XLOOKUP(Tableau1[[#This Row],[TYPE DE PIECE]],Tableau4[MATIERE],Tableau4[SHORT TYPE],"",0,1)</f>
        <v/>
      </c>
      <c r="N4679">
        <f>IF(ISERR(FIND("DECOUPE",Tableau1[[#This Row],[DESIGNATION]])),"","NEED REF")</f>
        <v/>
      </c>
    </row>
    <row r="4680">
      <c r="B4680" t="n">
        <v>34409326</v>
      </c>
      <c r="C4680" s="2" t="n">
        <v>44278</v>
      </c>
      <c r="D4680" t="inlineStr">
        <is>
          <t>SPEC</t>
        </is>
      </c>
      <c r="E4680" t="inlineStr">
        <is>
          <t>COP RACCORD LOAD</t>
        </is>
      </c>
      <c r="F4680" t="inlineStr">
        <is>
          <t>SOUTH AFRICA</t>
        </is>
      </c>
      <c r="G4680" t="inlineStr">
        <is>
          <t>GVX</t>
        </is>
      </c>
      <c r="H4680" t="inlineStr">
        <is>
          <t>BYPASS</t>
        </is>
      </c>
      <c r="J4680" t="inlineStr">
        <is>
          <t>MATRION</t>
        </is>
      </c>
      <c r="K4680" t="inlineStr">
        <is>
          <t>CUIVRE</t>
        </is>
      </c>
      <c r="L4680">
        <f>_xlfn.XLOOKUP(Tableau1[[#This Row],[TYPE DE PIECE]],Tableau4[MATIERE],Tableau4[SHORT TYPE],"",0,1)</f>
        <v/>
      </c>
      <c r="N4680">
        <f>IF(ISERR(FIND("DECOUPE",Tableau1[[#This Row],[DESIGNATION]])),"","NEED REF")</f>
        <v/>
      </c>
    </row>
    <row r="4681">
      <c r="B4681" t="n">
        <v>34409325</v>
      </c>
      <c r="C4681" s="2" t="n">
        <v>44278</v>
      </c>
      <c r="D4681" t="inlineStr">
        <is>
          <t>SPEC</t>
        </is>
      </c>
      <c r="E4681" t="inlineStr">
        <is>
          <t>KIT FILERIE SYNCHRO BOX NEW</t>
        </is>
      </c>
      <c r="F4681" t="inlineStr">
        <is>
          <t xml:space="preserve">DATA4 </t>
        </is>
      </c>
      <c r="H4681" t="inlineStr">
        <is>
          <t>AUTRE</t>
        </is>
      </c>
      <c r="J4681" t="inlineStr">
        <is>
          <t>ÇAKIR</t>
        </is>
      </c>
      <c r="K4681" t="inlineStr">
        <is>
          <t>CABLES</t>
        </is>
      </c>
      <c r="L4681">
        <f>_xlfn.XLOOKUP(Tableau1[[#This Row],[TYPE DE PIECE]],Tableau4[MATIERE],Tableau4[SHORT TYPE],"",0,1)</f>
        <v/>
      </c>
      <c r="N4681">
        <f>IF(ISERR(FIND("DECOUPE",Tableau1[[#This Row],[DESIGNATION]])),"","NEED REF")</f>
        <v/>
      </c>
    </row>
    <row r="4682">
      <c r="B4682" t="n">
        <v>34409324</v>
      </c>
      <c r="C4682" s="2" t="n">
        <v>44278</v>
      </c>
      <c r="D4682" t="inlineStr">
        <is>
          <t>SPEC</t>
        </is>
      </c>
      <c r="E4682" t="inlineStr">
        <is>
          <t>SMT CALE SUPPORT MTZ2</t>
        </is>
      </c>
      <c r="F4682" t="inlineStr">
        <is>
          <t>SOUTH AFRICA</t>
        </is>
      </c>
      <c r="G4682" t="inlineStr">
        <is>
          <t>GVX</t>
        </is>
      </c>
      <c r="H4682" t="inlineStr">
        <is>
          <t>BYPASS</t>
        </is>
      </c>
      <c r="J4682" t="inlineStr">
        <is>
          <t>JAWORSKI</t>
        </is>
      </c>
      <c r="K4682" t="inlineStr">
        <is>
          <t>METAL</t>
        </is>
      </c>
      <c r="L4682">
        <f>_xlfn.XLOOKUP(Tableau1[[#This Row],[TYPE DE PIECE]],Tableau4[MATIERE],Tableau4[SHORT TYPE],"",0,1)</f>
        <v/>
      </c>
      <c r="N4682">
        <f>IF(ISERR(FIND("DECOUPE",Tableau1[[#This Row],[DESIGNATION]])),"","NEED REF")</f>
        <v/>
      </c>
    </row>
    <row r="4683">
      <c r="B4683" t="n">
        <v>34409323</v>
      </c>
      <c r="C4683" s="2" t="n">
        <v>44277</v>
      </c>
      <c r="D4683" t="inlineStr">
        <is>
          <t>SPEC</t>
        </is>
      </c>
      <c r="E4683" t="inlineStr">
        <is>
          <t>MASTREPPACT INTERRUPTEUR MTZ2 2500A 4P HA 145KA</t>
        </is>
      </c>
      <c r="G4683" t="inlineStr">
        <is>
          <t>GVX</t>
        </is>
      </c>
      <c r="H4683" t="inlineStr">
        <is>
          <t>BYPASS</t>
        </is>
      </c>
      <c r="J4683" t="inlineStr">
        <is>
          <t>MATRION</t>
        </is>
      </c>
      <c r="K4683" t="inlineStr">
        <is>
          <t>=S=</t>
        </is>
      </c>
      <c r="L4683">
        <f>_xlfn.XLOOKUP(Tableau1[[#This Row],[TYPE DE PIECE]],Tableau4[MATIERE],Tableau4[SHORT TYPE],"",0,1)</f>
        <v/>
      </c>
      <c r="N4683">
        <f>IF(ISERR(FIND("DECOUPE",Tableau1[[#This Row],[DESIGNATION]])),"","NEED REF")</f>
        <v/>
      </c>
    </row>
    <row r="4684">
      <c r="B4684" t="n">
        <v>34409322</v>
      </c>
      <c r="C4684" s="2" t="n">
        <v>44277</v>
      </c>
      <c r="D4684" t="inlineStr">
        <is>
          <t>SPEC</t>
        </is>
      </c>
      <c r="E4684" t="inlineStr">
        <is>
          <t>SMT LEGRAND OUTPUT AND BATT ROOF 2</t>
        </is>
      </c>
      <c r="F4684" t="inlineStr">
        <is>
          <t>INTERXION</t>
        </is>
      </c>
      <c r="G4684" t="inlineStr">
        <is>
          <t>GVX</t>
        </is>
      </c>
      <c r="H4684" t="inlineStr">
        <is>
          <t>IO</t>
        </is>
      </c>
      <c r="J4684" t="inlineStr">
        <is>
          <t>MATRION</t>
        </is>
      </c>
      <c r="K4684" t="inlineStr">
        <is>
          <t>METAL</t>
        </is>
      </c>
      <c r="L4684">
        <f>_xlfn.XLOOKUP(Tableau1[[#This Row],[TYPE DE PIECE]],Tableau4[MATIERE],Tableau4[SHORT TYPE],"",0,1)</f>
        <v/>
      </c>
      <c r="N4684">
        <f>IF(ISERR(FIND("DECOUPE",Tableau1[[#This Row],[DESIGNATION]])),"","NEED REF")</f>
        <v/>
      </c>
    </row>
    <row r="4685">
      <c r="B4685" t="n">
        <v>34409321</v>
      </c>
      <c r="C4685" s="2" t="n">
        <v>44277</v>
      </c>
      <c r="D4685" t="inlineStr">
        <is>
          <t>SPEC</t>
        </is>
      </c>
      <c r="E4685" t="inlineStr">
        <is>
          <t>SMT LEGRAND OUTPUT AND BATT ROOF 1</t>
        </is>
      </c>
      <c r="F4685" t="inlineStr">
        <is>
          <t>INTERXION</t>
        </is>
      </c>
      <c r="G4685" t="inlineStr">
        <is>
          <t>GVX</t>
        </is>
      </c>
      <c r="H4685" t="inlineStr">
        <is>
          <t>IO</t>
        </is>
      </c>
      <c r="J4685" t="inlineStr">
        <is>
          <t>MATRION</t>
        </is>
      </c>
      <c r="K4685" t="inlineStr">
        <is>
          <t>METAL</t>
        </is>
      </c>
      <c r="L4685">
        <f>_xlfn.XLOOKUP(Tableau1[[#This Row],[TYPE DE PIECE]],Tableau4[MATIERE],Tableau4[SHORT TYPE],"",0,1)</f>
        <v/>
      </c>
      <c r="N4685">
        <f>IF(ISERR(FIND("DECOUPE",Tableau1[[#This Row],[DESIGNATION]])),"","NEED REF")</f>
        <v/>
      </c>
    </row>
    <row r="4686">
      <c r="B4686" t="n">
        <v>34409320</v>
      </c>
      <c r="C4686" s="2" t="n">
        <v>44277</v>
      </c>
      <c r="D4686" t="inlineStr">
        <is>
          <t>SPEC</t>
        </is>
      </c>
      <c r="E4686" t="inlineStr">
        <is>
          <t>SMT LEGRAND INPUT ROOF 2</t>
        </is>
      </c>
      <c r="F4686" t="inlineStr">
        <is>
          <t>INTERXION</t>
        </is>
      </c>
      <c r="G4686" t="inlineStr">
        <is>
          <t>GVX</t>
        </is>
      </c>
      <c r="H4686" t="inlineStr">
        <is>
          <t>IO</t>
        </is>
      </c>
      <c r="J4686" t="inlineStr">
        <is>
          <t>MATRION</t>
        </is>
      </c>
      <c r="K4686" t="inlineStr">
        <is>
          <t>METAL</t>
        </is>
      </c>
      <c r="L4686">
        <f>_xlfn.XLOOKUP(Tableau1[[#This Row],[TYPE DE PIECE]],Tableau4[MATIERE],Tableau4[SHORT TYPE],"",0,1)</f>
        <v/>
      </c>
      <c r="N4686">
        <f>IF(ISERR(FIND("DECOUPE",Tableau1[[#This Row],[DESIGNATION]])),"","NEED REF")</f>
        <v/>
      </c>
    </row>
    <row r="4687">
      <c r="B4687" t="n">
        <v>34409319</v>
      </c>
      <c r="C4687" s="2" t="n">
        <v>44277</v>
      </c>
      <c r="D4687" t="inlineStr">
        <is>
          <t>SPEC</t>
        </is>
      </c>
      <c r="E4687" t="inlineStr">
        <is>
          <t>SMT LEGRAND INPUT ROOF 1</t>
        </is>
      </c>
      <c r="F4687" t="inlineStr">
        <is>
          <t>INTERXION</t>
        </is>
      </c>
      <c r="G4687" t="inlineStr">
        <is>
          <t>GVX</t>
        </is>
      </c>
      <c r="H4687" t="inlineStr">
        <is>
          <t>IO</t>
        </is>
      </c>
      <c r="J4687" t="inlineStr">
        <is>
          <t>MATRION</t>
        </is>
      </c>
      <c r="K4687" t="inlineStr">
        <is>
          <t>METAL</t>
        </is>
      </c>
      <c r="L4687">
        <f>_xlfn.XLOOKUP(Tableau1[[#This Row],[TYPE DE PIECE]],Tableau4[MATIERE],Tableau4[SHORT TYPE],"",0,1)</f>
        <v/>
      </c>
      <c r="N4687">
        <f>IF(ISERR(FIND("DECOUPE",Tableau1[[#This Row],[DESIGNATION]])),"","NEED REF")</f>
        <v/>
      </c>
    </row>
    <row r="4688">
      <c r="B4688" t="n">
        <v>34409318</v>
      </c>
      <c r="C4688" s="2" t="n">
        <v>44274</v>
      </c>
      <c r="D4688" t="inlineStr">
        <is>
          <t>SPEC</t>
        </is>
      </c>
      <c r="E4688" t="inlineStr">
        <is>
          <t>SMT SUPPORT JDB</t>
        </is>
      </c>
      <c r="G4688" t="inlineStr">
        <is>
          <t>GVS</t>
        </is>
      </c>
      <c r="H4688" t="inlineStr">
        <is>
          <t>BYPASS</t>
        </is>
      </c>
      <c r="J4688" t="inlineStr">
        <is>
          <t>MATRION</t>
        </is>
      </c>
      <c r="K4688" t="inlineStr">
        <is>
          <t>METAL</t>
        </is>
      </c>
      <c r="L4688">
        <f>_xlfn.XLOOKUP(Tableau1[[#This Row],[TYPE DE PIECE]],Tableau4[MATIERE],Tableau4[SHORT TYPE],"",0,1)</f>
        <v/>
      </c>
      <c r="N4688">
        <f>IF(ISERR(FIND("DECOUPE",Tableau1[[#This Row],[DESIGNATION]])),"","NEED REF")</f>
        <v/>
      </c>
    </row>
    <row r="4689">
      <c r="B4689" t="n">
        <v>34409317</v>
      </c>
      <c r="C4689" s="2" t="n">
        <v>44273</v>
      </c>
      <c r="D4689" t="inlineStr">
        <is>
          <t>SPEC</t>
        </is>
      </c>
      <c r="E4689" t="inlineStr">
        <is>
          <t>SMT SUPPORT JDB</t>
        </is>
      </c>
      <c r="G4689" t="inlineStr">
        <is>
          <t>GVS</t>
        </is>
      </c>
      <c r="H4689" t="inlineStr">
        <is>
          <t>BATTERY</t>
        </is>
      </c>
      <c r="J4689" t="inlineStr">
        <is>
          <t>MATRION</t>
        </is>
      </c>
      <c r="K4689" t="inlineStr">
        <is>
          <t>METAL</t>
        </is>
      </c>
      <c r="L4689">
        <f>_xlfn.XLOOKUP(Tableau1[[#This Row],[TYPE DE PIECE]],Tableau4[MATIERE],Tableau4[SHORT TYPE],"",0,1)</f>
        <v/>
      </c>
      <c r="N4689">
        <f>IF(ISERR(FIND("DECOUPE",Tableau1[[#This Row],[DESIGNATION]])),"","NEED REF")</f>
        <v/>
      </c>
    </row>
    <row r="4690">
      <c r="B4690" t="n">
        <v>34409316</v>
      </c>
      <c r="C4690" s="2" t="n">
        <v>44273</v>
      </c>
      <c r="D4690" t="inlineStr">
        <is>
          <t>SPEC</t>
        </is>
      </c>
      <c r="E4690" t="inlineStr">
        <is>
          <t>PLA PROTECTION JDB BATTERY</t>
        </is>
      </c>
      <c r="G4690" t="inlineStr">
        <is>
          <t>GVS</t>
        </is>
      </c>
      <c r="H4690" t="inlineStr">
        <is>
          <t>BATTERY</t>
        </is>
      </c>
      <c r="J4690" t="inlineStr">
        <is>
          <t>MATRION</t>
        </is>
      </c>
      <c r="K4690" t="inlineStr">
        <is>
          <t>PLASTIQUE</t>
        </is>
      </c>
      <c r="L4690">
        <f>_xlfn.XLOOKUP(Tableau1[[#This Row],[TYPE DE PIECE]],Tableau4[MATIERE],Tableau4[SHORT TYPE],"",0,1)</f>
        <v/>
      </c>
      <c r="N4690">
        <f>IF(ISERR(FIND("DECOUPE",Tableau1[[#This Row],[DESIGNATION]])),"","NEED REF")</f>
        <v/>
      </c>
    </row>
    <row r="4691">
      <c r="B4691" t="n">
        <v>34409315</v>
      </c>
      <c r="C4691" s="2" t="n">
        <v>44273</v>
      </c>
      <c r="D4691" t="inlineStr">
        <is>
          <t>SPEC</t>
        </is>
      </c>
      <c r="E4691" t="inlineStr">
        <is>
          <t>SMT PLAQUE PASSE CABLE</t>
        </is>
      </c>
      <c r="G4691" t="inlineStr">
        <is>
          <t>GVS</t>
        </is>
      </c>
      <c r="H4691" t="inlineStr">
        <is>
          <t>BATTERY</t>
        </is>
      </c>
      <c r="J4691" t="inlineStr">
        <is>
          <t>MATRION</t>
        </is>
      </c>
      <c r="K4691" t="inlineStr">
        <is>
          <t>METAL</t>
        </is>
      </c>
      <c r="L4691">
        <f>_xlfn.XLOOKUP(Tableau1[[#This Row],[TYPE DE PIECE]],Tableau4[MATIERE],Tableau4[SHORT TYPE],"",0,1)</f>
        <v/>
      </c>
      <c r="N4691">
        <f>IF(ISERR(FIND("DECOUPE",Tableau1[[#This Row],[DESIGNATION]])),"","NEED REF")</f>
        <v/>
      </c>
    </row>
    <row r="4692">
      <c r="B4692" t="n">
        <v>34409314</v>
      </c>
      <c r="C4692" s="2" t="n">
        <v>44273</v>
      </c>
      <c r="D4692" t="inlineStr">
        <is>
          <t>SPEC</t>
        </is>
      </c>
      <c r="E4692" t="inlineStr">
        <is>
          <t>SMT SUPPORT PLASTRON 225mm</t>
        </is>
      </c>
      <c r="G4692" t="inlineStr">
        <is>
          <t>GVS</t>
        </is>
      </c>
      <c r="H4692" t="inlineStr">
        <is>
          <t>BATTERY</t>
        </is>
      </c>
      <c r="J4692" t="inlineStr">
        <is>
          <t>MATRION</t>
        </is>
      </c>
      <c r="K4692" t="inlineStr">
        <is>
          <t>METAL</t>
        </is>
      </c>
      <c r="L4692">
        <f>_xlfn.XLOOKUP(Tableau1[[#This Row],[TYPE DE PIECE]],Tableau4[MATIERE],Tableau4[SHORT TYPE],"",0,1)</f>
        <v/>
      </c>
      <c r="N4692">
        <f>IF(ISERR(FIND("DECOUPE",Tableau1[[#This Row],[DESIGNATION]])),"","NEED REF")</f>
        <v/>
      </c>
    </row>
    <row r="4693">
      <c r="B4693" t="n">
        <v>34409313</v>
      </c>
      <c r="C4693" s="2" t="n">
        <v>44273</v>
      </c>
      <c r="D4693" t="inlineStr">
        <is>
          <t>SPEC</t>
        </is>
      </c>
      <c r="E4693" t="inlineStr">
        <is>
          <t>SMT CAPOT 2 CB NSX630DC</t>
        </is>
      </c>
      <c r="G4693" t="inlineStr">
        <is>
          <t>GVS</t>
        </is>
      </c>
      <c r="H4693" t="inlineStr">
        <is>
          <t>BATTERY</t>
        </is>
      </c>
      <c r="J4693" t="inlineStr">
        <is>
          <t>MATRION</t>
        </is>
      </c>
      <c r="K4693" t="inlineStr">
        <is>
          <t>METAL</t>
        </is>
      </c>
      <c r="L4693">
        <f>_xlfn.XLOOKUP(Tableau1[[#This Row],[TYPE DE PIECE]],Tableau4[MATIERE],Tableau4[SHORT TYPE],"",0,1)</f>
        <v/>
      </c>
      <c r="N4693">
        <f>IF(ISERR(FIND("DECOUPE",Tableau1[[#This Row],[DESIGNATION]])),"","NEED REF")</f>
        <v/>
      </c>
    </row>
    <row r="4694">
      <c r="B4694" t="n">
        <v>34409312</v>
      </c>
      <c r="C4694" s="2" t="n">
        <v>44273</v>
      </c>
      <c r="D4694" t="inlineStr">
        <is>
          <t>SPEC</t>
        </is>
      </c>
      <c r="E4694" t="inlineStr">
        <is>
          <t>SMT PLASTRON</t>
        </is>
      </c>
      <c r="G4694" t="inlineStr">
        <is>
          <t>GVS</t>
        </is>
      </c>
      <c r="H4694" t="inlineStr">
        <is>
          <t>BATTERY</t>
        </is>
      </c>
      <c r="J4694" t="inlineStr">
        <is>
          <t>MATRION</t>
        </is>
      </c>
      <c r="K4694" t="inlineStr">
        <is>
          <t>METAL</t>
        </is>
      </c>
      <c r="L4694">
        <f>_xlfn.XLOOKUP(Tableau1[[#This Row],[TYPE DE PIECE]],Tableau4[MATIERE],Tableau4[SHORT TYPE],"",0,1)</f>
        <v/>
      </c>
      <c r="N4694">
        <f>IF(ISERR(FIND("DECOUPE",Tableau1[[#This Row],[DESIGNATION]])),"","NEED REF")</f>
        <v/>
      </c>
    </row>
    <row r="4695">
      <c r="B4695" t="n">
        <v>34409311</v>
      </c>
      <c r="C4695" s="2" t="n">
        <v>44273</v>
      </c>
      <c r="D4695" t="inlineStr">
        <is>
          <t>SPEC</t>
        </is>
      </c>
      <c r="E4695" t="inlineStr">
        <is>
          <t>COP LIAISON BATT C2</t>
        </is>
      </c>
      <c r="G4695" t="inlineStr">
        <is>
          <t>GVS</t>
        </is>
      </c>
      <c r="H4695" t="inlineStr">
        <is>
          <t>BATTERY</t>
        </is>
      </c>
      <c r="J4695" t="inlineStr">
        <is>
          <t>MATRION</t>
        </is>
      </c>
      <c r="K4695" t="inlineStr">
        <is>
          <t>CUIVRE</t>
        </is>
      </c>
      <c r="L4695">
        <f>_xlfn.XLOOKUP(Tableau1[[#This Row],[TYPE DE PIECE]],Tableau4[MATIERE],Tableau4[SHORT TYPE],"",0,1)</f>
        <v/>
      </c>
      <c r="N4695">
        <f>IF(ISERR(FIND("DECOUPE",Tableau1[[#This Row],[DESIGNATION]])),"","NEED REF")</f>
        <v/>
      </c>
    </row>
    <row r="4696">
      <c r="B4696" t="n">
        <v>34409310</v>
      </c>
      <c r="C4696" s="2" t="n">
        <v>44273</v>
      </c>
      <c r="D4696" t="inlineStr">
        <is>
          <t>SPEC</t>
        </is>
      </c>
      <c r="E4696" t="inlineStr">
        <is>
          <t>COP LIAISON BATT C1</t>
        </is>
      </c>
      <c r="G4696" t="inlineStr">
        <is>
          <t>GVS</t>
        </is>
      </c>
      <c r="H4696" t="inlineStr">
        <is>
          <t>BATTERY</t>
        </is>
      </c>
      <c r="J4696" t="inlineStr">
        <is>
          <t>MATRION</t>
        </is>
      </c>
      <c r="K4696" t="inlineStr">
        <is>
          <t>CUIVRE</t>
        </is>
      </c>
      <c r="L4696">
        <f>_xlfn.XLOOKUP(Tableau1[[#This Row],[TYPE DE PIECE]],Tableau4[MATIERE],Tableau4[SHORT TYPE],"",0,1)</f>
        <v/>
      </c>
      <c r="N4696">
        <f>IF(ISERR(FIND("DECOUPE",Tableau1[[#This Row],[DESIGNATION]])),"","NEED REF")</f>
        <v/>
      </c>
    </row>
    <row r="4697">
      <c r="B4697" t="n">
        <v>34409309</v>
      </c>
      <c r="C4697" s="2" t="n">
        <v>44273</v>
      </c>
      <c r="D4697" t="inlineStr">
        <is>
          <t>SPEC</t>
        </is>
      </c>
      <c r="E4697" t="inlineStr">
        <is>
          <t>COP LIAISON BATT -</t>
        </is>
      </c>
      <c r="G4697" t="inlineStr">
        <is>
          <t>GVS</t>
        </is>
      </c>
      <c r="H4697" t="inlineStr">
        <is>
          <t>BATTERY</t>
        </is>
      </c>
      <c r="J4697" t="inlineStr">
        <is>
          <t>MATRION</t>
        </is>
      </c>
      <c r="K4697" t="inlineStr">
        <is>
          <t>CUIVRE</t>
        </is>
      </c>
      <c r="L4697">
        <f>_xlfn.XLOOKUP(Tableau1[[#This Row],[TYPE DE PIECE]],Tableau4[MATIERE],Tableau4[SHORT TYPE],"",0,1)</f>
        <v/>
      </c>
      <c r="N4697">
        <f>IF(ISERR(FIND("DECOUPE",Tableau1[[#This Row],[DESIGNATION]])),"","NEED REF")</f>
        <v/>
      </c>
    </row>
    <row r="4698">
      <c r="B4698" t="n">
        <v>34409308</v>
      </c>
      <c r="C4698" s="2" t="n">
        <v>44273</v>
      </c>
      <c r="D4698" t="inlineStr">
        <is>
          <t>SPEC</t>
        </is>
      </c>
      <c r="E4698" t="inlineStr">
        <is>
          <t>COP LIAISON BATT +</t>
        </is>
      </c>
      <c r="G4698" t="inlineStr">
        <is>
          <t>GVS</t>
        </is>
      </c>
      <c r="H4698" t="inlineStr">
        <is>
          <t>BATTERY</t>
        </is>
      </c>
      <c r="J4698" t="inlineStr">
        <is>
          <t>MATRION</t>
        </is>
      </c>
      <c r="K4698" t="inlineStr">
        <is>
          <t>CUIVRE</t>
        </is>
      </c>
      <c r="L4698">
        <f>_xlfn.XLOOKUP(Tableau1[[#This Row],[TYPE DE PIECE]],Tableau4[MATIERE],Tableau4[SHORT TYPE],"",0,1)</f>
        <v/>
      </c>
      <c r="N4698">
        <f>IF(ISERR(FIND("DECOUPE",Tableau1[[#This Row],[DESIGNATION]])),"","NEED REF")</f>
        <v/>
      </c>
    </row>
    <row r="4699">
      <c r="B4699" t="n">
        <v>34409307</v>
      </c>
      <c r="C4699" s="2" t="n">
        <v>44272</v>
      </c>
      <c r="D4699" t="inlineStr">
        <is>
          <t>SPEC</t>
        </is>
      </c>
      <c r="E4699" t="inlineStr">
        <is>
          <t>SMT PLATINE DE FOND</t>
        </is>
      </c>
      <c r="G4699" t="inlineStr">
        <is>
          <t>GVS</t>
        </is>
      </c>
      <c r="H4699" t="inlineStr">
        <is>
          <t>BATTERY</t>
        </is>
      </c>
      <c r="J4699" t="inlineStr">
        <is>
          <t>MATRION</t>
        </is>
      </c>
      <c r="K4699" t="inlineStr">
        <is>
          <t>METAL</t>
        </is>
      </c>
      <c r="L4699">
        <f>_xlfn.XLOOKUP(Tableau1[[#This Row],[TYPE DE PIECE]],Tableau4[MATIERE],Tableau4[SHORT TYPE],"",0,1)</f>
        <v/>
      </c>
      <c r="N4699">
        <f>IF(ISERR(FIND("DECOUPE",Tableau1[[#This Row],[DESIGNATION]])),"","NEED REF")</f>
        <v/>
      </c>
    </row>
    <row r="4700">
      <c r="B4700" t="n">
        <v>34409306</v>
      </c>
      <c r="C4700" s="2" t="n">
        <v>44272</v>
      </c>
      <c r="D4700" t="inlineStr">
        <is>
          <t>SPEC</t>
        </is>
      </c>
      <c r="E4700" t="inlineStr">
        <is>
          <t>SMT COFFRET 1000*800*250mm DECOUPE</t>
        </is>
      </c>
      <c r="G4700" t="inlineStr">
        <is>
          <t>GVS</t>
        </is>
      </c>
      <c r="H4700" t="inlineStr">
        <is>
          <t>BATTERY</t>
        </is>
      </c>
      <c r="J4700" t="inlineStr">
        <is>
          <t>MATRION</t>
        </is>
      </c>
      <c r="K4700" t="inlineStr">
        <is>
          <t>METAL</t>
        </is>
      </c>
      <c r="L4700">
        <f>_xlfn.XLOOKUP(Tableau1[[#This Row],[TYPE DE PIECE]],Tableau4[MATIERE],Tableau4[SHORT TYPE],"",0,1)</f>
        <v/>
      </c>
      <c r="N4700">
        <f>IF(ISERR(FIND("DECOUPE",Tableau1[[#This Row],[DESIGNATION]])),"","NEED REF")</f>
        <v/>
      </c>
    </row>
    <row r="4701">
      <c r="B4701" t="n">
        <v>34409305</v>
      </c>
      <c r="C4701" s="2" t="n">
        <v>44272</v>
      </c>
      <c r="D4701" t="inlineStr">
        <is>
          <t>SPEC</t>
        </is>
      </c>
      <c r="E4701" t="inlineStr">
        <is>
          <t>SMT PLASTRON 9</t>
        </is>
      </c>
      <c r="G4701" t="inlineStr">
        <is>
          <t>GVS</t>
        </is>
      </c>
      <c r="H4701" t="inlineStr">
        <is>
          <t>BYPASS</t>
        </is>
      </c>
      <c r="J4701" t="inlineStr">
        <is>
          <t>MATRION</t>
        </is>
      </c>
      <c r="K4701" t="inlineStr">
        <is>
          <t>METAL</t>
        </is>
      </c>
      <c r="L4701">
        <f>_xlfn.XLOOKUP(Tableau1[[#This Row],[TYPE DE PIECE]],Tableau4[MATIERE],Tableau4[SHORT TYPE],"",0,1)</f>
        <v/>
      </c>
      <c r="N4701">
        <f>IF(ISERR(FIND("DECOUPE",Tableau1[[#This Row],[DESIGNATION]])),"","NEED REF")</f>
        <v/>
      </c>
    </row>
    <row r="4702">
      <c r="B4702" t="n">
        <v>34409304</v>
      </c>
      <c r="C4702" s="2" t="n">
        <v>44272</v>
      </c>
      <c r="D4702" t="inlineStr">
        <is>
          <t>SPEC</t>
        </is>
      </c>
      <c r="E4702" t="inlineStr">
        <is>
          <t>SMT PLASTRON 3</t>
        </is>
      </c>
      <c r="G4702" t="inlineStr">
        <is>
          <t>GVS</t>
        </is>
      </c>
      <c r="H4702" t="inlineStr">
        <is>
          <t>BYPASS</t>
        </is>
      </c>
      <c r="J4702" t="inlineStr">
        <is>
          <t>MATRION</t>
        </is>
      </c>
      <c r="K4702" t="inlineStr">
        <is>
          <t>METAL</t>
        </is>
      </c>
      <c r="L4702">
        <f>_xlfn.XLOOKUP(Tableau1[[#This Row],[TYPE DE PIECE]],Tableau4[MATIERE],Tableau4[SHORT TYPE],"",0,1)</f>
        <v/>
      </c>
      <c r="N4702">
        <f>IF(ISERR(FIND("DECOUPE",Tableau1[[#This Row],[DESIGNATION]])),"","NEED REF")</f>
        <v/>
      </c>
    </row>
    <row r="4703">
      <c r="B4703" t="n">
        <v>34409303</v>
      </c>
      <c r="C4703" s="2" t="n">
        <v>44272</v>
      </c>
      <c r="D4703" t="inlineStr">
        <is>
          <t>SPEC</t>
        </is>
      </c>
      <c r="E4703" t="inlineStr">
        <is>
          <t>SMT SUPPORT NSX630</t>
        </is>
      </c>
      <c r="G4703" t="inlineStr">
        <is>
          <t>GVS</t>
        </is>
      </c>
      <c r="H4703" t="inlineStr">
        <is>
          <t>BYPASS</t>
        </is>
      </c>
      <c r="J4703" t="inlineStr">
        <is>
          <t>MATRION</t>
        </is>
      </c>
      <c r="K4703" t="inlineStr">
        <is>
          <t>METAL</t>
        </is>
      </c>
      <c r="L4703">
        <f>_xlfn.XLOOKUP(Tableau1[[#This Row],[TYPE DE PIECE]],Tableau4[MATIERE],Tableau4[SHORT TYPE],"",0,1)</f>
        <v/>
      </c>
      <c r="N4703">
        <f>IF(ISERR(FIND("DECOUPE",Tableau1[[#This Row],[DESIGNATION]])),"","NEED REF")</f>
        <v/>
      </c>
    </row>
    <row r="4704">
      <c r="B4704" t="n">
        <v>34409302</v>
      </c>
      <c r="C4704" s="2" t="n">
        <v>44271</v>
      </c>
      <c r="D4704" t="inlineStr">
        <is>
          <t>SPEC</t>
        </is>
      </c>
      <c r="E4704" t="inlineStr">
        <is>
          <t>SMT SUPPORT JDB INPUT</t>
        </is>
      </c>
      <c r="G4704" t="inlineStr">
        <is>
          <t>E3L</t>
        </is>
      </c>
      <c r="H4704" t="inlineStr">
        <is>
          <t>BYPASS</t>
        </is>
      </c>
      <c r="J4704" t="inlineStr">
        <is>
          <t>MATRION</t>
        </is>
      </c>
      <c r="K4704" t="inlineStr">
        <is>
          <t>METAL</t>
        </is>
      </c>
      <c r="L4704">
        <f>_xlfn.XLOOKUP(Tableau1[[#This Row],[TYPE DE PIECE]],Tableau4[MATIERE],Tableau4[SHORT TYPE],"",0,1)</f>
        <v/>
      </c>
      <c r="N4704">
        <f>IF(ISERR(FIND("DECOUPE",Tableau1[[#This Row],[DESIGNATION]])),"","NEED REF")</f>
        <v/>
      </c>
    </row>
    <row r="4705">
      <c r="B4705" t="n">
        <v>34409301</v>
      </c>
      <c r="C4705" s="2" t="n">
        <v>44271</v>
      </c>
      <c r="D4705" t="inlineStr">
        <is>
          <t>SPEC</t>
        </is>
      </c>
      <c r="E4705" t="inlineStr">
        <is>
          <t>COP PLAGE ARRIERE MTZ &gt; 2500A 2</t>
        </is>
      </c>
      <c r="G4705" t="inlineStr">
        <is>
          <t>E3L</t>
        </is>
      </c>
      <c r="H4705" t="inlineStr">
        <is>
          <t>BYPASS</t>
        </is>
      </c>
      <c r="J4705" t="inlineStr">
        <is>
          <t>MATRION</t>
        </is>
      </c>
      <c r="K4705" t="inlineStr">
        <is>
          <t>CUIVRE</t>
        </is>
      </c>
      <c r="L4705">
        <f>_xlfn.XLOOKUP(Tableau1[[#This Row],[TYPE DE PIECE]],Tableau4[MATIERE],Tableau4[SHORT TYPE],"",0,1)</f>
        <v/>
      </c>
      <c r="N4705">
        <f>IF(ISERR(FIND("DECOUPE",Tableau1[[#This Row],[DESIGNATION]])),"","NEED REF")</f>
        <v/>
      </c>
    </row>
    <row r="4706">
      <c r="B4706" t="n">
        <v>34409300</v>
      </c>
      <c r="C4706" s="2" t="n">
        <v>44271</v>
      </c>
      <c r="D4706" t="inlineStr">
        <is>
          <t>SPEC</t>
        </is>
      </c>
      <c r="E4706" t="inlineStr">
        <is>
          <t>COP PLAGE ARRIERE MTZ &gt; 2500A 1</t>
        </is>
      </c>
      <c r="G4706" t="inlineStr">
        <is>
          <t>E3L</t>
        </is>
      </c>
      <c r="H4706" t="inlineStr">
        <is>
          <t>BYPASS</t>
        </is>
      </c>
      <c r="J4706" t="inlineStr">
        <is>
          <t>MATRION</t>
        </is>
      </c>
      <c r="K4706" t="inlineStr">
        <is>
          <t>CUIVRE</t>
        </is>
      </c>
      <c r="L4706">
        <f>_xlfn.XLOOKUP(Tableau1[[#This Row],[TYPE DE PIECE]],Tableau4[MATIERE],Tableau4[SHORT TYPE],"",0,1)</f>
        <v/>
      </c>
      <c r="N4706">
        <f>IF(ISERR(FIND("DECOUPE",Tableau1[[#This Row],[DESIGNATION]])),"","NEED REF")</f>
        <v/>
      </c>
    </row>
    <row r="4707">
      <c r="B4707" t="n">
        <v>34409299</v>
      </c>
      <c r="C4707" s="2" t="n">
        <v>44271</v>
      </c>
      <c r="D4707" t="inlineStr">
        <is>
          <t>SPEC</t>
        </is>
      </c>
      <c r="E4707" t="inlineStr">
        <is>
          <t>COP LIAISON LINERGY 3650A 8</t>
        </is>
      </c>
      <c r="G4707" t="inlineStr">
        <is>
          <t>E3L</t>
        </is>
      </c>
      <c r="H4707" t="inlineStr">
        <is>
          <t>BYPASS</t>
        </is>
      </c>
      <c r="J4707" t="inlineStr">
        <is>
          <t>MATRION</t>
        </is>
      </c>
      <c r="K4707" t="inlineStr">
        <is>
          <t>CUIVRE</t>
        </is>
      </c>
      <c r="L4707">
        <f>_xlfn.XLOOKUP(Tableau1[[#This Row],[TYPE DE PIECE]],Tableau4[MATIERE],Tableau4[SHORT TYPE],"",0,1)</f>
        <v/>
      </c>
      <c r="N4707">
        <f>IF(ISERR(FIND("DECOUPE",Tableau1[[#This Row],[DESIGNATION]])),"","NEED REF")</f>
        <v/>
      </c>
    </row>
    <row r="4708">
      <c r="B4708" t="n">
        <v>34409298</v>
      </c>
      <c r="C4708" s="2" t="n">
        <v>44271</v>
      </c>
      <c r="D4708" t="inlineStr">
        <is>
          <t>SPEC</t>
        </is>
      </c>
      <c r="E4708" t="inlineStr">
        <is>
          <t>COP LIAISON LINERGY 3650A 7</t>
        </is>
      </c>
      <c r="G4708" t="inlineStr">
        <is>
          <t>E3L</t>
        </is>
      </c>
      <c r="H4708" t="inlineStr">
        <is>
          <t>BYPASS</t>
        </is>
      </c>
      <c r="J4708" t="inlineStr">
        <is>
          <t>MATRION</t>
        </is>
      </c>
      <c r="K4708" t="inlineStr">
        <is>
          <t>CUIVRE</t>
        </is>
      </c>
      <c r="L4708">
        <f>_xlfn.XLOOKUP(Tableau1[[#This Row],[TYPE DE PIECE]],Tableau4[MATIERE],Tableau4[SHORT TYPE],"",0,1)</f>
        <v/>
      </c>
      <c r="N4708">
        <f>IF(ISERR(FIND("DECOUPE",Tableau1[[#This Row],[DESIGNATION]])),"","NEED REF")</f>
        <v/>
      </c>
    </row>
    <row r="4709">
      <c r="B4709" t="n">
        <v>34409297</v>
      </c>
      <c r="C4709" s="2" t="n">
        <v>44271</v>
      </c>
      <c r="D4709" t="inlineStr">
        <is>
          <t>SPEC</t>
        </is>
      </c>
      <c r="E4709" t="inlineStr">
        <is>
          <t>COP LIAISON LINERGY 3650A 6</t>
        </is>
      </c>
      <c r="G4709" t="inlineStr">
        <is>
          <t>E3L</t>
        </is>
      </c>
      <c r="H4709" t="inlineStr">
        <is>
          <t>BYPASS</t>
        </is>
      </c>
      <c r="J4709" t="inlineStr">
        <is>
          <t>MATRION</t>
        </is>
      </c>
      <c r="K4709" t="inlineStr">
        <is>
          <t>CUIVRE</t>
        </is>
      </c>
      <c r="L4709">
        <f>_xlfn.XLOOKUP(Tableau1[[#This Row],[TYPE DE PIECE]],Tableau4[MATIERE],Tableau4[SHORT TYPE],"",0,1)</f>
        <v/>
      </c>
      <c r="N4709">
        <f>IF(ISERR(FIND("DECOUPE",Tableau1[[#This Row],[DESIGNATION]])),"","NEED REF")</f>
        <v/>
      </c>
    </row>
    <row r="4710">
      <c r="B4710" t="n">
        <v>34409296</v>
      </c>
      <c r="C4710" s="2" t="n">
        <v>44271</v>
      </c>
      <c r="D4710" t="inlineStr">
        <is>
          <t>SPEC</t>
        </is>
      </c>
      <c r="E4710" t="inlineStr">
        <is>
          <t>COP LIAISON LINERGY 3650A 5</t>
        </is>
      </c>
      <c r="G4710" t="inlineStr">
        <is>
          <t>E3L</t>
        </is>
      </c>
      <c r="H4710" t="inlineStr">
        <is>
          <t>BYPASS</t>
        </is>
      </c>
      <c r="J4710" t="inlineStr">
        <is>
          <t>MATRION</t>
        </is>
      </c>
      <c r="K4710" t="inlineStr">
        <is>
          <t>CUIVRE</t>
        </is>
      </c>
      <c r="L4710">
        <f>_xlfn.XLOOKUP(Tableau1[[#This Row],[TYPE DE PIECE]],Tableau4[MATIERE],Tableau4[SHORT TYPE],"",0,1)</f>
        <v/>
      </c>
      <c r="N4710">
        <f>IF(ISERR(FIND("DECOUPE",Tableau1[[#This Row],[DESIGNATION]])),"","NEED REF")</f>
        <v/>
      </c>
    </row>
    <row r="4711">
      <c r="B4711" t="n">
        <v>34409295</v>
      </c>
      <c r="C4711" s="2" t="n">
        <v>44271</v>
      </c>
      <c r="D4711" t="inlineStr">
        <is>
          <t>SPEC</t>
        </is>
      </c>
      <c r="E4711" t="inlineStr">
        <is>
          <t>COP LIAISON LINERGY 3650A 4</t>
        </is>
      </c>
      <c r="G4711" t="inlineStr">
        <is>
          <t>E3L</t>
        </is>
      </c>
      <c r="H4711" t="inlineStr">
        <is>
          <t>BYPASS</t>
        </is>
      </c>
      <c r="J4711" t="inlineStr">
        <is>
          <t>MATRION</t>
        </is>
      </c>
      <c r="K4711" t="inlineStr">
        <is>
          <t>CUIVRE</t>
        </is>
      </c>
      <c r="L4711">
        <f>_xlfn.XLOOKUP(Tableau1[[#This Row],[TYPE DE PIECE]],Tableau4[MATIERE],Tableau4[SHORT TYPE],"",0,1)</f>
        <v/>
      </c>
      <c r="N4711">
        <f>IF(ISERR(FIND("DECOUPE",Tableau1[[#This Row],[DESIGNATION]])),"","NEED REF")</f>
        <v/>
      </c>
    </row>
    <row r="4712">
      <c r="B4712" t="n">
        <v>34409294</v>
      </c>
      <c r="C4712" s="2" t="n">
        <v>44271</v>
      </c>
      <c r="D4712" t="inlineStr">
        <is>
          <t>SPEC</t>
        </is>
      </c>
      <c r="E4712" t="inlineStr">
        <is>
          <t>COP LIAISON LINERGY 3650A 3</t>
        </is>
      </c>
      <c r="G4712" t="inlineStr">
        <is>
          <t>E3L</t>
        </is>
      </c>
      <c r="H4712" t="inlineStr">
        <is>
          <t>BYPASS</t>
        </is>
      </c>
      <c r="J4712" t="inlineStr">
        <is>
          <t>MATRION</t>
        </is>
      </c>
      <c r="K4712" t="inlineStr">
        <is>
          <t>CUIVRE</t>
        </is>
      </c>
      <c r="L4712">
        <f>_xlfn.XLOOKUP(Tableau1[[#This Row],[TYPE DE PIECE]],Tableau4[MATIERE],Tableau4[SHORT TYPE],"",0,1)</f>
        <v/>
      </c>
      <c r="N4712">
        <f>IF(ISERR(FIND("DECOUPE",Tableau1[[#This Row],[DESIGNATION]])),"","NEED REF")</f>
        <v/>
      </c>
    </row>
    <row r="4713">
      <c r="B4713" t="n">
        <v>34409293</v>
      </c>
      <c r="C4713" s="2" t="n">
        <v>44271</v>
      </c>
      <c r="D4713" t="inlineStr">
        <is>
          <t>SPEC</t>
        </is>
      </c>
      <c r="E4713" t="inlineStr">
        <is>
          <t>COP LIAISON LINERGY 3650A 2</t>
        </is>
      </c>
      <c r="G4713" t="inlineStr">
        <is>
          <t>E3L</t>
        </is>
      </c>
      <c r="H4713" t="inlineStr">
        <is>
          <t>BYPASS</t>
        </is>
      </c>
      <c r="J4713" t="inlineStr">
        <is>
          <t>MATRION</t>
        </is>
      </c>
      <c r="K4713" t="inlineStr">
        <is>
          <t>CUIVRE</t>
        </is>
      </c>
      <c r="L4713">
        <f>_xlfn.XLOOKUP(Tableau1[[#This Row],[TYPE DE PIECE]],Tableau4[MATIERE],Tableau4[SHORT TYPE],"",0,1)</f>
        <v/>
      </c>
      <c r="N4713">
        <f>IF(ISERR(FIND("DECOUPE",Tableau1[[#This Row],[DESIGNATION]])),"","NEED REF")</f>
        <v/>
      </c>
    </row>
    <row r="4714">
      <c r="B4714" t="n">
        <v>34409292</v>
      </c>
      <c r="C4714" s="2" t="n">
        <v>44271</v>
      </c>
      <c r="D4714" t="inlineStr">
        <is>
          <t>SPEC</t>
        </is>
      </c>
      <c r="E4714" t="inlineStr">
        <is>
          <t>COP LIAISON LINERGY 3650A 1</t>
        </is>
      </c>
      <c r="G4714" t="inlineStr">
        <is>
          <t>E3L</t>
        </is>
      </c>
      <c r="H4714" t="inlineStr">
        <is>
          <t>BYPASS</t>
        </is>
      </c>
      <c r="J4714" t="inlineStr">
        <is>
          <t>MATRION</t>
        </is>
      </c>
      <c r="K4714" t="inlineStr">
        <is>
          <t>CUIVRE</t>
        </is>
      </c>
      <c r="L4714">
        <f>_xlfn.XLOOKUP(Tableau1[[#This Row],[TYPE DE PIECE]],Tableau4[MATIERE],Tableau4[SHORT TYPE],"",0,1)</f>
        <v/>
      </c>
      <c r="N4714">
        <f>IF(ISERR(FIND("DECOUPE",Tableau1[[#This Row],[DESIGNATION]])),"","NEED REF")</f>
        <v/>
      </c>
    </row>
    <row r="4715">
      <c r="B4715" t="n">
        <v>34409291</v>
      </c>
      <c r="C4715" s="2" t="n">
        <v>44270</v>
      </c>
      <c r="D4715" t="inlineStr">
        <is>
          <t>SPEC</t>
        </is>
      </c>
      <c r="E4715" t="inlineStr">
        <is>
          <t>SMT PLATEAU MTZ &gt; 2500A</t>
        </is>
      </c>
      <c r="G4715" t="inlineStr">
        <is>
          <t>E3L</t>
        </is>
      </c>
      <c r="H4715" t="inlineStr">
        <is>
          <t>BYPASS</t>
        </is>
      </c>
      <c r="J4715" t="inlineStr">
        <is>
          <t>MATRION</t>
        </is>
      </c>
      <c r="K4715" t="inlineStr">
        <is>
          <t>METAL</t>
        </is>
      </c>
      <c r="L4715">
        <f>_xlfn.XLOOKUP(Tableau1[[#This Row],[TYPE DE PIECE]],Tableau4[MATIERE],Tableau4[SHORT TYPE],"",0,1)</f>
        <v/>
      </c>
      <c r="N4715">
        <f>IF(ISERR(FIND("DECOUPE",Tableau1[[#This Row],[DESIGNATION]])),"","NEED REF")</f>
        <v/>
      </c>
    </row>
    <row r="4716">
      <c r="B4716" t="n">
        <v>34409290</v>
      </c>
      <c r="C4716" s="2" t="n">
        <v>44270</v>
      </c>
      <c r="D4716" t="inlineStr">
        <is>
          <t>SPEC</t>
        </is>
      </c>
      <c r="E4716" t="inlineStr">
        <is>
          <t>COP LIAISON LINERGY 8</t>
        </is>
      </c>
      <c r="G4716" t="inlineStr">
        <is>
          <t>E3L</t>
        </is>
      </c>
      <c r="H4716" t="inlineStr">
        <is>
          <t>BYPASS</t>
        </is>
      </c>
      <c r="J4716" t="inlineStr">
        <is>
          <t>MATRION</t>
        </is>
      </c>
      <c r="K4716" t="inlineStr">
        <is>
          <t>CUIVRE</t>
        </is>
      </c>
      <c r="L4716">
        <f>_xlfn.XLOOKUP(Tableau1[[#This Row],[TYPE DE PIECE]],Tableau4[MATIERE],Tableau4[SHORT TYPE],"",0,1)</f>
        <v/>
      </c>
      <c r="N4716">
        <f>IF(ISERR(FIND("DECOUPE",Tableau1[[#This Row],[DESIGNATION]])),"","NEED REF")</f>
        <v/>
      </c>
    </row>
    <row r="4717">
      <c r="B4717" t="n">
        <v>34409289</v>
      </c>
      <c r="C4717" s="2" t="n">
        <v>44270</v>
      </c>
      <c r="D4717" t="inlineStr">
        <is>
          <t>SPEC</t>
        </is>
      </c>
      <c r="E4717" t="inlineStr">
        <is>
          <t>COP LIAISON LINERGY 7</t>
        </is>
      </c>
      <c r="G4717" t="inlineStr">
        <is>
          <t>E3L</t>
        </is>
      </c>
      <c r="H4717" t="inlineStr">
        <is>
          <t>BYPASS</t>
        </is>
      </c>
      <c r="J4717" t="inlineStr">
        <is>
          <t>MATRION</t>
        </is>
      </c>
      <c r="K4717" t="inlineStr">
        <is>
          <t>CUIVRE</t>
        </is>
      </c>
      <c r="L4717">
        <f>_xlfn.XLOOKUP(Tableau1[[#This Row],[TYPE DE PIECE]],Tableau4[MATIERE],Tableau4[SHORT TYPE],"",0,1)</f>
        <v/>
      </c>
      <c r="N4717">
        <f>IF(ISERR(FIND("DECOUPE",Tableau1[[#This Row],[DESIGNATION]])),"","NEED REF")</f>
        <v/>
      </c>
    </row>
    <row r="4718">
      <c r="B4718" t="n">
        <v>34409288</v>
      </c>
      <c r="C4718" s="2" t="n">
        <v>44270</v>
      </c>
      <c r="D4718" t="inlineStr">
        <is>
          <t>SPEC</t>
        </is>
      </c>
      <c r="E4718" t="inlineStr">
        <is>
          <t>COP LIAISON LINERGY 6</t>
        </is>
      </c>
      <c r="G4718" t="inlineStr">
        <is>
          <t>E3L</t>
        </is>
      </c>
      <c r="H4718" t="inlineStr">
        <is>
          <t>BYPASS</t>
        </is>
      </c>
      <c r="J4718" t="inlineStr">
        <is>
          <t>MATRION</t>
        </is>
      </c>
      <c r="K4718" t="inlineStr">
        <is>
          <t>CUIVRE</t>
        </is>
      </c>
      <c r="L4718">
        <f>_xlfn.XLOOKUP(Tableau1[[#This Row],[TYPE DE PIECE]],Tableau4[MATIERE],Tableau4[SHORT TYPE],"",0,1)</f>
        <v/>
      </c>
      <c r="N4718">
        <f>IF(ISERR(FIND("DECOUPE",Tableau1[[#This Row],[DESIGNATION]])),"","NEED REF")</f>
        <v/>
      </c>
    </row>
    <row r="4719">
      <c r="B4719" t="n">
        <v>34409287</v>
      </c>
      <c r="C4719" s="2" t="n">
        <v>44270</v>
      </c>
      <c r="D4719" t="inlineStr">
        <is>
          <t>SPEC</t>
        </is>
      </c>
      <c r="E4719" t="inlineStr">
        <is>
          <t>COP LIAISON LINERGY 5</t>
        </is>
      </c>
      <c r="G4719" t="inlineStr">
        <is>
          <t>E3L</t>
        </is>
      </c>
      <c r="H4719" t="inlineStr">
        <is>
          <t>BYPASS</t>
        </is>
      </c>
      <c r="J4719" t="inlineStr">
        <is>
          <t>MATRION</t>
        </is>
      </c>
      <c r="K4719" t="inlineStr">
        <is>
          <t>CUIVRE</t>
        </is>
      </c>
      <c r="L4719">
        <f>_xlfn.XLOOKUP(Tableau1[[#This Row],[TYPE DE PIECE]],Tableau4[MATIERE],Tableau4[SHORT TYPE],"",0,1)</f>
        <v/>
      </c>
      <c r="N4719">
        <f>IF(ISERR(FIND("DECOUPE",Tableau1[[#This Row],[DESIGNATION]])),"","NEED REF")</f>
        <v/>
      </c>
    </row>
    <row r="4720">
      <c r="B4720" t="n">
        <v>34409286</v>
      </c>
      <c r="C4720" s="2" t="n">
        <v>44270</v>
      </c>
      <c r="D4720" t="inlineStr">
        <is>
          <t>SPEC</t>
        </is>
      </c>
      <c r="E4720" t="inlineStr">
        <is>
          <t>MasterPact MTZ2 H2 2000A 4P MicroLogic 2.0</t>
        </is>
      </c>
      <c r="F4720" t="inlineStr">
        <is>
          <t>BULGARIE BP 1500</t>
        </is>
      </c>
      <c r="G4720" t="inlineStr">
        <is>
          <t>GVX</t>
        </is>
      </c>
      <c r="H4720" t="inlineStr">
        <is>
          <t>BYPASS</t>
        </is>
      </c>
      <c r="J4720" t="inlineStr">
        <is>
          <t>ÇAKIR</t>
        </is>
      </c>
      <c r="K4720" t="inlineStr">
        <is>
          <t>CANEVAS .xml</t>
        </is>
      </c>
      <c r="L4720">
        <f>_xlfn.XLOOKUP(Tableau1[[#This Row],[TYPE DE PIECE]],Tableau4[MATIERE],Tableau4[SHORT TYPE],"",0,1)</f>
        <v/>
      </c>
      <c r="N4720">
        <f>IF(ISERR(FIND("DECOUPE",Tableau1[[#This Row],[DESIGNATION]])),"","NEED REF")</f>
        <v/>
      </c>
    </row>
    <row r="4721">
      <c r="B4721" t="n">
        <v>34409285</v>
      </c>
      <c r="C4721" s="2" t="n">
        <v>44270</v>
      </c>
      <c r="D4721" t="inlineStr">
        <is>
          <t>SPEC</t>
        </is>
      </c>
      <c r="E4721" t="inlineStr">
        <is>
          <t>MasterPact MTZ2 H2 1600A 4P MicroLogic 2.0</t>
        </is>
      </c>
      <c r="F4721" t="inlineStr">
        <is>
          <t>BULGARIE BP 1500</t>
        </is>
      </c>
      <c r="G4721" t="inlineStr">
        <is>
          <t>GVX</t>
        </is>
      </c>
      <c r="H4721" t="inlineStr">
        <is>
          <t>BYPASS</t>
        </is>
      </c>
      <c r="J4721" t="inlineStr">
        <is>
          <t>ÇAKIR</t>
        </is>
      </c>
      <c r="K4721" t="inlineStr">
        <is>
          <t>CANEVAS .xml</t>
        </is>
      </c>
      <c r="L4721">
        <f>_xlfn.XLOOKUP(Tableau1[[#This Row],[TYPE DE PIECE]],Tableau4[MATIERE],Tableau4[SHORT TYPE],"",0,1)</f>
        <v/>
      </c>
      <c r="N4721">
        <f>IF(ISERR(FIND("DECOUPE",Tableau1[[#This Row],[DESIGNATION]])),"","NEED REF")</f>
        <v/>
      </c>
    </row>
    <row r="4722">
      <c r="B4722" t="n">
        <v>34409284</v>
      </c>
      <c r="C4722" s="2" t="n">
        <v>44265</v>
      </c>
      <c r="D4722" t="inlineStr">
        <is>
          <t>SPEC</t>
        </is>
      </c>
      <c r="E4722" t="inlineStr">
        <is>
          <t>SMT BRIDE REHAUSSE 2</t>
        </is>
      </c>
      <c r="F4722" t="inlineStr">
        <is>
          <t>DATA4 DC14</t>
        </is>
      </c>
      <c r="G4722" t="inlineStr">
        <is>
          <t>GVX</t>
        </is>
      </c>
      <c r="H4722" t="inlineStr">
        <is>
          <t>IO</t>
        </is>
      </c>
      <c r="J4722" t="inlineStr">
        <is>
          <t>MATRION</t>
        </is>
      </c>
      <c r="K4722" t="inlineStr">
        <is>
          <t>METAL</t>
        </is>
      </c>
      <c r="L4722">
        <f>_xlfn.XLOOKUP(Tableau1[[#This Row],[TYPE DE PIECE]],Tableau4[MATIERE],Tableau4[SHORT TYPE],"",0,1)</f>
        <v/>
      </c>
      <c r="N4722">
        <f>IF(ISERR(FIND("DECOUPE",Tableau1[[#This Row],[DESIGNATION]])),"","NEED REF")</f>
        <v/>
      </c>
    </row>
    <row r="4723">
      <c r="B4723" t="n">
        <v>34409283</v>
      </c>
      <c r="C4723" s="2" t="n">
        <v>44265</v>
      </c>
      <c r="D4723" t="inlineStr">
        <is>
          <t>SPEC</t>
        </is>
      </c>
      <c r="E4723" t="inlineStr">
        <is>
          <t>SMT BRIDE REHAUSSE 1</t>
        </is>
      </c>
      <c r="F4723" t="inlineStr">
        <is>
          <t>DATA4 DC14</t>
        </is>
      </c>
      <c r="G4723" t="inlineStr">
        <is>
          <t>GVX</t>
        </is>
      </c>
      <c r="H4723" t="inlineStr">
        <is>
          <t>IO</t>
        </is>
      </c>
      <c r="J4723" t="inlineStr">
        <is>
          <t>MATRION</t>
        </is>
      </c>
      <c r="K4723" t="inlineStr">
        <is>
          <t>METAL</t>
        </is>
      </c>
      <c r="L4723">
        <f>_xlfn.XLOOKUP(Tableau1[[#This Row],[TYPE DE PIECE]],Tableau4[MATIERE],Tableau4[SHORT TYPE],"",0,1)</f>
        <v/>
      </c>
      <c r="N4723">
        <f>IF(ISERR(FIND("DECOUPE",Tableau1[[#This Row],[DESIGNATION]])),"","NEED REF")</f>
        <v/>
      </c>
    </row>
    <row r="4724">
      <c r="B4724" t="n">
        <v>34409282</v>
      </c>
      <c r="C4724" s="2" t="n">
        <v>44265</v>
      </c>
      <c r="D4724" t="inlineStr">
        <is>
          <t>SPEC</t>
        </is>
      </c>
      <c r="E4724" t="inlineStr">
        <is>
          <t>COP PLAGE ARRIERE MTZ 3200A</t>
        </is>
      </c>
      <c r="F4724" t="inlineStr">
        <is>
          <t>SOUTH AFRICA</t>
        </is>
      </c>
      <c r="G4724" t="inlineStr">
        <is>
          <t>E3L</t>
        </is>
      </c>
      <c r="H4724" t="inlineStr">
        <is>
          <t>BYPASS</t>
        </is>
      </c>
      <c r="J4724" t="inlineStr">
        <is>
          <t>JAWORSKI</t>
        </is>
      </c>
      <c r="K4724" t="inlineStr">
        <is>
          <t>CUIVRE</t>
        </is>
      </c>
      <c r="L4724">
        <f>_xlfn.XLOOKUP(Tableau1[[#This Row],[TYPE DE PIECE]],Tableau4[MATIERE],Tableau4[SHORT TYPE],"",0,1)</f>
        <v/>
      </c>
      <c r="N4724">
        <f>IF(ISERR(FIND("DECOUPE",Tableau1[[#This Row],[DESIGNATION]])),"","NEED REF")</f>
        <v/>
      </c>
    </row>
    <row r="4725">
      <c r="B4725" t="n">
        <v>34409281</v>
      </c>
      <c r="C4725" s="2" t="n">
        <v>44265</v>
      </c>
      <c r="D4725" t="inlineStr">
        <is>
          <t>SPEC</t>
        </is>
      </c>
      <c r="E4725" t="inlineStr">
        <is>
          <t>COP RACC L3 - LGYE 3200A</t>
        </is>
      </c>
      <c r="F4725" t="inlineStr">
        <is>
          <t>SOUTH AFRICA</t>
        </is>
      </c>
      <c r="G4725" t="inlineStr">
        <is>
          <t>E3L</t>
        </is>
      </c>
      <c r="H4725" t="inlineStr">
        <is>
          <t>BYPASS</t>
        </is>
      </c>
      <c r="J4725" t="inlineStr">
        <is>
          <t>JAWORSKI</t>
        </is>
      </c>
      <c r="K4725" t="inlineStr">
        <is>
          <t>CUIVRE</t>
        </is>
      </c>
      <c r="L4725">
        <f>_xlfn.XLOOKUP(Tableau1[[#This Row],[TYPE DE PIECE]],Tableau4[MATIERE],Tableau4[SHORT TYPE],"",0,1)</f>
        <v/>
      </c>
      <c r="N4725">
        <f>IF(ISERR(FIND("DECOUPE",Tableau1[[#This Row],[DESIGNATION]])),"","NEED REF")</f>
        <v/>
      </c>
    </row>
    <row r="4726">
      <c r="B4726" t="n">
        <v>34409280</v>
      </c>
      <c r="C4726" s="2" t="n">
        <v>44265</v>
      </c>
      <c r="D4726" t="inlineStr">
        <is>
          <t>SPEC</t>
        </is>
      </c>
      <c r="E4726" t="inlineStr">
        <is>
          <t>COP RACC L2 - LGYE 3200A</t>
        </is>
      </c>
      <c r="F4726" t="inlineStr">
        <is>
          <t>SOUTH AFRICA</t>
        </is>
      </c>
      <c r="G4726" t="inlineStr">
        <is>
          <t>E3L</t>
        </is>
      </c>
      <c r="H4726" t="inlineStr">
        <is>
          <t>BYPASS</t>
        </is>
      </c>
      <c r="J4726" t="inlineStr">
        <is>
          <t>JAWORSKI</t>
        </is>
      </c>
      <c r="K4726" t="inlineStr">
        <is>
          <t>CUIVRE</t>
        </is>
      </c>
      <c r="L4726">
        <f>_xlfn.XLOOKUP(Tableau1[[#This Row],[TYPE DE PIECE]],Tableau4[MATIERE],Tableau4[SHORT TYPE],"",0,1)</f>
        <v/>
      </c>
      <c r="N4726">
        <f>IF(ISERR(FIND("DECOUPE",Tableau1[[#This Row],[DESIGNATION]])),"","NEED REF")</f>
        <v/>
      </c>
    </row>
    <row r="4727">
      <c r="B4727" t="n">
        <v>34409279</v>
      </c>
      <c r="C4727" s="2" t="n">
        <v>44265</v>
      </c>
      <c r="D4727" t="inlineStr">
        <is>
          <t>SPEC</t>
        </is>
      </c>
      <c r="E4727" t="inlineStr">
        <is>
          <t>COP RACC L1 - LGYE 3200A</t>
        </is>
      </c>
      <c r="F4727" t="inlineStr">
        <is>
          <t>SOUTH AFRICA</t>
        </is>
      </c>
      <c r="G4727" t="inlineStr">
        <is>
          <t>E3L</t>
        </is>
      </c>
      <c r="H4727" t="inlineStr">
        <is>
          <t>BYPASS</t>
        </is>
      </c>
      <c r="J4727" t="inlineStr">
        <is>
          <t>JAWORSKI</t>
        </is>
      </c>
      <c r="K4727" t="inlineStr">
        <is>
          <t>CUIVRE</t>
        </is>
      </c>
      <c r="L4727">
        <f>_xlfn.XLOOKUP(Tableau1[[#This Row],[TYPE DE PIECE]],Tableau4[MATIERE],Tableau4[SHORT TYPE],"",0,1)</f>
        <v/>
      </c>
      <c r="N4727">
        <f>IF(ISERR(FIND("DECOUPE",Tableau1[[#This Row],[DESIGNATION]])),"","NEED REF")</f>
        <v/>
      </c>
    </row>
    <row r="4728">
      <c r="B4728" t="n">
        <v>34409278</v>
      </c>
      <c r="C4728" s="2" t="n">
        <v>44265</v>
      </c>
      <c r="D4728" t="inlineStr">
        <is>
          <t>SPEC</t>
        </is>
      </c>
      <c r="E4728" t="inlineStr">
        <is>
          <t>COP RACC N - LGYE 3200A</t>
        </is>
      </c>
      <c r="F4728" t="inlineStr">
        <is>
          <t>SOUTH AFRICA</t>
        </is>
      </c>
      <c r="G4728" t="inlineStr">
        <is>
          <t>E3L</t>
        </is>
      </c>
      <c r="H4728" t="inlineStr">
        <is>
          <t>BYPASS</t>
        </is>
      </c>
      <c r="J4728" t="inlineStr">
        <is>
          <t>JAWORSKI</t>
        </is>
      </c>
      <c r="K4728" t="inlineStr">
        <is>
          <t>CUIVRE</t>
        </is>
      </c>
      <c r="L4728">
        <f>_xlfn.XLOOKUP(Tableau1[[#This Row],[TYPE DE PIECE]],Tableau4[MATIERE],Tableau4[SHORT TYPE],"",0,1)</f>
        <v/>
      </c>
      <c r="N4728">
        <f>IF(ISERR(FIND("DECOUPE",Tableau1[[#This Row],[DESIGNATION]])),"","NEED REF")</f>
        <v/>
      </c>
    </row>
    <row r="4729">
      <c r="B4729" t="n">
        <v>34409277</v>
      </c>
      <c r="C4729" s="2" t="n">
        <v>44265</v>
      </c>
      <c r="D4729" t="inlineStr">
        <is>
          <t>SPEC</t>
        </is>
      </c>
      <c r="E4729" t="inlineStr">
        <is>
          <t>COP RACC-2 NS1250</t>
        </is>
      </c>
      <c r="F4729" t="inlineStr">
        <is>
          <t>SOUTH AFRICA</t>
        </is>
      </c>
      <c r="G4729" t="inlineStr">
        <is>
          <t>E3L</t>
        </is>
      </c>
      <c r="H4729" t="inlineStr">
        <is>
          <t>BYPASS</t>
        </is>
      </c>
      <c r="J4729" t="inlineStr">
        <is>
          <t>JAWORSKI</t>
        </is>
      </c>
      <c r="K4729" t="inlineStr">
        <is>
          <t>CUIVRE</t>
        </is>
      </c>
      <c r="L4729">
        <f>_xlfn.XLOOKUP(Tableau1[[#This Row],[TYPE DE PIECE]],Tableau4[MATIERE],Tableau4[SHORT TYPE],"",0,1)</f>
        <v/>
      </c>
      <c r="N4729">
        <f>IF(ISERR(FIND("DECOUPE",Tableau1[[#This Row],[DESIGNATION]])),"","NEED REF")</f>
        <v/>
      </c>
    </row>
    <row r="4730">
      <c r="B4730" t="n">
        <v>34409276</v>
      </c>
      <c r="C4730" s="2" t="n">
        <v>44265</v>
      </c>
      <c r="D4730" t="inlineStr">
        <is>
          <t>SPEC</t>
        </is>
      </c>
      <c r="E4730" t="inlineStr">
        <is>
          <t>COP RACC-1 NS1250</t>
        </is>
      </c>
      <c r="F4730" t="inlineStr">
        <is>
          <t>SOUTH AFRICA</t>
        </is>
      </c>
      <c r="G4730" t="inlineStr">
        <is>
          <t>E3L</t>
        </is>
      </c>
      <c r="H4730" t="inlineStr">
        <is>
          <t>BYPASS</t>
        </is>
      </c>
      <c r="J4730" t="inlineStr">
        <is>
          <t>JAWORSKI</t>
        </is>
      </c>
      <c r="K4730" t="inlineStr">
        <is>
          <t>CUIVRE</t>
        </is>
      </c>
      <c r="L4730">
        <f>_xlfn.XLOOKUP(Tableau1[[#This Row],[TYPE DE PIECE]],Tableau4[MATIERE],Tableau4[SHORT TYPE],"",0,1)</f>
        <v/>
      </c>
      <c r="N4730">
        <f>IF(ISERR(FIND("DECOUPE",Tableau1[[#This Row],[DESIGNATION]])),"","NEED REF")</f>
        <v/>
      </c>
    </row>
    <row r="4731">
      <c r="B4731" t="n">
        <v>34409275</v>
      </c>
      <c r="C4731" s="2" t="n">
        <v>44265</v>
      </c>
      <c r="D4731" t="inlineStr">
        <is>
          <t>SPEC</t>
        </is>
      </c>
      <c r="E4731" t="inlineStr">
        <is>
          <t>COP CALE 80x80x10</t>
        </is>
      </c>
      <c r="F4731" t="inlineStr">
        <is>
          <t>DATA4 DC14</t>
        </is>
      </c>
      <c r="G4731" t="inlineStr">
        <is>
          <t>GVX</t>
        </is>
      </c>
      <c r="H4731" t="inlineStr">
        <is>
          <t>IO</t>
        </is>
      </c>
      <c r="J4731" t="inlineStr">
        <is>
          <t>MATRION</t>
        </is>
      </c>
      <c r="K4731" t="inlineStr">
        <is>
          <t>CUIVRE</t>
        </is>
      </c>
      <c r="L4731">
        <f>_xlfn.XLOOKUP(Tableau1[[#This Row],[TYPE DE PIECE]],Tableau4[MATIERE],Tableau4[SHORT TYPE],"",0,1)</f>
        <v/>
      </c>
      <c r="N4731">
        <f>IF(ISERR(FIND("DECOUPE",Tableau1[[#This Row],[DESIGNATION]])),"","NEED REF")</f>
        <v/>
      </c>
    </row>
    <row r="4732">
      <c r="B4732" t="n">
        <v>34409274</v>
      </c>
      <c r="C4732" s="2" t="n">
        <v>44265</v>
      </c>
      <c r="D4732" t="inlineStr">
        <is>
          <t>SPEC</t>
        </is>
      </c>
      <c r="E4732" t="inlineStr">
        <is>
          <t>SMT SUPPORT LINERGY BAS 3200A</t>
        </is>
      </c>
      <c r="F4732" t="inlineStr">
        <is>
          <t>SOUTH AFRICA</t>
        </is>
      </c>
      <c r="G4732" t="inlineStr">
        <is>
          <t>E3L</t>
        </is>
      </c>
      <c r="H4732" t="inlineStr">
        <is>
          <t>BYPASS</t>
        </is>
      </c>
      <c r="J4732" t="inlineStr">
        <is>
          <t>JAWORSKI</t>
        </is>
      </c>
      <c r="K4732" t="inlineStr">
        <is>
          <t>METAL</t>
        </is>
      </c>
      <c r="L4732">
        <f>_xlfn.XLOOKUP(Tableau1[[#This Row],[TYPE DE PIECE]],Tableau4[MATIERE],Tableau4[SHORT TYPE],"",0,1)</f>
        <v/>
      </c>
      <c r="N4732">
        <f>IF(ISERR(FIND("DECOUPE",Tableau1[[#This Row],[DESIGNATION]])),"","NEED REF")</f>
        <v/>
      </c>
    </row>
    <row r="4733">
      <c r="B4733" t="n">
        <v>34409273</v>
      </c>
      <c r="C4733" s="2" t="n">
        <v>44264</v>
      </c>
      <c r="D4733" t="inlineStr">
        <is>
          <t>SPEC</t>
        </is>
      </c>
      <c r="E4733" t="inlineStr">
        <is>
          <t>SMT TRAVERSE 750MM FIX_CABLE</t>
        </is>
      </c>
      <c r="F4733" t="inlineStr">
        <is>
          <t>SOUTH AFRICA</t>
        </is>
      </c>
      <c r="G4733" t="inlineStr">
        <is>
          <t>E3L</t>
        </is>
      </c>
      <c r="H4733" t="inlineStr">
        <is>
          <t>BYPASS</t>
        </is>
      </c>
      <c r="J4733" t="inlineStr">
        <is>
          <t>JAWORSKI</t>
        </is>
      </c>
      <c r="K4733" t="inlineStr">
        <is>
          <t>METAL</t>
        </is>
      </c>
      <c r="L4733">
        <f>_xlfn.XLOOKUP(Tableau1[[#This Row],[TYPE DE PIECE]],Tableau4[MATIERE],Tableau4[SHORT TYPE],"",0,1)</f>
        <v/>
      </c>
      <c r="N4733">
        <f>IF(ISERR(FIND("DECOUPE",Tableau1[[#This Row],[DESIGNATION]])),"","NEED REF")</f>
        <v/>
      </c>
    </row>
    <row r="4734">
      <c r="B4734" t="n">
        <v>34409272</v>
      </c>
      <c r="C4734" s="2" t="n">
        <v>44264</v>
      </c>
      <c r="D4734" t="inlineStr">
        <is>
          <t>SPEC</t>
        </is>
      </c>
      <c r="E4734" t="inlineStr">
        <is>
          <t>SWITCH MTZ2 - 3200A 4P</t>
        </is>
      </c>
      <c r="F4734" t="inlineStr">
        <is>
          <t>SOUTH AFRICA</t>
        </is>
      </c>
      <c r="G4734" t="inlineStr">
        <is>
          <t>E3L</t>
        </is>
      </c>
      <c r="H4734" t="inlineStr">
        <is>
          <t>BYPASS</t>
        </is>
      </c>
      <c r="J4734" t="inlineStr">
        <is>
          <t>JAWORSKI</t>
        </is>
      </c>
      <c r="K4734" t="inlineStr">
        <is>
          <t>=S=</t>
        </is>
      </c>
      <c r="L4734">
        <f>_xlfn.XLOOKUP(Tableau1[[#This Row],[TYPE DE PIECE]],Tableau4[MATIERE],Tableau4[SHORT TYPE],"",0,1)</f>
        <v/>
      </c>
      <c r="N4734">
        <f>IF(ISERR(FIND("DECOUPE",Tableau1[[#This Row],[DESIGNATION]])),"","NEED REF")</f>
        <v/>
      </c>
    </row>
    <row r="4735">
      <c r="B4735" t="n">
        <v>34409271</v>
      </c>
      <c r="C4735" s="2" t="n">
        <v>44264</v>
      </c>
      <c r="D4735" t="inlineStr">
        <is>
          <t>SPEC</t>
        </is>
      </c>
      <c r="E4735" t="inlineStr">
        <is>
          <t>CS 250A ASSEMBLE POUR REGEN BOX</t>
        </is>
      </c>
      <c r="F4735" t="inlineStr">
        <is>
          <t>REGEN BOX 250A</t>
        </is>
      </c>
      <c r="H4735" t="inlineStr">
        <is>
          <t>REGEN</t>
        </is>
      </c>
      <c r="J4735" t="inlineStr">
        <is>
          <t>REVEL</t>
        </is>
      </c>
      <c r="L4735">
        <f>_xlfn.XLOOKUP(Tableau1[[#This Row],[TYPE DE PIECE]],Tableau4[MATIERE],Tableau4[SHORT TYPE],"",0,1)</f>
        <v/>
      </c>
      <c r="N4735">
        <f>IF(ISERR(FIND("DECOUPE",Tableau1[[#This Row],[DESIGNATION]])),"","NEED REF")</f>
        <v/>
      </c>
    </row>
    <row r="4736">
      <c r="B4736" t="n">
        <v>34409270</v>
      </c>
      <c r="C4736" s="2" t="n">
        <v>44264</v>
      </c>
      <c r="D4736" t="inlineStr">
        <is>
          <t>SPEC</t>
        </is>
      </c>
      <c r="E4736" t="inlineStr">
        <is>
          <t>SMT PLAQUE ALU PASSE CABLES</t>
        </is>
      </c>
      <c r="F4736" t="inlineStr">
        <is>
          <t>DATA4 DC14</t>
        </is>
      </c>
      <c r="G4736" t="inlineStr">
        <is>
          <t>GVX</t>
        </is>
      </c>
      <c r="H4736" t="inlineStr">
        <is>
          <t>IO</t>
        </is>
      </c>
      <c r="J4736" t="inlineStr">
        <is>
          <t>MATRION</t>
        </is>
      </c>
      <c r="K4736" t="inlineStr">
        <is>
          <t>METAL</t>
        </is>
      </c>
      <c r="L4736">
        <f>_xlfn.XLOOKUP(Tableau1[[#This Row],[TYPE DE PIECE]],Tableau4[MATIERE],Tableau4[SHORT TYPE],"",0,1)</f>
        <v/>
      </c>
      <c r="N4736">
        <f>IF(ISERR(FIND("DECOUPE",Tableau1[[#This Row],[DESIGNATION]])),"","NEED REF")</f>
        <v/>
      </c>
    </row>
    <row r="4737">
      <c r="B4737" t="n">
        <v>34409269</v>
      </c>
      <c r="C4737" s="2" t="n">
        <v>44264</v>
      </c>
      <c r="D4737" t="inlineStr">
        <is>
          <t>SPEC</t>
        </is>
      </c>
      <c r="E4737" t="inlineStr">
        <is>
          <t>SMT TOIT LOAD</t>
        </is>
      </c>
      <c r="F4737" t="inlineStr">
        <is>
          <t>DATA4 DC14</t>
        </is>
      </c>
      <c r="G4737" t="inlineStr">
        <is>
          <t>GVX</t>
        </is>
      </c>
      <c r="H4737" t="inlineStr">
        <is>
          <t>IO</t>
        </is>
      </c>
      <c r="J4737" t="inlineStr">
        <is>
          <t>MATRION</t>
        </is>
      </c>
      <c r="K4737" t="inlineStr">
        <is>
          <t>METAL</t>
        </is>
      </c>
      <c r="L4737">
        <f>_xlfn.XLOOKUP(Tableau1[[#This Row],[TYPE DE PIECE]],Tableau4[MATIERE],Tableau4[SHORT TYPE],"",0,1)</f>
        <v/>
      </c>
      <c r="N4737">
        <f>IF(ISERR(FIND("DECOUPE",Tableau1[[#This Row],[DESIGNATION]])),"","NEED REF")</f>
        <v/>
      </c>
    </row>
    <row r="4738">
      <c r="B4738" t="n">
        <v>34409268</v>
      </c>
      <c r="C4738" s="2" t="n">
        <v>44264</v>
      </c>
      <c r="D4738" t="inlineStr">
        <is>
          <t>SPEC</t>
        </is>
      </c>
      <c r="E4738" t="inlineStr">
        <is>
          <t>SMT TOIT MAINS</t>
        </is>
      </c>
      <c r="F4738" t="inlineStr">
        <is>
          <t>DATA4 DC14</t>
        </is>
      </c>
      <c r="G4738" t="inlineStr">
        <is>
          <t>GVX</t>
        </is>
      </c>
      <c r="H4738" t="inlineStr">
        <is>
          <t>IO</t>
        </is>
      </c>
      <c r="J4738" t="inlineStr">
        <is>
          <t>MATRION</t>
        </is>
      </c>
      <c r="K4738" t="inlineStr">
        <is>
          <t>METAL</t>
        </is>
      </c>
      <c r="L4738">
        <f>_xlfn.XLOOKUP(Tableau1[[#This Row],[TYPE DE PIECE]],Tableau4[MATIERE],Tableau4[SHORT TYPE],"",0,1)</f>
        <v/>
      </c>
      <c r="N4738">
        <f>IF(ISERR(FIND("DECOUPE",Tableau1[[#This Row],[DESIGNATION]])),"","NEED REF")</f>
        <v/>
      </c>
    </row>
    <row r="4739">
      <c r="B4739" t="n">
        <v>34409267</v>
      </c>
      <c r="C4739" s="2" t="n">
        <v>44264</v>
      </c>
      <c r="D4739" t="inlineStr">
        <is>
          <t>SPEC</t>
        </is>
      </c>
      <c r="E4739" t="inlineStr">
        <is>
          <t>SMT PLASTRON REHUASSE 3</t>
        </is>
      </c>
      <c r="F4739" t="inlineStr">
        <is>
          <t>DATA4 DC14</t>
        </is>
      </c>
      <c r="G4739" t="inlineStr">
        <is>
          <t>GVX</t>
        </is>
      </c>
      <c r="H4739" t="inlineStr">
        <is>
          <t>IO</t>
        </is>
      </c>
      <c r="J4739" t="inlineStr">
        <is>
          <t>MATRION</t>
        </is>
      </c>
      <c r="K4739" t="inlineStr">
        <is>
          <t>METAL</t>
        </is>
      </c>
      <c r="L4739">
        <f>_xlfn.XLOOKUP(Tableau1[[#This Row],[TYPE DE PIECE]],Tableau4[MATIERE],Tableau4[SHORT TYPE],"",0,1)</f>
        <v/>
      </c>
      <c r="N4739">
        <f>IF(ISERR(FIND("DECOUPE",Tableau1[[#This Row],[DESIGNATION]])),"","NEED REF")</f>
        <v/>
      </c>
    </row>
    <row r="4740">
      <c r="B4740" t="n">
        <v>34409266</v>
      </c>
      <c r="C4740" s="2" t="n">
        <v>44264</v>
      </c>
      <c r="D4740" t="inlineStr">
        <is>
          <t>SPEC</t>
        </is>
      </c>
      <c r="E4740" t="inlineStr">
        <is>
          <t>SMT PLASTRON REHUASSE 2</t>
        </is>
      </c>
      <c r="F4740" t="inlineStr">
        <is>
          <t>DATA4 DC14</t>
        </is>
      </c>
      <c r="G4740" t="inlineStr">
        <is>
          <t>GVX</t>
        </is>
      </c>
      <c r="H4740" t="inlineStr">
        <is>
          <t>IO</t>
        </is>
      </c>
      <c r="J4740" t="inlineStr">
        <is>
          <t>MATRION</t>
        </is>
      </c>
      <c r="K4740" t="inlineStr">
        <is>
          <t>METAL</t>
        </is>
      </c>
      <c r="L4740">
        <f>_xlfn.XLOOKUP(Tableau1[[#This Row],[TYPE DE PIECE]],Tableau4[MATIERE],Tableau4[SHORT TYPE],"",0,1)</f>
        <v/>
      </c>
      <c r="N4740">
        <f>IF(ISERR(FIND("DECOUPE",Tableau1[[#This Row],[DESIGNATION]])),"","NEED REF")</f>
        <v/>
      </c>
    </row>
    <row r="4741">
      <c r="B4741" t="n">
        <v>34409265</v>
      </c>
      <c r="C4741" s="2" t="n">
        <v>44264</v>
      </c>
      <c r="D4741" t="inlineStr">
        <is>
          <t>SPEC</t>
        </is>
      </c>
      <c r="E4741" t="inlineStr">
        <is>
          <t>SMT PLASTRON REHUASSE 1</t>
        </is>
      </c>
      <c r="F4741" t="inlineStr">
        <is>
          <t>DATA4 DC14</t>
        </is>
      </c>
      <c r="G4741" t="inlineStr">
        <is>
          <t>GVX</t>
        </is>
      </c>
      <c r="H4741" t="inlineStr">
        <is>
          <t>IO</t>
        </is>
      </c>
      <c r="J4741" t="inlineStr">
        <is>
          <t>MATRION</t>
        </is>
      </c>
      <c r="K4741" t="inlineStr">
        <is>
          <t>METAL</t>
        </is>
      </c>
      <c r="L4741">
        <f>_xlfn.XLOOKUP(Tableau1[[#This Row],[TYPE DE PIECE]],Tableau4[MATIERE],Tableau4[SHORT TYPE],"",0,1)</f>
        <v/>
      </c>
      <c r="N4741">
        <f>IF(ISERR(FIND("DECOUPE",Tableau1[[#This Row],[DESIGNATION]])),"","NEED REF")</f>
        <v/>
      </c>
    </row>
    <row r="4742">
      <c r="B4742" t="n">
        <v>34409264</v>
      </c>
      <c r="C4742" s="2" t="n">
        <v>44263</v>
      </c>
      <c r="D4742" t="inlineStr">
        <is>
          <t>SPEC</t>
        </is>
      </c>
      <c r="E4742" t="inlineStr">
        <is>
          <t>SMT LOCK CAME LEFT DOOR</t>
        </is>
      </c>
      <c r="G4742" t="inlineStr">
        <is>
          <t>E3L</t>
        </is>
      </c>
      <c r="H4742" t="inlineStr">
        <is>
          <t>BYPASS</t>
        </is>
      </c>
      <c r="J4742" t="inlineStr">
        <is>
          <t>JAWORSKI</t>
        </is>
      </c>
      <c r="K4742" t="inlineStr">
        <is>
          <t>METAL</t>
        </is>
      </c>
      <c r="L4742">
        <f>_xlfn.XLOOKUP(Tableau1[[#This Row],[TYPE DE PIECE]],Tableau4[MATIERE],Tableau4[SHORT TYPE],"",0,1)</f>
        <v/>
      </c>
      <c r="N4742">
        <f>IF(ISERR(FIND("DECOUPE",Tableau1[[#This Row],[DESIGNATION]])),"","NEED REF")</f>
        <v/>
      </c>
    </row>
    <row r="4743">
      <c r="B4743" t="n">
        <v>34409263</v>
      </c>
      <c r="C4743" s="2" t="n">
        <v>44263</v>
      </c>
      <c r="D4743" t="inlineStr">
        <is>
          <t>SPEC</t>
        </is>
      </c>
      <c r="E4743" t="inlineStr">
        <is>
          <t>SMT SUPPORT JDB LOAD</t>
        </is>
      </c>
      <c r="F4743" t="inlineStr">
        <is>
          <t>DATA4 DC14</t>
        </is>
      </c>
      <c r="G4743" t="inlineStr">
        <is>
          <t>GVX</t>
        </is>
      </c>
      <c r="H4743" t="inlineStr">
        <is>
          <t>IO</t>
        </is>
      </c>
      <c r="J4743" t="inlineStr">
        <is>
          <t>MATRION</t>
        </is>
      </c>
      <c r="K4743" t="inlineStr">
        <is>
          <t>METAL</t>
        </is>
      </c>
      <c r="L4743">
        <f>_xlfn.XLOOKUP(Tableau1[[#This Row],[TYPE DE PIECE]],Tableau4[MATIERE],Tableau4[SHORT TYPE],"",0,1)</f>
        <v/>
      </c>
      <c r="N4743">
        <f>IF(ISERR(FIND("DECOUPE",Tableau1[[#This Row],[DESIGNATION]])),"","NEED REF")</f>
        <v/>
      </c>
    </row>
    <row r="4744">
      <c r="B4744" t="n">
        <v>34409262</v>
      </c>
      <c r="C4744" s="2" t="n">
        <v>44260</v>
      </c>
      <c r="D4744" t="inlineStr">
        <is>
          <t>SPEC</t>
        </is>
      </c>
      <c r="E4744" t="inlineStr">
        <is>
          <t>REGEN BOX 250A NEW</t>
        </is>
      </c>
      <c r="H4744" t="inlineStr">
        <is>
          <t>REGEN</t>
        </is>
      </c>
      <c r="J4744" t="inlineStr">
        <is>
          <t>ÇAKIR</t>
        </is>
      </c>
      <c r="L4744">
        <f>_xlfn.XLOOKUP(Tableau1[[#This Row],[TYPE DE PIECE]],Tableau4[MATIERE],Tableau4[SHORT TYPE],"",0,1)</f>
        <v/>
      </c>
      <c r="N4744">
        <f>IF(ISERR(FIND("DECOUPE",Tableau1[[#This Row],[DESIGNATION]])),"","NEED REF")</f>
        <v/>
      </c>
    </row>
    <row r="4745">
      <c r="B4745" t="n">
        <v>34409261</v>
      </c>
      <c r="C4745" s="2" t="n">
        <v>44260</v>
      </c>
      <c r="D4745" t="inlineStr">
        <is>
          <t>SPEC</t>
        </is>
      </c>
      <c r="E4745" t="inlineStr">
        <is>
          <t>SMT LEVRE OUTPUT AND BATT ROOF</t>
        </is>
      </c>
      <c r="J4745" t="inlineStr">
        <is>
          <t>MATRION</t>
        </is>
      </c>
      <c r="L4745">
        <f>_xlfn.XLOOKUP(Tableau1[[#This Row],[TYPE DE PIECE]],Tableau4[MATIERE],Tableau4[SHORT TYPE],"",0,1)</f>
        <v/>
      </c>
      <c r="N4745">
        <f>IF(ISERR(FIND("DECOUPE",Tableau1[[#This Row],[DESIGNATION]])),"","NEED REF")</f>
        <v/>
      </c>
    </row>
    <row r="4746">
      <c r="B4746" t="n">
        <v>34409260</v>
      </c>
      <c r="C4746" s="2" t="n">
        <v>44260</v>
      </c>
      <c r="D4746" t="inlineStr">
        <is>
          <t>SPEC</t>
        </is>
      </c>
      <c r="E4746" t="inlineStr">
        <is>
          <t>MasterPact MTZ2 - interrupteur - NA - 1600A - 4P - fixe</t>
        </is>
      </c>
      <c r="F4746" t="inlineStr">
        <is>
          <t>MERCK SERONO SWISSCOM</t>
        </is>
      </c>
      <c r="G4746" t="inlineStr">
        <is>
          <t>GVL</t>
        </is>
      </c>
      <c r="H4746" t="inlineStr">
        <is>
          <t>BYPASS</t>
        </is>
      </c>
      <c r="J4746" t="inlineStr">
        <is>
          <t>ÇAKIR</t>
        </is>
      </c>
      <c r="L4746">
        <f>_xlfn.XLOOKUP(Tableau1[[#This Row],[TYPE DE PIECE]],Tableau4[MATIERE],Tableau4[SHORT TYPE],"",0,1)</f>
        <v/>
      </c>
      <c r="N4746">
        <f>IF(ISERR(FIND("DECOUPE",Tableau1[[#This Row],[DESIGNATION]])),"","NEED REF")</f>
        <v/>
      </c>
    </row>
    <row r="4747">
      <c r="B4747" t="n">
        <v>34409259</v>
      </c>
      <c r="C4747" s="2" t="n">
        <v>44260</v>
      </c>
      <c r="D4747" t="inlineStr">
        <is>
          <t>SPEC</t>
        </is>
      </c>
      <c r="E4747" t="inlineStr">
        <is>
          <t>ComPact NS1250NA - interrupteur sectionneur BM - 4P - 1250A - fixe - manu</t>
        </is>
      </c>
      <c r="F4747" t="inlineStr">
        <is>
          <t>MERCK SERONO SWISSCOM</t>
        </is>
      </c>
      <c r="G4747" t="inlineStr">
        <is>
          <t>GVL</t>
        </is>
      </c>
      <c r="H4747" t="inlineStr">
        <is>
          <t>BYPASS</t>
        </is>
      </c>
      <c r="J4747" t="inlineStr">
        <is>
          <t>ÇAKIR</t>
        </is>
      </c>
      <c r="L4747">
        <f>_xlfn.XLOOKUP(Tableau1[[#This Row],[TYPE DE PIECE]],Tableau4[MATIERE],Tableau4[SHORT TYPE],"",0,1)</f>
        <v/>
      </c>
      <c r="N4747">
        <f>IF(ISERR(FIND("DECOUPE",Tableau1[[#This Row],[DESIGNATION]])),"","NEED REF")</f>
        <v/>
      </c>
    </row>
    <row r="4748">
      <c r="B4748" t="n">
        <v>34409258</v>
      </c>
      <c r="C4748" s="2" t="n">
        <v>44260</v>
      </c>
      <c r="D4748" t="inlineStr">
        <is>
          <t>SPEC</t>
        </is>
      </c>
      <c r="E4748" t="inlineStr">
        <is>
          <t>SMT OUTPUT AND BATT ROOF 2</t>
        </is>
      </c>
      <c r="F4748" t="inlineStr">
        <is>
          <t>INTERXION</t>
        </is>
      </c>
      <c r="G4748" t="inlineStr">
        <is>
          <t>GVX</t>
        </is>
      </c>
      <c r="H4748" t="inlineStr">
        <is>
          <t>IO</t>
        </is>
      </c>
      <c r="J4748" t="inlineStr">
        <is>
          <t>MATRION</t>
        </is>
      </c>
      <c r="K4748" t="inlineStr">
        <is>
          <t>METAL</t>
        </is>
      </c>
      <c r="L4748">
        <f>_xlfn.XLOOKUP(Tableau1[[#This Row],[TYPE DE PIECE]],Tableau4[MATIERE],Tableau4[SHORT TYPE],"",0,1)</f>
        <v/>
      </c>
      <c r="N4748">
        <f>IF(ISERR(FIND("DECOUPE",Tableau1[[#This Row],[DESIGNATION]])),"","NEED REF")</f>
        <v/>
      </c>
    </row>
    <row r="4749">
      <c r="B4749" t="n">
        <v>34409257</v>
      </c>
      <c r="C4749" s="2" t="n">
        <v>44260</v>
      </c>
      <c r="D4749" t="inlineStr">
        <is>
          <t>SPEC</t>
        </is>
      </c>
      <c r="E4749" t="inlineStr">
        <is>
          <t>SMT OUTPUT AND BATT ROOF 1</t>
        </is>
      </c>
      <c r="F4749" t="inlineStr">
        <is>
          <t>INTERXION</t>
        </is>
      </c>
      <c r="G4749" t="inlineStr">
        <is>
          <t>GVX</t>
        </is>
      </c>
      <c r="H4749" t="inlineStr">
        <is>
          <t>IO</t>
        </is>
      </c>
      <c r="J4749" t="inlineStr">
        <is>
          <t>MATRION</t>
        </is>
      </c>
      <c r="K4749" t="inlineStr">
        <is>
          <t>METAL</t>
        </is>
      </c>
      <c r="L4749">
        <f>_xlfn.XLOOKUP(Tableau1[[#This Row],[TYPE DE PIECE]],Tableau4[MATIERE],Tableau4[SHORT TYPE],"",0,1)</f>
        <v/>
      </c>
      <c r="N4749">
        <f>IF(ISERR(FIND("DECOUPE",Tableau1[[#This Row],[DESIGNATION]])),"","NEED REF")</f>
        <v/>
      </c>
    </row>
    <row r="4750">
      <c r="B4750" t="n">
        <v>34409256</v>
      </c>
      <c r="C4750" s="2" t="n">
        <v>44260</v>
      </c>
      <c r="D4750" t="inlineStr">
        <is>
          <t>SPEC</t>
        </is>
      </c>
      <c r="E4750" t="inlineStr">
        <is>
          <t>SMT INPUT ROOF 2</t>
        </is>
      </c>
      <c r="F4750" t="inlineStr">
        <is>
          <t>INTERXION</t>
        </is>
      </c>
      <c r="G4750" t="inlineStr">
        <is>
          <t>GVX</t>
        </is>
      </c>
      <c r="H4750" t="inlineStr">
        <is>
          <t>IO</t>
        </is>
      </c>
      <c r="J4750" t="inlineStr">
        <is>
          <t>MATRION</t>
        </is>
      </c>
      <c r="K4750" t="inlineStr">
        <is>
          <t>METAL</t>
        </is>
      </c>
      <c r="L4750">
        <f>_xlfn.XLOOKUP(Tableau1[[#This Row],[TYPE DE PIECE]],Tableau4[MATIERE],Tableau4[SHORT TYPE],"",0,1)</f>
        <v/>
      </c>
      <c r="N4750">
        <f>IF(ISERR(FIND("DECOUPE",Tableau1[[#This Row],[DESIGNATION]])),"","NEED REF")</f>
        <v/>
      </c>
    </row>
    <row r="4751">
      <c r="B4751" t="n">
        <v>34409255</v>
      </c>
      <c r="C4751" s="2" t="n">
        <v>44260</v>
      </c>
      <c r="D4751" t="inlineStr">
        <is>
          <t>SPEC</t>
        </is>
      </c>
      <c r="E4751" t="inlineStr">
        <is>
          <t>SMT INPUT ROOF 1</t>
        </is>
      </c>
      <c r="F4751" t="inlineStr">
        <is>
          <t>INTERXION</t>
        </is>
      </c>
      <c r="G4751" t="inlineStr">
        <is>
          <t>GVX</t>
        </is>
      </c>
      <c r="H4751" t="inlineStr">
        <is>
          <t>IO</t>
        </is>
      </c>
      <c r="J4751" t="inlineStr">
        <is>
          <t>MATRION</t>
        </is>
      </c>
      <c r="K4751" t="inlineStr">
        <is>
          <t>METAL</t>
        </is>
      </c>
      <c r="L4751">
        <f>_xlfn.XLOOKUP(Tableau1[[#This Row],[TYPE DE PIECE]],Tableau4[MATIERE],Tableau4[SHORT TYPE],"",0,1)</f>
        <v/>
      </c>
      <c r="N4751">
        <f>IF(ISERR(FIND("DECOUPE",Tableau1[[#This Row],[DESIGNATION]])),"","NEED REF")</f>
        <v/>
      </c>
    </row>
    <row r="4752">
      <c r="B4752" t="n">
        <v>34409254</v>
      </c>
      <c r="C4752" s="2" t="n">
        <v>44260</v>
      </c>
      <c r="D4752" t="inlineStr">
        <is>
          <t>SPEC</t>
        </is>
      </c>
      <c r="E4752" t="inlineStr">
        <is>
          <t>COP U BATT</t>
        </is>
      </c>
      <c r="F4752" t="inlineStr">
        <is>
          <t>INTERXION</t>
        </is>
      </c>
      <c r="G4752" t="inlineStr">
        <is>
          <t>GVX</t>
        </is>
      </c>
      <c r="H4752" t="inlineStr">
        <is>
          <t>IO</t>
        </is>
      </c>
      <c r="J4752" t="inlineStr">
        <is>
          <t>MATRION</t>
        </is>
      </c>
      <c r="K4752" t="inlineStr">
        <is>
          <t>CUIVRE</t>
        </is>
      </c>
      <c r="L4752">
        <f>_xlfn.XLOOKUP(Tableau1[[#This Row],[TYPE DE PIECE]],Tableau4[MATIERE],Tableau4[SHORT TYPE],"",0,1)</f>
        <v/>
      </c>
      <c r="N4752">
        <f>IF(ISERR(FIND("DECOUPE",Tableau1[[#This Row],[DESIGNATION]])),"","NEED REF")</f>
        <v/>
      </c>
    </row>
    <row r="4753">
      <c r="B4753" t="n">
        <v>34409253</v>
      </c>
      <c r="C4753" s="2" t="n">
        <v>44259</v>
      </c>
      <c r="D4753" t="inlineStr">
        <is>
          <t>SPEC</t>
        </is>
      </c>
      <c r="E4753" t="inlineStr">
        <is>
          <t>COP PLAGE RACCORDEMENT CABLES VERTICAL</t>
        </is>
      </c>
      <c r="F4753" t="inlineStr">
        <is>
          <t>DATA4 DC14</t>
        </is>
      </c>
      <c r="G4753" t="inlineStr">
        <is>
          <t>GVX</t>
        </is>
      </c>
      <c r="H4753" t="inlineStr">
        <is>
          <t>IO</t>
        </is>
      </c>
      <c r="J4753" t="inlineStr">
        <is>
          <t>MATRION</t>
        </is>
      </c>
      <c r="K4753" t="inlineStr">
        <is>
          <t>CUIVRE</t>
        </is>
      </c>
      <c r="L4753">
        <f>_xlfn.XLOOKUP(Tableau1[[#This Row],[TYPE DE PIECE]],Tableau4[MATIERE],Tableau4[SHORT TYPE],"",0,1)</f>
        <v/>
      </c>
      <c r="N4753">
        <f>IF(ISERR(FIND("DECOUPE",Tableau1[[#This Row],[DESIGNATION]])),"","NEED REF")</f>
        <v/>
      </c>
    </row>
    <row r="4754">
      <c r="B4754" t="n">
        <v>34409252</v>
      </c>
      <c r="C4754" s="2" t="n">
        <v>44259</v>
      </c>
      <c r="D4754" t="inlineStr">
        <is>
          <t>SPEC</t>
        </is>
      </c>
      <c r="E4754" t="inlineStr">
        <is>
          <t>COP PLAGE RACCORDEMENT CABLES HORIZONTAL</t>
        </is>
      </c>
      <c r="F4754" t="inlineStr">
        <is>
          <t>DATA4 DC14</t>
        </is>
      </c>
      <c r="G4754" t="inlineStr">
        <is>
          <t>GVX</t>
        </is>
      </c>
      <c r="H4754" t="inlineStr">
        <is>
          <t>IO</t>
        </is>
      </c>
      <c r="J4754" t="inlineStr">
        <is>
          <t>MATRION</t>
        </is>
      </c>
      <c r="K4754" t="inlineStr">
        <is>
          <t>CUIVRE</t>
        </is>
      </c>
      <c r="L4754">
        <f>_xlfn.XLOOKUP(Tableau1[[#This Row],[TYPE DE PIECE]],Tableau4[MATIERE],Tableau4[SHORT TYPE],"",0,1)</f>
        <v/>
      </c>
      <c r="N4754">
        <f>IF(ISERR(FIND("DECOUPE",Tableau1[[#This Row],[DESIGNATION]])),"","NEED REF")</f>
        <v/>
      </c>
    </row>
    <row r="4755">
      <c r="B4755" t="n">
        <v>34409251</v>
      </c>
      <c r="C4755" s="2" t="n">
        <v>44259</v>
      </c>
      <c r="D4755" t="inlineStr">
        <is>
          <t>SPEC</t>
        </is>
      </c>
      <c r="E4755" t="inlineStr">
        <is>
          <t>COP PE - PEN JUMPER</t>
        </is>
      </c>
      <c r="F4755" t="inlineStr">
        <is>
          <t>DATA4 DC14</t>
        </is>
      </c>
      <c r="G4755" t="inlineStr">
        <is>
          <t>GVX</t>
        </is>
      </c>
      <c r="H4755" t="inlineStr">
        <is>
          <t>IO</t>
        </is>
      </c>
      <c r="J4755" t="inlineStr">
        <is>
          <t>MATRION</t>
        </is>
      </c>
      <c r="K4755" t="inlineStr">
        <is>
          <t>CUIVRE</t>
        </is>
      </c>
      <c r="L4755">
        <f>_xlfn.XLOOKUP(Tableau1[[#This Row],[TYPE DE PIECE]],Tableau4[MATIERE],Tableau4[SHORT TYPE],"",0,1)</f>
        <v/>
      </c>
      <c r="N4755">
        <f>IF(ISERR(FIND("DECOUPE",Tableau1[[#This Row],[DESIGNATION]])),"","NEED REF")</f>
        <v/>
      </c>
    </row>
    <row r="4756">
      <c r="B4756" t="n">
        <v>34409250</v>
      </c>
      <c r="C4756" s="2" t="n">
        <v>44259</v>
      </c>
      <c r="D4756" t="inlineStr">
        <is>
          <t>SPEC</t>
        </is>
      </c>
      <c r="E4756" t="inlineStr">
        <is>
          <t>COP LIAISON TETE PEN - N</t>
        </is>
      </c>
      <c r="F4756" t="inlineStr">
        <is>
          <t>DATA4 DC14</t>
        </is>
      </c>
      <c r="G4756" t="inlineStr">
        <is>
          <t>GVX</t>
        </is>
      </c>
      <c r="H4756" t="inlineStr">
        <is>
          <t>IO</t>
        </is>
      </c>
      <c r="J4756" t="inlineStr">
        <is>
          <t>MATRION</t>
        </is>
      </c>
      <c r="K4756" t="inlineStr">
        <is>
          <t>CUIVRE</t>
        </is>
      </c>
      <c r="L4756">
        <f>_xlfn.XLOOKUP(Tableau1[[#This Row],[TYPE DE PIECE]],Tableau4[MATIERE],Tableau4[SHORT TYPE],"",0,1)</f>
        <v/>
      </c>
      <c r="N4756">
        <f>IF(ISERR(FIND("DECOUPE",Tableau1[[#This Row],[DESIGNATION]])),"","NEED REF")</f>
        <v/>
      </c>
    </row>
    <row r="4757">
      <c r="B4757" t="n">
        <v>34409249</v>
      </c>
      <c r="C4757" s="2" t="n">
        <v>44258</v>
      </c>
      <c r="D4757" t="inlineStr">
        <is>
          <t>SPEC</t>
        </is>
      </c>
      <c r="E4757" t="inlineStr">
        <is>
          <t>COP LIAISON PEN</t>
        </is>
      </c>
      <c r="F4757" t="inlineStr">
        <is>
          <t>DATA4 DC14</t>
        </is>
      </c>
      <c r="G4757" t="inlineStr">
        <is>
          <t>GVX</t>
        </is>
      </c>
      <c r="H4757" t="inlineStr">
        <is>
          <t>IO</t>
        </is>
      </c>
      <c r="J4757" t="inlineStr">
        <is>
          <t>MATRION</t>
        </is>
      </c>
      <c r="K4757" t="inlineStr">
        <is>
          <t>CUIVRE</t>
        </is>
      </c>
      <c r="L4757">
        <f>_xlfn.XLOOKUP(Tableau1[[#This Row],[TYPE DE PIECE]],Tableau4[MATIERE],Tableau4[SHORT TYPE],"",0,1)</f>
        <v/>
      </c>
      <c r="N4757">
        <f>IF(ISERR(FIND("DECOUPE",Tableau1[[#This Row],[DESIGNATION]])),"","NEED REF")</f>
        <v/>
      </c>
    </row>
    <row r="4758">
      <c r="B4758" t="n">
        <v>34409248</v>
      </c>
      <c r="C4758" s="2" t="n">
        <v>44258</v>
      </c>
      <c r="D4758" t="inlineStr">
        <is>
          <t>SPEC</t>
        </is>
      </c>
      <c r="E4758" t="inlineStr">
        <is>
          <t>LIAISON VERTICAL PE</t>
        </is>
      </c>
      <c r="F4758" t="inlineStr">
        <is>
          <t>DATA4 DC14</t>
        </is>
      </c>
      <c r="G4758" t="inlineStr">
        <is>
          <t>GVX</t>
        </is>
      </c>
      <c r="H4758" t="inlineStr">
        <is>
          <t>IO</t>
        </is>
      </c>
      <c r="J4758" t="inlineStr">
        <is>
          <t>MATRION</t>
        </is>
      </c>
      <c r="K4758" t="inlineStr">
        <is>
          <t>CUIVRE</t>
        </is>
      </c>
      <c r="L4758">
        <f>_xlfn.XLOOKUP(Tableau1[[#This Row],[TYPE DE PIECE]],Tableau4[MATIERE],Tableau4[SHORT TYPE],"",0,1)</f>
        <v/>
      </c>
      <c r="N4758">
        <f>IF(ISERR(FIND("DECOUPE",Tableau1[[#This Row],[DESIGNATION]])),"","NEED REF")</f>
        <v/>
      </c>
    </row>
    <row r="4759">
      <c r="B4759" t="n">
        <v>34409247</v>
      </c>
      <c r="C4759" s="2" t="n">
        <v>44258</v>
      </c>
      <c r="D4759" t="inlineStr">
        <is>
          <t>SPEC</t>
        </is>
      </c>
      <c r="E4759" t="inlineStr">
        <is>
          <t>COP LIAISON L1-1 MAINS</t>
        </is>
      </c>
      <c r="F4759" t="inlineStr">
        <is>
          <t>DATA4 DC14</t>
        </is>
      </c>
      <c r="G4759" t="inlineStr">
        <is>
          <t>GVX</t>
        </is>
      </c>
      <c r="H4759" t="inlineStr">
        <is>
          <t>IO</t>
        </is>
      </c>
      <c r="J4759" t="inlineStr">
        <is>
          <t>MATRION</t>
        </is>
      </c>
      <c r="K4759" t="inlineStr">
        <is>
          <t>CUIVRE</t>
        </is>
      </c>
      <c r="L4759">
        <f>_xlfn.XLOOKUP(Tableau1[[#This Row],[TYPE DE PIECE]],Tableau4[MATIERE],Tableau4[SHORT TYPE],"",0,1)</f>
        <v/>
      </c>
      <c r="N4759">
        <f>IF(ISERR(FIND("DECOUPE",Tableau1[[#This Row],[DESIGNATION]])),"","NEED REF")</f>
        <v/>
      </c>
    </row>
    <row r="4760">
      <c r="B4760" t="n">
        <v>34409246</v>
      </c>
      <c r="C4760" s="2" t="n">
        <v>44258</v>
      </c>
      <c r="D4760" t="inlineStr">
        <is>
          <t>SPEC</t>
        </is>
      </c>
      <c r="E4760" t="inlineStr">
        <is>
          <t>COP LIAISON L1-2 MAINS</t>
        </is>
      </c>
      <c r="F4760" t="inlineStr">
        <is>
          <t>DATA4 DC14</t>
        </is>
      </c>
      <c r="G4760" t="inlineStr">
        <is>
          <t>GVX</t>
        </is>
      </c>
      <c r="H4760" t="inlineStr">
        <is>
          <t>IO</t>
        </is>
      </c>
      <c r="J4760" t="inlineStr">
        <is>
          <t>MATRION</t>
        </is>
      </c>
      <c r="K4760" t="inlineStr">
        <is>
          <t>CUIVRE</t>
        </is>
      </c>
      <c r="L4760">
        <f>_xlfn.XLOOKUP(Tableau1[[#This Row],[TYPE DE PIECE]],Tableau4[MATIERE],Tableau4[SHORT TYPE],"",0,1)</f>
        <v/>
      </c>
      <c r="N4760">
        <f>IF(ISERR(FIND("DECOUPE",Tableau1[[#This Row],[DESIGNATION]])),"","NEED REF")</f>
        <v/>
      </c>
    </row>
    <row r="4761">
      <c r="B4761" t="n">
        <v>34409245</v>
      </c>
      <c r="C4761" s="2" t="n">
        <v>44258</v>
      </c>
      <c r="D4761" t="inlineStr">
        <is>
          <t>SPEC</t>
        </is>
      </c>
      <c r="E4761" t="inlineStr">
        <is>
          <t>COP LIAISON L1-1 MAINS</t>
        </is>
      </c>
      <c r="F4761" t="inlineStr">
        <is>
          <t>DATA4 DC14</t>
        </is>
      </c>
      <c r="G4761" t="inlineStr">
        <is>
          <t>GVX</t>
        </is>
      </c>
      <c r="H4761" t="inlineStr">
        <is>
          <t>IO</t>
        </is>
      </c>
      <c r="J4761" t="inlineStr">
        <is>
          <t>MATRION</t>
        </is>
      </c>
      <c r="K4761" t="inlineStr">
        <is>
          <t>CUIVRE</t>
        </is>
      </c>
      <c r="L4761">
        <f>_xlfn.XLOOKUP(Tableau1[[#This Row],[TYPE DE PIECE]],Tableau4[MATIERE],Tableau4[SHORT TYPE],"",0,1)</f>
        <v/>
      </c>
      <c r="N4761">
        <f>IF(ISERR(FIND("DECOUPE",Tableau1[[#This Row],[DESIGNATION]])),"","NEED REF")</f>
        <v/>
      </c>
    </row>
    <row r="4762">
      <c r="B4762" t="n">
        <v>34409244</v>
      </c>
      <c r="C4762" s="2" t="n">
        <v>44258</v>
      </c>
      <c r="D4762" t="inlineStr">
        <is>
          <t>SPEC</t>
        </is>
      </c>
      <c r="E4762" t="inlineStr">
        <is>
          <t>COP LIAISON L3 LOAD</t>
        </is>
      </c>
      <c r="F4762" t="inlineStr">
        <is>
          <t>DATA4 DC14</t>
        </is>
      </c>
      <c r="G4762" t="inlineStr">
        <is>
          <t>GVX</t>
        </is>
      </c>
      <c r="H4762" t="inlineStr">
        <is>
          <t>IO</t>
        </is>
      </c>
      <c r="J4762" t="inlineStr">
        <is>
          <t>MATRION</t>
        </is>
      </c>
      <c r="K4762" t="inlineStr">
        <is>
          <t>CUIVRE</t>
        </is>
      </c>
      <c r="L4762">
        <f>_xlfn.XLOOKUP(Tableau1[[#This Row],[TYPE DE PIECE]],Tableau4[MATIERE],Tableau4[SHORT TYPE],"",0,1)</f>
        <v/>
      </c>
      <c r="N4762">
        <f>IF(ISERR(FIND("DECOUPE",Tableau1[[#This Row],[DESIGNATION]])),"","NEED REF")</f>
        <v/>
      </c>
    </row>
    <row r="4763">
      <c r="B4763" t="n">
        <v>34409243</v>
      </c>
      <c r="C4763" s="2" t="n">
        <v>44258</v>
      </c>
      <c r="D4763" t="inlineStr">
        <is>
          <t>SPEC</t>
        </is>
      </c>
      <c r="E4763" t="inlineStr">
        <is>
          <t>COP LIAISON PEN MAINS</t>
        </is>
      </c>
      <c r="F4763" t="inlineStr">
        <is>
          <t>DATA4 DC14</t>
        </is>
      </c>
      <c r="G4763" t="inlineStr">
        <is>
          <t>GVX</t>
        </is>
      </c>
      <c r="H4763" t="inlineStr">
        <is>
          <t>IO</t>
        </is>
      </c>
      <c r="J4763" t="inlineStr">
        <is>
          <t>MATRION</t>
        </is>
      </c>
      <c r="K4763" t="inlineStr">
        <is>
          <t>CUIVRE</t>
        </is>
      </c>
      <c r="L4763">
        <f>_xlfn.XLOOKUP(Tableau1[[#This Row],[TYPE DE PIECE]],Tableau4[MATIERE],Tableau4[SHORT TYPE],"",0,1)</f>
        <v/>
      </c>
      <c r="N4763">
        <f>IF(ISERR(FIND("DECOUPE",Tableau1[[#This Row],[DESIGNATION]])),"","NEED REF")</f>
        <v/>
      </c>
    </row>
    <row r="4764">
      <c r="B4764" t="n">
        <v>34409242</v>
      </c>
      <c r="C4764" s="2" t="n">
        <v>44258</v>
      </c>
      <c r="D4764" t="inlineStr">
        <is>
          <t>SPEC</t>
        </is>
      </c>
      <c r="E4764" t="inlineStr">
        <is>
          <t>COP LIAISON L1-L2 LOAD</t>
        </is>
      </c>
      <c r="F4764" t="inlineStr">
        <is>
          <t>DATA4 DC14</t>
        </is>
      </c>
      <c r="G4764" t="inlineStr">
        <is>
          <t>GVX</t>
        </is>
      </c>
      <c r="H4764" t="inlineStr">
        <is>
          <t>IO</t>
        </is>
      </c>
      <c r="J4764" t="inlineStr">
        <is>
          <t>MATRION</t>
        </is>
      </c>
      <c r="K4764" t="inlineStr">
        <is>
          <t>CUIVRE</t>
        </is>
      </c>
      <c r="L4764">
        <f>_xlfn.XLOOKUP(Tableau1[[#This Row],[TYPE DE PIECE]],Tableau4[MATIERE],Tableau4[SHORT TYPE],"",0,1)</f>
        <v/>
      </c>
      <c r="N4764">
        <f>IF(ISERR(FIND("DECOUPE",Tableau1[[#This Row],[DESIGNATION]])),"","NEED REF")</f>
        <v/>
      </c>
    </row>
    <row r="4765">
      <c r="B4765" t="n">
        <v>34409241</v>
      </c>
      <c r="C4765" s="2" t="n">
        <v>44258</v>
      </c>
      <c r="D4765" t="inlineStr">
        <is>
          <t>SPEC</t>
        </is>
      </c>
      <c r="E4765" t="inlineStr">
        <is>
          <t>COP LIAISON L1-L2-L3 MAINS</t>
        </is>
      </c>
      <c r="F4765" t="inlineStr">
        <is>
          <t>DATA4 DC14</t>
        </is>
      </c>
      <c r="G4765" t="inlineStr">
        <is>
          <t>GVX</t>
        </is>
      </c>
      <c r="H4765" t="inlineStr">
        <is>
          <t>IO</t>
        </is>
      </c>
      <c r="J4765" t="inlineStr">
        <is>
          <t>MATRION</t>
        </is>
      </c>
      <c r="K4765" t="inlineStr">
        <is>
          <t>CUIVRE</t>
        </is>
      </c>
      <c r="L4765">
        <f>_xlfn.XLOOKUP(Tableau1[[#This Row],[TYPE DE PIECE]],Tableau4[MATIERE],Tableau4[SHORT TYPE],"",0,1)</f>
        <v/>
      </c>
      <c r="N4765">
        <f>IF(ISERR(FIND("DECOUPE",Tableau1[[#This Row],[DESIGNATION]])),"","NEED REF")</f>
        <v/>
      </c>
    </row>
    <row r="4766">
      <c r="B4766" t="n">
        <v>34409240</v>
      </c>
      <c r="C4766" s="2" t="n">
        <v>44258</v>
      </c>
      <c r="D4766" t="inlineStr">
        <is>
          <t>SPEC</t>
        </is>
      </c>
      <c r="E4766" t="inlineStr">
        <is>
          <t>COP PEN-4 MAINS</t>
        </is>
      </c>
      <c r="F4766" t="inlineStr">
        <is>
          <t>DATA4 DC14</t>
        </is>
      </c>
      <c r="G4766" t="inlineStr">
        <is>
          <t>GVX</t>
        </is>
      </c>
      <c r="H4766" t="inlineStr">
        <is>
          <t>IO</t>
        </is>
      </c>
      <c r="J4766" t="inlineStr">
        <is>
          <t>MATRION</t>
        </is>
      </c>
      <c r="K4766" t="inlineStr">
        <is>
          <t>CUIVRE</t>
        </is>
      </c>
      <c r="L4766">
        <f>_xlfn.XLOOKUP(Tableau1[[#This Row],[TYPE DE PIECE]],Tableau4[MATIERE],Tableau4[SHORT TYPE],"",0,1)</f>
        <v/>
      </c>
      <c r="N4766">
        <f>IF(ISERR(FIND("DECOUPE",Tableau1[[#This Row],[DESIGNATION]])),"","NEED REF")</f>
        <v/>
      </c>
    </row>
    <row r="4767">
      <c r="B4767" t="n">
        <v>34409239</v>
      </c>
      <c r="C4767" s="2" t="n">
        <v>44258</v>
      </c>
      <c r="D4767" t="inlineStr">
        <is>
          <t>SPEC</t>
        </is>
      </c>
      <c r="E4767" t="inlineStr">
        <is>
          <t>COP PEN-3 MAINS</t>
        </is>
      </c>
      <c r="F4767" t="inlineStr">
        <is>
          <t>DATA4 DC14</t>
        </is>
      </c>
      <c r="G4767" t="inlineStr">
        <is>
          <t>GVX</t>
        </is>
      </c>
      <c r="H4767" t="inlineStr">
        <is>
          <t>IO</t>
        </is>
      </c>
      <c r="J4767" t="inlineStr">
        <is>
          <t>MATRION</t>
        </is>
      </c>
      <c r="K4767" t="inlineStr">
        <is>
          <t>CUIVRE</t>
        </is>
      </c>
      <c r="L4767">
        <f>_xlfn.XLOOKUP(Tableau1[[#This Row],[TYPE DE PIECE]],Tableau4[MATIERE],Tableau4[SHORT TYPE],"",0,1)</f>
        <v/>
      </c>
      <c r="N4767">
        <f>IF(ISERR(FIND("DECOUPE",Tableau1[[#This Row],[DESIGNATION]])),"","NEED REF")</f>
        <v/>
      </c>
    </row>
    <row r="4768">
      <c r="B4768" t="n">
        <v>34409238</v>
      </c>
      <c r="C4768" s="2" t="n">
        <v>44258</v>
      </c>
      <c r="D4768" t="inlineStr">
        <is>
          <t>SPEC</t>
        </is>
      </c>
      <c r="E4768" t="inlineStr">
        <is>
          <t>COP PEN-2 MAINS</t>
        </is>
      </c>
      <c r="F4768" t="inlineStr">
        <is>
          <t>DATA4 DC14</t>
        </is>
      </c>
      <c r="G4768" t="inlineStr">
        <is>
          <t>GVX</t>
        </is>
      </c>
      <c r="H4768" t="inlineStr">
        <is>
          <t>IO</t>
        </is>
      </c>
      <c r="J4768" t="inlineStr">
        <is>
          <t>MATRION</t>
        </is>
      </c>
      <c r="K4768" t="inlineStr">
        <is>
          <t>CUIVRE</t>
        </is>
      </c>
      <c r="L4768">
        <f>_xlfn.XLOOKUP(Tableau1[[#This Row],[TYPE DE PIECE]],Tableau4[MATIERE],Tableau4[SHORT TYPE],"",0,1)</f>
        <v/>
      </c>
      <c r="N4768">
        <f>IF(ISERR(FIND("DECOUPE",Tableau1[[#This Row],[DESIGNATION]])),"","NEED REF")</f>
        <v/>
      </c>
    </row>
    <row r="4769">
      <c r="B4769" t="n">
        <v>34409237</v>
      </c>
      <c r="C4769" s="2" t="n">
        <v>44258</v>
      </c>
      <c r="D4769" t="inlineStr">
        <is>
          <t>SPEC</t>
        </is>
      </c>
      <c r="E4769" t="inlineStr">
        <is>
          <t>COP PEN-1 MAINS</t>
        </is>
      </c>
      <c r="F4769" t="inlineStr">
        <is>
          <t>DATA4 DC14</t>
        </is>
      </c>
      <c r="G4769" t="inlineStr">
        <is>
          <t>GVX</t>
        </is>
      </c>
      <c r="H4769" t="inlineStr">
        <is>
          <t>IO</t>
        </is>
      </c>
      <c r="J4769" t="inlineStr">
        <is>
          <t>MATRION</t>
        </is>
      </c>
      <c r="K4769" t="inlineStr">
        <is>
          <t>CUIVRE</t>
        </is>
      </c>
      <c r="L4769">
        <f>_xlfn.XLOOKUP(Tableau1[[#This Row],[TYPE DE PIECE]],Tableau4[MATIERE],Tableau4[SHORT TYPE],"",0,1)</f>
        <v/>
      </c>
      <c r="N4769">
        <f>IF(ISERR(FIND("DECOUPE",Tableau1[[#This Row],[DESIGNATION]])),"","NEED REF")</f>
        <v/>
      </c>
    </row>
    <row r="4770">
      <c r="B4770" t="n">
        <v>34409236</v>
      </c>
      <c r="C4770" s="2" t="n">
        <v>44258</v>
      </c>
      <c r="D4770" t="inlineStr">
        <is>
          <t>SPEC</t>
        </is>
      </c>
      <c r="E4770" t="inlineStr">
        <is>
          <t>COP L3-2 MAINS</t>
        </is>
      </c>
      <c r="F4770" t="inlineStr">
        <is>
          <t>DATA4 DC14</t>
        </is>
      </c>
      <c r="G4770" t="inlineStr">
        <is>
          <t>GVX</t>
        </is>
      </c>
      <c r="H4770" t="inlineStr">
        <is>
          <t>IO</t>
        </is>
      </c>
      <c r="J4770" t="inlineStr">
        <is>
          <t>MATRION</t>
        </is>
      </c>
      <c r="K4770" t="inlineStr">
        <is>
          <t>CUIVRE</t>
        </is>
      </c>
      <c r="L4770">
        <f>_xlfn.XLOOKUP(Tableau1[[#This Row],[TYPE DE PIECE]],Tableau4[MATIERE],Tableau4[SHORT TYPE],"",0,1)</f>
        <v/>
      </c>
      <c r="N4770">
        <f>IF(ISERR(FIND("DECOUPE",Tableau1[[#This Row],[DESIGNATION]])),"","NEED REF")</f>
        <v/>
      </c>
    </row>
    <row r="4771">
      <c r="B4771" t="n">
        <v>34409235</v>
      </c>
      <c r="C4771" s="2" t="n">
        <v>44258</v>
      </c>
      <c r="D4771" t="inlineStr">
        <is>
          <t>SPEC</t>
        </is>
      </c>
      <c r="E4771" t="inlineStr">
        <is>
          <t>COP L3-1 MAINS</t>
        </is>
      </c>
      <c r="F4771" t="inlineStr">
        <is>
          <t>DATA4 DC14</t>
        </is>
      </c>
      <c r="G4771" t="inlineStr">
        <is>
          <t>GVX</t>
        </is>
      </c>
      <c r="H4771" t="inlineStr">
        <is>
          <t>IO</t>
        </is>
      </c>
      <c r="J4771" t="inlineStr">
        <is>
          <t>MATRION</t>
        </is>
      </c>
      <c r="K4771" t="inlineStr">
        <is>
          <t>CUIVRE</t>
        </is>
      </c>
      <c r="L4771">
        <f>_xlfn.XLOOKUP(Tableau1[[#This Row],[TYPE DE PIECE]],Tableau4[MATIERE],Tableau4[SHORT TYPE],"",0,1)</f>
        <v/>
      </c>
      <c r="N4771">
        <f>IF(ISERR(FIND("DECOUPE",Tableau1[[#This Row],[DESIGNATION]])),"","NEED REF")</f>
        <v/>
      </c>
    </row>
    <row r="4772">
      <c r="B4772" t="n">
        <v>34409234</v>
      </c>
      <c r="C4772" s="2" t="n">
        <v>44258</v>
      </c>
      <c r="D4772" t="inlineStr">
        <is>
          <t>SPEC</t>
        </is>
      </c>
      <c r="E4772" t="inlineStr">
        <is>
          <t>COP L2-2 MAINS</t>
        </is>
      </c>
      <c r="F4772" t="inlineStr">
        <is>
          <t>DATA4 DC14</t>
        </is>
      </c>
      <c r="G4772" t="inlineStr">
        <is>
          <t>GVX</t>
        </is>
      </c>
      <c r="H4772" t="inlineStr">
        <is>
          <t>IO</t>
        </is>
      </c>
      <c r="J4772" t="inlineStr">
        <is>
          <t>MATRION</t>
        </is>
      </c>
      <c r="K4772" t="inlineStr">
        <is>
          <t>CUIVRE</t>
        </is>
      </c>
      <c r="L4772">
        <f>_xlfn.XLOOKUP(Tableau1[[#This Row],[TYPE DE PIECE]],Tableau4[MATIERE],Tableau4[SHORT TYPE],"",0,1)</f>
        <v/>
      </c>
      <c r="N4772">
        <f>IF(ISERR(FIND("DECOUPE",Tableau1[[#This Row],[DESIGNATION]])),"","NEED REF")</f>
        <v/>
      </c>
    </row>
    <row r="4773">
      <c r="B4773" t="n">
        <v>34409233</v>
      </c>
      <c r="C4773" s="2" t="n">
        <v>44258</v>
      </c>
      <c r="D4773" t="inlineStr">
        <is>
          <t>SPEC</t>
        </is>
      </c>
      <c r="E4773" t="inlineStr">
        <is>
          <t>COP L2-1 MAINS</t>
        </is>
      </c>
      <c r="F4773" t="inlineStr">
        <is>
          <t>DATA4 DC14</t>
        </is>
      </c>
      <c r="G4773" t="inlineStr">
        <is>
          <t>GVX</t>
        </is>
      </c>
      <c r="H4773" t="inlineStr">
        <is>
          <t>IO</t>
        </is>
      </c>
      <c r="J4773" t="inlineStr">
        <is>
          <t>MATRION</t>
        </is>
      </c>
      <c r="K4773" t="inlineStr">
        <is>
          <t>CUIVRE</t>
        </is>
      </c>
      <c r="L4773">
        <f>_xlfn.XLOOKUP(Tableau1[[#This Row],[TYPE DE PIECE]],Tableau4[MATIERE],Tableau4[SHORT TYPE],"",0,1)</f>
        <v/>
      </c>
      <c r="N4773">
        <f>IF(ISERR(FIND("DECOUPE",Tableau1[[#This Row],[DESIGNATION]])),"","NEED REF")</f>
        <v/>
      </c>
    </row>
    <row r="4774">
      <c r="B4774" t="n">
        <v>34409232</v>
      </c>
      <c r="C4774" s="2" t="n">
        <v>44258</v>
      </c>
      <c r="D4774" t="inlineStr">
        <is>
          <t>SPEC</t>
        </is>
      </c>
      <c r="E4774" t="inlineStr">
        <is>
          <t>COP L1  MAINS</t>
        </is>
      </c>
      <c r="F4774" t="inlineStr">
        <is>
          <t>DATA4 DC14</t>
        </is>
      </c>
      <c r="G4774" t="inlineStr">
        <is>
          <t>GVX</t>
        </is>
      </c>
      <c r="H4774" t="inlineStr">
        <is>
          <t>IO</t>
        </is>
      </c>
      <c r="J4774" t="inlineStr">
        <is>
          <t>MATRION</t>
        </is>
      </c>
      <c r="K4774" t="inlineStr">
        <is>
          <t>CUIVRE</t>
        </is>
      </c>
      <c r="L4774">
        <f>_xlfn.XLOOKUP(Tableau1[[#This Row],[TYPE DE PIECE]],Tableau4[MATIERE],Tableau4[SHORT TYPE],"",0,1)</f>
        <v/>
      </c>
      <c r="N4774">
        <f>IF(ISERR(FIND("DECOUPE",Tableau1[[#This Row],[DESIGNATION]])),"","NEED REF")</f>
        <v/>
      </c>
    </row>
    <row r="4775">
      <c r="B4775" t="n">
        <v>34409231</v>
      </c>
      <c r="C4775" s="2" t="n">
        <v>44258</v>
      </c>
      <c r="D4775" t="inlineStr">
        <is>
          <t>SPEC</t>
        </is>
      </c>
      <c r="E4775" t="inlineStr">
        <is>
          <t>COP PE ENTRE TETE</t>
        </is>
      </c>
      <c r="F4775" t="inlineStr">
        <is>
          <t>DATA4 DC14</t>
        </is>
      </c>
      <c r="G4775" t="inlineStr">
        <is>
          <t>GVX</t>
        </is>
      </c>
      <c r="H4775" t="inlineStr">
        <is>
          <t>IO</t>
        </is>
      </c>
      <c r="J4775" t="inlineStr">
        <is>
          <t>MATRION</t>
        </is>
      </c>
      <c r="K4775" t="inlineStr">
        <is>
          <t>CUIVRE</t>
        </is>
      </c>
      <c r="L4775">
        <f>_xlfn.XLOOKUP(Tableau1[[#This Row],[TYPE DE PIECE]],Tableau4[MATIERE],Tableau4[SHORT TYPE],"",0,1)</f>
        <v/>
      </c>
      <c r="N4775">
        <f>IF(ISERR(FIND("DECOUPE",Tableau1[[#This Row],[DESIGNATION]])),"","NEED REF")</f>
        <v/>
      </c>
    </row>
    <row r="4776">
      <c r="B4776" t="n">
        <v>34409230</v>
      </c>
      <c r="C4776" s="2" t="n">
        <v>44257</v>
      </c>
      <c r="D4776" t="inlineStr">
        <is>
          <t>SPEC</t>
        </is>
      </c>
      <c r="E4776" t="inlineStr">
        <is>
          <t>SMT REHAUSSE IO 1500kVA 200MM 2xKTA3200ER41 RAL9003</t>
        </is>
      </c>
      <c r="F4776" t="inlineStr">
        <is>
          <t>DATA4 DC14</t>
        </is>
      </c>
      <c r="G4776" t="inlineStr">
        <is>
          <t>GVX</t>
        </is>
      </c>
      <c r="H4776" t="inlineStr">
        <is>
          <t>IO</t>
        </is>
      </c>
      <c r="J4776" t="inlineStr">
        <is>
          <t>MATRION</t>
        </is>
      </c>
      <c r="K4776" t="inlineStr">
        <is>
          <t>METAL</t>
        </is>
      </c>
      <c r="L4776">
        <f>_xlfn.XLOOKUP(Tableau1[[#This Row],[TYPE DE PIECE]],Tableau4[MATIERE],Tableau4[SHORT TYPE],"",0,1)</f>
        <v/>
      </c>
      <c r="N4776">
        <f>IF(ISERR(FIND("DECOUPE",Tableau1[[#This Row],[DESIGNATION]])),"","NEED REF")</f>
        <v/>
      </c>
    </row>
    <row r="4777">
      <c r="B4777" t="n">
        <v>34409229</v>
      </c>
      <c r="C4777" s="2" t="n">
        <v>44256</v>
      </c>
      <c r="D4777" t="inlineStr">
        <is>
          <t>SPEC</t>
        </is>
      </c>
      <c r="E4777" t="inlineStr">
        <is>
          <t>LEGRAND-IO OUTPUT 2000A XCP-HP5C UB 2000A AL</t>
        </is>
      </c>
      <c r="F4777" t="inlineStr">
        <is>
          <t>INTERXION</t>
        </is>
      </c>
      <c r="G4777" t="inlineStr">
        <is>
          <t>GVX</t>
        </is>
      </c>
      <c r="H4777" t="inlineStr">
        <is>
          <t>IO</t>
        </is>
      </c>
      <c r="J4777" t="inlineStr">
        <is>
          <t>MATRION</t>
        </is>
      </c>
      <c r="L4777">
        <f>_xlfn.XLOOKUP(Tableau1[[#This Row],[TYPE DE PIECE]],Tableau4[MATIERE],Tableau4[SHORT TYPE],"",0,1)</f>
        <v/>
      </c>
      <c r="N4777">
        <f>IF(ISERR(FIND("DECOUPE",Tableau1[[#This Row],[DESIGNATION]])),"","NEED REF")</f>
        <v/>
      </c>
    </row>
    <row r="4778">
      <c r="B4778" t="n">
        <v>34409228</v>
      </c>
      <c r="C4778" s="2" t="n">
        <v>44256</v>
      </c>
      <c r="D4778" t="inlineStr">
        <is>
          <t>SPEC</t>
        </is>
      </c>
      <c r="E4778" t="inlineStr">
        <is>
          <t>LEGRAND-IO BATTERY 2000A XCP-HP4C UB 2000A AL PA</t>
        </is>
      </c>
      <c r="F4778" t="inlineStr">
        <is>
          <t>INTERXION</t>
        </is>
      </c>
      <c r="G4778" t="inlineStr">
        <is>
          <t>GVX</t>
        </is>
      </c>
      <c r="H4778" t="inlineStr">
        <is>
          <t>IO</t>
        </is>
      </c>
      <c r="J4778" t="inlineStr">
        <is>
          <t>MATRION</t>
        </is>
      </c>
      <c r="L4778">
        <f>_xlfn.XLOOKUP(Tableau1[[#This Row],[TYPE DE PIECE]],Tableau4[MATIERE],Tableau4[SHORT TYPE],"",0,1)</f>
        <v/>
      </c>
      <c r="N4778">
        <f>IF(ISERR(FIND("DECOUPE",Tableau1[[#This Row],[DESIGNATION]])),"","NEED REF")</f>
        <v/>
      </c>
    </row>
    <row r="4779">
      <c r="B4779" t="n">
        <v>34409227</v>
      </c>
      <c r="C4779" s="2" t="n">
        <v>44256</v>
      </c>
      <c r="D4779" t="inlineStr">
        <is>
          <t>SPEC</t>
        </is>
      </c>
      <c r="E4779" t="inlineStr">
        <is>
          <t>LEGRAND-IO OUTPUT 2000A XCP-HP4C UB 2000A AL</t>
        </is>
      </c>
      <c r="F4779" t="inlineStr">
        <is>
          <t>INTERXION</t>
        </is>
      </c>
      <c r="G4779" t="inlineStr">
        <is>
          <t>GVX</t>
        </is>
      </c>
      <c r="H4779" t="inlineStr">
        <is>
          <t>IO</t>
        </is>
      </c>
      <c r="J4779" t="inlineStr">
        <is>
          <t>MATRION</t>
        </is>
      </c>
      <c r="L4779">
        <f>_xlfn.XLOOKUP(Tableau1[[#This Row],[TYPE DE PIECE]],Tableau4[MATIERE],Tableau4[SHORT TYPE],"",0,1)</f>
        <v/>
      </c>
      <c r="N4779">
        <f>IF(ISERR(FIND("DECOUPE",Tableau1[[#This Row],[DESIGNATION]])),"","NEED REF")</f>
        <v/>
      </c>
    </row>
    <row r="4780">
      <c r="B4780" t="n">
        <v>34409226</v>
      </c>
      <c r="C4780" s="2" t="n">
        <v>44256</v>
      </c>
      <c r="D4780" t="inlineStr">
        <is>
          <t>SPEC</t>
        </is>
      </c>
      <c r="E4780" t="inlineStr">
        <is>
          <t>LEGRAND-IO BATTERY 2500A XCP-HP4C UB 2500A AL PA</t>
        </is>
      </c>
      <c r="F4780" t="inlineStr">
        <is>
          <t>INTERXION</t>
        </is>
      </c>
      <c r="G4780" t="inlineStr">
        <is>
          <t>GVX</t>
        </is>
      </c>
      <c r="H4780" t="inlineStr">
        <is>
          <t>IO</t>
        </is>
      </c>
      <c r="J4780" t="inlineStr">
        <is>
          <t>MATRION</t>
        </is>
      </c>
      <c r="L4780">
        <f>_xlfn.XLOOKUP(Tableau1[[#This Row],[TYPE DE PIECE]],Tableau4[MATIERE],Tableau4[SHORT TYPE],"",0,1)</f>
        <v/>
      </c>
      <c r="N4780">
        <f>IF(ISERR(FIND("DECOUPE",Tableau1[[#This Row],[DESIGNATION]])),"","NEED REF")</f>
        <v/>
      </c>
    </row>
    <row r="4781">
      <c r="B4781" t="n">
        <v>34409225</v>
      </c>
      <c r="C4781" s="2" t="n">
        <v>44256</v>
      </c>
      <c r="D4781" t="inlineStr">
        <is>
          <t>SPEC</t>
        </is>
      </c>
      <c r="E4781" t="inlineStr">
        <is>
          <t>SMT PLAQUE PRESSE ETOUPE 570X800</t>
        </is>
      </c>
      <c r="F4781" t="n">
        <v>706380741</v>
      </c>
      <c r="G4781" t="inlineStr">
        <is>
          <t>GVX</t>
        </is>
      </c>
      <c r="H4781" t="inlineStr">
        <is>
          <t>IO</t>
        </is>
      </c>
      <c r="J4781" t="inlineStr">
        <is>
          <t>JAWORSKI</t>
        </is>
      </c>
      <c r="K4781" t="inlineStr">
        <is>
          <t>METAL</t>
        </is>
      </c>
      <c r="L4781">
        <f>_xlfn.XLOOKUP(Tableau1[[#This Row],[TYPE DE PIECE]],Tableau4[MATIERE],Tableau4[SHORT TYPE],"",0,1)</f>
        <v/>
      </c>
      <c r="N4781">
        <f>IF(ISERR(FIND("DECOUPE",Tableau1[[#This Row],[DESIGNATION]])),"","NEED REF")</f>
        <v/>
      </c>
    </row>
    <row r="4782">
      <c r="B4782" t="n">
        <v>34409224</v>
      </c>
      <c r="C4782" s="2" t="n">
        <v>44256</v>
      </c>
      <c r="D4782" t="inlineStr">
        <is>
          <t>SPEC</t>
        </is>
      </c>
      <c r="E4782" t="inlineStr">
        <is>
          <t>SMT PLAQUE PRESSE ETOUPE 570X400</t>
        </is>
      </c>
      <c r="F4782" t="n">
        <v>706380741</v>
      </c>
      <c r="G4782" t="inlineStr">
        <is>
          <t>GVX</t>
        </is>
      </c>
      <c r="H4782" t="inlineStr">
        <is>
          <t>IO</t>
        </is>
      </c>
      <c r="J4782" t="inlineStr">
        <is>
          <t>JAWORSKI</t>
        </is>
      </c>
      <c r="K4782" t="inlineStr">
        <is>
          <t>METAL</t>
        </is>
      </c>
      <c r="L4782">
        <f>_xlfn.XLOOKUP(Tableau1[[#This Row],[TYPE DE PIECE]],Tableau4[MATIERE],Tableau4[SHORT TYPE],"",0,1)</f>
        <v/>
      </c>
      <c r="N4782">
        <f>IF(ISERR(FIND("DECOUPE",Tableau1[[#This Row],[DESIGNATION]])),"","NEED REF")</f>
        <v/>
      </c>
    </row>
    <row r="4783">
      <c r="B4783" t="n">
        <v>34409223</v>
      </c>
      <c r="C4783" s="2" t="n">
        <v>44256</v>
      </c>
      <c r="D4783" t="inlineStr">
        <is>
          <t>SPEC</t>
        </is>
      </c>
      <c r="E4783" t="inlineStr">
        <is>
          <t>SMT PLAQUE FIXATION TGB EAE-KXA17</t>
        </is>
      </c>
      <c r="F4783" t="n">
        <v>706380741</v>
      </c>
      <c r="G4783" t="inlineStr">
        <is>
          <t>GVX</t>
        </is>
      </c>
      <c r="H4783" t="inlineStr">
        <is>
          <t>IO</t>
        </is>
      </c>
      <c r="J4783" t="inlineStr">
        <is>
          <t>JAWORSKI</t>
        </is>
      </c>
      <c r="K4783" t="inlineStr">
        <is>
          <t>METAL</t>
        </is>
      </c>
      <c r="L4783">
        <f>_xlfn.XLOOKUP(Tableau1[[#This Row],[TYPE DE PIECE]],Tableau4[MATIERE],Tableau4[SHORT TYPE],"",0,1)</f>
        <v/>
      </c>
      <c r="N4783">
        <f>IF(ISERR(FIND("DECOUPE",Tableau1[[#This Row],[DESIGNATION]])),"","NEED REF")</f>
        <v/>
      </c>
    </row>
    <row r="4784">
      <c r="B4784" t="n">
        <v>34409222</v>
      </c>
      <c r="C4784" s="2" t="n">
        <v>44256</v>
      </c>
      <c r="D4784" t="inlineStr">
        <is>
          <t>SPEC</t>
        </is>
      </c>
      <c r="E4784" t="inlineStr">
        <is>
          <t>SMT REHAUSSE 200MM AVEC TETE SIMPLE EAE-KXA17 RAL9003</t>
        </is>
      </c>
      <c r="F4784" t="n">
        <v>706380741</v>
      </c>
      <c r="G4784" t="inlineStr">
        <is>
          <t>GVX</t>
        </is>
      </c>
      <c r="H4784" t="inlineStr">
        <is>
          <t>IO</t>
        </is>
      </c>
      <c r="J4784" t="inlineStr">
        <is>
          <t>JAWORSKI</t>
        </is>
      </c>
      <c r="K4784" t="inlineStr">
        <is>
          <t>METAL</t>
        </is>
      </c>
      <c r="L4784">
        <f>_xlfn.XLOOKUP(Tableau1[[#This Row],[TYPE DE PIECE]],Tableau4[MATIERE],Tableau4[SHORT TYPE],"",0,1)</f>
        <v/>
      </c>
      <c r="N4784">
        <f>IF(ISERR(FIND("DECOUPE",Tableau1[[#This Row],[DESIGNATION]])),"","NEED REF")</f>
        <v/>
      </c>
    </row>
    <row r="4785">
      <c r="B4785" t="n">
        <v>34409221</v>
      </c>
      <c r="C4785" s="2" t="n">
        <v>44256</v>
      </c>
      <c r="D4785" t="inlineStr">
        <is>
          <t>SPEC</t>
        </is>
      </c>
      <c r="E4785" t="inlineStr">
        <is>
          <t>SMT DECOUPE LINERGY 04566 850MM</t>
        </is>
      </c>
      <c r="G4785" t="inlineStr">
        <is>
          <t>GVL</t>
        </is>
      </c>
      <c r="H4785" t="inlineStr">
        <is>
          <t>BYPASS</t>
        </is>
      </c>
      <c r="J4785" t="inlineStr">
        <is>
          <t>MATRION</t>
        </is>
      </c>
      <c r="K4785" t="inlineStr">
        <is>
          <t>METAL</t>
        </is>
      </c>
      <c r="L4785">
        <f>_xlfn.XLOOKUP(Tableau1[[#This Row],[TYPE DE PIECE]],Tableau4[MATIERE],Tableau4[SHORT TYPE],"",0,1)</f>
        <v/>
      </c>
      <c r="N4785" t="inlineStr">
        <is>
          <t>LVS04566</t>
        </is>
      </c>
    </row>
    <row r="4786">
      <c r="B4786" t="n">
        <v>34409220</v>
      </c>
      <c r="C4786" s="2" t="n">
        <v>44252</v>
      </c>
      <c r="D4786" t="inlineStr">
        <is>
          <t>SPEC</t>
        </is>
      </c>
      <c r="E4786" t="inlineStr">
        <is>
          <t>SMT PLASTRON RACCORDEMENT</t>
        </is>
      </c>
      <c r="G4786" t="inlineStr">
        <is>
          <t>GVL</t>
        </is>
      </c>
      <c r="H4786" t="inlineStr">
        <is>
          <t>BYPASS</t>
        </is>
      </c>
      <c r="J4786" t="inlineStr">
        <is>
          <t>MATRION</t>
        </is>
      </c>
      <c r="K4786" t="inlineStr">
        <is>
          <t>METAL</t>
        </is>
      </c>
      <c r="L4786">
        <f>_xlfn.XLOOKUP(Tableau1[[#This Row],[TYPE DE PIECE]],Tableau4[MATIERE],Tableau4[SHORT TYPE],"",0,1)</f>
        <v/>
      </c>
      <c r="N4786">
        <f>IF(ISERR(FIND("DECOUPE",Tableau1[[#This Row],[DESIGNATION]])),"","NEED REF")</f>
        <v/>
      </c>
    </row>
    <row r="4787">
      <c r="B4787" t="n">
        <v>34409219</v>
      </c>
      <c r="C4787" s="2" t="n">
        <v>44252</v>
      </c>
      <c r="D4787" t="inlineStr">
        <is>
          <t>SPEC</t>
        </is>
      </c>
      <c r="E4787" t="inlineStr">
        <is>
          <t>SMT PLASTRON MTZ</t>
        </is>
      </c>
      <c r="G4787" t="inlineStr">
        <is>
          <t>GVL</t>
        </is>
      </c>
      <c r="H4787" t="inlineStr">
        <is>
          <t>BYPASS</t>
        </is>
      </c>
      <c r="J4787" t="inlineStr">
        <is>
          <t>MATRION</t>
        </is>
      </c>
      <c r="K4787" t="inlineStr">
        <is>
          <t>METAL</t>
        </is>
      </c>
      <c r="L4787">
        <f>_xlfn.XLOOKUP(Tableau1[[#This Row],[TYPE DE PIECE]],Tableau4[MATIERE],Tableau4[SHORT TYPE],"",0,1)</f>
        <v/>
      </c>
      <c r="N4787">
        <f>IF(ISERR(FIND("DECOUPE",Tableau1[[#This Row],[DESIGNATION]])),"","NEED REF")</f>
        <v/>
      </c>
    </row>
    <row r="4788">
      <c r="B4788" t="n">
        <v>34409218</v>
      </c>
      <c r="C4788" s="2" t="n">
        <v>44252</v>
      </c>
      <c r="D4788" t="inlineStr">
        <is>
          <t>SPEC</t>
        </is>
      </c>
      <c r="E4788" t="inlineStr">
        <is>
          <t>SMT PLASTRON 2xNS1xxx</t>
        </is>
      </c>
      <c r="G4788" t="inlineStr">
        <is>
          <t>GVL</t>
        </is>
      </c>
      <c r="H4788" t="inlineStr">
        <is>
          <t>BYPASS</t>
        </is>
      </c>
      <c r="J4788" t="inlineStr">
        <is>
          <t>MATRION</t>
        </is>
      </c>
      <c r="K4788" t="inlineStr">
        <is>
          <t>METAL</t>
        </is>
      </c>
      <c r="L4788">
        <f>_xlfn.XLOOKUP(Tableau1[[#This Row],[TYPE DE PIECE]],Tableau4[MATIERE],Tableau4[SHORT TYPE],"",0,1)</f>
        <v/>
      </c>
      <c r="N4788">
        <f>IF(ISERR(FIND("DECOUPE",Tableau1[[#This Row],[DESIGNATION]])),"","NEED REF")</f>
        <v/>
      </c>
    </row>
    <row r="4789">
      <c r="B4789" t="n">
        <v>34409217</v>
      </c>
      <c r="C4789" s="2" t="n">
        <v>44251</v>
      </c>
      <c r="D4789" t="inlineStr">
        <is>
          <t>SPEC</t>
        </is>
      </c>
      <c r="E4789" t="inlineStr">
        <is>
          <t>SMT SUPPORT BAS LINERGY</t>
        </is>
      </c>
      <c r="G4789" t="inlineStr">
        <is>
          <t>GVL</t>
        </is>
      </c>
      <c r="H4789" t="inlineStr">
        <is>
          <t>BYPASS</t>
        </is>
      </c>
      <c r="J4789" t="inlineStr">
        <is>
          <t>MATRION</t>
        </is>
      </c>
      <c r="K4789" t="inlineStr">
        <is>
          <t>METAL</t>
        </is>
      </c>
      <c r="L4789">
        <f>_xlfn.XLOOKUP(Tableau1[[#This Row],[TYPE DE PIECE]],Tableau4[MATIERE],Tableau4[SHORT TYPE],"",0,1)</f>
        <v/>
      </c>
      <c r="N4789">
        <f>IF(ISERR(FIND("DECOUPE",Tableau1[[#This Row],[DESIGNATION]])),"","NEED REF")</f>
        <v/>
      </c>
    </row>
    <row r="4790">
      <c r="B4790" t="n">
        <v>34409216</v>
      </c>
      <c r="C4790" s="2" t="n">
        <v>44251</v>
      </c>
      <c r="D4790" t="inlineStr">
        <is>
          <t>SPEC</t>
        </is>
      </c>
      <c r="E4790" t="inlineStr">
        <is>
          <t>SMT RENFORT STRUCTURE</t>
        </is>
      </c>
      <c r="G4790" t="inlineStr">
        <is>
          <t>GVL</t>
        </is>
      </c>
      <c r="H4790" t="inlineStr">
        <is>
          <t>BYPASS</t>
        </is>
      </c>
      <c r="J4790" t="inlineStr">
        <is>
          <t>MATRION</t>
        </is>
      </c>
      <c r="K4790" t="inlineStr">
        <is>
          <t>METAL</t>
        </is>
      </c>
      <c r="L4790">
        <f>_xlfn.XLOOKUP(Tableau1[[#This Row],[TYPE DE PIECE]],Tableau4[MATIERE],Tableau4[SHORT TYPE],"",0,1)</f>
        <v/>
      </c>
      <c r="N4790">
        <f>IF(ISERR(FIND("DECOUPE",Tableau1[[#This Row],[DESIGNATION]])),"","NEED REF")</f>
        <v/>
      </c>
    </row>
    <row r="4791">
      <c r="B4791" t="n">
        <v>34409215</v>
      </c>
      <c r="C4791" s="2" t="n">
        <v>44251</v>
      </c>
      <c r="D4791" t="inlineStr">
        <is>
          <t>SPEC</t>
        </is>
      </c>
      <c r="E4791" t="inlineStr">
        <is>
          <t>SMT EQUERRE SUPPORT GP03 BAS</t>
        </is>
      </c>
      <c r="G4791" t="inlineStr">
        <is>
          <t>GVL</t>
        </is>
      </c>
      <c r="H4791" t="inlineStr">
        <is>
          <t>BYPASS</t>
        </is>
      </c>
      <c r="J4791" t="inlineStr">
        <is>
          <t>MATRION</t>
        </is>
      </c>
      <c r="K4791" t="inlineStr">
        <is>
          <t>METAL</t>
        </is>
      </c>
      <c r="L4791">
        <f>_xlfn.XLOOKUP(Tableau1[[#This Row],[TYPE DE PIECE]],Tableau4[MATIERE],Tableau4[SHORT TYPE],"",0,1)</f>
        <v/>
      </c>
      <c r="N4791">
        <f>IF(ISERR(FIND("DECOUPE",Tableau1[[#This Row],[DESIGNATION]])),"","NEED REF")</f>
        <v/>
      </c>
    </row>
    <row r="4792">
      <c r="B4792" t="n">
        <v>34409214</v>
      </c>
      <c r="C4792" s="2" t="n">
        <v>44251</v>
      </c>
      <c r="D4792" t="inlineStr">
        <is>
          <t>SPEC</t>
        </is>
      </c>
      <c r="E4792" t="inlineStr">
        <is>
          <t>PLAN DE DE DECOUPE RAIL DIN REGEN</t>
        </is>
      </c>
      <c r="H4792" t="inlineStr">
        <is>
          <t>REGEN</t>
        </is>
      </c>
      <c r="J4792" t="inlineStr">
        <is>
          <t>REVEL</t>
        </is>
      </c>
      <c r="K4792" t="inlineStr">
        <is>
          <t>METAL</t>
        </is>
      </c>
      <c r="L4792">
        <f>_xlfn.XLOOKUP(Tableau1[[#This Row],[TYPE DE PIECE]],Tableau4[MATIERE],Tableau4[SHORT TYPE],"",0,1)</f>
        <v/>
      </c>
      <c r="N4792">
        <f>IF(ISERR(FIND("DECOUPE",Tableau1[[#This Row],[DESIGNATION]])),"","NEED REF")</f>
        <v/>
      </c>
    </row>
    <row r="4793">
      <c r="B4793" t="n">
        <v>34409213</v>
      </c>
      <c r="C4793" s="2" t="n">
        <v>44251</v>
      </c>
      <c r="D4793" t="inlineStr">
        <is>
          <t>SPEC</t>
        </is>
      </c>
      <c r="E4793" t="inlineStr">
        <is>
          <t xml:space="preserve">PLAQUE DE FOND REGEN BOX 50A </t>
        </is>
      </c>
      <c r="H4793" t="inlineStr">
        <is>
          <t>REGEN</t>
        </is>
      </c>
      <c r="J4793" t="inlineStr">
        <is>
          <t>REVEL</t>
        </is>
      </c>
      <c r="K4793" t="inlineStr">
        <is>
          <t>METAL</t>
        </is>
      </c>
      <c r="L4793">
        <f>_xlfn.XLOOKUP(Tableau1[[#This Row],[TYPE DE PIECE]],Tableau4[MATIERE],Tableau4[SHORT TYPE],"",0,1)</f>
        <v/>
      </c>
      <c r="N4793">
        <f>IF(ISERR(FIND("DECOUPE",Tableau1[[#This Row],[DESIGNATION]])),"","NEED REF")</f>
        <v/>
      </c>
    </row>
    <row r="4794">
      <c r="B4794" t="n">
        <v>34409212</v>
      </c>
      <c r="C4794" s="2" t="n">
        <v>44251</v>
      </c>
      <c r="D4794" t="inlineStr">
        <is>
          <t>SPEC</t>
        </is>
      </c>
      <c r="E4794" t="inlineStr">
        <is>
          <t>PLAQUE  SEGREGATION  MORISSON</t>
        </is>
      </c>
      <c r="G4794" t="inlineStr">
        <is>
          <t>E3S</t>
        </is>
      </c>
      <c r="H4794" t="inlineStr">
        <is>
          <t>BYPASS</t>
        </is>
      </c>
      <c r="J4794" t="inlineStr">
        <is>
          <t>REVEL</t>
        </is>
      </c>
      <c r="K4794" t="inlineStr">
        <is>
          <t>PLASTIQUE</t>
        </is>
      </c>
      <c r="L4794">
        <f>_xlfn.XLOOKUP(Tableau1[[#This Row],[TYPE DE PIECE]],Tableau4[MATIERE],Tableau4[SHORT TYPE],"",0,1)</f>
        <v/>
      </c>
      <c r="N4794">
        <f>IF(ISERR(FIND("DECOUPE",Tableau1[[#This Row],[DESIGNATION]])),"","NEED REF")</f>
        <v/>
      </c>
    </row>
    <row r="4795">
      <c r="B4795" t="n">
        <v>34409211</v>
      </c>
      <c r="C4795" s="2" t="n">
        <v>44250</v>
      </c>
      <c r="D4795" t="inlineStr">
        <is>
          <t>SPEC</t>
        </is>
      </c>
      <c r="E4795" t="inlineStr">
        <is>
          <t>SMT PLATINE AUX</t>
        </is>
      </c>
      <c r="G4795" t="inlineStr">
        <is>
          <t>GVL</t>
        </is>
      </c>
      <c r="H4795" t="inlineStr">
        <is>
          <t>BYPASS</t>
        </is>
      </c>
      <c r="J4795" t="inlineStr">
        <is>
          <t>MATRION</t>
        </is>
      </c>
      <c r="K4795" t="inlineStr">
        <is>
          <t>METAL</t>
        </is>
      </c>
      <c r="L4795">
        <f>_xlfn.XLOOKUP(Tableau1[[#This Row],[TYPE DE PIECE]],Tableau4[MATIERE],Tableau4[SHORT TYPE],"",0,1)</f>
        <v/>
      </c>
      <c r="N4795">
        <f>IF(ISERR(FIND("DECOUPE",Tableau1[[#This Row],[DESIGNATION]])),"","NEED REF")</f>
        <v/>
      </c>
    </row>
    <row r="4796">
      <c r="B4796" t="n">
        <v>34409210</v>
      </c>
      <c r="C4796" s="2" t="n">
        <v>44250</v>
      </c>
      <c r="D4796" t="inlineStr">
        <is>
          <t>SPEC</t>
        </is>
      </c>
      <c r="E4796" t="inlineStr">
        <is>
          <t>COP RACCORDEMENT MAINS2</t>
        </is>
      </c>
      <c r="G4796" t="inlineStr">
        <is>
          <t>GVL</t>
        </is>
      </c>
      <c r="H4796" t="inlineStr">
        <is>
          <t>BYPASS</t>
        </is>
      </c>
      <c r="J4796" t="inlineStr">
        <is>
          <t>MATRION</t>
        </is>
      </c>
      <c r="K4796" t="inlineStr">
        <is>
          <t>CUIVRE</t>
        </is>
      </c>
      <c r="L4796">
        <f>_xlfn.XLOOKUP(Tableau1[[#This Row],[TYPE DE PIECE]],Tableau4[MATIERE],Tableau4[SHORT TYPE],"",0,1)</f>
        <v/>
      </c>
      <c r="N4796">
        <f>IF(ISERR(FIND("DECOUPE",Tableau1[[#This Row],[DESIGNATION]])),"","NEED REF")</f>
        <v/>
      </c>
    </row>
    <row r="4797">
      <c r="B4797" t="n">
        <v>34409209</v>
      </c>
      <c r="C4797" s="2" t="n">
        <v>44249</v>
      </c>
      <c r="D4797" t="inlineStr">
        <is>
          <t>SPEC</t>
        </is>
      </c>
      <c r="E4797" t="inlineStr">
        <is>
          <t>COP PLAGE ARRIERE MTZ</t>
        </is>
      </c>
      <c r="G4797" t="inlineStr">
        <is>
          <t>GVL</t>
        </is>
      </c>
      <c r="H4797" t="inlineStr">
        <is>
          <t>BYPASS</t>
        </is>
      </c>
      <c r="J4797" t="inlineStr">
        <is>
          <t>MATRION</t>
        </is>
      </c>
      <c r="K4797" t="inlineStr">
        <is>
          <t>CUIVRE</t>
        </is>
      </c>
      <c r="L4797">
        <f>_xlfn.XLOOKUP(Tableau1[[#This Row],[TYPE DE PIECE]],Tableau4[MATIERE],Tableau4[SHORT TYPE],"",0,1)</f>
        <v/>
      </c>
      <c r="N4797">
        <f>IF(ISERR(FIND("DECOUPE",Tableau1[[#This Row],[DESIGNATION]])),"","NEED REF")</f>
        <v/>
      </c>
    </row>
    <row r="4798">
      <c r="B4798" t="n">
        <v>34409208</v>
      </c>
      <c r="C4798" s="2" t="n">
        <v>44249</v>
      </c>
      <c r="D4798" t="inlineStr">
        <is>
          <t>SPEC</t>
        </is>
      </c>
      <c r="E4798" t="inlineStr">
        <is>
          <t>COP LIAISON ENTRE MTZ</t>
        </is>
      </c>
      <c r="G4798" t="inlineStr">
        <is>
          <t>GVL</t>
        </is>
      </c>
      <c r="H4798" t="inlineStr">
        <is>
          <t>BYPASS</t>
        </is>
      </c>
      <c r="J4798" t="inlineStr">
        <is>
          <t>MATRION</t>
        </is>
      </c>
      <c r="K4798" t="inlineStr">
        <is>
          <t>CUIVRE</t>
        </is>
      </c>
      <c r="L4798">
        <f>_xlfn.XLOOKUP(Tableau1[[#This Row],[TYPE DE PIECE]],Tableau4[MATIERE],Tableau4[SHORT TYPE],"",0,1)</f>
        <v/>
      </c>
      <c r="N4798">
        <f>IF(ISERR(FIND("DECOUPE",Tableau1[[#This Row],[DESIGNATION]])),"","NEED REF")</f>
        <v/>
      </c>
    </row>
    <row r="4799">
      <c r="B4799" t="n">
        <v>34409207</v>
      </c>
      <c r="C4799" s="2" t="n">
        <v>44245</v>
      </c>
      <c r="D4799" t="inlineStr">
        <is>
          <t>SPEC</t>
        </is>
      </c>
      <c r="E4799" t="inlineStr">
        <is>
          <t>COP NSX400 8</t>
        </is>
      </c>
      <c r="H4799" t="inlineStr">
        <is>
          <t>PMM</t>
        </is>
      </c>
      <c r="J4799" t="inlineStr">
        <is>
          <t>MATRION</t>
        </is>
      </c>
      <c r="K4799" t="inlineStr">
        <is>
          <t>CUIVRE</t>
        </is>
      </c>
      <c r="L4799">
        <f>_xlfn.XLOOKUP(Tableau1[[#This Row],[TYPE DE PIECE]],Tableau4[MATIERE],Tableau4[SHORT TYPE],"",0,1)</f>
        <v/>
      </c>
      <c r="N4799">
        <f>IF(ISERR(FIND("DECOUPE",Tableau1[[#This Row],[DESIGNATION]])),"","NEED REF")</f>
        <v/>
      </c>
    </row>
    <row r="4800">
      <c r="B4800" t="n">
        <v>34409206</v>
      </c>
      <c r="C4800" s="2" t="n">
        <v>44245</v>
      </c>
      <c r="D4800" t="inlineStr">
        <is>
          <t>SPEC</t>
        </is>
      </c>
      <c r="E4800" t="inlineStr">
        <is>
          <t>COP NSX400 7</t>
        </is>
      </c>
      <c r="H4800" t="inlineStr">
        <is>
          <t>PMM</t>
        </is>
      </c>
      <c r="J4800" t="inlineStr">
        <is>
          <t>MATRION</t>
        </is>
      </c>
      <c r="K4800" t="inlineStr">
        <is>
          <t>CUIVRE</t>
        </is>
      </c>
      <c r="L4800">
        <f>_xlfn.XLOOKUP(Tableau1[[#This Row],[TYPE DE PIECE]],Tableau4[MATIERE],Tableau4[SHORT TYPE],"",0,1)</f>
        <v/>
      </c>
      <c r="N4800">
        <f>IF(ISERR(FIND("DECOUPE",Tableau1[[#This Row],[DESIGNATION]])),"","NEED REF")</f>
        <v/>
      </c>
    </row>
    <row r="4801">
      <c r="B4801" t="n">
        <v>34409205</v>
      </c>
      <c r="C4801" s="2" t="n">
        <v>44245</v>
      </c>
      <c r="D4801" t="inlineStr">
        <is>
          <t>SPEC</t>
        </is>
      </c>
      <c r="E4801" t="inlineStr">
        <is>
          <t>COP NSX400 6</t>
        </is>
      </c>
      <c r="H4801" t="inlineStr">
        <is>
          <t>PMM</t>
        </is>
      </c>
      <c r="J4801" t="inlineStr">
        <is>
          <t>MATRION</t>
        </is>
      </c>
      <c r="K4801" t="inlineStr">
        <is>
          <t>CUIVRE</t>
        </is>
      </c>
      <c r="L4801">
        <f>_xlfn.XLOOKUP(Tableau1[[#This Row],[TYPE DE PIECE]],Tableau4[MATIERE],Tableau4[SHORT TYPE],"",0,1)</f>
        <v/>
      </c>
      <c r="N4801">
        <f>IF(ISERR(FIND("DECOUPE",Tableau1[[#This Row],[DESIGNATION]])),"","NEED REF")</f>
        <v/>
      </c>
    </row>
    <row r="4802">
      <c r="B4802" t="n">
        <v>34409204</v>
      </c>
      <c r="C4802" s="2" t="n">
        <v>44245</v>
      </c>
      <c r="D4802" t="inlineStr">
        <is>
          <t>SPEC</t>
        </is>
      </c>
      <c r="E4802" t="inlineStr">
        <is>
          <t>COP NSX400 5</t>
        </is>
      </c>
      <c r="H4802" t="inlineStr">
        <is>
          <t>PMM</t>
        </is>
      </c>
      <c r="J4802" t="inlineStr">
        <is>
          <t>MATRION</t>
        </is>
      </c>
      <c r="K4802" t="inlineStr">
        <is>
          <t>CUIVRE</t>
        </is>
      </c>
      <c r="L4802">
        <f>_xlfn.XLOOKUP(Tableau1[[#This Row],[TYPE DE PIECE]],Tableau4[MATIERE],Tableau4[SHORT TYPE],"",0,1)</f>
        <v/>
      </c>
      <c r="N4802">
        <f>IF(ISERR(FIND("DECOUPE",Tableau1[[#This Row],[DESIGNATION]])),"","NEED REF")</f>
        <v/>
      </c>
    </row>
    <row r="4803">
      <c r="B4803" t="n">
        <v>34409203</v>
      </c>
      <c r="C4803" s="2" t="n">
        <v>44243</v>
      </c>
      <c r="D4803" t="inlineStr">
        <is>
          <t>SPEC</t>
        </is>
      </c>
      <c r="E4803" t="inlineStr">
        <is>
          <t>SMT SUPPORT NSX250</t>
        </is>
      </c>
      <c r="F4803" t="inlineStr">
        <is>
          <t>AIR LIQUIDE</t>
        </is>
      </c>
      <c r="H4803" t="inlineStr">
        <is>
          <t>AUTRE</t>
        </is>
      </c>
      <c r="J4803" t="inlineStr">
        <is>
          <t>MATRION</t>
        </is>
      </c>
      <c r="K4803" t="inlineStr">
        <is>
          <t>METAL</t>
        </is>
      </c>
      <c r="L4803">
        <f>_xlfn.XLOOKUP(Tableau1[[#This Row],[TYPE DE PIECE]],Tableau4[MATIERE],Tableau4[SHORT TYPE],"",0,1)</f>
        <v/>
      </c>
      <c r="N4803">
        <f>IF(ISERR(FIND("DECOUPE",Tableau1[[#This Row],[DESIGNATION]])),"","NEED REF")</f>
        <v/>
      </c>
    </row>
    <row r="4804">
      <c r="B4804" t="n">
        <v>34409202</v>
      </c>
      <c r="C4804" s="2" t="n">
        <v>44242</v>
      </c>
      <c r="D4804" t="inlineStr">
        <is>
          <t>SPEC</t>
        </is>
      </c>
      <c r="E4804" t="inlineStr">
        <is>
          <t>SMT SUPPORT DISPLAY</t>
        </is>
      </c>
      <c r="F4804" t="inlineStr">
        <is>
          <t>AIR LIQUIDE</t>
        </is>
      </c>
      <c r="H4804" t="inlineStr">
        <is>
          <t>AUTRE</t>
        </is>
      </c>
      <c r="J4804" t="inlineStr">
        <is>
          <t>MATRION</t>
        </is>
      </c>
      <c r="K4804" t="inlineStr">
        <is>
          <t>METAL</t>
        </is>
      </c>
      <c r="L4804">
        <f>_xlfn.XLOOKUP(Tableau1[[#This Row],[TYPE DE PIECE]],Tableau4[MATIERE],Tableau4[SHORT TYPE],"",0,1)</f>
        <v/>
      </c>
      <c r="N4804">
        <f>IF(ISERR(FIND("DECOUPE",Tableau1[[#This Row],[DESIGNATION]])),"","NEED REF")</f>
        <v/>
      </c>
    </row>
    <row r="4805">
      <c r="B4805" t="n">
        <v>34409201</v>
      </c>
      <c r="C4805" s="2" t="n">
        <v>44242</v>
      </c>
      <c r="D4805" t="inlineStr">
        <is>
          <t>SPEC</t>
        </is>
      </c>
      <c r="E4805" t="inlineStr">
        <is>
          <t>SMT PLASTRON BAS</t>
        </is>
      </c>
      <c r="F4805" t="inlineStr">
        <is>
          <t>AIR LIQUIDE</t>
        </is>
      </c>
      <c r="H4805" t="inlineStr">
        <is>
          <t>AUTRE</t>
        </is>
      </c>
      <c r="J4805" t="inlineStr">
        <is>
          <t>MATRION</t>
        </is>
      </c>
      <c r="K4805" t="inlineStr">
        <is>
          <t>METAL</t>
        </is>
      </c>
      <c r="L4805">
        <f>_xlfn.XLOOKUP(Tableau1[[#This Row],[TYPE DE PIECE]],Tableau4[MATIERE],Tableau4[SHORT TYPE],"",0,1)</f>
        <v/>
      </c>
      <c r="N4805">
        <f>IF(ISERR(FIND("DECOUPE",Tableau1[[#This Row],[DESIGNATION]])),"","NEED REF")</f>
        <v/>
      </c>
    </row>
    <row r="4806">
      <c r="B4806" t="n">
        <v>34409200</v>
      </c>
      <c r="C4806" s="2" t="n">
        <v>44242</v>
      </c>
      <c r="D4806" t="inlineStr">
        <is>
          <t>SPEC</t>
        </is>
      </c>
      <c r="E4806" t="inlineStr">
        <is>
          <t>SMT PLASTRON HAUT</t>
        </is>
      </c>
      <c r="F4806" t="inlineStr">
        <is>
          <t>AIR LIQUIDE</t>
        </is>
      </c>
      <c r="H4806" t="inlineStr">
        <is>
          <t>AUTRE</t>
        </is>
      </c>
      <c r="J4806" t="inlineStr">
        <is>
          <t>MATRION</t>
        </is>
      </c>
      <c r="K4806" t="inlineStr">
        <is>
          <t>METAL</t>
        </is>
      </c>
      <c r="L4806">
        <f>_xlfn.XLOOKUP(Tableau1[[#This Row],[TYPE DE PIECE]],Tableau4[MATIERE],Tableau4[SHORT TYPE],"",0,1)</f>
        <v/>
      </c>
      <c r="N4806">
        <f>IF(ISERR(FIND("DECOUPE",Tableau1[[#This Row],[DESIGNATION]])),"","NEED REF")</f>
        <v/>
      </c>
    </row>
    <row r="4807">
      <c r="B4807" t="n">
        <v>34409199</v>
      </c>
      <c r="C4807" s="2" t="n">
        <v>44239</v>
      </c>
      <c r="D4807" t="inlineStr">
        <is>
          <t>SPEC</t>
        </is>
      </c>
      <c r="E4807" t="inlineStr">
        <is>
          <t>COP 30x30</t>
        </is>
      </c>
      <c r="J4807" t="inlineStr">
        <is>
          <t>MATRION</t>
        </is>
      </c>
      <c r="L4807">
        <f>_xlfn.XLOOKUP(Tableau1[[#This Row],[TYPE DE PIECE]],Tableau4[MATIERE],Tableau4[SHORT TYPE],"",0,1)</f>
        <v/>
      </c>
      <c r="N4807">
        <f>IF(ISERR(FIND("DECOUPE",Tableau1[[#This Row],[DESIGNATION]])),"","NEED REF")</f>
        <v/>
      </c>
    </row>
    <row r="4808">
      <c r="B4808" t="n">
        <v>34409198</v>
      </c>
      <c r="C4808" s="2" t="n">
        <v>44239</v>
      </c>
      <c r="D4808" t="inlineStr">
        <is>
          <t>SPEC</t>
        </is>
      </c>
      <c r="E4808" t="inlineStr">
        <is>
          <t>SMT EQUERRE CHASSIS TFO-ORTEA</t>
        </is>
      </c>
      <c r="F4808" t="inlineStr">
        <is>
          <t>AIR LIQUIDE</t>
        </is>
      </c>
      <c r="H4808" t="inlineStr">
        <is>
          <t>AUTRE</t>
        </is>
      </c>
      <c r="J4808" t="inlineStr">
        <is>
          <t>JAWORSKI</t>
        </is>
      </c>
      <c r="K4808" t="inlineStr">
        <is>
          <t>METAL</t>
        </is>
      </c>
      <c r="L4808">
        <f>_xlfn.XLOOKUP(Tableau1[[#This Row],[TYPE DE PIECE]],Tableau4[MATIERE],Tableau4[SHORT TYPE],"",0,1)</f>
        <v/>
      </c>
      <c r="N4808">
        <f>IF(ISERR(FIND("DECOUPE",Tableau1[[#This Row],[DESIGNATION]])),"","NEED REF")</f>
        <v/>
      </c>
    </row>
    <row r="4809">
      <c r="B4809" t="n">
        <v>34409197</v>
      </c>
      <c r="C4809" s="2" t="n">
        <v>44239</v>
      </c>
      <c r="D4809" t="inlineStr">
        <is>
          <t>SPEC</t>
        </is>
      </c>
      <c r="E4809" t="inlineStr">
        <is>
          <t>SMT TRAVERSE CHASSIS TFO-ORTEA</t>
        </is>
      </c>
      <c r="F4809" t="inlineStr">
        <is>
          <t>AIR LIQUIDE</t>
        </is>
      </c>
      <c r="H4809" t="inlineStr">
        <is>
          <t>AUTRE</t>
        </is>
      </c>
      <c r="J4809" t="inlineStr">
        <is>
          <t>JAWORSKI</t>
        </is>
      </c>
      <c r="K4809" t="inlineStr">
        <is>
          <t>METAL</t>
        </is>
      </c>
      <c r="L4809">
        <f>_xlfn.XLOOKUP(Tableau1[[#This Row],[TYPE DE PIECE]],Tableau4[MATIERE],Tableau4[SHORT TYPE],"",0,1)</f>
        <v/>
      </c>
      <c r="N4809">
        <f>IF(ISERR(FIND("DECOUPE",Tableau1[[#This Row],[DESIGNATION]])),"","NEED REF")</f>
        <v/>
      </c>
    </row>
    <row r="4810">
      <c r="B4810" t="n">
        <v>34409196</v>
      </c>
      <c r="C4810" s="2" t="n">
        <v>44237</v>
      </c>
      <c r="D4810" t="inlineStr">
        <is>
          <t>SPEC</t>
        </is>
      </c>
      <c r="E4810" t="inlineStr">
        <is>
          <t>COP LIAISON NSX</t>
        </is>
      </c>
      <c r="J4810" t="inlineStr">
        <is>
          <t>MATRION</t>
        </is>
      </c>
      <c r="K4810" t="inlineStr">
        <is>
          <t>CUIVRE</t>
        </is>
      </c>
      <c r="L4810">
        <f>_xlfn.XLOOKUP(Tableau1[[#This Row],[TYPE DE PIECE]],Tableau4[MATIERE],Tableau4[SHORT TYPE],"",0,1)</f>
        <v/>
      </c>
      <c r="N4810">
        <f>IF(ISERR(FIND("DECOUPE",Tableau1[[#This Row],[DESIGNATION]])),"","NEED REF")</f>
        <v/>
      </c>
    </row>
    <row r="4811">
      <c r="B4811" t="n">
        <v>34409195</v>
      </c>
      <c r="C4811" s="2" t="n">
        <v>44236</v>
      </c>
      <c r="D4811" t="inlineStr">
        <is>
          <t>SPEC</t>
        </is>
      </c>
      <c r="E4811" t="inlineStr">
        <is>
          <t>SMT OBTURATEUR INS160 90MM</t>
        </is>
      </c>
      <c r="F4811" t="inlineStr">
        <is>
          <t>GLAXOSMITH</t>
        </is>
      </c>
      <c r="G4811" t="inlineStr">
        <is>
          <t>GVS</t>
        </is>
      </c>
      <c r="H4811" t="inlineStr">
        <is>
          <t>BYPASS</t>
        </is>
      </c>
      <c r="J4811" t="inlineStr">
        <is>
          <t>JAWORSKI</t>
        </is>
      </c>
      <c r="K4811" t="inlineStr">
        <is>
          <t>METAL</t>
        </is>
      </c>
      <c r="L4811">
        <f>_xlfn.XLOOKUP(Tableau1[[#This Row],[TYPE DE PIECE]],Tableau4[MATIERE],Tableau4[SHORT TYPE],"",0,1)</f>
        <v/>
      </c>
      <c r="N4811">
        <f>IF(ISERR(FIND("DECOUPE",Tableau1[[#This Row],[DESIGNATION]])),"","NEED REF")</f>
        <v/>
      </c>
    </row>
    <row r="4812">
      <c r="B4812" t="n">
        <v>34409194</v>
      </c>
      <c r="C4812" s="2" t="n">
        <v>44232</v>
      </c>
      <c r="D4812" t="inlineStr">
        <is>
          <t>SPEC</t>
        </is>
      </c>
      <c r="E4812" t="inlineStr">
        <is>
          <t xml:space="preserve">NSX100F 3P + MICO5,2E </t>
        </is>
      </c>
      <c r="J4812" t="inlineStr">
        <is>
          <t>MATRION</t>
        </is>
      </c>
      <c r="K4812" t="inlineStr">
        <is>
          <t>=S=</t>
        </is>
      </c>
      <c r="L4812">
        <f>_xlfn.XLOOKUP(Tableau1[[#This Row],[TYPE DE PIECE]],Tableau4[MATIERE],Tableau4[SHORT TYPE],"",0,1)</f>
        <v/>
      </c>
      <c r="N4812">
        <f>IF(ISERR(FIND("DECOUPE",Tableau1[[#This Row],[DESIGNATION]])),"","NEED REF")</f>
        <v/>
      </c>
    </row>
    <row r="4813">
      <c r="B4813" t="n">
        <v>34409193</v>
      </c>
      <c r="C4813" s="2" t="n">
        <v>44232</v>
      </c>
      <c r="D4813" t="inlineStr">
        <is>
          <t>SPEC</t>
        </is>
      </c>
      <c r="E4813" t="inlineStr">
        <is>
          <t>NSX100F 3P + MICO5,2E + CADENAS</t>
        </is>
      </c>
      <c r="J4813" t="inlineStr">
        <is>
          <t>MATRION</t>
        </is>
      </c>
      <c r="K4813" t="inlineStr">
        <is>
          <t>=S=</t>
        </is>
      </c>
      <c r="L4813">
        <f>_xlfn.XLOOKUP(Tableau1[[#This Row],[TYPE DE PIECE]],Tableau4[MATIERE],Tableau4[SHORT TYPE],"",0,1)</f>
        <v/>
      </c>
      <c r="N4813">
        <f>IF(ISERR(FIND("DECOUPE",Tableau1[[#This Row],[DESIGNATION]])),"","NEED REF")</f>
        <v/>
      </c>
    </row>
    <row r="4814">
      <c r="B4814" t="n">
        <v>34409192</v>
      </c>
      <c r="C4814" s="2" t="n">
        <v>44232</v>
      </c>
      <c r="D4814" t="inlineStr">
        <is>
          <t>SPEC</t>
        </is>
      </c>
      <c r="E4814" t="inlineStr">
        <is>
          <t>NSX100F 4P + MICO5,2E + CADENAS</t>
        </is>
      </c>
      <c r="J4814" t="inlineStr">
        <is>
          <t>MATRION</t>
        </is>
      </c>
      <c r="K4814" t="inlineStr">
        <is>
          <t>=S=</t>
        </is>
      </c>
      <c r="L4814">
        <f>_xlfn.XLOOKUP(Tableau1[[#This Row],[TYPE DE PIECE]],Tableau4[MATIERE],Tableau4[SHORT TYPE],"",0,1)</f>
        <v/>
      </c>
      <c r="N4814">
        <f>IF(ISERR(FIND("DECOUPE",Tableau1[[#This Row],[DESIGNATION]])),"","NEED REF")</f>
        <v/>
      </c>
    </row>
    <row r="4815">
      <c r="B4815" t="n">
        <v>34409191</v>
      </c>
      <c r="C4815" s="2" t="n">
        <v>44231</v>
      </c>
      <c r="D4815" t="inlineStr">
        <is>
          <t>SPEC</t>
        </is>
      </c>
      <c r="E4815" t="inlineStr">
        <is>
          <t>SMT SUPPORT 1U MOUNT BRACKET AP7175B</t>
        </is>
      </c>
      <c r="J4815" t="inlineStr">
        <is>
          <t>MATRION</t>
        </is>
      </c>
      <c r="K4815" t="inlineStr">
        <is>
          <t>METAL</t>
        </is>
      </c>
      <c r="L4815">
        <f>_xlfn.XLOOKUP(Tableau1[[#This Row],[TYPE DE PIECE]],Tableau4[MATIERE],Tableau4[SHORT TYPE],"",0,1)</f>
        <v/>
      </c>
      <c r="N4815">
        <f>IF(ISERR(FIND("DECOUPE",Tableau1[[#This Row],[DESIGNATION]])),"","NEED REF")</f>
        <v/>
      </c>
    </row>
    <row r="4816">
      <c r="B4816" t="n">
        <v>34409190</v>
      </c>
      <c r="C4816" s="2" t="n">
        <v>44231</v>
      </c>
      <c r="D4816" t="inlineStr">
        <is>
          <t>SPEC</t>
        </is>
      </c>
      <c r="E4816" t="inlineStr">
        <is>
          <t>SMT PLATINE NSX + VIGI</t>
        </is>
      </c>
      <c r="F4816" t="inlineStr">
        <is>
          <t>GLAXOSMITH</t>
        </is>
      </c>
      <c r="G4816" t="inlineStr">
        <is>
          <t>GVS</t>
        </is>
      </c>
      <c r="H4816" t="inlineStr">
        <is>
          <t>BYPASS</t>
        </is>
      </c>
      <c r="J4816" t="inlineStr">
        <is>
          <t>JAWORSKI</t>
        </is>
      </c>
      <c r="K4816" t="inlineStr">
        <is>
          <t>SMT</t>
        </is>
      </c>
      <c r="L4816">
        <f>_xlfn.XLOOKUP(Tableau1[[#This Row],[TYPE DE PIECE]],Tableau4[MATIERE],Tableau4[SHORT TYPE],"",0,1)</f>
        <v/>
      </c>
      <c r="N4816">
        <f>IF(ISERR(FIND("DECOUPE",Tableau1[[#This Row],[DESIGNATION]])),"","NEED REF")</f>
        <v/>
      </c>
    </row>
    <row r="4817">
      <c r="B4817" t="n">
        <v>34409189</v>
      </c>
      <c r="C4817" s="2" t="n">
        <v>44231</v>
      </c>
      <c r="D4817" t="inlineStr">
        <is>
          <t>SPEC</t>
        </is>
      </c>
      <c r="E4817" t="inlineStr">
        <is>
          <t>PLA PLASTRON 5</t>
        </is>
      </c>
      <c r="F4817" t="inlineStr">
        <is>
          <t>GLAXOSMITH</t>
        </is>
      </c>
      <c r="G4817" t="inlineStr">
        <is>
          <t>GVS</t>
        </is>
      </c>
      <c r="H4817" t="inlineStr">
        <is>
          <t>BYPASS</t>
        </is>
      </c>
      <c r="J4817" t="inlineStr">
        <is>
          <t>JAWORSKI</t>
        </is>
      </c>
      <c r="K4817" t="inlineStr">
        <is>
          <t>PLASTIQUE</t>
        </is>
      </c>
      <c r="L4817">
        <f>_xlfn.XLOOKUP(Tableau1[[#This Row],[TYPE DE PIECE]],Tableau4[MATIERE],Tableau4[SHORT TYPE],"",0,1)</f>
        <v/>
      </c>
      <c r="N4817">
        <f>IF(ISERR(FIND("DECOUPE",Tableau1[[#This Row],[DESIGNATION]])),"","NEED REF")</f>
        <v/>
      </c>
    </row>
    <row r="4818">
      <c r="B4818" t="n">
        <v>34409188</v>
      </c>
      <c r="C4818" s="2" t="n">
        <v>44231</v>
      </c>
      <c r="D4818" t="inlineStr">
        <is>
          <t>SPEC</t>
        </is>
      </c>
      <c r="E4818" t="inlineStr">
        <is>
          <t>PLA PLASTRON 4</t>
        </is>
      </c>
      <c r="F4818" t="inlineStr">
        <is>
          <t>GLAXOSMITH</t>
        </is>
      </c>
      <c r="G4818" t="inlineStr">
        <is>
          <t>GVS</t>
        </is>
      </c>
      <c r="H4818" t="inlineStr">
        <is>
          <t>BYPASS</t>
        </is>
      </c>
      <c r="J4818" t="inlineStr">
        <is>
          <t>JAWORSKI</t>
        </is>
      </c>
      <c r="K4818" t="inlineStr">
        <is>
          <t>PLASTIQUE</t>
        </is>
      </c>
      <c r="L4818">
        <f>_xlfn.XLOOKUP(Tableau1[[#This Row],[TYPE DE PIECE]],Tableau4[MATIERE],Tableau4[SHORT TYPE],"",0,1)</f>
        <v/>
      </c>
      <c r="N4818">
        <f>IF(ISERR(FIND("DECOUPE",Tableau1[[#This Row],[DESIGNATION]])),"","NEED REF")</f>
        <v/>
      </c>
    </row>
    <row r="4819">
      <c r="B4819" t="n">
        <v>34409187</v>
      </c>
      <c r="C4819" s="2" t="n">
        <v>44231</v>
      </c>
      <c r="D4819" t="inlineStr">
        <is>
          <t>SPEC</t>
        </is>
      </c>
      <c r="E4819" t="inlineStr">
        <is>
          <t>PLA PLASTRON 3</t>
        </is>
      </c>
      <c r="F4819" t="inlineStr">
        <is>
          <t>GLAXOSMITH</t>
        </is>
      </c>
      <c r="G4819" t="inlineStr">
        <is>
          <t>GVS</t>
        </is>
      </c>
      <c r="H4819" t="inlineStr">
        <is>
          <t>BYPASS</t>
        </is>
      </c>
      <c r="J4819" t="inlineStr">
        <is>
          <t>JAWORSKI</t>
        </is>
      </c>
      <c r="K4819" t="inlineStr">
        <is>
          <t>PLASTIQUE</t>
        </is>
      </c>
      <c r="L4819">
        <f>_xlfn.XLOOKUP(Tableau1[[#This Row],[TYPE DE PIECE]],Tableau4[MATIERE],Tableau4[SHORT TYPE],"",0,1)</f>
        <v/>
      </c>
      <c r="N4819">
        <f>IF(ISERR(FIND("DECOUPE",Tableau1[[#This Row],[DESIGNATION]])),"","NEED REF")</f>
        <v/>
      </c>
    </row>
    <row r="4820">
      <c r="B4820" t="n">
        <v>34409186</v>
      </c>
      <c r="C4820" s="2" t="n">
        <v>44231</v>
      </c>
      <c r="D4820" t="inlineStr">
        <is>
          <t>SPEC</t>
        </is>
      </c>
      <c r="E4820" t="inlineStr">
        <is>
          <t>PLA PLASTRON 2</t>
        </is>
      </c>
      <c r="F4820" t="inlineStr">
        <is>
          <t>GLAXOSMITH</t>
        </is>
      </c>
      <c r="G4820" t="inlineStr">
        <is>
          <t>GVS</t>
        </is>
      </c>
      <c r="H4820" t="inlineStr">
        <is>
          <t>BYPASS</t>
        </is>
      </c>
      <c r="J4820" t="inlineStr">
        <is>
          <t>JAWORSKI</t>
        </is>
      </c>
      <c r="K4820" t="inlineStr">
        <is>
          <t>PLASTIQUE</t>
        </is>
      </c>
      <c r="L4820">
        <f>_xlfn.XLOOKUP(Tableau1[[#This Row],[TYPE DE PIECE]],Tableau4[MATIERE],Tableau4[SHORT TYPE],"",0,1)</f>
        <v/>
      </c>
      <c r="N4820">
        <f>IF(ISERR(FIND("DECOUPE",Tableau1[[#This Row],[DESIGNATION]])),"","NEED REF")</f>
        <v/>
      </c>
    </row>
    <row r="4821">
      <c r="B4821" t="n">
        <v>34409185</v>
      </c>
      <c r="C4821" s="2" t="n">
        <v>44231</v>
      </c>
      <c r="D4821" t="inlineStr">
        <is>
          <t>SPEC</t>
        </is>
      </c>
      <c r="E4821" t="inlineStr">
        <is>
          <t>PLA PLASTRON 1</t>
        </is>
      </c>
      <c r="F4821" t="inlineStr">
        <is>
          <t>GLAXOSMITH</t>
        </is>
      </c>
      <c r="G4821" t="inlineStr">
        <is>
          <t>GVS</t>
        </is>
      </c>
      <c r="H4821" t="inlineStr">
        <is>
          <t>BYPASS</t>
        </is>
      </c>
      <c r="J4821" t="inlineStr">
        <is>
          <t>JAWORSKI</t>
        </is>
      </c>
      <c r="K4821" t="inlineStr">
        <is>
          <t>PLASTIQUE</t>
        </is>
      </c>
      <c r="L4821">
        <f>_xlfn.XLOOKUP(Tableau1[[#This Row],[TYPE DE PIECE]],Tableau4[MATIERE],Tableau4[SHORT TYPE],"",0,1)</f>
        <v/>
      </c>
      <c r="N4821">
        <f>IF(ISERR(FIND("DECOUPE",Tableau1[[#This Row],[DESIGNATION]])),"","NEED REF")</f>
        <v/>
      </c>
    </row>
    <row r="4822">
      <c r="B4822" t="n">
        <v>34409184</v>
      </c>
      <c r="C4822" s="2" t="n">
        <v>44231</v>
      </c>
      <c r="D4822" t="inlineStr">
        <is>
          <t>SPEC</t>
        </is>
      </c>
      <c r="E4822" t="inlineStr">
        <is>
          <t>SMT ROOF-FAN IP31 RAL9003</t>
        </is>
      </c>
      <c r="F4822" t="inlineStr">
        <is>
          <t>GLAXOSMITH</t>
        </is>
      </c>
      <c r="G4822" t="inlineStr">
        <is>
          <t>GVS</t>
        </is>
      </c>
      <c r="H4822" t="inlineStr">
        <is>
          <t>BYPASS</t>
        </is>
      </c>
      <c r="J4822" t="inlineStr">
        <is>
          <t>JAWORSKI</t>
        </is>
      </c>
      <c r="K4822" t="inlineStr">
        <is>
          <t>METAL</t>
        </is>
      </c>
      <c r="L4822">
        <f>_xlfn.XLOOKUP(Tableau1[[#This Row],[TYPE DE PIECE]],Tableau4[MATIERE],Tableau4[SHORT TYPE],"",0,1)</f>
        <v/>
      </c>
      <c r="N4822">
        <f>IF(ISERR(FIND("DECOUPE",Tableau1[[#This Row],[DESIGNATION]])),"","NEED REF")</f>
        <v/>
      </c>
    </row>
    <row r="4823">
      <c r="B4823" t="n">
        <v>34409183</v>
      </c>
      <c r="C4823" s="2" t="n">
        <v>44231</v>
      </c>
      <c r="D4823" t="inlineStr">
        <is>
          <t>SPEC</t>
        </is>
      </c>
      <c r="E4823" t="inlineStr">
        <is>
          <t>SMT CALE DE TOIT FRONTALE</t>
        </is>
      </c>
      <c r="F4823" t="inlineStr">
        <is>
          <t>GLAXOSMITH</t>
        </is>
      </c>
      <c r="G4823" t="inlineStr">
        <is>
          <t>GVS</t>
        </is>
      </c>
      <c r="H4823" t="inlineStr">
        <is>
          <t>BYPASS</t>
        </is>
      </c>
      <c r="J4823" t="inlineStr">
        <is>
          <t>JAWORSKI</t>
        </is>
      </c>
      <c r="K4823" t="inlineStr">
        <is>
          <t>METAL</t>
        </is>
      </c>
      <c r="L4823">
        <f>_xlfn.XLOOKUP(Tableau1[[#This Row],[TYPE DE PIECE]],Tableau4[MATIERE],Tableau4[SHORT TYPE],"",0,1)</f>
        <v/>
      </c>
      <c r="N4823">
        <f>IF(ISERR(FIND("DECOUPE",Tableau1[[#This Row],[DESIGNATION]])),"","NEED REF")</f>
        <v/>
      </c>
    </row>
    <row r="4824">
      <c r="B4824" t="n">
        <v>34409182</v>
      </c>
      <c r="C4824" s="2" t="n">
        <v>44231</v>
      </c>
      <c r="D4824" t="inlineStr">
        <is>
          <t>SPEC</t>
        </is>
      </c>
      <c r="E4824" t="inlineStr">
        <is>
          <t>SMT CALE DE TOIT LATERALE</t>
        </is>
      </c>
      <c r="F4824" t="inlineStr">
        <is>
          <t>GLAXOSMITH</t>
        </is>
      </c>
      <c r="G4824" t="inlineStr">
        <is>
          <t>GVS</t>
        </is>
      </c>
      <c r="H4824" t="inlineStr">
        <is>
          <t>BYPASS</t>
        </is>
      </c>
      <c r="J4824" t="inlineStr">
        <is>
          <t>JAWORSKI</t>
        </is>
      </c>
      <c r="K4824" t="inlineStr">
        <is>
          <t>METAL</t>
        </is>
      </c>
      <c r="L4824">
        <f>_xlfn.XLOOKUP(Tableau1[[#This Row],[TYPE DE PIECE]],Tableau4[MATIERE],Tableau4[SHORT TYPE],"",0,1)</f>
        <v/>
      </c>
      <c r="N4824">
        <f>IF(ISERR(FIND("DECOUPE",Tableau1[[#This Row],[DESIGNATION]])),"","NEED REF")</f>
        <v/>
      </c>
    </row>
    <row r="4825">
      <c r="B4825" t="n">
        <v>34409181</v>
      </c>
      <c r="C4825" s="2" t="n">
        <v>44231</v>
      </c>
      <c r="D4825" t="inlineStr">
        <is>
          <t>SPEC</t>
        </is>
      </c>
      <c r="E4825" t="inlineStr">
        <is>
          <t>SMT SUPPORT THERMO</t>
        </is>
      </c>
      <c r="F4825" t="inlineStr">
        <is>
          <t>GLAXOSMITH</t>
        </is>
      </c>
      <c r="G4825" t="inlineStr">
        <is>
          <t>GVS</t>
        </is>
      </c>
      <c r="H4825" t="inlineStr">
        <is>
          <t>BYPASS</t>
        </is>
      </c>
      <c r="J4825" t="inlineStr">
        <is>
          <t>JAWORSKI</t>
        </is>
      </c>
      <c r="K4825" t="inlineStr">
        <is>
          <t>METAL</t>
        </is>
      </c>
      <c r="L4825">
        <f>_xlfn.XLOOKUP(Tableau1[[#This Row],[TYPE DE PIECE]],Tableau4[MATIERE],Tableau4[SHORT TYPE],"",0,1)</f>
        <v/>
      </c>
      <c r="N4825">
        <f>IF(ISERR(FIND("DECOUPE",Tableau1[[#This Row],[DESIGNATION]])),"","NEED REF")</f>
        <v/>
      </c>
    </row>
    <row r="4826">
      <c r="B4826" t="n">
        <v>34409180</v>
      </c>
      <c r="C4826" s="2" t="n">
        <v>44231</v>
      </c>
      <c r="D4826" t="inlineStr">
        <is>
          <t>SPEC</t>
        </is>
      </c>
      <c r="E4826" t="inlineStr">
        <is>
          <t>SMT FLASQUE TFO</t>
        </is>
      </c>
      <c r="F4826" t="inlineStr">
        <is>
          <t>GLAXOSMITH</t>
        </is>
      </c>
      <c r="G4826" t="inlineStr">
        <is>
          <t>GVS</t>
        </is>
      </c>
      <c r="H4826" t="inlineStr">
        <is>
          <t>BYPASS</t>
        </is>
      </c>
      <c r="J4826" t="inlineStr">
        <is>
          <t>JAWORSKI</t>
        </is>
      </c>
      <c r="K4826" t="inlineStr">
        <is>
          <t>METAL</t>
        </is>
      </c>
      <c r="L4826">
        <f>_xlfn.XLOOKUP(Tableau1[[#This Row],[TYPE DE PIECE]],Tableau4[MATIERE],Tableau4[SHORT TYPE],"",0,1)</f>
        <v/>
      </c>
      <c r="N4826">
        <f>IF(ISERR(FIND("DECOUPE",Tableau1[[#This Row],[DESIGNATION]])),"","NEED REF")</f>
        <v/>
      </c>
    </row>
    <row r="4827">
      <c r="B4827" t="n">
        <v>34409179</v>
      </c>
      <c r="C4827" s="2" t="n">
        <v>44231</v>
      </c>
      <c r="D4827" t="inlineStr">
        <is>
          <t>SPEC</t>
        </is>
      </c>
      <c r="E4827" t="inlineStr">
        <is>
          <t>COP JDB</t>
        </is>
      </c>
      <c r="F4827" t="inlineStr">
        <is>
          <t>GLAXOSMITH</t>
        </is>
      </c>
      <c r="G4827" t="inlineStr">
        <is>
          <t>GVS</t>
        </is>
      </c>
      <c r="H4827" t="inlineStr">
        <is>
          <t>BYPASS</t>
        </is>
      </c>
      <c r="J4827" t="inlineStr">
        <is>
          <t>JAWORSKI</t>
        </is>
      </c>
      <c r="K4827" t="inlineStr">
        <is>
          <t>CUIVRE</t>
        </is>
      </c>
      <c r="L4827">
        <f>_xlfn.XLOOKUP(Tableau1[[#This Row],[TYPE DE PIECE]],Tableau4[MATIERE],Tableau4[SHORT TYPE],"",0,1)</f>
        <v/>
      </c>
      <c r="N4827">
        <f>IF(ISERR(FIND("DECOUPE",Tableau1[[#This Row],[DESIGNATION]])),"","NEED REF")</f>
        <v/>
      </c>
    </row>
    <row r="4828">
      <c r="B4828" t="n">
        <v>34409178</v>
      </c>
      <c r="C4828" s="2" t="n">
        <v>44231</v>
      </c>
      <c r="D4828" t="inlineStr">
        <is>
          <t>SPEC</t>
        </is>
      </c>
      <c r="E4828" t="inlineStr">
        <is>
          <t>SMT SUPPORT JDB</t>
        </is>
      </c>
      <c r="F4828" t="inlineStr">
        <is>
          <t>GLAXOSMITH</t>
        </is>
      </c>
      <c r="G4828" t="inlineStr">
        <is>
          <t>GVS</t>
        </is>
      </c>
      <c r="H4828" t="inlineStr">
        <is>
          <t>BYPASS</t>
        </is>
      </c>
      <c r="J4828" t="inlineStr">
        <is>
          <t>JAWORSKI</t>
        </is>
      </c>
      <c r="K4828" t="inlineStr">
        <is>
          <t>METAL</t>
        </is>
      </c>
      <c r="L4828">
        <f>_xlfn.XLOOKUP(Tableau1[[#This Row],[TYPE DE PIECE]],Tableau4[MATIERE],Tableau4[SHORT TYPE],"",0,1)</f>
        <v/>
      </c>
      <c r="N4828">
        <f>IF(ISERR(FIND("DECOUPE",Tableau1[[#This Row],[DESIGNATION]])),"","NEED REF")</f>
        <v/>
      </c>
    </row>
    <row r="4829">
      <c r="B4829" t="n">
        <v>34409177</v>
      </c>
      <c r="C4829" s="2" t="n">
        <v>44231</v>
      </c>
      <c r="D4829" t="inlineStr">
        <is>
          <t>SPEC</t>
        </is>
      </c>
      <c r="E4829" t="inlineStr">
        <is>
          <t>SMT EQUERRE BARRE DE TERRE</t>
        </is>
      </c>
      <c r="F4829" t="inlineStr">
        <is>
          <t>GLAXOSMITH</t>
        </is>
      </c>
      <c r="G4829" t="inlineStr">
        <is>
          <t>GVS</t>
        </is>
      </c>
      <c r="H4829" t="inlineStr">
        <is>
          <t>BYPASS</t>
        </is>
      </c>
      <c r="J4829" t="inlineStr">
        <is>
          <t>JAWORSKI</t>
        </is>
      </c>
      <c r="K4829" t="inlineStr">
        <is>
          <t>METAL</t>
        </is>
      </c>
      <c r="L4829">
        <f>_xlfn.XLOOKUP(Tableau1[[#This Row],[TYPE DE PIECE]],Tableau4[MATIERE],Tableau4[SHORT TYPE],"",0,1)</f>
        <v/>
      </c>
      <c r="N4829">
        <f>IF(ISERR(FIND("DECOUPE",Tableau1[[#This Row],[DESIGNATION]])),"","NEED REF")</f>
        <v/>
      </c>
    </row>
    <row r="4830">
      <c r="B4830" t="n">
        <v>34409176</v>
      </c>
      <c r="C4830" s="2" t="n">
        <v>44231</v>
      </c>
      <c r="D4830" t="inlineStr">
        <is>
          <t>SPEC</t>
        </is>
      </c>
      <c r="E4830" t="inlineStr">
        <is>
          <t>DECOUPE BARRE DE TERRE 574MM LVS04163</t>
        </is>
      </c>
      <c r="F4830" t="inlineStr">
        <is>
          <t>GLAXOSMITH</t>
        </is>
      </c>
      <c r="G4830" t="inlineStr">
        <is>
          <t>GVS</t>
        </is>
      </c>
      <c r="H4830" t="inlineStr">
        <is>
          <t>BYPASS</t>
        </is>
      </c>
      <c r="J4830" t="inlineStr">
        <is>
          <t>JAWORSKI</t>
        </is>
      </c>
      <c r="K4830" t="inlineStr">
        <is>
          <t>ETO</t>
        </is>
      </c>
      <c r="L4830">
        <f>_xlfn.XLOOKUP(Tableau1[[#This Row],[TYPE DE PIECE]],Tableau4[MATIERE],Tableau4[SHORT TYPE],"",0,1)</f>
        <v/>
      </c>
      <c r="N4830" t="inlineStr">
        <is>
          <t>LVS04163</t>
        </is>
      </c>
    </row>
    <row r="4831">
      <c r="B4831" t="n">
        <v>34409175</v>
      </c>
      <c r="C4831" s="2" t="n">
        <v>44231</v>
      </c>
      <c r="D4831" t="inlineStr">
        <is>
          <t>SPEC</t>
        </is>
      </c>
      <c r="E4831" t="inlineStr">
        <is>
          <t>SMT TRAVERSE 650MM FIX_CABLE</t>
        </is>
      </c>
      <c r="F4831" t="inlineStr">
        <is>
          <t>GLAXOSMITH</t>
        </is>
      </c>
      <c r="G4831" t="inlineStr">
        <is>
          <t>GVS</t>
        </is>
      </c>
      <c r="H4831" t="inlineStr">
        <is>
          <t>BYPASS</t>
        </is>
      </c>
      <c r="J4831" t="inlineStr">
        <is>
          <t>JAWORSKI</t>
        </is>
      </c>
      <c r="K4831" t="inlineStr">
        <is>
          <t>METAL</t>
        </is>
      </c>
      <c r="L4831">
        <f>_xlfn.XLOOKUP(Tableau1[[#This Row],[TYPE DE PIECE]],Tableau4[MATIERE],Tableau4[SHORT TYPE],"",0,1)</f>
        <v/>
      </c>
      <c r="N4831">
        <f>IF(ISERR(FIND("DECOUPE",Tableau1[[#This Row],[DESIGNATION]])),"","NEED REF")</f>
        <v/>
      </c>
    </row>
    <row r="4832">
      <c r="B4832" t="n">
        <v>34409174</v>
      </c>
      <c r="C4832" s="2" t="n">
        <v>44231</v>
      </c>
      <c r="D4832" t="inlineStr">
        <is>
          <t>SPEC</t>
        </is>
      </c>
      <c r="E4832" t="inlineStr">
        <is>
          <t>SMT TRAVERSE 650MM OMEGA</t>
        </is>
      </c>
      <c r="F4832" t="inlineStr">
        <is>
          <t>GLAXOSMITH</t>
        </is>
      </c>
      <c r="G4832" t="inlineStr">
        <is>
          <t>GVS</t>
        </is>
      </c>
      <c r="H4832" t="inlineStr">
        <is>
          <t>BYPASS</t>
        </is>
      </c>
      <c r="J4832" t="inlineStr">
        <is>
          <t>JAWORSKI</t>
        </is>
      </c>
      <c r="K4832" t="inlineStr">
        <is>
          <t>METAL</t>
        </is>
      </c>
      <c r="L4832">
        <f>_xlfn.XLOOKUP(Tableau1[[#This Row],[TYPE DE PIECE]],Tableau4[MATIERE],Tableau4[SHORT TYPE],"",0,1)</f>
        <v/>
      </c>
      <c r="N4832">
        <f>IF(ISERR(FIND("DECOUPE",Tableau1[[#This Row],[DESIGNATION]])),"","NEED REF")</f>
        <v/>
      </c>
    </row>
    <row r="4833">
      <c r="B4833" t="n">
        <v>34409173</v>
      </c>
      <c r="C4833" s="2" t="n">
        <v>44231</v>
      </c>
      <c r="D4833" t="inlineStr">
        <is>
          <t>SPEC</t>
        </is>
      </c>
      <c r="E4833" t="inlineStr">
        <is>
          <t>SMT BRIDE TRAVERSE 650MM</t>
        </is>
      </c>
      <c r="F4833" t="inlineStr">
        <is>
          <t>GLAXOSMITH</t>
        </is>
      </c>
      <c r="G4833" t="inlineStr">
        <is>
          <t>GVS</t>
        </is>
      </c>
      <c r="H4833" t="inlineStr">
        <is>
          <t>BYPASS</t>
        </is>
      </c>
      <c r="J4833" t="inlineStr">
        <is>
          <t>JAWORSKI</t>
        </is>
      </c>
      <c r="K4833" t="inlineStr">
        <is>
          <t>METAL</t>
        </is>
      </c>
      <c r="L4833">
        <f>_xlfn.XLOOKUP(Tableau1[[#This Row],[TYPE DE PIECE]],Tableau4[MATIERE],Tableau4[SHORT TYPE],"",0,1)</f>
        <v/>
      </c>
      <c r="N4833">
        <f>IF(ISERR(FIND("DECOUPE",Tableau1[[#This Row],[DESIGNATION]])),"","NEED REF")</f>
        <v/>
      </c>
    </row>
    <row r="4834">
      <c r="B4834" t="n">
        <v>34409172</v>
      </c>
      <c r="C4834" s="2" t="n">
        <v>44231</v>
      </c>
      <c r="D4834" t="inlineStr">
        <is>
          <t>SPEC</t>
        </is>
      </c>
      <c r="E4834" t="inlineStr">
        <is>
          <t>SMT SUPPORT IM400</t>
        </is>
      </c>
      <c r="F4834" t="inlineStr">
        <is>
          <t>GLAXOSMITH</t>
        </is>
      </c>
      <c r="G4834" t="inlineStr">
        <is>
          <t>GVS</t>
        </is>
      </c>
      <c r="H4834" t="inlineStr">
        <is>
          <t>BYPASS</t>
        </is>
      </c>
      <c r="J4834" t="inlineStr">
        <is>
          <t>JAWORSKI</t>
        </is>
      </c>
      <c r="K4834" t="inlineStr">
        <is>
          <t>METAL</t>
        </is>
      </c>
      <c r="L4834">
        <f>_xlfn.XLOOKUP(Tableau1[[#This Row],[TYPE DE PIECE]],Tableau4[MATIERE],Tableau4[SHORT TYPE],"",0,1)</f>
        <v/>
      </c>
      <c r="N4834">
        <f>IF(ISERR(FIND("DECOUPE",Tableau1[[#This Row],[DESIGNATION]])),"","NEED REF")</f>
        <v/>
      </c>
    </row>
    <row r="4835">
      <c r="B4835" t="n">
        <v>34409171</v>
      </c>
      <c r="C4835" s="2" t="n">
        <v>44231</v>
      </c>
      <c r="D4835" t="inlineStr">
        <is>
          <t>SPEC</t>
        </is>
      </c>
      <c r="E4835" t="inlineStr">
        <is>
          <t>CABLE REINFORCEMENT HALO SMALL SIZE</t>
        </is>
      </c>
      <c r="J4835" t="inlineStr">
        <is>
          <t>MATRION</t>
        </is>
      </c>
      <c r="K4835" t="inlineStr">
        <is>
          <t>PLASTIQUE</t>
        </is>
      </c>
      <c r="L4835">
        <f>_xlfn.XLOOKUP(Tableau1[[#This Row],[TYPE DE PIECE]],Tableau4[MATIERE],Tableau4[SHORT TYPE],"",0,1)</f>
        <v/>
      </c>
      <c r="N4835">
        <f>IF(ISERR(FIND("DECOUPE",Tableau1[[#This Row],[DESIGNATION]])),"","NEED REF")</f>
        <v/>
      </c>
    </row>
    <row r="4836">
      <c r="B4836" t="n">
        <v>34409170</v>
      </c>
      <c r="C4836" s="2" t="n">
        <v>44230</v>
      </c>
      <c r="D4836" t="inlineStr">
        <is>
          <t>SPEC</t>
        </is>
      </c>
      <c r="E4836" t="inlineStr">
        <is>
          <t>COP NSX250 4</t>
        </is>
      </c>
      <c r="H4836" t="inlineStr">
        <is>
          <t>PMM</t>
        </is>
      </c>
      <c r="J4836" t="inlineStr">
        <is>
          <t>MATRION</t>
        </is>
      </c>
      <c r="K4836" t="inlineStr">
        <is>
          <t>CUIVRE</t>
        </is>
      </c>
      <c r="L4836">
        <f>_xlfn.XLOOKUP(Tableau1[[#This Row],[TYPE DE PIECE]],Tableau4[MATIERE],Tableau4[SHORT TYPE],"",0,1)</f>
        <v/>
      </c>
      <c r="N4836">
        <f>IF(ISERR(FIND("DECOUPE",Tableau1[[#This Row],[DESIGNATION]])),"","NEED REF")</f>
        <v/>
      </c>
    </row>
    <row r="4837">
      <c r="B4837" t="n">
        <v>34409169</v>
      </c>
      <c r="C4837" s="2" t="n">
        <v>44230</v>
      </c>
      <c r="D4837" t="inlineStr">
        <is>
          <t>SPEC</t>
        </is>
      </c>
      <c r="E4837" t="inlineStr">
        <is>
          <t>COP NSX250 3</t>
        </is>
      </c>
      <c r="H4837" t="inlineStr">
        <is>
          <t>PMM</t>
        </is>
      </c>
      <c r="J4837" t="inlineStr">
        <is>
          <t>MATRION</t>
        </is>
      </c>
      <c r="K4837" t="inlineStr">
        <is>
          <t>CUIVRE</t>
        </is>
      </c>
      <c r="L4837">
        <f>_xlfn.XLOOKUP(Tableau1[[#This Row],[TYPE DE PIECE]],Tableau4[MATIERE],Tableau4[SHORT TYPE],"",0,1)</f>
        <v/>
      </c>
      <c r="N4837">
        <f>IF(ISERR(FIND("DECOUPE",Tableau1[[#This Row],[DESIGNATION]])),"","NEED REF")</f>
        <v/>
      </c>
    </row>
    <row r="4838">
      <c r="B4838" t="n">
        <v>34409168</v>
      </c>
      <c r="C4838" s="2" t="n">
        <v>44230</v>
      </c>
      <c r="D4838" t="inlineStr">
        <is>
          <t>SPEC</t>
        </is>
      </c>
      <c r="E4838" t="inlineStr">
        <is>
          <t>COP NSX250 2</t>
        </is>
      </c>
      <c r="H4838" t="inlineStr">
        <is>
          <t>PMM</t>
        </is>
      </c>
      <c r="J4838" t="inlineStr">
        <is>
          <t>MATRION</t>
        </is>
      </c>
      <c r="K4838" t="inlineStr">
        <is>
          <t>CUIVRE</t>
        </is>
      </c>
      <c r="L4838">
        <f>_xlfn.XLOOKUP(Tableau1[[#This Row],[TYPE DE PIECE]],Tableau4[MATIERE],Tableau4[SHORT TYPE],"",0,1)</f>
        <v/>
      </c>
      <c r="N4838">
        <f>IF(ISERR(FIND("DECOUPE",Tableau1[[#This Row],[DESIGNATION]])),"","NEED REF")</f>
        <v/>
      </c>
    </row>
    <row r="4839">
      <c r="B4839" t="n">
        <v>34409167</v>
      </c>
      <c r="C4839" s="2" t="n">
        <v>44230</v>
      </c>
      <c r="D4839" t="inlineStr">
        <is>
          <t>SPEC</t>
        </is>
      </c>
      <c r="E4839" t="inlineStr">
        <is>
          <t>COP NSX250 1</t>
        </is>
      </c>
      <c r="H4839" t="inlineStr">
        <is>
          <t>PMM</t>
        </is>
      </c>
      <c r="J4839" t="inlineStr">
        <is>
          <t>MATRION</t>
        </is>
      </c>
      <c r="K4839" t="inlineStr">
        <is>
          <t>CUIVRE</t>
        </is>
      </c>
      <c r="L4839">
        <f>_xlfn.XLOOKUP(Tableau1[[#This Row],[TYPE DE PIECE]],Tableau4[MATIERE],Tableau4[SHORT TYPE],"",0,1)</f>
        <v/>
      </c>
      <c r="N4839">
        <f>IF(ISERR(FIND("DECOUPE",Tableau1[[#This Row],[DESIGNATION]])),"","NEED REF")</f>
        <v/>
      </c>
    </row>
    <row r="4840">
      <c r="B4840" t="n">
        <v>34409166</v>
      </c>
      <c r="C4840" s="2" t="n">
        <v>44230</v>
      </c>
      <c r="D4840" t="inlineStr">
        <is>
          <t>SPEC</t>
        </is>
      </c>
      <c r="E4840" t="inlineStr">
        <is>
          <t>COP JDB BAS</t>
        </is>
      </c>
      <c r="H4840" t="inlineStr">
        <is>
          <t>PMM</t>
        </is>
      </c>
      <c r="J4840" t="inlineStr">
        <is>
          <t>MATRION</t>
        </is>
      </c>
      <c r="K4840" t="inlineStr">
        <is>
          <t>CUIVRE</t>
        </is>
      </c>
      <c r="L4840">
        <f>_xlfn.XLOOKUP(Tableau1[[#This Row],[TYPE DE PIECE]],Tableau4[MATIERE],Tableau4[SHORT TYPE],"",0,1)</f>
        <v/>
      </c>
      <c r="N4840">
        <f>IF(ISERR(FIND("DECOUPE",Tableau1[[#This Row],[DESIGNATION]])),"","NEED REF")</f>
        <v/>
      </c>
    </row>
    <row r="4841">
      <c r="B4841" t="n">
        <v>34409165</v>
      </c>
      <c r="C4841" s="2" t="n">
        <v>44230</v>
      </c>
      <c r="D4841" t="inlineStr">
        <is>
          <t>SPEC</t>
        </is>
      </c>
      <c r="E4841" t="inlineStr">
        <is>
          <t>COP LIAISON ENTRE JDB</t>
        </is>
      </c>
      <c r="H4841" t="inlineStr">
        <is>
          <t>PMM</t>
        </is>
      </c>
      <c r="J4841" t="inlineStr">
        <is>
          <t>MATRION</t>
        </is>
      </c>
      <c r="K4841" t="inlineStr">
        <is>
          <t>CUIVRE</t>
        </is>
      </c>
      <c r="L4841">
        <f>_xlfn.XLOOKUP(Tableau1[[#This Row],[TYPE DE PIECE]],Tableau4[MATIERE],Tableau4[SHORT TYPE],"",0,1)</f>
        <v/>
      </c>
      <c r="N4841">
        <f>IF(ISERR(FIND("DECOUPE",Tableau1[[#This Row],[DESIGNATION]])),"","NEED REF")</f>
        <v/>
      </c>
    </row>
    <row r="4842">
      <c r="B4842" t="n">
        <v>34409164</v>
      </c>
      <c r="C4842" s="2" t="n">
        <v>44230</v>
      </c>
      <c r="D4842" t="inlineStr">
        <is>
          <t>SPEC</t>
        </is>
      </c>
      <c r="E4842" t="inlineStr">
        <is>
          <t>COP NSX400 4</t>
        </is>
      </c>
      <c r="H4842" t="inlineStr">
        <is>
          <t>PMM</t>
        </is>
      </c>
      <c r="J4842" t="inlineStr">
        <is>
          <t>MATRION</t>
        </is>
      </c>
      <c r="K4842" t="inlineStr">
        <is>
          <t>CUIVRE</t>
        </is>
      </c>
      <c r="L4842">
        <f>_xlfn.XLOOKUP(Tableau1[[#This Row],[TYPE DE PIECE]],Tableau4[MATIERE],Tableau4[SHORT TYPE],"",0,1)</f>
        <v/>
      </c>
      <c r="N4842">
        <f>IF(ISERR(FIND("DECOUPE",Tableau1[[#This Row],[DESIGNATION]])),"","NEED REF")</f>
        <v/>
      </c>
    </row>
    <row r="4843">
      <c r="B4843" t="n">
        <v>34409163</v>
      </c>
      <c r="C4843" s="2" t="n">
        <v>44230</v>
      </c>
      <c r="D4843" t="inlineStr">
        <is>
          <t>SPEC</t>
        </is>
      </c>
      <c r="E4843" t="inlineStr">
        <is>
          <t>COP NSX400 3</t>
        </is>
      </c>
      <c r="H4843" t="inlineStr">
        <is>
          <t>PMM</t>
        </is>
      </c>
      <c r="J4843" t="inlineStr">
        <is>
          <t>MATRION</t>
        </is>
      </c>
      <c r="K4843" t="inlineStr">
        <is>
          <t>CUIVRE</t>
        </is>
      </c>
      <c r="L4843">
        <f>_xlfn.XLOOKUP(Tableau1[[#This Row],[TYPE DE PIECE]],Tableau4[MATIERE],Tableau4[SHORT TYPE],"",0,1)</f>
        <v/>
      </c>
      <c r="N4843">
        <f>IF(ISERR(FIND("DECOUPE",Tableau1[[#This Row],[DESIGNATION]])),"","NEED REF")</f>
        <v/>
      </c>
    </row>
    <row r="4844">
      <c r="B4844" t="n">
        <v>34409162</v>
      </c>
      <c r="C4844" s="2" t="n">
        <v>44230</v>
      </c>
      <c r="D4844" t="inlineStr">
        <is>
          <t>SPEC</t>
        </is>
      </c>
      <c r="E4844" t="inlineStr">
        <is>
          <t>COP NSX400 2</t>
        </is>
      </c>
      <c r="H4844" t="inlineStr">
        <is>
          <t>PMM</t>
        </is>
      </c>
      <c r="J4844" t="inlineStr">
        <is>
          <t>MATRION</t>
        </is>
      </c>
      <c r="K4844" t="inlineStr">
        <is>
          <t>CUIVRE</t>
        </is>
      </c>
      <c r="L4844">
        <f>_xlfn.XLOOKUP(Tableau1[[#This Row],[TYPE DE PIECE]],Tableau4[MATIERE],Tableau4[SHORT TYPE],"",0,1)</f>
        <v/>
      </c>
      <c r="N4844">
        <f>IF(ISERR(FIND("DECOUPE",Tableau1[[#This Row],[DESIGNATION]])),"","NEED REF")</f>
        <v/>
      </c>
    </row>
    <row r="4845">
      <c r="B4845" t="n">
        <v>34409161</v>
      </c>
      <c r="C4845" s="2" t="n">
        <v>44230</v>
      </c>
      <c r="D4845" t="inlineStr">
        <is>
          <t>SPEC</t>
        </is>
      </c>
      <c r="E4845" t="inlineStr">
        <is>
          <t>COP NSX400 1</t>
        </is>
      </c>
      <c r="H4845" t="inlineStr">
        <is>
          <t>PMM</t>
        </is>
      </c>
      <c r="J4845" t="inlineStr">
        <is>
          <t>MATRION</t>
        </is>
      </c>
      <c r="K4845" t="inlineStr">
        <is>
          <t>CUIVRE</t>
        </is>
      </c>
      <c r="L4845">
        <f>_xlfn.XLOOKUP(Tableau1[[#This Row],[TYPE DE PIECE]],Tableau4[MATIERE],Tableau4[SHORT TYPE],"",0,1)</f>
        <v/>
      </c>
      <c r="N4845">
        <f>IF(ISERR(FIND("DECOUPE",Tableau1[[#This Row],[DESIGNATION]])),"","NEED REF")</f>
        <v/>
      </c>
    </row>
    <row r="4846">
      <c r="B4846" t="n">
        <v>34409160</v>
      </c>
      <c r="C4846" s="2" t="n">
        <v>44230</v>
      </c>
      <c r="D4846" t="inlineStr">
        <is>
          <t>SPEC</t>
        </is>
      </c>
      <c r="E4846" t="inlineStr">
        <is>
          <t>COP NSX630 4</t>
        </is>
      </c>
      <c r="H4846" t="inlineStr">
        <is>
          <t>PMM</t>
        </is>
      </c>
      <c r="J4846" t="inlineStr">
        <is>
          <t>MATRION</t>
        </is>
      </c>
      <c r="K4846" t="inlineStr">
        <is>
          <t>CUIVRE</t>
        </is>
      </c>
      <c r="L4846">
        <f>_xlfn.XLOOKUP(Tableau1[[#This Row],[TYPE DE PIECE]],Tableau4[MATIERE],Tableau4[SHORT TYPE],"",0,1)</f>
        <v/>
      </c>
      <c r="N4846">
        <f>IF(ISERR(FIND("DECOUPE",Tableau1[[#This Row],[DESIGNATION]])),"","NEED REF")</f>
        <v/>
      </c>
    </row>
    <row r="4847">
      <c r="B4847" t="n">
        <v>34409159</v>
      </c>
      <c r="C4847" s="2" t="n">
        <v>44230</v>
      </c>
      <c r="D4847" t="inlineStr">
        <is>
          <t>SPEC</t>
        </is>
      </c>
      <c r="E4847" t="inlineStr">
        <is>
          <t>COP NSX630 3</t>
        </is>
      </c>
      <c r="H4847" t="inlineStr">
        <is>
          <t>PMM</t>
        </is>
      </c>
      <c r="J4847" t="inlineStr">
        <is>
          <t>MATRION</t>
        </is>
      </c>
      <c r="K4847" t="inlineStr">
        <is>
          <t>CUIVRE</t>
        </is>
      </c>
      <c r="L4847">
        <f>_xlfn.XLOOKUP(Tableau1[[#This Row],[TYPE DE PIECE]],Tableau4[MATIERE],Tableau4[SHORT TYPE],"",0,1)</f>
        <v/>
      </c>
      <c r="N4847">
        <f>IF(ISERR(FIND("DECOUPE",Tableau1[[#This Row],[DESIGNATION]])),"","NEED REF")</f>
        <v/>
      </c>
    </row>
    <row r="4848">
      <c r="B4848" t="n">
        <v>34409158</v>
      </c>
      <c r="C4848" s="2" t="n">
        <v>44230</v>
      </c>
      <c r="D4848" t="inlineStr">
        <is>
          <t>SPEC</t>
        </is>
      </c>
      <c r="E4848" t="inlineStr">
        <is>
          <t>COP NSX630 2</t>
        </is>
      </c>
      <c r="H4848" t="inlineStr">
        <is>
          <t>PMM</t>
        </is>
      </c>
      <c r="J4848" t="inlineStr">
        <is>
          <t>MATRION</t>
        </is>
      </c>
      <c r="K4848" t="inlineStr">
        <is>
          <t>CUIVRE</t>
        </is>
      </c>
      <c r="L4848">
        <f>_xlfn.XLOOKUP(Tableau1[[#This Row],[TYPE DE PIECE]],Tableau4[MATIERE],Tableau4[SHORT TYPE],"",0,1)</f>
        <v/>
      </c>
      <c r="N4848">
        <f>IF(ISERR(FIND("DECOUPE",Tableau1[[#This Row],[DESIGNATION]])),"","NEED REF")</f>
        <v/>
      </c>
    </row>
    <row r="4849">
      <c r="B4849" t="n">
        <v>34409157</v>
      </c>
      <c r="C4849" s="2" t="n">
        <v>44230</v>
      </c>
      <c r="D4849" t="inlineStr">
        <is>
          <t>SPEC</t>
        </is>
      </c>
      <c r="E4849" t="inlineStr">
        <is>
          <t>COP NSX630 1</t>
        </is>
      </c>
      <c r="H4849" t="inlineStr">
        <is>
          <t>PMM</t>
        </is>
      </c>
      <c r="J4849" t="inlineStr">
        <is>
          <t>MATRION</t>
        </is>
      </c>
      <c r="K4849" t="inlineStr">
        <is>
          <t>CUIVRE</t>
        </is>
      </c>
      <c r="L4849">
        <f>_xlfn.XLOOKUP(Tableau1[[#This Row],[TYPE DE PIECE]],Tableau4[MATIERE],Tableau4[SHORT TYPE],"",0,1)</f>
        <v/>
      </c>
      <c r="N4849">
        <f>IF(ISERR(FIND("DECOUPE",Tableau1[[#This Row],[DESIGNATION]])),"","NEED REF")</f>
        <v/>
      </c>
    </row>
    <row r="4850">
      <c r="B4850" t="n">
        <v>34409156</v>
      </c>
      <c r="C4850" s="2" t="n">
        <v>44230</v>
      </c>
      <c r="D4850" t="inlineStr">
        <is>
          <t>SPEC</t>
        </is>
      </c>
      <c r="E4850" t="inlineStr">
        <is>
          <t>PLA BRIDAGE CUIVRE 2 - GP03</t>
        </is>
      </c>
      <c r="H4850" t="inlineStr">
        <is>
          <t>PMM</t>
        </is>
      </c>
      <c r="J4850" t="inlineStr">
        <is>
          <t>MATRION</t>
        </is>
      </c>
      <c r="K4850" t="inlineStr">
        <is>
          <t>PLASTIQUE</t>
        </is>
      </c>
      <c r="L4850">
        <f>_xlfn.XLOOKUP(Tableau1[[#This Row],[TYPE DE PIECE]],Tableau4[MATIERE],Tableau4[SHORT TYPE],"",0,1)</f>
        <v/>
      </c>
      <c r="N4850">
        <f>IF(ISERR(FIND("DECOUPE",Tableau1[[#This Row],[DESIGNATION]])),"","NEED REF")</f>
        <v/>
      </c>
    </row>
    <row r="4851">
      <c r="B4851" t="n">
        <v>34409155</v>
      </c>
      <c r="C4851" s="2" t="n">
        <v>44230</v>
      </c>
      <c r="D4851" t="inlineStr">
        <is>
          <t>SPEC</t>
        </is>
      </c>
      <c r="E4851" t="inlineStr">
        <is>
          <t>PLA BRIDAGE CUIVRE 1 - GP03</t>
        </is>
      </c>
      <c r="H4851" t="inlineStr">
        <is>
          <t>PMM</t>
        </is>
      </c>
      <c r="J4851" t="inlineStr">
        <is>
          <t>MATRION</t>
        </is>
      </c>
      <c r="K4851" t="inlineStr">
        <is>
          <t>PLASTIQUE</t>
        </is>
      </c>
      <c r="L4851">
        <f>_xlfn.XLOOKUP(Tableau1[[#This Row],[TYPE DE PIECE]],Tableau4[MATIERE],Tableau4[SHORT TYPE],"",0,1)</f>
        <v/>
      </c>
      <c r="N4851">
        <f>IF(ISERR(FIND("DECOUPE",Tableau1[[#This Row],[DESIGNATION]])),"","NEED REF")</f>
        <v/>
      </c>
    </row>
    <row r="4852">
      <c r="B4852" t="n">
        <v>34409154</v>
      </c>
      <c r="C4852" s="2" t="n">
        <v>44229</v>
      </c>
      <c r="D4852" t="inlineStr">
        <is>
          <t>SPEC</t>
        </is>
      </c>
      <c r="E4852" t="inlineStr">
        <is>
          <t>SMT PLASTRON BOITE A CLE</t>
        </is>
      </c>
      <c r="G4852" t="inlineStr">
        <is>
          <t>G5K</t>
        </is>
      </c>
      <c r="H4852" t="inlineStr">
        <is>
          <t>UPS</t>
        </is>
      </c>
      <c r="J4852" t="inlineStr">
        <is>
          <t>MATRION</t>
        </is>
      </c>
      <c r="K4852" t="inlineStr">
        <is>
          <t>METAL</t>
        </is>
      </c>
      <c r="L4852">
        <f>_xlfn.XLOOKUP(Tableau1[[#This Row],[TYPE DE PIECE]],Tableau4[MATIERE],Tableau4[SHORT TYPE],"",0,1)</f>
        <v/>
      </c>
      <c r="N4852">
        <f>IF(ISERR(FIND("DECOUPE",Tableau1[[#This Row],[DESIGNATION]])),"","NEED REF")</f>
        <v/>
      </c>
    </row>
    <row r="4853">
      <c r="B4853" t="n">
        <v>34409153</v>
      </c>
      <c r="C4853" s="2" t="n">
        <v>44229</v>
      </c>
      <c r="D4853" t="inlineStr">
        <is>
          <t>SPEC</t>
        </is>
      </c>
      <c r="E4853" t="inlineStr">
        <is>
          <t>SMT DECOUPE PLASTRON</t>
        </is>
      </c>
      <c r="G4853" t="inlineStr">
        <is>
          <t>G5K</t>
        </is>
      </c>
      <c r="H4853" t="inlineStr">
        <is>
          <t>UPS</t>
        </is>
      </c>
      <c r="J4853" t="inlineStr">
        <is>
          <t>MATRION</t>
        </is>
      </c>
      <c r="K4853" t="inlineStr">
        <is>
          <t>METAL</t>
        </is>
      </c>
      <c r="L4853">
        <f>_xlfn.XLOOKUP(Tableau1[[#This Row],[TYPE DE PIECE]],Tableau4[MATIERE],Tableau4[SHORT TYPE],"",0,1)</f>
        <v/>
      </c>
      <c r="N4853">
        <f>IF(ISERR(FIND("DECOUPE",Tableau1[[#This Row],[DESIGNATION]])),"","NEED REF")</f>
        <v/>
      </c>
    </row>
    <row r="4854">
      <c r="B4854" t="n">
        <v>34409152</v>
      </c>
      <c r="C4854" s="2" t="n">
        <v>44229</v>
      </c>
      <c r="D4854" t="inlineStr">
        <is>
          <t>SPEC</t>
        </is>
      </c>
      <c r="E4854" t="inlineStr">
        <is>
          <t>SMT SUPPORT BOITE A CLE</t>
        </is>
      </c>
      <c r="G4854" t="inlineStr">
        <is>
          <t>G5K</t>
        </is>
      </c>
      <c r="H4854" t="inlineStr">
        <is>
          <t>UPS</t>
        </is>
      </c>
      <c r="J4854" t="inlineStr">
        <is>
          <t>MATRION</t>
        </is>
      </c>
      <c r="K4854" t="inlineStr">
        <is>
          <t>METAL</t>
        </is>
      </c>
      <c r="L4854">
        <f>_xlfn.XLOOKUP(Tableau1[[#This Row],[TYPE DE PIECE]],Tableau4[MATIERE],Tableau4[SHORT TYPE],"",0,1)</f>
        <v/>
      </c>
      <c r="N4854">
        <f>IF(ISERR(FIND("DECOUPE",Tableau1[[#This Row],[DESIGNATION]])),"","NEED REF")</f>
        <v/>
      </c>
    </row>
    <row r="4855">
      <c r="B4855" t="n">
        <v>34409151</v>
      </c>
      <c r="C4855" s="2" t="n">
        <v>44223</v>
      </c>
      <c r="D4855" t="inlineStr">
        <is>
          <t>SPEC</t>
        </is>
      </c>
      <c r="E4855" t="inlineStr">
        <is>
          <t>COMPACT NS1250NA 4P PRISE ARR + ROT + KEY</t>
        </is>
      </c>
      <c r="G4855" t="inlineStr">
        <is>
          <t>GVX</t>
        </is>
      </c>
      <c r="H4855" t="inlineStr">
        <is>
          <t>BYPASS</t>
        </is>
      </c>
      <c r="J4855" t="inlineStr">
        <is>
          <t>MATRION</t>
        </is>
      </c>
      <c r="K4855" t="inlineStr">
        <is>
          <t>=S=</t>
        </is>
      </c>
      <c r="L4855">
        <f>_xlfn.XLOOKUP(Tableau1[[#This Row],[TYPE DE PIECE]],Tableau4[MATIERE],Tableau4[SHORT TYPE],"",0,1)</f>
        <v/>
      </c>
      <c r="N4855">
        <f>IF(ISERR(FIND("DECOUPE",Tableau1[[#This Row],[DESIGNATION]])),"","NEED REF")</f>
        <v/>
      </c>
    </row>
    <row r="4856">
      <c r="B4856" t="n">
        <v>34409150</v>
      </c>
      <c r="C4856" s="2" t="n">
        <v>44222</v>
      </c>
      <c r="D4856" t="inlineStr">
        <is>
          <t>SPEC</t>
        </is>
      </c>
      <c r="E4856" t="inlineStr">
        <is>
          <t>KIT FILERIE BBC QATE67547</t>
        </is>
      </c>
      <c r="G4856" t="inlineStr">
        <is>
          <t>GVX</t>
        </is>
      </c>
      <c r="H4856" t="inlineStr">
        <is>
          <t>BATTERY</t>
        </is>
      </c>
      <c r="J4856" t="inlineStr">
        <is>
          <t>MONGELLI</t>
        </is>
      </c>
      <c r="K4856" t="inlineStr">
        <is>
          <t>FILERIE</t>
        </is>
      </c>
      <c r="L4856">
        <f>_xlfn.XLOOKUP(Tableau1[[#This Row],[TYPE DE PIECE]],Tableau4[MATIERE],Tableau4[SHORT TYPE],"",0,1)</f>
        <v/>
      </c>
      <c r="N4856">
        <f>IF(ISERR(FIND("DECOUPE",Tableau1[[#This Row],[DESIGNATION]])),"","NEED REF")</f>
        <v/>
      </c>
    </row>
    <row r="4857">
      <c r="B4857" t="n">
        <v>34409149</v>
      </c>
      <c r="C4857" s="2" t="n">
        <v>44218</v>
      </c>
      <c r="D4857" t="inlineStr">
        <is>
          <t>SPEC</t>
        </is>
      </c>
      <c r="E4857" t="inlineStr">
        <is>
          <t>SMT PLAQUE PE</t>
        </is>
      </c>
      <c r="G4857" t="inlineStr">
        <is>
          <t>GVX</t>
        </is>
      </c>
      <c r="H4857" t="inlineStr">
        <is>
          <t>IO</t>
        </is>
      </c>
      <c r="J4857" t="inlineStr">
        <is>
          <t>MATRION</t>
        </is>
      </c>
      <c r="K4857" t="inlineStr">
        <is>
          <t>METAL</t>
        </is>
      </c>
      <c r="L4857">
        <f>_xlfn.XLOOKUP(Tableau1[[#This Row],[TYPE DE PIECE]],Tableau4[MATIERE],Tableau4[SHORT TYPE],"",0,1)</f>
        <v/>
      </c>
      <c r="N4857">
        <f>IF(ISERR(FIND("DECOUPE",Tableau1[[#This Row],[DESIGNATION]])),"","NEED REF")</f>
        <v/>
      </c>
    </row>
    <row r="4858">
      <c r="B4858" t="n">
        <v>34409148</v>
      </c>
      <c r="C4858" s="2" t="n">
        <v>44218</v>
      </c>
      <c r="D4858" t="inlineStr">
        <is>
          <t>SPEC</t>
        </is>
      </c>
      <c r="E4858" t="inlineStr">
        <is>
          <t>SMT PLATEAU KTA1600 POUR PLAQUE PRESSE ETOUPE</t>
        </is>
      </c>
      <c r="G4858" t="inlineStr">
        <is>
          <t>GVX</t>
        </is>
      </c>
      <c r="H4858" t="inlineStr">
        <is>
          <t>IO</t>
        </is>
      </c>
      <c r="J4858" t="inlineStr">
        <is>
          <t>MATRION</t>
        </is>
      </c>
      <c r="K4858" t="inlineStr">
        <is>
          <t>METAL</t>
        </is>
      </c>
      <c r="L4858">
        <f>_xlfn.XLOOKUP(Tableau1[[#This Row],[TYPE DE PIECE]],Tableau4[MATIERE],Tableau4[SHORT TYPE],"",0,1)</f>
        <v/>
      </c>
      <c r="N4858">
        <f>IF(ISERR(FIND("DECOUPE",Tableau1[[#This Row],[DESIGNATION]])),"","NEED REF")</f>
        <v/>
      </c>
    </row>
    <row r="4859">
      <c r="B4859" t="n">
        <v>34409147</v>
      </c>
      <c r="C4859" s="2" t="n">
        <v>44218</v>
      </c>
      <c r="D4859" t="inlineStr">
        <is>
          <t>SPEC</t>
        </is>
      </c>
      <c r="E4859" t="inlineStr">
        <is>
          <t>COP PE KTA1600 LARGEUR REDUITE</t>
        </is>
      </c>
      <c r="G4859" t="inlineStr">
        <is>
          <t>GVX</t>
        </is>
      </c>
      <c r="H4859" t="inlineStr">
        <is>
          <t>IO</t>
        </is>
      </c>
      <c r="J4859" t="inlineStr">
        <is>
          <t>MATRION</t>
        </is>
      </c>
      <c r="K4859" t="inlineStr">
        <is>
          <t>CUIVRE</t>
        </is>
      </c>
      <c r="L4859">
        <f>_xlfn.XLOOKUP(Tableau1[[#This Row],[TYPE DE PIECE]],Tableau4[MATIERE],Tableau4[SHORT TYPE],"",0,1)</f>
        <v/>
      </c>
      <c r="N4859">
        <f>IF(ISERR(FIND("DECOUPE",Tableau1[[#This Row],[DESIGNATION]])),"","NEED REF")</f>
        <v/>
      </c>
    </row>
    <row r="4860">
      <c r="B4860" t="n">
        <v>34409146</v>
      </c>
      <c r="C4860" s="2" t="n">
        <v>44217</v>
      </c>
      <c r="D4860" t="inlineStr">
        <is>
          <t>SPEC</t>
        </is>
      </c>
      <c r="E4860" t="inlineStr">
        <is>
          <t>CABLE REINFORCEMENT HALO</t>
        </is>
      </c>
      <c r="G4860" t="inlineStr">
        <is>
          <t>GVX</t>
        </is>
      </c>
      <c r="H4860" t="inlineStr">
        <is>
          <t>IO</t>
        </is>
      </c>
      <c r="J4860" t="inlineStr">
        <is>
          <t>MATRION</t>
        </is>
      </c>
      <c r="K4860" t="inlineStr">
        <is>
          <t>PLASTIQUE</t>
        </is>
      </c>
      <c r="L4860">
        <f>_xlfn.XLOOKUP(Tableau1[[#This Row],[TYPE DE PIECE]],Tableau4[MATIERE],Tableau4[SHORT TYPE],"",0,1)</f>
        <v/>
      </c>
      <c r="N4860">
        <f>IF(ISERR(FIND("DECOUPE",Tableau1[[#This Row],[DESIGNATION]])),"","NEED REF")</f>
        <v/>
      </c>
    </row>
    <row r="4861">
      <c r="B4861" t="n">
        <v>34409145</v>
      </c>
      <c r="C4861" s="2" t="n">
        <v>44217</v>
      </c>
      <c r="D4861" t="inlineStr">
        <is>
          <t>SPEC</t>
        </is>
      </c>
      <c r="E4861" t="inlineStr">
        <is>
          <t>WIR INTERCONNEXION IO TETE GAINE A BARRE 1000kVA</t>
        </is>
      </c>
      <c r="G4861" t="inlineStr">
        <is>
          <t>GVX</t>
        </is>
      </c>
      <c r="H4861" t="inlineStr">
        <is>
          <t>IO</t>
        </is>
      </c>
      <c r="J4861" t="inlineStr">
        <is>
          <t>MATRION</t>
        </is>
      </c>
      <c r="K4861" t="inlineStr">
        <is>
          <t>FILERIE</t>
        </is>
      </c>
      <c r="L4861">
        <f>_xlfn.XLOOKUP(Tableau1[[#This Row],[TYPE DE PIECE]],Tableau4[MATIERE],Tableau4[SHORT TYPE],"",0,1)</f>
        <v/>
      </c>
      <c r="N4861">
        <f>IF(ISERR(FIND("DECOUPE",Tableau1[[#This Row],[DESIGNATION]])),"","NEED REF")</f>
        <v/>
      </c>
    </row>
    <row r="4862">
      <c r="B4862" t="n">
        <v>34409144</v>
      </c>
      <c r="C4862" s="2" t="n">
        <v>44215</v>
      </c>
      <c r="D4862" t="inlineStr">
        <is>
          <t>SPEC</t>
        </is>
      </c>
      <c r="E4862" t="inlineStr">
        <is>
          <t>COP LIAISON PEN</t>
        </is>
      </c>
      <c r="G4862" t="inlineStr">
        <is>
          <t>GVX</t>
        </is>
      </c>
      <c r="H4862" t="inlineStr">
        <is>
          <t>IO</t>
        </is>
      </c>
      <c r="J4862" t="inlineStr">
        <is>
          <t>MATRION</t>
        </is>
      </c>
      <c r="K4862" t="inlineStr">
        <is>
          <t>CUIVRE</t>
        </is>
      </c>
      <c r="L4862">
        <f>_xlfn.XLOOKUP(Tableau1[[#This Row],[TYPE DE PIECE]],Tableau4[MATIERE],Tableau4[SHORT TYPE],"",0,1)</f>
        <v/>
      </c>
      <c r="N4862">
        <f>IF(ISERR(FIND("DECOUPE",Tableau1[[#This Row],[DESIGNATION]])),"","NEED REF")</f>
        <v/>
      </c>
    </row>
    <row r="4863">
      <c r="B4863" t="n">
        <v>34409143</v>
      </c>
      <c r="C4863" s="2" t="n">
        <v>44215</v>
      </c>
      <c r="D4863" t="inlineStr">
        <is>
          <t>SPEC</t>
        </is>
      </c>
      <c r="E4863" t="inlineStr">
        <is>
          <t>COP LIAISON PE 4</t>
        </is>
      </c>
      <c r="G4863" t="inlineStr">
        <is>
          <t>GVX</t>
        </is>
      </c>
      <c r="H4863" t="inlineStr">
        <is>
          <t>IO</t>
        </is>
      </c>
      <c r="J4863" t="inlineStr">
        <is>
          <t>MATRION</t>
        </is>
      </c>
      <c r="K4863" t="inlineStr">
        <is>
          <t>CUIVRE</t>
        </is>
      </c>
      <c r="L4863">
        <f>_xlfn.XLOOKUP(Tableau1[[#This Row],[TYPE DE PIECE]],Tableau4[MATIERE],Tableau4[SHORT TYPE],"",0,1)</f>
        <v/>
      </c>
      <c r="N4863">
        <f>IF(ISERR(FIND("DECOUPE",Tableau1[[#This Row],[DESIGNATION]])),"","NEED REF")</f>
        <v/>
      </c>
    </row>
    <row r="4864">
      <c r="B4864" t="n">
        <v>34409142</v>
      </c>
      <c r="C4864" s="2" t="n">
        <v>44215</v>
      </c>
      <c r="D4864" t="inlineStr">
        <is>
          <t>SPEC</t>
        </is>
      </c>
      <c r="E4864" t="inlineStr">
        <is>
          <t>COP LIAISON PE 3</t>
        </is>
      </c>
      <c r="G4864" t="inlineStr">
        <is>
          <t>GVX</t>
        </is>
      </c>
      <c r="H4864" t="inlineStr">
        <is>
          <t>IO</t>
        </is>
      </c>
      <c r="J4864" t="inlineStr">
        <is>
          <t>MATRION</t>
        </is>
      </c>
      <c r="K4864" t="inlineStr">
        <is>
          <t>CUIVRE</t>
        </is>
      </c>
      <c r="L4864">
        <f>_xlfn.XLOOKUP(Tableau1[[#This Row],[TYPE DE PIECE]],Tableau4[MATIERE],Tableau4[SHORT TYPE],"",0,1)</f>
        <v/>
      </c>
      <c r="N4864">
        <f>IF(ISERR(FIND("DECOUPE",Tableau1[[#This Row],[DESIGNATION]])),"","NEED REF")</f>
        <v/>
      </c>
    </row>
    <row r="4865">
      <c r="B4865" t="n">
        <v>34409141</v>
      </c>
      <c r="C4865" s="2" t="n">
        <v>44215</v>
      </c>
      <c r="D4865" t="inlineStr">
        <is>
          <t>SPEC</t>
        </is>
      </c>
      <c r="E4865" t="inlineStr">
        <is>
          <t>COP LIAISON PE 2</t>
        </is>
      </c>
      <c r="G4865" t="inlineStr">
        <is>
          <t>GVX</t>
        </is>
      </c>
      <c r="H4865" t="inlineStr">
        <is>
          <t>IO</t>
        </is>
      </c>
      <c r="J4865" t="inlineStr">
        <is>
          <t>MATRION</t>
        </is>
      </c>
      <c r="K4865" t="inlineStr">
        <is>
          <t>CUIVRE</t>
        </is>
      </c>
      <c r="L4865">
        <f>_xlfn.XLOOKUP(Tableau1[[#This Row],[TYPE DE PIECE]],Tableau4[MATIERE],Tableau4[SHORT TYPE],"",0,1)</f>
        <v/>
      </c>
      <c r="N4865">
        <f>IF(ISERR(FIND("DECOUPE",Tableau1[[#This Row],[DESIGNATION]])),"","NEED REF")</f>
        <v/>
      </c>
    </row>
    <row r="4866">
      <c r="B4866" t="n">
        <v>34409140</v>
      </c>
      <c r="C4866" s="2" t="n">
        <v>44215</v>
      </c>
      <c r="D4866" t="inlineStr">
        <is>
          <t>SPEC</t>
        </is>
      </c>
      <c r="E4866" t="inlineStr">
        <is>
          <t>COP LIAISON PE 1</t>
        </is>
      </c>
      <c r="G4866" t="inlineStr">
        <is>
          <t>GVX</t>
        </is>
      </c>
      <c r="H4866" t="inlineStr">
        <is>
          <t>IO</t>
        </is>
      </c>
      <c r="J4866" t="inlineStr">
        <is>
          <t>MATRION</t>
        </is>
      </c>
      <c r="K4866" t="inlineStr">
        <is>
          <t>CUIVRE</t>
        </is>
      </c>
      <c r="L4866">
        <f>_xlfn.XLOOKUP(Tableau1[[#This Row],[TYPE DE PIECE]],Tableau4[MATIERE],Tableau4[SHORT TYPE],"",0,1)</f>
        <v/>
      </c>
      <c r="N4866">
        <f>IF(ISERR(FIND("DECOUPE",Tableau1[[#This Row],[DESIGNATION]])),"","NEED REF")</f>
        <v/>
      </c>
    </row>
    <row r="4867">
      <c r="B4867" t="n">
        <v>34409139</v>
      </c>
      <c r="C4867" s="2" t="n">
        <v>44215</v>
      </c>
      <c r="D4867" t="inlineStr">
        <is>
          <t>SPEC</t>
        </is>
      </c>
      <c r="E4867" t="inlineStr">
        <is>
          <t>COP LIAISON N</t>
        </is>
      </c>
      <c r="G4867" t="inlineStr">
        <is>
          <t>GVX</t>
        </is>
      </c>
      <c r="H4867" t="inlineStr">
        <is>
          <t>IO</t>
        </is>
      </c>
      <c r="J4867" t="inlineStr">
        <is>
          <t>MATRION</t>
        </is>
      </c>
      <c r="K4867" t="inlineStr">
        <is>
          <t>CUIVRE</t>
        </is>
      </c>
      <c r="L4867">
        <f>_xlfn.XLOOKUP(Tableau1[[#This Row],[TYPE DE PIECE]],Tableau4[MATIERE],Tableau4[SHORT TYPE],"",0,1)</f>
        <v/>
      </c>
      <c r="N4867">
        <f>IF(ISERR(FIND("DECOUPE",Tableau1[[#This Row],[DESIGNATION]])),"","NEED REF")</f>
        <v/>
      </c>
    </row>
    <row r="4868">
      <c r="B4868" t="n">
        <v>34409138</v>
      </c>
      <c r="C4868" s="2" t="n">
        <v>44214</v>
      </c>
      <c r="D4868" t="inlineStr">
        <is>
          <t>SPEC</t>
        </is>
      </c>
      <c r="E4868" t="inlineStr">
        <is>
          <t>COP PLAGE N</t>
        </is>
      </c>
      <c r="G4868" t="inlineStr">
        <is>
          <t>GVX</t>
        </is>
      </c>
      <c r="H4868" t="inlineStr">
        <is>
          <t>IO</t>
        </is>
      </c>
      <c r="J4868" t="inlineStr">
        <is>
          <t>MATRION</t>
        </is>
      </c>
      <c r="K4868" t="inlineStr">
        <is>
          <t>CUIVRE</t>
        </is>
      </c>
      <c r="L4868">
        <f>_xlfn.XLOOKUP(Tableau1[[#This Row],[TYPE DE PIECE]],Tableau4[MATIERE],Tableau4[SHORT TYPE],"",0,1)</f>
        <v/>
      </c>
      <c r="N4868">
        <f>IF(ISERR(FIND("DECOUPE",Tableau1[[#This Row],[DESIGNATION]])),"","NEED REF")</f>
        <v/>
      </c>
    </row>
    <row r="4869">
      <c r="B4869" t="n">
        <v>34409137</v>
      </c>
      <c r="C4869" s="2" t="n">
        <v>44214</v>
      </c>
      <c r="D4869" t="inlineStr">
        <is>
          <t>SPEC</t>
        </is>
      </c>
      <c r="E4869" t="inlineStr">
        <is>
          <t>SMT TRAVERSE AV/AR RENFORT ARM-GVEAC7W</t>
        </is>
      </c>
      <c r="G4869" t="inlineStr">
        <is>
          <t>GVS</t>
        </is>
      </c>
      <c r="H4869" t="inlineStr">
        <is>
          <t>BYPASS</t>
        </is>
      </c>
      <c r="J4869" t="inlineStr">
        <is>
          <t>JAWORSKI</t>
        </is>
      </c>
      <c r="K4869" t="inlineStr">
        <is>
          <t>METAL</t>
        </is>
      </c>
      <c r="L4869">
        <f>_xlfn.XLOOKUP(Tableau1[[#This Row],[TYPE DE PIECE]],Tableau4[MATIERE],Tableau4[SHORT TYPE],"",0,1)</f>
        <v/>
      </c>
      <c r="N4869">
        <f>IF(ISERR(FIND("DECOUPE",Tableau1[[#This Row],[DESIGNATION]])),"","NEED REF")</f>
        <v/>
      </c>
    </row>
    <row r="4870">
      <c r="B4870" t="n">
        <v>34409136</v>
      </c>
      <c r="C4870" s="2" t="n">
        <v>44214</v>
      </c>
      <c r="D4870" t="inlineStr">
        <is>
          <t>SPEC</t>
        </is>
      </c>
      <c r="E4870" t="inlineStr">
        <is>
          <t>COP PLAGE ARRIERE</t>
        </is>
      </c>
      <c r="G4870" t="inlineStr">
        <is>
          <t>GVX</t>
        </is>
      </c>
      <c r="H4870" t="inlineStr">
        <is>
          <t>IO</t>
        </is>
      </c>
      <c r="J4870" t="inlineStr">
        <is>
          <t>MATRION</t>
        </is>
      </c>
      <c r="K4870" t="inlineStr">
        <is>
          <t>CUIVRE</t>
        </is>
      </c>
      <c r="L4870">
        <f>_xlfn.XLOOKUP(Tableau1[[#This Row],[TYPE DE PIECE]],Tableau4[MATIERE],Tableau4[SHORT TYPE],"",0,1)</f>
        <v/>
      </c>
      <c r="N4870">
        <f>IF(ISERR(FIND("DECOUPE",Tableau1[[#This Row],[DESIGNATION]])),"","NEED REF")</f>
        <v/>
      </c>
    </row>
    <row r="4871">
      <c r="B4871" t="n">
        <v>34409135</v>
      </c>
      <c r="C4871" s="2" t="n">
        <v>44214</v>
      </c>
      <c r="D4871" t="inlineStr">
        <is>
          <t>SPEC</t>
        </is>
      </c>
      <c r="E4871" t="inlineStr">
        <is>
          <t>COP PLAGE AVANT</t>
        </is>
      </c>
      <c r="G4871" t="inlineStr">
        <is>
          <t>GVX</t>
        </is>
      </c>
      <c r="H4871" t="inlineStr">
        <is>
          <t>IO</t>
        </is>
      </c>
      <c r="J4871" t="inlineStr">
        <is>
          <t>MATRION</t>
        </is>
      </c>
      <c r="K4871" t="inlineStr">
        <is>
          <t>CUIVRE</t>
        </is>
      </c>
      <c r="L4871">
        <f>_xlfn.XLOOKUP(Tableau1[[#This Row],[TYPE DE PIECE]],Tableau4[MATIERE],Tableau4[SHORT TYPE],"",0,1)</f>
        <v/>
      </c>
      <c r="N4871">
        <f>IF(ISERR(FIND("DECOUPE",Tableau1[[#This Row],[DESIGNATION]])),"","NEED REF")</f>
        <v/>
      </c>
    </row>
    <row r="4872">
      <c r="B4872" t="n">
        <v>34409134</v>
      </c>
      <c r="C4872" s="2" t="n">
        <v>44214</v>
      </c>
      <c r="D4872" t="inlineStr">
        <is>
          <t>SPEC</t>
        </is>
      </c>
      <c r="E4872" t="inlineStr">
        <is>
          <t>REHAUSSE 200MM POUR TETE DE GAINE A BARRE</t>
        </is>
      </c>
      <c r="G4872" t="inlineStr">
        <is>
          <t>GVX</t>
        </is>
      </c>
      <c r="H4872" t="inlineStr">
        <is>
          <t>IO</t>
        </is>
      </c>
      <c r="J4872" t="inlineStr">
        <is>
          <t>MATRION</t>
        </is>
      </c>
      <c r="K4872" t="inlineStr">
        <is>
          <t>METAL</t>
        </is>
      </c>
      <c r="L4872">
        <f>_xlfn.XLOOKUP(Tableau1[[#This Row],[TYPE DE PIECE]],Tableau4[MATIERE],Tableau4[SHORT TYPE],"",0,1)</f>
        <v/>
      </c>
      <c r="N4872">
        <f>IF(ISERR(FIND("DECOUPE",Tableau1[[#This Row],[DESIGNATION]])),"","NEED REF")</f>
        <v/>
      </c>
    </row>
    <row r="4873">
      <c r="B4873" t="n">
        <v>34409133</v>
      </c>
      <c r="C4873" s="2" t="n">
        <v>44211</v>
      </c>
      <c r="D4873" t="inlineStr">
        <is>
          <t>SPEC</t>
        </is>
      </c>
      <c r="E4873" t="inlineStr">
        <is>
          <t>SMT CAPOT REHAUSSE 2</t>
        </is>
      </c>
      <c r="G4873" t="inlineStr">
        <is>
          <t>GVX</t>
        </is>
      </c>
      <c r="H4873" t="inlineStr">
        <is>
          <t>IO</t>
        </is>
      </c>
      <c r="J4873" t="inlineStr">
        <is>
          <t>MATRION</t>
        </is>
      </c>
      <c r="K4873" t="inlineStr">
        <is>
          <t>METAL</t>
        </is>
      </c>
      <c r="L4873">
        <f>_xlfn.XLOOKUP(Tableau1[[#This Row],[TYPE DE PIECE]],Tableau4[MATIERE],Tableau4[SHORT TYPE],"",0,1)</f>
        <v/>
      </c>
      <c r="N4873">
        <f>IF(ISERR(FIND("DECOUPE",Tableau1[[#This Row],[DESIGNATION]])),"","NEED REF")</f>
        <v/>
      </c>
    </row>
    <row r="4874">
      <c r="B4874" t="n">
        <v>34409132</v>
      </c>
      <c r="C4874" s="2" t="n">
        <v>44211</v>
      </c>
      <c r="D4874" t="inlineStr">
        <is>
          <t>SPEC</t>
        </is>
      </c>
      <c r="E4874" t="inlineStr">
        <is>
          <t>SMT CAPOT REHAUSSE 1</t>
        </is>
      </c>
      <c r="G4874" t="inlineStr">
        <is>
          <t>GVX</t>
        </is>
      </c>
      <c r="H4874" t="inlineStr">
        <is>
          <t>IO</t>
        </is>
      </c>
      <c r="J4874" t="inlineStr">
        <is>
          <t>MATRION</t>
        </is>
      </c>
      <c r="K4874" t="inlineStr">
        <is>
          <t>METAL</t>
        </is>
      </c>
      <c r="L4874">
        <f>_xlfn.XLOOKUP(Tableau1[[#This Row],[TYPE DE PIECE]],Tableau4[MATIERE],Tableau4[SHORT TYPE],"",0,1)</f>
        <v/>
      </c>
      <c r="N4874">
        <f>IF(ISERR(FIND("DECOUPE",Tableau1[[#This Row],[DESIGNATION]])),"","NEED REF")</f>
        <v/>
      </c>
    </row>
    <row r="4875">
      <c r="B4875" t="n">
        <v>34409131</v>
      </c>
      <c r="C4875" s="2" t="n">
        <v>44210</v>
      </c>
      <c r="D4875" t="inlineStr">
        <is>
          <t>SPEC</t>
        </is>
      </c>
      <c r="E4875" t="inlineStr">
        <is>
          <t>COP CONNEXION PE</t>
        </is>
      </c>
      <c r="G4875" t="inlineStr">
        <is>
          <t>E3L</t>
        </is>
      </c>
      <c r="H4875" t="inlineStr">
        <is>
          <t>BYPASS</t>
        </is>
      </c>
      <c r="J4875" t="inlineStr">
        <is>
          <t>JAWORSKI</t>
        </is>
      </c>
      <c r="K4875" t="inlineStr">
        <is>
          <t>CUIVRE</t>
        </is>
      </c>
      <c r="L4875">
        <f>_xlfn.XLOOKUP(Tableau1[[#This Row],[TYPE DE PIECE]],Tableau4[MATIERE],Tableau4[SHORT TYPE],"",0,1)</f>
        <v/>
      </c>
      <c r="N4875">
        <f>IF(ISERR(FIND("DECOUPE",Tableau1[[#This Row],[DESIGNATION]])),"","NEED REF")</f>
        <v/>
      </c>
    </row>
    <row r="4876">
      <c r="B4876" t="n">
        <v>34409130</v>
      </c>
      <c r="C4876" s="2" t="n">
        <v>44209</v>
      </c>
      <c r="D4876" t="inlineStr">
        <is>
          <t>SPEC</t>
        </is>
      </c>
      <c r="J4876" t="inlineStr">
        <is>
          <t>MATRION</t>
        </is>
      </c>
      <c r="L4876">
        <f>_xlfn.XLOOKUP(Tableau1[[#This Row],[TYPE DE PIECE]],Tableau4[MATIERE],Tableau4[SHORT TYPE],"",0,1)</f>
        <v/>
      </c>
      <c r="N4876">
        <f>IF(ISERR(FIND("DECOUPE",Tableau1[[#This Row],[DESIGNATION]])),"","NEED REF")</f>
        <v/>
      </c>
    </row>
    <row r="4877">
      <c r="B4877" t="n">
        <v>34409129</v>
      </c>
      <c r="C4877" s="2" t="n">
        <v>44209</v>
      </c>
      <c r="D4877" t="inlineStr">
        <is>
          <t>SPEC</t>
        </is>
      </c>
      <c r="J4877" t="inlineStr">
        <is>
          <t>MATRION</t>
        </is>
      </c>
      <c r="L4877">
        <f>_xlfn.XLOOKUP(Tableau1[[#This Row],[TYPE DE PIECE]],Tableau4[MATIERE],Tableau4[SHORT TYPE],"",0,1)</f>
        <v/>
      </c>
      <c r="N4877">
        <f>IF(ISERR(FIND("DECOUPE",Tableau1[[#This Row],[DESIGNATION]])),"","NEED REF")</f>
        <v/>
      </c>
    </row>
    <row r="4878">
      <c r="B4878" t="n">
        <v>34409128</v>
      </c>
      <c r="C4878" s="2" t="n">
        <v>44209</v>
      </c>
      <c r="D4878" t="inlineStr">
        <is>
          <t>SPEC</t>
        </is>
      </c>
      <c r="J4878" t="inlineStr">
        <is>
          <t>MATRION</t>
        </is>
      </c>
      <c r="L4878">
        <f>_xlfn.XLOOKUP(Tableau1[[#This Row],[TYPE DE PIECE]],Tableau4[MATIERE],Tableau4[SHORT TYPE],"",0,1)</f>
        <v/>
      </c>
      <c r="N4878">
        <f>IF(ISERR(FIND("DECOUPE",Tableau1[[#This Row],[DESIGNATION]])),"","NEED REF")</f>
        <v/>
      </c>
    </row>
    <row r="4879">
      <c r="B4879" t="n">
        <v>34409127</v>
      </c>
      <c r="C4879" s="2" t="n">
        <v>44209</v>
      </c>
      <c r="D4879" t="inlineStr">
        <is>
          <t>SPEC</t>
        </is>
      </c>
      <c r="J4879" t="inlineStr">
        <is>
          <t>MATRION</t>
        </is>
      </c>
      <c r="L4879">
        <f>_xlfn.XLOOKUP(Tableau1[[#This Row],[TYPE DE PIECE]],Tableau4[MATIERE],Tableau4[SHORT TYPE],"",0,1)</f>
        <v/>
      </c>
      <c r="N4879">
        <f>IF(ISERR(FIND("DECOUPE",Tableau1[[#This Row],[DESIGNATION]])),"","NEED REF")</f>
        <v/>
      </c>
    </row>
    <row r="4880">
      <c r="B4880" t="n">
        <v>34409126</v>
      </c>
      <c r="C4880" s="2" t="n">
        <v>44209</v>
      </c>
      <c r="D4880" t="inlineStr">
        <is>
          <t>SPEC</t>
        </is>
      </c>
      <c r="J4880" t="inlineStr">
        <is>
          <t>MATRION</t>
        </is>
      </c>
      <c r="L4880">
        <f>_xlfn.XLOOKUP(Tableau1[[#This Row],[TYPE DE PIECE]],Tableau4[MATIERE],Tableau4[SHORT TYPE],"",0,1)</f>
        <v/>
      </c>
      <c r="N4880">
        <f>IF(ISERR(FIND("DECOUPE",Tableau1[[#This Row],[DESIGNATION]])),"","NEED REF")</f>
        <v/>
      </c>
    </row>
    <row r="4881">
      <c r="B4881" t="n">
        <v>34409125</v>
      </c>
      <c r="C4881" s="2" t="n">
        <v>44209</v>
      </c>
      <c r="D4881" t="inlineStr">
        <is>
          <t>SPEC</t>
        </is>
      </c>
      <c r="J4881" t="inlineStr">
        <is>
          <t>MATRION</t>
        </is>
      </c>
      <c r="L4881">
        <f>_xlfn.XLOOKUP(Tableau1[[#This Row],[TYPE DE PIECE]],Tableau4[MATIERE],Tableau4[SHORT TYPE],"",0,1)</f>
        <v/>
      </c>
      <c r="N4881">
        <f>IF(ISERR(FIND("DECOUPE",Tableau1[[#This Row],[DESIGNATION]])),"","NEED REF")</f>
        <v/>
      </c>
    </row>
    <row r="4882">
      <c r="B4882" t="n">
        <v>34409124</v>
      </c>
      <c r="C4882" s="2" t="n">
        <v>44208</v>
      </c>
      <c r="D4882" t="inlineStr">
        <is>
          <t>SPEC</t>
        </is>
      </c>
      <c r="J4882" t="inlineStr">
        <is>
          <t>MATRION</t>
        </is>
      </c>
      <c r="L4882">
        <f>_xlfn.XLOOKUP(Tableau1[[#This Row],[TYPE DE PIECE]],Tableau4[MATIERE],Tableau4[SHORT TYPE],"",0,1)</f>
        <v/>
      </c>
      <c r="N4882">
        <f>IF(ISERR(FIND("DECOUPE",Tableau1[[#This Row],[DESIGNATION]])),"","NEED REF")</f>
        <v/>
      </c>
    </row>
    <row r="4883">
      <c r="B4883" t="n">
        <v>34409123</v>
      </c>
      <c r="C4883" s="2" t="n">
        <v>44208</v>
      </c>
      <c r="D4883" t="inlineStr">
        <is>
          <t>SPEC</t>
        </is>
      </c>
      <c r="J4883" t="inlineStr">
        <is>
          <t>MATRION</t>
        </is>
      </c>
      <c r="L4883">
        <f>_xlfn.XLOOKUP(Tableau1[[#This Row],[TYPE DE PIECE]],Tableau4[MATIERE],Tableau4[SHORT TYPE],"",0,1)</f>
        <v/>
      </c>
      <c r="N4883">
        <f>IF(ISERR(FIND("DECOUPE",Tableau1[[#This Row],[DESIGNATION]])),"","NEED REF")</f>
        <v/>
      </c>
    </row>
    <row r="4884">
      <c r="B4884" t="n">
        <v>34409122</v>
      </c>
      <c r="C4884" s="2" t="n">
        <v>44208</v>
      </c>
      <c r="D4884" t="inlineStr">
        <is>
          <t>SPEC</t>
        </is>
      </c>
      <c r="J4884" t="inlineStr">
        <is>
          <t>MATRION</t>
        </is>
      </c>
      <c r="L4884">
        <f>_xlfn.XLOOKUP(Tableau1[[#This Row],[TYPE DE PIECE]],Tableau4[MATIERE],Tableau4[SHORT TYPE],"",0,1)</f>
        <v/>
      </c>
      <c r="N4884">
        <f>IF(ISERR(FIND("DECOUPE",Tableau1[[#This Row],[DESIGNATION]])),"","NEED REF")</f>
        <v/>
      </c>
    </row>
    <row r="4885">
      <c r="B4885" t="n">
        <v>34409121</v>
      </c>
      <c r="C4885" s="2" t="n">
        <v>44208</v>
      </c>
      <c r="D4885" t="inlineStr">
        <is>
          <t>SPEC</t>
        </is>
      </c>
      <c r="J4885" t="inlineStr">
        <is>
          <t>MATRION</t>
        </is>
      </c>
      <c r="L4885">
        <f>_xlfn.XLOOKUP(Tableau1[[#This Row],[TYPE DE PIECE]],Tableau4[MATIERE],Tableau4[SHORT TYPE],"",0,1)</f>
        <v/>
      </c>
      <c r="N4885">
        <f>IF(ISERR(FIND("DECOUPE",Tableau1[[#This Row],[DESIGNATION]])),"","NEED REF")</f>
        <v/>
      </c>
    </row>
    <row r="4886">
      <c r="B4886" t="n">
        <v>34409120</v>
      </c>
      <c r="C4886" s="2" t="n">
        <v>44208</v>
      </c>
      <c r="D4886" t="inlineStr">
        <is>
          <t>SPEC</t>
        </is>
      </c>
      <c r="J4886" t="inlineStr">
        <is>
          <t>MATRION</t>
        </is>
      </c>
      <c r="L4886">
        <f>_xlfn.XLOOKUP(Tableau1[[#This Row],[TYPE DE PIECE]],Tableau4[MATIERE],Tableau4[SHORT TYPE],"",0,1)</f>
        <v/>
      </c>
      <c r="N4886">
        <f>IF(ISERR(FIND("DECOUPE",Tableau1[[#This Row],[DESIGNATION]])),"","NEED REF")</f>
        <v/>
      </c>
    </row>
    <row r="4887">
      <c r="B4887" t="n">
        <v>34409119</v>
      </c>
      <c r="C4887" s="2" t="n">
        <v>44208</v>
      </c>
      <c r="D4887" t="inlineStr">
        <is>
          <t>SPEC</t>
        </is>
      </c>
      <c r="J4887" t="inlineStr">
        <is>
          <t>MATRION</t>
        </is>
      </c>
      <c r="L4887">
        <f>_xlfn.XLOOKUP(Tableau1[[#This Row],[TYPE DE PIECE]],Tableau4[MATIERE],Tableau4[SHORT TYPE],"",0,1)</f>
        <v/>
      </c>
      <c r="N4887">
        <f>IF(ISERR(FIND("DECOUPE",Tableau1[[#This Row],[DESIGNATION]])),"","NEED REF")</f>
        <v/>
      </c>
    </row>
    <row r="4888">
      <c r="B4888" t="n">
        <v>34409118</v>
      </c>
      <c r="C4888" s="2" t="n">
        <v>44208</v>
      </c>
      <c r="D4888" t="inlineStr">
        <is>
          <t>SPEC</t>
        </is>
      </c>
      <c r="J4888" t="inlineStr">
        <is>
          <t>MATRION</t>
        </is>
      </c>
      <c r="L4888">
        <f>_xlfn.XLOOKUP(Tableau1[[#This Row],[TYPE DE PIECE]],Tableau4[MATIERE],Tableau4[SHORT TYPE],"",0,1)</f>
        <v/>
      </c>
      <c r="N4888">
        <f>IF(ISERR(FIND("DECOUPE",Tableau1[[#This Row],[DESIGNATION]])),"","NEED REF")</f>
        <v/>
      </c>
    </row>
    <row r="4889">
      <c r="B4889" t="n">
        <v>34409117</v>
      </c>
      <c r="C4889" s="2" t="n">
        <v>44208</v>
      </c>
      <c r="D4889" t="inlineStr">
        <is>
          <t>SPEC</t>
        </is>
      </c>
      <c r="J4889" t="inlineStr">
        <is>
          <t>MATRION</t>
        </is>
      </c>
      <c r="L4889">
        <f>_xlfn.XLOOKUP(Tableau1[[#This Row],[TYPE DE PIECE]],Tableau4[MATIERE],Tableau4[SHORT TYPE],"",0,1)</f>
        <v/>
      </c>
      <c r="N4889">
        <f>IF(ISERR(FIND("DECOUPE",Tableau1[[#This Row],[DESIGNATION]])),"","NEED REF")</f>
        <v/>
      </c>
    </row>
    <row r="4890">
      <c r="B4890" t="n">
        <v>34409116</v>
      </c>
      <c r="C4890" s="2" t="n">
        <v>44208</v>
      </c>
      <c r="D4890" t="inlineStr">
        <is>
          <t>SPEC</t>
        </is>
      </c>
      <c r="J4890" t="inlineStr">
        <is>
          <t>MATRION</t>
        </is>
      </c>
      <c r="L4890">
        <f>_xlfn.XLOOKUP(Tableau1[[#This Row],[TYPE DE PIECE]],Tableau4[MATIERE],Tableau4[SHORT TYPE],"",0,1)</f>
        <v/>
      </c>
      <c r="N4890">
        <f>IF(ISERR(FIND("DECOUPE",Tableau1[[#This Row],[DESIGNATION]])),"","NEED REF")</f>
        <v/>
      </c>
    </row>
    <row r="4891">
      <c r="B4891" t="n">
        <v>34409115</v>
      </c>
      <c r="C4891" s="2" t="n">
        <v>44208</v>
      </c>
      <c r="D4891" t="inlineStr">
        <is>
          <t>SPEC</t>
        </is>
      </c>
      <c r="J4891" t="inlineStr">
        <is>
          <t>MATRION</t>
        </is>
      </c>
      <c r="L4891">
        <f>_xlfn.XLOOKUP(Tableau1[[#This Row],[TYPE DE PIECE]],Tableau4[MATIERE],Tableau4[SHORT TYPE],"",0,1)</f>
        <v/>
      </c>
      <c r="N4891">
        <f>IF(ISERR(FIND("DECOUPE",Tableau1[[#This Row],[DESIGNATION]])),"","NEED REF")</f>
        <v/>
      </c>
    </row>
    <row r="4892">
      <c r="B4892" t="n">
        <v>34409114</v>
      </c>
      <c r="C4892" s="2" t="n">
        <v>44208</v>
      </c>
      <c r="D4892" t="inlineStr">
        <is>
          <t>SPEC</t>
        </is>
      </c>
      <c r="J4892" t="inlineStr">
        <is>
          <t>MATRION</t>
        </is>
      </c>
      <c r="L4892">
        <f>_xlfn.XLOOKUP(Tableau1[[#This Row],[TYPE DE PIECE]],Tableau4[MATIERE],Tableau4[SHORT TYPE],"",0,1)</f>
        <v/>
      </c>
      <c r="N4892">
        <f>IF(ISERR(FIND("DECOUPE",Tableau1[[#This Row],[DESIGNATION]])),"","NEED REF")</f>
        <v/>
      </c>
    </row>
    <row r="4893">
      <c r="B4893" t="n">
        <v>34409113</v>
      </c>
      <c r="C4893" s="2" t="n">
        <v>44208</v>
      </c>
      <c r="D4893" t="inlineStr">
        <is>
          <t>SPEC</t>
        </is>
      </c>
      <c r="J4893" t="inlineStr">
        <is>
          <t>MATRION</t>
        </is>
      </c>
      <c r="L4893">
        <f>_xlfn.XLOOKUP(Tableau1[[#This Row],[TYPE DE PIECE]],Tableau4[MATIERE],Tableau4[SHORT TYPE],"",0,1)</f>
        <v/>
      </c>
      <c r="N4893">
        <f>IF(ISERR(FIND("DECOUPE",Tableau1[[#This Row],[DESIGNATION]])),"","NEED REF")</f>
        <v/>
      </c>
    </row>
    <row r="4894">
      <c r="B4894" t="n">
        <v>34409112</v>
      </c>
      <c r="C4894" s="2" t="n">
        <v>44208</v>
      </c>
      <c r="D4894" t="inlineStr">
        <is>
          <t>SPEC</t>
        </is>
      </c>
      <c r="J4894" t="inlineStr">
        <is>
          <t>MATRION</t>
        </is>
      </c>
      <c r="L4894">
        <f>_xlfn.XLOOKUP(Tableau1[[#This Row],[TYPE DE PIECE]],Tableau4[MATIERE],Tableau4[SHORT TYPE],"",0,1)</f>
        <v/>
      </c>
      <c r="N4894">
        <f>IF(ISERR(FIND("DECOUPE",Tableau1[[#This Row],[DESIGNATION]])),"","NEED REF")</f>
        <v/>
      </c>
    </row>
    <row r="4895">
      <c r="B4895" t="n">
        <v>34409111</v>
      </c>
      <c r="C4895" s="2" t="n">
        <v>44208</v>
      </c>
      <c r="D4895" t="inlineStr">
        <is>
          <t>SPEC</t>
        </is>
      </c>
      <c r="J4895" t="inlineStr">
        <is>
          <t>MATRION</t>
        </is>
      </c>
      <c r="L4895">
        <f>_xlfn.XLOOKUP(Tableau1[[#This Row],[TYPE DE PIECE]],Tableau4[MATIERE],Tableau4[SHORT TYPE],"",0,1)</f>
        <v/>
      </c>
      <c r="N4895">
        <f>IF(ISERR(FIND("DECOUPE",Tableau1[[#This Row],[DESIGNATION]])),"","NEED REF")</f>
        <v/>
      </c>
    </row>
    <row r="4896">
      <c r="B4896" t="n">
        <v>34409110</v>
      </c>
      <c r="C4896" s="2" t="n">
        <v>44208</v>
      </c>
      <c r="D4896" t="inlineStr">
        <is>
          <t>SPEC</t>
        </is>
      </c>
      <c r="E4896" t="inlineStr">
        <is>
          <t>KIT FILERIE BYPASS 2 SWITCHES</t>
        </is>
      </c>
      <c r="G4896" t="inlineStr">
        <is>
          <t>E3L</t>
        </is>
      </c>
      <c r="H4896" t="inlineStr">
        <is>
          <t>BYPASS</t>
        </is>
      </c>
      <c r="J4896" t="inlineStr">
        <is>
          <t>JAWORSKI</t>
        </is>
      </c>
      <c r="K4896" t="inlineStr">
        <is>
          <t>FILERIE</t>
        </is>
      </c>
      <c r="L4896">
        <f>_xlfn.XLOOKUP(Tableau1[[#This Row],[TYPE DE PIECE]],Tableau4[MATIERE],Tableau4[SHORT TYPE],"",0,1)</f>
        <v/>
      </c>
      <c r="N4896">
        <f>IF(ISERR(FIND("DECOUPE",Tableau1[[#This Row],[DESIGNATION]])),"","NEED REF")</f>
        <v/>
      </c>
    </row>
    <row r="4897">
      <c r="B4897" t="n">
        <v>34409109</v>
      </c>
      <c r="C4897" s="2" t="n">
        <v>44208</v>
      </c>
      <c r="D4897" t="inlineStr">
        <is>
          <t>SPEC</t>
        </is>
      </c>
      <c r="J4897" t="inlineStr">
        <is>
          <t>MATRION</t>
        </is>
      </c>
      <c r="L4897">
        <f>_xlfn.XLOOKUP(Tableau1[[#This Row],[TYPE DE PIECE]],Tableau4[MATIERE],Tableau4[SHORT TYPE],"",0,1)</f>
        <v/>
      </c>
      <c r="N4897">
        <f>IF(ISERR(FIND("DECOUPE",Tableau1[[#This Row],[DESIGNATION]])),"","NEED REF")</f>
        <v/>
      </c>
    </row>
    <row r="4898">
      <c r="B4898" t="n">
        <v>34409108</v>
      </c>
      <c r="C4898" s="2" t="n">
        <v>44208</v>
      </c>
      <c r="D4898" t="inlineStr">
        <is>
          <t>SPEC</t>
        </is>
      </c>
      <c r="J4898" t="inlineStr">
        <is>
          <t>MATRION</t>
        </is>
      </c>
      <c r="L4898">
        <f>_xlfn.XLOOKUP(Tableau1[[#This Row],[TYPE DE PIECE]],Tableau4[MATIERE],Tableau4[SHORT TYPE],"",0,1)</f>
        <v/>
      </c>
      <c r="N4898">
        <f>IF(ISERR(FIND("DECOUPE",Tableau1[[#This Row],[DESIGNATION]])),"","NEED REF")</f>
        <v/>
      </c>
    </row>
    <row r="4899">
      <c r="B4899" t="n">
        <v>34409107</v>
      </c>
      <c r="C4899" s="2" t="n">
        <v>44208</v>
      </c>
      <c r="D4899" t="inlineStr">
        <is>
          <t>SPEC</t>
        </is>
      </c>
      <c r="J4899" t="inlineStr">
        <is>
          <t>MATRION</t>
        </is>
      </c>
      <c r="L4899">
        <f>_xlfn.XLOOKUP(Tableau1[[#This Row],[TYPE DE PIECE]],Tableau4[MATIERE],Tableau4[SHORT TYPE],"",0,1)</f>
        <v/>
      </c>
      <c r="N4899">
        <f>IF(ISERR(FIND("DECOUPE",Tableau1[[#This Row],[DESIGNATION]])),"","NEED REF")</f>
        <v/>
      </c>
    </row>
    <row r="4900">
      <c r="B4900" t="n">
        <v>34409106</v>
      </c>
      <c r="C4900" s="2" t="n">
        <v>44208</v>
      </c>
      <c r="D4900" t="inlineStr">
        <is>
          <t>SPEC</t>
        </is>
      </c>
      <c r="J4900" t="inlineStr">
        <is>
          <t>MATRION</t>
        </is>
      </c>
      <c r="L4900">
        <f>_xlfn.XLOOKUP(Tableau1[[#This Row],[TYPE DE PIECE]],Tableau4[MATIERE],Tableau4[SHORT TYPE],"",0,1)</f>
        <v/>
      </c>
      <c r="N4900">
        <f>IF(ISERR(FIND("DECOUPE",Tableau1[[#This Row],[DESIGNATION]])),"","NEED REF")</f>
        <v/>
      </c>
    </row>
    <row r="4901">
      <c r="B4901" t="n">
        <v>34409105</v>
      </c>
      <c r="C4901" s="2" t="n">
        <v>44208</v>
      </c>
      <c r="D4901" t="inlineStr">
        <is>
          <t>SPEC</t>
        </is>
      </c>
      <c r="G4901" t="inlineStr">
        <is>
          <t>GVX</t>
        </is>
      </c>
      <c r="H4901" t="inlineStr">
        <is>
          <t>IO</t>
        </is>
      </c>
      <c r="J4901" t="inlineStr">
        <is>
          <t>MATRION</t>
        </is>
      </c>
      <c r="L4901">
        <f>_xlfn.XLOOKUP(Tableau1[[#This Row],[TYPE DE PIECE]],Tableau4[MATIERE],Tableau4[SHORT TYPE],"",0,1)</f>
        <v/>
      </c>
      <c r="N4901">
        <f>IF(ISERR(FIND("DECOUPE",Tableau1[[#This Row],[DESIGNATION]])),"","NEED REF")</f>
        <v/>
      </c>
    </row>
    <row r="4902">
      <c r="B4902" t="n">
        <v>34409104</v>
      </c>
      <c r="C4902" s="2" t="n">
        <v>44208</v>
      </c>
      <c r="D4902" t="inlineStr">
        <is>
          <t>SPEC</t>
        </is>
      </c>
      <c r="G4902" t="inlineStr">
        <is>
          <t>GVX</t>
        </is>
      </c>
      <c r="H4902" t="inlineStr">
        <is>
          <t>IO</t>
        </is>
      </c>
      <c r="J4902" t="inlineStr">
        <is>
          <t>MATRION</t>
        </is>
      </c>
      <c r="L4902">
        <f>_xlfn.XLOOKUP(Tableau1[[#This Row],[TYPE DE PIECE]],Tableau4[MATIERE],Tableau4[SHORT TYPE],"",0,1)</f>
        <v/>
      </c>
      <c r="N4902">
        <f>IF(ISERR(FIND("DECOUPE",Tableau1[[#This Row],[DESIGNATION]])),"","NEED REF")</f>
        <v/>
      </c>
    </row>
    <row r="4903">
      <c r="B4903" t="n">
        <v>34409103</v>
      </c>
      <c r="C4903" s="2" t="n">
        <v>44208</v>
      </c>
      <c r="D4903" t="inlineStr">
        <is>
          <t>SPEC</t>
        </is>
      </c>
      <c r="G4903" t="inlineStr">
        <is>
          <t>GVX</t>
        </is>
      </c>
      <c r="H4903" t="inlineStr">
        <is>
          <t>IO</t>
        </is>
      </c>
      <c r="J4903" t="inlineStr">
        <is>
          <t>MATRION</t>
        </is>
      </c>
      <c r="L4903">
        <f>_xlfn.XLOOKUP(Tableau1[[#This Row],[TYPE DE PIECE]],Tableau4[MATIERE],Tableau4[SHORT TYPE],"",0,1)</f>
        <v/>
      </c>
      <c r="N4903">
        <f>IF(ISERR(FIND("DECOUPE",Tableau1[[#This Row],[DESIGNATION]])),"","NEED REF")</f>
        <v/>
      </c>
    </row>
    <row r="4904">
      <c r="B4904" t="n">
        <v>34409102</v>
      </c>
      <c r="C4904" s="2" t="n">
        <v>44207</v>
      </c>
      <c r="D4904" t="inlineStr">
        <is>
          <t>SPEC</t>
        </is>
      </c>
      <c r="E4904" t="inlineStr">
        <is>
          <t>COP CONNEXION PE</t>
        </is>
      </c>
      <c r="G4904" t="inlineStr">
        <is>
          <t>E3L</t>
        </is>
      </c>
      <c r="H4904" t="inlineStr">
        <is>
          <t>BYPASS</t>
        </is>
      </c>
      <c r="J4904" t="inlineStr">
        <is>
          <t>JAWORSKI</t>
        </is>
      </c>
      <c r="K4904" t="inlineStr">
        <is>
          <t>CUIVRE</t>
        </is>
      </c>
      <c r="L4904">
        <f>_xlfn.XLOOKUP(Tableau1[[#This Row],[TYPE DE PIECE]],Tableau4[MATIERE],Tableau4[SHORT TYPE],"",0,1)</f>
        <v/>
      </c>
      <c r="N4904">
        <f>IF(ISERR(FIND("DECOUPE",Tableau1[[#This Row],[DESIGNATION]])),"","NEED REF")</f>
        <v/>
      </c>
    </row>
    <row r="4905">
      <c r="B4905" t="n">
        <v>34409101</v>
      </c>
      <c r="C4905" s="2" t="n">
        <v>44207</v>
      </c>
      <c r="D4905" t="inlineStr">
        <is>
          <t>SPEC</t>
        </is>
      </c>
      <c r="G4905" t="inlineStr">
        <is>
          <t>GVX</t>
        </is>
      </c>
      <c r="H4905" t="inlineStr">
        <is>
          <t>IO</t>
        </is>
      </c>
      <c r="J4905" t="inlineStr">
        <is>
          <t>MATRION</t>
        </is>
      </c>
      <c r="L4905">
        <f>_xlfn.XLOOKUP(Tableau1[[#This Row],[TYPE DE PIECE]],Tableau4[MATIERE],Tableau4[SHORT TYPE],"",0,1)</f>
        <v/>
      </c>
      <c r="N4905">
        <f>IF(ISERR(FIND("DECOUPE",Tableau1[[#This Row],[DESIGNATION]])),"","NEED REF")</f>
        <v/>
      </c>
    </row>
    <row r="4906">
      <c r="B4906" t="n">
        <v>34409100</v>
      </c>
      <c r="C4906" s="2" t="n">
        <v>44207</v>
      </c>
      <c r="D4906" t="inlineStr">
        <is>
          <t>SPEC</t>
        </is>
      </c>
      <c r="G4906" t="inlineStr">
        <is>
          <t>GVX</t>
        </is>
      </c>
      <c r="H4906" t="inlineStr">
        <is>
          <t>IO</t>
        </is>
      </c>
      <c r="J4906" t="inlineStr">
        <is>
          <t>MATRION</t>
        </is>
      </c>
      <c r="L4906">
        <f>_xlfn.XLOOKUP(Tableau1[[#This Row],[TYPE DE PIECE]],Tableau4[MATIERE],Tableau4[SHORT TYPE],"",0,1)</f>
        <v/>
      </c>
      <c r="N4906">
        <f>IF(ISERR(FIND("DECOUPE",Tableau1[[#This Row],[DESIGNATION]])),"","NEED REF")</f>
        <v/>
      </c>
    </row>
    <row r="4907">
      <c r="B4907" t="n">
        <v>34409099</v>
      </c>
      <c r="C4907" s="2" t="n">
        <v>44203</v>
      </c>
      <c r="D4907" t="inlineStr">
        <is>
          <t>SPEC</t>
        </is>
      </c>
      <c r="E4907" t="inlineStr">
        <is>
          <t>PLA FEUILLE MYLAR</t>
        </is>
      </c>
      <c r="G4907" t="inlineStr">
        <is>
          <t>GVX</t>
        </is>
      </c>
      <c r="H4907" t="inlineStr">
        <is>
          <t>IO</t>
        </is>
      </c>
      <c r="J4907" t="inlineStr">
        <is>
          <t>MATRION</t>
        </is>
      </c>
      <c r="K4907" t="inlineStr">
        <is>
          <t>PLASTIQUE</t>
        </is>
      </c>
      <c r="L4907">
        <f>_xlfn.XLOOKUP(Tableau1[[#This Row],[TYPE DE PIECE]],Tableau4[MATIERE],Tableau4[SHORT TYPE],"",0,1)</f>
        <v/>
      </c>
      <c r="N4907">
        <f>IF(ISERR(FIND("DECOUPE",Tableau1[[#This Row],[DESIGNATION]])),"","NEED REF")</f>
        <v/>
      </c>
    </row>
    <row r="4908">
      <c r="B4908" t="n">
        <v>34409098</v>
      </c>
      <c r="C4908" s="2" t="n">
        <v>44202</v>
      </c>
      <c r="D4908" t="inlineStr">
        <is>
          <t>SPEC</t>
        </is>
      </c>
      <c r="E4908" t="inlineStr">
        <is>
          <t>KIT FILERIE SMPS DISTRIBUTION BOARD</t>
        </is>
      </c>
      <c r="G4908" t="inlineStr">
        <is>
          <t>GVS</t>
        </is>
      </c>
      <c r="H4908" t="inlineStr">
        <is>
          <t>AUX</t>
        </is>
      </c>
      <c r="J4908" t="inlineStr">
        <is>
          <t>JAWORSKI</t>
        </is>
      </c>
      <c r="K4908" t="inlineStr">
        <is>
          <t>FILERIE</t>
        </is>
      </c>
      <c r="L4908">
        <f>_xlfn.XLOOKUP(Tableau1[[#This Row],[TYPE DE PIECE]],Tableau4[MATIERE],Tableau4[SHORT TYPE],"",0,1)</f>
        <v/>
      </c>
      <c r="N4908">
        <f>IF(ISERR(FIND("DECOUPE",Tableau1[[#This Row],[DESIGNATION]])),"","NEED REF")</f>
        <v/>
      </c>
    </row>
    <row r="4909">
      <c r="B4909" t="n">
        <v>34409097</v>
      </c>
      <c r="C4909" s="2" t="n">
        <v>44187</v>
      </c>
      <c r="D4909" t="inlineStr">
        <is>
          <t>SPEC</t>
        </is>
      </c>
      <c r="E4909" t="inlineStr">
        <is>
          <t>SMT PLASTRON NS1250</t>
        </is>
      </c>
      <c r="G4909" t="inlineStr">
        <is>
          <t>GVX</t>
        </is>
      </c>
      <c r="H4909" t="inlineStr">
        <is>
          <t>BYPASS</t>
        </is>
      </c>
      <c r="J4909" t="inlineStr">
        <is>
          <t>MATRION</t>
        </is>
      </c>
      <c r="K4909" t="inlineStr">
        <is>
          <t>METAL</t>
        </is>
      </c>
      <c r="L4909">
        <f>_xlfn.XLOOKUP(Tableau1[[#This Row],[TYPE DE PIECE]],Tableau4[MATIERE],Tableau4[SHORT TYPE],"",0,1)</f>
        <v/>
      </c>
      <c r="N4909">
        <f>IF(ISERR(FIND("DECOUPE",Tableau1[[#This Row],[DESIGNATION]])),"","NEED REF")</f>
        <v/>
      </c>
    </row>
    <row r="4910">
      <c r="B4910" t="n">
        <v>34409096</v>
      </c>
      <c r="C4910" s="2" t="n">
        <v>44187</v>
      </c>
      <c r="D4910" t="inlineStr">
        <is>
          <t>SPEC</t>
        </is>
      </c>
      <c r="E4910" t="inlineStr">
        <is>
          <t>COP CALE NS1250</t>
        </is>
      </c>
      <c r="G4910" t="inlineStr">
        <is>
          <t>GVX</t>
        </is>
      </c>
      <c r="H4910" t="inlineStr">
        <is>
          <t>BYPASS</t>
        </is>
      </c>
      <c r="J4910" t="inlineStr">
        <is>
          <t>MATRION</t>
        </is>
      </c>
      <c r="K4910" t="inlineStr">
        <is>
          <t>CUIVRE</t>
        </is>
      </c>
      <c r="L4910">
        <f>_xlfn.XLOOKUP(Tableau1[[#This Row],[TYPE DE PIECE]],Tableau4[MATIERE],Tableau4[SHORT TYPE],"",0,1)</f>
        <v/>
      </c>
      <c r="N4910">
        <f>IF(ISERR(FIND("DECOUPE",Tableau1[[#This Row],[DESIGNATION]])),"","NEED REF")</f>
        <v/>
      </c>
    </row>
    <row r="4911">
      <c r="B4911" t="n">
        <v>34409095</v>
      </c>
      <c r="C4911" s="2" t="n">
        <v>44187</v>
      </c>
      <c r="D4911" t="inlineStr">
        <is>
          <t>SPEC</t>
        </is>
      </c>
      <c r="E4911" t="inlineStr">
        <is>
          <t>COP LIAISON NS1250</t>
        </is>
      </c>
      <c r="G4911" t="inlineStr">
        <is>
          <t>GVX</t>
        </is>
      </c>
      <c r="H4911" t="inlineStr">
        <is>
          <t>BYPASS</t>
        </is>
      </c>
      <c r="J4911" t="inlineStr">
        <is>
          <t>MATRION</t>
        </is>
      </c>
      <c r="K4911" t="inlineStr">
        <is>
          <t>CUIVRE</t>
        </is>
      </c>
      <c r="L4911">
        <f>_xlfn.XLOOKUP(Tableau1[[#This Row],[TYPE DE PIECE]],Tableau4[MATIERE],Tableau4[SHORT TYPE],"",0,1)</f>
        <v/>
      </c>
      <c r="N4911">
        <f>IF(ISERR(FIND("DECOUPE",Tableau1[[#This Row],[DESIGNATION]])),"","NEED REF")</f>
        <v/>
      </c>
    </row>
    <row r="4912">
      <c r="B4912" t="n">
        <v>34409094</v>
      </c>
      <c r="C4912" s="2" t="n">
        <v>44187</v>
      </c>
      <c r="D4912" t="inlineStr">
        <is>
          <t>SPEC</t>
        </is>
      </c>
      <c r="E4912" t="inlineStr">
        <is>
          <t>SMT PLATINE NS1250 3P</t>
        </is>
      </c>
      <c r="G4912" t="inlineStr">
        <is>
          <t>GVX</t>
        </is>
      </c>
      <c r="H4912" t="inlineStr">
        <is>
          <t>BYPASS</t>
        </is>
      </c>
      <c r="J4912" t="inlineStr">
        <is>
          <t>MATRION</t>
        </is>
      </c>
      <c r="K4912" t="inlineStr">
        <is>
          <t>METAL</t>
        </is>
      </c>
      <c r="L4912">
        <f>_xlfn.XLOOKUP(Tableau1[[#This Row],[TYPE DE PIECE]],Tableau4[MATIERE],Tableau4[SHORT TYPE],"",0,1)</f>
        <v/>
      </c>
      <c r="N4912">
        <f>IF(ISERR(FIND("DECOUPE",Tableau1[[#This Row],[DESIGNATION]])),"","NEED REF")</f>
        <v/>
      </c>
    </row>
    <row r="4913">
      <c r="B4913" t="n">
        <v>34409093</v>
      </c>
      <c r="C4913" s="2" t="n">
        <v>44187</v>
      </c>
      <c r="D4913" t="inlineStr">
        <is>
          <t>SPEC</t>
        </is>
      </c>
      <c r="E4913" t="inlineStr">
        <is>
          <t>COMPACT NS 1250 3P 5.0E PRISES ARR AVAL VERTICAL + AMONT PAR CABLES</t>
        </is>
      </c>
      <c r="J4913" t="inlineStr">
        <is>
          <t>MATRION</t>
        </is>
      </c>
      <c r="K4913" t="inlineStr">
        <is>
          <t>=S=</t>
        </is>
      </c>
      <c r="L4913">
        <f>_xlfn.XLOOKUP(Tableau1[[#This Row],[TYPE DE PIECE]],Tableau4[MATIERE],Tableau4[SHORT TYPE],"",0,1)</f>
        <v/>
      </c>
      <c r="N4913">
        <f>IF(ISERR(FIND("DECOUPE",Tableau1[[#This Row],[DESIGNATION]])),"","NEED REF")</f>
        <v/>
      </c>
    </row>
    <row r="4914">
      <c r="B4914" t="n">
        <v>34409092</v>
      </c>
      <c r="C4914" s="2" t="n">
        <v>44187</v>
      </c>
      <c r="D4914" t="inlineStr">
        <is>
          <t>SPEC</t>
        </is>
      </c>
      <c r="E4914" t="inlineStr">
        <is>
          <t>SMT PLAQUE COMPENSATION ACCOUPLEMENT</t>
        </is>
      </c>
      <c r="G4914" t="inlineStr">
        <is>
          <t>GVX</t>
        </is>
      </c>
      <c r="H4914" t="inlineStr">
        <is>
          <t>IO</t>
        </is>
      </c>
      <c r="J4914" t="inlineStr">
        <is>
          <t>MATRION</t>
        </is>
      </c>
      <c r="K4914" t="inlineStr">
        <is>
          <t>METAL</t>
        </is>
      </c>
      <c r="L4914">
        <f>_xlfn.XLOOKUP(Tableau1[[#This Row],[TYPE DE PIECE]],Tableau4[MATIERE],Tableau4[SHORT TYPE],"",0,1)</f>
        <v/>
      </c>
      <c r="N4914">
        <f>IF(ISERR(FIND("DECOUPE",Tableau1[[#This Row],[DESIGNATION]])),"","NEED REF")</f>
        <v/>
      </c>
    </row>
    <row r="4915">
      <c r="B4915" t="n">
        <v>34409091</v>
      </c>
      <c r="C4915" s="2" t="n">
        <v>44187</v>
      </c>
      <c r="D4915" t="inlineStr">
        <is>
          <t>SPEC</t>
        </is>
      </c>
      <c r="E4915" t="inlineStr">
        <is>
          <t>SMT SUPORT SOUS TOIT 2</t>
        </is>
      </c>
      <c r="G4915" t="inlineStr">
        <is>
          <t>GVX</t>
        </is>
      </c>
      <c r="H4915" t="inlineStr">
        <is>
          <t>IO</t>
        </is>
      </c>
      <c r="J4915" t="inlineStr">
        <is>
          <t>MATRION</t>
        </is>
      </c>
      <c r="K4915" t="inlineStr">
        <is>
          <t>METAL</t>
        </is>
      </c>
      <c r="L4915">
        <f>_xlfn.XLOOKUP(Tableau1[[#This Row],[TYPE DE PIECE]],Tableau4[MATIERE],Tableau4[SHORT TYPE],"",0,1)</f>
        <v/>
      </c>
      <c r="N4915">
        <f>IF(ISERR(FIND("DECOUPE",Tableau1[[#This Row],[DESIGNATION]])),"","NEED REF")</f>
        <v/>
      </c>
    </row>
    <row r="4916">
      <c r="B4916" t="n">
        <v>34409090</v>
      </c>
      <c r="C4916" s="2" t="n">
        <v>44187</v>
      </c>
      <c r="D4916" t="inlineStr">
        <is>
          <t>SPEC</t>
        </is>
      </c>
      <c r="E4916" t="inlineStr">
        <is>
          <t>SMT SUPORT SOUS TOIT 1</t>
        </is>
      </c>
      <c r="G4916" t="inlineStr">
        <is>
          <t>GVX</t>
        </is>
      </c>
      <c r="H4916" t="inlineStr">
        <is>
          <t>IO</t>
        </is>
      </c>
      <c r="J4916" t="inlineStr">
        <is>
          <t>MATRION</t>
        </is>
      </c>
      <c r="K4916" t="inlineStr">
        <is>
          <t>METAL</t>
        </is>
      </c>
      <c r="L4916">
        <f>_xlfn.XLOOKUP(Tableau1[[#This Row],[TYPE DE PIECE]],Tableau4[MATIERE],Tableau4[SHORT TYPE],"",0,1)</f>
        <v/>
      </c>
      <c r="N4916">
        <f>IF(ISERR(FIND("DECOUPE",Tableau1[[#This Row],[DESIGNATION]])),"","NEED REF")</f>
        <v/>
      </c>
    </row>
    <row r="4917">
      <c r="B4917" t="n">
        <v>34409089</v>
      </c>
      <c r="C4917" s="2" t="n">
        <v>44186</v>
      </c>
      <c r="D4917" t="inlineStr">
        <is>
          <t>SPEC</t>
        </is>
      </c>
      <c r="E4917" t="inlineStr">
        <is>
          <t>SMT SUUPORT SOUS TOIT</t>
        </is>
      </c>
      <c r="G4917" t="inlineStr">
        <is>
          <t>GVX</t>
        </is>
      </c>
      <c r="H4917" t="inlineStr">
        <is>
          <t>IO</t>
        </is>
      </c>
      <c r="J4917" t="inlineStr">
        <is>
          <t>MATRION</t>
        </is>
      </c>
      <c r="K4917" t="inlineStr">
        <is>
          <t>METAL</t>
        </is>
      </c>
      <c r="L4917">
        <f>_xlfn.XLOOKUP(Tableau1[[#This Row],[TYPE DE PIECE]],Tableau4[MATIERE],Tableau4[SHORT TYPE],"",0,1)</f>
        <v/>
      </c>
      <c r="N4917">
        <f>IF(ISERR(FIND("DECOUPE",Tableau1[[#This Row],[DESIGNATION]])),"","NEED REF")</f>
        <v/>
      </c>
    </row>
    <row r="4918">
      <c r="B4918" t="n">
        <v>34409088</v>
      </c>
      <c r="C4918" s="2" t="n">
        <v>44186</v>
      </c>
      <c r="D4918" t="inlineStr">
        <is>
          <t>SPEC</t>
        </is>
      </c>
      <c r="E4918" t="inlineStr">
        <is>
          <t>SMT DEMI PLAQUE TGAB 2000 2</t>
        </is>
      </c>
      <c r="G4918" t="inlineStr">
        <is>
          <t>GVX</t>
        </is>
      </c>
      <c r="H4918" t="inlineStr">
        <is>
          <t>IO</t>
        </is>
      </c>
      <c r="J4918" t="inlineStr">
        <is>
          <t>MATRION</t>
        </is>
      </c>
      <c r="K4918" t="inlineStr">
        <is>
          <t>METAL</t>
        </is>
      </c>
      <c r="L4918">
        <f>_xlfn.XLOOKUP(Tableau1[[#This Row],[TYPE DE PIECE]],Tableau4[MATIERE],Tableau4[SHORT TYPE],"",0,1)</f>
        <v/>
      </c>
      <c r="N4918">
        <f>IF(ISERR(FIND("DECOUPE",Tableau1[[#This Row],[DESIGNATION]])),"","NEED REF")</f>
        <v/>
      </c>
    </row>
    <row r="4919">
      <c r="B4919" t="n">
        <v>34409087</v>
      </c>
      <c r="C4919" s="2" t="n">
        <v>44186</v>
      </c>
      <c r="D4919" t="inlineStr">
        <is>
          <t>SPEC</t>
        </is>
      </c>
      <c r="E4919" t="inlineStr">
        <is>
          <t>SMT DEMI PLAQUE TGAB 2000 1</t>
        </is>
      </c>
      <c r="G4919" t="inlineStr">
        <is>
          <t>GVX</t>
        </is>
      </c>
      <c r="H4919" t="inlineStr">
        <is>
          <t>IO</t>
        </is>
      </c>
      <c r="J4919" t="inlineStr">
        <is>
          <t>MATRION</t>
        </is>
      </c>
      <c r="K4919" t="inlineStr">
        <is>
          <t>METAL</t>
        </is>
      </c>
      <c r="L4919">
        <f>_xlfn.XLOOKUP(Tableau1[[#This Row],[TYPE DE PIECE]],Tableau4[MATIERE],Tableau4[SHORT TYPE],"",0,1)</f>
        <v/>
      </c>
      <c r="N4919">
        <f>IF(ISERR(FIND("DECOUPE",Tableau1[[#This Row],[DESIGNATION]])),"","NEED REF")</f>
        <v/>
      </c>
    </row>
    <row r="4920">
      <c r="B4920" t="n">
        <v>34409086</v>
      </c>
      <c r="C4920" s="2" t="n">
        <v>44186</v>
      </c>
      <c r="D4920" t="inlineStr">
        <is>
          <t>SPEC</t>
        </is>
      </c>
      <c r="E4920" t="inlineStr">
        <is>
          <t>SMT DEMI PLAQUE TGAB 1600 2</t>
        </is>
      </c>
      <c r="G4920" t="inlineStr">
        <is>
          <t>GVX</t>
        </is>
      </c>
      <c r="H4920" t="inlineStr">
        <is>
          <t>IO</t>
        </is>
      </c>
      <c r="J4920" t="inlineStr">
        <is>
          <t>MATRION</t>
        </is>
      </c>
      <c r="K4920" t="inlineStr">
        <is>
          <t>METAL</t>
        </is>
      </c>
      <c r="L4920">
        <f>_xlfn.XLOOKUP(Tableau1[[#This Row],[TYPE DE PIECE]],Tableau4[MATIERE],Tableau4[SHORT TYPE],"",0,1)</f>
        <v/>
      </c>
      <c r="N4920">
        <f>IF(ISERR(FIND("DECOUPE",Tableau1[[#This Row],[DESIGNATION]])),"","NEED REF")</f>
        <v/>
      </c>
    </row>
    <row r="4921">
      <c r="B4921" t="n">
        <v>34409085</v>
      </c>
      <c r="C4921" s="2" t="n">
        <v>44186</v>
      </c>
      <c r="D4921" t="inlineStr">
        <is>
          <t>SPEC</t>
        </is>
      </c>
      <c r="E4921" t="inlineStr">
        <is>
          <t>SMT DEMI PLAQUE TGAB 1600 1</t>
        </is>
      </c>
      <c r="G4921" t="inlineStr">
        <is>
          <t>GVX</t>
        </is>
      </c>
      <c r="H4921" t="inlineStr">
        <is>
          <t>IO</t>
        </is>
      </c>
      <c r="J4921" t="inlineStr">
        <is>
          <t>MATRION</t>
        </is>
      </c>
      <c r="K4921" t="inlineStr">
        <is>
          <t>METAL</t>
        </is>
      </c>
      <c r="L4921">
        <f>_xlfn.XLOOKUP(Tableau1[[#This Row],[TYPE DE PIECE]],Tableau4[MATIERE],Tableau4[SHORT TYPE],"",0,1)</f>
        <v/>
      </c>
      <c r="N4921">
        <f>IF(ISERR(FIND("DECOUPE",Tableau1[[#This Row],[DESIGNATION]])),"","NEED REF")</f>
        <v/>
      </c>
    </row>
    <row r="4922">
      <c r="B4922" t="n">
        <v>34409084</v>
      </c>
      <c r="C4922" s="2" t="n">
        <v>44183</v>
      </c>
      <c r="D4922" t="inlineStr">
        <is>
          <t>SPEC</t>
        </is>
      </c>
      <c r="E4922" t="inlineStr">
        <is>
          <t>SMT TOIT</t>
        </is>
      </c>
      <c r="G4922" t="inlineStr">
        <is>
          <t>GVX</t>
        </is>
      </c>
      <c r="H4922" t="inlineStr">
        <is>
          <t>IO</t>
        </is>
      </c>
      <c r="J4922" t="inlineStr">
        <is>
          <t>MATRION</t>
        </is>
      </c>
      <c r="K4922" t="inlineStr">
        <is>
          <t>METAL</t>
        </is>
      </c>
      <c r="L4922">
        <f>_xlfn.XLOOKUP(Tableau1[[#This Row],[TYPE DE PIECE]],Tableau4[MATIERE],Tableau4[SHORT TYPE],"",0,1)</f>
        <v/>
      </c>
      <c r="N4922">
        <f>IF(ISERR(FIND("DECOUPE",Tableau1[[#This Row],[DESIGNATION]])),"","NEED REF")</f>
        <v/>
      </c>
    </row>
    <row r="4923">
      <c r="B4923" t="n">
        <v>34409083</v>
      </c>
      <c r="C4923" s="2" t="n">
        <v>44183</v>
      </c>
      <c r="D4923" t="inlineStr">
        <is>
          <t>SPEC</t>
        </is>
      </c>
      <c r="E4923" t="inlineStr">
        <is>
          <t>COP 100x10 + EPOXY 4</t>
        </is>
      </c>
      <c r="G4923" t="inlineStr">
        <is>
          <t>GVX</t>
        </is>
      </c>
      <c r="H4923" t="inlineStr">
        <is>
          <t>IO</t>
        </is>
      </c>
      <c r="J4923" t="inlineStr">
        <is>
          <t>MATRION</t>
        </is>
      </c>
      <c r="L4923">
        <f>_xlfn.XLOOKUP(Tableau1[[#This Row],[TYPE DE PIECE]],Tableau4[MATIERE],Tableau4[SHORT TYPE],"",0,1)</f>
        <v/>
      </c>
      <c r="N4923">
        <f>IF(ISERR(FIND("DECOUPE",Tableau1[[#This Row],[DESIGNATION]])),"","NEED REF")</f>
        <v/>
      </c>
    </row>
    <row r="4924">
      <c r="B4924" t="n">
        <v>34409082</v>
      </c>
      <c r="C4924" s="2" t="n">
        <v>44183</v>
      </c>
      <c r="D4924" t="inlineStr">
        <is>
          <t>SPEC</t>
        </is>
      </c>
      <c r="E4924" t="inlineStr">
        <is>
          <t>COP FLEXIBAR 100x10 ERICO 4</t>
        </is>
      </c>
      <c r="G4924" t="inlineStr">
        <is>
          <t>GVX</t>
        </is>
      </c>
      <c r="H4924" t="inlineStr">
        <is>
          <t>IO</t>
        </is>
      </c>
      <c r="J4924" t="inlineStr">
        <is>
          <t>MATRION</t>
        </is>
      </c>
      <c r="L4924">
        <f>_xlfn.XLOOKUP(Tableau1[[#This Row],[TYPE DE PIECE]],Tableau4[MATIERE],Tableau4[SHORT TYPE],"",0,1)</f>
        <v/>
      </c>
      <c r="N4924">
        <f>IF(ISERR(FIND("DECOUPE",Tableau1[[#This Row],[DESIGNATION]])),"","NEED REF")</f>
        <v/>
      </c>
    </row>
    <row r="4925">
      <c r="B4925" t="n">
        <v>34409081</v>
      </c>
      <c r="C4925" s="2" t="n">
        <v>44183</v>
      </c>
      <c r="D4925" t="inlineStr">
        <is>
          <t>SPEC</t>
        </is>
      </c>
      <c r="E4925" t="inlineStr">
        <is>
          <t>TEST DC</t>
        </is>
      </c>
      <c r="G4925" t="inlineStr">
        <is>
          <t>GVX</t>
        </is>
      </c>
      <c r="H4925" t="inlineStr">
        <is>
          <t>IO</t>
        </is>
      </c>
      <c r="J4925" t="inlineStr">
        <is>
          <t>MATRION</t>
        </is>
      </c>
      <c r="L4925">
        <f>_xlfn.XLOOKUP(Tableau1[[#This Row],[TYPE DE PIECE]],Tableau4[MATIERE],Tableau4[SHORT TYPE],"",0,1)</f>
        <v/>
      </c>
      <c r="N4925">
        <f>IF(ISERR(FIND("DECOUPE",Tableau1[[#This Row],[DESIGNATION]])),"","NEED REF")</f>
        <v/>
      </c>
    </row>
    <row r="4926">
      <c r="B4926" t="n">
        <v>34409080</v>
      </c>
      <c r="C4926" s="2" t="n">
        <v>44183</v>
      </c>
      <c r="D4926" t="inlineStr">
        <is>
          <t>SPEC</t>
        </is>
      </c>
      <c r="E4926" t="inlineStr">
        <is>
          <t>COP PLAQUE LIAISON DIAGONALE</t>
        </is>
      </c>
      <c r="G4926" t="inlineStr">
        <is>
          <t>GVX</t>
        </is>
      </c>
      <c r="H4926" t="inlineStr">
        <is>
          <t>IO</t>
        </is>
      </c>
      <c r="J4926" t="inlineStr">
        <is>
          <t>MATRION</t>
        </is>
      </c>
      <c r="L4926">
        <f>_xlfn.XLOOKUP(Tableau1[[#This Row],[TYPE DE PIECE]],Tableau4[MATIERE],Tableau4[SHORT TYPE],"",0,1)</f>
        <v/>
      </c>
      <c r="N4926">
        <f>IF(ISERR(FIND("DECOUPE",Tableau1[[#This Row],[DESIGNATION]])),"","NEED REF")</f>
        <v/>
      </c>
    </row>
    <row r="4927">
      <c r="B4927" t="n">
        <v>34409079</v>
      </c>
      <c r="C4927" s="2" t="n">
        <v>44183</v>
      </c>
      <c r="D4927" t="inlineStr">
        <is>
          <t>SPEC</t>
        </is>
      </c>
      <c r="E4927" t="inlineStr">
        <is>
          <t>COP 100x10 + EPOXY 2</t>
        </is>
      </c>
      <c r="G4927" t="inlineStr">
        <is>
          <t>GVX</t>
        </is>
      </c>
      <c r="H4927" t="inlineStr">
        <is>
          <t>IO</t>
        </is>
      </c>
      <c r="J4927" t="inlineStr">
        <is>
          <t>MATRION</t>
        </is>
      </c>
      <c r="L4927">
        <f>_xlfn.XLOOKUP(Tableau1[[#This Row],[TYPE DE PIECE]],Tableau4[MATIERE],Tableau4[SHORT TYPE],"",0,1)</f>
        <v/>
      </c>
      <c r="N4927">
        <f>IF(ISERR(FIND("DECOUPE",Tableau1[[#This Row],[DESIGNATION]])),"","NEED REF")</f>
        <v/>
      </c>
    </row>
    <row r="4928">
      <c r="B4928" t="n">
        <v>34409078</v>
      </c>
      <c r="C4928" s="2" t="n">
        <v>44183</v>
      </c>
      <c r="D4928" t="inlineStr">
        <is>
          <t>SPEC</t>
        </is>
      </c>
      <c r="E4928" t="inlineStr">
        <is>
          <t>COP LIAISON 45</t>
        </is>
      </c>
      <c r="G4928" t="inlineStr">
        <is>
          <t>GVX</t>
        </is>
      </c>
      <c r="H4928" t="inlineStr">
        <is>
          <t>IO</t>
        </is>
      </c>
      <c r="J4928" t="inlineStr">
        <is>
          <t>MATRION</t>
        </is>
      </c>
      <c r="L4928">
        <f>_xlfn.XLOOKUP(Tableau1[[#This Row],[TYPE DE PIECE]],Tableau4[MATIERE],Tableau4[SHORT TYPE],"",0,1)</f>
        <v/>
      </c>
      <c r="N4928">
        <f>IF(ISERR(FIND("DECOUPE",Tableau1[[#This Row],[DESIGNATION]])),"","NEED REF")</f>
        <v/>
      </c>
    </row>
    <row r="4929">
      <c r="B4929" t="n">
        <v>34409077</v>
      </c>
      <c r="C4929" s="2" t="n">
        <v>44183</v>
      </c>
      <c r="D4929" t="inlineStr">
        <is>
          <t>SPEC</t>
        </is>
      </c>
      <c r="E4929" t="inlineStr">
        <is>
          <t>COP SERRAGE DC</t>
        </is>
      </c>
      <c r="G4929" t="inlineStr">
        <is>
          <t>GVX</t>
        </is>
      </c>
      <c r="H4929" t="inlineStr">
        <is>
          <t>IO</t>
        </is>
      </c>
      <c r="J4929" t="inlineStr">
        <is>
          <t>MATRION</t>
        </is>
      </c>
      <c r="K4929" t="inlineStr">
        <is>
          <t>CUIVRE</t>
        </is>
      </c>
      <c r="L4929">
        <f>_xlfn.XLOOKUP(Tableau1[[#This Row],[TYPE DE PIECE]],Tableau4[MATIERE],Tableau4[SHORT TYPE],"",0,1)</f>
        <v/>
      </c>
      <c r="N4929">
        <f>IF(ISERR(FIND("DECOUPE",Tableau1[[#This Row],[DESIGNATION]])),"","NEED REF")</f>
        <v/>
      </c>
    </row>
    <row r="4930">
      <c r="B4930" t="n">
        <v>34409076</v>
      </c>
      <c r="C4930" s="2" t="n">
        <v>44183</v>
      </c>
      <c r="D4930" t="inlineStr">
        <is>
          <t>SPEC</t>
        </is>
      </c>
      <c r="E4930" t="inlineStr">
        <is>
          <t>COP PLAQUE SERRAGE FLEX DC</t>
        </is>
      </c>
      <c r="G4930" t="inlineStr">
        <is>
          <t>GVX</t>
        </is>
      </c>
      <c r="H4930" t="inlineStr">
        <is>
          <t>IO</t>
        </is>
      </c>
      <c r="J4930" t="inlineStr">
        <is>
          <t>MATRION</t>
        </is>
      </c>
      <c r="K4930" t="inlineStr">
        <is>
          <t>CUIVRE</t>
        </is>
      </c>
      <c r="L4930">
        <f>_xlfn.XLOOKUP(Tableau1[[#This Row],[TYPE DE PIECE]],Tableau4[MATIERE],Tableau4[SHORT TYPE],"",0,1)</f>
        <v/>
      </c>
      <c r="N4930">
        <f>IF(ISERR(FIND("DECOUPE",Tableau1[[#This Row],[DESIGNATION]])),"","NEED REF")</f>
        <v/>
      </c>
    </row>
    <row r="4931">
      <c r="B4931" t="n">
        <v>34409075</v>
      </c>
      <c r="C4931" s="2" t="n">
        <v>44183</v>
      </c>
      <c r="D4931" t="inlineStr">
        <is>
          <t>SPEC</t>
        </is>
      </c>
      <c r="E4931" t="inlineStr">
        <is>
          <t>COP 100x10 + EPOXY 3</t>
        </is>
      </c>
      <c r="G4931" t="inlineStr">
        <is>
          <t>GVX</t>
        </is>
      </c>
      <c r="H4931" t="inlineStr">
        <is>
          <t>IO</t>
        </is>
      </c>
      <c r="J4931" t="inlineStr">
        <is>
          <t>MATRION</t>
        </is>
      </c>
      <c r="K4931" t="inlineStr">
        <is>
          <t>CUIVRE</t>
        </is>
      </c>
      <c r="L4931">
        <f>_xlfn.XLOOKUP(Tableau1[[#This Row],[TYPE DE PIECE]],Tableau4[MATIERE],Tableau4[SHORT TYPE],"",0,1)</f>
        <v/>
      </c>
      <c r="N4931">
        <f>IF(ISERR(FIND("DECOUPE",Tableau1[[#This Row],[DESIGNATION]])),"","NEED REF")</f>
        <v/>
      </c>
    </row>
    <row r="4932">
      <c r="B4932" t="n">
        <v>34409074</v>
      </c>
      <c r="C4932" s="2" t="n">
        <v>44183</v>
      </c>
      <c r="D4932" t="inlineStr">
        <is>
          <t>SPEC</t>
        </is>
      </c>
      <c r="E4932" t="inlineStr">
        <is>
          <t>COP 100x10 + EPOXY 1</t>
        </is>
      </c>
      <c r="G4932" t="inlineStr">
        <is>
          <t>GVX</t>
        </is>
      </c>
      <c r="H4932" t="inlineStr">
        <is>
          <t>IO</t>
        </is>
      </c>
      <c r="J4932" t="inlineStr">
        <is>
          <t>MATRION</t>
        </is>
      </c>
      <c r="K4932" t="inlineStr">
        <is>
          <t>CUIVRE</t>
        </is>
      </c>
      <c r="L4932">
        <f>_xlfn.XLOOKUP(Tableau1[[#This Row],[TYPE DE PIECE]],Tableau4[MATIERE],Tableau4[SHORT TYPE],"",0,1)</f>
        <v/>
      </c>
      <c r="N4932">
        <f>IF(ISERR(FIND("DECOUPE",Tableau1[[#This Row],[DESIGNATION]])),"","NEED REF")</f>
        <v/>
      </c>
    </row>
    <row r="4933">
      <c r="B4933" t="n">
        <v>34409073</v>
      </c>
      <c r="C4933" s="2" t="n">
        <v>44182</v>
      </c>
      <c r="D4933" t="inlineStr">
        <is>
          <t>SPEC</t>
        </is>
      </c>
      <c r="E4933" t="inlineStr">
        <is>
          <t>SMT PLASTRON BYPASS</t>
        </is>
      </c>
      <c r="G4933" t="inlineStr">
        <is>
          <t>E3L</t>
        </is>
      </c>
      <c r="H4933" t="inlineStr">
        <is>
          <t>BYPASS</t>
        </is>
      </c>
      <c r="J4933" t="inlineStr">
        <is>
          <t>JAWORSKI</t>
        </is>
      </c>
      <c r="K4933" t="inlineStr">
        <is>
          <t>METAL</t>
        </is>
      </c>
      <c r="L4933">
        <f>_xlfn.XLOOKUP(Tableau1[[#This Row],[TYPE DE PIECE]],Tableau4[MATIERE],Tableau4[SHORT TYPE],"",0,1)</f>
        <v/>
      </c>
      <c r="N4933">
        <f>IF(ISERR(FIND("DECOUPE",Tableau1[[#This Row],[DESIGNATION]])),"","NEED REF")</f>
        <v/>
      </c>
    </row>
    <row r="4934">
      <c r="B4934" t="n">
        <v>34409072</v>
      </c>
      <c r="C4934" s="2" t="n">
        <v>44182</v>
      </c>
      <c r="D4934" t="inlineStr">
        <is>
          <t>SPEC</t>
        </is>
      </c>
      <c r="E4934" t="inlineStr">
        <is>
          <t>PLA ISOLANT FEED DC</t>
        </is>
      </c>
      <c r="G4934" t="inlineStr">
        <is>
          <t>GVX</t>
        </is>
      </c>
      <c r="H4934" t="inlineStr">
        <is>
          <t>IO</t>
        </is>
      </c>
      <c r="J4934" t="inlineStr">
        <is>
          <t>MATRION</t>
        </is>
      </c>
      <c r="K4934" t="inlineStr">
        <is>
          <t>PLASTIQUE</t>
        </is>
      </c>
      <c r="L4934">
        <f>_xlfn.XLOOKUP(Tableau1[[#This Row],[TYPE DE PIECE]],Tableau4[MATIERE],Tableau4[SHORT TYPE],"",0,1)</f>
        <v/>
      </c>
      <c r="N4934">
        <f>IF(ISERR(FIND("DECOUPE",Tableau1[[#This Row],[DESIGNATION]])),"","NEED REF")</f>
        <v/>
      </c>
    </row>
    <row r="4935">
      <c r="B4935" t="n">
        <v>34409071</v>
      </c>
      <c r="C4935" s="2" t="n">
        <v>44182</v>
      </c>
      <c r="D4935" t="inlineStr">
        <is>
          <t>SPEC</t>
        </is>
      </c>
      <c r="E4935" t="inlineStr">
        <is>
          <t>PLA BRIDAGE FLEX 120x10 GP03 3</t>
        </is>
      </c>
      <c r="G4935" t="inlineStr">
        <is>
          <t>GVX</t>
        </is>
      </c>
      <c r="H4935" t="inlineStr">
        <is>
          <t>IO</t>
        </is>
      </c>
      <c r="J4935" t="inlineStr">
        <is>
          <t>MATRION</t>
        </is>
      </c>
      <c r="K4935" t="inlineStr">
        <is>
          <t>PLASTIQUE</t>
        </is>
      </c>
      <c r="L4935">
        <f>_xlfn.XLOOKUP(Tableau1[[#This Row],[TYPE DE PIECE]],Tableau4[MATIERE],Tableau4[SHORT TYPE],"",0,1)</f>
        <v/>
      </c>
      <c r="N4935">
        <f>IF(ISERR(FIND("DECOUPE",Tableau1[[#This Row],[DESIGNATION]])),"","NEED REF")</f>
        <v/>
      </c>
    </row>
    <row r="4936">
      <c r="B4936" t="n">
        <v>34409070</v>
      </c>
      <c r="C4936" s="2" t="n">
        <v>44182</v>
      </c>
      <c r="D4936" t="inlineStr">
        <is>
          <t>SPEC</t>
        </is>
      </c>
      <c r="E4936" t="inlineStr">
        <is>
          <t>PLA BRIDAGE FLEX 120x10 GP03 2</t>
        </is>
      </c>
      <c r="G4936" t="inlineStr">
        <is>
          <t>GVX</t>
        </is>
      </c>
      <c r="H4936" t="inlineStr">
        <is>
          <t>IO</t>
        </is>
      </c>
      <c r="J4936" t="inlineStr">
        <is>
          <t>MATRION</t>
        </is>
      </c>
      <c r="K4936" t="inlineStr">
        <is>
          <t>PLASTIQUE</t>
        </is>
      </c>
      <c r="L4936">
        <f>_xlfn.XLOOKUP(Tableau1[[#This Row],[TYPE DE PIECE]],Tableau4[MATIERE],Tableau4[SHORT TYPE],"",0,1)</f>
        <v/>
      </c>
      <c r="N4936">
        <f>IF(ISERR(FIND("DECOUPE",Tableau1[[#This Row],[DESIGNATION]])),"","NEED REF")</f>
        <v/>
      </c>
    </row>
    <row r="4937">
      <c r="B4937" t="n">
        <v>34409069</v>
      </c>
      <c r="C4937" s="2" t="n">
        <v>44182</v>
      </c>
      <c r="D4937" t="inlineStr">
        <is>
          <t>SPEC</t>
        </is>
      </c>
      <c r="E4937" t="inlineStr">
        <is>
          <t>PLA BRIDAGE FLEX 120x10 GP03 1</t>
        </is>
      </c>
      <c r="G4937" t="inlineStr">
        <is>
          <t>GVX</t>
        </is>
      </c>
      <c r="H4937" t="inlineStr">
        <is>
          <t>IO</t>
        </is>
      </c>
      <c r="J4937" t="inlineStr">
        <is>
          <t>MATRION</t>
        </is>
      </c>
      <c r="K4937" t="inlineStr">
        <is>
          <t>PLASTIQUE</t>
        </is>
      </c>
      <c r="L4937">
        <f>_xlfn.XLOOKUP(Tableau1[[#This Row],[TYPE DE PIECE]],Tableau4[MATIERE],Tableau4[SHORT TYPE],"",0,1)</f>
        <v/>
      </c>
      <c r="N4937">
        <f>IF(ISERR(FIND("DECOUPE",Tableau1[[#This Row],[DESIGNATION]])),"","NEED REF")</f>
        <v/>
      </c>
    </row>
    <row r="4938">
      <c r="B4938" t="n">
        <v>34409068</v>
      </c>
      <c r="C4938" s="2" t="n">
        <v>44182</v>
      </c>
      <c r="D4938" t="inlineStr">
        <is>
          <t>SPEC</t>
        </is>
      </c>
      <c r="E4938" t="inlineStr">
        <is>
          <t>PLAQUE TGAB PLEINE</t>
        </is>
      </c>
      <c r="G4938" t="inlineStr">
        <is>
          <t>GVX</t>
        </is>
      </c>
      <c r="J4938" t="inlineStr">
        <is>
          <t>MASCELLINO</t>
        </is>
      </c>
      <c r="K4938" t="inlineStr">
        <is>
          <t>METAL</t>
        </is>
      </c>
      <c r="L4938">
        <f>_xlfn.XLOOKUP(Tableau1[[#This Row],[TYPE DE PIECE]],Tableau4[MATIERE],Tableau4[SHORT TYPE],"",0,1)</f>
        <v/>
      </c>
      <c r="N4938">
        <f>IF(ISERR(FIND("DECOUPE",Tableau1[[#This Row],[DESIGNATION]])),"","NEED REF")</f>
        <v/>
      </c>
    </row>
    <row r="4939">
      <c r="B4939" t="n">
        <v>34409067</v>
      </c>
      <c r="C4939" s="2" t="n">
        <v>44181</v>
      </c>
      <c r="D4939" t="inlineStr">
        <is>
          <t>SPEC</t>
        </is>
      </c>
      <c r="E4939" t="inlineStr">
        <is>
          <t>Masterpact NW12 3P HF</t>
        </is>
      </c>
      <c r="G4939" t="inlineStr">
        <is>
          <t>GVS</t>
        </is>
      </c>
      <c r="H4939" t="inlineStr">
        <is>
          <t>BYPASS</t>
        </is>
      </c>
      <c r="J4939" t="inlineStr">
        <is>
          <t>MATRION</t>
        </is>
      </c>
      <c r="K4939" t="inlineStr">
        <is>
          <t>=S=</t>
        </is>
      </c>
      <c r="L4939">
        <f>_xlfn.XLOOKUP(Tableau1[[#This Row],[TYPE DE PIECE]],Tableau4[MATIERE],Tableau4[SHORT TYPE],"",0,1)</f>
        <v/>
      </c>
      <c r="N4939">
        <f>IF(ISERR(FIND("DECOUPE",Tableau1[[#This Row],[DESIGNATION]])),"","NEED REF")</f>
        <v/>
      </c>
    </row>
    <row r="4940">
      <c r="B4940" t="n">
        <v>34409066</v>
      </c>
      <c r="C4940" s="2" t="n">
        <v>44181</v>
      </c>
      <c r="D4940" t="inlineStr">
        <is>
          <t>SPEC</t>
        </is>
      </c>
      <c r="E4940" t="inlineStr">
        <is>
          <t>COP CALE INTERCO KTA AC 3</t>
        </is>
      </c>
      <c r="J4940" t="inlineStr">
        <is>
          <t>MATRION</t>
        </is>
      </c>
      <c r="L4940">
        <f>_xlfn.XLOOKUP(Tableau1[[#This Row],[TYPE DE PIECE]],Tableau4[MATIERE],Tableau4[SHORT TYPE],"",0,1)</f>
        <v/>
      </c>
      <c r="N4940">
        <f>IF(ISERR(FIND("DECOUPE",Tableau1[[#This Row],[DESIGNATION]])),"","NEED REF")</f>
        <v/>
      </c>
    </row>
    <row r="4941">
      <c r="B4941" t="n">
        <v>34409065</v>
      </c>
      <c r="C4941" s="2" t="n">
        <v>44181</v>
      </c>
      <c r="D4941" t="inlineStr">
        <is>
          <t>SPEC</t>
        </is>
      </c>
      <c r="E4941" t="inlineStr">
        <is>
          <t>COP CALE INTERCO KTA AC 2</t>
        </is>
      </c>
      <c r="G4941" t="inlineStr">
        <is>
          <t>GVX</t>
        </is>
      </c>
      <c r="H4941" t="inlineStr">
        <is>
          <t>IO</t>
        </is>
      </c>
      <c r="J4941" t="inlineStr">
        <is>
          <t>MATRION</t>
        </is>
      </c>
      <c r="K4941" t="inlineStr">
        <is>
          <t>CUIVRE</t>
        </is>
      </c>
      <c r="L4941">
        <f>_xlfn.XLOOKUP(Tableau1[[#This Row],[TYPE DE PIECE]],Tableau4[MATIERE],Tableau4[SHORT TYPE],"",0,1)</f>
        <v/>
      </c>
      <c r="N4941">
        <f>IF(ISERR(FIND("DECOUPE",Tableau1[[#This Row],[DESIGNATION]])),"","NEED REF")</f>
        <v/>
      </c>
    </row>
    <row r="4942">
      <c r="B4942" t="n">
        <v>34409064</v>
      </c>
      <c r="C4942" s="2" t="n">
        <v>44181</v>
      </c>
      <c r="D4942" t="inlineStr">
        <is>
          <t>SPEC</t>
        </is>
      </c>
      <c r="E4942" t="inlineStr">
        <is>
          <t>COP CALE INTERCO KTA AC 1</t>
        </is>
      </c>
      <c r="G4942" t="inlineStr">
        <is>
          <t>GVX</t>
        </is>
      </c>
      <c r="H4942" t="inlineStr">
        <is>
          <t>IO</t>
        </is>
      </c>
      <c r="J4942" t="inlineStr">
        <is>
          <t>MATRION</t>
        </is>
      </c>
      <c r="K4942" t="inlineStr">
        <is>
          <t>CUIVRE</t>
        </is>
      </c>
      <c r="L4942">
        <f>_xlfn.XLOOKUP(Tableau1[[#This Row],[TYPE DE PIECE]],Tableau4[MATIERE],Tableau4[SHORT TYPE],"",0,1)</f>
        <v/>
      </c>
      <c r="N4942">
        <f>IF(ISERR(FIND("DECOUPE",Tableau1[[#This Row],[DESIGNATION]])),"","NEED REF")</f>
        <v/>
      </c>
    </row>
    <row r="4943">
      <c r="B4943" t="n">
        <v>34409063</v>
      </c>
      <c r="C4943" s="2" t="n">
        <v>44181</v>
      </c>
      <c r="D4943" t="inlineStr">
        <is>
          <t>SPEC</t>
        </is>
      </c>
      <c r="E4943" t="inlineStr">
        <is>
          <t>COP INTERCO KTA DC 4</t>
        </is>
      </c>
      <c r="G4943" t="inlineStr">
        <is>
          <t>GVX</t>
        </is>
      </c>
      <c r="H4943" t="inlineStr">
        <is>
          <t>IO</t>
        </is>
      </c>
      <c r="J4943" t="inlineStr">
        <is>
          <t>MATRION</t>
        </is>
      </c>
      <c r="K4943" t="inlineStr">
        <is>
          <t>CUIVRE</t>
        </is>
      </c>
      <c r="L4943">
        <f>_xlfn.XLOOKUP(Tableau1[[#This Row],[TYPE DE PIECE]],Tableau4[MATIERE],Tableau4[SHORT TYPE],"",0,1)</f>
        <v/>
      </c>
      <c r="N4943">
        <f>IF(ISERR(FIND("DECOUPE",Tableau1[[#This Row],[DESIGNATION]])),"","NEED REF")</f>
        <v/>
      </c>
    </row>
    <row r="4944">
      <c r="B4944" t="n">
        <v>34409062</v>
      </c>
      <c r="C4944" s="2" t="n">
        <v>44181</v>
      </c>
      <c r="D4944" t="inlineStr">
        <is>
          <t>SPEC</t>
        </is>
      </c>
      <c r="E4944" t="inlineStr">
        <is>
          <t>COP INTERCO KTA DC 3</t>
        </is>
      </c>
      <c r="G4944" t="inlineStr">
        <is>
          <t>GVX</t>
        </is>
      </c>
      <c r="H4944" t="inlineStr">
        <is>
          <t>IO</t>
        </is>
      </c>
      <c r="J4944" t="inlineStr">
        <is>
          <t>MATRION</t>
        </is>
      </c>
      <c r="K4944" t="inlineStr">
        <is>
          <t>CUIVRE</t>
        </is>
      </c>
      <c r="L4944">
        <f>_xlfn.XLOOKUP(Tableau1[[#This Row],[TYPE DE PIECE]],Tableau4[MATIERE],Tableau4[SHORT TYPE],"",0,1)</f>
        <v/>
      </c>
      <c r="N4944">
        <f>IF(ISERR(FIND("DECOUPE",Tableau1[[#This Row],[DESIGNATION]])),"","NEED REF")</f>
        <v/>
      </c>
    </row>
    <row r="4945">
      <c r="B4945" t="n">
        <v>34409061</v>
      </c>
      <c r="C4945" s="2" t="n">
        <v>44181</v>
      </c>
      <c r="D4945" t="inlineStr">
        <is>
          <t>SPEC</t>
        </is>
      </c>
      <c r="E4945" t="inlineStr">
        <is>
          <t>COP INTERCO KTA DC 2</t>
        </is>
      </c>
      <c r="G4945" t="inlineStr">
        <is>
          <t>GVX</t>
        </is>
      </c>
      <c r="H4945" t="inlineStr">
        <is>
          <t>IO</t>
        </is>
      </c>
      <c r="J4945" t="inlineStr">
        <is>
          <t>MATRION</t>
        </is>
      </c>
      <c r="K4945" t="inlineStr">
        <is>
          <t>CUIVRE</t>
        </is>
      </c>
      <c r="L4945">
        <f>_xlfn.XLOOKUP(Tableau1[[#This Row],[TYPE DE PIECE]],Tableau4[MATIERE],Tableau4[SHORT TYPE],"",0,1)</f>
        <v/>
      </c>
      <c r="N4945">
        <f>IF(ISERR(FIND("DECOUPE",Tableau1[[#This Row],[DESIGNATION]])),"","NEED REF")</f>
        <v/>
      </c>
    </row>
    <row r="4946">
      <c r="B4946" t="n">
        <v>34409060</v>
      </c>
      <c r="C4946" s="2" t="n">
        <v>44181</v>
      </c>
      <c r="D4946" t="inlineStr">
        <is>
          <t>SPEC</t>
        </is>
      </c>
      <c r="E4946" t="inlineStr">
        <is>
          <t>COP INTERCO KTA DC 1</t>
        </is>
      </c>
      <c r="G4946" t="inlineStr">
        <is>
          <t>GVX</t>
        </is>
      </c>
      <c r="H4946" t="inlineStr">
        <is>
          <t>IO</t>
        </is>
      </c>
      <c r="J4946" t="inlineStr">
        <is>
          <t>MATRION</t>
        </is>
      </c>
      <c r="K4946" t="inlineStr">
        <is>
          <t>CUIVRE</t>
        </is>
      </c>
      <c r="L4946">
        <f>_xlfn.XLOOKUP(Tableau1[[#This Row],[TYPE DE PIECE]],Tableau4[MATIERE],Tableau4[SHORT TYPE],"",0,1)</f>
        <v/>
      </c>
      <c r="N4946">
        <f>IF(ISERR(FIND("DECOUPE",Tableau1[[#This Row],[DESIGNATION]])),"","NEED REF")</f>
        <v/>
      </c>
    </row>
    <row r="4947">
      <c r="B4947" t="n">
        <v>34409059</v>
      </c>
      <c r="C4947" s="2" t="n">
        <v>44181</v>
      </c>
      <c r="D4947" t="inlineStr">
        <is>
          <t>SPEC</t>
        </is>
      </c>
      <c r="E4947" t="inlineStr">
        <is>
          <t>COP INTERCO KTA AC</t>
        </is>
      </c>
      <c r="G4947" t="inlineStr">
        <is>
          <t>GVX</t>
        </is>
      </c>
      <c r="H4947" t="inlineStr">
        <is>
          <t>IO</t>
        </is>
      </c>
      <c r="J4947" t="inlineStr">
        <is>
          <t>MATRION</t>
        </is>
      </c>
      <c r="K4947" t="inlineStr">
        <is>
          <t>CUIVRE</t>
        </is>
      </c>
      <c r="L4947">
        <f>_xlfn.XLOOKUP(Tableau1[[#This Row],[TYPE DE PIECE]],Tableau4[MATIERE],Tableau4[SHORT TYPE],"",0,1)</f>
        <v/>
      </c>
      <c r="N4947">
        <f>IF(ISERR(FIND("DECOUPE",Tableau1[[#This Row],[DESIGNATION]])),"","NEED REF")</f>
        <v/>
      </c>
    </row>
    <row r="4948">
      <c r="B4948" t="n">
        <v>34409058</v>
      </c>
      <c r="C4948" s="2" t="n">
        <v>44180</v>
      </c>
      <c r="D4948" t="inlineStr">
        <is>
          <t>SPEC</t>
        </is>
      </c>
      <c r="E4948" t="inlineStr">
        <is>
          <t>PLAQUE TGAB KXA_110x6x2_P10_DC</t>
        </is>
      </c>
      <c r="G4948" t="inlineStr">
        <is>
          <t>GVX</t>
        </is>
      </c>
      <c r="J4948" t="inlineStr">
        <is>
          <t>MASCELLINO</t>
        </is>
      </c>
      <c r="K4948" t="inlineStr">
        <is>
          <t>METAL</t>
        </is>
      </c>
      <c r="L4948">
        <f>_xlfn.XLOOKUP(Tableau1[[#This Row],[TYPE DE PIECE]],Tableau4[MATIERE],Tableau4[SHORT TYPE],"",0,1)</f>
        <v/>
      </c>
      <c r="N4948">
        <f>IF(ISERR(FIND("DECOUPE",Tableau1[[#This Row],[DESIGNATION]])),"","NEED REF")</f>
        <v/>
      </c>
    </row>
    <row r="4949">
      <c r="B4949" t="n">
        <v>34409057</v>
      </c>
      <c r="C4949" s="2" t="n">
        <v>44180</v>
      </c>
      <c r="D4949" t="inlineStr">
        <is>
          <t>SPEC</t>
        </is>
      </c>
      <c r="E4949" t="inlineStr">
        <is>
          <t>PLAQUE TGAB KXA20504</t>
        </is>
      </c>
      <c r="G4949" t="inlineStr">
        <is>
          <t>GVX</t>
        </is>
      </c>
      <c r="J4949" t="inlineStr">
        <is>
          <t>MASCELLINO</t>
        </is>
      </c>
      <c r="K4949" t="inlineStr">
        <is>
          <t>METAL</t>
        </is>
      </c>
      <c r="L4949">
        <f>_xlfn.XLOOKUP(Tableau1[[#This Row],[TYPE DE PIECE]],Tableau4[MATIERE],Tableau4[SHORT TYPE],"",0,1)</f>
        <v/>
      </c>
      <c r="N4949">
        <f>IF(ISERR(FIND("DECOUPE",Tableau1[[#This Row],[DESIGNATION]])),"","NEED REF")</f>
        <v/>
      </c>
    </row>
    <row r="4950">
      <c r="B4950" t="n">
        <v>34409056</v>
      </c>
      <c r="C4950" s="2" t="n">
        <v>44180</v>
      </c>
      <c r="D4950" t="inlineStr">
        <is>
          <t>SPEC</t>
        </is>
      </c>
      <c r="E4950" t="inlineStr">
        <is>
          <t>PLAQUE TGAB KTA2500</t>
        </is>
      </c>
      <c r="G4950" t="inlineStr">
        <is>
          <t>GVX</t>
        </is>
      </c>
      <c r="J4950" t="inlineStr">
        <is>
          <t>MASCELLINO</t>
        </is>
      </c>
      <c r="K4950" t="inlineStr">
        <is>
          <t>METAL</t>
        </is>
      </c>
      <c r="L4950">
        <f>_xlfn.XLOOKUP(Tableau1[[#This Row],[TYPE DE PIECE]],Tableau4[MATIERE],Tableau4[SHORT TYPE],"",0,1)</f>
        <v/>
      </c>
      <c r="N4950">
        <f>IF(ISERR(FIND("DECOUPE",Tableau1[[#This Row],[DESIGNATION]])),"","NEED REF")</f>
        <v/>
      </c>
    </row>
    <row r="4951">
      <c r="B4951" t="n">
        <v>34409055</v>
      </c>
      <c r="C4951" s="2" t="n">
        <v>44180</v>
      </c>
      <c r="D4951" t="inlineStr">
        <is>
          <t>SPEC</t>
        </is>
      </c>
      <c r="E4951" t="inlineStr">
        <is>
          <t>COP LIAISON BAS LOAD 1</t>
        </is>
      </c>
      <c r="G4951" t="inlineStr">
        <is>
          <t>GVX</t>
        </is>
      </c>
      <c r="H4951" t="inlineStr">
        <is>
          <t>IO</t>
        </is>
      </c>
      <c r="J4951" t="inlineStr">
        <is>
          <t>MATRION</t>
        </is>
      </c>
      <c r="K4951" t="inlineStr">
        <is>
          <t>CUIVRE</t>
        </is>
      </c>
      <c r="L4951">
        <f>_xlfn.XLOOKUP(Tableau1[[#This Row],[TYPE DE PIECE]],Tableau4[MATIERE],Tableau4[SHORT TYPE],"",0,1)</f>
        <v/>
      </c>
      <c r="N4951">
        <f>IF(ISERR(FIND("DECOUPE",Tableau1[[#This Row],[DESIGNATION]])),"","NEED REF")</f>
        <v/>
      </c>
    </row>
    <row r="4952">
      <c r="B4952" t="n">
        <v>34409054</v>
      </c>
      <c r="C4952" s="2" t="n">
        <v>44179</v>
      </c>
      <c r="D4952" t="inlineStr">
        <is>
          <t>SPEC</t>
        </is>
      </c>
      <c r="E4952" t="inlineStr">
        <is>
          <t>PALETTE AMZON</t>
        </is>
      </c>
      <c r="J4952" t="inlineStr">
        <is>
          <t>MATRION</t>
        </is>
      </c>
      <c r="K4952" t="inlineStr">
        <is>
          <t>PALETTE</t>
        </is>
      </c>
      <c r="L4952">
        <f>_xlfn.XLOOKUP(Tableau1[[#This Row],[TYPE DE PIECE]],Tableau4[MATIERE],Tableau4[SHORT TYPE],"",0,1)</f>
        <v/>
      </c>
      <c r="N4952">
        <f>IF(ISERR(FIND("DECOUPE",Tableau1[[#This Row],[DESIGNATION]])),"","NEED REF")</f>
        <v/>
      </c>
    </row>
    <row r="4953">
      <c r="B4953" t="n">
        <v>34409053</v>
      </c>
      <c r="C4953" s="2" t="n">
        <v>44179</v>
      </c>
      <c r="D4953" t="inlineStr">
        <is>
          <t>SPEC</t>
        </is>
      </c>
      <c r="E4953" t="inlineStr">
        <is>
          <t>SUPPORT 50</t>
        </is>
      </c>
      <c r="G4953" t="inlineStr">
        <is>
          <t>GVX</t>
        </is>
      </c>
      <c r="J4953" t="inlineStr">
        <is>
          <t>MASCELLINO</t>
        </is>
      </c>
      <c r="K4953" t="inlineStr">
        <is>
          <t>METAL</t>
        </is>
      </c>
      <c r="L4953">
        <f>_xlfn.XLOOKUP(Tableau1[[#This Row],[TYPE DE PIECE]],Tableau4[MATIERE],Tableau4[SHORT TYPE],"",0,1)</f>
        <v/>
      </c>
      <c r="N4953">
        <f>IF(ISERR(FIND("DECOUPE",Tableau1[[#This Row],[DESIGNATION]])),"","NEED REF")</f>
        <v/>
      </c>
    </row>
    <row r="4954">
      <c r="B4954" t="n">
        <v>34409052</v>
      </c>
      <c r="C4954" s="2" t="n">
        <v>44179</v>
      </c>
      <c r="D4954" t="inlineStr">
        <is>
          <t>SPEC</t>
        </is>
      </c>
      <c r="E4954" t="inlineStr">
        <is>
          <t>SUPPORT 80</t>
        </is>
      </c>
      <c r="G4954" t="inlineStr">
        <is>
          <t>GVX</t>
        </is>
      </c>
      <c r="J4954" t="inlineStr">
        <is>
          <t>MASCELLINO</t>
        </is>
      </c>
      <c r="K4954" t="inlineStr">
        <is>
          <t>METAL</t>
        </is>
      </c>
      <c r="L4954">
        <f>_xlfn.XLOOKUP(Tableau1[[#This Row],[TYPE DE PIECE]],Tableau4[MATIERE],Tableau4[SHORT TYPE],"",0,1)</f>
        <v/>
      </c>
      <c r="N4954">
        <f>IF(ISERR(FIND("DECOUPE",Tableau1[[#This Row],[DESIGNATION]])),"","NEED REF")</f>
        <v/>
      </c>
    </row>
    <row r="4955">
      <c r="B4955" t="n">
        <v>34409051</v>
      </c>
      <c r="C4955" s="2" t="n">
        <v>44179</v>
      </c>
      <c r="D4955" t="inlineStr">
        <is>
          <t>SPEC</t>
        </is>
      </c>
      <c r="E4955" t="inlineStr">
        <is>
          <t>PLAQUE TGAB KXA_110x6x2_P10_DC</t>
        </is>
      </c>
      <c r="G4955" t="inlineStr">
        <is>
          <t>GVX</t>
        </is>
      </c>
      <c r="J4955" t="inlineStr">
        <is>
          <t>MASCELLINO</t>
        </is>
      </c>
      <c r="K4955" t="inlineStr">
        <is>
          <t>METAL</t>
        </is>
      </c>
      <c r="L4955">
        <f>_xlfn.XLOOKUP(Tableau1[[#This Row],[TYPE DE PIECE]],Tableau4[MATIERE],Tableau4[SHORT TYPE],"",0,1)</f>
        <v/>
      </c>
      <c r="N4955">
        <f>IF(ISERR(FIND("DECOUPE",Tableau1[[#This Row],[DESIGNATION]])),"","NEED REF")</f>
        <v/>
      </c>
    </row>
    <row r="4956">
      <c r="B4956" t="n">
        <v>34409050</v>
      </c>
      <c r="C4956" s="2" t="n">
        <v>44179</v>
      </c>
      <c r="D4956" t="inlineStr">
        <is>
          <t>SPEC</t>
        </is>
      </c>
      <c r="E4956" t="inlineStr">
        <is>
          <t>PLAQUE TGAB KXA20504</t>
        </is>
      </c>
      <c r="G4956" t="inlineStr">
        <is>
          <t>GVX</t>
        </is>
      </c>
      <c r="J4956" t="inlineStr">
        <is>
          <t>MASCELLINO</t>
        </is>
      </c>
      <c r="K4956" t="inlineStr">
        <is>
          <t>METAL</t>
        </is>
      </c>
      <c r="L4956">
        <f>_xlfn.XLOOKUP(Tableau1[[#This Row],[TYPE DE PIECE]],Tableau4[MATIERE],Tableau4[SHORT TYPE],"",0,1)</f>
        <v/>
      </c>
      <c r="N4956">
        <f>IF(ISERR(FIND("DECOUPE",Tableau1[[#This Row],[DESIGNATION]])),"","NEED REF")</f>
        <v/>
      </c>
    </row>
    <row r="4957">
      <c r="B4957" t="n">
        <v>34409049</v>
      </c>
      <c r="C4957" s="2" t="n">
        <v>44179</v>
      </c>
      <c r="D4957" t="inlineStr">
        <is>
          <t>SPEC</t>
        </is>
      </c>
      <c r="E4957" t="inlineStr">
        <is>
          <t>PLAQUE TGAB KTA2500</t>
        </is>
      </c>
      <c r="G4957" t="inlineStr">
        <is>
          <t>GVX</t>
        </is>
      </c>
      <c r="J4957" t="inlineStr">
        <is>
          <t>MASCELLINO</t>
        </is>
      </c>
      <c r="K4957" t="inlineStr">
        <is>
          <t>METAL</t>
        </is>
      </c>
      <c r="L4957">
        <f>_xlfn.XLOOKUP(Tableau1[[#This Row],[TYPE DE PIECE]],Tableau4[MATIERE],Tableau4[SHORT TYPE],"",0,1)</f>
        <v/>
      </c>
      <c r="N4957">
        <f>IF(ISERR(FIND("DECOUPE",Tableau1[[#This Row],[DESIGNATION]])),"","NEED REF")</f>
        <v/>
      </c>
    </row>
    <row r="4958">
      <c r="B4958" t="n">
        <v>34409048</v>
      </c>
      <c r="C4958" s="2" t="n">
        <v>44179</v>
      </c>
      <c r="D4958" t="inlineStr">
        <is>
          <t>SPEC</t>
        </is>
      </c>
      <c r="E4958" t="inlineStr">
        <is>
          <t>SMT IP ANGLE 2</t>
        </is>
      </c>
      <c r="G4958" t="inlineStr">
        <is>
          <t>GVE</t>
        </is>
      </c>
      <c r="H4958" t="inlineStr">
        <is>
          <t>AUX</t>
        </is>
      </c>
      <c r="J4958" t="inlineStr">
        <is>
          <t>MATRION</t>
        </is>
      </c>
      <c r="K4958" t="inlineStr">
        <is>
          <t>METAL</t>
        </is>
      </c>
      <c r="L4958">
        <f>_xlfn.XLOOKUP(Tableau1[[#This Row],[TYPE DE PIECE]],Tableau4[MATIERE],Tableau4[SHORT TYPE],"",0,1)</f>
        <v/>
      </c>
      <c r="N4958">
        <f>IF(ISERR(FIND("DECOUPE",Tableau1[[#This Row],[DESIGNATION]])),"","NEED REF")</f>
        <v/>
      </c>
    </row>
    <row r="4959">
      <c r="B4959" t="n">
        <v>34409047</v>
      </c>
      <c r="C4959" s="2" t="n">
        <v>44179</v>
      </c>
      <c r="D4959" t="inlineStr">
        <is>
          <t>SPEC</t>
        </is>
      </c>
      <c r="E4959" t="inlineStr">
        <is>
          <t>SMT IP ANGLE 1</t>
        </is>
      </c>
      <c r="G4959" t="inlineStr">
        <is>
          <t>GVE</t>
        </is>
      </c>
      <c r="H4959" t="inlineStr">
        <is>
          <t>AUX</t>
        </is>
      </c>
      <c r="J4959" t="inlineStr">
        <is>
          <t>MATRION</t>
        </is>
      </c>
      <c r="K4959" t="inlineStr">
        <is>
          <t>METAL</t>
        </is>
      </c>
      <c r="L4959">
        <f>_xlfn.XLOOKUP(Tableau1[[#This Row],[TYPE DE PIECE]],Tableau4[MATIERE],Tableau4[SHORT TYPE],"",0,1)</f>
        <v/>
      </c>
      <c r="N4959">
        <f>IF(ISERR(FIND("DECOUPE",Tableau1[[#This Row],[DESIGNATION]])),"","NEED REF")</f>
        <v/>
      </c>
    </row>
    <row r="4960">
      <c r="B4960" t="n">
        <v>34409046</v>
      </c>
      <c r="C4960" s="2" t="n">
        <v>44179</v>
      </c>
      <c r="D4960" t="inlineStr">
        <is>
          <t>SPEC</t>
        </is>
      </c>
      <c r="E4960" t="inlineStr">
        <is>
          <t>COP S UTIL N</t>
        </is>
      </c>
      <c r="G4960" t="inlineStr">
        <is>
          <t>GVX</t>
        </is>
      </c>
      <c r="H4960" t="inlineStr">
        <is>
          <t>IO</t>
        </is>
      </c>
      <c r="J4960" t="inlineStr">
        <is>
          <t>MATRION</t>
        </is>
      </c>
      <c r="K4960" t="inlineStr">
        <is>
          <t>CUIVRE</t>
        </is>
      </c>
      <c r="L4960">
        <f>_xlfn.XLOOKUP(Tableau1[[#This Row],[TYPE DE PIECE]],Tableau4[MATIERE],Tableau4[SHORT TYPE],"",0,1)</f>
        <v/>
      </c>
      <c r="N4960">
        <f>IF(ISERR(FIND("DECOUPE",Tableau1[[#This Row],[DESIGNATION]])),"","NEED REF")</f>
        <v/>
      </c>
    </row>
    <row r="4961">
      <c r="B4961" t="n">
        <v>34409045</v>
      </c>
      <c r="C4961" s="2" t="n">
        <v>44179</v>
      </c>
      <c r="D4961" t="inlineStr">
        <is>
          <t>SPEC</t>
        </is>
      </c>
      <c r="E4961" t="inlineStr">
        <is>
          <t>COP S UTIL L1</t>
        </is>
      </c>
      <c r="G4961" t="inlineStr">
        <is>
          <t>GVX</t>
        </is>
      </c>
      <c r="H4961" t="inlineStr">
        <is>
          <t>IO</t>
        </is>
      </c>
      <c r="J4961" t="inlineStr">
        <is>
          <t>MATRION</t>
        </is>
      </c>
      <c r="K4961" t="inlineStr">
        <is>
          <t>CUIVRE</t>
        </is>
      </c>
      <c r="L4961">
        <f>_xlfn.XLOOKUP(Tableau1[[#This Row],[TYPE DE PIECE]],Tableau4[MATIERE],Tableau4[SHORT TYPE],"",0,1)</f>
        <v/>
      </c>
      <c r="N4961">
        <f>IF(ISERR(FIND("DECOUPE",Tableau1[[#This Row],[DESIGNATION]])),"","NEED REF")</f>
        <v/>
      </c>
    </row>
    <row r="4962">
      <c r="B4962" t="n">
        <v>34409044</v>
      </c>
      <c r="C4962" s="2" t="n">
        <v>44179</v>
      </c>
      <c r="D4962" t="inlineStr">
        <is>
          <t>SPEC</t>
        </is>
      </c>
      <c r="E4962" t="inlineStr">
        <is>
          <t>COP S UTIL L2</t>
        </is>
      </c>
      <c r="G4962" t="inlineStr">
        <is>
          <t>GVX</t>
        </is>
      </c>
      <c r="H4962" t="inlineStr">
        <is>
          <t>IO</t>
        </is>
      </c>
      <c r="J4962" t="inlineStr">
        <is>
          <t>MATRION</t>
        </is>
      </c>
      <c r="K4962" t="inlineStr">
        <is>
          <t>CUIVRE</t>
        </is>
      </c>
      <c r="L4962">
        <f>_xlfn.XLOOKUP(Tableau1[[#This Row],[TYPE DE PIECE]],Tableau4[MATIERE],Tableau4[SHORT TYPE],"",0,1)</f>
        <v/>
      </c>
      <c r="N4962">
        <f>IF(ISERR(FIND("DECOUPE",Tableau1[[#This Row],[DESIGNATION]])),"","NEED REF")</f>
        <v/>
      </c>
    </row>
    <row r="4963">
      <c r="B4963" t="n">
        <v>34409043</v>
      </c>
      <c r="C4963" s="2" t="n">
        <v>44179</v>
      </c>
      <c r="D4963" t="inlineStr">
        <is>
          <t>SPEC</t>
        </is>
      </c>
      <c r="E4963" t="inlineStr">
        <is>
          <t>COP U LUTIL L3</t>
        </is>
      </c>
      <c r="G4963" t="inlineStr">
        <is>
          <t>GVX</t>
        </is>
      </c>
      <c r="H4963" t="inlineStr">
        <is>
          <t>IO</t>
        </is>
      </c>
      <c r="J4963" t="inlineStr">
        <is>
          <t>MATRION</t>
        </is>
      </c>
      <c r="K4963" t="inlineStr">
        <is>
          <t>CUIVRE</t>
        </is>
      </c>
      <c r="L4963">
        <f>_xlfn.XLOOKUP(Tableau1[[#This Row],[TYPE DE PIECE]],Tableau4[MATIERE],Tableau4[SHORT TYPE],"",0,1)</f>
        <v/>
      </c>
      <c r="N4963">
        <f>IF(ISERR(FIND("DECOUPE",Tableau1[[#This Row],[DESIGNATION]])),"","NEED REF")</f>
        <v/>
      </c>
    </row>
    <row r="4964">
      <c r="B4964" t="n">
        <v>34409042</v>
      </c>
      <c r="C4964" s="2" t="n">
        <v>44179</v>
      </c>
      <c r="D4964" t="inlineStr">
        <is>
          <t>SPEC</t>
        </is>
      </c>
      <c r="E4964" t="inlineStr">
        <is>
          <t>SMT EQUERRE ISOLATION AC</t>
        </is>
      </c>
      <c r="G4964" t="inlineStr">
        <is>
          <t>GVX</t>
        </is>
      </c>
      <c r="H4964" t="inlineStr">
        <is>
          <t>IO</t>
        </is>
      </c>
      <c r="J4964" t="inlineStr">
        <is>
          <t>MATRION</t>
        </is>
      </c>
      <c r="K4964" t="inlineStr">
        <is>
          <t>METAL</t>
        </is>
      </c>
      <c r="L4964">
        <f>_xlfn.XLOOKUP(Tableau1[[#This Row],[TYPE DE PIECE]],Tableau4[MATIERE],Tableau4[SHORT TYPE],"",0,1)</f>
        <v/>
      </c>
      <c r="N4964">
        <f>IF(ISERR(FIND("DECOUPE",Tableau1[[#This Row],[DESIGNATION]])),"","NEED REF")</f>
        <v/>
      </c>
    </row>
    <row r="4965">
      <c r="B4965" t="n">
        <v>34409041</v>
      </c>
      <c r="C4965" s="2" t="n">
        <v>44179</v>
      </c>
      <c r="D4965" t="inlineStr">
        <is>
          <t>SPEC</t>
        </is>
      </c>
      <c r="E4965" t="inlineStr">
        <is>
          <t>PLS ISOLATION AC</t>
        </is>
      </c>
      <c r="G4965" t="inlineStr">
        <is>
          <t>GVX</t>
        </is>
      </c>
      <c r="H4965" t="inlineStr">
        <is>
          <t>IO</t>
        </is>
      </c>
      <c r="J4965" t="inlineStr">
        <is>
          <t>MATRION</t>
        </is>
      </c>
      <c r="K4965" t="inlineStr">
        <is>
          <t>PLASTIQUE</t>
        </is>
      </c>
      <c r="L4965">
        <f>_xlfn.XLOOKUP(Tableau1[[#This Row],[TYPE DE PIECE]],Tableau4[MATIERE],Tableau4[SHORT TYPE],"",0,1)</f>
        <v/>
      </c>
      <c r="N4965">
        <f>IF(ISERR(FIND("DECOUPE",Tableau1[[#This Row],[DESIGNATION]])),"","NEED REF")</f>
        <v/>
      </c>
    </row>
    <row r="4966">
      <c r="B4966" t="n">
        <v>34409040</v>
      </c>
      <c r="C4966" s="2" t="n">
        <v>44176</v>
      </c>
      <c r="D4966" t="inlineStr">
        <is>
          <t>SPEC</t>
        </is>
      </c>
      <c r="E4966" t="inlineStr">
        <is>
          <t>PLS ISOLATION DC</t>
        </is>
      </c>
      <c r="G4966" t="inlineStr">
        <is>
          <t>GVX</t>
        </is>
      </c>
      <c r="H4966" t="inlineStr">
        <is>
          <t>IO</t>
        </is>
      </c>
      <c r="J4966" t="inlineStr">
        <is>
          <t>MATRION</t>
        </is>
      </c>
      <c r="K4966" t="inlineStr">
        <is>
          <t>PLASTIQUE</t>
        </is>
      </c>
      <c r="L4966">
        <f>_xlfn.XLOOKUP(Tableau1[[#This Row],[TYPE DE PIECE]],Tableau4[MATIERE],Tableau4[SHORT TYPE],"",0,1)</f>
        <v/>
      </c>
      <c r="N4966">
        <f>IF(ISERR(FIND("DECOUPE",Tableau1[[#This Row],[DESIGNATION]])),"","NEED REF")</f>
        <v/>
      </c>
    </row>
    <row r="4967">
      <c r="B4967" t="n">
        <v>34409039</v>
      </c>
      <c r="C4967" s="2" t="n">
        <v>44176</v>
      </c>
      <c r="D4967" t="inlineStr">
        <is>
          <t>SPEC</t>
        </is>
      </c>
      <c r="E4967" t="inlineStr">
        <is>
          <t>PLS SUPPORT LINERGY 2</t>
        </is>
      </c>
      <c r="G4967" t="inlineStr">
        <is>
          <t>GVX</t>
        </is>
      </c>
      <c r="H4967" t="inlineStr">
        <is>
          <t>IO</t>
        </is>
      </c>
      <c r="J4967" t="inlineStr">
        <is>
          <t>MATRION</t>
        </is>
      </c>
      <c r="K4967" t="inlineStr">
        <is>
          <t>PLASTIQUE</t>
        </is>
      </c>
      <c r="L4967">
        <f>_xlfn.XLOOKUP(Tableau1[[#This Row],[TYPE DE PIECE]],Tableau4[MATIERE],Tableau4[SHORT TYPE],"",0,1)</f>
        <v/>
      </c>
      <c r="N4967">
        <f>IF(ISERR(FIND("DECOUPE",Tableau1[[#This Row],[DESIGNATION]])),"","NEED REF")</f>
        <v/>
      </c>
    </row>
    <row r="4968">
      <c r="B4968" t="n">
        <v>34409038</v>
      </c>
      <c r="C4968" s="2" t="n">
        <v>44176</v>
      </c>
      <c r="D4968" t="inlineStr">
        <is>
          <t>SPEC</t>
        </is>
      </c>
      <c r="E4968" t="inlineStr">
        <is>
          <t>PLS SUPPORT LINERGY 1</t>
        </is>
      </c>
      <c r="G4968" t="inlineStr">
        <is>
          <t>GVX</t>
        </is>
      </c>
      <c r="H4968" t="inlineStr">
        <is>
          <t>IO</t>
        </is>
      </c>
      <c r="J4968" t="inlineStr">
        <is>
          <t>MATRION</t>
        </is>
      </c>
      <c r="K4968" t="inlineStr">
        <is>
          <t>PLASTIQUE</t>
        </is>
      </c>
      <c r="L4968">
        <f>_xlfn.XLOOKUP(Tableau1[[#This Row],[TYPE DE PIECE]],Tableau4[MATIERE],Tableau4[SHORT TYPE],"",0,1)</f>
        <v/>
      </c>
      <c r="N4968">
        <f>IF(ISERR(FIND("DECOUPE",Tableau1[[#This Row],[DESIGNATION]])),"","NEED REF")</f>
        <v/>
      </c>
    </row>
    <row r="4969">
      <c r="B4969" t="n">
        <v>34409037</v>
      </c>
      <c r="C4969" s="2" t="n">
        <v>44176</v>
      </c>
      <c r="D4969" t="inlineStr">
        <is>
          <t>SPEC</t>
        </is>
      </c>
      <c r="E4969" t="inlineStr">
        <is>
          <t>SMT SUPPORT MONTAGE LINERGY 2</t>
        </is>
      </c>
      <c r="G4969" t="inlineStr">
        <is>
          <t>GVX</t>
        </is>
      </c>
      <c r="H4969" t="inlineStr">
        <is>
          <t>IO</t>
        </is>
      </c>
      <c r="J4969" t="inlineStr">
        <is>
          <t>MATRION</t>
        </is>
      </c>
      <c r="K4969" t="inlineStr">
        <is>
          <t>METAL</t>
        </is>
      </c>
      <c r="L4969">
        <f>_xlfn.XLOOKUP(Tableau1[[#This Row],[TYPE DE PIECE]],Tableau4[MATIERE],Tableau4[SHORT TYPE],"",0,1)</f>
        <v/>
      </c>
      <c r="N4969">
        <f>IF(ISERR(FIND("DECOUPE",Tableau1[[#This Row],[DESIGNATION]])),"","NEED REF")</f>
        <v/>
      </c>
    </row>
    <row r="4970">
      <c r="B4970" t="n">
        <v>34409036</v>
      </c>
      <c r="C4970" s="2" t="n">
        <v>44176</v>
      </c>
      <c r="D4970" t="inlineStr">
        <is>
          <t>SPEC</t>
        </is>
      </c>
      <c r="E4970" t="inlineStr">
        <is>
          <t>SMT SOCKET LINERGY GO03 6MM</t>
        </is>
      </c>
      <c r="G4970" t="inlineStr">
        <is>
          <t>GVX</t>
        </is>
      </c>
      <c r="H4970" t="inlineStr">
        <is>
          <t>IO</t>
        </is>
      </c>
      <c r="J4970" t="inlineStr">
        <is>
          <t>MATRION</t>
        </is>
      </c>
      <c r="K4970" t="inlineStr">
        <is>
          <t>PLASTIQUE</t>
        </is>
      </c>
      <c r="L4970">
        <f>_xlfn.XLOOKUP(Tableau1[[#This Row],[TYPE DE PIECE]],Tableau4[MATIERE],Tableau4[SHORT TYPE],"",0,1)</f>
        <v/>
      </c>
      <c r="N4970">
        <f>IF(ISERR(FIND("DECOUPE",Tableau1[[#This Row],[DESIGNATION]])),"","NEED REF")</f>
        <v/>
      </c>
    </row>
    <row r="4971">
      <c r="B4971" t="n">
        <v>34409035</v>
      </c>
      <c r="C4971" s="2" t="n">
        <v>44176</v>
      </c>
      <c r="D4971" t="inlineStr">
        <is>
          <t>SPEC</t>
        </is>
      </c>
      <c r="E4971" t="inlineStr">
        <is>
          <t>SMT SUPPORT MONTAGE LINERGY 1</t>
        </is>
      </c>
      <c r="G4971" t="inlineStr">
        <is>
          <t>GVX</t>
        </is>
      </c>
      <c r="H4971" t="inlineStr">
        <is>
          <t>IO</t>
        </is>
      </c>
      <c r="J4971" t="inlineStr">
        <is>
          <t>MATRION</t>
        </is>
      </c>
      <c r="K4971" t="inlineStr">
        <is>
          <t>METAL</t>
        </is>
      </c>
      <c r="L4971">
        <f>_xlfn.XLOOKUP(Tableau1[[#This Row],[TYPE DE PIECE]],Tableau4[MATIERE],Tableau4[SHORT TYPE],"",0,1)</f>
        <v/>
      </c>
      <c r="N4971">
        <f>IF(ISERR(FIND("DECOUPE",Tableau1[[#This Row],[DESIGNATION]])),"","NEED REF")</f>
        <v/>
      </c>
    </row>
    <row r="4972">
      <c r="B4972" t="n">
        <v>34409034</v>
      </c>
      <c r="C4972" s="2" t="n">
        <v>44176</v>
      </c>
      <c r="D4972" t="inlineStr">
        <is>
          <t>SPEC</t>
        </is>
      </c>
      <c r="E4972" t="inlineStr">
        <is>
          <t>REHAUSSE IO1250 POUR TETE TOUTE MARQUES</t>
        </is>
      </c>
      <c r="G4972" t="inlineStr">
        <is>
          <t>GVX</t>
        </is>
      </c>
      <c r="H4972" t="inlineStr">
        <is>
          <t>IO</t>
        </is>
      </c>
      <c r="J4972" t="inlineStr">
        <is>
          <t>MATRION</t>
        </is>
      </c>
      <c r="K4972" t="inlineStr">
        <is>
          <t>METAL</t>
        </is>
      </c>
      <c r="L4972">
        <f>_xlfn.XLOOKUP(Tableau1[[#This Row],[TYPE DE PIECE]],Tableau4[MATIERE],Tableau4[SHORT TYPE],"",0,1)</f>
        <v/>
      </c>
      <c r="N4972">
        <f>IF(ISERR(FIND("DECOUPE",Tableau1[[#This Row],[DESIGNATION]])),"","NEED REF")</f>
        <v/>
      </c>
    </row>
    <row r="4973">
      <c r="B4973" t="n">
        <v>34409033</v>
      </c>
      <c r="C4973" s="2" t="n">
        <v>44175</v>
      </c>
      <c r="D4973" t="inlineStr">
        <is>
          <t>SPEC</t>
        </is>
      </c>
      <c r="E4973" t="inlineStr">
        <is>
          <t>SMT PLASTRON DOUBLE COMPACT NS CMD ROT</t>
        </is>
      </c>
      <c r="G4973" t="inlineStr">
        <is>
          <t>GVX</t>
        </is>
      </c>
      <c r="H4973" t="inlineStr">
        <is>
          <t>BYPASS</t>
        </is>
      </c>
      <c r="J4973" t="inlineStr">
        <is>
          <t>MASCELLINO</t>
        </is>
      </c>
      <c r="K4973" t="inlineStr">
        <is>
          <t>METAL</t>
        </is>
      </c>
      <c r="L4973">
        <f>_xlfn.XLOOKUP(Tableau1[[#This Row],[TYPE DE PIECE]],Tableau4[MATIERE],Tableau4[SHORT TYPE],"",0,1)</f>
        <v/>
      </c>
      <c r="N4973">
        <f>IF(ISERR(FIND("DECOUPE",Tableau1[[#This Row],[DESIGNATION]])),"","NEED REF")</f>
        <v/>
      </c>
    </row>
    <row r="4974">
      <c r="B4974" t="n">
        <v>34409032</v>
      </c>
      <c r="C4974" s="2" t="n">
        <v>44174</v>
      </c>
      <c r="D4974" t="inlineStr">
        <is>
          <t>SPEC</t>
        </is>
      </c>
      <c r="E4974" t="inlineStr">
        <is>
          <t>WOOD SIDE PLANK</t>
        </is>
      </c>
      <c r="F4974" t="inlineStr">
        <is>
          <t>EASY UPS</t>
        </is>
      </c>
      <c r="G4974" t="inlineStr">
        <is>
          <t>E3L</t>
        </is>
      </c>
      <c r="H4974" t="inlineStr">
        <is>
          <t>AUX</t>
        </is>
      </c>
      <c r="J4974" t="inlineStr">
        <is>
          <t>JAWORSKI</t>
        </is>
      </c>
      <c r="K4974" t="inlineStr">
        <is>
          <t>BOIS</t>
        </is>
      </c>
      <c r="L4974">
        <f>_xlfn.XLOOKUP(Tableau1[[#This Row],[TYPE DE PIECE]],Tableau4[MATIERE],Tableau4[SHORT TYPE],"",0,1)</f>
        <v/>
      </c>
      <c r="N4974">
        <f>IF(ISERR(FIND("DECOUPE",Tableau1[[#This Row],[DESIGNATION]])),"","NEED REF")</f>
        <v/>
      </c>
    </row>
    <row r="4975">
      <c r="B4975" t="n">
        <v>34409031</v>
      </c>
      <c r="C4975" s="2" t="n">
        <v>44174</v>
      </c>
      <c r="D4975" t="inlineStr">
        <is>
          <t>SPEC</t>
        </is>
      </c>
      <c r="E4975" t="inlineStr">
        <is>
          <t>MTZ1 630A Micrologic 5.0x H3 4P</t>
        </is>
      </c>
      <c r="J4975" t="inlineStr">
        <is>
          <t>MASCELLINO</t>
        </is>
      </c>
      <c r="L4975">
        <f>_xlfn.XLOOKUP(Tableau1[[#This Row],[TYPE DE PIECE]],Tableau4[MATIERE],Tableau4[SHORT TYPE],"",0,1)</f>
        <v/>
      </c>
      <c r="N4975">
        <f>IF(ISERR(FIND("DECOUPE",Tableau1[[#This Row],[DESIGNATION]])),"","NEED REF")</f>
        <v/>
      </c>
    </row>
    <row r="4976">
      <c r="B4976" t="n">
        <v>34409030</v>
      </c>
      <c r="C4976" s="2" t="n">
        <v>44174</v>
      </c>
      <c r="D4976" t="inlineStr">
        <is>
          <t>SPEC</t>
        </is>
      </c>
      <c r="E4976" t="inlineStr">
        <is>
          <t>SMT PLASTRON 2x iC60 3P</t>
        </is>
      </c>
      <c r="G4976" t="inlineStr">
        <is>
          <t>GVE</t>
        </is>
      </c>
      <c r="H4976" t="inlineStr">
        <is>
          <t>AUX</t>
        </is>
      </c>
      <c r="J4976" t="inlineStr">
        <is>
          <t>MATRION</t>
        </is>
      </c>
      <c r="K4976" t="inlineStr">
        <is>
          <t>METAL</t>
        </is>
      </c>
      <c r="L4976">
        <f>_xlfn.XLOOKUP(Tableau1[[#This Row],[TYPE DE PIECE]],Tableau4[MATIERE],Tableau4[SHORT TYPE],"",0,1)</f>
        <v/>
      </c>
      <c r="N4976">
        <f>IF(ISERR(FIND("DECOUPE",Tableau1[[#This Row],[DESIGNATION]])),"","NEED REF")</f>
        <v/>
      </c>
    </row>
    <row r="4977">
      <c r="B4977" t="n">
        <v>34409029</v>
      </c>
      <c r="C4977" s="2" t="n">
        <v>44174</v>
      </c>
      <c r="D4977" t="inlineStr">
        <is>
          <t>SPEC</t>
        </is>
      </c>
      <c r="E4977" t="inlineStr">
        <is>
          <t>WOOD FOOT BLOCK</t>
        </is>
      </c>
      <c r="F4977" t="inlineStr">
        <is>
          <t>EASY UPS</t>
        </is>
      </c>
      <c r="G4977" t="inlineStr">
        <is>
          <t>E3L</t>
        </is>
      </c>
      <c r="H4977" t="inlineStr">
        <is>
          <t>AUX</t>
        </is>
      </c>
      <c r="J4977" t="inlineStr">
        <is>
          <t>JAWORSKI</t>
        </is>
      </c>
      <c r="K4977" t="inlineStr">
        <is>
          <t>BOIS</t>
        </is>
      </c>
      <c r="L4977">
        <f>_xlfn.XLOOKUP(Tableau1[[#This Row],[TYPE DE PIECE]],Tableau4[MATIERE],Tableau4[SHORT TYPE],"",0,1)</f>
        <v/>
      </c>
      <c r="N4977">
        <f>IF(ISERR(FIND("DECOUPE",Tableau1[[#This Row],[DESIGNATION]])),"","NEED REF")</f>
        <v/>
      </c>
    </row>
    <row r="4978">
      <c r="B4978" t="n">
        <v>34409028</v>
      </c>
      <c r="C4978" s="2" t="n">
        <v>44174</v>
      </c>
      <c r="D4978" t="inlineStr">
        <is>
          <t>SPEC</t>
        </is>
      </c>
      <c r="E4978" t="inlineStr">
        <is>
          <t>WOOD TOP PLANK</t>
        </is>
      </c>
      <c r="F4978" t="inlineStr">
        <is>
          <t>EASY UPS</t>
        </is>
      </c>
      <c r="G4978" t="inlineStr">
        <is>
          <t>E3L</t>
        </is>
      </c>
      <c r="H4978" t="inlineStr">
        <is>
          <t>AUX</t>
        </is>
      </c>
      <c r="J4978" t="inlineStr">
        <is>
          <t>JAWORSKI</t>
        </is>
      </c>
      <c r="K4978" t="inlineStr">
        <is>
          <t>BOIS</t>
        </is>
      </c>
      <c r="L4978">
        <f>_xlfn.XLOOKUP(Tableau1[[#This Row],[TYPE DE PIECE]],Tableau4[MATIERE],Tableau4[SHORT TYPE],"",0,1)</f>
        <v/>
      </c>
      <c r="N4978">
        <f>IF(ISERR(FIND("DECOUPE",Tableau1[[#This Row],[DESIGNATION]])),"","NEED REF")</f>
        <v/>
      </c>
    </row>
    <row r="4979">
      <c r="B4979" t="n">
        <v>34409027</v>
      </c>
      <c r="C4979" s="2" t="n">
        <v>44174</v>
      </c>
      <c r="D4979" t="inlineStr">
        <is>
          <t>SPEC</t>
        </is>
      </c>
      <c r="E4979" t="inlineStr">
        <is>
          <t>WOOD BOTTOM PLANK</t>
        </is>
      </c>
      <c r="F4979" t="inlineStr">
        <is>
          <t>EASY UPS</t>
        </is>
      </c>
      <c r="G4979" t="inlineStr">
        <is>
          <t>E3L</t>
        </is>
      </c>
      <c r="H4979" t="inlineStr">
        <is>
          <t>AUX</t>
        </is>
      </c>
      <c r="J4979" t="inlineStr">
        <is>
          <t>JAWORSKI</t>
        </is>
      </c>
      <c r="K4979" t="inlineStr">
        <is>
          <t>BOIS</t>
        </is>
      </c>
      <c r="L4979">
        <f>_xlfn.XLOOKUP(Tableau1[[#This Row],[TYPE DE PIECE]],Tableau4[MATIERE],Tableau4[SHORT TYPE],"",0,1)</f>
        <v/>
      </c>
      <c r="N4979">
        <f>IF(ISERR(FIND("DECOUPE",Tableau1[[#This Row],[DESIGNATION]])),"","NEED REF")</f>
        <v/>
      </c>
    </row>
    <row r="4980">
      <c r="B4980" t="n">
        <v>34409026</v>
      </c>
      <c r="C4980" s="2" t="n">
        <v>44174</v>
      </c>
      <c r="D4980" t="inlineStr">
        <is>
          <t>SPEC</t>
        </is>
      </c>
      <c r="E4980" t="inlineStr">
        <is>
          <t>SMT PLASTRON BYPASS 3xINS250 700</t>
        </is>
      </c>
      <c r="G4980" t="inlineStr">
        <is>
          <t>GVE</t>
        </is>
      </c>
      <c r="H4980" t="inlineStr">
        <is>
          <t>AUX</t>
        </is>
      </c>
      <c r="J4980" t="inlineStr">
        <is>
          <t>MATRION</t>
        </is>
      </c>
      <c r="K4980" t="inlineStr">
        <is>
          <t>METAL</t>
        </is>
      </c>
      <c r="L4980">
        <f>_xlfn.XLOOKUP(Tableau1[[#This Row],[TYPE DE PIECE]],Tableau4[MATIERE],Tableau4[SHORT TYPE],"",0,1)</f>
        <v/>
      </c>
      <c r="N4980">
        <f>IF(ISERR(FIND("DECOUPE",Tableau1[[#This Row],[DESIGNATION]])),"","NEED REF")</f>
        <v/>
      </c>
    </row>
    <row r="4981">
      <c r="B4981" t="n">
        <v>34409025</v>
      </c>
      <c r="C4981" s="2" t="n">
        <v>44174</v>
      </c>
      <c r="D4981" t="inlineStr">
        <is>
          <t>SPEC</t>
        </is>
      </c>
      <c r="E4981" t="inlineStr">
        <is>
          <t>SMT FIX CABLES BYPASS INS250 700</t>
        </is>
      </c>
      <c r="G4981" t="inlineStr">
        <is>
          <t>GVE</t>
        </is>
      </c>
      <c r="H4981" t="inlineStr">
        <is>
          <t>AUX</t>
        </is>
      </c>
      <c r="J4981" t="inlineStr">
        <is>
          <t>MATRION</t>
        </is>
      </c>
      <c r="K4981" t="inlineStr">
        <is>
          <t>METAL</t>
        </is>
      </c>
      <c r="L4981">
        <f>_xlfn.XLOOKUP(Tableau1[[#This Row],[TYPE DE PIECE]],Tableau4[MATIERE],Tableau4[SHORT TYPE],"",0,1)</f>
        <v/>
      </c>
      <c r="N4981">
        <f>IF(ISERR(FIND("DECOUPE",Tableau1[[#This Row],[DESIGNATION]])),"","NEED REF")</f>
        <v/>
      </c>
    </row>
    <row r="4982">
      <c r="B4982" t="n">
        <v>34409024</v>
      </c>
      <c r="C4982" s="2" t="n">
        <v>44174</v>
      </c>
      <c r="D4982" t="inlineStr">
        <is>
          <t>SPEC</t>
        </is>
      </c>
      <c r="E4982" t="inlineStr">
        <is>
          <t>SMT SUPPORT INS250 4P 700</t>
        </is>
      </c>
      <c r="G4982" t="inlineStr">
        <is>
          <t>GVE</t>
        </is>
      </c>
      <c r="H4982" t="inlineStr">
        <is>
          <t>AUX</t>
        </is>
      </c>
      <c r="J4982" t="inlineStr">
        <is>
          <t>MATRION</t>
        </is>
      </c>
      <c r="K4982" t="inlineStr">
        <is>
          <t>METAL</t>
        </is>
      </c>
      <c r="L4982">
        <f>_xlfn.XLOOKUP(Tableau1[[#This Row],[TYPE DE PIECE]],Tableau4[MATIERE],Tableau4[SHORT TYPE],"",0,1)</f>
        <v/>
      </c>
      <c r="N4982">
        <f>IF(ISERR(FIND("DECOUPE",Tableau1[[#This Row],[DESIGNATION]])),"","NEED REF")</f>
        <v/>
      </c>
    </row>
    <row r="4983">
      <c r="B4983" t="n">
        <v>34409023</v>
      </c>
      <c r="C4983" s="2" t="n">
        <v>44172</v>
      </c>
      <c r="D4983" t="inlineStr">
        <is>
          <t>SPEC</t>
        </is>
      </c>
      <c r="E4983" t="inlineStr">
        <is>
          <t>CUIVRE NSX630 32x8</t>
        </is>
      </c>
      <c r="J4983" t="inlineStr">
        <is>
          <t>MASCELLINO</t>
        </is>
      </c>
      <c r="K4983" t="inlineStr">
        <is>
          <t>CUIVRE</t>
        </is>
      </c>
      <c r="L4983">
        <f>_xlfn.XLOOKUP(Tableau1[[#This Row],[TYPE DE PIECE]],Tableau4[MATIERE],Tableau4[SHORT TYPE],"",0,1)</f>
        <v/>
      </c>
      <c r="N4983">
        <f>IF(ISERR(FIND("DECOUPE",Tableau1[[#This Row],[DESIGNATION]])),"","NEED REF")</f>
        <v/>
      </c>
    </row>
    <row r="4984">
      <c r="B4984" t="n">
        <v>34409022</v>
      </c>
      <c r="C4984" s="2" t="n">
        <v>44172</v>
      </c>
      <c r="D4984" t="inlineStr">
        <is>
          <t>SPEC</t>
        </is>
      </c>
      <c r="E4984" t="inlineStr">
        <is>
          <t>CUIVRE NSX630 32x8</t>
        </is>
      </c>
      <c r="J4984" t="inlineStr">
        <is>
          <t>MASCELLINO</t>
        </is>
      </c>
      <c r="K4984" t="inlineStr">
        <is>
          <t>CUIVRE</t>
        </is>
      </c>
      <c r="L4984">
        <f>_xlfn.XLOOKUP(Tableau1[[#This Row],[TYPE DE PIECE]],Tableau4[MATIERE],Tableau4[SHORT TYPE],"",0,1)</f>
        <v/>
      </c>
      <c r="N4984">
        <f>IF(ISERR(FIND("DECOUPE",Tableau1[[#This Row],[DESIGNATION]])),"","NEED REF")</f>
        <v/>
      </c>
    </row>
    <row r="4985">
      <c r="B4985" t="n">
        <v>34409021</v>
      </c>
      <c r="C4985" s="2" t="n">
        <v>44172</v>
      </c>
      <c r="D4985" t="inlineStr">
        <is>
          <t>SPEC</t>
        </is>
      </c>
      <c r="E4985" t="inlineStr">
        <is>
          <t>CUIVRE NSX630 32x8</t>
        </is>
      </c>
      <c r="J4985" t="inlineStr">
        <is>
          <t>MASCELLINO</t>
        </is>
      </c>
      <c r="K4985" t="inlineStr">
        <is>
          <t>CUIVRE</t>
        </is>
      </c>
      <c r="L4985">
        <f>_xlfn.XLOOKUP(Tableau1[[#This Row],[TYPE DE PIECE]],Tableau4[MATIERE],Tableau4[SHORT TYPE],"",0,1)</f>
        <v/>
      </c>
      <c r="N4985">
        <f>IF(ISERR(FIND("DECOUPE",Tableau1[[#This Row],[DESIGNATION]])),"","NEED REF")</f>
        <v/>
      </c>
    </row>
    <row r="4986">
      <c r="B4986" t="n">
        <v>34409020</v>
      </c>
      <c r="C4986" s="2" t="n">
        <v>44172</v>
      </c>
      <c r="D4986" t="inlineStr">
        <is>
          <t>SPEC</t>
        </is>
      </c>
      <c r="E4986" t="inlineStr">
        <is>
          <t>PLASTRON L = 909 H = 350</t>
        </is>
      </c>
      <c r="J4986" t="inlineStr">
        <is>
          <t>MASCELLINO</t>
        </is>
      </c>
      <c r="K4986" t="inlineStr">
        <is>
          <t>METAL</t>
        </is>
      </c>
      <c r="L4986">
        <f>_xlfn.XLOOKUP(Tableau1[[#This Row],[TYPE DE PIECE]],Tableau4[MATIERE],Tableau4[SHORT TYPE],"",0,1)</f>
        <v/>
      </c>
      <c r="N4986">
        <f>IF(ISERR(FIND("DECOUPE",Tableau1[[#This Row],[DESIGNATION]])),"","NEED REF")</f>
        <v/>
      </c>
    </row>
    <row r="4987">
      <c r="B4987" t="n">
        <v>34409019</v>
      </c>
      <c r="C4987" s="2" t="n">
        <v>44172</v>
      </c>
      <c r="D4987" t="inlineStr">
        <is>
          <t>SPEC</t>
        </is>
      </c>
      <c r="E4987" t="inlineStr">
        <is>
          <t>KIT FILERIE EXPUT</t>
        </is>
      </c>
      <c r="G4987" t="inlineStr">
        <is>
          <t>G7K</t>
        </is>
      </c>
      <c r="H4987" t="inlineStr">
        <is>
          <t>REGEN</t>
        </is>
      </c>
      <c r="J4987" t="inlineStr">
        <is>
          <t>JAWORSKI</t>
        </is>
      </c>
      <c r="K4987" t="inlineStr">
        <is>
          <t>FILERIE</t>
        </is>
      </c>
      <c r="L4987">
        <f>_xlfn.XLOOKUP(Tableau1[[#This Row],[TYPE DE PIECE]],Tableau4[MATIERE],Tableau4[SHORT TYPE],"",0,1)</f>
        <v/>
      </c>
      <c r="N4987">
        <f>IF(ISERR(FIND("DECOUPE",Tableau1[[#This Row],[DESIGNATION]])),"","NEED REF")</f>
        <v/>
      </c>
    </row>
    <row r="4988">
      <c r="B4988" t="n">
        <v>34409018</v>
      </c>
      <c r="C4988" s="2" t="n">
        <v>44169</v>
      </c>
      <c r="D4988" t="inlineStr">
        <is>
          <t>SPEC</t>
        </is>
      </c>
      <c r="E4988" t="inlineStr">
        <is>
          <t>PLATINE NSX400-630</t>
        </is>
      </c>
      <c r="J4988" t="inlineStr">
        <is>
          <t>MASCELLINO</t>
        </is>
      </c>
      <c r="K4988" t="inlineStr">
        <is>
          <t>METAL</t>
        </is>
      </c>
      <c r="L4988">
        <f>_xlfn.XLOOKUP(Tableau1[[#This Row],[TYPE DE PIECE]],Tableau4[MATIERE],Tableau4[SHORT TYPE],"",0,1)</f>
        <v/>
      </c>
      <c r="N4988">
        <f>IF(ISERR(FIND("DECOUPE",Tableau1[[#This Row],[DESIGNATION]])),"","NEED REF")</f>
        <v/>
      </c>
    </row>
    <row r="4989">
      <c r="B4989" t="n">
        <v>34409017</v>
      </c>
      <c r="C4989" s="2" t="n">
        <v>44169</v>
      </c>
      <c r="D4989" t="inlineStr">
        <is>
          <t>SPEC</t>
        </is>
      </c>
      <c r="E4989" t="inlineStr">
        <is>
          <t>CUIVRE RACCORDEMENT 80x5</t>
        </is>
      </c>
      <c r="J4989" t="inlineStr">
        <is>
          <t>MASCELLINO</t>
        </is>
      </c>
      <c r="K4989" t="inlineStr">
        <is>
          <t>CUIVRE</t>
        </is>
      </c>
      <c r="L4989">
        <f>_xlfn.XLOOKUP(Tableau1[[#This Row],[TYPE DE PIECE]],Tableau4[MATIERE],Tableau4[SHORT TYPE],"",0,1)</f>
        <v/>
      </c>
      <c r="N4989">
        <f>IF(ISERR(FIND("DECOUPE",Tableau1[[#This Row],[DESIGNATION]])),"","NEED REF")</f>
        <v/>
      </c>
    </row>
    <row r="4990">
      <c r="B4990" t="n">
        <v>34409016</v>
      </c>
      <c r="C4990" s="2" t="n">
        <v>44169</v>
      </c>
      <c r="D4990" t="inlineStr">
        <is>
          <t>SPEC</t>
        </is>
      </c>
      <c r="E4990" t="inlineStr">
        <is>
          <t>CUIVRE RACCORDEMENT 50x8</t>
        </is>
      </c>
      <c r="J4990" t="inlineStr">
        <is>
          <t>MASCELLINO</t>
        </is>
      </c>
      <c r="K4990" t="inlineStr">
        <is>
          <t>CUIVRE</t>
        </is>
      </c>
      <c r="L4990">
        <f>_xlfn.XLOOKUP(Tableau1[[#This Row],[TYPE DE PIECE]],Tableau4[MATIERE],Tableau4[SHORT TYPE],"",0,1)</f>
        <v/>
      </c>
      <c r="N4990">
        <f>IF(ISERR(FIND("DECOUPE",Tableau1[[#This Row],[DESIGNATION]])),"","NEED REF")</f>
        <v/>
      </c>
    </row>
    <row r="4991">
      <c r="B4991" t="n">
        <v>34409015</v>
      </c>
      <c r="C4991" s="2" t="n">
        <v>44169</v>
      </c>
      <c r="D4991" t="inlineStr">
        <is>
          <t>SPEC</t>
        </is>
      </c>
      <c r="E4991" t="inlineStr">
        <is>
          <t>CUIVRE NSX630 32x80</t>
        </is>
      </c>
      <c r="J4991" t="inlineStr">
        <is>
          <t>MASCELLINO</t>
        </is>
      </c>
      <c r="K4991" t="inlineStr">
        <is>
          <t>CUIVRE</t>
        </is>
      </c>
      <c r="L4991">
        <f>_xlfn.XLOOKUP(Tableau1[[#This Row],[TYPE DE PIECE]],Tableau4[MATIERE],Tableau4[SHORT TYPE],"",0,1)</f>
        <v/>
      </c>
      <c r="N4991">
        <f>IF(ISERR(FIND("DECOUPE",Tableau1[[#This Row],[DESIGNATION]])),"","NEED REF")</f>
        <v/>
      </c>
    </row>
    <row r="4992">
      <c r="B4992" t="n">
        <v>34409014</v>
      </c>
      <c r="C4992" s="2" t="n">
        <v>44172</v>
      </c>
      <c r="D4992" t="inlineStr">
        <is>
          <t>SPEC</t>
        </is>
      </c>
      <c r="E4992" t="inlineStr">
        <is>
          <t>L CORNIER (800)</t>
        </is>
      </c>
      <c r="H4992" t="inlineStr">
        <is>
          <t>BATTERY</t>
        </is>
      </c>
      <c r="J4992" t="inlineStr">
        <is>
          <t>MATRION</t>
        </is>
      </c>
      <c r="K4992" t="inlineStr">
        <is>
          <t>METAL</t>
        </is>
      </c>
      <c r="L4992">
        <f>_xlfn.XLOOKUP(Tableau1[[#This Row],[TYPE DE PIECE]],Tableau4[MATIERE],Tableau4[SHORT TYPE],"",0,1)</f>
        <v/>
      </c>
      <c r="N4992">
        <f>IF(ISERR(FIND("DECOUPE",Tableau1[[#This Row],[DESIGNATION]])),"","NEED REF")</f>
        <v/>
      </c>
    </row>
    <row r="4993">
      <c r="B4993" t="n">
        <v>34409013</v>
      </c>
      <c r="C4993" s="2" t="n">
        <v>44172</v>
      </c>
      <c r="D4993" t="inlineStr">
        <is>
          <t>SPEC</t>
        </is>
      </c>
      <c r="E4993" t="inlineStr">
        <is>
          <t>SMT DECOUPE LINERGY 04566 1000MM</t>
        </is>
      </c>
      <c r="G4993" t="inlineStr">
        <is>
          <t>E3L</t>
        </is>
      </c>
      <c r="H4993" t="inlineStr">
        <is>
          <t>BYPASS</t>
        </is>
      </c>
      <c r="J4993" t="inlineStr">
        <is>
          <t>MATRION</t>
        </is>
      </c>
      <c r="K4993" t="inlineStr">
        <is>
          <t>METAL</t>
        </is>
      </c>
      <c r="L4993">
        <f>_xlfn.XLOOKUP(Tableau1[[#This Row],[TYPE DE PIECE]],Tableau4[MATIERE],Tableau4[SHORT TYPE],"",0,1)</f>
        <v/>
      </c>
      <c r="N4993" t="inlineStr">
        <is>
          <t>LVS04566</t>
        </is>
      </c>
    </row>
    <row r="4994">
      <c r="B4994" t="n">
        <v>34409012</v>
      </c>
      <c r="C4994" s="2" t="n">
        <v>44172</v>
      </c>
      <c r="D4994" t="inlineStr">
        <is>
          <t>SPEC</t>
        </is>
      </c>
      <c r="E4994" t="inlineStr">
        <is>
          <t>NS1250 NA PRISE ARR</t>
        </is>
      </c>
      <c r="G4994" t="inlineStr">
        <is>
          <t>E3L</t>
        </is>
      </c>
      <c r="H4994" t="inlineStr">
        <is>
          <t>BYPASS</t>
        </is>
      </c>
      <c r="J4994" t="inlineStr">
        <is>
          <t>MATRION</t>
        </is>
      </c>
      <c r="K4994" t="inlineStr">
        <is>
          <t>=S=</t>
        </is>
      </c>
      <c r="L4994">
        <f>_xlfn.XLOOKUP(Tableau1[[#This Row],[TYPE DE PIECE]],Tableau4[MATIERE],Tableau4[SHORT TYPE],"",0,1)</f>
        <v/>
      </c>
      <c r="N4994">
        <f>IF(ISERR(FIND("DECOUPE",Tableau1[[#This Row],[DESIGNATION]])),"","NEED REF")</f>
        <v/>
      </c>
    </row>
    <row r="4995">
      <c r="B4995" t="n">
        <v>34409011</v>
      </c>
      <c r="C4995" s="2" t="n">
        <v>44172</v>
      </c>
      <c r="D4995" t="inlineStr">
        <is>
          <t>SPEC</t>
        </is>
      </c>
      <c r="E4995" t="inlineStr">
        <is>
          <t>MTZ2 NA</t>
        </is>
      </c>
      <c r="G4995" t="inlineStr">
        <is>
          <t>E3L</t>
        </is>
      </c>
      <c r="H4995" t="inlineStr">
        <is>
          <t>BYPASS</t>
        </is>
      </c>
      <c r="J4995" t="inlineStr">
        <is>
          <t>MATRION</t>
        </is>
      </c>
      <c r="K4995" t="inlineStr">
        <is>
          <t>=S=</t>
        </is>
      </c>
      <c r="L4995">
        <f>_xlfn.XLOOKUP(Tableau1[[#This Row],[TYPE DE PIECE]],Tableau4[MATIERE],Tableau4[SHORT TYPE],"",0,1)</f>
        <v/>
      </c>
      <c r="N4995">
        <f>IF(ISERR(FIND("DECOUPE",Tableau1[[#This Row],[DESIGNATION]])),"","NEED REF")</f>
        <v/>
      </c>
    </row>
    <row r="4996">
      <c r="B4996" t="n">
        <v>34409010</v>
      </c>
      <c r="C4996" s="2" t="n">
        <v>44168</v>
      </c>
      <c r="D4996" t="inlineStr">
        <is>
          <t>SPEC</t>
        </is>
      </c>
      <c r="E4996" t="inlineStr">
        <is>
          <t>SMT SUPPORT PIED 2</t>
        </is>
      </c>
      <c r="G4996" t="inlineStr">
        <is>
          <t>E3L</t>
        </is>
      </c>
      <c r="J4996" t="inlineStr">
        <is>
          <t>MATRION</t>
        </is>
      </c>
      <c r="K4996" t="inlineStr">
        <is>
          <t>METAL</t>
        </is>
      </c>
      <c r="L4996">
        <f>_xlfn.XLOOKUP(Tableau1[[#This Row],[TYPE DE PIECE]],Tableau4[MATIERE],Tableau4[SHORT TYPE],"",0,1)</f>
        <v/>
      </c>
      <c r="N4996">
        <f>IF(ISERR(FIND("DECOUPE",Tableau1[[#This Row],[DESIGNATION]])),"","NEED REF")</f>
        <v/>
      </c>
    </row>
    <row r="4997">
      <c r="B4997" t="n">
        <v>34409009</v>
      </c>
      <c r="C4997" s="2" t="n">
        <v>44168</v>
      </c>
      <c r="D4997" t="inlineStr">
        <is>
          <t>SPEC</t>
        </is>
      </c>
      <c r="E4997" t="inlineStr">
        <is>
          <t>SMT SUPPORT BORNIER HORIZONTAL</t>
        </is>
      </c>
      <c r="G4997" t="inlineStr">
        <is>
          <t>E3L</t>
        </is>
      </c>
      <c r="H4997" t="inlineStr">
        <is>
          <t>BYPASS</t>
        </is>
      </c>
      <c r="J4997" t="inlineStr">
        <is>
          <t>MATRION</t>
        </is>
      </c>
      <c r="K4997" t="inlineStr">
        <is>
          <t>METAL</t>
        </is>
      </c>
      <c r="L4997">
        <f>_xlfn.XLOOKUP(Tableau1[[#This Row],[TYPE DE PIECE]],Tableau4[MATIERE],Tableau4[SHORT TYPE],"",0,1)</f>
        <v/>
      </c>
      <c r="N4997">
        <f>IF(ISERR(FIND("DECOUPE",Tableau1[[#This Row],[DESIGNATION]])),"","NEED REF")</f>
        <v/>
      </c>
    </row>
    <row r="4998">
      <c r="B4998" t="n">
        <v>34409008</v>
      </c>
      <c r="C4998" s="2" t="n">
        <v>44168</v>
      </c>
      <c r="D4998" t="inlineStr">
        <is>
          <t>SPEC</t>
        </is>
      </c>
      <c r="E4998" t="inlineStr">
        <is>
          <t>SMT PLASTRON 5</t>
        </is>
      </c>
      <c r="G4998" t="inlineStr">
        <is>
          <t>E3L</t>
        </is>
      </c>
      <c r="H4998" t="inlineStr">
        <is>
          <t>BYPASS</t>
        </is>
      </c>
      <c r="J4998" t="inlineStr">
        <is>
          <t>MATRION</t>
        </is>
      </c>
      <c r="K4998" t="inlineStr">
        <is>
          <t>METAL</t>
        </is>
      </c>
      <c r="L4998">
        <f>_xlfn.XLOOKUP(Tableau1[[#This Row],[TYPE DE PIECE]],Tableau4[MATIERE],Tableau4[SHORT TYPE],"",0,1)</f>
        <v/>
      </c>
      <c r="N4998">
        <f>IF(ISERR(FIND("DECOUPE",Tableau1[[#This Row],[DESIGNATION]])),"","NEED REF")</f>
        <v/>
      </c>
    </row>
    <row r="4999">
      <c r="B4999" t="n">
        <v>34409007</v>
      </c>
      <c r="C4999" s="2" t="n">
        <v>44168</v>
      </c>
      <c r="D4999" t="inlineStr">
        <is>
          <t>SPEC</t>
        </is>
      </c>
      <c r="E4999" t="inlineStr">
        <is>
          <t>SMT PLASTRON 4</t>
        </is>
      </c>
      <c r="G4999" t="inlineStr">
        <is>
          <t>E3L</t>
        </is>
      </c>
      <c r="H4999" t="inlineStr">
        <is>
          <t>BYPASS</t>
        </is>
      </c>
      <c r="J4999" t="inlineStr">
        <is>
          <t>MATRION</t>
        </is>
      </c>
      <c r="K4999" t="inlineStr">
        <is>
          <t>METAL</t>
        </is>
      </c>
      <c r="L4999">
        <f>_xlfn.XLOOKUP(Tableau1[[#This Row],[TYPE DE PIECE]],Tableau4[MATIERE],Tableau4[SHORT TYPE],"",0,1)</f>
        <v/>
      </c>
      <c r="N4999">
        <f>IF(ISERR(FIND("DECOUPE",Tableau1[[#This Row],[DESIGNATION]])),"","NEED REF")</f>
        <v/>
      </c>
    </row>
    <row r="5000">
      <c r="B5000" t="n">
        <v>34409006</v>
      </c>
      <c r="C5000" s="2" t="n">
        <v>44168</v>
      </c>
      <c r="D5000" t="inlineStr">
        <is>
          <t>SPEC</t>
        </is>
      </c>
      <c r="E5000" t="inlineStr">
        <is>
          <t>SMT PLASTRON 3</t>
        </is>
      </c>
      <c r="G5000" t="inlineStr">
        <is>
          <t>E3L</t>
        </is>
      </c>
      <c r="H5000" t="inlineStr">
        <is>
          <t>BYPASS</t>
        </is>
      </c>
      <c r="J5000" t="inlineStr">
        <is>
          <t>MATRION</t>
        </is>
      </c>
      <c r="K5000" t="inlineStr">
        <is>
          <t>METAL</t>
        </is>
      </c>
      <c r="L5000">
        <f>_xlfn.XLOOKUP(Tableau1[[#This Row],[TYPE DE PIECE]],Tableau4[MATIERE],Tableau4[SHORT TYPE],"",0,1)</f>
        <v/>
      </c>
      <c r="N5000">
        <f>IF(ISERR(FIND("DECOUPE",Tableau1[[#This Row],[DESIGNATION]])),"","NEED REF")</f>
        <v/>
      </c>
    </row>
    <row r="5001">
      <c r="B5001" t="n">
        <v>34409005</v>
      </c>
      <c r="C5001" s="2" t="n">
        <v>44168</v>
      </c>
      <c r="D5001" t="inlineStr">
        <is>
          <t>SPEC</t>
        </is>
      </c>
      <c r="E5001" t="inlineStr">
        <is>
          <t>SMT PLASTRON 2</t>
        </is>
      </c>
      <c r="G5001" t="inlineStr">
        <is>
          <t>E3L</t>
        </is>
      </c>
      <c r="H5001" t="inlineStr">
        <is>
          <t>BYPASS</t>
        </is>
      </c>
      <c r="J5001" t="inlineStr">
        <is>
          <t>MATRION</t>
        </is>
      </c>
      <c r="K5001" t="inlineStr">
        <is>
          <t>METAL</t>
        </is>
      </c>
      <c r="L5001">
        <f>_xlfn.XLOOKUP(Tableau1[[#This Row],[TYPE DE PIECE]],Tableau4[MATIERE],Tableau4[SHORT TYPE],"",0,1)</f>
        <v/>
      </c>
      <c r="N5001">
        <f>IF(ISERR(FIND("DECOUPE",Tableau1[[#This Row],[DESIGNATION]])),"","NEED REF")</f>
        <v/>
      </c>
    </row>
    <row r="5002">
      <c r="B5002" t="n">
        <v>34409004</v>
      </c>
      <c r="C5002" s="2" t="n">
        <v>44168</v>
      </c>
      <c r="D5002" t="inlineStr">
        <is>
          <t>SPEC</t>
        </is>
      </c>
      <c r="E5002" t="inlineStr">
        <is>
          <t>SMT PLASTRON 1</t>
        </is>
      </c>
      <c r="G5002" t="inlineStr">
        <is>
          <t>E3L</t>
        </is>
      </c>
      <c r="H5002" t="inlineStr">
        <is>
          <t>BYPASS</t>
        </is>
      </c>
      <c r="J5002" t="inlineStr">
        <is>
          <t>MATRION</t>
        </is>
      </c>
      <c r="K5002" t="inlineStr">
        <is>
          <t>METAL</t>
        </is>
      </c>
      <c r="L5002">
        <f>_xlfn.XLOOKUP(Tableau1[[#This Row],[TYPE DE PIECE]],Tableau4[MATIERE],Tableau4[SHORT TYPE],"",0,1)</f>
        <v/>
      </c>
      <c r="N5002">
        <f>IF(ISERR(FIND("DECOUPE",Tableau1[[#This Row],[DESIGNATION]])),"","NEED REF")</f>
        <v/>
      </c>
    </row>
    <row r="5003">
      <c r="B5003" t="n">
        <v>34409003</v>
      </c>
      <c r="C5003" s="2" t="n">
        <v>44167</v>
      </c>
      <c r="D5003" t="inlineStr">
        <is>
          <t>SPEC</t>
        </is>
      </c>
      <c r="E5003" t="inlineStr">
        <is>
          <t>CABLE REINFORCEMENT HALO</t>
        </is>
      </c>
      <c r="J5003" t="inlineStr">
        <is>
          <t>MATRION</t>
        </is>
      </c>
      <c r="K5003" t="inlineStr">
        <is>
          <t>PLASTIQUE</t>
        </is>
      </c>
      <c r="L5003">
        <f>_xlfn.XLOOKUP(Tableau1[[#This Row],[TYPE DE PIECE]],Tableau4[MATIERE],Tableau4[SHORT TYPE],"",0,1)</f>
        <v/>
      </c>
      <c r="N5003">
        <f>IF(ISERR(FIND("DECOUPE",Tableau1[[#This Row],[DESIGNATION]])),"","NEED REF")</f>
        <v/>
      </c>
    </row>
    <row r="5004">
      <c r="B5004" t="n">
        <v>34409002</v>
      </c>
      <c r="C5004" s="2" t="n">
        <v>44167</v>
      </c>
      <c r="D5004" t="inlineStr">
        <is>
          <t>SPEC</t>
        </is>
      </c>
      <c r="E5004" t="inlineStr">
        <is>
          <t>PASSE CABLES BATT IO1000</t>
        </is>
      </c>
      <c r="J5004" t="inlineStr">
        <is>
          <t>MATRION</t>
        </is>
      </c>
      <c r="L5004">
        <f>_xlfn.XLOOKUP(Tableau1[[#This Row],[TYPE DE PIECE]],Tableau4[MATIERE],Tableau4[SHORT TYPE],"",0,1)</f>
        <v/>
      </c>
      <c r="N5004">
        <f>IF(ISERR(FIND("DECOUPE",Tableau1[[#This Row],[DESIGNATION]])),"","NEED REF")</f>
        <v/>
      </c>
    </row>
    <row r="5005">
      <c r="B5005" t="n">
        <v>34409001</v>
      </c>
      <c r="C5005" s="2" t="n">
        <v>44167</v>
      </c>
      <c r="D5005" t="inlineStr">
        <is>
          <t>SPEC</t>
        </is>
      </c>
      <c r="E5005" t="inlineStr">
        <is>
          <t>TOIT IO1000 POUR TETE VOLTADIS AVEC RACC BATT CABLES</t>
        </is>
      </c>
      <c r="J5005" t="inlineStr">
        <is>
          <t>MATRION</t>
        </is>
      </c>
      <c r="L5005">
        <f>_xlfn.XLOOKUP(Tableau1[[#This Row],[TYPE DE PIECE]],Tableau4[MATIERE],Tableau4[SHORT TYPE],"",0,1)</f>
        <v/>
      </c>
      <c r="N5005">
        <f>IF(ISERR(FIND("DECOUPE",Tableau1[[#This Row],[DESIGNATION]])),"","NEED REF")</f>
        <v/>
      </c>
    </row>
    <row r="5006">
      <c r="B5006" t="n">
        <v>34409000</v>
      </c>
      <c r="C5006" s="2" t="n">
        <v>44167</v>
      </c>
      <c r="D5006" t="inlineStr">
        <is>
          <t>SPEC</t>
        </is>
      </c>
      <c r="E5006" t="inlineStr">
        <is>
          <t>REHAUSSE IO1000 POUR TETE BESHIELDING</t>
        </is>
      </c>
      <c r="G5006" t="inlineStr">
        <is>
          <t>GVX</t>
        </is>
      </c>
      <c r="H5006" t="inlineStr">
        <is>
          <t>IO</t>
        </is>
      </c>
      <c r="J5006" t="inlineStr">
        <is>
          <t>MATRION</t>
        </is>
      </c>
      <c r="K5006" t="inlineStr">
        <is>
          <t>METAL</t>
        </is>
      </c>
      <c r="L5006">
        <f>_xlfn.XLOOKUP(Tableau1[[#This Row],[TYPE DE PIECE]],Tableau4[MATIERE],Tableau4[SHORT TYPE],"",0,1)</f>
        <v/>
      </c>
      <c r="N5006">
        <f>IF(ISERR(FIND("DECOUPE",Tableau1[[#This Row],[DESIGNATION]])),"","NEED REF")</f>
        <v/>
      </c>
    </row>
    <row r="5007">
      <c r="B5007" t="n">
        <v>34408999</v>
      </c>
      <c r="C5007" s="2" t="n">
        <v>44167</v>
      </c>
      <c r="D5007" t="inlineStr">
        <is>
          <t>SPEC</t>
        </is>
      </c>
      <c r="E5007" t="inlineStr">
        <is>
          <t>SMT EQUERRE SUPPORT GP03</t>
        </is>
      </c>
      <c r="G5007" t="inlineStr">
        <is>
          <t>E3L</t>
        </is>
      </c>
      <c r="H5007" t="inlineStr">
        <is>
          <t>BYPASS</t>
        </is>
      </c>
      <c r="J5007" t="inlineStr">
        <is>
          <t>MATRION</t>
        </is>
      </c>
      <c r="K5007" t="inlineStr">
        <is>
          <t>METAL</t>
        </is>
      </c>
      <c r="L5007">
        <f>_xlfn.XLOOKUP(Tableau1[[#This Row],[TYPE DE PIECE]],Tableau4[MATIERE],Tableau4[SHORT TYPE],"",0,1)</f>
        <v/>
      </c>
      <c r="N5007">
        <f>IF(ISERR(FIND("DECOUPE",Tableau1[[#This Row],[DESIGNATION]])),"","NEED REF")</f>
        <v/>
      </c>
    </row>
    <row r="5008">
      <c r="B5008" t="n">
        <v>34408998</v>
      </c>
      <c r="C5008" s="2" t="n">
        <v>44165</v>
      </c>
      <c r="D5008" t="inlineStr">
        <is>
          <t>SPEC</t>
        </is>
      </c>
      <c r="E5008" t="inlineStr">
        <is>
          <t>BARRE DE BRIDAGE CUIVRE</t>
        </is>
      </c>
      <c r="G5008" t="inlineStr">
        <is>
          <t>GVS</t>
        </is>
      </c>
      <c r="H5008" t="inlineStr">
        <is>
          <t>BYPASS</t>
        </is>
      </c>
      <c r="J5008" t="inlineStr">
        <is>
          <t>MATRION</t>
        </is>
      </c>
      <c r="K5008" t="inlineStr">
        <is>
          <t>PLASTIQUE</t>
        </is>
      </c>
      <c r="L5008">
        <f>_xlfn.XLOOKUP(Tableau1[[#This Row],[TYPE DE PIECE]],Tableau4[MATIERE],Tableau4[SHORT TYPE],"",0,1)</f>
        <v/>
      </c>
      <c r="N5008">
        <f>IF(ISERR(FIND("DECOUPE",Tableau1[[#This Row],[DESIGNATION]])),"","NEED REF")</f>
        <v/>
      </c>
    </row>
    <row r="5009">
      <c r="B5009" t="n">
        <v>34408997</v>
      </c>
      <c r="C5009" s="2" t="n">
        <v>44165</v>
      </c>
      <c r="D5009" t="inlineStr">
        <is>
          <t>SPEC</t>
        </is>
      </c>
      <c r="E5009" t="inlineStr">
        <is>
          <t>SMT DECOUPE LINERY 04564 998MM</t>
        </is>
      </c>
      <c r="G5009" t="inlineStr">
        <is>
          <t>E3L</t>
        </is>
      </c>
      <c r="H5009" t="inlineStr">
        <is>
          <t>BYPASS</t>
        </is>
      </c>
      <c r="J5009" t="inlineStr">
        <is>
          <t>MATRION</t>
        </is>
      </c>
      <c r="K5009" t="inlineStr">
        <is>
          <t>METAL</t>
        </is>
      </c>
      <c r="L5009">
        <f>_xlfn.XLOOKUP(Tableau1[[#This Row],[TYPE DE PIECE]],Tableau4[MATIERE],Tableau4[SHORT TYPE],"",0,1)</f>
        <v/>
      </c>
      <c r="N5009" t="inlineStr">
        <is>
          <t>LVS04564</t>
        </is>
      </c>
    </row>
    <row r="5010">
      <c r="B5010" t="n">
        <v>34408996</v>
      </c>
      <c r="C5010" s="2" t="n">
        <v>44165</v>
      </c>
      <c r="D5010" t="inlineStr">
        <is>
          <t>SPEC</t>
        </is>
      </c>
      <c r="E5010" t="inlineStr">
        <is>
          <t>SMT SUPPORT JDB LOAD 3</t>
        </is>
      </c>
      <c r="G5010" t="inlineStr">
        <is>
          <t>E3L</t>
        </is>
      </c>
      <c r="L5010">
        <f>_xlfn.XLOOKUP(Tableau1[[#This Row],[TYPE DE PIECE]],Tableau4[MATIERE],Tableau4[SHORT TYPE],"",0,1)</f>
        <v/>
      </c>
      <c r="N5010">
        <f>IF(ISERR(FIND("DECOUPE",Tableau1[[#This Row],[DESIGNATION]])),"","NEED REF")</f>
        <v/>
      </c>
    </row>
    <row r="5011">
      <c r="B5011" t="n">
        <v>34408995</v>
      </c>
      <c r="C5011" s="2" t="n">
        <v>44165</v>
      </c>
      <c r="D5011" t="inlineStr">
        <is>
          <t>SPEC</t>
        </is>
      </c>
      <c r="E5011" t="inlineStr">
        <is>
          <t>SMT DECOUPE LINERY 04564 650MM</t>
        </is>
      </c>
      <c r="G5011" t="inlineStr">
        <is>
          <t>E3L</t>
        </is>
      </c>
      <c r="H5011" t="inlineStr">
        <is>
          <t>BYPASS</t>
        </is>
      </c>
      <c r="J5011" t="inlineStr">
        <is>
          <t>MATRION</t>
        </is>
      </c>
      <c r="K5011" t="inlineStr">
        <is>
          <t>METAL</t>
        </is>
      </c>
      <c r="L5011">
        <f>_xlfn.XLOOKUP(Tableau1[[#This Row],[TYPE DE PIECE]],Tableau4[MATIERE],Tableau4[SHORT TYPE],"",0,1)</f>
        <v/>
      </c>
      <c r="N5011" t="inlineStr">
        <is>
          <t>LVS04564</t>
        </is>
      </c>
    </row>
    <row r="5012">
      <c r="B5012" t="n">
        <v>34408994</v>
      </c>
      <c r="C5012" s="2" t="n">
        <v>44165</v>
      </c>
      <c r="D5012" t="inlineStr">
        <is>
          <t>SPEC</t>
        </is>
      </c>
      <c r="E5012" t="inlineStr">
        <is>
          <t>SMT DECOUPE LINERY 04564 970MM</t>
        </is>
      </c>
      <c r="G5012" t="inlineStr">
        <is>
          <t>E3L</t>
        </is>
      </c>
      <c r="H5012" t="inlineStr">
        <is>
          <t>BYPASS</t>
        </is>
      </c>
      <c r="J5012" t="inlineStr">
        <is>
          <t>MATRION</t>
        </is>
      </c>
      <c r="K5012" t="inlineStr">
        <is>
          <t>METAL</t>
        </is>
      </c>
      <c r="L5012">
        <f>_xlfn.XLOOKUP(Tableau1[[#This Row],[TYPE DE PIECE]],Tableau4[MATIERE],Tableau4[SHORT TYPE],"",0,1)</f>
        <v/>
      </c>
      <c r="N5012" t="inlineStr">
        <is>
          <t>LVS04564</t>
        </is>
      </c>
    </row>
    <row r="5013">
      <c r="B5013" t="n">
        <v>34408993</v>
      </c>
      <c r="C5013" s="2" t="n">
        <v>44165</v>
      </c>
      <c r="D5013" t="inlineStr">
        <is>
          <t>SPEC</t>
        </is>
      </c>
      <c r="E5013" t="inlineStr">
        <is>
          <t>SMT OBTURATEUR POUR VERSION 2S</t>
        </is>
      </c>
      <c r="G5013" t="inlineStr">
        <is>
          <t>E3L</t>
        </is>
      </c>
      <c r="H5013" t="inlineStr">
        <is>
          <t>BYPASS</t>
        </is>
      </c>
      <c r="J5013" t="inlineStr">
        <is>
          <t>MATRION</t>
        </is>
      </c>
      <c r="K5013" t="inlineStr">
        <is>
          <t>METAL</t>
        </is>
      </c>
      <c r="L5013">
        <f>_xlfn.XLOOKUP(Tableau1[[#This Row],[TYPE DE PIECE]],Tableau4[MATIERE],Tableau4[SHORT TYPE],"",0,1)</f>
        <v/>
      </c>
      <c r="N5013">
        <f>IF(ISERR(FIND("DECOUPE",Tableau1[[#This Row],[DESIGNATION]])),"","NEED REF")</f>
        <v/>
      </c>
    </row>
    <row r="5014">
      <c r="B5014" t="n">
        <v>34408992</v>
      </c>
      <c r="C5014" s="2" t="n">
        <v>44165</v>
      </c>
      <c r="D5014" t="inlineStr">
        <is>
          <t>SPEC</t>
        </is>
      </c>
      <c r="E5014" t="inlineStr">
        <is>
          <t>SMT SUPPORT BYPASS 2SWITCH</t>
        </is>
      </c>
      <c r="G5014" t="inlineStr">
        <is>
          <t>E3L</t>
        </is>
      </c>
      <c r="H5014" t="inlineStr">
        <is>
          <t>BYPASS</t>
        </is>
      </c>
      <c r="J5014" t="inlineStr">
        <is>
          <t>MATRION</t>
        </is>
      </c>
      <c r="K5014" t="inlineStr">
        <is>
          <t>METAL</t>
        </is>
      </c>
      <c r="L5014">
        <f>_xlfn.XLOOKUP(Tableau1[[#This Row],[TYPE DE PIECE]],Tableau4[MATIERE],Tableau4[SHORT TYPE],"",0,1)</f>
        <v/>
      </c>
      <c r="N5014">
        <f>IF(ISERR(FIND("DECOUPE",Tableau1[[#This Row],[DESIGNATION]])),"","NEED REF")</f>
        <v/>
      </c>
    </row>
    <row r="5015">
      <c r="B5015" t="n">
        <v>34408991</v>
      </c>
      <c r="C5015" s="2" t="n">
        <v>44162</v>
      </c>
      <c r="D5015" t="inlineStr">
        <is>
          <t>SPEC</t>
        </is>
      </c>
      <c r="E5015" t="inlineStr">
        <is>
          <t>SMT SUPPORT LINERGY BAS</t>
        </is>
      </c>
      <c r="G5015" t="inlineStr">
        <is>
          <t>E3L</t>
        </is>
      </c>
      <c r="H5015" t="inlineStr">
        <is>
          <t>BYPASS</t>
        </is>
      </c>
      <c r="J5015" t="inlineStr">
        <is>
          <t>MATRION</t>
        </is>
      </c>
      <c r="K5015" t="inlineStr">
        <is>
          <t>METAL</t>
        </is>
      </c>
      <c r="L5015">
        <f>_xlfn.XLOOKUP(Tableau1[[#This Row],[TYPE DE PIECE]],Tableau4[MATIERE],Tableau4[SHORT TYPE],"",0,1)</f>
        <v/>
      </c>
      <c r="N5015">
        <f>IF(ISERR(FIND("DECOUPE",Tableau1[[#This Row],[DESIGNATION]])),"","NEED REF")</f>
        <v/>
      </c>
    </row>
    <row r="5016">
      <c r="B5016" t="n">
        <v>34408990</v>
      </c>
      <c r="C5016" s="2" t="n">
        <v>44162</v>
      </c>
      <c r="D5016" t="inlineStr">
        <is>
          <t>SPEC</t>
        </is>
      </c>
      <c r="E5016" t="inlineStr">
        <is>
          <t>DILOPHANE LABEL 80x30x1,5mm</t>
        </is>
      </c>
      <c r="F5016" t="inlineStr">
        <is>
          <t>Li-Ion</t>
        </is>
      </c>
      <c r="G5016" t="inlineStr">
        <is>
          <t>GVS</t>
        </is>
      </c>
      <c r="H5016" t="inlineStr">
        <is>
          <t>AUX</t>
        </is>
      </c>
      <c r="J5016" t="inlineStr">
        <is>
          <t>JAWORSKI</t>
        </is>
      </c>
      <c r="K5016" t="inlineStr">
        <is>
          <t>PLASTIQUE</t>
        </is>
      </c>
      <c r="L5016">
        <f>_xlfn.XLOOKUP(Tableau1[[#This Row],[TYPE DE PIECE]],Tableau4[MATIERE],Tableau4[SHORT TYPE],"",0,1)</f>
        <v/>
      </c>
      <c r="N5016">
        <f>IF(ISERR(FIND("DECOUPE",Tableau1[[#This Row],[DESIGNATION]])),"","NEED REF")</f>
        <v/>
      </c>
    </row>
    <row r="5017">
      <c r="B5017" t="n">
        <v>34408989</v>
      </c>
      <c r="C5017" s="2" t="n">
        <v>44162</v>
      </c>
      <c r="D5017" t="inlineStr">
        <is>
          <t>SPEC</t>
        </is>
      </c>
      <c r="E5017" t="inlineStr">
        <is>
          <t>SMT TOIT ALU 6MM</t>
        </is>
      </c>
      <c r="G5017" t="inlineStr">
        <is>
          <t>E3L</t>
        </is>
      </c>
      <c r="H5017" t="inlineStr">
        <is>
          <t>BYPASS</t>
        </is>
      </c>
      <c r="J5017" t="inlineStr">
        <is>
          <t>MATRION</t>
        </is>
      </c>
      <c r="K5017" t="inlineStr">
        <is>
          <t>METAL</t>
        </is>
      </c>
      <c r="L5017">
        <f>_xlfn.XLOOKUP(Tableau1[[#This Row],[TYPE DE PIECE]],Tableau4[MATIERE],Tableau4[SHORT TYPE],"",0,1)</f>
        <v/>
      </c>
      <c r="N5017">
        <f>IF(ISERR(FIND("DECOUPE",Tableau1[[#This Row],[DESIGNATION]])),"","NEED REF")</f>
        <v/>
      </c>
    </row>
    <row r="5018">
      <c r="B5018" t="n">
        <v>34408988</v>
      </c>
      <c r="C5018" s="2" t="n">
        <v>44162</v>
      </c>
      <c r="D5018" t="inlineStr">
        <is>
          <t>SPEC</t>
        </is>
      </c>
      <c r="E5018" t="inlineStr">
        <is>
          <t>SMT REHAUSSE  70MM VENTILE 2</t>
        </is>
      </c>
      <c r="G5018" t="inlineStr">
        <is>
          <t>E3L</t>
        </is>
      </c>
      <c r="H5018" t="inlineStr">
        <is>
          <t>BYPASS</t>
        </is>
      </c>
      <c r="J5018" t="inlineStr">
        <is>
          <t>MATRION</t>
        </is>
      </c>
      <c r="K5018" t="inlineStr">
        <is>
          <t>METAL</t>
        </is>
      </c>
      <c r="L5018">
        <f>_xlfn.XLOOKUP(Tableau1[[#This Row],[TYPE DE PIECE]],Tableau4[MATIERE],Tableau4[SHORT TYPE],"",0,1)</f>
        <v/>
      </c>
      <c r="N5018">
        <f>IF(ISERR(FIND("DECOUPE",Tableau1[[#This Row],[DESIGNATION]])),"","NEED REF")</f>
        <v/>
      </c>
    </row>
    <row r="5019">
      <c r="B5019" t="n">
        <v>34408987</v>
      </c>
      <c r="C5019" s="2" t="n">
        <v>44162</v>
      </c>
      <c r="D5019" t="inlineStr">
        <is>
          <t>SPEC</t>
        </is>
      </c>
      <c r="E5019" t="inlineStr">
        <is>
          <t>SMT REHAUSSE  70MM VENTILE 1</t>
        </is>
      </c>
      <c r="G5019" t="inlineStr">
        <is>
          <t>E3L</t>
        </is>
      </c>
      <c r="H5019" t="inlineStr">
        <is>
          <t>BYPASS</t>
        </is>
      </c>
      <c r="J5019" t="inlineStr">
        <is>
          <t>MATRION</t>
        </is>
      </c>
      <c r="K5019" t="inlineStr">
        <is>
          <t>METAL</t>
        </is>
      </c>
      <c r="L5019">
        <f>_xlfn.XLOOKUP(Tableau1[[#This Row],[TYPE DE PIECE]],Tableau4[MATIERE],Tableau4[SHORT TYPE],"",0,1)</f>
        <v/>
      </c>
      <c r="N5019">
        <f>IF(ISERR(FIND("DECOUPE",Tableau1[[#This Row],[DESIGNATION]])),"","NEED REF")</f>
        <v/>
      </c>
    </row>
    <row r="5020">
      <c r="B5020" t="n">
        <v>34408986</v>
      </c>
      <c r="C5020" s="2" t="n">
        <v>44162</v>
      </c>
      <c r="D5020" t="inlineStr">
        <is>
          <t>SPEC</t>
        </is>
      </c>
      <c r="E5020" t="inlineStr">
        <is>
          <t>SMT SUPPORT JDB LOAD 3</t>
        </is>
      </c>
      <c r="G5020" t="inlineStr">
        <is>
          <t>E3L</t>
        </is>
      </c>
      <c r="H5020" t="inlineStr">
        <is>
          <t>BYPASS</t>
        </is>
      </c>
      <c r="J5020" t="inlineStr">
        <is>
          <t>MATRION</t>
        </is>
      </c>
      <c r="K5020" t="inlineStr">
        <is>
          <t>METAL</t>
        </is>
      </c>
      <c r="L5020">
        <f>_xlfn.XLOOKUP(Tableau1[[#This Row],[TYPE DE PIECE]],Tableau4[MATIERE],Tableau4[SHORT TYPE],"",0,1)</f>
        <v/>
      </c>
      <c r="N5020">
        <f>IF(ISERR(FIND("DECOUPE",Tableau1[[#This Row],[DESIGNATION]])),"","NEED REF")</f>
        <v/>
      </c>
    </row>
    <row r="5021">
      <c r="B5021" t="n">
        <v>34408985</v>
      </c>
      <c r="C5021" s="2" t="n">
        <v>44162</v>
      </c>
      <c r="D5021" t="inlineStr">
        <is>
          <t>SPEC</t>
        </is>
      </c>
      <c r="E5021" t="inlineStr">
        <is>
          <t>SMT SUPPORT LATERAUX</t>
        </is>
      </c>
      <c r="G5021" t="inlineStr">
        <is>
          <t>E3L</t>
        </is>
      </c>
      <c r="H5021" t="inlineStr">
        <is>
          <t>BYPASS</t>
        </is>
      </c>
      <c r="J5021" t="inlineStr">
        <is>
          <t>MATRION</t>
        </is>
      </c>
      <c r="K5021" t="inlineStr">
        <is>
          <t>METAL</t>
        </is>
      </c>
      <c r="L5021">
        <f>_xlfn.XLOOKUP(Tableau1[[#This Row],[TYPE DE PIECE]],Tableau4[MATIERE],Tableau4[SHORT TYPE],"",0,1)</f>
        <v/>
      </c>
      <c r="N5021">
        <f>IF(ISERR(FIND("DECOUPE",Tableau1[[#This Row],[DESIGNATION]])),"","NEED REF")</f>
        <v/>
      </c>
    </row>
    <row r="5022">
      <c r="B5022" t="n">
        <v>34408984</v>
      </c>
      <c r="C5022" s="2" t="n">
        <v>44162</v>
      </c>
      <c r="D5022" t="inlineStr">
        <is>
          <t>SPEC</t>
        </is>
      </c>
      <c r="E5022" t="inlineStr">
        <is>
          <t>SMT PLATEAU MTZ</t>
        </is>
      </c>
      <c r="G5022" t="inlineStr">
        <is>
          <t>E3L</t>
        </is>
      </c>
      <c r="H5022" t="inlineStr">
        <is>
          <t>BYPASS</t>
        </is>
      </c>
      <c r="J5022" t="inlineStr">
        <is>
          <t>MATRION</t>
        </is>
      </c>
      <c r="K5022" t="inlineStr">
        <is>
          <t>METAL</t>
        </is>
      </c>
      <c r="L5022">
        <f>_xlfn.XLOOKUP(Tableau1[[#This Row],[TYPE DE PIECE]],Tableau4[MATIERE],Tableau4[SHORT TYPE],"",0,1)</f>
        <v/>
      </c>
      <c r="N5022">
        <f>IF(ISERR(FIND("DECOUPE",Tableau1[[#This Row],[DESIGNATION]])),"","NEED REF")</f>
        <v/>
      </c>
    </row>
    <row r="5023">
      <c r="B5023" t="n">
        <v>34408983</v>
      </c>
      <c r="C5023" s="2" t="n">
        <v>44162</v>
      </c>
      <c r="D5023" t="inlineStr">
        <is>
          <t>SPEC</t>
        </is>
      </c>
      <c r="E5023" t="inlineStr">
        <is>
          <t>COP RACCORDEMENT MAINS2</t>
        </is>
      </c>
      <c r="G5023" t="inlineStr">
        <is>
          <t>E3L</t>
        </is>
      </c>
      <c r="H5023" t="inlineStr">
        <is>
          <t>BYPASS</t>
        </is>
      </c>
      <c r="J5023" t="inlineStr">
        <is>
          <t>MATRION</t>
        </is>
      </c>
      <c r="K5023" t="inlineStr">
        <is>
          <t>CUIVRE</t>
        </is>
      </c>
      <c r="L5023">
        <f>_xlfn.XLOOKUP(Tableau1[[#This Row],[TYPE DE PIECE]],Tableau4[MATIERE],Tableau4[SHORT TYPE],"",0,1)</f>
        <v/>
      </c>
      <c r="N5023">
        <f>IF(ISERR(FIND("DECOUPE",Tableau1[[#This Row],[DESIGNATION]])),"","NEED REF")</f>
        <v/>
      </c>
    </row>
    <row r="5024">
      <c r="B5024" t="n">
        <v>34408982</v>
      </c>
      <c r="C5024" s="2" t="n">
        <v>44162</v>
      </c>
      <c r="D5024" t="inlineStr">
        <is>
          <t>SPEC</t>
        </is>
      </c>
      <c r="E5024" t="inlineStr">
        <is>
          <t>COP RACCORDEMENT UTIL</t>
        </is>
      </c>
      <c r="G5024" t="inlineStr">
        <is>
          <t>E3L</t>
        </is>
      </c>
      <c r="H5024" t="inlineStr">
        <is>
          <t>BYPASS</t>
        </is>
      </c>
      <c r="J5024" t="inlineStr">
        <is>
          <t>MATRION</t>
        </is>
      </c>
      <c r="K5024" t="inlineStr">
        <is>
          <t>CUIVRE</t>
        </is>
      </c>
      <c r="L5024">
        <f>_xlfn.XLOOKUP(Tableau1[[#This Row],[TYPE DE PIECE]],Tableau4[MATIERE],Tableau4[SHORT TYPE],"",0,1)</f>
        <v/>
      </c>
      <c r="N5024">
        <f>IF(ISERR(FIND("DECOUPE",Tableau1[[#This Row],[DESIGNATION]])),"","NEED REF")</f>
        <v/>
      </c>
    </row>
    <row r="5025">
      <c r="B5025" t="n">
        <v>34408981</v>
      </c>
      <c r="C5025" s="2" t="n">
        <v>44162</v>
      </c>
      <c r="D5025" t="inlineStr">
        <is>
          <t>SPEC</t>
        </is>
      </c>
      <c r="E5025" t="inlineStr">
        <is>
          <t>COP CALE  CONTACT COSSES POUR LINERGY</t>
        </is>
      </c>
      <c r="G5025" t="inlineStr">
        <is>
          <t>E3L</t>
        </is>
      </c>
      <c r="H5025" t="inlineStr">
        <is>
          <t>BYPASS</t>
        </is>
      </c>
      <c r="J5025" t="inlineStr">
        <is>
          <t>MATRION</t>
        </is>
      </c>
      <c r="K5025" t="inlineStr">
        <is>
          <t>CUIVRE</t>
        </is>
      </c>
      <c r="L5025">
        <f>_xlfn.XLOOKUP(Tableau1[[#This Row],[TYPE DE PIECE]],Tableau4[MATIERE],Tableau4[SHORT TYPE],"",0,1)</f>
        <v/>
      </c>
      <c r="N5025">
        <f>IF(ISERR(FIND("DECOUPE",Tableau1[[#This Row],[DESIGNATION]])),"","NEED REF")</f>
        <v/>
      </c>
    </row>
    <row r="5026">
      <c r="B5026" t="n">
        <v>34408980</v>
      </c>
      <c r="C5026" s="2" t="n">
        <v>44161</v>
      </c>
      <c r="D5026" t="inlineStr">
        <is>
          <t>SPEC</t>
        </is>
      </c>
      <c r="E5026" t="inlineStr">
        <is>
          <t>COP JONCTION NW LINERGY</t>
        </is>
      </c>
      <c r="G5026" t="inlineStr">
        <is>
          <t>E3L</t>
        </is>
      </c>
      <c r="H5026" t="inlineStr">
        <is>
          <t>BYPASS</t>
        </is>
      </c>
      <c r="J5026" t="inlineStr">
        <is>
          <t>MATRION</t>
        </is>
      </c>
      <c r="K5026" t="inlineStr">
        <is>
          <t>CUIVRE</t>
        </is>
      </c>
      <c r="L5026">
        <f>_xlfn.XLOOKUP(Tableau1[[#This Row],[TYPE DE PIECE]],Tableau4[MATIERE],Tableau4[SHORT TYPE],"",0,1)</f>
        <v/>
      </c>
      <c r="N5026">
        <f>IF(ISERR(FIND("DECOUPE",Tableau1[[#This Row],[DESIGNATION]])),"","NEED REF")</f>
        <v/>
      </c>
    </row>
    <row r="5027">
      <c r="B5027" t="n">
        <v>34408979</v>
      </c>
      <c r="C5027" s="2" t="n">
        <v>44161</v>
      </c>
      <c r="D5027" t="inlineStr">
        <is>
          <t>SPEC</t>
        </is>
      </c>
      <c r="E5027" t="inlineStr">
        <is>
          <t>SMT SUPPORT JDB INPUT</t>
        </is>
      </c>
      <c r="G5027" t="inlineStr">
        <is>
          <t>E3L</t>
        </is>
      </c>
      <c r="H5027" t="inlineStr">
        <is>
          <t>BYPASS</t>
        </is>
      </c>
      <c r="J5027" t="inlineStr">
        <is>
          <t>MATRION</t>
        </is>
      </c>
      <c r="K5027" t="inlineStr">
        <is>
          <t>METAL</t>
        </is>
      </c>
      <c r="L5027">
        <f>_xlfn.XLOOKUP(Tableau1[[#This Row],[TYPE DE PIECE]],Tableau4[MATIERE],Tableau4[SHORT TYPE],"",0,1)</f>
        <v/>
      </c>
      <c r="N5027">
        <f>IF(ISERR(FIND("DECOUPE",Tableau1[[#This Row],[DESIGNATION]])),"","NEED REF")</f>
        <v/>
      </c>
    </row>
    <row r="5028">
      <c r="B5028" t="n">
        <v>34408978</v>
      </c>
      <c r="C5028" s="2" t="n">
        <v>44161</v>
      </c>
      <c r="D5028" t="inlineStr">
        <is>
          <t>SPEC</t>
        </is>
      </c>
      <c r="E5028" t="inlineStr">
        <is>
          <t>SMT SUPPORT JDB LOAD 2</t>
        </is>
      </c>
      <c r="G5028" t="inlineStr">
        <is>
          <t>E3L</t>
        </is>
      </c>
      <c r="H5028" t="inlineStr">
        <is>
          <t>BYPASS</t>
        </is>
      </c>
      <c r="J5028" t="inlineStr">
        <is>
          <t>MATRION</t>
        </is>
      </c>
      <c r="K5028" t="inlineStr">
        <is>
          <t>METAL</t>
        </is>
      </c>
      <c r="L5028">
        <f>_xlfn.XLOOKUP(Tableau1[[#This Row],[TYPE DE PIECE]],Tableau4[MATIERE],Tableau4[SHORT TYPE],"",0,1)</f>
        <v/>
      </c>
      <c r="N5028">
        <f>IF(ISERR(FIND("DECOUPE",Tableau1[[#This Row],[DESIGNATION]])),"","NEED REF")</f>
        <v/>
      </c>
    </row>
    <row r="5029">
      <c r="B5029" t="n">
        <v>34408977</v>
      </c>
      <c r="C5029" s="2" t="n">
        <v>44161</v>
      </c>
      <c r="D5029" t="inlineStr">
        <is>
          <t>SPEC</t>
        </is>
      </c>
      <c r="E5029" t="inlineStr">
        <is>
          <t>SMT MONTANT CENTRAL JDB LOAD</t>
        </is>
      </c>
      <c r="G5029" t="inlineStr">
        <is>
          <t>E3L</t>
        </is>
      </c>
      <c r="H5029" t="inlineStr">
        <is>
          <t>BYPASS</t>
        </is>
      </c>
      <c r="J5029" t="inlineStr">
        <is>
          <t>MATRION</t>
        </is>
      </c>
      <c r="K5029" t="inlineStr">
        <is>
          <t>METAL</t>
        </is>
      </c>
      <c r="L5029">
        <f>_xlfn.XLOOKUP(Tableau1[[#This Row],[TYPE DE PIECE]],Tableau4[MATIERE],Tableau4[SHORT TYPE],"",0,1)</f>
        <v/>
      </c>
      <c r="N5029">
        <f>IF(ISERR(FIND("DECOUPE",Tableau1[[#This Row],[DESIGNATION]])),"","NEED REF")</f>
        <v/>
      </c>
    </row>
    <row r="5030">
      <c r="B5030" t="n">
        <v>34408976</v>
      </c>
      <c r="C5030" s="2" t="n">
        <v>44161</v>
      </c>
      <c r="D5030" t="inlineStr">
        <is>
          <t>SPEC</t>
        </is>
      </c>
      <c r="E5030" t="inlineStr">
        <is>
          <t>SMT SUPPORT JDB LOAD 1</t>
        </is>
      </c>
      <c r="G5030" t="inlineStr">
        <is>
          <t>E3L</t>
        </is>
      </c>
      <c r="H5030" t="inlineStr">
        <is>
          <t>BYPASS</t>
        </is>
      </c>
      <c r="J5030" t="inlineStr">
        <is>
          <t>MATRION</t>
        </is>
      </c>
      <c r="K5030" t="inlineStr">
        <is>
          <t>METAL</t>
        </is>
      </c>
      <c r="L5030">
        <f>_xlfn.XLOOKUP(Tableau1[[#This Row],[TYPE DE PIECE]],Tableau4[MATIERE],Tableau4[SHORT TYPE],"",0,1)</f>
        <v/>
      </c>
      <c r="N5030">
        <f>IF(ISERR(FIND("DECOUPE",Tableau1[[#This Row],[DESIGNATION]])),"","NEED REF")</f>
        <v/>
      </c>
    </row>
    <row r="5031">
      <c r="B5031" t="n">
        <v>34408975</v>
      </c>
      <c r="C5031" s="2" t="n">
        <v>44160</v>
      </c>
      <c r="D5031" t="inlineStr">
        <is>
          <t>SPEC</t>
        </is>
      </c>
      <c r="E5031" t="inlineStr">
        <is>
          <t>SMT SUPPORT LINERGY 3</t>
        </is>
      </c>
      <c r="G5031" t="inlineStr">
        <is>
          <t>E3L</t>
        </is>
      </c>
      <c r="H5031" t="inlineStr">
        <is>
          <t>BYPASS</t>
        </is>
      </c>
      <c r="J5031" t="inlineStr">
        <is>
          <t>MATRION</t>
        </is>
      </c>
      <c r="K5031" t="inlineStr">
        <is>
          <t>METAL</t>
        </is>
      </c>
      <c r="L5031">
        <f>_xlfn.XLOOKUP(Tableau1[[#This Row],[TYPE DE PIECE]],Tableau4[MATIERE],Tableau4[SHORT TYPE],"",0,1)</f>
        <v/>
      </c>
      <c r="N5031">
        <f>IF(ISERR(FIND("DECOUPE",Tableau1[[#This Row],[DESIGNATION]])),"","NEED REF")</f>
        <v/>
      </c>
    </row>
    <row r="5032">
      <c r="B5032" t="n">
        <v>34408974</v>
      </c>
      <c r="C5032" s="2" t="n">
        <v>44160</v>
      </c>
      <c r="D5032" t="inlineStr">
        <is>
          <t>SPEC</t>
        </is>
      </c>
      <c r="E5032" t="inlineStr">
        <is>
          <t>COP DRAPEAU DE RACC LINERGY</t>
        </is>
      </c>
      <c r="G5032" t="inlineStr">
        <is>
          <t>E3L</t>
        </is>
      </c>
      <c r="H5032" t="inlineStr">
        <is>
          <t>BYPASS</t>
        </is>
      </c>
      <c r="J5032" t="inlineStr">
        <is>
          <t>MATRION</t>
        </is>
      </c>
      <c r="K5032" t="inlineStr">
        <is>
          <t>CUIVRE</t>
        </is>
      </c>
      <c r="L5032">
        <f>_xlfn.XLOOKUP(Tableau1[[#This Row],[TYPE DE PIECE]],Tableau4[MATIERE],Tableau4[SHORT TYPE],"",0,1)</f>
        <v/>
      </c>
      <c r="N5032">
        <f>IF(ISERR(FIND("DECOUPE",Tableau1[[#This Row],[DESIGNATION]])),"","NEED REF")</f>
        <v/>
      </c>
    </row>
    <row r="5033">
      <c r="B5033" t="n">
        <v>34408973</v>
      </c>
      <c r="C5033" s="2" t="n">
        <v>44160</v>
      </c>
      <c r="D5033" t="inlineStr">
        <is>
          <t>SPEC</t>
        </is>
      </c>
      <c r="E5033" t="inlineStr">
        <is>
          <t>COP RACC NS2000 4</t>
        </is>
      </c>
      <c r="G5033" t="inlineStr">
        <is>
          <t>E3L</t>
        </is>
      </c>
      <c r="H5033" t="inlineStr">
        <is>
          <t>BYPASS</t>
        </is>
      </c>
      <c r="J5033" t="inlineStr">
        <is>
          <t>MATRION</t>
        </is>
      </c>
      <c r="K5033" t="inlineStr">
        <is>
          <t>CUIVRE</t>
        </is>
      </c>
      <c r="L5033">
        <f>_xlfn.XLOOKUP(Tableau1[[#This Row],[TYPE DE PIECE]],Tableau4[MATIERE],Tableau4[SHORT TYPE],"",0,1)</f>
        <v/>
      </c>
      <c r="N5033">
        <f>IF(ISERR(FIND("DECOUPE",Tableau1[[#This Row],[DESIGNATION]])),"","NEED REF")</f>
        <v/>
      </c>
    </row>
    <row r="5034">
      <c r="B5034" t="n">
        <v>34408972</v>
      </c>
      <c r="C5034" s="2" t="n">
        <v>44160</v>
      </c>
      <c r="D5034" t="inlineStr">
        <is>
          <t>SPEC</t>
        </is>
      </c>
      <c r="E5034" t="inlineStr">
        <is>
          <t>COP LIAISON NSX250 LINERGY L3</t>
        </is>
      </c>
      <c r="G5034" t="inlineStr">
        <is>
          <t>E3L</t>
        </is>
      </c>
      <c r="H5034" t="inlineStr">
        <is>
          <t>BYPASS</t>
        </is>
      </c>
      <c r="J5034" t="inlineStr">
        <is>
          <t>MATRION</t>
        </is>
      </c>
      <c r="K5034" t="inlineStr">
        <is>
          <t>CUIVRE</t>
        </is>
      </c>
      <c r="L5034">
        <f>_xlfn.XLOOKUP(Tableau1[[#This Row],[TYPE DE PIECE]],Tableau4[MATIERE],Tableau4[SHORT TYPE],"",0,1)</f>
        <v/>
      </c>
      <c r="N5034">
        <f>IF(ISERR(FIND("DECOUPE",Tableau1[[#This Row],[DESIGNATION]])),"","NEED REF")</f>
        <v/>
      </c>
    </row>
    <row r="5035">
      <c r="B5035" t="n">
        <v>34408971</v>
      </c>
      <c r="C5035" s="2" t="n">
        <v>44160</v>
      </c>
      <c r="D5035" t="inlineStr">
        <is>
          <t>SPEC</t>
        </is>
      </c>
      <c r="E5035" t="inlineStr">
        <is>
          <t>COP LIAISON NSX250 LINERGY L2</t>
        </is>
      </c>
      <c r="G5035" t="inlineStr">
        <is>
          <t>E3L</t>
        </is>
      </c>
      <c r="H5035" t="inlineStr">
        <is>
          <t>BYPASS</t>
        </is>
      </c>
      <c r="J5035" t="inlineStr">
        <is>
          <t>MATRION</t>
        </is>
      </c>
      <c r="K5035" t="inlineStr">
        <is>
          <t>CUIVRE</t>
        </is>
      </c>
      <c r="L5035">
        <f>_xlfn.XLOOKUP(Tableau1[[#This Row],[TYPE DE PIECE]],Tableau4[MATIERE],Tableau4[SHORT TYPE],"",0,1)</f>
        <v/>
      </c>
      <c r="N5035">
        <f>IF(ISERR(FIND("DECOUPE",Tableau1[[#This Row],[DESIGNATION]])),"","NEED REF")</f>
        <v/>
      </c>
    </row>
    <row r="5036">
      <c r="B5036" t="n">
        <v>34408970</v>
      </c>
      <c r="C5036" s="2" t="n">
        <v>44160</v>
      </c>
      <c r="D5036" t="inlineStr">
        <is>
          <t>SPEC</t>
        </is>
      </c>
      <c r="E5036" t="inlineStr">
        <is>
          <t>COP LIAISON NSX250 LINERGY L1</t>
        </is>
      </c>
      <c r="G5036" t="inlineStr">
        <is>
          <t>E3L</t>
        </is>
      </c>
      <c r="H5036" t="inlineStr">
        <is>
          <t>BYPASS</t>
        </is>
      </c>
      <c r="J5036" t="inlineStr">
        <is>
          <t>MATRION</t>
        </is>
      </c>
      <c r="K5036" t="inlineStr">
        <is>
          <t>CUIVRE</t>
        </is>
      </c>
      <c r="L5036">
        <f>_xlfn.XLOOKUP(Tableau1[[#This Row],[TYPE DE PIECE]],Tableau4[MATIERE],Tableau4[SHORT TYPE],"",0,1)</f>
        <v/>
      </c>
      <c r="N5036">
        <f>IF(ISERR(FIND("DECOUPE",Tableau1[[#This Row],[DESIGNATION]])),"","NEED REF")</f>
        <v/>
      </c>
    </row>
    <row r="5037">
      <c r="B5037" t="n">
        <v>34408969</v>
      </c>
      <c r="C5037" s="2" t="n">
        <v>44160</v>
      </c>
      <c r="D5037" t="inlineStr">
        <is>
          <t>SPEC</t>
        </is>
      </c>
      <c r="E5037" t="inlineStr">
        <is>
          <t>COP LIAISON NSX250 LINERGY N</t>
        </is>
      </c>
      <c r="G5037" t="inlineStr">
        <is>
          <t>E3L</t>
        </is>
      </c>
      <c r="H5037" t="inlineStr">
        <is>
          <t>BYPASS</t>
        </is>
      </c>
      <c r="J5037" t="inlineStr">
        <is>
          <t>MATRION</t>
        </is>
      </c>
      <c r="K5037" t="inlineStr">
        <is>
          <t>CUIVRE</t>
        </is>
      </c>
      <c r="L5037">
        <f>_xlfn.XLOOKUP(Tableau1[[#This Row],[TYPE DE PIECE]],Tableau4[MATIERE],Tableau4[SHORT TYPE],"",0,1)</f>
        <v/>
      </c>
      <c r="N5037">
        <f>IF(ISERR(FIND("DECOUPE",Tableau1[[#This Row],[DESIGNATION]])),"","NEED REF")</f>
        <v/>
      </c>
    </row>
    <row r="5038">
      <c r="B5038" t="n">
        <v>34408968</v>
      </c>
      <c r="C5038" s="2" t="n">
        <v>44159</v>
      </c>
      <c r="D5038" t="inlineStr">
        <is>
          <t>SPEC</t>
        </is>
      </c>
      <c r="E5038" t="inlineStr">
        <is>
          <t>SMT PLASTRON</t>
        </is>
      </c>
      <c r="F5038" t="inlineStr">
        <is>
          <t>Li-Ion</t>
        </is>
      </c>
      <c r="G5038" t="inlineStr">
        <is>
          <t>GVS</t>
        </is>
      </c>
      <c r="H5038" t="inlineStr">
        <is>
          <t>AUX</t>
        </is>
      </c>
      <c r="J5038" t="inlineStr">
        <is>
          <t>JAWORSKI</t>
        </is>
      </c>
      <c r="K5038" t="inlineStr">
        <is>
          <t>METAL</t>
        </is>
      </c>
      <c r="L5038">
        <f>_xlfn.XLOOKUP(Tableau1[[#This Row],[TYPE DE PIECE]],Tableau4[MATIERE],Tableau4[SHORT TYPE],"",0,1)</f>
        <v/>
      </c>
      <c r="N5038">
        <f>IF(ISERR(FIND("DECOUPE",Tableau1[[#This Row],[DESIGNATION]])),"","NEED REF")</f>
        <v/>
      </c>
    </row>
    <row r="5039">
      <c r="B5039" t="n">
        <v>34408967</v>
      </c>
      <c r="C5039" s="2" t="n">
        <v>44159</v>
      </c>
      <c r="D5039" t="inlineStr">
        <is>
          <t>SPEC</t>
        </is>
      </c>
      <c r="E5039" t="inlineStr">
        <is>
          <t>SMT SUPPORT PLASTRON 5</t>
        </is>
      </c>
      <c r="F5039" t="inlineStr">
        <is>
          <t>Li-Ion</t>
        </is>
      </c>
      <c r="G5039" t="inlineStr">
        <is>
          <t>GVS</t>
        </is>
      </c>
      <c r="H5039" t="inlineStr">
        <is>
          <t>AUX</t>
        </is>
      </c>
      <c r="J5039" t="inlineStr">
        <is>
          <t>JAWORSKI</t>
        </is>
      </c>
      <c r="K5039" t="inlineStr">
        <is>
          <t>METAL</t>
        </is>
      </c>
      <c r="L5039">
        <f>_xlfn.XLOOKUP(Tableau1[[#This Row],[TYPE DE PIECE]],Tableau4[MATIERE],Tableau4[SHORT TYPE],"",0,1)</f>
        <v/>
      </c>
      <c r="N5039">
        <f>IF(ISERR(FIND("DECOUPE",Tableau1[[#This Row],[DESIGNATION]])),"","NEED REF")</f>
        <v/>
      </c>
    </row>
    <row r="5040">
      <c r="B5040" t="n">
        <v>34408966</v>
      </c>
      <c r="C5040" s="2" t="n">
        <v>44159</v>
      </c>
      <c r="D5040" t="inlineStr">
        <is>
          <t>SPEC</t>
        </is>
      </c>
      <c r="E5040" t="inlineStr">
        <is>
          <t>COP CALE NS2000</t>
        </is>
      </c>
      <c r="G5040" t="inlineStr">
        <is>
          <t>E3L</t>
        </is>
      </c>
      <c r="H5040" t="inlineStr">
        <is>
          <t>BYPASS</t>
        </is>
      </c>
      <c r="J5040" t="inlineStr">
        <is>
          <t>MATRION</t>
        </is>
      </c>
      <c r="K5040" t="inlineStr">
        <is>
          <t>CUIVRE</t>
        </is>
      </c>
      <c r="L5040">
        <f>_xlfn.XLOOKUP(Tableau1[[#This Row],[TYPE DE PIECE]],Tableau4[MATIERE],Tableau4[SHORT TYPE],"",0,1)</f>
        <v/>
      </c>
      <c r="N5040">
        <f>IF(ISERR(FIND("DECOUPE",Tableau1[[#This Row],[DESIGNATION]])),"","NEED REF")</f>
        <v/>
      </c>
    </row>
    <row r="5041">
      <c r="B5041" t="n">
        <v>34408965</v>
      </c>
      <c r="C5041" s="2" t="n">
        <v>44159</v>
      </c>
      <c r="D5041" t="inlineStr">
        <is>
          <t>SPEC</t>
        </is>
      </c>
      <c r="E5041" t="inlineStr">
        <is>
          <t>COP RACC NS2000 3</t>
        </is>
      </c>
      <c r="G5041" t="inlineStr">
        <is>
          <t>E3L</t>
        </is>
      </c>
      <c r="H5041" t="inlineStr">
        <is>
          <t>BYPASS</t>
        </is>
      </c>
      <c r="J5041" t="inlineStr">
        <is>
          <t>MATRION</t>
        </is>
      </c>
      <c r="K5041" t="inlineStr">
        <is>
          <t>CUIVRE</t>
        </is>
      </c>
      <c r="L5041">
        <f>_xlfn.XLOOKUP(Tableau1[[#This Row],[TYPE DE PIECE]],Tableau4[MATIERE],Tableau4[SHORT TYPE],"",0,1)</f>
        <v/>
      </c>
      <c r="N5041">
        <f>IF(ISERR(FIND("DECOUPE",Tableau1[[#This Row],[DESIGNATION]])),"","NEED REF")</f>
        <v/>
      </c>
    </row>
    <row r="5042">
      <c r="B5042" t="n">
        <v>34408964</v>
      </c>
      <c r="C5042" s="2" t="n">
        <v>44159</v>
      </c>
      <c r="D5042" t="inlineStr">
        <is>
          <t>SPEC</t>
        </is>
      </c>
      <c r="E5042" t="inlineStr">
        <is>
          <t>COP RACC NS2000 2</t>
        </is>
      </c>
      <c r="G5042" t="inlineStr">
        <is>
          <t>E3L</t>
        </is>
      </c>
      <c r="H5042" t="inlineStr">
        <is>
          <t>BYPASS</t>
        </is>
      </c>
      <c r="J5042" t="inlineStr">
        <is>
          <t>MATRION</t>
        </is>
      </c>
      <c r="K5042" t="inlineStr">
        <is>
          <t>CUIVRE</t>
        </is>
      </c>
      <c r="L5042">
        <f>_xlfn.XLOOKUP(Tableau1[[#This Row],[TYPE DE PIECE]],Tableau4[MATIERE],Tableau4[SHORT TYPE],"",0,1)</f>
        <v/>
      </c>
      <c r="N5042">
        <f>IF(ISERR(FIND("DECOUPE",Tableau1[[#This Row],[DESIGNATION]])),"","NEED REF")</f>
        <v/>
      </c>
    </row>
    <row r="5043">
      <c r="B5043" t="n">
        <v>34408963</v>
      </c>
      <c r="C5043" s="2" t="n">
        <v>44159</v>
      </c>
      <c r="D5043" t="inlineStr">
        <is>
          <t>SPEC</t>
        </is>
      </c>
      <c r="E5043" t="inlineStr">
        <is>
          <t>COP RACC NS2000 1</t>
        </is>
      </c>
      <c r="G5043" t="inlineStr">
        <is>
          <t>E3L</t>
        </is>
      </c>
      <c r="H5043" t="inlineStr">
        <is>
          <t>BYPASS</t>
        </is>
      </c>
      <c r="J5043" t="inlineStr">
        <is>
          <t>MATRION</t>
        </is>
      </c>
      <c r="K5043" t="inlineStr">
        <is>
          <t>CUIVRE</t>
        </is>
      </c>
      <c r="L5043">
        <f>_xlfn.XLOOKUP(Tableau1[[#This Row],[TYPE DE PIECE]],Tableau4[MATIERE],Tableau4[SHORT TYPE],"",0,1)</f>
        <v/>
      </c>
      <c r="N5043">
        <f>IF(ISERR(FIND("DECOUPE",Tableau1[[#This Row],[DESIGNATION]])),"","NEED REF")</f>
        <v/>
      </c>
    </row>
    <row r="5044">
      <c r="B5044" t="n">
        <v>34408962</v>
      </c>
      <c r="C5044" s="2" t="n">
        <v>44158</v>
      </c>
      <c r="D5044" t="inlineStr">
        <is>
          <t>SPEC</t>
        </is>
      </c>
      <c r="E5044" t="inlineStr">
        <is>
          <t>COP LIAISON LINERGY 4</t>
        </is>
      </c>
      <c r="G5044" t="inlineStr">
        <is>
          <t>E3L</t>
        </is>
      </c>
      <c r="H5044" t="inlineStr">
        <is>
          <t>BYPASS</t>
        </is>
      </c>
      <c r="J5044" t="inlineStr">
        <is>
          <t>MATRION</t>
        </is>
      </c>
      <c r="K5044" t="inlineStr">
        <is>
          <t>CUIVRE</t>
        </is>
      </c>
      <c r="L5044">
        <f>_xlfn.XLOOKUP(Tableau1[[#This Row],[TYPE DE PIECE]],Tableau4[MATIERE],Tableau4[SHORT TYPE],"",0,1)</f>
        <v/>
      </c>
      <c r="N5044">
        <f>IF(ISERR(FIND("DECOUPE",Tableau1[[#This Row],[DESIGNATION]])),"","NEED REF")</f>
        <v/>
      </c>
    </row>
    <row r="5045">
      <c r="B5045" t="n">
        <v>34408961</v>
      </c>
      <c r="C5045" s="2" t="n">
        <v>44158</v>
      </c>
      <c r="D5045" t="inlineStr">
        <is>
          <t>SPEC</t>
        </is>
      </c>
      <c r="E5045" t="inlineStr">
        <is>
          <t>COP LIAISON LINERGY 3</t>
        </is>
      </c>
      <c r="G5045" t="inlineStr">
        <is>
          <t>E3L</t>
        </is>
      </c>
      <c r="H5045" t="inlineStr">
        <is>
          <t>BYPASS</t>
        </is>
      </c>
      <c r="J5045" t="inlineStr">
        <is>
          <t>MATRION</t>
        </is>
      </c>
      <c r="K5045" t="inlineStr">
        <is>
          <t>CUIVRE</t>
        </is>
      </c>
      <c r="L5045">
        <f>_xlfn.XLOOKUP(Tableau1[[#This Row],[TYPE DE PIECE]],Tableau4[MATIERE],Tableau4[SHORT TYPE],"",0,1)</f>
        <v/>
      </c>
      <c r="N5045">
        <f>IF(ISERR(FIND("DECOUPE",Tableau1[[#This Row],[DESIGNATION]])),"","NEED REF")</f>
        <v/>
      </c>
    </row>
    <row r="5046">
      <c r="B5046" t="n">
        <v>34408960</v>
      </c>
      <c r="C5046" s="2" t="n">
        <v>44158</v>
      </c>
      <c r="D5046" t="inlineStr">
        <is>
          <t>SPEC</t>
        </is>
      </c>
      <c r="E5046" t="inlineStr">
        <is>
          <t>COP LIAISON LINERGY 2</t>
        </is>
      </c>
      <c r="G5046" t="inlineStr">
        <is>
          <t>E3L</t>
        </is>
      </c>
      <c r="H5046" t="inlineStr">
        <is>
          <t>BYPASS</t>
        </is>
      </c>
      <c r="J5046" t="inlineStr">
        <is>
          <t>MATRION</t>
        </is>
      </c>
      <c r="K5046" t="inlineStr">
        <is>
          <t>CUIVRE</t>
        </is>
      </c>
      <c r="L5046">
        <f>_xlfn.XLOOKUP(Tableau1[[#This Row],[TYPE DE PIECE]],Tableau4[MATIERE],Tableau4[SHORT TYPE],"",0,1)</f>
        <v/>
      </c>
      <c r="N5046">
        <f>IF(ISERR(FIND("DECOUPE",Tableau1[[#This Row],[DESIGNATION]])),"","NEED REF")</f>
        <v/>
      </c>
    </row>
    <row r="5047">
      <c r="B5047" t="n">
        <v>34408959</v>
      </c>
      <c r="C5047" s="2" t="n">
        <v>44158</v>
      </c>
      <c r="D5047" t="inlineStr">
        <is>
          <t>SPEC</t>
        </is>
      </c>
      <c r="E5047" t="inlineStr">
        <is>
          <t>COP LIAISON LINERGY 1</t>
        </is>
      </c>
      <c r="G5047" t="inlineStr">
        <is>
          <t>E3L</t>
        </is>
      </c>
      <c r="H5047" t="inlineStr">
        <is>
          <t>BYPASS</t>
        </is>
      </c>
      <c r="J5047" t="inlineStr">
        <is>
          <t>MATRION</t>
        </is>
      </c>
      <c r="K5047" t="inlineStr">
        <is>
          <t>CUIVRE</t>
        </is>
      </c>
      <c r="L5047">
        <f>_xlfn.XLOOKUP(Tableau1[[#This Row],[TYPE DE PIECE]],Tableau4[MATIERE],Tableau4[SHORT TYPE],"",0,1)</f>
        <v/>
      </c>
      <c r="N5047">
        <f>IF(ISERR(FIND("DECOUPE",Tableau1[[#This Row],[DESIGNATION]])),"","NEED REF")</f>
        <v/>
      </c>
    </row>
    <row r="5048">
      <c r="B5048" t="n">
        <v>34408958</v>
      </c>
      <c r="C5048" s="2" t="n">
        <v>44158</v>
      </c>
      <c r="D5048" t="inlineStr">
        <is>
          <t>SPEC</t>
        </is>
      </c>
      <c r="E5048" t="inlineStr">
        <is>
          <t>SMT SUPPORT APPAREILLAGE</t>
        </is>
      </c>
      <c r="F5048" t="inlineStr">
        <is>
          <t>Li-Ion</t>
        </is>
      </c>
      <c r="G5048" t="inlineStr">
        <is>
          <t>GVS</t>
        </is>
      </c>
      <c r="H5048" t="inlineStr">
        <is>
          <t>AUX</t>
        </is>
      </c>
      <c r="J5048" t="inlineStr">
        <is>
          <t>JAWORSKI</t>
        </is>
      </c>
      <c r="K5048" t="inlineStr">
        <is>
          <t>METAL</t>
        </is>
      </c>
      <c r="L5048">
        <f>_xlfn.XLOOKUP(Tableau1[[#This Row],[TYPE DE PIECE]],Tableau4[MATIERE],Tableau4[SHORT TYPE],"",0,1)</f>
        <v/>
      </c>
      <c r="N5048">
        <f>IF(ISERR(FIND("DECOUPE",Tableau1[[#This Row],[DESIGNATION]])),"","NEED REF")</f>
        <v/>
      </c>
    </row>
    <row r="5049">
      <c r="B5049" t="n">
        <v>34408957</v>
      </c>
      <c r="C5049" s="2" t="n">
        <v>44158</v>
      </c>
      <c r="D5049" t="inlineStr">
        <is>
          <t>SPEC</t>
        </is>
      </c>
      <c r="E5049" t="inlineStr">
        <is>
          <t>SMT PLATINE DE FOND</t>
        </is>
      </c>
      <c r="F5049" t="inlineStr">
        <is>
          <t>Li-Ion</t>
        </is>
      </c>
      <c r="G5049" t="inlineStr">
        <is>
          <t>GVS</t>
        </is>
      </c>
      <c r="H5049" t="inlineStr">
        <is>
          <t>AUX</t>
        </is>
      </c>
      <c r="J5049" t="inlineStr">
        <is>
          <t>JAWORSKI</t>
        </is>
      </c>
      <c r="K5049" t="inlineStr">
        <is>
          <t>METAL</t>
        </is>
      </c>
      <c r="L5049">
        <f>_xlfn.XLOOKUP(Tableau1[[#This Row],[TYPE DE PIECE]],Tableau4[MATIERE],Tableau4[SHORT TYPE],"",0,1)</f>
        <v/>
      </c>
      <c r="N5049">
        <f>IF(ISERR(FIND("DECOUPE",Tableau1[[#This Row],[DESIGNATION]])),"","NEED REF")</f>
        <v/>
      </c>
    </row>
    <row r="5050">
      <c r="B5050" t="n">
        <v>34408956</v>
      </c>
      <c r="C5050" s="2" t="n">
        <v>44158</v>
      </c>
      <c r="D5050" t="inlineStr">
        <is>
          <t>SPEC</t>
        </is>
      </c>
      <c r="E5050" t="inlineStr">
        <is>
          <t>SMT SUPPORT LINERGY HAUT/BAS</t>
        </is>
      </c>
      <c r="G5050" t="inlineStr">
        <is>
          <t>E3L</t>
        </is>
      </c>
      <c r="H5050" t="inlineStr">
        <is>
          <t>BYPASS</t>
        </is>
      </c>
      <c r="J5050" t="inlineStr">
        <is>
          <t>MATRION</t>
        </is>
      </c>
      <c r="K5050" t="inlineStr">
        <is>
          <t>METAL</t>
        </is>
      </c>
      <c r="L5050">
        <f>_xlfn.XLOOKUP(Tableau1[[#This Row],[TYPE DE PIECE]],Tableau4[MATIERE],Tableau4[SHORT TYPE],"",0,1)</f>
        <v/>
      </c>
      <c r="N5050">
        <f>IF(ISERR(FIND("DECOUPE",Tableau1[[#This Row],[DESIGNATION]])),"","NEED REF")</f>
        <v/>
      </c>
    </row>
    <row r="5051">
      <c r="B5051" t="n">
        <v>34408955</v>
      </c>
      <c r="C5051" s="2" t="n">
        <v>44158</v>
      </c>
      <c r="D5051" t="inlineStr">
        <is>
          <t>SPEC</t>
        </is>
      </c>
      <c r="E5051" t="inlineStr">
        <is>
          <t>SMT PLATINE BYPASS NS2000</t>
        </is>
      </c>
      <c r="G5051" t="inlineStr">
        <is>
          <t>E3L</t>
        </is>
      </c>
      <c r="H5051" t="inlineStr">
        <is>
          <t>BYPASS</t>
        </is>
      </c>
      <c r="J5051" t="inlineStr">
        <is>
          <t>MATRION</t>
        </is>
      </c>
      <c r="K5051" t="inlineStr">
        <is>
          <t>METAL</t>
        </is>
      </c>
      <c r="L5051">
        <f>_xlfn.XLOOKUP(Tableau1[[#This Row],[TYPE DE PIECE]],Tableau4[MATIERE],Tableau4[SHORT TYPE],"",0,1)</f>
        <v/>
      </c>
      <c r="N5051">
        <f>IF(ISERR(FIND("DECOUPE",Tableau1[[#This Row],[DESIGNATION]])),"","NEED REF")</f>
        <v/>
      </c>
    </row>
    <row r="5052">
      <c r="B5052" t="n">
        <v>34408954</v>
      </c>
      <c r="C5052" s="2" t="n">
        <v>44155</v>
      </c>
      <c r="D5052" t="inlineStr">
        <is>
          <t>SPEC</t>
        </is>
      </c>
      <c r="E5052" t="inlineStr">
        <is>
          <t>SMT DECOUPE LINERY 04563 650MM</t>
        </is>
      </c>
      <c r="G5052" t="inlineStr">
        <is>
          <t>GVS</t>
        </is>
      </c>
      <c r="H5052" t="inlineStr">
        <is>
          <t>BYPASS</t>
        </is>
      </c>
      <c r="J5052" t="inlineStr">
        <is>
          <t>MATRION</t>
        </is>
      </c>
      <c r="K5052" t="inlineStr">
        <is>
          <t>METAL</t>
        </is>
      </c>
      <c r="L5052">
        <f>_xlfn.XLOOKUP(Tableau1[[#This Row],[TYPE DE PIECE]],Tableau4[MATIERE],Tableau4[SHORT TYPE],"",0,1)</f>
        <v/>
      </c>
      <c r="N5052" t="inlineStr">
        <is>
          <t>LVS04563</t>
        </is>
      </c>
    </row>
    <row r="5053">
      <c r="B5053" t="n">
        <v>34408953</v>
      </c>
      <c r="C5053" s="2" t="n">
        <v>44154</v>
      </c>
      <c r="D5053" t="inlineStr">
        <is>
          <t>SPEC</t>
        </is>
      </c>
      <c r="E5053" t="inlineStr">
        <is>
          <t>SMT SUPPORT BARRE PE</t>
        </is>
      </c>
      <c r="G5053" t="inlineStr">
        <is>
          <t>GVS</t>
        </is>
      </c>
      <c r="H5053" t="inlineStr">
        <is>
          <t>BYPASS</t>
        </is>
      </c>
      <c r="J5053" t="inlineStr">
        <is>
          <t>JAWORSKI</t>
        </is>
      </c>
      <c r="K5053" t="inlineStr">
        <is>
          <t>METAL</t>
        </is>
      </c>
      <c r="L5053">
        <f>_xlfn.XLOOKUP(Tableau1[[#This Row],[TYPE DE PIECE]],Tableau4[MATIERE],Tableau4[SHORT TYPE],"",0,1)</f>
        <v/>
      </c>
      <c r="N5053">
        <f>IF(ISERR(FIND("DECOUPE",Tableau1[[#This Row],[DESIGNATION]])),"","NEED REF")</f>
        <v/>
      </c>
    </row>
    <row r="5054">
      <c r="B5054" t="n">
        <v>34408952</v>
      </c>
      <c r="C5054" s="2" t="n">
        <v>44152</v>
      </c>
      <c r="D5054" t="inlineStr">
        <is>
          <t>SPEC</t>
        </is>
      </c>
      <c r="E5054" t="inlineStr">
        <is>
          <t>SMT PIECE D'ACCOUPLEMENT</t>
        </is>
      </c>
      <c r="G5054" t="inlineStr">
        <is>
          <t>GVS</t>
        </is>
      </c>
      <c r="H5054" t="inlineStr">
        <is>
          <t>BYPASS</t>
        </is>
      </c>
      <c r="J5054" t="inlineStr">
        <is>
          <t>MATRION</t>
        </is>
      </c>
      <c r="K5054" t="inlineStr">
        <is>
          <t>METAL</t>
        </is>
      </c>
      <c r="L5054">
        <f>_xlfn.XLOOKUP(Tableau1[[#This Row],[TYPE DE PIECE]],Tableau4[MATIERE],Tableau4[SHORT TYPE],"",0,1)</f>
        <v/>
      </c>
      <c r="N5054">
        <f>IF(ISERR(FIND("DECOUPE",Tableau1[[#This Row],[DESIGNATION]])),"","NEED REF")</f>
        <v/>
      </c>
    </row>
    <row r="5055">
      <c r="B5055" t="n">
        <v>34408951</v>
      </c>
      <c r="C5055" s="2" t="n">
        <v>44152</v>
      </c>
      <c r="D5055" t="inlineStr">
        <is>
          <t>SPEC</t>
        </is>
      </c>
      <c r="E5055" t="inlineStr">
        <is>
          <t>SMT OBTURATEUR SKID GVS</t>
        </is>
      </c>
      <c r="G5055" t="inlineStr">
        <is>
          <t>GVS</t>
        </is>
      </c>
      <c r="H5055" t="inlineStr">
        <is>
          <t>UPS</t>
        </is>
      </c>
      <c r="J5055" t="inlineStr">
        <is>
          <t>MATRION</t>
        </is>
      </c>
      <c r="K5055" t="inlineStr">
        <is>
          <t>METAL</t>
        </is>
      </c>
      <c r="L5055">
        <f>_xlfn.XLOOKUP(Tableau1[[#This Row],[TYPE DE PIECE]],Tableau4[MATIERE],Tableau4[SHORT TYPE],"",0,1)</f>
        <v/>
      </c>
      <c r="N5055">
        <f>IF(ISERR(FIND("DECOUPE",Tableau1[[#This Row],[DESIGNATION]])),"","NEED REF")</f>
        <v/>
      </c>
    </row>
    <row r="5056">
      <c r="B5056" t="n">
        <v>34408950</v>
      </c>
      <c r="C5056" s="2" t="n">
        <v>44152</v>
      </c>
      <c r="D5056" t="inlineStr">
        <is>
          <t>SPEC</t>
        </is>
      </c>
      <c r="E5056" t="inlineStr">
        <is>
          <t>COFFRET SYNCHRO PLATINE GVM-GVX-SymPX-GVL</t>
        </is>
      </c>
      <c r="J5056" t="inlineStr">
        <is>
          <t>PILLON</t>
        </is>
      </c>
      <c r="K5056" t="inlineStr">
        <is>
          <t>METAL</t>
        </is>
      </c>
      <c r="L5056">
        <f>_xlfn.XLOOKUP(Tableau1[[#This Row],[TYPE DE PIECE]],Tableau4[MATIERE],Tableau4[SHORT TYPE],"",0,1)</f>
        <v/>
      </c>
      <c r="N5056">
        <f>IF(ISERR(FIND("DECOUPE",Tableau1[[#This Row],[DESIGNATION]])),"","NEED REF")</f>
        <v/>
      </c>
    </row>
    <row r="5057">
      <c r="B5057" t="n">
        <v>34408949</v>
      </c>
      <c r="C5057" s="2" t="n">
        <v>44152</v>
      </c>
      <c r="D5057" t="inlineStr">
        <is>
          <t>SPEC</t>
        </is>
      </c>
      <c r="E5057" t="inlineStr">
        <is>
          <t>SMT TRAVERSE BIRDY L700</t>
        </is>
      </c>
      <c r="G5057" t="inlineStr">
        <is>
          <t>GVS</t>
        </is>
      </c>
      <c r="H5057" t="inlineStr">
        <is>
          <t>BYPASS</t>
        </is>
      </c>
      <c r="J5057" t="inlineStr">
        <is>
          <t>JAWORSKI</t>
        </is>
      </c>
      <c r="K5057" t="inlineStr">
        <is>
          <t>METAL</t>
        </is>
      </c>
      <c r="L5057">
        <f>_xlfn.XLOOKUP(Tableau1[[#This Row],[TYPE DE PIECE]],Tableau4[MATIERE],Tableau4[SHORT TYPE],"",0,1)</f>
        <v/>
      </c>
      <c r="N5057">
        <f>IF(ISERR(FIND("DECOUPE",Tableau1[[#This Row],[DESIGNATION]])),"","NEED REF")</f>
        <v/>
      </c>
    </row>
    <row r="5058">
      <c r="B5058" t="n">
        <v>34408948</v>
      </c>
      <c r="C5058" s="2" t="n">
        <v>44151</v>
      </c>
      <c r="D5058" t="inlineStr">
        <is>
          <t>SPEC</t>
        </is>
      </c>
      <c r="E5058" t="inlineStr">
        <is>
          <t>COFFRET SPACIAL 3D (H) 30 0 x (L) 400 x (P) 150 TEINTE RAL9001ST - W20100622TGF/A0</t>
        </is>
      </c>
      <c r="J5058" t="inlineStr">
        <is>
          <t>PLANTIER</t>
        </is>
      </c>
      <c r="L5058">
        <f>_xlfn.XLOOKUP(Tableau1[[#This Row],[TYPE DE PIECE]],Tableau4[MATIERE],Tableau4[SHORT TYPE],"",0,1)</f>
        <v/>
      </c>
      <c r="N5058">
        <f>IF(ISERR(FIND("DECOUPE",Tableau1[[#This Row],[DESIGNATION]])),"","NEED REF")</f>
        <v/>
      </c>
    </row>
    <row r="5059">
      <c r="B5059" t="n">
        <v>34408947</v>
      </c>
      <c r="C5059" s="2" t="n">
        <v>44151</v>
      </c>
      <c r="D5059" t="inlineStr">
        <is>
          <t>SPEC</t>
        </is>
      </c>
      <c r="E5059" t="inlineStr">
        <is>
          <t>KIT SKID GVS</t>
        </is>
      </c>
      <c r="G5059" t="inlineStr">
        <is>
          <t>GVS</t>
        </is>
      </c>
      <c r="H5059" t="inlineStr">
        <is>
          <t>UPS</t>
        </is>
      </c>
      <c r="J5059" t="inlineStr">
        <is>
          <t>MATRION</t>
        </is>
      </c>
      <c r="K5059" t="inlineStr">
        <is>
          <t>METAL</t>
        </is>
      </c>
      <c r="L5059">
        <f>_xlfn.XLOOKUP(Tableau1[[#This Row],[TYPE DE PIECE]],Tableau4[MATIERE],Tableau4[SHORT TYPE],"",0,1)</f>
        <v/>
      </c>
      <c r="N5059">
        <f>IF(ISERR(FIND("DECOUPE",Tableau1[[#This Row],[DESIGNATION]])),"","NEED REF")</f>
        <v/>
      </c>
    </row>
    <row r="5060">
      <c r="B5060" t="n">
        <v>34408946</v>
      </c>
      <c r="C5060" s="2" t="n">
        <v>44151</v>
      </c>
      <c r="D5060" t="inlineStr">
        <is>
          <t>SPEC</t>
        </is>
      </c>
      <c r="E5060" t="inlineStr">
        <is>
          <t>SMT SUPPORT ALIM AUX</t>
        </is>
      </c>
      <c r="G5060" t="inlineStr">
        <is>
          <t>GVS</t>
        </is>
      </c>
      <c r="H5060" t="inlineStr">
        <is>
          <t>BYPASS</t>
        </is>
      </c>
      <c r="J5060" t="inlineStr">
        <is>
          <t>JAWORSKI</t>
        </is>
      </c>
      <c r="K5060" t="inlineStr">
        <is>
          <t>METAL</t>
        </is>
      </c>
      <c r="L5060">
        <f>_xlfn.XLOOKUP(Tableau1[[#This Row],[TYPE DE PIECE]],Tableau4[MATIERE],Tableau4[SHORT TYPE],"",0,1)</f>
        <v/>
      </c>
      <c r="N5060">
        <f>IF(ISERR(FIND("DECOUPE",Tableau1[[#This Row],[DESIGNATION]])),"","NEED REF")</f>
        <v/>
      </c>
    </row>
    <row r="5061">
      <c r="B5061" t="n">
        <v>34408945</v>
      </c>
      <c r="C5061" s="2" t="n">
        <v>44151</v>
      </c>
      <c r="D5061" t="inlineStr">
        <is>
          <t>SPEC</t>
        </is>
      </c>
      <c r="E5061" t="inlineStr">
        <is>
          <t>SMT CACHE NSX</t>
        </is>
      </c>
      <c r="G5061" t="inlineStr">
        <is>
          <t>GVS</t>
        </is>
      </c>
      <c r="H5061" t="inlineStr">
        <is>
          <t>BYPASS</t>
        </is>
      </c>
      <c r="J5061" t="inlineStr">
        <is>
          <t>MATRION</t>
        </is>
      </c>
      <c r="K5061" t="inlineStr">
        <is>
          <t>METAL</t>
        </is>
      </c>
      <c r="L5061">
        <f>_xlfn.XLOOKUP(Tableau1[[#This Row],[TYPE DE PIECE]],Tableau4[MATIERE],Tableau4[SHORT TYPE],"",0,1)</f>
        <v/>
      </c>
      <c r="N5061">
        <f>IF(ISERR(FIND("DECOUPE",Tableau1[[#This Row],[DESIGNATION]])),"","NEED REF")</f>
        <v/>
      </c>
    </row>
    <row r="5062">
      <c r="B5062" t="n">
        <v>34408944</v>
      </c>
      <c r="C5062" s="2" t="n">
        <v>44148</v>
      </c>
      <c r="D5062" t="inlineStr">
        <is>
          <t>SPEC</t>
        </is>
      </c>
      <c r="E5062" t="inlineStr">
        <is>
          <t>SMT DEMI PLASTRON GAINE 400</t>
        </is>
      </c>
      <c r="G5062" t="inlineStr">
        <is>
          <t>GVS</t>
        </is>
      </c>
      <c r="H5062" t="inlineStr">
        <is>
          <t>BYPASS</t>
        </is>
      </c>
      <c r="J5062" t="inlineStr">
        <is>
          <t>MATRION</t>
        </is>
      </c>
      <c r="K5062" t="inlineStr">
        <is>
          <t>METAL</t>
        </is>
      </c>
      <c r="L5062">
        <f>_xlfn.XLOOKUP(Tableau1[[#This Row],[TYPE DE PIECE]],Tableau4[MATIERE],Tableau4[SHORT TYPE],"",0,1)</f>
        <v/>
      </c>
      <c r="N5062">
        <f>IF(ISERR(FIND("DECOUPE",Tableau1[[#This Row],[DESIGNATION]])),"","NEED REF")</f>
        <v/>
      </c>
    </row>
    <row r="5063">
      <c r="B5063" t="n">
        <v>34408943</v>
      </c>
      <c r="C5063" s="2" t="n">
        <v>44148</v>
      </c>
      <c r="D5063" t="inlineStr">
        <is>
          <t>SPEC</t>
        </is>
      </c>
      <c r="E5063" t="inlineStr">
        <is>
          <t>SMT SUPPORT VOYANT 2</t>
        </is>
      </c>
      <c r="G5063" t="inlineStr">
        <is>
          <t>GVS</t>
        </is>
      </c>
      <c r="H5063" t="inlineStr">
        <is>
          <t>BYPASS</t>
        </is>
      </c>
      <c r="J5063" t="inlineStr">
        <is>
          <t>JAWORSKI</t>
        </is>
      </c>
      <c r="K5063" t="inlineStr">
        <is>
          <t>METAL</t>
        </is>
      </c>
      <c r="L5063">
        <f>_xlfn.XLOOKUP(Tableau1[[#This Row],[TYPE DE PIECE]],Tableau4[MATIERE],Tableau4[SHORT TYPE],"",0,1)</f>
        <v/>
      </c>
      <c r="N5063">
        <f>IF(ISERR(FIND("DECOUPE",Tableau1[[#This Row],[DESIGNATION]])),"","NEED REF")</f>
        <v/>
      </c>
    </row>
    <row r="5064">
      <c r="B5064" t="n">
        <v>34408942</v>
      </c>
      <c r="C5064" s="2" t="n">
        <v>44148</v>
      </c>
      <c r="D5064" t="inlineStr">
        <is>
          <t>SPEC</t>
        </is>
      </c>
      <c r="E5064" t="inlineStr">
        <is>
          <t>SMT SUPPORT RACCORDEMENT UTIL</t>
        </is>
      </c>
      <c r="G5064" t="inlineStr">
        <is>
          <t>GVS</t>
        </is>
      </c>
      <c r="H5064" t="inlineStr">
        <is>
          <t>BYPASS</t>
        </is>
      </c>
      <c r="J5064" t="inlineStr">
        <is>
          <t>MATRION</t>
        </is>
      </c>
      <c r="K5064" t="inlineStr">
        <is>
          <t>METAL</t>
        </is>
      </c>
      <c r="L5064">
        <f>_xlfn.XLOOKUP(Tableau1[[#This Row],[TYPE DE PIECE]],Tableau4[MATIERE],Tableau4[SHORT TYPE],"",0,1)</f>
        <v/>
      </c>
      <c r="N5064">
        <f>IF(ISERR(FIND("DECOUPE",Tableau1[[#This Row],[DESIGNATION]])),"","NEED REF")</f>
        <v/>
      </c>
    </row>
    <row r="5065">
      <c r="B5065" t="n">
        <v>34408941</v>
      </c>
      <c r="C5065" s="2" t="n">
        <v>44147</v>
      </c>
      <c r="D5065" t="inlineStr">
        <is>
          <t>SPEC</t>
        </is>
      </c>
      <c r="E5065" t="inlineStr">
        <is>
          <t>SMT SUPPORT VOYANT 1</t>
        </is>
      </c>
      <c r="G5065" t="inlineStr">
        <is>
          <t>GVS</t>
        </is>
      </c>
      <c r="H5065" t="inlineStr">
        <is>
          <t>BYPASS</t>
        </is>
      </c>
      <c r="J5065" t="inlineStr">
        <is>
          <t>JAWORSKI</t>
        </is>
      </c>
      <c r="K5065" t="inlineStr">
        <is>
          <t>METAL</t>
        </is>
      </c>
      <c r="L5065">
        <f>_xlfn.XLOOKUP(Tableau1[[#This Row],[TYPE DE PIECE]],Tableau4[MATIERE],Tableau4[SHORT TYPE],"",0,1)</f>
        <v/>
      </c>
      <c r="N5065">
        <f>IF(ISERR(FIND("DECOUPE",Tableau1[[#This Row],[DESIGNATION]])),"","NEED REF")</f>
        <v/>
      </c>
    </row>
    <row r="5066">
      <c r="B5066" t="n">
        <v>34408940</v>
      </c>
      <c r="C5066" s="2" t="n">
        <v>44147</v>
      </c>
      <c r="D5066" t="inlineStr">
        <is>
          <t>SPEC</t>
        </is>
      </c>
      <c r="E5066" t="inlineStr">
        <is>
          <t>PLAQUE DE BRIDAGE CUIVRE 8</t>
        </is>
      </c>
      <c r="G5066" t="inlineStr">
        <is>
          <t>GVS</t>
        </is>
      </c>
      <c r="H5066" t="inlineStr">
        <is>
          <t>BYPASS</t>
        </is>
      </c>
      <c r="J5066" t="inlineStr">
        <is>
          <t>JAWORSKI</t>
        </is>
      </c>
      <c r="K5066" t="inlineStr">
        <is>
          <t>PLASTIQUE</t>
        </is>
      </c>
      <c r="L5066">
        <f>_xlfn.XLOOKUP(Tableau1[[#This Row],[TYPE DE PIECE]],Tableau4[MATIERE],Tableau4[SHORT TYPE],"",0,1)</f>
        <v/>
      </c>
      <c r="N5066">
        <f>IF(ISERR(FIND("DECOUPE",Tableau1[[#This Row],[DESIGNATION]])),"","NEED REF")</f>
        <v/>
      </c>
    </row>
    <row r="5067">
      <c r="B5067" t="n">
        <v>34408939</v>
      </c>
      <c r="C5067" s="2" t="n">
        <v>44147</v>
      </c>
      <c r="D5067" t="inlineStr">
        <is>
          <t>SPEC</t>
        </is>
      </c>
      <c r="E5067" t="inlineStr">
        <is>
          <t>COP RACC MAINS</t>
        </is>
      </c>
      <c r="G5067" t="inlineStr">
        <is>
          <t>GVS</t>
        </is>
      </c>
      <c r="H5067" t="inlineStr">
        <is>
          <t>BYPASS</t>
        </is>
      </c>
      <c r="J5067" t="inlineStr">
        <is>
          <t>MATRION</t>
        </is>
      </c>
      <c r="K5067" t="inlineStr">
        <is>
          <t>CUIVRE</t>
        </is>
      </c>
      <c r="L5067">
        <f>_xlfn.XLOOKUP(Tableau1[[#This Row],[TYPE DE PIECE]],Tableau4[MATIERE],Tableau4[SHORT TYPE],"",0,1)</f>
        <v/>
      </c>
      <c r="N5067">
        <f>IF(ISERR(FIND("DECOUPE",Tableau1[[#This Row],[DESIGNATION]])),"","NEED REF")</f>
        <v/>
      </c>
    </row>
    <row r="5068">
      <c r="B5068" t="n">
        <v>34408938</v>
      </c>
      <c r="C5068" s="2" t="n">
        <v>44147</v>
      </c>
      <c r="D5068" t="inlineStr">
        <is>
          <t>SPEC</t>
        </is>
      </c>
      <c r="E5068" t="inlineStr">
        <is>
          <t>PLAQUE DE BRIDAGE CUIVRE 7</t>
        </is>
      </c>
      <c r="G5068" t="inlineStr">
        <is>
          <t>GVS</t>
        </is>
      </c>
      <c r="H5068" t="inlineStr">
        <is>
          <t>BYPASS</t>
        </is>
      </c>
      <c r="J5068" t="inlineStr">
        <is>
          <t>JAWORSKI</t>
        </is>
      </c>
      <c r="K5068" t="inlineStr">
        <is>
          <t>PLASTIQUE</t>
        </is>
      </c>
      <c r="L5068">
        <f>_xlfn.XLOOKUP(Tableau1[[#This Row],[TYPE DE PIECE]],Tableau4[MATIERE],Tableau4[SHORT TYPE],"",0,1)</f>
        <v/>
      </c>
      <c r="N5068">
        <f>IF(ISERR(FIND("DECOUPE",Tableau1[[#This Row],[DESIGNATION]])),"","NEED REF")</f>
        <v/>
      </c>
    </row>
    <row r="5069">
      <c r="B5069" t="n">
        <v>34408937</v>
      </c>
      <c r="C5069" s="2" t="n">
        <v>44145</v>
      </c>
      <c r="D5069" t="inlineStr">
        <is>
          <t>SPEC</t>
        </is>
      </c>
      <c r="E5069" t="inlineStr">
        <is>
          <t>BARRE DE BRIDAGE CUIVRE 6</t>
        </is>
      </c>
      <c r="G5069" t="inlineStr">
        <is>
          <t>GVS</t>
        </is>
      </c>
      <c r="H5069" t="inlineStr">
        <is>
          <t>BYPASS</t>
        </is>
      </c>
      <c r="J5069" t="inlineStr">
        <is>
          <t>JAWORSKI</t>
        </is>
      </c>
      <c r="K5069" t="inlineStr">
        <is>
          <t>PLASTIQUE</t>
        </is>
      </c>
      <c r="L5069">
        <f>_xlfn.XLOOKUP(Tableau1[[#This Row],[TYPE DE PIECE]],Tableau4[MATIERE],Tableau4[SHORT TYPE],"",0,1)</f>
        <v/>
      </c>
      <c r="N5069">
        <f>IF(ISERR(FIND("DECOUPE",Tableau1[[#This Row],[DESIGNATION]])),"","NEED REF")</f>
        <v/>
      </c>
    </row>
    <row r="5070">
      <c r="B5070" t="n">
        <v>34408936</v>
      </c>
      <c r="C5070" s="2" t="n">
        <v>44145</v>
      </c>
      <c r="D5070" t="inlineStr">
        <is>
          <t>SPEC</t>
        </is>
      </c>
      <c r="E5070" t="inlineStr">
        <is>
          <t>BARRE DE BRIDAGE CUIVRE 5</t>
        </is>
      </c>
      <c r="G5070" t="inlineStr">
        <is>
          <t>GVS</t>
        </is>
      </c>
      <c r="H5070" t="inlineStr">
        <is>
          <t>BYPASS</t>
        </is>
      </c>
      <c r="J5070" t="inlineStr">
        <is>
          <t>JAWORSKI</t>
        </is>
      </c>
      <c r="K5070" t="inlineStr">
        <is>
          <t>PLASTIQUE</t>
        </is>
      </c>
      <c r="L5070">
        <f>_xlfn.XLOOKUP(Tableau1[[#This Row],[TYPE DE PIECE]],Tableau4[MATIERE],Tableau4[SHORT TYPE],"",0,1)</f>
        <v/>
      </c>
      <c r="N5070">
        <f>IF(ISERR(FIND("DECOUPE",Tableau1[[#This Row],[DESIGNATION]])),"","NEED REF")</f>
        <v/>
      </c>
    </row>
    <row r="5071">
      <c r="B5071" t="n">
        <v>34408935</v>
      </c>
      <c r="C5071" s="2" t="n">
        <v>44145</v>
      </c>
      <c r="D5071" t="inlineStr">
        <is>
          <t>SPEC</t>
        </is>
      </c>
      <c r="E5071" t="inlineStr">
        <is>
          <t>PLAQUE DE BRIDAGE CUIVRE 4</t>
        </is>
      </c>
      <c r="G5071" t="inlineStr">
        <is>
          <t>GVS</t>
        </is>
      </c>
      <c r="H5071" t="inlineStr">
        <is>
          <t>BYPASS</t>
        </is>
      </c>
      <c r="J5071" t="inlineStr">
        <is>
          <t>JAWORSKI</t>
        </is>
      </c>
      <c r="K5071" t="inlineStr">
        <is>
          <t>PLASTIQUE</t>
        </is>
      </c>
      <c r="L5071">
        <f>_xlfn.XLOOKUP(Tableau1[[#This Row],[TYPE DE PIECE]],Tableau4[MATIERE],Tableau4[SHORT TYPE],"",0,1)</f>
        <v/>
      </c>
      <c r="N5071">
        <f>IF(ISERR(FIND("DECOUPE",Tableau1[[#This Row],[DESIGNATION]])),"","NEED REF")</f>
        <v/>
      </c>
    </row>
    <row r="5072">
      <c r="B5072" t="n">
        <v>34408934</v>
      </c>
      <c r="C5072" s="2" t="n">
        <v>44145</v>
      </c>
      <c r="D5072" t="inlineStr">
        <is>
          <t>SPEC</t>
        </is>
      </c>
      <c r="E5072" t="inlineStr">
        <is>
          <t>BARRE DE BRIDAGE CUIVRE 3</t>
        </is>
      </c>
      <c r="G5072" t="inlineStr">
        <is>
          <t>GVS</t>
        </is>
      </c>
      <c r="H5072" t="inlineStr">
        <is>
          <t>BYPASS</t>
        </is>
      </c>
      <c r="J5072" t="inlineStr">
        <is>
          <t>JAWORSKI</t>
        </is>
      </c>
      <c r="K5072" t="inlineStr">
        <is>
          <t>PLASTIQUE</t>
        </is>
      </c>
      <c r="L5072">
        <f>_xlfn.XLOOKUP(Tableau1[[#This Row],[TYPE DE PIECE]],Tableau4[MATIERE],Tableau4[SHORT TYPE],"",0,1)</f>
        <v/>
      </c>
      <c r="N5072">
        <f>IF(ISERR(FIND("DECOUPE",Tableau1[[#This Row],[DESIGNATION]])),"","NEED REF")</f>
        <v/>
      </c>
    </row>
    <row r="5073">
      <c r="B5073" t="n">
        <v>34408933</v>
      </c>
      <c r="C5073" s="2" t="n">
        <v>44144</v>
      </c>
      <c r="D5073" t="inlineStr">
        <is>
          <t>SPEC</t>
        </is>
      </c>
      <c r="E5073" t="inlineStr">
        <is>
          <t>SMT PLASTRON 8</t>
        </is>
      </c>
      <c r="G5073" t="inlineStr">
        <is>
          <t>GVS</t>
        </is>
      </c>
      <c r="H5073" t="inlineStr">
        <is>
          <t>BYPASS</t>
        </is>
      </c>
      <c r="J5073" t="inlineStr">
        <is>
          <t>MATRION</t>
        </is>
      </c>
      <c r="K5073" t="inlineStr">
        <is>
          <t>METAL</t>
        </is>
      </c>
      <c r="L5073">
        <f>_xlfn.XLOOKUP(Tableau1[[#This Row],[TYPE DE PIECE]],Tableau4[MATIERE],Tableau4[SHORT TYPE],"",0,1)</f>
        <v/>
      </c>
      <c r="N5073">
        <f>IF(ISERR(FIND("DECOUPE",Tableau1[[#This Row],[DESIGNATION]])),"","NEED REF")</f>
        <v/>
      </c>
    </row>
    <row r="5074">
      <c r="B5074" t="n">
        <v>34408932</v>
      </c>
      <c r="C5074" s="2" t="n">
        <v>44141</v>
      </c>
      <c r="D5074" t="inlineStr">
        <is>
          <t>SPEC</t>
        </is>
      </c>
      <c r="E5074" t="inlineStr">
        <is>
          <t>SMT PLATINE BYPASS 630</t>
        </is>
      </c>
      <c r="G5074" t="inlineStr">
        <is>
          <t>GVS</t>
        </is>
      </c>
      <c r="H5074" t="inlineStr">
        <is>
          <t>BYPASS</t>
        </is>
      </c>
      <c r="J5074" t="inlineStr">
        <is>
          <t>JAWORSKI</t>
        </is>
      </c>
      <c r="K5074" t="inlineStr">
        <is>
          <t>METAL</t>
        </is>
      </c>
      <c r="L5074">
        <f>_xlfn.XLOOKUP(Tableau1[[#This Row],[TYPE DE PIECE]],Tableau4[MATIERE],Tableau4[SHORT TYPE],"",0,1)</f>
        <v/>
      </c>
      <c r="N5074">
        <f>IF(ISERR(FIND("DECOUPE",Tableau1[[#This Row],[DESIGNATION]])),"","NEED REF")</f>
        <v/>
      </c>
    </row>
    <row r="5075">
      <c r="B5075" t="n">
        <v>34408931</v>
      </c>
      <c r="C5075" s="2" t="n">
        <v>44141</v>
      </c>
      <c r="D5075" t="inlineStr">
        <is>
          <t>SPEC</t>
        </is>
      </c>
      <c r="E5075" t="inlineStr">
        <is>
          <t>SMT SUPPORT LINERGY 2</t>
        </is>
      </c>
      <c r="G5075" t="inlineStr">
        <is>
          <t>GVS</t>
        </is>
      </c>
      <c r="H5075" t="inlineStr">
        <is>
          <t>BYPASS</t>
        </is>
      </c>
      <c r="J5075" t="inlineStr">
        <is>
          <t>MATRION</t>
        </is>
      </c>
      <c r="K5075" t="inlineStr">
        <is>
          <t>METAL</t>
        </is>
      </c>
      <c r="L5075">
        <f>_xlfn.XLOOKUP(Tableau1[[#This Row],[TYPE DE PIECE]],Tableau4[MATIERE],Tableau4[SHORT TYPE],"",0,1)</f>
        <v/>
      </c>
      <c r="N5075">
        <f>IF(ISERR(FIND("DECOUPE",Tableau1[[#This Row],[DESIGNATION]])),"","NEED REF")</f>
        <v/>
      </c>
    </row>
    <row r="5076">
      <c r="B5076" t="n">
        <v>34408930</v>
      </c>
      <c r="C5076" s="2" t="n">
        <v>44140</v>
      </c>
      <c r="D5076" t="inlineStr">
        <is>
          <t>SPEC</t>
        </is>
      </c>
      <c r="E5076" t="inlineStr">
        <is>
          <t>SMT SUPPORT PLATINE UOB BAS</t>
        </is>
      </c>
      <c r="G5076" t="inlineStr">
        <is>
          <t>GVS</t>
        </is>
      </c>
      <c r="H5076" t="inlineStr">
        <is>
          <t>BYPASS</t>
        </is>
      </c>
      <c r="J5076" t="inlineStr">
        <is>
          <t>JAWORSKI</t>
        </is>
      </c>
      <c r="K5076" t="inlineStr">
        <is>
          <t>METAL</t>
        </is>
      </c>
      <c r="L5076">
        <f>_xlfn.XLOOKUP(Tableau1[[#This Row],[TYPE DE PIECE]],Tableau4[MATIERE],Tableau4[SHORT TYPE],"",0,1)</f>
        <v/>
      </c>
      <c r="N5076">
        <f>IF(ISERR(FIND("DECOUPE",Tableau1[[#This Row],[DESIGNATION]])),"","NEED REF")</f>
        <v/>
      </c>
    </row>
    <row r="5077">
      <c r="B5077" t="n">
        <v>34408929</v>
      </c>
      <c r="C5077" s="2" t="n">
        <v>44140</v>
      </c>
      <c r="D5077" t="inlineStr">
        <is>
          <t>SPEC</t>
        </is>
      </c>
      <c r="E5077" t="inlineStr">
        <is>
          <t>COP LIAISON NS250 LINERGY N</t>
        </is>
      </c>
      <c r="G5077" t="inlineStr">
        <is>
          <t>GVS</t>
        </is>
      </c>
      <c r="H5077" t="inlineStr">
        <is>
          <t>BYPASS</t>
        </is>
      </c>
      <c r="J5077" t="inlineStr">
        <is>
          <t>MATRION</t>
        </is>
      </c>
      <c r="K5077" t="inlineStr">
        <is>
          <t>CUIVRE</t>
        </is>
      </c>
      <c r="L5077">
        <f>_xlfn.XLOOKUP(Tableau1[[#This Row],[TYPE DE PIECE]],Tableau4[MATIERE],Tableau4[SHORT TYPE],"",0,1)</f>
        <v/>
      </c>
      <c r="N5077">
        <f>IF(ISERR(FIND("DECOUPE",Tableau1[[#This Row],[DESIGNATION]])),"","NEED REF")</f>
        <v/>
      </c>
    </row>
    <row r="5078">
      <c r="B5078" t="n">
        <v>34408928</v>
      </c>
      <c r="C5078" s="2" t="n">
        <v>44140</v>
      </c>
      <c r="D5078" t="inlineStr">
        <is>
          <t>SPEC</t>
        </is>
      </c>
      <c r="E5078" t="inlineStr">
        <is>
          <t>COP LIAISON NS250 LINERGY N</t>
        </is>
      </c>
      <c r="G5078" t="inlineStr">
        <is>
          <t>GVS</t>
        </is>
      </c>
      <c r="H5078" t="inlineStr">
        <is>
          <t>BYPASS</t>
        </is>
      </c>
      <c r="J5078" t="inlineStr">
        <is>
          <t>MATRION</t>
        </is>
      </c>
      <c r="K5078" t="inlineStr">
        <is>
          <t>CUIVRE</t>
        </is>
      </c>
      <c r="L5078">
        <f>_xlfn.XLOOKUP(Tableau1[[#This Row],[TYPE DE PIECE]],Tableau4[MATIERE],Tableau4[SHORT TYPE],"",0,1)</f>
        <v/>
      </c>
      <c r="N5078">
        <f>IF(ISERR(FIND("DECOUPE",Tableau1[[#This Row],[DESIGNATION]])),"","NEED REF")</f>
        <v/>
      </c>
    </row>
    <row r="5079">
      <c r="B5079" t="n">
        <v>34408927</v>
      </c>
      <c r="C5079" s="2" t="n">
        <v>44140</v>
      </c>
      <c r="D5079" t="inlineStr">
        <is>
          <t>SPEC</t>
        </is>
      </c>
      <c r="E5079" t="inlineStr">
        <is>
          <t>COP LIAISON NS1250 LINERGY L1</t>
        </is>
      </c>
      <c r="G5079" t="inlineStr">
        <is>
          <t>GVS</t>
        </is>
      </c>
      <c r="H5079" t="inlineStr">
        <is>
          <t>BYPASS</t>
        </is>
      </c>
      <c r="J5079" t="inlineStr">
        <is>
          <t>MATRION</t>
        </is>
      </c>
      <c r="K5079" t="inlineStr">
        <is>
          <t>CUIVRE</t>
        </is>
      </c>
      <c r="L5079">
        <f>_xlfn.XLOOKUP(Tableau1[[#This Row],[TYPE DE PIECE]],Tableau4[MATIERE],Tableau4[SHORT TYPE],"",0,1)</f>
        <v/>
      </c>
      <c r="N5079">
        <f>IF(ISERR(FIND("DECOUPE",Tableau1[[#This Row],[DESIGNATION]])),"","NEED REF")</f>
        <v/>
      </c>
    </row>
    <row r="5080">
      <c r="B5080" t="n">
        <v>34408926</v>
      </c>
      <c r="C5080" s="2" t="n">
        <v>44140</v>
      </c>
      <c r="D5080" t="inlineStr">
        <is>
          <t>SPEC</t>
        </is>
      </c>
      <c r="E5080" t="inlineStr">
        <is>
          <t>COP LIAISON NS1250 LINERGY L2</t>
        </is>
      </c>
      <c r="G5080" t="inlineStr">
        <is>
          <t>GVS</t>
        </is>
      </c>
      <c r="H5080" t="inlineStr">
        <is>
          <t>BYPASS</t>
        </is>
      </c>
      <c r="J5080" t="inlineStr">
        <is>
          <t>MATRION</t>
        </is>
      </c>
      <c r="K5080" t="inlineStr">
        <is>
          <t>CUIVRE</t>
        </is>
      </c>
      <c r="L5080">
        <f>_xlfn.XLOOKUP(Tableau1[[#This Row],[TYPE DE PIECE]],Tableau4[MATIERE],Tableau4[SHORT TYPE],"",0,1)</f>
        <v/>
      </c>
      <c r="N5080">
        <f>IF(ISERR(FIND("DECOUPE",Tableau1[[#This Row],[DESIGNATION]])),"","NEED REF")</f>
        <v/>
      </c>
    </row>
    <row r="5081">
      <c r="B5081" t="n">
        <v>34408925</v>
      </c>
      <c r="C5081" s="2" t="n">
        <v>44139</v>
      </c>
      <c r="D5081" t="inlineStr">
        <is>
          <t>SPEC</t>
        </is>
      </c>
      <c r="E5081" t="inlineStr">
        <is>
          <t>COP RACC UTIL 2</t>
        </is>
      </c>
      <c r="G5081" t="inlineStr">
        <is>
          <t>GVS</t>
        </is>
      </c>
      <c r="H5081" t="inlineStr">
        <is>
          <t>BYPASS</t>
        </is>
      </c>
      <c r="J5081" t="inlineStr">
        <is>
          <t>MATRION</t>
        </is>
      </c>
      <c r="K5081" t="inlineStr">
        <is>
          <t>CUIVRE</t>
        </is>
      </c>
      <c r="L5081">
        <f>_xlfn.XLOOKUP(Tableau1[[#This Row],[TYPE DE PIECE]],Tableau4[MATIERE],Tableau4[SHORT TYPE],"",0,1)</f>
        <v/>
      </c>
      <c r="N5081">
        <f>IF(ISERR(FIND("DECOUPE",Tableau1[[#This Row],[DESIGNATION]])),"","NEED REF")</f>
        <v/>
      </c>
    </row>
    <row r="5082">
      <c r="B5082" t="n">
        <v>34408924</v>
      </c>
      <c r="C5082" s="2" t="n">
        <v>44139</v>
      </c>
      <c r="D5082" t="inlineStr">
        <is>
          <t>SPEC</t>
        </is>
      </c>
      <c r="E5082" t="inlineStr">
        <is>
          <t>COP RACC UTIL 1</t>
        </is>
      </c>
      <c r="G5082" t="inlineStr">
        <is>
          <t>GVS</t>
        </is>
      </c>
      <c r="H5082" t="inlineStr">
        <is>
          <t>BYPASS</t>
        </is>
      </c>
      <c r="J5082" t="inlineStr">
        <is>
          <t>MATRION</t>
        </is>
      </c>
      <c r="K5082" t="inlineStr">
        <is>
          <t>CUIVRE</t>
        </is>
      </c>
      <c r="L5082">
        <f>_xlfn.XLOOKUP(Tableau1[[#This Row],[TYPE DE PIECE]],Tableau4[MATIERE],Tableau4[SHORT TYPE],"",0,1)</f>
        <v/>
      </c>
      <c r="N5082">
        <f>IF(ISERR(FIND("DECOUPE",Tableau1[[#This Row],[DESIGNATION]])),"","NEED REF")</f>
        <v/>
      </c>
    </row>
    <row r="5083">
      <c r="B5083" t="n">
        <v>34408923</v>
      </c>
      <c r="C5083" s="2" t="n">
        <v>44139</v>
      </c>
      <c r="D5083" t="inlineStr">
        <is>
          <t>SPEC</t>
        </is>
      </c>
      <c r="E5083" t="inlineStr">
        <is>
          <t>COP PLAGE DE RACC N</t>
        </is>
      </c>
      <c r="G5083" t="inlineStr">
        <is>
          <t>GVS</t>
        </is>
      </c>
      <c r="H5083" t="inlineStr">
        <is>
          <t>BYPASS</t>
        </is>
      </c>
      <c r="J5083" t="inlineStr">
        <is>
          <t>MATRION</t>
        </is>
      </c>
      <c r="K5083" t="inlineStr">
        <is>
          <t>CUIVRE</t>
        </is>
      </c>
      <c r="L5083">
        <f>_xlfn.XLOOKUP(Tableau1[[#This Row],[TYPE DE PIECE]],Tableau4[MATIERE],Tableau4[SHORT TYPE],"",0,1)</f>
        <v/>
      </c>
      <c r="N5083">
        <f>IF(ISERR(FIND("DECOUPE",Tableau1[[#This Row],[DESIGNATION]])),"","NEED REF")</f>
        <v/>
      </c>
    </row>
    <row r="5084">
      <c r="B5084" t="n">
        <v>34408922</v>
      </c>
      <c r="C5084" s="2" t="n">
        <v>44139</v>
      </c>
      <c r="D5084" t="inlineStr">
        <is>
          <t>SPEC</t>
        </is>
      </c>
      <c r="E5084" t="inlineStr">
        <is>
          <t>COP PLAGE DE RACC</t>
        </is>
      </c>
      <c r="G5084" t="inlineStr">
        <is>
          <t>GVS</t>
        </is>
      </c>
      <c r="H5084" t="inlineStr">
        <is>
          <t>BYPASS</t>
        </is>
      </c>
      <c r="J5084" t="inlineStr">
        <is>
          <t>MATRION</t>
        </is>
      </c>
      <c r="K5084" t="inlineStr">
        <is>
          <t>CUIVRE</t>
        </is>
      </c>
      <c r="L5084">
        <f>_xlfn.XLOOKUP(Tableau1[[#This Row],[TYPE DE PIECE]],Tableau4[MATIERE],Tableau4[SHORT TYPE],"",0,1)</f>
        <v/>
      </c>
      <c r="N5084">
        <f>IF(ISERR(FIND("DECOUPE",Tableau1[[#This Row],[DESIGNATION]])),"","NEED REF")</f>
        <v/>
      </c>
    </row>
    <row r="5085">
      <c r="B5085" t="n">
        <v>34408921</v>
      </c>
      <c r="C5085" s="2" t="n">
        <v>44138</v>
      </c>
      <c r="D5085" t="inlineStr">
        <is>
          <t>SPEC</t>
        </is>
      </c>
      <c r="E5085" t="inlineStr">
        <is>
          <t>SMT SUPPORT PLATINE UIB BAS</t>
        </is>
      </c>
      <c r="G5085" t="inlineStr">
        <is>
          <t>GVS</t>
        </is>
      </c>
      <c r="H5085" t="inlineStr">
        <is>
          <t>BYPASS</t>
        </is>
      </c>
      <c r="J5085" t="inlineStr">
        <is>
          <t>JAWORSKI</t>
        </is>
      </c>
      <c r="K5085" t="inlineStr">
        <is>
          <t>METAL</t>
        </is>
      </c>
      <c r="L5085">
        <f>_xlfn.XLOOKUP(Tableau1[[#This Row],[TYPE DE PIECE]],Tableau4[MATIERE],Tableau4[SHORT TYPE],"",0,1)</f>
        <v/>
      </c>
      <c r="N5085">
        <f>IF(ISERR(FIND("DECOUPE",Tableau1[[#This Row],[DESIGNATION]])),"","NEED REF")</f>
        <v/>
      </c>
    </row>
    <row r="5086">
      <c r="B5086" t="n">
        <v>34408920</v>
      </c>
      <c r="C5086" s="2" t="n">
        <v>44138</v>
      </c>
      <c r="D5086" t="inlineStr">
        <is>
          <t>SPEC</t>
        </is>
      </c>
      <c r="E5086" t="inlineStr">
        <is>
          <t>SMT SUPPORT PLATINE UIB HAUT</t>
        </is>
      </c>
      <c r="G5086" t="inlineStr">
        <is>
          <t>GVS</t>
        </is>
      </c>
      <c r="H5086" t="inlineStr">
        <is>
          <t>BYPASS</t>
        </is>
      </c>
      <c r="J5086" t="inlineStr">
        <is>
          <t>JAWORSKI</t>
        </is>
      </c>
      <c r="K5086" t="inlineStr">
        <is>
          <t>METAL</t>
        </is>
      </c>
      <c r="L5086">
        <f>_xlfn.XLOOKUP(Tableau1[[#This Row],[TYPE DE PIECE]],Tableau4[MATIERE],Tableau4[SHORT TYPE],"",0,1)</f>
        <v/>
      </c>
      <c r="N5086">
        <f>IF(ISERR(FIND("DECOUPE",Tableau1[[#This Row],[DESIGNATION]])),"","NEED REF")</f>
        <v/>
      </c>
    </row>
    <row r="5087">
      <c r="B5087" t="n">
        <v>34408919</v>
      </c>
      <c r="C5087" s="2" t="n">
        <v>44138</v>
      </c>
      <c r="D5087" t="inlineStr">
        <is>
          <t>SPEC</t>
        </is>
      </c>
      <c r="E5087" t="inlineStr">
        <is>
          <t>SMT PLATINE UIB 400</t>
        </is>
      </c>
      <c r="G5087" t="inlineStr">
        <is>
          <t>GVS</t>
        </is>
      </c>
      <c r="H5087" t="inlineStr">
        <is>
          <t>BYPASS</t>
        </is>
      </c>
      <c r="J5087" t="inlineStr">
        <is>
          <t>JAWORSKI</t>
        </is>
      </c>
      <c r="K5087" t="inlineStr">
        <is>
          <t>METAL</t>
        </is>
      </c>
      <c r="L5087">
        <f>_xlfn.XLOOKUP(Tableau1[[#This Row],[TYPE DE PIECE]],Tableau4[MATIERE],Tableau4[SHORT TYPE],"",0,1)</f>
        <v/>
      </c>
      <c r="N5087">
        <f>IF(ISERR(FIND("DECOUPE",Tableau1[[#This Row],[DESIGNATION]])),"","NEED REF")</f>
        <v/>
      </c>
    </row>
    <row r="5088">
      <c r="B5088" t="n">
        <v>34408918</v>
      </c>
      <c r="C5088" s="2" t="n">
        <v>44138</v>
      </c>
      <c r="D5088" t="inlineStr">
        <is>
          <t>SPEC</t>
        </is>
      </c>
      <c r="E5088" t="inlineStr">
        <is>
          <t>SMT PLATINE UIB 250</t>
        </is>
      </c>
      <c r="G5088" t="inlineStr">
        <is>
          <t>GVS</t>
        </is>
      </c>
      <c r="H5088" t="inlineStr">
        <is>
          <t>BYPASS</t>
        </is>
      </c>
      <c r="J5088" t="inlineStr">
        <is>
          <t>JAWORSKI</t>
        </is>
      </c>
      <c r="K5088" t="inlineStr">
        <is>
          <t>METAL</t>
        </is>
      </c>
      <c r="L5088">
        <f>_xlfn.XLOOKUP(Tableau1[[#This Row],[TYPE DE PIECE]],Tableau4[MATIERE],Tableau4[SHORT TYPE],"",0,1)</f>
        <v/>
      </c>
      <c r="N5088">
        <f>IF(ISERR(FIND("DECOUPE",Tableau1[[#This Row],[DESIGNATION]])),"","NEED REF")</f>
        <v/>
      </c>
    </row>
    <row r="5089">
      <c r="B5089" t="n">
        <v>34408917</v>
      </c>
      <c r="C5089" s="2" t="n">
        <v>44138</v>
      </c>
      <c r="D5089" t="inlineStr">
        <is>
          <t>SPEC</t>
        </is>
      </c>
      <c r="G5089" t="inlineStr">
        <is>
          <t>GVS</t>
        </is>
      </c>
      <c r="H5089" t="inlineStr">
        <is>
          <t>BYPASS</t>
        </is>
      </c>
      <c r="J5089" t="inlineStr">
        <is>
          <t>MATRION</t>
        </is>
      </c>
      <c r="K5089" t="inlineStr">
        <is>
          <t>CUIVRE</t>
        </is>
      </c>
      <c r="L5089">
        <f>_xlfn.XLOOKUP(Tableau1[[#This Row],[TYPE DE PIECE]],Tableau4[MATIERE],Tableau4[SHORT TYPE],"",0,1)</f>
        <v/>
      </c>
      <c r="N5089">
        <f>IF(ISERR(FIND("DECOUPE",Tableau1[[#This Row],[DESIGNATION]])),"","NEED REF")</f>
        <v/>
      </c>
    </row>
    <row r="5090">
      <c r="B5090" t="n">
        <v>34408916</v>
      </c>
      <c r="C5090" s="2" t="n">
        <v>44138</v>
      </c>
      <c r="D5090" t="inlineStr">
        <is>
          <t>SPEC</t>
        </is>
      </c>
      <c r="G5090" t="inlineStr">
        <is>
          <t>GVS</t>
        </is>
      </c>
      <c r="H5090" t="inlineStr">
        <is>
          <t>BYPASS</t>
        </is>
      </c>
      <c r="J5090" t="inlineStr">
        <is>
          <t>MATRION</t>
        </is>
      </c>
      <c r="K5090" t="inlineStr">
        <is>
          <t>CUIVRE</t>
        </is>
      </c>
      <c r="L5090">
        <f>_xlfn.XLOOKUP(Tableau1[[#This Row],[TYPE DE PIECE]],Tableau4[MATIERE],Tableau4[SHORT TYPE],"",0,1)</f>
        <v/>
      </c>
      <c r="N5090">
        <f>IF(ISERR(FIND("DECOUPE",Tableau1[[#This Row],[DESIGNATION]])),"","NEED REF")</f>
        <v/>
      </c>
    </row>
    <row r="5091">
      <c r="B5091" t="n">
        <v>34408915</v>
      </c>
      <c r="C5091" s="2" t="n">
        <v>44138</v>
      </c>
      <c r="D5091" t="inlineStr">
        <is>
          <t>SPEC</t>
        </is>
      </c>
      <c r="G5091" t="inlineStr">
        <is>
          <t>GVS</t>
        </is>
      </c>
      <c r="H5091" t="inlineStr">
        <is>
          <t>BYPASS</t>
        </is>
      </c>
      <c r="J5091" t="inlineStr">
        <is>
          <t>MATRION</t>
        </is>
      </c>
      <c r="K5091" t="inlineStr">
        <is>
          <t>CUIVRE</t>
        </is>
      </c>
      <c r="L5091">
        <f>_xlfn.XLOOKUP(Tableau1[[#This Row],[TYPE DE PIECE]],Tableau4[MATIERE],Tableau4[SHORT TYPE],"",0,1)</f>
        <v/>
      </c>
      <c r="N5091">
        <f>IF(ISERR(FIND("DECOUPE",Tableau1[[#This Row],[DESIGNATION]])),"","NEED REF")</f>
        <v/>
      </c>
    </row>
    <row r="5092">
      <c r="B5092" t="n">
        <v>34408914</v>
      </c>
      <c r="C5092" s="2" t="n">
        <v>44138</v>
      </c>
      <c r="D5092" t="inlineStr">
        <is>
          <t>SPEC</t>
        </is>
      </c>
      <c r="E5092" t="inlineStr">
        <is>
          <t>COP LIAISON NSX400 UTIL 1</t>
        </is>
      </c>
      <c r="G5092" t="inlineStr">
        <is>
          <t>GVS</t>
        </is>
      </c>
      <c r="H5092" t="inlineStr">
        <is>
          <t>BYPASS</t>
        </is>
      </c>
      <c r="J5092" t="inlineStr">
        <is>
          <t>MATRION</t>
        </is>
      </c>
      <c r="K5092" t="inlineStr">
        <is>
          <t>CUIVRE</t>
        </is>
      </c>
      <c r="L5092">
        <f>_xlfn.XLOOKUP(Tableau1[[#This Row],[TYPE DE PIECE]],Tableau4[MATIERE],Tableau4[SHORT TYPE],"",0,1)</f>
        <v/>
      </c>
      <c r="N5092">
        <f>IF(ISERR(FIND("DECOUPE",Tableau1[[#This Row],[DESIGNATION]])),"","NEED REF")</f>
        <v/>
      </c>
    </row>
    <row r="5093">
      <c r="B5093" t="n">
        <v>34408913</v>
      </c>
      <c r="C5093" s="2" t="n">
        <v>44138</v>
      </c>
      <c r="D5093" t="inlineStr">
        <is>
          <t>SPEC</t>
        </is>
      </c>
      <c r="E5093" t="inlineStr">
        <is>
          <t>COP LIAISON NSX400 LINERGY N</t>
        </is>
      </c>
      <c r="G5093" t="inlineStr">
        <is>
          <t>GVS</t>
        </is>
      </c>
      <c r="H5093" t="inlineStr">
        <is>
          <t>BYPASS</t>
        </is>
      </c>
      <c r="J5093" t="inlineStr">
        <is>
          <t>MATRION</t>
        </is>
      </c>
      <c r="K5093" t="inlineStr">
        <is>
          <t>CUIVRE</t>
        </is>
      </c>
      <c r="L5093">
        <f>_xlfn.XLOOKUP(Tableau1[[#This Row],[TYPE DE PIECE]],Tableau4[MATIERE],Tableau4[SHORT TYPE],"",0,1)</f>
        <v/>
      </c>
      <c r="N5093">
        <f>IF(ISERR(FIND("DECOUPE",Tableau1[[#This Row],[DESIGNATION]])),"","NEED REF")</f>
        <v/>
      </c>
    </row>
    <row r="5094">
      <c r="B5094" t="n">
        <v>34408912</v>
      </c>
      <c r="C5094" s="2" t="n">
        <v>44138</v>
      </c>
      <c r="D5094" t="inlineStr">
        <is>
          <t>SPEC</t>
        </is>
      </c>
      <c r="E5094" t="inlineStr">
        <is>
          <t>COP LIAISON NSX400 LINERGY L3</t>
        </is>
      </c>
      <c r="G5094" t="inlineStr">
        <is>
          <t>GVS</t>
        </is>
      </c>
      <c r="H5094" t="inlineStr">
        <is>
          <t>BYPASS</t>
        </is>
      </c>
      <c r="J5094" t="inlineStr">
        <is>
          <t>MATRION</t>
        </is>
      </c>
      <c r="K5094" t="inlineStr">
        <is>
          <t>CUIVRE</t>
        </is>
      </c>
      <c r="L5094">
        <f>_xlfn.XLOOKUP(Tableau1[[#This Row],[TYPE DE PIECE]],Tableau4[MATIERE],Tableau4[SHORT TYPE],"",0,1)</f>
        <v/>
      </c>
      <c r="N5094">
        <f>IF(ISERR(FIND("DECOUPE",Tableau1[[#This Row],[DESIGNATION]])),"","NEED REF")</f>
        <v/>
      </c>
    </row>
    <row r="5095">
      <c r="B5095" t="n">
        <v>34408911</v>
      </c>
      <c r="C5095" s="2" t="n">
        <v>44138</v>
      </c>
      <c r="D5095" t="inlineStr">
        <is>
          <t>SPEC</t>
        </is>
      </c>
      <c r="E5095" t="inlineStr">
        <is>
          <t>COP LIAISON NSX400 LINERGY L2</t>
        </is>
      </c>
      <c r="G5095" t="inlineStr">
        <is>
          <t>GVS</t>
        </is>
      </c>
      <c r="H5095" t="inlineStr">
        <is>
          <t>BYPASS</t>
        </is>
      </c>
      <c r="J5095" t="inlineStr">
        <is>
          <t>MATRION</t>
        </is>
      </c>
      <c r="K5095" t="inlineStr">
        <is>
          <t>CUIVRE</t>
        </is>
      </c>
      <c r="L5095">
        <f>_xlfn.XLOOKUP(Tableau1[[#This Row],[TYPE DE PIECE]],Tableau4[MATIERE],Tableau4[SHORT TYPE],"",0,1)</f>
        <v/>
      </c>
      <c r="N5095">
        <f>IF(ISERR(FIND("DECOUPE",Tableau1[[#This Row],[DESIGNATION]])),"","NEED REF")</f>
        <v/>
      </c>
    </row>
    <row r="5096">
      <c r="B5096" t="n">
        <v>34408910</v>
      </c>
      <c r="C5096" s="2" t="n">
        <v>44138</v>
      </c>
      <c r="D5096" t="inlineStr">
        <is>
          <t>SPEC</t>
        </is>
      </c>
      <c r="E5096" t="inlineStr">
        <is>
          <t>COP LIAISON NSX400 LINERGY L1</t>
        </is>
      </c>
      <c r="G5096" t="inlineStr">
        <is>
          <t>GVS</t>
        </is>
      </c>
      <c r="H5096" t="inlineStr">
        <is>
          <t>BYPASS</t>
        </is>
      </c>
      <c r="J5096" t="inlineStr">
        <is>
          <t>MATRION</t>
        </is>
      </c>
      <c r="K5096" t="inlineStr">
        <is>
          <t>CUIVRE</t>
        </is>
      </c>
      <c r="L5096">
        <f>_xlfn.XLOOKUP(Tableau1[[#This Row],[TYPE DE PIECE]],Tableau4[MATIERE],Tableau4[SHORT TYPE],"",0,1)</f>
        <v/>
      </c>
      <c r="N5096">
        <f>IF(ISERR(FIND("DECOUPE",Tableau1[[#This Row],[DESIGNATION]])),"","NEED REF")</f>
        <v/>
      </c>
    </row>
    <row r="5097">
      <c r="B5097" t="n">
        <v>34408909</v>
      </c>
      <c r="C5097" s="2" t="n">
        <v>44138</v>
      </c>
      <c r="D5097" t="inlineStr">
        <is>
          <t>SPEC</t>
        </is>
      </c>
      <c r="E5097" t="inlineStr">
        <is>
          <t>COP LIAISON NSX400 LINERGY L3</t>
        </is>
      </c>
      <c r="G5097" t="inlineStr">
        <is>
          <t>GVS</t>
        </is>
      </c>
      <c r="H5097" t="inlineStr">
        <is>
          <t>BYPASS</t>
        </is>
      </c>
      <c r="J5097" t="inlineStr">
        <is>
          <t>MATRION</t>
        </is>
      </c>
      <c r="K5097" t="inlineStr">
        <is>
          <t>CUIVRE</t>
        </is>
      </c>
      <c r="L5097">
        <f>_xlfn.XLOOKUP(Tableau1[[#This Row],[TYPE DE PIECE]],Tableau4[MATIERE],Tableau4[SHORT TYPE],"",0,1)</f>
        <v/>
      </c>
      <c r="N5097">
        <f>IF(ISERR(FIND("DECOUPE",Tableau1[[#This Row],[DESIGNATION]])),"","NEED REF")</f>
        <v/>
      </c>
    </row>
    <row r="5098">
      <c r="B5098" t="n">
        <v>34408908</v>
      </c>
      <c r="C5098" s="2" t="n">
        <v>44138</v>
      </c>
      <c r="D5098" t="inlineStr">
        <is>
          <t>SPEC</t>
        </is>
      </c>
      <c r="E5098" t="inlineStr">
        <is>
          <t>COP LIAISON NSX400 LINERGY L2</t>
        </is>
      </c>
      <c r="G5098" t="inlineStr">
        <is>
          <t>GVS</t>
        </is>
      </c>
      <c r="H5098" t="inlineStr">
        <is>
          <t>BYPASS</t>
        </is>
      </c>
      <c r="J5098" t="inlineStr">
        <is>
          <t>MATRION</t>
        </is>
      </c>
      <c r="K5098" t="inlineStr">
        <is>
          <t>CUIVRE</t>
        </is>
      </c>
      <c r="L5098">
        <f>_xlfn.XLOOKUP(Tableau1[[#This Row],[TYPE DE PIECE]],Tableau4[MATIERE],Tableau4[SHORT TYPE],"",0,1)</f>
        <v/>
      </c>
      <c r="N5098">
        <f>IF(ISERR(FIND("DECOUPE",Tableau1[[#This Row],[DESIGNATION]])),"","NEED REF")</f>
        <v/>
      </c>
    </row>
    <row r="5099">
      <c r="B5099" t="n">
        <v>34408907</v>
      </c>
      <c r="C5099" s="2" t="n">
        <v>44138</v>
      </c>
      <c r="D5099" t="inlineStr">
        <is>
          <t>SPEC</t>
        </is>
      </c>
      <c r="E5099" t="inlineStr">
        <is>
          <t>COP LIAISON NSX400 LINERGY L1</t>
        </is>
      </c>
      <c r="G5099" t="inlineStr">
        <is>
          <t>GVS</t>
        </is>
      </c>
      <c r="H5099" t="inlineStr">
        <is>
          <t>BYPASS</t>
        </is>
      </c>
      <c r="J5099" t="inlineStr">
        <is>
          <t>MATRION</t>
        </is>
      </c>
      <c r="K5099" t="inlineStr">
        <is>
          <t>CUIVRE</t>
        </is>
      </c>
      <c r="L5099">
        <f>_xlfn.XLOOKUP(Tableau1[[#This Row],[TYPE DE PIECE]],Tableau4[MATIERE],Tableau4[SHORT TYPE],"",0,1)</f>
        <v/>
      </c>
      <c r="N5099">
        <f>IF(ISERR(FIND("DECOUPE",Tableau1[[#This Row],[DESIGNATION]])),"","NEED REF")</f>
        <v/>
      </c>
    </row>
    <row r="5100">
      <c r="B5100" t="n">
        <v>34408906</v>
      </c>
      <c r="C5100" s="2" t="n">
        <v>44138</v>
      </c>
      <c r="D5100" t="inlineStr">
        <is>
          <t>SPEC</t>
        </is>
      </c>
      <c r="E5100" t="inlineStr">
        <is>
          <t>COP LIAISON NSX400 LINERGY N</t>
        </is>
      </c>
      <c r="G5100" t="inlineStr">
        <is>
          <t>GVS</t>
        </is>
      </c>
      <c r="H5100" t="inlineStr">
        <is>
          <t>BYPASS</t>
        </is>
      </c>
      <c r="J5100" t="inlineStr">
        <is>
          <t>MATRION</t>
        </is>
      </c>
      <c r="K5100" t="inlineStr">
        <is>
          <t>CUIVRE</t>
        </is>
      </c>
      <c r="L5100">
        <f>_xlfn.XLOOKUP(Tableau1[[#This Row],[TYPE DE PIECE]],Tableau4[MATIERE],Tableau4[SHORT TYPE],"",0,1)</f>
        <v/>
      </c>
      <c r="N5100">
        <f>IF(ISERR(FIND("DECOUPE",Tableau1[[#This Row],[DESIGNATION]])),"","NEED REF")</f>
        <v/>
      </c>
    </row>
    <row r="5101">
      <c r="B5101" t="n">
        <v>34408905</v>
      </c>
      <c r="C5101" s="2" t="n">
        <v>44138</v>
      </c>
      <c r="D5101" t="inlineStr">
        <is>
          <t>SPEC</t>
        </is>
      </c>
      <c r="E5101" t="inlineStr">
        <is>
          <t>SMT PLASTRON 7</t>
        </is>
      </c>
      <c r="G5101" t="inlineStr">
        <is>
          <t>GVS</t>
        </is>
      </c>
      <c r="H5101" t="inlineStr">
        <is>
          <t>BYPASS</t>
        </is>
      </c>
      <c r="J5101" t="inlineStr">
        <is>
          <t>MATRION</t>
        </is>
      </c>
      <c r="K5101" t="inlineStr">
        <is>
          <t>METAL</t>
        </is>
      </c>
      <c r="L5101">
        <f>_xlfn.XLOOKUP(Tableau1[[#This Row],[TYPE DE PIECE]],Tableau4[MATIERE],Tableau4[SHORT TYPE],"",0,1)</f>
        <v/>
      </c>
      <c r="N5101">
        <f>IF(ISERR(FIND("DECOUPE",Tableau1[[#This Row],[DESIGNATION]])),"","NEED REF")</f>
        <v/>
      </c>
    </row>
    <row r="5102">
      <c r="B5102" t="n">
        <v>34408904</v>
      </c>
      <c r="C5102" s="2" t="n">
        <v>44137</v>
      </c>
      <c r="D5102" t="inlineStr">
        <is>
          <t>SPEC</t>
        </is>
      </c>
      <c r="E5102" t="inlineStr">
        <is>
          <t>SMT PLASTRON 6</t>
        </is>
      </c>
      <c r="G5102" t="inlineStr">
        <is>
          <t>GVS</t>
        </is>
      </c>
      <c r="H5102" t="inlineStr">
        <is>
          <t>BYPASS</t>
        </is>
      </c>
      <c r="J5102" t="inlineStr">
        <is>
          <t>MATRION</t>
        </is>
      </c>
      <c r="K5102" t="inlineStr">
        <is>
          <t>METAL</t>
        </is>
      </c>
      <c r="L5102">
        <f>_xlfn.XLOOKUP(Tableau1[[#This Row],[TYPE DE PIECE]],Tableau4[MATIERE],Tableau4[SHORT TYPE],"",0,1)</f>
        <v/>
      </c>
      <c r="N5102">
        <f>IF(ISERR(FIND("DECOUPE",Tableau1[[#This Row],[DESIGNATION]])),"","NEED REF")</f>
        <v/>
      </c>
    </row>
    <row r="5103">
      <c r="B5103" t="n">
        <v>34408903</v>
      </c>
      <c r="C5103" s="2" t="n">
        <v>44137</v>
      </c>
      <c r="D5103" t="inlineStr">
        <is>
          <t>SPEC</t>
        </is>
      </c>
      <c r="E5103" t="inlineStr">
        <is>
          <t>SMT PLASTRON 5</t>
        </is>
      </c>
      <c r="G5103" t="inlineStr">
        <is>
          <t>GVS</t>
        </is>
      </c>
      <c r="H5103" t="inlineStr">
        <is>
          <t>BYPASS</t>
        </is>
      </c>
      <c r="J5103" t="inlineStr">
        <is>
          <t>MATRION</t>
        </is>
      </c>
      <c r="K5103" t="inlineStr">
        <is>
          <t>METAL</t>
        </is>
      </c>
      <c r="L5103">
        <f>_xlfn.XLOOKUP(Tableau1[[#This Row],[TYPE DE PIECE]],Tableau4[MATIERE],Tableau4[SHORT TYPE],"",0,1)</f>
        <v/>
      </c>
      <c r="N5103">
        <f>IF(ISERR(FIND("DECOUPE",Tableau1[[#This Row],[DESIGNATION]])),"","NEED REF")</f>
        <v/>
      </c>
    </row>
    <row r="5104">
      <c r="B5104" t="n">
        <v>34408902</v>
      </c>
      <c r="C5104" s="2" t="n">
        <v>44137</v>
      </c>
      <c r="D5104" t="inlineStr">
        <is>
          <t>SPEC</t>
        </is>
      </c>
      <c r="E5104" t="inlineStr">
        <is>
          <t>SMT PLASTRON 4</t>
        </is>
      </c>
      <c r="G5104" t="inlineStr">
        <is>
          <t>GVS</t>
        </is>
      </c>
      <c r="H5104" t="inlineStr">
        <is>
          <t>BYPASS</t>
        </is>
      </c>
      <c r="J5104" t="inlineStr">
        <is>
          <t>MATRION</t>
        </is>
      </c>
      <c r="K5104" t="inlineStr">
        <is>
          <t>METAL</t>
        </is>
      </c>
      <c r="L5104">
        <f>_xlfn.XLOOKUP(Tableau1[[#This Row],[TYPE DE PIECE]],Tableau4[MATIERE],Tableau4[SHORT TYPE],"",0,1)</f>
        <v/>
      </c>
      <c r="N5104">
        <f>IF(ISERR(FIND("DECOUPE",Tableau1[[#This Row],[DESIGNATION]])),"","NEED REF")</f>
        <v/>
      </c>
    </row>
    <row r="5105">
      <c r="B5105" t="n">
        <v>34408901</v>
      </c>
      <c r="C5105" s="2" t="n">
        <v>44137</v>
      </c>
      <c r="D5105" t="inlineStr">
        <is>
          <t>SPEC</t>
        </is>
      </c>
      <c r="E5105" t="inlineStr">
        <is>
          <t>SMT PLASTRON 3</t>
        </is>
      </c>
      <c r="G5105" t="inlineStr">
        <is>
          <t>GVS</t>
        </is>
      </c>
      <c r="H5105" t="inlineStr">
        <is>
          <t>BYPASS</t>
        </is>
      </c>
      <c r="J5105" t="inlineStr">
        <is>
          <t>MATRION</t>
        </is>
      </c>
      <c r="K5105" t="inlineStr">
        <is>
          <t>METAL</t>
        </is>
      </c>
      <c r="L5105">
        <f>_xlfn.XLOOKUP(Tableau1[[#This Row],[TYPE DE PIECE]],Tableau4[MATIERE],Tableau4[SHORT TYPE],"",0,1)</f>
        <v/>
      </c>
      <c r="N5105">
        <f>IF(ISERR(FIND("DECOUPE",Tableau1[[#This Row],[DESIGNATION]])),"","NEED REF")</f>
        <v/>
      </c>
    </row>
    <row r="5106">
      <c r="B5106" t="n">
        <v>34408900</v>
      </c>
      <c r="C5106" s="2" t="n">
        <v>44137</v>
      </c>
      <c r="D5106" t="inlineStr">
        <is>
          <t>SPEC</t>
        </is>
      </c>
      <c r="E5106" t="inlineStr">
        <is>
          <t>SMT PLASTRON 2</t>
        </is>
      </c>
      <c r="G5106" t="inlineStr">
        <is>
          <t>GVS</t>
        </is>
      </c>
      <c r="H5106" t="inlineStr">
        <is>
          <t>BYPASS</t>
        </is>
      </c>
      <c r="J5106" t="inlineStr">
        <is>
          <t>MATRION</t>
        </is>
      </c>
      <c r="K5106" t="inlineStr">
        <is>
          <t>METAL</t>
        </is>
      </c>
      <c r="L5106">
        <f>_xlfn.XLOOKUP(Tableau1[[#This Row],[TYPE DE PIECE]],Tableau4[MATIERE],Tableau4[SHORT TYPE],"",0,1)</f>
        <v/>
      </c>
      <c r="N5106">
        <f>IF(ISERR(FIND("DECOUPE",Tableau1[[#This Row],[DESIGNATION]])),"","NEED REF")</f>
        <v/>
      </c>
    </row>
    <row r="5107">
      <c r="B5107" t="n">
        <v>34408899</v>
      </c>
      <c r="C5107" s="2" t="n">
        <v>44137</v>
      </c>
      <c r="D5107" t="inlineStr">
        <is>
          <t>SPEC</t>
        </is>
      </c>
      <c r="E5107" t="inlineStr">
        <is>
          <t>SMT PLASTRON 1</t>
        </is>
      </c>
      <c r="G5107" t="inlineStr">
        <is>
          <t>GVS</t>
        </is>
      </c>
      <c r="H5107" t="inlineStr">
        <is>
          <t>BYPASS</t>
        </is>
      </c>
      <c r="J5107" t="inlineStr">
        <is>
          <t>MATRION</t>
        </is>
      </c>
      <c r="K5107" t="inlineStr">
        <is>
          <t>METAL</t>
        </is>
      </c>
      <c r="L5107">
        <f>_xlfn.XLOOKUP(Tableau1[[#This Row],[TYPE DE PIECE]],Tableau4[MATIERE],Tableau4[SHORT TYPE],"",0,1)</f>
        <v/>
      </c>
      <c r="N5107">
        <f>IF(ISERR(FIND("DECOUPE",Tableau1[[#This Row],[DESIGNATION]])),"","NEED REF")</f>
        <v/>
      </c>
    </row>
    <row r="5108">
      <c r="B5108" t="n">
        <v>34408898</v>
      </c>
      <c r="C5108" s="2" t="n">
        <v>44137</v>
      </c>
      <c r="D5108" t="inlineStr">
        <is>
          <t>SPEC</t>
        </is>
      </c>
      <c r="E5108" t="inlineStr">
        <is>
          <t>SMT SUPPORT LINERGY 3</t>
        </is>
      </c>
      <c r="G5108" t="inlineStr">
        <is>
          <t>GVS</t>
        </is>
      </c>
      <c r="H5108" t="inlineStr">
        <is>
          <t>BYPASS</t>
        </is>
      </c>
      <c r="J5108" t="inlineStr">
        <is>
          <t>MATRION</t>
        </is>
      </c>
      <c r="K5108" t="inlineStr">
        <is>
          <t>METAL</t>
        </is>
      </c>
      <c r="L5108">
        <f>_xlfn.XLOOKUP(Tableau1[[#This Row],[TYPE DE PIECE]],Tableau4[MATIERE],Tableau4[SHORT TYPE],"",0,1)</f>
        <v/>
      </c>
      <c r="N5108">
        <f>IF(ISERR(FIND("DECOUPE",Tableau1[[#This Row],[DESIGNATION]])),"","NEED REF")</f>
        <v/>
      </c>
    </row>
    <row r="5109">
      <c r="B5109" t="n">
        <v>34408897</v>
      </c>
      <c r="C5109" s="2" t="n">
        <v>44133</v>
      </c>
      <c r="D5109" t="inlineStr">
        <is>
          <t>SPEC</t>
        </is>
      </c>
      <c r="E5109" t="inlineStr">
        <is>
          <t>BARRE DE BRIDAGE CUIVRE 2</t>
        </is>
      </c>
      <c r="G5109" t="inlineStr">
        <is>
          <t>GVS</t>
        </is>
      </c>
      <c r="H5109" t="inlineStr">
        <is>
          <t>BYPASS</t>
        </is>
      </c>
      <c r="J5109" t="inlineStr">
        <is>
          <t>MATRION</t>
        </is>
      </c>
      <c r="K5109" t="inlineStr">
        <is>
          <t>PLASTIQUE</t>
        </is>
      </c>
      <c r="L5109">
        <f>_xlfn.XLOOKUP(Tableau1[[#This Row],[TYPE DE PIECE]],Tableau4[MATIERE],Tableau4[SHORT TYPE],"",0,1)</f>
        <v/>
      </c>
      <c r="N5109">
        <f>IF(ISERR(FIND("DECOUPE",Tableau1[[#This Row],[DESIGNATION]])),"","NEED REF")</f>
        <v/>
      </c>
    </row>
    <row r="5110">
      <c r="B5110" t="n">
        <v>34408896</v>
      </c>
      <c r="C5110" s="2" t="n">
        <v>44133</v>
      </c>
      <c r="D5110" t="inlineStr">
        <is>
          <t>SPEC</t>
        </is>
      </c>
      <c r="E5110" t="inlineStr">
        <is>
          <t>SMT SUPPORT LINERGY 1</t>
        </is>
      </c>
      <c r="G5110" t="inlineStr">
        <is>
          <t>GVS</t>
        </is>
      </c>
      <c r="H5110" t="inlineStr">
        <is>
          <t>BYPASS</t>
        </is>
      </c>
      <c r="J5110" t="inlineStr">
        <is>
          <t>MATRION</t>
        </is>
      </c>
      <c r="K5110" t="inlineStr">
        <is>
          <t>METAL</t>
        </is>
      </c>
      <c r="L5110">
        <f>_xlfn.XLOOKUP(Tableau1[[#This Row],[TYPE DE PIECE]],Tableau4[MATIERE],Tableau4[SHORT TYPE],"",0,1)</f>
        <v/>
      </c>
      <c r="N5110">
        <f>IF(ISERR(FIND("DECOUPE",Tableau1[[#This Row],[DESIGNATION]])),"","NEED REF")</f>
        <v/>
      </c>
    </row>
    <row r="5111">
      <c r="B5111" t="n">
        <v>34408895</v>
      </c>
      <c r="C5111" s="2" t="n">
        <v>44133</v>
      </c>
      <c r="D5111" t="inlineStr">
        <is>
          <t>SPEC</t>
        </is>
      </c>
      <c r="E5111" t="inlineStr">
        <is>
          <t>SMT SUPPORT LATERAL 2</t>
        </is>
      </c>
      <c r="G5111" t="inlineStr">
        <is>
          <t>GVS</t>
        </is>
      </c>
      <c r="H5111" t="inlineStr">
        <is>
          <t>BYPASS</t>
        </is>
      </c>
      <c r="J5111" t="inlineStr">
        <is>
          <t>MATRION</t>
        </is>
      </c>
      <c r="K5111" t="inlineStr">
        <is>
          <t>METAL</t>
        </is>
      </c>
      <c r="L5111">
        <f>_xlfn.XLOOKUP(Tableau1[[#This Row],[TYPE DE PIECE]],Tableau4[MATIERE],Tableau4[SHORT TYPE],"",0,1)</f>
        <v/>
      </c>
      <c r="N5111">
        <f>IF(ISERR(FIND("DECOUPE",Tableau1[[#This Row],[DESIGNATION]])),"","NEED REF")</f>
        <v/>
      </c>
    </row>
    <row r="5112">
      <c r="B5112" t="n">
        <v>34408894</v>
      </c>
      <c r="C5112" s="2" t="n">
        <v>44133</v>
      </c>
      <c r="D5112" t="inlineStr">
        <is>
          <t>SPEC</t>
        </is>
      </c>
      <c r="E5112" t="inlineStr">
        <is>
          <t>SMT SUPPORT LATERAL 1</t>
        </is>
      </c>
      <c r="G5112" t="inlineStr">
        <is>
          <t>GVS</t>
        </is>
      </c>
      <c r="H5112" t="inlineStr">
        <is>
          <t>BYPASS</t>
        </is>
      </c>
      <c r="J5112" t="inlineStr">
        <is>
          <t>MATRION</t>
        </is>
      </c>
      <c r="K5112" t="inlineStr">
        <is>
          <t>METAL</t>
        </is>
      </c>
      <c r="L5112">
        <f>_xlfn.XLOOKUP(Tableau1[[#This Row],[TYPE DE PIECE]],Tableau4[MATIERE],Tableau4[SHORT TYPE],"",0,1)</f>
        <v/>
      </c>
      <c r="N5112">
        <f>IF(ISERR(FIND("DECOUPE",Tableau1[[#This Row],[DESIGNATION]])),"","NEED REF")</f>
        <v/>
      </c>
    </row>
    <row r="5113">
      <c r="B5113" t="n">
        <v>34408893</v>
      </c>
      <c r="C5113" s="2" t="n">
        <v>44132</v>
      </c>
      <c r="D5113" t="inlineStr">
        <is>
          <t>SPEC</t>
        </is>
      </c>
      <c r="E5113" t="inlineStr">
        <is>
          <t>SMT PLATINE BYPASS</t>
        </is>
      </c>
      <c r="G5113" t="inlineStr">
        <is>
          <t>GVS</t>
        </is>
      </c>
      <c r="H5113" t="inlineStr">
        <is>
          <t>BYPASS</t>
        </is>
      </c>
      <c r="J5113" t="inlineStr">
        <is>
          <t>MATRION</t>
        </is>
      </c>
      <c r="K5113" t="inlineStr">
        <is>
          <t>METAL</t>
        </is>
      </c>
      <c r="L5113">
        <f>_xlfn.XLOOKUP(Tableau1[[#This Row],[TYPE DE PIECE]],Tableau4[MATIERE],Tableau4[SHORT TYPE],"",0,1)</f>
        <v/>
      </c>
      <c r="N5113">
        <f>IF(ISERR(FIND("DECOUPE",Tableau1[[#This Row],[DESIGNATION]])),"","NEED REF")</f>
        <v/>
      </c>
    </row>
    <row r="5114">
      <c r="B5114" t="n">
        <v>34408892</v>
      </c>
      <c r="C5114" s="2" t="n">
        <v>44132</v>
      </c>
      <c r="D5114" t="inlineStr">
        <is>
          <t>SPEC</t>
        </is>
      </c>
      <c r="E5114" t="inlineStr">
        <is>
          <t>COP PLAGE DE RACC 2HOLES 44,5</t>
        </is>
      </c>
      <c r="G5114" t="inlineStr">
        <is>
          <t>GVS</t>
        </is>
      </c>
      <c r="H5114" t="inlineStr">
        <is>
          <t>BYPASS</t>
        </is>
      </c>
      <c r="J5114" t="inlineStr">
        <is>
          <t>MATRION</t>
        </is>
      </c>
      <c r="K5114" t="inlineStr">
        <is>
          <t>CUIVRE</t>
        </is>
      </c>
      <c r="L5114">
        <f>_xlfn.XLOOKUP(Tableau1[[#This Row],[TYPE DE PIECE]],Tableau4[MATIERE],Tableau4[SHORT TYPE],"",0,1)</f>
        <v/>
      </c>
      <c r="N5114">
        <f>IF(ISERR(FIND("DECOUPE",Tableau1[[#This Row],[DESIGNATION]])),"","NEED REF")</f>
        <v/>
      </c>
    </row>
    <row r="5115">
      <c r="B5115" t="n">
        <v>34408891</v>
      </c>
      <c r="C5115" s="2" t="n">
        <v>44132</v>
      </c>
      <c r="D5115" t="inlineStr">
        <is>
          <t>SPEC</t>
        </is>
      </c>
      <c r="E5115" t="inlineStr">
        <is>
          <t>COP RACC UTIL 1</t>
        </is>
      </c>
      <c r="G5115" t="inlineStr">
        <is>
          <t>GVS</t>
        </is>
      </c>
      <c r="H5115" t="inlineStr">
        <is>
          <t>BYPASS</t>
        </is>
      </c>
      <c r="J5115" t="inlineStr">
        <is>
          <t>MATRION</t>
        </is>
      </c>
      <c r="K5115" t="inlineStr">
        <is>
          <t>CUIVRE</t>
        </is>
      </c>
      <c r="L5115">
        <f>_xlfn.XLOOKUP(Tableau1[[#This Row],[TYPE DE PIECE]],Tableau4[MATIERE],Tableau4[SHORT TYPE],"",0,1)</f>
        <v/>
      </c>
      <c r="N5115">
        <f>IF(ISERR(FIND("DECOUPE",Tableau1[[#This Row],[DESIGNATION]])),"","NEED REF")</f>
        <v/>
      </c>
    </row>
    <row r="5116">
      <c r="B5116" t="n">
        <v>34408890</v>
      </c>
      <c r="C5116" s="2" t="n">
        <v>44132</v>
      </c>
      <c r="D5116" t="inlineStr">
        <is>
          <t>SPEC</t>
        </is>
      </c>
      <c r="E5116" t="inlineStr">
        <is>
          <t>COP RACC UTIL 2</t>
        </is>
      </c>
      <c r="G5116" t="inlineStr">
        <is>
          <t>GVS</t>
        </is>
      </c>
      <c r="H5116" t="inlineStr">
        <is>
          <t>BYPASS</t>
        </is>
      </c>
      <c r="J5116" t="inlineStr">
        <is>
          <t>MATRION</t>
        </is>
      </c>
      <c r="K5116" t="inlineStr">
        <is>
          <t>CUIVRE</t>
        </is>
      </c>
      <c r="L5116">
        <f>_xlfn.XLOOKUP(Tableau1[[#This Row],[TYPE DE PIECE]],Tableau4[MATIERE],Tableau4[SHORT TYPE],"",0,1)</f>
        <v/>
      </c>
      <c r="N5116">
        <f>IF(ISERR(FIND("DECOUPE",Tableau1[[#This Row],[DESIGNATION]])),"","NEED REF")</f>
        <v/>
      </c>
    </row>
    <row r="5117">
      <c r="B5117" t="n">
        <v>34408889</v>
      </c>
      <c r="C5117" s="2" t="n">
        <v>44132</v>
      </c>
      <c r="D5117" t="inlineStr">
        <is>
          <t>SPEC</t>
        </is>
      </c>
      <c r="E5117" t="inlineStr">
        <is>
          <t>COP RACC UTIL 3</t>
        </is>
      </c>
      <c r="G5117" t="inlineStr">
        <is>
          <t>GVS</t>
        </is>
      </c>
      <c r="H5117" t="inlineStr">
        <is>
          <t>BYPASS</t>
        </is>
      </c>
      <c r="J5117" t="inlineStr">
        <is>
          <t>MATRION</t>
        </is>
      </c>
      <c r="K5117" t="inlineStr">
        <is>
          <t>CUIVRE</t>
        </is>
      </c>
      <c r="L5117">
        <f>_xlfn.XLOOKUP(Tableau1[[#This Row],[TYPE DE PIECE]],Tableau4[MATIERE],Tableau4[SHORT TYPE],"",0,1)</f>
        <v/>
      </c>
      <c r="N5117">
        <f>IF(ISERR(FIND("DECOUPE",Tableau1[[#This Row],[DESIGNATION]])),"","NEED REF")</f>
        <v/>
      </c>
    </row>
    <row r="5118">
      <c r="B5118" t="n">
        <v>34408888</v>
      </c>
      <c r="C5118" s="2" t="n">
        <v>44132</v>
      </c>
      <c r="D5118" t="inlineStr">
        <is>
          <t>SPEC</t>
        </is>
      </c>
      <c r="E5118" t="inlineStr">
        <is>
          <t>COP RACC UTIL 4</t>
        </is>
      </c>
      <c r="G5118" t="inlineStr">
        <is>
          <t>GVS</t>
        </is>
      </c>
      <c r="H5118" t="inlineStr">
        <is>
          <t>BYPASS</t>
        </is>
      </c>
      <c r="J5118" t="inlineStr">
        <is>
          <t>MATRION</t>
        </is>
      </c>
      <c r="K5118" t="inlineStr">
        <is>
          <t>CUIVRE</t>
        </is>
      </c>
      <c r="L5118">
        <f>_xlfn.XLOOKUP(Tableau1[[#This Row],[TYPE DE PIECE]],Tableau4[MATIERE],Tableau4[SHORT TYPE],"",0,1)</f>
        <v/>
      </c>
      <c r="N5118">
        <f>IF(ISERR(FIND("DECOUPE",Tableau1[[#This Row],[DESIGNATION]])),"","NEED REF")</f>
        <v/>
      </c>
    </row>
    <row r="5119">
      <c r="B5119" t="n">
        <v>34408887</v>
      </c>
      <c r="C5119" s="2" t="n">
        <v>44132</v>
      </c>
      <c r="D5119" t="inlineStr">
        <is>
          <t>SPEC</t>
        </is>
      </c>
      <c r="E5119" t="inlineStr">
        <is>
          <t>COP RACC MAINS 1</t>
        </is>
      </c>
      <c r="G5119" t="inlineStr">
        <is>
          <t>GVS</t>
        </is>
      </c>
      <c r="H5119" t="inlineStr">
        <is>
          <t>BYPASS</t>
        </is>
      </c>
      <c r="J5119" t="inlineStr">
        <is>
          <t>MATRION</t>
        </is>
      </c>
      <c r="K5119" t="inlineStr">
        <is>
          <t>CUIVRE</t>
        </is>
      </c>
      <c r="L5119">
        <f>_xlfn.XLOOKUP(Tableau1[[#This Row],[TYPE DE PIECE]],Tableau4[MATIERE],Tableau4[SHORT TYPE],"",0,1)</f>
        <v/>
      </c>
      <c r="N5119">
        <f>IF(ISERR(FIND("DECOUPE",Tableau1[[#This Row],[DESIGNATION]])),"","NEED REF")</f>
        <v/>
      </c>
    </row>
    <row r="5120">
      <c r="B5120" t="n">
        <v>34408886</v>
      </c>
      <c r="C5120" s="2" t="n">
        <v>44132</v>
      </c>
      <c r="D5120" t="inlineStr">
        <is>
          <t>SPEC</t>
        </is>
      </c>
      <c r="E5120" t="inlineStr">
        <is>
          <t>COP RACC MAINS 2</t>
        </is>
      </c>
      <c r="G5120" t="inlineStr">
        <is>
          <t>GVS</t>
        </is>
      </c>
      <c r="H5120" t="inlineStr">
        <is>
          <t>BYPASS</t>
        </is>
      </c>
      <c r="J5120" t="inlineStr">
        <is>
          <t>MATRION</t>
        </is>
      </c>
      <c r="K5120" t="inlineStr">
        <is>
          <t>CUIVRE</t>
        </is>
      </c>
      <c r="L5120">
        <f>_xlfn.XLOOKUP(Tableau1[[#This Row],[TYPE DE PIECE]],Tableau4[MATIERE],Tableau4[SHORT TYPE],"",0,1)</f>
        <v/>
      </c>
      <c r="N5120">
        <f>IF(ISERR(FIND("DECOUPE",Tableau1[[#This Row],[DESIGNATION]])),"","NEED REF")</f>
        <v/>
      </c>
    </row>
    <row r="5121">
      <c r="B5121" t="n">
        <v>34408885</v>
      </c>
      <c r="C5121" s="2" t="n">
        <v>44132</v>
      </c>
      <c r="D5121" t="inlineStr">
        <is>
          <t>SPEC</t>
        </is>
      </c>
      <c r="E5121" t="inlineStr">
        <is>
          <t>COP RACC MAINS 3</t>
        </is>
      </c>
      <c r="G5121" t="inlineStr">
        <is>
          <t>GVS</t>
        </is>
      </c>
      <c r="H5121" t="inlineStr">
        <is>
          <t>BYPASS</t>
        </is>
      </c>
      <c r="J5121" t="inlineStr">
        <is>
          <t>MATRION</t>
        </is>
      </c>
      <c r="K5121" t="inlineStr">
        <is>
          <t>CUIVRE</t>
        </is>
      </c>
      <c r="L5121">
        <f>_xlfn.XLOOKUP(Tableau1[[#This Row],[TYPE DE PIECE]],Tableau4[MATIERE],Tableau4[SHORT TYPE],"",0,1)</f>
        <v/>
      </c>
      <c r="N5121">
        <f>IF(ISERR(FIND("DECOUPE",Tableau1[[#This Row],[DESIGNATION]])),"","NEED REF")</f>
        <v/>
      </c>
    </row>
    <row r="5122">
      <c r="B5122" t="n">
        <v>34408884</v>
      </c>
      <c r="C5122" s="2" t="n">
        <v>44132</v>
      </c>
      <c r="D5122" t="inlineStr">
        <is>
          <t>SPEC</t>
        </is>
      </c>
      <c r="E5122" t="inlineStr">
        <is>
          <t>COP RACC MAINS 4</t>
        </is>
      </c>
      <c r="G5122" t="inlineStr">
        <is>
          <t>GVS</t>
        </is>
      </c>
      <c r="H5122" t="inlineStr">
        <is>
          <t>BYPASS</t>
        </is>
      </c>
      <c r="J5122" t="inlineStr">
        <is>
          <t>MATRION</t>
        </is>
      </c>
      <c r="K5122" t="inlineStr">
        <is>
          <t>CUIVRE</t>
        </is>
      </c>
      <c r="L5122">
        <f>_xlfn.XLOOKUP(Tableau1[[#This Row],[TYPE DE PIECE]],Tableau4[MATIERE],Tableau4[SHORT TYPE],"",0,1)</f>
        <v/>
      </c>
      <c r="N5122">
        <f>IF(ISERR(FIND("DECOUPE",Tableau1[[#This Row],[DESIGNATION]])),"","NEED REF")</f>
        <v/>
      </c>
    </row>
    <row r="5123">
      <c r="B5123" t="n">
        <v>34408883</v>
      </c>
      <c r="C5123" s="2" t="n">
        <v>44132</v>
      </c>
      <c r="D5123" t="inlineStr">
        <is>
          <t>SPEC</t>
        </is>
      </c>
      <c r="E5123" t="inlineStr">
        <is>
          <t>BARRE DE BRIDAGE CUIVRE 1</t>
        </is>
      </c>
      <c r="G5123" t="inlineStr">
        <is>
          <t>GVS</t>
        </is>
      </c>
      <c r="H5123" t="inlineStr">
        <is>
          <t>BYPASS</t>
        </is>
      </c>
      <c r="J5123" t="inlineStr">
        <is>
          <t>MATRION</t>
        </is>
      </c>
      <c r="K5123" t="inlineStr">
        <is>
          <t>PLASTIQUE</t>
        </is>
      </c>
      <c r="L5123">
        <f>_xlfn.XLOOKUP(Tableau1[[#This Row],[TYPE DE PIECE]],Tableau4[MATIERE],Tableau4[SHORT TYPE],"",0,1)</f>
        <v/>
      </c>
      <c r="N5123">
        <f>IF(ISERR(FIND("DECOUPE",Tableau1[[#This Row],[DESIGNATION]])),"","NEED REF")</f>
        <v/>
      </c>
    </row>
    <row r="5124">
      <c r="B5124" t="n">
        <v>34408882</v>
      </c>
      <c r="C5124" s="2" t="n">
        <v>44132</v>
      </c>
      <c r="D5124" t="inlineStr">
        <is>
          <t>SPEC</t>
        </is>
      </c>
      <c r="E5124" t="inlineStr">
        <is>
          <t>COP RACC UTIL</t>
        </is>
      </c>
      <c r="J5124" t="inlineStr">
        <is>
          <t>MATRION</t>
        </is>
      </c>
      <c r="L5124">
        <f>_xlfn.XLOOKUP(Tableau1[[#This Row],[TYPE DE PIECE]],Tableau4[MATIERE],Tableau4[SHORT TYPE],"",0,1)</f>
        <v/>
      </c>
      <c r="N5124">
        <f>IF(ISERR(FIND("DECOUPE",Tableau1[[#This Row],[DESIGNATION]])),"","NEED REF")</f>
        <v/>
      </c>
    </row>
    <row r="5125">
      <c r="B5125" t="n">
        <v>34408881</v>
      </c>
      <c r="C5125" s="2" t="n">
        <v>44132</v>
      </c>
      <c r="D5125" t="inlineStr">
        <is>
          <t>SPEC</t>
        </is>
      </c>
      <c r="E5125" t="inlineStr">
        <is>
          <t>COP LIAISON NSX250 LINERGY L3</t>
        </is>
      </c>
      <c r="G5125" t="inlineStr">
        <is>
          <t>GVS</t>
        </is>
      </c>
      <c r="H5125" t="inlineStr">
        <is>
          <t>BYPASS</t>
        </is>
      </c>
      <c r="J5125" t="inlineStr">
        <is>
          <t>MATRION</t>
        </is>
      </c>
      <c r="K5125" t="inlineStr">
        <is>
          <t>CUIVRE</t>
        </is>
      </c>
      <c r="L5125">
        <f>_xlfn.XLOOKUP(Tableau1[[#This Row],[TYPE DE PIECE]],Tableau4[MATIERE],Tableau4[SHORT TYPE],"",0,1)</f>
        <v/>
      </c>
      <c r="N5125">
        <f>IF(ISERR(FIND("DECOUPE",Tableau1[[#This Row],[DESIGNATION]])),"","NEED REF")</f>
        <v/>
      </c>
    </row>
    <row r="5126">
      <c r="B5126" t="n">
        <v>34408880</v>
      </c>
      <c r="C5126" s="2" t="n">
        <v>44132</v>
      </c>
      <c r="D5126" t="inlineStr">
        <is>
          <t>SPEC</t>
        </is>
      </c>
      <c r="E5126" t="inlineStr">
        <is>
          <t>COP RACC MAINS 2</t>
        </is>
      </c>
      <c r="G5126" t="inlineStr">
        <is>
          <t>GVS</t>
        </is>
      </c>
      <c r="H5126" t="inlineStr">
        <is>
          <t>BYPASS</t>
        </is>
      </c>
      <c r="J5126" t="inlineStr">
        <is>
          <t>MATRION</t>
        </is>
      </c>
      <c r="K5126" t="inlineStr">
        <is>
          <t>CUIVRE</t>
        </is>
      </c>
      <c r="L5126">
        <f>_xlfn.XLOOKUP(Tableau1[[#This Row],[TYPE DE PIECE]],Tableau4[MATIERE],Tableau4[SHORT TYPE],"",0,1)</f>
        <v/>
      </c>
      <c r="N5126">
        <f>IF(ISERR(FIND("DECOUPE",Tableau1[[#This Row],[DESIGNATION]])),"","NEED REF")</f>
        <v/>
      </c>
    </row>
    <row r="5127">
      <c r="B5127" t="n">
        <v>34408879</v>
      </c>
      <c r="C5127" s="2" t="n">
        <v>44132</v>
      </c>
      <c r="D5127" t="inlineStr">
        <is>
          <t>SPEC</t>
        </is>
      </c>
      <c r="E5127" t="inlineStr">
        <is>
          <t>COP LIAISON NS1250 UTIL 3</t>
        </is>
      </c>
      <c r="G5127" t="inlineStr">
        <is>
          <t>GVS</t>
        </is>
      </c>
      <c r="H5127" t="inlineStr">
        <is>
          <t>BYPASS</t>
        </is>
      </c>
      <c r="J5127" t="inlineStr">
        <is>
          <t>MATRION</t>
        </is>
      </c>
      <c r="K5127" t="inlineStr">
        <is>
          <t>CUIVRE</t>
        </is>
      </c>
      <c r="L5127">
        <f>_xlfn.XLOOKUP(Tableau1[[#This Row],[TYPE DE PIECE]],Tableau4[MATIERE],Tableau4[SHORT TYPE],"",0,1)</f>
        <v/>
      </c>
      <c r="N5127">
        <f>IF(ISERR(FIND("DECOUPE",Tableau1[[#This Row],[DESIGNATION]])),"","NEED REF")</f>
        <v/>
      </c>
    </row>
    <row r="5128">
      <c r="B5128" t="n">
        <v>34408878</v>
      </c>
      <c r="C5128" s="2" t="n">
        <v>44132</v>
      </c>
      <c r="D5128" t="inlineStr">
        <is>
          <t>SPEC</t>
        </is>
      </c>
      <c r="E5128" t="inlineStr">
        <is>
          <t>COP LIAISON NS1250 UTIL 2</t>
        </is>
      </c>
      <c r="G5128" t="inlineStr">
        <is>
          <t>GVS</t>
        </is>
      </c>
      <c r="H5128" t="inlineStr">
        <is>
          <t>BYPASS</t>
        </is>
      </c>
      <c r="J5128" t="inlineStr">
        <is>
          <t>MATRION</t>
        </is>
      </c>
      <c r="K5128" t="inlineStr">
        <is>
          <t>CUIVRE</t>
        </is>
      </c>
      <c r="L5128">
        <f>_xlfn.XLOOKUP(Tableau1[[#This Row],[TYPE DE PIECE]],Tableau4[MATIERE],Tableau4[SHORT TYPE],"",0,1)</f>
        <v/>
      </c>
      <c r="N5128">
        <f>IF(ISERR(FIND("DECOUPE",Tableau1[[#This Row],[DESIGNATION]])),"","NEED REF")</f>
        <v/>
      </c>
    </row>
    <row r="5129">
      <c r="B5129" t="n">
        <v>34408877</v>
      </c>
      <c r="C5129" s="2" t="n">
        <v>44132</v>
      </c>
      <c r="D5129" t="inlineStr">
        <is>
          <t>SPEC</t>
        </is>
      </c>
      <c r="E5129" t="inlineStr">
        <is>
          <t>COP LIAISON NS1250 UTIL 1</t>
        </is>
      </c>
      <c r="G5129" t="inlineStr">
        <is>
          <t>GVS</t>
        </is>
      </c>
      <c r="H5129" t="inlineStr">
        <is>
          <t>BYPASS</t>
        </is>
      </c>
      <c r="J5129" t="inlineStr">
        <is>
          <t>MATRION</t>
        </is>
      </c>
      <c r="K5129" t="inlineStr">
        <is>
          <t>CUIVRE</t>
        </is>
      </c>
      <c r="L5129">
        <f>_xlfn.XLOOKUP(Tableau1[[#This Row],[TYPE DE PIECE]],Tableau4[MATIERE],Tableau4[SHORT TYPE],"",0,1)</f>
        <v/>
      </c>
      <c r="N5129">
        <f>IF(ISERR(FIND("DECOUPE",Tableau1[[#This Row],[DESIGNATION]])),"","NEED REF")</f>
        <v/>
      </c>
    </row>
    <row r="5130">
      <c r="B5130" t="n">
        <v>34408876</v>
      </c>
      <c r="C5130" s="2" t="n">
        <v>44131</v>
      </c>
      <c r="D5130" t="inlineStr">
        <is>
          <t>SPEC</t>
        </is>
      </c>
      <c r="E5130" t="inlineStr">
        <is>
          <t>COP LIAISON NSX250 LINERGY L3</t>
        </is>
      </c>
      <c r="G5130" t="inlineStr">
        <is>
          <t>GVS</t>
        </is>
      </c>
      <c r="H5130" t="inlineStr">
        <is>
          <t>BYPASS</t>
        </is>
      </c>
      <c r="J5130" t="inlineStr">
        <is>
          <t>MATRION</t>
        </is>
      </c>
      <c r="K5130" t="inlineStr">
        <is>
          <t>CUIVRE</t>
        </is>
      </c>
      <c r="L5130">
        <f>_xlfn.XLOOKUP(Tableau1[[#This Row],[TYPE DE PIECE]],Tableau4[MATIERE],Tableau4[SHORT TYPE],"",0,1)</f>
        <v/>
      </c>
      <c r="N5130">
        <f>IF(ISERR(FIND("DECOUPE",Tableau1[[#This Row],[DESIGNATION]])),"","NEED REF")</f>
        <v/>
      </c>
    </row>
    <row r="5131">
      <c r="B5131" t="n">
        <v>34408875</v>
      </c>
      <c r="C5131" s="2" t="n">
        <v>44131</v>
      </c>
      <c r="D5131" t="inlineStr">
        <is>
          <t>SPEC</t>
        </is>
      </c>
      <c r="E5131" t="inlineStr">
        <is>
          <t>COP LIAISON NSX250 LINERGY L2</t>
        </is>
      </c>
      <c r="G5131" t="inlineStr">
        <is>
          <t>GVS</t>
        </is>
      </c>
      <c r="H5131" t="inlineStr">
        <is>
          <t>BYPASS</t>
        </is>
      </c>
      <c r="J5131" t="inlineStr">
        <is>
          <t>MATRION</t>
        </is>
      </c>
      <c r="K5131" t="inlineStr">
        <is>
          <t>CUIVRE</t>
        </is>
      </c>
      <c r="L5131">
        <f>_xlfn.XLOOKUP(Tableau1[[#This Row],[TYPE DE PIECE]],Tableau4[MATIERE],Tableau4[SHORT TYPE],"",0,1)</f>
        <v/>
      </c>
      <c r="N5131">
        <f>IF(ISERR(FIND("DECOUPE",Tableau1[[#This Row],[DESIGNATION]])),"","NEED REF")</f>
        <v/>
      </c>
    </row>
    <row r="5132">
      <c r="B5132" t="n">
        <v>34408874</v>
      </c>
      <c r="C5132" s="2" t="n">
        <v>44131</v>
      </c>
      <c r="D5132" t="inlineStr">
        <is>
          <t>SPEC</t>
        </is>
      </c>
      <c r="E5132" t="inlineStr">
        <is>
          <t>COP LIAISON NSX250 LINERGY L1</t>
        </is>
      </c>
      <c r="G5132" t="inlineStr">
        <is>
          <t>GVS</t>
        </is>
      </c>
      <c r="H5132" t="inlineStr">
        <is>
          <t>BYPASS</t>
        </is>
      </c>
      <c r="J5132" t="inlineStr">
        <is>
          <t>MATRION</t>
        </is>
      </c>
      <c r="K5132" t="inlineStr">
        <is>
          <t>CUIVRE</t>
        </is>
      </c>
      <c r="L5132">
        <f>_xlfn.XLOOKUP(Tableau1[[#This Row],[TYPE DE PIECE]],Tableau4[MATIERE],Tableau4[SHORT TYPE],"",0,1)</f>
        <v/>
      </c>
      <c r="N5132">
        <f>IF(ISERR(FIND("DECOUPE",Tableau1[[#This Row],[DESIGNATION]])),"","NEED REF")</f>
        <v/>
      </c>
    </row>
    <row r="5133">
      <c r="B5133" t="n">
        <v>34408873</v>
      </c>
      <c r="C5133" s="2" t="n">
        <v>44131</v>
      </c>
      <c r="D5133" t="inlineStr">
        <is>
          <t>SPEC</t>
        </is>
      </c>
      <c r="E5133" t="inlineStr">
        <is>
          <t>COP LIAISON NSX250 LINERGY N</t>
        </is>
      </c>
      <c r="G5133" t="inlineStr">
        <is>
          <t>GVS</t>
        </is>
      </c>
      <c r="H5133" t="inlineStr">
        <is>
          <t>BYPASS</t>
        </is>
      </c>
      <c r="J5133" t="inlineStr">
        <is>
          <t>MATRION</t>
        </is>
      </c>
      <c r="K5133" t="inlineStr">
        <is>
          <t>CUIVRE</t>
        </is>
      </c>
      <c r="L5133">
        <f>_xlfn.XLOOKUP(Tableau1[[#This Row],[TYPE DE PIECE]],Tableau4[MATIERE],Tableau4[SHORT TYPE],"",0,1)</f>
        <v/>
      </c>
      <c r="N5133">
        <f>IF(ISERR(FIND("DECOUPE",Tableau1[[#This Row],[DESIGNATION]])),"","NEED REF")</f>
        <v/>
      </c>
    </row>
    <row r="5134">
      <c r="B5134" t="n">
        <v>34408872</v>
      </c>
      <c r="C5134" s="2" t="n">
        <v>44131</v>
      </c>
      <c r="D5134" t="inlineStr">
        <is>
          <t>SPEC</t>
        </is>
      </c>
      <c r="E5134" t="inlineStr">
        <is>
          <t>COP LIAISON NSX250 LINERGY L3</t>
        </is>
      </c>
      <c r="G5134" t="inlineStr">
        <is>
          <t>GVS</t>
        </is>
      </c>
      <c r="H5134" t="inlineStr">
        <is>
          <t>BYPASS</t>
        </is>
      </c>
      <c r="J5134" t="inlineStr">
        <is>
          <t>MATRION</t>
        </is>
      </c>
      <c r="K5134" t="inlineStr">
        <is>
          <t>CUIVRE</t>
        </is>
      </c>
      <c r="L5134">
        <f>_xlfn.XLOOKUP(Tableau1[[#This Row],[TYPE DE PIECE]],Tableau4[MATIERE],Tableau4[SHORT TYPE],"",0,1)</f>
        <v/>
      </c>
      <c r="N5134">
        <f>IF(ISERR(FIND("DECOUPE",Tableau1[[#This Row],[DESIGNATION]])),"","NEED REF")</f>
        <v/>
      </c>
    </row>
    <row r="5135">
      <c r="B5135" t="n">
        <v>34408871</v>
      </c>
      <c r="C5135" s="2" t="n">
        <v>44131</v>
      </c>
      <c r="D5135" t="inlineStr">
        <is>
          <t>SPEC</t>
        </is>
      </c>
      <c r="E5135" t="inlineStr">
        <is>
          <t>COP LIAISON NSX250 LINERGY L2</t>
        </is>
      </c>
      <c r="G5135" t="inlineStr">
        <is>
          <t>GVS</t>
        </is>
      </c>
      <c r="H5135" t="inlineStr">
        <is>
          <t>BYPASS</t>
        </is>
      </c>
      <c r="J5135" t="inlineStr">
        <is>
          <t>MATRION</t>
        </is>
      </c>
      <c r="K5135" t="inlineStr">
        <is>
          <t>CUIVRE</t>
        </is>
      </c>
      <c r="L5135">
        <f>_xlfn.XLOOKUP(Tableau1[[#This Row],[TYPE DE PIECE]],Tableau4[MATIERE],Tableau4[SHORT TYPE],"",0,1)</f>
        <v/>
      </c>
      <c r="N5135">
        <f>IF(ISERR(FIND("DECOUPE",Tableau1[[#This Row],[DESIGNATION]])),"","NEED REF")</f>
        <v/>
      </c>
    </row>
    <row r="5136">
      <c r="B5136" t="n">
        <v>34408870</v>
      </c>
      <c r="C5136" s="2" t="n">
        <v>44131</v>
      </c>
      <c r="D5136" t="inlineStr">
        <is>
          <t>SPEC</t>
        </is>
      </c>
      <c r="E5136" t="inlineStr">
        <is>
          <t>COP LIAISON NSX250 LINERGY L1</t>
        </is>
      </c>
      <c r="G5136" t="inlineStr">
        <is>
          <t>GVS</t>
        </is>
      </c>
      <c r="H5136" t="inlineStr">
        <is>
          <t>BYPASS</t>
        </is>
      </c>
      <c r="J5136" t="inlineStr">
        <is>
          <t>MATRION</t>
        </is>
      </c>
      <c r="K5136" t="inlineStr">
        <is>
          <t>CUIVRE</t>
        </is>
      </c>
      <c r="L5136">
        <f>_xlfn.XLOOKUP(Tableau1[[#This Row],[TYPE DE PIECE]],Tableau4[MATIERE],Tableau4[SHORT TYPE],"",0,1)</f>
        <v/>
      </c>
      <c r="N5136">
        <f>IF(ISERR(FIND("DECOUPE",Tableau1[[#This Row],[DESIGNATION]])),"","NEED REF")</f>
        <v/>
      </c>
    </row>
    <row r="5137">
      <c r="B5137" t="n">
        <v>34408869</v>
      </c>
      <c r="C5137" s="2" t="n">
        <v>44131</v>
      </c>
      <c r="D5137" t="inlineStr">
        <is>
          <t>SPEC</t>
        </is>
      </c>
      <c r="E5137" t="inlineStr">
        <is>
          <t>COP LIAISON NSX250 LINERGY N</t>
        </is>
      </c>
      <c r="G5137" t="inlineStr">
        <is>
          <t>GVS</t>
        </is>
      </c>
      <c r="H5137" t="inlineStr">
        <is>
          <t>BYPASS</t>
        </is>
      </c>
      <c r="J5137" t="inlineStr">
        <is>
          <t>MATRION</t>
        </is>
      </c>
      <c r="K5137" t="inlineStr">
        <is>
          <t>CUIVRE</t>
        </is>
      </c>
      <c r="L5137">
        <f>_xlfn.XLOOKUP(Tableau1[[#This Row],[TYPE DE PIECE]],Tableau4[MATIERE],Tableau4[SHORT TYPE],"",0,1)</f>
        <v/>
      </c>
      <c r="N5137">
        <f>IF(ISERR(FIND("DECOUPE",Tableau1[[#This Row],[DESIGNATION]])),"","NEED REF")</f>
        <v/>
      </c>
    </row>
    <row r="5138">
      <c r="B5138" t="n">
        <v>34408868</v>
      </c>
      <c r="C5138" s="2" t="n">
        <v>44131</v>
      </c>
      <c r="D5138" t="inlineStr">
        <is>
          <t>SPEC</t>
        </is>
      </c>
      <c r="E5138" t="inlineStr">
        <is>
          <t>COP LIAISON NSX250 LINERGY L3</t>
        </is>
      </c>
      <c r="G5138" t="inlineStr">
        <is>
          <t>GVS</t>
        </is>
      </c>
      <c r="H5138" t="inlineStr">
        <is>
          <t>BYPASS</t>
        </is>
      </c>
      <c r="J5138" t="inlineStr">
        <is>
          <t>MATRION</t>
        </is>
      </c>
      <c r="K5138" t="inlineStr">
        <is>
          <t>CUIVRE</t>
        </is>
      </c>
      <c r="L5138">
        <f>_xlfn.XLOOKUP(Tableau1[[#This Row],[TYPE DE PIECE]],Tableau4[MATIERE],Tableau4[SHORT TYPE],"",0,1)</f>
        <v/>
      </c>
      <c r="N5138">
        <f>IF(ISERR(FIND("DECOUPE",Tableau1[[#This Row],[DESIGNATION]])),"","NEED REF")</f>
        <v/>
      </c>
    </row>
    <row r="5139">
      <c r="B5139" t="n">
        <v>34408867</v>
      </c>
      <c r="C5139" s="2" t="n">
        <v>44131</v>
      </c>
      <c r="D5139" t="inlineStr">
        <is>
          <t>SPEC</t>
        </is>
      </c>
      <c r="E5139" t="inlineStr">
        <is>
          <t>COP LIAISON NSX250 LINERGY L2</t>
        </is>
      </c>
      <c r="G5139" t="inlineStr">
        <is>
          <t>GVS</t>
        </is>
      </c>
      <c r="H5139" t="inlineStr">
        <is>
          <t>BYPASS</t>
        </is>
      </c>
      <c r="J5139" t="inlineStr">
        <is>
          <t>MATRION</t>
        </is>
      </c>
      <c r="K5139" t="inlineStr">
        <is>
          <t>CUIVRE</t>
        </is>
      </c>
      <c r="L5139">
        <f>_xlfn.XLOOKUP(Tableau1[[#This Row],[TYPE DE PIECE]],Tableau4[MATIERE],Tableau4[SHORT TYPE],"",0,1)</f>
        <v/>
      </c>
      <c r="N5139">
        <f>IF(ISERR(FIND("DECOUPE",Tableau1[[#This Row],[DESIGNATION]])),"","NEED REF")</f>
        <v/>
      </c>
    </row>
    <row r="5140">
      <c r="B5140" t="n">
        <v>34408866</v>
      </c>
      <c r="C5140" s="2" t="n">
        <v>44131</v>
      </c>
      <c r="D5140" t="inlineStr">
        <is>
          <t>SPEC</t>
        </is>
      </c>
      <c r="E5140" t="inlineStr">
        <is>
          <t>COP LIAISON NSX250 LINERGY L1</t>
        </is>
      </c>
      <c r="G5140" t="inlineStr">
        <is>
          <t>GVS</t>
        </is>
      </c>
      <c r="H5140" t="inlineStr">
        <is>
          <t>BYPASS</t>
        </is>
      </c>
      <c r="J5140" t="inlineStr">
        <is>
          <t>MATRION</t>
        </is>
      </c>
      <c r="K5140" t="inlineStr">
        <is>
          <t>CUIVRE</t>
        </is>
      </c>
      <c r="L5140">
        <f>_xlfn.XLOOKUP(Tableau1[[#This Row],[TYPE DE PIECE]],Tableau4[MATIERE],Tableau4[SHORT TYPE],"",0,1)</f>
        <v/>
      </c>
      <c r="N5140">
        <f>IF(ISERR(FIND("DECOUPE",Tableau1[[#This Row],[DESIGNATION]])),"","NEED REF")</f>
        <v/>
      </c>
    </row>
    <row r="5141">
      <c r="B5141" t="n">
        <v>34408865</v>
      </c>
      <c r="C5141" s="2" t="n">
        <v>44131</v>
      </c>
      <c r="D5141" t="inlineStr">
        <is>
          <t>SPEC</t>
        </is>
      </c>
      <c r="E5141" t="inlineStr">
        <is>
          <t>COP LIAISON NSX250 LINERGY N</t>
        </is>
      </c>
      <c r="G5141" t="inlineStr">
        <is>
          <t>GVS</t>
        </is>
      </c>
      <c r="H5141" t="inlineStr">
        <is>
          <t>BYPASS</t>
        </is>
      </c>
      <c r="J5141" t="inlineStr">
        <is>
          <t>MATRION</t>
        </is>
      </c>
      <c r="K5141" t="inlineStr">
        <is>
          <t>CUIVRE</t>
        </is>
      </c>
      <c r="L5141">
        <f>_xlfn.XLOOKUP(Tableau1[[#This Row],[TYPE DE PIECE]],Tableau4[MATIERE],Tableau4[SHORT TYPE],"",0,1)</f>
        <v/>
      </c>
      <c r="N5141">
        <f>IF(ISERR(FIND("DECOUPE",Tableau1[[#This Row],[DESIGNATION]])),"","NEED REF")</f>
        <v/>
      </c>
    </row>
    <row r="5142">
      <c r="B5142" t="n">
        <v>34408864</v>
      </c>
      <c r="C5142" s="2" t="n">
        <v>44130</v>
      </c>
      <c r="D5142" t="inlineStr">
        <is>
          <t>SPEC</t>
        </is>
      </c>
      <c r="E5142" t="inlineStr">
        <is>
          <t>FLEX JUNCTION CONTACTEUR NEUTRE COUPE</t>
        </is>
      </c>
      <c r="F5142" t="inlineStr">
        <is>
          <t>STS1250</t>
        </is>
      </c>
      <c r="G5142" t="inlineStr">
        <is>
          <t>GVE</t>
        </is>
      </c>
      <c r="H5142" t="inlineStr">
        <is>
          <t>STS</t>
        </is>
      </c>
      <c r="J5142" t="inlineStr">
        <is>
          <t>MATRION</t>
        </is>
      </c>
      <c r="K5142" t="inlineStr">
        <is>
          <t>CUIVRE</t>
        </is>
      </c>
      <c r="L5142">
        <f>_xlfn.XLOOKUP(Tableau1[[#This Row],[TYPE DE PIECE]],Tableau4[MATIERE],Tableau4[SHORT TYPE],"",0,1)</f>
        <v/>
      </c>
      <c r="N5142">
        <f>IF(ISERR(FIND("DECOUPE",Tableau1[[#This Row],[DESIGNATION]])),"","NEED REF")</f>
        <v/>
      </c>
    </row>
    <row r="5143">
      <c r="B5143" t="n">
        <v>34408863</v>
      </c>
      <c r="C5143" s="2" t="n">
        <v>44130</v>
      </c>
      <c r="D5143" t="inlineStr">
        <is>
          <t>SPEC</t>
        </is>
      </c>
      <c r="E5143" t="inlineStr">
        <is>
          <t>SUPPORT PE BARRE</t>
        </is>
      </c>
      <c r="G5143" t="inlineStr">
        <is>
          <t>EAC</t>
        </is>
      </c>
      <c r="J5143" t="inlineStr">
        <is>
          <t>MATRION</t>
        </is>
      </c>
      <c r="K5143" t="inlineStr">
        <is>
          <t>METAL</t>
        </is>
      </c>
      <c r="L5143">
        <f>_xlfn.XLOOKUP(Tableau1[[#This Row],[TYPE DE PIECE]],Tableau4[MATIERE],Tableau4[SHORT TYPE],"",0,1)</f>
        <v/>
      </c>
      <c r="N5143">
        <f>IF(ISERR(FIND("DECOUPE",Tableau1[[#This Row],[DESIGNATION]])),"","NEED REF")</f>
        <v/>
      </c>
    </row>
    <row r="5144">
      <c r="B5144" t="n">
        <v>34408862</v>
      </c>
      <c r="C5144" s="2" t="n">
        <v>44127</v>
      </c>
      <c r="D5144" t="inlineStr">
        <is>
          <t>SPEC</t>
        </is>
      </c>
      <c r="E5144" t="inlineStr">
        <is>
          <t>CABLE KIT LIAISON RC SOURCE 1/2 BY PASS</t>
        </is>
      </c>
      <c r="H5144" t="inlineStr">
        <is>
          <t>STS</t>
        </is>
      </c>
      <c r="J5144" t="inlineStr">
        <is>
          <t>REVEL</t>
        </is>
      </c>
      <c r="K5144" t="inlineStr">
        <is>
          <t>FILERIE</t>
        </is>
      </c>
      <c r="L5144">
        <f>_xlfn.XLOOKUP(Tableau1[[#This Row],[TYPE DE PIECE]],Tableau4[MATIERE],Tableau4[SHORT TYPE],"",0,1)</f>
        <v/>
      </c>
      <c r="N5144">
        <f>IF(ISERR(FIND("DECOUPE",Tableau1[[#This Row],[DESIGNATION]])),"","NEED REF")</f>
        <v/>
      </c>
    </row>
    <row r="5145">
      <c r="B5145" t="n">
        <v>34408861</v>
      </c>
      <c r="C5145" s="2" t="n">
        <v>44127</v>
      </c>
      <c r="D5145" t="inlineStr">
        <is>
          <t>SPEC</t>
        </is>
      </c>
      <c r="E5145" t="inlineStr">
        <is>
          <t>CABLE KIT LIAISON RC SOURCE 2 BY PASS</t>
        </is>
      </c>
      <c r="H5145" t="inlineStr">
        <is>
          <t>STS</t>
        </is>
      </c>
      <c r="J5145" t="inlineStr">
        <is>
          <t>REVEL</t>
        </is>
      </c>
      <c r="K5145" t="inlineStr">
        <is>
          <t>FILERIE</t>
        </is>
      </c>
      <c r="L5145">
        <f>_xlfn.XLOOKUP(Tableau1[[#This Row],[TYPE DE PIECE]],Tableau4[MATIERE],Tableau4[SHORT TYPE],"",0,1)</f>
        <v/>
      </c>
      <c r="N5145">
        <f>IF(ISERR(FIND("DECOUPE",Tableau1[[#This Row],[DESIGNATION]])),"","NEED REF")</f>
        <v/>
      </c>
    </row>
    <row r="5146">
      <c r="B5146" t="n">
        <v>34408860</v>
      </c>
      <c r="C5146" s="2" t="n">
        <v>44127</v>
      </c>
      <c r="D5146" t="inlineStr">
        <is>
          <t>SPEC</t>
        </is>
      </c>
      <c r="E5146" t="inlineStr">
        <is>
          <t>CABLE KIT LIAISON RC SOURCE 1 BY PASS</t>
        </is>
      </c>
      <c r="H5146" t="inlineStr">
        <is>
          <t>STS</t>
        </is>
      </c>
      <c r="J5146" t="inlineStr">
        <is>
          <t>REVEL</t>
        </is>
      </c>
      <c r="K5146" t="inlineStr">
        <is>
          <t>FILERIE</t>
        </is>
      </c>
      <c r="L5146">
        <f>_xlfn.XLOOKUP(Tableau1[[#This Row],[TYPE DE PIECE]],Tableau4[MATIERE],Tableau4[SHORT TYPE],"",0,1)</f>
        <v/>
      </c>
      <c r="N5146">
        <f>IF(ISERR(FIND("DECOUPE",Tableau1[[#This Row],[DESIGNATION]])),"","NEED REF")</f>
        <v/>
      </c>
    </row>
    <row r="5147">
      <c r="B5147" t="n">
        <v>34408859</v>
      </c>
      <c r="C5147" s="2" t="n">
        <v>44120</v>
      </c>
      <c r="D5147" t="inlineStr">
        <is>
          <t>SPEC</t>
        </is>
      </c>
      <c r="E5147" t="inlineStr">
        <is>
          <t>SMT BUTEE ROUE GVS</t>
        </is>
      </c>
      <c r="F5147" t="inlineStr">
        <is>
          <t>AMAZON</t>
        </is>
      </c>
      <c r="G5147" t="inlineStr">
        <is>
          <t>GVS</t>
        </is>
      </c>
      <c r="J5147" t="inlineStr">
        <is>
          <t>MATRION</t>
        </is>
      </c>
      <c r="K5147" t="inlineStr">
        <is>
          <t>METAL</t>
        </is>
      </c>
      <c r="L5147">
        <f>_xlfn.XLOOKUP(Tableau1[[#This Row],[TYPE DE PIECE]],Tableau4[MATIERE],Tableau4[SHORT TYPE],"",0,1)</f>
        <v/>
      </c>
      <c r="N5147">
        <f>IF(ISERR(FIND("DECOUPE",Tableau1[[#This Row],[DESIGNATION]])),"","NEED REF")</f>
        <v/>
      </c>
    </row>
    <row r="5148">
      <c r="B5148" t="n">
        <v>34408858</v>
      </c>
      <c r="C5148" s="2" t="n">
        <v>44120</v>
      </c>
      <c r="D5148" t="inlineStr">
        <is>
          <t>SPEC</t>
        </is>
      </c>
      <c r="E5148" t="inlineStr">
        <is>
          <t>SMT RAIL GVS</t>
        </is>
      </c>
      <c r="F5148" t="inlineStr">
        <is>
          <t>AMAZON</t>
        </is>
      </c>
      <c r="G5148" t="inlineStr">
        <is>
          <t>GVS</t>
        </is>
      </c>
      <c r="J5148" t="inlineStr">
        <is>
          <t>MATRION</t>
        </is>
      </c>
      <c r="K5148" t="inlineStr">
        <is>
          <t>METAL</t>
        </is>
      </c>
      <c r="L5148">
        <f>_xlfn.XLOOKUP(Tableau1[[#This Row],[TYPE DE PIECE]],Tableau4[MATIERE],Tableau4[SHORT TYPE],"",0,1)</f>
        <v/>
      </c>
      <c r="N5148">
        <f>IF(ISERR(FIND("DECOUPE",Tableau1[[#This Row],[DESIGNATION]])),"","NEED REF")</f>
        <v/>
      </c>
    </row>
    <row r="5149">
      <c r="B5149" t="n">
        <v>34408857</v>
      </c>
      <c r="C5149" s="2" t="n">
        <v>44119</v>
      </c>
      <c r="D5149" t="inlineStr">
        <is>
          <t>SPEC</t>
        </is>
      </c>
      <c r="E5149" t="inlineStr">
        <is>
          <t>COMPACT NS 800 PRISES ARR HORIZ</t>
        </is>
      </c>
      <c r="J5149" t="inlineStr">
        <is>
          <t>MATRION</t>
        </is>
      </c>
      <c r="L5149">
        <f>_xlfn.XLOOKUP(Tableau1[[#This Row],[TYPE DE PIECE]],Tableau4[MATIERE],Tableau4[SHORT TYPE],"",0,1)</f>
        <v/>
      </c>
      <c r="N5149">
        <f>IF(ISERR(FIND("DECOUPE",Tableau1[[#This Row],[DESIGNATION]])),"","NEED REF")</f>
        <v/>
      </c>
    </row>
    <row r="5150">
      <c r="B5150" t="n">
        <v>34408856</v>
      </c>
      <c r="C5150" s="2" t="n">
        <v>44119</v>
      </c>
      <c r="D5150" t="inlineStr">
        <is>
          <t>SPEC</t>
        </is>
      </c>
      <c r="E5150" t="inlineStr">
        <is>
          <t>CABLE PROFILE 550</t>
        </is>
      </c>
      <c r="F5150" t="inlineStr">
        <is>
          <t>GUTOR</t>
        </is>
      </c>
      <c r="G5150" t="inlineStr">
        <is>
          <t>PXC</t>
        </is>
      </c>
      <c r="H5150" t="inlineStr">
        <is>
          <t>AUX</t>
        </is>
      </c>
      <c r="J5150" t="inlineStr">
        <is>
          <t>JAWORSKI</t>
        </is>
      </c>
      <c r="K5150" t="inlineStr">
        <is>
          <t>METAL</t>
        </is>
      </c>
      <c r="L5150">
        <f>_xlfn.XLOOKUP(Tableau1[[#This Row],[TYPE DE PIECE]],Tableau4[MATIERE],Tableau4[SHORT TYPE],"",0,1)</f>
        <v/>
      </c>
      <c r="N5150">
        <f>IF(ISERR(FIND("DECOUPE",Tableau1[[#This Row],[DESIGNATION]])),"","NEED REF")</f>
        <v/>
      </c>
    </row>
    <row r="5151">
      <c r="B5151" t="n">
        <v>34408855</v>
      </c>
      <c r="C5151" s="2" t="n">
        <v>44119</v>
      </c>
      <c r="D5151" t="inlineStr">
        <is>
          <t>SPEC</t>
        </is>
      </c>
      <c r="E5151" t="inlineStr">
        <is>
          <t>COFFRET 800X600X250 COUPLAGE ASI PXC 20-80KVA 3:3</t>
        </is>
      </c>
      <c r="F5151" t="inlineStr">
        <is>
          <t>GUTOR</t>
        </is>
      </c>
      <c r="G5151" t="inlineStr">
        <is>
          <t>PXC</t>
        </is>
      </c>
      <c r="H5151" t="inlineStr">
        <is>
          <t>AUX</t>
        </is>
      </c>
      <c r="J5151" t="inlineStr">
        <is>
          <t>JAWORSKI</t>
        </is>
      </c>
      <c r="K5151" t="inlineStr">
        <is>
          <t>METAL</t>
        </is>
      </c>
      <c r="L5151">
        <f>_xlfn.XLOOKUP(Tableau1[[#This Row],[TYPE DE PIECE]],Tableau4[MATIERE],Tableau4[SHORT TYPE],"",0,1)</f>
        <v/>
      </c>
      <c r="N5151">
        <f>IF(ISERR(FIND("DECOUPE",Tableau1[[#This Row],[DESIGNATION]])),"","NEED REF")</f>
        <v/>
      </c>
    </row>
    <row r="5152">
      <c r="B5152" t="n">
        <v>34408854</v>
      </c>
      <c r="C5152" s="2" t="n">
        <v>44119</v>
      </c>
      <c r="D5152" t="inlineStr">
        <is>
          <t>SPEC</t>
        </is>
      </c>
      <c r="E5152" t="inlineStr">
        <is>
          <t>COP LIAISON NSX400 LINERGY L3</t>
        </is>
      </c>
      <c r="G5152" t="inlineStr">
        <is>
          <t>GVS</t>
        </is>
      </c>
      <c r="H5152" t="inlineStr">
        <is>
          <t>BYPASS</t>
        </is>
      </c>
      <c r="J5152" t="inlineStr">
        <is>
          <t>MATRION</t>
        </is>
      </c>
      <c r="K5152" t="inlineStr">
        <is>
          <t>CUIVRE</t>
        </is>
      </c>
      <c r="L5152">
        <f>_xlfn.XLOOKUP(Tableau1[[#This Row],[TYPE DE PIECE]],Tableau4[MATIERE],Tableau4[SHORT TYPE],"",0,1)</f>
        <v/>
      </c>
      <c r="N5152">
        <f>IF(ISERR(FIND("DECOUPE",Tableau1[[#This Row],[DESIGNATION]])),"","NEED REF")</f>
        <v/>
      </c>
    </row>
    <row r="5153">
      <c r="B5153" t="n">
        <v>34408853</v>
      </c>
      <c r="C5153" s="2" t="n">
        <v>44119</v>
      </c>
      <c r="D5153" t="inlineStr">
        <is>
          <t>SPEC</t>
        </is>
      </c>
      <c r="E5153" t="inlineStr">
        <is>
          <t>COP LIAISON NSX400 LINERGY L2</t>
        </is>
      </c>
      <c r="G5153" t="inlineStr">
        <is>
          <t>GVS</t>
        </is>
      </c>
      <c r="H5153" t="inlineStr">
        <is>
          <t>BYPASS</t>
        </is>
      </c>
      <c r="J5153" t="inlineStr">
        <is>
          <t>MATRION</t>
        </is>
      </c>
      <c r="K5153" t="inlineStr">
        <is>
          <t>CUIVRE</t>
        </is>
      </c>
      <c r="L5153">
        <f>_xlfn.XLOOKUP(Tableau1[[#This Row],[TYPE DE PIECE]],Tableau4[MATIERE],Tableau4[SHORT TYPE],"",0,1)</f>
        <v/>
      </c>
      <c r="N5153">
        <f>IF(ISERR(FIND("DECOUPE",Tableau1[[#This Row],[DESIGNATION]])),"","NEED REF")</f>
        <v/>
      </c>
    </row>
    <row r="5154">
      <c r="B5154" t="n">
        <v>34408852</v>
      </c>
      <c r="C5154" s="2" t="n">
        <v>44119</v>
      </c>
      <c r="D5154" t="inlineStr">
        <is>
          <t>SPEC</t>
        </is>
      </c>
      <c r="E5154" t="inlineStr">
        <is>
          <t>COP LIAISON NSX400 LINERGY L1</t>
        </is>
      </c>
      <c r="G5154" t="inlineStr">
        <is>
          <t>GVS</t>
        </is>
      </c>
      <c r="H5154" t="inlineStr">
        <is>
          <t>BYPASS</t>
        </is>
      </c>
      <c r="J5154" t="inlineStr">
        <is>
          <t>MATRION</t>
        </is>
      </c>
      <c r="K5154" t="inlineStr">
        <is>
          <t>CUIVRE</t>
        </is>
      </c>
      <c r="L5154">
        <f>_xlfn.XLOOKUP(Tableau1[[#This Row],[TYPE DE PIECE]],Tableau4[MATIERE],Tableau4[SHORT TYPE],"",0,1)</f>
        <v/>
      </c>
      <c r="N5154">
        <f>IF(ISERR(FIND("DECOUPE",Tableau1[[#This Row],[DESIGNATION]])),"","NEED REF")</f>
        <v/>
      </c>
    </row>
    <row r="5155">
      <c r="B5155" t="n">
        <v>34408851</v>
      </c>
      <c r="C5155" s="2" t="n">
        <v>44119</v>
      </c>
      <c r="D5155" t="inlineStr">
        <is>
          <t>SPEC</t>
        </is>
      </c>
      <c r="E5155" t="inlineStr">
        <is>
          <t>COP LIAISON NSX400 LINERGY N</t>
        </is>
      </c>
      <c r="G5155" t="inlineStr">
        <is>
          <t>GVS</t>
        </is>
      </c>
      <c r="H5155" t="inlineStr">
        <is>
          <t>BYPASS</t>
        </is>
      </c>
      <c r="J5155" t="inlineStr">
        <is>
          <t>MATRION</t>
        </is>
      </c>
      <c r="K5155" t="inlineStr">
        <is>
          <t>CUIVRE</t>
        </is>
      </c>
      <c r="L5155">
        <f>_xlfn.XLOOKUP(Tableau1[[#This Row],[TYPE DE PIECE]],Tableau4[MATIERE],Tableau4[SHORT TYPE],"",0,1)</f>
        <v/>
      </c>
      <c r="N5155">
        <f>IF(ISERR(FIND("DECOUPE",Tableau1[[#This Row],[DESIGNATION]])),"","NEED REF")</f>
        <v/>
      </c>
    </row>
    <row r="5156">
      <c r="B5156" t="n">
        <v>34408850</v>
      </c>
      <c r="C5156" s="2" t="n">
        <v>44118</v>
      </c>
      <c r="D5156" t="inlineStr">
        <is>
          <t>SPEC</t>
        </is>
      </c>
      <c r="E5156" t="inlineStr">
        <is>
          <t>SMT PASSE CABLES AUXILIAIRES</t>
        </is>
      </c>
      <c r="F5156" t="inlineStr">
        <is>
          <t>AMAZON</t>
        </is>
      </c>
      <c r="G5156" t="inlineStr">
        <is>
          <t>GVS</t>
        </is>
      </c>
      <c r="J5156" t="inlineStr">
        <is>
          <t>MATRION</t>
        </is>
      </c>
      <c r="K5156" t="inlineStr">
        <is>
          <t>METAL</t>
        </is>
      </c>
      <c r="L5156">
        <f>_xlfn.XLOOKUP(Tableau1[[#This Row],[TYPE DE PIECE]],Tableau4[MATIERE],Tableau4[SHORT TYPE],"",0,1)</f>
        <v/>
      </c>
      <c r="N5156">
        <f>IF(ISERR(FIND("DECOUPE",Tableau1[[#This Row],[DESIGNATION]])),"","NEED REF")</f>
        <v/>
      </c>
    </row>
    <row r="5157">
      <c r="B5157" t="n">
        <v>34408849</v>
      </c>
      <c r="C5157" s="2" t="n">
        <v>44117</v>
      </c>
      <c r="D5157" t="inlineStr">
        <is>
          <t>SPEC</t>
        </is>
      </c>
      <c r="E5157" t="inlineStr">
        <is>
          <t>SMT PLASTRON IP20</t>
        </is>
      </c>
      <c r="F5157" t="inlineStr">
        <is>
          <t>GUTOR</t>
        </is>
      </c>
      <c r="G5157" t="inlineStr">
        <is>
          <t>PXC</t>
        </is>
      </c>
      <c r="H5157" t="inlineStr">
        <is>
          <t>AUX</t>
        </is>
      </c>
      <c r="J5157" t="inlineStr">
        <is>
          <t>JAWORSKI</t>
        </is>
      </c>
      <c r="K5157" t="inlineStr">
        <is>
          <t>METAL</t>
        </is>
      </c>
      <c r="L5157">
        <f>_xlfn.XLOOKUP(Tableau1[[#This Row],[TYPE DE PIECE]],Tableau4[MATIERE],Tableau4[SHORT TYPE],"",0,1)</f>
        <v/>
      </c>
      <c r="N5157">
        <f>IF(ISERR(FIND("DECOUPE",Tableau1[[#This Row],[DESIGNATION]])),"","NEED REF")</f>
        <v/>
      </c>
    </row>
    <row r="5158">
      <c r="B5158" t="n">
        <v>34408848</v>
      </c>
      <c r="C5158" s="2" t="n">
        <v>44117</v>
      </c>
      <c r="D5158" t="inlineStr">
        <is>
          <t>SPEC</t>
        </is>
      </c>
      <c r="E5158" t="inlineStr">
        <is>
          <t>SMT SUPPORT INS250 4P</t>
        </is>
      </c>
      <c r="F5158" t="inlineStr">
        <is>
          <t>GUTOR</t>
        </is>
      </c>
      <c r="G5158" t="inlineStr">
        <is>
          <t>PXC</t>
        </is>
      </c>
      <c r="H5158" t="inlineStr">
        <is>
          <t>AUX</t>
        </is>
      </c>
      <c r="J5158" t="inlineStr">
        <is>
          <t>JAWORSKI</t>
        </is>
      </c>
      <c r="K5158" t="inlineStr">
        <is>
          <t>METAL</t>
        </is>
      </c>
      <c r="L5158">
        <f>_xlfn.XLOOKUP(Tableau1[[#This Row],[TYPE DE PIECE]],Tableau4[MATIERE],Tableau4[SHORT TYPE],"",0,1)</f>
        <v/>
      </c>
      <c r="N5158">
        <f>IF(ISERR(FIND("DECOUPE",Tableau1[[#This Row],[DESIGNATION]])),"","NEED REF")</f>
        <v/>
      </c>
    </row>
    <row r="5159">
      <c r="B5159" t="n">
        <v>34408847</v>
      </c>
      <c r="C5159" s="2" t="n">
        <v>44117</v>
      </c>
      <c r="D5159" t="inlineStr">
        <is>
          <t>SPEC</t>
        </is>
      </c>
      <c r="E5159" t="inlineStr">
        <is>
          <t>SMT SUPPORT PLASTRON 4</t>
        </is>
      </c>
      <c r="F5159" t="inlineStr">
        <is>
          <t>GUTOR</t>
        </is>
      </c>
      <c r="G5159" t="inlineStr">
        <is>
          <t>PXC</t>
        </is>
      </c>
      <c r="H5159" t="inlineStr">
        <is>
          <t>AUX</t>
        </is>
      </c>
      <c r="J5159" t="inlineStr">
        <is>
          <t>JAWORSKI</t>
        </is>
      </c>
      <c r="K5159" t="inlineStr">
        <is>
          <t>METAL</t>
        </is>
      </c>
      <c r="L5159">
        <f>_xlfn.XLOOKUP(Tableau1[[#This Row],[TYPE DE PIECE]],Tableau4[MATIERE],Tableau4[SHORT TYPE],"",0,1)</f>
        <v/>
      </c>
      <c r="N5159">
        <f>IF(ISERR(FIND("DECOUPE",Tableau1[[#This Row],[DESIGNATION]])),"","NEED REF")</f>
        <v/>
      </c>
    </row>
    <row r="5160">
      <c r="B5160" t="n">
        <v>34408846</v>
      </c>
      <c r="C5160" s="2" t="n">
        <v>44117</v>
      </c>
      <c r="D5160" t="inlineStr">
        <is>
          <t>SPEC</t>
        </is>
      </c>
      <c r="E5160" t="inlineStr">
        <is>
          <t>PLATINE DE FOND</t>
        </is>
      </c>
      <c r="F5160" t="inlineStr">
        <is>
          <t>GUTOR</t>
        </is>
      </c>
      <c r="G5160" t="inlineStr">
        <is>
          <t>PXC</t>
        </is>
      </c>
      <c r="H5160" t="inlineStr">
        <is>
          <t>AUX</t>
        </is>
      </c>
      <c r="J5160" t="inlineStr">
        <is>
          <t>JAWORSKI</t>
        </is>
      </c>
      <c r="K5160" t="inlineStr">
        <is>
          <t>METAL</t>
        </is>
      </c>
      <c r="L5160">
        <f>_xlfn.XLOOKUP(Tableau1[[#This Row],[TYPE DE PIECE]],Tableau4[MATIERE],Tableau4[SHORT TYPE],"",0,1)</f>
        <v/>
      </c>
      <c r="N5160">
        <f>IF(ISERR(FIND("DECOUPE",Tableau1[[#This Row],[DESIGNATION]])),"","NEED REF")</f>
        <v/>
      </c>
    </row>
    <row r="5161">
      <c r="B5161" t="n">
        <v>34408845</v>
      </c>
      <c r="C5161" s="2" t="n">
        <v>44117</v>
      </c>
      <c r="D5161" t="inlineStr">
        <is>
          <t>SPEC</t>
        </is>
      </c>
      <c r="E5161" t="inlineStr">
        <is>
          <t>COP PE RENFORCE 2</t>
        </is>
      </c>
      <c r="G5161" t="inlineStr">
        <is>
          <t>GVX</t>
        </is>
      </c>
      <c r="J5161" t="inlineStr">
        <is>
          <t>MATRION</t>
        </is>
      </c>
      <c r="K5161" t="inlineStr">
        <is>
          <t>CUIVRE</t>
        </is>
      </c>
      <c r="L5161">
        <f>_xlfn.XLOOKUP(Tableau1[[#This Row],[TYPE DE PIECE]],Tableau4[MATIERE],Tableau4[SHORT TYPE],"",0,1)</f>
        <v/>
      </c>
      <c r="N5161">
        <f>IF(ISERR(FIND("DECOUPE",Tableau1[[#This Row],[DESIGNATION]])),"","NEED REF")</f>
        <v/>
      </c>
    </row>
    <row r="5162">
      <c r="B5162" t="n">
        <v>34408844</v>
      </c>
      <c r="C5162" s="2" t="n">
        <v>44117</v>
      </c>
      <c r="D5162" t="inlineStr">
        <is>
          <t>SPEC</t>
        </is>
      </c>
      <c r="E5162" t="inlineStr">
        <is>
          <t>COP PE RENFORCE 1</t>
        </is>
      </c>
      <c r="G5162" t="inlineStr">
        <is>
          <t>GVX</t>
        </is>
      </c>
      <c r="J5162" t="inlineStr">
        <is>
          <t>MATRION</t>
        </is>
      </c>
      <c r="K5162" t="inlineStr">
        <is>
          <t>CUIVRE</t>
        </is>
      </c>
      <c r="L5162">
        <f>_xlfn.XLOOKUP(Tableau1[[#This Row],[TYPE DE PIECE]],Tableau4[MATIERE],Tableau4[SHORT TYPE],"",0,1)</f>
        <v/>
      </c>
      <c r="N5162">
        <f>IF(ISERR(FIND("DECOUPE",Tableau1[[#This Row],[DESIGNATION]])),"","NEED REF")</f>
        <v/>
      </c>
    </row>
    <row r="5163">
      <c r="B5163" t="n">
        <v>34408843</v>
      </c>
      <c r="C5163" s="2" t="n">
        <v>44116</v>
      </c>
      <c r="D5163" t="inlineStr">
        <is>
          <t>SPEC</t>
        </is>
      </c>
      <c r="E5163" t="inlineStr">
        <is>
          <t>SMT JOUE LATERIAL 2</t>
        </is>
      </c>
      <c r="F5163" t="inlineStr">
        <is>
          <t>AMAZON</t>
        </is>
      </c>
      <c r="G5163" t="inlineStr">
        <is>
          <t>GVS</t>
        </is>
      </c>
      <c r="J5163" t="inlineStr">
        <is>
          <t>MATRION</t>
        </is>
      </c>
      <c r="K5163" t="inlineStr">
        <is>
          <t>METAL</t>
        </is>
      </c>
      <c r="L5163">
        <f>_xlfn.XLOOKUP(Tableau1[[#This Row],[TYPE DE PIECE]],Tableau4[MATIERE],Tableau4[SHORT TYPE],"",0,1)</f>
        <v/>
      </c>
      <c r="N5163">
        <f>IF(ISERR(FIND("DECOUPE",Tableau1[[#This Row],[DESIGNATION]])),"","NEED REF")</f>
        <v/>
      </c>
    </row>
    <row r="5164">
      <c r="B5164" t="n">
        <v>34408842</v>
      </c>
      <c r="C5164" s="2" t="n">
        <v>44116</v>
      </c>
      <c r="D5164" t="inlineStr">
        <is>
          <t>SPEC</t>
        </is>
      </c>
      <c r="E5164" t="inlineStr">
        <is>
          <t>SMT JOUE LATERIAL 1</t>
        </is>
      </c>
      <c r="F5164" t="inlineStr">
        <is>
          <t>AMAZON</t>
        </is>
      </c>
      <c r="G5164" t="inlineStr">
        <is>
          <t>GVS</t>
        </is>
      </c>
      <c r="J5164" t="inlineStr">
        <is>
          <t>MATRION</t>
        </is>
      </c>
      <c r="K5164" t="inlineStr">
        <is>
          <t>METAL</t>
        </is>
      </c>
      <c r="L5164">
        <f>_xlfn.XLOOKUP(Tableau1[[#This Row],[TYPE DE PIECE]],Tableau4[MATIERE],Tableau4[SHORT TYPE],"",0,1)</f>
        <v/>
      </c>
      <c r="N5164">
        <f>IF(ISERR(FIND("DECOUPE",Tableau1[[#This Row],[DESIGNATION]])),"","NEED REF")</f>
        <v/>
      </c>
    </row>
    <row r="5165">
      <c r="B5165" t="n">
        <v>34408841</v>
      </c>
      <c r="C5165" s="2" t="n">
        <v>44113</v>
      </c>
      <c r="D5165" t="inlineStr">
        <is>
          <t>SPEC</t>
        </is>
      </c>
      <c r="E5165" t="inlineStr">
        <is>
          <t>SMT BANDEAU FINITION AV/AR 500</t>
        </is>
      </c>
      <c r="J5165" t="inlineStr">
        <is>
          <t>MATRION</t>
        </is>
      </c>
      <c r="K5165" t="inlineStr">
        <is>
          <t>METAL</t>
        </is>
      </c>
      <c r="L5165">
        <f>_xlfn.XLOOKUP(Tableau1[[#This Row],[TYPE DE PIECE]],Tableau4[MATIERE],Tableau4[SHORT TYPE],"",0,1)</f>
        <v/>
      </c>
      <c r="N5165">
        <f>IF(ISERR(FIND("DECOUPE",Tableau1[[#This Row],[DESIGNATION]])),"","NEED REF")</f>
        <v/>
      </c>
    </row>
    <row r="5166">
      <c r="B5166" t="n">
        <v>34408840</v>
      </c>
      <c r="C5166" s="2" t="n">
        <v>44113</v>
      </c>
      <c r="D5166" t="inlineStr">
        <is>
          <t>SPEC</t>
        </is>
      </c>
      <c r="E5166" t="inlineStr">
        <is>
          <t>SMT DOOR 500x1970 WHITE 9003</t>
        </is>
      </c>
      <c r="J5166" t="inlineStr">
        <is>
          <t>MATRION</t>
        </is>
      </c>
      <c r="K5166" t="inlineStr">
        <is>
          <t>METAL</t>
        </is>
      </c>
      <c r="L5166">
        <f>_xlfn.XLOOKUP(Tableau1[[#This Row],[TYPE DE PIECE]],Tableau4[MATIERE],Tableau4[SHORT TYPE],"",0,1)</f>
        <v/>
      </c>
      <c r="N5166">
        <f>IF(ISERR(FIND("DECOUPE",Tableau1[[#This Row],[DESIGNATION]])),"","NEED REF")</f>
        <v/>
      </c>
    </row>
    <row r="5167">
      <c r="B5167" t="n">
        <v>34408839</v>
      </c>
      <c r="C5167" s="2" t="n">
        <v>44113</v>
      </c>
      <c r="D5167" t="inlineStr">
        <is>
          <t>SPEC</t>
        </is>
      </c>
      <c r="E5167" t="inlineStr">
        <is>
          <t>SMT DOOR 500x1900 WHITE 9003</t>
        </is>
      </c>
      <c r="J5167" t="inlineStr">
        <is>
          <t>MATRION</t>
        </is>
      </c>
      <c r="K5167" t="inlineStr">
        <is>
          <t>METAL</t>
        </is>
      </c>
      <c r="L5167">
        <f>_xlfn.XLOOKUP(Tableau1[[#This Row],[TYPE DE PIECE]],Tableau4[MATIERE],Tableau4[SHORT TYPE],"",0,1)</f>
        <v/>
      </c>
      <c r="N5167">
        <f>IF(ISERR(FIND("DECOUPE",Tableau1[[#This Row],[DESIGNATION]])),"","NEED REF")</f>
        <v/>
      </c>
    </row>
    <row r="5168">
      <c r="B5168" t="n">
        <v>34408838</v>
      </c>
      <c r="C5168" s="2" t="n">
        <v>44113</v>
      </c>
      <c r="D5168" t="inlineStr">
        <is>
          <t>SPEC</t>
        </is>
      </c>
      <c r="E5168" t="inlineStr">
        <is>
          <t>SMT TRANSPORT FEEDER KXA20504</t>
        </is>
      </c>
      <c r="G5168" t="inlineStr">
        <is>
          <t>GVX</t>
        </is>
      </c>
      <c r="H5168" t="inlineStr">
        <is>
          <t>IO</t>
        </is>
      </c>
      <c r="J5168" t="inlineStr">
        <is>
          <t>MATRION</t>
        </is>
      </c>
      <c r="K5168" t="inlineStr">
        <is>
          <t>METAL</t>
        </is>
      </c>
      <c r="L5168">
        <f>_xlfn.XLOOKUP(Tableau1[[#This Row],[TYPE DE PIECE]],Tableau4[MATIERE],Tableau4[SHORT TYPE],"",0,1)</f>
        <v/>
      </c>
      <c r="N5168">
        <f>IF(ISERR(FIND("DECOUPE",Tableau1[[#This Row],[DESIGNATION]])),"","NEED REF")</f>
        <v/>
      </c>
    </row>
    <row r="5169">
      <c r="B5169" t="n">
        <v>34408837</v>
      </c>
      <c r="C5169" s="2" t="n">
        <v>44113</v>
      </c>
      <c r="D5169" t="inlineStr">
        <is>
          <t>SPEC</t>
        </is>
      </c>
      <c r="E5169" t="inlineStr">
        <is>
          <t>SMT TRANSPORT FEEDER KXA17504</t>
        </is>
      </c>
      <c r="G5169" t="inlineStr">
        <is>
          <t>GVX</t>
        </is>
      </c>
      <c r="H5169" t="inlineStr">
        <is>
          <t>IO</t>
        </is>
      </c>
      <c r="J5169" t="inlineStr">
        <is>
          <t>MATRION</t>
        </is>
      </c>
      <c r="K5169" t="inlineStr">
        <is>
          <t>METAL</t>
        </is>
      </c>
      <c r="L5169">
        <f>_xlfn.XLOOKUP(Tableau1[[#This Row],[TYPE DE PIECE]],Tableau4[MATIERE],Tableau4[SHORT TYPE],"",0,1)</f>
        <v/>
      </c>
      <c r="N5169">
        <f>IF(ISERR(FIND("DECOUPE",Tableau1[[#This Row],[DESIGNATION]])),"","NEED REF")</f>
        <v/>
      </c>
    </row>
    <row r="5170">
      <c r="B5170" t="n">
        <v>34408836</v>
      </c>
      <c r="C5170" s="2" t="n">
        <v>44112</v>
      </c>
      <c r="D5170" t="inlineStr">
        <is>
          <t>SPEC</t>
        </is>
      </c>
      <c r="E5170" t="inlineStr">
        <is>
          <t>COP UTIL 1</t>
        </is>
      </c>
      <c r="J5170" t="inlineStr">
        <is>
          <t>MATRION</t>
        </is>
      </c>
      <c r="L5170">
        <f>_xlfn.XLOOKUP(Tableau1[[#This Row],[TYPE DE PIECE]],Tableau4[MATIERE],Tableau4[SHORT TYPE],"",0,1)</f>
        <v/>
      </c>
      <c r="N5170">
        <f>IF(ISERR(FIND("DECOUPE",Tableau1[[#This Row],[DESIGNATION]])),"","NEED REF")</f>
        <v/>
      </c>
    </row>
    <row r="5171">
      <c r="B5171" t="n">
        <v>34408835</v>
      </c>
      <c r="C5171" s="2" t="n">
        <v>44112</v>
      </c>
      <c r="D5171" t="inlineStr">
        <is>
          <t>SPEC</t>
        </is>
      </c>
      <c r="E5171" t="inlineStr">
        <is>
          <t>OMEGA SUPPORT TFO ARM-GVEAC10</t>
        </is>
      </c>
      <c r="G5171" t="inlineStr">
        <is>
          <t>GVS</t>
        </is>
      </c>
      <c r="H5171" t="inlineStr">
        <is>
          <t>AUX</t>
        </is>
      </c>
      <c r="J5171" t="inlineStr">
        <is>
          <t>JAWORSKI</t>
        </is>
      </c>
      <c r="K5171" t="inlineStr">
        <is>
          <t>METAL</t>
        </is>
      </c>
      <c r="L5171">
        <f>_xlfn.XLOOKUP(Tableau1[[#This Row],[TYPE DE PIECE]],Tableau4[MATIERE],Tableau4[SHORT TYPE],"",0,1)</f>
        <v/>
      </c>
      <c r="N5171">
        <f>IF(ISERR(FIND("DECOUPE",Tableau1[[#This Row],[DESIGNATION]])),"","NEED REF")</f>
        <v/>
      </c>
    </row>
    <row r="5172">
      <c r="B5172" t="n">
        <v>34408834</v>
      </c>
      <c r="C5172" s="2" t="n">
        <v>44112</v>
      </c>
      <c r="D5172" t="inlineStr">
        <is>
          <t>SPEC</t>
        </is>
      </c>
      <c r="E5172" t="inlineStr">
        <is>
          <t>TRAVERSE G/D RENFORT ARM-GVEAC10</t>
        </is>
      </c>
      <c r="G5172" t="inlineStr">
        <is>
          <t>GVS</t>
        </is>
      </c>
      <c r="H5172" t="inlineStr">
        <is>
          <t>AUX</t>
        </is>
      </c>
      <c r="J5172" t="inlineStr">
        <is>
          <t>JAWORSKI</t>
        </is>
      </c>
      <c r="K5172" t="inlineStr">
        <is>
          <t>METAL</t>
        </is>
      </c>
      <c r="L5172">
        <f>_xlfn.XLOOKUP(Tableau1[[#This Row],[TYPE DE PIECE]],Tableau4[MATIERE],Tableau4[SHORT TYPE],"",0,1)</f>
        <v/>
      </c>
      <c r="N5172">
        <f>IF(ISERR(FIND("DECOUPE",Tableau1[[#This Row],[DESIGNATION]])),"","NEED REF")</f>
        <v/>
      </c>
    </row>
    <row r="5173">
      <c r="B5173" t="n">
        <v>34408833</v>
      </c>
      <c r="C5173" s="2" t="n">
        <v>44112</v>
      </c>
      <c r="D5173" t="inlineStr">
        <is>
          <t>SPEC</t>
        </is>
      </c>
      <c r="E5173" t="inlineStr">
        <is>
          <t>TRAVERSE AV/AR RENFORT ARM-GVEAC10</t>
        </is>
      </c>
      <c r="G5173" t="inlineStr">
        <is>
          <t>GVS</t>
        </is>
      </c>
      <c r="H5173" t="inlineStr">
        <is>
          <t>AUX</t>
        </is>
      </c>
      <c r="J5173" t="inlineStr">
        <is>
          <t>JAWORSKI</t>
        </is>
      </c>
      <c r="K5173" t="inlineStr">
        <is>
          <t>METAL</t>
        </is>
      </c>
      <c r="L5173">
        <f>_xlfn.XLOOKUP(Tableau1[[#This Row],[TYPE DE PIECE]],Tableau4[MATIERE],Tableau4[SHORT TYPE],"",0,1)</f>
        <v/>
      </c>
      <c r="N5173">
        <f>IF(ISERR(FIND("DECOUPE",Tableau1[[#This Row],[DESIGNATION]])),"","NEED REF")</f>
        <v/>
      </c>
    </row>
    <row r="5174">
      <c r="B5174" t="n">
        <v>34408832</v>
      </c>
      <c r="C5174" s="2" t="n">
        <v>44112</v>
      </c>
      <c r="D5174" t="inlineStr">
        <is>
          <t>SPEC</t>
        </is>
      </c>
      <c r="E5174" t="inlineStr">
        <is>
          <t>ARMOIRE SAREL SF H1800xL300xP800 RAL9003 F20070491MHZ/A0</t>
        </is>
      </c>
      <c r="F5174" t="inlineStr">
        <is>
          <t>AMAZON</t>
        </is>
      </c>
      <c r="G5174" t="inlineStr">
        <is>
          <t>GVS</t>
        </is>
      </c>
      <c r="J5174" t="inlineStr">
        <is>
          <t>MATRION</t>
        </is>
      </c>
      <c r="K5174" t="inlineStr">
        <is>
          <t>SAREL</t>
        </is>
      </c>
      <c r="L5174">
        <f>_xlfn.XLOOKUP(Tableau1[[#This Row],[TYPE DE PIECE]],Tableau4[MATIERE],Tableau4[SHORT TYPE],"",0,1)</f>
        <v/>
      </c>
      <c r="N5174">
        <f>IF(ISERR(FIND("DECOUPE",Tableau1[[#This Row],[DESIGNATION]])),"","NEED REF")</f>
        <v/>
      </c>
    </row>
    <row r="5175">
      <c r="B5175" t="n">
        <v>34408831</v>
      </c>
      <c r="C5175" s="2" t="n">
        <v>44112</v>
      </c>
      <c r="D5175" t="inlineStr">
        <is>
          <t>SPEC</t>
        </is>
      </c>
      <c r="J5175" t="inlineStr">
        <is>
          <t>MATRION</t>
        </is>
      </c>
      <c r="L5175">
        <f>_xlfn.XLOOKUP(Tableau1[[#This Row],[TYPE DE PIECE]],Tableau4[MATIERE],Tableau4[SHORT TYPE],"",0,1)</f>
        <v/>
      </c>
      <c r="N5175">
        <f>IF(ISERR(FIND("DECOUPE",Tableau1[[#This Row],[DESIGNATION]])),"","NEED REF")</f>
        <v/>
      </c>
    </row>
    <row r="5176">
      <c r="B5176" t="n">
        <v>34408830</v>
      </c>
      <c r="C5176" s="2" t="n">
        <v>44112</v>
      </c>
      <c r="D5176" t="inlineStr">
        <is>
          <t>SPEC</t>
        </is>
      </c>
      <c r="J5176" t="inlineStr">
        <is>
          <t>MATRION</t>
        </is>
      </c>
      <c r="L5176">
        <f>_xlfn.XLOOKUP(Tableau1[[#This Row],[TYPE DE PIECE]],Tableau4[MATIERE],Tableau4[SHORT TYPE],"",0,1)</f>
        <v/>
      </c>
      <c r="N5176">
        <f>IF(ISERR(FIND("DECOUPE",Tableau1[[#This Row],[DESIGNATION]])),"","NEED REF")</f>
        <v/>
      </c>
    </row>
    <row r="5177">
      <c r="B5177" t="n">
        <v>34408829</v>
      </c>
      <c r="C5177" s="2" t="n">
        <v>44112</v>
      </c>
      <c r="D5177" t="inlineStr">
        <is>
          <t>SPEC</t>
        </is>
      </c>
      <c r="J5177" t="inlineStr">
        <is>
          <t>MATRION</t>
        </is>
      </c>
      <c r="L5177">
        <f>_xlfn.XLOOKUP(Tableau1[[#This Row],[TYPE DE PIECE]],Tableau4[MATIERE],Tableau4[SHORT TYPE],"",0,1)</f>
        <v/>
      </c>
      <c r="N5177">
        <f>IF(ISERR(FIND("DECOUPE",Tableau1[[#This Row],[DESIGNATION]])),"","NEED REF")</f>
        <v/>
      </c>
    </row>
    <row r="5178">
      <c r="B5178" t="n">
        <v>34408828</v>
      </c>
      <c r="C5178" s="2" t="n">
        <v>44112</v>
      </c>
      <c r="D5178" t="inlineStr">
        <is>
          <t>SPEC</t>
        </is>
      </c>
      <c r="J5178" t="inlineStr">
        <is>
          <t>MATRION</t>
        </is>
      </c>
      <c r="L5178">
        <f>_xlfn.XLOOKUP(Tableau1[[#This Row],[TYPE DE PIECE]],Tableau4[MATIERE],Tableau4[SHORT TYPE],"",0,1)</f>
        <v/>
      </c>
      <c r="N5178">
        <f>IF(ISERR(FIND("DECOUPE",Tableau1[[#This Row],[DESIGNATION]])),"","NEED REF")</f>
        <v/>
      </c>
    </row>
    <row r="5179">
      <c r="B5179" t="n">
        <v>34408827</v>
      </c>
      <c r="C5179" s="2" t="n">
        <v>44112</v>
      </c>
      <c r="D5179" t="inlineStr">
        <is>
          <t>SPEC</t>
        </is>
      </c>
      <c r="J5179" t="inlineStr">
        <is>
          <t>MATRION</t>
        </is>
      </c>
      <c r="L5179">
        <f>_xlfn.XLOOKUP(Tableau1[[#This Row],[TYPE DE PIECE]],Tableau4[MATIERE],Tableau4[SHORT TYPE],"",0,1)</f>
        <v/>
      </c>
      <c r="N5179">
        <f>IF(ISERR(FIND("DECOUPE",Tableau1[[#This Row],[DESIGNATION]])),"","NEED REF")</f>
        <v/>
      </c>
    </row>
    <row r="5180">
      <c r="B5180" t="n">
        <v>34408826</v>
      </c>
      <c r="C5180" s="2" t="n">
        <v>44112</v>
      </c>
      <c r="D5180" t="inlineStr">
        <is>
          <t>SPEC</t>
        </is>
      </c>
      <c r="J5180" t="inlineStr">
        <is>
          <t>MATRION</t>
        </is>
      </c>
      <c r="L5180">
        <f>_xlfn.XLOOKUP(Tableau1[[#This Row],[TYPE DE PIECE]],Tableau4[MATIERE],Tableau4[SHORT TYPE],"",0,1)</f>
        <v/>
      </c>
      <c r="N5180">
        <f>IF(ISERR(FIND("DECOUPE",Tableau1[[#This Row],[DESIGNATION]])),"","NEED REF")</f>
        <v/>
      </c>
    </row>
    <row r="5181">
      <c r="B5181" t="n">
        <v>34408825</v>
      </c>
      <c r="C5181" s="2" t="n">
        <v>44112</v>
      </c>
      <c r="D5181" t="inlineStr">
        <is>
          <t>SPEC</t>
        </is>
      </c>
      <c r="J5181" t="inlineStr">
        <is>
          <t>MATRION</t>
        </is>
      </c>
      <c r="L5181">
        <f>_xlfn.XLOOKUP(Tableau1[[#This Row],[TYPE DE PIECE]],Tableau4[MATIERE],Tableau4[SHORT TYPE],"",0,1)</f>
        <v/>
      </c>
      <c r="N5181">
        <f>IF(ISERR(FIND("DECOUPE",Tableau1[[#This Row],[DESIGNATION]])),"","NEED REF")</f>
        <v/>
      </c>
    </row>
    <row r="5182">
      <c r="B5182" t="n">
        <v>34408824</v>
      </c>
      <c r="C5182" s="2" t="n">
        <v>44112</v>
      </c>
      <c r="D5182" t="inlineStr">
        <is>
          <t>SPEC</t>
        </is>
      </c>
      <c r="J5182" t="inlineStr">
        <is>
          <t>MATRION</t>
        </is>
      </c>
      <c r="L5182">
        <f>_xlfn.XLOOKUP(Tableau1[[#This Row],[TYPE DE PIECE]],Tableau4[MATIERE],Tableau4[SHORT TYPE],"",0,1)</f>
        <v/>
      </c>
      <c r="N5182">
        <f>IF(ISERR(FIND("DECOUPE",Tableau1[[#This Row],[DESIGNATION]])),"","NEED REF")</f>
        <v/>
      </c>
    </row>
    <row r="5183">
      <c r="B5183" t="n">
        <v>34408823</v>
      </c>
      <c r="C5183" s="2" t="n">
        <v>44112</v>
      </c>
      <c r="D5183" t="inlineStr">
        <is>
          <t>SPEC</t>
        </is>
      </c>
      <c r="E5183" t="inlineStr">
        <is>
          <t>KIT GAINE RACCORDMENT HAUT</t>
        </is>
      </c>
      <c r="F5183" t="inlineStr">
        <is>
          <t>AMAZON</t>
        </is>
      </c>
      <c r="G5183" t="inlineStr">
        <is>
          <t>GVS</t>
        </is>
      </c>
      <c r="J5183" t="inlineStr">
        <is>
          <t>MATRION</t>
        </is>
      </c>
      <c r="L5183">
        <f>_xlfn.XLOOKUP(Tableau1[[#This Row],[TYPE DE PIECE]],Tableau4[MATIERE],Tableau4[SHORT TYPE],"",0,1)</f>
        <v/>
      </c>
      <c r="N5183">
        <f>IF(ISERR(FIND("DECOUPE",Tableau1[[#This Row],[DESIGNATION]])),"","NEED REF")</f>
        <v/>
      </c>
    </row>
    <row r="5184">
      <c r="B5184" t="n">
        <v>34408822</v>
      </c>
      <c r="C5184" s="2" t="n">
        <v>44111</v>
      </c>
      <c r="D5184" t="inlineStr">
        <is>
          <t>SPEC</t>
        </is>
      </c>
      <c r="E5184" t="inlineStr">
        <is>
          <t>RUBAN MOUSSE EPDM 20x5</t>
        </is>
      </c>
      <c r="F5184" t="inlineStr">
        <is>
          <t>AMAZON</t>
        </is>
      </c>
      <c r="G5184" t="inlineStr">
        <is>
          <t>GVS</t>
        </is>
      </c>
      <c r="J5184" t="inlineStr">
        <is>
          <t>MATRION</t>
        </is>
      </c>
      <c r="L5184">
        <f>_xlfn.XLOOKUP(Tableau1[[#This Row],[TYPE DE PIECE]],Tableau4[MATIERE],Tableau4[SHORT TYPE],"",0,1)</f>
        <v/>
      </c>
      <c r="N5184">
        <f>IF(ISERR(FIND("DECOUPE",Tableau1[[#This Row],[DESIGNATION]])),"","NEED REF")</f>
        <v/>
      </c>
    </row>
    <row r="5185">
      <c r="B5185" t="n">
        <v>34408821</v>
      </c>
      <c r="C5185" s="2" t="n">
        <v>44111</v>
      </c>
      <c r="D5185" t="inlineStr">
        <is>
          <t>SPEC</t>
        </is>
      </c>
      <c r="E5185" t="inlineStr">
        <is>
          <t>RUBAN MOUSSE EPDM 20x5</t>
        </is>
      </c>
      <c r="F5185" t="inlineStr">
        <is>
          <t>AMAZON</t>
        </is>
      </c>
      <c r="G5185" t="inlineStr">
        <is>
          <t>GVS</t>
        </is>
      </c>
      <c r="J5185" t="inlineStr">
        <is>
          <t>MATRION</t>
        </is>
      </c>
      <c r="L5185">
        <f>_xlfn.XLOOKUP(Tableau1[[#This Row],[TYPE DE PIECE]],Tableau4[MATIERE],Tableau4[SHORT TYPE],"",0,1)</f>
        <v/>
      </c>
      <c r="N5185">
        <f>IF(ISERR(FIND("DECOUPE",Tableau1[[#This Row],[DESIGNATION]])),"","NEED REF")</f>
        <v/>
      </c>
    </row>
    <row r="5186">
      <c r="B5186" t="n">
        <v>34408820</v>
      </c>
      <c r="C5186" s="2" t="n">
        <v>44111</v>
      </c>
      <c r="D5186" t="inlineStr">
        <is>
          <t>SPEC</t>
        </is>
      </c>
      <c r="E5186" t="inlineStr">
        <is>
          <t>SMT PLAQUE JONCTION LATERAL</t>
        </is>
      </c>
      <c r="F5186" t="inlineStr">
        <is>
          <t>AMAZON</t>
        </is>
      </c>
      <c r="G5186" t="inlineStr">
        <is>
          <t>GVS</t>
        </is>
      </c>
      <c r="J5186" t="inlineStr">
        <is>
          <t>MATRION</t>
        </is>
      </c>
      <c r="K5186" t="inlineStr">
        <is>
          <t>METAL</t>
        </is>
      </c>
      <c r="L5186">
        <f>_xlfn.XLOOKUP(Tableau1[[#This Row],[TYPE DE PIECE]],Tableau4[MATIERE],Tableau4[SHORT TYPE],"",0,1)</f>
        <v/>
      </c>
      <c r="N5186">
        <f>IF(ISERR(FIND("DECOUPE",Tableau1[[#This Row],[DESIGNATION]])),"","NEED REF")</f>
        <v/>
      </c>
    </row>
    <row r="5187">
      <c r="B5187" t="n">
        <v>34408819</v>
      </c>
      <c r="C5187" s="2" t="n">
        <v>44111</v>
      </c>
      <c r="D5187" t="inlineStr">
        <is>
          <t>SPEC</t>
        </is>
      </c>
      <c r="E5187" t="inlineStr">
        <is>
          <t>SMT PLAQUE JONCTION TOIT</t>
        </is>
      </c>
      <c r="F5187" t="inlineStr">
        <is>
          <t>AMAZON</t>
        </is>
      </c>
      <c r="G5187" t="inlineStr">
        <is>
          <t>GVS</t>
        </is>
      </c>
      <c r="J5187" t="inlineStr">
        <is>
          <t>MATRION</t>
        </is>
      </c>
      <c r="K5187" t="inlineStr">
        <is>
          <t>METAL</t>
        </is>
      </c>
      <c r="L5187">
        <f>_xlfn.XLOOKUP(Tableau1[[#This Row],[TYPE DE PIECE]],Tableau4[MATIERE],Tableau4[SHORT TYPE],"",0,1)</f>
        <v/>
      </c>
      <c r="N5187">
        <f>IF(ISERR(FIND("DECOUPE",Tableau1[[#This Row],[DESIGNATION]])),"","NEED REF")</f>
        <v/>
      </c>
    </row>
    <row r="5188">
      <c r="B5188" t="n">
        <v>34408818</v>
      </c>
      <c r="C5188" s="2" t="n">
        <v>44109</v>
      </c>
      <c r="D5188" t="inlineStr">
        <is>
          <t>SPEC</t>
        </is>
      </c>
      <c r="E5188" t="inlineStr">
        <is>
          <t>KIT CAISSON ARRIERE</t>
        </is>
      </c>
      <c r="F5188" t="inlineStr">
        <is>
          <t>AMAZON</t>
        </is>
      </c>
      <c r="G5188" t="inlineStr">
        <is>
          <t>GVS</t>
        </is>
      </c>
      <c r="J5188" t="inlineStr">
        <is>
          <t>MATRION</t>
        </is>
      </c>
      <c r="K5188" t="inlineStr">
        <is>
          <t>METAL</t>
        </is>
      </c>
      <c r="L5188">
        <f>_xlfn.XLOOKUP(Tableau1[[#This Row],[TYPE DE PIECE]],Tableau4[MATIERE],Tableau4[SHORT TYPE],"",0,1)</f>
        <v/>
      </c>
      <c r="N5188">
        <f>IF(ISERR(FIND("DECOUPE",Tableau1[[#This Row],[DESIGNATION]])),"","NEED REF")</f>
        <v/>
      </c>
    </row>
    <row r="5189">
      <c r="B5189" t="n">
        <v>34408817</v>
      </c>
      <c r="C5189" s="2" t="n">
        <v>44105</v>
      </c>
      <c r="D5189" t="inlineStr">
        <is>
          <t>SPEC</t>
        </is>
      </c>
      <c r="E5189" t="inlineStr">
        <is>
          <t>reserve</t>
        </is>
      </c>
      <c r="G5189" t="inlineStr">
        <is>
          <t>GVX</t>
        </is>
      </c>
      <c r="J5189" t="inlineStr">
        <is>
          <t>MATRION</t>
        </is>
      </c>
      <c r="K5189" t="inlineStr">
        <is>
          <t>CUIVRE</t>
        </is>
      </c>
      <c r="L5189">
        <f>_xlfn.XLOOKUP(Tableau1[[#This Row],[TYPE DE PIECE]],Tableau4[MATIERE],Tableau4[SHORT TYPE],"",0,1)</f>
        <v/>
      </c>
      <c r="N5189">
        <f>IF(ISERR(FIND("DECOUPE",Tableau1[[#This Row],[DESIGNATION]])),"","NEED REF")</f>
        <v/>
      </c>
    </row>
    <row r="5190">
      <c r="B5190" t="n">
        <v>34408816</v>
      </c>
      <c r="C5190" s="2" t="n">
        <v>44105</v>
      </c>
      <c r="D5190" t="inlineStr">
        <is>
          <t>SPEC</t>
        </is>
      </c>
      <c r="E5190" t="inlineStr">
        <is>
          <t>reserve</t>
        </is>
      </c>
      <c r="G5190" t="inlineStr">
        <is>
          <t>GVX</t>
        </is>
      </c>
      <c r="J5190" t="inlineStr">
        <is>
          <t>MATRION</t>
        </is>
      </c>
      <c r="K5190" t="inlineStr">
        <is>
          <t>CUIVRE</t>
        </is>
      </c>
      <c r="L5190">
        <f>_xlfn.XLOOKUP(Tableau1[[#This Row],[TYPE DE PIECE]],Tableau4[MATIERE],Tableau4[SHORT TYPE],"",0,1)</f>
        <v/>
      </c>
      <c r="N5190">
        <f>IF(ISERR(FIND("DECOUPE",Tableau1[[#This Row],[DESIGNATION]])),"","NEED REF")</f>
        <v/>
      </c>
    </row>
    <row r="5191">
      <c r="B5191" t="n">
        <v>34408815</v>
      </c>
      <c r="C5191" s="2" t="n">
        <v>44105</v>
      </c>
      <c r="D5191" t="inlineStr">
        <is>
          <t>SPEC</t>
        </is>
      </c>
      <c r="E5191" t="inlineStr">
        <is>
          <t>COP LIAISON BAS MAINS 4</t>
        </is>
      </c>
      <c r="G5191" t="inlineStr">
        <is>
          <t>GVX</t>
        </is>
      </c>
      <c r="J5191" t="inlineStr">
        <is>
          <t>MATRION</t>
        </is>
      </c>
      <c r="K5191" t="inlineStr">
        <is>
          <t>CUIVRE</t>
        </is>
      </c>
      <c r="L5191">
        <f>_xlfn.XLOOKUP(Tableau1[[#This Row],[TYPE DE PIECE]],Tableau4[MATIERE],Tableau4[SHORT TYPE],"",0,1)</f>
        <v/>
      </c>
      <c r="N5191">
        <f>IF(ISERR(FIND("DECOUPE",Tableau1[[#This Row],[DESIGNATION]])),"","NEED REF")</f>
        <v/>
      </c>
    </row>
    <row r="5192">
      <c r="B5192" t="n">
        <v>34408814</v>
      </c>
      <c r="C5192" s="2" t="n">
        <v>44105</v>
      </c>
      <c r="D5192" t="inlineStr">
        <is>
          <t>SPEC</t>
        </is>
      </c>
      <c r="E5192" t="inlineStr">
        <is>
          <t>COP LIAISON BAS MAINS 3</t>
        </is>
      </c>
      <c r="G5192" t="inlineStr">
        <is>
          <t>GVX</t>
        </is>
      </c>
      <c r="J5192" t="inlineStr">
        <is>
          <t>MATRION</t>
        </is>
      </c>
      <c r="K5192" t="inlineStr">
        <is>
          <t>CUIVRE</t>
        </is>
      </c>
      <c r="L5192">
        <f>_xlfn.XLOOKUP(Tableau1[[#This Row],[TYPE DE PIECE]],Tableau4[MATIERE],Tableau4[SHORT TYPE],"",0,1)</f>
        <v/>
      </c>
      <c r="N5192">
        <f>IF(ISERR(FIND("DECOUPE",Tableau1[[#This Row],[DESIGNATION]])),"","NEED REF")</f>
        <v/>
      </c>
    </row>
    <row r="5193">
      <c r="B5193" t="n">
        <v>34408813</v>
      </c>
      <c r="C5193" s="2" t="n">
        <v>44105</v>
      </c>
      <c r="D5193" t="inlineStr">
        <is>
          <t>SPEC</t>
        </is>
      </c>
      <c r="E5193" t="inlineStr">
        <is>
          <t>COP LIAISON BAS MAINS 2</t>
        </is>
      </c>
      <c r="G5193" t="inlineStr">
        <is>
          <t>GVX</t>
        </is>
      </c>
      <c r="J5193" t="inlineStr">
        <is>
          <t>MATRION</t>
        </is>
      </c>
      <c r="K5193" t="inlineStr">
        <is>
          <t>CUIVRE</t>
        </is>
      </c>
      <c r="L5193">
        <f>_xlfn.XLOOKUP(Tableau1[[#This Row],[TYPE DE PIECE]],Tableau4[MATIERE],Tableau4[SHORT TYPE],"",0,1)</f>
        <v/>
      </c>
      <c r="N5193">
        <f>IF(ISERR(FIND("DECOUPE",Tableau1[[#This Row],[DESIGNATION]])),"","NEED REF")</f>
        <v/>
      </c>
    </row>
    <row r="5194">
      <c r="B5194" t="n">
        <v>34408812</v>
      </c>
      <c r="C5194" s="2" t="n">
        <v>44105</v>
      </c>
      <c r="D5194" t="inlineStr">
        <is>
          <t>SPEC</t>
        </is>
      </c>
      <c r="E5194" t="inlineStr">
        <is>
          <t>COP LIAISON BAS MAINS 1</t>
        </is>
      </c>
      <c r="G5194" t="inlineStr">
        <is>
          <t>GVX</t>
        </is>
      </c>
      <c r="J5194" t="inlineStr">
        <is>
          <t>MATRION</t>
        </is>
      </c>
      <c r="K5194" t="inlineStr">
        <is>
          <t>CUIVRE</t>
        </is>
      </c>
      <c r="L5194">
        <f>_xlfn.XLOOKUP(Tableau1[[#This Row],[TYPE DE PIECE]],Tableau4[MATIERE],Tableau4[SHORT TYPE],"",0,1)</f>
        <v/>
      </c>
      <c r="N5194">
        <f>IF(ISERR(FIND("DECOUPE",Tableau1[[#This Row],[DESIGNATION]])),"","NEED REF")</f>
        <v/>
      </c>
    </row>
    <row r="5195">
      <c r="B5195" t="n">
        <v>34408811</v>
      </c>
      <c r="C5195" s="2" t="n">
        <v>44105</v>
      </c>
      <c r="D5195" t="inlineStr">
        <is>
          <t>SPEC</t>
        </is>
      </c>
      <c r="E5195" t="inlineStr">
        <is>
          <t>reserve</t>
        </is>
      </c>
      <c r="G5195" t="inlineStr">
        <is>
          <t>GVX</t>
        </is>
      </c>
      <c r="J5195" t="inlineStr">
        <is>
          <t>MATRION</t>
        </is>
      </c>
      <c r="K5195" t="inlineStr">
        <is>
          <t>CUIVRE</t>
        </is>
      </c>
      <c r="L5195">
        <f>_xlfn.XLOOKUP(Tableau1[[#This Row],[TYPE DE PIECE]],Tableau4[MATIERE],Tableau4[SHORT TYPE],"",0,1)</f>
        <v/>
      </c>
      <c r="N5195">
        <f>IF(ISERR(FIND("DECOUPE",Tableau1[[#This Row],[DESIGNATION]])),"","NEED REF")</f>
        <v/>
      </c>
    </row>
    <row r="5196">
      <c r="B5196" t="n">
        <v>34408810</v>
      </c>
      <c r="C5196" s="2" t="n">
        <v>44105</v>
      </c>
      <c r="D5196" t="inlineStr">
        <is>
          <t>SPEC</t>
        </is>
      </c>
      <c r="E5196" t="inlineStr">
        <is>
          <t>reserve</t>
        </is>
      </c>
      <c r="G5196" t="inlineStr">
        <is>
          <t>GVX</t>
        </is>
      </c>
      <c r="J5196" t="inlineStr">
        <is>
          <t>MATRION</t>
        </is>
      </c>
      <c r="K5196" t="inlineStr">
        <is>
          <t>CUIVRE</t>
        </is>
      </c>
      <c r="L5196">
        <f>_xlfn.XLOOKUP(Tableau1[[#This Row],[TYPE DE PIECE]],Tableau4[MATIERE],Tableau4[SHORT TYPE],"",0,1)</f>
        <v/>
      </c>
      <c r="N5196">
        <f>IF(ISERR(FIND("DECOUPE",Tableau1[[#This Row],[DESIGNATION]])),"","NEED REF")</f>
        <v/>
      </c>
    </row>
    <row r="5197">
      <c r="B5197" t="n">
        <v>34408809</v>
      </c>
      <c r="C5197" s="2" t="n">
        <v>44105</v>
      </c>
      <c r="D5197" t="inlineStr">
        <is>
          <t>SPEC</t>
        </is>
      </c>
      <c r="E5197" t="inlineStr">
        <is>
          <t>reserve</t>
        </is>
      </c>
      <c r="G5197" t="inlineStr">
        <is>
          <t>GVX</t>
        </is>
      </c>
      <c r="J5197" t="inlineStr">
        <is>
          <t>MATRION</t>
        </is>
      </c>
      <c r="K5197" t="inlineStr">
        <is>
          <t>CUIVRE</t>
        </is>
      </c>
      <c r="L5197">
        <f>_xlfn.XLOOKUP(Tableau1[[#This Row],[TYPE DE PIECE]],Tableau4[MATIERE],Tableau4[SHORT TYPE],"",0,1)</f>
        <v/>
      </c>
      <c r="N5197">
        <f>IF(ISERR(FIND("DECOUPE",Tableau1[[#This Row],[DESIGNATION]])),"","NEED REF")</f>
        <v/>
      </c>
    </row>
    <row r="5198">
      <c r="B5198" t="n">
        <v>34408808</v>
      </c>
      <c r="C5198" s="2" t="n">
        <v>44105</v>
      </c>
      <c r="D5198" t="inlineStr">
        <is>
          <t>SPEC</t>
        </is>
      </c>
      <c r="E5198" t="inlineStr">
        <is>
          <t>reserve</t>
        </is>
      </c>
      <c r="G5198" t="inlineStr">
        <is>
          <t>GVX</t>
        </is>
      </c>
      <c r="J5198" t="inlineStr">
        <is>
          <t>MATRION</t>
        </is>
      </c>
      <c r="K5198" t="inlineStr">
        <is>
          <t>CUIVRE</t>
        </is>
      </c>
      <c r="L5198">
        <f>_xlfn.XLOOKUP(Tableau1[[#This Row],[TYPE DE PIECE]],Tableau4[MATIERE],Tableau4[SHORT TYPE],"",0,1)</f>
        <v/>
      </c>
      <c r="N5198">
        <f>IF(ISERR(FIND("DECOUPE",Tableau1[[#This Row],[DESIGNATION]])),"","NEED REF")</f>
        <v/>
      </c>
    </row>
    <row r="5199">
      <c r="B5199" t="n">
        <v>34408807</v>
      </c>
      <c r="C5199" s="2" t="n">
        <v>44105</v>
      </c>
      <c r="D5199" t="inlineStr">
        <is>
          <t>SPEC</t>
        </is>
      </c>
      <c r="E5199" t="inlineStr">
        <is>
          <t>reserve</t>
        </is>
      </c>
      <c r="G5199" t="inlineStr">
        <is>
          <t>GVX</t>
        </is>
      </c>
      <c r="J5199" t="inlineStr">
        <is>
          <t>MATRION</t>
        </is>
      </c>
      <c r="K5199" t="inlineStr">
        <is>
          <t>CUIVRE</t>
        </is>
      </c>
      <c r="L5199">
        <f>_xlfn.XLOOKUP(Tableau1[[#This Row],[TYPE DE PIECE]],Tableau4[MATIERE],Tableau4[SHORT TYPE],"",0,1)</f>
        <v/>
      </c>
      <c r="N5199">
        <f>IF(ISERR(FIND("DECOUPE",Tableau1[[#This Row],[DESIGNATION]])),"","NEED REF")</f>
        <v/>
      </c>
    </row>
    <row r="5200">
      <c r="B5200" t="n">
        <v>34408806</v>
      </c>
      <c r="C5200" s="2" t="n">
        <v>44105</v>
      </c>
      <c r="D5200" t="inlineStr">
        <is>
          <t>SPEC</t>
        </is>
      </c>
      <c r="E5200" t="inlineStr">
        <is>
          <t>COP LIAISON BAS LOAD 4</t>
        </is>
      </c>
      <c r="G5200" t="inlineStr">
        <is>
          <t>GVX</t>
        </is>
      </c>
      <c r="J5200" t="inlineStr">
        <is>
          <t>MATRION</t>
        </is>
      </c>
      <c r="K5200" t="inlineStr">
        <is>
          <t>CUIVRE</t>
        </is>
      </c>
      <c r="L5200">
        <f>_xlfn.XLOOKUP(Tableau1[[#This Row],[TYPE DE PIECE]],Tableau4[MATIERE],Tableau4[SHORT TYPE],"",0,1)</f>
        <v/>
      </c>
      <c r="N5200">
        <f>IF(ISERR(FIND("DECOUPE",Tableau1[[#This Row],[DESIGNATION]])),"","NEED REF")</f>
        <v/>
      </c>
    </row>
    <row r="5201">
      <c r="B5201" t="n">
        <v>34408805</v>
      </c>
      <c r="C5201" s="2" t="n">
        <v>44105</v>
      </c>
      <c r="D5201" t="inlineStr">
        <is>
          <t>SPEC</t>
        </is>
      </c>
      <c r="E5201" t="inlineStr">
        <is>
          <t>COP LIAISON BAS LOAD 3</t>
        </is>
      </c>
      <c r="G5201" t="inlineStr">
        <is>
          <t>GVX</t>
        </is>
      </c>
      <c r="J5201" t="inlineStr">
        <is>
          <t>MATRION</t>
        </is>
      </c>
      <c r="K5201" t="inlineStr">
        <is>
          <t>CUIVRE</t>
        </is>
      </c>
      <c r="L5201">
        <f>_xlfn.XLOOKUP(Tableau1[[#This Row],[TYPE DE PIECE]],Tableau4[MATIERE],Tableau4[SHORT TYPE],"",0,1)</f>
        <v/>
      </c>
      <c r="N5201">
        <f>IF(ISERR(FIND("DECOUPE",Tableau1[[#This Row],[DESIGNATION]])),"","NEED REF")</f>
        <v/>
      </c>
    </row>
    <row r="5202">
      <c r="B5202" t="n">
        <v>34408804</v>
      </c>
      <c r="C5202" s="2" t="n">
        <v>44105</v>
      </c>
      <c r="D5202" t="inlineStr">
        <is>
          <t>SPEC</t>
        </is>
      </c>
      <c r="E5202" t="inlineStr">
        <is>
          <t>COP LIAISON BAS LOAD 2</t>
        </is>
      </c>
      <c r="G5202" t="inlineStr">
        <is>
          <t>GVX</t>
        </is>
      </c>
      <c r="J5202" t="inlineStr">
        <is>
          <t>MATRION</t>
        </is>
      </c>
      <c r="K5202" t="inlineStr">
        <is>
          <t>CUIVRE</t>
        </is>
      </c>
      <c r="L5202">
        <f>_xlfn.XLOOKUP(Tableau1[[#This Row],[TYPE DE PIECE]],Tableau4[MATIERE],Tableau4[SHORT TYPE],"",0,1)</f>
        <v/>
      </c>
      <c r="N5202">
        <f>IF(ISERR(FIND("DECOUPE",Tableau1[[#This Row],[DESIGNATION]])),"","NEED REF")</f>
        <v/>
      </c>
    </row>
    <row r="5203">
      <c r="B5203" t="n">
        <v>34408803</v>
      </c>
      <c r="C5203" s="2" t="n">
        <v>44105</v>
      </c>
      <c r="D5203" t="inlineStr">
        <is>
          <t>SPEC</t>
        </is>
      </c>
      <c r="E5203" t="inlineStr">
        <is>
          <t>reserve</t>
        </is>
      </c>
      <c r="G5203" t="inlineStr">
        <is>
          <t>GVX</t>
        </is>
      </c>
      <c r="J5203" t="inlineStr">
        <is>
          <t>MATRION</t>
        </is>
      </c>
      <c r="K5203" t="inlineStr">
        <is>
          <t>CUIVRE</t>
        </is>
      </c>
      <c r="L5203">
        <f>_xlfn.XLOOKUP(Tableau1[[#This Row],[TYPE DE PIECE]],Tableau4[MATIERE],Tableau4[SHORT TYPE],"",0,1)</f>
        <v/>
      </c>
      <c r="N5203">
        <f>IF(ISERR(FIND("DECOUPE",Tableau1[[#This Row],[DESIGNATION]])),"","NEED REF")</f>
        <v/>
      </c>
    </row>
    <row r="5204">
      <c r="B5204" t="n">
        <v>34408802</v>
      </c>
      <c r="C5204" s="2" t="n">
        <v>44105</v>
      </c>
      <c r="D5204" t="inlineStr">
        <is>
          <t>SPEC</t>
        </is>
      </c>
      <c r="E5204" t="inlineStr">
        <is>
          <t>reserve</t>
        </is>
      </c>
      <c r="G5204" t="inlineStr">
        <is>
          <t>GVX</t>
        </is>
      </c>
      <c r="J5204" t="inlineStr">
        <is>
          <t>MATRION</t>
        </is>
      </c>
      <c r="K5204" t="inlineStr">
        <is>
          <t>CUIVRE</t>
        </is>
      </c>
      <c r="L5204">
        <f>_xlfn.XLOOKUP(Tableau1[[#This Row],[TYPE DE PIECE]],Tableau4[MATIERE],Tableau4[SHORT TYPE],"",0,1)</f>
        <v/>
      </c>
      <c r="N5204">
        <f>IF(ISERR(FIND("DECOUPE",Tableau1[[#This Row],[DESIGNATION]])),"","NEED REF")</f>
        <v/>
      </c>
    </row>
    <row r="5205">
      <c r="B5205" t="n">
        <v>34408801</v>
      </c>
      <c r="C5205" s="2" t="n">
        <v>44105</v>
      </c>
      <c r="D5205" t="inlineStr">
        <is>
          <t>SPEC</t>
        </is>
      </c>
      <c r="E5205" t="inlineStr">
        <is>
          <t>KIT SKID-REHAUSSE GVS AMAZON</t>
        </is>
      </c>
      <c r="F5205" t="inlineStr">
        <is>
          <t>AMAZON</t>
        </is>
      </c>
      <c r="G5205" t="inlineStr">
        <is>
          <t>GVS</t>
        </is>
      </c>
      <c r="H5205" t="inlineStr">
        <is>
          <t>BBC</t>
        </is>
      </c>
      <c r="J5205" t="inlineStr">
        <is>
          <t>MATRION</t>
        </is>
      </c>
      <c r="K5205" t="inlineStr">
        <is>
          <t>METAL</t>
        </is>
      </c>
      <c r="L5205">
        <f>_xlfn.XLOOKUP(Tableau1[[#This Row],[TYPE DE PIECE]],Tableau4[MATIERE],Tableau4[SHORT TYPE],"",0,1)</f>
        <v/>
      </c>
      <c r="N5205">
        <f>IF(ISERR(FIND("DECOUPE",Tableau1[[#This Row],[DESIGNATION]])),"","NEED REF")</f>
        <v/>
      </c>
    </row>
    <row r="5206">
      <c r="B5206" t="n">
        <v>34408800</v>
      </c>
      <c r="C5206" s="2" t="n">
        <v>44104</v>
      </c>
      <c r="D5206" t="inlineStr">
        <is>
          <t>SPEC</t>
        </is>
      </c>
      <c r="E5206" t="inlineStr">
        <is>
          <t>KIT FILERIE SUVTP20KVA_AC INPUTBOX 3PH</t>
        </is>
      </c>
      <c r="F5206" t="inlineStr">
        <is>
          <t>PHILLIPS</t>
        </is>
      </c>
      <c r="H5206" t="inlineStr">
        <is>
          <t>SUVTP</t>
        </is>
      </c>
      <c r="J5206" t="inlineStr">
        <is>
          <t>JAWORSKI</t>
        </is>
      </c>
      <c r="K5206" t="inlineStr">
        <is>
          <t>FILERIE</t>
        </is>
      </c>
      <c r="L5206">
        <f>_xlfn.XLOOKUP(Tableau1[[#This Row],[TYPE DE PIECE]],Tableau4[MATIERE],Tableau4[SHORT TYPE],"",0,1)</f>
        <v/>
      </c>
      <c r="N5206">
        <f>IF(ISERR(FIND("DECOUPE",Tableau1[[#This Row],[DESIGNATION]])),"","NEED REF")</f>
        <v/>
      </c>
    </row>
    <row r="5207">
      <c r="B5207" t="n">
        <v>34408799</v>
      </c>
      <c r="C5207" s="2" t="n">
        <v>44104</v>
      </c>
      <c r="D5207" t="inlineStr">
        <is>
          <t>SPEC</t>
        </is>
      </c>
      <c r="E5207" t="inlineStr">
        <is>
          <t>SMT GLISSIERE BOARD ELEC SIMPLE</t>
        </is>
      </c>
      <c r="G5207" t="inlineStr">
        <is>
          <t>GVS</t>
        </is>
      </c>
      <c r="H5207" t="inlineStr">
        <is>
          <t>BBC</t>
        </is>
      </c>
      <c r="J5207" t="inlineStr">
        <is>
          <t>MATRION</t>
        </is>
      </c>
      <c r="K5207" t="inlineStr">
        <is>
          <t>METAL</t>
        </is>
      </c>
      <c r="L5207">
        <f>_xlfn.XLOOKUP(Tableau1[[#This Row],[TYPE DE PIECE]],Tableau4[MATIERE],Tableau4[SHORT TYPE],"",0,1)</f>
        <v/>
      </c>
      <c r="N5207">
        <f>IF(ISERR(FIND("DECOUPE",Tableau1[[#This Row],[DESIGNATION]])),"","NEED REF")</f>
        <v/>
      </c>
    </row>
    <row r="5208">
      <c r="B5208" t="n">
        <v>34408798</v>
      </c>
      <c r="C5208" s="2" t="n">
        <v>44102</v>
      </c>
      <c r="D5208" t="inlineStr">
        <is>
          <t>SPEC</t>
        </is>
      </c>
      <c r="E5208" t="inlineStr">
        <is>
          <t>SMT RENFORT TOIT D/G</t>
        </is>
      </c>
      <c r="G5208" t="inlineStr">
        <is>
          <t>GVS</t>
        </is>
      </c>
      <c r="H5208" t="inlineStr">
        <is>
          <t>BBC</t>
        </is>
      </c>
      <c r="J5208" t="inlineStr">
        <is>
          <t>MATRION</t>
        </is>
      </c>
      <c r="K5208" t="inlineStr">
        <is>
          <t>METAL</t>
        </is>
      </c>
      <c r="L5208">
        <f>_xlfn.XLOOKUP(Tableau1[[#This Row],[TYPE DE PIECE]],Tableau4[MATIERE],Tableau4[SHORT TYPE],"",0,1)</f>
        <v/>
      </c>
      <c r="N5208">
        <f>IF(ISERR(FIND("DECOUPE",Tableau1[[#This Row],[DESIGNATION]])),"","NEED REF")</f>
        <v/>
      </c>
    </row>
    <row r="5209">
      <c r="B5209" t="n">
        <v>34408797</v>
      </c>
      <c r="C5209" s="2" t="n">
        <v>44102</v>
      </c>
      <c r="D5209" t="inlineStr">
        <is>
          <t>SPEC</t>
        </is>
      </c>
      <c r="E5209" t="inlineStr">
        <is>
          <t>SMT RENFORT TOIT AV/AR</t>
        </is>
      </c>
      <c r="G5209" t="inlineStr">
        <is>
          <t>GVS</t>
        </is>
      </c>
      <c r="H5209" t="inlineStr">
        <is>
          <t>BBC</t>
        </is>
      </c>
      <c r="J5209" t="inlineStr">
        <is>
          <t>MATRION</t>
        </is>
      </c>
      <c r="K5209" t="inlineStr">
        <is>
          <t>METAL</t>
        </is>
      </c>
      <c r="L5209">
        <f>_xlfn.XLOOKUP(Tableau1[[#This Row],[TYPE DE PIECE]],Tableau4[MATIERE],Tableau4[SHORT TYPE],"",0,1)</f>
        <v/>
      </c>
      <c r="N5209">
        <f>IF(ISERR(FIND("DECOUPE",Tableau1[[#This Row],[DESIGNATION]])),"","NEED REF")</f>
        <v/>
      </c>
    </row>
    <row r="5210">
      <c r="B5210" t="n">
        <v>34408796</v>
      </c>
      <c r="C5210" s="2" t="n">
        <v>44102</v>
      </c>
      <c r="D5210" t="inlineStr">
        <is>
          <t>SPEC</t>
        </is>
      </c>
      <c r="J5210" t="inlineStr">
        <is>
          <t>MATRION</t>
        </is>
      </c>
      <c r="L5210">
        <f>_xlfn.XLOOKUP(Tableau1[[#This Row],[TYPE DE PIECE]],Tableau4[MATIERE],Tableau4[SHORT TYPE],"",0,1)</f>
        <v/>
      </c>
      <c r="N5210">
        <f>IF(ISERR(FIND("DECOUPE",Tableau1[[#This Row],[DESIGNATION]])),"","NEED REF")</f>
        <v/>
      </c>
    </row>
    <row r="5211">
      <c r="B5211" t="n">
        <v>34408795</v>
      </c>
      <c r="C5211" s="2" t="n">
        <v>44102</v>
      </c>
      <c r="D5211" t="inlineStr">
        <is>
          <t>SPEC</t>
        </is>
      </c>
      <c r="J5211" t="inlineStr">
        <is>
          <t>JAWORSKI</t>
        </is>
      </c>
      <c r="L5211">
        <f>_xlfn.XLOOKUP(Tableau1[[#This Row],[TYPE DE PIECE]],Tableau4[MATIERE],Tableau4[SHORT TYPE],"",0,1)</f>
        <v/>
      </c>
      <c r="N5211">
        <f>IF(ISERR(FIND("DECOUPE",Tableau1[[#This Row],[DESIGNATION]])),"","NEED REF")</f>
        <v/>
      </c>
    </row>
    <row r="5212">
      <c r="B5212" t="n">
        <v>34408794</v>
      </c>
      <c r="C5212" s="2" t="n">
        <v>44099</v>
      </c>
      <c r="D5212" t="inlineStr">
        <is>
          <t>SPEC</t>
        </is>
      </c>
      <c r="E5212" t="inlineStr">
        <is>
          <t>GRILLE IP30 IO1000 SURTOIT FRONT</t>
        </is>
      </c>
      <c r="F5212" t="inlineStr">
        <is>
          <t>SAFEHOST</t>
        </is>
      </c>
      <c r="G5212" t="inlineStr">
        <is>
          <t>GVX</t>
        </is>
      </c>
      <c r="J5212" t="inlineStr">
        <is>
          <t>JAWORSKI</t>
        </is>
      </c>
      <c r="K5212" t="inlineStr">
        <is>
          <t>METAL</t>
        </is>
      </c>
      <c r="L5212">
        <f>_xlfn.XLOOKUP(Tableau1[[#This Row],[TYPE DE PIECE]],Tableau4[MATIERE],Tableau4[SHORT TYPE],"",0,1)</f>
        <v/>
      </c>
      <c r="N5212">
        <f>IF(ISERR(FIND("DECOUPE",Tableau1[[#This Row],[DESIGNATION]])),"","NEED REF")</f>
        <v/>
      </c>
    </row>
    <row r="5213">
      <c r="B5213" t="n">
        <v>34408793</v>
      </c>
      <c r="C5213" s="2" t="n">
        <v>44099</v>
      </c>
      <c r="D5213" t="inlineStr">
        <is>
          <t>SPEC</t>
        </is>
      </c>
      <c r="E5213" t="inlineStr">
        <is>
          <t>REFERENCE NON UTILISEE</t>
        </is>
      </c>
      <c r="L5213">
        <f>_xlfn.XLOOKUP(Tableau1[[#This Row],[TYPE DE PIECE]],Tableau4[MATIERE],Tableau4[SHORT TYPE],"",0,1)</f>
        <v/>
      </c>
      <c r="N5213">
        <f>IF(ISERR(FIND("DECOUPE",Tableau1[[#This Row],[DESIGNATION]])),"","NEED REF")</f>
        <v/>
      </c>
    </row>
    <row r="5214">
      <c r="B5214" t="n">
        <v>34408792</v>
      </c>
      <c r="C5214" s="2" t="n">
        <v>44099</v>
      </c>
      <c r="D5214" t="inlineStr">
        <is>
          <t>SPEC</t>
        </is>
      </c>
      <c r="E5214" t="inlineStr">
        <is>
          <t>COFFRET SAREL NSYS3D10630</t>
        </is>
      </c>
      <c r="J5214" t="inlineStr">
        <is>
          <t>PILLON</t>
        </is>
      </c>
      <c r="K5214" t="inlineStr">
        <is>
          <t>METAL</t>
        </is>
      </c>
      <c r="L5214">
        <f>_xlfn.XLOOKUP(Tableau1[[#This Row],[TYPE DE PIECE]],Tableau4[MATIERE],Tableau4[SHORT TYPE],"",0,1)</f>
        <v/>
      </c>
      <c r="N5214">
        <f>IF(ISERR(FIND("DECOUPE",Tableau1[[#This Row],[DESIGNATION]])),"","NEED REF")</f>
        <v/>
      </c>
    </row>
    <row r="5215">
      <c r="B5215" t="n">
        <v>34408791</v>
      </c>
      <c r="C5215" s="2" t="n">
        <v>44099</v>
      </c>
      <c r="D5215" t="inlineStr">
        <is>
          <t>SPEC</t>
        </is>
      </c>
      <c r="E5215" t="inlineStr">
        <is>
          <t>BODY NSYS3D10629</t>
        </is>
      </c>
      <c r="J5215" t="inlineStr">
        <is>
          <t>PILLON</t>
        </is>
      </c>
      <c r="K5215" t="inlineStr">
        <is>
          <t>METAL</t>
        </is>
      </c>
      <c r="L5215">
        <f>_xlfn.XLOOKUP(Tableau1[[#This Row],[TYPE DE PIECE]],Tableau4[MATIERE],Tableau4[SHORT TYPE],"",0,1)</f>
        <v/>
      </c>
      <c r="N5215">
        <f>IF(ISERR(FIND("DECOUPE",Tableau1[[#This Row],[DESIGNATION]])),"","NEED REF")</f>
        <v/>
      </c>
    </row>
    <row r="5216">
      <c r="B5216" t="n">
        <v>34408790</v>
      </c>
      <c r="C5216" s="2" t="n">
        <v>44099</v>
      </c>
      <c r="D5216" t="inlineStr">
        <is>
          <t>SPEC</t>
        </is>
      </c>
      <c r="E5216" t="inlineStr">
        <is>
          <t xml:space="preserve">DOOR NSYS3D10630 </t>
        </is>
      </c>
      <c r="J5216" t="inlineStr">
        <is>
          <t>PILLON</t>
        </is>
      </c>
      <c r="K5216" t="inlineStr">
        <is>
          <t>METAL</t>
        </is>
      </c>
      <c r="L5216">
        <f>_xlfn.XLOOKUP(Tableau1[[#This Row],[TYPE DE PIECE]],Tableau4[MATIERE],Tableau4[SHORT TYPE],"",0,1)</f>
        <v/>
      </c>
      <c r="N5216">
        <f>IF(ISERR(FIND("DECOUPE",Tableau1[[#This Row],[DESIGNATION]])),"","NEED REF")</f>
        <v/>
      </c>
    </row>
    <row r="5217">
      <c r="B5217" t="n">
        <v>34408789</v>
      </c>
      <c r="C5217" s="2" t="n">
        <v>44099</v>
      </c>
      <c r="D5217" t="inlineStr">
        <is>
          <t>SPEC</t>
        </is>
      </c>
      <c r="E5217" t="inlineStr">
        <is>
          <t>GRILLE IP30 IO1500 SURTOIT FRONT</t>
        </is>
      </c>
      <c r="F5217" t="inlineStr">
        <is>
          <t>SAFEHOST</t>
        </is>
      </c>
      <c r="G5217" t="inlineStr">
        <is>
          <t>GVX</t>
        </is>
      </c>
      <c r="J5217" t="inlineStr">
        <is>
          <t>JAWORSKI</t>
        </is>
      </c>
      <c r="K5217" t="inlineStr">
        <is>
          <t>METAL</t>
        </is>
      </c>
      <c r="L5217">
        <f>_xlfn.XLOOKUP(Tableau1[[#This Row],[TYPE DE PIECE]],Tableau4[MATIERE],Tableau4[SHORT TYPE],"",0,1)</f>
        <v/>
      </c>
      <c r="N5217">
        <f>IF(ISERR(FIND("DECOUPE",Tableau1[[#This Row],[DESIGNATION]])),"","NEED REF")</f>
        <v/>
      </c>
    </row>
    <row r="5218">
      <c r="B5218" t="n">
        <v>34408788</v>
      </c>
      <c r="C5218" s="2" t="n">
        <v>44099</v>
      </c>
      <c r="D5218" t="inlineStr">
        <is>
          <t>SPEC</t>
        </is>
      </c>
      <c r="E5218" t="inlineStr">
        <is>
          <t>GRILLE IP30 IO1500 SURTOIT SIDE</t>
        </is>
      </c>
      <c r="F5218" t="inlineStr">
        <is>
          <t>SAFEHOST</t>
        </is>
      </c>
      <c r="G5218" t="inlineStr">
        <is>
          <t>GVX</t>
        </is>
      </c>
      <c r="J5218" t="inlineStr">
        <is>
          <t>JAWORSKI</t>
        </is>
      </c>
      <c r="K5218" t="inlineStr">
        <is>
          <t>METAL</t>
        </is>
      </c>
      <c r="L5218">
        <f>_xlfn.XLOOKUP(Tableau1[[#This Row],[TYPE DE PIECE]],Tableau4[MATIERE],Tableau4[SHORT TYPE],"",0,1)</f>
        <v/>
      </c>
      <c r="N5218">
        <f>IF(ISERR(FIND("DECOUPE",Tableau1[[#This Row],[DESIGNATION]])),"","NEED REF")</f>
        <v/>
      </c>
    </row>
    <row r="5219">
      <c r="B5219" t="n">
        <v>34408787</v>
      </c>
      <c r="C5219" s="2" t="n">
        <v>44098</v>
      </c>
      <c r="D5219" t="inlineStr">
        <is>
          <t>SPEC</t>
        </is>
      </c>
      <c r="E5219" t="inlineStr">
        <is>
          <t>GRILLE IP30 CABINET SURTOIT FRONT</t>
        </is>
      </c>
      <c r="F5219" t="inlineStr">
        <is>
          <t>SAFEHOST</t>
        </is>
      </c>
      <c r="G5219" t="inlineStr">
        <is>
          <t>GVX</t>
        </is>
      </c>
      <c r="J5219" t="inlineStr">
        <is>
          <t>JAWORSKI</t>
        </is>
      </c>
      <c r="K5219" t="inlineStr">
        <is>
          <t>METAL</t>
        </is>
      </c>
      <c r="L5219">
        <f>_xlfn.XLOOKUP(Tableau1[[#This Row],[TYPE DE PIECE]],Tableau4[MATIERE],Tableau4[SHORT TYPE],"",0,1)</f>
        <v/>
      </c>
      <c r="N5219">
        <f>IF(ISERR(FIND("DECOUPE",Tableau1[[#This Row],[DESIGNATION]])),"","NEED REF")</f>
        <v/>
      </c>
    </row>
    <row r="5220">
      <c r="B5220" t="n">
        <v>34408786</v>
      </c>
      <c r="C5220" s="2" t="n">
        <v>44098</v>
      </c>
      <c r="D5220" t="inlineStr">
        <is>
          <t>SPEC</t>
        </is>
      </c>
      <c r="E5220" t="inlineStr">
        <is>
          <t>GRILLE IP30 CABINET SURTOIT SIDE</t>
        </is>
      </c>
      <c r="F5220" t="inlineStr">
        <is>
          <t>SAFEHOST</t>
        </is>
      </c>
      <c r="G5220" t="inlineStr">
        <is>
          <t>GVX</t>
        </is>
      </c>
      <c r="J5220" t="inlineStr">
        <is>
          <t>JAWORSKI</t>
        </is>
      </c>
      <c r="K5220" t="inlineStr">
        <is>
          <t>METAL</t>
        </is>
      </c>
      <c r="L5220">
        <f>_xlfn.XLOOKUP(Tableau1[[#This Row],[TYPE DE PIECE]],Tableau4[MATIERE],Tableau4[SHORT TYPE],"",0,1)</f>
        <v/>
      </c>
      <c r="N5220">
        <f>IF(ISERR(FIND("DECOUPE",Tableau1[[#This Row],[DESIGNATION]])),"","NEED REF")</f>
        <v/>
      </c>
    </row>
    <row r="5221">
      <c r="B5221" t="n">
        <v>34408785</v>
      </c>
      <c r="C5221" s="2" t="n">
        <v>44098</v>
      </c>
      <c r="D5221" t="inlineStr">
        <is>
          <t>SPEC</t>
        </is>
      </c>
      <c r="E5221" t="inlineStr">
        <is>
          <t>Etiquette SAFEHOST SURTOIT IP</t>
        </is>
      </c>
      <c r="J5221" t="inlineStr">
        <is>
          <t>PLANTIER</t>
        </is>
      </c>
      <c r="K5221" t="inlineStr">
        <is>
          <t>ETIQUETTE</t>
        </is>
      </c>
      <c r="L5221">
        <f>_xlfn.XLOOKUP(Tableau1[[#This Row],[TYPE DE PIECE]],Tableau4[MATIERE],Tableau4[SHORT TYPE],"",0,1)</f>
        <v/>
      </c>
      <c r="N5221">
        <f>IF(ISERR(FIND("DECOUPE",Tableau1[[#This Row],[DESIGNATION]])),"","NEED REF")</f>
        <v/>
      </c>
    </row>
    <row r="5222">
      <c r="B5222" t="n">
        <v>34408784</v>
      </c>
      <c r="C5222" s="2" t="n">
        <v>44098</v>
      </c>
      <c r="D5222" t="inlineStr">
        <is>
          <t>SPEC</t>
        </is>
      </c>
      <c r="E5222" t="inlineStr">
        <is>
          <t>SMT TOIT ALU</t>
        </is>
      </c>
      <c r="G5222" t="inlineStr">
        <is>
          <t>GVS</t>
        </is>
      </c>
      <c r="H5222" t="inlineStr">
        <is>
          <t>BBC</t>
        </is>
      </c>
      <c r="J5222" t="inlineStr">
        <is>
          <t>MATRION</t>
        </is>
      </c>
      <c r="K5222" t="inlineStr">
        <is>
          <t>METAL</t>
        </is>
      </c>
      <c r="L5222">
        <f>_xlfn.XLOOKUP(Tableau1[[#This Row],[TYPE DE PIECE]],Tableau4[MATIERE],Tableau4[SHORT TYPE],"",0,1)</f>
        <v/>
      </c>
      <c r="N5222">
        <f>IF(ISERR(FIND("DECOUPE",Tableau1[[#This Row],[DESIGNATION]])),"","NEED REF")</f>
        <v/>
      </c>
    </row>
    <row r="5223">
      <c r="B5223" t="n">
        <v>34408783</v>
      </c>
      <c r="C5223" s="2" t="n">
        <v>44098</v>
      </c>
      <c r="D5223" t="inlineStr">
        <is>
          <t>SPEC</t>
        </is>
      </c>
      <c r="E5223" t="inlineStr">
        <is>
          <t>SMT CADRE RENFORCE 2 POUR TOIT ALU</t>
        </is>
      </c>
      <c r="G5223" t="inlineStr">
        <is>
          <t>GVS</t>
        </is>
      </c>
      <c r="H5223" t="inlineStr">
        <is>
          <t>BBC</t>
        </is>
      </c>
      <c r="J5223" t="inlineStr">
        <is>
          <t>MATRION</t>
        </is>
      </c>
      <c r="K5223" t="inlineStr">
        <is>
          <t>METAL</t>
        </is>
      </c>
      <c r="L5223">
        <f>_xlfn.XLOOKUP(Tableau1[[#This Row],[TYPE DE PIECE]],Tableau4[MATIERE],Tableau4[SHORT TYPE],"",0,1)</f>
        <v/>
      </c>
      <c r="N5223">
        <f>IF(ISERR(FIND("DECOUPE",Tableau1[[#This Row],[DESIGNATION]])),"","NEED REF")</f>
        <v/>
      </c>
    </row>
    <row r="5224">
      <c r="B5224" t="n">
        <v>34408782</v>
      </c>
      <c r="C5224" s="2" t="n">
        <v>44098</v>
      </c>
      <c r="D5224" t="inlineStr">
        <is>
          <t>SPEC</t>
        </is>
      </c>
      <c r="E5224" t="inlineStr">
        <is>
          <t>SMT CADRE RENFORCE 1 POUR TOIT ALU</t>
        </is>
      </c>
      <c r="G5224" t="inlineStr">
        <is>
          <t>GVS</t>
        </is>
      </c>
      <c r="H5224" t="inlineStr">
        <is>
          <t>BBC</t>
        </is>
      </c>
      <c r="J5224" t="inlineStr">
        <is>
          <t>MATRION</t>
        </is>
      </c>
      <c r="K5224" t="inlineStr">
        <is>
          <t>METAL</t>
        </is>
      </c>
      <c r="L5224">
        <f>_xlfn.XLOOKUP(Tableau1[[#This Row],[TYPE DE PIECE]],Tableau4[MATIERE],Tableau4[SHORT TYPE],"",0,1)</f>
        <v/>
      </c>
      <c r="N5224">
        <f>IF(ISERR(FIND("DECOUPE",Tableau1[[#This Row],[DESIGNATION]])),"","NEED REF")</f>
        <v/>
      </c>
    </row>
    <row r="5225">
      <c r="B5225" t="n">
        <v>34408781</v>
      </c>
      <c r="C5225" s="2" t="n">
        <v>44098</v>
      </c>
      <c r="D5225" t="inlineStr">
        <is>
          <t>SPEC</t>
        </is>
      </c>
      <c r="E5225" t="inlineStr">
        <is>
          <t>SMT SUPPORT RACCORDEMENT CLIENT</t>
        </is>
      </c>
      <c r="G5225" t="inlineStr">
        <is>
          <t>GVS</t>
        </is>
      </c>
      <c r="H5225" t="inlineStr">
        <is>
          <t>BBC</t>
        </is>
      </c>
      <c r="J5225" t="inlineStr">
        <is>
          <t>MATRION</t>
        </is>
      </c>
      <c r="K5225" t="inlineStr">
        <is>
          <t>METAL</t>
        </is>
      </c>
      <c r="L5225">
        <f>_xlfn.XLOOKUP(Tableau1[[#This Row],[TYPE DE PIECE]],Tableau4[MATIERE],Tableau4[SHORT TYPE],"",0,1)</f>
        <v/>
      </c>
      <c r="N5225">
        <f>IF(ISERR(FIND("DECOUPE",Tableau1[[#This Row],[DESIGNATION]])),"","NEED REF")</f>
        <v/>
      </c>
    </row>
    <row r="5226">
      <c r="B5226" t="n">
        <v>34408780</v>
      </c>
      <c r="C5226" s="2" t="n">
        <v>44098</v>
      </c>
      <c r="D5226" t="inlineStr">
        <is>
          <t>SPEC</t>
        </is>
      </c>
      <c r="E5226" t="inlineStr">
        <is>
          <t>SMT SUPPORT LINERGY 2x00A</t>
        </is>
      </c>
      <c r="G5226" t="inlineStr">
        <is>
          <t>GVS</t>
        </is>
      </c>
      <c r="H5226" t="inlineStr">
        <is>
          <t>BBC</t>
        </is>
      </c>
      <c r="J5226" t="inlineStr">
        <is>
          <t>MATRION</t>
        </is>
      </c>
      <c r="K5226" t="inlineStr">
        <is>
          <t>METAL</t>
        </is>
      </c>
      <c r="L5226">
        <f>_xlfn.XLOOKUP(Tableau1[[#This Row],[TYPE DE PIECE]],Tableau4[MATIERE],Tableau4[SHORT TYPE],"",0,1)</f>
        <v/>
      </c>
      <c r="N5226">
        <f>IF(ISERR(FIND("DECOUPE",Tableau1[[#This Row],[DESIGNATION]])),"","NEED REF")</f>
        <v/>
      </c>
    </row>
    <row r="5227">
      <c r="B5227" t="n">
        <v>34408779</v>
      </c>
      <c r="C5227" s="2" t="n">
        <v>44098</v>
      </c>
      <c r="D5227" t="inlineStr">
        <is>
          <t>SPEC</t>
        </is>
      </c>
      <c r="E5227" t="inlineStr">
        <is>
          <t>SMT SUPPORT BAS LINERGY</t>
        </is>
      </c>
      <c r="G5227" t="inlineStr">
        <is>
          <t>GVS</t>
        </is>
      </c>
      <c r="H5227" t="inlineStr">
        <is>
          <t>BBC</t>
        </is>
      </c>
      <c r="J5227" t="inlineStr">
        <is>
          <t>MATRION</t>
        </is>
      </c>
      <c r="K5227" t="inlineStr">
        <is>
          <t>METAL</t>
        </is>
      </c>
      <c r="L5227">
        <f>_xlfn.XLOOKUP(Tableau1[[#This Row],[TYPE DE PIECE]],Tableau4[MATIERE],Tableau4[SHORT TYPE],"",0,1)</f>
        <v/>
      </c>
      <c r="N5227">
        <f>IF(ISERR(FIND("DECOUPE",Tableau1[[#This Row],[DESIGNATION]])),"","NEED REF")</f>
        <v/>
      </c>
    </row>
    <row r="5228">
      <c r="B5228" t="n">
        <v>34408778</v>
      </c>
      <c r="C5228" s="2" t="n">
        <v>44098</v>
      </c>
      <c r="D5228" t="inlineStr">
        <is>
          <t>SPEC</t>
        </is>
      </c>
      <c r="E5228" t="inlineStr">
        <is>
          <t>SMT CALE FLEXIBAR NWDC 20</t>
        </is>
      </c>
      <c r="G5228" t="inlineStr">
        <is>
          <t>GVS</t>
        </is>
      </c>
      <c r="H5228" t="inlineStr">
        <is>
          <t>BBC</t>
        </is>
      </c>
      <c r="J5228" t="inlineStr">
        <is>
          <t>MATRION</t>
        </is>
      </c>
      <c r="K5228" t="inlineStr">
        <is>
          <t>METAL</t>
        </is>
      </c>
      <c r="L5228">
        <f>_xlfn.XLOOKUP(Tableau1[[#This Row],[TYPE DE PIECE]],Tableau4[MATIERE],Tableau4[SHORT TYPE],"",0,1)</f>
        <v/>
      </c>
      <c r="N5228">
        <f>IF(ISERR(FIND("DECOUPE",Tableau1[[#This Row],[DESIGNATION]])),"","NEED REF")</f>
        <v/>
      </c>
    </row>
    <row r="5229">
      <c r="B5229" t="n">
        <v>34408777</v>
      </c>
      <c r="C5229" s="2" t="n">
        <v>44098</v>
      </c>
      <c r="D5229" t="inlineStr">
        <is>
          <t>SPEC</t>
        </is>
      </c>
      <c r="E5229" t="inlineStr">
        <is>
          <t>COP CALE FLEXIBAR NWDC 20</t>
        </is>
      </c>
      <c r="G5229" t="inlineStr">
        <is>
          <t>GVS</t>
        </is>
      </c>
      <c r="H5229" t="inlineStr">
        <is>
          <t>BBC</t>
        </is>
      </c>
      <c r="J5229" t="inlineStr">
        <is>
          <t>MATRION</t>
        </is>
      </c>
      <c r="K5229" t="inlineStr">
        <is>
          <t>CUIVRE</t>
        </is>
      </c>
      <c r="L5229">
        <f>_xlfn.XLOOKUP(Tableau1[[#This Row],[TYPE DE PIECE]],Tableau4[MATIERE],Tableau4[SHORT TYPE],"",0,1)</f>
        <v/>
      </c>
      <c r="N5229">
        <f>IF(ISERR(FIND("DECOUPE",Tableau1[[#This Row],[DESIGNATION]])),"","NEED REF")</f>
        <v/>
      </c>
    </row>
    <row r="5230">
      <c r="B5230" t="n">
        <v>34408776</v>
      </c>
      <c r="C5230" s="2" t="n">
        <v>44098</v>
      </c>
      <c r="D5230" t="inlineStr">
        <is>
          <t>SPEC</t>
        </is>
      </c>
      <c r="E5230" t="inlineStr">
        <is>
          <t>COP FLEXIBAR NWDC 20 VERS LINERGY</t>
        </is>
      </c>
      <c r="G5230" t="inlineStr">
        <is>
          <t>GVS</t>
        </is>
      </c>
      <c r="H5230" t="inlineStr">
        <is>
          <t>BBC</t>
        </is>
      </c>
      <c r="J5230" t="inlineStr">
        <is>
          <t>MATRION</t>
        </is>
      </c>
      <c r="K5230" t="inlineStr">
        <is>
          <t>CUIVRE</t>
        </is>
      </c>
      <c r="L5230">
        <f>_xlfn.XLOOKUP(Tableau1[[#This Row],[TYPE DE PIECE]],Tableau4[MATIERE],Tableau4[SHORT TYPE],"",0,1)</f>
        <v/>
      </c>
      <c r="N5230">
        <f>IF(ISERR(FIND("DECOUPE",Tableau1[[#This Row],[DESIGNATION]])),"","NEED REF")</f>
        <v/>
      </c>
    </row>
    <row r="5231">
      <c r="B5231" t="n">
        <v>34408775</v>
      </c>
      <c r="C5231" s="2" t="n">
        <v>44098</v>
      </c>
      <c r="D5231" t="inlineStr">
        <is>
          <t>SPEC</t>
        </is>
      </c>
      <c r="E5231" t="inlineStr">
        <is>
          <t>COP LIAISON NWDC 20 VERS LINERGY 2</t>
        </is>
      </c>
      <c r="G5231" t="inlineStr">
        <is>
          <t>GVS</t>
        </is>
      </c>
      <c r="H5231" t="inlineStr">
        <is>
          <t>BBC</t>
        </is>
      </c>
      <c r="J5231" t="inlineStr">
        <is>
          <t>MATRION</t>
        </is>
      </c>
      <c r="K5231" t="inlineStr">
        <is>
          <t>CUIVRE</t>
        </is>
      </c>
      <c r="L5231">
        <f>_xlfn.XLOOKUP(Tableau1[[#This Row],[TYPE DE PIECE]],Tableau4[MATIERE],Tableau4[SHORT TYPE],"",0,1)</f>
        <v/>
      </c>
      <c r="N5231">
        <f>IF(ISERR(FIND("DECOUPE",Tableau1[[#This Row],[DESIGNATION]])),"","NEED REF")</f>
        <v/>
      </c>
    </row>
    <row r="5232">
      <c r="B5232" t="n">
        <v>34408774</v>
      </c>
      <c r="C5232" s="2" t="n">
        <v>44098</v>
      </c>
      <c r="D5232" t="inlineStr">
        <is>
          <t>SPEC</t>
        </is>
      </c>
      <c r="E5232" t="inlineStr">
        <is>
          <t>COP LIAISON NWDC 20 VERS LINERGY 1</t>
        </is>
      </c>
      <c r="G5232" t="inlineStr">
        <is>
          <t>GVS</t>
        </is>
      </c>
      <c r="H5232" t="inlineStr">
        <is>
          <t>BBC</t>
        </is>
      </c>
      <c r="J5232" t="inlineStr">
        <is>
          <t>MATRION</t>
        </is>
      </c>
      <c r="K5232" t="inlineStr">
        <is>
          <t>CUIVRE</t>
        </is>
      </c>
      <c r="L5232">
        <f>_xlfn.XLOOKUP(Tableau1[[#This Row],[TYPE DE PIECE]],Tableau4[MATIERE],Tableau4[SHORT TYPE],"",0,1)</f>
        <v/>
      </c>
      <c r="N5232">
        <f>IF(ISERR(FIND("DECOUPE",Tableau1[[#This Row],[DESIGNATION]])),"","NEED REF")</f>
        <v/>
      </c>
    </row>
    <row r="5233">
      <c r="B5233" t="n">
        <v>34408773</v>
      </c>
      <c r="C5233" s="2" t="n">
        <v>44097</v>
      </c>
      <c r="D5233" t="inlineStr">
        <is>
          <t>SPEC</t>
        </is>
      </c>
      <c r="E5233" t="inlineStr">
        <is>
          <t>BARREAU PROLONGATEUR POIGNEE</t>
        </is>
      </c>
      <c r="F5233" t="inlineStr">
        <is>
          <t>REGENBOX 125A</t>
        </is>
      </c>
      <c r="H5233" t="inlineStr">
        <is>
          <t>REGEN</t>
        </is>
      </c>
      <c r="J5233" t="inlineStr">
        <is>
          <t>JAWORSKI</t>
        </is>
      </c>
      <c r="K5233" t="inlineStr">
        <is>
          <t>METAL</t>
        </is>
      </c>
      <c r="L5233">
        <f>_xlfn.XLOOKUP(Tableau1[[#This Row],[TYPE DE PIECE]],Tableau4[MATIERE],Tableau4[SHORT TYPE],"",0,1)</f>
        <v/>
      </c>
      <c r="N5233">
        <f>IF(ISERR(FIND("DECOUPE",Tableau1[[#This Row],[DESIGNATION]])),"","NEED REF")</f>
        <v/>
      </c>
    </row>
    <row r="5234">
      <c r="B5234" t="n">
        <v>34408772</v>
      </c>
      <c r="C5234" s="2" t="n">
        <v>44097</v>
      </c>
      <c r="D5234" t="inlineStr">
        <is>
          <t>SPEC</t>
        </is>
      </c>
      <c r="E5234" t="inlineStr">
        <is>
          <t>KIT FILERIE Carte EXPUT</t>
        </is>
      </c>
      <c r="F5234" t="inlineStr">
        <is>
          <t>REGENBOX 125A</t>
        </is>
      </c>
      <c r="H5234" t="inlineStr">
        <is>
          <t>REGEN</t>
        </is>
      </c>
      <c r="J5234" t="inlineStr">
        <is>
          <t>JAWORSKI</t>
        </is>
      </c>
      <c r="K5234" t="inlineStr">
        <is>
          <t>FILERIE</t>
        </is>
      </c>
      <c r="L5234">
        <f>_xlfn.XLOOKUP(Tableau1[[#This Row],[TYPE DE PIECE]],Tableau4[MATIERE],Tableau4[SHORT TYPE],"",0,1)</f>
        <v/>
      </c>
      <c r="N5234">
        <f>IF(ISERR(FIND("DECOUPE",Tableau1[[#This Row],[DESIGNATION]])),"","NEED REF")</f>
        <v/>
      </c>
    </row>
    <row r="5235">
      <c r="B5235" t="n">
        <v>34408771</v>
      </c>
      <c r="C5235" s="2" t="n">
        <v>44097</v>
      </c>
      <c r="D5235" t="inlineStr">
        <is>
          <t>SPEC</t>
        </is>
      </c>
      <c r="E5235" t="inlineStr">
        <is>
          <t>BOTTOM SWITCH NS1600BNA BY PASS E3L</t>
        </is>
      </c>
      <c r="G5235" t="inlineStr">
        <is>
          <t>E3L</t>
        </is>
      </c>
      <c r="H5235" t="inlineStr">
        <is>
          <t>BYPASS</t>
        </is>
      </c>
      <c r="J5235" t="inlineStr">
        <is>
          <t>MATRION</t>
        </is>
      </c>
      <c r="K5235" t="inlineStr">
        <is>
          <t>SE</t>
        </is>
      </c>
      <c r="L5235">
        <f>_xlfn.XLOOKUP(Tableau1[[#This Row],[TYPE DE PIECE]],Tableau4[MATIERE],Tableau4[SHORT TYPE],"",0,1)</f>
        <v/>
      </c>
      <c r="N5235">
        <f>IF(ISERR(FIND("DECOUPE",Tableau1[[#This Row],[DESIGNATION]])),"","NEED REF")</f>
        <v/>
      </c>
    </row>
    <row r="5236">
      <c r="B5236" t="n">
        <v>34408770</v>
      </c>
      <c r="C5236" s="2" t="n">
        <v>44097</v>
      </c>
      <c r="D5236" t="inlineStr">
        <is>
          <t>SPEC</t>
        </is>
      </c>
      <c r="E5236" t="inlineStr">
        <is>
          <t>MIDDLE SWITCH NS1600BNA BY PASS E3L</t>
        </is>
      </c>
      <c r="G5236" t="inlineStr">
        <is>
          <t>E3L</t>
        </is>
      </c>
      <c r="H5236" t="inlineStr">
        <is>
          <t>BYPASS</t>
        </is>
      </c>
      <c r="J5236" t="inlineStr">
        <is>
          <t>MATRION</t>
        </is>
      </c>
      <c r="K5236" t="inlineStr">
        <is>
          <t>SE</t>
        </is>
      </c>
      <c r="L5236">
        <f>_xlfn.XLOOKUP(Tableau1[[#This Row],[TYPE DE PIECE]],Tableau4[MATIERE],Tableau4[SHORT TYPE],"",0,1)</f>
        <v/>
      </c>
      <c r="N5236">
        <f>IF(ISERR(FIND("DECOUPE",Tableau1[[#This Row],[DESIGNATION]])),"","NEED REF")</f>
        <v/>
      </c>
    </row>
    <row r="5237">
      <c r="B5237" t="n">
        <v>34408769</v>
      </c>
      <c r="C5237" s="2" t="n">
        <v>44096</v>
      </c>
      <c r="D5237" t="inlineStr">
        <is>
          <t>SPEC</t>
        </is>
      </c>
      <c r="E5237" t="inlineStr">
        <is>
          <t>HIGH SWITCH NS1600BNA BY PASS E3L</t>
        </is>
      </c>
      <c r="G5237" t="inlineStr">
        <is>
          <t>E3L</t>
        </is>
      </c>
      <c r="H5237" t="inlineStr">
        <is>
          <t>BYPASS</t>
        </is>
      </c>
      <c r="J5237" t="inlineStr">
        <is>
          <t>MATRION</t>
        </is>
      </c>
      <c r="K5237" t="inlineStr">
        <is>
          <t>SE</t>
        </is>
      </c>
      <c r="L5237">
        <f>_xlfn.XLOOKUP(Tableau1[[#This Row],[TYPE DE PIECE]],Tableau4[MATIERE],Tableau4[SHORT TYPE],"",0,1)</f>
        <v/>
      </c>
      <c r="N5237">
        <f>IF(ISERR(FIND("DECOUPE",Tableau1[[#This Row],[DESIGNATION]])),"","NEED REF")</f>
        <v/>
      </c>
    </row>
    <row r="5238">
      <c r="B5238" t="n">
        <v>34408768</v>
      </c>
      <c r="C5238" s="2" t="n">
        <v>44090</v>
      </c>
      <c r="D5238" t="inlineStr">
        <is>
          <t>SPEC</t>
        </is>
      </c>
      <c r="E5238" t="inlineStr">
        <is>
          <t>SMT TOIT LATERAL IP30 IO1000</t>
        </is>
      </c>
      <c r="J5238" t="inlineStr">
        <is>
          <t>MATRION</t>
        </is>
      </c>
      <c r="K5238" t="inlineStr">
        <is>
          <t>METAL</t>
        </is>
      </c>
      <c r="L5238">
        <f>_xlfn.XLOOKUP(Tableau1[[#This Row],[TYPE DE PIECE]],Tableau4[MATIERE],Tableau4[SHORT TYPE],"",0,1)</f>
        <v/>
      </c>
      <c r="N5238">
        <f>IF(ISERR(FIND("DECOUPE",Tableau1[[#This Row],[DESIGNATION]])),"","NEED REF")</f>
        <v/>
      </c>
    </row>
    <row r="5239">
      <c r="B5239" t="n">
        <v>34408767</v>
      </c>
      <c r="C5239" s="2" t="n">
        <v>44090</v>
      </c>
      <c r="D5239" t="inlineStr">
        <is>
          <t>SPEC</t>
        </is>
      </c>
      <c r="E5239" t="inlineStr">
        <is>
          <t>SMT TOIT CENTRAL IP30 POWER MODULE</t>
        </is>
      </c>
      <c r="J5239" t="inlineStr">
        <is>
          <t>MATRION</t>
        </is>
      </c>
      <c r="K5239" t="inlineStr">
        <is>
          <t>METAL</t>
        </is>
      </c>
      <c r="L5239">
        <f>_xlfn.XLOOKUP(Tableau1[[#This Row],[TYPE DE PIECE]],Tableau4[MATIERE],Tableau4[SHORT TYPE],"",0,1)</f>
        <v/>
      </c>
      <c r="N5239">
        <f>IF(ISERR(FIND("DECOUPE",Tableau1[[#This Row],[DESIGNATION]])),"","NEED REF")</f>
        <v/>
      </c>
    </row>
    <row r="5240">
      <c r="B5240" t="n">
        <v>34408766</v>
      </c>
      <c r="C5240" s="2" t="n">
        <v>44090</v>
      </c>
      <c r="D5240" t="inlineStr">
        <is>
          <t>SPEC</t>
        </is>
      </c>
      <c r="E5240" t="inlineStr">
        <is>
          <t>SMT TOIT CENTRAL IP30 IO1500</t>
        </is>
      </c>
      <c r="J5240" t="inlineStr">
        <is>
          <t>MATRION</t>
        </is>
      </c>
      <c r="K5240" t="inlineStr">
        <is>
          <t>METAL</t>
        </is>
      </c>
      <c r="L5240">
        <f>_xlfn.XLOOKUP(Tableau1[[#This Row],[TYPE DE PIECE]],Tableau4[MATIERE],Tableau4[SHORT TYPE],"",0,1)</f>
        <v/>
      </c>
      <c r="N5240">
        <f>IF(ISERR(FIND("DECOUPE",Tableau1[[#This Row],[DESIGNATION]])),"","NEED REF")</f>
        <v/>
      </c>
    </row>
    <row r="5241">
      <c r="B5241" t="n">
        <v>34408765</v>
      </c>
      <c r="C5241" s="2" t="n">
        <v>44089</v>
      </c>
      <c r="D5241" t="inlineStr">
        <is>
          <t>SPEC</t>
        </is>
      </c>
      <c r="E5241" t="inlineStr">
        <is>
          <t>WIRE KIT NEUTRE NON COUPE</t>
        </is>
      </c>
      <c r="F5241" t="inlineStr">
        <is>
          <t>STS1250</t>
        </is>
      </c>
      <c r="G5241" t="inlineStr">
        <is>
          <t>GVE</t>
        </is>
      </c>
      <c r="H5241" t="inlineStr">
        <is>
          <t>STS</t>
        </is>
      </c>
      <c r="J5241" t="inlineStr">
        <is>
          <t>MATRION</t>
        </is>
      </c>
      <c r="K5241" t="inlineStr">
        <is>
          <t>FILERIE</t>
        </is>
      </c>
      <c r="L5241">
        <f>_xlfn.XLOOKUP(Tableau1[[#This Row],[TYPE DE PIECE]],Tableau4[MATIERE],Tableau4[SHORT TYPE],"",0,1)</f>
        <v/>
      </c>
      <c r="N5241">
        <f>IF(ISERR(FIND("DECOUPE",Tableau1[[#This Row],[DESIGNATION]])),"","NEED REF")</f>
        <v/>
      </c>
    </row>
    <row r="5242">
      <c r="B5242" t="n">
        <v>34408764</v>
      </c>
      <c r="C5242" s="2" t="n">
        <v>44085</v>
      </c>
      <c r="D5242" t="inlineStr">
        <is>
          <t>SPEC</t>
        </is>
      </c>
      <c r="E5242" t="inlineStr">
        <is>
          <t>SMT STRUCTURE SIDE HINGE STS</t>
        </is>
      </c>
      <c r="F5242" t="inlineStr">
        <is>
          <t>STS1250</t>
        </is>
      </c>
      <c r="G5242" t="inlineStr">
        <is>
          <t>GVE</t>
        </is>
      </c>
      <c r="H5242" t="inlineStr">
        <is>
          <t>STS</t>
        </is>
      </c>
      <c r="J5242" t="inlineStr">
        <is>
          <t>MATRION</t>
        </is>
      </c>
      <c r="K5242" t="inlineStr">
        <is>
          <t>METAL</t>
        </is>
      </c>
      <c r="L5242">
        <f>_xlfn.XLOOKUP(Tableau1[[#This Row],[TYPE DE PIECE]],Tableau4[MATIERE],Tableau4[SHORT TYPE],"",0,1)</f>
        <v/>
      </c>
      <c r="N5242">
        <f>IF(ISERR(FIND("DECOUPE",Tableau1[[#This Row],[DESIGNATION]])),"","NEED REF")</f>
        <v/>
      </c>
    </row>
    <row r="5243">
      <c r="B5243" t="n">
        <v>34408763</v>
      </c>
      <c r="C5243" s="2" t="n">
        <v>44085</v>
      </c>
      <c r="D5243" t="inlineStr">
        <is>
          <t>SPEC</t>
        </is>
      </c>
      <c r="E5243" t="inlineStr">
        <is>
          <t>SMT DOOR HINGE WELDED STS</t>
        </is>
      </c>
      <c r="F5243" t="inlineStr">
        <is>
          <t>STS1250</t>
        </is>
      </c>
      <c r="G5243" t="inlineStr">
        <is>
          <t>GVE</t>
        </is>
      </c>
      <c r="H5243" t="inlineStr">
        <is>
          <t>STS</t>
        </is>
      </c>
      <c r="J5243" t="inlineStr">
        <is>
          <t>MATRION</t>
        </is>
      </c>
      <c r="K5243" t="inlineStr">
        <is>
          <t>METAL</t>
        </is>
      </c>
      <c r="L5243">
        <f>_xlfn.XLOOKUP(Tableau1[[#This Row],[TYPE DE PIECE]],Tableau4[MATIERE],Tableau4[SHORT TYPE],"",0,1)</f>
        <v/>
      </c>
      <c r="N5243">
        <f>IF(ISERR(FIND("DECOUPE",Tableau1[[#This Row],[DESIGNATION]])),"","NEED REF")</f>
        <v/>
      </c>
    </row>
    <row r="5244">
      <c r="B5244" t="n">
        <v>34408762</v>
      </c>
      <c r="C5244" s="2" t="n">
        <v>44083</v>
      </c>
      <c r="D5244" t="inlineStr">
        <is>
          <t>SPEC</t>
        </is>
      </c>
      <c r="E5244" t="inlineStr">
        <is>
          <t>SMT MOYEN ALIGEMENT CUIVRE 2</t>
        </is>
      </c>
      <c r="F5244" t="inlineStr">
        <is>
          <t>STS1250</t>
        </is>
      </c>
      <c r="G5244" t="inlineStr">
        <is>
          <t>GVE</t>
        </is>
      </c>
      <c r="H5244" t="inlineStr">
        <is>
          <t>STS</t>
        </is>
      </c>
      <c r="J5244" t="inlineStr">
        <is>
          <t>MATRION</t>
        </is>
      </c>
      <c r="K5244" t="inlineStr">
        <is>
          <t>METAL</t>
        </is>
      </c>
      <c r="L5244">
        <f>_xlfn.XLOOKUP(Tableau1[[#This Row],[TYPE DE PIECE]],Tableau4[MATIERE],Tableau4[SHORT TYPE],"",0,1)</f>
        <v/>
      </c>
      <c r="N5244">
        <f>IF(ISERR(FIND("DECOUPE",Tableau1[[#This Row],[DESIGNATION]])),"","NEED REF")</f>
        <v/>
      </c>
    </row>
    <row r="5245">
      <c r="B5245" t="n">
        <v>34408761</v>
      </c>
      <c r="C5245" s="2" t="n">
        <v>44083</v>
      </c>
      <c r="D5245" t="inlineStr">
        <is>
          <t>SPEC</t>
        </is>
      </c>
      <c r="E5245" t="inlineStr">
        <is>
          <t>SMT MOYEN ALIGEMENT CUIVRE 1</t>
        </is>
      </c>
      <c r="F5245" t="inlineStr">
        <is>
          <t>STS1250</t>
        </is>
      </c>
      <c r="G5245" t="inlineStr">
        <is>
          <t>GVE</t>
        </is>
      </c>
      <c r="H5245" t="inlineStr">
        <is>
          <t>STS</t>
        </is>
      </c>
      <c r="J5245" t="inlineStr">
        <is>
          <t>MATRION</t>
        </is>
      </c>
      <c r="K5245" t="inlineStr">
        <is>
          <t>METAL</t>
        </is>
      </c>
      <c r="L5245">
        <f>_xlfn.XLOOKUP(Tableau1[[#This Row],[TYPE DE PIECE]],Tableau4[MATIERE],Tableau4[SHORT TYPE],"",0,1)</f>
        <v/>
      </c>
      <c r="N5245">
        <f>IF(ISERR(FIND("DECOUPE",Tableau1[[#This Row],[DESIGNATION]])),"","NEED REF")</f>
        <v/>
      </c>
    </row>
    <row r="5246">
      <c r="B5246" t="n">
        <v>34408760</v>
      </c>
      <c r="C5246" s="2" t="n">
        <v>44083</v>
      </c>
      <c r="D5246" t="inlineStr">
        <is>
          <t>SPEC</t>
        </is>
      </c>
      <c r="E5246" t="inlineStr">
        <is>
          <t>SMT MOYEN MONTAGE PLAGE RACCORDEMENT CLIENT</t>
        </is>
      </c>
      <c r="F5246" t="inlineStr">
        <is>
          <t>STS1250</t>
        </is>
      </c>
      <c r="G5246" t="inlineStr">
        <is>
          <t>GVE</t>
        </is>
      </c>
      <c r="H5246" t="inlineStr">
        <is>
          <t>STS</t>
        </is>
      </c>
      <c r="J5246" t="inlineStr">
        <is>
          <t>MATRION</t>
        </is>
      </c>
      <c r="K5246" t="inlineStr">
        <is>
          <t>METAL</t>
        </is>
      </c>
      <c r="L5246">
        <f>_xlfn.XLOOKUP(Tableau1[[#This Row],[TYPE DE PIECE]],Tableau4[MATIERE],Tableau4[SHORT TYPE],"",0,1)</f>
        <v/>
      </c>
      <c r="N5246">
        <f>IF(ISERR(FIND("DECOUPE",Tableau1[[#This Row],[DESIGNATION]])),"","NEED REF")</f>
        <v/>
      </c>
    </row>
    <row r="5247">
      <c r="B5247" t="n">
        <v>34408759</v>
      </c>
      <c r="C5247" s="2" t="n">
        <v>44078</v>
      </c>
      <c r="D5247" t="inlineStr">
        <is>
          <t>SPEC</t>
        </is>
      </c>
      <c r="E5247" t="inlineStr">
        <is>
          <t>SMT FIXATION CABLES PROFONDEUR 800</t>
        </is>
      </c>
      <c r="F5247" t="inlineStr">
        <is>
          <t>STS1250</t>
        </is>
      </c>
      <c r="G5247" t="inlineStr">
        <is>
          <t>GVE</t>
        </is>
      </c>
      <c r="H5247" t="inlineStr">
        <is>
          <t>STS</t>
        </is>
      </c>
      <c r="J5247" t="inlineStr">
        <is>
          <t>MATRION</t>
        </is>
      </c>
      <c r="K5247" t="inlineStr">
        <is>
          <t>METAL</t>
        </is>
      </c>
      <c r="L5247">
        <f>_xlfn.XLOOKUP(Tableau1[[#This Row],[TYPE DE PIECE]],Tableau4[MATIERE],Tableau4[SHORT TYPE],"",0,1)</f>
        <v/>
      </c>
      <c r="N5247">
        <f>IF(ISERR(FIND("DECOUPE",Tableau1[[#This Row],[DESIGNATION]])),"","NEED REF")</f>
        <v/>
      </c>
    </row>
    <row r="5248">
      <c r="B5248" t="n">
        <v>34408758</v>
      </c>
      <c r="C5248" s="2" t="n">
        <v>44078</v>
      </c>
      <c r="D5248" t="inlineStr">
        <is>
          <t>SPEC</t>
        </is>
      </c>
      <c r="E5248" t="inlineStr">
        <is>
          <t>SMT SUPPORT CABLES AV/AR 400</t>
        </is>
      </c>
      <c r="F5248" t="inlineStr">
        <is>
          <t>STS1250</t>
        </is>
      </c>
      <c r="G5248" t="inlineStr">
        <is>
          <t>GVE</t>
        </is>
      </c>
      <c r="H5248" t="inlineStr">
        <is>
          <t>STS</t>
        </is>
      </c>
      <c r="J5248" t="inlineStr">
        <is>
          <t>MATRION</t>
        </is>
      </c>
      <c r="K5248" t="inlineStr">
        <is>
          <t>METAL</t>
        </is>
      </c>
      <c r="L5248">
        <f>_xlfn.XLOOKUP(Tableau1[[#This Row],[TYPE DE PIECE]],Tableau4[MATIERE],Tableau4[SHORT TYPE],"",0,1)</f>
        <v/>
      </c>
      <c r="N5248">
        <f>IF(ISERR(FIND("DECOUPE",Tableau1[[#This Row],[DESIGNATION]])),"","NEED REF")</f>
        <v/>
      </c>
    </row>
    <row r="5249">
      <c r="B5249" t="n">
        <v>34408757</v>
      </c>
      <c r="C5249" s="2" t="n">
        <v>44078</v>
      </c>
      <c r="D5249" t="inlineStr">
        <is>
          <t>SPEC</t>
        </is>
      </c>
      <c r="E5249" t="inlineStr">
        <is>
          <t>TOIT 800x1000 / IP00 400A ARMOIRE</t>
        </is>
      </c>
      <c r="F5249" t="inlineStr">
        <is>
          <t>NSA DC KUWEIT UNEECO</t>
        </is>
      </c>
      <c r="G5249" t="inlineStr">
        <is>
          <t>GVE</t>
        </is>
      </c>
      <c r="H5249" t="inlineStr">
        <is>
          <t>STS</t>
        </is>
      </c>
      <c r="J5249" t="inlineStr">
        <is>
          <t>JAWORSKI</t>
        </is>
      </c>
      <c r="K5249" t="inlineStr">
        <is>
          <t>METAL</t>
        </is>
      </c>
      <c r="L5249">
        <f>_xlfn.XLOOKUP(Tableau1[[#This Row],[TYPE DE PIECE]],Tableau4[MATIERE],Tableau4[SHORT TYPE],"",0,1)</f>
        <v/>
      </c>
      <c r="N5249">
        <f>IF(ISERR(FIND("DECOUPE",Tableau1[[#This Row],[DESIGNATION]])),"","NEED REF")</f>
        <v/>
      </c>
    </row>
    <row r="5250">
      <c r="B5250" t="n">
        <v>34408756</v>
      </c>
      <c r="C5250" s="2" t="n">
        <v>44078</v>
      </c>
      <c r="D5250" t="inlineStr">
        <is>
          <t>SPEC</t>
        </is>
      </c>
      <c r="E5250" t="inlineStr">
        <is>
          <t>SMT SUPPORT BARRE PE</t>
        </is>
      </c>
      <c r="F5250" t="inlineStr">
        <is>
          <t>STS1250</t>
        </is>
      </c>
      <c r="G5250" t="inlineStr">
        <is>
          <t>GVE</t>
        </is>
      </c>
      <c r="H5250" t="inlineStr">
        <is>
          <t>STS</t>
        </is>
      </c>
      <c r="J5250" t="inlineStr">
        <is>
          <t>MATRION</t>
        </is>
      </c>
      <c r="K5250" t="inlineStr">
        <is>
          <t>METAL</t>
        </is>
      </c>
      <c r="L5250">
        <f>_xlfn.XLOOKUP(Tableau1[[#This Row],[TYPE DE PIECE]],Tableau4[MATIERE],Tableau4[SHORT TYPE],"",0,1)</f>
        <v/>
      </c>
      <c r="N5250">
        <f>IF(ISERR(FIND("DECOUPE",Tableau1[[#This Row],[DESIGNATION]])),"","NEED REF")</f>
        <v/>
      </c>
    </row>
    <row r="5251">
      <c r="B5251" t="n">
        <v>34408755</v>
      </c>
      <c r="C5251" s="2" t="n">
        <v>44077</v>
      </c>
      <c r="D5251" t="inlineStr">
        <is>
          <t>SPEC</t>
        </is>
      </c>
      <c r="E5251" t="inlineStr">
        <is>
          <t>COP JDB RACCORDEMENT CLIENT</t>
        </is>
      </c>
      <c r="F5251" t="inlineStr">
        <is>
          <t>STS1250</t>
        </is>
      </c>
      <c r="G5251" t="inlineStr">
        <is>
          <t>GVE</t>
        </is>
      </c>
      <c r="H5251" t="inlineStr">
        <is>
          <t>STS</t>
        </is>
      </c>
      <c r="J5251" t="inlineStr">
        <is>
          <t>MATRION</t>
        </is>
      </c>
      <c r="K5251" t="inlineStr">
        <is>
          <t>CUIVRE</t>
        </is>
      </c>
      <c r="L5251">
        <f>_xlfn.XLOOKUP(Tableau1[[#This Row],[TYPE DE PIECE]],Tableau4[MATIERE],Tableau4[SHORT TYPE],"",0,1)</f>
        <v/>
      </c>
      <c r="N5251">
        <f>IF(ISERR(FIND("DECOUPE",Tableau1[[#This Row],[DESIGNATION]])),"","NEED REF")</f>
        <v/>
      </c>
    </row>
    <row r="5252">
      <c r="B5252" t="n">
        <v>34408754</v>
      </c>
      <c r="C5252" s="2" t="n">
        <v>44077</v>
      </c>
      <c r="D5252" t="inlineStr">
        <is>
          <t>SPEC</t>
        </is>
      </c>
      <c r="E5252" t="inlineStr">
        <is>
          <t>SMT SUPPORT L JDB</t>
        </is>
      </c>
      <c r="F5252" t="inlineStr">
        <is>
          <t>STS1250</t>
        </is>
      </c>
      <c r="G5252" t="inlineStr">
        <is>
          <t>GVE</t>
        </is>
      </c>
      <c r="H5252" t="inlineStr">
        <is>
          <t>STS</t>
        </is>
      </c>
      <c r="J5252" t="inlineStr">
        <is>
          <t>MATRION</t>
        </is>
      </c>
      <c r="K5252" t="inlineStr">
        <is>
          <t>METAL</t>
        </is>
      </c>
      <c r="L5252">
        <f>_xlfn.XLOOKUP(Tableau1[[#This Row],[TYPE DE PIECE]],Tableau4[MATIERE],Tableau4[SHORT TYPE],"",0,1)</f>
        <v/>
      </c>
      <c r="N5252">
        <f>IF(ISERR(FIND("DECOUPE",Tableau1[[#This Row],[DESIGNATION]])),"","NEED REF")</f>
        <v/>
      </c>
    </row>
    <row r="5253">
      <c r="B5253" t="n">
        <v>34408753</v>
      </c>
      <c r="C5253" s="2" t="n">
        <v>44077</v>
      </c>
      <c r="D5253" t="inlineStr">
        <is>
          <t>SPEC</t>
        </is>
      </c>
      <c r="E5253" t="inlineStr">
        <is>
          <t>SMT SUPPORT JDB GAUCHE/DROITE</t>
        </is>
      </c>
      <c r="F5253" t="inlineStr">
        <is>
          <t>STS1250</t>
        </is>
      </c>
      <c r="G5253" t="inlineStr">
        <is>
          <t>GVE</t>
        </is>
      </c>
      <c r="H5253" t="inlineStr">
        <is>
          <t>STS</t>
        </is>
      </c>
      <c r="J5253" t="inlineStr">
        <is>
          <t>MATRION</t>
        </is>
      </c>
      <c r="K5253" t="inlineStr">
        <is>
          <t>METAL</t>
        </is>
      </c>
      <c r="L5253">
        <f>_xlfn.XLOOKUP(Tableau1[[#This Row],[TYPE DE PIECE]],Tableau4[MATIERE],Tableau4[SHORT TYPE],"",0,1)</f>
        <v/>
      </c>
      <c r="N5253">
        <f>IF(ISERR(FIND("DECOUPE",Tableau1[[#This Row],[DESIGNATION]])),"","NEED REF")</f>
        <v/>
      </c>
    </row>
    <row r="5254">
      <c r="B5254" t="n">
        <v>34408752</v>
      </c>
      <c r="C5254" s="2" t="n">
        <v>44067</v>
      </c>
      <c r="D5254" t="inlineStr">
        <is>
          <t>SPEC</t>
        </is>
      </c>
      <c r="E5254" t="inlineStr">
        <is>
          <t>KIT FILERIE REMOTE ALARM STATUS PANEL</t>
        </is>
      </c>
      <c r="F5254" t="inlineStr">
        <is>
          <t>PHILLIPS</t>
        </is>
      </c>
      <c r="G5254" t="inlineStr">
        <is>
          <t>GVE</t>
        </is>
      </c>
      <c r="H5254" t="inlineStr">
        <is>
          <t>AUX</t>
        </is>
      </c>
      <c r="J5254" t="inlineStr">
        <is>
          <t>JAWORSKI</t>
        </is>
      </c>
      <c r="K5254" t="inlineStr">
        <is>
          <t>FILERIE</t>
        </is>
      </c>
      <c r="L5254">
        <f>_xlfn.XLOOKUP(Tableau1[[#This Row],[TYPE DE PIECE]],Tableau4[MATIERE],Tableau4[SHORT TYPE],"",0,1)</f>
        <v/>
      </c>
      <c r="N5254">
        <f>IF(ISERR(FIND("DECOUPE",Tableau1[[#This Row],[DESIGNATION]])),"","NEED REF")</f>
        <v/>
      </c>
    </row>
    <row r="5255">
      <c r="B5255" t="n">
        <v>34408751</v>
      </c>
      <c r="C5255" s="2" t="n">
        <v>44055</v>
      </c>
      <c r="D5255" t="inlineStr">
        <is>
          <t>SPEC</t>
        </is>
      </c>
      <c r="E5255" t="inlineStr">
        <is>
          <t>DECOUPE PLAGE PE KXA17504</t>
        </is>
      </c>
      <c r="G5255" t="inlineStr">
        <is>
          <t>GVX</t>
        </is>
      </c>
      <c r="H5255" t="inlineStr">
        <is>
          <t>IO</t>
        </is>
      </c>
      <c r="J5255" t="inlineStr">
        <is>
          <t>MATRION</t>
        </is>
      </c>
      <c r="K5255" t="inlineStr">
        <is>
          <t>METAL</t>
        </is>
      </c>
      <c r="L5255">
        <f>_xlfn.XLOOKUP(Tableau1[[#This Row],[TYPE DE PIECE]],Tableau4[MATIERE],Tableau4[SHORT TYPE],"",0,1)</f>
        <v/>
      </c>
      <c r="N5255">
        <f>IF(ISERR(FIND("DECOUPE",Tableau1[[#This Row],[DESIGNATION]])),"","NEED REF")</f>
        <v/>
      </c>
    </row>
    <row r="5256">
      <c r="B5256" t="n">
        <v>34408750</v>
      </c>
      <c r="C5256" s="2" t="n">
        <v>44055</v>
      </c>
      <c r="D5256" t="inlineStr">
        <is>
          <t>SPEC</t>
        </is>
      </c>
      <c r="E5256" t="inlineStr">
        <is>
          <t>DECOUPE LVS04662 75MM 3P - FREE SUPPORT BUSBAR</t>
        </is>
      </c>
      <c r="G5256" t="inlineStr">
        <is>
          <t>GVX</t>
        </is>
      </c>
      <c r="H5256" t="inlineStr">
        <is>
          <t>IO</t>
        </is>
      </c>
      <c r="J5256" t="inlineStr">
        <is>
          <t>MATRION</t>
        </is>
      </c>
      <c r="K5256" t="inlineStr">
        <is>
          <t>PLASTIQUE</t>
        </is>
      </c>
      <c r="L5256">
        <f>_xlfn.XLOOKUP(Tableau1[[#This Row],[TYPE DE PIECE]],Tableau4[MATIERE],Tableau4[SHORT TYPE],"",0,1)</f>
        <v/>
      </c>
      <c r="M5256" t="inlineStr">
        <is>
          <t>BUSBAR SUPPORT</t>
        </is>
      </c>
      <c r="N5256" t="inlineStr">
        <is>
          <t>LVS04662</t>
        </is>
      </c>
    </row>
    <row r="5257">
      <c r="B5257" t="n">
        <v>34408749</v>
      </c>
      <c r="C5257" s="2" t="n">
        <v>44055</v>
      </c>
      <c r="D5257" t="inlineStr">
        <is>
          <t>SPEC</t>
        </is>
      </c>
      <c r="E5257" t="inlineStr">
        <is>
          <t>DECOUPE LINERGY 04566 L=515</t>
        </is>
      </c>
      <c r="G5257" t="inlineStr">
        <is>
          <t>GVX</t>
        </is>
      </c>
      <c r="H5257" t="inlineStr">
        <is>
          <t>IO</t>
        </is>
      </c>
      <c r="J5257" t="inlineStr">
        <is>
          <t>MATRION</t>
        </is>
      </c>
      <c r="K5257" t="inlineStr">
        <is>
          <t>METAL</t>
        </is>
      </c>
      <c r="L5257">
        <f>_xlfn.XLOOKUP(Tableau1[[#This Row],[TYPE DE PIECE]],Tableau4[MATIERE],Tableau4[SHORT TYPE],"",0,1)</f>
        <v/>
      </c>
      <c r="N5257" t="inlineStr">
        <is>
          <t>LVS04566</t>
        </is>
      </c>
    </row>
    <row r="5258">
      <c r="B5258" t="n">
        <v>34408748</v>
      </c>
      <c r="C5258" s="2" t="n">
        <v>44055</v>
      </c>
      <c r="D5258" t="inlineStr">
        <is>
          <t>SPEC</t>
        </is>
      </c>
      <c r="E5258" t="inlineStr">
        <is>
          <t>DECOUPE LINERGY 04566 L=905</t>
        </is>
      </c>
      <c r="G5258" t="inlineStr">
        <is>
          <t>GVX</t>
        </is>
      </c>
      <c r="H5258" t="inlineStr">
        <is>
          <t>IO</t>
        </is>
      </c>
      <c r="J5258" t="inlineStr">
        <is>
          <t>MATRION</t>
        </is>
      </c>
      <c r="K5258" t="inlineStr">
        <is>
          <t>METAL</t>
        </is>
      </c>
      <c r="L5258">
        <f>_xlfn.XLOOKUP(Tableau1[[#This Row],[TYPE DE PIECE]],Tableau4[MATIERE],Tableau4[SHORT TYPE],"",0,1)</f>
        <v/>
      </c>
      <c r="N5258" t="inlineStr">
        <is>
          <t>LVS04566</t>
        </is>
      </c>
    </row>
    <row r="5259">
      <c r="B5259" t="n">
        <v>34408747</v>
      </c>
      <c r="C5259" s="2" t="n">
        <v>44055</v>
      </c>
      <c r="D5259" t="inlineStr">
        <is>
          <t>SPEC</t>
        </is>
      </c>
      <c r="E5259" t="inlineStr">
        <is>
          <t>COP CALE 80x55x4</t>
        </is>
      </c>
      <c r="G5259" t="inlineStr">
        <is>
          <t>GVX</t>
        </is>
      </c>
      <c r="H5259" t="inlineStr">
        <is>
          <t>IO</t>
        </is>
      </c>
      <c r="J5259" t="inlineStr">
        <is>
          <t>MATRION</t>
        </is>
      </c>
      <c r="K5259" t="inlineStr">
        <is>
          <t>CUIVRE</t>
        </is>
      </c>
      <c r="L5259">
        <f>_xlfn.XLOOKUP(Tableau1[[#This Row],[TYPE DE PIECE]],Tableau4[MATIERE],Tableau4[SHORT TYPE],"",0,1)</f>
        <v/>
      </c>
      <c r="N5259">
        <f>IF(ISERR(FIND("DECOUPE",Tableau1[[#This Row],[DESIGNATION]])),"","NEED REF")</f>
        <v/>
      </c>
    </row>
    <row r="5260">
      <c r="B5260" t="n">
        <v>34408746</v>
      </c>
      <c r="C5260" s="2" t="n">
        <v>44055</v>
      </c>
      <c r="D5260" t="inlineStr">
        <is>
          <t>SPEC</t>
        </is>
      </c>
      <c r="E5260" t="inlineStr">
        <is>
          <t>COP LIAISON LLINERGY VERS TETE 6</t>
        </is>
      </c>
      <c r="G5260" t="inlineStr">
        <is>
          <t>GVX</t>
        </is>
      </c>
      <c r="H5260" t="inlineStr">
        <is>
          <t>IO</t>
        </is>
      </c>
      <c r="J5260" t="inlineStr">
        <is>
          <t>MATRION</t>
        </is>
      </c>
      <c r="K5260" t="inlineStr">
        <is>
          <t>CUIVRE</t>
        </is>
      </c>
      <c r="L5260">
        <f>_xlfn.XLOOKUP(Tableau1[[#This Row],[TYPE DE PIECE]],Tableau4[MATIERE],Tableau4[SHORT TYPE],"",0,1)</f>
        <v/>
      </c>
      <c r="N5260">
        <f>IF(ISERR(FIND("DECOUPE",Tableau1[[#This Row],[DESIGNATION]])),"","NEED REF")</f>
        <v/>
      </c>
    </row>
    <row r="5261">
      <c r="B5261" t="n">
        <v>34408745</v>
      </c>
      <c r="C5261" s="2" t="n">
        <v>44055</v>
      </c>
      <c r="D5261" t="inlineStr">
        <is>
          <t>SPEC</t>
        </is>
      </c>
      <c r="E5261" t="inlineStr">
        <is>
          <t>COP LIAISON LLINERGY VERS TETE 5</t>
        </is>
      </c>
      <c r="G5261" t="inlineStr">
        <is>
          <t>GVX</t>
        </is>
      </c>
      <c r="H5261" t="inlineStr">
        <is>
          <t>IO</t>
        </is>
      </c>
      <c r="J5261" t="inlineStr">
        <is>
          <t>MATRION</t>
        </is>
      </c>
      <c r="K5261" t="inlineStr">
        <is>
          <t>CUIVRE</t>
        </is>
      </c>
      <c r="L5261">
        <f>_xlfn.XLOOKUP(Tableau1[[#This Row],[TYPE DE PIECE]],Tableau4[MATIERE],Tableau4[SHORT TYPE],"",0,1)</f>
        <v/>
      </c>
      <c r="N5261">
        <f>IF(ISERR(FIND("DECOUPE",Tableau1[[#This Row],[DESIGNATION]])),"","NEED REF")</f>
        <v/>
      </c>
    </row>
    <row r="5262">
      <c r="B5262" t="n">
        <v>34408744</v>
      </c>
      <c r="C5262" s="2" t="n">
        <v>44055</v>
      </c>
      <c r="D5262" t="inlineStr">
        <is>
          <t>SPEC</t>
        </is>
      </c>
      <c r="E5262" t="inlineStr">
        <is>
          <t>COP LIAISON LLINERGY VERS TETE 4</t>
        </is>
      </c>
      <c r="G5262" t="inlineStr">
        <is>
          <t>GVX</t>
        </is>
      </c>
      <c r="H5262" t="inlineStr">
        <is>
          <t>IO</t>
        </is>
      </c>
      <c r="J5262" t="inlineStr">
        <is>
          <t>MATRION</t>
        </is>
      </c>
      <c r="K5262" t="inlineStr">
        <is>
          <t>CUIVRE</t>
        </is>
      </c>
      <c r="L5262">
        <f>_xlfn.XLOOKUP(Tableau1[[#This Row],[TYPE DE PIECE]],Tableau4[MATIERE],Tableau4[SHORT TYPE],"",0,1)</f>
        <v/>
      </c>
      <c r="N5262">
        <f>IF(ISERR(FIND("DECOUPE",Tableau1[[#This Row],[DESIGNATION]])),"","NEED REF")</f>
        <v/>
      </c>
    </row>
    <row r="5263">
      <c r="B5263" t="n">
        <v>34408743</v>
      </c>
      <c r="C5263" s="2" t="n">
        <v>44055</v>
      </c>
      <c r="D5263" t="inlineStr">
        <is>
          <t>SPEC</t>
        </is>
      </c>
      <c r="E5263" t="inlineStr">
        <is>
          <t>COP LIAISON LLINERGY VERS TETE 3</t>
        </is>
      </c>
      <c r="G5263" t="inlineStr">
        <is>
          <t>GVX</t>
        </is>
      </c>
      <c r="H5263" t="inlineStr">
        <is>
          <t>IO</t>
        </is>
      </c>
      <c r="J5263" t="inlineStr">
        <is>
          <t>MATRION</t>
        </is>
      </c>
      <c r="K5263" t="inlineStr">
        <is>
          <t>CUIVRE</t>
        </is>
      </c>
      <c r="L5263">
        <f>_xlfn.XLOOKUP(Tableau1[[#This Row],[TYPE DE PIECE]],Tableau4[MATIERE],Tableau4[SHORT TYPE],"",0,1)</f>
        <v/>
      </c>
      <c r="N5263">
        <f>IF(ISERR(FIND("DECOUPE",Tableau1[[#This Row],[DESIGNATION]])),"","NEED REF")</f>
        <v/>
      </c>
    </row>
    <row r="5264">
      <c r="B5264" t="n">
        <v>34408742</v>
      </c>
      <c r="C5264" s="2" t="n">
        <v>44055</v>
      </c>
      <c r="D5264" t="inlineStr">
        <is>
          <t>SPEC</t>
        </is>
      </c>
      <c r="E5264" t="inlineStr">
        <is>
          <t>COP LIAISON LLINERGY VERS TETE 2</t>
        </is>
      </c>
      <c r="G5264" t="inlineStr">
        <is>
          <t>GVX</t>
        </is>
      </c>
      <c r="H5264" t="inlineStr">
        <is>
          <t>IO</t>
        </is>
      </c>
      <c r="J5264" t="inlineStr">
        <is>
          <t>MATRION</t>
        </is>
      </c>
      <c r="K5264" t="inlineStr">
        <is>
          <t>CUIVRE</t>
        </is>
      </c>
      <c r="L5264">
        <f>_xlfn.XLOOKUP(Tableau1[[#This Row],[TYPE DE PIECE]],Tableau4[MATIERE],Tableau4[SHORT TYPE],"",0,1)</f>
        <v/>
      </c>
      <c r="N5264">
        <f>IF(ISERR(FIND("DECOUPE",Tableau1[[#This Row],[DESIGNATION]])),"","NEED REF")</f>
        <v/>
      </c>
    </row>
    <row r="5265">
      <c r="B5265" t="n">
        <v>34408741</v>
      </c>
      <c r="C5265" s="2" t="n">
        <v>44055</v>
      </c>
      <c r="D5265" t="inlineStr">
        <is>
          <t>SPEC</t>
        </is>
      </c>
      <c r="E5265" t="inlineStr">
        <is>
          <t>COP LIAISON LLINERGY VERS TETE 1</t>
        </is>
      </c>
      <c r="F5265" t="inlineStr">
        <is>
          <t>c034961610</t>
        </is>
      </c>
      <c r="G5265" t="inlineStr">
        <is>
          <t>GVX</t>
        </is>
      </c>
      <c r="H5265" t="inlineStr">
        <is>
          <t>IO</t>
        </is>
      </c>
      <c r="J5265" t="inlineStr">
        <is>
          <t>MATRION</t>
        </is>
      </c>
      <c r="K5265" t="inlineStr">
        <is>
          <t>CUIVRE</t>
        </is>
      </c>
      <c r="L5265">
        <f>_xlfn.XLOOKUP(Tableau1[[#This Row],[TYPE DE PIECE]],Tableau4[MATIERE],Tableau4[SHORT TYPE],"",0,1)</f>
        <v/>
      </c>
      <c r="N5265">
        <f>IF(ISERR(FIND("DECOUPE",Tableau1[[#This Row],[DESIGNATION]])),"","NEED REF")</f>
        <v/>
      </c>
    </row>
    <row r="5266">
      <c r="B5266" t="n">
        <v>34408740</v>
      </c>
      <c r="C5266" s="2" t="n">
        <v>44055</v>
      </c>
      <c r="D5266" t="inlineStr">
        <is>
          <t>SPEC</t>
        </is>
      </c>
      <c r="E5266" t="inlineStr">
        <is>
          <t>COP PE 3</t>
        </is>
      </c>
      <c r="G5266" t="inlineStr">
        <is>
          <t>GVX</t>
        </is>
      </c>
      <c r="H5266" t="inlineStr">
        <is>
          <t>IO</t>
        </is>
      </c>
      <c r="J5266" t="inlineStr">
        <is>
          <t>MATRION</t>
        </is>
      </c>
      <c r="K5266" t="inlineStr">
        <is>
          <t>CUIVRE</t>
        </is>
      </c>
      <c r="L5266">
        <f>_xlfn.XLOOKUP(Tableau1[[#This Row],[TYPE DE PIECE]],Tableau4[MATIERE],Tableau4[SHORT TYPE],"",0,1)</f>
        <v/>
      </c>
      <c r="N5266">
        <f>IF(ISERR(FIND("DECOUPE",Tableau1[[#This Row],[DESIGNATION]])),"","NEED REF")</f>
        <v/>
      </c>
    </row>
    <row r="5267">
      <c r="B5267" t="n">
        <v>34408739</v>
      </c>
      <c r="C5267" s="2" t="n">
        <v>44055</v>
      </c>
      <c r="D5267" t="inlineStr">
        <is>
          <t>SPEC</t>
        </is>
      </c>
      <c r="E5267" t="inlineStr">
        <is>
          <t>COP PE 2</t>
        </is>
      </c>
      <c r="G5267" t="inlineStr">
        <is>
          <t>GVX</t>
        </is>
      </c>
      <c r="H5267" t="inlineStr">
        <is>
          <t>IO</t>
        </is>
      </c>
      <c r="J5267" t="inlineStr">
        <is>
          <t>MATRION</t>
        </is>
      </c>
      <c r="K5267" t="inlineStr">
        <is>
          <t>CUIVRE</t>
        </is>
      </c>
      <c r="L5267">
        <f>_xlfn.XLOOKUP(Tableau1[[#This Row],[TYPE DE PIECE]],Tableau4[MATIERE],Tableau4[SHORT TYPE],"",0,1)</f>
        <v/>
      </c>
      <c r="N5267">
        <f>IF(ISERR(FIND("DECOUPE",Tableau1[[#This Row],[DESIGNATION]])),"","NEED REF")</f>
        <v/>
      </c>
    </row>
    <row r="5268">
      <c r="B5268" t="n">
        <v>34408738</v>
      </c>
      <c r="C5268" s="2" t="n">
        <v>44055</v>
      </c>
      <c r="D5268" t="inlineStr">
        <is>
          <t>SPEC</t>
        </is>
      </c>
      <c r="E5268" t="inlineStr">
        <is>
          <t>COP PE 1</t>
        </is>
      </c>
      <c r="G5268" t="inlineStr">
        <is>
          <t>GVX</t>
        </is>
      </c>
      <c r="H5268" t="inlineStr">
        <is>
          <t>IO</t>
        </is>
      </c>
      <c r="J5268" t="inlineStr">
        <is>
          <t>MATRION</t>
        </is>
      </c>
      <c r="K5268" t="inlineStr">
        <is>
          <t>CUIVRE</t>
        </is>
      </c>
      <c r="L5268">
        <f>_xlfn.XLOOKUP(Tableau1[[#This Row],[TYPE DE PIECE]],Tableau4[MATIERE],Tableau4[SHORT TYPE],"",0,1)</f>
        <v/>
      </c>
      <c r="N5268">
        <f>IF(ISERR(FIND("DECOUPE",Tableau1[[#This Row],[DESIGNATION]])),"","NEED REF")</f>
        <v/>
      </c>
    </row>
    <row r="5269">
      <c r="B5269" t="n">
        <v>34408737</v>
      </c>
      <c r="C5269" s="2" t="n">
        <v>44053</v>
      </c>
      <c r="D5269" t="inlineStr">
        <is>
          <t>SPEC</t>
        </is>
      </c>
      <c r="E5269" t="inlineStr">
        <is>
          <t>COP NEUTRE NON COUPE 4</t>
        </is>
      </c>
      <c r="F5269" t="inlineStr">
        <is>
          <t>STS1250</t>
        </is>
      </c>
      <c r="G5269" t="inlineStr">
        <is>
          <t>GVE</t>
        </is>
      </c>
      <c r="H5269" t="inlineStr">
        <is>
          <t>STS</t>
        </is>
      </c>
      <c r="J5269" t="inlineStr">
        <is>
          <t>MATRION</t>
        </is>
      </c>
      <c r="K5269" t="inlineStr">
        <is>
          <t>CUIVRE</t>
        </is>
      </c>
      <c r="L5269">
        <f>_xlfn.XLOOKUP(Tableau1[[#This Row],[TYPE DE PIECE]],Tableau4[MATIERE],Tableau4[SHORT TYPE],"",0,1)</f>
        <v/>
      </c>
      <c r="N5269">
        <f>IF(ISERR(FIND("DECOUPE",Tableau1[[#This Row],[DESIGNATION]])),"","NEED REF")</f>
        <v/>
      </c>
    </row>
    <row r="5270">
      <c r="B5270" t="n">
        <v>34408736</v>
      </c>
      <c r="C5270" s="2" t="n">
        <v>44053</v>
      </c>
      <c r="D5270" t="inlineStr">
        <is>
          <t>SPEC</t>
        </is>
      </c>
      <c r="E5270" t="inlineStr">
        <is>
          <t>SE BUSBAR STS1250A NEUTRE NON COUPE</t>
        </is>
      </c>
      <c r="F5270" t="inlineStr">
        <is>
          <t>STS1250</t>
        </is>
      </c>
      <c r="G5270" t="inlineStr">
        <is>
          <t>GVE</t>
        </is>
      </c>
      <c r="H5270" t="inlineStr">
        <is>
          <t>STS</t>
        </is>
      </c>
      <c r="J5270" t="inlineStr">
        <is>
          <t>MATRION</t>
        </is>
      </c>
      <c r="L5270">
        <f>_xlfn.XLOOKUP(Tableau1[[#This Row],[TYPE DE PIECE]],Tableau4[MATIERE],Tableau4[SHORT TYPE],"",0,1)</f>
        <v/>
      </c>
      <c r="N5270">
        <f>IF(ISERR(FIND("DECOUPE",Tableau1[[#This Row],[DESIGNATION]])),"","NEED REF")</f>
        <v/>
      </c>
    </row>
    <row r="5271">
      <c r="B5271" t="n">
        <v>34408735</v>
      </c>
      <c r="C5271" s="2" t="n">
        <v>44053</v>
      </c>
      <c r="D5271" t="inlineStr">
        <is>
          <t>SPEC</t>
        </is>
      </c>
      <c r="E5271" t="inlineStr">
        <is>
          <t>COP NEUTRE NON COUPE 3</t>
        </is>
      </c>
      <c r="F5271" t="inlineStr">
        <is>
          <t>STS1250</t>
        </is>
      </c>
      <c r="G5271" t="inlineStr">
        <is>
          <t>GVE</t>
        </is>
      </c>
      <c r="H5271" t="inlineStr">
        <is>
          <t>STS</t>
        </is>
      </c>
      <c r="J5271" t="inlineStr">
        <is>
          <t>MATRION</t>
        </is>
      </c>
      <c r="K5271" t="inlineStr">
        <is>
          <t>CUIVRE</t>
        </is>
      </c>
      <c r="L5271">
        <f>_xlfn.XLOOKUP(Tableau1[[#This Row],[TYPE DE PIECE]],Tableau4[MATIERE],Tableau4[SHORT TYPE],"",0,1)</f>
        <v/>
      </c>
      <c r="N5271">
        <f>IF(ISERR(FIND("DECOUPE",Tableau1[[#This Row],[DESIGNATION]])),"","NEED REF")</f>
        <v/>
      </c>
    </row>
    <row r="5272">
      <c r="B5272" t="n">
        <v>34408734</v>
      </c>
      <c r="C5272" s="2" t="n">
        <v>44053</v>
      </c>
      <c r="D5272" t="inlineStr">
        <is>
          <t>SPEC</t>
        </is>
      </c>
      <c r="E5272" t="inlineStr">
        <is>
          <t>COP NEUTRE NON COUPE 3</t>
        </is>
      </c>
      <c r="F5272" t="inlineStr">
        <is>
          <t>STS1250</t>
        </is>
      </c>
      <c r="G5272" t="inlineStr">
        <is>
          <t>GVE</t>
        </is>
      </c>
      <c r="H5272" t="inlineStr">
        <is>
          <t>STS</t>
        </is>
      </c>
      <c r="J5272" t="inlineStr">
        <is>
          <t>MATRION</t>
        </is>
      </c>
      <c r="K5272" t="inlineStr">
        <is>
          <t>CUIVRE</t>
        </is>
      </c>
      <c r="L5272">
        <f>_xlfn.XLOOKUP(Tableau1[[#This Row],[TYPE DE PIECE]],Tableau4[MATIERE],Tableau4[SHORT TYPE],"",0,1)</f>
        <v/>
      </c>
      <c r="N5272">
        <f>IF(ISERR(FIND("DECOUPE",Tableau1[[#This Row],[DESIGNATION]])),"","NEED REF")</f>
        <v/>
      </c>
    </row>
    <row r="5273">
      <c r="B5273" t="n">
        <v>34408733</v>
      </c>
      <c r="C5273" s="2" t="n">
        <v>44053</v>
      </c>
      <c r="D5273" t="inlineStr">
        <is>
          <t>SPEC</t>
        </is>
      </c>
      <c r="E5273" t="inlineStr">
        <is>
          <t>COP NEUTRE NON COUPE 2</t>
        </is>
      </c>
      <c r="F5273" t="inlineStr">
        <is>
          <t>STS1250</t>
        </is>
      </c>
      <c r="G5273" t="inlineStr">
        <is>
          <t>GVE</t>
        </is>
      </c>
      <c r="H5273" t="inlineStr">
        <is>
          <t>STS</t>
        </is>
      </c>
      <c r="J5273" t="inlineStr">
        <is>
          <t>MATRION</t>
        </is>
      </c>
      <c r="K5273" t="inlineStr">
        <is>
          <t>CUIVRE</t>
        </is>
      </c>
      <c r="L5273">
        <f>_xlfn.XLOOKUP(Tableau1[[#This Row],[TYPE DE PIECE]],Tableau4[MATIERE],Tableau4[SHORT TYPE],"",0,1)</f>
        <v/>
      </c>
      <c r="N5273">
        <f>IF(ISERR(FIND("DECOUPE",Tableau1[[#This Row],[DESIGNATION]])),"","NEED REF")</f>
        <v/>
      </c>
    </row>
    <row r="5274">
      <c r="B5274" t="n">
        <v>34408732</v>
      </c>
      <c r="C5274" s="2" t="n">
        <v>44053</v>
      </c>
      <c r="D5274" t="inlineStr">
        <is>
          <t>SPEC</t>
        </is>
      </c>
      <c r="E5274" t="inlineStr">
        <is>
          <t>COP NEUTRE NON COUPE 1</t>
        </is>
      </c>
      <c r="F5274" t="inlineStr">
        <is>
          <t>STS1250</t>
        </is>
      </c>
      <c r="G5274" t="inlineStr">
        <is>
          <t>GVE</t>
        </is>
      </c>
      <c r="H5274" t="inlineStr">
        <is>
          <t>STS</t>
        </is>
      </c>
      <c r="J5274" t="inlineStr">
        <is>
          <t>MATRION</t>
        </is>
      </c>
      <c r="K5274" t="inlineStr">
        <is>
          <t>CUIVRE</t>
        </is>
      </c>
      <c r="L5274">
        <f>_xlfn.XLOOKUP(Tableau1[[#This Row],[TYPE DE PIECE]],Tableau4[MATIERE],Tableau4[SHORT TYPE],"",0,1)</f>
        <v/>
      </c>
      <c r="N5274">
        <f>IF(ISERR(FIND("DECOUPE",Tableau1[[#This Row],[DESIGNATION]])),"","NEED REF")</f>
        <v/>
      </c>
    </row>
    <row r="5275">
      <c r="B5275" t="n">
        <v>34408731</v>
      </c>
      <c r="C5275" s="2" t="n">
        <v>44053</v>
      </c>
      <c r="D5275" t="inlineStr">
        <is>
          <t>SPEC</t>
        </is>
      </c>
      <c r="E5275" t="inlineStr">
        <is>
          <t>SE BYPASS STS1250A NEUTRE NON COUPE</t>
        </is>
      </c>
      <c r="F5275" t="inlineStr">
        <is>
          <t>STS1250</t>
        </is>
      </c>
      <c r="G5275" t="inlineStr">
        <is>
          <t>GVE</t>
        </is>
      </c>
      <c r="H5275" t="inlineStr">
        <is>
          <t>STS</t>
        </is>
      </c>
      <c r="J5275" t="inlineStr">
        <is>
          <t>MATRION</t>
        </is>
      </c>
      <c r="L5275">
        <f>_xlfn.XLOOKUP(Tableau1[[#This Row],[TYPE DE PIECE]],Tableau4[MATIERE],Tableau4[SHORT TYPE],"",0,1)</f>
        <v/>
      </c>
      <c r="N5275">
        <f>IF(ISERR(FIND("DECOUPE",Tableau1[[#This Row],[DESIGNATION]])),"","NEED REF")</f>
        <v/>
      </c>
    </row>
    <row r="5276">
      <c r="B5276" t="n">
        <v>34408730</v>
      </c>
      <c r="C5276" s="2" t="n">
        <v>44050</v>
      </c>
      <c r="D5276" t="inlineStr">
        <is>
          <t>SPEC</t>
        </is>
      </c>
      <c r="E5276" t="inlineStr">
        <is>
          <t>SMT PLASTRON 3</t>
        </is>
      </c>
      <c r="G5276" t="inlineStr">
        <is>
          <t>E3S</t>
        </is>
      </c>
      <c r="H5276" t="inlineStr">
        <is>
          <t>BACKFEED</t>
        </is>
      </c>
      <c r="J5276" t="inlineStr">
        <is>
          <t>MATRION</t>
        </is>
      </c>
      <c r="K5276" t="inlineStr">
        <is>
          <t>METAL</t>
        </is>
      </c>
      <c r="L5276">
        <f>_xlfn.XLOOKUP(Tableau1[[#This Row],[TYPE DE PIECE]],Tableau4[MATIERE],Tableau4[SHORT TYPE],"",0,1)</f>
        <v/>
      </c>
      <c r="N5276">
        <f>IF(ISERR(FIND("DECOUPE",Tableau1[[#This Row],[DESIGNATION]])),"","NEED REF")</f>
        <v/>
      </c>
    </row>
    <row r="5277">
      <c r="B5277" t="n">
        <v>34408729</v>
      </c>
      <c r="C5277" s="2" t="n">
        <v>44050</v>
      </c>
      <c r="D5277" t="inlineStr">
        <is>
          <t>SPEC</t>
        </is>
      </c>
      <c r="E5277" t="inlineStr">
        <is>
          <t>SMT SUPPORT DJ 4</t>
        </is>
      </c>
      <c r="G5277" t="inlineStr">
        <is>
          <t>E3S</t>
        </is>
      </c>
      <c r="H5277" t="inlineStr">
        <is>
          <t>BACKFEED</t>
        </is>
      </c>
      <c r="J5277" t="inlineStr">
        <is>
          <t>MATRION</t>
        </is>
      </c>
      <c r="K5277" t="inlineStr">
        <is>
          <t>METAL</t>
        </is>
      </c>
      <c r="L5277">
        <f>_xlfn.XLOOKUP(Tableau1[[#This Row],[TYPE DE PIECE]],Tableau4[MATIERE],Tableau4[SHORT TYPE],"",0,1)</f>
        <v/>
      </c>
      <c r="N5277">
        <f>IF(ISERR(FIND("DECOUPE",Tableau1[[#This Row],[DESIGNATION]])),"","NEED REF")</f>
        <v/>
      </c>
    </row>
    <row r="5278">
      <c r="B5278" t="n">
        <v>34408728</v>
      </c>
      <c r="C5278" s="2" t="n">
        <v>44050</v>
      </c>
      <c r="D5278" t="inlineStr">
        <is>
          <t>SPEC</t>
        </is>
      </c>
      <c r="E5278" t="inlineStr">
        <is>
          <t>SMT SUPPORT DJ 3</t>
        </is>
      </c>
      <c r="G5278" t="inlineStr">
        <is>
          <t>E3S</t>
        </is>
      </c>
      <c r="H5278" t="inlineStr">
        <is>
          <t>BACKFEED</t>
        </is>
      </c>
      <c r="J5278" t="inlineStr">
        <is>
          <t>MATRION</t>
        </is>
      </c>
      <c r="K5278" t="inlineStr">
        <is>
          <t>METAL</t>
        </is>
      </c>
      <c r="L5278">
        <f>_xlfn.XLOOKUP(Tableau1[[#This Row],[TYPE DE PIECE]],Tableau4[MATIERE],Tableau4[SHORT TYPE],"",0,1)</f>
        <v/>
      </c>
      <c r="N5278">
        <f>IF(ISERR(FIND("DECOUPE",Tableau1[[#This Row],[DESIGNATION]])),"","NEED REF")</f>
        <v/>
      </c>
    </row>
    <row r="5279">
      <c r="B5279" t="n">
        <v>34408727</v>
      </c>
      <c r="C5279" s="2" t="n">
        <v>44050</v>
      </c>
      <c r="D5279" t="inlineStr">
        <is>
          <t>SPEC</t>
        </is>
      </c>
      <c r="E5279" t="inlineStr">
        <is>
          <t>SMT SUPPORT PLASTRON 03</t>
        </is>
      </c>
      <c r="G5279" t="inlineStr">
        <is>
          <t>E3S</t>
        </is>
      </c>
      <c r="H5279" t="inlineStr">
        <is>
          <t>BACKFEED</t>
        </is>
      </c>
      <c r="J5279" t="inlineStr">
        <is>
          <t>MATRION</t>
        </is>
      </c>
      <c r="K5279" t="inlineStr">
        <is>
          <t>METAL</t>
        </is>
      </c>
      <c r="L5279">
        <f>_xlfn.XLOOKUP(Tableau1[[#This Row],[TYPE DE PIECE]],Tableau4[MATIERE],Tableau4[SHORT TYPE],"",0,1)</f>
        <v/>
      </c>
      <c r="N5279">
        <f>IF(ISERR(FIND("DECOUPE",Tableau1[[#This Row],[DESIGNATION]])),"","NEED REF")</f>
        <v/>
      </c>
    </row>
    <row r="5280">
      <c r="B5280" t="n">
        <v>34408726</v>
      </c>
      <c r="C5280" s="2" t="n">
        <v>44050</v>
      </c>
      <c r="D5280" t="inlineStr">
        <is>
          <t>SPEC</t>
        </is>
      </c>
      <c r="E5280" t="inlineStr">
        <is>
          <t>SMT PLATINE DE FOND</t>
        </is>
      </c>
      <c r="G5280" t="inlineStr">
        <is>
          <t>E3S</t>
        </is>
      </c>
      <c r="H5280" t="inlineStr">
        <is>
          <t>BACKFEED</t>
        </is>
      </c>
      <c r="J5280" t="inlineStr">
        <is>
          <t>MATRION</t>
        </is>
      </c>
      <c r="K5280" t="inlineStr">
        <is>
          <t>METAL</t>
        </is>
      </c>
      <c r="L5280">
        <f>_xlfn.XLOOKUP(Tableau1[[#This Row],[TYPE DE PIECE]],Tableau4[MATIERE],Tableau4[SHORT TYPE],"",0,1)</f>
        <v/>
      </c>
      <c r="N5280">
        <f>IF(ISERR(FIND("DECOUPE",Tableau1[[#This Row],[DESIGNATION]])),"","NEED REF")</f>
        <v/>
      </c>
    </row>
    <row r="5281">
      <c r="B5281" t="n">
        <v>34408725</v>
      </c>
      <c r="C5281" s="2" t="n">
        <v>44049</v>
      </c>
      <c r="D5281" t="inlineStr">
        <is>
          <t>SPEC</t>
        </is>
      </c>
      <c r="E5281" t="inlineStr">
        <is>
          <t xml:space="preserve">CABLE PUISSANCE UPS BATTERIE </t>
        </is>
      </c>
      <c r="F5281" t="inlineStr">
        <is>
          <t>PHILIPS HAEALTHCARE</t>
        </is>
      </c>
      <c r="J5281" t="inlineStr">
        <is>
          <t>REVEL</t>
        </is>
      </c>
      <c r="K5281" t="inlineStr">
        <is>
          <t>Filerie</t>
        </is>
      </c>
      <c r="L5281">
        <f>_xlfn.XLOOKUP(Tableau1[[#This Row],[TYPE DE PIECE]],Tableau4[MATIERE],Tableau4[SHORT TYPE],"",0,1)</f>
        <v/>
      </c>
      <c r="N5281">
        <f>IF(ISERR(FIND("DECOUPE",Tableau1[[#This Row],[DESIGNATION]])),"","NEED REF")</f>
        <v/>
      </c>
    </row>
    <row r="5282">
      <c r="B5282" t="n">
        <v>34408724</v>
      </c>
      <c r="C5282" s="2" t="n">
        <v>44047</v>
      </c>
      <c r="D5282" t="inlineStr">
        <is>
          <t>SPEC</t>
        </is>
      </c>
      <c r="E5282" t="inlineStr">
        <is>
          <t>GRILLE_630x280</t>
        </is>
      </c>
      <c r="F5282" t="inlineStr">
        <is>
          <t>SAFEHOST</t>
        </is>
      </c>
      <c r="J5282" t="inlineStr">
        <is>
          <t>MASCELLINO</t>
        </is>
      </c>
      <c r="K5282" t="inlineStr">
        <is>
          <t>METAL</t>
        </is>
      </c>
      <c r="L5282">
        <f>_xlfn.XLOOKUP(Tableau1[[#This Row],[TYPE DE PIECE]],Tableau4[MATIERE],Tableau4[SHORT TYPE],"",0,1)</f>
        <v/>
      </c>
      <c r="N5282">
        <f>IF(ISERR(FIND("DECOUPE",Tableau1[[#This Row],[DESIGNATION]])),"","NEED REF")</f>
        <v/>
      </c>
    </row>
    <row r="5283">
      <c r="B5283" t="n">
        <v>34408723</v>
      </c>
      <c r="C5283" s="2" t="n">
        <v>44047</v>
      </c>
      <c r="D5283" t="inlineStr">
        <is>
          <t>SPEC</t>
        </is>
      </c>
      <c r="E5283" t="inlineStr">
        <is>
          <t>CALE_GRILLE</t>
        </is>
      </c>
      <c r="F5283" t="inlineStr">
        <is>
          <t>SAFEHOST</t>
        </is>
      </c>
      <c r="J5283" t="inlineStr">
        <is>
          <t>MASCELLINO</t>
        </is>
      </c>
      <c r="K5283" t="inlineStr">
        <is>
          <t>METAL</t>
        </is>
      </c>
      <c r="L5283">
        <f>_xlfn.XLOOKUP(Tableau1[[#This Row],[TYPE DE PIECE]],Tableau4[MATIERE],Tableau4[SHORT TYPE],"",0,1)</f>
        <v/>
      </c>
      <c r="N5283">
        <f>IF(ISERR(FIND("DECOUPE",Tableau1[[#This Row],[DESIGNATION]])),"","NEED REF")</f>
        <v/>
      </c>
    </row>
    <row r="5284">
      <c r="B5284" t="n">
        <v>34408722</v>
      </c>
      <c r="C5284" s="2" t="n">
        <v>44047</v>
      </c>
      <c r="D5284" t="inlineStr">
        <is>
          <t>SPEC</t>
        </is>
      </c>
      <c r="E5284" t="inlineStr">
        <is>
          <t>RENFORT SEGREGATION 2</t>
        </is>
      </c>
      <c r="F5284" t="inlineStr">
        <is>
          <t>STS1250</t>
        </is>
      </c>
      <c r="G5284" t="inlineStr">
        <is>
          <t>GVE</t>
        </is>
      </c>
      <c r="H5284" t="inlineStr">
        <is>
          <t>STS</t>
        </is>
      </c>
      <c r="J5284" t="inlineStr">
        <is>
          <t>MATRION</t>
        </is>
      </c>
      <c r="K5284" t="inlineStr">
        <is>
          <t>METAL</t>
        </is>
      </c>
      <c r="L5284">
        <f>_xlfn.XLOOKUP(Tableau1[[#This Row],[TYPE DE PIECE]],Tableau4[MATIERE],Tableau4[SHORT TYPE],"",0,1)</f>
        <v/>
      </c>
      <c r="N5284">
        <f>IF(ISERR(FIND("DECOUPE",Tableau1[[#This Row],[DESIGNATION]])),"","NEED REF")</f>
        <v/>
      </c>
    </row>
    <row r="5285">
      <c r="B5285" t="n">
        <v>34408721</v>
      </c>
      <c r="C5285" s="2" t="n">
        <v>44047</v>
      </c>
      <c r="D5285" t="inlineStr">
        <is>
          <t>SPEC</t>
        </is>
      </c>
      <c r="E5285" t="inlineStr">
        <is>
          <t>RENFORT SEGREGATION 1</t>
        </is>
      </c>
      <c r="F5285" t="inlineStr">
        <is>
          <t>STS1250</t>
        </is>
      </c>
      <c r="G5285" t="inlineStr">
        <is>
          <t>GVE</t>
        </is>
      </c>
      <c r="H5285" t="inlineStr">
        <is>
          <t>STS</t>
        </is>
      </c>
      <c r="J5285" t="inlineStr">
        <is>
          <t>MATRION</t>
        </is>
      </c>
      <c r="K5285" t="inlineStr">
        <is>
          <t>METAL</t>
        </is>
      </c>
      <c r="L5285">
        <f>_xlfn.XLOOKUP(Tableau1[[#This Row],[TYPE DE PIECE]],Tableau4[MATIERE],Tableau4[SHORT TYPE],"",0,1)</f>
        <v/>
      </c>
      <c r="N5285">
        <f>IF(ISERR(FIND("DECOUPE",Tableau1[[#This Row],[DESIGNATION]])),"","NEED REF")</f>
        <v/>
      </c>
    </row>
    <row r="5286">
      <c r="B5286" t="n">
        <v>34408720</v>
      </c>
      <c r="C5286" s="2" t="n">
        <v>44046</v>
      </c>
      <c r="D5286" t="inlineStr">
        <is>
          <t>SPEC</t>
        </is>
      </c>
      <c r="E5286" t="inlineStr">
        <is>
          <t>grille_R25T35_664x32</t>
        </is>
      </c>
      <c r="J5286" t="inlineStr">
        <is>
          <t>MASCELLINO</t>
        </is>
      </c>
      <c r="K5286" t="inlineStr">
        <is>
          <t>METAL</t>
        </is>
      </c>
      <c r="L5286">
        <f>_xlfn.XLOOKUP(Tableau1[[#This Row],[TYPE DE PIECE]],Tableau4[MATIERE],Tableau4[SHORT TYPE],"",0,1)</f>
        <v/>
      </c>
      <c r="N5286">
        <f>IF(ISERR(FIND("DECOUPE",Tableau1[[#This Row],[DESIGNATION]])),"","NEED REF")</f>
        <v/>
      </c>
    </row>
    <row r="5287">
      <c r="B5287" t="n">
        <v>34408719</v>
      </c>
      <c r="C5287" s="2" t="n">
        <v>44046</v>
      </c>
      <c r="D5287" t="inlineStr">
        <is>
          <t>SPEC</t>
        </is>
      </c>
      <c r="E5287" t="inlineStr">
        <is>
          <t>grille_R25T35_443x34</t>
        </is>
      </c>
      <c r="J5287" t="inlineStr">
        <is>
          <t>MASCELLINO</t>
        </is>
      </c>
      <c r="K5287" t="inlineStr">
        <is>
          <t>METAL</t>
        </is>
      </c>
      <c r="L5287">
        <f>_xlfn.XLOOKUP(Tableau1[[#This Row],[TYPE DE PIECE]],Tableau4[MATIERE],Tableau4[SHORT TYPE],"",0,1)</f>
        <v/>
      </c>
      <c r="N5287">
        <f>IF(ISERR(FIND("DECOUPE",Tableau1[[#This Row],[DESIGNATION]])),"","NEED REF")</f>
        <v/>
      </c>
    </row>
    <row r="5288">
      <c r="B5288" t="n">
        <v>34408718</v>
      </c>
      <c r="C5288" s="2" t="n">
        <v>44046</v>
      </c>
      <c r="D5288" t="inlineStr">
        <is>
          <t>SPEC</t>
        </is>
      </c>
      <c r="E5288" t="inlineStr">
        <is>
          <t>grille_R25T35_660x34</t>
        </is>
      </c>
      <c r="J5288" t="inlineStr">
        <is>
          <t>MASCELLINO</t>
        </is>
      </c>
      <c r="K5288" t="inlineStr">
        <is>
          <t>METAL</t>
        </is>
      </c>
      <c r="L5288">
        <f>_xlfn.XLOOKUP(Tableau1[[#This Row],[TYPE DE PIECE]],Tableau4[MATIERE],Tableau4[SHORT TYPE],"",0,1)</f>
        <v/>
      </c>
      <c r="N5288">
        <f>IF(ISERR(FIND("DECOUPE",Tableau1[[#This Row],[DESIGNATION]])),"","NEED REF")</f>
        <v/>
      </c>
    </row>
    <row r="5289">
      <c r="B5289" t="n">
        <v>34408717</v>
      </c>
      <c r="C5289" s="2" t="n">
        <v>44046</v>
      </c>
      <c r="D5289" t="inlineStr">
        <is>
          <t>SPEC</t>
        </is>
      </c>
      <c r="E5289" t="inlineStr">
        <is>
          <t>grille_R25T35_510x36</t>
        </is>
      </c>
      <c r="J5289" t="inlineStr">
        <is>
          <t>MASCELLINO</t>
        </is>
      </c>
      <c r="K5289" t="inlineStr">
        <is>
          <t>METAL</t>
        </is>
      </c>
      <c r="L5289">
        <f>_xlfn.XLOOKUP(Tableau1[[#This Row],[TYPE DE PIECE]],Tableau4[MATIERE],Tableau4[SHORT TYPE],"",0,1)</f>
        <v/>
      </c>
      <c r="N5289">
        <f>IF(ISERR(FIND("DECOUPE",Tableau1[[#This Row],[DESIGNATION]])),"","NEED REF")</f>
        <v/>
      </c>
    </row>
    <row r="5290">
      <c r="B5290" t="n">
        <v>34408716</v>
      </c>
      <c r="C5290" s="2" t="n">
        <v>44042</v>
      </c>
      <c r="D5290" t="inlineStr">
        <is>
          <t>SPEC</t>
        </is>
      </c>
      <c r="E5290" t="inlineStr">
        <is>
          <t>SM LEFT TOP VENT BD</t>
        </is>
      </c>
      <c r="F5290" t="inlineStr">
        <is>
          <t>SAFEHOST</t>
        </is>
      </c>
      <c r="J5290" t="inlineStr">
        <is>
          <t>MASCELLINO</t>
        </is>
      </c>
      <c r="K5290" t="inlineStr">
        <is>
          <t>METAL</t>
        </is>
      </c>
      <c r="L5290">
        <f>_xlfn.XLOOKUP(Tableau1[[#This Row],[TYPE DE PIECE]],Tableau4[MATIERE],Tableau4[SHORT TYPE],"",0,1)</f>
        <v/>
      </c>
      <c r="N5290">
        <f>IF(ISERR(FIND("DECOUPE",Tableau1[[#This Row],[DESIGNATION]])),"","NEED REF")</f>
        <v/>
      </c>
    </row>
    <row r="5291">
      <c r="B5291" t="n">
        <v>34408715</v>
      </c>
      <c r="C5291" s="2" t="n">
        <v>44042</v>
      </c>
      <c r="D5291" t="inlineStr">
        <is>
          <t>SPEC</t>
        </is>
      </c>
      <c r="E5291" t="inlineStr">
        <is>
          <t>GRILLE VENTILO</t>
        </is>
      </c>
      <c r="F5291" t="inlineStr">
        <is>
          <t>SAFEHOST</t>
        </is>
      </c>
      <c r="J5291" t="inlineStr">
        <is>
          <t>MASCELLINO</t>
        </is>
      </c>
      <c r="K5291" t="inlineStr">
        <is>
          <t>METAL</t>
        </is>
      </c>
      <c r="L5291">
        <f>_xlfn.XLOOKUP(Tableau1[[#This Row],[TYPE DE PIECE]],Tableau4[MATIERE],Tableau4[SHORT TYPE],"",0,1)</f>
        <v/>
      </c>
      <c r="N5291">
        <f>IF(ISERR(FIND("DECOUPE",Tableau1[[#This Row],[DESIGNATION]])),"","NEED REF")</f>
        <v/>
      </c>
    </row>
    <row r="5292">
      <c r="B5292" t="n">
        <v>34408714</v>
      </c>
      <c r="C5292" s="2" t="n">
        <v>44042</v>
      </c>
      <c r="D5292" t="inlineStr">
        <is>
          <t>SPEC</t>
        </is>
      </c>
      <c r="E5292" t="inlineStr">
        <is>
          <t>PANNEAU TOIT PERFORE</t>
        </is>
      </c>
      <c r="F5292" t="inlineStr">
        <is>
          <t>SAFEHOST</t>
        </is>
      </c>
      <c r="J5292" t="inlineStr">
        <is>
          <t>MASCELLINO</t>
        </is>
      </c>
      <c r="K5292" t="inlineStr">
        <is>
          <t>METAL</t>
        </is>
      </c>
      <c r="L5292">
        <f>_xlfn.XLOOKUP(Tableau1[[#This Row],[TYPE DE PIECE]],Tableau4[MATIERE],Tableau4[SHORT TYPE],"",0,1)</f>
        <v/>
      </c>
      <c r="N5292">
        <f>IF(ISERR(FIND("DECOUPE",Tableau1[[#This Row],[DESIGNATION]])),"","NEED REF")</f>
        <v/>
      </c>
    </row>
    <row r="5293">
      <c r="B5293" t="n">
        <v>34408713</v>
      </c>
      <c r="C5293" s="2" t="n">
        <v>44042</v>
      </c>
      <c r="D5293" t="inlineStr">
        <is>
          <t>SPEC</t>
        </is>
      </c>
      <c r="E5293" t="inlineStr">
        <is>
          <t>ANGLE TOIT PERFORE</t>
        </is>
      </c>
      <c r="F5293" t="inlineStr">
        <is>
          <t>SAFEHOST</t>
        </is>
      </c>
      <c r="J5293" t="inlineStr">
        <is>
          <t>MASCELLINO</t>
        </is>
      </c>
      <c r="K5293" t="inlineStr">
        <is>
          <t>METAL</t>
        </is>
      </c>
      <c r="L5293">
        <f>_xlfn.XLOOKUP(Tableau1[[#This Row],[TYPE DE PIECE]],Tableau4[MATIERE],Tableau4[SHORT TYPE],"",0,1)</f>
        <v/>
      </c>
      <c r="N5293">
        <f>IF(ISERR(FIND("DECOUPE",Tableau1[[#This Row],[DESIGNATION]])),"","NEED REF")</f>
        <v/>
      </c>
    </row>
    <row r="5294">
      <c r="B5294" t="n">
        <v>34408712</v>
      </c>
      <c r="C5294" s="2" t="n">
        <v>44042</v>
      </c>
      <c r="D5294" t="inlineStr">
        <is>
          <t>SPEC</t>
        </is>
      </c>
      <c r="E5294" t="inlineStr">
        <is>
          <t>ASSEMBLAGE UPS 30kJA NETSHELTER AR3344</t>
        </is>
      </c>
      <c r="F5294" t="inlineStr">
        <is>
          <t>EASY UPS NETSHELTER / SAUDI ARABIA</t>
        </is>
      </c>
      <c r="G5294" t="inlineStr">
        <is>
          <t>E3S</t>
        </is>
      </c>
      <c r="H5294" t="inlineStr">
        <is>
          <t>AUX</t>
        </is>
      </c>
      <c r="J5294" t="inlineStr">
        <is>
          <t>PILLON</t>
        </is>
      </c>
      <c r="K5294" t="inlineStr">
        <is>
          <t>METAL</t>
        </is>
      </c>
      <c r="L5294">
        <f>_xlfn.XLOOKUP(Tableau1[[#This Row],[TYPE DE PIECE]],Tableau4[MATIERE],Tableau4[SHORT TYPE],"",0,1)</f>
        <v/>
      </c>
      <c r="N5294">
        <f>IF(ISERR(FIND("DECOUPE",Tableau1[[#This Row],[DESIGNATION]])),"","NEED REF")</f>
        <v/>
      </c>
    </row>
    <row r="5295">
      <c r="B5295" t="n">
        <v>34408711</v>
      </c>
      <c r="C5295" s="2" t="n">
        <v>44042</v>
      </c>
      <c r="D5295" t="inlineStr">
        <is>
          <t>SPEC</t>
        </is>
      </c>
      <c r="E5295" t="inlineStr">
        <is>
          <t>ASSEMBLAGE TRAVERSE SUPPORT UPS NETSHELTER AR3345</t>
        </is>
      </c>
      <c r="F5295" t="inlineStr">
        <is>
          <t>EASY UPS NETSHELTER / SAUDI ARABIA</t>
        </is>
      </c>
      <c r="G5295" t="inlineStr">
        <is>
          <t>E3S</t>
        </is>
      </c>
      <c r="H5295" t="inlineStr">
        <is>
          <t>AUX</t>
        </is>
      </c>
      <c r="J5295" t="inlineStr">
        <is>
          <t>PILLON</t>
        </is>
      </c>
      <c r="K5295" t="inlineStr">
        <is>
          <t>METAL</t>
        </is>
      </c>
      <c r="L5295">
        <f>_xlfn.XLOOKUP(Tableau1[[#This Row],[TYPE DE PIECE]],Tableau4[MATIERE],Tableau4[SHORT TYPE],"",0,1)</f>
        <v/>
      </c>
      <c r="N5295">
        <f>IF(ISERR(FIND("DECOUPE",Tableau1[[#This Row],[DESIGNATION]])),"","NEED REF")</f>
        <v/>
      </c>
    </row>
    <row r="5296">
      <c r="B5296" t="n">
        <v>34408710</v>
      </c>
      <c r="C5296" s="2" t="n">
        <v>44042</v>
      </c>
      <c r="D5296" t="inlineStr">
        <is>
          <t>SPEC</t>
        </is>
      </c>
      <c r="E5296" t="inlineStr">
        <is>
          <t>ASSEMBLAGE CHASSIS UPS NETSHELTER AR3346</t>
        </is>
      </c>
      <c r="F5296" t="inlineStr">
        <is>
          <t>EASY UPS NETSHELTER / SAUDI ARABIA</t>
        </is>
      </c>
      <c r="G5296" t="inlineStr">
        <is>
          <t>E3S</t>
        </is>
      </c>
      <c r="H5296" t="inlineStr">
        <is>
          <t>AUX</t>
        </is>
      </c>
      <c r="J5296" t="inlineStr">
        <is>
          <t>PILLON</t>
        </is>
      </c>
      <c r="K5296" t="inlineStr">
        <is>
          <t>METAL</t>
        </is>
      </c>
      <c r="L5296">
        <f>_xlfn.XLOOKUP(Tableau1[[#This Row],[TYPE DE PIECE]],Tableau4[MATIERE],Tableau4[SHORT TYPE],"",0,1)</f>
        <v/>
      </c>
      <c r="N5296">
        <f>IF(ISERR(FIND("DECOUPE",Tableau1[[#This Row],[DESIGNATION]])),"","NEED REF")</f>
        <v/>
      </c>
    </row>
    <row r="5297">
      <c r="B5297" t="n">
        <v>34408709</v>
      </c>
      <c r="C5297" s="2" t="n">
        <v>44042</v>
      </c>
      <c r="D5297" t="inlineStr">
        <is>
          <t>SPEC</t>
        </is>
      </c>
      <c r="E5297" t="inlineStr">
        <is>
          <t>EQUERRE RAMPE UPS NETSHELTER AR3347</t>
        </is>
      </c>
      <c r="F5297" t="inlineStr">
        <is>
          <t>EASY UPS NETSHELTER / SAUDI ARABIA</t>
        </is>
      </c>
      <c r="G5297" t="inlineStr">
        <is>
          <t>E3S</t>
        </is>
      </c>
      <c r="H5297" t="inlineStr">
        <is>
          <t>AUX</t>
        </is>
      </c>
      <c r="J5297" t="inlineStr">
        <is>
          <t>PILLON</t>
        </is>
      </c>
      <c r="K5297" t="inlineStr">
        <is>
          <t>METAL</t>
        </is>
      </c>
      <c r="L5297">
        <f>_xlfn.XLOOKUP(Tableau1[[#This Row],[TYPE DE PIECE]],Tableau4[MATIERE],Tableau4[SHORT TYPE],"",0,1)</f>
        <v/>
      </c>
      <c r="N5297">
        <f>IF(ISERR(FIND("DECOUPE",Tableau1[[#This Row],[DESIGNATION]])),"","NEED REF")</f>
        <v/>
      </c>
    </row>
    <row r="5298">
      <c r="B5298" t="n">
        <v>34408708</v>
      </c>
      <c r="C5298" s="2" t="n">
        <v>44042</v>
      </c>
      <c r="D5298" t="inlineStr">
        <is>
          <t>SPEC</t>
        </is>
      </c>
      <c r="E5298" t="inlineStr">
        <is>
          <t>TRAVERSE SUPPORT UPS NETSHELTER AR3348</t>
        </is>
      </c>
      <c r="F5298" t="inlineStr">
        <is>
          <t>EASY UPS NETSHELTER / SAUDI ARABIA</t>
        </is>
      </c>
      <c r="G5298" t="inlineStr">
        <is>
          <t>E3S</t>
        </is>
      </c>
      <c r="H5298" t="inlineStr">
        <is>
          <t>AUX</t>
        </is>
      </c>
      <c r="J5298" t="inlineStr">
        <is>
          <t>PILLON</t>
        </is>
      </c>
      <c r="K5298" t="inlineStr">
        <is>
          <t>METAL</t>
        </is>
      </c>
      <c r="L5298">
        <f>_xlfn.XLOOKUP(Tableau1[[#This Row],[TYPE DE PIECE]],Tableau4[MATIERE],Tableau4[SHORT TYPE],"",0,1)</f>
        <v/>
      </c>
      <c r="N5298">
        <f>IF(ISERR(FIND("DECOUPE",Tableau1[[#This Row],[DESIGNATION]])),"","NEED REF")</f>
        <v/>
      </c>
    </row>
    <row r="5299">
      <c r="B5299" t="n">
        <v>34408707</v>
      </c>
      <c r="C5299" s="2" t="n">
        <v>44042</v>
      </c>
      <c r="D5299" t="inlineStr">
        <is>
          <t>SPEC</t>
        </is>
      </c>
      <c r="E5299" t="inlineStr">
        <is>
          <t>TRAVERSE CHASSIS NETSHELTER AR3349</t>
        </is>
      </c>
      <c r="F5299" t="inlineStr">
        <is>
          <t>EASY UPS NETSHELTER / SAUDI ARABIA</t>
        </is>
      </c>
      <c r="G5299" t="inlineStr">
        <is>
          <t>E3S</t>
        </is>
      </c>
      <c r="H5299" t="inlineStr">
        <is>
          <t>AUX</t>
        </is>
      </c>
      <c r="J5299" t="inlineStr">
        <is>
          <t>PILLON</t>
        </is>
      </c>
      <c r="K5299" t="inlineStr">
        <is>
          <t>METAL</t>
        </is>
      </c>
      <c r="L5299">
        <f>_xlfn.XLOOKUP(Tableau1[[#This Row],[TYPE DE PIECE]],Tableau4[MATIERE],Tableau4[SHORT TYPE],"",0,1)</f>
        <v/>
      </c>
      <c r="N5299">
        <f>IF(ISERR(FIND("DECOUPE",Tableau1[[#This Row],[DESIGNATION]])),"","NEED REF")</f>
        <v/>
      </c>
    </row>
    <row r="5300">
      <c r="B5300" t="n">
        <v>34408706</v>
      </c>
      <c r="C5300" s="2" t="n">
        <v>44042</v>
      </c>
      <c r="D5300" t="inlineStr">
        <is>
          <t>SPEC</t>
        </is>
      </c>
      <c r="E5300" t="inlineStr">
        <is>
          <t>PLATINE APPUI CHASSIS NETSHELTER AR3350</t>
        </is>
      </c>
      <c r="F5300" t="inlineStr">
        <is>
          <t>EASY UPS NETSHELTER / SAUDI ARABIA</t>
        </is>
      </c>
      <c r="G5300" t="inlineStr">
        <is>
          <t>E3S</t>
        </is>
      </c>
      <c r="H5300" t="inlineStr">
        <is>
          <t>AUX</t>
        </is>
      </c>
      <c r="J5300" t="inlineStr">
        <is>
          <t>PILLON</t>
        </is>
      </c>
      <c r="K5300" t="inlineStr">
        <is>
          <t>METAL</t>
        </is>
      </c>
      <c r="L5300">
        <f>_xlfn.XLOOKUP(Tableau1[[#This Row],[TYPE DE PIECE]],Tableau4[MATIERE],Tableau4[SHORT TYPE],"",0,1)</f>
        <v/>
      </c>
      <c r="N5300">
        <f>IF(ISERR(FIND("DECOUPE",Tableau1[[#This Row],[DESIGNATION]])),"","NEED REF")</f>
        <v/>
      </c>
    </row>
    <row r="5301">
      <c r="B5301" t="n">
        <v>34408705</v>
      </c>
      <c r="C5301" s="2" t="n">
        <v>44042</v>
      </c>
      <c r="D5301" t="inlineStr">
        <is>
          <t>SPEC</t>
        </is>
      </c>
      <c r="E5301" t="inlineStr">
        <is>
          <t xml:space="preserve">Cable DMR296473 </t>
        </is>
      </c>
      <c r="F5301" t="inlineStr">
        <is>
          <t>PHILIPS HAEALTHCARE</t>
        </is>
      </c>
      <c r="H5301" t="inlineStr">
        <is>
          <t>UPS</t>
        </is>
      </c>
      <c r="J5301" t="inlineStr">
        <is>
          <t>REVEL</t>
        </is>
      </c>
      <c r="K5301" t="inlineStr">
        <is>
          <t>Filerie</t>
        </is>
      </c>
      <c r="L5301">
        <f>_xlfn.XLOOKUP(Tableau1[[#This Row],[TYPE DE PIECE]],Tableau4[MATIERE],Tableau4[SHORT TYPE],"",0,1)</f>
        <v/>
      </c>
      <c r="N5301">
        <f>IF(ISERR(FIND("DECOUPE",Tableau1[[#This Row],[DESIGNATION]])),"","NEED REF")</f>
        <v/>
      </c>
    </row>
    <row r="5302">
      <c r="B5302" t="n">
        <v>34408704</v>
      </c>
      <c r="C5302" s="2" t="n">
        <v>44042</v>
      </c>
      <c r="D5302" t="inlineStr">
        <is>
          <t>SPEC</t>
        </is>
      </c>
      <c r="E5302" t="inlineStr">
        <is>
          <t>Cable DHF363311 Azurion</t>
        </is>
      </c>
      <c r="F5302" t="inlineStr">
        <is>
          <t>PHILIPS HAEALTHCARE</t>
        </is>
      </c>
      <c r="H5302" t="inlineStr">
        <is>
          <t>UPS</t>
        </is>
      </c>
      <c r="J5302" t="inlineStr">
        <is>
          <t>REVEL</t>
        </is>
      </c>
      <c r="K5302" t="inlineStr">
        <is>
          <t>Filerie</t>
        </is>
      </c>
      <c r="L5302">
        <f>_xlfn.XLOOKUP(Tableau1[[#This Row],[TYPE DE PIECE]],Tableau4[MATIERE],Tableau4[SHORT TYPE],"",0,1)</f>
        <v/>
      </c>
      <c r="N5302">
        <f>IF(ISERR(FIND("DECOUPE",Tableau1[[#This Row],[DESIGNATION]])),"","NEED REF")</f>
        <v/>
      </c>
    </row>
    <row r="5303">
      <c r="B5303" t="n">
        <v>34408703</v>
      </c>
      <c r="C5303" s="2" t="n">
        <v>44041</v>
      </c>
      <c r="D5303" t="inlineStr">
        <is>
          <t>SPEC</t>
        </is>
      </c>
      <c r="E5303" t="inlineStr">
        <is>
          <t>TOIT PERFORE</t>
        </is>
      </c>
      <c r="F5303" t="inlineStr">
        <is>
          <t>SAFEHOST</t>
        </is>
      </c>
      <c r="J5303" t="inlineStr">
        <is>
          <t>MASCELLINO</t>
        </is>
      </c>
      <c r="L5303">
        <f>_xlfn.XLOOKUP(Tableau1[[#This Row],[TYPE DE PIECE]],Tableau4[MATIERE],Tableau4[SHORT TYPE],"",0,1)</f>
        <v/>
      </c>
      <c r="N5303">
        <f>IF(ISERR(FIND("DECOUPE",Tableau1[[#This Row],[DESIGNATION]])),"","NEED REF")</f>
        <v/>
      </c>
    </row>
    <row r="5304">
      <c r="B5304" t="n">
        <v>34408702</v>
      </c>
      <c r="C5304" s="2" t="n">
        <v>44039</v>
      </c>
      <c r="D5304" t="inlineStr">
        <is>
          <t>SPEC</t>
        </is>
      </c>
      <c r="J5304" t="inlineStr">
        <is>
          <t>PLANTIER</t>
        </is>
      </c>
      <c r="L5304">
        <f>_xlfn.XLOOKUP(Tableau1[[#This Row],[TYPE DE PIECE]],Tableau4[MATIERE],Tableau4[SHORT TYPE],"",0,1)</f>
        <v/>
      </c>
      <c r="N5304">
        <f>IF(ISERR(FIND("DECOUPE",Tableau1[[#This Row],[DESIGNATION]])),"","NEED REF")</f>
        <v/>
      </c>
    </row>
    <row r="5305">
      <c r="B5305" t="n">
        <v>34408701</v>
      </c>
      <c r="C5305" s="2" t="n">
        <v>44039</v>
      </c>
      <c r="D5305" t="inlineStr">
        <is>
          <t>SPEC</t>
        </is>
      </c>
      <c r="E5305" t="inlineStr">
        <is>
          <t>SUPPORT PASSE FILS CLIENT</t>
        </is>
      </c>
      <c r="F5305" t="inlineStr">
        <is>
          <t>STS1250</t>
        </is>
      </c>
      <c r="G5305" t="inlineStr">
        <is>
          <t>GVE</t>
        </is>
      </c>
      <c r="H5305" t="inlineStr">
        <is>
          <t>STS</t>
        </is>
      </c>
      <c r="J5305" t="inlineStr">
        <is>
          <t>MATRION</t>
        </is>
      </c>
      <c r="K5305" t="inlineStr">
        <is>
          <t>PLASTIQUE</t>
        </is>
      </c>
      <c r="L5305">
        <f>_xlfn.XLOOKUP(Tableau1[[#This Row],[TYPE DE PIECE]],Tableau4[MATIERE],Tableau4[SHORT TYPE],"",0,1)</f>
        <v/>
      </c>
      <c r="N5305">
        <f>IF(ISERR(FIND("DECOUPE",Tableau1[[#This Row],[DESIGNATION]])),"","NEED REF")</f>
        <v/>
      </c>
    </row>
    <row r="5306">
      <c r="B5306" t="n">
        <v>34408700</v>
      </c>
      <c r="C5306" s="2" t="n">
        <v>44039</v>
      </c>
      <c r="D5306" t="inlineStr">
        <is>
          <t>SPEC</t>
        </is>
      </c>
      <c r="E5306" t="inlineStr">
        <is>
          <t>TORON MODULE ELEC MODULE BY PASS</t>
        </is>
      </c>
      <c r="F5306" t="inlineStr">
        <is>
          <t>STS1250</t>
        </is>
      </c>
      <c r="G5306" t="inlineStr">
        <is>
          <t>GVE</t>
        </is>
      </c>
      <c r="H5306" t="inlineStr">
        <is>
          <t>STS</t>
        </is>
      </c>
      <c r="J5306" t="inlineStr">
        <is>
          <t>REVEL</t>
        </is>
      </c>
      <c r="K5306" t="inlineStr">
        <is>
          <t>FILERIE</t>
        </is>
      </c>
      <c r="L5306">
        <f>_xlfn.XLOOKUP(Tableau1[[#This Row],[TYPE DE PIECE]],Tableau4[MATIERE],Tableau4[SHORT TYPE],"",0,1)</f>
        <v/>
      </c>
      <c r="N5306">
        <f>IF(ISERR(FIND("DECOUPE",Tableau1[[#This Row],[DESIGNATION]])),"","NEED REF")</f>
        <v/>
      </c>
    </row>
    <row r="5307">
      <c r="B5307" t="n">
        <v>34408699</v>
      </c>
      <c r="C5307" s="2" t="n">
        <v>44039</v>
      </c>
      <c r="D5307" t="inlineStr">
        <is>
          <t>SPEC</t>
        </is>
      </c>
      <c r="E5307" t="inlineStr">
        <is>
          <t>SUPPORT NAPE PORTE AFFICHEUR</t>
        </is>
      </c>
      <c r="F5307" t="inlineStr">
        <is>
          <t>STS1250</t>
        </is>
      </c>
      <c r="G5307" t="inlineStr">
        <is>
          <t>GVE</t>
        </is>
      </c>
      <c r="H5307" t="inlineStr">
        <is>
          <t>STS</t>
        </is>
      </c>
      <c r="J5307" t="inlineStr">
        <is>
          <t>MATRION</t>
        </is>
      </c>
      <c r="K5307" t="inlineStr">
        <is>
          <t>METAL</t>
        </is>
      </c>
      <c r="L5307">
        <f>_xlfn.XLOOKUP(Tableau1[[#This Row],[TYPE DE PIECE]],Tableau4[MATIERE],Tableau4[SHORT TYPE],"",0,1)</f>
        <v/>
      </c>
      <c r="N5307">
        <f>IF(ISERR(FIND("DECOUPE",Tableau1[[#This Row],[DESIGNATION]])),"","NEED REF")</f>
        <v/>
      </c>
    </row>
    <row r="5308">
      <c r="B5308" t="n">
        <v>34408698</v>
      </c>
      <c r="C5308" s="2" t="n">
        <v>44036</v>
      </c>
      <c r="D5308" t="inlineStr">
        <is>
          <t>SPEC</t>
        </is>
      </c>
      <c r="E5308" t="inlineStr">
        <is>
          <t>Toron ALME DROE</t>
        </is>
      </c>
      <c r="F5308" t="inlineStr">
        <is>
          <t>STS1250</t>
        </is>
      </c>
      <c r="G5308" t="inlineStr">
        <is>
          <t>GVE</t>
        </is>
      </c>
      <c r="H5308" t="inlineStr">
        <is>
          <t>STS</t>
        </is>
      </c>
      <c r="J5308" t="inlineStr">
        <is>
          <t>REVEL</t>
        </is>
      </c>
      <c r="K5308" t="inlineStr">
        <is>
          <t>FILERIE</t>
        </is>
      </c>
      <c r="L5308">
        <f>_xlfn.XLOOKUP(Tableau1[[#This Row],[TYPE DE PIECE]],Tableau4[MATIERE],Tableau4[SHORT TYPE],"",0,1)</f>
        <v/>
      </c>
      <c r="N5308">
        <f>IF(ISERR(FIND("DECOUPE",Tableau1[[#This Row],[DESIGNATION]])),"","NEED REF")</f>
        <v/>
      </c>
    </row>
    <row r="5309">
      <c r="B5309" t="n">
        <v>34408697</v>
      </c>
      <c r="C5309" s="2" t="n">
        <v>44035</v>
      </c>
      <c r="D5309" t="inlineStr">
        <is>
          <t>SPEC</t>
        </is>
      </c>
      <c r="F5309" t="inlineStr">
        <is>
          <t>1000KVA</t>
        </is>
      </c>
      <c r="G5309" t="inlineStr">
        <is>
          <t>GVX</t>
        </is>
      </c>
      <c r="H5309" t="inlineStr">
        <is>
          <t>IO</t>
        </is>
      </c>
      <c r="J5309" t="inlineStr">
        <is>
          <t>MATRION</t>
        </is>
      </c>
      <c r="K5309" t="inlineStr">
        <is>
          <t>CUIVRE</t>
        </is>
      </c>
      <c r="L5309">
        <f>_xlfn.XLOOKUP(Tableau1[[#This Row],[TYPE DE PIECE]],Tableau4[MATIERE],Tableau4[SHORT TYPE],"",0,1)</f>
        <v/>
      </c>
      <c r="N5309">
        <f>IF(ISERR(FIND("DECOUPE",Tableau1[[#This Row],[DESIGNATION]])),"","NEED REF")</f>
        <v/>
      </c>
    </row>
    <row r="5310">
      <c r="B5310" t="n">
        <v>34408696</v>
      </c>
      <c r="C5310" s="2" t="n">
        <v>44035</v>
      </c>
      <c r="D5310" t="inlineStr">
        <is>
          <t>SPEC</t>
        </is>
      </c>
      <c r="F5310" t="inlineStr">
        <is>
          <t>1000KVA</t>
        </is>
      </c>
      <c r="G5310" t="inlineStr">
        <is>
          <t>GVX</t>
        </is>
      </c>
      <c r="H5310" t="inlineStr">
        <is>
          <t>IO</t>
        </is>
      </c>
      <c r="J5310" t="inlineStr">
        <is>
          <t>MATRION</t>
        </is>
      </c>
      <c r="K5310" t="inlineStr">
        <is>
          <t>CUIVRE</t>
        </is>
      </c>
      <c r="L5310">
        <f>_xlfn.XLOOKUP(Tableau1[[#This Row],[TYPE DE PIECE]],Tableau4[MATIERE],Tableau4[SHORT TYPE],"",0,1)</f>
        <v/>
      </c>
      <c r="N5310">
        <f>IF(ISERR(FIND("DECOUPE",Tableau1[[#This Row],[DESIGNATION]])),"","NEED REF")</f>
        <v/>
      </c>
    </row>
    <row r="5311">
      <c r="B5311" t="n">
        <v>34408695</v>
      </c>
      <c r="C5311" s="2" t="n">
        <v>44035</v>
      </c>
      <c r="D5311" t="inlineStr">
        <is>
          <t>SPEC</t>
        </is>
      </c>
      <c r="F5311" t="inlineStr">
        <is>
          <t>1000KVA</t>
        </is>
      </c>
      <c r="G5311" t="inlineStr">
        <is>
          <t>GVX</t>
        </is>
      </c>
      <c r="H5311" t="inlineStr">
        <is>
          <t>IO</t>
        </is>
      </c>
      <c r="J5311" t="inlineStr">
        <is>
          <t>MATRION</t>
        </is>
      </c>
      <c r="K5311" t="inlineStr">
        <is>
          <t>CUIVRE</t>
        </is>
      </c>
      <c r="L5311">
        <f>_xlfn.XLOOKUP(Tableau1[[#This Row],[TYPE DE PIECE]],Tableau4[MATIERE],Tableau4[SHORT TYPE],"",0,1)</f>
        <v/>
      </c>
      <c r="N5311">
        <f>IF(ISERR(FIND("DECOUPE",Tableau1[[#This Row],[DESIGNATION]])),"","NEED REF")</f>
        <v/>
      </c>
    </row>
    <row r="5312">
      <c r="B5312" t="n">
        <v>34408694</v>
      </c>
      <c r="C5312" s="2" t="n">
        <v>44035</v>
      </c>
      <c r="D5312" t="inlineStr">
        <is>
          <t>SPEC</t>
        </is>
      </c>
      <c r="F5312" t="inlineStr">
        <is>
          <t>1000KVA</t>
        </is>
      </c>
      <c r="G5312" t="inlineStr">
        <is>
          <t>GVX</t>
        </is>
      </c>
      <c r="H5312" t="inlineStr">
        <is>
          <t>IO</t>
        </is>
      </c>
      <c r="J5312" t="inlineStr">
        <is>
          <t>MATRION</t>
        </is>
      </c>
      <c r="K5312" t="inlineStr">
        <is>
          <t>CUIVRE</t>
        </is>
      </c>
      <c r="L5312">
        <f>_xlfn.XLOOKUP(Tableau1[[#This Row],[TYPE DE PIECE]],Tableau4[MATIERE],Tableau4[SHORT TYPE],"",0,1)</f>
        <v/>
      </c>
      <c r="N5312">
        <f>IF(ISERR(FIND("DECOUPE",Tableau1[[#This Row],[DESIGNATION]])),"","NEED REF")</f>
        <v/>
      </c>
    </row>
    <row r="5313">
      <c r="B5313" t="n">
        <v>34408693</v>
      </c>
      <c r="C5313" s="2" t="n">
        <v>44035</v>
      </c>
      <c r="D5313" t="inlineStr">
        <is>
          <t>SPEC</t>
        </is>
      </c>
      <c r="F5313" t="inlineStr">
        <is>
          <t>1000KVA</t>
        </is>
      </c>
      <c r="G5313" t="inlineStr">
        <is>
          <t>GVX</t>
        </is>
      </c>
      <c r="H5313" t="inlineStr">
        <is>
          <t>IO</t>
        </is>
      </c>
      <c r="J5313" t="inlineStr">
        <is>
          <t>MATRION</t>
        </is>
      </c>
      <c r="K5313" t="inlineStr">
        <is>
          <t>CUIVRE</t>
        </is>
      </c>
      <c r="L5313">
        <f>_xlfn.XLOOKUP(Tableau1[[#This Row],[TYPE DE PIECE]],Tableau4[MATIERE],Tableau4[SHORT TYPE],"",0,1)</f>
        <v/>
      </c>
      <c r="N5313">
        <f>IF(ISERR(FIND("DECOUPE",Tableau1[[#This Row],[DESIGNATION]])),"","NEED REF")</f>
        <v/>
      </c>
    </row>
    <row r="5314">
      <c r="B5314" t="n">
        <v>34408692</v>
      </c>
      <c r="C5314" s="2" t="n">
        <v>44035</v>
      </c>
      <c r="D5314" t="inlineStr">
        <is>
          <t>SPEC</t>
        </is>
      </c>
      <c r="E5314" t="inlineStr">
        <is>
          <t>COP UTIL 3</t>
        </is>
      </c>
      <c r="F5314" t="inlineStr">
        <is>
          <t>1000KVA</t>
        </is>
      </c>
      <c r="G5314" t="inlineStr">
        <is>
          <t>GVX</t>
        </is>
      </c>
      <c r="H5314" t="inlineStr">
        <is>
          <t>IO</t>
        </is>
      </c>
      <c r="J5314" t="inlineStr">
        <is>
          <t>MATRION</t>
        </is>
      </c>
      <c r="K5314" t="inlineStr">
        <is>
          <t>CUIVRE</t>
        </is>
      </c>
      <c r="L5314">
        <f>_xlfn.XLOOKUP(Tableau1[[#This Row],[TYPE DE PIECE]],Tableau4[MATIERE],Tableau4[SHORT TYPE],"",0,1)</f>
        <v/>
      </c>
      <c r="N5314">
        <f>IF(ISERR(FIND("DECOUPE",Tableau1[[#This Row],[DESIGNATION]])),"","NEED REF")</f>
        <v/>
      </c>
    </row>
    <row r="5315">
      <c r="B5315" t="n">
        <v>34408691</v>
      </c>
      <c r="C5315" s="2" t="n">
        <v>44035</v>
      </c>
      <c r="D5315" t="inlineStr">
        <is>
          <t>SPEC</t>
        </is>
      </c>
      <c r="E5315" t="inlineStr">
        <is>
          <t>COP UTIL 2</t>
        </is>
      </c>
      <c r="F5315" t="inlineStr">
        <is>
          <t>1000KVA</t>
        </is>
      </c>
      <c r="G5315" t="inlineStr">
        <is>
          <t>GVX</t>
        </is>
      </c>
      <c r="H5315" t="inlineStr">
        <is>
          <t>IO</t>
        </is>
      </c>
      <c r="J5315" t="inlineStr">
        <is>
          <t>MATRION</t>
        </is>
      </c>
      <c r="K5315" t="inlineStr">
        <is>
          <t>CUIVRE</t>
        </is>
      </c>
      <c r="L5315">
        <f>_xlfn.XLOOKUP(Tableau1[[#This Row],[TYPE DE PIECE]],Tableau4[MATIERE],Tableau4[SHORT TYPE],"",0,1)</f>
        <v/>
      </c>
      <c r="N5315">
        <f>IF(ISERR(FIND("DECOUPE",Tableau1[[#This Row],[DESIGNATION]])),"","NEED REF")</f>
        <v/>
      </c>
    </row>
    <row r="5316">
      <c r="B5316" t="n">
        <v>34408690</v>
      </c>
      <c r="C5316" s="2" t="n">
        <v>44035</v>
      </c>
      <c r="D5316" t="inlineStr">
        <is>
          <t>SPEC</t>
        </is>
      </c>
      <c r="E5316" t="inlineStr">
        <is>
          <t>COP UTIL 1</t>
        </is>
      </c>
      <c r="F5316" t="inlineStr">
        <is>
          <t>1000KVA</t>
        </is>
      </c>
      <c r="G5316" t="inlineStr">
        <is>
          <t>GVX</t>
        </is>
      </c>
      <c r="H5316" t="inlineStr">
        <is>
          <t>IO</t>
        </is>
      </c>
      <c r="J5316" t="inlineStr">
        <is>
          <t>MATRION</t>
        </is>
      </c>
      <c r="K5316" t="inlineStr">
        <is>
          <t>CUIVRE</t>
        </is>
      </c>
      <c r="L5316">
        <f>_xlfn.XLOOKUP(Tableau1[[#This Row],[TYPE DE PIECE]],Tableau4[MATIERE],Tableau4[SHORT TYPE],"",0,1)</f>
        <v/>
      </c>
      <c r="N5316">
        <f>IF(ISERR(FIND("DECOUPE",Tableau1[[#This Row],[DESIGNATION]])),"","NEED REF")</f>
        <v/>
      </c>
    </row>
    <row r="5317">
      <c r="B5317" t="n">
        <v>34408689</v>
      </c>
      <c r="C5317" s="2" t="n">
        <v>44035</v>
      </c>
      <c r="D5317" t="inlineStr">
        <is>
          <t>SPEC</t>
        </is>
      </c>
      <c r="E5317" t="inlineStr">
        <is>
          <t>COP MAINS1 4</t>
        </is>
      </c>
      <c r="F5317" t="inlineStr">
        <is>
          <t>1000KVA</t>
        </is>
      </c>
      <c r="G5317" t="inlineStr">
        <is>
          <t>GVX</t>
        </is>
      </c>
      <c r="H5317" t="inlineStr">
        <is>
          <t>IO</t>
        </is>
      </c>
      <c r="J5317" t="inlineStr">
        <is>
          <t>MATRION</t>
        </is>
      </c>
      <c r="K5317" t="inlineStr">
        <is>
          <t>CUIVRE</t>
        </is>
      </c>
      <c r="L5317">
        <f>_xlfn.XLOOKUP(Tableau1[[#This Row],[TYPE DE PIECE]],Tableau4[MATIERE],Tableau4[SHORT TYPE],"",0,1)</f>
        <v/>
      </c>
      <c r="N5317">
        <f>IF(ISERR(FIND("DECOUPE",Tableau1[[#This Row],[DESIGNATION]])),"","NEED REF")</f>
        <v/>
      </c>
    </row>
    <row r="5318">
      <c r="B5318" t="n">
        <v>34408688</v>
      </c>
      <c r="C5318" s="2" t="n">
        <v>44035</v>
      </c>
      <c r="D5318" t="inlineStr">
        <is>
          <t>SPEC</t>
        </is>
      </c>
      <c r="E5318" t="inlineStr">
        <is>
          <t>COP MAINS1 5</t>
        </is>
      </c>
      <c r="F5318" t="inlineStr">
        <is>
          <t>1000KVA</t>
        </is>
      </c>
      <c r="G5318" t="inlineStr">
        <is>
          <t>GVX</t>
        </is>
      </c>
      <c r="H5318" t="inlineStr">
        <is>
          <t>IO</t>
        </is>
      </c>
      <c r="J5318" t="inlineStr">
        <is>
          <t>MATRION</t>
        </is>
      </c>
      <c r="K5318" t="inlineStr">
        <is>
          <t>CUIVRE</t>
        </is>
      </c>
      <c r="L5318">
        <f>_xlfn.XLOOKUP(Tableau1[[#This Row],[TYPE DE PIECE]],Tableau4[MATIERE],Tableau4[SHORT TYPE],"",0,1)</f>
        <v/>
      </c>
      <c r="N5318">
        <f>IF(ISERR(FIND("DECOUPE",Tableau1[[#This Row],[DESIGNATION]])),"","NEED REF")</f>
        <v/>
      </c>
    </row>
    <row r="5319">
      <c r="B5319" t="n">
        <v>34408687</v>
      </c>
      <c r="C5319" s="2" t="n">
        <v>44035</v>
      </c>
      <c r="D5319" t="inlineStr">
        <is>
          <t>SPEC</t>
        </is>
      </c>
      <c r="E5319" t="inlineStr">
        <is>
          <t>COP MAINS1 4</t>
        </is>
      </c>
      <c r="F5319" t="inlineStr">
        <is>
          <t>1000KVA</t>
        </is>
      </c>
      <c r="G5319" t="inlineStr">
        <is>
          <t>GVX</t>
        </is>
      </c>
      <c r="H5319" t="inlineStr">
        <is>
          <t>IO</t>
        </is>
      </c>
      <c r="J5319" t="inlineStr">
        <is>
          <t>MATRION</t>
        </is>
      </c>
      <c r="K5319" t="inlineStr">
        <is>
          <t>CUIVRE</t>
        </is>
      </c>
      <c r="L5319">
        <f>_xlfn.XLOOKUP(Tableau1[[#This Row],[TYPE DE PIECE]],Tableau4[MATIERE],Tableau4[SHORT TYPE],"",0,1)</f>
        <v/>
      </c>
      <c r="N5319">
        <f>IF(ISERR(FIND("DECOUPE",Tableau1[[#This Row],[DESIGNATION]])),"","NEED REF")</f>
        <v/>
      </c>
    </row>
    <row r="5320">
      <c r="B5320" t="n">
        <v>34408686</v>
      </c>
      <c r="C5320" s="2" t="n">
        <v>44035</v>
      </c>
      <c r="D5320" t="inlineStr">
        <is>
          <t>SPEC</t>
        </is>
      </c>
      <c r="E5320" t="inlineStr">
        <is>
          <t>COP MAINS1 5</t>
        </is>
      </c>
      <c r="F5320" t="inlineStr">
        <is>
          <t>1000KVA</t>
        </is>
      </c>
      <c r="G5320" t="inlineStr">
        <is>
          <t>GVX</t>
        </is>
      </c>
      <c r="H5320" t="inlineStr">
        <is>
          <t>IO</t>
        </is>
      </c>
      <c r="J5320" t="inlineStr">
        <is>
          <t>MATRION</t>
        </is>
      </c>
      <c r="K5320" t="inlineStr">
        <is>
          <t>CUIVRE</t>
        </is>
      </c>
      <c r="L5320">
        <f>_xlfn.XLOOKUP(Tableau1[[#This Row],[TYPE DE PIECE]],Tableau4[MATIERE],Tableau4[SHORT TYPE],"",0,1)</f>
        <v/>
      </c>
      <c r="N5320">
        <f>IF(ISERR(FIND("DECOUPE",Tableau1[[#This Row],[DESIGNATION]])),"","NEED REF")</f>
        <v/>
      </c>
    </row>
    <row r="5321">
      <c r="B5321" t="n">
        <v>34408685</v>
      </c>
      <c r="C5321" s="2" t="n">
        <v>44035</v>
      </c>
      <c r="D5321" t="inlineStr">
        <is>
          <t>SPEC</t>
        </is>
      </c>
      <c r="E5321" t="inlineStr">
        <is>
          <t>COP MAINS1 4</t>
        </is>
      </c>
      <c r="F5321" t="inlineStr">
        <is>
          <t>1000KVA</t>
        </is>
      </c>
      <c r="G5321" t="inlineStr">
        <is>
          <t>GVX</t>
        </is>
      </c>
      <c r="H5321" t="inlineStr">
        <is>
          <t>IO</t>
        </is>
      </c>
      <c r="J5321" t="inlineStr">
        <is>
          <t>MATRION</t>
        </is>
      </c>
      <c r="K5321" t="inlineStr">
        <is>
          <t>CUIVRE</t>
        </is>
      </c>
      <c r="L5321">
        <f>_xlfn.XLOOKUP(Tableau1[[#This Row],[TYPE DE PIECE]],Tableau4[MATIERE],Tableau4[SHORT TYPE],"",0,1)</f>
        <v/>
      </c>
      <c r="N5321">
        <f>IF(ISERR(FIND("DECOUPE",Tableau1[[#This Row],[DESIGNATION]])),"","NEED REF")</f>
        <v/>
      </c>
    </row>
    <row r="5322">
      <c r="B5322" t="n">
        <v>34408684</v>
      </c>
      <c r="C5322" s="2" t="n">
        <v>44035</v>
      </c>
      <c r="D5322" t="inlineStr">
        <is>
          <t>SPEC</t>
        </is>
      </c>
      <c r="E5322" t="inlineStr">
        <is>
          <t>COP MAINS1 3</t>
        </is>
      </c>
      <c r="F5322" t="inlineStr">
        <is>
          <t>1000KVA</t>
        </is>
      </c>
      <c r="G5322" t="inlineStr">
        <is>
          <t>GVX</t>
        </is>
      </c>
      <c r="H5322" t="inlineStr">
        <is>
          <t>IO</t>
        </is>
      </c>
      <c r="J5322" t="inlineStr">
        <is>
          <t>MATRION</t>
        </is>
      </c>
      <c r="K5322" t="inlineStr">
        <is>
          <t>CUIVRE</t>
        </is>
      </c>
      <c r="L5322">
        <f>_xlfn.XLOOKUP(Tableau1[[#This Row],[TYPE DE PIECE]],Tableau4[MATIERE],Tableau4[SHORT TYPE],"",0,1)</f>
        <v/>
      </c>
      <c r="N5322">
        <f>IF(ISERR(FIND("DECOUPE",Tableau1[[#This Row],[DESIGNATION]])),"","NEED REF")</f>
        <v/>
      </c>
    </row>
    <row r="5323">
      <c r="B5323" t="n">
        <v>34408683</v>
      </c>
      <c r="C5323" s="2" t="n">
        <v>44035</v>
      </c>
      <c r="D5323" t="inlineStr">
        <is>
          <t>SPEC</t>
        </is>
      </c>
      <c r="E5323" t="inlineStr">
        <is>
          <t>COP MAINS1 2</t>
        </is>
      </c>
      <c r="F5323" t="inlineStr">
        <is>
          <t>1000KVA</t>
        </is>
      </c>
      <c r="G5323" t="inlineStr">
        <is>
          <t>GVX</t>
        </is>
      </c>
      <c r="H5323" t="inlineStr">
        <is>
          <t>IO</t>
        </is>
      </c>
      <c r="J5323" t="inlineStr">
        <is>
          <t>MATRION</t>
        </is>
      </c>
      <c r="K5323" t="inlineStr">
        <is>
          <t>CUIVRE</t>
        </is>
      </c>
      <c r="L5323">
        <f>_xlfn.XLOOKUP(Tableau1[[#This Row],[TYPE DE PIECE]],Tableau4[MATIERE],Tableau4[SHORT TYPE],"",0,1)</f>
        <v/>
      </c>
      <c r="N5323">
        <f>IF(ISERR(FIND("DECOUPE",Tableau1[[#This Row],[DESIGNATION]])),"","NEED REF")</f>
        <v/>
      </c>
    </row>
    <row r="5324">
      <c r="B5324" t="n">
        <v>34408682</v>
      </c>
      <c r="C5324" s="2" t="n">
        <v>44035</v>
      </c>
      <c r="D5324" t="inlineStr">
        <is>
          <t>SPEC</t>
        </is>
      </c>
      <c r="E5324" t="inlineStr">
        <is>
          <t>COP MAINS1 1</t>
        </is>
      </c>
      <c r="F5324" t="inlineStr">
        <is>
          <t>1000KVA</t>
        </is>
      </c>
      <c r="G5324" t="inlineStr">
        <is>
          <t>GVX</t>
        </is>
      </c>
      <c r="H5324" t="inlineStr">
        <is>
          <t>IO</t>
        </is>
      </c>
      <c r="J5324" t="inlineStr">
        <is>
          <t>MATRION</t>
        </is>
      </c>
      <c r="K5324" t="inlineStr">
        <is>
          <t>CUIVRE</t>
        </is>
      </c>
      <c r="L5324">
        <f>_xlfn.XLOOKUP(Tableau1[[#This Row],[TYPE DE PIECE]],Tableau4[MATIERE],Tableau4[SHORT TYPE],"",0,1)</f>
        <v/>
      </c>
      <c r="N5324">
        <f>IF(ISERR(FIND("DECOUPE",Tableau1[[#This Row],[DESIGNATION]])),"","NEED REF")</f>
        <v/>
      </c>
    </row>
    <row r="5325">
      <c r="B5325" t="n">
        <v>34408681</v>
      </c>
      <c r="C5325" s="2" t="n">
        <v>44034</v>
      </c>
      <c r="D5325" t="inlineStr">
        <is>
          <t>SPEC</t>
        </is>
      </c>
      <c r="E5325" t="inlineStr">
        <is>
          <t>EQUERRE BARRE PEN</t>
        </is>
      </c>
      <c r="F5325" t="inlineStr">
        <is>
          <t>IP00</t>
        </is>
      </c>
      <c r="J5325" t="inlineStr">
        <is>
          <t>MASCELLINO</t>
        </is>
      </c>
      <c r="K5325" t="inlineStr">
        <is>
          <t>METAL</t>
        </is>
      </c>
      <c r="L5325">
        <f>_xlfn.XLOOKUP(Tableau1[[#This Row],[TYPE DE PIECE]],Tableau4[MATIERE],Tableau4[SHORT TYPE],"",0,1)</f>
        <v/>
      </c>
      <c r="N5325">
        <f>IF(ISERR(FIND("DECOUPE",Tableau1[[#This Row],[DESIGNATION]])),"","NEED REF")</f>
        <v/>
      </c>
    </row>
    <row r="5326">
      <c r="B5326" t="n">
        <v>34408680</v>
      </c>
      <c r="C5326" s="2" t="n">
        <v>44034</v>
      </c>
      <c r="D5326" t="inlineStr">
        <is>
          <t>SPEC</t>
        </is>
      </c>
      <c r="E5326" t="inlineStr">
        <is>
          <t>JONCTION DE SURTOIT IP21 IO 1500 LEFT</t>
        </is>
      </c>
      <c r="G5326" t="inlineStr">
        <is>
          <t>GVX</t>
        </is>
      </c>
      <c r="J5326" t="inlineStr">
        <is>
          <t>JAWORSKI</t>
        </is>
      </c>
      <c r="K5326" t="inlineStr">
        <is>
          <t>METAL</t>
        </is>
      </c>
      <c r="L5326">
        <f>_xlfn.XLOOKUP(Tableau1[[#This Row],[TYPE DE PIECE]],Tableau4[MATIERE],Tableau4[SHORT TYPE],"",0,1)</f>
        <v/>
      </c>
      <c r="N5326">
        <f>IF(ISERR(FIND("DECOUPE",Tableau1[[#This Row],[DESIGNATION]])),"","NEED REF")</f>
        <v/>
      </c>
    </row>
    <row r="5327">
      <c r="B5327" t="n">
        <v>34408679</v>
      </c>
      <c r="C5327" s="2" t="n">
        <v>44034</v>
      </c>
      <c r="D5327" t="inlineStr">
        <is>
          <t>SPEC</t>
        </is>
      </c>
      <c r="E5327" t="inlineStr">
        <is>
          <t>PLAQUE ALU IP00</t>
        </is>
      </c>
      <c r="F5327" t="inlineStr">
        <is>
          <t>IP00</t>
        </is>
      </c>
      <c r="J5327" t="inlineStr">
        <is>
          <t>MASCELLINO</t>
        </is>
      </c>
      <c r="K5327" t="inlineStr">
        <is>
          <t>ALU</t>
        </is>
      </c>
      <c r="L5327">
        <f>_xlfn.XLOOKUP(Tableau1[[#This Row],[TYPE DE PIECE]],Tableau4[MATIERE],Tableau4[SHORT TYPE],"",0,1)</f>
        <v/>
      </c>
      <c r="N5327">
        <f>IF(ISERR(FIND("DECOUPE",Tableau1[[#This Row],[DESIGNATION]])),"","NEED REF")</f>
        <v/>
      </c>
    </row>
    <row r="5328">
      <c r="B5328" t="n">
        <v>34408678</v>
      </c>
      <c r="C5328" s="2" t="n">
        <v>44034</v>
      </c>
      <c r="D5328" t="inlineStr">
        <is>
          <t>SPEC</t>
        </is>
      </c>
      <c r="E5328" t="inlineStr">
        <is>
          <t>DECOUPE PORTE 2000X800</t>
        </is>
      </c>
      <c r="F5328" t="inlineStr">
        <is>
          <t>IP00</t>
        </is>
      </c>
      <c r="J5328" t="inlineStr">
        <is>
          <t>MASCELLINO</t>
        </is>
      </c>
      <c r="K5328" t="inlineStr">
        <is>
          <t>METAL</t>
        </is>
      </c>
      <c r="L5328">
        <f>_xlfn.XLOOKUP(Tableau1[[#This Row],[TYPE DE PIECE]],Tableau4[MATIERE],Tableau4[SHORT TYPE],"",0,1)</f>
        <v/>
      </c>
      <c r="N5328">
        <f>IF(ISERR(FIND("DECOUPE",Tableau1[[#This Row],[DESIGNATION]])),"","NEED REF")</f>
        <v/>
      </c>
    </row>
    <row r="5329">
      <c r="B5329" t="n">
        <v>34408677</v>
      </c>
      <c r="C5329" s="2" t="n">
        <v>44034</v>
      </c>
      <c r="D5329" t="inlineStr">
        <is>
          <t>SPEC</t>
        </is>
      </c>
      <c r="E5329" t="inlineStr">
        <is>
          <t>DECOUPE  TOIT 800x1000</t>
        </is>
      </c>
      <c r="F5329" t="inlineStr">
        <is>
          <t>IP00</t>
        </is>
      </c>
      <c r="J5329" t="inlineStr">
        <is>
          <t>MASCELLINO</t>
        </is>
      </c>
      <c r="K5329" t="inlineStr">
        <is>
          <t>METAL</t>
        </is>
      </c>
      <c r="L5329">
        <f>_xlfn.XLOOKUP(Tableau1[[#This Row],[TYPE DE PIECE]],Tableau4[MATIERE],Tableau4[SHORT TYPE],"",0,1)</f>
        <v/>
      </c>
      <c r="N5329">
        <f>IF(ISERR(FIND("DECOUPE",Tableau1[[#This Row],[DESIGNATION]])),"","NEED REF")</f>
        <v/>
      </c>
    </row>
    <row r="5330">
      <c r="B5330" t="n">
        <v>34408676</v>
      </c>
      <c r="C5330" s="2" t="n">
        <v>44034</v>
      </c>
      <c r="D5330" t="inlineStr">
        <is>
          <t>SPEC</t>
        </is>
      </c>
      <c r="E5330" t="inlineStr">
        <is>
          <t>PLASTRON HAUT</t>
        </is>
      </c>
      <c r="F5330" t="inlineStr">
        <is>
          <t>IP00</t>
        </is>
      </c>
      <c r="J5330" t="inlineStr">
        <is>
          <t>MASCELLINO</t>
        </is>
      </c>
      <c r="K5330" t="inlineStr">
        <is>
          <t>METAL</t>
        </is>
      </c>
      <c r="L5330">
        <f>_xlfn.XLOOKUP(Tableau1[[#This Row],[TYPE DE PIECE]],Tableau4[MATIERE],Tableau4[SHORT TYPE],"",0,1)</f>
        <v/>
      </c>
      <c r="N5330">
        <f>IF(ISERR(FIND("DECOUPE",Tableau1[[#This Row],[DESIGNATION]])),"","NEED REF")</f>
        <v/>
      </c>
    </row>
    <row r="5331">
      <c r="B5331" t="n">
        <v>34408675</v>
      </c>
      <c r="C5331" s="2" t="n">
        <v>44034</v>
      </c>
      <c r="D5331" t="inlineStr">
        <is>
          <t>SPEC</t>
        </is>
      </c>
      <c r="E5331" t="inlineStr">
        <is>
          <t>PLASTRON BAS</t>
        </is>
      </c>
      <c r="F5331" t="inlineStr">
        <is>
          <t>IP00</t>
        </is>
      </c>
      <c r="J5331" t="inlineStr">
        <is>
          <t>MASCELLINO</t>
        </is>
      </c>
      <c r="K5331" t="inlineStr">
        <is>
          <t>METAL</t>
        </is>
      </c>
      <c r="L5331">
        <f>_xlfn.XLOOKUP(Tableau1[[#This Row],[TYPE DE PIECE]],Tableau4[MATIERE],Tableau4[SHORT TYPE],"",0,1)</f>
        <v/>
      </c>
      <c r="N5331">
        <f>IF(ISERR(FIND("DECOUPE",Tableau1[[#This Row],[DESIGNATION]])),"","NEED REF")</f>
        <v/>
      </c>
    </row>
    <row r="5332">
      <c r="B5332" t="n">
        <v>34408674</v>
      </c>
      <c r="C5332" s="2" t="n">
        <v>44033</v>
      </c>
      <c r="D5332" t="inlineStr">
        <is>
          <t>SPEC</t>
        </is>
      </c>
      <c r="E5332" t="inlineStr">
        <is>
          <t>TORON interco platine NC STS1250</t>
        </is>
      </c>
      <c r="F5332" t="inlineStr">
        <is>
          <t>STS1250</t>
        </is>
      </c>
      <c r="G5332" t="inlineStr">
        <is>
          <t>GVE</t>
        </is>
      </c>
      <c r="H5332" t="inlineStr">
        <is>
          <t>STS</t>
        </is>
      </c>
      <c r="J5332" t="inlineStr">
        <is>
          <t>REVEL</t>
        </is>
      </c>
      <c r="K5332" t="inlineStr">
        <is>
          <t>FILERIE</t>
        </is>
      </c>
      <c r="L5332">
        <f>_xlfn.XLOOKUP(Tableau1[[#This Row],[TYPE DE PIECE]],Tableau4[MATIERE],Tableau4[SHORT TYPE],"",0,1)</f>
        <v/>
      </c>
      <c r="N5332">
        <f>IF(ISERR(FIND("DECOUPE",Tableau1[[#This Row],[DESIGNATION]])),"","NEED REF")</f>
        <v/>
      </c>
    </row>
    <row r="5333">
      <c r="B5333" t="n">
        <v>34408673</v>
      </c>
      <c r="C5333" s="2" t="n">
        <v>44033</v>
      </c>
      <c r="D5333" t="inlineStr">
        <is>
          <t>SPEC</t>
        </is>
      </c>
      <c r="E5333" t="inlineStr">
        <is>
          <t>SUPPORT TOIT IP31 CENTRAL</t>
        </is>
      </c>
      <c r="G5333" t="inlineStr">
        <is>
          <t>GVX</t>
        </is>
      </c>
      <c r="J5333" t="inlineStr">
        <is>
          <t>JAWORSKI</t>
        </is>
      </c>
      <c r="K5333" t="inlineStr">
        <is>
          <t>METAL</t>
        </is>
      </c>
      <c r="L5333">
        <f>_xlfn.XLOOKUP(Tableau1[[#This Row],[TYPE DE PIECE]],Tableau4[MATIERE],Tableau4[SHORT TYPE],"",0,1)</f>
        <v/>
      </c>
      <c r="N5333">
        <f>IF(ISERR(FIND("DECOUPE",Tableau1[[#This Row],[DESIGNATION]])),"","NEED REF")</f>
        <v/>
      </c>
    </row>
    <row r="5334">
      <c r="B5334" t="n">
        <v>34408672</v>
      </c>
      <c r="C5334" s="2" t="n">
        <v>44033</v>
      </c>
      <c r="D5334" t="inlineStr">
        <is>
          <t>SPEC</t>
        </is>
      </c>
      <c r="E5334" t="inlineStr">
        <is>
          <t>SURTOIT IP21 IO 1500KVA</t>
        </is>
      </c>
      <c r="G5334" t="inlineStr">
        <is>
          <t>GVX</t>
        </is>
      </c>
      <c r="J5334" t="inlineStr">
        <is>
          <t>JAWORSKI</t>
        </is>
      </c>
      <c r="K5334" t="inlineStr">
        <is>
          <t>METAL</t>
        </is>
      </c>
      <c r="L5334">
        <f>_xlfn.XLOOKUP(Tableau1[[#This Row],[TYPE DE PIECE]],Tableau4[MATIERE],Tableau4[SHORT TYPE],"",0,1)</f>
        <v/>
      </c>
      <c r="N5334">
        <f>IF(ISERR(FIND("DECOUPE",Tableau1[[#This Row],[DESIGNATION]])),"","NEED REF")</f>
        <v/>
      </c>
    </row>
    <row r="5335">
      <c r="B5335" t="n">
        <v>34408671</v>
      </c>
      <c r="C5335" s="2" t="n">
        <v>44032</v>
      </c>
      <c r="D5335" t="inlineStr">
        <is>
          <t>SPEC</t>
        </is>
      </c>
      <c r="E5335" t="inlineStr">
        <is>
          <t>TRAVERSE BYPASS</t>
        </is>
      </c>
      <c r="F5335" t="inlineStr">
        <is>
          <t>IP00</t>
        </is>
      </c>
      <c r="J5335" t="inlineStr">
        <is>
          <t>MASCELLINO</t>
        </is>
      </c>
      <c r="K5335" t="inlineStr">
        <is>
          <t>METAL</t>
        </is>
      </c>
      <c r="L5335">
        <f>_xlfn.XLOOKUP(Tableau1[[#This Row],[TYPE DE PIECE]],Tableau4[MATIERE],Tableau4[SHORT TYPE],"",0,1)</f>
        <v/>
      </c>
      <c r="N5335">
        <f>IF(ISERR(FIND("DECOUPE",Tableau1[[#This Row],[DESIGNATION]])),"","NEED REF")</f>
        <v/>
      </c>
    </row>
    <row r="5336">
      <c r="B5336" t="n">
        <v>34408670</v>
      </c>
      <c r="C5336" s="2" t="n">
        <v>44032</v>
      </c>
      <c r="D5336" t="inlineStr">
        <is>
          <t>SPEC</t>
        </is>
      </c>
      <c r="E5336" t="inlineStr">
        <is>
          <t>SUPPORT TRAVERSE</t>
        </is>
      </c>
      <c r="F5336" t="inlineStr">
        <is>
          <t>IP00</t>
        </is>
      </c>
      <c r="J5336" t="inlineStr">
        <is>
          <t>MASCELLINO</t>
        </is>
      </c>
      <c r="K5336" t="inlineStr">
        <is>
          <t>METAL</t>
        </is>
      </c>
      <c r="L5336">
        <f>_xlfn.XLOOKUP(Tableau1[[#This Row],[TYPE DE PIECE]],Tableau4[MATIERE],Tableau4[SHORT TYPE],"",0,1)</f>
        <v/>
      </c>
      <c r="N5336">
        <f>IF(ISERR(FIND("DECOUPE",Tableau1[[#This Row],[DESIGNATION]])),"","NEED REF")</f>
        <v/>
      </c>
    </row>
    <row r="5337">
      <c r="B5337" t="n">
        <v>34408669</v>
      </c>
      <c r="C5337" s="2" t="n">
        <v>44032</v>
      </c>
      <c r="D5337" t="inlineStr">
        <is>
          <t>SPEC</t>
        </is>
      </c>
      <c r="E5337" t="inlineStr">
        <is>
          <t>SUPPORT HAUT IP00</t>
        </is>
      </c>
      <c r="F5337" t="inlineStr">
        <is>
          <t>IP00</t>
        </is>
      </c>
      <c r="J5337" t="inlineStr">
        <is>
          <t>MASCELLINO</t>
        </is>
      </c>
      <c r="K5337" t="inlineStr">
        <is>
          <t>METAL</t>
        </is>
      </c>
      <c r="L5337">
        <f>_xlfn.XLOOKUP(Tableau1[[#This Row],[TYPE DE PIECE]],Tableau4[MATIERE],Tableau4[SHORT TYPE],"",0,1)</f>
        <v/>
      </c>
      <c r="N5337">
        <f>IF(ISERR(FIND("DECOUPE",Tableau1[[#This Row],[DESIGNATION]])),"","NEED REF")</f>
        <v/>
      </c>
    </row>
    <row r="5338">
      <c r="B5338" t="n">
        <v>34408668</v>
      </c>
      <c r="C5338" s="2" t="n">
        <v>44032</v>
      </c>
      <c r="D5338" t="inlineStr">
        <is>
          <t>SPEC</t>
        </is>
      </c>
      <c r="E5338" t="inlineStr">
        <is>
          <t>PLATINE AFFICHEUR STS</t>
        </is>
      </c>
      <c r="F5338" t="inlineStr">
        <is>
          <t>STS1250</t>
        </is>
      </c>
      <c r="G5338" t="inlineStr">
        <is>
          <t>GVE</t>
        </is>
      </c>
      <c r="H5338" t="inlineStr">
        <is>
          <t>STS</t>
        </is>
      </c>
      <c r="J5338" t="inlineStr">
        <is>
          <t>MATRION</t>
        </is>
      </c>
      <c r="K5338" t="inlineStr">
        <is>
          <t>METAL</t>
        </is>
      </c>
      <c r="L5338">
        <f>_xlfn.XLOOKUP(Tableau1[[#This Row],[TYPE DE PIECE]],Tableau4[MATIERE],Tableau4[SHORT TYPE],"",0,1)</f>
        <v/>
      </c>
      <c r="N5338">
        <f>IF(ISERR(FIND("DECOUPE",Tableau1[[#This Row],[DESIGNATION]])),"","NEED REF")</f>
        <v/>
      </c>
    </row>
    <row r="5339">
      <c r="B5339" t="n">
        <v>34408667</v>
      </c>
      <c r="C5339" s="2" t="n">
        <v>44027</v>
      </c>
      <c r="D5339" t="inlineStr">
        <is>
          <t>SPEC</t>
        </is>
      </c>
      <c r="E5339" t="inlineStr">
        <is>
          <t>PLATINE DE FOND</t>
        </is>
      </c>
      <c r="F5339" t="inlineStr">
        <is>
          <t>DERICHEBOURG</t>
        </is>
      </c>
      <c r="J5339" t="inlineStr">
        <is>
          <t>JAWORSKI</t>
        </is>
      </c>
      <c r="K5339" t="inlineStr">
        <is>
          <t>METAL</t>
        </is>
      </c>
      <c r="L5339">
        <f>_xlfn.XLOOKUP(Tableau1[[#This Row],[TYPE DE PIECE]],Tableau4[MATIERE],Tableau4[SHORT TYPE],"",0,1)</f>
        <v/>
      </c>
      <c r="N5339">
        <f>IF(ISERR(FIND("DECOUPE",Tableau1[[#This Row],[DESIGNATION]])),"","NEED REF")</f>
        <v/>
      </c>
    </row>
    <row r="5340">
      <c r="B5340" t="n">
        <v>34408666</v>
      </c>
      <c r="C5340" s="2" t="n">
        <v>44027</v>
      </c>
      <c r="D5340" t="inlineStr">
        <is>
          <t>SPEC</t>
        </is>
      </c>
      <c r="E5340" t="inlineStr">
        <is>
          <t>SUPPORT VOYANT NSX630</t>
        </is>
      </c>
      <c r="F5340" t="inlineStr">
        <is>
          <t>DERICHEBOURG</t>
        </is>
      </c>
      <c r="J5340" t="inlineStr">
        <is>
          <t>JAWORSKI</t>
        </is>
      </c>
      <c r="K5340" t="inlineStr">
        <is>
          <t>METAL</t>
        </is>
      </c>
      <c r="L5340">
        <f>_xlfn.XLOOKUP(Tableau1[[#This Row],[TYPE DE PIECE]],Tableau4[MATIERE],Tableau4[SHORT TYPE],"",0,1)</f>
        <v/>
      </c>
      <c r="N5340">
        <f>IF(ISERR(FIND("DECOUPE",Tableau1[[#This Row],[DESIGNATION]])),"","NEED REF")</f>
        <v/>
      </c>
    </row>
    <row r="5341">
      <c r="B5341" t="n">
        <v>34408665</v>
      </c>
      <c r="C5341" s="2" t="n">
        <v>44022</v>
      </c>
      <c r="D5341" t="inlineStr">
        <is>
          <t>SPEC</t>
        </is>
      </c>
      <c r="E5341" t="inlineStr">
        <is>
          <t>JONCTION DE SURTOIT IP21 POWER-POWER</t>
        </is>
      </c>
      <c r="G5341" t="inlineStr">
        <is>
          <t>GVX</t>
        </is>
      </c>
      <c r="J5341" t="inlineStr">
        <is>
          <t>MATRION</t>
        </is>
      </c>
      <c r="K5341" t="inlineStr">
        <is>
          <t>METAL</t>
        </is>
      </c>
      <c r="L5341">
        <f>_xlfn.XLOOKUP(Tableau1[[#This Row],[TYPE DE PIECE]],Tableau4[MATIERE],Tableau4[SHORT TYPE],"",0,1)</f>
        <v/>
      </c>
      <c r="N5341">
        <f>IF(ISERR(FIND("DECOUPE",Tableau1[[#This Row],[DESIGNATION]])),"","NEED REF")</f>
        <v/>
      </c>
    </row>
    <row r="5342">
      <c r="B5342" t="n">
        <v>34408664</v>
      </c>
      <c r="C5342" s="2" t="n">
        <v>44022</v>
      </c>
      <c r="D5342" t="inlineStr">
        <is>
          <t>SPEC</t>
        </is>
      </c>
      <c r="E5342" t="inlineStr">
        <is>
          <t>JONCTION DE SURTOIT IP21 IO1000-POWER</t>
        </is>
      </c>
      <c r="G5342" t="inlineStr">
        <is>
          <t>GVX</t>
        </is>
      </c>
      <c r="J5342" t="inlineStr">
        <is>
          <t>MATRION</t>
        </is>
      </c>
      <c r="K5342" t="inlineStr">
        <is>
          <t>METAL</t>
        </is>
      </c>
      <c r="L5342">
        <f>_xlfn.XLOOKUP(Tableau1[[#This Row],[TYPE DE PIECE]],Tableau4[MATIERE],Tableau4[SHORT TYPE],"",0,1)</f>
        <v/>
      </c>
      <c r="N5342">
        <f>IF(ISERR(FIND("DECOUPE",Tableau1[[#This Row],[DESIGNATION]])),"","NEED REF")</f>
        <v/>
      </c>
    </row>
    <row r="5343">
      <c r="B5343" t="n">
        <v>34408663</v>
      </c>
      <c r="C5343" s="2" t="n">
        <v>44022</v>
      </c>
      <c r="D5343" t="inlineStr">
        <is>
          <t>SPEC</t>
        </is>
      </c>
      <c r="E5343" t="inlineStr">
        <is>
          <t>SUPPORT TOIT IP31 ARRIERE POWER MODULE</t>
        </is>
      </c>
      <c r="G5343" t="inlineStr">
        <is>
          <t>GVX</t>
        </is>
      </c>
      <c r="J5343" t="inlineStr">
        <is>
          <t>MATRION</t>
        </is>
      </c>
      <c r="K5343" t="inlineStr">
        <is>
          <t>METAL</t>
        </is>
      </c>
      <c r="L5343">
        <f>_xlfn.XLOOKUP(Tableau1[[#This Row],[TYPE DE PIECE]],Tableau4[MATIERE],Tableau4[SHORT TYPE],"",0,1)</f>
        <v/>
      </c>
      <c r="N5343">
        <f>IF(ISERR(FIND("DECOUPE",Tableau1[[#This Row],[DESIGNATION]])),"","NEED REF")</f>
        <v/>
      </c>
    </row>
    <row r="5344">
      <c r="B5344" t="n">
        <v>34408662</v>
      </c>
      <c r="C5344" s="2" t="n">
        <v>44022</v>
      </c>
      <c r="D5344" t="inlineStr">
        <is>
          <t>SPEC</t>
        </is>
      </c>
      <c r="E5344" t="inlineStr">
        <is>
          <t>JOUE LATERAL IP31</t>
        </is>
      </c>
      <c r="G5344" t="inlineStr">
        <is>
          <t>GVX</t>
        </is>
      </c>
      <c r="J5344" t="inlineStr">
        <is>
          <t>MATRION</t>
        </is>
      </c>
      <c r="K5344" t="inlineStr">
        <is>
          <t>METAL</t>
        </is>
      </c>
      <c r="L5344">
        <f>_xlfn.XLOOKUP(Tableau1[[#This Row],[TYPE DE PIECE]],Tableau4[MATIERE],Tableau4[SHORT TYPE],"",0,1)</f>
        <v/>
      </c>
      <c r="N5344">
        <f>IF(ISERR(FIND("DECOUPE",Tableau1[[#This Row],[DESIGNATION]])),"","NEED REF")</f>
        <v/>
      </c>
    </row>
    <row r="5345">
      <c r="B5345" t="n">
        <v>34408661</v>
      </c>
      <c r="C5345" s="2" t="n">
        <v>44022</v>
      </c>
      <c r="D5345" t="inlineStr">
        <is>
          <t>SPEC</t>
        </is>
      </c>
      <c r="E5345" t="inlineStr">
        <is>
          <t>SURTOIT IP21 MODULE DE PUISSANCE 250kVA</t>
        </is>
      </c>
      <c r="G5345" t="inlineStr">
        <is>
          <t>GVX</t>
        </is>
      </c>
      <c r="J5345" t="inlineStr">
        <is>
          <t>MATRION</t>
        </is>
      </c>
      <c r="K5345" t="inlineStr">
        <is>
          <t>METAL</t>
        </is>
      </c>
      <c r="L5345">
        <f>_xlfn.XLOOKUP(Tableau1[[#This Row],[TYPE DE PIECE]],Tableau4[MATIERE],Tableau4[SHORT TYPE],"",0,1)</f>
        <v/>
      </c>
      <c r="N5345">
        <f>IF(ISERR(FIND("DECOUPE",Tableau1[[#This Row],[DESIGNATION]])),"","NEED REF")</f>
        <v/>
      </c>
    </row>
    <row r="5346">
      <c r="B5346" t="n">
        <v>34408660</v>
      </c>
      <c r="C5346" s="2" t="n">
        <v>44022</v>
      </c>
      <c r="D5346" t="inlineStr">
        <is>
          <t>SPEC</t>
        </is>
      </c>
      <c r="E5346" t="inlineStr">
        <is>
          <t>SURTOIT IP21 IO 1000KVA</t>
        </is>
      </c>
      <c r="G5346" t="inlineStr">
        <is>
          <t>GVX</t>
        </is>
      </c>
      <c r="J5346" t="inlineStr">
        <is>
          <t>MATRION</t>
        </is>
      </c>
      <c r="K5346" t="inlineStr">
        <is>
          <t>METAL</t>
        </is>
      </c>
      <c r="L5346">
        <f>_xlfn.XLOOKUP(Tableau1[[#This Row],[TYPE DE PIECE]],Tableau4[MATIERE],Tableau4[SHORT TYPE],"",0,1)</f>
        <v/>
      </c>
      <c r="N5346">
        <f>IF(ISERR(FIND("DECOUPE",Tableau1[[#This Row],[DESIGNATION]])),"","NEED REF")</f>
        <v/>
      </c>
    </row>
    <row r="5347">
      <c r="B5347" t="n">
        <v>34408659</v>
      </c>
      <c r="C5347" s="2" t="n">
        <v>44022</v>
      </c>
      <c r="D5347" t="inlineStr">
        <is>
          <t>SPEC</t>
        </is>
      </c>
      <c r="E5347" t="inlineStr">
        <is>
          <t xml:space="preserve">SUPPORT TOIT IP31 </t>
        </is>
      </c>
      <c r="G5347" t="inlineStr">
        <is>
          <t>GVX</t>
        </is>
      </c>
      <c r="J5347" t="inlineStr">
        <is>
          <t>MATRION</t>
        </is>
      </c>
      <c r="K5347" t="inlineStr">
        <is>
          <t>METAL</t>
        </is>
      </c>
      <c r="L5347">
        <f>_xlfn.XLOOKUP(Tableau1[[#This Row],[TYPE DE PIECE]],Tableau4[MATIERE],Tableau4[SHORT TYPE],"",0,1)</f>
        <v/>
      </c>
      <c r="N5347">
        <f>IF(ISERR(FIND("DECOUPE",Tableau1[[#This Row],[DESIGNATION]])),"","NEED REF")</f>
        <v/>
      </c>
    </row>
    <row r="5348">
      <c r="B5348" t="n">
        <v>34408658</v>
      </c>
      <c r="C5348" s="2" t="n">
        <v>44021</v>
      </c>
      <c r="D5348" t="inlineStr">
        <is>
          <t>SPEC</t>
        </is>
      </c>
      <c r="E5348" t="inlineStr">
        <is>
          <t>MONTANT VERTICAL</t>
        </is>
      </c>
      <c r="F5348" t="inlineStr">
        <is>
          <t>IP00</t>
        </is>
      </c>
      <c r="J5348" t="inlineStr">
        <is>
          <t>MASCELLINO</t>
        </is>
      </c>
      <c r="K5348" t="inlineStr">
        <is>
          <t>METAL</t>
        </is>
      </c>
      <c r="L5348">
        <f>_xlfn.XLOOKUP(Tableau1[[#This Row],[TYPE DE PIECE]],Tableau4[MATIERE],Tableau4[SHORT TYPE],"",0,1)</f>
        <v/>
      </c>
      <c r="N5348">
        <f>IF(ISERR(FIND("DECOUPE",Tableau1[[#This Row],[DESIGNATION]])),"","NEED REF")</f>
        <v/>
      </c>
    </row>
    <row r="5349">
      <c r="B5349" t="n">
        <v>34408657</v>
      </c>
      <c r="C5349" s="2" t="n">
        <v>44021</v>
      </c>
      <c r="D5349" t="inlineStr">
        <is>
          <t>SPEC</t>
        </is>
      </c>
      <c r="E5349" t="inlineStr">
        <is>
          <t>SUPPORT BLOC</t>
        </is>
      </c>
      <c r="F5349" t="inlineStr">
        <is>
          <t>IP00</t>
        </is>
      </c>
      <c r="J5349" t="inlineStr">
        <is>
          <t>MASCELLINO</t>
        </is>
      </c>
      <c r="K5349" t="inlineStr">
        <is>
          <t>METAL</t>
        </is>
      </c>
      <c r="L5349">
        <f>_xlfn.XLOOKUP(Tableau1[[#This Row],[TYPE DE PIECE]],Tableau4[MATIERE],Tableau4[SHORT TYPE],"",0,1)</f>
        <v/>
      </c>
      <c r="N5349">
        <f>IF(ISERR(FIND("DECOUPE",Tableau1[[#This Row],[DESIGNATION]])),"","NEED REF")</f>
        <v/>
      </c>
    </row>
    <row r="5350">
      <c r="B5350" t="n">
        <v>34408656</v>
      </c>
      <c r="C5350" s="2" t="n">
        <v>44021</v>
      </c>
      <c r="D5350" t="inlineStr">
        <is>
          <t>SPEC</t>
        </is>
      </c>
      <c r="E5350" t="inlineStr">
        <is>
          <t>EQUERRE HAUTE</t>
        </is>
      </c>
      <c r="F5350" t="inlineStr">
        <is>
          <t>IP00</t>
        </is>
      </c>
      <c r="J5350" t="inlineStr">
        <is>
          <t>MASCELLINO</t>
        </is>
      </c>
      <c r="K5350" t="inlineStr">
        <is>
          <t>METAL</t>
        </is>
      </c>
      <c r="L5350">
        <f>_xlfn.XLOOKUP(Tableau1[[#This Row],[TYPE DE PIECE]],Tableau4[MATIERE],Tableau4[SHORT TYPE],"",0,1)</f>
        <v/>
      </c>
      <c r="N5350">
        <f>IF(ISERR(FIND("DECOUPE",Tableau1[[#This Row],[DESIGNATION]])),"","NEED REF")</f>
        <v/>
      </c>
    </row>
    <row r="5351">
      <c r="B5351" t="n">
        <v>34408655</v>
      </c>
      <c r="C5351" s="2" t="n">
        <v>44021</v>
      </c>
      <c r="D5351" t="inlineStr">
        <is>
          <t>SPEC</t>
        </is>
      </c>
      <c r="E5351" t="inlineStr">
        <is>
          <t>EQUERRE VERTICALE</t>
        </is>
      </c>
      <c r="F5351" t="inlineStr">
        <is>
          <t>IP00</t>
        </is>
      </c>
      <c r="J5351" t="inlineStr">
        <is>
          <t>MASCELLINO</t>
        </is>
      </c>
      <c r="K5351" t="inlineStr">
        <is>
          <t>METAL</t>
        </is>
      </c>
      <c r="L5351">
        <f>_xlfn.XLOOKUP(Tableau1[[#This Row],[TYPE DE PIECE]],Tableau4[MATIERE],Tableau4[SHORT TYPE],"",0,1)</f>
        <v/>
      </c>
      <c r="N5351">
        <f>IF(ISERR(FIND("DECOUPE",Tableau1[[#This Row],[DESIGNATION]])),"","NEED REF")</f>
        <v/>
      </c>
    </row>
    <row r="5352">
      <c r="B5352" t="n">
        <v>34408654</v>
      </c>
      <c r="C5352" s="2" t="n">
        <v>44021</v>
      </c>
      <c r="D5352" t="inlineStr">
        <is>
          <t>SPEC</t>
        </is>
      </c>
      <c r="E5352" t="inlineStr">
        <is>
          <t>PLAN DECOUPE CUIVRE PE 04161</t>
        </is>
      </c>
      <c r="G5352" t="inlineStr">
        <is>
          <t>E3S</t>
        </is>
      </c>
      <c r="H5352" t="inlineStr">
        <is>
          <t>AUTRE</t>
        </is>
      </c>
      <c r="J5352" t="inlineStr">
        <is>
          <t>MATRION</t>
        </is>
      </c>
      <c r="K5352" t="inlineStr">
        <is>
          <t>ETO</t>
        </is>
      </c>
      <c r="L5352">
        <f>_xlfn.XLOOKUP(Tableau1[[#This Row],[TYPE DE PIECE]],Tableau4[MATIERE],Tableau4[SHORT TYPE],"",0,1)</f>
        <v/>
      </c>
      <c r="N5352" t="inlineStr">
        <is>
          <t>LVS04161</t>
        </is>
      </c>
    </row>
    <row r="5353">
      <c r="B5353" t="n">
        <v>34408653</v>
      </c>
      <c r="C5353" s="2" t="n">
        <v>44018</v>
      </c>
      <c r="D5353" t="inlineStr">
        <is>
          <t>SPEC</t>
        </is>
      </c>
      <c r="E5353" t="inlineStr">
        <is>
          <t>KIT FILERIE COFFRET BACK FEED</t>
        </is>
      </c>
      <c r="F5353" t="inlineStr">
        <is>
          <t>STS1250</t>
        </is>
      </c>
      <c r="G5353" t="inlineStr">
        <is>
          <t>GVE</t>
        </is>
      </c>
      <c r="H5353" t="inlineStr">
        <is>
          <t>STS</t>
        </is>
      </c>
      <c r="J5353" t="inlineStr">
        <is>
          <t>REVEL</t>
        </is>
      </c>
      <c r="K5353" t="inlineStr">
        <is>
          <t>FILERIE</t>
        </is>
      </c>
      <c r="L5353">
        <f>_xlfn.XLOOKUP(Tableau1[[#This Row],[TYPE DE PIECE]],Tableau4[MATIERE],Tableau4[SHORT TYPE],"",0,1)</f>
        <v/>
      </c>
      <c r="N5353">
        <f>IF(ISERR(FIND("DECOUPE",Tableau1[[#This Row],[DESIGNATION]])),"","NEED REF")</f>
        <v/>
      </c>
    </row>
    <row r="5354">
      <c r="B5354" t="n">
        <v>34408652</v>
      </c>
      <c r="C5354" s="2" t="n">
        <v>44015</v>
      </c>
      <c r="D5354" t="inlineStr">
        <is>
          <t>SPEC</t>
        </is>
      </c>
      <c r="E5354" t="inlineStr">
        <is>
          <t>BOM SE TOIT STS1250A</t>
        </is>
      </c>
      <c r="F5354" t="inlineStr">
        <is>
          <t>STS1250</t>
        </is>
      </c>
      <c r="G5354" t="inlineStr">
        <is>
          <t>GVE</t>
        </is>
      </c>
      <c r="H5354" t="inlineStr">
        <is>
          <t>STS</t>
        </is>
      </c>
      <c r="J5354" t="inlineStr">
        <is>
          <t>REVEL</t>
        </is>
      </c>
      <c r="L5354">
        <f>_xlfn.XLOOKUP(Tableau1[[#This Row],[TYPE DE PIECE]],Tableau4[MATIERE],Tableau4[SHORT TYPE],"",0,1)</f>
        <v/>
      </c>
      <c r="N5354">
        <f>IF(ISERR(FIND("DECOUPE",Tableau1[[#This Row],[DESIGNATION]])),"","NEED REF")</f>
        <v/>
      </c>
    </row>
    <row r="5355">
      <c r="B5355" t="n">
        <v>34408651</v>
      </c>
      <c r="C5355" s="2" t="n">
        <v>44014</v>
      </c>
      <c r="D5355" t="inlineStr">
        <is>
          <t>SPEC</t>
        </is>
      </c>
      <c r="E5355" t="inlineStr">
        <is>
          <t>DECOUPE LINERGY 04564 1250A  L=979mm</t>
        </is>
      </c>
      <c r="F5355" t="inlineStr">
        <is>
          <t>DERICHEBOURG</t>
        </is>
      </c>
      <c r="J5355" t="inlineStr">
        <is>
          <t>MASCELLINO</t>
        </is>
      </c>
      <c r="K5355" t="inlineStr">
        <is>
          <t>METAL</t>
        </is>
      </c>
      <c r="L5355">
        <f>_xlfn.XLOOKUP(Tableau1[[#This Row],[TYPE DE PIECE]],Tableau4[MATIERE],Tableau4[SHORT TYPE],"",0,1)</f>
        <v/>
      </c>
      <c r="N5355" t="inlineStr">
        <is>
          <t>LVS04564</t>
        </is>
      </c>
    </row>
    <row r="5356">
      <c r="B5356" t="n">
        <v>34408650</v>
      </c>
      <c r="C5356" s="2" t="n">
        <v>44014</v>
      </c>
      <c r="D5356" t="inlineStr">
        <is>
          <t>SPEC</t>
        </is>
      </c>
      <c r="E5356" t="inlineStr">
        <is>
          <t>FILERIE KIT AUX</t>
        </is>
      </c>
      <c r="G5356" t="inlineStr">
        <is>
          <t>E3S</t>
        </is>
      </c>
      <c r="H5356" t="inlineStr">
        <is>
          <t>AUTRE</t>
        </is>
      </c>
      <c r="J5356" t="inlineStr">
        <is>
          <t>MATRION</t>
        </is>
      </c>
      <c r="K5356" t="inlineStr">
        <is>
          <t>FILERIE</t>
        </is>
      </c>
      <c r="L5356">
        <f>_xlfn.XLOOKUP(Tableau1[[#This Row],[TYPE DE PIECE]],Tableau4[MATIERE],Tableau4[SHORT TYPE],"",0,1)</f>
        <v/>
      </c>
      <c r="N5356">
        <f>IF(ISERR(FIND("DECOUPE",Tableau1[[#This Row],[DESIGNATION]])),"","NEED REF")</f>
        <v/>
      </c>
    </row>
    <row r="5357">
      <c r="B5357" t="n">
        <v>34408649</v>
      </c>
      <c r="C5357" s="2" t="n">
        <v>44013</v>
      </c>
      <c r="D5357" t="inlineStr">
        <is>
          <t>SPEC</t>
        </is>
      </c>
      <c r="E5357" t="inlineStr">
        <is>
          <t>Toron interco platine RC STS1250</t>
        </is>
      </c>
      <c r="F5357" t="inlineStr">
        <is>
          <t>STS1250</t>
        </is>
      </c>
      <c r="G5357" t="inlineStr">
        <is>
          <t>GVE</t>
        </is>
      </c>
      <c r="H5357" t="inlineStr">
        <is>
          <t>STS</t>
        </is>
      </c>
      <c r="J5357" t="inlineStr">
        <is>
          <t>REVEL</t>
        </is>
      </c>
      <c r="K5357" t="inlineStr">
        <is>
          <t>CUIVRE</t>
        </is>
      </c>
      <c r="L5357">
        <f>_xlfn.XLOOKUP(Tableau1[[#This Row],[TYPE DE PIECE]],Tableau4[MATIERE],Tableau4[SHORT TYPE],"",0,1)</f>
        <v/>
      </c>
      <c r="N5357">
        <f>IF(ISERR(FIND("DECOUPE",Tableau1[[#This Row],[DESIGNATION]])),"","NEED REF")</f>
        <v/>
      </c>
    </row>
    <row r="5358">
      <c r="B5358" t="n">
        <v>34408648</v>
      </c>
      <c r="C5358" s="2" t="n">
        <v>44013</v>
      </c>
      <c r="D5358" t="inlineStr">
        <is>
          <t>SPEC</t>
        </is>
      </c>
      <c r="E5358" t="inlineStr">
        <is>
          <t>Cable carte ALIE module Elec</t>
        </is>
      </c>
      <c r="F5358" t="inlineStr">
        <is>
          <t>STS1250</t>
        </is>
      </c>
      <c r="G5358" t="inlineStr">
        <is>
          <t>GVE</t>
        </is>
      </c>
      <c r="H5358" t="inlineStr">
        <is>
          <t>STS</t>
        </is>
      </c>
      <c r="J5358" t="inlineStr">
        <is>
          <t>REVEL</t>
        </is>
      </c>
      <c r="K5358" t="inlineStr">
        <is>
          <t>CUIVRE</t>
        </is>
      </c>
      <c r="L5358">
        <f>_xlfn.XLOOKUP(Tableau1[[#This Row],[TYPE DE PIECE]],Tableau4[MATIERE],Tableau4[SHORT TYPE],"",0,1)</f>
        <v/>
      </c>
      <c r="N5358">
        <f>IF(ISERR(FIND("DECOUPE",Tableau1[[#This Row],[DESIGNATION]])),"","NEED REF")</f>
        <v/>
      </c>
    </row>
    <row r="5359">
      <c r="B5359" t="n">
        <v>34408647</v>
      </c>
      <c r="C5359" s="2" t="n">
        <v>44013</v>
      </c>
      <c r="D5359" t="inlineStr">
        <is>
          <t>SPEC</t>
        </is>
      </c>
      <c r="E5359" t="inlineStr">
        <is>
          <t>CALE EP10</t>
        </is>
      </c>
      <c r="F5359" t="inlineStr">
        <is>
          <t>DERICHEBOURG</t>
        </is>
      </c>
      <c r="J5359" t="inlineStr">
        <is>
          <t>MASCELLINO</t>
        </is>
      </c>
      <c r="K5359" t="inlineStr">
        <is>
          <t>METAL</t>
        </is>
      </c>
      <c r="L5359">
        <f>_xlfn.XLOOKUP(Tableau1[[#This Row],[TYPE DE PIECE]],Tableau4[MATIERE],Tableau4[SHORT TYPE],"",0,1)</f>
        <v/>
      </c>
      <c r="N5359">
        <f>IF(ISERR(FIND("DECOUPE",Tableau1[[#This Row],[DESIGNATION]])),"","NEED REF")</f>
        <v/>
      </c>
    </row>
    <row r="5360">
      <c r="B5360" t="n">
        <v>34408646</v>
      </c>
      <c r="C5360" s="2" t="n">
        <v>44013</v>
      </c>
      <c r="D5360" t="inlineStr">
        <is>
          <t>SPEC</t>
        </is>
      </c>
      <c r="E5360" t="inlineStr">
        <is>
          <t>BARRE RACCORDEMENT PE</t>
        </is>
      </c>
      <c r="F5360" t="inlineStr">
        <is>
          <t>DERICHEBOURG</t>
        </is>
      </c>
      <c r="J5360" t="inlineStr">
        <is>
          <t>MASCELLINO</t>
        </is>
      </c>
      <c r="K5360" t="inlineStr">
        <is>
          <t>CUIVRE</t>
        </is>
      </c>
      <c r="L5360">
        <f>_xlfn.XLOOKUP(Tableau1[[#This Row],[TYPE DE PIECE]],Tableau4[MATIERE],Tableau4[SHORT TYPE],"",0,1)</f>
        <v/>
      </c>
      <c r="N5360">
        <f>IF(ISERR(FIND("DECOUPE",Tableau1[[#This Row],[DESIGNATION]])),"","NEED REF")</f>
        <v/>
      </c>
    </row>
    <row r="5361">
      <c r="B5361" t="n">
        <v>34408645</v>
      </c>
      <c r="C5361" s="2" t="n">
        <v>44013</v>
      </c>
      <c r="D5361" t="inlineStr">
        <is>
          <t>SPEC</t>
        </is>
      </c>
      <c r="E5361" t="inlineStr">
        <is>
          <t>TOIT ALU 3MM 300X800</t>
        </is>
      </c>
      <c r="F5361" t="inlineStr">
        <is>
          <t>DERICHEBOURG</t>
        </is>
      </c>
      <c r="J5361" t="inlineStr">
        <is>
          <t>MASCELLINO</t>
        </is>
      </c>
      <c r="K5361" t="inlineStr">
        <is>
          <t>ALU</t>
        </is>
      </c>
      <c r="L5361">
        <f>_xlfn.XLOOKUP(Tableau1[[#This Row],[TYPE DE PIECE]],Tableau4[MATIERE],Tableau4[SHORT TYPE],"",0,1)</f>
        <v/>
      </c>
      <c r="N5361">
        <f>IF(ISERR(FIND("DECOUPE",Tableau1[[#This Row],[DESIGNATION]])),"","NEED REF")</f>
        <v/>
      </c>
    </row>
    <row r="5362">
      <c r="B5362" t="n">
        <v>34408644</v>
      </c>
      <c r="C5362" s="2" t="n">
        <v>44013</v>
      </c>
      <c r="D5362" t="inlineStr">
        <is>
          <t>SPEC</t>
        </is>
      </c>
      <c r="E5362" t="inlineStr">
        <is>
          <t>TOIT ALU 3MM 800X800</t>
        </is>
      </c>
      <c r="F5362" t="inlineStr">
        <is>
          <t>DERICHEBOURG</t>
        </is>
      </c>
      <c r="J5362" t="inlineStr">
        <is>
          <t>MASCELLINO</t>
        </is>
      </c>
      <c r="K5362" t="inlineStr">
        <is>
          <t>ALU</t>
        </is>
      </c>
      <c r="L5362">
        <f>_xlfn.XLOOKUP(Tableau1[[#This Row],[TYPE DE PIECE]],Tableau4[MATIERE],Tableau4[SHORT TYPE],"",0,1)</f>
        <v/>
      </c>
      <c r="N5362">
        <f>IF(ISERR(FIND("DECOUPE",Tableau1[[#This Row],[DESIGNATION]])),"","NEED REF")</f>
        <v/>
      </c>
    </row>
    <row r="5363">
      <c r="B5363" t="n">
        <v>34408643</v>
      </c>
      <c r="C5363" s="2" t="n">
        <v>44013</v>
      </c>
      <c r="D5363" t="inlineStr">
        <is>
          <t>SPEC</t>
        </is>
      </c>
      <c r="E5363" t="inlineStr">
        <is>
          <t>SUPPORT CHEMIN DE CABLE  800</t>
        </is>
      </c>
      <c r="F5363" t="inlineStr">
        <is>
          <t>DERICHEBOURG</t>
        </is>
      </c>
      <c r="J5363" t="inlineStr">
        <is>
          <t>MASCELLINO</t>
        </is>
      </c>
      <c r="K5363" t="inlineStr">
        <is>
          <t>METAL</t>
        </is>
      </c>
      <c r="L5363">
        <f>_xlfn.XLOOKUP(Tableau1[[#This Row],[TYPE DE PIECE]],Tableau4[MATIERE],Tableau4[SHORT TYPE],"",0,1)</f>
        <v/>
      </c>
      <c r="N5363">
        <f>IF(ISERR(FIND("DECOUPE",Tableau1[[#This Row],[DESIGNATION]])),"","NEED REF")</f>
        <v/>
      </c>
    </row>
    <row r="5364">
      <c r="B5364" t="n">
        <v>34408642</v>
      </c>
      <c r="C5364" s="2" t="n">
        <v>44012</v>
      </c>
      <c r="D5364" t="inlineStr">
        <is>
          <t>SPEC</t>
        </is>
      </c>
      <c r="E5364" t="inlineStr">
        <is>
          <t>SUPPORT JDB CLIENT</t>
        </is>
      </c>
      <c r="F5364" t="inlineStr">
        <is>
          <t>DERICHEBOURG</t>
        </is>
      </c>
      <c r="J5364" t="inlineStr">
        <is>
          <t>MASCELLINO</t>
        </is>
      </c>
      <c r="K5364" t="inlineStr">
        <is>
          <t>METAL</t>
        </is>
      </c>
      <c r="L5364">
        <f>_xlfn.XLOOKUP(Tableau1[[#This Row],[TYPE DE PIECE]],Tableau4[MATIERE],Tableau4[SHORT TYPE],"",0,1)</f>
        <v/>
      </c>
      <c r="N5364">
        <f>IF(ISERR(FIND("DECOUPE",Tableau1[[#This Row],[DESIGNATION]])),"","NEED REF")</f>
        <v/>
      </c>
    </row>
    <row r="5365">
      <c r="B5365" t="n">
        <v>34408641</v>
      </c>
      <c r="C5365" s="2" t="n">
        <v>44012</v>
      </c>
      <c r="D5365" t="inlineStr">
        <is>
          <t>SPEC</t>
        </is>
      </c>
      <c r="E5365" t="inlineStr">
        <is>
          <t>CX JDB CLIENT</t>
        </is>
      </c>
      <c r="F5365" t="inlineStr">
        <is>
          <t>DERICHEBOURG</t>
        </is>
      </c>
      <c r="J5365" t="inlineStr">
        <is>
          <t>MASCELLINO</t>
        </is>
      </c>
      <c r="K5365" t="inlineStr">
        <is>
          <t>CUIVRE</t>
        </is>
      </c>
      <c r="L5365">
        <f>_xlfn.XLOOKUP(Tableau1[[#This Row],[TYPE DE PIECE]],Tableau4[MATIERE],Tableau4[SHORT TYPE],"",0,1)</f>
        <v/>
      </c>
      <c r="N5365">
        <f>IF(ISERR(FIND("DECOUPE",Tableau1[[#This Row],[DESIGNATION]])),"","NEED REF")</f>
        <v/>
      </c>
    </row>
    <row r="5366">
      <c r="B5366" t="n">
        <v>34408640</v>
      </c>
      <c r="C5366" s="2" t="n">
        <v>44012</v>
      </c>
      <c r="D5366" t="inlineStr">
        <is>
          <t>SPEC</t>
        </is>
      </c>
      <c r="E5366" t="inlineStr">
        <is>
          <t>PLASTRON JDB</t>
        </is>
      </c>
      <c r="F5366" t="inlineStr">
        <is>
          <t>DERICHEBOURG</t>
        </is>
      </c>
      <c r="J5366" t="inlineStr">
        <is>
          <t>MASCELLINO</t>
        </is>
      </c>
      <c r="K5366" t="inlineStr">
        <is>
          <t>METAL</t>
        </is>
      </c>
      <c r="L5366">
        <f>_xlfn.XLOOKUP(Tableau1[[#This Row],[TYPE DE PIECE]],Tableau4[MATIERE],Tableau4[SHORT TYPE],"",0,1)</f>
        <v/>
      </c>
      <c r="N5366">
        <f>IF(ISERR(FIND("DECOUPE",Tableau1[[#This Row],[DESIGNATION]])),"","NEED REF")</f>
        <v/>
      </c>
    </row>
    <row r="5367">
      <c r="B5367" t="n">
        <v>34408639</v>
      </c>
      <c r="C5367" s="2" t="n">
        <v>44012</v>
      </c>
      <c r="D5367" t="inlineStr">
        <is>
          <t>SPEC</t>
        </is>
      </c>
      <c r="E5367" t="inlineStr">
        <is>
          <t>LATERAL PROTECTION SHIELD SUPPORT</t>
        </is>
      </c>
      <c r="F5367" t="inlineStr">
        <is>
          <t>DERICHEBOURG</t>
        </is>
      </c>
      <c r="J5367" t="inlineStr">
        <is>
          <t>MASCELLINO</t>
        </is>
      </c>
      <c r="K5367" t="inlineStr">
        <is>
          <t>METAL</t>
        </is>
      </c>
      <c r="L5367">
        <f>_xlfn.XLOOKUP(Tableau1[[#This Row],[TYPE DE PIECE]],Tableau4[MATIERE],Tableau4[SHORT TYPE],"",0,1)</f>
        <v/>
      </c>
      <c r="N5367">
        <f>IF(ISERR(FIND("DECOUPE",Tableau1[[#This Row],[DESIGNATION]])),"","NEED REF")</f>
        <v/>
      </c>
    </row>
    <row r="5368">
      <c r="B5368" t="n">
        <v>34408638</v>
      </c>
      <c r="C5368" s="2" t="n">
        <v>44012</v>
      </c>
      <c r="D5368" t="inlineStr">
        <is>
          <t>SPEC</t>
        </is>
      </c>
      <c r="E5368" t="inlineStr">
        <is>
          <t>SUPPORT DISJONCTEUR + BORNIER</t>
        </is>
      </c>
      <c r="F5368" t="inlineStr">
        <is>
          <t>DERICHEBOURG</t>
        </is>
      </c>
      <c r="J5368" t="inlineStr">
        <is>
          <t>MASCELLINO</t>
        </is>
      </c>
      <c r="K5368" t="inlineStr">
        <is>
          <t>METAL</t>
        </is>
      </c>
      <c r="L5368">
        <f>_xlfn.XLOOKUP(Tableau1[[#This Row],[TYPE DE PIECE]],Tableau4[MATIERE],Tableau4[SHORT TYPE],"",0,1)</f>
        <v/>
      </c>
      <c r="N5368">
        <f>IF(ISERR(FIND("DECOUPE",Tableau1[[#This Row],[DESIGNATION]])),"","NEED REF")</f>
        <v/>
      </c>
    </row>
    <row r="5369">
      <c r="B5369" t="n">
        <v>34408637</v>
      </c>
      <c r="C5369" s="2" t="n">
        <v>44012</v>
      </c>
      <c r="D5369" t="inlineStr">
        <is>
          <t>SPEC</t>
        </is>
      </c>
      <c r="E5369" t="inlineStr">
        <is>
          <t>SUPPORT VOYANT NSX250</t>
        </is>
      </c>
      <c r="F5369" t="inlineStr">
        <is>
          <t>DERICHEBOURG</t>
        </is>
      </c>
      <c r="J5369" t="inlineStr">
        <is>
          <t>MASCELLINO</t>
        </is>
      </c>
      <c r="K5369" t="inlineStr">
        <is>
          <t>METAL</t>
        </is>
      </c>
      <c r="L5369">
        <f>_xlfn.XLOOKUP(Tableau1[[#This Row],[TYPE DE PIECE]],Tableau4[MATIERE],Tableau4[SHORT TYPE],"",0,1)</f>
        <v/>
      </c>
      <c r="N5369">
        <f>IF(ISERR(FIND("DECOUPE",Tableau1[[#This Row],[DESIGNATION]])),"","NEED REF")</f>
        <v/>
      </c>
    </row>
    <row r="5370">
      <c r="B5370" t="n">
        <v>34408636</v>
      </c>
      <c r="C5370" s="2" t="n">
        <v>44012</v>
      </c>
      <c r="D5370" t="inlineStr">
        <is>
          <t>SPEC</t>
        </is>
      </c>
      <c r="E5370" t="inlineStr">
        <is>
          <t>PLASTRON DISJONCTEUR HAUT</t>
        </is>
      </c>
      <c r="F5370" t="inlineStr">
        <is>
          <t>DERICHEBOURG</t>
        </is>
      </c>
      <c r="J5370" t="inlineStr">
        <is>
          <t>MASCELLINO</t>
        </is>
      </c>
      <c r="K5370" t="inlineStr">
        <is>
          <t>METAL</t>
        </is>
      </c>
      <c r="L5370">
        <f>_xlfn.XLOOKUP(Tableau1[[#This Row],[TYPE DE PIECE]],Tableau4[MATIERE],Tableau4[SHORT TYPE],"",0,1)</f>
        <v/>
      </c>
      <c r="N5370">
        <f>IF(ISERR(FIND("DECOUPE",Tableau1[[#This Row],[DESIGNATION]])),"","NEED REF")</f>
        <v/>
      </c>
    </row>
    <row r="5371">
      <c r="B5371" t="n">
        <v>34408635</v>
      </c>
      <c r="C5371" s="2" t="n">
        <v>44012</v>
      </c>
      <c r="D5371" t="inlineStr">
        <is>
          <t>SPEC</t>
        </is>
      </c>
      <c r="E5371" t="inlineStr">
        <is>
          <t>PLASTRON DISJONCTEUR MILIEU</t>
        </is>
      </c>
      <c r="F5371" t="inlineStr">
        <is>
          <t>DERICHEBOURG</t>
        </is>
      </c>
      <c r="J5371" t="inlineStr">
        <is>
          <t>MASCELLINO</t>
        </is>
      </c>
      <c r="K5371" t="inlineStr">
        <is>
          <t>METAL</t>
        </is>
      </c>
      <c r="L5371">
        <f>_xlfn.XLOOKUP(Tableau1[[#This Row],[TYPE DE PIECE]],Tableau4[MATIERE],Tableau4[SHORT TYPE],"",0,1)</f>
        <v/>
      </c>
      <c r="N5371">
        <f>IF(ISERR(FIND("DECOUPE",Tableau1[[#This Row],[DESIGNATION]])),"","NEED REF")</f>
        <v/>
      </c>
    </row>
    <row r="5372">
      <c r="B5372" t="n">
        <v>34408634</v>
      </c>
      <c r="C5372" s="2" t="n">
        <v>44012</v>
      </c>
      <c r="D5372" t="inlineStr">
        <is>
          <t>SPEC</t>
        </is>
      </c>
      <c r="E5372" t="inlineStr">
        <is>
          <t>CAPOT DROIT</t>
        </is>
      </c>
      <c r="F5372" t="inlineStr">
        <is>
          <t>DERICHEBOURG</t>
        </is>
      </c>
      <c r="J5372" t="inlineStr">
        <is>
          <t>MASCELLINO</t>
        </is>
      </c>
      <c r="K5372" t="inlineStr">
        <is>
          <t>METAL</t>
        </is>
      </c>
      <c r="L5372">
        <f>_xlfn.XLOOKUP(Tableau1[[#This Row],[TYPE DE PIECE]],Tableau4[MATIERE],Tableau4[SHORT TYPE],"",0,1)</f>
        <v/>
      </c>
      <c r="N5372">
        <f>IF(ISERR(FIND("DECOUPE",Tableau1[[#This Row],[DESIGNATION]])),"","NEED REF")</f>
        <v/>
      </c>
    </row>
    <row r="5373">
      <c r="B5373" t="n">
        <v>34408633</v>
      </c>
      <c r="C5373" s="2" t="n">
        <v>44012</v>
      </c>
      <c r="D5373" t="inlineStr">
        <is>
          <t>SPEC</t>
        </is>
      </c>
      <c r="E5373" t="inlineStr">
        <is>
          <t>CAPOT GAUCHE</t>
        </is>
      </c>
      <c r="F5373" t="inlineStr">
        <is>
          <t>DERICHEBOURG</t>
        </is>
      </c>
      <c r="J5373" t="inlineStr">
        <is>
          <t>MASCELLINO</t>
        </is>
      </c>
      <c r="K5373" t="inlineStr">
        <is>
          <t>METAL</t>
        </is>
      </c>
      <c r="L5373">
        <f>_xlfn.XLOOKUP(Tableau1[[#This Row],[TYPE DE PIECE]],Tableau4[MATIERE],Tableau4[SHORT TYPE],"",0,1)</f>
        <v/>
      </c>
      <c r="N5373">
        <f>IF(ISERR(FIND("DECOUPE",Tableau1[[#This Row],[DESIGNATION]])),"","NEED REF")</f>
        <v/>
      </c>
    </row>
    <row r="5374">
      <c r="B5374" t="n">
        <v>34408632</v>
      </c>
      <c r="C5374" s="2" t="n">
        <v>44012</v>
      </c>
      <c r="D5374" t="inlineStr">
        <is>
          <t>SPEC</t>
        </is>
      </c>
      <c r="E5374" t="inlineStr">
        <is>
          <t>PLASTRON DISJONCTEUR BAS</t>
        </is>
      </c>
      <c r="F5374" t="inlineStr">
        <is>
          <t>DERICHEBOURG</t>
        </is>
      </c>
      <c r="J5374" t="inlineStr">
        <is>
          <t>MASCELLINO</t>
        </is>
      </c>
      <c r="K5374" t="inlineStr">
        <is>
          <t>METAL</t>
        </is>
      </c>
      <c r="L5374">
        <f>_xlfn.XLOOKUP(Tableau1[[#This Row],[TYPE DE PIECE]],Tableau4[MATIERE],Tableau4[SHORT TYPE],"",0,1)</f>
        <v/>
      </c>
      <c r="N5374">
        <f>IF(ISERR(FIND("DECOUPE",Tableau1[[#This Row],[DESIGNATION]])),"","NEED REF")</f>
        <v/>
      </c>
    </row>
    <row r="5375">
      <c r="B5375" t="n">
        <v>34408631</v>
      </c>
      <c r="C5375" s="2" t="n">
        <v>44011</v>
      </c>
      <c r="D5375" t="inlineStr">
        <is>
          <t>SPEC</t>
        </is>
      </c>
      <c r="E5375" t="inlineStr">
        <is>
          <t>PLATINE SUPPORT</t>
        </is>
      </c>
      <c r="F5375" t="inlineStr">
        <is>
          <t>DERICHEBOURG</t>
        </is>
      </c>
      <c r="J5375" t="inlineStr">
        <is>
          <t>MASCELLINO</t>
        </is>
      </c>
      <c r="K5375" t="inlineStr">
        <is>
          <t>METAL</t>
        </is>
      </c>
      <c r="L5375">
        <f>_xlfn.XLOOKUP(Tableau1[[#This Row],[TYPE DE PIECE]],Tableau4[MATIERE],Tableau4[SHORT TYPE],"",0,1)</f>
        <v/>
      </c>
      <c r="N5375">
        <f>IF(ISERR(FIND("DECOUPE",Tableau1[[#This Row],[DESIGNATION]])),"","NEED REF")</f>
        <v/>
      </c>
    </row>
    <row r="5376">
      <c r="B5376" t="n">
        <v>34408630</v>
      </c>
      <c r="C5376" s="2" t="n">
        <v>44011</v>
      </c>
      <c r="D5376" t="inlineStr">
        <is>
          <t>SPEC</t>
        </is>
      </c>
      <c r="E5376" t="inlineStr">
        <is>
          <t>KIT FILERIE CS 12050A</t>
        </is>
      </c>
      <c r="F5376" t="inlineStr">
        <is>
          <t>STS1250</t>
        </is>
      </c>
      <c r="G5376" t="inlineStr">
        <is>
          <t>GVE</t>
        </is>
      </c>
      <c r="H5376" t="inlineStr">
        <is>
          <t>STS</t>
        </is>
      </c>
      <c r="J5376" t="inlineStr">
        <is>
          <t>REVEL</t>
        </is>
      </c>
      <c r="K5376" t="inlineStr">
        <is>
          <t>CUIVRE</t>
        </is>
      </c>
      <c r="L5376">
        <f>_xlfn.XLOOKUP(Tableau1[[#This Row],[TYPE DE PIECE]],Tableau4[MATIERE],Tableau4[SHORT TYPE],"",0,1)</f>
        <v/>
      </c>
      <c r="N5376">
        <f>IF(ISERR(FIND("DECOUPE",Tableau1[[#This Row],[DESIGNATION]])),"","NEED REF")</f>
        <v/>
      </c>
    </row>
    <row r="5377">
      <c r="B5377" t="n">
        <v>34408629</v>
      </c>
      <c r="C5377" s="2" t="n">
        <v>44011</v>
      </c>
      <c r="D5377" t="inlineStr">
        <is>
          <t>SPEC</t>
        </is>
      </c>
      <c r="E5377" t="inlineStr">
        <is>
          <t>CORO NSX250 L3</t>
        </is>
      </c>
      <c r="F5377" t="inlineStr">
        <is>
          <t>DERICHEBOURG</t>
        </is>
      </c>
      <c r="J5377" t="inlineStr">
        <is>
          <t>MASCELLINO</t>
        </is>
      </c>
      <c r="K5377" t="inlineStr">
        <is>
          <t>CUIVRE</t>
        </is>
      </c>
      <c r="L5377">
        <f>_xlfn.XLOOKUP(Tableau1[[#This Row],[TYPE DE PIECE]],Tableau4[MATIERE],Tableau4[SHORT TYPE],"",0,1)</f>
        <v/>
      </c>
      <c r="N5377">
        <f>IF(ISERR(FIND("DECOUPE",Tableau1[[#This Row],[DESIGNATION]])),"","NEED REF")</f>
        <v/>
      </c>
    </row>
    <row r="5378">
      <c r="B5378" t="n">
        <v>34408628</v>
      </c>
      <c r="C5378" s="2" t="n">
        <v>44011</v>
      </c>
      <c r="D5378" t="inlineStr">
        <is>
          <t>SPEC</t>
        </is>
      </c>
      <c r="E5378" t="inlineStr">
        <is>
          <t>CORO NSX250 L2</t>
        </is>
      </c>
      <c r="F5378" t="inlineStr">
        <is>
          <t>DERICHEBOURG</t>
        </is>
      </c>
      <c r="J5378" t="inlineStr">
        <is>
          <t>MASCELLINO</t>
        </is>
      </c>
      <c r="K5378" t="inlineStr">
        <is>
          <t>CUIVRE</t>
        </is>
      </c>
      <c r="L5378">
        <f>_xlfn.XLOOKUP(Tableau1[[#This Row],[TYPE DE PIECE]],Tableau4[MATIERE],Tableau4[SHORT TYPE],"",0,1)</f>
        <v/>
      </c>
      <c r="N5378">
        <f>IF(ISERR(FIND("DECOUPE",Tableau1[[#This Row],[DESIGNATION]])),"","NEED REF")</f>
        <v/>
      </c>
    </row>
    <row r="5379">
      <c r="B5379" t="n">
        <v>34408627</v>
      </c>
      <c r="C5379" s="2" t="n">
        <v>44011</v>
      </c>
      <c r="D5379" t="inlineStr">
        <is>
          <t>SPEC</t>
        </is>
      </c>
      <c r="E5379" t="inlineStr">
        <is>
          <t>CORO NSX250 L1</t>
        </is>
      </c>
      <c r="F5379" t="inlineStr">
        <is>
          <t>DERICHEBOURG</t>
        </is>
      </c>
      <c r="J5379" t="inlineStr">
        <is>
          <t>MASCELLINO</t>
        </is>
      </c>
      <c r="K5379" t="inlineStr">
        <is>
          <t>CUIVRE</t>
        </is>
      </c>
      <c r="L5379">
        <f>_xlfn.XLOOKUP(Tableau1[[#This Row],[TYPE DE PIECE]],Tableau4[MATIERE],Tableau4[SHORT TYPE],"",0,1)</f>
        <v/>
      </c>
      <c r="N5379">
        <f>IF(ISERR(FIND("DECOUPE",Tableau1[[#This Row],[DESIGNATION]])),"","NEED REF")</f>
        <v/>
      </c>
    </row>
    <row r="5380">
      <c r="B5380" t="n">
        <v>34408626</v>
      </c>
      <c r="C5380" s="2" t="n">
        <v>44011</v>
      </c>
      <c r="D5380" t="inlineStr">
        <is>
          <t>SPEC</t>
        </is>
      </c>
      <c r="E5380" t="inlineStr">
        <is>
          <t>CORO NSX250 NEUTRE</t>
        </is>
      </c>
      <c r="F5380" t="inlineStr">
        <is>
          <t>DERICHEBOURG</t>
        </is>
      </c>
      <c r="J5380" t="inlineStr">
        <is>
          <t>MASCELLINO</t>
        </is>
      </c>
      <c r="K5380" t="inlineStr">
        <is>
          <t>CUIVRE</t>
        </is>
      </c>
      <c r="L5380">
        <f>_xlfn.XLOOKUP(Tableau1[[#This Row],[TYPE DE PIECE]],Tableau4[MATIERE],Tableau4[SHORT TYPE],"",0,1)</f>
        <v/>
      </c>
      <c r="N5380">
        <f>IF(ISERR(FIND("DECOUPE",Tableau1[[#This Row],[DESIGNATION]])),"","NEED REF")</f>
        <v/>
      </c>
    </row>
    <row r="5381">
      <c r="B5381" t="n">
        <v>34408625</v>
      </c>
      <c r="C5381" s="2" t="n">
        <v>44011</v>
      </c>
      <c r="D5381" t="inlineStr">
        <is>
          <t>SPEC</t>
        </is>
      </c>
      <c r="E5381" t="inlineStr">
        <is>
          <t>CORO NSX630 L3</t>
        </is>
      </c>
      <c r="F5381" t="inlineStr">
        <is>
          <t>DERICHEBOURG</t>
        </is>
      </c>
      <c r="J5381" t="inlineStr">
        <is>
          <t>MASCELLINO</t>
        </is>
      </c>
      <c r="K5381" t="inlineStr">
        <is>
          <t>CUIVRE</t>
        </is>
      </c>
      <c r="L5381">
        <f>_xlfn.XLOOKUP(Tableau1[[#This Row],[TYPE DE PIECE]],Tableau4[MATIERE],Tableau4[SHORT TYPE],"",0,1)</f>
        <v/>
      </c>
      <c r="N5381">
        <f>IF(ISERR(FIND("DECOUPE",Tableau1[[#This Row],[DESIGNATION]])),"","NEED REF")</f>
        <v/>
      </c>
    </row>
    <row r="5382">
      <c r="B5382" t="n">
        <v>34408624</v>
      </c>
      <c r="C5382" s="2" t="n">
        <v>44011</v>
      </c>
      <c r="D5382" t="inlineStr">
        <is>
          <t>SPEC</t>
        </is>
      </c>
      <c r="E5382" t="inlineStr">
        <is>
          <t>CORO NSX630 L2</t>
        </is>
      </c>
      <c r="F5382" t="inlineStr">
        <is>
          <t>DERICHEBOURG</t>
        </is>
      </c>
      <c r="J5382" t="inlineStr">
        <is>
          <t>MASCELLINO</t>
        </is>
      </c>
      <c r="K5382" t="inlineStr">
        <is>
          <t>CUIVRE</t>
        </is>
      </c>
      <c r="L5382">
        <f>_xlfn.XLOOKUP(Tableau1[[#This Row],[TYPE DE PIECE]],Tableau4[MATIERE],Tableau4[SHORT TYPE],"",0,1)</f>
        <v/>
      </c>
      <c r="N5382">
        <f>IF(ISERR(FIND("DECOUPE",Tableau1[[#This Row],[DESIGNATION]])),"","NEED REF")</f>
        <v/>
      </c>
    </row>
    <row r="5383">
      <c r="B5383" t="n">
        <v>34408623</v>
      </c>
      <c r="C5383" s="2" t="n">
        <v>44011</v>
      </c>
      <c r="D5383" t="inlineStr">
        <is>
          <t>SPEC</t>
        </is>
      </c>
      <c r="E5383" t="inlineStr">
        <is>
          <t>CORO NSX630 L1</t>
        </is>
      </c>
      <c r="F5383" t="inlineStr">
        <is>
          <t>DERICHEBOURG</t>
        </is>
      </c>
      <c r="J5383" t="inlineStr">
        <is>
          <t>MASCELLINO</t>
        </is>
      </c>
      <c r="K5383" t="inlineStr">
        <is>
          <t>CUIVRE</t>
        </is>
      </c>
      <c r="L5383">
        <f>_xlfn.XLOOKUP(Tableau1[[#This Row],[TYPE DE PIECE]],Tableau4[MATIERE],Tableau4[SHORT TYPE],"",0,1)</f>
        <v/>
      </c>
      <c r="N5383">
        <f>IF(ISERR(FIND("DECOUPE",Tableau1[[#This Row],[DESIGNATION]])),"","NEED REF")</f>
        <v/>
      </c>
    </row>
    <row r="5384">
      <c r="B5384" t="n">
        <v>34408622</v>
      </c>
      <c r="C5384" s="2" t="n">
        <v>44011</v>
      </c>
      <c r="D5384" t="inlineStr">
        <is>
          <t>SPEC</t>
        </is>
      </c>
      <c r="E5384" t="inlineStr">
        <is>
          <t>CORO NSX630 NEUTRE</t>
        </is>
      </c>
      <c r="F5384" t="inlineStr">
        <is>
          <t>DERICHEBOURG</t>
        </is>
      </c>
      <c r="J5384" t="inlineStr">
        <is>
          <t>MASCELLINO</t>
        </is>
      </c>
      <c r="K5384" t="inlineStr">
        <is>
          <t>CUIVRE</t>
        </is>
      </c>
      <c r="L5384">
        <f>_xlfn.XLOOKUP(Tableau1[[#This Row],[TYPE DE PIECE]],Tableau4[MATIERE],Tableau4[SHORT TYPE],"",0,1)</f>
        <v/>
      </c>
      <c r="N5384">
        <f>IF(ISERR(FIND("DECOUPE",Tableau1[[#This Row],[DESIGNATION]])),"","NEED REF")</f>
        <v/>
      </c>
    </row>
    <row r="5385">
      <c r="B5385" t="n">
        <v>34408621</v>
      </c>
      <c r="C5385" s="2" t="n">
        <v>44011</v>
      </c>
      <c r="D5385" t="inlineStr">
        <is>
          <t>SPEC</t>
        </is>
      </c>
      <c r="E5385" t="inlineStr">
        <is>
          <t>CORO NSX250 L3</t>
        </is>
      </c>
      <c r="F5385" t="inlineStr">
        <is>
          <t>DERICHEBOURG</t>
        </is>
      </c>
      <c r="J5385" t="inlineStr">
        <is>
          <t>MASCELLINO</t>
        </is>
      </c>
      <c r="K5385" t="inlineStr">
        <is>
          <t>CUIVRE</t>
        </is>
      </c>
      <c r="L5385">
        <f>_xlfn.XLOOKUP(Tableau1[[#This Row],[TYPE DE PIECE]],Tableau4[MATIERE],Tableau4[SHORT TYPE],"",0,1)</f>
        <v/>
      </c>
      <c r="N5385">
        <f>IF(ISERR(FIND("DECOUPE",Tableau1[[#This Row],[DESIGNATION]])),"","NEED REF")</f>
        <v/>
      </c>
    </row>
    <row r="5386">
      <c r="B5386" t="n">
        <v>34408620</v>
      </c>
      <c r="C5386" s="2" t="n">
        <v>44011</v>
      </c>
      <c r="D5386" t="inlineStr">
        <is>
          <t>SPEC</t>
        </is>
      </c>
      <c r="E5386" t="inlineStr">
        <is>
          <t>CORO NSX250 L2</t>
        </is>
      </c>
      <c r="F5386" t="inlineStr">
        <is>
          <t>DERICHEBOURG</t>
        </is>
      </c>
      <c r="J5386" t="inlineStr">
        <is>
          <t>MASCELLINO</t>
        </is>
      </c>
      <c r="K5386" t="inlineStr">
        <is>
          <t>CUIVRE</t>
        </is>
      </c>
      <c r="L5386">
        <f>_xlfn.XLOOKUP(Tableau1[[#This Row],[TYPE DE PIECE]],Tableau4[MATIERE],Tableau4[SHORT TYPE],"",0,1)</f>
        <v/>
      </c>
      <c r="N5386">
        <f>IF(ISERR(FIND("DECOUPE",Tableau1[[#This Row],[DESIGNATION]])),"","NEED REF")</f>
        <v/>
      </c>
    </row>
    <row r="5387">
      <c r="B5387" t="n">
        <v>34408619</v>
      </c>
      <c r="C5387" s="2" t="n">
        <v>44011</v>
      </c>
      <c r="D5387" t="inlineStr">
        <is>
          <t>SPEC</t>
        </is>
      </c>
      <c r="E5387" t="inlineStr">
        <is>
          <t>CORO NSX250 L1</t>
        </is>
      </c>
      <c r="F5387" t="inlineStr">
        <is>
          <t>DERICHEBOURG</t>
        </is>
      </c>
      <c r="J5387" t="inlineStr">
        <is>
          <t>MASCELLINO</t>
        </is>
      </c>
      <c r="K5387" t="inlineStr">
        <is>
          <t>CUIVRE</t>
        </is>
      </c>
      <c r="L5387">
        <f>_xlfn.XLOOKUP(Tableau1[[#This Row],[TYPE DE PIECE]],Tableau4[MATIERE],Tableau4[SHORT TYPE],"",0,1)</f>
        <v/>
      </c>
      <c r="N5387">
        <f>IF(ISERR(FIND("DECOUPE",Tableau1[[#This Row],[DESIGNATION]])),"","NEED REF")</f>
        <v/>
      </c>
    </row>
    <row r="5388">
      <c r="B5388" t="n">
        <v>34408618</v>
      </c>
      <c r="C5388" s="2" t="n">
        <v>44011</v>
      </c>
      <c r="D5388" t="inlineStr">
        <is>
          <t>SPEC</t>
        </is>
      </c>
      <c r="E5388" t="inlineStr">
        <is>
          <t>CORO NSX250 NEUTRE</t>
        </is>
      </c>
      <c r="F5388" t="inlineStr">
        <is>
          <t>DERICHEBOURG</t>
        </is>
      </c>
      <c r="J5388" t="inlineStr">
        <is>
          <t>MASCELLINO</t>
        </is>
      </c>
      <c r="K5388" t="inlineStr">
        <is>
          <t>CUIVRE</t>
        </is>
      </c>
      <c r="L5388">
        <f>_xlfn.XLOOKUP(Tableau1[[#This Row],[TYPE DE PIECE]],Tableau4[MATIERE],Tableau4[SHORT TYPE],"",0,1)</f>
        <v/>
      </c>
      <c r="N5388">
        <f>IF(ISERR(FIND("DECOUPE",Tableau1[[#This Row],[DESIGNATION]])),"","NEED REF")</f>
        <v/>
      </c>
    </row>
    <row r="5389">
      <c r="B5389" t="n">
        <v>34408617</v>
      </c>
      <c r="C5389" s="2" t="n">
        <v>44011</v>
      </c>
      <c r="D5389" t="inlineStr">
        <is>
          <t>SPEC</t>
        </is>
      </c>
      <c r="E5389" t="inlineStr">
        <is>
          <t>CORO NSX630 L3</t>
        </is>
      </c>
      <c r="F5389" t="inlineStr">
        <is>
          <t>DERICHEBOURG</t>
        </is>
      </c>
      <c r="J5389" t="inlineStr">
        <is>
          <t>MASCELLINO</t>
        </is>
      </c>
      <c r="K5389" t="inlineStr">
        <is>
          <t>CUIVRE</t>
        </is>
      </c>
      <c r="L5389">
        <f>_xlfn.XLOOKUP(Tableau1[[#This Row],[TYPE DE PIECE]],Tableau4[MATIERE],Tableau4[SHORT TYPE],"",0,1)</f>
        <v/>
      </c>
      <c r="N5389">
        <f>IF(ISERR(FIND("DECOUPE",Tableau1[[#This Row],[DESIGNATION]])),"","NEED REF")</f>
        <v/>
      </c>
    </row>
    <row r="5390">
      <c r="B5390" t="n">
        <v>34408616</v>
      </c>
      <c r="C5390" s="2" t="n">
        <v>44011</v>
      </c>
      <c r="D5390" t="inlineStr">
        <is>
          <t>SPEC</t>
        </is>
      </c>
      <c r="E5390" t="inlineStr">
        <is>
          <t>CORO NSX630 L2</t>
        </is>
      </c>
      <c r="F5390" t="inlineStr">
        <is>
          <t>DERICHEBOURG</t>
        </is>
      </c>
      <c r="J5390" t="inlineStr">
        <is>
          <t>MASCELLINO</t>
        </is>
      </c>
      <c r="K5390" t="inlineStr">
        <is>
          <t>CUIVRE</t>
        </is>
      </c>
      <c r="L5390">
        <f>_xlfn.XLOOKUP(Tableau1[[#This Row],[TYPE DE PIECE]],Tableau4[MATIERE],Tableau4[SHORT TYPE],"",0,1)</f>
        <v/>
      </c>
      <c r="N5390">
        <f>IF(ISERR(FIND("DECOUPE",Tableau1[[#This Row],[DESIGNATION]])),"","NEED REF")</f>
        <v/>
      </c>
    </row>
    <row r="5391">
      <c r="B5391" t="n">
        <v>34408615</v>
      </c>
      <c r="C5391" s="2" t="n">
        <v>44011</v>
      </c>
      <c r="D5391" t="inlineStr">
        <is>
          <t>SPEC</t>
        </is>
      </c>
      <c r="E5391" t="inlineStr">
        <is>
          <t>CORO NSX630 L1</t>
        </is>
      </c>
      <c r="F5391" t="inlineStr">
        <is>
          <t>DERICHEBOURG</t>
        </is>
      </c>
      <c r="J5391" t="inlineStr">
        <is>
          <t>MASCELLINO</t>
        </is>
      </c>
      <c r="K5391" t="inlineStr">
        <is>
          <t>CUIVRE</t>
        </is>
      </c>
      <c r="L5391">
        <f>_xlfn.XLOOKUP(Tableau1[[#This Row],[TYPE DE PIECE]],Tableau4[MATIERE],Tableau4[SHORT TYPE],"",0,1)</f>
        <v/>
      </c>
      <c r="N5391">
        <f>IF(ISERR(FIND("DECOUPE",Tableau1[[#This Row],[DESIGNATION]])),"","NEED REF")</f>
        <v/>
      </c>
    </row>
    <row r="5392">
      <c r="B5392" t="n">
        <v>34408614</v>
      </c>
      <c r="C5392" s="2" t="n">
        <v>44011</v>
      </c>
      <c r="D5392" t="inlineStr">
        <is>
          <t>SPEC</t>
        </is>
      </c>
      <c r="E5392" t="inlineStr">
        <is>
          <t>CORO NSX630 NEUTRE</t>
        </is>
      </c>
      <c r="F5392" t="inlineStr">
        <is>
          <t>DERICHEBOURG</t>
        </is>
      </c>
      <c r="J5392" t="inlineStr">
        <is>
          <t>MASCELLINO</t>
        </is>
      </c>
      <c r="K5392" t="inlineStr">
        <is>
          <t>CUIVRE</t>
        </is>
      </c>
      <c r="L5392">
        <f>_xlfn.XLOOKUP(Tableau1[[#This Row],[TYPE DE PIECE]],Tableau4[MATIERE],Tableau4[SHORT TYPE],"",0,1)</f>
        <v/>
      </c>
      <c r="N5392">
        <f>IF(ISERR(FIND("DECOUPE",Tableau1[[#This Row],[DESIGNATION]])),"","NEED REF")</f>
        <v/>
      </c>
    </row>
    <row r="5393">
      <c r="B5393" t="n">
        <v>34408613</v>
      </c>
      <c r="C5393" s="2" t="n">
        <v>44011</v>
      </c>
      <c r="D5393" t="inlineStr">
        <is>
          <t>SPEC</t>
        </is>
      </c>
      <c r="E5393" t="inlineStr">
        <is>
          <t>TRAVERSE BASSE</t>
        </is>
      </c>
      <c r="F5393" t="inlineStr">
        <is>
          <t>DERICHEBOURG</t>
        </is>
      </c>
      <c r="J5393" t="inlineStr">
        <is>
          <t>MASCELLINO</t>
        </is>
      </c>
      <c r="K5393" t="inlineStr">
        <is>
          <t>METAL</t>
        </is>
      </c>
      <c r="L5393">
        <f>_xlfn.XLOOKUP(Tableau1[[#This Row],[TYPE DE PIECE]],Tableau4[MATIERE],Tableau4[SHORT TYPE],"",0,1)</f>
        <v/>
      </c>
      <c r="N5393">
        <f>IF(ISERR(FIND("DECOUPE",Tableau1[[#This Row],[DESIGNATION]])),"","NEED REF")</f>
        <v/>
      </c>
    </row>
    <row r="5394">
      <c r="B5394" t="n">
        <v>34408612</v>
      </c>
      <c r="C5394" s="2" t="n">
        <v>44011</v>
      </c>
      <c r="D5394" t="inlineStr">
        <is>
          <t>SPEC</t>
        </is>
      </c>
      <c r="E5394" t="inlineStr">
        <is>
          <t>PLATINE DE FOND</t>
        </is>
      </c>
      <c r="F5394" t="inlineStr">
        <is>
          <t>DERICHEBOURG</t>
        </is>
      </c>
      <c r="J5394" t="inlineStr">
        <is>
          <t>MASCELLINO</t>
        </is>
      </c>
      <c r="K5394" t="inlineStr">
        <is>
          <t>METAL</t>
        </is>
      </c>
      <c r="L5394">
        <f>_xlfn.XLOOKUP(Tableau1[[#This Row],[TYPE DE PIECE]],Tableau4[MATIERE],Tableau4[SHORT TYPE],"",0,1)</f>
        <v/>
      </c>
      <c r="N5394">
        <f>IF(ISERR(FIND("DECOUPE",Tableau1[[#This Row],[DESIGNATION]])),"","NEED REF")</f>
        <v/>
      </c>
    </row>
    <row r="5395">
      <c r="B5395" t="n">
        <v>34408611</v>
      </c>
      <c r="C5395" s="2" t="n">
        <v>44011</v>
      </c>
      <c r="D5395" t="inlineStr">
        <is>
          <t>SPEC</t>
        </is>
      </c>
      <c r="E5395" t="inlineStr">
        <is>
          <t>LINERGY 980</t>
        </is>
      </c>
      <c r="F5395" t="inlineStr">
        <is>
          <t>DERICHEBOURG</t>
        </is>
      </c>
      <c r="J5395" t="inlineStr">
        <is>
          <t>MASCELLINO</t>
        </is>
      </c>
      <c r="L5395">
        <f>_xlfn.XLOOKUP(Tableau1[[#This Row],[TYPE DE PIECE]],Tableau4[MATIERE],Tableau4[SHORT TYPE],"",0,1)</f>
        <v/>
      </c>
      <c r="N5395">
        <f>IF(ISERR(FIND("DECOUPE",Tableau1[[#This Row],[DESIGNATION]])),"","NEED REF")</f>
        <v/>
      </c>
    </row>
    <row r="5396">
      <c r="B5396" t="n">
        <v>34408610</v>
      </c>
      <c r="C5396" s="2" t="n">
        <v>44011</v>
      </c>
      <c r="D5396" t="inlineStr">
        <is>
          <t>SPEC</t>
        </is>
      </c>
      <c r="E5396" t="inlineStr">
        <is>
          <t>PLASTRON</t>
        </is>
      </c>
      <c r="F5396" t="inlineStr">
        <is>
          <t>DERICHEBOURG</t>
        </is>
      </c>
      <c r="J5396" t="inlineStr">
        <is>
          <t>MASCELLINO</t>
        </is>
      </c>
      <c r="K5396" t="inlineStr">
        <is>
          <t>METAL</t>
        </is>
      </c>
      <c r="L5396">
        <f>_xlfn.XLOOKUP(Tableau1[[#This Row],[TYPE DE PIECE]],Tableau4[MATIERE],Tableau4[SHORT TYPE],"",0,1)</f>
        <v/>
      </c>
      <c r="N5396">
        <f>IF(ISERR(FIND("DECOUPE",Tableau1[[#This Row],[DESIGNATION]])),"","NEED REF")</f>
        <v/>
      </c>
    </row>
    <row r="5397">
      <c r="B5397" t="n">
        <v>34408609</v>
      </c>
      <c r="C5397" s="2" t="n">
        <v>44011</v>
      </c>
      <c r="D5397" t="inlineStr">
        <is>
          <t>SPEC</t>
        </is>
      </c>
      <c r="E5397" t="inlineStr">
        <is>
          <t>DECOUPE PORTE 2000X800X800</t>
        </is>
      </c>
      <c r="F5397" t="inlineStr">
        <is>
          <t>DERICHEBOURG</t>
        </is>
      </c>
      <c r="J5397" t="inlineStr">
        <is>
          <t>MASCELLINO</t>
        </is>
      </c>
      <c r="K5397" t="inlineStr">
        <is>
          <t>METAL</t>
        </is>
      </c>
      <c r="L5397">
        <f>_xlfn.XLOOKUP(Tableau1[[#This Row],[TYPE DE PIECE]],Tableau4[MATIERE],Tableau4[SHORT TYPE],"",0,1)</f>
        <v/>
      </c>
      <c r="N5397">
        <f>IF(ISERR(FIND("DECOUPE",Tableau1[[#This Row],[DESIGNATION]])),"","NEED REF")</f>
        <v/>
      </c>
    </row>
    <row r="5398">
      <c r="B5398" t="n">
        <v>34408608</v>
      </c>
      <c r="C5398" s="2" t="n">
        <v>44011</v>
      </c>
      <c r="D5398" t="inlineStr">
        <is>
          <t>SPEC</t>
        </is>
      </c>
      <c r="E5398" t="inlineStr">
        <is>
          <t>EQUERRE SUPPORT</t>
        </is>
      </c>
      <c r="F5398" t="inlineStr">
        <is>
          <t>DERICHEBOURG</t>
        </is>
      </c>
      <c r="J5398" t="inlineStr">
        <is>
          <t>MASCELLINO</t>
        </is>
      </c>
      <c r="K5398" t="inlineStr">
        <is>
          <t>METAL</t>
        </is>
      </c>
      <c r="L5398">
        <f>_xlfn.XLOOKUP(Tableau1[[#This Row],[TYPE DE PIECE]],Tableau4[MATIERE],Tableau4[SHORT TYPE],"",0,1)</f>
        <v/>
      </c>
      <c r="N5398">
        <f>IF(ISERR(FIND("DECOUPE",Tableau1[[#This Row],[DESIGNATION]])),"","NEED REF")</f>
        <v/>
      </c>
    </row>
    <row r="5399">
      <c r="B5399" t="n">
        <v>34408607</v>
      </c>
      <c r="C5399" s="2" t="n">
        <v>44011</v>
      </c>
      <c r="D5399" t="inlineStr">
        <is>
          <t>SPEC</t>
        </is>
      </c>
      <c r="E5399" t="inlineStr">
        <is>
          <t>SMT PLASTRON</t>
        </is>
      </c>
      <c r="G5399" t="inlineStr">
        <is>
          <t>E3S</t>
        </is>
      </c>
      <c r="H5399" t="inlineStr">
        <is>
          <t>AUTRE</t>
        </is>
      </c>
      <c r="J5399" t="inlineStr">
        <is>
          <t>MATRION</t>
        </is>
      </c>
      <c r="K5399" t="inlineStr">
        <is>
          <t>METAL</t>
        </is>
      </c>
      <c r="L5399">
        <f>_xlfn.XLOOKUP(Tableau1[[#This Row],[TYPE DE PIECE]],Tableau4[MATIERE],Tableau4[SHORT TYPE],"",0,1)</f>
        <v/>
      </c>
      <c r="N5399">
        <f>IF(ISERR(FIND("DECOUPE",Tableau1[[#This Row],[DESIGNATION]])),"","NEED REF")</f>
        <v/>
      </c>
    </row>
    <row r="5400">
      <c r="B5400" t="n">
        <v>34408606</v>
      </c>
      <c r="C5400" s="2" t="n">
        <v>44008</v>
      </c>
      <c r="D5400" t="inlineStr">
        <is>
          <t>SPEC</t>
        </is>
      </c>
      <c r="L5400">
        <f>_xlfn.XLOOKUP(Tableau1[[#This Row],[TYPE DE PIECE]],Tableau4[MATIERE],Tableau4[SHORT TYPE],"",0,1)</f>
        <v/>
      </c>
      <c r="N5400">
        <f>IF(ISERR(FIND("DECOUPE",Tableau1[[#This Row],[DESIGNATION]])),"","NEED REF")</f>
        <v/>
      </c>
    </row>
    <row r="5401">
      <c r="B5401" t="n">
        <v>34408605</v>
      </c>
      <c r="C5401" s="2" t="n">
        <v>44008</v>
      </c>
      <c r="D5401" t="inlineStr">
        <is>
          <t>SPEC</t>
        </is>
      </c>
      <c r="L5401">
        <f>_xlfn.XLOOKUP(Tableau1[[#This Row],[TYPE DE PIECE]],Tableau4[MATIERE],Tableau4[SHORT TYPE],"",0,1)</f>
        <v/>
      </c>
      <c r="N5401">
        <f>IF(ISERR(FIND("DECOUPE",Tableau1[[#This Row],[DESIGNATION]])),"","NEED REF")</f>
        <v/>
      </c>
    </row>
    <row r="5402">
      <c r="B5402" t="n">
        <v>34408604</v>
      </c>
      <c r="C5402" s="2" t="n">
        <v>44008</v>
      </c>
      <c r="D5402" t="inlineStr">
        <is>
          <t>SPEC</t>
        </is>
      </c>
      <c r="L5402">
        <f>_xlfn.XLOOKUP(Tableau1[[#This Row],[TYPE DE PIECE]],Tableau4[MATIERE],Tableau4[SHORT TYPE],"",0,1)</f>
        <v/>
      </c>
      <c r="N5402">
        <f>IF(ISERR(FIND("DECOUPE",Tableau1[[#This Row],[DESIGNATION]])),"","NEED REF")</f>
        <v/>
      </c>
    </row>
    <row r="5403">
      <c r="B5403" t="n">
        <v>34408603</v>
      </c>
      <c r="C5403" s="2" t="n">
        <v>44008</v>
      </c>
      <c r="D5403" t="inlineStr">
        <is>
          <t>SPEC</t>
        </is>
      </c>
      <c r="E5403" t="inlineStr">
        <is>
          <t>CALE CUIVRE 80x30x15</t>
        </is>
      </c>
      <c r="F5403" t="inlineStr">
        <is>
          <t>STS1250</t>
        </is>
      </c>
      <c r="G5403" t="inlineStr">
        <is>
          <t>GVE</t>
        </is>
      </c>
      <c r="H5403" t="inlineStr">
        <is>
          <t>STS</t>
        </is>
      </c>
      <c r="J5403" t="inlineStr">
        <is>
          <t>MATRION</t>
        </is>
      </c>
      <c r="K5403" t="inlineStr">
        <is>
          <t>CUIVRE</t>
        </is>
      </c>
      <c r="L5403">
        <f>_xlfn.XLOOKUP(Tableau1[[#This Row],[TYPE DE PIECE]],Tableau4[MATIERE],Tableau4[SHORT TYPE],"",0,1)</f>
        <v/>
      </c>
      <c r="N5403">
        <f>IF(ISERR(FIND("DECOUPE",Tableau1[[#This Row],[DESIGNATION]])),"","NEED REF")</f>
        <v/>
      </c>
    </row>
    <row r="5404">
      <c r="B5404" t="n">
        <v>34408602</v>
      </c>
      <c r="C5404" s="2" t="n">
        <v>44008</v>
      </c>
      <c r="D5404" t="inlineStr">
        <is>
          <t>SPEC</t>
        </is>
      </c>
      <c r="E5404" t="inlineStr">
        <is>
          <t>SMT SUPPORT DJ 2</t>
        </is>
      </c>
      <c r="H5404" t="inlineStr">
        <is>
          <t>AUTRE</t>
        </is>
      </c>
      <c r="J5404" t="inlineStr">
        <is>
          <t>MATRION</t>
        </is>
      </c>
      <c r="K5404" t="inlineStr">
        <is>
          <t>METAL</t>
        </is>
      </c>
      <c r="L5404">
        <f>_xlfn.XLOOKUP(Tableau1[[#This Row],[TYPE DE PIECE]],Tableau4[MATIERE],Tableau4[SHORT TYPE],"",0,1)</f>
        <v/>
      </c>
      <c r="N5404">
        <f>IF(ISERR(FIND("DECOUPE",Tableau1[[#This Row],[DESIGNATION]])),"","NEED REF")</f>
        <v/>
      </c>
    </row>
    <row r="5405">
      <c r="B5405" t="n">
        <v>34408601</v>
      </c>
      <c r="C5405" s="2" t="n">
        <v>44008</v>
      </c>
      <c r="D5405" t="inlineStr">
        <is>
          <t>SPEC</t>
        </is>
      </c>
      <c r="E5405" t="inlineStr">
        <is>
          <t>DECOUPE GRAND TOIT</t>
        </is>
      </c>
      <c r="F5405" t="inlineStr">
        <is>
          <t>DERICHEBOURG</t>
        </is>
      </c>
      <c r="J5405" t="inlineStr">
        <is>
          <t>MASCELLINO</t>
        </is>
      </c>
      <c r="K5405" t="inlineStr">
        <is>
          <t>METAL</t>
        </is>
      </c>
      <c r="L5405">
        <f>_xlfn.XLOOKUP(Tableau1[[#This Row],[TYPE DE PIECE]],Tableau4[MATIERE],Tableau4[SHORT TYPE],"",0,1)</f>
        <v/>
      </c>
      <c r="N5405">
        <f>IF(ISERR(FIND("DECOUPE",Tableau1[[#This Row],[DESIGNATION]])),"","NEED REF")</f>
        <v/>
      </c>
    </row>
    <row r="5406">
      <c r="B5406" t="n">
        <v>34408600</v>
      </c>
      <c r="C5406" s="2" t="n">
        <v>44008</v>
      </c>
      <c r="D5406" t="inlineStr">
        <is>
          <t>SPEC</t>
        </is>
      </c>
      <c r="E5406" t="inlineStr">
        <is>
          <t>DECOUPE PETIT TOIT</t>
        </is>
      </c>
      <c r="F5406" t="inlineStr">
        <is>
          <t>DERICHEBOURG</t>
        </is>
      </c>
      <c r="J5406" t="inlineStr">
        <is>
          <t>MASCELLINO</t>
        </is>
      </c>
      <c r="K5406" t="inlineStr">
        <is>
          <t>METAL</t>
        </is>
      </c>
      <c r="L5406">
        <f>_xlfn.XLOOKUP(Tableau1[[#This Row],[TYPE DE PIECE]],Tableau4[MATIERE],Tableau4[SHORT TYPE],"",0,1)</f>
        <v/>
      </c>
      <c r="N5406">
        <f>IF(ISERR(FIND("DECOUPE",Tableau1[[#This Row],[DESIGNATION]])),"","NEED REF")</f>
        <v/>
      </c>
    </row>
    <row r="5407">
      <c r="B5407" t="n">
        <v>34408599</v>
      </c>
      <c r="C5407" s="2" t="n">
        <v>44008</v>
      </c>
      <c r="D5407" t="inlineStr">
        <is>
          <t>SPEC</t>
        </is>
      </c>
      <c r="E5407" t="inlineStr">
        <is>
          <t>TOIT ALU 3MM</t>
        </is>
      </c>
      <c r="F5407" t="inlineStr">
        <is>
          <t>DERICHEBOURG</t>
        </is>
      </c>
      <c r="J5407" t="inlineStr">
        <is>
          <t>MASCELLINO</t>
        </is>
      </c>
      <c r="K5407" t="inlineStr">
        <is>
          <t>METAL</t>
        </is>
      </c>
      <c r="L5407">
        <f>_xlfn.XLOOKUP(Tableau1[[#This Row],[TYPE DE PIECE]],Tableau4[MATIERE],Tableau4[SHORT TYPE],"",0,1)</f>
        <v/>
      </c>
      <c r="N5407">
        <f>IF(ISERR(FIND("DECOUPE",Tableau1[[#This Row],[DESIGNATION]])),"","NEED REF")</f>
        <v/>
      </c>
    </row>
    <row r="5408">
      <c r="B5408" t="n">
        <v>34408598</v>
      </c>
      <c r="C5408" s="2" t="n">
        <v>44008</v>
      </c>
      <c r="D5408" t="inlineStr">
        <is>
          <t>SPEC</t>
        </is>
      </c>
      <c r="E5408" t="inlineStr">
        <is>
          <t>TOIT ALU 3MM</t>
        </is>
      </c>
      <c r="F5408" t="inlineStr">
        <is>
          <t>DERICHEBOURG</t>
        </is>
      </c>
      <c r="J5408" t="inlineStr">
        <is>
          <t>MASCELLINO</t>
        </is>
      </c>
      <c r="K5408" t="inlineStr">
        <is>
          <t>METAL</t>
        </is>
      </c>
      <c r="L5408">
        <f>_xlfn.XLOOKUP(Tableau1[[#This Row],[TYPE DE PIECE]],Tableau4[MATIERE],Tableau4[SHORT TYPE],"",0,1)</f>
        <v/>
      </c>
      <c r="N5408">
        <f>IF(ISERR(FIND("DECOUPE",Tableau1[[#This Row],[DESIGNATION]])),"","NEED REF")</f>
        <v/>
      </c>
    </row>
    <row r="5409">
      <c r="B5409" t="n">
        <v>34408597</v>
      </c>
      <c r="C5409" s="2" t="n">
        <v>44008</v>
      </c>
      <c r="D5409" t="inlineStr">
        <is>
          <t>SPEC</t>
        </is>
      </c>
      <c r="E5409" t="inlineStr">
        <is>
          <t>SMT SUPPORT PLASTRON 2</t>
        </is>
      </c>
      <c r="G5409" t="inlineStr">
        <is>
          <t>E3S</t>
        </is>
      </c>
      <c r="H5409" t="inlineStr">
        <is>
          <t>AUTRE</t>
        </is>
      </c>
      <c r="J5409" t="inlineStr">
        <is>
          <t>MATRION</t>
        </is>
      </c>
      <c r="K5409" t="inlineStr">
        <is>
          <t>METAL</t>
        </is>
      </c>
      <c r="L5409">
        <f>_xlfn.XLOOKUP(Tableau1[[#This Row],[TYPE DE PIECE]],Tableau4[MATIERE],Tableau4[SHORT TYPE],"",0,1)</f>
        <v/>
      </c>
      <c r="N5409">
        <f>IF(ISERR(FIND("DECOUPE",Tableau1[[#This Row],[DESIGNATION]])),"","NEED REF")</f>
        <v/>
      </c>
    </row>
    <row r="5410">
      <c r="B5410" t="n">
        <v>34408596</v>
      </c>
      <c r="C5410" s="2" t="n">
        <v>44007</v>
      </c>
      <c r="D5410" t="inlineStr">
        <is>
          <t>SPEC</t>
        </is>
      </c>
      <c r="E5410" t="inlineStr">
        <is>
          <t>COP LIAISON ET RACCORDEMENT POINT MILIEU BYPASS</t>
        </is>
      </c>
      <c r="G5410" t="inlineStr">
        <is>
          <t>E3S</t>
        </is>
      </c>
      <c r="H5410" t="inlineStr">
        <is>
          <t>AUTRE</t>
        </is>
      </c>
      <c r="J5410" t="inlineStr">
        <is>
          <t>MATRION</t>
        </is>
      </c>
      <c r="K5410" t="inlineStr">
        <is>
          <t>CUIVRE</t>
        </is>
      </c>
      <c r="L5410">
        <f>_xlfn.XLOOKUP(Tableau1[[#This Row],[TYPE DE PIECE]],Tableau4[MATIERE],Tableau4[SHORT TYPE],"",0,1)</f>
        <v/>
      </c>
      <c r="N5410">
        <f>IF(ISERR(FIND("DECOUPE",Tableau1[[#This Row],[DESIGNATION]])),"","NEED REF")</f>
        <v/>
      </c>
    </row>
    <row r="5411">
      <c r="B5411" t="n">
        <v>34408595</v>
      </c>
      <c r="C5411" s="2" t="n">
        <v>44007</v>
      </c>
      <c r="D5411" t="inlineStr">
        <is>
          <t>SPEC</t>
        </is>
      </c>
      <c r="E5411" t="inlineStr">
        <is>
          <t>COFFRET NSY3D7525 TOP/BOTTOM CONNECTION</t>
        </is>
      </c>
      <c r="G5411" t="inlineStr">
        <is>
          <t>E3S</t>
        </is>
      </c>
      <c r="H5411" t="inlineStr">
        <is>
          <t>AUTRE</t>
        </is>
      </c>
      <c r="J5411" t="inlineStr">
        <is>
          <t>MATRION</t>
        </is>
      </c>
      <c r="K5411" t="inlineStr">
        <is>
          <t>SAREL</t>
        </is>
      </c>
      <c r="L5411">
        <f>_xlfn.XLOOKUP(Tableau1[[#This Row],[TYPE DE PIECE]],Tableau4[MATIERE],Tableau4[SHORT TYPE],"",0,1)</f>
        <v/>
      </c>
      <c r="N5411">
        <f>IF(ISERR(FIND("DECOUPE",Tableau1[[#This Row],[DESIGNATION]])),"","NEED REF")</f>
        <v/>
      </c>
    </row>
    <row r="5412">
      <c r="B5412" t="n">
        <v>34408594</v>
      </c>
      <c r="C5412" s="2" t="n">
        <v>44007</v>
      </c>
      <c r="D5412" t="inlineStr">
        <is>
          <t>SPEC</t>
        </is>
      </c>
      <c r="E5412" t="inlineStr">
        <is>
          <t>SMT PLATINE DE FOND</t>
        </is>
      </c>
      <c r="G5412" t="inlineStr">
        <is>
          <t>E3S</t>
        </is>
      </c>
      <c r="H5412" t="inlineStr">
        <is>
          <t>AUTRE</t>
        </is>
      </c>
      <c r="J5412" t="inlineStr">
        <is>
          <t>MATRION</t>
        </is>
      </c>
      <c r="K5412" t="inlineStr">
        <is>
          <t>METAL</t>
        </is>
      </c>
      <c r="L5412">
        <f>_xlfn.XLOOKUP(Tableau1[[#This Row],[TYPE DE PIECE]],Tableau4[MATIERE],Tableau4[SHORT TYPE],"",0,1)</f>
        <v/>
      </c>
      <c r="N5412">
        <f>IF(ISERR(FIND("DECOUPE",Tableau1[[#This Row],[DESIGNATION]])),"","NEED REF")</f>
        <v/>
      </c>
    </row>
    <row r="5413">
      <c r="B5413" t="n">
        <v>34408593</v>
      </c>
      <c r="C5413" s="2" t="n">
        <v>44006</v>
      </c>
      <c r="D5413" t="inlineStr">
        <is>
          <t>SPEC</t>
        </is>
      </c>
      <c r="E5413" t="inlineStr">
        <is>
          <t>EQUERRE SUPPORT IC</t>
        </is>
      </c>
      <c r="F5413" t="inlineStr">
        <is>
          <t>BARILLA ITALY</t>
        </is>
      </c>
      <c r="H5413" t="inlineStr">
        <is>
          <t>REGEN</t>
        </is>
      </c>
      <c r="J5413" t="inlineStr">
        <is>
          <t>JAWORSKI</t>
        </is>
      </c>
      <c r="K5413" t="inlineStr">
        <is>
          <t>METAL</t>
        </is>
      </c>
      <c r="L5413">
        <f>_xlfn.XLOOKUP(Tableau1[[#This Row],[TYPE DE PIECE]],Tableau4[MATIERE],Tableau4[SHORT TYPE],"",0,1)</f>
        <v/>
      </c>
      <c r="N5413">
        <f>IF(ISERR(FIND("DECOUPE",Tableau1[[#This Row],[DESIGNATION]])),"","NEED REF")</f>
        <v/>
      </c>
    </row>
    <row r="5414">
      <c r="B5414" t="n">
        <v>34408592</v>
      </c>
      <c r="C5414" s="2" t="n">
        <v>44000</v>
      </c>
      <c r="D5414" t="inlineStr">
        <is>
          <t>SPEC</t>
        </is>
      </c>
      <c r="E5414" t="inlineStr">
        <is>
          <t>SUPPORT PROTECTION ECRAN</t>
        </is>
      </c>
      <c r="J5414" t="inlineStr">
        <is>
          <t>MATRION</t>
        </is>
      </c>
      <c r="K5414" t="inlineStr">
        <is>
          <t>METAL</t>
        </is>
      </c>
      <c r="L5414">
        <f>_xlfn.XLOOKUP(Tableau1[[#This Row],[TYPE DE PIECE]],Tableau4[MATIERE],Tableau4[SHORT TYPE],"",0,1)</f>
        <v/>
      </c>
      <c r="N5414">
        <f>IF(ISERR(FIND("DECOUPE",Tableau1[[#This Row],[DESIGNATION]])),"","NEED REF")</f>
        <v/>
      </c>
    </row>
    <row r="5415">
      <c r="B5415" t="n">
        <v>34408591</v>
      </c>
      <c r="C5415" s="2" t="n">
        <v>44000</v>
      </c>
      <c r="D5415" t="inlineStr">
        <is>
          <t>SPEC</t>
        </is>
      </c>
      <c r="E5415" t="inlineStr">
        <is>
          <t>COFFRET S3D BBK 1000A</t>
        </is>
      </c>
      <c r="F5415" t="inlineStr">
        <is>
          <t>PROJET BBK 1000A</t>
        </is>
      </c>
      <c r="G5415" t="inlineStr">
        <is>
          <t>GVX</t>
        </is>
      </c>
      <c r="H5415" t="inlineStr">
        <is>
          <t>AUX</t>
        </is>
      </c>
      <c r="J5415" t="inlineStr">
        <is>
          <t>JAWORSKI</t>
        </is>
      </c>
      <c r="K5415" t="inlineStr">
        <is>
          <t>METAL</t>
        </is>
      </c>
      <c r="L5415">
        <f>_xlfn.XLOOKUP(Tableau1[[#This Row],[TYPE DE PIECE]],Tableau4[MATIERE],Tableau4[SHORT TYPE],"",0,1)</f>
        <v/>
      </c>
      <c r="N5415">
        <f>IF(ISERR(FIND("DECOUPE",Tableau1[[#This Row],[DESIGNATION]])),"","NEED REF")</f>
        <v/>
      </c>
    </row>
    <row r="5416">
      <c r="B5416" t="n">
        <v>34408590</v>
      </c>
      <c r="C5416" s="2" t="n">
        <v>44000</v>
      </c>
      <c r="D5416" t="inlineStr">
        <is>
          <t>SPEC</t>
        </is>
      </c>
      <c r="E5416" t="inlineStr">
        <is>
          <t>SMT CADRE AFFICHEUR 3</t>
        </is>
      </c>
      <c r="J5416" t="inlineStr">
        <is>
          <t>MATRION</t>
        </is>
      </c>
      <c r="K5416" t="inlineStr">
        <is>
          <t>METAL</t>
        </is>
      </c>
      <c r="L5416">
        <f>_xlfn.XLOOKUP(Tableau1[[#This Row],[TYPE DE PIECE]],Tableau4[MATIERE],Tableau4[SHORT TYPE],"",0,1)</f>
        <v/>
      </c>
      <c r="N5416">
        <f>IF(ISERR(FIND("DECOUPE",Tableau1[[#This Row],[DESIGNATION]])),"","NEED REF")</f>
        <v/>
      </c>
    </row>
    <row r="5417">
      <c r="B5417" t="n">
        <v>34408589</v>
      </c>
      <c r="C5417" s="2" t="n">
        <v>43999</v>
      </c>
      <c r="D5417" t="inlineStr">
        <is>
          <t>SPEC</t>
        </is>
      </c>
      <c r="E5417" t="inlineStr">
        <is>
          <t>PASSE CABLES BATT IO1000</t>
        </is>
      </c>
      <c r="J5417" t="inlineStr">
        <is>
          <t>MATRION</t>
        </is>
      </c>
      <c r="K5417" t="inlineStr">
        <is>
          <t>METAL</t>
        </is>
      </c>
      <c r="L5417">
        <f>_xlfn.XLOOKUP(Tableau1[[#This Row],[TYPE DE PIECE]],Tableau4[MATIERE],Tableau4[SHORT TYPE],"",0,1)</f>
        <v/>
      </c>
      <c r="N5417">
        <f>IF(ISERR(FIND("DECOUPE",Tableau1[[#This Row],[DESIGNATION]])),"","NEED REF")</f>
        <v/>
      </c>
    </row>
    <row r="5418">
      <c r="B5418" t="n">
        <v>34408588</v>
      </c>
      <c r="C5418" s="2" t="n">
        <v>43999</v>
      </c>
      <c r="D5418" t="inlineStr">
        <is>
          <t>SPEC</t>
        </is>
      </c>
      <c r="E5418" t="inlineStr">
        <is>
          <t>TOIT IO1000 POUR TETE VOLTADIS AVEC RACC BATT CABLES</t>
        </is>
      </c>
      <c r="J5418" t="inlineStr">
        <is>
          <t>MATRION</t>
        </is>
      </c>
      <c r="K5418" t="inlineStr">
        <is>
          <t>METAL</t>
        </is>
      </c>
      <c r="L5418">
        <f>_xlfn.XLOOKUP(Tableau1[[#This Row],[TYPE DE PIECE]],Tableau4[MATIERE],Tableau4[SHORT TYPE],"",0,1)</f>
        <v/>
      </c>
      <c r="N5418">
        <f>IF(ISERR(FIND("DECOUPE",Tableau1[[#This Row],[DESIGNATION]])),"","NEED REF")</f>
        <v/>
      </c>
    </row>
    <row r="5419">
      <c r="B5419" t="n">
        <v>34408587</v>
      </c>
      <c r="C5419" s="2" t="n">
        <v>43999</v>
      </c>
      <c r="D5419" t="inlineStr">
        <is>
          <t>SPEC</t>
        </is>
      </c>
      <c r="E5419" t="inlineStr">
        <is>
          <t>TOIT ALU 3MM</t>
        </is>
      </c>
      <c r="J5419" t="inlineStr">
        <is>
          <t>MASCELLINO</t>
        </is>
      </c>
      <c r="K5419" t="inlineStr">
        <is>
          <t>METAL</t>
        </is>
      </c>
      <c r="L5419">
        <f>_xlfn.XLOOKUP(Tableau1[[#This Row],[TYPE DE PIECE]],Tableau4[MATIERE],Tableau4[SHORT TYPE],"",0,1)</f>
        <v/>
      </c>
      <c r="N5419">
        <f>IF(ISERR(FIND("DECOUPE",Tableau1[[#This Row],[DESIGNATION]])),"","NEED REF")</f>
        <v/>
      </c>
    </row>
    <row r="5420">
      <c r="B5420" t="n">
        <v>34408586</v>
      </c>
      <c r="C5420" s="2" t="n">
        <v>43999</v>
      </c>
      <c r="D5420" t="inlineStr">
        <is>
          <t>SPEC</t>
        </is>
      </c>
      <c r="E5420" t="inlineStr">
        <is>
          <t>DECOUPE PETIT TOIT</t>
        </is>
      </c>
      <c r="J5420" t="inlineStr">
        <is>
          <t>MASCELLINO</t>
        </is>
      </c>
      <c r="K5420" t="inlineStr">
        <is>
          <t>METAL</t>
        </is>
      </c>
      <c r="L5420">
        <f>_xlfn.XLOOKUP(Tableau1[[#This Row],[TYPE DE PIECE]],Tableau4[MATIERE],Tableau4[SHORT TYPE],"",0,1)</f>
        <v/>
      </c>
      <c r="N5420">
        <f>IF(ISERR(FIND("DECOUPE",Tableau1[[#This Row],[DESIGNATION]])),"","NEED REF")</f>
        <v/>
      </c>
    </row>
    <row r="5421">
      <c r="B5421" t="n">
        <v>34408585</v>
      </c>
      <c r="C5421" s="2" t="n">
        <v>43999</v>
      </c>
      <c r="D5421" t="inlineStr">
        <is>
          <t>SPEC</t>
        </is>
      </c>
      <c r="E5421" t="inlineStr">
        <is>
          <t>DECOUPE GRAND TOIT</t>
        </is>
      </c>
      <c r="J5421" t="inlineStr">
        <is>
          <t>MASCELLINO</t>
        </is>
      </c>
      <c r="K5421" t="inlineStr">
        <is>
          <t>METAL</t>
        </is>
      </c>
      <c r="L5421">
        <f>_xlfn.XLOOKUP(Tableau1[[#This Row],[TYPE DE PIECE]],Tableau4[MATIERE],Tableau4[SHORT TYPE],"",0,1)</f>
        <v/>
      </c>
      <c r="N5421">
        <f>IF(ISERR(FIND("DECOUPE",Tableau1[[#This Row],[DESIGNATION]])),"","NEED REF")</f>
        <v/>
      </c>
    </row>
    <row r="5422">
      <c r="B5422" t="n">
        <v>34408584</v>
      </c>
      <c r="C5422" s="2" t="n">
        <v>43998</v>
      </c>
      <c r="D5422" t="inlineStr">
        <is>
          <t>SPEC</t>
        </is>
      </c>
      <c r="E5422" t="inlineStr">
        <is>
          <t>COFFRET REMOTE ALARM STATUS PANEL</t>
        </is>
      </c>
      <c r="F5422" t="inlineStr">
        <is>
          <t>PHILLIPS</t>
        </is>
      </c>
      <c r="G5422" t="inlineStr">
        <is>
          <t>GVE</t>
        </is>
      </c>
      <c r="H5422" t="inlineStr">
        <is>
          <t>AUX</t>
        </is>
      </c>
      <c r="J5422" t="inlineStr">
        <is>
          <t>JAWORSKI</t>
        </is>
      </c>
      <c r="K5422" t="inlineStr">
        <is>
          <t>METAL</t>
        </is>
      </c>
      <c r="L5422">
        <f>_xlfn.XLOOKUP(Tableau1[[#This Row],[TYPE DE PIECE]],Tableau4[MATIERE],Tableau4[SHORT TYPE],"",0,1)</f>
        <v/>
      </c>
      <c r="N5422">
        <f>IF(ISERR(FIND("DECOUPE",Tableau1[[#This Row],[DESIGNATION]])),"","NEED REF")</f>
        <v/>
      </c>
    </row>
    <row r="5423">
      <c r="B5423" t="n">
        <v>34408583</v>
      </c>
      <c r="C5423" s="2" t="n">
        <v>43998</v>
      </c>
      <c r="D5423" t="inlineStr">
        <is>
          <t>SPEC</t>
        </is>
      </c>
      <c r="E5423" t="inlineStr">
        <is>
          <t>vis M3x10 TORX</t>
        </is>
      </c>
      <c r="J5423" t="inlineStr">
        <is>
          <t>PLANTIER</t>
        </is>
      </c>
      <c r="K5423" t="inlineStr">
        <is>
          <t>visserie</t>
        </is>
      </c>
      <c r="L5423">
        <f>_xlfn.XLOOKUP(Tableau1[[#This Row],[TYPE DE PIECE]],Tableau4[MATIERE],Tableau4[SHORT TYPE],"",0,1)</f>
        <v/>
      </c>
      <c r="N5423">
        <f>IF(ISERR(FIND("DECOUPE",Tableau1[[#This Row],[DESIGNATION]])),"","NEED REF")</f>
        <v/>
      </c>
    </row>
    <row r="5424">
      <c r="B5424" t="n">
        <v>34408582</v>
      </c>
      <c r="C5424" s="2" t="n">
        <v>43997</v>
      </c>
      <c r="D5424" t="inlineStr">
        <is>
          <t>SPEC</t>
        </is>
      </c>
      <c r="E5424" t="inlineStr">
        <is>
          <t>TOIT ALU 3MM</t>
        </is>
      </c>
      <c r="J5424" t="inlineStr">
        <is>
          <t>MASCELLINO</t>
        </is>
      </c>
      <c r="K5424" t="inlineStr">
        <is>
          <t>METAL</t>
        </is>
      </c>
      <c r="L5424">
        <f>_xlfn.XLOOKUP(Tableau1[[#This Row],[TYPE DE PIECE]],Tableau4[MATIERE],Tableau4[SHORT TYPE],"",0,1)</f>
        <v/>
      </c>
      <c r="N5424">
        <f>IF(ISERR(FIND("DECOUPE",Tableau1[[#This Row],[DESIGNATION]])),"","NEED REF")</f>
        <v/>
      </c>
    </row>
    <row r="5425">
      <c r="B5425" t="n">
        <v>34408581</v>
      </c>
      <c r="C5425" s="2" t="n">
        <v>43994</v>
      </c>
      <c r="D5425" t="inlineStr">
        <is>
          <t>SPEC</t>
        </is>
      </c>
      <c r="E5425" t="inlineStr">
        <is>
          <t>SMT PLASTRON GB2 - EMPLACEMENT NSX250</t>
        </is>
      </c>
      <c r="H5425" t="inlineStr">
        <is>
          <t>AUX</t>
        </is>
      </c>
      <c r="J5425" t="inlineStr">
        <is>
          <t>MATRION</t>
        </is>
      </c>
      <c r="K5425" t="inlineStr">
        <is>
          <t>METAL</t>
        </is>
      </c>
      <c r="L5425">
        <f>_xlfn.XLOOKUP(Tableau1[[#This Row],[TYPE DE PIECE]],Tableau4[MATIERE],Tableau4[SHORT TYPE],"",0,1)</f>
        <v/>
      </c>
      <c r="N5425">
        <f>IF(ISERR(FIND("DECOUPE",Tableau1[[#This Row],[DESIGNATION]])),"","NEED REF")</f>
        <v/>
      </c>
    </row>
    <row r="5426">
      <c r="B5426" t="n">
        <v>34408580</v>
      </c>
      <c r="C5426" s="2" t="n">
        <v>43994</v>
      </c>
      <c r="D5426" t="inlineStr">
        <is>
          <t>SPEC</t>
        </is>
      </c>
      <c r="E5426" t="inlineStr">
        <is>
          <t>SMT SUPPORT GB2 - EMPLACEMENT NSX250</t>
        </is>
      </c>
      <c r="H5426" t="inlineStr">
        <is>
          <t>AUX</t>
        </is>
      </c>
      <c r="J5426" t="inlineStr">
        <is>
          <t>MATRION</t>
        </is>
      </c>
      <c r="K5426" t="inlineStr">
        <is>
          <t>METAL</t>
        </is>
      </c>
      <c r="L5426">
        <f>_xlfn.XLOOKUP(Tableau1[[#This Row],[TYPE DE PIECE]],Tableau4[MATIERE],Tableau4[SHORT TYPE],"",0,1)</f>
        <v/>
      </c>
      <c r="N5426">
        <f>IF(ISERR(FIND("DECOUPE",Tableau1[[#This Row],[DESIGNATION]])),"","NEED REF")</f>
        <v/>
      </c>
    </row>
    <row r="5427">
      <c r="B5427" t="n">
        <v>34408579</v>
      </c>
      <c r="C5427" s="2" t="n">
        <v>43993</v>
      </c>
      <c r="D5427" t="inlineStr">
        <is>
          <t>SPEC</t>
        </is>
      </c>
      <c r="E5427" t="inlineStr">
        <is>
          <t>ROOF UPS E3S IP21 RAL 9003 40KVA</t>
        </is>
      </c>
      <c r="F5427" t="inlineStr">
        <is>
          <t>ESPOO SOLA FINLAND</t>
        </is>
      </c>
      <c r="G5427" t="inlineStr">
        <is>
          <t>E3S</t>
        </is>
      </c>
      <c r="H5427" t="inlineStr">
        <is>
          <t>UPS</t>
        </is>
      </c>
      <c r="J5427" t="inlineStr">
        <is>
          <t>JAWORSKI</t>
        </is>
      </c>
      <c r="K5427" t="inlineStr">
        <is>
          <t>METAL</t>
        </is>
      </c>
      <c r="L5427">
        <f>_xlfn.XLOOKUP(Tableau1[[#This Row],[TYPE DE PIECE]],Tableau4[MATIERE],Tableau4[SHORT TYPE],"",0,1)</f>
        <v/>
      </c>
      <c r="N5427">
        <f>IF(ISERR(FIND("DECOUPE",Tableau1[[#This Row],[DESIGNATION]])),"","NEED REF")</f>
        <v/>
      </c>
    </row>
    <row r="5428">
      <c r="B5428" t="n">
        <v>34408578</v>
      </c>
      <c r="C5428" s="2" t="n">
        <v>43993</v>
      </c>
      <c r="D5428" t="inlineStr">
        <is>
          <t>SPEC</t>
        </is>
      </c>
      <c r="E5428" t="inlineStr">
        <is>
          <t>ROOF UPS E3S IP21 RAL 9003 20-30KVA</t>
        </is>
      </c>
      <c r="F5428" t="inlineStr">
        <is>
          <t>ESPOO SOLA FINLAND</t>
        </is>
      </c>
      <c r="G5428" t="inlineStr">
        <is>
          <t>E3S</t>
        </is>
      </c>
      <c r="H5428" t="inlineStr">
        <is>
          <t>UPS</t>
        </is>
      </c>
      <c r="J5428" t="inlineStr">
        <is>
          <t>JAWORSKI</t>
        </is>
      </c>
      <c r="K5428" t="inlineStr">
        <is>
          <t>METAL</t>
        </is>
      </c>
      <c r="L5428">
        <f>_xlfn.XLOOKUP(Tableau1[[#This Row],[TYPE DE PIECE]],Tableau4[MATIERE],Tableau4[SHORT TYPE],"",0,1)</f>
        <v/>
      </c>
      <c r="N5428">
        <f>IF(ISERR(FIND("DECOUPE",Tableau1[[#This Row],[DESIGNATION]])),"","NEED REF")</f>
        <v/>
      </c>
    </row>
    <row r="5429">
      <c r="B5429" t="n">
        <v>34408577</v>
      </c>
      <c r="C5429" s="2" t="n">
        <v>43993</v>
      </c>
      <c r="D5429" t="inlineStr">
        <is>
          <t>SPEC</t>
        </is>
      </c>
      <c r="E5429" t="inlineStr">
        <is>
          <t>ROOF UPS E3S IP21 RAL 9003 10-15KVA</t>
        </is>
      </c>
      <c r="F5429" t="inlineStr">
        <is>
          <t>ESPOO SOLA FINLAND</t>
        </is>
      </c>
      <c r="G5429" t="inlineStr">
        <is>
          <t>E3S</t>
        </is>
      </c>
      <c r="H5429" t="inlineStr">
        <is>
          <t>UPS</t>
        </is>
      </c>
      <c r="J5429" t="inlineStr">
        <is>
          <t>JAWORSKI</t>
        </is>
      </c>
      <c r="K5429" t="inlineStr">
        <is>
          <t>METAL</t>
        </is>
      </c>
      <c r="L5429">
        <f>_xlfn.XLOOKUP(Tableau1[[#This Row],[TYPE DE PIECE]],Tableau4[MATIERE],Tableau4[SHORT TYPE],"",0,1)</f>
        <v/>
      </c>
      <c r="N5429">
        <f>IF(ISERR(FIND("DECOUPE",Tableau1[[#This Row],[DESIGNATION]])),"","NEED REF")</f>
        <v/>
      </c>
    </row>
    <row r="5430">
      <c r="B5430" t="n">
        <v>34408576</v>
      </c>
      <c r="C5430" s="2" t="n">
        <v>43993</v>
      </c>
      <c r="D5430" t="inlineStr">
        <is>
          <t>SPEC</t>
        </is>
      </c>
      <c r="E5430" t="inlineStr">
        <is>
          <t>BARRE PE</t>
        </is>
      </c>
      <c r="J5430" t="inlineStr">
        <is>
          <t>MASCELLINO</t>
        </is>
      </c>
      <c r="K5430" t="inlineStr">
        <is>
          <t>CUIVRE</t>
        </is>
      </c>
      <c r="L5430">
        <f>_xlfn.XLOOKUP(Tableau1[[#This Row],[TYPE DE PIECE]],Tableau4[MATIERE],Tableau4[SHORT TYPE],"",0,1)</f>
        <v/>
      </c>
      <c r="N5430">
        <f>IF(ISERR(FIND("DECOUPE",Tableau1[[#This Row],[DESIGNATION]])),"","NEED REF")</f>
        <v/>
      </c>
    </row>
    <row r="5431">
      <c r="B5431" t="n">
        <v>34408575</v>
      </c>
      <c r="C5431" s="2" t="n">
        <v>43993</v>
      </c>
      <c r="D5431" t="inlineStr">
        <is>
          <t>SPEC</t>
        </is>
      </c>
      <c r="E5431" t="inlineStr">
        <is>
          <t>SMT SUPPORT VOYANT 1000</t>
        </is>
      </c>
      <c r="H5431" t="inlineStr">
        <is>
          <t>AUX</t>
        </is>
      </c>
      <c r="J5431" t="inlineStr">
        <is>
          <t>MATRION</t>
        </is>
      </c>
      <c r="K5431" t="inlineStr">
        <is>
          <t>METAL</t>
        </is>
      </c>
      <c r="L5431">
        <f>_xlfn.XLOOKUP(Tableau1[[#This Row],[TYPE DE PIECE]],Tableau4[MATIERE],Tableau4[SHORT TYPE],"",0,1)</f>
        <v/>
      </c>
      <c r="N5431">
        <f>IF(ISERR(FIND("DECOUPE",Tableau1[[#This Row],[DESIGNATION]])),"","NEED REF")</f>
        <v/>
      </c>
    </row>
    <row r="5432">
      <c r="B5432" t="n">
        <v>34408574</v>
      </c>
      <c r="C5432" s="2" t="n">
        <v>43992</v>
      </c>
      <c r="D5432" t="inlineStr">
        <is>
          <t>SPEC</t>
        </is>
      </c>
      <c r="E5432" t="inlineStr">
        <is>
          <t>PLASTRON DISJONCTEUR</t>
        </is>
      </c>
      <c r="F5432" t="inlineStr">
        <is>
          <t>SE SCHWEIZ</t>
        </is>
      </c>
      <c r="J5432" t="inlineStr">
        <is>
          <t>MASCELLINO</t>
        </is>
      </c>
      <c r="K5432" t="inlineStr">
        <is>
          <t>METAL</t>
        </is>
      </c>
      <c r="L5432">
        <f>_xlfn.XLOOKUP(Tableau1[[#This Row],[TYPE DE PIECE]],Tableau4[MATIERE],Tableau4[SHORT TYPE],"",0,1)</f>
        <v/>
      </c>
      <c r="N5432">
        <f>IF(ISERR(FIND("DECOUPE",Tableau1[[#This Row],[DESIGNATION]])),"","NEED REF")</f>
        <v/>
      </c>
    </row>
    <row r="5433">
      <c r="B5433" t="n">
        <v>34408573</v>
      </c>
      <c r="C5433" s="2" t="n">
        <v>43992</v>
      </c>
      <c r="D5433" t="inlineStr">
        <is>
          <t>SPEC</t>
        </is>
      </c>
      <c r="E5433" t="inlineStr">
        <is>
          <t>PLATINE DE FOND</t>
        </is>
      </c>
      <c r="F5433" t="inlineStr">
        <is>
          <t>SE SCHWEIZ</t>
        </is>
      </c>
      <c r="J5433" t="inlineStr">
        <is>
          <t>MASCELLINO</t>
        </is>
      </c>
      <c r="K5433" t="inlineStr">
        <is>
          <t>METAL</t>
        </is>
      </c>
      <c r="L5433">
        <f>_xlfn.XLOOKUP(Tableau1[[#This Row],[TYPE DE PIECE]],Tableau4[MATIERE],Tableau4[SHORT TYPE],"",0,1)</f>
        <v/>
      </c>
      <c r="N5433">
        <f>IF(ISERR(FIND("DECOUPE",Tableau1[[#This Row],[DESIGNATION]])),"","NEED REF")</f>
        <v/>
      </c>
    </row>
    <row r="5434">
      <c r="B5434" t="n">
        <v>34408572</v>
      </c>
      <c r="C5434" s="2" t="n">
        <v>43992</v>
      </c>
      <c r="D5434" t="inlineStr">
        <is>
          <t>SPEC</t>
        </is>
      </c>
      <c r="E5434" t="inlineStr">
        <is>
          <t>FLEX L3</t>
        </is>
      </c>
      <c r="F5434" t="inlineStr">
        <is>
          <t>SE SCHWEIZ</t>
        </is>
      </c>
      <c r="J5434" t="inlineStr">
        <is>
          <t>MASCELLINO</t>
        </is>
      </c>
      <c r="K5434" t="inlineStr">
        <is>
          <t>CUIVRE</t>
        </is>
      </c>
      <c r="L5434">
        <f>_xlfn.XLOOKUP(Tableau1[[#This Row],[TYPE DE PIECE]],Tableau4[MATIERE],Tableau4[SHORT TYPE],"",0,1)</f>
        <v/>
      </c>
      <c r="N5434">
        <f>IF(ISERR(FIND("DECOUPE",Tableau1[[#This Row],[DESIGNATION]])),"","NEED REF")</f>
        <v/>
      </c>
    </row>
    <row r="5435">
      <c r="B5435" t="n">
        <v>34408571</v>
      </c>
      <c r="C5435" s="2" t="n">
        <v>43992</v>
      </c>
      <c r="D5435" t="inlineStr">
        <is>
          <t>SPEC</t>
        </is>
      </c>
      <c r="E5435" t="inlineStr">
        <is>
          <t>FLEX L2</t>
        </is>
      </c>
      <c r="F5435" t="inlineStr">
        <is>
          <t>SE SCHWEIZ</t>
        </is>
      </c>
      <c r="J5435" t="inlineStr">
        <is>
          <t>MASCELLINO</t>
        </is>
      </c>
      <c r="K5435" t="inlineStr">
        <is>
          <t>CUIVRE</t>
        </is>
      </c>
      <c r="L5435">
        <f>_xlfn.XLOOKUP(Tableau1[[#This Row],[TYPE DE PIECE]],Tableau4[MATIERE],Tableau4[SHORT TYPE],"",0,1)</f>
        <v/>
      </c>
      <c r="N5435">
        <f>IF(ISERR(FIND("DECOUPE",Tableau1[[#This Row],[DESIGNATION]])),"","NEED REF")</f>
        <v/>
      </c>
    </row>
    <row r="5436">
      <c r="B5436" t="n">
        <v>34408570</v>
      </c>
      <c r="C5436" s="2" t="n">
        <v>43992</v>
      </c>
      <c r="D5436" t="inlineStr">
        <is>
          <t>SPEC</t>
        </is>
      </c>
      <c r="E5436" t="inlineStr">
        <is>
          <t>FLEX L1</t>
        </is>
      </c>
      <c r="F5436" t="inlineStr">
        <is>
          <t>SE SCHWEIZ</t>
        </is>
      </c>
      <c r="J5436" t="inlineStr">
        <is>
          <t>MASCELLINO</t>
        </is>
      </c>
      <c r="K5436" t="inlineStr">
        <is>
          <t>CUIVRE</t>
        </is>
      </c>
      <c r="L5436">
        <f>_xlfn.XLOOKUP(Tableau1[[#This Row],[TYPE DE PIECE]],Tableau4[MATIERE],Tableau4[SHORT TYPE],"",0,1)</f>
        <v/>
      </c>
      <c r="N5436">
        <f>IF(ISERR(FIND("DECOUPE",Tableau1[[#This Row],[DESIGNATION]])),"","NEED REF")</f>
        <v/>
      </c>
    </row>
    <row r="5437">
      <c r="B5437" t="n">
        <v>34408569</v>
      </c>
      <c r="C5437" s="2" t="n">
        <v>43992</v>
      </c>
      <c r="D5437" t="inlineStr">
        <is>
          <t>SPEC</t>
        </is>
      </c>
      <c r="E5437" t="inlineStr">
        <is>
          <t>FLEX NEUTRE</t>
        </is>
      </c>
      <c r="F5437" t="inlineStr">
        <is>
          <t>SE SCHWEIZ</t>
        </is>
      </c>
      <c r="J5437" t="inlineStr">
        <is>
          <t>MASCELLINO</t>
        </is>
      </c>
      <c r="K5437" t="inlineStr">
        <is>
          <t>CUIVRE</t>
        </is>
      </c>
      <c r="L5437">
        <f>_xlfn.XLOOKUP(Tableau1[[#This Row],[TYPE DE PIECE]],Tableau4[MATIERE],Tableau4[SHORT TYPE],"",0,1)</f>
        <v/>
      </c>
      <c r="N5437">
        <f>IF(ISERR(FIND("DECOUPE",Tableau1[[#This Row],[DESIGNATION]])),"","NEED REF")</f>
        <v/>
      </c>
    </row>
    <row r="5438">
      <c r="B5438" t="n">
        <v>34408568</v>
      </c>
      <c r="C5438" s="2" t="n">
        <v>43992</v>
      </c>
      <c r="D5438" t="inlineStr">
        <is>
          <t>SPEC</t>
        </is>
      </c>
      <c r="E5438" t="inlineStr">
        <is>
          <t>CALE</t>
        </is>
      </c>
      <c r="F5438" t="inlineStr">
        <is>
          <t>SE SCHWEIZ</t>
        </is>
      </c>
      <c r="J5438" t="inlineStr">
        <is>
          <t>MASCELLINO</t>
        </is>
      </c>
      <c r="K5438" t="inlineStr">
        <is>
          <t>CUIVRE</t>
        </is>
      </c>
      <c r="L5438">
        <f>_xlfn.XLOOKUP(Tableau1[[#This Row],[TYPE DE PIECE]],Tableau4[MATIERE],Tableau4[SHORT TYPE],"",0,1)</f>
        <v/>
      </c>
      <c r="N5438">
        <f>IF(ISERR(FIND("DECOUPE",Tableau1[[#This Row],[DESIGNATION]])),"","NEED REF")</f>
        <v/>
      </c>
    </row>
    <row r="5439">
      <c r="B5439" t="n">
        <v>34408567</v>
      </c>
      <c r="C5439" s="2" t="n">
        <v>43992</v>
      </c>
      <c r="D5439" t="inlineStr">
        <is>
          <t>SPEC</t>
        </is>
      </c>
      <c r="E5439" t="inlineStr">
        <is>
          <t>SMT PLASTRON BYPASS NSX250 1000 + VOYANT</t>
        </is>
      </c>
      <c r="H5439" t="inlineStr">
        <is>
          <t>AUX</t>
        </is>
      </c>
      <c r="J5439" t="inlineStr">
        <is>
          <t>MATRION</t>
        </is>
      </c>
      <c r="K5439" t="inlineStr">
        <is>
          <t>METAL</t>
        </is>
      </c>
      <c r="L5439">
        <f>_xlfn.XLOOKUP(Tableau1[[#This Row],[TYPE DE PIECE]],Tableau4[MATIERE],Tableau4[SHORT TYPE],"",0,1)</f>
        <v/>
      </c>
      <c r="N5439">
        <f>IF(ISERR(FIND("DECOUPE",Tableau1[[#This Row],[DESIGNATION]])),"","NEED REF")</f>
        <v/>
      </c>
    </row>
    <row r="5440">
      <c r="B5440" t="n">
        <v>34408566</v>
      </c>
      <c r="C5440" s="2" t="n">
        <v>43992</v>
      </c>
      <c r="D5440" t="inlineStr">
        <is>
          <t>SPEC</t>
        </is>
      </c>
      <c r="E5440" t="inlineStr">
        <is>
          <t>SMT FIX CABLES BYPASS NSX250 1000 2</t>
        </is>
      </c>
      <c r="H5440" t="inlineStr">
        <is>
          <t>AUX</t>
        </is>
      </c>
      <c r="J5440" t="inlineStr">
        <is>
          <t>MATRION</t>
        </is>
      </c>
      <c r="K5440" t="inlineStr">
        <is>
          <t>METAL</t>
        </is>
      </c>
      <c r="L5440">
        <f>_xlfn.XLOOKUP(Tableau1[[#This Row],[TYPE DE PIECE]],Tableau4[MATIERE],Tableau4[SHORT TYPE],"",0,1)</f>
        <v/>
      </c>
      <c r="N5440">
        <f>IF(ISERR(FIND("DECOUPE",Tableau1[[#This Row],[DESIGNATION]])),"","NEED REF")</f>
        <v/>
      </c>
    </row>
    <row r="5441">
      <c r="B5441" t="n">
        <v>34408565</v>
      </c>
      <c r="C5441" s="2" t="n">
        <v>43987</v>
      </c>
      <c r="D5441" t="inlineStr">
        <is>
          <t>SPEC</t>
        </is>
      </c>
      <c r="E5441" t="inlineStr">
        <is>
          <t>REHAUSSE IO1000 POUR TETE VOLTADIS</t>
        </is>
      </c>
      <c r="G5441" t="inlineStr">
        <is>
          <t>GVX</t>
        </is>
      </c>
      <c r="H5441" t="inlineStr">
        <is>
          <t>IO</t>
        </is>
      </c>
      <c r="J5441" t="inlineStr">
        <is>
          <t>MATRION</t>
        </is>
      </c>
      <c r="K5441" t="inlineStr">
        <is>
          <t>METAL</t>
        </is>
      </c>
      <c r="L5441">
        <f>_xlfn.XLOOKUP(Tableau1[[#This Row],[TYPE DE PIECE]],Tableau4[MATIERE],Tableau4[SHORT TYPE],"",0,1)</f>
        <v/>
      </c>
      <c r="N5441">
        <f>IF(ISERR(FIND("DECOUPE",Tableau1[[#This Row],[DESIGNATION]])),"","NEED REF")</f>
        <v/>
      </c>
    </row>
    <row r="5442">
      <c r="B5442" t="n">
        <v>34408564</v>
      </c>
      <c r="C5442" s="2" t="n">
        <v>43987</v>
      </c>
      <c r="D5442" t="inlineStr">
        <is>
          <t>SPEC</t>
        </is>
      </c>
      <c r="E5442" t="inlineStr">
        <is>
          <t>PRT LTRL L/R WHITE RAL9003 FOR CABINET QVE</t>
        </is>
      </c>
      <c r="F5442" t="inlineStr">
        <is>
          <t>GSK BELGIUM</t>
        </is>
      </c>
      <c r="G5442" t="inlineStr">
        <is>
          <t>GVS</t>
        </is>
      </c>
      <c r="H5442" t="inlineStr">
        <is>
          <t>AUX</t>
        </is>
      </c>
      <c r="J5442" t="inlineStr">
        <is>
          <t>JAWORSKI</t>
        </is>
      </c>
      <c r="K5442" t="inlineStr">
        <is>
          <t>METAL</t>
        </is>
      </c>
      <c r="L5442">
        <f>_xlfn.XLOOKUP(Tableau1[[#This Row],[TYPE DE PIECE]],Tableau4[MATIERE],Tableau4[SHORT TYPE],"",0,1)</f>
        <v/>
      </c>
      <c r="N5442">
        <f>IF(ISERR(FIND("DECOUPE",Tableau1[[#This Row],[DESIGNATION]])),"","NEED REF")</f>
        <v/>
      </c>
    </row>
    <row r="5443">
      <c r="B5443" t="n">
        <v>34408563</v>
      </c>
      <c r="C5443" s="2" t="n">
        <v>43987</v>
      </c>
      <c r="D5443" t="inlineStr">
        <is>
          <t>SPEC</t>
        </is>
      </c>
      <c r="E5443" t="inlineStr">
        <is>
          <t>SUPPORT RELAIS MODULE ELEC</t>
        </is>
      </c>
      <c r="F5443" t="inlineStr">
        <is>
          <t>STS1250</t>
        </is>
      </c>
      <c r="G5443" t="inlineStr">
        <is>
          <t>GVE</t>
        </is>
      </c>
      <c r="H5443" t="inlineStr">
        <is>
          <t>STS</t>
        </is>
      </c>
      <c r="J5443" t="inlineStr">
        <is>
          <t>MATRION</t>
        </is>
      </c>
      <c r="K5443" t="inlineStr">
        <is>
          <t>METAL</t>
        </is>
      </c>
      <c r="L5443">
        <f>_xlfn.XLOOKUP(Tableau1[[#This Row],[TYPE DE PIECE]],Tableau4[MATIERE],Tableau4[SHORT TYPE],"",0,1)</f>
        <v/>
      </c>
      <c r="N5443">
        <f>IF(ISERR(FIND("DECOUPE",Tableau1[[#This Row],[DESIGNATION]])),"","NEED REF")</f>
        <v/>
      </c>
    </row>
    <row r="5444">
      <c r="B5444" t="n">
        <v>34408562</v>
      </c>
      <c r="C5444" s="2" t="n">
        <v>43986</v>
      </c>
      <c r="D5444" t="inlineStr">
        <is>
          <t>SPEC</t>
        </is>
      </c>
      <c r="E5444" t="inlineStr">
        <is>
          <t>CALE EQUERRE 4MM IO</t>
        </is>
      </c>
      <c r="F5444" t="inlineStr">
        <is>
          <t>DATA 4</t>
        </is>
      </c>
      <c r="J5444" t="inlineStr">
        <is>
          <t>MASCELLINO</t>
        </is>
      </c>
      <c r="K5444" t="inlineStr">
        <is>
          <t>METAL</t>
        </is>
      </c>
      <c r="L5444">
        <f>_xlfn.XLOOKUP(Tableau1[[#This Row],[TYPE DE PIECE]],Tableau4[MATIERE],Tableau4[SHORT TYPE],"",0,1)</f>
        <v/>
      </c>
      <c r="N5444">
        <f>IF(ISERR(FIND("DECOUPE",Tableau1[[#This Row],[DESIGNATION]])),"","NEED REF")</f>
        <v/>
      </c>
    </row>
    <row r="5445">
      <c r="B5445" t="n">
        <v>34408561</v>
      </c>
      <c r="C5445" s="2" t="n">
        <v>43986</v>
      </c>
      <c r="D5445" t="inlineStr">
        <is>
          <t>SPEC</t>
        </is>
      </c>
      <c r="E5445" t="inlineStr">
        <is>
          <t>IP21 ROOF WHITE RAL9003 FOR CABINET QVE 712MM</t>
        </is>
      </c>
      <c r="F5445" t="inlineStr">
        <is>
          <t>GSK BELGIUM</t>
        </is>
      </c>
      <c r="G5445" t="inlineStr">
        <is>
          <t>GVS</t>
        </is>
      </c>
      <c r="H5445" t="inlineStr">
        <is>
          <t>AUX</t>
        </is>
      </c>
      <c r="J5445" t="inlineStr">
        <is>
          <t>JAWORSKI</t>
        </is>
      </c>
      <c r="K5445" t="inlineStr">
        <is>
          <t>METAL</t>
        </is>
      </c>
      <c r="L5445">
        <f>_xlfn.XLOOKUP(Tableau1[[#This Row],[TYPE DE PIECE]],Tableau4[MATIERE],Tableau4[SHORT TYPE],"",0,1)</f>
        <v/>
      </c>
      <c r="N5445">
        <f>IF(ISERR(FIND("DECOUPE",Tableau1[[#This Row],[DESIGNATION]])),"","NEED REF")</f>
        <v/>
      </c>
    </row>
    <row r="5446">
      <c r="B5446" t="n">
        <v>34408560</v>
      </c>
      <c r="C5446" s="2" t="n">
        <v>43985</v>
      </c>
      <c r="D5446" t="inlineStr">
        <is>
          <t>SPEC</t>
        </is>
      </c>
      <c r="E5446" t="inlineStr">
        <is>
          <t>SUPPORT CS HAUT 4</t>
        </is>
      </c>
      <c r="F5446" t="inlineStr">
        <is>
          <t>STS1250</t>
        </is>
      </c>
      <c r="G5446" t="inlineStr">
        <is>
          <t>GVE</t>
        </is>
      </c>
      <c r="H5446" t="inlineStr">
        <is>
          <t>STS</t>
        </is>
      </c>
      <c r="J5446" t="inlineStr">
        <is>
          <t>MATRION</t>
        </is>
      </c>
      <c r="K5446" t="inlineStr">
        <is>
          <t>METAL</t>
        </is>
      </c>
      <c r="L5446">
        <f>_xlfn.XLOOKUP(Tableau1[[#This Row],[TYPE DE PIECE]],Tableau4[MATIERE],Tableau4[SHORT TYPE],"",0,1)</f>
        <v/>
      </c>
      <c r="N5446">
        <f>IF(ISERR(FIND("DECOUPE",Tableau1[[#This Row],[DESIGNATION]])),"","NEED REF")</f>
        <v/>
      </c>
    </row>
    <row r="5447">
      <c r="B5447" t="n">
        <v>34408559</v>
      </c>
      <c r="C5447" s="2" t="n">
        <v>43985</v>
      </c>
      <c r="D5447" t="inlineStr">
        <is>
          <t>SPEC</t>
        </is>
      </c>
      <c r="E5447" t="inlineStr">
        <is>
          <t>SUPPORT CS HAUT 3</t>
        </is>
      </c>
      <c r="F5447" t="inlineStr">
        <is>
          <t>STS1250</t>
        </is>
      </c>
      <c r="G5447" t="inlineStr">
        <is>
          <t>GVE</t>
        </is>
      </c>
      <c r="H5447" t="inlineStr">
        <is>
          <t>STS</t>
        </is>
      </c>
      <c r="J5447" t="inlineStr">
        <is>
          <t>MATRION</t>
        </is>
      </c>
      <c r="K5447" t="inlineStr">
        <is>
          <t>METAL</t>
        </is>
      </c>
      <c r="L5447">
        <f>_xlfn.XLOOKUP(Tableau1[[#This Row],[TYPE DE PIECE]],Tableau4[MATIERE],Tableau4[SHORT TYPE],"",0,1)</f>
        <v/>
      </c>
      <c r="N5447">
        <f>IF(ISERR(FIND("DECOUPE",Tableau1[[#This Row],[DESIGNATION]])),"","NEED REF")</f>
        <v/>
      </c>
    </row>
    <row r="5448">
      <c r="B5448" t="n">
        <v>34408558</v>
      </c>
      <c r="C5448" s="2" t="n">
        <v>43985</v>
      </c>
      <c r="D5448" t="inlineStr">
        <is>
          <t>SPEC</t>
        </is>
      </c>
      <c r="E5448" t="inlineStr">
        <is>
          <t>SUPPORT CS HAUT 2</t>
        </is>
      </c>
      <c r="F5448" t="inlineStr">
        <is>
          <t>STS1250</t>
        </is>
      </c>
      <c r="G5448" t="inlineStr">
        <is>
          <t>GVE</t>
        </is>
      </c>
      <c r="H5448" t="inlineStr">
        <is>
          <t>STS</t>
        </is>
      </c>
      <c r="J5448" t="inlineStr">
        <is>
          <t>MATRION</t>
        </is>
      </c>
      <c r="K5448" t="inlineStr">
        <is>
          <t>METAL</t>
        </is>
      </c>
      <c r="L5448">
        <f>_xlfn.XLOOKUP(Tableau1[[#This Row],[TYPE DE PIECE]],Tableau4[MATIERE],Tableau4[SHORT TYPE],"",0,1)</f>
        <v/>
      </c>
      <c r="N5448">
        <f>IF(ISERR(FIND("DECOUPE",Tableau1[[#This Row],[DESIGNATION]])),"","NEED REF")</f>
        <v/>
      </c>
    </row>
    <row r="5449">
      <c r="B5449" t="n">
        <v>34408557</v>
      </c>
      <c r="C5449" s="2" t="n">
        <v>43985</v>
      </c>
      <c r="D5449" t="inlineStr">
        <is>
          <t>SPEC</t>
        </is>
      </c>
      <c r="E5449" t="inlineStr">
        <is>
          <t>IP21 ROOF WHITE RAL9003 FOR CABINET QVE 1012MM</t>
        </is>
      </c>
      <c r="F5449" t="inlineStr">
        <is>
          <t>GSK BELGIUM</t>
        </is>
      </c>
      <c r="G5449" t="inlineStr">
        <is>
          <t>GVS</t>
        </is>
      </c>
      <c r="H5449" t="inlineStr">
        <is>
          <t>AUX</t>
        </is>
      </c>
      <c r="J5449" t="inlineStr">
        <is>
          <t>JAWORSKI</t>
        </is>
      </c>
      <c r="K5449" t="inlineStr">
        <is>
          <t>METAL</t>
        </is>
      </c>
      <c r="L5449">
        <f>_xlfn.XLOOKUP(Tableau1[[#This Row],[TYPE DE PIECE]],Tableau4[MATIERE],Tableau4[SHORT TYPE],"",0,1)</f>
        <v/>
      </c>
      <c r="N5449">
        <f>IF(ISERR(FIND("DECOUPE",Tableau1[[#This Row],[DESIGNATION]])),"","NEED REF")</f>
        <v/>
      </c>
    </row>
    <row r="5450">
      <c r="B5450" t="n">
        <v>34408556</v>
      </c>
      <c r="C5450" s="2" t="n">
        <v>43980</v>
      </c>
      <c r="D5450" t="inlineStr">
        <is>
          <t>SPEC</t>
        </is>
      </c>
      <c r="E5450" t="inlineStr">
        <is>
          <t>SUPPORT CS HAUT 1</t>
        </is>
      </c>
      <c r="F5450" t="inlineStr">
        <is>
          <t>STS1250</t>
        </is>
      </c>
      <c r="G5450" t="inlineStr">
        <is>
          <t>GVE</t>
        </is>
      </c>
      <c r="H5450" t="inlineStr">
        <is>
          <t>STS</t>
        </is>
      </c>
      <c r="J5450" t="inlineStr">
        <is>
          <t>MATRION</t>
        </is>
      </c>
      <c r="K5450" t="inlineStr">
        <is>
          <t>METAL</t>
        </is>
      </c>
      <c r="L5450">
        <f>_xlfn.XLOOKUP(Tableau1[[#This Row],[TYPE DE PIECE]],Tableau4[MATIERE],Tableau4[SHORT TYPE],"",0,1)</f>
        <v/>
      </c>
      <c r="N5450">
        <f>IF(ISERR(FIND("DECOUPE",Tableau1[[#This Row],[DESIGNATION]])),"","NEED REF")</f>
        <v/>
      </c>
    </row>
    <row r="5451">
      <c r="B5451" t="n">
        <v>34408555</v>
      </c>
      <c r="C5451" s="2" t="n">
        <v>43980</v>
      </c>
      <c r="D5451" t="inlineStr">
        <is>
          <t>SPEC</t>
        </is>
      </c>
      <c r="E5451" t="inlineStr">
        <is>
          <t>KIT FILERIE PLATINE BY PASS</t>
        </is>
      </c>
      <c r="F5451" t="inlineStr">
        <is>
          <t>STS1250</t>
        </is>
      </c>
      <c r="G5451" t="inlineStr">
        <is>
          <t>GVE</t>
        </is>
      </c>
      <c r="H5451" t="inlineStr">
        <is>
          <t>STS</t>
        </is>
      </c>
      <c r="J5451" t="inlineStr">
        <is>
          <t>REVEL</t>
        </is>
      </c>
      <c r="K5451" t="inlineStr">
        <is>
          <t>CUIVRE</t>
        </is>
      </c>
      <c r="L5451">
        <f>_xlfn.XLOOKUP(Tableau1[[#This Row],[TYPE DE PIECE]],Tableau4[MATIERE],Tableau4[SHORT TYPE],"",0,1)</f>
        <v/>
      </c>
      <c r="N5451">
        <f>IF(ISERR(FIND("DECOUPE",Tableau1[[#This Row],[DESIGNATION]])),"","NEED REF")</f>
        <v/>
      </c>
    </row>
    <row r="5452">
      <c r="B5452" t="n">
        <v>34408554</v>
      </c>
      <c r="C5452" s="2" t="n">
        <v>43977</v>
      </c>
      <c r="D5452" t="inlineStr">
        <is>
          <t>SPEC</t>
        </is>
      </c>
      <c r="E5452" t="inlineStr">
        <is>
          <t>JUNCTION TGAB EARTH LOAD</t>
        </is>
      </c>
      <c r="F5452" t="inlineStr">
        <is>
          <t>TECNOELECTRIC</t>
        </is>
      </c>
      <c r="J5452" t="inlineStr">
        <is>
          <t>DUPARCQ</t>
        </is>
      </c>
      <c r="K5452" t="inlineStr">
        <is>
          <t>CUIVRE</t>
        </is>
      </c>
      <c r="L5452">
        <f>_xlfn.XLOOKUP(Tableau1[[#This Row],[TYPE DE PIECE]],Tableau4[MATIERE],Tableau4[SHORT TYPE],"",0,1)</f>
        <v/>
      </c>
      <c r="N5452">
        <f>IF(ISERR(FIND("DECOUPE",Tableau1[[#This Row],[DESIGNATION]])),"","NEED REF")</f>
        <v/>
      </c>
    </row>
    <row r="5453">
      <c r="B5453" t="n">
        <v>34408553</v>
      </c>
      <c r="C5453" s="2" t="n">
        <v>43977</v>
      </c>
      <c r="D5453" t="inlineStr">
        <is>
          <t>SPEC</t>
        </is>
      </c>
      <c r="E5453" t="inlineStr">
        <is>
          <t>JUNCTION EARTH BAR MAIN DC</t>
        </is>
      </c>
      <c r="F5453" t="inlineStr">
        <is>
          <t>TECNOELECTRIC</t>
        </is>
      </c>
      <c r="J5453" t="inlineStr">
        <is>
          <t>DUPARCQ</t>
        </is>
      </c>
      <c r="K5453" t="inlineStr">
        <is>
          <t>CUIVRE</t>
        </is>
      </c>
      <c r="L5453">
        <f>_xlfn.XLOOKUP(Tableau1[[#This Row],[TYPE DE PIECE]],Tableau4[MATIERE],Tableau4[SHORT TYPE],"",0,1)</f>
        <v/>
      </c>
      <c r="N5453">
        <f>IF(ISERR(FIND("DECOUPE",Tableau1[[#This Row],[DESIGNATION]])),"","NEED REF")</f>
        <v/>
      </c>
    </row>
    <row r="5454">
      <c r="B5454" t="n">
        <v>34408552</v>
      </c>
      <c r="C5454" s="2" t="n">
        <v>43977</v>
      </c>
      <c r="D5454" t="inlineStr">
        <is>
          <t>SPEC</t>
        </is>
      </c>
      <c r="E5454" t="inlineStr">
        <is>
          <t>JUNCTION EARTH BAR LOAD DC</t>
        </is>
      </c>
      <c r="F5454" t="inlineStr">
        <is>
          <t>TECNOELECTRIC</t>
        </is>
      </c>
      <c r="J5454" t="inlineStr">
        <is>
          <t>DUPARCQ</t>
        </is>
      </c>
      <c r="K5454" t="inlineStr">
        <is>
          <t>CUIVRE</t>
        </is>
      </c>
      <c r="L5454">
        <f>_xlfn.XLOOKUP(Tableau1[[#This Row],[TYPE DE PIECE]],Tableau4[MATIERE],Tableau4[SHORT TYPE],"",0,1)</f>
        <v/>
      </c>
      <c r="N5454">
        <f>IF(ISERR(FIND("DECOUPE",Tableau1[[#This Row],[DESIGNATION]])),"","NEED REF")</f>
        <v/>
      </c>
    </row>
    <row r="5455">
      <c r="B5455" t="n">
        <v>34408551</v>
      </c>
      <c r="C5455" s="2" t="n">
        <v>43977</v>
      </c>
      <c r="D5455" t="inlineStr">
        <is>
          <t>SPEC</t>
        </is>
      </c>
      <c r="E5455" t="inlineStr">
        <is>
          <t>JUNCTION EARTH BAR CORNER</t>
        </is>
      </c>
      <c r="F5455" t="inlineStr">
        <is>
          <t>TECNOELECTRIC</t>
        </is>
      </c>
      <c r="J5455" t="inlineStr">
        <is>
          <t>DUPARCQ</t>
        </is>
      </c>
      <c r="K5455" t="inlineStr">
        <is>
          <t>CUIVRE</t>
        </is>
      </c>
      <c r="L5455">
        <f>_xlfn.XLOOKUP(Tableau1[[#This Row],[TYPE DE PIECE]],Tableau4[MATIERE],Tableau4[SHORT TYPE],"",0,1)</f>
        <v/>
      </c>
      <c r="N5455">
        <f>IF(ISERR(FIND("DECOUPE",Tableau1[[#This Row],[DESIGNATION]])),"","NEED REF")</f>
        <v/>
      </c>
    </row>
    <row r="5456">
      <c r="B5456" t="n">
        <v>34408550</v>
      </c>
      <c r="C5456" s="2" t="n">
        <v>43977</v>
      </c>
      <c r="D5456" t="inlineStr">
        <is>
          <t>SPEC</t>
        </is>
      </c>
      <c r="E5456" t="inlineStr">
        <is>
          <t>JUNCTION NEUTRAL MAIN LOAD</t>
        </is>
      </c>
      <c r="F5456" t="inlineStr">
        <is>
          <t>TECNOELECTRIC</t>
        </is>
      </c>
      <c r="J5456" t="inlineStr">
        <is>
          <t>DUPARCQ</t>
        </is>
      </c>
      <c r="K5456" t="inlineStr">
        <is>
          <t>CUIVRE</t>
        </is>
      </c>
      <c r="L5456">
        <f>_xlfn.XLOOKUP(Tableau1[[#This Row],[TYPE DE PIECE]],Tableau4[MATIERE],Tableau4[SHORT TYPE],"",0,1)</f>
        <v/>
      </c>
      <c r="N5456">
        <f>IF(ISERR(FIND("DECOUPE",Tableau1[[#This Row],[DESIGNATION]])),"","NEED REF")</f>
        <v/>
      </c>
    </row>
    <row r="5457">
      <c r="B5457" t="n">
        <v>34408549</v>
      </c>
      <c r="C5457" s="2" t="n">
        <v>43976</v>
      </c>
      <c r="D5457" t="inlineStr">
        <is>
          <t>SPEC</t>
        </is>
      </c>
      <c r="E5457" t="inlineStr">
        <is>
          <t>JUNCTION CORO TGAB MAIN</t>
        </is>
      </c>
      <c r="F5457" t="inlineStr">
        <is>
          <t>TECNOELECTRIC</t>
        </is>
      </c>
      <c r="J5457" t="inlineStr">
        <is>
          <t>DUPARCQ</t>
        </is>
      </c>
      <c r="K5457" t="inlineStr">
        <is>
          <t>CUIVRE</t>
        </is>
      </c>
      <c r="L5457">
        <f>_xlfn.XLOOKUP(Tableau1[[#This Row],[TYPE DE PIECE]],Tableau4[MATIERE],Tableau4[SHORT TYPE],"",0,1)</f>
        <v/>
      </c>
      <c r="N5457">
        <f>IF(ISERR(FIND("DECOUPE",Tableau1[[#This Row],[DESIGNATION]])),"","NEED REF")</f>
        <v/>
      </c>
    </row>
    <row r="5458">
      <c r="B5458" t="n">
        <v>34408548</v>
      </c>
      <c r="C5458" s="2" t="n">
        <v>43976</v>
      </c>
      <c r="D5458" t="inlineStr">
        <is>
          <t>SPEC</t>
        </is>
      </c>
      <c r="E5458" t="inlineStr">
        <is>
          <t>JUNCTION CORO TGAB LOAD</t>
        </is>
      </c>
      <c r="F5458" t="inlineStr">
        <is>
          <t>TECNOELECTRIC</t>
        </is>
      </c>
      <c r="J5458" t="inlineStr">
        <is>
          <t>DUPARCQ</t>
        </is>
      </c>
      <c r="K5458" t="inlineStr">
        <is>
          <t>CUIVRE</t>
        </is>
      </c>
      <c r="L5458">
        <f>_xlfn.XLOOKUP(Tableau1[[#This Row],[TYPE DE PIECE]],Tableau4[MATIERE],Tableau4[SHORT TYPE],"",0,1)</f>
        <v/>
      </c>
      <c r="N5458">
        <f>IF(ISERR(FIND("DECOUPE",Tableau1[[#This Row],[DESIGNATION]])),"","NEED REF")</f>
        <v/>
      </c>
    </row>
    <row r="5459">
      <c r="B5459" t="n">
        <v>34408546</v>
      </c>
      <c r="C5459" s="2" t="n">
        <v>43976</v>
      </c>
      <c r="D5459" t="inlineStr">
        <is>
          <t>SPEC</t>
        </is>
      </c>
      <c r="E5459" t="inlineStr">
        <is>
          <t>CX DC- BACK</t>
        </is>
      </c>
      <c r="F5459" t="inlineStr">
        <is>
          <t>TECNOELECTRIC</t>
        </is>
      </c>
      <c r="J5459" t="inlineStr">
        <is>
          <t>DUPARCQ</t>
        </is>
      </c>
      <c r="K5459" t="inlineStr">
        <is>
          <t>CUIVRE</t>
        </is>
      </c>
      <c r="L5459">
        <f>_xlfn.XLOOKUP(Tableau1[[#This Row],[TYPE DE PIECE]],Tableau4[MATIERE],Tableau4[SHORT TYPE],"",0,1)</f>
        <v/>
      </c>
      <c r="N5459">
        <f>IF(ISERR(FIND("DECOUPE",Tableau1[[#This Row],[DESIGNATION]])),"","NEED REF")</f>
        <v/>
      </c>
    </row>
    <row r="5460">
      <c r="B5460" t="n">
        <v>34408545</v>
      </c>
      <c r="C5460" s="2" t="n">
        <v>43976</v>
      </c>
      <c r="D5460" t="inlineStr">
        <is>
          <t>SPEC</t>
        </is>
      </c>
      <c r="E5460" t="inlineStr">
        <is>
          <t>CX DC- FRONT</t>
        </is>
      </c>
      <c r="F5460" t="inlineStr">
        <is>
          <t>TECNOELECTRIC</t>
        </is>
      </c>
      <c r="J5460" t="inlineStr">
        <is>
          <t>DUPARCQ</t>
        </is>
      </c>
      <c r="K5460" t="inlineStr">
        <is>
          <t>CUIVRE</t>
        </is>
      </c>
      <c r="L5460">
        <f>_xlfn.XLOOKUP(Tableau1[[#This Row],[TYPE DE PIECE]],Tableau4[MATIERE],Tableau4[SHORT TYPE],"",0,1)</f>
        <v/>
      </c>
      <c r="N5460">
        <f>IF(ISERR(FIND("DECOUPE",Tableau1[[#This Row],[DESIGNATION]])),"","NEED REF")</f>
        <v/>
      </c>
    </row>
    <row r="5461">
      <c r="B5461" t="n">
        <v>34408544</v>
      </c>
      <c r="C5461" s="2" t="n">
        <v>43976</v>
      </c>
      <c r="D5461" t="inlineStr">
        <is>
          <t>SPEC</t>
        </is>
      </c>
      <c r="E5461" t="inlineStr">
        <is>
          <t>CX DC+ BACK</t>
        </is>
      </c>
      <c r="F5461" t="inlineStr">
        <is>
          <t>TECNOELECTRIC</t>
        </is>
      </c>
      <c r="J5461" t="inlineStr">
        <is>
          <t>DUPARCQ</t>
        </is>
      </c>
      <c r="K5461" t="inlineStr">
        <is>
          <t>CUIVRE</t>
        </is>
      </c>
      <c r="L5461">
        <f>_xlfn.XLOOKUP(Tableau1[[#This Row],[TYPE DE PIECE]],Tableau4[MATIERE],Tableau4[SHORT TYPE],"",0,1)</f>
        <v/>
      </c>
      <c r="N5461">
        <f>IF(ISERR(FIND("DECOUPE",Tableau1[[#This Row],[DESIGNATION]])),"","NEED REF")</f>
        <v/>
      </c>
    </row>
    <row r="5462">
      <c r="B5462" t="n">
        <v>34408543</v>
      </c>
      <c r="C5462" s="2" t="n">
        <v>43976</v>
      </c>
      <c r="D5462" t="inlineStr">
        <is>
          <t>SPEC</t>
        </is>
      </c>
      <c r="E5462" t="inlineStr">
        <is>
          <t>CX DC+ FRONT</t>
        </is>
      </c>
      <c r="F5462" t="inlineStr">
        <is>
          <t>TECNOELECTRIC</t>
        </is>
      </c>
      <c r="J5462" t="inlineStr">
        <is>
          <t>DUPARCQ</t>
        </is>
      </c>
      <c r="K5462" t="inlineStr">
        <is>
          <t>CUIVRE</t>
        </is>
      </c>
      <c r="L5462">
        <f>_xlfn.XLOOKUP(Tableau1[[#This Row],[TYPE DE PIECE]],Tableau4[MATIERE],Tableau4[SHORT TYPE],"",0,1)</f>
        <v/>
      </c>
      <c r="N5462">
        <f>IF(ISERR(FIND("DECOUPE",Tableau1[[#This Row],[DESIGNATION]])),"","NEED REF")</f>
        <v/>
      </c>
    </row>
    <row r="5463">
      <c r="B5463" t="n">
        <v>34408542</v>
      </c>
      <c r="C5463" s="2" t="n">
        <v>43976</v>
      </c>
      <c r="D5463" t="inlineStr">
        <is>
          <t>SPEC</t>
        </is>
      </c>
      <c r="E5463" t="inlineStr">
        <is>
          <t>CORO DC- 2</t>
        </is>
      </c>
      <c r="F5463" t="inlineStr">
        <is>
          <t>TECNOELECTRIC</t>
        </is>
      </c>
      <c r="J5463" t="inlineStr">
        <is>
          <t>DUPARCQ</t>
        </is>
      </c>
      <c r="K5463" t="inlineStr">
        <is>
          <t>CUIVRE</t>
        </is>
      </c>
      <c r="L5463">
        <f>_xlfn.XLOOKUP(Tableau1[[#This Row],[TYPE DE PIECE]],Tableau4[MATIERE],Tableau4[SHORT TYPE],"",0,1)</f>
        <v/>
      </c>
      <c r="N5463">
        <f>IF(ISERR(FIND("DECOUPE",Tableau1[[#This Row],[DESIGNATION]])),"","NEED REF")</f>
        <v/>
      </c>
    </row>
    <row r="5464">
      <c r="B5464" t="n">
        <v>34408541</v>
      </c>
      <c r="C5464" s="2" t="n">
        <v>43976</v>
      </c>
      <c r="D5464" t="inlineStr">
        <is>
          <t>SPEC</t>
        </is>
      </c>
      <c r="E5464" t="inlineStr">
        <is>
          <t>CORO DC- 1</t>
        </is>
      </c>
      <c r="F5464" t="inlineStr">
        <is>
          <t>TECNOELECTRIC</t>
        </is>
      </c>
      <c r="J5464" t="inlineStr">
        <is>
          <t>DUPARCQ</t>
        </is>
      </c>
      <c r="K5464" t="inlineStr">
        <is>
          <t>CUIVRE</t>
        </is>
      </c>
      <c r="L5464">
        <f>_xlfn.XLOOKUP(Tableau1[[#This Row],[TYPE DE PIECE]],Tableau4[MATIERE],Tableau4[SHORT TYPE],"",0,1)</f>
        <v/>
      </c>
      <c r="N5464">
        <f>IF(ISERR(FIND("DECOUPE",Tableau1[[#This Row],[DESIGNATION]])),"","NEED REF")</f>
        <v/>
      </c>
    </row>
    <row r="5465">
      <c r="B5465" t="n">
        <v>34408540</v>
      </c>
      <c r="C5465" s="2" t="n">
        <v>43976</v>
      </c>
      <c r="D5465" t="inlineStr">
        <is>
          <t>SPEC</t>
        </is>
      </c>
      <c r="E5465" t="inlineStr">
        <is>
          <t>CORO DC+ 2</t>
        </is>
      </c>
      <c r="F5465" t="inlineStr">
        <is>
          <t>TECNOELECTRIC</t>
        </is>
      </c>
      <c r="J5465" t="inlineStr">
        <is>
          <t>DUPARCQ</t>
        </is>
      </c>
      <c r="K5465" t="inlineStr">
        <is>
          <t>CUIVRE</t>
        </is>
      </c>
      <c r="L5465">
        <f>_xlfn.XLOOKUP(Tableau1[[#This Row],[TYPE DE PIECE]],Tableau4[MATIERE],Tableau4[SHORT TYPE],"",0,1)</f>
        <v/>
      </c>
      <c r="N5465">
        <f>IF(ISERR(FIND("DECOUPE",Tableau1[[#This Row],[DESIGNATION]])),"","NEED REF")</f>
        <v/>
      </c>
    </row>
    <row r="5466">
      <c r="B5466" t="n">
        <v>34408539</v>
      </c>
      <c r="C5466" s="2" t="n">
        <v>43976</v>
      </c>
      <c r="D5466" t="inlineStr">
        <is>
          <t>SPEC</t>
        </is>
      </c>
      <c r="E5466" t="inlineStr">
        <is>
          <t>CORO DC+ 1</t>
        </is>
      </c>
      <c r="F5466" t="inlineStr">
        <is>
          <t>TECNOELECTRIC</t>
        </is>
      </c>
      <c r="J5466" t="inlineStr">
        <is>
          <t>DUPARCQ</t>
        </is>
      </c>
      <c r="K5466" t="inlineStr">
        <is>
          <t>CUIVRE</t>
        </is>
      </c>
      <c r="L5466">
        <f>_xlfn.XLOOKUP(Tableau1[[#This Row],[TYPE DE PIECE]],Tableau4[MATIERE],Tableau4[SHORT TYPE],"",0,1)</f>
        <v/>
      </c>
      <c r="N5466">
        <f>IF(ISERR(FIND("DECOUPE",Tableau1[[#This Row],[DESIGNATION]])),"","NEED REF")</f>
        <v/>
      </c>
    </row>
    <row r="5467">
      <c r="B5467" t="n">
        <v>34408538</v>
      </c>
      <c r="C5467" s="2" t="n">
        <v>43976</v>
      </c>
      <c r="D5467" t="inlineStr">
        <is>
          <t>SPEC</t>
        </is>
      </c>
      <c r="E5467" t="inlineStr">
        <is>
          <t>CORO L3-2 LOAD</t>
        </is>
      </c>
      <c r="F5467" t="inlineStr">
        <is>
          <t>TECNOELECTRIC</t>
        </is>
      </c>
      <c r="J5467" t="inlineStr">
        <is>
          <t>DUPARCQ</t>
        </is>
      </c>
      <c r="K5467" t="inlineStr">
        <is>
          <t>CUIVRE</t>
        </is>
      </c>
      <c r="L5467">
        <f>_xlfn.XLOOKUP(Tableau1[[#This Row],[TYPE DE PIECE]],Tableau4[MATIERE],Tableau4[SHORT TYPE],"",0,1)</f>
        <v/>
      </c>
      <c r="N5467">
        <f>IF(ISERR(FIND("DECOUPE",Tableau1[[#This Row],[DESIGNATION]])),"","NEED REF")</f>
        <v/>
      </c>
    </row>
    <row r="5468">
      <c r="B5468" t="n">
        <v>34408537</v>
      </c>
      <c r="C5468" s="2" t="n">
        <v>43976</v>
      </c>
      <c r="D5468" t="inlineStr">
        <is>
          <t>SPEC</t>
        </is>
      </c>
      <c r="E5468" t="inlineStr">
        <is>
          <t>CORO L3-1 LOAD</t>
        </is>
      </c>
      <c r="F5468" t="inlineStr">
        <is>
          <t>TECNOELECTRIC</t>
        </is>
      </c>
      <c r="J5468" t="inlineStr">
        <is>
          <t>DUPARCQ</t>
        </is>
      </c>
      <c r="K5468" t="inlineStr">
        <is>
          <t>CUIVRE</t>
        </is>
      </c>
      <c r="L5468">
        <f>_xlfn.XLOOKUP(Tableau1[[#This Row],[TYPE DE PIECE]],Tableau4[MATIERE],Tableau4[SHORT TYPE],"",0,1)</f>
        <v/>
      </c>
      <c r="N5468">
        <f>IF(ISERR(FIND("DECOUPE",Tableau1[[#This Row],[DESIGNATION]])),"","NEED REF")</f>
        <v/>
      </c>
    </row>
    <row r="5469">
      <c r="B5469" t="n">
        <v>34408536</v>
      </c>
      <c r="C5469" s="2" t="n">
        <v>43976</v>
      </c>
      <c r="D5469" t="inlineStr">
        <is>
          <t>SPEC</t>
        </is>
      </c>
      <c r="E5469" t="inlineStr">
        <is>
          <t>CORO L2-2 LOAD</t>
        </is>
      </c>
      <c r="F5469" t="inlineStr">
        <is>
          <t>TECNOELECTRIC</t>
        </is>
      </c>
      <c r="J5469" t="inlineStr">
        <is>
          <t>DUPARCQ</t>
        </is>
      </c>
      <c r="K5469" t="inlineStr">
        <is>
          <t>CUIVRE</t>
        </is>
      </c>
      <c r="L5469">
        <f>_xlfn.XLOOKUP(Tableau1[[#This Row],[TYPE DE PIECE]],Tableau4[MATIERE],Tableau4[SHORT TYPE],"",0,1)</f>
        <v/>
      </c>
      <c r="N5469">
        <f>IF(ISERR(FIND("DECOUPE",Tableau1[[#This Row],[DESIGNATION]])),"","NEED REF")</f>
        <v/>
      </c>
    </row>
    <row r="5470">
      <c r="B5470" t="n">
        <v>34408535</v>
      </c>
      <c r="C5470" s="2" t="n">
        <v>43976</v>
      </c>
      <c r="D5470" t="inlineStr">
        <is>
          <t>SPEC</t>
        </is>
      </c>
      <c r="E5470" t="inlineStr">
        <is>
          <t>CORO L2-1 LOAD</t>
        </is>
      </c>
      <c r="F5470" t="inlineStr">
        <is>
          <t>TECNOELECTRIC</t>
        </is>
      </c>
      <c r="J5470" t="inlineStr">
        <is>
          <t>DUPARCQ</t>
        </is>
      </c>
      <c r="K5470" t="inlineStr">
        <is>
          <t>CUIVRE</t>
        </is>
      </c>
      <c r="L5470">
        <f>_xlfn.XLOOKUP(Tableau1[[#This Row],[TYPE DE PIECE]],Tableau4[MATIERE],Tableau4[SHORT TYPE],"",0,1)</f>
        <v/>
      </c>
      <c r="N5470">
        <f>IF(ISERR(FIND("DECOUPE",Tableau1[[#This Row],[DESIGNATION]])),"","NEED REF")</f>
        <v/>
      </c>
    </row>
    <row r="5471">
      <c r="B5471" t="n">
        <v>34408534</v>
      </c>
      <c r="C5471" s="2" t="n">
        <v>43976</v>
      </c>
      <c r="D5471" t="inlineStr">
        <is>
          <t>SPEC</t>
        </is>
      </c>
      <c r="E5471" t="inlineStr">
        <is>
          <t>CORO L1-2 LOAD</t>
        </is>
      </c>
      <c r="F5471" t="inlineStr">
        <is>
          <t>TECNOELECTRIC</t>
        </is>
      </c>
      <c r="J5471" t="inlineStr">
        <is>
          <t>DUPARCQ</t>
        </is>
      </c>
      <c r="K5471" t="inlineStr">
        <is>
          <t>CUIVRE</t>
        </is>
      </c>
      <c r="L5471">
        <f>_xlfn.XLOOKUP(Tableau1[[#This Row],[TYPE DE PIECE]],Tableau4[MATIERE],Tableau4[SHORT TYPE],"",0,1)</f>
        <v/>
      </c>
      <c r="N5471">
        <f>IF(ISERR(FIND("DECOUPE",Tableau1[[#This Row],[DESIGNATION]])),"","NEED REF")</f>
        <v/>
      </c>
    </row>
    <row r="5472">
      <c r="B5472" t="n">
        <v>34408533</v>
      </c>
      <c r="C5472" s="2" t="n">
        <v>43976</v>
      </c>
      <c r="D5472" t="inlineStr">
        <is>
          <t>SPEC</t>
        </is>
      </c>
      <c r="E5472" t="inlineStr">
        <is>
          <t>CORO L1-1 LOAD</t>
        </is>
      </c>
      <c r="F5472" t="inlineStr">
        <is>
          <t>TECNOELECTRIC</t>
        </is>
      </c>
      <c r="J5472" t="inlineStr">
        <is>
          <t>DUPARCQ</t>
        </is>
      </c>
      <c r="K5472" t="inlineStr">
        <is>
          <t>CUIVRE</t>
        </is>
      </c>
      <c r="L5472">
        <f>_xlfn.XLOOKUP(Tableau1[[#This Row],[TYPE DE PIECE]],Tableau4[MATIERE],Tableau4[SHORT TYPE],"",0,1)</f>
        <v/>
      </c>
      <c r="N5472">
        <f>IF(ISERR(FIND("DECOUPE",Tableau1[[#This Row],[DESIGNATION]])),"","NEED REF")</f>
        <v/>
      </c>
    </row>
    <row r="5473">
      <c r="B5473" t="n">
        <v>34408532</v>
      </c>
      <c r="C5473" s="2" t="n">
        <v>43973</v>
      </c>
      <c r="D5473" t="inlineStr">
        <is>
          <t>SPEC</t>
        </is>
      </c>
      <c r="E5473" t="inlineStr">
        <is>
          <t>CORO L3-2 MAIN</t>
        </is>
      </c>
      <c r="F5473" t="inlineStr">
        <is>
          <t>TECNOELECTRIC</t>
        </is>
      </c>
      <c r="J5473" t="inlineStr">
        <is>
          <t>DUPARCQ</t>
        </is>
      </c>
      <c r="K5473" t="inlineStr">
        <is>
          <t>CUIVRE</t>
        </is>
      </c>
      <c r="L5473">
        <f>_xlfn.XLOOKUP(Tableau1[[#This Row],[TYPE DE PIECE]],Tableau4[MATIERE],Tableau4[SHORT TYPE],"",0,1)</f>
        <v/>
      </c>
      <c r="N5473">
        <f>IF(ISERR(FIND("DECOUPE",Tableau1[[#This Row],[DESIGNATION]])),"","NEED REF")</f>
        <v/>
      </c>
    </row>
    <row r="5474">
      <c r="B5474" t="n">
        <v>34408531</v>
      </c>
      <c r="C5474" s="2" t="n">
        <v>43973</v>
      </c>
      <c r="D5474" t="inlineStr">
        <is>
          <t>SPEC</t>
        </is>
      </c>
      <c r="E5474" t="inlineStr">
        <is>
          <t>CORO L3-1 MAIN</t>
        </is>
      </c>
      <c r="F5474" t="inlineStr">
        <is>
          <t>TECNOELECTRIC</t>
        </is>
      </c>
      <c r="J5474" t="inlineStr">
        <is>
          <t>DUPARCQ</t>
        </is>
      </c>
      <c r="K5474" t="inlineStr">
        <is>
          <t>CUIVRE</t>
        </is>
      </c>
      <c r="L5474">
        <f>_xlfn.XLOOKUP(Tableau1[[#This Row],[TYPE DE PIECE]],Tableau4[MATIERE],Tableau4[SHORT TYPE],"",0,1)</f>
        <v/>
      </c>
      <c r="N5474">
        <f>IF(ISERR(FIND("DECOUPE",Tableau1[[#This Row],[DESIGNATION]])),"","NEED REF")</f>
        <v/>
      </c>
    </row>
    <row r="5475">
      <c r="B5475" t="n">
        <v>34408530</v>
      </c>
      <c r="C5475" s="2" t="n">
        <v>43973</v>
      </c>
      <c r="D5475" t="inlineStr">
        <is>
          <t>SPEC</t>
        </is>
      </c>
      <c r="E5475" t="inlineStr">
        <is>
          <t>CORO L2-2 MAIN</t>
        </is>
      </c>
      <c r="F5475" t="inlineStr">
        <is>
          <t>TECNOELECTRIC</t>
        </is>
      </c>
      <c r="J5475" t="inlineStr">
        <is>
          <t>DUPARCQ</t>
        </is>
      </c>
      <c r="K5475" t="inlineStr">
        <is>
          <t>CUIVRE</t>
        </is>
      </c>
      <c r="L5475">
        <f>_xlfn.XLOOKUP(Tableau1[[#This Row],[TYPE DE PIECE]],Tableau4[MATIERE],Tableau4[SHORT TYPE],"",0,1)</f>
        <v/>
      </c>
      <c r="N5475">
        <f>IF(ISERR(FIND("DECOUPE",Tableau1[[#This Row],[DESIGNATION]])),"","NEED REF")</f>
        <v/>
      </c>
    </row>
    <row r="5476">
      <c r="B5476" t="n">
        <v>34408529</v>
      </c>
      <c r="C5476" s="2" t="n">
        <v>43973</v>
      </c>
      <c r="D5476" t="inlineStr">
        <is>
          <t>SPEC</t>
        </is>
      </c>
      <c r="E5476" t="inlineStr">
        <is>
          <t>CORO L2-1 MAIN</t>
        </is>
      </c>
      <c r="F5476" t="inlineStr">
        <is>
          <t>TECNOELECTRIC</t>
        </is>
      </c>
      <c r="J5476" t="inlineStr">
        <is>
          <t>DUPARCQ</t>
        </is>
      </c>
      <c r="K5476" t="inlineStr">
        <is>
          <t>CUIVRE</t>
        </is>
      </c>
      <c r="L5476">
        <f>_xlfn.XLOOKUP(Tableau1[[#This Row],[TYPE DE PIECE]],Tableau4[MATIERE],Tableau4[SHORT TYPE],"",0,1)</f>
        <v/>
      </c>
      <c r="N5476">
        <f>IF(ISERR(FIND("DECOUPE",Tableau1[[#This Row],[DESIGNATION]])),"","NEED REF")</f>
        <v/>
      </c>
    </row>
    <row r="5477">
      <c r="B5477" t="n">
        <v>34408528</v>
      </c>
      <c r="C5477" s="2" t="n">
        <v>43973</v>
      </c>
      <c r="D5477" t="inlineStr">
        <is>
          <t>SPEC</t>
        </is>
      </c>
      <c r="E5477" t="inlineStr">
        <is>
          <t>CORO L1-2 MAIN</t>
        </is>
      </c>
      <c r="F5477" t="inlineStr">
        <is>
          <t>TECNOELECTRIC</t>
        </is>
      </c>
      <c r="J5477" t="inlineStr">
        <is>
          <t>DUPARCQ</t>
        </is>
      </c>
      <c r="K5477" t="inlineStr">
        <is>
          <t>CUIVRE</t>
        </is>
      </c>
      <c r="L5477">
        <f>_xlfn.XLOOKUP(Tableau1[[#This Row],[TYPE DE PIECE]],Tableau4[MATIERE],Tableau4[SHORT TYPE],"",0,1)</f>
        <v/>
      </c>
      <c r="N5477">
        <f>IF(ISERR(FIND("DECOUPE",Tableau1[[#This Row],[DESIGNATION]])),"","NEED REF")</f>
        <v/>
      </c>
    </row>
    <row r="5478">
      <c r="B5478" t="n">
        <v>34408527</v>
      </c>
      <c r="C5478" s="2" t="n">
        <v>43973</v>
      </c>
      <c r="D5478" t="inlineStr">
        <is>
          <t>SPEC</t>
        </is>
      </c>
      <c r="E5478" t="inlineStr">
        <is>
          <t>CORO L1-1 MAIN</t>
        </is>
      </c>
      <c r="F5478" t="inlineStr">
        <is>
          <t>TECNOELECTRIC</t>
        </is>
      </c>
      <c r="J5478" t="inlineStr">
        <is>
          <t>DUPARCQ</t>
        </is>
      </c>
      <c r="K5478" t="inlineStr">
        <is>
          <t>CUIVRE</t>
        </is>
      </c>
      <c r="L5478">
        <f>_xlfn.XLOOKUP(Tableau1[[#This Row],[TYPE DE PIECE]],Tableau4[MATIERE],Tableau4[SHORT TYPE],"",0,1)</f>
        <v/>
      </c>
      <c r="N5478">
        <f>IF(ISERR(FIND("DECOUPE",Tableau1[[#This Row],[DESIGNATION]])),"","NEED REF")</f>
        <v/>
      </c>
    </row>
    <row r="5479">
      <c r="B5479" t="n">
        <v>34408526</v>
      </c>
      <c r="C5479" s="2" t="n">
        <v>43973</v>
      </c>
      <c r="D5479" t="inlineStr">
        <is>
          <t>SPEC</t>
        </is>
      </c>
      <c r="E5479" t="inlineStr">
        <is>
          <t>CORO N-2 MAIN</t>
        </is>
      </c>
      <c r="F5479" t="inlineStr">
        <is>
          <t>TECNOELECTRIC</t>
        </is>
      </c>
      <c r="J5479" t="inlineStr">
        <is>
          <t>DUPARCQ</t>
        </is>
      </c>
      <c r="K5479" t="inlineStr">
        <is>
          <t>CUIVRE</t>
        </is>
      </c>
      <c r="L5479">
        <f>_xlfn.XLOOKUP(Tableau1[[#This Row],[TYPE DE PIECE]],Tableau4[MATIERE],Tableau4[SHORT TYPE],"",0,1)</f>
        <v/>
      </c>
      <c r="N5479">
        <f>IF(ISERR(FIND("DECOUPE",Tableau1[[#This Row],[DESIGNATION]])),"","NEED REF")</f>
        <v/>
      </c>
    </row>
    <row r="5480">
      <c r="B5480" t="n">
        <v>34408525</v>
      </c>
      <c r="C5480" s="2" t="n">
        <v>43973</v>
      </c>
      <c r="D5480" t="inlineStr">
        <is>
          <t>SPEC</t>
        </is>
      </c>
      <c r="E5480" t="inlineStr">
        <is>
          <t>CORO N-1 MAIN</t>
        </is>
      </c>
      <c r="F5480" t="inlineStr">
        <is>
          <t>TECNOELECTRIC</t>
        </is>
      </c>
      <c r="J5480" t="inlineStr">
        <is>
          <t>DUPARCQ</t>
        </is>
      </c>
      <c r="K5480" t="inlineStr">
        <is>
          <t>CUIVRE</t>
        </is>
      </c>
      <c r="L5480">
        <f>_xlfn.XLOOKUP(Tableau1[[#This Row],[TYPE DE PIECE]],Tableau4[MATIERE],Tableau4[SHORT TYPE],"",0,1)</f>
        <v/>
      </c>
      <c r="N5480">
        <f>IF(ISERR(FIND("DECOUPE",Tableau1[[#This Row],[DESIGNATION]])),"","NEED REF")</f>
        <v/>
      </c>
    </row>
    <row r="5481">
      <c r="B5481" t="n">
        <v>34408524</v>
      </c>
      <c r="C5481" s="2" t="n">
        <v>43966</v>
      </c>
      <c r="D5481" t="inlineStr">
        <is>
          <t>SPEC</t>
        </is>
      </c>
      <c r="E5481" t="inlineStr">
        <is>
          <t>TOIT PLEIN RESEAU 2</t>
        </is>
      </c>
      <c r="F5481" t="inlineStr">
        <is>
          <t>TECNOELECTRIC</t>
        </is>
      </c>
      <c r="J5481" t="inlineStr">
        <is>
          <t>MASCELLINO</t>
        </is>
      </c>
      <c r="K5481" t="inlineStr">
        <is>
          <t>METAL</t>
        </is>
      </c>
      <c r="L5481">
        <f>_xlfn.XLOOKUP(Tableau1[[#This Row],[TYPE DE PIECE]],Tableau4[MATIERE],Tableau4[SHORT TYPE],"",0,1)</f>
        <v/>
      </c>
      <c r="N5481">
        <f>IF(ISERR(FIND("DECOUPE",Tableau1[[#This Row],[DESIGNATION]])),"","NEED REF")</f>
        <v/>
      </c>
    </row>
    <row r="5482">
      <c r="B5482" t="n">
        <v>34408523</v>
      </c>
      <c r="C5482" s="2" t="n">
        <v>43966</v>
      </c>
      <c r="D5482" t="inlineStr">
        <is>
          <t>SPEC</t>
        </is>
      </c>
      <c r="E5482" t="inlineStr">
        <is>
          <t>TOIT MAIN</t>
        </is>
      </c>
      <c r="F5482" t="inlineStr">
        <is>
          <t>TECNOELECTRIC</t>
        </is>
      </c>
      <c r="J5482" t="inlineStr">
        <is>
          <t>MASCELLINO</t>
        </is>
      </c>
      <c r="K5482" t="inlineStr">
        <is>
          <t>METAL</t>
        </is>
      </c>
      <c r="L5482">
        <f>_xlfn.XLOOKUP(Tableau1[[#This Row],[TYPE DE PIECE]],Tableau4[MATIERE],Tableau4[SHORT TYPE],"",0,1)</f>
        <v/>
      </c>
      <c r="N5482">
        <f>IF(ISERR(FIND("DECOUPE",Tableau1[[#This Row],[DESIGNATION]])),"","NEED REF")</f>
        <v/>
      </c>
    </row>
    <row r="5483">
      <c r="B5483" t="n">
        <v>34408522</v>
      </c>
      <c r="C5483" s="2" t="n">
        <v>43966</v>
      </c>
      <c r="D5483" t="inlineStr">
        <is>
          <t>SPEC</t>
        </is>
      </c>
      <c r="E5483" t="inlineStr">
        <is>
          <t>TOIT RESEAU 1</t>
        </is>
      </c>
      <c r="F5483" t="inlineStr">
        <is>
          <t>TECNOELECTRIC</t>
        </is>
      </c>
      <c r="J5483" t="inlineStr">
        <is>
          <t>MASCELLINO</t>
        </is>
      </c>
      <c r="K5483" t="inlineStr">
        <is>
          <t>METAL</t>
        </is>
      </c>
      <c r="L5483">
        <f>_xlfn.XLOOKUP(Tableau1[[#This Row],[TYPE DE PIECE]],Tableau4[MATIERE],Tableau4[SHORT TYPE],"",0,1)</f>
        <v/>
      </c>
      <c r="N5483">
        <f>IF(ISERR(FIND("DECOUPE",Tableau1[[#This Row],[DESIGNATION]])),"","NEED REF")</f>
        <v/>
      </c>
    </row>
    <row r="5484">
      <c r="B5484" t="n">
        <v>34408521</v>
      </c>
      <c r="C5484" s="2" t="n">
        <v>43966</v>
      </c>
      <c r="D5484" t="inlineStr">
        <is>
          <t>SPEC</t>
        </is>
      </c>
      <c r="E5484" t="inlineStr">
        <is>
          <t>TOIT DC</t>
        </is>
      </c>
      <c r="F5484" t="inlineStr">
        <is>
          <t>TECNOELECTRIC</t>
        </is>
      </c>
      <c r="J5484" t="inlineStr">
        <is>
          <t>MASCELLINO</t>
        </is>
      </c>
      <c r="K5484" t="inlineStr">
        <is>
          <t>METAL</t>
        </is>
      </c>
      <c r="L5484">
        <f>_xlfn.XLOOKUP(Tableau1[[#This Row],[TYPE DE PIECE]],Tableau4[MATIERE],Tableau4[SHORT TYPE],"",0,1)</f>
        <v/>
      </c>
      <c r="N5484">
        <f>IF(ISERR(FIND("DECOUPE",Tableau1[[#This Row],[DESIGNATION]])),"","NEED REF")</f>
        <v/>
      </c>
    </row>
    <row r="5485">
      <c r="B5485" t="n">
        <v>34408520</v>
      </c>
      <c r="C5485" s="2" t="n">
        <v>43966</v>
      </c>
      <c r="D5485" t="inlineStr">
        <is>
          <t>SPEC</t>
        </is>
      </c>
      <c r="E5485" t="inlineStr">
        <is>
          <t>PLASTRON PLEIN + VOYANT</t>
        </is>
      </c>
      <c r="G5485" t="inlineStr">
        <is>
          <t>GVX</t>
        </is>
      </c>
      <c r="H5485" t="inlineStr">
        <is>
          <t>BYPASS</t>
        </is>
      </c>
      <c r="J5485" t="inlineStr">
        <is>
          <t>MATRION</t>
        </is>
      </c>
      <c r="K5485" t="inlineStr">
        <is>
          <t>METAL</t>
        </is>
      </c>
      <c r="L5485">
        <f>_xlfn.XLOOKUP(Tableau1[[#This Row],[TYPE DE PIECE]],Tableau4[MATIERE],Tableau4[SHORT TYPE],"",0,1)</f>
        <v/>
      </c>
      <c r="N5485">
        <f>IF(ISERR(FIND("DECOUPE",Tableau1[[#This Row],[DESIGNATION]])),"","NEED REF")</f>
        <v/>
      </c>
    </row>
    <row r="5486">
      <c r="B5486" t="n">
        <v>34408519</v>
      </c>
      <c r="C5486" s="2" t="n">
        <v>43965</v>
      </c>
      <c r="D5486" t="inlineStr">
        <is>
          <t>SPEC</t>
        </is>
      </c>
      <c r="E5486" t="inlineStr">
        <is>
          <t>COP FLEXIBAR ERICO BYPASS 1</t>
        </is>
      </c>
      <c r="F5486" t="inlineStr">
        <is>
          <t>STS1250</t>
        </is>
      </c>
      <c r="G5486" t="inlineStr">
        <is>
          <t>GVE</t>
        </is>
      </c>
      <c r="H5486" t="inlineStr">
        <is>
          <t>STS</t>
        </is>
      </c>
      <c r="J5486" t="inlineStr">
        <is>
          <t>MATRION</t>
        </is>
      </c>
      <c r="K5486" t="inlineStr">
        <is>
          <t>CUIVRE</t>
        </is>
      </c>
      <c r="L5486">
        <f>_xlfn.XLOOKUP(Tableau1[[#This Row],[TYPE DE PIECE]],Tableau4[MATIERE],Tableau4[SHORT TYPE],"",0,1)</f>
        <v/>
      </c>
      <c r="N5486">
        <f>IF(ISERR(FIND("DECOUPE",Tableau1[[#This Row],[DESIGNATION]])),"","NEED REF")</f>
        <v/>
      </c>
    </row>
    <row r="5487">
      <c r="B5487" t="n">
        <v>34408518</v>
      </c>
      <c r="C5487" s="2" t="n">
        <v>43965</v>
      </c>
      <c r="D5487" t="inlineStr">
        <is>
          <t>SPEC</t>
        </is>
      </c>
      <c r="E5487" t="inlineStr">
        <is>
          <t>SMT TUNNEL DOUBLE COMPACT NS CMD ROT</t>
        </is>
      </c>
      <c r="G5487" t="inlineStr">
        <is>
          <t>GVX</t>
        </is>
      </c>
      <c r="H5487" t="inlineStr">
        <is>
          <t>BYPASS</t>
        </is>
      </c>
      <c r="J5487" t="inlineStr">
        <is>
          <t>MATRION</t>
        </is>
      </c>
      <c r="K5487" t="inlineStr">
        <is>
          <t>METAL</t>
        </is>
      </c>
      <c r="L5487">
        <f>_xlfn.XLOOKUP(Tableau1[[#This Row],[TYPE DE PIECE]],Tableau4[MATIERE],Tableau4[SHORT TYPE],"",0,1)</f>
        <v/>
      </c>
      <c r="N5487">
        <f>IF(ISERR(FIND("DECOUPE",Tableau1[[#This Row],[DESIGNATION]])),"","NEED REF")</f>
        <v/>
      </c>
    </row>
    <row r="5488">
      <c r="B5488" t="n">
        <v>34408517</v>
      </c>
      <c r="C5488" s="2" t="n">
        <v>43965</v>
      </c>
      <c r="D5488" t="inlineStr">
        <is>
          <t>SPEC</t>
        </is>
      </c>
      <c r="E5488" t="inlineStr">
        <is>
          <t>SMT SUPPORT VOYANT COMPACT NS</t>
        </is>
      </c>
      <c r="G5488" t="inlineStr">
        <is>
          <t>GVX</t>
        </is>
      </c>
      <c r="H5488" t="inlineStr">
        <is>
          <t>BYPASS</t>
        </is>
      </c>
      <c r="J5488" t="inlineStr">
        <is>
          <t>MATRION</t>
        </is>
      </c>
      <c r="K5488" t="inlineStr">
        <is>
          <t>METAL</t>
        </is>
      </c>
      <c r="L5488">
        <f>_xlfn.XLOOKUP(Tableau1[[#This Row],[TYPE DE PIECE]],Tableau4[MATIERE],Tableau4[SHORT TYPE],"",0,1)</f>
        <v/>
      </c>
      <c r="N5488">
        <f>IF(ISERR(FIND("DECOUPE",Tableau1[[#This Row],[DESIGNATION]])),"","NEED REF")</f>
        <v/>
      </c>
    </row>
    <row r="5489">
      <c r="B5489" t="n">
        <v>34408516</v>
      </c>
      <c r="C5489" s="2" t="n">
        <v>43965</v>
      </c>
      <c r="D5489" t="inlineStr">
        <is>
          <t>SPEC</t>
        </is>
      </c>
      <c r="E5489" t="inlineStr">
        <is>
          <t>SMT PLASTRON DOUBLE COMPACT NS CMD ROT</t>
        </is>
      </c>
      <c r="G5489" t="inlineStr">
        <is>
          <t>GVX</t>
        </is>
      </c>
      <c r="H5489" t="inlineStr">
        <is>
          <t>BYPASS</t>
        </is>
      </c>
      <c r="J5489" t="inlineStr">
        <is>
          <t>MATRION</t>
        </is>
      </c>
      <c r="K5489" t="inlineStr">
        <is>
          <t>METAL</t>
        </is>
      </c>
      <c r="L5489">
        <f>_xlfn.XLOOKUP(Tableau1[[#This Row],[TYPE DE PIECE]],Tableau4[MATIERE],Tableau4[SHORT TYPE],"",0,1)</f>
        <v/>
      </c>
      <c r="N5489">
        <f>IF(ISERR(FIND("DECOUPE",Tableau1[[#This Row],[DESIGNATION]])),"","NEED REF")</f>
        <v/>
      </c>
    </row>
    <row r="5490">
      <c r="B5490" t="n">
        <v>34408515</v>
      </c>
      <c r="C5490" s="2" t="n">
        <v>43965</v>
      </c>
      <c r="D5490" t="inlineStr">
        <is>
          <t>SPEC</t>
        </is>
      </c>
      <c r="E5490" t="inlineStr">
        <is>
          <t>COP FLEX LINERGY LOAD VERS COMPACT NS 4</t>
        </is>
      </c>
      <c r="G5490" t="inlineStr">
        <is>
          <t>GVX</t>
        </is>
      </c>
      <c r="H5490" t="inlineStr">
        <is>
          <t>BYPASS</t>
        </is>
      </c>
      <c r="J5490" t="inlineStr">
        <is>
          <t>MATRION</t>
        </is>
      </c>
      <c r="K5490" t="inlineStr">
        <is>
          <t>CUIVRE</t>
        </is>
      </c>
      <c r="L5490">
        <f>_xlfn.XLOOKUP(Tableau1[[#This Row],[TYPE DE PIECE]],Tableau4[MATIERE],Tableau4[SHORT TYPE],"",0,1)</f>
        <v/>
      </c>
      <c r="N5490">
        <f>IF(ISERR(FIND("DECOUPE",Tableau1[[#This Row],[DESIGNATION]])),"","NEED REF")</f>
        <v/>
      </c>
    </row>
    <row r="5491">
      <c r="B5491" t="n">
        <v>34408514</v>
      </c>
      <c r="C5491" s="2" t="n">
        <v>43965</v>
      </c>
      <c r="D5491" t="inlineStr">
        <is>
          <t>SPEC</t>
        </is>
      </c>
      <c r="E5491" t="inlineStr">
        <is>
          <t>COP FLEX LINERGY LOAD VERS COMPACT NS 3</t>
        </is>
      </c>
      <c r="G5491" t="inlineStr">
        <is>
          <t>GVX</t>
        </is>
      </c>
      <c r="H5491" t="inlineStr">
        <is>
          <t>BYPASS</t>
        </is>
      </c>
      <c r="J5491" t="inlineStr">
        <is>
          <t>MATRION</t>
        </is>
      </c>
      <c r="K5491" t="inlineStr">
        <is>
          <t>CUIVRE</t>
        </is>
      </c>
      <c r="L5491">
        <f>_xlfn.XLOOKUP(Tableau1[[#This Row],[TYPE DE PIECE]],Tableau4[MATIERE],Tableau4[SHORT TYPE],"",0,1)</f>
        <v/>
      </c>
      <c r="N5491">
        <f>IF(ISERR(FIND("DECOUPE",Tableau1[[#This Row],[DESIGNATION]])),"","NEED REF")</f>
        <v/>
      </c>
    </row>
    <row r="5492">
      <c r="B5492" t="n">
        <v>34408513</v>
      </c>
      <c r="C5492" s="2" t="n">
        <v>43965</v>
      </c>
      <c r="D5492" t="inlineStr">
        <is>
          <t>SPEC</t>
        </is>
      </c>
      <c r="E5492" t="inlineStr">
        <is>
          <t>COP FLEX LINERGY LOAD VERS COMPACT NS 2</t>
        </is>
      </c>
      <c r="G5492" t="inlineStr">
        <is>
          <t>GVX</t>
        </is>
      </c>
      <c r="H5492" t="inlineStr">
        <is>
          <t>BYPASS</t>
        </is>
      </c>
      <c r="J5492" t="inlineStr">
        <is>
          <t>MATRION</t>
        </is>
      </c>
      <c r="K5492" t="inlineStr">
        <is>
          <t>CUIVRE</t>
        </is>
      </c>
      <c r="L5492">
        <f>_xlfn.XLOOKUP(Tableau1[[#This Row],[TYPE DE PIECE]],Tableau4[MATIERE],Tableau4[SHORT TYPE],"",0,1)</f>
        <v/>
      </c>
      <c r="N5492">
        <f>IF(ISERR(FIND("DECOUPE",Tableau1[[#This Row],[DESIGNATION]])),"","NEED REF")</f>
        <v/>
      </c>
    </row>
    <row r="5493">
      <c r="B5493" t="n">
        <v>34408512</v>
      </c>
      <c r="C5493" s="2" t="n">
        <v>43965</v>
      </c>
      <c r="D5493" t="inlineStr">
        <is>
          <t>SPEC</t>
        </is>
      </c>
      <c r="E5493" t="inlineStr">
        <is>
          <t>COP FLEX LINERGY LOAD VERS COMPACT NS 1</t>
        </is>
      </c>
      <c r="G5493" t="inlineStr">
        <is>
          <t>GVX</t>
        </is>
      </c>
      <c r="H5493" t="inlineStr">
        <is>
          <t>BYPASS</t>
        </is>
      </c>
      <c r="J5493" t="inlineStr">
        <is>
          <t>MATRION</t>
        </is>
      </c>
      <c r="K5493" t="inlineStr">
        <is>
          <t>CUIVRE</t>
        </is>
      </c>
      <c r="L5493">
        <f>_xlfn.XLOOKUP(Tableau1[[#This Row],[TYPE DE PIECE]],Tableau4[MATIERE],Tableau4[SHORT TYPE],"",0,1)</f>
        <v/>
      </c>
      <c r="N5493">
        <f>IF(ISERR(FIND("DECOUPE",Tableau1[[#This Row],[DESIGNATION]])),"","NEED REF")</f>
        <v/>
      </c>
    </row>
    <row r="5494">
      <c r="B5494" t="n">
        <v>34408511</v>
      </c>
      <c r="C5494" s="2" t="n">
        <v>43965</v>
      </c>
      <c r="D5494" t="inlineStr">
        <is>
          <t>SPEC</t>
        </is>
      </c>
      <c r="E5494" t="inlineStr">
        <is>
          <t>COP FLEX LINERGY IOC LOAD VERS COMPACT NS 8</t>
        </is>
      </c>
      <c r="G5494" t="inlineStr">
        <is>
          <t>GVX</t>
        </is>
      </c>
      <c r="H5494" t="inlineStr">
        <is>
          <t>BYPASS</t>
        </is>
      </c>
      <c r="J5494" t="inlineStr">
        <is>
          <t>MATRION</t>
        </is>
      </c>
      <c r="K5494" t="inlineStr">
        <is>
          <t>CUIVRE</t>
        </is>
      </c>
      <c r="L5494">
        <f>_xlfn.XLOOKUP(Tableau1[[#This Row],[TYPE DE PIECE]],Tableau4[MATIERE],Tableau4[SHORT TYPE],"",0,1)</f>
        <v/>
      </c>
      <c r="N5494">
        <f>IF(ISERR(FIND("DECOUPE",Tableau1[[#This Row],[DESIGNATION]])),"","NEED REF")</f>
        <v/>
      </c>
    </row>
    <row r="5495">
      <c r="B5495" t="n">
        <v>34408510</v>
      </c>
      <c r="C5495" s="2" t="n">
        <v>43965</v>
      </c>
      <c r="D5495" t="inlineStr">
        <is>
          <t>SPEC</t>
        </is>
      </c>
      <c r="E5495" t="inlineStr">
        <is>
          <t>COP FLEX LINERGY IOC LOAD VERS COMPACT NS 7</t>
        </is>
      </c>
      <c r="G5495" t="inlineStr">
        <is>
          <t>GVX</t>
        </is>
      </c>
      <c r="H5495" t="inlineStr">
        <is>
          <t>BYPASS</t>
        </is>
      </c>
      <c r="J5495" t="inlineStr">
        <is>
          <t>MATRION</t>
        </is>
      </c>
      <c r="K5495" t="inlineStr">
        <is>
          <t>CUIVRE</t>
        </is>
      </c>
      <c r="L5495">
        <f>_xlfn.XLOOKUP(Tableau1[[#This Row],[TYPE DE PIECE]],Tableau4[MATIERE],Tableau4[SHORT TYPE],"",0,1)</f>
        <v/>
      </c>
      <c r="N5495">
        <f>IF(ISERR(FIND("DECOUPE",Tableau1[[#This Row],[DESIGNATION]])),"","NEED REF")</f>
        <v/>
      </c>
    </row>
    <row r="5496">
      <c r="B5496" t="n">
        <v>34408509</v>
      </c>
      <c r="C5496" s="2" t="n">
        <v>43965</v>
      </c>
      <c r="D5496" t="inlineStr">
        <is>
          <t>SPEC</t>
        </is>
      </c>
      <c r="E5496" t="inlineStr">
        <is>
          <t>COP FLEX LINERGY IOC LOAD VERS COMPACT NS 6</t>
        </is>
      </c>
      <c r="G5496" t="inlineStr">
        <is>
          <t>GVX</t>
        </is>
      </c>
      <c r="H5496" t="inlineStr">
        <is>
          <t>BYPASS</t>
        </is>
      </c>
      <c r="J5496" t="inlineStr">
        <is>
          <t>MATRION</t>
        </is>
      </c>
      <c r="K5496" t="inlineStr">
        <is>
          <t>CUIVRE</t>
        </is>
      </c>
      <c r="L5496">
        <f>_xlfn.XLOOKUP(Tableau1[[#This Row],[TYPE DE PIECE]],Tableau4[MATIERE],Tableau4[SHORT TYPE],"",0,1)</f>
        <v/>
      </c>
      <c r="N5496">
        <f>IF(ISERR(FIND("DECOUPE",Tableau1[[#This Row],[DESIGNATION]])),"","NEED REF")</f>
        <v/>
      </c>
    </row>
    <row r="5497">
      <c r="B5497" t="n">
        <v>34408508</v>
      </c>
      <c r="C5497" s="2" t="n">
        <v>43965</v>
      </c>
      <c r="D5497" t="inlineStr">
        <is>
          <t>SPEC</t>
        </is>
      </c>
      <c r="E5497" t="inlineStr">
        <is>
          <t>COP FLEX LINERGY IOC LOAD VERS COMPACT NS 5</t>
        </is>
      </c>
      <c r="G5497" t="inlineStr">
        <is>
          <t>GVX</t>
        </is>
      </c>
      <c r="H5497" t="inlineStr">
        <is>
          <t>BYPASS</t>
        </is>
      </c>
      <c r="J5497" t="inlineStr">
        <is>
          <t>MATRION</t>
        </is>
      </c>
      <c r="K5497" t="inlineStr">
        <is>
          <t>CUIVRE</t>
        </is>
      </c>
      <c r="L5497">
        <f>_xlfn.XLOOKUP(Tableau1[[#This Row],[TYPE DE PIECE]],Tableau4[MATIERE],Tableau4[SHORT TYPE],"",0,1)</f>
        <v/>
      </c>
      <c r="N5497">
        <f>IF(ISERR(FIND("DECOUPE",Tableau1[[#This Row],[DESIGNATION]])),"","NEED REF")</f>
        <v/>
      </c>
    </row>
    <row r="5498">
      <c r="B5498" t="n">
        <v>34408507</v>
      </c>
      <c r="C5498" s="2" t="n">
        <v>43965</v>
      </c>
      <c r="D5498" t="inlineStr">
        <is>
          <t>SPEC</t>
        </is>
      </c>
      <c r="E5498" t="inlineStr">
        <is>
          <t>COP FLEX LINERGY IOC LOAD VERS COMPACT NS 4</t>
        </is>
      </c>
      <c r="G5498" t="inlineStr">
        <is>
          <t>GVX</t>
        </is>
      </c>
      <c r="H5498" t="inlineStr">
        <is>
          <t>BYPASS</t>
        </is>
      </c>
      <c r="J5498" t="inlineStr">
        <is>
          <t>MATRION</t>
        </is>
      </c>
      <c r="K5498" t="inlineStr">
        <is>
          <t>CUIVRE</t>
        </is>
      </c>
      <c r="L5498">
        <f>_xlfn.XLOOKUP(Tableau1[[#This Row],[TYPE DE PIECE]],Tableau4[MATIERE],Tableau4[SHORT TYPE],"",0,1)</f>
        <v/>
      </c>
      <c r="N5498">
        <f>IF(ISERR(FIND("DECOUPE",Tableau1[[#This Row],[DESIGNATION]])),"","NEED REF")</f>
        <v/>
      </c>
    </row>
    <row r="5499">
      <c r="B5499" t="n">
        <v>34408506</v>
      </c>
      <c r="C5499" s="2" t="n">
        <v>43965</v>
      </c>
      <c r="D5499" t="inlineStr">
        <is>
          <t>SPEC</t>
        </is>
      </c>
      <c r="E5499" t="inlineStr">
        <is>
          <t>COP FLEX LINERGY IOC LOAD VERS COMPACT NS 3</t>
        </is>
      </c>
      <c r="G5499" t="inlineStr">
        <is>
          <t>GVX</t>
        </is>
      </c>
      <c r="H5499" t="inlineStr">
        <is>
          <t>BYPASS</t>
        </is>
      </c>
      <c r="J5499" t="inlineStr">
        <is>
          <t>MATRION</t>
        </is>
      </c>
      <c r="K5499" t="inlineStr">
        <is>
          <t>CUIVRE</t>
        </is>
      </c>
      <c r="L5499">
        <f>_xlfn.XLOOKUP(Tableau1[[#This Row],[TYPE DE PIECE]],Tableau4[MATIERE],Tableau4[SHORT TYPE],"",0,1)</f>
        <v/>
      </c>
      <c r="N5499">
        <f>IF(ISERR(FIND("DECOUPE",Tableau1[[#This Row],[DESIGNATION]])),"","NEED REF")</f>
        <v/>
      </c>
    </row>
    <row r="5500">
      <c r="B5500" t="n">
        <v>34408505</v>
      </c>
      <c r="C5500" s="2" t="n">
        <v>43965</v>
      </c>
      <c r="D5500" t="inlineStr">
        <is>
          <t>SPEC</t>
        </is>
      </c>
      <c r="E5500" t="inlineStr">
        <is>
          <t>COP FLEX LINERGY IOC LOAD VERS COMPACT NS 2</t>
        </is>
      </c>
      <c r="G5500" t="inlineStr">
        <is>
          <t>GVX</t>
        </is>
      </c>
      <c r="H5500" t="inlineStr">
        <is>
          <t>BYPASS</t>
        </is>
      </c>
      <c r="J5500" t="inlineStr">
        <is>
          <t>MATRION</t>
        </is>
      </c>
      <c r="K5500" t="inlineStr">
        <is>
          <t>CUIVRE</t>
        </is>
      </c>
      <c r="L5500">
        <f>_xlfn.XLOOKUP(Tableau1[[#This Row],[TYPE DE PIECE]],Tableau4[MATIERE],Tableau4[SHORT TYPE],"",0,1)</f>
        <v/>
      </c>
      <c r="N5500">
        <f>IF(ISERR(FIND("DECOUPE",Tableau1[[#This Row],[DESIGNATION]])),"","NEED REF")</f>
        <v/>
      </c>
    </row>
    <row r="5501">
      <c r="B5501" t="n">
        <v>34408504</v>
      </c>
      <c r="C5501" s="2" t="n">
        <v>43965</v>
      </c>
      <c r="D5501" t="inlineStr">
        <is>
          <t>SPEC</t>
        </is>
      </c>
      <c r="E5501" t="inlineStr">
        <is>
          <t>COP FLEX LINERGY IOC LOAD VERS COMPACT NS 1</t>
        </is>
      </c>
      <c r="G5501" t="inlineStr">
        <is>
          <t>GVX</t>
        </is>
      </c>
      <c r="H5501" t="inlineStr">
        <is>
          <t>BYPASS</t>
        </is>
      </c>
      <c r="J5501" t="inlineStr">
        <is>
          <t>MATRION</t>
        </is>
      </c>
      <c r="K5501" t="inlineStr">
        <is>
          <t>CUIVRE</t>
        </is>
      </c>
      <c r="L5501">
        <f>_xlfn.XLOOKUP(Tableau1[[#This Row],[TYPE DE PIECE]],Tableau4[MATIERE],Tableau4[SHORT TYPE],"",0,1)</f>
        <v/>
      </c>
      <c r="N5501">
        <f>IF(ISERR(FIND("DECOUPE",Tableau1[[#This Row],[DESIGNATION]])),"","NEED REF")</f>
        <v/>
      </c>
    </row>
    <row r="5502">
      <c r="B5502" t="n">
        <v>34408503</v>
      </c>
      <c r="C5502" s="2" t="n">
        <v>43965</v>
      </c>
      <c r="D5502" t="inlineStr">
        <is>
          <t>SPEC</t>
        </is>
      </c>
      <c r="E5502" t="inlineStr">
        <is>
          <t>SMT PLATINE DOUBLE COMPACT NS PRISES ARRIERE</t>
        </is>
      </c>
      <c r="G5502" t="inlineStr">
        <is>
          <t>GVX</t>
        </is>
      </c>
      <c r="H5502" t="inlineStr">
        <is>
          <t>BYPASS</t>
        </is>
      </c>
      <c r="J5502" t="inlineStr">
        <is>
          <t>MATRION</t>
        </is>
      </c>
      <c r="K5502" t="inlineStr">
        <is>
          <t>METAL</t>
        </is>
      </c>
      <c r="L5502">
        <f>_xlfn.XLOOKUP(Tableau1[[#This Row],[TYPE DE PIECE]],Tableau4[MATIERE],Tableau4[SHORT TYPE],"",0,1)</f>
        <v/>
      </c>
      <c r="N5502">
        <f>IF(ISERR(FIND("DECOUPE",Tableau1[[#This Row],[DESIGNATION]])),"","NEED REF")</f>
        <v/>
      </c>
    </row>
    <row r="5503">
      <c r="B5503" t="n">
        <v>34408502</v>
      </c>
      <c r="C5503" s="2" t="n">
        <v>43965</v>
      </c>
      <c r="D5503" t="inlineStr">
        <is>
          <t>SPEC</t>
        </is>
      </c>
      <c r="E5503" t="inlineStr">
        <is>
          <t>SMT DECOUPE LINERGY</t>
        </is>
      </c>
      <c r="G5503" t="inlineStr">
        <is>
          <t>GVX</t>
        </is>
      </c>
      <c r="H5503" t="inlineStr">
        <is>
          <t>BYPASS</t>
        </is>
      </c>
      <c r="J5503" t="inlineStr">
        <is>
          <t>MATRION</t>
        </is>
      </c>
      <c r="K5503" t="inlineStr">
        <is>
          <t>METAL</t>
        </is>
      </c>
      <c r="L5503">
        <f>_xlfn.XLOOKUP(Tableau1[[#This Row],[TYPE DE PIECE]],Tableau4[MATIERE],Tableau4[SHORT TYPE],"",0,1)</f>
        <v/>
      </c>
      <c r="N5503">
        <f>IF(ISERR(FIND("DECOUPE",Tableau1[[#This Row],[DESIGNATION]])),"","NEED REF")</f>
        <v/>
      </c>
    </row>
    <row r="5504">
      <c r="B5504" t="n">
        <v>34408501</v>
      </c>
      <c r="C5504" s="2" t="n">
        <v>43963</v>
      </c>
      <c r="D5504" t="inlineStr">
        <is>
          <t>SPEC</t>
        </is>
      </c>
      <c r="E5504" t="inlineStr">
        <is>
          <t>COMPACT NS630b u5.0 PRISE AVANT/ARRIERE</t>
        </is>
      </c>
      <c r="G5504" t="inlineStr">
        <is>
          <t>GVX</t>
        </is>
      </c>
      <c r="H5504" t="inlineStr">
        <is>
          <t>BYPASS</t>
        </is>
      </c>
      <c r="J5504" t="inlineStr">
        <is>
          <t>MATRION</t>
        </is>
      </c>
      <c r="K5504" t="inlineStr">
        <is>
          <t>=S=</t>
        </is>
      </c>
      <c r="L5504">
        <f>_xlfn.XLOOKUP(Tableau1[[#This Row],[TYPE DE PIECE]],Tableau4[MATIERE],Tableau4[SHORT TYPE],"",0,1)</f>
        <v/>
      </c>
      <c r="N5504">
        <f>IF(ISERR(FIND("DECOUPE",Tableau1[[#This Row],[DESIGNATION]])),"","NEED REF")</f>
        <v/>
      </c>
    </row>
    <row r="5505">
      <c r="B5505" t="n">
        <v>34408500</v>
      </c>
      <c r="C5505" s="2" t="n">
        <v>43963</v>
      </c>
      <c r="D5505" t="inlineStr">
        <is>
          <t>SPEC</t>
        </is>
      </c>
      <c r="E5505" t="inlineStr">
        <is>
          <t>COMPACT NS1000NA PRISES ARRIERE</t>
        </is>
      </c>
      <c r="G5505" t="inlineStr">
        <is>
          <t>GVX</t>
        </is>
      </c>
      <c r="H5505" t="inlineStr">
        <is>
          <t>BYPASS</t>
        </is>
      </c>
      <c r="J5505" t="inlineStr">
        <is>
          <t>MATRION</t>
        </is>
      </c>
      <c r="K5505" t="inlineStr">
        <is>
          <t>=S=</t>
        </is>
      </c>
      <c r="L5505">
        <f>_xlfn.XLOOKUP(Tableau1[[#This Row],[TYPE DE PIECE]],Tableau4[MATIERE],Tableau4[SHORT TYPE],"",0,1)</f>
        <v/>
      </c>
      <c r="N5505">
        <f>IF(ISERR(FIND("DECOUPE",Tableau1[[#This Row],[DESIGNATION]])),"","NEED REF")</f>
        <v/>
      </c>
    </row>
    <row r="5506">
      <c r="B5506" t="n">
        <v>34408499</v>
      </c>
      <c r="C5506" s="2" t="n">
        <v>43962</v>
      </c>
      <c r="D5506" t="inlineStr">
        <is>
          <t>SPEC</t>
        </is>
      </c>
      <c r="E5506" t="inlineStr">
        <is>
          <t>EQUERRE SUPPORT CABLE GRAND</t>
        </is>
      </c>
      <c r="F5506" t="inlineStr">
        <is>
          <t>DATA 4</t>
        </is>
      </c>
      <c r="J5506" t="inlineStr">
        <is>
          <t>MASCELLINO</t>
        </is>
      </c>
      <c r="K5506" t="inlineStr">
        <is>
          <t>METAL</t>
        </is>
      </c>
      <c r="L5506">
        <f>_xlfn.XLOOKUP(Tableau1[[#This Row],[TYPE DE PIECE]],Tableau4[MATIERE],Tableau4[SHORT TYPE],"",0,1)</f>
        <v/>
      </c>
      <c r="N5506">
        <f>IF(ISERR(FIND("DECOUPE",Tableau1[[#This Row],[DESIGNATION]])),"","NEED REF")</f>
        <v/>
      </c>
    </row>
    <row r="5507">
      <c r="B5507" t="n">
        <v>34408498</v>
      </c>
      <c r="C5507" s="2" t="n">
        <v>43962</v>
      </c>
      <c r="D5507" t="inlineStr">
        <is>
          <t>SPEC</t>
        </is>
      </c>
      <c r="E5507" t="inlineStr">
        <is>
          <t>EQUERRE SUPPORT CABLE PETIT</t>
        </is>
      </c>
      <c r="F5507" t="inlineStr">
        <is>
          <t>DATA 4</t>
        </is>
      </c>
      <c r="J5507" t="inlineStr">
        <is>
          <t>MASCELLINO</t>
        </is>
      </c>
      <c r="K5507" t="inlineStr">
        <is>
          <t>METAL</t>
        </is>
      </c>
      <c r="L5507">
        <f>_xlfn.XLOOKUP(Tableau1[[#This Row],[TYPE DE PIECE]],Tableau4[MATIERE],Tableau4[SHORT TYPE],"",0,1)</f>
        <v/>
      </c>
      <c r="N5507">
        <f>IF(ISERR(FIND("DECOUPE",Tableau1[[#This Row],[DESIGNATION]])),"","NEED REF")</f>
        <v/>
      </c>
    </row>
    <row r="5508">
      <c r="B5508" t="n">
        <v>34408497</v>
      </c>
      <c r="C5508" s="2" t="n">
        <v>43958</v>
      </c>
      <c r="D5508" t="inlineStr">
        <is>
          <t>SPEC</t>
        </is>
      </c>
      <c r="E5508" t="inlineStr">
        <is>
          <t>SUPPORT CABLE</t>
        </is>
      </c>
      <c r="F5508" t="inlineStr">
        <is>
          <t>DATA 4</t>
        </is>
      </c>
      <c r="J5508" t="inlineStr">
        <is>
          <t>MASCELLINO</t>
        </is>
      </c>
      <c r="K5508" t="inlineStr">
        <is>
          <t>METAL</t>
        </is>
      </c>
      <c r="L5508">
        <f>_xlfn.XLOOKUP(Tableau1[[#This Row],[TYPE DE PIECE]],Tableau4[MATIERE],Tableau4[SHORT TYPE],"",0,1)</f>
        <v/>
      </c>
      <c r="N5508">
        <f>IF(ISERR(FIND("DECOUPE",Tableau1[[#This Row],[DESIGNATION]])),"","NEED REF")</f>
        <v/>
      </c>
    </row>
    <row r="5509">
      <c r="B5509" t="n">
        <v>34408496</v>
      </c>
      <c r="C5509" s="2" t="n">
        <v>43958</v>
      </c>
      <c r="D5509" t="inlineStr">
        <is>
          <t>SPEC</t>
        </is>
      </c>
      <c r="E5509" t="inlineStr">
        <is>
          <t>POIGNEE PLASTRON</t>
        </is>
      </c>
      <c r="F5509" t="inlineStr">
        <is>
          <t>DATA 4</t>
        </is>
      </c>
      <c r="J5509" t="inlineStr">
        <is>
          <t>MASCELLINO</t>
        </is>
      </c>
      <c r="K5509" t="inlineStr">
        <is>
          <t>METAL</t>
        </is>
      </c>
      <c r="L5509">
        <f>_xlfn.XLOOKUP(Tableau1[[#This Row],[TYPE DE PIECE]],Tableau4[MATIERE],Tableau4[SHORT TYPE],"",0,1)</f>
        <v/>
      </c>
      <c r="N5509">
        <f>IF(ISERR(FIND("DECOUPE",Tableau1[[#This Row],[DESIGNATION]])),"","NEED REF")</f>
        <v/>
      </c>
    </row>
    <row r="5510">
      <c r="B5510" t="n">
        <v>34408495</v>
      </c>
      <c r="C5510" s="2" t="n">
        <v>43958</v>
      </c>
      <c r="D5510" t="inlineStr">
        <is>
          <t>SPEC</t>
        </is>
      </c>
      <c r="E5510" t="inlineStr">
        <is>
          <t>SMT DECOUPE BRIDAGE BARRES DE CHANT 3P</t>
        </is>
      </c>
      <c r="J5510" t="inlineStr">
        <is>
          <t>MATRION</t>
        </is>
      </c>
      <c r="K5510" t="inlineStr">
        <is>
          <t>METAL</t>
        </is>
      </c>
      <c r="L5510">
        <f>_xlfn.XLOOKUP(Tableau1[[#This Row],[TYPE DE PIECE]],Tableau4[MATIERE],Tableau4[SHORT TYPE],"",0,1)</f>
        <v/>
      </c>
      <c r="N5510">
        <f>IF(ISERR(FIND("DECOUPE",Tableau1[[#This Row],[DESIGNATION]])),"","NEED REF")</f>
        <v/>
      </c>
    </row>
    <row r="5511">
      <c r="B5511" t="n">
        <v>34408494</v>
      </c>
      <c r="C5511" s="2" t="n">
        <v>43958</v>
      </c>
      <c r="D5511" t="inlineStr">
        <is>
          <t>SPEC</t>
        </is>
      </c>
      <c r="E5511" t="inlineStr">
        <is>
          <t>SMT BRIDAGE INTER CELLULE AUX</t>
        </is>
      </c>
      <c r="H5511" t="inlineStr">
        <is>
          <t>AUX</t>
        </is>
      </c>
      <c r="J5511" t="inlineStr">
        <is>
          <t>MATRION</t>
        </is>
      </c>
      <c r="K5511" t="inlineStr">
        <is>
          <t>METAL</t>
        </is>
      </c>
      <c r="L5511">
        <f>_xlfn.XLOOKUP(Tableau1[[#This Row],[TYPE DE PIECE]],Tableau4[MATIERE],Tableau4[SHORT TYPE],"",0,1)</f>
        <v/>
      </c>
      <c r="N5511">
        <f>IF(ISERR(FIND("DECOUPE",Tableau1[[#This Row],[DESIGNATION]])),"","NEED REF")</f>
        <v/>
      </c>
    </row>
    <row r="5512">
      <c r="B5512" t="n">
        <v>34408493</v>
      </c>
      <c r="C5512" s="2" t="n">
        <v>43958</v>
      </c>
      <c r="D5512" t="inlineStr">
        <is>
          <t>SPEC</t>
        </is>
      </c>
      <c r="E5512" t="inlineStr">
        <is>
          <t>SMT FIXATION CABLES CLIENT HAUT/BAS 700</t>
        </is>
      </c>
      <c r="H5512" t="inlineStr">
        <is>
          <t>AUX</t>
        </is>
      </c>
      <c r="J5512" t="inlineStr">
        <is>
          <t>MATRION</t>
        </is>
      </c>
      <c r="K5512" t="inlineStr">
        <is>
          <t>METAL</t>
        </is>
      </c>
      <c r="L5512">
        <f>_xlfn.XLOOKUP(Tableau1[[#This Row],[TYPE DE PIECE]],Tableau4[MATIERE],Tableau4[SHORT TYPE],"",0,1)</f>
        <v/>
      </c>
      <c r="N5512">
        <f>IF(ISERR(FIND("DECOUPE",Tableau1[[#This Row],[DESIGNATION]])),"","NEED REF")</f>
        <v/>
      </c>
    </row>
    <row r="5513">
      <c r="B5513" t="n">
        <v>34408492</v>
      </c>
      <c r="C5513" s="2" t="n">
        <v>43958</v>
      </c>
      <c r="D5513" t="inlineStr">
        <is>
          <t>SPEC</t>
        </is>
      </c>
      <c r="E5513" t="inlineStr">
        <is>
          <t>SMT FIXATION CABLES CLIENT HAUT/BAS 400</t>
        </is>
      </c>
      <c r="H5513" t="inlineStr">
        <is>
          <t>AUX</t>
        </is>
      </c>
      <c r="J5513" t="inlineStr">
        <is>
          <t>MATRION</t>
        </is>
      </c>
      <c r="K5513" t="inlineStr">
        <is>
          <t>METAL</t>
        </is>
      </c>
      <c r="L5513">
        <f>_xlfn.XLOOKUP(Tableau1[[#This Row],[TYPE DE PIECE]],Tableau4[MATIERE],Tableau4[SHORT TYPE],"",0,1)</f>
        <v/>
      </c>
      <c r="N5513">
        <f>IF(ISERR(FIND("DECOUPE",Tableau1[[#This Row],[DESIGNATION]])),"","NEED REF")</f>
        <v/>
      </c>
    </row>
    <row r="5514">
      <c r="B5514" t="n">
        <v>34408491</v>
      </c>
      <c r="C5514" s="2" t="n">
        <v>43957</v>
      </c>
      <c r="D5514" t="inlineStr">
        <is>
          <t>SPEC</t>
        </is>
      </c>
      <c r="E5514" t="inlineStr">
        <is>
          <t>SMT TOIT ALU PE GAINE 400</t>
        </is>
      </c>
      <c r="G5514" t="inlineStr">
        <is>
          <t>GVX</t>
        </is>
      </c>
      <c r="H5514" t="inlineStr">
        <is>
          <t>BATTERY</t>
        </is>
      </c>
      <c r="J5514" t="inlineStr">
        <is>
          <t>MATRION</t>
        </is>
      </c>
      <c r="K5514" t="inlineStr">
        <is>
          <t>METAL</t>
        </is>
      </c>
      <c r="L5514">
        <f>_xlfn.XLOOKUP(Tableau1[[#This Row],[TYPE DE PIECE]],Tableau4[MATIERE],Tableau4[SHORT TYPE],"",0,1)</f>
        <v/>
      </c>
      <c r="N5514">
        <f>IF(ISERR(FIND("DECOUPE",Tableau1[[#This Row],[DESIGNATION]])),"","NEED REF")</f>
        <v/>
      </c>
    </row>
    <row r="5515">
      <c r="B5515" t="n">
        <v>34408490</v>
      </c>
      <c r="C5515" s="2" t="n">
        <v>43957</v>
      </c>
      <c r="D5515" t="inlineStr">
        <is>
          <t>SPEC</t>
        </is>
      </c>
      <c r="E5515" t="inlineStr">
        <is>
          <t>SMT PLASTRON AVANT GAINE 400 RAL9003</t>
        </is>
      </c>
      <c r="G5515" t="inlineStr">
        <is>
          <t>GVX</t>
        </is>
      </c>
      <c r="H5515" t="inlineStr">
        <is>
          <t>BATTERY</t>
        </is>
      </c>
      <c r="J5515" t="inlineStr">
        <is>
          <t>MATRION</t>
        </is>
      </c>
      <c r="K5515" t="inlineStr">
        <is>
          <t>METAL</t>
        </is>
      </c>
      <c r="L5515">
        <f>_xlfn.XLOOKUP(Tableau1[[#This Row],[TYPE DE PIECE]],Tableau4[MATIERE],Tableau4[SHORT TYPE],"",0,1)</f>
        <v/>
      </c>
      <c r="N5515">
        <f>IF(ISERR(FIND("DECOUPE",Tableau1[[#This Row],[DESIGNATION]])),"","NEED REF")</f>
        <v/>
      </c>
    </row>
    <row r="5516">
      <c r="B5516" t="n">
        <v>34408489</v>
      </c>
      <c r="C5516" s="2" t="n">
        <v>43957</v>
      </c>
      <c r="D5516" t="inlineStr">
        <is>
          <t>SPEC</t>
        </is>
      </c>
      <c r="E5516" t="inlineStr">
        <is>
          <t>SMT PLASTRON NW DC</t>
        </is>
      </c>
      <c r="G5516" t="inlineStr">
        <is>
          <t>GVX</t>
        </is>
      </c>
      <c r="H5516" t="inlineStr">
        <is>
          <t>BATTERY</t>
        </is>
      </c>
      <c r="J5516" t="inlineStr">
        <is>
          <t>MATRION</t>
        </is>
      </c>
      <c r="K5516" t="inlineStr">
        <is>
          <t>METAL</t>
        </is>
      </c>
      <c r="L5516">
        <f>_xlfn.XLOOKUP(Tableau1[[#This Row],[TYPE DE PIECE]],Tableau4[MATIERE],Tableau4[SHORT TYPE],"",0,1)</f>
        <v/>
      </c>
      <c r="N5516">
        <f>IF(ISERR(FIND("DECOUPE",Tableau1[[#This Row],[DESIGNATION]])),"","NEED REF")</f>
        <v/>
      </c>
    </row>
    <row r="5517">
      <c r="B5517" t="n">
        <v>34408488</v>
      </c>
      <c r="C5517" s="2" t="n">
        <v>43957</v>
      </c>
      <c r="D5517" t="inlineStr">
        <is>
          <t>SPEC</t>
        </is>
      </c>
      <c r="E5517" t="inlineStr">
        <is>
          <t>SMT SUPPORT JDB AVANT</t>
        </is>
      </c>
      <c r="G5517" t="inlineStr">
        <is>
          <t>GVX</t>
        </is>
      </c>
      <c r="H5517" t="inlineStr">
        <is>
          <t>BATTERY</t>
        </is>
      </c>
      <c r="J5517" t="inlineStr">
        <is>
          <t>MATRION</t>
        </is>
      </c>
      <c r="K5517" t="inlineStr">
        <is>
          <t>METAL</t>
        </is>
      </c>
      <c r="L5517">
        <f>_xlfn.XLOOKUP(Tableau1[[#This Row],[TYPE DE PIECE]],Tableau4[MATIERE],Tableau4[SHORT TYPE],"",0,1)</f>
        <v/>
      </c>
      <c r="N5517">
        <f>IF(ISERR(FIND("DECOUPE",Tableau1[[#This Row],[DESIGNATION]])),"","NEED REF")</f>
        <v/>
      </c>
    </row>
    <row r="5518">
      <c r="B5518" t="n">
        <v>34408487</v>
      </c>
      <c r="C5518" s="2" t="n">
        <v>43956</v>
      </c>
      <c r="D5518" t="inlineStr">
        <is>
          <t>SPEC</t>
        </is>
      </c>
      <c r="E5518" t="inlineStr">
        <is>
          <t>SMT TOIT TGAB</t>
        </is>
      </c>
      <c r="G5518" t="inlineStr">
        <is>
          <t>GVX</t>
        </is>
      </c>
      <c r="H5518" t="inlineStr">
        <is>
          <t>BATTERY</t>
        </is>
      </c>
      <c r="J5518" t="inlineStr">
        <is>
          <t>MATRION</t>
        </is>
      </c>
      <c r="K5518" t="inlineStr">
        <is>
          <t>METAL</t>
        </is>
      </c>
      <c r="L5518">
        <f>_xlfn.XLOOKUP(Tableau1[[#This Row],[TYPE DE PIECE]],Tableau4[MATIERE],Tableau4[SHORT TYPE],"",0,1)</f>
        <v/>
      </c>
      <c r="N5518">
        <f>IF(ISERR(FIND("DECOUPE",Tableau1[[#This Row],[DESIGNATION]])),"","NEED REF")</f>
        <v/>
      </c>
    </row>
    <row r="5519">
      <c r="B5519" t="n">
        <v>34408486</v>
      </c>
      <c r="C5519" s="2" t="n">
        <v>43956</v>
      </c>
      <c r="D5519" t="inlineStr">
        <is>
          <t>SPEC</t>
        </is>
      </c>
      <c r="E5519" t="inlineStr">
        <is>
          <t>COP LIAISON PE TGAB 3</t>
        </is>
      </c>
      <c r="G5519" t="inlineStr">
        <is>
          <t>GVX</t>
        </is>
      </c>
      <c r="H5519" t="inlineStr">
        <is>
          <t>BATTERY</t>
        </is>
      </c>
      <c r="J5519" t="inlineStr">
        <is>
          <t>MATRION</t>
        </is>
      </c>
      <c r="K5519" t="inlineStr">
        <is>
          <t>CUIVRE</t>
        </is>
      </c>
      <c r="L5519">
        <f>_xlfn.XLOOKUP(Tableau1[[#This Row],[TYPE DE PIECE]],Tableau4[MATIERE],Tableau4[SHORT TYPE],"",0,1)</f>
        <v/>
      </c>
      <c r="N5519">
        <f>IF(ISERR(FIND("DECOUPE",Tableau1[[#This Row],[DESIGNATION]])),"","NEED REF")</f>
        <v/>
      </c>
    </row>
    <row r="5520">
      <c r="B5520" t="n">
        <v>34408485</v>
      </c>
      <c r="C5520" s="2" t="n">
        <v>43956</v>
      </c>
      <c r="D5520" t="inlineStr">
        <is>
          <t>SPEC</t>
        </is>
      </c>
      <c r="E5520" t="inlineStr">
        <is>
          <t>COP LIAISON PE TGAB 2</t>
        </is>
      </c>
      <c r="G5520" t="inlineStr">
        <is>
          <t>GVX</t>
        </is>
      </c>
      <c r="H5520" t="inlineStr">
        <is>
          <t>BATTERY</t>
        </is>
      </c>
      <c r="J5520" t="inlineStr">
        <is>
          <t>MATRION</t>
        </is>
      </c>
      <c r="K5520" t="inlineStr">
        <is>
          <t>CUIVRE</t>
        </is>
      </c>
      <c r="L5520">
        <f>_xlfn.XLOOKUP(Tableau1[[#This Row],[TYPE DE PIECE]],Tableau4[MATIERE],Tableau4[SHORT TYPE],"",0,1)</f>
        <v/>
      </c>
      <c r="N5520">
        <f>IF(ISERR(FIND("DECOUPE",Tableau1[[#This Row],[DESIGNATION]])),"","NEED REF")</f>
        <v/>
      </c>
    </row>
    <row r="5521">
      <c r="B5521" t="n">
        <v>34408484</v>
      </c>
      <c r="C5521" s="2" t="n">
        <v>43956</v>
      </c>
      <c r="D5521" t="inlineStr">
        <is>
          <t>SPEC</t>
        </is>
      </c>
      <c r="E5521" t="inlineStr">
        <is>
          <t>COP LIAISON PE TGAB 1</t>
        </is>
      </c>
      <c r="G5521" t="inlineStr">
        <is>
          <t>GVX</t>
        </is>
      </c>
      <c r="H5521" t="inlineStr">
        <is>
          <t>BATTERY</t>
        </is>
      </c>
      <c r="J5521" t="inlineStr">
        <is>
          <t>MATRION</t>
        </is>
      </c>
      <c r="K5521" t="inlineStr">
        <is>
          <t>CUIVRE</t>
        </is>
      </c>
      <c r="L5521">
        <f>_xlfn.XLOOKUP(Tableau1[[#This Row],[TYPE DE PIECE]],Tableau4[MATIERE],Tableau4[SHORT TYPE],"",0,1)</f>
        <v/>
      </c>
      <c r="N5521">
        <f>IF(ISERR(FIND("DECOUPE",Tableau1[[#This Row],[DESIGNATION]])),"","NEED REF")</f>
        <v/>
      </c>
    </row>
    <row r="5522">
      <c r="B5522" t="n">
        <v>34408483</v>
      </c>
      <c r="C5522" s="2" t="n">
        <v>43956</v>
      </c>
      <c r="D5522" t="inlineStr">
        <is>
          <t>SPEC</t>
        </is>
      </c>
      <c r="E5522" t="inlineStr">
        <is>
          <t>COP BAT TGAB 4</t>
        </is>
      </c>
      <c r="G5522" t="inlineStr">
        <is>
          <t>GVX</t>
        </is>
      </c>
      <c r="H5522" t="inlineStr">
        <is>
          <t>BATTERY</t>
        </is>
      </c>
      <c r="J5522" t="inlineStr">
        <is>
          <t>MATRION</t>
        </is>
      </c>
      <c r="K5522" t="inlineStr">
        <is>
          <t>CUIVRE</t>
        </is>
      </c>
      <c r="L5522">
        <f>_xlfn.XLOOKUP(Tableau1[[#This Row],[TYPE DE PIECE]],Tableau4[MATIERE],Tableau4[SHORT TYPE],"",0,1)</f>
        <v/>
      </c>
      <c r="N5522">
        <f>IF(ISERR(FIND("DECOUPE",Tableau1[[#This Row],[DESIGNATION]])),"","NEED REF")</f>
        <v/>
      </c>
    </row>
    <row r="5523">
      <c r="B5523" t="n">
        <v>34408482</v>
      </c>
      <c r="C5523" s="2" t="n">
        <v>43956</v>
      </c>
      <c r="D5523" t="inlineStr">
        <is>
          <t>SPEC</t>
        </is>
      </c>
      <c r="E5523" t="inlineStr">
        <is>
          <t>COP BAT TGAB 3</t>
        </is>
      </c>
      <c r="G5523" t="inlineStr">
        <is>
          <t>GVX</t>
        </is>
      </c>
      <c r="H5523" t="inlineStr">
        <is>
          <t>BATTERY</t>
        </is>
      </c>
      <c r="J5523" t="inlineStr">
        <is>
          <t>MATRION</t>
        </is>
      </c>
      <c r="K5523" t="inlineStr">
        <is>
          <t>CUIVRE</t>
        </is>
      </c>
      <c r="L5523">
        <f>_xlfn.XLOOKUP(Tableau1[[#This Row],[TYPE DE PIECE]],Tableau4[MATIERE],Tableau4[SHORT TYPE],"",0,1)</f>
        <v/>
      </c>
      <c r="N5523">
        <f>IF(ISERR(FIND("DECOUPE",Tableau1[[#This Row],[DESIGNATION]])),"","NEED REF")</f>
        <v/>
      </c>
    </row>
    <row r="5524">
      <c r="B5524" t="n">
        <v>34408481</v>
      </c>
      <c r="C5524" s="2" t="n">
        <v>43956</v>
      </c>
      <c r="D5524" t="inlineStr">
        <is>
          <t>SPEC</t>
        </is>
      </c>
      <c r="E5524" t="inlineStr">
        <is>
          <t>COP BAT TGAB 2</t>
        </is>
      </c>
      <c r="G5524" t="inlineStr">
        <is>
          <t>GVX</t>
        </is>
      </c>
      <c r="H5524" t="inlineStr">
        <is>
          <t>BATTERY</t>
        </is>
      </c>
      <c r="J5524" t="inlineStr">
        <is>
          <t>MATRION</t>
        </is>
      </c>
      <c r="K5524" t="inlineStr">
        <is>
          <t>CUIVRE</t>
        </is>
      </c>
      <c r="L5524">
        <f>_xlfn.XLOOKUP(Tableau1[[#This Row],[TYPE DE PIECE]],Tableau4[MATIERE],Tableau4[SHORT TYPE],"",0,1)</f>
        <v/>
      </c>
      <c r="N5524">
        <f>IF(ISERR(FIND("DECOUPE",Tableau1[[#This Row],[DESIGNATION]])),"","NEED REF")</f>
        <v/>
      </c>
    </row>
    <row r="5525">
      <c r="B5525" t="n">
        <v>34408480</v>
      </c>
      <c r="C5525" s="2" t="n">
        <v>43956</v>
      </c>
      <c r="D5525" t="inlineStr">
        <is>
          <t>SPEC</t>
        </is>
      </c>
      <c r="E5525" t="inlineStr">
        <is>
          <t>COP BAT TGAB 1</t>
        </is>
      </c>
      <c r="G5525" t="inlineStr">
        <is>
          <t>GVX</t>
        </is>
      </c>
      <c r="H5525" t="inlineStr">
        <is>
          <t>BATTERY</t>
        </is>
      </c>
      <c r="J5525" t="inlineStr">
        <is>
          <t>MATRION</t>
        </is>
      </c>
      <c r="K5525" t="inlineStr">
        <is>
          <t>CUIVRE</t>
        </is>
      </c>
      <c r="L5525">
        <f>_xlfn.XLOOKUP(Tableau1[[#This Row],[TYPE DE PIECE]],Tableau4[MATIERE],Tableau4[SHORT TYPE],"",0,1)</f>
        <v/>
      </c>
      <c r="N5525">
        <f>IF(ISERR(FIND("DECOUPE",Tableau1[[#This Row],[DESIGNATION]])),"","NEED REF")</f>
        <v/>
      </c>
    </row>
    <row r="5526">
      <c r="B5526" t="n">
        <v>34408479</v>
      </c>
      <c r="C5526" s="2" t="n">
        <v>43956</v>
      </c>
      <c r="D5526" t="inlineStr">
        <is>
          <t>SPEC</t>
        </is>
      </c>
      <c r="E5526" t="inlineStr">
        <is>
          <t>COP RACCORDEMENT CHAINES BATTERIE DC</t>
        </is>
      </c>
      <c r="G5526" t="inlineStr">
        <is>
          <t>GVX</t>
        </is>
      </c>
      <c r="H5526" t="inlineStr">
        <is>
          <t>BATTERY</t>
        </is>
      </c>
      <c r="J5526" t="inlineStr">
        <is>
          <t>MATRION</t>
        </is>
      </c>
      <c r="K5526" t="inlineStr">
        <is>
          <t>CUIVRE</t>
        </is>
      </c>
      <c r="L5526">
        <f>_xlfn.XLOOKUP(Tableau1[[#This Row],[TYPE DE PIECE]],Tableau4[MATIERE],Tableau4[SHORT TYPE],"",0,1)</f>
        <v/>
      </c>
      <c r="N5526">
        <f>IF(ISERR(FIND("DECOUPE",Tableau1[[#This Row],[DESIGNATION]])),"","NEED REF")</f>
        <v/>
      </c>
    </row>
    <row r="5527">
      <c r="B5527" t="n">
        <v>34408478</v>
      </c>
      <c r="C5527" s="2" t="n">
        <v>43956</v>
      </c>
      <c r="D5527" t="inlineStr">
        <is>
          <t>SPEC</t>
        </is>
      </c>
      <c r="E5527" t="inlineStr">
        <is>
          <t>COP LIAISON VERTICAL DC</t>
        </is>
      </c>
      <c r="G5527" t="inlineStr">
        <is>
          <t>GVX</t>
        </is>
      </c>
      <c r="H5527" t="inlineStr">
        <is>
          <t>BATTERY</t>
        </is>
      </c>
      <c r="J5527" t="inlineStr">
        <is>
          <t>MATRION</t>
        </is>
      </c>
      <c r="K5527" t="inlineStr">
        <is>
          <t>CUIVRE</t>
        </is>
      </c>
      <c r="L5527">
        <f>_xlfn.XLOOKUP(Tableau1[[#This Row],[TYPE DE PIECE]],Tableau4[MATIERE],Tableau4[SHORT TYPE],"",0,1)</f>
        <v/>
      </c>
      <c r="N5527">
        <f>IF(ISERR(FIND("DECOUPE",Tableau1[[#This Row],[DESIGNATION]])),"","NEED REF")</f>
        <v/>
      </c>
    </row>
    <row r="5528">
      <c r="B5528" t="n">
        <v>34408477</v>
      </c>
      <c r="C5528" s="2" t="n">
        <v>43951</v>
      </c>
      <c r="D5528" t="inlineStr">
        <is>
          <t>SPEC</t>
        </is>
      </c>
      <c r="E5528" t="inlineStr">
        <is>
          <t>BUSBAR 10X120</t>
        </is>
      </c>
      <c r="F5528" t="inlineStr">
        <is>
          <t>TECHNOELECTRIC ITALY</t>
        </is>
      </c>
      <c r="J5528" t="inlineStr">
        <is>
          <t>DUPARCQ</t>
        </is>
      </c>
      <c r="K5528" t="inlineStr">
        <is>
          <t>CUIVRE</t>
        </is>
      </c>
      <c r="L5528">
        <f>_xlfn.XLOOKUP(Tableau1[[#This Row],[TYPE DE PIECE]],Tableau4[MATIERE],Tableau4[SHORT TYPE],"",0,1)</f>
        <v/>
      </c>
      <c r="N5528">
        <f>IF(ISERR(FIND("DECOUPE",Tableau1[[#This Row],[DESIGNATION]])),"","NEED REF")</f>
        <v/>
      </c>
    </row>
    <row r="5529">
      <c r="B5529" t="n">
        <v>34408476</v>
      </c>
      <c r="C5529" s="2" t="n">
        <v>43951</v>
      </c>
      <c r="D5529" t="inlineStr">
        <is>
          <t>SPEC</t>
        </is>
      </c>
      <c r="E5529" t="inlineStr">
        <is>
          <t>ROOF CABINET JUNCTION</t>
        </is>
      </c>
      <c r="F5529" t="inlineStr">
        <is>
          <t>INTEL IRELAND</t>
        </is>
      </c>
      <c r="G5529" t="inlineStr">
        <is>
          <t>G7K</t>
        </is>
      </c>
      <c r="J5529" t="inlineStr">
        <is>
          <t>DUPARCQ</t>
        </is>
      </c>
      <c r="K5529" t="inlineStr">
        <is>
          <t>METAL</t>
        </is>
      </c>
      <c r="L5529">
        <f>_xlfn.XLOOKUP(Tableau1[[#This Row],[TYPE DE PIECE]],Tableau4[MATIERE],Tableau4[SHORT TYPE],"",0,1)</f>
        <v/>
      </c>
      <c r="N5529">
        <f>IF(ISERR(FIND("DECOUPE",Tableau1[[#This Row],[DESIGNATION]])),"","NEED REF")</f>
        <v/>
      </c>
    </row>
    <row r="5530">
      <c r="B5530" t="n">
        <v>34408475</v>
      </c>
      <c r="C5530" s="2" t="n">
        <v>43948</v>
      </c>
      <c r="D5530" t="inlineStr">
        <is>
          <t>SPEC</t>
        </is>
      </c>
      <c r="E5530" t="inlineStr">
        <is>
          <t>KIT FILERIE MODULE NC</t>
        </is>
      </c>
      <c r="F5530" t="inlineStr">
        <is>
          <t>STS1250</t>
        </is>
      </c>
      <c r="G5530" t="inlineStr">
        <is>
          <t>GVE</t>
        </is>
      </c>
      <c r="H5530" t="inlineStr">
        <is>
          <t>STS</t>
        </is>
      </c>
      <c r="J5530" t="inlineStr">
        <is>
          <t>REVEL</t>
        </is>
      </c>
      <c r="K5530" t="inlineStr">
        <is>
          <t>FILERIE</t>
        </is>
      </c>
      <c r="L5530">
        <f>_xlfn.XLOOKUP(Tableau1[[#This Row],[TYPE DE PIECE]],Tableau4[MATIERE],Tableau4[SHORT TYPE],"",0,1)</f>
        <v/>
      </c>
      <c r="N5530">
        <f>IF(ISERR(FIND("DECOUPE",Tableau1[[#This Row],[DESIGNATION]])),"","NEED REF")</f>
        <v/>
      </c>
    </row>
    <row r="5531">
      <c r="B5531" t="n">
        <v>34408474</v>
      </c>
      <c r="C5531" s="2" t="n">
        <v>43944</v>
      </c>
      <c r="D5531" t="inlineStr">
        <is>
          <t>SPEC</t>
        </is>
      </c>
      <c r="E5531" t="inlineStr">
        <is>
          <t>SUPPORT CABLOFIL FIXATION SKID</t>
        </is>
      </c>
      <c r="F5531" t="inlineStr">
        <is>
          <t>INTEL IRELAND</t>
        </is>
      </c>
      <c r="G5531" t="inlineStr">
        <is>
          <t>G7K</t>
        </is>
      </c>
      <c r="J5531" t="inlineStr">
        <is>
          <t>DUPARCQ</t>
        </is>
      </c>
      <c r="K5531" t="inlineStr">
        <is>
          <t>METAL</t>
        </is>
      </c>
      <c r="L5531">
        <f>_xlfn.XLOOKUP(Tableau1[[#This Row],[TYPE DE PIECE]],Tableau4[MATIERE],Tableau4[SHORT TYPE],"",0,1)</f>
        <v/>
      </c>
      <c r="N5531">
        <f>IF(ISERR(FIND("DECOUPE",Tableau1[[#This Row],[DESIGNATION]])),"","NEED REF")</f>
        <v/>
      </c>
    </row>
    <row r="5532">
      <c r="B5532" t="n">
        <v>34408473</v>
      </c>
      <c r="C5532" s="2" t="n">
        <v>43943</v>
      </c>
      <c r="D5532" t="inlineStr">
        <is>
          <t>SPEC</t>
        </is>
      </c>
      <c r="E5532" t="inlineStr">
        <is>
          <t>KIT CABLES RACC HAUT GAINE 400 / UPS 400kVA</t>
        </is>
      </c>
      <c r="F5532" t="inlineStr">
        <is>
          <t>706334786 INTEL TAS IRELAND</t>
        </is>
      </c>
      <c r="G5532" t="inlineStr">
        <is>
          <t>G7K</t>
        </is>
      </c>
      <c r="J5532" t="inlineStr">
        <is>
          <t>CAKIR</t>
        </is>
      </c>
      <c r="K5532" t="inlineStr">
        <is>
          <t>SPEC</t>
        </is>
      </c>
      <c r="L5532">
        <f>_xlfn.XLOOKUP(Tableau1[[#This Row],[TYPE DE PIECE]],Tableau4[MATIERE],Tableau4[SHORT TYPE],"",0,1)</f>
        <v/>
      </c>
      <c r="N5532">
        <f>IF(ISERR(FIND("DECOUPE",Tableau1[[#This Row],[DESIGNATION]])),"","NEED REF")</f>
        <v/>
      </c>
    </row>
    <row r="5533">
      <c r="B5533" t="n">
        <v>34408472</v>
      </c>
      <c r="C5533" s="2" t="n">
        <v>43943</v>
      </c>
      <c r="D5533" t="inlineStr">
        <is>
          <t>SPEC</t>
        </is>
      </c>
      <c r="E5533" t="inlineStr">
        <is>
          <t>NW40H DC-D Fixe 3P 85kA (QPBE43234)</t>
        </is>
      </c>
      <c r="F5533" t="inlineStr">
        <is>
          <t>706334786 INTEL TAS IRELAND</t>
        </is>
      </c>
      <c r="G5533" t="inlineStr">
        <is>
          <t>G7K</t>
        </is>
      </c>
      <c r="H5533" t="inlineStr">
        <is>
          <t>BATTERY</t>
        </is>
      </c>
      <c r="J5533" t="inlineStr">
        <is>
          <t>CAKIR</t>
        </is>
      </c>
      <c r="K5533" t="inlineStr">
        <is>
          <t>CANEVAS</t>
        </is>
      </c>
      <c r="L5533">
        <f>_xlfn.XLOOKUP(Tableau1[[#This Row],[TYPE DE PIECE]],Tableau4[MATIERE],Tableau4[SHORT TYPE],"",0,1)</f>
        <v/>
      </c>
      <c r="N5533">
        <f>IF(ISERR(FIND("DECOUPE",Tableau1[[#This Row],[DESIGNATION]])),"","NEED REF")</f>
        <v/>
      </c>
    </row>
    <row r="5534">
      <c r="B5534" t="n">
        <v>34408471</v>
      </c>
      <c r="C5534" s="2" t="n">
        <v>43943</v>
      </c>
      <c r="D5534" t="inlineStr">
        <is>
          <t>SPEC</t>
        </is>
      </c>
      <c r="E5534" t="inlineStr">
        <is>
          <t>KIT FILERIE MODULE ALIE ALME STS1250A</t>
        </is>
      </c>
      <c r="F5534" t="inlineStr">
        <is>
          <t>STS1250</t>
        </is>
      </c>
      <c r="G5534" t="inlineStr">
        <is>
          <t>GVE</t>
        </is>
      </c>
      <c r="H5534" t="inlineStr">
        <is>
          <t>STS</t>
        </is>
      </c>
      <c r="J5534" t="inlineStr">
        <is>
          <t>REVEL</t>
        </is>
      </c>
      <c r="K5534" t="inlineStr">
        <is>
          <t>CUIVRE</t>
        </is>
      </c>
      <c r="L5534">
        <f>_xlfn.XLOOKUP(Tableau1[[#This Row],[TYPE DE PIECE]],Tableau4[MATIERE],Tableau4[SHORT TYPE],"",0,1)</f>
        <v/>
      </c>
      <c r="N5534">
        <f>IF(ISERR(FIND("DECOUPE",Tableau1[[#This Row],[DESIGNATION]])),"","NEED REF")</f>
        <v/>
      </c>
    </row>
    <row r="5535">
      <c r="B5535" t="n">
        <v>34408470</v>
      </c>
      <c r="C5535" s="2" t="n">
        <v>43941</v>
      </c>
      <c r="D5535" t="inlineStr">
        <is>
          <t>SPEC</t>
        </is>
      </c>
      <c r="E5535" t="inlineStr">
        <is>
          <t>KIT FILERIE MODULE MERE ALME STS1250A</t>
        </is>
      </c>
      <c r="F5535" t="inlineStr">
        <is>
          <t>STS1250</t>
        </is>
      </c>
      <c r="G5535" t="inlineStr">
        <is>
          <t>GVE</t>
        </is>
      </c>
      <c r="H5535" t="inlineStr">
        <is>
          <t>STS</t>
        </is>
      </c>
      <c r="J5535" t="inlineStr">
        <is>
          <t>REVEL</t>
        </is>
      </c>
      <c r="K5535" t="inlineStr">
        <is>
          <t>CUIVRE</t>
        </is>
      </c>
      <c r="L5535">
        <f>_xlfn.XLOOKUP(Tableau1[[#This Row],[TYPE DE PIECE]],Tableau4[MATIERE],Tableau4[SHORT TYPE],"",0,1)</f>
        <v/>
      </c>
      <c r="N5535">
        <f>IF(ISERR(FIND("DECOUPE",Tableau1[[#This Row],[DESIGNATION]])),"","NEED REF")</f>
        <v/>
      </c>
    </row>
    <row r="5536">
      <c r="B5536" t="n">
        <v>34408469</v>
      </c>
      <c r="C5536" s="2" t="n">
        <v>43941</v>
      </c>
      <c r="D5536" t="inlineStr">
        <is>
          <t>SPEC</t>
        </is>
      </c>
      <c r="E5536" t="inlineStr">
        <is>
          <t>KIT FILERIE MODULE RC STS1250A</t>
        </is>
      </c>
      <c r="F5536" t="inlineStr">
        <is>
          <t>STS1250</t>
        </is>
      </c>
      <c r="G5536" t="inlineStr">
        <is>
          <t>GVE</t>
        </is>
      </c>
      <c r="H5536" t="inlineStr">
        <is>
          <t>STS</t>
        </is>
      </c>
      <c r="J5536" t="inlineStr">
        <is>
          <t>REVEL</t>
        </is>
      </c>
      <c r="K5536" t="inlineStr">
        <is>
          <t>CUIVRE</t>
        </is>
      </c>
      <c r="L5536">
        <f>_xlfn.XLOOKUP(Tableau1[[#This Row],[TYPE DE PIECE]],Tableau4[MATIERE],Tableau4[SHORT TYPE],"",0,1)</f>
        <v/>
      </c>
      <c r="N5536">
        <f>IF(ISERR(FIND("DECOUPE",Tableau1[[#This Row],[DESIGNATION]])),"","NEED REF")</f>
        <v/>
      </c>
    </row>
    <row r="5537">
      <c r="B5537" t="n">
        <v>34408468</v>
      </c>
      <c r="C5537" s="2" t="n">
        <v>43941</v>
      </c>
      <c r="D5537" t="inlineStr">
        <is>
          <t>SPEC</t>
        </is>
      </c>
      <c r="E5537" t="inlineStr">
        <is>
          <t>CF54500EZ - UNIFIL BASKET TRAY CF 54/500</t>
        </is>
      </c>
      <c r="F5537" t="inlineStr">
        <is>
          <t>INTEL IRELAND</t>
        </is>
      </c>
      <c r="G5537" t="inlineStr">
        <is>
          <t>G7K</t>
        </is>
      </c>
      <c r="J5537" t="inlineStr">
        <is>
          <t>DUPARCQ</t>
        </is>
      </c>
      <c r="K5537" t="inlineStr">
        <is>
          <t>METAL</t>
        </is>
      </c>
      <c r="L5537">
        <f>_xlfn.XLOOKUP(Tableau1[[#This Row],[TYPE DE PIECE]],Tableau4[MATIERE],Tableau4[SHORT TYPE],"",0,1)</f>
        <v/>
      </c>
      <c r="N5537">
        <f>IF(ISERR(FIND("DECOUPE",Tableau1[[#This Row],[DESIGNATION]])),"","NEED REF")</f>
        <v/>
      </c>
    </row>
    <row r="5538">
      <c r="B5538" t="n">
        <v>34408467</v>
      </c>
      <c r="C5538" s="2" t="n">
        <v>43938</v>
      </c>
      <c r="D5538" t="inlineStr">
        <is>
          <t>SPEC</t>
        </is>
      </c>
      <c r="E5538" t="inlineStr">
        <is>
          <t>SUPPORT PEN GAINE 400</t>
        </is>
      </c>
      <c r="F5538" t="inlineStr">
        <is>
          <t>INTEL IRELAND</t>
        </is>
      </c>
      <c r="G5538" t="inlineStr">
        <is>
          <t>G7K</t>
        </is>
      </c>
      <c r="J5538" t="inlineStr">
        <is>
          <t>DUPARCQ</t>
        </is>
      </c>
      <c r="K5538" t="inlineStr">
        <is>
          <t>METAL</t>
        </is>
      </c>
      <c r="L5538">
        <f>_xlfn.XLOOKUP(Tableau1[[#This Row],[TYPE DE PIECE]],Tableau4[MATIERE],Tableau4[SHORT TYPE],"",0,1)</f>
        <v/>
      </c>
      <c r="N5538">
        <f>IF(ISERR(FIND("DECOUPE",Tableau1[[#This Row],[DESIGNATION]])),"","NEED REF")</f>
        <v/>
      </c>
    </row>
    <row r="5539">
      <c r="B5539" t="n">
        <v>34408466</v>
      </c>
      <c r="C5539" s="2" t="n">
        <v>43938</v>
      </c>
      <c r="D5539" t="inlineStr">
        <is>
          <t>SPEC</t>
        </is>
      </c>
      <c r="E5539" t="inlineStr">
        <is>
          <t>SE RACCORDEMENT CLIENT GAINE 400</t>
        </is>
      </c>
      <c r="F5539" t="inlineStr">
        <is>
          <t>INTEL IRELAND</t>
        </is>
      </c>
      <c r="G5539" t="inlineStr">
        <is>
          <t>G7K</t>
        </is>
      </c>
      <c r="J5539" t="inlineStr">
        <is>
          <t>DUPARCQ</t>
        </is>
      </c>
      <c r="K5539" t="inlineStr">
        <is>
          <t>METAL</t>
        </is>
      </c>
      <c r="L5539">
        <f>_xlfn.XLOOKUP(Tableau1[[#This Row],[TYPE DE PIECE]],Tableau4[MATIERE],Tableau4[SHORT TYPE],"",0,1)</f>
        <v/>
      </c>
      <c r="N5539">
        <f>IF(ISERR(FIND("DECOUPE",Tableau1[[#This Row],[DESIGNATION]])),"","NEED REF")</f>
        <v/>
      </c>
    </row>
    <row r="5540">
      <c r="B5540" t="n">
        <v>34408465</v>
      </c>
      <c r="C5540" s="2" t="n">
        <v>43938</v>
      </c>
      <c r="D5540" t="inlineStr">
        <is>
          <t>SPEC</t>
        </is>
      </c>
      <c r="E5540" t="inlineStr">
        <is>
          <t>SUPPORT LATERAL RACCORDEMENT CLIENT GAINE 400</t>
        </is>
      </c>
      <c r="F5540" t="inlineStr">
        <is>
          <t>INTEL IRELAND</t>
        </is>
      </c>
      <c r="G5540" t="inlineStr">
        <is>
          <t>G7K</t>
        </is>
      </c>
      <c r="J5540" t="inlineStr">
        <is>
          <t>DUPARCQ</t>
        </is>
      </c>
      <c r="K5540" t="inlineStr">
        <is>
          <t>METAL</t>
        </is>
      </c>
      <c r="L5540">
        <f>_xlfn.XLOOKUP(Tableau1[[#This Row],[TYPE DE PIECE]],Tableau4[MATIERE],Tableau4[SHORT TYPE],"",0,1)</f>
        <v/>
      </c>
      <c r="N5540">
        <f>IF(ISERR(FIND("DECOUPE",Tableau1[[#This Row],[DESIGNATION]])),"","NEED REF")</f>
        <v/>
      </c>
    </row>
    <row r="5541">
      <c r="B5541" t="n">
        <v>34408464</v>
      </c>
      <c r="C5541" s="2" t="n">
        <v>43938</v>
      </c>
      <c r="D5541" t="inlineStr">
        <is>
          <t>SPEC</t>
        </is>
      </c>
      <c r="E5541" t="inlineStr">
        <is>
          <t>SMT SUPPORT PIED</t>
        </is>
      </c>
      <c r="G5541" t="inlineStr">
        <is>
          <t>E3L</t>
        </is>
      </c>
      <c r="H5541" t="inlineStr">
        <is>
          <t>BYPASS</t>
        </is>
      </c>
      <c r="J5541" t="inlineStr">
        <is>
          <t>MATRION</t>
        </is>
      </c>
      <c r="K5541" t="inlineStr">
        <is>
          <t>METAL</t>
        </is>
      </c>
      <c r="L5541">
        <f>_xlfn.XLOOKUP(Tableau1[[#This Row],[TYPE DE PIECE]],Tableau4[MATIERE],Tableau4[SHORT TYPE],"",0,1)</f>
        <v/>
      </c>
      <c r="N5541">
        <f>IF(ISERR(FIND("DECOUPE",Tableau1[[#This Row],[DESIGNATION]])),"","NEED REF")</f>
        <v/>
      </c>
    </row>
    <row r="5542">
      <c r="B5542" t="n">
        <v>34408463</v>
      </c>
      <c r="C5542" s="2" t="n">
        <v>43937</v>
      </c>
      <c r="D5542" t="inlineStr">
        <is>
          <t>SPEC</t>
        </is>
      </c>
      <c r="E5542" t="inlineStr">
        <is>
          <t>TOIT PLEIN GAINE 400 ALU 6MM</t>
        </is>
      </c>
      <c r="F5542" t="inlineStr">
        <is>
          <t>INTEL IRELAND</t>
        </is>
      </c>
      <c r="G5542" t="inlineStr">
        <is>
          <t>G7K</t>
        </is>
      </c>
      <c r="J5542" t="inlineStr">
        <is>
          <t>DUPARCQ</t>
        </is>
      </c>
      <c r="K5542" t="inlineStr">
        <is>
          <t>METAL</t>
        </is>
      </c>
      <c r="L5542">
        <f>_xlfn.XLOOKUP(Tableau1[[#This Row],[TYPE DE PIECE]],Tableau4[MATIERE],Tableau4[SHORT TYPE],"",0,1)</f>
        <v/>
      </c>
      <c r="N5542">
        <f>IF(ISERR(FIND("DECOUPE",Tableau1[[#This Row],[DESIGNATION]])),"","NEED REF")</f>
        <v/>
      </c>
    </row>
    <row r="5543">
      <c r="B5543" t="n">
        <v>34408462</v>
      </c>
      <c r="C5543" s="2" t="n">
        <v>43937</v>
      </c>
      <c r="D5543" t="inlineStr">
        <is>
          <t>SPEC</t>
        </is>
      </c>
      <c r="E5543" t="inlineStr">
        <is>
          <t>COP LIAISON NEUTRE 2</t>
        </is>
      </c>
      <c r="G5543" t="inlineStr">
        <is>
          <t>E3L</t>
        </is>
      </c>
      <c r="H5543" t="inlineStr">
        <is>
          <t>BYPASS</t>
        </is>
      </c>
      <c r="J5543" t="inlineStr">
        <is>
          <t>MATRION</t>
        </is>
      </c>
      <c r="K5543" t="inlineStr">
        <is>
          <t>CUIVRE</t>
        </is>
      </c>
      <c r="L5543">
        <f>_xlfn.XLOOKUP(Tableau1[[#This Row],[TYPE DE PIECE]],Tableau4[MATIERE],Tableau4[SHORT TYPE],"",0,1)</f>
        <v/>
      </c>
      <c r="N5543">
        <f>IF(ISERR(FIND("DECOUPE",Tableau1[[#This Row],[DESIGNATION]])),"","NEED REF")</f>
        <v/>
      </c>
    </row>
    <row r="5544">
      <c r="B5544" t="n">
        <v>34408461</v>
      </c>
      <c r="C5544" s="2" t="n">
        <v>43937</v>
      </c>
      <c r="D5544" t="inlineStr">
        <is>
          <t>SPEC</t>
        </is>
      </c>
      <c r="E5544" t="inlineStr">
        <is>
          <t>COP LIAISON NEUTRE 1</t>
        </is>
      </c>
      <c r="G5544" t="inlineStr">
        <is>
          <t>E3L</t>
        </is>
      </c>
      <c r="H5544" t="inlineStr">
        <is>
          <t>BYPASS</t>
        </is>
      </c>
      <c r="J5544" t="inlineStr">
        <is>
          <t>MATRION</t>
        </is>
      </c>
      <c r="K5544" t="inlineStr">
        <is>
          <t>CUIVRE</t>
        </is>
      </c>
      <c r="L5544">
        <f>_xlfn.XLOOKUP(Tableau1[[#This Row],[TYPE DE PIECE]],Tableau4[MATIERE],Tableau4[SHORT TYPE],"",0,1)</f>
        <v/>
      </c>
      <c r="N5544">
        <f>IF(ISERR(FIND("DECOUPE",Tableau1[[#This Row],[DESIGNATION]])),"","NEED REF")</f>
        <v/>
      </c>
    </row>
    <row r="5545">
      <c r="B5545" t="n">
        <v>34408460</v>
      </c>
      <c r="C5545" s="2" t="n">
        <v>43937</v>
      </c>
      <c r="D5545" t="inlineStr">
        <is>
          <t>SPEC</t>
        </is>
      </c>
      <c r="E5545" t="inlineStr">
        <is>
          <t>COP INPUT NEUTRE</t>
        </is>
      </c>
      <c r="G5545" t="inlineStr">
        <is>
          <t>E3L</t>
        </is>
      </c>
      <c r="H5545" t="inlineStr">
        <is>
          <t>BYPASS</t>
        </is>
      </c>
      <c r="J5545" t="inlineStr">
        <is>
          <t>MATRION</t>
        </is>
      </c>
      <c r="K5545" t="inlineStr">
        <is>
          <t>CUIVRE</t>
        </is>
      </c>
      <c r="L5545">
        <f>_xlfn.XLOOKUP(Tableau1[[#This Row],[TYPE DE PIECE]],Tableau4[MATIERE],Tableau4[SHORT TYPE],"",0,1)</f>
        <v/>
      </c>
      <c r="N5545">
        <f>IF(ISERR(FIND("DECOUPE",Tableau1[[#This Row],[DESIGNATION]])),"","NEED REF")</f>
        <v/>
      </c>
    </row>
    <row r="5546">
      <c r="B5546" t="n">
        <v>34408459</v>
      </c>
      <c r="C5546" s="2" t="n">
        <v>43937</v>
      </c>
      <c r="D5546" t="inlineStr">
        <is>
          <t>SPEC</t>
        </is>
      </c>
      <c r="E5546" t="inlineStr">
        <is>
          <t>PLASTRON TRANSPARENT IP20 GAINE 400</t>
        </is>
      </c>
      <c r="F5546" t="inlineStr">
        <is>
          <t>INTEL IRELAND</t>
        </is>
      </c>
      <c r="G5546" t="inlineStr">
        <is>
          <t>G7K</t>
        </is>
      </c>
      <c r="J5546" t="inlineStr">
        <is>
          <t>DUPARCQ</t>
        </is>
      </c>
      <c r="K5546" t="inlineStr">
        <is>
          <t>PLASTIQUE</t>
        </is>
      </c>
      <c r="L5546">
        <f>_xlfn.XLOOKUP(Tableau1[[#This Row],[TYPE DE PIECE]],Tableau4[MATIERE],Tableau4[SHORT TYPE],"",0,1)</f>
        <v/>
      </c>
      <c r="N5546">
        <f>IF(ISERR(FIND("DECOUPE",Tableau1[[#This Row],[DESIGNATION]])),"","NEED REF")</f>
        <v/>
      </c>
    </row>
    <row r="5547">
      <c r="B5547" t="n">
        <v>34408458</v>
      </c>
      <c r="C5547" s="2" t="n">
        <v>43935</v>
      </c>
      <c r="D5547" t="inlineStr">
        <is>
          <t>SPEC</t>
        </is>
      </c>
      <c r="E5547" t="inlineStr">
        <is>
          <t>SE RACCORDEMENT 800A 3P+N</t>
        </is>
      </c>
      <c r="F5547" t="inlineStr">
        <is>
          <t>INTEL IRELAND</t>
        </is>
      </c>
      <c r="G5547" t="inlineStr">
        <is>
          <t>G7K</t>
        </is>
      </c>
      <c r="J5547" t="inlineStr">
        <is>
          <t>DUPARCQ</t>
        </is>
      </c>
      <c r="K5547" t="inlineStr">
        <is>
          <t>METAL</t>
        </is>
      </c>
      <c r="L5547">
        <f>_xlfn.XLOOKUP(Tableau1[[#This Row],[TYPE DE PIECE]],Tableau4[MATIERE],Tableau4[SHORT TYPE],"",0,1)</f>
        <v/>
      </c>
      <c r="N5547">
        <f>IF(ISERR(FIND("DECOUPE",Tableau1[[#This Row],[DESIGNATION]])),"","NEED REF")</f>
        <v/>
      </c>
    </row>
    <row r="5548">
      <c r="B5548" t="n">
        <v>34408457</v>
      </c>
      <c r="C5548" s="2" t="n">
        <v>43935</v>
      </c>
      <c r="D5548" t="inlineStr">
        <is>
          <t>SPEC</t>
        </is>
      </c>
      <c r="E5548" t="inlineStr">
        <is>
          <t>SE RACCORDEMENT 800A 3P</t>
        </is>
      </c>
      <c r="F5548" t="inlineStr">
        <is>
          <t>INTEL IRELAND</t>
        </is>
      </c>
      <c r="G5548" t="inlineStr">
        <is>
          <t>G7K</t>
        </is>
      </c>
      <c r="J5548" t="inlineStr">
        <is>
          <t>DUPARCQ</t>
        </is>
      </c>
      <c r="K5548" t="inlineStr">
        <is>
          <t>METAL</t>
        </is>
      </c>
      <c r="L5548">
        <f>_xlfn.XLOOKUP(Tableau1[[#This Row],[TYPE DE PIECE]],Tableau4[MATIERE],Tableau4[SHORT TYPE],"",0,1)</f>
        <v/>
      </c>
      <c r="N5548">
        <f>IF(ISERR(FIND("DECOUPE",Tableau1[[#This Row],[DESIGNATION]])),"","NEED REF")</f>
        <v/>
      </c>
    </row>
    <row r="5549">
      <c r="B5549" t="n">
        <v>34408456</v>
      </c>
      <c r="C5549" s="2" t="n">
        <v>43935</v>
      </c>
      <c r="D5549" t="inlineStr">
        <is>
          <t>SPEC</t>
        </is>
      </c>
      <c r="E5549" t="inlineStr">
        <is>
          <t>SMT FIXATION CABLES CLIENT HAUT/BAS 500</t>
        </is>
      </c>
      <c r="H5549" t="inlineStr">
        <is>
          <t>AUX</t>
        </is>
      </c>
      <c r="J5549" t="inlineStr">
        <is>
          <t>MATRION</t>
        </is>
      </c>
      <c r="K5549" t="inlineStr">
        <is>
          <t>METAL</t>
        </is>
      </c>
      <c r="L5549">
        <f>_xlfn.XLOOKUP(Tableau1[[#This Row],[TYPE DE PIECE]],Tableau4[MATIERE],Tableau4[SHORT TYPE],"",0,1)</f>
        <v/>
      </c>
      <c r="N5549">
        <f>IF(ISERR(FIND("DECOUPE",Tableau1[[#This Row],[DESIGNATION]])),"","NEED REF")</f>
        <v/>
      </c>
    </row>
    <row r="5550">
      <c r="B5550" t="n">
        <v>34408455</v>
      </c>
      <c r="C5550" s="2" t="n">
        <v>43935</v>
      </c>
      <c r="D5550" t="inlineStr">
        <is>
          <t>SPEC</t>
        </is>
      </c>
      <c r="E5550" t="inlineStr">
        <is>
          <t>SMT SUPPORT LATERAL FIXATION CABLES CLIENT</t>
        </is>
      </c>
      <c r="H5550" t="inlineStr">
        <is>
          <t>AUX</t>
        </is>
      </c>
      <c r="J5550" t="inlineStr">
        <is>
          <t>MATRION</t>
        </is>
      </c>
      <c r="K5550" t="inlineStr">
        <is>
          <t>METAL</t>
        </is>
      </c>
      <c r="L5550">
        <f>_xlfn.XLOOKUP(Tableau1[[#This Row],[TYPE DE PIECE]],Tableau4[MATIERE],Tableau4[SHORT TYPE],"",0,1)</f>
        <v/>
      </c>
      <c r="N5550">
        <f>IF(ISERR(FIND("DECOUPE",Tableau1[[#This Row],[DESIGNATION]])),"","NEED REF")</f>
        <v/>
      </c>
    </row>
    <row r="5551">
      <c r="B5551" t="n">
        <v>34408454</v>
      </c>
      <c r="C5551" s="2" t="n">
        <v>43935</v>
      </c>
      <c r="D5551" t="inlineStr">
        <is>
          <t>SPEC</t>
        </is>
      </c>
      <c r="E5551" t="inlineStr">
        <is>
          <t>SMT FIXATION CABLES CLIENT ARRIERE</t>
        </is>
      </c>
      <c r="G5551" t="inlineStr">
        <is>
          <t>E3L</t>
        </is>
      </c>
      <c r="H5551" t="inlineStr">
        <is>
          <t>BYPASS</t>
        </is>
      </c>
      <c r="J5551" t="inlineStr">
        <is>
          <t>MATRION</t>
        </is>
      </c>
      <c r="K5551" t="inlineStr">
        <is>
          <t>METAL</t>
        </is>
      </c>
      <c r="L5551">
        <f>_xlfn.XLOOKUP(Tableau1[[#This Row],[TYPE DE PIECE]],Tableau4[MATIERE],Tableau4[SHORT TYPE],"",0,1)</f>
        <v/>
      </c>
      <c r="N5551">
        <f>IF(ISERR(FIND("DECOUPE",Tableau1[[#This Row],[DESIGNATION]])),"","NEED REF")</f>
        <v/>
      </c>
    </row>
    <row r="5552">
      <c r="B5552" t="n">
        <v>34408453</v>
      </c>
      <c r="C5552" s="2" t="n">
        <v>43935</v>
      </c>
      <c r="D5552" t="inlineStr">
        <is>
          <t>SPEC</t>
        </is>
      </c>
      <c r="E5552" t="inlineStr">
        <is>
          <t>SMT PLASTRON RACCORDEMENT</t>
        </is>
      </c>
      <c r="G5552" t="inlineStr">
        <is>
          <t>E3L</t>
        </is>
      </c>
      <c r="H5552" t="inlineStr">
        <is>
          <t>BYPASS</t>
        </is>
      </c>
      <c r="J5552" t="inlineStr">
        <is>
          <t>MATRION</t>
        </is>
      </c>
      <c r="K5552" t="inlineStr">
        <is>
          <t>METAL</t>
        </is>
      </c>
      <c r="L5552">
        <f>_xlfn.XLOOKUP(Tableau1[[#This Row],[TYPE DE PIECE]],Tableau4[MATIERE],Tableau4[SHORT TYPE],"",0,1)</f>
        <v/>
      </c>
      <c r="N5552">
        <f>IF(ISERR(FIND("DECOUPE",Tableau1[[#This Row],[DESIGNATION]])),"","NEED REF")</f>
        <v/>
      </c>
    </row>
    <row r="5553">
      <c r="B5553" t="n">
        <v>34408452</v>
      </c>
      <c r="C5553" s="2" t="n">
        <v>43935</v>
      </c>
      <c r="D5553" t="inlineStr">
        <is>
          <t>SPEC</t>
        </is>
      </c>
      <c r="E5553" t="inlineStr">
        <is>
          <t>SMT PLASTRON BYPASS</t>
        </is>
      </c>
      <c r="G5553" t="inlineStr">
        <is>
          <t>E3L</t>
        </is>
      </c>
      <c r="H5553" t="inlineStr">
        <is>
          <t>BYPASS</t>
        </is>
      </c>
      <c r="J5553" t="inlineStr">
        <is>
          <t>MATRION</t>
        </is>
      </c>
      <c r="K5553" t="inlineStr">
        <is>
          <t>METAL</t>
        </is>
      </c>
      <c r="L5553">
        <f>_xlfn.XLOOKUP(Tableau1[[#This Row],[TYPE DE PIECE]],Tableau4[MATIERE],Tableau4[SHORT TYPE],"",0,1)</f>
        <v/>
      </c>
      <c r="N5553">
        <f>IF(ISERR(FIND("DECOUPE",Tableau1[[#This Row],[DESIGNATION]])),"","NEED REF")</f>
        <v/>
      </c>
    </row>
    <row r="5554">
      <c r="B5554" t="n">
        <v>34408451</v>
      </c>
      <c r="C5554" s="2" t="n">
        <v>43931</v>
      </c>
      <c r="D5554" t="inlineStr">
        <is>
          <t>SPEC</t>
        </is>
      </c>
      <c r="E5554" t="inlineStr">
        <is>
          <t>SMT TOIT 500x800 ALU</t>
        </is>
      </c>
      <c r="J5554" t="inlineStr">
        <is>
          <t>MATRION</t>
        </is>
      </c>
      <c r="K5554" t="inlineStr">
        <is>
          <t>METAL</t>
        </is>
      </c>
      <c r="L5554">
        <f>_xlfn.XLOOKUP(Tableau1[[#This Row],[TYPE DE PIECE]],Tableau4[MATIERE],Tableau4[SHORT TYPE],"",0,1)</f>
        <v/>
      </c>
      <c r="N5554">
        <f>IF(ISERR(FIND("DECOUPE",Tableau1[[#This Row],[DESIGNATION]])),"","NEED REF")</f>
        <v/>
      </c>
    </row>
    <row r="5555">
      <c r="B5555" t="n">
        <v>34408450</v>
      </c>
      <c r="C5555" s="2" t="n">
        <v>43931</v>
      </c>
      <c r="D5555" t="inlineStr">
        <is>
          <t>SPEC</t>
        </is>
      </c>
      <c r="E5555" t="inlineStr">
        <is>
          <t>SMT BACK PANEL 500x1970</t>
        </is>
      </c>
      <c r="J5555" t="inlineStr">
        <is>
          <t>MATRION</t>
        </is>
      </c>
      <c r="K5555" t="inlineStr">
        <is>
          <t>METAL</t>
        </is>
      </c>
      <c r="L5555">
        <f>_xlfn.XLOOKUP(Tableau1[[#This Row],[TYPE DE PIECE]],Tableau4[MATIERE],Tableau4[SHORT TYPE],"",0,1)</f>
        <v/>
      </c>
      <c r="N5555">
        <f>IF(ISERR(FIND("DECOUPE",Tableau1[[#This Row],[DESIGNATION]])),"","NEED REF")</f>
        <v/>
      </c>
    </row>
    <row r="5556">
      <c r="B5556" t="n">
        <v>34408449</v>
      </c>
      <c r="C5556" s="2" t="n">
        <v>43931</v>
      </c>
      <c r="D5556" t="inlineStr">
        <is>
          <t>SPEC</t>
        </is>
      </c>
      <c r="E5556" t="inlineStr">
        <is>
          <t>SMT BACK PANEL 500x1900</t>
        </is>
      </c>
      <c r="J5556" t="inlineStr">
        <is>
          <t>MATRION</t>
        </is>
      </c>
      <c r="K5556" t="inlineStr">
        <is>
          <t>METAL</t>
        </is>
      </c>
      <c r="L5556">
        <f>_xlfn.XLOOKUP(Tableau1[[#This Row],[TYPE DE PIECE]],Tableau4[MATIERE],Tableau4[SHORT TYPE],"",0,1)</f>
        <v/>
      </c>
      <c r="N5556">
        <f>IF(ISERR(FIND("DECOUPE",Tableau1[[#This Row],[DESIGNATION]])),"","NEED REF")</f>
        <v/>
      </c>
    </row>
    <row r="5557">
      <c r="B5557" t="n">
        <v>34408448</v>
      </c>
      <c r="C5557" s="2" t="n">
        <v>43931</v>
      </c>
      <c r="D5557" t="inlineStr">
        <is>
          <t>SPEC</t>
        </is>
      </c>
      <c r="E5557" t="inlineStr">
        <is>
          <t>SMT SIDE PANEL 800x1970 WHITE 9003</t>
        </is>
      </c>
      <c r="J5557" t="inlineStr">
        <is>
          <t>MATRION</t>
        </is>
      </c>
      <c r="K5557" t="inlineStr">
        <is>
          <t>METAL</t>
        </is>
      </c>
      <c r="L5557">
        <f>_xlfn.XLOOKUP(Tableau1[[#This Row],[TYPE DE PIECE]],Tableau4[MATIERE],Tableau4[SHORT TYPE],"",0,1)</f>
        <v/>
      </c>
      <c r="N5557">
        <f>IF(ISERR(FIND("DECOUPE",Tableau1[[#This Row],[DESIGNATION]])),"","NEED REF")</f>
        <v/>
      </c>
    </row>
    <row r="5558">
      <c r="B5558" t="n">
        <v>34408447</v>
      </c>
      <c r="C5558" s="2" t="n">
        <v>43931</v>
      </c>
      <c r="D5558" t="inlineStr">
        <is>
          <t>SPEC</t>
        </is>
      </c>
      <c r="E5558" t="inlineStr">
        <is>
          <t>SMT DOOR 500x1970 WHITE 9003 (REPLACED BY 34408840)</t>
        </is>
      </c>
      <c r="J5558" t="inlineStr">
        <is>
          <t>MATRION</t>
        </is>
      </c>
      <c r="K5558" t="inlineStr">
        <is>
          <t>METAL</t>
        </is>
      </c>
      <c r="L5558">
        <f>_xlfn.XLOOKUP(Tableau1[[#This Row],[TYPE DE PIECE]],Tableau4[MATIERE],Tableau4[SHORT TYPE],"",0,1)</f>
        <v/>
      </c>
      <c r="N5558">
        <f>IF(ISERR(FIND("DECOUPE",Tableau1[[#This Row],[DESIGNATION]])),"","NEED REF")</f>
        <v/>
      </c>
    </row>
    <row r="5559">
      <c r="B5559" t="n">
        <v>34408446</v>
      </c>
      <c r="C5559" s="2" t="n">
        <v>43931</v>
      </c>
      <c r="D5559" t="inlineStr">
        <is>
          <t>SPEC</t>
        </is>
      </c>
      <c r="E5559" t="inlineStr">
        <is>
          <t>SMT DOOR 500x1900 WHITE 9003 (REPLACED BY 34408839)</t>
        </is>
      </c>
      <c r="J5559" t="inlineStr">
        <is>
          <t>MATRION</t>
        </is>
      </c>
      <c r="K5559" t="inlineStr">
        <is>
          <t>METAL</t>
        </is>
      </c>
      <c r="L5559">
        <f>_xlfn.XLOOKUP(Tableau1[[#This Row],[TYPE DE PIECE]],Tableau4[MATIERE],Tableau4[SHORT TYPE],"",0,1)</f>
        <v/>
      </c>
      <c r="N5559">
        <f>IF(ISERR(FIND("DECOUPE",Tableau1[[#This Row],[DESIGNATION]])),"","NEED REF")</f>
        <v/>
      </c>
    </row>
    <row r="5560">
      <c r="B5560" t="n">
        <v>34408445</v>
      </c>
      <c r="C5560" s="2" t="n">
        <v>43931</v>
      </c>
      <c r="D5560" t="inlineStr">
        <is>
          <t>SPEC</t>
        </is>
      </c>
      <c r="E5560" t="inlineStr">
        <is>
          <t>SMT DECOUPE BRIDAGE BARRES DE CHANT 3P</t>
        </is>
      </c>
      <c r="J5560" t="inlineStr">
        <is>
          <t>MATRION</t>
        </is>
      </c>
      <c r="K5560" t="inlineStr">
        <is>
          <t>METAL</t>
        </is>
      </c>
      <c r="L5560">
        <f>_xlfn.XLOOKUP(Tableau1[[#This Row],[TYPE DE PIECE]],Tableau4[MATIERE],Tableau4[SHORT TYPE],"",0,1)</f>
        <v/>
      </c>
      <c r="N5560">
        <f>IF(ISERR(FIND("DECOUPE",Tableau1[[#This Row],[DESIGNATION]])),"","NEED REF")</f>
        <v/>
      </c>
    </row>
    <row r="5561">
      <c r="B5561" t="n">
        <v>34408444</v>
      </c>
      <c r="C5561" s="2" t="n">
        <v>43931</v>
      </c>
      <c r="D5561" t="inlineStr">
        <is>
          <t>SPEC</t>
        </is>
      </c>
      <c r="E5561" t="inlineStr">
        <is>
          <t>SMT SUPPORT JDB ARRIERE</t>
        </is>
      </c>
      <c r="G5561" t="inlineStr">
        <is>
          <t>E3L</t>
        </is>
      </c>
      <c r="H5561" t="inlineStr">
        <is>
          <t>BYPASS</t>
        </is>
      </c>
      <c r="J5561" t="inlineStr">
        <is>
          <t>MATRION</t>
        </is>
      </c>
      <c r="K5561" t="inlineStr">
        <is>
          <t>METAL</t>
        </is>
      </c>
      <c r="L5561">
        <f>_xlfn.XLOOKUP(Tableau1[[#This Row],[TYPE DE PIECE]],Tableau4[MATIERE],Tableau4[SHORT TYPE],"",0,1)</f>
        <v/>
      </c>
      <c r="N5561">
        <f>IF(ISERR(FIND("DECOUPE",Tableau1[[#This Row],[DESIGNATION]])),"","NEED REF")</f>
        <v/>
      </c>
    </row>
    <row r="5562">
      <c r="B5562" t="n">
        <v>34408443</v>
      </c>
      <c r="C5562" s="2" t="n">
        <v>43931</v>
      </c>
      <c r="D5562" t="inlineStr">
        <is>
          <t>SPEC</t>
        </is>
      </c>
      <c r="E5562" t="inlineStr">
        <is>
          <t>SMT SUPPORT BYPASS</t>
        </is>
      </c>
      <c r="G5562" t="inlineStr">
        <is>
          <t>E3L</t>
        </is>
      </c>
      <c r="H5562" t="inlineStr">
        <is>
          <t>BYPASS</t>
        </is>
      </c>
      <c r="J5562" t="inlineStr">
        <is>
          <t>MATRION</t>
        </is>
      </c>
      <c r="K5562" t="inlineStr">
        <is>
          <t>METAL</t>
        </is>
      </c>
      <c r="L5562">
        <f>_xlfn.XLOOKUP(Tableau1[[#This Row],[TYPE DE PIECE]],Tableau4[MATIERE],Tableau4[SHORT TYPE],"",0,1)</f>
        <v/>
      </c>
      <c r="N5562">
        <f>IF(ISERR(FIND("DECOUPE",Tableau1[[#This Row],[DESIGNATION]])),"","NEED REF")</f>
        <v/>
      </c>
    </row>
    <row r="5563">
      <c r="B5563" t="n">
        <v>34408442</v>
      </c>
      <c r="C5563" s="2" t="n">
        <v>43931</v>
      </c>
      <c r="D5563" t="inlineStr">
        <is>
          <t>SPEC</t>
        </is>
      </c>
      <c r="E5563" t="inlineStr">
        <is>
          <t>CX RACCORDEMENT CLIENT 50X10</t>
        </is>
      </c>
      <c r="F5563" t="inlineStr">
        <is>
          <t>INTEL IRELAND</t>
        </is>
      </c>
      <c r="G5563" t="inlineStr">
        <is>
          <t>G7K</t>
        </is>
      </c>
      <c r="J5563" t="inlineStr">
        <is>
          <t>DUPARCQ</t>
        </is>
      </c>
      <c r="K5563" t="inlineStr">
        <is>
          <t>CUIVRE</t>
        </is>
      </c>
      <c r="L5563">
        <f>_xlfn.XLOOKUP(Tableau1[[#This Row],[TYPE DE PIECE]],Tableau4[MATIERE],Tableau4[SHORT TYPE],"",0,1)</f>
        <v/>
      </c>
      <c r="N5563">
        <f>IF(ISERR(FIND("DECOUPE",Tableau1[[#This Row],[DESIGNATION]])),"","NEED REF")</f>
        <v/>
      </c>
    </row>
    <row r="5564">
      <c r="B5564" t="n">
        <v>34408441</v>
      </c>
      <c r="C5564" s="2" t="n">
        <v>43931</v>
      </c>
      <c r="D5564" t="inlineStr">
        <is>
          <t>SPEC</t>
        </is>
      </c>
      <c r="E5564" t="inlineStr">
        <is>
          <t>COP LIAISON RACCORDEMENT CLIENT ARRIERE</t>
        </is>
      </c>
      <c r="G5564" t="inlineStr">
        <is>
          <t>E3L</t>
        </is>
      </c>
      <c r="H5564" t="inlineStr">
        <is>
          <t>BYPASS</t>
        </is>
      </c>
      <c r="J5564" t="inlineStr">
        <is>
          <t>MATRION</t>
        </is>
      </c>
      <c r="K5564" t="inlineStr">
        <is>
          <t>CUIVRE</t>
        </is>
      </c>
      <c r="L5564">
        <f>_xlfn.XLOOKUP(Tableau1[[#This Row],[TYPE DE PIECE]],Tableau4[MATIERE],Tableau4[SHORT TYPE],"",0,1)</f>
        <v/>
      </c>
      <c r="N5564">
        <f>IF(ISERR(FIND("DECOUPE",Tableau1[[#This Row],[DESIGNATION]])),"","NEED REF")</f>
        <v/>
      </c>
    </row>
    <row r="5565">
      <c r="B5565" t="n">
        <v>34408440</v>
      </c>
      <c r="C5565" s="2" t="n">
        <v>43930</v>
      </c>
      <c r="D5565" t="inlineStr">
        <is>
          <t>SPEC</t>
        </is>
      </c>
      <c r="E5565" t="inlineStr">
        <is>
          <t>COP PLAQUE JOINCTION NS BYPASS</t>
        </is>
      </c>
      <c r="G5565" t="inlineStr">
        <is>
          <t>E3L</t>
        </is>
      </c>
      <c r="H5565" t="inlineStr">
        <is>
          <t>BYPASS</t>
        </is>
      </c>
      <c r="J5565" t="inlineStr">
        <is>
          <t>MATRION</t>
        </is>
      </c>
      <c r="K5565" t="inlineStr">
        <is>
          <t>CUIVRE</t>
        </is>
      </c>
      <c r="L5565">
        <f>_xlfn.XLOOKUP(Tableau1[[#This Row],[TYPE DE PIECE]],Tableau4[MATIERE],Tableau4[SHORT TYPE],"",0,1)</f>
        <v/>
      </c>
      <c r="N5565">
        <f>IF(ISERR(FIND("DECOUPE",Tableau1[[#This Row],[DESIGNATION]])),"","NEED REF")</f>
        <v/>
      </c>
    </row>
    <row r="5566">
      <c r="B5566" t="n">
        <v>34408439</v>
      </c>
      <c r="C5566" s="2" t="n">
        <v>43930</v>
      </c>
      <c r="D5566" t="inlineStr">
        <is>
          <t>SPEC</t>
        </is>
      </c>
      <c r="E5566" t="inlineStr">
        <is>
          <t>RESERVE</t>
        </is>
      </c>
      <c r="G5566" t="inlineStr">
        <is>
          <t>E3L</t>
        </is>
      </c>
      <c r="H5566" t="inlineStr">
        <is>
          <t>BYPASS</t>
        </is>
      </c>
      <c r="J5566" t="inlineStr">
        <is>
          <t>MATRION</t>
        </is>
      </c>
      <c r="L5566">
        <f>_xlfn.XLOOKUP(Tableau1[[#This Row],[TYPE DE PIECE]],Tableau4[MATIERE],Tableau4[SHORT TYPE],"",0,1)</f>
        <v/>
      </c>
      <c r="N5566">
        <f>IF(ISERR(FIND("DECOUPE",Tableau1[[#This Row],[DESIGNATION]])),"","NEED REF")</f>
        <v/>
      </c>
    </row>
    <row r="5567">
      <c r="B5567" t="n">
        <v>34408438</v>
      </c>
      <c r="C5567" s="2" t="n">
        <v>43930</v>
      </c>
      <c r="D5567" t="inlineStr">
        <is>
          <t>SPEC</t>
        </is>
      </c>
      <c r="E5567" t="inlineStr">
        <is>
          <t>RESERVE</t>
        </is>
      </c>
      <c r="G5567" t="inlineStr">
        <is>
          <t>E3L</t>
        </is>
      </c>
      <c r="H5567" t="inlineStr">
        <is>
          <t>BYPASS</t>
        </is>
      </c>
      <c r="J5567" t="inlineStr">
        <is>
          <t>MATRION</t>
        </is>
      </c>
      <c r="L5567">
        <f>_xlfn.XLOOKUP(Tableau1[[#This Row],[TYPE DE PIECE]],Tableau4[MATIERE],Tableau4[SHORT TYPE],"",0,1)</f>
        <v/>
      </c>
      <c r="N5567">
        <f>IF(ISERR(FIND("DECOUPE",Tableau1[[#This Row],[DESIGNATION]])),"","NEED REF")</f>
        <v/>
      </c>
    </row>
    <row r="5568">
      <c r="B5568" t="n">
        <v>34408437</v>
      </c>
      <c r="C5568" s="2" t="n">
        <v>43930</v>
      </c>
      <c r="D5568" t="inlineStr">
        <is>
          <t>SPEC</t>
        </is>
      </c>
      <c r="E5568" t="inlineStr">
        <is>
          <t>RESERVE</t>
        </is>
      </c>
      <c r="G5568" t="inlineStr">
        <is>
          <t>E3L</t>
        </is>
      </c>
      <c r="H5568" t="inlineStr">
        <is>
          <t>BYPASS</t>
        </is>
      </c>
      <c r="J5568" t="inlineStr">
        <is>
          <t>MATRION</t>
        </is>
      </c>
      <c r="L5568">
        <f>_xlfn.XLOOKUP(Tableau1[[#This Row],[TYPE DE PIECE]],Tableau4[MATIERE],Tableau4[SHORT TYPE],"",0,1)</f>
        <v/>
      </c>
      <c r="N5568">
        <f>IF(ISERR(FIND("DECOUPE",Tableau1[[#This Row],[DESIGNATION]])),"","NEED REF")</f>
        <v/>
      </c>
    </row>
    <row r="5569">
      <c r="B5569" t="n">
        <v>34408436</v>
      </c>
      <c r="C5569" s="2" t="n">
        <v>43930</v>
      </c>
      <c r="D5569" t="inlineStr">
        <is>
          <t>SPEC</t>
        </is>
      </c>
      <c r="E5569" t="inlineStr">
        <is>
          <t>RESERVE</t>
        </is>
      </c>
      <c r="G5569" t="inlineStr">
        <is>
          <t>E3L</t>
        </is>
      </c>
      <c r="H5569" t="inlineStr">
        <is>
          <t>BYPASS</t>
        </is>
      </c>
      <c r="J5569" t="inlineStr">
        <is>
          <t>MATRION</t>
        </is>
      </c>
      <c r="L5569">
        <f>_xlfn.XLOOKUP(Tableau1[[#This Row],[TYPE DE PIECE]],Tableau4[MATIERE],Tableau4[SHORT TYPE],"",0,1)</f>
        <v/>
      </c>
      <c r="N5569">
        <f>IF(ISERR(FIND("DECOUPE",Tableau1[[#This Row],[DESIGNATION]])),"","NEED REF")</f>
        <v/>
      </c>
    </row>
    <row r="5570">
      <c r="B5570" t="n">
        <v>34408435</v>
      </c>
      <c r="C5570" s="2" t="n">
        <v>43930</v>
      </c>
      <c r="D5570" t="inlineStr">
        <is>
          <t>SPEC</t>
        </is>
      </c>
      <c r="E5570" t="inlineStr">
        <is>
          <t>RESERVE</t>
        </is>
      </c>
      <c r="G5570" t="inlineStr">
        <is>
          <t>E3L</t>
        </is>
      </c>
      <c r="H5570" t="inlineStr">
        <is>
          <t>BYPASS</t>
        </is>
      </c>
      <c r="J5570" t="inlineStr">
        <is>
          <t>MATRION</t>
        </is>
      </c>
      <c r="L5570">
        <f>_xlfn.XLOOKUP(Tableau1[[#This Row],[TYPE DE PIECE]],Tableau4[MATIERE],Tableau4[SHORT TYPE],"",0,1)</f>
        <v/>
      </c>
      <c r="N5570">
        <f>IF(ISERR(FIND("DECOUPE",Tableau1[[#This Row],[DESIGNATION]])),"","NEED REF")</f>
        <v/>
      </c>
    </row>
    <row r="5571">
      <c r="B5571" t="n">
        <v>34408434</v>
      </c>
      <c r="C5571" s="2" t="n">
        <v>43930</v>
      </c>
      <c r="D5571" t="inlineStr">
        <is>
          <t>SPEC</t>
        </is>
      </c>
      <c r="E5571" t="inlineStr">
        <is>
          <t>RESERVE</t>
        </is>
      </c>
      <c r="G5571" t="inlineStr">
        <is>
          <t>E3L</t>
        </is>
      </c>
      <c r="H5571" t="inlineStr">
        <is>
          <t>BYPASS</t>
        </is>
      </c>
      <c r="J5571" t="inlineStr">
        <is>
          <t>MATRION</t>
        </is>
      </c>
      <c r="L5571">
        <f>_xlfn.XLOOKUP(Tableau1[[#This Row],[TYPE DE PIECE]],Tableau4[MATIERE],Tableau4[SHORT TYPE],"",0,1)</f>
        <v/>
      </c>
      <c r="N5571">
        <f>IF(ISERR(FIND("DECOUPE",Tableau1[[#This Row],[DESIGNATION]])),"","NEED REF")</f>
        <v/>
      </c>
    </row>
    <row r="5572">
      <c r="B5572" t="n">
        <v>34408433</v>
      </c>
      <c r="C5572" s="2" t="n">
        <v>43930</v>
      </c>
      <c r="D5572" t="inlineStr">
        <is>
          <t>SPEC</t>
        </is>
      </c>
      <c r="E5572" t="inlineStr">
        <is>
          <t>RESERVE</t>
        </is>
      </c>
      <c r="G5572" t="inlineStr">
        <is>
          <t>E3L</t>
        </is>
      </c>
      <c r="H5572" t="inlineStr">
        <is>
          <t>BYPASS</t>
        </is>
      </c>
      <c r="J5572" t="inlineStr">
        <is>
          <t>MATRION</t>
        </is>
      </c>
      <c r="L5572">
        <f>_xlfn.XLOOKUP(Tableau1[[#This Row],[TYPE DE PIECE]],Tableau4[MATIERE],Tableau4[SHORT TYPE],"",0,1)</f>
        <v/>
      </c>
      <c r="N5572">
        <f>IF(ISERR(FIND("DECOUPE",Tableau1[[#This Row],[DESIGNATION]])),"","NEED REF")</f>
        <v/>
      </c>
    </row>
    <row r="5573">
      <c r="B5573" t="n">
        <v>34408432</v>
      </c>
      <c r="C5573" s="2" t="n">
        <v>43930</v>
      </c>
      <c r="D5573" t="inlineStr">
        <is>
          <t>SPEC</t>
        </is>
      </c>
      <c r="E5573" t="inlineStr">
        <is>
          <t>RESERVE</t>
        </is>
      </c>
      <c r="G5573" t="inlineStr">
        <is>
          <t>E3L</t>
        </is>
      </c>
      <c r="H5573" t="inlineStr">
        <is>
          <t>BYPASS</t>
        </is>
      </c>
      <c r="J5573" t="inlineStr">
        <is>
          <t>MATRION</t>
        </is>
      </c>
      <c r="L5573">
        <f>_xlfn.XLOOKUP(Tableau1[[#This Row],[TYPE DE PIECE]],Tableau4[MATIERE],Tableau4[SHORT TYPE],"",0,1)</f>
        <v/>
      </c>
      <c r="N5573">
        <f>IF(ISERR(FIND("DECOUPE",Tableau1[[#This Row],[DESIGNATION]])),"","NEED REF")</f>
        <v/>
      </c>
    </row>
    <row r="5574">
      <c r="B5574" t="n">
        <v>34408431</v>
      </c>
      <c r="C5574" s="2" t="n">
        <v>43930</v>
      </c>
      <c r="D5574" t="inlineStr">
        <is>
          <t>SPEC</t>
        </is>
      </c>
      <c r="E5574" t="inlineStr">
        <is>
          <t>LIAISON NS1250 45°</t>
        </is>
      </c>
      <c r="G5574" t="inlineStr">
        <is>
          <t>E3L</t>
        </is>
      </c>
      <c r="H5574" t="inlineStr">
        <is>
          <t>BYPASS</t>
        </is>
      </c>
      <c r="J5574" t="inlineStr">
        <is>
          <t>MATRION</t>
        </is>
      </c>
      <c r="L5574">
        <f>_xlfn.XLOOKUP(Tableau1[[#This Row],[TYPE DE PIECE]],Tableau4[MATIERE],Tableau4[SHORT TYPE],"",0,1)</f>
        <v/>
      </c>
      <c r="N5574">
        <f>IF(ISERR(FIND("DECOUPE",Tableau1[[#This Row],[DESIGNATION]])),"","NEED REF")</f>
        <v/>
      </c>
    </row>
    <row r="5575">
      <c r="B5575" t="n">
        <v>34408430</v>
      </c>
      <c r="C5575" s="2" t="n">
        <v>43930</v>
      </c>
      <c r="D5575" t="inlineStr">
        <is>
          <t>SPEC</t>
        </is>
      </c>
      <c r="E5575" t="inlineStr">
        <is>
          <t>LIAISON NEUTRE GAINÉ</t>
        </is>
      </c>
      <c r="G5575" t="inlineStr">
        <is>
          <t>E3L</t>
        </is>
      </c>
      <c r="H5575" t="inlineStr">
        <is>
          <t>BYPASS</t>
        </is>
      </c>
      <c r="J5575" t="inlineStr">
        <is>
          <t>MATRION</t>
        </is>
      </c>
      <c r="L5575">
        <f>_xlfn.XLOOKUP(Tableau1[[#This Row],[TYPE DE PIECE]],Tableau4[MATIERE],Tableau4[SHORT TYPE],"",0,1)</f>
        <v/>
      </c>
      <c r="N5575">
        <f>IF(ISERR(FIND("DECOUPE",Tableau1[[#This Row],[DESIGNATION]])),"","NEED REF")</f>
        <v/>
      </c>
    </row>
    <row r="5576">
      <c r="B5576" t="n">
        <v>34408429</v>
      </c>
      <c r="C5576" s="2" t="n">
        <v>43930</v>
      </c>
      <c r="D5576" t="inlineStr">
        <is>
          <t>SPEC</t>
        </is>
      </c>
      <c r="E5576" t="inlineStr">
        <is>
          <t>SE BYPASS E3L 500/600kVA</t>
        </is>
      </c>
      <c r="G5576" t="inlineStr">
        <is>
          <t>E3L</t>
        </is>
      </c>
      <c r="H5576" t="inlineStr">
        <is>
          <t>BYPASS</t>
        </is>
      </c>
      <c r="J5576" t="inlineStr">
        <is>
          <t>MATRION</t>
        </is>
      </c>
      <c r="L5576">
        <f>_xlfn.XLOOKUP(Tableau1[[#This Row],[TYPE DE PIECE]],Tableau4[MATIERE],Tableau4[SHORT TYPE],"",0,1)</f>
        <v/>
      </c>
      <c r="N5576">
        <f>IF(ISERR(FIND("DECOUPE",Tableau1[[#This Row],[DESIGNATION]])),"","NEED REF")</f>
        <v/>
      </c>
    </row>
    <row r="5577">
      <c r="B5577" t="n">
        <v>34408428</v>
      </c>
      <c r="C5577" s="2" t="n">
        <v>43928</v>
      </c>
      <c r="D5577" t="inlineStr">
        <is>
          <t>SPEC</t>
        </is>
      </c>
      <c r="E5577" t="inlineStr">
        <is>
          <t>SMT SUPPORT BARRE PE</t>
        </is>
      </c>
      <c r="F5577" t="inlineStr">
        <is>
          <t>STS1250</t>
        </is>
      </c>
      <c r="G5577" t="inlineStr">
        <is>
          <t>GVE</t>
        </is>
      </c>
      <c r="H5577" t="inlineStr">
        <is>
          <t>STS</t>
        </is>
      </c>
      <c r="J5577" t="inlineStr">
        <is>
          <t>MATRION</t>
        </is>
      </c>
      <c r="K5577" t="inlineStr">
        <is>
          <t>METAL</t>
        </is>
      </c>
      <c r="L5577">
        <f>_xlfn.XLOOKUP(Tableau1[[#This Row],[TYPE DE PIECE]],Tableau4[MATIERE],Tableau4[SHORT TYPE],"",0,1)</f>
        <v/>
      </c>
      <c r="N5577">
        <f>IF(ISERR(FIND("DECOUPE",Tableau1[[#This Row],[DESIGNATION]])),"","NEED REF")</f>
        <v/>
      </c>
    </row>
    <row r="5578">
      <c r="B5578" t="n">
        <v>34408427</v>
      </c>
      <c r="C5578" s="2" t="n">
        <v>43928</v>
      </c>
      <c r="D5578" t="inlineStr">
        <is>
          <t>SPEC</t>
        </is>
      </c>
      <c r="E5578" t="inlineStr">
        <is>
          <t>COFFRET DATA 4</t>
        </is>
      </c>
      <c r="F5578" t="inlineStr">
        <is>
          <t>DATA 4</t>
        </is>
      </c>
      <c r="J5578" t="inlineStr">
        <is>
          <t>MASCELLINO</t>
        </is>
      </c>
      <c r="L5578">
        <f>_xlfn.XLOOKUP(Tableau1[[#This Row],[TYPE DE PIECE]],Tableau4[MATIERE],Tableau4[SHORT TYPE],"",0,1)</f>
        <v/>
      </c>
      <c r="N5578">
        <f>IF(ISERR(FIND("DECOUPE",Tableau1[[#This Row],[DESIGNATION]])),"","NEED REF")</f>
        <v/>
      </c>
    </row>
    <row r="5579">
      <c r="B5579" t="n">
        <v>34408426</v>
      </c>
      <c r="C5579" s="2" t="n">
        <v>43928</v>
      </c>
      <c r="D5579" t="inlineStr">
        <is>
          <t>SPEC</t>
        </is>
      </c>
      <c r="E5579" t="inlineStr">
        <is>
          <t>PLAQUE ALU 746X181</t>
        </is>
      </c>
      <c r="F5579" t="inlineStr">
        <is>
          <t>DATA 4</t>
        </is>
      </c>
      <c r="J5579" t="inlineStr">
        <is>
          <t>MASCELLINO</t>
        </is>
      </c>
      <c r="K5579" t="inlineStr">
        <is>
          <t>ALU</t>
        </is>
      </c>
      <c r="L5579">
        <f>_xlfn.XLOOKUP(Tableau1[[#This Row],[TYPE DE PIECE]],Tableau4[MATIERE],Tableau4[SHORT TYPE],"",0,1)</f>
        <v/>
      </c>
      <c r="N5579">
        <f>IF(ISERR(FIND("DECOUPE",Tableau1[[#This Row],[DESIGNATION]])),"","NEED REF")</f>
        <v/>
      </c>
    </row>
    <row r="5580">
      <c r="B5580" t="n">
        <v>34408425</v>
      </c>
      <c r="C5580" s="2" t="n">
        <v>43928</v>
      </c>
      <c r="D5580" t="inlineStr">
        <is>
          <t>SPEC</t>
        </is>
      </c>
      <c r="E5580" t="inlineStr">
        <is>
          <t>PLASTRON COFF 2 DJ BATT BBK630 AVEC POIGNEES</t>
        </is>
      </c>
      <c r="F5580" t="inlineStr">
        <is>
          <t>DATA 4</t>
        </is>
      </c>
      <c r="J5580" t="inlineStr">
        <is>
          <t>MASCELLINO</t>
        </is>
      </c>
      <c r="K5580" t="inlineStr">
        <is>
          <t>METAL</t>
        </is>
      </c>
      <c r="L5580">
        <f>_xlfn.XLOOKUP(Tableau1[[#This Row],[TYPE DE PIECE]],Tableau4[MATIERE],Tableau4[SHORT TYPE],"",0,1)</f>
        <v/>
      </c>
      <c r="N5580">
        <f>IF(ISERR(FIND("DECOUPE",Tableau1[[#This Row],[DESIGNATION]])),"","NEED REF")</f>
        <v/>
      </c>
    </row>
    <row r="5581">
      <c r="B5581" t="n">
        <v>34408424</v>
      </c>
      <c r="C5581" s="2" t="n">
        <v>43928</v>
      </c>
      <c r="D5581" t="inlineStr">
        <is>
          <t>SPEC</t>
        </is>
      </c>
      <c r="E5581" t="inlineStr">
        <is>
          <t>SUPPORT PLASTRON HAUT BAS</t>
        </is>
      </c>
      <c r="F5581" t="inlineStr">
        <is>
          <t>DATA 4</t>
        </is>
      </c>
      <c r="J5581" t="inlineStr">
        <is>
          <t>MASCELLINO</t>
        </is>
      </c>
      <c r="K5581" t="inlineStr">
        <is>
          <t>METAL</t>
        </is>
      </c>
      <c r="L5581">
        <f>_xlfn.XLOOKUP(Tableau1[[#This Row],[TYPE DE PIECE]],Tableau4[MATIERE],Tableau4[SHORT TYPE],"",0,1)</f>
        <v/>
      </c>
      <c r="N5581">
        <f>IF(ISERR(FIND("DECOUPE",Tableau1[[#This Row],[DESIGNATION]])),"","NEED REF")</f>
        <v/>
      </c>
    </row>
    <row r="5582">
      <c r="B5582" t="n">
        <v>34408423</v>
      </c>
      <c r="C5582" s="2" t="n">
        <v>43928</v>
      </c>
      <c r="D5582" t="inlineStr">
        <is>
          <t>SPEC</t>
        </is>
      </c>
      <c r="E5582" t="inlineStr">
        <is>
          <t>SUPPORT PLASTRON GAUCHE</t>
        </is>
      </c>
      <c r="F5582" t="inlineStr">
        <is>
          <t>DATA 4</t>
        </is>
      </c>
      <c r="J5582" t="inlineStr">
        <is>
          <t>MASCELLINO</t>
        </is>
      </c>
      <c r="K5582" t="inlineStr">
        <is>
          <t>METAL</t>
        </is>
      </c>
      <c r="L5582">
        <f>_xlfn.XLOOKUP(Tableau1[[#This Row],[TYPE DE PIECE]],Tableau4[MATIERE],Tableau4[SHORT TYPE],"",0,1)</f>
        <v/>
      </c>
      <c r="N5582">
        <f>IF(ISERR(FIND("DECOUPE",Tableau1[[#This Row],[DESIGNATION]])),"","NEED REF")</f>
        <v/>
      </c>
    </row>
    <row r="5583">
      <c r="B5583" t="n">
        <v>34408422</v>
      </c>
      <c r="C5583" s="2" t="n">
        <v>43928</v>
      </c>
      <c r="D5583" t="inlineStr">
        <is>
          <t>SPEC</t>
        </is>
      </c>
      <c r="E5583" t="inlineStr">
        <is>
          <t>SUPPORT PLASTRON DROIT</t>
        </is>
      </c>
      <c r="F5583" t="inlineStr">
        <is>
          <t>DATA 4</t>
        </is>
      </c>
      <c r="J5583" t="inlineStr">
        <is>
          <t>MASCELLINO</t>
        </is>
      </c>
      <c r="K5583" t="inlineStr">
        <is>
          <t>METAL</t>
        </is>
      </c>
      <c r="L5583">
        <f>_xlfn.XLOOKUP(Tableau1[[#This Row],[TYPE DE PIECE]],Tableau4[MATIERE],Tableau4[SHORT TYPE],"",0,1)</f>
        <v/>
      </c>
      <c r="N5583">
        <f>IF(ISERR(FIND("DECOUPE",Tableau1[[#This Row],[DESIGNATION]])),"","NEED REF")</f>
        <v/>
      </c>
    </row>
    <row r="5584">
      <c r="B5584" t="n">
        <v>34408421</v>
      </c>
      <c r="C5584" s="2" t="n">
        <v>43928</v>
      </c>
      <c r="D5584" t="inlineStr">
        <is>
          <t>SPEC</t>
        </is>
      </c>
      <c r="E5584" t="inlineStr">
        <is>
          <t>PLATINE DE FOND</t>
        </is>
      </c>
      <c r="F5584" t="inlineStr">
        <is>
          <t>DATA 4</t>
        </is>
      </c>
      <c r="J5584" t="inlineStr">
        <is>
          <t>MASCELLINO</t>
        </is>
      </c>
      <c r="K5584" t="inlineStr">
        <is>
          <t>METAL</t>
        </is>
      </c>
      <c r="L5584">
        <f>_xlfn.XLOOKUP(Tableau1[[#This Row],[TYPE DE PIECE]],Tableau4[MATIERE],Tableau4[SHORT TYPE],"",0,1)</f>
        <v/>
      </c>
      <c r="N5584">
        <f>IF(ISERR(FIND("DECOUPE",Tableau1[[#This Row],[DESIGNATION]])),"","NEED REF")</f>
        <v/>
      </c>
    </row>
    <row r="5585">
      <c r="B5585" t="n">
        <v>34408420</v>
      </c>
      <c r="C5585" s="2" t="n">
        <v>43928</v>
      </c>
      <c r="D5585" t="inlineStr">
        <is>
          <t>SPEC</t>
        </is>
      </c>
      <c r="E5585" t="inlineStr">
        <is>
          <t>COP 34408420 - BARRE PE ETAME 10xM10 525mm</t>
        </is>
      </c>
      <c r="F5585" t="inlineStr">
        <is>
          <t>STS1250</t>
        </is>
      </c>
      <c r="G5585" t="inlineStr">
        <is>
          <t>GVE</t>
        </is>
      </c>
      <c r="H5585" t="inlineStr">
        <is>
          <t>STS</t>
        </is>
      </c>
      <c r="J5585" t="inlineStr">
        <is>
          <t>MATRION</t>
        </is>
      </c>
      <c r="K5585" t="inlineStr">
        <is>
          <t>CUIVRE</t>
        </is>
      </c>
      <c r="L5585">
        <f>_xlfn.XLOOKUP(Tableau1[[#This Row],[TYPE DE PIECE]],Tableau4[MATIERE],Tableau4[SHORT TYPE],"",0,1)</f>
        <v/>
      </c>
      <c r="N5585">
        <f>IF(ISERR(FIND("DECOUPE",Tableau1[[#This Row],[DESIGNATION]])),"","NEED REF")</f>
        <v/>
      </c>
    </row>
    <row r="5586">
      <c r="B5586" t="n">
        <v>34408419</v>
      </c>
      <c r="C5586" s="2" t="n">
        <v>43927</v>
      </c>
      <c r="D5586" t="inlineStr">
        <is>
          <t>SPEC</t>
        </is>
      </c>
      <c r="E5586" t="inlineStr">
        <is>
          <t>SMT SUPPORT PIED</t>
        </is>
      </c>
      <c r="G5586" t="inlineStr">
        <is>
          <t>E3L</t>
        </is>
      </c>
      <c r="J5586" t="inlineStr">
        <is>
          <t>MATRION</t>
        </is>
      </c>
      <c r="K5586" t="inlineStr">
        <is>
          <t>METAL</t>
        </is>
      </c>
      <c r="L5586">
        <f>_xlfn.XLOOKUP(Tableau1[[#This Row],[TYPE DE PIECE]],Tableau4[MATIERE],Tableau4[SHORT TYPE],"",0,1)</f>
        <v/>
      </c>
      <c r="N5586">
        <f>IF(ISERR(FIND("DECOUPE",Tableau1[[#This Row],[DESIGNATION]])),"","NEED REF")</f>
        <v/>
      </c>
    </row>
    <row r="5587">
      <c r="B5587" t="n">
        <v>34408418</v>
      </c>
      <c r="C5587" s="2" t="n">
        <v>43927</v>
      </c>
      <c r="D5587" t="inlineStr">
        <is>
          <t>SPEC</t>
        </is>
      </c>
      <c r="E5587" t="inlineStr">
        <is>
          <t>SMT PLASTRON RACCORDEMENT</t>
        </is>
      </c>
      <c r="F5587" t="inlineStr">
        <is>
          <t>STS1250</t>
        </is>
      </c>
      <c r="G5587" t="inlineStr">
        <is>
          <t>GVE</t>
        </is>
      </c>
      <c r="H5587" t="inlineStr">
        <is>
          <t>STS</t>
        </is>
      </c>
      <c r="J5587" t="inlineStr">
        <is>
          <t>MATRION</t>
        </is>
      </c>
      <c r="K5587" t="inlineStr">
        <is>
          <t>METAL</t>
        </is>
      </c>
      <c r="L5587">
        <f>_xlfn.XLOOKUP(Tableau1[[#This Row],[TYPE DE PIECE]],Tableau4[MATIERE],Tableau4[SHORT TYPE],"",0,1)</f>
        <v/>
      </c>
      <c r="N5587">
        <f>IF(ISERR(FIND("DECOUPE",Tableau1[[#This Row],[DESIGNATION]])),"","NEED REF")</f>
        <v/>
      </c>
    </row>
    <row r="5588">
      <c r="B5588" t="n">
        <v>34408417</v>
      </c>
      <c r="C5588" s="2" t="n">
        <v>43927</v>
      </c>
      <c r="D5588" t="inlineStr">
        <is>
          <t>SPEC</t>
        </is>
      </c>
      <c r="E5588" t="inlineStr">
        <is>
          <t>SMT RACCORD ADDITIONNEL 400 VERS 500</t>
        </is>
      </c>
      <c r="G5588" t="inlineStr">
        <is>
          <t>E3L</t>
        </is>
      </c>
      <c r="J5588" t="inlineStr">
        <is>
          <t>MATRION</t>
        </is>
      </c>
      <c r="K5588" t="inlineStr">
        <is>
          <t>METAL</t>
        </is>
      </c>
      <c r="L5588">
        <f>_xlfn.XLOOKUP(Tableau1[[#This Row],[TYPE DE PIECE]],Tableau4[MATIERE],Tableau4[SHORT TYPE],"",0,1)</f>
        <v/>
      </c>
      <c r="N5588">
        <f>IF(ISERR(FIND("DECOUPE",Tableau1[[#This Row],[DESIGNATION]])),"","NEED REF")</f>
        <v/>
      </c>
    </row>
    <row r="5589">
      <c r="B5589" t="n">
        <v>34408416</v>
      </c>
      <c r="C5589" s="2" t="n">
        <v>43927</v>
      </c>
      <c r="D5589" t="inlineStr">
        <is>
          <t>SPEC</t>
        </is>
      </c>
      <c r="E5589" t="inlineStr">
        <is>
          <t>SMT PIECE D'ANGLE 1</t>
        </is>
      </c>
      <c r="G5589" t="inlineStr">
        <is>
          <t>E3L</t>
        </is>
      </c>
      <c r="J5589" t="inlineStr">
        <is>
          <t>MATRION</t>
        </is>
      </c>
      <c r="K5589" t="inlineStr">
        <is>
          <t>METAL</t>
        </is>
      </c>
      <c r="L5589">
        <f>_xlfn.XLOOKUP(Tableau1[[#This Row],[TYPE DE PIECE]],Tableau4[MATIERE],Tableau4[SHORT TYPE],"",0,1)</f>
        <v/>
      </c>
      <c r="N5589">
        <f>IF(ISERR(FIND("DECOUPE",Tableau1[[#This Row],[DESIGNATION]])),"","NEED REF")</f>
        <v/>
      </c>
    </row>
    <row r="5590">
      <c r="B5590" t="n">
        <v>34408415</v>
      </c>
      <c r="C5590" s="2" t="n">
        <v>43927</v>
      </c>
      <c r="D5590" t="inlineStr">
        <is>
          <t>SPEC</t>
        </is>
      </c>
      <c r="E5590" t="inlineStr">
        <is>
          <t>ASSY AUXILIARY STRUCTURE W=500 H=1970 IEC</t>
        </is>
      </c>
      <c r="G5590" t="inlineStr">
        <is>
          <t>E3L</t>
        </is>
      </c>
      <c r="J5590" t="inlineStr">
        <is>
          <t>MATRION</t>
        </is>
      </c>
      <c r="L5590">
        <f>_xlfn.XLOOKUP(Tableau1[[#This Row],[TYPE DE PIECE]],Tableau4[MATIERE],Tableau4[SHORT TYPE],"",0,1)</f>
        <v/>
      </c>
      <c r="N5590">
        <f>IF(ISERR(FIND("DECOUPE",Tableau1[[#This Row],[DESIGNATION]])),"","NEED REF")</f>
        <v/>
      </c>
    </row>
    <row r="5591">
      <c r="B5591" t="n">
        <v>34408414</v>
      </c>
      <c r="C5591" s="2" t="n">
        <v>43927</v>
      </c>
      <c r="D5591" t="inlineStr">
        <is>
          <t>SPEC</t>
        </is>
      </c>
      <c r="E5591" t="inlineStr">
        <is>
          <t>ASSY AUXILIARY STRUCTURE W=500 H=1900 IEC</t>
        </is>
      </c>
      <c r="G5591" t="inlineStr">
        <is>
          <t>E3L</t>
        </is>
      </c>
      <c r="J5591" t="inlineStr">
        <is>
          <t>MATRION</t>
        </is>
      </c>
      <c r="L5591">
        <f>_xlfn.XLOOKUP(Tableau1[[#This Row],[TYPE DE PIECE]],Tableau4[MATIERE],Tableau4[SHORT TYPE],"",0,1)</f>
        <v/>
      </c>
      <c r="N5591">
        <f>IF(ISERR(FIND("DECOUPE",Tableau1[[#This Row],[DESIGNATION]])),"","NEED REF")</f>
        <v/>
      </c>
    </row>
    <row r="5592">
      <c r="B5592" t="n">
        <v>34408413</v>
      </c>
      <c r="C5592" s="2" t="n">
        <v>43924</v>
      </c>
      <c r="D5592" t="inlineStr">
        <is>
          <t>SPEC</t>
        </is>
      </c>
      <c r="E5592" t="inlineStr">
        <is>
          <t>SMT PLASTON CS</t>
        </is>
      </c>
      <c r="F5592" t="inlineStr">
        <is>
          <t>STS1250</t>
        </is>
      </c>
      <c r="G5592" t="inlineStr">
        <is>
          <t>GVE</t>
        </is>
      </c>
      <c r="H5592" t="inlineStr">
        <is>
          <t>STS</t>
        </is>
      </c>
      <c r="J5592" t="inlineStr">
        <is>
          <t>MATRION</t>
        </is>
      </c>
      <c r="K5592" t="inlineStr">
        <is>
          <t>METAL</t>
        </is>
      </c>
      <c r="L5592">
        <f>_xlfn.XLOOKUP(Tableau1[[#This Row],[TYPE DE PIECE]],Tableau4[MATIERE],Tableau4[SHORT TYPE],"",0,1)</f>
        <v/>
      </c>
      <c r="N5592">
        <f>IF(ISERR(FIND("DECOUPE",Tableau1[[#This Row],[DESIGNATION]])),"","NEED REF")</f>
        <v/>
      </c>
    </row>
    <row r="5593">
      <c r="B5593" t="n">
        <v>34408412</v>
      </c>
      <c r="C5593" s="2" t="n">
        <v>43924</v>
      </c>
      <c r="D5593" t="inlineStr">
        <is>
          <t>SPEC</t>
        </is>
      </c>
      <c r="E5593" t="inlineStr">
        <is>
          <t>SMT PLASTON ELECTRONIC</t>
        </is>
      </c>
      <c r="F5593" t="inlineStr">
        <is>
          <t>STS1250</t>
        </is>
      </c>
      <c r="G5593" t="inlineStr">
        <is>
          <t>GVE</t>
        </is>
      </c>
      <c r="H5593" t="inlineStr">
        <is>
          <t>STS</t>
        </is>
      </c>
      <c r="J5593" t="inlineStr">
        <is>
          <t>MATRION</t>
        </is>
      </c>
      <c r="K5593" t="inlineStr">
        <is>
          <t>METAL</t>
        </is>
      </c>
      <c r="L5593">
        <f>_xlfn.XLOOKUP(Tableau1[[#This Row],[TYPE DE PIECE]],Tableau4[MATIERE],Tableau4[SHORT TYPE],"",0,1)</f>
        <v/>
      </c>
      <c r="N5593">
        <f>IF(ISERR(FIND("DECOUPE",Tableau1[[#This Row],[DESIGNATION]])),"","NEED REF")</f>
        <v/>
      </c>
    </row>
    <row r="5594">
      <c r="B5594" t="n">
        <v>34408411</v>
      </c>
      <c r="C5594" s="2" t="n">
        <v>43924</v>
      </c>
      <c r="D5594" t="inlineStr">
        <is>
          <t>SPEC</t>
        </is>
      </c>
      <c r="E5594" t="inlineStr">
        <is>
          <t>SMT PLASTRON BYPASS</t>
        </is>
      </c>
      <c r="F5594" t="inlineStr">
        <is>
          <t>STS1250</t>
        </is>
      </c>
      <c r="G5594" t="inlineStr">
        <is>
          <t>GVE</t>
        </is>
      </c>
      <c r="H5594" t="inlineStr">
        <is>
          <t>STS</t>
        </is>
      </c>
      <c r="J5594" t="inlineStr">
        <is>
          <t>MATRION</t>
        </is>
      </c>
      <c r="K5594" t="inlineStr">
        <is>
          <t>METAL</t>
        </is>
      </c>
      <c r="L5594">
        <f>_xlfn.XLOOKUP(Tableau1[[#This Row],[TYPE DE PIECE]],Tableau4[MATIERE],Tableau4[SHORT TYPE],"",0,1)</f>
        <v/>
      </c>
      <c r="N5594">
        <f>IF(ISERR(FIND("DECOUPE",Tableau1[[#This Row],[DESIGNATION]])),"","NEED REF")</f>
        <v/>
      </c>
    </row>
    <row r="5595">
      <c r="B5595" t="n">
        <v>34408410</v>
      </c>
      <c r="C5595" s="2" t="n">
        <v>43924</v>
      </c>
      <c r="D5595" t="inlineStr">
        <is>
          <t>SPEC</t>
        </is>
      </c>
      <c r="E5595" t="inlineStr">
        <is>
          <t>SE STRUCTURE 1000</t>
        </is>
      </c>
      <c r="F5595" t="inlineStr">
        <is>
          <t>STS1250</t>
        </is>
      </c>
      <c r="G5595" t="inlineStr">
        <is>
          <t>GVE</t>
        </is>
      </c>
      <c r="H5595" t="inlineStr">
        <is>
          <t>STS</t>
        </is>
      </c>
      <c r="J5595" t="inlineStr">
        <is>
          <t>MATRION</t>
        </is>
      </c>
      <c r="L5595">
        <f>_xlfn.XLOOKUP(Tableau1[[#This Row],[TYPE DE PIECE]],Tableau4[MATIERE],Tableau4[SHORT TYPE],"",0,1)</f>
        <v/>
      </c>
      <c r="N5595">
        <f>IF(ISERR(FIND("DECOUPE",Tableau1[[#This Row],[DESIGNATION]])),"","NEED REF")</f>
        <v/>
      </c>
    </row>
    <row r="5596">
      <c r="B5596" t="n">
        <v>34408409</v>
      </c>
      <c r="C5596" s="2" t="n">
        <v>43924</v>
      </c>
      <c r="D5596" t="inlineStr">
        <is>
          <t>SPEC</t>
        </is>
      </c>
      <c r="E5596" t="inlineStr">
        <is>
          <t>PLA PROTECTION LINERGY CENTRALE</t>
        </is>
      </c>
      <c r="F5596" t="inlineStr">
        <is>
          <t>STS1250</t>
        </is>
      </c>
      <c r="G5596" t="inlineStr">
        <is>
          <t>GVE</t>
        </is>
      </c>
      <c r="H5596" t="inlineStr">
        <is>
          <t>STS</t>
        </is>
      </c>
      <c r="J5596" t="inlineStr">
        <is>
          <t>MATRION</t>
        </is>
      </c>
      <c r="K5596" t="inlineStr">
        <is>
          <t>PLASTIQUE</t>
        </is>
      </c>
      <c r="L5596">
        <f>_xlfn.XLOOKUP(Tableau1[[#This Row],[TYPE DE PIECE]],Tableau4[MATIERE],Tableau4[SHORT TYPE],"",0,1)</f>
        <v/>
      </c>
      <c r="N5596">
        <f>IF(ISERR(FIND("DECOUPE",Tableau1[[#This Row],[DESIGNATION]])),"","NEED REF")</f>
        <v/>
      </c>
    </row>
    <row r="5597">
      <c r="B5597" t="n">
        <v>34408408</v>
      </c>
      <c r="C5597" s="2" t="n">
        <v>43923</v>
      </c>
      <c r="D5597" t="inlineStr">
        <is>
          <t>SPEC</t>
        </is>
      </c>
      <c r="E5597" t="inlineStr">
        <is>
          <t>SE PROTECTION IP INTERNE</t>
        </is>
      </c>
      <c r="F5597" t="inlineStr">
        <is>
          <t>STS1250</t>
        </is>
      </c>
      <c r="G5597" t="inlineStr">
        <is>
          <t>GVE</t>
        </is>
      </c>
      <c r="H5597" t="inlineStr">
        <is>
          <t>STS</t>
        </is>
      </c>
      <c r="J5597" t="inlineStr">
        <is>
          <t>MATRION</t>
        </is>
      </c>
      <c r="L5597">
        <f>_xlfn.XLOOKUP(Tableau1[[#This Row],[TYPE DE PIECE]],Tableau4[MATIERE],Tableau4[SHORT TYPE],"",0,1)</f>
        <v/>
      </c>
      <c r="N5597">
        <f>IF(ISERR(FIND("DECOUPE",Tableau1[[#This Row],[DESIGNATION]])),"","NEED REF")</f>
        <v/>
      </c>
    </row>
    <row r="5598">
      <c r="B5598" t="n">
        <v>34408407</v>
      </c>
      <c r="C5598" s="2" t="n">
        <v>43921</v>
      </c>
      <c r="D5598" t="inlineStr">
        <is>
          <t>SPEC</t>
        </is>
      </c>
      <c r="E5598" t="inlineStr">
        <is>
          <t>SE CADRE AFFICHEUR</t>
        </is>
      </c>
      <c r="F5598" t="inlineStr">
        <is>
          <t>STS1250</t>
        </is>
      </c>
      <c r="G5598" t="inlineStr">
        <is>
          <t>GVE</t>
        </is>
      </c>
      <c r="H5598" t="inlineStr">
        <is>
          <t>STS</t>
        </is>
      </c>
      <c r="J5598" t="inlineStr">
        <is>
          <t>MATRION</t>
        </is>
      </c>
      <c r="L5598">
        <f>_xlfn.XLOOKUP(Tableau1[[#This Row],[TYPE DE PIECE]],Tableau4[MATIERE],Tableau4[SHORT TYPE],"",0,1)</f>
        <v/>
      </c>
      <c r="N5598">
        <f>IF(ISERR(FIND("DECOUPE",Tableau1[[#This Row],[DESIGNATION]])),"","NEED REF")</f>
        <v/>
      </c>
    </row>
    <row r="5599">
      <c r="B5599" t="n">
        <v>34408406</v>
      </c>
      <c r="C5599" s="2" t="n">
        <v>43920</v>
      </c>
      <c r="D5599" t="inlineStr">
        <is>
          <t>SPEC</t>
        </is>
      </c>
      <c r="E5599" t="inlineStr">
        <is>
          <t>SERIGRAPHIE AFFICHEUR</t>
        </is>
      </c>
      <c r="F5599" t="inlineStr">
        <is>
          <t>STS1250</t>
        </is>
      </c>
      <c r="G5599" t="inlineStr">
        <is>
          <t>GVE</t>
        </is>
      </c>
      <c r="H5599" t="inlineStr">
        <is>
          <t>STS</t>
        </is>
      </c>
      <c r="J5599" t="inlineStr">
        <is>
          <t>MATRION</t>
        </is>
      </c>
      <c r="K5599" t="inlineStr">
        <is>
          <t>SERIGRAPHIE</t>
        </is>
      </c>
      <c r="L5599">
        <f>_xlfn.XLOOKUP(Tableau1[[#This Row],[TYPE DE PIECE]],Tableau4[MATIERE],Tableau4[SHORT TYPE],"",0,1)</f>
        <v/>
      </c>
      <c r="N5599">
        <f>IF(ISERR(FIND("DECOUPE",Tableau1[[#This Row],[DESIGNATION]])),"","NEED REF")</f>
        <v/>
      </c>
    </row>
    <row r="5600">
      <c r="B5600" t="n">
        <v>34408405</v>
      </c>
      <c r="C5600" s="2" t="n">
        <v>43915</v>
      </c>
      <c r="D5600" t="inlineStr">
        <is>
          <t>SPEC</t>
        </is>
      </c>
      <c r="E5600" t="inlineStr">
        <is>
          <t>PLAQUE PE ALU POUR COFFRET SAREL NSYS3D10825</t>
        </is>
      </c>
      <c r="F5600" t="inlineStr">
        <is>
          <t>SAN MARINO</t>
        </is>
      </c>
      <c r="G5600" t="inlineStr">
        <is>
          <t>E3S</t>
        </is>
      </c>
      <c r="J5600" t="inlineStr">
        <is>
          <t>DUPARCQ</t>
        </is>
      </c>
      <c r="K5600" t="inlineStr">
        <is>
          <t>METAL</t>
        </is>
      </c>
      <c r="L5600">
        <f>_xlfn.XLOOKUP(Tableau1[[#This Row],[TYPE DE PIECE]],Tableau4[MATIERE],Tableau4[SHORT TYPE],"",0,1)</f>
        <v/>
      </c>
      <c r="N5600">
        <f>IF(ISERR(FIND("DECOUPE",Tableau1[[#This Row],[DESIGNATION]])),"","NEED REF")</f>
        <v/>
      </c>
    </row>
    <row r="5601">
      <c r="B5601" t="n">
        <v>34408404</v>
      </c>
      <c r="C5601" s="2" t="n">
        <v>43915</v>
      </c>
      <c r="D5601" t="inlineStr">
        <is>
          <t>SPEC</t>
        </is>
      </c>
      <c r="E5601" t="inlineStr">
        <is>
          <t>PLAQUE PE  POUR COFFRET SAREL ALU</t>
        </is>
      </c>
      <c r="F5601" t="inlineStr">
        <is>
          <t>SAN MARINO</t>
        </is>
      </c>
      <c r="G5601" t="inlineStr">
        <is>
          <t>E3S</t>
        </is>
      </c>
      <c r="J5601" t="inlineStr">
        <is>
          <t>DUPARCQ</t>
        </is>
      </c>
      <c r="K5601" t="inlineStr">
        <is>
          <t>METAL</t>
        </is>
      </c>
      <c r="L5601">
        <f>_xlfn.XLOOKUP(Tableau1[[#This Row],[TYPE DE PIECE]],Tableau4[MATIERE],Tableau4[SHORT TYPE],"",0,1)</f>
        <v/>
      </c>
      <c r="N5601">
        <f>IF(ISERR(FIND("DECOUPE",Tableau1[[#This Row],[DESIGNATION]])),"","NEED REF")</f>
        <v/>
      </c>
    </row>
    <row r="5602">
      <c r="B5602" t="n">
        <v>34408403</v>
      </c>
      <c r="C5602" s="2" t="n">
        <v>43914</v>
      </c>
      <c r="D5602" t="inlineStr">
        <is>
          <t>SPEC</t>
        </is>
      </c>
      <c r="E5602" t="inlineStr">
        <is>
          <t>PRESTATION DECOUPE-PERCAGE COFFRET SAREL NSYS3D10825</t>
        </is>
      </c>
      <c r="F5602" t="inlineStr">
        <is>
          <t>SAN MARINO</t>
        </is>
      </c>
      <c r="G5602" t="inlineStr">
        <is>
          <t>E3S</t>
        </is>
      </c>
      <c r="J5602" t="inlineStr">
        <is>
          <t>DUPARCQ</t>
        </is>
      </c>
      <c r="K5602" t="inlineStr">
        <is>
          <t>METAL</t>
        </is>
      </c>
      <c r="L5602">
        <f>_xlfn.XLOOKUP(Tableau1[[#This Row],[TYPE DE PIECE]],Tableau4[MATIERE],Tableau4[SHORT TYPE],"",0,1)</f>
        <v/>
      </c>
      <c r="N5602">
        <f>IF(ISERR(FIND("DECOUPE",Tableau1[[#This Row],[DESIGNATION]])),"","NEED REF")</f>
        <v/>
      </c>
    </row>
    <row r="5603">
      <c r="B5603" t="n">
        <v>34408402</v>
      </c>
      <c r="C5603" s="2" t="n">
        <v>43910</v>
      </c>
      <c r="D5603" t="inlineStr">
        <is>
          <t>SPEC</t>
        </is>
      </c>
      <c r="E5603" t="inlineStr">
        <is>
          <t>UPS N OUTCOMING FUSE</t>
        </is>
      </c>
      <c r="F5603" t="inlineStr">
        <is>
          <t>SAN MARINO</t>
        </is>
      </c>
      <c r="G5603" t="inlineStr">
        <is>
          <t>E3S</t>
        </is>
      </c>
      <c r="J5603" t="inlineStr">
        <is>
          <t>DUPARCQ</t>
        </is>
      </c>
      <c r="K5603" t="inlineStr">
        <is>
          <t>CUIVRE</t>
        </is>
      </c>
      <c r="L5603">
        <f>_xlfn.XLOOKUP(Tableau1[[#This Row],[TYPE DE PIECE]],Tableau4[MATIERE],Tableau4[SHORT TYPE],"",0,1)</f>
        <v/>
      </c>
      <c r="N5603">
        <f>IF(ISERR(FIND("DECOUPE",Tableau1[[#This Row],[DESIGNATION]])),"","NEED REF")</f>
        <v/>
      </c>
    </row>
    <row r="5604">
      <c r="B5604" t="n">
        <v>34408401</v>
      </c>
      <c r="C5604" s="2" t="n">
        <v>43910</v>
      </c>
      <c r="D5604" t="inlineStr">
        <is>
          <t>SPEC</t>
        </is>
      </c>
      <c r="E5604" t="inlineStr">
        <is>
          <t>UPS N INCOMING FUSE</t>
        </is>
      </c>
      <c r="F5604" t="inlineStr">
        <is>
          <t>SAN MARINO</t>
        </is>
      </c>
      <c r="G5604" t="inlineStr">
        <is>
          <t>E3S</t>
        </is>
      </c>
      <c r="J5604" t="inlineStr">
        <is>
          <t>DUPARCQ</t>
        </is>
      </c>
      <c r="K5604" t="inlineStr">
        <is>
          <t>CUIVRE</t>
        </is>
      </c>
      <c r="L5604">
        <f>_xlfn.XLOOKUP(Tableau1[[#This Row],[TYPE DE PIECE]],Tableau4[MATIERE],Tableau4[SHORT TYPE],"",0,1)</f>
        <v/>
      </c>
      <c r="N5604">
        <f>IF(ISERR(FIND("DECOUPE",Tableau1[[#This Row],[DESIGNATION]])),"","NEED REF")</f>
        <v/>
      </c>
    </row>
    <row r="5605">
      <c r="B5605" t="n">
        <v>34408400</v>
      </c>
      <c r="C5605" s="2" t="n">
        <v>43910</v>
      </c>
      <c r="D5605" t="inlineStr">
        <is>
          <t>SPEC</t>
        </is>
      </c>
      <c r="E5605" t="inlineStr">
        <is>
          <t>SUPPORT FUSE</t>
        </is>
      </c>
      <c r="F5605" t="inlineStr">
        <is>
          <t>SAN MARINO</t>
        </is>
      </c>
      <c r="G5605" t="inlineStr">
        <is>
          <t>E3S</t>
        </is>
      </c>
      <c r="J5605" t="inlineStr">
        <is>
          <t>DUPARCQ</t>
        </is>
      </c>
      <c r="K5605" t="inlineStr">
        <is>
          <t>METAL</t>
        </is>
      </c>
      <c r="L5605">
        <f>_xlfn.XLOOKUP(Tableau1[[#This Row],[TYPE DE PIECE]],Tableau4[MATIERE],Tableau4[SHORT TYPE],"",0,1)</f>
        <v/>
      </c>
      <c r="N5605">
        <f>IF(ISERR(FIND("DECOUPE",Tableau1[[#This Row],[DESIGNATION]])),"","NEED REF")</f>
        <v/>
      </c>
    </row>
    <row r="5606">
      <c r="B5606" t="n">
        <v>34408399</v>
      </c>
      <c r="C5606" s="2" t="n">
        <v>43910</v>
      </c>
      <c r="D5606" t="inlineStr">
        <is>
          <t>SPEC</t>
        </is>
      </c>
      <c r="E5606" t="inlineStr">
        <is>
          <t>PONTAGE BATT+ HAUT</t>
        </is>
      </c>
      <c r="F5606" t="inlineStr">
        <is>
          <t>SAN MARINO</t>
        </is>
      </c>
      <c r="G5606" t="inlineStr">
        <is>
          <t>E3S</t>
        </is>
      </c>
      <c r="J5606" t="inlineStr">
        <is>
          <t>DUPARCQ</t>
        </is>
      </c>
      <c r="K5606" t="inlineStr">
        <is>
          <t>CUIVRE</t>
        </is>
      </c>
      <c r="L5606">
        <f>_xlfn.XLOOKUP(Tableau1[[#This Row],[TYPE DE PIECE]],Tableau4[MATIERE],Tableau4[SHORT TYPE],"",0,1)</f>
        <v/>
      </c>
      <c r="N5606">
        <f>IF(ISERR(FIND("DECOUPE",Tableau1[[#This Row],[DESIGNATION]])),"","NEED REF")</f>
        <v/>
      </c>
    </row>
    <row r="5607">
      <c r="B5607" t="n">
        <v>34408398</v>
      </c>
      <c r="C5607" s="2" t="n">
        <v>43910</v>
      </c>
      <c r="D5607" t="inlineStr">
        <is>
          <t>SPEC</t>
        </is>
      </c>
      <c r="E5607" t="inlineStr">
        <is>
          <t>PONTAGE BATT+ BAS</t>
        </is>
      </c>
      <c r="F5607" t="inlineStr">
        <is>
          <t>SAN MARINO</t>
        </is>
      </c>
      <c r="G5607" t="inlineStr">
        <is>
          <t>E3S</t>
        </is>
      </c>
      <c r="J5607" t="inlineStr">
        <is>
          <t>DUPARCQ</t>
        </is>
      </c>
      <c r="K5607" t="inlineStr">
        <is>
          <t>CUIVRE</t>
        </is>
      </c>
      <c r="L5607">
        <f>_xlfn.XLOOKUP(Tableau1[[#This Row],[TYPE DE PIECE]],Tableau4[MATIERE],Tableau4[SHORT TYPE],"",0,1)</f>
        <v/>
      </c>
      <c r="N5607">
        <f>IF(ISERR(FIND("DECOUPE",Tableau1[[#This Row],[DESIGNATION]])),"","NEED REF")</f>
        <v/>
      </c>
    </row>
    <row r="5608">
      <c r="B5608" t="n">
        <v>34408397</v>
      </c>
      <c r="C5608" s="2" t="n">
        <v>43909</v>
      </c>
      <c r="D5608" t="inlineStr">
        <is>
          <t>SPEC</t>
        </is>
      </c>
      <c r="E5608" t="inlineStr">
        <is>
          <t>UPS N INCOMING CX TOP</t>
        </is>
      </c>
      <c r="F5608" t="inlineStr">
        <is>
          <t>SAN MARINO</t>
        </is>
      </c>
      <c r="G5608" t="inlineStr">
        <is>
          <t>E3S</t>
        </is>
      </c>
      <c r="J5608" t="inlineStr">
        <is>
          <t>DUPARCQ</t>
        </is>
      </c>
      <c r="K5608" t="inlineStr">
        <is>
          <t>CUIVRE</t>
        </is>
      </c>
      <c r="L5608">
        <f>_xlfn.XLOOKUP(Tableau1[[#This Row],[TYPE DE PIECE]],Tableau4[MATIERE],Tableau4[SHORT TYPE],"",0,1)</f>
        <v/>
      </c>
      <c r="N5608">
        <f>IF(ISERR(FIND("DECOUPE",Tableau1[[#This Row],[DESIGNATION]])),"","NEED REF")</f>
        <v/>
      </c>
    </row>
    <row r="5609">
      <c r="B5609" t="n">
        <v>34408396</v>
      </c>
      <c r="C5609" s="2" t="n">
        <v>43909</v>
      </c>
      <c r="D5609" t="inlineStr">
        <is>
          <t>SPEC</t>
        </is>
      </c>
      <c r="E5609" t="inlineStr">
        <is>
          <t>UPS N INCOMING CX BOTTOM</t>
        </is>
      </c>
      <c r="F5609" t="inlineStr">
        <is>
          <t>SAN MARINO</t>
        </is>
      </c>
      <c r="G5609" t="inlineStr">
        <is>
          <t>E3S</t>
        </is>
      </c>
      <c r="J5609" t="inlineStr">
        <is>
          <t>DUPARCQ</t>
        </is>
      </c>
      <c r="K5609" t="inlineStr">
        <is>
          <t>CUIVRE</t>
        </is>
      </c>
      <c r="L5609">
        <f>_xlfn.XLOOKUP(Tableau1[[#This Row],[TYPE DE PIECE]],Tableau4[MATIERE],Tableau4[SHORT TYPE],"",0,1)</f>
        <v/>
      </c>
      <c r="N5609">
        <f>IF(ISERR(FIND("DECOUPE",Tableau1[[#This Row],[DESIGNATION]])),"","NEED REF")</f>
        <v/>
      </c>
    </row>
    <row r="5610">
      <c r="B5610" t="n">
        <v>34408395</v>
      </c>
      <c r="C5610" s="2" t="n">
        <v>43909</v>
      </c>
      <c r="D5610" t="inlineStr">
        <is>
          <t>SPEC</t>
        </is>
      </c>
      <c r="E5610" t="inlineStr">
        <is>
          <t>UPS BATT + INCOMING CX</t>
        </is>
      </c>
      <c r="F5610" t="inlineStr">
        <is>
          <t>SAN MARINO</t>
        </is>
      </c>
      <c r="G5610" t="inlineStr">
        <is>
          <t>E3S</t>
        </is>
      </c>
      <c r="J5610" t="inlineStr">
        <is>
          <t>DUPARCQ</t>
        </is>
      </c>
      <c r="K5610" t="inlineStr">
        <is>
          <t>CUIVRE</t>
        </is>
      </c>
      <c r="L5610">
        <f>_xlfn.XLOOKUP(Tableau1[[#This Row],[TYPE DE PIECE]],Tableau4[MATIERE],Tableau4[SHORT TYPE],"",0,1)</f>
        <v/>
      </c>
      <c r="N5610">
        <f>IF(ISERR(FIND("DECOUPE",Tableau1[[#This Row],[DESIGNATION]])),"","NEED REF")</f>
        <v/>
      </c>
    </row>
    <row r="5611">
      <c r="B5611" t="n">
        <v>34408394</v>
      </c>
      <c r="C5611" s="2" t="n">
        <v>43909</v>
      </c>
      <c r="D5611" t="inlineStr">
        <is>
          <t>SPEC</t>
        </is>
      </c>
      <c r="E5611" t="inlineStr">
        <is>
          <t>UPS BATT - INCOMING CX</t>
        </is>
      </c>
      <c r="F5611" t="inlineStr">
        <is>
          <t>SAN MARINO</t>
        </is>
      </c>
      <c r="G5611" t="inlineStr">
        <is>
          <t>E3S</t>
        </is>
      </c>
      <c r="J5611" t="inlineStr">
        <is>
          <t>DUPARCQ</t>
        </is>
      </c>
      <c r="K5611" t="inlineStr">
        <is>
          <t>CUIVRE</t>
        </is>
      </c>
      <c r="L5611">
        <f>_xlfn.XLOOKUP(Tableau1[[#This Row],[TYPE DE PIECE]],Tableau4[MATIERE],Tableau4[SHORT TYPE],"",0,1)</f>
        <v/>
      </c>
      <c r="N5611">
        <f>IF(ISERR(FIND("DECOUPE",Tableau1[[#This Row],[DESIGNATION]])),"","NEED REF")</f>
        <v/>
      </c>
    </row>
    <row r="5612">
      <c r="B5612" t="n">
        <v>34408393</v>
      </c>
      <c r="C5612" s="2" t="n">
        <v>43909</v>
      </c>
      <c r="D5612" t="inlineStr">
        <is>
          <t>SPEC</t>
        </is>
      </c>
      <c r="E5612" t="inlineStr">
        <is>
          <t>COP BAT BUSBAR</t>
        </is>
      </c>
      <c r="F5612" t="inlineStr">
        <is>
          <t>SAN MARINO</t>
        </is>
      </c>
      <c r="G5612" t="inlineStr">
        <is>
          <t>E3S</t>
        </is>
      </c>
      <c r="J5612" t="inlineStr">
        <is>
          <t>DUPARCQ</t>
        </is>
      </c>
      <c r="K5612" t="inlineStr">
        <is>
          <t>CUIVRE</t>
        </is>
      </c>
      <c r="L5612">
        <f>_xlfn.XLOOKUP(Tableau1[[#This Row],[TYPE DE PIECE]],Tableau4[MATIERE],Tableau4[SHORT TYPE],"",0,1)</f>
        <v/>
      </c>
      <c r="N5612">
        <f>IF(ISERR(FIND("DECOUPE",Tableau1[[#This Row],[DESIGNATION]])),"","NEED REF")</f>
        <v/>
      </c>
    </row>
    <row r="5613">
      <c r="B5613" t="n">
        <v>34408392</v>
      </c>
      <c r="C5613" s="2" t="n">
        <v>43909</v>
      </c>
      <c r="D5613" t="inlineStr">
        <is>
          <t>SPEC</t>
        </is>
      </c>
      <c r="E5613" t="inlineStr">
        <is>
          <t>INS400 SUPPORT h71</t>
        </is>
      </c>
      <c r="F5613" t="inlineStr">
        <is>
          <t>SAN MARINO</t>
        </is>
      </c>
      <c r="G5613" t="inlineStr">
        <is>
          <t>E3S</t>
        </is>
      </c>
      <c r="J5613" t="inlineStr">
        <is>
          <t>DUPARCQ</t>
        </is>
      </c>
      <c r="K5613" t="inlineStr">
        <is>
          <t>METAL</t>
        </is>
      </c>
      <c r="L5613">
        <f>_xlfn.XLOOKUP(Tableau1[[#This Row],[TYPE DE PIECE]],Tableau4[MATIERE],Tableau4[SHORT TYPE],"",0,1)</f>
        <v/>
      </c>
      <c r="N5613">
        <f>IF(ISERR(FIND("DECOUPE",Tableau1[[#This Row],[DESIGNATION]])),"","NEED REF")</f>
        <v/>
      </c>
    </row>
    <row r="5614">
      <c r="B5614" t="n">
        <v>34408391</v>
      </c>
      <c r="C5614" s="2" t="n">
        <v>43909</v>
      </c>
      <c r="D5614" t="inlineStr">
        <is>
          <t>SPEC</t>
        </is>
      </c>
      <c r="E5614" t="inlineStr">
        <is>
          <t>PLAQUE DE FOND</t>
        </is>
      </c>
      <c r="F5614" t="inlineStr">
        <is>
          <t>SAN MARINO</t>
        </is>
      </c>
      <c r="G5614" t="inlineStr">
        <is>
          <t>E3S</t>
        </is>
      </c>
      <c r="J5614" t="inlineStr">
        <is>
          <t>DUPARCQ</t>
        </is>
      </c>
      <c r="K5614" t="inlineStr">
        <is>
          <t>METAL</t>
        </is>
      </c>
      <c r="L5614">
        <f>_xlfn.XLOOKUP(Tableau1[[#This Row],[TYPE DE PIECE]],Tableau4[MATIERE],Tableau4[SHORT TYPE],"",0,1)</f>
        <v/>
      </c>
      <c r="N5614">
        <f>IF(ISERR(FIND("DECOUPE",Tableau1[[#This Row],[DESIGNATION]])),"","NEED REF")</f>
        <v/>
      </c>
    </row>
    <row r="5615">
      <c r="B5615" t="n">
        <v>34408390</v>
      </c>
      <c r="C5615" s="2" t="n">
        <v>43909</v>
      </c>
      <c r="D5615" t="inlineStr">
        <is>
          <t>SPEC</t>
        </is>
      </c>
      <c r="E5615" t="inlineStr">
        <is>
          <t>PLASTRON PROTECTION</t>
        </is>
      </c>
      <c r="F5615" t="inlineStr">
        <is>
          <t>SAN MARINO</t>
        </is>
      </c>
      <c r="G5615" t="inlineStr">
        <is>
          <t>E3S</t>
        </is>
      </c>
      <c r="J5615" t="inlineStr">
        <is>
          <t>DUPARCQ</t>
        </is>
      </c>
      <c r="K5615" t="inlineStr">
        <is>
          <t>METAL</t>
        </is>
      </c>
      <c r="L5615">
        <f>_xlfn.XLOOKUP(Tableau1[[#This Row],[TYPE DE PIECE]],Tableau4[MATIERE],Tableau4[SHORT TYPE],"",0,1)</f>
        <v/>
      </c>
      <c r="N5615">
        <f>IF(ISERR(FIND("DECOUPE",Tableau1[[#This Row],[DESIGNATION]])),"","NEED REF")</f>
        <v/>
      </c>
    </row>
    <row r="5616">
      <c r="B5616" t="n">
        <v>34408389</v>
      </c>
      <c r="C5616" s="2" t="n">
        <v>43907</v>
      </c>
      <c r="D5616" t="inlineStr">
        <is>
          <t>SPEC</t>
        </is>
      </c>
      <c r="E5616" t="inlineStr">
        <is>
          <t>SUPPORT PLASTRON DROIT ASM</t>
        </is>
      </c>
      <c r="F5616" t="inlineStr">
        <is>
          <t>SAN MARINO</t>
        </is>
      </c>
      <c r="G5616" t="inlineStr">
        <is>
          <t>E3S</t>
        </is>
      </c>
      <c r="J5616" t="inlineStr">
        <is>
          <t>DUPARCQ</t>
        </is>
      </c>
      <c r="K5616" t="inlineStr">
        <is>
          <t>METAL</t>
        </is>
      </c>
      <c r="L5616">
        <f>_xlfn.XLOOKUP(Tableau1[[#This Row],[TYPE DE PIECE]],Tableau4[MATIERE],Tableau4[SHORT TYPE],"",0,1)</f>
        <v/>
      </c>
      <c r="N5616">
        <f>IF(ISERR(FIND("DECOUPE",Tableau1[[#This Row],[DESIGNATION]])),"","NEED REF")</f>
        <v/>
      </c>
    </row>
    <row r="5617">
      <c r="B5617" t="n">
        <v>34408388</v>
      </c>
      <c r="C5617" s="2" t="n">
        <v>43907</v>
      </c>
      <c r="D5617" t="inlineStr">
        <is>
          <t>SPEC</t>
        </is>
      </c>
      <c r="E5617" t="inlineStr">
        <is>
          <t>SUPPORT PLASTRON DROIT</t>
        </is>
      </c>
      <c r="F5617" t="inlineStr">
        <is>
          <t>SAN MARINO</t>
        </is>
      </c>
      <c r="G5617" t="inlineStr">
        <is>
          <t>E3S</t>
        </is>
      </c>
      <c r="J5617" t="inlineStr">
        <is>
          <t>DUPARCQ</t>
        </is>
      </c>
      <c r="K5617" t="inlineStr">
        <is>
          <t>METAL</t>
        </is>
      </c>
      <c r="L5617">
        <f>_xlfn.XLOOKUP(Tableau1[[#This Row],[TYPE DE PIECE]],Tableau4[MATIERE],Tableau4[SHORT TYPE],"",0,1)</f>
        <v/>
      </c>
      <c r="N5617">
        <f>IF(ISERR(FIND("DECOUPE",Tableau1[[#This Row],[DESIGNATION]])),"","NEED REF")</f>
        <v/>
      </c>
    </row>
    <row r="5618">
      <c r="B5618" t="n">
        <v>34408387</v>
      </c>
      <c r="C5618" s="2" t="n">
        <v>43907</v>
      </c>
      <c r="D5618" t="inlineStr">
        <is>
          <t>SPEC</t>
        </is>
      </c>
      <c r="E5618" t="inlineStr">
        <is>
          <t>SUPPORT PLASTRON GAUCHE ASM</t>
        </is>
      </c>
      <c r="F5618" t="inlineStr">
        <is>
          <t>SAN MARINO</t>
        </is>
      </c>
      <c r="G5618" t="inlineStr">
        <is>
          <t>E3S</t>
        </is>
      </c>
      <c r="J5618" t="inlineStr">
        <is>
          <t>DUPARCQ</t>
        </is>
      </c>
      <c r="K5618" t="inlineStr">
        <is>
          <t>METAL</t>
        </is>
      </c>
      <c r="L5618">
        <f>_xlfn.XLOOKUP(Tableau1[[#This Row],[TYPE DE PIECE]],Tableau4[MATIERE],Tableau4[SHORT TYPE],"",0,1)</f>
        <v/>
      </c>
      <c r="N5618">
        <f>IF(ISERR(FIND("DECOUPE",Tableau1[[#This Row],[DESIGNATION]])),"","NEED REF")</f>
        <v/>
      </c>
    </row>
    <row r="5619">
      <c r="B5619" t="n">
        <v>34408386</v>
      </c>
      <c r="C5619" s="2" t="n">
        <v>43907</v>
      </c>
      <c r="D5619" t="inlineStr">
        <is>
          <t>SPEC</t>
        </is>
      </c>
      <c r="E5619" t="inlineStr">
        <is>
          <t>SUPPORT PLASTRON GAUCHE</t>
        </is>
      </c>
      <c r="F5619" t="inlineStr">
        <is>
          <t>SAN MARINO</t>
        </is>
      </c>
      <c r="G5619" t="inlineStr">
        <is>
          <t>E3S</t>
        </is>
      </c>
      <c r="J5619" t="inlineStr">
        <is>
          <t>DUPARCQ</t>
        </is>
      </c>
      <c r="K5619" t="inlineStr">
        <is>
          <t>METAL</t>
        </is>
      </c>
      <c r="L5619">
        <f>_xlfn.XLOOKUP(Tableau1[[#This Row],[TYPE DE PIECE]],Tableau4[MATIERE],Tableau4[SHORT TYPE],"",0,1)</f>
        <v/>
      </c>
      <c r="N5619">
        <f>IF(ISERR(FIND("DECOUPE",Tableau1[[#This Row],[DESIGNATION]])),"","NEED REF")</f>
        <v/>
      </c>
    </row>
    <row r="5620">
      <c r="B5620" t="n">
        <v>34408385</v>
      </c>
      <c r="C5620" s="2" t="n">
        <v>43902</v>
      </c>
      <c r="D5620" t="inlineStr">
        <is>
          <t>SPEC</t>
        </is>
      </c>
      <c r="E5620" t="inlineStr">
        <is>
          <t>SUPPORT CAPA VERT. BAS G300</t>
        </is>
      </c>
      <c r="F5620" t="inlineStr">
        <is>
          <t>THM G300</t>
        </is>
      </c>
      <c r="J5620" t="inlineStr">
        <is>
          <t>MASCELLINO</t>
        </is>
      </c>
      <c r="K5620" t="inlineStr">
        <is>
          <t>METAL</t>
        </is>
      </c>
      <c r="L5620">
        <f>_xlfn.XLOOKUP(Tableau1[[#This Row],[TYPE DE PIECE]],Tableau4[MATIERE],Tableau4[SHORT TYPE],"",0,1)</f>
        <v/>
      </c>
      <c r="N5620">
        <f>IF(ISERR(FIND("DECOUPE",Tableau1[[#This Row],[DESIGNATION]])),"","NEED REF")</f>
        <v/>
      </c>
    </row>
    <row r="5621">
      <c r="B5621" t="n">
        <v>34408384</v>
      </c>
      <c r="C5621" s="2" t="n">
        <v>43902</v>
      </c>
      <c r="D5621" t="inlineStr">
        <is>
          <t>SPEC</t>
        </is>
      </c>
      <c r="E5621" t="inlineStr">
        <is>
          <t>SUPPORT CAPA VERT. HAUT G300</t>
        </is>
      </c>
      <c r="F5621" t="inlineStr">
        <is>
          <t>THM G300</t>
        </is>
      </c>
      <c r="J5621" t="inlineStr">
        <is>
          <t>MASCELLINO</t>
        </is>
      </c>
      <c r="K5621" t="inlineStr">
        <is>
          <t>METAL</t>
        </is>
      </c>
      <c r="L5621">
        <f>_xlfn.XLOOKUP(Tableau1[[#This Row],[TYPE DE PIECE]],Tableau4[MATIERE],Tableau4[SHORT TYPE],"",0,1)</f>
        <v/>
      </c>
      <c r="N5621">
        <f>IF(ISERR(FIND("DECOUPE",Tableau1[[#This Row],[DESIGNATION]])),"","NEED REF")</f>
        <v/>
      </c>
    </row>
    <row r="5622">
      <c r="B5622" t="n">
        <v>34408383</v>
      </c>
      <c r="C5622" s="2" t="n">
        <v>43901</v>
      </c>
      <c r="D5622" t="inlineStr">
        <is>
          <t>SPEC</t>
        </is>
      </c>
      <c r="E5622" t="inlineStr">
        <is>
          <t>SUPPORT CAPA VERT. BAS G200</t>
        </is>
      </c>
      <c r="F5622" t="inlineStr">
        <is>
          <t>THM G200</t>
        </is>
      </c>
      <c r="J5622" t="inlineStr">
        <is>
          <t>MASCELLINO</t>
        </is>
      </c>
      <c r="K5622" t="inlineStr">
        <is>
          <t>METAL</t>
        </is>
      </c>
      <c r="L5622">
        <f>_xlfn.XLOOKUP(Tableau1[[#This Row],[TYPE DE PIECE]],Tableau4[MATIERE],Tableau4[SHORT TYPE],"",0,1)</f>
        <v/>
      </c>
      <c r="N5622">
        <f>IF(ISERR(FIND("DECOUPE",Tableau1[[#This Row],[DESIGNATION]])),"","NEED REF")</f>
        <v/>
      </c>
    </row>
    <row r="5623">
      <c r="B5623" t="n">
        <v>34408382</v>
      </c>
      <c r="C5623" s="2" t="n">
        <v>43901</v>
      </c>
      <c r="D5623" t="inlineStr">
        <is>
          <t>SPEC</t>
        </is>
      </c>
      <c r="E5623" t="inlineStr">
        <is>
          <t>SUPPORT CAPA VERT. HAUT G200</t>
        </is>
      </c>
      <c r="F5623" t="inlineStr">
        <is>
          <t>THM G200</t>
        </is>
      </c>
      <c r="J5623" t="inlineStr">
        <is>
          <t>MASCELLINO</t>
        </is>
      </c>
      <c r="K5623" t="inlineStr">
        <is>
          <t>METAL</t>
        </is>
      </c>
      <c r="L5623">
        <f>_xlfn.XLOOKUP(Tableau1[[#This Row],[TYPE DE PIECE]],Tableau4[MATIERE],Tableau4[SHORT TYPE],"",0,1)</f>
        <v/>
      </c>
      <c r="N5623">
        <f>IF(ISERR(FIND("DECOUPE",Tableau1[[#This Row],[DESIGNATION]])),"","NEED REF")</f>
        <v/>
      </c>
    </row>
    <row r="5624">
      <c r="B5624" t="n">
        <v>34408381</v>
      </c>
      <c r="C5624" s="2" t="n">
        <v>43901</v>
      </c>
      <c r="D5624" t="inlineStr">
        <is>
          <t>SPEC</t>
        </is>
      </c>
      <c r="E5624" t="inlineStr">
        <is>
          <t>ROOF PANEL IP21 EASY UPS 3M 60/80/100KVA, 400V, 3PH</t>
        </is>
      </c>
      <c r="F5624" t="inlineStr">
        <is>
          <t>VINCI STADE DE France</t>
        </is>
      </c>
      <c r="J5624" t="inlineStr">
        <is>
          <t>DUPARCQ</t>
        </is>
      </c>
      <c r="K5624" t="inlineStr">
        <is>
          <t>ALU</t>
        </is>
      </c>
      <c r="L5624">
        <f>_xlfn.XLOOKUP(Tableau1[[#This Row],[TYPE DE PIECE]],Tableau4[MATIERE],Tableau4[SHORT TYPE],"",0,1)</f>
        <v/>
      </c>
      <c r="N5624">
        <f>IF(ISERR(FIND("DECOUPE",Tableau1[[#This Row],[DESIGNATION]])),"","NEED REF")</f>
        <v/>
      </c>
    </row>
    <row r="5625">
      <c r="B5625" t="n">
        <v>34408380</v>
      </c>
      <c r="C5625" s="2" t="n">
        <v>43900</v>
      </c>
      <c r="D5625" t="inlineStr">
        <is>
          <t>SPEC</t>
        </is>
      </c>
      <c r="E5625" t="inlineStr">
        <is>
          <t>0417201-L615</t>
        </is>
      </c>
      <c r="F5625" t="inlineStr">
        <is>
          <t>EGYPT</t>
        </is>
      </c>
      <c r="J5625" t="inlineStr">
        <is>
          <t>DUPARCQ</t>
        </is>
      </c>
      <c r="K5625" t="inlineStr">
        <is>
          <t>CUIVRE</t>
        </is>
      </c>
      <c r="L5625">
        <f>_xlfn.XLOOKUP(Tableau1[[#This Row],[TYPE DE PIECE]],Tableau4[MATIERE],Tableau4[SHORT TYPE],"",0,1)</f>
        <v/>
      </c>
      <c r="N5625">
        <f>IF(ISERR(FIND("DECOUPE",Tableau1[[#This Row],[DESIGNATION]])),"","NEED REF")</f>
        <v/>
      </c>
    </row>
    <row r="5626">
      <c r="B5626" t="n">
        <v>34408379</v>
      </c>
      <c r="C5626" s="2" t="n">
        <v>43899</v>
      </c>
      <c r="D5626" t="inlineStr">
        <is>
          <t>SPEC</t>
        </is>
      </c>
      <c r="E5626" t="inlineStr">
        <is>
          <t>SUPPORT KIRK KEY SWITCH ASM</t>
        </is>
      </c>
      <c r="F5626" t="inlineStr">
        <is>
          <t>EGYPT</t>
        </is>
      </c>
      <c r="J5626" t="inlineStr">
        <is>
          <t>DUPARCQ</t>
        </is>
      </c>
      <c r="K5626" t="inlineStr">
        <is>
          <t>METAL</t>
        </is>
      </c>
      <c r="L5626">
        <f>_xlfn.XLOOKUP(Tableau1[[#This Row],[TYPE DE PIECE]],Tableau4[MATIERE],Tableau4[SHORT TYPE],"",0,1)</f>
        <v/>
      </c>
      <c r="N5626">
        <f>IF(ISERR(FIND("DECOUPE",Tableau1[[#This Row],[DESIGNATION]])),"","NEED REF")</f>
        <v/>
      </c>
    </row>
    <row r="5627">
      <c r="B5627" t="n">
        <v>34408378</v>
      </c>
      <c r="C5627" s="2" t="n">
        <v>43899</v>
      </c>
      <c r="D5627" t="inlineStr">
        <is>
          <t>SPEC</t>
        </is>
      </c>
      <c r="E5627" t="inlineStr">
        <is>
          <t>SUPPORT KIRK KEY SWITCH</t>
        </is>
      </c>
      <c r="F5627" t="inlineStr">
        <is>
          <t>EGYPT</t>
        </is>
      </c>
      <c r="J5627" t="inlineStr">
        <is>
          <t>DUPARCQ</t>
        </is>
      </c>
      <c r="K5627" t="inlineStr">
        <is>
          <t>METAL</t>
        </is>
      </c>
      <c r="L5627">
        <f>_xlfn.XLOOKUP(Tableau1[[#This Row],[TYPE DE PIECE]],Tableau4[MATIERE],Tableau4[SHORT TYPE],"",0,1)</f>
        <v/>
      </c>
      <c r="N5627">
        <f>IF(ISERR(FIND("DECOUPE",Tableau1[[#This Row],[DESIGNATION]])),"","NEED REF")</f>
        <v/>
      </c>
    </row>
    <row r="5628">
      <c r="B5628" t="n">
        <v>34408377</v>
      </c>
      <c r="C5628" s="2" t="n">
        <v>43896</v>
      </c>
      <c r="D5628" t="inlineStr">
        <is>
          <t>SPEC</t>
        </is>
      </c>
      <c r="E5628" t="inlineStr">
        <is>
          <t>SE CADRE AFFICHEUR</t>
        </is>
      </c>
      <c r="F5628" t="inlineStr">
        <is>
          <t>STS1250</t>
        </is>
      </c>
      <c r="G5628" t="inlineStr">
        <is>
          <t>GVE</t>
        </is>
      </c>
      <c r="H5628" t="inlineStr">
        <is>
          <t>STS</t>
        </is>
      </c>
      <c r="J5628" t="inlineStr">
        <is>
          <t>MATRION</t>
        </is>
      </c>
      <c r="L5628">
        <f>_xlfn.XLOOKUP(Tableau1[[#This Row],[TYPE DE PIECE]],Tableau4[MATIERE],Tableau4[SHORT TYPE],"",0,1)</f>
        <v/>
      </c>
      <c r="N5628">
        <f>IF(ISERR(FIND("DECOUPE",Tableau1[[#This Row],[DESIGNATION]])),"","NEED REF")</f>
        <v/>
      </c>
    </row>
    <row r="5629">
      <c r="B5629" t="n">
        <v>34408376</v>
      </c>
      <c r="C5629" s="2" t="n">
        <v>43896</v>
      </c>
      <c r="D5629" t="inlineStr">
        <is>
          <t>SPEC</t>
        </is>
      </c>
      <c r="E5629" t="inlineStr">
        <is>
          <t>SE PORTE AFFICHEUR + COMM</t>
        </is>
      </c>
      <c r="F5629" t="inlineStr">
        <is>
          <t>STS1250</t>
        </is>
      </c>
      <c r="G5629" t="inlineStr">
        <is>
          <t>GVE</t>
        </is>
      </c>
      <c r="H5629" t="inlineStr">
        <is>
          <t>STS</t>
        </is>
      </c>
      <c r="J5629" t="inlineStr">
        <is>
          <t>MATRION</t>
        </is>
      </c>
      <c r="L5629">
        <f>_xlfn.XLOOKUP(Tableau1[[#This Row],[TYPE DE PIECE]],Tableau4[MATIERE],Tableau4[SHORT TYPE],"",0,1)</f>
        <v/>
      </c>
      <c r="N5629">
        <f>IF(ISERR(FIND("DECOUPE",Tableau1[[#This Row],[DESIGNATION]])),"","NEED REF")</f>
        <v/>
      </c>
    </row>
    <row r="5630">
      <c r="B5630" t="n">
        <v>34408375</v>
      </c>
      <c r="C5630" s="2" t="n">
        <v>43896</v>
      </c>
      <c r="D5630" t="inlineStr">
        <is>
          <t>SPEC</t>
        </is>
      </c>
      <c r="E5630" t="inlineStr">
        <is>
          <t>SMT PORTE 700 + CARNIERE</t>
        </is>
      </c>
      <c r="F5630" t="inlineStr">
        <is>
          <t>STS1250</t>
        </is>
      </c>
      <c r="G5630" t="inlineStr">
        <is>
          <t>GVE</t>
        </is>
      </c>
      <c r="H5630" t="inlineStr">
        <is>
          <t>STS</t>
        </is>
      </c>
      <c r="J5630" t="inlineStr">
        <is>
          <t>MATRION</t>
        </is>
      </c>
      <c r="K5630" t="inlineStr">
        <is>
          <t>METAL</t>
        </is>
      </c>
      <c r="L5630">
        <f>_xlfn.XLOOKUP(Tableau1[[#This Row],[TYPE DE PIECE]],Tableau4[MATIERE],Tableau4[SHORT TYPE],"",0,1)</f>
        <v/>
      </c>
      <c r="N5630">
        <f>IF(ISERR(FIND("DECOUPE",Tableau1[[#This Row],[DESIGNATION]])),"","NEED REF")</f>
        <v/>
      </c>
    </row>
    <row r="5631">
      <c r="B5631" t="n">
        <v>34408374</v>
      </c>
      <c r="C5631" s="2" t="n">
        <v>43896</v>
      </c>
      <c r="D5631" t="inlineStr">
        <is>
          <t>SPEC</t>
        </is>
      </c>
      <c r="E5631" t="inlineStr">
        <is>
          <t>SMT PORTE 700 RAL9002</t>
        </is>
      </c>
      <c r="F5631" t="inlineStr">
        <is>
          <t>STS1250</t>
        </is>
      </c>
      <c r="G5631" t="inlineStr">
        <is>
          <t>GVE</t>
        </is>
      </c>
      <c r="H5631" t="inlineStr">
        <is>
          <t>STS</t>
        </is>
      </c>
      <c r="J5631" t="inlineStr">
        <is>
          <t>MATRION</t>
        </is>
      </c>
      <c r="K5631" t="inlineStr">
        <is>
          <t>METAL</t>
        </is>
      </c>
      <c r="L5631">
        <f>_xlfn.XLOOKUP(Tableau1[[#This Row],[TYPE DE PIECE]],Tableau4[MATIERE],Tableau4[SHORT TYPE],"",0,1)</f>
        <v/>
      </c>
      <c r="N5631">
        <f>IF(ISERR(FIND("DECOUPE",Tableau1[[#This Row],[DESIGNATION]])),"","NEED REF")</f>
        <v/>
      </c>
    </row>
    <row r="5632">
      <c r="B5632" t="n">
        <v>34408373</v>
      </c>
      <c r="C5632" s="2" t="n">
        <v>43896</v>
      </c>
      <c r="D5632" t="inlineStr">
        <is>
          <t>SPEC</t>
        </is>
      </c>
      <c r="E5632" t="inlineStr">
        <is>
          <t>SMT CADRE PROTECTION AFFICHEUR</t>
        </is>
      </c>
      <c r="F5632" t="inlineStr">
        <is>
          <t>STS1250</t>
        </is>
      </c>
      <c r="G5632" t="inlineStr">
        <is>
          <t>GVE</t>
        </is>
      </c>
      <c r="H5632" t="inlineStr">
        <is>
          <t>STS</t>
        </is>
      </c>
      <c r="J5632" t="inlineStr">
        <is>
          <t>MATRION</t>
        </is>
      </c>
      <c r="K5632" t="inlineStr">
        <is>
          <t>METAL</t>
        </is>
      </c>
      <c r="L5632">
        <f>_xlfn.XLOOKUP(Tableau1[[#This Row],[TYPE DE PIECE]],Tableau4[MATIERE],Tableau4[SHORT TYPE],"",0,1)</f>
        <v/>
      </c>
      <c r="N5632">
        <f>IF(ISERR(FIND("DECOUPE",Tableau1[[#This Row],[DESIGNATION]])),"","NEED REF")</f>
        <v/>
      </c>
    </row>
    <row r="5633">
      <c r="B5633" t="n">
        <v>34408372</v>
      </c>
      <c r="C5633" s="2" t="n">
        <v>43896</v>
      </c>
      <c r="D5633" t="inlineStr">
        <is>
          <t>SPEC</t>
        </is>
      </c>
      <c r="E5633" t="inlineStr">
        <is>
          <t>PLASTRON PROTECTION</t>
        </is>
      </c>
      <c r="F5633" t="inlineStr">
        <is>
          <t>EGYPT</t>
        </is>
      </c>
      <c r="J5633" t="inlineStr">
        <is>
          <t>DUPARCQ</t>
        </is>
      </c>
      <c r="K5633" t="inlineStr">
        <is>
          <t>METAL</t>
        </is>
      </c>
      <c r="L5633">
        <f>_xlfn.XLOOKUP(Tableau1[[#This Row],[TYPE DE PIECE]],Tableau4[MATIERE],Tableau4[SHORT TYPE],"",0,1)</f>
        <v/>
      </c>
      <c r="N5633">
        <f>IF(ISERR(FIND("DECOUPE",Tableau1[[#This Row],[DESIGNATION]])),"","NEED REF")</f>
        <v/>
      </c>
    </row>
    <row r="5634">
      <c r="B5634" t="n">
        <v>34408371</v>
      </c>
      <c r="C5634" s="2" t="n">
        <v>43896</v>
      </c>
      <c r="D5634" t="inlineStr">
        <is>
          <t>SPEC</t>
        </is>
      </c>
      <c r="E5634" t="inlineStr">
        <is>
          <t>SUPPORT PLASTRON GAUCHE ASM</t>
        </is>
      </c>
      <c r="F5634" t="inlineStr">
        <is>
          <t>EGYPT</t>
        </is>
      </c>
      <c r="J5634" t="inlineStr">
        <is>
          <t>DUPARCQ</t>
        </is>
      </c>
      <c r="K5634" t="inlineStr">
        <is>
          <t>METAL</t>
        </is>
      </c>
      <c r="L5634">
        <f>_xlfn.XLOOKUP(Tableau1[[#This Row],[TYPE DE PIECE]],Tableau4[MATIERE],Tableau4[SHORT TYPE],"",0,1)</f>
        <v/>
      </c>
      <c r="N5634">
        <f>IF(ISERR(FIND("DECOUPE",Tableau1[[#This Row],[DESIGNATION]])),"","NEED REF")</f>
        <v/>
      </c>
    </row>
    <row r="5635">
      <c r="B5635" t="n">
        <v>34408370</v>
      </c>
      <c r="C5635" s="2" t="n">
        <v>43896</v>
      </c>
      <c r="D5635" t="inlineStr">
        <is>
          <t>SPEC</t>
        </is>
      </c>
      <c r="E5635" t="inlineStr">
        <is>
          <t>SUPPORT PLASTRON GAUCHE</t>
        </is>
      </c>
      <c r="F5635" t="inlineStr">
        <is>
          <t>EGYPT</t>
        </is>
      </c>
      <c r="J5635" t="inlineStr">
        <is>
          <t>DUPARCQ</t>
        </is>
      </c>
      <c r="K5635" t="inlineStr">
        <is>
          <t>METAL</t>
        </is>
      </c>
      <c r="L5635">
        <f>_xlfn.XLOOKUP(Tableau1[[#This Row],[TYPE DE PIECE]],Tableau4[MATIERE],Tableau4[SHORT TYPE],"",0,1)</f>
        <v/>
      </c>
      <c r="N5635">
        <f>IF(ISERR(FIND("DECOUPE",Tableau1[[#This Row],[DESIGNATION]])),"","NEED REF")</f>
        <v/>
      </c>
    </row>
    <row r="5636">
      <c r="B5636" t="n">
        <v>34408369</v>
      </c>
      <c r="C5636" s="2" t="n">
        <v>43896</v>
      </c>
      <c r="D5636" t="inlineStr">
        <is>
          <t>SPEC</t>
        </is>
      </c>
      <c r="E5636" t="inlineStr">
        <is>
          <t>SMT CADRE AFFICHEUR 2</t>
        </is>
      </c>
      <c r="F5636" t="inlineStr">
        <is>
          <t>STS1250</t>
        </is>
      </c>
      <c r="G5636" t="inlineStr">
        <is>
          <t>GVE</t>
        </is>
      </c>
      <c r="H5636" t="inlineStr">
        <is>
          <t>STS</t>
        </is>
      </c>
      <c r="J5636" t="inlineStr">
        <is>
          <t>MATRION</t>
        </is>
      </c>
      <c r="K5636" t="inlineStr">
        <is>
          <t>METAL</t>
        </is>
      </c>
      <c r="L5636">
        <f>_xlfn.XLOOKUP(Tableau1[[#This Row],[TYPE DE PIECE]],Tableau4[MATIERE],Tableau4[SHORT TYPE],"",0,1)</f>
        <v/>
      </c>
      <c r="N5636">
        <f>IF(ISERR(FIND("DECOUPE",Tableau1[[#This Row],[DESIGNATION]])),"","NEED REF")</f>
        <v/>
      </c>
    </row>
    <row r="5637">
      <c r="B5637" t="n">
        <v>34408368</v>
      </c>
      <c r="C5637" s="2" t="n">
        <v>43896</v>
      </c>
      <c r="D5637" t="inlineStr">
        <is>
          <t>SPEC</t>
        </is>
      </c>
      <c r="E5637" t="inlineStr">
        <is>
          <t>SMT CADRE AFFICHEUR 1</t>
        </is>
      </c>
      <c r="F5637" t="inlineStr">
        <is>
          <t>STS1250</t>
        </is>
      </c>
      <c r="G5637" t="inlineStr">
        <is>
          <t>GVE</t>
        </is>
      </c>
      <c r="H5637" t="inlineStr">
        <is>
          <t>STS</t>
        </is>
      </c>
      <c r="J5637" t="inlineStr">
        <is>
          <t>MATRION</t>
        </is>
      </c>
      <c r="K5637" t="inlineStr">
        <is>
          <t>METAL</t>
        </is>
      </c>
      <c r="L5637">
        <f>_xlfn.XLOOKUP(Tableau1[[#This Row],[TYPE DE PIECE]],Tableau4[MATIERE],Tableau4[SHORT TYPE],"",0,1)</f>
        <v/>
      </c>
      <c r="N5637">
        <f>IF(ISERR(FIND("DECOUPE",Tableau1[[#This Row],[DESIGNATION]])),"","NEED REF")</f>
        <v/>
      </c>
    </row>
    <row r="5638">
      <c r="B5638" t="n">
        <v>34408367</v>
      </c>
      <c r="C5638" s="2" t="n">
        <v>43896</v>
      </c>
      <c r="D5638" t="inlineStr">
        <is>
          <t>SPEC</t>
        </is>
      </c>
      <c r="E5638" t="inlineStr">
        <is>
          <t>SE PORTE AFFICHEUR COMM</t>
        </is>
      </c>
      <c r="F5638" t="inlineStr">
        <is>
          <t>STS1250</t>
        </is>
      </c>
      <c r="G5638" t="inlineStr">
        <is>
          <t>GVE</t>
        </is>
      </c>
      <c r="H5638" t="inlineStr">
        <is>
          <t>STS</t>
        </is>
      </c>
      <c r="J5638" t="inlineStr">
        <is>
          <t>MATRION</t>
        </is>
      </c>
      <c r="L5638">
        <f>_xlfn.XLOOKUP(Tableau1[[#This Row],[TYPE DE PIECE]],Tableau4[MATIERE],Tableau4[SHORT TYPE],"",0,1)</f>
        <v/>
      </c>
      <c r="N5638">
        <f>IF(ISERR(FIND("DECOUPE",Tableau1[[#This Row],[DESIGNATION]])),"","NEED REF")</f>
        <v/>
      </c>
    </row>
    <row r="5639">
      <c r="B5639" t="n">
        <v>34408366</v>
      </c>
      <c r="C5639" s="2" t="n">
        <v>43895</v>
      </c>
      <c r="D5639" t="inlineStr">
        <is>
          <t>SPEC</t>
        </is>
      </c>
      <c r="E5639" t="inlineStr">
        <is>
          <t>PLAQUE DE FOND ASM</t>
        </is>
      </c>
      <c r="F5639" t="inlineStr">
        <is>
          <t>EGYPT</t>
        </is>
      </c>
      <c r="J5639" t="inlineStr">
        <is>
          <t>DUPARCQ</t>
        </is>
      </c>
      <c r="K5639" t="inlineStr">
        <is>
          <t>METAL</t>
        </is>
      </c>
      <c r="L5639">
        <f>_xlfn.XLOOKUP(Tableau1[[#This Row],[TYPE DE PIECE]],Tableau4[MATIERE],Tableau4[SHORT TYPE],"",0,1)</f>
        <v/>
      </c>
      <c r="N5639">
        <f>IF(ISERR(FIND("DECOUPE",Tableau1[[#This Row],[DESIGNATION]])),"","NEED REF")</f>
        <v/>
      </c>
    </row>
    <row r="5640">
      <c r="B5640" t="n">
        <v>34408365</v>
      </c>
      <c r="C5640" s="2" t="n">
        <v>43895</v>
      </c>
      <c r="D5640" t="inlineStr">
        <is>
          <t>SPEC</t>
        </is>
      </c>
      <c r="E5640" t="inlineStr">
        <is>
          <t>PLAQUE DE FOND</t>
        </is>
      </c>
      <c r="F5640" t="inlineStr">
        <is>
          <t>EGYPT</t>
        </is>
      </c>
      <c r="J5640" t="inlineStr">
        <is>
          <t>DUPARCQ</t>
        </is>
      </c>
      <c r="K5640" t="inlineStr">
        <is>
          <t>METAL</t>
        </is>
      </c>
      <c r="L5640">
        <f>_xlfn.XLOOKUP(Tableau1[[#This Row],[TYPE DE PIECE]],Tableau4[MATIERE],Tableau4[SHORT TYPE],"",0,1)</f>
        <v/>
      </c>
      <c r="N5640">
        <f>IF(ISERR(FIND("DECOUPE",Tableau1[[#This Row],[DESIGNATION]])),"","NEED REF")</f>
        <v/>
      </c>
    </row>
    <row r="5641">
      <c r="B5641" t="n">
        <v>34408364</v>
      </c>
      <c r="C5641" s="2" t="n">
        <v>43895</v>
      </c>
      <c r="D5641" t="inlineStr">
        <is>
          <t>SPEC</t>
        </is>
      </c>
      <c r="E5641" t="inlineStr">
        <is>
          <t>RIGHT SUPPORT JDB R2 ASI h135</t>
        </is>
      </c>
      <c r="F5641" t="inlineStr">
        <is>
          <t>EGYPT</t>
        </is>
      </c>
      <c r="J5641" t="inlineStr">
        <is>
          <t>DUPARCQ</t>
        </is>
      </c>
      <c r="K5641" t="inlineStr">
        <is>
          <t>METAL</t>
        </is>
      </c>
      <c r="L5641">
        <f>_xlfn.XLOOKUP(Tableau1[[#This Row],[TYPE DE PIECE]],Tableau4[MATIERE],Tableau4[SHORT TYPE],"",0,1)</f>
        <v/>
      </c>
      <c r="N5641">
        <f>IF(ISERR(FIND("DECOUPE",Tableau1[[#This Row],[DESIGNATION]])),"","NEED REF")</f>
        <v/>
      </c>
    </row>
    <row r="5642">
      <c r="B5642" t="n">
        <v>34408363</v>
      </c>
      <c r="C5642" s="2" t="n">
        <v>43895</v>
      </c>
      <c r="D5642" t="inlineStr">
        <is>
          <t>NOM</t>
        </is>
      </c>
      <c r="E5642" t="inlineStr">
        <is>
          <t>SE SKID 1400+400</t>
        </is>
      </c>
      <c r="J5642" t="inlineStr">
        <is>
          <t>MATRION</t>
        </is>
      </c>
      <c r="L5642">
        <f>_xlfn.XLOOKUP(Tableau1[[#This Row],[TYPE DE PIECE]],Tableau4[MATIERE],Tableau4[SHORT TYPE],"",0,1)</f>
        <v/>
      </c>
      <c r="N5642">
        <f>IF(ISERR(FIND("DECOUPE",Tableau1[[#This Row],[DESIGNATION]])),"","NEED REF")</f>
        <v/>
      </c>
    </row>
    <row r="5643">
      <c r="B5643" t="n">
        <v>34408362</v>
      </c>
      <c r="C5643" s="2" t="n">
        <v>43895</v>
      </c>
      <c r="D5643" t="inlineStr">
        <is>
          <t>SPEC</t>
        </is>
      </c>
      <c r="E5643" t="inlineStr">
        <is>
          <t>SMT 400 GAINE WEDGE</t>
        </is>
      </c>
      <c r="J5643" t="inlineStr">
        <is>
          <t>MATRION</t>
        </is>
      </c>
      <c r="K5643" t="inlineStr">
        <is>
          <t>METAL</t>
        </is>
      </c>
      <c r="L5643">
        <f>_xlfn.XLOOKUP(Tableau1[[#This Row],[TYPE DE PIECE]],Tableau4[MATIERE],Tableau4[SHORT TYPE],"",0,1)</f>
        <v/>
      </c>
      <c r="N5643">
        <f>IF(ISERR(FIND("DECOUPE",Tableau1[[#This Row],[DESIGNATION]])),"","NEED REF")</f>
        <v/>
      </c>
    </row>
    <row r="5644">
      <c r="B5644" t="n">
        <v>34408361</v>
      </c>
      <c r="C5644" s="2" t="n">
        <v>43895</v>
      </c>
      <c r="D5644" t="inlineStr">
        <is>
          <t>SPEC</t>
        </is>
      </c>
      <c r="E5644" t="inlineStr">
        <is>
          <t>KIRKKEY INYTERLOCK SUPPORT ASM</t>
        </is>
      </c>
      <c r="F5644" t="inlineStr">
        <is>
          <t>EGYPT</t>
        </is>
      </c>
      <c r="J5644" t="inlineStr">
        <is>
          <t>DUPARCQ</t>
        </is>
      </c>
      <c r="K5644" t="inlineStr">
        <is>
          <t>METAL</t>
        </is>
      </c>
      <c r="L5644">
        <f>_xlfn.XLOOKUP(Tableau1[[#This Row],[TYPE DE PIECE]],Tableau4[MATIERE],Tableau4[SHORT TYPE],"",0,1)</f>
        <v/>
      </c>
      <c r="N5644">
        <f>IF(ISERR(FIND("DECOUPE",Tableau1[[#This Row],[DESIGNATION]])),"","NEED REF")</f>
        <v/>
      </c>
    </row>
    <row r="5645">
      <c r="B5645" t="n">
        <v>34408360</v>
      </c>
      <c r="C5645" s="2" t="n">
        <v>43895</v>
      </c>
      <c r="D5645" t="inlineStr">
        <is>
          <t>SPEC</t>
        </is>
      </c>
      <c r="E5645" t="inlineStr">
        <is>
          <t>KIRKKEY INYTERLOCK SUPPORT</t>
        </is>
      </c>
      <c r="F5645" t="inlineStr">
        <is>
          <t>EGYPT</t>
        </is>
      </c>
      <c r="J5645" t="inlineStr">
        <is>
          <t>DUPARCQ</t>
        </is>
      </c>
      <c r="K5645" t="inlineStr">
        <is>
          <t>METAL</t>
        </is>
      </c>
      <c r="L5645">
        <f>_xlfn.XLOOKUP(Tableau1[[#This Row],[TYPE DE PIECE]],Tableau4[MATIERE],Tableau4[SHORT TYPE],"",0,1)</f>
        <v/>
      </c>
      <c r="N5645">
        <f>IF(ISERR(FIND("DECOUPE",Tableau1[[#This Row],[DESIGNATION]])),"","NEED REF")</f>
        <v/>
      </c>
    </row>
    <row r="5646">
      <c r="B5646" t="n">
        <v>34408359</v>
      </c>
      <c r="C5646" s="2" t="n">
        <v>43895</v>
      </c>
      <c r="D5646" t="inlineStr">
        <is>
          <t>SPEC</t>
        </is>
      </c>
      <c r="E5646" t="inlineStr">
        <is>
          <t>IC60L SUPPORT h192 ASM</t>
        </is>
      </c>
      <c r="F5646" t="inlineStr">
        <is>
          <t>EGYPT</t>
        </is>
      </c>
      <c r="J5646" t="inlineStr">
        <is>
          <t>DUPARCQ</t>
        </is>
      </c>
      <c r="K5646" t="inlineStr">
        <is>
          <t>METAL</t>
        </is>
      </c>
      <c r="L5646">
        <f>_xlfn.XLOOKUP(Tableau1[[#This Row],[TYPE DE PIECE]],Tableau4[MATIERE],Tableau4[SHORT TYPE],"",0,1)</f>
        <v/>
      </c>
      <c r="N5646">
        <f>IF(ISERR(FIND("DECOUPE",Tableau1[[#This Row],[DESIGNATION]])),"","NEED REF")</f>
        <v/>
      </c>
    </row>
    <row r="5647">
      <c r="B5647" t="n">
        <v>34408358</v>
      </c>
      <c r="C5647" s="2" t="n">
        <v>43895</v>
      </c>
      <c r="D5647" t="inlineStr">
        <is>
          <t>SPEC</t>
        </is>
      </c>
      <c r="E5647" t="inlineStr">
        <is>
          <t>IC60L SUPPORT h192</t>
        </is>
      </c>
      <c r="F5647" t="inlineStr">
        <is>
          <t>EGYPT</t>
        </is>
      </c>
      <c r="J5647" t="inlineStr">
        <is>
          <t>DUPARCQ</t>
        </is>
      </c>
      <c r="K5647" t="inlineStr">
        <is>
          <t>METAL</t>
        </is>
      </c>
      <c r="L5647">
        <f>_xlfn.XLOOKUP(Tableau1[[#This Row],[TYPE DE PIECE]],Tableau4[MATIERE],Tableau4[SHORT TYPE],"",0,1)</f>
        <v/>
      </c>
      <c r="N5647">
        <f>IF(ISERR(FIND("DECOUPE",Tableau1[[#This Row],[DESIGNATION]])),"","NEED REF")</f>
        <v/>
      </c>
    </row>
    <row r="5648">
      <c r="B5648" t="n">
        <v>34408357</v>
      </c>
      <c r="C5648" s="2" t="n">
        <v>43894</v>
      </c>
      <c r="D5648" t="inlineStr">
        <is>
          <t>SPEC</t>
        </is>
      </c>
      <c r="E5648" t="inlineStr">
        <is>
          <t>UPS PHASE 3 INCOMING CX</t>
        </is>
      </c>
      <c r="F5648" t="inlineStr">
        <is>
          <t>EGYPT</t>
        </is>
      </c>
      <c r="J5648" t="inlineStr">
        <is>
          <t>DUPARCQ</t>
        </is>
      </c>
      <c r="K5648" t="inlineStr">
        <is>
          <t>METAL</t>
        </is>
      </c>
      <c r="L5648">
        <f>_xlfn.XLOOKUP(Tableau1[[#This Row],[TYPE DE PIECE]],Tableau4[MATIERE],Tableau4[SHORT TYPE],"",0,1)</f>
        <v/>
      </c>
      <c r="N5648">
        <f>IF(ISERR(FIND("DECOUPE",Tableau1[[#This Row],[DESIGNATION]])),"","NEED REF")</f>
        <v/>
      </c>
    </row>
    <row r="5649">
      <c r="B5649" t="n">
        <v>34408356</v>
      </c>
      <c r="C5649" s="2" t="n">
        <v>43894</v>
      </c>
      <c r="D5649" t="inlineStr">
        <is>
          <t>SPEC</t>
        </is>
      </c>
      <c r="E5649" t="inlineStr">
        <is>
          <t>UPS PHASE 2 INCOMING CX</t>
        </is>
      </c>
      <c r="F5649" t="inlineStr">
        <is>
          <t>EGYPT</t>
        </is>
      </c>
      <c r="J5649" t="inlineStr">
        <is>
          <t>DUPARCQ</t>
        </is>
      </c>
      <c r="K5649" t="inlineStr">
        <is>
          <t>METAL</t>
        </is>
      </c>
      <c r="L5649">
        <f>_xlfn.XLOOKUP(Tableau1[[#This Row],[TYPE DE PIECE]],Tableau4[MATIERE],Tableau4[SHORT TYPE],"",0,1)</f>
        <v/>
      </c>
      <c r="N5649">
        <f>IF(ISERR(FIND("DECOUPE",Tableau1[[#This Row],[DESIGNATION]])),"","NEED REF")</f>
        <v/>
      </c>
    </row>
    <row r="5650">
      <c r="B5650" t="n">
        <v>34408355</v>
      </c>
      <c r="C5650" s="2" t="n">
        <v>43894</v>
      </c>
      <c r="D5650" t="inlineStr">
        <is>
          <t>SPEC</t>
        </is>
      </c>
      <c r="E5650" t="inlineStr">
        <is>
          <t>UPS PHASE 1 INCOMING CX</t>
        </is>
      </c>
      <c r="F5650" t="inlineStr">
        <is>
          <t>EGYPT</t>
        </is>
      </c>
      <c r="J5650" t="inlineStr">
        <is>
          <t>DUPARCQ</t>
        </is>
      </c>
      <c r="K5650" t="inlineStr">
        <is>
          <t>METAL</t>
        </is>
      </c>
      <c r="L5650">
        <f>_xlfn.XLOOKUP(Tableau1[[#This Row],[TYPE DE PIECE]],Tableau4[MATIERE],Tableau4[SHORT TYPE],"",0,1)</f>
        <v/>
      </c>
      <c r="N5650">
        <f>IF(ISERR(FIND("DECOUPE",Tableau1[[#This Row],[DESIGNATION]])),"","NEED REF")</f>
        <v/>
      </c>
    </row>
    <row r="5651">
      <c r="B5651" t="n">
        <v>34408354</v>
      </c>
      <c r="C5651" s="2" t="n">
        <v>43894</v>
      </c>
      <c r="D5651" t="inlineStr">
        <is>
          <t>SPEC</t>
        </is>
      </c>
      <c r="E5651" t="inlineStr">
        <is>
          <t>UPS NEUTRAL INCOMING CX</t>
        </is>
      </c>
      <c r="F5651" t="inlineStr">
        <is>
          <t>EGYPT</t>
        </is>
      </c>
      <c r="J5651" t="inlineStr">
        <is>
          <t>DUPARCQ</t>
        </is>
      </c>
      <c r="K5651" t="inlineStr">
        <is>
          <t>METAL</t>
        </is>
      </c>
      <c r="L5651">
        <f>_xlfn.XLOOKUP(Tableau1[[#This Row],[TYPE DE PIECE]],Tableau4[MATIERE],Tableau4[SHORT TYPE],"",0,1)</f>
        <v/>
      </c>
      <c r="N5651">
        <f>IF(ISERR(FIND("DECOUPE",Tableau1[[#This Row],[DESIGNATION]])),"","NEED REF")</f>
        <v/>
      </c>
    </row>
    <row r="5652">
      <c r="B5652" t="n">
        <v>34408353</v>
      </c>
      <c r="C5652" s="2" t="n">
        <v>43894</v>
      </c>
      <c r="D5652" t="inlineStr">
        <is>
          <t>SPEC</t>
        </is>
      </c>
      <c r="E5652" t="inlineStr">
        <is>
          <t>SWITCH LINK CONNEXION 5X25</t>
        </is>
      </c>
      <c r="F5652" t="inlineStr">
        <is>
          <t>EGYPT</t>
        </is>
      </c>
      <c r="J5652" t="inlineStr">
        <is>
          <t>DUPARCQ</t>
        </is>
      </c>
      <c r="K5652" t="inlineStr">
        <is>
          <t>METAL</t>
        </is>
      </c>
      <c r="L5652">
        <f>_xlfn.XLOOKUP(Tableau1[[#This Row],[TYPE DE PIECE]],Tableau4[MATIERE],Tableau4[SHORT TYPE],"",0,1)</f>
        <v/>
      </c>
      <c r="N5652">
        <f>IF(ISERR(FIND("DECOUPE",Tableau1[[#This Row],[DESIGNATION]])),"","NEED REF")</f>
        <v/>
      </c>
    </row>
    <row r="5653">
      <c r="B5653" t="n">
        <v>34408352</v>
      </c>
      <c r="C5653" s="2" t="n">
        <v>43894</v>
      </c>
      <c r="D5653" t="inlineStr">
        <is>
          <t>SPEC</t>
        </is>
      </c>
      <c r="E5653" t="inlineStr">
        <is>
          <t>INS400 SUPPORT h160 ASM</t>
        </is>
      </c>
      <c r="F5653" t="inlineStr">
        <is>
          <t>EGYPT</t>
        </is>
      </c>
      <c r="J5653" t="inlineStr">
        <is>
          <t>DUPARCQ</t>
        </is>
      </c>
      <c r="K5653" t="inlineStr">
        <is>
          <t>METAL</t>
        </is>
      </c>
      <c r="L5653">
        <f>_xlfn.XLOOKUP(Tableau1[[#This Row],[TYPE DE PIECE]],Tableau4[MATIERE],Tableau4[SHORT TYPE],"",0,1)</f>
        <v/>
      </c>
      <c r="N5653">
        <f>IF(ISERR(FIND("DECOUPE",Tableau1[[#This Row],[DESIGNATION]])),"","NEED REF")</f>
        <v/>
      </c>
    </row>
    <row r="5654">
      <c r="B5654" t="n">
        <v>34408351</v>
      </c>
      <c r="C5654" s="2" t="n">
        <v>43894</v>
      </c>
      <c r="D5654" t="inlineStr">
        <is>
          <t>SPEC</t>
        </is>
      </c>
      <c r="E5654" t="inlineStr">
        <is>
          <t>INS400 SUPPORT h160</t>
        </is>
      </c>
      <c r="F5654" t="inlineStr">
        <is>
          <t>EGYPT</t>
        </is>
      </c>
      <c r="J5654" t="inlineStr">
        <is>
          <t>DUPARCQ</t>
        </is>
      </c>
      <c r="K5654" t="inlineStr">
        <is>
          <t>METAL</t>
        </is>
      </c>
      <c r="L5654">
        <f>_xlfn.XLOOKUP(Tableau1[[#This Row],[TYPE DE PIECE]],Tableau4[MATIERE],Tableau4[SHORT TYPE],"",0,1)</f>
        <v/>
      </c>
      <c r="N5654">
        <f>IF(ISERR(FIND("DECOUPE",Tableau1[[#This Row],[DESIGNATION]])),"","NEED REF")</f>
        <v/>
      </c>
    </row>
    <row r="5655">
      <c r="B5655" t="n">
        <v>34408350</v>
      </c>
      <c r="C5655" s="2" t="n">
        <v>43894</v>
      </c>
      <c r="D5655" t="inlineStr">
        <is>
          <t>SPEC</t>
        </is>
      </c>
      <c r="E5655" t="inlineStr">
        <is>
          <t>SUPPORT JDB R2 ASI h160</t>
        </is>
      </c>
      <c r="F5655" t="inlineStr">
        <is>
          <t>EGYPT</t>
        </is>
      </c>
      <c r="J5655" t="inlineStr">
        <is>
          <t>DUPARCQ</t>
        </is>
      </c>
      <c r="K5655" t="inlineStr">
        <is>
          <t>METAL</t>
        </is>
      </c>
      <c r="L5655">
        <f>_xlfn.XLOOKUP(Tableau1[[#This Row],[TYPE DE PIECE]],Tableau4[MATIERE],Tableau4[SHORT TYPE],"",0,1)</f>
        <v/>
      </c>
      <c r="N5655">
        <f>IF(ISERR(FIND("DECOUPE",Tableau1[[#This Row],[DESIGNATION]])),"","NEED REF")</f>
        <v/>
      </c>
    </row>
    <row r="5656">
      <c r="B5656" t="n">
        <v>34408349</v>
      </c>
      <c r="C5656" s="2" t="n">
        <v>43893</v>
      </c>
      <c r="D5656" t="inlineStr">
        <is>
          <t>SPEC</t>
        </is>
      </c>
      <c r="E5656" t="inlineStr">
        <is>
          <t>Support cuivre power bank</t>
        </is>
      </c>
      <c r="F5656" t="inlineStr">
        <is>
          <t>THM G600</t>
        </is>
      </c>
      <c r="J5656" t="inlineStr">
        <is>
          <t>MASCELLINO</t>
        </is>
      </c>
      <c r="K5656" t="inlineStr">
        <is>
          <t>METAL</t>
        </is>
      </c>
      <c r="L5656">
        <f>_xlfn.XLOOKUP(Tableau1[[#This Row],[TYPE DE PIECE]],Tableau4[MATIERE],Tableau4[SHORT TYPE],"",0,1)</f>
        <v/>
      </c>
      <c r="N5656">
        <f>IF(ISERR(FIND("DECOUPE",Tableau1[[#This Row],[DESIGNATION]])),"","NEED REF")</f>
        <v/>
      </c>
    </row>
    <row r="5657">
      <c r="B5657" t="n">
        <v>34408348</v>
      </c>
      <c r="C5657" s="2" t="n">
        <v>43892</v>
      </c>
      <c r="D5657" t="inlineStr">
        <is>
          <t>SPEC</t>
        </is>
      </c>
      <c r="E5657" t="inlineStr">
        <is>
          <t>SMT COUPE LINERGY 3barres 2m = 6x 998mm</t>
        </is>
      </c>
      <c r="J5657" t="inlineStr">
        <is>
          <t>MATRION</t>
        </is>
      </c>
      <c r="L5657">
        <f>_xlfn.XLOOKUP(Tableau1[[#This Row],[TYPE DE PIECE]],Tableau4[MATIERE],Tableau4[SHORT TYPE],"",0,1)</f>
        <v/>
      </c>
      <c r="N5657">
        <f>IF(ISERR(FIND("DECOUPE",Tableau1[[#This Row],[DESIGNATION]])),"","NEED REF")</f>
        <v/>
      </c>
    </row>
    <row r="5658">
      <c r="B5658" t="n">
        <v>34408347</v>
      </c>
      <c r="C5658" s="2" t="n">
        <v>43892</v>
      </c>
      <c r="D5658" t="inlineStr">
        <is>
          <t>SPEC</t>
        </is>
      </c>
      <c r="E5658" t="inlineStr">
        <is>
          <t>SMT COUPE LINERGY 1barre 2m = 2x 565mm + 1x 715mm</t>
        </is>
      </c>
      <c r="J5658" t="inlineStr">
        <is>
          <t>MATRION</t>
        </is>
      </c>
      <c r="L5658">
        <f>_xlfn.XLOOKUP(Tableau1[[#This Row],[TYPE DE PIECE]],Tableau4[MATIERE],Tableau4[SHORT TYPE],"",0,1)</f>
        <v/>
      </c>
      <c r="N5658">
        <f>IF(ISERR(FIND("DECOUPE",Tableau1[[#This Row],[DESIGNATION]])),"","NEED REF")</f>
        <v/>
      </c>
    </row>
    <row r="5659">
      <c r="B5659" t="n">
        <v>34408346</v>
      </c>
      <c r="C5659" s="2" t="n">
        <v>43892</v>
      </c>
      <c r="D5659" t="inlineStr">
        <is>
          <t>SPEC</t>
        </is>
      </c>
      <c r="E5659" t="inlineStr">
        <is>
          <t>SMT COUPE LINERGY 1barre x 2m = 1x 565mm + 2x 715mm</t>
        </is>
      </c>
      <c r="J5659" t="inlineStr">
        <is>
          <t>MATRION</t>
        </is>
      </c>
      <c r="L5659">
        <f>_xlfn.XLOOKUP(Tableau1[[#This Row],[TYPE DE PIECE]],Tableau4[MATIERE],Tableau4[SHORT TYPE],"",0,1)</f>
        <v/>
      </c>
      <c r="N5659">
        <f>IF(ISERR(FIND("DECOUPE",Tableau1[[#This Row],[DESIGNATION]])),"","NEED REF")</f>
        <v/>
      </c>
    </row>
    <row r="5660">
      <c r="B5660" t="n">
        <v>34408345</v>
      </c>
      <c r="C5660" s="2" t="n">
        <v>43892</v>
      </c>
      <c r="D5660" t="inlineStr">
        <is>
          <t>SPEC</t>
        </is>
      </c>
      <c r="E5660" t="inlineStr">
        <is>
          <t>PLASTRON TRANSPARENT BAS DC CABINET</t>
        </is>
      </c>
      <c r="F5660" t="inlineStr">
        <is>
          <t>Supernap Italy - LI ION TOP ENTRY PULL CABINET 4000A WITH FUS</t>
        </is>
      </c>
      <c r="G5660" t="inlineStr">
        <is>
          <t>GVX</t>
        </is>
      </c>
      <c r="H5660" t="inlineStr">
        <is>
          <t>AUX</t>
        </is>
      </c>
      <c r="J5660" t="inlineStr">
        <is>
          <t>MASCELLINO</t>
        </is>
      </c>
      <c r="K5660" t="inlineStr">
        <is>
          <t>PLASTIQUE</t>
        </is>
      </c>
      <c r="L5660">
        <f>_xlfn.XLOOKUP(Tableau1[[#This Row],[TYPE DE PIECE]],Tableau4[MATIERE],Tableau4[SHORT TYPE],"",0,1)</f>
        <v/>
      </c>
      <c r="N5660">
        <f>IF(ISERR(FIND("DECOUPE",Tableau1[[#This Row],[DESIGNATION]])),"","NEED REF")</f>
        <v/>
      </c>
    </row>
    <row r="5661">
      <c r="B5661" t="n">
        <v>34408344</v>
      </c>
      <c r="C5661" s="2" t="n">
        <v>43892</v>
      </c>
      <c r="D5661" t="inlineStr">
        <is>
          <t>SPEC</t>
        </is>
      </c>
      <c r="E5661" t="inlineStr">
        <is>
          <t>PLASTRON TRANSPARENT MILIEU DC CABINET</t>
        </is>
      </c>
      <c r="F5661" t="inlineStr">
        <is>
          <t>Supernap Italy - LI ION TOP ENTRY PULL CABINET 4000A WITH FUS</t>
        </is>
      </c>
      <c r="G5661" t="inlineStr">
        <is>
          <t>GVX</t>
        </is>
      </c>
      <c r="H5661" t="inlineStr">
        <is>
          <t>AUX</t>
        </is>
      </c>
      <c r="J5661" t="inlineStr">
        <is>
          <t>MASCELLINO</t>
        </is>
      </c>
      <c r="K5661" t="inlineStr">
        <is>
          <t>PLASTIQUE</t>
        </is>
      </c>
      <c r="L5661">
        <f>_xlfn.XLOOKUP(Tableau1[[#This Row],[TYPE DE PIECE]],Tableau4[MATIERE],Tableau4[SHORT TYPE],"",0,1)</f>
        <v/>
      </c>
      <c r="N5661">
        <f>IF(ISERR(FIND("DECOUPE",Tableau1[[#This Row],[DESIGNATION]])),"","NEED REF")</f>
        <v/>
      </c>
    </row>
    <row r="5662">
      <c r="B5662" t="n">
        <v>34408343</v>
      </c>
      <c r="C5662" s="2" t="n">
        <v>43892</v>
      </c>
      <c r="D5662" t="inlineStr">
        <is>
          <t>SPEC</t>
        </is>
      </c>
      <c r="E5662" t="inlineStr">
        <is>
          <t>PLASTRON TRANSPARENT HAUT DC CABINET</t>
        </is>
      </c>
      <c r="F5662" t="inlineStr">
        <is>
          <t>Supernap Italy - LI ION TOP ENTRY PULL CABINET 4000A WITH FUS</t>
        </is>
      </c>
      <c r="G5662" t="inlineStr">
        <is>
          <t>GVX</t>
        </is>
      </c>
      <c r="H5662" t="inlineStr">
        <is>
          <t>AUX</t>
        </is>
      </c>
      <c r="J5662" t="inlineStr">
        <is>
          <t>MASCELLINO</t>
        </is>
      </c>
      <c r="K5662" t="inlineStr">
        <is>
          <t>PLASTIQUE</t>
        </is>
      </c>
      <c r="L5662">
        <f>_xlfn.XLOOKUP(Tableau1[[#This Row],[TYPE DE PIECE]],Tableau4[MATIERE],Tableau4[SHORT TYPE],"",0,1)</f>
        <v/>
      </c>
      <c r="N5662">
        <f>IF(ISERR(FIND("DECOUPE",Tableau1[[#This Row],[DESIGNATION]])),"","NEED REF")</f>
        <v/>
      </c>
    </row>
    <row r="5663">
      <c r="B5663" t="n">
        <v>34408342</v>
      </c>
      <c r="C5663" s="2" t="n">
        <v>43892</v>
      </c>
      <c r="D5663" t="inlineStr">
        <is>
          <t>SPEC</t>
        </is>
      </c>
      <c r="E5663" t="inlineStr">
        <is>
          <t>SE CHASSIS HAUT STS1250A</t>
        </is>
      </c>
      <c r="F5663" t="inlineStr">
        <is>
          <t>STS1250</t>
        </is>
      </c>
      <c r="G5663" t="inlineStr">
        <is>
          <t>GVE</t>
        </is>
      </c>
      <c r="H5663" t="inlineStr">
        <is>
          <t>STS</t>
        </is>
      </c>
      <c r="J5663" t="inlineStr">
        <is>
          <t>MATRION</t>
        </is>
      </c>
      <c r="K5663" t="inlineStr">
        <is>
          <t>NOM</t>
        </is>
      </c>
      <c r="L5663">
        <f>_xlfn.XLOOKUP(Tableau1[[#This Row],[TYPE DE PIECE]],Tableau4[MATIERE],Tableau4[SHORT TYPE],"",0,1)</f>
        <v/>
      </c>
      <c r="N5663">
        <f>IF(ISERR(FIND("DECOUPE",Tableau1[[#This Row],[DESIGNATION]])),"","NEED REF")</f>
        <v/>
      </c>
    </row>
    <row r="5664">
      <c r="B5664" t="n">
        <v>34408341</v>
      </c>
      <c r="C5664" s="2" t="n">
        <v>43889</v>
      </c>
      <c r="D5664" t="inlineStr">
        <is>
          <t>SPEC</t>
        </is>
      </c>
      <c r="E5664" t="inlineStr">
        <is>
          <t>SMT SUPPORT PLASTRON</t>
        </is>
      </c>
      <c r="J5664" t="inlineStr">
        <is>
          <t>MATRION</t>
        </is>
      </c>
      <c r="K5664" t="inlineStr">
        <is>
          <t>METAL</t>
        </is>
      </c>
      <c r="L5664">
        <f>_xlfn.XLOOKUP(Tableau1[[#This Row],[TYPE DE PIECE]],Tableau4[MATIERE],Tableau4[SHORT TYPE],"",0,1)</f>
        <v/>
      </c>
      <c r="N5664">
        <f>IF(ISERR(FIND("DECOUPE",Tableau1[[#This Row],[DESIGNATION]])),"","NEED REF")</f>
        <v/>
      </c>
    </row>
    <row r="5665">
      <c r="B5665" t="n">
        <v>34408340</v>
      </c>
      <c r="C5665" s="2" t="n">
        <v>43889</v>
      </c>
      <c r="D5665" t="inlineStr">
        <is>
          <t>SPEC</t>
        </is>
      </c>
      <c r="E5665" t="inlineStr">
        <is>
          <t>SMT SUPPORT ARRIERE MODULE DROE</t>
        </is>
      </c>
      <c r="F5665" t="inlineStr">
        <is>
          <t>STS1250</t>
        </is>
      </c>
      <c r="G5665" t="inlineStr">
        <is>
          <t>GVE</t>
        </is>
      </c>
      <c r="H5665" t="inlineStr">
        <is>
          <t>STS</t>
        </is>
      </c>
      <c r="J5665" t="inlineStr">
        <is>
          <t>MATRION</t>
        </is>
      </c>
      <c r="K5665" t="inlineStr">
        <is>
          <t>METAL</t>
        </is>
      </c>
      <c r="L5665">
        <f>_xlfn.XLOOKUP(Tableau1[[#This Row],[TYPE DE PIECE]],Tableau4[MATIERE],Tableau4[SHORT TYPE],"",0,1)</f>
        <v/>
      </c>
      <c r="N5665">
        <f>IF(ISERR(FIND("DECOUPE",Tableau1[[#This Row],[DESIGNATION]])),"","NEED REF")</f>
        <v/>
      </c>
    </row>
    <row r="5666">
      <c r="B5666" t="n">
        <v>34408339</v>
      </c>
      <c r="C5666" s="2" t="n">
        <v>43889</v>
      </c>
      <c r="D5666" t="inlineStr">
        <is>
          <t>SPEC</t>
        </is>
      </c>
      <c r="E5666" t="inlineStr">
        <is>
          <t>CUIVRE PE DC CABINET</t>
        </is>
      </c>
      <c r="F5666" t="inlineStr">
        <is>
          <t>Supernap Italy - LI ION TOP ENTRY PULL CABINET 4000A WITH FUS</t>
        </is>
      </c>
      <c r="G5666" t="inlineStr">
        <is>
          <t>GVX</t>
        </is>
      </c>
      <c r="H5666" t="inlineStr">
        <is>
          <t>AUX</t>
        </is>
      </c>
      <c r="J5666" t="inlineStr">
        <is>
          <t>MASCELLINO</t>
        </is>
      </c>
      <c r="K5666" t="inlineStr">
        <is>
          <t>CUIVRE</t>
        </is>
      </c>
      <c r="L5666">
        <f>_xlfn.XLOOKUP(Tableau1[[#This Row],[TYPE DE PIECE]],Tableau4[MATIERE],Tableau4[SHORT TYPE],"",0,1)</f>
        <v/>
      </c>
      <c r="N5666">
        <f>IF(ISERR(FIND("DECOUPE",Tableau1[[#This Row],[DESIGNATION]])),"","NEED REF")</f>
        <v/>
      </c>
    </row>
    <row r="5667">
      <c r="B5667" t="n">
        <v>34408338</v>
      </c>
      <c r="C5667" s="2" t="n">
        <v>43889</v>
      </c>
      <c r="D5667" t="inlineStr">
        <is>
          <t>SPEC</t>
        </is>
      </c>
      <c r="E5667" t="inlineStr">
        <is>
          <t>SMT SUPPORT DJ</t>
        </is>
      </c>
      <c r="J5667" t="inlineStr">
        <is>
          <t>MATRION</t>
        </is>
      </c>
      <c r="K5667" t="inlineStr">
        <is>
          <t>METAL</t>
        </is>
      </c>
      <c r="L5667">
        <f>_xlfn.XLOOKUP(Tableau1[[#This Row],[TYPE DE PIECE]],Tableau4[MATIERE],Tableau4[SHORT TYPE],"",0,1)</f>
        <v/>
      </c>
      <c r="N5667">
        <f>IF(ISERR(FIND("DECOUPE",Tableau1[[#This Row],[DESIGNATION]])),"","NEED REF")</f>
        <v/>
      </c>
    </row>
    <row r="5668">
      <c r="B5668" t="n">
        <v>34408337</v>
      </c>
      <c r="C5668" s="2" t="n">
        <v>43888</v>
      </c>
      <c r="D5668" t="inlineStr">
        <is>
          <t>SPEC</t>
        </is>
      </c>
      <c r="E5668" t="inlineStr">
        <is>
          <t>SMT TOIT STS 1250</t>
        </is>
      </c>
      <c r="F5668" t="inlineStr">
        <is>
          <t>STS1250</t>
        </is>
      </c>
      <c r="G5668" t="inlineStr">
        <is>
          <t>GVE</t>
        </is>
      </c>
      <c r="H5668" t="inlineStr">
        <is>
          <t>STS</t>
        </is>
      </c>
      <c r="J5668" t="inlineStr">
        <is>
          <t>MATRION</t>
        </is>
      </c>
      <c r="K5668" t="inlineStr">
        <is>
          <t>METAL</t>
        </is>
      </c>
      <c r="L5668">
        <f>_xlfn.XLOOKUP(Tableau1[[#This Row],[TYPE DE PIECE]],Tableau4[MATIERE],Tableau4[SHORT TYPE],"",0,1)</f>
        <v/>
      </c>
      <c r="N5668">
        <f>IF(ISERR(FIND("DECOUPE",Tableau1[[#This Row],[DESIGNATION]])),"","NEED REF")</f>
        <v/>
      </c>
    </row>
    <row r="5669">
      <c r="B5669" t="n">
        <v>34408336</v>
      </c>
      <c r="C5669" s="2" t="n">
        <v>43888</v>
      </c>
      <c r="D5669" t="inlineStr">
        <is>
          <t>SPEC</t>
        </is>
      </c>
      <c r="E5669" t="inlineStr">
        <is>
          <t>SMT TUNNEL EXTRACTION D'AIR CS</t>
        </is>
      </c>
      <c r="F5669" t="inlineStr">
        <is>
          <t>STS1250</t>
        </is>
      </c>
      <c r="G5669" t="inlineStr">
        <is>
          <t>GVE</t>
        </is>
      </c>
      <c r="H5669" t="inlineStr">
        <is>
          <t>STS</t>
        </is>
      </c>
      <c r="J5669" t="inlineStr">
        <is>
          <t>MATRION</t>
        </is>
      </c>
      <c r="K5669" t="inlineStr">
        <is>
          <t>METAL</t>
        </is>
      </c>
      <c r="L5669">
        <f>_xlfn.XLOOKUP(Tableau1[[#This Row],[TYPE DE PIECE]],Tableau4[MATIERE],Tableau4[SHORT TYPE],"",0,1)</f>
        <v/>
      </c>
      <c r="N5669">
        <f>IF(ISERR(FIND("DECOUPE",Tableau1[[#This Row],[DESIGNATION]])),"","NEED REF")</f>
        <v/>
      </c>
    </row>
    <row r="5670">
      <c r="B5670" t="n">
        <v>34408335</v>
      </c>
      <c r="C5670" s="2" t="n">
        <v>43888</v>
      </c>
      <c r="D5670" t="inlineStr">
        <is>
          <t>SPEC</t>
        </is>
      </c>
      <c r="E5670" t="inlineStr">
        <is>
          <t>SMT TUNNEL EXTRACTION D'AIR CS</t>
        </is>
      </c>
      <c r="F5670" t="inlineStr">
        <is>
          <t>STS1250</t>
        </is>
      </c>
      <c r="G5670" t="inlineStr">
        <is>
          <t>GVE</t>
        </is>
      </c>
      <c r="H5670" t="inlineStr">
        <is>
          <t>STS</t>
        </is>
      </c>
      <c r="J5670" t="inlineStr">
        <is>
          <t>MATRION</t>
        </is>
      </c>
      <c r="K5670" t="inlineStr">
        <is>
          <t>METAL</t>
        </is>
      </c>
      <c r="L5670">
        <f>_xlfn.XLOOKUP(Tableau1[[#This Row],[TYPE DE PIECE]],Tableau4[MATIERE],Tableau4[SHORT TYPE],"",0,1)</f>
        <v/>
      </c>
      <c r="N5670">
        <f>IF(ISERR(FIND("DECOUPE",Tableau1[[#This Row],[DESIGNATION]])),"","NEED REF")</f>
        <v/>
      </c>
    </row>
    <row r="5671">
      <c r="B5671" t="n">
        <v>34408334</v>
      </c>
      <c r="C5671" s="2" t="n">
        <v>43887</v>
      </c>
      <c r="D5671" t="inlineStr">
        <is>
          <t>SPEC</t>
        </is>
      </c>
      <c r="E5671" t="inlineStr">
        <is>
          <t>MAKROLON 600x650 COFFRET SAMSUNG</t>
        </is>
      </c>
      <c r="F5671" t="inlineStr">
        <is>
          <t>Supernap Italy - LI ION TOP ENTRY PULL CABINET 4000A WITH FUS</t>
        </is>
      </c>
      <c r="G5671" t="inlineStr">
        <is>
          <t>GVX</t>
        </is>
      </c>
      <c r="H5671" t="inlineStr">
        <is>
          <t>AUX</t>
        </is>
      </c>
      <c r="J5671" t="inlineStr">
        <is>
          <t>MASCELLINO</t>
        </is>
      </c>
      <c r="K5671" t="inlineStr">
        <is>
          <t>MAKROLON</t>
        </is>
      </c>
      <c r="L5671">
        <f>_xlfn.XLOOKUP(Tableau1[[#This Row],[TYPE DE PIECE]],Tableau4[MATIERE],Tableau4[SHORT TYPE],"",0,1)</f>
        <v/>
      </c>
      <c r="N5671">
        <f>IF(ISERR(FIND("DECOUPE",Tableau1[[#This Row],[DESIGNATION]])),"","NEED REF")</f>
        <v/>
      </c>
    </row>
    <row r="5672">
      <c r="B5672" t="n">
        <v>34408333</v>
      </c>
      <c r="C5672" s="2" t="n">
        <v>43887</v>
      </c>
      <c r="D5672" t="inlineStr">
        <is>
          <t>SPEC</t>
        </is>
      </c>
      <c r="E5672" t="inlineStr">
        <is>
          <t>SMT PLASTRON  INTERNE</t>
        </is>
      </c>
      <c r="J5672" t="inlineStr">
        <is>
          <t>MATRION</t>
        </is>
      </c>
      <c r="K5672" t="inlineStr">
        <is>
          <t>METAL</t>
        </is>
      </c>
      <c r="L5672">
        <f>_xlfn.XLOOKUP(Tableau1[[#This Row],[TYPE DE PIECE]],Tableau4[MATIERE],Tableau4[SHORT TYPE],"",0,1)</f>
        <v/>
      </c>
      <c r="N5672">
        <f>IF(ISERR(FIND("DECOUPE",Tableau1[[#This Row],[DESIGNATION]])),"","NEED REF")</f>
        <v/>
      </c>
    </row>
    <row r="5673">
      <c r="B5673" t="n">
        <v>34408332</v>
      </c>
      <c r="C5673" s="2" t="n">
        <v>43887</v>
      </c>
      <c r="D5673" t="inlineStr">
        <is>
          <t>SPEC</t>
        </is>
      </c>
      <c r="E5673" t="inlineStr">
        <is>
          <t>RESERVE</t>
        </is>
      </c>
      <c r="J5673" t="inlineStr">
        <is>
          <t>MATRION</t>
        </is>
      </c>
      <c r="K5673" t="inlineStr">
        <is>
          <t>METAL</t>
        </is>
      </c>
      <c r="L5673">
        <f>_xlfn.XLOOKUP(Tableau1[[#This Row],[TYPE DE PIECE]],Tableau4[MATIERE],Tableau4[SHORT TYPE],"",0,1)</f>
        <v/>
      </c>
      <c r="N5673">
        <f>IF(ISERR(FIND("DECOUPE",Tableau1[[#This Row],[DESIGNATION]])),"","NEED REF")</f>
        <v/>
      </c>
    </row>
    <row r="5674">
      <c r="B5674" t="n">
        <v>34408331</v>
      </c>
      <c r="C5674" s="2" t="n">
        <v>43887</v>
      </c>
      <c r="D5674" t="inlineStr">
        <is>
          <t>SPEC</t>
        </is>
      </c>
      <c r="E5674" t="inlineStr">
        <is>
          <t>SMT SUPPORT NAPPE ELEC VERS DROE</t>
        </is>
      </c>
      <c r="F5674" t="inlineStr">
        <is>
          <t>STS1250</t>
        </is>
      </c>
      <c r="G5674" t="inlineStr">
        <is>
          <t>GVE</t>
        </is>
      </c>
      <c r="H5674" t="inlineStr">
        <is>
          <t>STS</t>
        </is>
      </c>
      <c r="J5674" t="inlineStr">
        <is>
          <t>MATRION</t>
        </is>
      </c>
      <c r="K5674" t="inlineStr">
        <is>
          <t>CUIVRE</t>
        </is>
      </c>
      <c r="L5674">
        <f>_xlfn.XLOOKUP(Tableau1[[#This Row],[TYPE DE PIECE]],Tableau4[MATIERE],Tableau4[SHORT TYPE],"",0,1)</f>
        <v/>
      </c>
      <c r="N5674">
        <f>IF(ISERR(FIND("DECOUPE",Tableau1[[#This Row],[DESIGNATION]])),"","NEED REF")</f>
        <v/>
      </c>
    </row>
    <row r="5675">
      <c r="B5675" t="n">
        <v>34408330</v>
      </c>
      <c r="C5675" s="2" t="n">
        <v>43887</v>
      </c>
      <c r="D5675" t="inlineStr">
        <is>
          <t>SPEC</t>
        </is>
      </c>
      <c r="E5675" t="inlineStr">
        <is>
          <t>TRAVERSE FIL FIN DC CABINET</t>
        </is>
      </c>
      <c r="F5675" t="inlineStr">
        <is>
          <t>Supernap Italy - LI ION TOP ENTRY PULL CABINET 4000A WITH FUS</t>
        </is>
      </c>
      <c r="G5675" t="inlineStr">
        <is>
          <t>GVX</t>
        </is>
      </c>
      <c r="H5675" t="inlineStr">
        <is>
          <t>AUX</t>
        </is>
      </c>
      <c r="J5675" t="inlineStr">
        <is>
          <t>MASCELLINO</t>
        </is>
      </c>
      <c r="K5675" t="inlineStr">
        <is>
          <t>METAL</t>
        </is>
      </c>
      <c r="L5675">
        <f>_xlfn.XLOOKUP(Tableau1[[#This Row],[TYPE DE PIECE]],Tableau4[MATIERE],Tableau4[SHORT TYPE],"",0,1)</f>
        <v/>
      </c>
      <c r="N5675">
        <f>IF(ISERR(FIND("DECOUPE",Tableau1[[#This Row],[DESIGNATION]])),"","NEED REF")</f>
        <v/>
      </c>
    </row>
    <row r="5676">
      <c r="B5676" t="n">
        <v>34408329</v>
      </c>
      <c r="C5676" s="2" t="n">
        <v>43886</v>
      </c>
      <c r="D5676" t="inlineStr">
        <is>
          <t>SPEC</t>
        </is>
      </c>
      <c r="E5676" t="inlineStr">
        <is>
          <t>EQUERRE MAKROLON</t>
        </is>
      </c>
      <c r="F5676" t="inlineStr">
        <is>
          <t>Supernap Italy - LI ION TOP ENTRY PULL CABINET 4000A WITH FUS</t>
        </is>
      </c>
      <c r="G5676" t="inlineStr">
        <is>
          <t>GVX</t>
        </is>
      </c>
      <c r="H5676" t="inlineStr">
        <is>
          <t>AUX</t>
        </is>
      </c>
      <c r="J5676" t="inlineStr">
        <is>
          <t>MASCELLINO</t>
        </is>
      </c>
      <c r="K5676" t="inlineStr">
        <is>
          <t>METAL</t>
        </is>
      </c>
      <c r="L5676">
        <f>_xlfn.XLOOKUP(Tableau1[[#This Row],[TYPE DE PIECE]],Tableau4[MATIERE],Tableau4[SHORT TYPE],"",0,1)</f>
        <v/>
      </c>
      <c r="N5676">
        <f>IF(ISERR(FIND("DECOUPE",Tableau1[[#This Row],[DESIGNATION]])),"","NEED REF")</f>
        <v/>
      </c>
    </row>
    <row r="5677">
      <c r="B5677" t="n">
        <v>34408328</v>
      </c>
      <c r="C5677" s="2" t="n">
        <v>43886</v>
      </c>
      <c r="D5677" t="inlineStr">
        <is>
          <t>SPEC</t>
        </is>
      </c>
      <c r="E5677" t="inlineStr">
        <is>
          <t>SMT ASSEMBLAGE MODULE ELEC</t>
        </is>
      </c>
      <c r="F5677" t="inlineStr">
        <is>
          <t>STS1250</t>
        </is>
      </c>
      <c r="G5677" t="inlineStr">
        <is>
          <t>GVE</t>
        </is>
      </c>
      <c r="H5677" t="inlineStr">
        <is>
          <t>STS</t>
        </is>
      </c>
      <c r="J5677" t="inlineStr">
        <is>
          <t>PILLON</t>
        </is>
      </c>
      <c r="K5677" t="inlineStr">
        <is>
          <t>METAL</t>
        </is>
      </c>
      <c r="L5677">
        <f>_xlfn.XLOOKUP(Tableau1[[#This Row],[TYPE DE PIECE]],Tableau4[MATIERE],Tableau4[SHORT TYPE],"",0,1)</f>
        <v/>
      </c>
      <c r="N5677">
        <f>IF(ISERR(FIND("DECOUPE",Tableau1[[#This Row],[DESIGNATION]])),"","NEED REF")</f>
        <v/>
      </c>
    </row>
    <row r="5678">
      <c r="B5678" t="n">
        <v>34408327</v>
      </c>
      <c r="C5678" s="2" t="n">
        <v>43886</v>
      </c>
      <c r="D5678" t="inlineStr">
        <is>
          <t>SPEC</t>
        </is>
      </c>
      <c r="E5678" t="inlineStr">
        <is>
          <t>SMT PLATINE SUPPORT CARTES MODULE ELEC</t>
        </is>
      </c>
      <c r="F5678" t="inlineStr">
        <is>
          <t>STS1250</t>
        </is>
      </c>
      <c r="G5678" t="inlineStr">
        <is>
          <t>GVE</t>
        </is>
      </c>
      <c r="H5678" t="inlineStr">
        <is>
          <t>STS</t>
        </is>
      </c>
      <c r="J5678" t="inlineStr">
        <is>
          <t>PILLON</t>
        </is>
      </c>
      <c r="K5678" t="inlineStr">
        <is>
          <t>METAL</t>
        </is>
      </c>
      <c r="L5678">
        <f>_xlfn.XLOOKUP(Tableau1[[#This Row],[TYPE DE PIECE]],Tableau4[MATIERE],Tableau4[SHORT TYPE],"",0,1)</f>
        <v/>
      </c>
      <c r="N5678">
        <f>IF(ISERR(FIND("DECOUPE",Tableau1[[#This Row],[DESIGNATION]])),"","NEED REF")</f>
        <v/>
      </c>
    </row>
    <row r="5679">
      <c r="B5679" t="n">
        <v>34408326</v>
      </c>
      <c r="C5679" s="2" t="n">
        <v>43886</v>
      </c>
      <c r="D5679" t="inlineStr">
        <is>
          <t>SPEC</t>
        </is>
      </c>
      <c r="E5679" t="inlineStr">
        <is>
          <t>CUIVRE RACCORDEMENT CABLES</t>
        </is>
      </c>
      <c r="F5679" t="inlineStr">
        <is>
          <t>Supernap Italy - LI ION TOP ENTRY PULL CABINET 4000A WITH FUS</t>
        </is>
      </c>
      <c r="G5679" t="inlineStr">
        <is>
          <t>GVX</t>
        </is>
      </c>
      <c r="H5679" t="inlineStr">
        <is>
          <t>AUX</t>
        </is>
      </c>
      <c r="J5679" t="inlineStr">
        <is>
          <t>MASCELLINO</t>
        </is>
      </c>
      <c r="K5679" t="inlineStr">
        <is>
          <t>CUIVRE</t>
        </is>
      </c>
      <c r="L5679">
        <f>_xlfn.XLOOKUP(Tableau1[[#This Row],[TYPE DE PIECE]],Tableau4[MATIERE],Tableau4[SHORT TYPE],"",0,1)</f>
        <v/>
      </c>
      <c r="N5679">
        <f>IF(ISERR(FIND("DECOUPE",Tableau1[[#This Row],[DESIGNATION]])),"","NEED REF")</f>
        <v/>
      </c>
    </row>
    <row r="5680">
      <c r="B5680" t="n">
        <v>34408325</v>
      </c>
      <c r="C5680" s="2" t="n">
        <v>43886</v>
      </c>
      <c r="D5680" t="inlineStr">
        <is>
          <t>SPEC</t>
        </is>
      </c>
      <c r="E5680" t="inlineStr">
        <is>
          <t>CUIVRE FUSIBLE HAUT</t>
        </is>
      </c>
      <c r="F5680" t="inlineStr">
        <is>
          <t>Supernap Italy - LI ION TOP ENTRY PULL CABINET 4000A WITH FUS</t>
        </is>
      </c>
      <c r="G5680" t="inlineStr">
        <is>
          <t>GVX</t>
        </is>
      </c>
      <c r="H5680" t="inlineStr">
        <is>
          <t>AUX</t>
        </is>
      </c>
      <c r="J5680" t="inlineStr">
        <is>
          <t>MASCELLINO</t>
        </is>
      </c>
      <c r="K5680" t="inlineStr">
        <is>
          <t>CUIVRE</t>
        </is>
      </c>
      <c r="L5680">
        <f>_xlfn.XLOOKUP(Tableau1[[#This Row],[TYPE DE PIECE]],Tableau4[MATIERE],Tableau4[SHORT TYPE],"",0,1)</f>
        <v/>
      </c>
      <c r="N5680">
        <f>IF(ISERR(FIND("DECOUPE",Tableau1[[#This Row],[DESIGNATION]])),"","NEED REF")</f>
        <v/>
      </c>
    </row>
    <row r="5681">
      <c r="B5681" t="n">
        <v>34408324</v>
      </c>
      <c r="C5681" s="2" t="n">
        <v>43886</v>
      </c>
      <c r="D5681" t="inlineStr">
        <is>
          <t>SPEC</t>
        </is>
      </c>
      <c r="E5681" t="inlineStr">
        <is>
          <t>CUIVRE FUSIBLE BAS</t>
        </is>
      </c>
      <c r="F5681" t="inlineStr">
        <is>
          <t>Supernap Italy - LI ION TOP ENTRY PULL CABINET 4000A WITH FUS</t>
        </is>
      </c>
      <c r="G5681" t="inlineStr">
        <is>
          <t>GVX</t>
        </is>
      </c>
      <c r="H5681" t="inlineStr">
        <is>
          <t>AUX</t>
        </is>
      </c>
      <c r="J5681" t="inlineStr">
        <is>
          <t>MASCELLINO</t>
        </is>
      </c>
      <c r="K5681" t="inlineStr">
        <is>
          <t>CUIVRE</t>
        </is>
      </c>
      <c r="L5681">
        <f>_xlfn.XLOOKUP(Tableau1[[#This Row],[TYPE DE PIECE]],Tableau4[MATIERE],Tableau4[SHORT TYPE],"",0,1)</f>
        <v/>
      </c>
      <c r="N5681">
        <f>IF(ISERR(FIND("DECOUPE",Tableau1[[#This Row],[DESIGNATION]])),"","NEED REF")</f>
        <v/>
      </c>
    </row>
    <row r="5682">
      <c r="B5682" t="n">
        <v>34408323</v>
      </c>
      <c r="C5682" s="2" t="n">
        <v>43886</v>
      </c>
      <c r="D5682" t="inlineStr">
        <is>
          <t>SPEC</t>
        </is>
      </c>
      <c r="E5682" t="inlineStr">
        <is>
          <t>SUPPORT CUIVRE FUSIBLE HAUT</t>
        </is>
      </c>
      <c r="F5682" t="inlineStr">
        <is>
          <t>Supernap Italy - LI ION TOP ENTRY PULL CABINET 4000A WITH FUS</t>
        </is>
      </c>
      <c r="G5682" t="inlineStr">
        <is>
          <t>GVX</t>
        </is>
      </c>
      <c r="H5682" t="inlineStr">
        <is>
          <t>AUX</t>
        </is>
      </c>
      <c r="J5682" t="inlineStr">
        <is>
          <t>MASCELLINO</t>
        </is>
      </c>
      <c r="K5682" t="inlineStr">
        <is>
          <t>METAL</t>
        </is>
      </c>
      <c r="L5682">
        <f>_xlfn.XLOOKUP(Tableau1[[#This Row],[TYPE DE PIECE]],Tableau4[MATIERE],Tableau4[SHORT TYPE],"",0,1)</f>
        <v/>
      </c>
      <c r="N5682">
        <f>IF(ISERR(FIND("DECOUPE",Tableau1[[#This Row],[DESIGNATION]])),"","NEED REF")</f>
        <v/>
      </c>
    </row>
    <row r="5683">
      <c r="B5683" t="n">
        <v>34408322</v>
      </c>
      <c r="C5683" s="2" t="n">
        <v>43886</v>
      </c>
      <c r="D5683" t="inlineStr">
        <is>
          <t>SPEC</t>
        </is>
      </c>
      <c r="E5683" t="inlineStr">
        <is>
          <t>SUPPORT CUIVRE FUSIBLE MILIEU</t>
        </is>
      </c>
      <c r="F5683" t="inlineStr">
        <is>
          <t>Supernap Italy - LI ION TOP ENTRY PULL CABINET 4000A WITH FUS</t>
        </is>
      </c>
      <c r="G5683" t="inlineStr">
        <is>
          <t>GVX</t>
        </is>
      </c>
      <c r="H5683" t="inlineStr">
        <is>
          <t>AUX</t>
        </is>
      </c>
      <c r="J5683" t="inlineStr">
        <is>
          <t>MASCELLINO</t>
        </is>
      </c>
      <c r="K5683" t="inlineStr">
        <is>
          <t>METAL</t>
        </is>
      </c>
      <c r="L5683">
        <f>_xlfn.XLOOKUP(Tableau1[[#This Row],[TYPE DE PIECE]],Tableau4[MATIERE],Tableau4[SHORT TYPE],"",0,1)</f>
        <v/>
      </c>
      <c r="N5683">
        <f>IF(ISERR(FIND("DECOUPE",Tableau1[[#This Row],[DESIGNATION]])),"","NEED REF")</f>
        <v/>
      </c>
    </row>
    <row r="5684">
      <c r="B5684" t="n">
        <v>34408321</v>
      </c>
      <c r="C5684" s="2" t="n">
        <v>43886</v>
      </c>
      <c r="D5684" t="inlineStr">
        <is>
          <t>SPEC</t>
        </is>
      </c>
      <c r="E5684" t="inlineStr">
        <is>
          <t>SUPPORT CUIVRE FUSIBLE BAS</t>
        </is>
      </c>
      <c r="F5684" t="inlineStr">
        <is>
          <t>Supernap Italy - LI ION TOP ENTRY PULL CABINET 4000A WITH FUS</t>
        </is>
      </c>
      <c r="G5684" t="inlineStr">
        <is>
          <t>GVX</t>
        </is>
      </c>
      <c r="H5684" t="inlineStr">
        <is>
          <t>AUX</t>
        </is>
      </c>
      <c r="J5684" t="inlineStr">
        <is>
          <t>MASCELLINO</t>
        </is>
      </c>
      <c r="K5684" t="inlineStr">
        <is>
          <t>METAL</t>
        </is>
      </c>
      <c r="L5684">
        <f>_xlfn.XLOOKUP(Tableau1[[#This Row],[TYPE DE PIECE]],Tableau4[MATIERE],Tableau4[SHORT TYPE],"",0,1)</f>
        <v/>
      </c>
      <c r="N5684">
        <f>IF(ISERR(FIND("DECOUPE",Tableau1[[#This Row],[DESIGNATION]])),"","NEED REF")</f>
        <v/>
      </c>
    </row>
    <row r="5685">
      <c r="B5685" t="n">
        <v>34408320</v>
      </c>
      <c r="C5685" s="2" t="n">
        <v>43886</v>
      </c>
      <c r="D5685" t="inlineStr">
        <is>
          <t>SPEC</t>
        </is>
      </c>
      <c r="E5685" t="inlineStr">
        <is>
          <t>TOIT COFFRET SAMSUNG</t>
        </is>
      </c>
      <c r="F5685" t="inlineStr">
        <is>
          <t>Supernap Italy - LI ION TOP ENTRY PULL CABINET 4000A WITH FUS</t>
        </is>
      </c>
      <c r="G5685" t="inlineStr">
        <is>
          <t>GVX</t>
        </is>
      </c>
      <c r="H5685" t="inlineStr">
        <is>
          <t>AUX</t>
        </is>
      </c>
      <c r="J5685" t="inlineStr">
        <is>
          <t>MASCELLINO</t>
        </is>
      </c>
      <c r="K5685" t="inlineStr">
        <is>
          <t>METAL</t>
        </is>
      </c>
      <c r="L5685">
        <f>_xlfn.XLOOKUP(Tableau1[[#This Row],[TYPE DE PIECE]],Tableau4[MATIERE],Tableau4[SHORT TYPE],"",0,1)</f>
        <v/>
      </c>
      <c r="N5685">
        <f>IF(ISERR(FIND("DECOUPE",Tableau1[[#This Row],[DESIGNATION]])),"","NEED REF")</f>
        <v/>
      </c>
    </row>
    <row r="5686">
      <c r="B5686" t="n">
        <v>34408319</v>
      </c>
      <c r="C5686" s="2" t="n">
        <v>43886</v>
      </c>
      <c r="D5686" t="inlineStr">
        <is>
          <t>SPEC</t>
        </is>
      </c>
      <c r="E5686" t="inlineStr">
        <is>
          <t>TOIT DC CABINET</t>
        </is>
      </c>
      <c r="F5686" t="inlineStr">
        <is>
          <t>Supernap Italy - LI ION TOP ENTRY PULL CABINET 4000A WITH FUS</t>
        </is>
      </c>
      <c r="G5686" t="inlineStr">
        <is>
          <t>GVX</t>
        </is>
      </c>
      <c r="H5686" t="inlineStr">
        <is>
          <t>AUX</t>
        </is>
      </c>
      <c r="J5686" t="inlineStr">
        <is>
          <t>MASCELLINO</t>
        </is>
      </c>
      <c r="K5686" t="inlineStr">
        <is>
          <t>METAL</t>
        </is>
      </c>
      <c r="L5686">
        <f>_xlfn.XLOOKUP(Tableau1[[#This Row],[TYPE DE PIECE]],Tableau4[MATIERE],Tableau4[SHORT TYPE],"",0,1)</f>
        <v/>
      </c>
      <c r="N5686">
        <f>IF(ISERR(FIND("DECOUPE",Tableau1[[#This Row],[DESIGNATION]])),"","NEED REF")</f>
        <v/>
      </c>
    </row>
    <row r="5687">
      <c r="B5687" t="n">
        <v>34408318</v>
      </c>
      <c r="C5687" s="2" t="n">
        <v>43886</v>
      </c>
      <c r="D5687" t="inlineStr">
        <is>
          <t>SPEC</t>
        </is>
      </c>
      <c r="E5687" t="inlineStr">
        <is>
          <t>TRAVERSE SUPPORT TOIT</t>
        </is>
      </c>
      <c r="F5687" t="inlineStr">
        <is>
          <t>Supernap Italy - LI ION TOP ENTRY PULL CABINET 4000A WITH FUS</t>
        </is>
      </c>
      <c r="G5687" t="inlineStr">
        <is>
          <t>GVX</t>
        </is>
      </c>
      <c r="H5687" t="inlineStr">
        <is>
          <t>AUX</t>
        </is>
      </c>
      <c r="J5687" t="inlineStr">
        <is>
          <t>MASCELLINO</t>
        </is>
      </c>
      <c r="K5687" t="inlineStr">
        <is>
          <t>METAL</t>
        </is>
      </c>
      <c r="L5687">
        <f>_xlfn.XLOOKUP(Tableau1[[#This Row],[TYPE DE PIECE]],Tableau4[MATIERE],Tableau4[SHORT TYPE],"",0,1)</f>
        <v/>
      </c>
      <c r="N5687">
        <f>IF(ISERR(FIND("DECOUPE",Tableau1[[#This Row],[DESIGNATION]])),"","NEED REF")</f>
        <v/>
      </c>
    </row>
    <row r="5688">
      <c r="B5688" t="n">
        <v>34408317</v>
      </c>
      <c r="C5688" s="2" t="n">
        <v>43886</v>
      </c>
      <c r="D5688" t="inlineStr">
        <is>
          <t>SPEC</t>
        </is>
      </c>
      <c r="E5688" t="inlineStr">
        <is>
          <t>TRAVERSE DC CABINET LARGEUR</t>
        </is>
      </c>
      <c r="F5688" t="inlineStr">
        <is>
          <t>Supernap Italy - LI ION TOP ENTRY PULL CABINET 4000A WITH FUS</t>
        </is>
      </c>
      <c r="G5688" t="inlineStr">
        <is>
          <t>GVX</t>
        </is>
      </c>
      <c r="H5688" t="inlineStr">
        <is>
          <t>AUX</t>
        </is>
      </c>
      <c r="J5688" t="inlineStr">
        <is>
          <t>MASCELLINO</t>
        </is>
      </c>
      <c r="K5688" t="inlineStr">
        <is>
          <t>METAL</t>
        </is>
      </c>
      <c r="L5688">
        <f>_xlfn.XLOOKUP(Tableau1[[#This Row],[TYPE DE PIECE]],Tableau4[MATIERE],Tableau4[SHORT TYPE],"",0,1)</f>
        <v/>
      </c>
      <c r="N5688">
        <f>IF(ISERR(FIND("DECOUPE",Tableau1[[#This Row],[DESIGNATION]])),"","NEED REF")</f>
        <v/>
      </c>
    </row>
    <row r="5689">
      <c r="B5689" t="n">
        <v>34408316</v>
      </c>
      <c r="C5689" s="2" t="n">
        <v>43886</v>
      </c>
      <c r="D5689" t="inlineStr">
        <is>
          <t>SPEC</t>
        </is>
      </c>
      <c r="E5689" t="inlineStr">
        <is>
          <t>COFFRET DC CABINET</t>
        </is>
      </c>
      <c r="F5689" t="inlineStr">
        <is>
          <t>Supernap Italy - LI ION TOP ENTRY PULL CABINET 4000A WITH FUS</t>
        </is>
      </c>
      <c r="G5689" t="inlineStr">
        <is>
          <t>GVX</t>
        </is>
      </c>
      <c r="H5689" t="inlineStr">
        <is>
          <t>AUX</t>
        </is>
      </c>
      <c r="J5689" t="inlineStr">
        <is>
          <t>MASCELLINO</t>
        </is>
      </c>
      <c r="K5689" t="inlineStr">
        <is>
          <t>METAL</t>
        </is>
      </c>
      <c r="L5689">
        <f>_xlfn.XLOOKUP(Tableau1[[#This Row],[TYPE DE PIECE]],Tableau4[MATIERE],Tableau4[SHORT TYPE],"",0,1)</f>
        <v/>
      </c>
      <c r="N5689">
        <f>IF(ISERR(FIND("DECOUPE",Tableau1[[#This Row],[DESIGNATION]])),"","NEED REF")</f>
        <v/>
      </c>
    </row>
    <row r="5690">
      <c r="B5690" t="n">
        <v>34408315</v>
      </c>
      <c r="C5690" s="2" t="n">
        <v>43886</v>
      </c>
      <c r="D5690" t="inlineStr">
        <is>
          <t>SPEC</t>
        </is>
      </c>
      <c r="E5690" t="inlineStr">
        <is>
          <t>SMT BRIDE CARTE MODULE ELEC</t>
        </is>
      </c>
      <c r="F5690" t="inlineStr">
        <is>
          <t>STS1250</t>
        </is>
      </c>
      <c r="G5690" t="inlineStr">
        <is>
          <t>GVE</t>
        </is>
      </c>
      <c r="H5690" t="inlineStr">
        <is>
          <t>STS</t>
        </is>
      </c>
      <c r="J5690" t="inlineStr">
        <is>
          <t>PILLON</t>
        </is>
      </c>
      <c r="K5690" t="inlineStr">
        <is>
          <t>METAL</t>
        </is>
      </c>
      <c r="L5690">
        <f>_xlfn.XLOOKUP(Tableau1[[#This Row],[TYPE DE PIECE]],Tableau4[MATIERE],Tableau4[SHORT TYPE],"",0,1)</f>
        <v/>
      </c>
      <c r="N5690">
        <f>IF(ISERR(FIND("DECOUPE",Tableau1[[#This Row],[DESIGNATION]])),"","NEED REF")</f>
        <v/>
      </c>
    </row>
    <row r="5691">
      <c r="B5691" t="n">
        <v>34408314</v>
      </c>
      <c r="C5691" s="2" t="n">
        <v>43886</v>
      </c>
      <c r="D5691" t="inlineStr">
        <is>
          <t>SPEC</t>
        </is>
      </c>
      <c r="E5691" t="inlineStr">
        <is>
          <t>SMT PLATINE SUPPORT MODULE ELEC</t>
        </is>
      </c>
      <c r="F5691" t="inlineStr">
        <is>
          <t>STS1250</t>
        </is>
      </c>
      <c r="G5691" t="inlineStr">
        <is>
          <t>GVE</t>
        </is>
      </c>
      <c r="H5691" t="inlineStr">
        <is>
          <t>STS</t>
        </is>
      </c>
      <c r="J5691" t="inlineStr">
        <is>
          <t>PILLON</t>
        </is>
      </c>
      <c r="K5691" t="inlineStr">
        <is>
          <t>METAL</t>
        </is>
      </c>
      <c r="L5691">
        <f>_xlfn.XLOOKUP(Tableau1[[#This Row],[TYPE DE PIECE]],Tableau4[MATIERE],Tableau4[SHORT TYPE],"",0,1)</f>
        <v/>
      </c>
      <c r="N5691">
        <f>IF(ISERR(FIND("DECOUPE",Tableau1[[#This Row],[DESIGNATION]])),"","NEED REF")</f>
        <v/>
      </c>
    </row>
    <row r="5692">
      <c r="B5692" t="n">
        <v>34408313</v>
      </c>
      <c r="C5692" s="2" t="n">
        <v>43886</v>
      </c>
      <c r="D5692" t="inlineStr">
        <is>
          <t>SPEC</t>
        </is>
      </c>
      <c r="E5692" t="inlineStr">
        <is>
          <t>SMT SUPPORT LATERAL MODULE ELEC</t>
        </is>
      </c>
      <c r="F5692" t="inlineStr">
        <is>
          <t>STS1250</t>
        </is>
      </c>
      <c r="G5692" t="inlineStr">
        <is>
          <t>GVE</t>
        </is>
      </c>
      <c r="H5692" t="inlineStr">
        <is>
          <t>STS</t>
        </is>
      </c>
      <c r="J5692" t="inlineStr">
        <is>
          <t>PILLON</t>
        </is>
      </c>
      <c r="K5692" t="inlineStr">
        <is>
          <t>METAL</t>
        </is>
      </c>
      <c r="L5692">
        <f>_xlfn.XLOOKUP(Tableau1[[#This Row],[TYPE DE PIECE]],Tableau4[MATIERE],Tableau4[SHORT TYPE],"",0,1)</f>
        <v/>
      </c>
      <c r="N5692">
        <f>IF(ISERR(FIND("DECOUPE",Tableau1[[#This Row],[DESIGNATION]])),"","NEED REF")</f>
        <v/>
      </c>
    </row>
    <row r="5693">
      <c r="B5693" t="n">
        <v>34408312</v>
      </c>
      <c r="C5693" s="2" t="n">
        <v>43885</v>
      </c>
      <c r="D5693" t="inlineStr">
        <is>
          <t>SPEC</t>
        </is>
      </c>
      <c r="E5693" t="inlineStr">
        <is>
          <t>SMT CAPOT 2</t>
        </is>
      </c>
      <c r="G5693" t="inlineStr">
        <is>
          <t>GVX</t>
        </is>
      </c>
      <c r="J5693" t="inlineStr">
        <is>
          <t>MATRION</t>
        </is>
      </c>
      <c r="K5693" t="inlineStr">
        <is>
          <t>METAL</t>
        </is>
      </c>
      <c r="L5693">
        <f>_xlfn.XLOOKUP(Tableau1[[#This Row],[TYPE DE PIECE]],Tableau4[MATIERE],Tableau4[SHORT TYPE],"",0,1)</f>
        <v/>
      </c>
      <c r="N5693">
        <f>IF(ISERR(FIND("DECOUPE",Tableau1[[#This Row],[DESIGNATION]])),"","NEED REF")</f>
        <v/>
      </c>
    </row>
    <row r="5694">
      <c r="B5694" t="n">
        <v>34408311</v>
      </c>
      <c r="C5694" s="2" t="n">
        <v>43885</v>
      </c>
      <c r="D5694" t="inlineStr">
        <is>
          <t>SPEC</t>
        </is>
      </c>
      <c r="E5694" t="inlineStr">
        <is>
          <t>SMT CAPOT 1</t>
        </is>
      </c>
      <c r="G5694" t="inlineStr">
        <is>
          <t>GVX</t>
        </is>
      </c>
      <c r="J5694" t="inlineStr">
        <is>
          <t>MATRION</t>
        </is>
      </c>
      <c r="K5694" t="inlineStr">
        <is>
          <t>METAL</t>
        </is>
      </c>
      <c r="L5694">
        <f>_xlfn.XLOOKUP(Tableau1[[#This Row],[TYPE DE PIECE]],Tableau4[MATIERE],Tableau4[SHORT TYPE],"",0,1)</f>
        <v/>
      </c>
      <c r="N5694">
        <f>IF(ISERR(FIND("DECOUPE",Tableau1[[#This Row],[DESIGNATION]])),"","NEED REF")</f>
        <v/>
      </c>
    </row>
    <row r="5695">
      <c r="B5695" t="n">
        <v>34408310</v>
      </c>
      <c r="C5695" s="2" t="n">
        <v>43885</v>
      </c>
      <c r="D5695" t="inlineStr">
        <is>
          <t>SPEC</t>
        </is>
      </c>
      <c r="E5695" t="inlineStr">
        <is>
          <t>CUIVRE RACCORDEMENT COFFRET SAMSUNG</t>
        </is>
      </c>
      <c r="F5695" t="inlineStr">
        <is>
          <t>Supernap Italy - LI ION TOP ENTRY PULL CABINET 4000A WITH FUS</t>
        </is>
      </c>
      <c r="G5695" t="inlineStr">
        <is>
          <t>GVX</t>
        </is>
      </c>
      <c r="H5695" t="inlineStr">
        <is>
          <t>AUX</t>
        </is>
      </c>
      <c r="J5695" t="inlineStr">
        <is>
          <t>MASCELLINO</t>
        </is>
      </c>
      <c r="K5695" t="inlineStr">
        <is>
          <t>CUIVRE</t>
        </is>
      </c>
      <c r="L5695">
        <f>_xlfn.XLOOKUP(Tableau1[[#This Row],[TYPE DE PIECE]],Tableau4[MATIERE],Tableau4[SHORT TYPE],"",0,1)</f>
        <v/>
      </c>
      <c r="N5695">
        <f>IF(ISERR(FIND("DECOUPE",Tableau1[[#This Row],[DESIGNATION]])),"","NEED REF")</f>
        <v/>
      </c>
    </row>
    <row r="5696">
      <c r="B5696" t="n">
        <v>34408309</v>
      </c>
      <c r="C5696" s="2" t="n">
        <v>43885</v>
      </c>
      <c r="D5696" t="inlineStr">
        <is>
          <t>SPEC</t>
        </is>
      </c>
      <c r="E5696" t="inlineStr">
        <is>
          <t>COP CS VERS LINERGY 3</t>
        </is>
      </c>
      <c r="F5696" t="inlineStr">
        <is>
          <t>STS1250</t>
        </is>
      </c>
      <c r="G5696" t="inlineStr">
        <is>
          <t>GVE</t>
        </is>
      </c>
      <c r="H5696" t="inlineStr">
        <is>
          <t>STS</t>
        </is>
      </c>
      <c r="J5696" t="inlineStr">
        <is>
          <t>MATRION</t>
        </is>
      </c>
      <c r="K5696" t="inlineStr">
        <is>
          <t>CUIVRE</t>
        </is>
      </c>
      <c r="L5696">
        <f>_xlfn.XLOOKUP(Tableau1[[#This Row],[TYPE DE PIECE]],Tableau4[MATIERE],Tableau4[SHORT TYPE],"",0,1)</f>
        <v/>
      </c>
      <c r="N5696">
        <f>IF(ISERR(FIND("DECOUPE",Tableau1[[#This Row],[DESIGNATION]])),"","NEED REF")</f>
        <v/>
      </c>
    </row>
    <row r="5697">
      <c r="B5697" t="n">
        <v>34408308</v>
      </c>
      <c r="C5697" s="2" t="n">
        <v>43885</v>
      </c>
      <c r="D5697" t="inlineStr">
        <is>
          <t>SPEC</t>
        </is>
      </c>
      <c r="E5697" t="inlineStr">
        <is>
          <t>COP CS VERS LINERGY 2</t>
        </is>
      </c>
      <c r="F5697" t="inlineStr">
        <is>
          <t>STS1250</t>
        </is>
      </c>
      <c r="G5697" t="inlineStr">
        <is>
          <t>GVE</t>
        </is>
      </c>
      <c r="H5697" t="inlineStr">
        <is>
          <t>STS</t>
        </is>
      </c>
      <c r="J5697" t="inlineStr">
        <is>
          <t>MATRION</t>
        </is>
      </c>
      <c r="K5697" t="inlineStr">
        <is>
          <t>CUIVRE</t>
        </is>
      </c>
      <c r="L5697">
        <f>_xlfn.XLOOKUP(Tableau1[[#This Row],[TYPE DE PIECE]],Tableau4[MATIERE],Tableau4[SHORT TYPE],"",0,1)</f>
        <v/>
      </c>
      <c r="N5697">
        <f>IF(ISERR(FIND("DECOUPE",Tableau1[[#This Row],[DESIGNATION]])),"","NEED REF")</f>
        <v/>
      </c>
    </row>
    <row r="5698">
      <c r="B5698" t="n">
        <v>34408307</v>
      </c>
      <c r="C5698" s="2" t="n">
        <v>43885</v>
      </c>
      <c r="D5698" t="inlineStr">
        <is>
          <t>SPEC</t>
        </is>
      </c>
      <c r="E5698" t="inlineStr">
        <is>
          <t>COP CS VERS LINERGY 1</t>
        </is>
      </c>
      <c r="F5698" t="inlineStr">
        <is>
          <t>STS1250</t>
        </is>
      </c>
      <c r="G5698" t="inlineStr">
        <is>
          <t>GVE</t>
        </is>
      </c>
      <c r="H5698" t="inlineStr">
        <is>
          <t>STS</t>
        </is>
      </c>
      <c r="J5698" t="inlineStr">
        <is>
          <t>MATRION</t>
        </is>
      </c>
      <c r="K5698" t="inlineStr">
        <is>
          <t>CUIVRE</t>
        </is>
      </c>
      <c r="L5698">
        <f>_xlfn.XLOOKUP(Tableau1[[#This Row],[TYPE DE PIECE]],Tableau4[MATIERE],Tableau4[SHORT TYPE],"",0,1)</f>
        <v/>
      </c>
      <c r="N5698">
        <f>IF(ISERR(FIND("DECOUPE",Tableau1[[#This Row],[DESIGNATION]])),"","NEED REF")</f>
        <v/>
      </c>
    </row>
    <row r="5699">
      <c r="B5699" t="n">
        <v>34408306</v>
      </c>
      <c r="C5699" s="2" t="n">
        <v>43885</v>
      </c>
      <c r="D5699" t="inlineStr">
        <is>
          <t>SPEC</t>
        </is>
      </c>
      <c r="E5699" t="inlineStr">
        <is>
          <t>DECOUPE Cablofil CF30200EZ Coffret Samsung</t>
        </is>
      </c>
      <c r="F5699" t="inlineStr">
        <is>
          <t>Supernap Italy - LI ION TOP ENTRY PULL CABINET 4000A WITH FUS</t>
        </is>
      </c>
      <c r="G5699" t="inlineStr">
        <is>
          <t>GVX</t>
        </is>
      </c>
      <c r="H5699" t="inlineStr">
        <is>
          <t>AUX</t>
        </is>
      </c>
      <c r="J5699" t="inlineStr">
        <is>
          <t>MASCELLINO</t>
        </is>
      </c>
      <c r="K5699" t="inlineStr">
        <is>
          <t>ETO</t>
        </is>
      </c>
      <c r="L5699">
        <f>_xlfn.XLOOKUP(Tableau1[[#This Row],[TYPE DE PIECE]],Tableau4[MATIERE],Tableau4[SHORT TYPE],"",0,1)</f>
        <v/>
      </c>
      <c r="N5699" t="inlineStr">
        <is>
          <t>CF30200EZ</t>
        </is>
      </c>
    </row>
    <row r="5700">
      <c r="B5700" t="n">
        <v>34408305</v>
      </c>
      <c r="C5700" s="2" t="n">
        <v>43882</v>
      </c>
      <c r="D5700" t="inlineStr">
        <is>
          <t>SPEC</t>
        </is>
      </c>
      <c r="E5700" t="inlineStr">
        <is>
          <t>PANNEAU LATERAL COFFRET SAMSUNG</t>
        </is>
      </c>
      <c r="F5700" t="inlineStr">
        <is>
          <t>Supernap Italy - LI ION TOP ENTRY PULL CABINET 4000A WITH FUS</t>
        </is>
      </c>
      <c r="G5700" t="inlineStr">
        <is>
          <t>GVX</t>
        </is>
      </c>
      <c r="H5700" t="inlineStr">
        <is>
          <t>AUX</t>
        </is>
      </c>
      <c r="J5700" t="inlineStr">
        <is>
          <t>MASCELLINO</t>
        </is>
      </c>
      <c r="K5700" t="inlineStr">
        <is>
          <t>METAL</t>
        </is>
      </c>
      <c r="L5700">
        <f>_xlfn.XLOOKUP(Tableau1[[#This Row],[TYPE DE PIECE]],Tableau4[MATIERE],Tableau4[SHORT TYPE],"",0,1)</f>
        <v/>
      </c>
      <c r="N5700">
        <f>IF(ISERR(FIND("DECOUPE",Tableau1[[#This Row],[DESIGNATION]])),"","NEED REF")</f>
        <v/>
      </c>
    </row>
    <row r="5701">
      <c r="B5701" t="n">
        <v>34408304</v>
      </c>
      <c r="C5701" s="2" t="n">
        <v>43882</v>
      </c>
      <c r="D5701" t="inlineStr">
        <is>
          <t>SPEC</t>
        </is>
      </c>
      <c r="E5701" t="inlineStr">
        <is>
          <t xml:space="preserve">TRAVERSE FIL FIN COFFRET SAMSUNG </t>
        </is>
      </c>
      <c r="F5701" t="inlineStr">
        <is>
          <t>Supernap Italy - LI ION TOP ENTRY PULL CABINET 4000A WITH FUS</t>
        </is>
      </c>
      <c r="G5701" t="inlineStr">
        <is>
          <t>GVX</t>
        </is>
      </c>
      <c r="H5701" t="inlineStr">
        <is>
          <t>AUX</t>
        </is>
      </c>
      <c r="J5701" t="inlineStr">
        <is>
          <t>MASCELLINO</t>
        </is>
      </c>
      <c r="K5701" t="inlineStr">
        <is>
          <t>METAL</t>
        </is>
      </c>
      <c r="L5701">
        <f>_xlfn.XLOOKUP(Tableau1[[#This Row],[TYPE DE PIECE]],Tableau4[MATIERE],Tableau4[SHORT TYPE],"",0,1)</f>
        <v/>
      </c>
      <c r="N5701">
        <f>IF(ISERR(FIND("DECOUPE",Tableau1[[#This Row],[DESIGNATION]])),"","NEED REF")</f>
        <v/>
      </c>
    </row>
    <row r="5702">
      <c r="B5702" t="n">
        <v>34408303</v>
      </c>
      <c r="C5702" s="2" t="n">
        <v>43882</v>
      </c>
      <c r="D5702" t="inlineStr">
        <is>
          <t>SPEC</t>
        </is>
      </c>
      <c r="E5702" t="inlineStr">
        <is>
          <t xml:space="preserve">TRAVERSE CABLOFIL COFFRET SAMSUNG </t>
        </is>
      </c>
      <c r="F5702" t="inlineStr">
        <is>
          <t>Supernap Italy - LI ION TOP ENTRY PULL CABINET 4000A WITH FUS</t>
        </is>
      </c>
      <c r="G5702" t="inlineStr">
        <is>
          <t>GVX</t>
        </is>
      </c>
      <c r="H5702" t="inlineStr">
        <is>
          <t>AUX</t>
        </is>
      </c>
      <c r="J5702" t="inlineStr">
        <is>
          <t>MASCELLINO</t>
        </is>
      </c>
      <c r="K5702" t="inlineStr">
        <is>
          <t>METAL</t>
        </is>
      </c>
      <c r="L5702">
        <f>_xlfn.XLOOKUP(Tableau1[[#This Row],[TYPE DE PIECE]],Tableau4[MATIERE],Tableau4[SHORT TYPE],"",0,1)</f>
        <v/>
      </c>
      <c r="N5702">
        <f>IF(ISERR(FIND("DECOUPE",Tableau1[[#This Row],[DESIGNATION]])),"","NEED REF")</f>
        <v/>
      </c>
    </row>
    <row r="5703">
      <c r="B5703" t="n">
        <v>34408302</v>
      </c>
      <c r="C5703" s="2" t="n">
        <v>43882</v>
      </c>
      <c r="D5703" t="inlineStr">
        <is>
          <t>SPEC</t>
        </is>
      </c>
      <c r="E5703" t="inlineStr">
        <is>
          <t xml:space="preserve">TRAVERSE ISO COFFRET SAMSUNG </t>
        </is>
      </c>
      <c r="F5703" t="inlineStr">
        <is>
          <t>Supernap Italy - LI ION TOP ENTRY PULL CABINET 4000A WITH FUS</t>
        </is>
      </c>
      <c r="G5703" t="inlineStr">
        <is>
          <t>GVX</t>
        </is>
      </c>
      <c r="H5703" t="inlineStr">
        <is>
          <t>AUX</t>
        </is>
      </c>
      <c r="J5703" t="inlineStr">
        <is>
          <t>MASCELLINO</t>
        </is>
      </c>
      <c r="K5703" t="inlineStr">
        <is>
          <t>METAL</t>
        </is>
      </c>
      <c r="L5703">
        <f>_xlfn.XLOOKUP(Tableau1[[#This Row],[TYPE DE PIECE]],Tableau4[MATIERE],Tableau4[SHORT TYPE],"",0,1)</f>
        <v/>
      </c>
      <c r="N5703">
        <f>IF(ISERR(FIND("DECOUPE",Tableau1[[#This Row],[DESIGNATION]])),"","NEED REF")</f>
        <v/>
      </c>
    </row>
    <row r="5704">
      <c r="B5704" t="n">
        <v>34408301</v>
      </c>
      <c r="C5704" s="2" t="n">
        <v>43882</v>
      </c>
      <c r="D5704" t="inlineStr">
        <is>
          <t>SPEC</t>
        </is>
      </c>
      <c r="E5704" t="inlineStr">
        <is>
          <t>SUPPORT ARRERE DROIT MODULE ELEC</t>
        </is>
      </c>
      <c r="F5704" t="inlineStr">
        <is>
          <t>STS1250</t>
        </is>
      </c>
      <c r="G5704" t="inlineStr">
        <is>
          <t>GVE</t>
        </is>
      </c>
      <c r="H5704" t="inlineStr">
        <is>
          <t>STS</t>
        </is>
      </c>
      <c r="J5704" t="inlineStr">
        <is>
          <t>MATRION</t>
        </is>
      </c>
      <c r="K5704" t="inlineStr">
        <is>
          <t>METAL</t>
        </is>
      </c>
      <c r="L5704">
        <f>_xlfn.XLOOKUP(Tableau1[[#This Row],[TYPE DE PIECE]],Tableau4[MATIERE],Tableau4[SHORT TYPE],"",0,1)</f>
        <v/>
      </c>
      <c r="N5704">
        <f>IF(ISERR(FIND("DECOUPE",Tableau1[[#This Row],[DESIGNATION]])),"","NEED REF")</f>
        <v/>
      </c>
    </row>
    <row r="5705">
      <c r="B5705" t="n">
        <v>34408300</v>
      </c>
      <c r="C5705" s="2" t="n">
        <v>43882</v>
      </c>
      <c r="D5705" t="inlineStr">
        <is>
          <t>SPEC</t>
        </is>
      </c>
      <c r="E5705" t="inlineStr">
        <is>
          <t>SUPPORT ARRERE GAUCHE MODULE ELEC</t>
        </is>
      </c>
      <c r="F5705" t="inlineStr">
        <is>
          <t>STS1250</t>
        </is>
      </c>
      <c r="G5705" t="inlineStr">
        <is>
          <t>GVE</t>
        </is>
      </c>
      <c r="H5705" t="inlineStr">
        <is>
          <t>STS</t>
        </is>
      </c>
      <c r="J5705" t="inlineStr">
        <is>
          <t>MATRION</t>
        </is>
      </c>
      <c r="K5705" t="inlineStr">
        <is>
          <t>METAL</t>
        </is>
      </c>
      <c r="L5705">
        <f>_xlfn.XLOOKUP(Tableau1[[#This Row],[TYPE DE PIECE]],Tableau4[MATIERE],Tableau4[SHORT TYPE],"",0,1)</f>
        <v/>
      </c>
      <c r="N5705">
        <f>IF(ISERR(FIND("DECOUPE",Tableau1[[#This Row],[DESIGNATION]])),"","NEED REF")</f>
        <v/>
      </c>
    </row>
    <row r="5706">
      <c r="B5706" t="n">
        <v>34408299</v>
      </c>
      <c r="C5706" s="2" t="n">
        <v>43882</v>
      </c>
      <c r="D5706" t="inlineStr">
        <is>
          <t>SPEC</t>
        </is>
      </c>
      <c r="E5706" t="inlineStr">
        <is>
          <t>COFFRET SAMSUNG SUPERNAP</t>
        </is>
      </c>
      <c r="F5706" t="inlineStr">
        <is>
          <t>Supernap Italy - LI ION TOP ENTRY PULL CABINET 4000A WITH FUS</t>
        </is>
      </c>
      <c r="G5706" t="inlineStr">
        <is>
          <t>GVX</t>
        </is>
      </c>
      <c r="H5706" t="inlineStr">
        <is>
          <t>AUX</t>
        </is>
      </c>
      <c r="J5706" t="inlineStr">
        <is>
          <t>MASCELLINO</t>
        </is>
      </c>
      <c r="K5706" t="inlineStr">
        <is>
          <t>METAL</t>
        </is>
      </c>
      <c r="L5706">
        <f>_xlfn.XLOOKUP(Tableau1[[#This Row],[TYPE DE PIECE]],Tableau4[MATIERE],Tableau4[SHORT TYPE],"",0,1)</f>
        <v/>
      </c>
      <c r="N5706">
        <f>IF(ISERR(FIND("DECOUPE",Tableau1[[#This Row],[DESIGNATION]])),"","NEED REF")</f>
        <v/>
      </c>
    </row>
    <row r="5707">
      <c r="B5707" t="n">
        <v>34408298</v>
      </c>
      <c r="C5707" s="2" t="n">
        <v>43882</v>
      </c>
      <c r="D5707" t="inlineStr">
        <is>
          <t>SPEC</t>
        </is>
      </c>
      <c r="E5707" t="inlineStr">
        <is>
          <t>GVX MBC 1650</t>
        </is>
      </c>
      <c r="F5707" t="inlineStr">
        <is>
          <t>MBC GVX</t>
        </is>
      </c>
      <c r="J5707" t="inlineStr">
        <is>
          <t>DUPARCQ</t>
        </is>
      </c>
      <c r="K5707" t="inlineStr">
        <is>
          <t>CUIVRE</t>
        </is>
      </c>
      <c r="L5707">
        <f>_xlfn.XLOOKUP(Tableau1[[#This Row],[TYPE DE PIECE]],Tableau4[MATIERE],Tableau4[SHORT TYPE],"",0,1)</f>
        <v/>
      </c>
      <c r="N5707">
        <f>IF(ISERR(FIND("DECOUPE",Tableau1[[#This Row],[DESIGNATION]])),"","NEED REF")</f>
        <v/>
      </c>
    </row>
    <row r="5708">
      <c r="B5708" t="n">
        <v>34408297</v>
      </c>
      <c r="C5708" s="2" t="n">
        <v>43882</v>
      </c>
      <c r="D5708" t="inlineStr">
        <is>
          <t>SPEC</t>
        </is>
      </c>
      <c r="E5708" t="inlineStr">
        <is>
          <t>SMT PLATINE RELAIS + MASS NEUTRE COUPE</t>
        </is>
      </c>
      <c r="F5708" t="inlineStr">
        <is>
          <t>STS1250</t>
        </is>
      </c>
      <c r="G5708" t="inlineStr">
        <is>
          <t>GVE</t>
        </is>
      </c>
      <c r="H5708" t="inlineStr">
        <is>
          <t>STS</t>
        </is>
      </c>
      <c r="J5708" t="inlineStr">
        <is>
          <t>MATRION</t>
        </is>
      </c>
      <c r="K5708" t="inlineStr">
        <is>
          <t>METAL</t>
        </is>
      </c>
      <c r="L5708">
        <f>_xlfn.XLOOKUP(Tableau1[[#This Row],[TYPE DE PIECE]],Tableau4[MATIERE],Tableau4[SHORT TYPE],"",0,1)</f>
        <v/>
      </c>
      <c r="N5708">
        <f>IF(ISERR(FIND("DECOUPE",Tableau1[[#This Row],[DESIGNATION]])),"","NEED REF")</f>
        <v/>
      </c>
    </row>
    <row r="5709">
      <c r="B5709" t="n">
        <v>34408296</v>
      </c>
      <c r="C5709" s="2" t="n">
        <v>43881</v>
      </c>
      <c r="D5709" t="inlineStr">
        <is>
          <t>SPEC</t>
        </is>
      </c>
      <c r="E5709" t="inlineStr">
        <is>
          <t>SMT SUPPORT CABLES MODULES ELEC</t>
        </is>
      </c>
      <c r="F5709" t="inlineStr">
        <is>
          <t>STS1250</t>
        </is>
      </c>
      <c r="G5709" t="inlineStr">
        <is>
          <t>GVE</t>
        </is>
      </c>
      <c r="H5709" t="inlineStr">
        <is>
          <t>STS</t>
        </is>
      </c>
      <c r="J5709" t="inlineStr">
        <is>
          <t>MATRION</t>
        </is>
      </c>
      <c r="K5709" t="inlineStr">
        <is>
          <t>METAL</t>
        </is>
      </c>
      <c r="L5709">
        <f>_xlfn.XLOOKUP(Tableau1[[#This Row],[TYPE DE PIECE]],Tableau4[MATIERE],Tableau4[SHORT TYPE],"",0,1)</f>
        <v/>
      </c>
      <c r="N5709">
        <f>IF(ISERR(FIND("DECOUPE",Tableau1[[#This Row],[DESIGNATION]])),"","NEED REF")</f>
        <v/>
      </c>
    </row>
    <row r="5710">
      <c r="B5710" t="n">
        <v>34408295</v>
      </c>
      <c r="C5710" s="2" t="n">
        <v>43881</v>
      </c>
      <c r="D5710" t="inlineStr">
        <is>
          <t>SPEC</t>
        </is>
      </c>
      <c r="E5710" t="inlineStr">
        <is>
          <t>SE MODULE RC 1250A</t>
        </is>
      </c>
      <c r="F5710" t="inlineStr">
        <is>
          <t>STS1250</t>
        </is>
      </c>
      <c r="G5710" t="inlineStr">
        <is>
          <t>GVE</t>
        </is>
      </c>
      <c r="H5710" t="inlineStr">
        <is>
          <t>STS</t>
        </is>
      </c>
      <c r="J5710" t="inlineStr">
        <is>
          <t>MATRION</t>
        </is>
      </c>
      <c r="K5710" t="inlineStr">
        <is>
          <t>NOM</t>
        </is>
      </c>
      <c r="L5710">
        <f>_xlfn.XLOOKUP(Tableau1[[#This Row],[TYPE DE PIECE]],Tableau4[MATIERE],Tableau4[SHORT TYPE],"",0,1)</f>
        <v/>
      </c>
      <c r="N5710">
        <f>IF(ISERR(FIND("DECOUPE",Tableau1[[#This Row],[DESIGNATION]])),"","NEED REF")</f>
        <v/>
      </c>
    </row>
    <row r="5711">
      <c r="B5711" t="n">
        <v>34408294</v>
      </c>
      <c r="C5711" s="2" t="n">
        <v>43881</v>
      </c>
      <c r="D5711" t="inlineStr">
        <is>
          <t>SPEC</t>
        </is>
      </c>
      <c r="E5711" t="inlineStr">
        <is>
          <t>Armoire SAREL SPACIAL SF dimensions H2000xL1200xP600xsocle55 - Sans RAL - F20020870MHZ/A0</t>
        </is>
      </c>
      <c r="F5711" t="inlineStr">
        <is>
          <t>Supernap Italy - LI ION TOP ENTRY PULL CABINET 4000A WITH FUS</t>
        </is>
      </c>
      <c r="G5711" t="inlineStr">
        <is>
          <t>GVX</t>
        </is>
      </c>
      <c r="H5711" t="inlineStr">
        <is>
          <t>AUX</t>
        </is>
      </c>
      <c r="J5711" t="inlineStr">
        <is>
          <t>MONGELLI</t>
        </is>
      </c>
      <c r="K5711" t="inlineStr">
        <is>
          <t>SAREL</t>
        </is>
      </c>
      <c r="L5711">
        <f>_xlfn.XLOOKUP(Tableau1[[#This Row],[TYPE DE PIECE]],Tableau4[MATIERE],Tableau4[SHORT TYPE],"",0,1)</f>
        <v/>
      </c>
      <c r="N5711">
        <f>IF(ISERR(FIND("DECOUPE",Tableau1[[#This Row],[DESIGNATION]])),"","NEED REF")</f>
        <v/>
      </c>
    </row>
    <row r="5712">
      <c r="B5712" t="n">
        <v>34408293</v>
      </c>
      <c r="C5712" s="2" t="n">
        <v>43879</v>
      </c>
      <c r="D5712" t="inlineStr">
        <is>
          <t>SPEC</t>
        </is>
      </c>
      <c r="E5712" t="inlineStr">
        <is>
          <t>SMT PLATINE RC</t>
        </is>
      </c>
      <c r="F5712" t="inlineStr">
        <is>
          <t>STS1250</t>
        </is>
      </c>
      <c r="G5712" t="inlineStr">
        <is>
          <t>GVE</t>
        </is>
      </c>
      <c r="H5712" t="inlineStr">
        <is>
          <t>STS</t>
        </is>
      </c>
      <c r="J5712" t="inlineStr">
        <is>
          <t>MATRION</t>
        </is>
      </c>
      <c r="K5712" t="inlineStr">
        <is>
          <t>METAL</t>
        </is>
      </c>
      <c r="L5712">
        <f>_xlfn.XLOOKUP(Tableau1[[#This Row],[TYPE DE PIECE]],Tableau4[MATIERE],Tableau4[SHORT TYPE],"",0,1)</f>
        <v/>
      </c>
      <c r="N5712">
        <f>IF(ISERR(FIND("DECOUPE",Tableau1[[#This Row],[DESIGNATION]])),"","NEED REF")</f>
        <v/>
      </c>
    </row>
    <row r="5713">
      <c r="B5713" t="n">
        <v>34408292</v>
      </c>
      <c r="C5713" s="2" t="n">
        <v>43879</v>
      </c>
      <c r="D5713" t="inlineStr">
        <is>
          <t>SPEC</t>
        </is>
      </c>
      <c r="E5713" t="inlineStr">
        <is>
          <t>SMT SUPPORT PLATINES RC</t>
        </is>
      </c>
      <c r="F5713" t="inlineStr">
        <is>
          <t>STS1250</t>
        </is>
      </c>
      <c r="G5713" t="inlineStr">
        <is>
          <t>GVE</t>
        </is>
      </c>
      <c r="H5713" t="inlineStr">
        <is>
          <t>STS</t>
        </is>
      </c>
      <c r="J5713" t="inlineStr">
        <is>
          <t>MATRION</t>
        </is>
      </c>
      <c r="K5713" t="inlineStr">
        <is>
          <t>METAL</t>
        </is>
      </c>
      <c r="L5713">
        <f>_xlfn.XLOOKUP(Tableau1[[#This Row],[TYPE DE PIECE]],Tableau4[MATIERE],Tableau4[SHORT TYPE],"",0,1)</f>
        <v/>
      </c>
      <c r="N5713">
        <f>IF(ISERR(FIND("DECOUPE",Tableau1[[#This Row],[DESIGNATION]])),"","NEED REF")</f>
        <v/>
      </c>
    </row>
    <row r="5714">
      <c r="B5714" t="n">
        <v>34408291</v>
      </c>
      <c r="C5714" s="2" t="n">
        <v>43879</v>
      </c>
      <c r="D5714" t="inlineStr">
        <is>
          <t>SPEC</t>
        </is>
      </c>
      <c r="E5714" t="inlineStr">
        <is>
          <t>METHODE MOYEN MANUTENATION BYPASS/NEUTRE COUPE</t>
        </is>
      </c>
      <c r="F5714" t="inlineStr">
        <is>
          <t>STS1250</t>
        </is>
      </c>
      <c r="G5714" t="inlineStr">
        <is>
          <t>GVE</t>
        </is>
      </c>
      <c r="H5714" t="inlineStr">
        <is>
          <t>STS</t>
        </is>
      </c>
      <c r="J5714" t="inlineStr">
        <is>
          <t>MATRION</t>
        </is>
      </c>
      <c r="L5714">
        <f>_xlfn.XLOOKUP(Tableau1[[#This Row],[TYPE DE PIECE]],Tableau4[MATIERE],Tableau4[SHORT TYPE],"",0,1)</f>
        <v/>
      </c>
    </row>
    <row r="5715">
      <c r="B5715" t="n">
        <v>34408290</v>
      </c>
      <c r="C5715" s="2" t="n">
        <v>43879</v>
      </c>
      <c r="D5715" t="inlineStr">
        <is>
          <t>SPEC</t>
        </is>
      </c>
      <c r="E5715" t="inlineStr">
        <is>
          <t>DECOUPE BRIDAGE BARRES DE CHANT LVS04691</t>
        </is>
      </c>
      <c r="F5715" t="inlineStr">
        <is>
          <t>STS1250</t>
        </is>
      </c>
      <c r="G5715" t="inlineStr">
        <is>
          <t>GVE</t>
        </is>
      </c>
      <c r="H5715" t="inlineStr">
        <is>
          <t>STS</t>
        </is>
      </c>
      <c r="J5715" t="inlineStr">
        <is>
          <t>MATRION</t>
        </is>
      </c>
      <c r="K5715" t="inlineStr">
        <is>
          <t>ETO</t>
        </is>
      </c>
      <c r="L5715">
        <f>_xlfn.XLOOKUP(Tableau1[[#This Row],[TYPE DE PIECE]],Tableau4[MATIERE],Tableau4[SHORT TYPE],"",0,1)</f>
        <v/>
      </c>
      <c r="N5715" t="inlineStr">
        <is>
          <t>LVS04691</t>
        </is>
      </c>
    </row>
    <row r="5716">
      <c r="B5716" t="n">
        <v>34408289</v>
      </c>
      <c r="C5716" s="2" t="n">
        <v>43878</v>
      </c>
      <c r="D5716" t="inlineStr">
        <is>
          <t>SPEC</t>
        </is>
      </c>
      <c r="E5716" t="inlineStr">
        <is>
          <t>SMT SUPPORT JDB LINERGY BAS CENTRAL</t>
        </is>
      </c>
      <c r="F5716" t="inlineStr">
        <is>
          <t>STS1250</t>
        </is>
      </c>
      <c r="G5716" t="inlineStr">
        <is>
          <t>GVE</t>
        </is>
      </c>
      <c r="H5716" t="inlineStr">
        <is>
          <t>STS</t>
        </is>
      </c>
      <c r="J5716" t="inlineStr">
        <is>
          <t>MATRION</t>
        </is>
      </c>
      <c r="K5716" t="inlineStr">
        <is>
          <t>METAL</t>
        </is>
      </c>
      <c r="L5716">
        <f>_xlfn.XLOOKUP(Tableau1[[#This Row],[TYPE DE PIECE]],Tableau4[MATIERE],Tableau4[SHORT TYPE],"",0,1)</f>
        <v/>
      </c>
      <c r="N5716">
        <f>IF(ISERR(FIND("DECOUPE",Tableau1[[#This Row],[DESIGNATION]])),"","NEED REF")</f>
        <v/>
      </c>
    </row>
    <row r="5717">
      <c r="B5717" t="n">
        <v>34408288</v>
      </c>
      <c r="C5717" s="2" t="n">
        <v>43878</v>
      </c>
      <c r="D5717" t="inlineStr">
        <is>
          <t>SPEC</t>
        </is>
      </c>
      <c r="E5717" t="inlineStr">
        <is>
          <t>Platine NSX 4P</t>
        </is>
      </c>
      <c r="J5717" t="inlineStr">
        <is>
          <t>MASCELLINO</t>
        </is>
      </c>
      <c r="K5717" t="inlineStr">
        <is>
          <t>METAL</t>
        </is>
      </c>
      <c r="L5717">
        <f>_xlfn.XLOOKUP(Tableau1[[#This Row],[TYPE DE PIECE]],Tableau4[MATIERE],Tableau4[SHORT TYPE],"",0,1)</f>
        <v/>
      </c>
      <c r="N5717">
        <f>IF(ISERR(FIND("DECOUPE",Tableau1[[#This Row],[DESIGNATION]])),"","NEED REF")</f>
        <v/>
      </c>
    </row>
    <row r="5718">
      <c r="B5718" t="n">
        <v>34408287</v>
      </c>
      <c r="C5718" s="2" t="n">
        <v>43875</v>
      </c>
      <c r="D5718" t="inlineStr">
        <is>
          <t>SPEC</t>
        </is>
      </c>
      <c r="E5718" t="inlineStr">
        <is>
          <t>PLA PROTECTION LINERGY DROIT/GAUCHE</t>
        </is>
      </c>
      <c r="F5718" t="inlineStr">
        <is>
          <t>STS1250</t>
        </is>
      </c>
      <c r="G5718" t="inlineStr">
        <is>
          <t>GVE</t>
        </is>
      </c>
      <c r="H5718" t="inlineStr">
        <is>
          <t>STS</t>
        </is>
      </c>
      <c r="J5718" t="inlineStr">
        <is>
          <t>MATRION</t>
        </is>
      </c>
      <c r="K5718" t="inlineStr">
        <is>
          <t>PLASTIQUE</t>
        </is>
      </c>
      <c r="L5718">
        <f>_xlfn.XLOOKUP(Tableau1[[#This Row],[TYPE DE PIECE]],Tableau4[MATIERE],Tableau4[SHORT TYPE],"",0,1)</f>
        <v/>
      </c>
      <c r="N5718">
        <f>IF(ISERR(FIND("DECOUPE",Tableau1[[#This Row],[DESIGNATION]])),"","NEED REF")</f>
        <v/>
      </c>
    </row>
    <row r="5719">
      <c r="B5719" t="n">
        <v>34408286</v>
      </c>
      <c r="C5719" s="2" t="n">
        <v>43875</v>
      </c>
      <c r="D5719" t="inlineStr">
        <is>
          <t>SPEC</t>
        </is>
      </c>
      <c r="E5719" t="inlineStr">
        <is>
          <t>SMT PROTECTION INTERNE ARRIERE 2</t>
        </is>
      </c>
      <c r="F5719" t="inlineStr">
        <is>
          <t>STS1250</t>
        </is>
      </c>
      <c r="G5719" t="inlineStr">
        <is>
          <t>GVE</t>
        </is>
      </c>
      <c r="H5719" t="inlineStr">
        <is>
          <t>STS</t>
        </is>
      </c>
      <c r="J5719" t="inlineStr">
        <is>
          <t>MATRION</t>
        </is>
      </c>
      <c r="K5719" t="inlineStr">
        <is>
          <t>METAL</t>
        </is>
      </c>
      <c r="L5719">
        <f>_xlfn.XLOOKUP(Tableau1[[#This Row],[TYPE DE PIECE]],Tableau4[MATIERE],Tableau4[SHORT TYPE],"",0,1)</f>
        <v/>
      </c>
      <c r="N5719">
        <f>IF(ISERR(FIND("DECOUPE",Tableau1[[#This Row],[DESIGNATION]])),"","NEED REF")</f>
        <v/>
      </c>
    </row>
    <row r="5720">
      <c r="B5720" t="n">
        <v>34408285</v>
      </c>
      <c r="C5720" s="2" t="n">
        <v>43875</v>
      </c>
      <c r="D5720" t="inlineStr">
        <is>
          <t>SPEC</t>
        </is>
      </c>
      <c r="E5720" t="inlineStr">
        <is>
          <t>SMT PROTECTION INTERNE ARRIERE 1</t>
        </is>
      </c>
      <c r="F5720" t="inlineStr">
        <is>
          <t>STS1250</t>
        </is>
      </c>
      <c r="G5720" t="inlineStr">
        <is>
          <t>GVE</t>
        </is>
      </c>
      <c r="H5720" t="inlineStr">
        <is>
          <t>STS</t>
        </is>
      </c>
      <c r="J5720" t="inlineStr">
        <is>
          <t>MATRION</t>
        </is>
      </c>
      <c r="K5720" t="inlineStr">
        <is>
          <t>METAL</t>
        </is>
      </c>
      <c r="L5720">
        <f>_xlfn.XLOOKUP(Tableau1[[#This Row],[TYPE DE PIECE]],Tableau4[MATIERE],Tableau4[SHORT TYPE],"",0,1)</f>
        <v/>
      </c>
      <c r="N5720">
        <f>IF(ISERR(FIND("DECOUPE",Tableau1[[#This Row],[DESIGNATION]])),"","NEED REF")</f>
        <v/>
      </c>
    </row>
    <row r="5721">
      <c r="B5721" t="n">
        <v>34408284</v>
      </c>
      <c r="C5721" s="2" t="n">
        <v>43875</v>
      </c>
      <c r="D5721" t="inlineStr">
        <is>
          <t>SPEC</t>
        </is>
      </c>
      <c r="E5721" t="inlineStr">
        <is>
          <t>SMT PROTECTION INTERNE DROITE/GAUCHE</t>
        </is>
      </c>
      <c r="F5721" t="inlineStr">
        <is>
          <t>STS1250</t>
        </is>
      </c>
      <c r="G5721" t="inlineStr">
        <is>
          <t>GVE</t>
        </is>
      </c>
      <c r="H5721" t="inlineStr">
        <is>
          <t>STS</t>
        </is>
      </c>
      <c r="J5721" t="inlineStr">
        <is>
          <t>MATRION</t>
        </is>
      </c>
      <c r="K5721" t="inlineStr">
        <is>
          <t>METAL</t>
        </is>
      </c>
      <c r="L5721">
        <f>_xlfn.XLOOKUP(Tableau1[[#This Row],[TYPE DE PIECE]],Tableau4[MATIERE],Tableau4[SHORT TYPE],"",0,1)</f>
        <v/>
      </c>
      <c r="N5721">
        <f>IF(ISERR(FIND("DECOUPE",Tableau1[[#This Row],[DESIGNATION]])),"","NEED REF")</f>
        <v/>
      </c>
    </row>
    <row r="5722">
      <c r="B5722" t="n">
        <v>34408283</v>
      </c>
      <c r="C5722" s="2" t="n">
        <v>43875</v>
      </c>
      <c r="D5722" t="inlineStr">
        <is>
          <t>SPEC</t>
        </is>
      </c>
      <c r="E5722" t="inlineStr">
        <is>
          <t>SMT SUPPORT JDB LINERGY BAS LATERAL</t>
        </is>
      </c>
      <c r="F5722" t="inlineStr">
        <is>
          <t>STS1250</t>
        </is>
      </c>
      <c r="G5722" t="inlineStr">
        <is>
          <t>GVE</t>
        </is>
      </c>
      <c r="H5722" t="inlineStr">
        <is>
          <t>STS</t>
        </is>
      </c>
      <c r="J5722" t="inlineStr">
        <is>
          <t>MATRION</t>
        </is>
      </c>
      <c r="K5722" t="inlineStr">
        <is>
          <t>METAL</t>
        </is>
      </c>
      <c r="L5722">
        <f>_xlfn.XLOOKUP(Tableau1[[#This Row],[TYPE DE PIECE]],Tableau4[MATIERE],Tableau4[SHORT TYPE],"",0,1)</f>
        <v/>
      </c>
      <c r="N5722">
        <f>IF(ISERR(FIND("DECOUPE",Tableau1[[#This Row],[DESIGNATION]])),"","NEED REF")</f>
        <v/>
      </c>
    </row>
    <row r="5723">
      <c r="B5723" t="n">
        <v>34408282</v>
      </c>
      <c r="C5723" s="2" t="n">
        <v>43874</v>
      </c>
      <c r="D5723" t="inlineStr">
        <is>
          <t>SPEC</t>
        </is>
      </c>
      <c r="E5723" t="inlineStr">
        <is>
          <t>SMT PROTECTION ARRIERE BYPASS</t>
        </is>
      </c>
      <c r="F5723" t="inlineStr">
        <is>
          <t>STS1250</t>
        </is>
      </c>
      <c r="G5723" t="inlineStr">
        <is>
          <t>GVE</t>
        </is>
      </c>
      <c r="H5723" t="inlineStr">
        <is>
          <t>STS</t>
        </is>
      </c>
      <c r="J5723" t="inlineStr">
        <is>
          <t>MATRION</t>
        </is>
      </c>
      <c r="K5723" t="inlineStr">
        <is>
          <t>METAL</t>
        </is>
      </c>
      <c r="L5723">
        <f>_xlfn.XLOOKUP(Tableau1[[#This Row],[TYPE DE PIECE]],Tableau4[MATIERE],Tableau4[SHORT TYPE],"",0,1)</f>
        <v/>
      </c>
      <c r="N5723">
        <f>IF(ISERR(FIND("DECOUPE",Tableau1[[#This Row],[DESIGNATION]])),"","NEED REF")</f>
        <v/>
      </c>
    </row>
    <row r="5724">
      <c r="B5724" t="n">
        <v>34408281</v>
      </c>
      <c r="C5724" s="2" t="n">
        <v>43874</v>
      </c>
      <c r="D5724" t="inlineStr">
        <is>
          <t>SPEC</t>
        </is>
      </c>
      <c r="J5724" t="inlineStr">
        <is>
          <t>MASCELLINO</t>
        </is>
      </c>
      <c r="L5724">
        <f>_xlfn.XLOOKUP(Tableau1[[#This Row],[TYPE DE PIECE]],Tableau4[MATIERE],Tableau4[SHORT TYPE],"",0,1)</f>
        <v/>
      </c>
      <c r="N5724">
        <f>IF(ISERR(FIND("DECOUPE",Tableau1[[#This Row],[DESIGNATION]])),"","NEED REF")</f>
        <v/>
      </c>
    </row>
    <row r="5725">
      <c r="B5725" t="n">
        <v>34408280</v>
      </c>
      <c r="C5725" s="2" t="n">
        <v>43874</v>
      </c>
      <c r="D5725" t="inlineStr">
        <is>
          <t>SPEC</t>
        </is>
      </c>
      <c r="E5725" t="inlineStr">
        <is>
          <t>SMT PLASTRON COMPACT NS 2</t>
        </is>
      </c>
      <c r="G5725" t="inlineStr">
        <is>
          <t>GVS</t>
        </is>
      </c>
      <c r="H5725" t="inlineStr">
        <is>
          <t>BYPASS</t>
        </is>
      </c>
      <c r="J5725" t="inlineStr">
        <is>
          <t>MATRION</t>
        </is>
      </c>
      <c r="K5725" t="inlineStr">
        <is>
          <t>METAL</t>
        </is>
      </c>
      <c r="L5725">
        <f>_xlfn.XLOOKUP(Tableau1[[#This Row],[TYPE DE PIECE]],Tableau4[MATIERE],Tableau4[SHORT TYPE],"",0,1)</f>
        <v/>
      </c>
      <c r="N5725">
        <f>IF(ISERR(FIND("DECOUPE",Tableau1[[#This Row],[DESIGNATION]])),"","NEED REF")</f>
        <v/>
      </c>
    </row>
    <row r="5726">
      <c r="B5726" t="n">
        <v>34408279</v>
      </c>
      <c r="C5726" s="2" t="n">
        <v>43873</v>
      </c>
      <c r="D5726" t="inlineStr">
        <is>
          <t>SPEC</t>
        </is>
      </c>
      <c r="E5726" t="inlineStr">
        <is>
          <t>COP CALE 60x60x10</t>
        </is>
      </c>
      <c r="F5726" t="inlineStr">
        <is>
          <t>STS1250</t>
        </is>
      </c>
      <c r="G5726" t="inlineStr">
        <is>
          <t>GVE</t>
        </is>
      </c>
      <c r="H5726" t="inlineStr">
        <is>
          <t>STS</t>
        </is>
      </c>
      <c r="J5726" t="inlineStr">
        <is>
          <t>MATRION</t>
        </is>
      </c>
      <c r="K5726" t="inlineStr">
        <is>
          <t>CUIVRE</t>
        </is>
      </c>
      <c r="L5726">
        <f>_xlfn.XLOOKUP(Tableau1[[#This Row],[TYPE DE PIECE]],Tableau4[MATIERE],Tableau4[SHORT TYPE],"",0,1)</f>
        <v/>
      </c>
      <c r="N5726">
        <f>IF(ISERR(FIND("DECOUPE",Tableau1[[#This Row],[DESIGNATION]])),"","NEED REF")</f>
        <v/>
      </c>
    </row>
    <row r="5727">
      <c r="B5727" t="n">
        <v>34408278</v>
      </c>
      <c r="C5727" s="2" t="n">
        <v>43873</v>
      </c>
      <c r="D5727" t="inlineStr">
        <is>
          <t>SPEC</t>
        </is>
      </c>
      <c r="E5727" t="inlineStr">
        <is>
          <t>SMT SE GLISSIERE CS</t>
        </is>
      </c>
      <c r="F5727" t="inlineStr">
        <is>
          <t>STS1250</t>
        </is>
      </c>
      <c r="G5727" t="inlineStr">
        <is>
          <t>GVE</t>
        </is>
      </c>
      <c r="H5727" t="inlineStr">
        <is>
          <t>STS</t>
        </is>
      </c>
      <c r="J5727" t="inlineStr">
        <is>
          <t>MATRION</t>
        </is>
      </c>
      <c r="K5727" t="inlineStr">
        <is>
          <t>METAL</t>
        </is>
      </c>
      <c r="L5727">
        <f>_xlfn.XLOOKUP(Tableau1[[#This Row],[TYPE DE PIECE]],Tableau4[MATIERE],Tableau4[SHORT TYPE],"",0,1)</f>
        <v/>
      </c>
      <c r="N5727">
        <f>IF(ISERR(FIND("DECOUPE",Tableau1[[#This Row],[DESIGNATION]])),"","NEED REF")</f>
        <v/>
      </c>
    </row>
    <row r="5728">
      <c r="B5728" t="n">
        <v>34408277</v>
      </c>
      <c r="C5728" s="2" t="n">
        <v>43873</v>
      </c>
      <c r="D5728" t="inlineStr">
        <is>
          <t>SPEC</t>
        </is>
      </c>
      <c r="E5728" t="inlineStr">
        <is>
          <t>SE FINITION STS1250A</t>
        </is>
      </c>
      <c r="F5728" t="inlineStr">
        <is>
          <t>STS1250</t>
        </is>
      </c>
      <c r="G5728" t="inlineStr">
        <is>
          <t>GVE</t>
        </is>
      </c>
      <c r="H5728" t="inlineStr">
        <is>
          <t>STS</t>
        </is>
      </c>
      <c r="J5728" t="inlineStr">
        <is>
          <t>MATRION</t>
        </is>
      </c>
      <c r="K5728" t="inlineStr">
        <is>
          <t>NOM</t>
        </is>
      </c>
      <c r="L5728">
        <f>_xlfn.XLOOKUP(Tableau1[[#This Row],[TYPE DE PIECE]],Tableau4[MATIERE],Tableau4[SHORT TYPE],"",0,1)</f>
        <v/>
      </c>
      <c r="N5728">
        <f>IF(ISERR(FIND("DECOUPE",Tableau1[[#This Row],[DESIGNATION]])),"","NEED REF")</f>
        <v/>
      </c>
    </row>
    <row r="5729">
      <c r="B5729" t="n">
        <v>34408276</v>
      </c>
      <c r="C5729" s="2" t="n">
        <v>43873</v>
      </c>
      <c r="D5729" t="inlineStr">
        <is>
          <t>SPEC</t>
        </is>
      </c>
      <c r="E5729" t="inlineStr">
        <is>
          <t>SE MODULE ELECTRONIQUE STS1250A</t>
        </is>
      </c>
      <c r="F5729" t="inlineStr">
        <is>
          <t>STS1250</t>
        </is>
      </c>
      <c r="G5729" t="inlineStr">
        <is>
          <t>GVE</t>
        </is>
      </c>
      <c r="H5729" t="inlineStr">
        <is>
          <t>STS</t>
        </is>
      </c>
      <c r="J5729" t="inlineStr">
        <is>
          <t>MATRION</t>
        </is>
      </c>
      <c r="K5729" t="inlineStr">
        <is>
          <t>NOM</t>
        </is>
      </c>
      <c r="L5729">
        <f>_xlfn.XLOOKUP(Tableau1[[#This Row],[TYPE DE PIECE]],Tableau4[MATIERE],Tableau4[SHORT TYPE],"",0,1)</f>
        <v/>
      </c>
      <c r="N5729">
        <f>IF(ISERR(FIND("DECOUPE",Tableau1[[#This Row],[DESIGNATION]])),"","NEED REF")</f>
        <v/>
      </c>
    </row>
    <row r="5730">
      <c r="B5730" t="n">
        <v>34408275</v>
      </c>
      <c r="C5730" s="2" t="n">
        <v>43873</v>
      </c>
      <c r="D5730" t="inlineStr">
        <is>
          <t>SPEC</t>
        </is>
      </c>
      <c r="E5730" t="inlineStr">
        <is>
          <t>SE NEUTRE COUPE STS1250A</t>
        </is>
      </c>
      <c r="F5730" t="inlineStr">
        <is>
          <t>STS1250</t>
        </is>
      </c>
      <c r="G5730" t="inlineStr">
        <is>
          <t>GVE</t>
        </is>
      </c>
      <c r="H5730" t="inlineStr">
        <is>
          <t>STS</t>
        </is>
      </c>
      <c r="J5730" t="inlineStr">
        <is>
          <t>MATRION</t>
        </is>
      </c>
      <c r="K5730" t="inlineStr">
        <is>
          <t>NOM</t>
        </is>
      </c>
      <c r="L5730">
        <f>_xlfn.XLOOKUP(Tableau1[[#This Row],[TYPE DE PIECE]],Tableau4[MATIERE],Tableau4[SHORT TYPE],"",0,1)</f>
        <v/>
      </c>
      <c r="N5730">
        <f>IF(ISERR(FIND("DECOUPE",Tableau1[[#This Row],[DESIGNATION]])),"","NEED REF")</f>
        <v/>
      </c>
    </row>
    <row r="5731">
      <c r="B5731" t="n">
        <v>34408274</v>
      </c>
      <c r="C5731" s="2" t="n">
        <v>43873</v>
      </c>
      <c r="D5731" t="inlineStr">
        <is>
          <t>SPEC</t>
        </is>
      </c>
      <c r="E5731" t="inlineStr">
        <is>
          <t>SE BUSBAR STS1250A</t>
        </is>
      </c>
      <c r="F5731" t="inlineStr">
        <is>
          <t>STS1250</t>
        </is>
      </c>
      <c r="G5731" t="inlineStr">
        <is>
          <t>GVE</t>
        </is>
      </c>
      <c r="H5731" t="inlineStr">
        <is>
          <t>STS</t>
        </is>
      </c>
      <c r="J5731" t="inlineStr">
        <is>
          <t>MATRION</t>
        </is>
      </c>
      <c r="K5731" t="inlineStr">
        <is>
          <t>NOM</t>
        </is>
      </c>
      <c r="L5731">
        <f>_xlfn.XLOOKUP(Tableau1[[#This Row],[TYPE DE PIECE]],Tableau4[MATIERE],Tableau4[SHORT TYPE],"",0,1)</f>
        <v/>
      </c>
      <c r="N5731">
        <f>IF(ISERR(FIND("DECOUPE",Tableau1[[#This Row],[DESIGNATION]])),"","NEED REF")</f>
        <v/>
      </c>
    </row>
    <row r="5732">
      <c r="B5732" t="n">
        <v>34408273</v>
      </c>
      <c r="C5732" s="2" t="n">
        <v>43873</v>
      </c>
      <c r="D5732" t="inlineStr">
        <is>
          <t>SPEC</t>
        </is>
      </c>
      <c r="E5732" t="inlineStr">
        <is>
          <t>SE FILTRE RC STS1250A</t>
        </is>
      </c>
      <c r="F5732" t="inlineStr">
        <is>
          <t>STS1250</t>
        </is>
      </c>
      <c r="G5732" t="inlineStr">
        <is>
          <t>GVE</t>
        </is>
      </c>
      <c r="H5732" t="inlineStr">
        <is>
          <t>STS</t>
        </is>
      </c>
      <c r="J5732" t="inlineStr">
        <is>
          <t>MATRION</t>
        </is>
      </c>
      <c r="K5732" t="inlineStr">
        <is>
          <t>NOM</t>
        </is>
      </c>
      <c r="L5732">
        <f>_xlfn.XLOOKUP(Tableau1[[#This Row],[TYPE DE PIECE]],Tableau4[MATIERE],Tableau4[SHORT TYPE],"",0,1)</f>
        <v/>
      </c>
      <c r="N5732">
        <f>IF(ISERR(FIND("DECOUPE",Tableau1[[#This Row],[DESIGNATION]])),"","NEED REF")</f>
        <v/>
      </c>
    </row>
    <row r="5733">
      <c r="B5733" t="n">
        <v>34408272</v>
      </c>
      <c r="C5733" s="2" t="n">
        <v>43873</v>
      </c>
      <c r="D5733" t="inlineStr">
        <is>
          <t>SPEC</t>
        </is>
      </c>
      <c r="E5733" t="inlineStr">
        <is>
          <t>SE MODULES DROE STS1250A</t>
        </is>
      </c>
      <c r="F5733" t="inlineStr">
        <is>
          <t>STS1250</t>
        </is>
      </c>
      <c r="G5733" t="inlineStr">
        <is>
          <t>GVE</t>
        </is>
      </c>
      <c r="H5733" t="inlineStr">
        <is>
          <t>STS</t>
        </is>
      </c>
      <c r="J5733" t="inlineStr">
        <is>
          <t>MATRION</t>
        </is>
      </c>
      <c r="K5733" t="inlineStr">
        <is>
          <t>NOM</t>
        </is>
      </c>
      <c r="L5733">
        <f>_xlfn.XLOOKUP(Tableau1[[#This Row],[TYPE DE PIECE]],Tableau4[MATIERE],Tableau4[SHORT TYPE],"",0,1)</f>
        <v/>
      </c>
      <c r="N5733">
        <f>IF(ISERR(FIND("DECOUPE",Tableau1[[#This Row],[DESIGNATION]])),"","NEED REF")</f>
        <v/>
      </c>
    </row>
    <row r="5734">
      <c r="B5734" t="n">
        <v>34408271</v>
      </c>
      <c r="C5734" s="2" t="n">
        <v>43873</v>
      </c>
      <c r="D5734" t="inlineStr">
        <is>
          <t>SPEC</t>
        </is>
      </c>
      <c r="E5734" t="inlineStr">
        <is>
          <t>SE MODULES CS STS1250A</t>
        </is>
      </c>
      <c r="F5734" t="inlineStr">
        <is>
          <t>STS1250</t>
        </is>
      </c>
      <c r="G5734" t="inlineStr">
        <is>
          <t>GVE</t>
        </is>
      </c>
      <c r="H5734" t="inlineStr">
        <is>
          <t>STS</t>
        </is>
      </c>
      <c r="J5734" t="inlineStr">
        <is>
          <t>MATRION</t>
        </is>
      </c>
      <c r="K5734" t="inlineStr">
        <is>
          <t>NOM</t>
        </is>
      </c>
      <c r="L5734">
        <f>_xlfn.XLOOKUP(Tableau1[[#This Row],[TYPE DE PIECE]],Tableau4[MATIERE],Tableau4[SHORT TYPE],"",0,1)</f>
        <v/>
      </c>
      <c r="N5734">
        <f>IF(ISERR(FIND("DECOUPE",Tableau1[[#This Row],[DESIGNATION]])),"","NEED REF")</f>
        <v/>
      </c>
    </row>
    <row r="5735">
      <c r="B5735" t="n">
        <v>34408270</v>
      </c>
      <c r="C5735" s="2" t="n">
        <v>43873</v>
      </c>
      <c r="D5735" t="inlineStr">
        <is>
          <t>SPEC</t>
        </is>
      </c>
      <c r="E5735" t="inlineStr">
        <is>
          <t>SE BYPASS STS1250A</t>
        </is>
      </c>
      <c r="F5735" t="inlineStr">
        <is>
          <t>STS1250</t>
        </is>
      </c>
      <c r="G5735" t="inlineStr">
        <is>
          <t>GVE</t>
        </is>
      </c>
      <c r="H5735" t="inlineStr">
        <is>
          <t>STS</t>
        </is>
      </c>
      <c r="J5735" t="inlineStr">
        <is>
          <t>MATRION</t>
        </is>
      </c>
      <c r="K5735" t="inlineStr">
        <is>
          <t>NOM</t>
        </is>
      </c>
      <c r="L5735">
        <f>_xlfn.XLOOKUP(Tableau1[[#This Row],[TYPE DE PIECE]],Tableau4[MATIERE],Tableau4[SHORT TYPE],"",0,1)</f>
        <v/>
      </c>
      <c r="N5735">
        <f>IF(ISERR(FIND("DECOUPE",Tableau1[[#This Row],[DESIGNATION]])),"","NEED REF")</f>
        <v/>
      </c>
    </row>
    <row r="5736">
      <c r="B5736" t="n">
        <v>34408269</v>
      </c>
      <c r="C5736" s="2" t="n">
        <v>43873</v>
      </c>
      <c r="D5736" t="inlineStr">
        <is>
          <t>SPEC</t>
        </is>
      </c>
      <c r="E5736" t="inlineStr">
        <is>
          <t>SE CHASSIS BAS STS1250A</t>
        </is>
      </c>
      <c r="F5736" t="inlineStr">
        <is>
          <t>STS1250</t>
        </is>
      </c>
      <c r="G5736" t="inlineStr">
        <is>
          <t>GVE</t>
        </is>
      </c>
      <c r="H5736" t="inlineStr">
        <is>
          <t>STS</t>
        </is>
      </c>
      <c r="J5736" t="inlineStr">
        <is>
          <t>MATRION</t>
        </is>
      </c>
      <c r="K5736" t="inlineStr">
        <is>
          <t>NOM</t>
        </is>
      </c>
      <c r="L5736">
        <f>_xlfn.XLOOKUP(Tableau1[[#This Row],[TYPE DE PIECE]],Tableau4[MATIERE],Tableau4[SHORT TYPE],"",0,1)</f>
        <v/>
      </c>
      <c r="N5736">
        <f>IF(ISERR(FIND("DECOUPE",Tableau1[[#This Row],[DESIGNATION]])),"","NEED REF")</f>
        <v/>
      </c>
    </row>
    <row r="5737">
      <c r="B5737" t="n">
        <v>34408268</v>
      </c>
      <c r="C5737" s="2" t="n">
        <v>43872</v>
      </c>
      <c r="D5737" t="inlineStr">
        <is>
          <t>SPEC</t>
        </is>
      </c>
      <c r="E5737" t="inlineStr">
        <is>
          <t>COP JUNCTION CONTACTEUR NEUTRE COUPE 3</t>
        </is>
      </c>
      <c r="F5737" t="inlineStr">
        <is>
          <t>STS1250</t>
        </is>
      </c>
      <c r="G5737" t="inlineStr">
        <is>
          <t>GVE</t>
        </is>
      </c>
      <c r="H5737" t="inlineStr">
        <is>
          <t>STS</t>
        </is>
      </c>
      <c r="J5737" t="inlineStr">
        <is>
          <t>MATRION</t>
        </is>
      </c>
      <c r="K5737" t="inlineStr">
        <is>
          <t>CUIVRE</t>
        </is>
      </c>
      <c r="L5737">
        <f>_xlfn.XLOOKUP(Tableau1[[#This Row],[TYPE DE PIECE]],Tableau4[MATIERE],Tableau4[SHORT TYPE],"",0,1)</f>
        <v/>
      </c>
      <c r="N5737">
        <f>IF(ISERR(FIND("DECOUPE",Tableau1[[#This Row],[DESIGNATION]])),"","NEED REF")</f>
        <v/>
      </c>
    </row>
    <row r="5738">
      <c r="B5738" t="n">
        <v>34408267</v>
      </c>
      <c r="C5738" s="2" t="n">
        <v>43871</v>
      </c>
      <c r="D5738" t="inlineStr">
        <is>
          <t>SPEC</t>
        </is>
      </c>
      <c r="E5738" t="inlineStr">
        <is>
          <t>FLEX JUNCTION CONTACTEUR NEUTRE COUPE 2</t>
        </is>
      </c>
      <c r="F5738" t="inlineStr">
        <is>
          <t>STS1250</t>
        </is>
      </c>
      <c r="G5738" t="inlineStr">
        <is>
          <t>GVE</t>
        </is>
      </c>
      <c r="H5738" t="inlineStr">
        <is>
          <t>STS</t>
        </is>
      </c>
      <c r="J5738" t="inlineStr">
        <is>
          <t>MATRION</t>
        </is>
      </c>
      <c r="K5738" t="inlineStr">
        <is>
          <t>CUIVRE</t>
        </is>
      </c>
      <c r="L5738">
        <f>_xlfn.XLOOKUP(Tableau1[[#This Row],[TYPE DE PIECE]],Tableau4[MATIERE],Tableau4[SHORT TYPE],"",0,1)</f>
        <v/>
      </c>
      <c r="N5738">
        <f>IF(ISERR(FIND("DECOUPE",Tableau1[[#This Row],[DESIGNATION]])),"","NEED REF")</f>
        <v/>
      </c>
    </row>
    <row r="5739">
      <c r="B5739" t="n">
        <v>34408266</v>
      </c>
      <c r="C5739" s="2" t="n">
        <v>43871</v>
      </c>
      <c r="D5739" t="inlineStr">
        <is>
          <t>SPEC</t>
        </is>
      </c>
      <c r="E5739" t="inlineStr">
        <is>
          <t>COP JUNCTION CONTACTEUR NEUTRE COUPE 1</t>
        </is>
      </c>
      <c r="F5739" t="inlineStr">
        <is>
          <t>STS1250</t>
        </is>
      </c>
      <c r="G5739" t="inlineStr">
        <is>
          <t>GVE</t>
        </is>
      </c>
      <c r="H5739" t="inlineStr">
        <is>
          <t>STS</t>
        </is>
      </c>
      <c r="J5739" t="inlineStr">
        <is>
          <t>MATRION</t>
        </is>
      </c>
      <c r="K5739" t="inlineStr">
        <is>
          <t>CUIVRE</t>
        </is>
      </c>
      <c r="L5739">
        <f>_xlfn.XLOOKUP(Tableau1[[#This Row],[TYPE DE PIECE]],Tableau4[MATIERE],Tableau4[SHORT TYPE],"",0,1)</f>
        <v/>
      </c>
      <c r="N5739">
        <f>IF(ISERR(FIND("DECOUPE",Tableau1[[#This Row],[DESIGNATION]])),"","NEED REF")</f>
        <v/>
      </c>
    </row>
    <row r="5740">
      <c r="B5740" t="n">
        <v>34408265</v>
      </c>
      <c r="C5740" s="2" t="n">
        <v>43871</v>
      </c>
      <c r="D5740" t="inlineStr">
        <is>
          <t>SPEC</t>
        </is>
      </c>
      <c r="E5740" t="inlineStr">
        <is>
          <t>COP JDB CENTRAL NEUTRE COUPE</t>
        </is>
      </c>
      <c r="F5740" t="inlineStr">
        <is>
          <t>STS1250</t>
        </is>
      </c>
      <c r="G5740" t="inlineStr">
        <is>
          <t>GVE</t>
        </is>
      </c>
      <c r="H5740" t="inlineStr">
        <is>
          <t>STS</t>
        </is>
      </c>
      <c r="J5740" t="inlineStr">
        <is>
          <t>MATRION</t>
        </is>
      </c>
      <c r="K5740" t="inlineStr">
        <is>
          <t>CUIVRE</t>
        </is>
      </c>
      <c r="L5740">
        <f>_xlfn.XLOOKUP(Tableau1[[#This Row],[TYPE DE PIECE]],Tableau4[MATIERE],Tableau4[SHORT TYPE],"",0,1)</f>
        <v/>
      </c>
      <c r="N5740">
        <f>IF(ISERR(FIND("DECOUPE",Tableau1[[#This Row],[DESIGNATION]])),"","NEED REF")</f>
        <v/>
      </c>
    </row>
    <row r="5741">
      <c r="B5741" t="n">
        <v>34408264</v>
      </c>
      <c r="C5741" s="2" t="n">
        <v>43871</v>
      </c>
      <c r="D5741" t="inlineStr">
        <is>
          <t>SPEC</t>
        </is>
      </c>
      <c r="E5741" t="inlineStr">
        <is>
          <t>SMT PLATINE NEUTRE COUPE</t>
        </is>
      </c>
      <c r="F5741" t="inlineStr">
        <is>
          <t>STS1250</t>
        </is>
      </c>
      <c r="G5741" t="inlineStr">
        <is>
          <t>GVE</t>
        </is>
      </c>
      <c r="H5741" t="inlineStr">
        <is>
          <t>STS</t>
        </is>
      </c>
      <c r="J5741" t="inlineStr">
        <is>
          <t>MATRION</t>
        </is>
      </c>
      <c r="K5741" t="inlineStr">
        <is>
          <t>METAL</t>
        </is>
      </c>
      <c r="L5741">
        <f>_xlfn.XLOOKUP(Tableau1[[#This Row],[TYPE DE PIECE]],Tableau4[MATIERE],Tableau4[SHORT TYPE],"",0,1)</f>
        <v/>
      </c>
      <c r="N5741">
        <f>IF(ISERR(FIND("DECOUPE",Tableau1[[#This Row],[DESIGNATION]])),"","NEED REF")</f>
        <v/>
      </c>
    </row>
    <row r="5742">
      <c r="B5742" t="n">
        <v>34408263</v>
      </c>
      <c r="C5742" s="2" t="n">
        <v>43868</v>
      </c>
      <c r="D5742" t="inlineStr">
        <is>
          <t>SPEC</t>
        </is>
      </c>
      <c r="E5742" t="inlineStr">
        <is>
          <t>SMT GLISSIERE MODULE ELEC 2</t>
        </is>
      </c>
      <c r="F5742" t="inlineStr">
        <is>
          <t>STS1250</t>
        </is>
      </c>
      <c r="G5742" t="inlineStr">
        <is>
          <t>GVE</t>
        </is>
      </c>
      <c r="H5742" t="inlineStr">
        <is>
          <t>STS</t>
        </is>
      </c>
      <c r="J5742" t="inlineStr">
        <is>
          <t>MATRION</t>
        </is>
      </c>
      <c r="K5742" t="inlineStr">
        <is>
          <t>METAL</t>
        </is>
      </c>
      <c r="L5742">
        <f>_xlfn.XLOOKUP(Tableau1[[#This Row],[TYPE DE PIECE]],Tableau4[MATIERE],Tableau4[SHORT TYPE],"",0,1)</f>
        <v/>
      </c>
      <c r="N5742">
        <f>IF(ISERR(FIND("DECOUPE",Tableau1[[#This Row],[DESIGNATION]])),"","NEED REF")</f>
        <v/>
      </c>
    </row>
    <row r="5743">
      <c r="B5743" t="n">
        <v>34408262</v>
      </c>
      <c r="C5743" s="2" t="n">
        <v>43868</v>
      </c>
      <c r="D5743" t="inlineStr">
        <is>
          <t>SPEC</t>
        </is>
      </c>
      <c r="E5743" t="inlineStr">
        <is>
          <t>SMT GLISSIERE MODULE ELEC</t>
        </is>
      </c>
      <c r="F5743" t="inlineStr">
        <is>
          <t>STS1250</t>
        </is>
      </c>
      <c r="G5743" t="inlineStr">
        <is>
          <t>GVE</t>
        </is>
      </c>
      <c r="H5743" t="inlineStr">
        <is>
          <t>STS</t>
        </is>
      </c>
      <c r="J5743" t="inlineStr">
        <is>
          <t>MATRION</t>
        </is>
      </c>
      <c r="K5743" t="inlineStr">
        <is>
          <t>METAL</t>
        </is>
      </c>
      <c r="L5743">
        <f>_xlfn.XLOOKUP(Tableau1[[#This Row],[TYPE DE PIECE]],Tableau4[MATIERE],Tableau4[SHORT TYPE],"",0,1)</f>
        <v/>
      </c>
      <c r="N5743">
        <f>IF(ISERR(FIND("DECOUPE",Tableau1[[#This Row],[DESIGNATION]])),"","NEED REF")</f>
        <v/>
      </c>
    </row>
    <row r="5744">
      <c r="B5744" t="n">
        <v>34408261</v>
      </c>
      <c r="C5744" s="2" t="n">
        <v>43868</v>
      </c>
      <c r="D5744" t="inlineStr">
        <is>
          <t>SPEC</t>
        </is>
      </c>
      <c r="E5744" t="inlineStr">
        <is>
          <t>SMT SUPPORT AVANT MODULE ELEC</t>
        </is>
      </c>
      <c r="F5744" t="inlineStr">
        <is>
          <t>STS1250</t>
        </is>
      </c>
      <c r="G5744" t="inlineStr">
        <is>
          <t>GVE</t>
        </is>
      </c>
      <c r="H5744" t="inlineStr">
        <is>
          <t>STS</t>
        </is>
      </c>
      <c r="J5744" t="inlineStr">
        <is>
          <t>MATRION</t>
        </is>
      </c>
      <c r="K5744" t="inlineStr">
        <is>
          <t>METAL</t>
        </is>
      </c>
      <c r="L5744">
        <f>_xlfn.XLOOKUP(Tableau1[[#This Row],[TYPE DE PIECE]],Tableau4[MATIERE],Tableau4[SHORT TYPE],"",0,1)</f>
        <v/>
      </c>
      <c r="N5744">
        <f>IF(ISERR(FIND("DECOUPE",Tableau1[[#This Row],[DESIGNATION]])),"","NEED REF")</f>
        <v/>
      </c>
    </row>
    <row r="5745">
      <c r="B5745" t="n">
        <v>34408260</v>
      </c>
      <c r="C5745" s="2" t="n">
        <v>43868</v>
      </c>
      <c r="D5745" t="inlineStr">
        <is>
          <t>SPEC</t>
        </is>
      </c>
      <c r="E5745" t="inlineStr">
        <is>
          <t>Masterpact NW32 H2 3P Micro2.0</t>
        </is>
      </c>
      <c r="G5745" t="inlineStr">
        <is>
          <t>GVX</t>
        </is>
      </c>
      <c r="J5745" t="inlineStr">
        <is>
          <t>MONGELLI</t>
        </is>
      </c>
      <c r="L5745">
        <f>_xlfn.XLOOKUP(Tableau1[[#This Row],[TYPE DE PIECE]],Tableau4[MATIERE],Tableau4[SHORT TYPE],"",0,1)</f>
        <v/>
      </c>
      <c r="N5745">
        <f>IF(ISERR(FIND("DECOUPE",Tableau1[[#This Row],[DESIGNATION]])),"","NEED REF")</f>
        <v/>
      </c>
    </row>
    <row r="5746">
      <c r="B5746" t="n">
        <v>34408259</v>
      </c>
      <c r="C5746" s="2" t="n">
        <v>43868</v>
      </c>
      <c r="D5746" t="inlineStr">
        <is>
          <t>SPEC</t>
        </is>
      </c>
      <c r="E5746" t="inlineStr">
        <is>
          <t>Masterpact NW25 H2 3P Micro2.0</t>
        </is>
      </c>
      <c r="G5746" t="inlineStr">
        <is>
          <t>GVX</t>
        </is>
      </c>
      <c r="J5746" t="inlineStr">
        <is>
          <t>MONGELLI</t>
        </is>
      </c>
      <c r="L5746">
        <f>_xlfn.XLOOKUP(Tableau1[[#This Row],[TYPE DE PIECE]],Tableau4[MATIERE],Tableau4[SHORT TYPE],"",0,1)</f>
        <v/>
      </c>
      <c r="N5746">
        <f>IF(ISERR(FIND("DECOUPE",Tableau1[[#This Row],[DESIGNATION]])),"","NEED REF")</f>
        <v/>
      </c>
    </row>
    <row r="5747">
      <c r="B5747" t="n">
        <v>34408258</v>
      </c>
      <c r="C5747" s="2" t="n">
        <v>43868</v>
      </c>
      <c r="D5747" t="inlineStr">
        <is>
          <t>SPEC</t>
        </is>
      </c>
      <c r="E5747" t="inlineStr">
        <is>
          <t>PLASTRON GVX 2x700 3 INS400 H = 275</t>
        </is>
      </c>
      <c r="F5747" t="inlineStr">
        <is>
          <t>Glaxosmith</t>
        </is>
      </c>
      <c r="G5747" t="inlineStr">
        <is>
          <t>GVX</t>
        </is>
      </c>
      <c r="J5747" t="inlineStr">
        <is>
          <t>MASCELLINO</t>
        </is>
      </c>
      <c r="K5747" t="inlineStr">
        <is>
          <t>METAL</t>
        </is>
      </c>
      <c r="L5747">
        <f>_xlfn.XLOOKUP(Tableau1[[#This Row],[TYPE DE PIECE]],Tableau4[MATIERE],Tableau4[SHORT TYPE],"",0,1)</f>
        <v/>
      </c>
      <c r="N5747">
        <f>IF(ISERR(FIND("DECOUPE",Tableau1[[#This Row],[DESIGNATION]])),"","NEED REF")</f>
        <v/>
      </c>
    </row>
    <row r="5748">
      <c r="B5748" t="n">
        <v>34408257</v>
      </c>
      <c r="C5748" s="2" t="n">
        <v>43868</v>
      </c>
      <c r="D5748" t="inlineStr">
        <is>
          <t>SPEC</t>
        </is>
      </c>
      <c r="E5748" t="inlineStr">
        <is>
          <t>PLASTRON GVX 2x700 NSX 3x4P micro 400-630 H=300</t>
        </is>
      </c>
      <c r="F5748" t="inlineStr">
        <is>
          <t>Glaxosmith</t>
        </is>
      </c>
      <c r="G5748" t="inlineStr">
        <is>
          <t>GVX</t>
        </is>
      </c>
      <c r="J5748" t="inlineStr">
        <is>
          <t>MASCELLINO</t>
        </is>
      </c>
      <c r="K5748" t="inlineStr">
        <is>
          <t>METAL</t>
        </is>
      </c>
      <c r="L5748">
        <f>_xlfn.XLOOKUP(Tableau1[[#This Row],[TYPE DE PIECE]],Tableau4[MATIERE],Tableau4[SHORT TYPE],"",0,1)</f>
        <v/>
      </c>
      <c r="N5748">
        <f>IF(ISERR(FIND("DECOUPE",Tableau1[[#This Row],[DESIGNATION]])),"","NEED REF")</f>
        <v/>
      </c>
    </row>
    <row r="5749">
      <c r="B5749" t="n">
        <v>34408256</v>
      </c>
      <c r="C5749" s="2" t="n">
        <v>43868</v>
      </c>
      <c r="D5749" t="inlineStr">
        <is>
          <t>SPEC</t>
        </is>
      </c>
      <c r="E5749" t="inlineStr">
        <is>
          <t>COP JONCTION NEUTRE COUPE</t>
        </is>
      </c>
      <c r="F5749" t="inlineStr">
        <is>
          <t>STS1250</t>
        </is>
      </c>
      <c r="G5749" t="inlineStr">
        <is>
          <t>GVE</t>
        </is>
      </c>
      <c r="H5749" t="inlineStr">
        <is>
          <t>STS</t>
        </is>
      </c>
      <c r="J5749" t="inlineStr">
        <is>
          <t>MATRION</t>
        </is>
      </c>
      <c r="K5749" t="inlineStr">
        <is>
          <t>CUIVRE</t>
        </is>
      </c>
      <c r="L5749">
        <f>_xlfn.XLOOKUP(Tableau1[[#This Row],[TYPE DE PIECE]],Tableau4[MATIERE],Tableau4[SHORT TYPE],"",0,1)</f>
        <v/>
      </c>
      <c r="N5749">
        <f>IF(ISERR(FIND("DECOUPE",Tableau1[[#This Row],[DESIGNATION]])),"","NEED REF")</f>
        <v/>
      </c>
    </row>
    <row r="5750">
      <c r="B5750" t="n">
        <v>34408255</v>
      </c>
      <c r="C5750" s="2" t="n">
        <v>43868</v>
      </c>
      <c r="D5750" t="inlineStr">
        <is>
          <t>SPEC</t>
        </is>
      </c>
      <c r="E5750" t="inlineStr">
        <is>
          <t>COP BYPASS 11</t>
        </is>
      </c>
      <c r="F5750" t="inlineStr">
        <is>
          <t>STS1250</t>
        </is>
      </c>
      <c r="G5750" t="inlineStr">
        <is>
          <t>GVE</t>
        </is>
      </c>
      <c r="H5750" t="inlineStr">
        <is>
          <t>STS</t>
        </is>
      </c>
      <c r="J5750" t="inlineStr">
        <is>
          <t>MATRION</t>
        </is>
      </c>
      <c r="K5750" t="inlineStr">
        <is>
          <t>CUIVRE</t>
        </is>
      </c>
      <c r="L5750">
        <f>_xlfn.XLOOKUP(Tableau1[[#This Row],[TYPE DE PIECE]],Tableau4[MATIERE],Tableau4[SHORT TYPE],"",0,1)</f>
        <v/>
      </c>
      <c r="N5750">
        <f>IF(ISERR(FIND("DECOUPE",Tableau1[[#This Row],[DESIGNATION]])),"","NEED REF")</f>
        <v/>
      </c>
    </row>
    <row r="5751">
      <c r="B5751" t="n">
        <v>34408254</v>
      </c>
      <c r="C5751" s="2" t="n">
        <v>43868</v>
      </c>
      <c r="D5751" t="inlineStr">
        <is>
          <t>SPEC</t>
        </is>
      </c>
      <c r="E5751" t="inlineStr">
        <is>
          <t>COP FLEXIBAR ERICO 11</t>
        </is>
      </c>
      <c r="F5751" t="inlineStr">
        <is>
          <t>STS1250</t>
        </is>
      </c>
      <c r="G5751" t="inlineStr">
        <is>
          <t>GVE</t>
        </is>
      </c>
      <c r="H5751" t="inlineStr">
        <is>
          <t>STS</t>
        </is>
      </c>
      <c r="J5751" t="inlineStr">
        <is>
          <t>MATRION</t>
        </is>
      </c>
      <c r="K5751" t="inlineStr">
        <is>
          <t>CUIVRE</t>
        </is>
      </c>
      <c r="L5751">
        <f>_xlfn.XLOOKUP(Tableau1[[#This Row],[TYPE DE PIECE]],Tableau4[MATIERE],Tableau4[SHORT TYPE],"",0,1)</f>
        <v/>
      </c>
      <c r="N5751">
        <f>IF(ISERR(FIND("DECOUPE",Tableau1[[#This Row],[DESIGNATION]])),"","NEED REF")</f>
        <v/>
      </c>
    </row>
    <row r="5752">
      <c r="B5752" t="n">
        <v>34408253</v>
      </c>
      <c r="C5752" s="2" t="n">
        <v>43868</v>
      </c>
      <c r="D5752" t="inlineStr">
        <is>
          <t>SPEC</t>
        </is>
      </c>
      <c r="E5752" t="inlineStr">
        <is>
          <t>COP FLEXIBAR ERICO 10</t>
        </is>
      </c>
      <c r="F5752" t="inlineStr">
        <is>
          <t>STS1250</t>
        </is>
      </c>
      <c r="G5752" t="inlineStr">
        <is>
          <t>GVE</t>
        </is>
      </c>
      <c r="H5752" t="inlineStr">
        <is>
          <t>STS</t>
        </is>
      </c>
      <c r="J5752" t="inlineStr">
        <is>
          <t>MATRION</t>
        </is>
      </c>
      <c r="K5752" t="inlineStr">
        <is>
          <t>CUIVRE</t>
        </is>
      </c>
      <c r="L5752">
        <f>_xlfn.XLOOKUP(Tableau1[[#This Row],[TYPE DE PIECE]],Tableau4[MATIERE],Tableau4[SHORT TYPE],"",0,1)</f>
        <v/>
      </c>
      <c r="N5752">
        <f>IF(ISERR(FIND("DECOUPE",Tableau1[[#This Row],[DESIGNATION]])),"","NEED REF")</f>
        <v/>
      </c>
    </row>
    <row r="5753">
      <c r="B5753" t="n">
        <v>34408252</v>
      </c>
      <c r="C5753" s="2" t="n">
        <v>43868</v>
      </c>
      <c r="D5753" t="inlineStr">
        <is>
          <t>SPEC</t>
        </is>
      </c>
      <c r="E5753" t="inlineStr">
        <is>
          <t>COP FLEXIBAR ERICO 9</t>
        </is>
      </c>
      <c r="F5753" t="inlineStr">
        <is>
          <t>STS1250</t>
        </is>
      </c>
      <c r="G5753" t="inlineStr">
        <is>
          <t>GVE</t>
        </is>
      </c>
      <c r="H5753" t="inlineStr">
        <is>
          <t>STS</t>
        </is>
      </c>
      <c r="J5753" t="inlineStr">
        <is>
          <t>MATRION</t>
        </is>
      </c>
      <c r="K5753" t="inlineStr">
        <is>
          <t>CUIVRE</t>
        </is>
      </c>
      <c r="L5753">
        <f>_xlfn.XLOOKUP(Tableau1[[#This Row],[TYPE DE PIECE]],Tableau4[MATIERE],Tableau4[SHORT TYPE],"",0,1)</f>
        <v/>
      </c>
      <c r="N5753">
        <f>IF(ISERR(FIND("DECOUPE",Tableau1[[#This Row],[DESIGNATION]])),"","NEED REF")</f>
        <v/>
      </c>
    </row>
    <row r="5754">
      <c r="B5754" t="n">
        <v>34408251</v>
      </c>
      <c r="C5754" s="2" t="n">
        <v>43868</v>
      </c>
      <c r="D5754" t="inlineStr">
        <is>
          <t>SPEC</t>
        </is>
      </c>
      <c r="E5754" t="inlineStr">
        <is>
          <t>COP FLEXIBAR ERICO 8</t>
        </is>
      </c>
      <c r="F5754" t="inlineStr">
        <is>
          <t>STS1250</t>
        </is>
      </c>
      <c r="G5754" t="inlineStr">
        <is>
          <t>GVE</t>
        </is>
      </c>
      <c r="H5754" t="inlineStr">
        <is>
          <t>STS</t>
        </is>
      </c>
      <c r="J5754" t="inlineStr">
        <is>
          <t>MATRION</t>
        </is>
      </c>
      <c r="K5754" t="inlineStr">
        <is>
          <t>CUIVRE</t>
        </is>
      </c>
      <c r="L5754">
        <f>_xlfn.XLOOKUP(Tableau1[[#This Row],[TYPE DE PIECE]],Tableau4[MATIERE],Tableau4[SHORT TYPE],"",0,1)</f>
        <v/>
      </c>
      <c r="N5754">
        <f>IF(ISERR(FIND("DECOUPE",Tableau1[[#This Row],[DESIGNATION]])),"","NEED REF")</f>
        <v/>
      </c>
    </row>
    <row r="5755">
      <c r="B5755" t="n">
        <v>34408250</v>
      </c>
      <c r="C5755" s="2" t="n">
        <v>43867</v>
      </c>
      <c r="D5755" t="inlineStr">
        <is>
          <t>SPEC</t>
        </is>
      </c>
      <c r="E5755" t="inlineStr">
        <is>
          <t>CUIVRE MTZ1 50X10</t>
        </is>
      </c>
      <c r="J5755" t="inlineStr">
        <is>
          <t>MASCELLINO</t>
        </is>
      </c>
      <c r="K5755" t="inlineStr">
        <is>
          <t>CUIVRE</t>
        </is>
      </c>
      <c r="L5755">
        <f>_xlfn.XLOOKUP(Tableau1[[#This Row],[TYPE DE PIECE]],Tableau4[MATIERE],Tableau4[SHORT TYPE],"",0,1)</f>
        <v/>
      </c>
      <c r="N5755">
        <f>IF(ISERR(FIND("DECOUPE",Tableau1[[#This Row],[DESIGNATION]])),"","NEED REF")</f>
        <v/>
      </c>
    </row>
    <row r="5756">
      <c r="B5756" t="n">
        <v>34408249</v>
      </c>
      <c r="C5756" s="2" t="n">
        <v>43867</v>
      </c>
      <c r="D5756" t="inlineStr">
        <is>
          <t>SPEC</t>
        </is>
      </c>
      <c r="E5756" t="inlineStr">
        <is>
          <t>SUPPORT DOUBLE MTZ1</t>
        </is>
      </c>
      <c r="J5756" t="inlineStr">
        <is>
          <t>MASCELLINO</t>
        </is>
      </c>
      <c r="K5756" t="inlineStr">
        <is>
          <t>METAL</t>
        </is>
      </c>
      <c r="L5756">
        <f>_xlfn.XLOOKUP(Tableau1[[#This Row],[TYPE DE PIECE]],Tableau4[MATIERE],Tableau4[SHORT TYPE],"",0,1)</f>
        <v/>
      </c>
      <c r="N5756">
        <f>IF(ISERR(FIND("DECOUPE",Tableau1[[#This Row],[DESIGNATION]])),"","NEED REF")</f>
        <v/>
      </c>
    </row>
    <row r="5757">
      <c r="B5757" t="n">
        <v>34408248</v>
      </c>
      <c r="C5757" s="2" t="n">
        <v>43867</v>
      </c>
      <c r="D5757" t="inlineStr">
        <is>
          <t>SPEC</t>
        </is>
      </c>
      <c r="E5757" t="inlineStr">
        <is>
          <t>PLASTRON L = 909 H = 402</t>
        </is>
      </c>
      <c r="J5757" t="inlineStr">
        <is>
          <t>MASCELLINO</t>
        </is>
      </c>
      <c r="K5757" t="inlineStr">
        <is>
          <t>METAL</t>
        </is>
      </c>
      <c r="L5757">
        <f>_xlfn.XLOOKUP(Tableau1[[#This Row],[TYPE DE PIECE]],Tableau4[MATIERE],Tableau4[SHORT TYPE],"",0,1)</f>
        <v/>
      </c>
      <c r="N5757">
        <f>IF(ISERR(FIND("DECOUPE",Tableau1[[#This Row],[DESIGNATION]])),"","NEED REF")</f>
        <v/>
      </c>
    </row>
    <row r="5758">
      <c r="B5758" t="n">
        <v>34408247</v>
      </c>
      <c r="C5758" s="2" t="n">
        <v>43867</v>
      </c>
      <c r="D5758" t="inlineStr">
        <is>
          <t>SPEC</t>
        </is>
      </c>
      <c r="E5758" t="inlineStr">
        <is>
          <t>PLASTRON L = 909 H = 100</t>
        </is>
      </c>
      <c r="J5758" t="inlineStr">
        <is>
          <t>MASCELLINO</t>
        </is>
      </c>
      <c r="K5758" t="inlineStr">
        <is>
          <t>METAL</t>
        </is>
      </c>
      <c r="L5758">
        <f>_xlfn.XLOOKUP(Tableau1[[#This Row],[TYPE DE PIECE]],Tableau4[MATIERE],Tableau4[SHORT TYPE],"",0,1)</f>
        <v/>
      </c>
      <c r="N5758">
        <f>IF(ISERR(FIND("DECOUPE",Tableau1[[#This Row],[DESIGNATION]])),"","NEED REF")</f>
        <v/>
      </c>
    </row>
    <row r="5759">
      <c r="B5759" t="n">
        <v>34408246</v>
      </c>
      <c r="C5759" s="2" t="n">
        <v>43867</v>
      </c>
      <c r="D5759" t="inlineStr">
        <is>
          <t>SPEC</t>
        </is>
      </c>
      <c r="E5759" t="inlineStr">
        <is>
          <t>PLASTRON L = 909 H = 350</t>
        </is>
      </c>
      <c r="J5759" t="inlineStr">
        <is>
          <t>MASCELLINO</t>
        </is>
      </c>
      <c r="K5759" t="inlineStr">
        <is>
          <t>METAL</t>
        </is>
      </c>
      <c r="L5759">
        <f>_xlfn.XLOOKUP(Tableau1[[#This Row],[TYPE DE PIECE]],Tableau4[MATIERE],Tableau4[SHORT TYPE],"",0,1)</f>
        <v/>
      </c>
      <c r="N5759">
        <f>IF(ISERR(FIND("DECOUPE",Tableau1[[#This Row],[DESIGNATION]])),"","NEED REF")</f>
        <v/>
      </c>
    </row>
    <row r="5760">
      <c r="B5760" t="n">
        <v>34408245</v>
      </c>
      <c r="C5760" s="2" t="n">
        <v>43867</v>
      </c>
      <c r="D5760" t="inlineStr">
        <is>
          <t>SPEC</t>
        </is>
      </c>
      <c r="E5760" t="inlineStr">
        <is>
          <t>PLASTRON L = 909 H = 224</t>
        </is>
      </c>
      <c r="J5760" t="inlineStr">
        <is>
          <t>MASCELLINO</t>
        </is>
      </c>
      <c r="K5760" t="inlineStr">
        <is>
          <t>METAL</t>
        </is>
      </c>
      <c r="L5760">
        <f>_xlfn.XLOOKUP(Tableau1[[#This Row],[TYPE DE PIECE]],Tableau4[MATIERE],Tableau4[SHORT TYPE],"",0,1)</f>
        <v/>
      </c>
      <c r="N5760">
        <f>IF(ISERR(FIND("DECOUPE",Tableau1[[#This Row],[DESIGNATION]])),"","NEED REF")</f>
        <v/>
      </c>
    </row>
    <row r="5761">
      <c r="B5761" t="n">
        <v>34408244</v>
      </c>
      <c r="C5761" s="2" t="n">
        <v>43867</v>
      </c>
      <c r="D5761" t="inlineStr">
        <is>
          <t>SPEC</t>
        </is>
      </c>
      <c r="E5761" t="inlineStr">
        <is>
          <t>PLASTRON L = 909 H = 350</t>
        </is>
      </c>
      <c r="J5761" t="inlineStr">
        <is>
          <t>MASCELLINO</t>
        </is>
      </c>
      <c r="K5761" t="inlineStr">
        <is>
          <t>METAL</t>
        </is>
      </c>
      <c r="L5761">
        <f>_xlfn.XLOOKUP(Tableau1[[#This Row],[TYPE DE PIECE]],Tableau4[MATIERE],Tableau4[SHORT TYPE],"",0,1)</f>
        <v/>
      </c>
      <c r="N5761">
        <f>IF(ISERR(FIND("DECOUPE",Tableau1[[#This Row],[DESIGNATION]])),"","NEED REF")</f>
        <v/>
      </c>
    </row>
    <row r="5762">
      <c r="B5762" t="n">
        <v>34408243</v>
      </c>
      <c r="C5762" s="2" t="n">
        <v>43867</v>
      </c>
      <c r="D5762" t="inlineStr">
        <is>
          <t>SPEC</t>
        </is>
      </c>
      <c r="E5762" t="inlineStr">
        <is>
          <t>PLASTRON L = 909 H = 277</t>
        </is>
      </c>
      <c r="J5762" t="inlineStr">
        <is>
          <t>MASCELLINO</t>
        </is>
      </c>
      <c r="K5762" t="inlineStr">
        <is>
          <t>METAL</t>
        </is>
      </c>
      <c r="L5762">
        <f>_xlfn.XLOOKUP(Tableau1[[#This Row],[TYPE DE PIECE]],Tableau4[MATIERE],Tableau4[SHORT TYPE],"",0,1)</f>
        <v/>
      </c>
      <c r="N5762">
        <f>IF(ISERR(FIND("DECOUPE",Tableau1[[#This Row],[DESIGNATION]])),"","NEED REF")</f>
        <v/>
      </c>
    </row>
    <row r="5763">
      <c r="B5763" t="n">
        <v>34408242</v>
      </c>
      <c r="C5763" s="2" t="n">
        <v>43867</v>
      </c>
      <c r="D5763" t="inlineStr">
        <is>
          <t>SPEC</t>
        </is>
      </c>
      <c r="E5763" t="inlineStr">
        <is>
          <t>SUPPORT CUIVRE NS800</t>
        </is>
      </c>
      <c r="J5763" t="inlineStr">
        <is>
          <t>MASCELLINO</t>
        </is>
      </c>
      <c r="K5763" t="inlineStr">
        <is>
          <t>METAL</t>
        </is>
      </c>
      <c r="L5763">
        <f>_xlfn.XLOOKUP(Tableau1[[#This Row],[TYPE DE PIECE]],Tableau4[MATIERE],Tableau4[SHORT TYPE],"",0,1)</f>
        <v/>
      </c>
      <c r="N5763">
        <f>IF(ISERR(FIND("DECOUPE",Tableau1[[#This Row],[DESIGNATION]])),"","NEED REF")</f>
        <v/>
      </c>
    </row>
    <row r="5764">
      <c r="B5764" t="n">
        <v>34408241</v>
      </c>
      <c r="C5764" s="2" t="n">
        <v>43867</v>
      </c>
      <c r="D5764" t="inlineStr">
        <is>
          <t>SPEC</t>
        </is>
      </c>
      <c r="E5764" t="inlineStr">
        <is>
          <t>CUIVRE NS800 50X10</t>
        </is>
      </c>
      <c r="J5764" t="inlineStr">
        <is>
          <t>MASCELLINO</t>
        </is>
      </c>
      <c r="K5764" t="inlineStr">
        <is>
          <t>CUIVRE</t>
        </is>
      </c>
      <c r="L5764">
        <f>_xlfn.XLOOKUP(Tableau1[[#This Row],[TYPE DE PIECE]],Tableau4[MATIERE],Tableau4[SHORT TYPE],"",0,1)</f>
        <v/>
      </c>
      <c r="N5764">
        <f>IF(ISERR(FIND("DECOUPE",Tableau1[[#This Row],[DESIGNATION]])),"","NEED REF")</f>
        <v/>
      </c>
    </row>
    <row r="5765">
      <c r="B5765" t="n">
        <v>34408240</v>
      </c>
      <c r="C5765" s="2" t="n">
        <v>43867</v>
      </c>
      <c r="D5765" t="inlineStr">
        <is>
          <t>SPEC</t>
        </is>
      </c>
      <c r="E5765" t="inlineStr">
        <is>
          <t>SUPPORT CUIVRE MTZ1</t>
        </is>
      </c>
      <c r="J5765" t="inlineStr">
        <is>
          <t>MASCELLINO</t>
        </is>
      </c>
      <c r="K5765" t="inlineStr">
        <is>
          <t>METAL</t>
        </is>
      </c>
      <c r="L5765">
        <f>_xlfn.XLOOKUP(Tableau1[[#This Row],[TYPE DE PIECE]],Tableau4[MATIERE],Tableau4[SHORT TYPE],"",0,1)</f>
        <v/>
      </c>
      <c r="N5765">
        <f>IF(ISERR(FIND("DECOUPE",Tableau1[[#This Row],[DESIGNATION]])),"","NEED REF")</f>
        <v/>
      </c>
    </row>
    <row r="5766">
      <c r="B5766" t="n">
        <v>34408239</v>
      </c>
      <c r="C5766" s="2" t="n">
        <v>43867</v>
      </c>
      <c r="D5766" t="inlineStr">
        <is>
          <t>SPEC</t>
        </is>
      </c>
      <c r="E5766" t="inlineStr">
        <is>
          <t>PLATINE SUPPORT CUIVRE DISTRIBUTION GAUCHE</t>
        </is>
      </c>
      <c r="J5766" t="inlineStr">
        <is>
          <t>MASCELLINO</t>
        </is>
      </c>
      <c r="K5766" t="inlineStr">
        <is>
          <t>METAL</t>
        </is>
      </c>
      <c r="L5766">
        <f>_xlfn.XLOOKUP(Tableau1[[#This Row],[TYPE DE PIECE]],Tableau4[MATIERE],Tableau4[SHORT TYPE],"",0,1)</f>
        <v/>
      </c>
      <c r="N5766">
        <f>IF(ISERR(FIND("DECOUPE",Tableau1[[#This Row],[DESIGNATION]])),"","NEED REF")</f>
        <v/>
      </c>
    </row>
    <row r="5767">
      <c r="B5767" t="n">
        <v>34408238</v>
      </c>
      <c r="C5767" s="2" t="n">
        <v>43867</v>
      </c>
      <c r="D5767" t="inlineStr">
        <is>
          <t>SPEC</t>
        </is>
      </c>
      <c r="E5767" t="inlineStr">
        <is>
          <t>CUIVRE MTZ1 50X10</t>
        </is>
      </c>
      <c r="J5767" t="inlineStr">
        <is>
          <t>MASCELLINO</t>
        </is>
      </c>
      <c r="K5767" t="inlineStr">
        <is>
          <t>CUIVRE</t>
        </is>
      </c>
      <c r="L5767">
        <f>_xlfn.XLOOKUP(Tableau1[[#This Row],[TYPE DE PIECE]],Tableau4[MATIERE],Tableau4[SHORT TYPE],"",0,1)</f>
        <v/>
      </c>
      <c r="N5767">
        <f>IF(ISERR(FIND("DECOUPE",Tableau1[[#This Row],[DESIGNATION]])),"","NEED REF")</f>
        <v/>
      </c>
    </row>
    <row r="5768">
      <c r="B5768" t="n">
        <v>34408237</v>
      </c>
      <c r="C5768" s="2" t="n">
        <v>43867</v>
      </c>
      <c r="D5768" t="inlineStr">
        <is>
          <t>SPEC</t>
        </is>
      </c>
      <c r="E5768" t="inlineStr">
        <is>
          <t>CUIVRE MTZ1 50X10</t>
        </is>
      </c>
      <c r="J5768" t="inlineStr">
        <is>
          <t>MASCELLINO</t>
        </is>
      </c>
      <c r="K5768" t="inlineStr">
        <is>
          <t>CUIVRE</t>
        </is>
      </c>
      <c r="L5768">
        <f>_xlfn.XLOOKUP(Tableau1[[#This Row],[TYPE DE PIECE]],Tableau4[MATIERE],Tableau4[SHORT TYPE],"",0,1)</f>
        <v/>
      </c>
      <c r="N5768">
        <f>IF(ISERR(FIND("DECOUPE",Tableau1[[#This Row],[DESIGNATION]])),"","NEED REF")</f>
        <v/>
      </c>
    </row>
    <row r="5769">
      <c r="B5769" t="n">
        <v>34408236</v>
      </c>
      <c r="C5769" s="2" t="n">
        <v>43867</v>
      </c>
      <c r="D5769" t="inlineStr">
        <is>
          <t>SPEC</t>
        </is>
      </c>
      <c r="E5769" t="inlineStr">
        <is>
          <t>CUIVRE MTZ1 50X10</t>
        </is>
      </c>
      <c r="J5769" t="inlineStr">
        <is>
          <t>MASCELLINO</t>
        </is>
      </c>
      <c r="K5769" t="inlineStr">
        <is>
          <t>CUIVRE</t>
        </is>
      </c>
      <c r="L5769">
        <f>_xlfn.XLOOKUP(Tableau1[[#This Row],[TYPE DE PIECE]],Tableau4[MATIERE],Tableau4[SHORT TYPE],"",0,1)</f>
        <v/>
      </c>
      <c r="N5769">
        <f>IF(ISERR(FIND("DECOUPE",Tableau1[[#This Row],[DESIGNATION]])),"","NEED REF")</f>
        <v/>
      </c>
    </row>
    <row r="5770">
      <c r="B5770" t="n">
        <v>34408235</v>
      </c>
      <c r="C5770" s="2" t="n">
        <v>43867</v>
      </c>
      <c r="D5770" t="inlineStr">
        <is>
          <t>SPEC</t>
        </is>
      </c>
      <c r="E5770" t="inlineStr">
        <is>
          <t>CUIVRE MTZ1 50X10</t>
        </is>
      </c>
      <c r="J5770" t="inlineStr">
        <is>
          <t>MASCELLINO</t>
        </is>
      </c>
      <c r="K5770" t="inlineStr">
        <is>
          <t>CUIVRE</t>
        </is>
      </c>
      <c r="L5770">
        <f>_xlfn.XLOOKUP(Tableau1[[#This Row],[TYPE DE PIECE]],Tableau4[MATIERE],Tableau4[SHORT TYPE],"",0,1)</f>
        <v/>
      </c>
      <c r="N5770">
        <f>IF(ISERR(FIND("DECOUPE",Tableau1[[#This Row],[DESIGNATION]])),"","NEED REF")</f>
        <v/>
      </c>
    </row>
    <row r="5771">
      <c r="B5771" t="n">
        <v>34408234</v>
      </c>
      <c r="C5771" s="2" t="n">
        <v>43867</v>
      </c>
      <c r="D5771" t="inlineStr">
        <is>
          <t>SPEC</t>
        </is>
      </c>
      <c r="E5771" t="inlineStr">
        <is>
          <t>CUIVRE RACCORDEMENT 80x5</t>
        </is>
      </c>
      <c r="J5771" t="inlineStr">
        <is>
          <t>MASCELLINO</t>
        </is>
      </c>
      <c r="K5771" t="inlineStr">
        <is>
          <t>CUIVRE</t>
        </is>
      </c>
      <c r="L5771">
        <f>_xlfn.XLOOKUP(Tableau1[[#This Row],[TYPE DE PIECE]],Tableau4[MATIERE],Tableau4[SHORT TYPE],"",0,1)</f>
        <v/>
      </c>
      <c r="N5771">
        <f>IF(ISERR(FIND("DECOUPE",Tableau1[[#This Row],[DESIGNATION]])),"","NEED REF")</f>
        <v/>
      </c>
    </row>
    <row r="5772">
      <c r="B5772" t="n">
        <v>34408233</v>
      </c>
      <c r="C5772" s="2" t="n">
        <v>43867</v>
      </c>
      <c r="D5772" t="inlineStr">
        <is>
          <t>SPEC</t>
        </is>
      </c>
      <c r="E5772" t="inlineStr">
        <is>
          <t>CUIVRE NS800 50X10</t>
        </is>
      </c>
      <c r="J5772" t="inlineStr">
        <is>
          <t>MASCELLINO</t>
        </is>
      </c>
      <c r="K5772" t="inlineStr">
        <is>
          <t>CUIVRE</t>
        </is>
      </c>
      <c r="L5772">
        <f>_xlfn.XLOOKUP(Tableau1[[#This Row],[TYPE DE PIECE]],Tableau4[MATIERE],Tableau4[SHORT TYPE],"",0,1)</f>
        <v/>
      </c>
      <c r="N5772">
        <f>IF(ISERR(FIND("DECOUPE",Tableau1[[#This Row],[DESIGNATION]])),"","NEED REF")</f>
        <v/>
      </c>
    </row>
    <row r="5773">
      <c r="B5773" t="n">
        <v>34408232</v>
      </c>
      <c r="C5773" s="2" t="n">
        <v>43867</v>
      </c>
      <c r="D5773" t="inlineStr">
        <is>
          <t>SPEC</t>
        </is>
      </c>
      <c r="E5773" t="inlineStr">
        <is>
          <t>CUIVRE NS800 50X10</t>
        </is>
      </c>
      <c r="J5773" t="inlineStr">
        <is>
          <t>MASCELLINO</t>
        </is>
      </c>
      <c r="K5773" t="inlineStr">
        <is>
          <t>CUIVRE</t>
        </is>
      </c>
      <c r="L5773">
        <f>_xlfn.XLOOKUP(Tableau1[[#This Row],[TYPE DE PIECE]],Tableau4[MATIERE],Tableau4[SHORT TYPE],"",0,1)</f>
        <v/>
      </c>
      <c r="N5773">
        <f>IF(ISERR(FIND("DECOUPE",Tableau1[[#This Row],[DESIGNATION]])),"","NEED REF")</f>
        <v/>
      </c>
    </row>
    <row r="5774">
      <c r="B5774" t="n">
        <v>34408231</v>
      </c>
      <c r="C5774" s="2" t="n">
        <v>43867</v>
      </c>
      <c r="D5774" t="inlineStr">
        <is>
          <t>SPEC</t>
        </is>
      </c>
      <c r="E5774" t="inlineStr">
        <is>
          <t>CUIVRE NS800 50X10</t>
        </is>
      </c>
      <c r="J5774" t="inlineStr">
        <is>
          <t>MASCELLINO</t>
        </is>
      </c>
      <c r="K5774" t="inlineStr">
        <is>
          <t>CUIVRE</t>
        </is>
      </c>
      <c r="L5774">
        <f>_xlfn.XLOOKUP(Tableau1[[#This Row],[TYPE DE PIECE]],Tableau4[MATIERE],Tableau4[SHORT TYPE],"",0,1)</f>
        <v/>
      </c>
      <c r="N5774">
        <f>IF(ISERR(FIND("DECOUPE",Tableau1[[#This Row],[DESIGNATION]])),"","NEED REF")</f>
        <v/>
      </c>
    </row>
    <row r="5775">
      <c r="B5775" t="n">
        <v>34408230</v>
      </c>
      <c r="C5775" s="2" t="n">
        <v>43867</v>
      </c>
      <c r="D5775" t="inlineStr">
        <is>
          <t>SPEC</t>
        </is>
      </c>
      <c r="E5775" t="inlineStr">
        <is>
          <t>CUIVRE NS800 50X10</t>
        </is>
      </c>
      <c r="J5775" t="inlineStr">
        <is>
          <t>MASCELLINO</t>
        </is>
      </c>
      <c r="K5775" t="inlineStr">
        <is>
          <t>CUIVRE</t>
        </is>
      </c>
      <c r="L5775">
        <f>_xlfn.XLOOKUP(Tableau1[[#This Row],[TYPE DE PIECE]],Tableau4[MATIERE],Tableau4[SHORT TYPE],"",0,1)</f>
        <v/>
      </c>
      <c r="N5775">
        <f>IF(ISERR(FIND("DECOUPE",Tableau1[[#This Row],[DESIGNATION]])),"","NEED REF")</f>
        <v/>
      </c>
    </row>
    <row r="5776">
      <c r="B5776" t="n">
        <v>34408229</v>
      </c>
      <c r="C5776" s="2" t="n">
        <v>43867</v>
      </c>
      <c r="D5776" t="inlineStr">
        <is>
          <t>SPEC</t>
        </is>
      </c>
      <c r="E5776" t="inlineStr">
        <is>
          <t>CUIVRE NSX400  32X5</t>
        </is>
      </c>
      <c r="J5776" t="inlineStr">
        <is>
          <t>MASCELLINO</t>
        </is>
      </c>
      <c r="K5776" t="inlineStr">
        <is>
          <t>CUIVRE</t>
        </is>
      </c>
      <c r="L5776">
        <f>_xlfn.XLOOKUP(Tableau1[[#This Row],[TYPE DE PIECE]],Tableau4[MATIERE],Tableau4[SHORT TYPE],"",0,1)</f>
        <v/>
      </c>
      <c r="N5776">
        <f>IF(ISERR(FIND("DECOUPE",Tableau1[[#This Row],[DESIGNATION]])),"","NEED REF")</f>
        <v/>
      </c>
    </row>
    <row r="5777">
      <c r="B5777" t="n">
        <v>34408228</v>
      </c>
      <c r="C5777" s="2" t="n">
        <v>43867</v>
      </c>
      <c r="D5777" t="inlineStr">
        <is>
          <t>SPEC</t>
        </is>
      </c>
      <c r="E5777" t="inlineStr">
        <is>
          <t>CUIVRE NSX400  32X5</t>
        </is>
      </c>
      <c r="J5777" t="inlineStr">
        <is>
          <t>MASCELLINO</t>
        </is>
      </c>
      <c r="K5777" t="inlineStr">
        <is>
          <t>CUIVRE</t>
        </is>
      </c>
      <c r="L5777">
        <f>_xlfn.XLOOKUP(Tableau1[[#This Row],[TYPE DE PIECE]],Tableau4[MATIERE],Tableau4[SHORT TYPE],"",0,1)</f>
        <v/>
      </c>
      <c r="N5777">
        <f>IF(ISERR(FIND("DECOUPE",Tableau1[[#This Row],[DESIGNATION]])),"","NEED REF")</f>
        <v/>
      </c>
    </row>
    <row r="5778">
      <c r="B5778" t="n">
        <v>34408227</v>
      </c>
      <c r="C5778" s="2" t="n">
        <v>43867</v>
      </c>
      <c r="D5778" t="inlineStr">
        <is>
          <t>SPEC</t>
        </is>
      </c>
      <c r="E5778" t="inlineStr">
        <is>
          <t>CUIVRE NSX400  32X5</t>
        </is>
      </c>
      <c r="J5778" t="inlineStr">
        <is>
          <t>MASCELLINO</t>
        </is>
      </c>
      <c r="K5778" t="inlineStr">
        <is>
          <t>CUIVRE</t>
        </is>
      </c>
      <c r="L5778">
        <f>_xlfn.XLOOKUP(Tableau1[[#This Row],[TYPE DE PIECE]],Tableau4[MATIERE],Tableau4[SHORT TYPE],"",0,1)</f>
        <v/>
      </c>
      <c r="N5778">
        <f>IF(ISERR(FIND("DECOUPE",Tableau1[[#This Row],[DESIGNATION]])),"","NEED REF")</f>
        <v/>
      </c>
    </row>
    <row r="5779">
      <c r="B5779" t="n">
        <v>34408226</v>
      </c>
      <c r="C5779" s="2" t="n">
        <v>43867</v>
      </c>
      <c r="D5779" t="inlineStr">
        <is>
          <t>SPEC</t>
        </is>
      </c>
      <c r="E5779" t="inlineStr">
        <is>
          <t>CUIVRE NSX250 32X5</t>
        </is>
      </c>
      <c r="J5779" t="inlineStr">
        <is>
          <t>MASCELLINO</t>
        </is>
      </c>
      <c r="K5779" t="inlineStr">
        <is>
          <t>CUIVRE</t>
        </is>
      </c>
      <c r="L5779">
        <f>_xlfn.XLOOKUP(Tableau1[[#This Row],[TYPE DE PIECE]],Tableau4[MATIERE],Tableau4[SHORT TYPE],"",0,1)</f>
        <v/>
      </c>
      <c r="N5779">
        <f>IF(ISERR(FIND("DECOUPE",Tableau1[[#This Row],[DESIGNATION]])),"","NEED REF")</f>
        <v/>
      </c>
    </row>
    <row r="5780">
      <c r="B5780" t="n">
        <v>34408225</v>
      </c>
      <c r="C5780" s="2" t="n">
        <v>43867</v>
      </c>
      <c r="D5780" t="inlineStr">
        <is>
          <t>SPEC</t>
        </is>
      </c>
      <c r="E5780" t="inlineStr">
        <is>
          <t>CUIVRE NSX400  32X5</t>
        </is>
      </c>
      <c r="J5780" t="inlineStr">
        <is>
          <t>MASCELLINO</t>
        </is>
      </c>
      <c r="K5780" t="inlineStr">
        <is>
          <t>CUIVRE</t>
        </is>
      </c>
      <c r="L5780">
        <f>_xlfn.XLOOKUP(Tableau1[[#This Row],[TYPE DE PIECE]],Tableau4[MATIERE],Tableau4[SHORT TYPE],"",0,1)</f>
        <v/>
      </c>
      <c r="N5780">
        <f>IF(ISERR(FIND("DECOUPE",Tableau1[[#This Row],[DESIGNATION]])),"","NEED REF")</f>
        <v/>
      </c>
    </row>
    <row r="5781">
      <c r="B5781" t="n">
        <v>34408224</v>
      </c>
      <c r="C5781" s="2" t="n">
        <v>43867</v>
      </c>
      <c r="D5781" t="inlineStr">
        <is>
          <t>SPEC</t>
        </is>
      </c>
      <c r="E5781" t="inlineStr">
        <is>
          <t>CUIVRE NSX400  32X5</t>
        </is>
      </c>
      <c r="J5781" t="inlineStr">
        <is>
          <t>MASCELLINO</t>
        </is>
      </c>
      <c r="K5781" t="inlineStr">
        <is>
          <t>CUIVRE</t>
        </is>
      </c>
      <c r="L5781">
        <f>_xlfn.XLOOKUP(Tableau1[[#This Row],[TYPE DE PIECE]],Tableau4[MATIERE],Tableau4[SHORT TYPE],"",0,1)</f>
        <v/>
      </c>
      <c r="N5781">
        <f>IF(ISERR(FIND("DECOUPE",Tableau1[[#This Row],[DESIGNATION]])),"","NEED REF")</f>
        <v/>
      </c>
    </row>
    <row r="5782">
      <c r="B5782" t="n">
        <v>34408223</v>
      </c>
      <c r="C5782" s="2" t="n">
        <v>43867</v>
      </c>
      <c r="D5782" t="inlineStr">
        <is>
          <t>SPEC</t>
        </is>
      </c>
      <c r="E5782" t="inlineStr">
        <is>
          <t>CUIVRE NSX400  32X5</t>
        </is>
      </c>
      <c r="J5782" t="inlineStr">
        <is>
          <t>MASCELLINO</t>
        </is>
      </c>
      <c r="K5782" t="inlineStr">
        <is>
          <t>METAL</t>
        </is>
      </c>
      <c r="L5782">
        <f>_xlfn.XLOOKUP(Tableau1[[#This Row],[TYPE DE PIECE]],Tableau4[MATIERE],Tableau4[SHORT TYPE],"",0,1)</f>
        <v/>
      </c>
      <c r="N5782">
        <f>IF(ISERR(FIND("DECOUPE",Tableau1[[#This Row],[DESIGNATION]])),"","NEED REF")</f>
        <v/>
      </c>
    </row>
    <row r="5783">
      <c r="B5783" t="n">
        <v>34408222</v>
      </c>
      <c r="C5783" s="2" t="n">
        <v>43867</v>
      </c>
      <c r="D5783" t="inlineStr">
        <is>
          <t>SPEC</t>
        </is>
      </c>
      <c r="E5783" t="inlineStr">
        <is>
          <t>PLATINE SUPPORT CUIVRE MTZ1</t>
        </is>
      </c>
      <c r="J5783" t="inlineStr">
        <is>
          <t>MASCELLINO</t>
        </is>
      </c>
      <c r="K5783" t="inlineStr">
        <is>
          <t>METAL</t>
        </is>
      </c>
      <c r="L5783">
        <f>_xlfn.XLOOKUP(Tableau1[[#This Row],[TYPE DE PIECE]],Tableau4[MATIERE],Tableau4[SHORT TYPE],"",0,1)</f>
        <v/>
      </c>
      <c r="N5783">
        <f>IF(ISERR(FIND("DECOUPE",Tableau1[[#This Row],[DESIGNATION]])),"","NEED REF")</f>
        <v/>
      </c>
    </row>
    <row r="5784">
      <c r="B5784" t="n">
        <v>34408221</v>
      </c>
      <c r="C5784" s="2" t="n">
        <v>43867</v>
      </c>
      <c r="D5784" t="inlineStr">
        <is>
          <t>SPEC</t>
        </is>
      </c>
      <c r="E5784" t="inlineStr">
        <is>
          <t>PLATINE SUPPORT CUIVRE DISTRIBUTION DROITE</t>
        </is>
      </c>
      <c r="J5784" t="inlineStr">
        <is>
          <t>MASCELLINO</t>
        </is>
      </c>
      <c r="K5784" t="inlineStr">
        <is>
          <t>METAL</t>
        </is>
      </c>
      <c r="L5784">
        <f>_xlfn.XLOOKUP(Tableau1[[#This Row],[TYPE DE PIECE]],Tableau4[MATIERE],Tableau4[SHORT TYPE],"",0,1)</f>
        <v/>
      </c>
      <c r="N5784">
        <f>IF(ISERR(FIND("DECOUPE",Tableau1[[#This Row],[DESIGNATION]])),"","NEED REF")</f>
        <v/>
      </c>
    </row>
    <row r="5785">
      <c r="B5785" t="n">
        <v>34408220</v>
      </c>
      <c r="C5785" s="2" t="n">
        <v>43867</v>
      </c>
      <c r="D5785" t="inlineStr">
        <is>
          <t>SPEC</t>
        </is>
      </c>
      <c r="E5785" t="inlineStr">
        <is>
          <t>SMT SUPPORT DJ</t>
        </is>
      </c>
      <c r="F5785" t="inlineStr">
        <is>
          <t>STS1250</t>
        </is>
      </c>
      <c r="G5785" t="inlineStr">
        <is>
          <t>GVE</t>
        </is>
      </c>
      <c r="H5785" t="inlineStr">
        <is>
          <t>STS</t>
        </is>
      </c>
      <c r="J5785" t="inlineStr">
        <is>
          <t>MATRION</t>
        </is>
      </c>
      <c r="K5785" t="inlineStr">
        <is>
          <t>METAL</t>
        </is>
      </c>
      <c r="L5785">
        <f>_xlfn.XLOOKUP(Tableau1[[#This Row],[TYPE DE PIECE]],Tableau4[MATIERE],Tableau4[SHORT TYPE],"",0,1)</f>
        <v/>
      </c>
      <c r="N5785">
        <f>IF(ISERR(FIND("DECOUPE",Tableau1[[#This Row],[DESIGNATION]])),"","NEED REF")</f>
        <v/>
      </c>
    </row>
    <row r="5786">
      <c r="B5786" t="n">
        <v>34408219</v>
      </c>
      <c r="C5786" s="2" t="n">
        <v>43867</v>
      </c>
      <c r="D5786" t="inlineStr">
        <is>
          <t>SPEC</t>
        </is>
      </c>
      <c r="E5786" t="inlineStr">
        <is>
          <t>COP FIXATION CARTE FILE 2</t>
        </is>
      </c>
      <c r="F5786" t="inlineStr">
        <is>
          <t>STS1250</t>
        </is>
      </c>
      <c r="G5786" t="inlineStr">
        <is>
          <t>GVE</t>
        </is>
      </c>
      <c r="H5786" t="inlineStr">
        <is>
          <t>STS</t>
        </is>
      </c>
      <c r="J5786" t="inlineStr">
        <is>
          <t>MATRION</t>
        </is>
      </c>
      <c r="K5786" t="inlineStr">
        <is>
          <t>CUIVRE</t>
        </is>
      </c>
      <c r="L5786">
        <f>_xlfn.XLOOKUP(Tableau1[[#This Row],[TYPE DE PIECE]],Tableau4[MATIERE],Tableau4[SHORT TYPE],"",0,1)</f>
        <v/>
      </c>
      <c r="N5786">
        <f>IF(ISERR(FIND("DECOUPE",Tableau1[[#This Row],[DESIGNATION]])),"","NEED REF")</f>
        <v/>
      </c>
    </row>
    <row r="5787">
      <c r="B5787" t="n">
        <v>34408218</v>
      </c>
      <c r="C5787" s="2" t="n">
        <v>43867</v>
      </c>
      <c r="D5787" t="inlineStr">
        <is>
          <t>SPEC</t>
        </is>
      </c>
      <c r="E5787" t="inlineStr">
        <is>
          <t>COP FIXATION CARTE FILE 1</t>
        </is>
      </c>
      <c r="F5787" t="inlineStr">
        <is>
          <t>STS1250</t>
        </is>
      </c>
      <c r="G5787" t="inlineStr">
        <is>
          <t>GVE</t>
        </is>
      </c>
      <c r="H5787" t="inlineStr">
        <is>
          <t>STS</t>
        </is>
      </c>
      <c r="J5787" t="inlineStr">
        <is>
          <t>MATRION</t>
        </is>
      </c>
      <c r="K5787" t="inlineStr">
        <is>
          <t>CUIVRE</t>
        </is>
      </c>
      <c r="L5787">
        <f>_xlfn.XLOOKUP(Tableau1[[#This Row],[TYPE DE PIECE]],Tableau4[MATIERE],Tableau4[SHORT TYPE],"",0,1)</f>
        <v/>
      </c>
      <c r="N5787">
        <f>IF(ISERR(FIND("DECOUPE",Tableau1[[#This Row],[DESIGNATION]])),"","NEED REF")</f>
        <v/>
      </c>
    </row>
    <row r="5788">
      <c r="B5788" t="n">
        <v>34408217</v>
      </c>
      <c r="C5788" s="2" t="n">
        <v>43867</v>
      </c>
      <c r="D5788" t="inlineStr">
        <is>
          <t>SPEC</t>
        </is>
      </c>
      <c r="E5788" t="inlineStr">
        <is>
          <t>SMT SUPPORT RACCORDEMENT CLIENT BYPASS</t>
        </is>
      </c>
      <c r="F5788" t="inlineStr">
        <is>
          <t>STS1250</t>
        </is>
      </c>
      <c r="G5788" t="inlineStr">
        <is>
          <t>GVE</t>
        </is>
      </c>
      <c r="H5788" t="inlineStr">
        <is>
          <t>STS</t>
        </is>
      </c>
      <c r="J5788" t="inlineStr">
        <is>
          <t>MATRION</t>
        </is>
      </c>
      <c r="K5788" t="inlineStr">
        <is>
          <t>METAL</t>
        </is>
      </c>
      <c r="L5788">
        <f>_xlfn.XLOOKUP(Tableau1[[#This Row],[TYPE DE PIECE]],Tableau4[MATIERE],Tableau4[SHORT TYPE],"",0,1)</f>
        <v/>
      </c>
      <c r="N5788">
        <f>IF(ISERR(FIND("DECOUPE",Tableau1[[#This Row],[DESIGNATION]])),"","NEED REF")</f>
        <v/>
      </c>
    </row>
    <row r="5789">
      <c r="B5789" t="n">
        <v>34408216</v>
      </c>
      <c r="C5789" s="2" t="n">
        <v>43867</v>
      </c>
      <c r="D5789" t="inlineStr">
        <is>
          <t>SPEC</t>
        </is>
      </c>
      <c r="E5789" t="inlineStr">
        <is>
          <t>SMT SUPPORT BAS BYPASS GAUCHE</t>
        </is>
      </c>
      <c r="F5789" t="inlineStr">
        <is>
          <t>STS1250</t>
        </is>
      </c>
      <c r="G5789" t="inlineStr">
        <is>
          <t>GVE</t>
        </is>
      </c>
      <c r="H5789" t="inlineStr">
        <is>
          <t>STS</t>
        </is>
      </c>
      <c r="J5789" t="inlineStr">
        <is>
          <t>MATRION</t>
        </is>
      </c>
      <c r="K5789" t="inlineStr">
        <is>
          <t>METAL</t>
        </is>
      </c>
      <c r="L5789">
        <f>_xlfn.XLOOKUP(Tableau1[[#This Row],[TYPE DE PIECE]],Tableau4[MATIERE],Tableau4[SHORT TYPE],"",0,1)</f>
        <v/>
      </c>
      <c r="N5789">
        <f>IF(ISERR(FIND("DECOUPE",Tableau1[[#This Row],[DESIGNATION]])),"","NEED REF")</f>
        <v/>
      </c>
    </row>
    <row r="5790">
      <c r="B5790" t="n">
        <v>34408215</v>
      </c>
      <c r="C5790" s="2" t="n">
        <v>43867</v>
      </c>
      <c r="D5790" t="inlineStr">
        <is>
          <t>SPEC</t>
        </is>
      </c>
      <c r="E5790" t="inlineStr">
        <is>
          <t>SMT SUPPORT BAS BYPASS DROIT</t>
        </is>
      </c>
      <c r="F5790" t="inlineStr">
        <is>
          <t>STS1250</t>
        </is>
      </c>
      <c r="G5790" t="inlineStr">
        <is>
          <t>GVE</t>
        </is>
      </c>
      <c r="H5790" t="inlineStr">
        <is>
          <t>STS</t>
        </is>
      </c>
      <c r="J5790" t="inlineStr">
        <is>
          <t>MATRION</t>
        </is>
      </c>
      <c r="K5790" t="inlineStr">
        <is>
          <t>METAL</t>
        </is>
      </c>
      <c r="L5790">
        <f>_xlfn.XLOOKUP(Tableau1[[#This Row],[TYPE DE PIECE]],Tableau4[MATIERE],Tableau4[SHORT TYPE],"",0,1)</f>
        <v/>
      </c>
      <c r="N5790">
        <f>IF(ISERR(FIND("DECOUPE",Tableau1[[#This Row],[DESIGNATION]])),"","NEED REF")</f>
        <v/>
      </c>
    </row>
    <row r="5791">
      <c r="B5791" t="n">
        <v>34408214</v>
      </c>
      <c r="C5791" s="2" t="n">
        <v>43866</v>
      </c>
      <c r="D5791" t="inlineStr">
        <is>
          <t>SPEC</t>
        </is>
      </c>
      <c r="E5791" t="inlineStr">
        <is>
          <t>COP FIXATION CARTE FALE 3</t>
        </is>
      </c>
      <c r="F5791" t="inlineStr">
        <is>
          <t>STS1250</t>
        </is>
      </c>
      <c r="G5791" t="inlineStr">
        <is>
          <t>GVE</t>
        </is>
      </c>
      <c r="H5791" t="inlineStr">
        <is>
          <t>STS</t>
        </is>
      </c>
      <c r="J5791" t="inlineStr">
        <is>
          <t>MATRION</t>
        </is>
      </c>
      <c r="K5791" t="inlineStr">
        <is>
          <t>CUIVRE</t>
        </is>
      </c>
      <c r="L5791">
        <f>_xlfn.XLOOKUP(Tableau1[[#This Row],[TYPE DE PIECE]],Tableau4[MATIERE],Tableau4[SHORT TYPE],"",0,1)</f>
        <v/>
      </c>
      <c r="N5791">
        <f>IF(ISERR(FIND("DECOUPE",Tableau1[[#This Row],[DESIGNATION]])),"","NEED REF")</f>
        <v/>
      </c>
    </row>
    <row r="5792">
      <c r="B5792" t="n">
        <v>34408213</v>
      </c>
      <c r="C5792" s="2" t="n">
        <v>43866</v>
      </c>
      <c r="D5792" t="inlineStr">
        <is>
          <t>SPEC</t>
        </is>
      </c>
      <c r="E5792" t="inlineStr">
        <is>
          <t>COP FIXATION CARTE FALE 2</t>
        </is>
      </c>
      <c r="F5792" t="inlineStr">
        <is>
          <t>STS1250</t>
        </is>
      </c>
      <c r="G5792" t="inlineStr">
        <is>
          <t>GVE</t>
        </is>
      </c>
      <c r="H5792" t="inlineStr">
        <is>
          <t>STS</t>
        </is>
      </c>
      <c r="J5792" t="inlineStr">
        <is>
          <t>MATRION</t>
        </is>
      </c>
      <c r="K5792" t="inlineStr">
        <is>
          <t>CUIVRE</t>
        </is>
      </c>
      <c r="L5792">
        <f>_xlfn.XLOOKUP(Tableau1[[#This Row],[TYPE DE PIECE]],Tableau4[MATIERE],Tableau4[SHORT TYPE],"",0,1)</f>
        <v/>
      </c>
      <c r="N5792">
        <f>IF(ISERR(FIND("DECOUPE",Tableau1[[#This Row],[DESIGNATION]])),"","NEED REF")</f>
        <v/>
      </c>
    </row>
    <row r="5793">
      <c r="B5793" t="n">
        <v>34408212</v>
      </c>
      <c r="C5793" s="2" t="n">
        <v>43866</v>
      </c>
      <c r="D5793" t="inlineStr">
        <is>
          <t>SPEC</t>
        </is>
      </c>
      <c r="E5793" t="inlineStr">
        <is>
          <t>COP FIXATION CARTE FALE 1</t>
        </is>
      </c>
      <c r="F5793" t="inlineStr">
        <is>
          <t>STS1250</t>
        </is>
      </c>
      <c r="G5793" t="inlineStr">
        <is>
          <t>GVE</t>
        </is>
      </c>
      <c r="H5793" t="inlineStr">
        <is>
          <t>STS</t>
        </is>
      </c>
      <c r="J5793" t="inlineStr">
        <is>
          <t>MATRION</t>
        </is>
      </c>
      <c r="K5793" t="inlineStr">
        <is>
          <t>CUIVRE</t>
        </is>
      </c>
      <c r="L5793">
        <f>_xlfn.XLOOKUP(Tableau1[[#This Row],[TYPE DE PIECE]],Tableau4[MATIERE],Tableau4[SHORT TYPE],"",0,1)</f>
        <v/>
      </c>
      <c r="N5793">
        <f>IF(ISERR(FIND("DECOUPE",Tableau1[[#This Row],[DESIGNATION]])),"","NEED REF")</f>
        <v/>
      </c>
    </row>
    <row r="5794">
      <c r="B5794" t="n">
        <v>34408211</v>
      </c>
      <c r="C5794" s="2" t="n">
        <v>43866</v>
      </c>
      <c r="D5794" t="inlineStr">
        <is>
          <t>SPEC</t>
        </is>
      </c>
      <c r="E5794" t="inlineStr">
        <is>
          <t>SMT DECOUPE LINERY 04563 715MM</t>
        </is>
      </c>
      <c r="F5794" t="inlineStr">
        <is>
          <t>STS1250</t>
        </is>
      </c>
      <c r="G5794" t="inlineStr">
        <is>
          <t>GVE</t>
        </is>
      </c>
      <c r="H5794" t="inlineStr">
        <is>
          <t>STS</t>
        </is>
      </c>
      <c r="J5794" t="inlineStr">
        <is>
          <t>MATRION</t>
        </is>
      </c>
      <c r="K5794" t="inlineStr">
        <is>
          <t>METAL</t>
        </is>
      </c>
      <c r="L5794">
        <f>_xlfn.XLOOKUP(Tableau1[[#This Row],[TYPE DE PIECE]],Tableau4[MATIERE],Tableau4[SHORT TYPE],"",0,1)</f>
        <v/>
      </c>
      <c r="N5794" t="inlineStr">
        <is>
          <t>LVS04563</t>
        </is>
      </c>
    </row>
    <row r="5795">
      <c r="B5795" t="n">
        <v>34408210</v>
      </c>
      <c r="C5795" s="2" t="n">
        <v>43866</v>
      </c>
      <c r="D5795" t="inlineStr">
        <is>
          <t>SPEC</t>
        </is>
      </c>
      <c r="E5795" t="inlineStr">
        <is>
          <t>SMT DECOUPE LINERY 04563 565MM</t>
        </is>
      </c>
      <c r="F5795" t="inlineStr">
        <is>
          <t>STS1250</t>
        </is>
      </c>
      <c r="G5795" t="inlineStr">
        <is>
          <t>GVE</t>
        </is>
      </c>
      <c r="H5795" t="inlineStr">
        <is>
          <t>STS</t>
        </is>
      </c>
      <c r="J5795" t="inlineStr">
        <is>
          <t>MATRION</t>
        </is>
      </c>
      <c r="K5795" t="inlineStr">
        <is>
          <t>METAL</t>
        </is>
      </c>
      <c r="L5795">
        <f>_xlfn.XLOOKUP(Tableau1[[#This Row],[TYPE DE PIECE]],Tableau4[MATIERE],Tableau4[SHORT TYPE],"",0,1)</f>
        <v/>
      </c>
      <c r="N5795" t="inlineStr">
        <is>
          <t>LVS04563</t>
        </is>
      </c>
    </row>
    <row r="5796">
      <c r="B5796" t="n">
        <v>34408209</v>
      </c>
      <c r="C5796" s="2" t="n">
        <v>43866</v>
      </c>
      <c r="D5796" t="inlineStr">
        <is>
          <t>SPEC</t>
        </is>
      </c>
      <c r="E5796" t="inlineStr">
        <is>
          <t>SMT DECOUPE LINERY 04563 998MM</t>
        </is>
      </c>
      <c r="F5796" t="inlineStr">
        <is>
          <t>STS1250</t>
        </is>
      </c>
      <c r="G5796" t="inlineStr">
        <is>
          <t>GVE</t>
        </is>
      </c>
      <c r="H5796" t="inlineStr">
        <is>
          <t>STS</t>
        </is>
      </c>
      <c r="J5796" t="inlineStr">
        <is>
          <t>MATRION</t>
        </is>
      </c>
      <c r="K5796" t="inlineStr">
        <is>
          <t>METAL</t>
        </is>
      </c>
      <c r="L5796">
        <f>_xlfn.XLOOKUP(Tableau1[[#This Row],[TYPE DE PIECE]],Tableau4[MATIERE],Tableau4[SHORT TYPE],"",0,1)</f>
        <v/>
      </c>
      <c r="N5796" t="inlineStr">
        <is>
          <t>LVS04563</t>
        </is>
      </c>
    </row>
    <row r="5797">
      <c r="B5797" t="n">
        <v>34408208</v>
      </c>
      <c r="C5797" s="2" t="n">
        <v>43865</v>
      </c>
      <c r="D5797" t="inlineStr">
        <is>
          <t>SPEC</t>
        </is>
      </c>
      <c r="E5797" t="inlineStr">
        <is>
          <t>LEG visserie I/O 1000 - 4 TGAB KTA_QAAL75123</t>
        </is>
      </c>
      <c r="G5797" t="inlineStr">
        <is>
          <t>GVX</t>
        </is>
      </c>
      <c r="H5797" t="inlineStr">
        <is>
          <t>IO</t>
        </is>
      </c>
      <c r="J5797" t="inlineStr">
        <is>
          <t>MONGELLI</t>
        </is>
      </c>
      <c r="K5797" t="inlineStr">
        <is>
          <t>NOM</t>
        </is>
      </c>
      <c r="L5797">
        <f>_xlfn.XLOOKUP(Tableau1[[#This Row],[TYPE DE PIECE]],Tableau4[MATIERE],Tableau4[SHORT TYPE],"",0,1)</f>
        <v/>
      </c>
      <c r="N5797">
        <f>IF(ISERR(FIND("DECOUPE",Tableau1[[#This Row],[DESIGNATION]])),"","NEED REF")</f>
        <v/>
      </c>
    </row>
    <row r="5798">
      <c r="B5798" t="n">
        <v>34408207</v>
      </c>
      <c r="C5798" s="2" t="n">
        <v>43865</v>
      </c>
      <c r="D5798" t="inlineStr">
        <is>
          <t>SPEC</t>
        </is>
      </c>
      <c r="E5798" t="inlineStr">
        <is>
          <t>SMT 10/10 ACIER + ETAMAGE PLAQUE DE SERRAGE FLEXBAR</t>
        </is>
      </c>
      <c r="F5798" t="inlineStr">
        <is>
          <t>STS1250</t>
        </is>
      </c>
      <c r="G5798" t="inlineStr">
        <is>
          <t>GVE</t>
        </is>
      </c>
      <c r="H5798" t="inlineStr">
        <is>
          <t>STS</t>
        </is>
      </c>
      <c r="J5798" t="inlineStr">
        <is>
          <t>MATRION</t>
        </is>
      </c>
      <c r="K5798" t="inlineStr">
        <is>
          <t>CUIVRE</t>
        </is>
      </c>
      <c r="L5798">
        <f>_xlfn.XLOOKUP(Tableau1[[#This Row],[TYPE DE PIECE]],Tableau4[MATIERE],Tableau4[SHORT TYPE],"",0,1)</f>
        <v/>
      </c>
      <c r="N5798">
        <f>IF(ISERR(FIND("DECOUPE",Tableau1[[#This Row],[DESIGNATION]])),"","NEED REF")</f>
        <v/>
      </c>
    </row>
    <row r="5799">
      <c r="B5799" t="n">
        <v>34408206</v>
      </c>
      <c r="C5799" s="2" t="n">
        <v>43864</v>
      </c>
      <c r="D5799" t="inlineStr">
        <is>
          <t>SPEC</t>
        </is>
      </c>
      <c r="E5799" t="inlineStr">
        <is>
          <t>SMT BACK PANEL AIR GUIDE MBC GVX INTEL</t>
        </is>
      </c>
      <c r="G5799" t="inlineStr">
        <is>
          <t>EAC</t>
        </is>
      </c>
      <c r="J5799" t="inlineStr">
        <is>
          <t>JAWORSKI</t>
        </is>
      </c>
      <c r="K5799" t="inlineStr">
        <is>
          <t>METAL</t>
        </is>
      </c>
      <c r="L5799">
        <f>_xlfn.XLOOKUP(Tableau1[[#This Row],[TYPE DE PIECE]],Tableau4[MATIERE],Tableau4[SHORT TYPE],"",0,1)</f>
        <v/>
      </c>
      <c r="N5799">
        <f>IF(ISERR(FIND("DECOUPE",Tableau1[[#This Row],[DESIGNATION]])),"","NEED REF")</f>
        <v/>
      </c>
    </row>
    <row r="5800">
      <c r="B5800" t="n">
        <v>34408205</v>
      </c>
      <c r="C5800" s="2" t="n">
        <v>43864</v>
      </c>
      <c r="D5800" t="inlineStr">
        <is>
          <t>SPEC</t>
        </is>
      </c>
      <c r="E5800" t="inlineStr">
        <is>
          <t>SMT BACK PANEL AIR GUIDE MBC GVX INTEL</t>
        </is>
      </c>
      <c r="G5800" t="inlineStr">
        <is>
          <t>EAC</t>
        </is>
      </c>
      <c r="J5800" t="inlineStr">
        <is>
          <t>JAWORSKI</t>
        </is>
      </c>
      <c r="K5800" t="inlineStr">
        <is>
          <t>METAL</t>
        </is>
      </c>
      <c r="L5800">
        <f>_xlfn.XLOOKUP(Tableau1[[#This Row],[TYPE DE PIECE]],Tableau4[MATIERE],Tableau4[SHORT TYPE],"",0,1)</f>
        <v/>
      </c>
      <c r="N5800">
        <f>IF(ISERR(FIND("DECOUPE",Tableau1[[#This Row],[DESIGNATION]])),"","NEED REF")</f>
        <v/>
      </c>
    </row>
    <row r="5801">
      <c r="B5801" t="n">
        <v>34408204</v>
      </c>
      <c r="C5801" s="2" t="n">
        <v>43864</v>
      </c>
      <c r="D5801" t="inlineStr">
        <is>
          <t>SPEC</t>
        </is>
      </c>
      <c r="E5801" t="inlineStr">
        <is>
          <t>SMT BACK PANEL AIR GUIDE MBC GVX INTEL</t>
        </is>
      </c>
      <c r="G5801" t="inlineStr">
        <is>
          <t>EAC</t>
        </is>
      </c>
      <c r="J5801" t="inlineStr">
        <is>
          <t>JAWORSKI</t>
        </is>
      </c>
      <c r="K5801" t="inlineStr">
        <is>
          <t>METAL</t>
        </is>
      </c>
      <c r="L5801">
        <f>_xlfn.XLOOKUP(Tableau1[[#This Row],[TYPE DE PIECE]],Tableau4[MATIERE],Tableau4[SHORT TYPE],"",0,1)</f>
        <v/>
      </c>
      <c r="N5801">
        <f>IF(ISERR(FIND("DECOUPE",Tableau1[[#This Row],[DESIGNATION]])),"","NEED REF")</f>
        <v/>
      </c>
    </row>
    <row r="5802">
      <c r="B5802" t="n">
        <v>34408203</v>
      </c>
      <c r="C5802" s="2" t="n">
        <v>43864</v>
      </c>
      <c r="D5802" t="inlineStr">
        <is>
          <t>SPEC</t>
        </is>
      </c>
      <c r="E5802" t="inlineStr">
        <is>
          <t>SMT PLAQUE SERRAGE FLEX BAR 1</t>
        </is>
      </c>
      <c r="F5802" t="inlineStr">
        <is>
          <t>STS1250</t>
        </is>
      </c>
      <c r="G5802" t="inlineStr">
        <is>
          <t>GVE</t>
        </is>
      </c>
      <c r="H5802" t="inlineStr">
        <is>
          <t>STS</t>
        </is>
      </c>
      <c r="J5802" t="inlineStr">
        <is>
          <t>MATRION</t>
        </is>
      </c>
      <c r="K5802" t="inlineStr">
        <is>
          <t>CUIVRE</t>
        </is>
      </c>
      <c r="L5802">
        <f>_xlfn.XLOOKUP(Tableau1[[#This Row],[TYPE DE PIECE]],Tableau4[MATIERE],Tableau4[SHORT TYPE],"",0,1)</f>
        <v/>
      </c>
      <c r="N5802">
        <f>IF(ISERR(FIND("DECOUPE",Tableau1[[#This Row],[DESIGNATION]])),"","NEED REF")</f>
        <v/>
      </c>
    </row>
    <row r="5803">
      <c r="B5803" t="n">
        <v>34408202</v>
      </c>
      <c r="C5803" s="2" t="n">
        <v>43864</v>
      </c>
      <c r="D5803" t="inlineStr">
        <is>
          <t>SPEC</t>
        </is>
      </c>
      <c r="E5803" t="inlineStr">
        <is>
          <t>SMT SKETTE ALU</t>
        </is>
      </c>
      <c r="F5803" t="inlineStr">
        <is>
          <t>STS1250</t>
        </is>
      </c>
      <c r="G5803" t="inlineStr">
        <is>
          <t>GVE</t>
        </is>
      </c>
      <c r="H5803" t="inlineStr">
        <is>
          <t>STS</t>
        </is>
      </c>
      <c r="J5803" t="inlineStr">
        <is>
          <t>MATRION</t>
        </is>
      </c>
      <c r="K5803" t="inlineStr">
        <is>
          <t>METAL</t>
        </is>
      </c>
      <c r="L5803">
        <f>_xlfn.XLOOKUP(Tableau1[[#This Row],[TYPE DE PIECE]],Tableau4[MATIERE],Tableau4[SHORT TYPE],"",0,1)</f>
        <v/>
      </c>
      <c r="N5803">
        <f>IF(ISERR(FIND("DECOUPE",Tableau1[[#This Row],[DESIGNATION]])),"","NEED REF")</f>
        <v/>
      </c>
    </row>
    <row r="5804">
      <c r="B5804" t="n">
        <v>34408201</v>
      </c>
      <c r="C5804" s="2" t="n">
        <v>43861</v>
      </c>
      <c r="D5804" t="inlineStr">
        <is>
          <t>SPEC</t>
        </is>
      </c>
      <c r="E5804" t="inlineStr">
        <is>
          <t>COP COP NEUTRE 3</t>
        </is>
      </c>
      <c r="F5804" t="inlineStr">
        <is>
          <t>STS1250</t>
        </is>
      </c>
      <c r="G5804" t="inlineStr">
        <is>
          <t>GVE</t>
        </is>
      </c>
      <c r="H5804" t="inlineStr">
        <is>
          <t>STS</t>
        </is>
      </c>
      <c r="J5804" t="inlineStr">
        <is>
          <t>MATRION</t>
        </is>
      </c>
      <c r="K5804" t="inlineStr">
        <is>
          <t>CUIVRE</t>
        </is>
      </c>
      <c r="L5804">
        <f>_xlfn.XLOOKUP(Tableau1[[#This Row],[TYPE DE PIECE]],Tableau4[MATIERE],Tableau4[SHORT TYPE],"",0,1)</f>
        <v/>
      </c>
      <c r="N5804">
        <f>IF(ISERR(FIND("DECOUPE",Tableau1[[#This Row],[DESIGNATION]])),"","NEED REF")</f>
        <v/>
      </c>
    </row>
    <row r="5805">
      <c r="B5805" t="n">
        <v>34408200</v>
      </c>
      <c r="C5805" s="2" t="n">
        <v>43860</v>
      </c>
      <c r="D5805" t="inlineStr">
        <is>
          <t>SPEC</t>
        </is>
      </c>
      <c r="E5805" t="inlineStr">
        <is>
          <t>SMT PROTECTION MAINTENANCE BYPASS</t>
        </is>
      </c>
      <c r="F5805" t="inlineStr">
        <is>
          <t>STS1250</t>
        </is>
      </c>
      <c r="G5805" t="inlineStr">
        <is>
          <t>GVE</t>
        </is>
      </c>
      <c r="H5805" t="inlineStr">
        <is>
          <t>STS</t>
        </is>
      </c>
      <c r="J5805" t="inlineStr">
        <is>
          <t>MATRION</t>
        </is>
      </c>
      <c r="K5805" t="inlineStr">
        <is>
          <t>METAL</t>
        </is>
      </c>
      <c r="L5805">
        <f>_xlfn.XLOOKUP(Tableau1[[#This Row],[TYPE DE PIECE]],Tableau4[MATIERE],Tableau4[SHORT TYPE],"",0,1)</f>
        <v/>
      </c>
      <c r="N5805">
        <f>IF(ISERR(FIND("DECOUPE",Tableau1[[#This Row],[DESIGNATION]])),"","NEED REF")</f>
        <v/>
      </c>
    </row>
    <row r="5806">
      <c r="B5806" t="n">
        <v>34408199</v>
      </c>
      <c r="C5806" s="2" t="n">
        <v>43860</v>
      </c>
      <c r="D5806" t="inlineStr">
        <is>
          <t>SPEC</t>
        </is>
      </c>
      <c r="E5806" t="inlineStr">
        <is>
          <t>SMT CARTER MODULE DROE</t>
        </is>
      </c>
      <c r="F5806" t="inlineStr">
        <is>
          <t>STS1250</t>
        </is>
      </c>
      <c r="G5806" t="inlineStr">
        <is>
          <t>GVE</t>
        </is>
      </c>
      <c r="H5806" t="inlineStr">
        <is>
          <t>STS</t>
        </is>
      </c>
      <c r="J5806" t="inlineStr">
        <is>
          <t>MATRION</t>
        </is>
      </c>
      <c r="K5806" t="inlineStr">
        <is>
          <t>METAL</t>
        </is>
      </c>
      <c r="L5806">
        <f>_xlfn.XLOOKUP(Tableau1[[#This Row],[TYPE DE PIECE]],Tableau4[MATIERE],Tableau4[SHORT TYPE],"",0,1)</f>
        <v/>
      </c>
      <c r="N5806">
        <f>IF(ISERR(FIND("DECOUPE",Tableau1[[#This Row],[DESIGNATION]])),"","NEED REF")</f>
        <v/>
      </c>
    </row>
    <row r="5807">
      <c r="B5807" t="n">
        <v>34408198</v>
      </c>
      <c r="C5807" s="2" t="n">
        <v>43859</v>
      </c>
      <c r="D5807" t="inlineStr">
        <is>
          <t>SPEC</t>
        </is>
      </c>
      <c r="E5807" t="inlineStr">
        <is>
          <t>SMT TRAVERSE SUPPORT CS 4</t>
        </is>
      </c>
      <c r="F5807" t="inlineStr">
        <is>
          <t>STS1250</t>
        </is>
      </c>
      <c r="G5807" t="inlineStr">
        <is>
          <t>GVE</t>
        </is>
      </c>
      <c r="H5807" t="inlineStr">
        <is>
          <t>STS</t>
        </is>
      </c>
      <c r="J5807" t="inlineStr">
        <is>
          <t>MATRION</t>
        </is>
      </c>
      <c r="K5807" t="inlineStr">
        <is>
          <t>METAL</t>
        </is>
      </c>
      <c r="L5807">
        <f>_xlfn.XLOOKUP(Tableau1[[#This Row],[TYPE DE PIECE]],Tableau4[MATIERE],Tableau4[SHORT TYPE],"",0,1)</f>
        <v/>
      </c>
      <c r="N5807">
        <f>IF(ISERR(FIND("DECOUPE",Tableau1[[#This Row],[DESIGNATION]])),"","NEED REF")</f>
        <v/>
      </c>
    </row>
    <row r="5808">
      <c r="B5808" t="n">
        <v>34408197</v>
      </c>
      <c r="C5808" s="2" t="n">
        <v>43859</v>
      </c>
      <c r="D5808" t="inlineStr">
        <is>
          <t>SPEC</t>
        </is>
      </c>
      <c r="E5808" t="inlineStr">
        <is>
          <t>SMT TRAVERSE SUPPORT CS 3</t>
        </is>
      </c>
      <c r="F5808" t="inlineStr">
        <is>
          <t>STS1250</t>
        </is>
      </c>
      <c r="G5808" t="inlineStr">
        <is>
          <t>GVE</t>
        </is>
      </c>
      <c r="H5808" t="inlineStr">
        <is>
          <t>STS</t>
        </is>
      </c>
      <c r="J5808" t="inlineStr">
        <is>
          <t>MATRION</t>
        </is>
      </c>
      <c r="K5808" t="inlineStr">
        <is>
          <t>METAL</t>
        </is>
      </c>
      <c r="L5808">
        <f>_xlfn.XLOOKUP(Tableau1[[#This Row],[TYPE DE PIECE]],Tableau4[MATIERE],Tableau4[SHORT TYPE],"",0,1)</f>
        <v/>
      </c>
      <c r="N5808">
        <f>IF(ISERR(FIND("DECOUPE",Tableau1[[#This Row],[DESIGNATION]])),"","NEED REF")</f>
        <v/>
      </c>
    </row>
    <row r="5809">
      <c r="B5809" t="n">
        <v>34408196</v>
      </c>
      <c r="C5809" s="2" t="n">
        <v>43859</v>
      </c>
      <c r="D5809" t="inlineStr">
        <is>
          <t>SPEC</t>
        </is>
      </c>
      <c r="E5809" t="inlineStr">
        <is>
          <t>SMT TRAVERSE SUPPORT CS 2</t>
        </is>
      </c>
      <c r="F5809" t="inlineStr">
        <is>
          <t>STS1250</t>
        </is>
      </c>
      <c r="G5809" t="inlineStr">
        <is>
          <t>GVE</t>
        </is>
      </c>
      <c r="H5809" t="inlineStr">
        <is>
          <t>STS</t>
        </is>
      </c>
      <c r="J5809" t="inlineStr">
        <is>
          <t>MATRION</t>
        </is>
      </c>
      <c r="K5809" t="inlineStr">
        <is>
          <t>METAL</t>
        </is>
      </c>
      <c r="L5809">
        <f>_xlfn.XLOOKUP(Tableau1[[#This Row],[TYPE DE PIECE]],Tableau4[MATIERE],Tableau4[SHORT TYPE],"",0,1)</f>
        <v/>
      </c>
      <c r="N5809">
        <f>IF(ISERR(FIND("DECOUPE",Tableau1[[#This Row],[DESIGNATION]])),"","NEED REF")</f>
        <v/>
      </c>
    </row>
    <row r="5810">
      <c r="B5810" t="n">
        <v>34408195</v>
      </c>
      <c r="C5810" s="2" t="n">
        <v>43859</v>
      </c>
      <c r="D5810" t="inlineStr">
        <is>
          <t>SPEC</t>
        </is>
      </c>
      <c r="E5810" t="inlineStr">
        <is>
          <t>SMT TRAVERSE SUPPORT CS 1</t>
        </is>
      </c>
      <c r="F5810" t="inlineStr">
        <is>
          <t>STS1250</t>
        </is>
      </c>
      <c r="G5810" t="inlineStr">
        <is>
          <t>GVE</t>
        </is>
      </c>
      <c r="H5810" t="inlineStr">
        <is>
          <t>STS</t>
        </is>
      </c>
      <c r="J5810" t="inlineStr">
        <is>
          <t>MATRION</t>
        </is>
      </c>
      <c r="K5810" t="inlineStr">
        <is>
          <t>METAL</t>
        </is>
      </c>
      <c r="L5810">
        <f>_xlfn.XLOOKUP(Tableau1[[#This Row],[TYPE DE PIECE]],Tableau4[MATIERE],Tableau4[SHORT TYPE],"",0,1)</f>
        <v/>
      </c>
      <c r="N5810">
        <f>IF(ISERR(FIND("DECOUPE",Tableau1[[#This Row],[DESIGNATION]])),"","NEED REF")</f>
        <v/>
      </c>
    </row>
    <row r="5811">
      <c r="B5811" t="n">
        <v>34408194</v>
      </c>
      <c r="C5811" s="2" t="n">
        <v>43859</v>
      </c>
      <c r="D5811" t="inlineStr">
        <is>
          <t>SPEC</t>
        </is>
      </c>
      <c r="E5811" t="inlineStr">
        <is>
          <t>SMT SUPPORT LATERAL LINERGY</t>
        </is>
      </c>
      <c r="F5811" t="inlineStr">
        <is>
          <t>STS1250</t>
        </is>
      </c>
      <c r="G5811" t="inlineStr">
        <is>
          <t>GVE</t>
        </is>
      </c>
      <c r="H5811" t="inlineStr">
        <is>
          <t>STS</t>
        </is>
      </c>
      <c r="J5811" t="inlineStr">
        <is>
          <t>MATRION</t>
        </is>
      </c>
      <c r="K5811" t="inlineStr">
        <is>
          <t>METAL</t>
        </is>
      </c>
      <c r="L5811">
        <f>_xlfn.XLOOKUP(Tableau1[[#This Row],[TYPE DE PIECE]],Tableau4[MATIERE],Tableau4[SHORT TYPE],"",0,1)</f>
        <v/>
      </c>
      <c r="N5811">
        <f>IF(ISERR(FIND("DECOUPE",Tableau1[[#This Row],[DESIGNATION]])),"","NEED REF")</f>
        <v/>
      </c>
    </row>
    <row r="5812">
      <c r="B5812" t="n">
        <v>34408193</v>
      </c>
      <c r="C5812" s="2" t="n">
        <v>43859</v>
      </c>
      <c r="D5812" t="inlineStr">
        <is>
          <t>SPEC</t>
        </is>
      </c>
      <c r="E5812" t="inlineStr">
        <is>
          <t>COP BYPASS 8</t>
        </is>
      </c>
      <c r="F5812" t="inlineStr">
        <is>
          <t>STS1250</t>
        </is>
      </c>
      <c r="G5812" t="inlineStr">
        <is>
          <t>GVE</t>
        </is>
      </c>
      <c r="H5812" t="inlineStr">
        <is>
          <t>STS</t>
        </is>
      </c>
      <c r="J5812" t="inlineStr">
        <is>
          <t>MATRION</t>
        </is>
      </c>
      <c r="K5812" t="inlineStr">
        <is>
          <t>METAL</t>
        </is>
      </c>
      <c r="L5812">
        <f>_xlfn.XLOOKUP(Tableau1[[#This Row],[TYPE DE PIECE]],Tableau4[MATIERE],Tableau4[SHORT TYPE],"",0,1)</f>
        <v/>
      </c>
      <c r="N5812">
        <f>IF(ISERR(FIND("DECOUPE",Tableau1[[#This Row],[DESIGNATION]])),"","NEED REF")</f>
        <v/>
      </c>
    </row>
    <row r="5813">
      <c r="B5813" t="n">
        <v>34408192</v>
      </c>
      <c r="C5813" s="2" t="n">
        <v>43858</v>
      </c>
      <c r="D5813" t="inlineStr">
        <is>
          <t>SPEC</t>
        </is>
      </c>
      <c r="E5813" t="inlineStr">
        <is>
          <t>COP BYPASS RACCORDEMENT CLIENT</t>
        </is>
      </c>
      <c r="F5813" t="inlineStr">
        <is>
          <t>STS1250</t>
        </is>
      </c>
      <c r="G5813" t="inlineStr">
        <is>
          <t>GVE</t>
        </is>
      </c>
      <c r="H5813" t="inlineStr">
        <is>
          <t>STS</t>
        </is>
      </c>
      <c r="J5813" t="inlineStr">
        <is>
          <t>MATRION</t>
        </is>
      </c>
      <c r="K5813" t="inlineStr">
        <is>
          <t>CUIVRE</t>
        </is>
      </c>
      <c r="L5813">
        <f>_xlfn.XLOOKUP(Tableau1[[#This Row],[TYPE DE PIECE]],Tableau4[MATIERE],Tableau4[SHORT TYPE],"",0,1)</f>
        <v/>
      </c>
      <c r="N5813">
        <f>IF(ISERR(FIND("DECOUPE",Tableau1[[#This Row],[DESIGNATION]])),"","NEED REF")</f>
        <v/>
      </c>
    </row>
    <row r="5814">
      <c r="B5814" t="n">
        <v>34408191</v>
      </c>
      <c r="C5814" s="2" t="n">
        <v>43858</v>
      </c>
      <c r="D5814" t="inlineStr">
        <is>
          <t>SPEC</t>
        </is>
      </c>
      <c r="E5814" t="inlineStr">
        <is>
          <t>SMT PLATINE BYPASS</t>
        </is>
      </c>
      <c r="F5814" t="inlineStr">
        <is>
          <t>STS1250</t>
        </is>
      </c>
      <c r="G5814" t="inlineStr">
        <is>
          <t>GVE</t>
        </is>
      </c>
      <c r="H5814" t="inlineStr">
        <is>
          <t>STS</t>
        </is>
      </c>
      <c r="J5814" t="inlineStr">
        <is>
          <t>MATRION</t>
        </is>
      </c>
      <c r="K5814" t="inlineStr">
        <is>
          <t>METAL</t>
        </is>
      </c>
      <c r="L5814">
        <f>_xlfn.XLOOKUP(Tableau1[[#This Row],[TYPE DE PIECE]],Tableau4[MATIERE],Tableau4[SHORT TYPE],"",0,1)</f>
        <v/>
      </c>
      <c r="N5814">
        <f>IF(ISERR(FIND("DECOUPE",Tableau1[[#This Row],[DESIGNATION]])),"","NEED REF")</f>
        <v/>
      </c>
    </row>
    <row r="5815">
      <c r="B5815" t="n">
        <v>34408190</v>
      </c>
      <c r="C5815" s="2" t="n">
        <v>43858</v>
      </c>
      <c r="D5815" t="inlineStr">
        <is>
          <t>SPEC</t>
        </is>
      </c>
      <c r="E5815" t="inlineStr">
        <is>
          <t>COP COP NEUTRE 2</t>
        </is>
      </c>
      <c r="F5815" t="inlineStr">
        <is>
          <t>STS1250</t>
        </is>
      </c>
      <c r="G5815" t="inlineStr">
        <is>
          <t>GVE</t>
        </is>
      </c>
      <c r="H5815" t="inlineStr">
        <is>
          <t>STS</t>
        </is>
      </c>
      <c r="J5815" t="inlineStr">
        <is>
          <t>MATRION</t>
        </is>
      </c>
      <c r="K5815" t="inlineStr">
        <is>
          <t>CUIVRE</t>
        </is>
      </c>
      <c r="L5815">
        <f>_xlfn.XLOOKUP(Tableau1[[#This Row],[TYPE DE PIECE]],Tableau4[MATIERE],Tableau4[SHORT TYPE],"",0,1)</f>
        <v/>
      </c>
      <c r="N5815">
        <f>IF(ISERR(FIND("DECOUPE",Tableau1[[#This Row],[DESIGNATION]])),"","NEED REF")</f>
        <v/>
      </c>
    </row>
    <row r="5816">
      <c r="B5816" t="n">
        <v>34408189</v>
      </c>
      <c r="C5816" s="2" t="n">
        <v>43858</v>
      </c>
      <c r="D5816" t="inlineStr">
        <is>
          <t>SPEC</t>
        </is>
      </c>
      <c r="E5816" t="inlineStr">
        <is>
          <t>COP COP NEUTRE 1</t>
        </is>
      </c>
      <c r="F5816" t="inlineStr">
        <is>
          <t>STS1250</t>
        </is>
      </c>
      <c r="G5816" t="inlineStr">
        <is>
          <t>GVE</t>
        </is>
      </c>
      <c r="H5816" t="inlineStr">
        <is>
          <t>STS</t>
        </is>
      </c>
      <c r="J5816" t="inlineStr">
        <is>
          <t>MATRION</t>
        </is>
      </c>
      <c r="K5816" t="inlineStr">
        <is>
          <t>CUIVRE</t>
        </is>
      </c>
      <c r="L5816">
        <f>_xlfn.XLOOKUP(Tableau1[[#This Row],[TYPE DE PIECE]],Tableau4[MATIERE],Tableau4[SHORT TYPE],"",0,1)</f>
        <v/>
      </c>
      <c r="N5816">
        <f>IF(ISERR(FIND("DECOUPE",Tableau1[[#This Row],[DESIGNATION]])),"","NEED REF")</f>
        <v/>
      </c>
    </row>
    <row r="5817">
      <c r="B5817" t="n">
        <v>34408188</v>
      </c>
      <c r="C5817" s="2" t="n">
        <v>43858</v>
      </c>
      <c r="D5817" t="inlineStr">
        <is>
          <t>SPEC</t>
        </is>
      </c>
      <c r="E5817" t="inlineStr">
        <is>
          <t>Platine NSX 4P</t>
        </is>
      </c>
      <c r="J5817" t="inlineStr">
        <is>
          <t>MASCELLINO</t>
        </is>
      </c>
      <c r="K5817" t="inlineStr">
        <is>
          <t>METAL</t>
        </is>
      </c>
      <c r="L5817">
        <f>_xlfn.XLOOKUP(Tableau1[[#This Row],[TYPE DE PIECE]],Tableau4[MATIERE],Tableau4[SHORT TYPE],"",0,1)</f>
        <v/>
      </c>
      <c r="N5817">
        <f>IF(ISERR(FIND("DECOUPE",Tableau1[[#This Row],[DESIGNATION]])),"","NEED REF")</f>
        <v/>
      </c>
    </row>
    <row r="5818">
      <c r="B5818" t="n">
        <v>34408187</v>
      </c>
      <c r="C5818" s="2" t="n">
        <v>43857</v>
      </c>
      <c r="D5818" t="inlineStr">
        <is>
          <t>SPEC</t>
        </is>
      </c>
      <c r="E5818" t="inlineStr">
        <is>
          <t>COP LIAISON CONTACTEUR NEUTRE COUPE</t>
        </is>
      </c>
      <c r="J5818" t="inlineStr">
        <is>
          <t>MATRION</t>
        </is>
      </c>
      <c r="K5818" t="inlineStr">
        <is>
          <t>CUIVRE</t>
        </is>
      </c>
      <c r="L5818">
        <f>_xlfn.XLOOKUP(Tableau1[[#This Row],[TYPE DE PIECE]],Tableau4[MATIERE],Tableau4[SHORT TYPE],"",0,1)</f>
        <v/>
      </c>
      <c r="N5818">
        <f>IF(ISERR(FIND("DECOUPE",Tableau1[[#This Row],[DESIGNATION]])),"","NEED REF")</f>
        <v/>
      </c>
    </row>
    <row r="5819">
      <c r="B5819" t="n">
        <v>34408186</v>
      </c>
      <c r="C5819" s="2" t="n">
        <v>43857</v>
      </c>
      <c r="D5819" t="inlineStr">
        <is>
          <t>SPEC</t>
        </is>
      </c>
      <c r="E5819" t="inlineStr">
        <is>
          <t>COP TYRISTOR NEUTRE COUPE 2</t>
        </is>
      </c>
      <c r="J5819" t="inlineStr">
        <is>
          <t>MATRION</t>
        </is>
      </c>
      <c r="K5819" t="inlineStr">
        <is>
          <t>CUIVRE</t>
        </is>
      </c>
      <c r="L5819">
        <f>_xlfn.XLOOKUP(Tableau1[[#This Row],[TYPE DE PIECE]],Tableau4[MATIERE],Tableau4[SHORT TYPE],"",0,1)</f>
        <v/>
      </c>
      <c r="N5819">
        <f>IF(ISERR(FIND("DECOUPE",Tableau1[[#This Row],[DESIGNATION]])),"","NEED REF")</f>
        <v/>
      </c>
    </row>
    <row r="5820">
      <c r="B5820" t="n">
        <v>34408185</v>
      </c>
      <c r="C5820" s="2" t="n">
        <v>43857</v>
      </c>
      <c r="D5820" t="inlineStr">
        <is>
          <t>SPEC</t>
        </is>
      </c>
      <c r="E5820" t="inlineStr">
        <is>
          <t>COP CONTACTEUR NEUTRE COUPE</t>
        </is>
      </c>
      <c r="F5820" t="inlineStr">
        <is>
          <t>STS1250</t>
        </is>
      </c>
      <c r="G5820" t="inlineStr">
        <is>
          <t>GVE</t>
        </is>
      </c>
      <c r="H5820" t="inlineStr">
        <is>
          <t>STS</t>
        </is>
      </c>
      <c r="J5820" t="inlineStr">
        <is>
          <t>MATRION</t>
        </is>
      </c>
      <c r="K5820" t="inlineStr">
        <is>
          <t>CUIVRE</t>
        </is>
      </c>
      <c r="L5820">
        <f>_xlfn.XLOOKUP(Tableau1[[#This Row],[TYPE DE PIECE]],Tableau4[MATIERE],Tableau4[SHORT TYPE],"",0,1)</f>
        <v/>
      </c>
      <c r="N5820">
        <f>IF(ISERR(FIND("DECOUPE",Tableau1[[#This Row],[DESIGNATION]])),"","NEED REF")</f>
        <v/>
      </c>
    </row>
    <row r="5821">
      <c r="B5821" t="n">
        <v>34408184</v>
      </c>
      <c r="C5821" s="2" t="n">
        <v>43857</v>
      </c>
      <c r="D5821" t="inlineStr">
        <is>
          <t>SPEC</t>
        </is>
      </c>
      <c r="E5821" t="inlineStr">
        <is>
          <t>NS800N 4P micrologic 5.0E RAC ARR</t>
        </is>
      </c>
      <c r="G5821" t="inlineStr">
        <is>
          <t>GVS</t>
        </is>
      </c>
      <c r="H5821" t="inlineStr">
        <is>
          <t>PMM</t>
        </is>
      </c>
      <c r="J5821" t="inlineStr">
        <is>
          <t>ÇAKIR</t>
        </is>
      </c>
      <c r="K5821" t="inlineStr">
        <is>
          <t>CANEVAS</t>
        </is>
      </c>
      <c r="L5821">
        <f>_xlfn.XLOOKUP(Tableau1[[#This Row],[TYPE DE PIECE]],Tableau4[MATIERE],Tableau4[SHORT TYPE],"",0,1)</f>
        <v/>
      </c>
      <c r="N5821">
        <f>IF(ISERR(FIND("DECOUPE",Tableau1[[#This Row],[DESIGNATION]])),"","NEED REF")</f>
        <v/>
      </c>
    </row>
    <row r="5822">
      <c r="B5822" t="n">
        <v>34408183</v>
      </c>
      <c r="C5822" s="2" t="n">
        <v>43857</v>
      </c>
      <c r="D5822" t="inlineStr">
        <is>
          <t>SPEC</t>
        </is>
      </c>
      <c r="E5822" t="inlineStr">
        <is>
          <t>MTZ1 800A 4P micrologic 5,0x H3 RAC ARR</t>
        </is>
      </c>
      <c r="G5822" t="inlineStr">
        <is>
          <t>GVS</t>
        </is>
      </c>
      <c r="H5822" t="inlineStr">
        <is>
          <t>PMM</t>
        </is>
      </c>
      <c r="J5822" t="inlineStr">
        <is>
          <t>ÇAKIR</t>
        </is>
      </c>
      <c r="K5822" t="inlineStr">
        <is>
          <t>CANEVAS</t>
        </is>
      </c>
      <c r="L5822">
        <f>_xlfn.XLOOKUP(Tableau1[[#This Row],[TYPE DE PIECE]],Tableau4[MATIERE],Tableau4[SHORT TYPE],"",0,1)</f>
        <v/>
      </c>
      <c r="N5822">
        <f>IF(ISERR(FIND("DECOUPE",Tableau1[[#This Row],[DESIGNATION]])),"","NEED REF")</f>
        <v/>
      </c>
    </row>
    <row r="5823">
      <c r="B5823" t="n">
        <v>34408182</v>
      </c>
      <c r="C5823" s="2" t="n">
        <v>43857</v>
      </c>
      <c r="D5823" t="inlineStr">
        <is>
          <t>SPEC</t>
        </is>
      </c>
      <c r="E5823" t="inlineStr">
        <is>
          <t>PLATINE DOUBLE MTZ1</t>
        </is>
      </c>
      <c r="J5823" t="inlineStr">
        <is>
          <t>MASCELLINO</t>
        </is>
      </c>
      <c r="K5823" t="inlineStr">
        <is>
          <t>METAL</t>
        </is>
      </c>
      <c r="L5823">
        <f>_xlfn.XLOOKUP(Tableau1[[#This Row],[TYPE DE PIECE]],Tableau4[MATIERE],Tableau4[SHORT TYPE],"",0,1)</f>
        <v/>
      </c>
      <c r="N5823">
        <f>IF(ISERR(FIND("DECOUPE",Tableau1[[#This Row],[DESIGNATION]])),"","NEED REF")</f>
        <v/>
      </c>
    </row>
    <row r="5824">
      <c r="B5824" t="n">
        <v>34408181</v>
      </c>
      <c r="C5824" s="2" t="n">
        <v>43852</v>
      </c>
      <c r="D5824" t="inlineStr">
        <is>
          <t>SPEC</t>
        </is>
      </c>
      <c r="E5824" t="inlineStr">
        <is>
          <t>Perçage toit I/O 1500kVA 0M-82236 Microsoft pour coffret COM</t>
        </is>
      </c>
      <c r="G5824" t="inlineStr">
        <is>
          <t>GVX</t>
        </is>
      </c>
      <c r="J5824" t="inlineStr">
        <is>
          <t>MASCELLINO</t>
        </is>
      </c>
      <c r="K5824" t="inlineStr">
        <is>
          <t>METAL</t>
        </is>
      </c>
      <c r="L5824">
        <f>_xlfn.XLOOKUP(Tableau1[[#This Row],[TYPE DE PIECE]],Tableau4[MATIERE],Tableau4[SHORT TYPE],"",0,1)</f>
        <v/>
      </c>
      <c r="N5824">
        <f>IF(ISERR(FIND("DECOUPE",Tableau1[[#This Row],[DESIGNATION]])),"","NEED REF")</f>
        <v/>
      </c>
    </row>
    <row r="5825">
      <c r="B5825" t="n">
        <v>34408180</v>
      </c>
      <c r="C5825" s="2" t="n">
        <v>43852</v>
      </c>
      <c r="D5825" t="inlineStr">
        <is>
          <t>SPEC</t>
        </is>
      </c>
      <c r="E5825" t="inlineStr">
        <is>
          <t>COP TYRISTOR NEUTRE COUPE 1</t>
        </is>
      </c>
      <c r="F5825" t="inlineStr">
        <is>
          <t>STS1250</t>
        </is>
      </c>
      <c r="G5825" t="inlineStr">
        <is>
          <t>GVE</t>
        </is>
      </c>
      <c r="H5825" t="inlineStr">
        <is>
          <t>STS</t>
        </is>
      </c>
      <c r="J5825" t="inlineStr">
        <is>
          <t>MATRION</t>
        </is>
      </c>
      <c r="K5825" t="inlineStr">
        <is>
          <t>CUIVRE</t>
        </is>
      </c>
      <c r="L5825">
        <f>_xlfn.XLOOKUP(Tableau1[[#This Row],[TYPE DE PIECE]],Tableau4[MATIERE],Tableau4[SHORT TYPE],"",0,1)</f>
        <v/>
      </c>
      <c r="N5825">
        <f>IF(ISERR(FIND("DECOUPE",Tableau1[[#This Row],[DESIGNATION]])),"","NEED REF")</f>
        <v/>
      </c>
    </row>
    <row r="5826">
      <c r="B5826" t="n">
        <v>34408179</v>
      </c>
      <c r="C5826" s="2" t="n">
        <v>43852</v>
      </c>
      <c r="D5826" t="inlineStr">
        <is>
          <t>SPEC</t>
        </is>
      </c>
      <c r="E5826" t="inlineStr">
        <is>
          <t>SMT SUPPORT VENTILATEUR</t>
        </is>
      </c>
      <c r="F5826" t="inlineStr">
        <is>
          <t>STS1250</t>
        </is>
      </c>
      <c r="G5826" t="inlineStr">
        <is>
          <t>GVE</t>
        </is>
      </c>
      <c r="H5826" t="inlineStr">
        <is>
          <t>STS</t>
        </is>
      </c>
      <c r="J5826" t="inlineStr">
        <is>
          <t>MATRION</t>
        </is>
      </c>
      <c r="K5826" t="inlineStr">
        <is>
          <t>METAL</t>
        </is>
      </c>
      <c r="L5826">
        <f>_xlfn.XLOOKUP(Tableau1[[#This Row],[TYPE DE PIECE]],Tableau4[MATIERE],Tableau4[SHORT TYPE],"",0,1)</f>
        <v/>
      </c>
      <c r="N5826">
        <f>IF(ISERR(FIND("DECOUPE",Tableau1[[#This Row],[DESIGNATION]])),"","NEED REF")</f>
        <v/>
      </c>
    </row>
    <row r="5827">
      <c r="B5827" t="n">
        <v>34408178</v>
      </c>
      <c r="C5827" s="2" t="n">
        <v>43852</v>
      </c>
      <c r="D5827" t="inlineStr">
        <is>
          <t>SPEC</t>
        </is>
      </c>
      <c r="E5827" t="inlineStr">
        <is>
          <t>PLA CAPOT CS</t>
        </is>
      </c>
      <c r="F5827" t="inlineStr">
        <is>
          <t>STS1250</t>
        </is>
      </c>
      <c r="G5827" t="inlineStr">
        <is>
          <t>GVE</t>
        </is>
      </c>
      <c r="H5827" t="inlineStr">
        <is>
          <t>STS</t>
        </is>
      </c>
      <c r="J5827" t="inlineStr">
        <is>
          <t>MATRION</t>
        </is>
      </c>
      <c r="K5827" t="inlineStr">
        <is>
          <t>PLASTIQUE</t>
        </is>
      </c>
      <c r="L5827">
        <f>_xlfn.XLOOKUP(Tableau1[[#This Row],[TYPE DE PIECE]],Tableau4[MATIERE],Tableau4[SHORT TYPE],"",0,1)</f>
        <v/>
      </c>
      <c r="N5827">
        <f>IF(ISERR(FIND("DECOUPE",Tableau1[[#This Row],[DESIGNATION]])),"","NEED REF")</f>
        <v/>
      </c>
    </row>
    <row r="5828">
      <c r="B5828" t="n">
        <v>34408177</v>
      </c>
      <c r="C5828" s="2" t="n">
        <v>43852</v>
      </c>
      <c r="D5828" t="inlineStr">
        <is>
          <t>SPEC</t>
        </is>
      </c>
      <c r="E5828" t="inlineStr">
        <is>
          <t>PLA SUPPORT CS</t>
        </is>
      </c>
      <c r="F5828" t="inlineStr">
        <is>
          <t>STS1250</t>
        </is>
      </c>
      <c r="G5828" t="inlineStr">
        <is>
          <t>GVE</t>
        </is>
      </c>
      <c r="H5828" t="inlineStr">
        <is>
          <t>STS</t>
        </is>
      </c>
      <c r="J5828" t="inlineStr">
        <is>
          <t>MATRION</t>
        </is>
      </c>
      <c r="K5828" t="inlineStr">
        <is>
          <t>PLASTIQUE</t>
        </is>
      </c>
      <c r="L5828">
        <f>_xlfn.XLOOKUP(Tableau1[[#This Row],[TYPE DE PIECE]],Tableau4[MATIERE],Tableau4[SHORT TYPE],"",0,1)</f>
        <v/>
      </c>
      <c r="N5828">
        <f>IF(ISERR(FIND("DECOUPE",Tableau1[[#This Row],[DESIGNATION]])),"","NEED REF")</f>
        <v/>
      </c>
    </row>
    <row r="5829">
      <c r="B5829" t="n">
        <v>34408176</v>
      </c>
      <c r="C5829" s="2" t="n">
        <v>43852</v>
      </c>
      <c r="D5829" t="inlineStr">
        <is>
          <t>SPEC</t>
        </is>
      </c>
      <c r="E5829" t="inlineStr">
        <is>
          <t>COP CS LEM 2</t>
        </is>
      </c>
      <c r="F5829" t="inlineStr">
        <is>
          <t>STS1250</t>
        </is>
      </c>
      <c r="G5829" t="inlineStr">
        <is>
          <t>GVE</t>
        </is>
      </c>
      <c r="H5829" t="inlineStr">
        <is>
          <t>STS</t>
        </is>
      </c>
      <c r="J5829" t="inlineStr">
        <is>
          <t>MATRION</t>
        </is>
      </c>
      <c r="K5829" t="inlineStr">
        <is>
          <t>CUIVRE</t>
        </is>
      </c>
      <c r="L5829">
        <f>_xlfn.XLOOKUP(Tableau1[[#This Row],[TYPE DE PIECE]],Tableau4[MATIERE],Tableau4[SHORT TYPE],"",0,1)</f>
        <v/>
      </c>
      <c r="N5829">
        <f>IF(ISERR(FIND("DECOUPE",Tableau1[[#This Row],[DESIGNATION]])),"","NEED REF")</f>
        <v/>
      </c>
    </row>
    <row r="5830">
      <c r="B5830" t="n">
        <v>34408175</v>
      </c>
      <c r="C5830" s="2" t="n">
        <v>43852</v>
      </c>
      <c r="D5830" t="inlineStr">
        <is>
          <t>SPEC</t>
        </is>
      </c>
      <c r="E5830" t="inlineStr">
        <is>
          <t>COP CS LEM 1</t>
        </is>
      </c>
      <c r="F5830" t="inlineStr">
        <is>
          <t>STS1250</t>
        </is>
      </c>
      <c r="G5830" t="inlineStr">
        <is>
          <t>GVE</t>
        </is>
      </c>
      <c r="H5830" t="inlineStr">
        <is>
          <t>STS</t>
        </is>
      </c>
      <c r="J5830" t="inlineStr">
        <is>
          <t>MATRION</t>
        </is>
      </c>
      <c r="K5830" t="inlineStr">
        <is>
          <t>CUIVRE</t>
        </is>
      </c>
      <c r="L5830">
        <f>_xlfn.XLOOKUP(Tableau1[[#This Row],[TYPE DE PIECE]],Tableau4[MATIERE],Tableau4[SHORT TYPE],"",0,1)</f>
        <v/>
      </c>
      <c r="N5830">
        <f>IF(ISERR(FIND("DECOUPE",Tableau1[[#This Row],[DESIGNATION]])),"","NEED REF")</f>
        <v/>
      </c>
    </row>
    <row r="5831">
      <c r="B5831" t="n">
        <v>34408174</v>
      </c>
      <c r="C5831" s="2" t="n">
        <v>43852</v>
      </c>
      <c r="D5831" t="inlineStr">
        <is>
          <t>SPEC</t>
        </is>
      </c>
      <c r="E5831" t="inlineStr">
        <is>
          <t>COP NS VERS LINERGY 6</t>
        </is>
      </c>
      <c r="F5831" t="inlineStr">
        <is>
          <t>STS1250</t>
        </is>
      </c>
      <c r="G5831" t="inlineStr">
        <is>
          <t>GVE</t>
        </is>
      </c>
      <c r="H5831" t="inlineStr">
        <is>
          <t>STS</t>
        </is>
      </c>
      <c r="J5831" t="inlineStr">
        <is>
          <t>MATRION</t>
        </is>
      </c>
      <c r="K5831" t="inlineStr">
        <is>
          <t>CUIVRE</t>
        </is>
      </c>
      <c r="L5831">
        <f>_xlfn.XLOOKUP(Tableau1[[#This Row],[TYPE DE PIECE]],Tableau4[MATIERE],Tableau4[SHORT TYPE],"",0,1)</f>
        <v/>
      </c>
      <c r="N5831">
        <f>IF(ISERR(FIND("DECOUPE",Tableau1[[#This Row],[DESIGNATION]])),"","NEED REF")</f>
        <v/>
      </c>
    </row>
    <row r="5832">
      <c r="B5832" t="n">
        <v>34408173</v>
      </c>
      <c r="C5832" s="2" t="n">
        <v>43852</v>
      </c>
      <c r="D5832" t="inlineStr">
        <is>
          <t>SPEC</t>
        </is>
      </c>
      <c r="E5832" t="inlineStr">
        <is>
          <t>COP NS VERS LINERGY 5</t>
        </is>
      </c>
      <c r="F5832" t="inlineStr">
        <is>
          <t>STS1250</t>
        </is>
      </c>
      <c r="G5832" t="inlineStr">
        <is>
          <t>GVE</t>
        </is>
      </c>
      <c r="H5832" t="inlineStr">
        <is>
          <t>STS</t>
        </is>
      </c>
      <c r="J5832" t="inlineStr">
        <is>
          <t>MATRION</t>
        </is>
      </c>
      <c r="K5832" t="inlineStr">
        <is>
          <t>CUIVRE</t>
        </is>
      </c>
      <c r="L5832">
        <f>_xlfn.XLOOKUP(Tableau1[[#This Row],[TYPE DE PIECE]],Tableau4[MATIERE],Tableau4[SHORT TYPE],"",0,1)</f>
        <v/>
      </c>
      <c r="N5832">
        <f>IF(ISERR(FIND("DECOUPE",Tableau1[[#This Row],[DESIGNATION]])),"","NEED REF")</f>
        <v/>
      </c>
    </row>
    <row r="5833">
      <c r="B5833" t="n">
        <v>34408172</v>
      </c>
      <c r="C5833" s="2" t="n">
        <v>43852</v>
      </c>
      <c r="D5833" t="inlineStr">
        <is>
          <t>SPEC</t>
        </is>
      </c>
      <c r="E5833" t="inlineStr">
        <is>
          <t>COP NS VERS LINERGY 4</t>
        </is>
      </c>
      <c r="F5833" t="inlineStr">
        <is>
          <t>STS1250</t>
        </is>
      </c>
      <c r="G5833" t="inlineStr">
        <is>
          <t>GVE</t>
        </is>
      </c>
      <c r="H5833" t="inlineStr">
        <is>
          <t>STS</t>
        </is>
      </c>
      <c r="J5833" t="inlineStr">
        <is>
          <t>MATRION</t>
        </is>
      </c>
      <c r="K5833" t="inlineStr">
        <is>
          <t>CUIVRE</t>
        </is>
      </c>
      <c r="L5833">
        <f>_xlfn.XLOOKUP(Tableau1[[#This Row],[TYPE DE PIECE]],Tableau4[MATIERE],Tableau4[SHORT TYPE],"",0,1)</f>
        <v/>
      </c>
      <c r="N5833">
        <f>IF(ISERR(FIND("DECOUPE",Tableau1[[#This Row],[DESIGNATION]])),"","NEED REF")</f>
        <v/>
      </c>
    </row>
    <row r="5834">
      <c r="B5834" t="n">
        <v>34408171</v>
      </c>
      <c r="C5834" s="2" t="n">
        <v>43852</v>
      </c>
      <c r="D5834" t="inlineStr">
        <is>
          <t>SPEC</t>
        </is>
      </c>
      <c r="E5834" t="inlineStr">
        <is>
          <t>COP NS VERS LINERGY 3</t>
        </is>
      </c>
      <c r="F5834" t="inlineStr">
        <is>
          <t>STS1250</t>
        </is>
      </c>
      <c r="G5834" t="inlineStr">
        <is>
          <t>GVE</t>
        </is>
      </c>
      <c r="H5834" t="inlineStr">
        <is>
          <t>STS</t>
        </is>
      </c>
      <c r="J5834" t="inlineStr">
        <is>
          <t>MATRION</t>
        </is>
      </c>
      <c r="K5834" t="inlineStr">
        <is>
          <t>CUIVRE</t>
        </is>
      </c>
      <c r="L5834">
        <f>_xlfn.XLOOKUP(Tableau1[[#This Row],[TYPE DE PIECE]],Tableau4[MATIERE],Tableau4[SHORT TYPE],"",0,1)</f>
        <v/>
      </c>
      <c r="N5834">
        <f>IF(ISERR(FIND("DECOUPE",Tableau1[[#This Row],[DESIGNATION]])),"","NEED REF")</f>
        <v/>
      </c>
    </row>
    <row r="5835">
      <c r="B5835" t="n">
        <v>34408170</v>
      </c>
      <c r="C5835" s="2" t="n">
        <v>43852</v>
      </c>
      <c r="D5835" t="inlineStr">
        <is>
          <t>SPEC</t>
        </is>
      </c>
      <c r="E5835" t="inlineStr">
        <is>
          <t>COP NS VERS LINERGY 2</t>
        </is>
      </c>
      <c r="F5835" t="inlineStr">
        <is>
          <t>STS1250</t>
        </is>
      </c>
      <c r="G5835" t="inlineStr">
        <is>
          <t>GVE</t>
        </is>
      </c>
      <c r="H5835" t="inlineStr">
        <is>
          <t>STS</t>
        </is>
      </c>
      <c r="J5835" t="inlineStr">
        <is>
          <t>MATRION</t>
        </is>
      </c>
      <c r="K5835" t="inlineStr">
        <is>
          <t>CUIVRE</t>
        </is>
      </c>
      <c r="L5835">
        <f>_xlfn.XLOOKUP(Tableau1[[#This Row],[TYPE DE PIECE]],Tableau4[MATIERE],Tableau4[SHORT TYPE],"",0,1)</f>
        <v/>
      </c>
      <c r="N5835">
        <f>IF(ISERR(FIND("DECOUPE",Tableau1[[#This Row],[DESIGNATION]])),"","NEED REF")</f>
        <v/>
      </c>
    </row>
    <row r="5836">
      <c r="B5836" t="n">
        <v>34408169</v>
      </c>
      <c r="C5836" s="2" t="n">
        <v>43852</v>
      </c>
      <c r="D5836" t="inlineStr">
        <is>
          <t>SPEC</t>
        </is>
      </c>
      <c r="E5836" t="inlineStr">
        <is>
          <t>COP NS VERS LINERGY 1</t>
        </is>
      </c>
      <c r="F5836" t="inlineStr">
        <is>
          <t>STS1250</t>
        </is>
      </c>
      <c r="G5836" t="inlineStr">
        <is>
          <t>GVE</t>
        </is>
      </c>
      <c r="H5836" t="inlineStr">
        <is>
          <t>STS</t>
        </is>
      </c>
      <c r="J5836" t="inlineStr">
        <is>
          <t>MATRION</t>
        </is>
      </c>
      <c r="K5836" t="inlineStr">
        <is>
          <t>CUIVRE</t>
        </is>
      </c>
      <c r="L5836">
        <f>_xlfn.XLOOKUP(Tableau1[[#This Row],[TYPE DE PIECE]],Tableau4[MATIERE],Tableau4[SHORT TYPE],"",0,1)</f>
        <v/>
      </c>
      <c r="N5836">
        <f>IF(ISERR(FIND("DECOUPE",Tableau1[[#This Row],[DESIGNATION]])),"","NEED REF")</f>
        <v/>
      </c>
    </row>
    <row r="5837">
      <c r="B5837" t="n">
        <v>34408168</v>
      </c>
      <c r="C5837" s="2" t="n">
        <v>43851</v>
      </c>
      <c r="D5837" t="inlineStr">
        <is>
          <t>SPEC</t>
        </is>
      </c>
      <c r="E5837" t="inlineStr">
        <is>
          <t>COP FLEX ERICO SORTIE CS 3</t>
        </is>
      </c>
      <c r="F5837" t="inlineStr">
        <is>
          <t>STS1250</t>
        </is>
      </c>
      <c r="G5837" t="inlineStr">
        <is>
          <t>GVE</t>
        </is>
      </c>
      <c r="H5837" t="inlineStr">
        <is>
          <t>STS</t>
        </is>
      </c>
      <c r="J5837" t="inlineStr">
        <is>
          <t>MATRION</t>
        </is>
      </c>
      <c r="K5837" t="inlineStr">
        <is>
          <t>CUIVRE</t>
        </is>
      </c>
      <c r="L5837">
        <f>_xlfn.XLOOKUP(Tableau1[[#This Row],[TYPE DE PIECE]],Tableau4[MATIERE],Tableau4[SHORT TYPE],"",0,1)</f>
        <v/>
      </c>
      <c r="N5837">
        <f>IF(ISERR(FIND("DECOUPE",Tableau1[[#This Row],[DESIGNATION]])),"","NEED REF")</f>
        <v/>
      </c>
    </row>
    <row r="5838">
      <c r="B5838" t="n">
        <v>34408167</v>
      </c>
      <c r="C5838" s="2" t="n">
        <v>43851</v>
      </c>
      <c r="D5838" t="inlineStr">
        <is>
          <t>SPEC</t>
        </is>
      </c>
      <c r="E5838" t="inlineStr">
        <is>
          <t>COP FLEX ERICO SORTIE CS 2</t>
        </is>
      </c>
      <c r="F5838" t="inlineStr">
        <is>
          <t>STS1250</t>
        </is>
      </c>
      <c r="G5838" t="inlineStr">
        <is>
          <t>GVE</t>
        </is>
      </c>
      <c r="H5838" t="inlineStr">
        <is>
          <t>STS</t>
        </is>
      </c>
      <c r="J5838" t="inlineStr">
        <is>
          <t>MATRION</t>
        </is>
      </c>
      <c r="K5838" t="inlineStr">
        <is>
          <t>CUIVRE</t>
        </is>
      </c>
      <c r="L5838">
        <f>_xlfn.XLOOKUP(Tableau1[[#This Row],[TYPE DE PIECE]],Tableau4[MATIERE],Tableau4[SHORT TYPE],"",0,1)</f>
        <v/>
      </c>
      <c r="N5838">
        <f>IF(ISERR(FIND("DECOUPE",Tableau1[[#This Row],[DESIGNATION]])),"","NEED REF")</f>
        <v/>
      </c>
    </row>
    <row r="5839">
      <c r="B5839" t="n">
        <v>34408166</v>
      </c>
      <c r="C5839" s="2" t="n">
        <v>43851</v>
      </c>
      <c r="D5839" t="inlineStr">
        <is>
          <t>SPEC</t>
        </is>
      </c>
      <c r="E5839" t="inlineStr">
        <is>
          <t>COP FLEX ERICO SORTIE CS 1</t>
        </is>
      </c>
      <c r="F5839" t="inlineStr">
        <is>
          <t>STS1250</t>
        </is>
      </c>
      <c r="G5839" t="inlineStr">
        <is>
          <t>GVE</t>
        </is>
      </c>
      <c r="H5839" t="inlineStr">
        <is>
          <t>STS</t>
        </is>
      </c>
      <c r="J5839" t="inlineStr">
        <is>
          <t>MATRION</t>
        </is>
      </c>
      <c r="K5839" t="inlineStr">
        <is>
          <t>CUIVRE</t>
        </is>
      </c>
      <c r="L5839">
        <f>_xlfn.XLOOKUP(Tableau1[[#This Row],[TYPE DE PIECE]],Tableau4[MATIERE],Tableau4[SHORT TYPE],"",0,1)</f>
        <v/>
      </c>
      <c r="N5839">
        <f>IF(ISERR(FIND("DECOUPE",Tableau1[[#This Row],[DESIGNATION]])),"","NEED REF")</f>
        <v/>
      </c>
    </row>
    <row r="5840">
      <c r="B5840" t="n">
        <v>34408165</v>
      </c>
      <c r="C5840" s="2" t="n">
        <v>43851</v>
      </c>
      <c r="D5840" t="inlineStr">
        <is>
          <t>SPEC</t>
        </is>
      </c>
      <c r="E5840" t="inlineStr">
        <is>
          <t>DECOUPE LVS04662 75MM 3P - FREE SUPPORT BUSBAR</t>
        </is>
      </c>
      <c r="F5840" t="inlineStr">
        <is>
          <t>STS1250</t>
        </is>
      </c>
      <c r="G5840" t="inlineStr">
        <is>
          <t>GVE</t>
        </is>
      </c>
      <c r="H5840" t="inlineStr">
        <is>
          <t>STS</t>
        </is>
      </c>
      <c r="J5840" t="inlineStr">
        <is>
          <t>MATRION</t>
        </is>
      </c>
      <c r="K5840" t="inlineStr">
        <is>
          <t>PLASTIQUE</t>
        </is>
      </c>
      <c r="L5840">
        <f>_xlfn.XLOOKUP(Tableau1[[#This Row],[TYPE DE PIECE]],Tableau4[MATIERE],Tableau4[SHORT TYPE],"",0,1)</f>
        <v/>
      </c>
      <c r="M5840" t="inlineStr">
        <is>
          <t>BUSBAR SUPPORT</t>
        </is>
      </c>
      <c r="N5840" t="inlineStr">
        <is>
          <t>LVS04662</t>
        </is>
      </c>
    </row>
    <row r="5841">
      <c r="B5841" t="n">
        <v>34408164</v>
      </c>
      <c r="C5841" s="2" t="n">
        <v>43847</v>
      </c>
      <c r="D5841" t="inlineStr">
        <is>
          <t>SPEC</t>
        </is>
      </c>
      <c r="E5841" t="inlineStr">
        <is>
          <t>COP FLEX BYPASS VERS CS 3</t>
        </is>
      </c>
      <c r="F5841" t="inlineStr">
        <is>
          <t>STS1250</t>
        </is>
      </c>
      <c r="G5841" t="inlineStr">
        <is>
          <t>GVE</t>
        </is>
      </c>
      <c r="H5841" t="inlineStr">
        <is>
          <t>STS</t>
        </is>
      </c>
      <c r="J5841" t="inlineStr">
        <is>
          <t>MATRION</t>
        </is>
      </c>
      <c r="K5841" t="inlineStr">
        <is>
          <t>CUIVRE</t>
        </is>
      </c>
      <c r="L5841">
        <f>_xlfn.XLOOKUP(Tableau1[[#This Row],[TYPE DE PIECE]],Tableau4[MATIERE],Tableau4[SHORT TYPE],"",0,1)</f>
        <v/>
      </c>
      <c r="N5841">
        <f>IF(ISERR(FIND("DECOUPE",Tableau1[[#This Row],[DESIGNATION]])),"","NEED REF")</f>
        <v/>
      </c>
    </row>
    <row r="5842">
      <c r="B5842" t="n">
        <v>34408163</v>
      </c>
      <c r="C5842" s="2" t="n">
        <v>43847</v>
      </c>
      <c r="D5842" t="inlineStr">
        <is>
          <t>SPEC</t>
        </is>
      </c>
      <c r="E5842" t="inlineStr">
        <is>
          <t>COP FLEX BYPASS VERS CS 2</t>
        </is>
      </c>
      <c r="F5842" t="inlineStr">
        <is>
          <t>STS1250</t>
        </is>
      </c>
      <c r="G5842" t="inlineStr">
        <is>
          <t>GVE</t>
        </is>
      </c>
      <c r="H5842" t="inlineStr">
        <is>
          <t>STS</t>
        </is>
      </c>
      <c r="J5842" t="inlineStr">
        <is>
          <t>MATRION</t>
        </is>
      </c>
      <c r="K5842" t="inlineStr">
        <is>
          <t>CUIVRE</t>
        </is>
      </c>
      <c r="L5842">
        <f>_xlfn.XLOOKUP(Tableau1[[#This Row],[TYPE DE PIECE]],Tableau4[MATIERE],Tableau4[SHORT TYPE],"",0,1)</f>
        <v/>
      </c>
      <c r="N5842">
        <f>IF(ISERR(FIND("DECOUPE",Tableau1[[#This Row],[DESIGNATION]])),"","NEED REF")</f>
        <v/>
      </c>
    </row>
    <row r="5843">
      <c r="B5843" t="n">
        <v>34408162</v>
      </c>
      <c r="C5843" s="2" t="n">
        <v>43847</v>
      </c>
      <c r="D5843" t="inlineStr">
        <is>
          <t>SPEC</t>
        </is>
      </c>
      <c r="E5843" t="inlineStr">
        <is>
          <t>COP FLEX BYPASS VERS CS 1</t>
        </is>
      </c>
      <c r="F5843" t="inlineStr">
        <is>
          <t>STS1250</t>
        </is>
      </c>
      <c r="G5843" t="inlineStr">
        <is>
          <t>GVE</t>
        </is>
      </c>
      <c r="H5843" t="inlineStr">
        <is>
          <t>STS</t>
        </is>
      </c>
      <c r="J5843" t="inlineStr">
        <is>
          <t>MATRION</t>
        </is>
      </c>
      <c r="K5843" t="inlineStr">
        <is>
          <t>CUIVRE</t>
        </is>
      </c>
      <c r="L5843">
        <f>_xlfn.XLOOKUP(Tableau1[[#This Row],[TYPE DE PIECE]],Tableau4[MATIERE],Tableau4[SHORT TYPE],"",0,1)</f>
        <v/>
      </c>
      <c r="N5843">
        <f>IF(ISERR(FIND("DECOUPE",Tableau1[[#This Row],[DESIGNATION]])),"","NEED REF")</f>
        <v/>
      </c>
    </row>
    <row r="5844">
      <c r="B5844" t="n">
        <v>34408161</v>
      </c>
      <c r="C5844" s="2" t="n">
        <v>43847</v>
      </c>
      <c r="D5844" t="inlineStr">
        <is>
          <t>SPEC</t>
        </is>
      </c>
      <c r="E5844" t="inlineStr">
        <is>
          <t>S/E MODULE CS 1250A 2</t>
        </is>
      </c>
      <c r="F5844" t="inlineStr">
        <is>
          <t>STS1250</t>
        </is>
      </c>
      <c r="G5844" t="inlineStr">
        <is>
          <t>GVE</t>
        </is>
      </c>
      <c r="H5844" t="inlineStr">
        <is>
          <t>STS</t>
        </is>
      </c>
      <c r="J5844" t="inlineStr">
        <is>
          <t>MATRION</t>
        </is>
      </c>
      <c r="K5844" t="inlineStr">
        <is>
          <t>CUIVRE</t>
        </is>
      </c>
      <c r="L5844">
        <f>_xlfn.XLOOKUP(Tableau1[[#This Row],[TYPE DE PIECE]],Tableau4[MATIERE],Tableau4[SHORT TYPE],"",0,1)</f>
        <v/>
      </c>
      <c r="N5844">
        <f>IF(ISERR(FIND("DECOUPE",Tableau1[[#This Row],[DESIGNATION]])),"","NEED REF")</f>
        <v/>
      </c>
    </row>
    <row r="5845">
      <c r="B5845" t="n">
        <v>34408160</v>
      </c>
      <c r="C5845" s="2" t="n">
        <v>43847</v>
      </c>
      <c r="D5845" t="inlineStr">
        <is>
          <t>SPEC</t>
        </is>
      </c>
      <c r="E5845" t="inlineStr">
        <is>
          <t>S/E MODULE CS 1250A 1</t>
        </is>
      </c>
      <c r="F5845" t="inlineStr">
        <is>
          <t>STS1250</t>
        </is>
      </c>
      <c r="G5845" t="inlineStr">
        <is>
          <t>GVE</t>
        </is>
      </c>
      <c r="H5845" t="inlineStr">
        <is>
          <t>STS</t>
        </is>
      </c>
      <c r="J5845" t="inlineStr">
        <is>
          <t>MATRION</t>
        </is>
      </c>
      <c r="K5845" t="inlineStr">
        <is>
          <t>CUIVRE</t>
        </is>
      </c>
      <c r="L5845">
        <f>_xlfn.XLOOKUP(Tableau1[[#This Row],[TYPE DE PIECE]],Tableau4[MATIERE],Tableau4[SHORT TYPE],"",0,1)</f>
        <v/>
      </c>
      <c r="N5845">
        <f>IF(ISERR(FIND("DECOUPE",Tableau1[[#This Row],[DESIGNATION]])),"","NEED REF")</f>
        <v/>
      </c>
    </row>
    <row r="5846">
      <c r="B5846" t="n">
        <v>34408159</v>
      </c>
      <c r="C5846" s="2" t="n">
        <v>43847</v>
      </c>
      <c r="D5846" t="inlineStr">
        <is>
          <t>SPEC</t>
        </is>
      </c>
      <c r="E5846" t="inlineStr">
        <is>
          <t>COP BYPASS 7</t>
        </is>
      </c>
      <c r="F5846" t="inlineStr">
        <is>
          <t>STS1250</t>
        </is>
      </c>
      <c r="G5846" t="inlineStr">
        <is>
          <t>GVE</t>
        </is>
      </c>
      <c r="H5846" t="inlineStr">
        <is>
          <t>STS</t>
        </is>
      </c>
      <c r="J5846" t="inlineStr">
        <is>
          <t>MATRION</t>
        </is>
      </c>
      <c r="K5846" t="inlineStr">
        <is>
          <t>CUIVRE</t>
        </is>
      </c>
      <c r="L5846">
        <f>_xlfn.XLOOKUP(Tableau1[[#This Row],[TYPE DE PIECE]],Tableau4[MATIERE],Tableau4[SHORT TYPE],"",0,1)</f>
        <v/>
      </c>
      <c r="N5846">
        <f>IF(ISERR(FIND("DECOUPE",Tableau1[[#This Row],[DESIGNATION]])),"","NEED REF")</f>
        <v/>
      </c>
    </row>
    <row r="5847">
      <c r="B5847" t="n">
        <v>34408158</v>
      </c>
      <c r="C5847" s="2" t="n">
        <v>43847</v>
      </c>
      <c r="D5847" t="inlineStr">
        <is>
          <t>SPEC</t>
        </is>
      </c>
      <c r="E5847" t="inlineStr">
        <is>
          <t>COP BYPASS 6</t>
        </is>
      </c>
      <c r="F5847" t="inlineStr">
        <is>
          <t>STS1250</t>
        </is>
      </c>
      <c r="G5847" t="inlineStr">
        <is>
          <t>GVE</t>
        </is>
      </c>
      <c r="H5847" t="inlineStr">
        <is>
          <t>STS</t>
        </is>
      </c>
      <c r="J5847" t="inlineStr">
        <is>
          <t>MATRION</t>
        </is>
      </c>
      <c r="K5847" t="inlineStr">
        <is>
          <t>CUIVRE</t>
        </is>
      </c>
      <c r="L5847">
        <f>_xlfn.XLOOKUP(Tableau1[[#This Row],[TYPE DE PIECE]],Tableau4[MATIERE],Tableau4[SHORT TYPE],"",0,1)</f>
        <v/>
      </c>
      <c r="N5847">
        <f>IF(ISERR(FIND("DECOUPE",Tableau1[[#This Row],[DESIGNATION]])),"","NEED REF")</f>
        <v/>
      </c>
    </row>
    <row r="5848">
      <c r="B5848" t="n">
        <v>34408157</v>
      </c>
      <c r="C5848" s="2" t="n">
        <v>43847</v>
      </c>
      <c r="D5848" t="inlineStr">
        <is>
          <t>SPEC</t>
        </is>
      </c>
      <c r="E5848" t="inlineStr">
        <is>
          <t>COP BYPASS RACCORDEMENT CLIENT</t>
        </is>
      </c>
      <c r="F5848" t="inlineStr">
        <is>
          <t>STS1250</t>
        </is>
      </c>
      <c r="G5848" t="inlineStr">
        <is>
          <t>GVE</t>
        </is>
      </c>
      <c r="H5848" t="inlineStr">
        <is>
          <t>STS</t>
        </is>
      </c>
      <c r="J5848" t="inlineStr">
        <is>
          <t>MATRION</t>
        </is>
      </c>
      <c r="K5848" t="inlineStr">
        <is>
          <t>CUIVRE</t>
        </is>
      </c>
      <c r="L5848">
        <f>_xlfn.XLOOKUP(Tableau1[[#This Row],[TYPE DE PIECE]],Tableau4[MATIERE],Tableau4[SHORT TYPE],"",0,1)</f>
        <v/>
      </c>
      <c r="N5848">
        <f>IF(ISERR(FIND("DECOUPE",Tableau1[[#This Row],[DESIGNATION]])),"","NEED REF")</f>
        <v/>
      </c>
    </row>
    <row r="5849">
      <c r="B5849" t="n">
        <v>34408156</v>
      </c>
      <c r="C5849" s="2" t="n">
        <v>43847</v>
      </c>
      <c r="D5849" t="inlineStr">
        <is>
          <t>SPEC</t>
        </is>
      </c>
      <c r="E5849" t="inlineStr">
        <is>
          <t>COP BYPASS 5</t>
        </is>
      </c>
      <c r="F5849" t="inlineStr">
        <is>
          <t>STS1250</t>
        </is>
      </c>
      <c r="G5849" t="inlineStr">
        <is>
          <t>GVE</t>
        </is>
      </c>
      <c r="H5849" t="inlineStr">
        <is>
          <t>STS</t>
        </is>
      </c>
      <c r="J5849" t="inlineStr">
        <is>
          <t>MATRION</t>
        </is>
      </c>
      <c r="K5849" t="inlineStr">
        <is>
          <t>CUIVRE</t>
        </is>
      </c>
      <c r="L5849">
        <f>_xlfn.XLOOKUP(Tableau1[[#This Row],[TYPE DE PIECE]],Tableau4[MATIERE],Tableau4[SHORT TYPE],"",0,1)</f>
        <v/>
      </c>
      <c r="N5849">
        <f>IF(ISERR(FIND("DECOUPE",Tableau1[[#This Row],[DESIGNATION]])),"","NEED REF")</f>
        <v/>
      </c>
    </row>
    <row r="5850">
      <c r="B5850" t="n">
        <v>34408155</v>
      </c>
      <c r="C5850" s="2" t="n">
        <v>43847</v>
      </c>
      <c r="D5850" t="inlineStr">
        <is>
          <t>SPEC</t>
        </is>
      </c>
      <c r="E5850" t="inlineStr">
        <is>
          <t>COP BYPASS 4</t>
        </is>
      </c>
      <c r="F5850" t="inlineStr">
        <is>
          <t>STS1250</t>
        </is>
      </c>
      <c r="G5850" t="inlineStr">
        <is>
          <t>GVE</t>
        </is>
      </c>
      <c r="H5850" t="inlineStr">
        <is>
          <t>STS</t>
        </is>
      </c>
      <c r="J5850" t="inlineStr">
        <is>
          <t>MATRION</t>
        </is>
      </c>
      <c r="K5850" t="inlineStr">
        <is>
          <t>CUIVRE</t>
        </is>
      </c>
      <c r="L5850">
        <f>_xlfn.XLOOKUP(Tableau1[[#This Row],[TYPE DE PIECE]],Tableau4[MATIERE],Tableau4[SHORT TYPE],"",0,1)</f>
        <v/>
      </c>
      <c r="N5850">
        <f>IF(ISERR(FIND("DECOUPE",Tableau1[[#This Row],[DESIGNATION]])),"","NEED REF")</f>
        <v/>
      </c>
    </row>
    <row r="5851">
      <c r="B5851" t="n">
        <v>34408154</v>
      </c>
      <c r="C5851" s="2" t="n">
        <v>43847</v>
      </c>
      <c r="D5851" t="inlineStr">
        <is>
          <t>SPEC</t>
        </is>
      </c>
      <c r="E5851" t="inlineStr">
        <is>
          <t>COP BYPASS 3</t>
        </is>
      </c>
      <c r="F5851" t="inlineStr">
        <is>
          <t>STS1250</t>
        </is>
      </c>
      <c r="G5851" t="inlineStr">
        <is>
          <t>GVE</t>
        </is>
      </c>
      <c r="H5851" t="inlineStr">
        <is>
          <t>STS</t>
        </is>
      </c>
      <c r="J5851" t="inlineStr">
        <is>
          <t>MATRION</t>
        </is>
      </c>
      <c r="K5851" t="inlineStr">
        <is>
          <t>CUIVRE</t>
        </is>
      </c>
      <c r="L5851">
        <f>_xlfn.XLOOKUP(Tableau1[[#This Row],[TYPE DE PIECE]],Tableau4[MATIERE],Tableau4[SHORT TYPE],"",0,1)</f>
        <v/>
      </c>
      <c r="N5851">
        <f>IF(ISERR(FIND("DECOUPE",Tableau1[[#This Row],[DESIGNATION]])),"","NEED REF")</f>
        <v/>
      </c>
    </row>
    <row r="5852">
      <c r="B5852" t="n">
        <v>34408153</v>
      </c>
      <c r="C5852" s="2" t="n">
        <v>43847</v>
      </c>
      <c r="D5852" t="inlineStr">
        <is>
          <t>SPEC</t>
        </is>
      </c>
      <c r="E5852" t="inlineStr">
        <is>
          <t>COP FLEXIBAR ERICO BYPASS 2</t>
        </is>
      </c>
      <c r="F5852" t="inlineStr">
        <is>
          <t>STS1250</t>
        </is>
      </c>
      <c r="G5852" t="inlineStr">
        <is>
          <t>GVE</t>
        </is>
      </c>
      <c r="H5852" t="inlineStr">
        <is>
          <t>STS</t>
        </is>
      </c>
      <c r="J5852" t="inlineStr">
        <is>
          <t>MATRION</t>
        </is>
      </c>
      <c r="K5852" t="inlineStr">
        <is>
          <t>CUIVRE</t>
        </is>
      </c>
      <c r="L5852">
        <f>_xlfn.XLOOKUP(Tableau1[[#This Row],[TYPE DE PIECE]],Tableau4[MATIERE],Tableau4[SHORT TYPE],"",0,1)</f>
        <v/>
      </c>
      <c r="N5852">
        <f>IF(ISERR(FIND("DECOUPE",Tableau1[[#This Row],[DESIGNATION]])),"","NEED REF")</f>
        <v/>
      </c>
    </row>
    <row r="5853">
      <c r="B5853" t="n">
        <v>34408152</v>
      </c>
      <c r="C5853" s="2" t="n">
        <v>43846</v>
      </c>
      <c r="D5853" t="inlineStr">
        <is>
          <t>SPEC</t>
        </is>
      </c>
      <c r="E5853" t="inlineStr">
        <is>
          <t>COP BYPASS 1</t>
        </is>
      </c>
      <c r="F5853" t="inlineStr">
        <is>
          <t>STS1250</t>
        </is>
      </c>
      <c r="G5853" t="inlineStr">
        <is>
          <t>GVE</t>
        </is>
      </c>
      <c r="H5853" t="inlineStr">
        <is>
          <t>STS</t>
        </is>
      </c>
      <c r="J5853" t="inlineStr">
        <is>
          <t>MATRION</t>
        </is>
      </c>
      <c r="K5853" t="inlineStr">
        <is>
          <t>CUIVRE</t>
        </is>
      </c>
      <c r="L5853">
        <f>_xlfn.XLOOKUP(Tableau1[[#This Row],[TYPE DE PIECE]],Tableau4[MATIERE],Tableau4[SHORT TYPE],"",0,1)</f>
        <v/>
      </c>
      <c r="N5853">
        <f>IF(ISERR(FIND("DECOUPE",Tableau1[[#This Row],[DESIGNATION]])),"","NEED REF")</f>
        <v/>
      </c>
    </row>
    <row r="5854">
      <c r="B5854" t="n">
        <v>34408151</v>
      </c>
      <c r="C5854" s="2" t="n">
        <v>43846</v>
      </c>
      <c r="D5854" t="inlineStr">
        <is>
          <t>SPEC</t>
        </is>
      </c>
      <c r="E5854" t="inlineStr">
        <is>
          <t>CANEVAS NS1250A Q3</t>
        </is>
      </c>
      <c r="F5854" t="inlineStr">
        <is>
          <t>STS1250</t>
        </is>
      </c>
      <c r="G5854" t="inlineStr">
        <is>
          <t>GVE</t>
        </is>
      </c>
      <c r="H5854" t="inlineStr">
        <is>
          <t>STS</t>
        </is>
      </c>
      <c r="J5854" t="inlineStr">
        <is>
          <t>MATRION</t>
        </is>
      </c>
      <c r="K5854" t="inlineStr">
        <is>
          <t>SCHNEIDER</t>
        </is>
      </c>
      <c r="L5854">
        <f>_xlfn.XLOOKUP(Tableau1[[#This Row],[TYPE DE PIECE]],Tableau4[MATIERE],Tableau4[SHORT TYPE],"",0,1)</f>
        <v/>
      </c>
      <c r="N5854">
        <f>IF(ISERR(FIND("DECOUPE",Tableau1[[#This Row],[DESIGNATION]])),"","NEED REF")</f>
        <v/>
      </c>
    </row>
    <row r="5855">
      <c r="B5855" t="n">
        <v>34408150</v>
      </c>
      <c r="C5855" s="2" t="n">
        <v>43846</v>
      </c>
      <c r="D5855" t="inlineStr">
        <is>
          <t>SPEC</t>
        </is>
      </c>
      <c r="E5855" t="inlineStr">
        <is>
          <t>CANEVAS NS1250A Q1BP/Q2BP</t>
        </is>
      </c>
      <c r="F5855" t="inlineStr">
        <is>
          <t>STS1250</t>
        </is>
      </c>
      <c r="G5855" t="inlineStr">
        <is>
          <t>GVE</t>
        </is>
      </c>
      <c r="H5855" t="inlineStr">
        <is>
          <t>STS</t>
        </is>
      </c>
      <c r="J5855" t="inlineStr">
        <is>
          <t>MATRION</t>
        </is>
      </c>
      <c r="K5855" t="inlineStr">
        <is>
          <t>SCHNEIDER</t>
        </is>
      </c>
      <c r="L5855">
        <f>_xlfn.XLOOKUP(Tableau1[[#This Row],[TYPE DE PIECE]],Tableau4[MATIERE],Tableau4[SHORT TYPE],"",0,1)</f>
        <v/>
      </c>
      <c r="N5855">
        <f>IF(ISERR(FIND("DECOUPE",Tableau1[[#This Row],[DESIGNATION]])),"","NEED REF")</f>
        <v/>
      </c>
    </row>
    <row r="5856">
      <c r="B5856" t="n">
        <v>34408149</v>
      </c>
      <c r="C5856" s="2" t="n">
        <v>43846</v>
      </c>
      <c r="D5856" t="inlineStr">
        <is>
          <t>SPEC</t>
        </is>
      </c>
      <c r="E5856" t="inlineStr">
        <is>
          <t>CANEVAS NS1250A Q1/Q2</t>
        </is>
      </c>
      <c r="F5856" t="inlineStr">
        <is>
          <t>STS1250</t>
        </is>
      </c>
      <c r="G5856" t="inlineStr">
        <is>
          <t>GVE</t>
        </is>
      </c>
      <c r="H5856" t="inlineStr">
        <is>
          <t>STS</t>
        </is>
      </c>
      <c r="J5856" t="inlineStr">
        <is>
          <t>MATRION</t>
        </is>
      </c>
      <c r="K5856" t="inlineStr">
        <is>
          <t>SCHNEIDER</t>
        </is>
      </c>
      <c r="L5856">
        <f>_xlfn.XLOOKUP(Tableau1[[#This Row],[TYPE DE PIECE]],Tableau4[MATIERE],Tableau4[SHORT TYPE],"",0,1)</f>
        <v/>
      </c>
      <c r="N5856">
        <f>IF(ISERR(FIND("DECOUPE",Tableau1[[#This Row],[DESIGNATION]])),"","NEED REF")</f>
        <v/>
      </c>
    </row>
    <row r="5857">
      <c r="B5857" t="n">
        <v>34408148</v>
      </c>
      <c r="C5857" s="2" t="n">
        <v>43845</v>
      </c>
      <c r="D5857" t="inlineStr">
        <is>
          <t>SPEC</t>
        </is>
      </c>
      <c r="E5857" t="inlineStr">
        <is>
          <t>ETIQ DANGER RISQUE BASCULEMENT MSFT</t>
        </is>
      </c>
      <c r="F5857" t="inlineStr">
        <is>
          <t>MICROSOFT</t>
        </is>
      </c>
      <c r="G5857" t="inlineStr">
        <is>
          <t>GVE</t>
        </is>
      </c>
      <c r="H5857" t="inlineStr">
        <is>
          <t>BATTERY</t>
        </is>
      </c>
      <c r="J5857" t="inlineStr">
        <is>
          <t>MATRION</t>
        </is>
      </c>
      <c r="K5857" t="inlineStr">
        <is>
          <t>ETIQUETTE</t>
        </is>
      </c>
      <c r="L5857">
        <f>_xlfn.XLOOKUP(Tableau1[[#This Row],[TYPE DE PIECE]],Tableau4[MATIERE],Tableau4[SHORT TYPE],"",0,1)</f>
        <v/>
      </c>
      <c r="N5857">
        <f>IF(ISERR(FIND("DECOUPE",Tableau1[[#This Row],[DESIGNATION]])),"","NEED REF")</f>
        <v/>
      </c>
    </row>
    <row r="5858">
      <c r="B5858" t="n">
        <v>34408147</v>
      </c>
      <c r="C5858" s="2" t="n">
        <v>43844</v>
      </c>
      <c r="D5858" t="inlineStr">
        <is>
          <t>SPEC</t>
        </is>
      </c>
      <c r="E5858" t="inlineStr">
        <is>
          <t>SURTOIT IP21 EASY UPS-RAL9003 Alu</t>
        </is>
      </c>
      <c r="F5858" t="inlineStr">
        <is>
          <t>EASY UPS 10-40kVA High Tower</t>
        </is>
      </c>
      <c r="J5858" t="inlineStr">
        <is>
          <t>MASCELLINO</t>
        </is>
      </c>
      <c r="K5858" t="inlineStr">
        <is>
          <t>METAL</t>
        </is>
      </c>
      <c r="L5858">
        <f>_xlfn.XLOOKUP(Tableau1[[#This Row],[TYPE DE PIECE]],Tableau4[MATIERE],Tableau4[SHORT TYPE],"",0,1)</f>
        <v/>
      </c>
      <c r="N5858">
        <f>IF(ISERR(FIND("DECOUPE",Tableau1[[#This Row],[DESIGNATION]])),"","NEED REF")</f>
        <v/>
      </c>
    </row>
    <row r="5859">
      <c r="B5859" t="n">
        <v>34408146</v>
      </c>
      <c r="C5859" s="2" t="n">
        <v>43843</v>
      </c>
      <c r="D5859" t="inlineStr">
        <is>
          <t>SPEC</t>
        </is>
      </c>
      <c r="E5859" t="inlineStr">
        <is>
          <t>kit filerie puissance REGEN BOX 50A QSMA36388</t>
        </is>
      </c>
      <c r="F5859" t="inlineStr">
        <is>
          <t xml:space="preserve">REGEN BOX 50A </t>
        </is>
      </c>
      <c r="J5859" t="inlineStr">
        <is>
          <t>JAWORSKI</t>
        </is>
      </c>
      <c r="K5859" t="inlineStr">
        <is>
          <t>FILERIE</t>
        </is>
      </c>
      <c r="L5859">
        <f>_xlfn.XLOOKUP(Tableau1[[#This Row],[TYPE DE PIECE]],Tableau4[MATIERE],Tableau4[SHORT TYPE],"",0,1)</f>
        <v/>
      </c>
      <c r="N5859">
        <f>IF(ISERR(FIND("DECOUPE",Tableau1[[#This Row],[DESIGNATION]])),"","NEED REF")</f>
        <v/>
      </c>
    </row>
    <row r="5860">
      <c r="B5860" t="n">
        <v>34408145</v>
      </c>
      <c r="C5860" s="2" t="n">
        <v>43839</v>
      </c>
      <c r="D5860" t="inlineStr">
        <is>
          <t>SPEC</t>
        </is>
      </c>
      <c r="E5860" t="inlineStr">
        <is>
          <t>SMT PLASTRON IC60 - EMPLACEMENT NSX250</t>
        </is>
      </c>
      <c r="G5860" t="inlineStr">
        <is>
          <t>GVE</t>
        </is>
      </c>
      <c r="H5860" t="inlineStr">
        <is>
          <t>AUX</t>
        </is>
      </c>
      <c r="J5860" t="inlineStr">
        <is>
          <t>MATRION</t>
        </is>
      </c>
      <c r="K5860" t="inlineStr">
        <is>
          <t>METAL</t>
        </is>
      </c>
      <c r="L5860">
        <f>_xlfn.XLOOKUP(Tableau1[[#This Row],[TYPE DE PIECE]],Tableau4[MATIERE],Tableau4[SHORT TYPE],"",0,1)</f>
        <v/>
      </c>
      <c r="N5860">
        <f>IF(ISERR(FIND("DECOUPE",Tableau1[[#This Row],[DESIGNATION]])),"","NEED REF")</f>
        <v/>
      </c>
    </row>
    <row r="5861">
      <c r="B5861" t="n">
        <v>34408144</v>
      </c>
      <c r="C5861" s="2" t="n">
        <v>43839</v>
      </c>
      <c r="D5861" t="inlineStr">
        <is>
          <t>SPEC</t>
        </is>
      </c>
      <c r="E5861" t="inlineStr">
        <is>
          <t>SMT SUPPORT IC60 - EMPLACEMENT NSX250</t>
        </is>
      </c>
      <c r="G5861" t="inlineStr">
        <is>
          <t>GVE</t>
        </is>
      </c>
      <c r="H5861" t="inlineStr">
        <is>
          <t>AUX</t>
        </is>
      </c>
      <c r="J5861" t="inlineStr">
        <is>
          <t>MATRION</t>
        </is>
      </c>
      <c r="K5861" t="inlineStr">
        <is>
          <t>METAL</t>
        </is>
      </c>
      <c r="L5861">
        <f>_xlfn.XLOOKUP(Tableau1[[#This Row],[TYPE DE PIECE]],Tableau4[MATIERE],Tableau4[SHORT TYPE],"",0,1)</f>
        <v/>
      </c>
      <c r="N5861">
        <f>IF(ISERR(FIND("DECOUPE",Tableau1[[#This Row],[DESIGNATION]])),"","NEED REF")</f>
        <v/>
      </c>
    </row>
    <row r="5862">
      <c r="B5862" t="n">
        <v>34408143</v>
      </c>
      <c r="C5862" s="2" t="n">
        <v>43839</v>
      </c>
      <c r="D5862" t="inlineStr">
        <is>
          <t>SPEC</t>
        </is>
      </c>
      <c r="E5862" t="inlineStr">
        <is>
          <t>SMT SUPPORT SONDE TC</t>
        </is>
      </c>
      <c r="G5862" t="inlineStr">
        <is>
          <t>GVE</t>
        </is>
      </c>
      <c r="H5862" t="inlineStr">
        <is>
          <t>AUX</t>
        </is>
      </c>
      <c r="J5862" t="inlineStr">
        <is>
          <t>MATRION</t>
        </is>
      </c>
      <c r="K5862" t="inlineStr">
        <is>
          <t>METAL</t>
        </is>
      </c>
      <c r="L5862">
        <f>_xlfn.XLOOKUP(Tableau1[[#This Row],[TYPE DE PIECE]],Tableau4[MATIERE],Tableau4[SHORT TYPE],"",0,1)</f>
        <v/>
      </c>
      <c r="M5862" t="inlineStr">
        <is>
          <t>TC</t>
        </is>
      </c>
      <c r="N5862">
        <f>IF(ISERR(FIND("DECOUPE",Tableau1[[#This Row],[DESIGNATION]])),"","NEED REF")</f>
        <v/>
      </c>
    </row>
    <row r="5863">
      <c r="B5863" t="n">
        <v>34408142</v>
      </c>
      <c r="C5863" s="2" t="n">
        <v>43839</v>
      </c>
      <c r="D5863" t="inlineStr">
        <is>
          <t>SPEC</t>
        </is>
      </c>
      <c r="E5863" t="inlineStr">
        <is>
          <t>SMT TOIT GVE VENTILE</t>
        </is>
      </c>
      <c r="G5863" t="inlineStr">
        <is>
          <t>GVE</t>
        </is>
      </c>
      <c r="H5863" t="inlineStr">
        <is>
          <t>AUX</t>
        </is>
      </c>
      <c r="J5863" t="inlineStr">
        <is>
          <t>MATRION</t>
        </is>
      </c>
      <c r="K5863" t="inlineStr">
        <is>
          <t>METAL</t>
        </is>
      </c>
      <c r="L5863">
        <f>_xlfn.XLOOKUP(Tableau1[[#This Row],[TYPE DE PIECE]],Tableau4[MATIERE],Tableau4[SHORT TYPE],"",0,1)</f>
        <v/>
      </c>
      <c r="N5863">
        <f>IF(ISERR(FIND("DECOUPE",Tableau1[[#This Row],[DESIGNATION]])),"","NEED REF")</f>
        <v/>
      </c>
    </row>
    <row r="5864">
      <c r="B5864" t="n">
        <v>34408141</v>
      </c>
      <c r="C5864" s="2" t="n">
        <v>43837</v>
      </c>
      <c r="D5864" t="inlineStr">
        <is>
          <t>SPEC</t>
        </is>
      </c>
      <c r="E5864" t="inlineStr">
        <is>
          <t>WIRE PE 35MM2 MSFT</t>
        </is>
      </c>
      <c r="G5864" t="inlineStr">
        <is>
          <t>GVE</t>
        </is>
      </c>
      <c r="H5864" t="inlineStr">
        <is>
          <t>BATTERY</t>
        </is>
      </c>
      <c r="J5864" t="inlineStr">
        <is>
          <t>MATRION</t>
        </is>
      </c>
      <c r="K5864" t="inlineStr">
        <is>
          <t>FILERIE</t>
        </is>
      </c>
      <c r="L5864">
        <f>_xlfn.XLOOKUP(Tableau1[[#This Row],[TYPE DE PIECE]],Tableau4[MATIERE],Tableau4[SHORT TYPE],"",0,1)</f>
        <v/>
      </c>
      <c r="N5864">
        <f>IF(ISERR(FIND("DECOUPE",Tableau1[[#This Row],[DESIGNATION]])),"","NEED REF")</f>
        <v/>
      </c>
    </row>
    <row r="5865">
      <c r="B5865" t="n">
        <v>34408140</v>
      </c>
      <c r="C5865" s="2" t="n">
        <v>43836</v>
      </c>
      <c r="D5865" t="inlineStr">
        <is>
          <t>SPEC</t>
        </is>
      </c>
      <c r="E5865" t="inlineStr">
        <is>
          <t>SMT FIX CABLES BYPASS NSX250 1000</t>
        </is>
      </c>
      <c r="G5865" t="inlineStr">
        <is>
          <t>GVE</t>
        </is>
      </c>
      <c r="H5865" t="inlineStr">
        <is>
          <t>BYPASS</t>
        </is>
      </c>
      <c r="J5865" t="inlineStr">
        <is>
          <t>MATRION</t>
        </is>
      </c>
      <c r="K5865" t="inlineStr">
        <is>
          <t>METAL</t>
        </is>
      </c>
      <c r="L5865">
        <f>_xlfn.XLOOKUP(Tableau1[[#This Row],[TYPE DE PIECE]],Tableau4[MATIERE],Tableau4[SHORT TYPE],"",0,1)</f>
        <v/>
      </c>
      <c r="N5865">
        <f>IF(ISERR(FIND("DECOUPE",Tableau1[[#This Row],[DESIGNATION]])),"","NEED REF")</f>
        <v/>
      </c>
    </row>
    <row r="5866">
      <c r="B5866" t="n">
        <v>34408139</v>
      </c>
      <c r="C5866" s="2" t="n">
        <v>44138</v>
      </c>
      <c r="D5866" t="inlineStr">
        <is>
          <t>SPEC</t>
        </is>
      </c>
      <c r="E5866" t="inlineStr">
        <is>
          <t>SMT PLASTRON 100 1000</t>
        </is>
      </c>
      <c r="G5866" t="inlineStr">
        <is>
          <t>GVE</t>
        </is>
      </c>
      <c r="H5866" t="inlineStr">
        <is>
          <t>BYPASS</t>
        </is>
      </c>
      <c r="J5866" t="inlineStr">
        <is>
          <t>MATRION</t>
        </is>
      </c>
      <c r="K5866" t="inlineStr">
        <is>
          <t>METAL</t>
        </is>
      </c>
      <c r="L5866">
        <f>_xlfn.XLOOKUP(Tableau1[[#This Row],[TYPE DE PIECE]],Tableau4[MATIERE],Tableau4[SHORT TYPE],"",0,1)</f>
        <v/>
      </c>
      <c r="N5866">
        <f>IF(ISERR(FIND("DECOUPE",Tableau1[[#This Row],[DESIGNATION]])),"","NEED REF")</f>
        <v/>
      </c>
    </row>
    <row r="5867">
      <c r="B5867" t="n">
        <v>34408138</v>
      </c>
      <c r="C5867" s="2" t="n">
        <v>44138</v>
      </c>
      <c r="D5867" t="inlineStr">
        <is>
          <t>SPEC</t>
        </is>
      </c>
      <c r="E5867" t="inlineStr">
        <is>
          <t>SMT PLASTRON BYPASS NSX250 1000</t>
        </is>
      </c>
      <c r="G5867" t="inlineStr">
        <is>
          <t>GVE</t>
        </is>
      </c>
      <c r="H5867" t="inlineStr">
        <is>
          <t>BYPASS</t>
        </is>
      </c>
      <c r="J5867" t="inlineStr">
        <is>
          <t>MATRION</t>
        </is>
      </c>
      <c r="K5867" t="inlineStr">
        <is>
          <t>METAL</t>
        </is>
      </c>
      <c r="L5867">
        <f>_xlfn.XLOOKUP(Tableau1[[#This Row],[TYPE DE PIECE]],Tableau4[MATIERE],Tableau4[SHORT TYPE],"",0,1)</f>
        <v/>
      </c>
      <c r="N5867">
        <f>IF(ISERR(FIND("DECOUPE",Tableau1[[#This Row],[DESIGNATION]])),"","NEED REF")</f>
        <v/>
      </c>
    </row>
    <row r="5868">
      <c r="B5868" t="n">
        <v>34408137</v>
      </c>
      <c r="C5868" s="2" t="n">
        <v>44138</v>
      </c>
      <c r="D5868" t="inlineStr">
        <is>
          <t>SPEC</t>
        </is>
      </c>
      <c r="E5868" t="inlineStr">
        <is>
          <t>SMT SUPPORT BYPASS NSX250 1000</t>
        </is>
      </c>
      <c r="G5868" t="inlineStr">
        <is>
          <t>GVE</t>
        </is>
      </c>
      <c r="H5868" t="inlineStr">
        <is>
          <t>BYPASS</t>
        </is>
      </c>
      <c r="J5868" t="inlineStr">
        <is>
          <t>MATRION</t>
        </is>
      </c>
      <c r="K5868" t="inlineStr">
        <is>
          <t>METAL</t>
        </is>
      </c>
      <c r="L5868">
        <f>_xlfn.XLOOKUP(Tableau1[[#This Row],[TYPE DE PIECE]],Tableau4[MATIERE],Tableau4[SHORT TYPE],"",0,1)</f>
        <v/>
      </c>
      <c r="N5868">
        <f>IF(ISERR(FIND("DECOUPE",Tableau1[[#This Row],[DESIGNATION]])),"","NEED REF")</f>
        <v/>
      </c>
    </row>
    <row r="5869">
      <c r="B5869" t="n">
        <v>34408136</v>
      </c>
      <c r="C5869" s="2" t="n">
        <v>44138</v>
      </c>
      <c r="D5869" t="inlineStr">
        <is>
          <t>SPEC</t>
        </is>
      </c>
      <c r="E5869" t="inlineStr">
        <is>
          <t>SMT SUPPORT BYPASS NSX250 1000 - ERREUR ABANDONNE</t>
        </is>
      </c>
      <c r="G5869" t="inlineStr">
        <is>
          <t>GVE</t>
        </is>
      </c>
      <c r="H5869" t="inlineStr">
        <is>
          <t>BYPASS</t>
        </is>
      </c>
      <c r="J5869" t="inlineStr">
        <is>
          <t>MATRION</t>
        </is>
      </c>
      <c r="K5869" t="inlineStr">
        <is>
          <t>METAL</t>
        </is>
      </c>
      <c r="L5869">
        <f>_xlfn.XLOOKUP(Tableau1[[#This Row],[TYPE DE PIECE]],Tableau4[MATIERE],Tableau4[SHORT TYPE],"",0,1)</f>
        <v/>
      </c>
      <c r="N5869">
        <f>IF(ISERR(FIND("DECOUPE",Tableau1[[#This Row],[DESIGNATION]])),"","NEED REF")</f>
        <v/>
      </c>
    </row>
    <row r="5870">
      <c r="B5870" t="n">
        <v>34408135</v>
      </c>
      <c r="C5870" s="2" t="n">
        <v>43818</v>
      </c>
      <c r="D5870" t="inlineStr">
        <is>
          <t>SPEC</t>
        </is>
      </c>
      <c r="E5870" t="inlineStr">
        <is>
          <t>SMT E3S BACK PANEL</t>
        </is>
      </c>
      <c r="G5870" t="inlineStr">
        <is>
          <t>E3S</t>
        </is>
      </c>
      <c r="J5870" t="inlineStr">
        <is>
          <t>MATRION</t>
        </is>
      </c>
      <c r="K5870" t="inlineStr">
        <is>
          <t>METAL</t>
        </is>
      </c>
      <c r="L5870">
        <f>_xlfn.XLOOKUP(Tableau1[[#This Row],[TYPE DE PIECE]],Tableau4[MATIERE],Tableau4[SHORT TYPE],"",0,1)</f>
        <v/>
      </c>
      <c r="N5870">
        <f>IF(ISERR(FIND("DECOUPE",Tableau1[[#This Row],[DESIGNATION]])),"","NEED REF")</f>
        <v/>
      </c>
    </row>
    <row r="5871">
      <c r="B5871" t="n">
        <v>34408134</v>
      </c>
      <c r="C5871" s="2" t="n">
        <v>43816</v>
      </c>
      <c r="D5871" t="inlineStr">
        <is>
          <t>SPEC</t>
        </is>
      </c>
      <c r="E5871" t="inlineStr">
        <is>
          <t>SMT SUPPORT CB</t>
        </is>
      </c>
      <c r="G5871" t="inlineStr">
        <is>
          <t>GVS</t>
        </is>
      </c>
      <c r="H5871" t="inlineStr">
        <is>
          <t>BYPASS</t>
        </is>
      </c>
      <c r="J5871" t="inlineStr">
        <is>
          <t>MATRION</t>
        </is>
      </c>
      <c r="K5871" t="inlineStr">
        <is>
          <t>METAL</t>
        </is>
      </c>
      <c r="L5871">
        <f>_xlfn.XLOOKUP(Tableau1[[#This Row],[TYPE DE PIECE]],Tableau4[MATIERE],Tableau4[SHORT TYPE],"",0,1)</f>
        <v/>
      </c>
      <c r="N5871">
        <f>IF(ISERR(FIND("DECOUPE",Tableau1[[#This Row],[DESIGNATION]])),"","NEED REF")</f>
        <v/>
      </c>
    </row>
    <row r="5872">
      <c r="B5872" t="n">
        <v>34408133</v>
      </c>
      <c r="C5872" s="2" t="n">
        <v>43812</v>
      </c>
      <c r="D5872" t="inlineStr">
        <is>
          <t>SPEC</t>
        </is>
      </c>
      <c r="E5872" t="inlineStr">
        <is>
          <t>SMT TRAPPE MAINTENANCE</t>
        </is>
      </c>
      <c r="J5872" t="inlineStr">
        <is>
          <t>MATRION</t>
        </is>
      </c>
      <c r="K5872" t="inlineStr">
        <is>
          <t>METAL</t>
        </is>
      </c>
      <c r="L5872">
        <f>_xlfn.XLOOKUP(Tableau1[[#This Row],[TYPE DE PIECE]],Tableau4[MATIERE],Tableau4[SHORT TYPE],"",0,1)</f>
        <v/>
      </c>
      <c r="N5872">
        <f>IF(ISERR(FIND("DECOUPE",Tableau1[[#This Row],[DESIGNATION]])),"","NEED REF")</f>
        <v/>
      </c>
    </row>
    <row r="5873">
      <c r="B5873" t="n">
        <v>34408132</v>
      </c>
      <c r="C5873" s="2" t="n">
        <v>43812</v>
      </c>
      <c r="D5873" t="inlineStr">
        <is>
          <t>SPEC</t>
        </is>
      </c>
      <c r="E5873" t="inlineStr">
        <is>
          <t>SMT TUNNEL POWER MODULE GVX</t>
        </is>
      </c>
      <c r="G5873" t="inlineStr">
        <is>
          <t>GVX</t>
        </is>
      </c>
      <c r="H5873" t="inlineStr">
        <is>
          <t>UPS</t>
        </is>
      </c>
      <c r="J5873" t="inlineStr">
        <is>
          <t>MATRION</t>
        </is>
      </c>
      <c r="K5873" t="inlineStr">
        <is>
          <t>METAL</t>
        </is>
      </c>
      <c r="L5873">
        <f>_xlfn.XLOOKUP(Tableau1[[#This Row],[TYPE DE PIECE]],Tableau4[MATIERE],Tableau4[SHORT TYPE],"",0,1)</f>
        <v/>
      </c>
      <c r="N5873">
        <f>IF(ISERR(FIND("DECOUPE",Tableau1[[#This Row],[DESIGNATION]])),"","NEED REF")</f>
        <v/>
      </c>
    </row>
    <row r="5874">
      <c r="B5874" t="n">
        <v>34408131</v>
      </c>
      <c r="C5874" s="2" t="n">
        <v>43810</v>
      </c>
      <c r="D5874" t="inlineStr">
        <is>
          <t>SPEC</t>
        </is>
      </c>
      <c r="E5874" t="inlineStr">
        <is>
          <t>NS800 NA 4P</t>
        </is>
      </c>
      <c r="J5874" t="inlineStr">
        <is>
          <t>MATRION</t>
        </is>
      </c>
      <c r="K5874" t="inlineStr">
        <is>
          <t>SCHNEIDER</t>
        </is>
      </c>
      <c r="L5874">
        <f>_xlfn.XLOOKUP(Tableau1[[#This Row],[TYPE DE PIECE]],Tableau4[MATIERE],Tableau4[SHORT TYPE],"",0,1)</f>
        <v/>
      </c>
      <c r="N5874">
        <f>IF(ISERR(FIND("DECOUPE",Tableau1[[#This Row],[DESIGNATION]])),"","NEED REF")</f>
        <v/>
      </c>
    </row>
    <row r="5875">
      <c r="B5875" t="n">
        <v>34408130</v>
      </c>
      <c r="C5875" s="2" t="n">
        <v>43810</v>
      </c>
      <c r="D5875" t="inlineStr">
        <is>
          <t>SPEC</t>
        </is>
      </c>
      <c r="E5875" t="inlineStr">
        <is>
          <t>Protection Shield</t>
        </is>
      </c>
      <c r="F5875" t="inlineStr">
        <is>
          <t>Glaxosmith</t>
        </is>
      </c>
      <c r="J5875" t="inlineStr">
        <is>
          <t>MASCELLINO</t>
        </is>
      </c>
      <c r="K5875" t="inlineStr">
        <is>
          <t>METAL</t>
        </is>
      </c>
      <c r="L5875">
        <f>_xlfn.XLOOKUP(Tableau1[[#This Row],[TYPE DE PIECE]],Tableau4[MATIERE],Tableau4[SHORT TYPE],"",0,1)</f>
        <v/>
      </c>
      <c r="N5875">
        <f>IF(ISERR(FIND("DECOUPE",Tableau1[[#This Row],[DESIGNATION]])),"","NEED REF")</f>
        <v/>
      </c>
    </row>
    <row r="5876">
      <c r="B5876" t="n">
        <v>34408129</v>
      </c>
      <c r="C5876" s="2" t="n">
        <v>43806</v>
      </c>
      <c r="D5876" t="inlineStr">
        <is>
          <t>SPEC</t>
        </is>
      </c>
      <c r="E5876" t="inlineStr">
        <is>
          <t>COP RACCORDEMENT</t>
        </is>
      </c>
      <c r="G5876" t="inlineStr">
        <is>
          <t>GVS</t>
        </is>
      </c>
      <c r="H5876" t="inlineStr">
        <is>
          <t>BYPASS</t>
        </is>
      </c>
      <c r="J5876" t="inlineStr">
        <is>
          <t>MASCELLINO</t>
        </is>
      </c>
      <c r="K5876" t="inlineStr">
        <is>
          <t>CUIVRE</t>
        </is>
      </c>
      <c r="L5876">
        <f>_xlfn.XLOOKUP(Tableau1[[#This Row],[TYPE DE PIECE]],Tableau4[MATIERE],Tableau4[SHORT TYPE],"",0,1)</f>
        <v/>
      </c>
      <c r="N5876">
        <f>IF(ISERR(FIND("DECOUPE",Tableau1[[#This Row],[DESIGNATION]])),"","NEED REF")</f>
        <v/>
      </c>
    </row>
    <row r="5877">
      <c r="B5877" t="n">
        <v>34408128</v>
      </c>
      <c r="C5877" s="2" t="n">
        <v>43805</v>
      </c>
      <c r="D5877" t="inlineStr">
        <is>
          <t>SPEC</t>
        </is>
      </c>
      <c r="E5877" t="inlineStr">
        <is>
          <t>SMT BACK PANEL EAC RAL9003</t>
        </is>
      </c>
      <c r="G5877" t="inlineStr">
        <is>
          <t>EAC</t>
        </is>
      </c>
      <c r="H5877" t="inlineStr">
        <is>
          <t>AUX</t>
        </is>
      </c>
      <c r="J5877" t="inlineStr">
        <is>
          <t>MATRION</t>
        </is>
      </c>
      <c r="K5877" t="inlineStr">
        <is>
          <t>METAL</t>
        </is>
      </c>
      <c r="L5877">
        <f>_xlfn.XLOOKUP(Tableau1[[#This Row],[TYPE DE PIECE]],Tableau4[MATIERE],Tableau4[SHORT TYPE],"",0,1)</f>
        <v/>
      </c>
      <c r="N5877">
        <f>IF(ISERR(FIND("DECOUPE",Tableau1[[#This Row],[DESIGNATION]])),"","NEED REF")</f>
        <v/>
      </c>
    </row>
    <row r="5878">
      <c r="B5878" t="n">
        <v>34408127</v>
      </c>
      <c r="C5878" s="2" t="n">
        <v>43805</v>
      </c>
      <c r="D5878" t="inlineStr">
        <is>
          <t>SPEC</t>
        </is>
      </c>
      <c r="E5878" t="inlineStr">
        <is>
          <t>SMT SUPPORT ISO ARRIERE MONO</t>
        </is>
      </c>
      <c r="G5878" t="inlineStr">
        <is>
          <t>GVS</t>
        </is>
      </c>
      <c r="H5878" t="inlineStr">
        <is>
          <t>BYPASS</t>
        </is>
      </c>
      <c r="J5878" t="inlineStr">
        <is>
          <t>MASCELLINO</t>
        </is>
      </c>
      <c r="K5878" t="inlineStr">
        <is>
          <t>METAL</t>
        </is>
      </c>
      <c r="L5878">
        <f>_xlfn.XLOOKUP(Tableau1[[#This Row],[TYPE DE PIECE]],Tableau4[MATIERE],Tableau4[SHORT TYPE],"",0,1)</f>
        <v/>
      </c>
      <c r="N5878">
        <f>IF(ISERR(FIND("DECOUPE",Tableau1[[#This Row],[DESIGNATION]])),"","NEED REF")</f>
        <v/>
      </c>
    </row>
    <row r="5879">
      <c r="B5879" t="n">
        <v>34408126</v>
      </c>
      <c r="C5879" s="2" t="n">
        <v>43805</v>
      </c>
      <c r="D5879" t="inlineStr">
        <is>
          <t>SPEC</t>
        </is>
      </c>
      <c r="E5879" t="inlineStr">
        <is>
          <t>COP COMPACT NS LIAISON PE2</t>
        </is>
      </c>
      <c r="G5879" t="inlineStr">
        <is>
          <t>GVS</t>
        </is>
      </c>
      <c r="H5879" t="inlineStr">
        <is>
          <t>BYPASS</t>
        </is>
      </c>
      <c r="J5879" t="inlineStr">
        <is>
          <t>MASCELLINO</t>
        </is>
      </c>
      <c r="K5879" t="inlineStr">
        <is>
          <t>CUIVRE</t>
        </is>
      </c>
      <c r="L5879">
        <f>_xlfn.XLOOKUP(Tableau1[[#This Row],[TYPE DE PIECE]],Tableau4[MATIERE],Tableau4[SHORT TYPE],"",0,1)</f>
        <v/>
      </c>
      <c r="N5879">
        <f>IF(ISERR(FIND("DECOUPE",Tableau1[[#This Row],[DESIGNATION]])),"","NEED REF")</f>
        <v/>
      </c>
    </row>
    <row r="5880">
      <c r="B5880" t="n">
        <v>34408125</v>
      </c>
      <c r="C5880" s="2" t="n">
        <v>43805</v>
      </c>
      <c r="D5880" t="inlineStr">
        <is>
          <t>SPEC</t>
        </is>
      </c>
      <c r="E5880" t="inlineStr">
        <is>
          <t>COP COMPACT NS LIAISON PE</t>
        </is>
      </c>
      <c r="G5880" t="inlineStr">
        <is>
          <t>GVS</t>
        </is>
      </c>
      <c r="H5880" t="inlineStr">
        <is>
          <t>BYPASS</t>
        </is>
      </c>
      <c r="J5880" t="inlineStr">
        <is>
          <t>MASCELLINO</t>
        </is>
      </c>
      <c r="K5880" t="inlineStr">
        <is>
          <t>CUIVRE</t>
        </is>
      </c>
      <c r="L5880">
        <f>_xlfn.XLOOKUP(Tableau1[[#This Row],[TYPE DE PIECE]],Tableau4[MATIERE],Tableau4[SHORT TYPE],"",0,1)</f>
        <v/>
      </c>
      <c r="N5880">
        <f>IF(ISERR(FIND("DECOUPE",Tableau1[[#This Row],[DESIGNATION]])),"","NEED REF")</f>
        <v/>
      </c>
    </row>
    <row r="5881">
      <c r="B5881" t="n">
        <v>34408124</v>
      </c>
      <c r="C5881" s="2" t="n">
        <v>43804</v>
      </c>
      <c r="D5881" t="inlineStr">
        <is>
          <t>SPEC</t>
        </is>
      </c>
      <c r="E5881" t="inlineStr">
        <is>
          <t>PLATINE SUPPORT</t>
        </is>
      </c>
      <c r="G5881" t="inlineStr">
        <is>
          <t>GVS</t>
        </is>
      </c>
      <c r="H5881" t="inlineStr">
        <is>
          <t>BYPASS</t>
        </is>
      </c>
      <c r="J5881" t="inlineStr">
        <is>
          <t>MASCELLINO</t>
        </is>
      </c>
      <c r="K5881" t="inlineStr">
        <is>
          <t>METAL</t>
        </is>
      </c>
      <c r="L5881">
        <f>_xlfn.XLOOKUP(Tableau1[[#This Row],[TYPE DE PIECE]],Tableau4[MATIERE],Tableau4[SHORT TYPE],"",0,1)</f>
        <v/>
      </c>
      <c r="N5881">
        <f>IF(ISERR(FIND("DECOUPE",Tableau1[[#This Row],[DESIGNATION]])),"","NEED REF")</f>
        <v/>
      </c>
    </row>
    <row r="5882">
      <c r="B5882" t="n">
        <v>34408123</v>
      </c>
      <c r="C5882" s="2" t="n">
        <v>43804</v>
      </c>
      <c r="D5882" t="inlineStr">
        <is>
          <t>SPEC</t>
        </is>
      </c>
      <c r="E5882" t="inlineStr">
        <is>
          <t>PEN</t>
        </is>
      </c>
      <c r="G5882" t="inlineStr">
        <is>
          <t>GVS</t>
        </is>
      </c>
      <c r="H5882" t="inlineStr">
        <is>
          <t>BYPASS</t>
        </is>
      </c>
      <c r="J5882" t="inlineStr">
        <is>
          <t>MASCELLINO</t>
        </is>
      </c>
      <c r="K5882" t="inlineStr">
        <is>
          <t>CUIVRE</t>
        </is>
      </c>
      <c r="L5882">
        <f>_xlfn.XLOOKUP(Tableau1[[#This Row],[TYPE DE PIECE]],Tableau4[MATIERE],Tableau4[SHORT TYPE],"",0,1)</f>
        <v/>
      </c>
      <c r="N5882">
        <f>IF(ISERR(FIND("DECOUPE",Tableau1[[#This Row],[DESIGNATION]])),"","NEED REF")</f>
        <v/>
      </c>
    </row>
    <row r="5883">
      <c r="B5883" t="n">
        <v>34408122</v>
      </c>
      <c r="C5883" s="2" t="n">
        <v>43804</v>
      </c>
      <c r="D5883" t="inlineStr">
        <is>
          <t>SPEC</t>
        </is>
      </c>
      <c r="E5883" t="inlineStr">
        <is>
          <t>RACCORDEMENT CLIENT</t>
        </is>
      </c>
      <c r="G5883" t="inlineStr">
        <is>
          <t>GVS</t>
        </is>
      </c>
      <c r="H5883" t="inlineStr">
        <is>
          <t>BYPASS</t>
        </is>
      </c>
      <c r="J5883" t="inlineStr">
        <is>
          <t>MASCELLINO</t>
        </is>
      </c>
      <c r="K5883" t="inlineStr">
        <is>
          <t>CUIVRE</t>
        </is>
      </c>
      <c r="L5883">
        <f>_xlfn.XLOOKUP(Tableau1[[#This Row],[TYPE DE PIECE]],Tableau4[MATIERE],Tableau4[SHORT TYPE],"",0,1)</f>
        <v/>
      </c>
      <c r="N5883">
        <f>IF(ISERR(FIND("DECOUPE",Tableau1[[#This Row],[DESIGNATION]])),"","NEED REF")</f>
        <v/>
      </c>
    </row>
    <row r="5884">
      <c r="B5884" t="n">
        <v>34408121</v>
      </c>
      <c r="C5884" s="2" t="n">
        <v>43803</v>
      </c>
      <c r="D5884" t="inlineStr">
        <is>
          <t>SPEC</t>
        </is>
      </c>
      <c r="E5884" t="inlineStr">
        <is>
          <t>COP RACCORDEMENT</t>
        </is>
      </c>
      <c r="G5884" t="inlineStr">
        <is>
          <t>GVS</t>
        </is>
      </c>
      <c r="H5884" t="inlineStr">
        <is>
          <t>BYPASS</t>
        </is>
      </c>
      <c r="J5884" t="inlineStr">
        <is>
          <t>MASCELLINO</t>
        </is>
      </c>
      <c r="K5884" t="inlineStr">
        <is>
          <t>CUIVRE</t>
        </is>
      </c>
      <c r="L5884">
        <f>_xlfn.XLOOKUP(Tableau1[[#This Row],[TYPE DE PIECE]],Tableau4[MATIERE],Tableau4[SHORT TYPE],"",0,1)</f>
        <v/>
      </c>
      <c r="N5884">
        <f>IF(ISERR(FIND("DECOUPE",Tableau1[[#This Row],[DESIGNATION]])),"","NEED REF")</f>
        <v/>
      </c>
    </row>
    <row r="5885">
      <c r="B5885" t="n">
        <v>34408120</v>
      </c>
      <c r="C5885" s="2" t="n">
        <v>43802</v>
      </c>
      <c r="D5885" t="inlineStr">
        <is>
          <t>SPEC</t>
        </is>
      </c>
      <c r="E5885" t="inlineStr">
        <is>
          <t>CACHE NSX 3P4P</t>
        </is>
      </c>
      <c r="F5885" t="inlineStr">
        <is>
          <t>Glaxosmith</t>
        </is>
      </c>
      <c r="J5885" t="inlineStr">
        <is>
          <t>MASCELLINO</t>
        </is>
      </c>
      <c r="K5885" t="inlineStr">
        <is>
          <t>METAL</t>
        </is>
      </c>
      <c r="L5885">
        <f>_xlfn.XLOOKUP(Tableau1[[#This Row],[TYPE DE PIECE]],Tableau4[MATIERE],Tableau4[SHORT TYPE],"",0,1)</f>
        <v/>
      </c>
      <c r="N5885">
        <f>IF(ISERR(FIND("DECOUPE",Tableau1[[#This Row],[DESIGNATION]])),"","NEED REF")</f>
        <v/>
      </c>
    </row>
    <row r="5886">
      <c r="B5886" t="n">
        <v>34408119</v>
      </c>
      <c r="C5886" s="2" t="n">
        <v>43801</v>
      </c>
      <c r="D5886" t="inlineStr">
        <is>
          <t>SPEC</t>
        </is>
      </c>
      <c r="E5886" t="inlineStr">
        <is>
          <t>Coffret SAREL NSYS3D12630</t>
        </is>
      </c>
      <c r="F5886" t="inlineStr">
        <is>
          <t>AMSN MONACO</t>
        </is>
      </c>
      <c r="J5886" t="inlineStr">
        <is>
          <t>MASCELLINO</t>
        </is>
      </c>
      <c r="L5886">
        <f>_xlfn.XLOOKUP(Tableau1[[#This Row],[TYPE DE PIECE]],Tableau4[MATIERE],Tableau4[SHORT TYPE],"",0,1)</f>
        <v/>
      </c>
      <c r="N5886">
        <f>IF(ISERR(FIND("DECOUPE",Tableau1[[#This Row],[DESIGNATION]])),"","NEED REF")</f>
        <v/>
      </c>
    </row>
    <row r="5887">
      <c r="B5887" t="n">
        <v>34408118</v>
      </c>
      <c r="C5887" s="2" t="n">
        <v>43801</v>
      </c>
      <c r="D5887" t="inlineStr">
        <is>
          <t>SPEC</t>
        </is>
      </c>
      <c r="E5887" t="inlineStr">
        <is>
          <t>Kit filerie coffret SUVT Philips</t>
        </is>
      </c>
      <c r="F5887" t="inlineStr">
        <is>
          <t>COFFRET SUVT PHILIPS</t>
        </is>
      </c>
      <c r="J5887" t="inlineStr">
        <is>
          <t>MONGELLI</t>
        </is>
      </c>
      <c r="K5887" t="inlineStr">
        <is>
          <t>FILERIE</t>
        </is>
      </c>
      <c r="L5887">
        <f>_xlfn.XLOOKUP(Tableau1[[#This Row],[TYPE DE PIECE]],Tableau4[MATIERE],Tableau4[SHORT TYPE],"",0,1)</f>
        <v/>
      </c>
      <c r="N5887">
        <f>IF(ISERR(FIND("DECOUPE",Tableau1[[#This Row],[DESIGNATION]])),"","NEED REF")</f>
        <v/>
      </c>
    </row>
    <row r="5888">
      <c r="B5888" t="n">
        <v>34408117</v>
      </c>
      <c r="C5888" s="2" t="n">
        <v>43798</v>
      </c>
      <c r="D5888" t="inlineStr">
        <is>
          <t>SPEC</t>
        </is>
      </c>
      <c r="E5888" t="inlineStr">
        <is>
          <t>SMT CUBICLE SPACER 15MM RAL9003</t>
        </is>
      </c>
      <c r="F5888" t="inlineStr">
        <is>
          <t>GVS CBC</t>
        </is>
      </c>
      <c r="J5888" t="inlineStr">
        <is>
          <t>MATRION</t>
        </is>
      </c>
      <c r="K5888" t="inlineStr">
        <is>
          <t>METAL</t>
        </is>
      </c>
      <c r="L5888">
        <f>_xlfn.XLOOKUP(Tableau1[[#This Row],[TYPE DE PIECE]],Tableau4[MATIERE],Tableau4[SHORT TYPE],"",0,1)</f>
        <v/>
      </c>
      <c r="N5888">
        <f>IF(ISERR(FIND("DECOUPE",Tableau1[[#This Row],[DESIGNATION]])),"","NEED REF")</f>
        <v/>
      </c>
    </row>
    <row r="5889">
      <c r="B5889" t="n">
        <v>34408116</v>
      </c>
      <c r="C5889" s="2" t="n">
        <v>43798</v>
      </c>
      <c r="D5889" t="inlineStr">
        <is>
          <t>SPEC</t>
        </is>
      </c>
      <c r="E5889" t="inlineStr">
        <is>
          <t>SMT ROOF JUNCTION</t>
        </is>
      </c>
      <c r="F5889" t="inlineStr">
        <is>
          <t>GVS CBC</t>
        </is>
      </c>
      <c r="J5889" t="inlineStr">
        <is>
          <t>MATRION</t>
        </is>
      </c>
      <c r="K5889" t="inlineStr">
        <is>
          <t>METAL</t>
        </is>
      </c>
      <c r="L5889">
        <f>_xlfn.XLOOKUP(Tableau1[[#This Row],[TYPE DE PIECE]],Tableau4[MATIERE],Tableau4[SHORT TYPE],"",0,1)</f>
        <v/>
      </c>
      <c r="N5889">
        <f>IF(ISERR(FIND("DECOUPE",Tableau1[[#This Row],[DESIGNATION]])),"","NEED REF")</f>
        <v/>
      </c>
    </row>
    <row r="5890">
      <c r="B5890" t="n">
        <v>34408115</v>
      </c>
      <c r="C5890" s="2" t="n">
        <v>43798</v>
      </c>
      <c r="D5890" t="inlineStr">
        <is>
          <t>SPEC</t>
        </is>
      </c>
      <c r="E5890" t="inlineStr">
        <is>
          <t>Assemblage Armoire G5K - ENTRETOISE</t>
        </is>
      </c>
      <c r="F5890" t="inlineStr">
        <is>
          <t>Glaxosmith</t>
        </is>
      </c>
      <c r="J5890" t="inlineStr">
        <is>
          <t>MASCELLINO</t>
        </is>
      </c>
      <c r="K5890" t="inlineStr">
        <is>
          <t>METAL</t>
        </is>
      </c>
      <c r="L5890">
        <f>_xlfn.XLOOKUP(Tableau1[[#This Row],[TYPE DE PIECE]],Tableau4[MATIERE],Tableau4[SHORT TYPE],"",0,1)</f>
        <v/>
      </c>
      <c r="N5890">
        <f>IF(ISERR(FIND("DECOUPE",Tableau1[[#This Row],[DESIGNATION]])),"","NEED REF")</f>
        <v/>
      </c>
    </row>
    <row r="5891">
      <c r="B5891" t="n">
        <v>34408114</v>
      </c>
      <c r="C5891" s="2" t="n">
        <v>43796</v>
      </c>
      <c r="D5891" t="inlineStr">
        <is>
          <t>SPEC</t>
        </is>
      </c>
      <c r="E5891" t="inlineStr">
        <is>
          <t>COP CX5 BBK 630A 2 HOLES</t>
        </is>
      </c>
      <c r="F5891" t="inlineStr">
        <is>
          <t>GVS CBC</t>
        </is>
      </c>
      <c r="J5891" t="inlineStr">
        <is>
          <t>MATRION</t>
        </is>
      </c>
      <c r="K5891" t="inlineStr">
        <is>
          <t>CUIVRE</t>
        </is>
      </c>
      <c r="L5891">
        <f>_xlfn.XLOOKUP(Tableau1[[#This Row],[TYPE DE PIECE]],Tableau4[MATIERE],Tableau4[SHORT TYPE],"",0,1)</f>
        <v/>
      </c>
      <c r="N5891">
        <f>IF(ISERR(FIND("DECOUPE",Tableau1[[#This Row],[DESIGNATION]])),"","NEED REF")</f>
        <v/>
      </c>
    </row>
    <row r="5892">
      <c r="B5892" t="n">
        <v>34408113</v>
      </c>
      <c r="C5892" s="2" t="n">
        <v>43798</v>
      </c>
      <c r="D5892" t="inlineStr">
        <is>
          <t>SPEC</t>
        </is>
      </c>
      <c r="E5892" t="inlineStr">
        <is>
          <t>Assemblage Armoire G5K - CACHE AVANT ARRIERE</t>
        </is>
      </c>
      <c r="F5892" t="inlineStr">
        <is>
          <t>Glaxosmith</t>
        </is>
      </c>
      <c r="J5892" t="inlineStr">
        <is>
          <t>MASCELLINO</t>
        </is>
      </c>
      <c r="K5892" t="inlineStr">
        <is>
          <t>METAL</t>
        </is>
      </c>
      <c r="L5892">
        <f>_xlfn.XLOOKUP(Tableau1[[#This Row],[TYPE DE PIECE]],Tableau4[MATIERE],Tableau4[SHORT TYPE],"",0,1)</f>
        <v/>
      </c>
      <c r="N5892">
        <f>IF(ISERR(FIND("DECOUPE",Tableau1[[#This Row],[DESIGNATION]])),"","NEED REF")</f>
        <v/>
      </c>
    </row>
    <row r="5893">
      <c r="B5893" t="n">
        <v>34408112</v>
      </c>
      <c r="C5893" s="2" t="n">
        <v>43797</v>
      </c>
      <c r="D5893" t="inlineStr">
        <is>
          <t>SPEC</t>
        </is>
      </c>
      <c r="E5893" t="inlineStr">
        <is>
          <t>Assemblage Armoire G5K - CACHE TOIT</t>
        </is>
      </c>
      <c r="F5893" t="inlineStr">
        <is>
          <t>Glaxosmith</t>
        </is>
      </c>
      <c r="J5893" t="inlineStr">
        <is>
          <t>MASCELLINO</t>
        </is>
      </c>
      <c r="K5893" t="inlineStr">
        <is>
          <t>METAL</t>
        </is>
      </c>
      <c r="L5893">
        <f>_xlfn.XLOOKUP(Tableau1[[#This Row],[TYPE DE PIECE]],Tableau4[MATIERE],Tableau4[SHORT TYPE],"",0,1)</f>
        <v/>
      </c>
      <c r="N5893">
        <f>IF(ISERR(FIND("DECOUPE",Tableau1[[#This Row],[DESIGNATION]])),"","NEED REF")</f>
        <v/>
      </c>
    </row>
    <row r="5894">
      <c r="B5894" t="n">
        <v>34408111</v>
      </c>
      <c r="C5894" s="2" t="n">
        <v>43796</v>
      </c>
      <c r="D5894" t="inlineStr">
        <is>
          <t>SPEC</t>
        </is>
      </c>
      <c r="E5894" t="inlineStr">
        <is>
          <t>Protection Shield</t>
        </is>
      </c>
      <c r="F5894" t="inlineStr">
        <is>
          <t>Glaxosmith</t>
        </is>
      </c>
      <c r="J5894" t="inlineStr">
        <is>
          <t>MASCELLINO</t>
        </is>
      </c>
      <c r="K5894" t="inlineStr">
        <is>
          <t>METAL</t>
        </is>
      </c>
      <c r="L5894">
        <f>_xlfn.XLOOKUP(Tableau1[[#This Row],[TYPE DE PIECE]],Tableau4[MATIERE],Tableau4[SHORT TYPE],"",0,1)</f>
        <v/>
      </c>
      <c r="N5894">
        <f>IF(ISERR(FIND("DECOUPE",Tableau1[[#This Row],[DESIGNATION]])),"","NEED REF")</f>
        <v/>
      </c>
    </row>
    <row r="5895">
      <c r="B5895" t="n">
        <v>34408110</v>
      </c>
      <c r="C5895" s="2" t="n">
        <v>43796</v>
      </c>
      <c r="D5895" t="inlineStr">
        <is>
          <t>SPEC</t>
        </is>
      </c>
      <c r="E5895" t="inlineStr">
        <is>
          <t>SMT SUPPORT BAS BBK</t>
        </is>
      </c>
      <c r="F5895" t="inlineStr">
        <is>
          <t>GVS CBC</t>
        </is>
      </c>
      <c r="J5895" t="inlineStr">
        <is>
          <t>MATRION</t>
        </is>
      </c>
      <c r="K5895" t="inlineStr">
        <is>
          <t>METAL</t>
        </is>
      </c>
      <c r="L5895">
        <f>_xlfn.XLOOKUP(Tableau1[[#This Row],[TYPE DE PIECE]],Tableau4[MATIERE],Tableau4[SHORT TYPE],"",0,1)</f>
        <v/>
      </c>
      <c r="N5895">
        <f>IF(ISERR(FIND("DECOUPE",Tableau1[[#This Row],[DESIGNATION]])),"","NEED REF")</f>
        <v/>
      </c>
    </row>
    <row r="5896">
      <c r="B5896" t="n">
        <v>34408109</v>
      </c>
      <c r="C5896" s="2" t="n">
        <v>43794</v>
      </c>
      <c r="D5896" t="inlineStr">
        <is>
          <t>SPEC</t>
        </is>
      </c>
      <c r="E5896" t="inlineStr">
        <is>
          <t xml:space="preserve">CACHE INS </t>
        </is>
      </c>
      <c r="F5896" t="inlineStr">
        <is>
          <t>Glaxosmith</t>
        </is>
      </c>
      <c r="J5896" t="inlineStr">
        <is>
          <t>MASCELLINO</t>
        </is>
      </c>
      <c r="K5896" t="inlineStr">
        <is>
          <t>METAL</t>
        </is>
      </c>
      <c r="L5896">
        <f>_xlfn.XLOOKUP(Tableau1[[#This Row],[TYPE DE PIECE]],Tableau4[MATIERE],Tableau4[SHORT TYPE],"",0,1)</f>
        <v/>
      </c>
      <c r="N5896">
        <f>IF(ISERR(FIND("DECOUPE",Tableau1[[#This Row],[DESIGNATION]])),"","NEED REF")</f>
        <v/>
      </c>
    </row>
    <row r="5897">
      <c r="B5897" t="n">
        <v>34408108</v>
      </c>
      <c r="C5897" s="2" t="n">
        <v>43791</v>
      </c>
      <c r="D5897" t="inlineStr">
        <is>
          <t>SPEC</t>
        </is>
      </c>
      <c r="E5897" t="inlineStr">
        <is>
          <t xml:space="preserve">CACHE INS </t>
        </is>
      </c>
      <c r="F5897" t="inlineStr">
        <is>
          <t>Glaxosmith</t>
        </is>
      </c>
      <c r="J5897" t="inlineStr">
        <is>
          <t>MASCELLINO</t>
        </is>
      </c>
      <c r="K5897" t="inlineStr">
        <is>
          <t>METAL</t>
        </is>
      </c>
      <c r="L5897">
        <f>_xlfn.XLOOKUP(Tableau1[[#This Row],[TYPE DE PIECE]],Tableau4[MATIERE],Tableau4[SHORT TYPE],"",0,1)</f>
        <v/>
      </c>
      <c r="N5897">
        <f>IF(ISERR(FIND("DECOUPE",Tableau1[[#This Row],[DESIGNATION]])),"","NEED REF")</f>
        <v/>
      </c>
    </row>
    <row r="5898">
      <c r="B5898" t="n">
        <v>34408107</v>
      </c>
      <c r="C5898" s="2" t="n">
        <v>43791</v>
      </c>
      <c r="D5898" t="inlineStr">
        <is>
          <t>SPEC</t>
        </is>
      </c>
      <c r="E5898" t="inlineStr">
        <is>
          <t>Protection Shield</t>
        </is>
      </c>
      <c r="F5898" t="inlineStr">
        <is>
          <t>Glaxosmith</t>
        </is>
      </c>
      <c r="J5898" t="inlineStr">
        <is>
          <t>MASCELLINO</t>
        </is>
      </c>
      <c r="K5898" t="inlineStr">
        <is>
          <t>METAL</t>
        </is>
      </c>
      <c r="L5898">
        <f>_xlfn.XLOOKUP(Tableau1[[#This Row],[TYPE DE PIECE]],Tableau4[MATIERE],Tableau4[SHORT TYPE],"",0,1)</f>
        <v/>
      </c>
      <c r="N5898">
        <f>IF(ISERR(FIND("DECOUPE",Tableau1[[#This Row],[DESIGNATION]])),"","NEED REF")</f>
        <v/>
      </c>
    </row>
    <row r="5899">
      <c r="B5899" t="n">
        <v>34408106</v>
      </c>
      <c r="C5899" s="2" t="n">
        <v>43791</v>
      </c>
      <c r="D5899" t="inlineStr">
        <is>
          <t>SPEC</t>
        </is>
      </c>
      <c r="E5899" t="inlineStr">
        <is>
          <t>PLATINE INS ARM 712</t>
        </is>
      </c>
      <c r="F5899" t="inlineStr">
        <is>
          <t>Glaxosmith</t>
        </is>
      </c>
      <c r="J5899" t="inlineStr">
        <is>
          <t>MASCELLINO</t>
        </is>
      </c>
      <c r="K5899" t="inlineStr">
        <is>
          <t>METAL</t>
        </is>
      </c>
      <c r="L5899">
        <f>_xlfn.XLOOKUP(Tableau1[[#This Row],[TYPE DE PIECE]],Tableau4[MATIERE],Tableau4[SHORT TYPE],"",0,1)</f>
        <v/>
      </c>
      <c r="N5899">
        <f>IF(ISERR(FIND("DECOUPE",Tableau1[[#This Row],[DESIGNATION]])),"","NEED REF")</f>
        <v/>
      </c>
    </row>
    <row r="5900">
      <c r="B5900" t="n">
        <v>34408105</v>
      </c>
      <c r="C5900" s="2" t="n">
        <v>43790</v>
      </c>
      <c r="D5900" t="inlineStr">
        <is>
          <t>SPEC</t>
        </is>
      </c>
      <c r="E5900" t="inlineStr">
        <is>
          <t>CACHE NSX400H4P</t>
        </is>
      </c>
      <c r="F5900" t="inlineStr">
        <is>
          <t>Glaxosmith</t>
        </is>
      </c>
      <c r="J5900" t="inlineStr">
        <is>
          <t>MASCELLINO</t>
        </is>
      </c>
      <c r="K5900" t="inlineStr">
        <is>
          <t>METAL</t>
        </is>
      </c>
      <c r="L5900">
        <f>_xlfn.XLOOKUP(Tableau1[[#This Row],[TYPE DE PIECE]],Tableau4[MATIERE],Tableau4[SHORT TYPE],"",0,1)</f>
        <v/>
      </c>
      <c r="N5900">
        <f>IF(ISERR(FIND("DECOUPE",Tableau1[[#This Row],[DESIGNATION]])),"","NEED REF")</f>
        <v/>
      </c>
    </row>
    <row r="5901">
      <c r="B5901" t="n">
        <v>34408104</v>
      </c>
      <c r="C5901" s="2" t="n">
        <v>43790</v>
      </c>
      <c r="D5901" t="inlineStr">
        <is>
          <t>SPEC</t>
        </is>
      </c>
      <c r="E5901" t="inlineStr">
        <is>
          <t>PLATINE NSX400 4P ARM 712</t>
        </is>
      </c>
      <c r="F5901" t="inlineStr">
        <is>
          <t>Glaxosmith</t>
        </is>
      </c>
      <c r="J5901" t="inlineStr">
        <is>
          <t>MASCELLINO</t>
        </is>
      </c>
      <c r="K5901" t="inlineStr">
        <is>
          <t>METAL</t>
        </is>
      </c>
      <c r="L5901">
        <f>_xlfn.XLOOKUP(Tableau1[[#This Row],[TYPE DE PIECE]],Tableau4[MATIERE],Tableau4[SHORT TYPE],"",0,1)</f>
        <v/>
      </c>
      <c r="N5901">
        <f>IF(ISERR(FIND("DECOUPE",Tableau1[[#This Row],[DESIGNATION]])),"","NEED REF")</f>
        <v/>
      </c>
    </row>
    <row r="5902">
      <c r="B5902" t="n">
        <v>34408103</v>
      </c>
      <c r="C5902" s="2" t="n">
        <v>43790</v>
      </c>
      <c r="D5902" t="inlineStr">
        <is>
          <t>SPEC</t>
        </is>
      </c>
      <c r="E5902" t="inlineStr">
        <is>
          <t>Protection Shield</t>
        </is>
      </c>
      <c r="F5902" t="inlineStr">
        <is>
          <t>Glaxosmith</t>
        </is>
      </c>
      <c r="J5902" t="inlineStr">
        <is>
          <t>MASCELLINO</t>
        </is>
      </c>
      <c r="K5902" t="inlineStr">
        <is>
          <t>METAL</t>
        </is>
      </c>
      <c r="L5902">
        <f>_xlfn.XLOOKUP(Tableau1[[#This Row],[TYPE DE PIECE]],Tableau4[MATIERE],Tableau4[SHORT TYPE],"",0,1)</f>
        <v/>
      </c>
      <c r="N5902">
        <f>IF(ISERR(FIND("DECOUPE",Tableau1[[#This Row],[DESIGNATION]])),"","NEED REF")</f>
        <v/>
      </c>
    </row>
    <row r="5903">
      <c r="B5903" t="n">
        <v>34408102</v>
      </c>
      <c r="C5903" s="2" t="n">
        <v>43790</v>
      </c>
      <c r="D5903" t="inlineStr">
        <is>
          <t>SPEC</t>
        </is>
      </c>
      <c r="E5903" t="inlineStr">
        <is>
          <t>SMT BACK PANEL AIR GUIDE MBC GVX INTEL</t>
        </is>
      </c>
      <c r="F5903" t="inlineStr">
        <is>
          <t>MBC GVX</t>
        </is>
      </c>
      <c r="J5903" t="inlineStr">
        <is>
          <t>MATRION</t>
        </is>
      </c>
      <c r="K5903" t="inlineStr">
        <is>
          <t>METAL</t>
        </is>
      </c>
      <c r="L5903">
        <f>_xlfn.XLOOKUP(Tableau1[[#This Row],[TYPE DE PIECE]],Tableau4[MATIERE],Tableau4[SHORT TYPE],"",0,1)</f>
        <v/>
      </c>
      <c r="N5903">
        <f>IF(ISERR(FIND("DECOUPE",Tableau1[[#This Row],[DESIGNATION]])),"","NEED REF")</f>
        <v/>
      </c>
    </row>
    <row r="5904">
      <c r="B5904" t="n">
        <v>34408101</v>
      </c>
      <c r="C5904" s="2" t="n">
        <v>43790</v>
      </c>
      <c r="D5904" t="inlineStr">
        <is>
          <t>SPEC</t>
        </is>
      </c>
      <c r="E5904" t="inlineStr">
        <is>
          <t>SMT BACK PANEL MBC GVX INTEL</t>
        </is>
      </c>
      <c r="F5904" t="inlineStr">
        <is>
          <t>MBC GVX</t>
        </is>
      </c>
      <c r="J5904" t="inlineStr">
        <is>
          <t>MATRION</t>
        </is>
      </c>
      <c r="K5904" t="inlineStr">
        <is>
          <t>METAL</t>
        </is>
      </c>
      <c r="L5904">
        <f>_xlfn.XLOOKUP(Tableau1[[#This Row],[TYPE DE PIECE]],Tableau4[MATIERE],Tableau4[SHORT TYPE],"",0,1)</f>
        <v/>
      </c>
      <c r="N5904">
        <f>IF(ISERR(FIND("DECOUPE",Tableau1[[#This Row],[DESIGNATION]])),"","NEED REF")</f>
        <v/>
      </c>
    </row>
    <row r="5905">
      <c r="B5905" t="n">
        <v>34408100</v>
      </c>
      <c r="C5905" s="2" t="n">
        <v>43788</v>
      </c>
      <c r="D5905" t="inlineStr">
        <is>
          <t>SPEC</t>
        </is>
      </c>
      <c r="E5905" t="inlineStr">
        <is>
          <t>SMT SUPPORT CABLES ARRIERE</t>
        </is>
      </c>
      <c r="F5905" t="inlineStr">
        <is>
          <t>Glaxosmith</t>
        </is>
      </c>
      <c r="J5905" t="inlineStr">
        <is>
          <t>MASCELLINO</t>
        </is>
      </c>
      <c r="K5905" t="inlineStr">
        <is>
          <t>METAL</t>
        </is>
      </c>
      <c r="L5905">
        <f>_xlfn.XLOOKUP(Tableau1[[#This Row],[TYPE DE PIECE]],Tableau4[MATIERE],Tableau4[SHORT TYPE],"",0,1)</f>
        <v/>
      </c>
      <c r="N5905">
        <f>IF(ISERR(FIND("DECOUPE",Tableau1[[#This Row],[DESIGNATION]])),"","NEED REF")</f>
        <v/>
      </c>
    </row>
    <row r="5906">
      <c r="B5906" t="n">
        <v>34408099</v>
      </c>
      <c r="C5906" s="2" t="n">
        <v>43788</v>
      </c>
      <c r="D5906" t="inlineStr">
        <is>
          <t>SPEC</t>
        </is>
      </c>
      <c r="E5906" t="inlineStr">
        <is>
          <t>SMT SUPPORT CABLES ARRIERE</t>
        </is>
      </c>
      <c r="F5906" t="inlineStr">
        <is>
          <t>Glaxosmith</t>
        </is>
      </c>
      <c r="J5906" t="inlineStr">
        <is>
          <t>MASCELLINO</t>
        </is>
      </c>
      <c r="K5906" t="inlineStr">
        <is>
          <t>METAL</t>
        </is>
      </c>
      <c r="L5906">
        <f>_xlfn.XLOOKUP(Tableau1[[#This Row],[TYPE DE PIECE]],Tableau4[MATIERE],Tableau4[SHORT TYPE],"",0,1)</f>
        <v/>
      </c>
      <c r="N5906">
        <f>IF(ISERR(FIND("DECOUPE",Tableau1[[#This Row],[DESIGNATION]])),"","NEED REF")</f>
        <v/>
      </c>
    </row>
    <row r="5907">
      <c r="B5907" t="n">
        <v>34408098</v>
      </c>
      <c r="C5907" s="2" t="n">
        <v>43788</v>
      </c>
      <c r="D5907" t="inlineStr">
        <is>
          <t>SPEC</t>
        </is>
      </c>
      <c r="E5907" t="inlineStr">
        <is>
          <t>SMT SUPPORT PE GVX BATTERY</t>
        </is>
      </c>
      <c r="F5907" t="inlineStr">
        <is>
          <t>GVX BATTERY</t>
        </is>
      </c>
      <c r="J5907" t="inlineStr">
        <is>
          <t>MATRION</t>
        </is>
      </c>
      <c r="K5907" t="inlineStr">
        <is>
          <t>METAL</t>
        </is>
      </c>
      <c r="L5907">
        <f>_xlfn.XLOOKUP(Tableau1[[#This Row],[TYPE DE PIECE]],Tableau4[MATIERE],Tableau4[SHORT TYPE],"",0,1)</f>
        <v/>
      </c>
      <c r="N5907">
        <f>IF(ISERR(FIND("DECOUPE",Tableau1[[#This Row],[DESIGNATION]])),"","NEED REF")</f>
        <v/>
      </c>
    </row>
    <row r="5908">
      <c r="B5908" t="n">
        <v>34408097</v>
      </c>
      <c r="C5908" s="2" t="n">
        <v>43787</v>
      </c>
      <c r="D5908" t="inlineStr">
        <is>
          <t>SPEC</t>
        </is>
      </c>
      <c r="E5908" t="inlineStr">
        <is>
          <t>CORO L3-1 LOAD</t>
        </is>
      </c>
      <c r="F5908" t="inlineStr">
        <is>
          <t>DATA4 INVERSION</t>
        </is>
      </c>
      <c r="J5908" t="inlineStr">
        <is>
          <t>ROBERT</t>
        </is>
      </c>
      <c r="L5908">
        <f>_xlfn.XLOOKUP(Tableau1[[#This Row],[TYPE DE PIECE]],Tableau4[MATIERE],Tableau4[SHORT TYPE],"",0,1)</f>
        <v/>
      </c>
      <c r="N5908">
        <f>IF(ISERR(FIND("DECOUPE",Tableau1[[#This Row],[DESIGNATION]])),"","NEED REF")</f>
        <v/>
      </c>
    </row>
    <row r="5909">
      <c r="B5909" t="n">
        <v>34408096</v>
      </c>
      <c r="C5909" s="2" t="n">
        <v>43787</v>
      </c>
      <c r="D5909" t="inlineStr">
        <is>
          <t>SPEC</t>
        </is>
      </c>
      <c r="E5909" t="inlineStr">
        <is>
          <t>CORO L3-1 LOAD</t>
        </is>
      </c>
      <c r="F5909" t="inlineStr">
        <is>
          <t>DATA4 INVERSION</t>
        </is>
      </c>
      <c r="J5909" t="inlineStr">
        <is>
          <t>ROBERT</t>
        </is>
      </c>
      <c r="L5909">
        <f>_xlfn.XLOOKUP(Tableau1[[#This Row],[TYPE DE PIECE]],Tableau4[MATIERE],Tableau4[SHORT TYPE],"",0,1)</f>
        <v/>
      </c>
      <c r="N5909">
        <f>IF(ISERR(FIND("DECOUPE",Tableau1[[#This Row],[DESIGNATION]])),"","NEED REF")</f>
        <v/>
      </c>
    </row>
    <row r="5910">
      <c r="B5910" t="n">
        <v>34408095</v>
      </c>
      <c r="C5910" s="2" t="n">
        <v>43787</v>
      </c>
      <c r="D5910" t="inlineStr">
        <is>
          <t>SPEC</t>
        </is>
      </c>
      <c r="E5910" t="inlineStr">
        <is>
          <t>CORO L1 LOAD</t>
        </is>
      </c>
      <c r="F5910" t="inlineStr">
        <is>
          <t>DATA4 INVERSION</t>
        </is>
      </c>
      <c r="J5910" t="inlineStr">
        <is>
          <t>ROBERT</t>
        </is>
      </c>
      <c r="L5910">
        <f>_xlfn.XLOOKUP(Tableau1[[#This Row],[TYPE DE PIECE]],Tableau4[MATIERE],Tableau4[SHORT TYPE],"",0,1)</f>
        <v/>
      </c>
      <c r="N5910">
        <f>IF(ISERR(FIND("DECOUPE",Tableau1[[#This Row],[DESIGNATION]])),"","NEED REF")</f>
        <v/>
      </c>
    </row>
    <row r="5911">
      <c r="B5911" t="n">
        <v>34408094</v>
      </c>
      <c r="C5911" s="2" t="n">
        <v>43787</v>
      </c>
      <c r="D5911" t="inlineStr">
        <is>
          <t>SPEC</t>
        </is>
      </c>
      <c r="E5911" t="inlineStr">
        <is>
          <t>CORO L3-2 MAINS 1</t>
        </is>
      </c>
      <c r="F5911" t="inlineStr">
        <is>
          <t>DATA4 INVERSION</t>
        </is>
      </c>
      <c r="J5911" t="inlineStr">
        <is>
          <t>ROBERT</t>
        </is>
      </c>
      <c r="L5911">
        <f>_xlfn.XLOOKUP(Tableau1[[#This Row],[TYPE DE PIECE]],Tableau4[MATIERE],Tableau4[SHORT TYPE],"",0,1)</f>
        <v/>
      </c>
      <c r="N5911">
        <f>IF(ISERR(FIND("DECOUPE",Tableau1[[#This Row],[DESIGNATION]])),"","NEED REF")</f>
        <v/>
      </c>
    </row>
    <row r="5912">
      <c r="B5912" t="n">
        <v>34408093</v>
      </c>
      <c r="C5912" s="2" t="n">
        <v>43787</v>
      </c>
      <c r="D5912" t="inlineStr">
        <is>
          <t>SPEC</t>
        </is>
      </c>
      <c r="E5912" t="inlineStr">
        <is>
          <t>CORO L3-1 MAINS 1</t>
        </is>
      </c>
      <c r="F5912" t="inlineStr">
        <is>
          <t>DATA4 INVERSION</t>
        </is>
      </c>
      <c r="J5912" t="inlineStr">
        <is>
          <t>ROBERT</t>
        </is>
      </c>
      <c r="L5912">
        <f>_xlfn.XLOOKUP(Tableau1[[#This Row],[TYPE DE PIECE]],Tableau4[MATIERE],Tableau4[SHORT TYPE],"",0,1)</f>
        <v/>
      </c>
      <c r="N5912">
        <f>IF(ISERR(FIND("DECOUPE",Tableau1[[#This Row],[DESIGNATION]])),"","NEED REF")</f>
        <v/>
      </c>
    </row>
    <row r="5913">
      <c r="B5913" t="n">
        <v>34408092</v>
      </c>
      <c r="C5913" s="2" t="n">
        <v>43787</v>
      </c>
      <c r="D5913" t="inlineStr">
        <is>
          <t>SPEC</t>
        </is>
      </c>
      <c r="E5913" t="inlineStr">
        <is>
          <t>CORO L1-2 MAINS 1</t>
        </is>
      </c>
      <c r="F5913" t="inlineStr">
        <is>
          <t>DATA4 INVERSION</t>
        </is>
      </c>
      <c r="J5913" t="inlineStr">
        <is>
          <t>ROBERT</t>
        </is>
      </c>
      <c r="L5913">
        <f>_xlfn.XLOOKUP(Tableau1[[#This Row],[TYPE DE PIECE]],Tableau4[MATIERE],Tableau4[SHORT TYPE],"",0,1)</f>
        <v/>
      </c>
      <c r="N5913">
        <f>IF(ISERR(FIND("DECOUPE",Tableau1[[#This Row],[DESIGNATION]])),"","NEED REF")</f>
        <v/>
      </c>
    </row>
    <row r="5914">
      <c r="B5914" t="n">
        <v>34408091</v>
      </c>
      <c r="C5914" s="2" t="n">
        <v>43787</v>
      </c>
      <c r="D5914" t="inlineStr">
        <is>
          <t>SPEC</t>
        </is>
      </c>
      <c r="E5914" t="inlineStr">
        <is>
          <t>CORO L1-1 MAINS 1</t>
        </is>
      </c>
      <c r="F5914" t="inlineStr">
        <is>
          <t>DATA4 INVERSION</t>
        </is>
      </c>
      <c r="J5914" t="inlineStr">
        <is>
          <t>ROBERT</t>
        </is>
      </c>
      <c r="L5914">
        <f>_xlfn.XLOOKUP(Tableau1[[#This Row],[TYPE DE PIECE]],Tableau4[MATIERE],Tableau4[SHORT TYPE],"",0,1)</f>
        <v/>
      </c>
      <c r="N5914">
        <f>IF(ISERR(FIND("DECOUPE",Tableau1[[#This Row],[DESIGNATION]])),"","NEED REF")</f>
        <v/>
      </c>
    </row>
    <row r="5915">
      <c r="B5915" t="n">
        <v>34408090</v>
      </c>
      <c r="C5915" s="2" t="n">
        <v>43787</v>
      </c>
      <c r="D5915" t="inlineStr">
        <is>
          <t>SPEC</t>
        </is>
      </c>
      <c r="E5915" t="inlineStr">
        <is>
          <t>LIAISON TETE-CORO L3 UTIL</t>
        </is>
      </c>
      <c r="F5915" t="inlineStr">
        <is>
          <t>DATA4 INVERSION</t>
        </is>
      </c>
      <c r="J5915" t="inlineStr">
        <is>
          <t>ROBERT</t>
        </is>
      </c>
      <c r="L5915">
        <f>_xlfn.XLOOKUP(Tableau1[[#This Row],[TYPE DE PIECE]],Tableau4[MATIERE],Tableau4[SHORT TYPE],"",0,1)</f>
        <v/>
      </c>
      <c r="N5915">
        <f>IF(ISERR(FIND("DECOUPE",Tableau1[[#This Row],[DESIGNATION]])),"","NEED REF")</f>
        <v/>
      </c>
    </row>
    <row r="5916">
      <c r="B5916" t="n">
        <v>34408089</v>
      </c>
      <c r="C5916" s="2" t="n">
        <v>43787</v>
      </c>
      <c r="D5916" t="inlineStr">
        <is>
          <t>SPEC</t>
        </is>
      </c>
      <c r="E5916" t="inlineStr">
        <is>
          <t>LIAISON BARRE-CORO L3 UTIL</t>
        </is>
      </c>
      <c r="F5916" t="inlineStr">
        <is>
          <t>DATA4 INVERSION</t>
        </is>
      </c>
      <c r="J5916" t="inlineStr">
        <is>
          <t>ROBERT</t>
        </is>
      </c>
      <c r="L5916">
        <f>_xlfn.XLOOKUP(Tableau1[[#This Row],[TYPE DE PIECE]],Tableau4[MATIERE],Tableau4[SHORT TYPE],"",0,1)</f>
        <v/>
      </c>
      <c r="N5916">
        <f>IF(ISERR(FIND("DECOUPE",Tableau1[[#This Row],[DESIGNATION]])),"","NEED REF")</f>
        <v/>
      </c>
    </row>
    <row r="5917">
      <c r="B5917" t="n">
        <v>34408088</v>
      </c>
      <c r="C5917" s="2" t="n">
        <v>43787</v>
      </c>
      <c r="D5917" t="inlineStr">
        <is>
          <t>SPEC</t>
        </is>
      </c>
      <c r="E5917" t="inlineStr">
        <is>
          <t>LIAISON BARRE-CORO L1 UTIL</t>
        </is>
      </c>
      <c r="F5917" t="inlineStr">
        <is>
          <t>DATA4 INVERSION</t>
        </is>
      </c>
      <c r="J5917" t="inlineStr">
        <is>
          <t>ROBERT</t>
        </is>
      </c>
      <c r="L5917">
        <f>_xlfn.XLOOKUP(Tableau1[[#This Row],[TYPE DE PIECE]],Tableau4[MATIERE],Tableau4[SHORT TYPE],"",0,1)</f>
        <v/>
      </c>
      <c r="N5917">
        <f>IF(ISERR(FIND("DECOUPE",Tableau1[[#This Row],[DESIGNATION]])),"","NEED REF")</f>
        <v/>
      </c>
    </row>
    <row r="5918">
      <c r="B5918" t="n">
        <v>34408087</v>
      </c>
      <c r="C5918" s="2" t="n">
        <v>43787</v>
      </c>
      <c r="D5918" t="inlineStr">
        <is>
          <t>SPEC</t>
        </is>
      </c>
      <c r="E5918" t="inlineStr">
        <is>
          <t>CX L3 UTIL</t>
        </is>
      </c>
      <c r="F5918" t="inlineStr">
        <is>
          <t>DATA4 INVERSION</t>
        </is>
      </c>
      <c r="J5918" t="inlineStr">
        <is>
          <t>ROBERT</t>
        </is>
      </c>
      <c r="L5918">
        <f>_xlfn.XLOOKUP(Tableau1[[#This Row],[TYPE DE PIECE]],Tableau4[MATIERE],Tableau4[SHORT TYPE],"",0,1)</f>
        <v/>
      </c>
      <c r="N5918">
        <f>IF(ISERR(FIND("DECOUPE",Tableau1[[#This Row],[DESIGNATION]])),"","NEED REF")</f>
        <v/>
      </c>
    </row>
    <row r="5919">
      <c r="B5919" t="n">
        <v>34408086</v>
      </c>
      <c r="C5919" s="2" t="n">
        <v>43787</v>
      </c>
      <c r="D5919" t="inlineStr">
        <is>
          <t>SPEC</t>
        </is>
      </c>
      <c r="E5919" t="inlineStr">
        <is>
          <t>CX L1 UTIL</t>
        </is>
      </c>
      <c r="F5919" t="inlineStr">
        <is>
          <t>DATA4 INVERSION</t>
        </is>
      </c>
      <c r="J5919" t="inlineStr">
        <is>
          <t>ROBERT</t>
        </is>
      </c>
      <c r="L5919">
        <f>_xlfn.XLOOKUP(Tableau1[[#This Row],[TYPE DE PIECE]],Tableau4[MATIERE],Tableau4[SHORT TYPE],"",0,1)</f>
        <v/>
      </c>
      <c r="N5919">
        <f>IF(ISERR(FIND("DECOUPE",Tableau1[[#This Row],[DESIGNATION]])),"","NEED REF")</f>
        <v/>
      </c>
    </row>
    <row r="5920">
      <c r="B5920" t="n">
        <v>34408085</v>
      </c>
      <c r="C5920" s="2" t="n">
        <v>43787</v>
      </c>
      <c r="D5920" t="inlineStr">
        <is>
          <t>SPEC</t>
        </is>
      </c>
      <c r="E5920" t="inlineStr">
        <is>
          <t>LIAISON BARRE-CORO L3 MAINS 1</t>
        </is>
      </c>
      <c r="F5920" t="inlineStr">
        <is>
          <t>DATA4 INVERSION</t>
        </is>
      </c>
      <c r="J5920" t="inlineStr">
        <is>
          <t>ROBERT</t>
        </is>
      </c>
      <c r="L5920">
        <f>_xlfn.XLOOKUP(Tableau1[[#This Row],[TYPE DE PIECE]],Tableau4[MATIERE],Tableau4[SHORT TYPE],"",0,1)</f>
        <v/>
      </c>
      <c r="N5920">
        <f>IF(ISERR(FIND("DECOUPE",Tableau1[[#This Row],[DESIGNATION]])),"","NEED REF")</f>
        <v/>
      </c>
    </row>
    <row r="5921">
      <c r="B5921" t="n">
        <v>34408084</v>
      </c>
      <c r="C5921" s="2" t="n">
        <v>43787</v>
      </c>
      <c r="D5921" t="inlineStr">
        <is>
          <t>SPEC</t>
        </is>
      </c>
      <c r="E5921" t="inlineStr">
        <is>
          <t>LIAISON BARRE-CORO L1 MAINS 1</t>
        </is>
      </c>
      <c r="F5921" t="inlineStr">
        <is>
          <t>DATA4 INVERSION</t>
        </is>
      </c>
      <c r="J5921" t="inlineStr">
        <is>
          <t>ROBERT</t>
        </is>
      </c>
      <c r="L5921">
        <f>_xlfn.XLOOKUP(Tableau1[[#This Row],[TYPE DE PIECE]],Tableau4[MATIERE],Tableau4[SHORT TYPE],"",0,1)</f>
        <v/>
      </c>
      <c r="N5921">
        <f>IF(ISERR(FIND("DECOUPE",Tableau1[[#This Row],[DESIGNATION]])),"","NEED REF")</f>
        <v/>
      </c>
    </row>
    <row r="5922">
      <c r="B5922" t="n">
        <v>34408083</v>
      </c>
      <c r="C5922" s="2" t="n">
        <v>43787</v>
      </c>
      <c r="D5922" t="inlineStr">
        <is>
          <t>SPEC</t>
        </is>
      </c>
      <c r="E5922" t="inlineStr">
        <is>
          <t>CX L3 RESEAU 1</t>
        </is>
      </c>
      <c r="F5922" t="inlineStr">
        <is>
          <t>DATA4 INVERSION</t>
        </is>
      </c>
      <c r="J5922" t="inlineStr">
        <is>
          <t>ROBERT</t>
        </is>
      </c>
      <c r="L5922">
        <f>_xlfn.XLOOKUP(Tableau1[[#This Row],[TYPE DE PIECE]],Tableau4[MATIERE],Tableau4[SHORT TYPE],"",0,1)</f>
        <v/>
      </c>
      <c r="N5922">
        <f>IF(ISERR(FIND("DECOUPE",Tableau1[[#This Row],[DESIGNATION]])),"","NEED REF")</f>
        <v/>
      </c>
    </row>
    <row r="5923">
      <c r="B5923" t="n">
        <v>34408082</v>
      </c>
      <c r="C5923" s="2" t="n">
        <v>43787</v>
      </c>
      <c r="D5923" t="inlineStr">
        <is>
          <t>SPEC</t>
        </is>
      </c>
      <c r="E5923" t="inlineStr">
        <is>
          <t>CX L1 RESEAU 1</t>
        </is>
      </c>
      <c r="F5923" t="inlineStr">
        <is>
          <t>DATA4 INVERSION</t>
        </is>
      </c>
      <c r="J5923" t="inlineStr">
        <is>
          <t>ROBERT</t>
        </is>
      </c>
      <c r="L5923">
        <f>_xlfn.XLOOKUP(Tableau1[[#This Row],[TYPE DE PIECE]],Tableau4[MATIERE],Tableau4[SHORT TYPE],"",0,1)</f>
        <v/>
      </c>
      <c r="N5923">
        <f>IF(ISERR(FIND("DECOUPE",Tableau1[[#This Row],[DESIGNATION]])),"","NEED REF")</f>
        <v/>
      </c>
    </row>
    <row r="5924">
      <c r="B5924" t="n">
        <v>34408081</v>
      </c>
      <c r="C5924" s="2" t="n">
        <v>43787</v>
      </c>
      <c r="D5924" t="inlineStr">
        <is>
          <t>SPEC</t>
        </is>
      </c>
      <c r="E5924" t="inlineStr">
        <is>
          <t>Protection Shield</t>
        </is>
      </c>
      <c r="F5924" t="inlineStr">
        <is>
          <t>Glaxosmith</t>
        </is>
      </c>
      <c r="J5924" t="inlineStr">
        <is>
          <t>MASCELLINO</t>
        </is>
      </c>
      <c r="K5924" t="inlineStr">
        <is>
          <t>METAL</t>
        </is>
      </c>
      <c r="L5924">
        <f>_xlfn.XLOOKUP(Tableau1[[#This Row],[TYPE DE PIECE]],Tableau4[MATIERE],Tableau4[SHORT TYPE],"",0,1)</f>
        <v/>
      </c>
      <c r="N5924">
        <f>IF(ISERR(FIND("DECOUPE",Tableau1[[#This Row],[DESIGNATION]])),"","NEED REF")</f>
        <v/>
      </c>
    </row>
    <row r="5925">
      <c r="B5925" t="n">
        <v>34408080</v>
      </c>
      <c r="C5925" s="2" t="n">
        <v>43787</v>
      </c>
      <c r="D5925" t="inlineStr">
        <is>
          <t>SPEC</t>
        </is>
      </c>
      <c r="E5925" t="inlineStr">
        <is>
          <t>Protection Shield</t>
        </is>
      </c>
      <c r="F5925" t="inlineStr">
        <is>
          <t>Glaxosmith</t>
        </is>
      </c>
      <c r="J5925" t="inlineStr">
        <is>
          <t>MASCELLINO</t>
        </is>
      </c>
      <c r="K5925" t="inlineStr">
        <is>
          <t>METAL</t>
        </is>
      </c>
      <c r="L5925">
        <f>_xlfn.XLOOKUP(Tableau1[[#This Row],[TYPE DE PIECE]],Tableau4[MATIERE],Tableau4[SHORT TYPE],"",0,1)</f>
        <v/>
      </c>
      <c r="N5925">
        <f>IF(ISERR(FIND("DECOUPE",Tableau1[[#This Row],[DESIGNATION]])),"","NEED REF")</f>
        <v/>
      </c>
    </row>
    <row r="5926">
      <c r="B5926" t="n">
        <v>34408079</v>
      </c>
      <c r="C5926" s="2" t="n">
        <v>43784</v>
      </c>
      <c r="D5926" t="inlineStr">
        <is>
          <t>SPEC</t>
        </is>
      </c>
      <c r="E5926" t="inlineStr">
        <is>
          <t>Protection Shield</t>
        </is>
      </c>
      <c r="F5926" t="inlineStr">
        <is>
          <t>Glaxosmith</t>
        </is>
      </c>
      <c r="J5926" t="inlineStr">
        <is>
          <t>MASCELLINO</t>
        </is>
      </c>
      <c r="K5926" t="inlineStr">
        <is>
          <t>METAL</t>
        </is>
      </c>
      <c r="L5926">
        <f>_xlfn.XLOOKUP(Tableau1[[#This Row],[TYPE DE PIECE]],Tableau4[MATIERE],Tableau4[SHORT TYPE],"",0,1)</f>
        <v/>
      </c>
      <c r="N5926">
        <f>IF(ISERR(FIND("DECOUPE",Tableau1[[#This Row],[DESIGNATION]])),"","NEED REF")</f>
        <v/>
      </c>
    </row>
    <row r="5927">
      <c r="B5927" t="n">
        <v>34408078</v>
      </c>
      <c r="C5927" s="2" t="n">
        <v>43784</v>
      </c>
      <c r="D5927" t="inlineStr">
        <is>
          <t>SPEC</t>
        </is>
      </c>
      <c r="E5927" t="inlineStr">
        <is>
          <t>Protection Shield</t>
        </is>
      </c>
      <c r="F5927" t="inlineStr">
        <is>
          <t>Glaxosmith</t>
        </is>
      </c>
      <c r="J5927" t="inlineStr">
        <is>
          <t>MASCELLINO</t>
        </is>
      </c>
      <c r="K5927" t="inlineStr">
        <is>
          <t>METAL</t>
        </is>
      </c>
      <c r="L5927">
        <f>_xlfn.XLOOKUP(Tableau1[[#This Row],[TYPE DE PIECE]],Tableau4[MATIERE],Tableau4[SHORT TYPE],"",0,1)</f>
        <v/>
      </c>
      <c r="N5927">
        <f>IF(ISERR(FIND("DECOUPE",Tableau1[[#This Row],[DESIGNATION]])),"","NEED REF")</f>
        <v/>
      </c>
    </row>
    <row r="5928">
      <c r="B5928" t="n">
        <v>34408077</v>
      </c>
      <c r="C5928" s="2" t="n">
        <v>43784</v>
      </c>
      <c r="D5928" t="inlineStr">
        <is>
          <t>SPEC</t>
        </is>
      </c>
      <c r="E5928" t="inlineStr">
        <is>
          <t>PLATINE NSX 4P ARM 712</t>
        </is>
      </c>
      <c r="F5928" t="inlineStr">
        <is>
          <t>Glaxosmith</t>
        </is>
      </c>
      <c r="J5928" t="inlineStr">
        <is>
          <t>MASCELLINO</t>
        </is>
      </c>
      <c r="K5928" t="inlineStr">
        <is>
          <t>METAL</t>
        </is>
      </c>
      <c r="L5928">
        <f>_xlfn.XLOOKUP(Tableau1[[#This Row],[TYPE DE PIECE]],Tableau4[MATIERE],Tableau4[SHORT TYPE],"",0,1)</f>
        <v/>
      </c>
      <c r="N5928">
        <f>IF(ISERR(FIND("DECOUPE",Tableau1[[#This Row],[DESIGNATION]])),"","NEED REF")</f>
        <v/>
      </c>
    </row>
    <row r="5929">
      <c r="B5929" t="n">
        <v>34408076</v>
      </c>
      <c r="C5929" s="2" t="n"/>
      <c r="D5929" t="inlineStr">
        <is>
          <t>SPEC</t>
        </is>
      </c>
      <c r="J5929" t="inlineStr">
        <is>
          <t>MASCELLINO</t>
        </is>
      </c>
      <c r="K5929" t="inlineStr">
        <is>
          <t>METAL</t>
        </is>
      </c>
      <c r="L5929">
        <f>_xlfn.XLOOKUP(Tableau1[[#This Row],[TYPE DE PIECE]],Tableau4[MATIERE],Tableau4[SHORT TYPE],"",0,1)</f>
        <v/>
      </c>
      <c r="N5929">
        <f>IF(ISERR(FIND("DECOUPE",Tableau1[[#This Row],[DESIGNATION]])),"","NEED REF")</f>
        <v/>
      </c>
    </row>
    <row r="5930">
      <c r="B5930" t="n">
        <v>34408075</v>
      </c>
      <c r="C5930" s="2" t="n">
        <v>43783</v>
      </c>
      <c r="D5930" t="inlineStr">
        <is>
          <t>SPEC</t>
        </is>
      </c>
      <c r="E5930" t="inlineStr">
        <is>
          <t>Protection Shield</t>
        </is>
      </c>
      <c r="F5930" t="inlineStr">
        <is>
          <t>Glaxosmith</t>
        </is>
      </c>
      <c r="J5930" t="inlineStr">
        <is>
          <t>MASCELLINO</t>
        </is>
      </c>
      <c r="K5930" t="inlineStr">
        <is>
          <t>METAL</t>
        </is>
      </c>
      <c r="L5930">
        <f>_xlfn.XLOOKUP(Tableau1[[#This Row],[TYPE DE PIECE]],Tableau4[MATIERE],Tableau4[SHORT TYPE],"",0,1)</f>
        <v/>
      </c>
      <c r="N5930">
        <f>IF(ISERR(FIND("DECOUPE",Tableau1[[#This Row],[DESIGNATION]])),"","NEED REF")</f>
        <v/>
      </c>
    </row>
    <row r="5931">
      <c r="B5931" t="n">
        <v>34408074</v>
      </c>
      <c r="C5931" s="2" t="n">
        <v>43783</v>
      </c>
      <c r="D5931" t="inlineStr">
        <is>
          <t>SPEC</t>
        </is>
      </c>
      <c r="E5931" t="inlineStr">
        <is>
          <t>Protection Shield</t>
        </is>
      </c>
      <c r="F5931" t="inlineStr">
        <is>
          <t>Glaxosmith</t>
        </is>
      </c>
      <c r="J5931" t="inlineStr">
        <is>
          <t>MASCELLINO</t>
        </is>
      </c>
      <c r="K5931" t="inlineStr">
        <is>
          <t>METAL</t>
        </is>
      </c>
      <c r="L5931">
        <f>_xlfn.XLOOKUP(Tableau1[[#This Row],[TYPE DE PIECE]],Tableau4[MATIERE],Tableau4[SHORT TYPE],"",0,1)</f>
        <v/>
      </c>
      <c r="N5931">
        <f>IF(ISERR(FIND("DECOUPE",Tableau1[[#This Row],[DESIGNATION]])),"","NEED REF")</f>
        <v/>
      </c>
    </row>
    <row r="5932">
      <c r="B5932" t="n">
        <v>34408073</v>
      </c>
      <c r="C5932" s="2" t="n">
        <v>43783</v>
      </c>
      <c r="D5932" t="inlineStr">
        <is>
          <t>SPEC</t>
        </is>
      </c>
      <c r="E5932" t="inlineStr">
        <is>
          <t>Platine IM400 IMD +NSX 3P/4P</t>
        </is>
      </c>
      <c r="F5932" t="inlineStr">
        <is>
          <t>Glaxosmith</t>
        </is>
      </c>
      <c r="J5932" t="inlineStr">
        <is>
          <t>MASCELLINO</t>
        </is>
      </c>
      <c r="K5932" t="inlineStr">
        <is>
          <t>METAL</t>
        </is>
      </c>
      <c r="L5932">
        <f>_xlfn.XLOOKUP(Tableau1[[#This Row],[TYPE DE PIECE]],Tableau4[MATIERE],Tableau4[SHORT TYPE],"",0,1)</f>
        <v/>
      </c>
      <c r="N5932">
        <f>IF(ISERR(FIND("DECOUPE",Tableau1[[#This Row],[DESIGNATION]])),"","NEED REF")</f>
        <v/>
      </c>
    </row>
    <row r="5933">
      <c r="B5933" t="n">
        <v>34408072</v>
      </c>
      <c r="C5933" s="2" t="n">
        <v>43783</v>
      </c>
      <c r="D5933" t="inlineStr">
        <is>
          <t>SPEC</t>
        </is>
      </c>
      <c r="E5933" t="inlineStr">
        <is>
          <t>Protection Shield</t>
        </is>
      </c>
      <c r="F5933" t="inlineStr">
        <is>
          <t>Glaxosmith</t>
        </is>
      </c>
      <c r="J5933" t="inlineStr">
        <is>
          <t>MASCELLINO</t>
        </is>
      </c>
      <c r="K5933" t="inlineStr">
        <is>
          <t>METAL</t>
        </is>
      </c>
      <c r="L5933">
        <f>_xlfn.XLOOKUP(Tableau1[[#This Row],[TYPE DE PIECE]],Tableau4[MATIERE],Tableau4[SHORT TYPE],"",0,1)</f>
        <v/>
      </c>
      <c r="N5933">
        <f>IF(ISERR(FIND("DECOUPE",Tableau1[[#This Row],[DESIGNATION]])),"","NEED REF")</f>
        <v/>
      </c>
    </row>
    <row r="5934">
      <c r="B5934" t="n">
        <v>34408071</v>
      </c>
      <c r="C5934" s="2" t="n">
        <v>43783</v>
      </c>
      <c r="D5934" t="inlineStr">
        <is>
          <t>SPEC</t>
        </is>
      </c>
      <c r="E5934" t="inlineStr">
        <is>
          <t>Protection Shield</t>
        </is>
      </c>
      <c r="F5934" t="inlineStr">
        <is>
          <t>Glaxosmith</t>
        </is>
      </c>
      <c r="J5934" t="inlineStr">
        <is>
          <t>MASCELLINO</t>
        </is>
      </c>
      <c r="K5934" t="inlineStr">
        <is>
          <t>METAL</t>
        </is>
      </c>
      <c r="L5934">
        <f>_xlfn.XLOOKUP(Tableau1[[#This Row],[TYPE DE PIECE]],Tableau4[MATIERE],Tableau4[SHORT TYPE],"",0,1)</f>
        <v/>
      </c>
      <c r="N5934">
        <f>IF(ISERR(FIND("DECOUPE",Tableau1[[#This Row],[DESIGNATION]])),"","NEED REF")</f>
        <v/>
      </c>
    </row>
    <row r="5935">
      <c r="B5935" t="n">
        <v>34408070</v>
      </c>
      <c r="C5935" s="2" t="n"/>
      <c r="L5935">
        <f>_xlfn.XLOOKUP(Tableau1[[#This Row],[TYPE DE PIECE]],Tableau4[MATIERE],Tableau4[SHORT TYPE],"",0,1)</f>
        <v/>
      </c>
      <c r="N5935">
        <f>IF(ISERR(FIND("DECOUPE",Tableau1[[#This Row],[DESIGNATION]])),"","NEED REF")</f>
        <v/>
      </c>
    </row>
    <row r="5936">
      <c r="B5936" t="n">
        <v>34408069</v>
      </c>
      <c r="C5936" s="2" t="n">
        <v>43782</v>
      </c>
      <c r="D5936" t="inlineStr">
        <is>
          <t>SPEC</t>
        </is>
      </c>
      <c r="E5936" t="inlineStr">
        <is>
          <t>Support capteurs thermique CÂLE</t>
        </is>
      </c>
      <c r="F5936" t="inlineStr">
        <is>
          <t>IO GVX</t>
        </is>
      </c>
      <c r="J5936" t="inlineStr">
        <is>
          <t>PILLON</t>
        </is>
      </c>
      <c r="K5936" t="inlineStr">
        <is>
          <t>METAL</t>
        </is>
      </c>
      <c r="L5936">
        <f>_xlfn.XLOOKUP(Tableau1[[#This Row],[TYPE DE PIECE]],Tableau4[MATIERE],Tableau4[SHORT TYPE],"",0,1)</f>
        <v/>
      </c>
      <c r="N5936">
        <f>IF(ISERR(FIND("DECOUPE",Tableau1[[#This Row],[DESIGNATION]])),"","NEED REF")</f>
        <v/>
      </c>
    </row>
    <row r="5937">
      <c r="B5937" t="n">
        <v>34408068</v>
      </c>
      <c r="C5937" s="2" t="n">
        <v>43782</v>
      </c>
      <c r="D5937" t="inlineStr">
        <is>
          <t>SPEC</t>
        </is>
      </c>
      <c r="E5937" t="inlineStr">
        <is>
          <t>Support capteurs thermique SUPPORT-CAPTEUR-TYPE-2</t>
        </is>
      </c>
      <c r="F5937" t="inlineStr">
        <is>
          <t>IO GVX</t>
        </is>
      </c>
      <c r="J5937" t="inlineStr">
        <is>
          <t>PILLON</t>
        </is>
      </c>
      <c r="K5937" t="inlineStr">
        <is>
          <t>METAL</t>
        </is>
      </c>
      <c r="L5937">
        <f>_xlfn.XLOOKUP(Tableau1[[#This Row],[TYPE DE PIECE]],Tableau4[MATIERE],Tableau4[SHORT TYPE],"",0,1)</f>
        <v/>
      </c>
      <c r="N5937">
        <f>IF(ISERR(FIND("DECOUPE",Tableau1[[#This Row],[DESIGNATION]])),"","NEED REF")</f>
        <v/>
      </c>
    </row>
    <row r="5938">
      <c r="B5938" t="n">
        <v>34408067</v>
      </c>
      <c r="C5938" s="2" t="n">
        <v>43782</v>
      </c>
      <c r="D5938" t="inlineStr">
        <is>
          <t>SPEC</t>
        </is>
      </c>
      <c r="E5938" t="inlineStr">
        <is>
          <t>Support capteurs thermique L3-OUTPUT-PLATINE</t>
        </is>
      </c>
      <c r="F5938" t="inlineStr">
        <is>
          <t>IO GVX</t>
        </is>
      </c>
      <c r="J5938" t="inlineStr">
        <is>
          <t>PILLON</t>
        </is>
      </c>
      <c r="K5938" t="inlineStr">
        <is>
          <t>METAL</t>
        </is>
      </c>
      <c r="L5938">
        <f>_xlfn.XLOOKUP(Tableau1[[#This Row],[TYPE DE PIECE]],Tableau4[MATIERE],Tableau4[SHORT TYPE],"",0,1)</f>
        <v/>
      </c>
      <c r="N5938">
        <f>IF(ISERR(FIND("DECOUPE",Tableau1[[#This Row],[DESIGNATION]])),"","NEED REF")</f>
        <v/>
      </c>
    </row>
    <row r="5939">
      <c r="B5939" t="n">
        <v>34408066</v>
      </c>
      <c r="C5939" s="2" t="n">
        <v>43782</v>
      </c>
      <c r="D5939" t="inlineStr">
        <is>
          <t>SPEC</t>
        </is>
      </c>
      <c r="E5939" t="inlineStr">
        <is>
          <t>Support capteurs thermique L3-INPUT-PLATINE</t>
        </is>
      </c>
      <c r="F5939" t="inlineStr">
        <is>
          <t>IO GVX</t>
        </is>
      </c>
      <c r="J5939" t="inlineStr">
        <is>
          <t>PILLON</t>
        </is>
      </c>
      <c r="K5939" t="inlineStr">
        <is>
          <t>METAL</t>
        </is>
      </c>
      <c r="L5939">
        <f>_xlfn.XLOOKUP(Tableau1[[#This Row],[TYPE DE PIECE]],Tableau4[MATIERE],Tableau4[SHORT TYPE],"",0,1)</f>
        <v/>
      </c>
      <c r="N5939">
        <f>IF(ISERR(FIND("DECOUPE",Tableau1[[#This Row],[DESIGNATION]])),"","NEED REF")</f>
        <v/>
      </c>
    </row>
    <row r="5940">
      <c r="B5940" t="n">
        <v>34408065</v>
      </c>
      <c r="C5940" s="2" t="n">
        <v>43782</v>
      </c>
      <c r="D5940" t="inlineStr">
        <is>
          <t>SPEC</t>
        </is>
      </c>
      <c r="E5940" t="inlineStr">
        <is>
          <t>Support capteurs thermique L2-OUTPUT-PLATINE</t>
        </is>
      </c>
      <c r="F5940" t="inlineStr">
        <is>
          <t>IO GVX</t>
        </is>
      </c>
      <c r="J5940" t="inlineStr">
        <is>
          <t>PILLON</t>
        </is>
      </c>
      <c r="K5940" t="inlineStr">
        <is>
          <t>METAL</t>
        </is>
      </c>
      <c r="L5940">
        <f>_xlfn.XLOOKUP(Tableau1[[#This Row],[TYPE DE PIECE]],Tableau4[MATIERE],Tableau4[SHORT TYPE],"",0,1)</f>
        <v/>
      </c>
      <c r="N5940">
        <f>IF(ISERR(FIND("DECOUPE",Tableau1[[#This Row],[DESIGNATION]])),"","NEED REF")</f>
        <v/>
      </c>
    </row>
    <row r="5941">
      <c r="B5941" t="n">
        <v>34408064</v>
      </c>
      <c r="C5941" s="2" t="n">
        <v>43782</v>
      </c>
      <c r="D5941" t="inlineStr">
        <is>
          <t>SPEC</t>
        </is>
      </c>
      <c r="E5941" t="inlineStr">
        <is>
          <t>Support capteurs thermique L2-INPUT-PLATINE</t>
        </is>
      </c>
      <c r="F5941" t="inlineStr">
        <is>
          <t>IO GVX</t>
        </is>
      </c>
      <c r="J5941" t="inlineStr">
        <is>
          <t>PILLON</t>
        </is>
      </c>
      <c r="K5941" t="inlineStr">
        <is>
          <t>METAL</t>
        </is>
      </c>
      <c r="L5941">
        <f>_xlfn.XLOOKUP(Tableau1[[#This Row],[TYPE DE PIECE]],Tableau4[MATIERE],Tableau4[SHORT TYPE],"",0,1)</f>
        <v/>
      </c>
      <c r="N5941">
        <f>IF(ISERR(FIND("DECOUPE",Tableau1[[#This Row],[DESIGNATION]])),"","NEED REF")</f>
        <v/>
      </c>
    </row>
    <row r="5942">
      <c r="B5942" t="n">
        <v>34408063</v>
      </c>
      <c r="C5942" s="2" t="n">
        <v>43782</v>
      </c>
      <c r="D5942" t="inlineStr">
        <is>
          <t>SPEC</t>
        </is>
      </c>
      <c r="E5942" t="inlineStr">
        <is>
          <t>Support capteurs thermique L1-OUTPUT-PLATINE</t>
        </is>
      </c>
      <c r="F5942" t="inlineStr">
        <is>
          <t>IO GVX</t>
        </is>
      </c>
      <c r="J5942" t="inlineStr">
        <is>
          <t>PILLON</t>
        </is>
      </c>
      <c r="K5942" t="inlineStr">
        <is>
          <t>METAL</t>
        </is>
      </c>
      <c r="L5942">
        <f>_xlfn.XLOOKUP(Tableau1[[#This Row],[TYPE DE PIECE]],Tableau4[MATIERE],Tableau4[SHORT TYPE],"",0,1)</f>
        <v/>
      </c>
      <c r="N5942">
        <f>IF(ISERR(FIND("DECOUPE",Tableau1[[#This Row],[DESIGNATION]])),"","NEED REF")</f>
        <v/>
      </c>
    </row>
    <row r="5943">
      <c r="B5943" t="n">
        <v>34408062</v>
      </c>
      <c r="C5943" s="2" t="n">
        <v>43782</v>
      </c>
      <c r="D5943" t="inlineStr">
        <is>
          <t>SPEC</t>
        </is>
      </c>
      <c r="E5943" t="inlineStr">
        <is>
          <t>Support capteurs thermique L1-INPUT-PLATINE</t>
        </is>
      </c>
      <c r="F5943" t="inlineStr">
        <is>
          <t>IO GVX</t>
        </is>
      </c>
      <c r="J5943" t="inlineStr">
        <is>
          <t>PILLON</t>
        </is>
      </c>
      <c r="K5943" t="inlineStr">
        <is>
          <t>METAL</t>
        </is>
      </c>
      <c r="L5943">
        <f>_xlfn.XLOOKUP(Tableau1[[#This Row],[TYPE DE PIECE]],Tableau4[MATIERE],Tableau4[SHORT TYPE],"",0,1)</f>
        <v/>
      </c>
      <c r="N5943">
        <f>IF(ISERR(FIND("DECOUPE",Tableau1[[#This Row],[DESIGNATION]])),"","NEED REF")</f>
        <v/>
      </c>
    </row>
    <row r="5944">
      <c r="B5944" t="n">
        <v>34408061</v>
      </c>
      <c r="C5944" s="2" t="n">
        <v>43782</v>
      </c>
      <c r="D5944" t="inlineStr">
        <is>
          <t>SPEC</t>
        </is>
      </c>
      <c r="E5944" t="inlineStr">
        <is>
          <t>Support capteurs thermique BATT-PLUS-OUTPUT</t>
        </is>
      </c>
      <c r="F5944" t="inlineStr">
        <is>
          <t>IO GVX</t>
        </is>
      </c>
      <c r="J5944" t="inlineStr">
        <is>
          <t>PILLON</t>
        </is>
      </c>
      <c r="K5944" t="inlineStr">
        <is>
          <t>METAL</t>
        </is>
      </c>
      <c r="L5944">
        <f>_xlfn.XLOOKUP(Tableau1[[#This Row],[TYPE DE PIECE]],Tableau4[MATIERE],Tableau4[SHORT TYPE],"",0,1)</f>
        <v/>
      </c>
      <c r="N5944">
        <f>IF(ISERR(FIND("DECOUPE",Tableau1[[#This Row],[DESIGNATION]])),"","NEED REF")</f>
        <v/>
      </c>
    </row>
    <row r="5945">
      <c r="B5945" t="n">
        <v>34408060</v>
      </c>
      <c r="C5945" s="2" t="n">
        <v>43782</v>
      </c>
      <c r="D5945" t="inlineStr">
        <is>
          <t>SPEC</t>
        </is>
      </c>
      <c r="E5945" t="inlineStr">
        <is>
          <t>Support capteurs thermique BATT-MOINS-OUTPUT</t>
        </is>
      </c>
      <c r="F5945" t="inlineStr">
        <is>
          <t>IO GVX</t>
        </is>
      </c>
      <c r="J5945" t="inlineStr">
        <is>
          <t>PILLON</t>
        </is>
      </c>
      <c r="K5945" t="inlineStr">
        <is>
          <t>METAL</t>
        </is>
      </c>
      <c r="L5945">
        <f>_xlfn.XLOOKUP(Tableau1[[#This Row],[TYPE DE PIECE]],Tableau4[MATIERE],Tableau4[SHORT TYPE],"",0,1)</f>
        <v/>
      </c>
      <c r="N5945">
        <f>IF(ISERR(FIND("DECOUPE",Tableau1[[#This Row],[DESIGNATION]])),"","NEED REF")</f>
        <v/>
      </c>
    </row>
    <row r="5946">
      <c r="B5946" t="n">
        <v>34408059</v>
      </c>
      <c r="C5946" s="2" t="n">
        <v>43781</v>
      </c>
      <c r="D5946" t="inlineStr">
        <is>
          <t>SPEC</t>
        </is>
      </c>
      <c r="F5946" t="inlineStr">
        <is>
          <t>GVS CBC</t>
        </is>
      </c>
      <c r="J5946" t="inlineStr">
        <is>
          <t>MATRION</t>
        </is>
      </c>
      <c r="K5946" t="inlineStr">
        <is>
          <t>METAL</t>
        </is>
      </c>
      <c r="L5946">
        <f>_xlfn.XLOOKUP(Tableau1[[#This Row],[TYPE DE PIECE]],Tableau4[MATIERE],Tableau4[SHORT TYPE],"",0,1)</f>
        <v/>
      </c>
      <c r="N5946">
        <f>IF(ISERR(FIND("DECOUPE",Tableau1[[#This Row],[DESIGNATION]])),"","NEED REF")</f>
        <v/>
      </c>
    </row>
    <row r="5947">
      <c r="B5947" t="n">
        <v>34408058</v>
      </c>
      <c r="C5947" s="2" t="n">
        <v>43781</v>
      </c>
      <c r="D5947" t="inlineStr">
        <is>
          <t>SPEC</t>
        </is>
      </c>
      <c r="F5947" t="inlineStr">
        <is>
          <t>GVS CBC</t>
        </is>
      </c>
      <c r="J5947" t="inlineStr">
        <is>
          <t>MATRION</t>
        </is>
      </c>
      <c r="K5947" t="inlineStr">
        <is>
          <t>METAL</t>
        </is>
      </c>
      <c r="L5947">
        <f>_xlfn.XLOOKUP(Tableau1[[#This Row],[TYPE DE PIECE]],Tableau4[MATIERE],Tableau4[SHORT TYPE],"",0,1)</f>
        <v/>
      </c>
      <c r="N5947">
        <f>IF(ISERR(FIND("DECOUPE",Tableau1[[#This Row],[DESIGNATION]])),"","NEED REF")</f>
        <v/>
      </c>
    </row>
    <row r="5948">
      <c r="B5948" t="n">
        <v>34408057</v>
      </c>
      <c r="C5948" s="2" t="n">
        <v>43781</v>
      </c>
      <c r="D5948" t="inlineStr">
        <is>
          <t>SPEC</t>
        </is>
      </c>
      <c r="F5948" t="inlineStr">
        <is>
          <t>GVS CBC</t>
        </is>
      </c>
      <c r="J5948" t="inlineStr">
        <is>
          <t>MATRION</t>
        </is>
      </c>
      <c r="K5948" t="inlineStr">
        <is>
          <t>METAL</t>
        </is>
      </c>
      <c r="L5948">
        <f>_xlfn.XLOOKUP(Tableau1[[#This Row],[TYPE DE PIECE]],Tableau4[MATIERE],Tableau4[SHORT TYPE],"",0,1)</f>
        <v/>
      </c>
      <c r="N5948">
        <f>IF(ISERR(FIND("DECOUPE",Tableau1[[#This Row],[DESIGNATION]])),"","NEED REF")</f>
        <v/>
      </c>
    </row>
    <row r="5949">
      <c r="B5949" t="n">
        <v>34408056</v>
      </c>
      <c r="C5949" s="2" t="n">
        <v>43781</v>
      </c>
      <c r="D5949" t="inlineStr">
        <is>
          <t>SPEC</t>
        </is>
      </c>
      <c r="F5949" t="inlineStr">
        <is>
          <t>GVS CBC</t>
        </is>
      </c>
      <c r="J5949" t="inlineStr">
        <is>
          <t>MATRION</t>
        </is>
      </c>
      <c r="K5949" t="inlineStr">
        <is>
          <t>METAL</t>
        </is>
      </c>
      <c r="L5949">
        <f>_xlfn.XLOOKUP(Tableau1[[#This Row],[TYPE DE PIECE]],Tableau4[MATIERE],Tableau4[SHORT TYPE],"",0,1)</f>
        <v/>
      </c>
      <c r="N5949">
        <f>IF(ISERR(FIND("DECOUPE",Tableau1[[#This Row],[DESIGNATION]])),"","NEED REF")</f>
        <v/>
      </c>
    </row>
    <row r="5950">
      <c r="B5950" t="n">
        <v>34408055</v>
      </c>
      <c r="C5950" s="2" t="n">
        <v>43777</v>
      </c>
      <c r="E5950" t="inlineStr">
        <is>
          <t>Dossier de montage Kit Capas KEMET THM G400</t>
        </is>
      </c>
      <c r="F5950" t="inlineStr">
        <is>
          <t xml:space="preserve">THM 400 </t>
        </is>
      </c>
      <c r="J5950" t="inlineStr">
        <is>
          <t>MASCELLINO</t>
        </is>
      </c>
      <c r="L5950">
        <f>_xlfn.XLOOKUP(Tableau1[[#This Row],[TYPE DE PIECE]],Tableau4[MATIERE],Tableau4[SHORT TYPE],"",0,1)</f>
        <v/>
      </c>
      <c r="N5950">
        <f>IF(ISERR(FIND("DECOUPE",Tableau1[[#This Row],[DESIGNATION]])),"","NEED REF")</f>
        <v/>
      </c>
    </row>
    <row r="5951">
      <c r="B5951" t="n">
        <v>34408054</v>
      </c>
      <c r="C5951" s="2" t="n">
        <v>43774</v>
      </c>
      <c r="D5951" t="inlineStr">
        <is>
          <t>SPEC</t>
        </is>
      </c>
      <c r="E5951" t="inlineStr">
        <is>
          <t>PROTECTION SHIELD 34408054</t>
        </is>
      </c>
      <c r="F5951" t="inlineStr">
        <is>
          <t>ARAMCO SAUDI ARABIA</t>
        </is>
      </c>
      <c r="J5951" t="inlineStr">
        <is>
          <t>MASCELLINO</t>
        </is>
      </c>
      <c r="K5951" t="inlineStr">
        <is>
          <t>METAL</t>
        </is>
      </c>
      <c r="L5951">
        <f>_xlfn.XLOOKUP(Tableau1[[#This Row],[TYPE DE PIECE]],Tableau4[MATIERE],Tableau4[SHORT TYPE],"",0,1)</f>
        <v/>
      </c>
      <c r="N5951">
        <f>IF(ISERR(FIND("DECOUPE",Tableau1[[#This Row],[DESIGNATION]])),"","NEED REF")</f>
        <v/>
      </c>
    </row>
    <row r="5952">
      <c r="B5952" t="n">
        <v>34408053</v>
      </c>
      <c r="C5952" s="2" t="n">
        <v>43768</v>
      </c>
      <c r="D5952" t="inlineStr">
        <is>
          <t>SPEC</t>
        </is>
      </c>
      <c r="E5952" t="inlineStr">
        <is>
          <t>FIXE CABLES</t>
        </is>
      </c>
      <c r="F5952" t="inlineStr">
        <is>
          <t>AMSN MONACO</t>
        </is>
      </c>
      <c r="J5952" t="inlineStr">
        <is>
          <t>MASCELLINO</t>
        </is>
      </c>
      <c r="K5952" t="inlineStr">
        <is>
          <t>METAL</t>
        </is>
      </c>
      <c r="L5952">
        <f>_xlfn.XLOOKUP(Tableau1[[#This Row],[TYPE DE PIECE]],Tableau4[MATIERE],Tableau4[SHORT TYPE],"",0,1)</f>
        <v/>
      </c>
      <c r="N5952">
        <f>IF(ISERR(FIND("DECOUPE",Tableau1[[#This Row],[DESIGNATION]])),"","NEED REF")</f>
        <v/>
      </c>
    </row>
    <row r="5953">
      <c r="B5953" t="n">
        <v>34408052</v>
      </c>
      <c r="C5953" s="2" t="n">
        <v>43767</v>
      </c>
      <c r="D5953" t="inlineStr">
        <is>
          <t>SPEC</t>
        </is>
      </c>
      <c r="E5953" t="inlineStr">
        <is>
          <t>PLASTRON</t>
        </is>
      </c>
      <c r="F5953" t="inlineStr">
        <is>
          <t xml:space="preserve">REGEN BOX  </t>
        </is>
      </c>
      <c r="J5953" t="inlineStr">
        <is>
          <t>MASCELLINO</t>
        </is>
      </c>
      <c r="K5953" t="inlineStr">
        <is>
          <t>METAL</t>
        </is>
      </c>
      <c r="L5953">
        <f>_xlfn.XLOOKUP(Tableau1[[#This Row],[TYPE DE PIECE]],Tableau4[MATIERE],Tableau4[SHORT TYPE],"",0,1)</f>
        <v/>
      </c>
      <c r="N5953">
        <f>IF(ISERR(FIND("DECOUPE",Tableau1[[#This Row],[DESIGNATION]])),"","NEED REF")</f>
        <v/>
      </c>
    </row>
    <row r="5954">
      <c r="B5954" t="n">
        <v>34408051</v>
      </c>
      <c r="C5954" s="2" t="n">
        <v>43767</v>
      </c>
      <c r="D5954" t="inlineStr">
        <is>
          <t>SPEC</t>
        </is>
      </c>
      <c r="E5954" t="inlineStr">
        <is>
          <t>SUPPORT BAS PLASTRON</t>
        </is>
      </c>
      <c r="F5954" t="inlineStr">
        <is>
          <t xml:space="preserve">REGEN BOX  </t>
        </is>
      </c>
      <c r="J5954" t="inlineStr">
        <is>
          <t>MASCELLINO</t>
        </is>
      </c>
      <c r="K5954" t="inlineStr">
        <is>
          <t>METAL</t>
        </is>
      </c>
      <c r="L5954">
        <f>_xlfn.XLOOKUP(Tableau1[[#This Row],[TYPE DE PIECE]],Tableau4[MATIERE],Tableau4[SHORT TYPE],"",0,1)</f>
        <v/>
      </c>
      <c r="N5954">
        <f>IF(ISERR(FIND("DECOUPE",Tableau1[[#This Row],[DESIGNATION]])),"","NEED REF")</f>
        <v/>
      </c>
    </row>
    <row r="5955">
      <c r="B5955" t="n">
        <v>34408050</v>
      </c>
      <c r="C5955" s="2" t="n">
        <v>43767</v>
      </c>
      <c r="D5955" t="inlineStr">
        <is>
          <t>SPEC</t>
        </is>
      </c>
      <c r="E5955" t="inlineStr">
        <is>
          <t>SUPPORT DROIT PLASTRON</t>
        </is>
      </c>
      <c r="F5955" t="inlineStr">
        <is>
          <t xml:space="preserve">REGEN BOX  </t>
        </is>
      </c>
      <c r="J5955" t="inlineStr">
        <is>
          <t>MASCELLINO</t>
        </is>
      </c>
      <c r="K5955" t="inlineStr">
        <is>
          <t>METAL</t>
        </is>
      </c>
      <c r="L5955">
        <f>_xlfn.XLOOKUP(Tableau1[[#This Row],[TYPE DE PIECE]],Tableau4[MATIERE],Tableau4[SHORT TYPE],"",0,1)</f>
        <v/>
      </c>
      <c r="N5955">
        <f>IF(ISERR(FIND("DECOUPE",Tableau1[[#This Row],[DESIGNATION]])),"","NEED REF")</f>
        <v/>
      </c>
    </row>
    <row r="5956">
      <c r="B5956" t="n">
        <v>34408049</v>
      </c>
      <c r="C5956" s="2" t="n">
        <v>43767</v>
      </c>
      <c r="D5956" t="inlineStr">
        <is>
          <t>SPEC</t>
        </is>
      </c>
      <c r="E5956" t="inlineStr">
        <is>
          <t>SUPPORT GAUCHE PLASTRON</t>
        </is>
      </c>
      <c r="F5956" t="inlineStr">
        <is>
          <t xml:space="preserve">REGEN BOX  </t>
        </is>
      </c>
      <c r="J5956" t="inlineStr">
        <is>
          <t>MASCELLINO</t>
        </is>
      </c>
      <c r="K5956" t="inlineStr">
        <is>
          <t>METAL</t>
        </is>
      </c>
      <c r="L5956">
        <f>_xlfn.XLOOKUP(Tableau1[[#This Row],[TYPE DE PIECE]],Tableau4[MATIERE],Tableau4[SHORT TYPE],"",0,1)</f>
        <v/>
      </c>
      <c r="N5956">
        <f>IF(ISERR(FIND("DECOUPE",Tableau1[[#This Row],[DESIGNATION]])),"","NEED REF")</f>
        <v/>
      </c>
    </row>
    <row r="5957">
      <c r="B5957" t="n">
        <v>34408048</v>
      </c>
      <c r="C5957" s="2" t="n">
        <v>43766</v>
      </c>
      <c r="D5957" t="inlineStr">
        <is>
          <t>SPEC</t>
        </is>
      </c>
      <c r="E5957" t="inlineStr">
        <is>
          <t>PLASTRON</t>
        </is>
      </c>
      <c r="F5957" t="inlineStr">
        <is>
          <t>HARALDSPLASS</t>
        </is>
      </c>
      <c r="J5957" t="inlineStr">
        <is>
          <t>MASCELLINO</t>
        </is>
      </c>
      <c r="K5957" t="inlineStr">
        <is>
          <t>METAL</t>
        </is>
      </c>
      <c r="L5957">
        <f>_xlfn.XLOOKUP(Tableau1[[#This Row],[TYPE DE PIECE]],Tableau4[MATIERE],Tableau4[SHORT TYPE],"",0,1)</f>
        <v/>
      </c>
      <c r="N5957">
        <f>IF(ISERR(FIND("DECOUPE",Tableau1[[#This Row],[DESIGNATION]])),"","NEED REF")</f>
        <v/>
      </c>
    </row>
    <row r="5958">
      <c r="B5958" t="n">
        <v>34408047</v>
      </c>
      <c r="C5958" s="2" t="n">
        <v>43763</v>
      </c>
      <c r="D5958" t="inlineStr">
        <is>
          <t>SPEC</t>
        </is>
      </c>
      <c r="E5958" t="inlineStr">
        <is>
          <t>SMT SUPPORT IC60</t>
        </is>
      </c>
      <c r="F5958" t="inlineStr">
        <is>
          <t>HARALDSPLASS</t>
        </is>
      </c>
      <c r="J5958" t="inlineStr">
        <is>
          <t>MASCELLINO</t>
        </is>
      </c>
      <c r="K5958" t="inlineStr">
        <is>
          <t>METAL</t>
        </is>
      </c>
      <c r="L5958">
        <f>_xlfn.XLOOKUP(Tableau1[[#This Row],[TYPE DE PIECE]],Tableau4[MATIERE],Tableau4[SHORT TYPE],"",0,1)</f>
        <v/>
      </c>
      <c r="N5958">
        <f>IF(ISERR(FIND("DECOUPE",Tableau1[[#This Row],[DESIGNATION]])),"","NEED REF")</f>
        <v/>
      </c>
    </row>
    <row r="5959">
      <c r="B5959" t="n">
        <v>34408046</v>
      </c>
      <c r="C5959" s="2" t="n">
        <v>43763</v>
      </c>
      <c r="D5959" t="inlineStr">
        <is>
          <t>SPEC</t>
        </is>
      </c>
      <c r="E5959" t="inlineStr">
        <is>
          <t>SMT PLATINE DE FOND</t>
        </is>
      </c>
      <c r="F5959" t="inlineStr">
        <is>
          <t>HARALDSPLASS</t>
        </is>
      </c>
      <c r="J5959" t="inlineStr">
        <is>
          <t>MASCELLINO</t>
        </is>
      </c>
      <c r="K5959" t="inlineStr">
        <is>
          <t>METAL</t>
        </is>
      </c>
      <c r="L5959">
        <f>_xlfn.XLOOKUP(Tableau1[[#This Row],[TYPE DE PIECE]],Tableau4[MATIERE],Tableau4[SHORT TYPE],"",0,1)</f>
        <v/>
      </c>
      <c r="N5959">
        <f>IF(ISERR(FIND("DECOUPE",Tableau1[[#This Row],[DESIGNATION]])),"","NEED REF")</f>
        <v/>
      </c>
    </row>
    <row r="5960">
      <c r="B5960" t="n">
        <v>34408045</v>
      </c>
      <c r="C5960" s="2" t="n">
        <v>43762</v>
      </c>
      <c r="D5960" t="inlineStr">
        <is>
          <t>SPEC</t>
        </is>
      </c>
      <c r="E5960" t="inlineStr">
        <is>
          <t>Rail DIN 115</t>
        </is>
      </c>
      <c r="F5960" t="inlineStr">
        <is>
          <t>HARALDSPLASS</t>
        </is>
      </c>
      <c r="J5960" t="inlineStr">
        <is>
          <t>MASCELLINO</t>
        </is>
      </c>
      <c r="K5960" t="inlineStr">
        <is>
          <t>METAL</t>
        </is>
      </c>
      <c r="L5960">
        <f>_xlfn.XLOOKUP(Tableau1[[#This Row],[TYPE DE PIECE]],Tableau4[MATIERE],Tableau4[SHORT TYPE],"",0,1)</f>
        <v/>
      </c>
      <c r="N5960">
        <f>IF(ISERR(FIND("DECOUPE",Tableau1[[#This Row],[DESIGNATION]])),"","NEED REF")</f>
        <v/>
      </c>
    </row>
    <row r="5961">
      <c r="B5961" t="n">
        <v>34408044</v>
      </c>
      <c r="C5961" s="2" t="n">
        <v>43760</v>
      </c>
      <c r="D5961" t="inlineStr">
        <is>
          <t>SPEC</t>
        </is>
      </c>
      <c r="E5961" t="inlineStr">
        <is>
          <t>SMT PLASTRON PRINCIPAL</t>
        </is>
      </c>
      <c r="F5961" t="inlineStr">
        <is>
          <t>REGEN BOX 125A</t>
        </is>
      </c>
      <c r="J5961" t="inlineStr">
        <is>
          <t>MASCELLINO</t>
        </is>
      </c>
      <c r="L5961">
        <f>_xlfn.XLOOKUP(Tableau1[[#This Row],[TYPE DE PIECE]],Tableau4[MATIERE],Tableau4[SHORT TYPE],"",0,1)</f>
        <v/>
      </c>
      <c r="N5961">
        <f>IF(ISERR(FIND("DECOUPE",Tableau1[[#This Row],[DESIGNATION]])),"","NEED REF")</f>
        <v/>
      </c>
    </row>
    <row r="5962">
      <c r="B5962" t="n">
        <v>34408043</v>
      </c>
      <c r="C5962" s="2" t="n">
        <v>43760</v>
      </c>
      <c r="D5962" t="inlineStr">
        <is>
          <t>SPEC</t>
        </is>
      </c>
      <c r="E5962" t="inlineStr">
        <is>
          <t>SMT SUPPORT IC</t>
        </is>
      </c>
      <c r="F5962" t="inlineStr">
        <is>
          <t>REGEN BOX 125A</t>
        </is>
      </c>
      <c r="J5962" t="inlineStr">
        <is>
          <t>MASCELLINO</t>
        </is>
      </c>
      <c r="L5962">
        <f>_xlfn.XLOOKUP(Tableau1[[#This Row],[TYPE DE PIECE]],Tableau4[MATIERE],Tableau4[SHORT TYPE],"",0,1)</f>
        <v/>
      </c>
      <c r="N5962">
        <f>IF(ISERR(FIND("DECOUPE",Tableau1[[#This Row],[DESIGNATION]])),"","NEED REF")</f>
        <v/>
      </c>
    </row>
    <row r="5963">
      <c r="B5963" t="n">
        <v>34408042</v>
      </c>
      <c r="C5963" s="2" t="n">
        <v>43759</v>
      </c>
      <c r="D5963" t="inlineStr">
        <is>
          <t>SPEC</t>
        </is>
      </c>
      <c r="E5963" t="inlineStr">
        <is>
          <t>SURTOIT IP21 EASY UPS-RAL9003</t>
        </is>
      </c>
      <c r="F5963" t="inlineStr">
        <is>
          <t>EASY UPS 10-40kVA High Tower</t>
        </is>
      </c>
      <c r="J5963" t="inlineStr">
        <is>
          <t>MASCELLINO</t>
        </is>
      </c>
      <c r="K5963" t="inlineStr">
        <is>
          <t>METAL</t>
        </is>
      </c>
      <c r="L5963">
        <f>_xlfn.XLOOKUP(Tableau1[[#This Row],[TYPE DE PIECE]],Tableau4[MATIERE],Tableau4[SHORT TYPE],"",0,1)</f>
        <v/>
      </c>
      <c r="N5963">
        <f>IF(ISERR(FIND("DECOUPE",Tableau1[[#This Row],[DESIGNATION]])),"","NEED REF")</f>
        <v/>
      </c>
    </row>
    <row r="5964">
      <c r="B5964" t="n">
        <v>34408041</v>
      </c>
      <c r="C5964" s="2" t="n">
        <v>43755</v>
      </c>
      <c r="D5964" t="inlineStr">
        <is>
          <t>SPEC</t>
        </is>
      </c>
      <c r="E5964" t="inlineStr">
        <is>
          <t>SMT INTERNAL FV SMT GVX ROOF MOUNTING OF THE I-O</t>
        </is>
      </c>
      <c r="F5964" t="inlineStr">
        <is>
          <t>PX MONITORING</t>
        </is>
      </c>
      <c r="J5964" t="inlineStr">
        <is>
          <t>MASCELLINO</t>
        </is>
      </c>
      <c r="K5964" t="inlineStr">
        <is>
          <t>METAL</t>
        </is>
      </c>
      <c r="L5964">
        <f>_xlfn.XLOOKUP(Tableau1[[#This Row],[TYPE DE PIECE]],Tableau4[MATIERE],Tableau4[SHORT TYPE],"",0,1)</f>
        <v/>
      </c>
      <c r="N5964">
        <f>IF(ISERR(FIND("DECOUPE",Tableau1[[#This Row],[DESIGNATION]])),"","NEED REF")</f>
        <v/>
      </c>
    </row>
    <row r="5965">
      <c r="B5965" t="n">
        <v>34408040</v>
      </c>
      <c r="C5965" s="2" t="n">
        <v>43752</v>
      </c>
      <c r="D5965" t="inlineStr">
        <is>
          <t>SPEC</t>
        </is>
      </c>
      <c r="E5965" t="inlineStr">
        <is>
          <t>Kit filerie coffret BP Easy UPS 3S 3:3</t>
        </is>
      </c>
      <c r="F5965" t="inlineStr">
        <is>
          <t>Easy UPS 3S 3:3 / 676036882 - AMSN MONACO</t>
        </is>
      </c>
      <c r="J5965" t="inlineStr">
        <is>
          <t>PILLON</t>
        </is>
      </c>
      <c r="K5965" t="inlineStr">
        <is>
          <t>CUIVRE</t>
        </is>
      </c>
      <c r="L5965">
        <f>_xlfn.XLOOKUP(Tableau1[[#This Row],[TYPE DE PIECE]],Tableau4[MATIERE],Tableau4[SHORT TYPE],"",0,1)</f>
        <v/>
      </c>
      <c r="N5965">
        <f>IF(ISERR(FIND("DECOUPE",Tableau1[[#This Row],[DESIGNATION]])),"","NEED REF")</f>
        <v/>
      </c>
    </row>
    <row r="5966">
      <c r="B5966" t="n">
        <v>34408039</v>
      </c>
      <c r="C5966" s="2" t="n">
        <v>43745</v>
      </c>
      <c r="D5966" t="inlineStr">
        <is>
          <t>SPEC</t>
        </is>
      </c>
      <c r="E5966" t="inlineStr">
        <is>
          <t>RESERVE</t>
        </is>
      </c>
      <c r="F5966" t="inlineStr">
        <is>
          <t>GVS BYPASS</t>
        </is>
      </c>
      <c r="J5966" t="inlineStr">
        <is>
          <t>MATRION</t>
        </is>
      </c>
      <c r="L5966">
        <f>_xlfn.XLOOKUP(Tableau1[[#This Row],[TYPE DE PIECE]],Tableau4[MATIERE],Tableau4[SHORT TYPE],"",0,1)</f>
        <v/>
      </c>
      <c r="N5966">
        <f>IF(ISERR(FIND("DECOUPE",Tableau1[[#This Row],[DESIGNATION]])),"","NEED REF")</f>
        <v/>
      </c>
    </row>
    <row r="5967">
      <c r="B5967" t="n">
        <v>34408038</v>
      </c>
      <c r="C5967" s="2" t="n">
        <v>43745</v>
      </c>
      <c r="D5967" t="inlineStr">
        <is>
          <t>SPEC</t>
        </is>
      </c>
      <c r="E5967" t="inlineStr">
        <is>
          <t>SMT SUPPORT AUTOMATISME UA/BA</t>
        </is>
      </c>
      <c r="F5967" t="inlineStr">
        <is>
          <t>GVS BYPASS</t>
        </is>
      </c>
      <c r="J5967" t="inlineStr">
        <is>
          <t>MATRION</t>
        </is>
      </c>
      <c r="L5967">
        <f>_xlfn.XLOOKUP(Tableau1[[#This Row],[TYPE DE PIECE]],Tableau4[MATIERE],Tableau4[SHORT TYPE],"",0,1)</f>
        <v/>
      </c>
      <c r="N5967">
        <f>IF(ISERR(FIND("DECOUPE",Tableau1[[#This Row],[DESIGNATION]])),"","NEED REF")</f>
        <v/>
      </c>
    </row>
    <row r="5968">
      <c r="B5968" t="n">
        <v>34408037</v>
      </c>
      <c r="C5968" s="2" t="n">
        <v>43745</v>
      </c>
      <c r="D5968" t="inlineStr">
        <is>
          <t>SPEC</t>
        </is>
      </c>
      <c r="E5968" t="inlineStr">
        <is>
          <t>RESERVE</t>
        </is>
      </c>
      <c r="F5968" t="inlineStr">
        <is>
          <t>GVS BYPASS</t>
        </is>
      </c>
      <c r="J5968" t="inlineStr">
        <is>
          <t>MATRION</t>
        </is>
      </c>
      <c r="L5968">
        <f>_xlfn.XLOOKUP(Tableau1[[#This Row],[TYPE DE PIECE]],Tableau4[MATIERE],Tableau4[SHORT TYPE],"",0,1)</f>
        <v/>
      </c>
      <c r="N5968">
        <f>IF(ISERR(FIND("DECOUPE",Tableau1[[#This Row],[DESIGNATION]])),"","NEED REF")</f>
        <v/>
      </c>
    </row>
    <row r="5969">
      <c r="B5969" t="n">
        <v>34408036</v>
      </c>
      <c r="C5969" s="2" t="n">
        <v>43745</v>
      </c>
      <c r="D5969" t="inlineStr">
        <is>
          <t>SPEC</t>
        </is>
      </c>
      <c r="E5969" t="inlineStr">
        <is>
          <t>SMT SUPPORT BORNIER</t>
        </is>
      </c>
      <c r="F5969" t="inlineStr">
        <is>
          <t>GVS BYPASS</t>
        </is>
      </c>
      <c r="J5969" t="inlineStr">
        <is>
          <t>MATRION</t>
        </is>
      </c>
      <c r="L5969">
        <f>_xlfn.XLOOKUP(Tableau1[[#This Row],[TYPE DE PIECE]],Tableau4[MATIERE],Tableau4[SHORT TYPE],"",0,1)</f>
        <v/>
      </c>
      <c r="N5969">
        <f>IF(ISERR(FIND("DECOUPE",Tableau1[[#This Row],[DESIGNATION]])),"","NEED REF")</f>
        <v/>
      </c>
    </row>
    <row r="5970">
      <c r="B5970" t="n">
        <v>34408035</v>
      </c>
      <c r="C5970" s="2" t="n">
        <v>43749</v>
      </c>
      <c r="D5970" t="inlineStr">
        <is>
          <t>SPEC</t>
        </is>
      </c>
      <c r="E5970" t="inlineStr">
        <is>
          <t>OUTIL DE FORME</t>
        </is>
      </c>
      <c r="F5970" t="inlineStr">
        <is>
          <t>GLAXO</t>
        </is>
      </c>
      <c r="J5970" t="inlineStr">
        <is>
          <t>MASCELLINO</t>
        </is>
      </c>
      <c r="L5970">
        <f>_xlfn.XLOOKUP(Tableau1[[#This Row],[TYPE DE PIECE]],Tableau4[MATIERE],Tableau4[SHORT TYPE],"",0,1)</f>
        <v/>
      </c>
      <c r="N5970">
        <f>IF(ISERR(FIND("DECOUPE",Tableau1[[#This Row],[DESIGNATION]])),"","NEED REF")</f>
        <v/>
      </c>
    </row>
    <row r="5971">
      <c r="B5971" t="n">
        <v>34408034</v>
      </c>
      <c r="C5971" s="2" t="n">
        <v>43749</v>
      </c>
      <c r="D5971" t="inlineStr">
        <is>
          <t>SPEC</t>
        </is>
      </c>
      <c r="E5971" t="inlineStr">
        <is>
          <t>EQUERRE ARMOIRE REVERSIBLE</t>
        </is>
      </c>
      <c r="F5971" t="inlineStr">
        <is>
          <t>GLAXO</t>
        </is>
      </c>
      <c r="J5971" t="inlineStr">
        <is>
          <t>MASCELLINO</t>
        </is>
      </c>
      <c r="L5971">
        <f>_xlfn.XLOOKUP(Tableau1[[#This Row],[TYPE DE PIECE]],Tableau4[MATIERE],Tableau4[SHORT TYPE],"",0,1)</f>
        <v/>
      </c>
      <c r="N5971">
        <f>IF(ISERR(FIND("DECOUPE",Tableau1[[#This Row],[DESIGNATION]])),"","NEED REF")</f>
        <v/>
      </c>
    </row>
    <row r="5972">
      <c r="B5972" t="n">
        <v>34408033</v>
      </c>
      <c r="C5972" s="2" t="n">
        <v>43749</v>
      </c>
      <c r="D5972" t="inlineStr">
        <is>
          <t>SPEC</t>
        </is>
      </c>
      <c r="E5972" t="inlineStr">
        <is>
          <t>AC FAN 225x225x80</t>
        </is>
      </c>
      <c r="J5972" t="inlineStr">
        <is>
          <t>MASCELLINO</t>
        </is>
      </c>
      <c r="L5972">
        <f>_xlfn.XLOOKUP(Tableau1[[#This Row],[TYPE DE PIECE]],Tableau4[MATIERE],Tableau4[SHORT TYPE],"",0,1)</f>
        <v/>
      </c>
      <c r="N5972">
        <f>IF(ISERR(FIND("DECOUPE",Tableau1[[#This Row],[DESIGNATION]])),"","NEED REF")</f>
        <v/>
      </c>
    </row>
    <row r="5973">
      <c r="B5973" t="n">
        <v>34408032</v>
      </c>
      <c r="C5973" s="2" t="n">
        <v>43749</v>
      </c>
      <c r="D5973" t="inlineStr">
        <is>
          <t>SPEC</t>
        </is>
      </c>
      <c r="E5973" t="inlineStr">
        <is>
          <t>TOIT VENTILE ARM G5K-G7K L=1012</t>
        </is>
      </c>
      <c r="F5973" t="inlineStr">
        <is>
          <t>GLAXO</t>
        </is>
      </c>
      <c r="J5973" t="inlineStr">
        <is>
          <t>MASCELLINO</t>
        </is>
      </c>
      <c r="L5973">
        <f>_xlfn.XLOOKUP(Tableau1[[#This Row],[TYPE DE PIECE]],Tableau4[MATIERE],Tableau4[SHORT TYPE],"",0,1)</f>
        <v/>
      </c>
      <c r="N5973">
        <f>IF(ISERR(FIND("DECOUPE",Tableau1[[#This Row],[DESIGNATION]])),"","NEED REF")</f>
        <v/>
      </c>
    </row>
    <row r="5974">
      <c r="B5974" t="n">
        <v>34408031</v>
      </c>
      <c r="C5974" s="2" t="n">
        <v>43748</v>
      </c>
      <c r="D5974" t="inlineStr">
        <is>
          <t>SPEC</t>
        </is>
      </c>
      <c r="E5974" t="inlineStr">
        <is>
          <t>PLASTRON INF250 sans commande rotative</t>
        </is>
      </c>
      <c r="F5974" t="inlineStr">
        <is>
          <t>ARMOIRE FUPACT</t>
        </is>
      </c>
      <c r="J5974" t="inlineStr">
        <is>
          <t>MASCELLINO</t>
        </is>
      </c>
      <c r="L5974">
        <f>_xlfn.XLOOKUP(Tableau1[[#This Row],[TYPE DE PIECE]],Tableau4[MATIERE],Tableau4[SHORT TYPE],"",0,1)</f>
        <v/>
      </c>
      <c r="N5974">
        <f>IF(ISERR(FIND("DECOUPE",Tableau1[[#This Row],[DESIGNATION]])),"","NEED REF")</f>
        <v/>
      </c>
    </row>
    <row r="5975">
      <c r="B5975" t="n">
        <v>34408030</v>
      </c>
      <c r="C5975" s="2" t="n">
        <v>43748</v>
      </c>
      <c r="D5975" t="inlineStr">
        <is>
          <t>SPEC</t>
        </is>
      </c>
      <c r="E5975" t="inlineStr">
        <is>
          <t>SPACIAL SF 800 H1800+R100 SPECIFIQUE</t>
        </is>
      </c>
      <c r="F5975" t="inlineStr">
        <is>
          <t>ARMOIRE FUPACT</t>
        </is>
      </c>
      <c r="J5975" t="inlineStr">
        <is>
          <t>MASCELLINO</t>
        </is>
      </c>
      <c r="L5975">
        <f>_xlfn.XLOOKUP(Tableau1[[#This Row],[TYPE DE PIECE]],Tableau4[MATIERE],Tableau4[SHORT TYPE],"",0,1)</f>
        <v/>
      </c>
      <c r="N5975">
        <f>IF(ISERR(FIND("DECOUPE",Tableau1[[#This Row],[DESIGNATION]])),"","NEED REF")</f>
        <v/>
      </c>
    </row>
    <row r="5976">
      <c r="B5976" t="n">
        <v>34408029</v>
      </c>
      <c r="C5976" s="2" t="n">
        <v>43748</v>
      </c>
      <c r="D5976" t="inlineStr">
        <is>
          <t>NOM</t>
        </is>
      </c>
      <c r="E5976" t="inlineStr">
        <is>
          <t>LEG VISSERIE I/O 1500 MICROSOFT ERSBO avec 2 TGAB SIEMENS</t>
        </is>
      </c>
      <c r="F5976" t="inlineStr">
        <is>
          <t>I/O GVX Microsoft ERSBO</t>
        </is>
      </c>
      <c r="J5976" t="inlineStr">
        <is>
          <t>MONGELLI</t>
        </is>
      </c>
      <c r="L5976">
        <f>_xlfn.XLOOKUP(Tableau1[[#This Row],[TYPE DE PIECE]],Tableau4[MATIERE],Tableau4[SHORT TYPE],"",0,1)</f>
        <v/>
      </c>
      <c r="N5976">
        <f>IF(ISERR(FIND("DECOUPE",Tableau1[[#This Row],[DESIGNATION]])),"","NEED REF")</f>
        <v/>
      </c>
    </row>
    <row r="5977">
      <c r="B5977" t="n">
        <v>34408028</v>
      </c>
      <c r="C5977" s="2" t="n">
        <v>43745</v>
      </c>
      <c r="D5977" t="inlineStr">
        <is>
          <t>SPEC</t>
        </is>
      </c>
      <c r="E5977" t="inlineStr">
        <is>
          <t>SMT PLASTRON COMPACT NS</t>
        </is>
      </c>
      <c r="F5977" t="inlineStr">
        <is>
          <t>GVS BYPASS</t>
        </is>
      </c>
      <c r="J5977" t="inlineStr">
        <is>
          <t>MATRION</t>
        </is>
      </c>
      <c r="L5977">
        <f>_xlfn.XLOOKUP(Tableau1[[#This Row],[TYPE DE PIECE]],Tableau4[MATIERE],Tableau4[SHORT TYPE],"",0,1)</f>
        <v/>
      </c>
      <c r="N5977">
        <f>IF(ISERR(FIND("DECOUPE",Tableau1[[#This Row],[DESIGNATION]])),"","NEED REF")</f>
        <v/>
      </c>
    </row>
    <row r="5978">
      <c r="B5978" t="n">
        <v>34408027</v>
      </c>
      <c r="C5978" s="2" t="n">
        <v>43745</v>
      </c>
      <c r="D5978" t="inlineStr">
        <is>
          <t>SPEC</t>
        </is>
      </c>
      <c r="E5978" t="inlineStr">
        <is>
          <t>SMT SUPPORT VOYANT</t>
        </is>
      </c>
      <c r="F5978" t="inlineStr">
        <is>
          <t>GVS BYPASS</t>
        </is>
      </c>
      <c r="J5978" t="inlineStr">
        <is>
          <t>MATRION</t>
        </is>
      </c>
      <c r="L5978">
        <f>_xlfn.XLOOKUP(Tableau1[[#This Row],[TYPE DE PIECE]],Tableau4[MATIERE],Tableau4[SHORT TYPE],"",0,1)</f>
        <v/>
      </c>
      <c r="N5978">
        <f>IF(ISERR(FIND("DECOUPE",Tableau1[[#This Row],[DESIGNATION]])),"","NEED REF")</f>
        <v/>
      </c>
    </row>
    <row r="5979">
      <c r="B5979" t="n">
        <v>34408026</v>
      </c>
      <c r="C5979" s="2" t="n">
        <v>43745</v>
      </c>
      <c r="D5979" t="inlineStr">
        <is>
          <t>SPEC</t>
        </is>
      </c>
      <c r="E5979" t="inlineStr">
        <is>
          <t>SMT SUPPORT LINERGY ARRIERE 3</t>
        </is>
      </c>
      <c r="F5979" t="inlineStr">
        <is>
          <t>GVS BYPASS</t>
        </is>
      </c>
      <c r="J5979" t="inlineStr">
        <is>
          <t>MATRION</t>
        </is>
      </c>
      <c r="L5979">
        <f>_xlfn.XLOOKUP(Tableau1[[#This Row],[TYPE DE PIECE]],Tableau4[MATIERE],Tableau4[SHORT TYPE],"",0,1)</f>
        <v/>
      </c>
      <c r="N5979">
        <f>IF(ISERR(FIND("DECOUPE",Tableau1[[#This Row],[DESIGNATION]])),"","NEED REF")</f>
        <v/>
      </c>
    </row>
    <row r="5980">
      <c r="B5980" t="n">
        <v>34408025</v>
      </c>
      <c r="C5980" s="2" t="n">
        <v>43745</v>
      </c>
      <c r="D5980" t="inlineStr">
        <is>
          <t>SPEC</t>
        </is>
      </c>
      <c r="E5980" t="inlineStr">
        <is>
          <t>RESERVE</t>
        </is>
      </c>
      <c r="F5980" t="inlineStr">
        <is>
          <t>GVS BYPASS</t>
        </is>
      </c>
      <c r="J5980" t="inlineStr">
        <is>
          <t>MATRION</t>
        </is>
      </c>
      <c r="L5980">
        <f>_xlfn.XLOOKUP(Tableau1[[#This Row],[TYPE DE PIECE]],Tableau4[MATIERE],Tableau4[SHORT TYPE],"",0,1)</f>
        <v/>
      </c>
      <c r="N5980">
        <f>IF(ISERR(FIND("DECOUPE",Tableau1[[#This Row],[DESIGNATION]])),"","NEED REF")</f>
        <v/>
      </c>
    </row>
    <row r="5981">
      <c r="B5981" t="n">
        <v>34408024</v>
      </c>
      <c r="C5981" s="2" t="n">
        <v>43745</v>
      </c>
      <c r="D5981" t="inlineStr">
        <is>
          <t>SPEC</t>
        </is>
      </c>
      <c r="E5981" t="inlineStr">
        <is>
          <t>SMT DECOUPE LINERGY 04564 1900MM</t>
        </is>
      </c>
      <c r="F5981" t="inlineStr">
        <is>
          <t>GVS BYPASS</t>
        </is>
      </c>
      <c r="J5981" t="inlineStr">
        <is>
          <t>MATRION</t>
        </is>
      </c>
      <c r="K5981" t="inlineStr">
        <is>
          <t>METAL</t>
        </is>
      </c>
      <c r="L5981">
        <f>_xlfn.XLOOKUP(Tableau1[[#This Row],[TYPE DE PIECE]],Tableau4[MATIERE],Tableau4[SHORT TYPE],"",0,1)</f>
        <v/>
      </c>
      <c r="N5981" t="inlineStr">
        <is>
          <t>LVS04564</t>
        </is>
      </c>
    </row>
    <row r="5982">
      <c r="B5982" t="n">
        <v>34408023</v>
      </c>
      <c r="C5982" s="2" t="n">
        <v>43745</v>
      </c>
      <c r="D5982" t="inlineStr">
        <is>
          <t>SPEC</t>
        </is>
      </c>
      <c r="E5982" t="inlineStr">
        <is>
          <t>SMT SUPPORT LINERGY ARRIERE 2</t>
        </is>
      </c>
      <c r="F5982" t="inlineStr">
        <is>
          <t>GVS BYPASS</t>
        </is>
      </c>
      <c r="J5982" t="inlineStr">
        <is>
          <t>MATRION</t>
        </is>
      </c>
      <c r="L5982">
        <f>_xlfn.XLOOKUP(Tableau1[[#This Row],[TYPE DE PIECE]],Tableau4[MATIERE],Tableau4[SHORT TYPE],"",0,1)</f>
        <v/>
      </c>
      <c r="N5982">
        <f>IF(ISERR(FIND("DECOUPE",Tableau1[[#This Row],[DESIGNATION]])),"","NEED REF")</f>
        <v/>
      </c>
    </row>
    <row r="5983">
      <c r="B5983" t="n">
        <v>34408022</v>
      </c>
      <c r="C5983" s="2" t="n">
        <v>43745</v>
      </c>
      <c r="D5983" t="inlineStr">
        <is>
          <t>SPEC</t>
        </is>
      </c>
      <c r="E5983" t="inlineStr">
        <is>
          <t>SMT SUPPORT LINERGY ARRIERE 1</t>
        </is>
      </c>
      <c r="F5983" t="inlineStr">
        <is>
          <t>GVS BYPASS</t>
        </is>
      </c>
      <c r="J5983" t="inlineStr">
        <is>
          <t>MATRION</t>
        </is>
      </c>
      <c r="L5983">
        <f>_xlfn.XLOOKUP(Tableau1[[#This Row],[TYPE DE PIECE]],Tableau4[MATIERE],Tableau4[SHORT TYPE],"",0,1)</f>
        <v/>
      </c>
      <c r="N5983">
        <f>IF(ISERR(FIND("DECOUPE",Tableau1[[#This Row],[DESIGNATION]])),"","NEED REF")</f>
        <v/>
      </c>
    </row>
    <row r="5984">
      <c r="B5984" t="n">
        <v>34408021</v>
      </c>
      <c r="C5984" s="2" t="n">
        <v>43745</v>
      </c>
      <c r="D5984" t="inlineStr">
        <is>
          <t>SPEC</t>
        </is>
      </c>
      <c r="E5984" t="inlineStr">
        <is>
          <t>SMT SUPPORT ISO ARRIERE</t>
        </is>
      </c>
      <c r="F5984" t="inlineStr">
        <is>
          <t>GVS BYPASS</t>
        </is>
      </c>
      <c r="J5984" t="inlineStr">
        <is>
          <t>MATRION</t>
        </is>
      </c>
      <c r="L5984">
        <f>_xlfn.XLOOKUP(Tableau1[[#This Row],[TYPE DE PIECE]],Tableau4[MATIERE],Tableau4[SHORT TYPE],"",0,1)</f>
        <v/>
      </c>
      <c r="N5984">
        <f>IF(ISERR(FIND("DECOUPE",Tableau1[[#This Row],[DESIGNATION]])),"","NEED REF")</f>
        <v/>
      </c>
    </row>
    <row r="5985">
      <c r="B5985" t="n">
        <v>34408020</v>
      </c>
      <c r="C5985" s="2" t="n">
        <v>43745</v>
      </c>
      <c r="D5985" t="inlineStr">
        <is>
          <t>SPEC</t>
        </is>
      </c>
      <c r="E5985" t="inlineStr">
        <is>
          <t>SMT SUPPORT BAS LINERGY</t>
        </is>
      </c>
      <c r="F5985" t="inlineStr">
        <is>
          <t>GVS BYPASS</t>
        </is>
      </c>
      <c r="J5985" t="inlineStr">
        <is>
          <t>MATRION</t>
        </is>
      </c>
      <c r="L5985">
        <f>_xlfn.XLOOKUP(Tableau1[[#This Row],[TYPE DE PIECE]],Tableau4[MATIERE],Tableau4[SHORT TYPE],"",0,1)</f>
        <v/>
      </c>
      <c r="N5985">
        <f>IF(ISERR(FIND("DECOUPE",Tableau1[[#This Row],[DESIGNATION]])),"","NEED REF")</f>
        <v/>
      </c>
    </row>
    <row r="5986">
      <c r="B5986" t="n">
        <v>34408019</v>
      </c>
      <c r="C5986" s="2" t="n">
        <v>43745</v>
      </c>
      <c r="D5986" t="inlineStr">
        <is>
          <t>SPEC</t>
        </is>
      </c>
      <c r="E5986" t="inlineStr">
        <is>
          <t>SMT SONDE SUPPORT BUSBAR UTIL</t>
        </is>
      </c>
      <c r="F5986" t="inlineStr">
        <is>
          <t>GVX IO 1500 FEED SIEMENS</t>
        </is>
      </c>
      <c r="J5986" t="inlineStr">
        <is>
          <t>MATRION</t>
        </is>
      </c>
      <c r="K5986" t="inlineStr">
        <is>
          <t>METAL</t>
        </is>
      </c>
      <c r="L5986">
        <f>_xlfn.XLOOKUP(Tableau1[[#This Row],[TYPE DE PIECE]],Tableau4[MATIERE],Tableau4[SHORT TYPE],"",0,1)</f>
        <v/>
      </c>
      <c r="N5986">
        <f>IF(ISERR(FIND("DECOUPE",Tableau1[[#This Row],[DESIGNATION]])),"","NEED REF")</f>
        <v/>
      </c>
    </row>
    <row r="5987">
      <c r="B5987" t="n">
        <v>34408018</v>
      </c>
      <c r="C5987" s="2" t="n">
        <v>43745</v>
      </c>
      <c r="D5987" t="inlineStr">
        <is>
          <t>SPEC</t>
        </is>
      </c>
      <c r="E5987" t="inlineStr">
        <is>
          <t>CADRE LATERAL POUR ARMOIRE G5K</t>
        </is>
      </c>
      <c r="J5987" t="inlineStr">
        <is>
          <t>MASCELLINO</t>
        </is>
      </c>
      <c r="K5987" t="inlineStr">
        <is>
          <t>INOX</t>
        </is>
      </c>
      <c r="L5987">
        <f>_xlfn.XLOOKUP(Tableau1[[#This Row],[TYPE DE PIECE]],Tableau4[MATIERE],Tableau4[SHORT TYPE],"",0,1)</f>
        <v/>
      </c>
      <c r="N5987">
        <f>IF(ISERR(FIND("DECOUPE",Tableau1[[#This Row],[DESIGNATION]])),"","NEED REF")</f>
        <v/>
      </c>
    </row>
    <row r="5988">
      <c r="B5988" t="n">
        <v>34408017</v>
      </c>
      <c r="C5988" s="2" t="n">
        <v>43745</v>
      </c>
      <c r="D5988" t="inlineStr">
        <is>
          <t>SPEC</t>
        </is>
      </c>
      <c r="E5988" t="inlineStr">
        <is>
          <t>CROISILLON ARRIERE ARM G5K L=1010</t>
        </is>
      </c>
      <c r="J5988" t="inlineStr">
        <is>
          <t>MASCELLINO</t>
        </is>
      </c>
      <c r="K5988" t="inlineStr">
        <is>
          <t>INOX</t>
        </is>
      </c>
      <c r="L5988">
        <f>_xlfn.XLOOKUP(Tableau1[[#This Row],[TYPE DE PIECE]],Tableau4[MATIERE],Tableau4[SHORT TYPE],"",0,1)</f>
        <v/>
      </c>
      <c r="N5988">
        <f>IF(ISERR(FIND("DECOUPE",Tableau1[[#This Row],[DESIGNATION]])),"","NEED REF")</f>
        <v/>
      </c>
    </row>
    <row r="5989">
      <c r="B5989" t="n">
        <v>34408016</v>
      </c>
      <c r="C5989" s="2" t="n">
        <v>43745</v>
      </c>
      <c r="D5989" t="inlineStr">
        <is>
          <t>SPEC</t>
        </is>
      </c>
      <c r="E5989" t="inlineStr">
        <is>
          <t>SUPPORT BOBINAGE ARM G5K L = 1010</t>
        </is>
      </c>
      <c r="J5989" t="inlineStr">
        <is>
          <t>MASCELLINO</t>
        </is>
      </c>
      <c r="K5989" t="inlineStr">
        <is>
          <t>INOX</t>
        </is>
      </c>
      <c r="L5989">
        <f>_xlfn.XLOOKUP(Tableau1[[#This Row],[TYPE DE PIECE]],Tableau4[MATIERE],Tableau4[SHORT TYPE],"",0,1)</f>
        <v/>
      </c>
      <c r="N5989">
        <f>IF(ISERR(FIND("DECOUPE",Tableau1[[#This Row],[DESIGNATION]])),"","NEED REF")</f>
        <v/>
      </c>
    </row>
    <row r="5990">
      <c r="B5990" t="n">
        <v>34408015</v>
      </c>
      <c r="C5990" s="2" t="n">
        <v>43742</v>
      </c>
      <c r="D5990" t="inlineStr">
        <is>
          <t>SPEC</t>
        </is>
      </c>
      <c r="E5990" t="inlineStr">
        <is>
          <t>COP COMPACT NS LIAISON ARRIERE 8</t>
        </is>
      </c>
      <c r="F5990" t="inlineStr">
        <is>
          <t>GVS BYPASS</t>
        </is>
      </c>
      <c r="J5990" t="inlineStr">
        <is>
          <t>MATRION</t>
        </is>
      </c>
      <c r="K5990" t="inlineStr">
        <is>
          <t>CUIVRE</t>
        </is>
      </c>
      <c r="L5990">
        <f>_xlfn.XLOOKUP(Tableau1[[#This Row],[TYPE DE PIECE]],Tableau4[MATIERE],Tableau4[SHORT TYPE],"",0,1)</f>
        <v/>
      </c>
      <c r="N5990">
        <f>IF(ISERR(FIND("DECOUPE",Tableau1[[#This Row],[DESIGNATION]])),"","NEED REF")</f>
        <v/>
      </c>
    </row>
    <row r="5991">
      <c r="B5991" t="n">
        <v>34408014</v>
      </c>
      <c r="C5991" s="2" t="n">
        <v>43742</v>
      </c>
      <c r="D5991" t="inlineStr">
        <is>
          <t>SPEC</t>
        </is>
      </c>
      <c r="E5991" t="inlineStr">
        <is>
          <t>COP COMPACT NS LIAISON ARRIERE 7</t>
        </is>
      </c>
      <c r="F5991" t="inlineStr">
        <is>
          <t>GVS BYPASS</t>
        </is>
      </c>
      <c r="J5991" t="inlineStr">
        <is>
          <t>MATRION</t>
        </is>
      </c>
      <c r="K5991" t="inlineStr">
        <is>
          <t>CUIVRE</t>
        </is>
      </c>
      <c r="L5991">
        <f>_xlfn.XLOOKUP(Tableau1[[#This Row],[TYPE DE PIECE]],Tableau4[MATIERE],Tableau4[SHORT TYPE],"",0,1)</f>
        <v/>
      </c>
      <c r="N5991">
        <f>IF(ISERR(FIND("DECOUPE",Tableau1[[#This Row],[DESIGNATION]])),"","NEED REF")</f>
        <v/>
      </c>
    </row>
    <row r="5992">
      <c r="B5992" t="n">
        <v>34408013</v>
      </c>
      <c r="C5992" s="2" t="n">
        <v>43742</v>
      </c>
      <c r="D5992" t="inlineStr">
        <is>
          <t>SPEC</t>
        </is>
      </c>
      <c r="E5992" t="inlineStr">
        <is>
          <t>COP COMPACT NS LIAISON ARRIERE 6</t>
        </is>
      </c>
      <c r="F5992" t="inlineStr">
        <is>
          <t>GVS BYPASS</t>
        </is>
      </c>
      <c r="J5992" t="inlineStr">
        <is>
          <t>MATRION</t>
        </is>
      </c>
      <c r="K5992" t="inlineStr">
        <is>
          <t>CUIVRE</t>
        </is>
      </c>
      <c r="L5992">
        <f>_xlfn.XLOOKUP(Tableau1[[#This Row],[TYPE DE PIECE]],Tableau4[MATIERE],Tableau4[SHORT TYPE],"",0,1)</f>
        <v/>
      </c>
      <c r="N5992">
        <f>IF(ISERR(FIND("DECOUPE",Tableau1[[#This Row],[DESIGNATION]])),"","NEED REF")</f>
        <v/>
      </c>
    </row>
    <row r="5993">
      <c r="B5993" t="n">
        <v>34408012</v>
      </c>
      <c r="C5993" s="2" t="n">
        <v>43742</v>
      </c>
      <c r="D5993" t="inlineStr">
        <is>
          <t>SPEC</t>
        </is>
      </c>
      <c r="E5993" t="inlineStr">
        <is>
          <t>COP COMPACT NS LIAISON ARRIERE 5</t>
        </is>
      </c>
      <c r="F5993" t="inlineStr">
        <is>
          <t>GVS BYPASS</t>
        </is>
      </c>
      <c r="J5993" t="inlineStr">
        <is>
          <t>MATRION</t>
        </is>
      </c>
      <c r="K5993" t="inlineStr">
        <is>
          <t>CUIVRE</t>
        </is>
      </c>
      <c r="L5993">
        <f>_xlfn.XLOOKUP(Tableau1[[#This Row],[TYPE DE PIECE]],Tableau4[MATIERE],Tableau4[SHORT TYPE],"",0,1)</f>
        <v/>
      </c>
      <c r="N5993">
        <f>IF(ISERR(FIND("DECOUPE",Tableau1[[#This Row],[DESIGNATION]])),"","NEED REF")</f>
        <v/>
      </c>
    </row>
    <row r="5994">
      <c r="B5994" t="n">
        <v>34408011</v>
      </c>
      <c r="C5994" s="2" t="n">
        <v>43742</v>
      </c>
      <c r="D5994" t="inlineStr">
        <is>
          <t>SPEC</t>
        </is>
      </c>
      <c r="E5994" t="inlineStr">
        <is>
          <t>COP COMPACT NS LIAISON ARRIERE 4</t>
        </is>
      </c>
      <c r="F5994" t="inlineStr">
        <is>
          <t>GVS BYPASS</t>
        </is>
      </c>
      <c r="J5994" t="inlineStr">
        <is>
          <t>MATRION</t>
        </is>
      </c>
      <c r="K5994" t="inlineStr">
        <is>
          <t>CUIVRE</t>
        </is>
      </c>
      <c r="L5994">
        <f>_xlfn.XLOOKUP(Tableau1[[#This Row],[TYPE DE PIECE]],Tableau4[MATIERE],Tableau4[SHORT TYPE],"",0,1)</f>
        <v/>
      </c>
      <c r="N5994">
        <f>IF(ISERR(FIND("DECOUPE",Tableau1[[#This Row],[DESIGNATION]])),"","NEED REF")</f>
        <v/>
      </c>
    </row>
    <row r="5995">
      <c r="B5995" t="n">
        <v>34408010</v>
      </c>
      <c r="C5995" s="2" t="n">
        <v>43742</v>
      </c>
      <c r="D5995" t="inlineStr">
        <is>
          <t>SPEC</t>
        </is>
      </c>
      <c r="E5995" t="inlineStr">
        <is>
          <t>COP COMPACT NS LIAISON ARRIERE 3</t>
        </is>
      </c>
      <c r="F5995" t="inlineStr">
        <is>
          <t>GVS BYPASS</t>
        </is>
      </c>
      <c r="J5995" t="inlineStr">
        <is>
          <t>MATRION</t>
        </is>
      </c>
      <c r="K5995" t="inlineStr">
        <is>
          <t>CUIVRE</t>
        </is>
      </c>
      <c r="L5995">
        <f>_xlfn.XLOOKUP(Tableau1[[#This Row],[TYPE DE PIECE]],Tableau4[MATIERE],Tableau4[SHORT TYPE],"",0,1)</f>
        <v/>
      </c>
      <c r="N5995">
        <f>IF(ISERR(FIND("DECOUPE",Tableau1[[#This Row],[DESIGNATION]])),"","NEED REF")</f>
        <v/>
      </c>
    </row>
    <row r="5996">
      <c r="B5996" t="n">
        <v>34408009</v>
      </c>
      <c r="C5996" s="2" t="n">
        <v>43742</v>
      </c>
      <c r="D5996" t="inlineStr">
        <is>
          <t>SPEC</t>
        </is>
      </c>
      <c r="E5996" t="inlineStr">
        <is>
          <t>COP COMPACT NS LIAISON ARRIERE 2</t>
        </is>
      </c>
      <c r="F5996" t="inlineStr">
        <is>
          <t>GVS BYPASS</t>
        </is>
      </c>
      <c r="J5996" t="inlineStr">
        <is>
          <t>MATRION</t>
        </is>
      </c>
      <c r="K5996" t="inlineStr">
        <is>
          <t>CUIVRE</t>
        </is>
      </c>
      <c r="L5996">
        <f>_xlfn.XLOOKUP(Tableau1[[#This Row],[TYPE DE PIECE]],Tableau4[MATIERE],Tableau4[SHORT TYPE],"",0,1)</f>
        <v/>
      </c>
      <c r="N5996">
        <f>IF(ISERR(FIND("DECOUPE",Tableau1[[#This Row],[DESIGNATION]])),"","NEED REF")</f>
        <v/>
      </c>
    </row>
    <row r="5997">
      <c r="B5997" t="n">
        <v>34408008</v>
      </c>
      <c r="C5997" s="2" t="n">
        <v>43742</v>
      </c>
      <c r="D5997" t="inlineStr">
        <is>
          <t>SPEC</t>
        </is>
      </c>
      <c r="E5997" t="inlineStr">
        <is>
          <t>COP COMPACT NS LIAISON ARRIERE 1</t>
        </is>
      </c>
      <c r="F5997" t="inlineStr">
        <is>
          <t>GVS BYPASS</t>
        </is>
      </c>
      <c r="J5997" t="inlineStr">
        <is>
          <t>MATRION</t>
        </is>
      </c>
      <c r="K5997" t="inlineStr">
        <is>
          <t>CUIVRE</t>
        </is>
      </c>
      <c r="L5997">
        <f>_xlfn.XLOOKUP(Tableau1[[#This Row],[TYPE DE PIECE]],Tableau4[MATIERE],Tableau4[SHORT TYPE],"",0,1)</f>
        <v/>
      </c>
      <c r="N5997">
        <f>IF(ISERR(FIND("DECOUPE",Tableau1[[#This Row],[DESIGNATION]])),"","NEED REF")</f>
        <v/>
      </c>
    </row>
    <row r="5998">
      <c r="B5998" t="n">
        <v>34408007</v>
      </c>
      <c r="C5998" s="2" t="n">
        <v>43742</v>
      </c>
      <c r="D5998" t="inlineStr">
        <is>
          <t>SPEC</t>
        </is>
      </c>
      <c r="E5998" t="inlineStr">
        <is>
          <t>Transformer 80kVA</t>
        </is>
      </c>
      <c r="J5998" t="inlineStr">
        <is>
          <t>MASCELLINO</t>
        </is>
      </c>
      <c r="L5998">
        <f>_xlfn.XLOOKUP(Tableau1[[#This Row],[TYPE DE PIECE]],Tableau4[MATIERE],Tableau4[SHORT TYPE],"",0,1)</f>
        <v/>
      </c>
      <c r="N5998">
        <f>IF(ISERR(FIND("DECOUPE",Tableau1[[#This Row],[DESIGNATION]])),"","NEED REF")</f>
        <v/>
      </c>
    </row>
    <row r="5999">
      <c r="B5999" t="n">
        <v>34408006</v>
      </c>
      <c r="C5999" s="2" t="n">
        <v>43742</v>
      </c>
      <c r="D5999" t="inlineStr">
        <is>
          <t>SPEC</t>
        </is>
      </c>
      <c r="E5999" t="inlineStr">
        <is>
          <t>Transformer 63kVA</t>
        </is>
      </c>
      <c r="J5999" t="inlineStr">
        <is>
          <t>MASCELLINO</t>
        </is>
      </c>
      <c r="L5999">
        <f>_xlfn.XLOOKUP(Tableau1[[#This Row],[TYPE DE PIECE]],Tableau4[MATIERE],Tableau4[SHORT TYPE],"",0,1)</f>
        <v/>
      </c>
      <c r="N5999">
        <f>IF(ISERR(FIND("DECOUPE",Tableau1[[#This Row],[DESIGNATION]])),"","NEED REF")</f>
        <v/>
      </c>
    </row>
    <row r="6000">
      <c r="B6000" t="n">
        <v>34408005</v>
      </c>
      <c r="C6000" s="2" t="n">
        <v>43740</v>
      </c>
      <c r="D6000" t="inlineStr">
        <is>
          <t>SPEC</t>
        </is>
      </c>
      <c r="E6000" t="inlineStr">
        <is>
          <t>SMT PLATINE BYPASS + INVERSEUR DE SOURCE</t>
        </is>
      </c>
      <c r="F6000" t="inlineStr">
        <is>
          <t>GVX BYPASS</t>
        </is>
      </c>
      <c r="J6000" t="inlineStr">
        <is>
          <t>MATRION</t>
        </is>
      </c>
      <c r="K6000" t="inlineStr">
        <is>
          <t>METAL</t>
        </is>
      </c>
      <c r="L6000">
        <f>_xlfn.XLOOKUP(Tableau1[[#This Row],[TYPE DE PIECE]],Tableau4[MATIERE],Tableau4[SHORT TYPE],"",0,1)</f>
        <v/>
      </c>
      <c r="N6000">
        <f>IF(ISERR(FIND("DECOUPE",Tableau1[[#This Row],[DESIGNATION]])),"","NEED REF")</f>
        <v/>
      </c>
    </row>
    <row r="6001">
      <c r="B6001" t="n">
        <v>34408004</v>
      </c>
      <c r="C6001" s="2" t="n">
        <v>43740</v>
      </c>
      <c r="D6001" t="inlineStr">
        <is>
          <t>SPEC</t>
        </is>
      </c>
      <c r="E6001" t="inlineStr">
        <is>
          <t>SMT SUPPORT HAUT/BAS PLATINE BYPASS</t>
        </is>
      </c>
      <c r="F6001" t="inlineStr">
        <is>
          <t>GVX BYPASS</t>
        </is>
      </c>
      <c r="J6001" t="inlineStr">
        <is>
          <t>MATRION</t>
        </is>
      </c>
      <c r="K6001" t="inlineStr">
        <is>
          <t>METAL</t>
        </is>
      </c>
      <c r="L6001">
        <f>_xlfn.XLOOKUP(Tableau1[[#This Row],[TYPE DE PIECE]],Tableau4[MATIERE],Tableau4[SHORT TYPE],"",0,1)</f>
        <v/>
      </c>
      <c r="N6001">
        <f>IF(ISERR(FIND("DECOUPE",Tableau1[[#This Row],[DESIGNATION]])),"","NEED REF")</f>
        <v/>
      </c>
    </row>
    <row r="6002">
      <c r="B6002" t="n">
        <v>34408003</v>
      </c>
      <c r="C6002" s="2" t="n">
        <v>43740</v>
      </c>
      <c r="D6002" t="inlineStr">
        <is>
          <t>SPEC</t>
        </is>
      </c>
      <c r="E6002" t="inlineStr">
        <is>
          <t>Platine INS160 3P + IM400 IMD</t>
        </is>
      </c>
      <c r="J6002" t="inlineStr">
        <is>
          <t>MASCELLINO</t>
        </is>
      </c>
      <c r="L6002">
        <f>_xlfn.XLOOKUP(Tableau1[[#This Row],[TYPE DE PIECE]],Tableau4[MATIERE],Tableau4[SHORT TYPE],"",0,1)</f>
        <v/>
      </c>
      <c r="N6002">
        <f>IF(ISERR(FIND("DECOUPE",Tableau1[[#This Row],[DESIGNATION]])),"","NEED REF")</f>
        <v/>
      </c>
    </row>
    <row r="6003">
      <c r="B6003" t="n">
        <v>34408002</v>
      </c>
      <c r="C6003" s="2" t="n">
        <v>43740</v>
      </c>
      <c r="D6003" t="inlineStr">
        <is>
          <t>NOM</t>
        </is>
      </c>
      <c r="E6003" t="inlineStr">
        <is>
          <t>armoire GVM vide</t>
        </is>
      </c>
      <c r="F6003" t="inlineStr">
        <is>
          <t>GVM</t>
        </is>
      </c>
      <c r="J6003" t="inlineStr">
        <is>
          <t>REVEL</t>
        </is>
      </c>
      <c r="L6003">
        <f>_xlfn.XLOOKUP(Tableau1[[#This Row],[TYPE DE PIECE]],Tableau4[MATIERE],Tableau4[SHORT TYPE],"",0,1)</f>
        <v/>
      </c>
      <c r="N6003">
        <f>IF(ISERR(FIND("DECOUPE",Tableau1[[#This Row],[DESIGNATION]])),"","NEED REF")</f>
        <v/>
      </c>
    </row>
    <row r="6004">
      <c r="B6004" t="n">
        <v>34408001</v>
      </c>
      <c r="C6004" s="2" t="n">
        <v>43740</v>
      </c>
      <c r="D6004" t="inlineStr">
        <is>
          <t>SPEC</t>
        </is>
      </c>
      <c r="E6004" t="inlineStr">
        <is>
          <t>Platine NSX 4P</t>
        </is>
      </c>
      <c r="J6004" t="inlineStr">
        <is>
          <t>MASCELLINO</t>
        </is>
      </c>
      <c r="K6004" t="inlineStr">
        <is>
          <t>METAL</t>
        </is>
      </c>
      <c r="L6004">
        <f>_xlfn.XLOOKUP(Tableau1[[#This Row],[TYPE DE PIECE]],Tableau4[MATIERE],Tableau4[SHORT TYPE],"",0,1)</f>
        <v/>
      </c>
      <c r="N6004">
        <f>IF(ISERR(FIND("DECOUPE",Tableau1[[#This Row],[DESIGNATION]])),"","NEED REF")</f>
        <v/>
      </c>
    </row>
    <row r="6005">
      <c r="B6005" t="n">
        <v>34408000</v>
      </c>
      <c r="C6005" s="2" t="n">
        <v>43709</v>
      </c>
      <c r="D6005" t="inlineStr">
        <is>
          <t>SPEC</t>
        </is>
      </c>
      <c r="E6005" t="inlineStr">
        <is>
          <t>SMT TOIT VENTILE</t>
        </is>
      </c>
      <c r="F6005" t="inlineStr">
        <is>
          <t>GVX BYPASS</t>
        </is>
      </c>
      <c r="J6005" t="inlineStr">
        <is>
          <t>MATRION</t>
        </is>
      </c>
      <c r="K6005" t="inlineStr">
        <is>
          <t>METAL</t>
        </is>
      </c>
      <c r="L6005">
        <f>_xlfn.XLOOKUP(Tableau1[[#This Row],[TYPE DE PIECE]],Tableau4[MATIERE],Tableau4[SHORT TYPE],"",0,1)</f>
        <v/>
      </c>
      <c r="N6005">
        <f>IF(ISERR(FIND("DECOUPE",Tableau1[[#This Row],[DESIGNATION]])),"","NEED REF")</f>
        <v/>
      </c>
    </row>
    <row r="6006">
      <c r="B6006" t="n">
        <v>34407999</v>
      </c>
      <c r="C6006" s="2" t="n">
        <v>43709</v>
      </c>
      <c r="D6006" t="inlineStr">
        <is>
          <t>SPEC</t>
        </is>
      </c>
      <c r="E6006" t="inlineStr">
        <is>
          <t>SMT ALU PASSE CABLE</t>
        </is>
      </c>
      <c r="F6006" t="inlineStr">
        <is>
          <t>GVX BYPASS</t>
        </is>
      </c>
      <c r="J6006" t="inlineStr">
        <is>
          <t>MATRION</t>
        </is>
      </c>
      <c r="K6006" t="inlineStr">
        <is>
          <t>METAL</t>
        </is>
      </c>
      <c r="L6006">
        <f>_xlfn.XLOOKUP(Tableau1[[#This Row],[TYPE DE PIECE]],Tableau4[MATIERE],Tableau4[SHORT TYPE],"",0,1)</f>
        <v/>
      </c>
      <c r="N6006">
        <f>IF(ISERR(FIND("DECOUPE",Tableau1[[#This Row],[DESIGNATION]])),"","NEED REF")</f>
        <v/>
      </c>
    </row>
    <row r="6007">
      <c r="B6007" t="n">
        <v>34407998</v>
      </c>
      <c r="C6007" s="2" t="n">
        <v>43709</v>
      </c>
      <c r="D6007" t="inlineStr">
        <is>
          <t>SPEC</t>
        </is>
      </c>
      <c r="E6007" t="inlineStr">
        <is>
          <t>SMT PLASTRON ECRAN UA/BA</t>
        </is>
      </c>
      <c r="F6007" t="inlineStr">
        <is>
          <t>GVX BYPASS</t>
        </is>
      </c>
      <c r="J6007" t="inlineStr">
        <is>
          <t>MATRION</t>
        </is>
      </c>
      <c r="K6007" t="inlineStr">
        <is>
          <t>METAL</t>
        </is>
      </c>
      <c r="L6007">
        <f>_xlfn.XLOOKUP(Tableau1[[#This Row],[TYPE DE PIECE]],Tableau4[MATIERE],Tableau4[SHORT TYPE],"",0,1)</f>
        <v/>
      </c>
      <c r="N6007">
        <f>IF(ISERR(FIND("DECOUPE",Tableau1[[#This Row],[DESIGNATION]])),"","NEED REF")</f>
        <v/>
      </c>
    </row>
    <row r="6008">
      <c r="B6008" t="n">
        <v>34407997</v>
      </c>
      <c r="C6008" s="2" t="n">
        <v>43709</v>
      </c>
      <c r="D6008" t="inlineStr">
        <is>
          <t>SPEC</t>
        </is>
      </c>
      <c r="E6008" t="inlineStr">
        <is>
          <t>SMT JOUE PLATRON</t>
        </is>
      </c>
      <c r="F6008" t="inlineStr">
        <is>
          <t>GVX BYPASS</t>
        </is>
      </c>
      <c r="J6008" t="inlineStr">
        <is>
          <t>MATRION</t>
        </is>
      </c>
      <c r="K6008" t="inlineStr">
        <is>
          <t>METAL</t>
        </is>
      </c>
      <c r="L6008">
        <f>_xlfn.XLOOKUP(Tableau1[[#This Row],[TYPE DE PIECE]],Tableau4[MATIERE],Tableau4[SHORT TYPE],"",0,1)</f>
        <v/>
      </c>
      <c r="N6008">
        <f>IF(ISERR(FIND("DECOUPE",Tableau1[[#This Row],[DESIGNATION]])),"","NEED REF")</f>
        <v/>
      </c>
    </row>
    <row r="6009">
      <c r="B6009" t="n">
        <v>34407996</v>
      </c>
      <c r="C6009" s="2" t="n">
        <v>43709</v>
      </c>
      <c r="D6009" t="inlineStr">
        <is>
          <t>SPEC</t>
        </is>
      </c>
      <c r="E6009" t="inlineStr">
        <is>
          <t>Platine NSX 3P</t>
        </is>
      </c>
      <c r="J6009" t="inlineStr">
        <is>
          <t>MASCELLINO</t>
        </is>
      </c>
      <c r="K6009" t="inlineStr">
        <is>
          <t>METAL</t>
        </is>
      </c>
      <c r="L6009">
        <f>_xlfn.XLOOKUP(Tableau1[[#This Row],[TYPE DE PIECE]],Tableau4[MATIERE],Tableau4[SHORT TYPE],"",0,1)</f>
        <v/>
      </c>
      <c r="N6009">
        <f>IF(ISERR(FIND("DECOUPE",Tableau1[[#This Row],[DESIGNATION]])),"","NEED REF")</f>
        <v/>
      </c>
    </row>
    <row r="6010">
      <c r="B6010" t="n">
        <v>34407995</v>
      </c>
      <c r="C6010" s="2" t="n">
        <v>43709</v>
      </c>
      <c r="D6010" t="inlineStr">
        <is>
          <t>SPEC</t>
        </is>
      </c>
      <c r="E6010" t="inlineStr">
        <is>
          <t>SMT PLASTRON HAUT/BAS</t>
        </is>
      </c>
      <c r="F6010" t="inlineStr">
        <is>
          <t>GVX BYPASS</t>
        </is>
      </c>
      <c r="J6010" t="inlineStr">
        <is>
          <t>MATRION</t>
        </is>
      </c>
      <c r="K6010" t="inlineStr">
        <is>
          <t>METAL</t>
        </is>
      </c>
      <c r="L6010">
        <f>_xlfn.XLOOKUP(Tableau1[[#This Row],[TYPE DE PIECE]],Tableau4[MATIERE],Tableau4[SHORT TYPE],"",0,1)</f>
        <v/>
      </c>
      <c r="N6010">
        <f>IF(ISERR(FIND("DECOUPE",Tableau1[[#This Row],[DESIGNATION]])),"","NEED REF")</f>
        <v/>
      </c>
    </row>
    <row r="6011">
      <c r="B6011" t="n">
        <v>34407994</v>
      </c>
      <c r="C6011" s="2" t="n">
        <v>43709</v>
      </c>
      <c r="D6011" t="inlineStr">
        <is>
          <t>SPEC</t>
        </is>
      </c>
      <c r="E6011" t="inlineStr">
        <is>
          <t>SMT PLASTRON MILIEU</t>
        </is>
      </c>
      <c r="F6011" t="inlineStr">
        <is>
          <t>GVX BYPASS</t>
        </is>
      </c>
      <c r="J6011" t="inlineStr">
        <is>
          <t>MATRION</t>
        </is>
      </c>
      <c r="K6011" t="inlineStr">
        <is>
          <t>METAL</t>
        </is>
      </c>
      <c r="L6011">
        <f>_xlfn.XLOOKUP(Tableau1[[#This Row],[TYPE DE PIECE]],Tableau4[MATIERE],Tableau4[SHORT TYPE],"",0,1)</f>
        <v/>
      </c>
      <c r="N6011">
        <f>IF(ISERR(FIND("DECOUPE",Tableau1[[#This Row],[DESIGNATION]])),"","NEED REF")</f>
        <v/>
      </c>
    </row>
    <row r="6012">
      <c r="B6012" t="n">
        <v>34407993</v>
      </c>
      <c r="C6012" s="2" t="n">
        <v>43709</v>
      </c>
      <c r="D6012" t="inlineStr">
        <is>
          <t>SPEC</t>
        </is>
      </c>
      <c r="E6012" t="inlineStr">
        <is>
          <t>SMT PLASTRON COMPACT NS AVEC VOYANT</t>
        </is>
      </c>
      <c r="F6012" t="inlineStr">
        <is>
          <t>GVX BYPASS</t>
        </is>
      </c>
      <c r="J6012" t="inlineStr">
        <is>
          <t>MATRION</t>
        </is>
      </c>
      <c r="K6012" t="inlineStr">
        <is>
          <t>METAL</t>
        </is>
      </c>
      <c r="L6012">
        <f>_xlfn.XLOOKUP(Tableau1[[#This Row],[TYPE DE PIECE]],Tableau4[MATIERE],Tableau4[SHORT TYPE],"",0,1)</f>
        <v/>
      </c>
      <c r="N6012">
        <f>IF(ISERR(FIND("DECOUPE",Tableau1[[#This Row],[DESIGNATION]])),"","NEED REF")</f>
        <v/>
      </c>
    </row>
    <row r="6013">
      <c r="B6013" t="n">
        <v>34407992</v>
      </c>
      <c r="C6013" s="2" t="n">
        <v>43709</v>
      </c>
      <c r="D6013" t="inlineStr">
        <is>
          <t>SPEC</t>
        </is>
      </c>
      <c r="E6013" t="inlineStr">
        <is>
          <t>SMT PLASTRON GAINE</t>
        </is>
      </c>
      <c r="F6013" t="inlineStr">
        <is>
          <t>GVX BYPASS</t>
        </is>
      </c>
      <c r="J6013" t="inlineStr">
        <is>
          <t>MATRION</t>
        </is>
      </c>
      <c r="K6013" t="inlineStr">
        <is>
          <t>METAL</t>
        </is>
      </c>
      <c r="L6013">
        <f>_xlfn.XLOOKUP(Tableau1[[#This Row],[TYPE DE PIECE]],Tableau4[MATIERE],Tableau4[SHORT TYPE],"",0,1)</f>
        <v/>
      </c>
      <c r="N6013">
        <f>IF(ISERR(FIND("DECOUPE",Tableau1[[#This Row],[DESIGNATION]])),"","NEED REF")</f>
        <v/>
      </c>
    </row>
    <row r="6014">
      <c r="B6014" t="n">
        <v>34407991</v>
      </c>
      <c r="C6014" s="2" t="n">
        <v>43739</v>
      </c>
      <c r="D6014" t="inlineStr">
        <is>
          <t>SPEC</t>
        </is>
      </c>
      <c r="E6014" t="inlineStr">
        <is>
          <t>CACHE NSX160H3P4P</t>
        </is>
      </c>
      <c r="J6014" t="inlineStr">
        <is>
          <t>MASCELLINO</t>
        </is>
      </c>
      <c r="L6014">
        <f>_xlfn.XLOOKUP(Tableau1[[#This Row],[TYPE DE PIECE]],Tableau4[MATIERE],Tableau4[SHORT TYPE],"",0,1)</f>
        <v/>
      </c>
      <c r="N6014">
        <f>IF(ISERR(FIND("DECOUPE",Tableau1[[#This Row],[DESIGNATION]])),"","NEED REF")</f>
        <v/>
      </c>
    </row>
    <row r="6015">
      <c r="B6015" t="n">
        <v>34407990</v>
      </c>
      <c r="C6015" s="2" t="n">
        <v>43738</v>
      </c>
      <c r="E6015" t="inlineStr">
        <is>
          <t>SMT JOUE LATERAL POUR PLASTRON 4</t>
        </is>
      </c>
      <c r="F6015" t="inlineStr">
        <is>
          <t>GVX BYPASS</t>
        </is>
      </c>
      <c r="J6015" t="inlineStr">
        <is>
          <t>MATRION</t>
        </is>
      </c>
      <c r="K6015" t="inlineStr">
        <is>
          <t>METAL</t>
        </is>
      </c>
      <c r="L6015">
        <f>_xlfn.XLOOKUP(Tableau1[[#This Row],[TYPE DE PIECE]],Tableau4[MATIERE],Tableau4[SHORT TYPE],"",0,1)</f>
        <v/>
      </c>
      <c r="N6015">
        <f>IF(ISERR(FIND("DECOUPE",Tableau1[[#This Row],[DESIGNATION]])),"","NEED REF")</f>
        <v/>
      </c>
    </row>
    <row r="6016">
      <c r="B6016" t="n">
        <v>34407989</v>
      </c>
      <c r="C6016" s="2" t="n">
        <v>43738</v>
      </c>
      <c r="E6016" t="inlineStr">
        <is>
          <t>SMT JOUE LATERAL POUR PLASTRON 3</t>
        </is>
      </c>
      <c r="F6016" t="inlineStr">
        <is>
          <t>GVX BYPASS</t>
        </is>
      </c>
      <c r="J6016" t="inlineStr">
        <is>
          <t>MATRION</t>
        </is>
      </c>
      <c r="K6016" t="inlineStr">
        <is>
          <t>METAL</t>
        </is>
      </c>
      <c r="L6016">
        <f>_xlfn.XLOOKUP(Tableau1[[#This Row],[TYPE DE PIECE]],Tableau4[MATIERE],Tableau4[SHORT TYPE],"",0,1)</f>
        <v/>
      </c>
      <c r="N6016">
        <f>IF(ISERR(FIND("DECOUPE",Tableau1[[#This Row],[DESIGNATION]])),"","NEED REF")</f>
        <v/>
      </c>
    </row>
    <row r="6017">
      <c r="B6017" t="n">
        <v>34407988</v>
      </c>
      <c r="C6017" s="2" t="n">
        <v>43738</v>
      </c>
      <c r="E6017" t="inlineStr">
        <is>
          <t>SMT JOUE LATERAL POUR PLASTRON 2</t>
        </is>
      </c>
      <c r="F6017" t="inlineStr">
        <is>
          <t>GVX BYPASS</t>
        </is>
      </c>
      <c r="J6017" t="inlineStr">
        <is>
          <t>MATRION</t>
        </is>
      </c>
      <c r="K6017" t="inlineStr">
        <is>
          <t>METAL</t>
        </is>
      </c>
      <c r="L6017">
        <f>_xlfn.XLOOKUP(Tableau1[[#This Row],[TYPE DE PIECE]],Tableau4[MATIERE],Tableau4[SHORT TYPE],"",0,1)</f>
        <v/>
      </c>
      <c r="N6017">
        <f>IF(ISERR(FIND("DECOUPE",Tableau1[[#This Row],[DESIGNATION]])),"","NEED REF")</f>
        <v/>
      </c>
    </row>
    <row r="6018">
      <c r="B6018" t="n">
        <v>34407987</v>
      </c>
      <c r="C6018" s="2" t="n">
        <v>43738</v>
      </c>
      <c r="E6018" t="inlineStr">
        <is>
          <t>SMT JOUE LATERAL POUR PLASTRON 1</t>
        </is>
      </c>
      <c r="F6018" t="inlineStr">
        <is>
          <t>GVX BYPASS</t>
        </is>
      </c>
      <c r="J6018" t="inlineStr">
        <is>
          <t>MATRION</t>
        </is>
      </c>
      <c r="K6018" t="inlineStr">
        <is>
          <t>METAL</t>
        </is>
      </c>
      <c r="L6018">
        <f>_xlfn.XLOOKUP(Tableau1[[#This Row],[TYPE DE PIECE]],Tableau4[MATIERE],Tableau4[SHORT TYPE],"",0,1)</f>
        <v/>
      </c>
      <c r="N6018">
        <f>IF(ISERR(FIND("DECOUPE",Tableau1[[#This Row],[DESIGNATION]])),"","NEED REF")</f>
        <v/>
      </c>
    </row>
    <row r="6019">
      <c r="B6019" t="n">
        <v>34407986</v>
      </c>
      <c r="C6019" s="2" t="n">
        <v>43738</v>
      </c>
      <c r="D6019" t="inlineStr">
        <is>
          <t>SPEC</t>
        </is>
      </c>
      <c r="E6019" t="inlineStr">
        <is>
          <t>SAREL ARMOIRE L(400+800+400)xH2000xP800+S100</t>
        </is>
      </c>
      <c r="F6019" t="inlineStr">
        <is>
          <t>GVX BYPASS</t>
        </is>
      </c>
      <c r="J6019" t="inlineStr">
        <is>
          <t>MATRION</t>
        </is>
      </c>
      <c r="K6019" t="inlineStr">
        <is>
          <t>SAREL</t>
        </is>
      </c>
      <c r="L6019">
        <f>_xlfn.XLOOKUP(Tableau1[[#This Row],[TYPE DE PIECE]],Tableau4[MATIERE],Tableau4[SHORT TYPE],"",0,1)</f>
        <v/>
      </c>
      <c r="N6019">
        <f>IF(ISERR(FIND("DECOUPE",Tableau1[[#This Row],[DESIGNATION]])),"","NEED REF")</f>
        <v/>
      </c>
    </row>
    <row r="6020">
      <c r="B6020" t="n">
        <v>34407985</v>
      </c>
      <c r="C6020" s="2" t="n">
        <v>43735</v>
      </c>
      <c r="D6020" t="inlineStr">
        <is>
          <t>NOM</t>
        </is>
      </c>
      <c r="E6020" t="inlineStr">
        <is>
          <t>Nomenclature regen box black box 60A</t>
        </is>
      </c>
      <c r="F6020" t="inlineStr">
        <is>
          <t>REGENBOX</t>
        </is>
      </c>
      <c r="J6020" t="inlineStr">
        <is>
          <t>REVEL</t>
        </is>
      </c>
      <c r="L6020">
        <f>_xlfn.XLOOKUP(Tableau1[[#This Row],[TYPE DE PIECE]],Tableau4[MATIERE],Tableau4[SHORT TYPE],"",0,1)</f>
        <v/>
      </c>
      <c r="N6020">
        <f>IF(ISERR(FIND("DECOUPE",Tableau1[[#This Row],[DESIGNATION]])),"","NEED REF")</f>
        <v/>
      </c>
    </row>
    <row r="6021">
      <c r="B6021" t="n">
        <v>34407984</v>
      </c>
      <c r="C6021" s="2" t="n">
        <v>43734</v>
      </c>
      <c r="D6021" t="inlineStr">
        <is>
          <t>NOM</t>
        </is>
      </c>
      <c r="E6021" t="inlineStr">
        <is>
          <t>Nomenclature CS pour STS 800-1000-1250A</t>
        </is>
      </c>
      <c r="F6021" t="inlineStr">
        <is>
          <t>STS</t>
        </is>
      </c>
      <c r="J6021" t="inlineStr">
        <is>
          <t>REVEL</t>
        </is>
      </c>
      <c r="L6021">
        <f>_xlfn.XLOOKUP(Tableau1[[#This Row],[TYPE DE PIECE]],Tableau4[MATIERE],Tableau4[SHORT TYPE],"",0,1)</f>
        <v/>
      </c>
      <c r="N6021">
        <f>IF(ISERR(FIND("DECOUPE",Tableau1[[#This Row],[DESIGNATION]])),"","NEED REF")</f>
        <v/>
      </c>
    </row>
    <row r="6022">
      <c r="B6022" t="n">
        <v>34407983</v>
      </c>
      <c r="C6022" s="2" t="n">
        <v>43733</v>
      </c>
      <c r="D6022" t="inlineStr">
        <is>
          <t>SPEC</t>
        </is>
      </c>
      <c r="E6022" t="inlineStr">
        <is>
          <t>=S= INVERSEUR DE SOURCES NS1250H 4P + BA</t>
        </is>
      </c>
      <c r="F6022" t="inlineStr">
        <is>
          <t>GVX BYPASS</t>
        </is>
      </c>
      <c r="J6022" t="inlineStr">
        <is>
          <t>MATRION</t>
        </is>
      </c>
      <c r="K6022" t="inlineStr">
        <is>
          <t>SCHNEIDER</t>
        </is>
      </c>
      <c r="L6022">
        <f>_xlfn.XLOOKUP(Tableau1[[#This Row],[TYPE DE PIECE]],Tableau4[MATIERE],Tableau4[SHORT TYPE],"",0,1)</f>
        <v/>
      </c>
      <c r="N6022">
        <f>IF(ISERR(FIND("DECOUPE",Tableau1[[#This Row],[DESIGNATION]])),"","NEED REF")</f>
        <v/>
      </c>
    </row>
    <row r="6023">
      <c r="B6023" t="n">
        <v>34407982</v>
      </c>
      <c r="C6023" s="2" t="n">
        <v>43733</v>
      </c>
      <c r="D6023" t="inlineStr">
        <is>
          <t>SPEC</t>
        </is>
      </c>
      <c r="E6023" t="inlineStr">
        <is>
          <t>COP LIAISON AVAL</t>
        </is>
      </c>
      <c r="F6023" t="inlineStr">
        <is>
          <t>GVS BYPASS</t>
        </is>
      </c>
      <c r="J6023" t="inlineStr">
        <is>
          <t>MATRION</t>
        </is>
      </c>
      <c r="K6023" t="inlineStr">
        <is>
          <t>CUIVRE</t>
        </is>
      </c>
      <c r="L6023">
        <f>_xlfn.XLOOKUP(Tableau1[[#This Row],[TYPE DE PIECE]],Tableau4[MATIERE],Tableau4[SHORT TYPE],"",0,1)</f>
        <v/>
      </c>
      <c r="N6023">
        <f>IF(ISERR(FIND("DECOUPE",Tableau1[[#This Row],[DESIGNATION]])),"","NEED REF")</f>
        <v/>
      </c>
    </row>
    <row r="6024">
      <c r="B6024" t="n">
        <v>34407981</v>
      </c>
      <c r="C6024" s="2" t="n">
        <v>43733</v>
      </c>
      <c r="D6024" t="inlineStr">
        <is>
          <t>SPEC</t>
        </is>
      </c>
      <c r="E6024" t="inlineStr">
        <is>
          <t>COP RACCORDEMENT AVAL 2</t>
        </is>
      </c>
      <c r="F6024" t="inlineStr">
        <is>
          <t>GVS BYPASS</t>
        </is>
      </c>
      <c r="J6024" t="inlineStr">
        <is>
          <t>MATRION</t>
        </is>
      </c>
      <c r="K6024" t="inlineStr">
        <is>
          <t>CUIVRE</t>
        </is>
      </c>
      <c r="L6024">
        <f>_xlfn.XLOOKUP(Tableau1[[#This Row],[TYPE DE PIECE]],Tableau4[MATIERE],Tableau4[SHORT TYPE],"",0,1)</f>
        <v/>
      </c>
      <c r="N6024">
        <f>IF(ISERR(FIND("DECOUPE",Tableau1[[#This Row],[DESIGNATION]])),"","NEED REF")</f>
        <v/>
      </c>
    </row>
    <row r="6025">
      <c r="B6025" t="n">
        <v>34407980</v>
      </c>
      <c r="C6025" s="2" t="n">
        <v>43733</v>
      </c>
      <c r="D6025" t="inlineStr">
        <is>
          <t>SPEC</t>
        </is>
      </c>
      <c r="E6025" t="inlineStr">
        <is>
          <t>COP RACCORDEMENT AVAL 1</t>
        </is>
      </c>
      <c r="F6025" t="inlineStr">
        <is>
          <t>GVS BYPASS</t>
        </is>
      </c>
      <c r="J6025" t="inlineStr">
        <is>
          <t>MATRION</t>
        </is>
      </c>
      <c r="K6025" t="inlineStr">
        <is>
          <t>CUIVRE</t>
        </is>
      </c>
      <c r="L6025">
        <f>_xlfn.XLOOKUP(Tableau1[[#This Row],[TYPE DE PIECE]],Tableau4[MATIERE],Tableau4[SHORT TYPE],"",0,1)</f>
        <v/>
      </c>
      <c r="N6025">
        <f>IF(ISERR(FIND("DECOUPE",Tableau1[[#This Row],[DESIGNATION]])),"","NEED REF")</f>
        <v/>
      </c>
    </row>
    <row r="6026">
      <c r="B6026" t="n">
        <v>34407979</v>
      </c>
      <c r="C6026" s="2" t="n">
        <v>43733</v>
      </c>
      <c r="D6026" t="inlineStr">
        <is>
          <t>SPEC</t>
        </is>
      </c>
      <c r="E6026" t="inlineStr">
        <is>
          <t>CACHE INS1603P</t>
        </is>
      </c>
      <c r="J6026" t="inlineStr">
        <is>
          <t>MASCELLINO</t>
        </is>
      </c>
      <c r="L6026">
        <f>_xlfn.XLOOKUP(Tableau1[[#This Row],[TYPE DE PIECE]],Tableau4[MATIERE],Tableau4[SHORT TYPE],"",0,1)</f>
        <v/>
      </c>
      <c r="N6026">
        <f>IF(ISERR(FIND("DECOUPE",Tableau1[[#This Row],[DESIGNATION]])),"","NEED REF")</f>
        <v/>
      </c>
    </row>
    <row r="6027">
      <c r="B6027" t="n">
        <v>34407978</v>
      </c>
      <c r="C6027" s="2" t="n">
        <v>43733</v>
      </c>
      <c r="D6027" t="inlineStr">
        <is>
          <t>SPEC</t>
        </is>
      </c>
      <c r="E6027" t="inlineStr">
        <is>
          <t>CACHE NSX160F3P</t>
        </is>
      </c>
      <c r="J6027" t="inlineStr">
        <is>
          <t>MASCELLINO</t>
        </is>
      </c>
      <c r="L6027">
        <f>_xlfn.XLOOKUP(Tableau1[[#This Row],[TYPE DE PIECE]],Tableau4[MATIERE],Tableau4[SHORT TYPE],"",0,1)</f>
        <v/>
      </c>
      <c r="N6027">
        <f>IF(ISERR(FIND("DECOUPE",Tableau1[[#This Row],[DESIGNATION]])),"","NEED REF")</f>
        <v/>
      </c>
    </row>
    <row r="6028">
      <c r="B6028" t="n">
        <v>34407977</v>
      </c>
      <c r="C6028" s="2" t="n">
        <v>43733</v>
      </c>
      <c r="D6028" t="inlineStr">
        <is>
          <t>SPEC</t>
        </is>
      </c>
      <c r="E6028" t="inlineStr">
        <is>
          <t>Protection shield</t>
        </is>
      </c>
      <c r="J6028" t="inlineStr">
        <is>
          <t>MASCELLINO</t>
        </is>
      </c>
      <c r="L6028">
        <f>_xlfn.XLOOKUP(Tableau1[[#This Row],[TYPE DE PIECE]],Tableau4[MATIERE],Tableau4[SHORT TYPE],"",0,1)</f>
        <v/>
      </c>
      <c r="N6028">
        <f>IF(ISERR(FIND("DECOUPE",Tableau1[[#This Row],[DESIGNATION]])),"","NEED REF")</f>
        <v/>
      </c>
    </row>
    <row r="6029">
      <c r="B6029" t="n">
        <v>34407976</v>
      </c>
      <c r="C6029" s="2" t="n">
        <v>43733</v>
      </c>
      <c r="D6029" t="inlineStr">
        <is>
          <t>SPEC</t>
        </is>
      </c>
      <c r="E6029" t="inlineStr">
        <is>
          <t>Protection shield</t>
        </is>
      </c>
      <c r="J6029" t="inlineStr">
        <is>
          <t>MASCELLINO</t>
        </is>
      </c>
      <c r="L6029">
        <f>_xlfn.XLOOKUP(Tableau1[[#This Row],[TYPE DE PIECE]],Tableau4[MATIERE],Tableau4[SHORT TYPE],"",0,1)</f>
        <v/>
      </c>
      <c r="N6029">
        <f>IF(ISERR(FIND("DECOUPE",Tableau1[[#This Row],[DESIGNATION]])),"","NEED REF")</f>
        <v/>
      </c>
    </row>
    <row r="6030">
      <c r="B6030" t="n">
        <v>34407975</v>
      </c>
      <c r="C6030" s="2" t="n">
        <v>43733</v>
      </c>
      <c r="D6030" t="inlineStr">
        <is>
          <t>SPEC</t>
        </is>
      </c>
      <c r="E6030" t="inlineStr">
        <is>
          <t>Protection Shield</t>
        </is>
      </c>
      <c r="J6030" t="inlineStr">
        <is>
          <t>MASCELLINO</t>
        </is>
      </c>
      <c r="L6030">
        <f>_xlfn.XLOOKUP(Tableau1[[#This Row],[TYPE DE PIECE]],Tableau4[MATIERE],Tableau4[SHORT TYPE],"",0,1)</f>
        <v/>
      </c>
      <c r="N6030">
        <f>IF(ISERR(FIND("DECOUPE",Tableau1[[#This Row],[DESIGNATION]])),"","NEED REF")</f>
        <v/>
      </c>
    </row>
    <row r="6031">
      <c r="B6031" t="n">
        <v>34407974</v>
      </c>
      <c r="C6031" s="2" t="n">
        <v>43733</v>
      </c>
      <c r="D6031" t="inlineStr">
        <is>
          <t>SPEC</t>
        </is>
      </c>
      <c r="E6031" t="inlineStr">
        <is>
          <t>Tole protection</t>
        </is>
      </c>
      <c r="J6031" t="inlineStr">
        <is>
          <t>MASCELLINO</t>
        </is>
      </c>
      <c r="K6031" t="inlineStr">
        <is>
          <t>METAL</t>
        </is>
      </c>
      <c r="L6031">
        <f>_xlfn.XLOOKUP(Tableau1[[#This Row],[TYPE DE PIECE]],Tableau4[MATIERE],Tableau4[SHORT TYPE],"",0,1)</f>
        <v/>
      </c>
      <c r="N6031">
        <f>IF(ISERR(FIND("DECOUPE",Tableau1[[#This Row],[DESIGNATION]])),"","NEED REF")</f>
        <v/>
      </c>
    </row>
    <row r="6032">
      <c r="B6032" t="n">
        <v>34407973</v>
      </c>
      <c r="C6032" s="2" t="n">
        <v>43733</v>
      </c>
      <c r="D6032" t="inlineStr">
        <is>
          <t>SPEC</t>
        </is>
      </c>
      <c r="E6032" t="inlineStr">
        <is>
          <t>Tole protection renfoncement</t>
        </is>
      </c>
      <c r="J6032" t="inlineStr">
        <is>
          <t>MASCELLINO</t>
        </is>
      </c>
      <c r="L6032">
        <f>_xlfn.XLOOKUP(Tableau1[[#This Row],[TYPE DE PIECE]],Tableau4[MATIERE],Tableau4[SHORT TYPE],"",0,1)</f>
        <v/>
      </c>
      <c r="N6032">
        <f>IF(ISERR(FIND("DECOUPE",Tableau1[[#This Row],[DESIGNATION]])),"","NEED REF")</f>
        <v/>
      </c>
    </row>
    <row r="6033">
      <c r="B6033" t="n">
        <v>34407972</v>
      </c>
      <c r="C6033" s="2" t="n">
        <v>43733</v>
      </c>
      <c r="D6033" t="inlineStr">
        <is>
          <t>SPEC</t>
        </is>
      </c>
      <c r="E6033" t="inlineStr">
        <is>
          <t>Tole protection</t>
        </is>
      </c>
      <c r="J6033" t="inlineStr">
        <is>
          <t>MASCELLINO</t>
        </is>
      </c>
      <c r="L6033">
        <f>_xlfn.XLOOKUP(Tableau1[[#This Row],[TYPE DE PIECE]],Tableau4[MATIERE],Tableau4[SHORT TYPE],"",0,1)</f>
        <v/>
      </c>
      <c r="N6033">
        <f>IF(ISERR(FIND("DECOUPE",Tableau1[[#This Row],[DESIGNATION]])),"","NEED REF")</f>
        <v/>
      </c>
    </row>
    <row r="6034">
      <c r="B6034" t="n">
        <v>34407971</v>
      </c>
      <c r="C6034" s="2" t="n">
        <v>43733</v>
      </c>
      <c r="D6034" t="inlineStr">
        <is>
          <t>SPEC</t>
        </is>
      </c>
      <c r="E6034" t="inlineStr">
        <is>
          <t>Support relais disjoncteur</t>
        </is>
      </c>
      <c r="J6034" t="inlineStr">
        <is>
          <t>MASCELLINO</t>
        </is>
      </c>
      <c r="K6034" t="inlineStr">
        <is>
          <t>METAL</t>
        </is>
      </c>
      <c r="L6034">
        <f>_xlfn.XLOOKUP(Tableau1[[#This Row],[TYPE DE PIECE]],Tableau4[MATIERE],Tableau4[SHORT TYPE],"",0,1)</f>
        <v/>
      </c>
      <c r="N6034">
        <f>IF(ISERR(FIND("DECOUPE",Tableau1[[#This Row],[DESIGNATION]])),"","NEED REF")</f>
        <v/>
      </c>
    </row>
    <row r="6035">
      <c r="B6035" t="n">
        <v>34407970</v>
      </c>
      <c r="C6035" s="2" t="n">
        <v>43733</v>
      </c>
      <c r="D6035" t="inlineStr">
        <is>
          <t>SPEC</t>
        </is>
      </c>
      <c r="E6035" t="inlineStr">
        <is>
          <t>Platine support</t>
        </is>
      </c>
      <c r="J6035" t="inlineStr">
        <is>
          <t>MASCELLINO</t>
        </is>
      </c>
      <c r="K6035" t="inlineStr">
        <is>
          <t>METAL</t>
        </is>
      </c>
      <c r="L6035">
        <f>_xlfn.XLOOKUP(Tableau1[[#This Row],[TYPE DE PIECE]],Tableau4[MATIERE],Tableau4[SHORT TYPE],"",0,1)</f>
        <v/>
      </c>
      <c r="N6035">
        <f>IF(ISERR(FIND("DECOUPE",Tableau1[[#This Row],[DESIGNATION]])),"","NEED REF")</f>
        <v/>
      </c>
    </row>
    <row r="6036">
      <c r="B6036" t="n">
        <v>34407969</v>
      </c>
      <c r="C6036" s="2" t="n">
        <v>43733</v>
      </c>
      <c r="D6036" t="inlineStr">
        <is>
          <t>SPEC</t>
        </is>
      </c>
      <c r="E6036" t="inlineStr">
        <is>
          <t>Support pour commutateur 9001KS11FBH13</t>
        </is>
      </c>
      <c r="F6036" t="inlineStr">
        <is>
          <t>G6K 400-450Kva - ST CROLLES</t>
        </is>
      </c>
      <c r="J6036" t="inlineStr">
        <is>
          <t>MASCELLINO</t>
        </is>
      </c>
      <c r="K6036" t="inlineStr">
        <is>
          <t>METAL</t>
        </is>
      </c>
      <c r="L6036">
        <f>_xlfn.XLOOKUP(Tableau1[[#This Row],[TYPE DE PIECE]],Tableau4[MATIERE],Tableau4[SHORT TYPE],"",0,1)</f>
        <v/>
      </c>
      <c r="N6036">
        <f>IF(ISERR(FIND("DECOUPE",Tableau1[[#This Row],[DESIGNATION]])),"","NEED REF")</f>
        <v/>
      </c>
    </row>
    <row r="6037">
      <c r="B6037" t="n">
        <v>34407968</v>
      </c>
      <c r="C6037" s="2" t="n">
        <v>43733</v>
      </c>
      <c r="D6037" t="inlineStr">
        <is>
          <t>SPEC</t>
        </is>
      </c>
      <c r="E6037" t="inlineStr">
        <is>
          <t>COP COMPACT NS LIAISON ARRIERE 8</t>
        </is>
      </c>
      <c r="F6037" t="inlineStr">
        <is>
          <t>GVS BYPASS</t>
        </is>
      </c>
      <c r="J6037" t="inlineStr">
        <is>
          <t>MATRION</t>
        </is>
      </c>
      <c r="K6037" t="inlineStr">
        <is>
          <t>CUIVRE</t>
        </is>
      </c>
      <c r="L6037">
        <f>_xlfn.XLOOKUP(Tableau1[[#This Row],[TYPE DE PIECE]],Tableau4[MATIERE],Tableau4[SHORT TYPE],"",0,1)</f>
        <v/>
      </c>
      <c r="N6037">
        <f>IF(ISERR(FIND("DECOUPE",Tableau1[[#This Row],[DESIGNATION]])),"","NEED REF")</f>
        <v/>
      </c>
    </row>
    <row r="6038">
      <c r="B6038" t="n">
        <v>34407967</v>
      </c>
      <c r="C6038" s="2" t="n">
        <v>43733</v>
      </c>
      <c r="D6038" t="inlineStr">
        <is>
          <t>SPEC</t>
        </is>
      </c>
      <c r="E6038" t="inlineStr">
        <is>
          <t>COP COMPACT NS LIAISON ARRIERE 7</t>
        </is>
      </c>
      <c r="F6038" t="inlineStr">
        <is>
          <t>GVS BYPASS</t>
        </is>
      </c>
      <c r="J6038" t="inlineStr">
        <is>
          <t>MATRION</t>
        </is>
      </c>
      <c r="K6038" t="inlineStr">
        <is>
          <t>CUIVRE</t>
        </is>
      </c>
      <c r="L6038">
        <f>_xlfn.XLOOKUP(Tableau1[[#This Row],[TYPE DE PIECE]],Tableau4[MATIERE],Tableau4[SHORT TYPE],"",0,1)</f>
        <v/>
      </c>
      <c r="N6038">
        <f>IF(ISERR(FIND("DECOUPE",Tableau1[[#This Row],[DESIGNATION]])),"","NEED REF")</f>
        <v/>
      </c>
    </row>
    <row r="6039">
      <c r="B6039" t="n">
        <v>34407966</v>
      </c>
      <c r="C6039" s="2" t="n">
        <v>43733</v>
      </c>
      <c r="D6039" t="inlineStr">
        <is>
          <t>SPEC</t>
        </is>
      </c>
      <c r="E6039" t="inlineStr">
        <is>
          <t>COP COMPACT NS LIAISON ARRIERE 6</t>
        </is>
      </c>
      <c r="F6039" t="inlineStr">
        <is>
          <t>GVS BYPASS</t>
        </is>
      </c>
      <c r="J6039" t="inlineStr">
        <is>
          <t>MATRION</t>
        </is>
      </c>
      <c r="K6039" t="inlineStr">
        <is>
          <t>CUIVRE</t>
        </is>
      </c>
      <c r="L6039">
        <f>_xlfn.XLOOKUP(Tableau1[[#This Row],[TYPE DE PIECE]],Tableau4[MATIERE],Tableau4[SHORT TYPE],"",0,1)</f>
        <v/>
      </c>
      <c r="N6039">
        <f>IF(ISERR(FIND("DECOUPE",Tableau1[[#This Row],[DESIGNATION]])),"","NEED REF")</f>
        <v/>
      </c>
    </row>
    <row r="6040">
      <c r="B6040" t="n">
        <v>34407965</v>
      </c>
      <c r="C6040" s="2" t="n">
        <v>43733</v>
      </c>
      <c r="D6040" t="inlineStr">
        <is>
          <t>SPEC</t>
        </is>
      </c>
      <c r="E6040" t="inlineStr">
        <is>
          <t>COP COMPACT NS LIAISON ARRIERE 5</t>
        </is>
      </c>
      <c r="F6040" t="inlineStr">
        <is>
          <t>GVS BYPASS</t>
        </is>
      </c>
      <c r="J6040" t="inlineStr">
        <is>
          <t>MATRION</t>
        </is>
      </c>
      <c r="K6040" t="inlineStr">
        <is>
          <t>CUIVRE</t>
        </is>
      </c>
      <c r="L6040">
        <f>_xlfn.XLOOKUP(Tableau1[[#This Row],[TYPE DE PIECE]],Tableau4[MATIERE],Tableau4[SHORT TYPE],"",0,1)</f>
        <v/>
      </c>
      <c r="N6040">
        <f>IF(ISERR(FIND("DECOUPE",Tableau1[[#This Row],[DESIGNATION]])),"","NEED REF")</f>
        <v/>
      </c>
    </row>
    <row r="6041">
      <c r="B6041" t="n">
        <v>34407964</v>
      </c>
      <c r="C6041" s="2" t="n">
        <v>43733</v>
      </c>
      <c r="D6041" t="inlineStr">
        <is>
          <t>SPEC</t>
        </is>
      </c>
      <c r="E6041" t="inlineStr">
        <is>
          <t>COP COMPACT NS JONCTION</t>
        </is>
      </c>
      <c r="F6041" t="inlineStr">
        <is>
          <t>GVS BYPASS</t>
        </is>
      </c>
      <c r="J6041" t="inlineStr">
        <is>
          <t>MATRION</t>
        </is>
      </c>
      <c r="K6041" t="inlineStr">
        <is>
          <t>CUIVRE</t>
        </is>
      </c>
      <c r="L6041">
        <f>_xlfn.XLOOKUP(Tableau1[[#This Row],[TYPE DE PIECE]],Tableau4[MATIERE],Tableau4[SHORT TYPE],"",0,1)</f>
        <v/>
      </c>
      <c r="N6041">
        <f>IF(ISERR(FIND("DECOUPE",Tableau1[[#This Row],[DESIGNATION]])),"","NEED REF")</f>
        <v/>
      </c>
    </row>
    <row r="6042">
      <c r="B6042" t="n">
        <v>34407963</v>
      </c>
      <c r="C6042" s="2" t="n">
        <v>43733</v>
      </c>
      <c r="D6042" t="inlineStr">
        <is>
          <t>SPEC</t>
        </is>
      </c>
      <c r="E6042" t="inlineStr">
        <is>
          <t>COP COMPACT NS LIAISON ARRIERE 4</t>
        </is>
      </c>
      <c r="F6042" t="inlineStr">
        <is>
          <t>GVS BYPASS</t>
        </is>
      </c>
      <c r="J6042" t="inlineStr">
        <is>
          <t>MATRION</t>
        </is>
      </c>
      <c r="K6042" t="inlineStr">
        <is>
          <t>CUIVRE</t>
        </is>
      </c>
      <c r="L6042">
        <f>_xlfn.XLOOKUP(Tableau1[[#This Row],[TYPE DE PIECE]],Tableau4[MATIERE],Tableau4[SHORT TYPE],"",0,1)</f>
        <v/>
      </c>
      <c r="N6042">
        <f>IF(ISERR(FIND("DECOUPE",Tableau1[[#This Row],[DESIGNATION]])),"","NEED REF")</f>
        <v/>
      </c>
    </row>
    <row r="6043">
      <c r="B6043" t="n">
        <v>34407962</v>
      </c>
      <c r="C6043" s="2" t="n">
        <v>43733</v>
      </c>
      <c r="D6043" t="inlineStr">
        <is>
          <t>SPEC</t>
        </is>
      </c>
      <c r="E6043" t="inlineStr">
        <is>
          <t>COP COMPACT NS LIAISON ARRIERE 3</t>
        </is>
      </c>
      <c r="F6043" t="inlineStr">
        <is>
          <t>GVS BYPASS</t>
        </is>
      </c>
      <c r="J6043" t="inlineStr">
        <is>
          <t>MATRION</t>
        </is>
      </c>
      <c r="K6043" t="inlineStr">
        <is>
          <t>CUIVRE</t>
        </is>
      </c>
      <c r="L6043">
        <f>_xlfn.XLOOKUP(Tableau1[[#This Row],[TYPE DE PIECE]],Tableau4[MATIERE],Tableau4[SHORT TYPE],"",0,1)</f>
        <v/>
      </c>
      <c r="N6043">
        <f>IF(ISERR(FIND("DECOUPE",Tableau1[[#This Row],[DESIGNATION]])),"","NEED REF")</f>
        <v/>
      </c>
    </row>
    <row r="6044">
      <c r="B6044" t="n">
        <v>34407961</v>
      </c>
      <c r="C6044" s="2" t="n">
        <v>43733</v>
      </c>
      <c r="D6044" t="inlineStr">
        <is>
          <t>SPEC</t>
        </is>
      </c>
      <c r="E6044" t="inlineStr">
        <is>
          <t>COP COMPACT NS LIAISON ARRIERE 2</t>
        </is>
      </c>
      <c r="F6044" t="inlineStr">
        <is>
          <t>GVS BYPASS</t>
        </is>
      </c>
      <c r="J6044" t="inlineStr">
        <is>
          <t>MATRION</t>
        </is>
      </c>
      <c r="K6044" t="inlineStr">
        <is>
          <t>CUIVRE</t>
        </is>
      </c>
      <c r="L6044">
        <f>_xlfn.XLOOKUP(Tableau1[[#This Row],[TYPE DE PIECE]],Tableau4[MATIERE],Tableau4[SHORT TYPE],"",0,1)</f>
        <v/>
      </c>
      <c r="N6044">
        <f>IF(ISERR(FIND("DECOUPE",Tableau1[[#This Row],[DESIGNATION]])),"","NEED REF")</f>
        <v/>
      </c>
    </row>
    <row r="6045">
      <c r="B6045" t="n">
        <v>34407960</v>
      </c>
      <c r="C6045" s="2" t="n">
        <v>43733</v>
      </c>
      <c r="D6045" t="inlineStr">
        <is>
          <t>SPEC</t>
        </is>
      </c>
      <c r="E6045" t="inlineStr">
        <is>
          <t>COP COMPACT NS LIAISON ARRIERE 1</t>
        </is>
      </c>
      <c r="F6045" t="inlineStr">
        <is>
          <t>GVS BYPASS</t>
        </is>
      </c>
      <c r="J6045" t="inlineStr">
        <is>
          <t>MATRION</t>
        </is>
      </c>
      <c r="K6045" t="inlineStr">
        <is>
          <t>CUIVRE</t>
        </is>
      </c>
      <c r="L6045">
        <f>_xlfn.XLOOKUP(Tableau1[[#This Row],[TYPE DE PIECE]],Tableau4[MATIERE],Tableau4[SHORT TYPE],"",0,1)</f>
        <v/>
      </c>
      <c r="N6045">
        <f>IF(ISERR(FIND("DECOUPE",Tableau1[[#This Row],[DESIGNATION]])),"","NEED REF")</f>
        <v/>
      </c>
    </row>
    <row r="6046">
      <c r="B6046" t="n">
        <v>34407959</v>
      </c>
      <c r="C6046" s="2" t="n">
        <v>43725</v>
      </c>
      <c r="D6046" t="inlineStr">
        <is>
          <t>SPEC</t>
        </is>
      </c>
      <c r="E6046" t="inlineStr">
        <is>
          <t>SMT SUPPORT BBK630 2</t>
        </is>
      </c>
      <c r="F6046" t="inlineStr">
        <is>
          <t>GVS CBC</t>
        </is>
      </c>
      <c r="J6046" t="inlineStr">
        <is>
          <t>MATRION</t>
        </is>
      </c>
      <c r="K6046" t="inlineStr">
        <is>
          <t>METAL</t>
        </is>
      </c>
      <c r="L6046">
        <f>_xlfn.XLOOKUP(Tableau1[[#This Row],[TYPE DE PIECE]],Tableau4[MATIERE],Tableau4[SHORT TYPE],"",0,1)</f>
        <v/>
      </c>
      <c r="N6046">
        <f>IF(ISERR(FIND("DECOUPE",Tableau1[[#This Row],[DESIGNATION]])),"","NEED REF")</f>
        <v/>
      </c>
    </row>
    <row r="6047">
      <c r="B6047" t="n">
        <v>34407958</v>
      </c>
      <c r="C6047" s="2" t="n">
        <v>43725</v>
      </c>
      <c r="D6047" t="inlineStr">
        <is>
          <t>SPEC</t>
        </is>
      </c>
      <c r="E6047" t="inlineStr">
        <is>
          <t>SMT SUPPORT BBK630 1</t>
        </is>
      </c>
      <c r="F6047" t="inlineStr">
        <is>
          <t>GVS CBC</t>
        </is>
      </c>
      <c r="J6047" t="inlineStr">
        <is>
          <t>MATRION</t>
        </is>
      </c>
      <c r="K6047" t="inlineStr">
        <is>
          <t>METAL</t>
        </is>
      </c>
      <c r="L6047">
        <f>_xlfn.XLOOKUP(Tableau1[[#This Row],[TYPE DE PIECE]],Tableau4[MATIERE],Tableau4[SHORT TYPE],"",0,1)</f>
        <v/>
      </c>
      <c r="N6047">
        <f>IF(ISERR(FIND("DECOUPE",Tableau1[[#This Row],[DESIGNATION]])),"","NEED REF")</f>
        <v/>
      </c>
    </row>
    <row r="6048">
      <c r="B6048" t="n">
        <v>34407957</v>
      </c>
      <c r="C6048" s="2" t="n">
        <v>43725</v>
      </c>
      <c r="D6048" t="inlineStr">
        <is>
          <t>SPEC</t>
        </is>
      </c>
      <c r="E6048" t="inlineStr">
        <is>
          <t>SMT SUPPORT VOYANTS</t>
        </is>
      </c>
      <c r="F6048" t="inlineStr">
        <is>
          <t>GVM BYPASS</t>
        </is>
      </c>
      <c r="J6048" t="inlineStr">
        <is>
          <t>MATRION</t>
        </is>
      </c>
      <c r="K6048" t="inlineStr">
        <is>
          <t>METAL</t>
        </is>
      </c>
      <c r="L6048">
        <f>_xlfn.XLOOKUP(Tableau1[[#This Row],[TYPE DE PIECE]],Tableau4[MATIERE],Tableau4[SHORT TYPE],"",0,1)</f>
        <v/>
      </c>
      <c r="N6048">
        <f>IF(ISERR(FIND("DECOUPE",Tableau1[[#This Row],[DESIGNATION]])),"","NEED REF")</f>
        <v/>
      </c>
    </row>
    <row r="6049">
      <c r="B6049" t="n">
        <v>34407956</v>
      </c>
      <c r="C6049" s="2" t="n">
        <v>43725</v>
      </c>
      <c r="D6049" t="inlineStr">
        <is>
          <t>SPEC</t>
        </is>
      </c>
      <c r="E6049" t="inlineStr">
        <is>
          <t>SMT PLASTRON 3xNSX630</t>
        </is>
      </c>
      <c r="F6049" t="inlineStr">
        <is>
          <t>GVM BYPASS</t>
        </is>
      </c>
      <c r="J6049" t="inlineStr">
        <is>
          <t>MATRION</t>
        </is>
      </c>
      <c r="K6049" t="inlineStr">
        <is>
          <t>METAL</t>
        </is>
      </c>
      <c r="L6049">
        <f>_xlfn.XLOOKUP(Tableau1[[#This Row],[TYPE DE PIECE]],Tableau4[MATIERE],Tableau4[SHORT TYPE],"",0,1)</f>
        <v/>
      </c>
      <c r="N6049">
        <f>IF(ISERR(FIND("DECOUPE",Tableau1[[#This Row],[DESIGNATION]])),"","NEED REF")</f>
        <v/>
      </c>
    </row>
    <row r="6050">
      <c r="B6050" t="n">
        <v>34407955</v>
      </c>
      <c r="C6050" s="2" t="n">
        <v>43725</v>
      </c>
      <c r="D6050" t="inlineStr">
        <is>
          <t>SPEC</t>
        </is>
      </c>
      <c r="E6050" t="inlineStr">
        <is>
          <t>SMT PLATINE BYPASS NSX630 3/4P</t>
        </is>
      </c>
      <c r="F6050" t="inlineStr">
        <is>
          <t>GVM BYPASS</t>
        </is>
      </c>
      <c r="J6050" t="inlineStr">
        <is>
          <t>MATRION</t>
        </is>
      </c>
      <c r="K6050" t="inlineStr">
        <is>
          <t>METAL</t>
        </is>
      </c>
      <c r="L6050">
        <f>_xlfn.XLOOKUP(Tableau1[[#This Row],[TYPE DE PIECE]],Tableau4[MATIERE],Tableau4[SHORT TYPE],"",0,1)</f>
        <v/>
      </c>
      <c r="N6050">
        <f>IF(ISERR(FIND("DECOUPE",Tableau1[[#This Row],[DESIGNATION]])),"","NEED REF")</f>
        <v/>
      </c>
    </row>
    <row r="6051">
      <c r="B6051" t="n">
        <v>34407954</v>
      </c>
      <c r="C6051" s="2" t="n">
        <v>43725</v>
      </c>
      <c r="D6051" t="inlineStr">
        <is>
          <t>SPEC</t>
        </is>
      </c>
      <c r="E6051" t="inlineStr">
        <is>
          <t>SMT PASSE CABLES ALU POUR COFFRET</t>
        </is>
      </c>
      <c r="F6051" t="inlineStr">
        <is>
          <t>BBB GVM 160-250kVA LITHIUM ION</t>
        </is>
      </c>
      <c r="J6051" t="inlineStr">
        <is>
          <t>MATRION</t>
        </is>
      </c>
      <c r="K6051" t="inlineStr">
        <is>
          <t>METAL</t>
        </is>
      </c>
      <c r="L6051">
        <f>_xlfn.XLOOKUP(Tableau1[[#This Row],[TYPE DE PIECE]],Tableau4[MATIERE],Tableau4[SHORT TYPE],"",0,1)</f>
        <v/>
      </c>
      <c r="N6051">
        <f>IF(ISERR(FIND("DECOUPE",Tableau1[[#This Row],[DESIGNATION]])),"","NEED REF")</f>
        <v/>
      </c>
    </row>
    <row r="6052">
      <c r="B6052" t="n">
        <v>34407953</v>
      </c>
      <c r="C6052" s="2" t="n">
        <v>43725</v>
      </c>
      <c r="D6052" t="inlineStr">
        <is>
          <t>SPEC</t>
        </is>
      </c>
      <c r="E6052" t="inlineStr">
        <is>
          <t>SMT PLASTRON</t>
        </is>
      </c>
      <c r="F6052" t="inlineStr">
        <is>
          <t>BBB GVM 160-250kVA LITHIUM ION</t>
        </is>
      </c>
      <c r="J6052" t="inlineStr">
        <is>
          <t>MATRION</t>
        </is>
      </c>
      <c r="K6052" t="inlineStr">
        <is>
          <t>METAL</t>
        </is>
      </c>
      <c r="L6052">
        <f>_xlfn.XLOOKUP(Tableau1[[#This Row],[TYPE DE PIECE]],Tableau4[MATIERE],Tableau4[SHORT TYPE],"",0,1)</f>
        <v/>
      </c>
      <c r="N6052">
        <f>IF(ISERR(FIND("DECOUPE",Tableau1[[#This Row],[DESIGNATION]])),"","NEED REF")</f>
        <v/>
      </c>
    </row>
    <row r="6053">
      <c r="B6053" t="n">
        <v>34407952</v>
      </c>
      <c r="C6053" s="2" t="n">
        <v>43724</v>
      </c>
      <c r="D6053" t="inlineStr">
        <is>
          <t>SPEC</t>
        </is>
      </c>
      <c r="E6053" t="inlineStr">
        <is>
          <t>SMT RIGHT PROTECTION SHILED SUPPORT</t>
        </is>
      </c>
      <c r="F6053" t="inlineStr">
        <is>
          <t>BBB GVM 160-250kVA LITHIUM ION</t>
        </is>
      </c>
      <c r="J6053" t="inlineStr">
        <is>
          <t>MATRION</t>
        </is>
      </c>
      <c r="K6053" t="inlineStr">
        <is>
          <t>METAL</t>
        </is>
      </c>
      <c r="L6053">
        <f>_xlfn.XLOOKUP(Tableau1[[#This Row],[TYPE DE PIECE]],Tableau4[MATIERE],Tableau4[SHORT TYPE],"",0,1)</f>
        <v/>
      </c>
      <c r="N6053">
        <f>IF(ISERR(FIND("DECOUPE",Tableau1[[#This Row],[DESIGNATION]])),"","NEED REF")</f>
        <v/>
      </c>
    </row>
    <row r="6054">
      <c r="B6054" t="n">
        <v>34407951</v>
      </c>
      <c r="C6054" s="2" t="n">
        <v>43724</v>
      </c>
      <c r="D6054" t="inlineStr">
        <is>
          <t>SPEC</t>
        </is>
      </c>
      <c r="E6054" t="inlineStr">
        <is>
          <t>SMT LEFT PROTECTION SHILED SUPPORT</t>
        </is>
      </c>
      <c r="F6054" t="inlineStr">
        <is>
          <t>BBB GVM 160-250kVA LITHIUM ION</t>
        </is>
      </c>
      <c r="J6054" t="inlineStr">
        <is>
          <t>MATRION</t>
        </is>
      </c>
      <c r="K6054" t="inlineStr">
        <is>
          <t>METAL</t>
        </is>
      </c>
      <c r="L6054">
        <f>_xlfn.XLOOKUP(Tableau1[[#This Row],[TYPE DE PIECE]],Tableau4[MATIERE],Tableau4[SHORT TYPE],"",0,1)</f>
        <v/>
      </c>
      <c r="N6054">
        <f>IF(ISERR(FIND("DECOUPE",Tableau1[[#This Row],[DESIGNATION]])),"","NEED REF")</f>
        <v/>
      </c>
    </row>
    <row r="6055">
      <c r="B6055" t="n">
        <v>34407950</v>
      </c>
      <c r="C6055" s="2" t="n">
        <v>43724</v>
      </c>
      <c r="D6055" t="inlineStr">
        <is>
          <t>SPEC</t>
        </is>
      </c>
      <c r="E6055" t="inlineStr">
        <is>
          <t>KIT FILERIE COFFRET DISPLAY BOX</t>
        </is>
      </c>
      <c r="F6055" t="inlineStr">
        <is>
          <t>BBB GVM 160-250kVA LITHIUM ION</t>
        </is>
      </c>
      <c r="J6055" t="inlineStr">
        <is>
          <t>ÇAKIR</t>
        </is>
      </c>
      <c r="K6055" t="inlineStr">
        <is>
          <t>FILERIES</t>
        </is>
      </c>
      <c r="L6055">
        <f>_xlfn.XLOOKUP(Tableau1[[#This Row],[TYPE DE PIECE]],Tableau4[MATIERE],Tableau4[SHORT TYPE],"",0,1)</f>
        <v/>
      </c>
      <c r="N6055">
        <f>IF(ISERR(FIND("DECOUPE",Tableau1[[#This Row],[DESIGNATION]])),"","NEED REF")</f>
        <v/>
      </c>
    </row>
    <row r="6056">
      <c r="B6056" t="n">
        <v>34407949</v>
      </c>
      <c r="C6056" s="2" t="n">
        <v>43724</v>
      </c>
      <c r="D6056" t="inlineStr">
        <is>
          <t>SPEC</t>
        </is>
      </c>
      <c r="E6056" t="inlineStr">
        <is>
          <t>SMT FIXATION CABLES</t>
        </is>
      </c>
      <c r="F6056" t="inlineStr">
        <is>
          <t>BBB GVM 160-250kVA LITHIUM ION</t>
        </is>
      </c>
      <c r="J6056" t="inlineStr">
        <is>
          <t>MATRION</t>
        </is>
      </c>
      <c r="K6056" t="inlineStr">
        <is>
          <t>METAL</t>
        </is>
      </c>
      <c r="L6056">
        <f>_xlfn.XLOOKUP(Tableau1[[#This Row],[TYPE DE PIECE]],Tableau4[MATIERE],Tableau4[SHORT TYPE],"",0,1)</f>
        <v/>
      </c>
      <c r="N6056">
        <f>IF(ISERR(FIND("DECOUPE",Tableau1[[#This Row],[DESIGNATION]])),"","NEED REF")</f>
        <v/>
      </c>
    </row>
    <row r="6057">
      <c r="B6057" t="n">
        <v>34407948</v>
      </c>
      <c r="C6057" s="2" t="n">
        <v>43724</v>
      </c>
      <c r="D6057" t="inlineStr">
        <is>
          <t>SPEC</t>
        </is>
      </c>
      <c r="E6057" t="inlineStr">
        <is>
          <t>SMT TOIT ALU 3mm</t>
        </is>
      </c>
      <c r="F6057" t="inlineStr">
        <is>
          <t>BBB GVM 160-250kVA LITHIUM ION</t>
        </is>
      </c>
      <c r="J6057" t="inlineStr">
        <is>
          <t>MATRION</t>
        </is>
      </c>
      <c r="K6057" t="inlineStr">
        <is>
          <t>METAL</t>
        </is>
      </c>
      <c r="L6057">
        <f>_xlfn.XLOOKUP(Tableau1[[#This Row],[TYPE DE PIECE]],Tableau4[MATIERE],Tableau4[SHORT TYPE],"",0,1)</f>
        <v/>
      </c>
      <c r="N6057">
        <f>IF(ISERR(FIND("DECOUPE",Tableau1[[#This Row],[DESIGNATION]])),"","NEED REF")</f>
        <v/>
      </c>
    </row>
    <row r="6058">
      <c r="B6058" t="n">
        <v>34407947</v>
      </c>
      <c r="C6058" s="2" t="n">
        <v>43724</v>
      </c>
      <c r="D6058" t="inlineStr">
        <is>
          <t>SPEC</t>
        </is>
      </c>
      <c r="E6058" t="inlineStr">
        <is>
          <t>SMT SUPPORT DJ</t>
        </is>
      </c>
      <c r="F6058" t="inlineStr">
        <is>
          <t>BBB GVM 160-250kVA LITHIUM ION</t>
        </is>
      </c>
      <c r="J6058" t="inlineStr">
        <is>
          <t>MATRION</t>
        </is>
      </c>
      <c r="K6058" t="inlineStr">
        <is>
          <t>METAL</t>
        </is>
      </c>
      <c r="L6058">
        <f>_xlfn.XLOOKUP(Tableau1[[#This Row],[TYPE DE PIECE]],Tableau4[MATIERE],Tableau4[SHORT TYPE],"",0,1)</f>
        <v/>
      </c>
      <c r="N6058">
        <f>IF(ISERR(FIND("DECOUPE",Tableau1[[#This Row],[DESIGNATION]])),"","NEED REF")</f>
        <v/>
      </c>
    </row>
    <row r="6059">
      <c r="B6059" t="n">
        <v>34407946</v>
      </c>
      <c r="C6059" s="2" t="n">
        <v>43724</v>
      </c>
      <c r="D6059" t="inlineStr">
        <is>
          <t>SPEC</t>
        </is>
      </c>
      <c r="E6059" t="inlineStr">
        <is>
          <t>SMT PLATINE DE FOND</t>
        </is>
      </c>
      <c r="F6059" t="inlineStr">
        <is>
          <t>BBB GVM 160-250kVA LITHIUM ION</t>
        </is>
      </c>
      <c r="J6059" t="inlineStr">
        <is>
          <t>MATRION</t>
        </is>
      </c>
      <c r="K6059" t="inlineStr">
        <is>
          <t>METAL</t>
        </is>
      </c>
      <c r="L6059">
        <f>_xlfn.XLOOKUP(Tableau1[[#This Row],[TYPE DE PIECE]],Tableau4[MATIERE],Tableau4[SHORT TYPE],"",0,1)</f>
        <v/>
      </c>
      <c r="N6059">
        <f>IF(ISERR(FIND("DECOUPE",Tableau1[[#This Row],[DESIGNATION]])),"","NEED REF")</f>
        <v/>
      </c>
    </row>
    <row r="6060">
      <c r="B6060" t="n">
        <v>34407945</v>
      </c>
      <c r="C6060" s="2" t="n">
        <v>43719</v>
      </c>
      <c r="D6060" t="inlineStr">
        <is>
          <t>S/E</t>
        </is>
      </c>
      <c r="E6060" t="inlineStr">
        <is>
          <t>S/E MODULE ELECTRONIC STS</t>
        </is>
      </c>
      <c r="F6060" t="inlineStr">
        <is>
          <t>STS</t>
        </is>
      </c>
      <c r="J6060" t="inlineStr">
        <is>
          <t>MATRION</t>
        </is>
      </c>
      <c r="L6060">
        <f>_xlfn.XLOOKUP(Tableau1[[#This Row],[TYPE DE PIECE]],Tableau4[MATIERE],Tableau4[SHORT TYPE],"",0,1)</f>
        <v/>
      </c>
      <c r="N6060">
        <f>IF(ISERR(FIND("DECOUPE",Tableau1[[#This Row],[DESIGNATION]])),"","NEED REF")</f>
        <v/>
      </c>
    </row>
    <row r="6061">
      <c r="B6061" t="n">
        <v>34407944</v>
      </c>
      <c r="C6061" s="2" t="n">
        <v>43719</v>
      </c>
      <c r="D6061" t="inlineStr">
        <is>
          <t>SPEC</t>
        </is>
      </c>
      <c r="E6061" t="inlineStr">
        <is>
          <t>SAREL COFFRET BBB GVM 160-250kVA LITHIUM ION BATTERIES</t>
        </is>
      </c>
      <c r="F6061" t="inlineStr">
        <is>
          <t>BBB GVM 160-250kVA LITHIUM ION</t>
        </is>
      </c>
      <c r="J6061" t="inlineStr">
        <is>
          <t>MATRION</t>
        </is>
      </c>
      <c r="K6061" t="inlineStr">
        <is>
          <t>SAREL</t>
        </is>
      </c>
      <c r="L6061">
        <f>_xlfn.XLOOKUP(Tableau1[[#This Row],[TYPE DE PIECE]],Tableau4[MATIERE],Tableau4[SHORT TYPE],"",0,1)</f>
        <v/>
      </c>
      <c r="N6061">
        <f>IF(ISERR(FIND("DECOUPE",Tableau1[[#This Row],[DESIGNATION]])),"","NEED REF")</f>
        <v/>
      </c>
    </row>
    <row r="6062">
      <c r="B6062" t="n">
        <v>34407943</v>
      </c>
      <c r="C6062" s="2" t="n">
        <v>43719</v>
      </c>
      <c r="D6062" t="inlineStr">
        <is>
          <t>SPEC</t>
        </is>
      </c>
      <c r="E6062" t="inlineStr">
        <is>
          <t>COP RACCORDEMENT BATTERIES 4</t>
        </is>
      </c>
      <c r="F6062" t="inlineStr">
        <is>
          <t>BBB GVM 160-250kVA LITHIUM ION</t>
        </is>
      </c>
      <c r="J6062" t="inlineStr">
        <is>
          <t>MATRION</t>
        </is>
      </c>
      <c r="K6062" t="inlineStr">
        <is>
          <t>CUIVRE</t>
        </is>
      </c>
      <c r="L6062">
        <f>_xlfn.XLOOKUP(Tableau1[[#This Row],[TYPE DE PIECE]],Tableau4[MATIERE],Tableau4[SHORT TYPE],"",0,1)</f>
        <v/>
      </c>
      <c r="N6062">
        <f>IF(ISERR(FIND("DECOUPE",Tableau1[[#This Row],[DESIGNATION]])),"","NEED REF")</f>
        <v/>
      </c>
    </row>
    <row r="6063">
      <c r="B6063" t="n">
        <v>34407942</v>
      </c>
      <c r="C6063" s="2" t="n">
        <v>43719</v>
      </c>
      <c r="D6063" t="inlineStr">
        <is>
          <t>SPEC</t>
        </is>
      </c>
      <c r="E6063" t="inlineStr">
        <is>
          <t>COP RACCORDEMENT BATTERIES 3</t>
        </is>
      </c>
      <c r="F6063" t="inlineStr">
        <is>
          <t>BBB GVM 160-250kVA LITHIUM ION</t>
        </is>
      </c>
      <c r="J6063" t="inlineStr">
        <is>
          <t>MATRION</t>
        </is>
      </c>
      <c r="K6063" t="inlineStr">
        <is>
          <t>CUIVRE</t>
        </is>
      </c>
      <c r="L6063">
        <f>_xlfn.XLOOKUP(Tableau1[[#This Row],[TYPE DE PIECE]],Tableau4[MATIERE],Tableau4[SHORT TYPE],"",0,1)</f>
        <v/>
      </c>
      <c r="N6063">
        <f>IF(ISERR(FIND("DECOUPE",Tableau1[[#This Row],[DESIGNATION]])),"","NEED REF")</f>
        <v/>
      </c>
    </row>
    <row r="6064">
      <c r="B6064" t="n">
        <v>34407941</v>
      </c>
      <c r="C6064" s="2" t="n">
        <v>43719</v>
      </c>
      <c r="D6064" t="inlineStr">
        <is>
          <t>SPEC</t>
        </is>
      </c>
      <c r="E6064" t="inlineStr">
        <is>
          <t>COP RACCORDEMENT BATTERIES 2</t>
        </is>
      </c>
      <c r="F6064" t="inlineStr">
        <is>
          <t>BBB GVM 160-250kVA LITHIUM ION</t>
        </is>
      </c>
      <c r="J6064" t="inlineStr">
        <is>
          <t>MATRION</t>
        </is>
      </c>
      <c r="K6064" t="inlineStr">
        <is>
          <t>CUIVRE</t>
        </is>
      </c>
      <c r="L6064">
        <f>_xlfn.XLOOKUP(Tableau1[[#This Row],[TYPE DE PIECE]],Tableau4[MATIERE],Tableau4[SHORT TYPE],"",0,1)</f>
        <v/>
      </c>
      <c r="N6064">
        <f>IF(ISERR(FIND("DECOUPE",Tableau1[[#This Row],[DESIGNATION]])),"","NEED REF")</f>
        <v/>
      </c>
    </row>
    <row r="6065">
      <c r="B6065" t="n">
        <v>34407940</v>
      </c>
      <c r="C6065" s="2" t="n">
        <v>43719</v>
      </c>
      <c r="D6065" t="inlineStr">
        <is>
          <t>SPEC</t>
        </is>
      </c>
      <c r="E6065" t="inlineStr">
        <is>
          <t>COP RACCORDEMENT BATTERIES 1</t>
        </is>
      </c>
      <c r="F6065" t="inlineStr">
        <is>
          <t>BBB GVM 160-250kVA LITHIUM ION</t>
        </is>
      </c>
      <c r="J6065" t="inlineStr">
        <is>
          <t>MATRION</t>
        </is>
      </c>
      <c r="K6065" t="inlineStr">
        <is>
          <t>CUIVRE</t>
        </is>
      </c>
      <c r="L6065">
        <f>_xlfn.XLOOKUP(Tableau1[[#This Row],[TYPE DE PIECE]],Tableau4[MATIERE],Tableau4[SHORT TYPE],"",0,1)</f>
        <v/>
      </c>
      <c r="N6065">
        <f>IF(ISERR(FIND("DECOUPE",Tableau1[[#This Row],[DESIGNATION]])),"","NEED REF")</f>
        <v/>
      </c>
    </row>
    <row r="6066">
      <c r="B6066" t="n">
        <v>34407939</v>
      </c>
      <c r="C6066" s="2" t="n">
        <v>43719</v>
      </c>
      <c r="D6066" t="inlineStr">
        <is>
          <t>SPEC</t>
        </is>
      </c>
      <c r="E6066" t="inlineStr">
        <is>
          <t>COP DISJONCTEUR BATTERIE JONCTION</t>
        </is>
      </c>
      <c r="F6066" t="inlineStr">
        <is>
          <t>BBB GVM 160-250kVA LITHIUM ION</t>
        </is>
      </c>
      <c r="J6066" t="inlineStr">
        <is>
          <t>MATRION</t>
        </is>
      </c>
      <c r="K6066" t="inlineStr">
        <is>
          <t>CUIVRE</t>
        </is>
      </c>
      <c r="L6066">
        <f>_xlfn.XLOOKUP(Tableau1[[#This Row],[TYPE DE PIECE]],Tableau4[MATIERE],Tableau4[SHORT TYPE],"",0,1)</f>
        <v/>
      </c>
      <c r="N6066">
        <f>IF(ISERR(FIND("DECOUPE",Tableau1[[#This Row],[DESIGNATION]])),"","NEED REF")</f>
        <v/>
      </c>
    </row>
    <row r="6067">
      <c r="B6067" t="n">
        <v>34407938</v>
      </c>
      <c r="C6067" s="2" t="n">
        <v>43719</v>
      </c>
      <c r="D6067" t="inlineStr">
        <is>
          <t>SPEC</t>
        </is>
      </c>
      <c r="J6067" t="inlineStr">
        <is>
          <t>MATRION</t>
        </is>
      </c>
      <c r="L6067">
        <f>_xlfn.XLOOKUP(Tableau1[[#This Row],[TYPE DE PIECE]],Tableau4[MATIERE],Tableau4[SHORT TYPE],"",0,1)</f>
        <v/>
      </c>
      <c r="N6067">
        <f>IF(ISERR(FIND("DECOUPE",Tableau1[[#This Row],[DESIGNATION]])),"","NEED REF")</f>
        <v/>
      </c>
    </row>
    <row r="6068">
      <c r="B6068" t="n">
        <v>34407937</v>
      </c>
      <c r="C6068" s="2" t="n">
        <v>43719</v>
      </c>
      <c r="D6068" t="inlineStr">
        <is>
          <t>SPEC</t>
        </is>
      </c>
      <c r="J6068" t="inlineStr">
        <is>
          <t>  </t>
        </is>
      </c>
      <c r="L6068">
        <f>_xlfn.XLOOKUP(Tableau1[[#This Row],[TYPE DE PIECE]],Tableau4[MATIERE],Tableau4[SHORT TYPE],"",0,1)</f>
        <v/>
      </c>
      <c r="N6068">
        <f>IF(ISERR(FIND("DECOUPE",Tableau1[[#This Row],[DESIGNATION]])),"","NEED REF")</f>
        <v/>
      </c>
    </row>
    <row r="6069">
      <c r="B6069" t="n">
        <v>34407936</v>
      </c>
      <c r="C6069" s="2" t="n">
        <v>43719</v>
      </c>
      <c r="D6069" t="inlineStr">
        <is>
          <t>SPEC</t>
        </is>
      </c>
      <c r="J6069" t="inlineStr">
        <is>
          <t>MATRION</t>
        </is>
      </c>
      <c r="L6069">
        <f>_xlfn.XLOOKUP(Tableau1[[#This Row],[TYPE DE PIECE]],Tableau4[MATIERE],Tableau4[SHORT TYPE],"",0,1)</f>
        <v/>
      </c>
      <c r="N6069">
        <f>IF(ISERR(FIND("DECOUPE",Tableau1[[#This Row],[DESIGNATION]])),"","NEED REF")</f>
        <v/>
      </c>
    </row>
    <row r="6070">
      <c r="B6070" t="n">
        <v>34407935</v>
      </c>
      <c r="C6070" s="2" t="n">
        <v>43719</v>
      </c>
      <c r="D6070" t="inlineStr">
        <is>
          <t>SPEC</t>
        </is>
      </c>
      <c r="J6070" t="inlineStr">
        <is>
          <t>MASCELLINO</t>
        </is>
      </c>
      <c r="L6070">
        <f>_xlfn.XLOOKUP(Tableau1[[#This Row],[TYPE DE PIECE]],Tableau4[MATIERE],Tableau4[SHORT TYPE],"",0,1)</f>
        <v/>
      </c>
      <c r="N6070">
        <f>IF(ISERR(FIND("DECOUPE",Tableau1[[#This Row],[DESIGNATION]])),"","NEED REF")</f>
        <v/>
      </c>
    </row>
    <row r="6071">
      <c r="B6071" t="n">
        <v>34407934</v>
      </c>
      <c r="C6071" s="2" t="n">
        <v>43717</v>
      </c>
      <c r="D6071" t="inlineStr">
        <is>
          <t>SPEC</t>
        </is>
      </c>
      <c r="E6071" t="inlineStr">
        <is>
          <t>CAPOT IP20 SUVT COFFRET PHILIPS</t>
        </is>
      </c>
      <c r="F6071" t="inlineStr">
        <is>
          <t>SUVT</t>
        </is>
      </c>
      <c r="J6071" t="inlineStr">
        <is>
          <t>ÇAKIR</t>
        </is>
      </c>
      <c r="K6071" t="inlineStr">
        <is>
          <t>MAKROLON</t>
        </is>
      </c>
      <c r="L6071">
        <f>_xlfn.XLOOKUP(Tableau1[[#This Row],[TYPE DE PIECE]],Tableau4[MATIERE],Tableau4[SHORT TYPE],"",0,1)</f>
        <v/>
      </c>
      <c r="N6071">
        <f>IF(ISERR(FIND("DECOUPE",Tableau1[[#This Row],[DESIGNATION]])),"","NEED REF")</f>
        <v/>
      </c>
    </row>
    <row r="6072">
      <c r="B6072" t="n">
        <v>34407933</v>
      </c>
      <c r="C6072" s="2" t="n">
        <v>43714</v>
      </c>
      <c r="D6072" t="inlineStr">
        <is>
          <t>SPEC</t>
        </is>
      </c>
      <c r="E6072" t="inlineStr">
        <is>
          <t>WIRE ASSY PBUS 2 PARALLEL 30M - Similaire à 0W7996C</t>
        </is>
      </c>
      <c r="F6072" t="inlineStr">
        <is>
          <t>Valhal</t>
        </is>
      </c>
      <c r="J6072" t="inlineStr">
        <is>
          <t>MONGELLI</t>
        </is>
      </c>
      <c r="L6072">
        <f>_xlfn.XLOOKUP(Tableau1[[#This Row],[TYPE DE PIECE]],Tableau4[MATIERE],Tableau4[SHORT TYPE],"",0,1)</f>
        <v/>
      </c>
      <c r="N6072">
        <f>IF(ISERR(FIND("DECOUPE",Tableau1[[#This Row],[DESIGNATION]])),"","NEED REF")</f>
        <v/>
      </c>
    </row>
    <row r="6073">
      <c r="B6073" t="n">
        <v>34407932</v>
      </c>
      <c r="C6073" s="2" t="n">
        <v>43714</v>
      </c>
      <c r="D6073" t="inlineStr">
        <is>
          <t>SPEC</t>
        </is>
      </c>
      <c r="E6073" t="inlineStr">
        <is>
          <t>WIRE ASSY PBUS 1 PARALLEL 30M - Similaire à 0W7995C</t>
        </is>
      </c>
      <c r="F6073" t="inlineStr">
        <is>
          <t>Valhal</t>
        </is>
      </c>
      <c r="J6073" t="inlineStr">
        <is>
          <t>MONGELLI</t>
        </is>
      </c>
      <c r="L6073">
        <f>_xlfn.XLOOKUP(Tableau1[[#This Row],[TYPE DE PIECE]],Tableau4[MATIERE],Tableau4[SHORT TYPE],"",0,1)</f>
        <v/>
      </c>
      <c r="N6073">
        <f>IF(ISERR(FIND("DECOUPE",Tableau1[[#This Row],[DESIGNATION]])),"","NEED REF")</f>
        <v/>
      </c>
    </row>
    <row r="6074">
      <c r="B6074" t="n">
        <v>34407931</v>
      </c>
      <c r="C6074" s="2" t="n">
        <v>43714</v>
      </c>
      <c r="D6074" t="inlineStr">
        <is>
          <t>SPEC</t>
        </is>
      </c>
      <c r="E6074" t="inlineStr">
        <is>
          <t>RESERVE</t>
        </is>
      </c>
      <c r="L6074">
        <f>_xlfn.XLOOKUP(Tableau1[[#This Row],[TYPE DE PIECE]],Tableau4[MATIERE],Tableau4[SHORT TYPE],"",0,1)</f>
        <v/>
      </c>
      <c r="N6074">
        <f>IF(ISERR(FIND("DECOUPE",Tableau1[[#This Row],[DESIGNATION]])),"","NEED REF")</f>
        <v/>
      </c>
    </row>
    <row r="6075">
      <c r="B6075" t="n">
        <v>34407930</v>
      </c>
      <c r="C6075" s="2" t="n">
        <v>43714</v>
      </c>
      <c r="D6075" t="inlineStr">
        <is>
          <t>SPEC</t>
        </is>
      </c>
      <c r="E6075" t="inlineStr">
        <is>
          <t>COUPE RAIL DIN</t>
        </is>
      </c>
      <c r="L6075">
        <f>_xlfn.XLOOKUP(Tableau1[[#This Row],[TYPE DE PIECE]],Tableau4[MATIERE],Tableau4[SHORT TYPE],"",0,1)</f>
        <v/>
      </c>
      <c r="N6075">
        <f>IF(ISERR(FIND("DECOUPE",Tableau1[[#This Row],[DESIGNATION]])),"","NEED REF")</f>
        <v/>
      </c>
    </row>
    <row r="6076">
      <c r="B6076" t="n">
        <v>34407929</v>
      </c>
      <c r="C6076" s="2" t="n">
        <v>43714</v>
      </c>
      <c r="D6076" t="inlineStr">
        <is>
          <t>SPEC</t>
        </is>
      </c>
      <c r="E6076" t="inlineStr">
        <is>
          <t>SMT SUPPORT PE VERTICALE</t>
        </is>
      </c>
      <c r="F6076" t="inlineStr">
        <is>
          <t>G7K DC PULL CABINET WITH FUSES</t>
        </is>
      </c>
      <c r="J6076" t="inlineStr">
        <is>
          <t>MATRION</t>
        </is>
      </c>
      <c r="K6076" t="inlineStr">
        <is>
          <t>METAL</t>
        </is>
      </c>
      <c r="L6076">
        <f>_xlfn.XLOOKUP(Tableau1[[#This Row],[TYPE DE PIECE]],Tableau4[MATIERE],Tableau4[SHORT TYPE],"",0,1)</f>
        <v/>
      </c>
      <c r="N6076">
        <f>IF(ISERR(FIND("DECOUPE",Tableau1[[#This Row],[DESIGNATION]])),"","NEED REF")</f>
        <v/>
      </c>
    </row>
    <row r="6077">
      <c r="B6077" t="n">
        <v>34407928</v>
      </c>
      <c r="C6077" s="2" t="n">
        <v>43714</v>
      </c>
      <c r="D6077" t="inlineStr">
        <is>
          <t>SPEC</t>
        </is>
      </c>
      <c r="E6077" t="inlineStr">
        <is>
          <t>SMT PLASTRON 2xNS630 DC</t>
        </is>
      </c>
      <c r="F6077" t="inlineStr">
        <is>
          <t>G7K DC PULL CABINET WITH FUSES</t>
        </is>
      </c>
      <c r="J6077" t="inlineStr">
        <is>
          <t>MATRION</t>
        </is>
      </c>
      <c r="K6077" t="inlineStr">
        <is>
          <t>METAL</t>
        </is>
      </c>
      <c r="L6077">
        <f>_xlfn.XLOOKUP(Tableau1[[#This Row],[TYPE DE PIECE]],Tableau4[MATIERE],Tableau4[SHORT TYPE],"",0,1)</f>
        <v/>
      </c>
      <c r="N6077">
        <f>IF(ISERR(FIND("DECOUPE",Tableau1[[#This Row],[DESIGNATION]])),"","NEED REF")</f>
        <v/>
      </c>
    </row>
    <row r="6078">
      <c r="B6078" t="n">
        <v>34407927</v>
      </c>
      <c r="C6078" s="2" t="n">
        <v>43714</v>
      </c>
      <c r="D6078" t="inlineStr">
        <is>
          <t>SPEC</t>
        </is>
      </c>
      <c r="E6078" t="inlineStr">
        <is>
          <t>SMT FIXATION CABLES UPS</t>
        </is>
      </c>
      <c r="F6078" t="inlineStr">
        <is>
          <t>G7K DC PULL CABINET WITH FUSES</t>
        </is>
      </c>
      <c r="J6078" t="inlineStr">
        <is>
          <t>MATRION</t>
        </is>
      </c>
      <c r="K6078" t="inlineStr">
        <is>
          <t>METAL</t>
        </is>
      </c>
      <c r="L6078">
        <f>_xlfn.XLOOKUP(Tableau1[[#This Row],[TYPE DE PIECE]],Tableau4[MATIERE],Tableau4[SHORT TYPE],"",0,1)</f>
        <v/>
      </c>
      <c r="N6078">
        <f>IF(ISERR(FIND("DECOUPE",Tableau1[[#This Row],[DESIGNATION]])),"","NEED REF")</f>
        <v/>
      </c>
    </row>
    <row r="6079">
      <c r="B6079" t="n">
        <v>34407926</v>
      </c>
      <c r="C6079" s="2" t="n">
        <v>43714</v>
      </c>
      <c r="D6079" t="inlineStr">
        <is>
          <t>SPEC</t>
        </is>
      </c>
      <c r="E6079" t="inlineStr">
        <is>
          <t>SMT SUPPORT 2xNSX630 DC</t>
        </is>
      </c>
      <c r="F6079" t="inlineStr">
        <is>
          <t>G7K DC PULL CABINET WITH FUSES</t>
        </is>
      </c>
      <c r="J6079" t="inlineStr">
        <is>
          <t>MATRION</t>
        </is>
      </c>
      <c r="K6079" t="inlineStr">
        <is>
          <t>METAL</t>
        </is>
      </c>
      <c r="L6079">
        <f>_xlfn.XLOOKUP(Tableau1[[#This Row],[TYPE DE PIECE]],Tableau4[MATIERE],Tableau4[SHORT TYPE],"",0,1)</f>
        <v/>
      </c>
      <c r="N6079">
        <f>IF(ISERR(FIND("DECOUPE",Tableau1[[#This Row],[DESIGNATION]])),"","NEED REF")</f>
        <v/>
      </c>
    </row>
    <row r="6080">
      <c r="B6080" t="n">
        <v>34407925</v>
      </c>
      <c r="C6080" s="2" t="n">
        <v>43714</v>
      </c>
      <c r="D6080" t="inlineStr">
        <is>
          <t>SPEC</t>
        </is>
      </c>
      <c r="E6080" t="inlineStr">
        <is>
          <t>SMT TOIT PASSE CABLE ARRIERE</t>
        </is>
      </c>
      <c r="F6080" t="inlineStr">
        <is>
          <t>G7K DC PULL CABINET WITH FUSES</t>
        </is>
      </c>
      <c r="J6080" t="inlineStr">
        <is>
          <t>MATRION</t>
        </is>
      </c>
      <c r="K6080" t="inlineStr">
        <is>
          <t>METAL</t>
        </is>
      </c>
      <c r="L6080">
        <f>_xlfn.XLOOKUP(Tableau1[[#This Row],[TYPE DE PIECE]],Tableau4[MATIERE],Tableau4[SHORT TYPE],"",0,1)</f>
        <v/>
      </c>
      <c r="N6080">
        <f>IF(ISERR(FIND("DECOUPE",Tableau1[[#This Row],[DESIGNATION]])),"","NEED REF")</f>
        <v/>
      </c>
    </row>
    <row r="6081">
      <c r="B6081" t="n">
        <v>34407924</v>
      </c>
      <c r="C6081" s="2" t="n">
        <v>43714</v>
      </c>
      <c r="D6081" t="inlineStr">
        <is>
          <t>SPEC</t>
        </is>
      </c>
      <c r="E6081" t="inlineStr">
        <is>
          <t>SMT TOIT AVANT</t>
        </is>
      </c>
      <c r="F6081" t="inlineStr">
        <is>
          <t>G7K DC PULL CABINET WITH FUSES</t>
        </is>
      </c>
      <c r="J6081" t="inlineStr">
        <is>
          <t>MATRION</t>
        </is>
      </c>
      <c r="K6081" t="inlineStr">
        <is>
          <t>METAL</t>
        </is>
      </c>
      <c r="L6081">
        <f>_xlfn.XLOOKUP(Tableau1[[#This Row],[TYPE DE PIECE]],Tableau4[MATIERE],Tableau4[SHORT TYPE],"",0,1)</f>
        <v/>
      </c>
      <c r="N6081">
        <f>IF(ISERR(FIND("DECOUPE",Tableau1[[#This Row],[DESIGNATION]])),"","NEED REF")</f>
        <v/>
      </c>
    </row>
    <row r="6082">
      <c r="B6082" t="n">
        <v>34407923</v>
      </c>
      <c r="C6082" s="2" t="n">
        <v>43714</v>
      </c>
      <c r="D6082" t="inlineStr">
        <is>
          <t>SPEC</t>
        </is>
      </c>
      <c r="E6082" t="inlineStr">
        <is>
          <t>SMT SUPPORT RACCORDEMENT UPS 2</t>
        </is>
      </c>
      <c r="F6082" t="inlineStr">
        <is>
          <t>G7K DC PULL CABINET WITH FUSES</t>
        </is>
      </c>
      <c r="J6082" t="inlineStr">
        <is>
          <t>MATRION</t>
        </is>
      </c>
      <c r="K6082" t="inlineStr">
        <is>
          <t>METAL</t>
        </is>
      </c>
      <c r="L6082">
        <f>_xlfn.XLOOKUP(Tableau1[[#This Row],[TYPE DE PIECE]],Tableau4[MATIERE],Tableau4[SHORT TYPE],"",0,1)</f>
        <v/>
      </c>
      <c r="N6082">
        <f>IF(ISERR(FIND("DECOUPE",Tableau1[[#This Row],[DESIGNATION]])),"","NEED REF")</f>
        <v/>
      </c>
    </row>
    <row r="6083">
      <c r="B6083" t="n">
        <v>34407922</v>
      </c>
      <c r="C6083" s="2" t="n">
        <v>43714</v>
      </c>
      <c r="D6083" t="inlineStr">
        <is>
          <t>SPEC</t>
        </is>
      </c>
      <c r="E6083" t="inlineStr">
        <is>
          <t>SMT TRAVERSE RACCORDEMENT BATT</t>
        </is>
      </c>
      <c r="F6083" t="inlineStr">
        <is>
          <t>G7K DC PULL CABINET WITH FUSES</t>
        </is>
      </c>
      <c r="J6083" t="inlineStr">
        <is>
          <t>MATRION</t>
        </is>
      </c>
      <c r="K6083" t="inlineStr">
        <is>
          <t>METAL</t>
        </is>
      </c>
      <c r="L6083">
        <f>_xlfn.XLOOKUP(Tableau1[[#This Row],[TYPE DE PIECE]],Tableau4[MATIERE],Tableau4[SHORT TYPE],"",0,1)</f>
        <v/>
      </c>
      <c r="N6083">
        <f>IF(ISERR(FIND("DECOUPE",Tableau1[[#This Row],[DESIGNATION]])),"","NEED REF")</f>
        <v/>
      </c>
    </row>
    <row r="6084">
      <c r="B6084" t="n">
        <v>34407921</v>
      </c>
      <c r="C6084" s="2" t="n">
        <v>43714</v>
      </c>
      <c r="D6084" t="inlineStr">
        <is>
          <t>SPEC</t>
        </is>
      </c>
      <c r="E6084" t="inlineStr">
        <is>
          <t>SMT SUPPORT RACCORDEMENT UPS 1</t>
        </is>
      </c>
      <c r="F6084" t="inlineStr">
        <is>
          <t>G7K DC PULL CABINET WITH FUSES</t>
        </is>
      </c>
      <c r="J6084" t="inlineStr">
        <is>
          <t>MATRION</t>
        </is>
      </c>
      <c r="K6084" t="inlineStr">
        <is>
          <t>METAL</t>
        </is>
      </c>
      <c r="L6084">
        <f>_xlfn.XLOOKUP(Tableau1[[#This Row],[TYPE DE PIECE]],Tableau4[MATIERE],Tableau4[SHORT TYPE],"",0,1)</f>
        <v/>
      </c>
      <c r="N6084">
        <f>IF(ISERR(FIND("DECOUPE",Tableau1[[#This Row],[DESIGNATION]])),"","NEED REF")</f>
        <v/>
      </c>
    </row>
    <row r="6085">
      <c r="B6085" t="n">
        <v>34407920</v>
      </c>
      <c r="C6085" s="2" t="n">
        <v>43714</v>
      </c>
      <c r="D6085" t="inlineStr">
        <is>
          <t>SPEC</t>
        </is>
      </c>
      <c r="E6085" t="inlineStr">
        <is>
          <t>SMT SUPPORT RACCORDEMENT BATT</t>
        </is>
      </c>
      <c r="F6085" t="inlineStr">
        <is>
          <t>G7K DC PULL CABINET WITH FUSES</t>
        </is>
      </c>
      <c r="J6085" t="inlineStr">
        <is>
          <t>MATRION</t>
        </is>
      </c>
      <c r="K6085" t="inlineStr">
        <is>
          <t>METAL</t>
        </is>
      </c>
      <c r="L6085">
        <f>_xlfn.XLOOKUP(Tableau1[[#This Row],[TYPE DE PIECE]],Tableau4[MATIERE],Tableau4[SHORT TYPE],"",0,1)</f>
        <v/>
      </c>
      <c r="N6085">
        <f>IF(ISERR(FIND("DECOUPE",Tableau1[[#This Row],[DESIGNATION]])),"","NEED REF")</f>
        <v/>
      </c>
    </row>
    <row r="6086">
      <c r="B6086" t="n">
        <v>34407919</v>
      </c>
      <c r="C6086" s="2" t="n">
        <v>43713</v>
      </c>
      <c r="D6086" t="inlineStr">
        <is>
          <t>SPEC</t>
        </is>
      </c>
      <c r="E6086" t="inlineStr">
        <is>
          <t>BARRE DE TERRE</t>
        </is>
      </c>
      <c r="F6086" t="inlineStr">
        <is>
          <t>BYPASS EASY UPS</t>
        </is>
      </c>
      <c r="J6086" t="inlineStr">
        <is>
          <t>ROBERT</t>
        </is>
      </c>
      <c r="K6086" t="inlineStr">
        <is>
          <t>CUIVRE</t>
        </is>
      </c>
      <c r="L6086">
        <f>_xlfn.XLOOKUP(Tableau1[[#This Row],[TYPE DE PIECE]],Tableau4[MATIERE],Tableau4[SHORT TYPE],"",0,1)</f>
        <v/>
      </c>
      <c r="N6086">
        <f>IF(ISERR(FIND("DECOUPE",Tableau1[[#This Row],[DESIGNATION]])),"","NEED REF")</f>
        <v/>
      </c>
    </row>
    <row r="6087">
      <c r="B6087" t="n">
        <v>34407918</v>
      </c>
      <c r="C6087" s="2" t="n">
        <v>43713</v>
      </c>
      <c r="D6087" t="inlineStr">
        <is>
          <t>SPEC</t>
        </is>
      </c>
      <c r="E6087" t="inlineStr">
        <is>
          <t>FIX CABLES BORNIERS</t>
        </is>
      </c>
      <c r="F6087" t="inlineStr">
        <is>
          <t>BYPASS EASY UPS</t>
        </is>
      </c>
      <c r="J6087" t="inlineStr">
        <is>
          <t>ROBERT</t>
        </is>
      </c>
      <c r="K6087" t="inlineStr">
        <is>
          <t>METAL</t>
        </is>
      </c>
      <c r="L6087">
        <f>_xlfn.XLOOKUP(Tableau1[[#This Row],[TYPE DE PIECE]],Tableau4[MATIERE],Tableau4[SHORT TYPE],"",0,1)</f>
        <v/>
      </c>
      <c r="N6087">
        <f>IF(ISERR(FIND("DECOUPE",Tableau1[[#This Row],[DESIGNATION]])),"","NEED REF")</f>
        <v/>
      </c>
    </row>
    <row r="6088">
      <c r="B6088" t="n">
        <v>34407917</v>
      </c>
      <c r="C6088" s="2" t="n">
        <v>43713</v>
      </c>
      <c r="D6088" t="inlineStr">
        <is>
          <t>SPEC</t>
        </is>
      </c>
      <c r="E6088" t="inlineStr">
        <is>
          <t>FIX CABLES UOB</t>
        </is>
      </c>
      <c r="F6088" t="inlineStr">
        <is>
          <t>BYPASS EASY UPS</t>
        </is>
      </c>
      <c r="J6088" t="inlineStr">
        <is>
          <t>ROBERT</t>
        </is>
      </c>
      <c r="K6088" t="inlineStr">
        <is>
          <t>METAL</t>
        </is>
      </c>
      <c r="L6088">
        <f>_xlfn.XLOOKUP(Tableau1[[#This Row],[TYPE DE PIECE]],Tableau4[MATIERE],Tableau4[SHORT TYPE],"",0,1)</f>
        <v/>
      </c>
      <c r="N6088">
        <f>IF(ISERR(FIND("DECOUPE",Tableau1[[#This Row],[DESIGNATION]])),"","NEED REF")</f>
        <v/>
      </c>
    </row>
    <row r="6089">
      <c r="B6089" t="n">
        <v>34407916</v>
      </c>
      <c r="C6089" s="2" t="n">
        <v>43713</v>
      </c>
      <c r="D6089" t="inlineStr">
        <is>
          <t>SPEC</t>
        </is>
      </c>
      <c r="E6089" t="inlineStr">
        <is>
          <t>PLASTRON BORNIERS</t>
        </is>
      </c>
      <c r="F6089" t="inlineStr">
        <is>
          <t>BYPASS EASY UPS</t>
        </is>
      </c>
      <c r="J6089" t="inlineStr">
        <is>
          <t>ROBERT</t>
        </is>
      </c>
      <c r="K6089" t="inlineStr">
        <is>
          <t>METAL</t>
        </is>
      </c>
      <c r="L6089">
        <f>_xlfn.XLOOKUP(Tableau1[[#This Row],[TYPE DE PIECE]],Tableau4[MATIERE],Tableau4[SHORT TYPE],"",0,1)</f>
        <v/>
      </c>
      <c r="N6089">
        <f>IF(ISERR(FIND("DECOUPE",Tableau1[[#This Row],[DESIGNATION]])),"","NEED REF")</f>
        <v/>
      </c>
    </row>
    <row r="6090">
      <c r="B6090" t="n">
        <v>34407915</v>
      </c>
      <c r="C6090" s="2" t="n">
        <v>43713</v>
      </c>
      <c r="D6090" t="inlineStr">
        <is>
          <t>SPEC</t>
        </is>
      </c>
      <c r="E6090" t="inlineStr">
        <is>
          <t>PLASTRON UOB</t>
        </is>
      </c>
      <c r="F6090" t="inlineStr">
        <is>
          <t>BYPASS EASY UPS</t>
        </is>
      </c>
      <c r="J6090" t="inlineStr">
        <is>
          <t>ROBERT</t>
        </is>
      </c>
      <c r="K6090" t="inlineStr">
        <is>
          <t>METAL</t>
        </is>
      </c>
      <c r="L6090">
        <f>_xlfn.XLOOKUP(Tableau1[[#This Row],[TYPE DE PIECE]],Tableau4[MATIERE],Tableau4[SHORT TYPE],"",0,1)</f>
        <v/>
      </c>
      <c r="N6090">
        <f>IF(ISERR(FIND("DECOUPE",Tableau1[[#This Row],[DESIGNATION]])),"","NEED REF")</f>
        <v/>
      </c>
    </row>
    <row r="6091">
      <c r="B6091" t="n">
        <v>34407914</v>
      </c>
      <c r="C6091" s="2" t="n">
        <v>43713</v>
      </c>
      <c r="D6091" t="inlineStr">
        <is>
          <t>SPEC</t>
        </is>
      </c>
      <c r="E6091" t="inlineStr">
        <is>
          <t xml:space="preserve">PLASTRON BYPASS </t>
        </is>
      </c>
      <c r="F6091" t="inlineStr">
        <is>
          <t>BYPASS EASY UPS</t>
        </is>
      </c>
      <c r="J6091" t="inlineStr">
        <is>
          <t>ROBERT</t>
        </is>
      </c>
      <c r="K6091" t="inlineStr">
        <is>
          <t>METAL</t>
        </is>
      </c>
      <c r="L6091">
        <f>_xlfn.XLOOKUP(Tableau1[[#This Row],[TYPE DE PIECE]],Tableau4[MATIERE],Tableau4[SHORT TYPE],"",0,1)</f>
        <v/>
      </c>
      <c r="N6091">
        <f>IF(ISERR(FIND("DECOUPE",Tableau1[[#This Row],[DESIGNATION]])),"","NEED REF")</f>
        <v/>
      </c>
    </row>
    <row r="6092">
      <c r="B6092" t="n">
        <v>34407913</v>
      </c>
      <c r="C6092" s="2" t="n">
        <v>43713</v>
      </c>
      <c r="D6092" t="inlineStr">
        <is>
          <t>SPEC</t>
        </is>
      </c>
      <c r="E6092" t="inlineStr">
        <is>
          <t>EQUERRE PLASTRONS GAUCHE</t>
        </is>
      </c>
      <c r="F6092" t="inlineStr">
        <is>
          <t>BYPASS EASY UPS</t>
        </is>
      </c>
      <c r="J6092" t="inlineStr">
        <is>
          <t>ROBERT</t>
        </is>
      </c>
      <c r="K6092" t="inlineStr">
        <is>
          <t>METAL</t>
        </is>
      </c>
      <c r="L6092">
        <f>_xlfn.XLOOKUP(Tableau1[[#This Row],[TYPE DE PIECE]],Tableau4[MATIERE],Tableau4[SHORT TYPE],"",0,1)</f>
        <v/>
      </c>
      <c r="N6092">
        <f>IF(ISERR(FIND("DECOUPE",Tableau1[[#This Row],[DESIGNATION]])),"","NEED REF")</f>
        <v/>
      </c>
    </row>
    <row r="6093">
      <c r="B6093" t="n">
        <v>34407912</v>
      </c>
      <c r="C6093" s="2" t="n">
        <v>43713</v>
      </c>
      <c r="D6093" t="inlineStr">
        <is>
          <t>SPEC</t>
        </is>
      </c>
      <c r="E6093" t="inlineStr">
        <is>
          <t>EQUERRE PLASTRONS DROITE</t>
        </is>
      </c>
      <c r="F6093" t="inlineStr">
        <is>
          <t>BYPASS EASY UPS</t>
        </is>
      </c>
      <c r="J6093" t="inlineStr">
        <is>
          <t>ROBERT</t>
        </is>
      </c>
      <c r="K6093" t="inlineStr">
        <is>
          <t>METAL</t>
        </is>
      </c>
      <c r="L6093">
        <f>_xlfn.XLOOKUP(Tableau1[[#This Row],[TYPE DE PIECE]],Tableau4[MATIERE],Tableau4[SHORT TYPE],"",0,1)</f>
        <v/>
      </c>
      <c r="N6093">
        <f>IF(ISERR(FIND("DECOUPE",Tableau1[[#This Row],[DESIGNATION]])),"","NEED REF")</f>
        <v/>
      </c>
    </row>
    <row r="6094">
      <c r="B6094" t="n">
        <v>34407911</v>
      </c>
      <c r="C6094" s="2" t="n">
        <v>43713</v>
      </c>
      <c r="D6094" t="inlineStr">
        <is>
          <t>SPEC</t>
        </is>
      </c>
      <c r="E6094" t="inlineStr">
        <is>
          <t>SUPPORT BORNIERS</t>
        </is>
      </c>
      <c r="F6094" t="inlineStr">
        <is>
          <t>BYPASS EASY UPS</t>
        </is>
      </c>
      <c r="J6094" t="inlineStr">
        <is>
          <t>ROBERT</t>
        </is>
      </c>
      <c r="K6094" t="inlineStr">
        <is>
          <t>METAL</t>
        </is>
      </c>
      <c r="L6094">
        <f>_xlfn.XLOOKUP(Tableau1[[#This Row],[TYPE DE PIECE]],Tableau4[MATIERE],Tableau4[SHORT TYPE],"",0,1)</f>
        <v/>
      </c>
      <c r="N6094">
        <f>IF(ISERR(FIND("DECOUPE",Tableau1[[#This Row],[DESIGNATION]])),"","NEED REF")</f>
        <v/>
      </c>
    </row>
    <row r="6095">
      <c r="B6095" t="n">
        <v>34407910</v>
      </c>
      <c r="C6095" s="2" t="n">
        <v>43713</v>
      </c>
      <c r="D6095" t="inlineStr">
        <is>
          <t>SPEC</t>
        </is>
      </c>
      <c r="E6095" t="inlineStr">
        <is>
          <t>SUPPORT UOB 1-3</t>
        </is>
      </c>
      <c r="F6095" t="inlineStr">
        <is>
          <t>BYPASS EASY UPS</t>
        </is>
      </c>
      <c r="J6095" t="inlineStr">
        <is>
          <t>ROBERT</t>
        </is>
      </c>
      <c r="K6095" t="inlineStr">
        <is>
          <t>METAL</t>
        </is>
      </c>
      <c r="L6095">
        <f>_xlfn.XLOOKUP(Tableau1[[#This Row],[TYPE DE PIECE]],Tableau4[MATIERE],Tableau4[SHORT TYPE],"",0,1)</f>
        <v/>
      </c>
      <c r="N6095">
        <f>IF(ISERR(FIND("DECOUPE",Tableau1[[#This Row],[DESIGNATION]])),"","NEED REF")</f>
        <v/>
      </c>
    </row>
    <row r="6096">
      <c r="B6096" t="n">
        <v>34407909</v>
      </c>
      <c r="C6096" s="2" t="n">
        <v>43713</v>
      </c>
      <c r="D6096" t="inlineStr">
        <is>
          <t>SPEC</t>
        </is>
      </c>
      <c r="E6096" t="inlineStr">
        <is>
          <t>SUPPORT NSX</t>
        </is>
      </c>
      <c r="F6096" t="inlineStr">
        <is>
          <t>BYPASS EASY UPS</t>
        </is>
      </c>
      <c r="J6096" t="inlineStr">
        <is>
          <t>ROBERT</t>
        </is>
      </c>
      <c r="K6096" t="inlineStr">
        <is>
          <t>METAL</t>
        </is>
      </c>
      <c r="L6096">
        <f>_xlfn.XLOOKUP(Tableau1[[#This Row],[TYPE DE PIECE]],Tableau4[MATIERE],Tableau4[SHORT TYPE],"",0,1)</f>
        <v/>
      </c>
      <c r="N6096">
        <f>IF(ISERR(FIND("DECOUPE",Tableau1[[#This Row],[DESIGNATION]])),"","NEED REF")</f>
        <v/>
      </c>
    </row>
    <row r="6097">
      <c r="B6097" t="n">
        <v>34407908</v>
      </c>
      <c r="C6097" s="2" t="n">
        <v>43713</v>
      </c>
      <c r="D6097" t="inlineStr">
        <is>
          <t>SPEC</t>
        </is>
      </c>
      <c r="E6097" t="inlineStr">
        <is>
          <t>SUPPORT SSIB-UOB</t>
        </is>
      </c>
      <c r="F6097" t="inlineStr">
        <is>
          <t>BYPASS EASY UPS</t>
        </is>
      </c>
      <c r="J6097" t="inlineStr">
        <is>
          <t>ROBERT</t>
        </is>
      </c>
      <c r="K6097" t="inlineStr">
        <is>
          <t>METAL</t>
        </is>
      </c>
      <c r="L6097">
        <f>_xlfn.XLOOKUP(Tableau1[[#This Row],[TYPE DE PIECE]],Tableau4[MATIERE],Tableau4[SHORT TYPE],"",0,1)</f>
        <v/>
      </c>
      <c r="N6097">
        <f>IF(ISERR(FIND("DECOUPE",Tableau1[[#This Row],[DESIGNATION]])),"","NEED REF")</f>
        <v/>
      </c>
    </row>
    <row r="6098">
      <c r="B6098" t="n">
        <v>34407907</v>
      </c>
      <c r="C6098" s="2" t="n">
        <v>43713</v>
      </c>
      <c r="D6098" t="inlineStr">
        <is>
          <t>SPEC</t>
        </is>
      </c>
      <c r="E6098" t="inlineStr">
        <is>
          <t>PLATINE</t>
        </is>
      </c>
      <c r="F6098" t="inlineStr">
        <is>
          <t>BYPASS EASY UPS</t>
        </is>
      </c>
      <c r="J6098" t="inlineStr">
        <is>
          <t>ROBERT</t>
        </is>
      </c>
      <c r="K6098" t="inlineStr">
        <is>
          <t>METAL</t>
        </is>
      </c>
      <c r="L6098">
        <f>_xlfn.XLOOKUP(Tableau1[[#This Row],[TYPE DE PIECE]],Tableau4[MATIERE],Tableau4[SHORT TYPE],"",0,1)</f>
        <v/>
      </c>
      <c r="N6098">
        <f>IF(ISERR(FIND("DECOUPE",Tableau1[[#This Row],[DESIGNATION]])),"","NEED REF")</f>
        <v/>
      </c>
    </row>
    <row r="6099">
      <c r="B6099" t="n">
        <v>34407906</v>
      </c>
      <c r="C6099" s="2" t="n">
        <v>43711</v>
      </c>
      <c r="D6099" t="inlineStr">
        <is>
          <t>SPEC</t>
        </is>
      </c>
      <c r="E6099" t="inlineStr">
        <is>
          <t>RESERVE</t>
        </is>
      </c>
      <c r="L6099">
        <f>_xlfn.XLOOKUP(Tableau1[[#This Row],[TYPE DE PIECE]],Tableau4[MATIERE],Tableau4[SHORT TYPE],"",0,1)</f>
        <v/>
      </c>
      <c r="N6099">
        <f>IF(ISERR(FIND("DECOUPE",Tableau1[[#This Row],[DESIGNATION]])),"","NEED REF")</f>
        <v/>
      </c>
    </row>
    <row r="6100">
      <c r="B6100" t="n">
        <v>34407905</v>
      </c>
      <c r="C6100" s="2" t="n">
        <v>43711</v>
      </c>
      <c r="D6100" t="inlineStr">
        <is>
          <t>SPEC</t>
        </is>
      </c>
      <c r="E6100" t="inlineStr">
        <is>
          <t>RESERVE</t>
        </is>
      </c>
      <c r="L6100">
        <f>_xlfn.XLOOKUP(Tableau1[[#This Row],[TYPE DE PIECE]],Tableau4[MATIERE],Tableau4[SHORT TYPE],"",0,1)</f>
        <v/>
      </c>
      <c r="N6100">
        <f>IF(ISERR(FIND("DECOUPE",Tableau1[[#This Row],[DESIGNATION]])),"","NEED REF")</f>
        <v/>
      </c>
    </row>
    <row r="6101">
      <c r="B6101" t="n">
        <v>34407904</v>
      </c>
      <c r="C6101" s="2" t="n">
        <v>43711</v>
      </c>
      <c r="D6101" t="inlineStr">
        <is>
          <t>SPEC</t>
        </is>
      </c>
      <c r="E6101" t="inlineStr">
        <is>
          <t>COP RACCORDEMENT UPS 4x240MM 2</t>
        </is>
      </c>
      <c r="F6101" t="inlineStr">
        <is>
          <t>G7K DC PULL CABINET WITH FUSES</t>
        </is>
      </c>
      <c r="J6101" t="inlineStr">
        <is>
          <t>MATRION</t>
        </is>
      </c>
      <c r="K6101" t="inlineStr">
        <is>
          <t>CUIVRE</t>
        </is>
      </c>
      <c r="L6101">
        <f>_xlfn.XLOOKUP(Tableau1[[#This Row],[TYPE DE PIECE]],Tableau4[MATIERE],Tableau4[SHORT TYPE],"",0,1)</f>
        <v/>
      </c>
      <c r="N6101">
        <f>IF(ISERR(FIND("DECOUPE",Tableau1[[#This Row],[DESIGNATION]])),"","NEED REF")</f>
        <v/>
      </c>
    </row>
    <row r="6102">
      <c r="B6102" t="n">
        <v>34407903</v>
      </c>
      <c r="C6102" s="2" t="n">
        <v>43711</v>
      </c>
      <c r="D6102" t="inlineStr">
        <is>
          <t>SPEC</t>
        </is>
      </c>
      <c r="E6102" t="inlineStr">
        <is>
          <t>SMT DECOUPE LINERGY 04564 650MM</t>
        </is>
      </c>
      <c r="F6102" t="inlineStr">
        <is>
          <t>G7K DC PULL CABINET WITH FUSES</t>
        </is>
      </c>
      <c r="J6102" t="inlineStr">
        <is>
          <t>MATRION</t>
        </is>
      </c>
      <c r="K6102" t="inlineStr">
        <is>
          <t>METAL</t>
        </is>
      </c>
      <c r="L6102">
        <f>_xlfn.XLOOKUP(Tableau1[[#This Row],[TYPE DE PIECE]],Tableau4[MATIERE],Tableau4[SHORT TYPE],"",0,1)</f>
        <v/>
      </c>
      <c r="N6102" t="inlineStr">
        <is>
          <t>LVS04564</t>
        </is>
      </c>
    </row>
    <row r="6103">
      <c r="B6103" t="n">
        <v>34407902</v>
      </c>
      <c r="C6103" s="2" t="n">
        <v>43711</v>
      </c>
      <c r="D6103" t="inlineStr">
        <is>
          <t>SPEC</t>
        </is>
      </c>
      <c r="E6103" t="inlineStr">
        <is>
          <t>COP RACCORDEMENT UPS 4x240MM 1</t>
        </is>
      </c>
      <c r="F6103" t="inlineStr">
        <is>
          <t>G7K DC PULL CABINET WITH FUSES</t>
        </is>
      </c>
      <c r="J6103" t="inlineStr">
        <is>
          <t>MATRION</t>
        </is>
      </c>
      <c r="K6103" t="inlineStr">
        <is>
          <t>CUIVRE</t>
        </is>
      </c>
      <c r="L6103">
        <f>_xlfn.XLOOKUP(Tableau1[[#This Row],[TYPE DE PIECE]],Tableau4[MATIERE],Tableau4[SHORT TYPE],"",0,1)</f>
        <v/>
      </c>
      <c r="N6103">
        <f>IF(ISERR(FIND("DECOUPE",Tableau1[[#This Row],[DESIGNATION]])),"","NEED REF")</f>
        <v/>
      </c>
    </row>
    <row r="6104">
      <c r="B6104" t="n">
        <v>34407901</v>
      </c>
      <c r="C6104" s="2" t="n">
        <v>43711</v>
      </c>
      <c r="D6104" t="inlineStr">
        <is>
          <t>SPEC</t>
        </is>
      </c>
      <c r="E6104" t="inlineStr">
        <is>
          <t>COP LIAISON BAT 3</t>
        </is>
      </c>
      <c r="F6104" t="inlineStr">
        <is>
          <t>G7K DC PULL CABINET WITH FUSES</t>
        </is>
      </c>
      <c r="J6104" t="inlineStr">
        <is>
          <t>MATRION</t>
        </is>
      </c>
      <c r="K6104" t="inlineStr">
        <is>
          <t>CUIVRE</t>
        </is>
      </c>
      <c r="L6104">
        <f>_xlfn.XLOOKUP(Tableau1[[#This Row],[TYPE DE PIECE]],Tableau4[MATIERE],Tableau4[SHORT TYPE],"",0,1)</f>
        <v/>
      </c>
      <c r="N6104">
        <f>IF(ISERR(FIND("DECOUPE",Tableau1[[#This Row],[DESIGNATION]])),"","NEED REF")</f>
        <v/>
      </c>
    </row>
    <row r="6105">
      <c r="B6105" t="n">
        <v>34407900</v>
      </c>
      <c r="C6105" s="2" t="n">
        <v>43711</v>
      </c>
      <c r="D6105" t="inlineStr">
        <is>
          <t>SPEC</t>
        </is>
      </c>
      <c r="E6105" t="inlineStr">
        <is>
          <t>COP LIAISON BAT 2</t>
        </is>
      </c>
      <c r="F6105" t="inlineStr">
        <is>
          <t>G7K DC PULL CABINET WITH FUSES</t>
        </is>
      </c>
      <c r="J6105" t="inlineStr">
        <is>
          <t>MATRION</t>
        </is>
      </c>
      <c r="K6105" t="inlineStr">
        <is>
          <t>CUIVRE</t>
        </is>
      </c>
      <c r="L6105">
        <f>_xlfn.XLOOKUP(Tableau1[[#This Row],[TYPE DE PIECE]],Tableau4[MATIERE],Tableau4[SHORT TYPE],"",0,1)</f>
        <v/>
      </c>
      <c r="N6105">
        <f>IF(ISERR(FIND("DECOUPE",Tableau1[[#This Row],[DESIGNATION]])),"","NEED REF")</f>
        <v/>
      </c>
    </row>
    <row r="6106">
      <c r="B6106" t="n">
        <v>34407899</v>
      </c>
      <c r="C6106" s="2" t="n">
        <v>43711</v>
      </c>
      <c r="D6106" t="inlineStr">
        <is>
          <t>SPEC</t>
        </is>
      </c>
      <c r="E6106" t="inlineStr">
        <is>
          <t>COP LIAISON BAT 1</t>
        </is>
      </c>
      <c r="F6106" t="inlineStr">
        <is>
          <t>G7K DC PULL CABINET WITH FUSES</t>
        </is>
      </c>
      <c r="J6106" t="inlineStr">
        <is>
          <t>MATRION</t>
        </is>
      </c>
      <c r="K6106" t="inlineStr">
        <is>
          <t>CUIVRE</t>
        </is>
      </c>
      <c r="L6106">
        <f>_xlfn.XLOOKUP(Tableau1[[#This Row],[TYPE DE PIECE]],Tableau4[MATIERE],Tableau4[SHORT TYPE],"",0,1)</f>
        <v/>
      </c>
      <c r="N6106">
        <f>IF(ISERR(FIND("DECOUPE",Tableau1[[#This Row],[DESIGNATION]])),"","NEED REF")</f>
        <v/>
      </c>
    </row>
    <row r="6107">
      <c r="B6107" t="n">
        <v>34407898</v>
      </c>
      <c r="C6107" s="2" t="n">
        <v>43711</v>
      </c>
      <c r="D6107" t="inlineStr">
        <is>
          <t>SPEC</t>
        </is>
      </c>
      <c r="E6107" t="inlineStr">
        <is>
          <t>COP RACCORDEMENT BAT 12x240MM</t>
        </is>
      </c>
      <c r="F6107" t="inlineStr">
        <is>
          <t>G7K DC PULL CABINET WITH FUSES</t>
        </is>
      </c>
      <c r="J6107" t="inlineStr">
        <is>
          <t>MATRION</t>
        </is>
      </c>
      <c r="K6107" t="inlineStr">
        <is>
          <t>CUIVRE</t>
        </is>
      </c>
      <c r="L6107">
        <f>_xlfn.XLOOKUP(Tableau1[[#This Row],[TYPE DE PIECE]],Tableau4[MATIERE],Tableau4[SHORT TYPE],"",0,1)</f>
        <v/>
      </c>
      <c r="N6107">
        <f>IF(ISERR(FIND("DECOUPE",Tableau1[[#This Row],[DESIGNATION]])),"","NEED REF")</f>
        <v/>
      </c>
    </row>
    <row r="6108">
      <c r="B6108" t="n">
        <v>34407897</v>
      </c>
      <c r="C6108" s="2" t="n">
        <v>43703</v>
      </c>
      <c r="D6108" t="inlineStr">
        <is>
          <t>SPEC</t>
        </is>
      </c>
      <c r="E6108" t="inlineStr">
        <is>
          <t>COP PE FEEDUNIT 1000/800 2</t>
        </is>
      </c>
      <c r="F6108" t="inlineStr">
        <is>
          <t>GVX IO 1000</t>
        </is>
      </c>
      <c r="L6108">
        <f>_xlfn.XLOOKUP(Tableau1[[#This Row],[TYPE DE PIECE]],Tableau4[MATIERE],Tableau4[SHORT TYPE],"",0,1)</f>
        <v/>
      </c>
      <c r="N6108">
        <f>IF(ISERR(FIND("DECOUPE",Tableau1[[#This Row],[DESIGNATION]])),"","NEED REF")</f>
        <v/>
      </c>
    </row>
    <row r="6109">
      <c r="B6109" t="n">
        <v>34407896</v>
      </c>
      <c r="C6109" s="2" t="n">
        <v>43703</v>
      </c>
      <c r="D6109" t="inlineStr">
        <is>
          <t>SPEC</t>
        </is>
      </c>
      <c r="E6109" t="inlineStr">
        <is>
          <t>COP PE FEEDUNIT 1000/800 1</t>
        </is>
      </c>
      <c r="F6109" t="inlineStr">
        <is>
          <t>GVX IO 1000</t>
        </is>
      </c>
      <c r="L6109">
        <f>_xlfn.XLOOKUP(Tableau1[[#This Row],[TYPE DE PIECE]],Tableau4[MATIERE],Tableau4[SHORT TYPE],"",0,1)</f>
        <v/>
      </c>
      <c r="N6109">
        <f>IF(ISERR(FIND("DECOUPE",Tableau1[[#This Row],[DESIGNATION]])),"","NEED REF")</f>
        <v/>
      </c>
    </row>
    <row r="6110">
      <c r="B6110" t="n">
        <v>34407895</v>
      </c>
      <c r="C6110" s="2" t="n">
        <v>43703</v>
      </c>
      <c r="D6110" t="inlineStr">
        <is>
          <t>SPEC</t>
        </is>
      </c>
      <c r="E6110" t="inlineStr">
        <is>
          <t>SMT TOIT PASSE CABLES BATTERIE</t>
        </is>
      </c>
      <c r="F6110" t="inlineStr">
        <is>
          <t>GVX IO 1000</t>
        </is>
      </c>
      <c r="L6110">
        <f>_xlfn.XLOOKUP(Tableau1[[#This Row],[TYPE DE PIECE]],Tableau4[MATIERE],Tableau4[SHORT TYPE],"",0,1)</f>
        <v/>
      </c>
      <c r="N6110">
        <f>IF(ISERR(FIND("DECOUPE",Tableau1[[#This Row],[DESIGNATION]])),"","NEED REF")</f>
        <v/>
      </c>
    </row>
    <row r="6111">
      <c r="B6111" t="n">
        <v>34407894</v>
      </c>
      <c r="C6111" s="2" t="n">
        <v>43703</v>
      </c>
      <c r="D6111" t="inlineStr">
        <is>
          <t>SPEC</t>
        </is>
      </c>
      <c r="E6111" t="inlineStr">
        <is>
          <t>SMT TOIT TGAB 6</t>
        </is>
      </c>
      <c r="F6111" t="inlineStr">
        <is>
          <t>GVX IO 1000</t>
        </is>
      </c>
      <c r="L6111">
        <f>_xlfn.XLOOKUP(Tableau1[[#This Row],[TYPE DE PIECE]],Tableau4[MATIERE],Tableau4[SHORT TYPE],"",0,1)</f>
        <v/>
      </c>
      <c r="N6111">
        <f>IF(ISERR(FIND("DECOUPE",Tableau1[[#This Row],[DESIGNATION]])),"","NEED REF")</f>
        <v/>
      </c>
    </row>
    <row r="6112">
      <c r="B6112" t="n">
        <v>34407893</v>
      </c>
      <c r="C6112" s="2" t="n">
        <v>43703</v>
      </c>
      <c r="D6112" t="inlineStr">
        <is>
          <t>SPEC</t>
        </is>
      </c>
      <c r="E6112" t="inlineStr">
        <is>
          <t>SMT TOIT TGAB 5</t>
        </is>
      </c>
      <c r="F6112" t="inlineStr">
        <is>
          <t>GVX IO 1000</t>
        </is>
      </c>
      <c r="L6112">
        <f>_xlfn.XLOOKUP(Tableau1[[#This Row],[TYPE DE PIECE]],Tableau4[MATIERE],Tableau4[SHORT TYPE],"",0,1)</f>
        <v/>
      </c>
      <c r="N6112">
        <f>IF(ISERR(FIND("DECOUPE",Tableau1[[#This Row],[DESIGNATION]])),"","NEED REF")</f>
        <v/>
      </c>
    </row>
    <row r="6113">
      <c r="B6113" t="n">
        <v>34407892</v>
      </c>
      <c r="C6113" s="2" t="n">
        <v>43703</v>
      </c>
      <c r="D6113" t="inlineStr">
        <is>
          <t>SPEC</t>
        </is>
      </c>
      <c r="E6113" t="inlineStr">
        <is>
          <t>SMT TOIT TGAB 4</t>
        </is>
      </c>
      <c r="F6113" t="inlineStr">
        <is>
          <t>GVX IO 1000</t>
        </is>
      </c>
      <c r="L6113">
        <f>_xlfn.XLOOKUP(Tableau1[[#This Row],[TYPE DE PIECE]],Tableau4[MATIERE],Tableau4[SHORT TYPE],"",0,1)</f>
        <v/>
      </c>
      <c r="N6113">
        <f>IF(ISERR(FIND("DECOUPE",Tableau1[[#This Row],[DESIGNATION]])),"","NEED REF")</f>
        <v/>
      </c>
    </row>
    <row r="6114">
      <c r="B6114" t="n">
        <v>34407891</v>
      </c>
      <c r="C6114" s="2" t="n">
        <v>43703</v>
      </c>
      <c r="D6114" t="inlineStr">
        <is>
          <t>SPEC</t>
        </is>
      </c>
      <c r="E6114" t="inlineStr">
        <is>
          <t>SMT TOIT TGAB 3</t>
        </is>
      </c>
      <c r="F6114" t="inlineStr">
        <is>
          <t>GVX IO 1000</t>
        </is>
      </c>
      <c r="L6114">
        <f>_xlfn.XLOOKUP(Tableau1[[#This Row],[TYPE DE PIECE]],Tableau4[MATIERE],Tableau4[SHORT TYPE],"",0,1)</f>
        <v/>
      </c>
      <c r="N6114">
        <f>IF(ISERR(FIND("DECOUPE",Tableau1[[#This Row],[DESIGNATION]])),"","NEED REF")</f>
        <v/>
      </c>
    </row>
    <row r="6115">
      <c r="B6115" t="n">
        <v>34407890</v>
      </c>
      <c r="C6115" s="2" t="n">
        <v>43703</v>
      </c>
      <c r="D6115" t="inlineStr">
        <is>
          <t>SPEC</t>
        </is>
      </c>
      <c r="E6115" t="inlineStr">
        <is>
          <t>SMT TOIT TGAB 2</t>
        </is>
      </c>
      <c r="F6115" t="inlineStr">
        <is>
          <t>GVX IO 1000</t>
        </is>
      </c>
      <c r="L6115">
        <f>_xlfn.XLOOKUP(Tableau1[[#This Row],[TYPE DE PIECE]],Tableau4[MATIERE],Tableau4[SHORT TYPE],"",0,1)</f>
        <v/>
      </c>
      <c r="N6115">
        <f>IF(ISERR(FIND("DECOUPE",Tableau1[[#This Row],[DESIGNATION]])),"","NEED REF")</f>
        <v/>
      </c>
    </row>
    <row r="6116">
      <c r="B6116" t="n">
        <v>34407889</v>
      </c>
      <c r="C6116" s="2" t="n">
        <v>43703</v>
      </c>
      <c r="D6116" t="inlineStr">
        <is>
          <t>SPEC</t>
        </is>
      </c>
      <c r="E6116" t="inlineStr">
        <is>
          <t>SMT TOIT TGAB 1</t>
        </is>
      </c>
      <c r="F6116" t="inlineStr">
        <is>
          <t>GVX IO 1000</t>
        </is>
      </c>
      <c r="L6116">
        <f>_xlfn.XLOOKUP(Tableau1[[#This Row],[TYPE DE PIECE]],Tableau4[MATIERE],Tableau4[SHORT TYPE],"",0,1)</f>
        <v/>
      </c>
      <c r="N6116">
        <f>IF(ISERR(FIND("DECOUPE",Tableau1[[#This Row],[DESIGNATION]])),"","NEED REF")</f>
        <v/>
      </c>
    </row>
    <row r="6117">
      <c r="B6117" t="n">
        <v>34407888</v>
      </c>
      <c r="C6117" s="2" t="n">
        <v>43703</v>
      </c>
      <c r="D6117" t="inlineStr">
        <is>
          <t>SPEC</t>
        </is>
      </c>
      <c r="E6117" t="inlineStr">
        <is>
          <t>SMT TRAVERSE DE TOIT</t>
        </is>
      </c>
      <c r="F6117" t="inlineStr">
        <is>
          <t>GVX IO 1000</t>
        </is>
      </c>
      <c r="L6117">
        <f>_xlfn.XLOOKUP(Tableau1[[#This Row],[TYPE DE PIECE]],Tableau4[MATIERE],Tableau4[SHORT TYPE],"",0,1)</f>
        <v/>
      </c>
      <c r="N6117">
        <f>IF(ISERR(FIND("DECOUPE",Tableau1[[#This Row],[DESIGNATION]])),"","NEED REF")</f>
        <v/>
      </c>
    </row>
    <row r="6118">
      <c r="B6118" t="n">
        <v>34407887</v>
      </c>
      <c r="C6118" s="2" t="n">
        <v>43703</v>
      </c>
      <c r="D6118" t="inlineStr">
        <is>
          <t>SPEC</t>
        </is>
      </c>
      <c r="E6118" t="inlineStr">
        <is>
          <t>SMT TRAVERSE DE TOIT</t>
        </is>
      </c>
      <c r="F6118" t="inlineStr">
        <is>
          <t>GVX IO 1000</t>
        </is>
      </c>
      <c r="L6118">
        <f>_xlfn.XLOOKUP(Tableau1[[#This Row],[TYPE DE PIECE]],Tableau4[MATIERE],Tableau4[SHORT TYPE],"",0,1)</f>
        <v/>
      </c>
      <c r="N6118">
        <f>IF(ISERR(FIND("DECOUPE",Tableau1[[#This Row],[DESIGNATION]])),"","NEED REF")</f>
        <v/>
      </c>
    </row>
    <row r="6119">
      <c r="B6119" t="n">
        <v>34407886</v>
      </c>
      <c r="C6119" s="2" t="n">
        <v>43703</v>
      </c>
      <c r="D6119" t="inlineStr">
        <is>
          <t>SPEC</t>
        </is>
      </c>
      <c r="E6119" t="inlineStr">
        <is>
          <t>COP NEUTRE 2</t>
        </is>
      </c>
      <c r="F6119" t="inlineStr">
        <is>
          <t>GVX IO 1000</t>
        </is>
      </c>
      <c r="L6119">
        <f>_xlfn.XLOOKUP(Tableau1[[#This Row],[TYPE DE PIECE]],Tableau4[MATIERE],Tableau4[SHORT TYPE],"",0,1)</f>
        <v/>
      </c>
      <c r="N6119">
        <f>IF(ISERR(FIND("DECOUPE",Tableau1[[#This Row],[DESIGNATION]])),"","NEED REF")</f>
        <v/>
      </c>
    </row>
    <row r="6120">
      <c r="B6120" t="n">
        <v>34407885</v>
      </c>
      <c r="C6120" s="2" t="n">
        <v>43703</v>
      </c>
      <c r="D6120" t="inlineStr">
        <is>
          <t>SPEC</t>
        </is>
      </c>
      <c r="E6120" t="inlineStr">
        <is>
          <t>COP NEUTRE 1</t>
        </is>
      </c>
      <c r="F6120" t="inlineStr">
        <is>
          <t>GVX IO 1000</t>
        </is>
      </c>
      <c r="L6120">
        <f>_xlfn.XLOOKUP(Tableau1[[#This Row],[TYPE DE PIECE]],Tableau4[MATIERE],Tableau4[SHORT TYPE],"",0,1)</f>
        <v/>
      </c>
      <c r="N6120">
        <f>IF(ISERR(FIND("DECOUPE",Tableau1[[#This Row],[DESIGNATION]])),"","NEED REF")</f>
        <v/>
      </c>
    </row>
    <row r="6121">
      <c r="B6121" t="n">
        <v>34407884</v>
      </c>
      <c r="C6121" s="2" t="n">
        <v>43703</v>
      </c>
      <c r="D6121" t="inlineStr">
        <is>
          <t>SPEC</t>
        </is>
      </c>
      <c r="E6121" t="inlineStr">
        <is>
          <t>COP EQUERRE 4</t>
        </is>
      </c>
      <c r="F6121" t="inlineStr">
        <is>
          <t>GVX IO 1000</t>
        </is>
      </c>
      <c r="L6121">
        <f>_xlfn.XLOOKUP(Tableau1[[#This Row],[TYPE DE PIECE]],Tableau4[MATIERE],Tableau4[SHORT TYPE],"",0,1)</f>
        <v/>
      </c>
      <c r="N6121">
        <f>IF(ISERR(FIND("DECOUPE",Tableau1[[#This Row],[DESIGNATION]])),"","NEED REF")</f>
        <v/>
      </c>
    </row>
    <row r="6122">
      <c r="B6122" t="n">
        <v>34407883</v>
      </c>
      <c r="C6122" s="2" t="n">
        <v>43703</v>
      </c>
      <c r="D6122" t="inlineStr">
        <is>
          <t>SPEC</t>
        </is>
      </c>
      <c r="E6122" t="inlineStr">
        <is>
          <t>COP EQUERRE 3</t>
        </is>
      </c>
      <c r="F6122" t="inlineStr">
        <is>
          <t>GVX IO 1000</t>
        </is>
      </c>
      <c r="L6122">
        <f>_xlfn.XLOOKUP(Tableau1[[#This Row],[TYPE DE PIECE]],Tableau4[MATIERE],Tableau4[SHORT TYPE],"",0,1)</f>
        <v/>
      </c>
      <c r="N6122">
        <f>IF(ISERR(FIND("DECOUPE",Tableau1[[#This Row],[DESIGNATION]])),"","NEED REF")</f>
        <v/>
      </c>
    </row>
    <row r="6123">
      <c r="B6123" t="n">
        <v>34407882</v>
      </c>
      <c r="C6123" s="2" t="n">
        <v>43703</v>
      </c>
      <c r="D6123" t="inlineStr">
        <is>
          <t>SPEC</t>
        </is>
      </c>
      <c r="E6123" t="inlineStr">
        <is>
          <t>COP EQUERRE 2</t>
        </is>
      </c>
      <c r="F6123" t="inlineStr">
        <is>
          <t>GVX IO 1000</t>
        </is>
      </c>
      <c r="L6123">
        <f>_xlfn.XLOOKUP(Tableau1[[#This Row],[TYPE DE PIECE]],Tableau4[MATIERE],Tableau4[SHORT TYPE],"",0,1)</f>
        <v/>
      </c>
      <c r="N6123">
        <f>IF(ISERR(FIND("DECOUPE",Tableau1[[#This Row],[DESIGNATION]])),"","NEED REF")</f>
        <v/>
      </c>
    </row>
    <row r="6124">
      <c r="B6124" t="n">
        <v>34407881</v>
      </c>
      <c r="C6124" s="2" t="n">
        <v>43703</v>
      </c>
      <c r="D6124" t="inlineStr">
        <is>
          <t>SPEC</t>
        </is>
      </c>
      <c r="E6124" t="inlineStr">
        <is>
          <t>COP EQUERRE 1</t>
        </is>
      </c>
      <c r="F6124" t="inlineStr">
        <is>
          <t>GVX IO 1000</t>
        </is>
      </c>
      <c r="L6124">
        <f>_xlfn.XLOOKUP(Tableau1[[#This Row],[TYPE DE PIECE]],Tableau4[MATIERE],Tableau4[SHORT TYPE],"",0,1)</f>
        <v/>
      </c>
      <c r="N6124">
        <f>IF(ISERR(FIND("DECOUPE",Tableau1[[#This Row],[DESIGNATION]])),"","NEED REF")</f>
        <v/>
      </c>
    </row>
    <row r="6125">
      <c r="B6125" t="n">
        <v>34407880</v>
      </c>
      <c r="C6125" s="2" t="n">
        <v>43703</v>
      </c>
      <c r="D6125" t="inlineStr">
        <is>
          <t>SPEC</t>
        </is>
      </c>
      <c r="E6125" t="inlineStr">
        <is>
          <t>COP LIAISON TGAB 8</t>
        </is>
      </c>
      <c r="F6125" t="inlineStr">
        <is>
          <t>GVX IO 1000</t>
        </is>
      </c>
      <c r="L6125">
        <f>_xlfn.XLOOKUP(Tableau1[[#This Row],[TYPE DE PIECE]],Tableau4[MATIERE],Tableau4[SHORT TYPE],"",0,1)</f>
        <v/>
      </c>
      <c r="N6125">
        <f>IF(ISERR(FIND("DECOUPE",Tableau1[[#This Row],[DESIGNATION]])),"","NEED REF")</f>
        <v/>
      </c>
    </row>
    <row r="6126">
      <c r="B6126" t="n">
        <v>34407879</v>
      </c>
      <c r="C6126" s="2" t="n">
        <v>43703</v>
      </c>
      <c r="D6126" t="inlineStr">
        <is>
          <t>SPEC</t>
        </is>
      </c>
      <c r="E6126" t="inlineStr">
        <is>
          <t>COP LIAISON TGAB 4</t>
        </is>
      </c>
      <c r="F6126" t="inlineStr">
        <is>
          <t>GVX IO 1000</t>
        </is>
      </c>
      <c r="L6126">
        <f>_xlfn.XLOOKUP(Tableau1[[#This Row],[TYPE DE PIECE]],Tableau4[MATIERE],Tableau4[SHORT TYPE],"",0,1)</f>
        <v/>
      </c>
      <c r="N6126">
        <f>IF(ISERR(FIND("DECOUPE",Tableau1[[#This Row],[DESIGNATION]])),"","NEED REF")</f>
        <v/>
      </c>
    </row>
    <row r="6127">
      <c r="B6127" t="n">
        <v>34407878</v>
      </c>
      <c r="C6127" s="2" t="n">
        <v>43703</v>
      </c>
      <c r="D6127" t="inlineStr">
        <is>
          <t>SPEC</t>
        </is>
      </c>
      <c r="E6127" t="inlineStr">
        <is>
          <t>COP LIAISON TGAB 3</t>
        </is>
      </c>
      <c r="F6127" t="inlineStr">
        <is>
          <t>GVX IO 1000</t>
        </is>
      </c>
      <c r="L6127">
        <f>_xlfn.XLOOKUP(Tableau1[[#This Row],[TYPE DE PIECE]],Tableau4[MATIERE],Tableau4[SHORT TYPE],"",0,1)</f>
        <v/>
      </c>
      <c r="N6127">
        <f>IF(ISERR(FIND("DECOUPE",Tableau1[[#This Row],[DESIGNATION]])),"","NEED REF")</f>
        <v/>
      </c>
    </row>
    <row r="6128">
      <c r="B6128" t="n">
        <v>34407877</v>
      </c>
      <c r="C6128" s="2" t="n">
        <v>43703</v>
      </c>
      <c r="D6128" t="inlineStr">
        <is>
          <t>SPEC</t>
        </is>
      </c>
      <c r="E6128" t="inlineStr">
        <is>
          <t>COP LIAISON TGAB 2</t>
        </is>
      </c>
      <c r="F6128" t="inlineStr">
        <is>
          <t>GVX IO 1000</t>
        </is>
      </c>
      <c r="L6128">
        <f>_xlfn.XLOOKUP(Tableau1[[#This Row],[TYPE DE PIECE]],Tableau4[MATIERE],Tableau4[SHORT TYPE],"",0,1)</f>
        <v/>
      </c>
      <c r="N6128">
        <f>IF(ISERR(FIND("DECOUPE",Tableau1[[#This Row],[DESIGNATION]])),"","NEED REF")</f>
        <v/>
      </c>
    </row>
    <row r="6129">
      <c r="B6129" t="n">
        <v>34407876</v>
      </c>
      <c r="C6129" s="2" t="n">
        <v>43703</v>
      </c>
      <c r="D6129" t="inlineStr">
        <is>
          <t>SPEC</t>
        </is>
      </c>
      <c r="E6129" t="inlineStr">
        <is>
          <t>COP LIAISON TGAB 1</t>
        </is>
      </c>
      <c r="F6129" t="inlineStr">
        <is>
          <t>GVX IO 1000</t>
        </is>
      </c>
      <c r="L6129">
        <f>_xlfn.XLOOKUP(Tableau1[[#This Row],[TYPE DE PIECE]],Tableau4[MATIERE],Tableau4[SHORT TYPE],"",0,1)</f>
        <v/>
      </c>
      <c r="N6129">
        <f>IF(ISERR(FIND("DECOUPE",Tableau1[[#This Row],[DESIGNATION]])),"","NEED REF")</f>
        <v/>
      </c>
    </row>
    <row r="6130">
      <c r="B6130" t="n">
        <v>34407875</v>
      </c>
      <c r="C6130" s="2" t="n">
        <v>43700</v>
      </c>
      <c r="D6130" t="inlineStr">
        <is>
          <t>SPEC</t>
        </is>
      </c>
      <c r="E6130" t="inlineStr">
        <is>
          <t>COMPACT NS1250 NA 3P (33488)</t>
        </is>
      </c>
      <c r="F6130" t="inlineStr">
        <is>
          <t>GVX MBC 500kVA TNC</t>
        </is>
      </c>
      <c r="L6130">
        <f>_xlfn.XLOOKUP(Tableau1[[#This Row],[TYPE DE PIECE]],Tableau4[MATIERE],Tableau4[SHORT TYPE],"",0,1)</f>
        <v/>
      </c>
      <c r="N6130">
        <f>IF(ISERR(FIND("DECOUPE",Tableau1[[#This Row],[DESIGNATION]])),"","NEED REF")</f>
        <v/>
      </c>
    </row>
    <row r="6131">
      <c r="B6131" t="n">
        <v>34407874</v>
      </c>
      <c r="C6131" s="2" t="n">
        <v>43700</v>
      </c>
      <c r="D6131" t="inlineStr">
        <is>
          <t>SPEC</t>
        </is>
      </c>
      <c r="E6131" t="inlineStr">
        <is>
          <t>COP PONTAGE PE/PEN</t>
        </is>
      </c>
      <c r="F6131" t="inlineStr">
        <is>
          <t>GVX MBC 500kVA TNC</t>
        </is>
      </c>
      <c r="L6131">
        <f>_xlfn.XLOOKUP(Tableau1[[#This Row],[TYPE DE PIECE]],Tableau4[MATIERE],Tableau4[SHORT TYPE],"",0,1)</f>
        <v/>
      </c>
      <c r="N6131">
        <f>IF(ISERR(FIND("DECOUPE",Tableau1[[#This Row],[DESIGNATION]])),"","NEED REF")</f>
        <v/>
      </c>
    </row>
    <row r="6132">
      <c r="B6132" t="n">
        <v>34407873</v>
      </c>
      <c r="C6132" s="2" t="n">
        <v>43700</v>
      </c>
      <c r="D6132" t="inlineStr">
        <is>
          <t>SPEC</t>
        </is>
      </c>
      <c r="E6132" t="inlineStr">
        <is>
          <t>SMT SUPPORT PE/PEN VERTICALE</t>
        </is>
      </c>
      <c r="F6132" t="inlineStr">
        <is>
          <t>GVX MBC 500kVA TNC</t>
        </is>
      </c>
      <c r="K6132" t="inlineStr">
        <is>
          <t>METAL</t>
        </is>
      </c>
      <c r="L6132">
        <f>_xlfn.XLOOKUP(Tableau1[[#This Row],[TYPE DE PIECE]],Tableau4[MATIERE],Tableau4[SHORT TYPE],"",0,1)</f>
        <v/>
      </c>
      <c r="N6132">
        <f>IF(ISERR(FIND("DECOUPE",Tableau1[[#This Row],[DESIGNATION]])),"","NEED REF")</f>
        <v/>
      </c>
    </row>
    <row r="6133">
      <c r="B6133" t="n">
        <v>34407872</v>
      </c>
      <c r="C6133" s="2" t="n">
        <v>43699</v>
      </c>
      <c r="D6133" t="inlineStr">
        <is>
          <t>SPEC</t>
        </is>
      </c>
      <c r="E6133" t="inlineStr">
        <is>
          <t>SMT TOIT PASSE CABLE ARRIERE</t>
        </is>
      </c>
      <c r="F6133" t="inlineStr">
        <is>
          <t>GVX MBC 500kVA TNC</t>
        </is>
      </c>
      <c r="K6133" t="inlineStr">
        <is>
          <t>METAL</t>
        </is>
      </c>
      <c r="L6133">
        <f>_xlfn.XLOOKUP(Tableau1[[#This Row],[TYPE DE PIECE]],Tableau4[MATIERE],Tableau4[SHORT TYPE],"",0,1)</f>
        <v/>
      </c>
      <c r="N6133">
        <f>IF(ISERR(FIND("DECOUPE",Tableau1[[#This Row],[DESIGNATION]])),"","NEED REF")</f>
        <v/>
      </c>
    </row>
    <row r="6134">
      <c r="B6134" t="n">
        <v>34407871</v>
      </c>
      <c r="C6134" s="2" t="n">
        <v>43699</v>
      </c>
      <c r="D6134" t="inlineStr">
        <is>
          <t>SPEC</t>
        </is>
      </c>
      <c r="E6134" t="inlineStr">
        <is>
          <t>COP RACCORDEMENT PE/PEN 500MM</t>
        </is>
      </c>
      <c r="F6134" t="inlineStr">
        <is>
          <t>GVX MBC 500kVA TNC</t>
        </is>
      </c>
      <c r="L6134">
        <f>_xlfn.XLOOKUP(Tableau1[[#This Row],[TYPE DE PIECE]],Tableau4[MATIERE],Tableau4[SHORT TYPE],"",0,1)</f>
        <v/>
      </c>
      <c r="N6134">
        <f>IF(ISERR(FIND("DECOUPE",Tableau1[[#This Row],[DESIGNATION]])),"","NEED REF")</f>
        <v/>
      </c>
    </row>
    <row r="6135">
      <c r="B6135" t="n">
        <v>34407870</v>
      </c>
      <c r="C6135" s="2" t="n">
        <v>43699</v>
      </c>
      <c r="D6135" t="inlineStr">
        <is>
          <t>SPEC</t>
        </is>
      </c>
      <c r="E6135" t="inlineStr">
        <is>
          <t>SMT SUPPORT PEN 5</t>
        </is>
      </c>
      <c r="F6135" t="inlineStr">
        <is>
          <t>GVX MBC 500kVA TNC</t>
        </is>
      </c>
      <c r="L6135">
        <f>_xlfn.XLOOKUP(Tableau1[[#This Row],[TYPE DE PIECE]],Tableau4[MATIERE],Tableau4[SHORT TYPE],"",0,1)</f>
        <v/>
      </c>
      <c r="N6135">
        <f>IF(ISERR(FIND("DECOUPE",Tableau1[[#This Row],[DESIGNATION]])),"","NEED REF")</f>
        <v/>
      </c>
    </row>
    <row r="6136">
      <c r="B6136" t="n">
        <v>34407869</v>
      </c>
      <c r="C6136" s="2" t="n">
        <v>43699</v>
      </c>
      <c r="D6136" t="inlineStr">
        <is>
          <t>SPEC</t>
        </is>
      </c>
      <c r="E6136" t="inlineStr">
        <is>
          <t>SMT SUPPORT PEN 4</t>
        </is>
      </c>
      <c r="F6136" t="inlineStr">
        <is>
          <t>GVX MBC 500kVA TNC</t>
        </is>
      </c>
      <c r="L6136">
        <f>_xlfn.XLOOKUP(Tableau1[[#This Row],[TYPE DE PIECE]],Tableau4[MATIERE],Tableau4[SHORT TYPE],"",0,1)</f>
        <v/>
      </c>
      <c r="N6136">
        <f>IF(ISERR(FIND("DECOUPE",Tableau1[[#This Row],[DESIGNATION]])),"","NEED REF")</f>
        <v/>
      </c>
    </row>
    <row r="6137">
      <c r="B6137" t="n">
        <v>34407868</v>
      </c>
      <c r="C6137" s="2" t="n">
        <v>43697</v>
      </c>
      <c r="D6137" t="inlineStr">
        <is>
          <t>SPEC</t>
        </is>
      </c>
      <c r="E6137" t="inlineStr">
        <is>
          <t>SMT PLASTRON 3xNS</t>
        </is>
      </c>
      <c r="F6137" t="inlineStr">
        <is>
          <t>GVX MBC 500kVA TNC</t>
        </is>
      </c>
      <c r="K6137" t="inlineStr">
        <is>
          <t>METAL</t>
        </is>
      </c>
      <c r="L6137">
        <f>_xlfn.XLOOKUP(Tableau1[[#This Row],[TYPE DE PIECE]],Tableau4[MATIERE],Tableau4[SHORT TYPE],"",0,1)</f>
        <v/>
      </c>
      <c r="N6137">
        <f>IF(ISERR(FIND("DECOUPE",Tableau1[[#This Row],[DESIGNATION]])),"","NEED REF")</f>
        <v/>
      </c>
    </row>
    <row r="6138">
      <c r="B6138" t="n">
        <v>34407867</v>
      </c>
      <c r="C6138" s="2" t="n">
        <v>43697</v>
      </c>
      <c r="D6138" t="inlineStr">
        <is>
          <t>SPEC</t>
        </is>
      </c>
      <c r="E6138" t="inlineStr">
        <is>
          <t>DECOUPE PROFIL NSYCNT40</t>
        </is>
      </c>
      <c r="F6138" t="inlineStr">
        <is>
          <t>GVX MBC 500kVA TNC</t>
        </is>
      </c>
      <c r="K6138" t="inlineStr">
        <is>
          <t>ETO</t>
        </is>
      </c>
      <c r="L6138">
        <f>_xlfn.XLOOKUP(Tableau1[[#This Row],[TYPE DE PIECE]],Tableau4[MATIERE],Tableau4[SHORT TYPE],"",0,1)</f>
        <v/>
      </c>
      <c r="N6138" t="inlineStr">
        <is>
          <t>NSYCNT40</t>
        </is>
      </c>
    </row>
    <row r="6139">
      <c r="B6139" t="n">
        <v>34407866</v>
      </c>
      <c r="C6139" s="2" t="n">
        <v>43697</v>
      </c>
      <c r="D6139" t="inlineStr">
        <is>
          <t>SPEC</t>
        </is>
      </c>
      <c r="E6139" t="inlineStr">
        <is>
          <t>DECOUPE PROFIL NSYCNT40</t>
        </is>
      </c>
      <c r="F6139" t="inlineStr">
        <is>
          <t>GVX MBC 500kVA TNC</t>
        </is>
      </c>
      <c r="K6139" t="inlineStr">
        <is>
          <t>ETO</t>
        </is>
      </c>
      <c r="L6139">
        <f>_xlfn.XLOOKUP(Tableau1[[#This Row],[TYPE DE PIECE]],Tableau4[MATIERE],Tableau4[SHORT TYPE],"",0,1)</f>
        <v/>
      </c>
      <c r="N6139" t="inlineStr">
        <is>
          <t>NSYCNT40</t>
        </is>
      </c>
    </row>
    <row r="6140">
      <c r="B6140" t="n">
        <v>34407865</v>
      </c>
      <c r="C6140" s="2" t="n">
        <v>43697</v>
      </c>
      <c r="D6140" t="inlineStr">
        <is>
          <t>SPEC</t>
        </is>
      </c>
      <c r="E6140" t="inlineStr">
        <is>
          <t>RAIL SUPPORT BORNIER</t>
        </is>
      </c>
      <c r="F6140" t="inlineStr">
        <is>
          <t>GVX MBC 500kVA TNC</t>
        </is>
      </c>
      <c r="L6140">
        <f>_xlfn.XLOOKUP(Tableau1[[#This Row],[TYPE DE PIECE]],Tableau4[MATIERE],Tableau4[SHORT TYPE],"",0,1)</f>
        <v/>
      </c>
      <c r="N6140">
        <f>IF(ISERR(FIND("DECOUPE",Tableau1[[#This Row],[DESIGNATION]])),"","NEED REF")</f>
        <v/>
      </c>
    </row>
    <row r="6141">
      <c r="B6141" t="n">
        <v>34407864</v>
      </c>
      <c r="C6141" s="2" t="n">
        <v>43697</v>
      </c>
      <c r="D6141" t="inlineStr">
        <is>
          <t>SPEC</t>
        </is>
      </c>
      <c r="E6141" t="inlineStr">
        <is>
          <t>SMT SUPPORT VOYANT 3xNS 3P</t>
        </is>
      </c>
      <c r="F6141" t="inlineStr">
        <is>
          <t>GVX MBC 500kVA TNC</t>
        </is>
      </c>
      <c r="K6141" t="inlineStr">
        <is>
          <t>METAL</t>
        </is>
      </c>
      <c r="L6141">
        <f>_xlfn.XLOOKUP(Tableau1[[#This Row],[TYPE DE PIECE]],Tableau4[MATIERE],Tableau4[SHORT TYPE],"",0,1)</f>
        <v/>
      </c>
      <c r="N6141">
        <f>IF(ISERR(FIND("DECOUPE",Tableau1[[#This Row],[DESIGNATION]])),"","NEED REF")</f>
        <v/>
      </c>
    </row>
    <row r="6142">
      <c r="B6142" t="n">
        <v>34407863</v>
      </c>
      <c r="C6142" s="2" t="n">
        <v>43697</v>
      </c>
      <c r="D6142" t="inlineStr">
        <is>
          <t>SPEC</t>
        </is>
      </c>
      <c r="E6142" t="inlineStr">
        <is>
          <t>SMT PLASTRON MILIEU BBC</t>
        </is>
      </c>
      <c r="F6142" t="inlineStr">
        <is>
          <t>BBC</t>
        </is>
      </c>
      <c r="L6142">
        <f>_xlfn.XLOOKUP(Tableau1[[#This Row],[TYPE DE PIECE]],Tableau4[MATIERE],Tableau4[SHORT TYPE],"",0,1)</f>
        <v/>
      </c>
      <c r="N6142">
        <f>IF(ISERR(FIND("DECOUPE",Tableau1[[#This Row],[DESIGNATION]])),"","NEED REF")</f>
        <v/>
      </c>
    </row>
    <row r="6143">
      <c r="B6143" t="n">
        <v>34407862</v>
      </c>
      <c r="C6143" s="2" t="n">
        <v>43697</v>
      </c>
      <c r="D6143" t="inlineStr">
        <is>
          <t>SPEC</t>
        </is>
      </c>
      <c r="E6143" t="inlineStr">
        <is>
          <t>SMT SUPPORT 3xNS 3P OR 2xNS 3/4P</t>
        </is>
      </c>
      <c r="F6143" t="inlineStr">
        <is>
          <t>GVX MBC 500kVA TNC</t>
        </is>
      </c>
      <c r="K6143" t="inlineStr">
        <is>
          <t>METAL</t>
        </is>
      </c>
      <c r="L6143">
        <f>_xlfn.XLOOKUP(Tableau1[[#This Row],[TYPE DE PIECE]],Tableau4[MATIERE],Tableau4[SHORT TYPE],"",0,1)</f>
        <v/>
      </c>
      <c r="N6143">
        <f>IF(ISERR(FIND("DECOUPE",Tableau1[[#This Row],[DESIGNATION]])),"","NEED REF")</f>
        <v/>
      </c>
    </row>
    <row r="6144">
      <c r="B6144" t="n">
        <v>34407861</v>
      </c>
      <c r="C6144" s="2" t="n">
        <v>43697</v>
      </c>
      <c r="D6144" t="inlineStr">
        <is>
          <t>SPEC</t>
        </is>
      </c>
      <c r="E6144" t="inlineStr">
        <is>
          <t>COP LIAISON AMONT/AVAL NS 3P</t>
        </is>
      </c>
      <c r="F6144" t="inlineStr">
        <is>
          <t>GVX MBC 500kVA TNC</t>
        </is>
      </c>
      <c r="L6144">
        <f>_xlfn.XLOOKUP(Tableau1[[#This Row],[TYPE DE PIECE]],Tableau4[MATIERE],Tableau4[SHORT TYPE],"",0,1)</f>
        <v/>
      </c>
      <c r="N6144">
        <f>IF(ISERR(FIND("DECOUPE",Tableau1[[#This Row],[DESIGNATION]])),"","NEED REF")</f>
        <v/>
      </c>
    </row>
    <row r="6145">
      <c r="B6145" t="n">
        <v>34407860</v>
      </c>
      <c r="C6145" s="2" t="n">
        <v>43696</v>
      </c>
      <c r="D6145" t="inlineStr">
        <is>
          <t>SPEC</t>
        </is>
      </c>
      <c r="E6145" t="inlineStr">
        <is>
          <t>CALE</t>
        </is>
      </c>
      <c r="F6145" t="inlineStr">
        <is>
          <t>BYPASS 500kVA SYMMETRA</t>
        </is>
      </c>
      <c r="L6145">
        <f>_xlfn.XLOOKUP(Tableau1[[#This Row],[TYPE DE PIECE]],Tableau4[MATIERE],Tableau4[SHORT TYPE],"",0,1)</f>
        <v/>
      </c>
      <c r="N6145">
        <f>IF(ISERR(FIND("DECOUPE",Tableau1[[#This Row],[DESIGNATION]])),"","NEED REF")</f>
        <v/>
      </c>
    </row>
    <row r="6146">
      <c r="B6146" t="n">
        <v>34407859</v>
      </c>
      <c r="C6146" s="2" t="n">
        <v>43695</v>
      </c>
      <c r="D6146" t="inlineStr">
        <is>
          <t>SPEC</t>
        </is>
      </c>
      <c r="E6146" t="inlineStr">
        <is>
          <t>SMT BUSBAR SUPPORT ADAPTED L=304MM</t>
        </is>
      </c>
      <c r="F6146" t="inlineStr">
        <is>
          <t>GVX IO 1500 FEED SIEMENS</t>
        </is>
      </c>
      <c r="L6146">
        <f>_xlfn.XLOOKUP(Tableau1[[#This Row],[TYPE DE PIECE]],Tableau4[MATIERE],Tableau4[SHORT TYPE],"",0,1)</f>
        <v/>
      </c>
      <c r="N6146">
        <f>IF(ISERR(FIND("DECOUPE",Tableau1[[#This Row],[DESIGNATION]])),"","NEED REF")</f>
        <v/>
      </c>
    </row>
    <row r="6147">
      <c r="B6147" t="n">
        <v>34407858</v>
      </c>
      <c r="C6147" s="2" t="n">
        <v>43695</v>
      </c>
      <c r="D6147" t="inlineStr">
        <is>
          <t>SPEC</t>
        </is>
      </c>
      <c r="E6147" t="inlineStr">
        <is>
          <t>SMT BUSBAR SUPPORT ADAPTED L=268MM</t>
        </is>
      </c>
      <c r="F6147" t="inlineStr">
        <is>
          <t>GVX IO 1500 FEED SIEMENS</t>
        </is>
      </c>
      <c r="L6147">
        <f>_xlfn.XLOOKUP(Tableau1[[#This Row],[TYPE DE PIECE]],Tableau4[MATIERE],Tableau4[SHORT TYPE],"",0,1)</f>
        <v/>
      </c>
      <c r="N6147">
        <f>IF(ISERR(FIND("DECOUPE",Tableau1[[#This Row],[DESIGNATION]])),"","NEED REF")</f>
        <v/>
      </c>
    </row>
    <row r="6148">
      <c r="B6148" t="n">
        <v>34407857</v>
      </c>
      <c r="C6148" s="2" t="n">
        <v>43682</v>
      </c>
      <c r="D6148" t="inlineStr">
        <is>
          <t>SPEC</t>
        </is>
      </c>
      <c r="E6148" t="inlineStr">
        <is>
          <t>SMT ROOT 5</t>
        </is>
      </c>
      <c r="F6148" t="inlineStr">
        <is>
          <t>GVX IO 1500 FEED SIEMENS</t>
        </is>
      </c>
      <c r="L6148">
        <f>_xlfn.XLOOKUP(Tableau1[[#This Row],[TYPE DE PIECE]],Tableau4[MATIERE],Tableau4[SHORT TYPE],"",0,1)</f>
        <v/>
      </c>
      <c r="N6148">
        <f>IF(ISERR(FIND("DECOUPE",Tableau1[[#This Row],[DESIGNATION]])),"","NEED REF")</f>
        <v/>
      </c>
    </row>
    <row r="6149">
      <c r="B6149" t="n">
        <v>34407856</v>
      </c>
      <c r="C6149" s="2" t="n">
        <v>43682</v>
      </c>
      <c r="D6149" t="inlineStr">
        <is>
          <t>SPEC</t>
        </is>
      </c>
      <c r="E6149" t="inlineStr">
        <is>
          <t>SMT ROOT 4</t>
        </is>
      </c>
      <c r="F6149" t="inlineStr">
        <is>
          <t>GVX IO 1500 FEED SIEMENS</t>
        </is>
      </c>
      <c r="L6149">
        <f>_xlfn.XLOOKUP(Tableau1[[#This Row],[TYPE DE PIECE]],Tableau4[MATIERE],Tableau4[SHORT TYPE],"",0,1)</f>
        <v/>
      </c>
      <c r="N6149">
        <f>IF(ISERR(FIND("DECOUPE",Tableau1[[#This Row],[DESIGNATION]])),"","NEED REF")</f>
        <v/>
      </c>
    </row>
    <row r="6150">
      <c r="B6150" t="n">
        <v>34407855</v>
      </c>
      <c r="C6150" s="2" t="n">
        <v>43682</v>
      </c>
      <c r="D6150" t="inlineStr">
        <is>
          <t>SPEC</t>
        </is>
      </c>
      <c r="E6150" t="inlineStr">
        <is>
          <t>SMT ROOT 3</t>
        </is>
      </c>
      <c r="F6150" t="inlineStr">
        <is>
          <t>GVX IO 1500 FEED SIEMENS</t>
        </is>
      </c>
      <c r="L6150">
        <f>_xlfn.XLOOKUP(Tableau1[[#This Row],[TYPE DE PIECE]],Tableau4[MATIERE],Tableau4[SHORT TYPE],"",0,1)</f>
        <v/>
      </c>
      <c r="N6150">
        <f>IF(ISERR(FIND("DECOUPE",Tableau1[[#This Row],[DESIGNATION]])),"","NEED REF")</f>
        <v/>
      </c>
    </row>
    <row r="6151">
      <c r="B6151" t="n">
        <v>34407854</v>
      </c>
      <c r="C6151" s="2" t="n">
        <v>43682</v>
      </c>
      <c r="D6151" t="inlineStr">
        <is>
          <t>SPEC</t>
        </is>
      </c>
      <c r="E6151" t="inlineStr">
        <is>
          <t>SMT ROOT 2</t>
        </is>
      </c>
      <c r="F6151" t="inlineStr">
        <is>
          <t>GVX IO 1500 FEED SIEMENS</t>
        </is>
      </c>
      <c r="L6151">
        <f>_xlfn.XLOOKUP(Tableau1[[#This Row],[TYPE DE PIECE]],Tableau4[MATIERE],Tableau4[SHORT TYPE],"",0,1)</f>
        <v/>
      </c>
      <c r="N6151">
        <f>IF(ISERR(FIND("DECOUPE",Tableau1[[#This Row],[DESIGNATION]])),"","NEED REF")</f>
        <v/>
      </c>
    </row>
    <row r="6152">
      <c r="B6152" t="n">
        <v>34407853</v>
      </c>
      <c r="C6152" s="2" t="n">
        <v>43682</v>
      </c>
      <c r="D6152" t="inlineStr">
        <is>
          <t>SPEC</t>
        </is>
      </c>
      <c r="E6152" t="inlineStr">
        <is>
          <t>SMT ROOT 1</t>
        </is>
      </c>
      <c r="F6152" t="inlineStr">
        <is>
          <t>GVX IO 1500 FEED SIEMENS</t>
        </is>
      </c>
      <c r="L6152">
        <f>_xlfn.XLOOKUP(Tableau1[[#This Row],[TYPE DE PIECE]],Tableau4[MATIERE],Tableau4[SHORT TYPE],"",0,1)</f>
        <v/>
      </c>
      <c r="N6152">
        <f>IF(ISERR(FIND("DECOUPE",Tableau1[[#This Row],[DESIGNATION]])),"","NEED REF")</f>
        <v/>
      </c>
    </row>
    <row r="6153">
      <c r="B6153" t="n">
        <v>34407852</v>
      </c>
      <c r="C6153" s="2" t="n">
        <v>43682</v>
      </c>
      <c r="D6153" t="inlineStr">
        <is>
          <t>SPEC</t>
        </is>
      </c>
      <c r="F6153" t="inlineStr">
        <is>
          <t>GVX IO 1500 FEED SIEMENS</t>
        </is>
      </c>
      <c r="L6153">
        <f>_xlfn.XLOOKUP(Tableau1[[#This Row],[TYPE DE PIECE]],Tableau4[MATIERE],Tableau4[SHORT TYPE],"",0,1)</f>
        <v/>
      </c>
      <c r="N6153">
        <f>IF(ISERR(FIND("DECOUPE",Tableau1[[#This Row],[DESIGNATION]])),"","NEED REF")</f>
        <v/>
      </c>
    </row>
    <row r="6154">
      <c r="B6154" t="n">
        <v>34407851</v>
      </c>
      <c r="C6154" s="2" t="n">
        <v>43682</v>
      </c>
      <c r="D6154" t="inlineStr">
        <is>
          <t>SPEC</t>
        </is>
      </c>
      <c r="E6154" t="inlineStr">
        <is>
          <t>SMT RAL9003 COVER PANEL 2</t>
        </is>
      </c>
      <c r="F6154" t="inlineStr">
        <is>
          <t>GVX IO 1500 FEED SIEMENS</t>
        </is>
      </c>
      <c r="L6154">
        <f>_xlfn.XLOOKUP(Tableau1[[#This Row],[TYPE DE PIECE]],Tableau4[MATIERE],Tableau4[SHORT TYPE],"",0,1)</f>
        <v/>
      </c>
      <c r="N6154">
        <f>IF(ISERR(FIND("DECOUPE",Tableau1[[#This Row],[DESIGNATION]])),"","NEED REF")</f>
        <v/>
      </c>
    </row>
    <row r="6155">
      <c r="B6155" t="n">
        <v>34407850</v>
      </c>
      <c r="C6155" s="2" t="n">
        <v>43682</v>
      </c>
      <c r="D6155" t="inlineStr">
        <is>
          <t>SPEC</t>
        </is>
      </c>
      <c r="E6155" t="inlineStr">
        <is>
          <t>SMT RAL9003 COVER PANEL 1</t>
        </is>
      </c>
      <c r="F6155" t="inlineStr">
        <is>
          <t>GVX IO 1500 FEED SIEMENS</t>
        </is>
      </c>
      <c r="L6155">
        <f>_xlfn.XLOOKUP(Tableau1[[#This Row],[TYPE DE PIECE]],Tableau4[MATIERE],Tableau4[SHORT TYPE],"",0,1)</f>
        <v/>
      </c>
      <c r="N6155">
        <f>IF(ISERR(FIND("DECOUPE",Tableau1[[#This Row],[DESIGNATION]])),"","NEED REF")</f>
        <v/>
      </c>
    </row>
    <row r="6156">
      <c r="B6156" t="n">
        <v>34407849</v>
      </c>
      <c r="C6156" s="2" t="n">
        <v>43682</v>
      </c>
      <c r="D6156" t="inlineStr">
        <is>
          <t>SPEC</t>
        </is>
      </c>
      <c r="E6156" t="inlineStr">
        <is>
          <t>SMT RAL9003 MONITOR COVER PANEL</t>
        </is>
      </c>
      <c r="F6156" t="inlineStr">
        <is>
          <t>GVX IO 1500 FEED SIEMENS</t>
        </is>
      </c>
      <c r="L6156">
        <f>_xlfn.XLOOKUP(Tableau1[[#This Row],[TYPE DE PIECE]],Tableau4[MATIERE],Tableau4[SHORT TYPE],"",0,1)</f>
        <v/>
      </c>
      <c r="N6156">
        <f>IF(ISERR(FIND("DECOUPE",Tableau1[[#This Row],[DESIGNATION]])),"","NEED REF")</f>
        <v/>
      </c>
    </row>
    <row r="6157">
      <c r="B6157" t="n">
        <v>34407848</v>
      </c>
      <c r="C6157" s="2" t="n">
        <v>43682</v>
      </c>
      <c r="D6157" t="inlineStr">
        <is>
          <t>SPEC</t>
        </is>
      </c>
      <c r="E6157" t="inlineStr">
        <is>
          <t>S/A MONITORING BOX</t>
        </is>
      </c>
      <c r="F6157" t="inlineStr">
        <is>
          <t>GVX IO 1500 FEED SIEMENS</t>
        </is>
      </c>
      <c r="L6157">
        <f>_xlfn.XLOOKUP(Tableau1[[#This Row],[TYPE DE PIECE]],Tableau4[MATIERE],Tableau4[SHORT TYPE],"",0,1)</f>
        <v/>
      </c>
      <c r="N6157">
        <f>IF(ISERR(FIND("DECOUPE",Tableau1[[#This Row],[DESIGNATION]])),"","NEED REF")</f>
        <v/>
      </c>
    </row>
    <row r="6158">
      <c r="B6158" t="n">
        <v>34407847</v>
      </c>
      <c r="C6158" s="2" t="n">
        <v>43682</v>
      </c>
      <c r="D6158" t="inlineStr">
        <is>
          <t>SPEC</t>
        </is>
      </c>
      <c r="E6158" t="inlineStr">
        <is>
          <t>SMT RAL9003 MONITOR FRONT PANEL AND SUPPORT</t>
        </is>
      </c>
      <c r="F6158" t="inlineStr">
        <is>
          <t>GVX IO 1500 FEED SIEMENS</t>
        </is>
      </c>
      <c r="L6158">
        <f>_xlfn.XLOOKUP(Tableau1[[#This Row],[TYPE DE PIECE]],Tableau4[MATIERE],Tableau4[SHORT TYPE],"",0,1)</f>
        <v/>
      </c>
      <c r="N6158">
        <f>IF(ISERR(FIND("DECOUPE",Tableau1[[#This Row],[DESIGNATION]])),"","NEED REF")</f>
        <v/>
      </c>
    </row>
    <row r="6159">
      <c r="B6159" t="n">
        <v>34407846</v>
      </c>
      <c r="C6159" s="2" t="n">
        <v>43682</v>
      </c>
      <c r="D6159" t="inlineStr">
        <is>
          <t>SPEC</t>
        </is>
      </c>
      <c r="E6159" t="inlineStr">
        <is>
          <t>SMT SONDE SUPPORT BUSBAR</t>
        </is>
      </c>
      <c r="F6159" t="inlineStr">
        <is>
          <t>GVX IO 1500 FEED SIEMENS</t>
        </is>
      </c>
      <c r="L6159">
        <f>_xlfn.XLOOKUP(Tableau1[[#This Row],[TYPE DE PIECE]],Tableau4[MATIERE],Tableau4[SHORT TYPE],"",0,1)</f>
        <v/>
      </c>
      <c r="N6159">
        <f>IF(ISERR(FIND("DECOUPE",Tableau1[[#This Row],[DESIGNATION]])),"","NEED REF")</f>
        <v/>
      </c>
    </row>
    <row r="6160">
      <c r="B6160" t="n">
        <v>34407845</v>
      </c>
      <c r="C6160" s="2" t="n">
        <v>43682</v>
      </c>
      <c r="D6160" t="inlineStr">
        <is>
          <t>SPEC</t>
        </is>
      </c>
      <c r="E6160" t="inlineStr">
        <is>
          <t>SMT SUPPORT BUSBAR LOAD</t>
        </is>
      </c>
      <c r="F6160" t="inlineStr">
        <is>
          <t>GVX IO 1500 FEED SIEMENS</t>
        </is>
      </c>
      <c r="L6160">
        <f>_xlfn.XLOOKUP(Tableau1[[#This Row],[TYPE DE PIECE]],Tableau4[MATIERE],Tableau4[SHORT TYPE],"",0,1)</f>
        <v/>
      </c>
      <c r="N6160">
        <f>IF(ISERR(FIND("DECOUPE",Tableau1[[#This Row],[DESIGNATION]])),"","NEED REF")</f>
        <v/>
      </c>
    </row>
    <row r="6161">
      <c r="B6161" t="n">
        <v>34407844</v>
      </c>
      <c r="C6161" s="2" t="n">
        <v>43682</v>
      </c>
      <c r="D6161" t="inlineStr">
        <is>
          <t>SPEC</t>
        </is>
      </c>
      <c r="F6161" t="inlineStr">
        <is>
          <t>GVX IO 1500 FEED SIEMENS</t>
        </is>
      </c>
      <c r="L6161">
        <f>_xlfn.XLOOKUP(Tableau1[[#This Row],[TYPE DE PIECE]],Tableau4[MATIERE],Tableau4[SHORT TYPE],"",0,1)</f>
        <v/>
      </c>
      <c r="N6161">
        <f>IF(ISERR(FIND("DECOUPE",Tableau1[[#This Row],[DESIGNATION]])),"","NEED REF")</f>
        <v/>
      </c>
    </row>
    <row r="6162">
      <c r="B6162" t="n">
        <v>34407843</v>
      </c>
      <c r="C6162" s="2" t="n">
        <v>43682</v>
      </c>
      <c r="D6162" t="inlineStr">
        <is>
          <t>SPEC</t>
        </is>
      </c>
      <c r="E6162" t="inlineStr">
        <is>
          <t>SMT CROSSBAR SUPPORT</t>
        </is>
      </c>
      <c r="F6162" t="inlineStr">
        <is>
          <t>GVX IO 1500 FEED SIEMENS</t>
        </is>
      </c>
      <c r="L6162">
        <f>_xlfn.XLOOKUP(Tableau1[[#This Row],[TYPE DE PIECE]],Tableau4[MATIERE],Tableau4[SHORT TYPE],"",0,1)</f>
        <v/>
      </c>
      <c r="N6162">
        <f>IF(ISERR(FIND("DECOUPE",Tableau1[[#This Row],[DESIGNATION]])),"","NEED REF")</f>
        <v/>
      </c>
    </row>
    <row r="6163">
      <c r="B6163" t="n">
        <v>34407842</v>
      </c>
      <c r="C6163" s="2" t="n">
        <v>43682</v>
      </c>
      <c r="D6163" t="inlineStr">
        <is>
          <t>SPEC</t>
        </is>
      </c>
      <c r="E6163" t="inlineStr">
        <is>
          <t>SMT RIGHT/LEFT FEEDUNIT SUPPORT</t>
        </is>
      </c>
      <c r="F6163" t="inlineStr">
        <is>
          <t>GVX IO 1500 FEED SIEMENS</t>
        </is>
      </c>
      <c r="L6163">
        <f>_xlfn.XLOOKUP(Tableau1[[#This Row],[TYPE DE PIECE]],Tableau4[MATIERE],Tableau4[SHORT TYPE],"",0,1)</f>
        <v/>
      </c>
      <c r="N6163">
        <f>IF(ISERR(FIND("DECOUPE",Tableau1[[#This Row],[DESIGNATION]])),"","NEED REF")</f>
        <v/>
      </c>
    </row>
    <row r="6164">
      <c r="B6164" t="n">
        <v>34407841</v>
      </c>
      <c r="C6164" s="2" t="n">
        <v>43682</v>
      </c>
      <c r="D6164" t="inlineStr">
        <is>
          <t>SPEC</t>
        </is>
      </c>
      <c r="E6164" t="inlineStr">
        <is>
          <t>PLATE FIX FEEDUNIT LI-AM2000B</t>
        </is>
      </c>
      <c r="F6164" t="inlineStr">
        <is>
          <t>GVX IO 1500 FEED SIEMENS</t>
        </is>
      </c>
      <c r="L6164">
        <f>_xlfn.XLOOKUP(Tableau1[[#This Row],[TYPE DE PIECE]],Tableau4[MATIERE],Tableau4[SHORT TYPE],"",0,1)</f>
        <v/>
      </c>
      <c r="N6164">
        <f>IF(ISERR(FIND("DECOUPE",Tableau1[[#This Row],[DESIGNATION]])),"","NEED REF")</f>
        <v/>
      </c>
    </row>
    <row r="6165">
      <c r="B6165" t="n">
        <v>34407840</v>
      </c>
      <c r="C6165" s="2" t="n">
        <v>43682</v>
      </c>
      <c r="D6165" t="inlineStr">
        <is>
          <t>SPEC</t>
        </is>
      </c>
      <c r="E6165" t="inlineStr">
        <is>
          <t>PLATE FIX FEEDUNIT LI-AM2500B</t>
        </is>
      </c>
      <c r="F6165" t="inlineStr">
        <is>
          <t>GVX IO 1500 FEED SIEMENS</t>
        </is>
      </c>
      <c r="L6165">
        <f>_xlfn.XLOOKUP(Tableau1[[#This Row],[TYPE DE PIECE]],Tableau4[MATIERE],Tableau4[SHORT TYPE],"",0,1)</f>
        <v/>
      </c>
      <c r="N6165">
        <f>IF(ISERR(FIND("DECOUPE",Tableau1[[#This Row],[DESIGNATION]])),"","NEED REF")</f>
        <v/>
      </c>
    </row>
    <row r="6166">
      <c r="B6166" t="n">
        <v>34407839</v>
      </c>
      <c r="C6166" s="2" t="n">
        <v>43682</v>
      </c>
      <c r="D6166" t="inlineStr">
        <is>
          <t>SPEC</t>
        </is>
      </c>
      <c r="E6166" t="inlineStr">
        <is>
          <t>COP PE LINK CALE 10mm</t>
        </is>
      </c>
      <c r="F6166" t="inlineStr">
        <is>
          <t>GVX IO 1500 FEED SIEMENS</t>
        </is>
      </c>
      <c r="L6166">
        <f>_xlfn.XLOOKUP(Tableau1[[#This Row],[TYPE DE PIECE]],Tableau4[MATIERE],Tableau4[SHORT TYPE],"",0,1)</f>
        <v/>
      </c>
      <c r="N6166">
        <f>IF(ISERR(FIND("DECOUPE",Tableau1[[#This Row],[DESIGNATION]])),"","NEED REF")</f>
        <v/>
      </c>
    </row>
    <row r="6167">
      <c r="B6167" t="n">
        <v>34407838</v>
      </c>
      <c r="C6167" s="2" t="n">
        <v>43682</v>
      </c>
      <c r="D6167" t="inlineStr">
        <is>
          <t>SPEC</t>
        </is>
      </c>
      <c r="E6167" t="inlineStr">
        <is>
          <t>COP PE LINK CALE 5mm</t>
        </is>
      </c>
      <c r="F6167" t="inlineStr">
        <is>
          <t>GVX IO 1500 FEED SIEMENS</t>
        </is>
      </c>
      <c r="L6167">
        <f>_xlfn.XLOOKUP(Tableau1[[#This Row],[TYPE DE PIECE]],Tableau4[MATIERE],Tableau4[SHORT TYPE],"",0,1)</f>
        <v/>
      </c>
      <c r="N6167">
        <f>IF(ISERR(FIND("DECOUPE",Tableau1[[#This Row],[DESIGNATION]])),"","NEED REF")</f>
        <v/>
      </c>
    </row>
    <row r="6168">
      <c r="B6168" t="n">
        <v>34407837</v>
      </c>
      <c r="C6168" s="2" t="n">
        <v>43682</v>
      </c>
      <c r="D6168" t="inlineStr">
        <is>
          <t>SPEC</t>
        </is>
      </c>
      <c r="E6168" t="inlineStr">
        <is>
          <t>COP PE LINK 2</t>
        </is>
      </c>
      <c r="F6168" t="inlineStr">
        <is>
          <t>GVX IO 1500 FEED SIEMENS</t>
        </is>
      </c>
      <c r="L6168">
        <f>_xlfn.XLOOKUP(Tableau1[[#This Row],[TYPE DE PIECE]],Tableau4[MATIERE],Tableau4[SHORT TYPE],"",0,1)</f>
        <v/>
      </c>
      <c r="N6168">
        <f>IF(ISERR(FIND("DECOUPE",Tableau1[[#This Row],[DESIGNATION]])),"","NEED REF")</f>
        <v/>
      </c>
    </row>
    <row r="6169">
      <c r="B6169" t="n">
        <v>34407836</v>
      </c>
      <c r="C6169" s="2" t="n">
        <v>43682</v>
      </c>
      <c r="D6169" t="inlineStr">
        <is>
          <t>SPEC</t>
        </is>
      </c>
      <c r="E6169" t="inlineStr">
        <is>
          <t>COP PE LINK 1</t>
        </is>
      </c>
      <c r="F6169" t="inlineStr">
        <is>
          <t>GVX IO 1500 FEED SIEMENS</t>
        </is>
      </c>
      <c r="L6169">
        <f>_xlfn.XLOOKUP(Tableau1[[#This Row],[TYPE DE PIECE]],Tableau4[MATIERE],Tableau4[SHORT TYPE],"",0,1)</f>
        <v/>
      </c>
      <c r="N6169">
        <f>IF(ISERR(FIND("DECOUPE",Tableau1[[#This Row],[DESIGNATION]])),"","NEED REF")</f>
        <v/>
      </c>
    </row>
    <row r="6170">
      <c r="B6170" t="n">
        <v>34407835</v>
      </c>
      <c r="C6170" s="2" t="n">
        <v>43682</v>
      </c>
      <c r="D6170" t="inlineStr">
        <is>
          <t>SPEC</t>
        </is>
      </c>
      <c r="E6170" t="inlineStr">
        <is>
          <t>COP LOAD FEEDUNIT LINK</t>
        </is>
      </c>
      <c r="F6170" t="inlineStr">
        <is>
          <t>GVX IO 1500 FEED SIEMENS</t>
        </is>
      </c>
      <c r="L6170">
        <f>_xlfn.XLOOKUP(Tableau1[[#This Row],[TYPE DE PIECE]],Tableau4[MATIERE],Tableau4[SHORT TYPE],"",0,1)</f>
        <v/>
      </c>
      <c r="N6170">
        <f>IF(ISERR(FIND("DECOUPE",Tableau1[[#This Row],[DESIGNATION]])),"","NEED REF")</f>
        <v/>
      </c>
    </row>
    <row r="6171">
      <c r="B6171" t="n">
        <v>34407834</v>
      </c>
      <c r="C6171" s="2" t="n">
        <v>43679</v>
      </c>
      <c r="D6171" t="inlineStr">
        <is>
          <t>SPEC</t>
        </is>
      </c>
      <c r="E6171" t="inlineStr">
        <is>
          <t>COP PE-2 LOAD</t>
        </is>
      </c>
      <c r="F6171" t="inlineStr">
        <is>
          <t>GVX IO 1500 FEED SIEMENS</t>
        </is>
      </c>
      <c r="L6171">
        <f>_xlfn.XLOOKUP(Tableau1[[#This Row],[TYPE DE PIECE]],Tableau4[MATIERE],Tableau4[SHORT TYPE],"",0,1)</f>
        <v/>
      </c>
      <c r="N6171">
        <f>IF(ISERR(FIND("DECOUPE",Tableau1[[#This Row],[DESIGNATION]])),"","NEED REF")</f>
        <v/>
      </c>
    </row>
    <row r="6172">
      <c r="B6172" t="n">
        <v>34407833</v>
      </c>
      <c r="C6172" s="2" t="n">
        <v>43679</v>
      </c>
      <c r="D6172" t="inlineStr">
        <is>
          <t>SPEC</t>
        </is>
      </c>
      <c r="E6172" t="inlineStr">
        <is>
          <t>COP PE-1 LOAD</t>
        </is>
      </c>
      <c r="F6172" t="inlineStr">
        <is>
          <t>GVX IO 1500 FEED SIEMENS</t>
        </is>
      </c>
      <c r="L6172">
        <f>_xlfn.XLOOKUP(Tableau1[[#This Row],[TYPE DE PIECE]],Tableau4[MATIERE],Tableau4[SHORT TYPE],"",0,1)</f>
        <v/>
      </c>
      <c r="N6172">
        <f>IF(ISERR(FIND("DECOUPE",Tableau1[[#This Row],[DESIGNATION]])),"","NEED REF")</f>
        <v/>
      </c>
    </row>
    <row r="6173">
      <c r="B6173" t="n">
        <v>34407832</v>
      </c>
      <c r="C6173" s="2" t="n">
        <v>43679</v>
      </c>
      <c r="D6173" t="inlineStr">
        <is>
          <t>SPEC</t>
        </is>
      </c>
      <c r="E6173" t="inlineStr">
        <is>
          <t>COP L3-2 LOAD</t>
        </is>
      </c>
      <c r="F6173" t="inlineStr">
        <is>
          <t>GVX IO 1500 FEED SIEMENS</t>
        </is>
      </c>
      <c r="L6173">
        <f>_xlfn.XLOOKUP(Tableau1[[#This Row],[TYPE DE PIECE]],Tableau4[MATIERE],Tableau4[SHORT TYPE],"",0,1)</f>
        <v/>
      </c>
      <c r="N6173">
        <f>IF(ISERR(FIND("DECOUPE",Tableau1[[#This Row],[DESIGNATION]])),"","NEED REF")</f>
        <v/>
      </c>
    </row>
    <row r="6174">
      <c r="B6174" t="n">
        <v>34407831</v>
      </c>
      <c r="C6174" s="2" t="n">
        <v>43679</v>
      </c>
      <c r="D6174" t="inlineStr">
        <is>
          <t>SPEC</t>
        </is>
      </c>
      <c r="E6174" t="inlineStr">
        <is>
          <t>COP L3-1 LOAD</t>
        </is>
      </c>
      <c r="F6174" t="inlineStr">
        <is>
          <t>GVX IO 1500 FEED SIEMENS</t>
        </is>
      </c>
      <c r="L6174">
        <f>_xlfn.XLOOKUP(Tableau1[[#This Row],[TYPE DE PIECE]],Tableau4[MATIERE],Tableau4[SHORT TYPE],"",0,1)</f>
        <v/>
      </c>
      <c r="N6174">
        <f>IF(ISERR(FIND("DECOUPE",Tableau1[[#This Row],[DESIGNATION]])),"","NEED REF")</f>
        <v/>
      </c>
    </row>
    <row r="6175">
      <c r="B6175" t="n">
        <v>34407830</v>
      </c>
      <c r="C6175" s="2" t="n">
        <v>43679</v>
      </c>
      <c r="D6175" t="inlineStr">
        <is>
          <t>SPEC</t>
        </is>
      </c>
      <c r="E6175" t="inlineStr">
        <is>
          <t>COP L2-2 LOAD</t>
        </is>
      </c>
      <c r="F6175" t="inlineStr">
        <is>
          <t>GVX IO 1500 FEED SIEMENS</t>
        </is>
      </c>
      <c r="L6175">
        <f>_xlfn.XLOOKUP(Tableau1[[#This Row],[TYPE DE PIECE]],Tableau4[MATIERE],Tableau4[SHORT TYPE],"",0,1)</f>
        <v/>
      </c>
      <c r="N6175">
        <f>IF(ISERR(FIND("DECOUPE",Tableau1[[#This Row],[DESIGNATION]])),"","NEED REF")</f>
        <v/>
      </c>
    </row>
    <row r="6176">
      <c r="B6176" t="n">
        <v>34407829</v>
      </c>
      <c r="C6176" s="2" t="n">
        <v>43679</v>
      </c>
      <c r="D6176" t="inlineStr">
        <is>
          <t>SPEC</t>
        </is>
      </c>
      <c r="E6176" t="inlineStr">
        <is>
          <t>COP L2-1 LOAD</t>
        </is>
      </c>
      <c r="F6176" t="inlineStr">
        <is>
          <t>GVX IO 1500 FEED SIEMENS</t>
        </is>
      </c>
      <c r="L6176">
        <f>_xlfn.XLOOKUP(Tableau1[[#This Row],[TYPE DE PIECE]],Tableau4[MATIERE],Tableau4[SHORT TYPE],"",0,1)</f>
        <v/>
      </c>
      <c r="N6176">
        <f>IF(ISERR(FIND("DECOUPE",Tableau1[[#This Row],[DESIGNATION]])),"","NEED REF")</f>
        <v/>
      </c>
    </row>
    <row r="6177">
      <c r="B6177" t="n">
        <v>34407828</v>
      </c>
      <c r="C6177" s="2" t="n">
        <v>43679</v>
      </c>
      <c r="D6177" t="inlineStr">
        <is>
          <t>SPEC</t>
        </is>
      </c>
      <c r="E6177" t="inlineStr">
        <is>
          <t>COP L1-2 LOAD</t>
        </is>
      </c>
      <c r="F6177" t="inlineStr">
        <is>
          <t>GVX IO 1500 FEED SIEMENS</t>
        </is>
      </c>
      <c r="L6177">
        <f>_xlfn.XLOOKUP(Tableau1[[#This Row],[TYPE DE PIECE]],Tableau4[MATIERE],Tableau4[SHORT TYPE],"",0,1)</f>
        <v/>
      </c>
      <c r="N6177">
        <f>IF(ISERR(FIND("DECOUPE",Tableau1[[#This Row],[DESIGNATION]])),"","NEED REF")</f>
        <v/>
      </c>
    </row>
    <row r="6178">
      <c r="B6178" t="n">
        <v>34407827</v>
      </c>
      <c r="C6178" s="2" t="n">
        <v>43679</v>
      </c>
      <c r="D6178" t="inlineStr">
        <is>
          <t>SPEC</t>
        </is>
      </c>
      <c r="E6178" t="inlineStr">
        <is>
          <t>COP L1-1 LOAD</t>
        </is>
      </c>
      <c r="F6178" t="inlineStr">
        <is>
          <t>GVX IO 1500 FEED SIEMENS</t>
        </is>
      </c>
      <c r="L6178">
        <f>_xlfn.XLOOKUP(Tableau1[[#This Row],[TYPE DE PIECE]],Tableau4[MATIERE],Tableau4[SHORT TYPE],"",0,1)</f>
        <v/>
      </c>
      <c r="N6178">
        <f>IF(ISERR(FIND("DECOUPE",Tableau1[[#This Row],[DESIGNATION]])),"","NEED REF")</f>
        <v/>
      </c>
    </row>
    <row r="6179">
      <c r="B6179" t="n">
        <v>34407826</v>
      </c>
      <c r="C6179" s="2" t="n">
        <v>43679</v>
      </c>
      <c r="D6179" t="inlineStr">
        <is>
          <t>SPEC</t>
        </is>
      </c>
      <c r="E6179" t="inlineStr">
        <is>
          <t>COP PE-2 LOAD FEEDUNIT</t>
        </is>
      </c>
      <c r="F6179" t="inlineStr">
        <is>
          <t>GVX IO 1500 FEED SIEMENS</t>
        </is>
      </c>
      <c r="L6179">
        <f>_xlfn.XLOOKUP(Tableau1[[#This Row],[TYPE DE PIECE]],Tableau4[MATIERE],Tableau4[SHORT TYPE],"",0,1)</f>
        <v/>
      </c>
      <c r="N6179">
        <f>IF(ISERR(FIND("DECOUPE",Tableau1[[#This Row],[DESIGNATION]])),"","NEED REF")</f>
        <v/>
      </c>
    </row>
    <row r="6180">
      <c r="B6180" t="n">
        <v>34407825</v>
      </c>
      <c r="C6180" s="2" t="n">
        <v>43679</v>
      </c>
      <c r="D6180" t="inlineStr">
        <is>
          <t>SPEC</t>
        </is>
      </c>
      <c r="E6180" t="inlineStr">
        <is>
          <t>COP PE-1 LOAD FEEDUNIT</t>
        </is>
      </c>
      <c r="F6180" t="inlineStr">
        <is>
          <t>GVX IO 1500 FEED SIEMENS</t>
        </is>
      </c>
      <c r="L6180">
        <f>_xlfn.XLOOKUP(Tableau1[[#This Row],[TYPE DE PIECE]],Tableau4[MATIERE],Tableau4[SHORT TYPE],"",0,1)</f>
        <v/>
      </c>
      <c r="N6180">
        <f>IF(ISERR(FIND("DECOUPE",Tableau1[[#This Row],[DESIGNATION]])),"","NEED REF")</f>
        <v/>
      </c>
    </row>
    <row r="6181">
      <c r="B6181" t="n">
        <v>34407824</v>
      </c>
      <c r="C6181" s="2" t="n">
        <v>43679</v>
      </c>
      <c r="D6181" t="inlineStr">
        <is>
          <t>SPEC</t>
        </is>
      </c>
      <c r="E6181" t="inlineStr">
        <is>
          <t>COP L3-2 LOAD FEEDUNIT</t>
        </is>
      </c>
      <c r="F6181" t="inlineStr">
        <is>
          <t>GVX IO 1500 FEED SIEMENS</t>
        </is>
      </c>
      <c r="L6181">
        <f>_xlfn.XLOOKUP(Tableau1[[#This Row],[TYPE DE PIECE]],Tableau4[MATIERE],Tableau4[SHORT TYPE],"",0,1)</f>
        <v/>
      </c>
      <c r="N6181">
        <f>IF(ISERR(FIND("DECOUPE",Tableau1[[#This Row],[DESIGNATION]])),"","NEED REF")</f>
        <v/>
      </c>
    </row>
    <row r="6182">
      <c r="B6182" t="n">
        <v>34407823</v>
      </c>
      <c r="C6182" s="2" t="n">
        <v>43679</v>
      </c>
      <c r="D6182" t="inlineStr">
        <is>
          <t>SPEC</t>
        </is>
      </c>
      <c r="E6182" t="inlineStr">
        <is>
          <t>COP L3-1 LOAD FEEDUNIT</t>
        </is>
      </c>
      <c r="F6182" t="inlineStr">
        <is>
          <t>GVX IO 1500 FEED SIEMENS</t>
        </is>
      </c>
      <c r="L6182">
        <f>_xlfn.XLOOKUP(Tableau1[[#This Row],[TYPE DE PIECE]],Tableau4[MATIERE],Tableau4[SHORT TYPE],"",0,1)</f>
        <v/>
      </c>
      <c r="N6182">
        <f>IF(ISERR(FIND("DECOUPE",Tableau1[[#This Row],[DESIGNATION]])),"","NEED REF")</f>
        <v/>
      </c>
    </row>
    <row r="6183">
      <c r="B6183" t="n">
        <v>34407822</v>
      </c>
      <c r="C6183" s="2" t="n">
        <v>43679</v>
      </c>
      <c r="D6183" t="inlineStr">
        <is>
          <t>SPEC</t>
        </is>
      </c>
      <c r="E6183" t="inlineStr">
        <is>
          <t>COP L2-2 LOAD FEEDUNIT</t>
        </is>
      </c>
      <c r="F6183" t="inlineStr">
        <is>
          <t>GVX IO 1500 FEED SIEMENS</t>
        </is>
      </c>
      <c r="L6183">
        <f>_xlfn.XLOOKUP(Tableau1[[#This Row],[TYPE DE PIECE]],Tableau4[MATIERE],Tableau4[SHORT TYPE],"",0,1)</f>
        <v/>
      </c>
      <c r="N6183">
        <f>IF(ISERR(FIND("DECOUPE",Tableau1[[#This Row],[DESIGNATION]])),"","NEED REF")</f>
        <v/>
      </c>
    </row>
    <row r="6184">
      <c r="B6184" t="n">
        <v>34407821</v>
      </c>
      <c r="C6184" s="2" t="n">
        <v>43679</v>
      </c>
      <c r="D6184" t="inlineStr">
        <is>
          <t>SPEC</t>
        </is>
      </c>
      <c r="E6184" t="inlineStr">
        <is>
          <t>COP L2-1 LOAD FEEDUNIT</t>
        </is>
      </c>
      <c r="F6184" t="inlineStr">
        <is>
          <t>GVX IO 1500 FEED SIEMENS</t>
        </is>
      </c>
      <c r="L6184">
        <f>_xlfn.XLOOKUP(Tableau1[[#This Row],[TYPE DE PIECE]],Tableau4[MATIERE],Tableau4[SHORT TYPE],"",0,1)</f>
        <v/>
      </c>
      <c r="N6184">
        <f>IF(ISERR(FIND("DECOUPE",Tableau1[[#This Row],[DESIGNATION]])),"","NEED REF")</f>
        <v/>
      </c>
    </row>
    <row r="6185">
      <c r="B6185" t="n">
        <v>34407820</v>
      </c>
      <c r="C6185" s="2" t="n">
        <v>43679</v>
      </c>
      <c r="D6185" t="inlineStr">
        <is>
          <t>SPEC</t>
        </is>
      </c>
      <c r="E6185" t="inlineStr">
        <is>
          <t>COP L1-2 LOAD FEEDUNIT</t>
        </is>
      </c>
      <c r="F6185" t="inlineStr">
        <is>
          <t>GVX IO 1500 FEED SIEMENS</t>
        </is>
      </c>
      <c r="L6185">
        <f>_xlfn.XLOOKUP(Tableau1[[#This Row],[TYPE DE PIECE]],Tableau4[MATIERE],Tableau4[SHORT TYPE],"",0,1)</f>
        <v/>
      </c>
      <c r="N6185">
        <f>IF(ISERR(FIND("DECOUPE",Tableau1[[#This Row],[DESIGNATION]])),"","NEED REF")</f>
        <v/>
      </c>
    </row>
    <row r="6186">
      <c r="B6186" t="n">
        <v>34407819</v>
      </c>
      <c r="C6186" s="2" t="n">
        <v>43679</v>
      </c>
      <c r="D6186" t="inlineStr">
        <is>
          <t>SPEC</t>
        </is>
      </c>
      <c r="E6186" t="inlineStr">
        <is>
          <t>COP L1-1 LOAD FEEDUNIT</t>
        </is>
      </c>
      <c r="F6186" t="inlineStr">
        <is>
          <t>GVX IO 1500 FEED SIEMENS</t>
        </is>
      </c>
      <c r="L6186">
        <f>_xlfn.XLOOKUP(Tableau1[[#This Row],[TYPE DE PIECE]],Tableau4[MATIERE],Tableau4[SHORT TYPE],"",0,1)</f>
        <v/>
      </c>
      <c r="N6186">
        <f>IF(ISERR(FIND("DECOUPE",Tableau1[[#This Row],[DESIGNATION]])),"","NEED REF")</f>
        <v/>
      </c>
    </row>
    <row r="6187">
      <c r="B6187" t="n">
        <v>34407818</v>
      </c>
      <c r="C6187" s="2" t="n">
        <v>43678</v>
      </c>
      <c r="D6187" t="inlineStr">
        <is>
          <t>SPEC</t>
        </is>
      </c>
      <c r="E6187" t="inlineStr">
        <is>
          <t>COP L2-3 MAINS</t>
        </is>
      </c>
      <c r="F6187" t="inlineStr">
        <is>
          <t>GVX IO 1500 FEED SIEMENS</t>
        </is>
      </c>
      <c r="L6187">
        <f>_xlfn.XLOOKUP(Tableau1[[#This Row],[TYPE DE PIECE]],Tableau4[MATIERE],Tableau4[SHORT TYPE],"",0,1)</f>
        <v/>
      </c>
      <c r="N6187">
        <f>IF(ISERR(FIND("DECOUPE",Tableau1[[#This Row],[DESIGNATION]])),"","NEED REF")</f>
        <v/>
      </c>
    </row>
    <row r="6188">
      <c r="B6188" t="n">
        <v>34407817</v>
      </c>
      <c r="C6188" s="2" t="n">
        <v>43678</v>
      </c>
      <c r="D6188" t="inlineStr">
        <is>
          <t>SPEC</t>
        </is>
      </c>
      <c r="E6188" t="inlineStr">
        <is>
          <t>COP PE-2 MAINS FEEDUNIT</t>
        </is>
      </c>
      <c r="F6188" t="inlineStr">
        <is>
          <t>GVX IO 1500 FEED SIEMENS</t>
        </is>
      </c>
      <c r="L6188">
        <f>_xlfn.XLOOKUP(Tableau1[[#This Row],[TYPE DE PIECE]],Tableau4[MATIERE],Tableau4[SHORT TYPE],"",0,1)</f>
        <v/>
      </c>
      <c r="N6188">
        <f>IF(ISERR(FIND("DECOUPE",Tableau1[[#This Row],[DESIGNATION]])),"","NEED REF")</f>
        <v/>
      </c>
    </row>
    <row r="6189">
      <c r="B6189" t="n">
        <v>34407816</v>
      </c>
      <c r="C6189" s="2" t="n">
        <v>43678</v>
      </c>
      <c r="D6189" t="inlineStr">
        <is>
          <t>SPEC</t>
        </is>
      </c>
      <c r="E6189" t="inlineStr">
        <is>
          <t>COP PE-1 MAINS FEEDUNIT</t>
        </is>
      </c>
      <c r="F6189" t="inlineStr">
        <is>
          <t>GVX IO 1500 FEED SIEMENS</t>
        </is>
      </c>
      <c r="L6189">
        <f>_xlfn.XLOOKUP(Tableau1[[#This Row],[TYPE DE PIECE]],Tableau4[MATIERE],Tableau4[SHORT TYPE],"",0,1)</f>
        <v/>
      </c>
      <c r="N6189">
        <f>IF(ISERR(FIND("DECOUPE",Tableau1[[#This Row],[DESIGNATION]])),"","NEED REF")</f>
        <v/>
      </c>
    </row>
    <row r="6190">
      <c r="B6190" t="n">
        <v>34407815</v>
      </c>
      <c r="C6190" s="2" t="n">
        <v>43678</v>
      </c>
      <c r="D6190" t="inlineStr">
        <is>
          <t>SPEC</t>
        </is>
      </c>
      <c r="E6190" t="inlineStr">
        <is>
          <t>COP L3-2 MAINS FEEDUNIT</t>
        </is>
      </c>
      <c r="F6190" t="inlineStr">
        <is>
          <t>GVX IO 1500 FEED SIEMENS</t>
        </is>
      </c>
      <c r="L6190">
        <f>_xlfn.XLOOKUP(Tableau1[[#This Row],[TYPE DE PIECE]],Tableau4[MATIERE],Tableau4[SHORT TYPE],"",0,1)</f>
        <v/>
      </c>
      <c r="N6190">
        <f>IF(ISERR(FIND("DECOUPE",Tableau1[[#This Row],[DESIGNATION]])),"","NEED REF")</f>
        <v/>
      </c>
    </row>
    <row r="6191">
      <c r="B6191" t="n">
        <v>34407814</v>
      </c>
      <c r="C6191" s="2" t="n">
        <v>43678</v>
      </c>
      <c r="D6191" t="inlineStr">
        <is>
          <t>SPEC</t>
        </is>
      </c>
      <c r="E6191" t="inlineStr">
        <is>
          <t>COP L3-1 MAINS FEEDUNIT</t>
        </is>
      </c>
      <c r="F6191" t="inlineStr">
        <is>
          <t>GVX IO 1500 FEED SIEMENS</t>
        </is>
      </c>
      <c r="L6191">
        <f>_xlfn.XLOOKUP(Tableau1[[#This Row],[TYPE DE PIECE]],Tableau4[MATIERE],Tableau4[SHORT TYPE],"",0,1)</f>
        <v/>
      </c>
      <c r="N6191">
        <f>IF(ISERR(FIND("DECOUPE",Tableau1[[#This Row],[DESIGNATION]])),"","NEED REF")</f>
        <v/>
      </c>
    </row>
    <row r="6192">
      <c r="B6192" t="n">
        <v>34407813</v>
      </c>
      <c r="C6192" s="2" t="n">
        <v>43678</v>
      </c>
      <c r="D6192" t="inlineStr">
        <is>
          <t>SPEC</t>
        </is>
      </c>
      <c r="E6192" t="inlineStr">
        <is>
          <t>COP L2-2 MAINS FEEDUNIT</t>
        </is>
      </c>
      <c r="F6192" t="inlineStr">
        <is>
          <t>GVX IO 1500 FEED SIEMENS</t>
        </is>
      </c>
      <c r="L6192">
        <f>_xlfn.XLOOKUP(Tableau1[[#This Row],[TYPE DE PIECE]],Tableau4[MATIERE],Tableau4[SHORT TYPE],"",0,1)</f>
        <v/>
      </c>
      <c r="N6192">
        <f>IF(ISERR(FIND("DECOUPE",Tableau1[[#This Row],[DESIGNATION]])),"","NEED REF")</f>
        <v/>
      </c>
    </row>
    <row r="6193">
      <c r="B6193" t="n">
        <v>34407812</v>
      </c>
      <c r="C6193" s="2" t="n">
        <v>43678</v>
      </c>
      <c r="D6193" t="inlineStr">
        <is>
          <t>SPEC</t>
        </is>
      </c>
      <c r="E6193" t="inlineStr">
        <is>
          <t>COP L2-1 MAINS FEEDUNIT</t>
        </is>
      </c>
      <c r="F6193" t="inlineStr">
        <is>
          <t>GVX IO 1500 FEED SIEMENS</t>
        </is>
      </c>
      <c r="L6193">
        <f>_xlfn.XLOOKUP(Tableau1[[#This Row],[TYPE DE PIECE]],Tableau4[MATIERE],Tableau4[SHORT TYPE],"",0,1)</f>
        <v/>
      </c>
      <c r="N6193">
        <f>IF(ISERR(FIND("DECOUPE",Tableau1[[#This Row],[DESIGNATION]])),"","NEED REF")</f>
        <v/>
      </c>
    </row>
    <row r="6194">
      <c r="B6194" t="n">
        <v>34407811</v>
      </c>
      <c r="C6194" s="2" t="n">
        <v>43678</v>
      </c>
      <c r="D6194" t="inlineStr">
        <is>
          <t>SPEC</t>
        </is>
      </c>
      <c r="E6194" t="inlineStr">
        <is>
          <t>COP L1-2 MAINS FEEDUNIT</t>
        </is>
      </c>
      <c r="F6194" t="inlineStr">
        <is>
          <t>GVX IO 1500 FEED SIEMENS</t>
        </is>
      </c>
      <c r="L6194">
        <f>_xlfn.XLOOKUP(Tableau1[[#This Row],[TYPE DE PIECE]],Tableau4[MATIERE],Tableau4[SHORT TYPE],"",0,1)</f>
        <v/>
      </c>
      <c r="N6194">
        <f>IF(ISERR(FIND("DECOUPE",Tableau1[[#This Row],[DESIGNATION]])),"","NEED REF")</f>
        <v/>
      </c>
    </row>
    <row r="6195">
      <c r="B6195" t="n">
        <v>34407810</v>
      </c>
      <c r="C6195" s="2" t="n">
        <v>43678</v>
      </c>
      <c r="D6195" t="inlineStr">
        <is>
          <t>SPEC</t>
        </is>
      </c>
      <c r="E6195" t="inlineStr">
        <is>
          <t>COP L1-1 MAINS FEEDUNIT</t>
        </is>
      </c>
      <c r="F6195" t="inlineStr">
        <is>
          <t>GVX IO 1500 FEED SIEMENS</t>
        </is>
      </c>
      <c r="L6195">
        <f>_xlfn.XLOOKUP(Tableau1[[#This Row],[TYPE DE PIECE]],Tableau4[MATIERE],Tableau4[SHORT TYPE],"",0,1)</f>
        <v/>
      </c>
      <c r="N6195">
        <f>IF(ISERR(FIND("DECOUPE",Tableau1[[#This Row],[DESIGNATION]])),"","NEED REF")</f>
        <v/>
      </c>
    </row>
    <row r="6196">
      <c r="B6196" t="n">
        <v>34407809</v>
      </c>
      <c r="C6196" s="2" t="n">
        <v>43678</v>
      </c>
      <c r="D6196" t="inlineStr">
        <is>
          <t>SPEC</t>
        </is>
      </c>
      <c r="E6196" t="inlineStr">
        <is>
          <t>COP PE-2 MAINS</t>
        </is>
      </c>
      <c r="F6196" t="inlineStr">
        <is>
          <t>GVX IO 1500 FEED SIEMENS</t>
        </is>
      </c>
      <c r="L6196">
        <f>_xlfn.XLOOKUP(Tableau1[[#This Row],[TYPE DE PIECE]],Tableau4[MATIERE],Tableau4[SHORT TYPE],"",0,1)</f>
        <v/>
      </c>
      <c r="N6196">
        <f>IF(ISERR(FIND("DECOUPE",Tableau1[[#This Row],[DESIGNATION]])),"","NEED REF")</f>
        <v/>
      </c>
    </row>
    <row r="6197">
      <c r="B6197" t="n">
        <v>34407808</v>
      </c>
      <c r="C6197" s="2" t="n">
        <v>43678</v>
      </c>
      <c r="D6197" t="inlineStr">
        <is>
          <t>SPEC</t>
        </is>
      </c>
      <c r="E6197" t="inlineStr">
        <is>
          <t>COP PE-1 MAINS</t>
        </is>
      </c>
      <c r="F6197" t="inlineStr">
        <is>
          <t>GVX IO 1500 FEED SIEMENS</t>
        </is>
      </c>
      <c r="L6197">
        <f>_xlfn.XLOOKUP(Tableau1[[#This Row],[TYPE DE PIECE]],Tableau4[MATIERE],Tableau4[SHORT TYPE],"",0,1)</f>
        <v/>
      </c>
      <c r="N6197">
        <f>IF(ISERR(FIND("DECOUPE",Tableau1[[#This Row],[DESIGNATION]])),"","NEED REF")</f>
        <v/>
      </c>
    </row>
    <row r="6198">
      <c r="B6198" t="n">
        <v>34407807</v>
      </c>
      <c r="C6198" s="2" t="n">
        <v>43670</v>
      </c>
      <c r="D6198" t="inlineStr">
        <is>
          <t>SPEC</t>
        </is>
      </c>
      <c r="E6198" t="inlineStr">
        <is>
          <t>COP L3 MAINS</t>
        </is>
      </c>
      <c r="F6198" t="inlineStr">
        <is>
          <t>GVX IO 1500 FEED SIEMENS</t>
        </is>
      </c>
      <c r="L6198">
        <f>_xlfn.XLOOKUP(Tableau1[[#This Row],[TYPE DE PIECE]],Tableau4[MATIERE],Tableau4[SHORT TYPE],"",0,1)</f>
        <v/>
      </c>
      <c r="N6198">
        <f>IF(ISERR(FIND("DECOUPE",Tableau1[[#This Row],[DESIGNATION]])),"","NEED REF")</f>
        <v/>
      </c>
    </row>
    <row r="6199">
      <c r="B6199" t="n">
        <v>34407806</v>
      </c>
      <c r="C6199" s="2" t="n">
        <v>43670</v>
      </c>
      <c r="D6199" t="inlineStr">
        <is>
          <t>SPEC</t>
        </is>
      </c>
      <c r="E6199" t="inlineStr">
        <is>
          <t>COP L2-2 MAINS</t>
        </is>
      </c>
      <c r="F6199" t="inlineStr">
        <is>
          <t>GVX IO 1500 FEED SIEMENS</t>
        </is>
      </c>
      <c r="L6199">
        <f>_xlfn.XLOOKUP(Tableau1[[#This Row],[TYPE DE PIECE]],Tableau4[MATIERE],Tableau4[SHORT TYPE],"",0,1)</f>
        <v/>
      </c>
      <c r="N6199">
        <f>IF(ISERR(FIND("DECOUPE",Tableau1[[#This Row],[DESIGNATION]])),"","NEED REF")</f>
        <v/>
      </c>
    </row>
    <row r="6200">
      <c r="B6200" t="n">
        <v>34407805</v>
      </c>
      <c r="C6200" s="2" t="n">
        <v>43670</v>
      </c>
      <c r="D6200" t="inlineStr">
        <is>
          <t>SPEC</t>
        </is>
      </c>
      <c r="E6200" t="inlineStr">
        <is>
          <t>COP L2-1 MAINS</t>
        </is>
      </c>
      <c r="F6200" t="inlineStr">
        <is>
          <t>GVX IO 1500 FEED SIEMENS</t>
        </is>
      </c>
      <c r="L6200">
        <f>_xlfn.XLOOKUP(Tableau1[[#This Row],[TYPE DE PIECE]],Tableau4[MATIERE],Tableau4[SHORT TYPE],"",0,1)</f>
        <v/>
      </c>
      <c r="N6200">
        <f>IF(ISERR(FIND("DECOUPE",Tableau1[[#This Row],[DESIGNATION]])),"","NEED REF")</f>
        <v/>
      </c>
    </row>
    <row r="6201">
      <c r="B6201" t="n">
        <v>34407804</v>
      </c>
      <c r="C6201" s="2" t="n">
        <v>43670</v>
      </c>
      <c r="D6201" t="inlineStr">
        <is>
          <t>SPEC</t>
        </is>
      </c>
      <c r="E6201" t="inlineStr">
        <is>
          <t>COP L1 MAINS</t>
        </is>
      </c>
      <c r="F6201" t="inlineStr">
        <is>
          <t>GVX IO 1500 FEED SIEMENS</t>
        </is>
      </c>
      <c r="L6201">
        <f>_xlfn.XLOOKUP(Tableau1[[#This Row],[TYPE DE PIECE]],Tableau4[MATIERE],Tableau4[SHORT TYPE],"",0,1)</f>
        <v/>
      </c>
      <c r="N6201">
        <f>IF(ISERR(FIND("DECOUPE",Tableau1[[#This Row],[DESIGNATION]])),"","NEED REF")</f>
        <v/>
      </c>
    </row>
    <row r="6202">
      <c r="B6202" t="n">
        <v>34407803</v>
      </c>
      <c r="C6202" s="2" t="n">
        <v>43670</v>
      </c>
      <c r="D6202" t="inlineStr">
        <is>
          <t>SPEC</t>
        </is>
      </c>
      <c r="E6202" t="inlineStr">
        <is>
          <t>GVM 2HOLES BATTERIE CONNEXION</t>
        </is>
      </c>
      <c r="F6202" t="inlineStr">
        <is>
          <t>GVX IO 1500 FEED SIEMENS</t>
        </is>
      </c>
      <c r="L6202">
        <f>_xlfn.XLOOKUP(Tableau1[[#This Row],[TYPE DE PIECE]],Tableau4[MATIERE],Tableau4[SHORT TYPE],"",0,1)</f>
        <v/>
      </c>
      <c r="N6202">
        <f>IF(ISERR(FIND("DECOUPE",Tableau1[[#This Row],[DESIGNATION]])),"","NEED REF")</f>
        <v/>
      </c>
    </row>
    <row r="6203">
      <c r="B6203" t="n">
        <v>34407802</v>
      </c>
      <c r="C6203" s="2" t="n">
        <v>43670</v>
      </c>
      <c r="D6203" t="inlineStr">
        <is>
          <t>SPEC</t>
        </is>
      </c>
      <c r="E6203" t="inlineStr">
        <is>
          <t>SMT RAL9003 FRONT/BACK FRAME</t>
        </is>
      </c>
      <c r="F6203" t="inlineStr">
        <is>
          <t>GVX IO 1500 FEED SIEMENS</t>
        </is>
      </c>
      <c r="L6203">
        <f>_xlfn.XLOOKUP(Tableau1[[#This Row],[TYPE DE PIECE]],Tableau4[MATIERE],Tableau4[SHORT TYPE],"",0,1)</f>
        <v/>
      </c>
      <c r="N6203">
        <f>IF(ISERR(FIND("DECOUPE",Tableau1[[#This Row],[DESIGNATION]])),"","NEED REF")</f>
        <v/>
      </c>
    </row>
    <row r="6204">
      <c r="B6204" t="n">
        <v>34407801</v>
      </c>
      <c r="C6204" s="2" t="n">
        <v>43670</v>
      </c>
      <c r="D6204" t="inlineStr">
        <is>
          <t>SPEC</t>
        </is>
      </c>
      <c r="E6204" t="inlineStr">
        <is>
          <t>SMT RAL9003 LEFT/RIGHT FRAME</t>
        </is>
      </c>
      <c r="F6204" t="inlineStr">
        <is>
          <t>GVX IO 1500 FEED SIEMENS</t>
        </is>
      </c>
      <c r="L6204">
        <f>_xlfn.XLOOKUP(Tableau1[[#This Row],[TYPE DE PIECE]],Tableau4[MATIERE],Tableau4[SHORT TYPE],"",0,1)</f>
        <v/>
      </c>
      <c r="N6204">
        <f>IF(ISERR(FIND("DECOUPE",Tableau1[[#This Row],[DESIGNATION]])),"","NEED REF")</f>
        <v/>
      </c>
    </row>
    <row r="6205">
      <c r="B6205" t="n">
        <v>34407800</v>
      </c>
      <c r="C6205" s="2" t="n">
        <v>43670</v>
      </c>
      <c r="D6205" t="inlineStr">
        <is>
          <t>SPEC</t>
        </is>
      </c>
      <c r="E6205" t="inlineStr">
        <is>
          <t xml:space="preserve">S/E TOP CONNEXION FEEDUNIT </t>
        </is>
      </c>
      <c r="F6205" t="inlineStr">
        <is>
          <t>GVX IO 1500 FEED SIEMENS</t>
        </is>
      </c>
      <c r="L6205">
        <f>_xlfn.XLOOKUP(Tableau1[[#This Row],[TYPE DE PIECE]],Tableau4[MATIERE],Tableau4[SHORT TYPE],"",0,1)</f>
        <v/>
      </c>
      <c r="N6205">
        <f>IF(ISERR(FIND("DECOUPE",Tableau1[[#This Row],[DESIGNATION]])),"","NEED REF")</f>
        <v/>
      </c>
    </row>
    <row r="6206">
      <c r="B6206" t="n">
        <v>34407799</v>
      </c>
      <c r="C6206" s="2" t="n">
        <v>43668</v>
      </c>
      <c r="D6206" t="inlineStr">
        <is>
          <t>SPEC</t>
        </is>
      </c>
      <c r="E6206" t="inlineStr">
        <is>
          <t>plaque arriere RAL7035</t>
        </is>
      </c>
      <c r="L6206">
        <f>_xlfn.XLOOKUP(Tableau1[[#This Row],[TYPE DE PIECE]],Tableau4[MATIERE],Tableau4[SHORT TYPE],"",0,1)</f>
        <v/>
      </c>
      <c r="N6206">
        <f>IF(ISERR(FIND("DECOUPE",Tableau1[[#This Row],[DESIGNATION]])),"","NEED REF")</f>
        <v/>
      </c>
    </row>
    <row r="6207">
      <c r="B6207" t="n">
        <v>34407798</v>
      </c>
      <c r="C6207" s="2" t="n">
        <v>43665</v>
      </c>
      <c r="D6207" t="inlineStr">
        <is>
          <t>SPEC</t>
        </is>
      </c>
      <c r="E6207" t="inlineStr">
        <is>
          <t xml:space="preserve">USINAGE HANDLE FRONT DOOT GVS similaire à la REF 876-43439 en ALU </t>
        </is>
      </c>
      <c r="F6207" t="inlineStr">
        <is>
          <t>ST TOURS</t>
        </is>
      </c>
      <c r="J6207" t="inlineStr">
        <is>
          <t>JPM/UTP</t>
        </is>
      </c>
      <c r="K6207" t="inlineStr">
        <is>
          <t>METAL</t>
        </is>
      </c>
      <c r="L6207">
        <f>_xlfn.XLOOKUP(Tableau1[[#This Row],[TYPE DE PIECE]],Tableau4[MATIERE],Tableau4[SHORT TYPE],"",0,1)</f>
        <v/>
      </c>
      <c r="N6207">
        <f>IF(ISERR(FIND("DECOUPE",Tableau1[[#This Row],[DESIGNATION]])),"","NEED REF")</f>
        <v/>
      </c>
    </row>
    <row r="6208">
      <c r="B6208" t="n">
        <v>34407797</v>
      </c>
      <c r="C6208" s="2" t="n">
        <v>43656</v>
      </c>
      <c r="D6208" t="inlineStr">
        <is>
          <t>SPEC</t>
        </is>
      </c>
      <c r="E6208" t="inlineStr">
        <is>
          <t>Plastron blanc IM9 + AMP</t>
        </is>
      </c>
      <c r="L6208">
        <f>_xlfn.XLOOKUP(Tableau1[[#This Row],[TYPE DE PIECE]],Tableau4[MATIERE],Tableau4[SHORT TYPE],"",0,1)</f>
        <v/>
      </c>
      <c r="N6208">
        <f>IF(ISERR(FIND("DECOUPE",Tableau1[[#This Row],[DESIGNATION]])),"","NEED REF")</f>
        <v/>
      </c>
    </row>
    <row r="6209">
      <c r="B6209" t="n">
        <v>34407796</v>
      </c>
      <c r="C6209" s="2" t="n">
        <v>43656</v>
      </c>
      <c r="D6209" t="inlineStr">
        <is>
          <t>SPEC</t>
        </is>
      </c>
      <c r="E6209" t="inlineStr">
        <is>
          <t>prestation découpe porte + toit</t>
        </is>
      </c>
      <c r="L6209">
        <f>_xlfn.XLOOKUP(Tableau1[[#This Row],[TYPE DE PIECE]],Tableau4[MATIERE],Tableau4[SHORT TYPE],"",0,1)</f>
        <v/>
      </c>
      <c r="N6209">
        <f>IF(ISERR(FIND("DECOUPE",Tableau1[[#This Row],[DESIGNATION]])),"","NEED REF")</f>
        <v/>
      </c>
    </row>
    <row r="6210">
      <c r="B6210" t="n">
        <v>34407795</v>
      </c>
      <c r="C6210" s="2" t="n">
        <v>43656</v>
      </c>
      <c r="D6210" t="inlineStr">
        <is>
          <t>SPEC</t>
        </is>
      </c>
      <c r="E6210" t="inlineStr">
        <is>
          <t>Rail din porte</t>
        </is>
      </c>
      <c r="L6210">
        <f>_xlfn.XLOOKUP(Tableau1[[#This Row],[TYPE DE PIECE]],Tableau4[MATIERE],Tableau4[SHORT TYPE],"",0,1)</f>
        <v/>
      </c>
      <c r="N6210">
        <f>IF(ISERR(FIND("DECOUPE",Tableau1[[#This Row],[DESIGNATION]])),"","NEED REF")</f>
        <v/>
      </c>
    </row>
    <row r="6211">
      <c r="B6211" t="n">
        <v>34407794</v>
      </c>
      <c r="C6211" s="2" t="n">
        <v>43656</v>
      </c>
      <c r="D6211" t="inlineStr">
        <is>
          <t>SPEC</t>
        </is>
      </c>
      <c r="E6211" t="inlineStr">
        <is>
          <t>Rail din disj</t>
        </is>
      </c>
      <c r="L6211">
        <f>_xlfn.XLOOKUP(Tableau1[[#This Row],[TYPE DE PIECE]],Tableau4[MATIERE],Tableau4[SHORT TYPE],"",0,1)</f>
        <v/>
      </c>
      <c r="N6211">
        <f>IF(ISERR(FIND("DECOUPE",Tableau1[[#This Row],[DESIGNATION]])),"","NEED REF")</f>
        <v/>
      </c>
    </row>
    <row r="6212">
      <c r="B6212" t="n">
        <v>34407793</v>
      </c>
      <c r="C6212" s="2" t="n">
        <v>43656</v>
      </c>
      <c r="D6212" t="inlineStr">
        <is>
          <t>SPEC</t>
        </is>
      </c>
      <c r="E6212" t="inlineStr">
        <is>
          <t>Support disj</t>
        </is>
      </c>
      <c r="L6212">
        <f>_xlfn.XLOOKUP(Tableau1[[#This Row],[TYPE DE PIECE]],Tableau4[MATIERE],Tableau4[SHORT TYPE],"",0,1)</f>
        <v/>
      </c>
      <c r="N6212">
        <f>IF(ISERR(FIND("DECOUPE",Tableau1[[#This Row],[DESIGNATION]])),"","NEED REF")</f>
        <v/>
      </c>
    </row>
    <row r="6213">
      <c r="B6213" t="n">
        <v>34407792</v>
      </c>
      <c r="C6213" s="2" t="n">
        <v>43656</v>
      </c>
      <c r="D6213" t="inlineStr">
        <is>
          <t>SPEC</t>
        </is>
      </c>
      <c r="E6213" t="inlineStr">
        <is>
          <t>Etiquette jaune mise hors service</t>
        </is>
      </c>
      <c r="L6213">
        <f>_xlfn.XLOOKUP(Tableau1[[#This Row],[TYPE DE PIECE]],Tableau4[MATIERE],Tableau4[SHORT TYPE],"",0,1)</f>
        <v/>
      </c>
      <c r="N6213">
        <f>IF(ISERR(FIND("DECOUPE",Tableau1[[#This Row],[DESIGNATION]])),"","NEED REF")</f>
        <v/>
      </c>
    </row>
    <row r="6214">
      <c r="B6214" t="n">
        <v>34407791</v>
      </c>
      <c r="C6214" s="2" t="n">
        <v>43656</v>
      </c>
      <c r="D6214" t="inlineStr">
        <is>
          <t>SPEC</t>
        </is>
      </c>
      <c r="E6214" t="inlineStr">
        <is>
          <t>plastron disj</t>
        </is>
      </c>
      <c r="L6214">
        <f>_xlfn.XLOOKUP(Tableau1[[#This Row],[TYPE DE PIECE]],Tableau4[MATIERE],Tableau4[SHORT TYPE],"",0,1)</f>
        <v/>
      </c>
      <c r="N6214">
        <f>IF(ISERR(FIND("DECOUPE",Tableau1[[#This Row],[DESIGNATION]])),"","NEED REF")</f>
        <v/>
      </c>
    </row>
    <row r="6215">
      <c r="B6215" t="n">
        <v>34407790</v>
      </c>
      <c r="C6215" s="2" t="n">
        <v>43656</v>
      </c>
      <c r="D6215" t="inlineStr">
        <is>
          <t>SPEC</t>
        </is>
      </c>
      <c r="E6215" t="inlineStr">
        <is>
          <t>Plastron plein</t>
        </is>
      </c>
      <c r="L6215">
        <f>_xlfn.XLOOKUP(Tableau1[[#This Row],[TYPE DE PIECE]],Tableau4[MATIERE],Tableau4[SHORT TYPE],"",0,1)</f>
        <v/>
      </c>
      <c r="N6215">
        <f>IF(ISERR(FIND("DECOUPE",Tableau1[[#This Row],[DESIGNATION]])),"","NEED REF")</f>
        <v/>
      </c>
    </row>
    <row r="6216">
      <c r="B6216" t="n">
        <v>34407789</v>
      </c>
      <c r="C6216" s="2" t="n">
        <v>43656</v>
      </c>
      <c r="D6216" t="inlineStr">
        <is>
          <t>SPEC</t>
        </is>
      </c>
      <c r="E6216" t="inlineStr">
        <is>
          <t>Support rail din</t>
        </is>
      </c>
      <c r="L6216">
        <f>_xlfn.XLOOKUP(Tableau1[[#This Row],[TYPE DE PIECE]],Tableau4[MATIERE],Tableau4[SHORT TYPE],"",0,1)</f>
        <v/>
      </c>
      <c r="N6216">
        <f>IF(ISERR(FIND("DECOUPE",Tableau1[[#This Row],[DESIGNATION]])),"","NEED REF")</f>
        <v/>
      </c>
    </row>
    <row r="6217">
      <c r="B6217" t="n">
        <v>34407788</v>
      </c>
      <c r="C6217" s="2" t="n">
        <v>43641</v>
      </c>
      <c r="D6217" t="inlineStr">
        <is>
          <t>SPEC</t>
        </is>
      </c>
      <c r="E6217" t="inlineStr">
        <is>
          <t>LABEL LEXAN SW RACK PDU AP7921B BLUE</t>
        </is>
      </c>
      <c r="F6217" t="inlineStr">
        <is>
          <t>QTHO53916-00</t>
        </is>
      </c>
      <c r="J6217" t="inlineStr">
        <is>
          <t>REVEL</t>
        </is>
      </c>
      <c r="K6217" t="inlineStr">
        <is>
          <t>ETIQUETTE</t>
        </is>
      </c>
      <c r="L6217">
        <f>_xlfn.XLOOKUP(Tableau1[[#This Row],[TYPE DE PIECE]],Tableau4[MATIERE],Tableau4[SHORT TYPE],"",0,1)</f>
        <v/>
      </c>
      <c r="N6217">
        <f>IF(ISERR(FIND("DECOUPE",Tableau1[[#This Row],[DESIGNATION]])),"","NEED REF")</f>
        <v/>
      </c>
    </row>
    <row r="6218">
      <c r="B6218" t="n">
        <v>34407787</v>
      </c>
      <c r="C6218" s="2" t="n">
        <v>43641</v>
      </c>
      <c r="D6218" t="inlineStr">
        <is>
          <t>SPEC</t>
        </is>
      </c>
      <c r="E6218" t="inlineStr">
        <is>
          <t>LABEL LEXAN SW RACK PDU AP7921B RED</t>
        </is>
      </c>
      <c r="F6218" t="inlineStr">
        <is>
          <t>QTHO56741-00</t>
        </is>
      </c>
      <c r="J6218" t="inlineStr">
        <is>
          <t>REVEL</t>
        </is>
      </c>
      <c r="K6218" t="inlineStr">
        <is>
          <t>ETIQUETTE</t>
        </is>
      </c>
      <c r="L6218">
        <f>_xlfn.XLOOKUP(Tableau1[[#This Row],[TYPE DE PIECE]],Tableau4[MATIERE],Tableau4[SHORT TYPE],"",0,1)</f>
        <v/>
      </c>
      <c r="N6218">
        <f>IF(ISERR(FIND("DECOUPE",Tableau1[[#This Row],[DESIGNATION]])),"","NEED REF")</f>
        <v/>
      </c>
    </row>
    <row r="6219">
      <c r="B6219" t="n">
        <v>34407786</v>
      </c>
      <c r="C6219" s="2" t="n">
        <v>43641</v>
      </c>
      <c r="D6219" t="inlineStr">
        <is>
          <t>SPEC</t>
        </is>
      </c>
      <c r="E6219" t="inlineStr">
        <is>
          <t>LABEL UNIT BLUE AP8953</t>
        </is>
      </c>
      <c r="F6219" t="inlineStr">
        <is>
          <t>QTHO45187-00</t>
        </is>
      </c>
      <c r="J6219" t="inlineStr">
        <is>
          <t>REVEL</t>
        </is>
      </c>
      <c r="K6219" t="inlineStr">
        <is>
          <t>ETIQUETTE</t>
        </is>
      </c>
      <c r="L6219">
        <f>_xlfn.XLOOKUP(Tableau1[[#This Row],[TYPE DE PIECE]],Tableau4[MATIERE],Tableau4[SHORT TYPE],"",0,1)</f>
        <v/>
      </c>
      <c r="N6219">
        <f>IF(ISERR(FIND("DECOUPE",Tableau1[[#This Row],[DESIGNATION]])),"","NEED REF")</f>
        <v/>
      </c>
    </row>
    <row r="6220">
      <c r="B6220" t="n">
        <v>34407785</v>
      </c>
      <c r="C6220" s="2" t="n">
        <v>43641</v>
      </c>
      <c r="D6220" t="inlineStr">
        <is>
          <t>SPEC</t>
        </is>
      </c>
      <c r="E6220" t="inlineStr">
        <is>
          <t>LABEL UNIT BLUE AP7921B</t>
        </is>
      </c>
      <c r="F6220" t="inlineStr">
        <is>
          <t>QTHO53916-00</t>
        </is>
      </c>
      <c r="J6220" t="inlineStr">
        <is>
          <t>REVEL</t>
        </is>
      </c>
      <c r="K6220" t="inlineStr">
        <is>
          <t>ETIQUETTE</t>
        </is>
      </c>
      <c r="L6220">
        <f>_xlfn.XLOOKUP(Tableau1[[#This Row],[TYPE DE PIECE]],Tableau4[MATIERE],Tableau4[SHORT TYPE],"",0,1)</f>
        <v/>
      </c>
      <c r="N6220">
        <f>IF(ISERR(FIND("DECOUPE",Tableau1[[#This Row],[DESIGNATION]])),"","NEED REF")</f>
        <v/>
      </c>
    </row>
    <row r="6221">
      <c r="B6221" t="n">
        <v>34407784</v>
      </c>
      <c r="C6221" s="2" t="n">
        <v>43641</v>
      </c>
      <c r="D6221" t="inlineStr">
        <is>
          <t>SPEC</t>
        </is>
      </c>
      <c r="E6221" t="inlineStr">
        <is>
          <t>LABEL UNIT RED AP79218</t>
        </is>
      </c>
      <c r="F6221" t="inlineStr">
        <is>
          <t>QTHO56741-00</t>
        </is>
      </c>
      <c r="J6221" t="inlineStr">
        <is>
          <t>REVEL</t>
        </is>
      </c>
      <c r="K6221" t="inlineStr">
        <is>
          <t>ETIQUETTE</t>
        </is>
      </c>
      <c r="L6221">
        <f>_xlfn.XLOOKUP(Tableau1[[#This Row],[TYPE DE PIECE]],Tableau4[MATIERE],Tableau4[SHORT TYPE],"",0,1)</f>
        <v/>
      </c>
      <c r="N6221">
        <f>IF(ISERR(FIND("DECOUPE",Tableau1[[#This Row],[DESIGNATION]])),"","NEED REF")</f>
        <v/>
      </c>
    </row>
    <row r="6222">
      <c r="B6222" t="n">
        <v>34407783</v>
      </c>
      <c r="C6222" s="2" t="n">
        <v>43641</v>
      </c>
      <c r="D6222" t="inlineStr">
        <is>
          <t>SPEC</t>
        </is>
      </c>
      <c r="E6222" t="inlineStr">
        <is>
          <t>LABEL UNIT RED AP8953</t>
        </is>
      </c>
      <c r="F6222" t="inlineStr">
        <is>
          <t>QTHO91031-00</t>
        </is>
      </c>
      <c r="J6222" t="inlineStr">
        <is>
          <t>REVEL</t>
        </is>
      </c>
      <c r="K6222" t="inlineStr">
        <is>
          <t>ETIQUETTE</t>
        </is>
      </c>
      <c r="L6222">
        <f>_xlfn.XLOOKUP(Tableau1[[#This Row],[TYPE DE PIECE]],Tableau4[MATIERE],Tableau4[SHORT TYPE],"",0,1)</f>
        <v/>
      </c>
      <c r="N6222">
        <f>IF(ISERR(FIND("DECOUPE",Tableau1[[#This Row],[DESIGNATION]])),"","NEED REF")</f>
        <v/>
      </c>
    </row>
    <row r="6223">
      <c r="B6223" t="n">
        <v>34407782</v>
      </c>
      <c r="C6223" s="2" t="n">
        <v>43641</v>
      </c>
      <c r="D6223" t="inlineStr">
        <is>
          <t>SPEC</t>
        </is>
      </c>
      <c r="E6223" t="inlineStr">
        <is>
          <t>TOIT 2 LOAD BATT</t>
        </is>
      </c>
      <c r="F6223" t="inlineStr">
        <is>
          <t>GVX IO 1500</t>
        </is>
      </c>
      <c r="J6223" t="inlineStr">
        <is>
          <t>MATRION</t>
        </is>
      </c>
      <c r="K6223" t="inlineStr">
        <is>
          <t>METAL</t>
        </is>
      </c>
      <c r="L6223">
        <f>_xlfn.XLOOKUP(Tableau1[[#This Row],[TYPE DE PIECE]],Tableau4[MATIERE],Tableau4[SHORT TYPE],"",0,1)</f>
        <v/>
      </c>
      <c r="N6223">
        <f>IF(ISERR(FIND("DECOUPE",Tableau1[[#This Row],[DESIGNATION]])),"","NEED REF")</f>
        <v/>
      </c>
    </row>
    <row r="6224">
      <c r="B6224" t="n">
        <v>34407781</v>
      </c>
      <c r="C6224" s="2" t="n">
        <v>43641</v>
      </c>
      <c r="D6224" t="inlineStr">
        <is>
          <t>SPEC</t>
        </is>
      </c>
      <c r="E6224" t="inlineStr">
        <is>
          <t>TOIT 1 LOAD BATT</t>
        </is>
      </c>
      <c r="F6224" t="inlineStr">
        <is>
          <t>GVX IO 1500</t>
        </is>
      </c>
      <c r="J6224" t="inlineStr">
        <is>
          <t>MATRION</t>
        </is>
      </c>
      <c r="K6224" t="inlineStr">
        <is>
          <t>METAL</t>
        </is>
      </c>
      <c r="L6224">
        <f>_xlfn.XLOOKUP(Tableau1[[#This Row],[TYPE DE PIECE]],Tableau4[MATIERE],Tableau4[SHORT TYPE],"",0,1)</f>
        <v/>
      </c>
      <c r="N6224">
        <f>IF(ISERR(FIND("DECOUPE",Tableau1[[#This Row],[DESIGNATION]])),"","NEED REF")</f>
        <v/>
      </c>
    </row>
    <row r="6225">
      <c r="B6225" t="n">
        <v>34407780</v>
      </c>
      <c r="C6225" s="2" t="n">
        <v>43641</v>
      </c>
      <c r="D6225" t="inlineStr">
        <is>
          <t>SPEC</t>
        </is>
      </c>
      <c r="E6225" t="inlineStr">
        <is>
          <t>TOIT 2 MAIN</t>
        </is>
      </c>
      <c r="F6225" t="inlineStr">
        <is>
          <t>GVX IO 1500</t>
        </is>
      </c>
      <c r="J6225" t="inlineStr">
        <is>
          <t>MATRION</t>
        </is>
      </c>
      <c r="K6225" t="inlineStr">
        <is>
          <t>METAL</t>
        </is>
      </c>
      <c r="L6225">
        <f>_xlfn.XLOOKUP(Tableau1[[#This Row],[TYPE DE PIECE]],Tableau4[MATIERE],Tableau4[SHORT TYPE],"",0,1)</f>
        <v/>
      </c>
      <c r="N6225">
        <f>IF(ISERR(FIND("DECOUPE",Tableau1[[#This Row],[DESIGNATION]])),"","NEED REF")</f>
        <v/>
      </c>
    </row>
    <row r="6226">
      <c r="B6226" t="n">
        <v>34407779</v>
      </c>
      <c r="C6226" s="2" t="n">
        <v>43641</v>
      </c>
      <c r="D6226" t="inlineStr">
        <is>
          <t>SPEC</t>
        </is>
      </c>
      <c r="E6226" t="inlineStr">
        <is>
          <t>TOIT 1 MAIN</t>
        </is>
      </c>
      <c r="F6226" t="inlineStr">
        <is>
          <t>GVX IO 1500</t>
        </is>
      </c>
      <c r="J6226" t="inlineStr">
        <is>
          <t>MATRION</t>
        </is>
      </c>
      <c r="K6226" t="inlineStr">
        <is>
          <t>METAL</t>
        </is>
      </c>
      <c r="L6226">
        <f>_xlfn.XLOOKUP(Tableau1[[#This Row],[TYPE DE PIECE]],Tableau4[MATIERE],Tableau4[SHORT TYPE],"",0,1)</f>
        <v/>
      </c>
      <c r="N6226">
        <f>IF(ISERR(FIND("DECOUPE",Tableau1[[#This Row],[DESIGNATION]])),"","NEED REF")</f>
        <v/>
      </c>
    </row>
    <row r="6227">
      <c r="B6227" t="n">
        <v>34407778</v>
      </c>
      <c r="C6227" s="2" t="n">
        <v>43636</v>
      </c>
      <c r="D6227" t="inlineStr">
        <is>
          <t>SPEC</t>
        </is>
      </c>
      <c r="E6227" t="inlineStr">
        <is>
          <t>Spécial SF juxtaposée SF 2000x700+700x600 F19060470MHZ/A0</t>
        </is>
      </c>
      <c r="F6227" t="inlineStr">
        <is>
          <t>SAREL</t>
        </is>
      </c>
      <c r="J6227" t="inlineStr">
        <is>
          <t>MATRION</t>
        </is>
      </c>
      <c r="K6227" t="inlineStr">
        <is>
          <t>SAREL</t>
        </is>
      </c>
      <c r="L6227">
        <f>_xlfn.XLOOKUP(Tableau1[[#This Row],[TYPE DE PIECE]],Tableau4[MATIERE],Tableau4[SHORT TYPE],"",0,1)</f>
        <v/>
      </c>
      <c r="N6227">
        <f>IF(ISERR(FIND("DECOUPE",Tableau1[[#This Row],[DESIGNATION]])),"","NEED REF")</f>
        <v/>
      </c>
    </row>
    <row r="6228">
      <c r="B6228" t="n">
        <v>34407777</v>
      </c>
      <c r="C6228" s="2" t="n">
        <v>43634</v>
      </c>
      <c r="D6228" t="inlineStr">
        <is>
          <t>SPEC</t>
        </is>
      </c>
      <c r="E6228" t="inlineStr">
        <is>
          <t>SMT PIECE D ANGLE BAS</t>
        </is>
      </c>
      <c r="F6228" t="inlineStr">
        <is>
          <t>BIRDY</t>
        </is>
      </c>
      <c r="J6228" t="inlineStr">
        <is>
          <t>MATRION</t>
        </is>
      </c>
      <c r="K6228" t="inlineStr">
        <is>
          <t>METAL</t>
        </is>
      </c>
      <c r="L6228">
        <f>_xlfn.XLOOKUP(Tableau1[[#This Row],[TYPE DE PIECE]],Tableau4[MATIERE],Tableau4[SHORT TYPE],"",0,1)</f>
        <v/>
      </c>
      <c r="N6228">
        <f>IF(ISERR(FIND("DECOUPE",Tableau1[[#This Row],[DESIGNATION]])),"","NEED REF")</f>
        <v/>
      </c>
    </row>
    <row r="6229">
      <c r="B6229" t="n">
        <v>34407776</v>
      </c>
      <c r="C6229" s="2" t="n">
        <v>43634</v>
      </c>
      <c r="D6229" t="inlineStr">
        <is>
          <t>SPEC</t>
        </is>
      </c>
      <c r="E6229" t="inlineStr">
        <is>
          <t>SMT PIECE D'ANGLE HAUT</t>
        </is>
      </c>
      <c r="F6229" t="inlineStr">
        <is>
          <t>BIRDY</t>
        </is>
      </c>
      <c r="J6229" t="inlineStr">
        <is>
          <t>MATRION</t>
        </is>
      </c>
      <c r="K6229" t="inlineStr">
        <is>
          <t>METAL</t>
        </is>
      </c>
      <c r="L6229">
        <f>_xlfn.XLOOKUP(Tableau1[[#This Row],[TYPE DE PIECE]],Tableau4[MATIERE],Tableau4[SHORT TYPE],"",0,1)</f>
        <v/>
      </c>
      <c r="N6229">
        <f>IF(ISERR(FIND("DECOUPE",Tableau1[[#This Row],[DESIGNATION]])),"","NEED REF")</f>
        <v/>
      </c>
    </row>
    <row r="6230">
      <c r="B6230" t="n">
        <v>34407775</v>
      </c>
      <c r="C6230" s="2" t="n">
        <v>43629</v>
      </c>
      <c r="D6230" t="inlineStr">
        <is>
          <t>SPEC</t>
        </is>
      </c>
      <c r="E6230" t="inlineStr">
        <is>
          <t>SMT PLASTRON BAS BBC TGAB BAS</t>
        </is>
      </c>
      <c r="F6230" t="inlineStr">
        <is>
          <t>BIRDY</t>
        </is>
      </c>
      <c r="J6230" t="inlineStr">
        <is>
          <t>MATRION</t>
        </is>
      </c>
      <c r="K6230" t="inlineStr">
        <is>
          <t>METAL</t>
        </is>
      </c>
      <c r="L6230">
        <f>_xlfn.XLOOKUP(Tableau1[[#This Row],[TYPE DE PIECE]],Tableau4[MATIERE],Tableau4[SHORT TYPE],"",0,1)</f>
        <v/>
      </c>
      <c r="N6230">
        <f>IF(ISERR(FIND("DECOUPE",Tableau1[[#This Row],[DESIGNATION]])),"","NEED REF")</f>
        <v/>
      </c>
    </row>
    <row r="6231">
      <c r="B6231" t="n">
        <v>34407774</v>
      </c>
      <c r="C6231" s="2" t="n">
        <v>43629</v>
      </c>
      <c r="D6231" t="inlineStr">
        <is>
          <t>SPEC</t>
        </is>
      </c>
      <c r="E6231" t="inlineStr">
        <is>
          <t>BUSBAR NEUTRAL 1500kW - PC2 GVX 880-5538A</t>
        </is>
      </c>
      <c r="J6231" t="inlineStr">
        <is>
          <t>MONGELLI</t>
        </is>
      </c>
      <c r="K6231" t="inlineStr">
        <is>
          <t>CUIVRE</t>
        </is>
      </c>
      <c r="L6231">
        <f>_xlfn.XLOOKUP(Tableau1[[#This Row],[TYPE DE PIECE]],Tableau4[MATIERE],Tableau4[SHORT TYPE],"",0,1)</f>
        <v/>
      </c>
      <c r="N6231">
        <f>IF(ISERR(FIND("DECOUPE",Tableau1[[#This Row],[DESIGNATION]])),"","NEED REF")</f>
        <v/>
      </c>
    </row>
    <row r="6232">
      <c r="B6232" t="n">
        <v>34407773</v>
      </c>
      <c r="C6232" s="2" t="n">
        <v>43622</v>
      </c>
      <c r="D6232" t="inlineStr">
        <is>
          <t>SPEC</t>
        </is>
      </c>
      <c r="E6232" t="inlineStr">
        <is>
          <t>Kit filerie carte IBEZ XR3 vers XR3-1 et commut S1 UPS G6K 400-450KVA //</t>
        </is>
      </c>
      <c r="F6232" t="inlineStr">
        <is>
          <t>ST MICRO</t>
        </is>
      </c>
      <c r="J6232" t="inlineStr">
        <is>
          <t>MONGELLI</t>
        </is>
      </c>
      <c r="K6232" t="inlineStr">
        <is>
          <t>FILERIE</t>
        </is>
      </c>
      <c r="L6232">
        <f>_xlfn.XLOOKUP(Tableau1[[#This Row],[TYPE DE PIECE]],Tableau4[MATIERE],Tableau4[SHORT TYPE],"",0,1)</f>
        <v/>
      </c>
      <c r="N6232">
        <f>IF(ISERR(FIND("DECOUPE",Tableau1[[#This Row],[DESIGNATION]])),"","NEED REF")</f>
        <v/>
      </c>
    </row>
    <row r="6233">
      <c r="B6233" t="n">
        <v>34407772</v>
      </c>
      <c r="C6233" s="2" t="n">
        <v>43620</v>
      </c>
      <c r="D6233" t="inlineStr">
        <is>
          <t>SPEC</t>
        </is>
      </c>
      <c r="E6233" t="inlineStr">
        <is>
          <t>SMT SUPPORT CABLES LATERAL (CHASSIS DOUBLE)</t>
        </is>
      </c>
      <c r="F6233" t="inlineStr">
        <is>
          <t>BIRDY</t>
        </is>
      </c>
      <c r="J6233" t="inlineStr">
        <is>
          <t>MATRION</t>
        </is>
      </c>
      <c r="K6233" t="inlineStr">
        <is>
          <t>METAL</t>
        </is>
      </c>
      <c r="L6233">
        <f>_xlfn.XLOOKUP(Tableau1[[#This Row],[TYPE DE PIECE]],Tableau4[MATIERE],Tableau4[SHORT TYPE],"",0,1)</f>
        <v/>
      </c>
      <c r="N6233">
        <f>IF(ISERR(FIND("DECOUPE",Tableau1[[#This Row],[DESIGNATION]])),"","NEED REF")</f>
        <v/>
      </c>
    </row>
    <row r="6234">
      <c r="B6234" t="n">
        <v>34407771</v>
      </c>
      <c r="C6234" s="2" t="n">
        <v>43620</v>
      </c>
      <c r="D6234" t="inlineStr">
        <is>
          <t>SPEC</t>
        </is>
      </c>
      <c r="E6234" t="inlineStr">
        <is>
          <t>SMT SUPPORT CARDEW C</t>
        </is>
      </c>
      <c r="F6234" t="inlineStr">
        <is>
          <t>BIRDY</t>
        </is>
      </c>
      <c r="J6234" t="inlineStr">
        <is>
          <t>MATRION</t>
        </is>
      </c>
      <c r="K6234" t="inlineStr">
        <is>
          <t>METAL</t>
        </is>
      </c>
      <c r="L6234">
        <f>_xlfn.XLOOKUP(Tableau1[[#This Row],[TYPE DE PIECE]],Tableau4[MATIERE],Tableau4[SHORT TYPE],"",0,1)</f>
        <v/>
      </c>
      <c r="N6234">
        <f>IF(ISERR(FIND("DECOUPE",Tableau1[[#This Row],[DESIGNATION]])),"","NEED REF")</f>
        <v/>
      </c>
    </row>
    <row r="6235">
      <c r="B6235" t="n">
        <v>34407770</v>
      </c>
      <c r="C6235" s="2" t="n">
        <v>43620</v>
      </c>
      <c r="D6235" t="inlineStr">
        <is>
          <t>SPEC</t>
        </is>
      </c>
      <c r="E6235" t="inlineStr">
        <is>
          <t>SMT OPTURATEUR NSX250</t>
        </is>
      </c>
      <c r="F6235" t="inlineStr">
        <is>
          <t>BIRDY</t>
        </is>
      </c>
      <c r="J6235" t="inlineStr">
        <is>
          <t>MATRION</t>
        </is>
      </c>
      <c r="K6235" t="inlineStr">
        <is>
          <t>METAL</t>
        </is>
      </c>
      <c r="L6235">
        <f>_xlfn.XLOOKUP(Tableau1[[#This Row],[TYPE DE PIECE]],Tableau4[MATIERE],Tableau4[SHORT TYPE],"",0,1)</f>
        <v/>
      </c>
      <c r="N6235">
        <f>IF(ISERR(FIND("DECOUPE",Tableau1[[#This Row],[DESIGNATION]])),"","NEED REF")</f>
        <v/>
      </c>
    </row>
    <row r="6236">
      <c r="B6236" t="n">
        <v>34407769</v>
      </c>
      <c r="C6236" s="2" t="n">
        <v>43620</v>
      </c>
      <c r="D6236" t="inlineStr">
        <is>
          <t>SPEC</t>
        </is>
      </c>
      <c r="E6236" t="inlineStr">
        <is>
          <t>SMT PLASTRON 4xNSX250</t>
        </is>
      </c>
      <c r="F6236" t="inlineStr">
        <is>
          <t>BIRDY</t>
        </is>
      </c>
      <c r="J6236" t="inlineStr">
        <is>
          <t>MATRION</t>
        </is>
      </c>
      <c r="K6236" t="inlineStr">
        <is>
          <t>METAL</t>
        </is>
      </c>
      <c r="L6236">
        <f>_xlfn.XLOOKUP(Tableau1[[#This Row],[TYPE DE PIECE]],Tableau4[MATIERE],Tableau4[SHORT TYPE],"",0,1)</f>
        <v/>
      </c>
      <c r="N6236">
        <f>IF(ISERR(FIND("DECOUPE",Tableau1[[#This Row],[DESIGNATION]])),"","NEED REF")</f>
        <v/>
      </c>
    </row>
    <row r="6237">
      <c r="B6237" t="n">
        <v>34407768</v>
      </c>
      <c r="C6237" s="2" t="n">
        <v>43620</v>
      </c>
      <c r="D6237" t="inlineStr">
        <is>
          <t>SPEC</t>
        </is>
      </c>
      <c r="E6237" t="inlineStr">
        <is>
          <t>SMT SUPPORT IM400</t>
        </is>
      </c>
      <c r="F6237" t="inlineStr">
        <is>
          <t>BIRDY</t>
        </is>
      </c>
      <c r="J6237" t="inlineStr">
        <is>
          <t>MATRION</t>
        </is>
      </c>
      <c r="K6237" t="inlineStr">
        <is>
          <t>METAL</t>
        </is>
      </c>
      <c r="L6237">
        <f>_xlfn.XLOOKUP(Tableau1[[#This Row],[TYPE DE PIECE]],Tableau4[MATIERE],Tableau4[SHORT TYPE],"",0,1)</f>
        <v/>
      </c>
      <c r="N6237">
        <f>IF(ISERR(FIND("DECOUPE",Tableau1[[#This Row],[DESIGNATION]])),"","NEED REF")</f>
        <v/>
      </c>
    </row>
    <row r="6238">
      <c r="B6238" t="n">
        <v>34407767</v>
      </c>
      <c r="C6238" s="2" t="n">
        <v>43620</v>
      </c>
      <c r="D6238" t="inlineStr">
        <is>
          <t>SPEC</t>
        </is>
      </c>
      <c r="E6238" t="inlineStr">
        <is>
          <t>SMT PLASTRON 2xINS160 + IM400</t>
        </is>
      </c>
      <c r="F6238" t="inlineStr">
        <is>
          <t>BIRDY</t>
        </is>
      </c>
      <c r="J6238" t="inlineStr">
        <is>
          <t>MATRION</t>
        </is>
      </c>
      <c r="K6238" t="inlineStr">
        <is>
          <t>METAL</t>
        </is>
      </c>
      <c r="L6238">
        <f>_xlfn.XLOOKUP(Tableau1[[#This Row],[TYPE DE PIECE]],Tableau4[MATIERE],Tableau4[SHORT TYPE],"",0,1)</f>
        <v/>
      </c>
      <c r="N6238">
        <f>IF(ISERR(FIND("DECOUPE",Tableau1[[#This Row],[DESIGNATION]])),"","NEED REF")</f>
        <v/>
      </c>
    </row>
    <row r="6239">
      <c r="B6239" t="n">
        <v>34407766</v>
      </c>
      <c r="C6239" s="2" t="n">
        <v>43620</v>
      </c>
      <c r="D6239" t="inlineStr">
        <is>
          <t>SPEC</t>
        </is>
      </c>
      <c r="E6239" t="inlineStr">
        <is>
          <t>SMT SUPPORT 2xINS160 + IM400</t>
        </is>
      </c>
      <c r="F6239" t="inlineStr">
        <is>
          <t>BIRDY</t>
        </is>
      </c>
      <c r="J6239" t="inlineStr">
        <is>
          <t>MATRION</t>
        </is>
      </c>
      <c r="K6239" t="inlineStr">
        <is>
          <t>METAL</t>
        </is>
      </c>
      <c r="L6239">
        <f>_xlfn.XLOOKUP(Tableau1[[#This Row],[TYPE DE PIECE]],Tableau4[MATIERE],Tableau4[SHORT TYPE],"",0,1)</f>
        <v/>
      </c>
      <c r="N6239">
        <f>IF(ISERR(FIND("DECOUPE",Tableau1[[#This Row],[DESIGNATION]])),"","NEED REF")</f>
        <v/>
      </c>
    </row>
    <row r="6240">
      <c r="B6240" t="n">
        <v>34407765</v>
      </c>
      <c r="C6240" s="2" t="n">
        <v>43619</v>
      </c>
      <c r="D6240" t="inlineStr">
        <is>
          <t>SPEC</t>
        </is>
      </c>
      <c r="E6240" t="inlineStr">
        <is>
          <t>SMT SUPPOT 4xNSX250</t>
        </is>
      </c>
      <c r="F6240" t="inlineStr">
        <is>
          <t>BIRDY</t>
        </is>
      </c>
      <c r="J6240" t="inlineStr">
        <is>
          <t>MATRION</t>
        </is>
      </c>
      <c r="K6240" t="inlineStr">
        <is>
          <t>METAL</t>
        </is>
      </c>
      <c r="L6240">
        <f>_xlfn.XLOOKUP(Tableau1[[#This Row],[TYPE DE PIECE]],Tableau4[MATIERE],Tableau4[SHORT TYPE],"",0,1)</f>
        <v/>
      </c>
      <c r="N6240">
        <f>IF(ISERR(FIND("DECOUPE",Tableau1[[#This Row],[DESIGNATION]])),"","NEED REF")</f>
        <v/>
      </c>
    </row>
    <row r="6241">
      <c r="B6241" t="n">
        <v>34407764</v>
      </c>
      <c r="C6241" s="2" t="n">
        <v>43609</v>
      </c>
      <c r="D6241" t="inlineStr">
        <is>
          <t>SPEC</t>
        </is>
      </c>
      <c r="E6241" t="inlineStr">
        <is>
          <t>SMT SUPPORT DROIT BORNIER</t>
        </is>
      </c>
      <c r="F6241" t="inlineStr">
        <is>
          <t>BNP</t>
        </is>
      </c>
      <c r="J6241" t="inlineStr">
        <is>
          <t>MATRION</t>
        </is>
      </c>
      <c r="K6241" t="inlineStr">
        <is>
          <t>METAL</t>
        </is>
      </c>
      <c r="L6241">
        <f>_xlfn.XLOOKUP(Tableau1[[#This Row],[TYPE DE PIECE]],Tableau4[MATIERE],Tableau4[SHORT TYPE],"",0,1)</f>
        <v/>
      </c>
      <c r="N6241">
        <f>IF(ISERR(FIND("DECOUPE",Tableau1[[#This Row],[DESIGNATION]])),"","NEED REF")</f>
        <v/>
      </c>
    </row>
    <row r="6242">
      <c r="B6242" t="n">
        <v>34407763</v>
      </c>
      <c r="C6242" s="2" t="n">
        <v>43609</v>
      </c>
      <c r="D6242" t="inlineStr">
        <is>
          <t>SPEC</t>
        </is>
      </c>
      <c r="E6242" t="inlineStr">
        <is>
          <t>SMT SUPPORT GAUCHE BORNIER</t>
        </is>
      </c>
      <c r="F6242" t="inlineStr">
        <is>
          <t>BNP</t>
        </is>
      </c>
      <c r="J6242" t="inlineStr">
        <is>
          <t>MATRION</t>
        </is>
      </c>
      <c r="K6242" t="inlineStr">
        <is>
          <t>METAL</t>
        </is>
      </c>
      <c r="L6242">
        <f>_xlfn.XLOOKUP(Tableau1[[#This Row],[TYPE DE PIECE]],Tableau4[MATIERE],Tableau4[SHORT TYPE],"",0,1)</f>
        <v/>
      </c>
      <c r="N6242">
        <f>IF(ISERR(FIND("DECOUPE",Tableau1[[#This Row],[DESIGNATION]])),"","NEED REF")</f>
        <v/>
      </c>
    </row>
    <row r="6243">
      <c r="B6243" t="n">
        <v>34407762</v>
      </c>
      <c r="C6243" s="2" t="n">
        <v>43609</v>
      </c>
      <c r="D6243" t="inlineStr">
        <is>
          <t>SPEC</t>
        </is>
      </c>
      <c r="E6243" t="inlineStr">
        <is>
          <t>KIT FILERIE RELAYAGE CARTE COSIT NS G7K</t>
        </is>
      </c>
      <c r="F6243" t="inlineStr">
        <is>
          <t>BNP</t>
        </is>
      </c>
      <c r="J6243" t="inlineStr">
        <is>
          <t>MATRION</t>
        </is>
      </c>
      <c r="K6243" t="inlineStr">
        <is>
          <t>FILERIE</t>
        </is>
      </c>
      <c r="L6243">
        <f>_xlfn.XLOOKUP(Tableau1[[#This Row],[TYPE DE PIECE]],Tableau4[MATIERE],Tableau4[SHORT TYPE],"",0,1)</f>
        <v/>
      </c>
      <c r="N6243">
        <f>IF(ISERR(FIND("DECOUPE",Tableau1[[#This Row],[DESIGNATION]])),"","NEED REF")</f>
        <v/>
      </c>
    </row>
    <row r="6244">
      <c r="B6244" t="n">
        <v>34407761</v>
      </c>
      <c r="C6244" s="2" t="n">
        <v>43609</v>
      </c>
      <c r="D6244" t="inlineStr">
        <is>
          <t>SPEC</t>
        </is>
      </c>
      <c r="E6244" t="inlineStr">
        <is>
          <t>KIT FILERIE RELAYAGE CARTE COSIT UPS G7K</t>
        </is>
      </c>
      <c r="F6244" t="inlineStr">
        <is>
          <t>BNP</t>
        </is>
      </c>
      <c r="J6244" t="inlineStr">
        <is>
          <t>MATRION</t>
        </is>
      </c>
      <c r="K6244" t="inlineStr">
        <is>
          <t>FILERIE</t>
        </is>
      </c>
      <c r="L6244">
        <f>_xlfn.XLOOKUP(Tableau1[[#This Row],[TYPE DE PIECE]],Tableau4[MATIERE],Tableau4[SHORT TYPE],"",0,1)</f>
        <v/>
      </c>
      <c r="N6244">
        <f>IF(ISERR(FIND("DECOUPE",Tableau1[[#This Row],[DESIGNATION]])),"","NEED REF")</f>
        <v/>
      </c>
    </row>
    <row r="6245">
      <c r="B6245" t="n">
        <v>34407760</v>
      </c>
      <c r="C6245" s="2" t="n">
        <v>43595</v>
      </c>
      <c r="D6245" t="inlineStr">
        <is>
          <t>SPEC</t>
        </is>
      </c>
      <c r="E6245" t="inlineStr">
        <is>
          <t>Lot de 2 étiquettes série Harmony 9001K suivant spec</t>
        </is>
      </c>
      <c r="F6245" t="inlineStr">
        <is>
          <t>ST MICRO</t>
        </is>
      </c>
      <c r="J6245" t="inlineStr">
        <is>
          <t>MONGELLI</t>
        </is>
      </c>
      <c r="K6245" t="inlineStr">
        <is>
          <t>PLASTIQUE</t>
        </is>
      </c>
      <c r="L6245">
        <f>_xlfn.XLOOKUP(Tableau1[[#This Row],[TYPE DE PIECE]],Tableau4[MATIERE],Tableau4[SHORT TYPE],"",0,1)</f>
        <v/>
      </c>
      <c r="N6245">
        <f>IF(ISERR(FIND("DECOUPE",Tableau1[[#This Row],[DESIGNATION]])),"","NEED REF")</f>
        <v/>
      </c>
    </row>
    <row r="6246">
      <c r="B6246" t="n">
        <v>34407759</v>
      </c>
      <c r="C6246" s="2" t="n">
        <v>43584</v>
      </c>
      <c r="D6246" t="inlineStr">
        <is>
          <t>SPEC</t>
        </is>
      </c>
      <c r="E6246" t="inlineStr">
        <is>
          <t>SELF 1mH 63Aeff 50Hz - Devis 19884V1</t>
        </is>
      </c>
      <c r="F6246" t="inlineStr">
        <is>
          <t>AGCEI</t>
        </is>
      </c>
      <c r="J6246" t="inlineStr">
        <is>
          <t>MATRION</t>
        </is>
      </c>
      <c r="K6246" t="inlineStr">
        <is>
          <t>SELF</t>
        </is>
      </c>
      <c r="L6246">
        <f>_xlfn.XLOOKUP(Tableau1[[#This Row],[TYPE DE PIECE]],Tableau4[MATIERE],Tableau4[SHORT TYPE],"",0,1)</f>
        <v/>
      </c>
      <c r="N6246">
        <f>IF(ISERR(FIND("DECOUPE",Tableau1[[#This Row],[DESIGNATION]])),"","NEED REF")</f>
        <v/>
      </c>
    </row>
    <row r="6247">
      <c r="B6247" t="n">
        <v>34407758</v>
      </c>
      <c r="C6247" s="2" t="n">
        <v>43584</v>
      </c>
      <c r="D6247" t="inlineStr">
        <is>
          <t>SPEC</t>
        </is>
      </c>
      <c r="E6247" t="inlineStr">
        <is>
          <t>SMT PLASTRON BAS</t>
        </is>
      </c>
      <c r="F6247" t="inlineStr">
        <is>
          <t>ST MICRO</t>
        </is>
      </c>
      <c r="J6247" t="inlineStr">
        <is>
          <t>MATRION</t>
        </is>
      </c>
      <c r="K6247" t="inlineStr">
        <is>
          <t>METAL</t>
        </is>
      </c>
      <c r="L6247">
        <f>_xlfn.XLOOKUP(Tableau1[[#This Row],[TYPE DE PIECE]],Tableau4[MATIERE],Tableau4[SHORT TYPE],"",0,1)</f>
        <v/>
      </c>
      <c r="N6247">
        <f>IF(ISERR(FIND("DECOUPE",Tableau1[[#This Row],[DESIGNATION]])),"","NEED REF")</f>
        <v/>
      </c>
    </row>
    <row r="6248">
      <c r="B6248" t="n">
        <v>34407757</v>
      </c>
      <c r="C6248" s="2" t="n">
        <v>43584</v>
      </c>
      <c r="D6248" t="inlineStr">
        <is>
          <t>SPEC</t>
        </is>
      </c>
      <c r="E6248" t="inlineStr">
        <is>
          <t>SMT OPTURATEUR INS160</t>
        </is>
      </c>
      <c r="F6248" t="inlineStr">
        <is>
          <t>BIRDY</t>
        </is>
      </c>
      <c r="J6248" t="inlineStr">
        <is>
          <t>MATRION</t>
        </is>
      </c>
      <c r="K6248" t="inlineStr">
        <is>
          <t>METAL</t>
        </is>
      </c>
      <c r="L6248">
        <f>_xlfn.XLOOKUP(Tableau1[[#This Row],[TYPE DE PIECE]],Tableau4[MATIERE],Tableau4[SHORT TYPE],"",0,1)</f>
        <v/>
      </c>
      <c r="N6248">
        <f>IF(ISERR(FIND("DECOUPE",Tableau1[[#This Row],[DESIGNATION]])),"","NEED REF")</f>
        <v/>
      </c>
    </row>
    <row r="6249">
      <c r="B6249" t="n">
        <v>34407756</v>
      </c>
      <c r="C6249" s="2" t="n">
        <v>43581</v>
      </c>
      <c r="D6249" t="inlineStr">
        <is>
          <t>SPEC</t>
        </is>
      </c>
      <c r="E6249" t="inlineStr">
        <is>
          <t>FIL LIAISON FUSION FUSIBLE OF</t>
        </is>
      </c>
      <c r="F6249" t="inlineStr">
        <is>
          <t>E3M</t>
        </is>
      </c>
      <c r="J6249" t="inlineStr">
        <is>
          <t>REVEL</t>
        </is>
      </c>
      <c r="K6249" t="inlineStr">
        <is>
          <t>FILERIE</t>
        </is>
      </c>
      <c r="L6249">
        <f>_xlfn.XLOOKUP(Tableau1[[#This Row],[TYPE DE PIECE]],Tableau4[MATIERE],Tableau4[SHORT TYPE],"",0,1)</f>
        <v/>
      </c>
      <c r="N6249">
        <f>IF(ISERR(FIND("DECOUPE",Tableau1[[#This Row],[DESIGNATION]])),"","NEED REF")</f>
        <v/>
      </c>
    </row>
    <row r="6250">
      <c r="B6250" t="n">
        <v>34407755</v>
      </c>
      <c r="C6250" s="2" t="n">
        <v>43574</v>
      </c>
      <c r="D6250" t="inlineStr">
        <is>
          <t>SPEC</t>
        </is>
      </c>
      <c r="E6250" t="inlineStr">
        <is>
          <t>SMT SUPPORT BYPASS INS125</t>
        </is>
      </c>
      <c r="F6250" t="inlineStr">
        <is>
          <t>BIRDY</t>
        </is>
      </c>
      <c r="J6250" t="inlineStr">
        <is>
          <t>MATRION</t>
        </is>
      </c>
      <c r="K6250" t="inlineStr">
        <is>
          <t>METAL</t>
        </is>
      </c>
      <c r="L6250">
        <f>_xlfn.XLOOKUP(Tableau1[[#This Row],[TYPE DE PIECE]],Tableau4[MATIERE],Tableau4[SHORT TYPE],"",0,1)</f>
        <v/>
      </c>
      <c r="N6250">
        <f>IF(ISERR(FIND("DECOUPE",Tableau1[[#This Row],[DESIGNATION]])),"","NEED REF")</f>
        <v/>
      </c>
    </row>
    <row r="6251">
      <c r="B6251" t="n">
        <v>34407754</v>
      </c>
      <c r="C6251" s="2" t="n">
        <v>43574</v>
      </c>
      <c r="D6251" t="inlineStr">
        <is>
          <t>SPEC</t>
        </is>
      </c>
      <c r="E6251" t="inlineStr">
        <is>
          <t>SMT SUPPORT CABLES LATERAL</t>
        </is>
      </c>
      <c r="F6251" t="inlineStr">
        <is>
          <t>BIRDY</t>
        </is>
      </c>
      <c r="J6251" t="inlineStr">
        <is>
          <t>MATRION</t>
        </is>
      </c>
      <c r="K6251" t="inlineStr">
        <is>
          <t>METAL</t>
        </is>
      </c>
      <c r="L6251">
        <f>_xlfn.XLOOKUP(Tableau1[[#This Row],[TYPE DE PIECE]],Tableau4[MATIERE],Tableau4[SHORT TYPE],"",0,1)</f>
        <v/>
      </c>
      <c r="N6251">
        <f>IF(ISERR(FIND("DECOUPE",Tableau1[[#This Row],[DESIGNATION]])),"","NEED REF")</f>
        <v/>
      </c>
    </row>
    <row r="6252">
      <c r="B6252" t="n">
        <v>34407753</v>
      </c>
      <c r="C6252" s="2" t="n">
        <v>43574</v>
      </c>
      <c r="D6252" t="inlineStr">
        <is>
          <t>SPEC</t>
        </is>
      </c>
      <c r="E6252" t="inlineStr">
        <is>
          <t>SMT SUPPORT TFO HAUT STRUTURE BIRDY 2</t>
        </is>
      </c>
      <c r="F6252" t="inlineStr">
        <is>
          <t>BIRDY</t>
        </is>
      </c>
      <c r="J6252" t="inlineStr">
        <is>
          <t>MATRION</t>
        </is>
      </c>
      <c r="K6252" t="inlineStr">
        <is>
          <t>METAL</t>
        </is>
      </c>
      <c r="L6252">
        <f>_xlfn.XLOOKUP(Tableau1[[#This Row],[TYPE DE PIECE]],Tableau4[MATIERE],Tableau4[SHORT TYPE],"",0,1)</f>
        <v/>
      </c>
      <c r="N6252">
        <f>IF(ISERR(FIND("DECOUPE",Tableau1[[#This Row],[DESIGNATION]])),"","NEED REF")</f>
        <v/>
      </c>
    </row>
    <row r="6253">
      <c r="B6253" t="n">
        <v>34407752</v>
      </c>
      <c r="C6253" s="2" t="n">
        <v>43574</v>
      </c>
      <c r="D6253" t="inlineStr">
        <is>
          <t>SPEC</t>
        </is>
      </c>
      <c r="E6253" t="inlineStr">
        <is>
          <t>SMT SUPPORT TFO HAUT STRUTURE BIRDY 1</t>
        </is>
      </c>
      <c r="F6253" t="inlineStr">
        <is>
          <t>BIRDY</t>
        </is>
      </c>
      <c r="J6253" t="inlineStr">
        <is>
          <t>MATRION</t>
        </is>
      </c>
      <c r="K6253" t="inlineStr">
        <is>
          <t>METAL</t>
        </is>
      </c>
      <c r="L6253">
        <f>_xlfn.XLOOKUP(Tableau1[[#This Row],[TYPE DE PIECE]],Tableau4[MATIERE],Tableau4[SHORT TYPE],"",0,1)</f>
        <v/>
      </c>
      <c r="N6253">
        <f>IF(ISERR(FIND("DECOUPE",Tableau1[[#This Row],[DESIGNATION]])),"","NEED REF")</f>
        <v/>
      </c>
    </row>
    <row r="6254">
      <c r="B6254" t="n">
        <v>34407751</v>
      </c>
      <c r="C6254" s="2" t="n">
        <v>43574</v>
      </c>
      <c r="D6254" t="inlineStr">
        <is>
          <t>SPEC</t>
        </is>
      </c>
      <c r="E6254" t="inlineStr">
        <is>
          <t>SMT PLASTRON BIRDY 1000x900MM</t>
        </is>
      </c>
      <c r="F6254" t="inlineStr">
        <is>
          <t>BIRDY</t>
        </is>
      </c>
      <c r="J6254" t="inlineStr">
        <is>
          <t>MATRION</t>
        </is>
      </c>
      <c r="K6254" t="inlineStr">
        <is>
          <t>METAL</t>
        </is>
      </c>
      <c r="L6254">
        <f>_xlfn.XLOOKUP(Tableau1[[#This Row],[TYPE DE PIECE]],Tableau4[MATIERE],Tableau4[SHORT TYPE],"",0,1)</f>
        <v/>
      </c>
      <c r="N6254">
        <f>IF(ISERR(FIND("DECOUPE",Tableau1[[#This Row],[DESIGNATION]])),"","NEED REF")</f>
        <v/>
      </c>
    </row>
    <row r="6255">
      <c r="B6255" t="n">
        <v>34407750</v>
      </c>
      <c r="C6255" s="2" t="n">
        <v>43574</v>
      </c>
      <c r="D6255" t="inlineStr">
        <is>
          <t>SPEC</t>
        </is>
      </c>
      <c r="E6255" t="inlineStr">
        <is>
          <t>SMT PLASTRON BIRDY 700x900MM</t>
        </is>
      </c>
      <c r="F6255" t="inlineStr">
        <is>
          <t>BIRDY</t>
        </is>
      </c>
      <c r="J6255" t="inlineStr">
        <is>
          <t>MATRION</t>
        </is>
      </c>
      <c r="K6255" t="inlineStr">
        <is>
          <t>METAL</t>
        </is>
      </c>
      <c r="L6255">
        <f>_xlfn.XLOOKUP(Tableau1[[#This Row],[TYPE DE PIECE]],Tableau4[MATIERE],Tableau4[SHORT TYPE],"",0,1)</f>
        <v/>
      </c>
      <c r="N6255">
        <f>IF(ISERR(FIND("DECOUPE",Tableau1[[#This Row],[DESIGNATION]])),"","NEED REF")</f>
        <v/>
      </c>
    </row>
    <row r="6256">
      <c r="B6256" t="n">
        <v>34407749</v>
      </c>
      <c r="C6256" s="2" t="n">
        <v>43570</v>
      </c>
      <c r="D6256" t="inlineStr">
        <is>
          <t>SPEC</t>
        </is>
      </c>
      <c r="E6256" t="inlineStr">
        <is>
          <t>SMT FIXATION CABLES</t>
        </is>
      </c>
      <c r="F6256" t="inlineStr">
        <is>
          <t>E3S</t>
        </is>
      </c>
      <c r="J6256" t="inlineStr">
        <is>
          <t>MATRION</t>
        </is>
      </c>
      <c r="K6256" t="inlineStr">
        <is>
          <t>METAL</t>
        </is>
      </c>
      <c r="L6256">
        <f>_xlfn.XLOOKUP(Tableau1[[#This Row],[TYPE DE PIECE]],Tableau4[MATIERE],Tableau4[SHORT TYPE],"",0,1)</f>
        <v/>
      </c>
      <c r="N6256">
        <f>IF(ISERR(FIND("DECOUPE",Tableau1[[#This Row],[DESIGNATION]])),"","NEED REF")</f>
        <v/>
      </c>
    </row>
    <row r="6257">
      <c r="B6257" t="n">
        <v>34407748</v>
      </c>
      <c r="C6257" s="2" t="n">
        <v>43570</v>
      </c>
      <c r="D6257" t="inlineStr">
        <is>
          <t>SPEC</t>
        </is>
      </c>
      <c r="E6257" t="inlineStr">
        <is>
          <t>SMT PLASTRON</t>
        </is>
      </c>
      <c r="F6257" t="inlineStr">
        <is>
          <t>E3S</t>
        </is>
      </c>
      <c r="J6257" t="inlineStr">
        <is>
          <t>MATRION</t>
        </is>
      </c>
      <c r="K6257" t="inlineStr">
        <is>
          <t>METAL</t>
        </is>
      </c>
      <c r="L6257">
        <f>_xlfn.XLOOKUP(Tableau1[[#This Row],[TYPE DE PIECE]],Tableau4[MATIERE],Tableau4[SHORT TYPE],"",0,1)</f>
        <v/>
      </c>
      <c r="N6257">
        <f>IF(ISERR(FIND("DECOUPE",Tableau1[[#This Row],[DESIGNATION]])),"","NEED REF")</f>
        <v/>
      </c>
    </row>
    <row r="6258">
      <c r="B6258" t="n">
        <v>34407747</v>
      </c>
      <c r="C6258" s="2" t="n">
        <v>43570</v>
      </c>
      <c r="D6258" t="inlineStr">
        <is>
          <t>SPEC</t>
        </is>
      </c>
      <c r="E6258" t="inlineStr">
        <is>
          <t>SMT MONTANT PLASTRON DROIT</t>
        </is>
      </c>
      <c r="F6258" t="inlineStr">
        <is>
          <t>E3S</t>
        </is>
      </c>
      <c r="J6258" t="inlineStr">
        <is>
          <t>MATRION</t>
        </is>
      </c>
      <c r="K6258" t="inlineStr">
        <is>
          <t>METAL</t>
        </is>
      </c>
      <c r="L6258">
        <f>_xlfn.XLOOKUP(Tableau1[[#This Row],[TYPE DE PIECE]],Tableau4[MATIERE],Tableau4[SHORT TYPE],"",0,1)</f>
        <v/>
      </c>
      <c r="N6258">
        <f>IF(ISERR(FIND("DECOUPE",Tableau1[[#This Row],[DESIGNATION]])),"","NEED REF")</f>
        <v/>
      </c>
    </row>
    <row r="6259">
      <c r="B6259" t="n">
        <v>34407746</v>
      </c>
      <c r="C6259" s="2" t="n">
        <v>43570</v>
      </c>
      <c r="D6259" t="inlineStr">
        <is>
          <t>SPEC</t>
        </is>
      </c>
      <c r="E6259" t="inlineStr">
        <is>
          <t>SMT MONTANT PLASTRON GAUCHE</t>
        </is>
      </c>
      <c r="F6259" t="inlineStr">
        <is>
          <t>E3S</t>
        </is>
      </c>
      <c r="J6259" t="inlineStr">
        <is>
          <t>MATRION</t>
        </is>
      </c>
      <c r="K6259" t="inlineStr">
        <is>
          <t>METAL</t>
        </is>
      </c>
      <c r="L6259">
        <f>_xlfn.XLOOKUP(Tableau1[[#This Row],[TYPE DE PIECE]],Tableau4[MATIERE],Tableau4[SHORT TYPE],"",0,1)</f>
        <v/>
      </c>
      <c r="N6259">
        <f>IF(ISERR(FIND("DECOUPE",Tableau1[[#This Row],[DESIGNATION]])),"","NEED REF")</f>
        <v/>
      </c>
    </row>
    <row r="6260">
      <c r="B6260" t="n">
        <v>34407745</v>
      </c>
      <c r="C6260" s="2" t="n">
        <v>43570</v>
      </c>
      <c r="D6260" t="inlineStr">
        <is>
          <t>SPEC</t>
        </is>
      </c>
      <c r="E6260" t="inlineStr">
        <is>
          <t>SMT BORNIER SUPPORT</t>
        </is>
      </c>
      <c r="F6260" t="inlineStr">
        <is>
          <t>E3S</t>
        </is>
      </c>
      <c r="J6260" t="inlineStr">
        <is>
          <t>MATRION</t>
        </is>
      </c>
      <c r="K6260" t="inlineStr">
        <is>
          <t>METAL</t>
        </is>
      </c>
      <c r="L6260">
        <f>_xlfn.XLOOKUP(Tableau1[[#This Row],[TYPE DE PIECE]],Tableau4[MATIERE],Tableau4[SHORT TYPE],"",0,1)</f>
        <v/>
      </c>
      <c r="N6260">
        <f>IF(ISERR(FIND("DECOUPE",Tableau1[[#This Row],[DESIGNATION]])),"","NEED REF")</f>
        <v/>
      </c>
    </row>
    <row r="6261">
      <c r="B6261" t="n">
        <v>34407744</v>
      </c>
      <c r="C6261" s="2" t="n">
        <v>43570</v>
      </c>
      <c r="D6261" t="inlineStr">
        <is>
          <t>SPEC</t>
        </is>
      </c>
      <c r="E6261" t="inlineStr">
        <is>
          <t>COP FU 3</t>
        </is>
      </c>
      <c r="F6261" t="inlineStr">
        <is>
          <t>E3S</t>
        </is>
      </c>
      <c r="J6261" t="inlineStr">
        <is>
          <t>MATRION</t>
        </is>
      </c>
      <c r="K6261" t="inlineStr">
        <is>
          <t>CUIVRE</t>
        </is>
      </c>
      <c r="L6261">
        <f>_xlfn.XLOOKUP(Tableau1[[#This Row],[TYPE DE PIECE]],Tableau4[MATIERE],Tableau4[SHORT TYPE],"",0,1)</f>
        <v/>
      </c>
      <c r="N6261">
        <f>IF(ISERR(FIND("DECOUPE",Tableau1[[#This Row],[DESIGNATION]])),"","NEED REF")</f>
        <v/>
      </c>
    </row>
    <row r="6262">
      <c r="B6262" t="n">
        <v>34407743</v>
      </c>
      <c r="C6262" s="2" t="n">
        <v>43570</v>
      </c>
      <c r="D6262" t="inlineStr">
        <is>
          <t>SPEC</t>
        </is>
      </c>
      <c r="E6262" t="inlineStr">
        <is>
          <t>SMT BAT SUPPORT</t>
        </is>
      </c>
      <c r="F6262" t="inlineStr">
        <is>
          <t>E3S</t>
        </is>
      </c>
      <c r="J6262" t="inlineStr">
        <is>
          <t>MATRION</t>
        </is>
      </c>
      <c r="K6262" t="inlineStr">
        <is>
          <t>METAL</t>
        </is>
      </c>
      <c r="L6262">
        <f>_xlfn.XLOOKUP(Tableau1[[#This Row],[TYPE DE PIECE]],Tableau4[MATIERE],Tableau4[SHORT TYPE],"",0,1)</f>
        <v/>
      </c>
      <c r="N6262">
        <f>IF(ISERR(FIND("DECOUPE",Tableau1[[#This Row],[DESIGNATION]])),"","NEED REF")</f>
        <v/>
      </c>
    </row>
    <row r="6263">
      <c r="B6263" t="n">
        <v>34407742</v>
      </c>
      <c r="C6263" s="2" t="n">
        <v>43570</v>
      </c>
      <c r="D6263" t="inlineStr">
        <is>
          <t>SPEC</t>
        </is>
      </c>
      <c r="E6263" t="inlineStr">
        <is>
          <t>SMT CB NSX630 SUPPORT</t>
        </is>
      </c>
      <c r="F6263" t="inlineStr">
        <is>
          <t>E3S</t>
        </is>
      </c>
      <c r="J6263" t="inlineStr">
        <is>
          <t>MATRION</t>
        </is>
      </c>
      <c r="K6263" t="inlineStr">
        <is>
          <t>METAL</t>
        </is>
      </c>
      <c r="L6263">
        <f>_xlfn.XLOOKUP(Tableau1[[#This Row],[TYPE DE PIECE]],Tableau4[MATIERE],Tableau4[SHORT TYPE],"",0,1)</f>
        <v/>
      </c>
      <c r="N6263">
        <f>IF(ISERR(FIND("DECOUPE",Tableau1[[#This Row],[DESIGNATION]])),"","NEED REF")</f>
        <v/>
      </c>
    </row>
    <row r="6264">
      <c r="B6264" t="n">
        <v>34407741</v>
      </c>
      <c r="C6264" s="2" t="n">
        <v>43570</v>
      </c>
      <c r="D6264" t="inlineStr">
        <is>
          <t>SPEC</t>
        </is>
      </c>
      <c r="E6264" t="inlineStr">
        <is>
          <t>SMT PLATE 600x800</t>
        </is>
      </c>
      <c r="F6264" t="inlineStr">
        <is>
          <t>E3S</t>
        </is>
      </c>
      <c r="J6264" t="inlineStr">
        <is>
          <t>MATRION</t>
        </is>
      </c>
      <c r="K6264" t="inlineStr">
        <is>
          <t>METAL</t>
        </is>
      </c>
      <c r="L6264">
        <f>_xlfn.XLOOKUP(Tableau1[[#This Row],[TYPE DE PIECE]],Tableau4[MATIERE],Tableau4[SHORT TYPE],"",0,1)</f>
        <v/>
      </c>
      <c r="N6264">
        <f>IF(ISERR(FIND("DECOUPE",Tableau1[[#This Row],[DESIGNATION]])),"","NEED REF")</f>
        <v/>
      </c>
    </row>
    <row r="6265">
      <c r="B6265" t="n">
        <v>34407740</v>
      </c>
      <c r="C6265" s="2" t="n">
        <v>43570</v>
      </c>
      <c r="D6265" t="inlineStr">
        <is>
          <t>SPEC</t>
        </is>
      </c>
      <c r="E6265" t="inlineStr">
        <is>
          <t>COP FU 2</t>
        </is>
      </c>
      <c r="F6265" t="inlineStr">
        <is>
          <t>E3S</t>
        </is>
      </c>
      <c r="J6265" t="inlineStr">
        <is>
          <t>MATRION</t>
        </is>
      </c>
      <c r="K6265" t="inlineStr">
        <is>
          <t>CUIVRE</t>
        </is>
      </c>
      <c r="L6265">
        <f>_xlfn.XLOOKUP(Tableau1[[#This Row],[TYPE DE PIECE]],Tableau4[MATIERE],Tableau4[SHORT TYPE],"",0,1)</f>
        <v/>
      </c>
      <c r="N6265">
        <f>IF(ISERR(FIND("DECOUPE",Tableau1[[#This Row],[DESIGNATION]])),"","NEED REF")</f>
        <v/>
      </c>
    </row>
    <row r="6266">
      <c r="B6266" t="n">
        <v>34407739</v>
      </c>
      <c r="C6266" s="2" t="n">
        <v>43570</v>
      </c>
      <c r="D6266" t="inlineStr">
        <is>
          <t>SPEC</t>
        </is>
      </c>
      <c r="E6266" t="inlineStr">
        <is>
          <t>COP FU 1</t>
        </is>
      </c>
      <c r="F6266" t="inlineStr">
        <is>
          <t>E3S</t>
        </is>
      </c>
      <c r="J6266" t="inlineStr">
        <is>
          <t>MATRION</t>
        </is>
      </c>
      <c r="K6266" t="inlineStr">
        <is>
          <t>CUIVRE</t>
        </is>
      </c>
      <c r="L6266">
        <f>_xlfn.XLOOKUP(Tableau1[[#This Row],[TYPE DE PIECE]],Tableau4[MATIERE],Tableau4[SHORT TYPE],"",0,1)</f>
        <v/>
      </c>
      <c r="N6266">
        <f>IF(ISERR(FIND("DECOUPE",Tableau1[[#This Row],[DESIGNATION]])),"","NEED REF")</f>
        <v/>
      </c>
    </row>
    <row r="6267">
      <c r="B6267" t="n">
        <v>34407738</v>
      </c>
      <c r="C6267" s="2" t="n">
        <v>43570</v>
      </c>
      <c r="D6267" t="inlineStr">
        <is>
          <t>SPEC</t>
        </is>
      </c>
      <c r="E6267" t="inlineStr">
        <is>
          <t>COP JONCTION 8</t>
        </is>
      </c>
      <c r="F6267" t="inlineStr">
        <is>
          <t>E3S</t>
        </is>
      </c>
      <c r="J6267" t="inlineStr">
        <is>
          <t>MATRION</t>
        </is>
      </c>
      <c r="K6267" t="inlineStr">
        <is>
          <t>CUIVRE</t>
        </is>
      </c>
      <c r="L6267">
        <f>_xlfn.XLOOKUP(Tableau1[[#This Row],[TYPE DE PIECE]],Tableau4[MATIERE],Tableau4[SHORT TYPE],"",0,1)</f>
        <v/>
      </c>
      <c r="N6267">
        <f>IF(ISERR(FIND("DECOUPE",Tableau1[[#This Row],[DESIGNATION]])),"","NEED REF")</f>
        <v/>
      </c>
    </row>
    <row r="6268">
      <c r="B6268" t="n">
        <v>34407737</v>
      </c>
      <c r="C6268" s="2" t="n">
        <v>43570</v>
      </c>
      <c r="D6268" t="inlineStr">
        <is>
          <t>SPEC</t>
        </is>
      </c>
      <c r="E6268" t="inlineStr">
        <is>
          <t>COP JONCTION 7</t>
        </is>
      </c>
      <c r="F6268" t="inlineStr">
        <is>
          <t>E3S</t>
        </is>
      </c>
      <c r="J6268" t="inlineStr">
        <is>
          <t>MATRION</t>
        </is>
      </c>
      <c r="K6268" t="inlineStr">
        <is>
          <t>CUIVRE</t>
        </is>
      </c>
      <c r="L6268">
        <f>_xlfn.XLOOKUP(Tableau1[[#This Row],[TYPE DE PIECE]],Tableau4[MATIERE],Tableau4[SHORT TYPE],"",0,1)</f>
        <v/>
      </c>
      <c r="N6268">
        <f>IF(ISERR(FIND("DECOUPE",Tableau1[[#This Row],[DESIGNATION]])),"","NEED REF")</f>
        <v/>
      </c>
    </row>
    <row r="6269">
      <c r="B6269" t="n">
        <v>34407736</v>
      </c>
      <c r="C6269" s="2" t="n">
        <v>43570</v>
      </c>
      <c r="D6269" t="inlineStr">
        <is>
          <t>SPEC</t>
        </is>
      </c>
      <c r="E6269" t="inlineStr">
        <is>
          <t>COP JONCTION 6</t>
        </is>
      </c>
      <c r="F6269" t="inlineStr">
        <is>
          <t>E3S</t>
        </is>
      </c>
      <c r="J6269" t="inlineStr">
        <is>
          <t>MATRION</t>
        </is>
      </c>
      <c r="K6269" t="inlineStr">
        <is>
          <t>CUIVRE</t>
        </is>
      </c>
      <c r="L6269">
        <f>_xlfn.XLOOKUP(Tableau1[[#This Row],[TYPE DE PIECE]],Tableau4[MATIERE],Tableau4[SHORT TYPE],"",0,1)</f>
        <v/>
      </c>
      <c r="N6269">
        <f>IF(ISERR(FIND("DECOUPE",Tableau1[[#This Row],[DESIGNATION]])),"","NEED REF")</f>
        <v/>
      </c>
    </row>
    <row r="6270">
      <c r="B6270" t="n">
        <v>34407735</v>
      </c>
      <c r="C6270" s="2" t="n">
        <v>43570</v>
      </c>
      <c r="D6270" t="inlineStr">
        <is>
          <t>SPEC</t>
        </is>
      </c>
      <c r="E6270" t="inlineStr">
        <is>
          <t>COP JONCTION 5</t>
        </is>
      </c>
      <c r="F6270" t="inlineStr">
        <is>
          <t>E3S</t>
        </is>
      </c>
      <c r="J6270" t="inlineStr">
        <is>
          <t>MATRION</t>
        </is>
      </c>
      <c r="K6270" t="inlineStr">
        <is>
          <t>CUIVRE</t>
        </is>
      </c>
      <c r="L6270">
        <f>_xlfn.XLOOKUP(Tableau1[[#This Row],[TYPE DE PIECE]],Tableau4[MATIERE],Tableau4[SHORT TYPE],"",0,1)</f>
        <v/>
      </c>
      <c r="N6270">
        <f>IF(ISERR(FIND("DECOUPE",Tableau1[[#This Row],[DESIGNATION]])),"","NEED REF")</f>
        <v/>
      </c>
    </row>
    <row r="6271">
      <c r="B6271" t="n">
        <v>34407734</v>
      </c>
      <c r="C6271" s="2" t="n">
        <v>43570</v>
      </c>
      <c r="D6271" t="inlineStr">
        <is>
          <t>SPEC</t>
        </is>
      </c>
      <c r="E6271" t="inlineStr">
        <is>
          <t>COP JONCTION 4</t>
        </is>
      </c>
      <c r="F6271" t="inlineStr">
        <is>
          <t>E3S</t>
        </is>
      </c>
      <c r="J6271" t="inlineStr">
        <is>
          <t>MATRION</t>
        </is>
      </c>
      <c r="K6271" t="inlineStr">
        <is>
          <t>CUIVRE</t>
        </is>
      </c>
      <c r="L6271">
        <f>_xlfn.XLOOKUP(Tableau1[[#This Row],[TYPE DE PIECE]],Tableau4[MATIERE],Tableau4[SHORT TYPE],"",0,1)</f>
        <v/>
      </c>
      <c r="N6271">
        <f>IF(ISERR(FIND("DECOUPE",Tableau1[[#This Row],[DESIGNATION]])),"","NEED REF")</f>
        <v/>
      </c>
    </row>
    <row r="6272">
      <c r="B6272" t="n">
        <v>34407733</v>
      </c>
      <c r="C6272" s="2" t="n">
        <v>43570</v>
      </c>
      <c r="D6272" t="inlineStr">
        <is>
          <t>SPEC</t>
        </is>
      </c>
      <c r="E6272" t="inlineStr">
        <is>
          <t>COP JONCTION 3</t>
        </is>
      </c>
      <c r="F6272" t="inlineStr">
        <is>
          <t>E3S</t>
        </is>
      </c>
      <c r="J6272" t="inlineStr">
        <is>
          <t>MATRION</t>
        </is>
      </c>
      <c r="K6272" t="inlineStr">
        <is>
          <t>CUIVRE</t>
        </is>
      </c>
      <c r="L6272">
        <f>_xlfn.XLOOKUP(Tableau1[[#This Row],[TYPE DE PIECE]],Tableau4[MATIERE],Tableau4[SHORT TYPE],"",0,1)</f>
        <v/>
      </c>
      <c r="N6272">
        <f>IF(ISERR(FIND("DECOUPE",Tableau1[[#This Row],[DESIGNATION]])),"","NEED REF")</f>
        <v/>
      </c>
    </row>
    <row r="6273">
      <c r="B6273" t="n">
        <v>34407732</v>
      </c>
      <c r="C6273" s="2" t="n">
        <v>43570</v>
      </c>
      <c r="D6273" t="inlineStr">
        <is>
          <t>SPEC</t>
        </is>
      </c>
      <c r="E6273" t="inlineStr">
        <is>
          <t>COP JONCTION 2</t>
        </is>
      </c>
      <c r="F6273" t="inlineStr">
        <is>
          <t>E3S</t>
        </is>
      </c>
      <c r="J6273" t="inlineStr">
        <is>
          <t>MATRION</t>
        </is>
      </c>
      <c r="K6273" t="inlineStr">
        <is>
          <t>CUIVRE</t>
        </is>
      </c>
      <c r="L6273">
        <f>_xlfn.XLOOKUP(Tableau1[[#This Row],[TYPE DE PIECE]],Tableau4[MATIERE],Tableau4[SHORT TYPE],"",0,1)</f>
        <v/>
      </c>
      <c r="N6273">
        <f>IF(ISERR(FIND("DECOUPE",Tableau1[[#This Row],[DESIGNATION]])),"","NEED REF")</f>
        <v/>
      </c>
    </row>
    <row r="6274">
      <c r="B6274" t="n">
        <v>34407731</v>
      </c>
      <c r="C6274" s="2" t="n">
        <v>43570</v>
      </c>
      <c r="D6274" t="inlineStr">
        <is>
          <t>SPEC</t>
        </is>
      </c>
      <c r="E6274" t="inlineStr">
        <is>
          <t>COP JONCTION 1</t>
        </is>
      </c>
      <c r="F6274" t="inlineStr">
        <is>
          <t>E3S</t>
        </is>
      </c>
      <c r="J6274" t="inlineStr">
        <is>
          <t>MATRION</t>
        </is>
      </c>
      <c r="K6274" t="inlineStr">
        <is>
          <t>CUIVRE</t>
        </is>
      </c>
      <c r="L6274">
        <f>_xlfn.XLOOKUP(Tableau1[[#This Row],[TYPE DE PIECE]],Tableau4[MATIERE],Tableau4[SHORT TYPE],"",0,1)</f>
        <v/>
      </c>
      <c r="N6274">
        <f>IF(ISERR(FIND("DECOUPE",Tableau1[[#This Row],[DESIGNATION]])),"","NEED REF")</f>
        <v/>
      </c>
    </row>
    <row r="6275">
      <c r="B6275" t="n">
        <v>34407730</v>
      </c>
      <c r="C6275" s="2" t="n">
        <v>43570</v>
      </c>
      <c r="D6275" t="inlineStr">
        <is>
          <t>SPEC</t>
        </is>
      </c>
      <c r="E6275" t="inlineStr">
        <is>
          <t>COP CB UPS-FU 1</t>
        </is>
      </c>
      <c r="F6275" t="inlineStr">
        <is>
          <t>E3S</t>
        </is>
      </c>
      <c r="J6275" t="inlineStr">
        <is>
          <t>MATRION</t>
        </is>
      </c>
      <c r="K6275" t="inlineStr">
        <is>
          <t>CUIVRE</t>
        </is>
      </c>
      <c r="L6275">
        <f>_xlfn.XLOOKUP(Tableau1[[#This Row],[TYPE DE PIECE]],Tableau4[MATIERE],Tableau4[SHORT TYPE],"",0,1)</f>
        <v/>
      </c>
      <c r="N6275">
        <f>IF(ISERR(FIND("DECOUPE",Tableau1[[#This Row],[DESIGNATION]])),"","NEED REF")</f>
        <v/>
      </c>
    </row>
    <row r="6276">
      <c r="B6276" t="n">
        <v>34407729</v>
      </c>
      <c r="C6276" s="2" t="n">
        <v>43565</v>
      </c>
      <c r="D6276" t="inlineStr">
        <is>
          <t>SPEC</t>
        </is>
      </c>
      <c r="E6276" t="inlineStr">
        <is>
          <t>COP CB UPS 3</t>
        </is>
      </c>
      <c r="F6276" t="inlineStr">
        <is>
          <t>E3S</t>
        </is>
      </c>
      <c r="J6276" t="inlineStr">
        <is>
          <t>MATRION</t>
        </is>
      </c>
      <c r="K6276" t="inlineStr">
        <is>
          <t>CUIVRE</t>
        </is>
      </c>
      <c r="L6276">
        <f>_xlfn.XLOOKUP(Tableau1[[#This Row],[TYPE DE PIECE]],Tableau4[MATIERE],Tableau4[SHORT TYPE],"",0,1)</f>
        <v/>
      </c>
      <c r="N6276">
        <f>IF(ISERR(FIND("DECOUPE",Tableau1[[#This Row],[DESIGNATION]])),"","NEED REF")</f>
        <v/>
      </c>
    </row>
    <row r="6277">
      <c r="B6277" t="n">
        <v>34407728</v>
      </c>
      <c r="C6277" s="2" t="n">
        <v>43565</v>
      </c>
      <c r="D6277" t="inlineStr">
        <is>
          <t>SPEC</t>
        </is>
      </c>
      <c r="E6277" t="inlineStr">
        <is>
          <t>COP CB UPS 2</t>
        </is>
      </c>
      <c r="F6277" t="inlineStr">
        <is>
          <t>E3S</t>
        </is>
      </c>
      <c r="J6277" t="inlineStr">
        <is>
          <t>MATRION</t>
        </is>
      </c>
      <c r="K6277" t="inlineStr">
        <is>
          <t>CUIVRE</t>
        </is>
      </c>
      <c r="L6277">
        <f>_xlfn.XLOOKUP(Tableau1[[#This Row],[TYPE DE PIECE]],Tableau4[MATIERE],Tableau4[SHORT TYPE],"",0,1)</f>
        <v/>
      </c>
      <c r="N6277">
        <f>IF(ISERR(FIND("DECOUPE",Tableau1[[#This Row],[DESIGNATION]])),"","NEED REF")</f>
        <v/>
      </c>
    </row>
    <row r="6278">
      <c r="B6278" t="n">
        <v>34407727</v>
      </c>
      <c r="C6278" s="2" t="n">
        <v>43565</v>
      </c>
      <c r="D6278" t="inlineStr">
        <is>
          <t>SPEC</t>
        </is>
      </c>
      <c r="E6278" t="inlineStr">
        <is>
          <t>COP CB UPS 1</t>
        </is>
      </c>
      <c r="F6278" t="inlineStr">
        <is>
          <t>E3S</t>
        </is>
      </c>
      <c r="J6278" t="inlineStr">
        <is>
          <t>MATRION</t>
        </is>
      </c>
      <c r="K6278" t="inlineStr">
        <is>
          <t>CUIVRE</t>
        </is>
      </c>
      <c r="L6278">
        <f>_xlfn.XLOOKUP(Tableau1[[#This Row],[TYPE DE PIECE]],Tableau4[MATIERE],Tableau4[SHORT TYPE],"",0,1)</f>
        <v/>
      </c>
      <c r="N6278">
        <f>IF(ISERR(FIND("DECOUPE",Tableau1[[#This Row],[DESIGNATION]])),"","NEED REF")</f>
        <v/>
      </c>
    </row>
    <row r="6279">
      <c r="B6279" t="n">
        <v>34407726</v>
      </c>
      <c r="C6279" s="2" t="n">
        <v>43565</v>
      </c>
      <c r="D6279" t="inlineStr">
        <is>
          <t>SPEC</t>
        </is>
      </c>
      <c r="E6279" t="inlineStr">
        <is>
          <t>COP CB BAT 3</t>
        </is>
      </c>
      <c r="F6279" t="inlineStr">
        <is>
          <t>E3S</t>
        </is>
      </c>
      <c r="J6279" t="inlineStr">
        <is>
          <t>MATRION</t>
        </is>
      </c>
      <c r="K6279" t="inlineStr">
        <is>
          <t>CUIVRE</t>
        </is>
      </c>
      <c r="L6279">
        <f>_xlfn.XLOOKUP(Tableau1[[#This Row],[TYPE DE PIECE]],Tableau4[MATIERE],Tableau4[SHORT TYPE],"",0,1)</f>
        <v/>
      </c>
      <c r="N6279">
        <f>IF(ISERR(FIND("DECOUPE",Tableau1[[#This Row],[DESIGNATION]])),"","NEED REF")</f>
        <v/>
      </c>
    </row>
    <row r="6280">
      <c r="B6280" t="n">
        <v>34407725</v>
      </c>
      <c r="C6280" s="2" t="n">
        <v>43565</v>
      </c>
      <c r="D6280" t="inlineStr">
        <is>
          <t>SPEC</t>
        </is>
      </c>
      <c r="E6280" t="inlineStr">
        <is>
          <t>COP CB BAT 2</t>
        </is>
      </c>
      <c r="F6280" t="inlineStr">
        <is>
          <t>E3S</t>
        </is>
      </c>
      <c r="J6280" t="inlineStr">
        <is>
          <t>MATRION</t>
        </is>
      </c>
      <c r="K6280" t="inlineStr">
        <is>
          <t>CUIVRE</t>
        </is>
      </c>
      <c r="L6280">
        <f>_xlfn.XLOOKUP(Tableau1[[#This Row],[TYPE DE PIECE]],Tableau4[MATIERE],Tableau4[SHORT TYPE],"",0,1)</f>
        <v/>
      </c>
      <c r="N6280">
        <f>IF(ISERR(FIND("DECOUPE",Tableau1[[#This Row],[DESIGNATION]])),"","NEED REF")</f>
        <v/>
      </c>
    </row>
    <row r="6281">
      <c r="B6281" t="n">
        <v>34407724</v>
      </c>
      <c r="C6281" s="2" t="n">
        <v>43565</v>
      </c>
      <c r="D6281" t="inlineStr">
        <is>
          <t>SPEC</t>
        </is>
      </c>
      <c r="E6281" t="inlineStr">
        <is>
          <t>COP CB BAT 1</t>
        </is>
      </c>
      <c r="F6281" t="inlineStr">
        <is>
          <t>E3S</t>
        </is>
      </c>
      <c r="J6281" t="inlineStr">
        <is>
          <t>MATRION</t>
        </is>
      </c>
      <c r="K6281" t="inlineStr">
        <is>
          <t>CUIVRE</t>
        </is>
      </c>
      <c r="L6281">
        <f>_xlfn.XLOOKUP(Tableau1[[#This Row],[TYPE DE PIECE]],Tableau4[MATIERE],Tableau4[SHORT TYPE],"",0,1)</f>
        <v/>
      </c>
      <c r="N6281">
        <f>IF(ISERR(FIND("DECOUPE",Tableau1[[#This Row],[DESIGNATION]])),"","NEED REF")</f>
        <v/>
      </c>
    </row>
    <row r="6282">
      <c r="B6282" t="n">
        <v>34407723</v>
      </c>
      <c r="C6282" s="2" t="n">
        <v>43565</v>
      </c>
      <c r="D6282" t="inlineStr">
        <is>
          <t>SPEC</t>
        </is>
      </c>
      <c r="E6282" t="inlineStr">
        <is>
          <t>COP CB BAT 4</t>
        </is>
      </c>
      <c r="F6282" t="inlineStr">
        <is>
          <t>E3S</t>
        </is>
      </c>
      <c r="J6282" t="inlineStr">
        <is>
          <t>MATRION</t>
        </is>
      </c>
      <c r="K6282" t="inlineStr">
        <is>
          <t>CUIVRE</t>
        </is>
      </c>
      <c r="L6282">
        <f>_xlfn.XLOOKUP(Tableau1[[#This Row],[TYPE DE PIECE]],Tableau4[MATIERE],Tableau4[SHORT TYPE],"",0,1)</f>
        <v/>
      </c>
      <c r="N6282">
        <f>IF(ISERR(FIND("DECOUPE",Tableau1[[#This Row],[DESIGNATION]])),"","NEED REF")</f>
        <v/>
      </c>
    </row>
    <row r="6283">
      <c r="B6283" t="n">
        <v>34407722</v>
      </c>
      <c r="C6283" s="2" t="n">
        <v>43565</v>
      </c>
      <c r="D6283" t="inlineStr">
        <is>
          <t>SPEC</t>
        </is>
      </c>
      <c r="E6283" t="inlineStr">
        <is>
          <t>COP CB BAT 3</t>
        </is>
      </c>
      <c r="F6283" t="inlineStr">
        <is>
          <t>E3S</t>
        </is>
      </c>
      <c r="J6283" t="inlineStr">
        <is>
          <t>MATRION</t>
        </is>
      </c>
      <c r="K6283" t="inlineStr">
        <is>
          <t>CUIVRE</t>
        </is>
      </c>
      <c r="L6283">
        <f>_xlfn.XLOOKUP(Tableau1[[#This Row],[TYPE DE PIECE]],Tableau4[MATIERE],Tableau4[SHORT TYPE],"",0,1)</f>
        <v/>
      </c>
      <c r="N6283">
        <f>IF(ISERR(FIND("DECOUPE",Tableau1[[#This Row],[DESIGNATION]])),"","NEED REF")</f>
        <v/>
      </c>
    </row>
    <row r="6284">
      <c r="B6284" t="n">
        <v>34407721</v>
      </c>
      <c r="C6284" s="2" t="n">
        <v>43565</v>
      </c>
      <c r="D6284" t="inlineStr">
        <is>
          <t>SPEC</t>
        </is>
      </c>
      <c r="E6284" t="inlineStr">
        <is>
          <t>COP CB BAT 2</t>
        </is>
      </c>
      <c r="F6284" t="inlineStr">
        <is>
          <t>E3S</t>
        </is>
      </c>
      <c r="J6284" t="inlineStr">
        <is>
          <t>MATRION</t>
        </is>
      </c>
      <c r="K6284" t="inlineStr">
        <is>
          <t>CUIVRE</t>
        </is>
      </c>
      <c r="L6284">
        <f>_xlfn.XLOOKUP(Tableau1[[#This Row],[TYPE DE PIECE]],Tableau4[MATIERE],Tableau4[SHORT TYPE],"",0,1)</f>
        <v/>
      </c>
      <c r="N6284">
        <f>IF(ISERR(FIND("DECOUPE",Tableau1[[#This Row],[DESIGNATION]])),"","NEED REF")</f>
        <v/>
      </c>
    </row>
    <row r="6285">
      <c r="B6285" t="n">
        <v>34407720</v>
      </c>
      <c r="C6285" s="2" t="n">
        <v>43565</v>
      </c>
      <c r="D6285" t="inlineStr">
        <is>
          <t>SPEC</t>
        </is>
      </c>
      <c r="E6285" t="inlineStr">
        <is>
          <t>COP CB BAT 1</t>
        </is>
      </c>
      <c r="F6285" t="inlineStr">
        <is>
          <t>E3S</t>
        </is>
      </c>
      <c r="J6285" t="inlineStr">
        <is>
          <t>MATRION</t>
        </is>
      </c>
      <c r="K6285" t="inlineStr">
        <is>
          <t>CUIVRE</t>
        </is>
      </c>
      <c r="L6285">
        <f>_xlfn.XLOOKUP(Tableau1[[#This Row],[TYPE DE PIECE]],Tableau4[MATIERE],Tableau4[SHORT TYPE],"",0,1)</f>
        <v/>
      </c>
      <c r="N6285">
        <f>IF(ISERR(FIND("DECOUPE",Tableau1[[#This Row],[DESIGNATION]])),"","NEED REF")</f>
        <v/>
      </c>
    </row>
    <row r="6286">
      <c r="B6286" t="n">
        <v>34407719</v>
      </c>
      <c r="C6286" s="2" t="n">
        <v>43565</v>
      </c>
      <c r="D6286" t="inlineStr">
        <is>
          <t>SPEC</t>
        </is>
      </c>
      <c r="E6286" t="inlineStr">
        <is>
          <t>COP UPS BUSBAR</t>
        </is>
      </c>
      <c r="F6286" t="inlineStr">
        <is>
          <t>E3S</t>
        </is>
      </c>
      <c r="J6286" t="inlineStr">
        <is>
          <t>MATRION</t>
        </is>
      </c>
      <c r="K6286" t="inlineStr">
        <is>
          <t>CUIVRE</t>
        </is>
      </c>
      <c r="L6286">
        <f>_xlfn.XLOOKUP(Tableau1[[#This Row],[TYPE DE PIECE]],Tableau4[MATIERE],Tableau4[SHORT TYPE],"",0,1)</f>
        <v/>
      </c>
      <c r="N6286">
        <f>IF(ISERR(FIND("DECOUPE",Tableau1[[#This Row],[DESIGNATION]])),"","NEED REF")</f>
        <v/>
      </c>
    </row>
    <row r="6287">
      <c r="B6287" t="n">
        <v>34407718</v>
      </c>
      <c r="C6287" s="2" t="n">
        <v>43565</v>
      </c>
      <c r="D6287" t="inlineStr">
        <is>
          <t>SPEC</t>
        </is>
      </c>
      <c r="E6287" t="inlineStr">
        <is>
          <t>COP BAT BUSBAR</t>
        </is>
      </c>
      <c r="F6287" t="inlineStr">
        <is>
          <t>E3S</t>
        </is>
      </c>
      <c r="J6287" t="inlineStr">
        <is>
          <t>MATRION</t>
        </is>
      </c>
      <c r="K6287" t="inlineStr">
        <is>
          <t>CUIVRE</t>
        </is>
      </c>
      <c r="L6287">
        <f>_xlfn.XLOOKUP(Tableau1[[#This Row],[TYPE DE PIECE]],Tableau4[MATIERE],Tableau4[SHORT TYPE],"",0,1)</f>
        <v/>
      </c>
      <c r="N6287">
        <f>IF(ISERR(FIND("DECOUPE",Tableau1[[#This Row],[DESIGNATION]])),"","NEED REF")</f>
        <v/>
      </c>
    </row>
    <row r="6288">
      <c r="B6288" t="n">
        <v>34407717</v>
      </c>
      <c r="C6288" s="2" t="n">
        <v>43565</v>
      </c>
      <c r="D6288" t="inlineStr">
        <is>
          <t>SPEC</t>
        </is>
      </c>
      <c r="E6288" t="inlineStr">
        <is>
          <t>COP UPS 3</t>
        </is>
      </c>
      <c r="F6288" t="inlineStr">
        <is>
          <t>E3S</t>
        </is>
      </c>
      <c r="J6288" t="inlineStr">
        <is>
          <t>MATRION</t>
        </is>
      </c>
      <c r="K6288" t="inlineStr">
        <is>
          <t>CUIVRE</t>
        </is>
      </c>
      <c r="L6288">
        <f>_xlfn.XLOOKUP(Tableau1[[#This Row],[TYPE DE PIECE]],Tableau4[MATIERE],Tableau4[SHORT TYPE],"",0,1)</f>
        <v/>
      </c>
      <c r="N6288">
        <f>IF(ISERR(FIND("DECOUPE",Tableau1[[#This Row],[DESIGNATION]])),"","NEED REF")</f>
        <v/>
      </c>
    </row>
    <row r="6289">
      <c r="B6289" t="n">
        <v>34407716</v>
      </c>
      <c r="C6289" s="2" t="n">
        <v>43565</v>
      </c>
      <c r="D6289" t="inlineStr">
        <is>
          <t>SPEC</t>
        </is>
      </c>
      <c r="E6289" t="inlineStr">
        <is>
          <t>COP UPS 2</t>
        </is>
      </c>
      <c r="F6289" t="inlineStr">
        <is>
          <t>E3S</t>
        </is>
      </c>
      <c r="J6289" t="inlineStr">
        <is>
          <t>MATRION</t>
        </is>
      </c>
      <c r="K6289" t="inlineStr">
        <is>
          <t>CUIVRE</t>
        </is>
      </c>
      <c r="L6289">
        <f>_xlfn.XLOOKUP(Tableau1[[#This Row],[TYPE DE PIECE]],Tableau4[MATIERE],Tableau4[SHORT TYPE],"",0,1)</f>
        <v/>
      </c>
      <c r="N6289">
        <f>IF(ISERR(FIND("DECOUPE",Tableau1[[#This Row],[DESIGNATION]])),"","NEED REF")</f>
        <v/>
      </c>
    </row>
    <row r="6290">
      <c r="B6290" t="n">
        <v>34407715</v>
      </c>
      <c r="C6290" s="2" t="n">
        <v>43565</v>
      </c>
      <c r="D6290" t="inlineStr">
        <is>
          <t>SPEC</t>
        </is>
      </c>
      <c r="E6290" t="inlineStr">
        <is>
          <t>COP UPS 1</t>
        </is>
      </c>
      <c r="F6290" t="inlineStr">
        <is>
          <t>E3S</t>
        </is>
      </c>
      <c r="J6290" t="inlineStr">
        <is>
          <t>MATRION</t>
        </is>
      </c>
      <c r="K6290" t="inlineStr">
        <is>
          <t>CUIVRE</t>
        </is>
      </c>
      <c r="L6290">
        <f>_xlfn.XLOOKUP(Tableau1[[#This Row],[TYPE DE PIECE]],Tableau4[MATIERE],Tableau4[SHORT TYPE],"",0,1)</f>
        <v/>
      </c>
      <c r="N6290">
        <f>IF(ISERR(FIND("DECOUPE",Tableau1[[#This Row],[DESIGNATION]])),"","NEED REF")</f>
        <v/>
      </c>
    </row>
    <row r="6291">
      <c r="B6291" t="n">
        <v>34407714</v>
      </c>
      <c r="C6291" s="2" t="n">
        <v>43565</v>
      </c>
      <c r="D6291" t="inlineStr">
        <is>
          <t>SPEC</t>
        </is>
      </c>
      <c r="E6291" t="inlineStr">
        <is>
          <t>COP CB UPS 6</t>
        </is>
      </c>
      <c r="F6291" t="inlineStr">
        <is>
          <t>E3S</t>
        </is>
      </c>
      <c r="J6291" t="inlineStr">
        <is>
          <t>MATRION</t>
        </is>
      </c>
      <c r="K6291" t="inlineStr">
        <is>
          <t>CUIVRE</t>
        </is>
      </c>
      <c r="L6291">
        <f>_xlfn.XLOOKUP(Tableau1[[#This Row],[TYPE DE PIECE]],Tableau4[MATIERE],Tableau4[SHORT TYPE],"",0,1)</f>
        <v/>
      </c>
      <c r="N6291">
        <f>IF(ISERR(FIND("DECOUPE",Tableau1[[#This Row],[DESIGNATION]])),"","NEED REF")</f>
        <v/>
      </c>
    </row>
    <row r="6292">
      <c r="B6292" t="n">
        <v>34407713</v>
      </c>
      <c r="C6292" s="2" t="n">
        <v>43565</v>
      </c>
      <c r="D6292" t="inlineStr">
        <is>
          <t>SPEC</t>
        </is>
      </c>
      <c r="E6292" t="inlineStr">
        <is>
          <t>COP CB UPS 5</t>
        </is>
      </c>
      <c r="F6292" t="inlineStr">
        <is>
          <t>E3S</t>
        </is>
      </c>
      <c r="J6292" t="inlineStr">
        <is>
          <t>MATRION</t>
        </is>
      </c>
      <c r="K6292" t="inlineStr">
        <is>
          <t>CUIVRE</t>
        </is>
      </c>
      <c r="L6292">
        <f>_xlfn.XLOOKUP(Tableau1[[#This Row],[TYPE DE PIECE]],Tableau4[MATIERE],Tableau4[SHORT TYPE],"",0,1)</f>
        <v/>
      </c>
      <c r="N6292">
        <f>IF(ISERR(FIND("DECOUPE",Tableau1[[#This Row],[DESIGNATION]])),"","NEED REF")</f>
        <v/>
      </c>
    </row>
    <row r="6293">
      <c r="B6293" t="n">
        <v>34407712</v>
      </c>
      <c r="C6293" s="2" t="n">
        <v>43565</v>
      </c>
      <c r="D6293" t="inlineStr">
        <is>
          <t>SPEC</t>
        </is>
      </c>
      <c r="E6293" t="inlineStr">
        <is>
          <t>COP CB UPS 4</t>
        </is>
      </c>
      <c r="F6293" t="inlineStr">
        <is>
          <t>E3S</t>
        </is>
      </c>
      <c r="J6293" t="inlineStr">
        <is>
          <t>MATRION</t>
        </is>
      </c>
      <c r="K6293" t="inlineStr">
        <is>
          <t>CUIVRE</t>
        </is>
      </c>
      <c r="L6293">
        <f>_xlfn.XLOOKUP(Tableau1[[#This Row],[TYPE DE PIECE]],Tableau4[MATIERE],Tableau4[SHORT TYPE],"",0,1)</f>
        <v/>
      </c>
      <c r="N6293">
        <f>IF(ISERR(FIND("DECOUPE",Tableau1[[#This Row],[DESIGNATION]])),"","NEED REF")</f>
        <v/>
      </c>
    </row>
    <row r="6294">
      <c r="B6294" t="n">
        <v>34407711</v>
      </c>
      <c r="C6294" s="2" t="n">
        <v>43565</v>
      </c>
      <c r="D6294" t="inlineStr">
        <is>
          <t>SPEC</t>
        </is>
      </c>
      <c r="E6294" t="inlineStr">
        <is>
          <t>COP CB UPS 3</t>
        </is>
      </c>
      <c r="F6294" t="inlineStr">
        <is>
          <t>E3S</t>
        </is>
      </c>
      <c r="J6294" t="inlineStr">
        <is>
          <t>MATRION</t>
        </is>
      </c>
      <c r="K6294" t="inlineStr">
        <is>
          <t>CUIVRE</t>
        </is>
      </c>
      <c r="L6294">
        <f>_xlfn.XLOOKUP(Tableau1[[#This Row],[TYPE DE PIECE]],Tableau4[MATIERE],Tableau4[SHORT TYPE],"",0,1)</f>
        <v/>
      </c>
      <c r="N6294">
        <f>IF(ISERR(FIND("DECOUPE",Tableau1[[#This Row],[DESIGNATION]])),"","NEED REF")</f>
        <v/>
      </c>
    </row>
    <row r="6295">
      <c r="B6295" t="n">
        <v>34407710</v>
      </c>
      <c r="C6295" s="2" t="n">
        <v>43565</v>
      </c>
      <c r="D6295" t="inlineStr">
        <is>
          <t>SPEC</t>
        </is>
      </c>
      <c r="E6295" t="inlineStr">
        <is>
          <t>COP CB UPS 2</t>
        </is>
      </c>
      <c r="F6295" t="inlineStr">
        <is>
          <t>E3S</t>
        </is>
      </c>
      <c r="J6295" t="inlineStr">
        <is>
          <t>MATRION</t>
        </is>
      </c>
      <c r="K6295" t="inlineStr">
        <is>
          <t>CUIVRE</t>
        </is>
      </c>
      <c r="L6295">
        <f>_xlfn.XLOOKUP(Tableau1[[#This Row],[TYPE DE PIECE]],Tableau4[MATIERE],Tableau4[SHORT TYPE],"",0,1)</f>
        <v/>
      </c>
      <c r="N6295">
        <f>IF(ISERR(FIND("DECOUPE",Tableau1[[#This Row],[DESIGNATION]])),"","NEED REF")</f>
        <v/>
      </c>
    </row>
    <row r="6296">
      <c r="B6296" t="n">
        <v>34407709</v>
      </c>
      <c r="C6296" s="2" t="n">
        <v>43565</v>
      </c>
      <c r="D6296" t="inlineStr">
        <is>
          <t>SPEC</t>
        </is>
      </c>
      <c r="E6296" t="inlineStr">
        <is>
          <t>COP CB UPS 1</t>
        </is>
      </c>
      <c r="F6296" t="inlineStr">
        <is>
          <t>E3S</t>
        </is>
      </c>
      <c r="J6296" t="inlineStr">
        <is>
          <t>MATRION</t>
        </is>
      </c>
      <c r="K6296" t="inlineStr">
        <is>
          <t>CUIVRE</t>
        </is>
      </c>
      <c r="L6296">
        <f>_xlfn.XLOOKUP(Tableau1[[#This Row],[TYPE DE PIECE]],Tableau4[MATIERE],Tableau4[SHORT TYPE],"",0,1)</f>
        <v/>
      </c>
      <c r="N6296">
        <f>IF(ISERR(FIND("DECOUPE",Tableau1[[#This Row],[DESIGNATION]])),"","NEED REF")</f>
        <v/>
      </c>
    </row>
    <row r="6297">
      <c r="B6297" t="n">
        <v>34407708</v>
      </c>
      <c r="C6297" s="2" t="n">
        <v>43565</v>
      </c>
      <c r="D6297" t="inlineStr">
        <is>
          <t>SPEC</t>
        </is>
      </c>
      <c r="E6297" t="inlineStr">
        <is>
          <t>SMT E2S BBB</t>
        </is>
      </c>
      <c r="F6297" t="inlineStr">
        <is>
          <t>E3S</t>
        </is>
      </c>
      <c r="J6297" t="inlineStr">
        <is>
          <t>MATRION</t>
        </is>
      </c>
      <c r="K6297" t="inlineStr">
        <is>
          <t>METAL</t>
        </is>
      </c>
      <c r="L6297">
        <f>_xlfn.XLOOKUP(Tableau1[[#This Row],[TYPE DE PIECE]],Tableau4[MATIERE],Tableau4[SHORT TYPE],"",0,1)</f>
        <v/>
      </c>
      <c r="N6297">
        <f>IF(ISERR(FIND("DECOUPE",Tableau1[[#This Row],[DESIGNATION]])),"","NEED REF")</f>
        <v/>
      </c>
    </row>
    <row r="6298">
      <c r="B6298" t="n">
        <v>34407707</v>
      </c>
      <c r="C6298" s="2" t="n">
        <v>43565</v>
      </c>
      <c r="D6298" t="inlineStr">
        <is>
          <t>SPEC</t>
        </is>
      </c>
      <c r="E6298" t="inlineStr">
        <is>
          <t>Plaque makrolon protection connexions PDPM277</t>
        </is>
      </c>
      <c r="F6298" t="inlineStr">
        <is>
          <t>PDPM277</t>
        </is>
      </c>
      <c r="J6298" t="inlineStr">
        <is>
          <t>MONGELLI</t>
        </is>
      </c>
      <c r="K6298" t="inlineStr">
        <is>
          <t>PLASTIQUE</t>
        </is>
      </c>
      <c r="L6298">
        <f>_xlfn.XLOOKUP(Tableau1[[#This Row],[TYPE DE PIECE]],Tableau4[MATIERE],Tableau4[SHORT TYPE],"",0,1)</f>
        <v/>
      </c>
      <c r="N6298">
        <f>IF(ISERR(FIND("DECOUPE",Tableau1[[#This Row],[DESIGNATION]])),"","NEED REF")</f>
        <v/>
      </c>
    </row>
    <row r="6299">
      <c r="B6299" t="n">
        <v>34407706</v>
      </c>
      <c r="C6299" s="2" t="n">
        <v>43565</v>
      </c>
      <c r="D6299" t="inlineStr">
        <is>
          <t>SPEC</t>
        </is>
      </c>
      <c r="E6299" t="inlineStr">
        <is>
          <t>SMT E2S BBB</t>
        </is>
      </c>
      <c r="F6299" t="inlineStr">
        <is>
          <t>E3S</t>
        </is>
      </c>
      <c r="J6299" t="inlineStr">
        <is>
          <t>MATRION</t>
        </is>
      </c>
      <c r="K6299" t="inlineStr">
        <is>
          <t>METAL</t>
        </is>
      </c>
      <c r="L6299">
        <f>_xlfn.XLOOKUP(Tableau1[[#This Row],[TYPE DE PIECE]],Tableau4[MATIERE],Tableau4[SHORT TYPE],"",0,1)</f>
        <v/>
      </c>
      <c r="N6299">
        <f>IF(ISERR(FIND("DECOUPE",Tableau1[[#This Row],[DESIGNATION]])),"","NEED REF")</f>
        <v/>
      </c>
    </row>
    <row r="6300">
      <c r="B6300" t="n">
        <v>34407705</v>
      </c>
      <c r="C6300" s="2" t="n">
        <v>43565</v>
      </c>
      <c r="D6300" t="inlineStr">
        <is>
          <t>SPEC</t>
        </is>
      </c>
      <c r="E6300" t="inlineStr">
        <is>
          <t>Skid</t>
        </is>
      </c>
      <c r="F6300" t="inlineStr">
        <is>
          <t>Pacific princess</t>
        </is>
      </c>
      <c r="J6300" t="inlineStr">
        <is>
          <t>ROBERT</t>
        </is>
      </c>
      <c r="K6300" t="inlineStr">
        <is>
          <t>METAL</t>
        </is>
      </c>
      <c r="L6300">
        <f>_xlfn.XLOOKUP(Tableau1[[#This Row],[TYPE DE PIECE]],Tableau4[MATIERE],Tableau4[SHORT TYPE],"",0,1)</f>
        <v/>
      </c>
      <c r="N6300">
        <f>IF(ISERR(FIND("DECOUPE",Tableau1[[#This Row],[DESIGNATION]])),"","NEED REF")</f>
        <v/>
      </c>
    </row>
    <row r="6301">
      <c r="B6301" t="n">
        <v>34407704</v>
      </c>
      <c r="C6301" s="2" t="n">
        <v>43565</v>
      </c>
      <c r="D6301" t="inlineStr">
        <is>
          <t>SPEC</t>
        </is>
      </c>
      <c r="E6301" t="inlineStr">
        <is>
          <t>Traverse laterale</t>
        </is>
      </c>
      <c r="F6301" t="inlineStr">
        <is>
          <t>Pacific princess</t>
        </is>
      </c>
      <c r="J6301" t="inlineStr">
        <is>
          <t>ROBERT</t>
        </is>
      </c>
      <c r="K6301" t="inlineStr">
        <is>
          <t>METAL</t>
        </is>
      </c>
      <c r="L6301">
        <f>_xlfn.XLOOKUP(Tableau1[[#This Row],[TYPE DE PIECE]],Tableau4[MATIERE],Tableau4[SHORT TYPE],"",0,1)</f>
        <v/>
      </c>
      <c r="N6301">
        <f>IF(ISERR(FIND("DECOUPE",Tableau1[[#This Row],[DESIGNATION]])),"","NEED REF")</f>
        <v/>
      </c>
    </row>
    <row r="6302">
      <c r="B6302" t="n">
        <v>34407703</v>
      </c>
      <c r="C6302" s="2" t="n">
        <v>43565</v>
      </c>
      <c r="D6302" t="inlineStr">
        <is>
          <t>SPEC</t>
        </is>
      </c>
      <c r="E6302" t="inlineStr">
        <is>
          <t>Gousset</t>
        </is>
      </c>
      <c r="F6302" t="inlineStr">
        <is>
          <t>Pacific princess</t>
        </is>
      </c>
      <c r="J6302" t="inlineStr">
        <is>
          <t>ROBERT</t>
        </is>
      </c>
      <c r="K6302" t="inlineStr">
        <is>
          <t>METAL</t>
        </is>
      </c>
      <c r="L6302">
        <f>_xlfn.XLOOKUP(Tableau1[[#This Row],[TYPE DE PIECE]],Tableau4[MATIERE],Tableau4[SHORT TYPE],"",0,1)</f>
        <v/>
      </c>
      <c r="N6302">
        <f>IF(ISERR(FIND("DECOUPE",Tableau1[[#This Row],[DESIGNATION]])),"","NEED REF")</f>
        <v/>
      </c>
    </row>
    <row r="6303">
      <c r="B6303" t="n">
        <v>34407702</v>
      </c>
      <c r="C6303" s="2" t="n">
        <v>43565</v>
      </c>
      <c r="D6303" t="inlineStr">
        <is>
          <t>SPEC</t>
        </is>
      </c>
      <c r="E6303" t="inlineStr">
        <is>
          <t>Traverse AV-AR</t>
        </is>
      </c>
      <c r="F6303" t="inlineStr">
        <is>
          <t>Pacific princess</t>
        </is>
      </c>
      <c r="J6303" t="inlineStr">
        <is>
          <t>ROBERT</t>
        </is>
      </c>
      <c r="K6303" t="inlineStr">
        <is>
          <t>METAL</t>
        </is>
      </c>
      <c r="L6303">
        <f>_xlfn.XLOOKUP(Tableau1[[#This Row],[TYPE DE PIECE]],Tableau4[MATIERE],Tableau4[SHORT TYPE],"",0,1)</f>
        <v/>
      </c>
      <c r="N6303">
        <f>IF(ISERR(FIND("DECOUPE",Tableau1[[#This Row],[DESIGNATION]])),"","NEED REF")</f>
        <v/>
      </c>
    </row>
    <row r="6304">
      <c r="B6304" t="n">
        <v>34407701</v>
      </c>
      <c r="C6304" s="2" t="n">
        <v>43564</v>
      </c>
      <c r="D6304" t="inlineStr">
        <is>
          <t>SPEC</t>
        </is>
      </c>
      <c r="E6304" t="inlineStr">
        <is>
          <t>Etq Batteries</t>
        </is>
      </c>
      <c r="F6304" t="inlineStr">
        <is>
          <t>SPSE (Reprise apres casse cellule)</t>
        </is>
      </c>
      <c r="J6304" t="inlineStr">
        <is>
          <t>ROBERT</t>
        </is>
      </c>
      <c r="L6304">
        <f>_xlfn.XLOOKUP(Tableau1[[#This Row],[TYPE DE PIECE]],Tableau4[MATIERE],Tableau4[SHORT TYPE],"",0,1)</f>
        <v/>
      </c>
      <c r="N6304">
        <f>IF(ISERR(FIND("DECOUPE",Tableau1[[#This Row],[DESIGNATION]])),"","NEED REF")</f>
        <v/>
      </c>
    </row>
    <row r="6305">
      <c r="B6305" t="n">
        <v>34407700</v>
      </c>
      <c r="C6305" s="2" t="n">
        <v>43563</v>
      </c>
      <c r="D6305" t="inlineStr">
        <is>
          <t>SPEC</t>
        </is>
      </c>
      <c r="E6305" t="inlineStr">
        <is>
          <t>SMT CB NSX630 SUPPORT FOR AGILIS</t>
        </is>
      </c>
      <c r="F6305" t="inlineStr">
        <is>
          <t>AGILIS</t>
        </is>
      </c>
      <c r="J6305" t="inlineStr">
        <is>
          <t>MATRION</t>
        </is>
      </c>
      <c r="K6305" t="inlineStr">
        <is>
          <t>METAL</t>
        </is>
      </c>
      <c r="L6305">
        <f>_xlfn.XLOOKUP(Tableau1[[#This Row],[TYPE DE PIECE]],Tableau4[MATIERE],Tableau4[SHORT TYPE],"",0,1)</f>
        <v/>
      </c>
      <c r="N6305">
        <f>IF(ISERR(FIND("DECOUPE",Tableau1[[#This Row],[DESIGNATION]])),"","NEED REF")</f>
        <v/>
      </c>
    </row>
    <row r="6306">
      <c r="B6306" t="n">
        <v>34407699</v>
      </c>
      <c r="C6306" s="2" t="n">
        <v>43563</v>
      </c>
      <c r="D6306" t="inlineStr">
        <is>
          <t>SPEC</t>
        </is>
      </c>
      <c r="E6306" t="inlineStr">
        <is>
          <t>SMT SUPPORT AR CB 3P/4P 10</t>
        </is>
      </c>
      <c r="F6306" t="inlineStr">
        <is>
          <t>AGILIS</t>
        </is>
      </c>
      <c r="J6306" t="inlineStr">
        <is>
          <t>MATRION</t>
        </is>
      </c>
      <c r="K6306" t="inlineStr">
        <is>
          <t>METAL</t>
        </is>
      </c>
      <c r="L6306">
        <f>_xlfn.XLOOKUP(Tableau1[[#This Row],[TYPE DE PIECE]],Tableau4[MATIERE],Tableau4[SHORT TYPE],"",0,1)</f>
        <v/>
      </c>
      <c r="N6306">
        <f>IF(ISERR(FIND("DECOUPE",Tableau1[[#This Row],[DESIGNATION]])),"","NEED REF")</f>
        <v/>
      </c>
    </row>
    <row r="6307">
      <c r="B6307" t="n">
        <v>34407698</v>
      </c>
      <c r="C6307" s="2" t="n">
        <v>43563</v>
      </c>
      <c r="D6307" t="inlineStr">
        <is>
          <t>SPEC</t>
        </is>
      </c>
      <c r="E6307" t="inlineStr">
        <is>
          <t>SMT CB NSX250 SUPPORT FOR AGILIS</t>
        </is>
      </c>
      <c r="F6307" t="inlineStr">
        <is>
          <t>AGILIS</t>
        </is>
      </c>
      <c r="J6307" t="inlineStr">
        <is>
          <t>MATRION</t>
        </is>
      </c>
      <c r="K6307" t="inlineStr">
        <is>
          <t>METAL</t>
        </is>
      </c>
      <c r="L6307">
        <f>_xlfn.XLOOKUP(Tableau1[[#This Row],[TYPE DE PIECE]],Tableau4[MATIERE],Tableau4[SHORT TYPE],"",0,1)</f>
        <v/>
      </c>
      <c r="N6307">
        <f>IF(ISERR(FIND("DECOUPE",Tableau1[[#This Row],[DESIGNATION]])),"","NEED REF")</f>
        <v/>
      </c>
    </row>
    <row r="6308">
      <c r="B6308" t="n">
        <v>34407697</v>
      </c>
      <c r="C6308" s="2" t="n">
        <v>43556</v>
      </c>
      <c r="D6308" t="inlineStr">
        <is>
          <t>SPEC</t>
        </is>
      </c>
      <c r="E6308" t="inlineStr">
        <is>
          <t>PLASTRON CB NSX320/630 DC 3P GAUCHE 10</t>
        </is>
      </c>
      <c r="F6308" t="inlineStr">
        <is>
          <t>GVS/EASYUPS</t>
        </is>
      </c>
      <c r="J6308" t="inlineStr">
        <is>
          <t>MATRION</t>
        </is>
      </c>
      <c r="K6308" t="inlineStr">
        <is>
          <t>PLASTIQUE</t>
        </is>
      </c>
      <c r="L6308">
        <f>_xlfn.XLOOKUP(Tableau1[[#This Row],[TYPE DE PIECE]],Tableau4[MATIERE],Tableau4[SHORT TYPE],"",0,1)</f>
        <v/>
      </c>
      <c r="N6308">
        <f>IF(ISERR(FIND("DECOUPE",Tableau1[[#This Row],[DESIGNATION]])),"","NEED REF")</f>
        <v/>
      </c>
    </row>
    <row r="6309">
      <c r="B6309" t="n">
        <v>34407696</v>
      </c>
      <c r="C6309" s="2" t="n">
        <v>43556</v>
      </c>
      <c r="D6309" t="inlineStr">
        <is>
          <t>SPEC</t>
        </is>
      </c>
      <c r="E6309" t="inlineStr">
        <is>
          <t>PLASTRON CB NSX160/250 DC 3P/4P GAUCHE 7</t>
        </is>
      </c>
      <c r="F6309" t="inlineStr">
        <is>
          <t>GVS/EASYUPS</t>
        </is>
      </c>
      <c r="J6309" t="inlineStr">
        <is>
          <t>MATRION</t>
        </is>
      </c>
      <c r="K6309" t="inlineStr">
        <is>
          <t>PLASTIQUE</t>
        </is>
      </c>
      <c r="L6309">
        <f>_xlfn.XLOOKUP(Tableau1[[#This Row],[TYPE DE PIECE]],Tableau4[MATIERE],Tableau4[SHORT TYPE],"",0,1)</f>
        <v/>
      </c>
      <c r="N6309">
        <f>IF(ISERR(FIND("DECOUPE",Tableau1[[#This Row],[DESIGNATION]])),"","NEED REF")</f>
        <v/>
      </c>
    </row>
    <row r="6310">
      <c r="B6310" t="n">
        <v>34407695</v>
      </c>
      <c r="C6310" s="2" t="n">
        <v>43556</v>
      </c>
      <c r="D6310" t="inlineStr">
        <is>
          <t>SPEC</t>
        </is>
      </c>
      <c r="E6310" t="inlineStr">
        <is>
          <t>PLASTRON CB NSX160/250 DC 3P DROIT 7/10</t>
        </is>
      </c>
      <c r="F6310" t="inlineStr">
        <is>
          <t>GVS/EASYUPS</t>
        </is>
      </c>
      <c r="J6310" t="inlineStr">
        <is>
          <t>MATRION</t>
        </is>
      </c>
      <c r="K6310" t="inlineStr">
        <is>
          <t>PLASTIQUE</t>
        </is>
      </c>
      <c r="L6310">
        <f>_xlfn.XLOOKUP(Tableau1[[#This Row],[TYPE DE PIECE]],Tableau4[MATIERE],Tableau4[SHORT TYPE],"",0,1)</f>
        <v/>
      </c>
      <c r="N6310">
        <f>IF(ISERR(FIND("DECOUPE",Tableau1[[#This Row],[DESIGNATION]])),"","NEED REF")</f>
        <v/>
      </c>
    </row>
    <row r="6311">
      <c r="B6311" t="n">
        <v>34407694</v>
      </c>
      <c r="C6311" s="2" t="n">
        <v>43556</v>
      </c>
      <c r="D6311" t="inlineStr">
        <is>
          <t>SPEC</t>
        </is>
      </c>
      <c r="E6311" t="inlineStr">
        <is>
          <t>PLASTRON CB NSX320/630 DC 3P GAUCHE 7</t>
        </is>
      </c>
      <c r="F6311" t="inlineStr">
        <is>
          <t>GVS/EASYUPS</t>
        </is>
      </c>
      <c r="J6311" t="inlineStr">
        <is>
          <t>MATRION</t>
        </is>
      </c>
      <c r="K6311" t="inlineStr">
        <is>
          <t>PLASTIQUE</t>
        </is>
      </c>
      <c r="L6311">
        <f>_xlfn.XLOOKUP(Tableau1[[#This Row],[TYPE DE PIECE]],Tableau4[MATIERE],Tableau4[SHORT TYPE],"",0,1)</f>
        <v/>
      </c>
      <c r="N6311">
        <f>IF(ISERR(FIND("DECOUPE",Tableau1[[#This Row],[DESIGNATION]])),"","NEED REF")</f>
        <v/>
      </c>
    </row>
    <row r="6312">
      <c r="B6312" t="n">
        <v>34407693</v>
      </c>
      <c r="C6312" s="2" t="n">
        <v>43556</v>
      </c>
      <c r="D6312" t="inlineStr">
        <is>
          <t>SPEC</t>
        </is>
      </c>
      <c r="E6312" t="inlineStr">
        <is>
          <t>PLASTRON CB NSX320/630 DC 3P DROIT 7/10</t>
        </is>
      </c>
      <c r="F6312" t="inlineStr">
        <is>
          <t>GVS/EASYUPS</t>
        </is>
      </c>
      <c r="J6312" t="inlineStr">
        <is>
          <t>MATRION</t>
        </is>
      </c>
      <c r="K6312" t="inlineStr">
        <is>
          <t>PLASTIQUE</t>
        </is>
      </c>
      <c r="L6312">
        <f>_xlfn.XLOOKUP(Tableau1[[#This Row],[TYPE DE PIECE]],Tableau4[MATIERE],Tableau4[SHORT TYPE],"",0,1)</f>
        <v/>
      </c>
      <c r="N6312">
        <f>IF(ISERR(FIND("DECOUPE",Tableau1[[#This Row],[DESIGNATION]])),"","NEED REF")</f>
        <v/>
      </c>
    </row>
    <row r="6313">
      <c r="B6313" t="n">
        <v>34407692</v>
      </c>
      <c r="C6313" s="2" t="n">
        <v>43552</v>
      </c>
      <c r="D6313" t="inlineStr">
        <is>
          <t>SPEC</t>
        </is>
      </c>
      <c r="E6313" t="inlineStr">
        <is>
          <t>SMT CB FUSE SUPPORT</t>
        </is>
      </c>
      <c r="F6313" t="inlineStr">
        <is>
          <t>GVS/EASYUPS</t>
        </is>
      </c>
      <c r="J6313" t="inlineStr">
        <is>
          <t>MATRION</t>
        </is>
      </c>
      <c r="K6313" t="inlineStr">
        <is>
          <t>METAL</t>
        </is>
      </c>
      <c r="L6313">
        <f>_xlfn.XLOOKUP(Tableau1[[#This Row],[TYPE DE PIECE]],Tableau4[MATIERE],Tableau4[SHORT TYPE],"",0,1)</f>
        <v/>
      </c>
      <c r="N6313">
        <f>IF(ISERR(FIND("DECOUPE",Tableau1[[#This Row],[DESIGNATION]])),"","NEED REF")</f>
        <v/>
      </c>
    </row>
    <row r="6314">
      <c r="B6314" t="n">
        <v>34407691</v>
      </c>
      <c r="C6314" s="2" t="n">
        <v>43552</v>
      </c>
      <c r="D6314" t="inlineStr">
        <is>
          <t>SPEC</t>
        </is>
      </c>
      <c r="E6314" t="inlineStr">
        <is>
          <t>SMT CB NSX250 SUPPORT</t>
        </is>
      </c>
      <c r="F6314" t="inlineStr">
        <is>
          <t>GVS/EASYUPS</t>
        </is>
      </c>
      <c r="J6314" t="inlineStr">
        <is>
          <t>MATRION</t>
        </is>
      </c>
      <c r="K6314" t="inlineStr">
        <is>
          <t>METAL</t>
        </is>
      </c>
      <c r="L6314">
        <f>_xlfn.XLOOKUP(Tableau1[[#This Row],[TYPE DE PIECE]],Tableau4[MATIERE],Tableau4[SHORT TYPE],"",0,1)</f>
        <v/>
      </c>
      <c r="N6314">
        <f>IF(ISERR(FIND("DECOUPE",Tableau1[[#This Row],[DESIGNATION]])),"","NEED REF")</f>
        <v/>
      </c>
    </row>
    <row r="6315">
      <c r="B6315" t="n">
        <v>34407690</v>
      </c>
      <c r="C6315" s="2" t="n">
        <v>43552</v>
      </c>
      <c r="D6315" t="inlineStr">
        <is>
          <t>SPEC</t>
        </is>
      </c>
      <c r="E6315" t="inlineStr">
        <is>
          <t>SMT CB NSX400 SUPPORT</t>
        </is>
      </c>
      <c r="F6315" t="inlineStr">
        <is>
          <t>GVS/EASYUPS</t>
        </is>
      </c>
      <c r="J6315" t="inlineStr">
        <is>
          <t>MATRION</t>
        </is>
      </c>
      <c r="K6315" t="inlineStr">
        <is>
          <t>METAL</t>
        </is>
      </c>
      <c r="L6315">
        <f>_xlfn.XLOOKUP(Tableau1[[#This Row],[TYPE DE PIECE]],Tableau4[MATIERE],Tableau4[SHORT TYPE],"",0,1)</f>
        <v/>
      </c>
      <c r="N6315">
        <f>IF(ISERR(FIND("DECOUPE",Tableau1[[#This Row],[DESIGNATION]])),"","NEED REF")</f>
        <v/>
      </c>
    </row>
    <row r="6316">
      <c r="B6316" t="n">
        <v>34407689</v>
      </c>
      <c r="C6316" s="2" t="n">
        <v>43552</v>
      </c>
      <c r="D6316" t="inlineStr">
        <is>
          <t>SPEC</t>
        </is>
      </c>
      <c r="E6316" t="inlineStr">
        <is>
          <t>BUSBAR INTERCONN BOTTOM 1 880-5233A</t>
        </is>
      </c>
      <c r="J6316" t="inlineStr">
        <is>
          <t>BERNARDEAU</t>
        </is>
      </c>
      <c r="K6316" t="inlineStr">
        <is>
          <t>CUIVRE</t>
        </is>
      </c>
      <c r="L6316">
        <f>_xlfn.XLOOKUP(Tableau1[[#This Row],[TYPE DE PIECE]],Tableau4[MATIERE],Tableau4[SHORT TYPE],"",0,1)</f>
        <v/>
      </c>
      <c r="N6316">
        <f>IF(ISERR(FIND("DECOUPE",Tableau1[[#This Row],[DESIGNATION]])),"","NEED REF")</f>
        <v/>
      </c>
    </row>
    <row r="6317">
      <c r="B6317" t="n">
        <v>34407688</v>
      </c>
      <c r="C6317" s="2" t="n">
        <v>43551</v>
      </c>
      <c r="D6317" t="inlineStr">
        <is>
          <t>SPEC</t>
        </is>
      </c>
      <c r="E6317" t="inlineStr">
        <is>
          <t>BUSBAR INTERCONN BOTTOM 3 880-90600A</t>
        </is>
      </c>
      <c r="J6317" t="inlineStr">
        <is>
          <t>BERNARDEAU</t>
        </is>
      </c>
      <c r="K6317" t="inlineStr">
        <is>
          <t>CUIVRE</t>
        </is>
      </c>
      <c r="L6317">
        <f>_xlfn.XLOOKUP(Tableau1[[#This Row],[TYPE DE PIECE]],Tableau4[MATIERE],Tableau4[SHORT TYPE],"",0,1)</f>
        <v/>
      </c>
      <c r="N6317">
        <f>IF(ISERR(FIND("DECOUPE",Tableau1[[#This Row],[DESIGNATION]])),"","NEED REF")</f>
        <v/>
      </c>
    </row>
    <row r="6318">
      <c r="B6318" t="n">
        <v>34407687</v>
      </c>
      <c r="C6318" s="2" t="n">
        <v>43551</v>
      </c>
      <c r="D6318" t="inlineStr">
        <is>
          <t>SPEC</t>
        </is>
      </c>
      <c r="E6318" t="inlineStr">
        <is>
          <t>BUSBAR INTERCONN TOP 1 880-90599</t>
        </is>
      </c>
      <c r="J6318" t="inlineStr">
        <is>
          <t>BERNARDEAU</t>
        </is>
      </c>
      <c r="K6318" t="inlineStr">
        <is>
          <t>CUIVRE</t>
        </is>
      </c>
      <c r="L6318">
        <f>_xlfn.XLOOKUP(Tableau1[[#This Row],[TYPE DE PIECE]],Tableau4[MATIERE],Tableau4[SHORT TYPE],"",0,1)</f>
        <v/>
      </c>
      <c r="N6318">
        <f>IF(ISERR(FIND("DECOUPE",Tableau1[[#This Row],[DESIGNATION]])),"","NEED REF")</f>
        <v/>
      </c>
    </row>
    <row r="6319">
      <c r="B6319" t="n">
        <v>34407686</v>
      </c>
      <c r="C6319" s="2" t="n">
        <v>43551</v>
      </c>
      <c r="D6319" t="inlineStr">
        <is>
          <t>SPEC</t>
        </is>
      </c>
      <c r="E6319" t="inlineStr">
        <is>
          <t>BUSBAR INTERCONN TOP 880-5235A</t>
        </is>
      </c>
      <c r="J6319" t="inlineStr">
        <is>
          <t>BERNARDEAU</t>
        </is>
      </c>
      <c r="K6319" t="inlineStr">
        <is>
          <t>CUIVRE</t>
        </is>
      </c>
      <c r="L6319">
        <f>_xlfn.XLOOKUP(Tableau1[[#This Row],[TYPE DE PIECE]],Tableau4[MATIERE],Tableau4[SHORT TYPE],"",0,1)</f>
        <v/>
      </c>
      <c r="N6319">
        <f>IF(ISERR(FIND("DECOUPE",Tableau1[[#This Row],[DESIGNATION]])),"","NEED REF")</f>
        <v/>
      </c>
    </row>
    <row r="6320">
      <c r="B6320" t="n">
        <v>34407685</v>
      </c>
      <c r="C6320" s="2" t="n">
        <v>43551</v>
      </c>
      <c r="D6320" t="inlineStr">
        <is>
          <t>SPEC</t>
        </is>
      </c>
      <c r="E6320" t="inlineStr">
        <is>
          <t>BUSBAR INTERCONN PC PC NEUTRAL VX 880-9720A</t>
        </is>
      </c>
      <c r="J6320" t="inlineStr">
        <is>
          <t>BERNARDEAU</t>
        </is>
      </c>
      <c r="K6320" t="inlineStr">
        <is>
          <t>CUIVRE</t>
        </is>
      </c>
      <c r="L6320">
        <f>_xlfn.XLOOKUP(Tableau1[[#This Row],[TYPE DE PIECE]],Tableau4[MATIERE],Tableau4[SHORT TYPE],"",0,1)</f>
        <v/>
      </c>
      <c r="N6320">
        <f>IF(ISERR(FIND("DECOUPE",Tableau1[[#This Row],[DESIGNATION]])),"","NEED REF")</f>
        <v/>
      </c>
    </row>
    <row r="6321">
      <c r="B6321" t="n">
        <v>34407684</v>
      </c>
      <c r="C6321" s="2" t="n">
        <v>43551</v>
      </c>
      <c r="D6321" t="inlineStr">
        <is>
          <t>SPEC</t>
        </is>
      </c>
      <c r="E6321" t="inlineStr">
        <is>
          <t>BUSBAR INTER CONN RIGHT BATT 880-90655B</t>
        </is>
      </c>
      <c r="J6321" t="inlineStr">
        <is>
          <t>BERNARDEAU</t>
        </is>
      </c>
      <c r="K6321" t="inlineStr">
        <is>
          <t>CUIVRE</t>
        </is>
      </c>
      <c r="L6321">
        <f>_xlfn.XLOOKUP(Tableau1[[#This Row],[TYPE DE PIECE]],Tableau4[MATIERE],Tableau4[SHORT TYPE],"",0,1)</f>
        <v/>
      </c>
      <c r="N6321">
        <f>IF(ISERR(FIND("DECOUPE",Tableau1[[#This Row],[DESIGNATION]])),"","NEED REF")</f>
        <v/>
      </c>
    </row>
    <row r="6322">
      <c r="B6322" t="n">
        <v>34407683</v>
      </c>
      <c r="C6322" s="2" t="n">
        <v>43551</v>
      </c>
      <c r="D6322" t="inlineStr">
        <is>
          <t>SPEC</t>
        </is>
      </c>
      <c r="E6322" t="inlineStr">
        <is>
          <t>BUSBAR INTER CONN RIGHT 880-90654B</t>
        </is>
      </c>
      <c r="J6322" t="inlineStr">
        <is>
          <t>BERNARDEAU</t>
        </is>
      </c>
      <c r="K6322" t="inlineStr">
        <is>
          <t>CUIVRE</t>
        </is>
      </c>
      <c r="L6322">
        <f>_xlfn.XLOOKUP(Tableau1[[#This Row],[TYPE DE PIECE]],Tableau4[MATIERE],Tableau4[SHORT TYPE],"",0,1)</f>
        <v/>
      </c>
      <c r="N6322">
        <f>IF(ISERR(FIND("DECOUPE",Tableau1[[#This Row],[DESIGNATION]])),"","NEED REF")</f>
        <v/>
      </c>
    </row>
    <row r="6323">
      <c r="B6323" t="n">
        <v>34407682</v>
      </c>
      <c r="C6323" s="2" t="n">
        <v>43551</v>
      </c>
      <c r="D6323" t="inlineStr">
        <is>
          <t>SPEC</t>
        </is>
      </c>
      <c r="E6323" t="inlineStr">
        <is>
          <t>BUSBAR INTER CONN RIGHT BATT 1 880-90658B</t>
        </is>
      </c>
      <c r="J6323" t="inlineStr">
        <is>
          <t>BERNARDEAU</t>
        </is>
      </c>
      <c r="K6323" t="inlineStr">
        <is>
          <t>CUIVRE</t>
        </is>
      </c>
      <c r="L6323">
        <f>_xlfn.XLOOKUP(Tableau1[[#This Row],[TYPE DE PIECE]],Tableau4[MATIERE],Tableau4[SHORT TYPE],"",0,1)</f>
        <v/>
      </c>
      <c r="N6323">
        <f>IF(ISERR(FIND("DECOUPE",Tableau1[[#This Row],[DESIGNATION]])),"","NEED REF")</f>
        <v/>
      </c>
    </row>
    <row r="6324">
      <c r="B6324" t="n">
        <v>34407681</v>
      </c>
      <c r="C6324" s="2" t="n">
        <v>43551</v>
      </c>
      <c r="D6324" t="inlineStr">
        <is>
          <t>SPEC</t>
        </is>
      </c>
      <c r="E6324" t="inlineStr">
        <is>
          <t>BUSBAR INTER CONN NEUTRAL RIGHT 880-9614C</t>
        </is>
      </c>
      <c r="J6324" t="inlineStr">
        <is>
          <t>BERNARDEAU</t>
        </is>
      </c>
      <c r="K6324" t="inlineStr">
        <is>
          <t>CUIVRE</t>
        </is>
      </c>
      <c r="L6324">
        <f>_xlfn.XLOOKUP(Tableau1[[#This Row],[TYPE DE PIECE]],Tableau4[MATIERE],Tableau4[SHORT TYPE],"",0,1)</f>
        <v/>
      </c>
      <c r="N6324">
        <f>IF(ISERR(FIND("DECOUPE",Tableau1[[#This Row],[DESIGNATION]])),"","NEED REF")</f>
        <v/>
      </c>
    </row>
    <row r="6325">
      <c r="B6325" t="n">
        <v>34407680</v>
      </c>
      <c r="C6325" s="2" t="n">
        <v>43551</v>
      </c>
      <c r="D6325" t="inlineStr">
        <is>
          <t>SPEC</t>
        </is>
      </c>
      <c r="E6325" t="inlineStr">
        <is>
          <t>BUSBAR INTER CONN RIGHT LOW 880-90657B</t>
        </is>
      </c>
      <c r="J6325" t="inlineStr">
        <is>
          <t>BERNARDEAU</t>
        </is>
      </c>
      <c r="K6325" t="inlineStr">
        <is>
          <t>CUIVRE</t>
        </is>
      </c>
      <c r="L6325">
        <f>_xlfn.XLOOKUP(Tableau1[[#This Row],[TYPE DE PIECE]],Tableau4[MATIERE],Tableau4[SHORT TYPE],"",0,1)</f>
        <v/>
      </c>
      <c r="N6325">
        <f>IF(ISERR(FIND("DECOUPE",Tableau1[[#This Row],[DESIGNATION]])),"","NEED REF")</f>
        <v/>
      </c>
    </row>
    <row r="6326">
      <c r="B6326" t="n">
        <v>34407679</v>
      </c>
      <c r="C6326" s="2" t="n">
        <v>43551</v>
      </c>
      <c r="D6326" t="inlineStr">
        <is>
          <t>SPEC</t>
        </is>
      </c>
      <c r="E6326" t="inlineStr">
        <is>
          <t>BUSBAR INTER CONN BATT LOW 1 880-5495</t>
        </is>
      </c>
      <c r="J6326" t="inlineStr">
        <is>
          <t>BERNARDEAU</t>
        </is>
      </c>
      <c r="K6326" t="inlineStr">
        <is>
          <t>CUIVRE</t>
        </is>
      </c>
      <c r="L6326">
        <f>_xlfn.XLOOKUP(Tableau1[[#This Row],[TYPE DE PIECE]],Tableau4[MATIERE],Tableau4[SHORT TYPE],"",0,1)</f>
        <v/>
      </c>
      <c r="N6326">
        <f>IF(ISERR(FIND("DECOUPE",Tableau1[[#This Row],[DESIGNATION]])),"","NEED REF")</f>
        <v/>
      </c>
    </row>
    <row r="6327">
      <c r="B6327" t="n">
        <v>34407678</v>
      </c>
      <c r="C6327" s="2" t="n">
        <v>43551</v>
      </c>
      <c r="D6327" t="inlineStr">
        <is>
          <t>SPEC</t>
        </is>
      </c>
      <c r="E6327" t="inlineStr">
        <is>
          <t>BUSBAR INTER CONN BATT LOW 880-5496B</t>
        </is>
      </c>
      <c r="J6327" t="inlineStr">
        <is>
          <t>BERNARDEAU</t>
        </is>
      </c>
      <c r="K6327" t="inlineStr">
        <is>
          <t>CUIVRE</t>
        </is>
      </c>
      <c r="L6327">
        <f>_xlfn.XLOOKUP(Tableau1[[#This Row],[TYPE DE PIECE]],Tableau4[MATIERE],Tableau4[SHORT TYPE],"",0,1)</f>
        <v/>
      </c>
      <c r="N6327">
        <f>IF(ISERR(FIND("DECOUPE",Tableau1[[#This Row],[DESIGNATION]])),"","NEED REF")</f>
        <v/>
      </c>
    </row>
    <row r="6328">
      <c r="B6328" t="n">
        <v>34407677</v>
      </c>
      <c r="C6328" s="2" t="n">
        <v>43551</v>
      </c>
      <c r="D6328" t="inlineStr">
        <is>
          <t>SPEC</t>
        </is>
      </c>
      <c r="E6328" t="inlineStr">
        <is>
          <t>BUSBAR LASKE BATT 880-5503B</t>
        </is>
      </c>
      <c r="J6328" t="inlineStr">
        <is>
          <t>BERNARDEAU</t>
        </is>
      </c>
      <c r="K6328" t="inlineStr">
        <is>
          <t>CUIVRE</t>
        </is>
      </c>
      <c r="L6328">
        <f>_xlfn.XLOOKUP(Tableau1[[#This Row],[TYPE DE PIECE]],Tableau4[MATIERE],Tableau4[SHORT TYPE],"",0,1)</f>
        <v/>
      </c>
      <c r="N6328">
        <f>IF(ISERR(FIND("DECOUPE",Tableau1[[#This Row],[DESIGNATION]])),"","NEED REF")</f>
        <v/>
      </c>
    </row>
    <row r="6329">
      <c r="B6329" t="n">
        <v>34407676</v>
      </c>
      <c r="C6329" s="2" t="n">
        <v>43551</v>
      </c>
      <c r="D6329" t="inlineStr">
        <is>
          <t>SPEC</t>
        </is>
      </c>
      <c r="E6329" t="inlineStr">
        <is>
          <t>BUSBAR INTER CONN LEFT LOW 880-5502A</t>
        </is>
      </c>
      <c r="J6329" t="inlineStr">
        <is>
          <t>BERNARDEAU</t>
        </is>
      </c>
      <c r="K6329" t="inlineStr">
        <is>
          <t>CUIVRE</t>
        </is>
      </c>
      <c r="L6329">
        <f>_xlfn.XLOOKUP(Tableau1[[#This Row],[TYPE DE PIECE]],Tableau4[MATIERE],Tableau4[SHORT TYPE],"",0,1)</f>
        <v/>
      </c>
      <c r="N6329">
        <f>IF(ISERR(FIND("DECOUPE",Tableau1[[#This Row],[DESIGNATION]])),"","NEED REF")</f>
        <v/>
      </c>
    </row>
    <row r="6330">
      <c r="B6330" t="n">
        <v>34407675</v>
      </c>
      <c r="C6330" s="2" t="n">
        <v>43551</v>
      </c>
      <c r="D6330" t="inlineStr">
        <is>
          <t>SPEC</t>
        </is>
      </c>
      <c r="E6330" t="inlineStr">
        <is>
          <t>BUSBAR INTER CONN NEUTRAL LEFT 880-5507A</t>
        </is>
      </c>
      <c r="J6330" t="inlineStr">
        <is>
          <t>BERNARDEAU</t>
        </is>
      </c>
      <c r="K6330" t="inlineStr">
        <is>
          <t>CUIVRE</t>
        </is>
      </c>
      <c r="L6330">
        <f>_xlfn.XLOOKUP(Tableau1[[#This Row],[TYPE DE PIECE]],Tableau4[MATIERE],Tableau4[SHORT TYPE],"",0,1)</f>
        <v/>
      </c>
      <c r="N6330">
        <f>IF(ISERR(FIND("DECOUPE",Tableau1[[#This Row],[DESIGNATION]])),"","NEED REF")</f>
        <v/>
      </c>
    </row>
    <row r="6331">
      <c r="B6331" t="n">
        <v>34407674</v>
      </c>
      <c r="C6331" s="2" t="n">
        <v>43551</v>
      </c>
      <c r="D6331" t="inlineStr">
        <is>
          <t>SPEC</t>
        </is>
      </c>
      <c r="E6331" t="inlineStr">
        <is>
          <t>BUSBAR LASKE L1 POWER CABINET 880-9569A</t>
        </is>
      </c>
      <c r="J6331" t="inlineStr">
        <is>
          <t>BERNARDEAU</t>
        </is>
      </c>
      <c r="K6331" t="inlineStr">
        <is>
          <t>CUIVRE</t>
        </is>
      </c>
      <c r="L6331">
        <f>_xlfn.XLOOKUP(Tableau1[[#This Row],[TYPE DE PIECE]],Tableau4[MATIERE],Tableau4[SHORT TYPE],"",0,1)</f>
        <v/>
      </c>
      <c r="N6331">
        <f>IF(ISERR(FIND("DECOUPE",Tableau1[[#This Row],[DESIGNATION]])),"","NEED REF")</f>
        <v/>
      </c>
    </row>
    <row r="6332">
      <c r="B6332" t="n">
        <v>34407673</v>
      </c>
      <c r="C6332" s="2" t="n">
        <v>43551</v>
      </c>
      <c r="D6332" t="inlineStr">
        <is>
          <t>SPEC</t>
        </is>
      </c>
      <c r="E6332" t="inlineStr">
        <is>
          <t>BUSBAR INTER CONN LEFT LOW1 880-90650A</t>
        </is>
      </c>
      <c r="J6332" t="inlineStr">
        <is>
          <t>BERNARDEAU</t>
        </is>
      </c>
      <c r="K6332" t="inlineStr">
        <is>
          <t>CUIVRE</t>
        </is>
      </c>
      <c r="L6332">
        <f>_xlfn.XLOOKUP(Tableau1[[#This Row],[TYPE DE PIECE]],Tableau4[MATIERE],Tableau4[SHORT TYPE],"",0,1)</f>
        <v/>
      </c>
      <c r="N6332">
        <f>IF(ISERR(FIND("DECOUPE",Tableau1[[#This Row],[DESIGNATION]])),"","NEED REF")</f>
        <v/>
      </c>
    </row>
    <row r="6333">
      <c r="B6333" t="n">
        <v>34407672</v>
      </c>
      <c r="C6333" s="2" t="n">
        <v>43550</v>
      </c>
      <c r="D6333" t="inlineStr">
        <is>
          <t>SPEC</t>
        </is>
      </c>
      <c r="E6333" t="inlineStr">
        <is>
          <t>SMT PLATE FOR CB BREAKER NSX250/400</t>
        </is>
      </c>
      <c r="F6333" t="inlineStr">
        <is>
          <t>ALPHA</t>
        </is>
      </c>
      <c r="J6333" t="inlineStr">
        <is>
          <t>MATRION</t>
        </is>
      </c>
      <c r="K6333" t="inlineStr">
        <is>
          <t>CUIVRE</t>
        </is>
      </c>
      <c r="L6333">
        <f>_xlfn.XLOOKUP(Tableau1[[#This Row],[TYPE DE PIECE]],Tableau4[MATIERE],Tableau4[SHORT TYPE],"",0,1)</f>
        <v/>
      </c>
      <c r="N6333">
        <f>IF(ISERR(FIND("DECOUPE",Tableau1[[#This Row],[DESIGNATION]])),"","NEED REF")</f>
        <v/>
      </c>
    </row>
    <row r="6334">
      <c r="B6334" t="n">
        <v>34407671</v>
      </c>
      <c r="C6334" s="2" t="n">
        <v>43550</v>
      </c>
      <c r="D6334" t="inlineStr">
        <is>
          <t>SPEC</t>
        </is>
      </c>
      <c r="E6334" t="inlineStr">
        <is>
          <t>BUSBAR JUMP CBC ALPHA</t>
        </is>
      </c>
      <c r="F6334" t="inlineStr">
        <is>
          <t>ALPHA</t>
        </is>
      </c>
      <c r="J6334" t="inlineStr">
        <is>
          <t>MATRION</t>
        </is>
      </c>
      <c r="K6334" t="inlineStr">
        <is>
          <t>CUIVRE</t>
        </is>
      </c>
      <c r="L6334">
        <f>_xlfn.XLOOKUP(Tableau1[[#This Row],[TYPE DE PIECE]],Tableau4[MATIERE],Tableau4[SHORT TYPE],"",0,1)</f>
        <v/>
      </c>
      <c r="N6334">
        <f>IF(ISERR(FIND("DECOUPE",Tableau1[[#This Row],[DESIGNATION]])),"","NEED REF")</f>
        <v/>
      </c>
    </row>
    <row r="6335">
      <c r="B6335" t="n">
        <v>34407670</v>
      </c>
      <c r="C6335" s="2" t="n">
        <v>43549</v>
      </c>
      <c r="D6335" t="inlineStr">
        <is>
          <t>SPEC</t>
        </is>
      </c>
      <c r="E6335" t="inlineStr">
        <is>
          <t>DECOUPE LINERGY 04563 1250A  L=790mm</t>
        </is>
      </c>
      <c r="F6335" t="inlineStr">
        <is>
          <t>GVS MBP</t>
        </is>
      </c>
      <c r="J6335" t="inlineStr">
        <is>
          <t>BERNARDEAU</t>
        </is>
      </c>
      <c r="K6335" t="inlineStr">
        <is>
          <t>METAL</t>
        </is>
      </c>
      <c r="L6335">
        <f>_xlfn.XLOOKUP(Tableau1[[#This Row],[TYPE DE PIECE]],Tableau4[MATIERE],Tableau4[SHORT TYPE],"",0,1)</f>
        <v/>
      </c>
      <c r="N6335" t="inlineStr">
        <is>
          <t>LVS04563</t>
        </is>
      </c>
    </row>
    <row r="6336">
      <c r="B6336" t="n">
        <v>34407669</v>
      </c>
      <c r="C6336" s="2" t="n">
        <v>43549</v>
      </c>
      <c r="D6336" t="inlineStr">
        <is>
          <t>SPEC</t>
        </is>
      </c>
      <c r="E6336" t="inlineStr">
        <is>
          <t>cop plaque support connectique client</t>
        </is>
      </c>
      <c r="F6336" t="inlineStr">
        <is>
          <t>GVS MBP</t>
        </is>
      </c>
      <c r="J6336" t="inlineStr">
        <is>
          <t>BERNARDEAU</t>
        </is>
      </c>
      <c r="K6336" t="inlineStr">
        <is>
          <t>CUIVRE</t>
        </is>
      </c>
      <c r="L6336">
        <f>_xlfn.XLOOKUP(Tableau1[[#This Row],[TYPE DE PIECE]],Tableau4[MATIERE],Tableau4[SHORT TYPE],"",0,1)</f>
        <v/>
      </c>
      <c r="N6336">
        <f>IF(ISERR(FIND("DECOUPE",Tableau1[[#This Row],[DESIGNATION]])),"","NEED REF")</f>
        <v/>
      </c>
    </row>
    <row r="6337">
      <c r="B6337" t="n">
        <v>34407668</v>
      </c>
      <c r="C6337" s="2" t="n">
        <v>43549</v>
      </c>
      <c r="D6337" t="inlineStr">
        <is>
          <t>SPEC</t>
        </is>
      </c>
      <c r="E6337" t="inlineStr">
        <is>
          <t>COP 50x10 NSX400 VERS LINERGY N</t>
        </is>
      </c>
      <c r="F6337" t="inlineStr">
        <is>
          <t>GVS MBP</t>
        </is>
      </c>
      <c r="J6337" t="inlineStr">
        <is>
          <t>BERNARDEAU</t>
        </is>
      </c>
      <c r="K6337" t="inlineStr">
        <is>
          <t>CUIVRE</t>
        </is>
      </c>
      <c r="L6337">
        <f>_xlfn.XLOOKUP(Tableau1[[#This Row],[TYPE DE PIECE]],Tableau4[MATIERE],Tableau4[SHORT TYPE],"",0,1)</f>
        <v/>
      </c>
      <c r="N6337">
        <f>IF(ISERR(FIND("DECOUPE",Tableau1[[#This Row],[DESIGNATION]])),"","NEED REF")</f>
        <v/>
      </c>
    </row>
    <row r="6338">
      <c r="B6338" t="n">
        <v>34407667</v>
      </c>
      <c r="C6338" s="2" t="n">
        <v>43549</v>
      </c>
      <c r="D6338" t="inlineStr">
        <is>
          <t>SPEC</t>
        </is>
      </c>
      <c r="E6338" t="inlineStr">
        <is>
          <t>COP NSX400-CONNEXION CLIENT NEUTRE</t>
        </is>
      </c>
      <c r="F6338" t="inlineStr">
        <is>
          <t>GVS MBP</t>
        </is>
      </c>
      <c r="J6338" t="inlineStr">
        <is>
          <t>BERNARDEAU</t>
        </is>
      </c>
      <c r="K6338" t="inlineStr">
        <is>
          <t>CUIVRE</t>
        </is>
      </c>
      <c r="L6338">
        <f>_xlfn.XLOOKUP(Tableau1[[#This Row],[TYPE DE PIECE]],Tableau4[MATIERE],Tableau4[SHORT TYPE],"",0,1)</f>
        <v/>
      </c>
      <c r="N6338">
        <f>IF(ISERR(FIND("DECOUPE",Tableau1[[#This Row],[DESIGNATION]])),"","NEED REF")</f>
        <v/>
      </c>
    </row>
    <row r="6339">
      <c r="B6339" t="n">
        <v>34407666</v>
      </c>
      <c r="C6339" s="2" t="n">
        <v>43549</v>
      </c>
      <c r="D6339" t="inlineStr">
        <is>
          <t>SPEC</t>
        </is>
      </c>
      <c r="E6339" t="inlineStr">
        <is>
          <t>COP FLEX 30x10 NSX400 VERS NEUTRE</t>
        </is>
      </c>
      <c r="F6339" t="inlineStr">
        <is>
          <t>GVS MBP</t>
        </is>
      </c>
      <c r="J6339" t="inlineStr">
        <is>
          <t>BERNARDEAU</t>
        </is>
      </c>
      <c r="K6339" t="inlineStr">
        <is>
          <t>CUIVRE</t>
        </is>
      </c>
      <c r="L6339">
        <f>_xlfn.XLOOKUP(Tableau1[[#This Row],[TYPE DE PIECE]],Tableau4[MATIERE],Tableau4[SHORT TYPE],"",0,1)</f>
        <v/>
      </c>
      <c r="N6339">
        <f>IF(ISERR(FIND("DECOUPE",Tableau1[[#This Row],[DESIGNATION]])),"","NEED REF")</f>
        <v/>
      </c>
    </row>
    <row r="6340">
      <c r="B6340" t="n">
        <v>34407665</v>
      </c>
      <c r="C6340" s="2" t="n">
        <v>43544</v>
      </c>
      <c r="D6340" t="inlineStr">
        <is>
          <t>SPEC</t>
        </is>
      </c>
      <c r="E6340" t="inlineStr">
        <is>
          <t>COP LOAD NORMAL AND L3 REVERSED</t>
        </is>
      </c>
      <c r="F6340" t="inlineStr">
        <is>
          <t>IO 1000KVA GVX</t>
        </is>
      </c>
      <c r="J6340" t="inlineStr">
        <is>
          <t>MATRION</t>
        </is>
      </c>
      <c r="K6340" t="inlineStr">
        <is>
          <t>CUIVRE</t>
        </is>
      </c>
      <c r="L6340">
        <f>_xlfn.XLOOKUP(Tableau1[[#This Row],[TYPE DE PIECE]],Tableau4[MATIERE],Tableau4[SHORT TYPE],"",0,1)</f>
        <v/>
      </c>
      <c r="N6340">
        <f>IF(ISERR(FIND("DECOUPE",Tableau1[[#This Row],[DESIGNATION]])),"","NEED REF")</f>
        <v/>
      </c>
    </row>
    <row r="6341">
      <c r="B6341" t="n">
        <v>34407664</v>
      </c>
      <c r="C6341" s="2" t="n">
        <v>43544</v>
      </c>
      <c r="D6341" t="inlineStr">
        <is>
          <t>SPEC</t>
        </is>
      </c>
      <c r="E6341" t="inlineStr">
        <is>
          <t>COP LOAD NORMAL AND L1 REVERSED</t>
        </is>
      </c>
      <c r="F6341" t="inlineStr">
        <is>
          <t>IO 1000KVA GVX</t>
        </is>
      </c>
      <c r="J6341" t="inlineStr">
        <is>
          <t>MATRION</t>
        </is>
      </c>
      <c r="K6341" t="inlineStr">
        <is>
          <t>CUIVRE</t>
        </is>
      </c>
      <c r="L6341">
        <f>_xlfn.XLOOKUP(Tableau1[[#This Row],[TYPE DE PIECE]],Tableau4[MATIERE],Tableau4[SHORT TYPE],"",0,1)</f>
        <v/>
      </c>
      <c r="N6341">
        <f>IF(ISERR(FIND("DECOUPE",Tableau1[[#This Row],[DESIGNATION]])),"","NEED REF")</f>
        <v/>
      </c>
    </row>
    <row r="6342">
      <c r="B6342" t="n">
        <v>34407663</v>
      </c>
      <c r="C6342" s="2" t="n">
        <v>43544</v>
      </c>
      <c r="D6342" t="inlineStr">
        <is>
          <t>SPEC</t>
        </is>
      </c>
      <c r="E6342" t="inlineStr">
        <is>
          <t>COP FLEX 50x10 NSX400 VERS LIN.L3</t>
        </is>
      </c>
      <c r="F6342" t="inlineStr">
        <is>
          <t>GVS MBP</t>
        </is>
      </c>
      <c r="J6342" t="inlineStr">
        <is>
          <t>BERNARDEAU</t>
        </is>
      </c>
      <c r="K6342" t="inlineStr">
        <is>
          <t>CUIVRE</t>
        </is>
      </c>
      <c r="L6342">
        <f>_xlfn.XLOOKUP(Tableau1[[#This Row],[TYPE DE PIECE]],Tableau4[MATIERE],Tableau4[SHORT TYPE],"",0,1)</f>
        <v/>
      </c>
      <c r="N6342">
        <f>IF(ISERR(FIND("DECOUPE",Tableau1[[#This Row],[DESIGNATION]])),"","NEED REF")</f>
        <v/>
      </c>
    </row>
    <row r="6343">
      <c r="B6343" t="n">
        <v>34407662</v>
      </c>
      <c r="C6343" s="2" t="n">
        <v>43544</v>
      </c>
      <c r="D6343" t="inlineStr">
        <is>
          <t>SPEC</t>
        </is>
      </c>
      <c r="E6343" t="inlineStr">
        <is>
          <t>COP FLEX 30x10 NSX400 VERS LIN.L3</t>
        </is>
      </c>
      <c r="F6343" t="inlineStr">
        <is>
          <t>GVS MBP</t>
        </is>
      </c>
      <c r="J6343" t="inlineStr">
        <is>
          <t>BERNARDEAU</t>
        </is>
      </c>
      <c r="K6343" t="inlineStr">
        <is>
          <t>CUIVRE</t>
        </is>
      </c>
      <c r="L6343">
        <f>_xlfn.XLOOKUP(Tableau1[[#This Row],[TYPE DE PIECE]],Tableau4[MATIERE],Tableau4[SHORT TYPE],"",0,1)</f>
        <v/>
      </c>
      <c r="N6343">
        <f>IF(ISERR(FIND("DECOUPE",Tableau1[[#This Row],[DESIGNATION]])),"","NEED REF")</f>
        <v/>
      </c>
    </row>
    <row r="6344">
      <c r="B6344" t="n">
        <v>34407661</v>
      </c>
      <c r="C6344" s="2" t="n">
        <v>43544</v>
      </c>
      <c r="D6344" t="inlineStr">
        <is>
          <t>SPEC</t>
        </is>
      </c>
      <c r="E6344" t="inlineStr">
        <is>
          <t>COP FLEX 50x10 NSX400 VERS LIN.L2</t>
        </is>
      </c>
      <c r="F6344" t="inlineStr">
        <is>
          <t>GVS MBP</t>
        </is>
      </c>
      <c r="J6344" t="inlineStr">
        <is>
          <t>BERNARDEAU</t>
        </is>
      </c>
      <c r="K6344" t="inlineStr">
        <is>
          <t>CUIVRE</t>
        </is>
      </c>
      <c r="L6344">
        <f>_xlfn.XLOOKUP(Tableau1[[#This Row],[TYPE DE PIECE]],Tableau4[MATIERE],Tableau4[SHORT TYPE],"",0,1)</f>
        <v/>
      </c>
      <c r="N6344">
        <f>IF(ISERR(FIND("DECOUPE",Tableau1[[#This Row],[DESIGNATION]])),"","NEED REF")</f>
        <v/>
      </c>
    </row>
    <row r="6345">
      <c r="B6345" t="n">
        <v>34407660</v>
      </c>
      <c r="C6345" s="2" t="n">
        <v>43544</v>
      </c>
      <c r="D6345" t="inlineStr">
        <is>
          <t>SPEC</t>
        </is>
      </c>
      <c r="E6345" t="inlineStr">
        <is>
          <t>COP FLEX 30x10 NSX400 VERS LIN.L2</t>
        </is>
      </c>
      <c r="F6345" t="inlineStr">
        <is>
          <t>GVS MBP</t>
        </is>
      </c>
      <c r="J6345" t="inlineStr">
        <is>
          <t>BERNARDEAU</t>
        </is>
      </c>
      <c r="K6345" t="inlineStr">
        <is>
          <t>CUIVRE</t>
        </is>
      </c>
      <c r="L6345">
        <f>_xlfn.XLOOKUP(Tableau1[[#This Row],[TYPE DE PIECE]],Tableau4[MATIERE],Tableau4[SHORT TYPE],"",0,1)</f>
        <v/>
      </c>
      <c r="N6345">
        <f>IF(ISERR(FIND("DECOUPE",Tableau1[[#This Row],[DESIGNATION]])),"","NEED REF")</f>
        <v/>
      </c>
    </row>
    <row r="6346">
      <c r="B6346" t="n">
        <v>34407659</v>
      </c>
      <c r="C6346" s="2" t="n">
        <v>43544</v>
      </c>
      <c r="D6346" t="inlineStr">
        <is>
          <t>SPEC</t>
        </is>
      </c>
      <c r="E6346" t="inlineStr">
        <is>
          <t>COP FLEX 50x10 NSX400 VERS LIN.L1</t>
        </is>
      </c>
      <c r="F6346" t="inlineStr">
        <is>
          <t>GVS MBP</t>
        </is>
      </c>
      <c r="J6346" t="inlineStr">
        <is>
          <t>BERNARDEAU</t>
        </is>
      </c>
      <c r="K6346" t="inlineStr">
        <is>
          <t>CUIVRE</t>
        </is>
      </c>
      <c r="L6346">
        <f>_xlfn.XLOOKUP(Tableau1[[#This Row],[TYPE DE PIECE]],Tableau4[MATIERE],Tableau4[SHORT TYPE],"",0,1)</f>
        <v/>
      </c>
      <c r="N6346">
        <f>IF(ISERR(FIND("DECOUPE",Tableau1[[#This Row],[DESIGNATION]])),"","NEED REF")</f>
        <v/>
      </c>
    </row>
    <row r="6347">
      <c r="B6347" t="n">
        <v>34407658</v>
      </c>
      <c r="C6347" s="2" t="n">
        <v>43544</v>
      </c>
      <c r="D6347" t="inlineStr">
        <is>
          <t>SPEC</t>
        </is>
      </c>
      <c r="E6347" t="inlineStr">
        <is>
          <t>COP FLEX 30x10 NSX400 VERS LIN.L1</t>
        </is>
      </c>
      <c r="F6347" t="inlineStr">
        <is>
          <t>GVS MBP</t>
        </is>
      </c>
      <c r="J6347" t="inlineStr">
        <is>
          <t>BERNARDEAU</t>
        </is>
      </c>
      <c r="K6347" t="inlineStr">
        <is>
          <t>CUIVRE</t>
        </is>
      </c>
      <c r="L6347">
        <f>_xlfn.XLOOKUP(Tableau1[[#This Row],[TYPE DE PIECE]],Tableau4[MATIERE],Tableau4[SHORT TYPE],"",0,1)</f>
        <v/>
      </c>
      <c r="N6347">
        <f>IF(ISERR(FIND("DECOUPE",Tableau1[[#This Row],[DESIGNATION]])),"","NEED REF")</f>
        <v/>
      </c>
    </row>
    <row r="6348">
      <c r="B6348" t="n">
        <v>34407657</v>
      </c>
      <c r="C6348" s="2" t="n">
        <v>43544</v>
      </c>
      <c r="D6348" t="inlineStr">
        <is>
          <t>SPEC</t>
        </is>
      </c>
      <c r="E6348" t="inlineStr">
        <is>
          <t>COP FLEX 50x5 NSX400 VERS LINERGY L3</t>
        </is>
      </c>
      <c r="F6348" t="inlineStr">
        <is>
          <t>GVS MBP</t>
        </is>
      </c>
      <c r="J6348" t="inlineStr">
        <is>
          <t>BERNARDEAU</t>
        </is>
      </c>
      <c r="K6348" t="inlineStr">
        <is>
          <t>CUIVRE</t>
        </is>
      </c>
      <c r="L6348">
        <f>_xlfn.XLOOKUP(Tableau1[[#This Row],[TYPE DE PIECE]],Tableau4[MATIERE],Tableau4[SHORT TYPE],"",0,1)</f>
        <v/>
      </c>
      <c r="N6348">
        <f>IF(ISERR(FIND("DECOUPE",Tableau1[[#This Row],[DESIGNATION]])),"","NEED REF")</f>
        <v/>
      </c>
    </row>
    <row r="6349">
      <c r="B6349" t="n">
        <v>34407656</v>
      </c>
      <c r="C6349" s="2" t="n">
        <v>43544</v>
      </c>
      <c r="D6349" t="inlineStr">
        <is>
          <t>SPEC</t>
        </is>
      </c>
      <c r="E6349" t="inlineStr">
        <is>
          <t>COP FLEX 30x5 NSX400 VERS LINERGY L2</t>
        </is>
      </c>
      <c r="F6349" t="inlineStr">
        <is>
          <t>GVS MBP</t>
        </is>
      </c>
      <c r="J6349" t="inlineStr">
        <is>
          <t>BERNARDEAU</t>
        </is>
      </c>
      <c r="K6349" t="inlineStr">
        <is>
          <t>CUIVRE</t>
        </is>
      </c>
      <c r="L6349">
        <f>_xlfn.XLOOKUP(Tableau1[[#This Row],[TYPE DE PIECE]],Tableau4[MATIERE],Tableau4[SHORT TYPE],"",0,1)</f>
        <v/>
      </c>
      <c r="N6349">
        <f>IF(ISERR(FIND("DECOUPE",Tableau1[[#This Row],[DESIGNATION]])),"","NEED REF")</f>
        <v/>
      </c>
    </row>
    <row r="6350">
      <c r="B6350" t="n">
        <v>34407655</v>
      </c>
      <c r="C6350" s="2" t="n">
        <v>43544</v>
      </c>
      <c r="D6350" t="inlineStr">
        <is>
          <t>SPEC</t>
        </is>
      </c>
      <c r="E6350" t="inlineStr">
        <is>
          <t>COP FLEX 30x5 NSX400 VERS LINERGY L1</t>
        </is>
      </c>
      <c r="F6350" t="inlineStr">
        <is>
          <t>GVS MBP</t>
        </is>
      </c>
      <c r="J6350" t="inlineStr">
        <is>
          <t>BERNARDEAU</t>
        </is>
      </c>
      <c r="K6350" t="inlineStr">
        <is>
          <t>CUIVRE</t>
        </is>
      </c>
      <c r="L6350">
        <f>_xlfn.XLOOKUP(Tableau1[[#This Row],[TYPE DE PIECE]],Tableau4[MATIERE],Tableau4[SHORT TYPE],"",0,1)</f>
        <v/>
      </c>
      <c r="N6350">
        <f>IF(ISERR(FIND("DECOUPE",Tableau1[[#This Row],[DESIGNATION]])),"","NEED REF")</f>
        <v/>
      </c>
    </row>
    <row r="6351">
      <c r="B6351" t="n">
        <v>34407654</v>
      </c>
      <c r="C6351" s="2" t="n">
        <v>43543</v>
      </c>
      <c r="D6351" t="inlineStr">
        <is>
          <t>SPEC</t>
        </is>
      </c>
      <c r="E6351" t="inlineStr">
        <is>
          <t>NW20H DC Version D MOTOR QSMA28021</t>
        </is>
      </c>
      <c r="F6351" t="inlineStr">
        <is>
          <t>GVX BBC</t>
        </is>
      </c>
      <c r="J6351" t="inlineStr">
        <is>
          <t>MATRION</t>
        </is>
      </c>
      <c r="K6351" t="inlineStr">
        <is>
          <t>SCHNEIDER</t>
        </is>
      </c>
      <c r="L6351">
        <f>_xlfn.XLOOKUP(Tableau1[[#This Row],[TYPE DE PIECE]],Tableau4[MATIERE],Tableau4[SHORT TYPE],"",0,1)</f>
        <v/>
      </c>
      <c r="N6351">
        <f>IF(ISERR(FIND("DECOUPE",Tableau1[[#This Row],[DESIGNATION]])),"","NEED REF")</f>
        <v/>
      </c>
    </row>
    <row r="6352">
      <c r="B6352" t="n">
        <v>34407653</v>
      </c>
      <c r="C6352" s="2" t="n">
        <v>43543</v>
      </c>
      <c r="D6352" t="inlineStr">
        <is>
          <t>SPEC</t>
        </is>
      </c>
      <c r="E6352" t="inlineStr">
        <is>
          <t xml:space="preserve">CALE PLASTIQUE PA6G NOIR </t>
        </is>
      </c>
      <c r="F6352" t="inlineStr">
        <is>
          <t>IO 1000KVA GVX</t>
        </is>
      </c>
      <c r="J6352" t="inlineStr">
        <is>
          <t>BERNARDEAU</t>
        </is>
      </c>
      <c r="K6352" t="inlineStr">
        <is>
          <t>PLASTIQUE</t>
        </is>
      </c>
      <c r="L6352">
        <f>_xlfn.XLOOKUP(Tableau1[[#This Row],[TYPE DE PIECE]],Tableau4[MATIERE],Tableau4[SHORT TYPE],"",0,1)</f>
        <v/>
      </c>
      <c r="N6352">
        <f>IF(ISERR(FIND("DECOUPE",Tableau1[[#This Row],[DESIGNATION]])),"","NEED REF")</f>
        <v/>
      </c>
    </row>
    <row r="6353">
      <c r="B6353" t="n">
        <v>34407652</v>
      </c>
      <c r="C6353" s="2" t="n">
        <v>43543</v>
      </c>
      <c r="D6353" t="inlineStr">
        <is>
          <t>SPEC</t>
        </is>
      </c>
      <c r="E6353" t="inlineStr">
        <is>
          <t>COFFRET SAREL NSYPLAT1074G ETO suivant devis NSYAPLASP - 22901/319/P-FAF0001229</t>
        </is>
      </c>
      <c r="F6353" t="inlineStr">
        <is>
          <t>DEWA - COFFRET SAREL NSYPLAT1074G ETO / PVBOXQ-QSRE19290-01</t>
        </is>
      </c>
      <c r="J6353" t="inlineStr">
        <is>
          <t>MONGELLI</t>
        </is>
      </c>
      <c r="K6353" t="inlineStr">
        <is>
          <t>SAREL</t>
        </is>
      </c>
      <c r="L6353">
        <f>_xlfn.XLOOKUP(Tableau1[[#This Row],[TYPE DE PIECE]],Tableau4[MATIERE],Tableau4[SHORT TYPE],"",0,1)</f>
        <v/>
      </c>
      <c r="N6353">
        <f>IF(ISERR(FIND("DECOUPE",Tableau1[[#This Row],[DESIGNATION]])),"","NEED REF")</f>
        <v/>
      </c>
    </row>
    <row r="6354">
      <c r="B6354" t="n">
        <v>34407651</v>
      </c>
      <c r="C6354" s="2" t="n">
        <v>43542</v>
      </c>
      <c r="D6354" t="inlineStr">
        <is>
          <t>SPEC</t>
        </is>
      </c>
      <c r="E6354" t="inlineStr">
        <is>
          <t>PLA CB NSX160/250 L700 COVER LEFT</t>
        </is>
      </c>
      <c r="F6354" t="inlineStr">
        <is>
          <t>ALPHA</t>
        </is>
      </c>
      <c r="J6354" t="inlineStr">
        <is>
          <t>MATRION</t>
        </is>
      </c>
      <c r="L6354">
        <f>_xlfn.XLOOKUP(Tableau1[[#This Row],[TYPE DE PIECE]],Tableau4[MATIERE],Tableau4[SHORT TYPE],"",0,1)</f>
        <v/>
      </c>
      <c r="N6354">
        <f>IF(ISERR(FIND("DECOUPE",Tableau1[[#This Row],[DESIGNATION]])),"","NEED REF")</f>
        <v/>
      </c>
    </row>
    <row r="6355">
      <c r="B6355" t="n">
        <v>34407650</v>
      </c>
      <c r="C6355" s="2" t="n">
        <v>43542</v>
      </c>
      <c r="D6355" t="inlineStr">
        <is>
          <t>SPEC</t>
        </is>
      </c>
      <c r="E6355" t="inlineStr">
        <is>
          <t>PLA CB NSX160/250 L700 COVER RIGHT</t>
        </is>
      </c>
      <c r="F6355" t="inlineStr">
        <is>
          <t>ALPHA</t>
        </is>
      </c>
      <c r="J6355" t="inlineStr">
        <is>
          <t>MATRION</t>
        </is>
      </c>
      <c r="L6355">
        <f>_xlfn.XLOOKUP(Tableau1[[#This Row],[TYPE DE PIECE]],Tableau4[MATIERE],Tableau4[SHORT TYPE],"",0,1)</f>
        <v/>
      </c>
      <c r="N6355">
        <f>IF(ISERR(FIND("DECOUPE",Tableau1[[#This Row],[DESIGNATION]])),"","NEED REF")</f>
        <v/>
      </c>
    </row>
    <row r="6356">
      <c r="B6356" t="n">
        <v>34407649</v>
      </c>
      <c r="C6356" s="2" t="n">
        <v>43542</v>
      </c>
      <c r="D6356" t="inlineStr">
        <is>
          <t>SPEC</t>
        </is>
      </c>
      <c r="E6356" t="inlineStr">
        <is>
          <t>PLA CB NSX320/400 L700 COVER LEFT</t>
        </is>
      </c>
      <c r="F6356" t="inlineStr">
        <is>
          <t>ALPHA</t>
        </is>
      </c>
      <c r="J6356" t="inlineStr">
        <is>
          <t>MATRION</t>
        </is>
      </c>
      <c r="L6356">
        <f>_xlfn.XLOOKUP(Tableau1[[#This Row],[TYPE DE PIECE]],Tableau4[MATIERE],Tableau4[SHORT TYPE],"",0,1)</f>
        <v/>
      </c>
      <c r="N6356">
        <f>IF(ISERR(FIND("DECOUPE",Tableau1[[#This Row],[DESIGNATION]])),"","NEED REF")</f>
        <v/>
      </c>
    </row>
    <row r="6357">
      <c r="B6357" t="n">
        <v>34407648</v>
      </c>
      <c r="C6357" s="2" t="n">
        <v>43542</v>
      </c>
      <c r="D6357" t="inlineStr">
        <is>
          <t>SPEC</t>
        </is>
      </c>
      <c r="E6357" t="inlineStr">
        <is>
          <t>PLA CB NSX320/400 L700 COVER RIGHT</t>
        </is>
      </c>
      <c r="F6357" t="inlineStr">
        <is>
          <t>ALPHA</t>
        </is>
      </c>
      <c r="J6357" t="inlineStr">
        <is>
          <t>MATRION</t>
        </is>
      </c>
      <c r="L6357">
        <f>_xlfn.XLOOKUP(Tableau1[[#This Row],[TYPE DE PIECE]],Tableau4[MATIERE],Tableau4[SHORT TYPE],"",0,1)</f>
        <v/>
      </c>
      <c r="N6357">
        <f>IF(ISERR(FIND("DECOUPE",Tableau1[[#This Row],[DESIGNATION]])),"","NEED REF")</f>
        <v/>
      </c>
    </row>
    <row r="6358">
      <c r="B6358" t="n">
        <v>34407647</v>
      </c>
      <c r="C6358" s="2" t="n">
        <v>43542</v>
      </c>
      <c r="D6358" t="inlineStr">
        <is>
          <t>SPEC</t>
        </is>
      </c>
      <c r="E6358" t="inlineStr">
        <is>
          <t>PLA CB NSX160/250 L1000 COVER LEFT</t>
        </is>
      </c>
      <c r="F6358" t="inlineStr">
        <is>
          <t>ALPHA</t>
        </is>
      </c>
      <c r="J6358" t="inlineStr">
        <is>
          <t>MATRION</t>
        </is>
      </c>
      <c r="L6358">
        <f>_xlfn.XLOOKUP(Tableau1[[#This Row],[TYPE DE PIECE]],Tableau4[MATIERE],Tableau4[SHORT TYPE],"",0,1)</f>
        <v/>
      </c>
      <c r="N6358">
        <f>IF(ISERR(FIND("DECOUPE",Tableau1[[#This Row],[DESIGNATION]])),"","NEED REF")</f>
        <v/>
      </c>
    </row>
    <row r="6359">
      <c r="B6359" t="n">
        <v>34407646</v>
      </c>
      <c r="C6359" s="2" t="n">
        <v>43542</v>
      </c>
      <c r="D6359" t="inlineStr">
        <is>
          <t>SPEC</t>
        </is>
      </c>
      <c r="E6359" t="inlineStr">
        <is>
          <t>PLA CB NSX160/250 L1000 COVER RIGHT</t>
        </is>
      </c>
      <c r="F6359" t="inlineStr">
        <is>
          <t>ALPHA</t>
        </is>
      </c>
      <c r="J6359" t="inlineStr">
        <is>
          <t>MATRION</t>
        </is>
      </c>
      <c r="L6359">
        <f>_xlfn.XLOOKUP(Tableau1[[#This Row],[TYPE DE PIECE]],Tableau4[MATIERE],Tableau4[SHORT TYPE],"",0,1)</f>
        <v/>
      </c>
      <c r="N6359">
        <f>IF(ISERR(FIND("DECOUPE",Tableau1[[#This Row],[DESIGNATION]])),"","NEED REF")</f>
        <v/>
      </c>
    </row>
    <row r="6360">
      <c r="B6360" t="n">
        <v>34407645</v>
      </c>
      <c r="C6360" s="2" t="n">
        <v>43542</v>
      </c>
      <c r="D6360" t="inlineStr">
        <is>
          <t>SPEC</t>
        </is>
      </c>
      <c r="E6360" t="inlineStr">
        <is>
          <t>PLA CB NSX320/400 L1000 COVER LEFT</t>
        </is>
      </c>
      <c r="F6360" t="inlineStr">
        <is>
          <t>ALPHA</t>
        </is>
      </c>
      <c r="J6360" t="inlineStr">
        <is>
          <t>MATRION</t>
        </is>
      </c>
      <c r="L6360">
        <f>_xlfn.XLOOKUP(Tableau1[[#This Row],[TYPE DE PIECE]],Tableau4[MATIERE],Tableau4[SHORT TYPE],"",0,1)</f>
        <v/>
      </c>
      <c r="N6360">
        <f>IF(ISERR(FIND("DECOUPE",Tableau1[[#This Row],[DESIGNATION]])),"","NEED REF")</f>
        <v/>
      </c>
    </row>
    <row r="6361">
      <c r="B6361" t="n">
        <v>34407644</v>
      </c>
      <c r="C6361" s="2" t="n">
        <v>43542</v>
      </c>
      <c r="D6361" t="inlineStr">
        <is>
          <t>SPEC</t>
        </is>
      </c>
      <c r="E6361" t="inlineStr">
        <is>
          <t>PLA CB NSX320/400 L1000 COVER RIGHT</t>
        </is>
      </c>
      <c r="F6361" t="inlineStr">
        <is>
          <t>ALPHA</t>
        </is>
      </c>
      <c r="J6361" t="inlineStr">
        <is>
          <t>MATRION</t>
        </is>
      </c>
      <c r="L6361">
        <f>_xlfn.XLOOKUP(Tableau1[[#This Row],[TYPE DE PIECE]],Tableau4[MATIERE],Tableau4[SHORT TYPE],"",0,1)</f>
        <v/>
      </c>
      <c r="N6361">
        <f>IF(ISERR(FIND("DECOUPE",Tableau1[[#This Row],[DESIGNATION]])),"","NEED REF")</f>
        <v/>
      </c>
    </row>
    <row r="6362">
      <c r="B6362" t="n">
        <v>34407643</v>
      </c>
      <c r="C6362" s="2" t="n">
        <v>43538</v>
      </c>
      <c r="D6362" t="inlineStr">
        <is>
          <t>SPEC</t>
        </is>
      </c>
      <c r="E6362" t="inlineStr">
        <is>
          <t>CX POINT MILIEU BATTERIE</t>
        </is>
      </c>
      <c r="F6362" t="inlineStr">
        <is>
          <t>chewbacca</t>
        </is>
      </c>
      <c r="J6362" t="inlineStr">
        <is>
          <t>MATRION</t>
        </is>
      </c>
      <c r="K6362" t="inlineStr">
        <is>
          <t>CUIVRE</t>
        </is>
      </c>
      <c r="L6362">
        <f>_xlfn.XLOOKUP(Tableau1[[#This Row],[TYPE DE PIECE]],Tableau4[MATIERE],Tableau4[SHORT TYPE],"",0,1)</f>
        <v/>
      </c>
      <c r="N6362">
        <f>IF(ISERR(FIND("DECOUPE",Tableau1[[#This Row],[DESIGNATION]])),"","NEED REF")</f>
        <v/>
      </c>
    </row>
    <row r="6363">
      <c r="B6363" t="n">
        <v>34407642</v>
      </c>
      <c r="C6363" s="2" t="n">
        <v>43536</v>
      </c>
      <c r="D6363" t="inlineStr">
        <is>
          <t>SPEC</t>
        </is>
      </c>
      <c r="E6363" t="inlineStr">
        <is>
          <t>SUPPORT CHEMINEE</t>
        </is>
      </c>
      <c r="F6363" t="inlineStr">
        <is>
          <t>REGENBOX</t>
        </is>
      </c>
      <c r="J6363" t="inlineStr">
        <is>
          <t>BERNARDEAU</t>
        </is>
      </c>
      <c r="K6363" t="inlineStr">
        <is>
          <t>METAL</t>
        </is>
      </c>
      <c r="L6363">
        <f>_xlfn.XLOOKUP(Tableau1[[#This Row],[TYPE DE PIECE]],Tableau4[MATIERE],Tableau4[SHORT TYPE],"",0,1)</f>
        <v/>
      </c>
      <c r="N6363">
        <f>IF(ISERR(FIND("DECOUPE",Tableau1[[#This Row],[DESIGNATION]])),"","NEED REF")</f>
        <v/>
      </c>
    </row>
    <row r="6364">
      <c r="B6364" t="n">
        <v>34407641</v>
      </c>
      <c r="C6364" s="2" t="n">
        <v>43536</v>
      </c>
      <c r="D6364" t="inlineStr">
        <is>
          <t>SPEC</t>
        </is>
      </c>
      <c r="E6364" t="inlineStr">
        <is>
          <t>SUPPORT CHEMIN DE CABLE FILAIRE</t>
        </is>
      </c>
      <c r="F6364" t="inlineStr">
        <is>
          <t>REGENBOX</t>
        </is>
      </c>
      <c r="J6364" t="inlineStr">
        <is>
          <t>BERNARDEAU</t>
        </is>
      </c>
      <c r="K6364" t="inlineStr">
        <is>
          <t>METAL</t>
        </is>
      </c>
      <c r="L6364">
        <f>_xlfn.XLOOKUP(Tableau1[[#This Row],[TYPE DE PIECE]],Tableau4[MATIERE],Tableau4[SHORT TYPE],"",0,1)</f>
        <v/>
      </c>
      <c r="N6364">
        <f>IF(ISERR(FIND("DECOUPE",Tableau1[[#This Row],[DESIGNATION]])),"","NEED REF")</f>
        <v/>
      </c>
    </row>
    <row r="6365">
      <c r="B6365" t="n">
        <v>34407640</v>
      </c>
      <c r="C6365" s="2" t="n"/>
      <c r="L6365">
        <f>_xlfn.XLOOKUP(Tableau1[[#This Row],[TYPE DE PIECE]],Tableau4[MATIERE],Tableau4[SHORT TYPE],"",0,1)</f>
        <v/>
      </c>
      <c r="N6365">
        <f>IF(ISERR(FIND("DECOUPE",Tableau1[[#This Row],[DESIGNATION]])),"","NEED REF")</f>
        <v/>
      </c>
    </row>
    <row r="6366">
      <c r="B6366" t="n">
        <v>34407639</v>
      </c>
      <c r="C6366" s="2" t="n"/>
      <c r="L6366">
        <f>_xlfn.XLOOKUP(Tableau1[[#This Row],[TYPE DE PIECE]],Tableau4[MATIERE],Tableau4[SHORT TYPE],"",0,1)</f>
        <v/>
      </c>
      <c r="N6366">
        <f>IF(ISERR(FIND("DECOUPE",Tableau1[[#This Row],[DESIGNATION]])),"","NEED REF")</f>
        <v/>
      </c>
    </row>
    <row r="6367">
      <c r="B6367" t="n">
        <v>34407638</v>
      </c>
      <c r="C6367" s="2" t="n"/>
      <c r="L6367">
        <f>_xlfn.XLOOKUP(Tableau1[[#This Row],[TYPE DE PIECE]],Tableau4[MATIERE],Tableau4[SHORT TYPE],"",0,1)</f>
        <v/>
      </c>
      <c r="N6367">
        <f>IF(ISERR(FIND("DECOUPE",Tableau1[[#This Row],[DESIGNATION]])),"","NEED REF")</f>
        <v/>
      </c>
    </row>
    <row r="6368">
      <c r="B6368" t="n">
        <v>34407637</v>
      </c>
      <c r="C6368" s="2" t="n"/>
      <c r="L6368">
        <f>_xlfn.XLOOKUP(Tableau1[[#This Row],[TYPE DE PIECE]],Tableau4[MATIERE],Tableau4[SHORT TYPE],"",0,1)</f>
        <v/>
      </c>
      <c r="N6368">
        <f>IF(ISERR(FIND("DECOUPE",Tableau1[[#This Row],[DESIGNATION]])),"","NEED REF")</f>
        <v/>
      </c>
    </row>
    <row r="6369">
      <c r="B6369" t="n">
        <v>34407636</v>
      </c>
      <c r="C6369" s="2" t="n"/>
      <c r="L6369">
        <f>_xlfn.XLOOKUP(Tableau1[[#This Row],[TYPE DE PIECE]],Tableau4[MATIERE],Tableau4[SHORT TYPE],"",0,1)</f>
        <v/>
      </c>
      <c r="N6369">
        <f>IF(ISERR(FIND("DECOUPE",Tableau1[[#This Row],[DESIGNATION]])),"","NEED REF")</f>
        <v/>
      </c>
    </row>
    <row r="6370">
      <c r="B6370" t="n">
        <v>34407635</v>
      </c>
      <c r="C6370" s="2" t="n"/>
      <c r="L6370">
        <f>_xlfn.XLOOKUP(Tableau1[[#This Row],[TYPE DE PIECE]],Tableau4[MATIERE],Tableau4[SHORT TYPE],"",0,1)</f>
        <v/>
      </c>
      <c r="N6370">
        <f>IF(ISERR(FIND("DECOUPE",Tableau1[[#This Row],[DESIGNATION]])),"","NEED REF")</f>
        <v/>
      </c>
    </row>
    <row r="6371">
      <c r="B6371" t="n">
        <v>34407634</v>
      </c>
      <c r="C6371" s="2" t="n"/>
      <c r="L6371">
        <f>_xlfn.XLOOKUP(Tableau1[[#This Row],[TYPE DE PIECE]],Tableau4[MATIERE],Tableau4[SHORT TYPE],"",0,1)</f>
        <v/>
      </c>
      <c r="N6371">
        <f>IF(ISERR(FIND("DECOUPE",Tableau1[[#This Row],[DESIGNATION]])),"","NEED REF")</f>
        <v/>
      </c>
    </row>
    <row r="6372">
      <c r="B6372" t="n">
        <v>34407633</v>
      </c>
      <c r="C6372" s="2" t="n"/>
      <c r="L6372">
        <f>_xlfn.XLOOKUP(Tableau1[[#This Row],[TYPE DE PIECE]],Tableau4[MATIERE],Tableau4[SHORT TYPE],"",0,1)</f>
        <v/>
      </c>
      <c r="N6372">
        <f>IF(ISERR(FIND("DECOUPE",Tableau1[[#This Row],[DESIGNATION]])),"","NEED REF")</f>
        <v/>
      </c>
    </row>
    <row r="6373">
      <c r="B6373" t="n">
        <v>34407632</v>
      </c>
      <c r="C6373" s="2" t="n"/>
      <c r="L6373">
        <f>_xlfn.XLOOKUP(Tableau1[[#This Row],[TYPE DE PIECE]],Tableau4[MATIERE],Tableau4[SHORT TYPE],"",0,1)</f>
        <v/>
      </c>
      <c r="N6373">
        <f>IF(ISERR(FIND("DECOUPE",Tableau1[[#This Row],[DESIGNATION]])),"","NEED REF")</f>
        <v/>
      </c>
    </row>
    <row r="6374">
      <c r="B6374" t="n">
        <v>34407631</v>
      </c>
      <c r="C6374" s="2" t="n"/>
      <c r="L6374">
        <f>_xlfn.XLOOKUP(Tableau1[[#This Row],[TYPE DE PIECE]],Tableau4[MATIERE],Tableau4[SHORT TYPE],"",0,1)</f>
        <v/>
      </c>
      <c r="N6374">
        <f>IF(ISERR(FIND("DECOUPE",Tableau1[[#This Row],[DESIGNATION]])),"","NEED REF")</f>
        <v/>
      </c>
    </row>
    <row r="6375">
      <c r="B6375" t="n">
        <v>34407630</v>
      </c>
      <c r="C6375" s="2" t="n"/>
      <c r="L6375">
        <f>_xlfn.XLOOKUP(Tableau1[[#This Row],[TYPE DE PIECE]],Tableau4[MATIERE],Tableau4[SHORT TYPE],"",0,1)</f>
        <v/>
      </c>
      <c r="N6375">
        <f>IF(ISERR(FIND("DECOUPE",Tableau1[[#This Row],[DESIGNATION]])),"","NEED REF")</f>
        <v/>
      </c>
    </row>
    <row r="6376">
      <c r="B6376" t="n">
        <v>34407629</v>
      </c>
      <c r="C6376" s="2" t="n"/>
      <c r="L6376">
        <f>_xlfn.XLOOKUP(Tableau1[[#This Row],[TYPE DE PIECE]],Tableau4[MATIERE],Tableau4[SHORT TYPE],"",0,1)</f>
        <v/>
      </c>
      <c r="N6376">
        <f>IF(ISERR(FIND("DECOUPE",Tableau1[[#This Row],[DESIGNATION]])),"","NEED REF")</f>
        <v/>
      </c>
    </row>
    <row r="6377">
      <c r="B6377" t="n">
        <v>34407628</v>
      </c>
      <c r="C6377" s="2" t="n"/>
      <c r="L6377">
        <f>_xlfn.XLOOKUP(Tableau1[[#This Row],[TYPE DE PIECE]],Tableau4[MATIERE],Tableau4[SHORT TYPE],"",0,1)</f>
        <v/>
      </c>
      <c r="N6377">
        <f>IF(ISERR(FIND("DECOUPE",Tableau1[[#This Row],[DESIGNATION]])),"","NEED REF")</f>
        <v/>
      </c>
    </row>
    <row r="6378">
      <c r="B6378" t="n">
        <v>34407627</v>
      </c>
      <c r="C6378" s="2" t="n"/>
      <c r="L6378">
        <f>_xlfn.XLOOKUP(Tableau1[[#This Row],[TYPE DE PIECE]],Tableau4[MATIERE],Tableau4[SHORT TYPE],"",0,1)</f>
        <v/>
      </c>
      <c r="N6378">
        <f>IF(ISERR(FIND("DECOUPE",Tableau1[[#This Row],[DESIGNATION]])),"","NEED REF")</f>
        <v/>
      </c>
    </row>
    <row r="6379">
      <c r="B6379" t="n">
        <v>34407626</v>
      </c>
      <c r="C6379" s="2" t="n"/>
      <c r="L6379">
        <f>_xlfn.XLOOKUP(Tableau1[[#This Row],[TYPE DE PIECE]],Tableau4[MATIERE],Tableau4[SHORT TYPE],"",0,1)</f>
        <v/>
      </c>
      <c r="N6379">
        <f>IF(ISERR(FIND("DECOUPE",Tableau1[[#This Row],[DESIGNATION]])),"","NEED REF")</f>
        <v/>
      </c>
    </row>
    <row r="6380">
      <c r="B6380" t="n">
        <v>34407625</v>
      </c>
      <c r="C6380" s="2" t="n"/>
      <c r="L6380">
        <f>_xlfn.XLOOKUP(Tableau1[[#This Row],[TYPE DE PIECE]],Tableau4[MATIERE],Tableau4[SHORT TYPE],"",0,1)</f>
        <v/>
      </c>
      <c r="N6380">
        <f>IF(ISERR(FIND("DECOUPE",Tableau1[[#This Row],[DESIGNATION]])),"","NEED REF")</f>
        <v/>
      </c>
    </row>
    <row r="6381">
      <c r="B6381" t="n">
        <v>34407624</v>
      </c>
      <c r="C6381" s="2" t="n"/>
      <c r="L6381">
        <f>_xlfn.XLOOKUP(Tableau1[[#This Row],[TYPE DE PIECE]],Tableau4[MATIERE],Tableau4[SHORT TYPE],"",0,1)</f>
        <v/>
      </c>
      <c r="N6381">
        <f>IF(ISERR(FIND("DECOUPE",Tableau1[[#This Row],[DESIGNATION]])),"","NEED REF")</f>
        <v/>
      </c>
    </row>
    <row r="6382">
      <c r="B6382" t="n">
        <v>34407623</v>
      </c>
      <c r="C6382" s="2" t="n"/>
      <c r="L6382">
        <f>_xlfn.XLOOKUP(Tableau1[[#This Row],[TYPE DE PIECE]],Tableau4[MATIERE],Tableau4[SHORT TYPE],"",0,1)</f>
        <v/>
      </c>
      <c r="N6382">
        <f>IF(ISERR(FIND("DECOUPE",Tableau1[[#This Row],[DESIGNATION]])),"","NEED REF")</f>
        <v/>
      </c>
    </row>
    <row r="6383">
      <c r="B6383" t="n">
        <v>34407622</v>
      </c>
      <c r="C6383" s="2" t="n"/>
      <c r="L6383">
        <f>_xlfn.XLOOKUP(Tableau1[[#This Row],[TYPE DE PIECE]],Tableau4[MATIERE],Tableau4[SHORT TYPE],"",0,1)</f>
        <v/>
      </c>
      <c r="N6383">
        <f>IF(ISERR(FIND("DECOUPE",Tableau1[[#This Row],[DESIGNATION]])),"","NEED REF")</f>
        <v/>
      </c>
    </row>
    <row r="6384">
      <c r="B6384" t="n">
        <v>34407621</v>
      </c>
      <c r="C6384" s="2" t="n"/>
      <c r="L6384">
        <f>_xlfn.XLOOKUP(Tableau1[[#This Row],[TYPE DE PIECE]],Tableau4[MATIERE],Tableau4[SHORT TYPE],"",0,1)</f>
        <v/>
      </c>
      <c r="N6384">
        <f>IF(ISERR(FIND("DECOUPE",Tableau1[[#This Row],[DESIGNATION]])),"","NEED REF")</f>
        <v/>
      </c>
    </row>
    <row r="6385">
      <c r="B6385" t="n">
        <v>34407620</v>
      </c>
      <c r="C6385" s="2" t="n"/>
      <c r="L6385">
        <f>_xlfn.XLOOKUP(Tableau1[[#This Row],[TYPE DE PIECE]],Tableau4[MATIERE],Tableau4[SHORT TYPE],"",0,1)</f>
        <v/>
      </c>
      <c r="N6385">
        <f>IF(ISERR(FIND("DECOUPE",Tableau1[[#This Row],[DESIGNATION]])),"","NEED REF")</f>
        <v/>
      </c>
    </row>
    <row r="6386">
      <c r="B6386" t="n">
        <v>34407619</v>
      </c>
      <c r="C6386" s="2" t="n"/>
      <c r="L6386">
        <f>_xlfn.XLOOKUP(Tableau1[[#This Row],[TYPE DE PIECE]],Tableau4[MATIERE],Tableau4[SHORT TYPE],"",0,1)</f>
        <v/>
      </c>
      <c r="N6386">
        <f>IF(ISERR(FIND("DECOUPE",Tableau1[[#This Row],[DESIGNATION]])),"","NEED REF")</f>
        <v/>
      </c>
    </row>
    <row r="6387">
      <c r="B6387" t="n">
        <v>34407618</v>
      </c>
      <c r="C6387" s="2" t="n"/>
      <c r="L6387">
        <f>_xlfn.XLOOKUP(Tableau1[[#This Row],[TYPE DE PIECE]],Tableau4[MATIERE],Tableau4[SHORT TYPE],"",0,1)</f>
        <v/>
      </c>
      <c r="N6387">
        <f>IF(ISERR(FIND("DECOUPE",Tableau1[[#This Row],[DESIGNATION]])),"","NEED REF")</f>
        <v/>
      </c>
    </row>
    <row r="6388">
      <c r="B6388" t="n">
        <v>34407617</v>
      </c>
      <c r="C6388" s="2" t="n"/>
      <c r="L6388">
        <f>_xlfn.XLOOKUP(Tableau1[[#This Row],[TYPE DE PIECE]],Tableau4[MATIERE],Tableau4[SHORT TYPE],"",0,1)</f>
        <v/>
      </c>
      <c r="N6388">
        <f>IF(ISERR(FIND("DECOUPE",Tableau1[[#This Row],[DESIGNATION]])),"","NEED REF")</f>
        <v/>
      </c>
    </row>
    <row r="6389">
      <c r="B6389" t="n">
        <v>34407616</v>
      </c>
      <c r="C6389" s="2" t="n"/>
      <c r="L6389">
        <f>_xlfn.XLOOKUP(Tableau1[[#This Row],[TYPE DE PIECE]],Tableau4[MATIERE],Tableau4[SHORT TYPE],"",0,1)</f>
        <v/>
      </c>
      <c r="N6389">
        <f>IF(ISERR(FIND("DECOUPE",Tableau1[[#This Row],[DESIGNATION]])),"","NEED REF")</f>
        <v/>
      </c>
    </row>
    <row r="6390">
      <c r="B6390" t="n">
        <v>34407615</v>
      </c>
      <c r="C6390" s="2" t="n"/>
      <c r="L6390">
        <f>_xlfn.XLOOKUP(Tableau1[[#This Row],[TYPE DE PIECE]],Tableau4[MATIERE],Tableau4[SHORT TYPE],"",0,1)</f>
        <v/>
      </c>
      <c r="N6390">
        <f>IF(ISERR(FIND("DECOUPE",Tableau1[[#This Row],[DESIGNATION]])),"","NEED REF")</f>
        <v/>
      </c>
    </row>
    <row r="6391">
      <c r="B6391" t="n">
        <v>34407614</v>
      </c>
      <c r="C6391" s="2" t="n"/>
      <c r="L6391">
        <f>_xlfn.XLOOKUP(Tableau1[[#This Row],[TYPE DE PIECE]],Tableau4[MATIERE],Tableau4[SHORT TYPE],"",0,1)</f>
        <v/>
      </c>
      <c r="N6391">
        <f>IF(ISERR(FIND("DECOUPE",Tableau1[[#This Row],[DESIGNATION]])),"","NEED REF")</f>
        <v/>
      </c>
    </row>
    <row r="6392">
      <c r="B6392" t="n">
        <v>34407613</v>
      </c>
      <c r="C6392" s="2" t="n"/>
      <c r="L6392">
        <f>_xlfn.XLOOKUP(Tableau1[[#This Row],[TYPE DE PIECE]],Tableau4[MATIERE],Tableau4[SHORT TYPE],"",0,1)</f>
        <v/>
      </c>
      <c r="N6392">
        <f>IF(ISERR(FIND("DECOUPE",Tableau1[[#This Row],[DESIGNATION]])),"","NEED REF")</f>
        <v/>
      </c>
    </row>
    <row r="6393">
      <c r="B6393" t="n">
        <v>34407612</v>
      </c>
      <c r="C6393" s="2" t="n"/>
      <c r="L6393">
        <f>_xlfn.XLOOKUP(Tableau1[[#This Row],[TYPE DE PIECE]],Tableau4[MATIERE],Tableau4[SHORT TYPE],"",0,1)</f>
        <v/>
      </c>
      <c r="N6393">
        <f>IF(ISERR(FIND("DECOUPE",Tableau1[[#This Row],[DESIGNATION]])),"","NEED REF")</f>
        <v/>
      </c>
    </row>
    <row r="6394">
      <c r="B6394" t="n">
        <v>34407611</v>
      </c>
      <c r="C6394" s="2" t="n"/>
      <c r="L6394">
        <f>_xlfn.XLOOKUP(Tableau1[[#This Row],[TYPE DE PIECE]],Tableau4[MATIERE],Tableau4[SHORT TYPE],"",0,1)</f>
        <v/>
      </c>
      <c r="N6394">
        <f>IF(ISERR(FIND("DECOUPE",Tableau1[[#This Row],[DESIGNATION]])),"","NEED REF")</f>
        <v/>
      </c>
    </row>
    <row r="6395">
      <c r="B6395" t="n">
        <v>34407610</v>
      </c>
      <c r="C6395" s="2" t="n"/>
      <c r="L6395">
        <f>_xlfn.XLOOKUP(Tableau1[[#This Row],[TYPE DE PIECE]],Tableau4[MATIERE],Tableau4[SHORT TYPE],"",0,1)</f>
        <v/>
      </c>
      <c r="N6395">
        <f>IF(ISERR(FIND("DECOUPE",Tableau1[[#This Row],[DESIGNATION]])),"","NEED REF")</f>
        <v/>
      </c>
    </row>
    <row r="6396">
      <c r="B6396" t="n">
        <v>34407609</v>
      </c>
      <c r="C6396" s="2" t="n"/>
      <c r="L6396">
        <f>_xlfn.XLOOKUP(Tableau1[[#This Row],[TYPE DE PIECE]],Tableau4[MATIERE],Tableau4[SHORT TYPE],"",0,1)</f>
        <v/>
      </c>
      <c r="N6396">
        <f>IF(ISERR(FIND("DECOUPE",Tableau1[[#This Row],[DESIGNATION]])),"","NEED REF")</f>
        <v/>
      </c>
    </row>
    <row r="6397">
      <c r="B6397" t="n">
        <v>34407608</v>
      </c>
      <c r="C6397" s="2" t="n"/>
      <c r="L6397">
        <f>_xlfn.XLOOKUP(Tableau1[[#This Row],[TYPE DE PIECE]],Tableau4[MATIERE],Tableau4[SHORT TYPE],"",0,1)</f>
        <v/>
      </c>
      <c r="N6397">
        <f>IF(ISERR(FIND("DECOUPE",Tableau1[[#This Row],[DESIGNATION]])),"","NEED REF")</f>
        <v/>
      </c>
    </row>
    <row r="6398">
      <c r="B6398" t="n">
        <v>34407607</v>
      </c>
      <c r="C6398" s="2" t="n"/>
      <c r="L6398">
        <f>_xlfn.XLOOKUP(Tableau1[[#This Row],[TYPE DE PIECE]],Tableau4[MATIERE],Tableau4[SHORT TYPE],"",0,1)</f>
        <v/>
      </c>
      <c r="N6398">
        <f>IF(ISERR(FIND("DECOUPE",Tableau1[[#This Row],[DESIGNATION]])),"","NEED REF")</f>
        <v/>
      </c>
    </row>
    <row r="6399">
      <c r="B6399" t="n">
        <v>34407606</v>
      </c>
      <c r="C6399" s="2" t="n"/>
      <c r="L6399">
        <f>_xlfn.XLOOKUP(Tableau1[[#This Row],[TYPE DE PIECE]],Tableau4[MATIERE],Tableau4[SHORT TYPE],"",0,1)</f>
        <v/>
      </c>
      <c r="N6399">
        <f>IF(ISERR(FIND("DECOUPE",Tableau1[[#This Row],[DESIGNATION]])),"","NEED REF")</f>
        <v/>
      </c>
    </row>
    <row r="6400">
      <c r="B6400" t="n">
        <v>34407605</v>
      </c>
      <c r="C6400" s="2" t="n"/>
      <c r="L6400">
        <f>_xlfn.XLOOKUP(Tableau1[[#This Row],[TYPE DE PIECE]],Tableau4[MATIERE],Tableau4[SHORT TYPE],"",0,1)</f>
        <v/>
      </c>
      <c r="N6400">
        <f>IF(ISERR(FIND("DECOUPE",Tableau1[[#This Row],[DESIGNATION]])),"","NEED REF")</f>
        <v/>
      </c>
    </row>
    <row r="6401">
      <c r="B6401" t="n">
        <v>34407604</v>
      </c>
      <c r="C6401" s="2" t="n"/>
      <c r="L6401">
        <f>_xlfn.XLOOKUP(Tableau1[[#This Row],[TYPE DE PIECE]],Tableau4[MATIERE],Tableau4[SHORT TYPE],"",0,1)</f>
        <v/>
      </c>
      <c r="N6401">
        <f>IF(ISERR(FIND("DECOUPE",Tableau1[[#This Row],[DESIGNATION]])),"","NEED REF")</f>
        <v/>
      </c>
    </row>
    <row r="6402">
      <c r="B6402" t="n">
        <v>34407603</v>
      </c>
      <c r="C6402" s="2" t="n"/>
      <c r="L6402">
        <f>_xlfn.XLOOKUP(Tableau1[[#This Row],[TYPE DE PIECE]],Tableau4[MATIERE],Tableau4[SHORT TYPE],"",0,1)</f>
        <v/>
      </c>
      <c r="N6402">
        <f>IF(ISERR(FIND("DECOUPE",Tableau1[[#This Row],[DESIGNATION]])),"","NEED REF")</f>
        <v/>
      </c>
    </row>
    <row r="6403">
      <c r="B6403" t="n">
        <v>34407602</v>
      </c>
      <c r="C6403" s="2" t="n"/>
      <c r="L6403">
        <f>_xlfn.XLOOKUP(Tableau1[[#This Row],[TYPE DE PIECE]],Tableau4[MATIERE],Tableau4[SHORT TYPE],"",0,1)</f>
        <v/>
      </c>
      <c r="N6403">
        <f>IF(ISERR(FIND("DECOUPE",Tableau1[[#This Row],[DESIGNATION]])),"","NEED REF")</f>
        <v/>
      </c>
    </row>
    <row r="6404">
      <c r="B6404" t="n">
        <v>34407601</v>
      </c>
      <c r="C6404" s="2" t="n"/>
      <c r="L6404">
        <f>_xlfn.XLOOKUP(Tableau1[[#This Row],[TYPE DE PIECE]],Tableau4[MATIERE],Tableau4[SHORT TYPE],"",0,1)</f>
        <v/>
      </c>
      <c r="N6404">
        <f>IF(ISERR(FIND("DECOUPE",Tableau1[[#This Row],[DESIGNATION]])),"","NEED REF")</f>
        <v/>
      </c>
    </row>
    <row r="6405">
      <c r="B6405" t="n">
        <v>34407600</v>
      </c>
      <c r="C6405" s="2" t="n"/>
      <c r="L6405">
        <f>_xlfn.XLOOKUP(Tableau1[[#This Row],[TYPE DE PIECE]],Tableau4[MATIERE],Tableau4[SHORT TYPE],"",0,1)</f>
        <v/>
      </c>
      <c r="N6405">
        <f>IF(ISERR(FIND("DECOUPE",Tableau1[[#This Row],[DESIGNATION]])),"","NEED REF")</f>
        <v/>
      </c>
    </row>
    <row r="6406">
      <c r="B6406" t="n">
        <v>34407599</v>
      </c>
      <c r="C6406" s="2" t="n"/>
      <c r="L6406">
        <f>_xlfn.XLOOKUP(Tableau1[[#This Row],[TYPE DE PIECE]],Tableau4[MATIERE],Tableau4[SHORT TYPE],"",0,1)</f>
        <v/>
      </c>
      <c r="N6406">
        <f>IF(ISERR(FIND("DECOUPE",Tableau1[[#This Row],[DESIGNATION]])),"","NEED REF")</f>
        <v/>
      </c>
    </row>
    <row r="6407">
      <c r="B6407" t="n">
        <v>34407598</v>
      </c>
      <c r="C6407" s="2" t="n"/>
      <c r="L6407">
        <f>_xlfn.XLOOKUP(Tableau1[[#This Row],[TYPE DE PIECE]],Tableau4[MATIERE],Tableau4[SHORT TYPE],"",0,1)</f>
        <v/>
      </c>
      <c r="N6407">
        <f>IF(ISERR(FIND("DECOUPE",Tableau1[[#This Row],[DESIGNATION]])),"","NEED REF")</f>
        <v/>
      </c>
    </row>
    <row r="6408">
      <c r="B6408" t="n">
        <v>34407597</v>
      </c>
      <c r="C6408" s="2" t="n"/>
      <c r="L6408">
        <f>_xlfn.XLOOKUP(Tableau1[[#This Row],[TYPE DE PIECE]],Tableau4[MATIERE],Tableau4[SHORT TYPE],"",0,1)</f>
        <v/>
      </c>
      <c r="N6408">
        <f>IF(ISERR(FIND("DECOUPE",Tableau1[[#This Row],[DESIGNATION]])),"","NEED REF")</f>
        <v/>
      </c>
    </row>
    <row r="6409">
      <c r="B6409" t="n">
        <v>34407596</v>
      </c>
      <c r="C6409" s="2" t="n"/>
      <c r="L6409">
        <f>_xlfn.XLOOKUP(Tableau1[[#This Row],[TYPE DE PIECE]],Tableau4[MATIERE],Tableau4[SHORT TYPE],"",0,1)</f>
        <v/>
      </c>
      <c r="N6409">
        <f>IF(ISERR(FIND("DECOUPE",Tableau1[[#This Row],[DESIGNATION]])),"","NEED REF")</f>
        <v/>
      </c>
    </row>
    <row r="6410">
      <c r="B6410" t="n">
        <v>34407595</v>
      </c>
      <c r="C6410" s="2" t="n"/>
      <c r="L6410">
        <f>_xlfn.XLOOKUP(Tableau1[[#This Row],[TYPE DE PIECE]],Tableau4[MATIERE],Tableau4[SHORT TYPE],"",0,1)</f>
        <v/>
      </c>
      <c r="N6410">
        <f>IF(ISERR(FIND("DECOUPE",Tableau1[[#This Row],[DESIGNATION]])),"","NEED REF")</f>
        <v/>
      </c>
    </row>
    <row r="6411">
      <c r="B6411" t="n">
        <v>34407594</v>
      </c>
      <c r="C6411" s="2" t="n"/>
      <c r="L6411">
        <f>_xlfn.XLOOKUP(Tableau1[[#This Row],[TYPE DE PIECE]],Tableau4[MATIERE],Tableau4[SHORT TYPE],"",0,1)</f>
        <v/>
      </c>
      <c r="N6411">
        <f>IF(ISERR(FIND("DECOUPE",Tableau1[[#This Row],[DESIGNATION]])),"","NEED REF")</f>
        <v/>
      </c>
    </row>
    <row r="6412">
      <c r="B6412" t="n">
        <v>34407593</v>
      </c>
      <c r="C6412" s="2" t="n"/>
      <c r="L6412">
        <f>_xlfn.XLOOKUP(Tableau1[[#This Row],[TYPE DE PIECE]],Tableau4[MATIERE],Tableau4[SHORT TYPE],"",0,1)</f>
        <v/>
      </c>
      <c r="N6412">
        <f>IF(ISERR(FIND("DECOUPE",Tableau1[[#This Row],[DESIGNATION]])),"","NEED REF")</f>
        <v/>
      </c>
    </row>
    <row r="6413">
      <c r="B6413" t="n">
        <v>34407592</v>
      </c>
      <c r="C6413" s="2" t="n"/>
      <c r="L6413">
        <f>_xlfn.XLOOKUP(Tableau1[[#This Row],[TYPE DE PIECE]],Tableau4[MATIERE],Tableau4[SHORT TYPE],"",0,1)</f>
        <v/>
      </c>
      <c r="N6413">
        <f>IF(ISERR(FIND("DECOUPE",Tableau1[[#This Row],[DESIGNATION]])),"","NEED REF")</f>
        <v/>
      </c>
    </row>
    <row r="6414">
      <c r="B6414" t="n">
        <v>34407591</v>
      </c>
      <c r="C6414" s="2" t="n"/>
      <c r="L6414">
        <f>_xlfn.XLOOKUP(Tableau1[[#This Row],[TYPE DE PIECE]],Tableau4[MATIERE],Tableau4[SHORT TYPE],"",0,1)</f>
        <v/>
      </c>
      <c r="N6414">
        <f>IF(ISERR(FIND("DECOUPE",Tableau1[[#This Row],[DESIGNATION]])),"","NEED REF")</f>
        <v/>
      </c>
    </row>
    <row r="6415">
      <c r="B6415" t="n">
        <v>34407590</v>
      </c>
      <c r="C6415" s="2" t="n"/>
      <c r="L6415">
        <f>_xlfn.XLOOKUP(Tableau1[[#This Row],[TYPE DE PIECE]],Tableau4[MATIERE],Tableau4[SHORT TYPE],"",0,1)</f>
        <v/>
      </c>
      <c r="N6415">
        <f>IF(ISERR(FIND("DECOUPE",Tableau1[[#This Row],[DESIGNATION]])),"","NEED REF")</f>
        <v/>
      </c>
    </row>
    <row r="6416">
      <c r="B6416" t="n">
        <v>34407589</v>
      </c>
      <c r="C6416" s="2" t="n"/>
      <c r="L6416">
        <f>_xlfn.XLOOKUP(Tableau1[[#This Row],[TYPE DE PIECE]],Tableau4[MATIERE],Tableau4[SHORT TYPE],"",0,1)</f>
        <v/>
      </c>
      <c r="N6416">
        <f>IF(ISERR(FIND("DECOUPE",Tableau1[[#This Row],[DESIGNATION]])),"","NEED REF")</f>
        <v/>
      </c>
    </row>
    <row r="6417">
      <c r="B6417" t="n">
        <v>34407588</v>
      </c>
      <c r="C6417" s="2" t="n"/>
      <c r="L6417">
        <f>_xlfn.XLOOKUP(Tableau1[[#This Row],[TYPE DE PIECE]],Tableau4[MATIERE],Tableau4[SHORT TYPE],"",0,1)</f>
        <v/>
      </c>
      <c r="N6417">
        <f>IF(ISERR(FIND("DECOUPE",Tableau1[[#This Row],[DESIGNATION]])),"","NEED REF")</f>
        <v/>
      </c>
    </row>
    <row r="6418">
      <c r="B6418" t="n">
        <v>34407587</v>
      </c>
      <c r="C6418" s="2" t="n"/>
      <c r="L6418">
        <f>_xlfn.XLOOKUP(Tableau1[[#This Row],[TYPE DE PIECE]],Tableau4[MATIERE],Tableau4[SHORT TYPE],"",0,1)</f>
        <v/>
      </c>
      <c r="N6418">
        <f>IF(ISERR(FIND("DECOUPE",Tableau1[[#This Row],[DESIGNATION]])),"","NEED REF")</f>
        <v/>
      </c>
    </row>
    <row r="6419">
      <c r="B6419" t="n">
        <v>34407586</v>
      </c>
      <c r="C6419" s="2" t="n"/>
      <c r="L6419">
        <f>_xlfn.XLOOKUP(Tableau1[[#This Row],[TYPE DE PIECE]],Tableau4[MATIERE],Tableau4[SHORT TYPE],"",0,1)</f>
        <v/>
      </c>
      <c r="N6419">
        <f>IF(ISERR(FIND("DECOUPE",Tableau1[[#This Row],[DESIGNATION]])),"","NEED REF")</f>
        <v/>
      </c>
    </row>
    <row r="6420">
      <c r="B6420" t="n">
        <v>34407585</v>
      </c>
      <c r="C6420" s="2" t="n"/>
      <c r="L6420">
        <f>_xlfn.XLOOKUP(Tableau1[[#This Row],[TYPE DE PIECE]],Tableau4[MATIERE],Tableau4[SHORT TYPE],"",0,1)</f>
        <v/>
      </c>
      <c r="N6420">
        <f>IF(ISERR(FIND("DECOUPE",Tableau1[[#This Row],[DESIGNATION]])),"","NEED REF")</f>
        <v/>
      </c>
    </row>
    <row r="6421">
      <c r="B6421" t="n">
        <v>34407584</v>
      </c>
      <c r="C6421" s="2" t="n"/>
      <c r="L6421">
        <f>_xlfn.XLOOKUP(Tableau1[[#This Row],[TYPE DE PIECE]],Tableau4[MATIERE],Tableau4[SHORT TYPE],"",0,1)</f>
        <v/>
      </c>
      <c r="N6421">
        <f>IF(ISERR(FIND("DECOUPE",Tableau1[[#This Row],[DESIGNATION]])),"","NEED REF")</f>
        <v/>
      </c>
    </row>
    <row r="6422">
      <c r="B6422" t="n">
        <v>34407583</v>
      </c>
      <c r="C6422" s="2" t="n"/>
      <c r="L6422">
        <f>_xlfn.XLOOKUP(Tableau1[[#This Row],[TYPE DE PIECE]],Tableau4[MATIERE],Tableau4[SHORT TYPE],"",0,1)</f>
        <v/>
      </c>
      <c r="N6422">
        <f>IF(ISERR(FIND("DECOUPE",Tableau1[[#This Row],[DESIGNATION]])),"","NEED REF")</f>
        <v/>
      </c>
    </row>
    <row r="6423">
      <c r="B6423" t="n">
        <v>34407582</v>
      </c>
      <c r="C6423" s="2" t="n"/>
      <c r="L6423">
        <f>_xlfn.XLOOKUP(Tableau1[[#This Row],[TYPE DE PIECE]],Tableau4[MATIERE],Tableau4[SHORT TYPE],"",0,1)</f>
        <v/>
      </c>
      <c r="N6423">
        <f>IF(ISERR(FIND("DECOUPE",Tableau1[[#This Row],[DESIGNATION]])),"","NEED REF")</f>
        <v/>
      </c>
    </row>
    <row r="6424">
      <c r="B6424" t="n">
        <v>34407581</v>
      </c>
      <c r="C6424" s="2" t="n"/>
      <c r="L6424">
        <f>_xlfn.XLOOKUP(Tableau1[[#This Row],[TYPE DE PIECE]],Tableau4[MATIERE],Tableau4[SHORT TYPE],"",0,1)</f>
        <v/>
      </c>
      <c r="N6424">
        <f>IF(ISERR(FIND("DECOUPE",Tableau1[[#This Row],[DESIGNATION]])),"","NEED REF")</f>
        <v/>
      </c>
    </row>
    <row r="6425">
      <c r="B6425" t="n">
        <v>34407580</v>
      </c>
      <c r="C6425" s="2" t="n"/>
      <c r="L6425">
        <f>_xlfn.XLOOKUP(Tableau1[[#This Row],[TYPE DE PIECE]],Tableau4[MATIERE],Tableau4[SHORT TYPE],"",0,1)</f>
        <v/>
      </c>
      <c r="N6425">
        <f>IF(ISERR(FIND("DECOUPE",Tableau1[[#This Row],[DESIGNATION]])),"","NEED REF")</f>
        <v/>
      </c>
    </row>
    <row r="6426">
      <c r="B6426" t="n">
        <v>34407579</v>
      </c>
      <c r="C6426" s="2" t="n"/>
      <c r="L6426">
        <f>_xlfn.XLOOKUP(Tableau1[[#This Row],[TYPE DE PIECE]],Tableau4[MATIERE],Tableau4[SHORT TYPE],"",0,1)</f>
        <v/>
      </c>
      <c r="N6426">
        <f>IF(ISERR(FIND("DECOUPE",Tableau1[[#This Row],[DESIGNATION]])),"","NEED REF")</f>
        <v/>
      </c>
    </row>
    <row r="6427">
      <c r="B6427" t="n">
        <v>34407578</v>
      </c>
      <c r="C6427" s="2" t="n"/>
      <c r="L6427">
        <f>_xlfn.XLOOKUP(Tableau1[[#This Row],[TYPE DE PIECE]],Tableau4[MATIERE],Tableau4[SHORT TYPE],"",0,1)</f>
        <v/>
      </c>
      <c r="N6427">
        <f>IF(ISERR(FIND("DECOUPE",Tableau1[[#This Row],[DESIGNATION]])),"","NEED REF")</f>
        <v/>
      </c>
    </row>
    <row r="6428">
      <c r="B6428" t="n">
        <v>34407577</v>
      </c>
      <c r="C6428" s="2" t="n"/>
      <c r="L6428">
        <f>_xlfn.XLOOKUP(Tableau1[[#This Row],[TYPE DE PIECE]],Tableau4[MATIERE],Tableau4[SHORT TYPE],"",0,1)</f>
        <v/>
      </c>
      <c r="N6428">
        <f>IF(ISERR(FIND("DECOUPE",Tableau1[[#This Row],[DESIGNATION]])),"","NEED REF")</f>
        <v/>
      </c>
    </row>
    <row r="6429">
      <c r="B6429" t="n">
        <v>34407576</v>
      </c>
      <c r="C6429" s="2" t="n"/>
      <c r="L6429">
        <f>_xlfn.XLOOKUP(Tableau1[[#This Row],[TYPE DE PIECE]],Tableau4[MATIERE],Tableau4[SHORT TYPE],"",0,1)</f>
        <v/>
      </c>
      <c r="N6429">
        <f>IF(ISERR(FIND("DECOUPE",Tableau1[[#This Row],[DESIGNATION]])),"","NEED REF")</f>
        <v/>
      </c>
    </row>
    <row r="6430">
      <c r="B6430" t="n">
        <v>34407575</v>
      </c>
      <c r="C6430" s="2" t="n"/>
      <c r="L6430">
        <f>_xlfn.XLOOKUP(Tableau1[[#This Row],[TYPE DE PIECE]],Tableau4[MATIERE],Tableau4[SHORT TYPE],"",0,1)</f>
        <v/>
      </c>
      <c r="N6430">
        <f>IF(ISERR(FIND("DECOUPE",Tableau1[[#This Row],[DESIGNATION]])),"","NEED REF")</f>
        <v/>
      </c>
    </row>
    <row r="6431">
      <c r="B6431" t="n">
        <v>34407574</v>
      </c>
      <c r="C6431" s="2" t="n"/>
      <c r="L6431">
        <f>_xlfn.XLOOKUP(Tableau1[[#This Row],[TYPE DE PIECE]],Tableau4[MATIERE],Tableau4[SHORT TYPE],"",0,1)</f>
        <v/>
      </c>
      <c r="N6431">
        <f>IF(ISERR(FIND("DECOUPE",Tableau1[[#This Row],[DESIGNATION]])),"","NEED REF")</f>
        <v/>
      </c>
    </row>
    <row r="6432">
      <c r="B6432" t="n">
        <v>34407573</v>
      </c>
      <c r="C6432" s="2" t="n"/>
      <c r="L6432">
        <f>_xlfn.XLOOKUP(Tableau1[[#This Row],[TYPE DE PIECE]],Tableau4[MATIERE],Tableau4[SHORT TYPE],"",0,1)</f>
        <v/>
      </c>
      <c r="N6432">
        <f>IF(ISERR(FIND("DECOUPE",Tableau1[[#This Row],[DESIGNATION]])),"","NEED REF")</f>
        <v/>
      </c>
    </row>
    <row r="6433">
      <c r="B6433" t="n">
        <v>34407572</v>
      </c>
      <c r="C6433" s="2" t="n"/>
      <c r="L6433">
        <f>_xlfn.XLOOKUP(Tableau1[[#This Row],[TYPE DE PIECE]],Tableau4[MATIERE],Tableau4[SHORT TYPE],"",0,1)</f>
        <v/>
      </c>
      <c r="N6433">
        <f>IF(ISERR(FIND("DECOUPE",Tableau1[[#This Row],[DESIGNATION]])),"","NEED REF")</f>
        <v/>
      </c>
    </row>
    <row r="6434">
      <c r="B6434" t="n">
        <v>34407571</v>
      </c>
      <c r="C6434" s="2" t="n"/>
      <c r="L6434">
        <f>_xlfn.XLOOKUP(Tableau1[[#This Row],[TYPE DE PIECE]],Tableau4[MATIERE],Tableau4[SHORT TYPE],"",0,1)</f>
        <v/>
      </c>
      <c r="N6434">
        <f>IF(ISERR(FIND("DECOUPE",Tableau1[[#This Row],[DESIGNATION]])),"","NEED REF")</f>
        <v/>
      </c>
    </row>
    <row r="6435">
      <c r="B6435" t="n">
        <v>34407570</v>
      </c>
      <c r="C6435" s="2" t="n"/>
      <c r="L6435">
        <f>_xlfn.XLOOKUP(Tableau1[[#This Row],[TYPE DE PIECE]],Tableau4[MATIERE],Tableau4[SHORT TYPE],"",0,1)</f>
        <v/>
      </c>
      <c r="N6435">
        <f>IF(ISERR(FIND("DECOUPE",Tableau1[[#This Row],[DESIGNATION]])),"","NEED REF")</f>
        <v/>
      </c>
    </row>
    <row r="6436">
      <c r="B6436" t="n">
        <v>34407569</v>
      </c>
      <c r="C6436" s="2" t="n"/>
      <c r="L6436">
        <f>_xlfn.XLOOKUP(Tableau1[[#This Row],[TYPE DE PIECE]],Tableau4[MATIERE],Tableau4[SHORT TYPE],"",0,1)</f>
        <v/>
      </c>
      <c r="N6436">
        <f>IF(ISERR(FIND("DECOUPE",Tableau1[[#This Row],[DESIGNATION]])),"","NEED REF")</f>
        <v/>
      </c>
    </row>
    <row r="6437">
      <c r="B6437" t="n">
        <v>34407568</v>
      </c>
      <c r="C6437" s="2" t="n"/>
      <c r="L6437">
        <f>_xlfn.XLOOKUP(Tableau1[[#This Row],[TYPE DE PIECE]],Tableau4[MATIERE],Tableau4[SHORT TYPE],"",0,1)</f>
        <v/>
      </c>
      <c r="N6437">
        <f>IF(ISERR(FIND("DECOUPE",Tableau1[[#This Row],[DESIGNATION]])),"","NEED REF")</f>
        <v/>
      </c>
    </row>
    <row r="6438">
      <c r="B6438" t="n">
        <v>34407567</v>
      </c>
      <c r="C6438" s="2" t="n"/>
      <c r="L6438">
        <f>_xlfn.XLOOKUP(Tableau1[[#This Row],[TYPE DE PIECE]],Tableau4[MATIERE],Tableau4[SHORT TYPE],"",0,1)</f>
        <v/>
      </c>
      <c r="N6438">
        <f>IF(ISERR(FIND("DECOUPE",Tableau1[[#This Row],[DESIGNATION]])),"","NEED REF")</f>
        <v/>
      </c>
    </row>
    <row r="6439">
      <c r="B6439" t="n">
        <v>34407566</v>
      </c>
      <c r="C6439" s="2" t="n"/>
      <c r="L6439">
        <f>_xlfn.XLOOKUP(Tableau1[[#This Row],[TYPE DE PIECE]],Tableau4[MATIERE],Tableau4[SHORT TYPE],"",0,1)</f>
        <v/>
      </c>
      <c r="N6439">
        <f>IF(ISERR(FIND("DECOUPE",Tableau1[[#This Row],[DESIGNATION]])),"","NEED REF")</f>
        <v/>
      </c>
    </row>
    <row r="6440">
      <c r="B6440" t="n">
        <v>34407565</v>
      </c>
      <c r="C6440" s="2" t="n"/>
      <c r="L6440">
        <f>_xlfn.XLOOKUP(Tableau1[[#This Row],[TYPE DE PIECE]],Tableau4[MATIERE],Tableau4[SHORT TYPE],"",0,1)</f>
        <v/>
      </c>
      <c r="N6440">
        <f>IF(ISERR(FIND("DECOUPE",Tableau1[[#This Row],[DESIGNATION]])),"","NEED REF")</f>
        <v/>
      </c>
    </row>
    <row r="6441">
      <c r="B6441" t="n">
        <v>34407564</v>
      </c>
      <c r="C6441" s="2" t="n"/>
      <c r="L6441">
        <f>_xlfn.XLOOKUP(Tableau1[[#This Row],[TYPE DE PIECE]],Tableau4[MATIERE],Tableau4[SHORT TYPE],"",0,1)</f>
        <v/>
      </c>
      <c r="N6441">
        <f>IF(ISERR(FIND("DECOUPE",Tableau1[[#This Row],[DESIGNATION]])),"","NEED REF")</f>
        <v/>
      </c>
    </row>
    <row r="6442">
      <c r="B6442" t="n">
        <v>34407563</v>
      </c>
      <c r="C6442" s="2" t="n"/>
      <c r="L6442">
        <f>_xlfn.XLOOKUP(Tableau1[[#This Row],[TYPE DE PIECE]],Tableau4[MATIERE],Tableau4[SHORT TYPE],"",0,1)</f>
        <v/>
      </c>
      <c r="N6442">
        <f>IF(ISERR(FIND("DECOUPE",Tableau1[[#This Row],[DESIGNATION]])),"","NEED REF")</f>
        <v/>
      </c>
    </row>
    <row r="6443">
      <c r="B6443" t="n">
        <v>34407562</v>
      </c>
      <c r="C6443" s="2" t="n"/>
      <c r="L6443">
        <f>_xlfn.XLOOKUP(Tableau1[[#This Row],[TYPE DE PIECE]],Tableau4[MATIERE],Tableau4[SHORT TYPE],"",0,1)</f>
        <v/>
      </c>
      <c r="N6443">
        <f>IF(ISERR(FIND("DECOUPE",Tableau1[[#This Row],[DESIGNATION]])),"","NEED REF")</f>
        <v/>
      </c>
    </row>
    <row r="6444">
      <c r="B6444" t="n">
        <v>34407561</v>
      </c>
      <c r="C6444" s="2" t="n"/>
      <c r="L6444">
        <f>_xlfn.XLOOKUP(Tableau1[[#This Row],[TYPE DE PIECE]],Tableau4[MATIERE],Tableau4[SHORT TYPE],"",0,1)</f>
        <v/>
      </c>
      <c r="N6444">
        <f>IF(ISERR(FIND("DECOUPE",Tableau1[[#This Row],[DESIGNATION]])),"","NEED REF")</f>
        <v/>
      </c>
    </row>
    <row r="6445">
      <c r="B6445" t="n">
        <v>34407560</v>
      </c>
      <c r="C6445" s="2" t="n"/>
      <c r="L6445">
        <f>_xlfn.XLOOKUP(Tableau1[[#This Row],[TYPE DE PIECE]],Tableau4[MATIERE],Tableau4[SHORT TYPE],"",0,1)</f>
        <v/>
      </c>
      <c r="N6445">
        <f>IF(ISERR(FIND("DECOUPE",Tableau1[[#This Row],[DESIGNATION]])),"","NEED REF")</f>
        <v/>
      </c>
    </row>
    <row r="6446">
      <c r="B6446" t="n">
        <v>34407559</v>
      </c>
      <c r="C6446" s="2" t="n"/>
      <c r="L6446">
        <f>_xlfn.XLOOKUP(Tableau1[[#This Row],[TYPE DE PIECE]],Tableau4[MATIERE],Tableau4[SHORT TYPE],"",0,1)</f>
        <v/>
      </c>
      <c r="N6446">
        <f>IF(ISERR(FIND("DECOUPE",Tableau1[[#This Row],[DESIGNATION]])),"","NEED REF")</f>
        <v/>
      </c>
    </row>
    <row r="6447">
      <c r="B6447" t="n">
        <v>34407558</v>
      </c>
      <c r="C6447" s="2" t="n"/>
      <c r="L6447">
        <f>_xlfn.XLOOKUP(Tableau1[[#This Row],[TYPE DE PIECE]],Tableau4[MATIERE],Tableau4[SHORT TYPE],"",0,1)</f>
        <v/>
      </c>
      <c r="N6447">
        <f>IF(ISERR(FIND("DECOUPE",Tableau1[[#This Row],[DESIGNATION]])),"","NEED REF")</f>
        <v/>
      </c>
    </row>
    <row r="6448">
      <c r="B6448" t="n">
        <v>34407557</v>
      </c>
      <c r="C6448" s="2" t="n"/>
      <c r="L6448">
        <f>_xlfn.XLOOKUP(Tableau1[[#This Row],[TYPE DE PIECE]],Tableau4[MATIERE],Tableau4[SHORT TYPE],"",0,1)</f>
        <v/>
      </c>
      <c r="N6448">
        <f>IF(ISERR(FIND("DECOUPE",Tableau1[[#This Row],[DESIGNATION]])),"","NEED REF")</f>
        <v/>
      </c>
    </row>
    <row r="6449">
      <c r="B6449" t="n">
        <v>34407556</v>
      </c>
      <c r="C6449" s="2" t="n"/>
      <c r="L6449">
        <f>_xlfn.XLOOKUP(Tableau1[[#This Row],[TYPE DE PIECE]],Tableau4[MATIERE],Tableau4[SHORT TYPE],"",0,1)</f>
        <v/>
      </c>
      <c r="N6449">
        <f>IF(ISERR(FIND("DECOUPE",Tableau1[[#This Row],[DESIGNATION]])),"","NEED REF")</f>
        <v/>
      </c>
    </row>
    <row r="6450">
      <c r="B6450" t="n">
        <v>34407555</v>
      </c>
      <c r="C6450" s="2" t="n"/>
      <c r="L6450">
        <f>_xlfn.XLOOKUP(Tableau1[[#This Row],[TYPE DE PIECE]],Tableau4[MATIERE],Tableau4[SHORT TYPE],"",0,1)</f>
        <v/>
      </c>
      <c r="N6450">
        <f>IF(ISERR(FIND("DECOUPE",Tableau1[[#This Row],[DESIGNATION]])),"","NEED REF")</f>
        <v/>
      </c>
    </row>
    <row r="6451">
      <c r="B6451" t="n">
        <v>34407554</v>
      </c>
      <c r="C6451" s="2" t="n"/>
      <c r="L6451">
        <f>_xlfn.XLOOKUP(Tableau1[[#This Row],[TYPE DE PIECE]],Tableau4[MATIERE],Tableau4[SHORT TYPE],"",0,1)</f>
        <v/>
      </c>
      <c r="N6451">
        <f>IF(ISERR(FIND("DECOUPE",Tableau1[[#This Row],[DESIGNATION]])),"","NEED REF")</f>
        <v/>
      </c>
    </row>
    <row r="6452">
      <c r="B6452" t="n">
        <v>34407553</v>
      </c>
      <c r="C6452" s="2" t="n"/>
      <c r="E6452" t="inlineStr">
        <is>
          <t>KIT FILERIE COFFRET COM THERMAL SENSING GVX en coffret SYM RAL9003</t>
        </is>
      </c>
      <c r="F6452" t="inlineStr">
        <is>
          <t>GVX - COFFRET COM sur toit I/O</t>
        </is>
      </c>
      <c r="J6452" t="inlineStr">
        <is>
          <t>MONGELLI</t>
        </is>
      </c>
      <c r="K6452" t="inlineStr">
        <is>
          <t>FILERIE</t>
        </is>
      </c>
      <c r="L6452">
        <f>_xlfn.XLOOKUP(Tableau1[[#This Row],[TYPE DE PIECE]],Tableau4[MATIERE],Tableau4[SHORT TYPE],"",0,1)</f>
        <v/>
      </c>
      <c r="N6452">
        <f>IF(ISERR(FIND("DECOUPE",Tableau1[[#This Row],[DESIGNATION]])),"","NEED REF")</f>
        <v/>
      </c>
    </row>
    <row r="6453">
      <c r="B6453" t="n">
        <v>34407552</v>
      </c>
      <c r="C6453" s="2" t="n"/>
      <c r="E6453" t="inlineStr">
        <is>
          <t xml:space="preserve">COP S LIAISON LOAD 2 </t>
        </is>
      </c>
      <c r="F6453" t="inlineStr">
        <is>
          <t>GVX IO 1500</t>
        </is>
      </c>
      <c r="J6453" t="inlineStr">
        <is>
          <t>MATRION</t>
        </is>
      </c>
      <c r="L6453">
        <f>_xlfn.XLOOKUP(Tableau1[[#This Row],[TYPE DE PIECE]],Tableau4[MATIERE],Tableau4[SHORT TYPE],"",0,1)</f>
        <v/>
      </c>
      <c r="N6453">
        <f>IF(ISERR(FIND("DECOUPE",Tableau1[[#This Row],[DESIGNATION]])),"","NEED REF")</f>
        <v/>
      </c>
    </row>
    <row r="6454">
      <c r="B6454" t="n">
        <v>34407551</v>
      </c>
      <c r="C6454" s="2" t="n"/>
      <c r="E6454" t="inlineStr">
        <is>
          <t>COP S LIAISON LOAD 1</t>
        </is>
      </c>
      <c r="F6454" t="inlineStr">
        <is>
          <t>GVX IO 1500</t>
        </is>
      </c>
      <c r="J6454" t="inlineStr">
        <is>
          <t>MATRION</t>
        </is>
      </c>
      <c r="L6454">
        <f>_xlfn.XLOOKUP(Tableau1[[#This Row],[TYPE DE PIECE]],Tableau4[MATIERE],Tableau4[SHORT TYPE],"",0,1)</f>
        <v/>
      </c>
      <c r="N6454">
        <f>IF(ISERR(FIND("DECOUPE",Tableau1[[#This Row],[DESIGNATION]])),"","NEED REF")</f>
        <v/>
      </c>
    </row>
    <row r="6455">
      <c r="B6455" t="n">
        <v>34407550</v>
      </c>
      <c r="C6455" s="2" t="n"/>
      <c r="E6455" t="inlineStr">
        <is>
          <t>COP PE  BAT AND LOAD FEED UNIT</t>
        </is>
      </c>
      <c r="F6455" t="inlineStr">
        <is>
          <t>GVX IO 1500</t>
        </is>
      </c>
      <c r="J6455" t="inlineStr">
        <is>
          <t>MATRION</t>
        </is>
      </c>
      <c r="L6455">
        <f>_xlfn.XLOOKUP(Tableau1[[#This Row],[TYPE DE PIECE]],Tableau4[MATIERE],Tableau4[SHORT TYPE],"",0,1)</f>
        <v/>
      </c>
      <c r="N6455">
        <f>IF(ISERR(FIND("DECOUPE",Tableau1[[#This Row],[DESIGNATION]])),"","NEED REF")</f>
        <v/>
      </c>
    </row>
    <row r="6456">
      <c r="B6456" t="n">
        <v>34407549</v>
      </c>
      <c r="C6456" s="2" t="n"/>
      <c r="E6456" t="inlineStr">
        <is>
          <t>RESERVE</t>
        </is>
      </c>
      <c r="F6456" t="inlineStr">
        <is>
          <t>GVX IO 1500</t>
        </is>
      </c>
      <c r="J6456" t="inlineStr">
        <is>
          <t>MATRION</t>
        </is>
      </c>
      <c r="L6456">
        <f>_xlfn.XLOOKUP(Tableau1[[#This Row],[TYPE DE PIECE]],Tableau4[MATIERE],Tableau4[SHORT TYPE],"",0,1)</f>
        <v/>
      </c>
      <c r="N6456">
        <f>IF(ISERR(FIND("DECOUPE",Tableau1[[#This Row],[DESIGNATION]])),"","NEED REF")</f>
        <v/>
      </c>
    </row>
    <row r="6457">
      <c r="B6457" t="n">
        <v>34407548</v>
      </c>
      <c r="C6457" s="2" t="n"/>
      <c r="E6457" t="inlineStr">
        <is>
          <t>COP PE SINGLE MAIN FEED UNIT</t>
        </is>
      </c>
      <c r="F6457" t="inlineStr">
        <is>
          <t>GVX IO 1500</t>
        </is>
      </c>
      <c r="J6457" t="inlineStr">
        <is>
          <t>MATRION</t>
        </is>
      </c>
      <c r="L6457">
        <f>_xlfn.XLOOKUP(Tableau1[[#This Row],[TYPE DE PIECE]],Tableau4[MATIERE],Tableau4[SHORT TYPE],"",0,1)</f>
        <v/>
      </c>
      <c r="N6457">
        <f>IF(ISERR(FIND("DECOUPE",Tableau1[[#This Row],[DESIGNATION]])),"","NEED REF")</f>
        <v/>
      </c>
    </row>
    <row r="6458">
      <c r="B6458" t="n">
        <v>34407547</v>
      </c>
      <c r="C6458" s="2" t="n"/>
      <c r="E6458" t="inlineStr">
        <is>
          <t>FLEX LIAISON PE</t>
        </is>
      </c>
      <c r="F6458" t="inlineStr">
        <is>
          <t>GVX IO 1500</t>
        </is>
      </c>
      <c r="J6458" t="inlineStr">
        <is>
          <t>MATRION</t>
        </is>
      </c>
      <c r="L6458">
        <f>_xlfn.XLOOKUP(Tableau1[[#This Row],[TYPE DE PIECE]],Tableau4[MATIERE],Tableau4[SHORT TYPE],"",0,1)</f>
        <v/>
      </c>
      <c r="N6458">
        <f>IF(ISERR(FIND("DECOUPE",Tableau1[[#This Row],[DESIGNATION]])),"","NEED REF")</f>
        <v/>
      </c>
    </row>
    <row r="6459">
      <c r="B6459" t="n">
        <v>34407546</v>
      </c>
      <c r="C6459" s="2" t="n"/>
      <c r="E6459" t="inlineStr">
        <is>
          <t>COP CALE 120x120x5</t>
        </is>
      </c>
      <c r="F6459" t="inlineStr">
        <is>
          <t>GVX IO 1500</t>
        </is>
      </c>
      <c r="J6459" t="inlineStr">
        <is>
          <t>MATRION</t>
        </is>
      </c>
      <c r="L6459">
        <f>_xlfn.XLOOKUP(Tableau1[[#This Row],[TYPE DE PIECE]],Tableau4[MATIERE],Tableau4[SHORT TYPE],"",0,1)</f>
        <v/>
      </c>
      <c r="N6459">
        <f>IF(ISERR(FIND("DECOUPE",Tableau1[[#This Row],[DESIGNATION]])),"","NEED REF")</f>
        <v/>
      </c>
    </row>
    <row r="6460">
      <c r="B6460" t="n">
        <v>34407545</v>
      </c>
      <c r="C6460" s="2" t="n"/>
      <c r="E6460" t="inlineStr">
        <is>
          <t>COP CALE 120x120x10</t>
        </is>
      </c>
      <c r="F6460" t="inlineStr">
        <is>
          <t>GVX IO 1500</t>
        </is>
      </c>
      <c r="J6460" t="inlineStr">
        <is>
          <t>MATRION</t>
        </is>
      </c>
      <c r="L6460">
        <f>_xlfn.XLOOKUP(Tableau1[[#This Row],[TYPE DE PIECE]],Tableau4[MATIERE],Tableau4[SHORT TYPE],"",0,1)</f>
        <v/>
      </c>
      <c r="N6460">
        <f>IF(ISERR(FIND("DECOUPE",Tableau1[[#This Row],[DESIGNATION]])),"","NEED REF")</f>
        <v/>
      </c>
    </row>
    <row r="6461">
      <c r="B6461" t="n">
        <v>34407544</v>
      </c>
      <c r="C6461" s="2" t="n"/>
      <c r="E6461" t="inlineStr">
        <is>
          <t>COP CALE DECALAGE N</t>
        </is>
      </c>
      <c r="F6461" t="inlineStr">
        <is>
          <t>GVX IO 1500</t>
        </is>
      </c>
      <c r="J6461" t="inlineStr">
        <is>
          <t>MATRION</t>
        </is>
      </c>
      <c r="L6461">
        <f>_xlfn.XLOOKUP(Tableau1[[#This Row],[TYPE DE PIECE]],Tableau4[MATIERE],Tableau4[SHORT TYPE],"",0,1)</f>
        <v/>
      </c>
      <c r="N6461">
        <f>IF(ISERR(FIND("DECOUPE",Tableau1[[#This Row],[DESIGNATION]])),"","NEED REF")</f>
        <v/>
      </c>
    </row>
    <row r="6462">
      <c r="B6462" t="n">
        <v>34407543</v>
      </c>
      <c r="C6462" s="2" t="n"/>
      <c r="E6462" t="inlineStr">
        <is>
          <t>COP S LIAISON MAIN FEED N</t>
        </is>
      </c>
      <c r="F6462" t="inlineStr">
        <is>
          <t>GVX IO 1500</t>
        </is>
      </c>
      <c r="J6462" t="inlineStr">
        <is>
          <t>MATRION</t>
        </is>
      </c>
      <c r="L6462">
        <f>_xlfn.XLOOKUP(Tableau1[[#This Row],[TYPE DE PIECE]],Tableau4[MATIERE],Tableau4[SHORT TYPE],"",0,1)</f>
        <v/>
      </c>
      <c r="N6462">
        <f>IF(ISERR(FIND("DECOUPE",Tableau1[[#This Row],[DESIGNATION]])),"","NEED REF")</f>
        <v/>
      </c>
    </row>
    <row r="6463">
      <c r="B6463" t="n">
        <v>34407542</v>
      </c>
      <c r="C6463" s="2" t="n"/>
      <c r="E6463" t="inlineStr">
        <is>
          <t>COP S LIAISON MAIN FEED L3</t>
        </is>
      </c>
      <c r="F6463" t="inlineStr">
        <is>
          <t>GVX IO 1500</t>
        </is>
      </c>
      <c r="J6463" t="inlineStr">
        <is>
          <t>MATRION</t>
        </is>
      </c>
      <c r="L6463">
        <f>_xlfn.XLOOKUP(Tableau1[[#This Row],[TYPE DE PIECE]],Tableau4[MATIERE],Tableau4[SHORT TYPE],"",0,1)</f>
        <v/>
      </c>
      <c r="N6463">
        <f>IF(ISERR(FIND("DECOUPE",Tableau1[[#This Row],[DESIGNATION]])),"","NEED REF")</f>
        <v/>
      </c>
    </row>
    <row r="6464">
      <c r="B6464" t="n">
        <v>34407541</v>
      </c>
      <c r="C6464" s="2" t="n"/>
      <c r="E6464" t="inlineStr">
        <is>
          <t>COP S LIAISON MAIN FEED L2</t>
        </is>
      </c>
      <c r="F6464" t="inlineStr">
        <is>
          <t>GVX IO 1500</t>
        </is>
      </c>
      <c r="J6464" t="inlineStr">
        <is>
          <t>MATRION</t>
        </is>
      </c>
      <c r="L6464">
        <f>_xlfn.XLOOKUP(Tableau1[[#This Row],[TYPE DE PIECE]],Tableau4[MATIERE],Tableau4[SHORT TYPE],"",0,1)</f>
        <v/>
      </c>
      <c r="N6464">
        <f>IF(ISERR(FIND("DECOUPE",Tableau1[[#This Row],[DESIGNATION]])),"","NEED REF")</f>
        <v/>
      </c>
    </row>
    <row r="6465">
      <c r="B6465" t="n">
        <v>34407540</v>
      </c>
      <c r="C6465" s="2" t="n"/>
      <c r="E6465" t="inlineStr">
        <is>
          <t>COP S LIAISON MAIN FEED L1</t>
        </is>
      </c>
      <c r="F6465" t="inlineStr">
        <is>
          <t>GVX IO 1500</t>
        </is>
      </c>
      <c r="J6465" t="inlineStr">
        <is>
          <t>MATRION</t>
        </is>
      </c>
      <c r="L6465">
        <f>_xlfn.XLOOKUP(Tableau1[[#This Row],[TYPE DE PIECE]],Tableau4[MATIERE],Tableau4[SHORT TYPE],"",0,1)</f>
        <v/>
      </c>
      <c r="N6465">
        <f>IF(ISERR(FIND("DECOUPE",Tableau1[[#This Row],[DESIGNATION]])),"","NEED REF")</f>
        <v/>
      </c>
    </row>
    <row r="6466">
      <c r="B6466" t="n">
        <v>34407539</v>
      </c>
      <c r="C6466" s="2" t="n"/>
      <c r="E6466" t="inlineStr">
        <is>
          <t>COP S LIAISON MAIN FEED N</t>
        </is>
      </c>
      <c r="F6466" t="inlineStr">
        <is>
          <t>GVX IO 1500</t>
        </is>
      </c>
      <c r="J6466" t="inlineStr">
        <is>
          <t>MATRION</t>
        </is>
      </c>
      <c r="L6466">
        <f>_xlfn.XLOOKUP(Tableau1[[#This Row],[TYPE DE PIECE]],Tableau4[MATIERE],Tableau4[SHORT TYPE],"",0,1)</f>
        <v/>
      </c>
      <c r="N6466">
        <f>IF(ISERR(FIND("DECOUPE",Tableau1[[#This Row],[DESIGNATION]])),"","NEED REF")</f>
        <v/>
      </c>
    </row>
    <row r="6467">
      <c r="B6467" t="n">
        <v>34407538</v>
      </c>
      <c r="C6467" s="2" t="n"/>
      <c r="E6467" t="inlineStr">
        <is>
          <t>COP S LIAISON MAIN FEED L3</t>
        </is>
      </c>
      <c r="F6467" t="inlineStr">
        <is>
          <t>GVX IO 1500</t>
        </is>
      </c>
      <c r="J6467" t="inlineStr">
        <is>
          <t>MATRION</t>
        </is>
      </c>
      <c r="L6467">
        <f>_xlfn.XLOOKUP(Tableau1[[#This Row],[TYPE DE PIECE]],Tableau4[MATIERE],Tableau4[SHORT TYPE],"",0,1)</f>
        <v/>
      </c>
      <c r="N6467">
        <f>IF(ISERR(FIND("DECOUPE",Tableau1[[#This Row],[DESIGNATION]])),"","NEED REF")</f>
        <v/>
      </c>
    </row>
    <row r="6468">
      <c r="B6468" t="n">
        <v>34407537</v>
      </c>
      <c r="C6468" s="2" t="n"/>
      <c r="E6468" t="inlineStr">
        <is>
          <t>COP S LIAISON MAIN FEED L2</t>
        </is>
      </c>
      <c r="F6468" t="inlineStr">
        <is>
          <t>GVX IO 1500</t>
        </is>
      </c>
      <c r="J6468" t="inlineStr">
        <is>
          <t>MATRION</t>
        </is>
      </c>
      <c r="L6468">
        <f>_xlfn.XLOOKUP(Tableau1[[#This Row],[TYPE DE PIECE]],Tableau4[MATIERE],Tableau4[SHORT TYPE],"",0,1)</f>
        <v/>
      </c>
      <c r="N6468">
        <f>IF(ISERR(FIND("DECOUPE",Tableau1[[#This Row],[DESIGNATION]])),"","NEED REF")</f>
        <v/>
      </c>
    </row>
    <row r="6469">
      <c r="B6469" t="n">
        <v>34407536</v>
      </c>
      <c r="C6469" s="2" t="n"/>
      <c r="E6469" t="inlineStr">
        <is>
          <t>COP S LIAISON MAIN FEED L1</t>
        </is>
      </c>
      <c r="F6469" t="inlineStr">
        <is>
          <t>GVX IO 1500</t>
        </is>
      </c>
      <c r="J6469" t="inlineStr">
        <is>
          <t>MATRION</t>
        </is>
      </c>
      <c r="L6469">
        <f>_xlfn.XLOOKUP(Tableau1[[#This Row],[TYPE DE PIECE]],Tableau4[MATIERE],Tableau4[SHORT TYPE],"",0,1)</f>
        <v/>
      </c>
      <c r="N6469">
        <f>IF(ISERR(FIND("DECOUPE",Tableau1[[#This Row],[DESIGNATION]])),"","NEED REF")</f>
        <v/>
      </c>
    </row>
    <row r="6470">
      <c r="B6470" t="n">
        <v>34407535</v>
      </c>
      <c r="C6470" s="2" t="n"/>
      <c r="E6470" t="inlineStr">
        <is>
          <t>COP I LIAISON BAT 3</t>
        </is>
      </c>
      <c r="F6470" t="inlineStr">
        <is>
          <t>GVX IO 1500</t>
        </is>
      </c>
      <c r="J6470" t="inlineStr">
        <is>
          <t>MATRION</t>
        </is>
      </c>
      <c r="L6470">
        <f>_xlfn.XLOOKUP(Tableau1[[#This Row],[TYPE DE PIECE]],Tableau4[MATIERE],Tableau4[SHORT TYPE],"",0,1)</f>
        <v/>
      </c>
      <c r="N6470">
        <f>IF(ISERR(FIND("DECOUPE",Tableau1[[#This Row],[DESIGNATION]])),"","NEED REF")</f>
        <v/>
      </c>
    </row>
    <row r="6471">
      <c r="B6471" t="n">
        <v>34407534</v>
      </c>
      <c r="C6471" s="2" t="n"/>
      <c r="E6471" t="inlineStr">
        <is>
          <t>COM I LIAISON BAT 2</t>
        </is>
      </c>
      <c r="F6471" t="inlineStr">
        <is>
          <t>GVX IO 1500</t>
        </is>
      </c>
      <c r="J6471" t="inlineStr">
        <is>
          <t>MATRION</t>
        </is>
      </c>
      <c r="L6471">
        <f>_xlfn.XLOOKUP(Tableau1[[#This Row],[TYPE DE PIECE]],Tableau4[MATIERE],Tableau4[SHORT TYPE],"",0,1)</f>
        <v/>
      </c>
      <c r="N6471">
        <f>IF(ISERR(FIND("DECOUPE",Tableau1[[#This Row],[DESIGNATION]])),"","NEED REF")</f>
        <v/>
      </c>
    </row>
    <row r="6472">
      <c r="B6472" t="n">
        <v>34407533</v>
      </c>
      <c r="C6472" s="2" t="n"/>
      <c r="E6472" t="inlineStr">
        <is>
          <t>COM I LIAISON 2 BAT +</t>
        </is>
      </c>
      <c r="F6472" t="inlineStr">
        <is>
          <t>GVX IO 1500</t>
        </is>
      </c>
      <c r="J6472" t="inlineStr">
        <is>
          <t>MATRION</t>
        </is>
      </c>
      <c r="L6472">
        <f>_xlfn.XLOOKUP(Tableau1[[#This Row],[TYPE DE PIECE]],Tableau4[MATIERE],Tableau4[SHORT TYPE],"",0,1)</f>
        <v/>
      </c>
      <c r="N6472">
        <f>IF(ISERR(FIND("DECOUPE",Tableau1[[#This Row],[DESIGNATION]])),"","NEED REF")</f>
        <v/>
      </c>
    </row>
    <row r="6473">
      <c r="B6473" t="n">
        <v>34407532</v>
      </c>
      <c r="C6473" s="2" t="n"/>
      <c r="E6473" t="inlineStr">
        <is>
          <t>COM I LIAISON 1 BAT +</t>
        </is>
      </c>
      <c r="F6473" t="inlineStr">
        <is>
          <t>GVX IO 1500</t>
        </is>
      </c>
      <c r="J6473" t="inlineStr">
        <is>
          <t>MATRION</t>
        </is>
      </c>
      <c r="L6473">
        <f>_xlfn.XLOOKUP(Tableau1[[#This Row],[TYPE DE PIECE]],Tableau4[MATIERE],Tableau4[SHORT TYPE],"",0,1)</f>
        <v/>
      </c>
      <c r="N6473">
        <f>IF(ISERR(FIND("DECOUPE",Tableau1[[#This Row],[DESIGNATION]])),"","NEED REF")</f>
        <v/>
      </c>
    </row>
    <row r="6474">
      <c r="B6474" t="n">
        <v>34407531</v>
      </c>
      <c r="C6474" s="2" t="n"/>
      <c r="E6474" t="inlineStr">
        <is>
          <t>COM I LIAISON 2 BAT -</t>
        </is>
      </c>
      <c r="F6474" t="inlineStr">
        <is>
          <t>GVX IO 1500</t>
        </is>
      </c>
      <c r="J6474" t="inlineStr">
        <is>
          <t>MATRION</t>
        </is>
      </c>
      <c r="L6474">
        <f>_xlfn.XLOOKUP(Tableau1[[#This Row],[TYPE DE PIECE]],Tableau4[MATIERE],Tableau4[SHORT TYPE],"",0,1)</f>
        <v/>
      </c>
      <c r="N6474">
        <f>IF(ISERR(FIND("DECOUPE",Tableau1[[#This Row],[DESIGNATION]])),"","NEED REF")</f>
        <v/>
      </c>
    </row>
    <row r="6475">
      <c r="B6475" t="n">
        <v>34407530</v>
      </c>
      <c r="C6475" s="2" t="n"/>
      <c r="E6475" t="inlineStr">
        <is>
          <t>COM I LIAISON 1 BAT -</t>
        </is>
      </c>
      <c r="F6475" t="inlineStr">
        <is>
          <t>GVX IO 1500</t>
        </is>
      </c>
      <c r="J6475" t="inlineStr">
        <is>
          <t>MATRION</t>
        </is>
      </c>
      <c r="L6475">
        <f>_xlfn.XLOOKUP(Tableau1[[#This Row],[TYPE DE PIECE]],Tableau4[MATIERE],Tableau4[SHORT TYPE],"",0,1)</f>
        <v/>
      </c>
      <c r="N6475">
        <f>IF(ISERR(FIND("DECOUPE",Tableau1[[#This Row],[DESIGNATION]])),"","NEED REF")</f>
        <v/>
      </c>
    </row>
    <row r="6476">
      <c r="B6476" t="n">
        <v>34407529</v>
      </c>
      <c r="C6476" s="2" t="n"/>
      <c r="E6476" t="inlineStr">
        <is>
          <t>COP I LIAISON BAT 1</t>
        </is>
      </c>
      <c r="F6476" t="inlineStr">
        <is>
          <t>GVX IO 1500</t>
        </is>
      </c>
      <c r="J6476" t="inlineStr">
        <is>
          <t>MATRION</t>
        </is>
      </c>
      <c r="L6476">
        <f>_xlfn.XLOOKUP(Tableau1[[#This Row],[TYPE DE PIECE]],Tableau4[MATIERE],Tableau4[SHORT TYPE],"",0,1)</f>
        <v/>
      </c>
      <c r="N6476">
        <f>IF(ISERR(FIND("DECOUPE",Tableau1[[#This Row],[DESIGNATION]])),"","NEED REF")</f>
        <v/>
      </c>
    </row>
    <row r="6477">
      <c r="B6477" t="n">
        <v>34407528</v>
      </c>
      <c r="C6477" s="2" t="n"/>
      <c r="E6477" t="inlineStr">
        <is>
          <t>COP I LIAISON LOAD FEED L3</t>
        </is>
      </c>
      <c r="F6477" t="inlineStr">
        <is>
          <t>GVX IO 1500</t>
        </is>
      </c>
      <c r="J6477" t="inlineStr">
        <is>
          <t>MATRION</t>
        </is>
      </c>
      <c r="L6477">
        <f>_xlfn.XLOOKUP(Tableau1[[#This Row],[TYPE DE PIECE]],Tableau4[MATIERE],Tableau4[SHORT TYPE],"",0,1)</f>
        <v/>
      </c>
      <c r="N6477">
        <f>IF(ISERR(FIND("DECOUPE",Tableau1[[#This Row],[DESIGNATION]])),"","NEED REF")</f>
        <v/>
      </c>
    </row>
    <row r="6478">
      <c r="B6478" t="n">
        <v>34407527</v>
      </c>
      <c r="C6478" s="2" t="n"/>
      <c r="E6478" t="inlineStr">
        <is>
          <t>COP I LIAISON LOAD FEED L2</t>
        </is>
      </c>
      <c r="F6478" t="inlineStr">
        <is>
          <t>GVX IO 1500</t>
        </is>
      </c>
      <c r="J6478" t="inlineStr">
        <is>
          <t>MATRION</t>
        </is>
      </c>
      <c r="L6478">
        <f>_xlfn.XLOOKUP(Tableau1[[#This Row],[TYPE DE PIECE]],Tableau4[MATIERE],Tableau4[SHORT TYPE],"",0,1)</f>
        <v/>
      </c>
      <c r="N6478">
        <f>IF(ISERR(FIND("DECOUPE",Tableau1[[#This Row],[DESIGNATION]])),"","NEED REF")</f>
        <v/>
      </c>
    </row>
    <row r="6479">
      <c r="B6479" t="n">
        <v>34407526</v>
      </c>
      <c r="C6479" s="2" t="n"/>
      <c r="E6479" t="inlineStr">
        <is>
          <t>COP I LIAISON LOAD FEED L1</t>
        </is>
      </c>
      <c r="F6479" t="inlineStr">
        <is>
          <t>GVX IO 1500</t>
        </is>
      </c>
      <c r="J6479" t="inlineStr">
        <is>
          <t>MATRION</t>
        </is>
      </c>
      <c r="L6479">
        <f>_xlfn.XLOOKUP(Tableau1[[#This Row],[TYPE DE PIECE]],Tableau4[MATIERE],Tableau4[SHORT TYPE],"",0,1)</f>
        <v/>
      </c>
      <c r="N6479">
        <f>IF(ISERR(FIND("DECOUPE",Tableau1[[#This Row],[DESIGNATION]])),"","NEED REF")</f>
        <v/>
      </c>
    </row>
    <row r="6480">
      <c r="B6480" t="n">
        <v>34407525</v>
      </c>
      <c r="C6480" s="2" t="n"/>
      <c r="E6480" t="inlineStr">
        <is>
          <t>COM S LIAISON LOAD N 2</t>
        </is>
      </c>
      <c r="F6480" t="inlineStr">
        <is>
          <t>GVX IO 1500</t>
        </is>
      </c>
      <c r="J6480" t="inlineStr">
        <is>
          <t>MATRION</t>
        </is>
      </c>
      <c r="L6480">
        <f>_xlfn.XLOOKUP(Tableau1[[#This Row],[TYPE DE PIECE]],Tableau4[MATIERE],Tableau4[SHORT TYPE],"",0,1)</f>
        <v/>
      </c>
      <c r="N6480">
        <f>IF(ISERR(FIND("DECOUPE",Tableau1[[#This Row],[DESIGNATION]])),"","NEED REF")</f>
        <v/>
      </c>
    </row>
    <row r="6481">
      <c r="B6481" t="n">
        <v>34407524</v>
      </c>
      <c r="C6481" s="2" t="n"/>
      <c r="E6481" t="inlineStr">
        <is>
          <t>COM S LIAISON LOAD N 1</t>
        </is>
      </c>
      <c r="F6481" t="inlineStr">
        <is>
          <t>GVX IO 1500</t>
        </is>
      </c>
      <c r="J6481" t="inlineStr">
        <is>
          <t>MATRION</t>
        </is>
      </c>
      <c r="L6481">
        <f>_xlfn.XLOOKUP(Tableau1[[#This Row],[TYPE DE PIECE]],Tableau4[MATIERE],Tableau4[SHORT TYPE],"",0,1)</f>
        <v/>
      </c>
      <c r="N6481">
        <f>IF(ISERR(FIND("DECOUPE",Tableau1[[#This Row],[DESIGNATION]])),"","NEED REF")</f>
        <v/>
      </c>
    </row>
    <row r="6482">
      <c r="B6482" t="n">
        <v>34407523</v>
      </c>
      <c r="C6482" s="2" t="n"/>
      <c r="E6482" t="inlineStr">
        <is>
          <t>COP L LIAISON LOAD 6</t>
        </is>
      </c>
      <c r="F6482" t="inlineStr">
        <is>
          <t>GVX IO 1500</t>
        </is>
      </c>
      <c r="J6482" t="inlineStr">
        <is>
          <t>MATRION</t>
        </is>
      </c>
      <c r="L6482">
        <f>_xlfn.XLOOKUP(Tableau1[[#This Row],[TYPE DE PIECE]],Tableau4[MATIERE],Tableau4[SHORT TYPE],"",0,1)</f>
        <v/>
      </c>
      <c r="N6482">
        <f>IF(ISERR(FIND("DECOUPE",Tableau1[[#This Row],[DESIGNATION]])),"","NEED REF")</f>
        <v/>
      </c>
    </row>
    <row r="6483">
      <c r="B6483" t="n">
        <v>34407522</v>
      </c>
      <c r="C6483" s="2" t="n"/>
      <c r="E6483" t="inlineStr">
        <is>
          <t>COP L LIAISON LOAD 5</t>
        </is>
      </c>
      <c r="F6483" t="inlineStr">
        <is>
          <t>GVX IO 1500</t>
        </is>
      </c>
      <c r="J6483" t="inlineStr">
        <is>
          <t>MATRION</t>
        </is>
      </c>
      <c r="L6483">
        <f>_xlfn.XLOOKUP(Tableau1[[#This Row],[TYPE DE PIECE]],Tableau4[MATIERE],Tableau4[SHORT TYPE],"",0,1)</f>
        <v/>
      </c>
      <c r="N6483">
        <f>IF(ISERR(FIND("DECOUPE",Tableau1[[#This Row],[DESIGNATION]])),"","NEED REF")</f>
        <v/>
      </c>
    </row>
    <row r="6484">
      <c r="B6484" t="n">
        <v>34407521</v>
      </c>
      <c r="C6484" s="2" t="n"/>
      <c r="E6484" t="inlineStr">
        <is>
          <t>COP L LIAISON LOAD 4</t>
        </is>
      </c>
      <c r="F6484" t="inlineStr">
        <is>
          <t>GVX IO 1500</t>
        </is>
      </c>
      <c r="J6484" t="inlineStr">
        <is>
          <t>MATRION</t>
        </is>
      </c>
      <c r="L6484">
        <f>_xlfn.XLOOKUP(Tableau1[[#This Row],[TYPE DE PIECE]],Tableau4[MATIERE],Tableau4[SHORT TYPE],"",0,1)</f>
        <v/>
      </c>
      <c r="N6484">
        <f>IF(ISERR(FIND("DECOUPE",Tableau1[[#This Row],[DESIGNATION]])),"","NEED REF")</f>
        <v/>
      </c>
    </row>
    <row r="6485">
      <c r="B6485" t="n">
        <v>34407520</v>
      </c>
      <c r="C6485" s="2" t="n"/>
      <c r="E6485" t="inlineStr">
        <is>
          <t>COP L LIAISON LOAD 3</t>
        </is>
      </c>
      <c r="F6485" t="inlineStr">
        <is>
          <t>GVX IO 1500</t>
        </is>
      </c>
      <c r="J6485" t="inlineStr">
        <is>
          <t>MATRION</t>
        </is>
      </c>
      <c r="L6485">
        <f>_xlfn.XLOOKUP(Tableau1[[#This Row],[TYPE DE PIECE]],Tableau4[MATIERE],Tableau4[SHORT TYPE],"",0,1)</f>
        <v/>
      </c>
      <c r="N6485">
        <f>IF(ISERR(FIND("DECOUPE",Tableau1[[#This Row],[DESIGNATION]])),"","NEED REF")</f>
        <v/>
      </c>
    </row>
    <row r="6486">
      <c r="B6486" t="n">
        <v>34407519</v>
      </c>
      <c r="C6486" s="2" t="n"/>
      <c r="E6486" t="inlineStr">
        <is>
          <t>COP L LIAISON LOAD 2</t>
        </is>
      </c>
      <c r="F6486" t="inlineStr">
        <is>
          <t>GVX IO 1500</t>
        </is>
      </c>
      <c r="J6486" t="inlineStr">
        <is>
          <t>MATRION</t>
        </is>
      </c>
      <c r="L6486">
        <f>_xlfn.XLOOKUP(Tableau1[[#This Row],[TYPE DE PIECE]],Tableau4[MATIERE],Tableau4[SHORT TYPE],"",0,1)</f>
        <v/>
      </c>
      <c r="N6486">
        <f>IF(ISERR(FIND("DECOUPE",Tableau1[[#This Row],[DESIGNATION]])),"","NEED REF")</f>
        <v/>
      </c>
    </row>
    <row r="6487">
      <c r="B6487" t="n">
        <v>34407518</v>
      </c>
      <c r="C6487" s="2" t="n"/>
      <c r="E6487" t="inlineStr">
        <is>
          <t>COP L LIAISON LOAD 1</t>
        </is>
      </c>
      <c r="F6487" t="inlineStr">
        <is>
          <t>GVX IO 1500</t>
        </is>
      </c>
      <c r="J6487" t="inlineStr">
        <is>
          <t>MATRION</t>
        </is>
      </c>
      <c r="L6487">
        <f>_xlfn.XLOOKUP(Tableau1[[#This Row],[TYPE DE PIECE]],Tableau4[MATIERE],Tableau4[SHORT TYPE],"",0,1)</f>
        <v/>
      </c>
      <c r="N6487">
        <f>IF(ISERR(FIND("DECOUPE",Tableau1[[#This Row],[DESIGNATION]])),"","NEED REF")</f>
        <v/>
      </c>
    </row>
    <row r="6488">
      <c r="B6488" t="n">
        <v>34407517</v>
      </c>
      <c r="C6488" s="2" t="n"/>
      <c r="E6488" t="inlineStr">
        <is>
          <t>SMT</t>
        </is>
      </c>
      <c r="F6488" t="inlineStr">
        <is>
          <t>GVS MBP</t>
        </is>
      </c>
      <c r="J6488" t="inlineStr">
        <is>
          <t>MATRION</t>
        </is>
      </c>
      <c r="L6488">
        <f>_xlfn.XLOOKUP(Tableau1[[#This Row],[TYPE DE PIECE]],Tableau4[MATIERE],Tableau4[SHORT TYPE],"",0,1)</f>
        <v/>
      </c>
      <c r="N6488">
        <f>IF(ISERR(FIND("DECOUPE",Tableau1[[#This Row],[DESIGNATION]])),"","NEED REF")</f>
        <v/>
      </c>
    </row>
    <row r="6489">
      <c r="B6489" t="n">
        <v>34407516</v>
      </c>
      <c r="C6489" s="2" t="n"/>
      <c r="E6489" t="inlineStr">
        <is>
          <t xml:space="preserve">SMT </t>
        </is>
      </c>
      <c r="F6489" t="inlineStr">
        <is>
          <t>GVS MBP</t>
        </is>
      </c>
      <c r="J6489" t="inlineStr">
        <is>
          <t>MATRION</t>
        </is>
      </c>
      <c r="L6489">
        <f>_xlfn.XLOOKUP(Tableau1[[#This Row],[TYPE DE PIECE]],Tableau4[MATIERE],Tableau4[SHORT TYPE],"",0,1)</f>
        <v/>
      </c>
      <c r="N6489">
        <f>IF(ISERR(FIND("DECOUPE",Tableau1[[#This Row],[DESIGNATION]])),"","NEED REF")</f>
        <v/>
      </c>
    </row>
    <row r="6490">
      <c r="B6490" t="n">
        <v>34407515</v>
      </c>
      <c r="C6490" s="2" t="n"/>
      <c r="E6490" t="inlineStr">
        <is>
          <t>SMT PLATINE UOB/SSIB NSX250 3/4P</t>
        </is>
      </c>
      <c r="F6490" t="inlineStr">
        <is>
          <t>GVS MBP</t>
        </is>
      </c>
      <c r="J6490" t="inlineStr">
        <is>
          <t>MATRION</t>
        </is>
      </c>
      <c r="L6490">
        <f>_xlfn.XLOOKUP(Tableau1[[#This Row],[TYPE DE PIECE]],Tableau4[MATIERE],Tableau4[SHORT TYPE],"",0,1)</f>
        <v/>
      </c>
      <c r="N6490">
        <f>IF(ISERR(FIND("DECOUPE",Tableau1[[#This Row],[DESIGNATION]])),"","NEED REF")</f>
        <v/>
      </c>
    </row>
    <row r="6491">
      <c r="B6491" t="n">
        <v>34407514</v>
      </c>
      <c r="C6491" s="2" t="n"/>
      <c r="E6491" t="inlineStr">
        <is>
          <t>SMT PLATINE BYPASS COMPACT NS</t>
        </is>
      </c>
      <c r="F6491" t="inlineStr">
        <is>
          <t>GVS MBP</t>
        </is>
      </c>
      <c r="J6491" t="inlineStr">
        <is>
          <t>MATRION</t>
        </is>
      </c>
      <c r="L6491">
        <f>_xlfn.XLOOKUP(Tableau1[[#This Row],[TYPE DE PIECE]],Tableau4[MATIERE],Tableau4[SHORT TYPE],"",0,1)</f>
        <v/>
      </c>
      <c r="N6491">
        <f>IF(ISERR(FIND("DECOUPE",Tableau1[[#This Row],[DESIGNATION]])),"","NEED REF")</f>
        <v/>
      </c>
    </row>
    <row r="6492">
      <c r="B6492" t="n">
        <v>34407513</v>
      </c>
      <c r="C6492" s="2" t="n"/>
      <c r="E6492" t="inlineStr">
        <is>
          <t>SMT SUPPORT BYPASS HORIZONTAL</t>
        </is>
      </c>
      <c r="F6492" t="inlineStr">
        <is>
          <t>GVS MBP</t>
        </is>
      </c>
      <c r="J6492" t="inlineStr">
        <is>
          <t>MATRION</t>
        </is>
      </c>
      <c r="L6492">
        <f>_xlfn.XLOOKUP(Tableau1[[#This Row],[TYPE DE PIECE]],Tableau4[MATIERE],Tableau4[SHORT TYPE],"",0,1)</f>
        <v/>
      </c>
      <c r="N6492">
        <f>IF(ISERR(FIND("DECOUPE",Tableau1[[#This Row],[DESIGNATION]])),"","NEED REF")</f>
        <v/>
      </c>
    </row>
    <row r="6493">
      <c r="B6493" t="n">
        <v>34407512</v>
      </c>
      <c r="C6493" s="2" t="n"/>
      <c r="E6493" t="inlineStr">
        <is>
          <t>COP FLEX 30x5 NSX400 VERS LINERGY L3</t>
        </is>
      </c>
      <c r="F6493" t="inlineStr">
        <is>
          <t>GVS MBP</t>
        </is>
      </c>
      <c r="J6493" t="inlineStr">
        <is>
          <t>MATRION</t>
        </is>
      </c>
      <c r="L6493">
        <f>_xlfn.XLOOKUP(Tableau1[[#This Row],[TYPE DE PIECE]],Tableau4[MATIERE],Tableau4[SHORT TYPE],"",0,1)</f>
        <v/>
      </c>
      <c r="N6493">
        <f>IF(ISERR(FIND("DECOUPE",Tableau1[[#This Row],[DESIGNATION]])),"","NEED REF")</f>
        <v/>
      </c>
    </row>
    <row r="6494">
      <c r="B6494" t="n">
        <v>34407511</v>
      </c>
      <c r="C6494" s="2" t="n"/>
      <c r="E6494" t="inlineStr">
        <is>
          <t>COP FLEX 30x5 NSX400 VERS LINERGY L2</t>
        </is>
      </c>
      <c r="F6494" t="inlineStr">
        <is>
          <t>GVS MBP</t>
        </is>
      </c>
      <c r="J6494" t="inlineStr">
        <is>
          <t>MATRION</t>
        </is>
      </c>
      <c r="L6494">
        <f>_xlfn.XLOOKUP(Tableau1[[#This Row],[TYPE DE PIECE]],Tableau4[MATIERE],Tableau4[SHORT TYPE],"",0,1)</f>
        <v/>
      </c>
      <c r="N6494">
        <f>IF(ISERR(FIND("DECOUPE",Tableau1[[#This Row],[DESIGNATION]])),"","NEED REF")</f>
        <v/>
      </c>
    </row>
    <row r="6495">
      <c r="B6495" t="n">
        <v>34407510</v>
      </c>
      <c r="C6495" s="2" t="n"/>
      <c r="E6495" t="inlineStr">
        <is>
          <t>COP FLEX 30x5 NSX400 VERS LINERGY L1</t>
        </is>
      </c>
      <c r="F6495" t="inlineStr">
        <is>
          <t>GVS MBP</t>
        </is>
      </c>
      <c r="J6495" t="inlineStr">
        <is>
          <t>MATRION</t>
        </is>
      </c>
      <c r="L6495">
        <f>_xlfn.XLOOKUP(Tableau1[[#This Row],[TYPE DE PIECE]],Tableau4[MATIERE],Tableau4[SHORT TYPE],"",0,1)</f>
        <v/>
      </c>
      <c r="N6495">
        <f>IF(ISERR(FIND("DECOUPE",Tableau1[[#This Row],[DESIGNATION]])),"","NEED REF")</f>
        <v/>
      </c>
    </row>
    <row r="6496">
      <c r="B6496" t="n">
        <v>34407509</v>
      </c>
      <c r="C6496" s="2" t="n"/>
      <c r="E6496" t="inlineStr">
        <is>
          <t>COP FLEX 20x5 NSX250 VERS LINERGY L3</t>
        </is>
      </c>
      <c r="F6496" t="inlineStr">
        <is>
          <t>GVS MBP</t>
        </is>
      </c>
      <c r="J6496" t="inlineStr">
        <is>
          <t>MATRION</t>
        </is>
      </c>
      <c r="L6496">
        <f>_xlfn.XLOOKUP(Tableau1[[#This Row],[TYPE DE PIECE]],Tableau4[MATIERE],Tableau4[SHORT TYPE],"",0,1)</f>
        <v/>
      </c>
      <c r="N6496">
        <f>IF(ISERR(FIND("DECOUPE",Tableau1[[#This Row],[DESIGNATION]])),"","NEED REF")</f>
        <v/>
      </c>
    </row>
    <row r="6497">
      <c r="B6497" t="n">
        <v>34407508</v>
      </c>
      <c r="C6497" s="2" t="n"/>
      <c r="E6497" t="inlineStr">
        <is>
          <t>COP FLEX 20x5 NSX250 VERS LINERGY L2</t>
        </is>
      </c>
      <c r="F6497" t="inlineStr">
        <is>
          <t>GVS MBP</t>
        </is>
      </c>
      <c r="J6497" t="inlineStr">
        <is>
          <t>MATRION</t>
        </is>
      </c>
      <c r="L6497">
        <f>_xlfn.XLOOKUP(Tableau1[[#This Row],[TYPE DE PIECE]],Tableau4[MATIERE],Tableau4[SHORT TYPE],"",0,1)</f>
        <v/>
      </c>
      <c r="N6497">
        <f>IF(ISERR(FIND("DECOUPE",Tableau1[[#This Row],[DESIGNATION]])),"","NEED REF")</f>
        <v/>
      </c>
    </row>
    <row r="6498">
      <c r="B6498" t="n">
        <v>34407507</v>
      </c>
      <c r="C6498" s="2" t="n"/>
      <c r="E6498" t="inlineStr">
        <is>
          <t>COP FLEX 20x5 NSX250 VERS LINERGY L1</t>
        </is>
      </c>
      <c r="F6498" t="inlineStr">
        <is>
          <t>GVS MBP</t>
        </is>
      </c>
      <c r="J6498" t="inlineStr">
        <is>
          <t>MATRION</t>
        </is>
      </c>
      <c r="L6498">
        <f>_xlfn.XLOOKUP(Tableau1[[#This Row],[TYPE DE PIECE]],Tableau4[MATIERE],Tableau4[SHORT TYPE],"",0,1)</f>
        <v/>
      </c>
      <c r="N6498">
        <f>IF(ISERR(FIND("DECOUPE",Tableau1[[#This Row],[DESIGNATION]])),"","NEED REF")</f>
        <v/>
      </c>
    </row>
    <row r="6499">
      <c r="B6499" t="n">
        <v>34407506</v>
      </c>
      <c r="C6499" s="2" t="n"/>
      <c r="E6499" t="inlineStr">
        <is>
          <t>COP FLEX 20x5 NSX250 VERS LINERGY N</t>
        </is>
      </c>
      <c r="F6499" t="inlineStr">
        <is>
          <t>GVS MBP</t>
        </is>
      </c>
      <c r="J6499" t="inlineStr">
        <is>
          <t>MATRION</t>
        </is>
      </c>
      <c r="L6499">
        <f>_xlfn.XLOOKUP(Tableau1[[#This Row],[TYPE DE PIECE]],Tableau4[MATIERE],Tableau4[SHORT TYPE],"",0,1)</f>
        <v/>
      </c>
      <c r="N6499">
        <f>IF(ISERR(FIND("DECOUPE",Tableau1[[#This Row],[DESIGNATION]])),"","NEED REF")</f>
        <v/>
      </c>
    </row>
    <row r="6500">
      <c r="B6500" t="n">
        <v>34407505</v>
      </c>
      <c r="C6500" s="2" t="n"/>
      <c r="E6500" t="inlineStr">
        <is>
          <t>COP 50x10 NS800 VERS LINERGY L3</t>
        </is>
      </c>
      <c r="F6500" t="inlineStr">
        <is>
          <t>GVS MBP</t>
        </is>
      </c>
      <c r="J6500" t="inlineStr">
        <is>
          <t>MATRION</t>
        </is>
      </c>
      <c r="L6500">
        <f>_xlfn.XLOOKUP(Tableau1[[#This Row],[TYPE DE PIECE]],Tableau4[MATIERE],Tableau4[SHORT TYPE],"",0,1)</f>
        <v/>
      </c>
      <c r="N6500">
        <f>IF(ISERR(FIND("DECOUPE",Tableau1[[#This Row],[DESIGNATION]])),"","NEED REF")</f>
        <v/>
      </c>
    </row>
    <row r="6501">
      <c r="B6501" t="n">
        <v>34407504</v>
      </c>
      <c r="C6501" s="2" t="n"/>
      <c r="E6501" t="inlineStr">
        <is>
          <t>COP 50x10 NS800 VERS LINERGY L2</t>
        </is>
      </c>
      <c r="F6501" t="inlineStr">
        <is>
          <t>GVS MBP</t>
        </is>
      </c>
      <c r="J6501" t="inlineStr">
        <is>
          <t>MATRION</t>
        </is>
      </c>
      <c r="L6501">
        <f>_xlfn.XLOOKUP(Tableau1[[#This Row],[TYPE DE PIECE]],Tableau4[MATIERE],Tableau4[SHORT TYPE],"",0,1)</f>
        <v/>
      </c>
      <c r="N6501">
        <f>IF(ISERR(FIND("DECOUPE",Tableau1[[#This Row],[DESIGNATION]])),"","NEED REF")</f>
        <v/>
      </c>
    </row>
    <row r="6502">
      <c r="B6502" t="n">
        <v>34407503</v>
      </c>
      <c r="C6502" s="2" t="n"/>
      <c r="E6502" t="inlineStr">
        <is>
          <t>COP 50x10 NS800 VERS LINERGY L1</t>
        </is>
      </c>
      <c r="F6502" t="inlineStr">
        <is>
          <t>GVS MBP</t>
        </is>
      </c>
      <c r="J6502" t="inlineStr">
        <is>
          <t>MATRION</t>
        </is>
      </c>
      <c r="L6502">
        <f>_xlfn.XLOOKUP(Tableau1[[#This Row],[TYPE DE PIECE]],Tableau4[MATIERE],Tableau4[SHORT TYPE],"",0,1)</f>
        <v/>
      </c>
      <c r="N6502">
        <f>IF(ISERR(FIND("DECOUPE",Tableau1[[#This Row],[DESIGNATION]])),"","NEED REF")</f>
        <v/>
      </c>
    </row>
    <row r="6503">
      <c r="B6503" t="n">
        <v>34407502</v>
      </c>
      <c r="C6503" s="2" t="n"/>
      <c r="E6503" t="inlineStr">
        <is>
          <t>COP 50x10 NS800 VERS LINERGY N</t>
        </is>
      </c>
      <c r="F6503" t="inlineStr">
        <is>
          <t>GVS MBP</t>
        </is>
      </c>
      <c r="J6503" t="inlineStr">
        <is>
          <t>MATRION</t>
        </is>
      </c>
      <c r="L6503">
        <f>_xlfn.XLOOKUP(Tableau1[[#This Row],[TYPE DE PIECE]],Tableau4[MATIERE],Tableau4[SHORT TYPE],"",0,1)</f>
        <v/>
      </c>
      <c r="N6503">
        <f>IF(ISERR(FIND("DECOUPE",Tableau1[[#This Row],[DESIGNATION]])),"","NEED REF")</f>
        <v/>
      </c>
    </row>
    <row r="6504">
      <c r="B6504" t="n">
        <v>34407501</v>
      </c>
      <c r="C6504" s="2" t="n"/>
      <c r="E6504" t="inlineStr">
        <is>
          <t>COP FLEX 50x10 UIB L3</t>
        </is>
      </c>
      <c r="F6504" t="inlineStr">
        <is>
          <t>GVS MBP</t>
        </is>
      </c>
      <c r="J6504" t="inlineStr">
        <is>
          <t>MATRION</t>
        </is>
      </c>
      <c r="L6504">
        <f>_xlfn.XLOOKUP(Tableau1[[#This Row],[TYPE DE PIECE]],Tableau4[MATIERE],Tableau4[SHORT TYPE],"",0,1)</f>
        <v/>
      </c>
      <c r="N6504">
        <f>IF(ISERR(FIND("DECOUPE",Tableau1[[#This Row],[DESIGNATION]])),"","NEED REF")</f>
        <v/>
      </c>
    </row>
    <row r="6505">
      <c r="B6505" t="n">
        <v>34407500</v>
      </c>
      <c r="C6505" s="2" t="n"/>
      <c r="E6505" t="inlineStr">
        <is>
          <t>COP FLEX 50x10 UIB L2</t>
        </is>
      </c>
      <c r="F6505" t="inlineStr">
        <is>
          <t>GVS MBP</t>
        </is>
      </c>
      <c r="J6505" t="inlineStr">
        <is>
          <t>MATRION</t>
        </is>
      </c>
      <c r="L6505">
        <f>_xlfn.XLOOKUP(Tableau1[[#This Row],[TYPE DE PIECE]],Tableau4[MATIERE],Tableau4[SHORT TYPE],"",0,1)</f>
        <v/>
      </c>
      <c r="N6505">
        <f>IF(ISERR(FIND("DECOUPE",Tableau1[[#This Row],[DESIGNATION]])),"","NEED REF")</f>
        <v/>
      </c>
    </row>
    <row r="6506">
      <c r="B6506" t="n">
        <v>34407499</v>
      </c>
      <c r="C6506" s="2" t="n"/>
      <c r="E6506" t="inlineStr">
        <is>
          <t>COP FLEX 50x10 UIB L1</t>
        </is>
      </c>
      <c r="F6506" t="inlineStr">
        <is>
          <t>GVS MBP</t>
        </is>
      </c>
      <c r="J6506" t="inlineStr">
        <is>
          <t>MATRION</t>
        </is>
      </c>
      <c r="L6506">
        <f>_xlfn.XLOOKUP(Tableau1[[#This Row],[TYPE DE PIECE]],Tableau4[MATIERE],Tableau4[SHORT TYPE],"",0,1)</f>
        <v/>
      </c>
      <c r="N6506">
        <f>IF(ISERR(FIND("DECOUPE",Tableau1[[#This Row],[DESIGNATION]])),"","NEED REF")</f>
        <v/>
      </c>
    </row>
    <row r="6507">
      <c r="B6507" t="n">
        <v>34407498</v>
      </c>
      <c r="C6507" s="2" t="n"/>
      <c r="E6507" t="inlineStr">
        <is>
          <t>COP FLEX 50x10 UIB N</t>
        </is>
      </c>
      <c r="F6507" t="inlineStr">
        <is>
          <t>GVS MBP</t>
        </is>
      </c>
      <c r="J6507" t="inlineStr">
        <is>
          <t>MATRION</t>
        </is>
      </c>
      <c r="L6507">
        <f>_xlfn.XLOOKUP(Tableau1[[#This Row],[TYPE DE PIECE]],Tableau4[MATIERE],Tableau4[SHORT TYPE],"",0,1)</f>
        <v/>
      </c>
      <c r="N6507">
        <f>IF(ISERR(FIND("DECOUPE",Tableau1[[#This Row],[DESIGNATION]])),"","NEED REF")</f>
        <v/>
      </c>
    </row>
    <row r="6508">
      <c r="B6508" t="n">
        <v>34407497</v>
      </c>
      <c r="C6508" s="2" t="n"/>
      <c r="E6508" t="inlineStr">
        <is>
          <t>DECOUPE LINERGY 04564 1600A  L=1000mm</t>
        </is>
      </c>
      <c r="F6508" t="inlineStr">
        <is>
          <t>GVS MBP</t>
        </is>
      </c>
      <c r="J6508" t="inlineStr">
        <is>
          <t>MATRION</t>
        </is>
      </c>
      <c r="K6508" t="inlineStr">
        <is>
          <t>METAL</t>
        </is>
      </c>
      <c r="L6508">
        <f>_xlfn.XLOOKUP(Tableau1[[#This Row],[TYPE DE PIECE]],Tableau4[MATIERE],Tableau4[SHORT TYPE],"",0,1)</f>
        <v/>
      </c>
      <c r="N6508" t="inlineStr">
        <is>
          <t>LVS04564</t>
        </is>
      </c>
    </row>
    <row r="6509">
      <c r="B6509" t="n">
        <v>34407496</v>
      </c>
      <c r="C6509" s="2" t="n"/>
      <c r="E6509" t="inlineStr">
        <is>
          <t>DECOUPE LINERGY 04564 1600A  L=1000mm</t>
        </is>
      </c>
      <c r="F6509" t="inlineStr">
        <is>
          <t>GVS MBP</t>
        </is>
      </c>
      <c r="J6509" t="inlineStr">
        <is>
          <t>MATRION</t>
        </is>
      </c>
      <c r="K6509" t="inlineStr">
        <is>
          <t>METAL</t>
        </is>
      </c>
      <c r="L6509">
        <f>_xlfn.XLOOKUP(Tableau1[[#This Row],[TYPE DE PIECE]],Tableau4[MATIERE],Tableau4[SHORT TYPE],"",0,1)</f>
        <v/>
      </c>
      <c r="N6509" t="inlineStr">
        <is>
          <t>LVS04564</t>
        </is>
      </c>
    </row>
    <row r="6510">
      <c r="B6510" t="n">
        <v>34407495</v>
      </c>
      <c r="C6510" s="2" t="n"/>
      <c r="E6510" t="inlineStr">
        <is>
          <t>DECOUPE LINERGY 04563 1250A  L=650mm</t>
        </is>
      </c>
      <c r="F6510" t="inlineStr">
        <is>
          <t>GVS MBP</t>
        </is>
      </c>
      <c r="J6510" t="inlineStr">
        <is>
          <t>MATRION</t>
        </is>
      </c>
      <c r="K6510" t="inlineStr">
        <is>
          <t>METAL</t>
        </is>
      </c>
      <c r="L6510">
        <f>_xlfn.XLOOKUP(Tableau1[[#This Row],[TYPE DE PIECE]],Tableau4[MATIERE],Tableau4[SHORT TYPE],"",0,1)</f>
        <v/>
      </c>
      <c r="N6510" t="inlineStr">
        <is>
          <t>LVS04563</t>
        </is>
      </c>
    </row>
    <row r="6511">
      <c r="B6511" t="n">
        <v>34407494</v>
      </c>
      <c r="C6511" s="2" t="n"/>
      <c r="E6511" t="inlineStr">
        <is>
          <t>DECOUPE LINERGY 04563 1250A  L=1280mm</t>
        </is>
      </c>
      <c r="F6511" t="inlineStr">
        <is>
          <t>GVS MBP</t>
        </is>
      </c>
      <c r="J6511" t="inlineStr">
        <is>
          <t>MATRION</t>
        </is>
      </c>
      <c r="K6511" t="inlineStr">
        <is>
          <t>METAL</t>
        </is>
      </c>
      <c r="L6511">
        <f>_xlfn.XLOOKUP(Tableau1[[#This Row],[TYPE DE PIECE]],Tableau4[MATIERE],Tableau4[SHORT TYPE],"",0,1)</f>
        <v/>
      </c>
      <c r="N6511" t="inlineStr">
        <is>
          <t>LVS04563</t>
        </is>
      </c>
    </row>
    <row r="6512">
      <c r="B6512" t="n">
        <v>34407493</v>
      </c>
      <c r="C6512" s="2" t="n"/>
      <c r="E6512" t="inlineStr">
        <is>
          <t>DECOUPE LINERGY 04563 1250A  L=970mm</t>
        </is>
      </c>
      <c r="F6512" t="inlineStr">
        <is>
          <t>GVS MBP</t>
        </is>
      </c>
      <c r="J6512" t="inlineStr">
        <is>
          <t>MATRION</t>
        </is>
      </c>
      <c r="K6512" t="inlineStr">
        <is>
          <t>METAL</t>
        </is>
      </c>
      <c r="L6512">
        <f>_xlfn.XLOOKUP(Tableau1[[#This Row],[TYPE DE PIECE]],Tableau4[MATIERE],Tableau4[SHORT TYPE],"",0,1)</f>
        <v/>
      </c>
      <c r="N6512" t="inlineStr">
        <is>
          <t>LVS04563</t>
        </is>
      </c>
    </row>
    <row r="6513">
      <c r="B6513" t="n">
        <v>34407492</v>
      </c>
      <c r="C6513" s="2" t="n"/>
      <c r="E6513" t="inlineStr">
        <is>
          <t>COP 50x10 L PRISE ARRIERE NS800</t>
        </is>
      </c>
      <c r="F6513" t="inlineStr">
        <is>
          <t>GVS MBP</t>
        </is>
      </c>
      <c r="J6513" t="inlineStr">
        <is>
          <t>MATRION</t>
        </is>
      </c>
      <c r="L6513">
        <f>_xlfn.XLOOKUP(Tableau1[[#This Row],[TYPE DE PIECE]],Tableau4[MATIERE],Tableau4[SHORT TYPE],"",0,1)</f>
        <v/>
      </c>
      <c r="N6513">
        <f>IF(ISERR(FIND("DECOUPE",Tableau1[[#This Row],[DESIGNATION]])),"","NEED REF")</f>
        <v/>
      </c>
    </row>
    <row r="6514">
      <c r="B6514" t="n">
        <v>34407491</v>
      </c>
      <c r="C6514" s="2" t="n"/>
      <c r="E6514" t="inlineStr">
        <is>
          <t>COP MAINS 2</t>
        </is>
      </c>
      <c r="F6514" t="inlineStr">
        <is>
          <t>GVS MBP</t>
        </is>
      </c>
      <c r="J6514" t="inlineStr">
        <is>
          <t>MATRION</t>
        </is>
      </c>
      <c r="L6514">
        <f>_xlfn.XLOOKUP(Tableau1[[#This Row],[TYPE DE PIECE]],Tableau4[MATIERE],Tableau4[SHORT TYPE],"",0,1)</f>
        <v/>
      </c>
      <c r="N6514">
        <f>IF(ISERR(FIND("DECOUPE",Tableau1[[#This Row],[DESIGNATION]])),"","NEED REF")</f>
        <v/>
      </c>
    </row>
    <row r="6515">
      <c r="B6515" t="n">
        <v>34407490</v>
      </c>
      <c r="C6515" s="2" t="n"/>
      <c r="E6515" t="inlineStr">
        <is>
          <t>COP MAINS 1</t>
        </is>
      </c>
      <c r="F6515" t="inlineStr">
        <is>
          <t>GVS MBP</t>
        </is>
      </c>
      <c r="J6515" t="inlineStr">
        <is>
          <t>MATRION</t>
        </is>
      </c>
      <c r="K6515" t="inlineStr">
        <is>
          <t>CUIVRE</t>
        </is>
      </c>
      <c r="L6515">
        <f>_xlfn.XLOOKUP(Tableau1[[#This Row],[TYPE DE PIECE]],Tableau4[MATIERE],Tableau4[SHORT TYPE],"",0,1)</f>
        <v/>
      </c>
      <c r="N6515">
        <f>IF(ISERR(FIND("DECOUPE",Tableau1[[#This Row],[DESIGNATION]])),"","NEED REF")</f>
        <v/>
      </c>
    </row>
    <row r="6516">
      <c r="B6516" t="n">
        <v>34407489</v>
      </c>
      <c r="C6516" s="2" t="n">
        <v>43534</v>
      </c>
      <c r="D6516" t="inlineStr">
        <is>
          <t>SPEC</t>
        </is>
      </c>
      <c r="E6516" t="inlineStr">
        <is>
          <t>SMT SUPPORT 2 EXTRACTION ET TUNNEL</t>
        </is>
      </c>
      <c r="F6516" t="inlineStr">
        <is>
          <t>REGENBOX</t>
        </is>
      </c>
      <c r="J6516" t="inlineStr">
        <is>
          <t>BERNARDEAU</t>
        </is>
      </c>
      <c r="K6516" t="inlineStr">
        <is>
          <t>METAL</t>
        </is>
      </c>
      <c r="L6516">
        <f>_xlfn.XLOOKUP(Tableau1[[#This Row],[TYPE DE PIECE]],Tableau4[MATIERE],Tableau4[SHORT TYPE],"",0,1)</f>
        <v/>
      </c>
      <c r="N6516">
        <f>IF(ISERR(FIND("DECOUPE",Tableau1[[#This Row],[DESIGNATION]])),"","NEED REF")</f>
        <v/>
      </c>
    </row>
    <row r="6517">
      <c r="B6517" t="n">
        <v>34407488</v>
      </c>
      <c r="C6517" s="2" t="n">
        <v>43534</v>
      </c>
      <c r="D6517" t="inlineStr">
        <is>
          <t>SPEC</t>
        </is>
      </c>
      <c r="E6517" t="inlineStr">
        <is>
          <t>SMT SUPPORT 1 EXTRACTION ET TUNNEL</t>
        </is>
      </c>
      <c r="F6517" t="inlineStr">
        <is>
          <t>REGENBOX</t>
        </is>
      </c>
      <c r="J6517" t="inlineStr">
        <is>
          <t>BERNARDEAU</t>
        </is>
      </c>
      <c r="K6517" t="inlineStr">
        <is>
          <t>METAL</t>
        </is>
      </c>
      <c r="L6517">
        <f>_xlfn.XLOOKUP(Tableau1[[#This Row],[TYPE DE PIECE]],Tableau4[MATIERE],Tableau4[SHORT TYPE],"",0,1)</f>
        <v/>
      </c>
      <c r="N6517">
        <f>IF(ISERR(FIND("DECOUPE",Tableau1[[#This Row],[DESIGNATION]])),"","NEED REF")</f>
        <v/>
      </c>
    </row>
    <row r="6518">
      <c r="B6518" t="n">
        <v>34407487</v>
      </c>
      <c r="C6518" s="2" t="n">
        <v>43534</v>
      </c>
      <c r="D6518" t="inlineStr">
        <is>
          <t>SPEC</t>
        </is>
      </c>
      <c r="E6518" t="inlineStr">
        <is>
          <t>plastron</t>
        </is>
      </c>
      <c r="F6518" t="inlineStr">
        <is>
          <t>REGENBOX</t>
        </is>
      </c>
      <c r="J6518" t="inlineStr">
        <is>
          <t>BERNARDEAU</t>
        </is>
      </c>
      <c r="K6518" t="inlineStr">
        <is>
          <t>METAL</t>
        </is>
      </c>
      <c r="L6518">
        <f>_xlfn.XLOOKUP(Tableau1[[#This Row],[TYPE DE PIECE]],Tableau4[MATIERE],Tableau4[SHORT TYPE],"",0,1)</f>
        <v/>
      </c>
      <c r="N6518">
        <f>IF(ISERR(FIND("DECOUPE",Tableau1[[#This Row],[DESIGNATION]])),"","NEED REF")</f>
        <v/>
      </c>
    </row>
    <row r="6519">
      <c r="B6519" t="n">
        <v>34407486</v>
      </c>
      <c r="C6519" s="2" t="n">
        <v>43531</v>
      </c>
      <c r="D6519" t="inlineStr">
        <is>
          <t>SPEC</t>
        </is>
      </c>
      <c r="E6519" t="inlineStr">
        <is>
          <t>plastron</t>
        </is>
      </c>
      <c r="F6519" t="inlineStr">
        <is>
          <t>REGENBOX</t>
        </is>
      </c>
      <c r="J6519" t="inlineStr">
        <is>
          <t>BERNARDEAU</t>
        </is>
      </c>
      <c r="K6519" t="inlineStr">
        <is>
          <t>METAL</t>
        </is>
      </c>
      <c r="L6519">
        <f>_xlfn.XLOOKUP(Tableau1[[#This Row],[TYPE DE PIECE]],Tableau4[MATIERE],Tableau4[SHORT TYPE],"",0,1)</f>
        <v/>
      </c>
      <c r="N6519">
        <f>IF(ISERR(FIND("DECOUPE",Tableau1[[#This Row],[DESIGNATION]])),"","NEED REF")</f>
        <v/>
      </c>
    </row>
    <row r="6520">
      <c r="B6520" t="n">
        <v>34407485</v>
      </c>
      <c r="C6520" s="2" t="n">
        <v>43531</v>
      </c>
      <c r="D6520" t="inlineStr">
        <is>
          <t>SPEC</t>
        </is>
      </c>
      <c r="E6520" t="inlineStr">
        <is>
          <t>plastron</t>
        </is>
      </c>
      <c r="F6520" t="inlineStr">
        <is>
          <t>REGENBOX</t>
        </is>
      </c>
      <c r="J6520" t="inlineStr">
        <is>
          <t>BERNARDEAU</t>
        </is>
      </c>
      <c r="K6520" t="inlineStr">
        <is>
          <t>METAL</t>
        </is>
      </c>
      <c r="L6520">
        <f>_xlfn.XLOOKUP(Tableau1[[#This Row],[TYPE DE PIECE]],Tableau4[MATIERE],Tableau4[SHORT TYPE],"",0,1)</f>
        <v/>
      </c>
      <c r="N6520">
        <f>IF(ISERR(FIND("DECOUPE",Tableau1[[#This Row],[DESIGNATION]])),"","NEED REF")</f>
        <v/>
      </c>
    </row>
    <row r="6521">
      <c r="B6521" t="n">
        <v>34407484</v>
      </c>
      <c r="C6521" s="2" t="n">
        <v>43530</v>
      </c>
      <c r="D6521" t="inlineStr">
        <is>
          <t>SPEC</t>
        </is>
      </c>
      <c r="E6521" t="inlineStr">
        <is>
          <t>BACK PANEL 400x1900 GALAXY</t>
        </is>
      </c>
      <c r="F6521" t="inlineStr">
        <is>
          <t>QVE AUX</t>
        </is>
      </c>
      <c r="J6521" t="inlineStr">
        <is>
          <t>MATRION</t>
        </is>
      </c>
      <c r="K6521" t="inlineStr">
        <is>
          <t>METAL</t>
        </is>
      </c>
      <c r="L6521">
        <f>_xlfn.XLOOKUP(Tableau1[[#This Row],[TYPE DE PIECE]],Tableau4[MATIERE],Tableau4[SHORT TYPE],"",0,1)</f>
        <v/>
      </c>
      <c r="N6521">
        <f>IF(ISERR(FIND("DECOUPE",Tableau1[[#This Row],[DESIGNATION]])),"","NEED REF")</f>
        <v/>
      </c>
    </row>
    <row r="6522">
      <c r="B6522" t="n">
        <v>34407483</v>
      </c>
      <c r="C6522" s="2" t="n">
        <v>43530</v>
      </c>
      <c r="D6522" t="inlineStr">
        <is>
          <t>SPEC</t>
        </is>
      </c>
      <c r="E6522" t="inlineStr">
        <is>
          <t>DOOR 700x1900 GALAXY WHITE 9003</t>
        </is>
      </c>
      <c r="F6522" t="inlineStr">
        <is>
          <t>QVE AUX</t>
        </is>
      </c>
      <c r="J6522" t="inlineStr">
        <is>
          <t>MATRION</t>
        </is>
      </c>
      <c r="K6522" t="inlineStr">
        <is>
          <t>METAL</t>
        </is>
      </c>
      <c r="L6522">
        <f>_xlfn.XLOOKUP(Tableau1[[#This Row],[TYPE DE PIECE]],Tableau4[MATIERE],Tableau4[SHORT TYPE],"",0,1)</f>
        <v/>
      </c>
      <c r="N6522">
        <f>IF(ISERR(FIND("DECOUPE",Tableau1[[#This Row],[DESIGNATION]])),"","NEED REF")</f>
        <v/>
      </c>
    </row>
    <row r="6523">
      <c r="B6523" t="n">
        <v>34407482</v>
      </c>
      <c r="C6523" s="2" t="n">
        <v>43530</v>
      </c>
      <c r="D6523" t="inlineStr">
        <is>
          <t>SPEC</t>
        </is>
      </c>
      <c r="E6523" t="inlineStr">
        <is>
          <t>DOOR 700x1900 GALAXY WHITE 9003</t>
        </is>
      </c>
      <c r="F6523" t="inlineStr">
        <is>
          <t>QVE AUX</t>
        </is>
      </c>
      <c r="J6523" t="inlineStr">
        <is>
          <t>MATRION</t>
        </is>
      </c>
      <c r="K6523" t="inlineStr">
        <is>
          <t>METAL</t>
        </is>
      </c>
      <c r="L6523">
        <f>_xlfn.XLOOKUP(Tableau1[[#This Row],[TYPE DE PIECE]],Tableau4[MATIERE],Tableau4[SHORT TYPE],"",0,1)</f>
        <v/>
      </c>
      <c r="N6523">
        <f>IF(ISERR(FIND("DECOUPE",Tableau1[[#This Row],[DESIGNATION]])),"","NEED REF")</f>
        <v/>
      </c>
    </row>
    <row r="6524">
      <c r="B6524" t="n">
        <v>34407481</v>
      </c>
      <c r="C6524" s="2" t="n">
        <v>43529</v>
      </c>
      <c r="D6524" t="inlineStr">
        <is>
          <t>SPEC</t>
        </is>
      </c>
      <c r="E6524" t="inlineStr">
        <is>
          <t>SMT PLASTRON</t>
        </is>
      </c>
      <c r="F6524" t="inlineStr">
        <is>
          <t>BBB EASY UPS</t>
        </is>
      </c>
      <c r="J6524" t="inlineStr">
        <is>
          <t>MATRION</t>
        </is>
      </c>
      <c r="K6524" t="inlineStr">
        <is>
          <t>METAL</t>
        </is>
      </c>
      <c r="L6524">
        <f>_xlfn.XLOOKUP(Tableau1[[#This Row],[TYPE DE PIECE]],Tableau4[MATIERE],Tableau4[SHORT TYPE],"",0,1)</f>
        <v/>
      </c>
      <c r="N6524">
        <f>IF(ISERR(FIND("DECOUPE",Tableau1[[#This Row],[DESIGNATION]])),"","NEED REF")</f>
        <v/>
      </c>
    </row>
    <row r="6525">
      <c r="B6525" t="n">
        <v>34407480</v>
      </c>
      <c r="C6525" s="2" t="n">
        <v>43529</v>
      </c>
      <c r="D6525" t="inlineStr">
        <is>
          <t>SPEC</t>
        </is>
      </c>
      <c r="E6525" t="inlineStr">
        <is>
          <t>SAREL COFFRET BBB EASY UPS</t>
        </is>
      </c>
      <c r="F6525" t="inlineStr">
        <is>
          <t>BBB EASY UPS</t>
        </is>
      </c>
      <c r="J6525" t="inlineStr">
        <is>
          <t>MATRION</t>
        </is>
      </c>
      <c r="K6525" t="inlineStr">
        <is>
          <t>SAREL</t>
        </is>
      </c>
      <c r="L6525">
        <f>_xlfn.XLOOKUP(Tableau1[[#This Row],[TYPE DE PIECE]],Tableau4[MATIERE],Tableau4[SHORT TYPE],"",0,1)</f>
        <v/>
      </c>
      <c r="N6525">
        <f>IF(ISERR(FIND("DECOUPE",Tableau1[[#This Row],[DESIGNATION]])),"","NEED REF")</f>
        <v/>
      </c>
    </row>
    <row r="6526">
      <c r="B6526" t="n">
        <v>34407479</v>
      </c>
      <c r="C6526" s="2" t="n">
        <v>43529</v>
      </c>
      <c r="D6526" t="inlineStr">
        <is>
          <t>SPEC</t>
        </is>
      </c>
      <c r="E6526" t="inlineStr">
        <is>
          <t>SMT PLATINE DE FOND</t>
        </is>
      </c>
      <c r="F6526" t="inlineStr">
        <is>
          <t>BBB EASY UPS</t>
        </is>
      </c>
      <c r="J6526" t="inlineStr">
        <is>
          <t>MATRION</t>
        </is>
      </c>
      <c r="K6526" t="inlineStr">
        <is>
          <t>METAL</t>
        </is>
      </c>
      <c r="L6526">
        <f>_xlfn.XLOOKUP(Tableau1[[#This Row],[TYPE DE PIECE]],Tableau4[MATIERE],Tableau4[SHORT TYPE],"",0,1)</f>
        <v/>
      </c>
      <c r="N6526">
        <f>IF(ISERR(FIND("DECOUPE",Tableau1[[#This Row],[DESIGNATION]])),"","NEED REF")</f>
        <v/>
      </c>
    </row>
    <row r="6527">
      <c r="B6527" t="n">
        <v>34407478</v>
      </c>
      <c r="C6527" s="2" t="n">
        <v>43529</v>
      </c>
      <c r="D6527" t="inlineStr">
        <is>
          <t>SPEC</t>
        </is>
      </c>
      <c r="E6527" t="inlineStr">
        <is>
          <t>COP BUSBAR</t>
        </is>
      </c>
      <c r="F6527" t="inlineStr">
        <is>
          <t>BBB EASY UPS</t>
        </is>
      </c>
      <c r="J6527" t="inlineStr">
        <is>
          <t>MATRION</t>
        </is>
      </c>
      <c r="K6527" t="inlineStr">
        <is>
          <t>CUIVRE</t>
        </is>
      </c>
      <c r="L6527">
        <f>_xlfn.XLOOKUP(Tableau1[[#This Row],[TYPE DE PIECE]],Tableau4[MATIERE],Tableau4[SHORT TYPE],"",0,1)</f>
        <v/>
      </c>
      <c r="N6527">
        <f>IF(ISERR(FIND("DECOUPE",Tableau1[[#This Row],[DESIGNATION]])),"","NEED REF")</f>
        <v/>
      </c>
    </row>
    <row r="6528">
      <c r="B6528" t="n">
        <v>34407477</v>
      </c>
      <c r="C6528" s="2" t="n">
        <v>43529</v>
      </c>
      <c r="D6528" t="inlineStr">
        <is>
          <t>SPEC</t>
        </is>
      </c>
      <c r="E6528" t="inlineStr">
        <is>
          <t>COP B+</t>
        </is>
      </c>
      <c r="F6528" t="inlineStr">
        <is>
          <t>BBB EASY UPS</t>
        </is>
      </c>
      <c r="J6528" t="inlineStr">
        <is>
          <t>MATRION</t>
        </is>
      </c>
      <c r="K6528" t="inlineStr">
        <is>
          <t>CUIVRE</t>
        </is>
      </c>
      <c r="L6528">
        <f>_xlfn.XLOOKUP(Tableau1[[#This Row],[TYPE DE PIECE]],Tableau4[MATIERE],Tableau4[SHORT TYPE],"",0,1)</f>
        <v/>
      </c>
      <c r="N6528">
        <f>IF(ISERR(FIND("DECOUPE",Tableau1[[#This Row],[DESIGNATION]])),"","NEED REF")</f>
        <v/>
      </c>
    </row>
    <row r="6529">
      <c r="B6529" t="n">
        <v>34407476</v>
      </c>
      <c r="C6529" s="2" t="n">
        <v>43529</v>
      </c>
      <c r="D6529" t="inlineStr">
        <is>
          <t>SPEC</t>
        </is>
      </c>
      <c r="E6529" t="inlineStr">
        <is>
          <t>COP CT 2</t>
        </is>
      </c>
      <c r="F6529" t="inlineStr">
        <is>
          <t>BBB EASY UPS</t>
        </is>
      </c>
      <c r="J6529" t="inlineStr">
        <is>
          <t>MATRION</t>
        </is>
      </c>
      <c r="K6529" t="inlineStr">
        <is>
          <t>CUIVRE</t>
        </is>
      </c>
      <c r="L6529">
        <f>_xlfn.XLOOKUP(Tableau1[[#This Row],[TYPE DE PIECE]],Tableau4[MATIERE],Tableau4[SHORT TYPE],"",0,1)</f>
        <v/>
      </c>
      <c r="N6529">
        <f>IF(ISERR(FIND("DECOUPE",Tableau1[[#This Row],[DESIGNATION]])),"","NEED REF")</f>
        <v/>
      </c>
    </row>
    <row r="6530">
      <c r="B6530" t="n">
        <v>34407475</v>
      </c>
      <c r="C6530" s="2" t="n">
        <v>43529</v>
      </c>
      <c r="D6530" t="inlineStr">
        <is>
          <t>SPEC</t>
        </is>
      </c>
      <c r="E6530" t="inlineStr">
        <is>
          <t>COP CT 1</t>
        </is>
      </c>
      <c r="F6530" t="inlineStr">
        <is>
          <t>BBB EASY UPS</t>
        </is>
      </c>
      <c r="J6530" t="inlineStr">
        <is>
          <t>MATRION</t>
        </is>
      </c>
      <c r="K6530" t="inlineStr">
        <is>
          <t>CUIVRE</t>
        </is>
      </c>
      <c r="L6530">
        <f>_xlfn.XLOOKUP(Tableau1[[#This Row],[TYPE DE PIECE]],Tableau4[MATIERE],Tableau4[SHORT TYPE],"",0,1)</f>
        <v/>
      </c>
      <c r="N6530">
        <f>IF(ISERR(FIND("DECOUPE",Tableau1[[#This Row],[DESIGNATION]])),"","NEED REF")</f>
        <v/>
      </c>
    </row>
    <row r="6531">
      <c r="B6531" t="n">
        <v>34407474</v>
      </c>
      <c r="C6531" s="2" t="n">
        <v>43529</v>
      </c>
      <c r="D6531" t="inlineStr">
        <is>
          <t>SPEC</t>
        </is>
      </c>
      <c r="E6531" t="inlineStr">
        <is>
          <t>COP B-</t>
        </is>
      </c>
      <c r="F6531" t="inlineStr">
        <is>
          <t>BBB EASY UPS</t>
        </is>
      </c>
      <c r="J6531" t="inlineStr">
        <is>
          <t>MATRION</t>
        </is>
      </c>
      <c r="K6531" t="inlineStr">
        <is>
          <t>CUIVRE</t>
        </is>
      </c>
      <c r="L6531">
        <f>_xlfn.XLOOKUP(Tableau1[[#This Row],[TYPE DE PIECE]],Tableau4[MATIERE],Tableau4[SHORT TYPE],"",0,1)</f>
        <v/>
      </c>
      <c r="N6531">
        <f>IF(ISERR(FIND("DECOUPE",Tableau1[[#This Row],[DESIGNATION]])),"","NEED REF")</f>
        <v/>
      </c>
    </row>
    <row r="6532">
      <c r="B6532" t="n">
        <v>34407473</v>
      </c>
      <c r="C6532" s="2" t="n">
        <v>43525</v>
      </c>
      <c r="D6532" t="inlineStr">
        <is>
          <t>SPEC</t>
        </is>
      </c>
      <c r="E6532" t="inlineStr">
        <is>
          <t>34407371 + EPOXY - COP L3 LOAD REVERSED</t>
        </is>
      </c>
      <c r="F6532" t="inlineStr">
        <is>
          <t>IO 1000KVA GVX</t>
        </is>
      </c>
      <c r="J6532" t="inlineStr">
        <is>
          <t>MATRION</t>
        </is>
      </c>
      <c r="K6532" t="inlineStr">
        <is>
          <t>EPOXY</t>
        </is>
      </c>
      <c r="L6532">
        <f>_xlfn.XLOOKUP(Tableau1[[#This Row],[TYPE DE PIECE]],Tableau4[MATIERE],Tableau4[SHORT TYPE],"",0,1)</f>
        <v/>
      </c>
      <c r="N6532">
        <f>IF(ISERR(FIND("DECOUPE",Tableau1[[#This Row],[DESIGNATION]])),"","NEED REF")</f>
        <v/>
      </c>
    </row>
    <row r="6533">
      <c r="B6533" t="n">
        <v>34407472</v>
      </c>
      <c r="C6533" s="2" t="n">
        <v>43525</v>
      </c>
      <c r="D6533" t="inlineStr">
        <is>
          <t>SPEC</t>
        </is>
      </c>
      <c r="E6533" t="inlineStr">
        <is>
          <t>34407369 + EPOXY - COP L1 LOAD REVERSED</t>
        </is>
      </c>
      <c r="F6533" t="inlineStr">
        <is>
          <t>IO 1000KVA GVX</t>
        </is>
      </c>
      <c r="J6533" t="inlineStr">
        <is>
          <t>MATRION</t>
        </is>
      </c>
      <c r="K6533" t="inlineStr">
        <is>
          <t>EPOXY</t>
        </is>
      </c>
      <c r="L6533">
        <f>_xlfn.XLOOKUP(Tableau1[[#This Row],[TYPE DE PIECE]],Tableau4[MATIERE],Tableau4[SHORT TYPE],"",0,1)</f>
        <v/>
      </c>
      <c r="N6533">
        <f>IF(ISERR(FIND("DECOUPE",Tableau1[[#This Row],[DESIGNATION]])),"","NEED REF")</f>
        <v/>
      </c>
    </row>
    <row r="6534">
      <c r="B6534" t="n">
        <v>34407471</v>
      </c>
      <c r="C6534" s="2" t="n">
        <v>43525</v>
      </c>
      <c r="D6534" t="inlineStr">
        <is>
          <t>SPEC</t>
        </is>
      </c>
      <c r="E6534" t="inlineStr">
        <is>
          <t>34407366 + EPOXY - COP L3 MAINS REVERSED</t>
        </is>
      </c>
      <c r="F6534" t="inlineStr">
        <is>
          <t>IO 1000KVA GVX</t>
        </is>
      </c>
      <c r="J6534" t="inlineStr">
        <is>
          <t>MATRION</t>
        </is>
      </c>
      <c r="K6534" t="inlineStr">
        <is>
          <t>EPOXY</t>
        </is>
      </c>
      <c r="L6534">
        <f>_xlfn.XLOOKUP(Tableau1[[#This Row],[TYPE DE PIECE]],Tableau4[MATIERE],Tableau4[SHORT TYPE],"",0,1)</f>
        <v/>
      </c>
      <c r="N6534">
        <f>IF(ISERR(FIND("DECOUPE",Tableau1[[#This Row],[DESIGNATION]])),"","NEED REF")</f>
        <v/>
      </c>
    </row>
    <row r="6535">
      <c r="B6535" t="n">
        <v>34407470</v>
      </c>
      <c r="C6535" s="2" t="n">
        <v>43525</v>
      </c>
      <c r="D6535" t="inlineStr">
        <is>
          <t>SPEC</t>
        </is>
      </c>
      <c r="E6535" t="inlineStr">
        <is>
          <t>34407365 + EPOXY - COP L1 MAINS REVERSED</t>
        </is>
      </c>
      <c r="F6535" t="inlineStr">
        <is>
          <t>IO 1000KVA GVX</t>
        </is>
      </c>
      <c r="J6535" t="inlineStr">
        <is>
          <t>MATRION</t>
        </is>
      </c>
      <c r="K6535" t="inlineStr">
        <is>
          <t>EPOXY</t>
        </is>
      </c>
      <c r="L6535">
        <f>_xlfn.XLOOKUP(Tableau1[[#This Row],[TYPE DE PIECE]],Tableau4[MATIERE],Tableau4[SHORT TYPE],"",0,1)</f>
        <v/>
      </c>
      <c r="N6535">
        <f>IF(ISERR(FIND("DECOUPE",Tableau1[[#This Row],[DESIGNATION]])),"","NEED REF")</f>
        <v/>
      </c>
    </row>
    <row r="6536">
      <c r="B6536" t="n">
        <v>34407469</v>
      </c>
      <c r="C6536" s="2" t="n">
        <v>43525</v>
      </c>
      <c r="D6536" t="inlineStr">
        <is>
          <t>SPEC</t>
        </is>
      </c>
      <c r="E6536" t="inlineStr">
        <is>
          <t>34407364 + EPOXY - COP N MAINS REVERSED</t>
        </is>
      </c>
      <c r="F6536" t="inlineStr">
        <is>
          <t>IO 1000KVA GVX</t>
        </is>
      </c>
      <c r="J6536" t="inlineStr">
        <is>
          <t>MATRION</t>
        </is>
      </c>
      <c r="K6536" t="inlineStr">
        <is>
          <t>EPOXY</t>
        </is>
      </c>
      <c r="L6536">
        <f>_xlfn.XLOOKUP(Tableau1[[#This Row],[TYPE DE PIECE]],Tableau4[MATIERE],Tableau4[SHORT TYPE],"",0,1)</f>
        <v/>
      </c>
      <c r="N6536">
        <f>IF(ISERR(FIND("DECOUPE",Tableau1[[#This Row],[DESIGNATION]])),"","NEED REF")</f>
        <v/>
      </c>
    </row>
    <row r="6537">
      <c r="B6537" t="n">
        <v>34407468</v>
      </c>
      <c r="C6537" s="2" t="n">
        <v>43523</v>
      </c>
      <c r="D6537" t="inlineStr">
        <is>
          <t>SPEC</t>
        </is>
      </c>
      <c r="E6537" t="inlineStr">
        <is>
          <t>toit</t>
        </is>
      </c>
      <c r="F6537" t="inlineStr">
        <is>
          <t>REGENBOX</t>
        </is>
      </c>
      <c r="J6537" t="inlineStr">
        <is>
          <t>BERNARDEAU</t>
        </is>
      </c>
      <c r="K6537" t="inlineStr">
        <is>
          <t>METAL</t>
        </is>
      </c>
      <c r="L6537">
        <f>_xlfn.XLOOKUP(Tableau1[[#This Row],[TYPE DE PIECE]],Tableau4[MATIERE],Tableau4[SHORT TYPE],"",0,1)</f>
        <v/>
      </c>
      <c r="N6537">
        <f>IF(ISERR(FIND("DECOUPE",Tableau1[[#This Row],[DESIGNATION]])),"","NEED REF")</f>
        <v/>
      </c>
    </row>
    <row r="6538">
      <c r="B6538" t="n">
        <v>34407467</v>
      </c>
      <c r="C6538" s="2" t="n">
        <v>43522</v>
      </c>
      <c r="D6538" t="inlineStr">
        <is>
          <t>SPEC</t>
        </is>
      </c>
      <c r="E6538" t="inlineStr">
        <is>
          <t>PLATINE BAS</t>
        </is>
      </c>
      <c r="F6538" t="inlineStr">
        <is>
          <t>REGENBOX</t>
        </is>
      </c>
      <c r="J6538" t="inlineStr">
        <is>
          <t>BERNARDEAU</t>
        </is>
      </c>
      <c r="K6538" t="inlineStr">
        <is>
          <t>METAL</t>
        </is>
      </c>
      <c r="L6538">
        <f>_xlfn.XLOOKUP(Tableau1[[#This Row],[TYPE DE PIECE]],Tableau4[MATIERE],Tableau4[SHORT TYPE],"",0,1)</f>
        <v/>
      </c>
      <c r="N6538">
        <f>IF(ISERR(FIND("DECOUPE",Tableau1[[#This Row],[DESIGNATION]])),"","NEED REF")</f>
        <v/>
      </c>
    </row>
    <row r="6539">
      <c r="B6539" t="n">
        <v>34407466</v>
      </c>
      <c r="C6539" s="2" t="n">
        <v>43733</v>
      </c>
      <c r="D6539" t="inlineStr">
        <is>
          <t>SPEC</t>
        </is>
      </c>
      <c r="E6539" t="inlineStr">
        <is>
          <t>PLATINE HAUTE</t>
        </is>
      </c>
      <c r="F6539" t="inlineStr">
        <is>
          <t>REGENBOX</t>
        </is>
      </c>
      <c r="J6539" t="inlineStr">
        <is>
          <t>BERNARDEAU</t>
        </is>
      </c>
      <c r="K6539" t="inlineStr">
        <is>
          <t>METAL</t>
        </is>
      </c>
      <c r="L6539">
        <f>_xlfn.XLOOKUP(Tableau1[[#This Row],[TYPE DE PIECE]],Tableau4[MATIERE],Tableau4[SHORT TYPE],"",0,1)</f>
        <v/>
      </c>
      <c r="N6539">
        <f>IF(ISERR(FIND("DECOUPE",Tableau1[[#This Row],[DESIGNATION]])),"","NEED REF")</f>
        <v/>
      </c>
    </row>
    <row r="6540">
      <c r="B6540" t="n">
        <v>34407465</v>
      </c>
      <c r="C6540" s="2" t="n">
        <v>41174</v>
      </c>
      <c r="D6540" t="inlineStr">
        <is>
          <t>SPEC</t>
        </is>
      </c>
      <c r="E6540" t="inlineStr">
        <is>
          <t>SMT GLISSIERE MODULE THYRISTOR</t>
        </is>
      </c>
      <c r="F6540" t="inlineStr">
        <is>
          <t>REGENBOX</t>
        </is>
      </c>
      <c r="J6540" t="inlineStr">
        <is>
          <t>BERNARDEAU</t>
        </is>
      </c>
      <c r="K6540" t="inlineStr">
        <is>
          <t>METAL</t>
        </is>
      </c>
      <c r="L6540">
        <f>_xlfn.XLOOKUP(Tableau1[[#This Row],[TYPE DE PIECE]],Tableau4[MATIERE],Tableau4[SHORT TYPE],"",0,1)</f>
        <v/>
      </c>
      <c r="N6540">
        <f>IF(ISERR(FIND("DECOUPE",Tableau1[[#This Row],[DESIGNATION]])),"","NEED REF")</f>
        <v/>
      </c>
    </row>
    <row r="6541">
      <c r="B6541" t="n">
        <v>34407464</v>
      </c>
      <c r="C6541" s="2" t="n">
        <v>41174</v>
      </c>
      <c r="D6541" t="inlineStr">
        <is>
          <t>SPEC</t>
        </is>
      </c>
      <c r="E6541" t="inlineStr">
        <is>
          <t>SMT GLISSIERE MODULE THYRISTOR</t>
        </is>
      </c>
      <c r="F6541" t="inlineStr">
        <is>
          <t>REGENBOX</t>
        </is>
      </c>
      <c r="J6541" t="inlineStr">
        <is>
          <t>BERNARDEAU</t>
        </is>
      </c>
      <c r="K6541" t="inlineStr">
        <is>
          <t>METAL</t>
        </is>
      </c>
      <c r="L6541">
        <f>_xlfn.XLOOKUP(Tableau1[[#This Row],[TYPE DE PIECE]],Tableau4[MATIERE],Tableau4[SHORT TYPE],"",0,1)</f>
        <v/>
      </c>
      <c r="N6541">
        <f>IF(ISERR(FIND("DECOUPE",Tableau1[[#This Row],[DESIGNATION]])),"","NEED REF")</f>
        <v/>
      </c>
    </row>
    <row r="6542">
      <c r="B6542" t="n">
        <v>34407463</v>
      </c>
      <c r="C6542" s="2" t="n">
        <v>43518</v>
      </c>
      <c r="D6542" t="inlineStr">
        <is>
          <t>SPEC</t>
        </is>
      </c>
      <c r="E6542" t="inlineStr">
        <is>
          <t>traverse sup banc de charge</t>
        </is>
      </c>
      <c r="F6542" t="inlineStr">
        <is>
          <t>REGENBOX</t>
        </is>
      </c>
      <c r="J6542" t="inlineStr">
        <is>
          <t>BERNARDEAU</t>
        </is>
      </c>
      <c r="K6542" t="inlineStr">
        <is>
          <t>METAL</t>
        </is>
      </c>
      <c r="L6542">
        <f>_xlfn.XLOOKUP(Tableau1[[#This Row],[TYPE DE PIECE]],Tableau4[MATIERE],Tableau4[SHORT TYPE],"",0,1)</f>
        <v/>
      </c>
      <c r="N6542">
        <f>IF(ISERR(FIND("DECOUPE",Tableau1[[#This Row],[DESIGNATION]])),"","NEED REF")</f>
        <v/>
      </c>
    </row>
    <row r="6543">
      <c r="B6543" t="n">
        <v>34407462</v>
      </c>
      <c r="C6543" s="2" t="n">
        <v>43517</v>
      </c>
      <c r="D6543" t="inlineStr">
        <is>
          <t>SPEC</t>
        </is>
      </c>
      <c r="E6543" t="inlineStr">
        <is>
          <t>support inf banc de charge</t>
        </is>
      </c>
      <c r="F6543" t="inlineStr">
        <is>
          <t>REGENBOX</t>
        </is>
      </c>
      <c r="J6543" t="inlineStr">
        <is>
          <t>BERNARDEAU</t>
        </is>
      </c>
      <c r="K6543" t="inlineStr">
        <is>
          <t>METAL</t>
        </is>
      </c>
      <c r="L6543">
        <f>_xlfn.XLOOKUP(Tableau1[[#This Row],[TYPE DE PIECE]],Tableau4[MATIERE],Tableau4[SHORT TYPE],"",0,1)</f>
        <v/>
      </c>
      <c r="N6543">
        <f>IF(ISERR(FIND("DECOUPE",Tableau1[[#This Row],[DESIGNATION]])),"","NEED REF")</f>
        <v/>
      </c>
    </row>
    <row r="6544">
      <c r="B6544" t="n">
        <v>34407461</v>
      </c>
      <c r="C6544" s="2" t="n">
        <v>43517</v>
      </c>
      <c r="D6544" t="inlineStr">
        <is>
          <t>SPEC</t>
        </is>
      </c>
      <c r="E6544" t="inlineStr">
        <is>
          <t>traverse inf banc de charge</t>
        </is>
      </c>
      <c r="F6544" t="inlineStr">
        <is>
          <t>REGENBOX</t>
        </is>
      </c>
      <c r="J6544" t="inlineStr">
        <is>
          <t>BERNARDEAU</t>
        </is>
      </c>
      <c r="K6544" t="inlineStr">
        <is>
          <t>METAL</t>
        </is>
      </c>
      <c r="L6544">
        <f>_xlfn.XLOOKUP(Tableau1[[#This Row],[TYPE DE PIECE]],Tableau4[MATIERE],Tableau4[SHORT TYPE],"",0,1)</f>
        <v/>
      </c>
      <c r="N6544">
        <f>IF(ISERR(FIND("DECOUPE",Tableau1[[#This Row],[DESIGNATION]])),"","NEED REF")</f>
        <v/>
      </c>
    </row>
    <row r="6545">
      <c r="B6545" t="n">
        <v>34407460</v>
      </c>
      <c r="C6545" s="2" t="n">
        <v>43516</v>
      </c>
      <c r="D6545" t="inlineStr">
        <is>
          <t>SPEC</t>
        </is>
      </c>
      <c r="E6545" t="inlineStr">
        <is>
          <t>SUPPORT S/E CS BREAKER CHOPPER</t>
        </is>
      </c>
      <c r="F6545" t="inlineStr">
        <is>
          <t>REGENBOX</t>
        </is>
      </c>
      <c r="J6545" t="inlineStr">
        <is>
          <t>BERNARDEAU</t>
        </is>
      </c>
      <c r="K6545" t="inlineStr">
        <is>
          <t>METAL</t>
        </is>
      </c>
      <c r="L6545">
        <f>_xlfn.XLOOKUP(Tableau1[[#This Row],[TYPE DE PIECE]],Tableau4[MATIERE],Tableau4[SHORT TYPE],"",0,1)</f>
        <v/>
      </c>
      <c r="N6545">
        <f>IF(ISERR(FIND("DECOUPE",Tableau1[[#This Row],[DESIGNATION]])),"","NEED REF")</f>
        <v/>
      </c>
    </row>
    <row r="6546">
      <c r="B6546" t="n">
        <v>34407459</v>
      </c>
      <c r="C6546" s="2" t="n">
        <v>43507</v>
      </c>
      <c r="D6546" t="inlineStr">
        <is>
          <t>SPEC</t>
        </is>
      </c>
      <c r="E6546" t="inlineStr">
        <is>
          <t>TOIT BIRDY 800*700 plaque alu ajourée avant</t>
        </is>
      </c>
      <c r="J6546" t="inlineStr">
        <is>
          <t>bernardeau</t>
        </is>
      </c>
      <c r="K6546" t="inlineStr">
        <is>
          <t>alu</t>
        </is>
      </c>
      <c r="L6546">
        <f>_xlfn.XLOOKUP(Tableau1[[#This Row],[TYPE DE PIECE]],Tableau4[MATIERE],Tableau4[SHORT TYPE],"",0,1)</f>
        <v/>
      </c>
      <c r="N6546">
        <f>IF(ISERR(FIND("DECOUPE",Tableau1[[#This Row],[DESIGNATION]])),"","NEED REF")</f>
        <v/>
      </c>
    </row>
    <row r="6547">
      <c r="B6547" t="n">
        <v>34407458</v>
      </c>
      <c r="C6547" s="2" t="n">
        <v>43509</v>
      </c>
      <c r="D6547" t="inlineStr">
        <is>
          <t>SPEC</t>
        </is>
      </c>
      <c r="E6547" t="inlineStr">
        <is>
          <t xml:space="preserve">COP PE 2HOLES SYMPX SYBBE </t>
        </is>
      </c>
      <c r="F6547" t="inlineStr">
        <is>
          <t>MICROSOFT</t>
        </is>
      </c>
      <c r="J6547" t="inlineStr">
        <is>
          <t>MATRION</t>
        </is>
      </c>
      <c r="K6547" t="inlineStr">
        <is>
          <t>CUIVRE</t>
        </is>
      </c>
      <c r="L6547">
        <f>_xlfn.XLOOKUP(Tableau1[[#This Row],[TYPE DE PIECE]],Tableau4[MATIERE],Tableau4[SHORT TYPE],"",0,1)</f>
        <v/>
      </c>
      <c r="N6547">
        <f>IF(ISERR(FIND("DECOUPE",Tableau1[[#This Row],[DESIGNATION]])),"","NEED REF")</f>
        <v/>
      </c>
    </row>
    <row r="6548">
      <c r="B6548" t="n">
        <v>34407457</v>
      </c>
      <c r="C6548" s="2" t="n">
        <v>43509</v>
      </c>
      <c r="D6548" t="inlineStr">
        <is>
          <t>SPEC</t>
        </is>
      </c>
      <c r="E6548" t="inlineStr">
        <is>
          <t>support INS QCGA77760 regenbox</t>
        </is>
      </c>
      <c r="F6548" t="inlineStr">
        <is>
          <t>REGENBOX</t>
        </is>
      </c>
      <c r="J6548" t="inlineStr">
        <is>
          <t>BERNARDEAU</t>
        </is>
      </c>
      <c r="K6548" t="inlineStr">
        <is>
          <t>METAL</t>
        </is>
      </c>
      <c r="L6548">
        <f>_xlfn.XLOOKUP(Tableau1[[#This Row],[TYPE DE PIECE]],Tableau4[MATIERE],Tableau4[SHORT TYPE],"",0,1)</f>
        <v/>
      </c>
      <c r="N6548">
        <f>IF(ISERR(FIND("DECOUPE",Tableau1[[#This Row],[DESIGNATION]])),"","NEED REF")</f>
        <v/>
      </c>
    </row>
    <row r="6549">
      <c r="B6549" t="n">
        <v>34407456</v>
      </c>
      <c r="C6549" s="2" t="n">
        <v>43509</v>
      </c>
      <c r="D6549" t="inlineStr">
        <is>
          <t>SPEC</t>
        </is>
      </c>
      <c r="E6549" t="inlineStr">
        <is>
          <t>support</t>
        </is>
      </c>
      <c r="F6549" t="inlineStr">
        <is>
          <t>REGENBOX</t>
        </is>
      </c>
      <c r="J6549" t="inlineStr">
        <is>
          <t>BERNARDEAU</t>
        </is>
      </c>
      <c r="K6549" t="inlineStr">
        <is>
          <t>METAL</t>
        </is>
      </c>
      <c r="L6549">
        <f>_xlfn.XLOOKUP(Tableau1[[#This Row],[TYPE DE PIECE]],Tableau4[MATIERE],Tableau4[SHORT TYPE],"",0,1)</f>
        <v/>
      </c>
      <c r="N6549">
        <f>IF(ISERR(FIND("DECOUPE",Tableau1[[#This Row],[DESIGNATION]])),"","NEED REF")</f>
        <v/>
      </c>
    </row>
    <row r="6550">
      <c r="B6550" t="n">
        <v>34407455</v>
      </c>
      <c r="C6550" s="2" t="n">
        <v>43509</v>
      </c>
      <c r="D6550" t="inlineStr">
        <is>
          <t>SPEC</t>
        </is>
      </c>
      <c r="E6550" t="inlineStr">
        <is>
          <t>BANC DE CHARGE 70KW RESISTEL D190070</t>
        </is>
      </c>
      <c r="F6550" t="inlineStr">
        <is>
          <t>REGENBOX</t>
        </is>
      </c>
      <c r="J6550" t="inlineStr">
        <is>
          <t>MATRION</t>
        </is>
      </c>
      <c r="L6550">
        <f>_xlfn.XLOOKUP(Tableau1[[#This Row],[TYPE DE PIECE]],Tableau4[MATIERE],Tableau4[SHORT TYPE],"",0,1)</f>
        <v/>
      </c>
      <c r="N6550">
        <f>IF(ISERR(FIND("DECOUPE",Tableau1[[#This Row],[DESIGNATION]])),"","NEED REF")</f>
        <v/>
      </c>
    </row>
    <row r="6551">
      <c r="B6551" t="n">
        <v>34407454</v>
      </c>
      <c r="C6551" s="2" t="n">
        <v>43507</v>
      </c>
      <c r="D6551" t="inlineStr">
        <is>
          <t>NOM</t>
        </is>
      </c>
      <c r="E6551" t="inlineStr">
        <is>
          <t>COFFRET S3D - H600xL600xP300 + châssis plein + Ouies + Double passe câbles</t>
        </is>
      </c>
      <c r="F6551" t="inlineStr">
        <is>
          <t>SUVT</t>
        </is>
      </c>
      <c r="J6551" t="inlineStr">
        <is>
          <t>MATRION</t>
        </is>
      </c>
      <c r="L6551">
        <f>_xlfn.XLOOKUP(Tableau1[[#This Row],[TYPE DE PIECE]],Tableau4[MATIERE],Tableau4[SHORT TYPE],"",0,1)</f>
        <v/>
      </c>
      <c r="N6551">
        <f>IF(ISERR(FIND("DECOUPE",Tableau1[[#This Row],[DESIGNATION]])),"","NEED REF")</f>
        <v/>
      </c>
    </row>
    <row r="6552">
      <c r="B6552" t="n">
        <v>34407453</v>
      </c>
      <c r="C6552" s="2" t="n">
        <v>43507</v>
      </c>
      <c r="D6552" t="inlineStr">
        <is>
          <t>SPEC</t>
        </is>
      </c>
      <c r="E6552" t="inlineStr">
        <is>
          <t>NSYS3D6630P DECOUPE OUIE + PASSE CABLE HAUT</t>
        </is>
      </c>
      <c r="F6552" t="inlineStr">
        <is>
          <t>SUVT</t>
        </is>
      </c>
      <c r="J6552" t="inlineStr">
        <is>
          <t>MATRION</t>
        </is>
      </c>
      <c r="K6552" t="inlineStr">
        <is>
          <t>METAL</t>
        </is>
      </c>
      <c r="L6552">
        <f>_xlfn.XLOOKUP(Tableau1[[#This Row],[TYPE DE PIECE]],Tableau4[MATIERE],Tableau4[SHORT TYPE],"",0,1)</f>
        <v/>
      </c>
      <c r="N6552" t="inlineStr">
        <is>
          <t>NSYS3D6630P</t>
        </is>
      </c>
    </row>
    <row r="6553">
      <c r="B6553" t="n">
        <v>34407452</v>
      </c>
      <c r="C6553" s="2" t="n">
        <v>43507</v>
      </c>
      <c r="D6553" t="inlineStr">
        <is>
          <t>SPEC</t>
        </is>
      </c>
      <c r="E6553" t="inlineStr">
        <is>
          <t>Technical production specification FFS CSDT board</t>
        </is>
      </c>
      <c r="J6553" t="inlineStr">
        <is>
          <t>PLANTIER</t>
        </is>
      </c>
      <c r="K6553" t="inlineStr">
        <is>
          <t>FILERIE</t>
        </is>
      </c>
      <c r="L6553">
        <f>_xlfn.XLOOKUP(Tableau1[[#This Row],[TYPE DE PIECE]],Tableau4[MATIERE],Tableau4[SHORT TYPE],"",0,1)</f>
        <v/>
      </c>
      <c r="N6553">
        <f>IF(ISERR(FIND("DECOUPE",Tableau1[[#This Row],[DESIGNATION]])),"","NEED REF")</f>
        <v/>
      </c>
    </row>
    <row r="6554">
      <c r="B6554" t="n">
        <v>34407451</v>
      </c>
      <c r="C6554" s="2" t="n">
        <v>43507</v>
      </c>
      <c r="D6554" t="inlineStr">
        <is>
          <t>SPEC</t>
        </is>
      </c>
      <c r="E6554" t="inlineStr">
        <is>
          <t xml:space="preserve">Technical production specification FFS adaptation SS cooling </t>
        </is>
      </c>
      <c r="J6554" t="inlineStr">
        <is>
          <t>PLANTIER</t>
        </is>
      </c>
      <c r="K6554" t="inlineStr">
        <is>
          <t>FILERIE</t>
        </is>
      </c>
      <c r="L6554">
        <f>_xlfn.XLOOKUP(Tableau1[[#This Row],[TYPE DE PIECE]],Tableau4[MATIERE],Tableau4[SHORT TYPE],"",0,1)</f>
        <v/>
      </c>
      <c r="N6554">
        <f>IF(ISERR(FIND("DECOUPE",Tableau1[[#This Row],[DESIGNATION]])),"","NEED REF")</f>
        <v/>
      </c>
    </row>
    <row r="6555">
      <c r="B6555" t="n">
        <v>34407450</v>
      </c>
      <c r="C6555" s="2" t="n">
        <v>43507</v>
      </c>
      <c r="D6555" t="inlineStr">
        <is>
          <t>SPEC</t>
        </is>
      </c>
      <c r="E6555" t="inlineStr">
        <is>
          <t xml:space="preserve">Technical production specification FFS heatpype fans </t>
        </is>
      </c>
      <c r="J6555" t="inlineStr">
        <is>
          <t>PLANTIER</t>
        </is>
      </c>
      <c r="K6555" t="inlineStr">
        <is>
          <t>FILERIE</t>
        </is>
      </c>
      <c r="L6555">
        <f>_xlfn.XLOOKUP(Tableau1[[#This Row],[TYPE DE PIECE]],Tableau4[MATIERE],Tableau4[SHORT TYPE],"",0,1)</f>
        <v/>
      </c>
      <c r="N6555">
        <f>IF(ISERR(FIND("DECOUPE",Tableau1[[#This Row],[DESIGNATION]])),"","NEED REF")</f>
        <v/>
      </c>
    </row>
    <row r="6556">
      <c r="B6556" t="n">
        <v>34407449</v>
      </c>
      <c r="C6556" s="2" t="n">
        <v>43507</v>
      </c>
      <c r="D6556" t="inlineStr">
        <is>
          <t>SPEC</t>
        </is>
      </c>
      <c r="E6556" t="inlineStr">
        <is>
          <t>KIT FILERIE TI</t>
        </is>
      </c>
      <c r="J6556" t="inlineStr">
        <is>
          <t>PLANTIER</t>
        </is>
      </c>
      <c r="K6556" t="inlineStr">
        <is>
          <t>FILERIE</t>
        </is>
      </c>
      <c r="L6556">
        <f>_xlfn.XLOOKUP(Tableau1[[#This Row],[TYPE DE PIECE]],Tableau4[MATIERE],Tableau4[SHORT TYPE],"",0,1)</f>
        <v/>
      </c>
      <c r="N6556">
        <f>IF(ISERR(FIND("DECOUPE",Tableau1[[#This Row],[DESIGNATION]])),"","NEED REF")</f>
        <v/>
      </c>
    </row>
    <row r="6557">
      <c r="B6557" t="n">
        <v>34407448</v>
      </c>
      <c r="C6557" s="2" t="n">
        <v>43507</v>
      </c>
      <c r="D6557" t="inlineStr">
        <is>
          <t>SPEC</t>
        </is>
      </c>
      <c r="E6557" t="inlineStr">
        <is>
          <t>KIT LIMANDES ALIMS ET CS</t>
        </is>
      </c>
      <c r="J6557" t="inlineStr">
        <is>
          <t>PLANTIER</t>
        </is>
      </c>
      <c r="K6557" t="inlineStr">
        <is>
          <t>FILERIE</t>
        </is>
      </c>
      <c r="L6557">
        <f>_xlfn.XLOOKUP(Tableau1[[#This Row],[TYPE DE PIECE]],Tableau4[MATIERE],Tableau4[SHORT TYPE],"",0,1)</f>
        <v/>
      </c>
      <c r="N6557">
        <f>IF(ISERR(FIND("DECOUPE",Tableau1[[#This Row],[DESIGNATION]])),"","NEED REF")</f>
        <v/>
      </c>
    </row>
    <row r="6558">
      <c r="B6558" t="n">
        <v>34407447</v>
      </c>
      <c r="C6558" s="2" t="n">
        <v>43507</v>
      </c>
      <c r="D6558" t="inlineStr">
        <is>
          <t>SPEC</t>
        </is>
      </c>
      <c r="E6558" t="inlineStr">
        <is>
          <t>Technical production specification FFS EXPUT  board</t>
        </is>
      </c>
      <c r="J6558" t="inlineStr">
        <is>
          <t>PLANTIER</t>
        </is>
      </c>
      <c r="K6558" t="inlineStr">
        <is>
          <t>FILERIE</t>
        </is>
      </c>
      <c r="L6558">
        <f>_xlfn.XLOOKUP(Tableau1[[#This Row],[TYPE DE PIECE]],Tableau4[MATIERE],Tableau4[SHORT TYPE],"",0,1)</f>
        <v/>
      </c>
      <c r="N6558">
        <f>IF(ISERR(FIND("DECOUPE",Tableau1[[#This Row],[DESIGNATION]])),"","NEED REF")</f>
        <v/>
      </c>
    </row>
    <row r="6559">
      <c r="B6559" t="n">
        <v>34407446</v>
      </c>
      <c r="C6559" s="2" t="n">
        <v>43507</v>
      </c>
      <c r="D6559" t="inlineStr">
        <is>
          <t>SPEC</t>
        </is>
      </c>
      <c r="E6559" t="inlineStr">
        <is>
          <t>ETIQUETTE identifications affaire SPSE</t>
        </is>
      </c>
      <c r="F6559" t="inlineStr">
        <is>
          <t>BYPASS+ASI+BATTERIE</t>
        </is>
      </c>
      <c r="J6559" t="inlineStr">
        <is>
          <t>ROBERT</t>
        </is>
      </c>
      <c r="K6559" t="inlineStr">
        <is>
          <t>ETIQUETTE</t>
        </is>
      </c>
      <c r="L6559">
        <f>_xlfn.XLOOKUP(Tableau1[[#This Row],[TYPE DE PIECE]],Tableau4[MATIERE],Tableau4[SHORT TYPE],"",0,1)</f>
        <v/>
      </c>
      <c r="N6559">
        <f>IF(ISERR(FIND("DECOUPE",Tableau1[[#This Row],[DESIGNATION]])),"","NEED REF")</f>
        <v/>
      </c>
    </row>
    <row r="6560">
      <c r="B6560" t="n">
        <v>34407445</v>
      </c>
      <c r="C6560" s="2" t="n">
        <v>42926</v>
      </c>
      <c r="D6560" t="inlineStr">
        <is>
          <t>SPEC</t>
        </is>
      </c>
      <c r="E6560" t="inlineStr">
        <is>
          <t>SMT SUPPORT PEN AVANT</t>
        </is>
      </c>
      <c r="F6560" t="inlineStr">
        <is>
          <t>MBC GVX</t>
        </is>
      </c>
      <c r="J6560" t="inlineStr">
        <is>
          <t>MATRION</t>
        </is>
      </c>
      <c r="K6560" t="inlineStr">
        <is>
          <t>CUIVRE</t>
        </is>
      </c>
      <c r="L6560">
        <f>_xlfn.XLOOKUP(Tableau1[[#This Row],[TYPE DE PIECE]],Tableau4[MATIERE],Tableau4[SHORT TYPE],"",0,1)</f>
        <v/>
      </c>
      <c r="N6560">
        <f>IF(ISERR(FIND("DECOUPE",Tableau1[[#This Row],[DESIGNATION]])),"","NEED REF")</f>
        <v/>
      </c>
    </row>
    <row r="6561">
      <c r="B6561" t="n">
        <v>34407444</v>
      </c>
      <c r="C6561" s="2" t="n">
        <v>42926</v>
      </c>
      <c r="D6561" t="inlineStr">
        <is>
          <t>SPEC</t>
        </is>
      </c>
      <c r="E6561" t="inlineStr">
        <is>
          <t>COP RACCORDEMENT PEN</t>
        </is>
      </c>
      <c r="F6561" t="inlineStr">
        <is>
          <t>MBC GVX</t>
        </is>
      </c>
      <c r="J6561" t="inlineStr">
        <is>
          <t>MATRION</t>
        </is>
      </c>
      <c r="K6561" t="inlineStr">
        <is>
          <t>CUIVRE</t>
        </is>
      </c>
      <c r="L6561">
        <f>_xlfn.XLOOKUP(Tableau1[[#This Row],[TYPE DE PIECE]],Tableau4[MATIERE],Tableau4[SHORT TYPE],"",0,1)</f>
        <v/>
      </c>
      <c r="N6561">
        <f>IF(ISERR(FIND("DECOUPE",Tableau1[[#This Row],[DESIGNATION]])),"","NEED REF")</f>
        <v/>
      </c>
    </row>
    <row r="6562">
      <c r="B6562" t="n">
        <v>34407443</v>
      </c>
      <c r="C6562" s="2" t="n">
        <v>43507</v>
      </c>
      <c r="D6562" t="inlineStr">
        <is>
          <t>SPEC</t>
        </is>
      </c>
      <c r="E6562" t="inlineStr">
        <is>
          <t xml:space="preserve">Surtoit IP21 </t>
        </is>
      </c>
      <c r="F6562" t="inlineStr">
        <is>
          <t>EASY UPS 10-40kVA High Tower</t>
        </is>
      </c>
      <c r="J6562" t="inlineStr">
        <is>
          <t>ROBERT</t>
        </is>
      </c>
      <c r="K6562" t="inlineStr">
        <is>
          <t>METAL</t>
        </is>
      </c>
      <c r="L6562">
        <f>_xlfn.XLOOKUP(Tableau1[[#This Row],[TYPE DE PIECE]],Tableau4[MATIERE],Tableau4[SHORT TYPE],"",0,1)</f>
        <v/>
      </c>
      <c r="N6562">
        <f>IF(ISERR(FIND("DECOUPE",Tableau1[[#This Row],[DESIGNATION]])),"","NEED REF")</f>
        <v/>
      </c>
    </row>
    <row r="6563">
      <c r="B6563" t="n">
        <v>34407442</v>
      </c>
      <c r="C6563" s="2" t="n">
        <v>43503</v>
      </c>
      <c r="D6563" t="inlineStr">
        <is>
          <t>SPEC</t>
        </is>
      </c>
      <c r="E6563" t="inlineStr">
        <is>
          <t>SMT SUPPORT FU DC</t>
        </is>
      </c>
      <c r="J6563" t="inlineStr">
        <is>
          <t>BERNARDEAU</t>
        </is>
      </c>
      <c r="K6563" t="inlineStr">
        <is>
          <t>METAL</t>
        </is>
      </c>
      <c r="L6563">
        <f>_xlfn.XLOOKUP(Tableau1[[#This Row],[TYPE DE PIECE]],Tableau4[MATIERE],Tableau4[SHORT TYPE],"",0,1)</f>
        <v/>
      </c>
      <c r="N6563">
        <f>IF(ISERR(FIND("DECOUPE",Tableau1[[#This Row],[DESIGNATION]])),"","NEED REF")</f>
        <v/>
      </c>
    </row>
    <row r="6564">
      <c r="B6564" t="n">
        <v>34407441</v>
      </c>
      <c r="C6564" s="2" t="n">
        <v>43502</v>
      </c>
      <c r="D6564" t="inlineStr">
        <is>
          <t>SPEC</t>
        </is>
      </c>
      <c r="E6564" t="inlineStr">
        <is>
          <t>PLAGE ALU NW POUR FLEX</t>
        </is>
      </c>
      <c r="J6564" t="inlineStr">
        <is>
          <t>BERNARDEAU</t>
        </is>
      </c>
      <c r="K6564" t="inlineStr">
        <is>
          <t>ALU</t>
        </is>
      </c>
      <c r="L6564">
        <f>_xlfn.XLOOKUP(Tableau1[[#This Row],[TYPE DE PIECE]],Tableau4[MATIERE],Tableau4[SHORT TYPE],"",0,1)</f>
        <v/>
      </c>
      <c r="N6564">
        <f>IF(ISERR(FIND("DECOUPE",Tableau1[[#This Row],[DESIGNATION]])),"","NEED REF")</f>
        <v/>
      </c>
    </row>
    <row r="6565">
      <c r="B6565" t="n">
        <v>34407440</v>
      </c>
      <c r="C6565" s="2" t="n">
        <v>43502</v>
      </c>
      <c r="D6565" t="inlineStr">
        <is>
          <t>SPEC</t>
        </is>
      </c>
      <c r="E6565" t="inlineStr">
        <is>
          <t>COP FLEXIBAR NW40DC DROITE</t>
        </is>
      </c>
      <c r="J6565" t="inlineStr">
        <is>
          <t>BERNARDEAU</t>
        </is>
      </c>
      <c r="K6565" t="inlineStr">
        <is>
          <t>METAL</t>
        </is>
      </c>
      <c r="L6565">
        <f>_xlfn.XLOOKUP(Tableau1[[#This Row],[TYPE DE PIECE]],Tableau4[MATIERE],Tableau4[SHORT TYPE],"",0,1)</f>
        <v/>
      </c>
      <c r="N6565">
        <f>IF(ISERR(FIND("DECOUPE",Tableau1[[#This Row],[DESIGNATION]])),"","NEED REF")</f>
        <v/>
      </c>
    </row>
    <row r="6566">
      <c r="B6566" t="n">
        <v>34407439</v>
      </c>
      <c r="C6566" s="2" t="n">
        <v>43502</v>
      </c>
      <c r="D6566" t="inlineStr">
        <is>
          <t>SPEC</t>
        </is>
      </c>
      <c r="E6566" t="inlineStr">
        <is>
          <t>SMT SUPPORT FLEX</t>
        </is>
      </c>
      <c r="J6566" t="inlineStr">
        <is>
          <t>BERNARDEAU</t>
        </is>
      </c>
      <c r="K6566" t="inlineStr">
        <is>
          <t>METAL</t>
        </is>
      </c>
      <c r="L6566">
        <f>_xlfn.XLOOKUP(Tableau1[[#This Row],[TYPE DE PIECE]],Tableau4[MATIERE],Tableau4[SHORT TYPE],"",0,1)</f>
        <v/>
      </c>
      <c r="N6566">
        <f>IF(ISERR(FIND("DECOUPE",Tableau1[[#This Row],[DESIGNATION]])),"","NEED REF")</f>
        <v/>
      </c>
    </row>
    <row r="6567">
      <c r="B6567" t="n">
        <v>34407438</v>
      </c>
      <c r="C6567" s="2" t="n">
        <v>43501</v>
      </c>
      <c r="D6567" t="inlineStr">
        <is>
          <t>SPEC</t>
        </is>
      </c>
      <c r="E6567" t="inlineStr">
        <is>
          <t>TOLE PLIEE "L" SUPPORT RAIL DIN SYMETRIQUE</t>
        </is>
      </c>
      <c r="F6567" t="n">
        <v>676033781</v>
      </c>
      <c r="J6567" t="inlineStr">
        <is>
          <t>BERNARDEAU</t>
        </is>
      </c>
      <c r="K6567" t="inlineStr">
        <is>
          <t>METAL</t>
        </is>
      </c>
      <c r="L6567">
        <f>_xlfn.XLOOKUP(Tableau1[[#This Row],[TYPE DE PIECE]],Tableau4[MATIERE],Tableau4[SHORT TYPE],"",0,1)</f>
        <v/>
      </c>
      <c r="N6567">
        <f>IF(ISERR(FIND("DECOUPE",Tableau1[[#This Row],[DESIGNATION]])),"","NEED REF")</f>
        <v/>
      </c>
    </row>
    <row r="6568">
      <c r="B6568" t="n">
        <v>34407437</v>
      </c>
      <c r="C6568" s="2" t="n">
        <v>43501</v>
      </c>
      <c r="D6568" t="inlineStr">
        <is>
          <t>SPEC</t>
        </is>
      </c>
      <c r="E6568" t="inlineStr">
        <is>
          <t>RAIL DIN SYMETRIQUE LG 240mm</t>
        </is>
      </c>
      <c r="F6568" t="n">
        <v>676033781</v>
      </c>
      <c r="J6568" t="inlineStr">
        <is>
          <t>BERNARDEAU</t>
        </is>
      </c>
      <c r="K6568" t="inlineStr">
        <is>
          <t>METAL</t>
        </is>
      </c>
      <c r="L6568">
        <f>_xlfn.XLOOKUP(Tableau1[[#This Row],[TYPE DE PIECE]],Tableau4[MATIERE],Tableau4[SHORT TYPE],"",0,1)</f>
        <v/>
      </c>
      <c r="N6568">
        <f>IF(ISERR(FIND("DECOUPE",Tableau1[[#This Row],[DESIGNATION]])),"","NEED REF")</f>
        <v/>
      </c>
    </row>
    <row r="6569">
      <c r="B6569" t="n">
        <v>34407436</v>
      </c>
      <c r="C6569" s="2" t="n">
        <v>43501</v>
      </c>
      <c r="D6569" t="inlineStr">
        <is>
          <t>SPEC</t>
        </is>
      </c>
      <c r="E6569" t="inlineStr">
        <is>
          <t>OPTION KIT VERROUILLAGE Q3BP</t>
        </is>
      </c>
      <c r="F6569" t="n">
        <v>676033781</v>
      </c>
      <c r="J6569" t="inlineStr">
        <is>
          <t>BERNARDEAU</t>
        </is>
      </c>
      <c r="K6569" t="inlineStr">
        <is>
          <t>METAL</t>
        </is>
      </c>
      <c r="L6569">
        <f>_xlfn.XLOOKUP(Tableau1[[#This Row],[TYPE DE PIECE]],Tableau4[MATIERE],Tableau4[SHORT TYPE],"",0,1)</f>
        <v/>
      </c>
      <c r="N6569">
        <f>IF(ISERR(FIND("DECOUPE",Tableau1[[#This Row],[DESIGNATION]])),"","NEED REF")</f>
        <v/>
      </c>
    </row>
    <row r="6570">
      <c r="B6570" t="n">
        <v>34407435</v>
      </c>
      <c r="C6570" s="2" t="n">
        <v>43500</v>
      </c>
      <c r="D6570" t="inlineStr">
        <is>
          <t>SPEC</t>
        </is>
      </c>
      <c r="E6570" t="inlineStr">
        <is>
          <t>DOOR SF 1000x1900 + IHM + AIR INLET + BAC STI</t>
        </is>
      </c>
      <c r="F6570" t="n">
        <v>676033781</v>
      </c>
      <c r="J6570" t="inlineStr">
        <is>
          <t>BERNARDEAU</t>
        </is>
      </c>
      <c r="K6570" t="inlineStr">
        <is>
          <t>METAL</t>
        </is>
      </c>
      <c r="L6570">
        <f>_xlfn.XLOOKUP(Tableau1[[#This Row],[TYPE DE PIECE]],Tableau4[MATIERE],Tableau4[SHORT TYPE],"",0,1)</f>
        <v/>
      </c>
      <c r="N6570">
        <f>IF(ISERR(FIND("DECOUPE",Tableau1[[#This Row],[DESIGNATION]])),"","NEED REF")</f>
        <v/>
      </c>
    </row>
    <row r="6571">
      <c r="B6571" t="n">
        <v>34407434</v>
      </c>
      <c r="C6571" s="2" t="n">
        <v>43500</v>
      </c>
      <c r="D6571" t="inlineStr">
        <is>
          <t>SPEC</t>
        </is>
      </c>
      <c r="E6571" t="inlineStr">
        <is>
          <t>DOOR SF 1000x1900 + IHM + AIR INLET + BAC STI</t>
        </is>
      </c>
      <c r="F6571" t="n">
        <v>676033781</v>
      </c>
      <c r="J6571" t="inlineStr">
        <is>
          <t>BERNARDEAU</t>
        </is>
      </c>
      <c r="K6571" t="inlineStr">
        <is>
          <t>METAL</t>
        </is>
      </c>
      <c r="L6571">
        <f>_xlfn.XLOOKUP(Tableau1[[#This Row],[TYPE DE PIECE]],Tableau4[MATIERE],Tableau4[SHORT TYPE],"",0,1)</f>
        <v/>
      </c>
      <c r="N6571">
        <f>IF(ISERR(FIND("DECOUPE",Tableau1[[#This Row],[DESIGNATION]])),"","NEED REF")</f>
        <v/>
      </c>
    </row>
    <row r="6572">
      <c r="B6572" t="n">
        <v>34407433</v>
      </c>
      <c r="C6572" s="2" t="n">
        <v>43500</v>
      </c>
      <c r="D6572" t="inlineStr">
        <is>
          <t>SPEC</t>
        </is>
      </c>
      <c r="E6572" t="inlineStr">
        <is>
          <t>SPACIAL SF 1000x800x2000 NS + BAC STI</t>
        </is>
      </c>
      <c r="F6572" t="n">
        <v>676033781</v>
      </c>
      <c r="J6572" t="inlineStr">
        <is>
          <t>BERNARDEAU</t>
        </is>
      </c>
      <c r="K6572" t="inlineStr">
        <is>
          <t>METAL</t>
        </is>
      </c>
      <c r="L6572">
        <f>_xlfn.XLOOKUP(Tableau1[[#This Row],[TYPE DE PIECE]],Tableau4[MATIERE],Tableau4[SHORT TYPE],"",0,1)</f>
        <v/>
      </c>
      <c r="N6572">
        <f>IF(ISERR(FIND("DECOUPE",Tableau1[[#This Row],[DESIGNATION]])),"","NEED REF")</f>
        <v/>
      </c>
    </row>
    <row r="6573">
      <c r="B6573" t="n">
        <v>34407432</v>
      </c>
      <c r="C6573" s="2" t="n">
        <v>43500</v>
      </c>
      <c r="D6573" t="inlineStr">
        <is>
          <t>SPEC</t>
        </is>
      </c>
      <c r="E6573" t="inlineStr">
        <is>
          <t>SUPPORT BOITE A CLE  ELECTROMECANIQUE A 1CYL. STI RSE10AEL3000</t>
        </is>
      </c>
      <c r="F6573" t="n">
        <v>676033781</v>
      </c>
      <c r="J6573" t="inlineStr">
        <is>
          <t>BERNARDEAU</t>
        </is>
      </c>
      <c r="K6573" t="inlineStr">
        <is>
          <t>METAL</t>
        </is>
      </c>
      <c r="L6573">
        <f>_xlfn.XLOOKUP(Tableau1[[#This Row],[TYPE DE PIECE]],Tableau4[MATIERE],Tableau4[SHORT TYPE],"",0,1)</f>
        <v/>
      </c>
      <c r="N6573">
        <f>IF(ISERR(FIND("DECOUPE",Tableau1[[#This Row],[DESIGNATION]])),"","NEED REF")</f>
        <v/>
      </c>
    </row>
    <row r="6574">
      <c r="B6574" t="n">
        <v>34407431</v>
      </c>
      <c r="C6574" s="2" t="n">
        <v>43500</v>
      </c>
      <c r="D6574" t="inlineStr">
        <is>
          <t>SPEC</t>
        </is>
      </c>
      <c r="E6574" t="inlineStr">
        <is>
          <t>BOITE A CLE ELECTROMECANIQUE A 1CYL. STI RSE10AEL3000</t>
        </is>
      </c>
      <c r="F6574" t="n">
        <v>676033781</v>
      </c>
      <c r="J6574" t="inlineStr">
        <is>
          <t>BERNARDEAU</t>
        </is>
      </c>
      <c r="K6574" t="inlineStr">
        <is>
          <t>EQUIPEMENT</t>
        </is>
      </c>
      <c r="L6574">
        <f>_xlfn.XLOOKUP(Tableau1[[#This Row],[TYPE DE PIECE]],Tableau4[MATIERE],Tableau4[SHORT TYPE],"",0,1)</f>
        <v/>
      </c>
      <c r="N6574">
        <f>IF(ISERR(FIND("DECOUPE",Tableau1[[#This Row],[DESIGNATION]])),"","NEED REF")</f>
        <v/>
      </c>
    </row>
    <row r="6575">
      <c r="B6575" t="n">
        <v>34407430</v>
      </c>
      <c r="C6575" s="2" t="n">
        <v>43497</v>
      </c>
      <c r="D6575" t="inlineStr">
        <is>
          <t>SPEC</t>
        </is>
      </c>
      <c r="E6575" t="inlineStr">
        <is>
          <t>plaque superieur 3mm</t>
        </is>
      </c>
      <c r="F6575" t="inlineStr">
        <is>
          <t>STS400-NSY18460</t>
        </is>
      </c>
      <c r="J6575" t="inlineStr">
        <is>
          <t>BERNARDEAU</t>
        </is>
      </c>
      <c r="K6575" t="inlineStr">
        <is>
          <t>METAL</t>
        </is>
      </c>
      <c r="L6575">
        <f>_xlfn.XLOOKUP(Tableau1[[#This Row],[TYPE DE PIECE]],Tableau4[MATIERE],Tableau4[SHORT TYPE],"",0,1)</f>
        <v/>
      </c>
      <c r="N6575">
        <f>IF(ISERR(FIND("DECOUPE",Tableau1[[#This Row],[DESIGNATION]])),"","NEED REF")</f>
        <v/>
      </c>
    </row>
    <row r="6576">
      <c r="B6576" t="n">
        <v>34407429</v>
      </c>
      <c r="C6576" s="2" t="n">
        <v>43729</v>
      </c>
      <c r="D6576" t="inlineStr">
        <is>
          <t>SPEC</t>
        </is>
      </c>
      <c r="E6576" t="inlineStr">
        <is>
          <t>Grille 375x280 mm</t>
        </is>
      </c>
      <c r="F6576" t="inlineStr">
        <is>
          <t>COFFRET SUPPLY BOX DEWA DUBAI</t>
        </is>
      </c>
      <c r="J6576" t="inlineStr">
        <is>
          <t>BERNARDEAU</t>
        </is>
      </c>
      <c r="K6576" t="inlineStr">
        <is>
          <t>METAL</t>
        </is>
      </c>
      <c r="L6576">
        <f>_xlfn.XLOOKUP(Tableau1[[#This Row],[TYPE DE PIECE]],Tableau4[MATIERE],Tableau4[SHORT TYPE],"",0,1)</f>
        <v/>
      </c>
      <c r="N6576">
        <f>IF(ISERR(FIND("DECOUPE",Tableau1[[#This Row],[DESIGNATION]])),"","NEED REF")</f>
        <v/>
      </c>
    </row>
    <row r="6577">
      <c r="B6577" t="n">
        <v>34407428</v>
      </c>
      <c r="C6577" s="2" t="n">
        <v>43729</v>
      </c>
      <c r="D6577" t="inlineStr">
        <is>
          <t>SPEC</t>
        </is>
      </c>
      <c r="E6577" t="inlineStr">
        <is>
          <t>Grille 465x280 mm</t>
        </is>
      </c>
      <c r="F6577" t="inlineStr">
        <is>
          <t>COFFRET SUPPLY BOX DEWA DUBAI</t>
        </is>
      </c>
      <c r="J6577" t="inlineStr">
        <is>
          <t>BERNARDEAU</t>
        </is>
      </c>
      <c r="K6577" t="inlineStr">
        <is>
          <t>METAL</t>
        </is>
      </c>
      <c r="L6577">
        <f>_xlfn.XLOOKUP(Tableau1[[#This Row],[TYPE DE PIECE]],Tableau4[MATIERE],Tableau4[SHORT TYPE],"",0,1)</f>
        <v/>
      </c>
      <c r="N6577">
        <f>IF(ISERR(FIND("DECOUPE",Tableau1[[#This Row],[DESIGNATION]])),"","NEED REF")</f>
        <v/>
      </c>
    </row>
    <row r="6578">
      <c r="B6578" t="n">
        <v>34407427</v>
      </c>
      <c r="C6578" s="2" t="n">
        <v>43486</v>
      </c>
      <c r="D6578" t="inlineStr">
        <is>
          <t>SPEC</t>
        </is>
      </c>
      <c r="E6578" t="inlineStr">
        <is>
          <t>CANNON 76MM FIBRE EPOXY G11</t>
        </is>
      </c>
      <c r="F6578" t="inlineStr">
        <is>
          <t>IO 1000KVA GVX</t>
        </is>
      </c>
      <c r="J6578" t="inlineStr">
        <is>
          <t>MATRION</t>
        </is>
      </c>
      <c r="K6578" t="inlineStr">
        <is>
          <t>PLASTIQUE</t>
        </is>
      </c>
      <c r="L6578">
        <f>_xlfn.XLOOKUP(Tableau1[[#This Row],[TYPE DE PIECE]],Tableau4[MATIERE],Tableau4[SHORT TYPE],"",0,1)</f>
        <v/>
      </c>
      <c r="N6578">
        <f>IF(ISERR(FIND("DECOUPE",Tableau1[[#This Row],[DESIGNATION]])),"","NEED REF")</f>
        <v/>
      </c>
    </row>
    <row r="6579">
      <c r="B6579" t="n">
        <v>34407426</v>
      </c>
      <c r="C6579" s="2" t="n">
        <v>43486</v>
      </c>
      <c r="D6579" t="inlineStr">
        <is>
          <t>SPEC</t>
        </is>
      </c>
      <c r="E6579" t="inlineStr">
        <is>
          <t>TIGE FILTE 385MM</t>
        </is>
      </c>
      <c r="F6579" t="inlineStr">
        <is>
          <t>IO 1000KVA GVX</t>
        </is>
      </c>
      <c r="J6579" t="inlineStr">
        <is>
          <t>MATRION</t>
        </is>
      </c>
      <c r="K6579" t="inlineStr">
        <is>
          <t>PLASTIQUE</t>
        </is>
      </c>
      <c r="L6579">
        <f>_xlfn.XLOOKUP(Tableau1[[#This Row],[TYPE DE PIECE]],Tableau4[MATIERE],Tableau4[SHORT TYPE],"",0,1)</f>
        <v/>
      </c>
      <c r="N6579">
        <f>IF(ISERR(FIND("DECOUPE",Tableau1[[#This Row],[DESIGNATION]])),"","NEED REF")</f>
        <v/>
      </c>
    </row>
    <row r="6580">
      <c r="B6580" t="n">
        <v>34407425</v>
      </c>
      <c r="C6580" s="2" t="n">
        <v>43493</v>
      </c>
      <c r="D6580" t="inlineStr">
        <is>
          <t>SPEC</t>
        </is>
      </c>
      <c r="E6580" t="inlineStr">
        <is>
          <t>support gauche 0M-CB250-10</t>
        </is>
      </c>
      <c r="F6580" t="inlineStr">
        <is>
          <t>chewbacca</t>
        </is>
      </c>
      <c r="J6580" t="inlineStr">
        <is>
          <t>BERNARDEAU</t>
        </is>
      </c>
      <c r="K6580" t="inlineStr">
        <is>
          <t>METAL</t>
        </is>
      </c>
      <c r="L6580">
        <f>_xlfn.XLOOKUP(Tableau1[[#This Row],[TYPE DE PIECE]],Tableau4[MATIERE],Tableau4[SHORT TYPE],"",0,1)</f>
        <v/>
      </c>
      <c r="N6580">
        <f>IF(ISERR(FIND("DECOUPE",Tableau1[[#This Row],[DESIGNATION]])),"","NEED REF")</f>
        <v/>
      </c>
    </row>
    <row r="6581">
      <c r="B6581" t="n">
        <v>34407424</v>
      </c>
      <c r="C6581" s="2" t="n">
        <v>43489</v>
      </c>
      <c r="D6581" t="inlineStr">
        <is>
          <t>SPEC</t>
        </is>
      </c>
      <c r="E6581" t="inlineStr">
        <is>
          <t>entroise 0M-CB250</t>
        </is>
      </c>
      <c r="F6581" t="inlineStr">
        <is>
          <t>chewbacca</t>
        </is>
      </c>
      <c r="J6581" t="inlineStr">
        <is>
          <t>BERNARDEAU</t>
        </is>
      </c>
      <c r="K6581" t="inlineStr">
        <is>
          <t>METAL</t>
        </is>
      </c>
      <c r="L6581">
        <f>_xlfn.XLOOKUP(Tableau1[[#This Row],[TYPE DE PIECE]],Tableau4[MATIERE],Tableau4[SHORT TYPE],"",0,1)</f>
        <v/>
      </c>
      <c r="N6581">
        <f>IF(ISERR(FIND("DECOUPE",Tableau1[[#This Row],[DESIGNATION]])),"","NEED REF")</f>
        <v/>
      </c>
    </row>
    <row r="6582">
      <c r="B6582" t="n">
        <v>34407423</v>
      </c>
      <c r="C6582" s="2" t="n">
        <v>43489</v>
      </c>
      <c r="D6582" t="inlineStr">
        <is>
          <t>SPEC</t>
        </is>
      </c>
      <c r="E6582" t="inlineStr">
        <is>
          <t>PLASTRON CB NSX160/250 DC 3P/4P GAUCHE 10</t>
        </is>
      </c>
      <c r="F6582" t="inlineStr">
        <is>
          <t>GVS/EASYUPS</t>
        </is>
      </c>
      <c r="J6582" t="inlineStr">
        <is>
          <t>BERNARDEAU</t>
        </is>
      </c>
      <c r="K6582" t="inlineStr">
        <is>
          <t>PLASTIQUE</t>
        </is>
      </c>
      <c r="L6582">
        <f>_xlfn.XLOOKUP(Tableau1[[#This Row],[TYPE DE PIECE]],Tableau4[MATIERE],Tableau4[SHORT TYPE],"",0,1)</f>
        <v/>
      </c>
      <c r="N6582">
        <f>IF(ISERR(FIND("DECOUPE",Tableau1[[#This Row],[DESIGNATION]])),"","NEED REF")</f>
        <v/>
      </c>
    </row>
    <row r="6583">
      <c r="B6583" t="n">
        <v>34407422</v>
      </c>
      <c r="C6583" s="2" t="n">
        <v>43489</v>
      </c>
      <c r="D6583" t="inlineStr">
        <is>
          <t>SPEC</t>
        </is>
      </c>
      <c r="E6583" t="inlineStr">
        <is>
          <t>PLASTRON CB NSX160/250 DC 4P DROIT 7/10</t>
        </is>
      </c>
      <c r="F6583" t="inlineStr">
        <is>
          <t>GVS/EASYUPS</t>
        </is>
      </c>
      <c r="J6583" t="inlineStr">
        <is>
          <t>BERNARDEAU</t>
        </is>
      </c>
      <c r="K6583" t="inlineStr">
        <is>
          <t>PLASTIQUE</t>
        </is>
      </c>
      <c r="L6583">
        <f>_xlfn.XLOOKUP(Tableau1[[#This Row],[TYPE DE PIECE]],Tableau4[MATIERE],Tableau4[SHORT TYPE],"",0,1)</f>
        <v/>
      </c>
      <c r="N6583">
        <f>IF(ISERR(FIND("DECOUPE",Tableau1[[#This Row],[DESIGNATION]])),"","NEED REF")</f>
        <v/>
      </c>
    </row>
    <row r="6584">
      <c r="B6584" t="n">
        <v>34407421</v>
      </c>
      <c r="C6584" s="2" t="n">
        <v>43489</v>
      </c>
      <c r="D6584" t="inlineStr">
        <is>
          <t>SPEC</t>
        </is>
      </c>
      <c r="E6584" t="inlineStr">
        <is>
          <t>support droit 0M-CB250-10</t>
        </is>
      </c>
      <c r="F6584" t="inlineStr">
        <is>
          <t>chewbacca</t>
        </is>
      </c>
      <c r="J6584" t="inlineStr">
        <is>
          <t>BERNARDEAU</t>
        </is>
      </c>
      <c r="K6584" t="inlineStr">
        <is>
          <t>METAL</t>
        </is>
      </c>
      <c r="L6584">
        <f>_xlfn.XLOOKUP(Tableau1[[#This Row],[TYPE DE PIECE]],Tableau4[MATIERE],Tableau4[SHORT TYPE],"",0,1)</f>
        <v/>
      </c>
      <c r="N6584">
        <f>IF(ISERR(FIND("DECOUPE",Tableau1[[#This Row],[DESIGNATION]])),"","NEED REF")</f>
        <v/>
      </c>
    </row>
    <row r="6585">
      <c r="B6585" t="n">
        <v>34407420</v>
      </c>
      <c r="C6585" s="2" t="n">
        <v>43489</v>
      </c>
      <c r="D6585" t="inlineStr">
        <is>
          <t>SPEC</t>
        </is>
      </c>
      <c r="E6585" t="inlineStr">
        <is>
          <t>barre de cuivre 10x30</t>
        </is>
      </c>
      <c r="F6585" t="inlineStr">
        <is>
          <t>chewbacca</t>
        </is>
      </c>
      <c r="J6585" t="inlineStr">
        <is>
          <t>BERNARDEAU</t>
        </is>
      </c>
      <c r="K6585" t="inlineStr">
        <is>
          <t>CUIVRE</t>
        </is>
      </c>
      <c r="L6585">
        <f>_xlfn.XLOOKUP(Tableau1[[#This Row],[TYPE DE PIECE]],Tableau4[MATIERE],Tableau4[SHORT TYPE],"",0,1)</f>
        <v/>
      </c>
      <c r="N6585">
        <f>IF(ISERR(FIND("DECOUPE",Tableau1[[#This Row],[DESIGNATION]])),"","NEED REF")</f>
        <v/>
      </c>
    </row>
    <row r="6586">
      <c r="B6586" t="n">
        <v>34407419</v>
      </c>
      <c r="C6586" s="2" t="n">
        <v>43486</v>
      </c>
      <c r="D6586" t="inlineStr">
        <is>
          <t>SPEC</t>
        </is>
      </c>
      <c r="E6586" t="inlineStr">
        <is>
          <t>CANNON 123.5MM FIBRE EPOXY G11</t>
        </is>
      </c>
      <c r="F6586" t="inlineStr">
        <is>
          <t>IO 1000KVA GVX</t>
        </is>
      </c>
      <c r="J6586" t="inlineStr">
        <is>
          <t>MATRION</t>
        </is>
      </c>
      <c r="K6586" t="inlineStr">
        <is>
          <t>PLASTIQUE</t>
        </is>
      </c>
      <c r="L6586">
        <f>_xlfn.XLOOKUP(Tableau1[[#This Row],[TYPE DE PIECE]],Tableau4[MATIERE],Tableau4[SHORT TYPE],"",0,1)</f>
        <v/>
      </c>
      <c r="N6586">
        <f>IF(ISERR(FIND("DECOUPE",Tableau1[[#This Row],[DESIGNATION]])),"","NEED REF")</f>
        <v/>
      </c>
    </row>
    <row r="6587">
      <c r="B6587" t="n">
        <v>34407418</v>
      </c>
      <c r="C6587" s="2" t="n">
        <v>43486</v>
      </c>
      <c r="D6587" t="inlineStr">
        <is>
          <t>SPEC</t>
        </is>
      </c>
      <c r="E6587" t="inlineStr">
        <is>
          <t>TIGE FILTE 385MM</t>
        </is>
      </c>
      <c r="F6587" t="inlineStr">
        <is>
          <t>IO 1000KVA GVX</t>
        </is>
      </c>
      <c r="J6587" t="inlineStr">
        <is>
          <t>MATRION</t>
        </is>
      </c>
      <c r="K6587" t="inlineStr">
        <is>
          <t>PLASTIQUE</t>
        </is>
      </c>
      <c r="L6587">
        <f>_xlfn.XLOOKUP(Tableau1[[#This Row],[TYPE DE PIECE]],Tableau4[MATIERE],Tableau4[SHORT TYPE],"",0,1)</f>
        <v/>
      </c>
      <c r="N6587">
        <f>IF(ISERR(FIND("DECOUPE",Tableau1[[#This Row],[DESIGNATION]])),"","NEED REF")</f>
        <v/>
      </c>
    </row>
    <row r="6588">
      <c r="B6588" t="n">
        <v>34407417</v>
      </c>
      <c r="C6588" s="2" t="n">
        <v>43486</v>
      </c>
      <c r="D6588" t="inlineStr">
        <is>
          <t>SPEC</t>
        </is>
      </c>
      <c r="E6588" t="inlineStr">
        <is>
          <t>COP PE FEEDUNIT 4</t>
        </is>
      </c>
      <c r="F6588" t="inlineStr">
        <is>
          <t>IO 1000KVA GVX</t>
        </is>
      </c>
      <c r="J6588" t="inlineStr">
        <is>
          <t>MATRION</t>
        </is>
      </c>
      <c r="K6588" t="inlineStr">
        <is>
          <t>CUIVRE</t>
        </is>
      </c>
      <c r="L6588">
        <f>_xlfn.XLOOKUP(Tableau1[[#This Row],[TYPE DE PIECE]],Tableau4[MATIERE],Tableau4[SHORT TYPE],"",0,1)</f>
        <v/>
      </c>
      <c r="N6588">
        <f>IF(ISERR(FIND("DECOUPE",Tableau1[[#This Row],[DESIGNATION]])),"","NEED REF")</f>
        <v/>
      </c>
    </row>
    <row r="6589">
      <c r="B6589" t="n">
        <v>34407416</v>
      </c>
      <c r="C6589" s="2" t="n">
        <v>43486</v>
      </c>
      <c r="D6589" t="inlineStr">
        <is>
          <t>SPEC</t>
        </is>
      </c>
      <c r="E6589" t="inlineStr">
        <is>
          <t>COP PE FEEDUNIT 3</t>
        </is>
      </c>
      <c r="F6589" t="inlineStr">
        <is>
          <t>IO 1000KVA GVX</t>
        </is>
      </c>
      <c r="J6589" t="inlineStr">
        <is>
          <t>MATRION</t>
        </is>
      </c>
      <c r="K6589" t="inlineStr">
        <is>
          <t>CUIVRE</t>
        </is>
      </c>
      <c r="L6589">
        <f>_xlfn.XLOOKUP(Tableau1[[#This Row],[TYPE DE PIECE]],Tableau4[MATIERE],Tableau4[SHORT TYPE],"",0,1)</f>
        <v/>
      </c>
      <c r="N6589">
        <f>IF(ISERR(FIND("DECOUPE",Tableau1[[#This Row],[DESIGNATION]])),"","NEED REF")</f>
        <v/>
      </c>
    </row>
    <row r="6590">
      <c r="B6590" t="n">
        <v>34407415</v>
      </c>
      <c r="C6590" s="2" t="n">
        <v>43486</v>
      </c>
      <c r="D6590" t="inlineStr">
        <is>
          <t>SPEC</t>
        </is>
      </c>
      <c r="E6590" t="inlineStr">
        <is>
          <t>COP PE FEEDUNIT 2</t>
        </is>
      </c>
      <c r="F6590" t="inlineStr">
        <is>
          <t>IO 1000KVA GVX</t>
        </is>
      </c>
      <c r="J6590" t="inlineStr">
        <is>
          <t>MATRION</t>
        </is>
      </c>
      <c r="K6590" t="inlineStr">
        <is>
          <t>CUIVRE</t>
        </is>
      </c>
      <c r="L6590">
        <f>_xlfn.XLOOKUP(Tableau1[[#This Row],[TYPE DE PIECE]],Tableau4[MATIERE],Tableau4[SHORT TYPE],"",0,1)</f>
        <v/>
      </c>
      <c r="N6590">
        <f>IF(ISERR(FIND("DECOUPE",Tableau1[[#This Row],[DESIGNATION]])),"","NEED REF")</f>
        <v/>
      </c>
    </row>
    <row r="6591">
      <c r="B6591" t="n">
        <v>34407414</v>
      </c>
      <c r="C6591" s="2" t="n">
        <v>43486</v>
      </c>
      <c r="D6591" t="inlineStr">
        <is>
          <t>SPEC</t>
        </is>
      </c>
      <c r="E6591" t="inlineStr">
        <is>
          <t>COP PE FEEDUNIT JUNCTION</t>
        </is>
      </c>
      <c r="F6591" t="inlineStr">
        <is>
          <t>IO 1000KVA GVX</t>
        </is>
      </c>
      <c r="J6591" t="inlineStr">
        <is>
          <t>MATRION</t>
        </is>
      </c>
      <c r="K6591" t="inlineStr">
        <is>
          <t>CUIVRE</t>
        </is>
      </c>
      <c r="L6591">
        <f>_xlfn.XLOOKUP(Tableau1[[#This Row],[TYPE DE PIECE]],Tableau4[MATIERE],Tableau4[SHORT TYPE],"",0,1)</f>
        <v/>
      </c>
      <c r="N6591">
        <f>IF(ISERR(FIND("DECOUPE",Tableau1[[#This Row],[DESIGNATION]])),"","NEED REF")</f>
        <v/>
      </c>
    </row>
    <row r="6592">
      <c r="B6592" t="n">
        <v>34407413</v>
      </c>
      <c r="C6592" s="2" t="n">
        <v>43486</v>
      </c>
      <c r="D6592" t="inlineStr">
        <is>
          <t>SPEC</t>
        </is>
      </c>
      <c r="E6592" t="inlineStr">
        <is>
          <t>COP PE FEEDUNIT 1</t>
        </is>
      </c>
      <c r="F6592" t="inlineStr">
        <is>
          <t>IO 1000KVA GVX</t>
        </is>
      </c>
      <c r="J6592" t="inlineStr">
        <is>
          <t>MATRION</t>
        </is>
      </c>
      <c r="K6592" t="inlineStr">
        <is>
          <t>CUIVRE</t>
        </is>
      </c>
      <c r="L6592">
        <f>_xlfn.XLOOKUP(Tableau1[[#This Row],[TYPE DE PIECE]],Tableau4[MATIERE],Tableau4[SHORT TYPE],"",0,1)</f>
        <v/>
      </c>
      <c r="N6592">
        <f>IF(ISERR(FIND("DECOUPE",Tableau1[[#This Row],[DESIGNATION]])),"","NEED REF")</f>
        <v/>
      </c>
    </row>
    <row r="6593">
      <c r="B6593" t="n">
        <v>34407412</v>
      </c>
      <c r="C6593" s="2" t="n">
        <v>43486</v>
      </c>
      <c r="D6593" t="inlineStr">
        <is>
          <t>SPEC</t>
        </is>
      </c>
      <c r="E6593" t="inlineStr">
        <is>
          <t>support gauche 0M-CB400-10</t>
        </is>
      </c>
      <c r="F6593" t="inlineStr">
        <is>
          <t>chewbacca</t>
        </is>
      </c>
      <c r="J6593" t="inlineStr">
        <is>
          <t>BERNARDEAU</t>
        </is>
      </c>
      <c r="K6593" t="inlineStr">
        <is>
          <t>METAL</t>
        </is>
      </c>
      <c r="L6593">
        <f>_xlfn.XLOOKUP(Tableau1[[#This Row],[TYPE DE PIECE]],Tableau4[MATIERE],Tableau4[SHORT TYPE],"",0,1)</f>
        <v/>
      </c>
      <c r="N6593">
        <f>IF(ISERR(FIND("DECOUPE",Tableau1[[#This Row],[DESIGNATION]])),"","NEED REF")</f>
        <v/>
      </c>
    </row>
    <row r="6594">
      <c r="B6594" t="n">
        <v>34407411</v>
      </c>
      <c r="C6594" s="2" t="n">
        <v>43486</v>
      </c>
      <c r="D6594" t="inlineStr">
        <is>
          <t>SPEC</t>
        </is>
      </c>
      <c r="E6594" t="inlineStr">
        <is>
          <t>PLASTRON CB NSX320/630 DC 4P GAUCHE 10</t>
        </is>
      </c>
      <c r="F6594" t="inlineStr">
        <is>
          <t>GVS/EASYUPS</t>
        </is>
      </c>
      <c r="J6594" t="inlineStr">
        <is>
          <t>BERNARDEAU</t>
        </is>
      </c>
      <c r="K6594" t="inlineStr">
        <is>
          <t>METAL</t>
        </is>
      </c>
      <c r="L6594">
        <f>_xlfn.XLOOKUP(Tableau1[[#This Row],[TYPE DE PIECE]],Tableau4[MATIERE],Tableau4[SHORT TYPE],"",0,1)</f>
        <v/>
      </c>
      <c r="N6594">
        <f>IF(ISERR(FIND("DECOUPE",Tableau1[[#This Row],[DESIGNATION]])),"","NEED REF")</f>
        <v/>
      </c>
    </row>
    <row r="6595">
      <c r="B6595" t="n">
        <v>34407410</v>
      </c>
      <c r="C6595" s="2" t="n">
        <v>43486</v>
      </c>
      <c r="D6595" t="inlineStr">
        <is>
          <t>SPEC</t>
        </is>
      </c>
      <c r="E6595" t="inlineStr">
        <is>
          <t>Traverse support 0M-CB400-10</t>
        </is>
      </c>
      <c r="F6595" t="inlineStr">
        <is>
          <t>chewbacca</t>
        </is>
      </c>
      <c r="J6595" t="inlineStr">
        <is>
          <t>BERNARDEAU</t>
        </is>
      </c>
      <c r="K6595" t="inlineStr">
        <is>
          <t>METAL</t>
        </is>
      </c>
      <c r="L6595">
        <f>_xlfn.XLOOKUP(Tableau1[[#This Row],[TYPE DE PIECE]],Tableau4[MATIERE],Tableau4[SHORT TYPE],"",0,1)</f>
        <v/>
      </c>
      <c r="N6595">
        <f>IF(ISERR(FIND("DECOUPE",Tableau1[[#This Row],[DESIGNATION]])),"","NEED REF")</f>
        <v/>
      </c>
    </row>
    <row r="6596">
      <c r="B6596" t="n">
        <v>34407409</v>
      </c>
      <c r="C6596" s="2" t="n">
        <v>43482</v>
      </c>
      <c r="D6596" t="inlineStr">
        <is>
          <t>SPEC</t>
        </is>
      </c>
      <c r="E6596" t="inlineStr">
        <is>
          <t>réserve</t>
        </is>
      </c>
      <c r="F6596" t="inlineStr">
        <is>
          <t>IO 1000KVA GVX</t>
        </is>
      </c>
      <c r="J6596" t="inlineStr">
        <is>
          <t>MATRION</t>
        </is>
      </c>
      <c r="L6596">
        <f>_xlfn.XLOOKUP(Tableau1[[#This Row],[TYPE DE PIECE]],Tableau4[MATIERE],Tableau4[SHORT TYPE],"",0,1)</f>
        <v/>
      </c>
      <c r="N6596">
        <f>IF(ISERR(FIND("DECOUPE",Tableau1[[#This Row],[DESIGNATION]])),"","NEED REF")</f>
        <v/>
      </c>
    </row>
    <row r="6597">
      <c r="B6597" t="n">
        <v>34407408</v>
      </c>
      <c r="C6597" s="2" t="n">
        <v>43482</v>
      </c>
      <c r="D6597" t="inlineStr">
        <is>
          <t>SPEC</t>
        </is>
      </c>
      <c r="E6597" t="inlineStr">
        <is>
          <t>SMT ROOF LOAD P4</t>
        </is>
      </c>
      <c r="F6597" t="inlineStr">
        <is>
          <t>IO 1000KVA GVX</t>
        </is>
      </c>
      <c r="J6597" t="inlineStr">
        <is>
          <t>MATRION</t>
        </is>
      </c>
      <c r="K6597" t="inlineStr">
        <is>
          <t>METAL</t>
        </is>
      </c>
      <c r="L6597">
        <f>_xlfn.XLOOKUP(Tableau1[[#This Row],[TYPE DE PIECE]],Tableau4[MATIERE],Tableau4[SHORT TYPE],"",0,1)</f>
        <v/>
      </c>
      <c r="N6597">
        <f>IF(ISERR(FIND("DECOUPE",Tableau1[[#This Row],[DESIGNATION]])),"","NEED REF")</f>
        <v/>
      </c>
    </row>
    <row r="6598">
      <c r="B6598" t="n">
        <v>34407407</v>
      </c>
      <c r="C6598" s="2" t="n">
        <v>43482</v>
      </c>
      <c r="D6598" t="inlineStr">
        <is>
          <t>SPEC</t>
        </is>
      </c>
      <c r="E6598" t="inlineStr">
        <is>
          <t>SMT ROOF LOAD P3</t>
        </is>
      </c>
      <c r="F6598" t="inlineStr">
        <is>
          <t>IO 1000KVA GVX</t>
        </is>
      </c>
      <c r="J6598" t="inlineStr">
        <is>
          <t>MATRION</t>
        </is>
      </c>
      <c r="K6598" t="inlineStr">
        <is>
          <t>METAL</t>
        </is>
      </c>
      <c r="L6598">
        <f>_xlfn.XLOOKUP(Tableau1[[#This Row],[TYPE DE PIECE]],Tableau4[MATIERE],Tableau4[SHORT TYPE],"",0,1)</f>
        <v/>
      </c>
      <c r="N6598">
        <f>IF(ISERR(FIND("DECOUPE",Tableau1[[#This Row],[DESIGNATION]])),"","NEED REF")</f>
        <v/>
      </c>
    </row>
    <row r="6599">
      <c r="B6599" t="n">
        <v>34407406</v>
      </c>
      <c r="C6599" s="2" t="n">
        <v>43482</v>
      </c>
      <c r="D6599" t="inlineStr">
        <is>
          <t>SPEC</t>
        </is>
      </c>
      <c r="E6599" t="inlineStr">
        <is>
          <t>PLS BUSBAR INSULATING</t>
        </is>
      </c>
      <c r="F6599" t="inlineStr">
        <is>
          <t>IO 1000KVA GVX</t>
        </is>
      </c>
      <c r="J6599" t="inlineStr">
        <is>
          <t>MATRION</t>
        </is>
      </c>
      <c r="K6599" t="inlineStr">
        <is>
          <t>PLASTIQUE</t>
        </is>
      </c>
      <c r="L6599">
        <f>_xlfn.XLOOKUP(Tableau1[[#This Row],[TYPE DE PIECE]],Tableau4[MATIERE],Tableau4[SHORT TYPE],"",0,1)</f>
        <v/>
      </c>
      <c r="N6599">
        <f>IF(ISERR(FIND("DECOUPE",Tableau1[[#This Row],[DESIGNATION]])),"","NEED REF")</f>
        <v/>
      </c>
    </row>
    <row r="6600">
      <c r="B6600" t="n">
        <v>34407405</v>
      </c>
      <c r="C6600" s="2" t="n">
        <v>43482</v>
      </c>
      <c r="D6600" t="inlineStr">
        <is>
          <t>SPEC</t>
        </is>
      </c>
      <c r="E6600" t="inlineStr">
        <is>
          <t>PLS FLEXIBAR ICC CLAMPING</t>
        </is>
      </c>
      <c r="F6600" t="inlineStr">
        <is>
          <t>IO 1000KVA GVX</t>
        </is>
      </c>
      <c r="J6600" t="inlineStr">
        <is>
          <t>MATRION</t>
        </is>
      </c>
      <c r="K6600" t="inlineStr">
        <is>
          <t>PLASTIQUE</t>
        </is>
      </c>
      <c r="L6600">
        <f>_xlfn.XLOOKUP(Tableau1[[#This Row],[TYPE DE PIECE]],Tableau4[MATIERE],Tableau4[SHORT TYPE],"",0,1)</f>
        <v/>
      </c>
      <c r="N6600">
        <f>IF(ISERR(FIND("DECOUPE",Tableau1[[#This Row],[DESIGNATION]])),"","NEED REF")</f>
        <v/>
      </c>
    </row>
    <row r="6601">
      <c r="B6601" t="n">
        <v>34407404</v>
      </c>
      <c r="C6601" s="2" t="n">
        <v>43482</v>
      </c>
      <c r="D6601" t="inlineStr">
        <is>
          <t>SPEC</t>
        </is>
      </c>
      <c r="E6601" t="inlineStr">
        <is>
          <t>SMT ROOF LOAD P5</t>
        </is>
      </c>
      <c r="F6601" t="inlineStr">
        <is>
          <t>IO 1000KVA GVX</t>
        </is>
      </c>
      <c r="J6601" t="inlineStr">
        <is>
          <t>MATRION</t>
        </is>
      </c>
      <c r="K6601" t="inlineStr">
        <is>
          <t>METAL</t>
        </is>
      </c>
      <c r="L6601">
        <f>_xlfn.XLOOKUP(Tableau1[[#This Row],[TYPE DE PIECE]],Tableau4[MATIERE],Tableau4[SHORT TYPE],"",0,1)</f>
        <v/>
      </c>
      <c r="N6601">
        <f>IF(ISERR(FIND("DECOUPE",Tableau1[[#This Row],[DESIGNATION]])),"","NEED REF")</f>
        <v/>
      </c>
    </row>
    <row r="6602">
      <c r="B6602" t="n">
        <v>34407403</v>
      </c>
      <c r="C6602" s="2" t="n">
        <v>43482</v>
      </c>
      <c r="D6602" t="inlineStr">
        <is>
          <t>SPEC</t>
        </is>
      </c>
      <c r="E6602" t="inlineStr">
        <is>
          <t>SMT ROOF MAIN P1 / P2</t>
        </is>
      </c>
      <c r="F6602" t="inlineStr">
        <is>
          <t>IO 1000KVA GVX</t>
        </is>
      </c>
      <c r="J6602" t="inlineStr">
        <is>
          <t>MATRION</t>
        </is>
      </c>
      <c r="K6602" t="inlineStr">
        <is>
          <t>METAL</t>
        </is>
      </c>
      <c r="L6602">
        <f>_xlfn.XLOOKUP(Tableau1[[#This Row],[TYPE DE PIECE]],Tableau4[MATIERE],Tableau4[SHORT TYPE],"",0,1)</f>
        <v/>
      </c>
      <c r="N6602">
        <f>IF(ISERR(FIND("DECOUPE",Tableau1[[#This Row],[DESIGNATION]])),"","NEED REF")</f>
        <v/>
      </c>
    </row>
    <row r="6603">
      <c r="B6603" t="n">
        <v>34407402</v>
      </c>
      <c r="C6603" s="2" t="n">
        <v>43482</v>
      </c>
      <c r="D6603" t="inlineStr">
        <is>
          <t>SPEC</t>
        </is>
      </c>
      <c r="E6603" t="inlineStr">
        <is>
          <t>CANNON 95MM FIBRE EPOXY G11</t>
        </is>
      </c>
      <c r="F6603" t="inlineStr">
        <is>
          <t>IO 1000KVA GVX</t>
        </is>
      </c>
      <c r="J6603" t="inlineStr">
        <is>
          <t>MATRION</t>
        </is>
      </c>
      <c r="K6603" t="inlineStr">
        <is>
          <t>PLASTIQUE</t>
        </is>
      </c>
      <c r="L6603">
        <f>_xlfn.XLOOKUP(Tableau1[[#This Row],[TYPE DE PIECE]],Tableau4[MATIERE],Tableau4[SHORT TYPE],"",0,1)</f>
        <v/>
      </c>
      <c r="N6603">
        <f>IF(ISERR(FIND("DECOUPE",Tableau1[[#This Row],[DESIGNATION]])),"","NEED REF")</f>
        <v/>
      </c>
    </row>
    <row r="6604">
      <c r="B6604" t="n">
        <v>34407401</v>
      </c>
      <c r="C6604" s="2" t="n">
        <v>43482</v>
      </c>
      <c r="D6604" t="inlineStr">
        <is>
          <t>SPEC</t>
        </is>
      </c>
      <c r="E6604" t="inlineStr">
        <is>
          <t>CANNON 90MM FIBRE EPOXY G11</t>
        </is>
      </c>
      <c r="F6604" t="inlineStr">
        <is>
          <t>IO 1000KVA GVX</t>
        </is>
      </c>
      <c r="J6604" t="inlineStr">
        <is>
          <t>MATRION</t>
        </is>
      </c>
      <c r="K6604" t="inlineStr">
        <is>
          <t>PLASTIQUE</t>
        </is>
      </c>
      <c r="L6604">
        <f>_xlfn.XLOOKUP(Tableau1[[#This Row],[TYPE DE PIECE]],Tableau4[MATIERE],Tableau4[SHORT TYPE],"",0,1)</f>
        <v/>
      </c>
      <c r="N6604">
        <f>IF(ISERR(FIND("DECOUPE",Tableau1[[#This Row],[DESIGNATION]])),"","NEED REF")</f>
        <v/>
      </c>
    </row>
    <row r="6605">
      <c r="B6605" t="n">
        <v>34407400</v>
      </c>
      <c r="C6605" s="2" t="n">
        <v>43482</v>
      </c>
      <c r="D6605" t="inlineStr">
        <is>
          <t>SPEC</t>
        </is>
      </c>
      <c r="E6605" t="inlineStr">
        <is>
          <t>COP N TO L3 LOAD FEEDUNIT</t>
        </is>
      </c>
      <c r="F6605" t="inlineStr">
        <is>
          <t>IO 1000KVA GVX</t>
        </is>
      </c>
      <c r="J6605" t="inlineStr">
        <is>
          <t>MATRION</t>
        </is>
      </c>
      <c r="K6605" t="inlineStr">
        <is>
          <t>CUIVRE</t>
        </is>
      </c>
      <c r="L6605">
        <f>_xlfn.XLOOKUP(Tableau1[[#This Row],[TYPE DE PIECE]],Tableau4[MATIERE],Tableau4[SHORT TYPE],"",0,1)</f>
        <v/>
      </c>
      <c r="N6605">
        <f>IF(ISERR(FIND("DECOUPE",Tableau1[[#This Row],[DESIGNATION]])),"","NEED REF")</f>
        <v/>
      </c>
    </row>
    <row r="6606">
      <c r="B6606" t="n">
        <v>34407399</v>
      </c>
      <c r="C6606" s="2" t="n">
        <v>43482</v>
      </c>
      <c r="D6606" t="inlineStr">
        <is>
          <t>SPEC</t>
        </is>
      </c>
      <c r="E6606" t="inlineStr">
        <is>
          <t>COP L3 LOAD</t>
        </is>
      </c>
      <c r="F6606" t="inlineStr">
        <is>
          <t>IO 1000KVA GVX</t>
        </is>
      </c>
      <c r="J6606" t="inlineStr">
        <is>
          <t>MATRION</t>
        </is>
      </c>
      <c r="K6606" t="inlineStr">
        <is>
          <t>CUIVRE</t>
        </is>
      </c>
      <c r="L6606">
        <f>_xlfn.XLOOKUP(Tableau1[[#This Row],[TYPE DE PIECE]],Tableau4[MATIERE],Tableau4[SHORT TYPE],"",0,1)</f>
        <v/>
      </c>
      <c r="N6606">
        <f>IF(ISERR(FIND("DECOUPE",Tableau1[[#This Row],[DESIGNATION]])),"","NEED REF")</f>
        <v/>
      </c>
    </row>
    <row r="6607">
      <c r="B6607" t="n">
        <v>34407398</v>
      </c>
      <c r="C6607" s="2" t="n">
        <v>43482</v>
      </c>
      <c r="D6607" t="inlineStr">
        <is>
          <t>SPEC</t>
        </is>
      </c>
      <c r="E6607" t="inlineStr">
        <is>
          <t>COP L2 LOAD</t>
        </is>
      </c>
      <c r="F6607" t="inlineStr">
        <is>
          <t>IO 1000KVA GVX</t>
        </is>
      </c>
      <c r="J6607" t="inlineStr">
        <is>
          <t>MATRION</t>
        </is>
      </c>
      <c r="K6607" t="inlineStr">
        <is>
          <t>CUIVRE</t>
        </is>
      </c>
      <c r="L6607">
        <f>_xlfn.XLOOKUP(Tableau1[[#This Row],[TYPE DE PIECE]],Tableau4[MATIERE],Tableau4[SHORT TYPE],"",0,1)</f>
        <v/>
      </c>
      <c r="N6607">
        <f>IF(ISERR(FIND("DECOUPE",Tableau1[[#This Row],[DESIGNATION]])),"","NEED REF")</f>
        <v/>
      </c>
    </row>
    <row r="6608">
      <c r="B6608" t="n">
        <v>34407397</v>
      </c>
      <c r="C6608" s="2" t="n">
        <v>43482</v>
      </c>
      <c r="D6608" t="inlineStr">
        <is>
          <t>SPEC</t>
        </is>
      </c>
      <c r="E6608" t="inlineStr">
        <is>
          <t>COP L1 LOAD</t>
        </is>
      </c>
      <c r="F6608" t="inlineStr">
        <is>
          <t>IO 1000KVA GVX</t>
        </is>
      </c>
      <c r="J6608" t="inlineStr">
        <is>
          <t>MATRION</t>
        </is>
      </c>
      <c r="K6608" t="inlineStr">
        <is>
          <t>CUIVRE</t>
        </is>
      </c>
      <c r="L6608">
        <f>_xlfn.XLOOKUP(Tableau1[[#This Row],[TYPE DE PIECE]],Tableau4[MATIERE],Tableau4[SHORT TYPE],"",0,1)</f>
        <v/>
      </c>
      <c r="N6608">
        <f>IF(ISERR(FIND("DECOUPE",Tableau1[[#This Row],[DESIGNATION]])),"","NEED REF")</f>
        <v/>
      </c>
    </row>
    <row r="6609">
      <c r="B6609" t="n">
        <v>34407396</v>
      </c>
      <c r="C6609" s="2" t="n">
        <v>43486</v>
      </c>
      <c r="D6609" t="inlineStr">
        <is>
          <t>SPEC</t>
        </is>
      </c>
      <c r="E6609" t="inlineStr">
        <is>
          <t>DOOR SF 800x1900 + AIR INLET + ECRAN KEP</t>
        </is>
      </c>
      <c r="F6609" t="inlineStr">
        <is>
          <t>NS2500kVA</t>
        </is>
      </c>
      <c r="J6609" t="inlineStr">
        <is>
          <t>BERNARDEAU</t>
        </is>
      </c>
      <c r="L6609">
        <f>_xlfn.XLOOKUP(Tableau1[[#This Row],[TYPE DE PIECE]],Tableau4[MATIERE],Tableau4[SHORT TYPE],"",0,1)</f>
        <v/>
      </c>
      <c r="N6609">
        <f>IF(ISERR(FIND("DECOUPE",Tableau1[[#This Row],[DESIGNATION]])),"","NEED REF")</f>
        <v/>
      </c>
    </row>
    <row r="6610">
      <c r="B6610" t="n">
        <v>34407395</v>
      </c>
      <c r="C6610" s="2" t="n">
        <v>43483</v>
      </c>
      <c r="D6610" t="inlineStr">
        <is>
          <t>SPEC</t>
        </is>
      </c>
      <c r="E6610" t="inlineStr">
        <is>
          <t>SUPPORT FIS AES 2DJ G7K</t>
        </is>
      </c>
      <c r="F6610" t="n">
        <v>676034219</v>
      </c>
      <c r="J6610" t="inlineStr">
        <is>
          <t>BERNARDEAU</t>
        </is>
      </c>
      <c r="L6610">
        <f>_xlfn.XLOOKUP(Tableau1[[#This Row],[TYPE DE PIECE]],Tableau4[MATIERE],Tableau4[SHORT TYPE],"",0,1)</f>
        <v/>
      </c>
      <c r="N6610">
        <f>IF(ISERR(FIND("DECOUPE",Tableau1[[#This Row],[DESIGNATION]])),"","NEED REF")</f>
        <v/>
      </c>
    </row>
    <row r="6611">
      <c r="B6611" t="n">
        <v>34407394</v>
      </c>
      <c r="C6611" s="2" t="n">
        <v>43482</v>
      </c>
      <c r="D6611" t="inlineStr">
        <is>
          <t>SPEC</t>
        </is>
      </c>
      <c r="E6611" t="inlineStr">
        <is>
          <t>PLAN MONTAGE KIT CAPA THM G400</t>
        </is>
      </c>
      <c r="F6611" t="inlineStr">
        <is>
          <t>KIT G400 BAC CAPA KEMET 2019</t>
        </is>
      </c>
      <c r="J6611" t="inlineStr">
        <is>
          <t>BERNARDEAU</t>
        </is>
      </c>
      <c r="L6611">
        <f>_xlfn.XLOOKUP(Tableau1[[#This Row],[TYPE DE PIECE]],Tableau4[MATIERE],Tableau4[SHORT TYPE],"",0,1)</f>
        <v/>
      </c>
      <c r="N6611">
        <f>IF(ISERR(FIND("DECOUPE",Tableau1[[#This Row],[DESIGNATION]])),"","NEED REF")</f>
        <v/>
      </c>
    </row>
    <row r="6612">
      <c r="B6612" t="n">
        <v>34407393</v>
      </c>
      <c r="C6612" s="2" t="n">
        <v>43482</v>
      </c>
      <c r="D6612" t="inlineStr">
        <is>
          <t>SPEC</t>
        </is>
      </c>
      <c r="E6612" t="inlineStr">
        <is>
          <t>réserve</t>
        </is>
      </c>
      <c r="F6612" t="inlineStr">
        <is>
          <t>IO 1000KVA GVX</t>
        </is>
      </c>
      <c r="J6612" t="inlineStr">
        <is>
          <t>MATRION</t>
        </is>
      </c>
      <c r="L6612">
        <f>_xlfn.XLOOKUP(Tableau1[[#This Row],[TYPE DE PIECE]],Tableau4[MATIERE],Tableau4[SHORT TYPE],"",0,1)</f>
        <v/>
      </c>
      <c r="N6612">
        <f>IF(ISERR(FIND("DECOUPE",Tableau1[[#This Row],[DESIGNATION]])),"","NEED REF")</f>
        <v/>
      </c>
    </row>
    <row r="6613">
      <c r="B6613" t="n">
        <v>34407392</v>
      </c>
      <c r="C6613" s="2" t="n">
        <v>43482</v>
      </c>
      <c r="D6613" t="inlineStr">
        <is>
          <t>SPEC</t>
        </is>
      </c>
      <c r="E6613" t="inlineStr">
        <is>
          <t>COP N TO L3 LOAD FEEDUNIT JUNCTION</t>
        </is>
      </c>
      <c r="F6613" t="inlineStr">
        <is>
          <t>IO 1000KVA GVX</t>
        </is>
      </c>
      <c r="J6613" t="inlineStr">
        <is>
          <t>MATRION</t>
        </is>
      </c>
      <c r="K6613" t="inlineStr">
        <is>
          <t>CUIVRE</t>
        </is>
      </c>
      <c r="L6613">
        <f>_xlfn.XLOOKUP(Tableau1[[#This Row],[TYPE DE PIECE]],Tableau4[MATIERE],Tableau4[SHORT TYPE],"",0,1)</f>
        <v/>
      </c>
      <c r="N6613">
        <f>IF(ISERR(FIND("DECOUPE",Tableau1[[#This Row],[DESIGNATION]])),"","NEED REF")</f>
        <v/>
      </c>
    </row>
    <row r="6614">
      <c r="B6614" t="n">
        <v>34407391</v>
      </c>
      <c r="C6614" s="2" t="n">
        <v>43482</v>
      </c>
      <c r="D6614" t="inlineStr">
        <is>
          <t>SPEC</t>
        </is>
      </c>
      <c r="E6614" t="inlineStr">
        <is>
          <t>COP L2 LOAD ELBOW 2</t>
        </is>
      </c>
      <c r="F6614" t="inlineStr">
        <is>
          <t>IO 1000KVA GVX</t>
        </is>
      </c>
      <c r="J6614" t="inlineStr">
        <is>
          <t>MATRION</t>
        </is>
      </c>
      <c r="K6614" t="inlineStr">
        <is>
          <t>CUIVRE</t>
        </is>
      </c>
      <c r="L6614">
        <f>_xlfn.XLOOKUP(Tableau1[[#This Row],[TYPE DE PIECE]],Tableau4[MATIERE],Tableau4[SHORT TYPE],"",0,1)</f>
        <v/>
      </c>
      <c r="N6614">
        <f>IF(ISERR(FIND("DECOUPE",Tableau1[[#This Row],[DESIGNATION]])),"","NEED REF")</f>
        <v/>
      </c>
    </row>
    <row r="6615">
      <c r="B6615" t="n">
        <v>34407390</v>
      </c>
      <c r="C6615" s="2" t="n">
        <v>43482</v>
      </c>
      <c r="D6615" t="inlineStr">
        <is>
          <t>SPEC</t>
        </is>
      </c>
      <c r="E6615" t="inlineStr">
        <is>
          <t>COP L2 LOAD ELBOW 1</t>
        </is>
      </c>
      <c r="F6615" t="inlineStr">
        <is>
          <t>IO 1000KVA GVX</t>
        </is>
      </c>
      <c r="J6615" t="inlineStr">
        <is>
          <t>MATRION</t>
        </is>
      </c>
      <c r="K6615" t="inlineStr">
        <is>
          <t>CUIVRE</t>
        </is>
      </c>
      <c r="L6615">
        <f>_xlfn.XLOOKUP(Tableau1[[#This Row],[TYPE DE PIECE]],Tableau4[MATIERE],Tableau4[SHORT TYPE],"",0,1)</f>
        <v/>
      </c>
      <c r="N6615">
        <f>IF(ISERR(FIND("DECOUPE",Tableau1[[#This Row],[DESIGNATION]])),"","NEED REF")</f>
        <v/>
      </c>
    </row>
    <row r="6616">
      <c r="B6616" t="n">
        <v>34407389</v>
      </c>
      <c r="C6616" s="2" t="n">
        <v>43482</v>
      </c>
      <c r="D6616" t="inlineStr">
        <is>
          <t>SPEC</t>
        </is>
      </c>
      <c r="E6616" t="inlineStr">
        <is>
          <t>COP L3 LOAD ELBOW 2</t>
        </is>
      </c>
      <c r="F6616" t="inlineStr">
        <is>
          <t>IO 1000KVA GVX</t>
        </is>
      </c>
      <c r="J6616" t="inlineStr">
        <is>
          <t>MATRION</t>
        </is>
      </c>
      <c r="K6616" t="inlineStr">
        <is>
          <t>CUIVRE</t>
        </is>
      </c>
      <c r="L6616">
        <f>_xlfn.XLOOKUP(Tableau1[[#This Row],[TYPE DE PIECE]],Tableau4[MATIERE],Tableau4[SHORT TYPE],"",0,1)</f>
        <v/>
      </c>
      <c r="N6616">
        <f>IF(ISERR(FIND("DECOUPE",Tableau1[[#This Row],[DESIGNATION]])),"","NEED REF")</f>
        <v/>
      </c>
    </row>
    <row r="6617">
      <c r="B6617" t="n">
        <v>34407388</v>
      </c>
      <c r="C6617" s="2" t="n">
        <v>43482</v>
      </c>
      <c r="D6617" t="inlineStr">
        <is>
          <t>SPEC</t>
        </is>
      </c>
      <c r="E6617" t="inlineStr">
        <is>
          <t>COP N LOAD FEEDUNIT 3</t>
        </is>
      </c>
      <c r="F6617" t="inlineStr">
        <is>
          <t>IO 1000KVA GVX</t>
        </is>
      </c>
      <c r="J6617" t="inlineStr">
        <is>
          <t>MATRION</t>
        </is>
      </c>
      <c r="K6617" t="inlineStr">
        <is>
          <t>CUIVRE</t>
        </is>
      </c>
      <c r="L6617">
        <f>_xlfn.XLOOKUP(Tableau1[[#This Row],[TYPE DE PIECE]],Tableau4[MATIERE],Tableau4[SHORT TYPE],"",0,1)</f>
        <v/>
      </c>
      <c r="N6617">
        <f>IF(ISERR(FIND("DECOUPE",Tableau1[[#This Row],[DESIGNATION]])),"","NEED REF")</f>
        <v/>
      </c>
    </row>
    <row r="6618">
      <c r="B6618" t="n">
        <v>34407387</v>
      </c>
      <c r="C6618" s="2" t="n">
        <v>43482</v>
      </c>
      <c r="D6618" t="inlineStr">
        <is>
          <t>SPEC</t>
        </is>
      </c>
      <c r="E6618" t="inlineStr">
        <is>
          <t>COP N LOAD FEEDUNIT 2</t>
        </is>
      </c>
      <c r="F6618" t="inlineStr">
        <is>
          <t>IO 1000KVA GVX</t>
        </is>
      </c>
      <c r="J6618" t="inlineStr">
        <is>
          <t>MATRION</t>
        </is>
      </c>
      <c r="K6618" t="inlineStr">
        <is>
          <t>CUIVRE</t>
        </is>
      </c>
      <c r="L6618">
        <f>_xlfn.XLOOKUP(Tableau1[[#This Row],[TYPE DE PIECE]],Tableau4[MATIERE],Tableau4[SHORT TYPE],"",0,1)</f>
        <v/>
      </c>
      <c r="N6618">
        <f>IF(ISERR(FIND("DECOUPE",Tableau1[[#This Row],[DESIGNATION]])),"","NEED REF")</f>
        <v/>
      </c>
    </row>
    <row r="6619">
      <c r="B6619" t="n">
        <v>34407386</v>
      </c>
      <c r="C6619" s="2" t="n">
        <v>43482</v>
      </c>
      <c r="D6619" t="inlineStr">
        <is>
          <t>SPEC</t>
        </is>
      </c>
      <c r="E6619" t="inlineStr">
        <is>
          <t>réserve</t>
        </is>
      </c>
      <c r="F6619" t="inlineStr">
        <is>
          <t>IO 1000KVA GVX</t>
        </is>
      </c>
      <c r="J6619" t="inlineStr">
        <is>
          <t>MATRION</t>
        </is>
      </c>
      <c r="L6619">
        <f>_xlfn.XLOOKUP(Tableau1[[#This Row],[TYPE DE PIECE]],Tableau4[MATIERE],Tableau4[SHORT TYPE],"",0,1)</f>
        <v/>
      </c>
      <c r="N6619">
        <f>IF(ISERR(FIND("DECOUPE",Tableau1[[#This Row],[DESIGNATION]])),"","NEED REF")</f>
        <v/>
      </c>
    </row>
    <row r="6620">
      <c r="B6620" t="n">
        <v>34407385</v>
      </c>
      <c r="C6620" s="2" t="n">
        <v>43482</v>
      </c>
      <c r="D6620" t="inlineStr">
        <is>
          <t>SPEC</t>
        </is>
      </c>
      <c r="E6620" t="inlineStr">
        <is>
          <t>réserve</t>
        </is>
      </c>
      <c r="F6620" t="inlineStr">
        <is>
          <t>IO 1000KVA GVX</t>
        </is>
      </c>
      <c r="J6620" t="inlineStr">
        <is>
          <t>MATRION</t>
        </is>
      </c>
      <c r="L6620">
        <f>_xlfn.XLOOKUP(Tableau1[[#This Row],[TYPE DE PIECE]],Tableau4[MATIERE],Tableau4[SHORT TYPE],"",0,1)</f>
        <v/>
      </c>
      <c r="N6620">
        <f>IF(ISERR(FIND("DECOUPE",Tableau1[[#This Row],[DESIGNATION]])),"","NEED REF")</f>
        <v/>
      </c>
    </row>
    <row r="6621">
      <c r="B6621" t="n">
        <v>34407384</v>
      </c>
      <c r="C6621" s="2" t="n">
        <v>43482</v>
      </c>
      <c r="D6621" t="inlineStr">
        <is>
          <t>SPEC</t>
        </is>
      </c>
      <c r="E6621" t="inlineStr">
        <is>
          <t>réserve</t>
        </is>
      </c>
      <c r="F6621" t="inlineStr">
        <is>
          <t>IO 1000KVA GVX</t>
        </is>
      </c>
      <c r="J6621" t="inlineStr">
        <is>
          <t>MATRION</t>
        </is>
      </c>
      <c r="L6621">
        <f>_xlfn.XLOOKUP(Tableau1[[#This Row],[TYPE DE PIECE]],Tableau4[MATIERE],Tableau4[SHORT TYPE],"",0,1)</f>
        <v/>
      </c>
      <c r="N6621">
        <f>IF(ISERR(FIND("DECOUPE",Tableau1[[#This Row],[DESIGNATION]])),"","NEED REF")</f>
        <v/>
      </c>
    </row>
    <row r="6622">
      <c r="B6622" t="n">
        <v>34407383</v>
      </c>
      <c r="C6622" s="2" t="n">
        <v>43482</v>
      </c>
      <c r="D6622" t="inlineStr">
        <is>
          <t>SPEC</t>
        </is>
      </c>
      <c r="E6622" t="inlineStr">
        <is>
          <t>réserve</t>
        </is>
      </c>
      <c r="F6622" t="inlineStr">
        <is>
          <t>IO 1000KVA GVX</t>
        </is>
      </c>
      <c r="J6622" t="inlineStr">
        <is>
          <t>MATRION</t>
        </is>
      </c>
      <c r="L6622">
        <f>_xlfn.XLOOKUP(Tableau1[[#This Row],[TYPE DE PIECE]],Tableau4[MATIERE],Tableau4[SHORT TYPE],"",0,1)</f>
        <v/>
      </c>
      <c r="N6622">
        <f>IF(ISERR(FIND("DECOUPE",Tableau1[[#This Row],[DESIGNATION]])),"","NEED REF")</f>
        <v/>
      </c>
    </row>
    <row r="6623">
      <c r="B6623" t="n">
        <v>34407382</v>
      </c>
      <c r="C6623" s="2" t="n">
        <v>43482</v>
      </c>
      <c r="D6623" t="inlineStr">
        <is>
          <t>SPEC</t>
        </is>
      </c>
      <c r="E6623" t="inlineStr">
        <is>
          <t>COP L2 MAINS REVERSED</t>
        </is>
      </c>
      <c r="F6623" t="inlineStr">
        <is>
          <t>IO 1000KVA GVX</t>
        </is>
      </c>
      <c r="J6623" t="inlineStr">
        <is>
          <t>MATRION</t>
        </is>
      </c>
      <c r="K6623" t="inlineStr">
        <is>
          <t>CUIVRE</t>
        </is>
      </c>
      <c r="L6623">
        <f>_xlfn.XLOOKUP(Tableau1[[#This Row],[TYPE DE PIECE]],Tableau4[MATIERE],Tableau4[SHORT TYPE],"",0,1)</f>
        <v/>
      </c>
      <c r="N6623">
        <f>IF(ISERR(FIND("DECOUPE",Tableau1[[#This Row],[DESIGNATION]])),"","NEED REF")</f>
        <v/>
      </c>
    </row>
    <row r="6624">
      <c r="B6624" t="n">
        <v>34407381</v>
      </c>
      <c r="C6624" s="2" t="n">
        <v>43482</v>
      </c>
      <c r="D6624" t="inlineStr">
        <is>
          <t>SPEC</t>
        </is>
      </c>
      <c r="E6624" t="inlineStr">
        <is>
          <t>COP N LOAD FEEDUNIT JUNCTION</t>
        </is>
      </c>
      <c r="F6624" t="inlineStr">
        <is>
          <t>IO 1000KVA GVX</t>
        </is>
      </c>
      <c r="J6624" t="inlineStr">
        <is>
          <t>MATRION</t>
        </is>
      </c>
      <c r="K6624" t="inlineStr">
        <is>
          <t>CUIVRE</t>
        </is>
      </c>
      <c r="L6624">
        <f>_xlfn.XLOOKUP(Tableau1[[#This Row],[TYPE DE PIECE]],Tableau4[MATIERE],Tableau4[SHORT TYPE],"",0,1)</f>
        <v/>
      </c>
      <c r="N6624">
        <f>IF(ISERR(FIND("DECOUPE",Tableau1[[#This Row],[DESIGNATION]])),"","NEED REF")</f>
        <v/>
      </c>
    </row>
    <row r="6625">
      <c r="B6625" t="n">
        <v>34407380</v>
      </c>
      <c r="C6625" s="2" t="n">
        <v>43482</v>
      </c>
      <c r="D6625" t="inlineStr">
        <is>
          <t>SPEC</t>
        </is>
      </c>
      <c r="E6625" t="inlineStr">
        <is>
          <t>COP N LOAD FEEDUNIT 1</t>
        </is>
      </c>
      <c r="F6625" t="inlineStr">
        <is>
          <t>IO 1000KVA GVX</t>
        </is>
      </c>
      <c r="J6625" t="inlineStr">
        <is>
          <t>MATRION</t>
        </is>
      </c>
      <c r="K6625" t="inlineStr">
        <is>
          <t>CUIVRE</t>
        </is>
      </c>
      <c r="L6625">
        <f>_xlfn.XLOOKUP(Tableau1[[#This Row],[TYPE DE PIECE]],Tableau4[MATIERE],Tableau4[SHORT TYPE],"",0,1)</f>
        <v/>
      </c>
      <c r="N6625">
        <f>IF(ISERR(FIND("DECOUPE",Tableau1[[#This Row],[DESIGNATION]])),"","NEED REF")</f>
        <v/>
      </c>
    </row>
    <row r="6626">
      <c r="B6626" t="n">
        <v>34407379</v>
      </c>
      <c r="C6626" s="2" t="n">
        <v>43482</v>
      </c>
      <c r="D6626" t="inlineStr">
        <is>
          <t>SPEC</t>
        </is>
      </c>
      <c r="E6626" t="inlineStr">
        <is>
          <t>réserve</t>
        </is>
      </c>
      <c r="F6626" t="inlineStr">
        <is>
          <t>IO 1000KVA GVX</t>
        </is>
      </c>
      <c r="J6626" t="inlineStr">
        <is>
          <t>MATRION</t>
        </is>
      </c>
      <c r="L6626">
        <f>_xlfn.XLOOKUP(Tableau1[[#This Row],[TYPE DE PIECE]],Tableau4[MATIERE],Tableau4[SHORT TYPE],"",0,1)</f>
        <v/>
      </c>
      <c r="N6626">
        <f>IF(ISERR(FIND("DECOUPE",Tableau1[[#This Row],[DESIGNATION]])),"","NEED REF")</f>
        <v/>
      </c>
    </row>
    <row r="6627">
      <c r="B6627" t="n">
        <v>34407378</v>
      </c>
      <c r="C6627" s="2" t="n">
        <v>43482</v>
      </c>
      <c r="D6627" t="inlineStr">
        <is>
          <t>SPEC</t>
        </is>
      </c>
      <c r="E6627" t="inlineStr">
        <is>
          <t>réserve</t>
        </is>
      </c>
      <c r="F6627" t="inlineStr">
        <is>
          <t>IO 1000KVA GVX</t>
        </is>
      </c>
      <c r="J6627" t="inlineStr">
        <is>
          <t>MATRION</t>
        </is>
      </c>
      <c r="L6627">
        <f>_xlfn.XLOOKUP(Tableau1[[#This Row],[TYPE DE PIECE]],Tableau4[MATIERE],Tableau4[SHORT TYPE],"",0,1)</f>
        <v/>
      </c>
      <c r="N6627">
        <f>IF(ISERR(FIND("DECOUPE",Tableau1[[#This Row],[DESIGNATION]])),"","NEED REF")</f>
        <v/>
      </c>
    </row>
    <row r="6628">
      <c r="B6628" t="n">
        <v>34407377</v>
      </c>
      <c r="C6628" s="2" t="n">
        <v>43482</v>
      </c>
      <c r="D6628" t="inlineStr">
        <is>
          <t>SPEC</t>
        </is>
      </c>
      <c r="E6628" t="inlineStr">
        <is>
          <t>COP N LOAD 3</t>
        </is>
      </c>
      <c r="F6628" t="inlineStr">
        <is>
          <t>IO 1000KVA GVX</t>
        </is>
      </c>
      <c r="J6628" t="inlineStr">
        <is>
          <t>MATRION</t>
        </is>
      </c>
      <c r="K6628" t="inlineStr">
        <is>
          <t>CUIVRE</t>
        </is>
      </c>
      <c r="L6628">
        <f>_xlfn.XLOOKUP(Tableau1[[#This Row],[TYPE DE PIECE]],Tableau4[MATIERE],Tableau4[SHORT TYPE],"",0,1)</f>
        <v/>
      </c>
      <c r="N6628">
        <f>IF(ISERR(FIND("DECOUPE",Tableau1[[#This Row],[DESIGNATION]])),"","NEED REF")</f>
        <v/>
      </c>
    </row>
    <row r="6629">
      <c r="B6629" t="n">
        <v>34407376</v>
      </c>
      <c r="C6629" s="2" t="n">
        <v>43482</v>
      </c>
      <c r="D6629" t="inlineStr">
        <is>
          <t>SPEC</t>
        </is>
      </c>
      <c r="E6629" t="inlineStr">
        <is>
          <t>COP N LOAD 2</t>
        </is>
      </c>
      <c r="F6629" t="inlineStr">
        <is>
          <t>IO 1000KVA GVX</t>
        </is>
      </c>
      <c r="J6629" t="inlineStr">
        <is>
          <t>MATRION</t>
        </is>
      </c>
      <c r="K6629" t="inlineStr">
        <is>
          <t>CUIVRE</t>
        </is>
      </c>
      <c r="L6629">
        <f>_xlfn.XLOOKUP(Tableau1[[#This Row],[TYPE DE PIECE]],Tableau4[MATIERE],Tableau4[SHORT TYPE],"",0,1)</f>
        <v/>
      </c>
      <c r="N6629">
        <f>IF(ISERR(FIND("DECOUPE",Tableau1[[#This Row],[DESIGNATION]])),"","NEED REF")</f>
        <v/>
      </c>
    </row>
    <row r="6630">
      <c r="B6630" t="n">
        <v>34407375</v>
      </c>
      <c r="C6630" s="2" t="n">
        <v>43482</v>
      </c>
      <c r="D6630" t="inlineStr">
        <is>
          <t>SPEC</t>
        </is>
      </c>
      <c r="E6630" t="inlineStr">
        <is>
          <t>COP L1 LOAD ELBOW 2</t>
        </is>
      </c>
      <c r="F6630" t="inlineStr">
        <is>
          <t>IO 1000KVA GVX</t>
        </is>
      </c>
      <c r="J6630" t="inlineStr">
        <is>
          <t>MATRION</t>
        </is>
      </c>
      <c r="K6630" t="inlineStr">
        <is>
          <t>CUIVRE</t>
        </is>
      </c>
      <c r="L6630">
        <f>_xlfn.XLOOKUP(Tableau1[[#This Row],[TYPE DE PIECE]],Tableau4[MATIERE],Tableau4[SHORT TYPE],"",0,1)</f>
        <v/>
      </c>
      <c r="N6630">
        <f>IF(ISERR(FIND("DECOUPE",Tableau1[[#This Row],[DESIGNATION]])),"","NEED REF")</f>
        <v/>
      </c>
    </row>
    <row r="6631">
      <c r="B6631" t="n">
        <v>34407374</v>
      </c>
      <c r="C6631" s="2" t="n">
        <v>43482</v>
      </c>
      <c r="D6631" t="inlineStr">
        <is>
          <t>SPEC</t>
        </is>
      </c>
      <c r="E6631" t="inlineStr">
        <is>
          <t>COP L1 LOAD ELBOW 1</t>
        </is>
      </c>
      <c r="F6631" t="inlineStr">
        <is>
          <t>IO 1000KVA GVX</t>
        </is>
      </c>
      <c r="J6631" t="inlineStr">
        <is>
          <t>MATRION</t>
        </is>
      </c>
      <c r="K6631" t="inlineStr">
        <is>
          <t>CUIVRE</t>
        </is>
      </c>
      <c r="L6631">
        <f>_xlfn.XLOOKUP(Tableau1[[#This Row],[TYPE DE PIECE]],Tableau4[MATIERE],Tableau4[SHORT TYPE],"",0,1)</f>
        <v/>
      </c>
      <c r="N6631">
        <f>IF(ISERR(FIND("DECOUPE",Tableau1[[#This Row],[DESIGNATION]])),"","NEED REF")</f>
        <v/>
      </c>
    </row>
    <row r="6632">
      <c r="B6632" t="n">
        <v>34407373</v>
      </c>
      <c r="C6632" s="2" t="n">
        <v>43482</v>
      </c>
      <c r="D6632" t="inlineStr">
        <is>
          <t>SPEC</t>
        </is>
      </c>
      <c r="E6632" t="inlineStr">
        <is>
          <t>COP L3 LOAD ELBOW 1</t>
        </is>
      </c>
      <c r="F6632" t="inlineStr">
        <is>
          <t>IO 1000KVA GVX</t>
        </is>
      </c>
      <c r="J6632" t="inlineStr">
        <is>
          <t>MATRION</t>
        </is>
      </c>
      <c r="K6632" t="inlineStr">
        <is>
          <t>CUIVRE</t>
        </is>
      </c>
      <c r="L6632">
        <f>_xlfn.XLOOKUP(Tableau1[[#This Row],[TYPE DE PIECE]],Tableau4[MATIERE],Tableau4[SHORT TYPE],"",0,1)</f>
        <v/>
      </c>
      <c r="N6632">
        <f>IF(ISERR(FIND("DECOUPE",Tableau1[[#This Row],[DESIGNATION]])),"","NEED REF")</f>
        <v/>
      </c>
    </row>
    <row r="6633">
      <c r="B6633" t="n">
        <v>34407372</v>
      </c>
      <c r="C6633" s="2" t="n">
        <v>43482</v>
      </c>
      <c r="D6633" t="inlineStr">
        <is>
          <t>SPEC</t>
        </is>
      </c>
      <c r="E6633" t="inlineStr">
        <is>
          <t>COP N LOAD 1</t>
        </is>
      </c>
      <c r="F6633" t="inlineStr">
        <is>
          <t>IO 1000KVA GVX</t>
        </is>
      </c>
      <c r="J6633" t="inlineStr">
        <is>
          <t>MATRION</t>
        </is>
      </c>
      <c r="K6633" t="inlineStr">
        <is>
          <t>CUIVRE</t>
        </is>
      </c>
      <c r="L6633">
        <f>_xlfn.XLOOKUP(Tableau1[[#This Row],[TYPE DE PIECE]],Tableau4[MATIERE],Tableau4[SHORT TYPE],"",0,1)</f>
        <v/>
      </c>
      <c r="N6633">
        <f>IF(ISERR(FIND("DECOUPE",Tableau1[[#This Row],[DESIGNATION]])),"","NEED REF")</f>
        <v/>
      </c>
    </row>
    <row r="6634">
      <c r="B6634" t="n">
        <v>34407371</v>
      </c>
      <c r="C6634" s="2" t="n">
        <v>43482</v>
      </c>
      <c r="D6634" t="inlineStr">
        <is>
          <t>SPEC</t>
        </is>
      </c>
      <c r="E6634" t="inlineStr">
        <is>
          <t>COP L3 LOAD REVERSED</t>
        </is>
      </c>
      <c r="F6634" t="inlineStr">
        <is>
          <t>IO 1000KVA GVX</t>
        </is>
      </c>
      <c r="J6634" t="inlineStr">
        <is>
          <t>MATRION</t>
        </is>
      </c>
      <c r="K6634" t="inlineStr">
        <is>
          <t>CUIVRE</t>
        </is>
      </c>
      <c r="L6634">
        <f>_xlfn.XLOOKUP(Tableau1[[#This Row],[TYPE DE PIECE]],Tableau4[MATIERE],Tableau4[SHORT TYPE],"",0,1)</f>
        <v/>
      </c>
      <c r="N6634">
        <f>IF(ISERR(FIND("DECOUPE",Tableau1[[#This Row],[DESIGNATION]])),"","NEED REF")</f>
        <v/>
      </c>
    </row>
    <row r="6635">
      <c r="B6635" t="n">
        <v>34407370</v>
      </c>
      <c r="C6635" s="2" t="n">
        <v>43482</v>
      </c>
      <c r="D6635" t="inlineStr">
        <is>
          <t>SPEC</t>
        </is>
      </c>
      <c r="E6635" t="inlineStr">
        <is>
          <t>COP LOAD NORMAL AND L2 REVERSED</t>
        </is>
      </c>
      <c r="F6635" t="inlineStr">
        <is>
          <t>IO 1000KVA GVX</t>
        </is>
      </c>
      <c r="J6635" t="inlineStr">
        <is>
          <t>MATRION</t>
        </is>
      </c>
      <c r="K6635" t="inlineStr">
        <is>
          <t>CUIVRE</t>
        </is>
      </c>
      <c r="L6635">
        <f>_xlfn.XLOOKUP(Tableau1[[#This Row],[TYPE DE PIECE]],Tableau4[MATIERE],Tableau4[SHORT TYPE],"",0,1)</f>
        <v/>
      </c>
      <c r="N6635">
        <f>IF(ISERR(FIND("DECOUPE",Tableau1[[#This Row],[DESIGNATION]])),"","NEED REF")</f>
        <v/>
      </c>
    </row>
    <row r="6636">
      <c r="B6636" t="n">
        <v>34407369</v>
      </c>
      <c r="C6636" s="2" t="n">
        <v>43482</v>
      </c>
      <c r="D6636" t="inlineStr">
        <is>
          <t>SPEC</t>
        </is>
      </c>
      <c r="E6636" t="inlineStr">
        <is>
          <t>COP L1 LOAD REVERSED</t>
        </is>
      </c>
      <c r="F6636" t="inlineStr">
        <is>
          <t>IO 1000KVA GVX</t>
        </is>
      </c>
      <c r="J6636" t="inlineStr">
        <is>
          <t>MATRION</t>
        </is>
      </c>
      <c r="K6636" t="inlineStr">
        <is>
          <t>CUIVRE</t>
        </is>
      </c>
      <c r="L6636">
        <f>_xlfn.XLOOKUP(Tableau1[[#This Row],[TYPE DE PIECE]],Tableau4[MATIERE],Tableau4[SHORT TYPE],"",0,1)</f>
        <v/>
      </c>
      <c r="N6636">
        <f>IF(ISERR(FIND("DECOUPE",Tableau1[[#This Row],[DESIGNATION]])),"","NEED REF")</f>
        <v/>
      </c>
    </row>
    <row r="6637">
      <c r="B6637" t="n">
        <v>34407368</v>
      </c>
      <c r="C6637" s="2" t="n">
        <v>43482</v>
      </c>
      <c r="D6637" t="inlineStr">
        <is>
          <t>SPEC</t>
        </is>
      </c>
      <c r="E6637" t="inlineStr">
        <is>
          <t>COP N TO L3 FLEXIBAR MAINS</t>
        </is>
      </c>
      <c r="F6637" t="inlineStr">
        <is>
          <t>IO 1000KVA GVX</t>
        </is>
      </c>
      <c r="J6637" t="inlineStr">
        <is>
          <t>MATRION</t>
        </is>
      </c>
      <c r="K6637" t="inlineStr">
        <is>
          <t>CUIVRE</t>
        </is>
      </c>
      <c r="L6637">
        <f>_xlfn.XLOOKUP(Tableau1[[#This Row],[TYPE DE PIECE]],Tableau4[MATIERE],Tableau4[SHORT TYPE],"",0,1)</f>
        <v/>
      </c>
      <c r="N6637">
        <f>IF(ISERR(FIND("DECOUPE",Tableau1[[#This Row],[DESIGNATION]])),"","NEED REF")</f>
        <v/>
      </c>
    </row>
    <row r="6638">
      <c r="B6638" t="n">
        <v>34407367</v>
      </c>
      <c r="C6638" s="2" t="n">
        <v>43482</v>
      </c>
      <c r="D6638" t="inlineStr">
        <is>
          <t>SPEC</t>
        </is>
      </c>
      <c r="E6638" t="inlineStr">
        <is>
          <t>COP N TO L3 MAINS</t>
        </is>
      </c>
      <c r="F6638" t="inlineStr">
        <is>
          <t>IO 1000KVA GVX</t>
        </is>
      </c>
      <c r="J6638" t="inlineStr">
        <is>
          <t>MATRION</t>
        </is>
      </c>
      <c r="K6638" t="inlineStr">
        <is>
          <t>CUIVRE</t>
        </is>
      </c>
      <c r="L6638">
        <f>_xlfn.XLOOKUP(Tableau1[[#This Row],[TYPE DE PIECE]],Tableau4[MATIERE],Tableau4[SHORT TYPE],"",0,1)</f>
        <v/>
      </c>
      <c r="N6638">
        <f>IF(ISERR(FIND("DECOUPE",Tableau1[[#This Row],[DESIGNATION]])),"","NEED REF")</f>
        <v/>
      </c>
    </row>
    <row r="6639">
      <c r="B6639" t="n">
        <v>34407366</v>
      </c>
      <c r="C6639" s="2" t="n">
        <v>43482</v>
      </c>
      <c r="D6639" t="inlineStr">
        <is>
          <t>SPEC</t>
        </is>
      </c>
      <c r="E6639" t="inlineStr">
        <is>
          <t>COP L3 MAINS REVERSED</t>
        </is>
      </c>
      <c r="F6639" t="inlineStr">
        <is>
          <t>IO 1000KVA GVX</t>
        </is>
      </c>
      <c r="J6639" t="inlineStr">
        <is>
          <t>MATRION</t>
        </is>
      </c>
      <c r="K6639" t="inlineStr">
        <is>
          <t>CUIVRE</t>
        </is>
      </c>
      <c r="L6639">
        <f>_xlfn.XLOOKUP(Tableau1[[#This Row],[TYPE DE PIECE]],Tableau4[MATIERE],Tableau4[SHORT TYPE],"",0,1)</f>
        <v/>
      </c>
      <c r="N6639">
        <f>IF(ISERR(FIND("DECOUPE",Tableau1[[#This Row],[DESIGNATION]])),"","NEED REF")</f>
        <v/>
      </c>
    </row>
    <row r="6640">
      <c r="B6640" t="n">
        <v>34407365</v>
      </c>
      <c r="C6640" s="2" t="n">
        <v>43482</v>
      </c>
      <c r="D6640" t="inlineStr">
        <is>
          <t>SPEC</t>
        </is>
      </c>
      <c r="E6640" t="inlineStr">
        <is>
          <t>COP L1 MAINS REVERSED</t>
        </is>
      </c>
      <c r="F6640" t="inlineStr">
        <is>
          <t>IO 1000KVA GVX</t>
        </is>
      </c>
      <c r="J6640" t="inlineStr">
        <is>
          <t>MATRION</t>
        </is>
      </c>
      <c r="K6640" t="inlineStr">
        <is>
          <t>CUIVRE</t>
        </is>
      </c>
      <c r="L6640">
        <f>_xlfn.XLOOKUP(Tableau1[[#This Row],[TYPE DE PIECE]],Tableau4[MATIERE],Tableau4[SHORT TYPE],"",0,1)</f>
        <v/>
      </c>
      <c r="N6640">
        <f>IF(ISERR(FIND("DECOUPE",Tableau1[[#This Row],[DESIGNATION]])),"","NEED REF")</f>
        <v/>
      </c>
    </row>
    <row r="6641">
      <c r="B6641" t="n">
        <v>34407364</v>
      </c>
      <c r="C6641" s="2" t="n">
        <v>43482</v>
      </c>
      <c r="D6641" t="inlineStr">
        <is>
          <t>SPEC</t>
        </is>
      </c>
      <c r="E6641" t="inlineStr">
        <is>
          <t>COP N MAINS REVERSED</t>
        </is>
      </c>
      <c r="F6641" t="inlineStr">
        <is>
          <t>IO 1000KVA GVX</t>
        </is>
      </c>
      <c r="J6641" t="inlineStr">
        <is>
          <t>MATRION</t>
        </is>
      </c>
      <c r="K6641" t="inlineStr">
        <is>
          <t>CUIVRE</t>
        </is>
      </c>
      <c r="L6641">
        <f>_xlfn.XLOOKUP(Tableau1[[#This Row],[TYPE DE PIECE]],Tableau4[MATIERE],Tableau4[SHORT TYPE],"",0,1)</f>
        <v/>
      </c>
      <c r="N6641">
        <f>IF(ISERR(FIND("DECOUPE",Tableau1[[#This Row],[DESIGNATION]])),"","NEED REF")</f>
        <v/>
      </c>
    </row>
    <row r="6642">
      <c r="B6642" t="n">
        <v>34407363</v>
      </c>
      <c r="C6642" s="2" t="n">
        <v>43482</v>
      </c>
      <c r="D6642" t="inlineStr">
        <is>
          <t>SPEC</t>
        </is>
      </c>
      <c r="E6642" t="inlineStr">
        <is>
          <t>COP LOAD FEEDUNIT</t>
        </is>
      </c>
      <c r="F6642" t="inlineStr">
        <is>
          <t>IO 1000KVA GVX</t>
        </is>
      </c>
      <c r="J6642" t="inlineStr">
        <is>
          <t>MATRION</t>
        </is>
      </c>
      <c r="K6642" t="inlineStr">
        <is>
          <t>CUIVRE</t>
        </is>
      </c>
      <c r="L6642">
        <f>_xlfn.XLOOKUP(Tableau1[[#This Row],[TYPE DE PIECE]],Tableau4[MATIERE],Tableau4[SHORT TYPE],"",0,1)</f>
        <v/>
      </c>
      <c r="N6642">
        <f>IF(ISERR(FIND("DECOUPE",Tableau1[[#This Row],[DESIGNATION]])),"","NEED REF")</f>
        <v/>
      </c>
    </row>
    <row r="6643">
      <c r="B6643" t="n">
        <v>34407362</v>
      </c>
      <c r="C6643" s="2" t="n">
        <v>43482</v>
      </c>
      <c r="D6643" t="inlineStr">
        <is>
          <t>SPEC</t>
        </is>
      </c>
      <c r="E6643" t="inlineStr">
        <is>
          <t>COP MAINS FEEDUNIT</t>
        </is>
      </c>
      <c r="F6643" t="inlineStr">
        <is>
          <t>IO 1000KVA GVX</t>
        </is>
      </c>
      <c r="J6643" t="inlineStr">
        <is>
          <t>MATRION</t>
        </is>
      </c>
      <c r="K6643" t="inlineStr">
        <is>
          <t>CUIVRE</t>
        </is>
      </c>
      <c r="L6643">
        <f>_xlfn.XLOOKUP(Tableau1[[#This Row],[TYPE DE PIECE]],Tableau4[MATIERE],Tableau4[SHORT TYPE],"",0,1)</f>
        <v/>
      </c>
      <c r="N6643">
        <f>IF(ISERR(FIND("DECOUPE",Tableau1[[#This Row],[DESIGNATION]])),"","NEED REF")</f>
        <v/>
      </c>
    </row>
    <row r="6644">
      <c r="B6644" t="n">
        <v>34407361</v>
      </c>
      <c r="C6644" s="2" t="n">
        <v>43481</v>
      </c>
      <c r="D6644" t="inlineStr">
        <is>
          <t>SPEC</t>
        </is>
      </c>
      <c r="E6644" t="inlineStr">
        <is>
          <t>SUPPORT CAPA HOR, HAUT G400</t>
        </is>
      </c>
      <c r="F6644" t="inlineStr">
        <is>
          <t>KIT G400 BAC CAPA KEMET 2019</t>
        </is>
      </c>
      <c r="L6644">
        <f>_xlfn.XLOOKUP(Tableau1[[#This Row],[TYPE DE PIECE]],Tableau4[MATIERE],Tableau4[SHORT TYPE],"",0,1)</f>
        <v/>
      </c>
      <c r="N6644">
        <f>IF(ISERR(FIND("DECOUPE",Tableau1[[#This Row],[DESIGNATION]])),"","NEED REF")</f>
        <v/>
      </c>
    </row>
    <row r="6645">
      <c r="B6645" t="n">
        <v>34407360</v>
      </c>
      <c r="C6645" s="2" t="n">
        <v>43481</v>
      </c>
      <c r="D6645" t="inlineStr">
        <is>
          <t>SPEC</t>
        </is>
      </c>
      <c r="E6645" t="inlineStr">
        <is>
          <t>SUPPORT CAPA HOR, MILIEU G400</t>
        </is>
      </c>
      <c r="F6645" t="inlineStr">
        <is>
          <t>KIT G400 BAC CAPA KEMET 2019</t>
        </is>
      </c>
      <c r="J6645" t="inlineStr">
        <is>
          <t>BERNARDEAU</t>
        </is>
      </c>
      <c r="K6645" t="inlineStr">
        <is>
          <t>METAL</t>
        </is>
      </c>
      <c r="L6645">
        <f>_xlfn.XLOOKUP(Tableau1[[#This Row],[TYPE DE PIECE]],Tableau4[MATIERE],Tableau4[SHORT TYPE],"",0,1)</f>
        <v/>
      </c>
      <c r="N6645">
        <f>IF(ISERR(FIND("DECOUPE",Tableau1[[#This Row],[DESIGNATION]])),"","NEED REF")</f>
        <v/>
      </c>
    </row>
    <row r="6646">
      <c r="B6646" t="n">
        <v>34407359</v>
      </c>
      <c r="C6646" s="2" t="n">
        <v>43481</v>
      </c>
      <c r="D6646" t="inlineStr">
        <is>
          <t>SPEC</t>
        </is>
      </c>
      <c r="E6646" t="inlineStr">
        <is>
          <t>SUPPORT CAPA HOR, BAS G400</t>
        </is>
      </c>
      <c r="F6646" t="inlineStr">
        <is>
          <t>KIT G400 BAC CAPA KEMET 2019</t>
        </is>
      </c>
      <c r="J6646" t="inlineStr">
        <is>
          <t>BERNARDEAU</t>
        </is>
      </c>
      <c r="K6646" t="inlineStr">
        <is>
          <t>METAL</t>
        </is>
      </c>
      <c r="L6646">
        <f>_xlfn.XLOOKUP(Tableau1[[#This Row],[TYPE DE PIECE]],Tableau4[MATIERE],Tableau4[SHORT TYPE],"",0,1)</f>
        <v/>
      </c>
      <c r="N6646">
        <f>IF(ISERR(FIND("DECOUPE",Tableau1[[#This Row],[DESIGNATION]])),"","NEED REF")</f>
        <v/>
      </c>
    </row>
    <row r="6647">
      <c r="B6647" t="n">
        <v>34407358</v>
      </c>
      <c r="C6647" s="2" t="n">
        <v>43481</v>
      </c>
      <c r="D6647" t="inlineStr">
        <is>
          <t>SPEC</t>
        </is>
      </c>
      <c r="E6647" t="inlineStr">
        <is>
          <t>Support CAPA arrière HAUT THM G600</t>
        </is>
      </c>
      <c r="F6647" t="inlineStr">
        <is>
          <t>THM G600</t>
        </is>
      </c>
      <c r="J6647" t="inlineStr">
        <is>
          <t>BERNARDEAU</t>
        </is>
      </c>
      <c r="K6647" t="inlineStr">
        <is>
          <t>METAL</t>
        </is>
      </c>
      <c r="L6647">
        <f>_xlfn.XLOOKUP(Tableau1[[#This Row],[TYPE DE PIECE]],Tableau4[MATIERE],Tableau4[SHORT TYPE],"",0,1)</f>
        <v/>
      </c>
      <c r="N6647">
        <f>IF(ISERR(FIND("DECOUPE",Tableau1[[#This Row],[DESIGNATION]])),"","NEED REF")</f>
        <v/>
      </c>
    </row>
    <row r="6648">
      <c r="B6648" t="n">
        <v>34407357</v>
      </c>
      <c r="C6648" s="2" t="n">
        <v>43481</v>
      </c>
      <c r="D6648" t="inlineStr">
        <is>
          <t>SPEC</t>
        </is>
      </c>
      <c r="E6648" t="inlineStr">
        <is>
          <t>Support CAPA arrière HAUT THM G600</t>
        </is>
      </c>
      <c r="F6648" t="inlineStr">
        <is>
          <t>THM G600</t>
        </is>
      </c>
      <c r="J6648" t="inlineStr">
        <is>
          <t>BERNARDEAU</t>
        </is>
      </c>
      <c r="K6648" t="inlineStr">
        <is>
          <t>METAL</t>
        </is>
      </c>
      <c r="L6648">
        <f>_xlfn.XLOOKUP(Tableau1[[#This Row],[TYPE DE PIECE]],Tableau4[MATIERE],Tableau4[SHORT TYPE],"",0,1)</f>
        <v/>
      </c>
      <c r="N6648">
        <f>IF(ISERR(FIND("DECOUPE",Tableau1[[#This Row],[DESIGNATION]])),"","NEED REF")</f>
        <v/>
      </c>
    </row>
    <row r="6649">
      <c r="B6649" t="n">
        <v>34407356</v>
      </c>
      <c r="C6649" s="2" t="n">
        <v>43481</v>
      </c>
      <c r="D6649" t="inlineStr">
        <is>
          <t>SPEC</t>
        </is>
      </c>
      <c r="E6649" t="inlineStr">
        <is>
          <t>Support CAPA arrière HAUT THM G600</t>
        </is>
      </c>
      <c r="F6649" t="inlineStr">
        <is>
          <t>THM G600</t>
        </is>
      </c>
      <c r="J6649" t="inlineStr">
        <is>
          <t>BERNARDEAU</t>
        </is>
      </c>
      <c r="K6649" t="inlineStr">
        <is>
          <t>METAL</t>
        </is>
      </c>
      <c r="L6649">
        <f>_xlfn.XLOOKUP(Tableau1[[#This Row],[TYPE DE PIECE]],Tableau4[MATIERE],Tableau4[SHORT TYPE],"",0,1)</f>
        <v/>
      </c>
      <c r="N6649">
        <f>IF(ISERR(FIND("DECOUPE",Tableau1[[#This Row],[DESIGNATION]])),"","NEED REF")</f>
        <v/>
      </c>
    </row>
    <row r="6650">
      <c r="B6650" t="n">
        <v>34407355</v>
      </c>
      <c r="C6650" s="2" t="n">
        <v>43481</v>
      </c>
      <c r="D6650" t="inlineStr">
        <is>
          <t>SPEC</t>
        </is>
      </c>
      <c r="E6650" t="inlineStr">
        <is>
          <t>PLAN MONTAGE KIT CAPA THM G600</t>
        </is>
      </c>
      <c r="F6650" t="inlineStr">
        <is>
          <t>KIT G600 BAC CAPA KEMET 2019</t>
        </is>
      </c>
      <c r="J6650" t="inlineStr">
        <is>
          <t>BERNARDEAU</t>
        </is>
      </c>
      <c r="L6650">
        <f>_xlfn.XLOOKUP(Tableau1[[#This Row],[TYPE DE PIECE]],Tableau4[MATIERE],Tableau4[SHORT TYPE],"",0,1)</f>
        <v/>
      </c>
      <c r="N6650">
        <f>IF(ISERR(FIND("DECOUPE",Tableau1[[#This Row],[DESIGNATION]])),"","NEED REF")</f>
        <v/>
      </c>
    </row>
    <row r="6651">
      <c r="B6651" t="n">
        <v>34407354</v>
      </c>
      <c r="C6651" s="2" t="n">
        <v>43480</v>
      </c>
      <c r="D6651" t="inlineStr">
        <is>
          <t>SPEC</t>
        </is>
      </c>
      <c r="E6651" t="inlineStr">
        <is>
          <t>PLATINE CAPA</t>
        </is>
      </c>
      <c r="F6651" t="n">
        <v>676032961</v>
      </c>
      <c r="J6651" t="inlineStr">
        <is>
          <t>BERNARDEAU</t>
        </is>
      </c>
      <c r="K6651" t="inlineStr">
        <is>
          <t>ALU</t>
        </is>
      </c>
      <c r="L6651">
        <f>_xlfn.XLOOKUP(Tableau1[[#This Row],[TYPE DE PIECE]],Tableau4[MATIERE],Tableau4[SHORT TYPE],"",0,1)</f>
        <v/>
      </c>
      <c r="N6651">
        <f>IF(ISERR(FIND("DECOUPE",Tableau1[[#This Row],[DESIGNATION]])),"","NEED REF")</f>
        <v/>
      </c>
    </row>
    <row r="6652">
      <c r="B6652" t="n">
        <v>34407353</v>
      </c>
      <c r="C6652" s="2" t="n">
        <v>43115</v>
      </c>
      <c r="D6652" t="inlineStr">
        <is>
          <t>SPEC</t>
        </is>
      </c>
      <c r="E6652" t="inlineStr">
        <is>
          <t>TOIT LOAD VOLTADIS</t>
        </is>
      </c>
      <c r="F6652" t="inlineStr">
        <is>
          <t>IO 1000KVA GVX</t>
        </is>
      </c>
      <c r="J6652" t="inlineStr">
        <is>
          <t>MATRION</t>
        </is>
      </c>
      <c r="K6652" t="inlineStr">
        <is>
          <t>METAL</t>
        </is>
      </c>
      <c r="L6652">
        <f>_xlfn.XLOOKUP(Tableau1[[#This Row],[TYPE DE PIECE]],Tableau4[MATIERE],Tableau4[SHORT TYPE],"",0,1)</f>
        <v/>
      </c>
      <c r="N6652">
        <f>IF(ISERR(FIND("DECOUPE",Tableau1[[#This Row],[DESIGNATION]])),"","NEED REF")</f>
        <v/>
      </c>
    </row>
    <row r="6653">
      <c r="B6653" t="n">
        <v>34407352</v>
      </c>
      <c r="C6653" s="2" t="n">
        <v>43115</v>
      </c>
      <c r="D6653" t="inlineStr">
        <is>
          <t>SPEC</t>
        </is>
      </c>
      <c r="E6653" t="inlineStr">
        <is>
          <t>TOIT MAINS VOLTADIS</t>
        </is>
      </c>
      <c r="F6653" t="inlineStr">
        <is>
          <t>IO 1000KVA GVX</t>
        </is>
      </c>
      <c r="J6653" t="inlineStr">
        <is>
          <t>MATRION</t>
        </is>
      </c>
      <c r="K6653" t="inlineStr">
        <is>
          <t>METAL</t>
        </is>
      </c>
      <c r="L6653">
        <f>_xlfn.XLOOKUP(Tableau1[[#This Row],[TYPE DE PIECE]],Tableau4[MATIERE],Tableau4[SHORT TYPE],"",0,1)</f>
        <v/>
      </c>
      <c r="N6653">
        <f>IF(ISERR(FIND("DECOUPE",Tableau1[[#This Row],[DESIGNATION]])),"","NEED REF")</f>
        <v/>
      </c>
    </row>
    <row r="6654">
      <c r="B6654" t="n">
        <v>34407351</v>
      </c>
      <c r="C6654" s="2" t="n">
        <v>43475</v>
      </c>
      <c r="D6654" t="inlineStr">
        <is>
          <t>SPEC</t>
        </is>
      </c>
      <c r="E6654" t="inlineStr">
        <is>
          <t>SUPPORT  DROIT CAPA THM G600 LG 710</t>
        </is>
      </c>
      <c r="F6654" t="inlineStr">
        <is>
          <t>KIT G600 BAC CAPA KEMET 2019</t>
        </is>
      </c>
      <c r="J6654" t="inlineStr">
        <is>
          <t>BERNARDEAU</t>
        </is>
      </c>
      <c r="K6654" t="inlineStr">
        <is>
          <t>METAL</t>
        </is>
      </c>
      <c r="L6654">
        <f>_xlfn.XLOOKUP(Tableau1[[#This Row],[TYPE DE PIECE]],Tableau4[MATIERE],Tableau4[SHORT TYPE],"",0,1)</f>
        <v/>
      </c>
      <c r="N6654">
        <f>IF(ISERR(FIND("DECOUPE",Tableau1[[#This Row],[DESIGNATION]])),"","NEED REF")</f>
        <v/>
      </c>
    </row>
    <row r="6655">
      <c r="B6655" t="n">
        <v>34407350</v>
      </c>
      <c r="C6655" s="2" t="n">
        <v>43475</v>
      </c>
      <c r="D6655" t="inlineStr">
        <is>
          <t>SPEC</t>
        </is>
      </c>
      <c r="E6655" t="inlineStr">
        <is>
          <t>SUPPORT  DROIT CAPA THM G600 LG 710</t>
        </is>
      </c>
      <c r="F6655" t="inlineStr">
        <is>
          <t>KIT G600 BAC CAPA KEMET 2019</t>
        </is>
      </c>
      <c r="J6655" t="inlineStr">
        <is>
          <t>BERNARDEAU</t>
        </is>
      </c>
      <c r="K6655" t="inlineStr">
        <is>
          <t>METAL</t>
        </is>
      </c>
      <c r="L6655">
        <f>_xlfn.XLOOKUP(Tableau1[[#This Row],[TYPE DE PIECE]],Tableau4[MATIERE],Tableau4[SHORT TYPE],"",0,1)</f>
        <v/>
      </c>
      <c r="N6655">
        <f>IF(ISERR(FIND("DECOUPE",Tableau1[[#This Row],[DESIGNATION]])),"","NEED REF")</f>
        <v/>
      </c>
    </row>
    <row r="6656">
      <c r="B6656" t="n">
        <v>34407349</v>
      </c>
      <c r="C6656" s="2" t="n">
        <v>43475</v>
      </c>
      <c r="D6656" t="inlineStr">
        <is>
          <t>SPEC</t>
        </is>
      </c>
      <c r="E6656" t="inlineStr">
        <is>
          <t>SUPPORT  DROIT CAPA THM G600 LG 710</t>
        </is>
      </c>
      <c r="F6656" t="inlineStr">
        <is>
          <t>KIT G600 BAC CAPA KEMET 2019</t>
        </is>
      </c>
      <c r="J6656" t="inlineStr">
        <is>
          <t>BERNARDEAU</t>
        </is>
      </c>
      <c r="K6656" t="inlineStr">
        <is>
          <t>METAL</t>
        </is>
      </c>
      <c r="L6656">
        <f>_xlfn.XLOOKUP(Tableau1[[#This Row],[TYPE DE PIECE]],Tableau4[MATIERE],Tableau4[SHORT TYPE],"",0,1)</f>
        <v/>
      </c>
      <c r="N6656">
        <f>IF(ISERR(FIND("DECOUPE",Tableau1[[#This Row],[DESIGNATION]])),"","NEED REF")</f>
        <v/>
      </c>
    </row>
    <row r="6657">
      <c r="B6657" t="n">
        <v>34407348</v>
      </c>
      <c r="C6657" s="2" t="n">
        <v>43110</v>
      </c>
      <c r="D6657" t="inlineStr">
        <is>
          <t>SPEC</t>
        </is>
      </c>
      <c r="E6657" t="inlineStr">
        <is>
          <t>KIT CABLE PE</t>
        </is>
      </c>
      <c r="F6657" t="inlineStr">
        <is>
          <t>IO 1000KVA GVX</t>
        </is>
      </c>
      <c r="J6657" t="inlineStr">
        <is>
          <t>MATRION</t>
        </is>
      </c>
      <c r="K6657" t="inlineStr">
        <is>
          <t>FILERIE</t>
        </is>
      </c>
      <c r="L6657">
        <f>_xlfn.XLOOKUP(Tableau1[[#This Row],[TYPE DE PIECE]],Tableau4[MATIERE],Tableau4[SHORT TYPE],"",0,1)</f>
        <v/>
      </c>
      <c r="N6657">
        <f>IF(ISERR(FIND("DECOUPE",Tableau1[[#This Row],[DESIGNATION]])),"","NEED REF")</f>
        <v/>
      </c>
    </row>
    <row r="6658">
      <c r="B6658" t="n">
        <v>34407347</v>
      </c>
      <c r="C6658" s="2" t="n">
        <v>43110</v>
      </c>
      <c r="D6658" t="inlineStr">
        <is>
          <t>SPEC</t>
        </is>
      </c>
      <c r="E6658" t="inlineStr">
        <is>
          <t>KIT CABLES LOAD</t>
        </is>
      </c>
      <c r="F6658" t="inlineStr">
        <is>
          <t>IO 1000KVA GVX</t>
        </is>
      </c>
      <c r="J6658" t="inlineStr">
        <is>
          <t>MATRION</t>
        </is>
      </c>
      <c r="K6658" t="inlineStr">
        <is>
          <t>FILERIE</t>
        </is>
      </c>
      <c r="L6658">
        <f>_xlfn.XLOOKUP(Tableau1[[#This Row],[TYPE DE PIECE]],Tableau4[MATIERE],Tableau4[SHORT TYPE],"",0,1)</f>
        <v/>
      </c>
      <c r="N6658">
        <f>IF(ISERR(FIND("DECOUPE",Tableau1[[#This Row],[DESIGNATION]])),"","NEED REF")</f>
        <v/>
      </c>
    </row>
    <row r="6659">
      <c r="B6659" t="n">
        <v>34407346</v>
      </c>
      <c r="C6659" s="2" t="n">
        <v>43110</v>
      </c>
      <c r="D6659" t="inlineStr">
        <is>
          <t>SPEC</t>
        </is>
      </c>
      <c r="E6659" t="inlineStr">
        <is>
          <t>KIT CABLES MAINS</t>
        </is>
      </c>
      <c r="F6659" t="inlineStr">
        <is>
          <t>IO 1000KVA GVX</t>
        </is>
      </c>
      <c r="J6659" t="inlineStr">
        <is>
          <t>MATRION</t>
        </is>
      </c>
      <c r="K6659" t="inlineStr">
        <is>
          <t>FILERIE</t>
        </is>
      </c>
      <c r="L6659">
        <f>_xlfn.XLOOKUP(Tableau1[[#This Row],[TYPE DE PIECE]],Tableau4[MATIERE],Tableau4[SHORT TYPE],"",0,1)</f>
        <v/>
      </c>
      <c r="N6659">
        <f>IF(ISERR(FIND("DECOUPE",Tableau1[[#This Row],[DESIGNATION]])),"","NEED REF")</f>
        <v/>
      </c>
    </row>
    <row r="6660">
      <c r="B6660" t="n">
        <v>34407345</v>
      </c>
      <c r="C6660" s="2" t="n">
        <v>43475</v>
      </c>
      <c r="D6660" t="inlineStr">
        <is>
          <t>SPEC</t>
        </is>
      </c>
      <c r="E6660" t="inlineStr">
        <is>
          <t>Montant arrière CAPA Vertical THM G600 LG1662</t>
        </is>
      </c>
      <c r="F6660" t="inlineStr">
        <is>
          <t>KIT G600 BAC CAPA KEMET 2019</t>
        </is>
      </c>
      <c r="J6660" t="inlineStr">
        <is>
          <t>BERNARDEAU</t>
        </is>
      </c>
      <c r="L6660">
        <f>_xlfn.XLOOKUP(Tableau1[[#This Row],[TYPE DE PIECE]],Tableau4[MATIERE],Tableau4[SHORT TYPE],"",0,1)</f>
        <v/>
      </c>
      <c r="N6660">
        <f>IF(ISERR(FIND("DECOUPE",Tableau1[[#This Row],[DESIGNATION]])),"","NEED REF")</f>
        <v/>
      </c>
    </row>
    <row r="6661">
      <c r="B6661" t="n">
        <v>34407344</v>
      </c>
      <c r="C6661" s="2" t="n">
        <v>43475</v>
      </c>
      <c r="D6661" t="inlineStr">
        <is>
          <t>SPEC</t>
        </is>
      </c>
      <c r="E6661" t="inlineStr">
        <is>
          <t>SUPPORT CAPA  HORIZONTAL BAS LG 250</t>
        </is>
      </c>
      <c r="F6661" t="inlineStr">
        <is>
          <t>KIT G600 BAC CAPA KEMET 2019</t>
        </is>
      </c>
      <c r="J6661" t="inlineStr">
        <is>
          <t>BERNARDEAU</t>
        </is>
      </c>
      <c r="K6661" t="inlineStr">
        <is>
          <t>METAL</t>
        </is>
      </c>
      <c r="L6661">
        <f>_xlfn.XLOOKUP(Tableau1[[#This Row],[TYPE DE PIECE]],Tableau4[MATIERE],Tableau4[SHORT TYPE],"",0,1)</f>
        <v/>
      </c>
      <c r="N6661">
        <f>IF(ISERR(FIND("DECOUPE",Tableau1[[#This Row],[DESIGNATION]])),"","NEED REF")</f>
        <v/>
      </c>
    </row>
    <row r="6662">
      <c r="B6662" t="n">
        <v>34407343</v>
      </c>
      <c r="C6662" s="2" t="n">
        <v>43109</v>
      </c>
      <c r="D6662" t="inlineStr">
        <is>
          <t>SPEC</t>
        </is>
      </c>
      <c r="E6662" t="inlineStr">
        <is>
          <t>RESERVE Chewbacca</t>
        </is>
      </c>
      <c r="J6662" t="inlineStr">
        <is>
          <t>MATRION</t>
        </is>
      </c>
      <c r="L6662">
        <f>_xlfn.XLOOKUP(Tableau1[[#This Row],[TYPE DE PIECE]],Tableau4[MATIERE],Tableau4[SHORT TYPE],"",0,1)</f>
        <v/>
      </c>
      <c r="N6662">
        <f>IF(ISERR(FIND("DECOUPE",Tableau1[[#This Row],[DESIGNATION]])),"","NEED REF")</f>
        <v/>
      </c>
    </row>
    <row r="6663">
      <c r="B6663" t="n">
        <v>34407342</v>
      </c>
      <c r="C6663" s="2" t="n">
        <v>43109</v>
      </c>
      <c r="D6663" t="inlineStr">
        <is>
          <t>SPEC</t>
        </is>
      </c>
      <c r="E6663" t="inlineStr">
        <is>
          <t>RESERVE Chewbacca</t>
        </is>
      </c>
      <c r="J6663" t="inlineStr">
        <is>
          <t>MATRION</t>
        </is>
      </c>
      <c r="L6663">
        <f>_xlfn.XLOOKUP(Tableau1[[#This Row],[TYPE DE PIECE]],Tableau4[MATIERE],Tableau4[SHORT TYPE],"",0,1)</f>
        <v/>
      </c>
      <c r="N6663">
        <f>IF(ISERR(FIND("DECOUPE",Tableau1[[#This Row],[DESIGNATION]])),"","NEED REF")</f>
        <v/>
      </c>
    </row>
    <row r="6664">
      <c r="B6664" t="n">
        <v>34407341</v>
      </c>
      <c r="C6664" s="2" t="n">
        <v>43109</v>
      </c>
      <c r="D6664" t="inlineStr">
        <is>
          <t>SPEC</t>
        </is>
      </c>
      <c r="E6664" t="inlineStr">
        <is>
          <t>RESERVE Chewbacca</t>
        </is>
      </c>
      <c r="J6664" t="inlineStr">
        <is>
          <t>MATRION</t>
        </is>
      </c>
      <c r="L6664">
        <f>_xlfn.XLOOKUP(Tableau1[[#This Row],[TYPE DE PIECE]],Tableau4[MATIERE],Tableau4[SHORT TYPE],"",0,1)</f>
        <v/>
      </c>
      <c r="N6664">
        <f>IF(ISERR(FIND("DECOUPE",Tableau1[[#This Row],[DESIGNATION]])),"","NEED REF")</f>
        <v/>
      </c>
    </row>
    <row r="6665">
      <c r="B6665" t="n">
        <v>34407340</v>
      </c>
      <c r="C6665" s="2" t="n">
        <v>43109</v>
      </c>
      <c r="D6665" t="inlineStr">
        <is>
          <t>SPEC</t>
        </is>
      </c>
      <c r="E6665" t="inlineStr">
        <is>
          <t>RESERVE Chewbacca</t>
        </is>
      </c>
      <c r="J6665" t="inlineStr">
        <is>
          <t>MATRION</t>
        </is>
      </c>
      <c r="L6665">
        <f>_xlfn.XLOOKUP(Tableau1[[#This Row],[TYPE DE PIECE]],Tableau4[MATIERE],Tableau4[SHORT TYPE],"",0,1)</f>
        <v/>
      </c>
      <c r="N6665">
        <f>IF(ISERR(FIND("DECOUPE",Tableau1[[#This Row],[DESIGNATION]])),"","NEED REF")</f>
        <v/>
      </c>
    </row>
    <row r="6666">
      <c r="B6666" t="n">
        <v>34407339</v>
      </c>
      <c r="C6666" s="2" t="n">
        <v>43109</v>
      </c>
      <c r="D6666" t="inlineStr">
        <is>
          <t>SPEC</t>
        </is>
      </c>
      <c r="E6666" t="inlineStr">
        <is>
          <t>RESERVE Chewbacca</t>
        </is>
      </c>
      <c r="J6666" t="inlineStr">
        <is>
          <t>MATRION</t>
        </is>
      </c>
      <c r="L6666">
        <f>_xlfn.XLOOKUP(Tableau1[[#This Row],[TYPE DE PIECE]],Tableau4[MATIERE],Tableau4[SHORT TYPE],"",0,1)</f>
        <v/>
      </c>
      <c r="N6666">
        <f>IF(ISERR(FIND("DECOUPE",Tableau1[[#This Row],[DESIGNATION]])),"","NEED REF")</f>
        <v/>
      </c>
    </row>
    <row r="6667">
      <c r="B6667" t="n">
        <v>34407338</v>
      </c>
      <c r="C6667" s="2" t="n">
        <v>43109</v>
      </c>
      <c r="D6667" t="inlineStr">
        <is>
          <t>SPEC</t>
        </is>
      </c>
      <c r="E6667" t="inlineStr">
        <is>
          <t>RESERVE Chewbacca</t>
        </is>
      </c>
      <c r="J6667" t="inlineStr">
        <is>
          <t>MATRION</t>
        </is>
      </c>
      <c r="L6667">
        <f>_xlfn.XLOOKUP(Tableau1[[#This Row],[TYPE DE PIECE]],Tableau4[MATIERE],Tableau4[SHORT TYPE],"",0,1)</f>
        <v/>
      </c>
      <c r="N6667">
        <f>IF(ISERR(FIND("DECOUPE",Tableau1[[#This Row],[DESIGNATION]])),"","NEED REF")</f>
        <v/>
      </c>
    </row>
    <row r="6668">
      <c r="B6668" t="n">
        <v>34407337</v>
      </c>
      <c r="C6668" s="2" t="n">
        <v>43109</v>
      </c>
      <c r="D6668" t="inlineStr">
        <is>
          <t>SPEC</t>
        </is>
      </c>
      <c r="E6668" t="inlineStr">
        <is>
          <t>RESERVE Chewbacca</t>
        </is>
      </c>
      <c r="J6668" t="inlineStr">
        <is>
          <t>MATRION</t>
        </is>
      </c>
      <c r="L6668">
        <f>_xlfn.XLOOKUP(Tableau1[[#This Row],[TYPE DE PIECE]],Tableau4[MATIERE],Tableau4[SHORT TYPE],"",0,1)</f>
        <v/>
      </c>
      <c r="N6668">
        <f>IF(ISERR(FIND("DECOUPE",Tableau1[[#This Row],[DESIGNATION]])),"","NEED REF")</f>
        <v/>
      </c>
    </row>
    <row r="6669">
      <c r="B6669" t="n">
        <v>34407336</v>
      </c>
      <c r="C6669" s="2" t="n">
        <v>43109</v>
      </c>
      <c r="D6669" t="inlineStr">
        <is>
          <t>SPEC</t>
        </is>
      </c>
      <c r="E6669" t="inlineStr">
        <is>
          <t>PLASTRON CB NSX320/630 DC 4P GAUCHE 7</t>
        </is>
      </c>
      <c r="F6669" t="inlineStr">
        <is>
          <t>GVS/EASYUPS</t>
        </is>
      </c>
      <c r="J6669" t="inlineStr">
        <is>
          <t>MATRION</t>
        </is>
      </c>
      <c r="L6669">
        <f>_xlfn.XLOOKUP(Tableau1[[#This Row],[TYPE DE PIECE]],Tableau4[MATIERE],Tableau4[SHORT TYPE],"",0,1)</f>
        <v/>
      </c>
      <c r="N6669">
        <f>IF(ISERR(FIND("DECOUPE",Tableau1[[#This Row],[DESIGNATION]])),"","NEED REF")</f>
        <v/>
      </c>
    </row>
    <row r="6670">
      <c r="B6670" t="n">
        <v>34407335</v>
      </c>
      <c r="C6670" s="2" t="n">
        <v>43109</v>
      </c>
      <c r="D6670" t="inlineStr">
        <is>
          <t>SPEC</t>
        </is>
      </c>
      <c r="E6670" t="inlineStr">
        <is>
          <t>PLASTRON CB NSX320/630 DC 4P DROIT 7/10</t>
        </is>
      </c>
      <c r="F6670" t="inlineStr">
        <is>
          <t>GVS/EASYUPS</t>
        </is>
      </c>
      <c r="J6670" t="inlineStr">
        <is>
          <t>MATRION</t>
        </is>
      </c>
      <c r="L6670">
        <f>_xlfn.XLOOKUP(Tableau1[[#This Row],[TYPE DE PIECE]],Tableau4[MATIERE],Tableau4[SHORT TYPE],"",0,1)</f>
        <v/>
      </c>
      <c r="N6670">
        <f>IF(ISERR(FIND("DECOUPE",Tableau1[[#This Row],[DESIGNATION]])),"","NEED REF")</f>
        <v/>
      </c>
    </row>
    <row r="6671">
      <c r="B6671" t="n">
        <v>34407334</v>
      </c>
      <c r="C6671" s="2" t="n">
        <v>43109</v>
      </c>
      <c r="D6671" t="inlineStr">
        <is>
          <t>SPEC</t>
        </is>
      </c>
      <c r="E6671" t="inlineStr">
        <is>
          <t>RESERVE Chewbacca</t>
        </is>
      </c>
      <c r="J6671" t="inlineStr">
        <is>
          <t>MATRION</t>
        </is>
      </c>
      <c r="L6671">
        <f>_xlfn.XLOOKUP(Tableau1[[#This Row],[TYPE DE PIECE]],Tableau4[MATIERE],Tableau4[SHORT TYPE],"",0,1)</f>
        <v/>
      </c>
      <c r="N6671">
        <f>IF(ISERR(FIND("DECOUPE",Tableau1[[#This Row],[DESIGNATION]])),"","NEED REF")</f>
        <v/>
      </c>
    </row>
    <row r="6672">
      <c r="B6672" t="n">
        <v>34407333</v>
      </c>
      <c r="C6672" s="2" t="n">
        <v>43109</v>
      </c>
      <c r="D6672" t="inlineStr">
        <is>
          <t>SPEC</t>
        </is>
      </c>
      <c r="E6672" t="inlineStr">
        <is>
          <t>RESERVE Chewbacca</t>
        </is>
      </c>
      <c r="J6672" t="inlineStr">
        <is>
          <t>MATRION</t>
        </is>
      </c>
      <c r="L6672">
        <f>_xlfn.XLOOKUP(Tableau1[[#This Row],[TYPE DE PIECE]],Tableau4[MATIERE],Tableau4[SHORT TYPE],"",0,1)</f>
        <v/>
      </c>
      <c r="N6672">
        <f>IF(ISERR(FIND("DECOUPE",Tableau1[[#This Row],[DESIGNATION]])),"","NEED REF")</f>
        <v/>
      </c>
    </row>
    <row r="6673">
      <c r="B6673" t="n">
        <v>34407332</v>
      </c>
      <c r="C6673" s="2" t="n">
        <v>43109</v>
      </c>
      <c r="D6673" t="inlineStr">
        <is>
          <t>SPEC</t>
        </is>
      </c>
      <c r="E6673" t="inlineStr">
        <is>
          <t>RESERVE Chewbacca</t>
        </is>
      </c>
      <c r="J6673" t="inlineStr">
        <is>
          <t>MATRION</t>
        </is>
      </c>
      <c r="L6673">
        <f>_xlfn.XLOOKUP(Tableau1[[#This Row],[TYPE DE PIECE]],Tableau4[MATIERE],Tableau4[SHORT TYPE],"",0,1)</f>
        <v/>
      </c>
      <c r="N6673">
        <f>IF(ISERR(FIND("DECOUPE",Tableau1[[#This Row],[DESIGNATION]])),"","NEED REF")</f>
        <v/>
      </c>
    </row>
    <row r="6674">
      <c r="B6674" t="n">
        <v>34407331</v>
      </c>
      <c r="C6674" s="2" t="n">
        <v>43109</v>
      </c>
      <c r="D6674" t="inlineStr">
        <is>
          <t>SPEC</t>
        </is>
      </c>
      <c r="E6674" t="inlineStr">
        <is>
          <t>RESERVE Chewbacca</t>
        </is>
      </c>
      <c r="J6674" t="inlineStr">
        <is>
          <t>MATRION</t>
        </is>
      </c>
      <c r="L6674">
        <f>_xlfn.XLOOKUP(Tableau1[[#This Row],[TYPE DE PIECE]],Tableau4[MATIERE],Tableau4[SHORT TYPE],"",0,1)</f>
        <v/>
      </c>
      <c r="N6674">
        <f>IF(ISERR(FIND("DECOUPE",Tableau1[[#This Row],[DESIGNATION]])),"","NEED REF")</f>
        <v/>
      </c>
    </row>
    <row r="6675">
      <c r="B6675" t="n">
        <v>34407330</v>
      </c>
      <c r="C6675" s="2" t="n">
        <v>43455</v>
      </c>
      <c r="D6675" t="inlineStr">
        <is>
          <t>NOM</t>
        </is>
      </c>
      <c r="E6675" t="inlineStr">
        <is>
          <t>LG BACKFEED NS2500 INTEGRE Q4S MOTOR</t>
        </is>
      </c>
      <c r="F6675" t="inlineStr">
        <is>
          <t>NS2500kVA</t>
        </is>
      </c>
      <c r="J6675" t="inlineStr">
        <is>
          <t>ÇAKIR</t>
        </is>
      </c>
      <c r="K6675" t="inlineStr">
        <is>
          <t>NOM</t>
        </is>
      </c>
      <c r="L6675">
        <f>_xlfn.XLOOKUP(Tableau1[[#This Row],[TYPE DE PIECE]],Tableau4[MATIERE],Tableau4[SHORT TYPE],"",0,1)</f>
        <v/>
      </c>
      <c r="N6675">
        <f>IF(ISERR(FIND("DECOUPE",Tableau1[[#This Row],[DESIGNATION]])),"","NEED REF")</f>
        <v/>
      </c>
    </row>
    <row r="6676">
      <c r="B6676" t="n">
        <v>34407329</v>
      </c>
      <c r="C6676" s="2" t="n">
        <v>43455</v>
      </c>
      <c r="D6676" t="inlineStr">
        <is>
          <t>CANEVAS</t>
        </is>
      </c>
      <c r="E6676" t="inlineStr">
        <is>
          <t>NW40 HA 3P Q4S NS2500 BNP NORD</t>
        </is>
      </c>
      <c r="F6676" t="inlineStr">
        <is>
          <t>NS2500kVA</t>
        </is>
      </c>
      <c r="J6676" t="inlineStr">
        <is>
          <t>ÇAKIR</t>
        </is>
      </c>
      <c r="K6676" t="inlineStr">
        <is>
          <t>MASTERPACT NW40</t>
        </is>
      </c>
      <c r="L6676">
        <f>_xlfn.XLOOKUP(Tableau1[[#This Row],[TYPE DE PIECE]],Tableau4[MATIERE],Tableau4[SHORT TYPE],"",0,1)</f>
        <v/>
      </c>
      <c r="N6676">
        <f>IF(ISERR(FIND("DECOUPE",Tableau1[[#This Row],[DESIGNATION]])),"","NEED REF")</f>
        <v/>
      </c>
    </row>
    <row r="6677">
      <c r="B6677" t="n">
        <v>34407328</v>
      </c>
      <c r="C6677" s="2" t="n">
        <v>43455</v>
      </c>
      <c r="D6677" t="inlineStr">
        <is>
          <t>SPEC</t>
        </is>
      </c>
      <c r="E6677" t="inlineStr">
        <is>
          <t>BARRE DE TERRE COSSES 2xTROUS</t>
        </is>
      </c>
      <c r="F6677" t="inlineStr">
        <is>
          <t>BBK GVX</t>
        </is>
      </c>
      <c r="J6677" t="inlineStr">
        <is>
          <t>MATRION</t>
        </is>
      </c>
      <c r="K6677" t="inlineStr">
        <is>
          <t>CUIVRE</t>
        </is>
      </c>
      <c r="L6677">
        <f>_xlfn.XLOOKUP(Tableau1[[#This Row],[TYPE DE PIECE]],Tableau4[MATIERE],Tableau4[SHORT TYPE],"",0,1)</f>
        <v/>
      </c>
      <c r="N6677">
        <f>IF(ISERR(FIND("DECOUPE",Tableau1[[#This Row],[DESIGNATION]])),"","NEED REF")</f>
        <v/>
      </c>
    </row>
    <row r="6678">
      <c r="B6678" t="n">
        <v>34407327</v>
      </c>
      <c r="C6678" s="2" t="n">
        <v>43452</v>
      </c>
      <c r="D6678" t="inlineStr">
        <is>
          <t>CANEVAS</t>
        </is>
      </c>
      <c r="E6678" t="inlineStr">
        <is>
          <t>NW40 HA 3P Q3BP Q5N NS2500 BNP NORD</t>
        </is>
      </c>
      <c r="F6678" t="inlineStr">
        <is>
          <t>NS2500kVA</t>
        </is>
      </c>
      <c r="J6678" t="inlineStr">
        <is>
          <t>ÇAKIR</t>
        </is>
      </c>
      <c r="K6678" t="inlineStr">
        <is>
          <t>MASTERPACT NW40</t>
        </is>
      </c>
      <c r="L6678">
        <f>_xlfn.XLOOKUP(Tableau1[[#This Row],[TYPE DE PIECE]],Tableau4[MATIERE],Tableau4[SHORT TYPE],"",0,1)</f>
        <v/>
      </c>
      <c r="N6678">
        <f>IF(ISERR(FIND("DECOUPE",Tableau1[[#This Row],[DESIGNATION]])),"","NEED REF")</f>
        <v/>
      </c>
    </row>
    <row r="6679">
      <c r="B6679" t="n">
        <v>34407326</v>
      </c>
      <c r="C6679" s="2" t="n">
        <v>43451</v>
      </c>
      <c r="D6679" t="inlineStr">
        <is>
          <t>SPEC</t>
        </is>
      </c>
      <c r="E6679" t="inlineStr">
        <is>
          <t>PLS SUPPORT BAT- SENSOR</t>
        </is>
      </c>
      <c r="F6679" t="inlineStr">
        <is>
          <t>IO 1500kVA GVX</t>
        </is>
      </c>
      <c r="J6679" t="inlineStr">
        <is>
          <t>MATRION</t>
        </is>
      </c>
      <c r="K6679" t="inlineStr">
        <is>
          <t>PLASTIQUE</t>
        </is>
      </c>
      <c r="L6679">
        <f>_xlfn.XLOOKUP(Tableau1[[#This Row],[TYPE DE PIECE]],Tableau4[MATIERE],Tableau4[SHORT TYPE],"",0,1)</f>
        <v/>
      </c>
      <c r="N6679">
        <f>IF(ISERR(FIND("DECOUPE",Tableau1[[#This Row],[DESIGNATION]])),"","NEED REF")</f>
        <v/>
      </c>
    </row>
    <row r="6680">
      <c r="B6680" t="n">
        <v>34407325</v>
      </c>
      <c r="C6680" s="2" t="n">
        <v>43451</v>
      </c>
      <c r="D6680" t="inlineStr">
        <is>
          <t>SPEC</t>
        </is>
      </c>
      <c r="E6680" t="inlineStr">
        <is>
          <t>PLS SUPPORT BAT+ SENSOR</t>
        </is>
      </c>
      <c r="F6680" t="inlineStr">
        <is>
          <t>IO 1500kVA GVX</t>
        </is>
      </c>
      <c r="J6680" t="inlineStr">
        <is>
          <t>MATRION</t>
        </is>
      </c>
      <c r="K6680" t="inlineStr">
        <is>
          <t>PLASTIQUE</t>
        </is>
      </c>
      <c r="L6680">
        <f>_xlfn.XLOOKUP(Tableau1[[#This Row],[TYPE DE PIECE]],Tableau4[MATIERE],Tableau4[SHORT TYPE],"",0,1)</f>
        <v/>
      </c>
      <c r="N6680">
        <f>IF(ISERR(FIND("DECOUPE",Tableau1[[#This Row],[DESIGNATION]])),"","NEED REF")</f>
        <v/>
      </c>
    </row>
    <row r="6681">
      <c r="B6681" t="n">
        <v>34407324</v>
      </c>
      <c r="C6681" s="2" t="n">
        <v>43451</v>
      </c>
      <c r="D6681" t="inlineStr">
        <is>
          <t>SPEC</t>
        </is>
      </c>
      <c r="E6681" t="inlineStr">
        <is>
          <t>PLS SUPPORT LOAD SENSORS</t>
        </is>
      </c>
      <c r="F6681" t="inlineStr">
        <is>
          <t>IO 1500kVA GVX</t>
        </is>
      </c>
      <c r="J6681" t="inlineStr">
        <is>
          <t>MATRION</t>
        </is>
      </c>
      <c r="K6681" t="inlineStr">
        <is>
          <t>PLASTIQUE</t>
        </is>
      </c>
      <c r="L6681">
        <f>_xlfn.XLOOKUP(Tableau1[[#This Row],[TYPE DE PIECE]],Tableau4[MATIERE],Tableau4[SHORT TYPE],"",0,1)</f>
        <v/>
      </c>
      <c r="N6681">
        <f>IF(ISERR(FIND("DECOUPE",Tableau1[[#This Row],[DESIGNATION]])),"","NEED REF")</f>
        <v/>
      </c>
    </row>
    <row r="6682">
      <c r="B6682" t="n">
        <v>34407323</v>
      </c>
      <c r="C6682" s="2" t="n">
        <v>43451</v>
      </c>
      <c r="D6682" t="inlineStr">
        <is>
          <t>SPEC</t>
        </is>
      </c>
      <c r="E6682" t="inlineStr">
        <is>
          <t>SMT SUPPORT LOAD SENSORS</t>
        </is>
      </c>
      <c r="F6682" t="inlineStr">
        <is>
          <t>IO 1500kVA GVX</t>
        </is>
      </c>
      <c r="J6682" t="inlineStr">
        <is>
          <t>MATRION</t>
        </is>
      </c>
      <c r="K6682" t="inlineStr">
        <is>
          <t>METAL</t>
        </is>
      </c>
      <c r="L6682">
        <f>_xlfn.XLOOKUP(Tableau1[[#This Row],[TYPE DE PIECE]],Tableau4[MATIERE],Tableau4[SHORT TYPE],"",0,1)</f>
        <v/>
      </c>
      <c r="N6682">
        <f>IF(ISERR(FIND("DECOUPE",Tableau1[[#This Row],[DESIGNATION]])),"","NEED REF")</f>
        <v/>
      </c>
    </row>
    <row r="6683">
      <c r="B6683" t="n">
        <v>34407322</v>
      </c>
      <c r="C6683" s="2" t="n">
        <v>43451</v>
      </c>
      <c r="D6683" t="inlineStr">
        <is>
          <t>SPEC</t>
        </is>
      </c>
      <c r="E6683" t="inlineStr">
        <is>
          <t>SMT SUPPORT LOAD SENSORS</t>
        </is>
      </c>
      <c r="F6683" t="inlineStr">
        <is>
          <t>IO 1500kVA GVX</t>
        </is>
      </c>
      <c r="J6683" t="inlineStr">
        <is>
          <t>MATRION</t>
        </is>
      </c>
      <c r="K6683" t="inlineStr">
        <is>
          <t>METAL</t>
        </is>
      </c>
      <c r="L6683">
        <f>_xlfn.XLOOKUP(Tableau1[[#This Row],[TYPE DE PIECE]],Tableau4[MATIERE],Tableau4[SHORT TYPE],"",0,1)</f>
        <v/>
      </c>
      <c r="N6683">
        <f>IF(ISERR(FIND("DECOUPE",Tableau1[[#This Row],[DESIGNATION]])),"","NEED REF")</f>
        <v/>
      </c>
    </row>
    <row r="6684">
      <c r="B6684" t="n">
        <v>34407321</v>
      </c>
      <c r="C6684" s="2" t="n">
        <v>43451</v>
      </c>
      <c r="D6684" t="inlineStr">
        <is>
          <t>SPEC</t>
        </is>
      </c>
      <c r="E6684" t="inlineStr">
        <is>
          <t>SMT SUPPORT MAINS1 SENSORS</t>
        </is>
      </c>
      <c r="F6684" t="inlineStr">
        <is>
          <t>IO 1500kVA GVX</t>
        </is>
      </c>
      <c r="J6684" t="inlineStr">
        <is>
          <t>MATRION</t>
        </is>
      </c>
      <c r="K6684" t="inlineStr">
        <is>
          <t>METAL</t>
        </is>
      </c>
      <c r="L6684">
        <f>_xlfn.XLOOKUP(Tableau1[[#This Row],[TYPE DE PIECE]],Tableau4[MATIERE],Tableau4[SHORT TYPE],"",0,1)</f>
        <v/>
      </c>
      <c r="N6684">
        <f>IF(ISERR(FIND("DECOUPE",Tableau1[[#This Row],[DESIGNATION]])),"","NEED REF")</f>
        <v/>
      </c>
    </row>
    <row r="6685">
      <c r="B6685" t="n">
        <v>34407320</v>
      </c>
      <c r="C6685" s="2" t="n">
        <v>43451</v>
      </c>
      <c r="D6685" t="inlineStr">
        <is>
          <t>SPEC</t>
        </is>
      </c>
      <c r="E6685" t="inlineStr">
        <is>
          <t>PLS SUPPORT MAINS SENSORS</t>
        </is>
      </c>
      <c r="F6685" t="inlineStr">
        <is>
          <t>IO 1500kVA GVX</t>
        </is>
      </c>
      <c r="J6685" t="inlineStr">
        <is>
          <t>MATRION</t>
        </is>
      </c>
      <c r="K6685" t="inlineStr">
        <is>
          <t>PLASTIQUE</t>
        </is>
      </c>
      <c r="L6685">
        <f>_xlfn.XLOOKUP(Tableau1[[#This Row],[TYPE DE PIECE]],Tableau4[MATIERE],Tableau4[SHORT TYPE],"",0,1)</f>
        <v/>
      </c>
      <c r="N6685">
        <f>IF(ISERR(FIND("DECOUPE",Tableau1[[#This Row],[DESIGNATION]])),"","NEED REF")</f>
        <v/>
      </c>
    </row>
    <row r="6686">
      <c r="B6686" t="n">
        <v>34407319</v>
      </c>
      <c r="C6686" s="2" t="n">
        <v>43451</v>
      </c>
      <c r="D6686" t="inlineStr">
        <is>
          <t>SPEC</t>
        </is>
      </c>
      <c r="E6686" t="inlineStr">
        <is>
          <t>SMT SUPPORT FRONT:BACK MAINS1 SENSORS</t>
        </is>
      </c>
      <c r="F6686" t="inlineStr">
        <is>
          <t>IO 1500kVA GVX</t>
        </is>
      </c>
      <c r="J6686" t="inlineStr">
        <is>
          <t>MATRION</t>
        </is>
      </c>
      <c r="K6686" t="inlineStr">
        <is>
          <t>METAL</t>
        </is>
      </c>
      <c r="L6686">
        <f>_xlfn.XLOOKUP(Tableau1[[#This Row],[TYPE DE PIECE]],Tableau4[MATIERE],Tableau4[SHORT TYPE],"",0,1)</f>
        <v/>
      </c>
      <c r="N6686">
        <f>IF(ISERR(FIND("DECOUPE",Tableau1[[#This Row],[DESIGNATION]])),"","NEED REF")</f>
        <v/>
      </c>
    </row>
    <row r="6687">
      <c r="B6687" t="n">
        <v>34407318</v>
      </c>
      <c r="C6687" s="2" t="n">
        <v>43451</v>
      </c>
      <c r="D6687" t="inlineStr">
        <is>
          <t>SPEC</t>
        </is>
      </c>
      <c r="E6687" t="inlineStr">
        <is>
          <t>SUPPORT NW BYPASS</t>
        </is>
      </c>
      <c r="F6687" t="inlineStr">
        <is>
          <t>NS2500kVA</t>
        </is>
      </c>
      <c r="J6687" t="inlineStr">
        <is>
          <t>BERNARDEAU</t>
        </is>
      </c>
      <c r="K6687" t="inlineStr">
        <is>
          <t>METAL</t>
        </is>
      </c>
      <c r="L6687">
        <f>_xlfn.XLOOKUP(Tableau1[[#This Row],[TYPE DE PIECE]],Tableau4[MATIERE],Tableau4[SHORT TYPE],"",0,1)</f>
        <v/>
      </c>
      <c r="N6687">
        <f>IF(ISERR(FIND("DECOUPE",Tableau1[[#This Row],[DESIGNATION]])),"","NEED REF")</f>
        <v/>
      </c>
    </row>
    <row r="6688">
      <c r="B6688" t="n">
        <v>34407317</v>
      </c>
      <c r="C6688" s="2" t="n">
        <v>43451</v>
      </c>
      <c r="D6688" t="inlineStr">
        <is>
          <t>SPEC</t>
        </is>
      </c>
      <c r="E6688" t="inlineStr">
        <is>
          <t>SUPPORT NW BYPASS</t>
        </is>
      </c>
      <c r="F6688" t="inlineStr">
        <is>
          <t>NS2500kVA</t>
        </is>
      </c>
      <c r="J6688" t="inlineStr">
        <is>
          <t>BERNARDEAU</t>
        </is>
      </c>
      <c r="K6688" t="inlineStr">
        <is>
          <t>METAL</t>
        </is>
      </c>
      <c r="L6688">
        <f>_xlfn.XLOOKUP(Tableau1[[#This Row],[TYPE DE PIECE]],Tableau4[MATIERE],Tableau4[SHORT TYPE],"",0,1)</f>
        <v/>
      </c>
      <c r="N6688">
        <f>IF(ISERR(FIND("DECOUPE",Tableau1[[#This Row],[DESIGNATION]])),"","NEED REF")</f>
        <v/>
      </c>
    </row>
    <row r="6689">
      <c r="B6689" t="n">
        <v>34407316</v>
      </c>
      <c r="C6689" s="2" t="n">
        <v>43448</v>
      </c>
      <c r="D6689" t="inlineStr">
        <is>
          <t>SPEC</t>
        </is>
      </c>
      <c r="E6689" t="inlineStr">
        <is>
          <t>COP JONCTION PE KTA</t>
        </is>
      </c>
      <c r="F6689" t="inlineStr">
        <is>
          <t>BBC GVX 4000A 2xTGAB TOP</t>
        </is>
      </c>
      <c r="J6689" t="inlineStr">
        <is>
          <t>MATRION</t>
        </is>
      </c>
      <c r="K6689" t="inlineStr">
        <is>
          <t>CUIVRE</t>
        </is>
      </c>
      <c r="L6689">
        <f>_xlfn.XLOOKUP(Tableau1[[#This Row],[TYPE DE PIECE]],Tableau4[MATIERE],Tableau4[SHORT TYPE],"",0,1)</f>
        <v/>
      </c>
      <c r="N6689">
        <f>IF(ISERR(FIND("DECOUPE",Tableau1[[#This Row],[DESIGNATION]])),"","NEED REF")</f>
        <v/>
      </c>
    </row>
    <row r="6690">
      <c r="B6690" t="n">
        <v>34407315</v>
      </c>
      <c r="C6690" s="2" t="n">
        <v>43448</v>
      </c>
      <c r="D6690" t="inlineStr">
        <is>
          <t>SPEC</t>
        </is>
      </c>
      <c r="E6690" t="inlineStr">
        <is>
          <t>DECOUPE LINERGY 4000A 400mm</t>
        </is>
      </c>
      <c r="F6690" t="inlineStr">
        <is>
          <t>BBC GVX 4000A 2xTGAB TOP</t>
        </is>
      </c>
      <c r="J6690" t="inlineStr">
        <is>
          <t>MATRION</t>
        </is>
      </c>
      <c r="K6690" t="inlineStr">
        <is>
          <t>METAL</t>
        </is>
      </c>
      <c r="L6690">
        <f>_xlfn.XLOOKUP(Tableau1[[#This Row],[TYPE DE PIECE]],Tableau4[MATIERE],Tableau4[SHORT TYPE],"",0,1)</f>
        <v/>
      </c>
      <c r="N6690">
        <f>IF(ISERR(FIND("DECOUPE",Tableau1[[#This Row],[DESIGNATION]])),"","NEED REF")</f>
        <v/>
      </c>
    </row>
    <row r="6691">
      <c r="B6691" t="n">
        <v>34407314</v>
      </c>
      <c r="C6691" s="2" t="n">
        <v>43448</v>
      </c>
      <c r="D6691" t="inlineStr">
        <is>
          <t>SPEC</t>
        </is>
      </c>
      <c r="E6691" t="inlineStr">
        <is>
          <t>DECOUPE LINERGY 4000A 810mm</t>
        </is>
      </c>
      <c r="F6691" t="inlineStr">
        <is>
          <t>BBC GVX 4000A 2xTGAB TOP</t>
        </is>
      </c>
      <c r="J6691" t="inlineStr">
        <is>
          <t>MATRION</t>
        </is>
      </c>
      <c r="K6691" t="inlineStr">
        <is>
          <t>METAL</t>
        </is>
      </c>
      <c r="L6691">
        <f>_xlfn.XLOOKUP(Tableau1[[#This Row],[TYPE DE PIECE]],Tableau4[MATIERE],Tableau4[SHORT TYPE],"",0,1)</f>
        <v/>
      </c>
      <c r="N6691">
        <f>IF(ISERR(FIND("DECOUPE",Tableau1[[#This Row],[DESIGNATION]])),"","NEED REF")</f>
        <v/>
      </c>
    </row>
    <row r="6692">
      <c r="B6692" t="n">
        <v>34407313</v>
      </c>
      <c r="C6692" s="2" t="n">
        <v>43448</v>
      </c>
      <c r="D6692" t="inlineStr">
        <is>
          <t>SPEC</t>
        </is>
      </c>
      <c r="E6692" t="inlineStr">
        <is>
          <t>SMT PLATEAU NW40DC</t>
        </is>
      </c>
      <c r="F6692" t="inlineStr">
        <is>
          <t>BBC GVX 4000A 2xTGAB TOP</t>
        </is>
      </c>
      <c r="J6692" t="inlineStr">
        <is>
          <t>MATRION</t>
        </is>
      </c>
      <c r="K6692" t="inlineStr">
        <is>
          <t>METAL</t>
        </is>
      </c>
      <c r="L6692">
        <f>_xlfn.XLOOKUP(Tableau1[[#This Row],[TYPE DE PIECE]],Tableau4[MATIERE],Tableau4[SHORT TYPE],"",0,1)</f>
        <v/>
      </c>
      <c r="N6692">
        <f>IF(ISERR(FIND("DECOUPE",Tableau1[[#This Row],[DESIGNATION]])),"","NEED REF")</f>
        <v/>
      </c>
    </row>
    <row r="6693">
      <c r="B6693" t="n">
        <v>34407312</v>
      </c>
      <c r="C6693" s="2" t="n">
        <v>43448</v>
      </c>
      <c r="D6693" t="inlineStr">
        <is>
          <t>SPEC</t>
        </is>
      </c>
      <c r="E6693" t="inlineStr">
        <is>
          <t>SMT SUPPORT NW40DC</t>
        </is>
      </c>
      <c r="F6693" t="inlineStr">
        <is>
          <t>BBC GVX 4000A 2xTGAB TOP</t>
        </is>
      </c>
      <c r="J6693" t="inlineStr">
        <is>
          <t>MATRION</t>
        </is>
      </c>
      <c r="K6693" t="inlineStr">
        <is>
          <t>METAL</t>
        </is>
      </c>
      <c r="L6693">
        <f>_xlfn.XLOOKUP(Tableau1[[#This Row],[TYPE DE PIECE]],Tableau4[MATIERE],Tableau4[SHORT TYPE],"",0,1)</f>
        <v/>
      </c>
      <c r="N6693">
        <f>IF(ISERR(FIND("DECOUPE",Tableau1[[#This Row],[DESIGNATION]])),"","NEED REF")</f>
        <v/>
      </c>
    </row>
    <row r="6694">
      <c r="B6694" t="n">
        <v>34407311</v>
      </c>
      <c r="C6694" s="2" t="n">
        <v>43448</v>
      </c>
      <c r="D6694" t="inlineStr">
        <is>
          <t>SPEC</t>
        </is>
      </c>
      <c r="E6694" t="inlineStr">
        <is>
          <t>SUPPORT SMT PLASTRON Q4S BACKFEED</t>
        </is>
      </c>
      <c r="F6694" t="inlineStr">
        <is>
          <t>NS2500kVA</t>
        </is>
      </c>
      <c r="J6694" t="inlineStr">
        <is>
          <t>BERNARDEAU</t>
        </is>
      </c>
      <c r="K6694" t="inlineStr">
        <is>
          <t>METAL</t>
        </is>
      </c>
      <c r="L6694">
        <f>_xlfn.XLOOKUP(Tableau1[[#This Row],[TYPE DE PIECE]],Tableau4[MATIERE],Tableau4[SHORT TYPE],"",0,1)</f>
        <v/>
      </c>
      <c r="N6694">
        <f>IF(ISERR(FIND("DECOUPE",Tableau1[[#This Row],[DESIGNATION]])),"","NEED REF")</f>
        <v/>
      </c>
    </row>
    <row r="6695">
      <c r="B6695" t="n">
        <v>34407310</v>
      </c>
      <c r="C6695" s="2" t="n">
        <v>43448</v>
      </c>
      <c r="D6695" t="inlineStr">
        <is>
          <t>SPEC</t>
        </is>
      </c>
      <c r="E6695" t="inlineStr">
        <is>
          <t>SMT PLASTRON Q4S BACKFEED</t>
        </is>
      </c>
      <c r="F6695" t="inlineStr">
        <is>
          <t>NS2500kVA</t>
        </is>
      </c>
      <c r="J6695" t="inlineStr">
        <is>
          <t>BERNARDEAU</t>
        </is>
      </c>
      <c r="K6695" t="inlineStr">
        <is>
          <t>METAL</t>
        </is>
      </c>
      <c r="L6695">
        <f>_xlfn.XLOOKUP(Tableau1[[#This Row],[TYPE DE PIECE]],Tableau4[MATIERE],Tableau4[SHORT TYPE],"",0,1)</f>
        <v/>
      </c>
      <c r="N6695">
        <f>IF(ISERR(FIND("DECOUPE",Tableau1[[#This Row],[DESIGNATION]])),"","NEED REF")</f>
        <v/>
      </c>
    </row>
    <row r="6696">
      <c r="B6696" t="n">
        <v>34407309</v>
      </c>
      <c r="C6696" s="2" t="n">
        <v>43448</v>
      </c>
      <c r="D6696" t="inlineStr">
        <is>
          <t>SPEC</t>
        </is>
      </c>
      <c r="E6696" t="inlineStr">
        <is>
          <t>SMT PLASTRON Q4S BACKFEED</t>
        </is>
      </c>
      <c r="F6696" t="inlineStr">
        <is>
          <t>NS2500kVA</t>
        </is>
      </c>
      <c r="J6696" t="inlineStr">
        <is>
          <t>MATRION</t>
        </is>
      </c>
      <c r="K6696" t="inlineStr">
        <is>
          <t>METAL</t>
        </is>
      </c>
      <c r="L6696">
        <f>_xlfn.XLOOKUP(Tableau1[[#This Row],[TYPE DE PIECE]],Tableau4[MATIERE],Tableau4[SHORT TYPE],"",0,1)</f>
        <v/>
      </c>
      <c r="N6696">
        <f>IF(ISERR(FIND("DECOUPE",Tableau1[[#This Row],[DESIGNATION]])),"","NEED REF")</f>
        <v/>
      </c>
    </row>
    <row r="6697">
      <c r="B6697" t="n">
        <v>34407308</v>
      </c>
      <c r="C6697" s="2" t="n">
        <v>43448</v>
      </c>
      <c r="D6697" t="inlineStr">
        <is>
          <t>SPEC</t>
        </is>
      </c>
      <c r="E6697" t="inlineStr">
        <is>
          <t>SMT DEMI TUNNEL NW40DC</t>
        </is>
      </c>
      <c r="F6697" t="inlineStr">
        <is>
          <t>BBC GVX 4000A 2xTGAB TOP</t>
        </is>
      </c>
      <c r="J6697" t="inlineStr">
        <is>
          <t>MATRION</t>
        </is>
      </c>
      <c r="K6697" t="inlineStr">
        <is>
          <t>METAL</t>
        </is>
      </c>
      <c r="L6697">
        <f>_xlfn.XLOOKUP(Tableau1[[#This Row],[TYPE DE PIECE]],Tableau4[MATIERE],Tableau4[SHORT TYPE],"",0,1)</f>
        <v/>
      </c>
      <c r="N6697">
        <f>IF(ISERR(FIND("DECOUPE",Tableau1[[#This Row],[DESIGNATION]])),"","NEED REF")</f>
        <v/>
      </c>
    </row>
    <row r="6698">
      <c r="B6698" t="n">
        <v>34407307</v>
      </c>
      <c r="C6698" s="2" t="n">
        <v>43447</v>
      </c>
      <c r="D6698" t="inlineStr">
        <is>
          <t>SPEC</t>
        </is>
      </c>
      <c r="E6698" t="inlineStr">
        <is>
          <t>COP SERRAGE FLEXIBAR KTA</t>
        </is>
      </c>
      <c r="F6698" t="inlineStr">
        <is>
          <t>BBC GVX 4000A 2xTGAB TOP</t>
        </is>
      </c>
      <c r="J6698" t="inlineStr">
        <is>
          <t>MATRION</t>
        </is>
      </c>
      <c r="K6698" t="inlineStr">
        <is>
          <t>CUIVRE</t>
        </is>
      </c>
      <c r="L6698">
        <f>_xlfn.XLOOKUP(Tableau1[[#This Row],[TYPE DE PIECE]],Tableau4[MATIERE],Tableau4[SHORT TYPE],"",0,1)</f>
        <v/>
      </c>
      <c r="N6698">
        <f>IF(ISERR(FIND("DECOUPE",Tableau1[[#This Row],[DESIGNATION]])),"","NEED REF")</f>
        <v/>
      </c>
    </row>
    <row r="6699">
      <c r="B6699" t="n">
        <v>34407306</v>
      </c>
      <c r="C6699" s="2" t="n">
        <v>43447</v>
      </c>
      <c r="D6699" t="inlineStr">
        <is>
          <t>SPEC</t>
        </is>
      </c>
      <c r="E6699" t="inlineStr">
        <is>
          <t>SMT SUPPORT LINERGY 6</t>
        </is>
      </c>
      <c r="F6699" t="inlineStr">
        <is>
          <t>BBC GVX 4000A 2xTGAB TOP</t>
        </is>
      </c>
      <c r="J6699" t="inlineStr">
        <is>
          <t>MATRION</t>
        </is>
      </c>
      <c r="K6699" t="inlineStr">
        <is>
          <t>METAL</t>
        </is>
      </c>
      <c r="L6699">
        <f>_xlfn.XLOOKUP(Tableau1[[#This Row],[TYPE DE PIECE]],Tableau4[MATIERE],Tableau4[SHORT TYPE],"",0,1)</f>
        <v/>
      </c>
      <c r="N6699">
        <f>IF(ISERR(FIND("DECOUPE",Tableau1[[#This Row],[DESIGNATION]])),"","NEED REF")</f>
        <v/>
      </c>
    </row>
    <row r="6700">
      <c r="B6700" t="n">
        <v>34407305</v>
      </c>
      <c r="C6700" s="2" t="n">
        <v>43447</v>
      </c>
      <c r="D6700" t="inlineStr">
        <is>
          <t>SPEC</t>
        </is>
      </c>
      <c r="E6700" t="inlineStr">
        <is>
          <t>SMT SUPPORT LINERGY 5</t>
        </is>
      </c>
      <c r="F6700" t="inlineStr">
        <is>
          <t>BBC GVX 4000A 2xTGAB TOP</t>
        </is>
      </c>
      <c r="J6700" t="inlineStr">
        <is>
          <t>MATRION</t>
        </is>
      </c>
      <c r="K6700" t="inlineStr">
        <is>
          <t>METAL</t>
        </is>
      </c>
      <c r="L6700">
        <f>_xlfn.XLOOKUP(Tableau1[[#This Row],[TYPE DE PIECE]],Tableau4[MATIERE],Tableau4[SHORT TYPE],"",0,1)</f>
        <v/>
      </c>
      <c r="N6700">
        <f>IF(ISERR(FIND("DECOUPE",Tableau1[[#This Row],[DESIGNATION]])),"","NEED REF")</f>
        <v/>
      </c>
    </row>
    <row r="6701">
      <c r="B6701" t="n">
        <v>34407304</v>
      </c>
      <c r="C6701" s="2" t="n">
        <v>43447</v>
      </c>
      <c r="D6701" t="inlineStr">
        <is>
          <t>SPEC</t>
        </is>
      </c>
      <c r="E6701" t="inlineStr">
        <is>
          <t>SMT SUPPORT LINERGY 4</t>
        </is>
      </c>
      <c r="F6701" t="inlineStr">
        <is>
          <t>BBC GVX 4000A 2xTGAB TOP</t>
        </is>
      </c>
      <c r="J6701" t="inlineStr">
        <is>
          <t>MATRION</t>
        </is>
      </c>
      <c r="K6701" t="inlineStr">
        <is>
          <t>METAL</t>
        </is>
      </c>
      <c r="L6701">
        <f>_xlfn.XLOOKUP(Tableau1[[#This Row],[TYPE DE PIECE]],Tableau4[MATIERE],Tableau4[SHORT TYPE],"",0,1)</f>
        <v/>
      </c>
      <c r="N6701">
        <f>IF(ISERR(FIND("DECOUPE",Tableau1[[#This Row],[DESIGNATION]])),"","NEED REF")</f>
        <v/>
      </c>
    </row>
    <row r="6702">
      <c r="B6702" t="n">
        <v>34407303</v>
      </c>
      <c r="C6702" s="2" t="n">
        <v>43447</v>
      </c>
      <c r="D6702" t="inlineStr">
        <is>
          <t>SPEC</t>
        </is>
      </c>
      <c r="E6702" t="inlineStr">
        <is>
          <t>SMT SUPPORT LINERGY 3</t>
        </is>
      </c>
      <c r="F6702" t="inlineStr">
        <is>
          <t>BBC GVX 4000A 2xTGAB TOP</t>
        </is>
      </c>
      <c r="J6702" t="inlineStr">
        <is>
          <t>MATRION</t>
        </is>
      </c>
      <c r="K6702" t="inlineStr">
        <is>
          <t>METAL</t>
        </is>
      </c>
      <c r="L6702">
        <f>_xlfn.XLOOKUP(Tableau1[[#This Row],[TYPE DE PIECE]],Tableau4[MATIERE],Tableau4[SHORT TYPE],"",0,1)</f>
        <v/>
      </c>
      <c r="N6702">
        <f>IF(ISERR(FIND("DECOUPE",Tableau1[[#This Row],[DESIGNATION]])),"","NEED REF")</f>
        <v/>
      </c>
    </row>
    <row r="6703">
      <c r="B6703" t="n">
        <v>34407302</v>
      </c>
      <c r="C6703" s="2" t="n">
        <v>43447</v>
      </c>
      <c r="D6703" t="inlineStr">
        <is>
          <t>SPEC</t>
        </is>
      </c>
      <c r="E6703" t="inlineStr">
        <is>
          <t>SMT SUPPORT LINERGY 2</t>
        </is>
      </c>
      <c r="F6703" t="inlineStr">
        <is>
          <t>BBC GVX 4000A 2xTGAB TOP</t>
        </is>
      </c>
      <c r="J6703" t="inlineStr">
        <is>
          <t>MATRION</t>
        </is>
      </c>
      <c r="K6703" t="inlineStr">
        <is>
          <t>METAL</t>
        </is>
      </c>
      <c r="L6703">
        <f>_xlfn.XLOOKUP(Tableau1[[#This Row],[TYPE DE PIECE]],Tableau4[MATIERE],Tableau4[SHORT TYPE],"",0,1)</f>
        <v/>
      </c>
      <c r="N6703">
        <f>IF(ISERR(FIND("DECOUPE",Tableau1[[#This Row],[DESIGNATION]])),"","NEED REF")</f>
        <v/>
      </c>
    </row>
    <row r="6704">
      <c r="B6704" t="n">
        <v>34407301</v>
      </c>
      <c r="C6704" s="2" t="n">
        <v>43447</v>
      </c>
      <c r="D6704" t="inlineStr">
        <is>
          <t>SPEC</t>
        </is>
      </c>
      <c r="E6704" t="inlineStr">
        <is>
          <t>SMT SUPPORT LINERGY 1</t>
        </is>
      </c>
      <c r="F6704" t="inlineStr">
        <is>
          <t>BBC GVX 4000A 2xTGAB TOP</t>
        </is>
      </c>
      <c r="J6704" t="inlineStr">
        <is>
          <t>MATRION</t>
        </is>
      </c>
      <c r="K6704" t="inlineStr">
        <is>
          <t>METAL</t>
        </is>
      </c>
      <c r="L6704">
        <f>_xlfn.XLOOKUP(Tableau1[[#This Row],[TYPE DE PIECE]],Tableau4[MATIERE],Tableau4[SHORT TYPE],"",0,1)</f>
        <v/>
      </c>
      <c r="N6704">
        <f>IF(ISERR(FIND("DECOUPE",Tableau1[[#This Row],[DESIGNATION]])),"","NEED REF")</f>
        <v/>
      </c>
    </row>
    <row r="6705">
      <c r="B6705" t="n">
        <v>34407300</v>
      </c>
      <c r="C6705" s="2" t="n">
        <v>43446</v>
      </c>
      <c r="D6705" t="inlineStr">
        <is>
          <t>SPEC</t>
        </is>
      </c>
      <c r="E6705" t="inlineStr">
        <is>
          <t>PLASTRON 6</t>
        </is>
      </c>
      <c r="F6705" t="inlineStr">
        <is>
          <t>BBK GVX</t>
        </is>
      </c>
      <c r="J6705" t="inlineStr">
        <is>
          <t>MATRION</t>
        </is>
      </c>
      <c r="K6705" t="inlineStr">
        <is>
          <t>METAL</t>
        </is>
      </c>
      <c r="L6705">
        <f>_xlfn.XLOOKUP(Tableau1[[#This Row],[TYPE DE PIECE]],Tableau4[MATIERE],Tableau4[SHORT TYPE],"",0,1)</f>
        <v/>
      </c>
      <c r="N6705">
        <f>IF(ISERR(FIND("DECOUPE",Tableau1[[#This Row],[DESIGNATION]])),"","NEED REF")</f>
        <v/>
      </c>
    </row>
    <row r="6706">
      <c r="B6706" t="n">
        <v>34407299</v>
      </c>
      <c r="C6706" s="2" t="n">
        <v>43446</v>
      </c>
      <c r="D6706" t="inlineStr">
        <is>
          <t>SPEC</t>
        </is>
      </c>
      <c r="E6706" t="inlineStr">
        <is>
          <t>KIT FILERIE COFFRET COM THERMAL SENSING SYMMETRA</t>
        </is>
      </c>
      <c r="F6706" t="inlineStr">
        <is>
          <t>SYMMETRA - COFFRET COM</t>
        </is>
      </c>
      <c r="J6706" t="inlineStr">
        <is>
          <t>MONGELLI</t>
        </is>
      </c>
      <c r="K6706" t="inlineStr">
        <is>
          <t>FILERIE</t>
        </is>
      </c>
      <c r="L6706">
        <f>_xlfn.XLOOKUP(Tableau1[[#This Row],[TYPE DE PIECE]],Tableau4[MATIERE],Tableau4[SHORT TYPE],"",0,1)</f>
        <v/>
      </c>
      <c r="N6706">
        <f>IF(ISERR(FIND("DECOUPE",Tableau1[[#This Row],[DESIGNATION]])),"","NEED REF")</f>
        <v/>
      </c>
    </row>
    <row r="6707">
      <c r="B6707" t="n">
        <v>34407298</v>
      </c>
      <c r="C6707" s="2" t="n">
        <v>43446</v>
      </c>
      <c r="D6707" t="inlineStr">
        <is>
          <t>SPEC</t>
        </is>
      </c>
      <c r="E6707" t="inlineStr">
        <is>
          <t>KIT FILERIE COFFRET COM THERMAL SENSING GVX</t>
        </is>
      </c>
      <c r="F6707" t="inlineStr">
        <is>
          <t>GVX - COFFRET COM</t>
        </is>
      </c>
      <c r="J6707" t="inlineStr">
        <is>
          <t>MONGELLI</t>
        </is>
      </c>
      <c r="K6707" t="inlineStr">
        <is>
          <t>FILERIE</t>
        </is>
      </c>
      <c r="L6707">
        <f>_xlfn.XLOOKUP(Tableau1[[#This Row],[TYPE DE PIECE]],Tableau4[MATIERE],Tableau4[SHORT TYPE],"",0,1)</f>
        <v/>
      </c>
      <c r="N6707">
        <f>IF(ISERR(FIND("DECOUPE",Tableau1[[#This Row],[DESIGNATION]])),"","NEED REF")</f>
        <v/>
      </c>
    </row>
    <row r="6708">
      <c r="B6708" t="n">
        <v>34407297</v>
      </c>
      <c r="C6708" s="2" t="n">
        <v>43446</v>
      </c>
      <c r="D6708" t="inlineStr">
        <is>
          <t>SPEC</t>
        </is>
      </c>
      <c r="E6708" t="inlineStr">
        <is>
          <t>SMT REHAUSSE RENFORT 50mm</t>
        </is>
      </c>
      <c r="F6708" t="inlineStr">
        <is>
          <t>BBC GVX 4000A 2xTGAB TOP</t>
        </is>
      </c>
      <c r="J6708" t="inlineStr">
        <is>
          <t>MATRION</t>
        </is>
      </c>
      <c r="K6708" t="inlineStr">
        <is>
          <t>METAL</t>
        </is>
      </c>
      <c r="L6708">
        <f>_xlfn.XLOOKUP(Tableau1[[#This Row],[TYPE DE PIECE]],Tableau4[MATIERE],Tableau4[SHORT TYPE],"",0,1)</f>
        <v/>
      </c>
      <c r="N6708">
        <f>IF(ISERR(FIND("DECOUPE",Tableau1[[#This Row],[DESIGNATION]])),"","NEED REF")</f>
        <v/>
      </c>
    </row>
    <row r="6709">
      <c r="B6709" t="n">
        <v>34407296</v>
      </c>
      <c r="C6709" s="2" t="n">
        <v>43446</v>
      </c>
      <c r="D6709" t="inlineStr">
        <is>
          <t>SPEC</t>
        </is>
      </c>
      <c r="E6709" t="inlineStr">
        <is>
          <t>SMT REHAUSSE TUBE 50mm</t>
        </is>
      </c>
      <c r="F6709" t="inlineStr">
        <is>
          <t>BBC GVX 4000A 2xTGAB TOP</t>
        </is>
      </c>
      <c r="J6709" t="inlineStr">
        <is>
          <t>MATRION</t>
        </is>
      </c>
      <c r="K6709" t="inlineStr">
        <is>
          <t>METAL</t>
        </is>
      </c>
      <c r="L6709">
        <f>_xlfn.XLOOKUP(Tableau1[[#This Row],[TYPE DE PIECE]],Tableau4[MATIERE],Tableau4[SHORT TYPE],"",0,1)</f>
        <v/>
      </c>
      <c r="N6709">
        <f>IF(ISERR(FIND("DECOUPE",Tableau1[[#This Row],[DESIGNATION]])),"","NEED REF")</f>
        <v/>
      </c>
    </row>
    <row r="6710">
      <c r="B6710" t="n">
        <v>34407295</v>
      </c>
      <c r="C6710" s="2" t="n">
        <v>43446</v>
      </c>
      <c r="D6710" t="inlineStr">
        <is>
          <t>SPEC</t>
        </is>
      </c>
      <c r="E6710" t="inlineStr">
        <is>
          <t>SMT TOIT 2xKTA2000/2500</t>
        </is>
      </c>
      <c r="F6710" t="inlineStr">
        <is>
          <t>BBC GVX 4000A 2xTGAB TOP</t>
        </is>
      </c>
      <c r="J6710" t="inlineStr">
        <is>
          <t>MATRION</t>
        </is>
      </c>
      <c r="K6710" t="inlineStr">
        <is>
          <t>METAL</t>
        </is>
      </c>
      <c r="L6710">
        <f>_xlfn.XLOOKUP(Tableau1[[#This Row],[TYPE DE PIECE]],Tableau4[MATIERE],Tableau4[SHORT TYPE],"",0,1)</f>
        <v/>
      </c>
      <c r="N6710">
        <f>IF(ISERR(FIND("DECOUPE",Tableau1[[#This Row],[DESIGNATION]])),"","NEED REF")</f>
        <v/>
      </c>
    </row>
    <row r="6711">
      <c r="B6711" t="n">
        <v>34407294</v>
      </c>
      <c r="C6711" s="2" t="n">
        <v>43446</v>
      </c>
      <c r="D6711" t="inlineStr">
        <is>
          <t>SPEC</t>
        </is>
      </c>
      <c r="E6711" t="inlineStr">
        <is>
          <t xml:space="preserve">RENFORT JDB BYPASS LG160 </t>
        </is>
      </c>
      <c r="F6711" t="inlineStr">
        <is>
          <t>NS2500kVA</t>
        </is>
      </c>
      <c r="J6711" t="inlineStr">
        <is>
          <t>MATRION</t>
        </is>
      </c>
      <c r="K6711" t="inlineStr">
        <is>
          <t>METAL</t>
        </is>
      </c>
      <c r="L6711">
        <f>_xlfn.XLOOKUP(Tableau1[[#This Row],[TYPE DE PIECE]],Tableau4[MATIERE],Tableau4[SHORT TYPE],"",0,1)</f>
        <v/>
      </c>
      <c r="N6711">
        <f>IF(ISERR(FIND("DECOUPE",Tableau1[[#This Row],[DESIGNATION]])),"","NEED REF")</f>
        <v/>
      </c>
    </row>
    <row r="6712">
      <c r="B6712" t="n">
        <v>34407293</v>
      </c>
      <c r="C6712" s="2" t="n">
        <v>43445</v>
      </c>
      <c r="E6712" t="inlineStr">
        <is>
          <t>COP FLEXIBAR KTA4000A 8</t>
        </is>
      </c>
      <c r="F6712" t="inlineStr">
        <is>
          <t>BBC GVX 4000A 2xTGAB TOP</t>
        </is>
      </c>
      <c r="J6712" t="inlineStr">
        <is>
          <t>MATRION</t>
        </is>
      </c>
      <c r="K6712" t="inlineStr">
        <is>
          <t>CUIVRE</t>
        </is>
      </c>
      <c r="L6712">
        <f>_xlfn.XLOOKUP(Tableau1[[#This Row],[TYPE DE PIECE]],Tableau4[MATIERE],Tableau4[SHORT TYPE],"",0,1)</f>
        <v/>
      </c>
      <c r="N6712">
        <f>IF(ISERR(FIND("DECOUPE",Tableau1[[#This Row],[DESIGNATION]])),"","NEED REF")</f>
        <v/>
      </c>
    </row>
    <row r="6713">
      <c r="B6713" t="n">
        <v>34407292</v>
      </c>
      <c r="C6713" s="2" t="n">
        <v>43445</v>
      </c>
      <c r="E6713" t="inlineStr">
        <is>
          <t>COP FLEXIBAR KTA4000A 7</t>
        </is>
      </c>
      <c r="F6713" t="inlineStr">
        <is>
          <t>BBC GVX 4000A 2xTGAB TOP</t>
        </is>
      </c>
      <c r="J6713" t="inlineStr">
        <is>
          <t>MATRION</t>
        </is>
      </c>
      <c r="K6713" t="inlineStr">
        <is>
          <t>CUIVRE</t>
        </is>
      </c>
      <c r="L6713">
        <f>_xlfn.XLOOKUP(Tableau1[[#This Row],[TYPE DE PIECE]],Tableau4[MATIERE],Tableau4[SHORT TYPE],"",0,1)</f>
        <v/>
      </c>
      <c r="N6713">
        <f>IF(ISERR(FIND("DECOUPE",Tableau1[[#This Row],[DESIGNATION]])),"","NEED REF")</f>
        <v/>
      </c>
    </row>
    <row r="6714">
      <c r="B6714" t="n">
        <v>34407291</v>
      </c>
      <c r="C6714" s="2" t="n">
        <v>43445</v>
      </c>
      <c r="E6714" t="inlineStr">
        <is>
          <t>COP FLEXIBAR KTA4000A 6</t>
        </is>
      </c>
      <c r="F6714" t="inlineStr">
        <is>
          <t>BBC GVX 4000A 2xTGAB TOP</t>
        </is>
      </c>
      <c r="J6714" t="inlineStr">
        <is>
          <t>MATRION</t>
        </is>
      </c>
      <c r="K6714" t="inlineStr">
        <is>
          <t>CUIVRE</t>
        </is>
      </c>
      <c r="L6714">
        <f>_xlfn.XLOOKUP(Tableau1[[#This Row],[TYPE DE PIECE]],Tableau4[MATIERE],Tableau4[SHORT TYPE],"",0,1)</f>
        <v/>
      </c>
      <c r="N6714">
        <f>IF(ISERR(FIND("DECOUPE",Tableau1[[#This Row],[DESIGNATION]])),"","NEED REF")</f>
        <v/>
      </c>
    </row>
    <row r="6715">
      <c r="B6715" t="n">
        <v>34407290</v>
      </c>
      <c r="C6715" s="2" t="n">
        <v>43445</v>
      </c>
      <c r="E6715" t="inlineStr">
        <is>
          <t>COP FLEXIBAR KTA4000A 5</t>
        </is>
      </c>
      <c r="F6715" t="inlineStr">
        <is>
          <t>BBC GVX 4000A 2xTGAB TOP</t>
        </is>
      </c>
      <c r="J6715" t="inlineStr">
        <is>
          <t>MATRION</t>
        </is>
      </c>
      <c r="K6715" t="inlineStr">
        <is>
          <t>CUIVRE</t>
        </is>
      </c>
      <c r="L6715">
        <f>_xlfn.XLOOKUP(Tableau1[[#This Row],[TYPE DE PIECE]],Tableau4[MATIERE],Tableau4[SHORT TYPE],"",0,1)</f>
        <v/>
      </c>
      <c r="N6715">
        <f>IF(ISERR(FIND("DECOUPE",Tableau1[[#This Row],[DESIGNATION]])),"","NEED REF")</f>
        <v/>
      </c>
    </row>
    <row r="6716">
      <c r="B6716" t="n">
        <v>34407289</v>
      </c>
      <c r="C6716" s="2" t="n">
        <v>43445</v>
      </c>
      <c r="E6716" t="inlineStr">
        <is>
          <t>COP FLEXIBAR KTA4000A 4</t>
        </is>
      </c>
      <c r="F6716" t="inlineStr">
        <is>
          <t>BBC GVX 4000A 2xTGAB TOP</t>
        </is>
      </c>
      <c r="J6716" t="inlineStr">
        <is>
          <t>MATRION</t>
        </is>
      </c>
      <c r="K6716" t="inlineStr">
        <is>
          <t>CUIVRE</t>
        </is>
      </c>
      <c r="L6716">
        <f>_xlfn.XLOOKUP(Tableau1[[#This Row],[TYPE DE PIECE]],Tableau4[MATIERE],Tableau4[SHORT TYPE],"",0,1)</f>
        <v/>
      </c>
      <c r="N6716">
        <f>IF(ISERR(FIND("DECOUPE",Tableau1[[#This Row],[DESIGNATION]])),"","NEED REF")</f>
        <v/>
      </c>
    </row>
    <row r="6717">
      <c r="B6717" t="n">
        <v>34407288</v>
      </c>
      <c r="C6717" s="2" t="n">
        <v>43445</v>
      </c>
      <c r="E6717" t="inlineStr">
        <is>
          <t>COP FLEXIBAR KTA4000A 3</t>
        </is>
      </c>
      <c r="F6717" t="inlineStr">
        <is>
          <t>BBC GVX 4000A 2xTGAB TOP</t>
        </is>
      </c>
      <c r="J6717" t="inlineStr">
        <is>
          <t>MATRION</t>
        </is>
      </c>
      <c r="K6717" t="inlineStr">
        <is>
          <t>CUIVRE</t>
        </is>
      </c>
      <c r="L6717">
        <f>_xlfn.XLOOKUP(Tableau1[[#This Row],[TYPE DE PIECE]],Tableau4[MATIERE],Tableau4[SHORT TYPE],"",0,1)</f>
        <v/>
      </c>
      <c r="N6717">
        <f>IF(ISERR(FIND("DECOUPE",Tableau1[[#This Row],[DESIGNATION]])),"","NEED REF")</f>
        <v/>
      </c>
    </row>
    <row r="6718">
      <c r="B6718" t="n">
        <v>34407287</v>
      </c>
      <c r="C6718" s="2" t="n">
        <v>43445</v>
      </c>
      <c r="E6718" t="inlineStr">
        <is>
          <t>COP FLEXIBAR KTA4000A 2</t>
        </is>
      </c>
      <c r="F6718" t="inlineStr">
        <is>
          <t>BBC GVX 4000A 2xTGAB TOP</t>
        </is>
      </c>
      <c r="J6718" t="inlineStr">
        <is>
          <t>MATRION</t>
        </is>
      </c>
      <c r="K6718" t="inlineStr">
        <is>
          <t>CUIVRE</t>
        </is>
      </c>
      <c r="L6718">
        <f>_xlfn.XLOOKUP(Tableau1[[#This Row],[TYPE DE PIECE]],Tableau4[MATIERE],Tableau4[SHORT TYPE],"",0,1)</f>
        <v/>
      </c>
      <c r="N6718">
        <f>IF(ISERR(FIND("DECOUPE",Tableau1[[#This Row],[DESIGNATION]])),"","NEED REF")</f>
        <v/>
      </c>
    </row>
    <row r="6719">
      <c r="B6719" t="n">
        <v>34407286</v>
      </c>
      <c r="C6719" s="2" t="n">
        <v>43445</v>
      </c>
      <c r="E6719" t="inlineStr">
        <is>
          <t>COP FLEXIBAR KTA4000A 1</t>
        </is>
      </c>
      <c r="F6719" t="inlineStr">
        <is>
          <t>BBC GVX 4000A 2xTGAB TOP</t>
        </is>
      </c>
      <c r="J6719" t="inlineStr">
        <is>
          <t>MATRION</t>
        </is>
      </c>
      <c r="K6719" t="inlineStr">
        <is>
          <t>CUIVRE</t>
        </is>
      </c>
      <c r="L6719">
        <f>_xlfn.XLOOKUP(Tableau1[[#This Row],[TYPE DE PIECE]],Tableau4[MATIERE],Tableau4[SHORT TYPE],"",0,1)</f>
        <v/>
      </c>
      <c r="N6719">
        <f>IF(ISERR(FIND("DECOUPE",Tableau1[[#This Row],[DESIGNATION]])),"","NEED REF")</f>
        <v/>
      </c>
    </row>
    <row r="6720">
      <c r="B6720" t="n">
        <v>34407285</v>
      </c>
      <c r="C6720" s="2" t="n">
        <v>43445</v>
      </c>
      <c r="E6720" t="inlineStr">
        <is>
          <t>COP FLEXIBAR KTA4000A GENERIC</t>
        </is>
      </c>
      <c r="F6720" t="inlineStr">
        <is>
          <t>BBC GVX 4000A 2xTGAB TOP</t>
        </is>
      </c>
      <c r="J6720" t="inlineStr">
        <is>
          <t>MATRION</t>
        </is>
      </c>
      <c r="K6720" t="inlineStr">
        <is>
          <t>CUIVRE</t>
        </is>
      </c>
      <c r="L6720">
        <f>_xlfn.XLOOKUP(Tableau1[[#This Row],[TYPE DE PIECE]],Tableau4[MATIERE],Tableau4[SHORT TYPE],"",0,1)</f>
        <v/>
      </c>
      <c r="N6720">
        <f>IF(ISERR(FIND("DECOUPE",Tableau1[[#This Row],[DESIGNATION]])),"","NEED REF")</f>
        <v/>
      </c>
    </row>
    <row r="6721">
      <c r="B6721" t="n">
        <v>34407284</v>
      </c>
      <c r="C6721" s="2" t="n">
        <v>43445</v>
      </c>
      <c r="E6721" t="inlineStr">
        <is>
          <t>COP LINERGY FLEX JUNCTION 2</t>
        </is>
      </c>
      <c r="F6721" t="inlineStr">
        <is>
          <t>BBC GVX 4000A 2xTGAB TOP</t>
        </is>
      </c>
      <c r="J6721" t="inlineStr">
        <is>
          <t>MATRION</t>
        </is>
      </c>
      <c r="K6721" t="inlineStr">
        <is>
          <t>CUIVRE</t>
        </is>
      </c>
      <c r="L6721">
        <f>_xlfn.XLOOKUP(Tableau1[[#This Row],[TYPE DE PIECE]],Tableau4[MATIERE],Tableau4[SHORT TYPE],"",0,1)</f>
        <v/>
      </c>
      <c r="N6721">
        <f>IF(ISERR(FIND("DECOUPE",Tableau1[[#This Row],[DESIGNATION]])),"","NEED REF")</f>
        <v/>
      </c>
    </row>
    <row r="6722">
      <c r="B6722" t="n">
        <v>34407283</v>
      </c>
      <c r="C6722" s="2" t="n">
        <v>43445</v>
      </c>
      <c r="D6722" t="inlineStr">
        <is>
          <t>SPEC</t>
        </is>
      </c>
      <c r="E6722" t="inlineStr">
        <is>
          <t>CX TGAB HORIZ TNC TNS</t>
        </is>
      </c>
      <c r="F6722" t="inlineStr">
        <is>
          <t>NS2500kVA</t>
        </is>
      </c>
      <c r="J6722" t="inlineStr">
        <is>
          <t>MATRION</t>
        </is>
      </c>
      <c r="K6722" t="inlineStr">
        <is>
          <t>CUIVRE</t>
        </is>
      </c>
      <c r="L6722">
        <f>_xlfn.XLOOKUP(Tableau1[[#This Row],[TYPE DE PIECE]],Tableau4[MATIERE],Tableau4[SHORT TYPE],"",0,1)</f>
        <v/>
      </c>
      <c r="N6722">
        <f>IF(ISERR(FIND("DECOUPE",Tableau1[[#This Row],[DESIGNATION]])),"","NEED REF")</f>
        <v/>
      </c>
    </row>
    <row r="6723">
      <c r="B6723" t="n">
        <v>34407282</v>
      </c>
      <c r="C6723" s="2" t="n">
        <v>43445</v>
      </c>
      <c r="E6723" t="inlineStr">
        <is>
          <t>SMT PROTECTION SHIELD NW40DC</t>
        </is>
      </c>
      <c r="F6723" t="inlineStr">
        <is>
          <t>BBC GVX 4000A 2xTGAB TOP</t>
        </is>
      </c>
      <c r="J6723" t="inlineStr">
        <is>
          <t>MATRION</t>
        </is>
      </c>
      <c r="K6723" t="inlineStr">
        <is>
          <t>METAL</t>
        </is>
      </c>
      <c r="L6723">
        <f>_xlfn.XLOOKUP(Tableau1[[#This Row],[TYPE DE PIECE]],Tableau4[MATIERE],Tableau4[SHORT TYPE],"",0,1)</f>
        <v/>
      </c>
      <c r="N6723">
        <f>IF(ISERR(FIND("DECOUPE",Tableau1[[#This Row],[DESIGNATION]])),"","NEED REF")</f>
        <v/>
      </c>
    </row>
    <row r="6724">
      <c r="B6724" t="n">
        <v>34407281</v>
      </c>
      <c r="C6724" s="2" t="n">
        <v>43444</v>
      </c>
      <c r="E6724" t="inlineStr">
        <is>
          <t>RJ45 SPECIAL CABLE (BETWEEN EGX150 AND EXERTHERM) L=300</t>
        </is>
      </c>
      <c r="F6724" t="inlineStr">
        <is>
          <t>MICROSOFT/COFFRET COM</t>
        </is>
      </c>
      <c r="J6724" t="inlineStr">
        <is>
          <t>MONGELLI</t>
        </is>
      </c>
      <c r="K6724" t="inlineStr">
        <is>
          <t>FILERIE</t>
        </is>
      </c>
      <c r="L6724">
        <f>_xlfn.XLOOKUP(Tableau1[[#This Row],[TYPE DE PIECE]],Tableau4[MATIERE],Tableau4[SHORT TYPE],"",0,1)</f>
        <v/>
      </c>
      <c r="N6724">
        <f>IF(ISERR(FIND("DECOUPE",Tableau1[[#This Row],[DESIGNATION]])),"","NEED REF")</f>
        <v/>
      </c>
    </row>
    <row r="6725">
      <c r="B6725" t="n">
        <v>34407280</v>
      </c>
      <c r="C6725" s="2" t="n">
        <v>43445</v>
      </c>
      <c r="E6725" t="inlineStr">
        <is>
          <t>COP LINERGY FLEX JUNCTION</t>
        </is>
      </c>
      <c r="F6725" t="inlineStr">
        <is>
          <t>BBC GVX 4000A 2xTGAB TOP</t>
        </is>
      </c>
      <c r="J6725" t="inlineStr">
        <is>
          <t>MATRION</t>
        </is>
      </c>
      <c r="K6725" t="inlineStr">
        <is>
          <t>CUIVRE</t>
        </is>
      </c>
      <c r="L6725">
        <f>_xlfn.XLOOKUP(Tableau1[[#This Row],[TYPE DE PIECE]],Tableau4[MATIERE],Tableau4[SHORT TYPE],"",0,1)</f>
        <v/>
      </c>
      <c r="N6725">
        <f>IF(ISERR(FIND("DECOUPE",Tableau1[[#This Row],[DESIGNATION]])),"","NEED REF")</f>
        <v/>
      </c>
    </row>
    <row r="6726">
      <c r="B6726" t="n">
        <v>34407279</v>
      </c>
      <c r="C6726" s="2" t="n">
        <v>43445</v>
      </c>
      <c r="E6726" t="inlineStr">
        <is>
          <t>COP LINERGY FLEX JUNCTION</t>
        </is>
      </c>
      <c r="F6726" t="inlineStr">
        <is>
          <t>BBC GVX 4000A 2xTGAB TOP</t>
        </is>
      </c>
      <c r="J6726" t="inlineStr">
        <is>
          <t>MATRION</t>
        </is>
      </c>
      <c r="K6726" t="inlineStr">
        <is>
          <t>CUIVRE</t>
        </is>
      </c>
      <c r="L6726">
        <f>_xlfn.XLOOKUP(Tableau1[[#This Row],[TYPE DE PIECE]],Tableau4[MATIERE],Tableau4[SHORT TYPE],"",0,1)</f>
        <v/>
      </c>
      <c r="N6726">
        <f>IF(ISERR(FIND("DECOUPE",Tableau1[[#This Row],[DESIGNATION]])),"","NEED REF")</f>
        <v/>
      </c>
    </row>
    <row r="6727">
      <c r="B6727" t="n">
        <v>34407278</v>
      </c>
      <c r="C6727" s="2" t="n">
        <v>43445</v>
      </c>
      <c r="E6727" t="inlineStr">
        <is>
          <t>COP FLEXIBAR NW40DC 8</t>
        </is>
      </c>
      <c r="F6727" t="inlineStr">
        <is>
          <t>BBC GVX 4000A 2xTGAB TOP</t>
        </is>
      </c>
      <c r="J6727" t="inlineStr">
        <is>
          <t>MATRION</t>
        </is>
      </c>
      <c r="K6727" t="inlineStr">
        <is>
          <t>CUIVRE</t>
        </is>
      </c>
      <c r="L6727">
        <f>_xlfn.XLOOKUP(Tableau1[[#This Row],[TYPE DE PIECE]],Tableau4[MATIERE],Tableau4[SHORT TYPE],"",0,1)</f>
        <v/>
      </c>
      <c r="N6727">
        <f>IF(ISERR(FIND("DECOUPE",Tableau1[[#This Row],[DESIGNATION]])),"","NEED REF")</f>
        <v/>
      </c>
    </row>
    <row r="6728">
      <c r="B6728" t="n">
        <v>34407277</v>
      </c>
      <c r="C6728" s="2" t="n">
        <v>43444</v>
      </c>
      <c r="E6728" t="inlineStr">
        <is>
          <t>COP FLEXIBAR NW40DC 7</t>
        </is>
      </c>
      <c r="F6728" t="inlineStr">
        <is>
          <t>BBC GVX 4000A 2xTGAB TOP</t>
        </is>
      </c>
      <c r="J6728" t="inlineStr">
        <is>
          <t>MATRION</t>
        </is>
      </c>
      <c r="K6728" t="inlineStr">
        <is>
          <t>CUIVRE</t>
        </is>
      </c>
      <c r="L6728">
        <f>_xlfn.XLOOKUP(Tableau1[[#This Row],[TYPE DE PIECE]],Tableau4[MATIERE],Tableau4[SHORT TYPE],"",0,1)</f>
        <v/>
      </c>
      <c r="N6728">
        <f>IF(ISERR(FIND("DECOUPE",Tableau1[[#This Row],[DESIGNATION]])),"","NEED REF")</f>
        <v/>
      </c>
    </row>
    <row r="6729">
      <c r="B6729" t="n">
        <v>34407276</v>
      </c>
      <c r="C6729" s="2" t="n">
        <v>43444</v>
      </c>
      <c r="E6729" t="inlineStr">
        <is>
          <t>COP FLEXIBAR NW40DC 6</t>
        </is>
      </c>
      <c r="F6729" t="inlineStr">
        <is>
          <t>BBC GVX 4000A 2xTGAB TOP</t>
        </is>
      </c>
      <c r="J6729" t="inlineStr">
        <is>
          <t>MATRION</t>
        </is>
      </c>
      <c r="K6729" t="inlineStr">
        <is>
          <t>CUIVRE</t>
        </is>
      </c>
      <c r="L6729">
        <f>_xlfn.XLOOKUP(Tableau1[[#This Row],[TYPE DE PIECE]],Tableau4[MATIERE],Tableau4[SHORT TYPE],"",0,1)</f>
        <v/>
      </c>
      <c r="N6729">
        <f>IF(ISERR(FIND("DECOUPE",Tableau1[[#This Row],[DESIGNATION]])),"","NEED REF")</f>
        <v/>
      </c>
    </row>
    <row r="6730">
      <c r="B6730" t="n">
        <v>34407275</v>
      </c>
      <c r="C6730" s="2" t="n">
        <v>43444</v>
      </c>
      <c r="E6730" t="inlineStr">
        <is>
          <t>COP FLEXIBAR NW40DC 5</t>
        </is>
      </c>
      <c r="F6730" t="inlineStr">
        <is>
          <t>BBC GVX 4000A 2xTGAB TOP</t>
        </is>
      </c>
      <c r="J6730" t="inlineStr">
        <is>
          <t>MATRION</t>
        </is>
      </c>
      <c r="K6730" t="inlineStr">
        <is>
          <t>CUIVRE</t>
        </is>
      </c>
      <c r="L6730">
        <f>_xlfn.XLOOKUP(Tableau1[[#This Row],[TYPE DE PIECE]],Tableau4[MATIERE],Tableau4[SHORT TYPE],"",0,1)</f>
        <v/>
      </c>
      <c r="N6730">
        <f>IF(ISERR(FIND("DECOUPE",Tableau1[[#This Row],[DESIGNATION]])),"","NEED REF")</f>
        <v/>
      </c>
    </row>
    <row r="6731">
      <c r="B6731" t="n">
        <v>34407274</v>
      </c>
      <c r="C6731" s="2" t="n">
        <v>43444</v>
      </c>
      <c r="E6731" t="inlineStr">
        <is>
          <t>COP FLEXIBAR NW40DC 4</t>
        </is>
      </c>
      <c r="F6731" t="inlineStr">
        <is>
          <t>BBC GVX 4000A 2xTGAB TOP</t>
        </is>
      </c>
      <c r="J6731" t="inlineStr">
        <is>
          <t>MATRION</t>
        </is>
      </c>
      <c r="K6731" t="inlineStr">
        <is>
          <t>CUIVRE</t>
        </is>
      </c>
      <c r="L6731">
        <f>_xlfn.XLOOKUP(Tableau1[[#This Row],[TYPE DE PIECE]],Tableau4[MATIERE],Tableau4[SHORT TYPE],"",0,1)</f>
        <v/>
      </c>
      <c r="N6731">
        <f>IF(ISERR(FIND("DECOUPE",Tableau1[[#This Row],[DESIGNATION]])),"","NEED REF")</f>
        <v/>
      </c>
    </row>
    <row r="6732">
      <c r="B6732" t="n">
        <v>34407273</v>
      </c>
      <c r="C6732" s="2" t="n">
        <v>43444</v>
      </c>
      <c r="E6732" t="inlineStr">
        <is>
          <t>COP FLEXIBAR NW40DC 3</t>
        </is>
      </c>
      <c r="F6732" t="inlineStr">
        <is>
          <t>BBC GVX 4000A 2xTGAB TOP</t>
        </is>
      </c>
      <c r="J6732" t="inlineStr">
        <is>
          <t>MATRION</t>
        </is>
      </c>
      <c r="K6732" t="inlineStr">
        <is>
          <t>CUIVRE</t>
        </is>
      </c>
      <c r="L6732">
        <f>_xlfn.XLOOKUP(Tableau1[[#This Row],[TYPE DE PIECE]],Tableau4[MATIERE],Tableau4[SHORT TYPE],"",0,1)</f>
        <v/>
      </c>
      <c r="N6732">
        <f>IF(ISERR(FIND("DECOUPE",Tableau1[[#This Row],[DESIGNATION]])),"","NEED REF")</f>
        <v/>
      </c>
    </row>
    <row r="6733">
      <c r="B6733" t="n">
        <v>34407272</v>
      </c>
      <c r="C6733" s="2" t="n">
        <v>43444</v>
      </c>
      <c r="E6733" t="inlineStr">
        <is>
          <t>COP FLEXIBAR NW40DC 2</t>
        </is>
      </c>
      <c r="F6733" t="inlineStr">
        <is>
          <t>BBC GVX 4000A 2xTGAB TOP</t>
        </is>
      </c>
      <c r="J6733" t="inlineStr">
        <is>
          <t>MATRION</t>
        </is>
      </c>
      <c r="K6733" t="inlineStr">
        <is>
          <t>CUIVRE</t>
        </is>
      </c>
      <c r="L6733">
        <f>_xlfn.XLOOKUP(Tableau1[[#This Row],[TYPE DE PIECE]],Tableau4[MATIERE],Tableau4[SHORT TYPE],"",0,1)</f>
        <v/>
      </c>
      <c r="N6733">
        <f>IF(ISERR(FIND("DECOUPE",Tableau1[[#This Row],[DESIGNATION]])),"","NEED REF")</f>
        <v/>
      </c>
    </row>
    <row r="6734">
      <c r="B6734" t="n">
        <v>34407271</v>
      </c>
      <c r="C6734" s="2" t="n">
        <v>43444</v>
      </c>
      <c r="E6734" t="inlineStr">
        <is>
          <t>COP FLEXIBAR NW40DC 1</t>
        </is>
      </c>
      <c r="F6734" t="inlineStr">
        <is>
          <t>BBC GVX 4000A 2xTGAB TOP</t>
        </is>
      </c>
      <c r="J6734" t="inlineStr">
        <is>
          <t>MATRION</t>
        </is>
      </c>
      <c r="K6734" t="inlineStr">
        <is>
          <t>CUIVRE</t>
        </is>
      </c>
      <c r="L6734">
        <f>_xlfn.XLOOKUP(Tableau1[[#This Row],[TYPE DE PIECE]],Tableau4[MATIERE],Tableau4[SHORT TYPE],"",0,1)</f>
        <v/>
      </c>
      <c r="N6734">
        <f>IF(ISERR(FIND("DECOUPE",Tableau1[[#This Row],[DESIGNATION]])),"","NEED REF")</f>
        <v/>
      </c>
    </row>
    <row r="6735">
      <c r="B6735" t="n">
        <v>34407270</v>
      </c>
      <c r="C6735" s="2" t="n">
        <v>43444</v>
      </c>
      <c r="E6735" t="inlineStr">
        <is>
          <t>COP FLEXIBAR NW40DC GENERIC</t>
        </is>
      </c>
      <c r="F6735" t="inlineStr">
        <is>
          <t>BBC GVX 4000A 2xTGAB TOP</t>
        </is>
      </c>
      <c r="J6735" t="inlineStr">
        <is>
          <t>MATRION</t>
        </is>
      </c>
      <c r="K6735" t="inlineStr">
        <is>
          <t>CUIVRE</t>
        </is>
      </c>
      <c r="L6735">
        <f>_xlfn.XLOOKUP(Tableau1[[#This Row],[TYPE DE PIECE]],Tableau4[MATIERE],Tableau4[SHORT TYPE],"",0,1)</f>
        <v/>
      </c>
      <c r="N6735">
        <f>IF(ISERR(FIND("DECOUPE",Tableau1[[#This Row],[DESIGNATION]])),"","NEED REF")</f>
        <v/>
      </c>
    </row>
    <row r="6736">
      <c r="B6736" t="n">
        <v>34407269</v>
      </c>
      <c r="C6736" s="2" t="n">
        <v>43441</v>
      </c>
      <c r="E6736" t="inlineStr">
        <is>
          <t>WIRE PUISSANCE</t>
        </is>
      </c>
      <c r="F6736" t="inlineStr">
        <is>
          <t>REGEN BOX 125A</t>
        </is>
      </c>
      <c r="J6736" t="inlineStr">
        <is>
          <t>MATRION</t>
        </is>
      </c>
      <c r="K6736" t="inlineStr">
        <is>
          <t>FILERIE</t>
        </is>
      </c>
      <c r="L6736">
        <f>_xlfn.XLOOKUP(Tableau1[[#This Row],[TYPE DE PIECE]],Tableau4[MATIERE],Tableau4[SHORT TYPE],"",0,1)</f>
        <v/>
      </c>
      <c r="N6736">
        <f>IF(ISERR(FIND("DECOUPE",Tableau1[[#This Row],[DESIGNATION]])),"","NEED REF")</f>
        <v/>
      </c>
    </row>
    <row r="6737">
      <c r="B6737" t="n">
        <v>34407268</v>
      </c>
      <c r="C6737" s="2" t="n">
        <v>43440</v>
      </c>
      <c r="E6737" t="inlineStr">
        <is>
          <t>SMT INTERNAL FIX COFFRET MONITORING PX</t>
        </is>
      </c>
      <c r="F6737" t="inlineStr">
        <is>
          <t>PX MONITORING</t>
        </is>
      </c>
      <c r="J6737" t="inlineStr">
        <is>
          <t>MATRION</t>
        </is>
      </c>
      <c r="K6737" t="inlineStr">
        <is>
          <t>METAL</t>
        </is>
      </c>
      <c r="L6737">
        <f>_xlfn.XLOOKUP(Tableau1[[#This Row],[TYPE DE PIECE]],Tableau4[MATIERE],Tableau4[SHORT TYPE],"",0,1)</f>
        <v/>
      </c>
      <c r="N6737">
        <f>IF(ISERR(FIND("DECOUPE",Tableau1[[#This Row],[DESIGNATION]])),"","NEED REF")</f>
        <v/>
      </c>
    </row>
    <row r="6738">
      <c r="B6738" t="n">
        <v>34407267</v>
      </c>
      <c r="C6738" s="2" t="n">
        <v>43440</v>
      </c>
      <c r="E6738" t="inlineStr">
        <is>
          <t>SMT SUPPORT COFFRET MONITORING PX</t>
        </is>
      </c>
      <c r="F6738" t="inlineStr">
        <is>
          <t>PX MONITORING</t>
        </is>
      </c>
      <c r="J6738" t="inlineStr">
        <is>
          <t>MATRION</t>
        </is>
      </c>
      <c r="K6738" t="inlineStr">
        <is>
          <t>METAL</t>
        </is>
      </c>
      <c r="L6738">
        <f>_xlfn.XLOOKUP(Tableau1[[#This Row],[TYPE DE PIECE]],Tableau4[MATIERE],Tableau4[SHORT TYPE],"",0,1)</f>
        <v/>
      </c>
      <c r="N6738">
        <f>IF(ISERR(FIND("DECOUPE",Tableau1[[#This Row],[DESIGNATION]])),"","NEED REF")</f>
        <v/>
      </c>
    </row>
    <row r="6739">
      <c r="B6739" t="n">
        <v>34407266</v>
      </c>
      <c r="C6739" s="2" t="n">
        <v>43439</v>
      </c>
      <c r="E6739" t="inlineStr">
        <is>
          <t>SMT PLASTRON RACCORDEMENT</t>
        </is>
      </c>
      <c r="F6739" t="inlineStr">
        <is>
          <t>STS 630A SPECIFIQUE</t>
        </is>
      </c>
      <c r="J6739" t="inlineStr">
        <is>
          <t>MATRION</t>
        </is>
      </c>
      <c r="K6739" t="inlineStr">
        <is>
          <t>METAL</t>
        </is>
      </c>
      <c r="L6739">
        <f>_xlfn.XLOOKUP(Tableau1[[#This Row],[TYPE DE PIECE]],Tableau4[MATIERE],Tableau4[SHORT TYPE],"",0,1)</f>
        <v/>
      </c>
      <c r="N6739">
        <f>IF(ISERR(FIND("DECOUPE",Tableau1[[#This Row],[DESIGNATION]])),"","NEED REF")</f>
        <v/>
      </c>
    </row>
    <row r="6740">
      <c r="B6740" t="n">
        <v>34407265</v>
      </c>
      <c r="C6740" s="2" t="n">
        <v>43439</v>
      </c>
      <c r="E6740" t="inlineStr">
        <is>
          <t>WIRE PUISSANCE</t>
        </is>
      </c>
      <c r="F6740" t="inlineStr">
        <is>
          <t>STS 630A SPECIFIQUE</t>
        </is>
      </c>
      <c r="J6740" t="inlineStr">
        <is>
          <t>MATRION</t>
        </is>
      </c>
      <c r="K6740" t="inlineStr">
        <is>
          <t>FILERIE</t>
        </is>
      </c>
      <c r="L6740">
        <f>_xlfn.XLOOKUP(Tableau1[[#This Row],[TYPE DE PIECE]],Tableau4[MATIERE],Tableau4[SHORT TYPE],"",0,1)</f>
        <v/>
      </c>
      <c r="N6740">
        <f>IF(ISERR(FIND("DECOUPE",Tableau1[[#This Row],[DESIGNATION]])),"","NEED REF")</f>
        <v/>
      </c>
    </row>
    <row r="6741">
      <c r="B6741" t="n">
        <v>34407264</v>
      </c>
      <c r="C6741" s="2" t="n">
        <v>43439</v>
      </c>
      <c r="E6741" t="inlineStr">
        <is>
          <t>SMT PLASTRON 3xNSX250</t>
        </is>
      </c>
      <c r="F6741" t="inlineStr">
        <is>
          <t>STS 630A SPECIFIQUE</t>
        </is>
      </c>
      <c r="J6741" t="inlineStr">
        <is>
          <t>MATRION</t>
        </is>
      </c>
      <c r="K6741" t="inlineStr">
        <is>
          <t>METAL</t>
        </is>
      </c>
      <c r="L6741">
        <f>_xlfn.XLOOKUP(Tableau1[[#This Row],[TYPE DE PIECE]],Tableau4[MATIERE],Tableau4[SHORT TYPE],"",0,1)</f>
        <v/>
      </c>
      <c r="N6741">
        <f>IF(ISERR(FIND("DECOUPE",Tableau1[[#This Row],[DESIGNATION]])),"","NEED REF")</f>
        <v/>
      </c>
    </row>
    <row r="6742">
      <c r="B6742" t="n">
        <v>34407263</v>
      </c>
      <c r="C6742" s="2" t="n">
        <v>43439</v>
      </c>
      <c r="E6742" t="inlineStr">
        <is>
          <t>COP REPARTITION UTILISATION</t>
        </is>
      </c>
      <c r="F6742" t="inlineStr">
        <is>
          <t>STS 630A SPECIFIQUE</t>
        </is>
      </c>
      <c r="J6742" t="inlineStr">
        <is>
          <t>MATRION</t>
        </is>
      </c>
      <c r="K6742" t="inlineStr">
        <is>
          <t>CUIVRE</t>
        </is>
      </c>
      <c r="L6742">
        <f>_xlfn.XLOOKUP(Tableau1[[#This Row],[TYPE DE PIECE]],Tableau4[MATIERE],Tableau4[SHORT TYPE],"",0,1)</f>
        <v/>
      </c>
      <c r="N6742">
        <f>IF(ISERR(FIND("DECOUPE",Tableau1[[#This Row],[DESIGNATION]])),"","NEED REF")</f>
        <v/>
      </c>
    </row>
    <row r="6743">
      <c r="B6743" t="n">
        <v>34407262</v>
      </c>
      <c r="C6743" s="2" t="n">
        <v>43439</v>
      </c>
      <c r="E6743" t="inlineStr">
        <is>
          <t>SMT SUPPORT 3xNSX250</t>
        </is>
      </c>
      <c r="F6743" t="inlineStr">
        <is>
          <t>STS 630A SPECIFIQUE</t>
        </is>
      </c>
      <c r="J6743" t="inlineStr">
        <is>
          <t>MATRION</t>
        </is>
      </c>
      <c r="K6743" t="inlineStr">
        <is>
          <t>METAL</t>
        </is>
      </c>
      <c r="L6743">
        <f>_xlfn.XLOOKUP(Tableau1[[#This Row],[TYPE DE PIECE]],Tableau4[MATIERE],Tableau4[SHORT TYPE],"",0,1)</f>
        <v/>
      </c>
      <c r="N6743">
        <f>IF(ISERR(FIND("DECOUPE",Tableau1[[#This Row],[DESIGNATION]])),"","NEED REF")</f>
        <v/>
      </c>
    </row>
    <row r="6744">
      <c r="B6744" t="n">
        <v>34407261</v>
      </c>
      <c r="C6744" s="2" t="n">
        <v>43434</v>
      </c>
      <c r="E6744" t="inlineStr">
        <is>
          <t>SMT SUPPORT PLASTRON BAS</t>
        </is>
      </c>
      <c r="F6744" t="inlineStr">
        <is>
          <t>REGEN BOX 125A</t>
        </is>
      </c>
      <c r="J6744" t="inlineStr">
        <is>
          <t>MATRION</t>
        </is>
      </c>
      <c r="K6744" t="inlineStr">
        <is>
          <t>METAL</t>
        </is>
      </c>
      <c r="L6744">
        <f>_xlfn.XLOOKUP(Tableau1[[#This Row],[TYPE DE PIECE]],Tableau4[MATIERE],Tableau4[SHORT TYPE],"",0,1)</f>
        <v/>
      </c>
      <c r="N6744">
        <f>IF(ISERR(FIND("DECOUPE",Tableau1[[#This Row],[DESIGNATION]])),"","NEED REF")</f>
        <v/>
      </c>
    </row>
    <row r="6745">
      <c r="B6745" t="n">
        <v>34407260</v>
      </c>
      <c r="C6745" s="2" t="n">
        <v>43434</v>
      </c>
      <c r="F6745" t="inlineStr">
        <is>
          <t>DATA 4</t>
        </is>
      </c>
      <c r="J6745" t="inlineStr">
        <is>
          <t>ROBERT</t>
        </is>
      </c>
      <c r="K6745" t="inlineStr">
        <is>
          <t>CUIVRE</t>
        </is>
      </c>
      <c r="L6745">
        <f>_xlfn.XLOOKUP(Tableau1[[#This Row],[TYPE DE PIECE]],Tableau4[MATIERE],Tableau4[SHORT TYPE],"",0,1)</f>
        <v/>
      </c>
      <c r="N6745">
        <f>IF(ISERR(FIND("DECOUPE",Tableau1[[#This Row],[DESIGNATION]])),"","NEED REF")</f>
        <v/>
      </c>
    </row>
    <row r="6746">
      <c r="B6746" t="n">
        <v>34407259</v>
      </c>
      <c r="C6746" s="2" t="n">
        <v>43434</v>
      </c>
      <c r="E6746" t="inlineStr">
        <is>
          <t>COROS LOAD L3</t>
        </is>
      </c>
      <c r="F6746" t="inlineStr">
        <is>
          <t>DATA 4</t>
        </is>
      </c>
      <c r="J6746" t="inlineStr">
        <is>
          <t>ROBERT</t>
        </is>
      </c>
      <c r="K6746" t="inlineStr">
        <is>
          <t>CUIVRE</t>
        </is>
      </c>
      <c r="L6746">
        <f>_xlfn.XLOOKUP(Tableau1[[#This Row],[TYPE DE PIECE]],Tableau4[MATIERE],Tableau4[SHORT TYPE],"",0,1)</f>
        <v/>
      </c>
      <c r="N6746">
        <f>IF(ISERR(FIND("DECOUPE",Tableau1[[#This Row],[DESIGNATION]])),"","NEED REF")</f>
        <v/>
      </c>
    </row>
    <row r="6747">
      <c r="B6747" t="n">
        <v>34407258</v>
      </c>
      <c r="C6747" s="2" t="n">
        <v>43434</v>
      </c>
      <c r="E6747" t="inlineStr">
        <is>
          <t>COROS LOAD L1</t>
        </is>
      </c>
      <c r="F6747" t="inlineStr">
        <is>
          <t>DATA 4</t>
        </is>
      </c>
      <c r="J6747" t="inlineStr">
        <is>
          <t>ROBERT</t>
        </is>
      </c>
      <c r="K6747" t="inlineStr">
        <is>
          <t>CUIVRE</t>
        </is>
      </c>
      <c r="L6747">
        <f>_xlfn.XLOOKUP(Tableau1[[#This Row],[TYPE DE PIECE]],Tableau4[MATIERE],Tableau4[SHORT TYPE],"",0,1)</f>
        <v/>
      </c>
      <c r="N6747">
        <f>IF(ISERR(FIND("DECOUPE",Tableau1[[#This Row],[DESIGNATION]])),"","NEED REF")</f>
        <v/>
      </c>
    </row>
    <row r="6748">
      <c r="B6748" t="n">
        <v>34407257</v>
      </c>
      <c r="C6748" s="2" t="n">
        <v>43434</v>
      </c>
      <c r="E6748" t="inlineStr">
        <is>
          <t>COROS  MAINS L1-L3</t>
        </is>
      </c>
      <c r="F6748" t="inlineStr">
        <is>
          <t>DATA 4</t>
        </is>
      </c>
      <c r="J6748" t="inlineStr">
        <is>
          <t>ROBERT</t>
        </is>
      </c>
      <c r="K6748" t="inlineStr">
        <is>
          <t>CUIVRE</t>
        </is>
      </c>
      <c r="L6748">
        <f>_xlfn.XLOOKUP(Tableau1[[#This Row],[TYPE DE PIECE]],Tableau4[MATIERE],Tableau4[SHORT TYPE],"",0,1)</f>
        <v/>
      </c>
      <c r="N6748">
        <f>IF(ISERR(FIND("DECOUPE",Tableau1[[#This Row],[DESIGNATION]])),"","NEED REF")</f>
        <v/>
      </c>
    </row>
    <row r="6749">
      <c r="B6749" t="n">
        <v>34407256</v>
      </c>
      <c r="C6749" s="2" t="n">
        <v>43434</v>
      </c>
      <c r="E6749" t="inlineStr">
        <is>
          <t>BAR OF INVERSION UTIL</t>
        </is>
      </c>
      <c r="F6749" t="inlineStr">
        <is>
          <t>DATA 4</t>
        </is>
      </c>
      <c r="J6749" t="inlineStr">
        <is>
          <t>ROBERT</t>
        </is>
      </c>
      <c r="K6749" t="inlineStr">
        <is>
          <t>CUIVRE</t>
        </is>
      </c>
      <c r="L6749">
        <f>_xlfn.XLOOKUP(Tableau1[[#This Row],[TYPE DE PIECE]],Tableau4[MATIERE],Tableau4[SHORT TYPE],"",0,1)</f>
        <v/>
      </c>
      <c r="N6749">
        <f>IF(ISERR(FIND("DECOUPE",Tableau1[[#This Row],[DESIGNATION]])),"","NEED REF")</f>
        <v/>
      </c>
    </row>
    <row r="6750">
      <c r="B6750" t="n">
        <v>34407255</v>
      </c>
      <c r="C6750" s="2" t="n">
        <v>43434</v>
      </c>
      <c r="E6750" t="inlineStr">
        <is>
          <t>BAR OF INVERSION MAINS L3/L1</t>
        </is>
      </c>
      <c r="F6750" t="inlineStr">
        <is>
          <t>DATA 4</t>
        </is>
      </c>
      <c r="J6750" t="inlineStr">
        <is>
          <t>ROBERT</t>
        </is>
      </c>
      <c r="K6750" t="inlineStr">
        <is>
          <t>CUIVRE</t>
        </is>
      </c>
      <c r="L6750">
        <f>_xlfn.XLOOKUP(Tableau1[[#This Row],[TYPE DE PIECE]],Tableau4[MATIERE],Tableau4[SHORT TYPE],"",0,1)</f>
        <v/>
      </c>
      <c r="N6750">
        <f>IF(ISERR(FIND("DECOUPE",Tableau1[[#This Row],[DESIGNATION]])),"","NEED REF")</f>
        <v/>
      </c>
    </row>
    <row r="6751">
      <c r="B6751" t="n">
        <v>34407254</v>
      </c>
      <c r="C6751" s="2" t="n">
        <v>43434</v>
      </c>
      <c r="E6751" t="inlineStr">
        <is>
          <t>BAR OF INVERSION MAINS L1/L3</t>
        </is>
      </c>
      <c r="F6751" t="inlineStr">
        <is>
          <t>DATA 4</t>
        </is>
      </c>
      <c r="J6751" t="inlineStr">
        <is>
          <t>ROBERT</t>
        </is>
      </c>
      <c r="K6751" t="inlineStr">
        <is>
          <t>CUIVRE</t>
        </is>
      </c>
      <c r="L6751">
        <f>_xlfn.XLOOKUP(Tableau1[[#This Row],[TYPE DE PIECE]],Tableau4[MATIERE],Tableau4[SHORT TYPE],"",0,1)</f>
        <v/>
      </c>
      <c r="N6751">
        <f>IF(ISERR(FIND("DECOUPE",Tableau1[[#This Row],[DESIGNATION]])),"","NEED REF")</f>
        <v/>
      </c>
    </row>
    <row r="6752">
      <c r="B6752" t="n">
        <v>34407253</v>
      </c>
      <c r="C6752" s="2" t="n">
        <v>43432</v>
      </c>
      <c r="E6752" t="inlineStr">
        <is>
          <t>SMT PLASTRON SECONDAIRE</t>
        </is>
      </c>
      <c r="F6752" t="inlineStr">
        <is>
          <t>REGEN BOX 125A</t>
        </is>
      </c>
      <c r="J6752" t="inlineStr">
        <is>
          <t>MATRION</t>
        </is>
      </c>
      <c r="K6752" t="inlineStr">
        <is>
          <t>METAL</t>
        </is>
      </c>
      <c r="L6752">
        <f>_xlfn.XLOOKUP(Tableau1[[#This Row],[TYPE DE PIECE]],Tableau4[MATIERE],Tableau4[SHORT TYPE],"",0,1)</f>
        <v/>
      </c>
      <c r="N6752">
        <f>IF(ISERR(FIND("DECOUPE",Tableau1[[#This Row],[DESIGNATION]])),"","NEED REF")</f>
        <v/>
      </c>
    </row>
    <row r="6753">
      <c r="B6753" t="n">
        <v>34407252</v>
      </c>
      <c r="C6753" s="2" t="n">
        <v>43432</v>
      </c>
      <c r="E6753" t="inlineStr">
        <is>
          <t>SMT PLASTRON PRINCIPAL</t>
        </is>
      </c>
      <c r="F6753" t="inlineStr">
        <is>
          <t>REGEN BOX 125A</t>
        </is>
      </c>
      <c r="J6753" t="inlineStr">
        <is>
          <t>MATRION</t>
        </is>
      </c>
      <c r="K6753" t="inlineStr">
        <is>
          <t>METAL</t>
        </is>
      </c>
      <c r="L6753">
        <f>_xlfn.XLOOKUP(Tableau1[[#This Row],[TYPE DE PIECE]],Tableau4[MATIERE],Tableau4[SHORT TYPE],"",0,1)</f>
        <v/>
      </c>
      <c r="N6753">
        <f>IF(ISERR(FIND("DECOUPE",Tableau1[[#This Row],[DESIGNATION]])),"","NEED REF")</f>
        <v/>
      </c>
    </row>
    <row r="6754">
      <c r="B6754" t="n">
        <v>34407251</v>
      </c>
      <c r="C6754" s="2" t="n">
        <v>43432</v>
      </c>
      <c r="E6754" t="inlineStr">
        <is>
          <t>SMT SUPPORT DROIT PLASTRON</t>
        </is>
      </c>
      <c r="F6754" t="inlineStr">
        <is>
          <t>REGEN BOX 125A</t>
        </is>
      </c>
      <c r="J6754" t="inlineStr">
        <is>
          <t>MATRION</t>
        </is>
      </c>
      <c r="K6754" t="inlineStr">
        <is>
          <t>METAL</t>
        </is>
      </c>
      <c r="L6754">
        <f>_xlfn.XLOOKUP(Tableau1[[#This Row],[TYPE DE PIECE]],Tableau4[MATIERE],Tableau4[SHORT TYPE],"",0,1)</f>
        <v/>
      </c>
      <c r="N6754">
        <f>IF(ISERR(FIND("DECOUPE",Tableau1[[#This Row],[DESIGNATION]])),"","NEED REF")</f>
        <v/>
      </c>
    </row>
    <row r="6755">
      <c r="B6755" t="n">
        <v>34407250</v>
      </c>
      <c r="C6755" s="2" t="n">
        <v>43432</v>
      </c>
      <c r="E6755" t="inlineStr">
        <is>
          <t>SMT SUPPORT GAUCHE PLASTRON</t>
        </is>
      </c>
      <c r="F6755" t="inlineStr">
        <is>
          <t>REGEN BOX 125A</t>
        </is>
      </c>
      <c r="J6755" t="inlineStr">
        <is>
          <t>MATRION</t>
        </is>
      </c>
      <c r="K6755" t="inlineStr">
        <is>
          <t>METAL</t>
        </is>
      </c>
      <c r="L6755">
        <f>_xlfn.XLOOKUP(Tableau1[[#This Row],[TYPE DE PIECE]],Tableau4[MATIERE],Tableau4[SHORT TYPE],"",0,1)</f>
        <v/>
      </c>
      <c r="N6755">
        <f>IF(ISERR(FIND("DECOUPE",Tableau1[[#This Row],[DESIGNATION]])),"","NEED REF")</f>
        <v/>
      </c>
    </row>
    <row r="6756">
      <c r="B6756" t="n">
        <v>34407249</v>
      </c>
      <c r="C6756" s="2" t="n">
        <v>43432</v>
      </c>
      <c r="E6756" t="inlineStr">
        <is>
          <t>COFFRET NSYS3D10840 REGENBOX</t>
        </is>
      </c>
      <c r="F6756" t="inlineStr">
        <is>
          <t>REGEN BOX 125A</t>
        </is>
      </c>
      <c r="J6756" t="inlineStr">
        <is>
          <t>MATRION</t>
        </is>
      </c>
      <c r="K6756" t="inlineStr">
        <is>
          <t>METAL</t>
        </is>
      </c>
      <c r="L6756">
        <f>_xlfn.XLOOKUP(Tableau1[[#This Row],[TYPE DE PIECE]],Tableau4[MATIERE],Tableau4[SHORT TYPE],"",0,1)</f>
        <v/>
      </c>
      <c r="N6756">
        <f>IF(ISERR(FIND("DECOUPE",Tableau1[[#This Row],[DESIGNATION]])),"","NEED REF")</f>
        <v/>
      </c>
    </row>
    <row r="6757">
      <c r="B6757" t="n">
        <v>34407248</v>
      </c>
      <c r="C6757" s="2" t="n">
        <v>43432</v>
      </c>
      <c r="E6757" t="inlineStr">
        <is>
          <t>SMT CABLES SUPPORT</t>
        </is>
      </c>
      <c r="F6757" t="inlineStr">
        <is>
          <t>REGEN BOX 125A</t>
        </is>
      </c>
      <c r="J6757" t="inlineStr">
        <is>
          <t>MATRION</t>
        </is>
      </c>
      <c r="K6757" t="inlineStr">
        <is>
          <t>METAL</t>
        </is>
      </c>
      <c r="L6757">
        <f>_xlfn.XLOOKUP(Tableau1[[#This Row],[TYPE DE PIECE]],Tableau4[MATIERE],Tableau4[SHORT TYPE],"",0,1)</f>
        <v/>
      </c>
      <c r="N6757">
        <f>IF(ISERR(FIND("DECOUPE",Tableau1[[#This Row],[DESIGNATION]])),"","NEED REF")</f>
        <v/>
      </c>
    </row>
    <row r="6758">
      <c r="B6758" t="n">
        <v>34407247</v>
      </c>
      <c r="C6758" s="2" t="n">
        <v>43432</v>
      </c>
      <c r="E6758" t="inlineStr">
        <is>
          <t>SMT SUPPORT INS</t>
        </is>
      </c>
      <c r="F6758" t="inlineStr">
        <is>
          <t>REGEN BOX 125A</t>
        </is>
      </c>
      <c r="J6758" t="inlineStr">
        <is>
          <t>MATRION</t>
        </is>
      </c>
      <c r="K6758" t="inlineStr">
        <is>
          <t>METAL</t>
        </is>
      </c>
      <c r="L6758">
        <f>_xlfn.XLOOKUP(Tableau1[[#This Row],[TYPE DE PIECE]],Tableau4[MATIERE],Tableau4[SHORT TYPE],"",0,1)</f>
        <v/>
      </c>
      <c r="N6758">
        <f>IF(ISERR(FIND("DECOUPE",Tableau1[[#This Row],[DESIGNATION]])),"","NEED REF")</f>
        <v/>
      </c>
    </row>
    <row r="6759">
      <c r="B6759" t="n">
        <v>34407246</v>
      </c>
      <c r="C6759" s="2" t="n">
        <v>43432</v>
      </c>
      <c r="D6759" t="inlineStr">
        <is>
          <t>SPEC</t>
        </is>
      </c>
      <c r="E6759" t="inlineStr">
        <is>
          <t>GABARITS DE PERCAGE POUR AIMANT UNC6-667-9999</t>
        </is>
      </c>
      <c r="F6759" t="inlineStr">
        <is>
          <t>G6K 400-450Kva - ST CROLLES</t>
        </is>
      </c>
      <c r="J6759" t="inlineStr">
        <is>
          <t>ROBERT</t>
        </is>
      </c>
      <c r="K6759" t="inlineStr">
        <is>
          <t>METAL</t>
        </is>
      </c>
      <c r="L6759">
        <f>_xlfn.XLOOKUP(Tableau1[[#This Row],[TYPE DE PIECE]],Tableau4[MATIERE],Tableau4[SHORT TYPE],"",0,1)</f>
        <v/>
      </c>
      <c r="N6759">
        <f>IF(ISERR(FIND("DECOUPE",Tableau1[[#This Row],[DESIGNATION]])),"","NEED REF")</f>
        <v/>
      </c>
    </row>
    <row r="6760">
      <c r="B6760" t="n">
        <v>34407245</v>
      </c>
      <c r="C6760" s="2" t="n">
        <v>43430</v>
      </c>
      <c r="E6760" t="inlineStr">
        <is>
          <t>SMT CHEMINEMENT NAPPE</t>
        </is>
      </c>
      <c r="F6760" t="inlineStr">
        <is>
          <t>REGEN BOX 125A</t>
        </is>
      </c>
      <c r="J6760" t="inlineStr">
        <is>
          <t>MATRION</t>
        </is>
      </c>
      <c r="K6760" t="inlineStr">
        <is>
          <t>METAL</t>
        </is>
      </c>
      <c r="L6760">
        <f>_xlfn.XLOOKUP(Tableau1[[#This Row],[TYPE DE PIECE]],Tableau4[MATIERE],Tableau4[SHORT TYPE],"",0,1)</f>
        <v/>
      </c>
      <c r="N6760">
        <f>IF(ISERR(FIND("DECOUPE",Tableau1[[#This Row],[DESIGNATION]])),"","NEED REF")</f>
        <v/>
      </c>
    </row>
    <row r="6761">
      <c r="B6761" t="n">
        <v>34407244</v>
      </c>
      <c r="C6761" s="2" t="n">
        <v>43430</v>
      </c>
      <c r="E6761" t="inlineStr">
        <is>
          <t>SMT HOTTE VENTILATION</t>
        </is>
      </c>
      <c r="F6761" t="inlineStr">
        <is>
          <t>REGEN BOX 125A</t>
        </is>
      </c>
      <c r="J6761" t="inlineStr">
        <is>
          <t>MATRION</t>
        </is>
      </c>
      <c r="K6761" t="inlineStr">
        <is>
          <t>METAL</t>
        </is>
      </c>
      <c r="L6761">
        <f>_xlfn.XLOOKUP(Tableau1[[#This Row],[TYPE DE PIECE]],Tableau4[MATIERE],Tableau4[SHORT TYPE],"",0,1)</f>
        <v/>
      </c>
      <c r="N6761">
        <f>IF(ISERR(FIND("DECOUPE",Tableau1[[#This Row],[DESIGNATION]])),"","NEED REF")</f>
        <v/>
      </c>
    </row>
    <row r="6762">
      <c r="B6762" t="n">
        <v>34407243</v>
      </c>
      <c r="C6762" s="2" t="n">
        <v>43425</v>
      </c>
      <c r="E6762" t="inlineStr">
        <is>
          <t>SMT SUPPORT 2 EXTRACTION ET TUNNEL</t>
        </is>
      </c>
      <c r="F6762" t="inlineStr">
        <is>
          <t>REGEN BOX 125A</t>
        </is>
      </c>
      <c r="J6762" t="inlineStr">
        <is>
          <t>MATRION</t>
        </is>
      </c>
      <c r="K6762" t="inlineStr">
        <is>
          <t>METAL</t>
        </is>
      </c>
      <c r="L6762">
        <f>_xlfn.XLOOKUP(Tableau1[[#This Row],[TYPE DE PIECE]],Tableau4[MATIERE],Tableau4[SHORT TYPE],"",0,1)</f>
        <v/>
      </c>
      <c r="N6762">
        <f>IF(ISERR(FIND("DECOUPE",Tableau1[[#This Row],[DESIGNATION]])),"","NEED REF")</f>
        <v/>
      </c>
    </row>
    <row r="6763">
      <c r="B6763" t="n">
        <v>34407242</v>
      </c>
      <c r="C6763" s="2" t="n">
        <v>43425</v>
      </c>
      <c r="E6763" t="inlineStr">
        <is>
          <t>SMT SUPPORT 1 EXTRACTION ET TUNNEL</t>
        </is>
      </c>
      <c r="F6763" t="inlineStr">
        <is>
          <t>REGEN BOX 125A</t>
        </is>
      </c>
      <c r="J6763" t="inlineStr">
        <is>
          <t>MATRION</t>
        </is>
      </c>
      <c r="K6763" t="inlineStr">
        <is>
          <t>METAL</t>
        </is>
      </c>
      <c r="L6763">
        <f>_xlfn.XLOOKUP(Tableau1[[#This Row],[TYPE DE PIECE]],Tableau4[MATIERE],Tableau4[SHORT TYPE],"",0,1)</f>
        <v/>
      </c>
      <c r="N6763">
        <f>IF(ISERR(FIND("DECOUPE",Tableau1[[#This Row],[DESIGNATION]])),"","NEED REF")</f>
        <v/>
      </c>
    </row>
    <row r="6764">
      <c r="B6764" t="n">
        <v>34407241</v>
      </c>
      <c r="C6764" s="2" t="n">
        <v>43425</v>
      </c>
      <c r="E6764" t="inlineStr">
        <is>
          <t>SMT GRILLE EXTRACTION AIR</t>
        </is>
      </c>
      <c r="F6764" t="inlineStr">
        <is>
          <t>REGEN BOX 125A</t>
        </is>
      </c>
      <c r="J6764" t="inlineStr">
        <is>
          <t>MATRION</t>
        </is>
      </c>
      <c r="K6764" t="inlineStr">
        <is>
          <t>METAL</t>
        </is>
      </c>
      <c r="L6764">
        <f>_xlfn.XLOOKUP(Tableau1[[#This Row],[TYPE DE PIECE]],Tableau4[MATIERE],Tableau4[SHORT TYPE],"",0,1)</f>
        <v/>
      </c>
      <c r="N6764">
        <f>IF(ISERR(FIND("DECOUPE",Tableau1[[#This Row],[DESIGNATION]])),"","NEED REF")</f>
        <v/>
      </c>
    </row>
    <row r="6765">
      <c r="B6765" t="n">
        <v>34407240</v>
      </c>
      <c r="C6765" s="2" t="n">
        <v>43425</v>
      </c>
      <c r="E6765" t="inlineStr">
        <is>
          <t>SMT SUPPORT VENTILATEUR</t>
        </is>
      </c>
      <c r="F6765" t="inlineStr">
        <is>
          <t>REGEN BOX 125A</t>
        </is>
      </c>
      <c r="J6765" t="inlineStr">
        <is>
          <t>MATRION</t>
        </is>
      </c>
      <c r="K6765" t="inlineStr">
        <is>
          <t>METAL</t>
        </is>
      </c>
      <c r="L6765">
        <f>_xlfn.XLOOKUP(Tableau1[[#This Row],[TYPE DE PIECE]],Tableau4[MATIERE],Tableau4[SHORT TYPE],"",0,1)</f>
        <v/>
      </c>
      <c r="N6765">
        <f>IF(ISERR(FIND("DECOUPE",Tableau1[[#This Row],[DESIGNATION]])),"","NEED REF")</f>
        <v/>
      </c>
    </row>
    <row r="6766">
      <c r="B6766" t="n">
        <v>34407239</v>
      </c>
      <c r="C6766" s="2" t="n">
        <v>43425</v>
      </c>
      <c r="D6766" t="inlineStr">
        <is>
          <t>NOM</t>
        </is>
      </c>
      <c r="E6766" t="inlineStr">
        <is>
          <t>NOM MODULE THYRISTOR</t>
        </is>
      </c>
      <c r="F6766" t="inlineStr">
        <is>
          <t>REGEN BOX 125A</t>
        </is>
      </c>
      <c r="J6766" t="inlineStr">
        <is>
          <t>MATRION</t>
        </is>
      </c>
      <c r="L6766">
        <f>_xlfn.XLOOKUP(Tableau1[[#This Row],[TYPE DE PIECE]],Tableau4[MATIERE],Tableau4[SHORT TYPE],"",0,1)</f>
        <v/>
      </c>
      <c r="N6766">
        <f>IF(ISERR(FIND("DECOUPE",Tableau1[[#This Row],[DESIGNATION]])),"","NEED REF")</f>
        <v/>
      </c>
    </row>
    <row r="6767">
      <c r="B6767" t="n">
        <v>34407238</v>
      </c>
      <c r="C6767" s="2" t="n">
        <v>43425</v>
      </c>
      <c r="E6767" t="inlineStr">
        <is>
          <t>SMT TUNNEL MODULE THYRISTOR</t>
        </is>
      </c>
      <c r="F6767" t="inlineStr">
        <is>
          <t>REGEN BOX 125A</t>
        </is>
      </c>
      <c r="J6767" t="inlineStr">
        <is>
          <t>MATRION</t>
        </is>
      </c>
      <c r="K6767" t="inlineStr">
        <is>
          <t>METAL</t>
        </is>
      </c>
      <c r="L6767">
        <f>_xlfn.XLOOKUP(Tableau1[[#This Row],[TYPE DE PIECE]],Tableau4[MATIERE],Tableau4[SHORT TYPE],"",0,1)</f>
        <v/>
      </c>
      <c r="N6767">
        <f>IF(ISERR(FIND("DECOUPE",Tableau1[[#This Row],[DESIGNATION]])),"","NEED REF")</f>
        <v/>
      </c>
    </row>
    <row r="6768">
      <c r="B6768" t="n">
        <v>34407237</v>
      </c>
      <c r="C6768" s="2" t="n">
        <v>43425</v>
      </c>
      <c r="E6768" t="inlineStr">
        <is>
          <t>SMT GLISSIERE MODULE THYRISTOR</t>
        </is>
      </c>
      <c r="F6768" t="inlineStr">
        <is>
          <t>REGEN BOX 125A</t>
        </is>
      </c>
      <c r="J6768" t="inlineStr">
        <is>
          <t>MATRION</t>
        </is>
      </c>
      <c r="K6768" t="inlineStr">
        <is>
          <t>METAL</t>
        </is>
      </c>
      <c r="L6768">
        <f>_xlfn.XLOOKUP(Tableau1[[#This Row],[TYPE DE PIECE]],Tableau4[MATIERE],Tableau4[SHORT TYPE],"",0,1)</f>
        <v/>
      </c>
      <c r="N6768">
        <f>IF(ISERR(FIND("DECOUPE",Tableau1[[#This Row],[DESIGNATION]])),"","NEED REF")</f>
        <v/>
      </c>
    </row>
    <row r="6769">
      <c r="B6769" t="n">
        <v>34407236</v>
      </c>
      <c r="C6769" s="2" t="n">
        <v>43425</v>
      </c>
      <c r="E6769" t="inlineStr">
        <is>
          <t>SMT PLATINE DE FOND</t>
        </is>
      </c>
      <c r="F6769" t="inlineStr">
        <is>
          <t>REGEN BOX 125A</t>
        </is>
      </c>
      <c r="J6769" t="inlineStr">
        <is>
          <t>MATRION</t>
        </is>
      </c>
      <c r="K6769" t="inlineStr">
        <is>
          <t>METAL</t>
        </is>
      </c>
      <c r="L6769">
        <f>_xlfn.XLOOKUP(Tableau1[[#This Row],[TYPE DE PIECE]],Tableau4[MATIERE],Tableau4[SHORT TYPE],"",0,1)</f>
        <v/>
      </c>
      <c r="N6769">
        <f>IF(ISERR(FIND("DECOUPE",Tableau1[[#This Row],[DESIGNATION]])),"","NEED REF")</f>
        <v/>
      </c>
    </row>
    <row r="6770">
      <c r="B6770" t="n">
        <v>34407235</v>
      </c>
      <c r="C6770" s="2" t="n">
        <v>43425</v>
      </c>
      <c r="E6770" t="inlineStr">
        <is>
          <t>ST USINAGE RADIATEUR 903-3103 - 177AB1500B ABL</t>
        </is>
      </c>
      <c r="F6770" t="inlineStr">
        <is>
          <t>REGEN BOX 125A</t>
        </is>
      </c>
      <c r="J6770" t="inlineStr">
        <is>
          <t>MATRION</t>
        </is>
      </c>
      <c r="L6770">
        <f>_xlfn.XLOOKUP(Tableau1[[#This Row],[TYPE DE PIECE]],Tableau4[MATIERE],Tableau4[SHORT TYPE],"",0,1)</f>
        <v/>
      </c>
      <c r="N6770">
        <f>IF(ISERR(FIND("DECOUPE",Tableau1[[#This Row],[DESIGNATION]])),"","NEED REF")</f>
        <v/>
      </c>
    </row>
    <row r="6771">
      <c r="B6771" t="n">
        <v>34407234</v>
      </c>
      <c r="C6771" s="2" t="n">
        <v>43424</v>
      </c>
      <c r="E6771" t="inlineStr">
        <is>
          <t>SMT SUPPORT SONDES EXERTHERM 2</t>
        </is>
      </c>
      <c r="F6771" t="inlineStr">
        <is>
          <t>MICROSOFT DUBLIN</t>
        </is>
      </c>
      <c r="J6771" t="inlineStr">
        <is>
          <t>MATRION</t>
        </is>
      </c>
      <c r="K6771" t="inlineStr">
        <is>
          <t>METAL</t>
        </is>
      </c>
      <c r="L6771">
        <f>_xlfn.XLOOKUP(Tableau1[[#This Row],[TYPE DE PIECE]],Tableau4[MATIERE],Tableau4[SHORT TYPE],"",0,1)</f>
        <v/>
      </c>
      <c r="N6771">
        <f>IF(ISERR(FIND("DECOUPE",Tableau1[[#This Row],[DESIGNATION]])),"","NEED REF")</f>
        <v/>
      </c>
    </row>
    <row r="6772">
      <c r="B6772" t="n">
        <v>34407233</v>
      </c>
      <c r="C6772" s="2" t="n">
        <v>43424</v>
      </c>
      <c r="E6772" t="inlineStr">
        <is>
          <t>SMT SUPPORT SONDES EXERTHERM 1</t>
        </is>
      </c>
      <c r="F6772" t="inlineStr">
        <is>
          <t>MICROSOFT DUBLIN</t>
        </is>
      </c>
      <c r="J6772" t="inlineStr">
        <is>
          <t>MATRION</t>
        </is>
      </c>
      <c r="K6772" t="inlineStr">
        <is>
          <t>METAL</t>
        </is>
      </c>
      <c r="L6772">
        <f>_xlfn.XLOOKUP(Tableau1[[#This Row],[TYPE DE PIECE]],Tableau4[MATIERE],Tableau4[SHORT TYPE],"",0,1)</f>
        <v/>
      </c>
      <c r="N6772">
        <f>IF(ISERR(FIND("DECOUPE",Tableau1[[#This Row],[DESIGNATION]])),"","NEED REF")</f>
        <v/>
      </c>
    </row>
    <row r="6773">
      <c r="B6773" t="n">
        <v>34407232</v>
      </c>
      <c r="C6773" s="2" t="n">
        <v>43423</v>
      </c>
      <c r="D6773" t="inlineStr">
        <is>
          <t>NOM</t>
        </is>
      </c>
      <c r="E6773" t="inlineStr">
        <is>
          <t>LEG VISSERIE REPRISE PANNEAUX FINITION G6K 400-450KVA</t>
        </is>
      </c>
      <c r="F6773" t="inlineStr">
        <is>
          <t>ST CROLLES - 676032961</t>
        </is>
      </c>
      <c r="J6773" t="inlineStr">
        <is>
          <t>MONGELLI</t>
        </is>
      </c>
      <c r="L6773">
        <f>_xlfn.XLOOKUP(Tableau1[[#This Row],[TYPE DE PIECE]],Tableau4[MATIERE],Tableau4[SHORT TYPE],"",0,1)</f>
        <v/>
      </c>
      <c r="N6773">
        <f>IF(ISERR(FIND("DECOUPE",Tableau1[[#This Row],[DESIGNATION]])),"","NEED REF")</f>
        <v/>
      </c>
    </row>
    <row r="6774">
      <c r="B6774" t="n">
        <v>34407231</v>
      </c>
      <c r="C6774" s="2" t="n">
        <v>43423</v>
      </c>
      <c r="E6774" t="inlineStr">
        <is>
          <t>SMT SUPPORT TFO BAS</t>
        </is>
      </c>
      <c r="F6774" t="inlineStr">
        <is>
          <t>TOTAL</t>
        </is>
      </c>
      <c r="J6774" t="inlineStr">
        <is>
          <t>MATRION</t>
        </is>
      </c>
      <c r="K6774" t="inlineStr">
        <is>
          <t>METAL</t>
        </is>
      </c>
      <c r="L6774">
        <f>_xlfn.XLOOKUP(Tableau1[[#This Row],[TYPE DE PIECE]],Tableau4[MATIERE],Tableau4[SHORT TYPE],"",0,1)</f>
        <v/>
      </c>
      <c r="N6774">
        <f>IF(ISERR(FIND("DECOUPE",Tableau1[[#This Row],[DESIGNATION]])),"","NEED REF")</f>
        <v/>
      </c>
    </row>
    <row r="6775">
      <c r="B6775" t="n">
        <v>34407230</v>
      </c>
      <c r="C6775" s="2" t="n">
        <v>43418</v>
      </c>
      <c r="E6775" t="inlineStr">
        <is>
          <t>KIT FILERIE STS 1200A</t>
        </is>
      </c>
      <c r="F6775" t="inlineStr">
        <is>
          <t>STS 1200</t>
        </is>
      </c>
      <c r="J6775" t="inlineStr">
        <is>
          <t>ÇAKIR</t>
        </is>
      </c>
      <c r="K6775" t="inlineStr">
        <is>
          <t>Fils, Cables</t>
        </is>
      </c>
      <c r="L6775">
        <f>_xlfn.XLOOKUP(Tableau1[[#This Row],[TYPE DE PIECE]],Tableau4[MATIERE],Tableau4[SHORT TYPE],"",0,1)</f>
        <v/>
      </c>
      <c r="N6775">
        <f>IF(ISERR(FIND("DECOUPE",Tableau1[[#This Row],[DESIGNATION]])),"","NEED REF")</f>
        <v/>
      </c>
    </row>
    <row r="6776">
      <c r="B6776" t="n">
        <v>34407229</v>
      </c>
      <c r="C6776" s="2" t="n">
        <v>43410</v>
      </c>
      <c r="E6776" t="inlineStr">
        <is>
          <t>RESERVE BBC TGAB</t>
        </is>
      </c>
      <c r="L6776">
        <f>_xlfn.XLOOKUP(Tableau1[[#This Row],[TYPE DE PIECE]],Tableau4[MATIERE],Tableau4[SHORT TYPE],"",0,1)</f>
        <v/>
      </c>
      <c r="N6776">
        <f>IF(ISERR(FIND("DECOUPE",Tableau1[[#This Row],[DESIGNATION]])),"","NEED REF")</f>
        <v/>
      </c>
    </row>
    <row r="6777">
      <c r="B6777" t="n">
        <v>34407228</v>
      </c>
      <c r="C6777" s="2" t="n">
        <v>43410</v>
      </c>
      <c r="E6777" t="inlineStr">
        <is>
          <t>RESERVE BBC TGAB</t>
        </is>
      </c>
      <c r="L6777">
        <f>_xlfn.XLOOKUP(Tableau1[[#This Row],[TYPE DE PIECE]],Tableau4[MATIERE],Tableau4[SHORT TYPE],"",0,1)</f>
        <v/>
      </c>
      <c r="N6777">
        <f>IF(ISERR(FIND("DECOUPE",Tableau1[[#This Row],[DESIGNATION]])),"","NEED REF")</f>
        <v/>
      </c>
    </row>
    <row r="6778">
      <c r="B6778" t="n">
        <v>34407227</v>
      </c>
      <c r="C6778" s="2" t="n">
        <v>43410</v>
      </c>
      <c r="E6778" t="inlineStr">
        <is>
          <t>RESERVE BBC TGAB</t>
        </is>
      </c>
      <c r="L6778">
        <f>_xlfn.XLOOKUP(Tableau1[[#This Row],[TYPE DE PIECE]],Tableau4[MATIERE],Tableau4[SHORT TYPE],"",0,1)</f>
        <v/>
      </c>
      <c r="N6778">
        <f>IF(ISERR(FIND("DECOUPE",Tableau1[[#This Row],[DESIGNATION]])),"","NEED REF")</f>
        <v/>
      </c>
    </row>
    <row r="6779">
      <c r="B6779" t="n">
        <v>34407226</v>
      </c>
      <c r="C6779" s="2" t="n">
        <v>43410</v>
      </c>
      <c r="E6779" t="inlineStr">
        <is>
          <t>RESERVE BBC TGAB</t>
        </is>
      </c>
      <c r="L6779">
        <f>_xlfn.XLOOKUP(Tableau1[[#This Row],[TYPE DE PIECE]],Tableau4[MATIERE],Tableau4[SHORT TYPE],"",0,1)</f>
        <v/>
      </c>
      <c r="N6779">
        <f>IF(ISERR(FIND("DECOUPE",Tableau1[[#This Row],[DESIGNATION]])),"","NEED REF")</f>
        <v/>
      </c>
    </row>
    <row r="6780">
      <c r="B6780" t="n">
        <v>34407225</v>
      </c>
      <c r="C6780" s="2" t="n">
        <v>43410</v>
      </c>
      <c r="E6780" t="inlineStr">
        <is>
          <t>RESERVE BBC TGAB</t>
        </is>
      </c>
      <c r="L6780">
        <f>_xlfn.XLOOKUP(Tableau1[[#This Row],[TYPE DE PIECE]],Tableau4[MATIERE],Tableau4[SHORT TYPE],"",0,1)</f>
        <v/>
      </c>
      <c r="N6780">
        <f>IF(ISERR(FIND("DECOUPE",Tableau1[[#This Row],[DESIGNATION]])),"","NEED REF")</f>
        <v/>
      </c>
    </row>
    <row r="6781">
      <c r="B6781" t="n">
        <v>34407224</v>
      </c>
      <c r="C6781" s="2" t="n">
        <v>43410</v>
      </c>
      <c r="E6781" t="inlineStr">
        <is>
          <t>RESERVE BBC TGAB</t>
        </is>
      </c>
      <c r="L6781">
        <f>_xlfn.XLOOKUP(Tableau1[[#This Row],[TYPE DE PIECE]],Tableau4[MATIERE],Tableau4[SHORT TYPE],"",0,1)</f>
        <v/>
      </c>
      <c r="N6781">
        <f>IF(ISERR(FIND("DECOUPE",Tableau1[[#This Row],[DESIGNATION]])),"","NEED REF")</f>
        <v/>
      </c>
    </row>
    <row r="6782">
      <c r="B6782" t="n">
        <v>34407223</v>
      </c>
      <c r="C6782" s="2" t="n">
        <v>43410</v>
      </c>
      <c r="E6782" t="inlineStr">
        <is>
          <t>RESERVE BBC TGAB</t>
        </is>
      </c>
      <c r="L6782">
        <f>_xlfn.XLOOKUP(Tableau1[[#This Row],[TYPE DE PIECE]],Tableau4[MATIERE],Tableau4[SHORT TYPE],"",0,1)</f>
        <v/>
      </c>
      <c r="N6782">
        <f>IF(ISERR(FIND("DECOUPE",Tableau1[[#This Row],[DESIGNATION]])),"","NEED REF")</f>
        <v/>
      </c>
    </row>
    <row r="6783">
      <c r="B6783" t="n">
        <v>34407222</v>
      </c>
      <c r="C6783" s="2" t="n">
        <v>43410</v>
      </c>
      <c r="E6783" t="inlineStr">
        <is>
          <t>RESERVE BBC TGAB</t>
        </is>
      </c>
      <c r="L6783">
        <f>_xlfn.XLOOKUP(Tableau1[[#This Row],[TYPE DE PIECE]],Tableau4[MATIERE],Tableau4[SHORT TYPE],"",0,1)</f>
        <v/>
      </c>
      <c r="N6783">
        <f>IF(ISERR(FIND("DECOUPE",Tableau1[[#This Row],[DESIGNATION]])),"","NEED REF")</f>
        <v/>
      </c>
    </row>
    <row r="6784">
      <c r="B6784" t="n">
        <v>34407221</v>
      </c>
      <c r="C6784" s="2" t="n">
        <v>43410</v>
      </c>
      <c r="E6784" t="inlineStr">
        <is>
          <t>RESERVE BBC TGAB</t>
        </is>
      </c>
      <c r="L6784">
        <f>_xlfn.XLOOKUP(Tableau1[[#This Row],[TYPE DE PIECE]],Tableau4[MATIERE],Tableau4[SHORT TYPE],"",0,1)</f>
        <v/>
      </c>
      <c r="N6784">
        <f>IF(ISERR(FIND("DECOUPE",Tableau1[[#This Row],[DESIGNATION]])),"","NEED REF")</f>
        <v/>
      </c>
    </row>
    <row r="6785">
      <c r="B6785" t="n">
        <v>34407220</v>
      </c>
      <c r="C6785" s="2" t="n">
        <v>43410</v>
      </c>
      <c r="E6785" t="inlineStr">
        <is>
          <t>RESERVE BBC TGAB</t>
        </is>
      </c>
      <c r="L6785">
        <f>_xlfn.XLOOKUP(Tableau1[[#This Row],[TYPE DE PIECE]],Tableau4[MATIERE],Tableau4[SHORT TYPE],"",0,1)</f>
        <v/>
      </c>
      <c r="N6785">
        <f>IF(ISERR(FIND("DECOUPE",Tableau1[[#This Row],[DESIGNATION]])),"","NEED REF")</f>
        <v/>
      </c>
    </row>
    <row r="6786">
      <c r="B6786" t="n">
        <v>34407219</v>
      </c>
      <c r="C6786" s="2" t="n">
        <v>43410</v>
      </c>
      <c r="E6786" t="inlineStr">
        <is>
          <t>RESERVE BBC TGAB</t>
        </is>
      </c>
      <c r="L6786">
        <f>_xlfn.XLOOKUP(Tableau1[[#This Row],[TYPE DE PIECE]],Tableau4[MATIERE],Tableau4[SHORT TYPE],"",0,1)</f>
        <v/>
      </c>
      <c r="N6786">
        <f>IF(ISERR(FIND("DECOUPE",Tableau1[[#This Row],[DESIGNATION]])),"","NEED REF")</f>
        <v/>
      </c>
    </row>
    <row r="6787">
      <c r="B6787" t="n">
        <v>34407218</v>
      </c>
      <c r="C6787" s="2" t="n">
        <v>43410</v>
      </c>
      <c r="E6787" t="inlineStr">
        <is>
          <t>RESERVE BBC TGAB</t>
        </is>
      </c>
      <c r="L6787">
        <f>_xlfn.XLOOKUP(Tableau1[[#This Row],[TYPE DE PIECE]],Tableau4[MATIERE],Tableau4[SHORT TYPE],"",0,1)</f>
        <v/>
      </c>
      <c r="N6787">
        <f>IF(ISERR(FIND("DECOUPE",Tableau1[[#This Row],[DESIGNATION]])),"","NEED REF")</f>
        <v/>
      </c>
    </row>
    <row r="6788">
      <c r="B6788" t="n">
        <v>34407217</v>
      </c>
      <c r="C6788" s="2" t="n">
        <v>43410</v>
      </c>
      <c r="E6788" t="inlineStr">
        <is>
          <t>RESERVE BBC TGAB</t>
        </is>
      </c>
      <c r="L6788">
        <f>_xlfn.XLOOKUP(Tableau1[[#This Row],[TYPE DE PIECE]],Tableau4[MATIERE],Tableau4[SHORT TYPE],"",0,1)</f>
        <v/>
      </c>
      <c r="N6788">
        <f>IF(ISERR(FIND("DECOUPE",Tableau1[[#This Row],[DESIGNATION]])),"","NEED REF")</f>
        <v/>
      </c>
    </row>
    <row r="6789">
      <c r="B6789" t="n">
        <v>34407216</v>
      </c>
      <c r="C6789" s="2" t="n">
        <v>43410</v>
      </c>
      <c r="E6789" t="inlineStr">
        <is>
          <t>RESERVE BBC TGAB</t>
        </is>
      </c>
      <c r="L6789">
        <f>_xlfn.XLOOKUP(Tableau1[[#This Row],[TYPE DE PIECE]],Tableau4[MATIERE],Tableau4[SHORT TYPE],"",0,1)</f>
        <v/>
      </c>
      <c r="N6789">
        <f>IF(ISERR(FIND("DECOUPE",Tableau1[[#This Row],[DESIGNATION]])),"","NEED REF")</f>
        <v/>
      </c>
    </row>
    <row r="6790">
      <c r="B6790" t="n">
        <v>34407215</v>
      </c>
      <c r="C6790" s="2" t="n">
        <v>43410</v>
      </c>
      <c r="E6790" t="inlineStr">
        <is>
          <t>RESERVE BBC TGAB</t>
        </is>
      </c>
      <c r="L6790">
        <f>_xlfn.XLOOKUP(Tableau1[[#This Row],[TYPE DE PIECE]],Tableau4[MATIERE],Tableau4[SHORT TYPE],"",0,1)</f>
        <v/>
      </c>
      <c r="N6790">
        <f>IF(ISERR(FIND("DECOUPE",Tableau1[[#This Row],[DESIGNATION]])),"","NEED REF")</f>
        <v/>
      </c>
    </row>
    <row r="6791">
      <c r="B6791" t="n">
        <v>34407214</v>
      </c>
      <c r="C6791" s="2" t="n">
        <v>43410</v>
      </c>
      <c r="E6791" t="inlineStr">
        <is>
          <t>RESERVE BBC TGAB</t>
        </is>
      </c>
      <c r="L6791">
        <f>_xlfn.XLOOKUP(Tableau1[[#This Row],[TYPE DE PIECE]],Tableau4[MATIERE],Tableau4[SHORT TYPE],"",0,1)</f>
        <v/>
      </c>
      <c r="N6791">
        <f>IF(ISERR(FIND("DECOUPE",Tableau1[[#This Row],[DESIGNATION]])),"","NEED REF")</f>
        <v/>
      </c>
    </row>
    <row r="6792">
      <c r="B6792" t="n">
        <v>34407213</v>
      </c>
      <c r="C6792" s="2" t="n">
        <v>43410</v>
      </c>
      <c r="E6792" t="inlineStr">
        <is>
          <t>RESERVE BBC TGAB</t>
        </is>
      </c>
      <c r="L6792">
        <f>_xlfn.XLOOKUP(Tableau1[[#This Row],[TYPE DE PIECE]],Tableau4[MATIERE],Tableau4[SHORT TYPE],"",0,1)</f>
        <v/>
      </c>
      <c r="N6792">
        <f>IF(ISERR(FIND("DECOUPE",Tableau1[[#This Row],[DESIGNATION]])),"","NEED REF")</f>
        <v/>
      </c>
    </row>
    <row r="6793">
      <c r="B6793" t="n">
        <v>34407212</v>
      </c>
      <c r="C6793" s="2" t="n">
        <v>43410</v>
      </c>
      <c r="E6793" t="inlineStr">
        <is>
          <t>SMT DEMI TUNNEL NW40DC</t>
        </is>
      </c>
      <c r="L6793">
        <f>_xlfn.XLOOKUP(Tableau1[[#This Row],[TYPE DE PIECE]],Tableau4[MATIERE],Tableau4[SHORT TYPE],"",0,1)</f>
        <v/>
      </c>
      <c r="N6793">
        <f>IF(ISERR(FIND("DECOUPE",Tableau1[[#This Row],[DESIGNATION]])),"","NEED REF")</f>
        <v/>
      </c>
    </row>
    <row r="6794">
      <c r="B6794" t="n">
        <v>34407211</v>
      </c>
      <c r="C6794" s="2" t="n">
        <v>43410</v>
      </c>
      <c r="E6794" t="inlineStr">
        <is>
          <t>SMT TOIT KTA</t>
        </is>
      </c>
      <c r="L6794">
        <f>_xlfn.XLOOKUP(Tableau1[[#This Row],[TYPE DE PIECE]],Tableau4[MATIERE],Tableau4[SHORT TYPE],"",0,1)</f>
        <v/>
      </c>
      <c r="N6794">
        <f>IF(ISERR(FIND("DECOUPE",Tableau1[[#This Row],[DESIGNATION]])),"","NEED REF")</f>
        <v/>
      </c>
    </row>
    <row r="6795">
      <c r="B6795" t="n">
        <v>34407210</v>
      </c>
      <c r="C6795" s="2" t="n">
        <v>43410</v>
      </c>
      <c r="E6795" t="inlineStr">
        <is>
          <t>SMT TOIT AVANT</t>
        </is>
      </c>
      <c r="L6795">
        <f>_xlfn.XLOOKUP(Tableau1[[#This Row],[TYPE DE PIECE]],Tableau4[MATIERE],Tableau4[SHORT TYPE],"",0,1)</f>
        <v/>
      </c>
      <c r="N6795">
        <f>IF(ISERR(FIND("DECOUPE",Tableau1[[#This Row],[DESIGNATION]])),"","NEED REF")</f>
        <v/>
      </c>
    </row>
    <row r="6796">
      <c r="B6796" t="n">
        <v>34407209</v>
      </c>
      <c r="C6796" s="2" t="n">
        <v>43410</v>
      </c>
      <c r="E6796" t="inlineStr">
        <is>
          <t>SMT PROTECTION SHIELD NW40DC</t>
        </is>
      </c>
      <c r="L6796">
        <f>_xlfn.XLOOKUP(Tableau1[[#This Row],[TYPE DE PIECE]],Tableau4[MATIERE],Tableau4[SHORT TYPE],"",0,1)</f>
        <v/>
      </c>
      <c r="N6796">
        <f>IF(ISERR(FIND("DECOUPE",Tableau1[[#This Row],[DESIGNATION]])),"","NEED REF")</f>
        <v/>
      </c>
    </row>
    <row r="6797">
      <c r="B6797" t="n">
        <v>34407208</v>
      </c>
      <c r="C6797" s="2" t="n">
        <v>43410</v>
      </c>
      <c r="E6797" t="inlineStr">
        <is>
          <t>SMT SUPPORT FU DC</t>
        </is>
      </c>
      <c r="L6797">
        <f>_xlfn.XLOOKUP(Tableau1[[#This Row],[TYPE DE PIECE]],Tableau4[MATIERE],Tableau4[SHORT TYPE],"",0,1)</f>
        <v/>
      </c>
      <c r="N6797">
        <f>IF(ISERR(FIND("DECOUPE",Tableau1[[#This Row],[DESIGNATION]])),"","NEED REF")</f>
        <v/>
      </c>
    </row>
    <row r="6798">
      <c r="B6798" t="n">
        <v>34407207</v>
      </c>
      <c r="C6798" s="2" t="n">
        <v>43410</v>
      </c>
      <c r="E6798" t="inlineStr">
        <is>
          <t>SMT GLISSIERE BOARD ELEC</t>
        </is>
      </c>
      <c r="L6798">
        <f>_xlfn.XLOOKUP(Tableau1[[#This Row],[TYPE DE PIECE]],Tableau4[MATIERE],Tableau4[SHORT TYPE],"",0,1)</f>
        <v/>
      </c>
      <c r="N6798">
        <f>IF(ISERR(FIND("DECOUPE",Tableau1[[#This Row],[DESIGNATION]])),"","NEED REF")</f>
        <v/>
      </c>
    </row>
    <row r="6799">
      <c r="B6799" t="n">
        <v>34407206</v>
      </c>
      <c r="C6799" s="2" t="n">
        <v>43410</v>
      </c>
      <c r="E6799" t="inlineStr">
        <is>
          <t>SMT SUPPORT ELEC BOARD</t>
        </is>
      </c>
      <c r="L6799">
        <f>_xlfn.XLOOKUP(Tableau1[[#This Row],[TYPE DE PIECE]],Tableau4[MATIERE],Tableau4[SHORT TYPE],"",0,1)</f>
        <v/>
      </c>
      <c r="N6799">
        <f>IF(ISERR(FIND("DECOUPE",Tableau1[[#This Row],[DESIGNATION]])),"","NEED REF")</f>
        <v/>
      </c>
    </row>
    <row r="6800">
      <c r="B6800" t="n">
        <v>34407205</v>
      </c>
      <c r="C6800" s="2" t="n">
        <v>43410</v>
      </c>
      <c r="E6800" t="inlineStr">
        <is>
          <t>SMT SUPPORT NW40DC</t>
        </is>
      </c>
      <c r="L6800">
        <f>_xlfn.XLOOKUP(Tableau1[[#This Row],[TYPE DE PIECE]],Tableau4[MATIERE],Tableau4[SHORT TYPE],"",0,1)</f>
        <v/>
      </c>
      <c r="N6800">
        <f>IF(ISERR(FIND("DECOUPE",Tableau1[[#This Row],[DESIGNATION]])),"","NEED REF")</f>
        <v/>
      </c>
    </row>
    <row r="6801">
      <c r="B6801" t="n">
        <v>34407204</v>
      </c>
      <c r="C6801" s="2" t="n">
        <v>43410</v>
      </c>
      <c r="E6801" t="inlineStr">
        <is>
          <t>SMT TRAVERSE NW40DC</t>
        </is>
      </c>
      <c r="L6801">
        <f>_xlfn.XLOOKUP(Tableau1[[#This Row],[TYPE DE PIECE]],Tableau4[MATIERE],Tableau4[SHORT TYPE],"",0,1)</f>
        <v/>
      </c>
      <c r="N6801">
        <f>IF(ISERR(FIND("DECOUPE",Tableau1[[#This Row],[DESIGNATION]])),"","NEED REF")</f>
        <v/>
      </c>
    </row>
    <row r="6802">
      <c r="B6802" t="n">
        <v>34407203</v>
      </c>
      <c r="C6802" s="2" t="n">
        <v>43410</v>
      </c>
      <c r="E6802" t="inlineStr">
        <is>
          <t>RESERVE BBC TGAB</t>
        </is>
      </c>
      <c r="L6802">
        <f>_xlfn.XLOOKUP(Tableau1[[#This Row],[TYPE DE PIECE]],Tableau4[MATIERE],Tableau4[SHORT TYPE],"",0,1)</f>
        <v/>
      </c>
      <c r="N6802">
        <f>IF(ISERR(FIND("DECOUPE",Tableau1[[#This Row],[DESIGNATION]])),"","NEED REF")</f>
        <v/>
      </c>
    </row>
    <row r="6803">
      <c r="B6803" t="n">
        <v>34407202</v>
      </c>
      <c r="C6803" s="2" t="n">
        <v>43410</v>
      </c>
      <c r="E6803" t="inlineStr">
        <is>
          <t>RESERVE BBC TGAB</t>
        </is>
      </c>
      <c r="L6803">
        <f>_xlfn.XLOOKUP(Tableau1[[#This Row],[TYPE DE PIECE]],Tableau4[MATIERE],Tableau4[SHORT TYPE],"",0,1)</f>
        <v/>
      </c>
      <c r="N6803">
        <f>IF(ISERR(FIND("DECOUPE",Tableau1[[#This Row],[DESIGNATION]])),"","NEED REF")</f>
        <v/>
      </c>
    </row>
    <row r="6804">
      <c r="B6804" t="n">
        <v>34407201</v>
      </c>
      <c r="C6804" s="2" t="n">
        <v>43410</v>
      </c>
      <c r="D6804" t="inlineStr">
        <is>
          <t>NOM</t>
        </is>
      </c>
      <c r="E6804" t="inlineStr">
        <is>
          <t>LEG HAUT</t>
        </is>
      </c>
      <c r="F6804" t="inlineStr">
        <is>
          <t>STS 1250A</t>
        </is>
      </c>
      <c r="J6804" t="inlineStr">
        <is>
          <t>PLANTIER</t>
        </is>
      </c>
      <c r="L6804">
        <f>_xlfn.XLOOKUP(Tableau1[[#This Row],[TYPE DE PIECE]],Tableau4[MATIERE],Tableau4[SHORT TYPE],"",0,1)</f>
        <v/>
      </c>
      <c r="N6804">
        <f>IF(ISERR(FIND("DECOUPE",Tableau1[[#This Row],[DESIGNATION]])),"","NEED REF")</f>
        <v/>
      </c>
    </row>
    <row r="6805">
      <c r="B6805" t="n">
        <v>34407200</v>
      </c>
      <c r="C6805" s="2" t="n">
        <v>43410</v>
      </c>
      <c r="D6805" t="inlineStr">
        <is>
          <t>NOM</t>
        </is>
      </c>
      <c r="E6805" t="inlineStr">
        <is>
          <t>LEG MILIEU</t>
        </is>
      </c>
      <c r="F6805" t="inlineStr">
        <is>
          <t>STS 1250A</t>
        </is>
      </c>
      <c r="J6805" t="inlineStr">
        <is>
          <t>PLANTIER</t>
        </is>
      </c>
      <c r="L6805">
        <f>_xlfn.XLOOKUP(Tableau1[[#This Row],[TYPE DE PIECE]],Tableau4[MATIERE],Tableau4[SHORT TYPE],"",0,1)</f>
        <v/>
      </c>
      <c r="N6805">
        <f>IF(ISERR(FIND("DECOUPE",Tableau1[[#This Row],[DESIGNATION]])),"","NEED REF")</f>
        <v/>
      </c>
    </row>
    <row r="6806">
      <c r="B6806" t="n">
        <v>34407199</v>
      </c>
      <c r="C6806" s="2" t="n">
        <v>43410</v>
      </c>
      <c r="D6806" t="inlineStr">
        <is>
          <t>NOM</t>
        </is>
      </c>
      <c r="E6806" t="inlineStr">
        <is>
          <t>LEG BAS + STRUCTURE</t>
        </is>
      </c>
      <c r="F6806" t="inlineStr">
        <is>
          <t>STS 1250A</t>
        </is>
      </c>
      <c r="J6806" t="inlineStr">
        <is>
          <t>PLANTIER</t>
        </is>
      </c>
      <c r="L6806">
        <f>_xlfn.XLOOKUP(Tableau1[[#This Row],[TYPE DE PIECE]],Tableau4[MATIERE],Tableau4[SHORT TYPE],"",0,1)</f>
        <v/>
      </c>
      <c r="N6806">
        <f>IF(ISERR(FIND("DECOUPE",Tableau1[[#This Row],[DESIGNATION]])),"","NEED REF")</f>
        <v/>
      </c>
    </row>
    <row r="6807">
      <c r="B6807" t="n">
        <v>34407198</v>
      </c>
      <c r="C6807" s="2" t="n">
        <v>43410</v>
      </c>
      <c r="D6807" t="inlineStr">
        <is>
          <t>SPEC</t>
        </is>
      </c>
      <c r="E6807" t="inlineStr">
        <is>
          <t>CX BBC KTA 6</t>
        </is>
      </c>
      <c r="J6807" t="inlineStr">
        <is>
          <t>MATRION</t>
        </is>
      </c>
      <c r="K6807" t="inlineStr">
        <is>
          <t>CUIVRE</t>
        </is>
      </c>
      <c r="L6807">
        <f>_xlfn.XLOOKUP(Tableau1[[#This Row],[TYPE DE PIECE]],Tableau4[MATIERE],Tableau4[SHORT TYPE],"",0,1)</f>
        <v/>
      </c>
      <c r="N6807">
        <f>IF(ISERR(FIND("DECOUPE",Tableau1[[#This Row],[DESIGNATION]])),"","NEED REF")</f>
        <v/>
      </c>
    </row>
    <row r="6808">
      <c r="B6808" t="n">
        <v>34407197</v>
      </c>
      <c r="C6808" s="2" t="n">
        <v>43410</v>
      </c>
      <c r="D6808" t="inlineStr">
        <is>
          <t>SPEC</t>
        </is>
      </c>
      <c r="E6808" t="inlineStr">
        <is>
          <t>CX PE KTA 2</t>
        </is>
      </c>
      <c r="J6808" t="inlineStr">
        <is>
          <t>MATRION</t>
        </is>
      </c>
      <c r="K6808" t="inlineStr">
        <is>
          <t>CUIVRE</t>
        </is>
      </c>
      <c r="L6808">
        <f>_xlfn.XLOOKUP(Tableau1[[#This Row],[TYPE DE PIECE]],Tableau4[MATIERE],Tableau4[SHORT TYPE],"",0,1)</f>
        <v/>
      </c>
      <c r="N6808">
        <f>IF(ISERR(FIND("DECOUPE",Tableau1[[#This Row],[DESIGNATION]])),"","NEED REF")</f>
        <v/>
      </c>
    </row>
    <row r="6809">
      <c r="B6809" t="n">
        <v>34407196</v>
      </c>
      <c r="C6809" s="2" t="n">
        <v>43410</v>
      </c>
      <c r="D6809" t="inlineStr">
        <is>
          <t>SPEC</t>
        </is>
      </c>
      <c r="E6809" t="inlineStr">
        <is>
          <t>CX BBC KTA 3</t>
        </is>
      </c>
      <c r="J6809" t="inlineStr">
        <is>
          <t>MATRION</t>
        </is>
      </c>
      <c r="K6809" t="inlineStr">
        <is>
          <t>CUIVRE</t>
        </is>
      </c>
      <c r="L6809">
        <f>_xlfn.XLOOKUP(Tableau1[[#This Row],[TYPE DE PIECE]],Tableau4[MATIERE],Tableau4[SHORT TYPE],"",0,1)</f>
        <v/>
      </c>
      <c r="N6809">
        <f>IF(ISERR(FIND("DECOUPE",Tableau1[[#This Row],[DESIGNATION]])),"","NEED REF")</f>
        <v/>
      </c>
    </row>
    <row r="6810">
      <c r="B6810" t="n">
        <v>34407195</v>
      </c>
      <c r="C6810" s="2" t="n">
        <v>43410</v>
      </c>
      <c r="D6810" t="inlineStr">
        <is>
          <t>SPEC</t>
        </is>
      </c>
      <c r="E6810" t="inlineStr">
        <is>
          <t>CX BBC KTA 2</t>
        </is>
      </c>
      <c r="J6810" t="inlineStr">
        <is>
          <t>MATRION</t>
        </is>
      </c>
      <c r="K6810" t="inlineStr">
        <is>
          <t>CUIVRE</t>
        </is>
      </c>
      <c r="L6810">
        <f>_xlfn.XLOOKUP(Tableau1[[#This Row],[TYPE DE PIECE]],Tableau4[MATIERE],Tableau4[SHORT TYPE],"",0,1)</f>
        <v/>
      </c>
      <c r="N6810">
        <f>IF(ISERR(FIND("DECOUPE",Tableau1[[#This Row],[DESIGNATION]])),"","NEED REF")</f>
        <v/>
      </c>
    </row>
    <row r="6811">
      <c r="B6811" t="n">
        <v>34407194</v>
      </c>
      <c r="C6811" s="2" t="n">
        <v>43410</v>
      </c>
      <c r="D6811" t="inlineStr">
        <is>
          <t>SPEC</t>
        </is>
      </c>
      <c r="E6811" t="inlineStr">
        <is>
          <t>CX PE KTA 1</t>
        </is>
      </c>
      <c r="J6811" t="inlineStr">
        <is>
          <t>MATRION</t>
        </is>
      </c>
      <c r="K6811" t="inlineStr">
        <is>
          <t>CUIVRE</t>
        </is>
      </c>
      <c r="L6811">
        <f>_xlfn.XLOOKUP(Tableau1[[#This Row],[TYPE DE PIECE]],Tableau4[MATIERE],Tableau4[SHORT TYPE],"",0,1)</f>
        <v/>
      </c>
      <c r="N6811">
        <f>IF(ISERR(FIND("DECOUPE",Tableau1[[#This Row],[DESIGNATION]])),"","NEED REF")</f>
        <v/>
      </c>
    </row>
    <row r="6812">
      <c r="B6812" t="n">
        <v>34407193</v>
      </c>
      <c r="C6812" s="2" t="n">
        <v>43410</v>
      </c>
      <c r="D6812" t="inlineStr">
        <is>
          <t>SPEC</t>
        </is>
      </c>
      <c r="E6812" t="inlineStr">
        <is>
          <t>CX BBC KTA 1</t>
        </is>
      </c>
      <c r="J6812" t="inlineStr">
        <is>
          <t>MATRION</t>
        </is>
      </c>
      <c r="K6812" t="inlineStr">
        <is>
          <t>CUIVRE</t>
        </is>
      </c>
      <c r="L6812">
        <f>_xlfn.XLOOKUP(Tableau1[[#This Row],[TYPE DE PIECE]],Tableau4[MATIERE],Tableau4[SHORT TYPE],"",0,1)</f>
        <v/>
      </c>
      <c r="N6812">
        <f>IF(ISERR(FIND("DECOUPE",Tableau1[[#This Row],[DESIGNATION]])),"","NEED REF")</f>
        <v/>
      </c>
    </row>
    <row r="6813">
      <c r="B6813" t="n">
        <v>34407192</v>
      </c>
      <c r="C6813" s="2" t="n">
        <v>43410</v>
      </c>
      <c r="D6813" t="inlineStr">
        <is>
          <t>SPEC</t>
        </is>
      </c>
      <c r="E6813" t="inlineStr">
        <is>
          <t>PRESTATION GNB</t>
        </is>
      </c>
      <c r="F6813" t="inlineStr">
        <is>
          <t>MICROSOFT DUBLIN</t>
        </is>
      </c>
      <c r="J6813" t="inlineStr">
        <is>
          <t>PLANTIER</t>
        </is>
      </c>
      <c r="L6813">
        <f>_xlfn.XLOOKUP(Tableau1[[#This Row],[TYPE DE PIECE]],Tableau4[MATIERE],Tableau4[SHORT TYPE],"",0,1)</f>
        <v/>
      </c>
      <c r="N6813">
        <f>IF(ISERR(FIND("DECOUPE",Tableau1[[#This Row],[DESIGNATION]])),"","NEED REF")</f>
        <v/>
      </c>
    </row>
    <row r="6814">
      <c r="B6814" t="n">
        <v>34407191</v>
      </c>
      <c r="C6814" s="2" t="n">
        <v>43409</v>
      </c>
      <c r="D6814" t="inlineStr">
        <is>
          <t>NOM</t>
        </is>
      </c>
      <c r="E6814" t="inlineStr">
        <is>
          <t>GVM UPS 2HOLES LUG</t>
        </is>
      </c>
      <c r="J6814" t="inlineStr">
        <is>
          <t>MATRION</t>
        </is>
      </c>
      <c r="L6814">
        <f>_xlfn.XLOOKUP(Tableau1[[#This Row],[TYPE DE PIECE]],Tableau4[MATIERE],Tableau4[SHORT TYPE],"",0,1)</f>
        <v/>
      </c>
      <c r="N6814">
        <f>IF(ISERR(FIND("DECOUPE",Tableau1[[#This Row],[DESIGNATION]])),"","NEED REF")</f>
        <v/>
      </c>
    </row>
    <row r="6815">
      <c r="B6815" t="n">
        <v>34407190</v>
      </c>
      <c r="C6815" s="2" t="n">
        <v>43409</v>
      </c>
      <c r="D6815" t="inlineStr">
        <is>
          <t>NOM</t>
        </is>
      </c>
      <c r="E6815" t="inlineStr">
        <is>
          <t>PX UPS 2HOLES LUG</t>
        </is>
      </c>
      <c r="J6815" t="inlineStr">
        <is>
          <t>MATRION</t>
        </is>
      </c>
      <c r="L6815">
        <f>_xlfn.XLOOKUP(Tableau1[[#This Row],[TYPE DE PIECE]],Tableau4[MATIERE],Tableau4[SHORT TYPE],"",0,1)</f>
        <v/>
      </c>
      <c r="N6815">
        <f>IF(ISERR(FIND("DECOUPE",Tableau1[[#This Row],[DESIGNATION]])),"","NEED REF")</f>
        <v/>
      </c>
    </row>
    <row r="6816">
      <c r="B6816" t="n">
        <v>34407189</v>
      </c>
      <c r="C6816" s="2" t="n">
        <v>43409</v>
      </c>
      <c r="D6816" t="inlineStr">
        <is>
          <t>NOM</t>
        </is>
      </c>
      <c r="E6816" t="inlineStr">
        <is>
          <t>GVX 8xBBK 2HOLES LUG</t>
        </is>
      </c>
      <c r="J6816" t="inlineStr">
        <is>
          <t>MATRION</t>
        </is>
      </c>
      <c r="L6816">
        <f>_xlfn.XLOOKUP(Tableau1[[#This Row],[TYPE DE PIECE]],Tableau4[MATIERE],Tableau4[SHORT TYPE],"",0,1)</f>
        <v/>
      </c>
      <c r="N6816">
        <f>IF(ISERR(FIND("DECOUPE",Tableau1[[#This Row],[DESIGNATION]])),"","NEED REF")</f>
        <v/>
      </c>
    </row>
    <row r="6817">
      <c r="B6817" t="n">
        <v>34407188</v>
      </c>
      <c r="C6817" s="2" t="n">
        <v>43409</v>
      </c>
      <c r="D6817" t="inlineStr">
        <is>
          <t>NOM</t>
        </is>
      </c>
      <c r="E6817" t="inlineStr">
        <is>
          <t>GVM BBB 2HOLES LUG</t>
        </is>
      </c>
      <c r="J6817" t="inlineStr">
        <is>
          <t>MATRION</t>
        </is>
      </c>
      <c r="L6817">
        <f>_xlfn.XLOOKUP(Tableau1[[#This Row],[TYPE DE PIECE]],Tableau4[MATIERE],Tableau4[SHORT TYPE],"",0,1)</f>
        <v/>
      </c>
      <c r="N6817">
        <f>IF(ISERR(FIND("DECOUPE",Tableau1[[#This Row],[DESIGNATION]])),"","NEED REF")</f>
        <v/>
      </c>
    </row>
    <row r="6818">
      <c r="B6818" t="n">
        <v>34407187</v>
      </c>
      <c r="C6818" s="2" t="n">
        <v>43409</v>
      </c>
      <c r="D6818" t="inlineStr">
        <is>
          <t>SPEC</t>
        </is>
      </c>
      <c r="E6818" t="inlineStr">
        <is>
          <t>L=800 BOTTOM PANEL - 870-34001658 - WHITE 9003 (SE_WHITE3)</t>
        </is>
      </c>
      <c r="J6818" t="inlineStr">
        <is>
          <t>MATRION</t>
        </is>
      </c>
      <c r="K6818" t="inlineStr">
        <is>
          <t>METAL</t>
        </is>
      </c>
      <c r="L6818">
        <f>_xlfn.XLOOKUP(Tableau1[[#This Row],[TYPE DE PIECE]],Tableau4[MATIERE],Tableau4[SHORT TYPE],"",0,1)</f>
        <v/>
      </c>
      <c r="N6818">
        <f>IF(ISERR(FIND("DECOUPE",Tableau1[[#This Row],[DESIGNATION]])),"","NEED REF")</f>
        <v/>
      </c>
    </row>
    <row r="6819">
      <c r="B6819" t="n">
        <v>34407186</v>
      </c>
      <c r="C6819" s="2" t="n">
        <v>43409</v>
      </c>
      <c r="D6819" t="inlineStr">
        <is>
          <t>SPEC</t>
        </is>
      </c>
      <c r="E6819" t="inlineStr">
        <is>
          <t>L=1000 BOTTOM PANEL - 870-34001659 - WHITE 9003 (SE_WHITE3)</t>
        </is>
      </c>
      <c r="J6819" t="inlineStr">
        <is>
          <t>MATRION</t>
        </is>
      </c>
      <c r="K6819" t="inlineStr">
        <is>
          <t>METAL</t>
        </is>
      </c>
      <c r="L6819">
        <f>_xlfn.XLOOKUP(Tableau1[[#This Row],[TYPE DE PIECE]],Tableau4[MATIERE],Tableau4[SHORT TYPE],"",0,1)</f>
        <v/>
      </c>
      <c r="N6819">
        <f>IF(ISERR(FIND("DECOUPE",Tableau1[[#This Row],[DESIGNATION]])),"","NEED REF")</f>
        <v/>
      </c>
    </row>
    <row r="6820">
      <c r="B6820" t="n">
        <v>34407185</v>
      </c>
      <c r="C6820" s="2" t="n">
        <v>43409</v>
      </c>
      <c r="D6820" t="inlineStr">
        <is>
          <t>SPEC</t>
        </is>
      </c>
      <c r="E6820" t="inlineStr">
        <is>
          <t>L=700 BOTTOM PANEL - 870-34001657 - WHITE 9003 (SE_WHITE3)</t>
        </is>
      </c>
      <c r="J6820" t="inlineStr">
        <is>
          <t>MATRION</t>
        </is>
      </c>
      <c r="K6820" t="inlineStr">
        <is>
          <t>METAL</t>
        </is>
      </c>
      <c r="L6820">
        <f>_xlfn.XLOOKUP(Tableau1[[#This Row],[TYPE DE PIECE]],Tableau4[MATIERE],Tableau4[SHORT TYPE],"",0,1)</f>
        <v/>
      </c>
      <c r="N6820">
        <f>IF(ISERR(FIND("DECOUPE",Tableau1[[#This Row],[DESIGNATION]])),"","NEED REF")</f>
        <v/>
      </c>
    </row>
    <row r="6821">
      <c r="B6821" t="n">
        <v>34407184</v>
      </c>
      <c r="C6821" s="2" t="n">
        <v>43402</v>
      </c>
      <c r="D6821" t="inlineStr">
        <is>
          <t>SPEC</t>
        </is>
      </c>
      <c r="E6821" t="inlineStr">
        <is>
          <t>PROTETION IC60 MINDEF</t>
        </is>
      </c>
      <c r="F6821" t="inlineStr">
        <is>
          <t>GVX BYPASS</t>
        </is>
      </c>
      <c r="J6821" t="inlineStr">
        <is>
          <t>MATRION</t>
        </is>
      </c>
      <c r="K6821" t="inlineStr">
        <is>
          <t>PLASTIQUE</t>
        </is>
      </c>
      <c r="L6821">
        <f>_xlfn.XLOOKUP(Tableau1[[#This Row],[TYPE DE PIECE]],Tableau4[MATIERE],Tableau4[SHORT TYPE],"",0,1)</f>
        <v/>
      </c>
      <c r="N6821">
        <f>IF(ISERR(FIND("DECOUPE",Tableau1[[#This Row],[DESIGNATION]])),"","NEED REF")</f>
        <v/>
      </c>
    </row>
    <row r="6822">
      <c r="B6822" t="n">
        <v>34407183</v>
      </c>
      <c r="C6822" s="2" t="n">
        <v>43402</v>
      </c>
      <c r="D6822" t="inlineStr">
        <is>
          <t>SPEC</t>
        </is>
      </c>
      <c r="E6822" t="inlineStr">
        <is>
          <t>PLASTRON IC60 MINDEF</t>
        </is>
      </c>
      <c r="F6822" t="inlineStr">
        <is>
          <t>GVX BYPASS</t>
        </is>
      </c>
      <c r="J6822" t="inlineStr">
        <is>
          <t>MATRION</t>
        </is>
      </c>
      <c r="K6822" t="inlineStr">
        <is>
          <t>METAL</t>
        </is>
      </c>
      <c r="L6822">
        <f>_xlfn.XLOOKUP(Tableau1[[#This Row],[TYPE DE PIECE]],Tableau4[MATIERE],Tableau4[SHORT TYPE],"",0,1)</f>
        <v/>
      </c>
      <c r="N6822">
        <f>IF(ISERR(FIND("DECOUPE",Tableau1[[#This Row],[DESIGNATION]])),"","NEED REF")</f>
        <v/>
      </c>
    </row>
    <row r="6823">
      <c r="B6823" t="n">
        <v>34407182</v>
      </c>
      <c r="C6823" s="2" t="n">
        <v>43402</v>
      </c>
      <c r="D6823" t="inlineStr">
        <is>
          <t>SPEC</t>
        </is>
      </c>
      <c r="E6823" t="inlineStr">
        <is>
          <t>SUPPORT PR BARRE HORIZONTAL</t>
        </is>
      </c>
      <c r="F6823" t="inlineStr">
        <is>
          <t>BYPASS SAREL 600</t>
        </is>
      </c>
      <c r="J6823" t="inlineStr">
        <is>
          <t>MATRION</t>
        </is>
      </c>
      <c r="K6823" t="inlineStr">
        <is>
          <t>METAL</t>
        </is>
      </c>
      <c r="L6823">
        <f>_xlfn.XLOOKUP(Tableau1[[#This Row],[TYPE DE PIECE]],Tableau4[MATIERE],Tableau4[SHORT TYPE],"",0,1)</f>
        <v/>
      </c>
      <c r="N6823">
        <f>IF(ISERR(FIND("DECOUPE",Tableau1[[#This Row],[DESIGNATION]])),"","NEED REF")</f>
        <v/>
      </c>
    </row>
    <row r="6824">
      <c r="B6824" t="n">
        <v>34407181</v>
      </c>
      <c r="C6824" s="2" t="n">
        <v>43396</v>
      </c>
      <c r="D6824" t="inlineStr">
        <is>
          <t>SPEC</t>
        </is>
      </c>
      <c r="E6824" t="inlineStr">
        <is>
          <t>SMT PLASTRON 175 + DECOUPE DJ 2P</t>
        </is>
      </c>
      <c r="F6824" t="inlineStr">
        <is>
          <t>BYPASS SAREL 600</t>
        </is>
      </c>
      <c r="J6824" t="inlineStr">
        <is>
          <t>MATRION</t>
        </is>
      </c>
      <c r="K6824" t="inlineStr">
        <is>
          <t>METAL</t>
        </is>
      </c>
      <c r="L6824">
        <f>_xlfn.XLOOKUP(Tableau1[[#This Row],[TYPE DE PIECE]],Tableau4[MATIERE],Tableau4[SHORT TYPE],"",0,1)</f>
        <v/>
      </c>
      <c r="N6824">
        <f>IF(ISERR(FIND("DECOUPE",Tableau1[[#This Row],[DESIGNATION]])),"","NEED REF")</f>
        <v/>
      </c>
    </row>
    <row r="6825">
      <c r="B6825" t="n">
        <v>34407180</v>
      </c>
      <c r="C6825" s="2" t="n">
        <v>43396</v>
      </c>
      <c r="D6825" t="inlineStr">
        <is>
          <t>SPEC</t>
        </is>
      </c>
      <c r="E6825" t="inlineStr">
        <is>
          <t>RALLONGE LOQUET FERMETURE PORTE 2</t>
        </is>
      </c>
      <c r="F6825" t="inlineStr">
        <is>
          <t>GALAXY G6K 400-450Kva</t>
        </is>
      </c>
      <c r="J6825" t="inlineStr">
        <is>
          <t>MATRION</t>
        </is>
      </c>
      <c r="K6825" t="inlineStr">
        <is>
          <t>METAL</t>
        </is>
      </c>
      <c r="L6825">
        <f>_xlfn.XLOOKUP(Tableau1[[#This Row],[TYPE DE PIECE]],Tableau4[MATIERE],Tableau4[SHORT TYPE],"",0,1)</f>
        <v/>
      </c>
      <c r="N6825">
        <f>IF(ISERR(FIND("DECOUPE",Tableau1[[#This Row],[DESIGNATION]])),"","NEED REF")</f>
        <v/>
      </c>
    </row>
    <row r="6826">
      <c r="B6826" t="n">
        <v>34407179</v>
      </c>
      <c r="C6826" s="2" t="n">
        <v>43396</v>
      </c>
      <c r="D6826" t="inlineStr">
        <is>
          <t>SPEC</t>
        </is>
      </c>
      <c r="E6826" t="inlineStr">
        <is>
          <t>SUPPORT PLASTRON MILIEU GAUCHE</t>
        </is>
      </c>
      <c r="F6826" t="inlineStr">
        <is>
          <t>GALAXY G6K 400-450Kva</t>
        </is>
      </c>
      <c r="J6826" t="inlineStr">
        <is>
          <t>MATRION</t>
        </is>
      </c>
      <c r="K6826" t="inlineStr">
        <is>
          <t>METAL</t>
        </is>
      </c>
      <c r="L6826">
        <f>_xlfn.XLOOKUP(Tableau1[[#This Row],[TYPE DE PIECE]],Tableau4[MATIERE],Tableau4[SHORT TYPE],"",0,1)</f>
        <v/>
      </c>
      <c r="N6826">
        <f>IF(ISERR(FIND("DECOUPE",Tableau1[[#This Row],[DESIGNATION]])),"","NEED REF")</f>
        <v/>
      </c>
    </row>
    <row r="6827">
      <c r="B6827" t="n">
        <v>34407178</v>
      </c>
      <c r="C6827" s="2" t="n">
        <v>43396</v>
      </c>
      <c r="D6827" t="inlineStr">
        <is>
          <t>SPEC</t>
        </is>
      </c>
      <c r="E6827" t="inlineStr">
        <is>
          <t>SUPPORT VERROU 1/4 TOUR MILIEU</t>
        </is>
      </c>
      <c r="F6827" t="inlineStr">
        <is>
          <t>GALAXY G6K 400-450Kva</t>
        </is>
      </c>
      <c r="J6827" t="inlineStr">
        <is>
          <t>MATRION</t>
        </is>
      </c>
      <c r="K6827" t="inlineStr">
        <is>
          <t>METAL</t>
        </is>
      </c>
      <c r="L6827">
        <f>_xlfn.XLOOKUP(Tableau1[[#This Row],[TYPE DE PIECE]],Tableau4[MATIERE],Tableau4[SHORT TYPE],"",0,1)</f>
        <v/>
      </c>
      <c r="N6827">
        <f>IF(ISERR(FIND("DECOUPE",Tableau1[[#This Row],[DESIGNATION]])),"","NEED REF")</f>
        <v/>
      </c>
    </row>
    <row r="6828">
      <c r="B6828" t="n">
        <v>34407177</v>
      </c>
      <c r="C6828" s="2" t="n">
        <v>43396</v>
      </c>
      <c r="D6828" t="inlineStr">
        <is>
          <t>SPEC</t>
        </is>
      </c>
      <c r="E6828" t="inlineStr">
        <is>
          <t>SUPPORT PLASTRON MILIEU DROITE</t>
        </is>
      </c>
      <c r="F6828" t="inlineStr">
        <is>
          <t>GALAXY G6K 400-450Kva</t>
        </is>
      </c>
      <c r="J6828" t="inlineStr">
        <is>
          <t>MATRION</t>
        </is>
      </c>
      <c r="K6828" t="inlineStr">
        <is>
          <t>METAL</t>
        </is>
      </c>
      <c r="L6828">
        <f>_xlfn.XLOOKUP(Tableau1[[#This Row],[TYPE DE PIECE]],Tableau4[MATIERE],Tableau4[SHORT TYPE],"",0,1)</f>
        <v/>
      </c>
      <c r="N6828">
        <f>IF(ISERR(FIND("DECOUPE",Tableau1[[#This Row],[DESIGNATION]])),"","NEED REF")</f>
        <v/>
      </c>
    </row>
    <row r="6829">
      <c r="B6829" t="n">
        <v>34407176</v>
      </c>
      <c r="C6829" s="2" t="n">
        <v>43396</v>
      </c>
      <c r="D6829" t="inlineStr">
        <is>
          <t>SPEC</t>
        </is>
      </c>
      <c r="L6829">
        <f>_xlfn.XLOOKUP(Tableau1[[#This Row],[TYPE DE PIECE]],Tableau4[MATIERE],Tableau4[SHORT TYPE],"",0,1)</f>
        <v/>
      </c>
      <c r="N6829">
        <f>IF(ISERR(FIND("DECOUPE",Tableau1[[#This Row],[DESIGNATION]])),"","NEED REF")</f>
        <v/>
      </c>
    </row>
    <row r="6830">
      <c r="B6830" t="n">
        <v>34407175</v>
      </c>
      <c r="C6830" s="2" t="n">
        <v>43396</v>
      </c>
      <c r="D6830" t="inlineStr">
        <is>
          <t>SPEC</t>
        </is>
      </c>
      <c r="E6830" t="inlineStr">
        <is>
          <t>EQUERRE PLASTRON MILIEU DROITE</t>
        </is>
      </c>
      <c r="L6830">
        <f>_xlfn.XLOOKUP(Tableau1[[#This Row],[TYPE DE PIECE]],Tableau4[MATIERE],Tableau4[SHORT TYPE],"",0,1)</f>
        <v/>
      </c>
      <c r="N6830">
        <f>IF(ISERR(FIND("DECOUPE",Tableau1[[#This Row],[DESIGNATION]])),"","NEED REF")</f>
        <v/>
      </c>
    </row>
    <row r="6831">
      <c r="B6831" t="n">
        <v>34407174</v>
      </c>
      <c r="C6831" s="2" t="n">
        <v>43396</v>
      </c>
      <c r="D6831" t="inlineStr">
        <is>
          <t>SPEC</t>
        </is>
      </c>
      <c r="E6831" t="inlineStr">
        <is>
          <t>SUPPORT FIX RAPIDE 2 HAUT</t>
        </is>
      </c>
      <c r="L6831">
        <f>_xlfn.XLOOKUP(Tableau1[[#This Row],[TYPE DE PIECE]],Tableau4[MATIERE],Tableau4[SHORT TYPE],"",0,1)</f>
        <v/>
      </c>
      <c r="N6831">
        <f>IF(ISERR(FIND("DECOUPE",Tableau1[[#This Row],[DESIGNATION]])),"","NEED REF")</f>
        <v/>
      </c>
    </row>
    <row r="6832">
      <c r="B6832" t="n">
        <v>34407173</v>
      </c>
      <c r="C6832" s="2" t="n">
        <v>43396</v>
      </c>
      <c r="D6832" t="inlineStr">
        <is>
          <t>SPEC</t>
        </is>
      </c>
      <c r="E6832" t="inlineStr">
        <is>
          <t>SUPPORT FIX RAPIDE 1 HAUT</t>
        </is>
      </c>
      <c r="L6832">
        <f>_xlfn.XLOOKUP(Tableau1[[#This Row],[TYPE DE PIECE]],Tableau4[MATIERE],Tableau4[SHORT TYPE],"",0,1)</f>
        <v/>
      </c>
      <c r="N6832">
        <f>IF(ISERR(FIND("DECOUPE",Tableau1[[#This Row],[DESIGNATION]])),"","NEED REF")</f>
        <v/>
      </c>
    </row>
    <row r="6833">
      <c r="B6833" t="n">
        <v>34407172</v>
      </c>
      <c r="C6833" s="2" t="n">
        <v>43396</v>
      </c>
      <c r="D6833" t="inlineStr">
        <is>
          <t>SPEC</t>
        </is>
      </c>
      <c r="F6833" t="inlineStr">
        <is>
          <t>GVX BBC NW40DC</t>
        </is>
      </c>
      <c r="J6833" t="inlineStr">
        <is>
          <t>BOIX</t>
        </is>
      </c>
      <c r="K6833" t="inlineStr">
        <is>
          <t>METAL</t>
        </is>
      </c>
      <c r="L6833">
        <f>_xlfn.XLOOKUP(Tableau1[[#This Row],[TYPE DE PIECE]],Tableau4[MATIERE],Tableau4[SHORT TYPE],"",0,1)</f>
        <v/>
      </c>
      <c r="N6833">
        <f>IF(ISERR(FIND("DECOUPE",Tableau1[[#This Row],[DESIGNATION]])),"","NEED REF")</f>
        <v/>
      </c>
    </row>
    <row r="6834">
      <c r="B6834" t="n">
        <v>34407171</v>
      </c>
      <c r="C6834" s="2" t="n">
        <v>43396</v>
      </c>
      <c r="D6834" t="inlineStr">
        <is>
          <t>SPEC</t>
        </is>
      </c>
      <c r="E6834" t="inlineStr">
        <is>
          <t>TOIT VENTILE POUR ARMOIRE L=700 P= 800 H= 1900</t>
        </is>
      </c>
      <c r="F6834" t="inlineStr">
        <is>
          <t>GVX BBC NW40DC</t>
        </is>
      </c>
      <c r="J6834" t="inlineStr">
        <is>
          <t>BOIX</t>
        </is>
      </c>
      <c r="K6834" t="inlineStr">
        <is>
          <t>METAL</t>
        </is>
      </c>
      <c r="L6834">
        <f>_xlfn.XLOOKUP(Tableau1[[#This Row],[TYPE DE PIECE]],Tableau4[MATIERE],Tableau4[SHORT TYPE],"",0,1)</f>
        <v/>
      </c>
      <c r="N6834">
        <f>IF(ISERR(FIND("DECOUPE",Tableau1[[#This Row],[DESIGNATION]])),"","NEED REF")</f>
        <v/>
      </c>
    </row>
    <row r="6835">
      <c r="B6835" t="n">
        <v>34407170</v>
      </c>
      <c r="C6835" s="2" t="n">
        <v>43396</v>
      </c>
      <c r="D6835" t="inlineStr">
        <is>
          <t>SPEC</t>
        </is>
      </c>
      <c r="E6835" t="inlineStr">
        <is>
          <t>SMT PLASTRON 175</t>
        </is>
      </c>
      <c r="F6835" t="inlineStr">
        <is>
          <t>BYPASS SAREL 600</t>
        </is>
      </c>
      <c r="J6835" t="inlineStr">
        <is>
          <t>MATRION</t>
        </is>
      </c>
      <c r="K6835" t="inlineStr">
        <is>
          <t>METAL</t>
        </is>
      </c>
      <c r="L6835">
        <f>_xlfn.XLOOKUP(Tableau1[[#This Row],[TYPE DE PIECE]],Tableau4[MATIERE],Tableau4[SHORT TYPE],"",0,1)</f>
        <v/>
      </c>
      <c r="N6835">
        <f>IF(ISERR(FIND("DECOUPE",Tableau1[[#This Row],[DESIGNATION]])),"","NEED REF")</f>
        <v/>
      </c>
    </row>
    <row r="6836">
      <c r="B6836" t="n">
        <v>34407169</v>
      </c>
      <c r="C6836" s="2" t="n">
        <v>43396</v>
      </c>
      <c r="D6836" t="inlineStr">
        <is>
          <t>SPEC</t>
        </is>
      </c>
      <c r="E6836" t="inlineStr">
        <is>
          <t>SMT JOUE LATERIAL PLASTON SAREL 2000</t>
        </is>
      </c>
      <c r="F6836" t="inlineStr">
        <is>
          <t>BYPASS SAREL 600</t>
        </is>
      </c>
      <c r="J6836" t="inlineStr">
        <is>
          <t>MATRION</t>
        </is>
      </c>
      <c r="K6836" t="inlineStr">
        <is>
          <t>METAL</t>
        </is>
      </c>
      <c r="L6836">
        <f>_xlfn.XLOOKUP(Tableau1[[#This Row],[TYPE DE PIECE]],Tableau4[MATIERE],Tableau4[SHORT TYPE],"",0,1)</f>
        <v/>
      </c>
      <c r="N6836">
        <f>IF(ISERR(FIND("DECOUPE",Tableau1[[#This Row],[DESIGNATION]])),"","NEED REF")</f>
        <v/>
      </c>
    </row>
    <row r="6837">
      <c r="B6837" t="n">
        <v>34407168</v>
      </c>
      <c r="C6837" s="2" t="n">
        <v>43396</v>
      </c>
      <c r="D6837" t="inlineStr">
        <is>
          <t>SPEC</t>
        </is>
      </c>
      <c r="E6837" t="inlineStr">
        <is>
          <t xml:space="preserve">Goulotte AK2GD3775+AK2CD37-L=120 suivant devis F18100537OCE </t>
        </is>
      </c>
      <c r="F6837" t="inlineStr">
        <is>
          <t>DEWA - COFFRET SAREL NSYPLAT1074G ETO / PVBOXQ-QSRE19290-00</t>
        </is>
      </c>
      <c r="J6837" t="inlineStr">
        <is>
          <t>MONGELLI</t>
        </is>
      </c>
      <c r="K6837" t="inlineStr">
        <is>
          <t>PLASTIQUE</t>
        </is>
      </c>
      <c r="L6837">
        <f>_xlfn.XLOOKUP(Tableau1[[#This Row],[TYPE DE PIECE]],Tableau4[MATIERE],Tableau4[SHORT TYPE],"",0,1)</f>
        <v/>
      </c>
      <c r="N6837">
        <f>IF(ISERR(FIND("DECOUPE",Tableau1[[#This Row],[DESIGNATION]])),"","NEED REF")</f>
        <v/>
      </c>
    </row>
    <row r="6838">
      <c r="B6838" t="n">
        <v>34407167</v>
      </c>
      <c r="C6838" s="2" t="n">
        <v>43396</v>
      </c>
      <c r="D6838" t="inlineStr">
        <is>
          <t>SPEC</t>
        </is>
      </c>
      <c r="E6838" t="inlineStr">
        <is>
          <t>Goulotte AK2GD3775+AK2CD37-L=132 suivant devis F18100535OCE</t>
        </is>
      </c>
      <c r="F6838" t="inlineStr">
        <is>
          <t>DEWA - COFFRET SAREL NSYPLAT1074G ETO / PVBOXQ-QSRE19290-00</t>
        </is>
      </c>
      <c r="J6838" t="inlineStr">
        <is>
          <t>MONGELLI</t>
        </is>
      </c>
      <c r="K6838" t="inlineStr">
        <is>
          <t>PLASTIQUE</t>
        </is>
      </c>
      <c r="L6838">
        <f>_xlfn.XLOOKUP(Tableau1[[#This Row],[TYPE DE PIECE]],Tableau4[MATIERE],Tableau4[SHORT TYPE],"",0,1)</f>
        <v/>
      </c>
      <c r="N6838">
        <f>IF(ISERR(FIND("DECOUPE",Tableau1[[#This Row],[DESIGNATION]])),"","NEED REF")</f>
        <v/>
      </c>
    </row>
    <row r="6839">
      <c r="B6839" t="n">
        <v>34407166</v>
      </c>
      <c r="C6839" s="2" t="n">
        <v>43396</v>
      </c>
      <c r="D6839" t="inlineStr">
        <is>
          <t>SPEC</t>
        </is>
      </c>
      <c r="E6839" t="inlineStr">
        <is>
          <t xml:space="preserve">Goulotte AK2GD3775+AK2CD37-L=169,5 suivant devis F18100532OCE </t>
        </is>
      </c>
      <c r="F6839" t="inlineStr">
        <is>
          <t>DEWA - COFFRET SAREL NSYPLAT1074G ETO / PVBOXQ-QSRE19290-00</t>
        </is>
      </c>
      <c r="J6839" t="inlineStr">
        <is>
          <t>MONGELLI</t>
        </is>
      </c>
      <c r="K6839" t="inlineStr">
        <is>
          <t>PLASTIQUE</t>
        </is>
      </c>
      <c r="L6839">
        <f>_xlfn.XLOOKUP(Tableau1[[#This Row],[TYPE DE PIECE]],Tableau4[MATIERE],Tableau4[SHORT TYPE],"",0,1)</f>
        <v/>
      </c>
      <c r="N6839">
        <f>IF(ISERR(FIND("DECOUPE",Tableau1[[#This Row],[DESIGNATION]])),"","NEED REF")</f>
        <v/>
      </c>
    </row>
    <row r="6840">
      <c r="B6840" t="n">
        <v>34407165</v>
      </c>
      <c r="C6840" s="2" t="n">
        <v>43396</v>
      </c>
      <c r="D6840" t="inlineStr">
        <is>
          <t>SPEC</t>
        </is>
      </c>
      <c r="E6840" t="inlineStr">
        <is>
          <t xml:space="preserve">Goulotte AK2GD3775+AK2CD37-L=346,5 suivant devis F18100528OCE </t>
        </is>
      </c>
      <c r="F6840" t="inlineStr">
        <is>
          <t>DEWA - COFFRET SAREL NSYPLAT1074G ETO / PVBOXQ-QSRE19290-00</t>
        </is>
      </c>
      <c r="J6840" t="inlineStr">
        <is>
          <t>MONGELLI</t>
        </is>
      </c>
      <c r="K6840" t="inlineStr">
        <is>
          <t>PLASTIQUE</t>
        </is>
      </c>
      <c r="L6840">
        <f>_xlfn.XLOOKUP(Tableau1[[#This Row],[TYPE DE PIECE]],Tableau4[MATIERE],Tableau4[SHORT TYPE],"",0,1)</f>
        <v/>
      </c>
      <c r="N6840">
        <f>IF(ISERR(FIND("DECOUPE",Tableau1[[#This Row],[DESIGNATION]])),"","NEED REF")</f>
        <v/>
      </c>
    </row>
    <row r="6841">
      <c r="B6841" t="n">
        <v>34407164</v>
      </c>
      <c r="C6841" s="2" t="n">
        <v>43396</v>
      </c>
      <c r="D6841" t="inlineStr">
        <is>
          <t>SPEC</t>
        </is>
      </c>
      <c r="E6841" t="inlineStr">
        <is>
          <t>Goulotte AK2GD3775+AK2CD37-L=507 suivant devis F18100525OCE</t>
        </is>
      </c>
      <c r="F6841" t="inlineStr">
        <is>
          <t>DEWA - COFFRET SAREL NSYPLAT1074G ETO / PVBOXQ-QSRE19290-00</t>
        </is>
      </c>
      <c r="J6841" t="inlineStr">
        <is>
          <t>MONGELLI</t>
        </is>
      </c>
      <c r="K6841" t="inlineStr">
        <is>
          <t>PLASTIQUE</t>
        </is>
      </c>
      <c r="L6841">
        <f>_xlfn.XLOOKUP(Tableau1[[#This Row],[TYPE DE PIECE]],Tableau4[MATIERE],Tableau4[SHORT TYPE],"",0,1)</f>
        <v/>
      </c>
      <c r="N6841">
        <f>IF(ISERR(FIND("DECOUPE",Tableau1[[#This Row],[DESIGNATION]])),"","NEED REF")</f>
        <v/>
      </c>
    </row>
    <row r="6842">
      <c r="B6842" t="n">
        <v>34407163</v>
      </c>
      <c r="C6842" s="2" t="n">
        <v>43396</v>
      </c>
      <c r="D6842" t="inlineStr">
        <is>
          <t>SPEC</t>
        </is>
      </c>
      <c r="E6842" t="inlineStr">
        <is>
          <t>Goulotte AK2GD3775+AK2CD37-L=432 suivant devis F18100522OCE</t>
        </is>
      </c>
      <c r="F6842" t="inlineStr">
        <is>
          <t>DEWA - COFFRET SAREL NSYPLAT1074G ETO / PVBOXQ-QSRE19290-00</t>
        </is>
      </c>
      <c r="J6842" t="inlineStr">
        <is>
          <t>MONGELLI</t>
        </is>
      </c>
      <c r="K6842" t="inlineStr">
        <is>
          <t>PLASTIQUE</t>
        </is>
      </c>
      <c r="L6842">
        <f>_xlfn.XLOOKUP(Tableau1[[#This Row],[TYPE DE PIECE]],Tableau4[MATIERE],Tableau4[SHORT TYPE],"",0,1)</f>
        <v/>
      </c>
      <c r="N6842">
        <f>IF(ISERR(FIND("DECOUPE",Tableau1[[#This Row],[DESIGNATION]])),"","NEED REF")</f>
        <v/>
      </c>
    </row>
    <row r="6843">
      <c r="B6843" t="n">
        <v>34407162</v>
      </c>
      <c r="C6843" s="2" t="n">
        <v>43396</v>
      </c>
      <c r="D6843" t="inlineStr">
        <is>
          <t>SPEC</t>
        </is>
      </c>
      <c r="E6843" t="inlineStr">
        <is>
          <t xml:space="preserve">Goulotte AK2GD3775+AK2CD37-L=583 suivant devis F18100513OCE </t>
        </is>
      </c>
      <c r="F6843" t="inlineStr">
        <is>
          <t>DEWA - COFFRET SAREL NSYPLAT1074G ETO / PVBOXQ-QSRE19290-00</t>
        </is>
      </c>
      <c r="J6843" t="inlineStr">
        <is>
          <t>MONGELLI</t>
        </is>
      </c>
      <c r="K6843" t="inlineStr">
        <is>
          <t>PLASTIQUE</t>
        </is>
      </c>
      <c r="L6843">
        <f>_xlfn.XLOOKUP(Tableau1[[#This Row],[TYPE DE PIECE]],Tableau4[MATIERE],Tableau4[SHORT TYPE],"",0,1)</f>
        <v/>
      </c>
      <c r="N6843">
        <f>IF(ISERR(FIND("DECOUPE",Tableau1[[#This Row],[DESIGNATION]])),"","NEED REF")</f>
        <v/>
      </c>
    </row>
    <row r="6844">
      <c r="B6844" t="n">
        <v>34407161</v>
      </c>
      <c r="C6844" s="2" t="n">
        <v>43396</v>
      </c>
      <c r="D6844" t="inlineStr">
        <is>
          <t>SPEC</t>
        </is>
      </c>
      <c r="E6844" t="inlineStr">
        <is>
          <t>SMT GUIDE D'AIR BYPASS</t>
        </is>
      </c>
      <c r="F6844" t="inlineStr">
        <is>
          <t>BYPASS SAREL 600</t>
        </is>
      </c>
      <c r="J6844" t="inlineStr">
        <is>
          <t>MATRION</t>
        </is>
      </c>
      <c r="K6844" t="inlineStr">
        <is>
          <t>METAL</t>
        </is>
      </c>
      <c r="L6844">
        <f>_xlfn.XLOOKUP(Tableau1[[#This Row],[TYPE DE PIECE]],Tableau4[MATIERE],Tableau4[SHORT TYPE],"",0,1)</f>
        <v/>
      </c>
      <c r="N6844">
        <f>IF(ISERR(FIND("DECOUPE",Tableau1[[#This Row],[DESIGNATION]])),"","NEED REF")</f>
        <v/>
      </c>
    </row>
    <row r="6845">
      <c r="B6845" t="n">
        <v>34407160</v>
      </c>
      <c r="C6845" s="2" t="n">
        <v>43396</v>
      </c>
      <c r="D6845" t="inlineStr">
        <is>
          <t>SPEC</t>
        </is>
      </c>
      <c r="E6845" t="inlineStr">
        <is>
          <t>SMT RENFORT ARRIERE TFO - SAREL</t>
        </is>
      </c>
      <c r="F6845" t="inlineStr">
        <is>
          <t>BYPASS SAREL 600</t>
        </is>
      </c>
      <c r="J6845" t="inlineStr">
        <is>
          <t>MATRION</t>
        </is>
      </c>
      <c r="K6845" t="inlineStr">
        <is>
          <t>METAL</t>
        </is>
      </c>
      <c r="L6845">
        <f>_xlfn.XLOOKUP(Tableau1[[#This Row],[TYPE DE PIECE]],Tableau4[MATIERE],Tableau4[SHORT TYPE],"",0,1)</f>
        <v/>
      </c>
      <c r="N6845">
        <f>IF(ISERR(FIND("DECOUPE",Tableau1[[#This Row],[DESIGNATION]])),"","NEED REF")</f>
        <v/>
      </c>
    </row>
    <row r="6846">
      <c r="B6846" t="n">
        <v>34407159</v>
      </c>
      <c r="C6846" s="2" t="n">
        <v>43396</v>
      </c>
      <c r="D6846" t="inlineStr">
        <is>
          <t>SPEC</t>
        </is>
      </c>
      <c r="E6846" t="inlineStr">
        <is>
          <t>SMT SUPPORT HORIZONTAL TFO - SAREL</t>
        </is>
      </c>
      <c r="F6846" t="inlineStr">
        <is>
          <t>BYPASS SAREL 600</t>
        </is>
      </c>
      <c r="J6846" t="inlineStr">
        <is>
          <t>MATRION</t>
        </is>
      </c>
      <c r="K6846" t="inlineStr">
        <is>
          <t>METAL</t>
        </is>
      </c>
      <c r="L6846">
        <f>_xlfn.XLOOKUP(Tableau1[[#This Row],[TYPE DE PIECE]],Tableau4[MATIERE],Tableau4[SHORT TYPE],"",0,1)</f>
        <v/>
      </c>
      <c r="N6846">
        <f>IF(ISERR(FIND("DECOUPE",Tableau1[[#This Row],[DESIGNATION]])),"","NEED REF")</f>
        <v/>
      </c>
    </row>
    <row r="6847">
      <c r="B6847" t="n">
        <v>34407158</v>
      </c>
      <c r="C6847" s="2" t="n">
        <v>43396</v>
      </c>
      <c r="D6847" t="inlineStr">
        <is>
          <t>SPEC</t>
        </is>
      </c>
      <c r="E6847" t="inlineStr">
        <is>
          <t>SMT SUPPORT LATERAL TFO - SAREL</t>
        </is>
      </c>
      <c r="F6847" t="inlineStr">
        <is>
          <t>BYPASS SAREL 600</t>
        </is>
      </c>
      <c r="J6847" t="inlineStr">
        <is>
          <t>MATRION</t>
        </is>
      </c>
      <c r="K6847" t="inlineStr">
        <is>
          <t>METAL</t>
        </is>
      </c>
      <c r="L6847">
        <f>_xlfn.XLOOKUP(Tableau1[[#This Row],[TYPE DE PIECE]],Tableau4[MATIERE],Tableau4[SHORT TYPE],"",0,1)</f>
        <v/>
      </c>
      <c r="N6847">
        <f>IF(ISERR(FIND("DECOUPE",Tableau1[[#This Row],[DESIGNATION]])),"","NEED REF")</f>
        <v/>
      </c>
    </row>
    <row r="6848">
      <c r="B6848" t="n">
        <v>34407157</v>
      </c>
      <c r="C6848" s="2" t="n">
        <v>43392</v>
      </c>
      <c r="D6848" t="inlineStr">
        <is>
          <t>SPEC</t>
        </is>
      </c>
      <c r="E6848" t="inlineStr">
        <is>
          <t>COFFRET SAREL NSYPLAT1074G ETO suivant devis NSYAPLASP - 22473/1018/P - FAF0000846</t>
        </is>
      </c>
      <c r="F6848" t="inlineStr">
        <is>
          <t>DEWA - COFFRET SAREL NSYPLAT1074G ETO / PVBOXQ-QSRE19290-00</t>
        </is>
      </c>
      <c r="J6848" t="inlineStr">
        <is>
          <t>MONGELLI</t>
        </is>
      </c>
      <c r="K6848" t="inlineStr">
        <is>
          <t>SAREL</t>
        </is>
      </c>
      <c r="L6848">
        <f>_xlfn.XLOOKUP(Tableau1[[#This Row],[TYPE DE PIECE]],Tableau4[MATIERE],Tableau4[SHORT TYPE],"",0,1)</f>
        <v/>
      </c>
      <c r="N6848">
        <f>IF(ISERR(FIND("DECOUPE",Tableau1[[#This Row],[DESIGNATION]])),"","NEED REF")</f>
        <v/>
      </c>
    </row>
    <row r="6849">
      <c r="B6849" t="n">
        <v>34407156</v>
      </c>
      <c r="C6849" s="2" t="n">
        <v>43392</v>
      </c>
      <c r="D6849" t="inlineStr">
        <is>
          <t>NOM</t>
        </is>
      </c>
      <c r="E6849" t="inlineStr">
        <is>
          <t>LEG TOLERIE LIAISON UNITAIRE 2MVA</t>
        </is>
      </c>
      <c r="F6849" t="inlineStr">
        <is>
          <t>DEWA 2MVA</t>
        </is>
      </c>
      <c r="J6849" t="inlineStr">
        <is>
          <t>PLANTIER</t>
        </is>
      </c>
      <c r="L6849">
        <f>_xlfn.XLOOKUP(Tableau1[[#This Row],[TYPE DE PIECE]],Tableau4[MATIERE],Tableau4[SHORT TYPE],"",0,1)</f>
        <v/>
      </c>
      <c r="N6849">
        <f>IF(ISERR(FIND("DECOUPE",Tableau1[[#This Row],[DESIGNATION]])),"","NEED REF")</f>
        <v/>
      </c>
    </row>
    <row r="6850">
      <c r="B6850" t="n">
        <v>34407155</v>
      </c>
      <c r="C6850" s="2" t="n">
        <v>43392</v>
      </c>
      <c r="D6850" t="inlineStr">
        <is>
          <t>NOM</t>
        </is>
      </c>
      <c r="E6850" t="inlineStr">
        <is>
          <t xml:space="preserve">LEG LIAISON UNITAIRE 2MVA </t>
        </is>
      </c>
      <c r="F6850" t="inlineStr">
        <is>
          <t>DEWA 2MVA</t>
        </is>
      </c>
      <c r="J6850" t="inlineStr">
        <is>
          <t>PLANTIER</t>
        </is>
      </c>
      <c r="L6850">
        <f>_xlfn.XLOOKUP(Tableau1[[#This Row],[TYPE DE PIECE]],Tableau4[MATIERE],Tableau4[SHORT TYPE],"",0,1)</f>
        <v/>
      </c>
      <c r="N6850">
        <f>IF(ISERR(FIND("DECOUPE",Tableau1[[#This Row],[DESIGNATION]])),"","NEED REF")</f>
        <v/>
      </c>
    </row>
    <row r="6851">
      <c r="B6851" t="n">
        <v>34407154</v>
      </c>
      <c r="C6851" s="2" t="n">
        <v>43391</v>
      </c>
      <c r="D6851" t="inlineStr">
        <is>
          <t>SPEC</t>
        </is>
      </c>
      <c r="E6851" t="inlineStr">
        <is>
          <t xml:space="preserve">NW40H DC Version D MOTOR QSMA99738  </t>
        </is>
      </c>
      <c r="F6851" t="inlineStr">
        <is>
          <t xml:space="preserve">GVX BBC 4000A QSMA99738 </t>
        </is>
      </c>
      <c r="J6851" t="inlineStr">
        <is>
          <t>ÇAKIR</t>
        </is>
      </c>
      <c r="K6851" t="inlineStr">
        <is>
          <t>MASTERPACT NW40 M</t>
        </is>
      </c>
      <c r="L6851">
        <f>_xlfn.XLOOKUP(Tableau1[[#This Row],[TYPE DE PIECE]],Tableau4[MATIERE],Tableau4[SHORT TYPE],"",0,1)</f>
        <v/>
      </c>
      <c r="N6851">
        <f>IF(ISERR(FIND("DECOUPE",Tableau1[[#This Row],[DESIGNATION]])),"","NEED REF")</f>
        <v/>
      </c>
    </row>
    <row r="6852">
      <c r="B6852" t="n">
        <v>34407153</v>
      </c>
      <c r="C6852" s="2" t="n">
        <v>43391</v>
      </c>
      <c r="D6852" t="inlineStr">
        <is>
          <t>SPEC</t>
        </is>
      </c>
      <c r="E6852" t="inlineStr">
        <is>
          <t>DECOUPE LINERGY 04566 2500A 400mm</t>
        </is>
      </c>
      <c r="F6852" t="inlineStr">
        <is>
          <t>GVX MBC</t>
        </is>
      </c>
      <c r="J6852" t="inlineStr">
        <is>
          <t>MATRION</t>
        </is>
      </c>
      <c r="K6852" t="inlineStr">
        <is>
          <t>METAL</t>
        </is>
      </c>
      <c r="L6852">
        <f>_xlfn.XLOOKUP(Tableau1[[#This Row],[TYPE DE PIECE]],Tableau4[MATIERE],Tableau4[SHORT TYPE],"",0,1)</f>
        <v/>
      </c>
      <c r="N6852" t="inlineStr">
        <is>
          <t>LVS04566</t>
        </is>
      </c>
    </row>
    <row r="6853">
      <c r="B6853" t="n">
        <v>34407152</v>
      </c>
      <c r="C6853" s="2" t="n">
        <v>43391</v>
      </c>
      <c r="D6853" t="inlineStr">
        <is>
          <t>SPEC</t>
        </is>
      </c>
      <c r="E6853" t="inlineStr">
        <is>
          <t>DECOUPE LINERGY 04567 3200A 500mm</t>
        </is>
      </c>
      <c r="F6853" t="inlineStr">
        <is>
          <t>GVX MBC</t>
        </is>
      </c>
      <c r="J6853" t="inlineStr">
        <is>
          <t>MATRION</t>
        </is>
      </c>
      <c r="K6853" t="inlineStr">
        <is>
          <t>METAL</t>
        </is>
      </c>
      <c r="L6853">
        <f>_xlfn.XLOOKUP(Tableau1[[#This Row],[TYPE DE PIECE]],Tableau4[MATIERE],Tableau4[SHORT TYPE],"",0,1)</f>
        <v/>
      </c>
      <c r="N6853" t="inlineStr">
        <is>
          <t>LVS04567</t>
        </is>
      </c>
    </row>
    <row r="6854">
      <c r="B6854" t="n">
        <v>34407151</v>
      </c>
      <c r="C6854" s="2" t="n">
        <v>43391</v>
      </c>
      <c r="D6854" t="inlineStr">
        <is>
          <t>SPEC</t>
        </is>
      </c>
      <c r="E6854" t="inlineStr">
        <is>
          <t>DECOUPE LINERGY 04567 3200A 830mm</t>
        </is>
      </c>
      <c r="F6854" t="inlineStr">
        <is>
          <t>GVX MBC</t>
        </is>
      </c>
      <c r="J6854" t="inlineStr">
        <is>
          <t>MATRION</t>
        </is>
      </c>
      <c r="K6854" t="inlineStr">
        <is>
          <t>METAL</t>
        </is>
      </c>
      <c r="L6854">
        <f>_xlfn.XLOOKUP(Tableau1[[#This Row],[TYPE DE PIECE]],Tableau4[MATIERE],Tableau4[SHORT TYPE],"",0,1)</f>
        <v/>
      </c>
      <c r="N6854" t="inlineStr">
        <is>
          <t>LVS04567</t>
        </is>
      </c>
    </row>
    <row r="6855">
      <c r="B6855" t="n">
        <v>34407150</v>
      </c>
      <c r="C6855" s="2" t="n">
        <v>43390</v>
      </c>
      <c r="D6855" t="inlineStr">
        <is>
          <t>SPEC</t>
        </is>
      </c>
      <c r="E6855" t="inlineStr">
        <is>
          <t>RAIL DIN L= 600</t>
        </is>
      </c>
      <c r="F6855" t="inlineStr">
        <is>
          <t>GVX BBC NW40DC</t>
        </is>
      </c>
      <c r="J6855" t="inlineStr">
        <is>
          <t>BOIX</t>
        </is>
      </c>
      <c r="K6855" t="inlineStr">
        <is>
          <t>METAL</t>
        </is>
      </c>
      <c r="L6855">
        <f>_xlfn.XLOOKUP(Tableau1[[#This Row],[TYPE DE PIECE]],Tableau4[MATIERE],Tableau4[SHORT TYPE],"",0,1)</f>
        <v/>
      </c>
      <c r="N6855">
        <f>IF(ISERR(FIND("DECOUPE",Tableau1[[#This Row],[DESIGNATION]])),"","NEED REF")</f>
        <v/>
      </c>
    </row>
    <row r="6856">
      <c r="B6856" t="n">
        <v>34407149</v>
      </c>
      <c r="C6856" s="2" t="n">
        <v>43389</v>
      </c>
      <c r="D6856" t="inlineStr">
        <is>
          <t>SPEC</t>
        </is>
      </c>
      <c r="E6856" t="inlineStr">
        <is>
          <t>PE GVM 2HOLES</t>
        </is>
      </c>
      <c r="F6856" t="inlineStr">
        <is>
          <t>IO GVM</t>
        </is>
      </c>
      <c r="J6856" t="inlineStr">
        <is>
          <t>MATRION</t>
        </is>
      </c>
      <c r="K6856" t="inlineStr">
        <is>
          <t>CUIVRE</t>
        </is>
      </c>
      <c r="L6856">
        <f>_xlfn.XLOOKUP(Tableau1[[#This Row],[TYPE DE PIECE]],Tableau4[MATIERE],Tableau4[SHORT TYPE],"",0,1)</f>
        <v/>
      </c>
      <c r="N6856">
        <f>IF(ISERR(FIND("DECOUPE",Tableau1[[#This Row],[DESIGNATION]])),"","NEED REF")</f>
        <v/>
      </c>
    </row>
    <row r="6857">
      <c r="B6857" t="n">
        <v>34407148</v>
      </c>
      <c r="C6857" s="2" t="n">
        <v>43389</v>
      </c>
      <c r="D6857" t="inlineStr">
        <is>
          <t>SPEC</t>
        </is>
      </c>
      <c r="E6857" t="inlineStr">
        <is>
          <t xml:space="preserve">LEG TOLERIE JAMAIQUE 2MVA  </t>
        </is>
      </c>
      <c r="F6857" t="inlineStr">
        <is>
          <t>JAMAIQUE</t>
        </is>
      </c>
      <c r="J6857" t="inlineStr">
        <is>
          <t>PLANTIER</t>
        </is>
      </c>
      <c r="K6857" t="inlineStr">
        <is>
          <t>METAL</t>
        </is>
      </c>
      <c r="L6857">
        <f>_xlfn.XLOOKUP(Tableau1[[#This Row],[TYPE DE PIECE]],Tableau4[MATIERE],Tableau4[SHORT TYPE],"",0,1)</f>
        <v/>
      </c>
      <c r="N6857">
        <f>IF(ISERR(FIND("DECOUPE",Tableau1[[#This Row],[DESIGNATION]])),"","NEED REF")</f>
        <v/>
      </c>
    </row>
    <row r="6858">
      <c r="B6858" t="n">
        <v>34407147</v>
      </c>
      <c r="C6858" s="2" t="n">
        <v>43389</v>
      </c>
      <c r="D6858" t="inlineStr">
        <is>
          <t>SPEC</t>
        </is>
      </c>
      <c r="E6858" t="inlineStr">
        <is>
          <t>CX1 GVM 2HOLES</t>
        </is>
      </c>
      <c r="F6858" t="inlineStr">
        <is>
          <t>IO GVM</t>
        </is>
      </c>
      <c r="J6858" t="inlineStr">
        <is>
          <t>MATRION</t>
        </is>
      </c>
      <c r="K6858" t="inlineStr">
        <is>
          <t>CUIVRE</t>
        </is>
      </c>
      <c r="L6858">
        <f>_xlfn.XLOOKUP(Tableau1[[#This Row],[TYPE DE PIECE]],Tableau4[MATIERE],Tableau4[SHORT TYPE],"",0,1)</f>
        <v/>
      </c>
      <c r="N6858">
        <f>IF(ISERR(FIND("DECOUPE",Tableau1[[#This Row],[DESIGNATION]])),"","NEED REF")</f>
        <v/>
      </c>
    </row>
    <row r="6859">
      <c r="B6859" t="n">
        <v>34407146</v>
      </c>
      <c r="C6859" s="2" t="n">
        <v>43389</v>
      </c>
      <c r="D6859" t="inlineStr">
        <is>
          <t>SPEC</t>
        </is>
      </c>
      <c r="E6859" t="inlineStr">
        <is>
          <t>PE BUSBAR SYIOF500 2HOLES</t>
        </is>
      </c>
      <c r="F6859" t="inlineStr">
        <is>
          <t>SYIO PX</t>
        </is>
      </c>
      <c r="J6859" t="inlineStr">
        <is>
          <t>MATRION</t>
        </is>
      </c>
      <c r="K6859" t="inlineStr">
        <is>
          <t>CUIVRE</t>
        </is>
      </c>
      <c r="L6859">
        <f>_xlfn.XLOOKUP(Tableau1[[#This Row],[TYPE DE PIECE]],Tableau4[MATIERE],Tableau4[SHORT TYPE],"",0,1)</f>
        <v/>
      </c>
      <c r="N6859">
        <f>IF(ISERR(FIND("DECOUPE",Tableau1[[#This Row],[DESIGNATION]])),"","NEED REF")</f>
        <v/>
      </c>
    </row>
    <row r="6860">
      <c r="B6860" t="n">
        <v>34407145</v>
      </c>
      <c r="C6860" s="2" t="n">
        <v>43388</v>
      </c>
      <c r="D6860" t="inlineStr">
        <is>
          <t>SPEC</t>
        </is>
      </c>
      <c r="E6860" t="inlineStr">
        <is>
          <t>EQUERRE DE SUPPORT PLAGE</t>
        </is>
      </c>
      <c r="F6860" t="inlineStr">
        <is>
          <t>GVX BBC NW40DC</t>
        </is>
      </c>
      <c r="J6860" t="inlineStr">
        <is>
          <t>BOIX</t>
        </is>
      </c>
      <c r="K6860" t="inlineStr">
        <is>
          <t>METAL</t>
        </is>
      </c>
      <c r="L6860">
        <f>_xlfn.XLOOKUP(Tableau1[[#This Row],[TYPE DE PIECE]],Tableau4[MATIERE],Tableau4[SHORT TYPE],"",0,1)</f>
        <v/>
      </c>
      <c r="N6860">
        <f>IF(ISERR(FIND("DECOUPE",Tableau1[[#This Row],[DESIGNATION]])),"","NEED REF")</f>
        <v/>
      </c>
    </row>
    <row r="6861">
      <c r="B6861" t="n">
        <v>34407144</v>
      </c>
      <c r="C6861" s="2" t="n">
        <v>43388</v>
      </c>
      <c r="D6861" t="inlineStr">
        <is>
          <t>SPEC</t>
        </is>
      </c>
      <c r="E6861" t="inlineStr">
        <is>
          <t>EQUERRE DE SUPPORT PLAGE</t>
        </is>
      </c>
      <c r="F6861" t="inlineStr">
        <is>
          <t>GVX BBC NW40DC</t>
        </is>
      </c>
      <c r="J6861" t="inlineStr">
        <is>
          <t>BOIX</t>
        </is>
      </c>
      <c r="K6861" t="inlineStr">
        <is>
          <t>METAL</t>
        </is>
      </c>
      <c r="L6861">
        <f>_xlfn.XLOOKUP(Tableau1[[#This Row],[TYPE DE PIECE]],Tableau4[MATIERE],Tableau4[SHORT TYPE],"",0,1)</f>
        <v/>
      </c>
      <c r="N6861">
        <f>IF(ISERR(FIND("DECOUPE",Tableau1[[#This Row],[DESIGNATION]])),"","NEED REF")</f>
        <v/>
      </c>
    </row>
    <row r="6862">
      <c r="B6862" t="n">
        <v>34407143</v>
      </c>
      <c r="C6862" s="2" t="inlineStr">
        <is>
          <t>15/10/118</t>
        </is>
      </c>
      <c r="D6862" t="inlineStr">
        <is>
          <t>SPEC</t>
        </is>
      </c>
      <c r="E6862" t="inlineStr">
        <is>
          <t>BBC GALAXY VX EN G55K  BLANCHE  L700 H 1970 P810</t>
        </is>
      </c>
      <c r="F6862" t="inlineStr">
        <is>
          <t>GVX BBC NW40DC</t>
        </is>
      </c>
      <c r="J6862" t="inlineStr">
        <is>
          <t>BOIX</t>
        </is>
      </c>
      <c r="K6862" t="inlineStr">
        <is>
          <t>SCHNEIDER</t>
        </is>
      </c>
      <c r="L6862">
        <f>_xlfn.XLOOKUP(Tableau1[[#This Row],[TYPE DE PIECE]],Tableau4[MATIERE],Tableau4[SHORT TYPE],"",0,1)</f>
        <v/>
      </c>
      <c r="N6862">
        <f>IF(ISERR(FIND("DECOUPE",Tableau1[[#This Row],[DESIGNATION]])),"","NEED REF")</f>
        <v/>
      </c>
    </row>
    <row r="6863">
      <c r="B6863" t="n">
        <v>34407142</v>
      </c>
      <c r="C6863" s="2" t="inlineStr">
        <is>
          <t>15/10/118</t>
        </is>
      </c>
      <c r="D6863" t="inlineStr">
        <is>
          <t>SPEC</t>
        </is>
      </c>
      <c r="E6863" t="inlineStr">
        <is>
          <t>ARMOIRE  L700 H 1970 P810</t>
        </is>
      </c>
      <c r="F6863" t="inlineStr">
        <is>
          <t>GVX BBC NW40DC</t>
        </is>
      </c>
      <c r="J6863" t="inlineStr">
        <is>
          <t>BOIX</t>
        </is>
      </c>
      <c r="K6863" t="inlineStr">
        <is>
          <t>SCHNEIDER</t>
        </is>
      </c>
      <c r="L6863">
        <f>_xlfn.XLOOKUP(Tableau1[[#This Row],[TYPE DE PIECE]],Tableau4[MATIERE],Tableau4[SHORT TYPE],"",0,1)</f>
        <v/>
      </c>
      <c r="N6863">
        <f>IF(ISERR(FIND("DECOUPE",Tableau1[[#This Row],[DESIGNATION]])),"","NEED REF")</f>
        <v/>
      </c>
    </row>
    <row r="6864">
      <c r="B6864" t="n">
        <v>34407141</v>
      </c>
      <c r="C6864" s="2" t="n">
        <v>43384</v>
      </c>
      <c r="D6864" t="inlineStr">
        <is>
          <t>SPEC</t>
        </is>
      </c>
      <c r="E6864" t="inlineStr">
        <is>
          <t>Masterpact NW12 H2 4P Micro2.0E</t>
        </is>
      </c>
      <c r="F6864" t="inlineStr">
        <is>
          <t>GVX MBC</t>
        </is>
      </c>
      <c r="J6864" t="inlineStr">
        <is>
          <t>MATRION</t>
        </is>
      </c>
      <c r="K6864" t="inlineStr">
        <is>
          <t>SCHNEIDER</t>
        </is>
      </c>
      <c r="L6864">
        <f>_xlfn.XLOOKUP(Tableau1[[#This Row],[TYPE DE PIECE]],Tableau4[MATIERE],Tableau4[SHORT TYPE],"",0,1)</f>
        <v/>
      </c>
      <c r="N6864">
        <f>IF(ISERR(FIND("DECOUPE",Tableau1[[#This Row],[DESIGNATION]])),"","NEED REF")</f>
        <v/>
      </c>
    </row>
    <row r="6865">
      <c r="B6865" t="n">
        <v>34407140</v>
      </c>
      <c r="C6865" s="2" t="n">
        <v>43384</v>
      </c>
      <c r="D6865" t="inlineStr">
        <is>
          <t>SPEC</t>
        </is>
      </c>
      <c r="E6865" t="inlineStr">
        <is>
          <t>PE BUSBAR BBB 2HOLES</t>
        </is>
      </c>
      <c r="F6865" t="inlineStr">
        <is>
          <t>GVM BBK COSSES 2x TROUS</t>
        </is>
      </c>
      <c r="J6865" t="inlineStr">
        <is>
          <t>MATRION</t>
        </is>
      </c>
      <c r="K6865" t="inlineStr">
        <is>
          <t>CUIVRE</t>
        </is>
      </c>
      <c r="L6865">
        <f>_xlfn.XLOOKUP(Tableau1[[#This Row],[TYPE DE PIECE]],Tableau4[MATIERE],Tableau4[SHORT TYPE],"",0,1)</f>
        <v/>
      </c>
      <c r="N6865">
        <f>IF(ISERR(FIND("DECOUPE",Tableau1[[#This Row],[DESIGNATION]])),"","NEED REF")</f>
        <v/>
      </c>
    </row>
    <row r="6866">
      <c r="B6866" t="n">
        <v>34407139</v>
      </c>
      <c r="C6866" s="2" t="n">
        <v>43384</v>
      </c>
      <c r="D6866" t="inlineStr">
        <is>
          <t>SPEC</t>
        </is>
      </c>
      <c r="E6866" t="inlineStr">
        <is>
          <t>CX2 BBK 630A 2HOLES</t>
        </is>
      </c>
      <c r="F6866" t="inlineStr">
        <is>
          <t>GVM BBK COSSES 2x TROUS</t>
        </is>
      </c>
      <c r="J6866" t="inlineStr">
        <is>
          <t>MATRION</t>
        </is>
      </c>
      <c r="K6866" t="inlineStr">
        <is>
          <t>CUIVRE</t>
        </is>
      </c>
      <c r="L6866">
        <f>_xlfn.XLOOKUP(Tableau1[[#This Row],[TYPE DE PIECE]],Tableau4[MATIERE],Tableau4[SHORT TYPE],"",0,1)</f>
        <v/>
      </c>
      <c r="N6866">
        <f>IF(ISERR(FIND("DECOUPE",Tableau1[[#This Row],[DESIGNATION]])),"","NEED REF")</f>
        <v/>
      </c>
    </row>
    <row r="6867">
      <c r="B6867" t="n">
        <v>34407138</v>
      </c>
      <c r="C6867" s="2" t="n">
        <v>43384</v>
      </c>
      <c r="D6867" t="inlineStr">
        <is>
          <t>SPEC</t>
        </is>
      </c>
      <c r="E6867" t="inlineStr">
        <is>
          <t>CX1 BBK 630A 2HOLES</t>
        </is>
      </c>
      <c r="F6867" t="inlineStr">
        <is>
          <t>GVM BBK COSSES 2x TROUS</t>
        </is>
      </c>
      <c r="J6867" t="inlineStr">
        <is>
          <t>MATRION</t>
        </is>
      </c>
      <c r="K6867" t="inlineStr">
        <is>
          <t>CUIVRE</t>
        </is>
      </c>
      <c r="L6867">
        <f>_xlfn.XLOOKUP(Tableau1[[#This Row],[TYPE DE PIECE]],Tableau4[MATIERE],Tableau4[SHORT TYPE],"",0,1)</f>
        <v/>
      </c>
      <c r="N6867">
        <f>IF(ISERR(FIND("DECOUPE",Tableau1[[#This Row],[DESIGNATION]])),"","NEED REF")</f>
        <v/>
      </c>
    </row>
    <row r="6868">
      <c r="B6868" t="n">
        <v>34407137</v>
      </c>
      <c r="C6868" s="2" t="n">
        <v>43384</v>
      </c>
      <c r="D6868" t="inlineStr">
        <is>
          <t>SPEC</t>
        </is>
      </c>
      <c r="E6868" t="inlineStr">
        <is>
          <t>CX2 BBK 630A 2HOLES</t>
        </is>
      </c>
      <c r="F6868" t="inlineStr">
        <is>
          <t>GVX BBK COSSES 2x TROUS</t>
        </is>
      </c>
      <c r="J6868" t="inlineStr">
        <is>
          <t>MATRION</t>
        </is>
      </c>
      <c r="K6868" t="inlineStr">
        <is>
          <t>CUIVRE</t>
        </is>
      </c>
      <c r="L6868">
        <f>_xlfn.XLOOKUP(Tableau1[[#This Row],[TYPE DE PIECE]],Tableau4[MATIERE],Tableau4[SHORT TYPE],"",0,1)</f>
        <v/>
      </c>
      <c r="N6868">
        <f>IF(ISERR(FIND("DECOUPE",Tableau1[[#This Row],[DESIGNATION]])),"","NEED REF")</f>
        <v/>
      </c>
    </row>
    <row r="6869">
      <c r="B6869" t="n">
        <v>34407136</v>
      </c>
      <c r="C6869" s="2" t="n">
        <v>43384</v>
      </c>
      <c r="D6869" t="inlineStr">
        <is>
          <t>SPEC</t>
        </is>
      </c>
      <c r="E6869" t="inlineStr">
        <is>
          <t>CX1 BBK 630A 2HOLES</t>
        </is>
      </c>
      <c r="F6869" t="inlineStr">
        <is>
          <t>GVX BBK COSSES 2x TROUS</t>
        </is>
      </c>
      <c r="J6869" t="inlineStr">
        <is>
          <t>MATRION</t>
        </is>
      </c>
      <c r="K6869" t="inlineStr">
        <is>
          <t>CUIVRE</t>
        </is>
      </c>
      <c r="L6869">
        <f>_xlfn.XLOOKUP(Tableau1[[#This Row],[TYPE DE PIECE]],Tableau4[MATIERE],Tableau4[SHORT TYPE],"",0,1)</f>
        <v/>
      </c>
      <c r="N6869">
        <f>IF(ISERR(FIND("DECOUPE",Tableau1[[#This Row],[DESIGNATION]])),"","NEED REF")</f>
        <v/>
      </c>
    </row>
    <row r="6870">
      <c r="B6870" t="n">
        <v>34407135</v>
      </c>
      <c r="C6870" s="2" t="n">
        <v>43384</v>
      </c>
      <c r="D6870" t="inlineStr">
        <is>
          <t>SPEC</t>
        </is>
      </c>
      <c r="E6870" t="inlineStr">
        <is>
          <t>PRESTATION VISSERIE EASI</t>
        </is>
      </c>
      <c r="F6870" t="inlineStr">
        <is>
          <t>DEWA</t>
        </is>
      </c>
      <c r="J6870" t="inlineStr">
        <is>
          <t>PLANTIER</t>
        </is>
      </c>
      <c r="L6870">
        <f>_xlfn.XLOOKUP(Tableau1[[#This Row],[TYPE DE PIECE]],Tableau4[MATIERE],Tableau4[SHORT TYPE],"",0,1)</f>
        <v/>
      </c>
      <c r="N6870">
        <f>IF(ISERR(FIND("DECOUPE",Tableau1[[#This Row],[DESIGNATION]])),"","NEED REF")</f>
        <v/>
      </c>
    </row>
    <row r="6871">
      <c r="B6871" t="n">
        <v>34407134</v>
      </c>
      <c r="C6871" s="2" t="n">
        <v>43384</v>
      </c>
      <c r="D6871" t="inlineStr">
        <is>
          <t>SPEC</t>
        </is>
      </c>
      <c r="E6871" t="inlineStr">
        <is>
          <t>PEINTURE RAL9005 PX 225kVA MONITORING BOX</t>
        </is>
      </c>
      <c r="F6871" t="inlineStr">
        <is>
          <t>MONITOR IO PX 225kVA</t>
        </is>
      </c>
      <c r="J6871" t="inlineStr">
        <is>
          <t>MATRION</t>
        </is>
      </c>
      <c r="K6871" t="inlineStr">
        <is>
          <t>PEINTURE</t>
        </is>
      </c>
      <c r="L6871">
        <f>_xlfn.XLOOKUP(Tableau1[[#This Row],[TYPE DE PIECE]],Tableau4[MATIERE],Tableau4[SHORT TYPE],"",0,1)</f>
        <v/>
      </c>
      <c r="N6871">
        <f>IF(ISERR(FIND("DECOUPE",Tableau1[[#This Row],[DESIGNATION]])),"","NEED REF")</f>
        <v/>
      </c>
    </row>
    <row r="6872">
      <c r="B6872" t="n">
        <v>34407133</v>
      </c>
      <c r="C6872" s="2" t="n">
        <v>43384</v>
      </c>
      <c r="D6872" t="inlineStr">
        <is>
          <t>NOM</t>
        </is>
      </c>
      <c r="E6872" t="inlineStr">
        <is>
          <t>NOM KIT PX 225kVA MONITORING BOX</t>
        </is>
      </c>
      <c r="F6872" t="inlineStr">
        <is>
          <t>MONITOR IO PX 225kVA</t>
        </is>
      </c>
      <c r="J6872" t="inlineStr">
        <is>
          <t>MATRION</t>
        </is>
      </c>
      <c r="L6872">
        <f>_xlfn.XLOOKUP(Tableau1[[#This Row],[TYPE DE PIECE]],Tableau4[MATIERE],Tableau4[SHORT TYPE],"",0,1)</f>
        <v/>
      </c>
      <c r="N6872">
        <f>IF(ISERR(FIND("DECOUPE",Tableau1[[#This Row],[DESIGNATION]])),"","NEED REF")</f>
        <v/>
      </c>
    </row>
    <row r="6873">
      <c r="B6873" t="n">
        <v>34407132</v>
      </c>
      <c r="C6873" s="2" t="n">
        <v>43384</v>
      </c>
      <c r="D6873" t="inlineStr">
        <is>
          <t>SPEC</t>
        </is>
      </c>
      <c r="E6873" t="inlineStr">
        <is>
          <t>Ventilateur NSYCVF300M230PF CUSTOM suivant devis W18100142MCR-A0</t>
        </is>
      </c>
      <c r="F6873" t="inlineStr">
        <is>
          <t>DEWA DUBAI - PVBOXQ-QSRE19290-00</t>
        </is>
      </c>
      <c r="J6873" t="inlineStr">
        <is>
          <t>MONGELLI</t>
        </is>
      </c>
      <c r="K6873" t="inlineStr">
        <is>
          <t>SAREL</t>
        </is>
      </c>
      <c r="L6873">
        <f>_xlfn.XLOOKUP(Tableau1[[#This Row],[TYPE DE PIECE]],Tableau4[MATIERE],Tableau4[SHORT TYPE],"",0,1)</f>
        <v/>
      </c>
      <c r="N6873">
        <f>IF(ISERR(FIND("DECOUPE",Tableau1[[#This Row],[DESIGNATION]])),"","NEED REF")</f>
        <v/>
      </c>
    </row>
    <row r="6874">
      <c r="B6874" t="n">
        <v>34407131</v>
      </c>
      <c r="C6874" s="2" t="n">
        <v>43383</v>
      </c>
      <c r="D6874" t="inlineStr">
        <is>
          <t>SPEC</t>
        </is>
      </c>
      <c r="E6874" t="inlineStr">
        <is>
          <t>Kit filerie pour coffret SOLAR SUPPLY BOX - DEWA DUBAI</t>
        </is>
      </c>
      <c r="F6874" t="inlineStr">
        <is>
          <t>DEWA DUBAI - PVBOXQ-QSRE19290-00</t>
        </is>
      </c>
      <c r="J6874" t="inlineStr">
        <is>
          <t>SERVANT - MONGELLI</t>
        </is>
      </c>
      <c r="K6874" t="inlineStr">
        <is>
          <t>FILERIE</t>
        </is>
      </c>
      <c r="L6874">
        <f>_xlfn.XLOOKUP(Tableau1[[#This Row],[TYPE DE PIECE]],Tableau4[MATIERE],Tableau4[SHORT TYPE],"",0,1)</f>
        <v/>
      </c>
      <c r="N6874">
        <f>IF(ISERR(FIND("DECOUPE",Tableau1[[#This Row],[DESIGNATION]])),"","NEED REF")</f>
        <v/>
      </c>
    </row>
    <row r="6875">
      <c r="B6875" t="n">
        <v>34407130</v>
      </c>
      <c r="C6875" s="2" t="n">
        <v>43381</v>
      </c>
      <c r="D6875" t="inlineStr">
        <is>
          <t>SPEC</t>
        </is>
      </c>
      <c r="E6875" t="inlineStr">
        <is>
          <t xml:space="preserve">Devis presta decoupe plastrons finition G6K 400-450Kva </t>
        </is>
      </c>
      <c r="F6875" t="inlineStr">
        <is>
          <t>GALAXY G6K 400-450Kva</t>
        </is>
      </c>
      <c r="J6875" t="inlineStr">
        <is>
          <t>BOIX</t>
        </is>
      </c>
      <c r="K6875" t="inlineStr">
        <is>
          <t>METAL</t>
        </is>
      </c>
      <c r="L6875">
        <f>_xlfn.XLOOKUP(Tableau1[[#This Row],[TYPE DE PIECE]],Tableau4[MATIERE],Tableau4[SHORT TYPE],"",0,1)</f>
        <v/>
      </c>
      <c r="N6875">
        <f>IF(ISERR(FIND("DECOUPE",Tableau1[[#This Row],[DESIGNATION]])),"","NEED REF")</f>
        <v/>
      </c>
    </row>
    <row r="6876">
      <c r="B6876" t="n">
        <v>34407129</v>
      </c>
      <c r="C6876" s="2" t="n">
        <v>43381</v>
      </c>
      <c r="D6876" t="inlineStr">
        <is>
          <t>SPEC</t>
        </is>
      </c>
      <c r="E6876" t="inlineStr">
        <is>
          <t>RALLONGE LOQUET FERMETURE PORTE 1</t>
        </is>
      </c>
      <c r="F6876" t="inlineStr">
        <is>
          <t>GALAXY G6K 400-450Kva</t>
        </is>
      </c>
      <c r="J6876" t="inlineStr">
        <is>
          <t>BOIX</t>
        </is>
      </c>
      <c r="K6876" t="inlineStr">
        <is>
          <t>METAL</t>
        </is>
      </c>
      <c r="L6876">
        <f>_xlfn.XLOOKUP(Tableau1[[#This Row],[TYPE DE PIECE]],Tableau4[MATIERE],Tableau4[SHORT TYPE],"",0,1)</f>
        <v/>
      </c>
      <c r="N6876">
        <f>IF(ISERR(FIND("DECOUPE",Tableau1[[#This Row],[DESIGNATION]])),"","NEED REF")</f>
        <v/>
      </c>
    </row>
    <row r="6877">
      <c r="B6877" t="n">
        <v>34407128</v>
      </c>
      <c r="C6877" s="2" t="n">
        <v>43376</v>
      </c>
      <c r="D6877" t="inlineStr">
        <is>
          <t>SPEC</t>
        </is>
      </c>
      <c r="E6877" t="inlineStr">
        <is>
          <t>PLASTRON HAUT DECOUPE G6K 400-450Kva</t>
        </is>
      </c>
      <c r="F6877" t="inlineStr">
        <is>
          <t>GALAXY G6K 400-450Kva</t>
        </is>
      </c>
      <c r="J6877" t="inlineStr">
        <is>
          <t>BOIX</t>
        </is>
      </c>
      <c r="K6877" t="inlineStr">
        <is>
          <t>METAL</t>
        </is>
      </c>
      <c r="L6877">
        <f>_xlfn.XLOOKUP(Tableau1[[#This Row],[TYPE DE PIECE]],Tableau4[MATIERE],Tableau4[SHORT TYPE],"",0,1)</f>
        <v/>
      </c>
      <c r="N6877">
        <f>IF(ISERR(FIND("DECOUPE",Tableau1[[#This Row],[DESIGNATION]])),"","NEED REF")</f>
        <v/>
      </c>
    </row>
    <row r="6878">
      <c r="B6878" t="n">
        <v>34407127</v>
      </c>
      <c r="C6878" s="2" t="n">
        <v>43376</v>
      </c>
      <c r="D6878" t="inlineStr">
        <is>
          <t>SPEC</t>
        </is>
      </c>
      <c r="E6878" t="inlineStr">
        <is>
          <t>PLASTRON BAS DECOUPE G6K 400-450Kva</t>
        </is>
      </c>
      <c r="F6878" t="inlineStr">
        <is>
          <t>GALAXY G6K 400-450Kva</t>
        </is>
      </c>
      <c r="J6878" t="inlineStr">
        <is>
          <t>BOIX</t>
        </is>
      </c>
      <c r="K6878" t="inlineStr">
        <is>
          <t>METAL</t>
        </is>
      </c>
      <c r="L6878">
        <f>_xlfn.XLOOKUP(Tableau1[[#This Row],[TYPE DE PIECE]],Tableau4[MATIERE],Tableau4[SHORT TYPE],"",0,1)</f>
        <v/>
      </c>
      <c r="N6878">
        <f>IF(ISERR(FIND("DECOUPE",Tableau1[[#This Row],[DESIGNATION]])),"","NEED REF")</f>
        <v/>
      </c>
    </row>
    <row r="6879">
      <c r="B6879" t="n">
        <v>34407126</v>
      </c>
      <c r="C6879" s="2" t="n">
        <v>43376</v>
      </c>
      <c r="D6879" t="inlineStr">
        <is>
          <t>SPEC</t>
        </is>
      </c>
      <c r="E6879" t="inlineStr">
        <is>
          <t>PLASTRON  MILIEU DECOUPE G6K 400-450Kva</t>
        </is>
      </c>
      <c r="F6879" t="inlineStr">
        <is>
          <t>GALAXY G6K 400-450Kva</t>
        </is>
      </c>
      <c r="J6879" t="inlineStr">
        <is>
          <t>BOIX</t>
        </is>
      </c>
      <c r="K6879" t="inlineStr">
        <is>
          <t>METAL</t>
        </is>
      </c>
      <c r="L6879">
        <f>_xlfn.XLOOKUP(Tableau1[[#This Row],[TYPE DE PIECE]],Tableau4[MATIERE],Tableau4[SHORT TYPE],"",0,1)</f>
        <v/>
      </c>
      <c r="N6879">
        <f>IF(ISERR(FIND("DECOUPE",Tableau1[[#This Row],[DESIGNATION]])),"","NEED REF")</f>
        <v/>
      </c>
    </row>
    <row r="6880">
      <c r="B6880" t="n">
        <v>34407125</v>
      </c>
      <c r="C6880" s="2" t="n">
        <v>43376</v>
      </c>
      <c r="D6880" t="inlineStr">
        <is>
          <t>SPEC</t>
        </is>
      </c>
      <c r="E6880" t="inlineStr">
        <is>
          <t>PLASTRON BYPASS GUTOR</t>
        </is>
      </c>
      <c r="F6880" t="inlineStr">
        <is>
          <t>TOTAL</t>
        </is>
      </c>
      <c r="J6880" t="inlineStr">
        <is>
          <t>MATRION</t>
        </is>
      </c>
      <c r="K6880" t="inlineStr">
        <is>
          <t>METAL</t>
        </is>
      </c>
      <c r="L6880">
        <f>_xlfn.XLOOKUP(Tableau1[[#This Row],[TYPE DE PIECE]],Tableau4[MATIERE],Tableau4[SHORT TYPE],"",0,1)</f>
        <v/>
      </c>
      <c r="N6880">
        <f>IF(ISERR(FIND("DECOUPE",Tableau1[[#This Row],[DESIGNATION]])),"","NEED REF")</f>
        <v/>
      </c>
    </row>
    <row r="6881">
      <c r="B6881" t="n">
        <v>34407124</v>
      </c>
      <c r="C6881" s="2" t="n">
        <v>43376</v>
      </c>
      <c r="D6881" t="inlineStr">
        <is>
          <t>SPEC</t>
        </is>
      </c>
      <c r="E6881" t="inlineStr">
        <is>
          <t>SMT PLATINE BYPASS NSX250 3/4P</t>
        </is>
      </c>
      <c r="F6881" t="inlineStr">
        <is>
          <t>TOTAL</t>
        </is>
      </c>
      <c r="J6881" t="inlineStr">
        <is>
          <t>MATRION</t>
        </is>
      </c>
      <c r="K6881" t="inlineStr">
        <is>
          <t>METAL</t>
        </is>
      </c>
      <c r="L6881">
        <f>_xlfn.XLOOKUP(Tableau1[[#This Row],[TYPE DE PIECE]],Tableau4[MATIERE],Tableau4[SHORT TYPE],"",0,1)</f>
        <v/>
      </c>
      <c r="N6881">
        <f>IF(ISERR(FIND("DECOUPE",Tableau1[[#This Row],[DESIGNATION]])),"","NEED REF")</f>
        <v/>
      </c>
    </row>
    <row r="6882">
      <c r="B6882" t="n">
        <v>34407123</v>
      </c>
      <c r="C6882" s="2" t="n">
        <v>43376</v>
      </c>
      <c r="D6882" t="inlineStr">
        <is>
          <t>SPEC</t>
        </is>
      </c>
      <c r="E6882" t="inlineStr">
        <is>
          <t>GOULOTTE  L 465mm</t>
        </is>
      </c>
      <c r="F6882" t="inlineStr">
        <is>
          <t>DEWA DUBAI</t>
        </is>
      </c>
      <c r="J6882" t="inlineStr">
        <is>
          <t>BOIX</t>
        </is>
      </c>
      <c r="K6882" t="inlineStr">
        <is>
          <t>METAL</t>
        </is>
      </c>
      <c r="L6882">
        <f>_xlfn.XLOOKUP(Tableau1[[#This Row],[TYPE DE PIECE]],Tableau4[MATIERE],Tableau4[SHORT TYPE],"",0,1)</f>
        <v/>
      </c>
      <c r="N6882">
        <f>IF(ISERR(FIND("DECOUPE",Tableau1[[#This Row],[DESIGNATION]])),"","NEED REF")</f>
        <v/>
      </c>
    </row>
    <row r="6883">
      <c r="B6883" t="n">
        <v>34407122</v>
      </c>
      <c r="C6883" s="2" t="n">
        <v>43375</v>
      </c>
      <c r="D6883" t="inlineStr">
        <is>
          <t>SPEC</t>
        </is>
      </c>
      <c r="E6883" t="inlineStr">
        <is>
          <t>PLASTON</t>
        </is>
      </c>
      <c r="F6883" t="inlineStr">
        <is>
          <t>TOTAL</t>
        </is>
      </c>
      <c r="J6883" t="inlineStr">
        <is>
          <t>MATRION</t>
        </is>
      </c>
      <c r="L6883">
        <f>_xlfn.XLOOKUP(Tableau1[[#This Row],[TYPE DE PIECE]],Tableau4[MATIERE],Tableau4[SHORT TYPE],"",0,1)</f>
        <v/>
      </c>
      <c r="N6883">
        <f>IF(ISERR(FIND("DECOUPE",Tableau1[[#This Row],[DESIGNATION]])),"","NEED REF")</f>
        <v/>
      </c>
    </row>
    <row r="6884">
      <c r="B6884" t="n">
        <v>34407121</v>
      </c>
      <c r="C6884" s="2" t="n">
        <v>43375</v>
      </c>
      <c r="D6884" t="inlineStr">
        <is>
          <t>SPEC</t>
        </is>
      </c>
      <c r="E6884" t="inlineStr">
        <is>
          <t>RAIL TELEX ECHELLE A CABLE SUIVANT REF 018001 - L = 312</t>
        </is>
      </c>
      <c r="F6884" t="inlineStr">
        <is>
          <t>DEWA DUBAI</t>
        </is>
      </c>
      <c r="J6884" t="inlineStr">
        <is>
          <t>BOIX</t>
        </is>
      </c>
      <c r="K6884" t="inlineStr">
        <is>
          <t>METAL</t>
        </is>
      </c>
      <c r="L6884">
        <f>_xlfn.XLOOKUP(Tableau1[[#This Row],[TYPE DE PIECE]],Tableau4[MATIERE],Tableau4[SHORT TYPE],"",0,1)</f>
        <v/>
      </c>
      <c r="N6884">
        <f>IF(ISERR(FIND("DECOUPE",Tableau1[[#This Row],[DESIGNATION]])),"","NEED REF")</f>
        <v/>
      </c>
    </row>
    <row r="6885">
      <c r="B6885" t="n">
        <v>34407120</v>
      </c>
      <c r="C6885" s="2" t="n">
        <v>43375</v>
      </c>
      <c r="D6885" t="inlineStr">
        <is>
          <t>SPEC</t>
        </is>
      </c>
      <c r="E6885" t="inlineStr">
        <is>
          <t>RAIL TELEX FRETTAGE DE CABLE SUIVANT REF 018001 - L = 472</t>
        </is>
      </c>
      <c r="F6885" t="inlineStr">
        <is>
          <t>DEWA DUBAI</t>
        </is>
      </c>
      <c r="J6885" t="inlineStr">
        <is>
          <t>BOIX</t>
        </is>
      </c>
      <c r="K6885" t="inlineStr">
        <is>
          <t>METAL</t>
        </is>
      </c>
      <c r="L6885">
        <f>_xlfn.XLOOKUP(Tableau1[[#This Row],[TYPE DE PIECE]],Tableau4[MATIERE],Tableau4[SHORT TYPE],"",0,1)</f>
        <v/>
      </c>
      <c r="N6885">
        <f>IF(ISERR(FIND("DECOUPE",Tableau1[[#This Row],[DESIGNATION]])),"","NEED REF")</f>
        <v/>
      </c>
    </row>
    <row r="6886">
      <c r="B6886" t="n">
        <v>34407119</v>
      </c>
      <c r="C6886" s="2" t="n">
        <v>43375</v>
      </c>
      <c r="D6886" t="inlineStr">
        <is>
          <t>NOM</t>
        </is>
      </c>
      <c r="E6886" t="inlineStr">
        <is>
          <t>NOM KIT IO 1250kW MONITORING BOX</t>
        </is>
      </c>
      <c r="F6886" t="inlineStr">
        <is>
          <t xml:space="preserve">IO GVX 1250kW  High Powerbar – HPB </t>
        </is>
      </c>
      <c r="J6886" t="inlineStr">
        <is>
          <t>MATRION</t>
        </is>
      </c>
      <c r="L6886">
        <f>_xlfn.XLOOKUP(Tableau1[[#This Row],[TYPE DE PIECE]],Tableau4[MATIERE],Tableau4[SHORT TYPE],"",0,1)</f>
        <v/>
      </c>
      <c r="N6886">
        <f>IF(ISERR(FIND("DECOUPE",Tableau1[[#This Row],[DESIGNATION]])),"","NEED REF")</f>
        <v/>
      </c>
    </row>
    <row r="6887">
      <c r="B6887" t="n">
        <v>34407118</v>
      </c>
      <c r="C6887" s="2" t="n">
        <v>43375</v>
      </c>
      <c r="D6887" t="inlineStr">
        <is>
          <t>NOM</t>
        </is>
      </c>
      <c r="E6887" t="inlineStr">
        <is>
          <t>NOM KIT IO 1250kW PE RENFORCED</t>
        </is>
      </c>
      <c r="F6887" t="inlineStr">
        <is>
          <t xml:space="preserve">IO GVX 1250kW  High Powerbar – HPB </t>
        </is>
      </c>
      <c r="J6887" t="inlineStr">
        <is>
          <t>MATRION</t>
        </is>
      </c>
      <c r="L6887">
        <f>_xlfn.XLOOKUP(Tableau1[[#This Row],[TYPE DE PIECE]],Tableau4[MATIERE],Tableau4[SHORT TYPE],"",0,1)</f>
        <v/>
      </c>
      <c r="N6887">
        <f>IF(ISERR(FIND("DECOUPE",Tableau1[[#This Row],[DESIGNATION]])),"","NEED REF")</f>
        <v/>
      </c>
    </row>
    <row r="6888">
      <c r="B6888" t="n">
        <v>34407117</v>
      </c>
      <c r="C6888" s="2" t="n">
        <v>43375</v>
      </c>
      <c r="D6888" t="inlineStr">
        <is>
          <t>NOM</t>
        </is>
      </c>
      <c r="E6888" t="inlineStr">
        <is>
          <t>NOM KIT IO 1250kW REHAUSSE</t>
        </is>
      </c>
      <c r="F6888" t="inlineStr">
        <is>
          <t xml:space="preserve">IO GVX 1250kW  High Powerbar – HPB </t>
        </is>
      </c>
      <c r="J6888" t="inlineStr">
        <is>
          <t>MATRION</t>
        </is>
      </c>
      <c r="L6888">
        <f>_xlfn.XLOOKUP(Tableau1[[#This Row],[TYPE DE PIECE]],Tableau4[MATIERE],Tableau4[SHORT TYPE],"",0,1)</f>
        <v/>
      </c>
      <c r="N6888">
        <f>IF(ISERR(FIND("DECOUPE",Tableau1[[#This Row],[DESIGNATION]])),"","NEED REF")</f>
        <v/>
      </c>
    </row>
    <row r="6889">
      <c r="B6889" t="n">
        <v>34407116</v>
      </c>
      <c r="C6889" s="2" t="n">
        <v>43375</v>
      </c>
      <c r="D6889" t="inlineStr">
        <is>
          <t>NOM</t>
        </is>
      </c>
      <c r="E6889" t="inlineStr">
        <is>
          <t>TGAB DC I/O 1250KW</t>
        </is>
      </c>
      <c r="F6889" t="inlineStr">
        <is>
          <t xml:space="preserve">IO GVX 1250kW  High Powerbar – HPB </t>
        </is>
      </c>
      <c r="J6889" t="inlineStr">
        <is>
          <t>MATRION</t>
        </is>
      </c>
      <c r="L6889">
        <f>_xlfn.XLOOKUP(Tableau1[[#This Row],[TYPE DE PIECE]],Tableau4[MATIERE],Tableau4[SHORT TYPE],"",0,1)</f>
        <v/>
      </c>
      <c r="N6889">
        <f>IF(ISERR(FIND("DECOUPE",Tableau1[[#This Row],[DESIGNATION]])),"","NEED REF")</f>
        <v/>
      </c>
    </row>
    <row r="6890">
      <c r="B6890" t="n">
        <v>34407115</v>
      </c>
      <c r="C6890" s="2" t="n">
        <v>43375</v>
      </c>
      <c r="D6890" t="inlineStr">
        <is>
          <t>NOM</t>
        </is>
      </c>
      <c r="E6890" t="inlineStr">
        <is>
          <t>NOM KIT IO 1250kW LOAD</t>
        </is>
      </c>
      <c r="F6890" t="inlineStr">
        <is>
          <t xml:space="preserve">IO GVX 1250kW  High Powerbar – HPB </t>
        </is>
      </c>
      <c r="J6890" t="inlineStr">
        <is>
          <t>MATRION</t>
        </is>
      </c>
      <c r="L6890">
        <f>_xlfn.XLOOKUP(Tableau1[[#This Row],[TYPE DE PIECE]],Tableau4[MATIERE],Tableau4[SHORT TYPE],"",0,1)</f>
        <v/>
      </c>
      <c r="N6890">
        <f>IF(ISERR(FIND("DECOUPE",Tableau1[[#This Row],[DESIGNATION]])),"","NEED REF")</f>
        <v/>
      </c>
    </row>
    <row r="6891">
      <c r="B6891" t="n">
        <v>34407114</v>
      </c>
      <c r="C6891" s="2" t="n">
        <v>43375</v>
      </c>
      <c r="D6891" t="inlineStr">
        <is>
          <t>NOM</t>
        </is>
      </c>
      <c r="E6891" t="inlineStr">
        <is>
          <t>TGAB MAINS2 I/O 1250KW</t>
        </is>
      </c>
      <c r="F6891" t="inlineStr">
        <is>
          <t xml:space="preserve">IO GVX 1250kW  High Powerbar – HPB </t>
        </is>
      </c>
      <c r="J6891" t="inlineStr">
        <is>
          <t>MATRION</t>
        </is>
      </c>
      <c r="L6891">
        <f>_xlfn.XLOOKUP(Tableau1[[#This Row],[TYPE DE PIECE]],Tableau4[MATIERE],Tableau4[SHORT TYPE],"",0,1)</f>
        <v/>
      </c>
      <c r="N6891">
        <f>IF(ISERR(FIND("DECOUPE",Tableau1[[#This Row],[DESIGNATION]])),"","NEED REF")</f>
        <v/>
      </c>
    </row>
    <row r="6892">
      <c r="B6892" t="n">
        <v>34407113</v>
      </c>
      <c r="C6892" s="2" t="n">
        <v>43375</v>
      </c>
      <c r="D6892" t="inlineStr">
        <is>
          <t>NOM</t>
        </is>
      </c>
      <c r="E6892" t="inlineStr">
        <is>
          <t>NOM KIT IO 1250kW MAINS1</t>
        </is>
      </c>
      <c r="F6892" t="inlineStr">
        <is>
          <t xml:space="preserve">IO GVX 1250kW  High Powerbar – HPB </t>
        </is>
      </c>
      <c r="J6892" t="inlineStr">
        <is>
          <t>MATRION</t>
        </is>
      </c>
      <c r="L6892">
        <f>_xlfn.XLOOKUP(Tableau1[[#This Row],[TYPE DE PIECE]],Tableau4[MATIERE],Tableau4[SHORT TYPE],"",0,1)</f>
        <v/>
      </c>
      <c r="N6892">
        <f>IF(ISERR(FIND("DECOUPE",Tableau1[[#This Row],[DESIGNATION]])),"","NEED REF")</f>
        <v/>
      </c>
    </row>
    <row r="6893">
      <c r="B6893" t="n">
        <v>34407112</v>
      </c>
      <c r="C6893" s="2" t="n">
        <v>43375</v>
      </c>
      <c r="D6893" t="inlineStr">
        <is>
          <t>NOM</t>
        </is>
      </c>
      <c r="E6893" t="inlineStr">
        <is>
          <t>LG VISSERIE QSFE19109</t>
        </is>
      </c>
      <c r="J6893" t="inlineStr">
        <is>
          <t>ROBERT</t>
        </is>
      </c>
      <c r="L6893">
        <f>_xlfn.XLOOKUP(Tableau1[[#This Row],[TYPE DE PIECE]],Tableau4[MATIERE],Tableau4[SHORT TYPE],"",0,1)</f>
        <v/>
      </c>
      <c r="N6893">
        <f>IF(ISERR(FIND("DECOUPE",Tableau1[[#This Row],[DESIGNATION]])),"","NEED REF")</f>
        <v/>
      </c>
    </row>
    <row r="6894">
      <c r="B6894" t="n">
        <v>34407111</v>
      </c>
      <c r="C6894" s="2" t="n">
        <v>43375</v>
      </c>
      <c r="D6894" t="inlineStr">
        <is>
          <t>NOM</t>
        </is>
      </c>
      <c r="E6894" t="inlineStr">
        <is>
          <t>KIT REHAUSSE</t>
        </is>
      </c>
      <c r="J6894" t="inlineStr">
        <is>
          <t>ROBERT</t>
        </is>
      </c>
      <c r="L6894">
        <f>_xlfn.XLOOKUP(Tableau1[[#This Row],[TYPE DE PIECE]],Tableau4[MATIERE],Tableau4[SHORT TYPE],"",0,1)</f>
        <v/>
      </c>
      <c r="N6894">
        <f>IF(ISERR(FIND("DECOUPE",Tableau1[[#This Row],[DESIGNATION]])),"","NEED REF")</f>
        <v/>
      </c>
    </row>
    <row r="6895">
      <c r="B6895" t="n">
        <v>34407110</v>
      </c>
      <c r="C6895" s="2" t="n">
        <v>43375</v>
      </c>
      <c r="D6895" t="inlineStr">
        <is>
          <t>NOM</t>
        </is>
      </c>
      <c r="E6895" t="inlineStr">
        <is>
          <t>TGAB LOAD I/O 1500KW VOLTADIS</t>
        </is>
      </c>
      <c r="J6895" t="inlineStr">
        <is>
          <t>ROBERT</t>
        </is>
      </c>
      <c r="L6895">
        <f>_xlfn.XLOOKUP(Tableau1[[#This Row],[TYPE DE PIECE]],Tableau4[MATIERE],Tableau4[SHORT TYPE],"",0,1)</f>
        <v/>
      </c>
      <c r="N6895">
        <f>IF(ISERR(FIND("DECOUPE",Tableau1[[#This Row],[DESIGNATION]])),"","NEED REF")</f>
        <v/>
      </c>
    </row>
    <row r="6896">
      <c r="B6896" t="n">
        <v>34407109</v>
      </c>
      <c r="C6896" s="2" t="n">
        <v>43375</v>
      </c>
      <c r="D6896" t="inlineStr">
        <is>
          <t>NOM</t>
        </is>
      </c>
      <c r="E6896" t="inlineStr">
        <is>
          <t>TGAB MAINS I/O 1500KW VOLTADIS</t>
        </is>
      </c>
      <c r="J6896" t="inlineStr">
        <is>
          <t>ROBERT</t>
        </is>
      </c>
      <c r="L6896">
        <f>_xlfn.XLOOKUP(Tableau1[[#This Row],[TYPE DE PIECE]],Tableau4[MATIERE],Tableau4[SHORT TYPE],"",0,1)</f>
        <v/>
      </c>
      <c r="N6896">
        <f>IF(ISERR(FIND("DECOUPE",Tableau1[[#This Row],[DESIGNATION]])),"","NEED REF")</f>
        <v/>
      </c>
    </row>
    <row r="6897">
      <c r="B6897" t="n">
        <v>34407108</v>
      </c>
      <c r="C6897" s="2" t="n">
        <v>43375</v>
      </c>
      <c r="D6897" t="inlineStr">
        <is>
          <t>SPEC</t>
        </is>
      </c>
      <c r="E6897" t="inlineStr">
        <is>
          <t>TRANSPORT HEAD</t>
        </is>
      </c>
      <c r="F6897" t="inlineStr">
        <is>
          <t>TGAB I/O 1500KW 2 HEADS VOTADIS 3200A</t>
        </is>
      </c>
      <c r="J6897" t="inlineStr">
        <is>
          <t>ROBERT</t>
        </is>
      </c>
      <c r="L6897">
        <f>_xlfn.XLOOKUP(Tableau1[[#This Row],[TYPE DE PIECE]],Tableau4[MATIERE],Tableau4[SHORT TYPE],"",0,1)</f>
        <v/>
      </c>
      <c r="N6897">
        <f>IF(ISERR(FIND("DECOUPE",Tableau1[[#This Row],[DESIGNATION]])),"","NEED REF")</f>
        <v/>
      </c>
    </row>
    <row r="6898">
      <c r="B6898" t="n">
        <v>34407107</v>
      </c>
      <c r="C6898" s="2" t="n">
        <v>43374</v>
      </c>
      <c r="D6898" t="inlineStr">
        <is>
          <t>SPEC</t>
        </is>
      </c>
      <c r="E6898" t="inlineStr">
        <is>
          <t xml:space="preserve">LEG TOLERIE LIAISON UNITAIRE 4MVA  </t>
        </is>
      </c>
      <c r="F6898" t="inlineStr">
        <is>
          <t>DEWA 4MVA</t>
        </is>
      </c>
      <c r="J6898" t="inlineStr">
        <is>
          <t>PLANTIER</t>
        </is>
      </c>
      <c r="L6898">
        <f>_xlfn.XLOOKUP(Tableau1[[#This Row],[TYPE DE PIECE]],Tableau4[MATIERE],Tableau4[SHORT TYPE],"",0,1)</f>
        <v/>
      </c>
      <c r="N6898">
        <f>IF(ISERR(FIND("DECOUPE",Tableau1[[#This Row],[DESIGNATION]])),"","NEED REF")</f>
        <v/>
      </c>
    </row>
    <row r="6899">
      <c r="B6899" t="n">
        <v>34407106</v>
      </c>
      <c r="C6899" s="2" t="n">
        <v>43368</v>
      </c>
      <c r="D6899" t="inlineStr">
        <is>
          <t>SPEC</t>
        </is>
      </c>
      <c r="E6899" t="inlineStr">
        <is>
          <t>ETO sur NSYPMM107 châssis plein - acier galvanisé - Projet DEWA</t>
        </is>
      </c>
      <c r="F6899" t="inlineStr">
        <is>
          <t>DEWA DUBAI</t>
        </is>
      </c>
      <c r="J6899" t="inlineStr">
        <is>
          <t>BOIX</t>
        </is>
      </c>
      <c r="K6899" t="inlineStr">
        <is>
          <t>METAL</t>
        </is>
      </c>
      <c r="L6899">
        <f>_xlfn.XLOOKUP(Tableau1[[#This Row],[TYPE DE PIECE]],Tableau4[MATIERE],Tableau4[SHORT TYPE],"",0,1)</f>
        <v/>
      </c>
      <c r="N6899">
        <f>IF(ISERR(FIND("DECOUPE",Tableau1[[#This Row],[DESIGNATION]])),"","NEED REF")</f>
        <v/>
      </c>
    </row>
    <row r="6900">
      <c r="B6900" t="n">
        <v>34407105</v>
      </c>
      <c r="C6900" s="2" t="n">
        <v>43368</v>
      </c>
      <c r="D6900" t="inlineStr">
        <is>
          <t>SPEC</t>
        </is>
      </c>
      <c r="E6900" t="inlineStr">
        <is>
          <t>CX PE 4 TGAB HPB-PF</t>
        </is>
      </c>
      <c r="F6900" t="inlineStr">
        <is>
          <t>IO GVX 1250kW BUSBAR</t>
        </is>
      </c>
      <c r="J6900" t="inlineStr">
        <is>
          <t>MATRION</t>
        </is>
      </c>
      <c r="K6900" t="inlineStr">
        <is>
          <t>CUIVRE</t>
        </is>
      </c>
      <c r="L6900">
        <f>_xlfn.XLOOKUP(Tableau1[[#This Row],[TYPE DE PIECE]],Tableau4[MATIERE],Tableau4[SHORT TYPE],"",0,1)</f>
        <v/>
      </c>
      <c r="N6900">
        <f>IF(ISERR(FIND("DECOUPE",Tableau1[[#This Row],[DESIGNATION]])),"","NEED REF")</f>
        <v/>
      </c>
    </row>
    <row r="6901">
      <c r="B6901" t="n">
        <v>34407104</v>
      </c>
      <c r="C6901" s="2" t="n">
        <v>43368</v>
      </c>
      <c r="D6901" t="inlineStr">
        <is>
          <t>SPEC</t>
        </is>
      </c>
      <c r="E6901" t="inlineStr">
        <is>
          <t>CX PE 3 TGAB HPB-PF</t>
        </is>
      </c>
      <c r="F6901" t="inlineStr">
        <is>
          <t>IO GVX 1250kW BUSBAR</t>
        </is>
      </c>
      <c r="J6901" t="inlineStr">
        <is>
          <t>MATRION</t>
        </is>
      </c>
      <c r="K6901" t="inlineStr">
        <is>
          <t>CUIVRE</t>
        </is>
      </c>
      <c r="L6901">
        <f>_xlfn.XLOOKUP(Tableau1[[#This Row],[TYPE DE PIECE]],Tableau4[MATIERE],Tableau4[SHORT TYPE],"",0,1)</f>
        <v/>
      </c>
      <c r="N6901">
        <f>IF(ISERR(FIND("DECOUPE",Tableau1[[#This Row],[DESIGNATION]])),"","NEED REF")</f>
        <v/>
      </c>
    </row>
    <row r="6902">
      <c r="B6902" t="n">
        <v>34407103</v>
      </c>
      <c r="C6902" s="2" t="n">
        <v>43371</v>
      </c>
      <c r="D6902" t="inlineStr">
        <is>
          <t>SPEC</t>
        </is>
      </c>
      <c r="E6902" t="inlineStr">
        <is>
          <t>RAIL DIN  L 85mm</t>
        </is>
      </c>
      <c r="F6902" t="inlineStr">
        <is>
          <t>DEWA DUBAI</t>
        </is>
      </c>
      <c r="J6902" t="inlineStr">
        <is>
          <t>BOIX</t>
        </is>
      </c>
      <c r="K6902" t="inlineStr">
        <is>
          <t>METAL</t>
        </is>
      </c>
      <c r="L6902">
        <f>_xlfn.XLOOKUP(Tableau1[[#This Row],[TYPE DE PIECE]],Tableau4[MATIERE],Tableau4[SHORT TYPE],"",0,1)</f>
        <v/>
      </c>
      <c r="N6902">
        <f>IF(ISERR(FIND("DECOUPE",Tableau1[[#This Row],[DESIGNATION]])),"","NEED REF")</f>
        <v/>
      </c>
    </row>
    <row r="6903">
      <c r="B6903" t="n">
        <v>34407102</v>
      </c>
      <c r="C6903" s="2" t="n">
        <v>43371</v>
      </c>
      <c r="D6903" t="inlineStr">
        <is>
          <t>SPEC</t>
        </is>
      </c>
      <c r="E6903" t="inlineStr">
        <is>
          <t>RAIL DIN  L350mm</t>
        </is>
      </c>
      <c r="F6903" t="inlineStr">
        <is>
          <t>DEWA DUBAI</t>
        </is>
      </c>
      <c r="J6903" t="inlineStr">
        <is>
          <t>BOIX</t>
        </is>
      </c>
      <c r="K6903" t="inlineStr">
        <is>
          <t>METAL</t>
        </is>
      </c>
      <c r="L6903">
        <f>_xlfn.XLOOKUP(Tableau1[[#This Row],[TYPE DE PIECE]],Tableau4[MATIERE],Tableau4[SHORT TYPE],"",0,1)</f>
        <v/>
      </c>
      <c r="N6903">
        <f>IF(ISERR(FIND("DECOUPE",Tableau1[[#This Row],[DESIGNATION]])),"","NEED REF")</f>
        <v/>
      </c>
    </row>
    <row r="6904">
      <c r="B6904" t="n">
        <v>34407101</v>
      </c>
      <c r="C6904" s="2" t="n">
        <v>43371</v>
      </c>
      <c r="D6904" t="inlineStr">
        <is>
          <t>SPEC</t>
        </is>
      </c>
      <c r="E6904" t="inlineStr">
        <is>
          <t>PLATINE PE</t>
        </is>
      </c>
      <c r="F6904" t="inlineStr">
        <is>
          <t xml:space="preserve">STS630A </t>
        </is>
      </c>
      <c r="J6904" t="inlineStr">
        <is>
          <t>MATRION</t>
        </is>
      </c>
      <c r="K6904" t="inlineStr">
        <is>
          <t>METAL</t>
        </is>
      </c>
      <c r="L6904">
        <f>_xlfn.XLOOKUP(Tableau1[[#This Row],[TYPE DE PIECE]],Tableau4[MATIERE],Tableau4[SHORT TYPE],"",0,1)</f>
        <v/>
      </c>
      <c r="N6904">
        <f>IF(ISERR(FIND("DECOUPE",Tableau1[[#This Row],[DESIGNATION]])),"","NEED REF")</f>
        <v/>
      </c>
    </row>
    <row r="6905">
      <c r="B6905" t="n">
        <v>34407100</v>
      </c>
      <c r="C6905" s="2" t="n">
        <v>43371</v>
      </c>
      <c r="D6905" t="inlineStr">
        <is>
          <t>SPEC</t>
        </is>
      </c>
      <c r="E6905" t="inlineStr">
        <is>
          <t>GN 60 X 40</t>
        </is>
      </c>
      <c r="F6905" t="inlineStr">
        <is>
          <t xml:space="preserve">pour fabien </t>
        </is>
      </c>
      <c r="J6905" t="inlineStr">
        <is>
          <t>PLANTIER</t>
        </is>
      </c>
      <c r="L6905">
        <f>_xlfn.XLOOKUP(Tableau1[[#This Row],[TYPE DE PIECE]],Tableau4[MATIERE],Tableau4[SHORT TYPE],"",0,1)</f>
        <v/>
      </c>
      <c r="N6905">
        <f>IF(ISERR(FIND("DECOUPE",Tableau1[[#This Row],[DESIGNATION]])),"","NEED REF")</f>
        <v/>
      </c>
    </row>
    <row r="6906">
      <c r="B6906" t="n">
        <v>34407099</v>
      </c>
      <c r="C6906" s="2" t="n">
        <v>43369</v>
      </c>
      <c r="D6906" t="inlineStr">
        <is>
          <t>SPEC</t>
        </is>
      </c>
      <c r="E6906" t="inlineStr">
        <is>
          <t>PLASTRON 2 COFFRET MONITORING</t>
        </is>
      </c>
      <c r="F6906" t="inlineStr">
        <is>
          <t xml:space="preserve">IO GVX 1250kW  High Powerbar – HPB </t>
        </is>
      </c>
      <c r="J6906" t="inlineStr">
        <is>
          <t>MATRION</t>
        </is>
      </c>
      <c r="K6906" t="inlineStr">
        <is>
          <t>METAL</t>
        </is>
      </c>
      <c r="L6906">
        <f>_xlfn.XLOOKUP(Tableau1[[#This Row],[TYPE DE PIECE]],Tableau4[MATIERE],Tableau4[SHORT TYPE],"",0,1)</f>
        <v/>
      </c>
      <c r="N6906">
        <f>IF(ISERR(FIND("DECOUPE",Tableau1[[#This Row],[DESIGNATION]])),"","NEED REF")</f>
        <v/>
      </c>
    </row>
    <row r="6907">
      <c r="B6907" t="n">
        <v>34407098</v>
      </c>
      <c r="C6907" s="2" t="n">
        <v>43369</v>
      </c>
      <c r="D6907" t="inlineStr">
        <is>
          <t>SPEC</t>
        </is>
      </c>
      <c r="E6907" t="inlineStr">
        <is>
          <t>PLASTRON COFFRET MONITORING</t>
        </is>
      </c>
      <c r="F6907" t="inlineStr">
        <is>
          <t xml:space="preserve">IO GVX 1250kW  High Powerbar – HPB </t>
        </is>
      </c>
      <c r="J6907" t="inlineStr">
        <is>
          <t>MATRION</t>
        </is>
      </c>
      <c r="K6907" t="inlineStr">
        <is>
          <t>METAL</t>
        </is>
      </c>
      <c r="L6907">
        <f>_xlfn.XLOOKUP(Tableau1[[#This Row],[TYPE DE PIECE]],Tableau4[MATIERE],Tableau4[SHORT TYPE],"",0,1)</f>
        <v/>
      </c>
      <c r="N6907">
        <f>IF(ISERR(FIND("DECOUPE",Tableau1[[#This Row],[DESIGNATION]])),"","NEED REF")</f>
        <v/>
      </c>
    </row>
    <row r="6908">
      <c r="B6908" t="n">
        <v>34407097</v>
      </c>
      <c r="C6908" s="2" t="n">
        <v>43369</v>
      </c>
      <c r="D6908" t="inlineStr">
        <is>
          <t>SPEC</t>
        </is>
      </c>
      <c r="E6908" t="inlineStr">
        <is>
          <t>COFFRET MONITORING</t>
        </is>
      </c>
      <c r="F6908" t="inlineStr">
        <is>
          <t xml:space="preserve">IO GVX 1250kW  High Powerbar – HPB </t>
        </is>
      </c>
      <c r="J6908" t="inlineStr">
        <is>
          <t>MATRION</t>
        </is>
      </c>
      <c r="K6908" t="inlineStr">
        <is>
          <t>METAL</t>
        </is>
      </c>
      <c r="L6908">
        <f>_xlfn.XLOOKUP(Tableau1[[#This Row],[TYPE DE PIECE]],Tableau4[MATIERE],Tableau4[SHORT TYPE],"",0,1)</f>
        <v/>
      </c>
      <c r="N6908">
        <f>IF(ISERR(FIND("DECOUPE",Tableau1[[#This Row],[DESIGNATION]])),"","NEED REF")</f>
        <v/>
      </c>
    </row>
    <row r="6909">
      <c r="B6909" t="n">
        <v>34407096</v>
      </c>
      <c r="C6909" s="2" t="n">
        <v>43369</v>
      </c>
      <c r="D6909" t="inlineStr">
        <is>
          <t>SPEC</t>
        </is>
      </c>
      <c r="E6909" t="inlineStr">
        <is>
          <t>PLAQUE COFFRET MONITORING</t>
        </is>
      </c>
      <c r="F6909" t="inlineStr">
        <is>
          <t xml:space="preserve">IO GVX 1250kW  High Powerbar – HPB </t>
        </is>
      </c>
      <c r="J6909" t="inlineStr">
        <is>
          <t>MATRION</t>
        </is>
      </c>
      <c r="K6909" t="inlineStr">
        <is>
          <t>METAL</t>
        </is>
      </c>
      <c r="L6909">
        <f>_xlfn.XLOOKUP(Tableau1[[#This Row],[TYPE DE PIECE]],Tableau4[MATIERE],Tableau4[SHORT TYPE],"",0,1)</f>
        <v/>
      </c>
      <c r="N6909">
        <f>IF(ISERR(FIND("DECOUPE",Tableau1[[#This Row],[DESIGNATION]])),"","NEED REF")</f>
        <v/>
      </c>
    </row>
    <row r="6910">
      <c r="B6910" t="n">
        <v>34407095</v>
      </c>
      <c r="C6910" s="2" t="n">
        <v>43369</v>
      </c>
      <c r="D6910" t="inlineStr">
        <is>
          <t>SPEC</t>
        </is>
      </c>
      <c r="E6910" t="inlineStr">
        <is>
          <t xml:space="preserve">LEG LIAISON UNITAIRE 2MVA </t>
        </is>
      </c>
      <c r="F6910" t="inlineStr">
        <is>
          <t>2MVA</t>
        </is>
      </c>
      <c r="J6910" t="inlineStr">
        <is>
          <t>PLANTIER</t>
        </is>
      </c>
      <c r="L6910">
        <f>_xlfn.XLOOKUP(Tableau1[[#This Row],[TYPE DE PIECE]],Tableau4[MATIERE],Tableau4[SHORT TYPE],"",0,1)</f>
        <v/>
      </c>
      <c r="N6910">
        <f>IF(ISERR(FIND("DECOUPE",Tableau1[[#This Row],[DESIGNATION]])),"","NEED REF")</f>
        <v/>
      </c>
    </row>
    <row r="6911">
      <c r="B6911" t="n">
        <v>34407094</v>
      </c>
      <c r="C6911" s="2" t="n">
        <v>43368</v>
      </c>
      <c r="D6911" t="inlineStr">
        <is>
          <t>NOM</t>
        </is>
      </c>
      <c r="E6911" t="inlineStr">
        <is>
          <t>LEG REPRISE PANNEAUX FINITION G6K 400-450KVA</t>
        </is>
      </c>
      <c r="F6911" t="inlineStr">
        <is>
          <t>ST CROLLES - 676032961</t>
        </is>
      </c>
      <c r="J6911" t="inlineStr">
        <is>
          <t>MONGELLI</t>
        </is>
      </c>
      <c r="L6911">
        <f>_xlfn.XLOOKUP(Tableau1[[#This Row],[TYPE DE PIECE]],Tableau4[MATIERE],Tableau4[SHORT TYPE],"",0,1)</f>
        <v/>
      </c>
      <c r="N6911">
        <f>IF(ISERR(FIND("DECOUPE",Tableau1[[#This Row],[DESIGNATION]])),"","NEED REF")</f>
        <v/>
      </c>
    </row>
    <row r="6912">
      <c r="B6912" t="n">
        <v>34407093</v>
      </c>
      <c r="C6912" s="2" t="n">
        <v>43368</v>
      </c>
      <c r="D6912" t="inlineStr">
        <is>
          <t>SPEC</t>
        </is>
      </c>
      <c r="E6912" t="inlineStr">
        <is>
          <t>FIX PE / JDB LOAD</t>
        </is>
      </c>
      <c r="F6912" t="inlineStr">
        <is>
          <t xml:space="preserve">IO GVX 1250kW  High Powerbar – HPB </t>
        </is>
      </c>
      <c r="J6912" t="inlineStr">
        <is>
          <t>MATRION</t>
        </is>
      </c>
      <c r="K6912" t="inlineStr">
        <is>
          <t>CUIVRE</t>
        </is>
      </c>
      <c r="L6912">
        <f>_xlfn.XLOOKUP(Tableau1[[#This Row],[TYPE DE PIECE]],Tableau4[MATIERE],Tableau4[SHORT TYPE],"",0,1)</f>
        <v/>
      </c>
      <c r="N6912">
        <f>IF(ISERR(FIND("DECOUPE",Tableau1[[#This Row],[DESIGNATION]])),"","NEED REF")</f>
        <v/>
      </c>
    </row>
    <row r="6913">
      <c r="B6913" t="n">
        <v>34407092</v>
      </c>
      <c r="C6913" s="2" t="n">
        <v>43368</v>
      </c>
      <c r="D6913" t="inlineStr">
        <is>
          <t>SPEC</t>
        </is>
      </c>
      <c r="E6913" t="inlineStr">
        <is>
          <t>CX PE 2 TGAB HPB-PF</t>
        </is>
      </c>
      <c r="F6913" t="inlineStr">
        <is>
          <t xml:space="preserve">IO GVX 1250kW  High Powerbar – HPB </t>
        </is>
      </c>
      <c r="J6913" t="inlineStr">
        <is>
          <t>MATRION</t>
        </is>
      </c>
      <c r="K6913" t="inlineStr">
        <is>
          <t>CUIVRE</t>
        </is>
      </c>
      <c r="L6913">
        <f>_xlfn.XLOOKUP(Tableau1[[#This Row],[TYPE DE PIECE]],Tableau4[MATIERE],Tableau4[SHORT TYPE],"",0,1)</f>
        <v/>
      </c>
      <c r="N6913">
        <f>IF(ISERR(FIND("DECOUPE",Tableau1[[#This Row],[DESIGNATION]])),"","NEED REF")</f>
        <v/>
      </c>
    </row>
    <row r="6914">
      <c r="B6914" t="n">
        <v>34407091</v>
      </c>
      <c r="C6914" s="2" t="n">
        <v>43368</v>
      </c>
      <c r="D6914" t="inlineStr">
        <is>
          <t>SPEC</t>
        </is>
      </c>
      <c r="E6914" t="inlineStr">
        <is>
          <t>CX PE TGAB HPB-PF</t>
        </is>
      </c>
      <c r="F6914" t="inlineStr">
        <is>
          <t xml:space="preserve">IO GVX 1250kW  High Powerbar – HPB </t>
        </is>
      </c>
      <c r="J6914" t="inlineStr">
        <is>
          <t>MATRION</t>
        </is>
      </c>
      <c r="K6914" t="inlineStr">
        <is>
          <t>CUIVRE</t>
        </is>
      </c>
      <c r="L6914">
        <f>_xlfn.XLOOKUP(Tableau1[[#This Row],[TYPE DE PIECE]],Tableau4[MATIERE],Tableau4[SHORT TYPE],"",0,1)</f>
        <v/>
      </c>
      <c r="N6914">
        <f>IF(ISERR(FIND("DECOUPE",Tableau1[[#This Row],[DESIGNATION]])),"","NEED REF")</f>
        <v/>
      </c>
    </row>
    <row r="6915">
      <c r="B6915" t="n">
        <v>34407090</v>
      </c>
      <c r="C6915" s="2" t="n">
        <v>43368</v>
      </c>
      <c r="D6915" t="inlineStr">
        <is>
          <t>SPEC</t>
        </is>
      </c>
      <c r="E6915" t="inlineStr">
        <is>
          <t>CX TGAB HPB-PF</t>
        </is>
      </c>
      <c r="F6915" t="inlineStr">
        <is>
          <t xml:space="preserve">IO GVX 1250kW  High Powerbar – HPB </t>
        </is>
      </c>
      <c r="J6915" t="inlineStr">
        <is>
          <t>MATRION</t>
        </is>
      </c>
      <c r="K6915" t="inlineStr">
        <is>
          <t>CUIVRE</t>
        </is>
      </c>
      <c r="L6915">
        <f>_xlfn.XLOOKUP(Tableau1[[#This Row],[TYPE DE PIECE]],Tableau4[MATIERE],Tableau4[SHORT TYPE],"",0,1)</f>
        <v/>
      </c>
      <c r="N6915">
        <f>IF(ISERR(FIND("DECOUPE",Tableau1[[#This Row],[DESIGNATION]])),"","NEED REF")</f>
        <v/>
      </c>
    </row>
    <row r="6916">
      <c r="B6916" t="n">
        <v>34407089</v>
      </c>
      <c r="C6916" s="2" t="n">
        <v>43368</v>
      </c>
      <c r="D6916" t="inlineStr">
        <is>
          <t>SPEC</t>
        </is>
      </c>
      <c r="E6916" t="inlineStr">
        <is>
          <t>TOIT HPB-PF-25000A</t>
        </is>
      </c>
      <c r="F6916" t="inlineStr">
        <is>
          <t xml:space="preserve">IO GVX 1250kW  High Powerbar – HPB </t>
        </is>
      </c>
      <c r="J6916" t="inlineStr">
        <is>
          <t>MATRION</t>
        </is>
      </c>
      <c r="K6916" t="inlineStr">
        <is>
          <t>METAL</t>
        </is>
      </c>
      <c r="L6916">
        <f>_xlfn.XLOOKUP(Tableau1[[#This Row],[TYPE DE PIECE]],Tableau4[MATIERE],Tableau4[SHORT TYPE],"",0,1)</f>
        <v/>
      </c>
      <c r="N6916">
        <f>IF(ISERR(FIND("DECOUPE",Tableau1[[#This Row],[DESIGNATION]])),"","NEED REF")</f>
        <v/>
      </c>
    </row>
    <row r="6917">
      <c r="B6917" t="n">
        <v>34407088</v>
      </c>
      <c r="C6917" s="2" t="n">
        <v>43368</v>
      </c>
      <c r="D6917" t="inlineStr">
        <is>
          <t>SPEC</t>
        </is>
      </c>
      <c r="E6917" t="inlineStr">
        <is>
          <t>TOIT HPB-PF-2000A</t>
        </is>
      </c>
      <c r="F6917" t="inlineStr">
        <is>
          <t xml:space="preserve">IO GVX 1250kW  High Powerbar – HPB </t>
        </is>
      </c>
      <c r="J6917" t="inlineStr">
        <is>
          <t>MATRION</t>
        </is>
      </c>
      <c r="K6917" t="inlineStr">
        <is>
          <t>METAL</t>
        </is>
      </c>
      <c r="L6917">
        <f>_xlfn.XLOOKUP(Tableau1[[#This Row],[TYPE DE PIECE]],Tableau4[MATIERE],Tableau4[SHORT TYPE],"",0,1)</f>
        <v/>
      </c>
      <c r="N6917">
        <f>IF(ISERR(FIND("DECOUPE",Tableau1[[#This Row],[DESIGNATION]])),"","NEED REF")</f>
        <v/>
      </c>
    </row>
    <row r="6918">
      <c r="B6918" t="n">
        <v>34407087</v>
      </c>
      <c r="C6918" s="2" t="n">
        <v>43368</v>
      </c>
      <c r="D6918" t="inlineStr">
        <is>
          <t>SPEC</t>
        </is>
      </c>
      <c r="E6918" t="inlineStr">
        <is>
          <t>RAIL SYM POUR TI</t>
        </is>
      </c>
      <c r="F6918" t="inlineStr">
        <is>
          <t>-</t>
        </is>
      </c>
      <c r="J6918" t="inlineStr">
        <is>
          <t>MATRION</t>
        </is>
      </c>
      <c r="K6918" t="inlineStr">
        <is>
          <t>METAL</t>
        </is>
      </c>
      <c r="L6918">
        <f>_xlfn.XLOOKUP(Tableau1[[#This Row],[TYPE DE PIECE]],Tableau4[MATIERE],Tableau4[SHORT TYPE],"",0,1)</f>
        <v/>
      </c>
      <c r="N6918">
        <f>IF(ISERR(FIND("DECOUPE",Tableau1[[#This Row],[DESIGNATION]])),"","NEED REF")</f>
        <v/>
      </c>
    </row>
    <row r="6919">
      <c r="B6919" t="n">
        <v>34407086</v>
      </c>
      <c r="C6919" s="2" t="n">
        <v>43367</v>
      </c>
      <c r="D6919" t="inlineStr">
        <is>
          <t>SPEC</t>
        </is>
      </c>
      <c r="E6919" t="inlineStr">
        <is>
          <t xml:space="preserve">devis laser presta decoup SUPPORT  </t>
        </is>
      </c>
      <c r="F6919" t="inlineStr">
        <is>
          <t>4MVA</t>
        </is>
      </c>
      <c r="J6919" t="inlineStr">
        <is>
          <t>PLANTIER</t>
        </is>
      </c>
      <c r="L6919">
        <f>_xlfn.XLOOKUP(Tableau1[[#This Row],[TYPE DE PIECE]],Tableau4[MATIERE],Tableau4[SHORT TYPE],"",0,1)</f>
        <v/>
      </c>
      <c r="N6919">
        <f>IF(ISERR(FIND("DECOUPE",Tableau1[[#This Row],[DESIGNATION]])),"","NEED REF")</f>
        <v/>
      </c>
    </row>
    <row r="6920">
      <c r="B6920" t="n">
        <v>34407085</v>
      </c>
      <c r="C6920" s="2" t="n">
        <v>43367</v>
      </c>
      <c r="D6920" t="inlineStr">
        <is>
          <t>SPEC</t>
        </is>
      </c>
      <c r="E6920" t="inlineStr">
        <is>
          <t xml:space="preserve">devis laser presta decoup LINERGY </t>
        </is>
      </c>
      <c r="F6920" t="inlineStr">
        <is>
          <t>4MVA</t>
        </is>
      </c>
      <c r="J6920" t="inlineStr">
        <is>
          <t>PLANTIER</t>
        </is>
      </c>
      <c r="L6920">
        <f>_xlfn.XLOOKUP(Tableau1[[#This Row],[TYPE DE PIECE]],Tableau4[MATIERE],Tableau4[SHORT TYPE],"",0,1)</f>
        <v/>
      </c>
      <c r="N6920">
        <f>IF(ISERR(FIND("DECOUPE",Tableau1[[#This Row],[DESIGNATION]])),"","NEED REF")</f>
        <v/>
      </c>
    </row>
    <row r="6921">
      <c r="B6921" t="n">
        <v>34407084</v>
      </c>
      <c r="C6921" s="2" t="n">
        <v>43367</v>
      </c>
      <c r="D6921" t="inlineStr">
        <is>
          <t>SPEC</t>
        </is>
      </c>
      <c r="E6921" t="inlineStr">
        <is>
          <t>VIS EPAULE M6 PAR 2</t>
        </is>
      </c>
      <c r="F6921" t="inlineStr">
        <is>
          <t>ST CROLLES</t>
        </is>
      </c>
      <c r="J6921" t="inlineStr">
        <is>
          <t>BOIX</t>
        </is>
      </c>
      <c r="K6921" t="inlineStr">
        <is>
          <t>METAL</t>
        </is>
      </c>
      <c r="L6921">
        <f>_xlfn.XLOOKUP(Tableau1[[#This Row],[TYPE DE PIECE]],Tableau4[MATIERE],Tableau4[SHORT TYPE],"",0,1)</f>
        <v/>
      </c>
      <c r="N6921">
        <f>IF(ISERR(FIND("DECOUPE",Tableau1[[#This Row],[DESIGNATION]])),"","NEED REF")</f>
        <v/>
      </c>
    </row>
    <row r="6922">
      <c r="B6922" t="n">
        <v>34407083</v>
      </c>
      <c r="C6922" s="2" t="n">
        <v>43367</v>
      </c>
      <c r="D6922" t="inlineStr">
        <is>
          <t>SPEC</t>
        </is>
      </c>
      <c r="E6922" t="inlineStr">
        <is>
          <t>PLASTRON COFFRET BYPASS 2INS</t>
        </is>
      </c>
      <c r="F6922" t="inlineStr">
        <is>
          <t>BYPASS EASY UPS</t>
        </is>
      </c>
      <c r="J6922" t="inlineStr">
        <is>
          <t>MATRION</t>
        </is>
      </c>
      <c r="K6922" t="inlineStr">
        <is>
          <t>PLASTIQUE</t>
        </is>
      </c>
      <c r="L6922">
        <f>_xlfn.XLOOKUP(Tableau1[[#This Row],[TYPE DE PIECE]],Tableau4[MATIERE],Tableau4[SHORT TYPE],"",0,1)</f>
        <v/>
      </c>
      <c r="N6922">
        <f>IF(ISERR(FIND("DECOUPE",Tableau1[[#This Row],[DESIGNATION]])),"","NEED REF")</f>
        <v/>
      </c>
    </row>
    <row r="6923">
      <c r="B6923" t="n">
        <v>34407082</v>
      </c>
      <c r="C6923" s="2" t="n">
        <v>43364</v>
      </c>
      <c r="D6923" t="inlineStr">
        <is>
          <t>SPEC</t>
        </is>
      </c>
      <c r="E6923" t="inlineStr">
        <is>
          <t>BATTERY CORNER SUPPORT</t>
        </is>
      </c>
      <c r="F6923" t="inlineStr">
        <is>
          <t>AIOB</t>
        </is>
      </c>
      <c r="J6923" t="inlineStr">
        <is>
          <t>MATRION</t>
        </is>
      </c>
      <c r="K6923" t="inlineStr">
        <is>
          <t>METAL</t>
        </is>
      </c>
      <c r="L6923">
        <f>_xlfn.XLOOKUP(Tableau1[[#This Row],[TYPE DE PIECE]],Tableau4[MATIERE],Tableau4[SHORT TYPE],"",0,1)</f>
        <v/>
      </c>
      <c r="N6923">
        <f>IF(ISERR(FIND("DECOUPE",Tableau1[[#This Row],[DESIGNATION]])),"","NEED REF")</f>
        <v/>
      </c>
    </row>
    <row r="6924">
      <c r="B6924" t="n">
        <v>34407081</v>
      </c>
      <c r="C6924" s="2" t="n">
        <v>43364</v>
      </c>
      <c r="D6924" t="inlineStr">
        <is>
          <t>NOM</t>
        </is>
      </c>
      <c r="E6924" t="inlineStr">
        <is>
          <t xml:space="preserve">LEG VISSERIE LIAISON UNITAIRE 4MVA </t>
        </is>
      </c>
      <c r="F6924" t="inlineStr">
        <is>
          <t>4MVA</t>
        </is>
      </c>
      <c r="J6924" t="inlineStr">
        <is>
          <t>PLANTIER</t>
        </is>
      </c>
      <c r="L6924">
        <f>_xlfn.XLOOKUP(Tableau1[[#This Row],[TYPE DE PIECE]],Tableau4[MATIERE],Tableau4[SHORT TYPE],"",0,1)</f>
        <v/>
      </c>
      <c r="N6924">
        <f>IF(ISERR(FIND("DECOUPE",Tableau1[[#This Row],[DESIGNATION]])),"","NEED REF")</f>
        <v/>
      </c>
    </row>
    <row r="6925">
      <c r="B6925" t="n">
        <v>34407080</v>
      </c>
      <c r="C6925" s="2" t="n">
        <v>43364</v>
      </c>
      <c r="D6925" t="inlineStr">
        <is>
          <t>SPEC</t>
        </is>
      </c>
      <c r="E6925" t="inlineStr">
        <is>
          <t>SUPPORT HAUT/BAS</t>
        </is>
      </c>
      <c r="F6925" t="inlineStr">
        <is>
          <t>ARM BBK1000</t>
        </is>
      </c>
      <c r="J6925" t="inlineStr">
        <is>
          <t>MATRION</t>
        </is>
      </c>
      <c r="L6925">
        <f>_xlfn.XLOOKUP(Tableau1[[#This Row],[TYPE DE PIECE]],Tableau4[MATIERE],Tableau4[SHORT TYPE],"",0,1)</f>
        <v/>
      </c>
      <c r="N6925">
        <f>IF(ISERR(FIND("DECOUPE",Tableau1[[#This Row],[DESIGNATION]])),"","NEED REF")</f>
        <v/>
      </c>
    </row>
    <row r="6926">
      <c r="B6926" t="n">
        <v>34407079</v>
      </c>
      <c r="C6926" s="2" t="n">
        <v>43364</v>
      </c>
      <c r="D6926" t="inlineStr">
        <is>
          <t>NOM</t>
        </is>
      </c>
      <c r="E6926" t="inlineStr">
        <is>
          <t xml:space="preserve">LEG LIAISON UNITAIRE 4MVA </t>
        </is>
      </c>
      <c r="F6926" t="inlineStr">
        <is>
          <t>4MVA</t>
        </is>
      </c>
      <c r="J6926" t="inlineStr">
        <is>
          <t>PLANTIER</t>
        </is>
      </c>
      <c r="L6926">
        <f>_xlfn.XLOOKUP(Tableau1[[#This Row],[TYPE DE PIECE]],Tableau4[MATIERE],Tableau4[SHORT TYPE],"",0,1)</f>
        <v/>
      </c>
      <c r="N6926">
        <f>IF(ISERR(FIND("DECOUPE",Tableau1[[#This Row],[DESIGNATION]])),"","NEED REF")</f>
        <v/>
      </c>
    </row>
    <row r="6927">
      <c r="B6927" t="n">
        <v>34407078</v>
      </c>
      <c r="C6927" s="2" t="n">
        <v>43364</v>
      </c>
      <c r="D6927" t="inlineStr">
        <is>
          <t>SPEC</t>
        </is>
      </c>
      <c r="E6927" t="inlineStr">
        <is>
          <t>COFFRET NSYS3D10830 RAL9023</t>
        </is>
      </c>
      <c r="F6927" t="inlineStr">
        <is>
          <t>BYPASS EASY UPS</t>
        </is>
      </c>
      <c r="J6927" t="inlineStr">
        <is>
          <t>MATRION</t>
        </is>
      </c>
      <c r="K6927" t="inlineStr">
        <is>
          <t>SAREL</t>
        </is>
      </c>
      <c r="L6927">
        <f>_xlfn.XLOOKUP(Tableau1[[#This Row],[TYPE DE PIECE]],Tableau4[MATIERE],Tableau4[SHORT TYPE],"",0,1)</f>
        <v/>
      </c>
      <c r="N6927">
        <f>IF(ISERR(FIND("DECOUPE",Tableau1[[#This Row],[DESIGNATION]])),"","NEED REF")</f>
        <v/>
      </c>
    </row>
    <row r="6928">
      <c r="B6928" t="n">
        <v>34407077</v>
      </c>
      <c r="C6928" s="2" t="n">
        <v>43364</v>
      </c>
      <c r="D6928" t="inlineStr">
        <is>
          <t>SPEC</t>
        </is>
      </c>
      <c r="E6928" t="inlineStr">
        <is>
          <t>CX BYPASS EASY UPS</t>
        </is>
      </c>
      <c r="F6928" t="inlineStr">
        <is>
          <t>BYPASS EASY UPS</t>
        </is>
      </c>
      <c r="J6928" t="inlineStr">
        <is>
          <t>MATRION</t>
        </is>
      </c>
      <c r="K6928" t="inlineStr">
        <is>
          <t>CUIVRE</t>
        </is>
      </c>
      <c r="L6928">
        <f>_xlfn.XLOOKUP(Tableau1[[#This Row],[TYPE DE PIECE]],Tableau4[MATIERE],Tableau4[SHORT TYPE],"",0,1)</f>
        <v/>
      </c>
      <c r="N6928">
        <f>IF(ISERR(FIND("DECOUPE",Tableau1[[#This Row],[DESIGNATION]])),"","NEED REF")</f>
        <v/>
      </c>
    </row>
    <row r="6929">
      <c r="B6929" t="n">
        <v>34407076</v>
      </c>
      <c r="C6929" s="2" t="n">
        <v>43364</v>
      </c>
      <c r="D6929" t="inlineStr">
        <is>
          <t>SPEC</t>
        </is>
      </c>
      <c r="E6929" t="inlineStr">
        <is>
          <t>TNC EARTH BAR</t>
        </is>
      </c>
      <c r="F6929" t="inlineStr">
        <is>
          <t>TGAB I/O 1500KW 2 HEADS VOTADIS 3200A</t>
        </is>
      </c>
      <c r="J6929" t="inlineStr">
        <is>
          <t>ROBERT</t>
        </is>
      </c>
      <c r="L6929">
        <f>_xlfn.XLOOKUP(Tableau1[[#This Row],[TYPE DE PIECE]],Tableau4[MATIERE],Tableau4[SHORT TYPE],"",0,1)</f>
        <v/>
      </c>
      <c r="N6929">
        <f>IF(ISERR(FIND("DECOUPE",Tableau1[[#This Row],[DESIGNATION]])),"","NEED REF")</f>
        <v/>
      </c>
    </row>
    <row r="6930">
      <c r="B6930" t="n">
        <v>34407075</v>
      </c>
      <c r="C6930" s="2" t="n">
        <v>43361</v>
      </c>
      <c r="D6930" t="inlineStr">
        <is>
          <t>SPEC</t>
        </is>
      </c>
      <c r="E6930" t="inlineStr">
        <is>
          <t>Spacial SF juxtaposée SF 2000x700+700x500</t>
        </is>
      </c>
      <c r="F6930" t="inlineStr">
        <is>
          <t>ARM BBK KIT</t>
        </is>
      </c>
      <c r="J6930" t="inlineStr">
        <is>
          <t>MATRION</t>
        </is>
      </c>
      <c r="K6930" t="inlineStr">
        <is>
          <t>SAREL</t>
        </is>
      </c>
      <c r="L6930">
        <f>_xlfn.XLOOKUP(Tableau1[[#This Row],[TYPE DE PIECE]],Tableau4[MATIERE],Tableau4[SHORT TYPE],"",0,1)</f>
        <v/>
      </c>
      <c r="N6930">
        <f>IF(ISERR(FIND("DECOUPE",Tableau1[[#This Row],[DESIGNATION]])),"","NEED REF")</f>
        <v/>
      </c>
    </row>
    <row r="6931">
      <c r="B6931" t="n">
        <v>34407074</v>
      </c>
      <c r="C6931" s="2" t="n">
        <v>43361</v>
      </c>
      <c r="D6931" t="inlineStr">
        <is>
          <t>SPEC</t>
        </is>
      </c>
      <c r="E6931" t="inlineStr">
        <is>
          <t>PANEL ROOF 700x800 GALAXY GRAY 9003 (QVE)</t>
        </is>
      </c>
      <c r="F6931" t="inlineStr">
        <is>
          <t>QVE BAT</t>
        </is>
      </c>
      <c r="L6931">
        <f>_xlfn.XLOOKUP(Tableau1[[#This Row],[TYPE DE PIECE]],Tableau4[MATIERE],Tableau4[SHORT TYPE],"",0,1)</f>
        <v/>
      </c>
      <c r="N6931">
        <f>IF(ISERR(FIND("DECOUPE",Tableau1[[#This Row],[DESIGNATION]])),"","NEED REF")</f>
        <v/>
      </c>
    </row>
    <row r="6932">
      <c r="B6932" t="n">
        <v>34407073</v>
      </c>
      <c r="C6932" s="2" t="n">
        <v>43361</v>
      </c>
      <c r="D6932" t="inlineStr">
        <is>
          <t>SPEC</t>
        </is>
      </c>
      <c r="E6932" t="inlineStr">
        <is>
          <t>PANEL ROOF 700x800 GALAXY GRAY 9023 (QVE)</t>
        </is>
      </c>
      <c r="F6932" t="inlineStr">
        <is>
          <t>QVE BAT</t>
        </is>
      </c>
      <c r="J6932" t="inlineStr">
        <is>
          <t> </t>
        </is>
      </c>
      <c r="L6932">
        <f>_xlfn.XLOOKUP(Tableau1[[#This Row],[TYPE DE PIECE]],Tableau4[MATIERE],Tableau4[SHORT TYPE],"",0,1)</f>
        <v/>
      </c>
      <c r="N6932">
        <f>IF(ISERR(FIND("DECOUPE",Tableau1[[#This Row],[DESIGNATION]])),"","NEED REF")</f>
        <v/>
      </c>
    </row>
    <row r="6933">
      <c r="B6933" t="n">
        <v>34407072</v>
      </c>
      <c r="C6933" s="2" t="n">
        <v>43362</v>
      </c>
      <c r="D6933" t="inlineStr">
        <is>
          <t>SPEC</t>
        </is>
      </c>
      <c r="E6933" t="inlineStr">
        <is>
          <t>PROTECTION Z1</t>
        </is>
      </c>
      <c r="F6933" t="inlineStr">
        <is>
          <t>DEWA DUBAI</t>
        </is>
      </c>
      <c r="J6933" t="inlineStr">
        <is>
          <t>BOIX</t>
        </is>
      </c>
      <c r="K6933" t="inlineStr">
        <is>
          <t>PLASTIQUE</t>
        </is>
      </c>
      <c r="L6933">
        <f>_xlfn.XLOOKUP(Tableau1[[#This Row],[TYPE DE PIECE]],Tableau4[MATIERE],Tableau4[SHORT TYPE],"",0,1)</f>
        <v/>
      </c>
      <c r="N6933">
        <f>IF(ISERR(FIND("DECOUPE",Tableau1[[#This Row],[DESIGNATION]])),"","NEED REF")</f>
        <v/>
      </c>
    </row>
    <row r="6934">
      <c r="B6934" t="n">
        <v>34407071</v>
      </c>
      <c r="C6934" s="2" t="n">
        <v>43361</v>
      </c>
      <c r="D6934" t="inlineStr">
        <is>
          <t>SPEC</t>
        </is>
      </c>
      <c r="E6934" t="inlineStr">
        <is>
          <t>PANEL SIDE 800x1500 GALAXY GRAY 9003 (QVE)</t>
        </is>
      </c>
      <c r="F6934" t="inlineStr">
        <is>
          <t>QVE BAT</t>
        </is>
      </c>
      <c r="L6934">
        <f>_xlfn.XLOOKUP(Tableau1[[#This Row],[TYPE DE PIECE]],Tableau4[MATIERE],Tableau4[SHORT TYPE],"",0,1)</f>
        <v/>
      </c>
      <c r="N6934">
        <f>IF(ISERR(FIND("DECOUPE",Tableau1[[#This Row],[DESIGNATION]])),"","NEED REF")</f>
        <v/>
      </c>
    </row>
    <row r="6935">
      <c r="B6935" t="n">
        <v>34407070</v>
      </c>
      <c r="C6935" s="2" t="n">
        <v>43361</v>
      </c>
      <c r="D6935" t="inlineStr">
        <is>
          <t>SPEC</t>
        </is>
      </c>
      <c r="E6935" t="inlineStr">
        <is>
          <t>DOOR 700x1500 GALAXY WHITE 9003 (QVE)</t>
        </is>
      </c>
      <c r="F6935" t="inlineStr">
        <is>
          <t>QVE BAT</t>
        </is>
      </c>
      <c r="L6935">
        <f>_xlfn.XLOOKUP(Tableau1[[#This Row],[TYPE DE PIECE]],Tableau4[MATIERE],Tableau4[SHORT TYPE],"",0,1)</f>
        <v/>
      </c>
      <c r="N6935">
        <f>IF(ISERR(FIND("DECOUPE",Tableau1[[#This Row],[DESIGNATION]])),"","NEED REF")</f>
        <v/>
      </c>
    </row>
    <row r="6936">
      <c r="B6936" t="n">
        <v>34407069</v>
      </c>
      <c r="C6936" s="2" t="n">
        <v>43361</v>
      </c>
      <c r="D6936" t="inlineStr">
        <is>
          <t>SPEC</t>
        </is>
      </c>
      <c r="E6936" t="inlineStr">
        <is>
          <t>BACK PANEL 700x1500</t>
        </is>
      </c>
      <c r="F6936" t="inlineStr">
        <is>
          <t>QVE BAT</t>
        </is>
      </c>
      <c r="L6936">
        <f>_xlfn.XLOOKUP(Tableau1[[#This Row],[TYPE DE PIECE]],Tableau4[MATIERE],Tableau4[SHORT TYPE],"",0,1)</f>
        <v/>
      </c>
      <c r="N6936">
        <f>IF(ISERR(FIND("DECOUPE",Tableau1[[#This Row],[DESIGNATION]])),"","NEED REF")</f>
        <v/>
      </c>
    </row>
    <row r="6937">
      <c r="B6937" t="n">
        <v>34407068</v>
      </c>
      <c r="C6937" s="2" t="n">
        <v>43361</v>
      </c>
      <c r="D6937" t="inlineStr">
        <is>
          <t>SPEC</t>
        </is>
      </c>
      <c r="E6937" t="inlineStr">
        <is>
          <t>PANEL SIDE 800x1500 GALAXY GRAY 9023 (QVE)</t>
        </is>
      </c>
      <c r="F6937" t="inlineStr">
        <is>
          <t>QVE BAT</t>
        </is>
      </c>
      <c r="L6937">
        <f>_xlfn.XLOOKUP(Tableau1[[#This Row],[TYPE DE PIECE]],Tableau4[MATIERE],Tableau4[SHORT TYPE],"",0,1)</f>
        <v/>
      </c>
      <c r="N6937">
        <f>IF(ISERR(FIND("DECOUPE",Tableau1[[#This Row],[DESIGNATION]])),"","NEED REF")</f>
        <v/>
      </c>
    </row>
    <row r="6938">
      <c r="B6938" t="n">
        <v>34407067</v>
      </c>
      <c r="C6938" s="2" t="n">
        <v>43361</v>
      </c>
      <c r="D6938" t="inlineStr">
        <is>
          <t>SPEC</t>
        </is>
      </c>
      <c r="E6938" t="inlineStr">
        <is>
          <t>DOOR 700x1500 GALAXY WHITE 9023 (QVE)</t>
        </is>
      </c>
      <c r="F6938" t="inlineStr">
        <is>
          <t>QVE BAT</t>
        </is>
      </c>
      <c r="L6938">
        <f>_xlfn.XLOOKUP(Tableau1[[#This Row],[TYPE DE PIECE]],Tableau4[MATIERE],Tableau4[SHORT TYPE],"",0,1)</f>
        <v/>
      </c>
      <c r="N6938">
        <f>IF(ISERR(FIND("DECOUPE",Tableau1[[#This Row],[DESIGNATION]])),"","NEED REF")</f>
        <v/>
      </c>
    </row>
    <row r="6939">
      <c r="B6939" t="n">
        <v>34407066</v>
      </c>
      <c r="C6939" s="2" t="n">
        <v>43361</v>
      </c>
      <c r="D6939" t="inlineStr">
        <is>
          <t>SPEC</t>
        </is>
      </c>
      <c r="E6939" t="inlineStr">
        <is>
          <t>DOOR 700x1500 GALAXY</t>
        </is>
      </c>
      <c r="F6939" t="inlineStr">
        <is>
          <t>QVE BAT</t>
        </is>
      </c>
      <c r="L6939">
        <f>_xlfn.XLOOKUP(Tableau1[[#This Row],[TYPE DE PIECE]],Tableau4[MATIERE],Tableau4[SHORT TYPE],"",0,1)</f>
        <v/>
      </c>
      <c r="N6939">
        <f>IF(ISERR(FIND("DECOUPE",Tableau1[[#This Row],[DESIGNATION]])),"","NEED REF")</f>
        <v/>
      </c>
    </row>
    <row r="6940">
      <c r="B6940" t="n">
        <v>34407065</v>
      </c>
      <c r="C6940" s="2" t="n">
        <v>43361</v>
      </c>
      <c r="D6940" t="inlineStr">
        <is>
          <t>SPEC</t>
        </is>
      </c>
      <c r="E6940" t="inlineStr">
        <is>
          <t>RAIL DIN  L 564mm</t>
        </is>
      </c>
      <c r="F6940" t="inlineStr">
        <is>
          <t>DEWA DUBAI</t>
        </is>
      </c>
      <c r="J6940" t="inlineStr">
        <is>
          <t>BOIX</t>
        </is>
      </c>
      <c r="K6940" t="inlineStr">
        <is>
          <t>METAL</t>
        </is>
      </c>
      <c r="L6940">
        <f>_xlfn.XLOOKUP(Tableau1[[#This Row],[TYPE DE PIECE]],Tableau4[MATIERE],Tableau4[SHORT TYPE],"",0,1)</f>
        <v/>
      </c>
      <c r="N6940">
        <f>IF(ISERR(FIND("DECOUPE",Tableau1[[#This Row],[DESIGNATION]])),"","NEED REF")</f>
        <v/>
      </c>
    </row>
    <row r="6941">
      <c r="B6941" t="n">
        <v>34407064</v>
      </c>
      <c r="C6941" s="2" t="n">
        <v>43360</v>
      </c>
      <c r="D6941" t="inlineStr">
        <is>
          <t>SPEC</t>
        </is>
      </c>
      <c r="E6941" t="inlineStr">
        <is>
          <t>GOULOTTE  L 440mm</t>
        </is>
      </c>
      <c r="F6941" t="inlineStr">
        <is>
          <t>DEWA DUBAI</t>
        </is>
      </c>
      <c r="J6941" t="inlineStr">
        <is>
          <t>BOIX</t>
        </is>
      </c>
      <c r="K6941" t="inlineStr">
        <is>
          <t>METAL</t>
        </is>
      </c>
      <c r="L6941">
        <f>_xlfn.XLOOKUP(Tableau1[[#This Row],[TYPE DE PIECE]],Tableau4[MATIERE],Tableau4[SHORT TYPE],"",0,1)</f>
        <v/>
      </c>
      <c r="N6941">
        <f>IF(ISERR(FIND("DECOUPE",Tableau1[[#This Row],[DESIGNATION]])),"","NEED REF")</f>
        <v/>
      </c>
    </row>
    <row r="6942">
      <c r="B6942" t="n">
        <v>34407063</v>
      </c>
      <c r="C6942" s="2" t="n">
        <v>43360</v>
      </c>
      <c r="D6942" t="inlineStr">
        <is>
          <t>SPEC</t>
        </is>
      </c>
      <c r="E6942" t="inlineStr">
        <is>
          <t>GOULOTTE  L 595mm</t>
        </is>
      </c>
      <c r="F6942" t="inlineStr">
        <is>
          <t>DEWA DUBAI</t>
        </is>
      </c>
      <c r="J6942" t="inlineStr">
        <is>
          <t>BOIX</t>
        </is>
      </c>
      <c r="K6942" t="inlineStr">
        <is>
          <t>METAL</t>
        </is>
      </c>
      <c r="L6942">
        <f>_xlfn.XLOOKUP(Tableau1[[#This Row],[TYPE DE PIECE]],Tableau4[MATIERE],Tableau4[SHORT TYPE],"",0,1)</f>
        <v/>
      </c>
      <c r="N6942">
        <f>IF(ISERR(FIND("DECOUPE",Tableau1[[#This Row],[DESIGNATION]])),"","NEED REF")</f>
        <v/>
      </c>
    </row>
    <row r="6943">
      <c r="B6943" t="n">
        <v>34407062</v>
      </c>
      <c r="C6943" s="2" t="n">
        <v>43360</v>
      </c>
      <c r="D6943" t="inlineStr">
        <is>
          <t>SPEC</t>
        </is>
      </c>
      <c r="E6943" t="inlineStr">
        <is>
          <t>GOULOTTE  L 142mm</t>
        </is>
      </c>
      <c r="F6943" t="inlineStr">
        <is>
          <t>DEWA DUBAI</t>
        </is>
      </c>
      <c r="J6943" t="inlineStr">
        <is>
          <t>BOIX</t>
        </is>
      </c>
      <c r="K6943" t="inlineStr">
        <is>
          <t>METAL</t>
        </is>
      </c>
      <c r="L6943">
        <f>_xlfn.XLOOKUP(Tableau1[[#This Row],[TYPE DE PIECE]],Tableau4[MATIERE],Tableau4[SHORT TYPE],"",0,1)</f>
        <v/>
      </c>
      <c r="N6943">
        <f>IF(ISERR(FIND("DECOUPE",Tableau1[[#This Row],[DESIGNATION]])),"","NEED REF")</f>
        <v/>
      </c>
    </row>
    <row r="6944">
      <c r="B6944" t="n">
        <v>34407061</v>
      </c>
      <c r="C6944" s="2" t="n">
        <v>43360</v>
      </c>
      <c r="D6944" t="inlineStr">
        <is>
          <t>SPEC</t>
        </is>
      </c>
      <c r="E6944" t="inlineStr">
        <is>
          <t>GOULOTTE  L 120mm</t>
        </is>
      </c>
      <c r="F6944" t="inlineStr">
        <is>
          <t>DEWA DUBAI</t>
        </is>
      </c>
      <c r="J6944" t="inlineStr">
        <is>
          <t>BOIX</t>
        </is>
      </c>
      <c r="K6944" t="inlineStr">
        <is>
          <t>METAL</t>
        </is>
      </c>
      <c r="L6944">
        <f>_xlfn.XLOOKUP(Tableau1[[#This Row],[TYPE DE PIECE]],Tableau4[MATIERE],Tableau4[SHORT TYPE],"",0,1)</f>
        <v/>
      </c>
      <c r="N6944">
        <f>IF(ISERR(FIND("DECOUPE",Tableau1[[#This Row],[DESIGNATION]])),"","NEED REF")</f>
        <v/>
      </c>
    </row>
    <row r="6945">
      <c r="B6945" t="n">
        <v>34407060</v>
      </c>
      <c r="C6945" s="2" t="n">
        <v>43360</v>
      </c>
      <c r="D6945" t="inlineStr">
        <is>
          <t>SPEC</t>
        </is>
      </c>
      <c r="E6945" t="inlineStr">
        <is>
          <t>GOULOTTE  L 202mm</t>
        </is>
      </c>
      <c r="F6945" t="inlineStr">
        <is>
          <t>DEWA DUBAI</t>
        </is>
      </c>
      <c r="J6945" t="inlineStr">
        <is>
          <t>BOIX</t>
        </is>
      </c>
      <c r="K6945" t="inlineStr">
        <is>
          <t>METAL</t>
        </is>
      </c>
      <c r="L6945">
        <f>_xlfn.XLOOKUP(Tableau1[[#This Row],[TYPE DE PIECE]],Tableau4[MATIERE],Tableau4[SHORT TYPE],"",0,1)</f>
        <v/>
      </c>
      <c r="N6945">
        <f>IF(ISERR(FIND("DECOUPE",Tableau1[[#This Row],[DESIGNATION]])),"","NEED REF")</f>
        <v/>
      </c>
    </row>
    <row r="6946">
      <c r="B6946" t="n">
        <v>34407059</v>
      </c>
      <c r="C6946" s="2" t="n">
        <v>43360</v>
      </c>
      <c r="D6946" t="inlineStr">
        <is>
          <t>SPEC</t>
        </is>
      </c>
      <c r="E6946" t="inlineStr">
        <is>
          <t>GOULOTTE  L 375mm</t>
        </is>
      </c>
      <c r="F6946" t="inlineStr">
        <is>
          <t>DEWA DUBAI</t>
        </is>
      </c>
      <c r="J6946" t="inlineStr">
        <is>
          <t>BOIX</t>
        </is>
      </c>
      <c r="K6946" t="inlineStr">
        <is>
          <t>METAL</t>
        </is>
      </c>
      <c r="L6946">
        <f>_xlfn.XLOOKUP(Tableau1[[#This Row],[TYPE DE PIECE]],Tableau4[MATIERE],Tableau4[SHORT TYPE],"",0,1)</f>
        <v/>
      </c>
      <c r="N6946">
        <f>IF(ISERR(FIND("DECOUPE",Tableau1[[#This Row],[DESIGNATION]])),"","NEED REF")</f>
        <v/>
      </c>
    </row>
    <row r="6947">
      <c r="B6947" t="n">
        <v>34407058</v>
      </c>
      <c r="C6947" s="2" t="n">
        <v>43360</v>
      </c>
      <c r="D6947" t="inlineStr">
        <is>
          <t>NOM</t>
        </is>
      </c>
      <c r="E6947" t="inlineStr">
        <is>
          <t>SA STRUCT CABINET 700x800x1500</t>
        </is>
      </c>
      <c r="F6947" t="inlineStr">
        <is>
          <t>QVE 1500</t>
        </is>
      </c>
      <c r="J6947" t="inlineStr">
        <is>
          <t>MATRION</t>
        </is>
      </c>
      <c r="L6947">
        <f>_xlfn.XLOOKUP(Tableau1[[#This Row],[TYPE DE PIECE]],Tableau4[MATIERE],Tableau4[SHORT TYPE],"",0,1)</f>
        <v/>
      </c>
      <c r="N6947">
        <f>IF(ISERR(FIND("DECOUPE",Tableau1[[#This Row],[DESIGNATION]])),"","NEED REF")</f>
        <v/>
      </c>
    </row>
    <row r="6948">
      <c r="B6948" t="n">
        <v>34407057</v>
      </c>
      <c r="C6948" s="2" t="n">
        <v>43360</v>
      </c>
      <c r="D6948" t="inlineStr">
        <is>
          <t>SPEC</t>
        </is>
      </c>
      <c r="E6948" t="inlineStr">
        <is>
          <t>RAIL DIN  L 340mm</t>
        </is>
      </c>
      <c r="F6948" t="inlineStr">
        <is>
          <t>DEWA DUBAI</t>
        </is>
      </c>
      <c r="J6948" t="inlineStr">
        <is>
          <t>BOIX</t>
        </is>
      </c>
      <c r="K6948" t="inlineStr">
        <is>
          <t>METAL</t>
        </is>
      </c>
      <c r="L6948">
        <f>_xlfn.XLOOKUP(Tableau1[[#This Row],[TYPE DE PIECE]],Tableau4[MATIERE],Tableau4[SHORT TYPE],"",0,1)</f>
        <v/>
      </c>
      <c r="N6948">
        <f>IF(ISERR(FIND("DECOUPE",Tableau1[[#This Row],[DESIGNATION]])),"","NEED REF")</f>
        <v/>
      </c>
    </row>
    <row r="6949">
      <c r="B6949" t="n">
        <v>34407056</v>
      </c>
      <c r="C6949" s="2" t="n">
        <v>43360</v>
      </c>
      <c r="D6949" t="inlineStr">
        <is>
          <t>SPEC</t>
        </is>
      </c>
      <c r="E6949" t="inlineStr">
        <is>
          <t>RAIL DIN  L 186mm</t>
        </is>
      </c>
      <c r="F6949" t="inlineStr">
        <is>
          <t>DEWA DUBAI</t>
        </is>
      </c>
      <c r="J6949" t="inlineStr">
        <is>
          <t>BOIX</t>
        </is>
      </c>
      <c r="K6949" t="inlineStr">
        <is>
          <t>METAL</t>
        </is>
      </c>
      <c r="L6949">
        <f>_xlfn.XLOOKUP(Tableau1[[#This Row],[TYPE DE PIECE]],Tableau4[MATIERE],Tableau4[SHORT TYPE],"",0,1)</f>
        <v/>
      </c>
      <c r="N6949">
        <f>IF(ISERR(FIND("DECOUPE",Tableau1[[#This Row],[DESIGNATION]])),"","NEED REF")</f>
        <v/>
      </c>
    </row>
    <row r="6950">
      <c r="B6950" t="n">
        <v>34407055</v>
      </c>
      <c r="C6950" s="2" t="n">
        <v>43360</v>
      </c>
      <c r="D6950" t="inlineStr">
        <is>
          <t>SPEC</t>
        </is>
      </c>
      <c r="E6950" t="inlineStr">
        <is>
          <t>RAIL DIN  L 117mm</t>
        </is>
      </c>
      <c r="F6950" t="inlineStr">
        <is>
          <t>DEWA DUBAI</t>
        </is>
      </c>
      <c r="J6950" t="inlineStr">
        <is>
          <t>BOIX</t>
        </is>
      </c>
      <c r="K6950" t="inlineStr">
        <is>
          <t>METAL</t>
        </is>
      </c>
      <c r="L6950">
        <f>_xlfn.XLOOKUP(Tableau1[[#This Row],[TYPE DE PIECE]],Tableau4[MATIERE],Tableau4[SHORT TYPE],"",0,1)</f>
        <v/>
      </c>
      <c r="N6950">
        <f>IF(ISERR(FIND("DECOUPE",Tableau1[[#This Row],[DESIGNATION]])),"","NEED REF")</f>
        <v/>
      </c>
    </row>
    <row r="6951">
      <c r="B6951" t="n">
        <v>34407054</v>
      </c>
      <c r="C6951" s="2" t="n">
        <v>43360</v>
      </c>
      <c r="E6951" t="inlineStr">
        <is>
          <t>RESERVE</t>
        </is>
      </c>
      <c r="J6951" t="inlineStr">
        <is>
          <t>BOIX</t>
        </is>
      </c>
      <c r="K6951" t="inlineStr">
        <is>
          <t>CUIVRE</t>
        </is>
      </c>
      <c r="L6951">
        <f>_xlfn.XLOOKUP(Tableau1[[#This Row],[TYPE DE PIECE]],Tableau4[MATIERE],Tableau4[SHORT TYPE],"",0,1)</f>
        <v/>
      </c>
      <c r="N6951">
        <f>IF(ISERR(FIND("DECOUPE",Tableau1[[#This Row],[DESIGNATION]])),"","NEED REF")</f>
        <v/>
      </c>
    </row>
    <row r="6952">
      <c r="B6952" t="n">
        <v>34407053</v>
      </c>
      <c r="C6952" s="2" t="n">
        <v>43356</v>
      </c>
      <c r="D6952" t="inlineStr">
        <is>
          <t>SPEC</t>
        </is>
      </c>
      <c r="E6952" t="inlineStr">
        <is>
          <t>BRIDAGE CABLE L=480 SUIVANT REF N° NSYSMVR12</t>
        </is>
      </c>
      <c r="F6952" t="inlineStr">
        <is>
          <t>DEWA DUBAI</t>
        </is>
      </c>
      <c r="J6952" t="inlineStr">
        <is>
          <t>BOIX</t>
        </is>
      </c>
      <c r="L6952">
        <f>_xlfn.XLOOKUP(Tableau1[[#This Row],[TYPE DE PIECE]],Tableau4[MATIERE],Tableau4[SHORT TYPE],"",0,1)</f>
        <v/>
      </c>
      <c r="N6952">
        <f>IF(ISERR(FIND("DECOUPE",Tableau1[[#This Row],[DESIGNATION]])),"","NEED REF")</f>
        <v/>
      </c>
    </row>
    <row r="6953">
      <c r="B6953" t="n">
        <v>34407052</v>
      </c>
      <c r="C6953" s="2" t="n">
        <v>43356</v>
      </c>
      <c r="D6953" t="inlineStr">
        <is>
          <t>SPEC</t>
        </is>
      </c>
      <c r="E6953" t="inlineStr">
        <is>
          <t>FF Terre de porte</t>
        </is>
      </c>
      <c r="F6953" t="inlineStr">
        <is>
          <t>QVE BAT</t>
        </is>
      </c>
      <c r="J6953" t="inlineStr">
        <is>
          <t>MATRION</t>
        </is>
      </c>
      <c r="K6953" t="inlineStr">
        <is>
          <t>FILERIE</t>
        </is>
      </c>
      <c r="L6953">
        <f>_xlfn.XLOOKUP(Tableau1[[#This Row],[TYPE DE PIECE]],Tableau4[MATIERE],Tableau4[SHORT TYPE],"",0,1)</f>
        <v/>
      </c>
      <c r="N6953">
        <f>IF(ISERR(FIND("DECOUPE",Tableau1[[#This Row],[DESIGNATION]])),"","NEED REF")</f>
        <v/>
      </c>
    </row>
    <row r="6954">
      <c r="B6954" t="n">
        <v>34407051</v>
      </c>
      <c r="C6954" s="2" t="n">
        <v>43356</v>
      </c>
      <c r="D6954" t="inlineStr">
        <is>
          <t>SPEC</t>
        </is>
      </c>
      <c r="E6954" t="inlineStr">
        <is>
          <t>RAIL DIN  L 510mm</t>
        </is>
      </c>
      <c r="F6954" t="inlineStr">
        <is>
          <t>DEWA DUBAI</t>
        </is>
      </c>
      <c r="J6954" t="inlineStr">
        <is>
          <t>BOIX</t>
        </is>
      </c>
      <c r="K6954" t="inlineStr">
        <is>
          <t>METAL</t>
        </is>
      </c>
      <c r="L6954">
        <f>_xlfn.XLOOKUP(Tableau1[[#This Row],[TYPE DE PIECE]],Tableau4[MATIERE],Tableau4[SHORT TYPE],"",0,1)</f>
        <v/>
      </c>
      <c r="N6954">
        <f>IF(ISERR(FIND("DECOUPE",Tableau1[[#This Row],[DESIGNATION]])),"","NEED REF")</f>
        <v/>
      </c>
    </row>
    <row r="6955">
      <c r="B6955" t="n">
        <v>34407050</v>
      </c>
      <c r="C6955" s="2" t="n">
        <v>43356</v>
      </c>
      <c r="D6955" t="inlineStr">
        <is>
          <t>SPEC</t>
        </is>
      </c>
      <c r="E6955" t="inlineStr">
        <is>
          <t>GLAND PLATE 2</t>
        </is>
      </c>
      <c r="F6955" t="inlineStr">
        <is>
          <t>TGAB I/O 1500KW 2 HEADS VOTADIS 3200A</t>
        </is>
      </c>
      <c r="J6955" t="inlineStr">
        <is>
          <t>ROBERT</t>
        </is>
      </c>
      <c r="L6955">
        <f>_xlfn.XLOOKUP(Tableau1[[#This Row],[TYPE DE PIECE]],Tableau4[MATIERE],Tableau4[SHORT TYPE],"",0,1)</f>
        <v/>
      </c>
      <c r="N6955">
        <f>IF(ISERR(FIND("DECOUPE",Tableau1[[#This Row],[DESIGNATION]])),"","NEED REF")</f>
        <v/>
      </c>
    </row>
    <row r="6956">
      <c r="B6956" t="n">
        <v>34407049</v>
      </c>
      <c r="C6956" s="2" t="n">
        <v>43356</v>
      </c>
      <c r="D6956" t="inlineStr">
        <is>
          <t>SPEC</t>
        </is>
      </c>
      <c r="E6956" t="inlineStr">
        <is>
          <t>GLAND PLATE 1</t>
        </is>
      </c>
      <c r="F6956" t="inlineStr">
        <is>
          <t>TGAB I/O 1500KW 2 HEADS VOTADIS 3200A</t>
        </is>
      </c>
      <c r="J6956" t="inlineStr">
        <is>
          <t>ROBERT</t>
        </is>
      </c>
      <c r="L6956">
        <f>_xlfn.XLOOKUP(Tableau1[[#This Row],[TYPE DE PIECE]],Tableau4[MATIERE],Tableau4[SHORT TYPE],"",0,1)</f>
        <v/>
      </c>
      <c r="N6956">
        <f>IF(ISERR(FIND("DECOUPE",Tableau1[[#This Row],[DESIGNATION]])),"","NEED REF")</f>
        <v/>
      </c>
    </row>
    <row r="6957">
      <c r="B6957" t="n">
        <v>34407048</v>
      </c>
      <c r="C6957" s="2" t="n">
        <v>43356</v>
      </c>
      <c r="D6957" t="inlineStr">
        <is>
          <t>SPEC</t>
        </is>
      </c>
      <c r="E6957" t="inlineStr">
        <is>
          <t>GLAND PLATE LOAD</t>
        </is>
      </c>
      <c r="F6957" t="inlineStr">
        <is>
          <t>TGAB I/O 1500KW 2 HEADS VOTADIS 3200A</t>
        </is>
      </c>
      <c r="J6957" t="inlineStr">
        <is>
          <t>ROBERT</t>
        </is>
      </c>
      <c r="L6957">
        <f>_xlfn.XLOOKUP(Tableau1[[#This Row],[TYPE DE PIECE]],Tableau4[MATIERE],Tableau4[SHORT TYPE],"",0,1)</f>
        <v/>
      </c>
      <c r="N6957">
        <f>IF(ISERR(FIND("DECOUPE",Tableau1[[#This Row],[DESIGNATION]])),"","NEED REF")</f>
        <v/>
      </c>
    </row>
    <row r="6958">
      <c r="B6958" t="n">
        <v>34407047</v>
      </c>
      <c r="C6958" s="2" t="n">
        <v>43356</v>
      </c>
      <c r="D6958" t="inlineStr">
        <is>
          <t>SPEC</t>
        </is>
      </c>
      <c r="E6958" t="inlineStr">
        <is>
          <t>GLAND PLATE MAINS1</t>
        </is>
      </c>
      <c r="F6958" t="inlineStr">
        <is>
          <t>TGAB I/O 1500KW 2 HEADS VOTADIS 3200A</t>
        </is>
      </c>
      <c r="J6958" t="inlineStr">
        <is>
          <t>ROBERT</t>
        </is>
      </c>
      <c r="L6958">
        <f>_xlfn.XLOOKUP(Tableau1[[#This Row],[TYPE DE PIECE]],Tableau4[MATIERE],Tableau4[SHORT TYPE],"",0,1)</f>
        <v/>
      </c>
      <c r="N6958">
        <f>IF(ISERR(FIND("DECOUPE",Tableau1[[#This Row],[DESIGNATION]])),"","NEED REF")</f>
        <v/>
      </c>
    </row>
    <row r="6959">
      <c r="B6959" t="n">
        <v>34407046</v>
      </c>
      <c r="C6959" s="2" t="n">
        <v>43356</v>
      </c>
      <c r="D6959" t="inlineStr">
        <is>
          <t>SPEC</t>
        </is>
      </c>
      <c r="E6959" t="inlineStr">
        <is>
          <t>TNC BAR</t>
        </is>
      </c>
      <c r="F6959" t="inlineStr">
        <is>
          <t>TGAB I/O 1500KW 2 HEADS VOTADIS 3200A</t>
        </is>
      </c>
      <c r="J6959" t="inlineStr">
        <is>
          <t>ROBERT</t>
        </is>
      </c>
      <c r="L6959">
        <f>_xlfn.XLOOKUP(Tableau1[[#This Row],[TYPE DE PIECE]],Tableau4[MATIERE],Tableau4[SHORT TYPE],"",0,1)</f>
        <v/>
      </c>
      <c r="N6959">
        <f>IF(ISERR(FIND("DECOUPE",Tableau1[[#This Row],[DESIGNATION]])),"","NEED REF")</f>
        <v/>
      </c>
    </row>
    <row r="6960">
      <c r="B6960" t="n">
        <v>34407045</v>
      </c>
      <c r="C6960" s="2" t="n">
        <v>43356</v>
      </c>
      <c r="D6960" t="inlineStr">
        <is>
          <t>SPEC</t>
        </is>
      </c>
      <c r="E6960" t="inlineStr">
        <is>
          <t>EARTH BAR</t>
        </is>
      </c>
      <c r="F6960" t="inlineStr">
        <is>
          <t>TGAB I/O 1500KW 2 HEADS VOTADIS 3200A</t>
        </is>
      </c>
      <c r="J6960" t="inlineStr">
        <is>
          <t>ROBERT</t>
        </is>
      </c>
      <c r="L6960">
        <f>_xlfn.XLOOKUP(Tableau1[[#This Row],[TYPE DE PIECE]],Tableau4[MATIERE],Tableau4[SHORT TYPE],"",0,1)</f>
        <v/>
      </c>
      <c r="N6960">
        <f>IF(ISERR(FIND("DECOUPE",Tableau1[[#This Row],[DESIGNATION]])),"","NEED REF")</f>
        <v/>
      </c>
    </row>
    <row r="6961">
      <c r="B6961" t="n">
        <v>34407044</v>
      </c>
      <c r="C6961" s="2" t="n">
        <v>43356</v>
      </c>
      <c r="D6961" t="inlineStr">
        <is>
          <t>SPEC</t>
        </is>
      </c>
      <c r="E6961" t="inlineStr">
        <is>
          <t>EARTH JONCTION</t>
        </is>
      </c>
      <c r="F6961" t="inlineStr">
        <is>
          <t>TGAB I/O 1500KW 2 HEADS VOTADIS 3200A</t>
        </is>
      </c>
      <c r="J6961" t="inlineStr">
        <is>
          <t>ROBERT</t>
        </is>
      </c>
      <c r="L6961">
        <f>_xlfn.XLOOKUP(Tableau1[[#This Row],[TYPE DE PIECE]],Tableau4[MATIERE],Tableau4[SHORT TYPE],"",0,1)</f>
        <v/>
      </c>
      <c r="N6961">
        <f>IF(ISERR(FIND("DECOUPE",Tableau1[[#This Row],[DESIGNATION]])),"","NEED REF")</f>
        <v/>
      </c>
    </row>
    <row r="6962">
      <c r="B6962" t="n">
        <v>34407043</v>
      </c>
      <c r="C6962" s="2" t="n">
        <v>43356</v>
      </c>
      <c r="D6962" t="inlineStr">
        <is>
          <t>SPEC</t>
        </is>
      </c>
      <c r="E6962" t="inlineStr">
        <is>
          <t>EARTH BAR MAINS 1&amp;LOAD</t>
        </is>
      </c>
      <c r="F6962" t="inlineStr">
        <is>
          <t>TGAB I/O 1500KW 2 HEADS VOTADIS 3200A</t>
        </is>
      </c>
      <c r="J6962" t="inlineStr">
        <is>
          <t>ROBERT</t>
        </is>
      </c>
      <c r="L6962">
        <f>_xlfn.XLOOKUP(Tableau1[[#This Row],[TYPE DE PIECE]],Tableau4[MATIERE],Tableau4[SHORT TYPE],"",0,1)</f>
        <v/>
      </c>
      <c r="N6962">
        <f>IF(ISERR(FIND("DECOUPE",Tableau1[[#This Row],[DESIGNATION]])),"","NEED REF")</f>
        <v/>
      </c>
    </row>
    <row r="6963">
      <c r="B6963" t="n">
        <v>34407042</v>
      </c>
      <c r="C6963" s="2" t="n">
        <v>43356</v>
      </c>
      <c r="D6963" t="inlineStr">
        <is>
          <t>SPEC</t>
        </is>
      </c>
      <c r="E6963" t="inlineStr">
        <is>
          <t>CORO L3 LOAD</t>
        </is>
      </c>
      <c r="F6963" t="inlineStr">
        <is>
          <t>TGAB I/O 1500KW 2 HEADS VOTADIS 3200A</t>
        </is>
      </c>
      <c r="J6963" t="inlineStr">
        <is>
          <t>ROBERT</t>
        </is>
      </c>
      <c r="L6963">
        <f>_xlfn.XLOOKUP(Tableau1[[#This Row],[TYPE DE PIECE]],Tableau4[MATIERE],Tableau4[SHORT TYPE],"",0,1)</f>
        <v/>
      </c>
      <c r="N6963">
        <f>IF(ISERR(FIND("DECOUPE",Tableau1[[#This Row],[DESIGNATION]])),"","NEED REF")</f>
        <v/>
      </c>
    </row>
    <row r="6964">
      <c r="B6964" t="n">
        <v>34407041</v>
      </c>
      <c r="C6964" s="2" t="n">
        <v>43356</v>
      </c>
      <c r="D6964" t="inlineStr">
        <is>
          <t>SPEC</t>
        </is>
      </c>
      <c r="E6964" t="inlineStr">
        <is>
          <t>CORO L2 LOAD</t>
        </is>
      </c>
      <c r="F6964" t="inlineStr">
        <is>
          <t>TGAB I/O 1500KW 2 HEADS VOTADIS 3200A</t>
        </is>
      </c>
      <c r="J6964" t="inlineStr">
        <is>
          <t>ROBERT</t>
        </is>
      </c>
      <c r="L6964">
        <f>_xlfn.XLOOKUP(Tableau1[[#This Row],[TYPE DE PIECE]],Tableau4[MATIERE],Tableau4[SHORT TYPE],"",0,1)</f>
        <v/>
      </c>
      <c r="N6964">
        <f>IF(ISERR(FIND("DECOUPE",Tableau1[[#This Row],[DESIGNATION]])),"","NEED REF")</f>
        <v/>
      </c>
    </row>
    <row r="6965">
      <c r="B6965" t="n">
        <v>34407040</v>
      </c>
      <c r="C6965" s="2" t="n">
        <v>43356</v>
      </c>
      <c r="D6965" t="inlineStr">
        <is>
          <t>SPEC</t>
        </is>
      </c>
      <c r="E6965" t="inlineStr">
        <is>
          <t>CORO L1 LOAD</t>
        </is>
      </c>
      <c r="F6965" t="inlineStr">
        <is>
          <t>TGAB I/O 1500KW 2 HEADS VOTADIS 3200A</t>
        </is>
      </c>
      <c r="J6965" t="inlineStr">
        <is>
          <t>ROBERT</t>
        </is>
      </c>
      <c r="L6965">
        <f>_xlfn.XLOOKUP(Tableau1[[#This Row],[TYPE DE PIECE]],Tableau4[MATIERE],Tableau4[SHORT TYPE],"",0,1)</f>
        <v/>
      </c>
      <c r="N6965">
        <f>IF(ISERR(FIND("DECOUPE",Tableau1[[#This Row],[DESIGNATION]])),"","NEED REF")</f>
        <v/>
      </c>
    </row>
    <row r="6966">
      <c r="B6966" t="n">
        <v>34407039</v>
      </c>
      <c r="C6966" s="2" t="n">
        <v>43356</v>
      </c>
      <c r="D6966" t="inlineStr">
        <is>
          <t>SPEC</t>
        </is>
      </c>
      <c r="E6966" t="inlineStr">
        <is>
          <t>JONCTION CORO LOAD</t>
        </is>
      </c>
      <c r="F6966" t="inlineStr">
        <is>
          <t>TGAB I/O 1500KW 2 HEADS VOTADIS 3200A</t>
        </is>
      </c>
      <c r="J6966" t="inlineStr">
        <is>
          <t>ROBERT</t>
        </is>
      </c>
      <c r="L6966">
        <f>_xlfn.XLOOKUP(Tableau1[[#This Row],[TYPE DE PIECE]],Tableau4[MATIERE],Tableau4[SHORT TYPE],"",0,1)</f>
        <v/>
      </c>
      <c r="N6966">
        <f>IF(ISERR(FIND("DECOUPE",Tableau1[[#This Row],[DESIGNATION]])),"","NEED REF")</f>
        <v/>
      </c>
    </row>
    <row r="6967">
      <c r="B6967" t="n">
        <v>34407038</v>
      </c>
      <c r="C6967" s="2" t="n">
        <v>43356</v>
      </c>
      <c r="D6967" t="inlineStr">
        <is>
          <t>SPEC</t>
        </is>
      </c>
      <c r="E6967" t="inlineStr">
        <is>
          <t xml:space="preserve">NEUTRAL CX </t>
        </is>
      </c>
      <c r="F6967" t="inlineStr">
        <is>
          <t>TGAB I/O 1500KW 2 HEADS VOTADIS 3200A</t>
        </is>
      </c>
      <c r="J6967" t="inlineStr">
        <is>
          <t>ROBERT</t>
        </is>
      </c>
      <c r="L6967">
        <f>_xlfn.XLOOKUP(Tableau1[[#This Row],[TYPE DE PIECE]],Tableau4[MATIERE],Tableau4[SHORT TYPE],"",0,1)</f>
        <v/>
      </c>
      <c r="N6967">
        <f>IF(ISERR(FIND("DECOUPE",Tableau1[[#This Row],[DESIGNATION]])),"","NEED REF")</f>
        <v/>
      </c>
    </row>
    <row r="6968">
      <c r="B6968" t="n">
        <v>34407037</v>
      </c>
      <c r="C6968" s="2" t="n">
        <v>43356</v>
      </c>
      <c r="D6968" t="inlineStr">
        <is>
          <t>SPEC</t>
        </is>
      </c>
      <c r="E6968" t="inlineStr">
        <is>
          <t xml:space="preserve">NEUTRAL CORO </t>
        </is>
      </c>
      <c r="F6968" t="inlineStr">
        <is>
          <t>TGAB I/O 1500KW 2 HEADS VOTADIS 3200A</t>
        </is>
      </c>
      <c r="J6968" t="inlineStr">
        <is>
          <t>ROBERT</t>
        </is>
      </c>
      <c r="L6968">
        <f>_xlfn.XLOOKUP(Tableau1[[#This Row],[TYPE DE PIECE]],Tableau4[MATIERE],Tableau4[SHORT TYPE],"",0,1)</f>
        <v/>
      </c>
      <c r="N6968">
        <f>IF(ISERR(FIND("DECOUPE",Tableau1[[#This Row],[DESIGNATION]])),"","NEED REF")</f>
        <v/>
      </c>
    </row>
    <row r="6969">
      <c r="B6969" t="n">
        <v>34407036</v>
      </c>
      <c r="C6969" s="2" t="n">
        <v>43356</v>
      </c>
      <c r="D6969" t="inlineStr">
        <is>
          <t>SPEC</t>
        </is>
      </c>
      <c r="E6969" t="inlineStr">
        <is>
          <t>CORO L3 MAINS 1</t>
        </is>
      </c>
      <c r="F6969" t="inlineStr">
        <is>
          <t>TGAB I/O 1500KW 2 HEADS VOTADIS 3200A</t>
        </is>
      </c>
      <c r="J6969" t="inlineStr">
        <is>
          <t>ROBERT</t>
        </is>
      </c>
      <c r="L6969">
        <f>_xlfn.XLOOKUP(Tableau1[[#This Row],[TYPE DE PIECE]],Tableau4[MATIERE],Tableau4[SHORT TYPE],"",0,1)</f>
        <v/>
      </c>
      <c r="N6969">
        <f>IF(ISERR(FIND("DECOUPE",Tableau1[[#This Row],[DESIGNATION]])),"","NEED REF")</f>
        <v/>
      </c>
    </row>
    <row r="6970">
      <c r="B6970" t="n">
        <v>34407035</v>
      </c>
      <c r="C6970" s="2" t="n">
        <v>43356</v>
      </c>
      <c r="D6970" t="inlineStr">
        <is>
          <t>SPEC</t>
        </is>
      </c>
      <c r="E6970" t="inlineStr">
        <is>
          <t>CORO L2 MAINS 1</t>
        </is>
      </c>
      <c r="F6970" t="inlineStr">
        <is>
          <t>TGAB I/O 1500KW 2 HEADS VOTADIS 3200A</t>
        </is>
      </c>
      <c r="J6970" t="inlineStr">
        <is>
          <t>ROBERT</t>
        </is>
      </c>
      <c r="L6970">
        <f>_xlfn.XLOOKUP(Tableau1[[#This Row],[TYPE DE PIECE]],Tableau4[MATIERE],Tableau4[SHORT TYPE],"",0,1)</f>
        <v/>
      </c>
      <c r="N6970">
        <f>IF(ISERR(FIND("DECOUPE",Tableau1[[#This Row],[DESIGNATION]])),"","NEED REF")</f>
        <v/>
      </c>
    </row>
    <row r="6971">
      <c r="B6971" t="n">
        <v>34407034</v>
      </c>
      <c r="C6971" s="2" t="n">
        <v>43356</v>
      </c>
      <c r="D6971" t="inlineStr">
        <is>
          <t>SPEC</t>
        </is>
      </c>
      <c r="E6971" t="inlineStr">
        <is>
          <t>CORO L1 MAINS 1</t>
        </is>
      </c>
      <c r="F6971" t="inlineStr">
        <is>
          <t>TGAB I/O 1500KW 2 HEADS VOTADIS 3200A</t>
        </is>
      </c>
      <c r="J6971" t="inlineStr">
        <is>
          <t>ROBERT</t>
        </is>
      </c>
      <c r="L6971">
        <f>_xlfn.XLOOKUP(Tableau1[[#This Row],[TYPE DE PIECE]],Tableau4[MATIERE],Tableau4[SHORT TYPE],"",0,1)</f>
        <v/>
      </c>
      <c r="N6971">
        <f>IF(ISERR(FIND("DECOUPE",Tableau1[[#This Row],[DESIGNATION]])),"","NEED REF")</f>
        <v/>
      </c>
    </row>
    <row r="6972">
      <c r="B6972" t="n">
        <v>34407033</v>
      </c>
      <c r="C6972" s="2" t="n">
        <v>43356</v>
      </c>
      <c r="D6972" t="inlineStr">
        <is>
          <t>SPEC</t>
        </is>
      </c>
      <c r="E6972" t="inlineStr">
        <is>
          <t>JONCTION CORO MAINS 1</t>
        </is>
      </c>
      <c r="F6972" t="inlineStr">
        <is>
          <t>TGAB I/O 1500KW 2 HEADS VOTADIS 3200A</t>
        </is>
      </c>
      <c r="J6972" t="inlineStr">
        <is>
          <t>ROBERT</t>
        </is>
      </c>
      <c r="L6972">
        <f>_xlfn.XLOOKUP(Tableau1[[#This Row],[TYPE DE PIECE]],Tableau4[MATIERE],Tableau4[SHORT TYPE],"",0,1)</f>
        <v/>
      </c>
      <c r="N6972">
        <f>IF(ISERR(FIND("DECOUPE",Tableau1[[#This Row],[DESIGNATION]])),"","NEED REF")</f>
        <v/>
      </c>
    </row>
    <row r="6973">
      <c r="B6973" t="n">
        <v>34407032</v>
      </c>
      <c r="C6973" s="2" t="n">
        <v>43356</v>
      </c>
      <c r="D6973" t="inlineStr">
        <is>
          <t>SPEC</t>
        </is>
      </c>
      <c r="E6973" t="inlineStr">
        <is>
          <t>REAR SUPPORT</t>
        </is>
      </c>
      <c r="F6973" t="inlineStr">
        <is>
          <t>TGAB I/O 1500KW 2 HEADS VOTADIS 3200A</t>
        </is>
      </c>
      <c r="J6973" t="inlineStr">
        <is>
          <t>ROBERT</t>
        </is>
      </c>
      <c r="L6973">
        <f>_xlfn.XLOOKUP(Tableau1[[#This Row],[TYPE DE PIECE]],Tableau4[MATIERE],Tableau4[SHORT TYPE],"",0,1)</f>
        <v/>
      </c>
      <c r="N6973">
        <f>IF(ISERR(FIND("DECOUPE",Tableau1[[#This Row],[DESIGNATION]])),"","NEED REF")</f>
        <v/>
      </c>
    </row>
    <row r="6974">
      <c r="B6974" t="n">
        <v>34407031</v>
      </c>
      <c r="C6974" s="2" t="n">
        <v>43356</v>
      </c>
      <c r="D6974" t="inlineStr">
        <is>
          <t>SPEC</t>
        </is>
      </c>
      <c r="E6974" t="inlineStr">
        <is>
          <t>FRONT SUPPORT</t>
        </is>
      </c>
      <c r="F6974" t="inlineStr">
        <is>
          <t>TGAB I/O 1500KW 2 HEADS VOTADIS 3200A</t>
        </is>
      </c>
      <c r="J6974" t="inlineStr">
        <is>
          <t>ROBERT</t>
        </is>
      </c>
      <c r="L6974">
        <f>_xlfn.XLOOKUP(Tableau1[[#This Row],[TYPE DE PIECE]],Tableau4[MATIERE],Tableau4[SHORT TYPE],"",0,1)</f>
        <v/>
      </c>
      <c r="N6974">
        <f>IF(ISERR(FIND("DECOUPE",Tableau1[[#This Row],[DESIGNATION]])),"","NEED REF")</f>
        <v/>
      </c>
    </row>
    <row r="6975">
      <c r="B6975" t="n">
        <v>34407030</v>
      </c>
      <c r="C6975" s="2" t="n">
        <v>43355</v>
      </c>
      <c r="D6975" t="inlineStr">
        <is>
          <t>SPEC</t>
        </is>
      </c>
      <c r="E6975" t="inlineStr">
        <is>
          <t>BARRE DE CUIVRE PERFORREE POUR PE SUIVANT REF 04161 - L =530</t>
        </is>
      </c>
      <c r="F6975" t="inlineStr">
        <is>
          <t>DEWA DUBAI</t>
        </is>
      </c>
      <c r="J6975" t="inlineStr">
        <is>
          <t>BOIX</t>
        </is>
      </c>
      <c r="K6975" t="inlineStr">
        <is>
          <t>CUIVRE</t>
        </is>
      </c>
      <c r="L6975">
        <f>_xlfn.XLOOKUP(Tableau1[[#This Row],[TYPE DE PIECE]],Tableau4[MATIERE],Tableau4[SHORT TYPE],"",0,1)</f>
        <v/>
      </c>
      <c r="N6975">
        <f>IF(ISERR(FIND("DECOUPE",Tableau1[[#This Row],[DESIGNATION]])),"","NEED REF")</f>
        <v/>
      </c>
    </row>
    <row r="6976">
      <c r="B6976" t="n">
        <v>34407029</v>
      </c>
      <c r="C6976" s="2" t="n">
        <v>43355</v>
      </c>
      <c r="D6976" t="inlineStr">
        <is>
          <t>SPEC</t>
        </is>
      </c>
      <c r="E6976" t="inlineStr">
        <is>
          <t>BARRE DE CUIVRE PERFORREE SUIVANT REF 04161 - L= 110  POUR Z1</t>
        </is>
      </c>
      <c r="F6976" t="inlineStr">
        <is>
          <t>DEWA DUBAI</t>
        </is>
      </c>
      <c r="J6976" t="inlineStr">
        <is>
          <t>BOIX</t>
        </is>
      </c>
      <c r="K6976" t="inlineStr">
        <is>
          <t>CUIVRE</t>
        </is>
      </c>
      <c r="L6976">
        <f>_xlfn.XLOOKUP(Tableau1[[#This Row],[TYPE DE PIECE]],Tableau4[MATIERE],Tableau4[SHORT TYPE],"",0,1)</f>
        <v/>
      </c>
      <c r="N6976">
        <f>IF(ISERR(FIND("DECOUPE",Tableau1[[#This Row],[DESIGNATION]])),"","NEED REF")</f>
        <v/>
      </c>
    </row>
    <row r="6977">
      <c r="B6977" t="n">
        <v>34407028</v>
      </c>
      <c r="C6977" s="2" t="n">
        <v>43355</v>
      </c>
      <c r="D6977" t="inlineStr">
        <is>
          <t>SPEC</t>
        </is>
      </c>
      <c r="E6977" t="inlineStr">
        <is>
          <t>PLAQUE DE SUPPORT Z1</t>
        </is>
      </c>
      <c r="F6977" t="inlineStr">
        <is>
          <t>DEWA DUBAI</t>
        </is>
      </c>
      <c r="J6977" t="inlineStr">
        <is>
          <t>BOIX</t>
        </is>
      </c>
      <c r="K6977" t="inlineStr">
        <is>
          <t>METAL</t>
        </is>
      </c>
      <c r="L6977">
        <f>_xlfn.XLOOKUP(Tableau1[[#This Row],[TYPE DE PIECE]],Tableau4[MATIERE],Tableau4[SHORT TYPE],"",0,1)</f>
        <v/>
      </c>
      <c r="N6977">
        <f>IF(ISERR(FIND("DECOUPE",Tableau1[[#This Row],[DESIGNATION]])),"","NEED REF")</f>
        <v/>
      </c>
    </row>
    <row r="6978">
      <c r="B6978" t="n">
        <v>34407027</v>
      </c>
      <c r="C6978" s="2" t="n">
        <v>43354</v>
      </c>
      <c r="D6978" t="inlineStr">
        <is>
          <t>SPEC</t>
        </is>
      </c>
      <c r="E6978" t="inlineStr">
        <is>
          <t>Masterpact NW12 4P HF</t>
        </is>
      </c>
      <c r="J6978" t="inlineStr">
        <is>
          <t>MATRION</t>
        </is>
      </c>
      <c r="K6978" t="inlineStr">
        <is>
          <t>SCHNEIDER</t>
        </is>
      </c>
      <c r="L6978">
        <f>_xlfn.XLOOKUP(Tableau1[[#This Row],[TYPE DE PIECE]],Tableau4[MATIERE],Tableau4[SHORT TYPE],"",0,1)</f>
        <v/>
      </c>
      <c r="N6978">
        <f>IF(ISERR(FIND("DECOUPE",Tableau1[[#This Row],[DESIGNATION]])),"","NEED REF")</f>
        <v/>
      </c>
    </row>
    <row r="6979">
      <c r="B6979" t="n">
        <v>34407026</v>
      </c>
      <c r="C6979" s="2" t="n"/>
      <c r="E6979" t="inlineStr">
        <is>
          <t>ENG ITEM TEST - TRANSFERT TO MANUFACTURING</t>
        </is>
      </c>
      <c r="L6979">
        <f>_xlfn.XLOOKUP(Tableau1[[#This Row],[TYPE DE PIECE]],Tableau4[MATIERE],Tableau4[SHORT TYPE],"",0,1)</f>
        <v/>
      </c>
      <c r="N6979">
        <f>IF(ISERR(FIND("DECOUPE",Tableau1[[#This Row],[DESIGNATION]])),"","NEED REF")</f>
        <v/>
      </c>
    </row>
    <row r="6980">
      <c r="B6980" t="n">
        <v>34407025</v>
      </c>
      <c r="C6980" s="2" t="n">
        <v>43350</v>
      </c>
      <c r="D6980" t="inlineStr">
        <is>
          <t>SPEC</t>
        </is>
      </c>
      <c r="E6980" t="inlineStr">
        <is>
          <t>Plaque isolante Mylar 290 X 105 X 0,19mm 1 face adhésive</t>
        </is>
      </c>
      <c r="F6980" t="inlineStr">
        <is>
          <t>DEWA DUBAI</t>
        </is>
      </c>
      <c r="J6980" t="inlineStr">
        <is>
          <t>BOIX</t>
        </is>
      </c>
      <c r="K6980" t="inlineStr">
        <is>
          <t>MYLAR</t>
        </is>
      </c>
      <c r="L6980">
        <f>_xlfn.XLOOKUP(Tableau1[[#This Row],[TYPE DE PIECE]],Tableau4[MATIERE],Tableau4[SHORT TYPE],"",0,1)</f>
        <v/>
      </c>
      <c r="N6980">
        <f>IF(ISERR(FIND("DECOUPE",Tableau1[[#This Row],[DESIGNATION]])),"","NEED REF")</f>
        <v/>
      </c>
    </row>
    <row r="6981">
      <c r="B6981" t="n">
        <v>34407024</v>
      </c>
      <c r="C6981" s="2" t="n">
        <v>43347</v>
      </c>
      <c r="D6981" t="inlineStr">
        <is>
          <t>SPEC</t>
        </is>
      </c>
      <c r="E6981" t="inlineStr">
        <is>
          <t>ETIQ Projet P24 de TOTAL</t>
        </is>
      </c>
      <c r="J6981" t="inlineStr">
        <is>
          <t>MATRION</t>
        </is>
      </c>
      <c r="K6981" t="inlineStr">
        <is>
          <t>ETIQUETTE</t>
        </is>
      </c>
      <c r="L6981">
        <f>_xlfn.XLOOKUP(Tableau1[[#This Row],[TYPE DE PIECE]],Tableau4[MATIERE],Tableau4[SHORT TYPE],"",0,1)</f>
        <v/>
      </c>
      <c r="N6981">
        <f>IF(ISERR(FIND("DECOUPE",Tableau1[[#This Row],[DESIGNATION]])),"","NEED REF")</f>
        <v/>
      </c>
    </row>
    <row r="6982">
      <c r="B6982" t="n">
        <v>34407023</v>
      </c>
      <c r="C6982" s="2" t="n">
        <v>43346</v>
      </c>
      <c r="D6982" t="inlineStr">
        <is>
          <t>SPEC</t>
        </is>
      </c>
      <c r="E6982" t="inlineStr">
        <is>
          <t>ARMOIRE SAREL 8xBBK KIT</t>
        </is>
      </c>
      <c r="J6982" t="inlineStr">
        <is>
          <t>MATRION</t>
        </is>
      </c>
      <c r="K6982" t="inlineStr">
        <is>
          <t>SAREL</t>
        </is>
      </c>
      <c r="L6982">
        <f>_xlfn.XLOOKUP(Tableau1[[#This Row],[TYPE DE PIECE]],Tableau4[MATIERE],Tableau4[SHORT TYPE],"",0,1)</f>
        <v/>
      </c>
      <c r="N6982">
        <f>IF(ISERR(FIND("DECOUPE",Tableau1[[#This Row],[DESIGNATION]])),"","NEED REF")</f>
        <v/>
      </c>
    </row>
    <row r="6983">
      <c r="B6983" t="n">
        <v>34407022</v>
      </c>
      <c r="C6983" s="2" t="n">
        <v>43346</v>
      </c>
      <c r="D6983" t="inlineStr">
        <is>
          <t>NOM</t>
        </is>
      </c>
      <c r="E6983" t="inlineStr">
        <is>
          <t>lg visserie QFDI96696</t>
        </is>
      </c>
      <c r="J6983" t="inlineStr">
        <is>
          <t>PLANTIER</t>
        </is>
      </c>
      <c r="K6983" t="inlineStr">
        <is>
          <t>NOM</t>
        </is>
      </c>
      <c r="L6983">
        <f>_xlfn.XLOOKUP(Tableau1[[#This Row],[TYPE DE PIECE]],Tableau4[MATIERE],Tableau4[SHORT TYPE],"",0,1)</f>
        <v/>
      </c>
      <c r="N6983">
        <f>IF(ISERR(FIND("DECOUPE",Tableau1[[#This Row],[DESIGNATION]])),"","NEED REF")</f>
        <v/>
      </c>
    </row>
    <row r="6984">
      <c r="B6984" t="n">
        <v>34407021</v>
      </c>
      <c r="C6984" s="2" t="n">
        <v>43346</v>
      </c>
      <c r="D6984" t="inlineStr">
        <is>
          <t>SPEC</t>
        </is>
      </c>
      <c r="E6984" t="inlineStr">
        <is>
          <t>U STUCTURE FILTRE A SABLE</t>
        </is>
      </c>
      <c r="F6984" t="inlineStr">
        <is>
          <t>DEWA DUBAI</t>
        </is>
      </c>
      <c r="J6984" t="inlineStr">
        <is>
          <t>BOIX</t>
        </is>
      </c>
      <c r="K6984" t="inlineStr">
        <is>
          <t>METAL</t>
        </is>
      </c>
      <c r="L6984">
        <f>_xlfn.XLOOKUP(Tableau1[[#This Row],[TYPE DE PIECE]],Tableau4[MATIERE],Tableau4[SHORT TYPE],"",0,1)</f>
        <v/>
      </c>
      <c r="N6984">
        <f>IF(ISERR(FIND("DECOUPE",Tableau1[[#This Row],[DESIGNATION]])),"","NEED REF")</f>
        <v/>
      </c>
    </row>
    <row r="6985">
      <c r="B6985" t="n">
        <v>34407020</v>
      </c>
      <c r="C6985" s="2" t="n">
        <v>43346</v>
      </c>
      <c r="D6985" t="inlineStr">
        <is>
          <t>SPEC</t>
        </is>
      </c>
      <c r="E6985" t="inlineStr">
        <is>
          <t>POSITION PERCAGE ARMOIRE</t>
        </is>
      </c>
      <c r="F6985" t="inlineStr">
        <is>
          <t>DEWA DUBAI</t>
        </is>
      </c>
      <c r="J6985" t="inlineStr">
        <is>
          <t>BOIX</t>
        </is>
      </c>
      <c r="K6985" t="inlineStr">
        <is>
          <t>METAL</t>
        </is>
      </c>
      <c r="L6985">
        <f>_xlfn.XLOOKUP(Tableau1[[#This Row],[TYPE DE PIECE]],Tableau4[MATIERE],Tableau4[SHORT TYPE],"",0,1)</f>
        <v/>
      </c>
      <c r="N6985">
        <f>IF(ISERR(FIND("DECOUPE",Tableau1[[#This Row],[DESIGNATION]])),"","NEED REF")</f>
        <v/>
      </c>
    </row>
    <row r="6986">
      <c r="B6986" t="n">
        <v>34407019</v>
      </c>
      <c r="C6986" s="2" t="n">
        <v>43342</v>
      </c>
      <c r="D6986" t="inlineStr">
        <is>
          <t>SPEC</t>
        </is>
      </c>
      <c r="E6986" t="inlineStr">
        <is>
          <t>ASM BOITIER FILTRE A SABLE</t>
        </is>
      </c>
      <c r="F6986" t="inlineStr">
        <is>
          <t>DEWA DUBAI</t>
        </is>
      </c>
      <c r="J6986" t="inlineStr">
        <is>
          <t>BOIX</t>
        </is>
      </c>
      <c r="K6986" t="inlineStr">
        <is>
          <t>METAL</t>
        </is>
      </c>
      <c r="L6986">
        <f>_xlfn.XLOOKUP(Tableau1[[#This Row],[TYPE DE PIECE]],Tableau4[MATIERE],Tableau4[SHORT TYPE],"",0,1)</f>
        <v/>
      </c>
      <c r="N6986">
        <f>IF(ISERR(FIND("DECOUPE",Tableau1[[#This Row],[DESIGNATION]])),"","NEED REF")</f>
        <v/>
      </c>
    </row>
    <row r="6987">
      <c r="B6987" t="n">
        <v>34407018</v>
      </c>
      <c r="C6987" s="2" t="n">
        <v>43342</v>
      </c>
      <c r="D6987" t="inlineStr">
        <is>
          <t>SPEC</t>
        </is>
      </c>
      <c r="E6987" t="inlineStr">
        <is>
          <t>U DE GUIDAGE  FILTRE A SABLE</t>
        </is>
      </c>
      <c r="F6987" t="inlineStr">
        <is>
          <t>DEWA DUBAI</t>
        </is>
      </c>
      <c r="J6987" t="inlineStr">
        <is>
          <t>BOIX</t>
        </is>
      </c>
      <c r="K6987" t="inlineStr">
        <is>
          <t>METAL</t>
        </is>
      </c>
      <c r="L6987">
        <f>_xlfn.XLOOKUP(Tableau1[[#This Row],[TYPE DE PIECE]],Tableau4[MATIERE],Tableau4[SHORT TYPE],"",0,1)</f>
        <v/>
      </c>
      <c r="N6987">
        <f>IF(ISERR(FIND("DECOUPE",Tableau1[[#This Row],[DESIGNATION]])),"","NEED REF")</f>
        <v/>
      </c>
    </row>
    <row r="6988">
      <c r="B6988" t="n">
        <v>34407017</v>
      </c>
      <c r="C6988" s="2" t="n">
        <v>43342</v>
      </c>
      <c r="D6988" t="inlineStr">
        <is>
          <t>SPEC</t>
        </is>
      </c>
      <c r="E6988" t="inlineStr">
        <is>
          <t>FOND FILTRE A SABLE</t>
        </is>
      </c>
      <c r="F6988" t="inlineStr">
        <is>
          <t>DEWA DUBAI</t>
        </is>
      </c>
      <c r="J6988" t="inlineStr">
        <is>
          <t>BOIX</t>
        </is>
      </c>
      <c r="K6988" t="inlineStr">
        <is>
          <t>METAL</t>
        </is>
      </c>
      <c r="L6988">
        <f>_xlfn.XLOOKUP(Tableau1[[#This Row],[TYPE DE PIECE]],Tableau4[MATIERE],Tableau4[SHORT TYPE],"",0,1)</f>
        <v/>
      </c>
      <c r="N6988">
        <f>IF(ISERR(FIND("DECOUPE",Tableau1[[#This Row],[DESIGNATION]])),"","NEED REF")</f>
        <v/>
      </c>
    </row>
    <row r="6989">
      <c r="B6989" t="n">
        <v>34407016</v>
      </c>
      <c r="C6989" s="2" t="n">
        <v>43342</v>
      </c>
      <c r="D6989" t="inlineStr">
        <is>
          <t>SPEC</t>
        </is>
      </c>
      <c r="E6989" t="inlineStr">
        <is>
          <t>JOINT DE FILTRE A SABLE</t>
        </is>
      </c>
      <c r="F6989" t="inlineStr">
        <is>
          <t>DEWA DUBAI</t>
        </is>
      </c>
      <c r="J6989" t="inlineStr">
        <is>
          <t>BOIX</t>
        </is>
      </c>
      <c r="K6989" t="inlineStr">
        <is>
          <t>METAL</t>
        </is>
      </c>
      <c r="L6989">
        <f>_xlfn.XLOOKUP(Tableau1[[#This Row],[TYPE DE PIECE]],Tableau4[MATIERE],Tableau4[SHORT TYPE],"",0,1)</f>
        <v/>
      </c>
      <c r="N6989">
        <f>IF(ISERR(FIND("DECOUPE",Tableau1[[#This Row],[DESIGNATION]])),"","NEED REF")</f>
        <v/>
      </c>
    </row>
    <row r="6990">
      <c r="B6990" t="n">
        <v>34407015</v>
      </c>
      <c r="C6990" s="2" t="n">
        <v>43342</v>
      </c>
      <c r="D6990" t="inlineStr">
        <is>
          <t>SPEC</t>
        </is>
      </c>
      <c r="E6990" t="inlineStr">
        <is>
          <t xml:space="preserve">GOULOTTE  </t>
        </is>
      </c>
      <c r="F6990" t="inlineStr">
        <is>
          <t>DEWA DUBAI</t>
        </is>
      </c>
      <c r="J6990" t="inlineStr">
        <is>
          <t>BOIX</t>
        </is>
      </c>
      <c r="K6990" t="inlineStr">
        <is>
          <t>METAL</t>
        </is>
      </c>
      <c r="L6990">
        <f>_xlfn.XLOOKUP(Tableau1[[#This Row],[TYPE DE PIECE]],Tableau4[MATIERE],Tableau4[SHORT TYPE],"",0,1)</f>
        <v/>
      </c>
      <c r="N6990">
        <f>IF(ISERR(FIND("DECOUPE",Tableau1[[#This Row],[DESIGNATION]])),"","NEED REF")</f>
        <v/>
      </c>
    </row>
    <row r="6991">
      <c r="B6991" t="n">
        <v>34407014</v>
      </c>
      <c r="C6991" s="2" t="n">
        <v>43342</v>
      </c>
      <c r="D6991" t="inlineStr">
        <is>
          <t>SPEC</t>
        </is>
      </c>
      <c r="E6991" t="inlineStr">
        <is>
          <t>ASM BOITIER FILTRE A SABLE</t>
        </is>
      </c>
      <c r="F6991" t="inlineStr">
        <is>
          <t>DEWA DUBAI</t>
        </is>
      </c>
      <c r="J6991" t="inlineStr">
        <is>
          <t>BOIX</t>
        </is>
      </c>
      <c r="K6991" t="inlineStr">
        <is>
          <t>METAL</t>
        </is>
      </c>
      <c r="L6991">
        <f>_xlfn.XLOOKUP(Tableau1[[#This Row],[TYPE DE PIECE]],Tableau4[MATIERE],Tableau4[SHORT TYPE],"",0,1)</f>
        <v/>
      </c>
      <c r="N6991">
        <f>IF(ISERR(FIND("DECOUPE",Tableau1[[#This Row],[DESIGNATION]])),"","NEED REF")</f>
        <v/>
      </c>
    </row>
    <row r="6992">
      <c r="B6992" t="n">
        <v>34407013</v>
      </c>
      <c r="C6992" s="2" t="n">
        <v>43342</v>
      </c>
      <c r="D6992" t="inlineStr">
        <is>
          <t>SPEC</t>
        </is>
      </c>
      <c r="E6992" t="inlineStr">
        <is>
          <t>RAIL DIN</t>
        </is>
      </c>
      <c r="F6992" t="inlineStr">
        <is>
          <t>DEWA DUBAI</t>
        </is>
      </c>
      <c r="J6992" t="inlineStr">
        <is>
          <t>BOIX</t>
        </is>
      </c>
      <c r="K6992" t="inlineStr">
        <is>
          <t>METAL</t>
        </is>
      </c>
      <c r="L6992">
        <f>_xlfn.XLOOKUP(Tableau1[[#This Row],[TYPE DE PIECE]],Tableau4[MATIERE],Tableau4[SHORT TYPE],"",0,1)</f>
        <v/>
      </c>
      <c r="N6992">
        <f>IF(ISERR(FIND("DECOUPE",Tableau1[[#This Row],[DESIGNATION]])),"","NEED REF")</f>
        <v/>
      </c>
    </row>
    <row r="6993">
      <c r="B6993" t="n">
        <v>34407012</v>
      </c>
      <c r="C6993" s="2" t="n">
        <v>43342</v>
      </c>
      <c r="D6993" t="inlineStr">
        <is>
          <t>SPEC</t>
        </is>
      </c>
      <c r="E6993" t="inlineStr">
        <is>
          <t xml:space="preserve">GOULOTTE  </t>
        </is>
      </c>
      <c r="F6993" t="inlineStr">
        <is>
          <t>DEWA DUBAI</t>
        </is>
      </c>
      <c r="J6993" t="inlineStr">
        <is>
          <t>BOIX</t>
        </is>
      </c>
      <c r="K6993" t="inlineStr">
        <is>
          <t>METAL</t>
        </is>
      </c>
      <c r="L6993">
        <f>_xlfn.XLOOKUP(Tableau1[[#This Row],[TYPE DE PIECE]],Tableau4[MATIERE],Tableau4[SHORT TYPE],"",0,1)</f>
        <v/>
      </c>
      <c r="N6993">
        <f>IF(ISERR(FIND("DECOUPE",Tableau1[[#This Row],[DESIGNATION]])),"","NEED REF")</f>
        <v/>
      </c>
    </row>
    <row r="6994">
      <c r="B6994" t="n">
        <v>34407011</v>
      </c>
      <c r="C6994" s="2" t="n">
        <v>43342</v>
      </c>
      <c r="D6994" t="inlineStr">
        <is>
          <t>SPEC</t>
        </is>
      </c>
      <c r="E6994" t="inlineStr">
        <is>
          <t>PLATINE POUR ARMOIRE SAREL THALASSA 1000 X 800</t>
        </is>
      </c>
      <c r="F6994" t="inlineStr">
        <is>
          <t>DEWA DUBAI</t>
        </is>
      </c>
      <c r="J6994" t="inlineStr">
        <is>
          <t>BOIX</t>
        </is>
      </c>
      <c r="K6994" t="inlineStr">
        <is>
          <t>METAL</t>
        </is>
      </c>
      <c r="L6994">
        <f>_xlfn.XLOOKUP(Tableau1[[#This Row],[TYPE DE PIECE]],Tableau4[MATIERE],Tableau4[SHORT TYPE],"",0,1)</f>
        <v/>
      </c>
      <c r="N6994">
        <f>IF(ISERR(FIND("DECOUPE",Tableau1[[#This Row],[DESIGNATION]])),"","NEED REF")</f>
        <v/>
      </c>
    </row>
    <row r="6995">
      <c r="B6995" t="n">
        <v>34407010</v>
      </c>
      <c r="C6995" s="2" t="n">
        <v>43342</v>
      </c>
      <c r="D6995" t="inlineStr">
        <is>
          <t>SPEC</t>
        </is>
      </c>
      <c r="E6995" t="inlineStr">
        <is>
          <t>ASM ARMOIRE SAREL THALASSA 1000 X 800</t>
        </is>
      </c>
      <c r="F6995" t="inlineStr">
        <is>
          <t>DEWA DUBAI</t>
        </is>
      </c>
      <c r="J6995" t="inlineStr">
        <is>
          <t>BOIX</t>
        </is>
      </c>
      <c r="K6995" t="inlineStr">
        <is>
          <t>METAL</t>
        </is>
      </c>
      <c r="L6995">
        <f>_xlfn.XLOOKUP(Tableau1[[#This Row],[TYPE DE PIECE]],Tableau4[MATIERE],Tableau4[SHORT TYPE],"",0,1)</f>
        <v/>
      </c>
      <c r="N6995">
        <f>IF(ISERR(FIND("DECOUPE",Tableau1[[#This Row],[DESIGNATION]])),"","NEED REF")</f>
        <v/>
      </c>
    </row>
    <row r="6996">
      <c r="B6996" t="n">
        <v>34407009</v>
      </c>
      <c r="C6996" s="2" t="n">
        <v>43340</v>
      </c>
      <c r="D6996" t="inlineStr">
        <is>
          <t>SPEC</t>
        </is>
      </c>
      <c r="E6996" t="inlineStr">
        <is>
          <t>SPACER H=173</t>
        </is>
      </c>
      <c r="F6996" t="inlineStr">
        <is>
          <t>QRRA51787</t>
        </is>
      </c>
      <c r="J6996" t="inlineStr">
        <is>
          <t>BOIX</t>
        </is>
      </c>
      <c r="K6996" t="inlineStr">
        <is>
          <t>METAL</t>
        </is>
      </c>
      <c r="L6996">
        <f>_xlfn.XLOOKUP(Tableau1[[#This Row],[TYPE DE PIECE]],Tableau4[MATIERE],Tableau4[SHORT TYPE],"",0,1)</f>
        <v/>
      </c>
      <c r="N6996">
        <f>IF(ISERR(FIND("DECOUPE",Tableau1[[#This Row],[DESIGNATION]])),"","NEED REF")</f>
        <v/>
      </c>
    </row>
    <row r="6997">
      <c r="B6997" t="n">
        <v>34407008</v>
      </c>
      <c r="C6997" s="2" t="n">
        <v>43339</v>
      </c>
      <c r="D6997" t="inlineStr">
        <is>
          <t>SPEC</t>
        </is>
      </c>
      <c r="E6997" t="inlineStr">
        <is>
          <t>TIRETTE DE PORTE</t>
        </is>
      </c>
      <c r="F6997" t="inlineStr">
        <is>
          <t>GALAXY G6K 400-450Kva</t>
        </is>
      </c>
      <c r="J6997" t="inlineStr">
        <is>
          <t>BOIX</t>
        </is>
      </c>
      <c r="K6997" t="inlineStr">
        <is>
          <t>METAL</t>
        </is>
      </c>
      <c r="L6997">
        <f>_xlfn.XLOOKUP(Tableau1[[#This Row],[TYPE DE PIECE]],Tableau4[MATIERE],Tableau4[SHORT TYPE],"",0,1)</f>
        <v/>
      </c>
      <c r="N6997">
        <f>IF(ISERR(FIND("DECOUPE",Tableau1[[#This Row],[DESIGNATION]])),"","NEED REF")</f>
        <v/>
      </c>
    </row>
    <row r="6998">
      <c r="B6998" t="n">
        <v>34407007</v>
      </c>
      <c r="C6998" s="2" t="n">
        <v>43339</v>
      </c>
      <c r="D6998" t="inlineStr">
        <is>
          <t>SPEC</t>
        </is>
      </c>
      <c r="E6998" t="inlineStr">
        <is>
          <t xml:space="preserve">PLAN D'ASSEMBLAGE DES PLASTRONS </t>
        </is>
      </c>
      <c r="F6998" t="inlineStr">
        <is>
          <t>GALAXY G6K 400-450Kva</t>
        </is>
      </c>
      <c r="J6998" t="inlineStr">
        <is>
          <t>BOIX</t>
        </is>
      </c>
      <c r="K6998" t="inlineStr">
        <is>
          <t>METAL</t>
        </is>
      </c>
      <c r="L6998">
        <f>_xlfn.XLOOKUP(Tableau1[[#This Row],[TYPE DE PIECE]],Tableau4[MATIERE],Tableau4[SHORT TYPE],"",0,1)</f>
        <v/>
      </c>
      <c r="N6998">
        <f>IF(ISERR(FIND("DECOUPE",Tableau1[[#This Row],[DESIGNATION]])),"","NEED REF")</f>
        <v/>
      </c>
    </row>
    <row r="6999">
      <c r="B6999" t="n">
        <v>34407006</v>
      </c>
      <c r="C6999" s="2" t="n">
        <v>43339</v>
      </c>
      <c r="D6999" t="inlineStr">
        <is>
          <t>SPEC</t>
        </is>
      </c>
      <c r="E6999" t="inlineStr">
        <is>
          <t>EQUERRE PLASTRON MILIEU</t>
        </is>
      </c>
      <c r="F6999" t="inlineStr">
        <is>
          <t>GALAXY G6K 400-450Kva</t>
        </is>
      </c>
      <c r="J6999" t="inlineStr">
        <is>
          <t>BOIX</t>
        </is>
      </c>
      <c r="K6999" t="inlineStr">
        <is>
          <t>METAL</t>
        </is>
      </c>
      <c r="L6999">
        <f>_xlfn.XLOOKUP(Tableau1[[#This Row],[TYPE DE PIECE]],Tableau4[MATIERE],Tableau4[SHORT TYPE],"",0,1)</f>
        <v/>
      </c>
      <c r="N6999">
        <f>IF(ISERR(FIND("DECOUPE",Tableau1[[#This Row],[DESIGNATION]])),"","NEED REF")</f>
        <v/>
      </c>
    </row>
    <row r="7000">
      <c r="B7000" t="n">
        <v>34407005</v>
      </c>
      <c r="C7000" s="2" t="n">
        <v>43339</v>
      </c>
      <c r="D7000" t="inlineStr">
        <is>
          <t>SPEC</t>
        </is>
      </c>
      <c r="E7000" t="inlineStr">
        <is>
          <t>EQUERRE PLASTRON DROIT/GAUCHE BAS</t>
        </is>
      </c>
      <c r="F7000" t="inlineStr">
        <is>
          <t>GALAXY G6K 400-450Kva</t>
        </is>
      </c>
      <c r="J7000" t="inlineStr">
        <is>
          <t>BOIX</t>
        </is>
      </c>
      <c r="K7000" t="inlineStr">
        <is>
          <t>METAL</t>
        </is>
      </c>
      <c r="L7000">
        <f>_xlfn.XLOOKUP(Tableau1[[#This Row],[TYPE DE PIECE]],Tableau4[MATIERE],Tableau4[SHORT TYPE],"",0,1)</f>
        <v/>
      </c>
      <c r="N7000">
        <f>IF(ISERR(FIND("DECOUPE",Tableau1[[#This Row],[DESIGNATION]])),"","NEED REF")</f>
        <v/>
      </c>
    </row>
    <row r="7001">
      <c r="B7001" t="n">
        <v>34407004</v>
      </c>
      <c r="C7001" s="2" t="n">
        <v>43339</v>
      </c>
      <c r="D7001" t="inlineStr">
        <is>
          <t>SPEC</t>
        </is>
      </c>
      <c r="E7001" t="inlineStr">
        <is>
          <t>EQUERRE PLASTRON DROIT/GAUCHE HAUT</t>
        </is>
      </c>
      <c r="F7001" t="inlineStr">
        <is>
          <t>GALAXY G6K 400-450Kva</t>
        </is>
      </c>
      <c r="J7001" t="inlineStr">
        <is>
          <t>BOIX</t>
        </is>
      </c>
      <c r="K7001" t="inlineStr">
        <is>
          <t>METAL</t>
        </is>
      </c>
      <c r="L7001">
        <f>_xlfn.XLOOKUP(Tableau1[[#This Row],[TYPE DE PIECE]],Tableau4[MATIERE],Tableau4[SHORT TYPE],"",0,1)</f>
        <v/>
      </c>
      <c r="N7001">
        <f>IF(ISERR(FIND("DECOUPE",Tableau1[[#This Row],[DESIGNATION]])),"","NEED REF")</f>
        <v/>
      </c>
    </row>
    <row r="7002">
      <c r="B7002" t="n">
        <v>34407003</v>
      </c>
      <c r="C7002" s="2" t="n">
        <v>43336</v>
      </c>
      <c r="D7002" t="inlineStr">
        <is>
          <t>SPEC</t>
        </is>
      </c>
      <c r="E7002" t="inlineStr">
        <is>
          <t>Armoire SAREL SPACIAL SF - GUTOR PXC - Suivant devis F18080428MHZ</t>
        </is>
      </c>
      <c r="F7002" t="inlineStr">
        <is>
          <t>QPBE52295</t>
        </is>
      </c>
      <c r="J7002" t="inlineStr">
        <is>
          <t>PLANTIER</t>
        </is>
      </c>
      <c r="K7002" t="inlineStr">
        <is>
          <t>METAL</t>
        </is>
      </c>
      <c r="L7002">
        <f>_xlfn.XLOOKUP(Tableau1[[#This Row],[TYPE DE PIECE]],Tableau4[MATIERE],Tableau4[SHORT TYPE],"",0,1)</f>
        <v/>
      </c>
      <c r="N7002">
        <f>IF(ISERR(FIND("DECOUPE",Tableau1[[#This Row],[DESIGNATION]])),"","NEED REF")</f>
        <v/>
      </c>
    </row>
    <row r="7003">
      <c r="B7003" t="n">
        <v>34407002</v>
      </c>
      <c r="C7003" s="2" t="n">
        <v>43335</v>
      </c>
      <c r="D7003" t="inlineStr">
        <is>
          <t>SPEC</t>
        </is>
      </c>
      <c r="E7003" t="inlineStr">
        <is>
          <t>Support CAPA droit BAS C15 haut THM G600</t>
        </is>
      </c>
      <c r="F7003" t="inlineStr">
        <is>
          <t>THM G600</t>
        </is>
      </c>
      <c r="J7003" t="inlineStr">
        <is>
          <t>BOIX</t>
        </is>
      </c>
      <c r="K7003" t="inlineStr">
        <is>
          <t>METAL</t>
        </is>
      </c>
      <c r="L7003">
        <f>_xlfn.XLOOKUP(Tableau1[[#This Row],[TYPE DE PIECE]],Tableau4[MATIERE],Tableau4[SHORT TYPE],"",0,1)</f>
        <v/>
      </c>
      <c r="N7003">
        <f>IF(ISERR(FIND("DECOUPE",Tableau1[[#This Row],[DESIGNATION]])),"","NEED REF")</f>
        <v/>
      </c>
    </row>
    <row r="7004">
      <c r="B7004" t="n">
        <v>34407001</v>
      </c>
      <c r="C7004" s="2" t="n">
        <v>43335</v>
      </c>
      <c r="D7004" t="inlineStr">
        <is>
          <t>SPEC</t>
        </is>
      </c>
      <c r="E7004" t="inlineStr">
        <is>
          <t>Support CAPA droit BAS C15 bas+SW bas droite THM G600</t>
        </is>
      </c>
      <c r="F7004" t="inlineStr">
        <is>
          <t>THM G600</t>
        </is>
      </c>
      <c r="J7004" t="inlineStr">
        <is>
          <t>BOIX</t>
        </is>
      </c>
      <c r="K7004" t="inlineStr">
        <is>
          <t>METAL</t>
        </is>
      </c>
      <c r="L7004">
        <f>_xlfn.XLOOKUP(Tableau1[[#This Row],[TYPE DE PIECE]],Tableau4[MATIERE],Tableau4[SHORT TYPE],"",0,1)</f>
        <v/>
      </c>
      <c r="N7004">
        <f>IF(ISERR(FIND("DECOUPE",Tableau1[[#This Row],[DESIGNATION]])),"","NEED REF")</f>
        <v/>
      </c>
    </row>
    <row r="7005">
      <c r="B7005" t="n">
        <v>34407000</v>
      </c>
      <c r="C7005" s="2" t="n">
        <v>43335</v>
      </c>
      <c r="D7005" t="inlineStr">
        <is>
          <t>SPEC</t>
        </is>
      </c>
      <c r="E7005" t="inlineStr">
        <is>
          <t>CELLULE KIT CAPA  THM G600</t>
        </is>
      </c>
      <c r="F7005" t="inlineStr">
        <is>
          <t>THM G600</t>
        </is>
      </c>
      <c r="J7005" t="inlineStr">
        <is>
          <t>BOIX</t>
        </is>
      </c>
      <c r="K7005" t="inlineStr">
        <is>
          <t> </t>
        </is>
      </c>
      <c r="L7005">
        <f>_xlfn.XLOOKUP(Tableau1[[#This Row],[TYPE DE PIECE]],Tableau4[MATIERE],Tableau4[SHORT TYPE],"",0,1)</f>
        <v/>
      </c>
      <c r="N7005">
        <f>IF(ISERR(FIND("DECOUPE",Tableau1[[#This Row],[DESIGNATION]])),"","NEED REF")</f>
        <v/>
      </c>
    </row>
    <row r="7006">
      <c r="B7006" t="n">
        <v>34406999</v>
      </c>
      <c r="C7006" s="2" t="n">
        <v>43335</v>
      </c>
      <c r="D7006" t="inlineStr">
        <is>
          <t>SPEC</t>
        </is>
      </c>
      <c r="E7006" t="inlineStr">
        <is>
          <t>Support CAPA droit HAUT C14 bas THM G600</t>
        </is>
      </c>
      <c r="F7006" t="inlineStr">
        <is>
          <t>THM G600</t>
        </is>
      </c>
      <c r="J7006" t="inlineStr">
        <is>
          <t>BOIX</t>
        </is>
      </c>
      <c r="K7006" t="inlineStr">
        <is>
          <t>METAL</t>
        </is>
      </c>
      <c r="L7006">
        <f>_xlfn.XLOOKUP(Tableau1[[#This Row],[TYPE DE PIECE]],Tableau4[MATIERE],Tableau4[SHORT TYPE],"",0,1)</f>
        <v/>
      </c>
      <c r="N7006">
        <f>IF(ISERR(FIND("DECOUPE",Tableau1[[#This Row],[DESIGNATION]])),"","NEED REF")</f>
        <v/>
      </c>
    </row>
    <row r="7007">
      <c r="B7007" t="n">
        <v>34406998</v>
      </c>
      <c r="C7007" s="2" t="n">
        <v>43335</v>
      </c>
      <c r="D7007" t="inlineStr">
        <is>
          <t>SPEC</t>
        </is>
      </c>
      <c r="E7007" t="inlineStr">
        <is>
          <t>Support CAPA droit HAUT C14 haut THM G600</t>
        </is>
      </c>
      <c r="F7007" t="inlineStr">
        <is>
          <t>THM G600</t>
        </is>
      </c>
      <c r="J7007" t="inlineStr">
        <is>
          <t>BOIX</t>
        </is>
      </c>
      <c r="K7007" t="inlineStr">
        <is>
          <t>METAL</t>
        </is>
      </c>
      <c r="L7007">
        <f>_xlfn.XLOOKUP(Tableau1[[#This Row],[TYPE DE PIECE]],Tableau4[MATIERE],Tableau4[SHORT TYPE],"",0,1)</f>
        <v/>
      </c>
      <c r="N7007">
        <f>IF(ISERR(FIND("DECOUPE",Tableau1[[#This Row],[DESIGNATION]])),"","NEED REF")</f>
        <v/>
      </c>
    </row>
    <row r="7008">
      <c r="B7008" t="n">
        <v>34406997</v>
      </c>
      <c r="C7008" s="2" t="n">
        <v>43335</v>
      </c>
      <c r="D7008" t="inlineStr">
        <is>
          <t>SPEC</t>
        </is>
      </c>
      <c r="E7008" t="inlineStr">
        <is>
          <t>Support CAPA arrière BAS THM G600</t>
        </is>
      </c>
      <c r="F7008" t="inlineStr">
        <is>
          <t>THM G600</t>
        </is>
      </c>
      <c r="J7008" t="inlineStr">
        <is>
          <t>BOIX</t>
        </is>
      </c>
      <c r="K7008" t="inlineStr">
        <is>
          <t>METAL</t>
        </is>
      </c>
      <c r="L7008">
        <f>_xlfn.XLOOKUP(Tableau1[[#This Row],[TYPE DE PIECE]],Tableau4[MATIERE],Tableau4[SHORT TYPE],"",0,1)</f>
        <v/>
      </c>
      <c r="N7008">
        <f>IF(ISERR(FIND("DECOUPE",Tableau1[[#This Row],[DESIGNATION]])),"","NEED REF")</f>
        <v/>
      </c>
    </row>
    <row r="7009">
      <c r="B7009" t="n">
        <v>34406996</v>
      </c>
      <c r="C7009" s="2" t="n">
        <v>43335</v>
      </c>
      <c r="D7009" t="inlineStr">
        <is>
          <t>SPEC</t>
        </is>
      </c>
      <c r="E7009" t="inlineStr">
        <is>
          <t>Support CAPA arrière MILIEU THM G600</t>
        </is>
      </c>
      <c r="F7009" t="inlineStr">
        <is>
          <t>THM G600</t>
        </is>
      </c>
      <c r="J7009" t="inlineStr">
        <is>
          <t>BOIX</t>
        </is>
      </c>
      <c r="K7009" t="inlineStr">
        <is>
          <t>METAL</t>
        </is>
      </c>
      <c r="L7009">
        <f>_xlfn.XLOOKUP(Tableau1[[#This Row],[TYPE DE PIECE]],Tableau4[MATIERE],Tableau4[SHORT TYPE],"",0,1)</f>
        <v/>
      </c>
      <c r="N7009">
        <f>IF(ISERR(FIND("DECOUPE",Tableau1[[#This Row],[DESIGNATION]])),"","NEED REF")</f>
        <v/>
      </c>
    </row>
    <row r="7010">
      <c r="B7010" t="n">
        <v>34406995</v>
      </c>
      <c r="C7010" s="2" t="n">
        <v>43335</v>
      </c>
      <c r="D7010" t="inlineStr">
        <is>
          <t>SPEC</t>
        </is>
      </c>
      <c r="E7010" t="inlineStr">
        <is>
          <t>Support CAPA arrière HAUT THM G600</t>
        </is>
      </c>
      <c r="F7010" t="inlineStr">
        <is>
          <t>THM G600</t>
        </is>
      </c>
      <c r="J7010" t="inlineStr">
        <is>
          <t>BOIX</t>
        </is>
      </c>
      <c r="K7010" t="inlineStr">
        <is>
          <t>METAL</t>
        </is>
      </c>
      <c r="L7010">
        <f>_xlfn.XLOOKUP(Tableau1[[#This Row],[TYPE DE PIECE]],Tableau4[MATIERE],Tableau4[SHORT TYPE],"",0,1)</f>
        <v/>
      </c>
      <c r="N7010">
        <f>IF(ISERR(FIND("DECOUPE",Tableau1[[#This Row],[DESIGNATION]])),"","NEED REF")</f>
        <v/>
      </c>
    </row>
    <row r="7011">
      <c r="B7011" t="n">
        <v>34406994</v>
      </c>
      <c r="C7011" s="2" t="n">
        <v>43335</v>
      </c>
      <c r="D7011" t="inlineStr">
        <is>
          <t>SPEC</t>
        </is>
      </c>
      <c r="E7011" t="inlineStr">
        <is>
          <t>Montant arrière CAPA Vertical THM G600</t>
        </is>
      </c>
      <c r="F7011" t="inlineStr">
        <is>
          <t>THM G600</t>
        </is>
      </c>
      <c r="J7011" t="inlineStr">
        <is>
          <t>BOIX</t>
        </is>
      </c>
      <c r="K7011" t="inlineStr">
        <is>
          <t>METAL</t>
        </is>
      </c>
      <c r="L7011">
        <f>_xlfn.XLOOKUP(Tableau1[[#This Row],[TYPE DE PIECE]],Tableau4[MATIERE],Tableau4[SHORT TYPE],"",0,1)</f>
        <v/>
      </c>
      <c r="N7011">
        <f>IF(ISERR(FIND("DECOUPE",Tableau1[[#This Row],[DESIGNATION]])),"","NEED REF")</f>
        <v/>
      </c>
    </row>
    <row r="7012">
      <c r="B7012" t="n">
        <v>34406993</v>
      </c>
      <c r="C7012" s="2" t="n">
        <v>43332</v>
      </c>
      <c r="D7012" t="inlineStr">
        <is>
          <t>SPEC</t>
        </is>
      </c>
      <c r="E7012" t="inlineStr">
        <is>
          <t>EQUERRE DE MANUTENTION THM G400</t>
        </is>
      </c>
      <c r="F7012" t="inlineStr">
        <is>
          <t>THM G400</t>
        </is>
      </c>
      <c r="J7012" t="inlineStr">
        <is>
          <t>BOIX</t>
        </is>
      </c>
      <c r="K7012" t="inlineStr">
        <is>
          <t>METAL</t>
        </is>
      </c>
      <c r="L7012">
        <f>_xlfn.XLOOKUP(Tableau1[[#This Row],[TYPE DE PIECE]],Tableau4[MATIERE],Tableau4[SHORT TYPE],"",0,1)</f>
        <v/>
      </c>
      <c r="N7012">
        <f>IF(ISERR(FIND("DECOUPE",Tableau1[[#This Row],[DESIGNATION]])),"","NEED REF")</f>
        <v/>
      </c>
    </row>
    <row r="7013">
      <c r="B7013" t="n">
        <v>34406992</v>
      </c>
      <c r="C7013" s="2" t="n">
        <v>43329</v>
      </c>
      <c r="D7013" t="inlineStr">
        <is>
          <t>SPEC</t>
        </is>
      </c>
      <c r="E7013" t="inlineStr">
        <is>
          <t>Barre cuivre 25 x 5 capas THM G400</t>
        </is>
      </c>
      <c r="F7013" t="inlineStr">
        <is>
          <t>THM G400</t>
        </is>
      </c>
      <c r="J7013" t="inlineStr">
        <is>
          <t>BOIX</t>
        </is>
      </c>
      <c r="K7013" t="inlineStr">
        <is>
          <t>CUIVRE</t>
        </is>
      </c>
      <c r="L7013">
        <f>_xlfn.XLOOKUP(Tableau1[[#This Row],[TYPE DE PIECE]],Tableau4[MATIERE],Tableau4[SHORT TYPE],"",0,1)</f>
        <v/>
      </c>
      <c r="N7013">
        <f>IF(ISERR(FIND("DECOUPE",Tableau1[[#This Row],[DESIGNATION]])),"","NEED REF")</f>
        <v/>
      </c>
    </row>
    <row r="7014">
      <c r="B7014" t="n">
        <v>34406991</v>
      </c>
      <c r="C7014" s="2" t="n">
        <v>43328</v>
      </c>
      <c r="E7014" t="inlineStr">
        <is>
          <t xml:space="preserve">essai   </t>
        </is>
      </c>
      <c r="J7014" t="inlineStr">
        <is>
          <t>PLANTIER</t>
        </is>
      </c>
      <c r="L7014">
        <f>_xlfn.XLOOKUP(Tableau1[[#This Row],[TYPE DE PIECE]],Tableau4[MATIERE],Tableau4[SHORT TYPE],"",0,1)</f>
        <v/>
      </c>
      <c r="N7014">
        <f>IF(ISERR(FIND("DECOUPE",Tableau1[[#This Row],[DESIGNATION]])),"","NEED REF")</f>
        <v/>
      </c>
    </row>
    <row r="7015">
      <c r="B7015" t="n">
        <v>34406990</v>
      </c>
      <c r="C7015" s="2" t="n">
        <v>43328</v>
      </c>
      <c r="E7015" t="inlineStr">
        <is>
          <t xml:space="preserve">essai   </t>
        </is>
      </c>
      <c r="J7015" t="inlineStr">
        <is>
          <t>PLANTIER</t>
        </is>
      </c>
      <c r="L7015">
        <f>_xlfn.XLOOKUP(Tableau1[[#This Row],[TYPE DE PIECE]],Tableau4[MATIERE],Tableau4[SHORT TYPE],"",0,1)</f>
        <v/>
      </c>
      <c r="N7015">
        <f>IF(ISERR(FIND("DECOUPE",Tableau1[[#This Row],[DESIGNATION]])),"","NEED REF")</f>
        <v/>
      </c>
    </row>
    <row r="7016">
      <c r="B7016" t="n">
        <v>34406989</v>
      </c>
      <c r="C7016" s="2" t="n">
        <v>43328</v>
      </c>
      <c r="E7016" t="inlineStr">
        <is>
          <t>Template création BOM</t>
        </is>
      </c>
      <c r="J7016" t="inlineStr">
        <is>
          <t>PLANTIER</t>
        </is>
      </c>
      <c r="L7016">
        <f>_xlfn.XLOOKUP(Tableau1[[#This Row],[TYPE DE PIECE]],Tableau4[MATIERE],Tableau4[SHORT TYPE],"",0,1)</f>
        <v/>
      </c>
      <c r="N7016">
        <f>IF(ISERR(FIND("DECOUPE",Tableau1[[#This Row],[DESIGNATION]])),"","NEED REF")</f>
        <v/>
      </c>
    </row>
    <row r="7017">
      <c r="B7017" t="n">
        <v>34406988</v>
      </c>
      <c r="C7017" s="2" t="n">
        <v>43328</v>
      </c>
      <c r="E7017" t="inlineStr">
        <is>
          <t>Template création article</t>
        </is>
      </c>
      <c r="J7017" t="inlineStr">
        <is>
          <t>PLANTIER</t>
        </is>
      </c>
      <c r="L7017">
        <f>_xlfn.XLOOKUP(Tableau1[[#This Row],[TYPE DE PIECE]],Tableau4[MATIERE],Tableau4[SHORT TYPE],"",0,1)</f>
        <v/>
      </c>
      <c r="N7017">
        <f>IF(ISERR(FIND("DECOUPE",Tableau1[[#This Row],[DESIGNATION]])),"","NEED REF")</f>
        <v/>
      </c>
    </row>
    <row r="7018">
      <c r="B7018" t="n">
        <v>34406987</v>
      </c>
      <c r="C7018" s="2" t="n">
        <v>43325</v>
      </c>
      <c r="D7018" t="inlineStr">
        <is>
          <t>SPEC</t>
        </is>
      </c>
      <c r="E7018" t="inlineStr">
        <is>
          <t>JOUE LATERALE  PLASTRON D ET G</t>
        </is>
      </c>
      <c r="F7018" t="inlineStr">
        <is>
          <t>GVX 4xBBK SAREL 2000x700x500</t>
        </is>
      </c>
      <c r="J7018" t="inlineStr">
        <is>
          <t>BOIX</t>
        </is>
      </c>
      <c r="K7018" t="inlineStr">
        <is>
          <t>METAL</t>
        </is>
      </c>
      <c r="L7018">
        <f>_xlfn.XLOOKUP(Tableau1[[#This Row],[TYPE DE PIECE]],Tableau4[MATIERE],Tableau4[SHORT TYPE],"",0,1)</f>
        <v/>
      </c>
      <c r="N7018">
        <f>IF(ISERR(FIND("DECOUPE",Tableau1[[#This Row],[DESIGNATION]])),"","NEED REF")</f>
        <v/>
      </c>
    </row>
    <row r="7019">
      <c r="B7019" t="n">
        <v>34406986</v>
      </c>
      <c r="C7019" s="2" t="n">
        <v>43322</v>
      </c>
      <c r="D7019" t="inlineStr">
        <is>
          <t>SPEC</t>
        </is>
      </c>
      <c r="E7019" t="inlineStr">
        <is>
          <t>PLATINE DISPLAY BOX</t>
        </is>
      </c>
      <c r="F7019" t="inlineStr">
        <is>
          <t>QSMA16867</t>
        </is>
      </c>
      <c r="J7019" t="inlineStr">
        <is>
          <t>BOIX</t>
        </is>
      </c>
      <c r="K7019" t="inlineStr">
        <is>
          <t>METAL</t>
        </is>
      </c>
      <c r="L7019">
        <f>_xlfn.XLOOKUP(Tableau1[[#This Row],[TYPE DE PIECE]],Tableau4[MATIERE],Tableau4[SHORT TYPE],"",0,1)</f>
        <v/>
      </c>
      <c r="N7019">
        <f>IF(ISERR(FIND("DECOUPE",Tableau1[[#This Row],[DESIGNATION]])),"","NEED REF")</f>
        <v/>
      </c>
    </row>
    <row r="7020">
      <c r="B7020" t="n">
        <v>34406985</v>
      </c>
      <c r="C7020" s="2" t="n">
        <v>43319</v>
      </c>
      <c r="D7020" t="inlineStr">
        <is>
          <t>SPEC</t>
        </is>
      </c>
      <c r="E7020" t="inlineStr">
        <is>
          <t>ENTRETOISE</t>
        </is>
      </c>
      <c r="F7020" t="inlineStr">
        <is>
          <t>QRRA51787</t>
        </is>
      </c>
      <c r="J7020" t="inlineStr">
        <is>
          <t>ROBERT</t>
        </is>
      </c>
      <c r="K7020" t="inlineStr">
        <is>
          <t>METAL</t>
        </is>
      </c>
      <c r="L7020">
        <f>_xlfn.XLOOKUP(Tableau1[[#This Row],[TYPE DE PIECE]],Tableau4[MATIERE],Tableau4[SHORT TYPE],"",0,1)</f>
        <v/>
      </c>
      <c r="N7020">
        <f>IF(ISERR(FIND("DECOUPE",Tableau1[[#This Row],[DESIGNATION]])),"","NEED REF")</f>
        <v/>
      </c>
    </row>
    <row r="7021">
      <c r="B7021" t="n">
        <v>34406984</v>
      </c>
      <c r="C7021" s="2" t="n">
        <v>43319</v>
      </c>
      <c r="D7021" t="inlineStr">
        <is>
          <t>SPEC</t>
        </is>
      </c>
      <c r="E7021" t="inlineStr">
        <is>
          <t>SPT CABLE EAC 700 x 800</t>
        </is>
      </c>
      <c r="F7021" t="inlineStr">
        <is>
          <t>QPBE90881</t>
        </is>
      </c>
      <c r="J7021" t="inlineStr">
        <is>
          <t>BOIX</t>
        </is>
      </c>
      <c r="K7021" t="inlineStr">
        <is>
          <t>METAL</t>
        </is>
      </c>
      <c r="L7021">
        <f>_xlfn.XLOOKUP(Tableau1[[#This Row],[TYPE DE PIECE]],Tableau4[MATIERE],Tableau4[SHORT TYPE],"",0,1)</f>
        <v/>
      </c>
      <c r="N7021">
        <f>IF(ISERR(FIND("DECOUPE",Tableau1[[#This Row],[DESIGNATION]])),"","NEED REF")</f>
        <v/>
      </c>
    </row>
    <row r="7022">
      <c r="B7022" t="n">
        <v>34406983</v>
      </c>
      <c r="C7022" s="2" t="n">
        <v>43329</v>
      </c>
      <c r="D7022" t="inlineStr">
        <is>
          <t>SPEC</t>
        </is>
      </c>
      <c r="E7022" t="inlineStr">
        <is>
          <t>ASM KIT CAPA THM  G400</t>
        </is>
      </c>
      <c r="F7022" t="inlineStr">
        <is>
          <t>THM KIT CAPA 2018</t>
        </is>
      </c>
      <c r="J7022" t="inlineStr">
        <is>
          <t>BOIX</t>
        </is>
      </c>
      <c r="K7022" t="inlineStr">
        <is>
          <t>asm</t>
        </is>
      </c>
      <c r="L7022">
        <f>_xlfn.XLOOKUP(Tableau1[[#This Row],[TYPE DE PIECE]],Tableau4[MATIERE],Tableau4[SHORT TYPE],"",0,1)</f>
        <v/>
      </c>
      <c r="N7022">
        <f>IF(ISERR(FIND("DECOUPE",Tableau1[[#This Row],[DESIGNATION]])),"","NEED REF")</f>
        <v/>
      </c>
    </row>
    <row r="7023">
      <c r="B7023" t="n">
        <v>34406982</v>
      </c>
      <c r="C7023" s="2" t="n">
        <v>43318</v>
      </c>
      <c r="D7023" t="inlineStr">
        <is>
          <t>SPEC</t>
        </is>
      </c>
      <c r="E7023" t="inlineStr">
        <is>
          <t>SPT AR POUR BARRE CU 34406967 - EAC 700 x 800</t>
        </is>
      </c>
      <c r="F7023" t="inlineStr">
        <is>
          <t>QPBE90881</t>
        </is>
      </c>
      <c r="J7023" t="inlineStr">
        <is>
          <t>BOIX</t>
        </is>
      </c>
      <c r="K7023" t="inlineStr">
        <is>
          <t>METAL</t>
        </is>
      </c>
      <c r="L7023">
        <f>_xlfn.XLOOKUP(Tableau1[[#This Row],[TYPE DE PIECE]],Tableau4[MATIERE],Tableau4[SHORT TYPE],"",0,1)</f>
        <v/>
      </c>
      <c r="N7023">
        <f>IF(ISERR(FIND("DECOUPE",Tableau1[[#This Row],[DESIGNATION]])),"","NEED REF")</f>
        <v/>
      </c>
    </row>
    <row r="7024">
      <c r="B7024" t="n">
        <v>34406981</v>
      </c>
      <c r="C7024" s="2" t="n">
        <v>43318</v>
      </c>
      <c r="D7024" t="inlineStr">
        <is>
          <t>SPEC</t>
        </is>
      </c>
      <c r="E7024" t="inlineStr">
        <is>
          <t>FIXATION CABLE</t>
        </is>
      </c>
      <c r="J7024" t="inlineStr">
        <is>
          <t>MATRION</t>
        </is>
      </c>
      <c r="K7024" t="inlineStr">
        <is>
          <t>METAL</t>
        </is>
      </c>
      <c r="L7024">
        <f>_xlfn.XLOOKUP(Tableau1[[#This Row],[TYPE DE PIECE]],Tableau4[MATIERE],Tableau4[SHORT TYPE],"",0,1)</f>
        <v/>
      </c>
      <c r="N7024">
        <f>IF(ISERR(FIND("DECOUPE",Tableau1[[#This Row],[DESIGNATION]])),"","NEED REF")</f>
        <v/>
      </c>
    </row>
    <row r="7025">
      <c r="B7025" t="n">
        <v>34406980</v>
      </c>
      <c r="C7025" s="2" t="n">
        <v>43318</v>
      </c>
      <c r="D7025" t="inlineStr">
        <is>
          <t>SPEC</t>
        </is>
      </c>
      <c r="E7025" t="inlineStr">
        <is>
          <t>support plastron3</t>
        </is>
      </c>
      <c r="F7025" t="inlineStr">
        <is>
          <t>QRRA57787</t>
        </is>
      </c>
      <c r="J7025" t="inlineStr">
        <is>
          <t>ROBERT</t>
        </is>
      </c>
      <c r="K7025" t="inlineStr">
        <is>
          <t>METAL</t>
        </is>
      </c>
      <c r="L7025">
        <f>_xlfn.XLOOKUP(Tableau1[[#This Row],[TYPE DE PIECE]],Tableau4[MATIERE],Tableau4[SHORT TYPE],"",0,1)</f>
        <v/>
      </c>
      <c r="N7025">
        <f>IF(ISERR(FIND("DECOUPE",Tableau1[[#This Row],[DESIGNATION]])),"","NEED REF")</f>
        <v/>
      </c>
    </row>
    <row r="7026">
      <c r="B7026" t="n">
        <v>34406979</v>
      </c>
      <c r="C7026" s="2" t="n">
        <v>43318</v>
      </c>
      <c r="D7026" t="inlineStr">
        <is>
          <t>SPEC</t>
        </is>
      </c>
      <c r="E7026" t="inlineStr">
        <is>
          <t>support plastron2</t>
        </is>
      </c>
      <c r="F7026" t="inlineStr">
        <is>
          <t>QRRA57787</t>
        </is>
      </c>
      <c r="J7026" t="inlineStr">
        <is>
          <t>ROBERT</t>
        </is>
      </c>
      <c r="K7026" t="inlineStr">
        <is>
          <t>METAL</t>
        </is>
      </c>
      <c r="L7026">
        <f>_xlfn.XLOOKUP(Tableau1[[#This Row],[TYPE DE PIECE]],Tableau4[MATIERE],Tableau4[SHORT TYPE],"",0,1)</f>
        <v/>
      </c>
      <c r="N7026">
        <f>IF(ISERR(FIND("DECOUPE",Tableau1[[#This Row],[DESIGNATION]])),"","NEED REF")</f>
        <v/>
      </c>
    </row>
    <row r="7027">
      <c r="B7027" t="n">
        <v>34406978</v>
      </c>
      <c r="C7027" s="2" t="n">
        <v>43318</v>
      </c>
      <c r="D7027" t="inlineStr">
        <is>
          <t>SPEC</t>
        </is>
      </c>
      <c r="E7027" t="inlineStr">
        <is>
          <t>support plastron1</t>
        </is>
      </c>
      <c r="F7027" t="inlineStr">
        <is>
          <t>QRRA57787</t>
        </is>
      </c>
      <c r="J7027" t="inlineStr">
        <is>
          <t>ROBERT</t>
        </is>
      </c>
      <c r="K7027" t="inlineStr">
        <is>
          <t>METAL</t>
        </is>
      </c>
      <c r="L7027">
        <f>_xlfn.XLOOKUP(Tableau1[[#This Row],[TYPE DE PIECE]],Tableau4[MATIERE],Tableau4[SHORT TYPE],"",0,1)</f>
        <v/>
      </c>
      <c r="N7027">
        <f>IF(ISERR(FIND("DECOUPE",Tableau1[[#This Row],[DESIGNATION]])),"","NEED REF")</f>
        <v/>
      </c>
    </row>
    <row r="7028">
      <c r="B7028" t="n">
        <v>34406977</v>
      </c>
      <c r="C7028" s="2" t="n">
        <v>43315</v>
      </c>
      <c r="D7028" t="inlineStr">
        <is>
          <t>SPEC</t>
        </is>
      </c>
      <c r="F7028" t="inlineStr">
        <is>
          <t>QVE</t>
        </is>
      </c>
      <c r="L7028">
        <f>_xlfn.XLOOKUP(Tableau1[[#This Row],[TYPE DE PIECE]],Tableau4[MATIERE],Tableau4[SHORT TYPE],"",0,1)</f>
        <v/>
      </c>
      <c r="N7028">
        <f>IF(ISERR(FIND("DECOUPE",Tableau1[[#This Row],[DESIGNATION]])),"","NEED REF")</f>
        <v/>
      </c>
    </row>
    <row r="7029">
      <c r="B7029" t="n">
        <v>34406976</v>
      </c>
      <c r="C7029" s="2" t="n">
        <v>43315</v>
      </c>
      <c r="D7029" t="inlineStr">
        <is>
          <t>SPEC</t>
        </is>
      </c>
      <c r="F7029" t="inlineStr">
        <is>
          <t>QVE</t>
        </is>
      </c>
      <c r="L7029">
        <f>_xlfn.XLOOKUP(Tableau1[[#This Row],[TYPE DE PIECE]],Tableau4[MATIERE],Tableau4[SHORT TYPE],"",0,1)</f>
        <v/>
      </c>
      <c r="N7029">
        <f>IF(ISERR(FIND("DECOUPE",Tableau1[[#This Row],[DESIGNATION]])),"","NEED REF")</f>
        <v/>
      </c>
    </row>
    <row r="7030">
      <c r="B7030" t="n">
        <v>34406975</v>
      </c>
      <c r="C7030" s="2" t="n">
        <v>43315</v>
      </c>
      <c r="D7030" t="inlineStr">
        <is>
          <t>SPEC</t>
        </is>
      </c>
      <c r="F7030" t="inlineStr">
        <is>
          <t>QVE</t>
        </is>
      </c>
      <c r="L7030">
        <f>_xlfn.XLOOKUP(Tableau1[[#This Row],[TYPE DE PIECE]],Tableau4[MATIERE],Tableau4[SHORT TYPE],"",0,1)</f>
        <v/>
      </c>
      <c r="N7030">
        <f>IF(ISERR(FIND("DECOUPE",Tableau1[[#This Row],[DESIGNATION]])),"","NEED REF")</f>
        <v/>
      </c>
    </row>
    <row r="7031">
      <c r="B7031" t="n">
        <v>34406974</v>
      </c>
      <c r="C7031" s="2" t="n">
        <v>43315</v>
      </c>
      <c r="D7031" t="inlineStr">
        <is>
          <t>SPEC</t>
        </is>
      </c>
      <c r="E7031" t="inlineStr">
        <is>
          <t>PLASTON</t>
        </is>
      </c>
      <c r="L7031">
        <f>_xlfn.XLOOKUP(Tableau1[[#This Row],[TYPE DE PIECE]],Tableau4[MATIERE],Tableau4[SHORT TYPE],"",0,1)</f>
        <v/>
      </c>
      <c r="N7031">
        <f>IF(ISERR(FIND("DECOUPE",Tableau1[[#This Row],[DESIGNATION]])),"","NEED REF")</f>
        <v/>
      </c>
    </row>
    <row r="7032">
      <c r="B7032" t="n">
        <v>34406973</v>
      </c>
      <c r="C7032" s="2" t="n">
        <v>43315</v>
      </c>
      <c r="D7032" t="inlineStr">
        <is>
          <t>SPEC</t>
        </is>
      </c>
      <c r="E7032" t="inlineStr">
        <is>
          <t>PLASTON</t>
        </is>
      </c>
      <c r="L7032">
        <f>_xlfn.XLOOKUP(Tableau1[[#This Row],[TYPE DE PIECE]],Tableau4[MATIERE],Tableau4[SHORT TYPE],"",0,1)</f>
        <v/>
      </c>
      <c r="N7032">
        <f>IF(ISERR(FIND("DECOUPE",Tableau1[[#This Row],[DESIGNATION]])),"","NEED REF")</f>
        <v/>
      </c>
    </row>
    <row r="7033">
      <c r="B7033" t="n">
        <v>34406972</v>
      </c>
      <c r="C7033" s="2" t="n">
        <v>43315</v>
      </c>
      <c r="D7033" t="inlineStr">
        <is>
          <t>SPEC</t>
        </is>
      </c>
      <c r="E7033" t="inlineStr">
        <is>
          <t>PLASTON</t>
        </is>
      </c>
      <c r="L7033">
        <f>_xlfn.XLOOKUP(Tableau1[[#This Row],[TYPE DE PIECE]],Tableau4[MATIERE],Tableau4[SHORT TYPE],"",0,1)</f>
        <v/>
      </c>
      <c r="N7033">
        <f>IF(ISERR(FIND("DECOUPE",Tableau1[[#This Row],[DESIGNATION]])),"","NEED REF")</f>
        <v/>
      </c>
    </row>
    <row r="7034">
      <c r="B7034" t="n">
        <v>34406971</v>
      </c>
      <c r="C7034" s="2" t="n">
        <v>43315</v>
      </c>
      <c r="D7034" t="inlineStr">
        <is>
          <t>SPEC</t>
        </is>
      </c>
      <c r="E7034" t="inlineStr">
        <is>
          <t>PLASTON</t>
        </is>
      </c>
      <c r="L7034">
        <f>_xlfn.XLOOKUP(Tableau1[[#This Row],[TYPE DE PIECE]],Tableau4[MATIERE],Tableau4[SHORT TYPE],"",0,1)</f>
        <v/>
      </c>
      <c r="N7034">
        <f>IF(ISERR(FIND("DECOUPE",Tableau1[[#This Row],[DESIGNATION]])),"","NEED REF")</f>
        <v/>
      </c>
    </row>
    <row r="7035">
      <c r="B7035" t="n">
        <v>34406970</v>
      </c>
      <c r="C7035" s="2" t="n">
        <v>43315</v>
      </c>
      <c r="D7035" t="inlineStr">
        <is>
          <t>SPEC</t>
        </is>
      </c>
      <c r="E7035" t="inlineStr">
        <is>
          <t>JOUE LATERIAL PLASTON SAREL 2000</t>
        </is>
      </c>
      <c r="L7035">
        <f>_xlfn.XLOOKUP(Tableau1[[#This Row],[TYPE DE PIECE]],Tableau4[MATIERE],Tableau4[SHORT TYPE],"",0,1)</f>
        <v/>
      </c>
      <c r="N7035">
        <f>IF(ISERR(FIND("DECOUPE",Tableau1[[#This Row],[DESIGNATION]])),"","NEED REF")</f>
        <v/>
      </c>
    </row>
    <row r="7036">
      <c r="B7036" t="n">
        <v>34406969</v>
      </c>
      <c r="C7036" s="2" t="n">
        <v>43314</v>
      </c>
      <c r="D7036" t="inlineStr">
        <is>
          <t>SPEC</t>
        </is>
      </c>
      <c r="E7036" t="inlineStr">
        <is>
          <t>SPT AV POUR BARRE CU 34406967 - EAC 700 x 800</t>
        </is>
      </c>
      <c r="F7036" t="inlineStr">
        <is>
          <t>QPBE90881</t>
        </is>
      </c>
      <c r="J7036" t="inlineStr">
        <is>
          <t>BOIX</t>
        </is>
      </c>
      <c r="K7036" t="inlineStr">
        <is>
          <t>METAL</t>
        </is>
      </c>
      <c r="L7036">
        <f>_xlfn.XLOOKUP(Tableau1[[#This Row],[TYPE DE PIECE]],Tableau4[MATIERE],Tableau4[SHORT TYPE],"",0,1)</f>
        <v/>
      </c>
      <c r="N7036">
        <f>IF(ISERR(FIND("DECOUPE",Tableau1[[#This Row],[DESIGNATION]])),"","NEED REF")</f>
        <v/>
      </c>
    </row>
    <row r="7037">
      <c r="B7037" t="n">
        <v>34406968</v>
      </c>
      <c r="C7037" s="2" t="inlineStr">
        <is>
          <t>17/0818</t>
        </is>
      </c>
      <c r="D7037" t="inlineStr">
        <is>
          <t>SPEC</t>
        </is>
      </c>
      <c r="E7037" t="inlineStr">
        <is>
          <t>COSSE 70 MM² COUDE  M8</t>
        </is>
      </c>
      <c r="J7037" t="inlineStr">
        <is>
          <t>BOIX</t>
        </is>
      </c>
      <c r="K7037" t="inlineStr">
        <is>
          <t>CUIVRE</t>
        </is>
      </c>
      <c r="L7037">
        <f>_xlfn.XLOOKUP(Tableau1[[#This Row],[TYPE DE PIECE]],Tableau4[MATIERE],Tableau4[SHORT TYPE],"",0,1)</f>
        <v/>
      </c>
      <c r="N7037">
        <f>IF(ISERR(FIND("DECOUPE",Tableau1[[#This Row],[DESIGNATION]])),"","NEED REF")</f>
        <v/>
      </c>
    </row>
    <row r="7038">
      <c r="B7038" t="n">
        <v>34406967</v>
      </c>
      <c r="C7038" s="2" t="n">
        <v>43314</v>
      </c>
      <c r="D7038" t="inlineStr">
        <is>
          <t>SPEC</t>
        </is>
      </c>
      <c r="E7038" t="inlineStr">
        <is>
          <t>BARRE CU PERFORE 200X10 - EAC 700 X 800</t>
        </is>
      </c>
      <c r="F7038" t="inlineStr">
        <is>
          <t>QPBE90881</t>
        </is>
      </c>
      <c r="J7038" t="inlineStr">
        <is>
          <t>BOIX</t>
        </is>
      </c>
      <c r="L7038">
        <f>_xlfn.XLOOKUP(Tableau1[[#This Row],[TYPE DE PIECE]],Tableau4[MATIERE],Tableau4[SHORT TYPE],"",0,1)</f>
        <v/>
      </c>
      <c r="N7038">
        <f>IF(ISERR(FIND("DECOUPE",Tableau1[[#This Row],[DESIGNATION]])),"","NEED REF")</f>
        <v/>
      </c>
    </row>
    <row r="7039">
      <c r="B7039" t="n">
        <v>34406966</v>
      </c>
      <c r="C7039" s="2" t="n">
        <v>43314</v>
      </c>
      <c r="D7039" t="inlineStr">
        <is>
          <t>SPEC</t>
        </is>
      </c>
      <c r="E7039" t="inlineStr">
        <is>
          <t>BARRE CU PERFORE 80X10 - EAC 700 X 800</t>
        </is>
      </c>
      <c r="F7039" t="inlineStr">
        <is>
          <t>QPBE90881</t>
        </is>
      </c>
      <c r="J7039" t="inlineStr">
        <is>
          <t>BOIX</t>
        </is>
      </c>
      <c r="K7039" t="inlineStr">
        <is>
          <t>CUIVRE</t>
        </is>
      </c>
      <c r="L7039">
        <f>_xlfn.XLOOKUP(Tableau1[[#This Row],[TYPE DE PIECE]],Tableau4[MATIERE],Tableau4[SHORT TYPE],"",0,1)</f>
        <v/>
      </c>
      <c r="N7039">
        <f>IF(ISERR(FIND("DECOUPE",Tableau1[[#This Row],[DESIGNATION]])),"","NEED REF")</f>
        <v/>
      </c>
    </row>
    <row r="7040">
      <c r="B7040" t="n">
        <v>34406965</v>
      </c>
      <c r="C7040" s="2" t="n">
        <v>43314</v>
      </c>
      <c r="D7040" t="inlineStr">
        <is>
          <t>SPEC</t>
        </is>
      </c>
      <c r="E7040" t="inlineStr">
        <is>
          <t>MONTANT RENFORT 1900</t>
        </is>
      </c>
      <c r="F7040" t="inlineStr">
        <is>
          <t>QVE 1400</t>
        </is>
      </c>
      <c r="J7040" t="inlineStr">
        <is>
          <t>MATRION</t>
        </is>
      </c>
      <c r="K7040" t="inlineStr">
        <is>
          <t>METAL</t>
        </is>
      </c>
      <c r="L7040">
        <f>_xlfn.XLOOKUP(Tableau1[[#This Row],[TYPE DE PIECE]],Tableau4[MATIERE],Tableau4[SHORT TYPE],"",0,1)</f>
        <v/>
      </c>
      <c r="N7040">
        <f>IF(ISERR(FIND("DECOUPE",Tableau1[[#This Row],[DESIGNATION]])),"","NEED REF")</f>
        <v/>
      </c>
    </row>
    <row r="7041">
      <c r="B7041" t="n">
        <v>34406964</v>
      </c>
      <c r="C7041" s="2" t="n">
        <v>43313</v>
      </c>
      <c r="D7041" t="inlineStr">
        <is>
          <t>SPEC</t>
        </is>
      </c>
      <c r="E7041" t="inlineStr">
        <is>
          <t xml:space="preserve">PROTECTION TIRROIR NW40 </t>
        </is>
      </c>
      <c r="F7041" t="inlineStr">
        <is>
          <t>BBC 1500KW</t>
        </is>
      </c>
      <c r="J7041" t="inlineStr">
        <is>
          <t>BOIX</t>
        </is>
      </c>
      <c r="K7041" t="inlineStr">
        <is>
          <t>METAL</t>
        </is>
      </c>
      <c r="L7041">
        <f>_xlfn.XLOOKUP(Tableau1[[#This Row],[TYPE DE PIECE]],Tableau4[MATIERE],Tableau4[SHORT TYPE],"",0,1)</f>
        <v/>
      </c>
      <c r="N7041">
        <f>IF(ISERR(FIND("DECOUPE",Tableau1[[#This Row],[DESIGNATION]])),"","NEED REF")</f>
        <v/>
      </c>
    </row>
    <row r="7042">
      <c r="B7042" t="n">
        <v>34406963</v>
      </c>
      <c r="C7042" s="2" t="n">
        <v>43313</v>
      </c>
      <c r="D7042" t="inlineStr">
        <is>
          <t>SPEC</t>
        </is>
      </c>
      <c r="E7042" t="inlineStr">
        <is>
          <t>ENSEMBLE  SUPPORT LINERGY NW40 SIMPLE</t>
        </is>
      </c>
      <c r="F7042" t="inlineStr">
        <is>
          <t>BBC 1500KW</t>
        </is>
      </c>
      <c r="J7042" t="inlineStr">
        <is>
          <t>BOIX</t>
        </is>
      </c>
      <c r="L7042">
        <f>_xlfn.XLOOKUP(Tableau1[[#This Row],[TYPE DE PIECE]],Tableau4[MATIERE],Tableau4[SHORT TYPE],"",0,1)</f>
        <v/>
      </c>
      <c r="N7042">
        <f>IF(ISERR(FIND("DECOUPE",Tableau1[[#This Row],[DESIGNATION]])),"","NEED REF")</f>
        <v/>
      </c>
    </row>
    <row r="7043">
      <c r="B7043" t="n">
        <v>34406962</v>
      </c>
      <c r="C7043" s="2" t="n">
        <v>43313</v>
      </c>
      <c r="D7043" t="inlineStr">
        <is>
          <t>SPEC</t>
        </is>
      </c>
      <c r="E7043" t="inlineStr">
        <is>
          <t>ENSEMBLE  SUPPORT LINERGY NW40</t>
        </is>
      </c>
      <c r="F7043" t="inlineStr">
        <is>
          <t>BBC 1500KW</t>
        </is>
      </c>
      <c r="J7043" t="inlineStr">
        <is>
          <t>BOIX</t>
        </is>
      </c>
      <c r="L7043">
        <f>_xlfn.XLOOKUP(Tableau1[[#This Row],[TYPE DE PIECE]],Tableau4[MATIERE],Tableau4[SHORT TYPE],"",0,1)</f>
        <v/>
      </c>
      <c r="N7043">
        <f>IF(ISERR(FIND("DECOUPE",Tableau1[[#This Row],[DESIGNATION]])),"","NEED REF")</f>
        <v/>
      </c>
    </row>
    <row r="7044">
      <c r="B7044" t="n">
        <v>34406961</v>
      </c>
      <c r="C7044" s="2" t="n">
        <v>43313</v>
      </c>
      <c r="D7044" t="inlineStr">
        <is>
          <t>SPEC</t>
        </is>
      </c>
      <c r="E7044" t="inlineStr">
        <is>
          <t>reserve</t>
        </is>
      </c>
      <c r="K7044" t="inlineStr">
        <is>
          <t>METAL</t>
        </is>
      </c>
      <c r="L7044">
        <f>_xlfn.XLOOKUP(Tableau1[[#This Row],[TYPE DE PIECE]],Tableau4[MATIERE],Tableau4[SHORT TYPE],"",0,1)</f>
        <v/>
      </c>
      <c r="N7044">
        <f>IF(ISERR(FIND("DECOUPE",Tableau1[[#This Row],[DESIGNATION]])),"","NEED REF")</f>
        <v/>
      </c>
    </row>
    <row r="7045">
      <c r="B7045" t="n">
        <v>34406960</v>
      </c>
      <c r="C7045" s="2" t="n">
        <v>43313</v>
      </c>
      <c r="D7045" t="inlineStr">
        <is>
          <t>SPEC</t>
        </is>
      </c>
      <c r="E7045" t="inlineStr">
        <is>
          <t>reserve</t>
        </is>
      </c>
      <c r="K7045" t="inlineStr">
        <is>
          <t>METAL</t>
        </is>
      </c>
      <c r="L7045">
        <f>_xlfn.XLOOKUP(Tableau1[[#This Row],[TYPE DE PIECE]],Tableau4[MATIERE],Tableau4[SHORT TYPE],"",0,1)</f>
        <v/>
      </c>
      <c r="N7045">
        <f>IF(ISERR(FIND("DECOUPE",Tableau1[[#This Row],[DESIGNATION]])),"","NEED REF")</f>
        <v/>
      </c>
    </row>
    <row r="7046">
      <c r="B7046" t="n">
        <v>34406959</v>
      </c>
      <c r="C7046" s="2" t="n">
        <v>43312</v>
      </c>
      <c r="D7046" t="inlineStr">
        <is>
          <t>SPEC</t>
        </is>
      </c>
      <c r="E7046" t="inlineStr">
        <is>
          <t>BARRE DE CUIVRE 125 X 10 POUR NW40  PLIE</t>
        </is>
      </c>
      <c r="F7046" t="inlineStr">
        <is>
          <t>BBC 1500KW</t>
        </is>
      </c>
      <c r="J7046" t="inlineStr">
        <is>
          <t>BOIX</t>
        </is>
      </c>
      <c r="K7046" t="inlineStr">
        <is>
          <t>CUIVRE</t>
        </is>
      </c>
      <c r="L7046">
        <f>_xlfn.XLOOKUP(Tableau1[[#This Row],[TYPE DE PIECE]],Tableau4[MATIERE],Tableau4[SHORT TYPE],"",0,1)</f>
        <v/>
      </c>
      <c r="N7046">
        <f>IF(ISERR(FIND("DECOUPE",Tableau1[[#This Row],[DESIGNATION]])),"","NEED REF")</f>
        <v/>
      </c>
    </row>
    <row r="7047">
      <c r="B7047" t="n">
        <v>34406958</v>
      </c>
      <c r="C7047" s="2" t="n">
        <v>43312</v>
      </c>
      <c r="D7047" t="inlineStr">
        <is>
          <t>SPEC</t>
        </is>
      </c>
      <c r="E7047" t="inlineStr">
        <is>
          <t>BARRE DE CUIVRE 125 X 10 POUR NW40  PLIE</t>
        </is>
      </c>
      <c r="F7047" t="inlineStr">
        <is>
          <t>BBC 1500KW</t>
        </is>
      </c>
      <c r="J7047" t="inlineStr">
        <is>
          <t>BOIX</t>
        </is>
      </c>
      <c r="K7047" t="inlineStr">
        <is>
          <t>CUIVRE</t>
        </is>
      </c>
      <c r="L7047">
        <f>_xlfn.XLOOKUP(Tableau1[[#This Row],[TYPE DE PIECE]],Tableau4[MATIERE],Tableau4[SHORT TYPE],"",0,1)</f>
        <v/>
      </c>
      <c r="N7047">
        <f>IF(ISERR(FIND("DECOUPE",Tableau1[[#This Row],[DESIGNATION]])),"","NEED REF")</f>
        <v/>
      </c>
    </row>
    <row r="7048">
      <c r="B7048" t="n">
        <v>34406957</v>
      </c>
      <c r="C7048" s="2" t="n">
        <v>43312</v>
      </c>
      <c r="D7048" t="inlineStr">
        <is>
          <t>SPEC</t>
        </is>
      </c>
      <c r="E7048" t="inlineStr">
        <is>
          <t>SUPPORT CAPA  HORIZONTAL BAS</t>
        </is>
      </c>
      <c r="F7048" t="inlineStr">
        <is>
          <t>THM KIT CAPA 2018</t>
        </is>
      </c>
      <c r="J7048" t="inlineStr">
        <is>
          <t>PIZARRO</t>
        </is>
      </c>
      <c r="K7048" t="inlineStr">
        <is>
          <t>METAL</t>
        </is>
      </c>
      <c r="L7048">
        <f>_xlfn.XLOOKUP(Tableau1[[#This Row],[TYPE DE PIECE]],Tableau4[MATIERE],Tableau4[SHORT TYPE],"",0,1)</f>
        <v/>
      </c>
      <c r="N7048">
        <f>IF(ISERR(FIND("DECOUPE",Tableau1[[#This Row],[DESIGNATION]])),"","NEED REF")</f>
        <v/>
      </c>
    </row>
    <row r="7049">
      <c r="B7049" t="n">
        <v>34406956</v>
      </c>
      <c r="C7049" s="2" t="n">
        <v>43312</v>
      </c>
      <c r="D7049" t="inlineStr">
        <is>
          <t>SPEC</t>
        </is>
      </c>
      <c r="E7049" t="inlineStr">
        <is>
          <t>SUPPORT CAPA  HORIZONTAL MILIEU</t>
        </is>
      </c>
      <c r="F7049" t="inlineStr">
        <is>
          <t>THM KIT CAPA 2018</t>
        </is>
      </c>
      <c r="J7049" t="inlineStr">
        <is>
          <t>PIZARRO</t>
        </is>
      </c>
      <c r="K7049" t="inlineStr">
        <is>
          <t>METAL</t>
        </is>
      </c>
      <c r="L7049">
        <f>_xlfn.XLOOKUP(Tableau1[[#This Row],[TYPE DE PIECE]],Tableau4[MATIERE],Tableau4[SHORT TYPE],"",0,1)</f>
        <v/>
      </c>
      <c r="N7049">
        <f>IF(ISERR(FIND("DECOUPE",Tableau1[[#This Row],[DESIGNATION]])),"","NEED REF")</f>
        <v/>
      </c>
    </row>
    <row r="7050">
      <c r="B7050" t="n">
        <v>34406955</v>
      </c>
      <c r="C7050" s="2" t="n">
        <v>43312</v>
      </c>
      <c r="D7050" t="inlineStr">
        <is>
          <t>SPEC</t>
        </is>
      </c>
      <c r="E7050" t="inlineStr">
        <is>
          <t>SUPPORT CAPA  HORIZONTAL HAUT</t>
        </is>
      </c>
      <c r="F7050" t="inlineStr">
        <is>
          <t>THM KIT CAPA 2018</t>
        </is>
      </c>
      <c r="J7050" t="inlineStr">
        <is>
          <t>PIZARRO</t>
        </is>
      </c>
      <c r="K7050" t="inlineStr">
        <is>
          <t>METAL</t>
        </is>
      </c>
      <c r="L7050">
        <f>_xlfn.XLOOKUP(Tableau1[[#This Row],[TYPE DE PIECE]],Tableau4[MATIERE],Tableau4[SHORT TYPE],"",0,1)</f>
        <v/>
      </c>
      <c r="N7050">
        <f>IF(ISERR(FIND("DECOUPE",Tableau1[[#This Row],[DESIGNATION]])),"","NEED REF")</f>
        <v/>
      </c>
    </row>
    <row r="7051">
      <c r="B7051" t="n">
        <v>34406954</v>
      </c>
      <c r="C7051" s="2" t="n">
        <v>43311</v>
      </c>
      <c r="D7051" t="inlineStr">
        <is>
          <t>SPEC</t>
        </is>
      </c>
      <c r="E7051" t="inlineStr">
        <is>
          <t>LINERGY  NW40  1 METRE</t>
        </is>
      </c>
      <c r="F7051" t="inlineStr">
        <is>
          <t>BBC 1500KW</t>
        </is>
      </c>
      <c r="J7051" t="inlineStr">
        <is>
          <t>BOIX</t>
        </is>
      </c>
      <c r="K7051" t="inlineStr">
        <is>
          <t>CUIVRE</t>
        </is>
      </c>
      <c r="L7051">
        <f>_xlfn.XLOOKUP(Tableau1[[#This Row],[TYPE DE PIECE]],Tableau4[MATIERE],Tableau4[SHORT TYPE],"",0,1)</f>
        <v/>
      </c>
      <c r="N7051">
        <f>IF(ISERR(FIND("DECOUPE",Tableau1[[#This Row],[DESIGNATION]])),"","NEED REF")</f>
        <v/>
      </c>
    </row>
    <row r="7052">
      <c r="B7052" t="n">
        <v>34406953</v>
      </c>
      <c r="C7052" s="2" t="n">
        <v>43311</v>
      </c>
      <c r="D7052" t="inlineStr">
        <is>
          <t>SPEC</t>
        </is>
      </c>
      <c r="E7052" t="inlineStr">
        <is>
          <t>ASM LINERGY  NW40</t>
        </is>
      </c>
      <c r="F7052" t="inlineStr">
        <is>
          <t>BBC 1500KW</t>
        </is>
      </c>
      <c r="J7052" t="inlineStr">
        <is>
          <t>BOIX</t>
        </is>
      </c>
      <c r="K7052" t="inlineStr">
        <is>
          <t>CUIVRE</t>
        </is>
      </c>
      <c r="L7052">
        <f>_xlfn.XLOOKUP(Tableau1[[#This Row],[TYPE DE PIECE]],Tableau4[MATIERE],Tableau4[SHORT TYPE],"",0,1)</f>
        <v/>
      </c>
      <c r="N7052">
        <f>IF(ISERR(FIND("DECOUPE",Tableau1[[#This Row],[DESIGNATION]])),"","NEED REF")</f>
        <v/>
      </c>
    </row>
    <row r="7053">
      <c r="B7053" t="n">
        <v>34406952</v>
      </c>
      <c r="C7053" s="2" t="n">
        <v>43307</v>
      </c>
      <c r="D7053" t="inlineStr">
        <is>
          <t>SPEC</t>
        </is>
      </c>
      <c r="E7053" t="inlineStr">
        <is>
          <t>BARRE DE CUIVRE 125 X 10 POUR NW40 VERTICALE PLIE</t>
        </is>
      </c>
      <c r="F7053" t="inlineStr">
        <is>
          <t>BBC 1500KW</t>
        </is>
      </c>
      <c r="J7053" t="inlineStr">
        <is>
          <t>BOIX</t>
        </is>
      </c>
      <c r="K7053" t="inlineStr">
        <is>
          <t>CUIVRE</t>
        </is>
      </c>
      <c r="L7053">
        <f>_xlfn.XLOOKUP(Tableau1[[#This Row],[TYPE DE PIECE]],Tableau4[MATIERE],Tableau4[SHORT TYPE],"",0,1)</f>
        <v/>
      </c>
      <c r="N7053">
        <f>IF(ISERR(FIND("DECOUPE",Tableau1[[#This Row],[DESIGNATION]])),"","NEED REF")</f>
        <v/>
      </c>
    </row>
    <row r="7054">
      <c r="B7054" t="n">
        <v>34406951</v>
      </c>
      <c r="C7054" s="2" t="n">
        <v>43307</v>
      </c>
      <c r="D7054" t="inlineStr">
        <is>
          <t>SPEC</t>
        </is>
      </c>
      <c r="E7054" t="inlineStr">
        <is>
          <t>BARRE DE CUIVRE 125 X 10 POUR NW40 VERTICALE PLIE</t>
        </is>
      </c>
      <c r="F7054" t="inlineStr">
        <is>
          <t>BBC 1500KW</t>
        </is>
      </c>
      <c r="J7054" t="inlineStr">
        <is>
          <t>BOIX</t>
        </is>
      </c>
      <c r="K7054" t="inlineStr">
        <is>
          <t>CUIVRE</t>
        </is>
      </c>
      <c r="L7054">
        <f>_xlfn.XLOOKUP(Tableau1[[#This Row],[TYPE DE PIECE]],Tableau4[MATIERE],Tableau4[SHORT TYPE],"",0,1)</f>
        <v/>
      </c>
      <c r="N7054">
        <f>IF(ISERR(FIND("DECOUPE",Tableau1[[#This Row],[DESIGNATION]])),"","NEED REF")</f>
        <v/>
      </c>
    </row>
    <row r="7055">
      <c r="B7055" t="n">
        <v>34406950</v>
      </c>
      <c r="C7055" s="2" t="n">
        <v>43307</v>
      </c>
      <c r="D7055" t="inlineStr">
        <is>
          <t>SPEC</t>
        </is>
      </c>
      <c r="E7055" t="inlineStr">
        <is>
          <t>CAME QVE 1400</t>
        </is>
      </c>
      <c r="F7055" t="inlineStr">
        <is>
          <t>QVE 1400</t>
        </is>
      </c>
      <c r="J7055" t="inlineStr">
        <is>
          <t>MATRION</t>
        </is>
      </c>
      <c r="K7055" t="inlineStr">
        <is>
          <t>METAL</t>
        </is>
      </c>
      <c r="L7055">
        <f>_xlfn.XLOOKUP(Tableau1[[#This Row],[TYPE DE PIECE]],Tableau4[MATIERE],Tableau4[SHORT TYPE],"",0,1)</f>
        <v/>
      </c>
      <c r="N7055">
        <f>IF(ISERR(FIND("DECOUPE",Tableau1[[#This Row],[DESIGNATION]])),"","NEED REF")</f>
        <v/>
      </c>
    </row>
    <row r="7056">
      <c r="B7056" t="n">
        <v>34406949</v>
      </c>
      <c r="C7056" s="2" t="n">
        <v>43307</v>
      </c>
      <c r="D7056" t="inlineStr">
        <is>
          <t>SPEC</t>
        </is>
      </c>
      <c r="E7056" t="inlineStr">
        <is>
          <t>BARRE DE CUIVRE 120 X 10 POUR NW40 VER</t>
        </is>
      </c>
      <c r="F7056" t="inlineStr">
        <is>
          <t>BBC 1500KW</t>
        </is>
      </c>
      <c r="J7056" t="inlineStr">
        <is>
          <t>BOIX</t>
        </is>
      </c>
      <c r="K7056" t="inlineStr">
        <is>
          <t>CUIVRE</t>
        </is>
      </c>
      <c r="L7056">
        <f>_xlfn.XLOOKUP(Tableau1[[#This Row],[TYPE DE PIECE]],Tableau4[MATIERE],Tableau4[SHORT TYPE],"",0,1)</f>
        <v/>
      </c>
      <c r="N7056">
        <f>IF(ISERR(FIND("DECOUPE",Tableau1[[#This Row],[DESIGNATION]])),"","NEED REF")</f>
        <v/>
      </c>
    </row>
    <row r="7057">
      <c r="B7057" t="n">
        <v>34406948</v>
      </c>
      <c r="C7057" s="2" t="n">
        <v>43307</v>
      </c>
      <c r="D7057" t="inlineStr">
        <is>
          <t>SPEC</t>
        </is>
      </c>
      <c r="E7057" t="inlineStr">
        <is>
          <t>BARRE DE CUIVRE 120 X 10 POUR NW40 RACC CLIENT</t>
        </is>
      </c>
      <c r="F7057" t="inlineStr">
        <is>
          <t>BBC 1500KW</t>
        </is>
      </c>
      <c r="J7057" t="inlineStr">
        <is>
          <t>BOIX</t>
        </is>
      </c>
      <c r="K7057" t="inlineStr">
        <is>
          <t>CUIVRE</t>
        </is>
      </c>
      <c r="L7057">
        <f>_xlfn.XLOOKUP(Tableau1[[#This Row],[TYPE DE PIECE]],Tableau4[MATIERE],Tableau4[SHORT TYPE],"",0,1)</f>
        <v/>
      </c>
      <c r="N7057">
        <f>IF(ISERR(FIND("DECOUPE",Tableau1[[#This Row],[DESIGNATION]])),"","NEED REF")</f>
        <v/>
      </c>
    </row>
    <row r="7058">
      <c r="B7058" t="n">
        <v>34406947</v>
      </c>
      <c r="C7058" s="2" t="n">
        <v>43307</v>
      </c>
      <c r="D7058" t="inlineStr">
        <is>
          <t>SPEC</t>
        </is>
      </c>
      <c r="E7058" t="inlineStr">
        <is>
          <t>BARRE DE CUIVRE 125 X 10 POUR NW40</t>
        </is>
      </c>
      <c r="F7058" t="inlineStr">
        <is>
          <t>BBC 1500KW</t>
        </is>
      </c>
      <c r="J7058" t="inlineStr">
        <is>
          <t>BOIX</t>
        </is>
      </c>
      <c r="K7058" t="inlineStr">
        <is>
          <t>CUIVRE</t>
        </is>
      </c>
      <c r="L7058">
        <f>_xlfn.XLOOKUP(Tableau1[[#This Row],[TYPE DE PIECE]],Tableau4[MATIERE],Tableau4[SHORT TYPE],"",0,1)</f>
        <v/>
      </c>
      <c r="N7058">
        <f>IF(ISERR(FIND("DECOUPE",Tableau1[[#This Row],[DESIGNATION]])),"","NEED REF")</f>
        <v/>
      </c>
    </row>
    <row r="7059">
      <c r="B7059" t="n">
        <v>34406946</v>
      </c>
      <c r="C7059" s="2" t="n">
        <v>43307</v>
      </c>
      <c r="D7059" t="inlineStr">
        <is>
          <t>SPEC</t>
        </is>
      </c>
      <c r="E7059" t="inlineStr">
        <is>
          <t xml:space="preserve">PLASTRON HAUT et BAS </t>
        </is>
      </c>
      <c r="F7059" t="inlineStr">
        <is>
          <t>BBC 1500KW</t>
        </is>
      </c>
      <c r="J7059" t="inlineStr">
        <is>
          <t>BOIX</t>
        </is>
      </c>
      <c r="K7059" t="inlineStr">
        <is>
          <t>METAL</t>
        </is>
      </c>
      <c r="L7059">
        <f>_xlfn.XLOOKUP(Tableau1[[#This Row],[TYPE DE PIECE]],Tableau4[MATIERE],Tableau4[SHORT TYPE],"",0,1)</f>
        <v/>
      </c>
      <c r="N7059">
        <f>IF(ISERR(FIND("DECOUPE",Tableau1[[#This Row],[DESIGNATION]])),"","NEED REF")</f>
        <v/>
      </c>
    </row>
    <row r="7060">
      <c r="B7060" t="n">
        <v>34406945</v>
      </c>
      <c r="C7060" s="2" t="n">
        <v>43307</v>
      </c>
      <c r="D7060" t="inlineStr">
        <is>
          <t>SPEC</t>
        </is>
      </c>
      <c r="E7060" t="inlineStr">
        <is>
          <t>PLASTRON NW40</t>
        </is>
      </c>
      <c r="F7060" t="inlineStr">
        <is>
          <t>BBC 1500KW</t>
        </is>
      </c>
      <c r="J7060" t="inlineStr">
        <is>
          <t>BOIX</t>
        </is>
      </c>
      <c r="K7060" t="inlineStr">
        <is>
          <t>METAL</t>
        </is>
      </c>
      <c r="L7060">
        <f>_xlfn.XLOOKUP(Tableau1[[#This Row],[TYPE DE PIECE]],Tableau4[MATIERE],Tableau4[SHORT TYPE],"",0,1)</f>
        <v/>
      </c>
      <c r="N7060">
        <f>IF(ISERR(FIND("DECOUPE",Tableau1[[#This Row],[DESIGNATION]])),"","NEED REF")</f>
        <v/>
      </c>
    </row>
    <row r="7061">
      <c r="B7061" t="n">
        <v>34406944</v>
      </c>
      <c r="C7061" s="2" t="n">
        <v>43306</v>
      </c>
      <c r="D7061" t="inlineStr">
        <is>
          <t>SPEC</t>
        </is>
      </c>
      <c r="E7061" t="inlineStr">
        <is>
          <t>DECOUPE GOULOTTE VERTICALE ARMOIRE BBC</t>
        </is>
      </c>
      <c r="F7061" t="inlineStr">
        <is>
          <t>BBC 1500KW</t>
        </is>
      </c>
      <c r="J7061" t="inlineStr">
        <is>
          <t>BOIX</t>
        </is>
      </c>
      <c r="K7061" t="inlineStr">
        <is>
          <t>PLASTIQUE</t>
        </is>
      </c>
      <c r="L7061" t="inlineStr">
        <is>
          <t>ETO</t>
        </is>
      </c>
      <c r="N7061">
        <f>IF(ISERR(FIND("DECOUPE",Tableau1[[#This Row],[DESIGNATION]])),"","NEED REF")</f>
        <v/>
      </c>
    </row>
    <row r="7062">
      <c r="B7062" t="n">
        <v>34406943</v>
      </c>
      <c r="C7062" s="2" t="n">
        <v>43306</v>
      </c>
      <c r="D7062" t="inlineStr">
        <is>
          <t>SPEC</t>
        </is>
      </c>
      <c r="E7062" t="inlineStr">
        <is>
          <t>DECOUPE GOULOTTE VERTICALE ARMOIRE BBC</t>
        </is>
      </c>
      <c r="F7062" t="inlineStr">
        <is>
          <t>BBC 1500KW</t>
        </is>
      </c>
      <c r="J7062" t="inlineStr">
        <is>
          <t>BOIX</t>
        </is>
      </c>
      <c r="K7062" t="inlineStr">
        <is>
          <t>PLASTIQUE</t>
        </is>
      </c>
      <c r="L7062" t="inlineStr">
        <is>
          <t>ETO</t>
        </is>
      </c>
      <c r="N7062">
        <f>IF(ISERR(FIND("DECOUPE",Tableau1[[#This Row],[DESIGNATION]])),"","NEED REF")</f>
        <v/>
      </c>
    </row>
    <row r="7063">
      <c r="B7063" t="n">
        <v>34406942</v>
      </c>
      <c r="C7063" s="2" t="n">
        <v>43306</v>
      </c>
      <c r="D7063" t="inlineStr">
        <is>
          <t>SPEC</t>
        </is>
      </c>
      <c r="E7063" t="inlineStr">
        <is>
          <t>DECOUPE GOULOTTE VERTICALE ARMOIRE BBC</t>
        </is>
      </c>
      <c r="F7063" t="inlineStr">
        <is>
          <t>BBC 1500KW</t>
        </is>
      </c>
      <c r="J7063" t="inlineStr">
        <is>
          <t>BOIX</t>
        </is>
      </c>
      <c r="K7063" t="inlineStr">
        <is>
          <t>PLASTIQUE</t>
        </is>
      </c>
      <c r="L7063" t="inlineStr">
        <is>
          <t>ETO</t>
        </is>
      </c>
      <c r="N7063">
        <f>IF(ISERR(FIND("DECOUPE",Tableau1[[#This Row],[DESIGNATION]])),"","NEED REF")</f>
        <v/>
      </c>
    </row>
    <row r="7064">
      <c r="B7064" t="n">
        <v>34406941</v>
      </c>
      <c r="C7064" s="2" t="n">
        <v>43306</v>
      </c>
      <c r="D7064" t="inlineStr">
        <is>
          <t>SPEC</t>
        </is>
      </c>
      <c r="E7064" t="inlineStr">
        <is>
          <t>DECOUPE GOULOTTE VERTICALE ARMOIRE BBC</t>
        </is>
      </c>
      <c r="F7064" t="inlineStr">
        <is>
          <t>BBC 1500KW</t>
        </is>
      </c>
      <c r="J7064" t="inlineStr">
        <is>
          <t>BOIX</t>
        </is>
      </c>
      <c r="K7064" t="inlineStr">
        <is>
          <t>PLASTIQUE</t>
        </is>
      </c>
      <c r="L7064" t="inlineStr">
        <is>
          <t>ETO</t>
        </is>
      </c>
      <c r="N7064">
        <f>IF(ISERR(FIND("DECOUPE",Tableau1[[#This Row],[DESIGNATION]])),"","NEED REF")</f>
        <v/>
      </c>
    </row>
    <row r="7065">
      <c r="B7065" t="n">
        <v>34406940</v>
      </c>
      <c r="C7065" s="2" t="n">
        <v>43306</v>
      </c>
      <c r="D7065" t="inlineStr">
        <is>
          <t>SPEC</t>
        </is>
      </c>
      <c r="E7065" t="inlineStr">
        <is>
          <t>DECOUPE GOULOTTE VERTICALE ARMOIRE BBC</t>
        </is>
      </c>
      <c r="F7065" t="inlineStr">
        <is>
          <t>BBC 1500KW</t>
        </is>
      </c>
      <c r="J7065" t="inlineStr">
        <is>
          <t>BOIX</t>
        </is>
      </c>
      <c r="K7065" t="inlineStr">
        <is>
          <t>PLASTIQUE</t>
        </is>
      </c>
      <c r="L7065" t="inlineStr">
        <is>
          <t>ETO</t>
        </is>
      </c>
      <c r="N7065">
        <f>IF(ISERR(FIND("DECOUPE",Tableau1[[#This Row],[DESIGNATION]])),"","NEED REF")</f>
        <v/>
      </c>
    </row>
    <row r="7066">
      <c r="B7066" t="n">
        <v>34406939</v>
      </c>
      <c r="C7066" s="2" t="n">
        <v>43306</v>
      </c>
      <c r="D7066" t="inlineStr">
        <is>
          <t>SPEC</t>
        </is>
      </c>
      <c r="E7066" t="inlineStr">
        <is>
          <t>DECOUPE GOULOTTE VERTICALE ARMOIRE BBC</t>
        </is>
      </c>
      <c r="F7066" t="inlineStr">
        <is>
          <t>BBC 1500KW</t>
        </is>
      </c>
      <c r="J7066" t="inlineStr">
        <is>
          <t>BOIX</t>
        </is>
      </c>
      <c r="K7066" t="inlineStr">
        <is>
          <t>PLASTIQUE</t>
        </is>
      </c>
      <c r="L7066" t="inlineStr">
        <is>
          <t>ETO</t>
        </is>
      </c>
      <c r="N7066">
        <f>IF(ISERR(FIND("DECOUPE",Tableau1[[#This Row],[DESIGNATION]])),"","NEED REF")</f>
        <v/>
      </c>
    </row>
    <row r="7067">
      <c r="B7067" t="n">
        <v>34406938</v>
      </c>
      <c r="C7067" s="2" t="n">
        <v>43306</v>
      </c>
      <c r="D7067" t="inlineStr">
        <is>
          <t>SPEC</t>
        </is>
      </c>
      <c r="E7067" t="inlineStr">
        <is>
          <t>DECOUPE GOULOTTE VERTICALE ARMOIRE BBC</t>
        </is>
      </c>
      <c r="F7067" t="inlineStr">
        <is>
          <t>BBC 1500KW</t>
        </is>
      </c>
      <c r="J7067" t="inlineStr">
        <is>
          <t>BOIX</t>
        </is>
      </c>
      <c r="K7067" t="inlineStr">
        <is>
          <t>PLASTIQUE</t>
        </is>
      </c>
      <c r="L7067" t="inlineStr">
        <is>
          <t>ETO</t>
        </is>
      </c>
      <c r="N7067">
        <f>IF(ISERR(FIND("DECOUPE",Tableau1[[#This Row],[DESIGNATION]])),"","NEED REF")</f>
        <v/>
      </c>
    </row>
    <row r="7068">
      <c r="B7068" t="n">
        <v>34406937</v>
      </c>
      <c r="C7068" s="2" t="n">
        <v>43306</v>
      </c>
      <c r="D7068" t="inlineStr">
        <is>
          <t>SPEC</t>
        </is>
      </c>
      <c r="E7068" t="inlineStr">
        <is>
          <t>BARRE DE CUIVRE PERFORE 80X10  REDECOUPER</t>
        </is>
      </c>
      <c r="F7068" t="inlineStr">
        <is>
          <t>BBC 1500KW</t>
        </is>
      </c>
      <c r="J7068" t="inlineStr">
        <is>
          <t>BOIX</t>
        </is>
      </c>
      <c r="K7068" t="inlineStr">
        <is>
          <t>ETO</t>
        </is>
      </c>
      <c r="L7068">
        <f>_xlfn.XLOOKUP(Tableau1[[#This Row],[TYPE DE PIECE]],Tableau4[MATIERE],Tableau4[SHORT TYPE],"",0,1)</f>
        <v/>
      </c>
      <c r="N7068">
        <f>IF(ISERR(FIND("DECOUPE",Tableau1[[#This Row],[DESIGNATION]])),"","NEED REF")</f>
        <v/>
      </c>
    </row>
    <row r="7069">
      <c r="B7069" t="n">
        <v>34406936</v>
      </c>
      <c r="C7069" s="2" t="n">
        <v>43305</v>
      </c>
      <c r="D7069" t="inlineStr">
        <is>
          <t>SPEC</t>
        </is>
      </c>
      <c r="E7069" t="inlineStr">
        <is>
          <t>CX RACCORDEMENT CLIENT 3200A DOUBLE NEUTRE</t>
        </is>
      </c>
      <c r="F7069" t="inlineStr">
        <is>
          <t>MBC GVX</t>
        </is>
      </c>
      <c r="J7069" t="inlineStr">
        <is>
          <t>MATRION</t>
        </is>
      </c>
      <c r="K7069" t="inlineStr">
        <is>
          <t>CUIVRE</t>
        </is>
      </c>
      <c r="L7069">
        <f>_xlfn.XLOOKUP(Tableau1[[#This Row],[TYPE DE PIECE]],Tableau4[MATIERE],Tableau4[SHORT TYPE],"",0,1)</f>
        <v/>
      </c>
      <c r="N7069">
        <f>IF(ISERR(FIND("DECOUPE",Tableau1[[#This Row],[DESIGNATION]])),"","NEED REF")</f>
        <v/>
      </c>
    </row>
    <row r="7070">
      <c r="B7070" t="n">
        <v>34406935</v>
      </c>
      <c r="C7070" s="2" t="n">
        <v>43305</v>
      </c>
      <c r="D7070" t="inlineStr">
        <is>
          <t>SPEC</t>
        </is>
      </c>
      <c r="E7070" t="inlineStr">
        <is>
          <t>CX RACCORDEMENT CLIENT 3200A</t>
        </is>
      </c>
      <c r="F7070" t="inlineStr">
        <is>
          <t>MBC GVX</t>
        </is>
      </c>
      <c r="J7070" t="inlineStr">
        <is>
          <t>MATRION</t>
        </is>
      </c>
      <c r="K7070" t="inlineStr">
        <is>
          <t>CUIVRE</t>
        </is>
      </c>
      <c r="L7070">
        <f>_xlfn.XLOOKUP(Tableau1[[#This Row],[TYPE DE PIECE]],Tableau4[MATIERE],Tableau4[SHORT TYPE],"",0,1)</f>
        <v/>
      </c>
      <c r="N7070">
        <f>IF(ISERR(FIND("DECOUPE",Tableau1[[#This Row],[DESIGNATION]])),"","NEED REF")</f>
        <v/>
      </c>
    </row>
    <row r="7071">
      <c r="B7071" t="n">
        <v>34406934</v>
      </c>
      <c r="C7071" s="2" t="n">
        <v>43301</v>
      </c>
      <c r="D7071" t="inlineStr">
        <is>
          <t>SPEC</t>
        </is>
      </c>
      <c r="E7071" t="inlineStr">
        <is>
          <t>TRAVERSE SIMPLE CALE BARRE NW40</t>
        </is>
      </c>
      <c r="F7071" t="inlineStr">
        <is>
          <t>BBC 1500KW</t>
        </is>
      </c>
      <c r="J7071" t="inlineStr">
        <is>
          <t>BOIX</t>
        </is>
      </c>
      <c r="K7071" t="inlineStr">
        <is>
          <t>METAL</t>
        </is>
      </c>
      <c r="L7071">
        <f>_xlfn.XLOOKUP(Tableau1[[#This Row],[TYPE DE PIECE]],Tableau4[MATIERE],Tableau4[SHORT TYPE],"",0,1)</f>
        <v/>
      </c>
      <c r="N7071">
        <f>IF(ISERR(FIND("DECOUPE",Tableau1[[#This Row],[DESIGNATION]])),"","NEED REF")</f>
        <v/>
      </c>
    </row>
    <row r="7072">
      <c r="B7072" t="n">
        <v>34406933</v>
      </c>
      <c r="C7072" s="2" t="n">
        <v>43301</v>
      </c>
      <c r="D7072" t="inlineStr">
        <is>
          <t>SPEC</t>
        </is>
      </c>
      <c r="E7072" t="inlineStr">
        <is>
          <t>TRAVERSE SUPPORT CALE BARRE NW40</t>
        </is>
      </c>
      <c r="F7072" t="inlineStr">
        <is>
          <t>BBC 1500KW</t>
        </is>
      </c>
      <c r="J7072" t="inlineStr">
        <is>
          <t>BOIX</t>
        </is>
      </c>
      <c r="K7072" t="inlineStr">
        <is>
          <t>METAL</t>
        </is>
      </c>
      <c r="L7072">
        <f>_xlfn.XLOOKUP(Tableau1[[#This Row],[TYPE DE PIECE]],Tableau4[MATIERE],Tableau4[SHORT TYPE],"",0,1)</f>
        <v/>
      </c>
      <c r="N7072">
        <f>IF(ISERR(FIND("DECOUPE",Tableau1[[#This Row],[DESIGNATION]])),"","NEED REF")</f>
        <v/>
      </c>
    </row>
    <row r="7073">
      <c r="B7073" t="n">
        <v>34406932</v>
      </c>
      <c r="C7073" s="2" t="n">
        <v>43301</v>
      </c>
      <c r="D7073" t="inlineStr">
        <is>
          <t>SPEC</t>
        </is>
      </c>
      <c r="E7073" t="inlineStr">
        <is>
          <t>PLASTRON HAUT NW40</t>
        </is>
      </c>
      <c r="F7073" t="inlineStr">
        <is>
          <t>BBC 1500KW</t>
        </is>
      </c>
      <c r="J7073" t="inlineStr">
        <is>
          <t>BOIX</t>
        </is>
      </c>
      <c r="K7073" t="inlineStr">
        <is>
          <t>METAL</t>
        </is>
      </c>
      <c r="L7073">
        <f>_xlfn.XLOOKUP(Tableau1[[#This Row],[TYPE DE PIECE]],Tableau4[MATIERE],Tableau4[SHORT TYPE],"",0,1)</f>
        <v/>
      </c>
      <c r="N7073">
        <f>IF(ISERR(FIND("DECOUPE",Tableau1[[#This Row],[DESIGNATION]])),"","NEED REF")</f>
        <v/>
      </c>
    </row>
    <row r="7074">
      <c r="B7074" t="n">
        <v>34406931</v>
      </c>
      <c r="C7074" s="2" t="n">
        <v>43301</v>
      </c>
      <c r="D7074" t="inlineStr">
        <is>
          <t>SPEC</t>
        </is>
      </c>
      <c r="E7074" t="inlineStr">
        <is>
          <t>PLASTRON BAS NW40</t>
        </is>
      </c>
      <c r="F7074" t="inlineStr">
        <is>
          <t>BBC 1500KW</t>
        </is>
      </c>
      <c r="J7074" t="inlineStr">
        <is>
          <t>BOIX</t>
        </is>
      </c>
      <c r="K7074" t="inlineStr">
        <is>
          <t>METAL</t>
        </is>
      </c>
      <c r="L7074">
        <f>_xlfn.XLOOKUP(Tableau1[[#This Row],[TYPE DE PIECE]],Tableau4[MATIERE],Tableau4[SHORT TYPE],"",0,1)</f>
        <v/>
      </c>
      <c r="N7074">
        <f>IF(ISERR(FIND("DECOUPE",Tableau1[[#This Row],[DESIGNATION]])),"","NEED REF")</f>
        <v/>
      </c>
    </row>
    <row r="7075">
      <c r="B7075" t="n">
        <v>34406930</v>
      </c>
      <c r="C7075" s="2" t="n">
        <v>43301</v>
      </c>
      <c r="D7075" t="inlineStr">
        <is>
          <t>SPEC</t>
        </is>
      </c>
      <c r="E7075" t="inlineStr">
        <is>
          <t>SUPPORT POUR EQUERRE ISOLATEUR NW40</t>
        </is>
      </c>
      <c r="F7075" t="inlineStr">
        <is>
          <t>BBC 1500KW</t>
        </is>
      </c>
      <c r="J7075" t="inlineStr">
        <is>
          <t>BOIX</t>
        </is>
      </c>
      <c r="K7075" t="inlineStr">
        <is>
          <t>METAL</t>
        </is>
      </c>
      <c r="L7075">
        <f>_xlfn.XLOOKUP(Tableau1[[#This Row],[TYPE DE PIECE]],Tableau4[MATIERE],Tableau4[SHORT TYPE],"",0,1)</f>
        <v/>
      </c>
      <c r="N7075">
        <f>IF(ISERR(FIND("DECOUPE",Tableau1[[#This Row],[DESIGNATION]])),"","NEED REF")</f>
        <v/>
      </c>
    </row>
    <row r="7076">
      <c r="B7076" t="n">
        <v>34406929</v>
      </c>
      <c r="C7076" s="2" t="n">
        <v>43300</v>
      </c>
      <c r="D7076" t="inlineStr">
        <is>
          <t>SPEC</t>
        </is>
      </c>
      <c r="E7076" t="inlineStr">
        <is>
          <t>SUPPORT HAUT CARTE ELECTRONIC NW40</t>
        </is>
      </c>
      <c r="F7076" t="inlineStr">
        <is>
          <t>BBC 1500KW</t>
        </is>
      </c>
      <c r="J7076" t="inlineStr">
        <is>
          <t>BOIX</t>
        </is>
      </c>
      <c r="K7076" t="inlineStr">
        <is>
          <t>METAL</t>
        </is>
      </c>
      <c r="L7076">
        <f>_xlfn.XLOOKUP(Tableau1[[#This Row],[TYPE DE PIECE]],Tableau4[MATIERE],Tableau4[SHORT TYPE],"",0,1)</f>
        <v/>
      </c>
      <c r="N7076">
        <f>IF(ISERR(FIND("DECOUPE",Tableau1[[#This Row],[DESIGNATION]])),"","NEED REF")</f>
        <v/>
      </c>
    </row>
    <row r="7077">
      <c r="B7077" t="n">
        <v>34406928</v>
      </c>
      <c r="C7077" s="2" t="n">
        <v>43299</v>
      </c>
      <c r="D7077" t="inlineStr">
        <is>
          <t>SPEC</t>
        </is>
      </c>
      <c r="E7077" t="inlineStr">
        <is>
          <t>SUPPORT BAS CARTE ELECTRONIC NW40</t>
        </is>
      </c>
      <c r="F7077" t="inlineStr">
        <is>
          <t>BBC 1500KW</t>
        </is>
      </c>
      <c r="J7077" t="inlineStr">
        <is>
          <t>BOIX</t>
        </is>
      </c>
      <c r="K7077" t="inlineStr">
        <is>
          <t>METAL</t>
        </is>
      </c>
      <c r="L7077">
        <f>_xlfn.XLOOKUP(Tableau1[[#This Row],[TYPE DE PIECE]],Tableau4[MATIERE],Tableau4[SHORT TYPE],"",0,1)</f>
        <v/>
      </c>
      <c r="N7077">
        <f>IF(ISERR(FIND("DECOUPE",Tableau1[[#This Row],[DESIGNATION]])),"","NEED REF")</f>
        <v/>
      </c>
    </row>
    <row r="7078">
      <c r="B7078" t="n">
        <v>34406927</v>
      </c>
      <c r="C7078" s="2" t="n">
        <v>43298</v>
      </c>
      <c r="D7078" t="inlineStr">
        <is>
          <t>SPEC</t>
        </is>
      </c>
      <c r="E7078" t="inlineStr">
        <is>
          <t>PLASTRON LATERAL</t>
        </is>
      </c>
      <c r="F7078" t="inlineStr">
        <is>
          <t>GALAXY VM 200KVA QSKU MAKE 3 OUTPUT CB COMPACT MCCB</t>
        </is>
      </c>
      <c r="J7078" t="inlineStr">
        <is>
          <t>PIZARRO</t>
        </is>
      </c>
      <c r="K7078" t="inlineStr">
        <is>
          <t>METAL</t>
        </is>
      </c>
      <c r="L7078">
        <f>_xlfn.XLOOKUP(Tableau1[[#This Row],[TYPE DE PIECE]],Tableau4[MATIERE],Tableau4[SHORT TYPE],"",0,1)</f>
        <v/>
      </c>
      <c r="N7078">
        <f>IF(ISERR(FIND("DECOUPE",Tableau1[[#This Row],[DESIGNATION]])),"","NEED REF")</f>
        <v/>
      </c>
    </row>
    <row r="7079">
      <c r="B7079" t="n">
        <v>34406926</v>
      </c>
      <c r="C7079" s="2" t="n">
        <v>43298</v>
      </c>
      <c r="D7079" t="inlineStr">
        <is>
          <t>SPEC</t>
        </is>
      </c>
      <c r="E7079" t="inlineStr">
        <is>
          <t>PLASTRON BAS</t>
        </is>
      </c>
      <c r="F7079" t="inlineStr">
        <is>
          <t>GALAXY VM 200KVA QSKU MAKE 3 OUTPUT CB COMPACT MCCB</t>
        </is>
      </c>
      <c r="J7079" t="inlineStr">
        <is>
          <t>PIZARRO</t>
        </is>
      </c>
      <c r="K7079" t="inlineStr">
        <is>
          <t>METAL</t>
        </is>
      </c>
      <c r="L7079">
        <f>_xlfn.XLOOKUP(Tableau1[[#This Row],[TYPE DE PIECE]],Tableau4[MATIERE],Tableau4[SHORT TYPE],"",0,1)</f>
        <v/>
      </c>
      <c r="N7079">
        <f>IF(ISERR(FIND("DECOUPE",Tableau1[[#This Row],[DESIGNATION]])),"","NEED REF")</f>
        <v/>
      </c>
    </row>
    <row r="7080">
      <c r="B7080" t="n">
        <v>34406925</v>
      </c>
      <c r="C7080" s="2" t="n">
        <v>43298</v>
      </c>
      <c r="D7080" t="inlineStr">
        <is>
          <t>SPEC</t>
        </is>
      </c>
      <c r="E7080" t="inlineStr">
        <is>
          <t>PLASTRON HAUT</t>
        </is>
      </c>
      <c r="F7080" t="inlineStr">
        <is>
          <t>GALAXY VM 200KVA QSKU MAKE 3 OUTPUT CB COMPACT MCCB</t>
        </is>
      </c>
      <c r="J7080" t="inlineStr">
        <is>
          <t>PIZARRO</t>
        </is>
      </c>
      <c r="K7080" t="inlineStr">
        <is>
          <t>METAL</t>
        </is>
      </c>
      <c r="L7080">
        <f>_xlfn.XLOOKUP(Tableau1[[#This Row],[TYPE DE PIECE]],Tableau4[MATIERE],Tableau4[SHORT TYPE],"",0,1)</f>
        <v/>
      </c>
      <c r="N7080">
        <f>IF(ISERR(FIND("DECOUPE",Tableau1[[#This Row],[DESIGNATION]])),"","NEED REF")</f>
        <v/>
      </c>
    </row>
    <row r="7081">
      <c r="B7081" t="n">
        <v>34406924</v>
      </c>
      <c r="C7081" s="2" t="n">
        <v>43298</v>
      </c>
      <c r="D7081" t="inlineStr">
        <is>
          <t>SPEC</t>
        </is>
      </c>
      <c r="E7081" t="inlineStr">
        <is>
          <t>EQUERRE SUPPORT PLASTRONS</t>
        </is>
      </c>
      <c r="F7081" t="inlineStr">
        <is>
          <t>GALAXY VM 200KVA QSKU MAKE 3 OUTPUT CB COMPACT MCCB</t>
        </is>
      </c>
      <c r="J7081" t="inlineStr">
        <is>
          <t>PIZARRO</t>
        </is>
      </c>
      <c r="K7081" t="inlineStr">
        <is>
          <t>METAL</t>
        </is>
      </c>
      <c r="L7081">
        <f>_xlfn.XLOOKUP(Tableau1[[#This Row],[TYPE DE PIECE]],Tableau4[MATIERE],Tableau4[SHORT TYPE],"",0,1)</f>
        <v/>
      </c>
      <c r="N7081">
        <f>IF(ISERR(FIND("DECOUPE",Tableau1[[#This Row],[DESIGNATION]])),"","NEED REF")</f>
        <v/>
      </c>
    </row>
    <row r="7082">
      <c r="B7082" t="n">
        <v>34406923</v>
      </c>
      <c r="C7082" s="2" t="n">
        <v>43298</v>
      </c>
      <c r="D7082" t="inlineStr">
        <is>
          <t>SPEC</t>
        </is>
      </c>
      <c r="E7082" t="inlineStr">
        <is>
          <t>EQUERRE SUPPORT ISOLATEUR NW40</t>
        </is>
      </c>
      <c r="F7082" t="inlineStr">
        <is>
          <t>BBC 1500KW</t>
        </is>
      </c>
      <c r="J7082" t="inlineStr">
        <is>
          <t>BOIX</t>
        </is>
      </c>
      <c r="K7082" t="inlineStr">
        <is>
          <t>METAL</t>
        </is>
      </c>
      <c r="L7082">
        <f>_xlfn.XLOOKUP(Tableau1[[#This Row],[TYPE DE PIECE]],Tableau4[MATIERE],Tableau4[SHORT TYPE],"",0,1)</f>
        <v/>
      </c>
      <c r="N7082">
        <f>IF(ISERR(FIND("DECOUPE",Tableau1[[#This Row],[DESIGNATION]])),"","NEED REF")</f>
        <v/>
      </c>
    </row>
    <row r="7083">
      <c r="B7083" t="n">
        <v>34406922</v>
      </c>
      <c r="C7083" s="2" t="n">
        <v>43298</v>
      </c>
      <c r="D7083" t="inlineStr">
        <is>
          <t>SPEC</t>
        </is>
      </c>
      <c r="E7083" t="inlineStr">
        <is>
          <t>SUPPORT MASTERPACT NW40</t>
        </is>
      </c>
      <c r="F7083" t="inlineStr">
        <is>
          <t>BBC 1500KW</t>
        </is>
      </c>
      <c r="J7083" t="inlineStr">
        <is>
          <t>BOIX</t>
        </is>
      </c>
      <c r="K7083" t="inlineStr">
        <is>
          <t>METAL</t>
        </is>
      </c>
      <c r="L7083">
        <f>_xlfn.XLOOKUP(Tableau1[[#This Row],[TYPE DE PIECE]],Tableau4[MATIERE],Tableau4[SHORT TYPE],"",0,1)</f>
        <v/>
      </c>
      <c r="N7083">
        <f>IF(ISERR(FIND("DECOUPE",Tableau1[[#This Row],[DESIGNATION]])),"","NEED REF")</f>
        <v/>
      </c>
    </row>
    <row r="7084">
      <c r="B7084" t="n">
        <v>34406921</v>
      </c>
      <c r="C7084" s="2" t="n">
        <v>43298</v>
      </c>
      <c r="D7084" t="inlineStr">
        <is>
          <t>SPEC</t>
        </is>
      </c>
      <c r="E7084" t="inlineStr">
        <is>
          <t>LONGERON POUR PLATINE NW40</t>
        </is>
      </c>
      <c r="F7084" t="inlineStr">
        <is>
          <t>BBC 1500KW</t>
        </is>
      </c>
      <c r="J7084" t="inlineStr">
        <is>
          <t>BOIX</t>
        </is>
      </c>
      <c r="K7084" t="inlineStr">
        <is>
          <t>METAL</t>
        </is>
      </c>
      <c r="L7084">
        <f>_xlfn.XLOOKUP(Tableau1[[#This Row],[TYPE DE PIECE]],Tableau4[MATIERE],Tableau4[SHORT TYPE],"",0,1)</f>
        <v/>
      </c>
      <c r="N7084">
        <f>IF(ISERR(FIND("DECOUPE",Tableau1[[#This Row],[DESIGNATION]])),"","NEED REF")</f>
        <v/>
      </c>
    </row>
    <row r="7085">
      <c r="B7085" t="n">
        <v>34406920</v>
      </c>
      <c r="C7085" s="2" t="n">
        <v>43298</v>
      </c>
      <c r="D7085" t="inlineStr">
        <is>
          <t>SPEC</t>
        </is>
      </c>
      <c r="E7085" t="inlineStr">
        <is>
          <t>PLATINE SUPPORT NW40</t>
        </is>
      </c>
      <c r="F7085" t="inlineStr">
        <is>
          <t>BBC 1500KW</t>
        </is>
      </c>
      <c r="J7085" t="inlineStr">
        <is>
          <t>BOIX</t>
        </is>
      </c>
      <c r="K7085" t="inlineStr">
        <is>
          <t>METAL</t>
        </is>
      </c>
      <c r="L7085">
        <f>_xlfn.XLOOKUP(Tableau1[[#This Row],[TYPE DE PIECE]],Tableau4[MATIERE],Tableau4[SHORT TYPE],"",0,1)</f>
        <v/>
      </c>
      <c r="N7085">
        <f>IF(ISERR(FIND("DECOUPE",Tableau1[[#This Row],[DESIGNATION]])),"","NEED REF")</f>
        <v/>
      </c>
    </row>
    <row r="7086">
      <c r="B7086" t="n">
        <v>34406919</v>
      </c>
      <c r="C7086" s="2" t="n">
        <v>43297</v>
      </c>
      <c r="D7086" t="inlineStr">
        <is>
          <t>SPEC</t>
        </is>
      </c>
      <c r="E7086" t="inlineStr">
        <is>
          <t>SUPPORT LONG PLASTRON</t>
        </is>
      </c>
      <c r="F7086" t="inlineStr">
        <is>
          <t>GALAXY VM 200KVA QSKU MAKE 3 OUTPUT CB COMPACT MCCB</t>
        </is>
      </c>
      <c r="J7086" t="inlineStr">
        <is>
          <t>PIZARRO</t>
        </is>
      </c>
      <c r="K7086" t="inlineStr">
        <is>
          <t>METAL</t>
        </is>
      </c>
      <c r="L7086">
        <f>_xlfn.XLOOKUP(Tableau1[[#This Row],[TYPE DE PIECE]],Tableau4[MATIERE],Tableau4[SHORT TYPE],"",0,1)</f>
        <v/>
      </c>
      <c r="N7086">
        <f>IF(ISERR(FIND("DECOUPE",Tableau1[[#This Row],[DESIGNATION]])),"","NEED REF")</f>
        <v/>
      </c>
    </row>
    <row r="7087">
      <c r="B7087" t="n">
        <v>34406918</v>
      </c>
      <c r="C7087" s="2" t="n">
        <v>43297</v>
      </c>
      <c r="D7087" t="inlineStr">
        <is>
          <t>SPEC</t>
        </is>
      </c>
      <c r="E7087" t="inlineStr">
        <is>
          <t>SUPPORT COURT PLASTRON</t>
        </is>
      </c>
      <c r="F7087" t="inlineStr">
        <is>
          <t>GALAXY VM 200KVA QSKU MAKE 3 OUTPUT CB COMPACT MCCB</t>
        </is>
      </c>
      <c r="J7087" t="inlineStr">
        <is>
          <t>PIZARRO</t>
        </is>
      </c>
      <c r="K7087" t="inlineStr">
        <is>
          <t>METAL</t>
        </is>
      </c>
      <c r="L7087">
        <f>_xlfn.XLOOKUP(Tableau1[[#This Row],[TYPE DE PIECE]],Tableau4[MATIERE],Tableau4[SHORT TYPE],"",0,1)</f>
        <v/>
      </c>
      <c r="N7087">
        <f>IF(ISERR(FIND("DECOUPE",Tableau1[[#This Row],[DESIGNATION]])),"","NEED REF")</f>
        <v/>
      </c>
    </row>
    <row r="7088">
      <c r="B7088" t="n">
        <v>34406917</v>
      </c>
      <c r="C7088" s="2" t="n">
        <v>43294</v>
      </c>
      <c r="D7088" t="inlineStr">
        <is>
          <t>SPEC</t>
        </is>
      </c>
      <c r="E7088" t="inlineStr">
        <is>
          <t>BARRE DE MAINTIEN DES CABLES CLIENT</t>
        </is>
      </c>
      <c r="F7088" t="inlineStr">
        <is>
          <t>GALAXY VM 200KVA QSKU MAKE 3 OUTPUT CB COMPACT MCCB</t>
        </is>
      </c>
      <c r="J7088" t="inlineStr">
        <is>
          <t>PIZARRO</t>
        </is>
      </c>
      <c r="K7088" t="inlineStr">
        <is>
          <t>METAL</t>
        </is>
      </c>
      <c r="L7088">
        <f>_xlfn.XLOOKUP(Tableau1[[#This Row],[TYPE DE PIECE]],Tableau4[MATIERE],Tableau4[SHORT TYPE],"",0,1)</f>
        <v/>
      </c>
      <c r="N7088">
        <f>IF(ISERR(FIND("DECOUPE",Tableau1[[#This Row],[DESIGNATION]])),"","NEED REF")</f>
        <v/>
      </c>
    </row>
    <row r="7089">
      <c r="B7089" t="n">
        <v>34406916</v>
      </c>
      <c r="C7089" s="2" t="n">
        <v>43293</v>
      </c>
      <c r="D7089" t="inlineStr">
        <is>
          <t>SPEC</t>
        </is>
      </c>
      <c r="E7089" t="inlineStr">
        <is>
          <t>PLAN D'ASSEMBLAGE PLATINE POUR COFFRET SYNCHRO</t>
        </is>
      </c>
      <c r="F7089" t="inlineStr">
        <is>
          <t>COFFRET SYNCHRO W17080557TGF</t>
        </is>
      </c>
      <c r="J7089" t="inlineStr">
        <is>
          <t>BOIX</t>
        </is>
      </c>
      <c r="L7089">
        <f>_xlfn.XLOOKUP(Tableau1[[#This Row],[TYPE DE PIECE]],Tableau4[MATIERE],Tableau4[SHORT TYPE],"",0,1)</f>
        <v/>
      </c>
      <c r="N7089">
        <f>IF(ISERR(FIND("DECOUPE",Tableau1[[#This Row],[DESIGNATION]])),"","NEED REF")</f>
        <v/>
      </c>
    </row>
    <row r="7090">
      <c r="B7090" t="n">
        <v>34406915</v>
      </c>
      <c r="C7090" s="2" t="n">
        <v>43293</v>
      </c>
      <c r="D7090" t="inlineStr">
        <is>
          <t>SPEC</t>
        </is>
      </c>
      <c r="E7090" t="inlineStr">
        <is>
          <t>PLAN DE PERCAGE RAIL DIN POUR COFFRET SYNCHRO</t>
        </is>
      </c>
      <c r="F7090" t="inlineStr">
        <is>
          <t>COFFRET SYNCHRO W17080557TGF</t>
        </is>
      </c>
      <c r="J7090" t="inlineStr">
        <is>
          <t>BOIX</t>
        </is>
      </c>
      <c r="K7090" t="inlineStr">
        <is>
          <t>METAL</t>
        </is>
      </c>
      <c r="L7090">
        <f>_xlfn.XLOOKUP(Tableau1[[#This Row],[TYPE DE PIECE]],Tableau4[MATIERE],Tableau4[SHORT TYPE],"",0,1)</f>
        <v/>
      </c>
      <c r="N7090">
        <f>IF(ISERR(FIND("DECOUPE",Tableau1[[#This Row],[DESIGNATION]])),"","NEED REF")</f>
        <v/>
      </c>
    </row>
    <row r="7091">
      <c r="B7091" t="n">
        <v>34406914</v>
      </c>
      <c r="C7091" s="2" t="n">
        <v>43293</v>
      </c>
      <c r="D7091" t="inlineStr">
        <is>
          <t>SPEC</t>
        </is>
      </c>
      <c r="E7091" t="inlineStr">
        <is>
          <t>DECOUPE GOULOTTE HORIZONTALE COFFRET SYNCHRO</t>
        </is>
      </c>
      <c r="F7091" t="inlineStr">
        <is>
          <t>COFFRET SYNCHRO</t>
        </is>
      </c>
      <c r="J7091" t="inlineStr">
        <is>
          <t>BOIX</t>
        </is>
      </c>
      <c r="K7091" t="inlineStr">
        <is>
          <t>PLASTIQUE</t>
        </is>
      </c>
      <c r="L7091" t="inlineStr">
        <is>
          <t>ETO</t>
        </is>
      </c>
      <c r="N7091">
        <f>IF(ISERR(FIND("DECOUPE",Tableau1[[#This Row],[DESIGNATION]])),"","NEED REF")</f>
        <v/>
      </c>
    </row>
    <row r="7092">
      <c r="B7092" t="n">
        <v>34406913</v>
      </c>
      <c r="C7092" s="2" t="n">
        <v>43293</v>
      </c>
      <c r="D7092" t="inlineStr">
        <is>
          <t>SPEC</t>
        </is>
      </c>
      <c r="E7092" t="inlineStr">
        <is>
          <t>DECOUPE GOULOTTE VERTICALE COFFRET SYNCHRO</t>
        </is>
      </c>
      <c r="F7092" t="inlineStr">
        <is>
          <t>COFFRET SYNCHRO</t>
        </is>
      </c>
      <c r="J7092" t="inlineStr">
        <is>
          <t>BOIX</t>
        </is>
      </c>
      <c r="K7092" t="inlineStr">
        <is>
          <t>PLASTIQUE</t>
        </is>
      </c>
      <c r="L7092" t="inlineStr">
        <is>
          <t>ETO</t>
        </is>
      </c>
      <c r="N7092">
        <f>IF(ISERR(FIND("DECOUPE",Tableau1[[#This Row],[DESIGNATION]])),"","NEED REF")</f>
        <v/>
      </c>
    </row>
    <row r="7093">
      <c r="B7093" t="n">
        <v>34406912</v>
      </c>
      <c r="C7093" s="2" t="n">
        <v>43293</v>
      </c>
      <c r="D7093" t="inlineStr">
        <is>
          <t>SPEC</t>
        </is>
      </c>
      <c r="E7093" t="inlineStr">
        <is>
          <t>PLATINE SUPPORT RAIL DIN BORNIERS</t>
        </is>
      </c>
      <c r="F7093" t="inlineStr">
        <is>
          <t>GALAXY VM 200KVA QSKU MAKE 3 OUTPUT CB COMPACT MCCB</t>
        </is>
      </c>
      <c r="J7093" t="inlineStr">
        <is>
          <t>PIZARRO</t>
        </is>
      </c>
      <c r="K7093" t="inlineStr">
        <is>
          <t>METAL</t>
        </is>
      </c>
      <c r="L7093">
        <f>_xlfn.XLOOKUP(Tableau1[[#This Row],[TYPE DE PIECE]],Tableau4[MATIERE],Tableau4[SHORT TYPE],"",0,1)</f>
        <v/>
      </c>
      <c r="N7093">
        <f>IF(ISERR(FIND("DECOUPE",Tableau1[[#This Row],[DESIGNATION]])),"","NEED REF")</f>
        <v/>
      </c>
    </row>
    <row r="7094">
      <c r="B7094" t="n">
        <v>34406911</v>
      </c>
      <c r="C7094" s="2" t="n">
        <v>43292</v>
      </c>
      <c r="D7094" t="inlineStr">
        <is>
          <t>SPEC</t>
        </is>
      </c>
      <c r="E7094" t="inlineStr">
        <is>
          <t>IP23 side cover</t>
        </is>
      </c>
      <c r="F7094" t="inlineStr">
        <is>
          <t>ROOF TOP IP23 GALAXY VM</t>
        </is>
      </c>
      <c r="J7094" t="inlineStr">
        <is>
          <t>MATRION</t>
        </is>
      </c>
      <c r="K7094" t="inlineStr">
        <is>
          <t>METAL</t>
        </is>
      </c>
      <c r="L7094">
        <f>_xlfn.XLOOKUP(Tableau1[[#This Row],[TYPE DE PIECE]],Tableau4[MATIERE],Tableau4[SHORT TYPE],"",0,1)</f>
        <v/>
      </c>
      <c r="N7094">
        <f>IF(ISERR(FIND("DECOUPE",Tableau1[[#This Row],[DESIGNATION]])),"","NEED REF")</f>
        <v/>
      </c>
    </row>
    <row r="7095">
      <c r="B7095" t="n">
        <v>34406910</v>
      </c>
      <c r="C7095" s="2" t="n">
        <v>43292</v>
      </c>
      <c r="D7095" t="inlineStr">
        <is>
          <t>SPEC</t>
        </is>
      </c>
      <c r="E7095" t="inlineStr">
        <is>
          <t>IP23 side cover</t>
        </is>
      </c>
      <c r="F7095" t="inlineStr">
        <is>
          <t>ROOF TOP IP23 GALAXY VM</t>
        </is>
      </c>
      <c r="J7095" t="inlineStr">
        <is>
          <t>MATRION</t>
        </is>
      </c>
      <c r="K7095" t="inlineStr">
        <is>
          <t>METAL</t>
        </is>
      </c>
      <c r="L7095">
        <f>_xlfn.XLOOKUP(Tableau1[[#This Row],[TYPE DE PIECE]],Tableau4[MATIERE],Tableau4[SHORT TYPE],"",0,1)</f>
        <v/>
      </c>
      <c r="N7095">
        <f>IF(ISERR(FIND("DECOUPE",Tableau1[[#This Row],[DESIGNATION]])),"","NEED REF")</f>
        <v/>
      </c>
    </row>
    <row r="7096">
      <c r="B7096" t="n">
        <v>34406909</v>
      </c>
      <c r="C7096" s="2" t="n">
        <v>43292</v>
      </c>
      <c r="D7096" t="inlineStr">
        <is>
          <t>SPEC</t>
        </is>
      </c>
      <c r="E7096" t="inlineStr">
        <is>
          <t>PLAN DE PERCAGE PLATINE COFFRET SYNCHRO</t>
        </is>
      </c>
      <c r="F7096" t="inlineStr">
        <is>
          <t>COFFRET SYNCHRO W17080557TGF</t>
        </is>
      </c>
      <c r="J7096" t="inlineStr">
        <is>
          <t>BOIX</t>
        </is>
      </c>
      <c r="K7096" t="inlineStr">
        <is>
          <t>METAL</t>
        </is>
      </c>
      <c r="L7096">
        <f>_xlfn.XLOOKUP(Tableau1[[#This Row],[TYPE DE PIECE]],Tableau4[MATIERE],Tableau4[SHORT TYPE],"",0,1)</f>
        <v/>
      </c>
      <c r="N7096">
        <f>IF(ISERR(FIND("DECOUPE",Tableau1[[#This Row],[DESIGNATION]])),"","NEED REF")</f>
        <v/>
      </c>
    </row>
    <row r="7097">
      <c r="B7097" t="n">
        <v>34406908</v>
      </c>
      <c r="C7097" s="2" t="n">
        <v>43292</v>
      </c>
      <c r="D7097" t="inlineStr">
        <is>
          <t>SPEC</t>
        </is>
      </c>
      <c r="E7097" t="inlineStr">
        <is>
          <t>ROOT IP23</t>
        </is>
      </c>
      <c r="F7097" t="inlineStr">
        <is>
          <t>ROOF TOP IP23 GALAXY VM</t>
        </is>
      </c>
      <c r="J7097" t="inlineStr">
        <is>
          <t>MATRION</t>
        </is>
      </c>
      <c r="K7097" t="inlineStr">
        <is>
          <t>METAL</t>
        </is>
      </c>
      <c r="L7097">
        <f>_xlfn.XLOOKUP(Tableau1[[#This Row],[TYPE DE PIECE]],Tableau4[MATIERE],Tableau4[SHORT TYPE],"",0,1)</f>
        <v/>
      </c>
      <c r="N7097">
        <f>IF(ISERR(FIND("DECOUPE",Tableau1[[#This Row],[DESIGNATION]])),"","NEED REF")</f>
        <v/>
      </c>
    </row>
    <row r="7098">
      <c r="B7098" t="n">
        <v>34406907</v>
      </c>
      <c r="C7098" s="2" t="n">
        <v>43292</v>
      </c>
      <c r="D7098" t="inlineStr">
        <is>
          <t>SPEC</t>
        </is>
      </c>
      <c r="E7098" t="inlineStr">
        <is>
          <t>front IP23 roof suspension</t>
        </is>
      </c>
      <c r="F7098" t="inlineStr">
        <is>
          <t>ROOF TOP IP23 GALAXY VM</t>
        </is>
      </c>
      <c r="J7098" t="inlineStr">
        <is>
          <t>MATRION</t>
        </is>
      </c>
      <c r="K7098" t="inlineStr">
        <is>
          <t>METAL</t>
        </is>
      </c>
      <c r="L7098">
        <f>_xlfn.XLOOKUP(Tableau1[[#This Row],[TYPE DE PIECE]],Tableau4[MATIERE],Tableau4[SHORT TYPE],"",0,1)</f>
        <v/>
      </c>
      <c r="N7098">
        <f>IF(ISERR(FIND("DECOUPE",Tableau1[[#This Row],[DESIGNATION]])),"","NEED REF")</f>
        <v/>
      </c>
    </row>
    <row r="7099">
      <c r="B7099" t="n">
        <v>34406906</v>
      </c>
      <c r="C7099" s="2" t="n">
        <v>43292</v>
      </c>
      <c r="D7099" t="inlineStr">
        <is>
          <t>SPEC</t>
        </is>
      </c>
      <c r="E7099" t="inlineStr">
        <is>
          <t>back IP23 roof suspension</t>
        </is>
      </c>
      <c r="F7099" t="inlineStr">
        <is>
          <t>ROOF TOP IP23 GALAXY VM</t>
        </is>
      </c>
      <c r="J7099" t="inlineStr">
        <is>
          <t>MATRION</t>
        </is>
      </c>
      <c r="K7099" t="inlineStr">
        <is>
          <t>METAL</t>
        </is>
      </c>
      <c r="L7099">
        <f>_xlfn.XLOOKUP(Tableau1[[#This Row],[TYPE DE PIECE]],Tableau4[MATIERE],Tableau4[SHORT TYPE],"",0,1)</f>
        <v/>
      </c>
      <c r="N7099">
        <f>IF(ISERR(FIND("DECOUPE",Tableau1[[#This Row],[DESIGNATION]])),"","NEED REF")</f>
        <v/>
      </c>
    </row>
    <row r="7100">
      <c r="B7100" t="n">
        <v>34406905</v>
      </c>
      <c r="C7100" s="2" t="n">
        <v>43291</v>
      </c>
      <c r="D7100" t="inlineStr">
        <is>
          <t>SPEC</t>
        </is>
      </c>
      <c r="E7100" t="inlineStr">
        <is>
          <t>PLAQUE PE PLEINE R2</t>
        </is>
      </c>
      <c r="F7100" t="inlineStr">
        <is>
          <t>I/O 1500KW</t>
        </is>
      </c>
      <c r="J7100" t="inlineStr">
        <is>
          <t>ROBERT</t>
        </is>
      </c>
      <c r="K7100" t="inlineStr">
        <is>
          <t>METAL</t>
        </is>
      </c>
      <c r="L7100">
        <f>_xlfn.XLOOKUP(Tableau1[[#This Row],[TYPE DE PIECE]],Tableau4[MATIERE],Tableau4[SHORT TYPE],"",0,1)</f>
        <v/>
      </c>
      <c r="N7100">
        <f>IF(ISERR(FIND("DECOUPE",Tableau1[[#This Row],[DESIGNATION]])),"","NEED REF")</f>
        <v/>
      </c>
    </row>
    <row r="7101">
      <c r="B7101" t="n">
        <v>34406904</v>
      </c>
      <c r="C7101" s="2" t="n">
        <v>43291</v>
      </c>
      <c r="D7101" t="inlineStr">
        <is>
          <t>SPEC</t>
        </is>
      </c>
      <c r="E7101" t="inlineStr">
        <is>
          <t>PLAQUE PE PLEINE DC</t>
        </is>
      </c>
      <c r="F7101" t="inlineStr">
        <is>
          <t>I/O 1500KW</t>
        </is>
      </c>
      <c r="J7101" t="inlineStr">
        <is>
          <t>ROBERT</t>
        </is>
      </c>
      <c r="K7101" t="inlineStr">
        <is>
          <t>METAL</t>
        </is>
      </c>
      <c r="L7101">
        <f>_xlfn.XLOOKUP(Tableau1[[#This Row],[TYPE DE PIECE]],Tableau4[MATIERE],Tableau4[SHORT TYPE],"",0,1)</f>
        <v/>
      </c>
      <c r="N7101">
        <f>IF(ISERR(FIND("DECOUPE",Tableau1[[#This Row],[DESIGNATION]])),"","NEED REF")</f>
        <v/>
      </c>
    </row>
    <row r="7102">
      <c r="B7102" t="n">
        <v>34406903</v>
      </c>
      <c r="C7102" s="2" t="n">
        <v>43291</v>
      </c>
      <c r="D7102" t="inlineStr">
        <is>
          <t>SPEC</t>
        </is>
      </c>
      <c r="E7102" t="inlineStr">
        <is>
          <t>NEUTRAL CX SINGLE MAINS</t>
        </is>
      </c>
      <c r="F7102" t="inlineStr">
        <is>
          <t>I/O 1500KW</t>
        </is>
      </c>
      <c r="J7102" t="inlineStr">
        <is>
          <t>ROBERT</t>
        </is>
      </c>
      <c r="K7102" t="inlineStr">
        <is>
          <t>CUIVRE</t>
        </is>
      </c>
      <c r="L7102">
        <f>_xlfn.XLOOKUP(Tableau1[[#This Row],[TYPE DE PIECE]],Tableau4[MATIERE],Tableau4[SHORT TYPE],"",0,1)</f>
        <v/>
      </c>
      <c r="N7102">
        <f>IF(ISERR(FIND("DECOUPE",Tableau1[[#This Row],[DESIGNATION]])),"","NEED REF")</f>
        <v/>
      </c>
    </row>
    <row r="7103">
      <c r="B7103" t="n">
        <v>34406902</v>
      </c>
      <c r="C7103" s="2" t="n">
        <v>43291</v>
      </c>
      <c r="D7103" t="inlineStr">
        <is>
          <t>SPEC</t>
        </is>
      </c>
      <c r="E7103" t="inlineStr">
        <is>
          <t>COP NEUTRE 2</t>
        </is>
      </c>
      <c r="F7103" t="inlineStr">
        <is>
          <t>IO GVX 1000kW BUSBAR</t>
        </is>
      </c>
      <c r="J7103" t="inlineStr">
        <is>
          <t>PIZARRO</t>
        </is>
      </c>
      <c r="K7103" t="inlineStr">
        <is>
          <t>CUIVRE</t>
        </is>
      </c>
      <c r="L7103">
        <f>_xlfn.XLOOKUP(Tableau1[[#This Row],[TYPE DE PIECE]],Tableau4[MATIERE],Tableau4[SHORT TYPE],"",0,1)</f>
        <v/>
      </c>
      <c r="N7103">
        <f>IF(ISERR(FIND("DECOUPE",Tableau1[[#This Row],[DESIGNATION]])),"","NEED REF")</f>
        <v/>
      </c>
    </row>
    <row r="7104">
      <c r="B7104" t="n">
        <v>34406901</v>
      </c>
      <c r="C7104" s="2" t="n">
        <v>43291</v>
      </c>
      <c r="D7104" t="inlineStr">
        <is>
          <t>NOM</t>
        </is>
      </c>
      <c r="E7104" t="inlineStr">
        <is>
          <t>KIT REHAUSSE</t>
        </is>
      </c>
      <c r="F7104" t="inlineStr">
        <is>
          <t>I/O 1500KW</t>
        </is>
      </c>
      <c r="J7104" t="inlineStr">
        <is>
          <t>ROBERT</t>
        </is>
      </c>
      <c r="L7104">
        <f>_xlfn.XLOOKUP(Tableau1[[#This Row],[TYPE DE PIECE]],Tableau4[MATIERE],Tableau4[SHORT TYPE],"",0,1)</f>
        <v/>
      </c>
      <c r="N7104">
        <f>IF(ISERR(FIND("DECOUPE",Tableau1[[#This Row],[DESIGNATION]])),"","NEED REF")</f>
        <v/>
      </c>
    </row>
    <row r="7105">
      <c r="B7105" t="n">
        <v>34406900</v>
      </c>
      <c r="C7105" s="2" t="n">
        <v>43290</v>
      </c>
      <c r="D7105" t="inlineStr">
        <is>
          <t>NOM</t>
        </is>
      </c>
      <c r="E7105" t="inlineStr">
        <is>
          <t>TGAB DC I/O 1500KW</t>
        </is>
      </c>
      <c r="F7105" t="inlineStr">
        <is>
          <t>I/O 1500KW</t>
        </is>
      </c>
      <c r="J7105" t="inlineStr">
        <is>
          <t>ROBERT</t>
        </is>
      </c>
      <c r="L7105">
        <f>_xlfn.XLOOKUP(Tableau1[[#This Row],[TYPE DE PIECE]],Tableau4[MATIERE],Tableau4[SHORT TYPE],"",0,1)</f>
        <v/>
      </c>
      <c r="N7105">
        <f>IF(ISERR(FIND("DECOUPE",Tableau1[[#This Row],[DESIGNATION]])),"","NEED REF")</f>
        <v/>
      </c>
    </row>
    <row r="7106">
      <c r="B7106" t="n">
        <v>34406899</v>
      </c>
      <c r="C7106" s="2" t="n">
        <v>43290</v>
      </c>
      <c r="D7106" t="inlineStr">
        <is>
          <t>NOM</t>
        </is>
      </c>
      <c r="E7106" t="inlineStr">
        <is>
          <t>TGAB LOAD I/O 1500KW</t>
        </is>
      </c>
      <c r="F7106" t="inlineStr">
        <is>
          <t>I/O 1500KW</t>
        </is>
      </c>
      <c r="J7106" t="inlineStr">
        <is>
          <t>ROBERT</t>
        </is>
      </c>
      <c r="L7106">
        <f>_xlfn.XLOOKUP(Tableau1[[#This Row],[TYPE DE PIECE]],Tableau4[MATIERE],Tableau4[SHORT TYPE],"",0,1)</f>
        <v/>
      </c>
      <c r="N7106">
        <f>IF(ISERR(FIND("DECOUPE",Tableau1[[#This Row],[DESIGNATION]])),"","NEED REF")</f>
        <v/>
      </c>
    </row>
    <row r="7107">
      <c r="B7107" t="n">
        <v>34406898</v>
      </c>
      <c r="C7107" s="2" t="n">
        <v>43290</v>
      </c>
      <c r="D7107" t="inlineStr">
        <is>
          <t>NOM</t>
        </is>
      </c>
      <c r="E7107" t="inlineStr">
        <is>
          <t>TGAB MAINS2 I/O 1500KW</t>
        </is>
      </c>
      <c r="F7107" t="inlineStr">
        <is>
          <t>I/O 1500KW</t>
        </is>
      </c>
      <c r="J7107" t="inlineStr">
        <is>
          <t>ROBERT</t>
        </is>
      </c>
      <c r="L7107">
        <f>_xlfn.XLOOKUP(Tableau1[[#This Row],[TYPE DE PIECE]],Tableau4[MATIERE],Tableau4[SHORT TYPE],"",0,1)</f>
        <v/>
      </c>
      <c r="N7107">
        <f>IF(ISERR(FIND("DECOUPE",Tableau1[[#This Row],[DESIGNATION]])),"","NEED REF")</f>
        <v/>
      </c>
    </row>
    <row r="7108">
      <c r="B7108" t="n">
        <v>34406897</v>
      </c>
      <c r="C7108" s="2" t="n">
        <v>43290</v>
      </c>
      <c r="D7108" t="inlineStr">
        <is>
          <t>NOM</t>
        </is>
      </c>
      <c r="E7108" t="inlineStr">
        <is>
          <t>TGAB MAINS1 I/O 1500KW</t>
        </is>
      </c>
      <c r="F7108" t="inlineStr">
        <is>
          <t>I/O 1500KW</t>
        </is>
      </c>
      <c r="J7108" t="inlineStr">
        <is>
          <t>ROBERT</t>
        </is>
      </c>
      <c r="L7108">
        <f>_xlfn.XLOOKUP(Tableau1[[#This Row],[TYPE DE PIECE]],Tableau4[MATIERE],Tableau4[SHORT TYPE],"",0,1)</f>
        <v/>
      </c>
      <c r="N7108">
        <f>IF(ISERR(FIND("DECOUPE",Tableau1[[#This Row],[DESIGNATION]])),"","NEED REF")</f>
        <v/>
      </c>
    </row>
    <row r="7109">
      <c r="B7109" t="n">
        <v>34406896</v>
      </c>
      <c r="C7109" s="2" t="n">
        <v>43290</v>
      </c>
      <c r="D7109" t="inlineStr">
        <is>
          <t>SPEC</t>
        </is>
      </c>
      <c r="E7109" t="inlineStr">
        <is>
          <t>Sous traitance decoupe plastron</t>
        </is>
      </c>
      <c r="F7109" t="inlineStr">
        <is>
          <t>STS 250A+DISTRIBUTION</t>
        </is>
      </c>
      <c r="J7109" t="inlineStr">
        <is>
          <t>ROBERT</t>
        </is>
      </c>
      <c r="L7109">
        <f>_xlfn.XLOOKUP(Tableau1[[#This Row],[TYPE DE PIECE]],Tableau4[MATIERE],Tableau4[SHORT TYPE],"",0,1)</f>
        <v/>
      </c>
      <c r="N7109">
        <f>IF(ISERR(FIND("DECOUPE",Tableau1[[#This Row],[DESIGNATION]])),"","NEED REF")</f>
        <v/>
      </c>
    </row>
    <row r="7110">
      <c r="B7110" t="n">
        <v>34406895</v>
      </c>
      <c r="C7110" s="2" t="n">
        <v>43290</v>
      </c>
      <c r="D7110" t="inlineStr">
        <is>
          <t>SPEC</t>
        </is>
      </c>
      <c r="E7110" t="inlineStr">
        <is>
          <t xml:space="preserve">COFFRET SAREL  1000X1000X300 </t>
        </is>
      </c>
      <c r="F7110" t="inlineStr">
        <is>
          <t>COFFRET GVM DISTRIBUTION</t>
        </is>
      </c>
      <c r="J7110" t="inlineStr">
        <is>
          <t>ROBERT</t>
        </is>
      </c>
      <c r="L7110">
        <f>_xlfn.XLOOKUP(Tableau1[[#This Row],[TYPE DE PIECE]],Tableau4[MATIERE],Tableau4[SHORT TYPE],"",0,1)</f>
        <v/>
      </c>
      <c r="N7110">
        <f>IF(ISERR(FIND("DECOUPE",Tableau1[[#This Row],[DESIGNATION]])),"","NEED REF")</f>
        <v/>
      </c>
    </row>
    <row r="7111">
      <c r="B7111" t="n">
        <v>34406894</v>
      </c>
      <c r="C7111" s="2" t="n">
        <v>43290</v>
      </c>
      <c r="D7111" t="inlineStr">
        <is>
          <t>SPEC</t>
        </is>
      </c>
      <c r="E7111" t="inlineStr">
        <is>
          <t>PLAQUE TOIT TGAB ALU</t>
        </is>
      </c>
      <c r="F7111" t="inlineStr">
        <is>
          <t>IO GVX 1000kW BUSBAR</t>
        </is>
      </c>
      <c r="J7111" t="inlineStr">
        <is>
          <t>PIZARRO</t>
        </is>
      </c>
      <c r="K7111" t="inlineStr">
        <is>
          <t>METAL</t>
        </is>
      </c>
      <c r="L7111">
        <f>_xlfn.XLOOKUP(Tableau1[[#This Row],[TYPE DE PIECE]],Tableau4[MATIERE],Tableau4[SHORT TYPE],"",0,1)</f>
        <v/>
      </c>
      <c r="N7111">
        <f>IF(ISERR(FIND("DECOUPE",Tableau1[[#This Row],[DESIGNATION]])),"","NEED REF")</f>
        <v/>
      </c>
    </row>
    <row r="7112">
      <c r="B7112" t="n">
        <v>34406893</v>
      </c>
      <c r="C7112" s="2" t="n">
        <v>43290</v>
      </c>
      <c r="D7112" t="inlineStr">
        <is>
          <t>SPEC</t>
        </is>
      </c>
      <c r="E7112" t="inlineStr">
        <is>
          <t>PLAQUE TOIT TGAB</t>
        </is>
      </c>
      <c r="F7112" t="inlineStr">
        <is>
          <t>IO GVX 1000kW BUSBAR</t>
        </is>
      </c>
      <c r="J7112" t="inlineStr">
        <is>
          <t>PIZARRO</t>
        </is>
      </c>
      <c r="K7112" t="inlineStr">
        <is>
          <t>METAL</t>
        </is>
      </c>
      <c r="L7112">
        <f>_xlfn.XLOOKUP(Tableau1[[#This Row],[TYPE DE PIECE]],Tableau4[MATIERE],Tableau4[SHORT TYPE],"",0,1)</f>
        <v/>
      </c>
      <c r="N7112">
        <f>IF(ISERR(FIND("DECOUPE",Tableau1[[#This Row],[DESIGNATION]])),"","NEED REF")</f>
        <v/>
      </c>
    </row>
    <row r="7113">
      <c r="B7113" t="n">
        <v>34406892</v>
      </c>
      <c r="C7113" s="2" t="n">
        <v>43290</v>
      </c>
      <c r="D7113" t="inlineStr">
        <is>
          <t>SPEC</t>
        </is>
      </c>
      <c r="E7113" t="inlineStr">
        <is>
          <t>TOIT TGAB 4</t>
        </is>
      </c>
      <c r="F7113" t="inlineStr">
        <is>
          <t>IO GVX 1000kW BUSBAR</t>
        </is>
      </c>
      <c r="J7113" t="inlineStr">
        <is>
          <t>PIZARRO</t>
        </is>
      </c>
      <c r="K7113" t="inlineStr">
        <is>
          <t>METAL</t>
        </is>
      </c>
      <c r="L7113">
        <f>_xlfn.XLOOKUP(Tableau1[[#This Row],[TYPE DE PIECE]],Tableau4[MATIERE],Tableau4[SHORT TYPE],"",0,1)</f>
        <v/>
      </c>
      <c r="N7113">
        <f>IF(ISERR(FIND("DECOUPE",Tableau1[[#This Row],[DESIGNATION]])),"","NEED REF")</f>
        <v/>
      </c>
    </row>
    <row r="7114">
      <c r="B7114" t="n">
        <v>34406891</v>
      </c>
      <c r="C7114" s="2" t="n">
        <v>43290</v>
      </c>
      <c r="D7114" t="inlineStr">
        <is>
          <t>SPEC</t>
        </is>
      </c>
      <c r="E7114" t="inlineStr">
        <is>
          <t>TOIT TGAB 3</t>
        </is>
      </c>
      <c r="F7114" t="inlineStr">
        <is>
          <t>IO GVX 1000kW BUSBAR</t>
        </is>
      </c>
      <c r="J7114" t="inlineStr">
        <is>
          <t>PIZARRO</t>
        </is>
      </c>
      <c r="K7114" t="inlineStr">
        <is>
          <t>METAL</t>
        </is>
      </c>
      <c r="L7114">
        <f>_xlfn.XLOOKUP(Tableau1[[#This Row],[TYPE DE PIECE]],Tableau4[MATIERE],Tableau4[SHORT TYPE],"",0,1)</f>
        <v/>
      </c>
      <c r="N7114">
        <f>IF(ISERR(FIND("DECOUPE",Tableau1[[#This Row],[DESIGNATION]])),"","NEED REF")</f>
        <v/>
      </c>
    </row>
    <row r="7115">
      <c r="B7115" t="n">
        <v>34406890</v>
      </c>
      <c r="C7115" s="2" t="n">
        <v>43287</v>
      </c>
      <c r="D7115" t="inlineStr">
        <is>
          <t>SPEC</t>
        </is>
      </c>
      <c r="E7115" t="inlineStr">
        <is>
          <t>DECOUPE LINERGY</t>
        </is>
      </c>
      <c r="F7115" t="inlineStr">
        <is>
          <t>Armoire GVM distribution</t>
        </is>
      </c>
      <c r="J7115" t="inlineStr">
        <is>
          <t>ROBERT</t>
        </is>
      </c>
      <c r="L7115">
        <f>_xlfn.XLOOKUP(Tableau1[[#This Row],[TYPE DE PIECE]],Tableau4[MATIERE],Tableau4[SHORT TYPE],"",0,1)</f>
        <v/>
      </c>
      <c r="N7115">
        <f>IF(ISERR(FIND("DECOUPE",Tableau1[[#This Row],[DESIGNATION]])),"","NEED REF")</f>
        <v/>
      </c>
    </row>
    <row r="7116">
      <c r="B7116" t="n">
        <v>34406889</v>
      </c>
      <c r="C7116" s="2" t="n">
        <v>43287</v>
      </c>
      <c r="E7116" t="inlineStr">
        <is>
          <t>Sous traitance lasertechnic bypass 50kw</t>
        </is>
      </c>
      <c r="F7116" t="inlineStr">
        <is>
          <t>bypass 500lw</t>
        </is>
      </c>
      <c r="J7116" t="inlineStr">
        <is>
          <t>ROBERT</t>
        </is>
      </c>
      <c r="L7116">
        <f>_xlfn.XLOOKUP(Tableau1[[#This Row],[TYPE DE PIECE]],Tableau4[MATIERE],Tableau4[SHORT TYPE],"",0,1)</f>
        <v/>
      </c>
      <c r="N7116">
        <f>IF(ISERR(FIND("DECOUPE",Tableau1[[#This Row],[DESIGNATION]])),"","NEED REF")</f>
        <v/>
      </c>
    </row>
    <row r="7117">
      <c r="B7117" t="n">
        <v>34406888</v>
      </c>
      <c r="C7117" s="2" t="n">
        <v>43287</v>
      </c>
      <c r="D7117" t="inlineStr">
        <is>
          <t>SPEC</t>
        </is>
      </c>
      <c r="E7117" t="inlineStr">
        <is>
          <t xml:space="preserve">CX MAINS </t>
        </is>
      </c>
      <c r="F7117" t="inlineStr">
        <is>
          <t>Armoire GVM distribution</t>
        </is>
      </c>
      <c r="J7117" t="inlineStr">
        <is>
          <t>ROBERT</t>
        </is>
      </c>
      <c r="K7117" t="inlineStr">
        <is>
          <t>CUIVRE</t>
        </is>
      </c>
      <c r="L7117">
        <f>_xlfn.XLOOKUP(Tableau1[[#This Row],[TYPE DE PIECE]],Tableau4[MATIERE],Tableau4[SHORT TYPE],"",0,1)</f>
        <v/>
      </c>
      <c r="N7117">
        <f>IF(ISERR(FIND("DECOUPE",Tableau1[[#This Row],[DESIGNATION]])),"","NEED REF")</f>
        <v/>
      </c>
    </row>
    <row r="7118">
      <c r="B7118" t="n">
        <v>34406887</v>
      </c>
      <c r="C7118" s="2" t="n">
        <v>43287</v>
      </c>
      <c r="D7118" t="inlineStr">
        <is>
          <t>SPEC</t>
        </is>
      </c>
      <c r="E7118" t="inlineStr">
        <is>
          <t>TRAVERSE HAUT</t>
        </is>
      </c>
      <c r="F7118" t="inlineStr">
        <is>
          <t>GVX 4xBBK SAREL 2000x700x500</t>
        </is>
      </c>
      <c r="J7118" t="inlineStr">
        <is>
          <t>PIZARRO</t>
        </is>
      </c>
      <c r="K7118" t="inlineStr">
        <is>
          <t>METAL</t>
        </is>
      </c>
      <c r="L7118">
        <f>_xlfn.XLOOKUP(Tableau1[[#This Row],[TYPE DE PIECE]],Tableau4[MATIERE],Tableau4[SHORT TYPE],"",0,1)</f>
        <v/>
      </c>
      <c r="N7118">
        <f>IF(ISERR(FIND("DECOUPE",Tableau1[[#This Row],[DESIGNATION]])),"","NEED REF")</f>
        <v/>
      </c>
    </row>
    <row r="7119">
      <c r="B7119" t="n">
        <v>34406886</v>
      </c>
      <c r="C7119" s="2" t="n">
        <v>43287</v>
      </c>
      <c r="D7119" t="inlineStr">
        <is>
          <t>SPEC</t>
        </is>
      </c>
      <c r="E7119" t="inlineStr">
        <is>
          <t>MONTANT LATERAL DROIT</t>
        </is>
      </c>
      <c r="F7119" t="inlineStr">
        <is>
          <t>GVX 4xBBK SAREL 2000x700x500</t>
        </is>
      </c>
      <c r="J7119" t="inlineStr">
        <is>
          <t>PIZARRO</t>
        </is>
      </c>
      <c r="K7119" t="inlineStr">
        <is>
          <t>METAL</t>
        </is>
      </c>
      <c r="L7119">
        <f>_xlfn.XLOOKUP(Tableau1[[#This Row],[TYPE DE PIECE]],Tableau4[MATIERE],Tableau4[SHORT TYPE],"",0,1)</f>
        <v/>
      </c>
      <c r="N7119">
        <f>IF(ISERR(FIND("DECOUPE",Tableau1[[#This Row],[DESIGNATION]])),"","NEED REF")</f>
        <v/>
      </c>
    </row>
    <row r="7120">
      <c r="B7120" t="n">
        <v>34406885</v>
      </c>
      <c r="C7120" s="2" t="n">
        <v>43287</v>
      </c>
      <c r="D7120" t="inlineStr">
        <is>
          <t>SPEC</t>
        </is>
      </c>
      <c r="E7120" t="inlineStr">
        <is>
          <t>MONTANT LATERAL GAUCHE</t>
        </is>
      </c>
      <c r="F7120" t="inlineStr">
        <is>
          <t>GVX 4xBBK SAREL 2000x700x500</t>
        </is>
      </c>
      <c r="J7120" t="inlineStr">
        <is>
          <t>PIZARRO</t>
        </is>
      </c>
      <c r="K7120" t="inlineStr">
        <is>
          <t>METAL</t>
        </is>
      </c>
      <c r="L7120">
        <f>_xlfn.XLOOKUP(Tableau1[[#This Row],[TYPE DE PIECE]],Tableau4[MATIERE],Tableau4[SHORT TYPE],"",0,1)</f>
        <v/>
      </c>
      <c r="N7120">
        <f>IF(ISERR(FIND("DECOUPE",Tableau1[[#This Row],[DESIGNATION]])),"","NEED REF")</f>
        <v/>
      </c>
    </row>
    <row r="7121">
      <c r="B7121" t="n">
        <v>34406884</v>
      </c>
      <c r="C7121" s="2" t="n">
        <v>43287</v>
      </c>
      <c r="D7121" t="inlineStr">
        <is>
          <t>SPEC</t>
        </is>
      </c>
      <c r="E7121" t="inlineStr">
        <is>
          <t>JOUE LATERALE GAUCHE PLASTRON</t>
        </is>
      </c>
      <c r="F7121" t="inlineStr">
        <is>
          <t>GVX 4xBBK SAREL 2000x700x500</t>
        </is>
      </c>
      <c r="J7121" t="inlineStr">
        <is>
          <t>PIZARRO</t>
        </is>
      </c>
      <c r="K7121" t="inlineStr">
        <is>
          <t>METAL</t>
        </is>
      </c>
      <c r="L7121">
        <f>_xlfn.XLOOKUP(Tableau1[[#This Row],[TYPE DE PIECE]],Tableau4[MATIERE],Tableau4[SHORT TYPE],"",0,1)</f>
        <v/>
      </c>
      <c r="N7121">
        <f>IF(ISERR(FIND("DECOUPE",Tableau1[[#This Row],[DESIGNATION]])),"","NEED REF")</f>
        <v/>
      </c>
    </row>
    <row r="7122">
      <c r="B7122" t="n">
        <v>34406883</v>
      </c>
      <c r="C7122" s="2" t="n">
        <v>43286</v>
      </c>
      <c r="D7122" t="inlineStr">
        <is>
          <t>SPEC</t>
        </is>
      </c>
      <c r="E7122" t="inlineStr">
        <is>
          <t>ARMOIRE NSYS20750 CUSTOM DEVIS</t>
        </is>
      </c>
      <c r="F7122" t="inlineStr">
        <is>
          <t>GVX 4xBBK SAREL 2000x700x500</t>
        </is>
      </c>
      <c r="J7122" t="inlineStr">
        <is>
          <t>PIZARRO</t>
        </is>
      </c>
      <c r="K7122" t="inlineStr">
        <is>
          <t>SAREL</t>
        </is>
      </c>
      <c r="L7122">
        <f>_xlfn.XLOOKUP(Tableau1[[#This Row],[TYPE DE PIECE]],Tableau4[MATIERE],Tableau4[SHORT TYPE],"",0,1)</f>
        <v/>
      </c>
      <c r="N7122">
        <f>IF(ISERR(FIND("DECOUPE",Tableau1[[#This Row],[DESIGNATION]])),"","NEED REF")</f>
        <v/>
      </c>
    </row>
    <row r="7123">
      <c r="B7123" t="n">
        <v>34406882</v>
      </c>
      <c r="C7123" s="2" t="inlineStr">
        <is>
          <t>04/0718</t>
        </is>
      </c>
      <c r="D7123" t="inlineStr">
        <is>
          <t>SPEC</t>
        </is>
      </c>
      <c r="E7123" t="inlineStr">
        <is>
          <t>COFFRET NSYS3D101030D CUSTOM DEVIS</t>
        </is>
      </c>
      <c r="F7123" t="inlineStr">
        <is>
          <t>GALAXY VM 200KVA QSKU MAKE 3 OUTPUT CB COMPACT MCCB</t>
        </is>
      </c>
      <c r="J7123" t="inlineStr">
        <is>
          <t>PIZARRO</t>
        </is>
      </c>
      <c r="K7123" t="inlineStr">
        <is>
          <t>SAREL</t>
        </is>
      </c>
      <c r="L7123">
        <f>_xlfn.XLOOKUP(Tableau1[[#This Row],[TYPE DE PIECE]],Tableau4[MATIERE],Tableau4[SHORT TYPE],"",0,1)</f>
        <v/>
      </c>
      <c r="N7123">
        <f>IF(ISERR(FIND("DECOUPE",Tableau1[[#This Row],[DESIGNATION]])),"","NEED REF")</f>
        <v/>
      </c>
    </row>
    <row r="7124">
      <c r="B7124" t="n">
        <v>34406881</v>
      </c>
      <c r="C7124" s="2" t="inlineStr">
        <is>
          <t>04/0718</t>
        </is>
      </c>
      <c r="D7124" t="inlineStr">
        <is>
          <t>SPEC</t>
        </is>
      </c>
      <c r="E7124" t="inlineStr">
        <is>
          <t>DECOUPE GOULOTTE VERTICALE COFFRET</t>
        </is>
      </c>
      <c r="F7124" t="inlineStr">
        <is>
          <t>GALAXY VM 200KVA QSKU MAKE 3 OUTPUT CB COMPACT MCCB</t>
        </is>
      </c>
      <c r="J7124" t="inlineStr">
        <is>
          <t>PIZARRO</t>
        </is>
      </c>
      <c r="L7124">
        <f>_xlfn.XLOOKUP(Tableau1[[#This Row],[TYPE DE PIECE]],Tableau4[MATIERE],Tableau4[SHORT TYPE],"",0,1)</f>
        <v/>
      </c>
      <c r="N7124">
        <f>IF(ISERR(FIND("DECOUPE",Tableau1[[#This Row],[DESIGNATION]])),"","NEED REF")</f>
        <v/>
      </c>
    </row>
    <row r="7125">
      <c r="B7125" t="n">
        <v>34406880</v>
      </c>
      <c r="C7125" s="2" t="inlineStr">
        <is>
          <t>04/0718</t>
        </is>
      </c>
      <c r="D7125" t="inlineStr">
        <is>
          <t>SPEC</t>
        </is>
      </c>
      <c r="E7125" t="inlineStr">
        <is>
          <t>SCHNEIDER ELECTRIC DIN RAIL NSYSDR200B</t>
        </is>
      </c>
      <c r="F7125" t="inlineStr">
        <is>
          <t>GALAXY VM 200KVA QSKU MAKE 3 OUTPUT CB COMPACT MCCB</t>
        </is>
      </c>
      <c r="J7125" t="inlineStr">
        <is>
          <t>PIZARRO</t>
        </is>
      </c>
      <c r="L7125">
        <f>_xlfn.XLOOKUP(Tableau1[[#This Row],[TYPE DE PIECE]],Tableau4[MATIERE],Tableau4[SHORT TYPE],"",0,1)</f>
        <v/>
      </c>
      <c r="N7125">
        <f>IF(ISERR(FIND("DECOUPE",Tableau1[[#This Row],[DESIGNATION]])),"","NEED REF")</f>
        <v/>
      </c>
    </row>
    <row r="7126">
      <c r="B7126" t="n">
        <v>34406879</v>
      </c>
      <c r="C7126" s="2" t="inlineStr">
        <is>
          <t>04/0718</t>
        </is>
      </c>
      <c r="D7126" t="inlineStr">
        <is>
          <t>SPEC</t>
        </is>
      </c>
      <c r="E7126" t="inlineStr">
        <is>
          <t>SUPPORT DJ</t>
        </is>
      </c>
      <c r="F7126" t="inlineStr">
        <is>
          <t>GALAXY VM 200KVA QSKU MAKE 3 OUTPUT CB COMPACT MCCB</t>
        </is>
      </c>
      <c r="J7126" t="inlineStr">
        <is>
          <t>MATRION</t>
        </is>
      </c>
      <c r="K7126" t="inlineStr">
        <is>
          <t>METAL</t>
        </is>
      </c>
      <c r="L7126">
        <f>_xlfn.XLOOKUP(Tableau1[[#This Row],[TYPE DE PIECE]],Tableau4[MATIERE],Tableau4[SHORT TYPE],"",0,1)</f>
        <v/>
      </c>
      <c r="N7126">
        <f>IF(ISERR(FIND("DECOUPE",Tableau1[[#This Row],[DESIGNATION]])),"","NEED REF")</f>
        <v/>
      </c>
    </row>
    <row r="7127">
      <c r="B7127" t="n">
        <v>34406878</v>
      </c>
      <c r="C7127" s="2" t="inlineStr">
        <is>
          <t>04/0718</t>
        </is>
      </c>
      <c r="D7127" t="inlineStr">
        <is>
          <t>SPEC</t>
        </is>
      </c>
      <c r="E7127" t="inlineStr">
        <is>
          <t>CELLULE SAREL 2000x1000x800</t>
        </is>
      </c>
      <c r="F7127" t="inlineStr">
        <is>
          <t>Armoire GVM distribution</t>
        </is>
      </c>
      <c r="J7127" t="inlineStr">
        <is>
          <t>ROBERT</t>
        </is>
      </c>
      <c r="L7127">
        <f>_xlfn.XLOOKUP(Tableau1[[#This Row],[TYPE DE PIECE]],Tableau4[MATIERE],Tableau4[SHORT TYPE],"",0,1)</f>
        <v/>
      </c>
      <c r="N7127">
        <f>IF(ISERR(FIND("DECOUPE",Tableau1[[#This Row],[DESIGNATION]])),"","NEED REF")</f>
        <v/>
      </c>
    </row>
    <row r="7128">
      <c r="B7128" t="n">
        <v>34406877</v>
      </c>
      <c r="C7128" s="2" t="n">
        <v>43285</v>
      </c>
      <c r="D7128" t="inlineStr">
        <is>
          <t>SPEC</t>
        </is>
      </c>
      <c r="E7128" t="inlineStr">
        <is>
          <t>PLAQUE PE SORTIE</t>
        </is>
      </c>
      <c r="F7128" t="inlineStr">
        <is>
          <t>Armoire GVM distribution</t>
        </is>
      </c>
      <c r="J7128" t="inlineStr">
        <is>
          <t>ROBERT</t>
        </is>
      </c>
      <c r="K7128" t="inlineStr">
        <is>
          <t>METAL</t>
        </is>
      </c>
      <c r="L7128">
        <f>_xlfn.XLOOKUP(Tableau1[[#This Row],[TYPE DE PIECE]],Tableau4[MATIERE],Tableau4[SHORT TYPE],"",0,1)</f>
        <v/>
      </c>
      <c r="N7128">
        <f>IF(ISERR(FIND("DECOUPE",Tableau1[[#This Row],[DESIGNATION]])),"","NEED REF")</f>
        <v/>
      </c>
    </row>
    <row r="7129">
      <c r="B7129" t="n">
        <v>34406876</v>
      </c>
      <c r="C7129" s="2" t="n">
        <v>43285</v>
      </c>
      <c r="D7129" t="inlineStr">
        <is>
          <t>SPEC</t>
        </is>
      </c>
      <c r="E7129" t="inlineStr">
        <is>
          <t>PLAQUE PE ENTREE</t>
        </is>
      </c>
      <c r="F7129" t="inlineStr">
        <is>
          <t>Armoire GVM distribution</t>
        </is>
      </c>
      <c r="J7129" t="inlineStr">
        <is>
          <t>ROBERT</t>
        </is>
      </c>
      <c r="K7129" t="inlineStr">
        <is>
          <t>METAL</t>
        </is>
      </c>
      <c r="L7129">
        <f>_xlfn.XLOOKUP(Tableau1[[#This Row],[TYPE DE PIECE]],Tableau4[MATIERE],Tableau4[SHORT TYPE],"",0,1)</f>
        <v/>
      </c>
      <c r="N7129">
        <f>IF(ISERR(FIND("DECOUPE",Tableau1[[#This Row],[DESIGNATION]])),"","NEED REF")</f>
        <v/>
      </c>
    </row>
    <row r="7130">
      <c r="B7130" t="n">
        <v>34406875</v>
      </c>
      <c r="C7130" s="2" t="n">
        <v>43285</v>
      </c>
      <c r="D7130" t="inlineStr">
        <is>
          <t>SPEC</t>
        </is>
      </c>
      <c r="E7130" t="inlineStr">
        <is>
          <t>DECOUPE TOIT CELLULE SAREL</t>
        </is>
      </c>
      <c r="F7130" t="inlineStr">
        <is>
          <t>Armoire GVM distribution</t>
        </is>
      </c>
      <c r="J7130" t="inlineStr">
        <is>
          <t>ROBERT</t>
        </is>
      </c>
      <c r="L7130">
        <f>_xlfn.XLOOKUP(Tableau1[[#This Row],[TYPE DE PIECE]],Tableau4[MATIERE],Tableau4[SHORT TYPE],"",0,1)</f>
        <v/>
      </c>
      <c r="N7130">
        <f>IF(ISERR(FIND("DECOUPE",Tableau1[[#This Row],[DESIGNATION]])),"","NEED REF")</f>
        <v/>
      </c>
    </row>
    <row r="7131">
      <c r="B7131" t="n">
        <v>34406874</v>
      </c>
      <c r="C7131" s="2" t="n">
        <v>43285</v>
      </c>
      <c r="D7131" t="inlineStr">
        <is>
          <t>SPEC</t>
        </is>
      </c>
      <c r="E7131" t="inlineStr">
        <is>
          <t>PASSE CABLE ALU</t>
        </is>
      </c>
      <c r="J7131" t="inlineStr">
        <is>
          <t>MATRION</t>
        </is>
      </c>
      <c r="K7131" t="inlineStr">
        <is>
          <t>METAL</t>
        </is>
      </c>
      <c r="L7131">
        <f>_xlfn.XLOOKUP(Tableau1[[#This Row],[TYPE DE PIECE]],Tableau4[MATIERE],Tableau4[SHORT TYPE],"",0,1)</f>
        <v/>
      </c>
      <c r="N7131">
        <f>IF(ISERR(FIND("DECOUPE",Tableau1[[#This Row],[DESIGNATION]])),"","NEED REF")</f>
        <v/>
      </c>
    </row>
    <row r="7132">
      <c r="B7132" t="n">
        <v>34406873</v>
      </c>
      <c r="C7132" s="2" t="n">
        <v>43284</v>
      </c>
      <c r="D7132" t="inlineStr">
        <is>
          <t>SPEC</t>
        </is>
      </c>
      <c r="E7132" t="inlineStr">
        <is>
          <t>SUPPORT JDB</t>
        </is>
      </c>
      <c r="F7132" t="inlineStr">
        <is>
          <t>GALAXY VM 200KVA QSKU MAKE 3 OUTPUT CB COMPACT MCCB</t>
        </is>
      </c>
      <c r="J7132" t="inlineStr">
        <is>
          <t>MATRION</t>
        </is>
      </c>
      <c r="K7132" t="inlineStr">
        <is>
          <t>METAL</t>
        </is>
      </c>
      <c r="L7132">
        <f>_xlfn.XLOOKUP(Tableau1[[#This Row],[TYPE DE PIECE]],Tableau4[MATIERE],Tableau4[SHORT TYPE],"",0,1)</f>
        <v/>
      </c>
      <c r="N7132">
        <f>IF(ISERR(FIND("DECOUPE",Tableau1[[#This Row],[DESIGNATION]])),"","NEED REF")</f>
        <v/>
      </c>
    </row>
    <row r="7133">
      <c r="B7133" t="n">
        <v>34406872</v>
      </c>
      <c r="C7133" s="2" t="n">
        <v>43284</v>
      </c>
      <c r="D7133" t="inlineStr">
        <is>
          <t>SPEC</t>
        </is>
      </c>
      <c r="E7133" t="inlineStr">
        <is>
          <t>TOIT</t>
        </is>
      </c>
      <c r="F7133" t="inlineStr">
        <is>
          <t>GVX 4xBBK SAREL 2000x700x500</t>
        </is>
      </c>
      <c r="J7133" t="inlineStr">
        <is>
          <t>PIZARRO</t>
        </is>
      </c>
      <c r="K7133" t="inlineStr">
        <is>
          <t>METAL</t>
        </is>
      </c>
      <c r="L7133">
        <f>_xlfn.XLOOKUP(Tableau1[[#This Row],[TYPE DE PIECE]],Tableau4[MATIERE],Tableau4[SHORT TYPE],"",0,1)</f>
        <v/>
      </c>
      <c r="N7133">
        <f>IF(ISERR(FIND("DECOUPE",Tableau1[[#This Row],[DESIGNATION]])),"","NEED REF")</f>
        <v/>
      </c>
    </row>
    <row r="7134">
      <c r="B7134" t="n">
        <v>34406871</v>
      </c>
      <c r="C7134" s="2" t="n">
        <v>43284</v>
      </c>
      <c r="D7134" t="inlineStr">
        <is>
          <t>SPEC</t>
        </is>
      </c>
      <c r="E7134" t="inlineStr">
        <is>
          <t>KIT CABLES 70mm2</t>
        </is>
      </c>
      <c r="F7134" t="inlineStr">
        <is>
          <t>GALAXY VM 200KVA QSKU MAKE 3 OUTPUT CB COMPACT MCCB</t>
        </is>
      </c>
      <c r="J7134" t="inlineStr">
        <is>
          <t>MATRION</t>
        </is>
      </c>
      <c r="K7134" t="inlineStr">
        <is>
          <t>FILERIE</t>
        </is>
      </c>
      <c r="L7134">
        <f>_xlfn.XLOOKUP(Tableau1[[#This Row],[TYPE DE PIECE]],Tableau4[MATIERE],Tableau4[SHORT TYPE],"",0,1)</f>
        <v/>
      </c>
      <c r="N7134">
        <f>IF(ISERR(FIND("DECOUPE",Tableau1[[#This Row],[DESIGNATION]])),"","NEED REF")</f>
        <v/>
      </c>
    </row>
    <row r="7135">
      <c r="B7135" t="n">
        <v>34406870</v>
      </c>
      <c r="C7135" s="2" t="n">
        <v>43284</v>
      </c>
      <c r="D7135" t="inlineStr">
        <is>
          <t>SPEC</t>
        </is>
      </c>
      <c r="E7135" t="inlineStr">
        <is>
          <t>CX 04174 DECOUPE</t>
        </is>
      </c>
      <c r="F7135" t="inlineStr">
        <is>
          <t>GALAXY VM 200KVA QSKU MAKE 3 OUTPUT CB COMPACT MCCB</t>
        </is>
      </c>
      <c r="J7135" t="inlineStr">
        <is>
          <t>MATRION</t>
        </is>
      </c>
      <c r="K7135" t="inlineStr">
        <is>
          <t>ETO</t>
        </is>
      </c>
      <c r="L7135">
        <f>_xlfn.XLOOKUP(Tableau1[[#This Row],[TYPE DE PIECE]],Tableau4[MATIERE],Tableau4[SHORT TYPE],"",0,1)</f>
        <v/>
      </c>
      <c r="N7135">
        <f>IF(ISERR(FIND("DECOUPE",Tableau1[[#This Row],[DESIGNATION]])),"","NEED REF")</f>
        <v/>
      </c>
    </row>
    <row r="7136">
      <c r="B7136" t="n">
        <v>34406869</v>
      </c>
      <c r="C7136" s="2" t="n">
        <v>43283</v>
      </c>
      <c r="D7136" t="inlineStr">
        <is>
          <t>SPEC</t>
        </is>
      </c>
      <c r="E7136" t="inlineStr">
        <is>
          <t>PLASTRON BAS</t>
        </is>
      </c>
      <c r="F7136" t="inlineStr">
        <is>
          <t>GVX 4xBBK SAREL 2000x700x500</t>
        </is>
      </c>
      <c r="J7136" t="inlineStr">
        <is>
          <t>PIZARRO</t>
        </is>
      </c>
      <c r="K7136" t="inlineStr">
        <is>
          <t>METAL</t>
        </is>
      </c>
      <c r="L7136">
        <f>_xlfn.XLOOKUP(Tableau1[[#This Row],[TYPE DE PIECE]],Tableau4[MATIERE],Tableau4[SHORT TYPE],"",0,1)</f>
        <v/>
      </c>
      <c r="N7136">
        <f>IF(ISERR(FIND("DECOUPE",Tableau1[[#This Row],[DESIGNATION]])),"","NEED REF")</f>
        <v/>
      </c>
    </row>
    <row r="7137">
      <c r="B7137" t="n">
        <v>34406868</v>
      </c>
      <c r="C7137" s="2" t="n">
        <v>43283</v>
      </c>
      <c r="D7137" t="inlineStr">
        <is>
          <t>SPEC</t>
        </is>
      </c>
      <c r="E7137" t="inlineStr">
        <is>
          <t>PLASTRON HAUT</t>
        </is>
      </c>
      <c r="F7137" t="inlineStr">
        <is>
          <t>GVX 4xBBK SAREL 2000x700x500</t>
        </is>
      </c>
      <c r="J7137" t="inlineStr">
        <is>
          <t>PIZARRO</t>
        </is>
      </c>
      <c r="K7137" t="inlineStr">
        <is>
          <t>METAL</t>
        </is>
      </c>
      <c r="L7137">
        <f>_xlfn.XLOOKUP(Tableau1[[#This Row],[TYPE DE PIECE]],Tableau4[MATIERE],Tableau4[SHORT TYPE],"",0,1)</f>
        <v/>
      </c>
      <c r="N7137">
        <f>IF(ISERR(FIND("DECOUPE",Tableau1[[#This Row],[DESIGNATION]])),"","NEED REF")</f>
        <v/>
      </c>
    </row>
    <row r="7138">
      <c r="B7138" t="n">
        <v>34406867</v>
      </c>
      <c r="C7138" s="2" t="n">
        <v>43283</v>
      </c>
      <c r="D7138" t="inlineStr">
        <is>
          <t>SPEC</t>
        </is>
      </c>
      <c r="E7138" t="inlineStr">
        <is>
          <t>TOLE DE FERMETURE</t>
        </is>
      </c>
      <c r="F7138" t="inlineStr">
        <is>
          <t>Armoire GVM distribution</t>
        </is>
      </c>
      <c r="J7138" t="inlineStr">
        <is>
          <t>ROBERT</t>
        </is>
      </c>
      <c r="K7138" t="inlineStr">
        <is>
          <t>METAL</t>
        </is>
      </c>
      <c r="L7138">
        <f>_xlfn.XLOOKUP(Tableau1[[#This Row],[TYPE DE PIECE]],Tableau4[MATIERE],Tableau4[SHORT TYPE],"",0,1)</f>
        <v/>
      </c>
      <c r="N7138">
        <f>IF(ISERR(FIND("DECOUPE",Tableau1[[#This Row],[DESIGNATION]])),"","NEED REF")</f>
        <v/>
      </c>
    </row>
    <row r="7139">
      <c r="B7139" t="n">
        <v>34406866</v>
      </c>
      <c r="C7139" s="2" t="n">
        <v>43283</v>
      </c>
      <c r="D7139" t="inlineStr">
        <is>
          <t>SPEC</t>
        </is>
      </c>
      <c r="E7139" t="inlineStr">
        <is>
          <t>COFFRET STX</t>
        </is>
      </c>
      <c r="F7139" t="inlineStr">
        <is>
          <t>COFFRET STX</t>
        </is>
      </c>
      <c r="J7139" t="inlineStr">
        <is>
          <t>MATRION</t>
        </is>
      </c>
      <c r="K7139" t="inlineStr">
        <is>
          <t>SAREL</t>
        </is>
      </c>
      <c r="L7139">
        <f>_xlfn.XLOOKUP(Tableau1[[#This Row],[TYPE DE PIECE]],Tableau4[MATIERE],Tableau4[SHORT TYPE],"",0,1)</f>
        <v/>
      </c>
      <c r="N7139">
        <f>IF(ISERR(FIND("DECOUPE",Tableau1[[#This Row],[DESIGNATION]])),"","NEED REF")</f>
        <v/>
      </c>
    </row>
    <row r="7140">
      <c r="B7140" t="n">
        <v>34406865</v>
      </c>
      <c r="C7140" s="2" t="n">
        <v>43283</v>
      </c>
      <c r="D7140" t="inlineStr">
        <is>
          <t>SPEC</t>
        </is>
      </c>
      <c r="E7140" t="inlineStr">
        <is>
          <t>SUPPORT AUXILAIRE</t>
        </is>
      </c>
      <c r="F7140" t="inlineStr">
        <is>
          <t>GALAXY VM 200KVA QSKU MAKE 3 OUTPUT CB COMPACT MCCB</t>
        </is>
      </c>
      <c r="J7140" t="inlineStr">
        <is>
          <t>MATRION</t>
        </is>
      </c>
      <c r="K7140" t="inlineStr">
        <is>
          <t>METAL</t>
        </is>
      </c>
      <c r="L7140">
        <f>_xlfn.XLOOKUP(Tableau1[[#This Row],[TYPE DE PIECE]],Tableau4[MATIERE],Tableau4[SHORT TYPE],"",0,1)</f>
        <v/>
      </c>
      <c r="N7140">
        <f>IF(ISERR(FIND("DECOUPE",Tableau1[[#This Row],[DESIGNATION]])),"","NEED REF")</f>
        <v/>
      </c>
    </row>
    <row r="7141">
      <c r="B7141" t="n">
        <v>34406864</v>
      </c>
      <c r="C7141" s="2" t="n">
        <v>43283</v>
      </c>
      <c r="D7141" t="inlineStr">
        <is>
          <t>SPEC</t>
        </is>
      </c>
      <c r="E7141" t="inlineStr">
        <is>
          <t>SUPPORT DJ</t>
        </is>
      </c>
      <c r="F7141" t="inlineStr">
        <is>
          <t>GALAXY VM 200KVA QSKU MAKE 3 OUTPUT CB COMPACT MCCB</t>
        </is>
      </c>
      <c r="J7141" t="inlineStr">
        <is>
          <t>MATRION</t>
        </is>
      </c>
      <c r="K7141" t="inlineStr">
        <is>
          <t>METAL</t>
        </is>
      </c>
      <c r="L7141">
        <f>_xlfn.XLOOKUP(Tableau1[[#This Row],[TYPE DE PIECE]],Tableau4[MATIERE],Tableau4[SHORT TYPE],"",0,1)</f>
        <v/>
      </c>
      <c r="N7141">
        <f>IF(ISERR(FIND("DECOUPE",Tableau1[[#This Row],[DESIGNATION]])),"","NEED REF")</f>
        <v/>
      </c>
    </row>
    <row r="7142">
      <c r="B7142" t="n">
        <v>34406863</v>
      </c>
      <c r="C7142" s="2" t="n">
        <v>43283</v>
      </c>
      <c r="D7142" t="inlineStr">
        <is>
          <t>SPEC</t>
        </is>
      </c>
      <c r="E7142" t="inlineStr">
        <is>
          <t>PLATINE COFFRET</t>
        </is>
      </c>
      <c r="F7142" t="inlineStr">
        <is>
          <t>GALAXY VM 200KVA QSKU MAKE 3 OUTPUT CB COMPACT MCCB</t>
        </is>
      </c>
      <c r="J7142" t="inlineStr">
        <is>
          <t>MATRION</t>
        </is>
      </c>
      <c r="K7142" t="inlineStr">
        <is>
          <t>METAL</t>
        </is>
      </c>
      <c r="L7142">
        <f>_xlfn.XLOOKUP(Tableau1[[#This Row],[TYPE DE PIECE]],Tableau4[MATIERE],Tableau4[SHORT TYPE],"",0,1)</f>
        <v/>
      </c>
      <c r="N7142">
        <f>IF(ISERR(FIND("DECOUPE",Tableau1[[#This Row],[DESIGNATION]])),"","NEED REF")</f>
        <v/>
      </c>
    </row>
    <row r="7143">
      <c r="B7143" t="n">
        <v>34406862</v>
      </c>
      <c r="C7143" s="2" t="n">
        <v>43283</v>
      </c>
      <c r="D7143" t="inlineStr">
        <is>
          <t>SPEC</t>
        </is>
      </c>
      <c r="E7143" t="inlineStr">
        <is>
          <t>COFFRET NSYS3D101030D CUSTOM DEVIS</t>
        </is>
      </c>
      <c r="F7143" t="inlineStr">
        <is>
          <t>GALAXY VM 200KVA QSKU MAKE 3 OUTPUT CB COMPACT MCCB</t>
        </is>
      </c>
      <c r="J7143" t="inlineStr">
        <is>
          <t>MATRION</t>
        </is>
      </c>
      <c r="K7143" t="inlineStr">
        <is>
          <t>SAREL</t>
        </is>
      </c>
      <c r="L7143">
        <f>_xlfn.XLOOKUP(Tableau1[[#This Row],[TYPE DE PIECE]],Tableau4[MATIERE],Tableau4[SHORT TYPE],"",0,1)</f>
        <v/>
      </c>
      <c r="N7143">
        <f>IF(ISERR(FIND("DECOUPE",Tableau1[[#This Row],[DESIGNATION]])),"","NEED REF")</f>
        <v/>
      </c>
    </row>
    <row r="7144">
      <c r="B7144" t="n">
        <v>34406861</v>
      </c>
      <c r="C7144" s="2" t="n">
        <v>43280</v>
      </c>
      <c r="D7144" t="inlineStr">
        <is>
          <t>SPEC</t>
        </is>
      </c>
      <c r="E7144" t="inlineStr">
        <is>
          <t>JOUE LATERALE  DROITE PLASTRON</t>
        </is>
      </c>
      <c r="F7144" t="inlineStr">
        <is>
          <t>GVX 4xBBK SAREL 2000x700x500</t>
        </is>
      </c>
      <c r="J7144" t="inlineStr">
        <is>
          <t>PIZARRO</t>
        </is>
      </c>
      <c r="K7144" t="inlineStr">
        <is>
          <t>METAL</t>
        </is>
      </c>
      <c r="L7144">
        <f>_xlfn.XLOOKUP(Tableau1[[#This Row],[TYPE DE PIECE]],Tableau4[MATIERE],Tableau4[SHORT TYPE],"",0,1)</f>
        <v/>
      </c>
      <c r="N7144">
        <f>IF(ISERR(FIND("DECOUPE",Tableau1[[#This Row],[DESIGNATION]])),"","NEED REF")</f>
        <v/>
      </c>
    </row>
    <row r="7145">
      <c r="B7145" t="n">
        <v>34406860</v>
      </c>
      <c r="C7145" s="2" t="n">
        <v>43279</v>
      </c>
      <c r="D7145" t="inlineStr">
        <is>
          <t>SPEC</t>
        </is>
      </c>
      <c r="E7145" t="inlineStr">
        <is>
          <t>CX LIAISON CB ABB 630A</t>
        </is>
      </c>
      <c r="F7145" t="inlineStr">
        <is>
          <t>GVMBBB630 ABB CIRCUIT BREAKER</t>
        </is>
      </c>
      <c r="J7145" t="inlineStr">
        <is>
          <t>MATRION</t>
        </is>
      </c>
      <c r="K7145" t="inlineStr">
        <is>
          <t>CUIVRE</t>
        </is>
      </c>
      <c r="L7145">
        <f>_xlfn.XLOOKUP(Tableau1[[#This Row],[TYPE DE PIECE]],Tableau4[MATIERE],Tableau4[SHORT TYPE],"",0,1)</f>
        <v/>
      </c>
      <c r="N7145">
        <f>IF(ISERR(FIND("DECOUPE",Tableau1[[#This Row],[DESIGNATION]])),"","NEED REF")</f>
        <v/>
      </c>
    </row>
    <row r="7146">
      <c r="B7146" t="n">
        <v>34406859</v>
      </c>
      <c r="C7146" s="2" t="n">
        <v>43279</v>
      </c>
      <c r="D7146" t="inlineStr">
        <is>
          <t>SPEC</t>
        </is>
      </c>
      <c r="E7146" t="inlineStr">
        <is>
          <t>SE PLASTON CB ABB 630A</t>
        </is>
      </c>
      <c r="F7146" t="inlineStr">
        <is>
          <t>GVMBBB630 ABB CIRCUIT BREAKER</t>
        </is>
      </c>
      <c r="J7146" t="inlineStr">
        <is>
          <t>MATRION</t>
        </is>
      </c>
      <c r="K7146" t="inlineStr">
        <is>
          <t>METAL</t>
        </is>
      </c>
      <c r="L7146">
        <f>_xlfn.XLOOKUP(Tableau1[[#This Row],[TYPE DE PIECE]],Tableau4[MATIERE],Tableau4[SHORT TYPE],"",0,1)</f>
        <v/>
      </c>
      <c r="N7146">
        <f>IF(ISERR(FIND("DECOUPE",Tableau1[[#This Row],[DESIGNATION]])),"","NEED REF")</f>
        <v/>
      </c>
    </row>
    <row r="7147">
      <c r="B7147" t="n">
        <v>34406858</v>
      </c>
      <c r="C7147" s="2" t="n">
        <v>43279</v>
      </c>
      <c r="D7147" t="inlineStr">
        <is>
          <t>SPEC</t>
        </is>
      </c>
      <c r="E7147" t="inlineStr">
        <is>
          <t>PLASTON CB ABB 630A</t>
        </is>
      </c>
      <c r="F7147" t="inlineStr">
        <is>
          <t>GVMBBB630 ABB CIRCUIT BREAKER</t>
        </is>
      </c>
      <c r="J7147" t="inlineStr">
        <is>
          <t>MATRION</t>
        </is>
      </c>
      <c r="K7147" t="inlineStr">
        <is>
          <t>METAL</t>
        </is>
      </c>
      <c r="L7147">
        <f>_xlfn.XLOOKUP(Tableau1[[#This Row],[TYPE DE PIECE]],Tableau4[MATIERE],Tableau4[SHORT TYPE],"",0,1)</f>
        <v/>
      </c>
      <c r="N7147">
        <f>IF(ISERR(FIND("DECOUPE",Tableau1[[#This Row],[DESIGNATION]])),"","NEED REF")</f>
        <v/>
      </c>
    </row>
    <row r="7148">
      <c r="B7148" t="n">
        <v>34406857</v>
      </c>
      <c r="C7148" s="2" t="n">
        <v>43279</v>
      </c>
      <c r="D7148" t="inlineStr">
        <is>
          <t>SPEC</t>
        </is>
      </c>
      <c r="E7148" t="inlineStr">
        <is>
          <t>CAPOT INTERNE CB ABB 630A</t>
        </is>
      </c>
      <c r="F7148" t="inlineStr">
        <is>
          <t>GVMBBB630 ABB CIRCUIT BREAKER</t>
        </is>
      </c>
      <c r="J7148" t="inlineStr">
        <is>
          <t>MATRION</t>
        </is>
      </c>
      <c r="K7148" t="inlineStr">
        <is>
          <t>METAL</t>
        </is>
      </c>
      <c r="L7148">
        <f>_xlfn.XLOOKUP(Tableau1[[#This Row],[TYPE DE PIECE]],Tableau4[MATIERE],Tableau4[SHORT TYPE],"",0,1)</f>
        <v/>
      </c>
      <c r="N7148">
        <f>IF(ISERR(FIND("DECOUPE",Tableau1[[#This Row],[DESIGNATION]])),"","NEED REF")</f>
        <v/>
      </c>
    </row>
    <row r="7149">
      <c r="B7149" t="n">
        <v>34406856</v>
      </c>
      <c r="C7149" s="2" t="n">
        <v>43279</v>
      </c>
      <c r="D7149" t="inlineStr">
        <is>
          <t>SPEC</t>
        </is>
      </c>
      <c r="E7149" t="inlineStr">
        <is>
          <t>SPACER CB ABB 630A</t>
        </is>
      </c>
      <c r="F7149" t="inlineStr">
        <is>
          <t>GVMBBB630 ABB CIRCUIT BREAKER</t>
        </is>
      </c>
      <c r="J7149" t="inlineStr">
        <is>
          <t>MATRION</t>
        </is>
      </c>
      <c r="K7149" t="inlineStr">
        <is>
          <t>METAL</t>
        </is>
      </c>
      <c r="L7149">
        <f>_xlfn.XLOOKUP(Tableau1[[#This Row],[TYPE DE PIECE]],Tableau4[MATIERE],Tableau4[SHORT TYPE],"",0,1)</f>
        <v/>
      </c>
      <c r="N7149">
        <f>IF(ISERR(FIND("DECOUPE",Tableau1[[#This Row],[DESIGNATION]])),"","NEED REF")</f>
        <v/>
      </c>
    </row>
    <row r="7150">
      <c r="B7150" t="n">
        <v>34406855</v>
      </c>
      <c r="C7150" s="2" t="n">
        <v>43279</v>
      </c>
      <c r="D7150" t="inlineStr">
        <is>
          <t>SPEC</t>
        </is>
      </c>
      <c r="E7150" t="inlineStr">
        <is>
          <t>PLATINE CB ABB 630A</t>
        </is>
      </c>
      <c r="F7150" t="inlineStr">
        <is>
          <t>GVMBBB630 ABB CIRCUIT BREAKER</t>
        </is>
      </c>
      <c r="J7150" t="inlineStr">
        <is>
          <t>MATRION</t>
        </is>
      </c>
      <c r="K7150" t="inlineStr">
        <is>
          <t>METAL</t>
        </is>
      </c>
      <c r="L7150">
        <f>_xlfn.XLOOKUP(Tableau1[[#This Row],[TYPE DE PIECE]],Tableau4[MATIERE],Tableau4[SHORT TYPE],"",0,1)</f>
        <v/>
      </c>
      <c r="N7150">
        <f>IF(ISERR(FIND("DECOUPE",Tableau1[[#This Row],[DESIGNATION]])),"","NEED REF")</f>
        <v/>
      </c>
    </row>
    <row r="7151">
      <c r="B7151" t="n">
        <v>34406854</v>
      </c>
      <c r="C7151" s="2" t="n">
        <v>43278</v>
      </c>
      <c r="D7151" t="inlineStr">
        <is>
          <t>SPEC</t>
        </is>
      </c>
      <c r="E7151" t="inlineStr">
        <is>
          <t>CX L3</t>
        </is>
      </c>
      <c r="F7151" t="inlineStr">
        <is>
          <t>Armoire GVM distribution</t>
        </is>
      </c>
      <c r="J7151" t="inlineStr">
        <is>
          <t>ROBERT</t>
        </is>
      </c>
      <c r="K7151" t="inlineStr">
        <is>
          <t>CUIVRE</t>
        </is>
      </c>
      <c r="L7151">
        <f>_xlfn.XLOOKUP(Tableau1[[#This Row],[TYPE DE PIECE]],Tableau4[MATIERE],Tableau4[SHORT TYPE],"",0,1)</f>
        <v/>
      </c>
      <c r="N7151">
        <f>IF(ISERR(FIND("DECOUPE",Tableau1[[#This Row],[DESIGNATION]])),"","NEED REF")</f>
        <v/>
      </c>
    </row>
    <row r="7152">
      <c r="B7152" t="n">
        <v>34406853</v>
      </c>
      <c r="C7152" s="2" t="n">
        <v>43278</v>
      </c>
      <c r="D7152" t="inlineStr">
        <is>
          <t>SPEC</t>
        </is>
      </c>
      <c r="E7152" t="inlineStr">
        <is>
          <t>CX L2</t>
        </is>
      </c>
      <c r="F7152" t="inlineStr">
        <is>
          <t>Armoire GVM distribution</t>
        </is>
      </c>
      <c r="J7152" t="inlineStr">
        <is>
          <t>ROBERT</t>
        </is>
      </c>
      <c r="K7152" t="inlineStr">
        <is>
          <t>CUIVRE</t>
        </is>
      </c>
      <c r="L7152">
        <f>_xlfn.XLOOKUP(Tableau1[[#This Row],[TYPE DE PIECE]],Tableau4[MATIERE],Tableau4[SHORT TYPE],"",0,1)</f>
        <v/>
      </c>
      <c r="N7152">
        <f>IF(ISERR(FIND("DECOUPE",Tableau1[[#This Row],[DESIGNATION]])),"","NEED REF")</f>
        <v/>
      </c>
    </row>
    <row r="7153">
      <c r="B7153" t="n">
        <v>34406852</v>
      </c>
      <c r="C7153" s="2" t="n">
        <v>43278</v>
      </c>
      <c r="D7153" t="inlineStr">
        <is>
          <t>SPEC</t>
        </is>
      </c>
      <c r="E7153" t="inlineStr">
        <is>
          <t>CX L1</t>
        </is>
      </c>
      <c r="F7153" t="inlineStr">
        <is>
          <t>Armoire GVM distribution</t>
        </is>
      </c>
      <c r="J7153" t="inlineStr">
        <is>
          <t>ROBERT</t>
        </is>
      </c>
      <c r="K7153" t="inlineStr">
        <is>
          <t>CUIVRE</t>
        </is>
      </c>
      <c r="L7153">
        <f>_xlfn.XLOOKUP(Tableau1[[#This Row],[TYPE DE PIECE]],Tableau4[MATIERE],Tableau4[SHORT TYPE],"",0,1)</f>
        <v/>
      </c>
      <c r="N7153">
        <f>IF(ISERR(FIND("DECOUPE",Tableau1[[#This Row],[DESIGNATION]])),"","NEED REF")</f>
        <v/>
      </c>
    </row>
    <row r="7154">
      <c r="B7154" t="n">
        <v>34406851</v>
      </c>
      <c r="C7154" s="2" t="n">
        <v>43278</v>
      </c>
      <c r="D7154" t="inlineStr">
        <is>
          <t>SPEC</t>
        </is>
      </c>
      <c r="E7154" t="inlineStr">
        <is>
          <t>CX N</t>
        </is>
      </c>
      <c r="F7154" t="inlineStr">
        <is>
          <t>Armoire GVM distribution</t>
        </is>
      </c>
      <c r="J7154" t="inlineStr">
        <is>
          <t>ROBERT</t>
        </is>
      </c>
      <c r="K7154" t="inlineStr">
        <is>
          <t>CUIVRE</t>
        </is>
      </c>
      <c r="L7154">
        <f>_xlfn.XLOOKUP(Tableau1[[#This Row],[TYPE DE PIECE]],Tableau4[MATIERE],Tableau4[SHORT TYPE],"",0,1)</f>
        <v/>
      </c>
      <c r="N7154">
        <f>IF(ISERR(FIND("DECOUPE",Tableau1[[#This Row],[DESIGNATION]])),"","NEED REF")</f>
        <v/>
      </c>
    </row>
    <row r="7155">
      <c r="B7155" t="n">
        <v>34406850</v>
      </c>
      <c r="C7155" s="2" t="n">
        <v>43277</v>
      </c>
      <c r="D7155" t="inlineStr">
        <is>
          <t>SPEC</t>
        </is>
      </c>
      <c r="E7155" t="inlineStr">
        <is>
          <t>PLASTRON 990x233</t>
        </is>
      </c>
      <c r="F7155" t="inlineStr">
        <is>
          <t>Armoire GVM distribution</t>
        </is>
      </c>
      <c r="J7155" t="inlineStr">
        <is>
          <t>ROBERT</t>
        </is>
      </c>
      <c r="K7155" t="inlineStr">
        <is>
          <t>METAL</t>
        </is>
      </c>
      <c r="L7155">
        <f>_xlfn.XLOOKUP(Tableau1[[#This Row],[TYPE DE PIECE]],Tableau4[MATIERE],Tableau4[SHORT TYPE],"",0,1)</f>
        <v/>
      </c>
      <c r="N7155">
        <f>IF(ISERR(FIND("DECOUPE",Tableau1[[#This Row],[DESIGNATION]])),"","NEED REF")</f>
        <v/>
      </c>
    </row>
    <row r="7156">
      <c r="B7156" t="n">
        <v>34406849</v>
      </c>
      <c r="C7156" s="2" t="n">
        <v>43277</v>
      </c>
      <c r="D7156" t="inlineStr">
        <is>
          <t>SPEC</t>
        </is>
      </c>
      <c r="E7156" t="inlineStr">
        <is>
          <t>PLASTRON 990x233</t>
        </is>
      </c>
      <c r="F7156" t="inlineStr">
        <is>
          <t>Armoire GVM distribution</t>
        </is>
      </c>
      <c r="J7156" t="inlineStr">
        <is>
          <t>ROBERT</t>
        </is>
      </c>
      <c r="K7156" t="inlineStr">
        <is>
          <t>METAL</t>
        </is>
      </c>
      <c r="L7156">
        <f>_xlfn.XLOOKUP(Tableau1[[#This Row],[TYPE DE PIECE]],Tableau4[MATIERE],Tableau4[SHORT TYPE],"",0,1)</f>
        <v/>
      </c>
      <c r="N7156">
        <f>IF(ISERR(FIND("DECOUPE",Tableau1[[#This Row],[DESIGNATION]])),"","NEED REF")</f>
        <v/>
      </c>
    </row>
    <row r="7157">
      <c r="B7157" t="n">
        <v>34406848</v>
      </c>
      <c r="C7157" s="2" t="n">
        <v>43277</v>
      </c>
      <c r="D7157" t="inlineStr">
        <is>
          <t>SPEC</t>
        </is>
      </c>
      <c r="E7157" t="inlineStr">
        <is>
          <t>PLASTRON 990x233</t>
        </is>
      </c>
      <c r="F7157" t="inlineStr">
        <is>
          <t>Armoire GVM distribution</t>
        </is>
      </c>
      <c r="J7157" t="inlineStr">
        <is>
          <t>ROBERT</t>
        </is>
      </c>
      <c r="K7157" t="inlineStr">
        <is>
          <t>METAL</t>
        </is>
      </c>
      <c r="L7157">
        <f>_xlfn.XLOOKUP(Tableau1[[#This Row],[TYPE DE PIECE]],Tableau4[MATIERE],Tableau4[SHORT TYPE],"",0,1)</f>
        <v/>
      </c>
      <c r="N7157">
        <f>IF(ISERR(FIND("DECOUPE",Tableau1[[#This Row],[DESIGNATION]])),"","NEED REF")</f>
        <v/>
      </c>
    </row>
    <row r="7158">
      <c r="B7158" t="n">
        <v>34406847</v>
      </c>
      <c r="C7158" s="2" t="n">
        <v>43277</v>
      </c>
      <c r="D7158" t="inlineStr">
        <is>
          <t>SPEC</t>
        </is>
      </c>
      <c r="E7158" t="inlineStr">
        <is>
          <t>PLASTRON 990x233</t>
        </is>
      </c>
      <c r="F7158" t="inlineStr">
        <is>
          <t>Armoire GVM distribution</t>
        </is>
      </c>
      <c r="J7158" t="inlineStr">
        <is>
          <t>ROBERT</t>
        </is>
      </c>
      <c r="K7158" t="inlineStr">
        <is>
          <t>METAL</t>
        </is>
      </c>
      <c r="L7158">
        <f>_xlfn.XLOOKUP(Tableau1[[#This Row],[TYPE DE PIECE]],Tableau4[MATIERE],Tableau4[SHORT TYPE],"",0,1)</f>
        <v/>
      </c>
      <c r="N7158">
        <f>IF(ISERR(FIND("DECOUPE",Tableau1[[#This Row],[DESIGNATION]])),"","NEED REF")</f>
        <v/>
      </c>
    </row>
    <row r="7159">
      <c r="B7159" t="n">
        <v>34406846</v>
      </c>
      <c r="C7159" s="2" t="n">
        <v>43276</v>
      </c>
      <c r="D7159" t="inlineStr">
        <is>
          <t>SPEC</t>
        </is>
      </c>
      <c r="E7159" t="inlineStr">
        <is>
          <t>SUPPORT RACC SOURCES (VERS BAS)</t>
        </is>
      </c>
      <c r="F7159" t="inlineStr">
        <is>
          <t>STS 630 IP00 RAL9023</t>
        </is>
      </c>
      <c r="J7159" t="inlineStr">
        <is>
          <t>MATRION</t>
        </is>
      </c>
      <c r="K7159" t="inlineStr">
        <is>
          <t>SAREL</t>
        </is>
      </c>
      <c r="L7159">
        <f>_xlfn.XLOOKUP(Tableau1[[#This Row],[TYPE DE PIECE]],Tableau4[MATIERE],Tableau4[SHORT TYPE],"",0,1)</f>
        <v/>
      </c>
      <c r="N7159">
        <f>IF(ISERR(FIND("DECOUPE",Tableau1[[#This Row],[DESIGNATION]])),"","NEED REF")</f>
        <v/>
      </c>
    </row>
    <row r="7160">
      <c r="B7160" t="n">
        <v>34406845</v>
      </c>
      <c r="C7160" s="2" t="n">
        <v>43276</v>
      </c>
      <c r="E7160" t="inlineStr">
        <is>
          <t>PANNEAU ARRIERE STS SF RAL9023</t>
        </is>
      </c>
      <c r="F7160" t="inlineStr">
        <is>
          <t>STS 630 IP00 RAL9023</t>
        </is>
      </c>
      <c r="J7160" t="inlineStr">
        <is>
          <t>MATRION</t>
        </is>
      </c>
      <c r="K7160" t="inlineStr">
        <is>
          <t>SAREL</t>
        </is>
      </c>
      <c r="L7160">
        <f>_xlfn.XLOOKUP(Tableau1[[#This Row],[TYPE DE PIECE]],Tableau4[MATIERE],Tableau4[SHORT TYPE],"",0,1)</f>
        <v/>
      </c>
      <c r="N7160">
        <f>IF(ISERR(FIND("DECOUPE",Tableau1[[#This Row],[DESIGNATION]])),"","NEED REF")</f>
        <v/>
      </c>
    </row>
    <row r="7161">
      <c r="B7161" t="n">
        <v>34406844</v>
      </c>
      <c r="C7161" s="2" t="n">
        <v>43276</v>
      </c>
      <c r="E7161" t="inlineStr">
        <is>
          <t>KIT BANDEAUX SOCLE VENTILE RAL7022</t>
        </is>
      </c>
      <c r="F7161" t="inlineStr">
        <is>
          <t>STS 630 IP00 RAL7022</t>
        </is>
      </c>
      <c r="J7161" t="inlineStr">
        <is>
          <t>MATRION</t>
        </is>
      </c>
      <c r="K7161" t="inlineStr">
        <is>
          <t>SAREL</t>
        </is>
      </c>
      <c r="L7161">
        <f>_xlfn.XLOOKUP(Tableau1[[#This Row],[TYPE DE PIECE]],Tableau4[MATIERE],Tableau4[SHORT TYPE],"",0,1)</f>
        <v/>
      </c>
      <c r="N7161">
        <f>IF(ISERR(FIND("DECOUPE",Tableau1[[#This Row],[DESIGNATION]])),"","NEED REF")</f>
        <v/>
      </c>
    </row>
    <row r="7162">
      <c r="B7162" t="n">
        <v>34406843</v>
      </c>
      <c r="C7162" s="2" t="n">
        <v>43276</v>
      </c>
      <c r="E7162" t="inlineStr">
        <is>
          <t>PANNEAUX LATERAUX STS SF RAL9023</t>
        </is>
      </c>
      <c r="F7162" t="inlineStr">
        <is>
          <t>STS 630 IP00 RAL9023</t>
        </is>
      </c>
      <c r="J7162" t="inlineStr">
        <is>
          <t>MATRION</t>
        </is>
      </c>
      <c r="K7162" t="inlineStr">
        <is>
          <t>SAREL</t>
        </is>
      </c>
      <c r="L7162">
        <f>_xlfn.XLOOKUP(Tableau1[[#This Row],[TYPE DE PIECE]],Tableau4[MATIERE],Tableau4[SHORT TYPE],"",0,1)</f>
        <v/>
      </c>
      <c r="N7162">
        <f>IF(ISERR(FIND("DECOUPE",Tableau1[[#This Row],[DESIGNATION]])),"","NEED REF")</f>
        <v/>
      </c>
    </row>
    <row r="7163">
      <c r="B7163" t="n">
        <v>34406842</v>
      </c>
      <c r="C7163" s="2" t="n">
        <v>43304</v>
      </c>
      <c r="D7163" t="inlineStr">
        <is>
          <t>SPEC</t>
        </is>
      </c>
      <c r="E7163" t="inlineStr">
        <is>
          <t>SUPPORT RACCORDEMENT CLIENT DOUBLE 1500kW RENFORCE</t>
        </is>
      </c>
      <c r="F7163" t="inlineStr">
        <is>
          <t>MBC GVX</t>
        </is>
      </c>
      <c r="J7163" t="inlineStr">
        <is>
          <t>MATRION</t>
        </is>
      </c>
      <c r="K7163" t="inlineStr">
        <is>
          <t>METAL</t>
        </is>
      </c>
      <c r="L7163">
        <f>_xlfn.XLOOKUP(Tableau1[[#This Row],[TYPE DE PIECE]],Tableau4[MATIERE],Tableau4[SHORT TYPE],"",0,1)</f>
        <v/>
      </c>
      <c r="N7163">
        <f>IF(ISERR(FIND("DECOUPE",Tableau1[[#This Row],[DESIGNATION]])),"","NEED REF")</f>
        <v/>
      </c>
    </row>
    <row r="7164">
      <c r="B7164" t="n">
        <v>34406841</v>
      </c>
      <c r="C7164" s="2" t="n">
        <v>43304</v>
      </c>
      <c r="D7164" t="inlineStr">
        <is>
          <t>SPEC</t>
        </is>
      </c>
      <c r="E7164" t="inlineStr">
        <is>
          <t>DOUBLE SUPPORT LINERGY 3200A</t>
        </is>
      </c>
      <c r="F7164" t="inlineStr">
        <is>
          <t>MBC GVX</t>
        </is>
      </c>
      <c r="J7164" t="inlineStr">
        <is>
          <t>MATRION</t>
        </is>
      </c>
      <c r="K7164" t="inlineStr">
        <is>
          <t>METAL</t>
        </is>
      </c>
      <c r="L7164">
        <f>_xlfn.XLOOKUP(Tableau1[[#This Row],[TYPE DE PIECE]],Tableau4[MATIERE],Tableau4[SHORT TYPE],"",0,1)</f>
        <v/>
      </c>
      <c r="N7164">
        <f>IF(ISERR(FIND("DECOUPE",Tableau1[[#This Row],[DESIGNATION]])),"","NEED REF")</f>
        <v/>
      </c>
    </row>
    <row r="7165">
      <c r="B7165" t="n">
        <v>34406840</v>
      </c>
      <c r="C7165" s="2" t="n">
        <v>43276</v>
      </c>
      <c r="D7165" t="inlineStr">
        <is>
          <t>SPEC</t>
        </is>
      </c>
      <c r="E7165" t="inlineStr">
        <is>
          <t>JOIE LATERAL FIXATION PLASTRON</t>
        </is>
      </c>
      <c r="F7165" t="inlineStr">
        <is>
          <t>GVX BBK</t>
        </is>
      </c>
      <c r="J7165" t="inlineStr">
        <is>
          <t>PIZARRO</t>
        </is>
      </c>
      <c r="K7165" t="inlineStr">
        <is>
          <t>METAL</t>
        </is>
      </c>
      <c r="L7165">
        <f>_xlfn.XLOOKUP(Tableau1[[#This Row],[TYPE DE PIECE]],Tableau4[MATIERE],Tableau4[SHORT TYPE],"",0,1)</f>
        <v/>
      </c>
      <c r="N7165">
        <f>IF(ISERR(FIND("DECOUPE",Tableau1[[#This Row],[DESIGNATION]])),"","NEED REF")</f>
        <v/>
      </c>
    </row>
    <row r="7166">
      <c r="B7166" t="n">
        <v>34406839</v>
      </c>
      <c r="C7166" s="2" t="n">
        <v>43272</v>
      </c>
      <c r="D7166" t="inlineStr">
        <is>
          <t>SPEC</t>
        </is>
      </c>
      <c r="E7166" t="inlineStr">
        <is>
          <t>CIRCUIT BREAKER SUPPORT</t>
        </is>
      </c>
      <c r="F7166" t="inlineStr">
        <is>
          <t>Armoire GVM distribution</t>
        </is>
      </c>
      <c r="J7166" t="inlineStr">
        <is>
          <t>ROBERT</t>
        </is>
      </c>
      <c r="K7166" t="inlineStr">
        <is>
          <t>METAL</t>
        </is>
      </c>
      <c r="L7166">
        <f>_xlfn.XLOOKUP(Tableau1[[#This Row],[TYPE DE PIECE]],Tableau4[MATIERE],Tableau4[SHORT TYPE],"",0,1)</f>
        <v/>
      </c>
      <c r="N7166">
        <f>IF(ISERR(FIND("DECOUPE",Tableau1[[#This Row],[DESIGNATION]])),"","NEED REF")</f>
        <v/>
      </c>
    </row>
    <row r="7167">
      <c r="B7167" t="n">
        <v>34406838</v>
      </c>
      <c r="C7167" s="2" t="n">
        <v>43272</v>
      </c>
      <c r="D7167" t="inlineStr">
        <is>
          <t>SPEC</t>
        </is>
      </c>
      <c r="E7167" t="inlineStr">
        <is>
          <t>LATERAL PROTECTION SHIELD SUPPORT</t>
        </is>
      </c>
      <c r="F7167" t="inlineStr">
        <is>
          <t>Armoire GVM distribution</t>
        </is>
      </c>
      <c r="J7167" t="inlineStr">
        <is>
          <t>ROBERT</t>
        </is>
      </c>
      <c r="K7167" t="inlineStr">
        <is>
          <t>METAL</t>
        </is>
      </c>
      <c r="L7167">
        <f>_xlfn.XLOOKUP(Tableau1[[#This Row],[TYPE DE PIECE]],Tableau4[MATIERE],Tableau4[SHORT TYPE],"",0,1)</f>
        <v/>
      </c>
      <c r="N7167">
        <f>IF(ISERR(FIND("DECOUPE",Tableau1[[#This Row],[DESIGNATION]])),"","NEED REF")</f>
        <v/>
      </c>
    </row>
    <row r="7168">
      <c r="B7168" t="n">
        <v>34406837</v>
      </c>
      <c r="C7168" s="2" t="n">
        <v>43272</v>
      </c>
      <c r="D7168" t="inlineStr">
        <is>
          <t>SPEC</t>
        </is>
      </c>
      <c r="E7168" t="inlineStr">
        <is>
          <t>LATERAL PROTECTION SHIELD SUPPORT</t>
        </is>
      </c>
      <c r="F7168" t="inlineStr">
        <is>
          <t>Armoire GVM distribution</t>
        </is>
      </c>
      <c r="J7168" t="inlineStr">
        <is>
          <t>ROBERT</t>
        </is>
      </c>
      <c r="K7168" t="inlineStr">
        <is>
          <t>METAL</t>
        </is>
      </c>
      <c r="L7168">
        <f>_xlfn.XLOOKUP(Tableau1[[#This Row],[TYPE DE PIECE]],Tableau4[MATIERE],Tableau4[SHORT TYPE],"",0,1)</f>
        <v/>
      </c>
      <c r="N7168">
        <f>IF(ISERR(FIND("DECOUPE",Tableau1[[#This Row],[DESIGNATION]])),"","NEED REF")</f>
        <v/>
      </c>
    </row>
    <row r="7169">
      <c r="B7169" t="n">
        <v>34406836</v>
      </c>
      <c r="C7169" s="2" t="n">
        <v>43272</v>
      </c>
      <c r="D7169" t="inlineStr">
        <is>
          <t>SPEC</t>
        </is>
      </c>
      <c r="E7169" t="inlineStr">
        <is>
          <t>SUPPORT</t>
        </is>
      </c>
      <c r="F7169" t="inlineStr">
        <is>
          <t>Armoire GVM distribution</t>
        </is>
      </c>
      <c r="J7169" t="inlineStr">
        <is>
          <t>ROBERT</t>
        </is>
      </c>
      <c r="K7169" t="inlineStr">
        <is>
          <t>METAL</t>
        </is>
      </c>
      <c r="L7169">
        <f>_xlfn.XLOOKUP(Tableau1[[#This Row],[TYPE DE PIECE]],Tableau4[MATIERE],Tableau4[SHORT TYPE],"",0,1)</f>
        <v/>
      </c>
      <c r="N7169">
        <f>IF(ISERR(FIND("DECOUPE",Tableau1[[#This Row],[DESIGNATION]])),"","NEED REF")</f>
        <v/>
      </c>
    </row>
    <row r="7170">
      <c r="B7170" t="n">
        <v>34406835</v>
      </c>
      <c r="C7170" s="2" t="n">
        <v>43269</v>
      </c>
      <c r="D7170" t="inlineStr">
        <is>
          <t>SPEC</t>
        </is>
      </c>
      <c r="E7170" t="inlineStr">
        <is>
          <t>ASSY CHASSIS FRONT AP8586X667 NEW ART</t>
        </is>
      </c>
      <c r="F7170" t="inlineStr">
        <is>
          <t>UTAH</t>
        </is>
      </c>
      <c r="J7170" t="inlineStr">
        <is>
          <t>REIN</t>
        </is>
      </c>
      <c r="K7170" t="inlineStr">
        <is>
          <t>METAL</t>
        </is>
      </c>
      <c r="L7170">
        <f>_xlfn.XLOOKUP(Tableau1[[#This Row],[TYPE DE PIECE]],Tableau4[MATIERE],Tableau4[SHORT TYPE],"",0,1)</f>
        <v/>
      </c>
      <c r="N7170">
        <f>IF(ISERR(FIND("DECOUPE",Tableau1[[#This Row],[DESIGNATION]])),"","NEED REF")</f>
        <v/>
      </c>
    </row>
    <row r="7171">
      <c r="B7171" t="n">
        <v>34406834</v>
      </c>
      <c r="C7171" s="2" t="n">
        <v>43269</v>
      </c>
      <c r="D7171" t="inlineStr">
        <is>
          <t>SPEC</t>
        </is>
      </c>
      <c r="E7171" t="inlineStr">
        <is>
          <t>KIT CABLES DISTRIBUTION 2</t>
        </is>
      </c>
      <c r="F7171" t="inlineStr">
        <is>
          <t>STS 630A SPECIFIQUE</t>
        </is>
      </c>
      <c r="J7171" t="inlineStr">
        <is>
          <t>MATRION</t>
        </is>
      </c>
      <c r="K7171" t="inlineStr">
        <is>
          <t>FILERIE</t>
        </is>
      </c>
      <c r="L7171">
        <f>_xlfn.XLOOKUP(Tableau1[[#This Row],[TYPE DE PIECE]],Tableau4[MATIERE],Tableau4[SHORT TYPE],"",0,1)</f>
        <v/>
      </c>
      <c r="N7171">
        <f>IF(ISERR(FIND("DECOUPE",Tableau1[[#This Row],[DESIGNATION]])),"","NEED REF")</f>
        <v/>
      </c>
    </row>
    <row r="7172">
      <c r="B7172" t="n">
        <v>34406833</v>
      </c>
      <c r="C7172" s="2" t="n">
        <v>43269</v>
      </c>
      <c r="D7172" t="inlineStr">
        <is>
          <t>SPEC</t>
        </is>
      </c>
      <c r="E7172" t="inlineStr">
        <is>
          <t>KIT CABLES DISTRIBUTION 1</t>
        </is>
      </c>
      <c r="F7172" t="inlineStr">
        <is>
          <t>STS 630A SPECIFIQUE</t>
        </is>
      </c>
      <c r="J7172" t="inlineStr">
        <is>
          <t>MATRION</t>
        </is>
      </c>
      <c r="K7172" t="inlineStr">
        <is>
          <t>FILERIE</t>
        </is>
      </c>
      <c r="L7172">
        <f>_xlfn.XLOOKUP(Tableau1[[#This Row],[TYPE DE PIECE]],Tableau4[MATIERE],Tableau4[SHORT TYPE],"",0,1)</f>
        <v/>
      </c>
      <c r="N7172">
        <f>IF(ISERR(FIND("DECOUPE",Tableau1[[#This Row],[DESIGNATION]])),"","NEED REF")</f>
        <v/>
      </c>
    </row>
    <row r="7173">
      <c r="B7173" t="n">
        <v>34406832</v>
      </c>
      <c r="C7173" s="2" t="n">
        <v>43263</v>
      </c>
      <c r="D7173" t="inlineStr">
        <is>
          <t>SPEC</t>
        </is>
      </c>
      <c r="E7173" t="inlineStr">
        <is>
          <t>CABLES DISTRIBUTION</t>
        </is>
      </c>
      <c r="F7173" t="inlineStr">
        <is>
          <t>STS 630A SPECIFIQUE</t>
        </is>
      </c>
      <c r="J7173" t="inlineStr">
        <is>
          <t>MATRION</t>
        </is>
      </c>
      <c r="K7173" t="inlineStr">
        <is>
          <t>FILERIE</t>
        </is>
      </c>
      <c r="L7173">
        <f>_xlfn.XLOOKUP(Tableau1[[#This Row],[TYPE DE PIECE]],Tableau4[MATIERE],Tableau4[SHORT TYPE],"",0,1)</f>
        <v/>
      </c>
      <c r="N7173">
        <f>IF(ISERR(FIND("DECOUPE",Tableau1[[#This Row],[DESIGNATION]])),"","NEED REF")</f>
        <v/>
      </c>
    </row>
    <row r="7174">
      <c r="B7174" t="n">
        <v>34406831</v>
      </c>
      <c r="C7174" s="2" t="n">
        <v>43263</v>
      </c>
      <c r="D7174" t="inlineStr">
        <is>
          <t>SPEC</t>
        </is>
      </c>
      <c r="E7174" t="inlineStr">
        <is>
          <t>CABLES DISTRIBUTION</t>
        </is>
      </c>
      <c r="F7174" t="inlineStr">
        <is>
          <t>STS 630A SPECIFIQUE</t>
        </is>
      </c>
      <c r="J7174" t="inlineStr">
        <is>
          <t>MATRION</t>
        </is>
      </c>
      <c r="K7174" t="inlineStr">
        <is>
          <t>FILERIE</t>
        </is>
      </c>
      <c r="L7174">
        <f>_xlfn.XLOOKUP(Tableau1[[#This Row],[TYPE DE PIECE]],Tableau4[MATIERE],Tableau4[SHORT TYPE],"",0,1)</f>
        <v/>
      </c>
      <c r="N7174">
        <f>IF(ISERR(FIND("DECOUPE",Tableau1[[#This Row],[DESIGNATION]])),"","NEED REF")</f>
        <v/>
      </c>
    </row>
    <row r="7175">
      <c r="B7175" t="n">
        <v>34406830</v>
      </c>
      <c r="C7175" s="2" t="n">
        <v>43263</v>
      </c>
      <c r="D7175" t="inlineStr">
        <is>
          <t>SPEC</t>
        </is>
      </c>
      <c r="E7175" t="inlineStr">
        <is>
          <t>CABLES DISTRIBUTION</t>
        </is>
      </c>
      <c r="F7175" t="inlineStr">
        <is>
          <t>STS 630A SPECIFIQUE</t>
        </is>
      </c>
      <c r="J7175" t="inlineStr">
        <is>
          <t>MATRION</t>
        </is>
      </c>
      <c r="K7175" t="inlineStr">
        <is>
          <t>FILERIE</t>
        </is>
      </c>
      <c r="L7175">
        <f>_xlfn.XLOOKUP(Tableau1[[#This Row],[TYPE DE PIECE]],Tableau4[MATIERE],Tableau4[SHORT TYPE],"",0,1)</f>
        <v/>
      </c>
      <c r="N7175">
        <f>IF(ISERR(FIND("DECOUPE",Tableau1[[#This Row],[DESIGNATION]])),"","NEED REF")</f>
        <v/>
      </c>
    </row>
    <row r="7176">
      <c r="B7176" t="n">
        <v>34406829</v>
      </c>
      <c r="C7176" s="2" t="n">
        <v>43266</v>
      </c>
      <c r="D7176" t="inlineStr">
        <is>
          <t>SPEC</t>
        </is>
      </c>
      <c r="E7176" t="inlineStr">
        <is>
          <t>RAIL DIN</t>
        </is>
      </c>
      <c r="F7176" t="inlineStr">
        <is>
          <t>STS 250A+DISTRIBUTION</t>
        </is>
      </c>
      <c r="J7176" t="inlineStr">
        <is>
          <t>ROBERT</t>
        </is>
      </c>
      <c r="K7176" t="inlineStr">
        <is>
          <t>METAL</t>
        </is>
      </c>
      <c r="L7176">
        <f>_xlfn.XLOOKUP(Tableau1[[#This Row],[TYPE DE PIECE]],Tableau4[MATIERE],Tableau4[SHORT TYPE],"",0,1)</f>
        <v/>
      </c>
      <c r="N7176">
        <f>IF(ISERR(FIND("DECOUPE",Tableau1[[#This Row],[DESIGNATION]])),"","NEED REF")</f>
        <v/>
      </c>
    </row>
    <row r="7177">
      <c r="B7177" t="n">
        <v>34406828</v>
      </c>
      <c r="C7177" s="2" t="n">
        <v>43266</v>
      </c>
      <c r="D7177" t="inlineStr">
        <is>
          <t>SPEC</t>
        </is>
      </c>
      <c r="E7177" t="inlineStr">
        <is>
          <t>PLATINE DISJONCTEURS</t>
        </is>
      </c>
      <c r="F7177" t="inlineStr">
        <is>
          <t>STS 250A+DISTRIBUTION</t>
        </is>
      </c>
      <c r="J7177" t="inlineStr">
        <is>
          <t>ROBERT</t>
        </is>
      </c>
      <c r="K7177" t="inlineStr">
        <is>
          <t>METAL</t>
        </is>
      </c>
      <c r="L7177">
        <f>_xlfn.XLOOKUP(Tableau1[[#This Row],[TYPE DE PIECE]],Tableau4[MATIERE],Tableau4[SHORT TYPE],"",0,1)</f>
        <v/>
      </c>
      <c r="N7177">
        <f>IF(ISERR(FIND("DECOUPE",Tableau1[[#This Row],[DESIGNATION]])),"","NEED REF")</f>
        <v/>
      </c>
    </row>
    <row r="7178">
      <c r="B7178" t="n">
        <v>34406827</v>
      </c>
      <c r="C7178" s="2" t="n">
        <v>43266</v>
      </c>
      <c r="D7178" t="inlineStr">
        <is>
          <t>SPEC</t>
        </is>
      </c>
      <c r="E7178" t="inlineStr">
        <is>
          <t>Cable liaison MERY afficheur Magellis SW Didactique</t>
        </is>
      </c>
      <c r="F7178" t="inlineStr">
        <is>
          <t>SW didactique</t>
        </is>
      </c>
      <c r="J7178" t="inlineStr">
        <is>
          <t>REVEL</t>
        </is>
      </c>
      <c r="K7178" t="inlineStr">
        <is>
          <t>CUIVRE</t>
        </is>
      </c>
      <c r="L7178">
        <f>_xlfn.XLOOKUP(Tableau1[[#This Row],[TYPE DE PIECE]],Tableau4[MATIERE],Tableau4[SHORT TYPE],"",0,1)</f>
        <v/>
      </c>
      <c r="N7178">
        <f>IF(ISERR(FIND("DECOUPE",Tableau1[[#This Row],[DESIGNATION]])),"","NEED REF")</f>
        <v/>
      </c>
    </row>
    <row r="7179">
      <c r="B7179" t="n">
        <v>34406826</v>
      </c>
      <c r="C7179" s="2" t="n">
        <v>43263</v>
      </c>
      <c r="D7179" t="inlineStr">
        <is>
          <t>SPEC</t>
        </is>
      </c>
      <c r="E7179" t="inlineStr">
        <is>
          <t>CABLES DISTRIBUTION</t>
        </is>
      </c>
      <c r="F7179" t="inlineStr">
        <is>
          <t>STS 630A SPECIFIQUE</t>
        </is>
      </c>
      <c r="J7179" t="inlineStr">
        <is>
          <t>MATRION</t>
        </is>
      </c>
      <c r="K7179" t="inlineStr">
        <is>
          <t>FILERIE</t>
        </is>
      </c>
      <c r="L7179">
        <f>_xlfn.XLOOKUP(Tableau1[[#This Row],[TYPE DE PIECE]],Tableau4[MATIERE],Tableau4[SHORT TYPE],"",0,1)</f>
        <v/>
      </c>
      <c r="N7179">
        <f>IF(ISERR(FIND("DECOUPE",Tableau1[[#This Row],[DESIGNATION]])),"","NEED REF")</f>
        <v/>
      </c>
    </row>
    <row r="7180">
      <c r="B7180" t="n">
        <v>34406825</v>
      </c>
      <c r="C7180" s="2" t="n">
        <v>43263</v>
      </c>
      <c r="D7180" t="inlineStr">
        <is>
          <t>SPEC</t>
        </is>
      </c>
      <c r="E7180" t="inlineStr">
        <is>
          <t>PASSE CABLE ALU</t>
        </is>
      </c>
      <c r="F7180" t="inlineStr">
        <is>
          <t>STS 630A SPECIFIQUE</t>
        </is>
      </c>
      <c r="J7180" t="inlineStr">
        <is>
          <t>MATRION</t>
        </is>
      </c>
      <c r="K7180" t="inlineStr">
        <is>
          <t>METAL</t>
        </is>
      </c>
      <c r="L7180">
        <f>_xlfn.XLOOKUP(Tableau1[[#This Row],[TYPE DE PIECE]],Tableau4[MATIERE],Tableau4[SHORT TYPE],"",0,1)</f>
        <v/>
      </c>
      <c r="N7180">
        <f>IF(ISERR(FIND("DECOUPE",Tableau1[[#This Row],[DESIGNATION]])),"","NEED REF")</f>
        <v/>
      </c>
    </row>
    <row r="7181">
      <c r="B7181" t="n">
        <v>34406824</v>
      </c>
      <c r="C7181" s="2" t="n">
        <v>43263</v>
      </c>
      <c r="D7181" t="inlineStr">
        <is>
          <t>SPEC</t>
        </is>
      </c>
      <c r="E7181" t="inlineStr">
        <is>
          <t>PLASTRON RACCORDEMENT</t>
        </is>
      </c>
      <c r="F7181" t="inlineStr">
        <is>
          <t>STS 630A SPECIFIQUE</t>
        </is>
      </c>
      <c r="J7181" t="inlineStr">
        <is>
          <t>MATRION</t>
        </is>
      </c>
      <c r="K7181" t="inlineStr">
        <is>
          <t>METAL</t>
        </is>
      </c>
      <c r="L7181">
        <f>_xlfn.XLOOKUP(Tableau1[[#This Row],[TYPE DE PIECE]],Tableau4[MATIERE],Tableau4[SHORT TYPE],"",0,1)</f>
        <v/>
      </c>
      <c r="N7181">
        <f>IF(ISERR(FIND("DECOUPE",Tableau1[[#This Row],[DESIGNATION]])),"","NEED REF")</f>
        <v/>
      </c>
    </row>
    <row r="7182">
      <c r="B7182" t="n">
        <v>34406823</v>
      </c>
      <c r="C7182" s="2" t="n">
        <v>43263</v>
      </c>
      <c r="D7182" t="inlineStr">
        <is>
          <t>SPEC</t>
        </is>
      </c>
      <c r="E7182" t="inlineStr">
        <is>
          <t>PLASTRON DISTRIB.</t>
        </is>
      </c>
      <c r="F7182" t="inlineStr">
        <is>
          <t>STS 630A SPECIFIQUE</t>
        </is>
      </c>
      <c r="J7182" t="inlineStr">
        <is>
          <t>MATRION</t>
        </is>
      </c>
      <c r="K7182" t="inlineStr">
        <is>
          <t>METAL</t>
        </is>
      </c>
      <c r="L7182">
        <f>_xlfn.XLOOKUP(Tableau1[[#This Row],[TYPE DE PIECE]],Tableau4[MATIERE],Tableau4[SHORT TYPE],"",0,1)</f>
        <v/>
      </c>
      <c r="N7182">
        <f>IF(ISERR(FIND("DECOUPE",Tableau1[[#This Row],[DESIGNATION]])),"","NEED REF")</f>
        <v/>
      </c>
    </row>
    <row r="7183">
      <c r="B7183" t="n">
        <v>34406822</v>
      </c>
      <c r="C7183" s="2" t="n">
        <v>43263</v>
      </c>
      <c r="D7183" t="inlineStr">
        <is>
          <t>SPEC</t>
        </is>
      </c>
      <c r="E7183" t="inlineStr">
        <is>
          <t>MONTANT ARRIERE</t>
        </is>
      </c>
      <c r="F7183" t="inlineStr">
        <is>
          <t>STS 630A SPECIFIQUE</t>
        </is>
      </c>
      <c r="J7183" t="inlineStr">
        <is>
          <t>MATRION</t>
        </is>
      </c>
      <c r="K7183" t="inlineStr">
        <is>
          <t>METAL</t>
        </is>
      </c>
      <c r="L7183">
        <f>_xlfn.XLOOKUP(Tableau1[[#This Row],[TYPE DE PIECE]],Tableau4[MATIERE],Tableau4[SHORT TYPE],"",0,1)</f>
        <v/>
      </c>
      <c r="N7183">
        <f>IF(ISERR(FIND("DECOUPE",Tableau1[[#This Row],[DESIGNATION]])),"","NEED REF")</f>
        <v/>
      </c>
    </row>
    <row r="7184">
      <c r="B7184" t="n">
        <v>34406821</v>
      </c>
      <c r="C7184" s="2" t="n">
        <v>43263</v>
      </c>
      <c r="D7184" t="inlineStr">
        <is>
          <t>SPEC</t>
        </is>
      </c>
      <c r="E7184" t="inlineStr">
        <is>
          <t>SUPPORT RACC SOURCES (VERS HAUT)</t>
        </is>
      </c>
      <c r="F7184" t="inlineStr">
        <is>
          <t>STS 630A SPECIFIQUE</t>
        </is>
      </c>
      <c r="J7184" t="inlineStr">
        <is>
          <t>MATRION</t>
        </is>
      </c>
      <c r="K7184" t="inlineStr">
        <is>
          <t>METAL</t>
        </is>
      </c>
      <c r="L7184">
        <f>_xlfn.XLOOKUP(Tableau1[[#This Row],[TYPE DE PIECE]],Tableau4[MATIERE],Tableau4[SHORT TYPE],"",0,1)</f>
        <v/>
      </c>
      <c r="N7184">
        <f>IF(ISERR(FIND("DECOUPE",Tableau1[[#This Row],[DESIGNATION]])),"","NEED REF")</f>
        <v/>
      </c>
    </row>
    <row r="7185">
      <c r="B7185" t="n">
        <v>34406820</v>
      </c>
      <c r="C7185" s="2" t="n">
        <v>43264</v>
      </c>
      <c r="D7185" t="inlineStr">
        <is>
          <t>CANEVAS</t>
        </is>
      </c>
      <c r="E7185" t="inlineStr">
        <is>
          <t>NS800H 4P 4P3D PRISES ARRIERE HAUT</t>
        </is>
      </c>
      <c r="F7185" t="inlineStr">
        <is>
          <t>BYPASS 500KW SYMMETRA</t>
        </is>
      </c>
      <c r="J7185" t="inlineStr">
        <is>
          <t>ROBERT</t>
        </is>
      </c>
      <c r="L7185">
        <f>_xlfn.XLOOKUP(Tableau1[[#This Row],[TYPE DE PIECE]],Tableau4[MATIERE],Tableau4[SHORT TYPE],"",0,1)</f>
        <v/>
      </c>
      <c r="N7185">
        <f>IF(ISERR(FIND("DECOUPE",Tableau1[[#This Row],[DESIGNATION]])),"","NEED REF")</f>
        <v/>
      </c>
    </row>
    <row r="7186">
      <c r="B7186" t="n">
        <v>34406819</v>
      </c>
      <c r="C7186" s="2" t="n">
        <v>43264</v>
      </c>
      <c r="D7186" t="inlineStr">
        <is>
          <t>CANEVAS</t>
        </is>
      </c>
      <c r="E7186" t="inlineStr">
        <is>
          <t>NS800H 3P PRISES AVANT</t>
        </is>
      </c>
      <c r="F7186" t="inlineStr">
        <is>
          <t>BYPASS 500KW SYMMETRA</t>
        </is>
      </c>
      <c r="J7186" t="inlineStr">
        <is>
          <t>ROBERT</t>
        </is>
      </c>
      <c r="L7186">
        <f>_xlfn.XLOOKUP(Tableau1[[#This Row],[TYPE DE PIECE]],Tableau4[MATIERE],Tableau4[SHORT TYPE],"",0,1)</f>
        <v/>
      </c>
      <c r="N7186">
        <f>IF(ISERR(FIND("DECOUPE",Tableau1[[#This Row],[DESIGNATION]])),"","NEED REF")</f>
        <v/>
      </c>
    </row>
    <row r="7187">
      <c r="B7187" t="n">
        <v>34406818</v>
      </c>
      <c r="C7187" s="2" t="n">
        <v>43264</v>
      </c>
      <c r="D7187" t="inlineStr">
        <is>
          <t>CANEVAS</t>
        </is>
      </c>
      <c r="E7187" t="inlineStr">
        <is>
          <t>NS1000H 3P PRISES AVANT</t>
        </is>
      </c>
      <c r="F7187" t="inlineStr">
        <is>
          <t>BYPASS 500KW SYMMETRA</t>
        </is>
      </c>
      <c r="J7187" t="inlineStr">
        <is>
          <t>ROBERT</t>
        </is>
      </c>
      <c r="L7187">
        <f>_xlfn.XLOOKUP(Tableau1[[#This Row],[TYPE DE PIECE]],Tableau4[MATIERE],Tableau4[SHORT TYPE],"",0,1)</f>
        <v/>
      </c>
      <c r="N7187">
        <f>IF(ISERR(FIND("DECOUPE",Tableau1[[#This Row],[DESIGNATION]])),"","NEED REF")</f>
        <v/>
      </c>
    </row>
    <row r="7188">
      <c r="B7188" t="n">
        <v>34406817</v>
      </c>
      <c r="C7188" s="2" t="n">
        <v>43264</v>
      </c>
      <c r="D7188" t="inlineStr">
        <is>
          <t>CANEVAS</t>
        </is>
      </c>
      <c r="E7188" t="inlineStr">
        <is>
          <t>NS800NA 4P PRISES ARRIERE BAS</t>
        </is>
      </c>
      <c r="F7188" t="inlineStr">
        <is>
          <t>BYPASS 500KW SYMMETRA</t>
        </is>
      </c>
      <c r="J7188" t="inlineStr">
        <is>
          <t>ROBERT</t>
        </is>
      </c>
      <c r="L7188">
        <f>_xlfn.XLOOKUP(Tableau1[[#This Row],[TYPE DE PIECE]],Tableau4[MATIERE],Tableau4[SHORT TYPE],"",0,1)</f>
        <v/>
      </c>
      <c r="N7188">
        <f>IF(ISERR(FIND("DECOUPE",Tableau1[[#This Row],[DESIGNATION]])),"","NEED REF")</f>
        <v/>
      </c>
    </row>
    <row r="7189">
      <c r="B7189" t="n">
        <v>34406816</v>
      </c>
      <c r="C7189" s="2" t="n">
        <v>43263</v>
      </c>
      <c r="D7189" t="inlineStr">
        <is>
          <t>SPEC</t>
        </is>
      </c>
      <c r="E7189" t="inlineStr">
        <is>
          <t>SUPPORT RACC SOURCES</t>
        </is>
      </c>
      <c r="F7189" t="inlineStr">
        <is>
          <t>STS 630A SPECIFIQUE</t>
        </is>
      </c>
      <c r="J7189" t="inlineStr">
        <is>
          <t>MATRION</t>
        </is>
      </c>
      <c r="K7189" t="inlineStr">
        <is>
          <t>METAL</t>
        </is>
      </c>
      <c r="L7189">
        <f>_xlfn.XLOOKUP(Tableau1[[#This Row],[TYPE DE PIECE]],Tableau4[MATIERE],Tableau4[SHORT TYPE],"",0,1)</f>
        <v/>
      </c>
      <c r="N7189">
        <f>IF(ISERR(FIND("DECOUPE",Tableau1[[#This Row],[DESIGNATION]])),"","NEED REF")</f>
        <v/>
      </c>
    </row>
    <row r="7190">
      <c r="B7190" t="n">
        <v>34406815</v>
      </c>
      <c r="C7190" s="2" t="n">
        <v>43263</v>
      </c>
      <c r="D7190" t="inlineStr">
        <is>
          <t>NOM</t>
        </is>
      </c>
      <c r="E7190" t="inlineStr">
        <is>
          <t>LGD STS 630A FULL H1900 SANS CELLULE</t>
        </is>
      </c>
      <c r="F7190" t="inlineStr">
        <is>
          <t>STS 630A SPECIFIQUE</t>
        </is>
      </c>
      <c r="J7190" t="inlineStr">
        <is>
          <t>MATRION</t>
        </is>
      </c>
      <c r="K7190" t="inlineStr">
        <is>
          <t>NOM</t>
        </is>
      </c>
      <c r="L7190">
        <f>_xlfn.XLOOKUP(Tableau1[[#This Row],[TYPE DE PIECE]],Tableau4[MATIERE],Tableau4[SHORT TYPE],"",0,1)</f>
        <v/>
      </c>
      <c r="N7190">
        <f>IF(ISERR(FIND("DECOUPE",Tableau1[[#This Row],[DESIGNATION]])),"","NEED REF")</f>
        <v/>
      </c>
    </row>
    <row r="7191">
      <c r="B7191" t="n">
        <v>34406814</v>
      </c>
      <c r="C7191" s="2" t="n">
        <v>43263</v>
      </c>
      <c r="D7191" t="inlineStr">
        <is>
          <t>SPEC</t>
        </is>
      </c>
      <c r="E7191" t="inlineStr">
        <is>
          <t>PLATINE DISTRIB.</t>
        </is>
      </c>
      <c r="F7191" t="inlineStr">
        <is>
          <t>STS 630A SPECIFIQUE</t>
        </is>
      </c>
      <c r="J7191" t="inlineStr">
        <is>
          <t>MATRION</t>
        </is>
      </c>
      <c r="K7191" t="inlineStr">
        <is>
          <t>METAL</t>
        </is>
      </c>
      <c r="L7191">
        <f>_xlfn.XLOOKUP(Tableau1[[#This Row],[TYPE DE PIECE]],Tableau4[MATIERE],Tableau4[SHORT TYPE],"",0,1)</f>
        <v/>
      </c>
      <c r="N7191">
        <f>IF(ISERR(FIND("DECOUPE",Tableau1[[#This Row],[DESIGNATION]])),"","NEED REF")</f>
        <v/>
      </c>
    </row>
    <row r="7192">
      <c r="B7192" t="n">
        <v>34406813</v>
      </c>
      <c r="C7192" s="2" t="n">
        <v>43263</v>
      </c>
      <c r="D7192" t="inlineStr">
        <is>
          <t>SPEC</t>
        </is>
      </c>
      <c r="E7192" t="inlineStr">
        <is>
          <t>CX SOURCE BYPASS 2</t>
        </is>
      </c>
      <c r="F7192" t="inlineStr">
        <is>
          <t>STS 630A SPECIFIQUE</t>
        </is>
      </c>
      <c r="J7192" t="inlineStr">
        <is>
          <t>MATRION</t>
        </is>
      </c>
      <c r="K7192" t="inlineStr">
        <is>
          <t>CUIVRE</t>
        </is>
      </c>
      <c r="L7192">
        <f>_xlfn.XLOOKUP(Tableau1[[#This Row],[TYPE DE PIECE]],Tableau4[MATIERE],Tableau4[SHORT TYPE],"",0,1)</f>
        <v/>
      </c>
      <c r="N7192">
        <f>IF(ISERR(FIND("DECOUPE",Tableau1[[#This Row],[DESIGNATION]])),"","NEED REF")</f>
        <v/>
      </c>
    </row>
    <row r="7193">
      <c r="B7193" t="n">
        <v>34406812</v>
      </c>
      <c r="C7193" s="2" t="n">
        <v>43263</v>
      </c>
      <c r="D7193" t="inlineStr">
        <is>
          <t>SPEC</t>
        </is>
      </c>
      <c r="E7193" t="inlineStr">
        <is>
          <t>CX UTIL. BYPASS</t>
        </is>
      </c>
      <c r="F7193" t="inlineStr">
        <is>
          <t>STS 630A SPECIFIQUE</t>
        </is>
      </c>
      <c r="J7193" t="inlineStr">
        <is>
          <t>MATRION</t>
        </is>
      </c>
      <c r="K7193" t="inlineStr">
        <is>
          <t>CUIVRE</t>
        </is>
      </c>
      <c r="L7193">
        <f>_xlfn.XLOOKUP(Tableau1[[#This Row],[TYPE DE PIECE]],Tableau4[MATIERE],Tableau4[SHORT TYPE],"",0,1)</f>
        <v/>
      </c>
      <c r="N7193">
        <f>IF(ISERR(FIND("DECOUPE",Tableau1[[#This Row],[DESIGNATION]])),"","NEED REF")</f>
        <v/>
      </c>
    </row>
    <row r="7194">
      <c r="B7194" t="n">
        <v>34406811</v>
      </c>
      <c r="C7194" s="2" t="n">
        <v>43263</v>
      </c>
      <c r="D7194" t="inlineStr">
        <is>
          <t>SPEC</t>
        </is>
      </c>
      <c r="E7194" t="inlineStr">
        <is>
          <t>CX SOURCE BYPASS 1</t>
        </is>
      </c>
      <c r="F7194" t="inlineStr">
        <is>
          <t>STS 630A SPECIFIQUE</t>
        </is>
      </c>
      <c r="J7194" t="inlineStr">
        <is>
          <t>MATRION</t>
        </is>
      </c>
      <c r="K7194" t="inlineStr">
        <is>
          <t>CUIVRE</t>
        </is>
      </c>
      <c r="L7194">
        <f>_xlfn.XLOOKUP(Tableau1[[#This Row],[TYPE DE PIECE]],Tableau4[MATIERE],Tableau4[SHORT TYPE],"",0,1)</f>
        <v/>
      </c>
      <c r="N7194">
        <f>IF(ISERR(FIND("DECOUPE",Tableau1[[#This Row],[DESIGNATION]])),"","NEED REF")</f>
        <v/>
      </c>
    </row>
    <row r="7195">
      <c r="B7195" t="n">
        <v>34406810</v>
      </c>
      <c r="C7195" s="2" t="n">
        <v>43250</v>
      </c>
      <c r="D7195" t="inlineStr">
        <is>
          <t>SPEC</t>
        </is>
      </c>
      <c r="E7195" t="inlineStr">
        <is>
          <t>Ceinture hauteur 250 mm_Format de base 731x541</t>
        </is>
      </c>
      <c r="F7195" t="inlineStr">
        <is>
          <t xml:space="preserve">STS PACKAGING 600*800 </t>
        </is>
      </c>
      <c r="J7195" t="inlineStr">
        <is>
          <t>MONGELLI</t>
        </is>
      </c>
      <c r="L7195">
        <f>_xlfn.XLOOKUP(Tableau1[[#This Row],[TYPE DE PIECE]],Tableau4[MATIERE],Tableau4[SHORT TYPE],"",0,1)</f>
        <v/>
      </c>
      <c r="N7195">
        <f>IF(ISERR(FIND("DECOUPE",Tableau1[[#This Row],[DESIGNATION]])),"","NEED REF")</f>
        <v/>
      </c>
    </row>
    <row r="7196">
      <c r="B7196" t="n">
        <v>34406809</v>
      </c>
      <c r="C7196" s="2" t="n">
        <v>43258</v>
      </c>
      <c r="D7196" t="inlineStr">
        <is>
          <t>SPEC</t>
        </is>
      </c>
      <c r="E7196" t="inlineStr">
        <is>
          <t>Kit frontal - latéral VENTILE SPACIAL SF L700 H2000+R100 P1000 STS630A</t>
        </is>
      </c>
      <c r="F7196" t="inlineStr">
        <is>
          <t>STS 630A SPECIFIQUE</t>
        </is>
      </c>
      <c r="J7196" t="inlineStr">
        <is>
          <t>MATRION</t>
        </is>
      </c>
      <c r="K7196" t="inlineStr">
        <is>
          <t>SAREL</t>
        </is>
      </c>
      <c r="L7196">
        <f>_xlfn.XLOOKUP(Tableau1[[#This Row],[TYPE DE PIECE]],Tableau4[MATIERE],Tableau4[SHORT TYPE],"",0,1)</f>
        <v/>
      </c>
      <c r="N7196">
        <f>IF(ISERR(FIND("DECOUPE",Tableau1[[#This Row],[DESIGNATION]])),"","NEED REF")</f>
        <v/>
      </c>
    </row>
    <row r="7197">
      <c r="B7197" t="n">
        <v>34406808</v>
      </c>
      <c r="C7197" s="2" t="n">
        <v>43258</v>
      </c>
      <c r="D7197" t="inlineStr">
        <is>
          <t>SPEC</t>
        </is>
      </c>
      <c r="E7197" t="inlineStr">
        <is>
          <t>FINITION CELLULE SPACIAL SF L700 H2000+R100 P1000 STS630A</t>
        </is>
      </c>
      <c r="F7197" t="inlineStr">
        <is>
          <t>STS 630A SPECIFIQUE</t>
        </is>
      </c>
      <c r="J7197" t="inlineStr">
        <is>
          <t>MATRION</t>
        </is>
      </c>
      <c r="K7197" t="inlineStr">
        <is>
          <t>SAREL</t>
        </is>
      </c>
      <c r="L7197">
        <f>_xlfn.XLOOKUP(Tableau1[[#This Row],[TYPE DE PIECE]],Tableau4[MATIERE],Tableau4[SHORT TYPE],"",0,1)</f>
        <v/>
      </c>
      <c r="N7197">
        <f>IF(ISERR(FIND("DECOUPE",Tableau1[[#This Row],[DESIGNATION]])),"","NEED REF")</f>
        <v/>
      </c>
    </row>
    <row r="7198">
      <c r="B7198" t="n">
        <v>34406807</v>
      </c>
      <c r="C7198" s="2" t="n">
        <v>43258</v>
      </c>
      <c r="D7198" t="inlineStr">
        <is>
          <t>SPEC</t>
        </is>
      </c>
      <c r="E7198" t="inlineStr">
        <is>
          <t>SPACIAL SF L700 H2000+R100 P1000 STS630A</t>
        </is>
      </c>
      <c r="F7198" t="inlineStr">
        <is>
          <t>STS 630A SPECIFIQUE</t>
        </is>
      </c>
      <c r="J7198" t="inlineStr">
        <is>
          <t>MATRION</t>
        </is>
      </c>
      <c r="K7198" t="inlineStr">
        <is>
          <t>SAREL</t>
        </is>
      </c>
      <c r="L7198">
        <f>_xlfn.XLOOKUP(Tableau1[[#This Row],[TYPE DE PIECE]],Tableau4[MATIERE],Tableau4[SHORT TYPE],"",0,1)</f>
        <v/>
      </c>
      <c r="N7198">
        <f>IF(ISERR(FIND("DECOUPE",Tableau1[[#This Row],[DESIGNATION]])),"","NEED REF")</f>
        <v/>
      </c>
    </row>
    <row r="7199">
      <c r="B7199" t="n">
        <v>34406806</v>
      </c>
      <c r="C7199" s="2" t="n">
        <v>43258</v>
      </c>
      <c r="D7199" t="inlineStr">
        <is>
          <t>SPEC</t>
        </is>
      </c>
      <c r="E7199" t="inlineStr">
        <is>
          <t>TOIT STS SF 700x1000</t>
        </is>
      </c>
      <c r="F7199" t="inlineStr">
        <is>
          <t>STS 630A SPECIFIQUE</t>
        </is>
      </c>
      <c r="J7199" t="inlineStr">
        <is>
          <t>MATRION</t>
        </is>
      </c>
      <c r="K7199" t="inlineStr">
        <is>
          <t>SAREL</t>
        </is>
      </c>
      <c r="L7199">
        <f>_xlfn.XLOOKUP(Tableau1[[#This Row],[TYPE DE PIECE]],Tableau4[MATIERE],Tableau4[SHORT TYPE],"",0,1)</f>
        <v/>
      </c>
      <c r="N7199">
        <f>IF(ISERR(FIND("DECOUPE",Tableau1[[#This Row],[DESIGNATION]])),"","NEED REF")</f>
        <v/>
      </c>
    </row>
    <row r="7200">
      <c r="B7200" t="n">
        <v>34406805</v>
      </c>
      <c r="C7200" s="2" t="n">
        <v>43258</v>
      </c>
      <c r="D7200" t="inlineStr">
        <is>
          <t>SPEC</t>
        </is>
      </c>
      <c r="E7200" t="inlineStr">
        <is>
          <t>PORTE STS SF 2000x700</t>
        </is>
      </c>
      <c r="F7200" t="inlineStr">
        <is>
          <t>STS 630A SPECIFIQUE</t>
        </is>
      </c>
      <c r="J7200" t="inlineStr">
        <is>
          <t>MATRION</t>
        </is>
      </c>
      <c r="K7200" t="inlineStr">
        <is>
          <t>SAREL</t>
        </is>
      </c>
      <c r="L7200">
        <f>_xlfn.XLOOKUP(Tableau1[[#This Row],[TYPE DE PIECE]],Tableau4[MATIERE],Tableau4[SHORT TYPE],"",0,1)</f>
        <v/>
      </c>
      <c r="N7200">
        <f>IF(ISERR(FIND("DECOUPE",Tableau1[[#This Row],[DESIGNATION]])),"","NEED REF")</f>
        <v/>
      </c>
    </row>
    <row r="7201">
      <c r="B7201" t="n">
        <v>34406804</v>
      </c>
      <c r="C7201" s="2" t="n">
        <v>43257</v>
      </c>
      <c r="D7201" t="inlineStr">
        <is>
          <t>SPEC</t>
        </is>
      </c>
      <c r="E7201" t="inlineStr">
        <is>
          <t xml:space="preserve">Ossature de cellule spacial SF 2000x700x1000_F18060129BCN-A0 </t>
        </is>
      </c>
      <c r="F7201" t="inlineStr">
        <is>
          <t>STS 630 IP00 RACC HAUT RAL9023</t>
        </is>
      </c>
      <c r="J7201" t="inlineStr">
        <is>
          <t>MONGELLI / MATRION</t>
        </is>
      </c>
      <c r="K7201" t="inlineStr">
        <is>
          <t>SAREL</t>
        </is>
      </c>
      <c r="L7201">
        <f>_xlfn.XLOOKUP(Tableau1[[#This Row],[TYPE DE PIECE]],Tableau4[MATIERE],Tableau4[SHORT TYPE],"",0,1)</f>
        <v/>
      </c>
      <c r="N7201">
        <f>IF(ISERR(FIND("DECOUPE",Tableau1[[#This Row],[DESIGNATION]])),"","NEED REF")</f>
        <v/>
      </c>
    </row>
    <row r="7202">
      <c r="B7202" t="n">
        <v>34406803</v>
      </c>
      <c r="C7202" s="2" t="n">
        <v>43250</v>
      </c>
      <c r="D7202" t="inlineStr">
        <is>
          <t>SPEC</t>
        </is>
      </c>
      <c r="E7202" t="inlineStr">
        <is>
          <t>SUPPORT RACCORDEMENT CLIENT</t>
        </is>
      </c>
      <c r="J7202" t="inlineStr">
        <is>
          <t>MATRION</t>
        </is>
      </c>
      <c r="L7202">
        <f>_xlfn.XLOOKUP(Tableau1[[#This Row],[TYPE DE PIECE]],Tableau4[MATIERE],Tableau4[SHORT TYPE],"",0,1)</f>
        <v/>
      </c>
      <c r="N7202">
        <f>IF(ISERR(FIND("DECOUPE",Tableau1[[#This Row],[DESIGNATION]])),"","NEED REF")</f>
        <v/>
      </c>
    </row>
    <row r="7203">
      <c r="B7203" t="n">
        <v>34406802</v>
      </c>
      <c r="C7203" s="2" t="n">
        <v>43250</v>
      </c>
      <c r="D7203" t="inlineStr">
        <is>
          <t>SPEC</t>
        </is>
      </c>
      <c r="E7203" t="inlineStr">
        <is>
          <t>MONTANT AVANT</t>
        </is>
      </c>
      <c r="J7203" t="inlineStr">
        <is>
          <t>MATRION</t>
        </is>
      </c>
      <c r="L7203">
        <f>_xlfn.XLOOKUP(Tableau1[[#This Row],[TYPE DE PIECE]],Tableau4[MATIERE],Tableau4[SHORT TYPE],"",0,1)</f>
        <v/>
      </c>
      <c r="N7203">
        <f>IF(ISERR(FIND("DECOUPE",Tableau1[[#This Row],[DESIGNATION]])),"","NEED REF")</f>
        <v/>
      </c>
    </row>
    <row r="7204">
      <c r="B7204" t="n">
        <v>34406801</v>
      </c>
      <c r="C7204" s="2" t="n">
        <v>43250</v>
      </c>
      <c r="D7204" t="inlineStr">
        <is>
          <t>SPEC</t>
        </is>
      </c>
      <c r="E7204" t="inlineStr">
        <is>
          <t>PROTECTION SHIELD 2 INS V2</t>
        </is>
      </c>
      <c r="F7204" t="inlineStr">
        <is>
          <t>BYPASS G3500+TFO</t>
        </is>
      </c>
      <c r="J7204" t="inlineStr">
        <is>
          <t>MATRION</t>
        </is>
      </c>
      <c r="L7204">
        <f>_xlfn.XLOOKUP(Tableau1[[#This Row],[TYPE DE PIECE]],Tableau4[MATIERE],Tableau4[SHORT TYPE],"",0,1)</f>
        <v/>
      </c>
      <c r="N7204">
        <f>IF(ISERR(FIND("DECOUPE",Tableau1[[#This Row],[DESIGNATION]])),"","NEED REF")</f>
        <v/>
      </c>
    </row>
    <row r="7205">
      <c r="B7205" t="n">
        <v>34406800</v>
      </c>
      <c r="C7205" s="2" t="n">
        <v>43215</v>
      </c>
      <c r="D7205" t="inlineStr">
        <is>
          <t>SPEC</t>
        </is>
      </c>
      <c r="E7205" t="inlineStr">
        <is>
          <t>COMPACT NS1250 NA 4P (33494)</t>
        </is>
      </c>
      <c r="F7205" t="inlineStr">
        <is>
          <t>MBC GVX</t>
        </is>
      </c>
      <c r="J7205" t="inlineStr">
        <is>
          <t>MATRION</t>
        </is>
      </c>
      <c r="L7205">
        <f>_xlfn.XLOOKUP(Tableau1[[#This Row],[TYPE DE PIECE]],Tableau4[MATIERE],Tableau4[SHORT TYPE],"",0,1)</f>
        <v/>
      </c>
      <c r="N7205">
        <f>IF(ISERR(FIND("DECOUPE",Tableau1[[#This Row],[DESIGNATION]])),"","NEED REF")</f>
        <v/>
      </c>
    </row>
    <row r="7206">
      <c r="B7206" t="n">
        <v>34406799</v>
      </c>
      <c r="C7206" s="2" t="n">
        <v>43215</v>
      </c>
      <c r="D7206" t="inlineStr">
        <is>
          <t>SPEC</t>
        </is>
      </c>
      <c r="E7206" t="inlineStr">
        <is>
          <t>Masterpact NW32 H2 4P Micro2.0</t>
        </is>
      </c>
      <c r="F7206" t="inlineStr">
        <is>
          <t>MBC GVX</t>
        </is>
      </c>
      <c r="J7206" t="inlineStr">
        <is>
          <t>MATRION</t>
        </is>
      </c>
      <c r="L7206">
        <f>_xlfn.XLOOKUP(Tableau1[[#This Row],[TYPE DE PIECE]],Tableau4[MATIERE],Tableau4[SHORT TYPE],"",0,1)</f>
        <v/>
      </c>
      <c r="N7206">
        <f>IF(ISERR(FIND("DECOUPE",Tableau1[[#This Row],[DESIGNATION]])),"","NEED REF")</f>
        <v/>
      </c>
    </row>
    <row r="7207">
      <c r="B7207" t="n">
        <v>34406798</v>
      </c>
      <c r="C7207" s="2" t="n">
        <v>43215</v>
      </c>
      <c r="D7207" t="inlineStr">
        <is>
          <t>SPEC</t>
        </is>
      </c>
      <c r="E7207" t="inlineStr">
        <is>
          <t>Masterpact NW25 H2 4P Micro2.0</t>
        </is>
      </c>
      <c r="F7207" t="inlineStr">
        <is>
          <t>MBC GVX</t>
        </is>
      </c>
      <c r="J7207" t="inlineStr">
        <is>
          <t>MATRION</t>
        </is>
      </c>
      <c r="L7207">
        <f>_xlfn.XLOOKUP(Tableau1[[#This Row],[TYPE DE PIECE]],Tableau4[MATIERE],Tableau4[SHORT TYPE],"",0,1)</f>
        <v/>
      </c>
      <c r="N7207">
        <f>IF(ISERR(FIND("DECOUPE",Tableau1[[#This Row],[DESIGNATION]])),"","NEED REF")</f>
        <v/>
      </c>
    </row>
    <row r="7208">
      <c r="B7208" t="n">
        <v>34406797</v>
      </c>
      <c r="C7208" s="2" t="n">
        <v>43215</v>
      </c>
      <c r="D7208" t="inlineStr">
        <is>
          <t>SPEC</t>
        </is>
      </c>
      <c r="E7208" t="inlineStr">
        <is>
          <t>CX RACCORDEMENT CLIENT N COMMUN 2800A</t>
        </is>
      </c>
      <c r="F7208" t="inlineStr">
        <is>
          <t>MBC GVX</t>
        </is>
      </c>
      <c r="J7208" t="inlineStr">
        <is>
          <t>MATRION</t>
        </is>
      </c>
      <c r="L7208">
        <f>_xlfn.XLOOKUP(Tableau1[[#This Row],[TYPE DE PIECE]],Tableau4[MATIERE],Tableau4[SHORT TYPE],"",0,1)</f>
        <v/>
      </c>
      <c r="N7208">
        <f>IF(ISERR(FIND("DECOUPE",Tableau1[[#This Row],[DESIGNATION]])),"","NEED REF")</f>
        <v/>
      </c>
    </row>
    <row r="7209">
      <c r="B7209" t="n">
        <v>34406796</v>
      </c>
      <c r="C7209" s="2" t="n">
        <v>43215</v>
      </c>
      <c r="D7209" t="inlineStr">
        <is>
          <t>SPEC</t>
        </is>
      </c>
      <c r="E7209" t="inlineStr">
        <is>
          <t>DEMI TUNNEL MASTERPACT FIXE 2</t>
        </is>
      </c>
      <c r="F7209" t="inlineStr">
        <is>
          <t>MBC GVX</t>
        </is>
      </c>
      <c r="J7209" t="inlineStr">
        <is>
          <t>MATRION</t>
        </is>
      </c>
      <c r="L7209">
        <f>_xlfn.XLOOKUP(Tableau1[[#This Row],[TYPE DE PIECE]],Tableau4[MATIERE],Tableau4[SHORT TYPE],"",0,1)</f>
        <v/>
      </c>
      <c r="N7209">
        <f>IF(ISERR(FIND("DECOUPE",Tableau1[[#This Row],[DESIGNATION]])),"","NEED REF")</f>
        <v/>
      </c>
    </row>
    <row r="7210">
      <c r="B7210" t="n">
        <v>34406795</v>
      </c>
      <c r="C7210" s="2" t="n">
        <v>43215</v>
      </c>
      <c r="D7210" t="inlineStr">
        <is>
          <t>SPEC</t>
        </is>
      </c>
      <c r="E7210" t="inlineStr">
        <is>
          <t>JONCTION LINERGY/LINERGY 1650KW</t>
        </is>
      </c>
      <c r="F7210" t="inlineStr">
        <is>
          <t>MBC GVX</t>
        </is>
      </c>
      <c r="J7210" t="inlineStr">
        <is>
          <t>MATRION</t>
        </is>
      </c>
      <c r="L7210">
        <f>_xlfn.XLOOKUP(Tableau1[[#This Row],[TYPE DE PIECE]],Tableau4[MATIERE],Tableau4[SHORT TYPE],"",0,1)</f>
        <v/>
      </c>
      <c r="N7210">
        <f>IF(ISERR(FIND("DECOUPE",Tableau1[[#This Row],[DESIGNATION]])),"","NEED REF")</f>
        <v/>
      </c>
    </row>
    <row r="7211">
      <c r="B7211" t="n">
        <v>34406794</v>
      </c>
      <c r="C7211" s="2" t="n">
        <v>43304</v>
      </c>
      <c r="D7211" t="inlineStr">
        <is>
          <t>SPEC</t>
        </is>
      </c>
      <c r="E7211" t="inlineStr">
        <is>
          <t>SUPPORT LINERGY DOUBLE MBP 1500KW</t>
        </is>
      </c>
      <c r="F7211" t="inlineStr">
        <is>
          <t>MBC GVX</t>
        </is>
      </c>
      <c r="J7211" t="inlineStr">
        <is>
          <t>MATRION</t>
        </is>
      </c>
      <c r="K7211" t="inlineStr">
        <is>
          <t>METAL</t>
        </is>
      </c>
      <c r="L7211">
        <f>_xlfn.XLOOKUP(Tableau1[[#This Row],[TYPE DE PIECE]],Tableau4[MATIERE],Tableau4[SHORT TYPE],"",0,1)</f>
        <v/>
      </c>
      <c r="N7211">
        <f>IF(ISERR(FIND("DECOUPE",Tableau1[[#This Row],[DESIGNATION]])),"","NEED REF")</f>
        <v/>
      </c>
    </row>
    <row r="7212">
      <c r="B7212" t="n">
        <v>34406793</v>
      </c>
      <c r="C7212" s="2" t="n">
        <v>43235</v>
      </c>
      <c r="D7212" t="inlineStr">
        <is>
          <t>SPEC</t>
        </is>
      </c>
      <c r="E7212" t="inlineStr">
        <is>
          <t>SUPPORT PLATINE BAS</t>
        </is>
      </c>
      <c r="F7212" t="inlineStr">
        <is>
          <t>Symmetra PX 500KVA</t>
        </is>
      </c>
      <c r="J7212" t="inlineStr">
        <is>
          <t>ROBERT</t>
        </is>
      </c>
      <c r="L7212">
        <f>_xlfn.XLOOKUP(Tableau1[[#This Row],[TYPE DE PIECE]],Tableau4[MATIERE],Tableau4[SHORT TYPE],"",0,1)</f>
        <v/>
      </c>
      <c r="N7212">
        <f>IF(ISERR(FIND("DECOUPE",Tableau1[[#This Row],[DESIGNATION]])),"","NEED REF")</f>
        <v/>
      </c>
    </row>
    <row r="7213">
      <c r="B7213" t="n">
        <v>34406792</v>
      </c>
      <c r="C7213" s="2" t="n">
        <v>43235</v>
      </c>
      <c r="D7213" t="inlineStr">
        <is>
          <t>SPEC</t>
        </is>
      </c>
      <c r="E7213" t="inlineStr">
        <is>
          <t>CABLE LIMANDE EXTERNAL COURANT D'ECHANGE 70M</t>
        </is>
      </c>
      <c r="F7213" t="inlineStr">
        <is>
          <t>G7K</t>
        </is>
      </c>
      <c r="J7213" t="inlineStr">
        <is>
          <t>ÇAKIR</t>
        </is>
      </c>
      <c r="L7213">
        <f>_xlfn.XLOOKUP(Tableau1[[#This Row],[TYPE DE PIECE]],Tableau4[MATIERE],Tableau4[SHORT TYPE],"",0,1)</f>
        <v/>
      </c>
      <c r="N7213">
        <f>IF(ISERR(FIND("DECOUPE",Tableau1[[#This Row],[DESIGNATION]])),"","NEED REF")</f>
        <v/>
      </c>
    </row>
    <row r="7214">
      <c r="B7214" t="n">
        <v>34406791</v>
      </c>
      <c r="C7214" s="2" t="n">
        <v>43235</v>
      </c>
      <c r="D7214" t="inlineStr">
        <is>
          <t>SPEC</t>
        </is>
      </c>
      <c r="E7214" t="inlineStr">
        <is>
          <t>CABLE LIMANDE EXTERNAL COURANT D'ECHANGE 60M</t>
        </is>
      </c>
      <c r="F7214" t="inlineStr">
        <is>
          <t>G7K</t>
        </is>
      </c>
      <c r="J7214" t="inlineStr">
        <is>
          <t>ÇAKIR</t>
        </is>
      </c>
      <c r="L7214">
        <f>_xlfn.XLOOKUP(Tableau1[[#This Row],[TYPE DE PIECE]],Tableau4[MATIERE],Tableau4[SHORT TYPE],"",0,1)</f>
        <v/>
      </c>
      <c r="N7214">
        <f>IF(ISERR(FIND("DECOUPE",Tableau1[[#This Row],[DESIGNATION]])),"","NEED REF")</f>
        <v/>
      </c>
    </row>
    <row r="7215">
      <c r="B7215" t="n">
        <v>34406790</v>
      </c>
      <c r="C7215" s="2" t="n">
        <v>43235</v>
      </c>
      <c r="D7215" t="inlineStr">
        <is>
          <t>SPEC</t>
        </is>
      </c>
      <c r="E7215" t="inlineStr">
        <is>
          <t>CABLE LIMANDE EXTERNAL COURANT D'ECHANGE 31M</t>
        </is>
      </c>
      <c r="F7215" t="inlineStr">
        <is>
          <t>G7K</t>
        </is>
      </c>
      <c r="J7215" t="inlineStr">
        <is>
          <t>ÇAKIR</t>
        </is>
      </c>
      <c r="L7215">
        <f>_xlfn.XLOOKUP(Tableau1[[#This Row],[TYPE DE PIECE]],Tableau4[MATIERE],Tableau4[SHORT TYPE],"",0,1)</f>
        <v/>
      </c>
      <c r="N7215">
        <f>IF(ISERR(FIND("DECOUPE",Tableau1[[#This Row],[DESIGNATION]])),"","NEED REF")</f>
        <v/>
      </c>
    </row>
    <row r="7216">
      <c r="B7216" t="n">
        <v>34406789</v>
      </c>
      <c r="C7216" s="2" t="n">
        <v>43235</v>
      </c>
      <c r="D7216" t="inlineStr">
        <is>
          <t>SPEC</t>
        </is>
      </c>
      <c r="E7216" t="inlineStr">
        <is>
          <t>CABLE LIMANDE EXTERNAL CAN 70M</t>
        </is>
      </c>
      <c r="F7216" t="inlineStr">
        <is>
          <t>G7K</t>
        </is>
      </c>
      <c r="J7216" t="inlineStr">
        <is>
          <t>ÇAKIR</t>
        </is>
      </c>
      <c r="L7216">
        <f>_xlfn.XLOOKUP(Tableau1[[#This Row],[TYPE DE PIECE]],Tableau4[MATIERE],Tableau4[SHORT TYPE],"",0,1)</f>
        <v/>
      </c>
      <c r="N7216">
        <f>IF(ISERR(FIND("DECOUPE",Tableau1[[#This Row],[DESIGNATION]])),"","NEED REF")</f>
        <v/>
      </c>
    </row>
    <row r="7217">
      <c r="B7217" t="n">
        <v>34406788</v>
      </c>
      <c r="C7217" s="2" t="n">
        <v>43235</v>
      </c>
      <c r="D7217" t="inlineStr">
        <is>
          <t>SPEC</t>
        </is>
      </c>
      <c r="E7217" t="inlineStr">
        <is>
          <t>CABLE LIMANDE EXTERNAL CAN 60M</t>
        </is>
      </c>
      <c r="F7217" t="inlineStr">
        <is>
          <t>G7K</t>
        </is>
      </c>
      <c r="J7217" t="inlineStr">
        <is>
          <t>ÇAKIR</t>
        </is>
      </c>
      <c r="L7217">
        <f>_xlfn.XLOOKUP(Tableau1[[#This Row],[TYPE DE PIECE]],Tableau4[MATIERE],Tableau4[SHORT TYPE],"",0,1)</f>
        <v/>
      </c>
      <c r="N7217">
        <f>IF(ISERR(FIND("DECOUPE",Tableau1[[#This Row],[DESIGNATION]])),"","NEED REF")</f>
        <v/>
      </c>
    </row>
    <row r="7218">
      <c r="B7218" t="n">
        <v>34406787</v>
      </c>
      <c r="C7218" s="2" t="n">
        <v>43235</v>
      </c>
      <c r="D7218" t="inlineStr">
        <is>
          <t>SPEC</t>
        </is>
      </c>
      <c r="E7218" t="inlineStr">
        <is>
          <t>CABLE LIMANDE EXTERNAL CAN 31M</t>
        </is>
      </c>
      <c r="F7218" t="inlineStr">
        <is>
          <t>G7K</t>
        </is>
      </c>
      <c r="J7218" t="inlineStr">
        <is>
          <t>ÇAKIR</t>
        </is>
      </c>
      <c r="L7218">
        <f>_xlfn.XLOOKUP(Tableau1[[#This Row],[TYPE DE PIECE]],Tableau4[MATIERE],Tableau4[SHORT TYPE],"",0,1)</f>
        <v/>
      </c>
      <c r="N7218">
        <f>IF(ISERR(FIND("DECOUPE",Tableau1[[#This Row],[DESIGNATION]])),"","NEED REF")</f>
        <v/>
      </c>
    </row>
    <row r="7219">
      <c r="B7219" t="n">
        <v>34406786</v>
      </c>
      <c r="C7219" s="2" t="n">
        <v>43235</v>
      </c>
      <c r="D7219" t="inlineStr">
        <is>
          <t>SPEC</t>
        </is>
      </c>
      <c r="E7219" t="inlineStr">
        <is>
          <t>TORON FILS FINS STS</t>
        </is>
      </c>
      <c r="F7219" t="inlineStr">
        <is>
          <t>STS 1200</t>
        </is>
      </c>
      <c r="J7219" t="inlineStr">
        <is>
          <t>FOUILLET</t>
        </is>
      </c>
      <c r="L7219">
        <f>_xlfn.XLOOKUP(Tableau1[[#This Row],[TYPE DE PIECE]],Tableau4[MATIERE],Tableau4[SHORT TYPE],"",0,1)</f>
        <v/>
      </c>
      <c r="N7219">
        <f>IF(ISERR(FIND("DECOUPE",Tableau1[[#This Row],[DESIGNATION]])),"","NEED REF")</f>
        <v/>
      </c>
    </row>
    <row r="7220">
      <c r="B7220" t="n">
        <v>34406785</v>
      </c>
      <c r="C7220" s="2" t="n">
        <v>43215</v>
      </c>
      <c r="D7220" t="inlineStr">
        <is>
          <t>SPEC</t>
        </is>
      </c>
      <c r="E7220" t="inlineStr">
        <is>
          <t>Masterpact NW16 HF</t>
        </is>
      </c>
      <c r="F7220" t="inlineStr">
        <is>
          <t>MBC GVX</t>
        </is>
      </c>
      <c r="J7220" t="inlineStr">
        <is>
          <t>MATRION</t>
        </is>
      </c>
      <c r="L7220">
        <f>_xlfn.XLOOKUP(Tableau1[[#This Row],[TYPE DE PIECE]],Tableau4[MATIERE],Tableau4[SHORT TYPE],"",0,1)</f>
        <v/>
      </c>
      <c r="N7220">
        <f>IF(ISERR(FIND("DECOUPE",Tableau1[[#This Row],[DESIGNATION]])),"","NEED REF")</f>
        <v/>
      </c>
    </row>
    <row r="7221">
      <c r="B7221" t="n">
        <v>34406784</v>
      </c>
      <c r="C7221" s="2" t="n">
        <v>43215</v>
      </c>
      <c r="D7221" t="inlineStr">
        <is>
          <t>SPEC</t>
        </is>
      </c>
      <c r="E7221" t="inlineStr">
        <is>
          <t>SUPPORT LINERGY DOUBLE</t>
        </is>
      </c>
      <c r="F7221" t="inlineStr">
        <is>
          <t>MBC GVX</t>
        </is>
      </c>
      <c r="J7221" t="inlineStr">
        <is>
          <t>MATRION</t>
        </is>
      </c>
      <c r="L7221">
        <f>_xlfn.XLOOKUP(Tableau1[[#This Row],[TYPE DE PIECE]],Tableau4[MATIERE],Tableau4[SHORT TYPE],"",0,1)</f>
        <v/>
      </c>
      <c r="N7221">
        <f>IF(ISERR(FIND("DECOUPE",Tableau1[[#This Row],[DESIGNATION]])),"","NEED REF")</f>
        <v/>
      </c>
    </row>
    <row r="7222">
      <c r="B7222" t="n">
        <v>34406783</v>
      </c>
      <c r="C7222" s="2" t="n">
        <v>43215</v>
      </c>
      <c r="D7222" t="inlineStr">
        <is>
          <t>SPEC</t>
        </is>
      </c>
      <c r="E7222" t="inlineStr">
        <is>
          <t>JONCTION LINERGY FLEXIBAR 1650KW</t>
        </is>
      </c>
      <c r="F7222" t="inlineStr">
        <is>
          <t>MBC GVX</t>
        </is>
      </c>
      <c r="J7222" t="inlineStr">
        <is>
          <t>MATRION</t>
        </is>
      </c>
      <c r="L7222">
        <f>_xlfn.XLOOKUP(Tableau1[[#This Row],[TYPE DE PIECE]],Tableau4[MATIERE],Tableau4[SHORT TYPE],"",0,1)</f>
        <v/>
      </c>
      <c r="N7222">
        <f>IF(ISERR(FIND("DECOUPE",Tableau1[[#This Row],[DESIGNATION]])),"","NEED REF")</f>
        <v/>
      </c>
    </row>
    <row r="7223">
      <c r="B7223" t="n">
        <v>34406782</v>
      </c>
      <c r="C7223" s="2" t="n">
        <v>43215</v>
      </c>
      <c r="D7223" t="inlineStr">
        <is>
          <t>SPEC</t>
        </is>
      </c>
      <c r="F7223" t="inlineStr">
        <is>
          <t>MBC GVX</t>
        </is>
      </c>
      <c r="J7223" t="inlineStr">
        <is>
          <t>MATRION</t>
        </is>
      </c>
      <c r="L7223">
        <f>_xlfn.XLOOKUP(Tableau1[[#This Row],[TYPE DE PIECE]],Tableau4[MATIERE],Tableau4[SHORT TYPE],"",0,1)</f>
        <v/>
      </c>
      <c r="N7223">
        <f>IF(ISERR(FIND("DECOUPE",Tableau1[[#This Row],[DESIGNATION]])),"","NEED REF")</f>
        <v/>
      </c>
    </row>
    <row r="7224">
      <c r="B7224" t="n">
        <v>34406781</v>
      </c>
      <c r="C7224" s="2" t="n">
        <v>43215</v>
      </c>
      <c r="D7224" t="inlineStr">
        <is>
          <t>SPEC</t>
        </is>
      </c>
      <c r="E7224" t="inlineStr">
        <is>
          <t>LIAISON FLEXIBLE NW-LINERGY 4 NW16</t>
        </is>
      </c>
      <c r="F7224" t="inlineStr">
        <is>
          <t>MBC GVX</t>
        </is>
      </c>
      <c r="J7224" t="inlineStr">
        <is>
          <t>MATRION</t>
        </is>
      </c>
      <c r="L7224">
        <f>_xlfn.XLOOKUP(Tableau1[[#This Row],[TYPE DE PIECE]],Tableau4[MATIERE],Tableau4[SHORT TYPE],"",0,1)</f>
        <v/>
      </c>
      <c r="N7224">
        <f>IF(ISERR(FIND("DECOUPE",Tableau1[[#This Row],[DESIGNATION]])),"","NEED REF")</f>
        <v/>
      </c>
    </row>
    <row r="7225">
      <c r="B7225" t="n">
        <v>34406780</v>
      </c>
      <c r="C7225" s="2" t="n">
        <v>43215</v>
      </c>
      <c r="D7225" t="inlineStr">
        <is>
          <t>SPEC</t>
        </is>
      </c>
      <c r="F7225" t="inlineStr">
        <is>
          <t>MBC GVX</t>
        </is>
      </c>
      <c r="J7225" t="inlineStr">
        <is>
          <t>MATRION</t>
        </is>
      </c>
      <c r="L7225">
        <f>_xlfn.XLOOKUP(Tableau1[[#This Row],[TYPE DE PIECE]],Tableau4[MATIERE],Tableau4[SHORT TYPE],"",0,1)</f>
        <v/>
      </c>
      <c r="N7225">
        <f>IF(ISERR(FIND("DECOUPE",Tableau1[[#This Row],[DESIGNATION]])),"","NEED REF")</f>
        <v/>
      </c>
    </row>
    <row r="7226">
      <c r="B7226" t="n">
        <v>34406779</v>
      </c>
      <c r="C7226" s="2" t="n">
        <v>43215</v>
      </c>
      <c r="D7226" t="inlineStr">
        <is>
          <t>SPEC</t>
        </is>
      </c>
      <c r="E7226" t="inlineStr">
        <is>
          <t>LIAISON FLEXIBLE NW-LINERGY 3 NW16</t>
        </is>
      </c>
      <c r="F7226" t="inlineStr">
        <is>
          <t>MBC GVX</t>
        </is>
      </c>
      <c r="J7226" t="inlineStr">
        <is>
          <t>MATRION</t>
        </is>
      </c>
      <c r="L7226">
        <f>_xlfn.XLOOKUP(Tableau1[[#This Row],[TYPE DE PIECE]],Tableau4[MATIERE],Tableau4[SHORT TYPE],"",0,1)</f>
        <v/>
      </c>
      <c r="N7226">
        <f>IF(ISERR(FIND("DECOUPE",Tableau1[[#This Row],[DESIGNATION]])),"","NEED REF")</f>
        <v/>
      </c>
    </row>
    <row r="7227">
      <c r="B7227" t="n">
        <v>34406778</v>
      </c>
      <c r="C7227" s="2" t="n">
        <v>43215</v>
      </c>
      <c r="D7227" t="inlineStr">
        <is>
          <t>SPEC</t>
        </is>
      </c>
      <c r="F7227" t="inlineStr">
        <is>
          <t>MBC GVX</t>
        </is>
      </c>
      <c r="J7227" t="inlineStr">
        <is>
          <t>MATRION</t>
        </is>
      </c>
      <c r="L7227">
        <f>_xlfn.XLOOKUP(Tableau1[[#This Row],[TYPE DE PIECE]],Tableau4[MATIERE],Tableau4[SHORT TYPE],"",0,1)</f>
        <v/>
      </c>
      <c r="N7227">
        <f>IF(ISERR(FIND("DECOUPE",Tableau1[[#This Row],[DESIGNATION]])),"","NEED REF")</f>
        <v/>
      </c>
    </row>
    <row r="7228">
      <c r="B7228" t="n">
        <v>34406777</v>
      </c>
      <c r="C7228" s="2" t="n">
        <v>43215</v>
      </c>
      <c r="D7228" t="inlineStr">
        <is>
          <t>SPEC</t>
        </is>
      </c>
      <c r="E7228" t="inlineStr">
        <is>
          <t>LIAISON FLEXIBLE NW-LINERGY 2 NW16</t>
        </is>
      </c>
      <c r="F7228" t="inlineStr">
        <is>
          <t>MBC GVX</t>
        </is>
      </c>
      <c r="J7228" t="inlineStr">
        <is>
          <t>MATRION</t>
        </is>
      </c>
      <c r="L7228">
        <f>_xlfn.XLOOKUP(Tableau1[[#This Row],[TYPE DE PIECE]],Tableau4[MATIERE],Tableau4[SHORT TYPE],"",0,1)</f>
        <v/>
      </c>
      <c r="N7228">
        <f>IF(ISERR(FIND("DECOUPE",Tableau1[[#This Row],[DESIGNATION]])),"","NEED REF")</f>
        <v/>
      </c>
    </row>
    <row r="7229">
      <c r="B7229" t="n">
        <v>34406776</v>
      </c>
      <c r="C7229" s="2" t="n">
        <v>43215</v>
      </c>
      <c r="D7229" t="inlineStr">
        <is>
          <t>SPEC</t>
        </is>
      </c>
      <c r="F7229" t="inlineStr">
        <is>
          <t>MBC GVX</t>
        </is>
      </c>
      <c r="J7229" t="inlineStr">
        <is>
          <t>MATRION</t>
        </is>
      </c>
      <c r="L7229">
        <f>_xlfn.XLOOKUP(Tableau1[[#This Row],[TYPE DE PIECE]],Tableau4[MATIERE],Tableau4[SHORT TYPE],"",0,1)</f>
        <v/>
      </c>
      <c r="N7229">
        <f>IF(ISERR(FIND("DECOUPE",Tableau1[[#This Row],[DESIGNATION]])),"","NEED REF")</f>
        <v/>
      </c>
    </row>
    <row r="7230">
      <c r="B7230" t="n">
        <v>34406775</v>
      </c>
      <c r="C7230" s="2" t="n">
        <v>43215</v>
      </c>
      <c r="D7230" t="inlineStr">
        <is>
          <t>SPEC</t>
        </is>
      </c>
      <c r="E7230" t="inlineStr">
        <is>
          <t>LIAISON FLEXIBLE NW-LINERGY 1 NW16</t>
        </is>
      </c>
      <c r="F7230" t="inlineStr">
        <is>
          <t>MBC GVX</t>
        </is>
      </c>
      <c r="J7230" t="inlineStr">
        <is>
          <t>MATRION</t>
        </is>
      </c>
      <c r="L7230">
        <f>_xlfn.XLOOKUP(Tableau1[[#This Row],[TYPE DE PIECE]],Tableau4[MATIERE],Tableau4[SHORT TYPE],"",0,1)</f>
        <v/>
      </c>
      <c r="N7230">
        <f>IF(ISERR(FIND("DECOUPE",Tableau1[[#This Row],[DESIGNATION]])),"","NEED REF")</f>
        <v/>
      </c>
    </row>
    <row r="7231">
      <c r="B7231" t="n">
        <v>34406774</v>
      </c>
      <c r="C7231" s="2" t="n">
        <v>43215</v>
      </c>
      <c r="D7231" t="inlineStr">
        <is>
          <t>SPEC</t>
        </is>
      </c>
      <c r="F7231" t="inlineStr">
        <is>
          <t>MBC GVX</t>
        </is>
      </c>
      <c r="J7231" t="inlineStr">
        <is>
          <t>MATRION</t>
        </is>
      </c>
      <c r="L7231">
        <f>_xlfn.XLOOKUP(Tableau1[[#This Row],[TYPE DE PIECE]],Tableau4[MATIERE],Tableau4[SHORT TYPE],"",0,1)</f>
        <v/>
      </c>
      <c r="N7231">
        <f>IF(ISERR(FIND("DECOUPE",Tableau1[[#This Row],[DESIGNATION]])),"","NEED REF")</f>
        <v/>
      </c>
    </row>
    <row r="7232">
      <c r="B7232" t="n">
        <v>34406773</v>
      </c>
      <c r="C7232" s="2" t="n">
        <v>43215</v>
      </c>
      <c r="D7232" t="inlineStr">
        <is>
          <t>SPEC</t>
        </is>
      </c>
      <c r="F7232" t="inlineStr">
        <is>
          <t>MBC GVX</t>
        </is>
      </c>
      <c r="J7232" t="inlineStr">
        <is>
          <t>MATRION</t>
        </is>
      </c>
      <c r="L7232">
        <f>_xlfn.XLOOKUP(Tableau1[[#This Row],[TYPE DE PIECE]],Tableau4[MATIERE],Tableau4[SHORT TYPE],"",0,1)</f>
        <v/>
      </c>
      <c r="N7232">
        <f>IF(ISERR(FIND("DECOUPE",Tableau1[[#This Row],[DESIGNATION]])),"","NEED REF")</f>
        <v/>
      </c>
    </row>
    <row r="7233">
      <c r="B7233" t="n">
        <v>34406772</v>
      </c>
      <c r="C7233" s="2" t="n">
        <v>43215</v>
      </c>
      <c r="D7233" t="inlineStr">
        <is>
          <t>SPEC</t>
        </is>
      </c>
      <c r="F7233" t="inlineStr">
        <is>
          <t>MBC GVX</t>
        </is>
      </c>
      <c r="J7233" t="inlineStr">
        <is>
          <t>MATRION</t>
        </is>
      </c>
      <c r="L7233">
        <f>_xlfn.XLOOKUP(Tableau1[[#This Row],[TYPE DE PIECE]],Tableau4[MATIERE],Tableau4[SHORT TYPE],"",0,1)</f>
        <v/>
      </c>
      <c r="N7233">
        <f>IF(ISERR(FIND("DECOUPE",Tableau1[[#This Row],[DESIGNATION]])),"","NEED REF")</f>
        <v/>
      </c>
    </row>
    <row r="7234">
      <c r="B7234" t="n">
        <v>34406771</v>
      </c>
      <c r="C7234" s="2" t="n">
        <v>43215</v>
      </c>
      <c r="D7234" t="inlineStr">
        <is>
          <t>SPEC</t>
        </is>
      </c>
      <c r="F7234" t="inlineStr">
        <is>
          <t>MBC GVX</t>
        </is>
      </c>
      <c r="J7234" t="inlineStr">
        <is>
          <t>MATRION</t>
        </is>
      </c>
      <c r="L7234">
        <f>_xlfn.XLOOKUP(Tableau1[[#This Row],[TYPE DE PIECE]],Tableau4[MATIERE],Tableau4[SHORT TYPE],"",0,1)</f>
        <v/>
      </c>
      <c r="N7234">
        <f>IF(ISERR(FIND("DECOUPE",Tableau1[[#This Row],[DESIGNATION]])),"","NEED REF")</f>
        <v/>
      </c>
    </row>
    <row r="7235">
      <c r="B7235" t="n">
        <v>34406770</v>
      </c>
      <c r="C7235" s="2" t="n">
        <v>43215</v>
      </c>
      <c r="D7235" t="inlineStr">
        <is>
          <t>SPEC</t>
        </is>
      </c>
      <c r="F7235" t="inlineStr">
        <is>
          <t>MBC GVX</t>
        </is>
      </c>
      <c r="J7235" t="inlineStr">
        <is>
          <t>MATRION</t>
        </is>
      </c>
      <c r="L7235">
        <f>_xlfn.XLOOKUP(Tableau1[[#This Row],[TYPE DE PIECE]],Tableau4[MATIERE],Tableau4[SHORT TYPE],"",0,1)</f>
        <v/>
      </c>
      <c r="N7235">
        <f>IF(ISERR(FIND("DECOUPE",Tableau1[[#This Row],[DESIGNATION]])),"","NEED REF")</f>
        <v/>
      </c>
    </row>
    <row r="7236">
      <c r="B7236" t="n">
        <v>34406769</v>
      </c>
      <c r="C7236" s="2" t="n">
        <v>43215</v>
      </c>
      <c r="D7236" t="inlineStr">
        <is>
          <t>SPEC</t>
        </is>
      </c>
      <c r="F7236" t="inlineStr">
        <is>
          <t>MBC GVX</t>
        </is>
      </c>
      <c r="J7236" t="inlineStr">
        <is>
          <t>MATRION</t>
        </is>
      </c>
      <c r="L7236">
        <f>_xlfn.XLOOKUP(Tableau1[[#This Row],[TYPE DE PIECE]],Tableau4[MATIERE],Tableau4[SHORT TYPE],"",0,1)</f>
        <v/>
      </c>
      <c r="N7236">
        <f>IF(ISERR(FIND("DECOUPE",Tableau1[[#This Row],[DESIGNATION]])),"","NEED REF")</f>
        <v/>
      </c>
    </row>
    <row r="7237">
      <c r="B7237" t="n">
        <v>34406768</v>
      </c>
      <c r="C7237" s="2" t="n">
        <v>43215</v>
      </c>
      <c r="D7237" t="inlineStr">
        <is>
          <t>SPEC</t>
        </is>
      </c>
      <c r="F7237" t="inlineStr">
        <is>
          <t>MBC GVX</t>
        </is>
      </c>
      <c r="J7237" t="inlineStr">
        <is>
          <t>MATRION</t>
        </is>
      </c>
      <c r="L7237">
        <f>_xlfn.XLOOKUP(Tableau1[[#This Row],[TYPE DE PIECE]],Tableau4[MATIERE],Tableau4[SHORT TYPE],"",0,1)</f>
        <v/>
      </c>
      <c r="N7237">
        <f>IF(ISERR(FIND("DECOUPE",Tableau1[[#This Row],[DESIGNATION]])),"","NEED REF")</f>
        <v/>
      </c>
    </row>
    <row r="7238">
      <c r="B7238" t="n">
        <v>34406767</v>
      </c>
      <c r="C7238" s="2" t="n">
        <v>43215</v>
      </c>
      <c r="D7238" t="inlineStr">
        <is>
          <t>SPEC</t>
        </is>
      </c>
      <c r="F7238" t="inlineStr">
        <is>
          <t>MBC GVX</t>
        </is>
      </c>
      <c r="J7238" t="inlineStr">
        <is>
          <t>MATRION</t>
        </is>
      </c>
      <c r="L7238">
        <f>_xlfn.XLOOKUP(Tableau1[[#This Row],[TYPE DE PIECE]],Tableau4[MATIERE],Tableau4[SHORT TYPE],"",0,1)</f>
        <v/>
      </c>
      <c r="N7238">
        <f>IF(ISERR(FIND("DECOUPE",Tableau1[[#This Row],[DESIGNATION]])),"","NEED REF")</f>
        <v/>
      </c>
    </row>
    <row r="7239">
      <c r="B7239" t="n">
        <v>34406766</v>
      </c>
      <c r="C7239" s="2" t="n">
        <v>43215</v>
      </c>
      <c r="D7239" t="inlineStr">
        <is>
          <t>SPEC</t>
        </is>
      </c>
      <c r="F7239" t="inlineStr">
        <is>
          <t>MBC GVX</t>
        </is>
      </c>
      <c r="J7239" t="inlineStr">
        <is>
          <t>MATRION</t>
        </is>
      </c>
      <c r="L7239">
        <f>_xlfn.XLOOKUP(Tableau1[[#This Row],[TYPE DE PIECE]],Tableau4[MATIERE],Tableau4[SHORT TYPE],"",0,1)</f>
        <v/>
      </c>
      <c r="N7239">
        <f>IF(ISERR(FIND("DECOUPE",Tableau1[[#This Row],[DESIGNATION]])),"","NEED REF")</f>
        <v/>
      </c>
    </row>
    <row r="7240">
      <c r="B7240" t="n">
        <v>34406765</v>
      </c>
      <c r="C7240" s="2" t="n">
        <v>43215</v>
      </c>
      <c r="D7240" t="inlineStr">
        <is>
          <t>NOM</t>
        </is>
      </c>
      <c r="F7240" t="inlineStr">
        <is>
          <t>MBC GVX</t>
        </is>
      </c>
      <c r="J7240" t="inlineStr">
        <is>
          <t>MATRION</t>
        </is>
      </c>
      <c r="L7240">
        <f>_xlfn.XLOOKUP(Tableau1[[#This Row],[TYPE DE PIECE]],Tableau4[MATIERE],Tableau4[SHORT TYPE],"",0,1)</f>
        <v/>
      </c>
      <c r="N7240">
        <f>IF(ISERR(FIND("DECOUPE",Tableau1[[#This Row],[DESIGNATION]])),"","NEED REF")</f>
        <v/>
      </c>
    </row>
    <row r="7241">
      <c r="B7241" t="n">
        <v>34406764</v>
      </c>
      <c r="C7241" s="2" t="n">
        <v>43215</v>
      </c>
      <c r="D7241" t="inlineStr">
        <is>
          <t>SPEC</t>
        </is>
      </c>
      <c r="E7241" t="inlineStr">
        <is>
          <t>DECOUPE BARRE CU 04528</t>
        </is>
      </c>
      <c r="F7241" t="inlineStr">
        <is>
          <t>MBC GVX</t>
        </is>
      </c>
      <c r="J7241" t="inlineStr">
        <is>
          <t>MATRION</t>
        </is>
      </c>
      <c r="K7241" t="inlineStr">
        <is>
          <t>ETO</t>
        </is>
      </c>
      <c r="L7241">
        <f>_xlfn.XLOOKUP(Tableau1[[#This Row],[TYPE DE PIECE]],Tableau4[MATIERE],Tableau4[SHORT TYPE],"",0,1)</f>
        <v/>
      </c>
      <c r="N7241" t="inlineStr">
        <is>
          <t>LVS04528</t>
        </is>
      </c>
    </row>
    <row r="7242">
      <c r="B7242" t="n">
        <v>34406763</v>
      </c>
      <c r="C7242" s="2" t="n">
        <v>43215</v>
      </c>
      <c r="D7242" t="inlineStr">
        <is>
          <t>SPEC</t>
        </is>
      </c>
      <c r="E7242" t="inlineStr">
        <is>
          <t>DECOUPE PROFIL NSYCNT40</t>
        </is>
      </c>
      <c r="F7242" t="inlineStr">
        <is>
          <t>MBC GVX</t>
        </is>
      </c>
      <c r="J7242" t="inlineStr">
        <is>
          <t>MATRION</t>
        </is>
      </c>
      <c r="L7242">
        <f>_xlfn.XLOOKUP(Tableau1[[#This Row],[TYPE DE PIECE]],Tableau4[MATIERE],Tableau4[SHORT TYPE],"",0,1)</f>
        <v/>
      </c>
      <c r="N7242" t="inlineStr">
        <is>
          <t>NSYCNT40</t>
        </is>
      </c>
    </row>
    <row r="7243">
      <c r="B7243" t="n">
        <v>34406762</v>
      </c>
      <c r="C7243" s="2" t="n">
        <v>43215</v>
      </c>
      <c r="D7243" t="inlineStr">
        <is>
          <t>SPEC</t>
        </is>
      </c>
      <c r="E7243" t="inlineStr">
        <is>
          <t>DECOUPE PROFIL NSYCNT40</t>
        </is>
      </c>
      <c r="F7243" t="inlineStr">
        <is>
          <t>MBC GVX</t>
        </is>
      </c>
      <c r="J7243" t="inlineStr">
        <is>
          <t>MATRION</t>
        </is>
      </c>
      <c r="L7243">
        <f>_xlfn.XLOOKUP(Tableau1[[#This Row],[TYPE DE PIECE]],Tableau4[MATIERE],Tableau4[SHORT TYPE],"",0,1)</f>
        <v/>
      </c>
      <c r="N7243" t="inlineStr">
        <is>
          <t>NSYCNT40</t>
        </is>
      </c>
    </row>
    <row r="7244">
      <c r="B7244" t="n">
        <v>34406761</v>
      </c>
      <c r="C7244" s="2" t="n">
        <v>43215</v>
      </c>
      <c r="D7244" t="inlineStr">
        <is>
          <t>SPEC</t>
        </is>
      </c>
      <c r="E7244" t="inlineStr">
        <is>
          <t>cale alu coro NS</t>
        </is>
      </c>
      <c r="F7244" t="inlineStr">
        <is>
          <t>Symmetra PX 500KVA</t>
        </is>
      </c>
      <c r="J7244" t="inlineStr">
        <is>
          <t>REVEL</t>
        </is>
      </c>
      <c r="K7244" t="inlineStr">
        <is>
          <t>CUIVRE</t>
        </is>
      </c>
      <c r="L7244">
        <f>_xlfn.XLOOKUP(Tableau1[[#This Row],[TYPE DE PIECE]],Tableau4[MATIERE],Tableau4[SHORT TYPE],"",0,1)</f>
        <v/>
      </c>
      <c r="N7244">
        <f>IF(ISERR(FIND("DECOUPE",Tableau1[[#This Row],[DESIGNATION]])),"","NEED REF")</f>
        <v/>
      </c>
    </row>
    <row r="7245">
      <c r="B7245" t="n">
        <v>34406760</v>
      </c>
      <c r="C7245" s="2" t="n">
        <v>43215</v>
      </c>
      <c r="D7245" t="inlineStr">
        <is>
          <t>SPEC</t>
        </is>
      </c>
      <c r="E7245" t="inlineStr">
        <is>
          <t>LATERAL PROTECTION SHIELD SUPPORT 7</t>
        </is>
      </c>
      <c r="F7245" t="inlineStr">
        <is>
          <t>Symmetra PX 500KVA</t>
        </is>
      </c>
      <c r="J7245" t="inlineStr">
        <is>
          <t>REVEL</t>
        </is>
      </c>
      <c r="L7245">
        <f>_xlfn.XLOOKUP(Tableau1[[#This Row],[TYPE DE PIECE]],Tableau4[MATIERE],Tableau4[SHORT TYPE],"",0,1)</f>
        <v/>
      </c>
      <c r="N7245">
        <f>IF(ISERR(FIND("DECOUPE",Tableau1[[#This Row],[DESIGNATION]])),"","NEED REF")</f>
        <v/>
      </c>
    </row>
    <row r="7246">
      <c r="B7246" t="n">
        <v>34406759</v>
      </c>
      <c r="C7246" s="2" t="n">
        <v>43215</v>
      </c>
      <c r="D7246" t="inlineStr">
        <is>
          <t>SPEC</t>
        </is>
      </c>
      <c r="E7246" t="inlineStr">
        <is>
          <t>LATERAL PROTECTION SHIELD SUPPORT 6</t>
        </is>
      </c>
      <c r="F7246" t="inlineStr">
        <is>
          <t>Symmetra PX 500KVA</t>
        </is>
      </c>
      <c r="J7246" t="inlineStr">
        <is>
          <t>REVEL</t>
        </is>
      </c>
      <c r="L7246">
        <f>_xlfn.XLOOKUP(Tableau1[[#This Row],[TYPE DE PIECE]],Tableau4[MATIERE],Tableau4[SHORT TYPE],"",0,1)</f>
        <v/>
      </c>
      <c r="N7246">
        <f>IF(ISERR(FIND("DECOUPE",Tableau1[[#This Row],[DESIGNATION]])),"","NEED REF")</f>
        <v/>
      </c>
    </row>
    <row r="7247">
      <c r="B7247" t="n">
        <v>34406758</v>
      </c>
      <c r="C7247" s="2" t="n">
        <v>43215</v>
      </c>
      <c r="D7247" t="inlineStr">
        <is>
          <t>SPEC</t>
        </is>
      </c>
      <c r="E7247" t="inlineStr">
        <is>
          <t>seuil haut et bas</t>
        </is>
      </c>
      <c r="F7247" t="inlineStr">
        <is>
          <t>Symmetra PX 500KVA</t>
        </is>
      </c>
      <c r="J7247" t="inlineStr">
        <is>
          <t>REVEL</t>
        </is>
      </c>
      <c r="L7247">
        <f>_xlfn.XLOOKUP(Tableau1[[#This Row],[TYPE DE PIECE]],Tableau4[MATIERE],Tableau4[SHORT TYPE],"",0,1)</f>
        <v/>
      </c>
      <c r="N7247">
        <f>IF(ISERR(FIND("DECOUPE",Tableau1[[#This Row],[DESIGNATION]])),"","NEED REF")</f>
        <v/>
      </c>
    </row>
    <row r="7248">
      <c r="B7248" t="n">
        <v>34406757</v>
      </c>
      <c r="C7248" s="2" t="n">
        <v>43215</v>
      </c>
      <c r="D7248" t="inlineStr">
        <is>
          <t>SPEC</t>
        </is>
      </c>
      <c r="E7248" t="inlineStr">
        <is>
          <t>SUPPORT ARRIERE</t>
        </is>
      </c>
      <c r="F7248" t="inlineStr">
        <is>
          <t>Symmetra PX 500KVA</t>
        </is>
      </c>
      <c r="J7248" t="inlineStr">
        <is>
          <t>REVEL</t>
        </is>
      </c>
      <c r="L7248">
        <f>_xlfn.XLOOKUP(Tableau1[[#This Row],[TYPE DE PIECE]],Tableau4[MATIERE],Tableau4[SHORT TYPE],"",0,1)</f>
        <v/>
      </c>
      <c r="N7248">
        <f>IF(ISERR(FIND("DECOUPE",Tableau1[[#This Row],[DESIGNATION]])),"","NEED REF")</f>
        <v/>
      </c>
    </row>
    <row r="7249">
      <c r="B7249" t="n">
        <v>34406756</v>
      </c>
      <c r="C7249" s="2" t="n">
        <v>43215</v>
      </c>
      <c r="D7249" t="inlineStr">
        <is>
          <t>SPEC</t>
        </is>
      </c>
      <c r="E7249" t="inlineStr">
        <is>
          <t>CX RACCORDEMENT CLIENT 2</t>
        </is>
      </c>
      <c r="F7249" t="inlineStr">
        <is>
          <t>Symmetra PX 500KVA</t>
        </is>
      </c>
      <c r="J7249" t="inlineStr">
        <is>
          <t>REVEL</t>
        </is>
      </c>
      <c r="L7249">
        <f>_xlfn.XLOOKUP(Tableau1[[#This Row],[TYPE DE PIECE]],Tableau4[MATIERE],Tableau4[SHORT TYPE],"",0,1)</f>
        <v/>
      </c>
      <c r="N7249">
        <f>IF(ISERR(FIND("DECOUPE",Tableau1[[#This Row],[DESIGNATION]])),"","NEED REF")</f>
        <v/>
      </c>
    </row>
    <row r="7250">
      <c r="B7250" t="n">
        <v>34406755</v>
      </c>
      <c r="C7250" s="2" t="n">
        <v>43215</v>
      </c>
      <c r="D7250" t="inlineStr">
        <is>
          <t>SPEC</t>
        </is>
      </c>
      <c r="E7250" t="inlineStr">
        <is>
          <t>CX RACCORDEMENT CLIENT 1</t>
        </is>
      </c>
      <c r="F7250" t="inlineStr">
        <is>
          <t>Symmetra PX 500KVA</t>
        </is>
      </c>
      <c r="J7250" t="inlineStr">
        <is>
          <t>REVEL</t>
        </is>
      </c>
      <c r="L7250">
        <f>_xlfn.XLOOKUP(Tableau1[[#This Row],[TYPE DE PIECE]],Tableau4[MATIERE],Tableau4[SHORT TYPE],"",0,1)</f>
        <v/>
      </c>
      <c r="N7250">
        <f>IF(ISERR(FIND("DECOUPE",Tableau1[[#This Row],[DESIGNATION]])),"","NEED REF")</f>
        <v/>
      </c>
    </row>
    <row r="7251">
      <c r="B7251" t="n">
        <v>34406754</v>
      </c>
      <c r="C7251" s="2" t="n">
        <v>43215</v>
      </c>
      <c r="D7251" t="inlineStr">
        <is>
          <t>SPEC</t>
        </is>
      </c>
      <c r="E7251" t="inlineStr">
        <is>
          <t>Felxible interco bas barre</t>
        </is>
      </c>
      <c r="F7251" t="inlineStr">
        <is>
          <t>Symmetra PX 500KVA</t>
        </is>
      </c>
      <c r="J7251" t="inlineStr">
        <is>
          <t>REVEL</t>
        </is>
      </c>
      <c r="L7251">
        <f>_xlfn.XLOOKUP(Tableau1[[#This Row],[TYPE DE PIECE]],Tableau4[MATIERE],Tableau4[SHORT TYPE],"",0,1)</f>
        <v/>
      </c>
      <c r="N7251">
        <f>IF(ISERR(FIND("DECOUPE",Tableau1[[#This Row],[DESIGNATION]])),"","NEED REF")</f>
        <v/>
      </c>
    </row>
    <row r="7252">
      <c r="B7252" t="n">
        <v>34406753</v>
      </c>
      <c r="C7252" s="2" t="n">
        <v>43215</v>
      </c>
      <c r="D7252" t="inlineStr">
        <is>
          <t>SPEC</t>
        </is>
      </c>
      <c r="E7252" t="inlineStr">
        <is>
          <t>CIRCUIT BREAKER SUPPORT</t>
        </is>
      </c>
      <c r="F7252" t="inlineStr">
        <is>
          <t>Symmetra PX 500KVA</t>
        </is>
      </c>
      <c r="J7252" t="inlineStr">
        <is>
          <t>REVEL</t>
        </is>
      </c>
      <c r="L7252">
        <f>_xlfn.XLOOKUP(Tableau1[[#This Row],[TYPE DE PIECE]],Tableau4[MATIERE],Tableau4[SHORT TYPE],"",0,1)</f>
        <v/>
      </c>
      <c r="N7252">
        <f>IF(ISERR(FIND("DECOUPE",Tableau1[[#This Row],[DESIGNATION]])),"","NEED REF")</f>
        <v/>
      </c>
    </row>
    <row r="7253">
      <c r="B7253" t="n">
        <v>34406752</v>
      </c>
      <c r="C7253" s="2" t="n">
        <v>43215</v>
      </c>
      <c r="D7253" t="inlineStr">
        <is>
          <t>SPEC</t>
        </is>
      </c>
      <c r="E7253" t="inlineStr">
        <is>
          <t>CIRCUIT BREAKER SUPPORT</t>
        </is>
      </c>
      <c r="F7253" t="inlineStr">
        <is>
          <t>Symmetra PX 500KVA</t>
        </is>
      </c>
      <c r="J7253" t="inlineStr">
        <is>
          <t>REVEL</t>
        </is>
      </c>
      <c r="L7253">
        <f>_xlfn.XLOOKUP(Tableau1[[#This Row],[TYPE DE PIECE]],Tableau4[MATIERE],Tableau4[SHORT TYPE],"",0,1)</f>
        <v/>
      </c>
      <c r="N7253">
        <f>IF(ISERR(FIND("DECOUPE",Tableau1[[#This Row],[DESIGNATION]])),"","NEED REF")</f>
        <v/>
      </c>
    </row>
    <row r="7254">
      <c r="B7254" t="n">
        <v>34406751</v>
      </c>
      <c r="C7254" s="2" t="n">
        <v>43215</v>
      </c>
      <c r="D7254" t="inlineStr">
        <is>
          <t>SPEC</t>
        </is>
      </c>
      <c r="E7254" t="inlineStr">
        <is>
          <t>Rail DIN</t>
        </is>
      </c>
      <c r="F7254" t="inlineStr">
        <is>
          <t>Symmetra PX 500KVA</t>
        </is>
      </c>
      <c r="J7254" t="inlineStr">
        <is>
          <t>REVEL</t>
        </is>
      </c>
      <c r="L7254">
        <f>_xlfn.XLOOKUP(Tableau1[[#This Row],[TYPE DE PIECE]],Tableau4[MATIERE],Tableau4[SHORT TYPE],"",0,1)</f>
        <v/>
      </c>
      <c r="N7254">
        <f>IF(ISERR(FIND("DECOUPE",Tableau1[[#This Row],[DESIGNATION]])),"","NEED REF")</f>
        <v/>
      </c>
    </row>
    <row r="7255">
      <c r="B7255" t="n">
        <v>34406750</v>
      </c>
      <c r="C7255" s="2" t="n">
        <v>43215</v>
      </c>
      <c r="D7255" t="inlineStr">
        <is>
          <t>SPEC</t>
        </is>
      </c>
      <c r="E7255" t="inlineStr">
        <is>
          <t>PERFORATED PROTECTION SHIELD 5</t>
        </is>
      </c>
      <c r="F7255" t="inlineStr">
        <is>
          <t>Symmetra PX 500KVA</t>
        </is>
      </c>
      <c r="J7255" t="inlineStr">
        <is>
          <t>REVEL</t>
        </is>
      </c>
      <c r="L7255">
        <f>_xlfn.XLOOKUP(Tableau1[[#This Row],[TYPE DE PIECE]],Tableau4[MATIERE],Tableau4[SHORT TYPE],"",0,1)</f>
        <v/>
      </c>
      <c r="N7255">
        <f>IF(ISERR(FIND("DECOUPE",Tableau1[[#This Row],[DESIGNATION]])),"","NEED REF")</f>
        <v/>
      </c>
    </row>
    <row r="7256">
      <c r="B7256" t="n">
        <v>34406749</v>
      </c>
      <c r="C7256" s="2" t="n">
        <v>43215</v>
      </c>
      <c r="D7256" t="inlineStr">
        <is>
          <t>SPEC</t>
        </is>
      </c>
      <c r="E7256" t="inlineStr">
        <is>
          <t>CUIVRE GAINEE N</t>
        </is>
      </c>
      <c r="F7256" t="inlineStr">
        <is>
          <t>Symmetra PX 500KVA</t>
        </is>
      </c>
      <c r="J7256" t="inlineStr">
        <is>
          <t>REVEL</t>
        </is>
      </c>
      <c r="L7256">
        <f>_xlfn.XLOOKUP(Tableau1[[#This Row],[TYPE DE PIECE]],Tableau4[MATIERE],Tableau4[SHORT TYPE],"",0,1)</f>
        <v/>
      </c>
      <c r="N7256">
        <f>IF(ISERR(FIND("DECOUPE",Tableau1[[#This Row],[DESIGNATION]])),"","NEED REF")</f>
        <v/>
      </c>
    </row>
    <row r="7257">
      <c r="B7257" t="n">
        <v>34406748</v>
      </c>
      <c r="C7257" s="2" t="n">
        <v>43215</v>
      </c>
      <c r="D7257" t="inlineStr">
        <is>
          <t>SPEC</t>
        </is>
      </c>
      <c r="E7257" t="inlineStr">
        <is>
          <t>INDICATOR LIGHT SUPPORT</t>
        </is>
      </c>
      <c r="F7257" t="inlineStr">
        <is>
          <t>Symmetra PX 500KVA</t>
        </is>
      </c>
      <c r="J7257" t="inlineStr">
        <is>
          <t>REVEL</t>
        </is>
      </c>
      <c r="L7257">
        <f>_xlfn.XLOOKUP(Tableau1[[#This Row],[TYPE DE PIECE]],Tableau4[MATIERE],Tableau4[SHORT TYPE],"",0,1)</f>
        <v/>
      </c>
      <c r="N7257">
        <f>IF(ISERR(FIND("DECOUPE",Tableau1[[#This Row],[DESIGNATION]])),"","NEED REF")</f>
        <v/>
      </c>
    </row>
    <row r="7258">
      <c r="B7258" t="n">
        <v>34406747</v>
      </c>
      <c r="C7258" s="2" t="n">
        <v>43215</v>
      </c>
      <c r="D7258" t="inlineStr">
        <is>
          <t>SPEC</t>
        </is>
      </c>
      <c r="E7258" t="inlineStr">
        <is>
          <t>PERFORATED PROTECTION SHIELD 4</t>
        </is>
      </c>
      <c r="F7258" t="inlineStr">
        <is>
          <t>Symmetra PX 500KVA</t>
        </is>
      </c>
      <c r="J7258" t="inlineStr">
        <is>
          <t>REVEL</t>
        </is>
      </c>
      <c r="L7258">
        <f>_xlfn.XLOOKUP(Tableau1[[#This Row],[TYPE DE PIECE]],Tableau4[MATIERE],Tableau4[SHORT TYPE],"",0,1)</f>
        <v/>
      </c>
      <c r="N7258">
        <f>IF(ISERR(FIND("DECOUPE",Tableau1[[#This Row],[DESIGNATION]])),"","NEED REF")</f>
        <v/>
      </c>
    </row>
    <row r="7259">
      <c r="B7259" t="n">
        <v>34406746</v>
      </c>
      <c r="C7259" s="2" t="n">
        <v>43215</v>
      </c>
      <c r="D7259" t="inlineStr">
        <is>
          <t>SPEC</t>
        </is>
      </c>
      <c r="E7259" t="inlineStr">
        <is>
          <t>CUIVRE GAINEE L1</t>
        </is>
      </c>
      <c r="F7259" t="inlineStr">
        <is>
          <t>Symmetra PX 500KVA</t>
        </is>
      </c>
      <c r="J7259" t="inlineStr">
        <is>
          <t>REVEL</t>
        </is>
      </c>
      <c r="L7259">
        <f>_xlfn.XLOOKUP(Tableau1[[#This Row],[TYPE DE PIECE]],Tableau4[MATIERE],Tableau4[SHORT TYPE],"",0,1)</f>
        <v/>
      </c>
      <c r="N7259">
        <f>IF(ISERR(FIND("DECOUPE",Tableau1[[#This Row],[DESIGNATION]])),"","NEED REF")</f>
        <v/>
      </c>
    </row>
    <row r="7260">
      <c r="B7260" t="n">
        <v>34406745</v>
      </c>
      <c r="C7260" s="2" t="n">
        <v>43215</v>
      </c>
      <c r="D7260" t="inlineStr">
        <is>
          <t>SPEC</t>
        </is>
      </c>
      <c r="E7260" t="inlineStr">
        <is>
          <t>CUIVRE GAINEE L2</t>
        </is>
      </c>
      <c r="F7260" t="inlineStr">
        <is>
          <t>Symmetra PX 500KVA</t>
        </is>
      </c>
      <c r="J7260" t="inlineStr">
        <is>
          <t>REVEL</t>
        </is>
      </c>
      <c r="L7260">
        <f>_xlfn.XLOOKUP(Tableau1[[#This Row],[TYPE DE PIECE]],Tableau4[MATIERE],Tableau4[SHORT TYPE],"",0,1)</f>
        <v/>
      </c>
      <c r="N7260">
        <f>IF(ISERR(FIND("DECOUPE",Tableau1[[#This Row],[DESIGNATION]])),"","NEED REF")</f>
        <v/>
      </c>
    </row>
    <row r="7261">
      <c r="B7261" t="n">
        <v>34406744</v>
      </c>
      <c r="C7261" s="2" t="n">
        <v>43215</v>
      </c>
      <c r="D7261" t="inlineStr">
        <is>
          <t>SPEC</t>
        </is>
      </c>
      <c r="E7261" t="inlineStr">
        <is>
          <t>CUIVRE GAINEE L3</t>
        </is>
      </c>
      <c r="F7261" t="inlineStr">
        <is>
          <t>Symmetra PX 500KVA</t>
        </is>
      </c>
      <c r="J7261" t="inlineStr">
        <is>
          <t>REVEL</t>
        </is>
      </c>
      <c r="L7261">
        <f>_xlfn.XLOOKUP(Tableau1[[#This Row],[TYPE DE PIECE]],Tableau4[MATIERE],Tableau4[SHORT TYPE],"",0,1)</f>
        <v/>
      </c>
      <c r="N7261">
        <f>IF(ISERR(FIND("DECOUPE",Tableau1[[#This Row],[DESIGNATION]])),"","NEED REF")</f>
        <v/>
      </c>
    </row>
    <row r="7262">
      <c r="B7262" t="n">
        <v>34406743</v>
      </c>
      <c r="C7262" s="2" t="n">
        <v>43215</v>
      </c>
      <c r="D7262" t="inlineStr">
        <is>
          <t>SPEC</t>
        </is>
      </c>
      <c r="E7262" t="inlineStr">
        <is>
          <t>PERFORATED PROTECTION SHIELD 3</t>
        </is>
      </c>
      <c r="F7262" t="inlineStr">
        <is>
          <t>Symmetra PX 500KVA</t>
        </is>
      </c>
      <c r="J7262" t="inlineStr">
        <is>
          <t>REVEL</t>
        </is>
      </c>
      <c r="L7262">
        <f>_xlfn.XLOOKUP(Tableau1[[#This Row],[TYPE DE PIECE]],Tableau4[MATIERE],Tableau4[SHORT TYPE],"",0,1)</f>
        <v/>
      </c>
      <c r="N7262">
        <f>IF(ISERR(FIND("DECOUPE",Tableau1[[#This Row],[DESIGNATION]])),"","NEED REF")</f>
        <v/>
      </c>
    </row>
    <row r="7263">
      <c r="B7263" t="n">
        <v>34406742</v>
      </c>
      <c r="C7263" s="2" t="n">
        <v>43215</v>
      </c>
      <c r="D7263" t="inlineStr">
        <is>
          <t>SPEC</t>
        </is>
      </c>
      <c r="E7263" t="inlineStr">
        <is>
          <t>corniere support plastron gaine</t>
        </is>
      </c>
      <c r="F7263" t="inlineStr">
        <is>
          <t>Symmetra PX 500KVA</t>
        </is>
      </c>
      <c r="J7263" t="inlineStr">
        <is>
          <t>REVEL</t>
        </is>
      </c>
      <c r="L7263">
        <f>_xlfn.XLOOKUP(Tableau1[[#This Row],[TYPE DE PIECE]],Tableau4[MATIERE],Tableau4[SHORT TYPE],"",0,1)</f>
        <v/>
      </c>
      <c r="N7263">
        <f>IF(ISERR(FIND("DECOUPE",Tableau1[[#This Row],[DESIGNATION]])),"","NEED REF")</f>
        <v/>
      </c>
    </row>
    <row r="7264">
      <c r="B7264" t="n">
        <v>34406741</v>
      </c>
      <c r="C7264" s="2" t="n">
        <v>43215</v>
      </c>
      <c r="D7264" t="inlineStr">
        <is>
          <t>SPEC</t>
        </is>
      </c>
      <c r="E7264" t="inlineStr">
        <is>
          <t>DECOUPE LINERGY 703</t>
        </is>
      </c>
      <c r="F7264" t="inlineStr">
        <is>
          <t>Symmetra PX 500KVA</t>
        </is>
      </c>
      <c r="J7264" t="inlineStr">
        <is>
          <t>REVEL</t>
        </is>
      </c>
      <c r="L7264">
        <f>_xlfn.XLOOKUP(Tableau1[[#This Row],[TYPE DE PIECE]],Tableau4[MATIERE],Tableau4[SHORT TYPE],"",0,1)</f>
        <v/>
      </c>
      <c r="N7264">
        <f>IF(ISERR(FIND("DECOUPE",Tableau1[[#This Row],[DESIGNATION]])),"","NEED REF")</f>
        <v/>
      </c>
    </row>
    <row r="7265">
      <c r="B7265" t="n">
        <v>34406740</v>
      </c>
      <c r="C7265" s="2" t="n">
        <v>43215</v>
      </c>
      <c r="D7265" t="inlineStr">
        <is>
          <t>SPEC</t>
        </is>
      </c>
      <c r="E7265" t="inlineStr">
        <is>
          <t>Lynergy superieur</t>
        </is>
      </c>
      <c r="F7265" t="inlineStr">
        <is>
          <t>Symmetra PX 500KVA</t>
        </is>
      </c>
      <c r="J7265" t="inlineStr">
        <is>
          <t>REVEL</t>
        </is>
      </c>
      <c r="L7265">
        <f>_xlfn.XLOOKUP(Tableau1[[#This Row],[TYPE DE PIECE]],Tableau4[MATIERE],Tableau4[SHORT TYPE],"",0,1)</f>
        <v/>
      </c>
      <c r="N7265">
        <f>IF(ISERR(FIND("DECOUPE",Tableau1[[#This Row],[DESIGNATION]])),"","NEED REF")</f>
        <v/>
      </c>
    </row>
    <row r="7266">
      <c r="B7266" t="n">
        <v>34406739</v>
      </c>
      <c r="C7266" s="2" t="n">
        <v>43215</v>
      </c>
      <c r="D7266" t="inlineStr">
        <is>
          <t>SPEC</t>
        </is>
      </c>
      <c r="E7266" t="inlineStr">
        <is>
          <t>Plastron 5</t>
        </is>
      </c>
      <c r="F7266" t="inlineStr">
        <is>
          <t>Symmetra PX 500KVA</t>
        </is>
      </c>
      <c r="J7266" t="inlineStr">
        <is>
          <t>REVEL</t>
        </is>
      </c>
      <c r="L7266">
        <f>_xlfn.XLOOKUP(Tableau1[[#This Row],[TYPE DE PIECE]],Tableau4[MATIERE],Tableau4[SHORT TYPE],"",0,1)</f>
        <v/>
      </c>
      <c r="N7266">
        <f>IF(ISERR(FIND("DECOUPE",Tableau1[[#This Row],[DESIGNATION]])),"","NEED REF")</f>
        <v/>
      </c>
    </row>
    <row r="7267">
      <c r="B7267" t="n">
        <v>34406738</v>
      </c>
      <c r="C7267" s="2" t="n">
        <v>43215</v>
      </c>
      <c r="D7267" t="inlineStr">
        <is>
          <t>SPEC</t>
        </is>
      </c>
      <c r="E7267" t="inlineStr">
        <is>
          <t>PERFORATED PROTECTION SHIELD 2</t>
        </is>
      </c>
      <c r="F7267" t="inlineStr">
        <is>
          <t>Symmetra PX 500KVA</t>
        </is>
      </c>
      <c r="J7267" t="inlineStr">
        <is>
          <t>REVEL</t>
        </is>
      </c>
      <c r="L7267">
        <f>_xlfn.XLOOKUP(Tableau1[[#This Row],[TYPE DE PIECE]],Tableau4[MATIERE],Tableau4[SHORT TYPE],"",0,1)</f>
        <v/>
      </c>
      <c r="N7267">
        <f>IF(ISERR(FIND("DECOUPE",Tableau1[[#This Row],[DESIGNATION]])),"","NEED REF")</f>
        <v/>
      </c>
    </row>
    <row r="7268">
      <c r="B7268" t="n">
        <v>34406737</v>
      </c>
      <c r="C7268" s="2" t="n">
        <v>43215</v>
      </c>
      <c r="D7268" t="inlineStr">
        <is>
          <t>SPEC</t>
        </is>
      </c>
      <c r="E7268" t="inlineStr">
        <is>
          <t>PERFORATED PROTECTION SHIELD 1</t>
        </is>
      </c>
      <c r="F7268" t="inlineStr">
        <is>
          <t>Symmetra PX 500KVA</t>
        </is>
      </c>
      <c r="J7268" t="inlineStr">
        <is>
          <t>REVEL</t>
        </is>
      </c>
      <c r="L7268">
        <f>_xlfn.XLOOKUP(Tableau1[[#This Row],[TYPE DE PIECE]],Tableau4[MATIERE],Tableau4[SHORT TYPE],"",0,1)</f>
        <v/>
      </c>
      <c r="N7268">
        <f>IF(ISERR(FIND("DECOUPE",Tableau1[[#This Row],[DESIGNATION]])),"","NEED REF")</f>
        <v/>
      </c>
    </row>
    <row r="7269">
      <c r="B7269" t="n">
        <v>34406736</v>
      </c>
      <c r="C7269" s="2" t="n">
        <v>43215</v>
      </c>
      <c r="D7269" t="inlineStr">
        <is>
          <t>SPEC</t>
        </is>
      </c>
      <c r="E7269" t="inlineStr">
        <is>
          <t>Flexible neutre gaine</t>
        </is>
      </c>
      <c r="F7269" t="inlineStr">
        <is>
          <t>Symmetra PX 500KVA</t>
        </is>
      </c>
      <c r="J7269" t="inlineStr">
        <is>
          <t>REVEL</t>
        </is>
      </c>
      <c r="L7269">
        <f>_xlfn.XLOOKUP(Tableau1[[#This Row],[TYPE DE PIECE]],Tableau4[MATIERE],Tableau4[SHORT TYPE],"",0,1)</f>
        <v/>
      </c>
      <c r="N7269">
        <f>IF(ISERR(FIND("DECOUPE",Tableau1[[#This Row],[DESIGNATION]])),"","NEED REF")</f>
        <v/>
      </c>
    </row>
    <row r="7270">
      <c r="B7270" t="n">
        <v>34406735</v>
      </c>
      <c r="C7270" s="2" t="n">
        <v>43213</v>
      </c>
      <c r="D7270" t="inlineStr">
        <is>
          <t>SPEC</t>
        </is>
      </c>
      <c r="E7270" t="inlineStr">
        <is>
          <t>SUPPORT VOYANT</t>
        </is>
      </c>
      <c r="F7270" t="inlineStr">
        <is>
          <t>MBC GVX</t>
        </is>
      </c>
      <c r="J7270" t="inlineStr">
        <is>
          <t>MATRION</t>
        </is>
      </c>
      <c r="K7270" t="inlineStr">
        <is>
          <t>METAL</t>
        </is>
      </c>
      <c r="L7270">
        <f>_xlfn.XLOOKUP(Tableau1[[#This Row],[TYPE DE PIECE]],Tableau4[MATIERE],Tableau4[SHORT TYPE],"",0,1)</f>
        <v/>
      </c>
      <c r="N7270">
        <f>IF(ISERR(FIND("DECOUPE",Tableau1[[#This Row],[DESIGNATION]])),"","NEED REF")</f>
        <v/>
      </c>
    </row>
    <row r="7271">
      <c r="B7271" t="n">
        <v>34406734</v>
      </c>
      <c r="C7271" s="2" t="n">
        <v>43213</v>
      </c>
      <c r="D7271" t="inlineStr">
        <is>
          <t>NOM</t>
        </is>
      </c>
      <c r="E7271" t="inlineStr">
        <is>
          <t>NOM MBC GVX 3S TNC</t>
        </is>
      </c>
      <c r="F7271" t="inlineStr">
        <is>
          <t>MBC GVX</t>
        </is>
      </c>
      <c r="J7271" t="inlineStr">
        <is>
          <t>MATRION</t>
        </is>
      </c>
      <c r="L7271">
        <f>_xlfn.XLOOKUP(Tableau1[[#This Row],[TYPE DE PIECE]],Tableau4[MATIERE],Tableau4[SHORT TYPE],"",0,1)</f>
        <v/>
      </c>
      <c r="N7271">
        <f>IF(ISERR(FIND("DECOUPE",Tableau1[[#This Row],[DESIGNATION]])),"","NEED REF")</f>
        <v/>
      </c>
    </row>
    <row r="7272">
      <c r="B7272" t="n">
        <v>34406733</v>
      </c>
      <c r="C7272" s="2" t="n">
        <v>43213</v>
      </c>
      <c r="D7272" t="inlineStr">
        <is>
          <t>NOM</t>
        </is>
      </c>
      <c r="E7272" t="inlineStr">
        <is>
          <t>NOM MBC GVX 3S TNS</t>
        </is>
      </c>
      <c r="F7272" t="inlineStr">
        <is>
          <t>MBC GVX</t>
        </is>
      </c>
      <c r="J7272" t="inlineStr">
        <is>
          <t>MATRION</t>
        </is>
      </c>
      <c r="L7272">
        <f>_xlfn.XLOOKUP(Tableau1[[#This Row],[TYPE DE PIECE]],Tableau4[MATIERE],Tableau4[SHORT TYPE],"",0,1)</f>
        <v/>
      </c>
      <c r="N7272">
        <f>IF(ISERR(FIND("DECOUPE",Tableau1[[#This Row],[DESIGNATION]])),"","NEED REF")</f>
        <v/>
      </c>
    </row>
    <row r="7273">
      <c r="B7273" t="n">
        <v>34406732</v>
      </c>
      <c r="C7273" s="2" t="n">
        <v>43213</v>
      </c>
      <c r="D7273" t="inlineStr">
        <is>
          <t>NOM</t>
        </is>
      </c>
      <c r="E7273" t="inlineStr">
        <is>
          <t>NOM MBC GVX 2S TNC</t>
        </is>
      </c>
      <c r="F7273" t="inlineStr">
        <is>
          <t>MBC GVX</t>
        </is>
      </c>
      <c r="J7273" t="inlineStr">
        <is>
          <t>MATRION</t>
        </is>
      </c>
      <c r="L7273">
        <f>_xlfn.XLOOKUP(Tableau1[[#This Row],[TYPE DE PIECE]],Tableau4[MATIERE],Tableau4[SHORT TYPE],"",0,1)</f>
        <v/>
      </c>
      <c r="N7273">
        <f>IF(ISERR(FIND("DECOUPE",Tableau1[[#This Row],[DESIGNATION]])),"","NEED REF")</f>
        <v/>
      </c>
    </row>
    <row r="7274">
      <c r="B7274" t="n">
        <v>34406731</v>
      </c>
      <c r="C7274" s="2" t="n">
        <v>43213</v>
      </c>
      <c r="D7274" t="inlineStr">
        <is>
          <t>NOM</t>
        </is>
      </c>
      <c r="E7274" t="inlineStr">
        <is>
          <t>NOM MBC GVX 2S TNS</t>
        </is>
      </c>
      <c r="F7274" t="inlineStr">
        <is>
          <t>MBC GVX</t>
        </is>
      </c>
      <c r="J7274" t="inlineStr">
        <is>
          <t>MATRION</t>
        </is>
      </c>
      <c r="L7274">
        <f>_xlfn.XLOOKUP(Tableau1[[#This Row],[TYPE DE PIECE]],Tableau4[MATIERE],Tableau4[SHORT TYPE],"",0,1)</f>
        <v/>
      </c>
      <c r="N7274">
        <f>IF(ISERR(FIND("DECOUPE",Tableau1[[#This Row],[DESIGNATION]])),"","NEED REF")</f>
        <v/>
      </c>
    </row>
    <row r="7275">
      <c r="B7275" t="n">
        <v>34406730</v>
      </c>
      <c r="C7275" s="2" t="n">
        <v>43213</v>
      </c>
      <c r="D7275" t="inlineStr">
        <is>
          <t>SPEC</t>
        </is>
      </c>
      <c r="E7275" t="inlineStr">
        <is>
          <t>PLASTRON 2x COMPACT NS</t>
        </is>
      </c>
      <c r="F7275" t="inlineStr">
        <is>
          <t>MBC GVX</t>
        </is>
      </c>
      <c r="J7275" t="inlineStr">
        <is>
          <t>MATRION</t>
        </is>
      </c>
      <c r="K7275" t="inlineStr">
        <is>
          <t>METAL</t>
        </is>
      </c>
      <c r="L7275">
        <f>_xlfn.XLOOKUP(Tableau1[[#This Row],[TYPE DE PIECE]],Tableau4[MATIERE],Tableau4[SHORT TYPE],"",0,1)</f>
        <v/>
      </c>
      <c r="N7275">
        <f>IF(ISERR(FIND("DECOUPE",Tableau1[[#This Row],[DESIGNATION]])),"","NEED REF")</f>
        <v/>
      </c>
    </row>
    <row r="7276">
      <c r="B7276" t="n">
        <v>34406729</v>
      </c>
      <c r="C7276" s="2" t="n">
        <v>43213</v>
      </c>
      <c r="D7276" t="inlineStr">
        <is>
          <t>SPEC</t>
        </is>
      </c>
      <c r="E7276" t="inlineStr">
        <is>
          <t>SUPPORT 2x COMPACT NS</t>
        </is>
      </c>
      <c r="F7276" t="inlineStr">
        <is>
          <t>MBC GVX</t>
        </is>
      </c>
      <c r="J7276" t="inlineStr">
        <is>
          <t>MATRION</t>
        </is>
      </c>
      <c r="K7276" t="inlineStr">
        <is>
          <t>METAL</t>
        </is>
      </c>
      <c r="L7276">
        <f>_xlfn.XLOOKUP(Tableau1[[#This Row],[TYPE DE PIECE]],Tableau4[MATIERE],Tableau4[SHORT TYPE],"",0,1)</f>
        <v/>
      </c>
      <c r="N7276">
        <f>IF(ISERR(FIND("DECOUPE",Tableau1[[#This Row],[DESIGNATION]])),"","NEED REF")</f>
        <v/>
      </c>
    </row>
    <row r="7277">
      <c r="B7277" t="n">
        <v>34406728</v>
      </c>
      <c r="C7277" s="2" t="n">
        <v>43213</v>
      </c>
      <c r="D7277" t="inlineStr">
        <is>
          <t>SPEC</t>
        </is>
      </c>
      <c r="E7277" t="inlineStr">
        <is>
          <t>LIAISON AVAL</t>
        </is>
      </c>
      <c r="F7277" t="inlineStr">
        <is>
          <t>MBC GVX</t>
        </is>
      </c>
      <c r="J7277" t="inlineStr">
        <is>
          <t>MATRION</t>
        </is>
      </c>
      <c r="K7277" t="inlineStr">
        <is>
          <t>CUIVRE</t>
        </is>
      </c>
      <c r="L7277">
        <f>_xlfn.XLOOKUP(Tableau1[[#This Row],[TYPE DE PIECE]],Tableau4[MATIERE],Tableau4[SHORT TYPE],"",0,1)</f>
        <v/>
      </c>
      <c r="N7277">
        <f>IF(ISERR(FIND("DECOUPE",Tableau1[[#This Row],[DESIGNATION]])),"","NEED REF")</f>
        <v/>
      </c>
    </row>
    <row r="7278">
      <c r="B7278" t="n">
        <v>34406727</v>
      </c>
      <c r="C7278" s="2" t="n">
        <v>43213</v>
      </c>
      <c r="D7278" t="inlineStr">
        <is>
          <t>SPEC</t>
        </is>
      </c>
      <c r="E7278" t="inlineStr">
        <is>
          <t>RACCORDEMENT AVAL 2</t>
        </is>
      </c>
      <c r="F7278" t="inlineStr">
        <is>
          <t>MBC GVX</t>
        </is>
      </c>
      <c r="J7278" t="inlineStr">
        <is>
          <t>MATRION</t>
        </is>
      </c>
      <c r="K7278" t="inlineStr">
        <is>
          <t>CUIVRE</t>
        </is>
      </c>
      <c r="L7278">
        <f>_xlfn.XLOOKUP(Tableau1[[#This Row],[TYPE DE PIECE]],Tableau4[MATIERE],Tableau4[SHORT TYPE],"",0,1)</f>
        <v/>
      </c>
      <c r="N7278">
        <f>IF(ISERR(FIND("DECOUPE",Tableau1[[#This Row],[DESIGNATION]])),"","NEED REF")</f>
        <v/>
      </c>
    </row>
    <row r="7279">
      <c r="B7279" t="n">
        <v>34406726</v>
      </c>
      <c r="C7279" s="2" t="n">
        <v>43213</v>
      </c>
      <c r="D7279" t="inlineStr">
        <is>
          <t>SPEC</t>
        </is>
      </c>
      <c r="E7279" t="inlineStr">
        <is>
          <t>RACCORDEMENT AVAL 1</t>
        </is>
      </c>
      <c r="F7279" t="inlineStr">
        <is>
          <t>MBC GVX</t>
        </is>
      </c>
      <c r="J7279" t="inlineStr">
        <is>
          <t>MATRION</t>
        </is>
      </c>
      <c r="K7279" t="inlineStr">
        <is>
          <t>CUIVRE</t>
        </is>
      </c>
      <c r="L7279">
        <f>_xlfn.XLOOKUP(Tableau1[[#This Row],[TYPE DE PIECE]],Tableau4[MATIERE],Tableau4[SHORT TYPE],"",0,1)</f>
        <v/>
      </c>
      <c r="N7279">
        <f>IF(ISERR(FIND("DECOUPE",Tableau1[[#This Row],[DESIGNATION]])),"","NEED REF")</f>
        <v/>
      </c>
    </row>
    <row r="7280">
      <c r="B7280" t="n">
        <v>34406725</v>
      </c>
      <c r="C7280" s="2" t="n">
        <v>43210</v>
      </c>
      <c r="D7280" t="inlineStr">
        <is>
          <t>SPEC</t>
        </is>
      </c>
      <c r="E7280" t="inlineStr">
        <is>
          <t>Tole support</t>
        </is>
      </c>
      <c r="F7280" t="inlineStr">
        <is>
          <t>Symmetra PX 500KVA</t>
        </is>
      </c>
      <c r="J7280" t="inlineStr">
        <is>
          <t>REVEL</t>
        </is>
      </c>
      <c r="L7280">
        <f>_xlfn.XLOOKUP(Tableau1[[#This Row],[TYPE DE PIECE]],Tableau4[MATIERE],Tableau4[SHORT TYPE],"",0,1)</f>
        <v/>
      </c>
      <c r="N7280">
        <f>IF(ISERR(FIND("DECOUPE",Tableau1[[#This Row],[DESIGNATION]])),"","NEED REF")</f>
        <v/>
      </c>
    </row>
    <row r="7281">
      <c r="B7281" t="n">
        <v>34406724</v>
      </c>
      <c r="C7281" s="2" t="n">
        <v>43210</v>
      </c>
      <c r="D7281" t="inlineStr">
        <is>
          <t>SPEC</t>
        </is>
      </c>
      <c r="E7281" t="inlineStr">
        <is>
          <t>Support voyant</t>
        </is>
      </c>
      <c r="F7281" t="inlineStr">
        <is>
          <t>Symmetra PX 500KVA</t>
        </is>
      </c>
      <c r="J7281" t="inlineStr">
        <is>
          <t>REVEL</t>
        </is>
      </c>
      <c r="L7281">
        <f>_xlfn.XLOOKUP(Tableau1[[#This Row],[TYPE DE PIECE]],Tableau4[MATIERE],Tableau4[SHORT TYPE],"",0,1)</f>
        <v/>
      </c>
      <c r="N7281">
        <f>IF(ISERR(FIND("DECOUPE",Tableau1[[#This Row],[DESIGNATION]])),"","NEED REF")</f>
        <v/>
      </c>
    </row>
    <row r="7282">
      <c r="B7282" t="n">
        <v>34406723</v>
      </c>
      <c r="C7282" s="2" t="n">
        <v>43210</v>
      </c>
      <c r="D7282" t="inlineStr">
        <is>
          <t>SPEC</t>
        </is>
      </c>
      <c r="E7282" t="inlineStr">
        <is>
          <t>Flex N</t>
        </is>
      </c>
      <c r="F7282" t="inlineStr">
        <is>
          <t>Symmetra PX 500KVA</t>
        </is>
      </c>
      <c r="J7282" t="inlineStr">
        <is>
          <t>REVEL</t>
        </is>
      </c>
      <c r="L7282">
        <f>_xlfn.XLOOKUP(Tableau1[[#This Row],[TYPE DE PIECE]],Tableau4[MATIERE],Tableau4[SHORT TYPE],"",0,1)</f>
        <v/>
      </c>
      <c r="N7282">
        <f>IF(ISERR(FIND("DECOUPE",Tableau1[[#This Row],[DESIGNATION]])),"","NEED REF")</f>
        <v/>
      </c>
    </row>
    <row r="7283">
      <c r="B7283" t="n">
        <v>34406722</v>
      </c>
      <c r="C7283" s="2" t="n">
        <v>43210</v>
      </c>
      <c r="D7283" t="inlineStr">
        <is>
          <t>SPEC</t>
        </is>
      </c>
      <c r="E7283" t="inlineStr">
        <is>
          <t>Flex L3</t>
        </is>
      </c>
      <c r="F7283" t="inlineStr">
        <is>
          <t>Symmetra PX 500KVA</t>
        </is>
      </c>
      <c r="J7283" t="inlineStr">
        <is>
          <t>REVEL</t>
        </is>
      </c>
      <c r="L7283">
        <f>_xlfn.XLOOKUP(Tableau1[[#This Row],[TYPE DE PIECE]],Tableau4[MATIERE],Tableau4[SHORT TYPE],"",0,1)</f>
        <v/>
      </c>
      <c r="N7283">
        <f>IF(ISERR(FIND("DECOUPE",Tableau1[[#This Row],[DESIGNATION]])),"","NEED REF")</f>
        <v/>
      </c>
    </row>
    <row r="7284">
      <c r="B7284" t="n">
        <v>34406721</v>
      </c>
      <c r="C7284" s="2" t="n">
        <v>43210</v>
      </c>
      <c r="D7284" t="inlineStr">
        <is>
          <t>SPEC</t>
        </is>
      </c>
      <c r="E7284" t="inlineStr">
        <is>
          <t>Flex L2</t>
        </is>
      </c>
      <c r="F7284" t="inlineStr">
        <is>
          <t>Symmetra PX 500KVA</t>
        </is>
      </c>
      <c r="J7284" t="inlineStr">
        <is>
          <t>REVEL</t>
        </is>
      </c>
      <c r="L7284">
        <f>_xlfn.XLOOKUP(Tableau1[[#This Row],[TYPE DE PIECE]],Tableau4[MATIERE],Tableau4[SHORT TYPE],"",0,1)</f>
        <v/>
      </c>
      <c r="N7284">
        <f>IF(ISERR(FIND("DECOUPE",Tableau1[[#This Row],[DESIGNATION]])),"","NEED REF")</f>
        <v/>
      </c>
    </row>
    <row r="7285">
      <c r="B7285" t="n">
        <v>34406720</v>
      </c>
      <c r="C7285" s="2" t="n">
        <v>43210</v>
      </c>
      <c r="D7285" t="inlineStr">
        <is>
          <t>SPEC</t>
        </is>
      </c>
      <c r="E7285" t="inlineStr">
        <is>
          <t>Flex L1</t>
        </is>
      </c>
      <c r="F7285" t="inlineStr">
        <is>
          <t>Symmetra PX 500KVA</t>
        </is>
      </c>
      <c r="J7285" t="inlineStr">
        <is>
          <t>REVEL</t>
        </is>
      </c>
      <c r="L7285">
        <f>_xlfn.XLOOKUP(Tableau1[[#This Row],[TYPE DE PIECE]],Tableau4[MATIERE],Tableau4[SHORT TYPE],"",0,1)</f>
        <v/>
      </c>
      <c r="N7285">
        <f>IF(ISERR(FIND("DECOUPE",Tableau1[[#This Row],[DESIGNATION]])),"","NEED REF")</f>
        <v/>
      </c>
    </row>
    <row r="7286">
      <c r="B7286" t="n">
        <v>34406719</v>
      </c>
      <c r="C7286" s="2" t="n">
        <v>43210</v>
      </c>
      <c r="D7286" t="inlineStr">
        <is>
          <t>SPEC</t>
        </is>
      </c>
      <c r="E7286" t="inlineStr">
        <is>
          <t>PLASTRON 2</t>
        </is>
      </c>
      <c r="F7286" t="inlineStr">
        <is>
          <t>Symmetra PX 500KVA</t>
        </is>
      </c>
      <c r="J7286" t="inlineStr">
        <is>
          <t>REVEL</t>
        </is>
      </c>
      <c r="L7286">
        <f>_xlfn.XLOOKUP(Tableau1[[#This Row],[TYPE DE PIECE]],Tableau4[MATIERE],Tableau4[SHORT TYPE],"",0,1)</f>
        <v/>
      </c>
      <c r="N7286">
        <f>IF(ISERR(FIND("DECOUPE",Tableau1[[#This Row],[DESIGNATION]])),"","NEED REF")</f>
        <v/>
      </c>
    </row>
    <row r="7287">
      <c r="B7287" t="n">
        <v>34406718</v>
      </c>
      <c r="C7287" s="2" t="n">
        <v>43210</v>
      </c>
      <c r="D7287" t="inlineStr">
        <is>
          <t>SPEC</t>
        </is>
      </c>
      <c r="E7287" t="inlineStr">
        <is>
          <t>plastron 1</t>
        </is>
      </c>
      <c r="F7287" t="inlineStr">
        <is>
          <t>Symmetra PX 500KVA</t>
        </is>
      </c>
      <c r="J7287" t="inlineStr">
        <is>
          <t>REVEL</t>
        </is>
      </c>
      <c r="L7287">
        <f>_xlfn.XLOOKUP(Tableau1[[#This Row],[TYPE DE PIECE]],Tableau4[MATIERE],Tableau4[SHORT TYPE],"",0,1)</f>
        <v/>
      </c>
      <c r="N7287">
        <f>IF(ISERR(FIND("DECOUPE",Tableau1[[#This Row],[DESIGNATION]])),"","NEED REF")</f>
        <v/>
      </c>
    </row>
    <row r="7288">
      <c r="B7288" t="n">
        <v>34406717</v>
      </c>
      <c r="C7288" s="2" t="n">
        <v>43210</v>
      </c>
      <c r="D7288" t="inlineStr">
        <is>
          <t>SPEC</t>
        </is>
      </c>
      <c r="E7288" t="inlineStr">
        <is>
          <t>FLEXIBAR ERICO BYPASS 2</t>
        </is>
      </c>
      <c r="F7288" t="inlineStr">
        <is>
          <t>Symmetra PX 500KVA</t>
        </is>
      </c>
      <c r="J7288" t="inlineStr">
        <is>
          <t>REVEL</t>
        </is>
      </c>
      <c r="L7288">
        <f>_xlfn.XLOOKUP(Tableau1[[#This Row],[TYPE DE PIECE]],Tableau4[MATIERE],Tableau4[SHORT TYPE],"",0,1)</f>
        <v/>
      </c>
      <c r="N7288">
        <f>IF(ISERR(FIND("DECOUPE",Tableau1[[#This Row],[DESIGNATION]])),"","NEED REF")</f>
        <v/>
      </c>
    </row>
    <row r="7289">
      <c r="B7289" t="n">
        <v>34406716</v>
      </c>
      <c r="C7289" s="2" t="n">
        <v>43210</v>
      </c>
      <c r="D7289" t="inlineStr">
        <is>
          <t>SPEC</t>
        </is>
      </c>
      <c r="E7289" t="inlineStr">
        <is>
          <t>FLEXIBAR ERICO BYPASS 1</t>
        </is>
      </c>
      <c r="F7289" t="inlineStr">
        <is>
          <t>Symmetra PX 500KVA</t>
        </is>
      </c>
      <c r="J7289" t="inlineStr">
        <is>
          <t>REVEL</t>
        </is>
      </c>
      <c r="L7289">
        <f>_xlfn.XLOOKUP(Tableau1[[#This Row],[TYPE DE PIECE]],Tableau4[MATIERE],Tableau4[SHORT TYPE],"",0,1)</f>
        <v/>
      </c>
      <c r="N7289">
        <f>IF(ISERR(FIND("DECOUPE",Tableau1[[#This Row],[DESIGNATION]])),"","NEED REF")</f>
        <v/>
      </c>
    </row>
    <row r="7290">
      <c r="B7290" t="n">
        <v>34406715</v>
      </c>
      <c r="C7290" s="2" t="n">
        <v>43210</v>
      </c>
      <c r="D7290" t="inlineStr">
        <is>
          <t>SPEC</t>
        </is>
      </c>
      <c r="E7290" t="inlineStr">
        <is>
          <t>CALE DE SERRAGE FLEXIBAR</t>
        </is>
      </c>
      <c r="F7290" t="inlineStr">
        <is>
          <t>Symmetra PX 500KVA</t>
        </is>
      </c>
      <c r="J7290" t="inlineStr">
        <is>
          <t>REVEL</t>
        </is>
      </c>
      <c r="L7290">
        <f>_xlfn.XLOOKUP(Tableau1[[#This Row],[TYPE DE PIECE]],Tableau4[MATIERE],Tableau4[SHORT TYPE],"",0,1)</f>
        <v/>
      </c>
      <c r="N7290">
        <f>IF(ISERR(FIND("DECOUPE",Tableau1[[#This Row],[DESIGNATION]])),"","NEED REF")</f>
        <v/>
      </c>
    </row>
    <row r="7291">
      <c r="B7291" t="n">
        <v>34406714</v>
      </c>
      <c r="C7291" s="2" t="n">
        <v>43210</v>
      </c>
      <c r="D7291" t="inlineStr">
        <is>
          <t>SPEC</t>
        </is>
      </c>
      <c r="E7291" t="inlineStr">
        <is>
          <t>CX LIAISON BYPASS 2</t>
        </is>
      </c>
      <c r="F7291" t="inlineStr">
        <is>
          <t>Symmetra PX 500KVA</t>
        </is>
      </c>
      <c r="J7291" t="inlineStr">
        <is>
          <t>REVEL</t>
        </is>
      </c>
      <c r="L7291">
        <f>_xlfn.XLOOKUP(Tableau1[[#This Row],[TYPE DE PIECE]],Tableau4[MATIERE],Tableau4[SHORT TYPE],"",0,1)</f>
        <v/>
      </c>
      <c r="N7291">
        <f>IF(ISERR(FIND("DECOUPE",Tableau1[[#This Row],[DESIGNATION]])),"","NEED REF")</f>
        <v/>
      </c>
    </row>
    <row r="7292">
      <c r="B7292" t="n">
        <v>34406713</v>
      </c>
      <c r="C7292" s="2" t="n">
        <v>43210</v>
      </c>
      <c r="D7292" t="inlineStr">
        <is>
          <t>SPEC</t>
        </is>
      </c>
      <c r="E7292" t="inlineStr">
        <is>
          <t>CX LIAISON BYPASS 1</t>
        </is>
      </c>
      <c r="F7292" t="inlineStr">
        <is>
          <t>Symmetra PX 500KVA</t>
        </is>
      </c>
      <c r="J7292" t="inlineStr">
        <is>
          <t>REVEL</t>
        </is>
      </c>
      <c r="L7292">
        <f>_xlfn.XLOOKUP(Tableau1[[#This Row],[TYPE DE PIECE]],Tableau4[MATIERE],Tableau4[SHORT TYPE],"",0,1)</f>
        <v/>
      </c>
      <c r="N7292">
        <f>IF(ISERR(FIND("DECOUPE",Tableau1[[#This Row],[DESIGNATION]])),"","NEED REF")</f>
        <v/>
      </c>
    </row>
    <row r="7293">
      <c r="B7293" t="n">
        <v>34406712</v>
      </c>
      <c r="C7293" s="2" t="n">
        <v>43210</v>
      </c>
      <c r="D7293" t="inlineStr">
        <is>
          <t>SPEC</t>
        </is>
      </c>
      <c r="E7293" t="inlineStr">
        <is>
          <t>MODULE ELEC</t>
        </is>
      </c>
      <c r="F7293" t="inlineStr">
        <is>
          <t>Symmetra PX 500KVA</t>
        </is>
      </c>
      <c r="J7293" t="inlineStr">
        <is>
          <t>REVEL</t>
        </is>
      </c>
      <c r="L7293">
        <f>_xlfn.XLOOKUP(Tableau1[[#This Row],[TYPE DE PIECE]],Tableau4[MATIERE],Tableau4[SHORT TYPE],"",0,1)</f>
        <v/>
      </c>
      <c r="N7293">
        <f>IF(ISERR(FIND("DECOUPE",Tableau1[[#This Row],[DESIGNATION]])),"","NEED REF")</f>
        <v/>
      </c>
    </row>
    <row r="7294">
      <c r="B7294" t="n">
        <v>34406711</v>
      </c>
      <c r="C7294" s="2" t="n">
        <v>43210</v>
      </c>
      <c r="D7294" t="inlineStr">
        <is>
          <t>SPEC</t>
        </is>
      </c>
      <c r="E7294" t="inlineStr">
        <is>
          <t>CAPOT MODULE ELEC</t>
        </is>
      </c>
      <c r="F7294" t="inlineStr">
        <is>
          <t>Symmetra PX 500KVA</t>
        </is>
      </c>
      <c r="J7294" t="inlineStr">
        <is>
          <t>REVEL</t>
        </is>
      </c>
      <c r="L7294">
        <f>_xlfn.XLOOKUP(Tableau1[[#This Row],[TYPE DE PIECE]],Tableau4[MATIERE],Tableau4[SHORT TYPE],"",0,1)</f>
        <v/>
      </c>
      <c r="N7294">
        <f>IF(ISERR(FIND("DECOUPE",Tableau1[[#This Row],[DESIGNATION]])),"","NEED REF")</f>
        <v/>
      </c>
    </row>
    <row r="7295">
      <c r="B7295" t="n">
        <v>34406710</v>
      </c>
      <c r="C7295" s="2" t="n">
        <v>43210</v>
      </c>
      <c r="D7295" t="inlineStr">
        <is>
          <t>SPEC</t>
        </is>
      </c>
      <c r="E7295" t="inlineStr">
        <is>
          <t>Jeu de barre Linergy</t>
        </is>
      </c>
      <c r="F7295" t="inlineStr">
        <is>
          <t>Symmetra PX 500KVA</t>
        </is>
      </c>
      <c r="J7295" t="inlineStr">
        <is>
          <t>REVEL</t>
        </is>
      </c>
      <c r="L7295">
        <f>_xlfn.XLOOKUP(Tableau1[[#This Row],[TYPE DE PIECE]],Tableau4[MATIERE],Tableau4[SHORT TYPE],"",0,1)</f>
        <v/>
      </c>
      <c r="N7295">
        <f>IF(ISERR(FIND("DECOUPE",Tableau1[[#This Row],[DESIGNATION]])),"","NEED REF")</f>
        <v/>
      </c>
    </row>
    <row r="7296">
      <c r="B7296" t="n">
        <v>34406709</v>
      </c>
      <c r="C7296" s="2" t="n">
        <v>43210</v>
      </c>
      <c r="D7296" t="inlineStr">
        <is>
          <t>SPEC</t>
        </is>
      </c>
      <c r="E7296" t="inlineStr">
        <is>
          <t>CX NEUTRE LIAISON ARRIERE</t>
        </is>
      </c>
      <c r="F7296" t="inlineStr">
        <is>
          <t>Symmetra PX 500KVA</t>
        </is>
      </c>
      <c r="J7296" t="inlineStr">
        <is>
          <t>REVEL</t>
        </is>
      </c>
      <c r="L7296">
        <f>_xlfn.XLOOKUP(Tableau1[[#This Row],[TYPE DE PIECE]],Tableau4[MATIERE],Tableau4[SHORT TYPE],"",0,1)</f>
        <v/>
      </c>
      <c r="N7296">
        <f>IF(ISERR(FIND("DECOUPE",Tableau1[[#This Row],[DESIGNATION]])),"","NEED REF")</f>
        <v/>
      </c>
    </row>
    <row r="7297">
      <c r="B7297" t="n">
        <v>34406708</v>
      </c>
      <c r="C7297" s="2" t="n">
        <v>43210</v>
      </c>
      <c r="D7297" t="inlineStr">
        <is>
          <t>SPEC</t>
        </is>
      </c>
      <c r="E7297" t="inlineStr">
        <is>
          <t>CX NEUTRE ARRIERE</t>
        </is>
      </c>
      <c r="F7297" t="inlineStr">
        <is>
          <t>Symmetra PX 500KVA</t>
        </is>
      </c>
      <c r="J7297" t="inlineStr">
        <is>
          <t>REVEL</t>
        </is>
      </c>
      <c r="L7297">
        <f>_xlfn.XLOOKUP(Tableau1[[#This Row],[TYPE DE PIECE]],Tableau4[MATIERE],Tableau4[SHORT TYPE],"",0,1)</f>
        <v/>
      </c>
      <c r="N7297">
        <f>IF(ISERR(FIND("DECOUPE",Tableau1[[#This Row],[DESIGNATION]])),"","NEED REF")</f>
        <v/>
      </c>
    </row>
    <row r="7298">
      <c r="B7298" t="n">
        <v>34406707</v>
      </c>
      <c r="C7298" s="2" t="n">
        <v>43210</v>
      </c>
      <c r="D7298" t="inlineStr">
        <is>
          <t>SPEC</t>
        </is>
      </c>
      <c r="E7298" t="inlineStr">
        <is>
          <t>SUPPORT JDB NEUTRE</t>
        </is>
      </c>
      <c r="F7298" t="inlineStr">
        <is>
          <t>Symmetra PX 500KVA</t>
        </is>
      </c>
      <c r="J7298" t="inlineStr">
        <is>
          <t>REVEL</t>
        </is>
      </c>
      <c r="K7298" t="inlineStr">
        <is>
          <t>Tolerie</t>
        </is>
      </c>
      <c r="L7298">
        <f>_xlfn.XLOOKUP(Tableau1[[#This Row],[TYPE DE PIECE]],Tableau4[MATIERE],Tableau4[SHORT TYPE],"",0,1)</f>
        <v/>
      </c>
      <c r="N7298">
        <f>IF(ISERR(FIND("DECOUPE",Tableau1[[#This Row],[DESIGNATION]])),"","NEED REF")</f>
        <v/>
      </c>
    </row>
    <row r="7299">
      <c r="B7299" t="n">
        <v>34406706</v>
      </c>
      <c r="C7299" s="2" t="n">
        <v>43203</v>
      </c>
      <c r="D7299" t="inlineStr">
        <is>
          <t>SPEC</t>
        </is>
      </c>
      <c r="E7299" t="inlineStr">
        <is>
          <t>CELLULE SPACIAL SF 1800x600x800</t>
        </is>
      </c>
      <c r="F7299" t="inlineStr">
        <is>
          <t>BYPASS G3500+TFO</t>
        </is>
      </c>
      <c r="J7299" t="inlineStr">
        <is>
          <t>ROBERT</t>
        </is>
      </c>
      <c r="L7299">
        <f>_xlfn.XLOOKUP(Tableau1[[#This Row],[TYPE DE PIECE]],Tableau4[MATIERE],Tableau4[SHORT TYPE],"",0,1)</f>
        <v/>
      </c>
      <c r="N7299">
        <f>IF(ISERR(FIND("DECOUPE",Tableau1[[#This Row],[DESIGNATION]])),"","NEED REF")</f>
        <v/>
      </c>
    </row>
    <row r="7300">
      <c r="B7300" t="n">
        <v>34406705</v>
      </c>
      <c r="C7300" s="2" t="n">
        <v>43203</v>
      </c>
      <c r="D7300" t="inlineStr">
        <is>
          <t>SPEC</t>
        </is>
      </c>
      <c r="E7300" t="inlineStr">
        <is>
          <t>CX FIXING</t>
        </is>
      </c>
      <c r="F7300" t="inlineStr">
        <is>
          <t>BYPASS G3500+TFO</t>
        </is>
      </c>
      <c r="J7300" t="inlineStr">
        <is>
          <t>ROBERT</t>
        </is>
      </c>
      <c r="K7300" t="inlineStr">
        <is>
          <t>TOLERIE</t>
        </is>
      </c>
      <c r="L7300">
        <f>_xlfn.XLOOKUP(Tableau1[[#This Row],[TYPE DE PIECE]],Tableau4[MATIERE],Tableau4[SHORT TYPE],"",0,1)</f>
        <v/>
      </c>
      <c r="N7300">
        <f>IF(ISERR(FIND("DECOUPE",Tableau1[[#This Row],[DESIGNATION]])),"","NEED REF")</f>
        <v/>
      </c>
    </row>
    <row r="7301">
      <c r="B7301" t="n">
        <v>34406704</v>
      </c>
      <c r="C7301" s="2" t="n">
        <v>43203</v>
      </c>
      <c r="D7301" t="inlineStr">
        <is>
          <t>SPEC</t>
        </is>
      </c>
      <c r="E7301" t="inlineStr">
        <is>
          <t>LEFT FIXING</t>
        </is>
      </c>
      <c r="F7301" t="inlineStr">
        <is>
          <t>BYPASS G3500+TFO</t>
        </is>
      </c>
      <c r="J7301" t="inlineStr">
        <is>
          <t>ROBERT</t>
        </is>
      </c>
      <c r="K7301" t="inlineStr">
        <is>
          <t>TOLERIE</t>
        </is>
      </c>
      <c r="L7301">
        <f>_xlfn.XLOOKUP(Tableau1[[#This Row],[TYPE DE PIECE]],Tableau4[MATIERE],Tableau4[SHORT TYPE],"",0,1)</f>
        <v/>
      </c>
      <c r="N7301">
        <f>IF(ISERR(FIND("DECOUPE",Tableau1[[#This Row],[DESIGNATION]])),"","NEED REF")</f>
        <v/>
      </c>
    </row>
    <row r="7302">
      <c r="B7302" t="n">
        <v>34406703</v>
      </c>
      <c r="C7302" s="2" t="n">
        <v>43203</v>
      </c>
      <c r="D7302" t="inlineStr">
        <is>
          <t>SPEC</t>
        </is>
      </c>
      <c r="E7302" t="inlineStr">
        <is>
          <t>RIGHT FIXING</t>
        </is>
      </c>
      <c r="F7302" t="inlineStr">
        <is>
          <t>BYPASS G3500+TFO</t>
        </is>
      </c>
      <c r="J7302" t="inlineStr">
        <is>
          <t>ROBERT</t>
        </is>
      </c>
      <c r="K7302" t="inlineStr">
        <is>
          <t>TOLERIE</t>
        </is>
      </c>
      <c r="L7302">
        <f>_xlfn.XLOOKUP(Tableau1[[#This Row],[TYPE DE PIECE]],Tableau4[MATIERE],Tableau4[SHORT TYPE],"",0,1)</f>
        <v/>
      </c>
      <c r="N7302">
        <f>IF(ISERR(FIND("DECOUPE",Tableau1[[#This Row],[DESIGNATION]])),"","NEED REF")</f>
        <v/>
      </c>
    </row>
    <row r="7303">
      <c r="B7303" t="n">
        <v>34406702</v>
      </c>
      <c r="C7303" s="2" t="n">
        <v>43203</v>
      </c>
      <c r="D7303" t="inlineStr">
        <is>
          <t>SPEC</t>
        </is>
      </c>
      <c r="E7303" t="inlineStr">
        <is>
          <t>PERFORATED PROTEC TION SHIELD</t>
        </is>
      </c>
      <c r="F7303" t="inlineStr">
        <is>
          <t>BYPASS G3500+TFO</t>
        </is>
      </c>
      <c r="J7303" t="inlineStr">
        <is>
          <t>ROBERT</t>
        </is>
      </c>
      <c r="K7303" t="inlineStr">
        <is>
          <t>TOLERIE</t>
        </is>
      </c>
      <c r="L7303">
        <f>_xlfn.XLOOKUP(Tableau1[[#This Row],[TYPE DE PIECE]],Tableau4[MATIERE],Tableau4[SHORT TYPE],"",0,1)</f>
        <v/>
      </c>
      <c r="N7303">
        <f>IF(ISERR(FIND("DECOUPE",Tableau1[[#This Row],[DESIGNATION]])),"","NEED REF")</f>
        <v/>
      </c>
    </row>
    <row r="7304">
      <c r="B7304" t="n">
        <v>34406701</v>
      </c>
      <c r="C7304" s="2" t="n">
        <v>43200</v>
      </c>
      <c r="D7304" t="inlineStr">
        <is>
          <t>SPEC</t>
        </is>
      </c>
      <c r="E7304" t="inlineStr">
        <is>
          <t>ESSAI FLEXI BAR</t>
        </is>
      </c>
      <c r="F7304" t="inlineStr">
        <is>
          <t>MBC GVX</t>
        </is>
      </c>
      <c r="J7304" t="inlineStr">
        <is>
          <t>MATRION</t>
        </is>
      </c>
      <c r="K7304" t="inlineStr">
        <is>
          <t>CUIVRE</t>
        </is>
      </c>
      <c r="L7304">
        <f>_xlfn.XLOOKUP(Tableau1[[#This Row],[TYPE DE PIECE]],Tableau4[MATIERE],Tableau4[SHORT TYPE],"",0,1)</f>
        <v/>
      </c>
      <c r="N7304">
        <f>IF(ISERR(FIND("DECOUPE",Tableau1[[#This Row],[DESIGNATION]])),"","NEED REF")</f>
        <v/>
      </c>
    </row>
    <row r="7305">
      <c r="B7305" t="n">
        <v>34406700</v>
      </c>
      <c r="C7305" s="2" t="n">
        <v>43200</v>
      </c>
      <c r="D7305" t="inlineStr">
        <is>
          <t>SPEC</t>
        </is>
      </c>
      <c r="E7305" t="inlineStr">
        <is>
          <t>FiLERIE MBC/MBC GVX</t>
        </is>
      </c>
      <c r="F7305" t="inlineStr">
        <is>
          <t>MBC GVX</t>
        </is>
      </c>
      <c r="J7305" t="inlineStr">
        <is>
          <t>MATRION</t>
        </is>
      </c>
      <c r="K7305" t="inlineStr">
        <is>
          <t>FILERIE</t>
        </is>
      </c>
      <c r="L7305">
        <f>_xlfn.XLOOKUP(Tableau1[[#This Row],[TYPE DE PIECE]],Tableau4[MATIERE],Tableau4[SHORT TYPE],"",0,1)</f>
        <v/>
      </c>
      <c r="N7305">
        <f>IF(ISERR(FIND("DECOUPE",Tableau1[[#This Row],[DESIGNATION]])),"","NEED REF")</f>
        <v/>
      </c>
    </row>
    <row r="7306">
      <c r="B7306" t="n">
        <v>34406699</v>
      </c>
      <c r="C7306" s="2" t="n">
        <v>43196</v>
      </c>
      <c r="D7306" t="inlineStr">
        <is>
          <t>SPEC</t>
        </is>
      </c>
      <c r="E7306" t="inlineStr">
        <is>
          <t>TIGE FILTE 1900MM MAT DE VERRE EPOXY EPRS1</t>
        </is>
      </c>
      <c r="F7306" t="inlineStr">
        <is>
          <t>GVX IO 1000kW TGAB</t>
        </is>
      </c>
      <c r="J7306" t="inlineStr">
        <is>
          <t>MATRION</t>
        </is>
      </c>
      <c r="K7306" t="inlineStr">
        <is>
          <t>PLASTIQUE</t>
        </is>
      </c>
      <c r="L7306">
        <f>_xlfn.XLOOKUP(Tableau1[[#This Row],[TYPE DE PIECE]],Tableau4[MATIERE],Tableau4[SHORT TYPE],"",0,1)</f>
        <v/>
      </c>
      <c r="N7306">
        <f>IF(ISERR(FIND("DECOUPE",Tableau1[[#This Row],[DESIGNATION]])),"","NEED REF")</f>
        <v/>
      </c>
    </row>
    <row r="7307">
      <c r="B7307" t="n">
        <v>34406698</v>
      </c>
      <c r="C7307" s="2" t="n">
        <v>43196</v>
      </c>
      <c r="D7307" t="inlineStr">
        <is>
          <t>SPEC</t>
        </is>
      </c>
      <c r="E7307" t="inlineStr">
        <is>
          <t>ECROU CARRE M12</t>
        </is>
      </c>
      <c r="F7307" t="inlineStr">
        <is>
          <t>GVX IO 1000kW TGAB</t>
        </is>
      </c>
      <c r="J7307" t="inlineStr">
        <is>
          <t>MATRION</t>
        </is>
      </c>
      <c r="K7307" t="inlineStr">
        <is>
          <t>PLASTIQUE</t>
        </is>
      </c>
      <c r="L7307">
        <f>_xlfn.XLOOKUP(Tableau1[[#This Row],[TYPE DE PIECE]],Tableau4[MATIERE],Tableau4[SHORT TYPE],"",0,1)</f>
        <v/>
      </c>
      <c r="N7307">
        <f>IF(ISERR(FIND("DECOUPE",Tableau1[[#This Row],[DESIGNATION]])),"","NEED REF")</f>
        <v/>
      </c>
    </row>
    <row r="7308">
      <c r="B7308" t="n">
        <v>34406697</v>
      </c>
      <c r="C7308" s="2" t="n">
        <v>43195</v>
      </c>
      <c r="D7308" t="inlineStr">
        <is>
          <t>SPEC</t>
        </is>
      </c>
      <c r="F7308" t="inlineStr">
        <is>
          <t>BYPASS G3500+TFO</t>
        </is>
      </c>
      <c r="J7308" t="inlineStr">
        <is>
          <t>ROBERT</t>
        </is>
      </c>
      <c r="K7308" t="inlineStr">
        <is>
          <t>TOLERIE</t>
        </is>
      </c>
      <c r="L7308">
        <f>_xlfn.XLOOKUP(Tableau1[[#This Row],[TYPE DE PIECE]],Tableau4[MATIERE],Tableau4[SHORT TYPE],"",0,1)</f>
        <v/>
      </c>
      <c r="N7308">
        <f>IF(ISERR(FIND("DECOUPE",Tableau1[[#This Row],[DESIGNATION]])),"","NEED REF")</f>
        <v/>
      </c>
    </row>
    <row r="7309">
      <c r="B7309" t="n">
        <v>34406696</v>
      </c>
      <c r="C7309" s="2" t="n">
        <v>43195</v>
      </c>
      <c r="D7309" t="inlineStr">
        <is>
          <t>SPEC</t>
        </is>
      </c>
      <c r="F7309" t="inlineStr">
        <is>
          <t>BYPASS G3500+TFO</t>
        </is>
      </c>
      <c r="J7309" t="inlineStr">
        <is>
          <t>ROBERT</t>
        </is>
      </c>
      <c r="K7309" t="inlineStr">
        <is>
          <t>TOLERIE</t>
        </is>
      </c>
      <c r="L7309">
        <f>_xlfn.XLOOKUP(Tableau1[[#This Row],[TYPE DE PIECE]],Tableau4[MATIERE],Tableau4[SHORT TYPE],"",0,1)</f>
        <v/>
      </c>
      <c r="N7309">
        <f>IF(ISERR(FIND("DECOUPE",Tableau1[[#This Row],[DESIGNATION]])),"","NEED REF")</f>
        <v/>
      </c>
    </row>
    <row r="7310">
      <c r="B7310" t="n">
        <v>34406695</v>
      </c>
      <c r="C7310" s="2" t="n">
        <v>43195</v>
      </c>
      <c r="D7310" t="inlineStr">
        <is>
          <t>SPEC</t>
        </is>
      </c>
      <c r="F7310" t="inlineStr">
        <is>
          <t>BYPASS G3500+TFO</t>
        </is>
      </c>
      <c r="J7310" t="inlineStr">
        <is>
          <t>ROBERT</t>
        </is>
      </c>
      <c r="K7310" t="inlineStr">
        <is>
          <t>TOLERIE</t>
        </is>
      </c>
      <c r="L7310">
        <f>_xlfn.XLOOKUP(Tableau1[[#This Row],[TYPE DE PIECE]],Tableau4[MATIERE],Tableau4[SHORT TYPE],"",0,1)</f>
        <v/>
      </c>
      <c r="N7310">
        <f>IF(ISERR(FIND("DECOUPE",Tableau1[[#This Row],[DESIGNATION]])),"","NEED REF")</f>
        <v/>
      </c>
    </row>
    <row r="7311">
      <c r="B7311" t="n">
        <v>34406694</v>
      </c>
      <c r="C7311" s="2" t="n">
        <v>43195</v>
      </c>
      <c r="D7311" t="inlineStr">
        <is>
          <t>SPEC</t>
        </is>
      </c>
      <c r="F7311" t="inlineStr">
        <is>
          <t>BYPASS G3500+TFO</t>
        </is>
      </c>
      <c r="J7311" t="inlineStr">
        <is>
          <t>ROBERT</t>
        </is>
      </c>
      <c r="K7311" t="inlineStr">
        <is>
          <t>TOLERIE</t>
        </is>
      </c>
      <c r="L7311">
        <f>_xlfn.XLOOKUP(Tableau1[[#This Row],[TYPE DE PIECE]],Tableau4[MATIERE],Tableau4[SHORT TYPE],"",0,1)</f>
        <v/>
      </c>
      <c r="N7311">
        <f>IF(ISERR(FIND("DECOUPE",Tableau1[[#This Row],[DESIGNATION]])),"","NEED REF")</f>
        <v/>
      </c>
    </row>
    <row r="7312">
      <c r="B7312" t="n">
        <v>34406693</v>
      </c>
      <c r="C7312" s="2" t="n">
        <v>43195</v>
      </c>
      <c r="D7312" t="inlineStr">
        <is>
          <t>SPEC</t>
        </is>
      </c>
      <c r="F7312" t="inlineStr">
        <is>
          <t>BYPASS G3500+TFO</t>
        </is>
      </c>
      <c r="J7312" t="inlineStr">
        <is>
          <t>ROBERT</t>
        </is>
      </c>
      <c r="K7312" t="inlineStr">
        <is>
          <t>TOLERIE</t>
        </is>
      </c>
      <c r="L7312">
        <f>_xlfn.XLOOKUP(Tableau1[[#This Row],[TYPE DE PIECE]],Tableau4[MATIERE],Tableau4[SHORT TYPE],"",0,1)</f>
        <v/>
      </c>
      <c r="N7312">
        <f>IF(ISERR(FIND("DECOUPE",Tableau1[[#This Row],[DESIGNATION]])),"","NEED REF")</f>
        <v/>
      </c>
    </row>
    <row r="7313">
      <c r="B7313" t="n">
        <v>34406692</v>
      </c>
      <c r="C7313" s="2" t="n">
        <v>43195</v>
      </c>
      <c r="D7313" t="inlineStr">
        <is>
          <t>SPEC</t>
        </is>
      </c>
      <c r="F7313" t="inlineStr">
        <is>
          <t>BYPASS G3500+TFO</t>
        </is>
      </c>
      <c r="J7313" t="inlineStr">
        <is>
          <t>ROBERT</t>
        </is>
      </c>
      <c r="K7313" t="inlineStr">
        <is>
          <t>TOLERIE</t>
        </is>
      </c>
      <c r="L7313">
        <f>_xlfn.XLOOKUP(Tableau1[[#This Row],[TYPE DE PIECE]],Tableau4[MATIERE],Tableau4[SHORT TYPE],"",0,1)</f>
        <v/>
      </c>
      <c r="N7313">
        <f>IF(ISERR(FIND("DECOUPE",Tableau1[[#This Row],[DESIGNATION]])),"","NEED REF")</f>
        <v/>
      </c>
    </row>
    <row r="7314">
      <c r="B7314" t="n">
        <v>34406691</v>
      </c>
      <c r="C7314" s="2" t="n">
        <v>43195</v>
      </c>
      <c r="D7314" t="inlineStr">
        <is>
          <t>SPEC</t>
        </is>
      </c>
      <c r="F7314" t="inlineStr">
        <is>
          <t>BYPASS G3500+TFO</t>
        </is>
      </c>
      <c r="J7314" t="inlineStr">
        <is>
          <t>ROBERT</t>
        </is>
      </c>
      <c r="K7314" t="inlineStr">
        <is>
          <t>TOLERIE</t>
        </is>
      </c>
      <c r="L7314">
        <f>_xlfn.XLOOKUP(Tableau1[[#This Row],[TYPE DE PIECE]],Tableau4[MATIERE],Tableau4[SHORT TYPE],"",0,1)</f>
        <v/>
      </c>
      <c r="N7314">
        <f>IF(ISERR(FIND("DECOUPE",Tableau1[[#This Row],[DESIGNATION]])),"","NEED REF")</f>
        <v/>
      </c>
    </row>
    <row r="7315">
      <c r="B7315" t="n">
        <v>34406690</v>
      </c>
      <c r="C7315" s="2" t="n">
        <v>43195</v>
      </c>
      <c r="D7315" t="inlineStr">
        <is>
          <t>SPEC</t>
        </is>
      </c>
      <c r="F7315" t="inlineStr">
        <is>
          <t>BYPASS G3500+TFO</t>
        </is>
      </c>
      <c r="J7315" t="inlineStr">
        <is>
          <t>ROBERT</t>
        </is>
      </c>
      <c r="K7315" t="inlineStr">
        <is>
          <t>TOLERIE</t>
        </is>
      </c>
      <c r="L7315">
        <f>_xlfn.XLOOKUP(Tableau1[[#This Row],[TYPE DE PIECE]],Tableau4[MATIERE],Tableau4[SHORT TYPE],"",0,1)</f>
        <v/>
      </c>
      <c r="N7315">
        <f>IF(ISERR(FIND("DECOUPE",Tableau1[[#This Row],[DESIGNATION]])),"","NEED REF")</f>
        <v/>
      </c>
    </row>
    <row r="7316">
      <c r="B7316" t="n">
        <v>34406689</v>
      </c>
      <c r="C7316" s="2" t="n">
        <v>43195</v>
      </c>
      <c r="D7316" t="inlineStr">
        <is>
          <t>SPEC</t>
        </is>
      </c>
      <c r="F7316" t="inlineStr">
        <is>
          <t>BYPASS G3500+TFO</t>
        </is>
      </c>
      <c r="J7316" t="inlineStr">
        <is>
          <t>ROBERT</t>
        </is>
      </c>
      <c r="K7316" t="inlineStr">
        <is>
          <t>TOLERIE</t>
        </is>
      </c>
      <c r="L7316">
        <f>_xlfn.XLOOKUP(Tableau1[[#This Row],[TYPE DE PIECE]],Tableau4[MATIERE],Tableau4[SHORT TYPE],"",0,1)</f>
        <v/>
      </c>
      <c r="N7316">
        <f>IF(ISERR(FIND("DECOUPE",Tableau1[[#This Row],[DESIGNATION]])),"","NEED REF")</f>
        <v/>
      </c>
    </row>
    <row r="7317">
      <c r="B7317" t="n">
        <v>34406688</v>
      </c>
      <c r="C7317" s="2" t="n">
        <v>43195</v>
      </c>
      <c r="D7317" t="inlineStr">
        <is>
          <t>SPEC</t>
        </is>
      </c>
      <c r="F7317" t="inlineStr">
        <is>
          <t>BYPASS G3500+TFO</t>
        </is>
      </c>
      <c r="J7317" t="inlineStr">
        <is>
          <t>ROBERT</t>
        </is>
      </c>
      <c r="K7317" t="inlineStr">
        <is>
          <t>TOLERIE</t>
        </is>
      </c>
      <c r="L7317">
        <f>_xlfn.XLOOKUP(Tableau1[[#This Row],[TYPE DE PIECE]],Tableau4[MATIERE],Tableau4[SHORT TYPE],"",0,1)</f>
        <v/>
      </c>
      <c r="N7317">
        <f>IF(ISERR(FIND("DECOUPE",Tableau1[[#This Row],[DESIGNATION]])),"","NEED REF")</f>
        <v/>
      </c>
    </row>
    <row r="7318">
      <c r="B7318" t="n">
        <v>34406687</v>
      </c>
      <c r="C7318" s="2" t="n">
        <v>43195</v>
      </c>
      <c r="D7318" t="inlineStr">
        <is>
          <t>SPEC</t>
        </is>
      </c>
      <c r="F7318" t="inlineStr">
        <is>
          <t>BYPASS G3500+TFO</t>
        </is>
      </c>
      <c r="J7318" t="inlineStr">
        <is>
          <t>ROBERT</t>
        </is>
      </c>
      <c r="K7318" t="inlineStr">
        <is>
          <t>TOLERIE</t>
        </is>
      </c>
      <c r="L7318">
        <f>_xlfn.XLOOKUP(Tableau1[[#This Row],[TYPE DE PIECE]],Tableau4[MATIERE],Tableau4[SHORT TYPE],"",0,1)</f>
        <v/>
      </c>
      <c r="N7318">
        <f>IF(ISERR(FIND("DECOUPE",Tableau1[[#This Row],[DESIGNATION]])),"","NEED REF")</f>
        <v/>
      </c>
    </row>
    <row r="7319">
      <c r="B7319" t="n">
        <v>34406686</v>
      </c>
      <c r="C7319" s="2" t="n">
        <v>43195</v>
      </c>
      <c r="D7319" t="inlineStr">
        <is>
          <t>SPEC</t>
        </is>
      </c>
      <c r="F7319" t="inlineStr">
        <is>
          <t>BYPASS G3500+TFO</t>
        </is>
      </c>
      <c r="J7319" t="inlineStr">
        <is>
          <t>ROBERT</t>
        </is>
      </c>
      <c r="K7319" t="inlineStr">
        <is>
          <t>TOLERIE</t>
        </is>
      </c>
      <c r="L7319">
        <f>_xlfn.XLOOKUP(Tableau1[[#This Row],[TYPE DE PIECE]],Tableau4[MATIERE],Tableau4[SHORT TYPE],"",0,1)</f>
        <v/>
      </c>
      <c r="N7319">
        <f>IF(ISERR(FIND("DECOUPE",Tableau1[[#This Row],[DESIGNATION]])),"","NEED REF")</f>
        <v/>
      </c>
    </row>
    <row r="7320">
      <c r="B7320" t="n">
        <v>34406685</v>
      </c>
      <c r="C7320" s="2" t="n">
        <v>43195</v>
      </c>
      <c r="D7320" t="inlineStr">
        <is>
          <t>SPEC</t>
        </is>
      </c>
      <c r="F7320" t="inlineStr">
        <is>
          <t>BYPASS G3500+TFO</t>
        </is>
      </c>
      <c r="J7320" t="inlineStr">
        <is>
          <t>ROBERT</t>
        </is>
      </c>
      <c r="K7320" t="inlineStr">
        <is>
          <t>TOLERIE</t>
        </is>
      </c>
      <c r="L7320">
        <f>_xlfn.XLOOKUP(Tableau1[[#This Row],[TYPE DE PIECE]],Tableau4[MATIERE],Tableau4[SHORT TYPE],"",0,1)</f>
        <v/>
      </c>
      <c r="N7320">
        <f>IF(ISERR(FIND("DECOUPE",Tableau1[[#This Row],[DESIGNATION]])),"","NEED REF")</f>
        <v/>
      </c>
    </row>
    <row r="7321">
      <c r="B7321" t="n">
        <v>34406684</v>
      </c>
      <c r="C7321" s="2" t="n">
        <v>43195</v>
      </c>
      <c r="D7321" t="inlineStr">
        <is>
          <t>SPEC</t>
        </is>
      </c>
      <c r="F7321" t="inlineStr">
        <is>
          <t>BYPASS G3500+TFO</t>
        </is>
      </c>
      <c r="J7321" t="inlineStr">
        <is>
          <t>ROBERT</t>
        </is>
      </c>
      <c r="K7321" t="inlineStr">
        <is>
          <t>TOLERIE</t>
        </is>
      </c>
      <c r="L7321">
        <f>_xlfn.XLOOKUP(Tableau1[[#This Row],[TYPE DE PIECE]],Tableau4[MATIERE],Tableau4[SHORT TYPE],"",0,1)</f>
        <v/>
      </c>
      <c r="N7321">
        <f>IF(ISERR(FIND("DECOUPE",Tableau1[[#This Row],[DESIGNATION]])),"","NEED REF")</f>
        <v/>
      </c>
    </row>
    <row r="7322">
      <c r="B7322" t="n">
        <v>34406683</v>
      </c>
      <c r="C7322" s="2" t="n">
        <v>43195</v>
      </c>
      <c r="D7322" t="inlineStr">
        <is>
          <t>SPEC</t>
        </is>
      </c>
      <c r="F7322" t="inlineStr">
        <is>
          <t>BYPASS G3500+TFO</t>
        </is>
      </c>
      <c r="J7322" t="inlineStr">
        <is>
          <t>ROBERT</t>
        </is>
      </c>
      <c r="K7322" t="inlineStr">
        <is>
          <t>TOLERIE</t>
        </is>
      </c>
      <c r="L7322">
        <f>_xlfn.XLOOKUP(Tableau1[[#This Row],[TYPE DE PIECE]],Tableau4[MATIERE],Tableau4[SHORT TYPE],"",0,1)</f>
        <v/>
      </c>
      <c r="N7322">
        <f>IF(ISERR(FIND("DECOUPE",Tableau1[[#This Row],[DESIGNATION]])),"","NEED REF")</f>
        <v/>
      </c>
    </row>
    <row r="7323">
      <c r="B7323" t="n">
        <v>34406682</v>
      </c>
      <c r="C7323" s="2" t="n">
        <v>43195</v>
      </c>
      <c r="D7323" t="inlineStr">
        <is>
          <t>SPEC</t>
        </is>
      </c>
      <c r="F7323" t="inlineStr">
        <is>
          <t>BYPASS G3500+TFO</t>
        </is>
      </c>
      <c r="J7323" t="inlineStr">
        <is>
          <t>ROBERT</t>
        </is>
      </c>
      <c r="K7323" t="inlineStr">
        <is>
          <t>TOLERIE</t>
        </is>
      </c>
      <c r="L7323">
        <f>_xlfn.XLOOKUP(Tableau1[[#This Row],[TYPE DE PIECE]],Tableau4[MATIERE],Tableau4[SHORT TYPE],"",0,1)</f>
        <v/>
      </c>
      <c r="N7323">
        <f>IF(ISERR(FIND("DECOUPE",Tableau1[[#This Row],[DESIGNATION]])),"","NEED REF")</f>
        <v/>
      </c>
    </row>
    <row r="7324">
      <c r="B7324" t="n">
        <v>34406681</v>
      </c>
      <c r="C7324" s="2" t="n">
        <v>43195</v>
      </c>
      <c r="D7324" t="inlineStr">
        <is>
          <t>SPEC</t>
        </is>
      </c>
      <c r="F7324" t="inlineStr">
        <is>
          <t>BYPASS G3500+TFO</t>
        </is>
      </c>
      <c r="J7324" t="inlineStr">
        <is>
          <t>ROBERT</t>
        </is>
      </c>
      <c r="K7324" t="inlineStr">
        <is>
          <t>TOLERIE</t>
        </is>
      </c>
      <c r="L7324">
        <f>_xlfn.XLOOKUP(Tableau1[[#This Row],[TYPE DE PIECE]],Tableau4[MATIERE],Tableau4[SHORT TYPE],"",0,1)</f>
        <v/>
      </c>
      <c r="N7324">
        <f>IF(ISERR(FIND("DECOUPE",Tableau1[[#This Row],[DESIGNATION]])),"","NEED REF")</f>
        <v/>
      </c>
    </row>
    <row r="7325">
      <c r="B7325" t="n">
        <v>34406680</v>
      </c>
      <c r="C7325" s="2" t="n">
        <v>43195</v>
      </c>
      <c r="D7325" t="inlineStr">
        <is>
          <t>SPEC</t>
        </is>
      </c>
      <c r="F7325" t="inlineStr">
        <is>
          <t>BYPASS G3500+TFO</t>
        </is>
      </c>
      <c r="J7325" t="inlineStr">
        <is>
          <t>ROBERT</t>
        </is>
      </c>
      <c r="K7325" t="inlineStr">
        <is>
          <t>TOLERIE</t>
        </is>
      </c>
      <c r="L7325">
        <f>_xlfn.XLOOKUP(Tableau1[[#This Row],[TYPE DE PIECE]],Tableau4[MATIERE],Tableau4[SHORT TYPE],"",0,1)</f>
        <v/>
      </c>
      <c r="N7325">
        <f>IF(ISERR(FIND("DECOUPE",Tableau1[[#This Row],[DESIGNATION]])),"","NEED REF")</f>
        <v/>
      </c>
    </row>
    <row r="7326">
      <c r="B7326" t="n">
        <v>34406679</v>
      </c>
      <c r="C7326" s="2" t="n">
        <v>43181</v>
      </c>
      <c r="D7326" t="inlineStr">
        <is>
          <t>SPEC</t>
        </is>
      </c>
      <c r="E7326" t="inlineStr">
        <is>
          <t>CABLES BATT 185MM2</t>
        </is>
      </c>
      <c r="F7326" t="inlineStr">
        <is>
          <t>GVX IO 1000kW TGAB</t>
        </is>
      </c>
      <c r="J7326" t="inlineStr">
        <is>
          <t>MATRION</t>
        </is>
      </c>
      <c r="K7326" t="inlineStr">
        <is>
          <t>FILERIE</t>
        </is>
      </c>
      <c r="L7326">
        <f>_xlfn.XLOOKUP(Tableau1[[#This Row],[TYPE DE PIECE]],Tableau4[MATIERE],Tableau4[SHORT TYPE],"",0,1)</f>
        <v/>
      </c>
      <c r="N7326">
        <f>IF(ISERR(FIND("DECOUPE",Tableau1[[#This Row],[DESIGNATION]])),"","NEED REF")</f>
        <v/>
      </c>
    </row>
    <row r="7327">
      <c r="B7327" t="n">
        <v>34406678</v>
      </c>
      <c r="C7327" s="2" t="n">
        <v>43181</v>
      </c>
      <c r="D7327" t="inlineStr">
        <is>
          <t>SPEC</t>
        </is>
      </c>
      <c r="E7327" t="inlineStr">
        <is>
          <t>COP TGAB BATT</t>
        </is>
      </c>
      <c r="F7327" t="inlineStr">
        <is>
          <t>GVX IO 1000kW TGAB</t>
        </is>
      </c>
      <c r="J7327" t="inlineStr">
        <is>
          <t>MATRION</t>
        </is>
      </c>
      <c r="K7327" t="inlineStr">
        <is>
          <t>CUIVRE</t>
        </is>
      </c>
      <c r="L7327">
        <f>_xlfn.XLOOKUP(Tableau1[[#This Row],[TYPE DE PIECE]],Tableau4[MATIERE],Tableau4[SHORT TYPE],"",0,1)</f>
        <v/>
      </c>
      <c r="N7327">
        <f>IF(ISERR(FIND("DECOUPE",Tableau1[[#This Row],[DESIGNATION]])),"","NEED REF")</f>
        <v/>
      </c>
    </row>
    <row r="7328">
      <c r="B7328" t="n">
        <v>34406677</v>
      </c>
      <c r="C7328" s="2" t="n">
        <v>43181</v>
      </c>
      <c r="D7328" t="inlineStr">
        <is>
          <t>SPEC</t>
        </is>
      </c>
      <c r="E7328" t="inlineStr">
        <is>
          <t>SF 18680 CUSTOM</t>
        </is>
      </c>
      <c r="J7328" t="inlineStr">
        <is>
          <t>ROBERT</t>
        </is>
      </c>
      <c r="K7328" t="inlineStr">
        <is>
          <t>SAREL</t>
        </is>
      </c>
      <c r="L7328">
        <f>_xlfn.XLOOKUP(Tableau1[[#This Row],[TYPE DE PIECE]],Tableau4[MATIERE],Tableau4[SHORT TYPE],"",0,1)</f>
        <v/>
      </c>
      <c r="N7328">
        <f>IF(ISERR(FIND("DECOUPE",Tableau1[[#This Row],[DESIGNATION]])),"","NEED REF")</f>
        <v/>
      </c>
    </row>
    <row r="7329">
      <c r="B7329" t="n">
        <v>34406676</v>
      </c>
      <c r="C7329" s="2" t="n">
        <v>43179</v>
      </c>
      <c r="D7329" t="inlineStr">
        <is>
          <t>SPEC</t>
        </is>
      </c>
      <c r="E7329" t="inlineStr">
        <is>
          <t>SMT PLATINE 0P6507</t>
        </is>
      </c>
      <c r="F7329" t="inlineStr">
        <is>
          <t>BYPASS GVM</t>
        </is>
      </c>
      <c r="J7329" t="inlineStr">
        <is>
          <t>MATRION</t>
        </is>
      </c>
      <c r="K7329" t="inlineStr">
        <is>
          <t>METAL</t>
        </is>
      </c>
      <c r="L7329">
        <f>_xlfn.XLOOKUP(Tableau1[[#This Row],[TYPE DE PIECE]],Tableau4[MATIERE],Tableau4[SHORT TYPE],"",0,1)</f>
        <v/>
      </c>
      <c r="N7329">
        <f>IF(ISERR(FIND("DECOUPE",Tableau1[[#This Row],[DESIGNATION]])),"","NEED REF")</f>
        <v/>
      </c>
    </row>
    <row r="7330">
      <c r="B7330" t="n">
        <v>34406675</v>
      </c>
      <c r="C7330" s="2" t="n">
        <v>43179</v>
      </c>
      <c r="D7330" t="inlineStr">
        <is>
          <t>SPEC</t>
        </is>
      </c>
      <c r="E7330" t="inlineStr">
        <is>
          <t>SMT PLATINE BYPASS INS250/630</t>
        </is>
      </c>
      <c r="F7330" t="inlineStr">
        <is>
          <t>BYPASS GVM</t>
        </is>
      </c>
      <c r="J7330" t="inlineStr">
        <is>
          <t>MATRION</t>
        </is>
      </c>
      <c r="K7330" t="inlineStr">
        <is>
          <t>METAL</t>
        </is>
      </c>
      <c r="L7330">
        <f>_xlfn.XLOOKUP(Tableau1[[#This Row],[TYPE DE PIECE]],Tableau4[MATIERE],Tableau4[SHORT TYPE],"",0,1)</f>
        <v/>
      </c>
      <c r="N7330">
        <f>IF(ISERR(FIND("DECOUPE",Tableau1[[#This Row],[DESIGNATION]])),"","NEED REF")</f>
        <v/>
      </c>
    </row>
    <row r="7331">
      <c r="B7331" t="n">
        <v>34406674</v>
      </c>
      <c r="C7331" s="2" t="n">
        <v>43179</v>
      </c>
      <c r="D7331" t="inlineStr">
        <is>
          <t>SPEC</t>
        </is>
      </c>
      <c r="E7331" t="inlineStr">
        <is>
          <t>SMT PLASTRON BYPASS 2x INS250/630</t>
        </is>
      </c>
      <c r="F7331" t="inlineStr">
        <is>
          <t>BYPASS GVM</t>
        </is>
      </c>
      <c r="J7331" t="inlineStr">
        <is>
          <t>MATRION</t>
        </is>
      </c>
      <c r="K7331" t="inlineStr">
        <is>
          <t>METAL</t>
        </is>
      </c>
      <c r="L7331">
        <f>_xlfn.XLOOKUP(Tableau1[[#This Row],[TYPE DE PIECE]],Tableau4[MATIERE],Tableau4[SHORT TYPE],"",0,1)</f>
        <v/>
      </c>
      <c r="N7331">
        <f>IF(ISERR(FIND("DECOUPE",Tableau1[[#This Row],[DESIGNATION]])),"","NEED REF")</f>
        <v/>
      </c>
    </row>
    <row r="7332">
      <c r="B7332" t="n">
        <v>34406673</v>
      </c>
      <c r="C7332" s="2" t="n">
        <v>43178</v>
      </c>
      <c r="D7332" t="inlineStr">
        <is>
          <t>NOM</t>
        </is>
      </c>
      <c r="E7332" t="inlineStr">
        <is>
          <t>LG COFFRET DISJ STX</t>
        </is>
      </c>
      <c r="F7332" t="inlineStr">
        <is>
          <t>G55 120kVA</t>
        </is>
      </c>
      <c r="J7332" t="inlineStr">
        <is>
          <t>ROBERT</t>
        </is>
      </c>
      <c r="L7332">
        <f>_xlfn.XLOOKUP(Tableau1[[#This Row],[TYPE DE PIECE]],Tableau4[MATIERE],Tableau4[SHORT TYPE],"",0,1)</f>
        <v/>
      </c>
      <c r="N7332">
        <f>IF(ISERR(FIND("DECOUPE",Tableau1[[#This Row],[DESIGNATION]])),"","NEED REF")</f>
        <v/>
      </c>
    </row>
    <row r="7333">
      <c r="B7333" t="n">
        <v>34406672</v>
      </c>
      <c r="C7333" s="2" t="n">
        <v>43178</v>
      </c>
      <c r="D7333" t="inlineStr">
        <is>
          <t>NOM</t>
        </is>
      </c>
      <c r="E7333" t="inlineStr">
        <is>
          <t>REHAUSSE H400 L1400 3</t>
        </is>
      </c>
      <c r="F7333" t="inlineStr">
        <is>
          <t>NS2000</t>
        </is>
      </c>
      <c r="J7333" t="inlineStr">
        <is>
          <t>MATRION</t>
        </is>
      </c>
      <c r="K7333" t="inlineStr">
        <is>
          <t>METAL</t>
        </is>
      </c>
      <c r="L7333">
        <f>_xlfn.XLOOKUP(Tableau1[[#This Row],[TYPE DE PIECE]],Tableau4[MATIERE],Tableau4[SHORT TYPE],"",0,1)</f>
        <v/>
      </c>
      <c r="N7333">
        <f>IF(ISERR(FIND("DECOUPE",Tableau1[[#This Row],[DESIGNATION]])),"","NEED REF")</f>
        <v/>
      </c>
    </row>
    <row r="7334">
      <c r="B7334" t="n">
        <v>34406671</v>
      </c>
      <c r="C7334" s="2" t="n">
        <v>43178</v>
      </c>
      <c r="D7334" t="inlineStr">
        <is>
          <t>SPEC</t>
        </is>
      </c>
      <c r="E7334" t="inlineStr">
        <is>
          <t>TOIT TGAB 2500 ALIGN PROFONDEUR</t>
        </is>
      </c>
      <c r="F7334" t="inlineStr">
        <is>
          <t>NS2000</t>
        </is>
      </c>
      <c r="J7334" t="inlineStr">
        <is>
          <t>MATRION</t>
        </is>
      </c>
      <c r="K7334" t="inlineStr">
        <is>
          <t>METAL</t>
        </is>
      </c>
      <c r="L7334">
        <f>_xlfn.XLOOKUP(Tableau1[[#This Row],[TYPE DE PIECE]],Tableau4[MATIERE],Tableau4[SHORT TYPE],"",0,1)</f>
        <v/>
      </c>
      <c r="N7334">
        <f>IF(ISERR(FIND("DECOUPE",Tableau1[[#This Row],[DESIGNATION]])),"","NEED REF")</f>
        <v/>
      </c>
    </row>
    <row r="7335">
      <c r="B7335" t="n">
        <v>34406670</v>
      </c>
      <c r="C7335" s="2" t="n">
        <v>43171</v>
      </c>
      <c r="D7335" t="inlineStr">
        <is>
          <t>SPEC</t>
        </is>
      </c>
      <c r="E7335" t="inlineStr">
        <is>
          <t>Masterpact NW16 HF 3P</t>
        </is>
      </c>
      <c r="F7335" t="inlineStr">
        <is>
          <t>MBC GVX</t>
        </is>
      </c>
      <c r="J7335" t="inlineStr">
        <is>
          <t>MATRION</t>
        </is>
      </c>
      <c r="K7335" t="inlineStr">
        <is>
          <t>=S=</t>
        </is>
      </c>
      <c r="L7335">
        <f>_xlfn.XLOOKUP(Tableau1[[#This Row],[TYPE DE PIECE]],Tableau4[MATIERE],Tableau4[SHORT TYPE],"",0,1)</f>
        <v/>
      </c>
      <c r="N7335">
        <f>IF(ISERR(FIND("DECOUPE",Tableau1[[#This Row],[DESIGNATION]])),"","NEED REF")</f>
        <v/>
      </c>
    </row>
    <row r="7336">
      <c r="B7336" t="n">
        <v>34406669</v>
      </c>
      <c r="C7336" s="2" t="n">
        <v>43171</v>
      </c>
      <c r="D7336" t="inlineStr">
        <is>
          <t>SPEC</t>
        </is>
      </c>
      <c r="E7336" t="inlineStr">
        <is>
          <t>TOIT TGAB 4</t>
        </is>
      </c>
      <c r="F7336" t="inlineStr">
        <is>
          <t>GVX IO 1000kW TGAB</t>
        </is>
      </c>
      <c r="J7336" t="inlineStr">
        <is>
          <t>MATRION</t>
        </is>
      </c>
      <c r="K7336" t="inlineStr">
        <is>
          <t>METAL</t>
        </is>
      </c>
      <c r="L7336">
        <f>_xlfn.XLOOKUP(Tableau1[[#This Row],[TYPE DE PIECE]],Tableau4[MATIERE],Tableau4[SHORT TYPE],"",0,1)</f>
        <v/>
      </c>
      <c r="N7336">
        <f>IF(ISERR(FIND("DECOUPE",Tableau1[[#This Row],[DESIGNATION]])),"","NEED REF")</f>
        <v/>
      </c>
    </row>
    <row r="7337">
      <c r="B7337" t="n">
        <v>34406668</v>
      </c>
      <c r="C7337" s="2" t="n">
        <v>43171</v>
      </c>
      <c r="D7337" t="inlineStr">
        <is>
          <t>SPEC</t>
        </is>
      </c>
      <c r="E7337" t="inlineStr">
        <is>
          <t>TOIT TGAB 3</t>
        </is>
      </c>
      <c r="F7337" t="inlineStr">
        <is>
          <t>GVX IO 1000kW TGAB</t>
        </is>
      </c>
      <c r="J7337" t="inlineStr">
        <is>
          <t>MATRION</t>
        </is>
      </c>
      <c r="K7337" t="inlineStr">
        <is>
          <t>METAL</t>
        </is>
      </c>
      <c r="L7337">
        <f>_xlfn.XLOOKUP(Tableau1[[#This Row],[TYPE DE PIECE]],Tableau4[MATIERE],Tableau4[SHORT TYPE],"",0,1)</f>
        <v/>
      </c>
      <c r="N7337">
        <f>IF(ISERR(FIND("DECOUPE",Tableau1[[#This Row],[DESIGNATION]])),"","NEED REF")</f>
        <v/>
      </c>
    </row>
    <row r="7338">
      <c r="B7338" t="n">
        <v>34406667</v>
      </c>
      <c r="C7338" s="2" t="n">
        <v>43171</v>
      </c>
      <c r="D7338" t="inlineStr">
        <is>
          <t>SPEC</t>
        </is>
      </c>
      <c r="E7338" t="inlineStr">
        <is>
          <t>TOIT TGAB 2</t>
        </is>
      </c>
      <c r="F7338" t="inlineStr">
        <is>
          <t>GVX IO 1000kW TGAB</t>
        </is>
      </c>
      <c r="J7338" t="inlineStr">
        <is>
          <t>MATRION</t>
        </is>
      </c>
      <c r="K7338" t="inlineStr">
        <is>
          <t>METAL</t>
        </is>
      </c>
      <c r="L7338">
        <f>_xlfn.XLOOKUP(Tableau1[[#This Row],[TYPE DE PIECE]],Tableau4[MATIERE],Tableau4[SHORT TYPE],"",0,1)</f>
        <v/>
      </c>
      <c r="N7338">
        <f>IF(ISERR(FIND("DECOUPE",Tableau1[[#This Row],[DESIGNATION]])),"","NEED REF")</f>
        <v/>
      </c>
    </row>
    <row r="7339">
      <c r="B7339" t="n">
        <v>34406666</v>
      </c>
      <c r="C7339" s="2" t="n">
        <v>43171</v>
      </c>
      <c r="D7339" t="inlineStr">
        <is>
          <t>SPEC</t>
        </is>
      </c>
      <c r="E7339" t="inlineStr">
        <is>
          <t>TOIT TGAB 1</t>
        </is>
      </c>
      <c r="F7339" t="inlineStr">
        <is>
          <t>GVX IO 1000kW TGAB</t>
        </is>
      </c>
      <c r="J7339" t="inlineStr">
        <is>
          <t>MATRION</t>
        </is>
      </c>
      <c r="K7339" t="inlineStr">
        <is>
          <t>METAL</t>
        </is>
      </c>
      <c r="L7339">
        <f>_xlfn.XLOOKUP(Tableau1[[#This Row],[TYPE DE PIECE]],Tableau4[MATIERE],Tableau4[SHORT TYPE],"",0,1)</f>
        <v/>
      </c>
      <c r="N7339">
        <f>IF(ISERR(FIND("DECOUPE",Tableau1[[#This Row],[DESIGNATION]])),"","NEED REF")</f>
        <v/>
      </c>
    </row>
    <row r="7340">
      <c r="B7340" t="n">
        <v>34406665</v>
      </c>
      <c r="C7340" s="2" t="n">
        <v>43171</v>
      </c>
      <c r="D7340" t="inlineStr">
        <is>
          <t>SPEC</t>
        </is>
      </c>
      <c r="E7340" t="inlineStr">
        <is>
          <t>PLAQUE ISOLANTE PE</t>
        </is>
      </c>
      <c r="F7340" t="inlineStr">
        <is>
          <t>GVX IO 1000kW TGAB</t>
        </is>
      </c>
      <c r="J7340" t="inlineStr">
        <is>
          <t>MATRION</t>
        </is>
      </c>
      <c r="K7340" t="inlineStr">
        <is>
          <t>PLASTIQUE</t>
        </is>
      </c>
      <c r="L7340">
        <f>_xlfn.XLOOKUP(Tableau1[[#This Row],[TYPE DE PIECE]],Tableau4[MATIERE],Tableau4[SHORT TYPE],"",0,1)</f>
        <v/>
      </c>
      <c r="N7340">
        <f>IF(ISERR(FIND("DECOUPE",Tableau1[[#This Row],[DESIGNATION]])),"","NEED REF")</f>
        <v/>
      </c>
    </row>
    <row r="7341">
      <c r="B7341" t="n">
        <v>34406664</v>
      </c>
      <c r="C7341" s="2" t="n">
        <v>43171</v>
      </c>
      <c r="D7341" t="inlineStr">
        <is>
          <t>SPEC</t>
        </is>
      </c>
      <c r="E7341" t="inlineStr">
        <is>
          <t>ESPACEUR DE CABLES</t>
        </is>
      </c>
      <c r="F7341" t="inlineStr">
        <is>
          <t>MBC GVX</t>
        </is>
      </c>
      <c r="J7341" t="inlineStr">
        <is>
          <t>MATRION</t>
        </is>
      </c>
      <c r="K7341" t="inlineStr">
        <is>
          <t>PLASTIQUE</t>
        </is>
      </c>
      <c r="L7341">
        <f>_xlfn.XLOOKUP(Tableau1[[#This Row],[TYPE DE PIECE]],Tableau4[MATIERE],Tableau4[SHORT TYPE],"",0,1)</f>
        <v/>
      </c>
      <c r="N7341">
        <f>IF(ISERR(FIND("DECOUPE",Tableau1[[#This Row],[DESIGNATION]])),"","NEED REF")</f>
        <v/>
      </c>
    </row>
    <row r="7342">
      <c r="B7342" t="n">
        <v>34406663</v>
      </c>
      <c r="C7342" s="2" t="n">
        <v>43171</v>
      </c>
      <c r="D7342" t="inlineStr">
        <is>
          <t>SPEC</t>
        </is>
      </c>
      <c r="E7342" t="inlineStr">
        <is>
          <t>TIGE FILTE 185MM</t>
        </is>
      </c>
      <c r="F7342" t="inlineStr">
        <is>
          <t>GVX IO 1000kW TGAB</t>
        </is>
      </c>
      <c r="J7342" t="inlineStr">
        <is>
          <t>MATRION</t>
        </is>
      </c>
      <c r="K7342" t="inlineStr">
        <is>
          <t>PLASTIQUE</t>
        </is>
      </c>
      <c r="L7342">
        <f>_xlfn.XLOOKUP(Tableau1[[#This Row],[TYPE DE PIECE]],Tableau4[MATIERE],Tableau4[SHORT TYPE],"",0,1)</f>
        <v/>
      </c>
      <c r="N7342">
        <f>IF(ISERR(FIND("DECOUPE",Tableau1[[#This Row],[DESIGNATION]])),"","NEED REF")</f>
        <v/>
      </c>
    </row>
    <row r="7343">
      <c r="B7343" t="n">
        <v>34406662</v>
      </c>
      <c r="C7343" s="2" t="n">
        <v>43171</v>
      </c>
      <c r="D7343" t="inlineStr">
        <is>
          <t>SPEC</t>
        </is>
      </c>
      <c r="E7343" t="inlineStr">
        <is>
          <t>TIGE FILTE 290MM</t>
        </is>
      </c>
      <c r="F7343" t="inlineStr">
        <is>
          <t>GVX IO 1000kW TGAB</t>
        </is>
      </c>
      <c r="J7343" t="inlineStr">
        <is>
          <t>MATRION</t>
        </is>
      </c>
      <c r="K7343" t="inlineStr">
        <is>
          <t>PLASTIQUE</t>
        </is>
      </c>
      <c r="L7343">
        <f>_xlfn.XLOOKUP(Tableau1[[#This Row],[TYPE DE PIECE]],Tableau4[MATIERE],Tableau4[SHORT TYPE],"",0,1)</f>
        <v/>
      </c>
      <c r="N7343">
        <f>IF(ISERR(FIND("DECOUPE",Tableau1[[#This Row],[DESIGNATION]])),"","NEED REF")</f>
        <v/>
      </c>
    </row>
    <row r="7344">
      <c r="B7344" t="n">
        <v>34406661</v>
      </c>
      <c r="C7344" s="2" t="n">
        <v>43171</v>
      </c>
      <c r="D7344" t="inlineStr">
        <is>
          <t>SPEC</t>
        </is>
      </c>
      <c r="E7344" t="inlineStr">
        <is>
          <t>TIGE FILTE 210MM</t>
        </is>
      </c>
      <c r="F7344" t="inlineStr">
        <is>
          <t>GVX IO 1000kW TGAB</t>
        </is>
      </c>
      <c r="J7344" t="inlineStr">
        <is>
          <t>MATRION</t>
        </is>
      </c>
      <c r="K7344" t="inlineStr">
        <is>
          <t>PLASTIQUE</t>
        </is>
      </c>
      <c r="L7344">
        <f>_xlfn.XLOOKUP(Tableau1[[#This Row],[TYPE DE PIECE]],Tableau4[MATIERE],Tableau4[SHORT TYPE],"",0,1)</f>
        <v/>
      </c>
      <c r="N7344">
        <f>IF(ISERR(FIND("DECOUPE",Tableau1[[#This Row],[DESIGNATION]])),"","NEED REF")</f>
        <v/>
      </c>
    </row>
    <row r="7345">
      <c r="B7345" t="n">
        <v>34406660</v>
      </c>
      <c r="C7345" s="2" t="n">
        <v>43171</v>
      </c>
      <c r="D7345" t="inlineStr">
        <is>
          <t>SPEC</t>
        </is>
      </c>
      <c r="E7345" t="inlineStr">
        <is>
          <t>TIGE FILTE 140MM</t>
        </is>
      </c>
      <c r="F7345" t="inlineStr">
        <is>
          <t>GVX IO 1000kW TGAB</t>
        </is>
      </c>
      <c r="J7345" t="inlineStr">
        <is>
          <t>MATRION</t>
        </is>
      </c>
      <c r="K7345" t="inlineStr">
        <is>
          <t>PLASTIQUE</t>
        </is>
      </c>
      <c r="L7345">
        <f>_xlfn.XLOOKUP(Tableau1[[#This Row],[TYPE DE PIECE]],Tableau4[MATIERE],Tableau4[SHORT TYPE],"",0,1)</f>
        <v/>
      </c>
      <c r="N7345">
        <f>IF(ISERR(FIND("DECOUPE",Tableau1[[#This Row],[DESIGNATION]])),"","NEED REF")</f>
        <v/>
      </c>
    </row>
    <row r="7346">
      <c r="B7346" t="n">
        <v>34406659</v>
      </c>
      <c r="C7346" s="2" t="n">
        <v>43171</v>
      </c>
      <c r="D7346" t="inlineStr">
        <is>
          <t>SPEC</t>
        </is>
      </c>
      <c r="E7346" t="inlineStr">
        <is>
          <t>CANNON 70MM</t>
        </is>
      </c>
      <c r="F7346" t="inlineStr">
        <is>
          <t>GVX IO 1000kW TGAB</t>
        </is>
      </c>
      <c r="J7346" t="inlineStr">
        <is>
          <t>MATRION</t>
        </is>
      </c>
      <c r="K7346" t="inlineStr">
        <is>
          <t>PLASTIQUE</t>
        </is>
      </c>
      <c r="L7346">
        <f>_xlfn.XLOOKUP(Tableau1[[#This Row],[TYPE DE PIECE]],Tableau4[MATIERE],Tableau4[SHORT TYPE],"",0,1)</f>
        <v/>
      </c>
      <c r="N7346">
        <f>IF(ISERR(FIND("DECOUPE",Tableau1[[#This Row],[DESIGNATION]])),"","NEED REF")</f>
        <v/>
      </c>
    </row>
    <row r="7347">
      <c r="B7347" t="n">
        <v>34406658</v>
      </c>
      <c r="C7347" s="2" t="n">
        <v>43171</v>
      </c>
      <c r="D7347" t="inlineStr">
        <is>
          <t>SPEC</t>
        </is>
      </c>
      <c r="E7347" t="inlineStr">
        <is>
          <t>CANNON 35MM</t>
        </is>
      </c>
      <c r="F7347" t="inlineStr">
        <is>
          <t>GVX IO 1000kW TGAB</t>
        </is>
      </c>
      <c r="J7347" t="inlineStr">
        <is>
          <t>MATRION</t>
        </is>
      </c>
      <c r="K7347" t="inlineStr">
        <is>
          <t>PLASTIQUE</t>
        </is>
      </c>
      <c r="L7347">
        <f>_xlfn.XLOOKUP(Tableau1[[#This Row],[TYPE DE PIECE]],Tableau4[MATIERE],Tableau4[SHORT TYPE],"",0,1)</f>
        <v/>
      </c>
      <c r="N7347">
        <f>IF(ISERR(FIND("DECOUPE",Tableau1[[#This Row],[DESIGNATION]])),"","NEED REF")</f>
        <v/>
      </c>
    </row>
    <row r="7348">
      <c r="B7348" t="n">
        <v>34406657</v>
      </c>
      <c r="C7348" s="2" t="n">
        <v>43171</v>
      </c>
      <c r="D7348" t="inlineStr">
        <is>
          <t>SPEC</t>
        </is>
      </c>
      <c r="E7348" t="inlineStr">
        <is>
          <t>COP PE 3</t>
        </is>
      </c>
      <c r="F7348" t="inlineStr">
        <is>
          <t>GVX IO 1000kW TGAB</t>
        </is>
      </c>
      <c r="J7348" t="inlineStr">
        <is>
          <t>MATRION</t>
        </is>
      </c>
      <c r="K7348" t="inlineStr">
        <is>
          <t>CUIVRE</t>
        </is>
      </c>
      <c r="L7348">
        <f>_xlfn.XLOOKUP(Tableau1[[#This Row],[TYPE DE PIECE]],Tableau4[MATIERE],Tableau4[SHORT TYPE],"",0,1)</f>
        <v/>
      </c>
      <c r="N7348">
        <f>IF(ISERR(FIND("DECOUPE",Tableau1[[#This Row],[DESIGNATION]])),"","NEED REF")</f>
        <v/>
      </c>
    </row>
    <row r="7349">
      <c r="B7349" t="n">
        <v>34406656</v>
      </c>
      <c r="C7349" s="2" t="n">
        <v>43171</v>
      </c>
      <c r="D7349" t="inlineStr">
        <is>
          <t>SPEC</t>
        </is>
      </c>
      <c r="E7349" t="inlineStr">
        <is>
          <t>COP PE 2</t>
        </is>
      </c>
      <c r="F7349" t="inlineStr">
        <is>
          <t>GVX IO 1000kW TGAB</t>
        </is>
      </c>
      <c r="J7349" t="inlineStr">
        <is>
          <t>MATRION</t>
        </is>
      </c>
      <c r="K7349" t="inlineStr">
        <is>
          <t>CUIVRE</t>
        </is>
      </c>
      <c r="L7349">
        <f>_xlfn.XLOOKUP(Tableau1[[#This Row],[TYPE DE PIECE]],Tableau4[MATIERE],Tableau4[SHORT TYPE],"",0,1)</f>
        <v/>
      </c>
      <c r="N7349">
        <f>IF(ISERR(FIND("DECOUPE",Tableau1[[#This Row],[DESIGNATION]])),"","NEED REF")</f>
        <v/>
      </c>
    </row>
    <row r="7350">
      <c r="B7350" t="n">
        <v>34406655</v>
      </c>
      <c r="C7350" s="2" t="n">
        <v>43171</v>
      </c>
      <c r="D7350" t="inlineStr">
        <is>
          <t>SPEC</t>
        </is>
      </c>
      <c r="E7350" t="inlineStr">
        <is>
          <t>COP PE 1</t>
        </is>
      </c>
      <c r="F7350" t="inlineStr">
        <is>
          <t>GVX IO 1000kW TGAB</t>
        </is>
      </c>
      <c r="J7350" t="inlineStr">
        <is>
          <t>MATRION</t>
        </is>
      </c>
      <c r="K7350" t="inlineStr">
        <is>
          <t>CUIVRE</t>
        </is>
      </c>
      <c r="L7350">
        <f>_xlfn.XLOOKUP(Tableau1[[#This Row],[TYPE DE PIECE]],Tableau4[MATIERE],Tableau4[SHORT TYPE],"",0,1)</f>
        <v/>
      </c>
      <c r="N7350">
        <f>IF(ISERR(FIND("DECOUPE",Tableau1[[#This Row],[DESIGNATION]])),"","NEED REF")</f>
        <v/>
      </c>
    </row>
    <row r="7351">
      <c r="B7351" t="n">
        <v>34406654</v>
      </c>
      <c r="C7351" s="2" t="n">
        <v>43171</v>
      </c>
      <c r="D7351" t="inlineStr">
        <is>
          <t>SPEC</t>
        </is>
      </c>
      <c r="E7351" t="inlineStr">
        <is>
          <t>COP NEUTRE 2</t>
        </is>
      </c>
      <c r="F7351" t="inlineStr">
        <is>
          <t>GVX IO 1000kW TGAB</t>
        </is>
      </c>
      <c r="J7351" t="inlineStr">
        <is>
          <t>MATRION</t>
        </is>
      </c>
      <c r="K7351" t="inlineStr">
        <is>
          <t>CUIVRE</t>
        </is>
      </c>
      <c r="L7351">
        <f>_xlfn.XLOOKUP(Tableau1[[#This Row],[TYPE DE PIECE]],Tableau4[MATIERE],Tableau4[SHORT TYPE],"",0,1)</f>
        <v/>
      </c>
      <c r="N7351">
        <f>IF(ISERR(FIND("DECOUPE",Tableau1[[#This Row],[DESIGNATION]])),"","NEED REF")</f>
        <v/>
      </c>
    </row>
    <row r="7352">
      <c r="B7352" t="n">
        <v>34406653</v>
      </c>
      <c r="C7352" s="2" t="n">
        <v>43171</v>
      </c>
      <c r="D7352" t="inlineStr">
        <is>
          <t>SPEC</t>
        </is>
      </c>
      <c r="E7352" t="inlineStr">
        <is>
          <t>COP NEUTRE 1</t>
        </is>
      </c>
      <c r="F7352" t="inlineStr">
        <is>
          <t>GVX IO 1000kW TGAB</t>
        </is>
      </c>
      <c r="J7352" t="inlineStr">
        <is>
          <t>MATRION</t>
        </is>
      </c>
      <c r="K7352" t="inlineStr">
        <is>
          <t>CUIVRE</t>
        </is>
      </c>
      <c r="L7352">
        <f>_xlfn.XLOOKUP(Tableau1[[#This Row],[TYPE DE PIECE]],Tableau4[MATIERE],Tableau4[SHORT TYPE],"",0,1)</f>
        <v/>
      </c>
      <c r="N7352">
        <f>IF(ISERR(FIND("DECOUPE",Tableau1[[#This Row],[DESIGNATION]])),"","NEED REF")</f>
        <v/>
      </c>
    </row>
    <row r="7353">
      <c r="B7353" t="n">
        <v>34406652</v>
      </c>
      <c r="C7353" s="2" t="n">
        <v>43171</v>
      </c>
      <c r="D7353" t="inlineStr">
        <is>
          <t>NOM</t>
        </is>
      </c>
      <c r="E7353" t="inlineStr">
        <is>
          <t>LG BYPASS STX</t>
        </is>
      </c>
      <c r="F7353" t="inlineStr">
        <is>
          <t>G55 120KVA</t>
        </is>
      </c>
      <c r="J7353" t="inlineStr">
        <is>
          <t>ROBERT</t>
        </is>
      </c>
      <c r="L7353">
        <f>_xlfn.XLOOKUP(Tableau1[[#This Row],[TYPE DE PIECE]],Tableau4[MATIERE],Tableau4[SHORT TYPE],"",0,1)</f>
        <v/>
      </c>
      <c r="N7353">
        <f>IF(ISERR(FIND("DECOUPE",Tableau1[[#This Row],[DESIGNATION]])),"","NEED REF")</f>
        <v/>
      </c>
    </row>
    <row r="7354">
      <c r="B7354" t="n">
        <v>34406651</v>
      </c>
      <c r="C7354" s="2" t="n">
        <v>43171</v>
      </c>
      <c r="D7354" t="inlineStr">
        <is>
          <t>SPEC</t>
        </is>
      </c>
      <c r="E7354" t="inlineStr">
        <is>
          <t>COP S UTIL</t>
        </is>
      </c>
      <c r="F7354" t="inlineStr">
        <is>
          <t>GVX IO 1000kW TGAB</t>
        </is>
      </c>
      <c r="J7354" t="inlineStr">
        <is>
          <t>MATRION</t>
        </is>
      </c>
      <c r="K7354" t="inlineStr">
        <is>
          <t>CUIVRE</t>
        </is>
      </c>
      <c r="L7354">
        <f>_xlfn.XLOOKUP(Tableau1[[#This Row],[TYPE DE PIECE]],Tableau4[MATIERE],Tableau4[SHORT TYPE],"",0,1)</f>
        <v/>
      </c>
      <c r="N7354">
        <f>IF(ISERR(FIND("DECOUPE",Tableau1[[#This Row],[DESIGNATION]])),"","NEED REF")</f>
        <v/>
      </c>
    </row>
    <row r="7355">
      <c r="B7355" t="n">
        <v>34406650</v>
      </c>
      <c r="C7355" s="2" t="n">
        <v>43171</v>
      </c>
      <c r="D7355" t="inlineStr">
        <is>
          <t>SPEC</t>
        </is>
      </c>
      <c r="E7355" t="inlineStr">
        <is>
          <t>COP PLAGE TGAB CABLES</t>
        </is>
      </c>
      <c r="F7355" t="inlineStr">
        <is>
          <t>GVX IO 1000kW TGAB</t>
        </is>
      </c>
      <c r="J7355" t="inlineStr">
        <is>
          <t>MATRION</t>
        </is>
      </c>
      <c r="K7355" t="inlineStr">
        <is>
          <t>CUIVRE</t>
        </is>
      </c>
      <c r="L7355">
        <f>_xlfn.XLOOKUP(Tableau1[[#This Row],[TYPE DE PIECE]],Tableau4[MATIERE],Tableau4[SHORT TYPE],"",0,1)</f>
        <v/>
      </c>
      <c r="N7355">
        <f>IF(ISERR(FIND("DECOUPE",Tableau1[[#This Row],[DESIGNATION]])),"","NEED REF")</f>
        <v/>
      </c>
    </row>
    <row r="7356">
      <c r="B7356" t="n">
        <v>34406649</v>
      </c>
      <c r="C7356" s="2" t="n">
        <v>43171</v>
      </c>
      <c r="D7356" t="inlineStr">
        <is>
          <t>SPEC</t>
        </is>
      </c>
      <c r="E7356" t="inlineStr">
        <is>
          <t>COP LIAISON TGAB 8</t>
        </is>
      </c>
      <c r="F7356" t="inlineStr">
        <is>
          <t>GVX IO 1000kW TGAB</t>
        </is>
      </c>
      <c r="J7356" t="inlineStr">
        <is>
          <t>MATRION</t>
        </is>
      </c>
      <c r="K7356" t="inlineStr">
        <is>
          <t>CUIVRE</t>
        </is>
      </c>
      <c r="L7356">
        <f>_xlfn.XLOOKUP(Tableau1[[#This Row],[TYPE DE PIECE]],Tableau4[MATIERE],Tableau4[SHORT TYPE],"",0,1)</f>
        <v/>
      </c>
      <c r="N7356">
        <f>IF(ISERR(FIND("DECOUPE",Tableau1[[#This Row],[DESIGNATION]])),"","NEED REF")</f>
        <v/>
      </c>
    </row>
    <row r="7357">
      <c r="B7357" t="n">
        <v>34406648</v>
      </c>
      <c r="C7357" s="2" t="n">
        <v>43171</v>
      </c>
      <c r="D7357" t="inlineStr">
        <is>
          <t>SPEC</t>
        </is>
      </c>
      <c r="E7357" t="inlineStr">
        <is>
          <t>COP EQUERRE UTIL 3</t>
        </is>
      </c>
      <c r="F7357" t="inlineStr">
        <is>
          <t>GVX IO 1000kW TGAB</t>
        </is>
      </c>
      <c r="J7357" t="inlineStr">
        <is>
          <t>MATRION</t>
        </is>
      </c>
      <c r="K7357" t="inlineStr">
        <is>
          <t>CUIVRE</t>
        </is>
      </c>
      <c r="L7357">
        <f>_xlfn.XLOOKUP(Tableau1[[#This Row],[TYPE DE PIECE]],Tableau4[MATIERE],Tableau4[SHORT TYPE],"",0,1)</f>
        <v/>
      </c>
      <c r="N7357">
        <f>IF(ISERR(FIND("DECOUPE",Tableau1[[#This Row],[DESIGNATION]])),"","NEED REF")</f>
        <v/>
      </c>
    </row>
    <row r="7358">
      <c r="B7358" t="n">
        <v>34406647</v>
      </c>
      <c r="C7358" s="2" t="n">
        <v>43171</v>
      </c>
      <c r="D7358" t="inlineStr">
        <is>
          <t>SPEC</t>
        </is>
      </c>
      <c r="E7358" t="inlineStr">
        <is>
          <t>COP EQUERRE UTIL 2</t>
        </is>
      </c>
      <c r="F7358" t="inlineStr">
        <is>
          <t>GVX IO 1000kW TGAB</t>
        </is>
      </c>
      <c r="J7358" t="inlineStr">
        <is>
          <t>MATRION</t>
        </is>
      </c>
      <c r="K7358" t="inlineStr">
        <is>
          <t>CUIVRE</t>
        </is>
      </c>
      <c r="L7358">
        <f>_xlfn.XLOOKUP(Tableau1[[#This Row],[TYPE DE PIECE]],Tableau4[MATIERE],Tableau4[SHORT TYPE],"",0,1)</f>
        <v/>
      </c>
      <c r="N7358">
        <f>IF(ISERR(FIND("DECOUPE",Tableau1[[#This Row],[DESIGNATION]])),"","NEED REF")</f>
        <v/>
      </c>
    </row>
    <row r="7359">
      <c r="B7359" t="n">
        <v>34406646</v>
      </c>
      <c r="C7359" s="2" t="n">
        <v>43171</v>
      </c>
      <c r="D7359" t="inlineStr">
        <is>
          <t>SPEC</t>
        </is>
      </c>
      <c r="E7359" t="inlineStr">
        <is>
          <t>COP EQUERRE UTIL 1</t>
        </is>
      </c>
      <c r="F7359" t="inlineStr">
        <is>
          <t>GVX IO 1000kW TGAB</t>
        </is>
      </c>
      <c r="J7359" t="inlineStr">
        <is>
          <t>MATRION</t>
        </is>
      </c>
      <c r="K7359" t="inlineStr">
        <is>
          <t>CUIVRE</t>
        </is>
      </c>
      <c r="L7359">
        <f>_xlfn.XLOOKUP(Tableau1[[#This Row],[TYPE DE PIECE]],Tableau4[MATIERE],Tableau4[SHORT TYPE],"",0,1)</f>
        <v/>
      </c>
      <c r="N7359">
        <f>IF(ISERR(FIND("DECOUPE",Tableau1[[#This Row],[DESIGNATION]])),"","NEED REF")</f>
        <v/>
      </c>
    </row>
    <row r="7360">
      <c r="B7360" t="n">
        <v>34406645</v>
      </c>
      <c r="C7360" s="2" t="n">
        <v>43171</v>
      </c>
      <c r="D7360" t="inlineStr">
        <is>
          <t>SPEC</t>
        </is>
      </c>
      <c r="E7360" t="inlineStr">
        <is>
          <t>COP DROIT UTIL</t>
        </is>
      </c>
      <c r="F7360" t="inlineStr">
        <is>
          <t>GVX IO 1000kW TGAB</t>
        </is>
      </c>
      <c r="J7360" t="inlineStr">
        <is>
          <t>MATRION</t>
        </is>
      </c>
      <c r="K7360" t="inlineStr">
        <is>
          <t>CUIVRE</t>
        </is>
      </c>
      <c r="L7360">
        <f>_xlfn.XLOOKUP(Tableau1[[#This Row],[TYPE DE PIECE]],Tableau4[MATIERE],Tableau4[SHORT TYPE],"",0,1)</f>
        <v/>
      </c>
      <c r="N7360">
        <f>IF(ISERR(FIND("DECOUPE",Tableau1[[#This Row],[DESIGNATION]])),"","NEED REF")</f>
        <v/>
      </c>
    </row>
    <row r="7361">
      <c r="B7361" t="n">
        <v>34406644</v>
      </c>
      <c r="C7361" s="2" t="n">
        <v>43171</v>
      </c>
      <c r="D7361" t="inlineStr">
        <is>
          <t>SPEC</t>
        </is>
      </c>
      <c r="E7361" t="inlineStr">
        <is>
          <t>COP LIAISON TGAB 7</t>
        </is>
      </c>
      <c r="F7361" t="inlineStr">
        <is>
          <t>GVX IO 1000kW TGAB</t>
        </is>
      </c>
      <c r="J7361" t="inlineStr">
        <is>
          <t>MATRION</t>
        </is>
      </c>
      <c r="K7361" t="inlineStr">
        <is>
          <t>CUIVRE</t>
        </is>
      </c>
      <c r="L7361">
        <f>_xlfn.XLOOKUP(Tableau1[[#This Row],[TYPE DE PIECE]],Tableau4[MATIERE],Tableau4[SHORT TYPE],"",0,1)</f>
        <v/>
      </c>
      <c r="N7361">
        <f>IF(ISERR(FIND("DECOUPE",Tableau1[[#This Row],[DESIGNATION]])),"","NEED REF")</f>
        <v/>
      </c>
    </row>
    <row r="7362">
      <c r="B7362" t="n">
        <v>34406643</v>
      </c>
      <c r="C7362" s="2" t="n">
        <v>43171</v>
      </c>
      <c r="D7362" t="inlineStr">
        <is>
          <t>SPEC</t>
        </is>
      </c>
      <c r="E7362" t="inlineStr">
        <is>
          <t>COP LIAISON TGAB 6</t>
        </is>
      </c>
      <c r="F7362" t="inlineStr">
        <is>
          <t>GVX IO 1000kW TGAB</t>
        </is>
      </c>
      <c r="J7362" t="inlineStr">
        <is>
          <t>MATRION</t>
        </is>
      </c>
      <c r="K7362" t="inlineStr">
        <is>
          <t>CUIVRE</t>
        </is>
      </c>
      <c r="L7362">
        <f>_xlfn.XLOOKUP(Tableau1[[#This Row],[TYPE DE PIECE]],Tableau4[MATIERE],Tableau4[SHORT TYPE],"",0,1)</f>
        <v/>
      </c>
      <c r="N7362">
        <f>IF(ISERR(FIND("DECOUPE",Tableau1[[#This Row],[DESIGNATION]])),"","NEED REF")</f>
        <v/>
      </c>
    </row>
    <row r="7363">
      <c r="B7363" t="n">
        <v>34406642</v>
      </c>
      <c r="C7363" s="2" t="n">
        <v>43171</v>
      </c>
      <c r="D7363" t="inlineStr">
        <is>
          <t>SPEC</t>
        </is>
      </c>
      <c r="E7363" t="inlineStr">
        <is>
          <t>COP LIAISON TGAB 5</t>
        </is>
      </c>
      <c r="F7363" t="inlineStr">
        <is>
          <t>GVX IO 1000kW TGAB</t>
        </is>
      </c>
      <c r="J7363" t="inlineStr">
        <is>
          <t>MATRION</t>
        </is>
      </c>
      <c r="K7363" t="inlineStr">
        <is>
          <t>CUIVRE</t>
        </is>
      </c>
      <c r="L7363">
        <f>_xlfn.XLOOKUP(Tableau1[[#This Row],[TYPE DE PIECE]],Tableau4[MATIERE],Tableau4[SHORT TYPE],"",0,1)</f>
        <v/>
      </c>
      <c r="N7363">
        <f>IF(ISERR(FIND("DECOUPE",Tableau1[[#This Row],[DESIGNATION]])),"","NEED REF")</f>
        <v/>
      </c>
    </row>
    <row r="7364">
      <c r="B7364" t="n">
        <v>34406641</v>
      </c>
      <c r="C7364" s="2" t="n">
        <v>43171</v>
      </c>
      <c r="D7364" t="inlineStr">
        <is>
          <t>SPEC</t>
        </is>
      </c>
      <c r="E7364" t="inlineStr">
        <is>
          <t>COP LIAISON TGAB 4</t>
        </is>
      </c>
      <c r="F7364" t="inlineStr">
        <is>
          <t>GVX IO 1000kW TGAB</t>
        </is>
      </c>
      <c r="J7364" t="inlineStr">
        <is>
          <t>MATRION</t>
        </is>
      </c>
      <c r="K7364" t="inlineStr">
        <is>
          <t>CUIVRE</t>
        </is>
      </c>
      <c r="L7364">
        <f>_xlfn.XLOOKUP(Tableau1[[#This Row],[TYPE DE PIECE]],Tableau4[MATIERE],Tableau4[SHORT TYPE],"",0,1)</f>
        <v/>
      </c>
      <c r="N7364">
        <f>IF(ISERR(FIND("DECOUPE",Tableau1[[#This Row],[DESIGNATION]])),"","NEED REF")</f>
        <v/>
      </c>
    </row>
    <row r="7365">
      <c r="B7365" t="n">
        <v>34406640</v>
      </c>
      <c r="C7365" s="2" t="n">
        <v>43171</v>
      </c>
      <c r="D7365" t="inlineStr">
        <is>
          <t>SPEC</t>
        </is>
      </c>
      <c r="E7365" t="inlineStr">
        <is>
          <t>COP LIAISON TGAB 3</t>
        </is>
      </c>
      <c r="F7365" t="inlineStr">
        <is>
          <t>GVX IO 1000kW TGAB</t>
        </is>
      </c>
      <c r="J7365" t="inlineStr">
        <is>
          <t>MATRION</t>
        </is>
      </c>
      <c r="K7365" t="inlineStr">
        <is>
          <t>CUIVRE</t>
        </is>
      </c>
      <c r="L7365">
        <f>_xlfn.XLOOKUP(Tableau1[[#This Row],[TYPE DE PIECE]],Tableau4[MATIERE],Tableau4[SHORT TYPE],"",0,1)</f>
        <v/>
      </c>
      <c r="N7365">
        <f>IF(ISERR(FIND("DECOUPE",Tableau1[[#This Row],[DESIGNATION]])),"","NEED REF")</f>
        <v/>
      </c>
    </row>
    <row r="7366">
      <c r="B7366" t="n">
        <v>34406639</v>
      </c>
      <c r="C7366" s="2" t="n">
        <v>43171</v>
      </c>
      <c r="D7366" t="inlineStr">
        <is>
          <t>SPEC</t>
        </is>
      </c>
      <c r="E7366" t="inlineStr">
        <is>
          <t>COP LIAISON TGAB 2</t>
        </is>
      </c>
      <c r="F7366" t="inlineStr">
        <is>
          <t>GVX IO 1000kW TGAB</t>
        </is>
      </c>
      <c r="J7366" t="inlineStr">
        <is>
          <t>MATRION</t>
        </is>
      </c>
      <c r="K7366" t="inlineStr">
        <is>
          <t>CUIVRE</t>
        </is>
      </c>
      <c r="L7366">
        <f>_xlfn.XLOOKUP(Tableau1[[#This Row],[TYPE DE PIECE]],Tableau4[MATIERE],Tableau4[SHORT TYPE],"",0,1)</f>
        <v/>
      </c>
      <c r="N7366">
        <f>IF(ISERR(FIND("DECOUPE",Tableau1[[#This Row],[DESIGNATION]])),"","NEED REF")</f>
        <v/>
      </c>
    </row>
    <row r="7367">
      <c r="B7367" t="n">
        <v>34406638</v>
      </c>
      <c r="C7367" s="2" t="n">
        <v>43171</v>
      </c>
      <c r="D7367" t="inlineStr">
        <is>
          <t>SPEC</t>
        </is>
      </c>
      <c r="E7367" t="inlineStr">
        <is>
          <t>COP LIAISON TGAB 1</t>
        </is>
      </c>
      <c r="F7367" t="inlineStr">
        <is>
          <t>GVX IO 1000kW TGAB</t>
        </is>
      </c>
      <c r="J7367" t="inlineStr">
        <is>
          <t>MATRION</t>
        </is>
      </c>
      <c r="K7367" t="inlineStr">
        <is>
          <t>CUIVRE</t>
        </is>
      </c>
      <c r="L7367">
        <f>_xlfn.XLOOKUP(Tableau1[[#This Row],[TYPE DE PIECE]],Tableau4[MATIERE],Tableau4[SHORT TYPE],"",0,1)</f>
        <v/>
      </c>
      <c r="N7367">
        <f>IF(ISERR(FIND("DECOUPE",Tableau1[[#This Row],[DESIGNATION]])),"","NEED REF")</f>
        <v/>
      </c>
    </row>
    <row r="7368">
      <c r="B7368" t="n">
        <v>34406637</v>
      </c>
      <c r="C7368" s="2" t="n">
        <v>43171</v>
      </c>
      <c r="D7368" t="inlineStr">
        <is>
          <t>SPEC</t>
        </is>
      </c>
      <c r="E7368" t="inlineStr">
        <is>
          <t>COP EQUERRE 7</t>
        </is>
      </c>
      <c r="F7368" t="inlineStr">
        <is>
          <t>GVX IO 1000kW TGAB</t>
        </is>
      </c>
      <c r="J7368" t="inlineStr">
        <is>
          <t>MATRION</t>
        </is>
      </c>
      <c r="K7368" t="inlineStr">
        <is>
          <t>CUIVRE</t>
        </is>
      </c>
      <c r="L7368">
        <f>_xlfn.XLOOKUP(Tableau1[[#This Row],[TYPE DE PIECE]],Tableau4[MATIERE],Tableau4[SHORT TYPE],"",0,1)</f>
        <v/>
      </c>
      <c r="N7368">
        <f>IF(ISERR(FIND("DECOUPE",Tableau1[[#This Row],[DESIGNATION]])),"","NEED REF")</f>
        <v/>
      </c>
    </row>
    <row r="7369">
      <c r="B7369" t="n">
        <v>34406636</v>
      </c>
      <c r="C7369" s="2" t="n">
        <v>43171</v>
      </c>
      <c r="D7369" t="inlineStr">
        <is>
          <t>SPEC</t>
        </is>
      </c>
      <c r="E7369" t="inlineStr">
        <is>
          <t>COP EQUERRE 6</t>
        </is>
      </c>
      <c r="F7369" t="inlineStr">
        <is>
          <t>GVX IO 1000kW TGAB</t>
        </is>
      </c>
      <c r="J7369" t="inlineStr">
        <is>
          <t>MATRION</t>
        </is>
      </c>
      <c r="K7369" t="inlineStr">
        <is>
          <t>CUIVRE</t>
        </is>
      </c>
      <c r="L7369">
        <f>_xlfn.XLOOKUP(Tableau1[[#This Row],[TYPE DE PIECE]],Tableau4[MATIERE],Tableau4[SHORT TYPE],"",0,1)</f>
        <v/>
      </c>
      <c r="N7369">
        <f>IF(ISERR(FIND("DECOUPE",Tableau1[[#This Row],[DESIGNATION]])),"","NEED REF")</f>
        <v/>
      </c>
    </row>
    <row r="7370">
      <c r="B7370" t="n">
        <v>34406635</v>
      </c>
      <c r="C7370" s="2" t="n">
        <v>43171</v>
      </c>
      <c r="D7370" t="inlineStr">
        <is>
          <t>SPEC</t>
        </is>
      </c>
      <c r="E7370" t="inlineStr">
        <is>
          <t>COP EQUERRE 5</t>
        </is>
      </c>
      <c r="F7370" t="inlineStr">
        <is>
          <t>GVX IO 1000kW TGAB</t>
        </is>
      </c>
      <c r="J7370" t="inlineStr">
        <is>
          <t>MATRION</t>
        </is>
      </c>
      <c r="K7370" t="inlineStr">
        <is>
          <t>CUIVRE</t>
        </is>
      </c>
      <c r="L7370">
        <f>_xlfn.XLOOKUP(Tableau1[[#This Row],[TYPE DE PIECE]],Tableau4[MATIERE],Tableau4[SHORT TYPE],"",0,1)</f>
        <v/>
      </c>
      <c r="N7370">
        <f>IF(ISERR(FIND("DECOUPE",Tableau1[[#This Row],[DESIGNATION]])),"","NEED REF")</f>
        <v/>
      </c>
    </row>
    <row r="7371">
      <c r="B7371" t="n">
        <v>34406634</v>
      </c>
      <c r="C7371" s="2" t="n">
        <v>43168</v>
      </c>
      <c r="D7371" t="inlineStr">
        <is>
          <t>SPEC</t>
        </is>
      </c>
      <c r="E7371" t="inlineStr">
        <is>
          <t>CABLE INTERCO BYPASS 320A</t>
        </is>
      </c>
      <c r="J7371" t="inlineStr">
        <is>
          <t>MATRION</t>
        </is>
      </c>
      <c r="K7371" t="inlineStr">
        <is>
          <t>FILERIE</t>
        </is>
      </c>
      <c r="L7371">
        <f>_xlfn.XLOOKUP(Tableau1[[#This Row],[TYPE DE PIECE]],Tableau4[MATIERE],Tableau4[SHORT TYPE],"",0,1)</f>
        <v/>
      </c>
      <c r="N7371">
        <f>IF(ISERR(FIND("DECOUPE",Tableau1[[#This Row],[DESIGNATION]])),"","NEED REF")</f>
        <v/>
      </c>
    </row>
    <row r="7372">
      <c r="B7372" t="n">
        <v>34406633</v>
      </c>
      <c r="C7372" s="2" t="n">
        <v>43168</v>
      </c>
      <c r="D7372" t="inlineStr">
        <is>
          <t>SPEC</t>
        </is>
      </c>
      <c r="E7372" t="inlineStr">
        <is>
          <t>CX NEUTRE</t>
        </is>
      </c>
      <c r="F7372" t="inlineStr">
        <is>
          <t>STX</t>
        </is>
      </c>
      <c r="J7372" t="inlineStr">
        <is>
          <t>ROBERT</t>
        </is>
      </c>
      <c r="K7372" t="inlineStr">
        <is>
          <t>CUIVRE</t>
        </is>
      </c>
      <c r="L7372">
        <f>_xlfn.XLOOKUP(Tableau1[[#This Row],[TYPE DE PIECE]],Tableau4[MATIERE],Tableau4[SHORT TYPE],"",0,1)</f>
        <v/>
      </c>
      <c r="N7372">
        <f>IF(ISERR(FIND("DECOUPE",Tableau1[[#This Row],[DESIGNATION]])),"","NEED REF")</f>
        <v/>
      </c>
    </row>
    <row r="7373">
      <c r="B7373" t="n">
        <v>34406632</v>
      </c>
      <c r="C7373" s="2" t="n">
        <v>43168</v>
      </c>
      <c r="D7373" t="inlineStr">
        <is>
          <t>SPEC</t>
        </is>
      </c>
      <c r="E7373" t="inlineStr">
        <is>
          <t>SMT PLASTRON BYPASS 3x INS250/630</t>
        </is>
      </c>
      <c r="F7373" t="inlineStr">
        <is>
          <t>BYPASS GVM</t>
        </is>
      </c>
      <c r="J7373" t="inlineStr">
        <is>
          <t>MATRION</t>
        </is>
      </c>
      <c r="K7373" t="inlineStr">
        <is>
          <t>METAL</t>
        </is>
      </c>
      <c r="L7373">
        <f>_xlfn.XLOOKUP(Tableau1[[#This Row],[TYPE DE PIECE]],Tableau4[MATIERE],Tableau4[SHORT TYPE],"",0,1)</f>
        <v/>
      </c>
      <c r="N7373">
        <f>IF(ISERR(FIND("DECOUPE",Tableau1[[#This Row],[DESIGNATION]])),"","NEED REF")</f>
        <v/>
      </c>
    </row>
    <row r="7374">
      <c r="B7374" t="n">
        <v>34406631</v>
      </c>
      <c r="C7374" s="2" t="n">
        <v>43168</v>
      </c>
      <c r="D7374" t="inlineStr">
        <is>
          <t>SPEC</t>
        </is>
      </c>
      <c r="E7374" t="inlineStr">
        <is>
          <t>CX L1-L2-L3 MAINS 2</t>
        </is>
      </c>
      <c r="F7374" t="inlineStr">
        <is>
          <t>STX</t>
        </is>
      </c>
      <c r="J7374" t="inlineStr">
        <is>
          <t>ROBERT</t>
        </is>
      </c>
      <c r="K7374" t="inlineStr">
        <is>
          <t>CUIVRE</t>
        </is>
      </c>
      <c r="L7374">
        <f>_xlfn.XLOOKUP(Tableau1[[#This Row],[TYPE DE PIECE]],Tableau4[MATIERE],Tableau4[SHORT TYPE],"",0,1)</f>
        <v/>
      </c>
      <c r="N7374">
        <f>IF(ISERR(FIND("DECOUPE",Tableau1[[#This Row],[DESIGNATION]])),"","NEED REF")</f>
        <v/>
      </c>
    </row>
    <row r="7375">
      <c r="B7375" t="n">
        <v>34406630</v>
      </c>
      <c r="C7375" s="2" t="n">
        <v>43168</v>
      </c>
      <c r="D7375" t="inlineStr">
        <is>
          <t>SPEC</t>
        </is>
      </c>
      <c r="E7375" t="inlineStr">
        <is>
          <t>CX NEUTRE MAINS 2</t>
        </is>
      </c>
      <c r="F7375" t="inlineStr">
        <is>
          <t>STX</t>
        </is>
      </c>
      <c r="J7375" t="inlineStr">
        <is>
          <t>ROBERT</t>
        </is>
      </c>
      <c r="K7375" t="inlineStr">
        <is>
          <t>CUIVRE</t>
        </is>
      </c>
      <c r="L7375">
        <f>_xlfn.XLOOKUP(Tableau1[[#This Row],[TYPE DE PIECE]],Tableau4[MATIERE],Tableau4[SHORT TYPE],"",0,1)</f>
        <v/>
      </c>
      <c r="N7375">
        <f>IF(ISERR(FIND("DECOUPE",Tableau1[[#This Row],[DESIGNATION]])),"","NEED REF")</f>
        <v/>
      </c>
    </row>
    <row r="7376">
      <c r="B7376" t="n">
        <v>34406629</v>
      </c>
      <c r="C7376" s="2" t="n">
        <v>43168</v>
      </c>
      <c r="D7376" t="inlineStr">
        <is>
          <t>SPEC</t>
        </is>
      </c>
      <c r="E7376" t="inlineStr">
        <is>
          <t>CX L1-L2-L3 MAINS 1</t>
        </is>
      </c>
      <c r="F7376" t="inlineStr">
        <is>
          <t>STX</t>
        </is>
      </c>
      <c r="J7376" t="inlineStr">
        <is>
          <t>ROBERT</t>
        </is>
      </c>
      <c r="K7376" t="inlineStr">
        <is>
          <t>CUIVRE</t>
        </is>
      </c>
      <c r="L7376">
        <f>_xlfn.XLOOKUP(Tableau1[[#This Row],[TYPE DE PIECE]],Tableau4[MATIERE],Tableau4[SHORT TYPE],"",0,1)</f>
        <v/>
      </c>
      <c r="N7376">
        <f>IF(ISERR(FIND("DECOUPE",Tableau1[[#This Row],[DESIGNATION]])),"","NEED REF")</f>
        <v/>
      </c>
    </row>
    <row r="7377">
      <c r="B7377" t="n">
        <v>34406628</v>
      </c>
      <c r="C7377" s="2" t="n">
        <v>43168</v>
      </c>
      <c r="D7377" t="inlineStr">
        <is>
          <t>SPEC</t>
        </is>
      </c>
      <c r="E7377" t="inlineStr">
        <is>
          <t>CX NEUTRE MAINS 1</t>
        </is>
      </c>
      <c r="F7377" t="inlineStr">
        <is>
          <t>STX</t>
        </is>
      </c>
      <c r="J7377" t="inlineStr">
        <is>
          <t>ROBERT</t>
        </is>
      </c>
      <c r="K7377" t="inlineStr">
        <is>
          <t>CUIVRE</t>
        </is>
      </c>
      <c r="L7377">
        <f>_xlfn.XLOOKUP(Tableau1[[#This Row],[TYPE DE PIECE]],Tableau4[MATIERE],Tableau4[SHORT TYPE],"",0,1)</f>
        <v/>
      </c>
      <c r="N7377">
        <f>IF(ISERR(FIND("DECOUPE",Tableau1[[#This Row],[DESIGNATION]])),"","NEED REF")</f>
        <v/>
      </c>
    </row>
    <row r="7378">
      <c r="B7378" t="n">
        <v>34406627</v>
      </c>
      <c r="C7378" s="2" t="n">
        <v>43167</v>
      </c>
      <c r="D7378" t="inlineStr">
        <is>
          <t>SPEC</t>
        </is>
      </c>
      <c r="E7378" t="inlineStr">
        <is>
          <t>TRAVERSE SUPPORT BORNIERS</t>
        </is>
      </c>
      <c r="F7378" t="inlineStr">
        <is>
          <t>STX</t>
        </is>
      </c>
      <c r="J7378" t="inlineStr">
        <is>
          <t>ROBERT</t>
        </is>
      </c>
      <c r="K7378" t="inlineStr">
        <is>
          <t>METAL</t>
        </is>
      </c>
      <c r="L7378">
        <f>_xlfn.XLOOKUP(Tableau1[[#This Row],[TYPE DE PIECE]],Tableau4[MATIERE],Tableau4[SHORT TYPE],"",0,1)</f>
        <v/>
      </c>
      <c r="N7378">
        <f>IF(ISERR(FIND("DECOUPE",Tableau1[[#This Row],[DESIGNATION]])),"","NEED REF")</f>
        <v/>
      </c>
    </row>
    <row r="7379">
      <c r="B7379" t="n">
        <v>34406626</v>
      </c>
      <c r="C7379" s="2" t="n">
        <v>43167</v>
      </c>
      <c r="D7379" t="inlineStr">
        <is>
          <t>SPEC</t>
        </is>
      </c>
      <c r="E7379" t="inlineStr">
        <is>
          <t>CAPOT</t>
        </is>
      </c>
      <c r="F7379" t="inlineStr">
        <is>
          <t>STX</t>
        </is>
      </c>
      <c r="J7379" t="inlineStr">
        <is>
          <t>ROBERT</t>
        </is>
      </c>
      <c r="K7379" t="inlineStr">
        <is>
          <t>METAL</t>
        </is>
      </c>
      <c r="L7379">
        <f>_xlfn.XLOOKUP(Tableau1[[#This Row],[TYPE DE PIECE]],Tableau4[MATIERE],Tableau4[SHORT TYPE],"",0,1)</f>
        <v/>
      </c>
      <c r="N7379">
        <f>IF(ISERR(FIND("DECOUPE",Tableau1[[#This Row],[DESIGNATION]])),"","NEED REF")</f>
        <v/>
      </c>
    </row>
    <row r="7380">
      <c r="B7380" t="n">
        <v>34406625</v>
      </c>
      <c r="C7380" s="2" t="n">
        <v>43167</v>
      </c>
      <c r="D7380" t="inlineStr">
        <is>
          <t>SPEC</t>
        </is>
      </c>
      <c r="E7380" t="inlineStr">
        <is>
          <t>SMT PLATINE BYPASS INS250/630</t>
        </is>
      </c>
      <c r="F7380" t="inlineStr">
        <is>
          <t>BYPASS GVM</t>
        </is>
      </c>
      <c r="J7380" t="inlineStr">
        <is>
          <t>MATRION</t>
        </is>
      </c>
      <c r="K7380" t="inlineStr">
        <is>
          <t>METAL</t>
        </is>
      </c>
      <c r="L7380">
        <f>_xlfn.XLOOKUP(Tableau1[[#This Row],[TYPE DE PIECE]],Tableau4[MATIERE],Tableau4[SHORT TYPE],"",0,1)</f>
        <v/>
      </c>
      <c r="N7380">
        <f>IF(ISERR(FIND("DECOUPE",Tableau1[[#This Row],[DESIGNATION]])),"","NEED REF")</f>
        <v/>
      </c>
    </row>
    <row r="7381">
      <c r="B7381" t="n">
        <v>34406624</v>
      </c>
      <c r="C7381" s="2" t="n"/>
      <c r="D7381" t="inlineStr">
        <is>
          <t>SPEC</t>
        </is>
      </c>
      <c r="L7381">
        <f>_xlfn.XLOOKUP(Tableau1[[#This Row],[TYPE DE PIECE]],Tableau4[MATIERE],Tableau4[SHORT TYPE],"",0,1)</f>
        <v/>
      </c>
      <c r="N7381">
        <f>IF(ISERR(FIND("DECOUPE",Tableau1[[#This Row],[DESIGNATION]])),"","NEED REF")</f>
        <v/>
      </c>
    </row>
    <row r="7382">
      <c r="B7382" t="n">
        <v>34406623</v>
      </c>
      <c r="C7382" s="2" t="n"/>
      <c r="D7382" t="inlineStr">
        <is>
          <t>SPEC</t>
        </is>
      </c>
      <c r="L7382">
        <f>_xlfn.XLOOKUP(Tableau1[[#This Row],[TYPE DE PIECE]],Tableau4[MATIERE],Tableau4[SHORT TYPE],"",0,1)</f>
        <v/>
      </c>
      <c r="N7382">
        <f>IF(ISERR(FIND("DECOUPE",Tableau1[[#This Row],[DESIGNATION]])),"","NEED REF")</f>
        <v/>
      </c>
    </row>
    <row r="7383">
      <c r="B7383" t="n">
        <v>34406622</v>
      </c>
      <c r="C7383" s="2" t="n">
        <v>43164</v>
      </c>
      <c r="D7383" t="inlineStr">
        <is>
          <t>SPEC</t>
        </is>
      </c>
      <c r="E7383" t="inlineStr">
        <is>
          <t>COP EQUERRE 4</t>
        </is>
      </c>
      <c r="F7383" t="inlineStr">
        <is>
          <t>GVX IO 1000kW TGAB</t>
        </is>
      </c>
      <c r="J7383" t="inlineStr">
        <is>
          <t>MATRION</t>
        </is>
      </c>
      <c r="K7383" t="inlineStr">
        <is>
          <t>CUIVRE</t>
        </is>
      </c>
      <c r="L7383">
        <f>_xlfn.XLOOKUP(Tableau1[[#This Row],[TYPE DE PIECE]],Tableau4[MATIERE],Tableau4[SHORT TYPE],"",0,1)</f>
        <v/>
      </c>
      <c r="N7383">
        <f>IF(ISERR(FIND("DECOUPE",Tableau1[[#This Row],[DESIGNATION]])),"","NEED REF")</f>
        <v/>
      </c>
    </row>
    <row r="7384">
      <c r="B7384" t="n">
        <v>34406621</v>
      </c>
      <c r="C7384" s="2" t="n">
        <v>43164</v>
      </c>
      <c r="D7384" t="inlineStr">
        <is>
          <t>SPEC</t>
        </is>
      </c>
      <c r="E7384" t="inlineStr">
        <is>
          <t>COP EQUERRE 3</t>
        </is>
      </c>
      <c r="F7384" t="inlineStr">
        <is>
          <t>GVX IO 1000kW TGAB</t>
        </is>
      </c>
      <c r="J7384" t="inlineStr">
        <is>
          <t>MATRION</t>
        </is>
      </c>
      <c r="K7384" t="inlineStr">
        <is>
          <t>CUIVRE</t>
        </is>
      </c>
      <c r="L7384">
        <f>_xlfn.XLOOKUP(Tableau1[[#This Row],[TYPE DE PIECE]],Tableau4[MATIERE],Tableau4[SHORT TYPE],"",0,1)</f>
        <v/>
      </c>
      <c r="N7384">
        <f>IF(ISERR(FIND("DECOUPE",Tableau1[[#This Row],[DESIGNATION]])),"","NEED REF")</f>
        <v/>
      </c>
    </row>
    <row r="7385">
      <c r="B7385" t="n">
        <v>34406620</v>
      </c>
      <c r="C7385" s="2" t="n">
        <v>43164</v>
      </c>
      <c r="D7385" t="inlineStr">
        <is>
          <t>SPEC</t>
        </is>
      </c>
      <c r="E7385" t="inlineStr">
        <is>
          <t>COP EQUERRE 2</t>
        </is>
      </c>
      <c r="F7385" t="inlineStr">
        <is>
          <t>GVX IO 1000kW TGAB</t>
        </is>
      </c>
      <c r="J7385" t="inlineStr">
        <is>
          <t>MATRION</t>
        </is>
      </c>
      <c r="K7385" t="inlineStr">
        <is>
          <t>CUIVRE</t>
        </is>
      </c>
      <c r="L7385">
        <f>_xlfn.XLOOKUP(Tableau1[[#This Row],[TYPE DE PIECE]],Tableau4[MATIERE],Tableau4[SHORT TYPE],"",0,1)</f>
        <v/>
      </c>
      <c r="N7385">
        <f>IF(ISERR(FIND("DECOUPE",Tableau1[[#This Row],[DESIGNATION]])),"","NEED REF")</f>
        <v/>
      </c>
    </row>
    <row r="7386">
      <c r="B7386" t="n">
        <v>34406619</v>
      </c>
      <c r="C7386" s="2" t="n">
        <v>43164</v>
      </c>
      <c r="D7386" t="inlineStr">
        <is>
          <t>SPEC</t>
        </is>
      </c>
      <c r="E7386" t="inlineStr">
        <is>
          <t>COP EQUERRE 1</t>
        </is>
      </c>
      <c r="F7386" t="inlineStr">
        <is>
          <t>GVX IO 1000kW TGAB</t>
        </is>
      </c>
      <c r="J7386" t="inlineStr">
        <is>
          <t>MATRION</t>
        </is>
      </c>
      <c r="K7386" t="inlineStr">
        <is>
          <t>CUIVRE</t>
        </is>
      </c>
      <c r="L7386">
        <f>_xlfn.XLOOKUP(Tableau1[[#This Row],[TYPE DE PIECE]],Tableau4[MATIERE],Tableau4[SHORT TYPE],"",0,1)</f>
        <v/>
      </c>
      <c r="N7386">
        <f>IF(ISERR(FIND("DECOUPE",Tableau1[[#This Row],[DESIGNATION]])),"","NEED REF")</f>
        <v/>
      </c>
    </row>
    <row r="7387">
      <c r="B7387" t="n">
        <v>34406618</v>
      </c>
      <c r="C7387" s="2" t="n">
        <v>43164</v>
      </c>
      <c r="D7387" t="inlineStr">
        <is>
          <t>NOM</t>
        </is>
      </c>
      <c r="E7387" t="inlineStr">
        <is>
          <t>LG KIT VISSERIES QPBE40486</t>
        </is>
      </c>
      <c r="F7387" t="inlineStr">
        <is>
          <t>GVX</t>
        </is>
      </c>
      <c r="J7387" t="inlineStr">
        <is>
          <t>ROBERT</t>
        </is>
      </c>
      <c r="L7387">
        <f>_xlfn.XLOOKUP(Tableau1[[#This Row],[TYPE DE PIECE]],Tableau4[MATIERE],Tableau4[SHORT TYPE],"",0,1)</f>
        <v/>
      </c>
      <c r="N7387">
        <f>IF(ISERR(FIND("DECOUPE",Tableau1[[#This Row],[DESIGNATION]])),"","NEED REF")</f>
        <v/>
      </c>
    </row>
    <row r="7388">
      <c r="B7388" t="n">
        <v>34406617</v>
      </c>
      <c r="C7388" s="2" t="n">
        <v>43161</v>
      </c>
      <c r="D7388" t="inlineStr">
        <is>
          <t>SPEC</t>
        </is>
      </c>
      <c r="F7388" t="inlineStr">
        <is>
          <t>QVE</t>
        </is>
      </c>
      <c r="J7388" t="inlineStr">
        <is>
          <t>MATRION</t>
        </is>
      </c>
      <c r="L7388">
        <f>_xlfn.XLOOKUP(Tableau1[[#This Row],[TYPE DE PIECE]],Tableau4[MATIERE],Tableau4[SHORT TYPE],"",0,1)</f>
        <v/>
      </c>
      <c r="N7388">
        <f>IF(ISERR(FIND("DECOUPE",Tableau1[[#This Row],[DESIGNATION]])),"","NEED REF")</f>
        <v/>
      </c>
    </row>
    <row r="7389">
      <c r="B7389" t="n">
        <v>34406616</v>
      </c>
      <c r="C7389" s="2" t="n">
        <v>43161</v>
      </c>
      <c r="D7389" t="inlineStr">
        <is>
          <t>SPEC</t>
        </is>
      </c>
      <c r="F7389" t="inlineStr">
        <is>
          <t>QVE</t>
        </is>
      </c>
      <c r="J7389" t="inlineStr">
        <is>
          <t>MATRION</t>
        </is>
      </c>
      <c r="L7389">
        <f>_xlfn.XLOOKUP(Tableau1[[#This Row],[TYPE DE PIECE]],Tableau4[MATIERE],Tableau4[SHORT TYPE],"",0,1)</f>
        <v/>
      </c>
      <c r="N7389">
        <f>IF(ISERR(FIND("DECOUPE",Tableau1[[#This Row],[DESIGNATION]])),"","NEED REF")</f>
        <v/>
      </c>
    </row>
    <row r="7390">
      <c r="B7390" t="n">
        <v>34406615</v>
      </c>
      <c r="C7390" s="2" t="n">
        <v>43161</v>
      </c>
      <c r="D7390" t="inlineStr">
        <is>
          <t>SPEC</t>
        </is>
      </c>
      <c r="E7390" t="inlineStr">
        <is>
          <t>NS800 3P PRISE ARR/AV MIRCO 2.0</t>
        </is>
      </c>
      <c r="F7390" t="inlineStr">
        <is>
          <t>MBC GVX</t>
        </is>
      </c>
      <c r="J7390" t="inlineStr">
        <is>
          <t>MATRION</t>
        </is>
      </c>
      <c r="L7390">
        <f>_xlfn.XLOOKUP(Tableau1[[#This Row],[TYPE DE PIECE]],Tableau4[MATIERE],Tableau4[SHORT TYPE],"",0,1)</f>
        <v/>
      </c>
      <c r="N7390">
        <f>IF(ISERR(FIND("DECOUPE",Tableau1[[#This Row],[DESIGNATION]])),"","NEED REF")</f>
        <v/>
      </c>
    </row>
    <row r="7391">
      <c r="B7391" t="n">
        <v>34406614</v>
      </c>
      <c r="C7391" s="2" t="n">
        <v>43159</v>
      </c>
      <c r="D7391" t="inlineStr">
        <is>
          <t>SPEC</t>
        </is>
      </c>
      <c r="F7391" t="inlineStr">
        <is>
          <t>QVE</t>
        </is>
      </c>
      <c r="J7391" t="inlineStr">
        <is>
          <t>MATRION</t>
        </is>
      </c>
      <c r="L7391">
        <f>_xlfn.XLOOKUP(Tableau1[[#This Row],[TYPE DE PIECE]],Tableau4[MATIERE],Tableau4[SHORT TYPE],"",0,1)</f>
        <v/>
      </c>
      <c r="N7391">
        <f>IF(ISERR(FIND("DECOUPE",Tableau1[[#This Row],[DESIGNATION]])),"","NEED REF")</f>
        <v/>
      </c>
    </row>
    <row r="7392">
      <c r="B7392" t="n">
        <v>34406613</v>
      </c>
      <c r="C7392" s="2" t="n">
        <v>43159</v>
      </c>
      <c r="D7392" t="inlineStr">
        <is>
          <t>SPEC</t>
        </is>
      </c>
      <c r="F7392" t="inlineStr">
        <is>
          <t>QVE</t>
        </is>
      </c>
      <c r="J7392" t="inlineStr">
        <is>
          <t>MATRION</t>
        </is>
      </c>
      <c r="L7392">
        <f>_xlfn.XLOOKUP(Tableau1[[#This Row],[TYPE DE PIECE]],Tableau4[MATIERE],Tableau4[SHORT TYPE],"",0,1)</f>
        <v/>
      </c>
      <c r="N7392">
        <f>IF(ISERR(FIND("DECOUPE",Tableau1[[#This Row],[DESIGNATION]])),"","NEED REF")</f>
        <v/>
      </c>
    </row>
    <row r="7393">
      <c r="B7393" t="n">
        <v>34406612</v>
      </c>
      <c r="C7393" s="2" t="n">
        <v>43159</v>
      </c>
      <c r="D7393" t="inlineStr">
        <is>
          <t>SPEC</t>
        </is>
      </c>
      <c r="F7393" t="inlineStr">
        <is>
          <t>QVE</t>
        </is>
      </c>
      <c r="J7393" t="inlineStr">
        <is>
          <t>MATRION</t>
        </is>
      </c>
      <c r="L7393">
        <f>_xlfn.XLOOKUP(Tableau1[[#This Row],[TYPE DE PIECE]],Tableau4[MATIERE],Tableau4[SHORT TYPE],"",0,1)</f>
        <v/>
      </c>
      <c r="N7393">
        <f>IF(ISERR(FIND("DECOUPE",Tableau1[[#This Row],[DESIGNATION]])),"","NEED REF")</f>
        <v/>
      </c>
    </row>
    <row r="7394">
      <c r="B7394" t="n">
        <v>34406611</v>
      </c>
      <c r="C7394" s="2" t="n">
        <v>43159</v>
      </c>
      <c r="D7394" t="inlineStr">
        <is>
          <t>SPEC</t>
        </is>
      </c>
      <c r="F7394" t="inlineStr">
        <is>
          <t>QVE</t>
        </is>
      </c>
      <c r="J7394" t="inlineStr">
        <is>
          <t>MATRION</t>
        </is>
      </c>
      <c r="L7394">
        <f>_xlfn.XLOOKUP(Tableau1[[#This Row],[TYPE DE PIECE]],Tableau4[MATIERE],Tableau4[SHORT TYPE],"",0,1)</f>
        <v/>
      </c>
      <c r="N7394">
        <f>IF(ISERR(FIND("DECOUPE",Tableau1[[#This Row],[DESIGNATION]])),"","NEED REF")</f>
        <v/>
      </c>
    </row>
    <row r="7395">
      <c r="B7395" t="n">
        <v>34406610</v>
      </c>
      <c r="C7395" s="2" t="n">
        <v>43159</v>
      </c>
      <c r="D7395" t="inlineStr">
        <is>
          <t>SPEC</t>
        </is>
      </c>
      <c r="F7395" t="inlineStr">
        <is>
          <t>QVE</t>
        </is>
      </c>
      <c r="J7395" t="inlineStr">
        <is>
          <t>MATRION</t>
        </is>
      </c>
      <c r="L7395">
        <f>_xlfn.XLOOKUP(Tableau1[[#This Row],[TYPE DE PIECE]],Tableau4[MATIERE],Tableau4[SHORT TYPE],"",0,1)</f>
        <v/>
      </c>
      <c r="N7395">
        <f>IF(ISERR(FIND("DECOUPE",Tableau1[[#This Row],[DESIGNATION]])),"","NEED REF")</f>
        <v/>
      </c>
    </row>
    <row r="7396">
      <c r="B7396" t="n">
        <v>34406609</v>
      </c>
      <c r="C7396" s="2" t="n">
        <v>43159</v>
      </c>
      <c r="D7396" t="inlineStr">
        <is>
          <t>SPEC</t>
        </is>
      </c>
      <c r="F7396" t="inlineStr">
        <is>
          <t>QVE</t>
        </is>
      </c>
      <c r="J7396" t="inlineStr">
        <is>
          <t>MATRION</t>
        </is>
      </c>
      <c r="L7396">
        <f>_xlfn.XLOOKUP(Tableau1[[#This Row],[TYPE DE PIECE]],Tableau4[MATIERE],Tableau4[SHORT TYPE],"",0,1)</f>
        <v/>
      </c>
      <c r="N7396">
        <f>IF(ISERR(FIND("DECOUPE",Tableau1[[#This Row],[DESIGNATION]])),"","NEED REF")</f>
        <v/>
      </c>
    </row>
    <row r="7397">
      <c r="B7397" t="n">
        <v>34406608</v>
      </c>
      <c r="C7397" s="2" t="n">
        <v>43153</v>
      </c>
      <c r="D7397" t="inlineStr">
        <is>
          <t>SPEC</t>
        </is>
      </c>
      <c r="E7397" t="inlineStr">
        <is>
          <t>tresse de puissance / POWERSHUNT</t>
        </is>
      </c>
      <c r="F7397" t="inlineStr">
        <is>
          <t>SOLAR</t>
        </is>
      </c>
      <c r="J7397" t="inlineStr">
        <is>
          <t>REIN</t>
        </is>
      </c>
      <c r="L7397">
        <f>_xlfn.XLOOKUP(Tableau1[[#This Row],[TYPE DE PIECE]],Tableau4[MATIERE],Tableau4[SHORT TYPE],"",0,1)</f>
        <v/>
      </c>
      <c r="N7397">
        <f>IF(ISERR(FIND("DECOUPE",Tableau1[[#This Row],[DESIGNATION]])),"","NEED REF")</f>
        <v/>
      </c>
    </row>
    <row r="7398">
      <c r="B7398" t="n">
        <v>34406607</v>
      </c>
      <c r="C7398" s="2" t="n">
        <v>43153</v>
      </c>
      <c r="D7398" t="inlineStr">
        <is>
          <t>SPEC</t>
        </is>
      </c>
      <c r="E7398" t="inlineStr">
        <is>
          <t>tresse de puissance / POWERSHUNT</t>
        </is>
      </c>
      <c r="F7398" t="inlineStr">
        <is>
          <t>SOLAR</t>
        </is>
      </c>
      <c r="J7398" t="inlineStr">
        <is>
          <t>REIN</t>
        </is>
      </c>
      <c r="L7398">
        <f>_xlfn.XLOOKUP(Tableau1[[#This Row],[TYPE DE PIECE]],Tableau4[MATIERE],Tableau4[SHORT TYPE],"",0,1)</f>
        <v/>
      </c>
      <c r="N7398">
        <f>IF(ISERR(FIND("DECOUPE",Tableau1[[#This Row],[DESIGNATION]])),"","NEED REF")</f>
        <v/>
      </c>
    </row>
    <row r="7399">
      <c r="B7399" t="n">
        <v>34406606</v>
      </c>
      <c r="C7399" s="2" t="n">
        <v>43153</v>
      </c>
      <c r="D7399" t="inlineStr">
        <is>
          <t>SPEC</t>
        </is>
      </c>
      <c r="E7399" t="inlineStr">
        <is>
          <t>COPPER_BAR_ICC_TEST_3</t>
        </is>
      </c>
      <c r="F7399" t="inlineStr">
        <is>
          <t>SOLAR</t>
        </is>
      </c>
      <c r="J7399" t="inlineStr">
        <is>
          <t>REIN</t>
        </is>
      </c>
      <c r="L7399">
        <f>_xlfn.XLOOKUP(Tableau1[[#This Row],[TYPE DE PIECE]],Tableau4[MATIERE],Tableau4[SHORT TYPE],"",0,1)</f>
        <v/>
      </c>
      <c r="N7399">
        <f>IF(ISERR(FIND("DECOUPE",Tableau1[[#This Row],[DESIGNATION]])),"","NEED REF")</f>
        <v/>
      </c>
    </row>
    <row r="7400">
      <c r="B7400" t="n">
        <v>34406605</v>
      </c>
      <c r="C7400" s="2" t="n">
        <v>43153</v>
      </c>
      <c r="D7400" t="inlineStr">
        <is>
          <t>SPEC</t>
        </is>
      </c>
      <c r="E7400" t="inlineStr">
        <is>
          <t>COPPER_BAR_ICC_TEST_2</t>
        </is>
      </c>
      <c r="F7400" t="inlineStr">
        <is>
          <t>SOLAR</t>
        </is>
      </c>
      <c r="J7400" t="inlineStr">
        <is>
          <t>REIN</t>
        </is>
      </c>
      <c r="L7400">
        <f>_xlfn.XLOOKUP(Tableau1[[#This Row],[TYPE DE PIECE]],Tableau4[MATIERE],Tableau4[SHORT TYPE],"",0,1)</f>
        <v/>
      </c>
      <c r="N7400">
        <f>IF(ISERR(FIND("DECOUPE",Tableau1[[#This Row],[DESIGNATION]])),"","NEED REF")</f>
        <v/>
      </c>
    </row>
    <row r="7401">
      <c r="B7401" t="n">
        <v>34406604</v>
      </c>
      <c r="C7401" s="2" t="n">
        <v>43153</v>
      </c>
      <c r="D7401" t="inlineStr">
        <is>
          <t>SPEC</t>
        </is>
      </c>
      <c r="E7401" t="inlineStr">
        <is>
          <t>COPPER_BAR_ICC_TEST</t>
        </is>
      </c>
      <c r="F7401" t="inlineStr">
        <is>
          <t>SOLAR</t>
        </is>
      </c>
      <c r="J7401" t="inlineStr">
        <is>
          <t>REIN</t>
        </is>
      </c>
      <c r="L7401">
        <f>_xlfn.XLOOKUP(Tableau1[[#This Row],[TYPE DE PIECE]],Tableau4[MATIERE],Tableau4[SHORT TYPE],"",0,1)</f>
        <v/>
      </c>
      <c r="N7401">
        <f>IF(ISERR(FIND("DECOUPE",Tableau1[[#This Row],[DESIGNATION]])),"","NEED REF")</f>
        <v/>
      </c>
    </row>
    <row r="7402">
      <c r="B7402" t="n">
        <v>34406603</v>
      </c>
      <c r="C7402" s="2" t="n">
        <v>43153</v>
      </c>
      <c r="D7402" t="inlineStr">
        <is>
          <t>SPEC</t>
        </is>
      </c>
      <c r="E7402" t="inlineStr">
        <is>
          <t>COPPER_WEDGE_L2B</t>
        </is>
      </c>
      <c r="F7402" t="inlineStr">
        <is>
          <t>SOLAR</t>
        </is>
      </c>
      <c r="J7402" t="inlineStr">
        <is>
          <t>REIN</t>
        </is>
      </c>
      <c r="L7402">
        <f>_xlfn.XLOOKUP(Tableau1[[#This Row],[TYPE DE PIECE]],Tableau4[MATIERE],Tableau4[SHORT TYPE],"",0,1)</f>
        <v/>
      </c>
      <c r="N7402">
        <f>IF(ISERR(FIND("DECOUPE",Tableau1[[#This Row],[DESIGNATION]])),"","NEED REF")</f>
        <v/>
      </c>
    </row>
    <row r="7403">
      <c r="B7403" t="n">
        <v>34406602</v>
      </c>
      <c r="C7403" s="2" t="n">
        <v>43153</v>
      </c>
      <c r="D7403" t="inlineStr">
        <is>
          <t>SPEC</t>
        </is>
      </c>
      <c r="E7403" t="inlineStr">
        <is>
          <t>COPPER_BAR_L3C</t>
        </is>
      </c>
      <c r="F7403" t="inlineStr">
        <is>
          <t>SOLAR</t>
        </is>
      </c>
      <c r="J7403" t="inlineStr">
        <is>
          <t>REIN</t>
        </is>
      </c>
      <c r="L7403">
        <f>_xlfn.XLOOKUP(Tableau1[[#This Row],[TYPE DE PIECE]],Tableau4[MATIERE],Tableau4[SHORT TYPE],"",0,1)</f>
        <v/>
      </c>
      <c r="N7403">
        <f>IF(ISERR(FIND("DECOUPE",Tableau1[[#This Row],[DESIGNATION]])),"","NEED REF")</f>
        <v/>
      </c>
    </row>
    <row r="7404">
      <c r="B7404" t="n">
        <v>34406601</v>
      </c>
      <c r="C7404" s="2" t="n">
        <v>43153</v>
      </c>
      <c r="D7404" t="inlineStr">
        <is>
          <t>SPEC</t>
        </is>
      </c>
      <c r="E7404" t="inlineStr">
        <is>
          <t>COPPER_BAR_L2B</t>
        </is>
      </c>
      <c r="F7404" t="inlineStr">
        <is>
          <t>SOLAR</t>
        </is>
      </c>
      <c r="J7404" t="inlineStr">
        <is>
          <t>REIN</t>
        </is>
      </c>
      <c r="L7404">
        <f>_xlfn.XLOOKUP(Tableau1[[#This Row],[TYPE DE PIECE]],Tableau4[MATIERE],Tableau4[SHORT TYPE],"",0,1)</f>
        <v/>
      </c>
      <c r="N7404">
        <f>IF(ISERR(FIND("DECOUPE",Tableau1[[#This Row],[DESIGNATION]])),"","NEED REF")</f>
        <v/>
      </c>
    </row>
    <row r="7405">
      <c r="B7405" t="n">
        <v>34406600</v>
      </c>
      <c r="C7405" s="2" t="n">
        <v>43153</v>
      </c>
      <c r="D7405" t="inlineStr">
        <is>
          <t>SPEC</t>
        </is>
      </c>
      <c r="E7405" t="inlineStr">
        <is>
          <t>COPPER_BAR_L1A</t>
        </is>
      </c>
      <c r="F7405" t="inlineStr">
        <is>
          <t>SOLAR</t>
        </is>
      </c>
      <c r="J7405" t="inlineStr">
        <is>
          <t>REIN</t>
        </is>
      </c>
      <c r="L7405">
        <f>_xlfn.XLOOKUP(Tableau1[[#This Row],[TYPE DE PIECE]],Tableau4[MATIERE],Tableau4[SHORT TYPE],"",0,1)</f>
        <v/>
      </c>
      <c r="N7405">
        <f>IF(ISERR(FIND("DECOUPE",Tableau1[[#This Row],[DESIGNATION]])),"","NEED REF")</f>
        <v/>
      </c>
    </row>
    <row r="7406">
      <c r="B7406" t="n">
        <v>34406599</v>
      </c>
      <c r="C7406" s="2" t="n">
        <v>43153</v>
      </c>
      <c r="D7406" t="inlineStr">
        <is>
          <t>SPEC</t>
        </is>
      </c>
      <c r="E7406" t="inlineStr">
        <is>
          <t>COPPER_BAR_THERMAL_HEATING_TEST</t>
        </is>
      </c>
      <c r="F7406" t="inlineStr">
        <is>
          <t>SOLAR</t>
        </is>
      </c>
      <c r="J7406" t="inlineStr">
        <is>
          <t>REIN</t>
        </is>
      </c>
      <c r="L7406">
        <f>_xlfn.XLOOKUP(Tableau1[[#This Row],[TYPE DE PIECE]],Tableau4[MATIERE],Tableau4[SHORT TYPE],"",0,1)</f>
        <v/>
      </c>
      <c r="N7406">
        <f>IF(ISERR(FIND("DECOUPE",Tableau1[[#This Row],[DESIGNATION]])),"","NEED REF")</f>
        <v/>
      </c>
    </row>
    <row r="7407">
      <c r="B7407" t="n">
        <v>34406598</v>
      </c>
      <c r="C7407" s="2" t="n">
        <v>43153</v>
      </c>
      <c r="D7407" t="inlineStr">
        <is>
          <t>SPEC</t>
        </is>
      </c>
      <c r="E7407" t="inlineStr">
        <is>
          <t>SUPPORT PLATINE HAUT</t>
        </is>
      </c>
      <c r="F7407" t="inlineStr">
        <is>
          <t>ARM BBK KIT</t>
        </is>
      </c>
      <c r="J7407" t="inlineStr">
        <is>
          <t>MATRION</t>
        </is>
      </c>
      <c r="L7407">
        <f>_xlfn.XLOOKUP(Tableau1[[#This Row],[TYPE DE PIECE]],Tableau4[MATIERE],Tableau4[SHORT TYPE],"",0,1)</f>
        <v/>
      </c>
      <c r="N7407">
        <f>IF(ISERR(FIND("DECOUPE",Tableau1[[#This Row],[DESIGNATION]])),"","NEED REF")</f>
        <v/>
      </c>
    </row>
    <row r="7408">
      <c r="B7408" t="n">
        <v>34406597</v>
      </c>
      <c r="C7408" s="2" t="n">
        <v>43153</v>
      </c>
      <c r="D7408" t="inlineStr">
        <is>
          <t>SPEC</t>
        </is>
      </c>
      <c r="E7408" t="inlineStr">
        <is>
          <t>PE BARRE</t>
        </is>
      </c>
      <c r="F7408" t="inlineStr">
        <is>
          <t>MBC GVX</t>
        </is>
      </c>
      <c r="J7408" t="inlineStr">
        <is>
          <t>MATRION</t>
        </is>
      </c>
      <c r="L7408">
        <f>_xlfn.XLOOKUP(Tableau1[[#This Row],[TYPE DE PIECE]],Tableau4[MATIERE],Tableau4[SHORT TYPE],"",0,1)</f>
        <v/>
      </c>
      <c r="N7408">
        <f>IF(ISERR(FIND("DECOUPE",Tableau1[[#This Row],[DESIGNATION]])),"","NEED REF")</f>
        <v/>
      </c>
    </row>
    <row r="7409">
      <c r="B7409" t="n">
        <v>34406596</v>
      </c>
      <c r="C7409" s="2" t="n">
        <v>43153</v>
      </c>
      <c r="D7409" t="inlineStr">
        <is>
          <t>SPEC</t>
        </is>
      </c>
      <c r="F7409" t="inlineStr">
        <is>
          <t>ARM BBK KIT</t>
        </is>
      </c>
      <c r="J7409" t="inlineStr">
        <is>
          <t>MATRION</t>
        </is>
      </c>
      <c r="L7409">
        <f>_xlfn.XLOOKUP(Tableau1[[#This Row],[TYPE DE PIECE]],Tableau4[MATIERE],Tableau4[SHORT TYPE],"",0,1)</f>
        <v/>
      </c>
      <c r="N7409">
        <f>IF(ISERR(FIND("DECOUPE",Tableau1[[#This Row],[DESIGNATION]])),"","NEED REF")</f>
        <v/>
      </c>
    </row>
    <row r="7410">
      <c r="B7410" t="n">
        <v>34406595</v>
      </c>
      <c r="C7410" s="2" t="n">
        <v>43153</v>
      </c>
      <c r="D7410" t="inlineStr">
        <is>
          <t>SPEC</t>
        </is>
      </c>
      <c r="F7410" t="inlineStr">
        <is>
          <t>ARM BBK KIT</t>
        </is>
      </c>
      <c r="J7410" t="inlineStr">
        <is>
          <t>MATRION</t>
        </is>
      </c>
      <c r="L7410">
        <f>_xlfn.XLOOKUP(Tableau1[[#This Row],[TYPE DE PIECE]],Tableau4[MATIERE],Tableau4[SHORT TYPE],"",0,1)</f>
        <v/>
      </c>
      <c r="N7410">
        <f>IF(ISERR(FIND("DECOUPE",Tableau1[[#This Row],[DESIGNATION]])),"","NEED REF")</f>
        <v/>
      </c>
    </row>
    <row r="7411">
      <c r="B7411" t="n">
        <v>34406594</v>
      </c>
      <c r="C7411" s="2" t="n">
        <v>43153</v>
      </c>
      <c r="D7411" t="inlineStr">
        <is>
          <t>SPEC</t>
        </is>
      </c>
      <c r="E7411" t="inlineStr">
        <is>
          <t>PLASTRON BBK</t>
        </is>
      </c>
      <c r="F7411" t="inlineStr">
        <is>
          <t>ARM BBK KIT</t>
        </is>
      </c>
      <c r="J7411" t="inlineStr">
        <is>
          <t>MATRION</t>
        </is>
      </c>
      <c r="L7411">
        <f>_xlfn.XLOOKUP(Tableau1[[#This Row],[TYPE DE PIECE]],Tableau4[MATIERE],Tableau4[SHORT TYPE],"",0,1)</f>
        <v/>
      </c>
      <c r="N7411">
        <f>IF(ISERR(FIND("DECOUPE",Tableau1[[#This Row],[DESIGNATION]])),"","NEED REF")</f>
        <v/>
      </c>
    </row>
    <row r="7412">
      <c r="B7412" t="n">
        <v>34406593</v>
      </c>
      <c r="C7412" s="2" t="n">
        <v>43153</v>
      </c>
      <c r="D7412" t="inlineStr">
        <is>
          <t>SPEC</t>
        </is>
      </c>
      <c r="E7412" t="inlineStr">
        <is>
          <t>EQUERRE DROITE/GAUCHE PLASTONS</t>
        </is>
      </c>
      <c r="F7412" t="inlineStr">
        <is>
          <t>ARM BBK KIT</t>
        </is>
      </c>
      <c r="J7412" t="inlineStr">
        <is>
          <t>MATRION</t>
        </is>
      </c>
      <c r="L7412">
        <f>_xlfn.XLOOKUP(Tableau1[[#This Row],[TYPE DE PIECE]],Tableau4[MATIERE],Tableau4[SHORT TYPE],"",0,1)</f>
        <v/>
      </c>
      <c r="N7412">
        <f>IF(ISERR(FIND("DECOUPE",Tableau1[[#This Row],[DESIGNATION]])),"","NEED REF")</f>
        <v/>
      </c>
    </row>
    <row r="7413">
      <c r="B7413" t="n">
        <v>34406592</v>
      </c>
      <c r="C7413" s="2" t="n">
        <v>43152</v>
      </c>
      <c r="D7413" t="inlineStr">
        <is>
          <t>SPEC</t>
        </is>
      </c>
      <c r="E7413" t="inlineStr">
        <is>
          <t>EQUERRE GAUCHE/DROITE</t>
        </is>
      </c>
      <c r="F7413" t="inlineStr">
        <is>
          <t>MINDEF</t>
        </is>
      </c>
      <c r="J7413" t="inlineStr">
        <is>
          <t>MATRION</t>
        </is>
      </c>
      <c r="K7413" t="inlineStr">
        <is>
          <t>METAL</t>
        </is>
      </c>
      <c r="L7413">
        <f>_xlfn.XLOOKUP(Tableau1[[#This Row],[TYPE DE PIECE]],Tableau4[MATIERE],Tableau4[SHORT TYPE],"",0,1)</f>
        <v/>
      </c>
      <c r="N7413">
        <f>IF(ISERR(FIND("DECOUPE",Tableau1[[#This Row],[DESIGNATION]])),"","NEED REF")</f>
        <v/>
      </c>
    </row>
    <row r="7414">
      <c r="B7414" t="n">
        <v>34406591</v>
      </c>
      <c r="C7414" s="2" t="n">
        <v>43152</v>
      </c>
      <c r="D7414" t="inlineStr">
        <is>
          <t>SPEC</t>
        </is>
      </c>
      <c r="E7414" t="inlineStr">
        <is>
          <t>TOIT ALU</t>
        </is>
      </c>
      <c r="F7414" t="inlineStr">
        <is>
          <t>ARM BBK KIT</t>
        </is>
      </c>
      <c r="J7414" t="inlineStr">
        <is>
          <t>MATRION</t>
        </is>
      </c>
      <c r="L7414">
        <f>_xlfn.XLOOKUP(Tableau1[[#This Row],[TYPE DE PIECE]],Tableau4[MATIERE],Tableau4[SHORT TYPE],"",0,1)</f>
        <v/>
      </c>
      <c r="N7414">
        <f>IF(ISERR(FIND("DECOUPE",Tableau1[[#This Row],[DESIGNATION]])),"","NEED REF")</f>
        <v/>
      </c>
    </row>
    <row r="7415">
      <c r="B7415" t="n">
        <v>34406590</v>
      </c>
      <c r="C7415" s="2" t="n">
        <v>43152</v>
      </c>
      <c r="D7415" t="inlineStr">
        <is>
          <t>SPEC</t>
        </is>
      </c>
      <c r="E7415" t="inlineStr">
        <is>
          <t>PANNEAU ARRIERE VENTILE</t>
        </is>
      </c>
      <c r="F7415" t="inlineStr">
        <is>
          <t>ARM BBK KIT</t>
        </is>
      </c>
      <c r="J7415" t="inlineStr">
        <is>
          <t>MATRION</t>
        </is>
      </c>
      <c r="L7415">
        <f>_xlfn.XLOOKUP(Tableau1[[#This Row],[TYPE DE PIECE]],Tableau4[MATIERE],Tableau4[SHORT TYPE],"",0,1)</f>
        <v/>
      </c>
      <c r="N7415">
        <f>IF(ISERR(FIND("DECOUPE",Tableau1[[#This Row],[DESIGNATION]])),"","NEED REF")</f>
        <v/>
      </c>
    </row>
    <row r="7416">
      <c r="B7416" t="n">
        <v>34406589</v>
      </c>
      <c r="C7416" s="2" t="n">
        <v>43152</v>
      </c>
      <c r="D7416" t="inlineStr">
        <is>
          <t>SPEC</t>
        </is>
      </c>
      <c r="F7416" t="inlineStr">
        <is>
          <t>SUPPLY BOX</t>
        </is>
      </c>
      <c r="J7416" t="inlineStr">
        <is>
          <t>REIN</t>
        </is>
      </c>
      <c r="L7416">
        <f>_xlfn.XLOOKUP(Tableau1[[#This Row],[TYPE DE PIECE]],Tableau4[MATIERE],Tableau4[SHORT TYPE],"",0,1)</f>
        <v/>
      </c>
      <c r="N7416">
        <f>IF(ISERR(FIND("DECOUPE",Tableau1[[#This Row],[DESIGNATION]])),"","NEED REF")</f>
        <v/>
      </c>
    </row>
    <row r="7417">
      <c r="B7417" t="n">
        <v>34406588</v>
      </c>
      <c r="C7417" s="2" t="n">
        <v>43152</v>
      </c>
      <c r="D7417" t="inlineStr">
        <is>
          <t>SPEC</t>
        </is>
      </c>
      <c r="F7417" t="inlineStr">
        <is>
          <t>SUPPLY BOX</t>
        </is>
      </c>
      <c r="J7417" t="inlineStr">
        <is>
          <t>REIN</t>
        </is>
      </c>
      <c r="L7417">
        <f>_xlfn.XLOOKUP(Tableau1[[#This Row],[TYPE DE PIECE]],Tableau4[MATIERE],Tableau4[SHORT TYPE],"",0,1)</f>
        <v/>
      </c>
      <c r="N7417">
        <f>IF(ISERR(FIND("DECOUPE",Tableau1[[#This Row],[DESIGNATION]])),"","NEED REF")</f>
        <v/>
      </c>
    </row>
    <row r="7418">
      <c r="B7418" t="n">
        <v>34406587</v>
      </c>
      <c r="C7418" s="2" t="n">
        <v>43152</v>
      </c>
      <c r="D7418" t="inlineStr">
        <is>
          <t>SPEC</t>
        </is>
      </c>
      <c r="E7418" t="inlineStr">
        <is>
          <t>Filtre EMI</t>
        </is>
      </c>
      <c r="F7418" t="inlineStr">
        <is>
          <t>SUPPLY BOX</t>
        </is>
      </c>
      <c r="J7418" t="inlineStr">
        <is>
          <t>REIN</t>
        </is>
      </c>
      <c r="L7418">
        <f>_xlfn.XLOOKUP(Tableau1[[#This Row],[TYPE DE PIECE]],Tableau4[MATIERE],Tableau4[SHORT TYPE],"",0,1)</f>
        <v/>
      </c>
      <c r="N7418">
        <f>IF(ISERR(FIND("DECOUPE",Tableau1[[#This Row],[DESIGNATION]])),"","NEED REF")</f>
        <v/>
      </c>
    </row>
    <row r="7419">
      <c r="B7419" t="n">
        <v>34406586</v>
      </c>
      <c r="C7419" s="2" t="n">
        <v>43152</v>
      </c>
      <c r="D7419" t="inlineStr">
        <is>
          <t>SPEC</t>
        </is>
      </c>
      <c r="E7419" t="inlineStr">
        <is>
          <t>Varistor</t>
        </is>
      </c>
      <c r="F7419" t="inlineStr">
        <is>
          <t>SUPPLY BOX</t>
        </is>
      </c>
      <c r="J7419" t="inlineStr">
        <is>
          <t>REIN</t>
        </is>
      </c>
      <c r="L7419">
        <f>_xlfn.XLOOKUP(Tableau1[[#This Row],[TYPE DE PIECE]],Tableau4[MATIERE],Tableau4[SHORT TYPE],"",0,1)</f>
        <v/>
      </c>
      <c r="N7419">
        <f>IF(ISERR(FIND("DECOUPE",Tableau1[[#This Row],[DESIGNATION]])),"","NEED REF")</f>
        <v/>
      </c>
    </row>
    <row r="7420">
      <c r="B7420" t="n">
        <v>34406585</v>
      </c>
      <c r="C7420" s="2" t="n">
        <v>43152</v>
      </c>
      <c r="D7420" t="inlineStr">
        <is>
          <t>SPEC</t>
        </is>
      </c>
      <c r="E7420" t="inlineStr">
        <is>
          <t>Resistance chauffante 100W</t>
        </is>
      </c>
      <c r="F7420" t="inlineStr">
        <is>
          <t>SUPPLY BOX</t>
        </is>
      </c>
      <c r="J7420" t="inlineStr">
        <is>
          <t>REIN</t>
        </is>
      </c>
      <c r="L7420">
        <f>_xlfn.XLOOKUP(Tableau1[[#This Row],[TYPE DE PIECE]],Tableau4[MATIERE],Tableau4[SHORT TYPE],"",0,1)</f>
        <v/>
      </c>
      <c r="N7420">
        <f>IF(ISERR(FIND("DECOUPE",Tableau1[[#This Row],[DESIGNATION]])),"","NEED REF")</f>
        <v/>
      </c>
    </row>
    <row r="7421">
      <c r="B7421" t="n">
        <v>34406584</v>
      </c>
      <c r="C7421" s="2" t="n">
        <v>43152</v>
      </c>
      <c r="D7421" t="inlineStr">
        <is>
          <t>SPEC</t>
        </is>
      </c>
      <c r="E7421" t="inlineStr">
        <is>
          <t>Vigi iC60 2P 25A 30mA Type SI</t>
        </is>
      </c>
      <c r="F7421" t="inlineStr">
        <is>
          <t>SUPPLY BOX</t>
        </is>
      </c>
      <c r="J7421" t="inlineStr">
        <is>
          <t>REIN</t>
        </is>
      </c>
      <c r="L7421">
        <f>_xlfn.XLOOKUP(Tableau1[[#This Row],[TYPE DE PIECE]],Tableau4[MATIERE],Tableau4[SHORT TYPE],"",0,1)</f>
        <v/>
      </c>
      <c r="N7421">
        <f>IF(ISERR(FIND("DECOUPE",Tableau1[[#This Row],[DESIGNATION]])),"","NEED REF")</f>
        <v/>
      </c>
    </row>
    <row r="7422">
      <c r="B7422" t="n">
        <v>34406583</v>
      </c>
      <c r="C7422" s="2" t="n">
        <v>43152</v>
      </c>
      <c r="D7422" t="inlineStr">
        <is>
          <t>SPEC</t>
        </is>
      </c>
      <c r="E7422" t="inlineStr">
        <is>
          <t>iC60N 4P 32A Courbe D</t>
        </is>
      </c>
      <c r="F7422" t="inlineStr">
        <is>
          <t>SUPPLY BOX</t>
        </is>
      </c>
      <c r="J7422" t="inlineStr">
        <is>
          <t>REIN</t>
        </is>
      </c>
      <c r="L7422">
        <f>_xlfn.XLOOKUP(Tableau1[[#This Row],[TYPE DE PIECE]],Tableau4[MATIERE],Tableau4[SHORT TYPE],"",0,1)</f>
        <v/>
      </c>
      <c r="N7422">
        <f>IF(ISERR(FIND("DECOUPE",Tableau1[[#This Row],[DESIGNATION]])),"","NEED REF")</f>
        <v/>
      </c>
    </row>
    <row r="7423">
      <c r="B7423" t="n">
        <v>34406582</v>
      </c>
      <c r="C7423" s="2" t="n">
        <v>43152</v>
      </c>
      <c r="D7423" t="inlineStr">
        <is>
          <t>SPEC</t>
        </is>
      </c>
      <c r="E7423" t="inlineStr">
        <is>
          <t>iC60N 3P 16A Courbe C</t>
        </is>
      </c>
      <c r="F7423" t="inlineStr">
        <is>
          <t>SUPPLY BOX</t>
        </is>
      </c>
      <c r="J7423" t="inlineStr">
        <is>
          <t>REIN</t>
        </is>
      </c>
      <c r="L7423">
        <f>_xlfn.XLOOKUP(Tableau1[[#This Row],[TYPE DE PIECE]],Tableau4[MATIERE],Tableau4[SHORT TYPE],"",0,1)</f>
        <v/>
      </c>
      <c r="N7423">
        <f>IF(ISERR(FIND("DECOUPE",Tableau1[[#This Row],[DESIGNATION]])),"","NEED REF")</f>
        <v/>
      </c>
    </row>
    <row r="7424">
      <c r="B7424" t="n">
        <v>34406581</v>
      </c>
      <c r="C7424" s="2" t="n">
        <v>43152</v>
      </c>
      <c r="D7424" t="inlineStr">
        <is>
          <t>SPEC</t>
        </is>
      </c>
      <c r="E7424" t="inlineStr">
        <is>
          <t>iC60N 4P 32A Courbe C</t>
        </is>
      </c>
      <c r="F7424" t="inlineStr">
        <is>
          <t>SUPPLY BOX</t>
        </is>
      </c>
      <c r="J7424" t="inlineStr">
        <is>
          <t>REIN</t>
        </is>
      </c>
      <c r="L7424">
        <f>_xlfn.XLOOKUP(Tableau1[[#This Row],[TYPE DE PIECE]],Tableau4[MATIERE],Tableau4[SHORT TYPE],"",0,1)</f>
        <v/>
      </c>
      <c r="N7424">
        <f>IF(ISERR(FIND("DECOUPE",Tableau1[[#This Row],[DESIGNATION]])),"","NEED REF")</f>
        <v/>
      </c>
    </row>
    <row r="7425">
      <c r="B7425" t="n">
        <v>34406580</v>
      </c>
      <c r="C7425" s="2" t="n">
        <v>43152</v>
      </c>
      <c r="D7425" t="inlineStr">
        <is>
          <t>SPEC</t>
        </is>
      </c>
      <c r="E7425" t="inlineStr">
        <is>
          <t>NSX100R 3P3D Micologic 2,2 40A</t>
        </is>
      </c>
      <c r="F7425" t="inlineStr">
        <is>
          <t>SUPPLY BOX</t>
        </is>
      </c>
      <c r="J7425" t="inlineStr">
        <is>
          <t>REIN</t>
        </is>
      </c>
      <c r="L7425">
        <f>_xlfn.XLOOKUP(Tableau1[[#This Row],[TYPE DE PIECE]],Tableau4[MATIERE],Tableau4[SHORT TYPE],"",0,1)</f>
        <v/>
      </c>
      <c r="N7425">
        <f>IF(ISERR(FIND("DECOUPE",Tableau1[[#This Row],[DESIGNATION]])),"","NEED REF")</f>
        <v/>
      </c>
    </row>
    <row r="7426">
      <c r="B7426" t="n">
        <v>34406579</v>
      </c>
      <c r="C7426" s="2" t="n">
        <v>43152</v>
      </c>
      <c r="D7426" t="inlineStr">
        <is>
          <t>SPEC</t>
        </is>
      </c>
      <c r="E7426" t="inlineStr">
        <is>
          <t>Prise IP66</t>
        </is>
      </c>
      <c r="F7426" t="inlineStr">
        <is>
          <t>SUPPLY BOX</t>
        </is>
      </c>
      <c r="J7426" t="inlineStr">
        <is>
          <t>REIN</t>
        </is>
      </c>
      <c r="L7426">
        <f>_xlfn.XLOOKUP(Tableau1[[#This Row],[TYPE DE PIECE]],Tableau4[MATIERE],Tableau4[SHORT TYPE],"",0,1)</f>
        <v/>
      </c>
      <c r="N7426">
        <f>IF(ISERR(FIND("DECOUPE",Tableau1[[#This Row],[DESIGNATION]])),"","NEED REF")</f>
        <v/>
      </c>
    </row>
    <row r="7427">
      <c r="B7427" t="n">
        <v>34406578</v>
      </c>
      <c r="C7427" s="2" t="n">
        <v>43152</v>
      </c>
      <c r="D7427" t="inlineStr">
        <is>
          <t>SPEC</t>
        </is>
      </c>
      <c r="E7427" t="inlineStr">
        <is>
          <t>bouton arret urgence</t>
        </is>
      </c>
      <c r="F7427" t="inlineStr">
        <is>
          <t>SUPPLY BOX</t>
        </is>
      </c>
      <c r="J7427" t="inlineStr">
        <is>
          <t>REIN</t>
        </is>
      </c>
      <c r="L7427">
        <f>_xlfn.XLOOKUP(Tableau1[[#This Row],[TYPE DE PIECE]],Tableau4[MATIERE],Tableau4[SHORT TYPE],"",0,1)</f>
        <v/>
      </c>
      <c r="N7427">
        <f>IF(ISERR(FIND("DECOUPE",Tableau1[[#This Row],[DESIGNATION]])),"","NEED REF")</f>
        <v/>
      </c>
    </row>
    <row r="7428">
      <c r="B7428" t="n">
        <v>34406577</v>
      </c>
      <c r="C7428" s="2" t="n">
        <v>43152</v>
      </c>
      <c r="D7428" t="inlineStr">
        <is>
          <t>SPEC</t>
        </is>
      </c>
      <c r="E7428" t="inlineStr">
        <is>
          <t>A9Q31225</t>
        </is>
      </c>
      <c r="F7428" t="inlineStr">
        <is>
          <t>SUPPLY BOX</t>
        </is>
      </c>
      <c r="J7428" t="inlineStr">
        <is>
          <t>REIN</t>
        </is>
      </c>
      <c r="L7428">
        <f>_xlfn.XLOOKUP(Tableau1[[#This Row],[TYPE DE PIECE]],Tableau4[MATIERE],Tableau4[SHORT TYPE],"",0,1)</f>
        <v/>
      </c>
      <c r="N7428">
        <f>IF(ISERR(FIND("DECOUPE",Tableau1[[#This Row],[DESIGNATION]])),"","NEED REF")</f>
        <v/>
      </c>
    </row>
    <row r="7429">
      <c r="B7429" t="n">
        <v>34406576</v>
      </c>
      <c r="C7429" s="2" t="n">
        <v>43152</v>
      </c>
      <c r="D7429" t="inlineStr">
        <is>
          <t>SPEC</t>
        </is>
      </c>
      <c r="E7429" t="inlineStr">
        <is>
          <t>Barrette mise terre NSYRBL216146M</t>
        </is>
      </c>
      <c r="F7429" t="inlineStr">
        <is>
          <t>SUPPLY BOX</t>
        </is>
      </c>
      <c r="J7429" t="inlineStr">
        <is>
          <t>REIN</t>
        </is>
      </c>
      <c r="L7429">
        <f>_xlfn.XLOOKUP(Tableau1[[#This Row],[TYPE DE PIECE]],Tableau4[MATIERE],Tableau4[SHORT TYPE],"",0,1)</f>
        <v/>
      </c>
      <c r="N7429">
        <f>IF(ISERR(FIND("DECOUPE",Tableau1[[#This Row],[DESIGNATION]])),"","NEED REF")</f>
        <v/>
      </c>
    </row>
    <row r="7430">
      <c r="B7430" t="n">
        <v>34406575</v>
      </c>
      <c r="C7430" s="2" t="n">
        <v>43152</v>
      </c>
      <c r="D7430" t="inlineStr">
        <is>
          <t>SPEC</t>
        </is>
      </c>
      <c r="E7430" t="inlineStr">
        <is>
          <t>Dispositif de purge NSYVEA9</t>
        </is>
      </c>
      <c r="F7430" t="inlineStr">
        <is>
          <t>SUPPLY BOX</t>
        </is>
      </c>
      <c r="J7430" t="inlineStr">
        <is>
          <t>REIN</t>
        </is>
      </c>
      <c r="L7430">
        <f>_xlfn.XLOOKUP(Tableau1[[#This Row],[TYPE DE PIECE]],Tableau4[MATIERE],Tableau4[SHORT TYPE],"",0,1)</f>
        <v/>
      </c>
      <c r="N7430">
        <f>IF(ISERR(FIND("DECOUPE",Tableau1[[#This Row],[DESIGNATION]])),"","NEED REF")</f>
        <v/>
      </c>
    </row>
    <row r="7431">
      <c r="B7431" t="n">
        <v>34406574</v>
      </c>
      <c r="C7431" s="2" t="n">
        <v>43152</v>
      </c>
      <c r="D7431" t="inlineStr">
        <is>
          <t>SPEC</t>
        </is>
      </c>
      <c r="E7431" t="inlineStr">
        <is>
          <t>Thalassa PLM NSYPLM86PG</t>
        </is>
      </c>
      <c r="F7431" t="inlineStr">
        <is>
          <t>SUPPLY BOX</t>
        </is>
      </c>
      <c r="J7431" t="inlineStr">
        <is>
          <t>REIN</t>
        </is>
      </c>
      <c r="L7431">
        <f>_xlfn.XLOOKUP(Tableau1[[#This Row],[TYPE DE PIECE]],Tableau4[MATIERE],Tableau4[SHORT TYPE],"",0,1)</f>
        <v/>
      </c>
      <c r="N7431">
        <f>IF(ISERR(FIND("DECOUPE",Tableau1[[#This Row],[DESIGNATION]])),"","NEED REF")</f>
        <v/>
      </c>
    </row>
    <row r="7432">
      <c r="B7432" t="n">
        <v>34406573</v>
      </c>
      <c r="C7432" s="2" t="n">
        <v>43152</v>
      </c>
      <c r="D7432" t="inlineStr">
        <is>
          <t>SPEC</t>
        </is>
      </c>
      <c r="E7432" t="inlineStr">
        <is>
          <t>Linergy DX 4P 63A</t>
        </is>
      </c>
      <c r="F7432" t="inlineStr">
        <is>
          <t>SUPPLY BOX</t>
        </is>
      </c>
      <c r="J7432" t="inlineStr">
        <is>
          <t>REIN</t>
        </is>
      </c>
      <c r="L7432">
        <f>_xlfn.XLOOKUP(Tableau1[[#This Row],[TYPE DE PIECE]],Tableau4[MATIERE],Tableau4[SHORT TYPE],"",0,1)</f>
        <v/>
      </c>
      <c r="N7432">
        <f>IF(ISERR(FIND("DECOUPE",Tableau1[[#This Row],[DESIGNATION]])),"","NEED REF")</f>
        <v/>
      </c>
    </row>
    <row r="7433">
      <c r="B7433" t="n">
        <v>34406572</v>
      </c>
      <c r="C7433" s="2" t="n">
        <v>43150</v>
      </c>
      <c r="D7433" t="inlineStr">
        <is>
          <t>SPEC</t>
        </is>
      </c>
      <c r="E7433" t="inlineStr">
        <is>
          <t>SUPPORT PE BARRE</t>
        </is>
      </c>
      <c r="F7433" t="inlineStr">
        <is>
          <t>ARM BBK KIT</t>
        </is>
      </c>
      <c r="J7433" t="inlineStr">
        <is>
          <t>MATRION</t>
        </is>
      </c>
      <c r="L7433">
        <f>_xlfn.XLOOKUP(Tableau1[[#This Row],[TYPE DE PIECE]],Tableau4[MATIERE],Tableau4[SHORT TYPE],"",0,1)</f>
        <v/>
      </c>
      <c r="N7433">
        <f>IF(ISERR(FIND("DECOUPE",Tableau1[[#This Row],[DESIGNATION]])),"","NEED REF")</f>
        <v/>
      </c>
    </row>
    <row r="7434">
      <c r="B7434" t="n">
        <v>34406571</v>
      </c>
      <c r="C7434" s="2" t="n">
        <v>43150</v>
      </c>
      <c r="D7434" t="inlineStr">
        <is>
          <t>SPEC</t>
        </is>
      </c>
      <c r="E7434" t="inlineStr">
        <is>
          <t>SUPPORT MONTAGE BBK BAS</t>
        </is>
      </c>
      <c r="F7434" t="inlineStr">
        <is>
          <t>ARM BBK KIT</t>
        </is>
      </c>
      <c r="J7434" t="inlineStr">
        <is>
          <t>MATRION</t>
        </is>
      </c>
      <c r="L7434">
        <f>_xlfn.XLOOKUP(Tableau1[[#This Row],[TYPE DE PIECE]],Tableau4[MATIERE],Tableau4[SHORT TYPE],"",0,1)</f>
        <v/>
      </c>
      <c r="N7434">
        <f>IF(ISERR(FIND("DECOUPE",Tableau1[[#This Row],[DESIGNATION]])),"","NEED REF")</f>
        <v/>
      </c>
    </row>
    <row r="7435">
      <c r="B7435" t="n">
        <v>34406570</v>
      </c>
      <c r="C7435" s="2" t="n">
        <v>43150</v>
      </c>
      <c r="D7435" t="inlineStr">
        <is>
          <t>SPEC</t>
        </is>
      </c>
      <c r="E7435" t="inlineStr">
        <is>
          <t>ARMOIRE SAREL BBK KIT GVX</t>
        </is>
      </c>
      <c r="F7435" t="inlineStr">
        <is>
          <t>ARM BBK KIT</t>
        </is>
      </c>
      <c r="J7435" t="inlineStr">
        <is>
          <t>MATRION</t>
        </is>
      </c>
      <c r="L7435">
        <f>_xlfn.XLOOKUP(Tableau1[[#This Row],[TYPE DE PIECE]],Tableau4[MATIERE],Tableau4[SHORT TYPE],"",0,1)</f>
        <v/>
      </c>
      <c r="N7435">
        <f>IF(ISERR(FIND("DECOUPE",Tableau1[[#This Row],[DESIGNATION]])),"","NEED REF")</f>
        <v/>
      </c>
    </row>
    <row r="7436">
      <c r="B7436" t="n">
        <v>34406569</v>
      </c>
      <c r="C7436" s="2" t="n">
        <v>43150</v>
      </c>
      <c r="D7436" t="inlineStr">
        <is>
          <t>SPEC</t>
        </is>
      </c>
      <c r="E7436" t="inlineStr">
        <is>
          <t>SUPPORT PLATINE BAS</t>
        </is>
      </c>
      <c r="F7436" t="inlineStr">
        <is>
          <t>ARM BBK KIT</t>
        </is>
      </c>
      <c r="J7436" t="inlineStr">
        <is>
          <t>MATRION</t>
        </is>
      </c>
      <c r="L7436">
        <f>_xlfn.XLOOKUP(Tableau1[[#This Row],[TYPE DE PIECE]],Tableau4[MATIERE],Tableau4[SHORT TYPE],"",0,1)</f>
        <v/>
      </c>
      <c r="N7436">
        <f>IF(ISERR(FIND("DECOUPE",Tableau1[[#This Row],[DESIGNATION]])),"","NEED REF")</f>
        <v/>
      </c>
    </row>
    <row r="7437">
      <c r="B7437" t="n">
        <v>34406568</v>
      </c>
      <c r="C7437" s="2" t="n">
        <v>43150</v>
      </c>
      <c r="D7437" t="inlineStr">
        <is>
          <t>SPEC</t>
        </is>
      </c>
      <c r="E7437" t="inlineStr">
        <is>
          <t>SUPPORT MONTAGE BBK</t>
        </is>
      </c>
      <c r="F7437" t="inlineStr">
        <is>
          <t>ARM BBK KIT</t>
        </is>
      </c>
      <c r="J7437" t="inlineStr">
        <is>
          <t>MATRION</t>
        </is>
      </c>
      <c r="L7437">
        <f>_xlfn.XLOOKUP(Tableau1[[#This Row],[TYPE DE PIECE]],Tableau4[MATIERE],Tableau4[SHORT TYPE],"",0,1)</f>
        <v/>
      </c>
      <c r="N7437">
        <f>IF(ISERR(FIND("DECOUPE",Tableau1[[#This Row],[DESIGNATION]])),"","NEED REF")</f>
        <v/>
      </c>
    </row>
    <row r="7438">
      <c r="B7438" t="n">
        <v>34406567</v>
      </c>
      <c r="C7438" s="2" t="n">
        <v>43150</v>
      </c>
      <c r="D7438" t="inlineStr">
        <is>
          <t>SPEC</t>
        </is>
      </c>
      <c r="E7438" t="inlineStr">
        <is>
          <t>PLATINE 5 BBK KIT</t>
        </is>
      </c>
      <c r="F7438" t="inlineStr">
        <is>
          <t>ARM BBK KIT</t>
        </is>
      </c>
      <c r="J7438" t="inlineStr">
        <is>
          <t>MATRION</t>
        </is>
      </c>
      <c r="L7438">
        <f>_xlfn.XLOOKUP(Tableau1[[#This Row],[TYPE DE PIECE]],Tableau4[MATIERE],Tableau4[SHORT TYPE],"",0,1)</f>
        <v/>
      </c>
      <c r="N7438">
        <f>IF(ISERR(FIND("DECOUPE",Tableau1[[#This Row],[DESIGNATION]])),"","NEED REF")</f>
        <v/>
      </c>
    </row>
    <row r="7439">
      <c r="B7439" t="n">
        <v>34406566</v>
      </c>
      <c r="C7439" s="2" t="n">
        <v>43143</v>
      </c>
      <c r="D7439" t="inlineStr">
        <is>
          <t>SPEC</t>
        </is>
      </c>
      <c r="E7439" t="inlineStr">
        <is>
          <t>serrure armoire batterie G55 QVE</t>
        </is>
      </c>
      <c r="F7439" t="inlineStr">
        <is>
          <t>QVE</t>
        </is>
      </c>
      <c r="J7439" t="inlineStr">
        <is>
          <t>REVEL</t>
        </is>
      </c>
      <c r="L7439">
        <f>_xlfn.XLOOKUP(Tableau1[[#This Row],[TYPE DE PIECE]],Tableau4[MATIERE],Tableau4[SHORT TYPE],"",0,1)</f>
        <v/>
      </c>
      <c r="N7439">
        <f>IF(ISERR(FIND("DECOUPE",Tableau1[[#This Row],[DESIGNATION]])),"","NEED REF")</f>
        <v/>
      </c>
    </row>
    <row r="7440">
      <c r="B7440" t="n">
        <v>34406565</v>
      </c>
      <c r="C7440" s="2" t="n">
        <v>43143</v>
      </c>
      <c r="D7440" t="inlineStr">
        <is>
          <t>SPEC</t>
        </is>
      </c>
      <c r="E7440" t="inlineStr">
        <is>
          <t>SUPPORT 2 JDB INTER CELLULE RACC HAUT</t>
        </is>
      </c>
      <c r="K7440" t="inlineStr">
        <is>
          <t>METAL</t>
        </is>
      </c>
      <c r="L7440">
        <f>_xlfn.XLOOKUP(Tableau1[[#This Row],[TYPE DE PIECE]],Tableau4[MATIERE],Tableau4[SHORT TYPE],"",0,1)</f>
        <v/>
      </c>
      <c r="N7440">
        <f>IF(ISERR(FIND("DECOUPE",Tableau1[[#This Row],[DESIGNATION]])),"","NEED REF")</f>
        <v/>
      </c>
    </row>
    <row r="7441">
      <c r="B7441" t="n">
        <v>34406564</v>
      </c>
      <c r="C7441" s="2" t="n">
        <v>43143</v>
      </c>
      <c r="D7441" t="inlineStr">
        <is>
          <t>SPEC</t>
        </is>
      </c>
      <c r="E7441" t="inlineStr">
        <is>
          <t>SUPPORT 1 JDB INTER CELLULE RACC HAUT</t>
        </is>
      </c>
      <c r="F7441" t="inlineStr">
        <is>
          <t>MBC GVX</t>
        </is>
      </c>
      <c r="J7441" t="inlineStr">
        <is>
          <t>MATRION</t>
        </is>
      </c>
      <c r="K7441" t="inlineStr">
        <is>
          <t>METAL</t>
        </is>
      </c>
      <c r="L7441">
        <f>_xlfn.XLOOKUP(Tableau1[[#This Row],[TYPE DE PIECE]],Tableau4[MATIERE],Tableau4[SHORT TYPE],"",0,1)</f>
        <v/>
      </c>
      <c r="N7441">
        <f>IF(ISERR(FIND("DECOUPE",Tableau1[[#This Row],[DESIGNATION]])),"","NEED REF")</f>
        <v/>
      </c>
    </row>
    <row r="7442">
      <c r="B7442" t="n">
        <v>34406563</v>
      </c>
      <c r="C7442" s="2" t="n">
        <v>43143</v>
      </c>
      <c r="D7442" t="inlineStr">
        <is>
          <t>SPEC</t>
        </is>
      </c>
      <c r="E7442" t="inlineStr">
        <is>
          <t>SUPPORT PE/PEN 2 BOTTOM</t>
        </is>
      </c>
      <c r="F7442" t="inlineStr">
        <is>
          <t>MBC GVX</t>
        </is>
      </c>
      <c r="J7442" t="inlineStr">
        <is>
          <t>MATRION</t>
        </is>
      </c>
      <c r="K7442" t="inlineStr">
        <is>
          <t>METAL</t>
        </is>
      </c>
      <c r="L7442">
        <f>_xlfn.XLOOKUP(Tableau1[[#This Row],[TYPE DE PIECE]],Tableau4[MATIERE],Tableau4[SHORT TYPE],"",0,1)</f>
        <v/>
      </c>
      <c r="N7442">
        <f>IF(ISERR(FIND("DECOUPE",Tableau1[[#This Row],[DESIGNATION]])),"","NEED REF")</f>
        <v/>
      </c>
    </row>
    <row r="7443">
      <c r="B7443" t="n">
        <v>34406562</v>
      </c>
      <c r="C7443" s="2" t="n">
        <v>43143</v>
      </c>
      <c r="D7443" t="inlineStr">
        <is>
          <t>SPEC</t>
        </is>
      </c>
      <c r="E7443" t="inlineStr">
        <is>
          <t>SUPPORT PE/PEN 1 BOTTOM</t>
        </is>
      </c>
      <c r="F7443" t="inlineStr">
        <is>
          <t>MBC GVX</t>
        </is>
      </c>
      <c r="J7443" t="inlineStr">
        <is>
          <t>MATRION</t>
        </is>
      </c>
      <c r="K7443" t="inlineStr">
        <is>
          <t>METAL</t>
        </is>
      </c>
      <c r="L7443">
        <f>_xlfn.XLOOKUP(Tableau1[[#This Row],[TYPE DE PIECE]],Tableau4[MATIERE],Tableau4[SHORT TYPE],"",0,1)</f>
        <v/>
      </c>
      <c r="N7443">
        <f>IF(ISERR(FIND("DECOUPE",Tableau1[[#This Row],[DESIGNATION]])),"","NEED REF")</f>
        <v/>
      </c>
    </row>
    <row r="7444">
      <c r="B7444" t="n">
        <v>34406561</v>
      </c>
      <c r="C7444" s="2" t="n">
        <v>43143</v>
      </c>
      <c r="D7444" t="inlineStr">
        <is>
          <t>SPEC</t>
        </is>
      </c>
      <c r="E7444" t="inlineStr">
        <is>
          <t>PLASTRON PLEIN VERION BOTTOM CONNEXION</t>
        </is>
      </c>
      <c r="F7444" t="inlineStr">
        <is>
          <t>MBC GVX</t>
        </is>
      </c>
      <c r="J7444" t="inlineStr">
        <is>
          <t>MATRION</t>
        </is>
      </c>
      <c r="K7444" t="inlineStr">
        <is>
          <t>METAL</t>
        </is>
      </c>
      <c r="L7444">
        <f>_xlfn.XLOOKUP(Tableau1[[#This Row],[TYPE DE PIECE]],Tableau4[MATIERE],Tableau4[SHORT TYPE],"",0,1)</f>
        <v/>
      </c>
      <c r="N7444">
        <f>IF(ISERR(FIND("DECOUPE",Tableau1[[#This Row],[DESIGNATION]])),"","NEED REF")</f>
        <v/>
      </c>
    </row>
    <row r="7445">
      <c r="B7445" t="n">
        <v>34406560</v>
      </c>
      <c r="C7445" s="2" t="n">
        <v>43143</v>
      </c>
      <c r="D7445" t="inlineStr">
        <is>
          <t>SPEC</t>
        </is>
      </c>
      <c r="E7445" t="inlineStr">
        <is>
          <t>PLASTRON 2xNS 800/1200</t>
        </is>
      </c>
      <c r="F7445" t="inlineStr">
        <is>
          <t>MBC GVX</t>
        </is>
      </c>
      <c r="J7445" t="inlineStr">
        <is>
          <t>MATRION</t>
        </is>
      </c>
      <c r="K7445" t="inlineStr">
        <is>
          <t>METAL</t>
        </is>
      </c>
      <c r="L7445">
        <f>_xlfn.XLOOKUP(Tableau1[[#This Row],[TYPE DE PIECE]],Tableau4[MATIERE],Tableau4[SHORT TYPE],"",0,1)</f>
        <v/>
      </c>
      <c r="N7445">
        <f>IF(ISERR(FIND("DECOUPE",Tableau1[[#This Row],[DESIGNATION]])),"","NEED REF")</f>
        <v/>
      </c>
    </row>
    <row r="7446">
      <c r="B7446" t="n">
        <v>34406559</v>
      </c>
      <c r="C7446" s="2" t="n">
        <v>43143</v>
      </c>
      <c r="D7446" t="inlineStr">
        <is>
          <t>SPEC</t>
        </is>
      </c>
      <c r="E7446" t="inlineStr">
        <is>
          <t>S/E SUPPORT BRIDAGE CABLES BAS</t>
        </is>
      </c>
      <c r="F7446" t="inlineStr">
        <is>
          <t>MBC GVX</t>
        </is>
      </c>
      <c r="J7446" t="inlineStr">
        <is>
          <t>MATRION</t>
        </is>
      </c>
      <c r="L7446">
        <f>_xlfn.XLOOKUP(Tableau1[[#This Row],[TYPE DE PIECE]],Tableau4[MATIERE],Tableau4[SHORT TYPE],"",0,1)</f>
        <v/>
      </c>
      <c r="N7446">
        <f>IF(ISERR(FIND("DECOUPE",Tableau1[[#This Row],[DESIGNATION]])),"","NEED REF")</f>
        <v/>
      </c>
    </row>
    <row r="7447">
      <c r="B7447" t="n">
        <v>34406558</v>
      </c>
      <c r="C7447" s="2" t="n">
        <v>43143</v>
      </c>
      <c r="D7447" t="inlineStr">
        <is>
          <t>SPEC</t>
        </is>
      </c>
      <c r="E7447" t="inlineStr">
        <is>
          <t>SUPPORT BRIDAGE CABLES BAS</t>
        </is>
      </c>
      <c r="F7447" t="inlineStr">
        <is>
          <t>MBC GVX</t>
        </is>
      </c>
      <c r="J7447" t="inlineStr">
        <is>
          <t>MATRION</t>
        </is>
      </c>
      <c r="K7447" t="inlineStr">
        <is>
          <t>METAL</t>
        </is>
      </c>
      <c r="L7447">
        <f>_xlfn.XLOOKUP(Tableau1[[#This Row],[TYPE DE PIECE]],Tableau4[MATIERE],Tableau4[SHORT TYPE],"",0,1)</f>
        <v/>
      </c>
      <c r="N7447">
        <f>IF(ISERR(FIND("DECOUPE",Tableau1[[#This Row],[DESIGNATION]])),"","NEED REF")</f>
        <v/>
      </c>
    </row>
    <row r="7448">
      <c r="B7448" t="n">
        <v>34406557</v>
      </c>
      <c r="C7448" s="2" t="n">
        <v>43143</v>
      </c>
      <c r="D7448" t="inlineStr">
        <is>
          <t>SPEC</t>
        </is>
      </c>
      <c r="E7448" t="inlineStr">
        <is>
          <t>FLEX ERICO NS800 2</t>
        </is>
      </c>
      <c r="F7448" t="inlineStr">
        <is>
          <t>MBC GVX</t>
        </is>
      </c>
      <c r="J7448" t="inlineStr">
        <is>
          <t>MATRION</t>
        </is>
      </c>
      <c r="K7448" t="inlineStr">
        <is>
          <t>CUIVRE</t>
        </is>
      </c>
      <c r="L7448">
        <f>_xlfn.XLOOKUP(Tableau1[[#This Row],[TYPE DE PIECE]],Tableau4[MATIERE],Tableau4[SHORT TYPE],"",0,1)</f>
        <v/>
      </c>
      <c r="N7448">
        <f>IF(ISERR(FIND("DECOUPE",Tableau1[[#This Row],[DESIGNATION]])),"","NEED REF")</f>
        <v/>
      </c>
    </row>
    <row r="7449">
      <c r="B7449" t="n">
        <v>34406556</v>
      </c>
      <c r="C7449" s="2" t="n">
        <v>43143</v>
      </c>
      <c r="D7449" t="inlineStr">
        <is>
          <t>SPEC</t>
        </is>
      </c>
      <c r="E7449" t="inlineStr">
        <is>
          <t>FLEX ERICO NS800 1</t>
        </is>
      </c>
      <c r="F7449" t="inlineStr">
        <is>
          <t>MBC GVX</t>
        </is>
      </c>
      <c r="J7449" t="inlineStr">
        <is>
          <t>MATRION</t>
        </is>
      </c>
      <c r="K7449" t="inlineStr">
        <is>
          <t>CUIVRE</t>
        </is>
      </c>
      <c r="L7449">
        <f>_xlfn.XLOOKUP(Tableau1[[#This Row],[TYPE DE PIECE]],Tableau4[MATIERE],Tableau4[SHORT TYPE],"",0,1)</f>
        <v/>
      </c>
      <c r="N7449">
        <f>IF(ISERR(FIND("DECOUPE",Tableau1[[#This Row],[DESIGNATION]])),"","NEED REF")</f>
        <v/>
      </c>
    </row>
    <row r="7450">
      <c r="B7450" t="n">
        <v>34406555</v>
      </c>
      <c r="C7450" s="2" t="n">
        <v>43143</v>
      </c>
      <c r="D7450" t="inlineStr">
        <is>
          <t>SPEC</t>
        </is>
      </c>
      <c r="E7450" t="inlineStr">
        <is>
          <t>CX NS800 RATTRAPAGE ARRIERE</t>
        </is>
      </c>
      <c r="F7450" t="inlineStr">
        <is>
          <t>MBC GVX</t>
        </is>
      </c>
      <c r="J7450" t="inlineStr">
        <is>
          <t>MATRION</t>
        </is>
      </c>
      <c r="K7450" t="inlineStr">
        <is>
          <t>CUIVRE</t>
        </is>
      </c>
      <c r="L7450">
        <f>_xlfn.XLOOKUP(Tableau1[[#This Row],[TYPE DE PIECE]],Tableau4[MATIERE],Tableau4[SHORT TYPE],"",0,1)</f>
        <v/>
      </c>
      <c r="N7450">
        <f>IF(ISERR(FIND("DECOUPE",Tableau1[[#This Row],[DESIGNATION]])),"","NEED REF")</f>
        <v/>
      </c>
    </row>
    <row r="7451">
      <c r="B7451" t="n">
        <v>34406554</v>
      </c>
      <c r="C7451" s="2" t="n">
        <v>43143</v>
      </c>
      <c r="D7451" t="inlineStr">
        <is>
          <t>SPEC</t>
        </is>
      </c>
      <c r="E7451" t="inlineStr">
        <is>
          <t>PLATINE SUPPORT 2xNS800</t>
        </is>
      </c>
      <c r="F7451" t="inlineStr">
        <is>
          <t>MBC GVX</t>
        </is>
      </c>
      <c r="J7451" t="inlineStr">
        <is>
          <t>MATRION</t>
        </is>
      </c>
      <c r="K7451" t="inlineStr">
        <is>
          <t>METAL</t>
        </is>
      </c>
      <c r="L7451">
        <f>_xlfn.XLOOKUP(Tableau1[[#This Row],[TYPE DE PIECE]],Tableau4[MATIERE],Tableau4[SHORT TYPE],"",0,1)</f>
        <v/>
      </c>
      <c r="N7451">
        <f>IF(ISERR(FIND("DECOUPE",Tableau1[[#This Row],[DESIGNATION]])),"","NEED REF")</f>
        <v/>
      </c>
    </row>
    <row r="7452">
      <c r="B7452" t="n">
        <v>34406553</v>
      </c>
      <c r="C7452" s="2" t="n">
        <v>43143</v>
      </c>
      <c r="D7452" t="inlineStr">
        <is>
          <t>SPEC</t>
        </is>
      </c>
      <c r="E7452" t="inlineStr">
        <is>
          <t>COMPACT NS800 PRISE AMONT AR + PRISE AVAL AV</t>
        </is>
      </c>
      <c r="F7452" t="inlineStr">
        <is>
          <t>MBC GVX</t>
        </is>
      </c>
      <c r="J7452" t="inlineStr">
        <is>
          <t>MATRION</t>
        </is>
      </c>
      <c r="L7452">
        <f>_xlfn.XLOOKUP(Tableau1[[#This Row],[TYPE DE PIECE]],Tableau4[MATIERE],Tableau4[SHORT TYPE],"",0,1)</f>
        <v/>
      </c>
      <c r="N7452">
        <f>IF(ISERR(FIND("DECOUPE",Tableau1[[#This Row],[DESIGNATION]])),"","NEED REF")</f>
        <v/>
      </c>
    </row>
    <row r="7453">
      <c r="B7453" t="n">
        <v>34406552</v>
      </c>
      <c r="C7453" s="2" t="n">
        <v>43143</v>
      </c>
      <c r="D7453" t="inlineStr">
        <is>
          <t>SPEC</t>
        </is>
      </c>
      <c r="E7453" t="inlineStr">
        <is>
          <t>Planche palette</t>
        </is>
      </c>
      <c r="J7453" t="inlineStr">
        <is>
          <t>MATRION</t>
        </is>
      </c>
      <c r="L7453">
        <f>_xlfn.XLOOKUP(Tableau1[[#This Row],[TYPE DE PIECE]],Tableau4[MATIERE],Tableau4[SHORT TYPE],"",0,1)</f>
        <v/>
      </c>
      <c r="N7453">
        <f>IF(ISERR(FIND("DECOUPE",Tableau1[[#This Row],[DESIGNATION]])),"","NEED REF")</f>
        <v/>
      </c>
    </row>
    <row r="7454">
      <c r="B7454" t="n">
        <v>34406551</v>
      </c>
      <c r="C7454" s="2" t="n">
        <v>43143</v>
      </c>
      <c r="D7454" t="inlineStr">
        <is>
          <t>SPEC</t>
        </is>
      </c>
      <c r="E7454" t="inlineStr">
        <is>
          <t>Support DJ</t>
        </is>
      </c>
      <c r="J7454" t="inlineStr">
        <is>
          <t>MATRION</t>
        </is>
      </c>
      <c r="L7454">
        <f>_xlfn.XLOOKUP(Tableau1[[#This Row],[TYPE DE PIECE]],Tableau4[MATIERE],Tableau4[SHORT TYPE],"",0,1)</f>
        <v/>
      </c>
      <c r="N7454">
        <f>IF(ISERR(FIND("DECOUPE",Tableau1[[#This Row],[DESIGNATION]])),"","NEED REF")</f>
        <v/>
      </c>
    </row>
    <row r="7455">
      <c r="B7455" t="n">
        <v>34406550</v>
      </c>
      <c r="C7455" s="2" t="n">
        <v>43132</v>
      </c>
      <c r="D7455" t="inlineStr">
        <is>
          <t>SPEC</t>
        </is>
      </c>
      <c r="E7455" t="inlineStr">
        <is>
          <t>Masterpact NW20 HF 4P</t>
        </is>
      </c>
      <c r="F7455" t="inlineStr">
        <is>
          <t>MBC GVX</t>
        </is>
      </c>
      <c r="J7455" t="inlineStr">
        <is>
          <t>MATRION</t>
        </is>
      </c>
      <c r="L7455">
        <f>_xlfn.XLOOKUP(Tableau1[[#This Row],[TYPE DE PIECE]],Tableau4[MATIERE],Tableau4[SHORT TYPE],"",0,1)</f>
        <v/>
      </c>
      <c r="N7455">
        <f>IF(ISERR(FIND("DECOUPE",Tableau1[[#This Row],[DESIGNATION]])),"","NEED REF")</f>
        <v/>
      </c>
    </row>
    <row r="7456">
      <c r="B7456" t="n">
        <v>34406549</v>
      </c>
      <c r="C7456" s="2" t="n">
        <v>43131</v>
      </c>
      <c r="D7456" t="inlineStr">
        <is>
          <t>NOM</t>
        </is>
      </c>
      <c r="E7456" t="inlineStr">
        <is>
          <t>NOM S/E BORNIER CLIENT</t>
        </is>
      </c>
      <c r="F7456" t="inlineStr">
        <is>
          <t>MBC GVX</t>
        </is>
      </c>
      <c r="J7456" t="inlineStr">
        <is>
          <t>MATRION</t>
        </is>
      </c>
      <c r="L7456">
        <f>_xlfn.XLOOKUP(Tableau1[[#This Row],[TYPE DE PIECE]],Tableau4[MATIERE],Tableau4[SHORT TYPE],"",0,1)</f>
        <v/>
      </c>
      <c r="N7456">
        <f>IF(ISERR(FIND("DECOUPE",Tableau1[[#This Row],[DESIGNATION]])),"","NEED REF")</f>
        <v/>
      </c>
    </row>
    <row r="7457">
      <c r="B7457" t="n">
        <v>34406548</v>
      </c>
      <c r="C7457" s="2" t="n">
        <v>43129</v>
      </c>
      <c r="D7457" t="inlineStr">
        <is>
          <t>SPEC</t>
        </is>
      </c>
      <c r="E7457" t="inlineStr">
        <is>
          <t>RAIL SUPPORT BORNIER</t>
        </is>
      </c>
      <c r="F7457" t="inlineStr">
        <is>
          <t>MBC GVX</t>
        </is>
      </c>
      <c r="J7457" t="inlineStr">
        <is>
          <t>MATRION</t>
        </is>
      </c>
      <c r="K7457" t="inlineStr">
        <is>
          <t>METAL</t>
        </is>
      </c>
      <c r="L7457">
        <f>_xlfn.XLOOKUP(Tableau1[[#This Row],[TYPE DE PIECE]],Tableau4[MATIERE],Tableau4[SHORT TYPE],"",0,1)</f>
        <v/>
      </c>
      <c r="N7457">
        <f>IF(ISERR(FIND("DECOUPE",Tableau1[[#This Row],[DESIGNATION]])),"","NEED REF")</f>
        <v/>
      </c>
    </row>
    <row r="7458">
      <c r="B7458" t="n">
        <v>34406547</v>
      </c>
      <c r="C7458" s="2" t="n">
        <v>43129</v>
      </c>
      <c r="D7458" t="inlineStr">
        <is>
          <t>SPEC</t>
        </is>
      </c>
      <c r="E7458" t="inlineStr">
        <is>
          <t>MASTERPACT NW20H DC VERSION D 3P</t>
        </is>
      </c>
      <c r="F7458" t="inlineStr">
        <is>
          <t>BBC GVX 2000A</t>
        </is>
      </c>
      <c r="J7458" t="inlineStr">
        <is>
          <t>MONGELLI</t>
        </is>
      </c>
      <c r="K7458" t="inlineStr">
        <is>
          <t>=S=</t>
        </is>
      </c>
      <c r="L7458">
        <f>_xlfn.XLOOKUP(Tableau1[[#This Row],[TYPE DE PIECE]],Tableau4[MATIERE],Tableau4[SHORT TYPE],"",0,1)</f>
        <v/>
      </c>
      <c r="N7458">
        <f>IF(ISERR(FIND("DECOUPE",Tableau1[[#This Row],[DESIGNATION]])),"","NEED REF")</f>
        <v/>
      </c>
    </row>
    <row r="7459">
      <c r="B7459" t="n">
        <v>34406546</v>
      </c>
      <c r="C7459" s="2" t="n">
        <v>43122</v>
      </c>
      <c r="D7459" t="inlineStr">
        <is>
          <t>SPEC</t>
        </is>
      </c>
      <c r="E7459" t="inlineStr">
        <is>
          <t>MASTERPACT NW08 HF 4P</t>
        </is>
      </c>
      <c r="F7459" t="inlineStr">
        <is>
          <t>MBC GVX</t>
        </is>
      </c>
      <c r="J7459" t="inlineStr">
        <is>
          <t>MATRION</t>
        </is>
      </c>
      <c r="K7459" t="inlineStr">
        <is>
          <t>=S=</t>
        </is>
      </c>
      <c r="L7459">
        <f>_xlfn.XLOOKUP(Tableau1[[#This Row],[TYPE DE PIECE]],Tableau4[MATIERE],Tableau4[SHORT TYPE],"",0,1)</f>
        <v/>
      </c>
      <c r="N7459">
        <f>IF(ISERR(FIND("DECOUPE",Tableau1[[#This Row],[DESIGNATION]])),"","NEED REF")</f>
        <v/>
      </c>
    </row>
    <row r="7460">
      <c r="B7460" t="n">
        <v>34406545</v>
      </c>
      <c r="C7460" s="2" t="n">
        <v>43122</v>
      </c>
      <c r="D7460" t="inlineStr">
        <is>
          <t>SPEC</t>
        </is>
      </c>
      <c r="E7460" t="inlineStr">
        <is>
          <t>TIGE FILTE 120MM</t>
        </is>
      </c>
      <c r="F7460" t="inlineStr">
        <is>
          <t>MBC GVX</t>
        </is>
      </c>
      <c r="J7460" t="inlineStr">
        <is>
          <t>MATRION</t>
        </is>
      </c>
      <c r="K7460" t="inlineStr">
        <is>
          <t>METAL</t>
        </is>
      </c>
      <c r="L7460">
        <f>_xlfn.XLOOKUP(Tableau1[[#This Row],[TYPE DE PIECE]],Tableau4[MATIERE],Tableau4[SHORT TYPE],"",0,1)</f>
        <v/>
      </c>
      <c r="N7460">
        <f>IF(ISERR(FIND("DECOUPE",Tableau1[[#This Row],[DESIGNATION]])),"","NEED REF")</f>
        <v/>
      </c>
    </row>
    <row r="7461">
      <c r="B7461" t="n">
        <v>34406544</v>
      </c>
      <c r="C7461" s="2" t="n">
        <v>43122</v>
      </c>
      <c r="D7461" t="inlineStr">
        <is>
          <t>SPEC</t>
        </is>
      </c>
      <c r="E7461" t="inlineStr">
        <is>
          <t>TIGE FILTE 140MM</t>
        </is>
      </c>
      <c r="F7461" t="inlineStr">
        <is>
          <t>MBC GVX</t>
        </is>
      </c>
      <c r="J7461" t="inlineStr">
        <is>
          <t>MATRION</t>
        </is>
      </c>
      <c r="L7461">
        <f>_xlfn.XLOOKUP(Tableau1[[#This Row],[TYPE DE PIECE]],Tableau4[MATIERE],Tableau4[SHORT TYPE],"",0,1)</f>
        <v/>
      </c>
      <c r="N7461">
        <f>IF(ISERR(FIND("DECOUPE",Tableau1[[#This Row],[DESIGNATION]])),"","NEED REF")</f>
        <v/>
      </c>
    </row>
    <row r="7462">
      <c r="B7462" t="n">
        <v>34406543</v>
      </c>
      <c r="C7462" s="2" t="n">
        <v>43122</v>
      </c>
      <c r="D7462" t="inlineStr">
        <is>
          <t>SPEC</t>
        </is>
      </c>
      <c r="E7462" t="inlineStr">
        <is>
          <t>TIGE FILTE 160MM</t>
        </is>
      </c>
      <c r="F7462" t="inlineStr">
        <is>
          <t>MBC GVX</t>
        </is>
      </c>
      <c r="J7462" t="inlineStr">
        <is>
          <t>MATRION</t>
        </is>
      </c>
      <c r="K7462" t="inlineStr">
        <is>
          <t>METAL</t>
        </is>
      </c>
      <c r="L7462">
        <f>_xlfn.XLOOKUP(Tableau1[[#This Row],[TYPE DE PIECE]],Tableau4[MATIERE],Tableau4[SHORT TYPE],"",0,1)</f>
        <v/>
      </c>
      <c r="N7462">
        <f>IF(ISERR(FIND("DECOUPE",Tableau1[[#This Row],[DESIGNATION]])),"","NEED REF")</f>
        <v/>
      </c>
    </row>
    <row r="7463">
      <c r="B7463" t="n">
        <v>34406542</v>
      </c>
      <c r="C7463" s="2" t="n">
        <v>43117</v>
      </c>
      <c r="D7463" t="inlineStr">
        <is>
          <t>SPEC</t>
        </is>
      </c>
      <c r="E7463" t="inlineStr">
        <is>
          <t>ETIQUETTE CBAT</t>
        </is>
      </c>
      <c r="F7463" t="inlineStr">
        <is>
          <t>STX</t>
        </is>
      </c>
      <c r="J7463" t="inlineStr">
        <is>
          <t>MATRION</t>
        </is>
      </c>
      <c r="K7463" t="inlineStr">
        <is>
          <t>ETIQUETTE</t>
        </is>
      </c>
      <c r="L7463">
        <f>_xlfn.XLOOKUP(Tableau1[[#This Row],[TYPE DE PIECE]],Tableau4[MATIERE],Tableau4[SHORT TYPE],"",0,1)</f>
        <v/>
      </c>
      <c r="N7463">
        <f>IF(ISERR(FIND("DECOUPE",Tableau1[[#This Row],[DESIGNATION]])),"","NEED REF")</f>
        <v/>
      </c>
    </row>
    <row r="7464">
      <c r="B7464" t="n">
        <v>34406541</v>
      </c>
      <c r="C7464" s="2" t="n">
        <v>43117</v>
      </c>
      <c r="D7464" t="inlineStr">
        <is>
          <t>SPEC</t>
        </is>
      </c>
      <c r="E7464" t="inlineStr">
        <is>
          <t>ETIQUETTE CTUPS</t>
        </is>
      </c>
      <c r="F7464" t="inlineStr">
        <is>
          <t>STX</t>
        </is>
      </c>
      <c r="J7464" t="inlineStr">
        <is>
          <t>MATRION</t>
        </is>
      </c>
      <c r="K7464" t="inlineStr">
        <is>
          <t>ETIQUETTE</t>
        </is>
      </c>
      <c r="L7464">
        <f>_xlfn.XLOOKUP(Tableau1[[#This Row],[TYPE DE PIECE]],Tableau4[MATIERE],Tableau4[SHORT TYPE],"",0,1)</f>
        <v/>
      </c>
      <c r="N7464">
        <f>IF(ISERR(FIND("DECOUPE",Tableau1[[#This Row],[DESIGNATION]])),"","NEED REF")</f>
        <v/>
      </c>
    </row>
    <row r="7465">
      <c r="B7465" t="n">
        <v>34406540</v>
      </c>
      <c r="C7465" s="2" t="n">
        <v>43117</v>
      </c>
      <c r="D7465" t="inlineStr">
        <is>
          <t>SPEC</t>
        </is>
      </c>
      <c r="E7465" t="inlineStr">
        <is>
          <t>CX MAINS&amp;LOAD</t>
        </is>
      </c>
      <c r="F7465" t="inlineStr">
        <is>
          <t>SCHNEIDER</t>
        </is>
      </c>
      <c r="J7465" t="inlineStr">
        <is>
          <t>ROBERT</t>
        </is>
      </c>
      <c r="L7465">
        <f>_xlfn.XLOOKUP(Tableau1[[#This Row],[TYPE DE PIECE]],Tableau4[MATIERE],Tableau4[SHORT TYPE],"",0,1)</f>
        <v/>
      </c>
      <c r="N7465">
        <f>IF(ISERR(FIND("DECOUPE",Tableau1[[#This Row],[DESIGNATION]])),"","NEED REF")</f>
        <v/>
      </c>
    </row>
    <row r="7466">
      <c r="B7466" t="n">
        <v>34406539</v>
      </c>
      <c r="C7466" s="2" t="n">
        <v>43117</v>
      </c>
      <c r="D7466" t="inlineStr">
        <is>
          <t>SPEC</t>
        </is>
      </c>
      <c r="E7466" t="inlineStr">
        <is>
          <t>SPACER</t>
        </is>
      </c>
      <c r="F7466" t="inlineStr">
        <is>
          <t>SCHNEIDER</t>
        </is>
      </c>
      <c r="J7466" t="inlineStr">
        <is>
          <t>ROBERT</t>
        </is>
      </c>
      <c r="L7466">
        <f>_xlfn.XLOOKUP(Tableau1[[#This Row],[TYPE DE PIECE]],Tableau4[MATIERE],Tableau4[SHORT TYPE],"",0,1)</f>
        <v/>
      </c>
      <c r="N7466">
        <f>IF(ISERR(FIND("DECOUPE",Tableau1[[#This Row],[DESIGNATION]])),"","NEED REF")</f>
        <v/>
      </c>
    </row>
    <row r="7467">
      <c r="B7467" t="n">
        <v>34406538</v>
      </c>
      <c r="C7467" s="2" t="n">
        <v>43117</v>
      </c>
      <c r="D7467" t="inlineStr">
        <is>
          <t>SPEC</t>
        </is>
      </c>
      <c r="E7467" t="inlineStr">
        <is>
          <t>TNC CONNECTION</t>
        </is>
      </c>
      <c r="F7467" t="inlineStr">
        <is>
          <t>SCHNEIDER</t>
        </is>
      </c>
      <c r="J7467" t="inlineStr">
        <is>
          <t>ROBERT</t>
        </is>
      </c>
      <c r="L7467">
        <f>_xlfn.XLOOKUP(Tableau1[[#This Row],[TYPE DE PIECE]],Tableau4[MATIERE],Tableau4[SHORT TYPE],"",0,1)</f>
        <v/>
      </c>
      <c r="N7467">
        <f>IF(ISERR(FIND("DECOUPE",Tableau1[[#This Row],[DESIGNATION]])),"","NEED REF")</f>
        <v/>
      </c>
    </row>
    <row r="7468">
      <c r="B7468" t="n">
        <v>34406537</v>
      </c>
      <c r="C7468" s="2" t="n">
        <v>43117</v>
      </c>
      <c r="D7468" t="inlineStr">
        <is>
          <t>SPEC</t>
        </is>
      </c>
      <c r="E7468" t="inlineStr">
        <is>
          <t>SPACER 2 FORM 4A</t>
        </is>
      </c>
      <c r="F7468" t="inlineStr">
        <is>
          <t>SCHNEIDER</t>
        </is>
      </c>
      <c r="J7468" t="inlineStr">
        <is>
          <t>ROBERT</t>
        </is>
      </c>
      <c r="L7468">
        <f>_xlfn.XLOOKUP(Tableau1[[#This Row],[TYPE DE PIECE]],Tableau4[MATIERE],Tableau4[SHORT TYPE],"",0,1)</f>
        <v/>
      </c>
      <c r="N7468">
        <f>IF(ISERR(FIND("DECOUPE",Tableau1[[#This Row],[DESIGNATION]])),"","NEED REF")</f>
        <v/>
      </c>
    </row>
    <row r="7469">
      <c r="B7469" t="n">
        <v>34406536</v>
      </c>
      <c r="C7469" s="2" t="n">
        <v>43117</v>
      </c>
      <c r="D7469" t="inlineStr">
        <is>
          <t>SPEC</t>
        </is>
      </c>
      <c r="E7469" t="inlineStr">
        <is>
          <t>SPACER 1 FORM 4A</t>
        </is>
      </c>
      <c r="F7469" t="inlineStr">
        <is>
          <t>SCHNEIDER</t>
        </is>
      </c>
      <c r="J7469" t="inlineStr">
        <is>
          <t>ROBERT</t>
        </is>
      </c>
      <c r="L7469">
        <f>_xlfn.XLOOKUP(Tableau1[[#This Row],[TYPE DE PIECE]],Tableau4[MATIERE],Tableau4[SHORT TYPE],"",0,1)</f>
        <v/>
      </c>
      <c r="N7469">
        <f>IF(ISERR(FIND("DECOUPE",Tableau1[[#This Row],[DESIGNATION]])),"","NEED REF")</f>
        <v/>
      </c>
    </row>
    <row r="7470">
      <c r="B7470" t="n">
        <v>34406535</v>
      </c>
      <c r="C7470" s="2" t="n">
        <v>43117</v>
      </c>
      <c r="D7470" t="inlineStr">
        <is>
          <t>SPEC</t>
        </is>
      </c>
      <c r="E7470" t="inlineStr">
        <is>
          <t>MONTANT AVANT</t>
        </is>
      </c>
      <c r="F7470" t="inlineStr">
        <is>
          <t>SCHNEIDER</t>
        </is>
      </c>
      <c r="J7470" t="inlineStr">
        <is>
          <t>ROBERT</t>
        </is>
      </c>
      <c r="L7470">
        <f>_xlfn.XLOOKUP(Tableau1[[#This Row],[TYPE DE PIECE]],Tableau4[MATIERE],Tableau4[SHORT TYPE],"",0,1)</f>
        <v/>
      </c>
      <c r="N7470">
        <f>IF(ISERR(FIND("DECOUPE",Tableau1[[#This Row],[DESIGNATION]])),"","NEED REF")</f>
        <v/>
      </c>
    </row>
    <row r="7471">
      <c r="B7471" t="n">
        <v>34406534</v>
      </c>
      <c r="C7471" s="2" t="n">
        <v>43117</v>
      </c>
      <c r="D7471" t="inlineStr">
        <is>
          <t>SPEC</t>
        </is>
      </c>
      <c r="E7471" t="inlineStr">
        <is>
          <t>CX MAINS Q2</t>
        </is>
      </c>
      <c r="F7471" t="inlineStr">
        <is>
          <t>SCHNEIDER</t>
        </is>
      </c>
      <c r="J7471" t="inlineStr">
        <is>
          <t>ROBERT</t>
        </is>
      </c>
      <c r="L7471">
        <f>_xlfn.XLOOKUP(Tableau1[[#This Row],[TYPE DE PIECE]],Tableau4[MATIERE],Tableau4[SHORT TYPE],"",0,1)</f>
        <v/>
      </c>
      <c r="N7471">
        <f>IF(ISERR(FIND("DECOUPE",Tableau1[[#This Row],[DESIGNATION]])),"","NEED REF")</f>
        <v/>
      </c>
    </row>
    <row r="7472">
      <c r="B7472" t="n">
        <v>34406533</v>
      </c>
      <c r="C7472" s="2" t="n">
        <v>43110</v>
      </c>
      <c r="D7472" t="inlineStr">
        <is>
          <t>SPEC</t>
        </is>
      </c>
      <c r="E7472" t="inlineStr">
        <is>
          <t>PASSE CABLES BAS</t>
        </is>
      </c>
      <c r="F7472" t="inlineStr">
        <is>
          <t>STX</t>
        </is>
      </c>
      <c r="J7472" t="inlineStr">
        <is>
          <t>MATRION</t>
        </is>
      </c>
      <c r="K7472" t="inlineStr">
        <is>
          <t>METAL</t>
        </is>
      </c>
      <c r="L7472">
        <f>_xlfn.XLOOKUP(Tableau1[[#This Row],[TYPE DE PIECE]],Tableau4[MATIERE],Tableau4[SHORT TYPE],"",0,1)</f>
        <v/>
      </c>
      <c r="N7472">
        <f>IF(ISERR(FIND("DECOUPE",Tableau1[[#This Row],[DESIGNATION]])),"","NEED REF")</f>
        <v/>
      </c>
    </row>
    <row r="7473">
      <c r="B7473" t="n">
        <v>34406532</v>
      </c>
      <c r="C7473" s="2" t="n">
        <v>43110</v>
      </c>
      <c r="D7473" t="inlineStr">
        <is>
          <t>SPEC</t>
        </is>
      </c>
      <c r="E7473" t="inlineStr">
        <is>
          <t>PASSE CABLES HAUT</t>
        </is>
      </c>
      <c r="F7473" t="inlineStr">
        <is>
          <t>STX</t>
        </is>
      </c>
      <c r="J7473" t="inlineStr">
        <is>
          <t>MATRION</t>
        </is>
      </c>
      <c r="K7473" t="inlineStr">
        <is>
          <t>METAL</t>
        </is>
      </c>
      <c r="L7473">
        <f>_xlfn.XLOOKUP(Tableau1[[#This Row],[TYPE DE PIECE]],Tableau4[MATIERE],Tableau4[SHORT TYPE],"",0,1)</f>
        <v/>
      </c>
      <c r="N7473">
        <f>IF(ISERR(FIND("DECOUPE",Tableau1[[#This Row],[DESIGNATION]])),"","NEED REF")</f>
        <v/>
      </c>
    </row>
    <row r="7474">
      <c r="B7474" t="n">
        <v>34406531</v>
      </c>
      <c r="C7474" s="2" t="n">
        <v>43110</v>
      </c>
      <c r="D7474" t="inlineStr">
        <is>
          <t>SPEC</t>
        </is>
      </c>
      <c r="E7474" t="inlineStr">
        <is>
          <t>PLASTRON BAS</t>
        </is>
      </c>
      <c r="F7474" t="inlineStr">
        <is>
          <t>STX</t>
        </is>
      </c>
      <c r="J7474" t="inlineStr">
        <is>
          <t>MATRION</t>
        </is>
      </c>
      <c r="K7474" t="inlineStr">
        <is>
          <t>METAL</t>
        </is>
      </c>
      <c r="L7474">
        <f>_xlfn.XLOOKUP(Tableau1[[#This Row],[TYPE DE PIECE]],Tableau4[MATIERE],Tableau4[SHORT TYPE],"",0,1)</f>
        <v/>
      </c>
      <c r="N7474">
        <f>IF(ISERR(FIND("DECOUPE",Tableau1[[#This Row],[DESIGNATION]])),"","NEED REF")</f>
        <v/>
      </c>
    </row>
    <row r="7475">
      <c r="B7475" t="n">
        <v>34406530</v>
      </c>
      <c r="C7475" s="2" t="n">
        <v>43110</v>
      </c>
      <c r="D7475" t="inlineStr">
        <is>
          <t>SPEC</t>
        </is>
      </c>
      <c r="E7475" t="inlineStr">
        <is>
          <t>PLASTRON HAUT</t>
        </is>
      </c>
      <c r="F7475" t="inlineStr">
        <is>
          <t>STX</t>
        </is>
      </c>
      <c r="J7475" t="inlineStr">
        <is>
          <t>MATRION</t>
        </is>
      </c>
      <c r="K7475" t="inlineStr">
        <is>
          <t>METAL</t>
        </is>
      </c>
      <c r="L7475">
        <f>_xlfn.XLOOKUP(Tableau1[[#This Row],[TYPE DE PIECE]],Tableau4[MATIERE],Tableau4[SHORT TYPE],"",0,1)</f>
        <v/>
      </c>
      <c r="N7475">
        <f>IF(ISERR(FIND("DECOUPE",Tableau1[[#This Row],[DESIGNATION]])),"","NEED REF")</f>
        <v/>
      </c>
    </row>
    <row r="7476">
      <c r="B7476" t="n">
        <v>34406529</v>
      </c>
      <c r="C7476" s="2" t="n">
        <v>43116</v>
      </c>
      <c r="D7476" t="inlineStr">
        <is>
          <t>SPEC</t>
        </is>
      </c>
      <c r="E7476" t="inlineStr">
        <is>
          <t>SKID CELLULE SAREL 1000X800</t>
        </is>
      </c>
      <c r="F7476" t="inlineStr">
        <is>
          <t>STX</t>
        </is>
      </c>
      <c r="J7476" t="inlineStr">
        <is>
          <t>ROBERT</t>
        </is>
      </c>
      <c r="L7476">
        <f>_xlfn.XLOOKUP(Tableau1[[#This Row],[TYPE DE PIECE]],Tableau4[MATIERE],Tableau4[SHORT TYPE],"",0,1)</f>
        <v/>
      </c>
      <c r="N7476">
        <f>IF(ISERR(FIND("DECOUPE",Tableau1[[#This Row],[DESIGNATION]])),"","NEED REF")</f>
        <v/>
      </c>
    </row>
    <row r="7477">
      <c r="B7477" t="n">
        <v>34406528</v>
      </c>
      <c r="C7477" s="2" t="n">
        <v>43110</v>
      </c>
      <c r="D7477" t="inlineStr">
        <is>
          <t>SPEC</t>
        </is>
      </c>
      <c r="E7477" t="inlineStr">
        <is>
          <t>PE BARRE ETAME</t>
        </is>
      </c>
      <c r="F7477" t="inlineStr">
        <is>
          <t>STX</t>
        </is>
      </c>
      <c r="J7477" t="inlineStr">
        <is>
          <t>MATRION</t>
        </is>
      </c>
      <c r="K7477" t="inlineStr">
        <is>
          <t>CUIVRE</t>
        </is>
      </c>
      <c r="L7477">
        <f>_xlfn.XLOOKUP(Tableau1[[#This Row],[TYPE DE PIECE]],Tableau4[MATIERE],Tableau4[SHORT TYPE],"",0,1)</f>
        <v/>
      </c>
      <c r="N7477">
        <f>IF(ISERR(FIND("DECOUPE",Tableau1[[#This Row],[DESIGNATION]])),"","NEED REF")</f>
        <v/>
      </c>
    </row>
    <row r="7478">
      <c r="B7478" t="n">
        <v>34406527</v>
      </c>
      <c r="C7478" s="2" t="n">
        <v>43110</v>
      </c>
      <c r="D7478" t="inlineStr">
        <is>
          <t>SPEC</t>
        </is>
      </c>
      <c r="E7478" t="inlineStr">
        <is>
          <t>TRAVERSE PLASTRON</t>
        </is>
      </c>
      <c r="F7478" t="inlineStr">
        <is>
          <t>STX</t>
        </is>
      </c>
      <c r="J7478" t="inlineStr">
        <is>
          <t>MATRION</t>
        </is>
      </c>
      <c r="K7478" t="inlineStr">
        <is>
          <t>METAL</t>
        </is>
      </c>
      <c r="L7478">
        <f>_xlfn.XLOOKUP(Tableau1[[#This Row],[TYPE DE PIECE]],Tableau4[MATIERE],Tableau4[SHORT TYPE],"",0,1)</f>
        <v/>
      </c>
      <c r="N7478">
        <f>IF(ISERR(FIND("DECOUPE",Tableau1[[#This Row],[DESIGNATION]])),"","NEED REF")</f>
        <v/>
      </c>
    </row>
    <row r="7479">
      <c r="B7479" t="n">
        <v>34406526</v>
      </c>
      <c r="C7479" s="2" t="n">
        <v>43110</v>
      </c>
      <c r="D7479" t="inlineStr">
        <is>
          <t>SPEC</t>
        </is>
      </c>
      <c r="E7479" t="inlineStr">
        <is>
          <t>JOUE LATERAL PLASTRON</t>
        </is>
      </c>
      <c r="F7479" t="inlineStr">
        <is>
          <t>STX</t>
        </is>
      </c>
      <c r="J7479" t="inlineStr">
        <is>
          <t>MATRION</t>
        </is>
      </c>
      <c r="K7479" t="inlineStr">
        <is>
          <t>METAL</t>
        </is>
      </c>
      <c r="L7479">
        <f>_xlfn.XLOOKUP(Tableau1[[#This Row],[TYPE DE PIECE]],Tableau4[MATIERE],Tableau4[SHORT TYPE],"",0,1)</f>
        <v/>
      </c>
      <c r="N7479">
        <f>IF(ISERR(FIND("DECOUPE",Tableau1[[#This Row],[DESIGNATION]])),"","NEED REF")</f>
        <v/>
      </c>
    </row>
    <row r="7480">
      <c r="B7480" t="n">
        <v>34406525</v>
      </c>
      <c r="C7480" s="2" t="n">
        <v>43110</v>
      </c>
      <c r="D7480" t="inlineStr">
        <is>
          <t>SPEC</t>
        </is>
      </c>
      <c r="E7480" t="inlineStr">
        <is>
          <t>JOUE LATERAL PLASTRON</t>
        </is>
      </c>
      <c r="F7480" t="inlineStr">
        <is>
          <t>STX</t>
        </is>
      </c>
      <c r="J7480" t="inlineStr">
        <is>
          <t>MATRION</t>
        </is>
      </c>
      <c r="K7480" t="inlineStr">
        <is>
          <t>METAL</t>
        </is>
      </c>
      <c r="L7480">
        <f>_xlfn.XLOOKUP(Tableau1[[#This Row],[TYPE DE PIECE]],Tableau4[MATIERE],Tableau4[SHORT TYPE],"",0,1)</f>
        <v/>
      </c>
      <c r="N7480">
        <f>IF(ISERR(FIND("DECOUPE",Tableau1[[#This Row],[DESIGNATION]])),"","NEED REF")</f>
        <v/>
      </c>
    </row>
    <row r="7481">
      <c r="B7481" t="n">
        <v>34406524</v>
      </c>
      <c r="C7481" s="2" t="n">
        <v>43109</v>
      </c>
      <c r="D7481" t="inlineStr">
        <is>
          <t>SPEC</t>
        </is>
      </c>
      <c r="F7481" t="inlineStr">
        <is>
          <t>SCHNEIDER</t>
        </is>
      </c>
      <c r="J7481" t="inlineStr">
        <is>
          <t>ROBERT</t>
        </is>
      </c>
      <c r="L7481">
        <f>_xlfn.XLOOKUP(Tableau1[[#This Row],[TYPE DE PIECE]],Tableau4[MATIERE],Tableau4[SHORT TYPE],"",0,1)</f>
        <v/>
      </c>
      <c r="N7481">
        <f>IF(ISERR(FIND("DECOUPE",Tableau1[[#This Row],[DESIGNATION]])),"","NEED REF")</f>
        <v/>
      </c>
    </row>
    <row r="7482">
      <c r="B7482" t="n">
        <v>34406523</v>
      </c>
      <c r="C7482" s="2" t="n">
        <v>43109</v>
      </c>
      <c r="D7482" t="inlineStr">
        <is>
          <t>SPEC</t>
        </is>
      </c>
      <c r="F7482" t="inlineStr">
        <is>
          <t>SCHNEIDER</t>
        </is>
      </c>
      <c r="J7482" t="inlineStr">
        <is>
          <t>ROBERT</t>
        </is>
      </c>
      <c r="L7482">
        <f>_xlfn.XLOOKUP(Tableau1[[#This Row],[TYPE DE PIECE]],Tableau4[MATIERE],Tableau4[SHORT TYPE],"",0,1)</f>
        <v/>
      </c>
      <c r="N7482">
        <f>IF(ISERR(FIND("DECOUPE",Tableau1[[#This Row],[DESIGNATION]])),"","NEED REF")</f>
        <v/>
      </c>
    </row>
    <row r="7483">
      <c r="B7483" t="n">
        <v>34406522</v>
      </c>
      <c r="C7483" s="2" t="n">
        <v>43109</v>
      </c>
      <c r="D7483" t="inlineStr">
        <is>
          <t>SPEC</t>
        </is>
      </c>
      <c r="F7483" t="inlineStr">
        <is>
          <t>SCHNEIDER</t>
        </is>
      </c>
      <c r="J7483" t="inlineStr">
        <is>
          <t>ROBERT</t>
        </is>
      </c>
      <c r="L7483">
        <f>_xlfn.XLOOKUP(Tableau1[[#This Row],[TYPE DE PIECE]],Tableau4[MATIERE],Tableau4[SHORT TYPE],"",0,1)</f>
        <v/>
      </c>
      <c r="N7483">
        <f>IF(ISERR(FIND("DECOUPE",Tableau1[[#This Row],[DESIGNATION]])),"","NEED REF")</f>
        <v/>
      </c>
    </row>
    <row r="7484">
      <c r="B7484" t="n">
        <v>34406521</v>
      </c>
      <c r="C7484" s="2" t="n">
        <v>43109</v>
      </c>
      <c r="D7484" t="inlineStr">
        <is>
          <t>SPEC</t>
        </is>
      </c>
      <c r="E7484" t="inlineStr">
        <is>
          <t>TOP&amp;BOTTOM PROTECTION SHIELD</t>
        </is>
      </c>
      <c r="F7484" t="inlineStr">
        <is>
          <t>SCHNEIDER</t>
        </is>
      </c>
      <c r="J7484" t="inlineStr">
        <is>
          <t>ROBERT</t>
        </is>
      </c>
      <c r="L7484">
        <f>_xlfn.XLOOKUP(Tableau1[[#This Row],[TYPE DE PIECE]],Tableau4[MATIERE],Tableau4[SHORT TYPE],"",0,1)</f>
        <v/>
      </c>
      <c r="N7484">
        <f>IF(ISERR(FIND("DECOUPE",Tableau1[[#This Row],[DESIGNATION]])),"","NEED REF")</f>
        <v/>
      </c>
    </row>
    <row r="7485">
      <c r="B7485" t="n">
        <v>34406520</v>
      </c>
      <c r="C7485" s="2" t="n">
        <v>43109</v>
      </c>
      <c r="D7485" t="inlineStr">
        <is>
          <t>SPEC</t>
        </is>
      </c>
      <c r="E7485" t="inlineStr">
        <is>
          <t>BOARD SUPPORT</t>
        </is>
      </c>
      <c r="F7485" t="inlineStr">
        <is>
          <t>SCHNEIDER</t>
        </is>
      </c>
      <c r="J7485" t="inlineStr">
        <is>
          <t>ROBERT</t>
        </is>
      </c>
      <c r="L7485">
        <f>_xlfn.XLOOKUP(Tableau1[[#This Row],[TYPE DE PIECE]],Tableau4[MATIERE],Tableau4[SHORT TYPE],"",0,1)</f>
        <v/>
      </c>
      <c r="N7485">
        <f>IF(ISERR(FIND("DECOUPE",Tableau1[[#This Row],[DESIGNATION]])),"","NEED REF")</f>
        <v/>
      </c>
    </row>
    <row r="7486">
      <c r="B7486" t="n">
        <v>34406519</v>
      </c>
      <c r="C7486" s="2" t="n">
        <v>43109</v>
      </c>
      <c r="D7486" t="inlineStr">
        <is>
          <t>SPEC</t>
        </is>
      </c>
      <c r="E7486" t="inlineStr">
        <is>
          <t>EQUERRE</t>
        </is>
      </c>
      <c r="F7486" t="inlineStr">
        <is>
          <t>SCHNEIDER</t>
        </is>
      </c>
      <c r="J7486" t="inlineStr">
        <is>
          <t>ROBERT</t>
        </is>
      </c>
      <c r="L7486">
        <f>_xlfn.XLOOKUP(Tableau1[[#This Row],[TYPE DE PIECE]],Tableau4[MATIERE],Tableau4[SHORT TYPE],"",0,1)</f>
        <v/>
      </c>
      <c r="N7486">
        <f>IF(ISERR(FIND("DECOUPE",Tableau1[[#This Row],[DESIGNATION]])),"","NEED REF")</f>
        <v/>
      </c>
    </row>
    <row r="7487">
      <c r="B7487" t="n">
        <v>34406518</v>
      </c>
      <c r="C7487" s="2" t="n">
        <v>43109</v>
      </c>
      <c r="D7487" t="inlineStr">
        <is>
          <t>SPEC</t>
        </is>
      </c>
      <c r="E7487" t="inlineStr">
        <is>
          <t>CAPOT</t>
        </is>
      </c>
      <c r="F7487" t="inlineStr">
        <is>
          <t>SCHNEIDER</t>
        </is>
      </c>
      <c r="J7487" t="inlineStr">
        <is>
          <t>ROBERT</t>
        </is>
      </c>
      <c r="L7487">
        <f>_xlfn.XLOOKUP(Tableau1[[#This Row],[TYPE DE PIECE]],Tableau4[MATIERE],Tableau4[SHORT TYPE],"",0,1)</f>
        <v/>
      </c>
      <c r="N7487">
        <f>IF(ISERR(FIND("DECOUPE",Tableau1[[#This Row],[DESIGNATION]])),"","NEED REF")</f>
        <v/>
      </c>
    </row>
    <row r="7488">
      <c r="B7488" t="n">
        <v>34406517</v>
      </c>
      <c r="C7488" s="2" t="n">
        <v>43109</v>
      </c>
      <c r="D7488" t="inlineStr">
        <is>
          <t>SPEC</t>
        </is>
      </c>
      <c r="E7488" t="inlineStr">
        <is>
          <t xml:space="preserve">FIXATION </t>
        </is>
      </c>
      <c r="F7488" t="inlineStr">
        <is>
          <t>SCHNEIDER</t>
        </is>
      </c>
      <c r="J7488" t="inlineStr">
        <is>
          <t>ROBERT</t>
        </is>
      </c>
      <c r="L7488">
        <f>_xlfn.XLOOKUP(Tableau1[[#This Row],[TYPE DE PIECE]],Tableau4[MATIERE],Tableau4[SHORT TYPE],"",0,1)</f>
        <v/>
      </c>
      <c r="N7488">
        <f>IF(ISERR(FIND("DECOUPE",Tableau1[[#This Row],[DESIGNATION]])),"","NEED REF")</f>
        <v/>
      </c>
    </row>
    <row r="7489">
      <c r="B7489" t="n">
        <v>34406516</v>
      </c>
      <c r="C7489" s="2" t="n">
        <v>43109</v>
      </c>
      <c r="D7489" t="inlineStr">
        <is>
          <t>SPEC</t>
        </is>
      </c>
      <c r="E7489" t="inlineStr">
        <is>
          <t>PERFORATED PROTECTION SHIELD 690x259</t>
        </is>
      </c>
      <c r="F7489" t="inlineStr">
        <is>
          <t>SCHNEIDER</t>
        </is>
      </c>
      <c r="J7489" t="inlineStr">
        <is>
          <t>ROBERT</t>
        </is>
      </c>
      <c r="L7489">
        <f>_xlfn.XLOOKUP(Tableau1[[#This Row],[TYPE DE PIECE]],Tableau4[MATIERE],Tableau4[SHORT TYPE],"",0,1)</f>
        <v/>
      </c>
      <c r="N7489">
        <f>IF(ISERR(FIND("DECOUPE",Tableau1[[#This Row],[DESIGNATION]])),"","NEED REF")</f>
        <v/>
      </c>
    </row>
    <row r="7490">
      <c r="B7490" t="n">
        <v>34406515</v>
      </c>
      <c r="C7490" s="2" t="n">
        <v>43109</v>
      </c>
      <c r="D7490" t="inlineStr">
        <is>
          <t>SPEC</t>
        </is>
      </c>
      <c r="E7490" t="inlineStr">
        <is>
          <t>PERFORATED PROTECTION SHIELD 690x422</t>
        </is>
      </c>
      <c r="F7490" t="inlineStr">
        <is>
          <t>SCHNEIDER</t>
        </is>
      </c>
      <c r="J7490" t="inlineStr">
        <is>
          <t>ROBERT</t>
        </is>
      </c>
      <c r="L7490">
        <f>_xlfn.XLOOKUP(Tableau1[[#This Row],[TYPE DE PIECE]],Tableau4[MATIERE],Tableau4[SHORT TYPE],"",0,1)</f>
        <v/>
      </c>
      <c r="N7490">
        <f>IF(ISERR(FIND("DECOUPE",Tableau1[[#This Row],[DESIGNATION]])),"","NEED REF")</f>
        <v/>
      </c>
    </row>
    <row r="7491">
      <c r="B7491" t="n">
        <v>34406514</v>
      </c>
      <c r="C7491" s="2" t="n">
        <v>43109</v>
      </c>
      <c r="D7491" t="inlineStr">
        <is>
          <t>SPEC</t>
        </is>
      </c>
      <c r="E7491" t="inlineStr">
        <is>
          <t>PERFORATED PROTECTION SHIELD 690x212</t>
        </is>
      </c>
      <c r="F7491" t="inlineStr">
        <is>
          <t>SCHNEIDER</t>
        </is>
      </c>
      <c r="J7491" t="inlineStr">
        <is>
          <t>ROBERT</t>
        </is>
      </c>
      <c r="L7491">
        <f>_xlfn.XLOOKUP(Tableau1[[#This Row],[TYPE DE PIECE]],Tableau4[MATIERE],Tableau4[SHORT TYPE],"",0,1)</f>
        <v/>
      </c>
      <c r="N7491">
        <f>IF(ISERR(FIND("DECOUPE",Tableau1[[#This Row],[DESIGNATION]])),"","NEED REF")</f>
        <v/>
      </c>
    </row>
    <row r="7492">
      <c r="B7492" t="n">
        <v>34406513</v>
      </c>
      <c r="C7492" s="2" t="n">
        <v>43109</v>
      </c>
      <c r="D7492" t="inlineStr">
        <is>
          <t>SPEC</t>
        </is>
      </c>
      <c r="E7492" t="inlineStr">
        <is>
          <t>PERFORATED PROTECTION SHIELD 690x212</t>
        </is>
      </c>
      <c r="F7492" t="inlineStr">
        <is>
          <t>SCHNEIDER</t>
        </is>
      </c>
      <c r="J7492" t="inlineStr">
        <is>
          <t>ROBERT</t>
        </is>
      </c>
      <c r="L7492">
        <f>_xlfn.XLOOKUP(Tableau1[[#This Row],[TYPE DE PIECE]],Tableau4[MATIERE],Tableau4[SHORT TYPE],"",0,1)</f>
        <v/>
      </c>
      <c r="N7492">
        <f>IF(ISERR(FIND("DECOUPE",Tableau1[[#This Row],[DESIGNATION]])),"","NEED REF")</f>
        <v/>
      </c>
    </row>
    <row r="7493">
      <c r="B7493" t="n">
        <v>34406512</v>
      </c>
      <c r="C7493" s="2" t="n">
        <v>43109</v>
      </c>
      <c r="D7493" t="inlineStr">
        <is>
          <t>SPEC</t>
        </is>
      </c>
      <c r="E7493" t="inlineStr">
        <is>
          <t>PROTECTION SHIELD 690X95</t>
        </is>
      </c>
      <c r="F7493" t="inlineStr">
        <is>
          <t>SCHNEIDER</t>
        </is>
      </c>
      <c r="J7493" t="inlineStr">
        <is>
          <t>ROBERT</t>
        </is>
      </c>
      <c r="L7493">
        <f>_xlfn.XLOOKUP(Tableau1[[#This Row],[TYPE DE PIECE]],Tableau4[MATIERE],Tableau4[SHORT TYPE],"",0,1)</f>
        <v/>
      </c>
      <c r="N7493">
        <f>IF(ISERR(FIND("DECOUPE",Tableau1[[#This Row],[DESIGNATION]])),"","NEED REF")</f>
        <v/>
      </c>
    </row>
    <row r="7494">
      <c r="B7494" t="n">
        <v>34406511</v>
      </c>
      <c r="C7494" s="2" t="n">
        <v>43109</v>
      </c>
      <c r="D7494" t="inlineStr">
        <is>
          <t>SPEC</t>
        </is>
      </c>
      <c r="E7494" t="inlineStr">
        <is>
          <t>LATERAL PROTECTION SHIELD SUPPORT</t>
        </is>
      </c>
      <c r="F7494" t="inlineStr">
        <is>
          <t>SCHNEIDER</t>
        </is>
      </c>
      <c r="J7494" t="inlineStr">
        <is>
          <t>ROBERT</t>
        </is>
      </c>
      <c r="L7494">
        <f>_xlfn.XLOOKUP(Tableau1[[#This Row],[TYPE DE PIECE]],Tableau4[MATIERE],Tableau4[SHORT TYPE],"",0,1)</f>
        <v/>
      </c>
      <c r="N7494">
        <f>IF(ISERR(FIND("DECOUPE",Tableau1[[#This Row],[DESIGNATION]])),"","NEED REF")</f>
        <v/>
      </c>
    </row>
    <row r="7495">
      <c r="B7495" t="n">
        <v>34406510</v>
      </c>
      <c r="C7495" s="2" t="n">
        <v>43109</v>
      </c>
      <c r="D7495" t="inlineStr">
        <is>
          <t>SPEC</t>
        </is>
      </c>
      <c r="E7495" t="inlineStr">
        <is>
          <t>LATERAL PROTECTION SHIELD SUPPORT</t>
        </is>
      </c>
      <c r="F7495" t="inlineStr">
        <is>
          <t>SCHNEIDER</t>
        </is>
      </c>
      <c r="J7495" t="inlineStr">
        <is>
          <t>ROBERT</t>
        </is>
      </c>
      <c r="L7495">
        <f>_xlfn.XLOOKUP(Tableau1[[#This Row],[TYPE DE PIECE]],Tableau4[MATIERE],Tableau4[SHORT TYPE],"",0,1)</f>
        <v/>
      </c>
      <c r="N7495">
        <f>IF(ISERR(FIND("DECOUPE",Tableau1[[#This Row],[DESIGNATION]])),"","NEED REF")</f>
        <v/>
      </c>
    </row>
    <row r="7496">
      <c r="B7496" t="n">
        <v>34406509</v>
      </c>
      <c r="C7496" s="2" t="n">
        <v>43109</v>
      </c>
      <c r="D7496" t="inlineStr">
        <is>
          <t>SPEC</t>
        </is>
      </c>
      <c r="E7496" t="inlineStr">
        <is>
          <t>FLEX N</t>
        </is>
      </c>
      <c r="F7496" t="inlineStr">
        <is>
          <t>SCHNEIDER</t>
        </is>
      </c>
      <c r="J7496" t="inlineStr">
        <is>
          <t>ROBERT</t>
        </is>
      </c>
      <c r="L7496">
        <f>_xlfn.XLOOKUP(Tableau1[[#This Row],[TYPE DE PIECE]],Tableau4[MATIERE],Tableau4[SHORT TYPE],"",0,1)</f>
        <v/>
      </c>
      <c r="N7496">
        <f>IF(ISERR(FIND("DECOUPE",Tableau1[[#This Row],[DESIGNATION]])),"","NEED REF")</f>
        <v/>
      </c>
    </row>
    <row r="7497">
      <c r="B7497" t="n">
        <v>34406508</v>
      </c>
      <c r="C7497" s="2" t="n">
        <v>43109</v>
      </c>
      <c r="D7497" t="inlineStr">
        <is>
          <t>SPEC</t>
        </is>
      </c>
      <c r="E7497" t="inlineStr">
        <is>
          <t>FLEX L1</t>
        </is>
      </c>
      <c r="F7497" t="inlineStr">
        <is>
          <t>SCHNEIDER</t>
        </is>
      </c>
      <c r="J7497" t="inlineStr">
        <is>
          <t>ROBERT</t>
        </is>
      </c>
      <c r="L7497">
        <f>_xlfn.XLOOKUP(Tableau1[[#This Row],[TYPE DE PIECE]],Tableau4[MATIERE],Tableau4[SHORT TYPE],"",0,1)</f>
        <v/>
      </c>
      <c r="N7497">
        <f>IF(ISERR(FIND("DECOUPE",Tableau1[[#This Row],[DESIGNATION]])),"","NEED REF")</f>
        <v/>
      </c>
    </row>
    <row r="7498">
      <c r="B7498" t="n">
        <v>34406507</v>
      </c>
      <c r="C7498" s="2" t="n">
        <v>43109</v>
      </c>
      <c r="D7498" t="inlineStr">
        <is>
          <t>SPEC</t>
        </is>
      </c>
      <c r="E7498" t="inlineStr">
        <is>
          <t>FLEX L2</t>
        </is>
      </c>
      <c r="F7498" t="inlineStr">
        <is>
          <t>SCHNEIDER</t>
        </is>
      </c>
      <c r="J7498" t="inlineStr">
        <is>
          <t>ROBERT</t>
        </is>
      </c>
      <c r="L7498">
        <f>_xlfn.XLOOKUP(Tableau1[[#This Row],[TYPE DE PIECE]],Tableau4[MATIERE],Tableau4[SHORT TYPE],"",0,1)</f>
        <v/>
      </c>
      <c r="N7498">
        <f>IF(ISERR(FIND("DECOUPE",Tableau1[[#This Row],[DESIGNATION]])),"","NEED REF")</f>
        <v/>
      </c>
    </row>
    <row r="7499">
      <c r="B7499" t="n">
        <v>34406506</v>
      </c>
      <c r="C7499" s="2" t="n">
        <v>43109</v>
      </c>
      <c r="D7499" t="inlineStr">
        <is>
          <t>SPEC</t>
        </is>
      </c>
      <c r="E7499" t="inlineStr">
        <is>
          <t>FLEX L3</t>
        </is>
      </c>
      <c r="F7499" t="inlineStr">
        <is>
          <t>SCHNEIDER</t>
        </is>
      </c>
      <c r="J7499" t="inlineStr">
        <is>
          <t>ROBERT</t>
        </is>
      </c>
      <c r="L7499">
        <f>_xlfn.XLOOKUP(Tableau1[[#This Row],[TYPE DE PIECE]],Tableau4[MATIERE],Tableau4[SHORT TYPE],"",0,1)</f>
        <v/>
      </c>
      <c r="N7499">
        <f>IF(ISERR(FIND("DECOUPE",Tableau1[[#This Row],[DESIGNATION]])),"","NEED REF")</f>
        <v/>
      </c>
    </row>
    <row r="7500">
      <c r="B7500" t="n">
        <v>34406505</v>
      </c>
      <c r="C7500" s="2" t="n">
        <v>43109</v>
      </c>
      <c r="D7500" t="inlineStr">
        <is>
          <t>SPEC</t>
        </is>
      </c>
      <c r="E7500" t="inlineStr">
        <is>
          <t>CX MAINS Q1</t>
        </is>
      </c>
      <c r="F7500" t="inlineStr">
        <is>
          <t>SCHNEIDER</t>
        </is>
      </c>
      <c r="J7500" t="inlineStr">
        <is>
          <t>ROBERT</t>
        </is>
      </c>
      <c r="L7500">
        <f>_xlfn.XLOOKUP(Tableau1[[#This Row],[TYPE DE PIECE]],Tableau4[MATIERE],Tableau4[SHORT TYPE],"",0,1)</f>
        <v/>
      </c>
      <c r="N7500">
        <f>IF(ISERR(FIND("DECOUPE",Tableau1[[#This Row],[DESIGNATION]])),"","NEED REF")</f>
        <v/>
      </c>
    </row>
    <row r="7501">
      <c r="B7501" t="n">
        <v>34406504</v>
      </c>
      <c r="C7501" s="2" t="n">
        <v>43109</v>
      </c>
      <c r="D7501" t="inlineStr">
        <is>
          <t>SPEC</t>
        </is>
      </c>
      <c r="E7501" t="inlineStr">
        <is>
          <t>CIRCUIT BREAKER SUPPORT</t>
        </is>
      </c>
      <c r="F7501" t="inlineStr">
        <is>
          <t>SCHNEIDER</t>
        </is>
      </c>
      <c r="J7501" t="inlineStr">
        <is>
          <t>ROBERT</t>
        </is>
      </c>
      <c r="L7501">
        <f>_xlfn.XLOOKUP(Tableau1[[#This Row],[TYPE DE PIECE]],Tableau4[MATIERE],Tableau4[SHORT TYPE],"",0,1)</f>
        <v/>
      </c>
      <c r="N7501">
        <f>IF(ISERR(FIND("DECOUPE",Tableau1[[#This Row],[DESIGNATION]])),"","NEED REF")</f>
        <v/>
      </c>
    </row>
    <row r="7502">
      <c r="B7502" t="n">
        <v>34406503</v>
      </c>
      <c r="C7502" s="2" t="n">
        <v>43109</v>
      </c>
      <c r="D7502" t="inlineStr">
        <is>
          <t>SPEC</t>
        </is>
      </c>
      <c r="E7502" t="inlineStr">
        <is>
          <t>TRAVERSE SUPPORT TFO G300</t>
        </is>
      </c>
      <c r="F7502" t="inlineStr">
        <is>
          <t>G300</t>
        </is>
      </c>
      <c r="J7502" t="inlineStr">
        <is>
          <t>MATRION</t>
        </is>
      </c>
      <c r="L7502">
        <f>_xlfn.XLOOKUP(Tableau1[[#This Row],[TYPE DE PIECE]],Tableau4[MATIERE],Tableau4[SHORT TYPE],"",0,1)</f>
        <v/>
      </c>
      <c r="N7502">
        <f>IF(ISERR(FIND("DECOUPE",Tableau1[[#This Row],[DESIGNATION]])),"","NEED REF")</f>
        <v/>
      </c>
    </row>
    <row r="7503">
      <c r="B7503" t="n">
        <v>34406502</v>
      </c>
      <c r="C7503" s="2" t="n">
        <v>43109</v>
      </c>
      <c r="D7503" t="inlineStr">
        <is>
          <t>SPEC</t>
        </is>
      </c>
      <c r="E7503" t="inlineStr">
        <is>
          <t>PLATINE COFFRET SM 4xDJ BAT</t>
        </is>
      </c>
      <c r="F7503" t="inlineStr">
        <is>
          <t>STX</t>
        </is>
      </c>
      <c r="J7503" t="inlineStr">
        <is>
          <t>MATRION</t>
        </is>
      </c>
      <c r="K7503" t="inlineStr">
        <is>
          <t>METAL</t>
        </is>
      </c>
      <c r="L7503">
        <f>_xlfn.XLOOKUP(Tableau1[[#This Row],[TYPE DE PIECE]],Tableau4[MATIERE],Tableau4[SHORT TYPE],"",0,1)</f>
        <v/>
      </c>
      <c r="N7503">
        <f>IF(ISERR(FIND("DECOUPE",Tableau1[[#This Row],[DESIGNATION]])),"","NEED REF")</f>
        <v/>
      </c>
    </row>
    <row r="7504">
      <c r="B7504" t="n">
        <v>34406501</v>
      </c>
      <c r="C7504" s="2" t="n">
        <v>43108</v>
      </c>
      <c r="D7504" t="inlineStr">
        <is>
          <t>SPEC</t>
        </is>
      </c>
      <c r="E7504" t="inlineStr">
        <is>
          <t>LIAISON INTER CELLULE 8 1250kW</t>
        </is>
      </c>
      <c r="F7504" t="inlineStr">
        <is>
          <t>MBC GVX</t>
        </is>
      </c>
      <c r="J7504" t="inlineStr">
        <is>
          <t>MATRION</t>
        </is>
      </c>
      <c r="L7504">
        <f>_xlfn.XLOOKUP(Tableau1[[#This Row],[TYPE DE PIECE]],Tableau4[MATIERE],Tableau4[SHORT TYPE],"",0,1)</f>
        <v/>
      </c>
      <c r="N7504">
        <f>IF(ISERR(FIND("DECOUPE",Tableau1[[#This Row],[DESIGNATION]])),"","NEED REF")</f>
        <v/>
      </c>
    </row>
    <row r="7505">
      <c r="B7505" t="n">
        <v>34406500</v>
      </c>
      <c r="C7505" s="2" t="n">
        <v>43108</v>
      </c>
      <c r="D7505" t="inlineStr">
        <is>
          <t>SPEC</t>
        </is>
      </c>
      <c r="E7505" t="inlineStr">
        <is>
          <t>LIAISON INTER CELLULE 7 1250kW</t>
        </is>
      </c>
      <c r="F7505" t="inlineStr">
        <is>
          <t>MBC GVX</t>
        </is>
      </c>
      <c r="J7505" t="inlineStr">
        <is>
          <t>MATRION</t>
        </is>
      </c>
      <c r="L7505">
        <f>_xlfn.XLOOKUP(Tableau1[[#This Row],[TYPE DE PIECE]],Tableau4[MATIERE],Tableau4[SHORT TYPE],"",0,1)</f>
        <v/>
      </c>
      <c r="N7505">
        <f>IF(ISERR(FIND("DECOUPE",Tableau1[[#This Row],[DESIGNATION]])),"","NEED REF")</f>
        <v/>
      </c>
    </row>
    <row r="7506">
      <c r="B7506" t="n">
        <v>34406499</v>
      </c>
      <c r="C7506" s="2" t="n">
        <v>43108</v>
      </c>
      <c r="D7506" t="inlineStr">
        <is>
          <t>SPEC</t>
        </is>
      </c>
      <c r="E7506" t="inlineStr">
        <is>
          <t>LIAISON INTER CELLULE 6 1250kW</t>
        </is>
      </c>
      <c r="F7506" t="inlineStr">
        <is>
          <t>MBC GVX</t>
        </is>
      </c>
      <c r="J7506" t="inlineStr">
        <is>
          <t>MATRION</t>
        </is>
      </c>
      <c r="L7506">
        <f>_xlfn.XLOOKUP(Tableau1[[#This Row],[TYPE DE PIECE]],Tableau4[MATIERE],Tableau4[SHORT TYPE],"",0,1)</f>
        <v/>
      </c>
      <c r="N7506">
        <f>IF(ISERR(FIND("DECOUPE",Tableau1[[#This Row],[DESIGNATION]])),"","NEED REF")</f>
        <v/>
      </c>
    </row>
    <row r="7507">
      <c r="B7507" t="n">
        <v>34406498</v>
      </c>
      <c r="C7507" s="2" t="n">
        <v>43108</v>
      </c>
      <c r="D7507" t="inlineStr">
        <is>
          <t>SPEC</t>
        </is>
      </c>
      <c r="E7507" t="inlineStr">
        <is>
          <t>LIAISON INTER CELLULE 5 1250kW</t>
        </is>
      </c>
      <c r="F7507" t="inlineStr">
        <is>
          <t>MBC GVX</t>
        </is>
      </c>
      <c r="J7507" t="inlineStr">
        <is>
          <t>MATRION</t>
        </is>
      </c>
      <c r="L7507">
        <f>_xlfn.XLOOKUP(Tableau1[[#This Row],[TYPE DE PIECE]],Tableau4[MATIERE],Tableau4[SHORT TYPE],"",0,1)</f>
        <v/>
      </c>
      <c r="N7507">
        <f>IF(ISERR(FIND("DECOUPE",Tableau1[[#This Row],[DESIGNATION]])),"","NEED REF")</f>
        <v/>
      </c>
    </row>
    <row r="7508">
      <c r="B7508" t="n">
        <v>34406497</v>
      </c>
      <c r="C7508" s="2" t="n">
        <v>43108</v>
      </c>
      <c r="D7508" t="inlineStr">
        <is>
          <t>SPEC</t>
        </is>
      </c>
      <c r="E7508" t="inlineStr">
        <is>
          <t>LIAISON INTER CELLULE 1 1250kW</t>
        </is>
      </c>
      <c r="F7508" t="inlineStr">
        <is>
          <t>MBC GVX</t>
        </is>
      </c>
      <c r="J7508" t="inlineStr">
        <is>
          <t>MATRION</t>
        </is>
      </c>
      <c r="L7508">
        <f>_xlfn.XLOOKUP(Tableau1[[#This Row],[TYPE DE PIECE]],Tableau4[MATIERE],Tableau4[SHORT TYPE],"",0,1)</f>
        <v/>
      </c>
      <c r="N7508">
        <f>IF(ISERR(FIND("DECOUPE",Tableau1[[#This Row],[DESIGNATION]])),"","NEED REF")</f>
        <v/>
      </c>
    </row>
    <row r="7509">
      <c r="B7509" t="n">
        <v>34406496</v>
      </c>
      <c r="C7509" s="2" t="n">
        <v>43108</v>
      </c>
      <c r="D7509" t="inlineStr">
        <is>
          <t>SPEC</t>
        </is>
      </c>
      <c r="E7509" t="inlineStr">
        <is>
          <t>LIAISON INTER CELLULE 2 1250kW</t>
        </is>
      </c>
      <c r="F7509" t="inlineStr">
        <is>
          <t>MBC GVX</t>
        </is>
      </c>
      <c r="J7509" t="inlineStr">
        <is>
          <t>MATRION</t>
        </is>
      </c>
      <c r="L7509">
        <f>_xlfn.XLOOKUP(Tableau1[[#This Row],[TYPE DE PIECE]],Tableau4[MATIERE],Tableau4[SHORT TYPE],"",0,1)</f>
        <v/>
      </c>
      <c r="N7509">
        <f>IF(ISERR(FIND("DECOUPE",Tableau1[[#This Row],[DESIGNATION]])),"","NEED REF")</f>
        <v/>
      </c>
    </row>
    <row r="7510">
      <c r="B7510" t="n">
        <v>34406495</v>
      </c>
      <c r="C7510" s="2" t="n">
        <v>43108</v>
      </c>
      <c r="D7510" t="inlineStr">
        <is>
          <t>SPEC</t>
        </is>
      </c>
      <c r="E7510" t="inlineStr">
        <is>
          <t>LIAISON INTER CELLULE 3 1250kW</t>
        </is>
      </c>
      <c r="F7510" t="inlineStr">
        <is>
          <t>MBC GVX</t>
        </is>
      </c>
      <c r="J7510" t="inlineStr">
        <is>
          <t>MATRION</t>
        </is>
      </c>
      <c r="L7510">
        <f>_xlfn.XLOOKUP(Tableau1[[#This Row],[TYPE DE PIECE]],Tableau4[MATIERE],Tableau4[SHORT TYPE],"",0,1)</f>
        <v/>
      </c>
      <c r="N7510">
        <f>IF(ISERR(FIND("DECOUPE",Tableau1[[#This Row],[DESIGNATION]])),"","NEED REF")</f>
        <v/>
      </c>
    </row>
    <row r="7511">
      <c r="B7511" t="n">
        <v>34406494</v>
      </c>
      <c r="C7511" s="2" t="n">
        <v>43108</v>
      </c>
      <c r="D7511" t="inlineStr">
        <is>
          <t>SPEC</t>
        </is>
      </c>
      <c r="E7511" t="inlineStr">
        <is>
          <t>LIAISON INTER CELLULE 4 1250kW</t>
        </is>
      </c>
      <c r="F7511" t="inlineStr">
        <is>
          <t>MBC GVX</t>
        </is>
      </c>
      <c r="J7511" t="inlineStr">
        <is>
          <t>MATRION</t>
        </is>
      </c>
      <c r="L7511">
        <f>_xlfn.XLOOKUP(Tableau1[[#This Row],[TYPE DE PIECE]],Tableau4[MATIERE],Tableau4[SHORT TYPE],"",0,1)</f>
        <v/>
      </c>
      <c r="N7511">
        <f>IF(ISERR(FIND("DECOUPE",Tableau1[[#This Row],[DESIGNATION]])),"","NEED REF")</f>
        <v/>
      </c>
    </row>
    <row r="7512">
      <c r="B7512" t="n">
        <v>34406493</v>
      </c>
      <c r="C7512" s="2" t="n">
        <v>43108</v>
      </c>
      <c r="D7512" t="inlineStr">
        <is>
          <t>SPEC</t>
        </is>
      </c>
      <c r="E7512" t="inlineStr">
        <is>
          <t>LIAISON INTER CELLULE 8 1000kW</t>
        </is>
      </c>
      <c r="F7512" t="inlineStr">
        <is>
          <t>MBC GVX</t>
        </is>
      </c>
      <c r="J7512" t="inlineStr">
        <is>
          <t>MATRION</t>
        </is>
      </c>
      <c r="L7512">
        <f>_xlfn.XLOOKUP(Tableau1[[#This Row],[TYPE DE PIECE]],Tableau4[MATIERE],Tableau4[SHORT TYPE],"",0,1)</f>
        <v/>
      </c>
      <c r="N7512">
        <f>IF(ISERR(FIND("DECOUPE",Tableau1[[#This Row],[DESIGNATION]])),"","NEED REF")</f>
        <v/>
      </c>
    </row>
    <row r="7513">
      <c r="B7513" t="n">
        <v>34406492</v>
      </c>
      <c r="C7513" s="2" t="n">
        <v>43108</v>
      </c>
      <c r="D7513" t="inlineStr">
        <is>
          <t>SPEC</t>
        </is>
      </c>
      <c r="E7513" t="inlineStr">
        <is>
          <t>LIAISON INTER CELLULE 7 1000kW</t>
        </is>
      </c>
      <c r="F7513" t="inlineStr">
        <is>
          <t>MBC GVX</t>
        </is>
      </c>
      <c r="J7513" t="inlineStr">
        <is>
          <t>MATRION</t>
        </is>
      </c>
      <c r="L7513">
        <f>_xlfn.XLOOKUP(Tableau1[[#This Row],[TYPE DE PIECE]],Tableau4[MATIERE],Tableau4[SHORT TYPE],"",0,1)</f>
        <v/>
      </c>
      <c r="N7513">
        <f>IF(ISERR(FIND("DECOUPE",Tableau1[[#This Row],[DESIGNATION]])),"","NEED REF")</f>
        <v/>
      </c>
    </row>
    <row r="7514">
      <c r="B7514" t="n">
        <v>34406491</v>
      </c>
      <c r="C7514" s="2" t="n">
        <v>43108</v>
      </c>
      <c r="D7514" t="inlineStr">
        <is>
          <t>SPEC</t>
        </is>
      </c>
      <c r="E7514" t="inlineStr">
        <is>
          <t>LIAISON INTER CELLULE 6 1000kW</t>
        </is>
      </c>
      <c r="F7514" t="inlineStr">
        <is>
          <t>MBC GVX</t>
        </is>
      </c>
      <c r="J7514" t="inlineStr">
        <is>
          <t>MATRION</t>
        </is>
      </c>
      <c r="L7514">
        <f>_xlfn.XLOOKUP(Tableau1[[#This Row],[TYPE DE PIECE]],Tableau4[MATIERE],Tableau4[SHORT TYPE],"",0,1)</f>
        <v/>
      </c>
      <c r="N7514">
        <f>IF(ISERR(FIND("DECOUPE",Tableau1[[#This Row],[DESIGNATION]])),"","NEED REF")</f>
        <v/>
      </c>
    </row>
    <row r="7515">
      <c r="B7515" t="n">
        <v>34406490</v>
      </c>
      <c r="C7515" s="2" t="n">
        <v>43108</v>
      </c>
      <c r="D7515" t="inlineStr">
        <is>
          <t>SPEC</t>
        </is>
      </c>
      <c r="E7515" t="inlineStr">
        <is>
          <t>LIAISON INTER CELLULE 5 1000kW</t>
        </is>
      </c>
      <c r="F7515" t="inlineStr">
        <is>
          <t>MBC GVX</t>
        </is>
      </c>
      <c r="J7515" t="inlineStr">
        <is>
          <t>MATRION</t>
        </is>
      </c>
      <c r="L7515">
        <f>_xlfn.XLOOKUP(Tableau1[[#This Row],[TYPE DE PIECE]],Tableau4[MATIERE],Tableau4[SHORT TYPE],"",0,1)</f>
        <v/>
      </c>
      <c r="N7515">
        <f>IF(ISERR(FIND("DECOUPE",Tableau1[[#This Row],[DESIGNATION]])),"","NEED REF")</f>
        <v/>
      </c>
    </row>
    <row r="7516">
      <c r="B7516" t="n">
        <v>34406489</v>
      </c>
      <c r="C7516" s="2" t="n">
        <v>43108</v>
      </c>
      <c r="D7516" t="inlineStr">
        <is>
          <t>SPEC</t>
        </is>
      </c>
      <c r="E7516" t="inlineStr">
        <is>
          <t>LIAISON INTER CELLULE 1 1000kW</t>
        </is>
      </c>
      <c r="F7516" t="inlineStr">
        <is>
          <t>MBC GVX</t>
        </is>
      </c>
      <c r="J7516" t="inlineStr">
        <is>
          <t>MATRION</t>
        </is>
      </c>
      <c r="L7516">
        <f>_xlfn.XLOOKUP(Tableau1[[#This Row],[TYPE DE PIECE]],Tableau4[MATIERE],Tableau4[SHORT TYPE],"",0,1)</f>
        <v/>
      </c>
      <c r="N7516">
        <f>IF(ISERR(FIND("DECOUPE",Tableau1[[#This Row],[DESIGNATION]])),"","NEED REF")</f>
        <v/>
      </c>
    </row>
    <row r="7517">
      <c r="B7517" t="n">
        <v>34406488</v>
      </c>
      <c r="C7517" s="2" t="n">
        <v>43108</v>
      </c>
      <c r="D7517" t="inlineStr">
        <is>
          <t>SPEC</t>
        </is>
      </c>
      <c r="E7517" t="inlineStr">
        <is>
          <t>LIAISON INTER CELLULE 2 1000kW</t>
        </is>
      </c>
      <c r="F7517" t="inlineStr">
        <is>
          <t>MBC GVX</t>
        </is>
      </c>
      <c r="J7517" t="inlineStr">
        <is>
          <t>MATRION</t>
        </is>
      </c>
      <c r="L7517">
        <f>_xlfn.XLOOKUP(Tableau1[[#This Row],[TYPE DE PIECE]],Tableau4[MATIERE],Tableau4[SHORT TYPE],"",0,1)</f>
        <v/>
      </c>
      <c r="N7517">
        <f>IF(ISERR(FIND("DECOUPE",Tableau1[[#This Row],[DESIGNATION]])),"","NEED REF")</f>
        <v/>
      </c>
    </row>
    <row r="7518">
      <c r="B7518" t="n">
        <v>34406487</v>
      </c>
      <c r="C7518" s="2" t="n">
        <v>43108</v>
      </c>
      <c r="D7518" t="inlineStr">
        <is>
          <t>SPEC</t>
        </is>
      </c>
      <c r="E7518" t="inlineStr">
        <is>
          <t>LIAISON INTER CELLULE 3 1000kW</t>
        </is>
      </c>
      <c r="F7518" t="inlineStr">
        <is>
          <t>MBC GVX</t>
        </is>
      </c>
      <c r="J7518" t="inlineStr">
        <is>
          <t>MATRION</t>
        </is>
      </c>
      <c r="L7518">
        <f>_xlfn.XLOOKUP(Tableau1[[#This Row],[TYPE DE PIECE]],Tableau4[MATIERE],Tableau4[SHORT TYPE],"",0,1)</f>
        <v/>
      </c>
      <c r="N7518">
        <f>IF(ISERR(FIND("DECOUPE",Tableau1[[#This Row],[DESIGNATION]])),"","NEED REF")</f>
        <v/>
      </c>
    </row>
    <row r="7519">
      <c r="B7519" t="n">
        <v>34406486</v>
      </c>
      <c r="C7519" s="2" t="n">
        <v>43108</v>
      </c>
      <c r="D7519" t="inlineStr">
        <is>
          <t>SPEC</t>
        </is>
      </c>
      <c r="E7519" t="inlineStr">
        <is>
          <t>LIAISON INTER CELLULE 4 1000kW</t>
        </is>
      </c>
      <c r="F7519" t="inlineStr">
        <is>
          <t>MBC GVX</t>
        </is>
      </c>
      <c r="J7519" t="inlineStr">
        <is>
          <t>MATRION</t>
        </is>
      </c>
      <c r="L7519">
        <f>_xlfn.XLOOKUP(Tableau1[[#This Row],[TYPE DE PIECE]],Tableau4[MATIERE],Tableau4[SHORT TYPE],"",0,1)</f>
        <v/>
      </c>
      <c r="N7519">
        <f>IF(ISERR(FIND("DECOUPE",Tableau1[[#This Row],[DESIGNATION]])),"","NEED REF")</f>
        <v/>
      </c>
    </row>
    <row r="7520">
      <c r="B7520" t="n">
        <v>34406485</v>
      </c>
      <c r="C7520" s="2" t="n">
        <v>43108</v>
      </c>
      <c r="D7520" t="inlineStr">
        <is>
          <t>SPEC</t>
        </is>
      </c>
      <c r="E7520" t="inlineStr">
        <is>
          <t>LIAISON INTER CELLULE 8 750kW</t>
        </is>
      </c>
      <c r="F7520" t="inlineStr">
        <is>
          <t>MBC GVX</t>
        </is>
      </c>
      <c r="J7520" t="inlineStr">
        <is>
          <t>MATRION</t>
        </is>
      </c>
      <c r="L7520">
        <f>_xlfn.XLOOKUP(Tableau1[[#This Row],[TYPE DE PIECE]],Tableau4[MATIERE],Tableau4[SHORT TYPE],"",0,1)</f>
        <v/>
      </c>
      <c r="N7520">
        <f>IF(ISERR(FIND("DECOUPE",Tableau1[[#This Row],[DESIGNATION]])),"","NEED REF")</f>
        <v/>
      </c>
    </row>
    <row r="7521">
      <c r="B7521" t="n">
        <v>34406484</v>
      </c>
      <c r="C7521" s="2" t="n">
        <v>43108</v>
      </c>
      <c r="D7521" t="inlineStr">
        <is>
          <t>SPEC</t>
        </is>
      </c>
      <c r="E7521" t="inlineStr">
        <is>
          <t>LIAISON INTER CELLULE 7 750kW</t>
        </is>
      </c>
      <c r="F7521" t="inlineStr">
        <is>
          <t>MBC GVX</t>
        </is>
      </c>
      <c r="J7521" t="inlineStr">
        <is>
          <t>MATRION</t>
        </is>
      </c>
      <c r="L7521">
        <f>_xlfn.XLOOKUP(Tableau1[[#This Row],[TYPE DE PIECE]],Tableau4[MATIERE],Tableau4[SHORT TYPE],"",0,1)</f>
        <v/>
      </c>
      <c r="N7521">
        <f>IF(ISERR(FIND("DECOUPE",Tableau1[[#This Row],[DESIGNATION]])),"","NEED REF")</f>
        <v/>
      </c>
    </row>
    <row r="7522">
      <c r="B7522" t="n">
        <v>34406483</v>
      </c>
      <c r="C7522" s="2" t="n">
        <v>43108</v>
      </c>
      <c r="D7522" t="inlineStr">
        <is>
          <t>SPEC</t>
        </is>
      </c>
      <c r="E7522" t="inlineStr">
        <is>
          <t>LIAISON INTER CELLULE 6 750kW</t>
        </is>
      </c>
      <c r="F7522" t="inlineStr">
        <is>
          <t>MBC GVX</t>
        </is>
      </c>
      <c r="J7522" t="inlineStr">
        <is>
          <t>MATRION</t>
        </is>
      </c>
      <c r="L7522">
        <f>_xlfn.XLOOKUP(Tableau1[[#This Row],[TYPE DE PIECE]],Tableau4[MATIERE],Tableau4[SHORT TYPE],"",0,1)</f>
        <v/>
      </c>
      <c r="N7522">
        <f>IF(ISERR(FIND("DECOUPE",Tableau1[[#This Row],[DESIGNATION]])),"","NEED REF")</f>
        <v/>
      </c>
    </row>
    <row r="7523">
      <c r="B7523" t="n">
        <v>34406482</v>
      </c>
      <c r="C7523" s="2" t="n">
        <v>43108</v>
      </c>
      <c r="D7523" t="inlineStr">
        <is>
          <t>SPEC</t>
        </is>
      </c>
      <c r="E7523" t="inlineStr">
        <is>
          <t>LIAISON INTER CELLULE 5 750kW</t>
        </is>
      </c>
      <c r="F7523" t="inlineStr">
        <is>
          <t>MBC GVX</t>
        </is>
      </c>
      <c r="J7523" t="inlineStr">
        <is>
          <t>MATRION</t>
        </is>
      </c>
      <c r="L7523">
        <f>_xlfn.XLOOKUP(Tableau1[[#This Row],[TYPE DE PIECE]],Tableau4[MATIERE],Tableau4[SHORT TYPE],"",0,1)</f>
        <v/>
      </c>
      <c r="N7523">
        <f>IF(ISERR(FIND("DECOUPE",Tableau1[[#This Row],[DESIGNATION]])),"","NEED REF")</f>
        <v/>
      </c>
    </row>
    <row r="7524">
      <c r="B7524" t="n">
        <v>34406481</v>
      </c>
      <c r="C7524" s="2" t="n">
        <v>43108</v>
      </c>
      <c r="D7524" t="inlineStr">
        <is>
          <t>SPEC</t>
        </is>
      </c>
      <c r="E7524" t="inlineStr">
        <is>
          <t>LIAISON INTER CELLULE 1 750kW</t>
        </is>
      </c>
      <c r="F7524" t="inlineStr">
        <is>
          <t>MBC GVX</t>
        </is>
      </c>
      <c r="J7524" t="inlineStr">
        <is>
          <t>MATRION</t>
        </is>
      </c>
      <c r="L7524">
        <f>_xlfn.XLOOKUP(Tableau1[[#This Row],[TYPE DE PIECE]],Tableau4[MATIERE],Tableau4[SHORT TYPE],"",0,1)</f>
        <v/>
      </c>
      <c r="N7524">
        <f>IF(ISERR(FIND("DECOUPE",Tableau1[[#This Row],[DESIGNATION]])),"","NEED REF")</f>
        <v/>
      </c>
    </row>
    <row r="7525">
      <c r="B7525" t="n">
        <v>34406480</v>
      </c>
      <c r="C7525" s="2" t="n">
        <v>43108</v>
      </c>
      <c r="D7525" t="inlineStr">
        <is>
          <t>SPEC</t>
        </is>
      </c>
      <c r="E7525" t="inlineStr">
        <is>
          <t>LIAISON INTER CELLULE 2 750kW</t>
        </is>
      </c>
      <c r="F7525" t="inlineStr">
        <is>
          <t>MBC GVX</t>
        </is>
      </c>
      <c r="J7525" t="inlineStr">
        <is>
          <t>MATRION</t>
        </is>
      </c>
      <c r="L7525">
        <f>_xlfn.XLOOKUP(Tableau1[[#This Row],[TYPE DE PIECE]],Tableau4[MATIERE],Tableau4[SHORT TYPE],"",0,1)</f>
        <v/>
      </c>
      <c r="N7525">
        <f>IF(ISERR(FIND("DECOUPE",Tableau1[[#This Row],[DESIGNATION]])),"","NEED REF")</f>
        <v/>
      </c>
    </row>
    <row r="7526">
      <c r="B7526" t="n">
        <v>34406479</v>
      </c>
      <c r="C7526" s="2" t="n">
        <v>43108</v>
      </c>
      <c r="D7526" t="inlineStr">
        <is>
          <t>SPEC</t>
        </is>
      </c>
      <c r="E7526" t="inlineStr">
        <is>
          <t>LIAISON INTER CELLULE 3 750kW</t>
        </is>
      </c>
      <c r="F7526" t="inlineStr">
        <is>
          <t>MBC GVX</t>
        </is>
      </c>
      <c r="J7526" t="inlineStr">
        <is>
          <t>MATRION</t>
        </is>
      </c>
      <c r="L7526">
        <f>_xlfn.XLOOKUP(Tableau1[[#This Row],[TYPE DE PIECE]],Tableau4[MATIERE],Tableau4[SHORT TYPE],"",0,1)</f>
        <v/>
      </c>
      <c r="N7526">
        <f>IF(ISERR(FIND("DECOUPE",Tableau1[[#This Row],[DESIGNATION]])),"","NEED REF")</f>
        <v/>
      </c>
    </row>
    <row r="7527">
      <c r="B7527" t="n">
        <v>34406478</v>
      </c>
      <c r="C7527" s="2" t="n">
        <v>43108</v>
      </c>
      <c r="D7527" t="inlineStr">
        <is>
          <t>SPEC</t>
        </is>
      </c>
      <c r="E7527" t="inlineStr">
        <is>
          <t>LIAISON INTER CELLULE 4 750kW</t>
        </is>
      </c>
      <c r="F7527" t="inlineStr">
        <is>
          <t>MBC GVX</t>
        </is>
      </c>
      <c r="J7527" t="inlineStr">
        <is>
          <t>MATRION</t>
        </is>
      </c>
      <c r="L7527">
        <f>_xlfn.XLOOKUP(Tableau1[[#This Row],[TYPE DE PIECE]],Tableau4[MATIERE],Tableau4[SHORT TYPE],"",0,1)</f>
        <v/>
      </c>
      <c r="N7527">
        <f>IF(ISERR(FIND("DECOUPE",Tableau1[[#This Row],[DESIGNATION]])),"","NEED REF")</f>
        <v/>
      </c>
    </row>
    <row r="7528">
      <c r="B7528" t="n">
        <v>34406477</v>
      </c>
      <c r="C7528" s="2" t="n">
        <v>43108</v>
      </c>
      <c r="D7528" t="inlineStr">
        <is>
          <t>SPEC</t>
        </is>
      </c>
      <c r="E7528" t="inlineStr">
        <is>
          <t>PLAGE CUIVRE NW POUR FLEX</t>
        </is>
      </c>
      <c r="F7528" t="inlineStr">
        <is>
          <t>MBC GVX</t>
        </is>
      </c>
      <c r="J7528" t="inlineStr">
        <is>
          <t>MATRION</t>
        </is>
      </c>
      <c r="L7528">
        <f>_xlfn.XLOOKUP(Tableau1[[#This Row],[TYPE DE PIECE]],Tableau4[MATIERE],Tableau4[SHORT TYPE],"",0,1)</f>
        <v/>
      </c>
      <c r="N7528">
        <f>IF(ISERR(FIND("DECOUPE",Tableau1[[#This Row],[DESIGNATION]])),"","NEED REF")</f>
        <v/>
      </c>
    </row>
    <row r="7529">
      <c r="B7529" t="n">
        <v>34406476</v>
      </c>
      <c r="C7529" s="2" t="n">
        <v>43108</v>
      </c>
      <c r="D7529" t="inlineStr">
        <is>
          <t>SPEC</t>
        </is>
      </c>
      <c r="E7529" t="inlineStr">
        <is>
          <t>PLAGE ALU NW POUR FLEX</t>
        </is>
      </c>
      <c r="F7529" t="inlineStr">
        <is>
          <t>MBC GVX</t>
        </is>
      </c>
      <c r="J7529" t="inlineStr">
        <is>
          <t>MATRION</t>
        </is>
      </c>
      <c r="L7529">
        <f>_xlfn.XLOOKUP(Tableau1[[#This Row],[TYPE DE PIECE]],Tableau4[MATIERE],Tableau4[SHORT TYPE],"",0,1)</f>
        <v/>
      </c>
      <c r="N7529">
        <f>IF(ISERR(FIND("DECOUPE",Tableau1[[#This Row],[DESIGNATION]])),"","NEED REF")</f>
        <v/>
      </c>
    </row>
    <row r="7530">
      <c r="B7530" t="n">
        <v>34406475</v>
      </c>
      <c r="C7530" s="2" t="n">
        <v>43108</v>
      </c>
      <c r="D7530" t="inlineStr">
        <is>
          <t>SPEC</t>
        </is>
      </c>
      <c r="E7530" t="inlineStr">
        <is>
          <t>PLAGE ALU LINERGY POUR FLEX</t>
        </is>
      </c>
      <c r="F7530" t="inlineStr">
        <is>
          <t>MBC GVX</t>
        </is>
      </c>
      <c r="J7530" t="inlineStr">
        <is>
          <t>MATRION</t>
        </is>
      </c>
      <c r="L7530">
        <f>_xlfn.XLOOKUP(Tableau1[[#This Row],[TYPE DE PIECE]],Tableau4[MATIERE],Tableau4[SHORT TYPE],"",0,1)</f>
        <v/>
      </c>
      <c r="N7530">
        <f>IF(ISERR(FIND("DECOUPE",Tableau1[[#This Row],[DESIGNATION]])),"","NEED REF")</f>
        <v/>
      </c>
    </row>
    <row r="7531">
      <c r="B7531" t="n">
        <v>34406474</v>
      </c>
      <c r="C7531" s="2" t="n">
        <v>43108</v>
      </c>
      <c r="D7531" t="inlineStr">
        <is>
          <t>SPEC</t>
        </is>
      </c>
      <c r="E7531" t="inlineStr">
        <is>
          <t>LIAISON NW VERTICALE 1250kW</t>
        </is>
      </c>
      <c r="F7531" t="inlineStr">
        <is>
          <t>MBC GVX</t>
        </is>
      </c>
      <c r="J7531" t="inlineStr">
        <is>
          <t>MATRION</t>
        </is>
      </c>
      <c r="L7531">
        <f>_xlfn.XLOOKUP(Tableau1[[#This Row],[TYPE DE PIECE]],Tableau4[MATIERE],Tableau4[SHORT TYPE],"",0,1)</f>
        <v/>
      </c>
      <c r="N7531">
        <f>IF(ISERR(FIND("DECOUPE",Tableau1[[#This Row],[DESIGNATION]])),"","NEED REF")</f>
        <v/>
      </c>
    </row>
    <row r="7532">
      <c r="B7532" t="n">
        <v>34406473</v>
      </c>
      <c r="C7532" s="2" t="n">
        <v>43108</v>
      </c>
      <c r="D7532" t="inlineStr">
        <is>
          <t>SPEC</t>
        </is>
      </c>
      <c r="E7532" t="inlineStr">
        <is>
          <t>LIAISON NW VERTICALE 1000kW</t>
        </is>
      </c>
      <c r="F7532" t="inlineStr">
        <is>
          <t>MBC GVX</t>
        </is>
      </c>
      <c r="J7532" t="inlineStr">
        <is>
          <t>MATRION</t>
        </is>
      </c>
      <c r="L7532">
        <f>_xlfn.XLOOKUP(Tableau1[[#This Row],[TYPE DE PIECE]],Tableau4[MATIERE],Tableau4[SHORT TYPE],"",0,1)</f>
        <v/>
      </c>
      <c r="N7532">
        <f>IF(ISERR(FIND("DECOUPE",Tableau1[[#This Row],[DESIGNATION]])),"","NEED REF")</f>
        <v/>
      </c>
    </row>
    <row r="7533">
      <c r="B7533" t="n">
        <v>34406472</v>
      </c>
      <c r="C7533" s="2" t="n">
        <v>43108</v>
      </c>
      <c r="D7533" t="inlineStr">
        <is>
          <t>SPEC</t>
        </is>
      </c>
      <c r="E7533" t="inlineStr">
        <is>
          <t>LIAISON NW VERTICALE 750kW</t>
        </is>
      </c>
      <c r="F7533" t="inlineStr">
        <is>
          <t>MBC GVX</t>
        </is>
      </c>
      <c r="J7533" t="inlineStr">
        <is>
          <t>MATRION</t>
        </is>
      </c>
      <c r="L7533">
        <f>_xlfn.XLOOKUP(Tableau1[[#This Row],[TYPE DE PIECE]],Tableau4[MATIERE],Tableau4[SHORT TYPE],"",0,1)</f>
        <v/>
      </c>
      <c r="N7533">
        <f>IF(ISERR(FIND("DECOUPE",Tableau1[[#This Row],[DESIGNATION]])),"","NEED REF")</f>
        <v/>
      </c>
    </row>
    <row r="7534">
      <c r="B7534" t="n">
        <v>34406471</v>
      </c>
      <c r="C7534" s="2" t="n">
        <v>43108</v>
      </c>
      <c r="D7534" t="inlineStr">
        <is>
          <t>SPEC</t>
        </is>
      </c>
      <c r="E7534" t="inlineStr">
        <is>
          <t>LIAISON NW VERTICALE 500kW</t>
        </is>
      </c>
      <c r="F7534" t="inlineStr">
        <is>
          <t>MBC GVX</t>
        </is>
      </c>
      <c r="J7534" t="inlineStr">
        <is>
          <t>MATRION</t>
        </is>
      </c>
      <c r="L7534">
        <f>_xlfn.XLOOKUP(Tableau1[[#This Row],[TYPE DE PIECE]],Tableau4[MATIERE],Tableau4[SHORT TYPE],"",0,1)</f>
        <v/>
      </c>
      <c r="N7534">
        <f>IF(ISERR(FIND("DECOUPE",Tableau1[[#This Row],[DESIGNATION]])),"","NEED REF")</f>
        <v/>
      </c>
    </row>
    <row r="7535">
      <c r="B7535" t="n">
        <v>34406470</v>
      </c>
      <c r="C7535" s="2" t="n">
        <v>43108</v>
      </c>
      <c r="D7535" t="inlineStr">
        <is>
          <t>SPEC</t>
        </is>
      </c>
      <c r="E7535" t="inlineStr">
        <is>
          <t>LIAISON FLEXIBLE NW-LINERGY 4 NW32</t>
        </is>
      </c>
      <c r="F7535" t="inlineStr">
        <is>
          <t>MBC GVX</t>
        </is>
      </c>
      <c r="J7535" t="inlineStr">
        <is>
          <t>MATRION</t>
        </is>
      </c>
      <c r="L7535">
        <f>_xlfn.XLOOKUP(Tableau1[[#This Row],[TYPE DE PIECE]],Tableau4[MATIERE],Tableau4[SHORT TYPE],"",0,1)</f>
        <v/>
      </c>
      <c r="N7535">
        <f>IF(ISERR(FIND("DECOUPE",Tableau1[[#This Row],[DESIGNATION]])),"","NEED REF")</f>
        <v/>
      </c>
    </row>
    <row r="7536">
      <c r="B7536" t="n">
        <v>34406469</v>
      </c>
      <c r="C7536" s="2" t="n">
        <v>43108</v>
      </c>
      <c r="D7536" t="inlineStr">
        <is>
          <t>SPEC</t>
        </is>
      </c>
      <c r="E7536" t="inlineStr">
        <is>
          <t>LIAISON FLEXIBLE NW-LINERGY 3 NW32</t>
        </is>
      </c>
      <c r="F7536" t="inlineStr">
        <is>
          <t>MBC GVX</t>
        </is>
      </c>
      <c r="J7536" t="inlineStr">
        <is>
          <t>MATRION</t>
        </is>
      </c>
      <c r="L7536">
        <f>_xlfn.XLOOKUP(Tableau1[[#This Row],[TYPE DE PIECE]],Tableau4[MATIERE],Tableau4[SHORT TYPE],"",0,1)</f>
        <v/>
      </c>
      <c r="N7536">
        <f>IF(ISERR(FIND("DECOUPE",Tableau1[[#This Row],[DESIGNATION]])),"","NEED REF")</f>
        <v/>
      </c>
    </row>
    <row r="7537">
      <c r="B7537" t="n">
        <v>34406468</v>
      </c>
      <c r="C7537" s="2" t="n">
        <v>43108</v>
      </c>
      <c r="D7537" t="inlineStr">
        <is>
          <t>SPEC</t>
        </is>
      </c>
      <c r="E7537" t="inlineStr">
        <is>
          <t>LIAISON FLEXIBLE NW-LINERGY 2 NW32</t>
        </is>
      </c>
      <c r="F7537" t="inlineStr">
        <is>
          <t>MBC GVX</t>
        </is>
      </c>
      <c r="J7537" t="inlineStr">
        <is>
          <t>MATRION</t>
        </is>
      </c>
      <c r="L7537">
        <f>_xlfn.XLOOKUP(Tableau1[[#This Row],[TYPE DE PIECE]],Tableau4[MATIERE],Tableau4[SHORT TYPE],"",0,1)</f>
        <v/>
      </c>
      <c r="N7537">
        <f>IF(ISERR(FIND("DECOUPE",Tableau1[[#This Row],[DESIGNATION]])),"","NEED REF")</f>
        <v/>
      </c>
    </row>
    <row r="7538">
      <c r="B7538" t="n">
        <v>34406467</v>
      </c>
      <c r="C7538" s="2" t="n">
        <v>43108</v>
      </c>
      <c r="D7538" t="inlineStr">
        <is>
          <t>SPEC</t>
        </is>
      </c>
      <c r="E7538" t="inlineStr">
        <is>
          <t>LIAISON FLEXIBLE NW-LINERGY 1 NW32</t>
        </is>
      </c>
      <c r="F7538" t="inlineStr">
        <is>
          <t>MBC GVX</t>
        </is>
      </c>
      <c r="J7538" t="inlineStr">
        <is>
          <t>MATRION</t>
        </is>
      </c>
      <c r="L7538">
        <f>_xlfn.XLOOKUP(Tableau1[[#This Row],[TYPE DE PIECE]],Tableau4[MATIERE],Tableau4[SHORT TYPE],"",0,1)</f>
        <v/>
      </c>
      <c r="N7538">
        <f>IF(ISERR(FIND("DECOUPE",Tableau1[[#This Row],[DESIGNATION]])),"","NEED REF")</f>
        <v/>
      </c>
    </row>
    <row r="7539">
      <c r="B7539" t="n">
        <v>34406466</v>
      </c>
      <c r="C7539" s="2" t="n">
        <v>43108</v>
      </c>
      <c r="D7539" t="inlineStr">
        <is>
          <t>SPEC</t>
        </is>
      </c>
      <c r="E7539" t="inlineStr">
        <is>
          <t>LIAISON FLEXIBLE NW-LINERGY 4 NW20</t>
        </is>
      </c>
      <c r="F7539" t="inlineStr">
        <is>
          <t>MBC GVX</t>
        </is>
      </c>
      <c r="J7539" t="inlineStr">
        <is>
          <t>MATRION</t>
        </is>
      </c>
      <c r="L7539">
        <f>_xlfn.XLOOKUP(Tableau1[[#This Row],[TYPE DE PIECE]],Tableau4[MATIERE],Tableau4[SHORT TYPE],"",0,1)</f>
        <v/>
      </c>
      <c r="N7539">
        <f>IF(ISERR(FIND("DECOUPE",Tableau1[[#This Row],[DESIGNATION]])),"","NEED REF")</f>
        <v/>
      </c>
    </row>
    <row r="7540">
      <c r="B7540" t="n">
        <v>34406465</v>
      </c>
      <c r="C7540" s="2" t="n">
        <v>43108</v>
      </c>
      <c r="D7540" t="inlineStr">
        <is>
          <t>SPEC</t>
        </is>
      </c>
      <c r="E7540" t="inlineStr">
        <is>
          <t>LIAISON FLEXIBLE NW-LINERGY 3 NW20</t>
        </is>
      </c>
      <c r="F7540" t="inlineStr">
        <is>
          <t>MBC GVX</t>
        </is>
      </c>
      <c r="J7540" t="inlineStr">
        <is>
          <t>MATRION</t>
        </is>
      </c>
      <c r="L7540">
        <f>_xlfn.XLOOKUP(Tableau1[[#This Row],[TYPE DE PIECE]],Tableau4[MATIERE],Tableau4[SHORT TYPE],"",0,1)</f>
        <v/>
      </c>
      <c r="N7540">
        <f>IF(ISERR(FIND("DECOUPE",Tableau1[[#This Row],[DESIGNATION]])),"","NEED REF")</f>
        <v/>
      </c>
    </row>
    <row r="7541">
      <c r="B7541" t="n">
        <v>34406464</v>
      </c>
      <c r="C7541" s="2" t="n">
        <v>43108</v>
      </c>
      <c r="D7541" t="inlineStr">
        <is>
          <t>SPEC</t>
        </is>
      </c>
      <c r="E7541" t="inlineStr">
        <is>
          <t>LIAISON FLEXIBLE NW-LINERGY 2 NW20</t>
        </is>
      </c>
      <c r="F7541" t="inlineStr">
        <is>
          <t>MBC GVX</t>
        </is>
      </c>
      <c r="J7541" t="inlineStr">
        <is>
          <t>MATRION</t>
        </is>
      </c>
      <c r="L7541">
        <f>_xlfn.XLOOKUP(Tableau1[[#This Row],[TYPE DE PIECE]],Tableau4[MATIERE],Tableau4[SHORT TYPE],"",0,1)</f>
        <v/>
      </c>
      <c r="N7541">
        <f>IF(ISERR(FIND("DECOUPE",Tableau1[[#This Row],[DESIGNATION]])),"","NEED REF")</f>
        <v/>
      </c>
    </row>
    <row r="7542">
      <c r="B7542" t="n">
        <v>34406463</v>
      </c>
      <c r="C7542" s="2" t="n">
        <v>43108</v>
      </c>
      <c r="D7542" t="inlineStr">
        <is>
          <t>SPEC</t>
        </is>
      </c>
      <c r="E7542" t="inlineStr">
        <is>
          <t>LIAISON FLEXIBLE NW-LINERGY 1 NW20</t>
        </is>
      </c>
      <c r="F7542" t="inlineStr">
        <is>
          <t>MBC GVX</t>
        </is>
      </c>
      <c r="J7542" t="inlineStr">
        <is>
          <t>MATRION</t>
        </is>
      </c>
      <c r="L7542">
        <f>_xlfn.XLOOKUP(Tableau1[[#This Row],[TYPE DE PIECE]],Tableau4[MATIERE],Tableau4[SHORT TYPE],"",0,1)</f>
        <v/>
      </c>
      <c r="N7542">
        <f>IF(ISERR(FIND("DECOUPE",Tableau1[[#This Row],[DESIGNATION]])),"","NEED REF")</f>
        <v/>
      </c>
    </row>
    <row r="7543">
      <c r="B7543" t="n">
        <v>34406462</v>
      </c>
      <c r="C7543" s="2" t="n">
        <v>43108</v>
      </c>
      <c r="D7543" t="inlineStr">
        <is>
          <t>SPEC</t>
        </is>
      </c>
      <c r="E7543" t="inlineStr">
        <is>
          <t>LIAISON FLEXIBLE NW-LINERGY 4 NW16</t>
        </is>
      </c>
      <c r="F7543" t="inlineStr">
        <is>
          <t>MBC GVX</t>
        </is>
      </c>
      <c r="J7543" t="inlineStr">
        <is>
          <t>MATRION</t>
        </is>
      </c>
      <c r="L7543">
        <f>_xlfn.XLOOKUP(Tableau1[[#This Row],[TYPE DE PIECE]],Tableau4[MATIERE],Tableau4[SHORT TYPE],"",0,1)</f>
        <v/>
      </c>
      <c r="N7543">
        <f>IF(ISERR(FIND("DECOUPE",Tableau1[[#This Row],[DESIGNATION]])),"","NEED REF")</f>
        <v/>
      </c>
    </row>
    <row r="7544">
      <c r="B7544" t="n">
        <v>34406461</v>
      </c>
      <c r="C7544" s="2" t="n">
        <v>43108</v>
      </c>
      <c r="D7544" t="inlineStr">
        <is>
          <t>SPEC</t>
        </is>
      </c>
      <c r="E7544" t="inlineStr">
        <is>
          <t>LIAISON FLEXIBLE NW-LINERGY 3 NW16</t>
        </is>
      </c>
      <c r="F7544" t="inlineStr">
        <is>
          <t>MBC GVX</t>
        </is>
      </c>
      <c r="J7544" t="inlineStr">
        <is>
          <t>MATRION</t>
        </is>
      </c>
      <c r="L7544">
        <f>_xlfn.XLOOKUP(Tableau1[[#This Row],[TYPE DE PIECE]],Tableau4[MATIERE],Tableau4[SHORT TYPE],"",0,1)</f>
        <v/>
      </c>
      <c r="N7544">
        <f>IF(ISERR(FIND("DECOUPE",Tableau1[[#This Row],[DESIGNATION]])),"","NEED REF")</f>
        <v/>
      </c>
    </row>
    <row r="7545">
      <c r="B7545" t="n">
        <v>34406460</v>
      </c>
      <c r="C7545" s="2" t="n">
        <v>43108</v>
      </c>
      <c r="D7545" t="inlineStr">
        <is>
          <t>SPEC</t>
        </is>
      </c>
      <c r="E7545" t="inlineStr">
        <is>
          <t>LIAISON FLEXIBLE NW-LINERGY 2 NW16</t>
        </is>
      </c>
      <c r="F7545" t="inlineStr">
        <is>
          <t>MBC GVX</t>
        </is>
      </c>
      <c r="J7545" t="inlineStr">
        <is>
          <t>MATRION</t>
        </is>
      </c>
      <c r="L7545">
        <f>_xlfn.XLOOKUP(Tableau1[[#This Row],[TYPE DE PIECE]],Tableau4[MATIERE],Tableau4[SHORT TYPE],"",0,1)</f>
        <v/>
      </c>
      <c r="N7545">
        <f>IF(ISERR(FIND("DECOUPE",Tableau1[[#This Row],[DESIGNATION]])),"","NEED REF")</f>
        <v/>
      </c>
    </row>
    <row r="7546">
      <c r="B7546" t="n">
        <v>34406459</v>
      </c>
      <c r="C7546" s="2" t="n">
        <v>43108</v>
      </c>
      <c r="D7546" t="inlineStr">
        <is>
          <t>SPEC</t>
        </is>
      </c>
      <c r="E7546" t="inlineStr">
        <is>
          <t>LIAISON FLEXIBLE NW-LINERGY 1 NW16</t>
        </is>
      </c>
      <c r="F7546" t="inlineStr">
        <is>
          <t>MBC GVX</t>
        </is>
      </c>
      <c r="J7546" t="inlineStr">
        <is>
          <t>MATRION</t>
        </is>
      </c>
      <c r="L7546">
        <f>_xlfn.XLOOKUP(Tableau1[[#This Row],[TYPE DE PIECE]],Tableau4[MATIERE],Tableau4[SHORT TYPE],"",0,1)</f>
        <v/>
      </c>
      <c r="N7546">
        <f>IF(ISERR(FIND("DECOUPE",Tableau1[[#This Row],[DESIGNATION]])),"","NEED REF")</f>
        <v/>
      </c>
    </row>
    <row r="7547">
      <c r="B7547" t="n">
        <v>34406458</v>
      </c>
      <c r="C7547" s="2" t="n">
        <v>43108</v>
      </c>
      <c r="D7547" t="inlineStr">
        <is>
          <t>SPEC</t>
        </is>
      </c>
      <c r="E7547" t="inlineStr">
        <is>
          <t>LIAISON FLEXIBLE NW-LINERGY 4 NW08</t>
        </is>
      </c>
      <c r="F7547" t="inlineStr">
        <is>
          <t>MBC GVX</t>
        </is>
      </c>
      <c r="J7547" t="inlineStr">
        <is>
          <t>MATRION</t>
        </is>
      </c>
      <c r="K7547" t="inlineStr">
        <is>
          <t>CUIVRE</t>
        </is>
      </c>
      <c r="L7547">
        <f>_xlfn.XLOOKUP(Tableau1[[#This Row],[TYPE DE PIECE]],Tableau4[MATIERE],Tableau4[SHORT TYPE],"",0,1)</f>
        <v/>
      </c>
      <c r="N7547">
        <f>IF(ISERR(FIND("DECOUPE",Tableau1[[#This Row],[DESIGNATION]])),"","NEED REF")</f>
        <v/>
      </c>
    </row>
    <row r="7548">
      <c r="B7548" t="n">
        <v>34406457</v>
      </c>
      <c r="C7548" s="2" t="n">
        <v>43108</v>
      </c>
      <c r="D7548" t="inlineStr">
        <is>
          <t>SPEC</t>
        </is>
      </c>
      <c r="E7548" t="inlineStr">
        <is>
          <t>LIAISON FLEXIBLE NW-LINERGY 3 NW08</t>
        </is>
      </c>
      <c r="F7548" t="inlineStr">
        <is>
          <t>MBC GVX</t>
        </is>
      </c>
      <c r="J7548" t="inlineStr">
        <is>
          <t>MATRION</t>
        </is>
      </c>
      <c r="K7548" t="inlineStr">
        <is>
          <t>CUIVRE</t>
        </is>
      </c>
      <c r="L7548">
        <f>_xlfn.XLOOKUP(Tableau1[[#This Row],[TYPE DE PIECE]],Tableau4[MATIERE],Tableau4[SHORT TYPE],"",0,1)</f>
        <v/>
      </c>
      <c r="N7548">
        <f>IF(ISERR(FIND("DECOUPE",Tableau1[[#This Row],[DESIGNATION]])),"","NEED REF")</f>
        <v/>
      </c>
    </row>
    <row r="7549">
      <c r="B7549" t="n">
        <v>34406456</v>
      </c>
      <c r="C7549" s="2" t="n">
        <v>43108</v>
      </c>
      <c r="D7549" t="inlineStr">
        <is>
          <t>SPEC</t>
        </is>
      </c>
      <c r="E7549" t="inlineStr">
        <is>
          <t>LIAISON FLEXIBLE NW-LINERGY 2 NW08</t>
        </is>
      </c>
      <c r="F7549" t="inlineStr">
        <is>
          <t>MBC GVX</t>
        </is>
      </c>
      <c r="J7549" t="inlineStr">
        <is>
          <t>MATRION</t>
        </is>
      </c>
      <c r="K7549" t="inlineStr">
        <is>
          <t>CUIVRE</t>
        </is>
      </c>
      <c r="L7549">
        <f>_xlfn.XLOOKUP(Tableau1[[#This Row],[TYPE DE PIECE]],Tableau4[MATIERE],Tableau4[SHORT TYPE],"",0,1)</f>
        <v/>
      </c>
      <c r="N7549">
        <f>IF(ISERR(FIND("DECOUPE",Tableau1[[#This Row],[DESIGNATION]])),"","NEED REF")</f>
        <v/>
      </c>
    </row>
    <row r="7550">
      <c r="B7550" t="n">
        <v>34406455</v>
      </c>
      <c r="C7550" s="2" t="n">
        <v>43108</v>
      </c>
      <c r="D7550" t="inlineStr">
        <is>
          <t>SPEC</t>
        </is>
      </c>
      <c r="E7550" t="inlineStr">
        <is>
          <t>LIAISON FLEXIBLE NW-LINERGY 1 NW08</t>
        </is>
      </c>
      <c r="F7550" t="inlineStr">
        <is>
          <t>MBC GVX</t>
        </is>
      </c>
      <c r="J7550" t="inlineStr">
        <is>
          <t>MATRION</t>
        </is>
      </c>
      <c r="K7550" t="inlineStr">
        <is>
          <t>CUIVRE</t>
        </is>
      </c>
      <c r="L7550">
        <f>_xlfn.XLOOKUP(Tableau1[[#This Row],[TYPE DE PIECE]],Tableau4[MATIERE],Tableau4[SHORT TYPE],"",0,1)</f>
        <v/>
      </c>
      <c r="N7550">
        <f>IF(ISERR(FIND("DECOUPE",Tableau1[[#This Row],[DESIGNATION]])),"","NEED REF")</f>
        <v/>
      </c>
    </row>
    <row r="7551">
      <c r="B7551" t="n">
        <v>34406454</v>
      </c>
      <c r="C7551" s="2" t="n">
        <v>43103</v>
      </c>
      <c r="D7551" t="inlineStr">
        <is>
          <t>SPEC</t>
        </is>
      </c>
      <c r="E7551" t="inlineStr">
        <is>
          <t>CIRCUIT BREAKER SUPPORT</t>
        </is>
      </c>
      <c r="F7551" t="inlineStr">
        <is>
          <t>STX</t>
        </is>
      </c>
      <c r="J7551" t="inlineStr">
        <is>
          <t>ROBERT</t>
        </is>
      </c>
      <c r="L7551">
        <f>_xlfn.XLOOKUP(Tableau1[[#This Row],[TYPE DE PIECE]],Tableau4[MATIERE],Tableau4[SHORT TYPE],"",0,1)</f>
        <v/>
      </c>
      <c r="N7551">
        <f>IF(ISERR(FIND("DECOUPE",Tableau1[[#This Row],[DESIGNATION]])),"","NEED REF")</f>
        <v/>
      </c>
    </row>
    <row r="7552">
      <c r="B7552" t="n">
        <v>34406453</v>
      </c>
      <c r="C7552" s="2" t="n">
        <v>43103</v>
      </c>
      <c r="D7552" t="inlineStr">
        <is>
          <t>NOM</t>
        </is>
      </c>
      <c r="E7552" t="inlineStr">
        <is>
          <t>SE RACCORDEMENT 1500kW R1R2 3P</t>
        </is>
      </c>
      <c r="F7552" t="inlineStr">
        <is>
          <t>MBC GVX</t>
        </is>
      </c>
      <c r="J7552" t="inlineStr">
        <is>
          <t>MATRION</t>
        </is>
      </c>
      <c r="L7552">
        <f>_xlfn.XLOOKUP(Tableau1[[#This Row],[TYPE DE PIECE]],Tableau4[MATIERE],Tableau4[SHORT TYPE],"",0,1)</f>
        <v/>
      </c>
      <c r="N7552">
        <f>IF(ISERR(FIND("DECOUPE",Tableau1[[#This Row],[DESIGNATION]])),"","NEED REF")</f>
        <v/>
      </c>
    </row>
    <row r="7553">
      <c r="B7553" t="n">
        <v>34406452</v>
      </c>
      <c r="C7553" s="2" t="n">
        <v>43103</v>
      </c>
      <c r="D7553" t="inlineStr">
        <is>
          <t>NOM</t>
        </is>
      </c>
      <c r="E7553" t="inlineStr">
        <is>
          <t>SE RACCORDEMENT 1500kW R1R2 4P</t>
        </is>
      </c>
      <c r="F7553" t="inlineStr">
        <is>
          <t>MBC GVX</t>
        </is>
      </c>
      <c r="J7553" t="inlineStr">
        <is>
          <t>MATRION</t>
        </is>
      </c>
      <c r="L7553">
        <f>_xlfn.XLOOKUP(Tableau1[[#This Row],[TYPE DE PIECE]],Tableau4[MATIERE],Tableau4[SHORT TYPE],"",0,1)</f>
        <v/>
      </c>
      <c r="N7553">
        <f>IF(ISERR(FIND("DECOUPE",Tableau1[[#This Row],[DESIGNATION]])),"","NEED REF")</f>
        <v/>
      </c>
    </row>
    <row r="7554">
      <c r="B7554" t="n">
        <v>34406451</v>
      </c>
      <c r="C7554" s="2" t="n">
        <v>43103</v>
      </c>
      <c r="D7554" t="inlineStr">
        <is>
          <t>NOM</t>
        </is>
      </c>
      <c r="E7554" t="inlineStr">
        <is>
          <t>SE RACCORDEMENT 1500kW R1R2 4P+E</t>
        </is>
      </c>
      <c r="F7554" t="inlineStr">
        <is>
          <t>MBC GVX</t>
        </is>
      </c>
      <c r="J7554" t="inlineStr">
        <is>
          <t>MATRION</t>
        </is>
      </c>
      <c r="L7554">
        <f>_xlfn.XLOOKUP(Tableau1[[#This Row],[TYPE DE PIECE]],Tableau4[MATIERE],Tableau4[SHORT TYPE],"",0,1)</f>
        <v/>
      </c>
      <c r="N7554">
        <f>IF(ISERR(FIND("DECOUPE",Tableau1[[#This Row],[DESIGNATION]])),"","NEED REF")</f>
        <v/>
      </c>
    </row>
    <row r="7555">
      <c r="B7555" t="n">
        <v>34406450</v>
      </c>
      <c r="C7555" s="2" t="n">
        <v>43103</v>
      </c>
      <c r="D7555" t="inlineStr">
        <is>
          <t>NOM</t>
        </is>
      </c>
      <c r="E7555" t="inlineStr">
        <is>
          <t>SE RACCORDEMENT 750kW 3P</t>
        </is>
      </c>
      <c r="F7555" t="inlineStr">
        <is>
          <t>MBC GVX</t>
        </is>
      </c>
      <c r="J7555" t="inlineStr">
        <is>
          <t>MATRION</t>
        </is>
      </c>
      <c r="L7555">
        <f>_xlfn.XLOOKUP(Tableau1[[#This Row],[TYPE DE PIECE]],Tableau4[MATIERE],Tableau4[SHORT TYPE],"",0,1)</f>
        <v/>
      </c>
      <c r="N7555">
        <f>IF(ISERR(FIND("DECOUPE",Tableau1[[#This Row],[DESIGNATION]])),"","NEED REF")</f>
        <v/>
      </c>
    </row>
    <row r="7556">
      <c r="B7556" t="n">
        <v>34406449</v>
      </c>
      <c r="C7556" s="2" t="n">
        <v>43103</v>
      </c>
      <c r="D7556" t="inlineStr">
        <is>
          <t>NOM</t>
        </is>
      </c>
      <c r="E7556" t="inlineStr">
        <is>
          <t>SE RACCORDEMENT 750kW 4P</t>
        </is>
      </c>
      <c r="F7556" t="inlineStr">
        <is>
          <t>MBC GVX</t>
        </is>
      </c>
      <c r="J7556" t="inlineStr">
        <is>
          <t>MATRION</t>
        </is>
      </c>
      <c r="L7556">
        <f>_xlfn.XLOOKUP(Tableau1[[#This Row],[TYPE DE PIECE]],Tableau4[MATIERE],Tableau4[SHORT TYPE],"",0,1)</f>
        <v/>
      </c>
      <c r="N7556">
        <f>IF(ISERR(FIND("DECOUPE",Tableau1[[#This Row],[DESIGNATION]])),"","NEED REF")</f>
        <v/>
      </c>
    </row>
    <row r="7557">
      <c r="B7557" t="n">
        <v>34406448</v>
      </c>
      <c r="C7557" s="2" t="n">
        <v>43103</v>
      </c>
      <c r="D7557" t="inlineStr">
        <is>
          <t>NOM</t>
        </is>
      </c>
      <c r="E7557" t="inlineStr">
        <is>
          <t>SE RACCORDEMENT 750kW 4P+E</t>
        </is>
      </c>
      <c r="F7557" t="inlineStr">
        <is>
          <t>MBC GVX</t>
        </is>
      </c>
      <c r="J7557" t="inlineStr">
        <is>
          <t>MATRION</t>
        </is>
      </c>
      <c r="L7557">
        <f>_xlfn.XLOOKUP(Tableau1[[#This Row],[TYPE DE PIECE]],Tableau4[MATIERE],Tableau4[SHORT TYPE],"",0,1)</f>
        <v/>
      </c>
      <c r="N7557">
        <f>IF(ISERR(FIND("DECOUPE",Tableau1[[#This Row],[DESIGNATION]])),"","NEED REF")</f>
        <v/>
      </c>
    </row>
    <row r="7558">
      <c r="B7558" t="n">
        <v>34406447</v>
      </c>
      <c r="C7558" s="2" t="n">
        <v>43103</v>
      </c>
      <c r="D7558" t="inlineStr">
        <is>
          <t>NOM</t>
        </is>
      </c>
      <c r="E7558" t="inlineStr">
        <is>
          <t>SE RACCORDEMENT 1000kW 3P</t>
        </is>
      </c>
      <c r="F7558" t="inlineStr">
        <is>
          <t>MBC GVX</t>
        </is>
      </c>
      <c r="J7558" t="inlineStr">
        <is>
          <t>MATRION</t>
        </is>
      </c>
      <c r="L7558">
        <f>_xlfn.XLOOKUP(Tableau1[[#This Row],[TYPE DE PIECE]],Tableau4[MATIERE],Tableau4[SHORT TYPE],"",0,1)</f>
        <v/>
      </c>
      <c r="N7558">
        <f>IF(ISERR(FIND("DECOUPE",Tableau1[[#This Row],[DESIGNATION]])),"","NEED REF")</f>
        <v/>
      </c>
    </row>
    <row r="7559">
      <c r="B7559" t="n">
        <v>34406446</v>
      </c>
      <c r="C7559" s="2" t="n">
        <v>43103</v>
      </c>
      <c r="D7559" t="inlineStr">
        <is>
          <t>NOM</t>
        </is>
      </c>
      <c r="E7559" t="inlineStr">
        <is>
          <t>SE RACCORDEMENT 1000kW 4P</t>
        </is>
      </c>
      <c r="F7559" t="inlineStr">
        <is>
          <t>MBC GVX</t>
        </is>
      </c>
      <c r="J7559" t="inlineStr">
        <is>
          <t>MATRION</t>
        </is>
      </c>
      <c r="L7559">
        <f>_xlfn.XLOOKUP(Tableau1[[#This Row],[TYPE DE PIECE]],Tableau4[MATIERE],Tableau4[SHORT TYPE],"",0,1)</f>
        <v/>
      </c>
      <c r="N7559">
        <f>IF(ISERR(FIND("DECOUPE",Tableau1[[#This Row],[DESIGNATION]])),"","NEED REF")</f>
        <v/>
      </c>
    </row>
    <row r="7560">
      <c r="B7560" t="n">
        <v>34406445</v>
      </c>
      <c r="C7560" s="2" t="n">
        <v>43103</v>
      </c>
      <c r="D7560" t="inlineStr">
        <is>
          <t>NOM</t>
        </is>
      </c>
      <c r="E7560" t="inlineStr">
        <is>
          <t>SE RACCORDEMENT 1000kW 4P+E</t>
        </is>
      </c>
      <c r="F7560" t="inlineStr">
        <is>
          <t>MBC GVX</t>
        </is>
      </c>
      <c r="J7560" t="inlineStr">
        <is>
          <t>MATRION</t>
        </is>
      </c>
      <c r="L7560">
        <f>_xlfn.XLOOKUP(Tableau1[[#This Row],[TYPE DE PIECE]],Tableau4[MATIERE],Tableau4[SHORT TYPE],"",0,1)</f>
        <v/>
      </c>
      <c r="N7560">
        <f>IF(ISERR(FIND("DECOUPE",Tableau1[[#This Row],[DESIGNATION]])),"","NEED REF")</f>
        <v/>
      </c>
    </row>
    <row r="7561">
      <c r="B7561" t="n">
        <v>34406444</v>
      </c>
      <c r="C7561" s="2" t="n">
        <v>43103</v>
      </c>
      <c r="D7561" t="inlineStr">
        <is>
          <t>NOM</t>
        </is>
      </c>
      <c r="E7561" t="inlineStr">
        <is>
          <t>SE RACCORDEMENT 1250kW 3P</t>
        </is>
      </c>
      <c r="F7561" t="inlineStr">
        <is>
          <t>MBC GVX</t>
        </is>
      </c>
      <c r="J7561" t="inlineStr">
        <is>
          <t>MATRION</t>
        </is>
      </c>
      <c r="L7561">
        <f>_xlfn.XLOOKUP(Tableau1[[#This Row],[TYPE DE PIECE]],Tableau4[MATIERE],Tableau4[SHORT TYPE],"",0,1)</f>
        <v/>
      </c>
      <c r="N7561">
        <f>IF(ISERR(FIND("DECOUPE",Tableau1[[#This Row],[DESIGNATION]])),"","NEED REF")</f>
        <v/>
      </c>
    </row>
    <row r="7562">
      <c r="B7562" t="n">
        <v>34406443</v>
      </c>
      <c r="C7562" s="2" t="n">
        <v>43103</v>
      </c>
      <c r="D7562" t="inlineStr">
        <is>
          <t>NOM</t>
        </is>
      </c>
      <c r="E7562" t="inlineStr">
        <is>
          <t>SE RACCORDEMENT 1250kW 4P</t>
        </is>
      </c>
      <c r="F7562" t="inlineStr">
        <is>
          <t>MBC GVX</t>
        </is>
      </c>
      <c r="J7562" t="inlineStr">
        <is>
          <t>MATRION</t>
        </is>
      </c>
      <c r="L7562">
        <f>_xlfn.XLOOKUP(Tableau1[[#This Row],[TYPE DE PIECE]],Tableau4[MATIERE],Tableau4[SHORT TYPE],"",0,1)</f>
        <v/>
      </c>
      <c r="N7562">
        <f>IF(ISERR(FIND("DECOUPE",Tableau1[[#This Row],[DESIGNATION]])),"","NEED REF")</f>
        <v/>
      </c>
    </row>
    <row r="7563">
      <c r="B7563" t="n">
        <v>34406442</v>
      </c>
      <c r="C7563" s="2" t="n">
        <v>43103</v>
      </c>
      <c r="D7563" t="inlineStr">
        <is>
          <t>NOM</t>
        </is>
      </c>
      <c r="E7563" t="inlineStr">
        <is>
          <t>SE RACCORDEMENT 1250kW 4P+E</t>
        </is>
      </c>
      <c r="F7563" t="inlineStr">
        <is>
          <t>MBC GVX</t>
        </is>
      </c>
      <c r="J7563" t="inlineStr">
        <is>
          <t>MATRION</t>
        </is>
      </c>
      <c r="L7563">
        <f>_xlfn.XLOOKUP(Tableau1[[#This Row],[TYPE DE PIECE]],Tableau4[MATIERE],Tableau4[SHORT TYPE],"",0,1)</f>
        <v/>
      </c>
      <c r="N7563">
        <f>IF(ISERR(FIND("DECOUPE",Tableau1[[#This Row],[DESIGNATION]])),"","NEED REF")</f>
        <v/>
      </c>
    </row>
    <row r="7564">
      <c r="B7564" t="n">
        <v>34406441</v>
      </c>
      <c r="C7564" s="2" t="n">
        <v>43103</v>
      </c>
      <c r="D7564" t="inlineStr">
        <is>
          <t>SPEC</t>
        </is>
      </c>
      <c r="E7564" t="inlineStr">
        <is>
          <t>CX RACCORDEMENT CLIENT N COMMUN 800A</t>
        </is>
      </c>
      <c r="F7564" t="inlineStr">
        <is>
          <t>MBC GVX</t>
        </is>
      </c>
      <c r="J7564" t="inlineStr">
        <is>
          <t>MATRION</t>
        </is>
      </c>
      <c r="K7564" t="inlineStr">
        <is>
          <t>CUIVRE</t>
        </is>
      </c>
      <c r="L7564">
        <f>_xlfn.XLOOKUP(Tableau1[[#This Row],[TYPE DE PIECE]],Tableau4[MATIERE],Tableau4[SHORT TYPE],"",0,1)</f>
        <v/>
      </c>
      <c r="N7564">
        <f>IF(ISERR(FIND("DECOUPE",Tableau1[[#This Row],[DESIGNATION]])),"","NEED REF")</f>
        <v/>
      </c>
    </row>
    <row r="7565">
      <c r="B7565" t="n">
        <v>34406440</v>
      </c>
      <c r="C7565" s="2" t="n">
        <v>43103</v>
      </c>
      <c r="D7565" t="inlineStr">
        <is>
          <t>SPEC</t>
        </is>
      </c>
      <c r="E7565" t="inlineStr">
        <is>
          <t>CX RACCORDEMENT CLIENT N COMMUN 1250A</t>
        </is>
      </c>
      <c r="F7565" t="inlineStr">
        <is>
          <t>MBC GVX</t>
        </is>
      </c>
      <c r="J7565" t="inlineStr">
        <is>
          <t>MATRION</t>
        </is>
      </c>
      <c r="K7565" t="inlineStr">
        <is>
          <t>CUIVRE</t>
        </is>
      </c>
      <c r="L7565">
        <f>_xlfn.XLOOKUP(Tableau1[[#This Row],[TYPE DE PIECE]],Tableau4[MATIERE],Tableau4[SHORT TYPE],"",0,1)</f>
        <v/>
      </c>
      <c r="N7565">
        <f>IF(ISERR(FIND("DECOUPE",Tableau1[[#This Row],[DESIGNATION]])),"","NEED REF")</f>
        <v/>
      </c>
    </row>
    <row r="7566">
      <c r="B7566" t="n">
        <v>34406439</v>
      </c>
      <c r="C7566" s="2" t="n">
        <v>43103</v>
      </c>
      <c r="D7566" t="inlineStr">
        <is>
          <t>SPEC</t>
        </is>
      </c>
      <c r="E7566" t="inlineStr">
        <is>
          <t>CX RACCORDEMENT CLIENT N COMMUN 2000A</t>
        </is>
      </c>
      <c r="F7566" t="inlineStr">
        <is>
          <t>MBC GVX</t>
        </is>
      </c>
      <c r="J7566" t="inlineStr">
        <is>
          <t>MATRION</t>
        </is>
      </c>
      <c r="L7566">
        <f>_xlfn.XLOOKUP(Tableau1[[#This Row],[TYPE DE PIECE]],Tableau4[MATIERE],Tableau4[SHORT TYPE],"",0,1)</f>
        <v/>
      </c>
      <c r="N7566">
        <f>IF(ISERR(FIND("DECOUPE",Tableau1[[#This Row],[DESIGNATION]])),"","NEED REF")</f>
        <v/>
      </c>
    </row>
    <row r="7567">
      <c r="B7567" t="n">
        <v>34406438</v>
      </c>
      <c r="C7567" s="2" t="n">
        <v>43103</v>
      </c>
      <c r="D7567" t="inlineStr">
        <is>
          <t>SPEC</t>
        </is>
      </c>
      <c r="E7567" t="inlineStr">
        <is>
          <t>CX RACCORDEMENT CLIENT N COMMUN 3200A</t>
        </is>
      </c>
      <c r="F7567" t="inlineStr">
        <is>
          <t>MBC GVX</t>
        </is>
      </c>
      <c r="J7567" t="inlineStr">
        <is>
          <t>MATRION</t>
        </is>
      </c>
      <c r="L7567">
        <f>_xlfn.XLOOKUP(Tableau1[[#This Row],[TYPE DE PIECE]],Tableau4[MATIERE],Tableau4[SHORT TYPE],"",0,1)</f>
        <v/>
      </c>
      <c r="N7567">
        <f>IF(ISERR(FIND("DECOUPE",Tableau1[[#This Row],[DESIGNATION]])),"","NEED REF")</f>
        <v/>
      </c>
    </row>
    <row r="7568">
      <c r="B7568" t="n">
        <v>34406437</v>
      </c>
      <c r="C7568" s="2" t="n">
        <v>43103</v>
      </c>
      <c r="D7568" t="inlineStr">
        <is>
          <t>SPEC</t>
        </is>
      </c>
      <c r="E7568" t="inlineStr">
        <is>
          <t>CX RACCORDEMENT CLIENT 800A</t>
        </is>
      </c>
      <c r="F7568" t="inlineStr">
        <is>
          <t>MBC GVX</t>
        </is>
      </c>
      <c r="J7568" t="inlineStr">
        <is>
          <t>MATRION</t>
        </is>
      </c>
      <c r="K7568" t="inlineStr">
        <is>
          <t>CUIVRE</t>
        </is>
      </c>
      <c r="L7568">
        <f>_xlfn.XLOOKUP(Tableau1[[#This Row],[TYPE DE PIECE]],Tableau4[MATIERE],Tableau4[SHORT TYPE],"",0,1)</f>
        <v/>
      </c>
      <c r="N7568">
        <f>IF(ISERR(FIND("DECOUPE",Tableau1[[#This Row],[DESIGNATION]])),"","NEED REF")</f>
        <v/>
      </c>
    </row>
    <row r="7569">
      <c r="B7569" t="n">
        <v>34406436</v>
      </c>
      <c r="C7569" s="2" t="n">
        <v>43103</v>
      </c>
      <c r="D7569" t="inlineStr">
        <is>
          <t>SPEC</t>
        </is>
      </c>
      <c r="E7569" t="inlineStr">
        <is>
          <t>CX RACCORDEMENT CLIENT 1250A</t>
        </is>
      </c>
      <c r="F7569" t="inlineStr">
        <is>
          <t>MBC GVX</t>
        </is>
      </c>
      <c r="J7569" t="inlineStr">
        <is>
          <t>MATRION</t>
        </is>
      </c>
      <c r="K7569" t="inlineStr">
        <is>
          <t>CUIVRE</t>
        </is>
      </c>
      <c r="L7569">
        <f>_xlfn.XLOOKUP(Tableau1[[#This Row],[TYPE DE PIECE]],Tableau4[MATIERE],Tableau4[SHORT TYPE],"",0,1)</f>
        <v/>
      </c>
      <c r="N7569">
        <f>IF(ISERR(FIND("DECOUPE",Tableau1[[#This Row],[DESIGNATION]])),"","NEED REF")</f>
        <v/>
      </c>
    </row>
    <row r="7570">
      <c r="B7570" t="n">
        <v>34406435</v>
      </c>
      <c r="C7570" s="2" t="n">
        <v>43103</v>
      </c>
      <c r="D7570" t="inlineStr">
        <is>
          <t>SPEC</t>
        </is>
      </c>
      <c r="E7570" t="inlineStr">
        <is>
          <t>CX RACCORDEMENT CLIENT 2000A</t>
        </is>
      </c>
      <c r="F7570" t="inlineStr">
        <is>
          <t>MBC GVX</t>
        </is>
      </c>
      <c r="J7570" t="inlineStr">
        <is>
          <t>MATRION</t>
        </is>
      </c>
      <c r="L7570">
        <f>_xlfn.XLOOKUP(Tableau1[[#This Row],[TYPE DE PIECE]],Tableau4[MATIERE],Tableau4[SHORT TYPE],"",0,1)</f>
        <v/>
      </c>
      <c r="N7570">
        <f>IF(ISERR(FIND("DECOUPE",Tableau1[[#This Row],[DESIGNATION]])),"","NEED REF")</f>
        <v/>
      </c>
    </row>
    <row r="7571">
      <c r="B7571" t="n">
        <v>34406434</v>
      </c>
      <c r="C7571" s="2" t="n">
        <v>43103</v>
      </c>
      <c r="D7571" t="inlineStr">
        <is>
          <t>SPEC</t>
        </is>
      </c>
      <c r="E7571" t="inlineStr">
        <is>
          <t>CX RACCORDEMENT CLIENT 3200A</t>
        </is>
      </c>
      <c r="F7571" t="inlineStr">
        <is>
          <t>MBC GVX</t>
        </is>
      </c>
      <c r="J7571" t="inlineStr">
        <is>
          <t>MATRION</t>
        </is>
      </c>
      <c r="L7571">
        <f>_xlfn.XLOOKUP(Tableau1[[#This Row],[TYPE DE PIECE]],Tableau4[MATIERE],Tableau4[SHORT TYPE],"",0,1)</f>
        <v/>
      </c>
      <c r="N7571">
        <f>IF(ISERR(FIND("DECOUPE",Tableau1[[#This Row],[DESIGNATION]])),"","NEED REF")</f>
        <v/>
      </c>
    </row>
    <row r="7572">
      <c r="B7572" t="n">
        <v>34406433</v>
      </c>
      <c r="C7572" s="2" t="n">
        <v>43081</v>
      </c>
      <c r="D7572" t="inlineStr">
        <is>
          <t>SPEC</t>
        </is>
      </c>
      <c r="E7572" t="inlineStr">
        <is>
          <t>TIGE FILTE 180MM</t>
        </is>
      </c>
      <c r="F7572" t="inlineStr">
        <is>
          <t>MBC GVX</t>
        </is>
      </c>
      <c r="J7572" t="inlineStr">
        <is>
          <t>MATRION</t>
        </is>
      </c>
      <c r="L7572">
        <f>_xlfn.XLOOKUP(Tableau1[[#This Row],[TYPE DE PIECE]],Tableau4[MATIERE],Tableau4[SHORT TYPE],"",0,1)</f>
        <v/>
      </c>
      <c r="N7572">
        <f>IF(ISERR(FIND("DECOUPE",Tableau1[[#This Row],[DESIGNATION]])),"","NEED REF")</f>
        <v/>
      </c>
    </row>
    <row r="7573">
      <c r="B7573" t="n">
        <v>34406432</v>
      </c>
      <c r="C7573" s="2" t="n">
        <v>43081</v>
      </c>
      <c r="D7573" t="inlineStr">
        <is>
          <t>SPEC</t>
        </is>
      </c>
      <c r="E7573" t="inlineStr">
        <is>
          <t>S/E PLASTRON 34406209</t>
        </is>
      </c>
      <c r="F7573" t="inlineStr">
        <is>
          <t>MBC GVX</t>
        </is>
      </c>
      <c r="J7573" t="inlineStr">
        <is>
          <t>MATRION</t>
        </is>
      </c>
      <c r="L7573">
        <f>_xlfn.XLOOKUP(Tableau1[[#This Row],[TYPE DE PIECE]],Tableau4[MATIERE],Tableau4[SHORT TYPE],"",0,1)</f>
        <v/>
      </c>
      <c r="N7573">
        <f>IF(ISERR(FIND("DECOUPE",Tableau1[[#This Row],[DESIGNATION]])),"","NEED REF")</f>
        <v/>
      </c>
    </row>
    <row r="7574">
      <c r="B7574" t="n">
        <v>34406431</v>
      </c>
      <c r="C7574" s="2" t="n">
        <v>43081</v>
      </c>
      <c r="D7574" t="inlineStr">
        <is>
          <t>SPEC</t>
        </is>
      </c>
      <c r="E7574" t="inlineStr">
        <is>
          <t>S/E PLASTRON 34406205</t>
        </is>
      </c>
      <c r="F7574" t="inlineStr">
        <is>
          <t>MBC GVX</t>
        </is>
      </c>
      <c r="J7574" t="inlineStr">
        <is>
          <t>MATRION</t>
        </is>
      </c>
      <c r="L7574">
        <f>_xlfn.XLOOKUP(Tableau1[[#This Row],[TYPE DE PIECE]],Tableau4[MATIERE],Tableau4[SHORT TYPE],"",0,1)</f>
        <v/>
      </c>
      <c r="N7574">
        <f>IF(ISERR(FIND("DECOUPE",Tableau1[[#This Row],[DESIGNATION]])),"","NEED REF")</f>
        <v/>
      </c>
    </row>
    <row r="7575">
      <c r="B7575" t="n">
        <v>34406430</v>
      </c>
      <c r="C7575" s="2" t="n">
        <v>43081</v>
      </c>
      <c r="D7575" t="inlineStr">
        <is>
          <t>SPEC</t>
        </is>
      </c>
      <c r="E7575" t="inlineStr">
        <is>
          <t>S/E PLASTRON 34406204</t>
        </is>
      </c>
      <c r="F7575" t="inlineStr">
        <is>
          <t>MBC GVX</t>
        </is>
      </c>
      <c r="J7575" t="inlineStr">
        <is>
          <t>MATRION</t>
        </is>
      </c>
      <c r="L7575">
        <f>_xlfn.XLOOKUP(Tableau1[[#This Row],[TYPE DE PIECE]],Tableau4[MATIERE],Tableau4[SHORT TYPE],"",0,1)</f>
        <v/>
      </c>
      <c r="N7575">
        <f>IF(ISERR(FIND("DECOUPE",Tableau1[[#This Row],[DESIGNATION]])),"","NEED REF")</f>
        <v/>
      </c>
    </row>
    <row r="7576">
      <c r="B7576" t="n">
        <v>34406429</v>
      </c>
      <c r="C7576" s="2" t="n">
        <v>43081</v>
      </c>
      <c r="D7576" t="inlineStr">
        <is>
          <t>SPEC</t>
        </is>
      </c>
      <c r="E7576" t="inlineStr">
        <is>
          <t>DEMI TUNNEL MASTERPACT FIXE</t>
        </is>
      </c>
      <c r="F7576" t="inlineStr">
        <is>
          <t>MBC GVX</t>
        </is>
      </c>
      <c r="J7576" t="inlineStr">
        <is>
          <t>MATRION</t>
        </is>
      </c>
      <c r="K7576" t="inlineStr">
        <is>
          <t>METAL</t>
        </is>
      </c>
      <c r="L7576">
        <f>_xlfn.XLOOKUP(Tableau1[[#This Row],[TYPE DE PIECE]],Tableau4[MATIERE],Tableau4[SHORT TYPE],"",0,1)</f>
        <v/>
      </c>
      <c r="N7576">
        <f>IF(ISERR(FIND("DECOUPE",Tableau1[[#This Row],[DESIGNATION]])),"","NEED REF")</f>
        <v/>
      </c>
    </row>
    <row r="7577">
      <c r="B7577" t="n">
        <v>34406428</v>
      </c>
      <c r="C7577" s="2" t="n">
        <v>43081</v>
      </c>
      <c r="D7577" t="inlineStr">
        <is>
          <t>SPEC</t>
        </is>
      </c>
      <c r="E7577" t="inlineStr">
        <is>
          <t>S/E SUPPORT BRIDAGE CABLES</t>
        </is>
      </c>
      <c r="F7577" t="inlineStr">
        <is>
          <t>MBC GVX</t>
        </is>
      </c>
      <c r="J7577" t="inlineStr">
        <is>
          <t>MATRION</t>
        </is>
      </c>
      <c r="L7577">
        <f>_xlfn.XLOOKUP(Tableau1[[#This Row],[TYPE DE PIECE]],Tableau4[MATIERE],Tableau4[SHORT TYPE],"",0,1)</f>
        <v/>
      </c>
      <c r="N7577">
        <f>IF(ISERR(FIND("DECOUPE",Tableau1[[#This Row],[DESIGNATION]])),"","NEED REF")</f>
        <v/>
      </c>
    </row>
    <row r="7578">
      <c r="B7578" t="n">
        <v>34406427</v>
      </c>
      <c r="C7578" s="2" t="n">
        <v>43081</v>
      </c>
      <c r="D7578" t="inlineStr">
        <is>
          <t>SPEC</t>
        </is>
      </c>
      <c r="E7578" t="inlineStr">
        <is>
          <t>EQUERRE FIXATION CABLES</t>
        </is>
      </c>
      <c r="F7578" t="inlineStr">
        <is>
          <t>MBC GVX</t>
        </is>
      </c>
      <c r="J7578" t="inlineStr">
        <is>
          <t>MATRION</t>
        </is>
      </c>
      <c r="K7578" t="inlineStr">
        <is>
          <t>METAL</t>
        </is>
      </c>
      <c r="L7578">
        <f>_xlfn.XLOOKUP(Tableau1[[#This Row],[TYPE DE PIECE]],Tableau4[MATIERE],Tableau4[SHORT TYPE],"",0,1)</f>
        <v/>
      </c>
      <c r="N7578">
        <f>IF(ISERR(FIND("DECOUPE",Tableau1[[#This Row],[DESIGNATION]])),"","NEED REF")</f>
        <v/>
      </c>
    </row>
    <row r="7579">
      <c r="B7579" t="n">
        <v>34406426</v>
      </c>
      <c r="C7579" s="2" t="n">
        <v>43081</v>
      </c>
      <c r="D7579" t="inlineStr">
        <is>
          <t>SPEC</t>
        </is>
      </c>
      <c r="E7579" t="inlineStr">
        <is>
          <t>EQUERRE PLASTRON DROIT/GAUCHE</t>
        </is>
      </c>
      <c r="F7579" t="inlineStr">
        <is>
          <t>MBC GVX</t>
        </is>
      </c>
      <c r="J7579" t="inlineStr">
        <is>
          <t>MATRION</t>
        </is>
      </c>
      <c r="K7579" t="inlineStr">
        <is>
          <t>METAL</t>
        </is>
      </c>
      <c r="L7579">
        <f>_xlfn.XLOOKUP(Tableau1[[#This Row],[TYPE DE PIECE]],Tableau4[MATIERE],Tableau4[SHORT TYPE],"",0,1)</f>
        <v/>
      </c>
      <c r="N7579">
        <f>IF(ISERR(FIND("DECOUPE",Tableau1[[#This Row],[DESIGNATION]])),"","NEED REF")</f>
        <v/>
      </c>
    </row>
    <row r="7580">
      <c r="B7580" t="n">
        <v>34406425</v>
      </c>
      <c r="C7580" s="2" t="n">
        <v>43081</v>
      </c>
      <c r="D7580" t="inlineStr">
        <is>
          <t>SPEC</t>
        </is>
      </c>
      <c r="E7580" t="inlineStr">
        <is>
          <t>PLASTRON PLEIN HAUT/BAS</t>
        </is>
      </c>
      <c r="F7580" t="inlineStr">
        <is>
          <t>MBC GVX</t>
        </is>
      </c>
      <c r="J7580" t="inlineStr">
        <is>
          <t>MATRION</t>
        </is>
      </c>
      <c r="K7580" t="inlineStr">
        <is>
          <t>METAL</t>
        </is>
      </c>
      <c r="L7580">
        <f>_xlfn.XLOOKUP(Tableau1[[#This Row],[TYPE DE PIECE]],Tableau4[MATIERE],Tableau4[SHORT TYPE],"",0,1)</f>
        <v/>
      </c>
      <c r="N7580">
        <f>IF(ISERR(FIND("DECOUPE",Tableau1[[#This Row],[DESIGNATION]])),"","NEED REF")</f>
        <v/>
      </c>
    </row>
    <row r="7581">
      <c r="B7581" t="n">
        <v>34406424</v>
      </c>
      <c r="C7581" s="2" t="n">
        <v>43081</v>
      </c>
      <c r="D7581" t="inlineStr">
        <is>
          <t>SPEC</t>
        </is>
      </c>
      <c r="E7581" t="inlineStr">
        <is>
          <t>Masterpact NW20 H2 4P Micro6.0E</t>
        </is>
      </c>
      <c r="F7581" t="inlineStr">
        <is>
          <t>MBC GVX</t>
        </is>
      </c>
      <c r="J7581" t="inlineStr">
        <is>
          <t>MATRION</t>
        </is>
      </c>
      <c r="L7581">
        <f>_xlfn.XLOOKUP(Tableau1[[#This Row],[TYPE DE PIECE]],Tableau4[MATIERE],Tableau4[SHORT TYPE],"",0,1)</f>
        <v/>
      </c>
      <c r="N7581">
        <f>IF(ISERR(FIND("DECOUPE",Tableau1[[#This Row],[DESIGNATION]])),"","NEED REF")</f>
        <v/>
      </c>
    </row>
    <row r="7582">
      <c r="B7582" t="n">
        <v>34406423</v>
      </c>
      <c r="C7582" s="2" t="n">
        <v>43081</v>
      </c>
      <c r="D7582" t="inlineStr">
        <is>
          <t>SPEC</t>
        </is>
      </c>
      <c r="E7582" t="inlineStr">
        <is>
          <t>Masterpact NW16 H2 4P Micro2.0E</t>
        </is>
      </c>
      <c r="F7582" t="inlineStr">
        <is>
          <t>MBC GVX</t>
        </is>
      </c>
      <c r="J7582" t="inlineStr">
        <is>
          <t>MATRION</t>
        </is>
      </c>
      <c r="L7582">
        <f>_xlfn.XLOOKUP(Tableau1[[#This Row],[TYPE DE PIECE]],Tableau4[MATIERE],Tableau4[SHORT TYPE],"",0,1)</f>
        <v/>
      </c>
      <c r="N7582">
        <f>IF(ISERR(FIND("DECOUPE",Tableau1[[#This Row],[DESIGNATION]])),"","NEED REF")</f>
        <v/>
      </c>
    </row>
    <row r="7583">
      <c r="B7583" t="n">
        <v>34406422</v>
      </c>
      <c r="C7583" s="2" t="n">
        <v>43081</v>
      </c>
      <c r="D7583" t="inlineStr">
        <is>
          <t>SPEC</t>
        </is>
      </c>
      <c r="E7583" t="inlineStr">
        <is>
          <t>sérigraphie sinewave didactic</t>
        </is>
      </c>
      <c r="J7583" t="inlineStr">
        <is>
          <t>PLANTIER</t>
        </is>
      </c>
      <c r="L7583">
        <f>_xlfn.XLOOKUP(Tableau1[[#This Row],[TYPE DE PIECE]],Tableau4[MATIERE],Tableau4[SHORT TYPE],"",0,1)</f>
        <v/>
      </c>
      <c r="N7583">
        <f>IF(ISERR(FIND("DECOUPE",Tableau1[[#This Row],[DESIGNATION]])),"","NEED REF")</f>
        <v/>
      </c>
    </row>
    <row r="7584">
      <c r="B7584" t="n">
        <v>34406421</v>
      </c>
      <c r="C7584" s="2" t="n">
        <v>43080</v>
      </c>
      <c r="D7584" t="inlineStr">
        <is>
          <t>SPEC</t>
        </is>
      </c>
      <c r="E7584" t="inlineStr">
        <is>
          <t>TERMINALS BLOCKS SUPPORT</t>
        </is>
      </c>
      <c r="F7584" t="inlineStr">
        <is>
          <t>STX</t>
        </is>
      </c>
      <c r="J7584" t="inlineStr">
        <is>
          <t>ROBERT</t>
        </is>
      </c>
      <c r="L7584">
        <f>_xlfn.XLOOKUP(Tableau1[[#This Row],[TYPE DE PIECE]],Tableau4[MATIERE],Tableau4[SHORT TYPE],"",0,1)</f>
        <v/>
      </c>
      <c r="N7584">
        <f>IF(ISERR(FIND("DECOUPE",Tableau1[[#This Row],[DESIGNATION]])),"","NEED REF")</f>
        <v/>
      </c>
    </row>
    <row r="7585">
      <c r="B7585" t="n">
        <v>34406420</v>
      </c>
      <c r="C7585" s="2" t="n">
        <v>43080</v>
      </c>
      <c r="D7585" t="inlineStr">
        <is>
          <t>SPEC</t>
        </is>
      </c>
      <c r="E7585" t="inlineStr">
        <is>
          <t>LEFT FLANGE</t>
        </is>
      </c>
      <c r="F7585" t="inlineStr">
        <is>
          <t>STX</t>
        </is>
      </c>
      <c r="J7585" t="inlineStr">
        <is>
          <t>ROBERT</t>
        </is>
      </c>
      <c r="L7585">
        <f>_xlfn.XLOOKUP(Tableau1[[#This Row],[TYPE DE PIECE]],Tableau4[MATIERE],Tableau4[SHORT TYPE],"",0,1)</f>
        <v/>
      </c>
      <c r="N7585">
        <f>IF(ISERR(FIND("DECOUPE",Tableau1[[#This Row],[DESIGNATION]])),"","NEED REF")</f>
        <v/>
      </c>
    </row>
    <row r="7586">
      <c r="B7586" t="n">
        <v>34406419</v>
      </c>
      <c r="C7586" s="2" t="n">
        <v>43080</v>
      </c>
      <c r="D7586" t="inlineStr">
        <is>
          <t>SPEC</t>
        </is>
      </c>
      <c r="E7586" t="inlineStr">
        <is>
          <t>CX Q5N</t>
        </is>
      </c>
      <c r="F7586" t="inlineStr">
        <is>
          <t>STX</t>
        </is>
      </c>
      <c r="J7586" t="inlineStr">
        <is>
          <t>ROBERT</t>
        </is>
      </c>
      <c r="L7586">
        <f>_xlfn.XLOOKUP(Tableau1[[#This Row],[TYPE DE PIECE]],Tableau4[MATIERE],Tableau4[SHORT TYPE],"",0,1)</f>
        <v/>
      </c>
      <c r="N7586">
        <f>IF(ISERR(FIND("DECOUPE",Tableau1[[#This Row],[DESIGNATION]])),"","NEED REF")</f>
        <v/>
      </c>
    </row>
    <row r="7587">
      <c r="B7587" t="n">
        <v>34406418</v>
      </c>
      <c r="C7587" s="2" t="n">
        <v>43080</v>
      </c>
      <c r="D7587" t="inlineStr">
        <is>
          <t>SPEC</t>
        </is>
      </c>
      <c r="E7587" t="inlineStr">
        <is>
          <t>PLASTRON PM850</t>
        </is>
      </c>
      <c r="F7587" t="inlineStr">
        <is>
          <t>STX</t>
        </is>
      </c>
      <c r="J7587" t="inlineStr">
        <is>
          <t>ROBERT</t>
        </is>
      </c>
      <c r="L7587">
        <f>_xlfn.XLOOKUP(Tableau1[[#This Row],[TYPE DE PIECE]],Tableau4[MATIERE],Tableau4[SHORT TYPE],"",0,1)</f>
        <v/>
      </c>
      <c r="N7587">
        <f>IF(ISERR(FIND("DECOUPE",Tableau1[[#This Row],[DESIGNATION]])),"","NEED REF")</f>
        <v/>
      </c>
    </row>
    <row r="7588">
      <c r="B7588" t="n">
        <v>34406417</v>
      </c>
      <c r="C7588" s="2" t="n">
        <v>43080</v>
      </c>
      <c r="D7588" t="inlineStr">
        <is>
          <t>SPEC</t>
        </is>
      </c>
      <c r="E7588" t="inlineStr">
        <is>
          <t>PLASTRON FILS FINS</t>
        </is>
      </c>
      <c r="F7588" t="inlineStr">
        <is>
          <t>STX</t>
        </is>
      </c>
      <c r="J7588" t="inlineStr">
        <is>
          <t>ROBERT</t>
        </is>
      </c>
      <c r="L7588">
        <f>_xlfn.XLOOKUP(Tableau1[[#This Row],[TYPE DE PIECE]],Tableau4[MATIERE],Tableau4[SHORT TYPE],"",0,1)</f>
        <v/>
      </c>
      <c r="N7588">
        <f>IF(ISERR(FIND("DECOUPE",Tableau1[[#This Row],[DESIGNATION]])),"","NEED REF")</f>
        <v/>
      </c>
    </row>
    <row r="7589">
      <c r="B7589" t="n">
        <v>34406416</v>
      </c>
      <c r="C7589" s="2" t="n">
        <v>43080</v>
      </c>
      <c r="D7589" t="inlineStr">
        <is>
          <t>SPEC</t>
        </is>
      </c>
      <c r="E7589" t="inlineStr">
        <is>
          <t>PLASTRON PUISSANCE</t>
        </is>
      </c>
      <c r="F7589" t="inlineStr">
        <is>
          <t>STX</t>
        </is>
      </c>
      <c r="J7589" t="inlineStr">
        <is>
          <t>ROBERT</t>
        </is>
      </c>
      <c r="L7589">
        <f>_xlfn.XLOOKUP(Tableau1[[#This Row],[TYPE DE PIECE]],Tableau4[MATIERE],Tableau4[SHORT TYPE],"",0,1)</f>
        <v/>
      </c>
      <c r="N7589">
        <f>IF(ISERR(FIND("DECOUPE",Tableau1[[#This Row],[DESIGNATION]])),"","NEED REF")</f>
        <v/>
      </c>
    </row>
    <row r="7590">
      <c r="B7590" t="n">
        <v>34406415</v>
      </c>
      <c r="C7590" s="2" t="n">
        <v>43080</v>
      </c>
      <c r="D7590" t="inlineStr">
        <is>
          <t>SPEC</t>
        </is>
      </c>
      <c r="E7590" t="inlineStr">
        <is>
          <t>PLASTRON DECOUPE 900x348</t>
        </is>
      </c>
      <c r="F7590" t="inlineStr">
        <is>
          <t>STX</t>
        </is>
      </c>
      <c r="J7590" t="inlineStr">
        <is>
          <t>ROBERT</t>
        </is>
      </c>
      <c r="L7590">
        <f>_xlfn.XLOOKUP(Tableau1[[#This Row],[TYPE DE PIECE]],Tableau4[MATIERE],Tableau4[SHORT TYPE],"",0,1)</f>
        <v/>
      </c>
      <c r="N7590">
        <f>IF(ISERR(FIND("DECOUPE",Tableau1[[#This Row],[DESIGNATION]])),"","NEED REF")</f>
        <v/>
      </c>
    </row>
    <row r="7591">
      <c r="B7591" t="n">
        <v>34406414</v>
      </c>
      <c r="C7591" s="2" t="n">
        <v>43080</v>
      </c>
      <c r="D7591" t="inlineStr">
        <is>
          <t>SPEC</t>
        </is>
      </c>
      <c r="E7591" t="inlineStr">
        <is>
          <t>PLASTRON DECOUPE 900x367</t>
        </is>
      </c>
      <c r="F7591" t="inlineStr">
        <is>
          <t>STX</t>
        </is>
      </c>
      <c r="J7591" t="inlineStr">
        <is>
          <t>ROBERT</t>
        </is>
      </c>
      <c r="L7591">
        <f>_xlfn.XLOOKUP(Tableau1[[#This Row],[TYPE DE PIECE]],Tableau4[MATIERE],Tableau4[SHORT TYPE],"",0,1)</f>
        <v/>
      </c>
      <c r="N7591">
        <f>IF(ISERR(FIND("DECOUPE",Tableau1[[#This Row],[DESIGNATION]])),"","NEED REF")</f>
        <v/>
      </c>
    </row>
    <row r="7592">
      <c r="B7592" t="n">
        <v>34406413</v>
      </c>
      <c r="C7592" s="2" t="n">
        <v>43080</v>
      </c>
      <c r="D7592" t="inlineStr">
        <is>
          <t>SPEC</t>
        </is>
      </c>
      <c r="E7592" t="inlineStr">
        <is>
          <t>PLASTRON PLEIN 900x296</t>
        </is>
      </c>
      <c r="F7592" t="inlineStr">
        <is>
          <t>STX</t>
        </is>
      </c>
      <c r="J7592" t="inlineStr">
        <is>
          <t>ROBERT</t>
        </is>
      </c>
      <c r="L7592">
        <f>_xlfn.XLOOKUP(Tableau1[[#This Row],[TYPE DE PIECE]],Tableau4[MATIERE],Tableau4[SHORT TYPE],"",0,1)</f>
        <v/>
      </c>
      <c r="N7592">
        <f>IF(ISERR(FIND("DECOUPE",Tableau1[[#This Row],[DESIGNATION]])),"","NEED REF")</f>
        <v/>
      </c>
    </row>
    <row r="7593">
      <c r="B7593" t="n">
        <v>34406412</v>
      </c>
      <c r="C7593" s="2" t="n">
        <v>43080</v>
      </c>
      <c r="D7593" t="inlineStr">
        <is>
          <t>SPEC</t>
        </is>
      </c>
      <c r="E7593" t="inlineStr">
        <is>
          <t>EQUERRE HAUTE DROITE</t>
        </is>
      </c>
      <c r="F7593" t="inlineStr">
        <is>
          <t>STX</t>
        </is>
      </c>
      <c r="J7593" t="inlineStr">
        <is>
          <t>ROBERT</t>
        </is>
      </c>
      <c r="L7593">
        <f>_xlfn.XLOOKUP(Tableau1[[#This Row],[TYPE DE PIECE]],Tableau4[MATIERE],Tableau4[SHORT TYPE],"",0,1)</f>
        <v/>
      </c>
      <c r="N7593">
        <f>IF(ISERR(FIND("DECOUPE",Tableau1[[#This Row],[DESIGNATION]])),"","NEED REF")</f>
        <v/>
      </c>
    </row>
    <row r="7594">
      <c r="B7594" t="n">
        <v>34406411</v>
      </c>
      <c r="C7594" s="2" t="n">
        <v>43080</v>
      </c>
      <c r="D7594" t="inlineStr">
        <is>
          <t>SPEC</t>
        </is>
      </c>
      <c r="E7594" t="inlineStr">
        <is>
          <t>EQUERRE HAUTE GAUCHE</t>
        </is>
      </c>
      <c r="F7594" t="inlineStr">
        <is>
          <t>STX</t>
        </is>
      </c>
      <c r="J7594" t="inlineStr">
        <is>
          <t>ROBERT</t>
        </is>
      </c>
      <c r="L7594">
        <f>_xlfn.XLOOKUP(Tableau1[[#This Row],[TYPE DE PIECE]],Tableau4[MATIERE],Tableau4[SHORT TYPE],"",0,1)</f>
        <v/>
      </c>
      <c r="N7594">
        <f>IF(ISERR(FIND("DECOUPE",Tableau1[[#This Row],[DESIGNATION]])),"","NEED REF")</f>
        <v/>
      </c>
    </row>
    <row r="7595">
      <c r="B7595" t="n">
        <v>34406410</v>
      </c>
      <c r="C7595" s="2" t="n">
        <v>43080</v>
      </c>
      <c r="D7595" t="inlineStr">
        <is>
          <t>SPEC</t>
        </is>
      </c>
      <c r="E7595" t="inlineStr">
        <is>
          <t>TRAVERSE AVANT</t>
        </is>
      </c>
      <c r="F7595" t="inlineStr">
        <is>
          <t>STX</t>
        </is>
      </c>
      <c r="J7595" t="inlineStr">
        <is>
          <t>ROBERT</t>
        </is>
      </c>
      <c r="L7595">
        <f>_xlfn.XLOOKUP(Tableau1[[#This Row],[TYPE DE PIECE]],Tableau4[MATIERE],Tableau4[SHORT TYPE],"",0,1)</f>
        <v/>
      </c>
      <c r="N7595">
        <f>IF(ISERR(FIND("DECOUPE",Tableau1[[#This Row],[DESIGNATION]])),"","NEED REF")</f>
        <v/>
      </c>
    </row>
    <row r="7596">
      <c r="B7596" t="n">
        <v>34406409</v>
      </c>
      <c r="C7596" s="2" t="n">
        <v>43080</v>
      </c>
      <c r="D7596" t="inlineStr">
        <is>
          <t>SPEC</t>
        </is>
      </c>
      <c r="E7596" t="inlineStr">
        <is>
          <t>MONTANT VERTICAL</t>
        </is>
      </c>
      <c r="F7596" t="inlineStr">
        <is>
          <t>STX</t>
        </is>
      </c>
      <c r="J7596" t="inlineStr">
        <is>
          <t>ROBERT</t>
        </is>
      </c>
      <c r="L7596">
        <f>_xlfn.XLOOKUP(Tableau1[[#This Row],[TYPE DE PIECE]],Tableau4[MATIERE],Tableau4[SHORT TYPE],"",0,1)</f>
        <v/>
      </c>
      <c r="N7596">
        <f>IF(ISERR(FIND("DECOUPE",Tableau1[[#This Row],[DESIGNATION]])),"","NEED REF")</f>
        <v/>
      </c>
    </row>
    <row r="7597">
      <c r="B7597" t="n">
        <v>34406408</v>
      </c>
      <c r="C7597" s="2" t="n">
        <v>43080</v>
      </c>
      <c r="D7597" t="inlineStr">
        <is>
          <t>SPEC</t>
        </is>
      </c>
      <c r="E7597" t="inlineStr">
        <is>
          <t>EQUERRE BASSE GAUCHE</t>
        </is>
      </c>
      <c r="F7597" t="inlineStr">
        <is>
          <t>STX</t>
        </is>
      </c>
      <c r="J7597" t="inlineStr">
        <is>
          <t>ROBERT</t>
        </is>
      </c>
      <c r="L7597">
        <f>_xlfn.XLOOKUP(Tableau1[[#This Row],[TYPE DE PIECE]],Tableau4[MATIERE],Tableau4[SHORT TYPE],"",0,1)</f>
        <v/>
      </c>
      <c r="N7597">
        <f>IF(ISERR(FIND("DECOUPE",Tableau1[[#This Row],[DESIGNATION]])),"","NEED REF")</f>
        <v/>
      </c>
    </row>
    <row r="7598">
      <c r="B7598" t="n">
        <v>34406407</v>
      </c>
      <c r="C7598" s="2" t="n">
        <v>43080</v>
      </c>
      <c r="D7598" t="inlineStr">
        <is>
          <t>SPEC</t>
        </is>
      </c>
      <c r="E7598" t="inlineStr">
        <is>
          <t>EQUERRE BASSE DROITE</t>
        </is>
      </c>
      <c r="F7598" t="inlineStr">
        <is>
          <t>STX</t>
        </is>
      </c>
      <c r="J7598" t="inlineStr">
        <is>
          <t>ROBERT</t>
        </is>
      </c>
      <c r="L7598">
        <f>_xlfn.XLOOKUP(Tableau1[[#This Row],[TYPE DE PIECE]],Tableau4[MATIERE],Tableau4[SHORT TYPE],"",0,1)</f>
        <v/>
      </c>
      <c r="N7598">
        <f>IF(ISERR(FIND("DECOUPE",Tableau1[[#This Row],[DESIGNATION]])),"","NEED REF")</f>
        <v/>
      </c>
    </row>
    <row r="7599">
      <c r="B7599" t="n">
        <v>34406406</v>
      </c>
      <c r="C7599" s="2" t="n">
        <v>43070</v>
      </c>
      <c r="D7599" t="inlineStr">
        <is>
          <t>SPEC</t>
        </is>
      </c>
      <c r="E7599" t="inlineStr">
        <is>
          <t>PLAQUE PASSE CABLE DROIT</t>
        </is>
      </c>
      <c r="F7599" t="inlineStr">
        <is>
          <t>STX</t>
        </is>
      </c>
      <c r="J7599" t="inlineStr">
        <is>
          <t>MATRION</t>
        </is>
      </c>
      <c r="L7599">
        <f>_xlfn.XLOOKUP(Tableau1[[#This Row],[TYPE DE PIECE]],Tableau4[MATIERE],Tableau4[SHORT TYPE],"",0,1)</f>
        <v/>
      </c>
      <c r="N7599">
        <f>IF(ISERR(FIND("DECOUPE",Tableau1[[#This Row],[DESIGNATION]])),"","NEED REF")</f>
        <v/>
      </c>
    </row>
    <row r="7600">
      <c r="B7600" t="n">
        <v>34406405</v>
      </c>
      <c r="C7600" s="2" t="n">
        <v>43070</v>
      </c>
      <c r="D7600" t="inlineStr">
        <is>
          <t>SPEC</t>
        </is>
      </c>
      <c r="E7600" t="inlineStr">
        <is>
          <t>PLAGE DE RACCORDEMENT</t>
        </is>
      </c>
      <c r="F7600" t="inlineStr">
        <is>
          <t>STX</t>
        </is>
      </c>
      <c r="J7600" t="inlineStr">
        <is>
          <t>MATRION</t>
        </is>
      </c>
      <c r="L7600">
        <f>_xlfn.XLOOKUP(Tableau1[[#This Row],[TYPE DE PIECE]],Tableau4[MATIERE],Tableau4[SHORT TYPE],"",0,1)</f>
        <v/>
      </c>
      <c r="N7600">
        <f>IF(ISERR(FIND("DECOUPE",Tableau1[[#This Row],[DESIGNATION]])),"","NEED REF")</f>
        <v/>
      </c>
    </row>
    <row r="7601">
      <c r="B7601" t="n">
        <v>34406404</v>
      </c>
      <c r="C7601" s="2" t="n">
        <v>43070</v>
      </c>
      <c r="D7601" t="inlineStr">
        <is>
          <t>SPEC</t>
        </is>
      </c>
      <c r="E7601" t="inlineStr">
        <is>
          <t>PLAQUE PASSE CABLE GAUCHE</t>
        </is>
      </c>
      <c r="F7601" t="inlineStr">
        <is>
          <t>STX</t>
        </is>
      </c>
      <c r="J7601" t="inlineStr">
        <is>
          <t>MATRION</t>
        </is>
      </c>
      <c r="L7601">
        <f>_xlfn.XLOOKUP(Tableau1[[#This Row],[TYPE DE PIECE]],Tableau4[MATIERE],Tableau4[SHORT TYPE],"",0,1)</f>
        <v/>
      </c>
      <c r="N7601">
        <f>IF(ISERR(FIND("DECOUPE",Tableau1[[#This Row],[DESIGNATION]])),"","NEED REF")</f>
        <v/>
      </c>
    </row>
    <row r="7602">
      <c r="B7602" t="n">
        <v>34406403</v>
      </c>
      <c r="C7602" s="2" t="n">
        <v>43070</v>
      </c>
      <c r="D7602" t="inlineStr">
        <is>
          <t>SPEC</t>
        </is>
      </c>
      <c r="E7602" t="inlineStr">
        <is>
          <t>COFFRET COFFRET 4xDJ BAT</t>
        </is>
      </c>
      <c r="F7602" t="inlineStr">
        <is>
          <t>STX</t>
        </is>
      </c>
      <c r="J7602" t="inlineStr">
        <is>
          <t>MATRION</t>
        </is>
      </c>
      <c r="L7602">
        <f>_xlfn.XLOOKUP(Tableau1[[#This Row],[TYPE DE PIECE]],Tableau4[MATIERE],Tableau4[SHORT TYPE],"",0,1)</f>
        <v/>
      </c>
      <c r="N7602">
        <f>IF(ISERR(FIND("DECOUPE",Tableau1[[#This Row],[DESIGNATION]])),"","NEED REF")</f>
        <v/>
      </c>
    </row>
    <row r="7603">
      <c r="B7603" t="n">
        <v>34406402</v>
      </c>
      <c r="C7603" s="2" t="n">
        <v>43070</v>
      </c>
      <c r="D7603" t="inlineStr">
        <is>
          <t>SPEC</t>
        </is>
      </c>
      <c r="E7603" t="inlineStr">
        <is>
          <t>PLATINE COFFRET 4xDJ BAT</t>
        </is>
      </c>
      <c r="F7603" t="inlineStr">
        <is>
          <t>STX</t>
        </is>
      </c>
      <c r="J7603" t="inlineStr">
        <is>
          <t>MATRION</t>
        </is>
      </c>
      <c r="L7603">
        <f>_xlfn.XLOOKUP(Tableau1[[#This Row],[TYPE DE PIECE]],Tableau4[MATIERE],Tableau4[SHORT TYPE],"",0,1)</f>
        <v/>
      </c>
      <c r="N7603">
        <f>IF(ISERR(FIND("DECOUPE",Tableau1[[#This Row],[DESIGNATION]])),"","NEED REF")</f>
        <v/>
      </c>
    </row>
    <row r="7604">
      <c r="B7604" t="n">
        <v>34406401</v>
      </c>
      <c r="C7604" s="2" t="n">
        <v>43068</v>
      </c>
      <c r="D7604" t="inlineStr">
        <is>
          <t>SPEC</t>
        </is>
      </c>
      <c r="E7604" t="inlineStr">
        <is>
          <t>PLASTRON 1 BBK1000</t>
        </is>
      </c>
      <c r="J7604" t="inlineStr">
        <is>
          <t>MATRION</t>
        </is>
      </c>
      <c r="L7604">
        <f>_xlfn.XLOOKUP(Tableau1[[#This Row],[TYPE DE PIECE]],Tableau4[MATIERE],Tableau4[SHORT TYPE],"",0,1)</f>
        <v/>
      </c>
      <c r="N7604">
        <f>IF(ISERR(FIND("DECOUPE",Tableau1[[#This Row],[DESIGNATION]])),"","NEED REF")</f>
        <v/>
      </c>
    </row>
    <row r="7605">
      <c r="B7605" t="n">
        <v>34406400</v>
      </c>
      <c r="C7605" s="2" t="n">
        <v>43068</v>
      </c>
      <c r="D7605" t="inlineStr">
        <is>
          <t>SPEC</t>
        </is>
      </c>
      <c r="E7605" t="inlineStr">
        <is>
          <t>PLASTRON 1 BBK630</t>
        </is>
      </c>
      <c r="J7605" t="inlineStr">
        <is>
          <t>MATRION</t>
        </is>
      </c>
      <c r="L7605">
        <f>_xlfn.XLOOKUP(Tableau1[[#This Row],[TYPE DE PIECE]],Tableau4[MATIERE],Tableau4[SHORT TYPE],"",0,1)</f>
        <v/>
      </c>
      <c r="N7605">
        <f>IF(ISERR(FIND("DECOUPE",Tableau1[[#This Row],[DESIGNATION]])),"","NEED REF")</f>
        <v/>
      </c>
    </row>
    <row r="7606">
      <c r="B7606" t="n">
        <v>34406399</v>
      </c>
      <c r="C7606" s="2" t="n">
        <v>43061</v>
      </c>
      <c r="D7606" t="inlineStr">
        <is>
          <t>SPEC</t>
        </is>
      </c>
      <c r="J7606" t="inlineStr">
        <is>
          <t>MATRION</t>
        </is>
      </c>
      <c r="L7606">
        <f>_xlfn.XLOOKUP(Tableau1[[#This Row],[TYPE DE PIECE]],Tableau4[MATIERE],Tableau4[SHORT TYPE],"",0,1)</f>
        <v/>
      </c>
      <c r="N7606">
        <f>IF(ISERR(FIND("DECOUPE",Tableau1[[#This Row],[DESIGNATION]])),"","NEED REF")</f>
        <v/>
      </c>
    </row>
    <row r="7607">
      <c r="B7607" t="n">
        <v>34406398</v>
      </c>
      <c r="C7607" s="2" t="n">
        <v>43061</v>
      </c>
      <c r="D7607" t="inlineStr">
        <is>
          <t>SPEC</t>
        </is>
      </c>
      <c r="J7607" t="inlineStr">
        <is>
          <t>MATRION</t>
        </is>
      </c>
      <c r="L7607">
        <f>_xlfn.XLOOKUP(Tableau1[[#This Row],[TYPE DE PIECE]],Tableau4[MATIERE],Tableau4[SHORT TYPE],"",0,1)</f>
        <v/>
      </c>
      <c r="N7607">
        <f>IF(ISERR(FIND("DECOUPE",Tableau1[[#This Row],[DESIGNATION]])),"","NEED REF")</f>
        <v/>
      </c>
    </row>
    <row r="7608">
      <c r="B7608" t="n">
        <v>34406397</v>
      </c>
      <c r="C7608" s="2" t="n">
        <v>43061</v>
      </c>
      <c r="D7608" t="inlineStr">
        <is>
          <t>SPEC</t>
        </is>
      </c>
      <c r="J7608" t="inlineStr">
        <is>
          <t>MATRION</t>
        </is>
      </c>
      <c r="L7608">
        <f>_xlfn.XLOOKUP(Tableau1[[#This Row],[TYPE DE PIECE]],Tableau4[MATIERE],Tableau4[SHORT TYPE],"",0,1)</f>
        <v/>
      </c>
      <c r="N7608">
        <f>IF(ISERR(FIND("DECOUPE",Tableau1[[#This Row],[DESIGNATION]])),"","NEED REF")</f>
        <v/>
      </c>
    </row>
    <row r="7609">
      <c r="B7609" t="n">
        <v>34406396</v>
      </c>
      <c r="C7609" s="2" t="n">
        <v>43061</v>
      </c>
      <c r="D7609" t="inlineStr">
        <is>
          <t>SPEC</t>
        </is>
      </c>
      <c r="J7609" t="inlineStr">
        <is>
          <t>MATRION</t>
        </is>
      </c>
      <c r="L7609">
        <f>_xlfn.XLOOKUP(Tableau1[[#This Row],[TYPE DE PIECE]],Tableau4[MATIERE],Tableau4[SHORT TYPE],"",0,1)</f>
        <v/>
      </c>
      <c r="N7609">
        <f>IF(ISERR(FIND("DECOUPE",Tableau1[[#This Row],[DESIGNATION]])),"","NEED REF")</f>
        <v/>
      </c>
    </row>
    <row r="7610">
      <c r="B7610" t="n">
        <v>34406395</v>
      </c>
      <c r="C7610" s="2" t="n">
        <v>43061</v>
      </c>
      <c r="D7610" t="inlineStr">
        <is>
          <t>SPEC</t>
        </is>
      </c>
      <c r="J7610" t="inlineStr">
        <is>
          <t>MATRION</t>
        </is>
      </c>
      <c r="L7610">
        <f>_xlfn.XLOOKUP(Tableau1[[#This Row],[TYPE DE PIECE]],Tableau4[MATIERE],Tableau4[SHORT TYPE],"",0,1)</f>
        <v/>
      </c>
      <c r="N7610">
        <f>IF(ISERR(FIND("DECOUPE",Tableau1[[#This Row],[DESIGNATION]])),"","NEED REF")</f>
        <v/>
      </c>
    </row>
    <row r="7611">
      <c r="B7611" t="n">
        <v>34406394</v>
      </c>
      <c r="C7611" s="2" t="n">
        <v>43061</v>
      </c>
      <c r="D7611" t="inlineStr">
        <is>
          <t>SPEC</t>
        </is>
      </c>
      <c r="J7611" t="inlineStr">
        <is>
          <t>MATRION</t>
        </is>
      </c>
      <c r="L7611">
        <f>_xlfn.XLOOKUP(Tableau1[[#This Row],[TYPE DE PIECE]],Tableau4[MATIERE],Tableau4[SHORT TYPE],"",0,1)</f>
        <v/>
      </c>
      <c r="N7611">
        <f>IF(ISERR(FIND("DECOUPE",Tableau1[[#This Row],[DESIGNATION]])),"","NEED REF")</f>
        <v/>
      </c>
    </row>
    <row r="7612">
      <c r="B7612" t="n">
        <v>34406393</v>
      </c>
      <c r="C7612" s="2" t="n">
        <v>43061</v>
      </c>
      <c r="D7612" t="inlineStr">
        <is>
          <t>SPEC</t>
        </is>
      </c>
      <c r="J7612" t="inlineStr">
        <is>
          <t>MATRION</t>
        </is>
      </c>
      <c r="L7612">
        <f>_xlfn.XLOOKUP(Tableau1[[#This Row],[TYPE DE PIECE]],Tableau4[MATIERE],Tableau4[SHORT TYPE],"",0,1)</f>
        <v/>
      </c>
      <c r="N7612">
        <f>IF(ISERR(FIND("DECOUPE",Tableau1[[#This Row],[DESIGNATION]])),"","NEED REF")</f>
        <v/>
      </c>
    </row>
    <row r="7613">
      <c r="B7613" t="n">
        <v>34406392</v>
      </c>
      <c r="C7613" s="2" t="n">
        <v>43061</v>
      </c>
      <c r="D7613" t="inlineStr">
        <is>
          <t>SPEC</t>
        </is>
      </c>
      <c r="J7613" t="inlineStr">
        <is>
          <t>MATRION</t>
        </is>
      </c>
      <c r="L7613">
        <f>_xlfn.XLOOKUP(Tableau1[[#This Row],[TYPE DE PIECE]],Tableau4[MATIERE],Tableau4[SHORT TYPE],"",0,1)</f>
        <v/>
      </c>
      <c r="N7613">
        <f>IF(ISERR(FIND("DECOUPE",Tableau1[[#This Row],[DESIGNATION]])),"","NEED REF")</f>
        <v/>
      </c>
    </row>
    <row r="7614">
      <c r="B7614" t="n">
        <v>34406391</v>
      </c>
      <c r="C7614" s="2" t="n">
        <v>43061</v>
      </c>
      <c r="D7614" t="inlineStr">
        <is>
          <t>SPEC</t>
        </is>
      </c>
      <c r="J7614" t="inlineStr">
        <is>
          <t>MATRION</t>
        </is>
      </c>
      <c r="L7614">
        <f>_xlfn.XLOOKUP(Tableau1[[#This Row],[TYPE DE PIECE]],Tableau4[MATIERE],Tableau4[SHORT TYPE],"",0,1)</f>
        <v/>
      </c>
      <c r="N7614">
        <f>IF(ISERR(FIND("DECOUPE",Tableau1[[#This Row],[DESIGNATION]])),"","NEED REF")</f>
        <v/>
      </c>
    </row>
    <row r="7615">
      <c r="B7615" t="n">
        <v>34406390</v>
      </c>
      <c r="C7615" s="2" t="n">
        <v>43061</v>
      </c>
      <c r="D7615" t="inlineStr">
        <is>
          <t>SPEC</t>
        </is>
      </c>
      <c r="J7615" t="inlineStr">
        <is>
          <t>MATRION</t>
        </is>
      </c>
      <c r="L7615">
        <f>_xlfn.XLOOKUP(Tableau1[[#This Row],[TYPE DE PIECE]],Tableau4[MATIERE],Tableau4[SHORT TYPE],"",0,1)</f>
        <v/>
      </c>
      <c r="N7615">
        <f>IF(ISERR(FIND("DECOUPE",Tableau1[[#This Row],[DESIGNATION]])),"","NEED REF")</f>
        <v/>
      </c>
    </row>
    <row r="7616">
      <c r="B7616" t="n">
        <v>34406389</v>
      </c>
      <c r="C7616" s="2" t="n">
        <v>43061</v>
      </c>
      <c r="D7616" t="inlineStr">
        <is>
          <t>SPEC</t>
        </is>
      </c>
      <c r="J7616" t="inlineStr">
        <is>
          <t>MATRION</t>
        </is>
      </c>
      <c r="L7616">
        <f>_xlfn.XLOOKUP(Tableau1[[#This Row],[TYPE DE PIECE]],Tableau4[MATIERE],Tableau4[SHORT TYPE],"",0,1)</f>
        <v/>
      </c>
      <c r="N7616">
        <f>IF(ISERR(FIND("DECOUPE",Tableau1[[#This Row],[DESIGNATION]])),"","NEED REF")</f>
        <v/>
      </c>
    </row>
    <row r="7617">
      <c r="B7617" t="n">
        <v>34406388</v>
      </c>
      <c r="C7617" s="2" t="n">
        <v>43061</v>
      </c>
      <c r="D7617" t="inlineStr">
        <is>
          <t>SPEC</t>
        </is>
      </c>
      <c r="J7617" t="inlineStr">
        <is>
          <t>MATRION</t>
        </is>
      </c>
      <c r="L7617">
        <f>_xlfn.XLOOKUP(Tableau1[[#This Row],[TYPE DE PIECE]],Tableau4[MATIERE],Tableau4[SHORT TYPE],"",0,1)</f>
        <v/>
      </c>
      <c r="N7617">
        <f>IF(ISERR(FIND("DECOUPE",Tableau1[[#This Row],[DESIGNATION]])),"","NEED REF")</f>
        <v/>
      </c>
    </row>
    <row r="7618">
      <c r="B7618" t="n">
        <v>34406387</v>
      </c>
      <c r="C7618" s="2" t="n">
        <v>43061</v>
      </c>
      <c r="D7618" t="inlineStr">
        <is>
          <t>SPEC</t>
        </is>
      </c>
      <c r="J7618" t="inlineStr">
        <is>
          <t>MATRION</t>
        </is>
      </c>
      <c r="L7618">
        <f>_xlfn.XLOOKUP(Tableau1[[#This Row],[TYPE DE PIECE]],Tableau4[MATIERE],Tableau4[SHORT TYPE],"",0,1)</f>
        <v/>
      </c>
      <c r="N7618">
        <f>IF(ISERR(FIND("DECOUPE",Tableau1[[#This Row],[DESIGNATION]])),"","NEED REF")</f>
        <v/>
      </c>
    </row>
    <row r="7619">
      <c r="B7619" t="n">
        <v>34406386</v>
      </c>
      <c r="C7619" s="2" t="n">
        <v>43061</v>
      </c>
      <c r="D7619" t="inlineStr">
        <is>
          <t>SPEC</t>
        </is>
      </c>
      <c r="J7619" t="inlineStr">
        <is>
          <t>MATRION</t>
        </is>
      </c>
      <c r="L7619">
        <f>_xlfn.XLOOKUP(Tableau1[[#This Row],[TYPE DE PIECE]],Tableau4[MATIERE],Tableau4[SHORT TYPE],"",0,1)</f>
        <v/>
      </c>
      <c r="N7619">
        <f>IF(ISERR(FIND("DECOUPE",Tableau1[[#This Row],[DESIGNATION]])),"","NEED REF")</f>
        <v/>
      </c>
    </row>
    <row r="7620">
      <c r="B7620" t="n">
        <v>34406385</v>
      </c>
      <c r="C7620" s="2" t="n">
        <v>43061</v>
      </c>
      <c r="D7620" t="inlineStr">
        <is>
          <t>SPEC</t>
        </is>
      </c>
      <c r="J7620" t="inlineStr">
        <is>
          <t>MATRION</t>
        </is>
      </c>
      <c r="L7620">
        <f>_xlfn.XLOOKUP(Tableau1[[#This Row],[TYPE DE PIECE]],Tableau4[MATIERE],Tableau4[SHORT TYPE],"",0,1)</f>
        <v/>
      </c>
      <c r="N7620">
        <f>IF(ISERR(FIND("DECOUPE",Tableau1[[#This Row],[DESIGNATION]])),"","NEED REF")</f>
        <v/>
      </c>
    </row>
    <row r="7621">
      <c r="B7621" t="n">
        <v>34406384</v>
      </c>
      <c r="C7621" s="2" t="n">
        <v>43061</v>
      </c>
      <c r="D7621" t="inlineStr">
        <is>
          <t>SPEC</t>
        </is>
      </c>
      <c r="J7621" t="inlineStr">
        <is>
          <t>MATRION</t>
        </is>
      </c>
      <c r="L7621">
        <f>_xlfn.XLOOKUP(Tableau1[[#This Row],[TYPE DE PIECE]],Tableau4[MATIERE],Tableau4[SHORT TYPE],"",0,1)</f>
        <v/>
      </c>
      <c r="N7621">
        <f>IF(ISERR(FIND("DECOUPE",Tableau1[[#This Row],[DESIGNATION]])),"","NEED REF")</f>
        <v/>
      </c>
    </row>
    <row r="7622">
      <c r="B7622" t="n">
        <v>34406383</v>
      </c>
      <c r="C7622" s="2" t="n">
        <v>43061</v>
      </c>
      <c r="D7622" t="inlineStr">
        <is>
          <t>SPEC</t>
        </is>
      </c>
      <c r="J7622" t="inlineStr">
        <is>
          <t>MATRION</t>
        </is>
      </c>
      <c r="L7622">
        <f>_xlfn.XLOOKUP(Tableau1[[#This Row],[TYPE DE PIECE]],Tableau4[MATIERE],Tableau4[SHORT TYPE],"",0,1)</f>
        <v/>
      </c>
      <c r="N7622">
        <f>IF(ISERR(FIND("DECOUPE",Tableau1[[#This Row],[DESIGNATION]])),"","NEED REF")</f>
        <v/>
      </c>
    </row>
    <row r="7623">
      <c r="B7623" t="n">
        <v>34406382</v>
      </c>
      <c r="C7623" s="2" t="n">
        <v>43061</v>
      </c>
      <c r="D7623" t="inlineStr">
        <is>
          <t>SPEC</t>
        </is>
      </c>
      <c r="J7623" t="inlineStr">
        <is>
          <t>MATRION</t>
        </is>
      </c>
      <c r="L7623">
        <f>_xlfn.XLOOKUP(Tableau1[[#This Row],[TYPE DE PIECE]],Tableau4[MATIERE],Tableau4[SHORT TYPE],"",0,1)</f>
        <v/>
      </c>
      <c r="N7623">
        <f>IF(ISERR(FIND("DECOUPE",Tableau1[[#This Row],[DESIGNATION]])),"","NEED REF")</f>
        <v/>
      </c>
    </row>
    <row r="7624">
      <c r="B7624" t="n">
        <v>34406381</v>
      </c>
      <c r="C7624" s="2" t="n">
        <v>43061</v>
      </c>
      <c r="D7624" t="inlineStr">
        <is>
          <t>SPEC</t>
        </is>
      </c>
      <c r="J7624" t="inlineStr">
        <is>
          <t>MATRION</t>
        </is>
      </c>
      <c r="L7624">
        <f>_xlfn.XLOOKUP(Tableau1[[#This Row],[TYPE DE PIECE]],Tableau4[MATIERE],Tableau4[SHORT TYPE],"",0,1)</f>
        <v/>
      </c>
      <c r="N7624">
        <f>IF(ISERR(FIND("DECOUPE",Tableau1[[#This Row],[DESIGNATION]])),"","NEED REF")</f>
        <v/>
      </c>
    </row>
    <row r="7625">
      <c r="B7625" t="n">
        <v>34406380</v>
      </c>
      <c r="C7625" s="2" t="n">
        <v>43061</v>
      </c>
      <c r="D7625" t="inlineStr">
        <is>
          <t>SPEC</t>
        </is>
      </c>
      <c r="J7625" t="inlineStr">
        <is>
          <t>MATRION</t>
        </is>
      </c>
      <c r="L7625">
        <f>_xlfn.XLOOKUP(Tableau1[[#This Row],[TYPE DE PIECE]],Tableau4[MATIERE],Tableau4[SHORT TYPE],"",0,1)</f>
        <v/>
      </c>
      <c r="N7625">
        <f>IF(ISERR(FIND("DECOUPE",Tableau1[[#This Row],[DESIGNATION]])),"","NEED REF")</f>
        <v/>
      </c>
    </row>
    <row r="7626">
      <c r="B7626" t="n">
        <v>34406379</v>
      </c>
      <c r="C7626" s="2" t="n">
        <v>43061</v>
      </c>
      <c r="D7626" t="inlineStr">
        <is>
          <t>SPEC</t>
        </is>
      </c>
      <c r="E7626" t="inlineStr">
        <is>
          <t>COINT ROULEUR</t>
        </is>
      </c>
      <c r="J7626" t="inlineStr">
        <is>
          <t>MATRION</t>
        </is>
      </c>
      <c r="L7626">
        <f>_xlfn.XLOOKUP(Tableau1[[#This Row],[TYPE DE PIECE]],Tableau4[MATIERE],Tableau4[SHORT TYPE],"",0,1)</f>
        <v/>
      </c>
      <c r="N7626">
        <f>IF(ISERR(FIND("DECOUPE",Tableau1[[#This Row],[DESIGNATION]])),"","NEED REF")</f>
        <v/>
      </c>
    </row>
    <row r="7627">
      <c r="B7627" t="n">
        <v>34406378</v>
      </c>
      <c r="C7627" s="2" t="n">
        <v>43061</v>
      </c>
      <c r="D7627" t="inlineStr">
        <is>
          <t>SPEC</t>
        </is>
      </c>
      <c r="J7627" t="inlineStr">
        <is>
          <t>MATRION</t>
        </is>
      </c>
      <c r="L7627">
        <f>_xlfn.XLOOKUP(Tableau1[[#This Row],[TYPE DE PIECE]],Tableau4[MATIERE],Tableau4[SHORT TYPE],"",0,1)</f>
        <v/>
      </c>
      <c r="N7627">
        <f>IF(ISERR(FIND("DECOUPE",Tableau1[[#This Row],[DESIGNATION]])),"","NEED REF")</f>
        <v/>
      </c>
    </row>
    <row r="7628">
      <c r="B7628" t="n">
        <v>34406377</v>
      </c>
      <c r="C7628" s="2" t="n">
        <v>43061</v>
      </c>
      <c r="D7628" t="inlineStr">
        <is>
          <t>SPEC</t>
        </is>
      </c>
      <c r="J7628" t="inlineStr">
        <is>
          <t>MATRION</t>
        </is>
      </c>
      <c r="L7628">
        <f>_xlfn.XLOOKUP(Tableau1[[#This Row],[TYPE DE PIECE]],Tableau4[MATIERE],Tableau4[SHORT TYPE],"",0,1)</f>
        <v/>
      </c>
      <c r="N7628">
        <f>IF(ISERR(FIND("DECOUPE",Tableau1[[#This Row],[DESIGNATION]])),"","NEED REF")</f>
        <v/>
      </c>
    </row>
    <row r="7629">
      <c r="B7629" t="n">
        <v>34406376</v>
      </c>
      <c r="C7629" s="2" t="n">
        <v>43055</v>
      </c>
      <c r="D7629" t="inlineStr">
        <is>
          <t>SPEC</t>
        </is>
      </c>
      <c r="J7629" t="inlineStr">
        <is>
          <t>MATRION</t>
        </is>
      </c>
      <c r="L7629">
        <f>_xlfn.XLOOKUP(Tableau1[[#This Row],[TYPE DE PIECE]],Tableau4[MATIERE],Tableau4[SHORT TYPE],"",0,1)</f>
        <v/>
      </c>
      <c r="N7629">
        <f>IF(ISERR(FIND("DECOUPE",Tableau1[[#This Row],[DESIGNATION]])),"","NEED REF")</f>
        <v/>
      </c>
    </row>
    <row r="7630">
      <c r="B7630" t="n">
        <v>34406375</v>
      </c>
      <c r="C7630" s="2" t="n">
        <v>43055</v>
      </c>
      <c r="D7630" t="inlineStr">
        <is>
          <t>SPEC</t>
        </is>
      </c>
      <c r="J7630" t="inlineStr">
        <is>
          <t>MATRION</t>
        </is>
      </c>
      <c r="L7630">
        <f>_xlfn.XLOOKUP(Tableau1[[#This Row],[TYPE DE PIECE]],Tableau4[MATIERE],Tableau4[SHORT TYPE],"",0,1)</f>
        <v/>
      </c>
      <c r="N7630">
        <f>IF(ISERR(FIND("DECOUPE",Tableau1[[#This Row],[DESIGNATION]])),"","NEED REF")</f>
        <v/>
      </c>
    </row>
    <row r="7631">
      <c r="B7631" t="n">
        <v>34406374</v>
      </c>
      <c r="C7631" s="2" t="n">
        <v>43055</v>
      </c>
      <c r="D7631" t="inlineStr">
        <is>
          <t>SPEC</t>
        </is>
      </c>
      <c r="J7631" t="inlineStr">
        <is>
          <t>MATRION</t>
        </is>
      </c>
      <c r="L7631">
        <f>_xlfn.XLOOKUP(Tableau1[[#This Row],[TYPE DE PIECE]],Tableau4[MATIERE],Tableau4[SHORT TYPE],"",0,1)</f>
        <v/>
      </c>
      <c r="N7631">
        <f>IF(ISERR(FIND("DECOUPE",Tableau1[[#This Row],[DESIGNATION]])),"","NEED REF")</f>
        <v/>
      </c>
    </row>
    <row r="7632">
      <c r="B7632" t="n">
        <v>34406373</v>
      </c>
      <c r="C7632" s="2" t="n">
        <v>43055</v>
      </c>
      <c r="D7632" t="inlineStr">
        <is>
          <t>SPEC</t>
        </is>
      </c>
      <c r="J7632" t="inlineStr">
        <is>
          <t>MATRION</t>
        </is>
      </c>
      <c r="L7632">
        <f>_xlfn.XLOOKUP(Tableau1[[#This Row],[TYPE DE PIECE]],Tableau4[MATIERE],Tableau4[SHORT TYPE],"",0,1)</f>
        <v/>
      </c>
      <c r="N7632">
        <f>IF(ISERR(FIND("DECOUPE",Tableau1[[#This Row],[DESIGNATION]])),"","NEED REF")</f>
        <v/>
      </c>
    </row>
    <row r="7633">
      <c r="B7633" t="n">
        <v>34406372</v>
      </c>
      <c r="C7633" s="2" t="n">
        <v>43055</v>
      </c>
      <c r="D7633" t="inlineStr">
        <is>
          <t>SPEC</t>
        </is>
      </c>
      <c r="J7633" t="inlineStr">
        <is>
          <t>MATRION</t>
        </is>
      </c>
      <c r="L7633">
        <f>_xlfn.XLOOKUP(Tableau1[[#This Row],[TYPE DE PIECE]],Tableau4[MATIERE],Tableau4[SHORT TYPE],"",0,1)</f>
        <v/>
      </c>
      <c r="N7633">
        <f>IF(ISERR(FIND("DECOUPE",Tableau1[[#This Row],[DESIGNATION]])),"","NEED REF")</f>
        <v/>
      </c>
    </row>
    <row r="7634">
      <c r="B7634" t="n">
        <v>34406371</v>
      </c>
      <c r="C7634" s="2" t="n">
        <v>43055</v>
      </c>
      <c r="D7634" t="inlineStr">
        <is>
          <t>SPEC</t>
        </is>
      </c>
      <c r="J7634" t="inlineStr">
        <is>
          <t>MATRION</t>
        </is>
      </c>
      <c r="L7634">
        <f>_xlfn.XLOOKUP(Tableau1[[#This Row],[TYPE DE PIECE]],Tableau4[MATIERE],Tableau4[SHORT TYPE],"",0,1)</f>
        <v/>
      </c>
      <c r="N7634">
        <f>IF(ISERR(FIND("DECOUPE",Tableau1[[#This Row],[DESIGNATION]])),"","NEED REF")</f>
        <v/>
      </c>
    </row>
    <row r="7635">
      <c r="B7635" t="n">
        <v>34406370</v>
      </c>
      <c r="C7635" s="2" t="n">
        <v>43055</v>
      </c>
      <c r="D7635" t="inlineStr">
        <is>
          <t>SPEC</t>
        </is>
      </c>
      <c r="J7635" t="inlineStr">
        <is>
          <t>MATRION</t>
        </is>
      </c>
      <c r="L7635">
        <f>_xlfn.XLOOKUP(Tableau1[[#This Row],[TYPE DE PIECE]],Tableau4[MATIERE],Tableau4[SHORT TYPE],"",0,1)</f>
        <v/>
      </c>
      <c r="N7635">
        <f>IF(ISERR(FIND("DECOUPE",Tableau1[[#This Row],[DESIGNATION]])),"","NEED REF")</f>
        <v/>
      </c>
    </row>
    <row r="7636">
      <c r="B7636" t="n">
        <v>34406369</v>
      </c>
      <c r="C7636" s="2" t="n">
        <v>43055</v>
      </c>
      <c r="D7636" t="inlineStr">
        <is>
          <t>SPEC</t>
        </is>
      </c>
      <c r="J7636" t="inlineStr">
        <is>
          <t>MATRION</t>
        </is>
      </c>
      <c r="L7636">
        <f>_xlfn.XLOOKUP(Tableau1[[#This Row],[TYPE DE PIECE]],Tableau4[MATIERE],Tableau4[SHORT TYPE],"",0,1)</f>
        <v/>
      </c>
      <c r="N7636">
        <f>IF(ISERR(FIND("DECOUPE",Tableau1[[#This Row],[DESIGNATION]])),"","NEED REF")</f>
        <v/>
      </c>
    </row>
    <row r="7637">
      <c r="B7637" t="n">
        <v>34406368</v>
      </c>
      <c r="C7637" s="2" t="n">
        <v>43055</v>
      </c>
      <c r="D7637" t="inlineStr">
        <is>
          <t>SPEC</t>
        </is>
      </c>
      <c r="J7637" t="inlineStr">
        <is>
          <t>MATRION</t>
        </is>
      </c>
      <c r="L7637">
        <f>_xlfn.XLOOKUP(Tableau1[[#This Row],[TYPE DE PIECE]],Tableau4[MATIERE],Tableau4[SHORT TYPE],"",0,1)</f>
        <v/>
      </c>
      <c r="N7637">
        <f>IF(ISERR(FIND("DECOUPE",Tableau1[[#This Row],[DESIGNATION]])),"","NEED REF")</f>
        <v/>
      </c>
    </row>
    <row r="7638">
      <c r="B7638" t="n">
        <v>34406367</v>
      </c>
      <c r="C7638" s="2" t="n">
        <v>43055</v>
      </c>
      <c r="D7638" t="inlineStr">
        <is>
          <t>SPEC</t>
        </is>
      </c>
      <c r="J7638" t="inlineStr">
        <is>
          <t>MATRION</t>
        </is>
      </c>
      <c r="L7638">
        <f>_xlfn.XLOOKUP(Tableau1[[#This Row],[TYPE DE PIECE]],Tableau4[MATIERE],Tableau4[SHORT TYPE],"",0,1)</f>
        <v/>
      </c>
      <c r="N7638">
        <f>IF(ISERR(FIND("DECOUPE",Tableau1[[#This Row],[DESIGNATION]])),"","NEED REF")</f>
        <v/>
      </c>
    </row>
    <row r="7639">
      <c r="B7639" t="n">
        <v>34406366</v>
      </c>
      <c r="C7639" s="2" t="n">
        <v>43055</v>
      </c>
      <c r="D7639" t="inlineStr">
        <is>
          <t>SPEC</t>
        </is>
      </c>
      <c r="J7639" t="inlineStr">
        <is>
          <t>MATRION</t>
        </is>
      </c>
      <c r="L7639">
        <f>_xlfn.XLOOKUP(Tableau1[[#This Row],[TYPE DE PIECE]],Tableau4[MATIERE],Tableau4[SHORT TYPE],"",0,1)</f>
        <v/>
      </c>
      <c r="N7639">
        <f>IF(ISERR(FIND("DECOUPE",Tableau1[[#This Row],[DESIGNATION]])),"","NEED REF")</f>
        <v/>
      </c>
    </row>
    <row r="7640">
      <c r="B7640" t="n">
        <v>34406365</v>
      </c>
      <c r="C7640" s="2" t="n">
        <v>43041</v>
      </c>
      <c r="D7640" t="inlineStr">
        <is>
          <t>SPEC</t>
        </is>
      </c>
      <c r="E7640" t="inlineStr">
        <is>
          <t>RONDELLE CUIVRE D18 M10</t>
        </is>
      </c>
      <c r="F7640" t="inlineStr">
        <is>
          <t>BYPASS GVM</t>
        </is>
      </c>
      <c r="J7640" t="inlineStr">
        <is>
          <t>ROBERT</t>
        </is>
      </c>
      <c r="L7640">
        <f>_xlfn.XLOOKUP(Tableau1[[#This Row],[TYPE DE PIECE]],Tableau4[MATIERE],Tableau4[SHORT TYPE],"",0,1)</f>
        <v/>
      </c>
      <c r="N7640">
        <f>IF(ISERR(FIND("DECOUPE",Tableau1[[#This Row],[DESIGNATION]])),"","NEED REF")</f>
        <v/>
      </c>
    </row>
    <row r="7641">
      <c r="B7641" t="n">
        <v>34406364</v>
      </c>
      <c r="C7641" s="2" t="n">
        <v>43041</v>
      </c>
      <c r="D7641" t="inlineStr">
        <is>
          <t>SPEC</t>
        </is>
      </c>
      <c r="F7641" t="inlineStr">
        <is>
          <t>BYPASS GVM</t>
        </is>
      </c>
      <c r="L7641">
        <f>_xlfn.XLOOKUP(Tableau1[[#This Row],[TYPE DE PIECE]],Tableau4[MATIERE],Tableau4[SHORT TYPE],"",0,1)</f>
        <v/>
      </c>
      <c r="N7641">
        <f>IF(ISERR(FIND("DECOUPE",Tableau1[[#This Row],[DESIGNATION]])),"","NEED REF")</f>
        <v/>
      </c>
    </row>
    <row r="7642">
      <c r="B7642" t="n">
        <v>34406363</v>
      </c>
      <c r="C7642" s="2" t="n">
        <v>43041</v>
      </c>
      <c r="D7642" t="inlineStr">
        <is>
          <t>SPEC</t>
        </is>
      </c>
      <c r="F7642" t="inlineStr">
        <is>
          <t>BYPASS GVM</t>
        </is>
      </c>
      <c r="J7642" t="inlineStr">
        <is>
          <t>ROBERT</t>
        </is>
      </c>
      <c r="L7642">
        <f>_xlfn.XLOOKUP(Tableau1[[#This Row],[TYPE DE PIECE]],Tableau4[MATIERE],Tableau4[SHORT TYPE],"",0,1)</f>
        <v/>
      </c>
      <c r="N7642">
        <f>IF(ISERR(FIND("DECOUPE",Tableau1[[#This Row],[DESIGNATION]])),"","NEED REF")</f>
        <v/>
      </c>
    </row>
    <row r="7643">
      <c r="B7643" t="n">
        <v>34406362</v>
      </c>
      <c r="C7643" s="2" t="n">
        <v>43041</v>
      </c>
      <c r="D7643" t="inlineStr">
        <is>
          <t>SPEC</t>
        </is>
      </c>
      <c r="F7643" t="inlineStr">
        <is>
          <t>BYPASS GVM</t>
        </is>
      </c>
      <c r="J7643" t="inlineStr">
        <is>
          <t>ROBERT</t>
        </is>
      </c>
      <c r="L7643">
        <f>_xlfn.XLOOKUP(Tableau1[[#This Row],[TYPE DE PIECE]],Tableau4[MATIERE],Tableau4[SHORT TYPE],"",0,1)</f>
        <v/>
      </c>
      <c r="N7643">
        <f>IF(ISERR(FIND("DECOUPE",Tableau1[[#This Row],[DESIGNATION]])),"","NEED REF")</f>
        <v/>
      </c>
    </row>
    <row r="7644">
      <c r="B7644" t="n">
        <v>34406361</v>
      </c>
      <c r="C7644" s="2" t="n">
        <v>43041</v>
      </c>
      <c r="D7644" t="inlineStr">
        <is>
          <t>SPEC</t>
        </is>
      </c>
      <c r="E7644" t="inlineStr">
        <is>
          <t>CX  MAINS Q1</t>
        </is>
      </c>
      <c r="F7644" t="inlineStr">
        <is>
          <t>BYPASS GVM</t>
        </is>
      </c>
      <c r="J7644" t="inlineStr">
        <is>
          <t>ROBERT</t>
        </is>
      </c>
      <c r="L7644">
        <f>_xlfn.XLOOKUP(Tableau1[[#This Row],[TYPE DE PIECE]],Tableau4[MATIERE],Tableau4[SHORT TYPE],"",0,1)</f>
        <v/>
      </c>
      <c r="N7644">
        <f>IF(ISERR(FIND("DECOUPE",Tableau1[[#This Row],[DESIGNATION]])),"","NEED REF")</f>
        <v/>
      </c>
    </row>
    <row r="7645">
      <c r="B7645" t="n">
        <v>34406360</v>
      </c>
      <c r="C7645" s="2" t="n">
        <v>43041</v>
      </c>
      <c r="D7645" t="inlineStr">
        <is>
          <t>SPEC</t>
        </is>
      </c>
      <c r="E7645" t="inlineStr">
        <is>
          <t>LINERGIE SUPPORT</t>
        </is>
      </c>
      <c r="F7645" t="inlineStr">
        <is>
          <t>BYPASS GVM</t>
        </is>
      </c>
      <c r="J7645" t="inlineStr">
        <is>
          <t>ROBERT</t>
        </is>
      </c>
      <c r="L7645">
        <f>_xlfn.XLOOKUP(Tableau1[[#This Row],[TYPE DE PIECE]],Tableau4[MATIERE],Tableau4[SHORT TYPE],"",0,1)</f>
        <v/>
      </c>
      <c r="N7645">
        <f>IF(ISERR(FIND("DECOUPE",Tableau1[[#This Row],[DESIGNATION]])),"","NEED REF")</f>
        <v/>
      </c>
    </row>
    <row r="7646">
      <c r="B7646" t="n">
        <v>34406359</v>
      </c>
      <c r="C7646" s="2" t="n">
        <v>43041</v>
      </c>
      <c r="D7646" t="inlineStr">
        <is>
          <t>SPEC</t>
        </is>
      </c>
      <c r="E7646" t="inlineStr">
        <is>
          <t>Capot central</t>
        </is>
      </c>
      <c r="F7646" t="inlineStr">
        <is>
          <t>BYPASS GVM</t>
        </is>
      </c>
      <c r="J7646" t="inlineStr">
        <is>
          <t>ROBERT</t>
        </is>
      </c>
      <c r="L7646">
        <f>_xlfn.XLOOKUP(Tableau1[[#This Row],[TYPE DE PIECE]],Tableau4[MATIERE],Tableau4[SHORT TYPE],"",0,1)</f>
        <v/>
      </c>
      <c r="N7646">
        <f>IF(ISERR(FIND("DECOUPE",Tableau1[[#This Row],[DESIGNATION]])),"","NEED REF")</f>
        <v/>
      </c>
    </row>
    <row r="7647">
      <c r="B7647" t="n">
        <v>34406358</v>
      </c>
      <c r="C7647" s="2" t="n">
        <v>43041</v>
      </c>
      <c r="D7647" t="inlineStr">
        <is>
          <t>SPEC</t>
        </is>
      </c>
      <c r="E7647" t="inlineStr">
        <is>
          <t>grand linergie</t>
        </is>
      </c>
      <c r="F7647" t="inlineStr">
        <is>
          <t>BYPASS GVM</t>
        </is>
      </c>
      <c r="J7647" t="inlineStr">
        <is>
          <t>ROBERT</t>
        </is>
      </c>
      <c r="L7647">
        <f>_xlfn.XLOOKUP(Tableau1[[#This Row],[TYPE DE PIECE]],Tableau4[MATIERE],Tableau4[SHORT TYPE],"",0,1)</f>
        <v/>
      </c>
      <c r="N7647">
        <f>IF(ISERR(FIND("DECOUPE",Tableau1[[#This Row],[DESIGNATION]])),"","NEED REF")</f>
        <v/>
      </c>
    </row>
    <row r="7648">
      <c r="B7648" t="n">
        <v>34406357</v>
      </c>
      <c r="C7648" s="2" t="n">
        <v>43041</v>
      </c>
      <c r="D7648" t="inlineStr">
        <is>
          <t>SPEC</t>
        </is>
      </c>
      <c r="E7648" t="inlineStr">
        <is>
          <t>DECOUPE LINERGIE 380</t>
        </is>
      </c>
      <c r="F7648" t="inlineStr">
        <is>
          <t>BYPASS GVM</t>
        </is>
      </c>
      <c r="J7648" t="inlineStr">
        <is>
          <t>ROBERT</t>
        </is>
      </c>
      <c r="L7648">
        <f>_xlfn.XLOOKUP(Tableau1[[#This Row],[TYPE DE PIECE]],Tableau4[MATIERE],Tableau4[SHORT TYPE],"",0,1)</f>
        <v/>
      </c>
      <c r="N7648">
        <f>IF(ISERR(FIND("DECOUPE",Tableau1[[#This Row],[DESIGNATION]])),"","NEED REF")</f>
        <v/>
      </c>
    </row>
    <row r="7649">
      <c r="B7649" t="n">
        <v>34406356</v>
      </c>
      <c r="C7649" s="2" t="n">
        <v>43041</v>
      </c>
      <c r="D7649" t="inlineStr">
        <is>
          <t>SPEC</t>
        </is>
      </c>
      <c r="E7649" t="inlineStr">
        <is>
          <t>Fiixation plastron basse</t>
        </is>
      </c>
      <c r="F7649" t="inlineStr">
        <is>
          <t>BYPASS GVM</t>
        </is>
      </c>
      <c r="J7649" t="inlineStr">
        <is>
          <t>ROBERT</t>
        </is>
      </c>
      <c r="L7649">
        <f>_xlfn.XLOOKUP(Tableau1[[#This Row],[TYPE DE PIECE]],Tableau4[MATIERE],Tableau4[SHORT TYPE],"",0,1)</f>
        <v/>
      </c>
      <c r="N7649">
        <f>IF(ISERR(FIND("DECOUPE",Tableau1[[#This Row],[DESIGNATION]])),"","NEED REF")</f>
        <v/>
      </c>
    </row>
    <row r="7650">
      <c r="B7650" t="n">
        <v>34406355</v>
      </c>
      <c r="C7650" s="2" t="n">
        <v>43041</v>
      </c>
      <c r="D7650" t="inlineStr">
        <is>
          <t>SPEC</t>
        </is>
      </c>
      <c r="E7650" t="inlineStr">
        <is>
          <t>Fiixation plastron haute</t>
        </is>
      </c>
      <c r="F7650" t="inlineStr">
        <is>
          <t>BYPASS GVM</t>
        </is>
      </c>
      <c r="J7650" t="inlineStr">
        <is>
          <t>ROBERT</t>
        </is>
      </c>
      <c r="L7650">
        <f>_xlfn.XLOOKUP(Tableau1[[#This Row],[TYPE DE PIECE]],Tableau4[MATIERE],Tableau4[SHORT TYPE],"",0,1)</f>
        <v/>
      </c>
      <c r="N7650">
        <f>IF(ISERR(FIND("DECOUPE",Tableau1[[#This Row],[DESIGNATION]])),"","NEED REF")</f>
        <v/>
      </c>
    </row>
    <row r="7651">
      <c r="B7651" t="n">
        <v>34406354</v>
      </c>
      <c r="C7651" s="2" t="n">
        <v>43038</v>
      </c>
      <c r="D7651" t="inlineStr">
        <is>
          <t>DOC</t>
        </is>
      </c>
      <c r="E7651" t="inlineStr">
        <is>
          <t>PMM Symmetra cabinet Installation Manual</t>
        </is>
      </c>
      <c r="F7651" t="inlineStr">
        <is>
          <t>PMM</t>
        </is>
      </c>
      <c r="J7651" t="inlineStr">
        <is>
          <t>REVEL</t>
        </is>
      </c>
      <c r="K7651" t="inlineStr">
        <is>
          <t>DOC</t>
        </is>
      </c>
      <c r="L7651">
        <f>_xlfn.XLOOKUP(Tableau1[[#This Row],[TYPE DE PIECE]],Tableau4[MATIERE],Tableau4[SHORT TYPE],"",0,1)</f>
        <v/>
      </c>
      <c r="N7651">
        <f>IF(ISERR(FIND("DECOUPE",Tableau1[[#This Row],[DESIGNATION]])),"","NEED REF")</f>
        <v/>
      </c>
    </row>
    <row r="7652">
      <c r="B7652" t="n">
        <v>34406353</v>
      </c>
      <c r="C7652" s="2" t="n">
        <v>43021</v>
      </c>
      <c r="D7652" t="inlineStr">
        <is>
          <t>SPEC</t>
        </is>
      </c>
      <c r="E7652" t="inlineStr">
        <is>
          <t>Masterpact NW08 HF 3P</t>
        </is>
      </c>
      <c r="F7652" t="inlineStr">
        <is>
          <t>MBC GVX</t>
        </is>
      </c>
      <c r="J7652" t="inlineStr">
        <is>
          <t>MATRION</t>
        </is>
      </c>
      <c r="L7652">
        <f>_xlfn.XLOOKUP(Tableau1[[#This Row],[TYPE DE PIECE]],Tableau4[MATIERE],Tableau4[SHORT TYPE],"",0,1)</f>
        <v/>
      </c>
      <c r="N7652">
        <f>IF(ISERR(FIND("DECOUPE",Tableau1[[#This Row],[DESIGNATION]])),"","NEED REF")</f>
        <v/>
      </c>
    </row>
    <row r="7653">
      <c r="B7653" t="n">
        <v>34406352</v>
      </c>
      <c r="C7653" s="2" t="n">
        <v>43021</v>
      </c>
      <c r="D7653" t="inlineStr">
        <is>
          <t>SPEC</t>
        </is>
      </c>
      <c r="E7653" t="inlineStr">
        <is>
          <t>SUPPORT RACCORDEMENT CLIENT SIMPLE 500KW</t>
        </is>
      </c>
      <c r="F7653" t="inlineStr">
        <is>
          <t>MBC GVX</t>
        </is>
      </c>
      <c r="J7653" t="inlineStr">
        <is>
          <t>MATRION</t>
        </is>
      </c>
      <c r="K7653" t="inlineStr">
        <is>
          <t>METAL</t>
        </is>
      </c>
      <c r="L7653">
        <f>_xlfn.XLOOKUP(Tableau1[[#This Row],[TYPE DE PIECE]],Tableau4[MATIERE],Tableau4[SHORT TYPE],"",0,1)</f>
        <v/>
      </c>
      <c r="N7653">
        <f>IF(ISERR(FIND("DECOUPE",Tableau1[[#This Row],[DESIGNATION]])),"","NEED REF")</f>
        <v/>
      </c>
    </row>
    <row r="7654">
      <c r="B7654" t="n">
        <v>34406351</v>
      </c>
      <c r="C7654" s="2" t="n">
        <v>43021</v>
      </c>
      <c r="D7654" t="inlineStr">
        <is>
          <t>SPEC</t>
        </is>
      </c>
      <c r="E7654" t="inlineStr">
        <is>
          <t>SUPPORT RACCORDEMENT CLIENT DOUBLE 500KW</t>
        </is>
      </c>
      <c r="F7654" t="inlineStr">
        <is>
          <t>MBC GVX</t>
        </is>
      </c>
      <c r="J7654" t="inlineStr">
        <is>
          <t>MATRION</t>
        </is>
      </c>
      <c r="K7654" t="inlineStr">
        <is>
          <t>METAL</t>
        </is>
      </c>
      <c r="L7654">
        <f>_xlfn.XLOOKUP(Tableau1[[#This Row],[TYPE DE PIECE]],Tableau4[MATIERE],Tableau4[SHORT TYPE],"",0,1)</f>
        <v/>
      </c>
      <c r="N7654">
        <f>IF(ISERR(FIND("DECOUPE",Tableau1[[#This Row],[DESIGNATION]])),"","NEED REF")</f>
        <v/>
      </c>
    </row>
    <row r="7655">
      <c r="B7655" t="n">
        <v>34406350</v>
      </c>
      <c r="C7655" s="2" t="n">
        <v>43021</v>
      </c>
      <c r="D7655" t="inlineStr">
        <is>
          <t>SPEC</t>
        </is>
      </c>
      <c r="E7655" t="inlineStr">
        <is>
          <t>SUPPORT JDB INTER CELLULE NW08</t>
        </is>
      </c>
      <c r="F7655" t="inlineStr">
        <is>
          <t>MBC GVX</t>
        </is>
      </c>
      <c r="J7655" t="inlineStr">
        <is>
          <t>MATRION</t>
        </is>
      </c>
      <c r="K7655" t="inlineStr">
        <is>
          <t>METAL</t>
        </is>
      </c>
      <c r="L7655">
        <f>_xlfn.XLOOKUP(Tableau1[[#This Row],[TYPE DE PIECE]],Tableau4[MATIERE],Tableau4[SHORT TYPE],"",0,1)</f>
        <v/>
      </c>
      <c r="N7655">
        <f>IF(ISERR(FIND("DECOUPE",Tableau1[[#This Row],[DESIGNATION]])),"","NEED REF")</f>
        <v/>
      </c>
    </row>
    <row r="7656">
      <c r="B7656" t="n">
        <v>34406349</v>
      </c>
      <c r="C7656" s="2" t="n">
        <v>43021</v>
      </c>
      <c r="D7656" t="inlineStr">
        <is>
          <t>SPEC</t>
        </is>
      </c>
      <c r="E7656" t="inlineStr">
        <is>
          <t>LIAISON INTER CELLULE 8 500kW</t>
        </is>
      </c>
      <c r="F7656" t="inlineStr">
        <is>
          <t>MBC GVX</t>
        </is>
      </c>
      <c r="J7656" t="inlineStr">
        <is>
          <t>MATRION</t>
        </is>
      </c>
      <c r="K7656" t="inlineStr">
        <is>
          <t>CUIVRE</t>
        </is>
      </c>
      <c r="L7656">
        <f>_xlfn.XLOOKUP(Tableau1[[#This Row],[TYPE DE PIECE]],Tableau4[MATIERE],Tableau4[SHORT TYPE],"",0,1)</f>
        <v/>
      </c>
      <c r="N7656">
        <f>IF(ISERR(FIND("DECOUPE",Tableau1[[#This Row],[DESIGNATION]])),"","NEED REF")</f>
        <v/>
      </c>
    </row>
    <row r="7657">
      <c r="B7657" t="n">
        <v>34406348</v>
      </c>
      <c r="C7657" s="2" t="n">
        <v>43021</v>
      </c>
      <c r="D7657" t="inlineStr">
        <is>
          <t>SPEC</t>
        </is>
      </c>
      <c r="E7657" t="inlineStr">
        <is>
          <t>LIAISON INTER CELLULE 7 500kW</t>
        </is>
      </c>
      <c r="F7657" t="inlineStr">
        <is>
          <t>MBC GVX</t>
        </is>
      </c>
      <c r="J7657" t="inlineStr">
        <is>
          <t>MATRION</t>
        </is>
      </c>
      <c r="K7657" t="inlineStr">
        <is>
          <t>CUIVRE</t>
        </is>
      </c>
      <c r="L7657">
        <f>_xlfn.XLOOKUP(Tableau1[[#This Row],[TYPE DE PIECE]],Tableau4[MATIERE],Tableau4[SHORT TYPE],"",0,1)</f>
        <v/>
      </c>
      <c r="N7657">
        <f>IF(ISERR(FIND("DECOUPE",Tableau1[[#This Row],[DESIGNATION]])),"","NEED REF")</f>
        <v/>
      </c>
    </row>
    <row r="7658">
      <c r="B7658" t="n">
        <v>34406347</v>
      </c>
      <c r="C7658" s="2" t="n">
        <v>43021</v>
      </c>
      <c r="D7658" t="inlineStr">
        <is>
          <t>SPEC</t>
        </is>
      </c>
      <c r="E7658" t="inlineStr">
        <is>
          <t>LIAISON INTER CELLULE 6 500kW</t>
        </is>
      </c>
      <c r="F7658" t="inlineStr">
        <is>
          <t>MBC GVX</t>
        </is>
      </c>
      <c r="J7658" t="inlineStr">
        <is>
          <t>MATRION</t>
        </is>
      </c>
      <c r="K7658" t="inlineStr">
        <is>
          <t>CUIVRE</t>
        </is>
      </c>
      <c r="L7658">
        <f>_xlfn.XLOOKUP(Tableau1[[#This Row],[TYPE DE PIECE]],Tableau4[MATIERE],Tableau4[SHORT TYPE],"",0,1)</f>
        <v/>
      </c>
      <c r="N7658">
        <f>IF(ISERR(FIND("DECOUPE",Tableau1[[#This Row],[DESIGNATION]])),"","NEED REF")</f>
        <v/>
      </c>
    </row>
    <row r="7659">
      <c r="B7659" t="n">
        <v>34406346</v>
      </c>
      <c r="C7659" s="2" t="n">
        <v>43021</v>
      </c>
      <c r="D7659" t="inlineStr">
        <is>
          <t>SPEC</t>
        </is>
      </c>
      <c r="E7659" t="inlineStr">
        <is>
          <t>LIAISON INTER CELLULE 5 500kW</t>
        </is>
      </c>
      <c r="F7659" t="inlineStr">
        <is>
          <t>MBC GVX</t>
        </is>
      </c>
      <c r="J7659" t="inlineStr">
        <is>
          <t>MATRION</t>
        </is>
      </c>
      <c r="K7659" t="inlineStr">
        <is>
          <t>CUIVRE</t>
        </is>
      </c>
      <c r="L7659">
        <f>_xlfn.XLOOKUP(Tableau1[[#This Row],[TYPE DE PIECE]],Tableau4[MATIERE],Tableau4[SHORT TYPE],"",0,1)</f>
        <v/>
      </c>
      <c r="N7659">
        <f>IF(ISERR(FIND("DECOUPE",Tableau1[[#This Row],[DESIGNATION]])),"","NEED REF")</f>
        <v/>
      </c>
    </row>
    <row r="7660">
      <c r="B7660" t="n">
        <v>34406345</v>
      </c>
      <c r="C7660" s="2" t="n">
        <v>43021</v>
      </c>
      <c r="D7660" t="inlineStr">
        <is>
          <t>SPEC</t>
        </is>
      </c>
      <c r="E7660" t="inlineStr">
        <is>
          <t>SUPPORT PEN 3</t>
        </is>
      </c>
      <c r="F7660" t="inlineStr">
        <is>
          <t>MBC GVX</t>
        </is>
      </c>
      <c r="J7660" t="inlineStr">
        <is>
          <t>MATRION</t>
        </is>
      </c>
      <c r="K7660" t="inlineStr">
        <is>
          <t>METAL</t>
        </is>
      </c>
      <c r="L7660">
        <f>_xlfn.XLOOKUP(Tableau1[[#This Row],[TYPE DE PIECE]],Tableau4[MATIERE],Tableau4[SHORT TYPE],"",0,1)</f>
        <v/>
      </c>
      <c r="N7660">
        <f>IF(ISERR(FIND("DECOUPE",Tableau1[[#This Row],[DESIGNATION]])),"","NEED REF")</f>
        <v/>
      </c>
    </row>
    <row r="7661">
      <c r="B7661" t="n">
        <v>34406344</v>
      </c>
      <c r="C7661" s="2" t="n">
        <v>43021</v>
      </c>
      <c r="D7661" t="inlineStr">
        <is>
          <t>SPEC</t>
        </is>
      </c>
      <c r="E7661" t="inlineStr">
        <is>
          <t>SUPPORT PEN 2</t>
        </is>
      </c>
      <c r="F7661" t="inlineStr">
        <is>
          <t>MBC GVX</t>
        </is>
      </c>
      <c r="J7661" t="inlineStr">
        <is>
          <t>MATRION</t>
        </is>
      </c>
      <c r="K7661" t="inlineStr">
        <is>
          <t>METAL</t>
        </is>
      </c>
      <c r="L7661">
        <f>_xlfn.XLOOKUP(Tableau1[[#This Row],[TYPE DE PIECE]],Tableau4[MATIERE],Tableau4[SHORT TYPE],"",0,1)</f>
        <v/>
      </c>
      <c r="N7661">
        <f>IF(ISERR(FIND("DECOUPE",Tableau1[[#This Row],[DESIGNATION]])),"","NEED REF")</f>
        <v/>
      </c>
    </row>
    <row r="7662">
      <c r="B7662" t="n">
        <v>34406343</v>
      </c>
      <c r="C7662" s="2" t="n">
        <v>43021</v>
      </c>
      <c r="D7662" t="inlineStr">
        <is>
          <t>SPEC</t>
        </is>
      </c>
      <c r="E7662" t="inlineStr">
        <is>
          <t>SUPPORT PEN 1</t>
        </is>
      </c>
      <c r="F7662" t="inlineStr">
        <is>
          <t>MBC GVX</t>
        </is>
      </c>
      <c r="J7662" t="inlineStr">
        <is>
          <t>MATRION</t>
        </is>
      </c>
      <c r="K7662" t="inlineStr">
        <is>
          <t>METAL</t>
        </is>
      </c>
      <c r="L7662">
        <f>_xlfn.XLOOKUP(Tableau1[[#This Row],[TYPE DE PIECE]],Tableau4[MATIERE],Tableau4[SHORT TYPE],"",0,1)</f>
        <v/>
      </c>
      <c r="N7662">
        <f>IF(ISERR(FIND("DECOUPE",Tableau1[[#This Row],[DESIGNATION]])),"","NEED REF")</f>
        <v/>
      </c>
    </row>
    <row r="7663">
      <c r="B7663" t="n">
        <v>34406342</v>
      </c>
      <c r="C7663" s="2" t="n">
        <v>43021</v>
      </c>
      <c r="D7663" t="inlineStr">
        <is>
          <t>SPEC</t>
        </is>
      </c>
      <c r="E7663" t="inlineStr">
        <is>
          <t>CX LIAISON PEN</t>
        </is>
      </c>
      <c r="F7663" t="inlineStr">
        <is>
          <t>MBC GVX</t>
        </is>
      </c>
      <c r="J7663" t="inlineStr">
        <is>
          <t>MATRION</t>
        </is>
      </c>
      <c r="K7663" t="inlineStr">
        <is>
          <t>CUIVRE</t>
        </is>
      </c>
      <c r="L7663">
        <f>_xlfn.XLOOKUP(Tableau1[[#This Row],[TYPE DE PIECE]],Tableau4[MATIERE],Tableau4[SHORT TYPE],"",0,1)</f>
        <v/>
      </c>
      <c r="N7663">
        <f>IF(ISERR(FIND("DECOUPE",Tableau1[[#This Row],[DESIGNATION]])),"","NEED REF")</f>
        <v/>
      </c>
    </row>
    <row r="7664">
      <c r="B7664" t="n">
        <v>34406341</v>
      </c>
      <c r="C7664" s="2" t="n">
        <v>43021</v>
      </c>
      <c r="D7664" t="inlineStr">
        <is>
          <t>SPEC</t>
        </is>
      </c>
      <c r="E7664" t="inlineStr">
        <is>
          <t>SUPPORT PEN 4</t>
        </is>
      </c>
      <c r="F7664" t="inlineStr">
        <is>
          <t>MBC GVX</t>
        </is>
      </c>
      <c r="J7664" t="inlineStr">
        <is>
          <t>MATRION</t>
        </is>
      </c>
      <c r="K7664" t="inlineStr">
        <is>
          <t>METAL</t>
        </is>
      </c>
      <c r="L7664">
        <f>_xlfn.XLOOKUP(Tableau1[[#This Row],[TYPE DE PIECE]],Tableau4[MATIERE],Tableau4[SHORT TYPE],"",0,1)</f>
        <v/>
      </c>
      <c r="N7664">
        <f>IF(ISERR(FIND("DECOUPE",Tableau1[[#This Row],[DESIGNATION]])),"","NEED REF")</f>
        <v/>
      </c>
    </row>
    <row r="7665">
      <c r="B7665" t="n">
        <v>34406340</v>
      </c>
      <c r="C7665" s="2" t="n">
        <v>43021</v>
      </c>
      <c r="D7665" t="inlineStr">
        <is>
          <t>SPEC</t>
        </is>
      </c>
      <c r="E7665" t="inlineStr">
        <is>
          <t>SUPPORT PEN 3</t>
        </is>
      </c>
      <c r="F7665" t="inlineStr">
        <is>
          <t>MBC GVX</t>
        </is>
      </c>
      <c r="J7665" t="inlineStr">
        <is>
          <t>MATRION</t>
        </is>
      </c>
      <c r="K7665" t="inlineStr">
        <is>
          <t>METAL</t>
        </is>
      </c>
      <c r="L7665">
        <f>_xlfn.XLOOKUP(Tableau1[[#This Row],[TYPE DE PIECE]],Tableau4[MATIERE],Tableau4[SHORT TYPE],"",0,1)</f>
        <v/>
      </c>
      <c r="N7665">
        <f>IF(ISERR(FIND("DECOUPE",Tableau1[[#This Row],[DESIGNATION]])),"","NEED REF")</f>
        <v/>
      </c>
    </row>
    <row r="7666">
      <c r="B7666" t="n">
        <v>34406339</v>
      </c>
      <c r="C7666" s="2" t="n">
        <v>43021</v>
      </c>
      <c r="D7666" t="inlineStr">
        <is>
          <t>SPEC</t>
        </is>
      </c>
      <c r="E7666" t="inlineStr">
        <is>
          <t>LIAISON INTER CELLULE 1 500kW</t>
        </is>
      </c>
      <c r="F7666" t="inlineStr">
        <is>
          <t>MBC GVX</t>
        </is>
      </c>
      <c r="J7666" t="inlineStr">
        <is>
          <t>MATRION</t>
        </is>
      </c>
      <c r="K7666" t="inlineStr">
        <is>
          <t>CUIVRE</t>
        </is>
      </c>
      <c r="L7666">
        <f>_xlfn.XLOOKUP(Tableau1[[#This Row],[TYPE DE PIECE]],Tableau4[MATIERE],Tableau4[SHORT TYPE],"",0,1)</f>
        <v/>
      </c>
      <c r="N7666">
        <f>IF(ISERR(FIND("DECOUPE",Tableau1[[#This Row],[DESIGNATION]])),"","NEED REF")</f>
        <v/>
      </c>
    </row>
    <row r="7667">
      <c r="B7667" t="n">
        <v>34406338</v>
      </c>
      <c r="C7667" s="2" t="n">
        <v>43021</v>
      </c>
      <c r="D7667" t="inlineStr">
        <is>
          <t>SPEC</t>
        </is>
      </c>
      <c r="E7667" t="inlineStr">
        <is>
          <t>LIAISON INTER CELLULE 2 500kW</t>
        </is>
      </c>
      <c r="F7667" t="inlineStr">
        <is>
          <t>MBC GVX</t>
        </is>
      </c>
      <c r="J7667" t="inlineStr">
        <is>
          <t>MATRION</t>
        </is>
      </c>
      <c r="K7667" t="inlineStr">
        <is>
          <t>CUIVRE</t>
        </is>
      </c>
      <c r="L7667">
        <f>_xlfn.XLOOKUP(Tableau1[[#This Row],[TYPE DE PIECE]],Tableau4[MATIERE],Tableau4[SHORT TYPE],"",0,1)</f>
        <v/>
      </c>
      <c r="N7667">
        <f>IF(ISERR(FIND("DECOUPE",Tableau1[[#This Row],[DESIGNATION]])),"","NEED REF")</f>
        <v/>
      </c>
    </row>
    <row r="7668">
      <c r="B7668" t="n">
        <v>34406337</v>
      </c>
      <c r="C7668" s="2" t="n">
        <v>43021</v>
      </c>
      <c r="D7668" t="inlineStr">
        <is>
          <t>SPEC</t>
        </is>
      </c>
      <c r="E7668" t="inlineStr">
        <is>
          <t>LIAISON INTER CELLULE 3 500kW</t>
        </is>
      </c>
      <c r="F7668" t="inlineStr">
        <is>
          <t>MBC GVX</t>
        </is>
      </c>
      <c r="J7668" t="inlineStr">
        <is>
          <t>MATRION</t>
        </is>
      </c>
      <c r="K7668" t="inlineStr">
        <is>
          <t>CUIVRE</t>
        </is>
      </c>
      <c r="L7668">
        <f>_xlfn.XLOOKUP(Tableau1[[#This Row],[TYPE DE PIECE]],Tableau4[MATIERE],Tableau4[SHORT TYPE],"",0,1)</f>
        <v/>
      </c>
      <c r="N7668">
        <f>IF(ISERR(FIND("DECOUPE",Tableau1[[#This Row],[DESIGNATION]])),"","NEED REF")</f>
        <v/>
      </c>
    </row>
    <row r="7669">
      <c r="B7669" t="n">
        <v>34406336</v>
      </c>
      <c r="C7669" s="2" t="n">
        <v>43021</v>
      </c>
      <c r="D7669" t="inlineStr">
        <is>
          <t>SPEC</t>
        </is>
      </c>
      <c r="E7669" t="inlineStr">
        <is>
          <t>LIAISON INTER CELLULE 4 500kW</t>
        </is>
      </c>
      <c r="F7669" t="inlineStr">
        <is>
          <t>MBC GVX</t>
        </is>
      </c>
      <c r="J7669" t="inlineStr">
        <is>
          <t>MATRION</t>
        </is>
      </c>
      <c r="K7669" t="inlineStr">
        <is>
          <t>CUIVRE</t>
        </is>
      </c>
      <c r="L7669">
        <f>_xlfn.XLOOKUP(Tableau1[[#This Row],[TYPE DE PIECE]],Tableau4[MATIERE],Tableau4[SHORT TYPE],"",0,1)</f>
        <v/>
      </c>
      <c r="N7669">
        <f>IF(ISERR(FIND("DECOUPE",Tableau1[[#This Row],[DESIGNATION]])),"","NEED REF")</f>
        <v/>
      </c>
    </row>
    <row r="7670">
      <c r="B7670" t="n">
        <v>34406335</v>
      </c>
      <c r="C7670" s="2" t="n">
        <v>43021</v>
      </c>
      <c r="D7670" t="inlineStr">
        <is>
          <t>SPEC</t>
        </is>
      </c>
      <c r="E7670" t="inlineStr">
        <is>
          <t>LIAISON NW-LINERGY 4 500kW</t>
        </is>
      </c>
      <c r="F7670" t="inlineStr">
        <is>
          <t>MBC GVX</t>
        </is>
      </c>
      <c r="J7670" t="inlineStr">
        <is>
          <t>MATRION</t>
        </is>
      </c>
      <c r="K7670" t="inlineStr">
        <is>
          <t>CUIVRE</t>
        </is>
      </c>
      <c r="L7670">
        <f>_xlfn.XLOOKUP(Tableau1[[#This Row],[TYPE DE PIECE]],Tableau4[MATIERE],Tableau4[SHORT TYPE],"",0,1)</f>
        <v/>
      </c>
      <c r="N7670">
        <f>IF(ISERR(FIND("DECOUPE",Tableau1[[#This Row],[DESIGNATION]])),"","NEED REF")</f>
        <v/>
      </c>
    </row>
    <row r="7671">
      <c r="B7671" t="n">
        <v>34406334</v>
      </c>
      <c r="C7671" s="2" t="n">
        <v>43021</v>
      </c>
      <c r="D7671" t="inlineStr">
        <is>
          <t>SPEC</t>
        </is>
      </c>
      <c r="E7671" t="inlineStr">
        <is>
          <t>LIAISON NW-LINERGY 3 500kW</t>
        </is>
      </c>
      <c r="F7671" t="inlineStr">
        <is>
          <t>MBC GVX</t>
        </is>
      </c>
      <c r="J7671" t="inlineStr">
        <is>
          <t>MATRION</t>
        </is>
      </c>
      <c r="K7671" t="inlineStr">
        <is>
          <t>CUIVRE</t>
        </is>
      </c>
      <c r="L7671">
        <f>_xlfn.XLOOKUP(Tableau1[[#This Row],[TYPE DE PIECE]],Tableau4[MATIERE],Tableau4[SHORT TYPE],"",0,1)</f>
        <v/>
      </c>
      <c r="N7671">
        <f>IF(ISERR(FIND("DECOUPE",Tableau1[[#This Row],[DESIGNATION]])),"","NEED REF")</f>
        <v/>
      </c>
    </row>
    <row r="7672">
      <c r="B7672" t="n">
        <v>34406333</v>
      </c>
      <c r="C7672" s="2" t="n">
        <v>43021</v>
      </c>
      <c r="D7672" t="inlineStr">
        <is>
          <t>SPEC</t>
        </is>
      </c>
      <c r="E7672" t="inlineStr">
        <is>
          <t>LIAISON NW-LINERGY 2 500kW</t>
        </is>
      </c>
      <c r="F7672" t="inlineStr">
        <is>
          <t>MBC GVX</t>
        </is>
      </c>
      <c r="J7672" t="inlineStr">
        <is>
          <t>MATRION</t>
        </is>
      </c>
      <c r="K7672" t="inlineStr">
        <is>
          <t>CUIVRE</t>
        </is>
      </c>
      <c r="L7672">
        <f>_xlfn.XLOOKUP(Tableau1[[#This Row],[TYPE DE PIECE]],Tableau4[MATIERE],Tableau4[SHORT TYPE],"",0,1)</f>
        <v/>
      </c>
      <c r="N7672">
        <f>IF(ISERR(FIND("DECOUPE",Tableau1[[#This Row],[DESIGNATION]])),"","NEED REF")</f>
        <v/>
      </c>
    </row>
    <row r="7673">
      <c r="B7673" t="n">
        <v>34406332</v>
      </c>
      <c r="C7673" s="2" t="n">
        <v>43021</v>
      </c>
      <c r="D7673" t="inlineStr">
        <is>
          <t>SPEC</t>
        </is>
      </c>
      <c r="E7673" t="inlineStr">
        <is>
          <t>LIAISON NW-LINERGY 1 500kW</t>
        </is>
      </c>
      <c r="F7673" t="inlineStr">
        <is>
          <t>MBC GVX</t>
        </is>
      </c>
      <c r="J7673" t="inlineStr">
        <is>
          <t>MATRION</t>
        </is>
      </c>
      <c r="K7673" t="inlineStr">
        <is>
          <t>CUIVRE</t>
        </is>
      </c>
      <c r="L7673">
        <f>_xlfn.XLOOKUP(Tableau1[[#This Row],[TYPE DE PIECE]],Tableau4[MATIERE],Tableau4[SHORT TYPE],"",0,1)</f>
        <v/>
      </c>
      <c r="N7673">
        <f>IF(ISERR(FIND("DECOUPE",Tableau1[[#This Row],[DESIGNATION]])),"","NEED REF")</f>
        <v/>
      </c>
    </row>
    <row r="7674">
      <c r="B7674" t="n">
        <v>34406331</v>
      </c>
      <c r="C7674" s="2" t="n">
        <v>43021</v>
      </c>
      <c r="D7674" t="inlineStr">
        <is>
          <t>SPEC</t>
        </is>
      </c>
      <c r="E7674" t="inlineStr">
        <is>
          <t>ENTRETOISE DIAM 20+EPOXY</t>
        </is>
      </c>
      <c r="F7674" t="inlineStr">
        <is>
          <t>G7K 300kVA</t>
        </is>
      </c>
      <c r="J7674" t="inlineStr">
        <is>
          <t>ROBERT</t>
        </is>
      </c>
      <c r="L7674">
        <f>_xlfn.XLOOKUP(Tableau1[[#This Row],[TYPE DE PIECE]],Tableau4[MATIERE],Tableau4[SHORT TYPE],"",0,1)</f>
        <v/>
      </c>
      <c r="N7674">
        <f>IF(ISERR(FIND("DECOUPE",Tableau1[[#This Row],[DESIGNATION]])),"","NEED REF")</f>
        <v/>
      </c>
    </row>
    <row r="7675">
      <c r="B7675" t="n">
        <v>34406330</v>
      </c>
      <c r="C7675" s="2" t="n">
        <v>43020</v>
      </c>
      <c r="D7675" t="inlineStr">
        <is>
          <t>NOM</t>
        </is>
      </c>
      <c r="F7675" t="inlineStr">
        <is>
          <t>MBC GVX</t>
        </is>
      </c>
      <c r="J7675" t="inlineStr">
        <is>
          <t>MATRION</t>
        </is>
      </c>
      <c r="L7675">
        <f>_xlfn.XLOOKUP(Tableau1[[#This Row],[TYPE DE PIECE]],Tableau4[MATIERE],Tableau4[SHORT TYPE],"",0,1)</f>
        <v/>
      </c>
      <c r="N7675">
        <f>IF(ISERR(FIND("DECOUPE",Tableau1[[#This Row],[DESIGNATION]])),"","NEED REF")</f>
        <v/>
      </c>
    </row>
    <row r="7676">
      <c r="B7676" t="n">
        <v>34406329</v>
      </c>
      <c r="C7676" s="2" t="n">
        <v>43020</v>
      </c>
      <c r="D7676" t="inlineStr">
        <is>
          <t>NOM</t>
        </is>
      </c>
      <c r="F7676" t="inlineStr">
        <is>
          <t>MBC GVX</t>
        </is>
      </c>
      <c r="J7676" t="inlineStr">
        <is>
          <t>MATRION</t>
        </is>
      </c>
      <c r="L7676">
        <f>_xlfn.XLOOKUP(Tableau1[[#This Row],[TYPE DE PIECE]],Tableau4[MATIERE],Tableau4[SHORT TYPE],"",0,1)</f>
        <v/>
      </c>
      <c r="N7676">
        <f>IF(ISERR(FIND("DECOUPE",Tableau1[[#This Row],[DESIGNATION]])),"","NEED REF")</f>
        <v/>
      </c>
    </row>
    <row r="7677">
      <c r="B7677" t="n">
        <v>34406328</v>
      </c>
      <c r="C7677" s="2" t="n">
        <v>43020</v>
      </c>
      <c r="D7677" t="inlineStr">
        <is>
          <t>NOM</t>
        </is>
      </c>
      <c r="F7677" t="inlineStr">
        <is>
          <t>MBC GVX</t>
        </is>
      </c>
      <c r="J7677" t="inlineStr">
        <is>
          <t>MATRION</t>
        </is>
      </c>
      <c r="L7677">
        <f>_xlfn.XLOOKUP(Tableau1[[#This Row],[TYPE DE PIECE]],Tableau4[MATIERE],Tableau4[SHORT TYPE],"",0,1)</f>
        <v/>
      </c>
      <c r="N7677">
        <f>IF(ISERR(FIND("DECOUPE",Tableau1[[#This Row],[DESIGNATION]])),"","NEED REF")</f>
        <v/>
      </c>
    </row>
    <row r="7678">
      <c r="B7678" t="n">
        <v>34406327</v>
      </c>
      <c r="C7678" s="2" t="n">
        <v>43020</v>
      </c>
      <c r="D7678" t="inlineStr">
        <is>
          <t>NOM</t>
        </is>
      </c>
      <c r="F7678" t="inlineStr">
        <is>
          <t>MBC GVX</t>
        </is>
      </c>
      <c r="J7678" t="inlineStr">
        <is>
          <t>MATRION</t>
        </is>
      </c>
      <c r="L7678">
        <f>_xlfn.XLOOKUP(Tableau1[[#This Row],[TYPE DE PIECE]],Tableau4[MATIERE],Tableau4[SHORT TYPE],"",0,1)</f>
        <v/>
      </c>
      <c r="N7678">
        <f>IF(ISERR(FIND("DECOUPE",Tableau1[[#This Row],[DESIGNATION]])),"","NEED REF")</f>
        <v/>
      </c>
    </row>
    <row r="7679">
      <c r="B7679" t="n">
        <v>34406326</v>
      </c>
      <c r="C7679" s="2" t="n">
        <v>43020</v>
      </c>
      <c r="D7679" t="inlineStr">
        <is>
          <t>SPEC</t>
        </is>
      </c>
      <c r="E7679" t="inlineStr">
        <is>
          <t>LIAISON VERTICALE 500kW</t>
        </is>
      </c>
      <c r="F7679" t="inlineStr">
        <is>
          <t>MBC GVX</t>
        </is>
      </c>
      <c r="J7679" t="inlineStr">
        <is>
          <t>MATRION</t>
        </is>
      </c>
      <c r="K7679" t="inlineStr">
        <is>
          <t>CUIVRE</t>
        </is>
      </c>
      <c r="L7679">
        <f>_xlfn.XLOOKUP(Tableau1[[#This Row],[TYPE DE PIECE]],Tableau4[MATIERE],Tableau4[SHORT TYPE],"",0,1)</f>
        <v/>
      </c>
      <c r="N7679">
        <f>IF(ISERR(FIND("DECOUPE",Tableau1[[#This Row],[DESIGNATION]])),"","NEED REF")</f>
        <v/>
      </c>
    </row>
    <row r="7680">
      <c r="B7680" t="n">
        <v>34406325</v>
      </c>
      <c r="C7680" s="2" t="n">
        <v>43021</v>
      </c>
      <c r="D7680" t="inlineStr">
        <is>
          <t>SPEC</t>
        </is>
      </c>
      <c r="E7680" t="inlineStr">
        <is>
          <t>BRIDAGE</t>
        </is>
      </c>
      <c r="F7680" t="inlineStr">
        <is>
          <t>G7K 300kVA</t>
        </is>
      </c>
      <c r="J7680" t="inlineStr">
        <is>
          <t>ROBERT</t>
        </is>
      </c>
      <c r="K7680" t="inlineStr">
        <is>
          <t>METAL</t>
        </is>
      </c>
      <c r="L7680">
        <f>_xlfn.XLOOKUP(Tableau1[[#This Row],[TYPE DE PIECE]],Tableau4[MATIERE],Tableau4[SHORT TYPE],"",0,1)</f>
        <v/>
      </c>
      <c r="N7680">
        <f>IF(ISERR(FIND("DECOUPE",Tableau1[[#This Row],[DESIGNATION]])),"","NEED REF")</f>
        <v/>
      </c>
    </row>
    <row r="7681">
      <c r="B7681" t="n">
        <v>34406324</v>
      </c>
      <c r="C7681" s="2" t="n">
        <v>43021</v>
      </c>
      <c r="D7681" t="inlineStr">
        <is>
          <t>SPEC</t>
        </is>
      </c>
      <c r="E7681" t="inlineStr">
        <is>
          <t>JONCTION</t>
        </is>
      </c>
      <c r="F7681" t="inlineStr">
        <is>
          <t>G7K 300kVA</t>
        </is>
      </c>
      <c r="J7681" t="inlineStr">
        <is>
          <t>ROBERT</t>
        </is>
      </c>
      <c r="K7681" t="inlineStr">
        <is>
          <t>CUIVRE</t>
        </is>
      </c>
      <c r="L7681">
        <f>_xlfn.XLOOKUP(Tableau1[[#This Row],[TYPE DE PIECE]],Tableau4[MATIERE],Tableau4[SHORT TYPE],"",0,1)</f>
        <v/>
      </c>
      <c r="N7681">
        <f>IF(ISERR(FIND("DECOUPE",Tableau1[[#This Row],[DESIGNATION]])),"","NEED REF")</f>
        <v/>
      </c>
    </row>
    <row r="7682">
      <c r="B7682" t="n">
        <v>34406323</v>
      </c>
      <c r="C7682" s="2" t="n">
        <v>43021</v>
      </c>
      <c r="D7682" t="inlineStr">
        <is>
          <t>SPEC</t>
        </is>
      </c>
      <c r="E7682" t="inlineStr">
        <is>
          <t>ENTRETOISE DIAM 20</t>
        </is>
      </c>
      <c r="F7682" t="inlineStr">
        <is>
          <t>G7K 300kVA</t>
        </is>
      </c>
      <c r="J7682" t="inlineStr">
        <is>
          <t>ROBERT</t>
        </is>
      </c>
      <c r="K7682" t="inlineStr">
        <is>
          <t>CUIVRE</t>
        </is>
      </c>
      <c r="L7682">
        <f>_xlfn.XLOOKUP(Tableau1[[#This Row],[TYPE DE PIECE]],Tableau4[MATIERE],Tableau4[SHORT TYPE],"",0,1)</f>
        <v/>
      </c>
      <c r="N7682">
        <f>IF(ISERR(FIND("DECOUPE",Tableau1[[#This Row],[DESIGNATION]])),"","NEED REF")</f>
        <v/>
      </c>
    </row>
    <row r="7683">
      <c r="B7683" t="n">
        <v>34406322</v>
      </c>
      <c r="C7683" s="2" t="n">
        <v>43021</v>
      </c>
      <c r="D7683" t="inlineStr">
        <is>
          <t>SPEC</t>
        </is>
      </c>
      <c r="E7683" t="inlineStr">
        <is>
          <t>CALE</t>
        </is>
      </c>
      <c r="F7683" t="inlineStr">
        <is>
          <t>G7K 300kVA</t>
        </is>
      </c>
      <c r="J7683" t="inlineStr">
        <is>
          <t>ROBERT</t>
        </is>
      </c>
      <c r="K7683" t="inlineStr">
        <is>
          <t>CUIVRE</t>
        </is>
      </c>
      <c r="L7683">
        <f>_xlfn.XLOOKUP(Tableau1[[#This Row],[TYPE DE PIECE]],Tableau4[MATIERE],Tableau4[SHORT TYPE],"",0,1)</f>
        <v/>
      </c>
      <c r="N7683">
        <f>IF(ISERR(FIND("DECOUPE",Tableau1[[#This Row],[DESIGNATION]])),"","NEED REF")</f>
        <v/>
      </c>
    </row>
    <row r="7684">
      <c r="B7684" t="n">
        <v>34406321</v>
      </c>
      <c r="C7684" s="2" t="n">
        <v>43020</v>
      </c>
      <c r="D7684" t="inlineStr">
        <is>
          <t>NOM</t>
        </is>
      </c>
      <c r="F7684" t="inlineStr">
        <is>
          <t>MBC GVX</t>
        </is>
      </c>
      <c r="J7684" t="inlineStr">
        <is>
          <t>MATRION</t>
        </is>
      </c>
      <c r="L7684">
        <f>_xlfn.XLOOKUP(Tableau1[[#This Row],[TYPE DE PIECE]],Tableau4[MATIERE],Tableau4[SHORT TYPE],"",0,1)</f>
        <v/>
      </c>
      <c r="N7684">
        <f>IF(ISERR(FIND("DECOUPE",Tableau1[[#This Row],[DESIGNATION]])),"","NEED REF")</f>
        <v/>
      </c>
    </row>
    <row r="7685">
      <c r="B7685" t="n">
        <v>34406320</v>
      </c>
      <c r="C7685" s="2" t="n">
        <v>43020</v>
      </c>
      <c r="D7685" t="inlineStr">
        <is>
          <t>NOM</t>
        </is>
      </c>
      <c r="F7685" t="inlineStr">
        <is>
          <t>MBC GVX</t>
        </is>
      </c>
      <c r="J7685" t="inlineStr">
        <is>
          <t>MATRION</t>
        </is>
      </c>
      <c r="L7685">
        <f>_xlfn.XLOOKUP(Tableau1[[#This Row],[TYPE DE PIECE]],Tableau4[MATIERE],Tableau4[SHORT TYPE],"",0,1)</f>
        <v/>
      </c>
      <c r="N7685">
        <f>IF(ISERR(FIND("DECOUPE",Tableau1[[#This Row],[DESIGNATION]])),"","NEED REF")</f>
        <v/>
      </c>
    </row>
    <row r="7686">
      <c r="B7686" t="n">
        <v>34406319</v>
      </c>
      <c r="C7686" s="2" t="n">
        <v>43020</v>
      </c>
      <c r="D7686" t="inlineStr">
        <is>
          <t>SPEC</t>
        </is>
      </c>
      <c r="E7686" t="inlineStr">
        <is>
          <t>CX RACCORDEMENT CLIENT</t>
        </is>
      </c>
      <c r="F7686" t="inlineStr">
        <is>
          <t>MBC GVX</t>
        </is>
      </c>
      <c r="J7686" t="inlineStr">
        <is>
          <t>MATRION</t>
        </is>
      </c>
      <c r="K7686" t="inlineStr">
        <is>
          <t>CUIVRE</t>
        </is>
      </c>
      <c r="L7686">
        <f>_xlfn.XLOOKUP(Tableau1[[#This Row],[TYPE DE PIECE]],Tableau4[MATIERE],Tableau4[SHORT TYPE],"",0,1)</f>
        <v/>
      </c>
      <c r="N7686">
        <f>IF(ISERR(FIND("DECOUPE",Tableau1[[#This Row],[DESIGNATION]])),"","NEED REF")</f>
        <v/>
      </c>
    </row>
    <row r="7687">
      <c r="B7687" t="n">
        <v>34406318</v>
      </c>
      <c r="C7687" s="2" t="n">
        <v>43020</v>
      </c>
      <c r="D7687" t="inlineStr">
        <is>
          <t>SPEC</t>
        </is>
      </c>
      <c r="E7687" t="inlineStr">
        <is>
          <t>CX RACCORDEMENT CLIENT N COMMUN</t>
        </is>
      </c>
      <c r="F7687" t="inlineStr">
        <is>
          <t>MBC GVX</t>
        </is>
      </c>
      <c r="J7687" t="inlineStr">
        <is>
          <t>MATRION</t>
        </is>
      </c>
      <c r="K7687" t="inlineStr">
        <is>
          <t>CUIVRE</t>
        </is>
      </c>
      <c r="L7687">
        <f>_xlfn.XLOOKUP(Tableau1[[#This Row],[TYPE DE PIECE]],Tableau4[MATIERE],Tableau4[SHORT TYPE],"",0,1)</f>
        <v/>
      </c>
      <c r="N7687">
        <f>IF(ISERR(FIND("DECOUPE",Tableau1[[#This Row],[DESIGNATION]])),"","NEED REF")</f>
        <v/>
      </c>
    </row>
    <row r="7688">
      <c r="B7688" t="n">
        <v>34406317</v>
      </c>
      <c r="C7688" s="2" t="n">
        <v>43018</v>
      </c>
      <c r="D7688" t="inlineStr">
        <is>
          <t>NOM</t>
        </is>
      </c>
      <c r="E7688" t="inlineStr">
        <is>
          <t>SE LIAISON FLEXIBLE NW-LINERGY NW25 3P 2</t>
        </is>
      </c>
      <c r="F7688" t="inlineStr">
        <is>
          <t>MBC GVX</t>
        </is>
      </c>
      <c r="J7688" t="inlineStr">
        <is>
          <t>MATRION</t>
        </is>
      </c>
      <c r="L7688">
        <f>_xlfn.XLOOKUP(Tableau1[[#This Row],[TYPE DE PIECE]],Tableau4[MATIERE],Tableau4[SHORT TYPE],"",0,1)</f>
        <v/>
      </c>
      <c r="N7688">
        <f>IF(ISERR(FIND("DECOUPE",Tableau1[[#This Row],[DESIGNATION]])),"","NEED REF")</f>
        <v/>
      </c>
    </row>
    <row r="7689">
      <c r="B7689" t="n">
        <v>34406316</v>
      </c>
      <c r="C7689" s="2" t="n">
        <v>43018</v>
      </c>
      <c r="D7689" t="inlineStr">
        <is>
          <t>NOM</t>
        </is>
      </c>
      <c r="E7689" t="inlineStr">
        <is>
          <t>SE LIAISON FLEXIBLE NW-LINERGY NW16 3P 2</t>
        </is>
      </c>
      <c r="F7689" t="inlineStr">
        <is>
          <t>MBC GVX</t>
        </is>
      </c>
      <c r="J7689" t="inlineStr">
        <is>
          <t>MATRION</t>
        </is>
      </c>
      <c r="L7689">
        <f>_xlfn.XLOOKUP(Tableau1[[#This Row],[TYPE DE PIECE]],Tableau4[MATIERE],Tableau4[SHORT TYPE],"",0,1)</f>
        <v/>
      </c>
      <c r="N7689">
        <f>IF(ISERR(FIND("DECOUPE",Tableau1[[#This Row],[DESIGNATION]])),"","NEED REF")</f>
        <v/>
      </c>
    </row>
    <row r="7690">
      <c r="B7690" t="n">
        <v>34406315</v>
      </c>
      <c r="C7690" s="2" t="n">
        <v>43018</v>
      </c>
      <c r="D7690" t="inlineStr">
        <is>
          <t>NOM</t>
        </is>
      </c>
      <c r="E7690" t="inlineStr">
        <is>
          <t>SE LIAISON FLEXIBLE NW-LINERGY NW20 3P 2</t>
        </is>
      </c>
      <c r="F7690" t="inlineStr">
        <is>
          <t>MBC GVX</t>
        </is>
      </c>
      <c r="J7690" t="inlineStr">
        <is>
          <t>MATRION</t>
        </is>
      </c>
      <c r="L7690">
        <f>_xlfn.XLOOKUP(Tableau1[[#This Row],[TYPE DE PIECE]],Tableau4[MATIERE],Tableau4[SHORT TYPE],"",0,1)</f>
        <v/>
      </c>
      <c r="N7690">
        <f>IF(ISERR(FIND("DECOUPE",Tableau1[[#This Row],[DESIGNATION]])),"","NEED REF")</f>
        <v/>
      </c>
    </row>
    <row r="7691">
      <c r="B7691" t="n">
        <v>34406314</v>
      </c>
      <c r="C7691" s="2" t="n">
        <v>43018</v>
      </c>
      <c r="D7691" t="inlineStr">
        <is>
          <t>NOM</t>
        </is>
      </c>
      <c r="E7691" t="inlineStr">
        <is>
          <t>SE LIAISON FLEXIBLE NW-LINERGY NW12 3P 2</t>
        </is>
      </c>
      <c r="F7691" t="inlineStr">
        <is>
          <t>MBC GVX</t>
        </is>
      </c>
      <c r="J7691" t="inlineStr">
        <is>
          <t>MATRION</t>
        </is>
      </c>
      <c r="L7691">
        <f>_xlfn.XLOOKUP(Tableau1[[#This Row],[TYPE DE PIECE]],Tableau4[MATIERE],Tableau4[SHORT TYPE],"",0,1)</f>
        <v/>
      </c>
      <c r="N7691">
        <f>IF(ISERR(FIND("DECOUPE",Tableau1[[#This Row],[DESIGNATION]])),"","NEED REF")</f>
        <v/>
      </c>
    </row>
    <row r="7692">
      <c r="B7692" t="n">
        <v>34406313</v>
      </c>
      <c r="C7692" s="2" t="n">
        <v>43018</v>
      </c>
      <c r="D7692" t="inlineStr">
        <is>
          <t>NOM</t>
        </is>
      </c>
      <c r="E7692" t="inlineStr">
        <is>
          <t>SE LIAISON FLEXIBLE NW-LINERGY NW08 3P 2</t>
        </is>
      </c>
      <c r="F7692" t="inlineStr">
        <is>
          <t>MBC GVX</t>
        </is>
      </c>
      <c r="J7692" t="inlineStr">
        <is>
          <t>MATRION</t>
        </is>
      </c>
      <c r="L7692">
        <f>_xlfn.XLOOKUP(Tableau1[[#This Row],[TYPE DE PIECE]],Tableau4[MATIERE],Tableau4[SHORT TYPE],"",0,1)</f>
        <v/>
      </c>
      <c r="N7692">
        <f>IF(ISERR(FIND("DECOUPE",Tableau1[[#This Row],[DESIGNATION]])),"","NEED REF")</f>
        <v/>
      </c>
    </row>
    <row r="7693">
      <c r="B7693" t="n">
        <v>34406312</v>
      </c>
      <c r="C7693" s="2" t="n">
        <v>43020</v>
      </c>
      <c r="D7693" t="inlineStr">
        <is>
          <t>SPEC</t>
        </is>
      </c>
      <c r="E7693" t="inlineStr">
        <is>
          <t>PLAGE LINERGY POUR FLEX</t>
        </is>
      </c>
      <c r="F7693" t="inlineStr">
        <is>
          <t>MBC GVX</t>
        </is>
      </c>
      <c r="J7693" t="inlineStr">
        <is>
          <t>MATRION</t>
        </is>
      </c>
      <c r="K7693" t="inlineStr">
        <is>
          <t>CUIVRE</t>
        </is>
      </c>
      <c r="L7693">
        <f>_xlfn.XLOOKUP(Tableau1[[#This Row],[TYPE DE PIECE]],Tableau4[MATIERE],Tableau4[SHORT TYPE],"",0,1)</f>
        <v/>
      </c>
      <c r="N7693">
        <f>IF(ISERR(FIND("DECOUPE",Tableau1[[#This Row],[DESIGNATION]])),"","NEED REF")</f>
        <v/>
      </c>
    </row>
    <row r="7694">
      <c r="B7694" t="n">
        <v>34406311</v>
      </c>
      <c r="C7694" s="2" t="n">
        <v>43020</v>
      </c>
      <c r="D7694" t="inlineStr">
        <is>
          <t>SPEC</t>
        </is>
      </c>
      <c r="E7694" t="inlineStr">
        <is>
          <t>PLAGE ALU NW POUR FLEX</t>
        </is>
      </c>
      <c r="F7694" t="inlineStr">
        <is>
          <t>MBC GVX</t>
        </is>
      </c>
      <c r="J7694" t="inlineStr">
        <is>
          <t>MATRION</t>
        </is>
      </c>
      <c r="K7694" t="inlineStr">
        <is>
          <t>CUIVRE</t>
        </is>
      </c>
      <c r="L7694">
        <f>_xlfn.XLOOKUP(Tableau1[[#This Row],[TYPE DE PIECE]],Tableau4[MATIERE],Tableau4[SHORT TYPE],"",0,1)</f>
        <v/>
      </c>
      <c r="N7694">
        <f>IF(ISERR(FIND("DECOUPE",Tableau1[[#This Row],[DESIGNATION]])),"","NEED REF")</f>
        <v/>
      </c>
    </row>
    <row r="7695">
      <c r="B7695" t="n">
        <v>34406310</v>
      </c>
      <c r="C7695" s="2" t="n">
        <v>43020</v>
      </c>
      <c r="D7695" t="inlineStr">
        <is>
          <t>SPEC</t>
        </is>
      </c>
      <c r="E7695" t="inlineStr">
        <is>
          <t>PLAGE CUIVRE NW POUR FLEX</t>
        </is>
      </c>
      <c r="F7695" t="inlineStr">
        <is>
          <t>MBC GVX</t>
        </is>
      </c>
      <c r="J7695" t="inlineStr">
        <is>
          <t>MATRION</t>
        </is>
      </c>
      <c r="K7695" t="inlineStr">
        <is>
          <t>CUIVRE</t>
        </is>
      </c>
      <c r="L7695">
        <f>_xlfn.XLOOKUP(Tableau1[[#This Row],[TYPE DE PIECE]],Tableau4[MATIERE],Tableau4[SHORT TYPE],"",0,1)</f>
        <v/>
      </c>
      <c r="N7695">
        <f>IF(ISERR(FIND("DECOUPE",Tableau1[[#This Row],[DESIGNATION]])),"","NEED REF")</f>
        <v/>
      </c>
    </row>
    <row r="7696">
      <c r="B7696" t="n">
        <v>34406309</v>
      </c>
      <c r="C7696" s="2" t="n">
        <v>43019</v>
      </c>
      <c r="D7696" t="inlineStr">
        <is>
          <t>SPEC</t>
        </is>
      </c>
      <c r="E7696" t="inlineStr">
        <is>
          <t>PLASTIC PC CB COVER M STAR</t>
        </is>
      </c>
      <c r="F7696" t="inlineStr">
        <is>
          <t>G300</t>
        </is>
      </c>
      <c r="J7696" t="inlineStr">
        <is>
          <t>REVEL</t>
        </is>
      </c>
      <c r="K7696" t="inlineStr">
        <is>
          <t>PLASTIQUE</t>
        </is>
      </c>
      <c r="L7696">
        <f>_xlfn.XLOOKUP(Tableau1[[#This Row],[TYPE DE PIECE]],Tableau4[MATIERE],Tableau4[SHORT TYPE],"",0,1)</f>
        <v/>
      </c>
      <c r="N7696">
        <f>IF(ISERR(FIND("DECOUPE",Tableau1[[#This Row],[DESIGNATION]])),"","NEED REF")</f>
        <v/>
      </c>
    </row>
    <row r="7697">
      <c r="B7697" t="n">
        <v>34406308</v>
      </c>
      <c r="C7697" s="2" t="n">
        <v>43019</v>
      </c>
      <c r="D7697" t="inlineStr">
        <is>
          <t>SPEC</t>
        </is>
      </c>
      <c r="E7697" t="inlineStr">
        <is>
          <t>PLASTIC PC CB COVER M STAR</t>
        </is>
      </c>
      <c r="F7697" t="inlineStr">
        <is>
          <t>G300</t>
        </is>
      </c>
      <c r="J7697" t="inlineStr">
        <is>
          <t>REVEL</t>
        </is>
      </c>
      <c r="K7697" t="inlineStr">
        <is>
          <t>PLASTIQUE</t>
        </is>
      </c>
      <c r="L7697">
        <f>_xlfn.XLOOKUP(Tableau1[[#This Row],[TYPE DE PIECE]],Tableau4[MATIERE],Tableau4[SHORT TYPE],"",0,1)</f>
        <v/>
      </c>
      <c r="N7697">
        <f>IF(ISERR(FIND("DECOUPE",Tableau1[[#This Row],[DESIGNATION]])),"","NEED REF")</f>
        <v/>
      </c>
    </row>
    <row r="7698">
      <c r="B7698" t="n">
        <v>34406307</v>
      </c>
      <c r="C7698" s="2" t="n">
        <v>43018</v>
      </c>
      <c r="D7698" t="inlineStr">
        <is>
          <t>SPEC</t>
        </is>
      </c>
      <c r="E7698" t="inlineStr">
        <is>
          <t>DECOUPE LINERGY 04561 800A 500MM</t>
        </is>
      </c>
      <c r="F7698" t="inlineStr">
        <is>
          <t>MBC GVX</t>
        </is>
      </c>
      <c r="J7698" t="inlineStr">
        <is>
          <t>MATRION</t>
        </is>
      </c>
      <c r="K7698" t="inlineStr">
        <is>
          <t>METAL</t>
        </is>
      </c>
      <c r="L7698">
        <f>_xlfn.XLOOKUP(Tableau1[[#This Row],[TYPE DE PIECE]],Tableau4[MATIERE],Tableau4[SHORT TYPE],"",0,1)</f>
        <v/>
      </c>
      <c r="N7698" t="inlineStr">
        <is>
          <t>LVS04561</t>
        </is>
      </c>
    </row>
    <row r="7699">
      <c r="B7699" t="n">
        <v>34406306</v>
      </c>
      <c r="C7699" s="2" t="n">
        <v>43018</v>
      </c>
      <c r="D7699" t="inlineStr">
        <is>
          <t>SPEC</t>
        </is>
      </c>
      <c r="E7699" t="inlineStr">
        <is>
          <t>DECOUPE LINERGY 04561 800A 1265MM</t>
        </is>
      </c>
      <c r="F7699" t="inlineStr">
        <is>
          <t>MBC GVX</t>
        </is>
      </c>
      <c r="J7699" t="inlineStr">
        <is>
          <t>MATRION</t>
        </is>
      </c>
      <c r="K7699" t="inlineStr">
        <is>
          <t>METAL</t>
        </is>
      </c>
      <c r="L7699">
        <f>_xlfn.XLOOKUP(Tableau1[[#This Row],[TYPE DE PIECE]],Tableau4[MATIERE],Tableau4[SHORT TYPE],"",0,1)</f>
        <v/>
      </c>
      <c r="N7699" t="inlineStr">
        <is>
          <t>LVS04561</t>
        </is>
      </c>
    </row>
    <row r="7700">
      <c r="B7700" t="n">
        <v>34406305</v>
      </c>
      <c r="C7700" s="2" t="n">
        <v>43018</v>
      </c>
      <c r="D7700" t="inlineStr">
        <is>
          <t>SPEC</t>
        </is>
      </c>
      <c r="E7700" t="inlineStr">
        <is>
          <t>DECOUPE LINERGY 04561 800A 735MM</t>
        </is>
      </c>
      <c r="F7700" t="inlineStr">
        <is>
          <t>MBC GVX</t>
        </is>
      </c>
      <c r="J7700" t="inlineStr">
        <is>
          <t>MATRION</t>
        </is>
      </c>
      <c r="K7700" t="inlineStr">
        <is>
          <t>METAL</t>
        </is>
      </c>
      <c r="L7700">
        <f>_xlfn.XLOOKUP(Tableau1[[#This Row],[TYPE DE PIECE]],Tableau4[MATIERE],Tableau4[SHORT TYPE],"",0,1)</f>
        <v/>
      </c>
      <c r="N7700" t="inlineStr">
        <is>
          <t>LVS04561</t>
        </is>
      </c>
    </row>
    <row r="7701">
      <c r="B7701" t="n">
        <v>34406304</v>
      </c>
      <c r="C7701" s="2" t="n">
        <v>43018</v>
      </c>
      <c r="D7701" t="inlineStr">
        <is>
          <t>SPEC</t>
        </is>
      </c>
      <c r="E7701" t="inlineStr">
        <is>
          <t>DECOUPE LINERGY 04561 800A 525MM</t>
        </is>
      </c>
      <c r="F7701" t="inlineStr">
        <is>
          <t>MBC GVX</t>
        </is>
      </c>
      <c r="J7701" t="inlineStr">
        <is>
          <t>MATRION</t>
        </is>
      </c>
      <c r="K7701" t="inlineStr">
        <is>
          <t>METAL</t>
        </is>
      </c>
      <c r="L7701">
        <f>_xlfn.XLOOKUP(Tableau1[[#This Row],[TYPE DE PIECE]],Tableau4[MATIERE],Tableau4[SHORT TYPE],"",0,1)</f>
        <v/>
      </c>
      <c r="N7701" t="inlineStr">
        <is>
          <t>LVS04561</t>
        </is>
      </c>
    </row>
    <row r="7702">
      <c r="B7702" t="n">
        <v>34406303</v>
      </c>
      <c r="C7702" s="2" t="n">
        <v>43018</v>
      </c>
      <c r="D7702" t="inlineStr">
        <is>
          <t>NOM</t>
        </is>
      </c>
      <c r="E7702" t="inlineStr">
        <is>
          <t>SE LIAISON FLEXIBLE NW-LINERGY NW25 3P 1</t>
        </is>
      </c>
      <c r="F7702" t="inlineStr">
        <is>
          <t>MBC GVX</t>
        </is>
      </c>
      <c r="J7702" t="inlineStr">
        <is>
          <t>MATRION</t>
        </is>
      </c>
      <c r="L7702">
        <f>_xlfn.XLOOKUP(Tableau1[[#This Row],[TYPE DE PIECE]],Tableau4[MATIERE],Tableau4[SHORT TYPE],"",0,1)</f>
        <v/>
      </c>
      <c r="N7702">
        <f>IF(ISERR(FIND("DECOUPE",Tableau1[[#This Row],[DESIGNATION]])),"","NEED REF")</f>
        <v/>
      </c>
    </row>
    <row r="7703">
      <c r="B7703" t="n">
        <v>34406302</v>
      </c>
      <c r="C7703" s="2" t="n">
        <v>43018</v>
      </c>
      <c r="D7703" t="inlineStr">
        <is>
          <t>NOM</t>
        </is>
      </c>
      <c r="E7703" t="inlineStr">
        <is>
          <t>SE LIAISON FLEXIBLE NW-LINERGY NW25 4P</t>
        </is>
      </c>
      <c r="F7703" t="inlineStr">
        <is>
          <t>MBC GVX</t>
        </is>
      </c>
      <c r="J7703" t="inlineStr">
        <is>
          <t>MATRION</t>
        </is>
      </c>
      <c r="L7703">
        <f>_xlfn.XLOOKUP(Tableau1[[#This Row],[TYPE DE PIECE]],Tableau4[MATIERE],Tableau4[SHORT TYPE],"",0,1)</f>
        <v/>
      </c>
      <c r="N7703">
        <f>IF(ISERR(FIND("DECOUPE",Tableau1[[#This Row],[DESIGNATION]])),"","NEED REF")</f>
        <v/>
      </c>
    </row>
    <row r="7704">
      <c r="B7704" t="n">
        <v>34406301</v>
      </c>
      <c r="C7704" s="2" t="n">
        <v>43018</v>
      </c>
      <c r="D7704" t="inlineStr">
        <is>
          <t>NOM</t>
        </is>
      </c>
      <c r="E7704" t="inlineStr">
        <is>
          <t>SE LIAISON FLEXIBLE NW-LINERGY NW16 3P 1</t>
        </is>
      </c>
      <c r="F7704" t="inlineStr">
        <is>
          <t>MBC GVX</t>
        </is>
      </c>
      <c r="J7704" t="inlineStr">
        <is>
          <t>MATRION</t>
        </is>
      </c>
      <c r="L7704">
        <f>_xlfn.XLOOKUP(Tableau1[[#This Row],[TYPE DE PIECE]],Tableau4[MATIERE],Tableau4[SHORT TYPE],"",0,1)</f>
        <v/>
      </c>
      <c r="N7704">
        <f>IF(ISERR(FIND("DECOUPE",Tableau1[[#This Row],[DESIGNATION]])),"","NEED REF")</f>
        <v/>
      </c>
    </row>
    <row r="7705">
      <c r="B7705" t="n">
        <v>34406300</v>
      </c>
      <c r="C7705" s="2" t="n">
        <v>43018</v>
      </c>
      <c r="D7705" t="inlineStr">
        <is>
          <t>NOM</t>
        </is>
      </c>
      <c r="E7705" t="inlineStr">
        <is>
          <t>SE LIAISON FLEXIBLE NW-LINERGY NW20 3P 1</t>
        </is>
      </c>
      <c r="F7705" t="inlineStr">
        <is>
          <t>MBC GVX</t>
        </is>
      </c>
      <c r="J7705" t="inlineStr">
        <is>
          <t>MATRION</t>
        </is>
      </c>
      <c r="L7705">
        <f>_xlfn.XLOOKUP(Tableau1[[#This Row],[TYPE DE PIECE]],Tableau4[MATIERE],Tableau4[SHORT TYPE],"",0,1)</f>
        <v/>
      </c>
      <c r="N7705">
        <f>IF(ISERR(FIND("DECOUPE",Tableau1[[#This Row],[DESIGNATION]])),"","NEED REF")</f>
        <v/>
      </c>
    </row>
    <row r="7706">
      <c r="B7706" t="n">
        <v>34406299</v>
      </c>
      <c r="C7706" s="2" t="n">
        <v>43018</v>
      </c>
      <c r="D7706" t="inlineStr">
        <is>
          <t>NOM</t>
        </is>
      </c>
      <c r="E7706" t="inlineStr">
        <is>
          <t>SE LIAISON FLEXIBLE NW-LINERGY NW12 3P 1</t>
        </is>
      </c>
      <c r="F7706" t="inlineStr">
        <is>
          <t>MBC GVX</t>
        </is>
      </c>
      <c r="J7706" t="inlineStr">
        <is>
          <t>MATRION</t>
        </is>
      </c>
      <c r="L7706">
        <f>_xlfn.XLOOKUP(Tableau1[[#This Row],[TYPE DE PIECE]],Tableau4[MATIERE],Tableau4[SHORT TYPE],"",0,1)</f>
        <v/>
      </c>
      <c r="N7706">
        <f>IF(ISERR(FIND("DECOUPE",Tableau1[[#This Row],[DESIGNATION]])),"","NEED REF")</f>
        <v/>
      </c>
    </row>
    <row r="7707">
      <c r="B7707" t="n">
        <v>34406298</v>
      </c>
      <c r="C7707" s="2" t="n">
        <v>43018</v>
      </c>
      <c r="D7707" t="inlineStr">
        <is>
          <t>NOM</t>
        </is>
      </c>
      <c r="E7707" t="inlineStr">
        <is>
          <t>SE LIAISON FLEXIBLE NW-LINERGY NW08 3P 1</t>
        </is>
      </c>
      <c r="F7707" t="inlineStr">
        <is>
          <t>MBC GVX</t>
        </is>
      </c>
      <c r="J7707" t="inlineStr">
        <is>
          <t>MATRION</t>
        </is>
      </c>
      <c r="L7707">
        <f>_xlfn.XLOOKUP(Tableau1[[#This Row],[TYPE DE PIECE]],Tableau4[MATIERE],Tableau4[SHORT TYPE],"",0,1)</f>
        <v/>
      </c>
      <c r="N7707">
        <f>IF(ISERR(FIND("DECOUPE",Tableau1[[#This Row],[DESIGNATION]])),"","NEED REF")</f>
        <v/>
      </c>
    </row>
    <row r="7708">
      <c r="B7708" t="n">
        <v>34406297</v>
      </c>
      <c r="C7708" s="2" t="n">
        <v>43018</v>
      </c>
      <c r="D7708" t="inlineStr">
        <is>
          <t>NOM</t>
        </is>
      </c>
      <c r="E7708" t="inlineStr">
        <is>
          <t>SE LIAISON FLEXIBLE NW-LINERGY NW16 4P</t>
        </is>
      </c>
      <c r="F7708" t="inlineStr">
        <is>
          <t>MBC GVX</t>
        </is>
      </c>
      <c r="J7708" t="inlineStr">
        <is>
          <t>MATRION</t>
        </is>
      </c>
      <c r="L7708">
        <f>_xlfn.XLOOKUP(Tableau1[[#This Row],[TYPE DE PIECE]],Tableau4[MATIERE],Tableau4[SHORT TYPE],"",0,1)</f>
        <v/>
      </c>
      <c r="N7708">
        <f>IF(ISERR(FIND("DECOUPE",Tableau1[[#This Row],[DESIGNATION]])),"","NEED REF")</f>
        <v/>
      </c>
    </row>
    <row r="7709">
      <c r="B7709" t="n">
        <v>34406296</v>
      </c>
      <c r="C7709" s="2" t="n">
        <v>43018</v>
      </c>
      <c r="D7709" t="inlineStr">
        <is>
          <t>NOM</t>
        </is>
      </c>
      <c r="E7709" t="inlineStr">
        <is>
          <t>SE LIAISON FLEXIBLE NW-LINERGY NW20 4P</t>
        </is>
      </c>
      <c r="F7709" t="inlineStr">
        <is>
          <t>MBC GVX</t>
        </is>
      </c>
      <c r="J7709" t="inlineStr">
        <is>
          <t>MATRION</t>
        </is>
      </c>
      <c r="L7709">
        <f>_xlfn.XLOOKUP(Tableau1[[#This Row],[TYPE DE PIECE]],Tableau4[MATIERE],Tableau4[SHORT TYPE],"",0,1)</f>
        <v/>
      </c>
      <c r="N7709">
        <f>IF(ISERR(FIND("DECOUPE",Tableau1[[#This Row],[DESIGNATION]])),"","NEED REF")</f>
        <v/>
      </c>
    </row>
    <row r="7710">
      <c r="B7710" t="n">
        <v>34406295</v>
      </c>
      <c r="C7710" s="2" t="n">
        <v>43018</v>
      </c>
      <c r="D7710" t="inlineStr">
        <is>
          <t>NOM</t>
        </is>
      </c>
      <c r="E7710" t="inlineStr">
        <is>
          <t>SE LIAISON FLEXIBLE NW-LINERGY NW12 4P</t>
        </is>
      </c>
      <c r="F7710" t="inlineStr">
        <is>
          <t>MBC GVX</t>
        </is>
      </c>
      <c r="J7710" t="inlineStr">
        <is>
          <t>MATRION</t>
        </is>
      </c>
      <c r="L7710">
        <f>_xlfn.XLOOKUP(Tableau1[[#This Row],[TYPE DE PIECE]],Tableau4[MATIERE],Tableau4[SHORT TYPE],"",0,1)</f>
        <v/>
      </c>
      <c r="N7710">
        <f>IF(ISERR(FIND("DECOUPE",Tableau1[[#This Row],[DESIGNATION]])),"","NEED REF")</f>
        <v/>
      </c>
    </row>
    <row r="7711">
      <c r="B7711" t="n">
        <v>34406294</v>
      </c>
      <c r="C7711" s="2" t="n">
        <v>43018</v>
      </c>
      <c r="D7711" t="inlineStr">
        <is>
          <t>NOM</t>
        </is>
      </c>
      <c r="E7711" t="inlineStr">
        <is>
          <t>SE LIAISON FLEXIBLE NW-LINERGY NW08 4P</t>
        </is>
      </c>
      <c r="F7711" t="inlineStr">
        <is>
          <t>MBC GVX</t>
        </is>
      </c>
      <c r="J7711" t="inlineStr">
        <is>
          <t>MATRION</t>
        </is>
      </c>
      <c r="L7711">
        <f>_xlfn.XLOOKUP(Tableau1[[#This Row],[TYPE DE PIECE]],Tableau4[MATIERE],Tableau4[SHORT TYPE],"",0,1)</f>
        <v/>
      </c>
      <c r="N7711">
        <f>IF(ISERR(FIND("DECOUPE",Tableau1[[#This Row],[DESIGNATION]])),"","NEED REF")</f>
        <v/>
      </c>
    </row>
    <row r="7712">
      <c r="B7712" t="n">
        <v>34406293</v>
      </c>
      <c r="C7712" s="2" t="n">
        <v>43018</v>
      </c>
      <c r="D7712" t="inlineStr">
        <is>
          <t>SPEC</t>
        </is>
      </c>
      <c r="E7712" t="inlineStr">
        <is>
          <t>LIAISON FLEXIBLE NW-LINERGY 4 NW12</t>
        </is>
      </c>
      <c r="F7712" t="inlineStr">
        <is>
          <t>MBC GVX</t>
        </is>
      </c>
      <c r="J7712" t="inlineStr">
        <is>
          <t>MATRION</t>
        </is>
      </c>
      <c r="K7712" t="inlineStr">
        <is>
          <t>CUIVRE</t>
        </is>
      </c>
      <c r="L7712">
        <f>_xlfn.XLOOKUP(Tableau1[[#This Row],[TYPE DE PIECE]],Tableau4[MATIERE],Tableau4[SHORT TYPE],"",0,1)</f>
        <v/>
      </c>
      <c r="N7712">
        <f>IF(ISERR(FIND("DECOUPE",Tableau1[[#This Row],[DESIGNATION]])),"","NEED REF")</f>
        <v/>
      </c>
    </row>
    <row r="7713">
      <c r="B7713" t="n">
        <v>34406292</v>
      </c>
      <c r="C7713" s="2" t="n">
        <v>43018</v>
      </c>
      <c r="D7713" t="inlineStr">
        <is>
          <t>SPEC</t>
        </is>
      </c>
      <c r="E7713" t="inlineStr">
        <is>
          <t>LIAISON FLEXIBLE NW-LINERGY 3 NW12</t>
        </is>
      </c>
      <c r="F7713" t="inlineStr">
        <is>
          <t>MBC GVX</t>
        </is>
      </c>
      <c r="J7713" t="inlineStr">
        <is>
          <t>MATRION</t>
        </is>
      </c>
      <c r="K7713" t="inlineStr">
        <is>
          <t>CUIVRE</t>
        </is>
      </c>
      <c r="L7713">
        <f>_xlfn.XLOOKUP(Tableau1[[#This Row],[TYPE DE PIECE]],Tableau4[MATIERE],Tableau4[SHORT TYPE],"",0,1)</f>
        <v/>
      </c>
      <c r="N7713">
        <f>IF(ISERR(FIND("DECOUPE",Tableau1[[#This Row],[DESIGNATION]])),"","NEED REF")</f>
        <v/>
      </c>
    </row>
    <row r="7714">
      <c r="B7714" t="n">
        <v>34406291</v>
      </c>
      <c r="C7714" s="2" t="n">
        <v>43018</v>
      </c>
      <c r="D7714" t="inlineStr">
        <is>
          <t>SPEC</t>
        </is>
      </c>
      <c r="E7714" t="inlineStr">
        <is>
          <t>LIAISON FLEXIBLE NW-LINERGY 2 NW12</t>
        </is>
      </c>
      <c r="F7714" t="inlineStr">
        <is>
          <t>MBC GVX</t>
        </is>
      </c>
      <c r="J7714" t="inlineStr">
        <is>
          <t>MATRION</t>
        </is>
      </c>
      <c r="K7714" t="inlineStr">
        <is>
          <t>CUIVRE</t>
        </is>
      </c>
      <c r="L7714">
        <f>_xlfn.XLOOKUP(Tableau1[[#This Row],[TYPE DE PIECE]],Tableau4[MATIERE],Tableau4[SHORT TYPE],"",0,1)</f>
        <v/>
      </c>
      <c r="N7714">
        <f>IF(ISERR(FIND("DECOUPE",Tableau1[[#This Row],[DESIGNATION]])),"","NEED REF")</f>
        <v/>
      </c>
    </row>
    <row r="7715">
      <c r="B7715" t="n">
        <v>34406290</v>
      </c>
      <c r="C7715" s="2" t="n">
        <v>43018</v>
      </c>
      <c r="D7715" t="inlineStr">
        <is>
          <t>SPEC</t>
        </is>
      </c>
      <c r="E7715" t="inlineStr">
        <is>
          <t>LIAISON FLEXIBLE NW-LINERGY 1 NW12</t>
        </is>
      </c>
      <c r="F7715" t="inlineStr">
        <is>
          <t>MBC GVX</t>
        </is>
      </c>
      <c r="J7715" t="inlineStr">
        <is>
          <t>MATRION</t>
        </is>
      </c>
      <c r="K7715" t="inlineStr">
        <is>
          <t>CUIVRE</t>
        </is>
      </c>
      <c r="L7715">
        <f>_xlfn.XLOOKUP(Tableau1[[#This Row],[TYPE DE PIECE]],Tableau4[MATIERE],Tableau4[SHORT TYPE],"",0,1)</f>
        <v/>
      </c>
      <c r="N7715">
        <f>IF(ISERR(FIND("DECOUPE",Tableau1[[#This Row],[DESIGNATION]])),"","NEED REF")</f>
        <v/>
      </c>
    </row>
    <row r="7716">
      <c r="B7716" t="n">
        <v>34406289</v>
      </c>
      <c r="C7716" s="2" t="n">
        <v>43010</v>
      </c>
      <c r="D7716" t="inlineStr">
        <is>
          <t>SPEC</t>
        </is>
      </c>
      <c r="E7716" t="inlineStr">
        <is>
          <t>SUPPORT PE 2</t>
        </is>
      </c>
      <c r="F7716" t="inlineStr">
        <is>
          <t>MBC GVX</t>
        </is>
      </c>
      <c r="J7716" t="inlineStr">
        <is>
          <t>MATRION</t>
        </is>
      </c>
      <c r="K7716" t="inlineStr">
        <is>
          <t>METAL</t>
        </is>
      </c>
      <c r="L7716">
        <f>_xlfn.XLOOKUP(Tableau1[[#This Row],[TYPE DE PIECE]],Tableau4[MATIERE],Tableau4[SHORT TYPE],"",0,1)</f>
        <v/>
      </c>
      <c r="N7716">
        <f>IF(ISERR(FIND("DECOUPE",Tableau1[[#This Row],[DESIGNATION]])),"","NEED REF")</f>
        <v/>
      </c>
    </row>
    <row r="7717">
      <c r="B7717" t="n">
        <v>34406288</v>
      </c>
      <c r="C7717" s="2" t="n">
        <v>43010</v>
      </c>
      <c r="D7717" t="inlineStr">
        <is>
          <t>SPEC</t>
        </is>
      </c>
      <c r="E7717" t="inlineStr">
        <is>
          <t>CALE BARRE DE TERRE</t>
        </is>
      </c>
      <c r="F7717" t="inlineStr">
        <is>
          <t>TGAB-I/O</t>
        </is>
      </c>
      <c r="J7717" t="inlineStr">
        <is>
          <t>ROBERT</t>
        </is>
      </c>
      <c r="L7717">
        <f>_xlfn.XLOOKUP(Tableau1[[#This Row],[TYPE DE PIECE]],Tableau4[MATIERE],Tableau4[SHORT TYPE],"",0,1)</f>
        <v/>
      </c>
      <c r="N7717">
        <f>IF(ISERR(FIND("DECOUPE",Tableau1[[#This Row],[DESIGNATION]])),"","NEED REF")</f>
        <v/>
      </c>
    </row>
    <row r="7718">
      <c r="B7718" t="n">
        <v>34406287</v>
      </c>
      <c r="C7718" s="2" t="n">
        <v>43010</v>
      </c>
      <c r="D7718" t="inlineStr">
        <is>
          <t>SPEC</t>
        </is>
      </c>
      <c r="E7718" t="inlineStr">
        <is>
          <t>PLASTRON LAT</t>
        </is>
      </c>
      <c r="F7718" t="inlineStr">
        <is>
          <t>TGAB-I/O</t>
        </is>
      </c>
      <c r="J7718" t="inlineStr">
        <is>
          <t>ROBERT</t>
        </is>
      </c>
      <c r="L7718">
        <f>_xlfn.XLOOKUP(Tableau1[[#This Row],[TYPE DE PIECE]],Tableau4[MATIERE],Tableau4[SHORT TYPE],"",0,1)</f>
        <v/>
      </c>
      <c r="N7718">
        <f>IF(ISERR(FIND("DECOUPE",Tableau1[[#This Row],[DESIGNATION]])),"","NEED REF")</f>
        <v/>
      </c>
    </row>
    <row r="7719">
      <c r="B7719" t="n">
        <v>34406286</v>
      </c>
      <c r="C7719" s="2" t="n">
        <v>43010</v>
      </c>
      <c r="D7719" t="inlineStr">
        <is>
          <t>SPEC</t>
        </is>
      </c>
      <c r="E7719" t="inlineStr">
        <is>
          <t>PLASTRON AV-AR</t>
        </is>
      </c>
      <c r="F7719" t="inlineStr">
        <is>
          <t>TGAB-I/O</t>
        </is>
      </c>
      <c r="J7719" t="inlineStr">
        <is>
          <t>ROBERT</t>
        </is>
      </c>
      <c r="L7719">
        <f>_xlfn.XLOOKUP(Tableau1[[#This Row],[TYPE DE PIECE]],Tableau4[MATIERE],Tableau4[SHORT TYPE],"",0,1)</f>
        <v/>
      </c>
      <c r="N7719">
        <f>IF(ISERR(FIND("DECOUPE",Tableau1[[#This Row],[DESIGNATION]])),"","NEED REF")</f>
        <v/>
      </c>
    </row>
    <row r="7720">
      <c r="B7720" t="n">
        <v>34406285</v>
      </c>
      <c r="C7720" s="2" t="n">
        <v>43010</v>
      </c>
      <c r="D7720" t="inlineStr">
        <is>
          <t>SPEC</t>
        </is>
      </c>
      <c r="E7720" t="inlineStr">
        <is>
          <t>JONCTION BARRE-FLEXI</t>
        </is>
      </c>
      <c r="F7720" t="inlineStr">
        <is>
          <t>TGAB-I/O</t>
        </is>
      </c>
      <c r="J7720" t="inlineStr">
        <is>
          <t>ROBERT</t>
        </is>
      </c>
      <c r="L7720">
        <f>_xlfn.XLOOKUP(Tableau1[[#This Row],[TYPE DE PIECE]],Tableau4[MATIERE],Tableau4[SHORT TYPE],"",0,1)</f>
        <v/>
      </c>
      <c r="N7720">
        <f>IF(ISERR(FIND("DECOUPE",Tableau1[[#This Row],[DESIGNATION]])),"","NEED REF")</f>
        <v/>
      </c>
    </row>
    <row r="7721">
      <c r="B7721" t="n">
        <v>34406284</v>
      </c>
      <c r="C7721" s="2" t="n">
        <v>43010</v>
      </c>
      <c r="D7721" t="inlineStr">
        <is>
          <t>SPEC</t>
        </is>
      </c>
      <c r="E7721" t="inlineStr">
        <is>
          <t>JONCTION TERRE</t>
        </is>
      </c>
      <c r="F7721" t="inlineStr">
        <is>
          <t>TGAB-I/O</t>
        </is>
      </c>
      <c r="J7721" t="inlineStr">
        <is>
          <t>ROBERT</t>
        </is>
      </c>
      <c r="L7721">
        <f>_xlfn.XLOOKUP(Tableau1[[#This Row],[TYPE DE PIECE]],Tableau4[MATIERE],Tableau4[SHORT TYPE],"",0,1)</f>
        <v/>
      </c>
      <c r="N7721">
        <f>IF(ISERR(FIND("DECOUPE",Tableau1[[#This Row],[DESIGNATION]])),"","NEED REF")</f>
        <v/>
      </c>
    </row>
    <row r="7722">
      <c r="B7722" t="n">
        <v>34406283</v>
      </c>
      <c r="C7722" s="2" t="n">
        <v>43010</v>
      </c>
      <c r="D7722" t="inlineStr">
        <is>
          <t>SPEC</t>
        </is>
      </c>
      <c r="E7722" t="inlineStr">
        <is>
          <t>FIXATION REHAUSSE</t>
        </is>
      </c>
      <c r="F7722" t="inlineStr">
        <is>
          <t>TGAB-I/O</t>
        </is>
      </c>
      <c r="J7722" t="inlineStr">
        <is>
          <t>ROBERT</t>
        </is>
      </c>
      <c r="L7722">
        <f>_xlfn.XLOOKUP(Tableau1[[#This Row],[TYPE DE PIECE]],Tableau4[MATIERE],Tableau4[SHORT TYPE],"",0,1)</f>
        <v/>
      </c>
      <c r="N7722">
        <f>IF(ISERR(FIND("DECOUPE",Tableau1[[#This Row],[DESIGNATION]])),"","NEED REF")</f>
        <v/>
      </c>
    </row>
    <row r="7723">
      <c r="B7723" t="n">
        <v>34406282</v>
      </c>
      <c r="C7723" s="2" t="n">
        <v>43010</v>
      </c>
      <c r="D7723" t="inlineStr">
        <is>
          <t>SPEC</t>
        </is>
      </c>
      <c r="E7723" t="inlineStr">
        <is>
          <t>REHASSE LAT H150</t>
        </is>
      </c>
      <c r="F7723" t="inlineStr">
        <is>
          <t>TGAB-I/O</t>
        </is>
      </c>
      <c r="J7723" t="inlineStr">
        <is>
          <t>ROBERT</t>
        </is>
      </c>
      <c r="L7723">
        <f>_xlfn.XLOOKUP(Tableau1[[#This Row],[TYPE DE PIECE]],Tableau4[MATIERE],Tableau4[SHORT TYPE],"",0,1)</f>
        <v/>
      </c>
      <c r="N7723">
        <f>IF(ISERR(FIND("DECOUPE",Tableau1[[#This Row],[DESIGNATION]])),"","NEED REF")</f>
        <v/>
      </c>
    </row>
    <row r="7724">
      <c r="B7724" t="n">
        <v>34406281</v>
      </c>
      <c r="C7724" s="2" t="n">
        <v>43010</v>
      </c>
      <c r="D7724" t="inlineStr">
        <is>
          <t>SPEC</t>
        </is>
      </c>
      <c r="E7724" t="inlineStr">
        <is>
          <t>REHAUSSE AR H150</t>
        </is>
      </c>
      <c r="F7724" t="inlineStr">
        <is>
          <t>TGAB-I/O</t>
        </is>
      </c>
      <c r="J7724" t="inlineStr">
        <is>
          <t>ROBERT</t>
        </is>
      </c>
      <c r="L7724">
        <f>_xlfn.XLOOKUP(Tableau1[[#This Row],[TYPE DE PIECE]],Tableau4[MATIERE],Tableau4[SHORT TYPE],"",0,1)</f>
        <v/>
      </c>
      <c r="N7724">
        <f>IF(ISERR(FIND("DECOUPE",Tableau1[[#This Row],[DESIGNATION]])),"","NEED REF")</f>
        <v/>
      </c>
    </row>
    <row r="7725">
      <c r="B7725" t="n">
        <v>34406280</v>
      </c>
      <c r="C7725" s="2" t="n">
        <v>43010</v>
      </c>
      <c r="D7725" t="inlineStr">
        <is>
          <t>SPEC</t>
        </is>
      </c>
      <c r="E7725" t="inlineStr">
        <is>
          <t>REHAUSSE AV H150</t>
        </is>
      </c>
      <c r="F7725" t="inlineStr">
        <is>
          <t>TGAB-I/O</t>
        </is>
      </c>
      <c r="J7725" t="inlineStr">
        <is>
          <t>ROBERT</t>
        </is>
      </c>
      <c r="L7725">
        <f>_xlfn.XLOOKUP(Tableau1[[#This Row],[TYPE DE PIECE]],Tableau4[MATIERE],Tableau4[SHORT TYPE],"",0,1)</f>
        <v/>
      </c>
      <c r="N7725">
        <f>IF(ISERR(FIND("DECOUPE",Tableau1[[#This Row],[DESIGNATION]])),"","NEED REF")</f>
        <v/>
      </c>
    </row>
    <row r="7726">
      <c r="B7726" t="n">
        <v>34406279</v>
      </c>
      <c r="C7726" s="2" t="n">
        <v>43007</v>
      </c>
      <c r="D7726" t="inlineStr">
        <is>
          <t>SPEC</t>
        </is>
      </c>
      <c r="E7726" t="inlineStr">
        <is>
          <t>PLAGE ALU NW POUR FLEX</t>
        </is>
      </c>
      <c r="F7726" t="inlineStr">
        <is>
          <t>MBC GVX</t>
        </is>
      </c>
      <c r="J7726" t="inlineStr">
        <is>
          <t>MATRION</t>
        </is>
      </c>
      <c r="K7726" t="inlineStr">
        <is>
          <t>ALU</t>
        </is>
      </c>
      <c r="L7726">
        <f>_xlfn.XLOOKUP(Tableau1[[#This Row],[TYPE DE PIECE]],Tableau4[MATIERE],Tableau4[SHORT TYPE],"",0,1)</f>
        <v/>
      </c>
      <c r="N7726">
        <f>IF(ISERR(FIND("DECOUPE",Tableau1[[#This Row],[DESIGNATION]])),"","NEED REF")</f>
        <v/>
      </c>
    </row>
    <row r="7727">
      <c r="B7727" t="n">
        <v>34406278</v>
      </c>
      <c r="C7727" s="2" t="n">
        <v>43010</v>
      </c>
      <c r="D7727" t="inlineStr">
        <is>
          <t>SPEC</t>
        </is>
      </c>
      <c r="E7727" t="inlineStr">
        <is>
          <t>PRESTATION CEV COFFRET DE SYNCHRO</t>
        </is>
      </c>
      <c r="F7727" t="inlineStr">
        <is>
          <t>COFFRET  SYNCHRO</t>
        </is>
      </c>
      <c r="J7727" t="inlineStr">
        <is>
          <t>ROBERT</t>
        </is>
      </c>
      <c r="L7727">
        <f>_xlfn.XLOOKUP(Tableau1[[#This Row],[TYPE DE PIECE]],Tableau4[MATIERE],Tableau4[SHORT TYPE],"",0,1)</f>
        <v/>
      </c>
      <c r="N7727">
        <f>IF(ISERR(FIND("DECOUPE",Tableau1[[#This Row],[DESIGNATION]])),"","NEED REF")</f>
        <v/>
      </c>
    </row>
    <row r="7728">
      <c r="B7728" t="n">
        <v>34406277</v>
      </c>
      <c r="C7728" s="2" t="n">
        <v>43010</v>
      </c>
      <c r="D7728" t="inlineStr">
        <is>
          <t>SPEC</t>
        </is>
      </c>
      <c r="E7728" t="inlineStr">
        <is>
          <t>Etiquette infos AES</t>
        </is>
      </c>
      <c r="F7728" t="inlineStr">
        <is>
          <t>G300</t>
        </is>
      </c>
      <c r="J7728" t="inlineStr">
        <is>
          <t>ROBERT</t>
        </is>
      </c>
      <c r="L7728">
        <f>_xlfn.XLOOKUP(Tableau1[[#This Row],[TYPE DE PIECE]],Tableau4[MATIERE],Tableau4[SHORT TYPE],"",0,1)</f>
        <v/>
      </c>
      <c r="N7728">
        <f>IF(ISERR(FIND("DECOUPE",Tableau1[[#This Row],[DESIGNATION]])),"","NEED REF")</f>
        <v/>
      </c>
    </row>
    <row r="7729">
      <c r="B7729" t="n">
        <v>34406276</v>
      </c>
      <c r="C7729" s="2" t="n">
        <v>43007</v>
      </c>
      <c r="D7729" t="inlineStr">
        <is>
          <t>SPEC</t>
        </is>
      </c>
      <c r="E7729" t="inlineStr">
        <is>
          <t>PLAGE LINERGY POUR FLEX</t>
        </is>
      </c>
      <c r="F7729" t="inlineStr">
        <is>
          <t>MBC GVX</t>
        </is>
      </c>
      <c r="J7729" t="inlineStr">
        <is>
          <t>MATRION</t>
        </is>
      </c>
      <c r="K7729" t="inlineStr">
        <is>
          <t>CUIVRE</t>
        </is>
      </c>
      <c r="L7729">
        <f>_xlfn.XLOOKUP(Tableau1[[#This Row],[TYPE DE PIECE]],Tableau4[MATIERE],Tableau4[SHORT TYPE],"",0,1)</f>
        <v/>
      </c>
      <c r="N7729">
        <f>IF(ISERR(FIND("DECOUPE",Tableau1[[#This Row],[DESIGNATION]])),"","NEED REF")</f>
        <v/>
      </c>
    </row>
    <row r="7730">
      <c r="B7730" t="n">
        <v>34406275</v>
      </c>
      <c r="C7730" s="2" t="n">
        <v>43007</v>
      </c>
      <c r="D7730" t="inlineStr">
        <is>
          <t>SPEC</t>
        </is>
      </c>
      <c r="E7730" t="inlineStr">
        <is>
          <t>SE LIAISON FLEXIBLE NW-LINERGY NW25 4P</t>
        </is>
      </c>
      <c r="F7730" t="inlineStr">
        <is>
          <t>MBC GVX</t>
        </is>
      </c>
      <c r="J7730" t="inlineStr">
        <is>
          <t>MATRION</t>
        </is>
      </c>
      <c r="L7730">
        <f>_xlfn.XLOOKUP(Tableau1[[#This Row],[TYPE DE PIECE]],Tableau4[MATIERE],Tableau4[SHORT TYPE],"",0,1)</f>
        <v/>
      </c>
      <c r="N7730">
        <f>IF(ISERR(FIND("DECOUPE",Tableau1[[#This Row],[DESIGNATION]])),"","NEED REF")</f>
        <v/>
      </c>
    </row>
    <row r="7731">
      <c r="B7731" t="n">
        <v>34406274</v>
      </c>
      <c r="C7731" s="2" t="n">
        <v>43007</v>
      </c>
      <c r="D7731" t="inlineStr">
        <is>
          <t>SPEC</t>
        </is>
      </c>
      <c r="E7731" t="inlineStr">
        <is>
          <t>PLAGE CUIVRE NW POUR FLEX</t>
        </is>
      </c>
      <c r="F7731" t="inlineStr">
        <is>
          <t>MBC GVX</t>
        </is>
      </c>
      <c r="J7731" t="inlineStr">
        <is>
          <t>MATRION</t>
        </is>
      </c>
      <c r="K7731" t="inlineStr">
        <is>
          <t>CUIVRE</t>
        </is>
      </c>
      <c r="L7731">
        <f>_xlfn.XLOOKUP(Tableau1[[#This Row],[TYPE DE PIECE]],Tableau4[MATIERE],Tableau4[SHORT TYPE],"",0,1)</f>
        <v/>
      </c>
      <c r="N7731">
        <f>IF(ISERR(FIND("DECOUPE",Tableau1[[#This Row],[DESIGNATION]])),"","NEED REF")</f>
        <v/>
      </c>
    </row>
    <row r="7732">
      <c r="B7732" t="n">
        <v>34406273</v>
      </c>
      <c r="C7732" s="2" t="n">
        <v>43007</v>
      </c>
      <c r="D7732" t="inlineStr">
        <is>
          <t>SPEC</t>
        </is>
      </c>
      <c r="E7732" t="inlineStr">
        <is>
          <t>LIAISON FLEXIBLE NW-LINERGY 4 NW25</t>
        </is>
      </c>
      <c r="F7732" t="inlineStr">
        <is>
          <t>MBC GVX</t>
        </is>
      </c>
      <c r="J7732" t="inlineStr">
        <is>
          <t>MATRION</t>
        </is>
      </c>
      <c r="K7732" t="inlineStr">
        <is>
          <t>CUIVRE</t>
        </is>
      </c>
      <c r="L7732">
        <f>_xlfn.XLOOKUP(Tableau1[[#This Row],[TYPE DE PIECE]],Tableau4[MATIERE],Tableau4[SHORT TYPE],"",0,1)</f>
        <v/>
      </c>
      <c r="N7732">
        <f>IF(ISERR(FIND("DECOUPE",Tableau1[[#This Row],[DESIGNATION]])),"","NEED REF")</f>
        <v/>
      </c>
    </row>
    <row r="7733">
      <c r="B7733" t="n">
        <v>34406272</v>
      </c>
      <c r="C7733" s="2" t="n">
        <v>43007</v>
      </c>
      <c r="D7733" t="inlineStr">
        <is>
          <t>SPEC</t>
        </is>
      </c>
      <c r="E7733" t="inlineStr">
        <is>
          <t>LIAISON FLEXIBLE NW-LINERGY 3 NW25</t>
        </is>
      </c>
      <c r="F7733" t="inlineStr">
        <is>
          <t>MBC GVX</t>
        </is>
      </c>
      <c r="J7733" t="inlineStr">
        <is>
          <t>MATRION</t>
        </is>
      </c>
      <c r="K7733" t="inlineStr">
        <is>
          <t>CUIVRE</t>
        </is>
      </c>
      <c r="L7733">
        <f>_xlfn.XLOOKUP(Tableau1[[#This Row],[TYPE DE PIECE]],Tableau4[MATIERE],Tableau4[SHORT TYPE],"",0,1)</f>
        <v/>
      </c>
      <c r="N7733">
        <f>IF(ISERR(FIND("DECOUPE",Tableau1[[#This Row],[DESIGNATION]])),"","NEED REF")</f>
        <v/>
      </c>
    </row>
    <row r="7734">
      <c r="B7734" t="n">
        <v>34406271</v>
      </c>
      <c r="C7734" s="2" t="n">
        <v>43007</v>
      </c>
      <c r="D7734" t="inlineStr">
        <is>
          <t>SPEC</t>
        </is>
      </c>
      <c r="E7734" t="inlineStr">
        <is>
          <t>LIAISON FLEXIBLE NW-LINERGY 2 NW25</t>
        </is>
      </c>
      <c r="F7734" t="inlineStr">
        <is>
          <t>MBC GVX</t>
        </is>
      </c>
      <c r="J7734" t="inlineStr">
        <is>
          <t>MATRION</t>
        </is>
      </c>
      <c r="K7734" t="inlineStr">
        <is>
          <t>CUIVRE</t>
        </is>
      </c>
      <c r="L7734">
        <f>_xlfn.XLOOKUP(Tableau1[[#This Row],[TYPE DE PIECE]],Tableau4[MATIERE],Tableau4[SHORT TYPE],"",0,1)</f>
        <v/>
      </c>
      <c r="N7734">
        <f>IF(ISERR(FIND("DECOUPE",Tableau1[[#This Row],[DESIGNATION]])),"","NEED REF")</f>
        <v/>
      </c>
    </row>
    <row r="7735">
      <c r="B7735" t="n">
        <v>34406270</v>
      </c>
      <c r="C7735" s="2" t="n">
        <v>43007</v>
      </c>
      <c r="D7735" t="inlineStr">
        <is>
          <t>SPEC</t>
        </is>
      </c>
      <c r="E7735" t="inlineStr">
        <is>
          <t>LIAISON FLEXIBLE NW-LINERGY 1 NW25</t>
        </is>
      </c>
      <c r="F7735" t="inlineStr">
        <is>
          <t>MBC GVX</t>
        </is>
      </c>
      <c r="J7735" t="inlineStr">
        <is>
          <t>MATRION</t>
        </is>
      </c>
      <c r="K7735" t="inlineStr">
        <is>
          <t>CUIVRE</t>
        </is>
      </c>
      <c r="L7735">
        <f>_xlfn.XLOOKUP(Tableau1[[#This Row],[TYPE DE PIECE]],Tableau4[MATIERE],Tableau4[SHORT TYPE],"",0,1)</f>
        <v/>
      </c>
      <c r="N7735">
        <f>IF(ISERR(FIND("DECOUPE",Tableau1[[#This Row],[DESIGNATION]])),"","NEED REF")</f>
        <v/>
      </c>
    </row>
    <row r="7736">
      <c r="B7736" t="n">
        <v>34406269</v>
      </c>
      <c r="C7736" s="2" t="n">
        <v>42998</v>
      </c>
      <c r="D7736" t="inlineStr">
        <is>
          <t>manuel</t>
        </is>
      </c>
      <c r="E7736" t="inlineStr">
        <is>
          <t>Manuel installation Regen Box</t>
        </is>
      </c>
      <c r="F7736" t="inlineStr">
        <is>
          <t>REGEN BOX</t>
        </is>
      </c>
      <c r="J7736" t="inlineStr">
        <is>
          <t>REVEL</t>
        </is>
      </c>
      <c r="L7736">
        <f>_xlfn.XLOOKUP(Tableau1[[#This Row],[TYPE DE PIECE]],Tableau4[MATIERE],Tableau4[SHORT TYPE],"",0,1)</f>
        <v/>
      </c>
      <c r="N7736">
        <f>IF(ISERR(FIND("DECOUPE",Tableau1[[#This Row],[DESIGNATION]])),"","NEED REF")</f>
        <v/>
      </c>
    </row>
    <row r="7737">
      <c r="B7737" t="n">
        <v>34406268</v>
      </c>
      <c r="C7737" s="2" t="n">
        <v>42998</v>
      </c>
      <c r="D7737" t="inlineStr">
        <is>
          <t>SPEC</t>
        </is>
      </c>
      <c r="E7737" t="inlineStr">
        <is>
          <t>GOULOTTE 300mm</t>
        </is>
      </c>
      <c r="F7737" t="inlineStr">
        <is>
          <t>PMM NETSHELTER</t>
        </is>
      </c>
      <c r="J7737" t="inlineStr">
        <is>
          <t>MATRION</t>
        </is>
      </c>
      <c r="L7737">
        <f>_xlfn.XLOOKUP(Tableau1[[#This Row],[TYPE DE PIECE]],Tableau4[MATIERE],Tableau4[SHORT TYPE],"",0,1)</f>
        <v/>
      </c>
      <c r="N7737">
        <f>IF(ISERR(FIND("DECOUPE",Tableau1[[#This Row],[DESIGNATION]])),"","NEED REF")</f>
        <v/>
      </c>
    </row>
    <row r="7738">
      <c r="B7738" t="n">
        <v>34406267</v>
      </c>
      <c r="C7738" s="2" t="n">
        <v>42998</v>
      </c>
      <c r="D7738" t="inlineStr">
        <is>
          <t>SPEC</t>
        </is>
      </c>
      <c r="E7738" t="inlineStr">
        <is>
          <t>GOULOTTE 1650mm</t>
        </is>
      </c>
      <c r="F7738" t="inlineStr">
        <is>
          <t>PMM NETSHELTER</t>
        </is>
      </c>
      <c r="J7738" t="inlineStr">
        <is>
          <t>MATRION</t>
        </is>
      </c>
      <c r="L7738">
        <f>_xlfn.XLOOKUP(Tableau1[[#This Row],[TYPE DE PIECE]],Tableau4[MATIERE],Tableau4[SHORT TYPE],"",0,1)</f>
        <v/>
      </c>
      <c r="N7738">
        <f>IF(ISERR(FIND("DECOUPE",Tableau1[[#This Row],[DESIGNATION]])),"","NEED REF")</f>
        <v/>
      </c>
    </row>
    <row r="7739">
      <c r="B7739" t="n">
        <v>34406266</v>
      </c>
      <c r="C7739" s="2" t="n">
        <v>42998</v>
      </c>
      <c r="D7739" t="inlineStr">
        <is>
          <t>SPEC</t>
        </is>
      </c>
      <c r="E7739" t="inlineStr">
        <is>
          <t>PE BARRE</t>
        </is>
      </c>
      <c r="F7739" t="inlineStr">
        <is>
          <t>PMM NETSHELTER</t>
        </is>
      </c>
      <c r="J7739" t="inlineStr">
        <is>
          <t>MATRION</t>
        </is>
      </c>
      <c r="L7739">
        <f>_xlfn.XLOOKUP(Tableau1[[#This Row],[TYPE DE PIECE]],Tableau4[MATIERE],Tableau4[SHORT TYPE],"",0,1)</f>
        <v/>
      </c>
      <c r="N7739">
        <f>IF(ISERR(FIND("DECOUPE",Tableau1[[#This Row],[DESIGNATION]])),"","NEED REF")</f>
        <v/>
      </c>
    </row>
    <row r="7740">
      <c r="B7740" t="n">
        <v>34406265</v>
      </c>
      <c r="C7740" s="2" t="n">
        <v>42998</v>
      </c>
      <c r="D7740" t="inlineStr">
        <is>
          <t>SPEC</t>
        </is>
      </c>
      <c r="E7740" t="inlineStr">
        <is>
          <t>RAIL MULTICLIP</t>
        </is>
      </c>
      <c r="F7740" t="inlineStr">
        <is>
          <t>PMM NETSHELTER</t>
        </is>
      </c>
      <c r="J7740" t="inlineStr">
        <is>
          <t>MATRION</t>
        </is>
      </c>
      <c r="L7740">
        <f>_xlfn.XLOOKUP(Tableau1[[#This Row],[TYPE DE PIECE]],Tableau4[MATIERE],Tableau4[SHORT TYPE],"",0,1)</f>
        <v/>
      </c>
      <c r="N7740">
        <f>IF(ISERR(FIND("DECOUPE",Tableau1[[#This Row],[DESIGNATION]])),"","NEED REF")</f>
        <v/>
      </c>
    </row>
    <row r="7741">
      <c r="B7741" t="n">
        <v>34406264</v>
      </c>
      <c r="C7741" s="2" t="n">
        <v>42998</v>
      </c>
      <c r="D7741" t="inlineStr">
        <is>
          <t>SPEC</t>
        </is>
      </c>
      <c r="E7741" t="inlineStr">
        <is>
          <t>KIT FILERIE MULTICLIP VERS iC60</t>
        </is>
      </c>
      <c r="F7741" t="inlineStr">
        <is>
          <t>PMM NETSHELTER</t>
        </is>
      </c>
      <c r="J7741" t="inlineStr">
        <is>
          <t>MATRION</t>
        </is>
      </c>
      <c r="L7741">
        <f>_xlfn.XLOOKUP(Tableau1[[#This Row],[TYPE DE PIECE]],Tableau4[MATIERE],Tableau4[SHORT TYPE],"",0,1)</f>
        <v/>
      </c>
      <c r="N7741">
        <f>IF(ISERR(FIND("DECOUPE",Tableau1[[#This Row],[DESIGNATION]])),"","NEED REF")</f>
        <v/>
      </c>
    </row>
    <row r="7742">
      <c r="B7742" t="n">
        <v>34406263</v>
      </c>
      <c r="C7742" s="2" t="n">
        <v>42998</v>
      </c>
      <c r="D7742" t="inlineStr">
        <is>
          <t>SPEC</t>
        </is>
      </c>
      <c r="E7742" t="inlineStr">
        <is>
          <t>PLAQUE DE FOND 2</t>
        </is>
      </c>
      <c r="F7742" t="inlineStr">
        <is>
          <t>PMM NETSHELTER</t>
        </is>
      </c>
      <c r="J7742" t="inlineStr">
        <is>
          <t>MATRION</t>
        </is>
      </c>
      <c r="L7742">
        <f>_xlfn.XLOOKUP(Tableau1[[#This Row],[TYPE DE PIECE]],Tableau4[MATIERE],Tableau4[SHORT TYPE],"",0,1)</f>
        <v/>
      </c>
      <c r="N7742">
        <f>IF(ISERR(FIND("DECOUPE",Tableau1[[#This Row],[DESIGNATION]])),"","NEED REF")</f>
        <v/>
      </c>
    </row>
    <row r="7743">
      <c r="B7743" t="n">
        <v>34406262</v>
      </c>
      <c r="C7743" s="2" t="n">
        <v>42993</v>
      </c>
      <c r="D7743" t="inlineStr">
        <is>
          <t>SPEC</t>
        </is>
      </c>
      <c r="E7743" t="inlineStr">
        <is>
          <t>CX CS1 &amp; CS2</t>
        </is>
      </c>
      <c r="F7743" t="inlineStr">
        <is>
          <t>REGENBOX</t>
        </is>
      </c>
      <c r="J7743" t="inlineStr">
        <is>
          <t>MATRION</t>
        </is>
      </c>
      <c r="L7743">
        <f>_xlfn.XLOOKUP(Tableau1[[#This Row],[TYPE DE PIECE]],Tableau4[MATIERE],Tableau4[SHORT TYPE],"",0,1)</f>
        <v/>
      </c>
      <c r="N7743">
        <f>IF(ISERR(FIND("DECOUPE",Tableau1[[#This Row],[DESIGNATION]])),"","NEED REF")</f>
        <v/>
      </c>
    </row>
    <row r="7744">
      <c r="B7744" t="n">
        <v>34406261</v>
      </c>
      <c r="C7744" s="2" t="n">
        <v>42993</v>
      </c>
      <c r="D7744" t="inlineStr">
        <is>
          <t>SPEC</t>
        </is>
      </c>
      <c r="E7744" t="inlineStr">
        <is>
          <t>Tige filetée M10 x 35 acier électro zingué</t>
        </is>
      </c>
      <c r="F7744" t="inlineStr">
        <is>
          <t>BBC</t>
        </is>
      </c>
      <c r="J7744" t="inlineStr">
        <is>
          <t>LAURANT</t>
        </is>
      </c>
      <c r="K7744" t="inlineStr">
        <is>
          <t>METAL</t>
        </is>
      </c>
      <c r="L7744">
        <f>_xlfn.XLOOKUP(Tableau1[[#This Row],[TYPE DE PIECE]],Tableau4[MATIERE],Tableau4[SHORT TYPE],"",0,1)</f>
        <v/>
      </c>
      <c r="N7744">
        <f>IF(ISERR(FIND("DECOUPE",Tableau1[[#This Row],[DESIGNATION]])),"","NEED REF")</f>
        <v/>
      </c>
    </row>
    <row r="7745">
      <c r="B7745" t="n">
        <v>34406260</v>
      </c>
      <c r="C7745" s="2" t="n">
        <v>42993</v>
      </c>
      <c r="D7745" t="inlineStr">
        <is>
          <t>SPEC</t>
        </is>
      </c>
      <c r="E7745" t="inlineStr">
        <is>
          <t>Tige filetée M10 x 30 acier électro zingué</t>
        </is>
      </c>
      <c r="F7745" t="inlineStr">
        <is>
          <t>BBC</t>
        </is>
      </c>
      <c r="J7745" t="inlineStr">
        <is>
          <t>LAURANT</t>
        </is>
      </c>
      <c r="K7745" t="inlineStr">
        <is>
          <t>METAL</t>
        </is>
      </c>
      <c r="L7745">
        <f>_xlfn.XLOOKUP(Tableau1[[#This Row],[TYPE DE PIECE]],Tableau4[MATIERE],Tableau4[SHORT TYPE],"",0,1)</f>
        <v/>
      </c>
      <c r="N7745">
        <f>IF(ISERR(FIND("DECOUPE",Tableau1[[#This Row],[DESIGNATION]])),"","NEED REF")</f>
        <v/>
      </c>
    </row>
    <row r="7746">
      <c r="B7746" t="n">
        <v>34406259</v>
      </c>
      <c r="C7746" s="2" t="n">
        <v>42993</v>
      </c>
      <c r="D7746" t="inlineStr">
        <is>
          <t>SPEC</t>
        </is>
      </c>
      <c r="E7746" t="inlineStr">
        <is>
          <t>Tige filetée M10 x 25 acier électro zingué</t>
        </is>
      </c>
      <c r="F7746" t="inlineStr">
        <is>
          <t>BBC</t>
        </is>
      </c>
      <c r="J7746" t="inlineStr">
        <is>
          <t>LAURANT</t>
        </is>
      </c>
      <c r="K7746" t="inlineStr">
        <is>
          <t>METAL</t>
        </is>
      </c>
      <c r="L7746">
        <f>_xlfn.XLOOKUP(Tableau1[[#This Row],[TYPE DE PIECE]],Tableau4[MATIERE],Tableau4[SHORT TYPE],"",0,1)</f>
        <v/>
      </c>
      <c r="N7746">
        <f>IF(ISERR(FIND("DECOUPE",Tableau1[[#This Row],[DESIGNATION]])),"","NEED REF")</f>
        <v/>
      </c>
    </row>
    <row r="7747">
      <c r="B7747" t="n">
        <v>34406258</v>
      </c>
      <c r="C7747" s="2" t="n">
        <v>42992</v>
      </c>
      <c r="D7747" t="inlineStr">
        <is>
          <t>SPEC</t>
        </is>
      </c>
      <c r="E7747" t="inlineStr">
        <is>
          <t>PROTECTION ELECTRO. 1 COVER</t>
        </is>
      </c>
      <c r="F7747" t="inlineStr">
        <is>
          <t>REGEN BOX</t>
        </is>
      </c>
      <c r="J7747" t="inlineStr">
        <is>
          <t>MATRION</t>
        </is>
      </c>
      <c r="L7747">
        <f>_xlfn.XLOOKUP(Tableau1[[#This Row],[TYPE DE PIECE]],Tableau4[MATIERE],Tableau4[SHORT TYPE],"",0,1)</f>
        <v/>
      </c>
      <c r="N7747">
        <f>IF(ISERR(FIND("DECOUPE",Tableau1[[#This Row],[DESIGNATION]])),"","NEED REF")</f>
        <v/>
      </c>
    </row>
    <row r="7748">
      <c r="B7748" t="n">
        <v>34406257</v>
      </c>
      <c r="C7748" s="2" t="n">
        <v>42992</v>
      </c>
      <c r="D7748" t="inlineStr">
        <is>
          <t>SPEC</t>
        </is>
      </c>
      <c r="E7748" t="inlineStr">
        <is>
          <t>PROTECTION ELECTRO. 1</t>
        </is>
      </c>
      <c r="F7748" t="inlineStr">
        <is>
          <t>REGEN BOX</t>
        </is>
      </c>
      <c r="J7748" t="inlineStr">
        <is>
          <t>MATRION</t>
        </is>
      </c>
      <c r="L7748">
        <f>_xlfn.XLOOKUP(Tableau1[[#This Row],[TYPE DE PIECE]],Tableau4[MATIERE],Tableau4[SHORT TYPE],"",0,1)</f>
        <v/>
      </c>
      <c r="N7748">
        <f>IF(ISERR(FIND("DECOUPE",Tableau1[[#This Row],[DESIGNATION]])),"","NEED REF")</f>
        <v/>
      </c>
    </row>
    <row r="7749">
      <c r="B7749" t="n">
        <v>34406256</v>
      </c>
      <c r="C7749" s="2" t="n">
        <v>42991</v>
      </c>
      <c r="D7749" t="inlineStr">
        <is>
          <t>SPEC</t>
        </is>
      </c>
      <c r="E7749" t="inlineStr">
        <is>
          <t>FIXATION CABLES CS</t>
        </is>
      </c>
      <c r="F7749" t="inlineStr">
        <is>
          <t>REGENBOX</t>
        </is>
      </c>
      <c r="J7749" t="inlineStr">
        <is>
          <t>MATRION</t>
        </is>
      </c>
      <c r="L7749">
        <f>_xlfn.XLOOKUP(Tableau1[[#This Row],[TYPE DE PIECE]],Tableau4[MATIERE],Tableau4[SHORT TYPE],"",0,1)</f>
        <v/>
      </c>
      <c r="N7749">
        <f>IF(ISERR(FIND("DECOUPE",Tableau1[[#This Row],[DESIGNATION]])),"","NEED REF")</f>
        <v/>
      </c>
    </row>
    <row r="7750">
      <c r="B7750" t="n">
        <v>34406255</v>
      </c>
      <c r="C7750" s="2" t="n">
        <v>42991</v>
      </c>
      <c r="D7750" t="inlineStr">
        <is>
          <t>SPEC</t>
        </is>
      </c>
      <c r="E7750" t="inlineStr">
        <is>
          <t>PLASTRON DECOUPE C60 ET CONTROLEUR H=200 L=712 BIRDY</t>
        </is>
      </c>
      <c r="F7750" t="inlineStr">
        <is>
          <t>REGENBOX</t>
        </is>
      </c>
      <c r="J7750" t="inlineStr">
        <is>
          <t>MATRION</t>
        </is>
      </c>
      <c r="L7750">
        <f>_xlfn.XLOOKUP(Tableau1[[#This Row],[TYPE DE PIECE]],Tableau4[MATIERE],Tableau4[SHORT TYPE],"",0,1)</f>
        <v/>
      </c>
      <c r="N7750">
        <f>IF(ISERR(FIND("DECOUPE",Tableau1[[#This Row],[DESIGNATION]])),"","NEED REF")</f>
        <v/>
      </c>
    </row>
    <row r="7751">
      <c r="B7751" t="n">
        <v>34406254</v>
      </c>
      <c r="C7751" s="2" t="n">
        <v>42984</v>
      </c>
      <c r="D7751" t="inlineStr">
        <is>
          <t>SPEC</t>
        </is>
      </c>
      <c r="E7751" t="inlineStr">
        <is>
          <t>SUPPORT CABLOFILS REGLABLE 2</t>
        </is>
      </c>
      <c r="F7751" t="inlineStr">
        <is>
          <t>PMM NETSHELTER</t>
        </is>
      </c>
      <c r="J7751" t="inlineStr">
        <is>
          <t>MATRION</t>
        </is>
      </c>
      <c r="L7751">
        <f>_xlfn.XLOOKUP(Tableau1[[#This Row],[TYPE DE PIECE]],Tableau4[MATIERE],Tableau4[SHORT TYPE],"",0,1)</f>
        <v/>
      </c>
      <c r="N7751">
        <f>IF(ISERR(FIND("DECOUPE",Tableau1[[#This Row],[DESIGNATION]])),"","NEED REF")</f>
        <v/>
      </c>
    </row>
    <row r="7752">
      <c r="B7752" t="n">
        <v>34406253</v>
      </c>
      <c r="C7752" s="2" t="n">
        <v>42984</v>
      </c>
      <c r="D7752" t="inlineStr">
        <is>
          <t>SPEC</t>
        </is>
      </c>
      <c r="E7752" t="inlineStr">
        <is>
          <t>SUPPORT CABLOFILS REGLABLE 1</t>
        </is>
      </c>
      <c r="F7752" t="inlineStr">
        <is>
          <t>PMM NETSHELTER</t>
        </is>
      </c>
      <c r="J7752" t="inlineStr">
        <is>
          <t>MATRION</t>
        </is>
      </c>
      <c r="L7752">
        <f>_xlfn.XLOOKUP(Tableau1[[#This Row],[TYPE DE PIECE]],Tableau4[MATIERE],Tableau4[SHORT TYPE],"",0,1)</f>
        <v/>
      </c>
      <c r="N7752">
        <f>IF(ISERR(FIND("DECOUPE",Tableau1[[#This Row],[DESIGNATION]])),"","NEED REF")</f>
        <v/>
      </c>
    </row>
    <row r="7753">
      <c r="B7753" t="n">
        <v>34406252</v>
      </c>
      <c r="C7753" s="2" t="n">
        <v>42984</v>
      </c>
      <c r="D7753" t="inlineStr">
        <is>
          <t>SPEC</t>
        </is>
      </c>
      <c r="E7753" t="inlineStr">
        <is>
          <t>PASSE CABLE</t>
        </is>
      </c>
      <c r="F7753" t="inlineStr">
        <is>
          <t>PMM NETSHELTER</t>
        </is>
      </c>
      <c r="J7753" t="inlineStr">
        <is>
          <t>MATRION</t>
        </is>
      </c>
      <c r="L7753">
        <f>_xlfn.XLOOKUP(Tableau1[[#This Row],[TYPE DE PIECE]],Tableau4[MATIERE],Tableau4[SHORT TYPE],"",0,1)</f>
        <v/>
      </c>
      <c r="N7753">
        <f>IF(ISERR(FIND("DECOUPE",Tableau1[[#This Row],[DESIGNATION]])),"","NEED REF")</f>
        <v/>
      </c>
    </row>
    <row r="7754">
      <c r="B7754" t="n">
        <v>34406251</v>
      </c>
      <c r="C7754" s="2" t="n">
        <v>42984</v>
      </c>
      <c r="D7754" t="inlineStr">
        <is>
          <t>SPEC</t>
        </is>
      </c>
      <c r="E7754" t="inlineStr">
        <is>
          <t>PLAQUE DE FOND</t>
        </is>
      </c>
      <c r="F7754" t="inlineStr">
        <is>
          <t>PMM NETSHELTER</t>
        </is>
      </c>
      <c r="J7754" t="inlineStr">
        <is>
          <t>MATRION</t>
        </is>
      </c>
      <c r="L7754">
        <f>_xlfn.XLOOKUP(Tableau1[[#This Row],[TYPE DE PIECE]],Tableau4[MATIERE],Tableau4[SHORT TYPE],"",0,1)</f>
        <v/>
      </c>
      <c r="N7754">
        <f>IF(ISERR(FIND("DECOUPE",Tableau1[[#This Row],[DESIGNATION]])),"","NEED REF")</f>
        <v/>
      </c>
    </row>
    <row r="7755">
      <c r="B7755" t="n">
        <v>34406250</v>
      </c>
      <c r="C7755" s="2" t="n">
        <v>42977</v>
      </c>
      <c r="D7755" t="inlineStr">
        <is>
          <t>SPEC</t>
        </is>
      </c>
      <c r="E7755" t="inlineStr">
        <is>
          <t>PASSES CABLES</t>
        </is>
      </c>
      <c r="F7755" t="inlineStr">
        <is>
          <t>PMM NETSHELTER</t>
        </is>
      </c>
      <c r="J7755" t="inlineStr">
        <is>
          <t>MATRION</t>
        </is>
      </c>
      <c r="L7755">
        <f>_xlfn.XLOOKUP(Tableau1[[#This Row],[TYPE DE PIECE]],Tableau4[MATIERE],Tableau4[SHORT TYPE],"",0,1)</f>
        <v/>
      </c>
      <c r="N7755">
        <f>IF(ISERR(FIND("DECOUPE",Tableau1[[#This Row],[DESIGNATION]])),"","NEED REF")</f>
        <v/>
      </c>
    </row>
    <row r="7756">
      <c r="B7756" t="n">
        <v>34406249</v>
      </c>
      <c r="C7756" s="2" t="n">
        <v>42977</v>
      </c>
      <c r="D7756" t="inlineStr">
        <is>
          <t>SPEC</t>
        </is>
      </c>
      <c r="E7756" t="inlineStr">
        <is>
          <t>SUPPORT PLAQUE DE FOND</t>
        </is>
      </c>
      <c r="F7756" t="inlineStr">
        <is>
          <t>PMM NETSHELTER</t>
        </is>
      </c>
      <c r="J7756" t="inlineStr">
        <is>
          <t>MATRION</t>
        </is>
      </c>
      <c r="L7756">
        <f>_xlfn.XLOOKUP(Tableau1[[#This Row],[TYPE DE PIECE]],Tableau4[MATIERE],Tableau4[SHORT TYPE],"",0,1)</f>
        <v/>
      </c>
      <c r="N7756">
        <f>IF(ISERR(FIND("DECOUPE",Tableau1[[#This Row],[DESIGNATION]])),"","NEED REF")</f>
        <v/>
      </c>
    </row>
    <row r="7757">
      <c r="B7757" t="n">
        <v>34406248</v>
      </c>
      <c r="C7757" s="2" t="n">
        <v>42977</v>
      </c>
      <c r="D7757" t="inlineStr">
        <is>
          <t>SPEC</t>
        </is>
      </c>
      <c r="E7757" t="inlineStr">
        <is>
          <t>PLAQUE DE FOND</t>
        </is>
      </c>
      <c r="F7757" t="inlineStr">
        <is>
          <t>PMM NETSHELTER</t>
        </is>
      </c>
      <c r="J7757" t="inlineStr">
        <is>
          <t>MATRION</t>
        </is>
      </c>
      <c r="L7757">
        <f>_xlfn.XLOOKUP(Tableau1[[#This Row],[TYPE DE PIECE]],Tableau4[MATIERE],Tableau4[SHORT TYPE],"",0,1)</f>
        <v/>
      </c>
      <c r="N7757">
        <f>IF(ISERR(FIND("DECOUPE",Tableau1[[#This Row],[DESIGNATION]])),"","NEED REF")</f>
        <v/>
      </c>
    </row>
    <row r="7758">
      <c r="B7758" t="n">
        <v>34406247</v>
      </c>
      <c r="C7758" s="2" t="n">
        <v>42977</v>
      </c>
      <c r="D7758" t="inlineStr">
        <is>
          <t>SPEC</t>
        </is>
      </c>
      <c r="E7758" t="inlineStr">
        <is>
          <t>ENTRETOISE M6 L30</t>
        </is>
      </c>
      <c r="J7758" t="inlineStr">
        <is>
          <t>MATRION</t>
        </is>
      </c>
      <c r="L7758">
        <f>_xlfn.XLOOKUP(Tableau1[[#This Row],[TYPE DE PIECE]],Tableau4[MATIERE],Tableau4[SHORT TYPE],"",0,1)</f>
        <v/>
      </c>
      <c r="N7758">
        <f>IF(ISERR(FIND("DECOUPE",Tableau1[[#This Row],[DESIGNATION]])),"","NEED REF")</f>
        <v/>
      </c>
    </row>
    <row r="7759">
      <c r="B7759" t="n">
        <v>34406246</v>
      </c>
      <c r="C7759" s="2" t="n">
        <v>42977</v>
      </c>
      <c r="D7759" t="inlineStr">
        <is>
          <t>SPEC</t>
        </is>
      </c>
      <c r="E7759" t="inlineStr">
        <is>
          <t>SUPPORT ALIM</t>
        </is>
      </c>
      <c r="F7759" t="inlineStr">
        <is>
          <t>PMM NETSHELTER</t>
        </is>
      </c>
      <c r="J7759" t="inlineStr">
        <is>
          <t>MATRION</t>
        </is>
      </c>
      <c r="L7759">
        <f>_xlfn.XLOOKUP(Tableau1[[#This Row],[TYPE DE PIECE]],Tableau4[MATIERE],Tableau4[SHORT TYPE],"",0,1)</f>
        <v/>
      </c>
      <c r="N7759">
        <f>IF(ISERR(FIND("DECOUPE",Tableau1[[#This Row],[DESIGNATION]])),"","NEED REF")</f>
        <v/>
      </c>
    </row>
    <row r="7760">
      <c r="B7760" t="n">
        <v>34406245</v>
      </c>
      <c r="C7760" s="2" t="n">
        <v>42977</v>
      </c>
      <c r="D7760" t="inlineStr">
        <is>
          <t>SPEC</t>
        </is>
      </c>
      <c r="E7760" t="inlineStr">
        <is>
          <t>PRESTATION DE MONTAGE AFFICHEUR SUR PORTE</t>
        </is>
      </c>
      <c r="F7760" t="inlineStr">
        <is>
          <t>PMM NETSHELTER</t>
        </is>
      </c>
      <c r="J7760" t="inlineStr">
        <is>
          <t>MATRION</t>
        </is>
      </c>
      <c r="L7760">
        <f>_xlfn.XLOOKUP(Tableau1[[#This Row],[TYPE DE PIECE]],Tableau4[MATIERE],Tableau4[SHORT TYPE],"",0,1)</f>
        <v/>
      </c>
      <c r="N7760">
        <f>IF(ISERR(FIND("DECOUPE",Tableau1[[#This Row],[DESIGNATION]])),"","NEED REF")</f>
        <v/>
      </c>
    </row>
    <row r="7761">
      <c r="B7761" t="n">
        <v>34406244</v>
      </c>
      <c r="C7761" s="2" t="n">
        <v>42977</v>
      </c>
      <c r="D7761" t="inlineStr">
        <is>
          <t>SPEC</t>
        </is>
      </c>
      <c r="E7761" t="inlineStr">
        <is>
          <t>KIT FILERIE COFFRET SYNCHRO VX</t>
        </is>
      </c>
      <c r="F7761" t="inlineStr">
        <is>
          <t>Coffret synchro</t>
        </is>
      </c>
      <c r="J7761" t="inlineStr">
        <is>
          <t>DUBOIS</t>
        </is>
      </c>
      <c r="L7761">
        <f>_xlfn.XLOOKUP(Tableau1[[#This Row],[TYPE DE PIECE]],Tableau4[MATIERE],Tableau4[SHORT TYPE],"",0,1)</f>
        <v/>
      </c>
      <c r="N7761">
        <f>IF(ISERR(FIND("DECOUPE",Tableau1[[#This Row],[DESIGNATION]])),"","NEED REF")</f>
        <v/>
      </c>
    </row>
    <row r="7762">
      <c r="B7762" t="n">
        <v>34406243</v>
      </c>
      <c r="C7762" s="2" t="n">
        <v>42977</v>
      </c>
      <c r="D7762" t="inlineStr">
        <is>
          <t>SPEC</t>
        </is>
      </c>
      <c r="E7762" t="inlineStr">
        <is>
          <t>COFFRET SYNCHRO VX - DEVIS SAREL W17080557TGF</t>
        </is>
      </c>
      <c r="F7762" t="inlineStr">
        <is>
          <t>Coffret synchro</t>
        </is>
      </c>
      <c r="J7762" t="inlineStr">
        <is>
          <t>DUBOIS</t>
        </is>
      </c>
      <c r="L7762">
        <f>_xlfn.XLOOKUP(Tableau1[[#This Row],[TYPE DE PIECE]],Tableau4[MATIERE],Tableau4[SHORT TYPE],"",0,1)</f>
        <v/>
      </c>
      <c r="N7762">
        <f>IF(ISERR(FIND("DECOUPE",Tableau1[[#This Row],[DESIGNATION]])),"","NEED REF")</f>
        <v/>
      </c>
    </row>
    <row r="7763">
      <c r="B7763" t="n">
        <v>34406242</v>
      </c>
      <c r="C7763" s="2" t="n">
        <v>42975</v>
      </c>
      <c r="D7763" t="inlineStr">
        <is>
          <t>SPEC</t>
        </is>
      </c>
      <c r="E7763" t="inlineStr">
        <is>
          <t>PROTECTION SHIELD NETSHELTER 600 7U IC60</t>
        </is>
      </c>
      <c r="F7763" t="inlineStr">
        <is>
          <t>PMM NETSHELTER</t>
        </is>
      </c>
      <c r="J7763" t="inlineStr">
        <is>
          <t>MATRION</t>
        </is>
      </c>
      <c r="L7763">
        <f>_xlfn.XLOOKUP(Tableau1[[#This Row],[TYPE DE PIECE]],Tableau4[MATIERE],Tableau4[SHORT TYPE],"",0,1)</f>
        <v/>
      </c>
      <c r="N7763">
        <f>IF(ISERR(FIND("DECOUPE",Tableau1[[#This Row],[DESIGNATION]])),"","NEED REF")</f>
        <v/>
      </c>
    </row>
    <row r="7764">
      <c r="B7764" t="n">
        <v>34406241</v>
      </c>
      <c r="C7764" s="2" t="n">
        <v>42975</v>
      </c>
      <c r="D7764" t="inlineStr">
        <is>
          <t>SPEC</t>
        </is>
      </c>
      <c r="E7764" t="inlineStr">
        <is>
          <t>PROTECTION SHIELD NETSHELTER 600 7U NSX3P + IC60</t>
        </is>
      </c>
      <c r="F7764" t="inlineStr">
        <is>
          <t>PMM NETSHELTER</t>
        </is>
      </c>
      <c r="J7764" t="inlineStr">
        <is>
          <t>MATRION</t>
        </is>
      </c>
      <c r="L7764">
        <f>_xlfn.XLOOKUP(Tableau1[[#This Row],[TYPE DE PIECE]],Tableau4[MATIERE],Tableau4[SHORT TYPE],"",0,1)</f>
        <v/>
      </c>
      <c r="N7764">
        <f>IF(ISERR(FIND("DECOUPE",Tableau1[[#This Row],[DESIGNATION]])),"","NEED REF")</f>
        <v/>
      </c>
    </row>
    <row r="7765">
      <c r="B7765" t="n">
        <v>34406240</v>
      </c>
      <c r="C7765" s="2" t="n">
        <v>42975</v>
      </c>
      <c r="D7765" t="inlineStr">
        <is>
          <t>SPEC</t>
        </is>
      </c>
      <c r="E7765" t="inlineStr">
        <is>
          <t>SUPPORT RAIL DIN</t>
        </is>
      </c>
      <c r="F7765" t="inlineStr">
        <is>
          <t>PMM NETSHELTER</t>
        </is>
      </c>
      <c r="J7765" t="inlineStr">
        <is>
          <t>MATRION</t>
        </is>
      </c>
      <c r="L7765">
        <f>_xlfn.XLOOKUP(Tableau1[[#This Row],[TYPE DE PIECE]],Tableau4[MATIERE],Tableau4[SHORT TYPE],"",0,1)</f>
        <v/>
      </c>
      <c r="N7765">
        <f>IF(ISERR(FIND("DECOUPE",Tableau1[[#This Row],[DESIGNATION]])),"","NEED REF")</f>
        <v/>
      </c>
    </row>
    <row r="7766">
      <c r="B7766" t="n">
        <v>34406239</v>
      </c>
      <c r="C7766" s="2" t="n">
        <v>42975</v>
      </c>
      <c r="D7766" t="inlineStr">
        <is>
          <t>SPEC</t>
        </is>
      </c>
      <c r="E7766" t="inlineStr">
        <is>
          <t>PROTECTION SHIELD NETSHELTER 600 14U PERFORATED</t>
        </is>
      </c>
      <c r="F7766" t="inlineStr">
        <is>
          <t>PMM NETSHELTER</t>
        </is>
      </c>
      <c r="J7766" t="inlineStr">
        <is>
          <t>MATRION</t>
        </is>
      </c>
      <c r="L7766">
        <f>_xlfn.XLOOKUP(Tableau1[[#This Row],[TYPE DE PIECE]],Tableau4[MATIERE],Tableau4[SHORT TYPE],"",0,1)</f>
        <v/>
      </c>
      <c r="N7766">
        <f>IF(ISERR(FIND("DECOUPE",Tableau1[[#This Row],[DESIGNATION]])),"","NEED REF")</f>
        <v/>
      </c>
    </row>
    <row r="7767">
      <c r="B7767" t="n">
        <v>34406238</v>
      </c>
      <c r="C7767" s="2" t="n">
        <v>42968</v>
      </c>
      <c r="D7767" t="inlineStr">
        <is>
          <t>SPEC</t>
        </is>
      </c>
      <c r="E7767" t="inlineStr">
        <is>
          <t>Cellule chargeur 110Vdc Marine 700x700x2000</t>
        </is>
      </c>
      <c r="F7767" t="inlineStr">
        <is>
          <t>STX</t>
        </is>
      </c>
      <c r="L7767">
        <f>_xlfn.XLOOKUP(Tableau1[[#This Row],[TYPE DE PIECE]],Tableau4[MATIERE],Tableau4[SHORT TYPE],"",0,1)</f>
        <v/>
      </c>
      <c r="N7767">
        <f>IF(ISERR(FIND("DECOUPE",Tableau1[[#This Row],[DESIGNATION]])),"","NEED REF")</f>
        <v/>
      </c>
    </row>
    <row r="7768">
      <c r="B7768" t="n">
        <v>34406237</v>
      </c>
      <c r="C7768" s="2" t="n">
        <v>42958</v>
      </c>
      <c r="D7768" t="inlineStr">
        <is>
          <t>NOM</t>
        </is>
      </c>
      <c r="E7768" t="inlineStr">
        <is>
          <t>SE JDB ARRIERE MASTERPACT</t>
        </is>
      </c>
      <c r="F7768" t="inlineStr">
        <is>
          <t>MBC GVX</t>
        </is>
      </c>
      <c r="J7768" t="inlineStr">
        <is>
          <t>MATRION</t>
        </is>
      </c>
      <c r="L7768">
        <f>_xlfn.XLOOKUP(Tableau1[[#This Row],[TYPE DE PIECE]],Tableau4[MATIERE],Tableau4[SHORT TYPE],"",0,1)</f>
        <v/>
      </c>
      <c r="N7768">
        <f>IF(ISERR(FIND("DECOUPE",Tableau1[[#This Row],[DESIGNATION]])),"","NEED REF")</f>
        <v/>
      </c>
    </row>
    <row r="7769">
      <c r="B7769" t="n">
        <v>34406236</v>
      </c>
      <c r="C7769" s="2" t="n">
        <v>42958</v>
      </c>
      <c r="D7769" t="inlineStr">
        <is>
          <t>SPEC</t>
        </is>
      </c>
      <c r="E7769" t="inlineStr">
        <is>
          <t>Tige filetée 10 x 40 acier électro zingué</t>
        </is>
      </c>
      <c r="F7769" t="inlineStr">
        <is>
          <t>BBC</t>
        </is>
      </c>
      <c r="J7769" t="inlineStr">
        <is>
          <t>DUBOIS</t>
        </is>
      </c>
      <c r="L7769">
        <f>_xlfn.XLOOKUP(Tableau1[[#This Row],[TYPE DE PIECE]],Tableau4[MATIERE],Tableau4[SHORT TYPE],"",0,1)</f>
        <v/>
      </c>
      <c r="N7769">
        <f>IF(ISERR(FIND("DECOUPE",Tableau1[[#This Row],[DESIGNATION]])),"","NEED REF")</f>
        <v/>
      </c>
    </row>
    <row r="7770">
      <c r="B7770" t="n">
        <v>34406235</v>
      </c>
      <c r="C7770" s="2" t="n">
        <v>42958</v>
      </c>
      <c r="D7770" t="inlineStr">
        <is>
          <t>SPEC</t>
        </is>
      </c>
      <c r="E7770" t="inlineStr">
        <is>
          <t>Tige filetée 10 x 20 acier électro zingué</t>
        </is>
      </c>
      <c r="F7770" t="inlineStr">
        <is>
          <t>BBC</t>
        </is>
      </c>
      <c r="J7770" t="inlineStr">
        <is>
          <t>DUBOIS</t>
        </is>
      </c>
      <c r="L7770">
        <f>_xlfn.XLOOKUP(Tableau1[[#This Row],[TYPE DE PIECE]],Tableau4[MATIERE],Tableau4[SHORT TYPE],"",0,1)</f>
        <v/>
      </c>
      <c r="N7770">
        <f>IF(ISERR(FIND("DECOUPE",Tableau1[[#This Row],[DESIGNATION]])),"","NEED REF")</f>
        <v/>
      </c>
    </row>
    <row r="7771">
      <c r="B7771" t="n">
        <v>34406234</v>
      </c>
      <c r="C7771" s="2" t="n">
        <v>42950</v>
      </c>
      <c r="D7771" t="inlineStr">
        <is>
          <t>SPEC</t>
        </is>
      </c>
      <c r="E7771" t="inlineStr">
        <is>
          <t>SUPPORT REPARTITEUR</t>
        </is>
      </c>
      <c r="F7771" t="inlineStr">
        <is>
          <t>PMM NETSHELTER</t>
        </is>
      </c>
      <c r="J7771" t="inlineStr">
        <is>
          <t>MATRION</t>
        </is>
      </c>
      <c r="L7771">
        <f>_xlfn.XLOOKUP(Tableau1[[#This Row],[TYPE DE PIECE]],Tableau4[MATIERE],Tableau4[SHORT TYPE],"",0,1)</f>
        <v/>
      </c>
      <c r="N7771">
        <f>IF(ISERR(FIND("DECOUPE",Tableau1[[#This Row],[DESIGNATION]])),"","NEED REF")</f>
        <v/>
      </c>
    </row>
    <row r="7772">
      <c r="B7772" t="n">
        <v>34406233</v>
      </c>
      <c r="C7772" s="2" t="n">
        <v>42950</v>
      </c>
      <c r="D7772" t="inlineStr">
        <is>
          <t>SPEC</t>
        </is>
      </c>
      <c r="E7772" t="inlineStr">
        <is>
          <t>SUPPORT CABLES</t>
        </is>
      </c>
      <c r="F7772" t="inlineStr">
        <is>
          <t>PMM NETSHELTER</t>
        </is>
      </c>
      <c r="J7772" t="inlineStr">
        <is>
          <t>MATRION</t>
        </is>
      </c>
      <c r="L7772">
        <f>_xlfn.XLOOKUP(Tableau1[[#This Row],[TYPE DE PIECE]],Tableau4[MATIERE],Tableau4[SHORT TYPE],"",0,1)</f>
        <v/>
      </c>
      <c r="N7772">
        <f>IF(ISERR(FIND("DECOUPE",Tableau1[[#This Row],[DESIGNATION]])),"","NEED REF")</f>
        <v/>
      </c>
    </row>
    <row r="7773">
      <c r="B7773" t="n">
        <v>34406232</v>
      </c>
      <c r="C7773" s="2" t="n">
        <v>42950</v>
      </c>
      <c r="D7773" t="inlineStr">
        <is>
          <t>SPEC</t>
        </is>
      </c>
      <c r="E7773" t="inlineStr">
        <is>
          <t>BARRE DE TERRE</t>
        </is>
      </c>
      <c r="F7773" t="inlineStr">
        <is>
          <t>PMM NETSHELTER</t>
        </is>
      </c>
      <c r="J7773" t="inlineStr">
        <is>
          <t>MATRION</t>
        </is>
      </c>
      <c r="L7773">
        <f>_xlfn.XLOOKUP(Tableau1[[#This Row],[TYPE DE PIECE]],Tableau4[MATIERE],Tableau4[SHORT TYPE],"",0,1)</f>
        <v/>
      </c>
      <c r="N7773">
        <f>IF(ISERR(FIND("DECOUPE",Tableau1[[#This Row],[DESIGNATION]])),"","NEED REF")</f>
        <v/>
      </c>
    </row>
    <row r="7774">
      <c r="B7774" t="n">
        <v>34406231</v>
      </c>
      <c r="C7774" s="2" t="n">
        <v>42950</v>
      </c>
      <c r="D7774" t="inlineStr">
        <is>
          <t>SPEC</t>
        </is>
      </c>
      <c r="E7774" t="inlineStr">
        <is>
          <t>SUPPORT NSX100</t>
        </is>
      </c>
      <c r="F7774" t="inlineStr">
        <is>
          <t>PMM NETSHELTER</t>
        </is>
      </c>
      <c r="J7774" t="inlineStr">
        <is>
          <t>MATRION</t>
        </is>
      </c>
      <c r="L7774">
        <f>_xlfn.XLOOKUP(Tableau1[[#This Row],[TYPE DE PIECE]],Tableau4[MATIERE],Tableau4[SHORT TYPE],"",0,1)</f>
        <v/>
      </c>
      <c r="N7774">
        <f>IF(ISERR(FIND("DECOUPE",Tableau1[[#This Row],[DESIGNATION]])),"","NEED REF")</f>
        <v/>
      </c>
    </row>
    <row r="7775">
      <c r="B7775" t="n">
        <v>34406230</v>
      </c>
      <c r="C7775" s="2" t="n">
        <v>42950</v>
      </c>
      <c r="D7775" t="inlineStr">
        <is>
          <t>SPEC</t>
        </is>
      </c>
      <c r="E7775" t="inlineStr">
        <is>
          <t>SUPPORT NSX100</t>
        </is>
      </c>
      <c r="F7775" t="inlineStr">
        <is>
          <t>PMM NETSHELTER</t>
        </is>
      </c>
      <c r="J7775" t="inlineStr">
        <is>
          <t>MATRION</t>
        </is>
      </c>
      <c r="L7775">
        <f>_xlfn.XLOOKUP(Tableau1[[#This Row],[TYPE DE PIECE]],Tableau4[MATIERE],Tableau4[SHORT TYPE],"",0,1)</f>
        <v/>
      </c>
      <c r="N7775">
        <f>IF(ISERR(FIND("DECOUPE",Tableau1[[#This Row],[DESIGNATION]])),"","NEED REF")</f>
        <v/>
      </c>
    </row>
    <row r="7776">
      <c r="B7776" t="n">
        <v>34406229</v>
      </c>
      <c r="C7776" s="2" t="n">
        <v>42950</v>
      </c>
      <c r="D7776" t="inlineStr">
        <is>
          <t>SPEC</t>
        </is>
      </c>
      <c r="E7776" t="inlineStr">
        <is>
          <t>SUPPORT AFFICHEUR STS NETSHELTER</t>
        </is>
      </c>
      <c r="F7776" t="inlineStr">
        <is>
          <t>PMM NETSHELTER</t>
        </is>
      </c>
      <c r="J7776" t="inlineStr">
        <is>
          <t>MATRION</t>
        </is>
      </c>
      <c r="L7776">
        <f>_xlfn.XLOOKUP(Tableau1[[#This Row],[TYPE DE PIECE]],Tableau4[MATIERE],Tableau4[SHORT TYPE],"",0,1)</f>
        <v/>
      </c>
      <c r="N7776">
        <f>IF(ISERR(FIND("DECOUPE",Tableau1[[#This Row],[DESIGNATION]])),"","NEED REF")</f>
        <v/>
      </c>
    </row>
    <row r="7777">
      <c r="B7777" t="n">
        <v>34406228</v>
      </c>
      <c r="C7777" s="2" t="n">
        <v>42950</v>
      </c>
      <c r="D7777" t="inlineStr">
        <is>
          <t>SPEC</t>
        </is>
      </c>
      <c r="E7777" t="inlineStr">
        <is>
          <t>CADRE AFFICHEUR STS NETSHELTER RAL9011</t>
        </is>
      </c>
      <c r="F7777" t="inlineStr">
        <is>
          <t>PMM NETSHELTER</t>
        </is>
      </c>
      <c r="J7777" t="inlineStr">
        <is>
          <t>MATRION</t>
        </is>
      </c>
      <c r="L7777">
        <f>_xlfn.XLOOKUP(Tableau1[[#This Row],[TYPE DE PIECE]],Tableau4[MATIERE],Tableau4[SHORT TYPE],"",0,1)</f>
        <v/>
      </c>
      <c r="N7777">
        <f>IF(ISERR(FIND("DECOUPE",Tableau1[[#This Row],[DESIGNATION]])),"","NEED REF")</f>
        <v/>
      </c>
    </row>
    <row r="7778">
      <c r="B7778" t="n">
        <v>34406227</v>
      </c>
      <c r="C7778" s="2" t="n">
        <v>42950</v>
      </c>
      <c r="D7778" t="inlineStr">
        <is>
          <t>SPEC</t>
        </is>
      </c>
      <c r="E7778" t="inlineStr">
        <is>
          <t>PORTE NETSHELTER PMM</t>
        </is>
      </c>
      <c r="F7778" t="inlineStr">
        <is>
          <t>PMM NETSHELTER</t>
        </is>
      </c>
      <c r="J7778" t="inlineStr">
        <is>
          <t>MATRION</t>
        </is>
      </c>
      <c r="L7778">
        <f>_xlfn.XLOOKUP(Tableau1[[#This Row],[TYPE DE PIECE]],Tableau4[MATIERE],Tableau4[SHORT TYPE],"",0,1)</f>
        <v/>
      </c>
      <c r="N7778">
        <f>IF(ISERR(FIND("DECOUPE",Tableau1[[#This Row],[DESIGNATION]])),"","NEED REF")</f>
        <v/>
      </c>
    </row>
    <row r="7779">
      <c r="B7779" t="n">
        <v>34406226</v>
      </c>
      <c r="C7779" s="2" t="n">
        <v>42923</v>
      </c>
      <c r="E7779" t="inlineStr">
        <is>
          <t xml:space="preserve"> CHARGEUR 110Vdc STX</t>
        </is>
      </c>
      <c r="F7779" t="inlineStr">
        <is>
          <t>STX</t>
        </is>
      </c>
      <c r="J7779" t="inlineStr">
        <is>
          <t>ROBERT</t>
        </is>
      </c>
      <c r="L7779">
        <f>_xlfn.XLOOKUP(Tableau1[[#This Row],[TYPE DE PIECE]],Tableau4[MATIERE],Tableau4[SHORT TYPE],"",0,1)</f>
        <v/>
      </c>
      <c r="N7779">
        <f>IF(ISERR(FIND("DECOUPE",Tableau1[[#This Row],[DESIGNATION]])),"","NEED REF")</f>
        <v/>
      </c>
    </row>
    <row r="7780">
      <c r="B7780" t="n">
        <v>34406225</v>
      </c>
      <c r="C7780" s="2" t="n">
        <v>42950</v>
      </c>
      <c r="E7780" t="inlineStr">
        <is>
          <t>SUPPORT AFFICHEUR</t>
        </is>
      </c>
      <c r="F7780" t="inlineStr">
        <is>
          <t>PMM</t>
        </is>
      </c>
      <c r="J7780" t="inlineStr">
        <is>
          <t>MATRION</t>
        </is>
      </c>
      <c r="L7780">
        <f>_xlfn.XLOOKUP(Tableau1[[#This Row],[TYPE DE PIECE]],Tableau4[MATIERE],Tableau4[SHORT TYPE],"",0,1)</f>
        <v/>
      </c>
      <c r="N7780">
        <f>IF(ISERR(FIND("DECOUPE",Tableau1[[#This Row],[DESIGNATION]])),"","NEED REF")</f>
        <v/>
      </c>
    </row>
    <row r="7781">
      <c r="B7781" t="n">
        <v>34406224</v>
      </c>
      <c r="C7781" s="2" t="n">
        <v>42950</v>
      </c>
      <c r="E7781" t="inlineStr">
        <is>
          <t>SUPPORT PROTECTION + IFE + IFM</t>
        </is>
      </c>
      <c r="F7781" t="inlineStr">
        <is>
          <t>PMM</t>
        </is>
      </c>
      <c r="J7781" t="inlineStr">
        <is>
          <t>MATRION</t>
        </is>
      </c>
      <c r="L7781">
        <f>_xlfn.XLOOKUP(Tableau1[[#This Row],[TYPE DE PIECE]],Tableau4[MATIERE],Tableau4[SHORT TYPE],"",0,1)</f>
        <v/>
      </c>
      <c r="N7781">
        <f>IF(ISERR(FIND("DECOUPE",Tableau1[[#This Row],[DESIGNATION]])),"","NEED REF")</f>
        <v/>
      </c>
    </row>
    <row r="7782">
      <c r="B7782" t="n">
        <v>34406223</v>
      </c>
      <c r="C7782" s="2" t="n">
        <v>42950</v>
      </c>
      <c r="E7782" t="inlineStr">
        <is>
          <t>SUPPORT NSX250 + PROTECTION + ALIM</t>
        </is>
      </c>
      <c r="F7782" t="inlineStr">
        <is>
          <t>PMM</t>
        </is>
      </c>
      <c r="J7782" t="inlineStr">
        <is>
          <t>MATRION</t>
        </is>
      </c>
      <c r="L7782">
        <f>_xlfn.XLOOKUP(Tableau1[[#This Row],[TYPE DE PIECE]],Tableau4[MATIERE],Tableau4[SHORT TYPE],"",0,1)</f>
        <v/>
      </c>
      <c r="N7782">
        <f>IF(ISERR(FIND("DECOUPE",Tableau1[[#This Row],[DESIGNATION]])),"","NEED REF")</f>
        <v/>
      </c>
    </row>
    <row r="7783">
      <c r="B7783" t="n">
        <v>34406222</v>
      </c>
      <c r="C7783" s="2" t="n">
        <v>42943</v>
      </c>
      <c r="E7783" t="inlineStr">
        <is>
          <t>Equerre gauche et droite</t>
        </is>
      </c>
      <c r="F7783" t="inlineStr">
        <is>
          <t>BBC Lottomatica</t>
        </is>
      </c>
      <c r="J7783" t="inlineStr">
        <is>
          <t>DUBOIS</t>
        </is>
      </c>
      <c r="L7783">
        <f>_xlfn.XLOOKUP(Tableau1[[#This Row],[TYPE DE PIECE]],Tableau4[MATIERE],Tableau4[SHORT TYPE],"",0,1)</f>
        <v/>
      </c>
      <c r="N7783">
        <f>IF(ISERR(FIND("DECOUPE",Tableau1[[#This Row],[DESIGNATION]])),"","NEED REF")</f>
        <v/>
      </c>
    </row>
    <row r="7784">
      <c r="B7784" t="n">
        <v>34406221</v>
      </c>
      <c r="C7784" s="2" t="n">
        <v>42943</v>
      </c>
      <c r="E7784" t="inlineStr">
        <is>
          <t>Plastron milieu</t>
        </is>
      </c>
      <c r="F7784" t="inlineStr">
        <is>
          <t>BBC Lottomatica</t>
        </is>
      </c>
      <c r="J7784" t="inlineStr">
        <is>
          <t>DUBOIS</t>
        </is>
      </c>
      <c r="L7784">
        <f>_xlfn.XLOOKUP(Tableau1[[#This Row],[TYPE DE PIECE]],Tableau4[MATIERE],Tableau4[SHORT TYPE],"",0,1)</f>
        <v/>
      </c>
      <c r="N7784">
        <f>IF(ISERR(FIND("DECOUPE",Tableau1[[#This Row],[DESIGNATION]])),"","NEED REF")</f>
        <v/>
      </c>
    </row>
    <row r="7785">
      <c r="B7785" t="n">
        <v>34406220</v>
      </c>
      <c r="C7785" s="2" t="n">
        <v>42943</v>
      </c>
      <c r="E7785" t="inlineStr">
        <is>
          <t>Plastron haut et bas</t>
        </is>
      </c>
      <c r="F7785" t="inlineStr">
        <is>
          <t>BBC Lottomatica</t>
        </is>
      </c>
      <c r="J7785" t="inlineStr">
        <is>
          <t>DUBOIS</t>
        </is>
      </c>
      <c r="L7785">
        <f>_xlfn.XLOOKUP(Tableau1[[#This Row],[TYPE DE PIECE]],Tableau4[MATIERE],Tableau4[SHORT TYPE],"",0,1)</f>
        <v/>
      </c>
      <c r="N7785">
        <f>IF(ISERR(FIND("DECOUPE",Tableau1[[#This Row],[DESIGNATION]])),"","NEED REF")</f>
        <v/>
      </c>
    </row>
    <row r="7786">
      <c r="B7786" t="n">
        <v>34406219</v>
      </c>
      <c r="C7786" s="2" t="n">
        <v>42943</v>
      </c>
      <c r="E7786" t="inlineStr">
        <is>
          <t>TRAVERSE DROITE</t>
        </is>
      </c>
      <c r="F7786" t="inlineStr">
        <is>
          <t>BBC Lottomatica</t>
        </is>
      </c>
      <c r="J7786" t="inlineStr">
        <is>
          <t>DUBOIS</t>
        </is>
      </c>
      <c r="L7786">
        <f>_xlfn.XLOOKUP(Tableau1[[#This Row],[TYPE DE PIECE]],Tableau4[MATIERE],Tableau4[SHORT TYPE],"",0,1)</f>
        <v/>
      </c>
      <c r="N7786">
        <f>IF(ISERR(FIND("DECOUPE",Tableau1[[#This Row],[DESIGNATION]])),"","NEED REF")</f>
        <v/>
      </c>
    </row>
    <row r="7787">
      <c r="B7787" t="n">
        <v>34406218</v>
      </c>
      <c r="C7787" s="2" t="n">
        <v>42943</v>
      </c>
      <c r="E7787" t="inlineStr">
        <is>
          <t>NW20H DC  D Lottomatica</t>
        </is>
      </c>
      <c r="F7787" t="inlineStr">
        <is>
          <t>BBC Lottomatica</t>
        </is>
      </c>
      <c r="J7787" t="inlineStr">
        <is>
          <t>DUBOIS</t>
        </is>
      </c>
      <c r="L7787">
        <f>_xlfn.XLOOKUP(Tableau1[[#This Row],[TYPE DE PIECE]],Tableau4[MATIERE],Tableau4[SHORT TYPE],"",0,1)</f>
        <v/>
      </c>
      <c r="N7787">
        <f>IF(ISERR(FIND("DECOUPE",Tableau1[[#This Row],[DESIGNATION]])),"","NEED REF")</f>
        <v/>
      </c>
    </row>
    <row r="7788">
      <c r="B7788" t="n">
        <v>34406217</v>
      </c>
      <c r="C7788" s="2" t="n">
        <v>42937</v>
      </c>
      <c r="E7788" t="inlineStr">
        <is>
          <t>Masterpact NW HF 4P</t>
        </is>
      </c>
      <c r="J7788" t="inlineStr">
        <is>
          <t>MATRION</t>
        </is>
      </c>
      <c r="L7788">
        <f>_xlfn.XLOOKUP(Tableau1[[#This Row],[TYPE DE PIECE]],Tableau4[MATIERE],Tableau4[SHORT TYPE],"",0,1)</f>
        <v/>
      </c>
      <c r="N7788">
        <f>IF(ISERR(FIND("DECOUPE",Tableau1[[#This Row],[DESIGNATION]])),"","NEED REF")</f>
        <v/>
      </c>
    </row>
    <row r="7789">
      <c r="B7789" t="n">
        <v>34406216</v>
      </c>
      <c r="C7789" s="2" t="n">
        <v>42936</v>
      </c>
      <c r="E7789" t="inlineStr">
        <is>
          <t>NW 40 DC  D digiplex</t>
        </is>
      </c>
      <c r="F7789" t="inlineStr">
        <is>
          <t>BBC Digiplex</t>
        </is>
      </c>
      <c r="J7789" t="inlineStr">
        <is>
          <t>DUBOIS</t>
        </is>
      </c>
      <c r="L7789">
        <f>_xlfn.XLOOKUP(Tableau1[[#This Row],[TYPE DE PIECE]],Tableau4[MATIERE],Tableau4[SHORT TYPE],"",0,1)</f>
        <v/>
      </c>
      <c r="N7789">
        <f>IF(ISERR(FIND("DECOUPE",Tableau1[[#This Row],[DESIGNATION]])),"","NEED REF")</f>
        <v/>
      </c>
    </row>
    <row r="7790">
      <c r="B7790" t="n">
        <v>34406215</v>
      </c>
      <c r="C7790" s="2" t="n">
        <v>42936</v>
      </c>
      <c r="E7790" t="inlineStr">
        <is>
          <t>PLASTRON 5</t>
        </is>
      </c>
      <c r="F7790" t="inlineStr">
        <is>
          <t>ARM BBK1000</t>
        </is>
      </c>
      <c r="J7790" t="inlineStr">
        <is>
          <t>MATRION</t>
        </is>
      </c>
      <c r="L7790">
        <f>_xlfn.XLOOKUP(Tableau1[[#This Row],[TYPE DE PIECE]],Tableau4[MATIERE],Tableau4[SHORT TYPE],"",0,1)</f>
        <v/>
      </c>
      <c r="N7790">
        <f>IF(ISERR(FIND("DECOUPE",Tableau1[[#This Row],[DESIGNATION]])),"","NEED REF")</f>
        <v/>
      </c>
    </row>
    <row r="7791">
      <c r="B7791" t="n">
        <v>34406214</v>
      </c>
      <c r="C7791" s="2" t="n">
        <v>42936</v>
      </c>
      <c r="F7791" t="inlineStr">
        <is>
          <t>ARM BBK1000</t>
        </is>
      </c>
      <c r="J7791" t="inlineStr">
        <is>
          <t>MATRION</t>
        </is>
      </c>
      <c r="L7791">
        <f>_xlfn.XLOOKUP(Tableau1[[#This Row],[TYPE DE PIECE]],Tableau4[MATIERE],Tableau4[SHORT TYPE],"",0,1)</f>
        <v/>
      </c>
      <c r="N7791">
        <f>IF(ISERR(FIND("DECOUPE",Tableau1[[#This Row],[DESIGNATION]])),"","NEED REF")</f>
        <v/>
      </c>
    </row>
    <row r="7792">
      <c r="B7792" t="n">
        <v>34406213</v>
      </c>
      <c r="C7792" s="2" t="n">
        <v>42936</v>
      </c>
      <c r="F7792" t="inlineStr">
        <is>
          <t>ARM BBK1000</t>
        </is>
      </c>
      <c r="J7792" t="inlineStr">
        <is>
          <t>MATRION</t>
        </is>
      </c>
      <c r="L7792">
        <f>_xlfn.XLOOKUP(Tableau1[[#This Row],[TYPE DE PIECE]],Tableau4[MATIERE],Tableau4[SHORT TYPE],"",0,1)</f>
        <v/>
      </c>
      <c r="N7792">
        <f>IF(ISERR(FIND("DECOUPE",Tableau1[[#This Row],[DESIGNATION]])),"","NEED REF")</f>
        <v/>
      </c>
    </row>
    <row r="7793">
      <c r="B7793" t="n">
        <v>34406212</v>
      </c>
      <c r="C7793" s="2" t="n">
        <v>42936</v>
      </c>
      <c r="F7793" t="inlineStr">
        <is>
          <t>ARM BBK1000</t>
        </is>
      </c>
      <c r="J7793" t="inlineStr">
        <is>
          <t>MATRION</t>
        </is>
      </c>
      <c r="L7793">
        <f>_xlfn.XLOOKUP(Tableau1[[#This Row],[TYPE DE PIECE]],Tableau4[MATIERE],Tableau4[SHORT TYPE],"",0,1)</f>
        <v/>
      </c>
      <c r="N7793">
        <f>IF(ISERR(FIND("DECOUPE",Tableau1[[#This Row],[DESIGNATION]])),"","NEED REF")</f>
        <v/>
      </c>
    </row>
    <row r="7794">
      <c r="B7794" t="n">
        <v>34406211</v>
      </c>
      <c r="C7794" s="2" t="n">
        <v>42936</v>
      </c>
      <c r="E7794" t="inlineStr">
        <is>
          <t>MONTANT LAERAL</t>
        </is>
      </c>
      <c r="F7794" t="inlineStr">
        <is>
          <t>ARM BBK1000</t>
        </is>
      </c>
      <c r="J7794" t="inlineStr">
        <is>
          <t>MATRION</t>
        </is>
      </c>
      <c r="L7794">
        <f>_xlfn.XLOOKUP(Tableau1[[#This Row],[TYPE DE PIECE]],Tableau4[MATIERE],Tableau4[SHORT TYPE],"",0,1)</f>
        <v/>
      </c>
      <c r="N7794">
        <f>IF(ISERR(FIND("DECOUPE",Tableau1[[#This Row],[DESIGNATION]])),"","NEED REF")</f>
        <v/>
      </c>
    </row>
    <row r="7795">
      <c r="B7795" t="n">
        <v>34406210</v>
      </c>
      <c r="C7795" s="2" t="n">
        <v>42936</v>
      </c>
      <c r="E7795" t="inlineStr">
        <is>
          <t>SUPPORT HAUT/BAS</t>
        </is>
      </c>
      <c r="F7795" t="inlineStr">
        <is>
          <t>ARM BBK1000</t>
        </is>
      </c>
      <c r="J7795" t="inlineStr">
        <is>
          <t>MATRION</t>
        </is>
      </c>
      <c r="L7795">
        <f>_xlfn.XLOOKUP(Tableau1[[#This Row],[TYPE DE PIECE]],Tableau4[MATIERE],Tableau4[SHORT TYPE],"",0,1)</f>
        <v/>
      </c>
      <c r="N7795">
        <f>IF(ISERR(FIND("DECOUPE",Tableau1[[#This Row],[DESIGNATION]])),"","NEED REF")</f>
        <v/>
      </c>
    </row>
    <row r="7796">
      <c r="B7796" t="n">
        <v>34406209</v>
      </c>
      <c r="C7796" s="2" t="n">
        <v>42926</v>
      </c>
      <c r="E7796" t="inlineStr">
        <is>
          <t>PLASTRON NW40 HAUT/DROIT</t>
        </is>
      </c>
      <c r="F7796" t="inlineStr">
        <is>
          <t>MBC GVX</t>
        </is>
      </c>
      <c r="J7796" t="inlineStr">
        <is>
          <t>MATRION</t>
        </is>
      </c>
      <c r="K7796" t="inlineStr">
        <is>
          <t>METAL</t>
        </is>
      </c>
      <c r="L7796">
        <f>_xlfn.XLOOKUP(Tableau1[[#This Row],[TYPE DE PIECE]],Tableau4[MATIERE],Tableau4[SHORT TYPE],"",0,1)</f>
        <v/>
      </c>
      <c r="N7796">
        <f>IF(ISERR(FIND("DECOUPE",Tableau1[[#This Row],[DESIGNATION]])),"","NEED REF")</f>
        <v/>
      </c>
    </row>
    <row r="7797">
      <c r="B7797" t="n">
        <v>34406208</v>
      </c>
      <c r="C7797" s="2" t="n">
        <v>42926</v>
      </c>
      <c r="E7797" t="inlineStr">
        <is>
          <t>DECOUPE PROFIL NSYCNT40</t>
        </is>
      </c>
      <c r="F7797" t="inlineStr">
        <is>
          <t>MBC GVX</t>
        </is>
      </c>
      <c r="J7797" t="inlineStr">
        <is>
          <t>MATRION</t>
        </is>
      </c>
      <c r="K7797" t="inlineStr">
        <is>
          <t>METAL</t>
        </is>
      </c>
      <c r="L7797">
        <f>_xlfn.XLOOKUP(Tableau1[[#This Row],[TYPE DE PIECE]],Tableau4[MATIERE],Tableau4[SHORT TYPE],"",0,1)</f>
        <v/>
      </c>
      <c r="N7797">
        <f>IF(ISERR(FIND("DECOUPE",Tableau1[[#This Row],[DESIGNATION]])),"","NEED REF")</f>
        <v/>
      </c>
    </row>
    <row r="7798">
      <c r="B7798" t="n">
        <v>34406207</v>
      </c>
      <c r="C7798" s="2" t="n">
        <v>42926</v>
      </c>
      <c r="E7798" t="inlineStr">
        <is>
          <t>SUPPORT BRIDAGE CABLES</t>
        </is>
      </c>
      <c r="F7798" t="inlineStr">
        <is>
          <t>MBC GVX</t>
        </is>
      </c>
      <c r="J7798" t="inlineStr">
        <is>
          <t>MATRION</t>
        </is>
      </c>
      <c r="K7798" t="inlineStr">
        <is>
          <t>METAL</t>
        </is>
      </c>
      <c r="L7798">
        <f>_xlfn.XLOOKUP(Tableau1[[#This Row],[TYPE DE PIECE]],Tableau4[MATIERE],Tableau4[SHORT TYPE],"",0,1)</f>
        <v/>
      </c>
      <c r="N7798">
        <f>IF(ISERR(FIND("DECOUPE",Tableau1[[#This Row],[DESIGNATION]])),"","NEED REF")</f>
        <v/>
      </c>
    </row>
    <row r="7799">
      <c r="B7799" t="n">
        <v>34406206</v>
      </c>
      <c r="C7799" s="2" t="n">
        <v>42926</v>
      </c>
      <c r="E7799" t="inlineStr">
        <is>
          <t>PLASTRON PLEIN VERION 2NW</t>
        </is>
      </c>
      <c r="F7799" t="inlineStr">
        <is>
          <t>MBC GVX</t>
        </is>
      </c>
      <c r="J7799" t="inlineStr">
        <is>
          <t>MATRION</t>
        </is>
      </c>
      <c r="K7799" t="inlineStr">
        <is>
          <t>METAL</t>
        </is>
      </c>
      <c r="L7799">
        <f>_xlfn.XLOOKUP(Tableau1[[#This Row],[TYPE DE PIECE]],Tableau4[MATIERE],Tableau4[SHORT TYPE],"",0,1)</f>
        <v/>
      </c>
      <c r="N7799">
        <f>IF(ISERR(FIND("DECOUPE",Tableau1[[#This Row],[DESIGNATION]])),"","NEED REF")</f>
        <v/>
      </c>
    </row>
    <row r="7800">
      <c r="B7800" t="n">
        <v>34406205</v>
      </c>
      <c r="C7800" s="2" t="n">
        <v>42926</v>
      </c>
      <c r="E7800" t="inlineStr">
        <is>
          <t>PLASTRON NW40 BAS/GAUCHE</t>
        </is>
      </c>
      <c r="F7800" t="inlineStr">
        <is>
          <t>MBC GVX</t>
        </is>
      </c>
      <c r="J7800" t="inlineStr">
        <is>
          <t>MATRION</t>
        </is>
      </c>
      <c r="K7800" t="inlineStr">
        <is>
          <t>METAL</t>
        </is>
      </c>
      <c r="L7800">
        <f>_xlfn.XLOOKUP(Tableau1[[#This Row],[TYPE DE PIECE]],Tableau4[MATIERE],Tableau4[SHORT TYPE],"",0,1)</f>
        <v/>
      </c>
      <c r="N7800">
        <f>IF(ISERR(FIND("DECOUPE",Tableau1[[#This Row],[DESIGNATION]])),"","NEED REF")</f>
        <v/>
      </c>
    </row>
    <row r="7801">
      <c r="B7801" t="n">
        <v>34406204</v>
      </c>
      <c r="C7801" s="2" t="n">
        <v>42926</v>
      </c>
      <c r="E7801" t="inlineStr">
        <is>
          <t>PLASTRON NW40 HAUT/GAUCHE</t>
        </is>
      </c>
      <c r="F7801" t="inlineStr">
        <is>
          <t>MBC GVX</t>
        </is>
      </c>
      <c r="J7801" t="inlineStr">
        <is>
          <t>MATRION</t>
        </is>
      </c>
      <c r="K7801" t="inlineStr">
        <is>
          <t>METAL</t>
        </is>
      </c>
      <c r="L7801">
        <f>_xlfn.XLOOKUP(Tableau1[[#This Row],[TYPE DE PIECE]],Tableau4[MATIERE],Tableau4[SHORT TYPE],"",0,1)</f>
        <v/>
      </c>
      <c r="N7801">
        <f>IF(ISERR(FIND("DECOUPE",Tableau1[[#This Row],[DESIGNATION]])),"","NEED REF")</f>
        <v/>
      </c>
    </row>
    <row r="7802">
      <c r="B7802" t="n">
        <v>34406203</v>
      </c>
      <c r="C7802" s="2" t="n">
        <v>42926</v>
      </c>
      <c r="F7802" t="inlineStr">
        <is>
          <t>MBC GVX</t>
        </is>
      </c>
      <c r="J7802" t="inlineStr">
        <is>
          <t>MATRION</t>
        </is>
      </c>
      <c r="L7802">
        <f>_xlfn.XLOOKUP(Tableau1[[#This Row],[TYPE DE PIECE]],Tableau4[MATIERE],Tableau4[SHORT TYPE],"",0,1)</f>
        <v/>
      </c>
      <c r="N7802">
        <f>IF(ISERR(FIND("DECOUPE",Tableau1[[#This Row],[DESIGNATION]])),"","NEED REF")</f>
        <v/>
      </c>
    </row>
    <row r="7803">
      <c r="B7803" t="n">
        <v>34406202</v>
      </c>
      <c r="C7803" s="2" t="n">
        <v>42926</v>
      </c>
      <c r="F7803" t="inlineStr">
        <is>
          <t>MBC GVX</t>
        </is>
      </c>
      <c r="J7803" t="inlineStr">
        <is>
          <t>MATRION</t>
        </is>
      </c>
      <c r="L7803">
        <f>_xlfn.XLOOKUP(Tableau1[[#This Row],[TYPE DE PIECE]],Tableau4[MATIERE],Tableau4[SHORT TYPE],"",0,1)</f>
        <v/>
      </c>
      <c r="N7803">
        <f>IF(ISERR(FIND("DECOUPE",Tableau1[[#This Row],[DESIGNATION]])),"","NEED REF")</f>
        <v/>
      </c>
    </row>
    <row r="7804">
      <c r="B7804" t="n">
        <v>34406201</v>
      </c>
      <c r="C7804" s="2" t="n">
        <v>42926</v>
      </c>
      <c r="E7804" t="inlineStr">
        <is>
          <t>SUPPORT LINERY SIMPLE</t>
        </is>
      </c>
      <c r="F7804" t="inlineStr">
        <is>
          <t>MBC GVX</t>
        </is>
      </c>
      <c r="J7804" t="inlineStr">
        <is>
          <t>MATRION</t>
        </is>
      </c>
      <c r="K7804" t="inlineStr">
        <is>
          <t>METAL</t>
        </is>
      </c>
      <c r="L7804">
        <f>_xlfn.XLOOKUP(Tableau1[[#This Row],[TYPE DE PIECE]],Tableau4[MATIERE],Tableau4[SHORT TYPE],"",0,1)</f>
        <v/>
      </c>
      <c r="N7804">
        <f>IF(ISERR(FIND("DECOUPE",Tableau1[[#This Row],[DESIGNATION]])),"","NEED REF")</f>
        <v/>
      </c>
    </row>
    <row r="7805">
      <c r="B7805" t="n">
        <v>34406200</v>
      </c>
      <c r="C7805" s="2" t="n">
        <v>42926</v>
      </c>
      <c r="E7805" t="inlineStr">
        <is>
          <t>SUPPORT RACCORDEMENT CLIENT SIMPLE</t>
        </is>
      </c>
      <c r="F7805" t="inlineStr">
        <is>
          <t>MBC GVX</t>
        </is>
      </c>
      <c r="J7805" t="inlineStr">
        <is>
          <t>MATRION</t>
        </is>
      </c>
      <c r="K7805" t="inlineStr">
        <is>
          <t>METAL</t>
        </is>
      </c>
      <c r="L7805">
        <f>_xlfn.XLOOKUP(Tableau1[[#This Row],[TYPE DE PIECE]],Tableau4[MATIERE],Tableau4[SHORT TYPE],"",0,1)</f>
        <v/>
      </c>
      <c r="N7805">
        <f>IF(ISERR(FIND("DECOUPE",Tableau1[[#This Row],[DESIGNATION]])),"","NEED REF")</f>
        <v/>
      </c>
    </row>
    <row r="7806">
      <c r="B7806" t="n">
        <v>34406199</v>
      </c>
      <c r="C7806" s="2" t="n">
        <v>42926</v>
      </c>
      <c r="E7806" t="inlineStr">
        <is>
          <t>SUPPORT JDB INTER CELLULE</t>
        </is>
      </c>
      <c r="F7806" t="inlineStr">
        <is>
          <t>MBC GVX</t>
        </is>
      </c>
      <c r="J7806" t="inlineStr">
        <is>
          <t>MATRION</t>
        </is>
      </c>
      <c r="K7806" t="inlineStr">
        <is>
          <t>METAL</t>
        </is>
      </c>
      <c r="L7806">
        <f>_xlfn.XLOOKUP(Tableau1[[#This Row],[TYPE DE PIECE]],Tableau4[MATIERE],Tableau4[SHORT TYPE],"",0,1)</f>
        <v/>
      </c>
      <c r="N7806">
        <f>IF(ISERR(FIND("DECOUPE",Tableau1[[#This Row],[DESIGNATION]])),"","NEED REF")</f>
        <v/>
      </c>
    </row>
    <row r="7807">
      <c r="B7807" t="n">
        <v>34406198</v>
      </c>
      <c r="C7807" s="2" t="n">
        <v>42926</v>
      </c>
      <c r="E7807" t="inlineStr">
        <is>
          <t>LONGERON DROIT</t>
        </is>
      </c>
      <c r="F7807" t="inlineStr">
        <is>
          <t>MBC GVX</t>
        </is>
      </c>
      <c r="J7807" t="inlineStr">
        <is>
          <t>MATRION</t>
        </is>
      </c>
      <c r="K7807" t="inlineStr">
        <is>
          <t>METAL</t>
        </is>
      </c>
      <c r="L7807">
        <f>_xlfn.XLOOKUP(Tableau1[[#This Row],[TYPE DE PIECE]],Tableau4[MATIERE],Tableau4[SHORT TYPE],"",0,1)</f>
        <v/>
      </c>
      <c r="N7807">
        <f>IF(ISERR(FIND("DECOUPE",Tableau1[[#This Row],[DESIGNATION]])),"","NEED REF")</f>
        <v/>
      </c>
    </row>
    <row r="7808">
      <c r="B7808" t="n">
        <v>34406197</v>
      </c>
      <c r="C7808" s="2" t="n">
        <v>42926</v>
      </c>
      <c r="E7808" t="inlineStr">
        <is>
          <t>LONGERON GAUCHE</t>
        </is>
      </c>
      <c r="F7808" t="inlineStr">
        <is>
          <t>MBC GVX</t>
        </is>
      </c>
      <c r="J7808" t="inlineStr">
        <is>
          <t>MATRION</t>
        </is>
      </c>
      <c r="K7808" t="inlineStr">
        <is>
          <t>METAL</t>
        </is>
      </c>
      <c r="L7808">
        <f>_xlfn.XLOOKUP(Tableau1[[#This Row],[TYPE DE PIECE]],Tableau4[MATIERE],Tableau4[SHORT TYPE],"",0,1)</f>
        <v/>
      </c>
      <c r="N7808">
        <f>IF(ISERR(FIND("DECOUPE",Tableau1[[#This Row],[DESIGNATION]])),"","NEED REF")</f>
        <v/>
      </c>
    </row>
    <row r="7809">
      <c r="B7809" t="n">
        <v>34406196</v>
      </c>
      <c r="C7809" s="2" t="n">
        <v>42926</v>
      </c>
      <c r="E7809" t="inlineStr">
        <is>
          <t>PLATINE BAS NW25 FIXE</t>
        </is>
      </c>
      <c r="F7809" t="inlineStr">
        <is>
          <t>MBC GVX</t>
        </is>
      </c>
      <c r="J7809" t="inlineStr">
        <is>
          <t>MATRION</t>
        </is>
      </c>
      <c r="K7809" t="inlineStr">
        <is>
          <t>METAL</t>
        </is>
      </c>
      <c r="L7809">
        <f>_xlfn.XLOOKUP(Tableau1[[#This Row],[TYPE DE PIECE]],Tableau4[MATIERE],Tableau4[SHORT TYPE],"",0,1)</f>
        <v/>
      </c>
      <c r="N7809">
        <f>IF(ISERR(FIND("DECOUPE",Tableau1[[#This Row],[DESIGNATION]])),"","NEED REF")</f>
        <v/>
      </c>
    </row>
    <row r="7810">
      <c r="B7810" t="n">
        <v>34406195</v>
      </c>
      <c r="C7810" s="2" t="n">
        <v>42926</v>
      </c>
      <c r="F7810" t="inlineStr">
        <is>
          <t>MBC GVX</t>
        </is>
      </c>
      <c r="J7810" t="inlineStr">
        <is>
          <t>MATRION</t>
        </is>
      </c>
      <c r="L7810">
        <f>_xlfn.XLOOKUP(Tableau1[[#This Row],[TYPE DE PIECE]],Tableau4[MATIERE],Tableau4[SHORT TYPE],"",0,1)</f>
        <v/>
      </c>
      <c r="N7810">
        <f>IF(ISERR(FIND("DECOUPE",Tableau1[[#This Row],[DESIGNATION]])),"","NEED REF")</f>
        <v/>
      </c>
    </row>
    <row r="7811">
      <c r="B7811" t="n">
        <v>34406194</v>
      </c>
      <c r="C7811" s="2" t="n">
        <v>42926</v>
      </c>
      <c r="F7811" t="inlineStr">
        <is>
          <t>MBC GVX</t>
        </is>
      </c>
      <c r="J7811" t="inlineStr">
        <is>
          <t>MATRION</t>
        </is>
      </c>
      <c r="L7811">
        <f>_xlfn.XLOOKUP(Tableau1[[#This Row],[TYPE DE PIECE]],Tableau4[MATIERE],Tableau4[SHORT TYPE],"",0,1)</f>
        <v/>
      </c>
      <c r="N7811">
        <f>IF(ISERR(FIND("DECOUPE",Tableau1[[#This Row],[DESIGNATION]])),"","NEED REF")</f>
        <v/>
      </c>
    </row>
    <row r="7812">
      <c r="B7812" t="n">
        <v>34406193</v>
      </c>
      <c r="C7812" s="2" t="n">
        <v>42926</v>
      </c>
      <c r="D7812" t="inlineStr">
        <is>
          <t>SPEC</t>
        </is>
      </c>
      <c r="E7812" t="inlineStr">
        <is>
          <t>LIAISON INTER CELLULE 8</t>
        </is>
      </c>
      <c r="F7812" t="inlineStr">
        <is>
          <t>MBC GVX</t>
        </is>
      </c>
      <c r="J7812" t="inlineStr">
        <is>
          <t>MATRION</t>
        </is>
      </c>
      <c r="K7812" t="inlineStr">
        <is>
          <t>CUIVRE</t>
        </is>
      </c>
      <c r="L7812">
        <f>_xlfn.XLOOKUP(Tableau1[[#This Row],[TYPE DE PIECE]],Tableau4[MATIERE],Tableau4[SHORT TYPE],"",0,1)</f>
        <v/>
      </c>
      <c r="N7812">
        <f>IF(ISERR(FIND("DECOUPE",Tableau1[[#This Row],[DESIGNATION]])),"","NEED REF")</f>
        <v/>
      </c>
    </row>
    <row r="7813">
      <c r="B7813" t="n">
        <v>34406192</v>
      </c>
      <c r="C7813" s="2" t="n">
        <v>42926</v>
      </c>
      <c r="D7813" t="inlineStr">
        <is>
          <t>SPEC</t>
        </is>
      </c>
      <c r="E7813" t="inlineStr">
        <is>
          <t>LIAISON INTER CELLULE 7</t>
        </is>
      </c>
      <c r="F7813" t="inlineStr">
        <is>
          <t>MBC GVX</t>
        </is>
      </c>
      <c r="J7813" t="inlineStr">
        <is>
          <t>MATRION</t>
        </is>
      </c>
      <c r="K7813" t="inlineStr">
        <is>
          <t>CUIVRE</t>
        </is>
      </c>
      <c r="L7813">
        <f>_xlfn.XLOOKUP(Tableau1[[#This Row],[TYPE DE PIECE]],Tableau4[MATIERE],Tableau4[SHORT TYPE],"",0,1)</f>
        <v/>
      </c>
      <c r="N7813">
        <f>IF(ISERR(FIND("DECOUPE",Tableau1[[#This Row],[DESIGNATION]])),"","NEED REF")</f>
        <v/>
      </c>
    </row>
    <row r="7814">
      <c r="B7814" t="n">
        <v>34406191</v>
      </c>
      <c r="C7814" s="2" t="n">
        <v>42926</v>
      </c>
      <c r="D7814" t="inlineStr">
        <is>
          <t>SPEC</t>
        </is>
      </c>
      <c r="E7814" t="inlineStr">
        <is>
          <t>LIAISON INTER CELLULE 6</t>
        </is>
      </c>
      <c r="F7814" t="inlineStr">
        <is>
          <t>MBC GVX</t>
        </is>
      </c>
      <c r="J7814" t="inlineStr">
        <is>
          <t>MATRION</t>
        </is>
      </c>
      <c r="K7814" t="inlineStr">
        <is>
          <t>CUIVRE</t>
        </is>
      </c>
      <c r="L7814">
        <f>_xlfn.XLOOKUP(Tableau1[[#This Row],[TYPE DE PIECE]],Tableau4[MATIERE],Tableau4[SHORT TYPE],"",0,1)</f>
        <v/>
      </c>
      <c r="N7814">
        <f>IF(ISERR(FIND("DECOUPE",Tableau1[[#This Row],[DESIGNATION]])),"","NEED REF")</f>
        <v/>
      </c>
    </row>
    <row r="7815">
      <c r="B7815" t="n">
        <v>34406190</v>
      </c>
      <c r="C7815" s="2" t="n">
        <v>42926</v>
      </c>
      <c r="D7815" t="inlineStr">
        <is>
          <t>SPEC</t>
        </is>
      </c>
      <c r="E7815" t="inlineStr">
        <is>
          <t>LIAISON INTER CELLULE 5</t>
        </is>
      </c>
      <c r="F7815" t="inlineStr">
        <is>
          <t>MBC GVX</t>
        </is>
      </c>
      <c r="J7815" t="inlineStr">
        <is>
          <t>MATRION</t>
        </is>
      </c>
      <c r="K7815" t="inlineStr">
        <is>
          <t>CUIVRE</t>
        </is>
      </c>
      <c r="L7815">
        <f>_xlfn.XLOOKUP(Tableau1[[#This Row],[TYPE DE PIECE]],Tableau4[MATIERE],Tableau4[SHORT TYPE],"",0,1)</f>
        <v/>
      </c>
      <c r="N7815">
        <f>IF(ISERR(FIND("DECOUPE",Tableau1[[#This Row],[DESIGNATION]])),"","NEED REF")</f>
        <v/>
      </c>
    </row>
    <row r="7816">
      <c r="B7816" t="n">
        <v>34406189</v>
      </c>
      <c r="C7816" s="2" t="n">
        <v>42926</v>
      </c>
      <c r="F7816" t="inlineStr">
        <is>
          <t>MBC GVX</t>
        </is>
      </c>
      <c r="J7816" t="inlineStr">
        <is>
          <t>MATRION</t>
        </is>
      </c>
      <c r="L7816">
        <f>_xlfn.XLOOKUP(Tableau1[[#This Row],[TYPE DE PIECE]],Tableau4[MATIERE],Tableau4[SHORT TYPE],"",0,1)</f>
        <v/>
      </c>
      <c r="N7816">
        <f>IF(ISERR(FIND("DECOUPE",Tableau1[[#This Row],[DESIGNATION]])),"","NEED REF")</f>
        <v/>
      </c>
    </row>
    <row r="7817">
      <c r="B7817" t="n">
        <v>34406188</v>
      </c>
      <c r="C7817" s="2" t="n">
        <v>42926</v>
      </c>
      <c r="D7817" t="inlineStr">
        <is>
          <t>SPEC</t>
        </is>
      </c>
      <c r="E7817" t="inlineStr">
        <is>
          <t>SUPPORT PE</t>
        </is>
      </c>
      <c r="F7817" t="inlineStr">
        <is>
          <t>MBC GVX</t>
        </is>
      </c>
      <c r="J7817" t="inlineStr">
        <is>
          <t>MATRION</t>
        </is>
      </c>
      <c r="K7817" t="inlineStr">
        <is>
          <t>METAL</t>
        </is>
      </c>
      <c r="L7817">
        <f>_xlfn.XLOOKUP(Tableau1[[#This Row],[TYPE DE PIECE]],Tableau4[MATIERE],Tableau4[SHORT TYPE],"",0,1)</f>
        <v/>
      </c>
      <c r="N7817">
        <f>IF(ISERR(FIND("DECOUPE",Tableau1[[#This Row],[DESIGNATION]])),"","NEED REF")</f>
        <v/>
      </c>
    </row>
    <row r="7818">
      <c r="B7818" t="n">
        <v>34406187</v>
      </c>
      <c r="C7818" s="2" t="n">
        <v>42926</v>
      </c>
      <c r="D7818" t="inlineStr">
        <is>
          <t>SPEC</t>
        </is>
      </c>
      <c r="E7818" t="inlineStr">
        <is>
          <t>CX RACCORDEMENT PE</t>
        </is>
      </c>
      <c r="F7818" t="inlineStr">
        <is>
          <t>MBC GVX</t>
        </is>
      </c>
      <c r="J7818" t="inlineStr">
        <is>
          <t>MATRION</t>
        </is>
      </c>
      <c r="K7818" t="inlineStr">
        <is>
          <t>CUIVRE</t>
        </is>
      </c>
      <c r="L7818">
        <f>_xlfn.XLOOKUP(Tableau1[[#This Row],[TYPE DE PIECE]],Tableau4[MATIERE],Tableau4[SHORT TYPE],"",0,1)</f>
        <v/>
      </c>
      <c r="N7818">
        <f>IF(ISERR(FIND("DECOUPE",Tableau1[[#This Row],[DESIGNATION]])),"","NEED REF")</f>
        <v/>
      </c>
    </row>
    <row r="7819">
      <c r="B7819" t="n">
        <v>34406186</v>
      </c>
      <c r="C7819" s="2" t="n">
        <v>42926</v>
      </c>
      <c r="E7819" t="inlineStr">
        <is>
          <t>SUPPORT RACCORDEMENT CLIENT DOUBLE</t>
        </is>
      </c>
      <c r="F7819" t="inlineStr">
        <is>
          <t>MBC GVX</t>
        </is>
      </c>
      <c r="J7819" t="inlineStr">
        <is>
          <t>MATRION</t>
        </is>
      </c>
      <c r="K7819" t="inlineStr">
        <is>
          <t>METAL</t>
        </is>
      </c>
      <c r="L7819">
        <f>_xlfn.XLOOKUP(Tableau1[[#This Row],[TYPE DE PIECE]],Tableau4[MATIERE],Tableau4[SHORT TYPE],"",0,1)</f>
        <v/>
      </c>
      <c r="N7819">
        <f>IF(ISERR(FIND("DECOUPE",Tableau1[[#This Row],[DESIGNATION]])),"","NEED REF")</f>
        <v/>
      </c>
    </row>
    <row r="7820">
      <c r="B7820" t="n">
        <v>34406185</v>
      </c>
      <c r="C7820" s="2" t="n">
        <v>42926</v>
      </c>
      <c r="E7820" t="inlineStr">
        <is>
          <t>SUPPORT CX NEUTRE</t>
        </is>
      </c>
      <c r="F7820" t="inlineStr">
        <is>
          <t>MBC GVX</t>
        </is>
      </c>
      <c r="J7820" t="inlineStr">
        <is>
          <t>MATRION</t>
        </is>
      </c>
      <c r="K7820" t="inlineStr">
        <is>
          <t>METAL</t>
        </is>
      </c>
      <c r="L7820">
        <f>_xlfn.XLOOKUP(Tableau1[[#This Row],[TYPE DE PIECE]],Tableau4[MATIERE],Tableau4[SHORT TYPE],"",0,1)</f>
        <v/>
      </c>
      <c r="N7820">
        <f>IF(ISERR(FIND("DECOUPE",Tableau1[[#This Row],[DESIGNATION]])),"","NEED REF")</f>
        <v/>
      </c>
    </row>
    <row r="7821">
      <c r="B7821" t="n">
        <v>34406184</v>
      </c>
      <c r="C7821" s="2" t="n">
        <v>42926</v>
      </c>
      <c r="E7821" t="inlineStr">
        <is>
          <t>SUPPORT LATERAL RACCORDEMENT CLIENT</t>
        </is>
      </c>
      <c r="F7821" t="inlineStr">
        <is>
          <t>MBC GVX</t>
        </is>
      </c>
      <c r="J7821" t="inlineStr">
        <is>
          <t>MATRION</t>
        </is>
      </c>
      <c r="K7821" t="inlineStr">
        <is>
          <t>METAL</t>
        </is>
      </c>
      <c r="L7821">
        <f>_xlfn.XLOOKUP(Tableau1[[#This Row],[TYPE DE PIECE]],Tableau4[MATIERE],Tableau4[SHORT TYPE],"",0,1)</f>
        <v/>
      </c>
      <c r="N7821">
        <f>IF(ISERR(FIND("DECOUPE",Tableau1[[#This Row],[DESIGNATION]])),"","NEED REF")</f>
        <v/>
      </c>
    </row>
    <row r="7822">
      <c r="B7822" t="n">
        <v>34406183</v>
      </c>
      <c r="C7822" s="2" t="n">
        <v>42926</v>
      </c>
      <c r="F7822" t="inlineStr">
        <is>
          <t>MBC GVX</t>
        </is>
      </c>
      <c r="J7822" t="inlineStr">
        <is>
          <t>MATRION</t>
        </is>
      </c>
      <c r="L7822">
        <f>_xlfn.XLOOKUP(Tableau1[[#This Row],[TYPE DE PIECE]],Tableau4[MATIERE],Tableau4[SHORT TYPE],"",0,1)</f>
        <v/>
      </c>
      <c r="N7822">
        <f>IF(ISERR(FIND("DECOUPE",Tableau1[[#This Row],[DESIGNATION]])),"","NEED REF")</f>
        <v/>
      </c>
    </row>
    <row r="7823">
      <c r="B7823" t="n">
        <v>34406182</v>
      </c>
      <c r="C7823" s="2" t="n">
        <v>42926</v>
      </c>
      <c r="E7823" t="inlineStr">
        <is>
          <t>TRAVERSE GAUCHE</t>
        </is>
      </c>
      <c r="F7823" t="inlineStr">
        <is>
          <t>BBC GVX</t>
        </is>
      </c>
      <c r="J7823" t="inlineStr">
        <is>
          <t>MATRION</t>
        </is>
      </c>
      <c r="L7823">
        <f>_xlfn.XLOOKUP(Tableau1[[#This Row],[TYPE DE PIECE]],Tableau4[MATIERE],Tableau4[SHORT TYPE],"",0,1)</f>
        <v/>
      </c>
      <c r="N7823">
        <f>IF(ISERR(FIND("DECOUPE",Tableau1[[#This Row],[DESIGNATION]])),"","NEED REF")</f>
        <v/>
      </c>
    </row>
    <row r="7824">
      <c r="B7824" t="n">
        <v>34406181</v>
      </c>
      <c r="C7824" s="2" t="n">
        <v>42926</v>
      </c>
      <c r="E7824" t="inlineStr">
        <is>
          <t>TRAVERSE ARRIERE</t>
        </is>
      </c>
      <c r="F7824" t="inlineStr">
        <is>
          <t>BBC GVX</t>
        </is>
      </c>
      <c r="J7824" t="inlineStr">
        <is>
          <t>MATRION</t>
        </is>
      </c>
      <c r="L7824">
        <f>_xlfn.XLOOKUP(Tableau1[[#This Row],[TYPE DE PIECE]],Tableau4[MATIERE],Tableau4[SHORT TYPE],"",0,1)</f>
        <v/>
      </c>
      <c r="N7824">
        <f>IF(ISERR(FIND("DECOUPE",Tableau1[[#This Row],[DESIGNATION]])),"","NEED REF")</f>
        <v/>
      </c>
    </row>
    <row r="7825">
      <c r="B7825" t="n">
        <v>34406180</v>
      </c>
      <c r="C7825" s="2" t="n">
        <v>42926</v>
      </c>
      <c r="E7825" t="inlineStr">
        <is>
          <t>Peint AUX RAL1013 Lisse Satine S=9.75m²</t>
        </is>
      </c>
      <c r="J7825" t="inlineStr">
        <is>
          <t>ROBERT</t>
        </is>
      </c>
      <c r="L7825">
        <f>_xlfn.XLOOKUP(Tableau1[[#This Row],[TYPE DE PIECE]],Tableau4[MATIERE],Tableau4[SHORT TYPE],"",0,1)</f>
        <v/>
      </c>
      <c r="N7825">
        <f>IF(ISERR(FIND("DECOUPE",Tableau1[[#This Row],[DESIGNATION]])),"","NEED REF")</f>
        <v/>
      </c>
    </row>
    <row r="7826">
      <c r="B7826" t="n">
        <v>34406179</v>
      </c>
      <c r="C7826" s="2" t="n">
        <v>42922</v>
      </c>
      <c r="D7826" t="inlineStr">
        <is>
          <t>SPEC</t>
        </is>
      </c>
      <c r="E7826" t="inlineStr">
        <is>
          <t>Peint AUX RAL1013 Lisse Satiné S=7,5m2</t>
        </is>
      </c>
      <c r="F7826" t="inlineStr">
        <is>
          <t>ITER LC14</t>
        </is>
      </c>
      <c r="J7826" t="inlineStr">
        <is>
          <t>ROBERT</t>
        </is>
      </c>
      <c r="L7826">
        <f>_xlfn.XLOOKUP(Tableau1[[#This Row],[TYPE DE PIECE]],Tableau4[MATIERE],Tableau4[SHORT TYPE],"",0,1)</f>
        <v/>
      </c>
      <c r="N7826">
        <f>IF(ISERR(FIND("DECOUPE",Tableau1[[#This Row],[DESIGNATION]])),"","NEED REF")</f>
        <v/>
      </c>
    </row>
    <row r="7827">
      <c r="B7827" t="n">
        <v>34406178</v>
      </c>
      <c r="C7827" s="2" t="n">
        <v>42922</v>
      </c>
      <c r="D7827" t="inlineStr">
        <is>
          <t>SPEC</t>
        </is>
      </c>
      <c r="E7827" t="inlineStr">
        <is>
          <t>Peint UPS RAL1013 Lisse Satiné S=7,5m2</t>
        </is>
      </c>
      <c r="F7827" t="inlineStr">
        <is>
          <t>ITER LC14</t>
        </is>
      </c>
      <c r="J7827" t="inlineStr">
        <is>
          <t>ROBERT</t>
        </is>
      </c>
      <c r="L7827">
        <f>_xlfn.XLOOKUP(Tableau1[[#This Row],[TYPE DE PIECE]],Tableau4[MATIERE],Tableau4[SHORT TYPE],"",0,1)</f>
        <v/>
      </c>
      <c r="N7827">
        <f>IF(ISERR(FIND("DECOUPE",Tableau1[[#This Row],[DESIGNATION]])),"","NEED REF")</f>
        <v/>
      </c>
    </row>
    <row r="7828">
      <c r="B7828" t="n">
        <v>34406177</v>
      </c>
      <c r="C7828" s="2" t="n">
        <v>42920</v>
      </c>
      <c r="D7828" t="inlineStr">
        <is>
          <t>SPEC</t>
        </is>
      </c>
      <c r="E7828" t="inlineStr">
        <is>
          <t>Barres</t>
        </is>
      </c>
      <c r="F7828" t="inlineStr">
        <is>
          <t>ST CROLLES</t>
        </is>
      </c>
      <c r="J7828" t="inlineStr">
        <is>
          <t>DUBOIS</t>
        </is>
      </c>
      <c r="L7828">
        <f>_xlfn.XLOOKUP(Tableau1[[#This Row],[TYPE DE PIECE]],Tableau4[MATIERE],Tableau4[SHORT TYPE],"",0,1)</f>
        <v/>
      </c>
      <c r="N7828">
        <f>IF(ISERR(FIND("DECOUPE",Tableau1[[#This Row],[DESIGNATION]])),"","NEED REF")</f>
        <v/>
      </c>
    </row>
    <row r="7829">
      <c r="B7829" t="n">
        <v>34406176</v>
      </c>
      <c r="C7829" s="2" t="n">
        <v>42920</v>
      </c>
      <c r="D7829" t="inlineStr">
        <is>
          <t>SPEC</t>
        </is>
      </c>
      <c r="E7829" t="inlineStr">
        <is>
          <t>Support barres</t>
        </is>
      </c>
      <c r="F7829" t="inlineStr">
        <is>
          <t>ST CROLLES</t>
        </is>
      </c>
      <c r="J7829" t="inlineStr">
        <is>
          <t>DUBOIS</t>
        </is>
      </c>
      <c r="L7829">
        <f>_xlfn.XLOOKUP(Tableau1[[#This Row],[TYPE DE PIECE]],Tableau4[MATIERE],Tableau4[SHORT TYPE],"",0,1)</f>
        <v/>
      </c>
      <c r="N7829">
        <f>IF(ISERR(FIND("DECOUPE",Tableau1[[#This Row],[DESIGNATION]])),"","NEED REF")</f>
        <v/>
      </c>
    </row>
    <row r="7830">
      <c r="B7830" t="n">
        <v>34406175</v>
      </c>
      <c r="C7830" s="2" t="n">
        <v>42920</v>
      </c>
      <c r="D7830" t="inlineStr">
        <is>
          <t>SPEC</t>
        </is>
      </c>
      <c r="E7830" t="inlineStr">
        <is>
          <t>CALE</t>
        </is>
      </c>
      <c r="F7830" t="inlineStr">
        <is>
          <t>VX TGAB 1500</t>
        </is>
      </c>
      <c r="J7830" t="inlineStr">
        <is>
          <t>ROBERT</t>
        </is>
      </c>
      <c r="L7830">
        <f>_xlfn.XLOOKUP(Tableau1[[#This Row],[TYPE DE PIECE]],Tableau4[MATIERE],Tableau4[SHORT TYPE],"",0,1)</f>
        <v/>
      </c>
      <c r="N7830">
        <f>IF(ISERR(FIND("DECOUPE",Tableau1[[#This Row],[DESIGNATION]])),"","NEED REF")</f>
        <v/>
      </c>
    </row>
    <row r="7831">
      <c r="B7831" t="n">
        <v>34406174</v>
      </c>
      <c r="C7831" s="2" t="n">
        <v>42920</v>
      </c>
      <c r="D7831" t="inlineStr">
        <is>
          <t>SPEC</t>
        </is>
      </c>
      <c r="E7831" t="inlineStr">
        <is>
          <t>DEPORT2</t>
        </is>
      </c>
      <c r="F7831" t="inlineStr">
        <is>
          <t>VX TGAB 1500</t>
        </is>
      </c>
      <c r="J7831" t="inlineStr">
        <is>
          <t>ROBERT</t>
        </is>
      </c>
      <c r="L7831">
        <f>_xlfn.XLOOKUP(Tableau1[[#This Row],[TYPE DE PIECE]],Tableau4[MATIERE],Tableau4[SHORT TYPE],"",0,1)</f>
        <v/>
      </c>
      <c r="N7831">
        <f>IF(ISERR(FIND("DECOUPE",Tableau1[[#This Row],[DESIGNATION]])),"","NEED REF")</f>
        <v/>
      </c>
    </row>
    <row r="7832">
      <c r="B7832" t="n">
        <v>34406173</v>
      </c>
      <c r="C7832" s="2" t="n">
        <v>42920</v>
      </c>
      <c r="D7832" t="inlineStr">
        <is>
          <t>SPEC</t>
        </is>
      </c>
      <c r="E7832" t="inlineStr">
        <is>
          <t>DEPORT1</t>
        </is>
      </c>
      <c r="F7832" t="inlineStr">
        <is>
          <t>VX TGAB 1500</t>
        </is>
      </c>
      <c r="J7832" t="inlineStr">
        <is>
          <t>ROBERT</t>
        </is>
      </c>
      <c r="L7832">
        <f>_xlfn.XLOOKUP(Tableau1[[#This Row],[TYPE DE PIECE]],Tableau4[MATIERE],Tableau4[SHORT TYPE],"",0,1)</f>
        <v/>
      </c>
      <c r="N7832">
        <f>IF(ISERR(FIND("DECOUPE",Tableau1[[#This Row],[DESIGNATION]])),"","NEED REF")</f>
        <v/>
      </c>
    </row>
    <row r="7833">
      <c r="B7833" t="n">
        <v>34406172</v>
      </c>
      <c r="C7833" s="2" t="n">
        <v>42914</v>
      </c>
      <c r="D7833" t="inlineStr">
        <is>
          <t>SPEC</t>
        </is>
      </c>
      <c r="E7833" t="inlineStr">
        <is>
          <t>TOIT NETSHELTER ALU</t>
        </is>
      </c>
      <c r="F7833" t="inlineStr">
        <is>
          <t>ST CROLLES</t>
        </is>
      </c>
      <c r="J7833" t="inlineStr">
        <is>
          <t>MATRION</t>
        </is>
      </c>
      <c r="L7833">
        <f>_xlfn.XLOOKUP(Tableau1[[#This Row],[TYPE DE PIECE]],Tableau4[MATIERE],Tableau4[SHORT TYPE],"",0,1)</f>
        <v/>
      </c>
      <c r="N7833">
        <f>IF(ISERR(FIND("DECOUPE",Tableau1[[#This Row],[DESIGNATION]])),"","NEED REF")</f>
        <v/>
      </c>
    </row>
    <row r="7834">
      <c r="B7834" t="n">
        <v>34406171</v>
      </c>
      <c r="C7834" s="2" t="n">
        <v>42913</v>
      </c>
      <c r="D7834" t="inlineStr">
        <is>
          <t>SPEC</t>
        </is>
      </c>
      <c r="E7834" t="inlineStr">
        <is>
          <t>PROTECTION SHIELD NETSHELTER 750 14U DJ BATT</t>
        </is>
      </c>
      <c r="F7834" t="inlineStr">
        <is>
          <t>ST CROLLES</t>
        </is>
      </c>
      <c r="J7834" t="inlineStr">
        <is>
          <t>DUBOIS</t>
        </is>
      </c>
      <c r="K7834" t="inlineStr">
        <is>
          <t>METAL + PEINTURE</t>
        </is>
      </c>
      <c r="L7834">
        <f>_xlfn.XLOOKUP(Tableau1[[#This Row],[TYPE DE PIECE]],Tableau4[MATIERE],Tableau4[SHORT TYPE],"",0,1)</f>
        <v/>
      </c>
      <c r="N7834">
        <f>IF(ISERR(FIND("DECOUPE",Tableau1[[#This Row],[DESIGNATION]])),"","NEED REF")</f>
        <v/>
      </c>
    </row>
    <row r="7835">
      <c r="B7835" t="n">
        <v>34406170</v>
      </c>
      <c r="C7835" s="2" t="n">
        <v>42913</v>
      </c>
      <c r="D7835" t="inlineStr">
        <is>
          <t>SPEC</t>
        </is>
      </c>
      <c r="E7835" t="inlineStr">
        <is>
          <t>PROTECTION SHIELD NETSHELTER 750 8U SWITCH BP + UTIL ASI</t>
        </is>
      </c>
      <c r="F7835" t="inlineStr">
        <is>
          <t>ST CROLLES</t>
        </is>
      </c>
      <c r="J7835" t="inlineStr">
        <is>
          <t>DUBOIS</t>
        </is>
      </c>
      <c r="K7835" t="inlineStr">
        <is>
          <t>METAL + PEINTURE</t>
        </is>
      </c>
      <c r="L7835">
        <f>_xlfn.XLOOKUP(Tableau1[[#This Row],[TYPE DE PIECE]],Tableau4[MATIERE],Tableau4[SHORT TYPE],"",0,1)</f>
        <v/>
      </c>
      <c r="N7835">
        <f>IF(ISERR(FIND("DECOUPE",Tableau1[[#This Row],[DESIGNATION]])),"","NEED REF")</f>
        <v/>
      </c>
    </row>
    <row r="7836">
      <c r="B7836" t="n">
        <v>34406169</v>
      </c>
      <c r="C7836" s="2" t="n">
        <v>42913</v>
      </c>
      <c r="D7836" t="inlineStr">
        <is>
          <t>SPEC</t>
        </is>
      </c>
      <c r="E7836" t="inlineStr">
        <is>
          <t>PROTECTION SHIELD NETSHELTER 750 6U SWITCH R2 + LIGHTS</t>
        </is>
      </c>
      <c r="F7836" t="inlineStr">
        <is>
          <t>ST CROLLES</t>
        </is>
      </c>
      <c r="J7836" t="inlineStr">
        <is>
          <t>DUBOIS</t>
        </is>
      </c>
      <c r="K7836" t="inlineStr">
        <is>
          <t>METAL + PEINTURE</t>
        </is>
      </c>
      <c r="L7836">
        <f>_xlfn.XLOOKUP(Tableau1[[#This Row],[TYPE DE PIECE]],Tableau4[MATIERE],Tableau4[SHORT TYPE],"",0,1)</f>
        <v/>
      </c>
      <c r="N7836">
        <f>IF(ISERR(FIND("DECOUPE",Tableau1[[#This Row],[DESIGNATION]])),"","NEED REF")</f>
        <v/>
      </c>
    </row>
    <row r="7837">
      <c r="B7837" t="n">
        <v>34406168</v>
      </c>
      <c r="C7837" s="2" t="n">
        <v>42912</v>
      </c>
      <c r="E7837" t="inlineStr">
        <is>
          <t>SUPPORT DOUBLE RC NS2500</t>
        </is>
      </c>
      <c r="F7837" t="inlineStr">
        <is>
          <t>NS2500</t>
        </is>
      </c>
      <c r="J7837" t="inlineStr">
        <is>
          <t>MATRION</t>
        </is>
      </c>
      <c r="L7837">
        <f>_xlfn.XLOOKUP(Tableau1[[#This Row],[TYPE DE PIECE]],Tableau4[MATIERE],Tableau4[SHORT TYPE],"",0,1)</f>
        <v/>
      </c>
      <c r="N7837">
        <f>IF(ISERR(FIND("DECOUPE",Tableau1[[#This Row],[DESIGNATION]])),"","NEED REF")</f>
        <v/>
      </c>
    </row>
    <row r="7838">
      <c r="B7838" t="n">
        <v>34406167</v>
      </c>
      <c r="C7838" s="2" t="n">
        <v>42905</v>
      </c>
      <c r="E7838" t="inlineStr">
        <is>
          <t>Blocage filtre Lg=700</t>
        </is>
      </c>
      <c r="F7838" t="inlineStr">
        <is>
          <t xml:space="preserve">G7000 </t>
        </is>
      </c>
      <c r="J7838" t="inlineStr">
        <is>
          <t>ROBERT</t>
        </is>
      </c>
      <c r="L7838">
        <f>_xlfn.XLOOKUP(Tableau1[[#This Row],[TYPE DE PIECE]],Tableau4[MATIERE],Tableau4[SHORT TYPE],"",0,1)</f>
        <v/>
      </c>
      <c r="N7838">
        <f>IF(ISERR(FIND("DECOUPE",Tableau1[[#This Row],[DESIGNATION]])),"","NEED REF")</f>
        <v/>
      </c>
    </row>
    <row r="7839">
      <c r="B7839" t="n">
        <v>34406166</v>
      </c>
      <c r="C7839" s="2" t="n">
        <v>42905</v>
      </c>
      <c r="E7839" t="inlineStr">
        <is>
          <t>Blocage filtre Lg=1400</t>
        </is>
      </c>
      <c r="F7839" t="inlineStr">
        <is>
          <t xml:space="preserve">G7000 </t>
        </is>
      </c>
      <c r="J7839" t="inlineStr">
        <is>
          <t>ROBERT</t>
        </is>
      </c>
      <c r="L7839">
        <f>_xlfn.XLOOKUP(Tableau1[[#This Row],[TYPE DE PIECE]],Tableau4[MATIERE],Tableau4[SHORT TYPE],"",0,1)</f>
        <v/>
      </c>
      <c r="N7839">
        <f>IF(ISERR(FIND("DECOUPE",Tableau1[[#This Row],[DESIGNATION]])),"","NEED REF")</f>
        <v/>
      </c>
    </row>
    <row r="7840">
      <c r="B7840" t="n">
        <v>34406165</v>
      </c>
      <c r="C7840" s="2" t="n">
        <v>42898</v>
      </c>
      <c r="F7840" t="inlineStr">
        <is>
          <t>MBC GVX</t>
        </is>
      </c>
      <c r="J7840" t="inlineStr">
        <is>
          <t>MATRION</t>
        </is>
      </c>
      <c r="L7840">
        <f>_xlfn.XLOOKUP(Tableau1[[#This Row],[TYPE DE PIECE]],Tableau4[MATIERE],Tableau4[SHORT TYPE],"",0,1)</f>
        <v/>
      </c>
      <c r="N7840">
        <f>IF(ISERR(FIND("DECOUPE",Tableau1[[#This Row],[DESIGNATION]])),"","NEED REF")</f>
        <v/>
      </c>
    </row>
    <row r="7841">
      <c r="B7841" t="n">
        <v>34406164</v>
      </c>
      <c r="C7841" s="2" t="n">
        <v>42898</v>
      </c>
      <c r="E7841" t="inlineStr">
        <is>
          <t>PLATINE HAUT NW25 FIXE</t>
        </is>
      </c>
      <c r="F7841" t="inlineStr">
        <is>
          <t>MBC GVX</t>
        </is>
      </c>
      <c r="J7841" t="inlineStr">
        <is>
          <t>MATRION</t>
        </is>
      </c>
      <c r="K7841" t="inlineStr">
        <is>
          <t>TÖLERIE</t>
        </is>
      </c>
      <c r="L7841">
        <f>_xlfn.XLOOKUP(Tableau1[[#This Row],[TYPE DE PIECE]],Tableau4[MATIERE],Tableau4[SHORT TYPE],"",0,1)</f>
        <v/>
      </c>
      <c r="N7841">
        <f>IF(ISERR(FIND("DECOUPE",Tableau1[[#This Row],[DESIGNATION]])),"","NEED REF")</f>
        <v/>
      </c>
    </row>
    <row r="7842">
      <c r="B7842" t="n">
        <v>34406163</v>
      </c>
      <c r="C7842" s="2" t="n">
        <v>42898</v>
      </c>
      <c r="D7842" t="inlineStr">
        <is>
          <t>SPEC</t>
        </is>
      </c>
      <c r="E7842" t="inlineStr">
        <is>
          <t>CX RACCORDEMENT CLIENT N COMMUN</t>
        </is>
      </c>
      <c r="F7842" t="inlineStr">
        <is>
          <t>MBC GVX</t>
        </is>
      </c>
      <c r="J7842" t="inlineStr">
        <is>
          <t>MATRION</t>
        </is>
      </c>
      <c r="K7842" t="inlineStr">
        <is>
          <t>CUIVRE</t>
        </is>
      </c>
      <c r="L7842">
        <f>_xlfn.XLOOKUP(Tableau1[[#This Row],[TYPE DE PIECE]],Tableau4[MATIERE],Tableau4[SHORT TYPE],"",0,1)</f>
        <v/>
      </c>
      <c r="N7842">
        <f>IF(ISERR(FIND("DECOUPE",Tableau1[[#This Row],[DESIGNATION]])),"","NEED REF")</f>
        <v/>
      </c>
    </row>
    <row r="7843">
      <c r="B7843" t="n">
        <v>34406162</v>
      </c>
      <c r="C7843" s="2" t="n">
        <v>42898</v>
      </c>
      <c r="F7843" t="inlineStr">
        <is>
          <t>MBC GVX</t>
        </is>
      </c>
      <c r="J7843" t="inlineStr">
        <is>
          <t>MATRION</t>
        </is>
      </c>
      <c r="L7843">
        <f>_xlfn.XLOOKUP(Tableau1[[#This Row],[TYPE DE PIECE]],Tableau4[MATIERE],Tableau4[SHORT TYPE],"",0,1)</f>
        <v/>
      </c>
      <c r="N7843">
        <f>IF(ISERR(FIND("DECOUPE",Tableau1[[#This Row],[DESIGNATION]])),"","NEED REF")</f>
        <v/>
      </c>
    </row>
    <row r="7844">
      <c r="B7844" t="n">
        <v>34406161</v>
      </c>
      <c r="C7844" s="2" t="n">
        <v>42898</v>
      </c>
      <c r="E7844" t="inlineStr">
        <is>
          <t>SUPPORT LINERGY DOUBLE</t>
        </is>
      </c>
      <c r="F7844" t="inlineStr">
        <is>
          <t>MBC GVX</t>
        </is>
      </c>
      <c r="J7844" t="inlineStr">
        <is>
          <t>MATRION</t>
        </is>
      </c>
      <c r="K7844" t="inlineStr">
        <is>
          <t>TÖLERIE</t>
        </is>
      </c>
      <c r="L7844">
        <f>_xlfn.XLOOKUP(Tableau1[[#This Row],[TYPE DE PIECE]],Tableau4[MATIERE],Tableau4[SHORT TYPE],"",0,1)</f>
        <v/>
      </c>
      <c r="N7844">
        <f>IF(ISERR(FIND("DECOUPE",Tableau1[[#This Row],[DESIGNATION]])),"","NEED REF")</f>
        <v/>
      </c>
    </row>
    <row r="7845">
      <c r="B7845" t="n">
        <v>34406160</v>
      </c>
      <c r="C7845" s="2" t="n">
        <v>42898</v>
      </c>
      <c r="D7845" t="inlineStr">
        <is>
          <t>SPEC</t>
        </is>
      </c>
      <c r="E7845" t="inlineStr">
        <is>
          <t>DECOUPE LINERGY 04566 2500A 500MM</t>
        </is>
      </c>
      <c r="F7845" t="inlineStr">
        <is>
          <t>MBC GVX</t>
        </is>
      </c>
      <c r="J7845" t="inlineStr">
        <is>
          <t>MATRION</t>
        </is>
      </c>
      <c r="K7845" t="inlineStr">
        <is>
          <t>METAL</t>
        </is>
      </c>
      <c r="L7845">
        <f>_xlfn.XLOOKUP(Tableau1[[#This Row],[TYPE DE PIECE]],Tableau4[MATIERE],Tableau4[SHORT TYPE],"",0,1)</f>
        <v/>
      </c>
      <c r="N7845">
        <f>IF(ISERR(FIND("DECOUPE",Tableau1[[#This Row],[DESIGNATION]])),"","NEED REF")</f>
        <v/>
      </c>
    </row>
    <row r="7846">
      <c r="B7846" t="n">
        <v>34406159</v>
      </c>
      <c r="C7846" s="2" t="n">
        <v>42898</v>
      </c>
      <c r="D7846" t="inlineStr">
        <is>
          <t>SPEC</t>
        </is>
      </c>
      <c r="E7846" t="inlineStr">
        <is>
          <t>LIAISON NW VERTICALE</t>
        </is>
      </c>
      <c r="F7846" t="inlineStr">
        <is>
          <t>MBC GVX</t>
        </is>
      </c>
      <c r="J7846" t="inlineStr">
        <is>
          <t>MATRION</t>
        </is>
      </c>
      <c r="K7846" t="inlineStr">
        <is>
          <t>CUIVRE</t>
        </is>
      </c>
      <c r="L7846">
        <f>_xlfn.XLOOKUP(Tableau1[[#This Row],[TYPE DE PIECE]],Tableau4[MATIERE],Tableau4[SHORT TYPE],"",0,1)</f>
        <v/>
      </c>
      <c r="N7846">
        <f>IF(ISERR(FIND("DECOUPE",Tableau1[[#This Row],[DESIGNATION]])),"","NEED REF")</f>
        <v/>
      </c>
    </row>
    <row r="7847">
      <c r="B7847" t="n">
        <v>34406158</v>
      </c>
      <c r="C7847" s="2" t="n">
        <v>42898</v>
      </c>
      <c r="D7847" t="inlineStr">
        <is>
          <t>SPEC</t>
        </is>
      </c>
      <c r="E7847" t="inlineStr">
        <is>
          <t>LIAISON INTER CELLULE 1</t>
        </is>
      </c>
      <c r="F7847" t="inlineStr">
        <is>
          <t>MBC GVX</t>
        </is>
      </c>
      <c r="J7847" t="inlineStr">
        <is>
          <t>MATRION</t>
        </is>
      </c>
      <c r="K7847" t="inlineStr">
        <is>
          <t>CUIVRE</t>
        </is>
      </c>
      <c r="L7847">
        <f>_xlfn.XLOOKUP(Tableau1[[#This Row],[TYPE DE PIECE]],Tableau4[MATIERE],Tableau4[SHORT TYPE],"",0,1)</f>
        <v/>
      </c>
      <c r="N7847">
        <f>IF(ISERR(FIND("DECOUPE",Tableau1[[#This Row],[DESIGNATION]])),"","NEED REF")</f>
        <v/>
      </c>
    </row>
    <row r="7848">
      <c r="B7848" t="n">
        <v>34406157</v>
      </c>
      <c r="C7848" s="2" t="n">
        <v>42898</v>
      </c>
      <c r="D7848" t="inlineStr">
        <is>
          <t>SPEC</t>
        </is>
      </c>
      <c r="E7848" t="inlineStr">
        <is>
          <t>LIAISON INTER CELLULE 2</t>
        </is>
      </c>
      <c r="F7848" t="inlineStr">
        <is>
          <t>MBC GVX</t>
        </is>
      </c>
      <c r="J7848" t="inlineStr">
        <is>
          <t>MATRION</t>
        </is>
      </c>
      <c r="K7848" t="inlineStr">
        <is>
          <t>CUIVRE</t>
        </is>
      </c>
      <c r="L7848">
        <f>_xlfn.XLOOKUP(Tableau1[[#This Row],[TYPE DE PIECE]],Tableau4[MATIERE],Tableau4[SHORT TYPE],"",0,1)</f>
        <v/>
      </c>
      <c r="N7848">
        <f>IF(ISERR(FIND("DECOUPE",Tableau1[[#This Row],[DESIGNATION]])),"","NEED REF")</f>
        <v/>
      </c>
    </row>
    <row r="7849">
      <c r="B7849" t="n">
        <v>34406156</v>
      </c>
      <c r="C7849" s="2" t="n">
        <v>42898</v>
      </c>
      <c r="D7849" t="inlineStr">
        <is>
          <t>SPEC</t>
        </is>
      </c>
      <c r="E7849" t="inlineStr">
        <is>
          <t>LIAISON INTER CELLULE 3</t>
        </is>
      </c>
      <c r="F7849" t="inlineStr">
        <is>
          <t>MBC GVX</t>
        </is>
      </c>
      <c r="J7849" t="inlineStr">
        <is>
          <t>MATRION</t>
        </is>
      </c>
      <c r="K7849" t="inlineStr">
        <is>
          <t>CUIVRE</t>
        </is>
      </c>
      <c r="L7849">
        <f>_xlfn.XLOOKUP(Tableau1[[#This Row],[TYPE DE PIECE]],Tableau4[MATIERE],Tableau4[SHORT TYPE],"",0,1)</f>
        <v/>
      </c>
      <c r="N7849">
        <f>IF(ISERR(FIND("DECOUPE",Tableau1[[#This Row],[DESIGNATION]])),"","NEED REF")</f>
        <v/>
      </c>
    </row>
    <row r="7850">
      <c r="B7850" t="n">
        <v>34406155</v>
      </c>
      <c r="C7850" s="2" t="n">
        <v>42898</v>
      </c>
      <c r="D7850" t="inlineStr">
        <is>
          <t>SPEC</t>
        </is>
      </c>
      <c r="E7850" t="inlineStr">
        <is>
          <t>LIAISON INTER CELLULE 4</t>
        </is>
      </c>
      <c r="F7850" t="inlineStr">
        <is>
          <t>MBC GVX</t>
        </is>
      </c>
      <c r="J7850" t="inlineStr">
        <is>
          <t>MATRION</t>
        </is>
      </c>
      <c r="K7850" t="inlineStr">
        <is>
          <t>CUIVRE</t>
        </is>
      </c>
      <c r="L7850">
        <f>_xlfn.XLOOKUP(Tableau1[[#This Row],[TYPE DE PIECE]],Tableau4[MATIERE],Tableau4[SHORT TYPE],"",0,1)</f>
        <v/>
      </c>
      <c r="N7850">
        <f>IF(ISERR(FIND("DECOUPE",Tableau1[[#This Row],[DESIGNATION]])),"","NEED REF")</f>
        <v/>
      </c>
    </row>
    <row r="7851">
      <c r="B7851" t="n">
        <v>34406154</v>
      </c>
      <c r="C7851" s="2" t="n">
        <v>42898</v>
      </c>
      <c r="D7851" t="inlineStr">
        <is>
          <t>SPEC</t>
        </is>
      </c>
      <c r="E7851" t="inlineStr">
        <is>
          <t>DECOUPE LINERGY 04566 2500A 1265MM</t>
        </is>
      </c>
      <c r="F7851" t="inlineStr">
        <is>
          <t>MBC GVX</t>
        </is>
      </c>
      <c r="J7851" t="inlineStr">
        <is>
          <t>MATRION</t>
        </is>
      </c>
      <c r="K7851" t="inlineStr">
        <is>
          <t>METAL</t>
        </is>
      </c>
      <c r="L7851">
        <f>_xlfn.XLOOKUP(Tableau1[[#This Row],[TYPE DE PIECE]],Tableau4[MATIERE],Tableau4[SHORT TYPE],"",0,1)</f>
        <v/>
      </c>
      <c r="N7851">
        <f>IF(ISERR(FIND("DECOUPE",Tableau1[[#This Row],[DESIGNATION]])),"","NEED REF")</f>
        <v/>
      </c>
    </row>
    <row r="7852">
      <c r="B7852" t="n">
        <v>34406153</v>
      </c>
      <c r="C7852" s="2" t="n">
        <v>42898</v>
      </c>
      <c r="D7852" t="inlineStr">
        <is>
          <t>SPEC</t>
        </is>
      </c>
      <c r="E7852" t="inlineStr">
        <is>
          <t>DECOUPE LINERGY 04566 2500A 735MM</t>
        </is>
      </c>
      <c r="F7852" t="inlineStr">
        <is>
          <t>MBC GVX</t>
        </is>
      </c>
      <c r="J7852" t="inlineStr">
        <is>
          <t>MATRION</t>
        </is>
      </c>
      <c r="K7852" t="inlineStr">
        <is>
          <t>METAL</t>
        </is>
      </c>
      <c r="L7852">
        <f>_xlfn.XLOOKUP(Tableau1[[#This Row],[TYPE DE PIECE]],Tableau4[MATIERE],Tableau4[SHORT TYPE],"",0,1)</f>
        <v/>
      </c>
      <c r="N7852">
        <f>IF(ISERR(FIND("DECOUPE",Tableau1[[#This Row],[DESIGNATION]])),"","NEED REF")</f>
        <v/>
      </c>
    </row>
    <row r="7853">
      <c r="B7853" t="n">
        <v>34406152</v>
      </c>
      <c r="C7853" s="2" t="n">
        <v>42898</v>
      </c>
      <c r="D7853" t="inlineStr">
        <is>
          <t>SPEC</t>
        </is>
      </c>
      <c r="E7853" t="inlineStr">
        <is>
          <t>LIAISON NW-LINERGY 4</t>
        </is>
      </c>
      <c r="F7853" t="inlineStr">
        <is>
          <t>MBC GVX</t>
        </is>
      </c>
      <c r="J7853" t="inlineStr">
        <is>
          <t>MATRION</t>
        </is>
      </c>
      <c r="K7853" t="inlineStr">
        <is>
          <t>CUIVRE</t>
        </is>
      </c>
      <c r="L7853">
        <f>_xlfn.XLOOKUP(Tableau1[[#This Row],[TYPE DE PIECE]],Tableau4[MATIERE],Tableau4[SHORT TYPE],"",0,1)</f>
        <v/>
      </c>
      <c r="N7853">
        <f>IF(ISERR(FIND("DECOUPE",Tableau1[[#This Row],[DESIGNATION]])),"","NEED REF")</f>
        <v/>
      </c>
    </row>
    <row r="7854">
      <c r="B7854" t="n">
        <v>34406151</v>
      </c>
      <c r="C7854" s="2" t="n">
        <v>42898</v>
      </c>
      <c r="D7854" t="inlineStr">
        <is>
          <t>SPEC</t>
        </is>
      </c>
      <c r="E7854" t="inlineStr">
        <is>
          <t>LIAISON NW-LINERGY 3</t>
        </is>
      </c>
      <c r="F7854" t="inlineStr">
        <is>
          <t>MBC GVX</t>
        </is>
      </c>
      <c r="J7854" t="inlineStr">
        <is>
          <t>MATRION</t>
        </is>
      </c>
      <c r="K7854" t="inlineStr">
        <is>
          <t>CUIVRE</t>
        </is>
      </c>
      <c r="L7854">
        <f>_xlfn.XLOOKUP(Tableau1[[#This Row],[TYPE DE PIECE]],Tableau4[MATIERE],Tableau4[SHORT TYPE],"",0,1)</f>
        <v/>
      </c>
      <c r="N7854">
        <f>IF(ISERR(FIND("DECOUPE",Tableau1[[#This Row],[DESIGNATION]])),"","NEED REF")</f>
        <v/>
      </c>
    </row>
    <row r="7855">
      <c r="B7855" t="n">
        <v>34406150</v>
      </c>
      <c r="C7855" s="2" t="n">
        <v>42898</v>
      </c>
      <c r="D7855" t="inlineStr">
        <is>
          <t>SPEC</t>
        </is>
      </c>
      <c r="E7855" t="inlineStr">
        <is>
          <t>LIAISON NW-LINERGY 2</t>
        </is>
      </c>
      <c r="F7855" t="inlineStr">
        <is>
          <t>MBC GVX</t>
        </is>
      </c>
      <c r="J7855" t="inlineStr">
        <is>
          <t>MATRION</t>
        </is>
      </c>
      <c r="K7855" t="inlineStr">
        <is>
          <t>CUIVRE</t>
        </is>
      </c>
      <c r="L7855">
        <f>_xlfn.XLOOKUP(Tableau1[[#This Row],[TYPE DE PIECE]],Tableau4[MATIERE],Tableau4[SHORT TYPE],"",0,1)</f>
        <v/>
      </c>
      <c r="N7855">
        <f>IF(ISERR(FIND("DECOUPE",Tableau1[[#This Row],[DESIGNATION]])),"","NEED REF")</f>
        <v/>
      </c>
    </row>
    <row r="7856">
      <c r="B7856" t="n">
        <v>34406149</v>
      </c>
      <c r="C7856" s="2" t="n">
        <v>42898</v>
      </c>
      <c r="D7856" t="inlineStr">
        <is>
          <t>SPEC</t>
        </is>
      </c>
      <c r="E7856" t="inlineStr">
        <is>
          <t>LIAISON NW-LINERGY 1</t>
        </is>
      </c>
      <c r="F7856" t="inlineStr">
        <is>
          <t>MBC GVX</t>
        </is>
      </c>
      <c r="J7856" t="inlineStr">
        <is>
          <t>MATRION</t>
        </is>
      </c>
      <c r="K7856" t="inlineStr">
        <is>
          <t>CUIVRE</t>
        </is>
      </c>
      <c r="L7856">
        <f>_xlfn.XLOOKUP(Tableau1[[#This Row],[TYPE DE PIECE]],Tableau4[MATIERE],Tableau4[SHORT TYPE],"",0,1)</f>
        <v/>
      </c>
      <c r="N7856">
        <f>IF(ISERR(FIND("DECOUPE",Tableau1[[#This Row],[DESIGNATION]])),"","NEED REF")</f>
        <v/>
      </c>
    </row>
    <row r="7857">
      <c r="B7857" t="n">
        <v>34406148</v>
      </c>
      <c r="C7857" s="2" t="n">
        <v>42898</v>
      </c>
      <c r="F7857" t="inlineStr">
        <is>
          <t>MBC GVX</t>
        </is>
      </c>
      <c r="J7857" t="inlineStr">
        <is>
          <t>MATRION</t>
        </is>
      </c>
      <c r="L7857">
        <f>_xlfn.XLOOKUP(Tableau1[[#This Row],[TYPE DE PIECE]],Tableau4[MATIERE],Tableau4[SHORT TYPE],"",0,1)</f>
        <v/>
      </c>
      <c r="N7857">
        <f>IF(ISERR(FIND("DECOUPE",Tableau1[[#This Row],[DESIGNATION]])),"","NEED REF")</f>
        <v/>
      </c>
    </row>
    <row r="7858">
      <c r="B7858" t="n">
        <v>34406147</v>
      </c>
      <c r="C7858" s="2" t="n">
        <v>42898</v>
      </c>
      <c r="F7858" t="inlineStr">
        <is>
          <t>MBC GVX</t>
        </is>
      </c>
      <c r="J7858" t="inlineStr">
        <is>
          <t>MATRION</t>
        </is>
      </c>
      <c r="L7858">
        <f>_xlfn.XLOOKUP(Tableau1[[#This Row],[TYPE DE PIECE]],Tableau4[MATIERE],Tableau4[SHORT TYPE],"",0,1)</f>
        <v/>
      </c>
      <c r="N7858">
        <f>IF(ISERR(FIND("DECOUPE",Tableau1[[#This Row],[DESIGNATION]])),"","NEED REF")</f>
        <v/>
      </c>
    </row>
    <row r="7859">
      <c r="B7859" t="n">
        <v>34406146</v>
      </c>
      <c r="C7859" s="2" t="n">
        <v>42898</v>
      </c>
      <c r="F7859" t="inlineStr">
        <is>
          <t>MBC GVX</t>
        </is>
      </c>
      <c r="J7859" t="inlineStr">
        <is>
          <t>MATRION</t>
        </is>
      </c>
      <c r="L7859">
        <f>_xlfn.XLOOKUP(Tableau1[[#This Row],[TYPE DE PIECE]],Tableau4[MATIERE],Tableau4[SHORT TYPE],"",0,1)</f>
        <v/>
      </c>
      <c r="N7859">
        <f>IF(ISERR(FIND("DECOUPE",Tableau1[[#This Row],[DESIGNATION]])),"","NEED REF")</f>
        <v/>
      </c>
    </row>
    <row r="7860">
      <c r="B7860" t="n">
        <v>34406145</v>
      </c>
      <c r="C7860" s="2" t="n">
        <v>42898</v>
      </c>
      <c r="F7860" t="inlineStr">
        <is>
          <t>MBC GVX</t>
        </is>
      </c>
      <c r="J7860" t="inlineStr">
        <is>
          <t>MATRION</t>
        </is>
      </c>
      <c r="L7860">
        <f>_xlfn.XLOOKUP(Tableau1[[#This Row],[TYPE DE PIECE]],Tableau4[MATIERE],Tableau4[SHORT TYPE],"",0,1)</f>
        <v/>
      </c>
      <c r="N7860">
        <f>IF(ISERR(FIND("DECOUPE",Tableau1[[#This Row],[DESIGNATION]])),"","NEED REF")</f>
        <v/>
      </c>
    </row>
    <row r="7861">
      <c r="B7861" t="n">
        <v>34406144</v>
      </c>
      <c r="C7861" s="2" t="n">
        <v>42898</v>
      </c>
      <c r="F7861" t="inlineStr">
        <is>
          <t>MBC GVX</t>
        </is>
      </c>
      <c r="J7861" t="inlineStr">
        <is>
          <t>MATRION</t>
        </is>
      </c>
      <c r="L7861">
        <f>_xlfn.XLOOKUP(Tableau1[[#This Row],[TYPE DE PIECE]],Tableau4[MATIERE],Tableau4[SHORT TYPE],"",0,1)</f>
        <v/>
      </c>
      <c r="N7861">
        <f>IF(ISERR(FIND("DECOUPE",Tableau1[[#This Row],[DESIGNATION]])),"","NEED REF")</f>
        <v/>
      </c>
    </row>
    <row r="7862">
      <c r="B7862" t="n">
        <v>34406143</v>
      </c>
      <c r="C7862" s="2" t="n">
        <v>42898</v>
      </c>
      <c r="F7862" t="inlineStr">
        <is>
          <t>MBC GVX</t>
        </is>
      </c>
      <c r="J7862" t="inlineStr">
        <is>
          <t>MATRION</t>
        </is>
      </c>
      <c r="L7862">
        <f>_xlfn.XLOOKUP(Tableau1[[#This Row],[TYPE DE PIECE]],Tableau4[MATIERE],Tableau4[SHORT TYPE],"",0,1)</f>
        <v/>
      </c>
      <c r="N7862">
        <f>IF(ISERR(FIND("DECOUPE",Tableau1[[#This Row],[DESIGNATION]])),"","NEED REF")</f>
        <v/>
      </c>
    </row>
    <row r="7863">
      <c r="B7863" t="n">
        <v>34406142</v>
      </c>
      <c r="C7863" s="2" t="n">
        <v>42898</v>
      </c>
      <c r="F7863" t="inlineStr">
        <is>
          <t>MBC GVX</t>
        </is>
      </c>
      <c r="J7863" t="inlineStr">
        <is>
          <t>MATRION</t>
        </is>
      </c>
      <c r="L7863">
        <f>_xlfn.XLOOKUP(Tableau1[[#This Row],[TYPE DE PIECE]],Tableau4[MATIERE],Tableau4[SHORT TYPE],"",0,1)</f>
        <v/>
      </c>
      <c r="N7863">
        <f>IF(ISERR(FIND("DECOUPE",Tableau1[[#This Row],[DESIGNATION]])),"","NEED REF")</f>
        <v/>
      </c>
    </row>
    <row r="7864">
      <c r="B7864" t="n">
        <v>34406141</v>
      </c>
      <c r="C7864" s="2" t="n">
        <v>42898</v>
      </c>
      <c r="F7864" t="inlineStr">
        <is>
          <t>MBC GVX</t>
        </is>
      </c>
      <c r="J7864" t="inlineStr">
        <is>
          <t>MATRION</t>
        </is>
      </c>
      <c r="L7864">
        <f>_xlfn.XLOOKUP(Tableau1[[#This Row],[TYPE DE PIECE]],Tableau4[MATIERE],Tableau4[SHORT TYPE],"",0,1)</f>
        <v/>
      </c>
      <c r="N7864">
        <f>IF(ISERR(FIND("DECOUPE",Tableau1[[#This Row],[DESIGNATION]])),"","NEED REF")</f>
        <v/>
      </c>
    </row>
    <row r="7865">
      <c r="B7865" t="n">
        <v>34406140</v>
      </c>
      <c r="C7865" s="2" t="n">
        <v>42898</v>
      </c>
      <c r="F7865" t="inlineStr">
        <is>
          <t>MBC GVX</t>
        </is>
      </c>
      <c r="J7865" t="inlineStr">
        <is>
          <t>MATRION</t>
        </is>
      </c>
      <c r="L7865">
        <f>_xlfn.XLOOKUP(Tableau1[[#This Row],[TYPE DE PIECE]],Tableau4[MATIERE],Tableau4[SHORT TYPE],"",0,1)</f>
        <v/>
      </c>
      <c r="N7865">
        <f>IF(ISERR(FIND("DECOUPE",Tableau1[[#This Row],[DESIGNATION]])),"","NEED REF")</f>
        <v/>
      </c>
    </row>
    <row r="7866">
      <c r="B7866" t="n">
        <v>34406139</v>
      </c>
      <c r="C7866" s="2" t="n">
        <v>42898</v>
      </c>
      <c r="F7866" t="inlineStr">
        <is>
          <t>MBC GVX</t>
        </is>
      </c>
      <c r="J7866" t="inlineStr">
        <is>
          <t>MATRION</t>
        </is>
      </c>
      <c r="L7866">
        <f>_xlfn.XLOOKUP(Tableau1[[#This Row],[TYPE DE PIECE]],Tableau4[MATIERE],Tableau4[SHORT TYPE],"",0,1)</f>
        <v/>
      </c>
      <c r="N7866">
        <f>IF(ISERR(FIND("DECOUPE",Tableau1[[#This Row],[DESIGNATION]])),"","NEED REF")</f>
        <v/>
      </c>
    </row>
    <row r="7867">
      <c r="B7867" t="n">
        <v>34406138</v>
      </c>
      <c r="C7867" s="2" t="n">
        <v>42898</v>
      </c>
      <c r="F7867" t="inlineStr">
        <is>
          <t>MBC GVX</t>
        </is>
      </c>
      <c r="J7867" t="inlineStr">
        <is>
          <t>MATRION</t>
        </is>
      </c>
      <c r="L7867">
        <f>_xlfn.XLOOKUP(Tableau1[[#This Row],[TYPE DE PIECE]],Tableau4[MATIERE],Tableau4[SHORT TYPE],"",0,1)</f>
        <v/>
      </c>
      <c r="N7867">
        <f>IF(ISERR(FIND("DECOUPE",Tableau1[[#This Row],[DESIGNATION]])),"","NEED REF")</f>
        <v/>
      </c>
    </row>
    <row r="7868">
      <c r="B7868" t="n">
        <v>34406137</v>
      </c>
      <c r="C7868" s="2" t="n">
        <v>42898</v>
      </c>
      <c r="F7868" t="inlineStr">
        <is>
          <t>MBC GVX</t>
        </is>
      </c>
      <c r="J7868" t="inlineStr">
        <is>
          <t>MATRION</t>
        </is>
      </c>
      <c r="L7868">
        <f>_xlfn.XLOOKUP(Tableau1[[#This Row],[TYPE DE PIECE]],Tableau4[MATIERE],Tableau4[SHORT TYPE],"",0,1)</f>
        <v/>
      </c>
      <c r="N7868">
        <f>IF(ISERR(FIND("DECOUPE",Tableau1[[#This Row],[DESIGNATION]])),"","NEED REF")</f>
        <v/>
      </c>
    </row>
    <row r="7869">
      <c r="B7869" t="n">
        <v>34406136</v>
      </c>
      <c r="C7869" s="2" t="n">
        <v>42898</v>
      </c>
      <c r="F7869" t="inlineStr">
        <is>
          <t>MBC GVX</t>
        </is>
      </c>
      <c r="J7869" t="inlineStr">
        <is>
          <t>MATRION</t>
        </is>
      </c>
      <c r="L7869">
        <f>_xlfn.XLOOKUP(Tableau1[[#This Row],[TYPE DE PIECE]],Tableau4[MATIERE],Tableau4[SHORT TYPE],"",0,1)</f>
        <v/>
      </c>
      <c r="N7869">
        <f>IF(ISERR(FIND("DECOUPE",Tableau1[[#This Row],[DESIGNATION]])),"","NEED REF")</f>
        <v/>
      </c>
    </row>
    <row r="7870">
      <c r="B7870" t="n">
        <v>34406135</v>
      </c>
      <c r="C7870" s="2" t="n">
        <v>42898</v>
      </c>
      <c r="E7870" t="inlineStr">
        <is>
          <t>TOIT MBC CABLES</t>
        </is>
      </c>
      <c r="F7870" t="inlineStr">
        <is>
          <t>MBC GVX</t>
        </is>
      </c>
      <c r="J7870" t="inlineStr">
        <is>
          <t>MATRION</t>
        </is>
      </c>
      <c r="K7870" t="inlineStr">
        <is>
          <t>TÖLERIE</t>
        </is>
      </c>
      <c r="L7870">
        <f>_xlfn.XLOOKUP(Tableau1[[#This Row],[TYPE DE PIECE]],Tableau4[MATIERE],Tableau4[SHORT TYPE],"",0,1)</f>
        <v/>
      </c>
      <c r="N7870">
        <f>IF(ISERR(FIND("DECOUPE",Tableau1[[#This Row],[DESIGNATION]])),"","NEED REF")</f>
        <v/>
      </c>
    </row>
    <row r="7871">
      <c r="B7871" t="n">
        <v>34406134</v>
      </c>
      <c r="C7871" s="2" t="n">
        <v>42898</v>
      </c>
      <c r="F7871" t="inlineStr">
        <is>
          <t>MBC GVX</t>
        </is>
      </c>
      <c r="J7871" t="inlineStr">
        <is>
          <t>MATRION</t>
        </is>
      </c>
      <c r="L7871">
        <f>_xlfn.XLOOKUP(Tableau1[[#This Row],[TYPE DE PIECE]],Tableau4[MATIERE],Tableau4[SHORT TYPE],"",0,1)</f>
        <v/>
      </c>
      <c r="N7871">
        <f>IF(ISERR(FIND("DECOUPE",Tableau1[[#This Row],[DESIGNATION]])),"","NEED REF")</f>
        <v/>
      </c>
    </row>
    <row r="7872">
      <c r="B7872" t="n">
        <v>34406133</v>
      </c>
      <c r="C7872" s="2" t="n">
        <v>42898</v>
      </c>
      <c r="F7872" t="inlineStr">
        <is>
          <t>MBC GVX</t>
        </is>
      </c>
      <c r="J7872" t="inlineStr">
        <is>
          <t>MATRION</t>
        </is>
      </c>
      <c r="L7872">
        <f>_xlfn.XLOOKUP(Tableau1[[#This Row],[TYPE DE PIECE]],Tableau4[MATIERE],Tableau4[SHORT TYPE],"",0,1)</f>
        <v/>
      </c>
      <c r="N7872">
        <f>IF(ISERR(FIND("DECOUPE",Tableau1[[#This Row],[DESIGNATION]])),"","NEED REF")</f>
        <v/>
      </c>
    </row>
    <row r="7873">
      <c r="B7873" t="n">
        <v>34406132</v>
      </c>
      <c r="C7873" s="2" t="n">
        <v>42898</v>
      </c>
      <c r="F7873" t="inlineStr">
        <is>
          <t>MBC GVX</t>
        </is>
      </c>
      <c r="J7873" t="inlineStr">
        <is>
          <t>MATRION</t>
        </is>
      </c>
      <c r="L7873">
        <f>_xlfn.XLOOKUP(Tableau1[[#This Row],[TYPE DE PIECE]],Tableau4[MATIERE],Tableau4[SHORT TYPE],"",0,1)</f>
        <v/>
      </c>
      <c r="N7873">
        <f>IF(ISERR(FIND("DECOUPE",Tableau1[[#This Row],[DESIGNATION]])),"","NEED REF")</f>
        <v/>
      </c>
    </row>
    <row r="7874">
      <c r="B7874" t="n">
        <v>34406131</v>
      </c>
      <c r="C7874" s="2" t="n">
        <v>42898</v>
      </c>
      <c r="F7874" t="inlineStr">
        <is>
          <t>MBC GVX</t>
        </is>
      </c>
      <c r="J7874" t="inlineStr">
        <is>
          <t>MATRION</t>
        </is>
      </c>
      <c r="L7874">
        <f>_xlfn.XLOOKUP(Tableau1[[#This Row],[TYPE DE PIECE]],Tableau4[MATIERE],Tableau4[SHORT TYPE],"",0,1)</f>
        <v/>
      </c>
      <c r="N7874">
        <f>IF(ISERR(FIND("DECOUPE",Tableau1[[#This Row],[DESIGNATION]])),"","NEED REF")</f>
        <v/>
      </c>
    </row>
    <row r="7875">
      <c r="B7875" t="n">
        <v>34406130</v>
      </c>
      <c r="C7875" s="2" t="n">
        <v>42898</v>
      </c>
      <c r="F7875" t="inlineStr">
        <is>
          <t>MBC GVX</t>
        </is>
      </c>
      <c r="J7875" t="inlineStr">
        <is>
          <t>MATRION</t>
        </is>
      </c>
      <c r="L7875">
        <f>_xlfn.XLOOKUP(Tableau1[[#This Row],[TYPE DE PIECE]],Tableau4[MATIERE],Tableau4[SHORT TYPE],"",0,1)</f>
        <v/>
      </c>
      <c r="N7875">
        <f>IF(ISERR(FIND("DECOUPE",Tableau1[[#This Row],[DESIGNATION]])),"","NEED REF")</f>
        <v/>
      </c>
    </row>
    <row r="7876">
      <c r="B7876" t="n">
        <v>34406129</v>
      </c>
      <c r="C7876" s="2" t="n">
        <v>42898</v>
      </c>
      <c r="F7876" t="inlineStr">
        <is>
          <t>MBC GVX</t>
        </is>
      </c>
      <c r="J7876" t="inlineStr">
        <is>
          <t>MATRION</t>
        </is>
      </c>
      <c r="L7876">
        <f>_xlfn.XLOOKUP(Tableau1[[#This Row],[TYPE DE PIECE]],Tableau4[MATIERE],Tableau4[SHORT TYPE],"",0,1)</f>
        <v/>
      </c>
      <c r="N7876">
        <f>IF(ISERR(FIND("DECOUPE",Tableau1[[#This Row],[DESIGNATION]])),"","NEED REF")</f>
        <v/>
      </c>
    </row>
    <row r="7877">
      <c r="B7877" t="n">
        <v>34406128</v>
      </c>
      <c r="C7877" s="2" t="n">
        <v>42898</v>
      </c>
      <c r="F7877" t="inlineStr">
        <is>
          <t>MBC GVX</t>
        </is>
      </c>
      <c r="J7877" t="inlineStr">
        <is>
          <t>MATRION</t>
        </is>
      </c>
      <c r="L7877">
        <f>_xlfn.XLOOKUP(Tableau1[[#This Row],[TYPE DE PIECE]],Tableau4[MATIERE],Tableau4[SHORT TYPE],"",0,1)</f>
        <v/>
      </c>
      <c r="N7877">
        <f>IF(ISERR(FIND("DECOUPE",Tableau1[[#This Row],[DESIGNATION]])),"","NEED REF")</f>
        <v/>
      </c>
    </row>
    <row r="7878">
      <c r="B7878" t="n">
        <v>34406127</v>
      </c>
      <c r="C7878" s="2" t="n">
        <v>42898</v>
      </c>
      <c r="F7878" t="inlineStr">
        <is>
          <t>MBC GVX</t>
        </is>
      </c>
      <c r="J7878" t="inlineStr">
        <is>
          <t>MATRION</t>
        </is>
      </c>
      <c r="L7878">
        <f>_xlfn.XLOOKUP(Tableau1[[#This Row],[TYPE DE PIECE]],Tableau4[MATIERE],Tableau4[SHORT TYPE],"",0,1)</f>
        <v/>
      </c>
      <c r="N7878">
        <f>IF(ISERR(FIND("DECOUPE",Tableau1[[#This Row],[DESIGNATION]])),"","NEED REF")</f>
        <v/>
      </c>
    </row>
    <row r="7879">
      <c r="B7879" t="n">
        <v>34406126</v>
      </c>
      <c r="C7879" s="2" t="n">
        <v>42898</v>
      </c>
      <c r="F7879" t="inlineStr">
        <is>
          <t>MBC GVX</t>
        </is>
      </c>
      <c r="J7879" t="inlineStr">
        <is>
          <t>MATRION</t>
        </is>
      </c>
      <c r="L7879">
        <f>_xlfn.XLOOKUP(Tableau1[[#This Row],[TYPE DE PIECE]],Tableau4[MATIERE],Tableau4[SHORT TYPE],"",0,1)</f>
        <v/>
      </c>
      <c r="N7879">
        <f>IF(ISERR(FIND("DECOUPE",Tableau1[[#This Row],[DESIGNATION]])),"","NEED REF")</f>
        <v/>
      </c>
    </row>
    <row r="7880">
      <c r="B7880" t="n">
        <v>34406125</v>
      </c>
      <c r="C7880" s="2" t="n">
        <v>42898</v>
      </c>
      <c r="F7880" t="inlineStr">
        <is>
          <t>MBC GVX</t>
        </is>
      </c>
      <c r="J7880" t="inlineStr">
        <is>
          <t>MATRION</t>
        </is>
      </c>
      <c r="L7880">
        <f>_xlfn.XLOOKUP(Tableau1[[#This Row],[TYPE DE PIECE]],Tableau4[MATIERE],Tableau4[SHORT TYPE],"",0,1)</f>
        <v/>
      </c>
      <c r="N7880">
        <f>IF(ISERR(FIND("DECOUPE",Tableau1[[#This Row],[DESIGNATION]])),"","NEED REF")</f>
        <v/>
      </c>
    </row>
    <row r="7881">
      <c r="B7881" t="n">
        <v>34406124</v>
      </c>
      <c r="C7881" s="2" t="n">
        <v>42898</v>
      </c>
      <c r="F7881" t="inlineStr">
        <is>
          <t>MBC GVX</t>
        </is>
      </c>
      <c r="J7881" t="inlineStr">
        <is>
          <t>MATRION</t>
        </is>
      </c>
      <c r="L7881">
        <f>_xlfn.XLOOKUP(Tableau1[[#This Row],[TYPE DE PIECE]],Tableau4[MATIERE],Tableau4[SHORT TYPE],"",0,1)</f>
        <v/>
      </c>
      <c r="N7881">
        <f>IF(ISERR(FIND("DECOUPE",Tableau1[[#This Row],[DESIGNATION]])),"","NEED REF")</f>
        <v/>
      </c>
    </row>
    <row r="7882">
      <c r="B7882" t="n">
        <v>34406123</v>
      </c>
      <c r="C7882" s="2" t="n">
        <v>42898</v>
      </c>
      <c r="F7882" t="inlineStr">
        <is>
          <t>MBC GVX</t>
        </is>
      </c>
      <c r="J7882" t="inlineStr">
        <is>
          <t>MATRION</t>
        </is>
      </c>
      <c r="L7882">
        <f>_xlfn.XLOOKUP(Tableau1[[#This Row],[TYPE DE PIECE]],Tableau4[MATIERE],Tableau4[SHORT TYPE],"",0,1)</f>
        <v/>
      </c>
      <c r="N7882">
        <f>IF(ISERR(FIND("DECOUPE",Tableau1[[#This Row],[DESIGNATION]])),"","NEED REF")</f>
        <v/>
      </c>
    </row>
    <row r="7883">
      <c r="B7883" t="n">
        <v>34406122</v>
      </c>
      <c r="C7883" s="2" t="n">
        <v>42898</v>
      </c>
      <c r="F7883" t="inlineStr">
        <is>
          <t>MBC GVX</t>
        </is>
      </c>
      <c r="J7883" t="inlineStr">
        <is>
          <t>MATRION</t>
        </is>
      </c>
      <c r="L7883">
        <f>_xlfn.XLOOKUP(Tableau1[[#This Row],[TYPE DE PIECE]],Tableau4[MATIERE],Tableau4[SHORT TYPE],"",0,1)</f>
        <v/>
      </c>
      <c r="N7883">
        <f>IF(ISERR(FIND("DECOUPE",Tableau1[[#This Row],[DESIGNATION]])),"","NEED REF")</f>
        <v/>
      </c>
    </row>
    <row r="7884">
      <c r="B7884" t="n">
        <v>34406121</v>
      </c>
      <c r="C7884" s="2" t="n">
        <v>42898</v>
      </c>
      <c r="F7884" t="inlineStr">
        <is>
          <t>MBC GVX</t>
        </is>
      </c>
      <c r="J7884" t="inlineStr">
        <is>
          <t>MATRION</t>
        </is>
      </c>
      <c r="L7884">
        <f>_xlfn.XLOOKUP(Tableau1[[#This Row],[TYPE DE PIECE]],Tableau4[MATIERE],Tableau4[SHORT TYPE],"",0,1)</f>
        <v/>
      </c>
      <c r="N7884">
        <f>IF(ISERR(FIND("DECOUPE",Tableau1[[#This Row],[DESIGNATION]])),"","NEED REF")</f>
        <v/>
      </c>
    </row>
    <row r="7885">
      <c r="B7885" t="n">
        <v>34406120</v>
      </c>
      <c r="C7885" s="2" t="n">
        <v>42898</v>
      </c>
      <c r="F7885" t="inlineStr">
        <is>
          <t>MBC GVX</t>
        </is>
      </c>
      <c r="J7885" t="inlineStr">
        <is>
          <t>MATRION</t>
        </is>
      </c>
      <c r="L7885">
        <f>_xlfn.XLOOKUP(Tableau1[[#This Row],[TYPE DE PIECE]],Tableau4[MATIERE],Tableau4[SHORT TYPE],"",0,1)</f>
        <v/>
      </c>
      <c r="N7885">
        <f>IF(ISERR(FIND("DECOUPE",Tableau1[[#This Row],[DESIGNATION]])),"","NEED REF")</f>
        <v/>
      </c>
    </row>
    <row r="7886">
      <c r="B7886" t="n">
        <v>34406119</v>
      </c>
      <c r="C7886" s="2" t="n">
        <v>42898</v>
      </c>
      <c r="F7886" t="inlineStr">
        <is>
          <t>MBC GVX</t>
        </is>
      </c>
      <c r="J7886" t="inlineStr">
        <is>
          <t>MATRION</t>
        </is>
      </c>
      <c r="L7886">
        <f>_xlfn.XLOOKUP(Tableau1[[#This Row],[TYPE DE PIECE]],Tableau4[MATIERE],Tableau4[SHORT TYPE],"",0,1)</f>
        <v/>
      </c>
      <c r="N7886">
        <f>IF(ISERR(FIND("DECOUPE",Tableau1[[#This Row],[DESIGNATION]])),"","NEED REF")</f>
        <v/>
      </c>
    </row>
    <row r="7887">
      <c r="B7887" t="n">
        <v>34406118</v>
      </c>
      <c r="C7887" s="2" t="n">
        <v>42898</v>
      </c>
      <c r="F7887" t="inlineStr">
        <is>
          <t>MBC GVX</t>
        </is>
      </c>
      <c r="J7887" t="inlineStr">
        <is>
          <t>MATRION</t>
        </is>
      </c>
      <c r="L7887">
        <f>_xlfn.XLOOKUP(Tableau1[[#This Row],[TYPE DE PIECE]],Tableau4[MATIERE],Tableau4[SHORT TYPE],"",0,1)</f>
        <v/>
      </c>
      <c r="N7887">
        <f>IF(ISERR(FIND("DECOUPE",Tableau1[[#This Row],[DESIGNATION]])),"","NEED REF")</f>
        <v/>
      </c>
    </row>
    <row r="7888">
      <c r="B7888" t="n">
        <v>34406117</v>
      </c>
      <c r="C7888" s="2" t="n">
        <v>42898</v>
      </c>
      <c r="D7888" t="inlineStr">
        <is>
          <t>SPEC</t>
        </is>
      </c>
      <c r="E7888" t="inlineStr">
        <is>
          <t>CX RACCORDEMENT CLIENT</t>
        </is>
      </c>
      <c r="F7888" t="inlineStr">
        <is>
          <t>MBC GVX</t>
        </is>
      </c>
      <c r="J7888" t="inlineStr">
        <is>
          <t>MATRION</t>
        </is>
      </c>
      <c r="K7888" t="inlineStr">
        <is>
          <t>CUIVRE</t>
        </is>
      </c>
      <c r="L7888">
        <f>_xlfn.XLOOKUP(Tableau1[[#This Row],[TYPE DE PIECE]],Tableau4[MATIERE],Tableau4[SHORT TYPE],"",0,1)</f>
        <v/>
      </c>
      <c r="N7888">
        <f>IF(ISERR(FIND("DECOUPE",Tableau1[[#This Row],[DESIGNATION]])),"","NEED REF")</f>
        <v/>
      </c>
    </row>
    <row r="7889">
      <c r="B7889" t="n">
        <v>34406116</v>
      </c>
      <c r="C7889" s="2" t="n">
        <v>42898</v>
      </c>
      <c r="F7889" t="inlineStr">
        <is>
          <t>MBC GVX</t>
        </is>
      </c>
      <c r="J7889" t="inlineStr">
        <is>
          <t>MATRION</t>
        </is>
      </c>
      <c r="L7889">
        <f>_xlfn.XLOOKUP(Tableau1[[#This Row],[TYPE DE PIECE]],Tableau4[MATIERE],Tableau4[SHORT TYPE],"",0,1)</f>
        <v/>
      </c>
      <c r="N7889">
        <f>IF(ISERR(FIND("DECOUPE",Tableau1[[#This Row],[DESIGNATION]])),"","NEED REF")</f>
        <v/>
      </c>
    </row>
    <row r="7890">
      <c r="B7890" t="n">
        <v>34406115</v>
      </c>
      <c r="C7890" s="2" t="n">
        <v>42898</v>
      </c>
      <c r="F7890" t="inlineStr">
        <is>
          <t>MBC GVX</t>
        </is>
      </c>
      <c r="J7890" t="inlineStr">
        <is>
          <t>MATRION</t>
        </is>
      </c>
      <c r="L7890">
        <f>_xlfn.XLOOKUP(Tableau1[[#This Row],[TYPE DE PIECE]],Tableau4[MATIERE],Tableau4[SHORT TYPE],"",0,1)</f>
        <v/>
      </c>
      <c r="N7890">
        <f>IF(ISERR(FIND("DECOUPE",Tableau1[[#This Row],[DESIGNATION]])),"","NEED REF")</f>
        <v/>
      </c>
    </row>
    <row r="7891">
      <c r="B7891" t="n">
        <v>34406114</v>
      </c>
      <c r="C7891" s="2" t="n">
        <v>42895</v>
      </c>
      <c r="E7891" t="inlineStr">
        <is>
          <t>Devis coffret sarel</t>
        </is>
      </c>
      <c r="J7891" t="inlineStr">
        <is>
          <t>DUBOIS</t>
        </is>
      </c>
      <c r="L7891">
        <f>_xlfn.XLOOKUP(Tableau1[[#This Row],[TYPE DE PIECE]],Tableau4[MATIERE],Tableau4[SHORT TYPE],"",0,1)</f>
        <v/>
      </c>
      <c r="N7891">
        <f>IF(ISERR(FIND("DECOUPE",Tableau1[[#This Row],[DESIGNATION]])),"","NEED REF")</f>
        <v/>
      </c>
    </row>
    <row r="7892">
      <c r="B7892" t="n">
        <v>34406113</v>
      </c>
      <c r="C7892" s="2" t="n">
        <v>42893</v>
      </c>
      <c r="E7892" t="inlineStr">
        <is>
          <t>Sous ensemble NSX630</t>
        </is>
      </c>
      <c r="F7892" t="inlineStr">
        <is>
          <t>BBC</t>
        </is>
      </c>
      <c r="J7892" t="inlineStr">
        <is>
          <t>DUBOIS</t>
        </is>
      </c>
      <c r="L7892">
        <f>_xlfn.XLOOKUP(Tableau1[[#This Row],[TYPE DE PIECE]],Tableau4[MATIERE],Tableau4[SHORT TYPE],"",0,1)</f>
        <v/>
      </c>
      <c r="N7892">
        <f>IF(ISERR(FIND("DECOUPE",Tableau1[[#This Row],[DESIGNATION]])),"","NEED REF")</f>
        <v/>
      </c>
    </row>
    <row r="7893">
      <c r="B7893" t="n">
        <v>34406112</v>
      </c>
      <c r="C7893" s="2" t="n">
        <v>42954</v>
      </c>
      <c r="E7893" t="inlineStr">
        <is>
          <t>Sous ensemble cartes électronique</t>
        </is>
      </c>
      <c r="F7893" t="inlineStr">
        <is>
          <t>BBC</t>
        </is>
      </c>
      <c r="J7893" t="inlineStr">
        <is>
          <t>DUBOIS</t>
        </is>
      </c>
      <c r="L7893">
        <f>_xlfn.XLOOKUP(Tableau1[[#This Row],[TYPE DE PIECE]],Tableau4[MATIERE],Tableau4[SHORT TYPE],"",0,1)</f>
        <v/>
      </c>
      <c r="N7893">
        <f>IF(ISERR(FIND("DECOUPE",Tableau1[[#This Row],[DESIGNATION]])),"","NEED REF")</f>
        <v/>
      </c>
    </row>
    <row r="7894">
      <c r="B7894" t="n">
        <v>34406111</v>
      </c>
      <c r="C7894" s="2" t="n">
        <v>42870</v>
      </c>
      <c r="D7894" t="inlineStr">
        <is>
          <t>SPEC</t>
        </is>
      </c>
      <c r="E7894" t="inlineStr">
        <is>
          <t>PLASTRON IC60</t>
        </is>
      </c>
      <c r="F7894" t="inlineStr">
        <is>
          <t>BYPASS ST CECILE</t>
        </is>
      </c>
      <c r="J7894" t="inlineStr">
        <is>
          <t>MATRION</t>
        </is>
      </c>
      <c r="L7894">
        <f>_xlfn.XLOOKUP(Tableau1[[#This Row],[TYPE DE PIECE]],Tableau4[MATIERE],Tableau4[SHORT TYPE],"",0,1)</f>
        <v/>
      </c>
      <c r="N7894">
        <f>IF(ISERR(FIND("DECOUPE",Tableau1[[#This Row],[DESIGNATION]])),"","NEED REF")</f>
        <v/>
      </c>
    </row>
    <row r="7895">
      <c r="B7895" t="n">
        <v>34406110</v>
      </c>
      <c r="C7895" s="2" t="n">
        <v>42892</v>
      </c>
      <c r="D7895" t="inlineStr">
        <is>
          <t>SPEC</t>
        </is>
      </c>
      <c r="E7895" t="inlineStr">
        <is>
          <t xml:space="preserve">SUPPORT RAIL REGLABLE </t>
        </is>
      </c>
      <c r="F7895" t="inlineStr">
        <is>
          <t>MBC 1500kVA GVX</t>
        </is>
      </c>
      <c r="J7895" t="inlineStr">
        <is>
          <t>MATRION</t>
        </is>
      </c>
      <c r="K7895" t="inlineStr">
        <is>
          <t>TÖLERIE</t>
        </is>
      </c>
      <c r="L7895">
        <f>_xlfn.XLOOKUP(Tableau1[[#This Row],[TYPE DE PIECE]],Tableau4[MATIERE],Tableau4[SHORT TYPE],"",0,1)</f>
        <v/>
      </c>
      <c r="N7895">
        <f>IF(ISERR(FIND("DECOUPE",Tableau1[[#This Row],[DESIGNATION]])),"","NEED REF")</f>
        <v/>
      </c>
    </row>
    <row r="7896">
      <c r="B7896" t="n">
        <v>34406109</v>
      </c>
      <c r="C7896" s="2" t="n">
        <v>42892</v>
      </c>
      <c r="D7896" t="inlineStr">
        <is>
          <t>SPEC</t>
        </is>
      </c>
      <c r="E7896" t="inlineStr">
        <is>
          <t>SUPPORT VOYANT</t>
        </is>
      </c>
      <c r="F7896" t="inlineStr">
        <is>
          <t>MBC 1500kVA GVX</t>
        </is>
      </c>
      <c r="J7896" t="inlineStr">
        <is>
          <t>MATRION</t>
        </is>
      </c>
      <c r="K7896" t="inlineStr">
        <is>
          <t>TÖLERIE</t>
        </is>
      </c>
      <c r="L7896">
        <f>_xlfn.XLOOKUP(Tableau1[[#This Row],[TYPE DE PIECE]],Tableau4[MATIERE],Tableau4[SHORT TYPE],"",0,1)</f>
        <v/>
      </c>
      <c r="N7896">
        <f>IF(ISERR(FIND("DECOUPE",Tableau1[[#This Row],[DESIGNATION]])),"","NEED REF")</f>
        <v/>
      </c>
    </row>
    <row r="7897">
      <c r="B7897" t="n">
        <v>34406108</v>
      </c>
      <c r="C7897" s="2" t="n">
        <v>42877</v>
      </c>
      <c r="D7897" t="inlineStr">
        <is>
          <t>SPEC</t>
        </is>
      </c>
      <c r="E7897" t="inlineStr">
        <is>
          <t>6x CABLE PE 95mm2</t>
        </is>
      </c>
      <c r="F7897" t="inlineStr">
        <is>
          <t>BBC 1500kVA</t>
        </is>
      </c>
      <c r="J7897" t="inlineStr">
        <is>
          <t>MATRION</t>
        </is>
      </c>
      <c r="L7897">
        <f>_xlfn.XLOOKUP(Tableau1[[#This Row],[TYPE DE PIECE]],Tableau4[MATIERE],Tableau4[SHORT TYPE],"",0,1)</f>
        <v/>
      </c>
      <c r="N7897">
        <f>IF(ISERR(FIND("DECOUPE",Tableau1[[#This Row],[DESIGNATION]])),"","NEED REF")</f>
        <v/>
      </c>
    </row>
    <row r="7898">
      <c r="B7898" t="n">
        <v>34406107</v>
      </c>
      <c r="C7898" s="2" t="n">
        <v>42877</v>
      </c>
      <c r="D7898" t="inlineStr">
        <is>
          <t>SPEC</t>
        </is>
      </c>
      <c r="E7898" t="inlineStr">
        <is>
          <t>CALE 30x30 EP5 1HOLE</t>
        </is>
      </c>
      <c r="F7898" t="inlineStr">
        <is>
          <t>STS800A</t>
        </is>
      </c>
      <c r="J7898" t="inlineStr">
        <is>
          <t>MATRION</t>
        </is>
      </c>
      <c r="L7898">
        <f>_xlfn.XLOOKUP(Tableau1[[#This Row],[TYPE DE PIECE]],Tableau4[MATIERE],Tableau4[SHORT TYPE],"",0,1)</f>
        <v/>
      </c>
      <c r="N7898">
        <f>IF(ISERR(FIND("DECOUPE",Tableau1[[#This Row],[DESIGNATION]])),"","NEED REF")</f>
        <v/>
      </c>
    </row>
    <row r="7899">
      <c r="B7899" t="n">
        <v>34406106</v>
      </c>
      <c r="C7899" s="2" t="n">
        <v>42877</v>
      </c>
      <c r="D7899" t="inlineStr">
        <is>
          <t>SPEC</t>
        </is>
      </c>
      <c r="E7899" t="inlineStr">
        <is>
          <t>LIAISON LEM BARRE SOUPLE</t>
        </is>
      </c>
      <c r="F7899" t="inlineStr">
        <is>
          <t>STS800A</t>
        </is>
      </c>
      <c r="J7899" t="inlineStr">
        <is>
          <t>MATRION</t>
        </is>
      </c>
      <c r="L7899">
        <f>_xlfn.XLOOKUP(Tableau1[[#This Row],[TYPE DE PIECE]],Tableau4[MATIERE],Tableau4[SHORT TYPE],"",0,1)</f>
        <v/>
      </c>
      <c r="N7899">
        <f>IF(ISERR(FIND("DECOUPE",Tableau1[[#This Row],[DESIGNATION]])),"","NEED REF")</f>
        <v/>
      </c>
    </row>
    <row r="7900">
      <c r="B7900" t="n">
        <v>34406105</v>
      </c>
      <c r="C7900" s="2" t="n">
        <v>42873</v>
      </c>
      <c r="D7900" t="inlineStr">
        <is>
          <t>SPEC</t>
        </is>
      </c>
      <c r="E7900" t="inlineStr">
        <is>
          <t>PLASTRON NSX630 L=400</t>
        </is>
      </c>
      <c r="F7900" t="inlineStr">
        <is>
          <t>G7K G5K GAINE 400</t>
        </is>
      </c>
      <c r="J7900" t="inlineStr">
        <is>
          <t>ÇAKIR</t>
        </is>
      </c>
      <c r="L7900">
        <f>_xlfn.XLOOKUP(Tableau1[[#This Row],[TYPE DE PIECE]],Tableau4[MATIERE],Tableau4[SHORT TYPE],"",0,1)</f>
        <v/>
      </c>
      <c r="N7900">
        <f>IF(ISERR(FIND("DECOUPE",Tableau1[[#This Row],[DESIGNATION]])),"","NEED REF")</f>
        <v/>
      </c>
    </row>
    <row r="7901">
      <c r="B7901" t="n">
        <v>34406104</v>
      </c>
      <c r="C7901" s="2" t="n">
        <v>42873</v>
      </c>
      <c r="D7901" t="inlineStr">
        <is>
          <t>SPEC</t>
        </is>
      </c>
      <c r="E7901" t="inlineStr">
        <is>
          <t>SUPPORT NSX630 L=400</t>
        </is>
      </c>
      <c r="F7901" t="inlineStr">
        <is>
          <t>G7K G5K GAINE 400</t>
        </is>
      </c>
      <c r="J7901" t="inlineStr">
        <is>
          <t>ÇAKIR</t>
        </is>
      </c>
      <c r="L7901">
        <f>_xlfn.XLOOKUP(Tableau1[[#This Row],[TYPE DE PIECE]],Tableau4[MATIERE],Tableau4[SHORT TYPE],"",0,1)</f>
        <v/>
      </c>
      <c r="N7901">
        <f>IF(ISERR(FIND("DECOUPE",Tableau1[[#This Row],[DESIGNATION]])),"","NEED REF")</f>
        <v/>
      </c>
    </row>
    <row r="7902">
      <c r="B7902" t="n">
        <v>34406103</v>
      </c>
      <c r="C7902" s="2" t="n">
        <v>42870</v>
      </c>
      <c r="D7902" t="inlineStr">
        <is>
          <t>SPEC</t>
        </is>
      </c>
      <c r="E7902" t="inlineStr">
        <is>
          <t>SUPPORT VOYANT</t>
        </is>
      </c>
      <c r="F7902" t="inlineStr">
        <is>
          <t>BYPASS ST CECILE</t>
        </is>
      </c>
      <c r="L7902">
        <f>_xlfn.XLOOKUP(Tableau1[[#This Row],[TYPE DE PIECE]],Tableau4[MATIERE],Tableau4[SHORT TYPE],"",0,1)</f>
        <v/>
      </c>
      <c r="N7902">
        <f>IF(ISERR(FIND("DECOUPE",Tableau1[[#This Row],[DESIGNATION]])),"","NEED REF")</f>
        <v/>
      </c>
    </row>
    <row r="7903">
      <c r="B7903" t="n">
        <v>34406102</v>
      </c>
      <c r="C7903" s="2" t="n">
        <v>42870</v>
      </c>
      <c r="D7903" t="inlineStr">
        <is>
          <t>SPEC</t>
        </is>
      </c>
      <c r="E7903" t="inlineStr">
        <is>
          <t>PLASTRON NSX</t>
        </is>
      </c>
      <c r="F7903" t="inlineStr">
        <is>
          <t>BYPASS ST CECILE</t>
        </is>
      </c>
      <c r="L7903">
        <f>_xlfn.XLOOKUP(Tableau1[[#This Row],[TYPE DE PIECE]],Tableau4[MATIERE],Tableau4[SHORT TYPE],"",0,1)</f>
        <v/>
      </c>
      <c r="N7903">
        <f>IF(ISERR(FIND("DECOUPE",Tableau1[[#This Row],[DESIGNATION]])),"","NEED REF")</f>
        <v/>
      </c>
    </row>
    <row r="7904">
      <c r="B7904" t="n">
        <v>34406101</v>
      </c>
      <c r="C7904" s="2" t="n">
        <v>42870</v>
      </c>
      <c r="D7904" t="inlineStr">
        <is>
          <t>SPEC</t>
        </is>
      </c>
      <c r="E7904" t="inlineStr">
        <is>
          <t>PLASTRON IC60</t>
        </is>
      </c>
      <c r="F7904" t="inlineStr">
        <is>
          <t>BYPASS ST CECILE</t>
        </is>
      </c>
      <c r="L7904">
        <f>_xlfn.XLOOKUP(Tableau1[[#This Row],[TYPE DE PIECE]],Tableau4[MATIERE],Tableau4[SHORT TYPE],"",0,1)</f>
        <v/>
      </c>
      <c r="N7904">
        <f>IF(ISERR(FIND("DECOUPE",Tableau1[[#This Row],[DESIGNATION]])),"","NEED REF")</f>
        <v/>
      </c>
    </row>
    <row r="7905">
      <c r="B7905" t="n">
        <v>34406100</v>
      </c>
      <c r="C7905" s="2" t="n">
        <v>42870</v>
      </c>
      <c r="D7905" t="inlineStr">
        <is>
          <t>SPEC</t>
        </is>
      </c>
      <c r="E7905" t="inlineStr">
        <is>
          <t>FIXATION CABLES BYPASS 700</t>
        </is>
      </c>
      <c r="F7905" t="inlineStr">
        <is>
          <t>BYPASS ST CECILE</t>
        </is>
      </c>
      <c r="L7905">
        <f>_xlfn.XLOOKUP(Tableau1[[#This Row],[TYPE DE PIECE]],Tableau4[MATIERE],Tableau4[SHORT TYPE],"",0,1)</f>
        <v/>
      </c>
      <c r="N7905">
        <f>IF(ISERR(FIND("DECOUPE",Tableau1[[#This Row],[DESIGNATION]])),"","NEED REF")</f>
        <v/>
      </c>
    </row>
    <row r="7906">
      <c r="B7906" t="n">
        <v>34406099</v>
      </c>
      <c r="C7906" s="2" t="n">
        <v>42870</v>
      </c>
      <c r="D7906" t="inlineStr">
        <is>
          <t>SPEC</t>
        </is>
      </c>
      <c r="E7906" t="inlineStr">
        <is>
          <t>PLATINE BYPASS 2xNSX3P + TFO 1xNSX3P+1xNSX4P</t>
        </is>
      </c>
      <c r="F7906" t="inlineStr">
        <is>
          <t>BYPASS ST CECILE</t>
        </is>
      </c>
      <c r="J7906" t="inlineStr">
        <is>
          <t>MATRION</t>
        </is>
      </c>
      <c r="L7906">
        <f>_xlfn.XLOOKUP(Tableau1[[#This Row],[TYPE DE PIECE]],Tableau4[MATIERE],Tableau4[SHORT TYPE],"",0,1)</f>
        <v/>
      </c>
      <c r="N7906">
        <f>IF(ISERR(FIND("DECOUPE",Tableau1[[#This Row],[DESIGNATION]])),"","NEED REF")</f>
        <v/>
      </c>
    </row>
    <row r="7907">
      <c r="B7907" t="n">
        <v>34406098</v>
      </c>
      <c r="C7907" s="2" t="n">
        <v>42867</v>
      </c>
      <c r="E7907" t="inlineStr">
        <is>
          <t>SURTOIT IP32 AIOB</t>
        </is>
      </c>
      <c r="F7907" t="inlineStr">
        <is>
          <t>G5500</t>
        </is>
      </c>
      <c r="J7907" t="inlineStr">
        <is>
          <t>ROBERT</t>
        </is>
      </c>
      <c r="L7907">
        <f>_xlfn.XLOOKUP(Tableau1[[#This Row],[TYPE DE PIECE]],Tableau4[MATIERE],Tableau4[SHORT TYPE],"",0,1)</f>
        <v/>
      </c>
      <c r="N7907">
        <f>IF(ISERR(FIND("DECOUPE",Tableau1[[#This Row],[DESIGNATION]])),"","NEED REF")</f>
        <v/>
      </c>
    </row>
    <row r="7908">
      <c r="B7908" t="n">
        <v>34406097</v>
      </c>
      <c r="C7908" s="2" t="n">
        <v>42867</v>
      </c>
      <c r="E7908" t="inlineStr">
        <is>
          <t>6x CABLE PE 95mm2</t>
        </is>
      </c>
      <c r="F7908" t="inlineStr">
        <is>
          <t>DATA4</t>
        </is>
      </c>
      <c r="J7908" t="inlineStr">
        <is>
          <t>MATRION</t>
        </is>
      </c>
      <c r="K7908" t="inlineStr">
        <is>
          <t>CABLE</t>
        </is>
      </c>
      <c r="L7908">
        <f>_xlfn.XLOOKUP(Tableau1[[#This Row],[TYPE DE PIECE]],Tableau4[MATIERE],Tableau4[SHORT TYPE],"",0,1)</f>
        <v/>
      </c>
      <c r="N7908">
        <f>IF(ISERR(FIND("DECOUPE",Tableau1[[#This Row],[DESIGNATION]])),"","NEED REF")</f>
        <v/>
      </c>
    </row>
    <row r="7909">
      <c r="B7909" t="n">
        <v>34406096</v>
      </c>
      <c r="C7909" s="2" t="n">
        <v>42867</v>
      </c>
      <c r="E7909" t="inlineStr">
        <is>
          <t>Lmande ALIN EXPUT</t>
        </is>
      </c>
      <c r="F7909" t="inlineStr">
        <is>
          <t>REGN BOX</t>
        </is>
      </c>
      <c r="J7909" t="inlineStr">
        <is>
          <t>REVEL</t>
        </is>
      </c>
      <c r="L7909">
        <f>_xlfn.XLOOKUP(Tableau1[[#This Row],[TYPE DE PIECE]],Tableau4[MATIERE],Tableau4[SHORT TYPE],"",0,1)</f>
        <v/>
      </c>
      <c r="N7909">
        <f>IF(ISERR(FIND("DECOUPE",Tableau1[[#This Row],[DESIGNATION]])),"","NEED REF")</f>
        <v/>
      </c>
    </row>
    <row r="7910">
      <c r="B7910" t="n">
        <v>34406095</v>
      </c>
      <c r="C7910" s="2" t="n">
        <v>39213</v>
      </c>
      <c r="E7910" t="inlineStr">
        <is>
          <t>Cale de serrage</t>
        </is>
      </c>
      <c r="F7910" t="inlineStr">
        <is>
          <t>iO 1500kVA GVX</t>
        </is>
      </c>
      <c r="J7910" t="inlineStr">
        <is>
          <t>ROBERT</t>
        </is>
      </c>
      <c r="L7910">
        <f>_xlfn.XLOOKUP(Tableau1[[#This Row],[TYPE DE PIECE]],Tableau4[MATIERE],Tableau4[SHORT TYPE],"",0,1)</f>
        <v/>
      </c>
      <c r="N7910">
        <f>IF(ISERR(FIND("DECOUPE",Tableau1[[#This Row],[DESIGNATION]])),"","NEED REF")</f>
        <v/>
      </c>
    </row>
    <row r="7911">
      <c r="B7911" t="n">
        <v>34406094</v>
      </c>
      <c r="C7911" s="2" t="n">
        <v>42866</v>
      </c>
      <c r="E7911" t="inlineStr">
        <is>
          <t>cale cuivre</t>
        </is>
      </c>
      <c r="F7911" t="inlineStr">
        <is>
          <t>BBC 1500kVA</t>
        </is>
      </c>
      <c r="J7911" t="inlineStr">
        <is>
          <t>DUBOIS</t>
        </is>
      </c>
      <c r="L7911">
        <f>_xlfn.XLOOKUP(Tableau1[[#This Row],[TYPE DE PIECE]],Tableau4[MATIERE],Tableau4[SHORT TYPE],"",0,1)</f>
        <v/>
      </c>
      <c r="N7911">
        <f>IF(ISERR(FIND("DECOUPE",Tableau1[[#This Row],[DESIGNATION]])),"","NEED REF")</f>
        <v/>
      </c>
    </row>
    <row r="7912">
      <c r="B7912" t="n">
        <v>34406093</v>
      </c>
      <c r="C7912" s="2" t="n">
        <v>42859</v>
      </c>
      <c r="E7912" t="inlineStr">
        <is>
          <t>toron infos REGENBOX</t>
        </is>
      </c>
      <c r="F7912" t="inlineStr">
        <is>
          <t>REGENBOX</t>
        </is>
      </c>
      <c r="J7912" t="inlineStr">
        <is>
          <t>REVEL</t>
        </is>
      </c>
      <c r="L7912">
        <f>_xlfn.XLOOKUP(Tableau1[[#This Row],[TYPE DE PIECE]],Tableau4[MATIERE],Tableau4[SHORT TYPE],"",0,1)</f>
        <v/>
      </c>
      <c r="N7912">
        <f>IF(ISERR(FIND("DECOUPE",Tableau1[[#This Row],[DESIGNATION]])),"","NEED REF")</f>
        <v/>
      </c>
    </row>
    <row r="7913">
      <c r="B7913" t="n">
        <v>34406092</v>
      </c>
      <c r="C7913" s="2" t="n">
        <v>42857</v>
      </c>
      <c r="E7913" t="inlineStr">
        <is>
          <t>Barre iso NSX</t>
        </is>
      </c>
      <c r="F7913" t="inlineStr">
        <is>
          <t>BBC 1500kVA</t>
        </is>
      </c>
      <c r="J7913" t="inlineStr">
        <is>
          <t>DUBOIS</t>
        </is>
      </c>
      <c r="L7913">
        <f>_xlfn.XLOOKUP(Tableau1[[#This Row],[TYPE DE PIECE]],Tableau4[MATIERE],Tableau4[SHORT TYPE],"",0,1)</f>
        <v/>
      </c>
      <c r="N7913">
        <f>IF(ISERR(FIND("DECOUPE",Tableau1[[#This Row],[DESIGNATION]])),"","NEED REF")</f>
        <v/>
      </c>
    </row>
    <row r="7914">
      <c r="B7914" t="n">
        <v>34406091</v>
      </c>
      <c r="C7914" s="2" t="n">
        <v>42857</v>
      </c>
      <c r="E7914" t="inlineStr">
        <is>
          <t>Barre cuivre liaison NW TGAB</t>
        </is>
      </c>
      <c r="F7914" t="inlineStr">
        <is>
          <t>BBC 1500kVA</t>
        </is>
      </c>
      <c r="J7914" t="inlineStr">
        <is>
          <t>DUBOIS</t>
        </is>
      </c>
      <c r="L7914">
        <f>_xlfn.XLOOKUP(Tableau1[[#This Row],[TYPE DE PIECE]],Tableau4[MATIERE],Tableau4[SHORT TYPE],"",0,1)</f>
        <v/>
      </c>
      <c r="N7914">
        <f>IF(ISERR(FIND("DECOUPE",Tableau1[[#This Row],[DESIGNATION]])),"","NEED REF")</f>
        <v/>
      </c>
    </row>
    <row r="7915">
      <c r="B7915" t="n">
        <v>34406090</v>
      </c>
      <c r="C7915" s="2" t="n">
        <v>42857</v>
      </c>
      <c r="E7915" t="inlineStr">
        <is>
          <t>LINERGY 04568 4000A 1700MM</t>
        </is>
      </c>
      <c r="F7915" t="inlineStr">
        <is>
          <t>BBC 1500kVA</t>
        </is>
      </c>
      <c r="J7915" t="inlineStr">
        <is>
          <t>DUBOIS</t>
        </is>
      </c>
      <c r="L7915">
        <f>_xlfn.XLOOKUP(Tableau1[[#This Row],[TYPE DE PIECE]],Tableau4[MATIERE],Tableau4[SHORT TYPE],"",0,1)</f>
        <v/>
      </c>
      <c r="N7915">
        <f>IF(ISERR(FIND("DECOUPE",Tableau1[[#This Row],[DESIGNATION]])),"","NEED REF")</f>
        <v/>
      </c>
    </row>
    <row r="7916">
      <c r="B7916" t="n">
        <v>34406089</v>
      </c>
      <c r="C7916" s="2" t="n">
        <v>42857</v>
      </c>
      <c r="E7916" t="inlineStr">
        <is>
          <t>Traverse support tête droite</t>
        </is>
      </c>
      <c r="F7916" t="inlineStr">
        <is>
          <t>BBC 1500kVA</t>
        </is>
      </c>
      <c r="J7916" t="inlineStr">
        <is>
          <t>DUBOIS</t>
        </is>
      </c>
      <c r="L7916">
        <f>_xlfn.XLOOKUP(Tableau1[[#This Row],[TYPE DE PIECE]],Tableau4[MATIERE],Tableau4[SHORT TYPE],"",0,1)</f>
        <v/>
      </c>
      <c r="N7916">
        <f>IF(ISERR(FIND("DECOUPE",Tableau1[[#This Row],[DESIGNATION]])),"","NEED REF")</f>
        <v/>
      </c>
    </row>
    <row r="7917">
      <c r="B7917" t="n">
        <v>34406088</v>
      </c>
      <c r="C7917" s="2" t="n">
        <v>42857</v>
      </c>
      <c r="E7917" t="inlineStr">
        <is>
          <t xml:space="preserve">Traverse support tête gauche </t>
        </is>
      </c>
      <c r="F7917" t="inlineStr">
        <is>
          <t>BBC 1500kVA</t>
        </is>
      </c>
      <c r="J7917" t="inlineStr">
        <is>
          <t>DUBOIS</t>
        </is>
      </c>
      <c r="L7917">
        <f>_xlfn.XLOOKUP(Tableau1[[#This Row],[TYPE DE PIECE]],Tableau4[MATIERE],Tableau4[SHORT TYPE],"",0,1)</f>
        <v/>
      </c>
      <c r="N7917">
        <f>IF(ISERR(FIND("DECOUPE",Tableau1[[#This Row],[DESIGNATION]])),"","NEED REF")</f>
        <v/>
      </c>
    </row>
    <row r="7918">
      <c r="B7918" t="n">
        <v>34406087</v>
      </c>
      <c r="C7918" s="2" t="n">
        <v>42853</v>
      </c>
      <c r="E7918" t="inlineStr">
        <is>
          <t>CX POINT MILIEU</t>
        </is>
      </c>
      <c r="F7918" t="inlineStr">
        <is>
          <t>REGENBOX</t>
        </is>
      </c>
      <c r="J7918" t="inlineStr">
        <is>
          <t>MATRION</t>
        </is>
      </c>
      <c r="K7918" t="inlineStr">
        <is>
          <t>CUIVRE</t>
        </is>
      </c>
      <c r="L7918">
        <f>_xlfn.XLOOKUP(Tableau1[[#This Row],[TYPE DE PIECE]],Tableau4[MATIERE],Tableau4[SHORT TYPE],"",0,1)</f>
        <v/>
      </c>
      <c r="N7918">
        <f>IF(ISERR(FIND("DECOUPE",Tableau1[[#This Row],[DESIGNATION]])),"","NEED REF")</f>
        <v/>
      </c>
    </row>
    <row r="7919">
      <c r="B7919" t="n">
        <v>34406086</v>
      </c>
      <c r="C7919" s="2" t="n">
        <v>42852</v>
      </c>
      <c r="E7919" t="inlineStr">
        <is>
          <t>TOIT MBC ALU</t>
        </is>
      </c>
      <c r="F7919" t="inlineStr">
        <is>
          <t>BBC 1500kVA</t>
        </is>
      </c>
      <c r="J7919" t="inlineStr">
        <is>
          <t>MATRION</t>
        </is>
      </c>
      <c r="K7919" t="inlineStr">
        <is>
          <t>TÖLERIE</t>
        </is>
      </c>
      <c r="L7919">
        <f>_xlfn.XLOOKUP(Tableau1[[#This Row],[TYPE DE PIECE]],Tableau4[MATIERE],Tableau4[SHORT TYPE],"",0,1)</f>
        <v/>
      </c>
      <c r="N7919">
        <f>IF(ISERR(FIND("DECOUPE",Tableau1[[#This Row],[DESIGNATION]])),"","NEED REF")</f>
        <v/>
      </c>
    </row>
    <row r="7920">
      <c r="B7920" t="n">
        <v>34406085</v>
      </c>
      <c r="C7920" s="2" t="n">
        <v>42852</v>
      </c>
      <c r="E7920" t="inlineStr">
        <is>
          <t>PLAQUE OBTURATEUR 2</t>
        </is>
      </c>
      <c r="F7920" t="inlineStr">
        <is>
          <t>BBC 1500kVA</t>
        </is>
      </c>
      <c r="J7920" t="inlineStr">
        <is>
          <t>MATRION</t>
        </is>
      </c>
      <c r="K7920" t="inlineStr">
        <is>
          <t>TÖLERIE</t>
        </is>
      </c>
      <c r="L7920">
        <f>_xlfn.XLOOKUP(Tableau1[[#This Row],[TYPE DE PIECE]],Tableau4[MATIERE],Tableau4[SHORT TYPE],"",0,1)</f>
        <v/>
      </c>
      <c r="N7920">
        <f>IF(ISERR(FIND("DECOUPE",Tableau1[[#This Row],[DESIGNATION]])),"","NEED REF")</f>
        <v/>
      </c>
    </row>
    <row r="7921">
      <c r="B7921" t="n">
        <v>34406084</v>
      </c>
      <c r="C7921" s="2" t="n">
        <v>42852</v>
      </c>
      <c r="E7921" t="inlineStr">
        <is>
          <t>PLAQUE OBTURATEUR 1</t>
        </is>
      </c>
      <c r="F7921" t="inlineStr">
        <is>
          <t>BBC 1500kVA</t>
        </is>
      </c>
      <c r="J7921" t="inlineStr">
        <is>
          <t>MATRION</t>
        </is>
      </c>
      <c r="K7921" t="inlineStr">
        <is>
          <t>TÖLERIE</t>
        </is>
      </c>
      <c r="L7921">
        <f>_xlfn.XLOOKUP(Tableau1[[#This Row],[TYPE DE PIECE]],Tableau4[MATIERE],Tableau4[SHORT TYPE],"",0,1)</f>
        <v/>
      </c>
      <c r="N7921">
        <f>IF(ISERR(FIND("DECOUPE",Tableau1[[#This Row],[DESIGNATION]])),"","NEED REF")</f>
        <v/>
      </c>
    </row>
    <row r="7922">
      <c r="B7922" t="n">
        <v>34406083</v>
      </c>
      <c r="C7922" s="2" t="n">
        <v>42852</v>
      </c>
      <c r="E7922" t="inlineStr">
        <is>
          <t>PLASTRON RACCORDEMENT HAUT</t>
        </is>
      </c>
      <c r="F7922" t="inlineStr">
        <is>
          <t>BBC 1500kVA</t>
        </is>
      </c>
      <c r="J7922" t="inlineStr">
        <is>
          <t>MATRION</t>
        </is>
      </c>
      <c r="K7922" t="inlineStr">
        <is>
          <t>TÖLERIE</t>
        </is>
      </c>
      <c r="L7922">
        <f>_xlfn.XLOOKUP(Tableau1[[#This Row],[TYPE DE PIECE]],Tableau4[MATIERE],Tableau4[SHORT TYPE],"",0,1)</f>
        <v/>
      </c>
      <c r="N7922">
        <f>IF(ISERR(FIND("DECOUPE",Tableau1[[#This Row],[DESIGNATION]])),"","NEED REF")</f>
        <v/>
      </c>
    </row>
    <row r="7923">
      <c r="B7923" t="n">
        <v>34406082</v>
      </c>
      <c r="C7923" s="2" t="n">
        <v>42852</v>
      </c>
      <c r="E7923" t="inlineStr">
        <is>
          <t>PLASTRON RACCORDEMENT BAS</t>
        </is>
      </c>
      <c r="F7923" t="inlineStr">
        <is>
          <t>BBC 1500kVA</t>
        </is>
      </c>
      <c r="J7923" t="inlineStr">
        <is>
          <t>MATRION</t>
        </is>
      </c>
      <c r="K7923" t="inlineStr">
        <is>
          <t>TÖLERIE</t>
        </is>
      </c>
      <c r="L7923">
        <f>_xlfn.XLOOKUP(Tableau1[[#This Row],[TYPE DE PIECE]],Tableau4[MATIERE],Tableau4[SHORT TYPE],"",0,1)</f>
        <v/>
      </c>
      <c r="N7923">
        <f>IF(ISERR(FIND("DECOUPE",Tableau1[[#This Row],[DESIGNATION]])),"","NEED REF")</f>
        <v/>
      </c>
    </row>
    <row r="7924">
      <c r="B7924" t="n">
        <v>34406081</v>
      </c>
      <c r="C7924" s="2" t="n">
        <v>42852</v>
      </c>
      <c r="E7924" t="inlineStr">
        <is>
          <t>MONTANT CENTRALE</t>
        </is>
      </c>
      <c r="F7924" t="inlineStr">
        <is>
          <t>BBC 1500kVA</t>
        </is>
      </c>
      <c r="J7924" t="inlineStr">
        <is>
          <t>MATRION</t>
        </is>
      </c>
      <c r="K7924" t="inlineStr">
        <is>
          <t>TÖLERIE</t>
        </is>
      </c>
      <c r="L7924">
        <f>_xlfn.XLOOKUP(Tableau1[[#This Row],[TYPE DE PIECE]],Tableau4[MATIERE],Tableau4[SHORT TYPE],"",0,1)</f>
        <v/>
      </c>
      <c r="N7924">
        <f>IF(ISERR(FIND("DECOUPE",Tableau1[[#This Row],[DESIGNATION]])),"","NEED REF")</f>
        <v/>
      </c>
    </row>
    <row r="7925">
      <c r="B7925" t="n">
        <v>34406080</v>
      </c>
      <c r="C7925" s="2" t="n">
        <v>42852</v>
      </c>
      <c r="E7925" t="inlineStr">
        <is>
          <t>PLASTRON NSX630 HAUT</t>
        </is>
      </c>
      <c r="F7925" t="inlineStr">
        <is>
          <t>BBC 1500kVA</t>
        </is>
      </c>
      <c r="J7925" t="inlineStr">
        <is>
          <t>MATRION</t>
        </is>
      </c>
      <c r="K7925" t="inlineStr">
        <is>
          <t>TÖLERIE</t>
        </is>
      </c>
      <c r="L7925">
        <f>_xlfn.XLOOKUP(Tableau1[[#This Row],[TYPE DE PIECE]],Tableau4[MATIERE],Tableau4[SHORT TYPE],"",0,1)</f>
        <v/>
      </c>
      <c r="N7925">
        <f>IF(ISERR(FIND("DECOUPE",Tableau1[[#This Row],[DESIGNATION]])),"","NEED REF")</f>
        <v/>
      </c>
    </row>
    <row r="7926">
      <c r="B7926" t="n">
        <v>34406079</v>
      </c>
      <c r="C7926" s="2" t="n">
        <v>42852</v>
      </c>
      <c r="E7926" t="inlineStr">
        <is>
          <t>PLASTRON NSX630 BAS</t>
        </is>
      </c>
      <c r="F7926" t="inlineStr">
        <is>
          <t>BBC 1500kVA</t>
        </is>
      </c>
      <c r="J7926" t="inlineStr">
        <is>
          <t>MATRION</t>
        </is>
      </c>
      <c r="K7926" t="inlineStr">
        <is>
          <t>TÖLERIE</t>
        </is>
      </c>
      <c r="L7926">
        <f>_xlfn.XLOOKUP(Tableau1[[#This Row],[TYPE DE PIECE]],Tableau4[MATIERE],Tableau4[SHORT TYPE],"",0,1)</f>
        <v/>
      </c>
      <c r="N7926">
        <f>IF(ISERR(FIND("DECOUPE",Tableau1[[#This Row],[DESIGNATION]])),"","NEED REF")</f>
        <v/>
      </c>
    </row>
    <row r="7927">
      <c r="B7927" t="n">
        <v>34406078</v>
      </c>
      <c r="C7927" s="2" t="n">
        <v>42852</v>
      </c>
      <c r="E7927" t="inlineStr">
        <is>
          <t>6x CABLE PE 95mm2</t>
        </is>
      </c>
      <c r="F7927" t="inlineStr">
        <is>
          <t>MBC 1500kVA</t>
        </is>
      </c>
      <c r="J7927" t="inlineStr">
        <is>
          <t>MATRION</t>
        </is>
      </c>
      <c r="K7927" t="inlineStr">
        <is>
          <t>TÖLERIE</t>
        </is>
      </c>
      <c r="L7927">
        <f>_xlfn.XLOOKUP(Tableau1[[#This Row],[TYPE DE PIECE]],Tableau4[MATIERE],Tableau4[SHORT TYPE],"",0,1)</f>
        <v/>
      </c>
      <c r="N7927">
        <f>IF(ISERR(FIND("DECOUPE",Tableau1[[#This Row],[DESIGNATION]])),"","NEED REF")</f>
        <v/>
      </c>
    </row>
    <row r="7928">
      <c r="B7928" t="n">
        <v>34406077</v>
      </c>
      <c r="C7928" s="2" t="n">
        <v>42852</v>
      </c>
      <c r="F7928" t="inlineStr">
        <is>
          <t>BBC 1500kVA</t>
        </is>
      </c>
      <c r="J7928" t="inlineStr">
        <is>
          <t>MATRION</t>
        </is>
      </c>
      <c r="K7928" t="inlineStr">
        <is>
          <t>TÖLERIE</t>
        </is>
      </c>
      <c r="L7928">
        <f>_xlfn.XLOOKUP(Tableau1[[#This Row],[TYPE DE PIECE]],Tableau4[MATIERE],Tableau4[SHORT TYPE],"",0,1)</f>
        <v/>
      </c>
      <c r="N7928">
        <f>IF(ISERR(FIND("DECOUPE",Tableau1[[#This Row],[DESIGNATION]])),"","NEED REF")</f>
        <v/>
      </c>
    </row>
    <row r="7929">
      <c r="B7929" t="n">
        <v>34406076</v>
      </c>
      <c r="C7929" s="2" t="n">
        <v>42851</v>
      </c>
      <c r="E7929" t="inlineStr">
        <is>
          <t>PLASTRON</t>
        </is>
      </c>
      <c r="F7929" t="inlineStr">
        <is>
          <t>MBC 1500kVA GVX</t>
        </is>
      </c>
      <c r="J7929" t="inlineStr">
        <is>
          <t>MATRION</t>
        </is>
      </c>
      <c r="K7929" t="inlineStr">
        <is>
          <t>TÖLERIE</t>
        </is>
      </c>
      <c r="L7929">
        <f>_xlfn.XLOOKUP(Tableau1[[#This Row],[TYPE DE PIECE]],Tableau4[MATIERE],Tableau4[SHORT TYPE],"",0,1)</f>
        <v/>
      </c>
      <c r="N7929">
        <f>IF(ISERR(FIND("DECOUPE",Tableau1[[#This Row],[DESIGNATION]])),"","NEED REF")</f>
        <v/>
      </c>
    </row>
    <row r="7930">
      <c r="B7930" t="n">
        <v>34406075</v>
      </c>
      <c r="C7930" s="2" t="n">
        <v>42851</v>
      </c>
      <c r="E7930" t="inlineStr">
        <is>
          <t>PLASTRON</t>
        </is>
      </c>
      <c r="F7930" t="inlineStr">
        <is>
          <t>MBC 1500kVA GVX</t>
        </is>
      </c>
      <c r="J7930" t="inlineStr">
        <is>
          <t>MATRION</t>
        </is>
      </c>
      <c r="K7930" t="inlineStr">
        <is>
          <t>TÖLERIE</t>
        </is>
      </c>
      <c r="L7930">
        <f>_xlfn.XLOOKUP(Tableau1[[#This Row],[TYPE DE PIECE]],Tableau4[MATIERE],Tableau4[SHORT TYPE],"",0,1)</f>
        <v/>
      </c>
      <c r="N7930">
        <f>IF(ISERR(FIND("DECOUPE",Tableau1[[#This Row],[DESIGNATION]])),"","NEED REF")</f>
        <v/>
      </c>
    </row>
    <row r="7931">
      <c r="B7931" t="n">
        <v>34406074</v>
      </c>
      <c r="C7931" s="2" t="n">
        <v>42851</v>
      </c>
      <c r="E7931" t="inlineStr">
        <is>
          <t>PLASTRON</t>
        </is>
      </c>
      <c r="F7931" t="inlineStr">
        <is>
          <t>MBC 1500kVA GVX</t>
        </is>
      </c>
      <c r="J7931" t="inlineStr">
        <is>
          <t>MATRION</t>
        </is>
      </c>
      <c r="K7931" t="inlineStr">
        <is>
          <t>TÖLERIE</t>
        </is>
      </c>
      <c r="L7931">
        <f>_xlfn.XLOOKUP(Tableau1[[#This Row],[TYPE DE PIECE]],Tableau4[MATIERE],Tableau4[SHORT TYPE],"",0,1)</f>
        <v/>
      </c>
      <c r="N7931">
        <f>IF(ISERR(FIND("DECOUPE",Tableau1[[#This Row],[DESIGNATION]])),"","NEED REF")</f>
        <v/>
      </c>
    </row>
    <row r="7932">
      <c r="B7932" t="n">
        <v>34406073</v>
      </c>
      <c r="C7932" s="2" t="n">
        <v>42850</v>
      </c>
      <c r="E7932" t="inlineStr">
        <is>
          <t>LINERGY 04566 2500A 985MM</t>
        </is>
      </c>
      <c r="F7932" t="inlineStr">
        <is>
          <t>MBC 1500kVA GVX</t>
        </is>
      </c>
      <c r="J7932" t="inlineStr">
        <is>
          <t>MATRION</t>
        </is>
      </c>
      <c r="K7932" t="inlineStr">
        <is>
          <t>DECOUPE</t>
        </is>
      </c>
      <c r="L7932">
        <f>_xlfn.XLOOKUP(Tableau1[[#This Row],[TYPE DE PIECE]],Tableau4[MATIERE],Tableau4[SHORT TYPE],"",0,1)</f>
        <v/>
      </c>
      <c r="N7932">
        <f>IF(ISERR(FIND("DECOUPE",Tableau1[[#This Row],[DESIGNATION]])),"","NEED REF")</f>
        <v/>
      </c>
    </row>
    <row r="7933">
      <c r="B7933" t="n">
        <v>34406072</v>
      </c>
      <c r="C7933" s="2" t="n">
        <v>42850</v>
      </c>
      <c r="E7933" t="inlineStr">
        <is>
          <t>LINERGY 04566 2500A 755MM</t>
        </is>
      </c>
      <c r="F7933" t="inlineStr">
        <is>
          <t>MBC 1500kVA GVX</t>
        </is>
      </c>
      <c r="J7933" t="inlineStr">
        <is>
          <t>MATRION</t>
        </is>
      </c>
      <c r="K7933" t="inlineStr">
        <is>
          <t>DECOUPE</t>
        </is>
      </c>
      <c r="L7933">
        <f>_xlfn.XLOOKUP(Tableau1[[#This Row],[TYPE DE PIECE]],Tableau4[MATIERE],Tableau4[SHORT TYPE],"",0,1)</f>
        <v/>
      </c>
      <c r="N7933">
        <f>IF(ISERR(FIND("DECOUPE",Tableau1[[#This Row],[DESIGNATION]])),"","NEED REF")</f>
        <v/>
      </c>
    </row>
    <row r="7934">
      <c r="B7934" t="n">
        <v>34406071</v>
      </c>
      <c r="C7934" s="2" t="n">
        <v>42850</v>
      </c>
      <c r="E7934" t="inlineStr">
        <is>
          <t>LINERGY 04566 2500A 525MM</t>
        </is>
      </c>
      <c r="F7934" t="inlineStr">
        <is>
          <t>MBC 1500kVA GVX</t>
        </is>
      </c>
      <c r="J7934" t="inlineStr">
        <is>
          <t>MATRION</t>
        </is>
      </c>
      <c r="K7934" t="inlineStr">
        <is>
          <t>DECOUPE</t>
        </is>
      </c>
      <c r="L7934">
        <f>_xlfn.XLOOKUP(Tableau1[[#This Row],[TYPE DE PIECE]],Tableau4[MATIERE],Tableau4[SHORT TYPE],"",0,1)</f>
        <v/>
      </c>
      <c r="N7934">
        <f>IF(ISERR(FIND("DECOUPE",Tableau1[[#This Row],[DESIGNATION]])),"","NEED REF")</f>
        <v/>
      </c>
    </row>
    <row r="7935">
      <c r="B7935" t="n">
        <v>34406070</v>
      </c>
      <c r="C7935" s="2" t="n">
        <v>42850</v>
      </c>
      <c r="E7935" t="inlineStr">
        <is>
          <t>LINERGY 04566 2500A 295MM</t>
        </is>
      </c>
      <c r="F7935" t="inlineStr">
        <is>
          <t>MBC 1500kVA GVX</t>
        </is>
      </c>
      <c r="J7935" t="inlineStr">
        <is>
          <t>MATRION</t>
        </is>
      </c>
      <c r="K7935" t="inlineStr">
        <is>
          <t>DECOUPE</t>
        </is>
      </c>
      <c r="L7935">
        <f>_xlfn.XLOOKUP(Tableau1[[#This Row],[TYPE DE PIECE]],Tableau4[MATIERE],Tableau4[SHORT TYPE],"",0,1)</f>
        <v/>
      </c>
      <c r="N7935">
        <f>IF(ISERR(FIND("DECOUPE",Tableau1[[#This Row],[DESIGNATION]])),"","NEED REF")</f>
        <v/>
      </c>
    </row>
    <row r="7936">
      <c r="B7936" t="n">
        <v>34406069</v>
      </c>
      <c r="C7936" s="2" t="n">
        <v>42859</v>
      </c>
      <c r="F7936" t="inlineStr">
        <is>
          <t>IO 1500kVA GVX</t>
        </is>
      </c>
      <c r="L7936">
        <f>_xlfn.XLOOKUP(Tableau1[[#This Row],[TYPE DE PIECE]],Tableau4[MATIERE],Tableau4[SHORT TYPE],"",0,1)</f>
        <v/>
      </c>
      <c r="N7936">
        <f>IF(ISERR(FIND("DECOUPE",Tableau1[[#This Row],[DESIGNATION]])),"","NEED REF")</f>
        <v/>
      </c>
    </row>
    <row r="7937">
      <c r="B7937" t="n">
        <v>34406068</v>
      </c>
      <c r="C7937" s="2" t="n">
        <v>42859</v>
      </c>
      <c r="E7937" t="inlineStr">
        <is>
          <t>Barre de terre</t>
        </is>
      </c>
      <c r="F7937" t="inlineStr">
        <is>
          <t>IO 1500kVA GVX</t>
        </is>
      </c>
      <c r="L7937">
        <f>_xlfn.XLOOKUP(Tableau1[[#This Row],[TYPE DE PIECE]],Tableau4[MATIERE],Tableau4[SHORT TYPE],"",0,1)</f>
        <v/>
      </c>
      <c r="N7937">
        <f>IF(ISERR(FIND("DECOUPE",Tableau1[[#This Row],[DESIGNATION]])),"","NEED REF")</f>
        <v/>
      </c>
    </row>
    <row r="7938">
      <c r="B7938" t="n">
        <v>34406067</v>
      </c>
      <c r="C7938" s="2" t="n">
        <v>42859</v>
      </c>
      <c r="E7938" t="inlineStr">
        <is>
          <t>CX terre 2500</t>
        </is>
      </c>
      <c r="F7938" t="inlineStr">
        <is>
          <t>IO 1500kVA GVX</t>
        </is>
      </c>
      <c r="L7938">
        <f>_xlfn.XLOOKUP(Tableau1[[#This Row],[TYPE DE PIECE]],Tableau4[MATIERE],Tableau4[SHORT TYPE],"",0,1)</f>
        <v/>
      </c>
      <c r="N7938">
        <f>IF(ISERR(FIND("DECOUPE",Tableau1[[#This Row],[DESIGNATION]])),"","NEED REF")</f>
        <v/>
      </c>
    </row>
    <row r="7939">
      <c r="B7939" t="n">
        <v>34406066</v>
      </c>
      <c r="C7939" s="2" t="n">
        <v>42859</v>
      </c>
      <c r="E7939" t="inlineStr">
        <is>
          <t>CX terre 3200</t>
        </is>
      </c>
      <c r="F7939" t="inlineStr">
        <is>
          <t>IO 1500kVA GVX</t>
        </is>
      </c>
      <c r="L7939">
        <f>_xlfn.XLOOKUP(Tableau1[[#This Row],[TYPE DE PIECE]],Tableau4[MATIERE],Tableau4[SHORT TYPE],"",0,1)</f>
        <v/>
      </c>
      <c r="N7939">
        <f>IF(ISERR(FIND("DECOUPE",Tableau1[[#This Row],[DESIGNATION]])),"","NEED REF")</f>
        <v/>
      </c>
    </row>
    <row r="7940">
      <c r="B7940" t="n">
        <v>34406065</v>
      </c>
      <c r="C7940" s="2" t="n">
        <v>42859</v>
      </c>
      <c r="E7940" t="inlineStr">
        <is>
          <t>Barre liaison terre TGAB</t>
        </is>
      </c>
      <c r="F7940" t="inlineStr">
        <is>
          <t>IO 1500kVA GVX</t>
        </is>
      </c>
      <c r="L7940">
        <f>_xlfn.XLOOKUP(Tableau1[[#This Row],[TYPE DE PIECE]],Tableau4[MATIERE],Tableau4[SHORT TYPE],"",0,1)</f>
        <v/>
      </c>
      <c r="N7940">
        <f>IF(ISERR(FIND("DECOUPE",Tableau1[[#This Row],[DESIGNATION]])),"","NEED REF")</f>
        <v/>
      </c>
    </row>
    <row r="7941">
      <c r="B7941" t="n">
        <v>34406064</v>
      </c>
      <c r="C7941" s="2" t="n">
        <v>42858</v>
      </c>
      <c r="E7941" t="inlineStr">
        <is>
          <t>Fixation barre Util</t>
        </is>
      </c>
      <c r="F7941" t="inlineStr">
        <is>
          <t>IO 1500kVA GVX</t>
        </is>
      </c>
      <c r="L7941">
        <f>_xlfn.XLOOKUP(Tableau1[[#This Row],[TYPE DE PIECE]],Tableau4[MATIERE],Tableau4[SHORT TYPE],"",0,1)</f>
        <v/>
      </c>
      <c r="N7941">
        <f>IF(ISERR(FIND("DECOUPE",Tableau1[[#This Row],[DESIGNATION]])),"","NEED REF")</f>
        <v/>
      </c>
    </row>
    <row r="7942">
      <c r="B7942" t="n">
        <v>34406063</v>
      </c>
      <c r="C7942" s="2" t="n">
        <v>42858</v>
      </c>
      <c r="E7942" t="inlineStr">
        <is>
          <t>CORO DC</t>
        </is>
      </c>
      <c r="F7942" t="inlineStr">
        <is>
          <t>IO 1500kVA GVX</t>
        </is>
      </c>
      <c r="L7942">
        <f>_xlfn.XLOOKUP(Tableau1[[#This Row],[TYPE DE PIECE]],Tableau4[MATIERE],Tableau4[SHORT TYPE],"",0,1)</f>
        <v/>
      </c>
      <c r="N7942">
        <f>IF(ISERR(FIND("DECOUPE",Tableau1[[#This Row],[DESIGNATION]])),"","NEED REF")</f>
        <v/>
      </c>
    </row>
    <row r="7943">
      <c r="B7943" t="n">
        <v>34406062</v>
      </c>
      <c r="C7943" s="2" t="n">
        <v>42858</v>
      </c>
      <c r="E7943" t="inlineStr">
        <is>
          <t>CALE DE SERRAGE</t>
        </is>
      </c>
      <c r="F7943" t="inlineStr">
        <is>
          <t>IO 1500kVA GVX</t>
        </is>
      </c>
      <c r="L7943">
        <f>_xlfn.XLOOKUP(Tableau1[[#This Row],[TYPE DE PIECE]],Tableau4[MATIERE],Tableau4[SHORT TYPE],"",0,1)</f>
        <v/>
      </c>
      <c r="N7943">
        <f>IF(ISERR(FIND("DECOUPE",Tableau1[[#This Row],[DESIGNATION]])),"","NEED REF")</f>
        <v/>
      </c>
    </row>
    <row r="7944">
      <c r="B7944" t="n">
        <v>34406061</v>
      </c>
      <c r="C7944" s="2" t="n">
        <v>42846</v>
      </c>
      <c r="E7944" t="inlineStr">
        <is>
          <t>LONGERON DROIT</t>
        </is>
      </c>
      <c r="F7944" t="inlineStr">
        <is>
          <t>MBC 1500kVA GVX</t>
        </is>
      </c>
      <c r="J7944" t="inlineStr">
        <is>
          <t>MATRION</t>
        </is>
      </c>
      <c r="K7944" t="inlineStr">
        <is>
          <t>TÖLERIE</t>
        </is>
      </c>
      <c r="L7944">
        <f>_xlfn.XLOOKUP(Tableau1[[#This Row],[TYPE DE PIECE]],Tableau4[MATIERE],Tableau4[SHORT TYPE],"",0,1)</f>
        <v/>
      </c>
      <c r="N7944">
        <f>IF(ISERR(FIND("DECOUPE",Tableau1[[#This Row],[DESIGNATION]])),"","NEED REF")</f>
        <v/>
      </c>
    </row>
    <row r="7945">
      <c r="B7945" t="n">
        <v>34406060</v>
      </c>
      <c r="C7945" s="2" t="n">
        <v>42846</v>
      </c>
      <c r="E7945" t="inlineStr">
        <is>
          <t>CX EQUERRE LIAISON 16</t>
        </is>
      </c>
      <c r="F7945" t="inlineStr">
        <is>
          <t>MBC 1500kVA GVX</t>
        </is>
      </c>
      <c r="J7945" t="inlineStr">
        <is>
          <t>MATRION</t>
        </is>
      </c>
      <c r="K7945" t="inlineStr">
        <is>
          <t>JDB ALU T4</t>
        </is>
      </c>
      <c r="L7945">
        <f>_xlfn.XLOOKUP(Tableau1[[#This Row],[TYPE DE PIECE]],Tableau4[MATIERE],Tableau4[SHORT TYPE],"",0,1)</f>
        <v/>
      </c>
      <c r="N7945">
        <f>IF(ISERR(FIND("DECOUPE",Tableau1[[#This Row],[DESIGNATION]])),"","NEED REF")</f>
        <v/>
      </c>
    </row>
    <row r="7946">
      <c r="B7946" t="n">
        <v>34406059</v>
      </c>
      <c r="C7946" s="2" t="n">
        <v>42846</v>
      </c>
      <c r="E7946" t="inlineStr">
        <is>
          <t>CX EQUERRE LIAISON 15</t>
        </is>
      </c>
      <c r="F7946" t="inlineStr">
        <is>
          <t>MBC 1500kVA GVX</t>
        </is>
      </c>
      <c r="J7946" t="inlineStr">
        <is>
          <t>MATRION</t>
        </is>
      </c>
      <c r="K7946" t="inlineStr">
        <is>
          <t>JDB ALU T4</t>
        </is>
      </c>
      <c r="L7946">
        <f>_xlfn.XLOOKUP(Tableau1[[#This Row],[TYPE DE PIECE]],Tableau4[MATIERE],Tableau4[SHORT TYPE],"",0,1)</f>
        <v/>
      </c>
      <c r="N7946">
        <f>IF(ISERR(FIND("DECOUPE",Tableau1[[#This Row],[DESIGNATION]])),"","NEED REF")</f>
        <v/>
      </c>
    </row>
    <row r="7947">
      <c r="B7947" t="n">
        <v>34406058</v>
      </c>
      <c r="C7947" s="2" t="n">
        <v>42846</v>
      </c>
      <c r="E7947" t="inlineStr">
        <is>
          <t>CX EQUERRE LIAISON 14</t>
        </is>
      </c>
      <c r="F7947" t="inlineStr">
        <is>
          <t>MBC 1500kVA GVX</t>
        </is>
      </c>
      <c r="J7947" t="inlineStr">
        <is>
          <t>MATRION</t>
        </is>
      </c>
      <c r="K7947" t="inlineStr">
        <is>
          <t>JDB ALU T4</t>
        </is>
      </c>
      <c r="L7947">
        <f>_xlfn.XLOOKUP(Tableau1[[#This Row],[TYPE DE PIECE]],Tableau4[MATIERE],Tableau4[SHORT TYPE],"",0,1)</f>
        <v/>
      </c>
      <c r="N7947">
        <f>IF(ISERR(FIND("DECOUPE",Tableau1[[#This Row],[DESIGNATION]])),"","NEED REF")</f>
        <v/>
      </c>
    </row>
    <row r="7948">
      <c r="B7948" t="n">
        <v>34406057</v>
      </c>
      <c r="C7948" s="2" t="n">
        <v>42846</v>
      </c>
      <c r="E7948" t="inlineStr">
        <is>
          <t>CX EQUERRE LIAISON 13</t>
        </is>
      </c>
      <c r="F7948" t="inlineStr">
        <is>
          <t>MBC 1500kVA GVX</t>
        </is>
      </c>
      <c r="J7948" t="inlineStr">
        <is>
          <t>MATRION</t>
        </is>
      </c>
      <c r="K7948" t="inlineStr">
        <is>
          <t>JDB ALU T4</t>
        </is>
      </c>
      <c r="L7948">
        <f>_xlfn.XLOOKUP(Tableau1[[#This Row],[TYPE DE PIECE]],Tableau4[MATIERE],Tableau4[SHORT TYPE],"",0,1)</f>
        <v/>
      </c>
      <c r="N7948">
        <f>IF(ISERR(FIND("DECOUPE",Tableau1[[#This Row],[DESIGNATION]])),"","NEED REF")</f>
        <v/>
      </c>
    </row>
    <row r="7949">
      <c r="B7949" t="n">
        <v>34406056</v>
      </c>
      <c r="C7949" s="2" t="n">
        <v>42846</v>
      </c>
      <c r="E7949" t="inlineStr">
        <is>
          <t>CX EQUERRE LIAISON 12</t>
        </is>
      </c>
      <c r="F7949" t="inlineStr">
        <is>
          <t>MBC 1500kVA GVX</t>
        </is>
      </c>
      <c r="J7949" t="inlineStr">
        <is>
          <t>MATRION</t>
        </is>
      </c>
      <c r="K7949" t="inlineStr">
        <is>
          <t>JDB ALU T4</t>
        </is>
      </c>
      <c r="L7949">
        <f>_xlfn.XLOOKUP(Tableau1[[#This Row],[TYPE DE PIECE]],Tableau4[MATIERE],Tableau4[SHORT TYPE],"",0,1)</f>
        <v/>
      </c>
      <c r="N7949">
        <f>IF(ISERR(FIND("DECOUPE",Tableau1[[#This Row],[DESIGNATION]])),"","NEED REF")</f>
        <v/>
      </c>
    </row>
    <row r="7950">
      <c r="B7950" t="n">
        <v>34406055</v>
      </c>
      <c r="C7950" s="2" t="n">
        <v>42846</v>
      </c>
      <c r="E7950" t="inlineStr">
        <is>
          <t>CX EQUERRE LIAISON 11</t>
        </is>
      </c>
      <c r="F7950" t="inlineStr">
        <is>
          <t>MBC 1500kVA GVX</t>
        </is>
      </c>
      <c r="J7950" t="inlineStr">
        <is>
          <t>MATRION</t>
        </is>
      </c>
      <c r="K7950" t="inlineStr">
        <is>
          <t>JDB ALU T4</t>
        </is>
      </c>
      <c r="L7950">
        <f>_xlfn.XLOOKUP(Tableau1[[#This Row],[TYPE DE PIECE]],Tableau4[MATIERE],Tableau4[SHORT TYPE],"",0,1)</f>
        <v/>
      </c>
      <c r="N7950">
        <f>IF(ISERR(FIND("DECOUPE",Tableau1[[#This Row],[DESIGNATION]])),"","NEED REF")</f>
        <v/>
      </c>
    </row>
    <row r="7951">
      <c r="B7951" t="n">
        <v>34406054</v>
      </c>
      <c r="C7951" s="2" t="n">
        <v>42846</v>
      </c>
      <c r="E7951" t="inlineStr">
        <is>
          <t>CX EQUERRE LIAISON 10</t>
        </is>
      </c>
      <c r="F7951" t="inlineStr">
        <is>
          <t>MBC 1500kVA GVX</t>
        </is>
      </c>
      <c r="J7951" t="inlineStr">
        <is>
          <t>MATRION</t>
        </is>
      </c>
      <c r="K7951" t="inlineStr">
        <is>
          <t>JDB ALU T4</t>
        </is>
      </c>
      <c r="L7951">
        <f>_xlfn.XLOOKUP(Tableau1[[#This Row],[TYPE DE PIECE]],Tableau4[MATIERE],Tableau4[SHORT TYPE],"",0,1)</f>
        <v/>
      </c>
      <c r="N7951">
        <f>IF(ISERR(FIND("DECOUPE",Tableau1[[#This Row],[DESIGNATION]])),"","NEED REF")</f>
        <v/>
      </c>
    </row>
    <row r="7952">
      <c r="B7952" t="n">
        <v>34406053</v>
      </c>
      <c r="C7952" s="2" t="n">
        <v>42846</v>
      </c>
      <c r="E7952" t="inlineStr">
        <is>
          <t>CX EQUERRE LIAISON 9</t>
        </is>
      </c>
      <c r="F7952" t="inlineStr">
        <is>
          <t>MBC 1500kVA GVX</t>
        </is>
      </c>
      <c r="J7952" t="inlineStr">
        <is>
          <t>MATRION</t>
        </is>
      </c>
      <c r="K7952" t="inlineStr">
        <is>
          <t>JDB ALU T4</t>
        </is>
      </c>
      <c r="L7952">
        <f>_xlfn.XLOOKUP(Tableau1[[#This Row],[TYPE DE PIECE]],Tableau4[MATIERE],Tableau4[SHORT TYPE],"",0,1)</f>
        <v/>
      </c>
      <c r="N7952">
        <f>IF(ISERR(FIND("DECOUPE",Tableau1[[#This Row],[DESIGNATION]])),"","NEED REF")</f>
        <v/>
      </c>
    </row>
    <row r="7953">
      <c r="B7953" t="n">
        <v>34406052</v>
      </c>
      <c r="C7953" s="2" t="n">
        <v>42846</v>
      </c>
      <c r="E7953" t="inlineStr">
        <is>
          <t>c'est à lui</t>
        </is>
      </c>
      <c r="J7953" t="inlineStr">
        <is>
          <t>PLANTIER (pour MATRION)</t>
        </is>
      </c>
      <c r="L7953">
        <f>_xlfn.XLOOKUP(Tableau1[[#This Row],[TYPE DE PIECE]],Tableau4[MATIERE],Tableau4[SHORT TYPE],"",0,1)</f>
        <v/>
      </c>
      <c r="N7953">
        <f>IF(ISERR(FIND("DECOUPE",Tableau1[[#This Row],[DESIGNATION]])),"","NEED REF")</f>
        <v/>
      </c>
    </row>
    <row r="7954">
      <c r="B7954" t="n">
        <v>34406051</v>
      </c>
      <c r="C7954" s="2" t="n">
        <v>42846</v>
      </c>
      <c r="F7954" t="inlineStr">
        <is>
          <t>BBC 1500kVA</t>
        </is>
      </c>
      <c r="J7954" t="inlineStr">
        <is>
          <t>MATRION</t>
        </is>
      </c>
      <c r="L7954">
        <f>_xlfn.XLOOKUP(Tableau1[[#This Row],[TYPE DE PIECE]],Tableau4[MATIERE],Tableau4[SHORT TYPE],"",0,1)</f>
        <v/>
      </c>
      <c r="N7954">
        <f>IF(ISERR(FIND("DECOUPE",Tableau1[[#This Row],[DESIGNATION]])),"","NEED REF")</f>
        <v/>
      </c>
    </row>
    <row r="7955">
      <c r="B7955" t="n">
        <v>34406050</v>
      </c>
      <c r="C7955" s="2" t="n">
        <v>42846</v>
      </c>
      <c r="E7955" t="inlineStr">
        <is>
          <t>c'est à moi</t>
        </is>
      </c>
      <c r="F7955" t="inlineStr">
        <is>
          <t>BBC 1500kVA</t>
        </is>
      </c>
      <c r="J7955" t="inlineStr">
        <is>
          <t>DUBOIS</t>
        </is>
      </c>
      <c r="L7955">
        <f>_xlfn.XLOOKUP(Tableau1[[#This Row],[TYPE DE PIECE]],Tableau4[MATIERE],Tableau4[SHORT TYPE],"",0,1)</f>
        <v/>
      </c>
      <c r="N7955">
        <f>IF(ISERR(FIND("DECOUPE",Tableau1[[#This Row],[DESIGNATION]])),"","NEED REF")</f>
        <v/>
      </c>
    </row>
    <row r="7956">
      <c r="B7956" t="n">
        <v>34406049</v>
      </c>
      <c r="C7956" s="2" t="n">
        <v>42846</v>
      </c>
      <c r="E7956" t="inlineStr">
        <is>
          <t>c'est à moi</t>
        </is>
      </c>
      <c r="F7956" t="inlineStr">
        <is>
          <t>BBC 1500kVA</t>
        </is>
      </c>
      <c r="J7956" t="inlineStr">
        <is>
          <t>DUBOIS</t>
        </is>
      </c>
      <c r="L7956">
        <f>_xlfn.XLOOKUP(Tableau1[[#This Row],[TYPE DE PIECE]],Tableau4[MATIERE],Tableau4[SHORT TYPE],"",0,1)</f>
        <v/>
      </c>
      <c r="N7956">
        <f>IF(ISERR(FIND("DECOUPE",Tableau1[[#This Row],[DESIGNATION]])),"","NEED REF")</f>
        <v/>
      </c>
    </row>
    <row r="7957">
      <c r="B7957" t="n">
        <v>34406048</v>
      </c>
      <c r="C7957" s="2" t="n">
        <v>42846</v>
      </c>
      <c r="E7957" t="inlineStr">
        <is>
          <t>c'est à moi</t>
        </is>
      </c>
      <c r="F7957" t="inlineStr">
        <is>
          <t>BBC 1500kVA</t>
        </is>
      </c>
      <c r="J7957" t="inlineStr">
        <is>
          <t>DUBOIS</t>
        </is>
      </c>
      <c r="L7957">
        <f>_xlfn.XLOOKUP(Tableau1[[#This Row],[TYPE DE PIECE]],Tableau4[MATIERE],Tableau4[SHORT TYPE],"",0,1)</f>
        <v/>
      </c>
      <c r="N7957">
        <f>IF(ISERR(FIND("DECOUPE",Tableau1[[#This Row],[DESIGNATION]])),"","NEED REF")</f>
        <v/>
      </c>
    </row>
    <row r="7958">
      <c r="B7958" t="n">
        <v>34406047</v>
      </c>
      <c r="C7958" s="2" t="n">
        <v>42846</v>
      </c>
      <c r="E7958" t="inlineStr">
        <is>
          <t>c'est à moi</t>
        </is>
      </c>
      <c r="F7958" t="inlineStr">
        <is>
          <t>BBC 1500kVA</t>
        </is>
      </c>
      <c r="J7958" t="inlineStr">
        <is>
          <t>DUBOIS</t>
        </is>
      </c>
      <c r="L7958">
        <f>_xlfn.XLOOKUP(Tableau1[[#This Row],[TYPE DE PIECE]],Tableau4[MATIERE],Tableau4[SHORT TYPE],"",0,1)</f>
        <v/>
      </c>
      <c r="N7958">
        <f>IF(ISERR(FIND("DECOUPE",Tableau1[[#This Row],[DESIGNATION]])),"","NEED REF")</f>
        <v/>
      </c>
    </row>
    <row r="7959">
      <c r="B7959" t="n">
        <v>34406046</v>
      </c>
      <c r="C7959" s="2" t="n">
        <v>42846</v>
      </c>
      <c r="E7959" t="inlineStr">
        <is>
          <t>c'est à moi</t>
        </is>
      </c>
      <c r="F7959" t="inlineStr">
        <is>
          <t>BBC 1500kVA</t>
        </is>
      </c>
      <c r="J7959" t="inlineStr">
        <is>
          <t>DUBOIS</t>
        </is>
      </c>
      <c r="L7959">
        <f>_xlfn.XLOOKUP(Tableau1[[#This Row],[TYPE DE PIECE]],Tableau4[MATIERE],Tableau4[SHORT TYPE],"",0,1)</f>
        <v/>
      </c>
      <c r="N7959">
        <f>IF(ISERR(FIND("DECOUPE",Tableau1[[#This Row],[DESIGNATION]])),"","NEED REF")</f>
        <v/>
      </c>
    </row>
    <row r="7960">
      <c r="B7960" t="n">
        <v>34406045</v>
      </c>
      <c r="C7960" s="2" t="n">
        <v>42846</v>
      </c>
      <c r="E7960" t="inlineStr">
        <is>
          <t>c'est à moi</t>
        </is>
      </c>
      <c r="F7960" t="inlineStr">
        <is>
          <t>BBC 1500kVA</t>
        </is>
      </c>
      <c r="J7960" t="inlineStr">
        <is>
          <t>DUBOIS</t>
        </is>
      </c>
      <c r="L7960">
        <f>_xlfn.XLOOKUP(Tableau1[[#This Row],[TYPE DE PIECE]],Tableau4[MATIERE],Tableau4[SHORT TYPE],"",0,1)</f>
        <v/>
      </c>
      <c r="N7960">
        <f>IF(ISERR(FIND("DECOUPE",Tableau1[[#This Row],[DESIGNATION]])),"","NEED REF")</f>
        <v/>
      </c>
    </row>
    <row r="7961">
      <c r="B7961" t="n">
        <v>34406044</v>
      </c>
      <c r="C7961" s="2" t="n">
        <v>42846</v>
      </c>
      <c r="E7961" t="inlineStr">
        <is>
          <t>c'est à moi</t>
        </is>
      </c>
      <c r="F7961" t="inlineStr">
        <is>
          <t>BBC 1500kVA</t>
        </is>
      </c>
      <c r="J7961" t="inlineStr">
        <is>
          <t>DUBOIS</t>
        </is>
      </c>
      <c r="L7961">
        <f>_xlfn.XLOOKUP(Tableau1[[#This Row],[TYPE DE PIECE]],Tableau4[MATIERE],Tableau4[SHORT TYPE],"",0,1)</f>
        <v/>
      </c>
      <c r="N7961">
        <f>IF(ISERR(FIND("DECOUPE",Tableau1[[#This Row],[DESIGNATION]])),"","NEED REF")</f>
        <v/>
      </c>
    </row>
    <row r="7962">
      <c r="B7962" t="n">
        <v>34406043</v>
      </c>
      <c r="C7962" s="2" t="n">
        <v>42846</v>
      </c>
      <c r="E7962" t="inlineStr">
        <is>
          <t>c'est à moi</t>
        </is>
      </c>
      <c r="F7962" t="inlineStr">
        <is>
          <t>BBC 1500kVA</t>
        </is>
      </c>
      <c r="J7962" t="inlineStr">
        <is>
          <t>DUBOIS</t>
        </is>
      </c>
      <c r="L7962">
        <f>_xlfn.XLOOKUP(Tableau1[[#This Row],[TYPE DE PIECE]],Tableau4[MATIERE],Tableau4[SHORT TYPE],"",0,1)</f>
        <v/>
      </c>
      <c r="N7962">
        <f>IF(ISERR(FIND("DECOUPE",Tableau1[[#This Row],[DESIGNATION]])),"","NEED REF")</f>
        <v/>
      </c>
    </row>
    <row r="7963">
      <c r="B7963" t="n">
        <v>34406042</v>
      </c>
      <c r="C7963" s="2" t="n">
        <v>42846</v>
      </c>
      <c r="E7963" t="inlineStr">
        <is>
          <t>c'est à moi</t>
        </is>
      </c>
      <c r="F7963" t="inlineStr">
        <is>
          <t>BBC 1500kVA</t>
        </is>
      </c>
      <c r="J7963" t="inlineStr">
        <is>
          <t>DUBOIS</t>
        </is>
      </c>
      <c r="L7963">
        <f>_xlfn.XLOOKUP(Tableau1[[#This Row],[TYPE DE PIECE]],Tableau4[MATIERE],Tableau4[SHORT TYPE],"",0,1)</f>
        <v/>
      </c>
      <c r="N7963">
        <f>IF(ISERR(FIND("DECOUPE",Tableau1[[#This Row],[DESIGNATION]])),"","NEED REF")</f>
        <v/>
      </c>
    </row>
    <row r="7964">
      <c r="B7964" t="n">
        <v>34406041</v>
      </c>
      <c r="C7964" s="2" t="n">
        <v>42846</v>
      </c>
      <c r="E7964" t="inlineStr">
        <is>
          <t>c'est à moi</t>
        </is>
      </c>
      <c r="F7964" t="inlineStr">
        <is>
          <t>BBC 1500kVA</t>
        </is>
      </c>
      <c r="J7964" t="inlineStr">
        <is>
          <t>DUBOIS</t>
        </is>
      </c>
      <c r="L7964">
        <f>_xlfn.XLOOKUP(Tableau1[[#This Row],[TYPE DE PIECE]],Tableau4[MATIERE],Tableau4[SHORT TYPE],"",0,1)</f>
        <v/>
      </c>
      <c r="N7964">
        <f>IF(ISERR(FIND("DECOUPE",Tableau1[[#This Row],[DESIGNATION]])),"","NEED REF")</f>
        <v/>
      </c>
    </row>
    <row r="7965">
      <c r="B7965" t="n">
        <v>34406040</v>
      </c>
      <c r="C7965" s="2" t="n">
        <v>42846</v>
      </c>
      <c r="E7965" t="inlineStr">
        <is>
          <t>c'est à moi</t>
        </is>
      </c>
      <c r="F7965" t="inlineStr">
        <is>
          <t>BBC 1500kVA</t>
        </is>
      </c>
      <c r="J7965" t="inlineStr">
        <is>
          <t>DUBOIS</t>
        </is>
      </c>
      <c r="L7965">
        <f>_xlfn.XLOOKUP(Tableau1[[#This Row],[TYPE DE PIECE]],Tableau4[MATIERE],Tableau4[SHORT TYPE],"",0,1)</f>
        <v/>
      </c>
      <c r="N7965">
        <f>IF(ISERR(FIND("DECOUPE",Tableau1[[#This Row],[DESIGNATION]])),"","NEED REF")</f>
        <v/>
      </c>
    </row>
    <row r="7966">
      <c r="B7966" t="n">
        <v>34406039</v>
      </c>
      <c r="C7966" s="2" t="n">
        <v>42846</v>
      </c>
      <c r="E7966" t="inlineStr">
        <is>
          <t>c'est à moi</t>
        </is>
      </c>
      <c r="F7966" t="inlineStr">
        <is>
          <t>BBC 1500kVA</t>
        </is>
      </c>
      <c r="J7966" t="inlineStr">
        <is>
          <t>DUBOIS</t>
        </is>
      </c>
      <c r="L7966">
        <f>_xlfn.XLOOKUP(Tableau1[[#This Row],[TYPE DE PIECE]],Tableau4[MATIERE],Tableau4[SHORT TYPE],"",0,1)</f>
        <v/>
      </c>
      <c r="N7966">
        <f>IF(ISERR(FIND("DECOUPE",Tableau1[[#This Row],[DESIGNATION]])),"","NEED REF")</f>
        <v/>
      </c>
    </row>
    <row r="7967">
      <c r="B7967" t="n">
        <v>34406038</v>
      </c>
      <c r="C7967" s="2" t="n">
        <v>42846</v>
      </c>
      <c r="E7967" t="inlineStr">
        <is>
          <t>c'est à moi</t>
        </is>
      </c>
      <c r="F7967" t="inlineStr">
        <is>
          <t>BBC 1500kVA</t>
        </is>
      </c>
      <c r="J7967" t="inlineStr">
        <is>
          <t>DUBOIS</t>
        </is>
      </c>
      <c r="L7967">
        <f>_xlfn.XLOOKUP(Tableau1[[#This Row],[TYPE DE PIECE]],Tableau4[MATIERE],Tableau4[SHORT TYPE],"",0,1)</f>
        <v/>
      </c>
      <c r="N7967">
        <f>IF(ISERR(FIND("DECOUPE",Tableau1[[#This Row],[DESIGNATION]])),"","NEED REF")</f>
        <v/>
      </c>
    </row>
    <row r="7968">
      <c r="B7968" t="n">
        <v>34406037</v>
      </c>
      <c r="C7968" s="2" t="n">
        <v>42846</v>
      </c>
      <c r="E7968" t="inlineStr">
        <is>
          <t>c'est à moi</t>
        </is>
      </c>
      <c r="F7968" t="inlineStr">
        <is>
          <t>BBC 1500kVA</t>
        </is>
      </c>
      <c r="J7968" t="inlineStr">
        <is>
          <t>DUBOIS</t>
        </is>
      </c>
      <c r="L7968">
        <f>_xlfn.XLOOKUP(Tableau1[[#This Row],[TYPE DE PIECE]],Tableau4[MATIERE],Tableau4[SHORT TYPE],"",0,1)</f>
        <v/>
      </c>
      <c r="N7968">
        <f>IF(ISERR(FIND("DECOUPE",Tableau1[[#This Row],[DESIGNATION]])),"","NEED REF")</f>
        <v/>
      </c>
    </row>
    <row r="7969">
      <c r="B7969" t="n">
        <v>34406036</v>
      </c>
      <c r="C7969" s="2" t="n">
        <v>42846</v>
      </c>
      <c r="E7969" t="inlineStr">
        <is>
          <t>c'est à moi</t>
        </is>
      </c>
      <c r="F7969" t="inlineStr">
        <is>
          <t>BBC 1500kVA</t>
        </is>
      </c>
      <c r="J7969" t="inlineStr">
        <is>
          <t>DUBOIS</t>
        </is>
      </c>
      <c r="L7969">
        <f>_xlfn.XLOOKUP(Tableau1[[#This Row],[TYPE DE PIECE]],Tableau4[MATIERE],Tableau4[SHORT TYPE],"",0,1)</f>
        <v/>
      </c>
      <c r="N7969">
        <f>IF(ISERR(FIND("DECOUPE",Tableau1[[#This Row],[DESIGNATION]])),"","NEED REF")</f>
        <v/>
      </c>
    </row>
    <row r="7970">
      <c r="B7970" t="n">
        <v>34406035</v>
      </c>
      <c r="C7970" s="2" t="n">
        <v>42846</v>
      </c>
      <c r="E7970" t="inlineStr">
        <is>
          <t>c'est à moi</t>
        </is>
      </c>
      <c r="F7970" t="inlineStr">
        <is>
          <t>BBC 1500kVA</t>
        </is>
      </c>
      <c r="J7970" t="inlineStr">
        <is>
          <t>DUBOIS</t>
        </is>
      </c>
      <c r="L7970">
        <f>_xlfn.XLOOKUP(Tableau1[[#This Row],[TYPE DE PIECE]],Tableau4[MATIERE],Tableau4[SHORT TYPE],"",0,1)</f>
        <v/>
      </c>
      <c r="N7970">
        <f>IF(ISERR(FIND("DECOUPE",Tableau1[[#This Row],[DESIGNATION]])),"","NEED REF")</f>
        <v/>
      </c>
    </row>
    <row r="7971">
      <c r="B7971" t="n">
        <v>34406034</v>
      </c>
      <c r="C7971" s="2" t="n">
        <v>42846</v>
      </c>
      <c r="E7971" t="inlineStr">
        <is>
          <t>c'est à moi</t>
        </is>
      </c>
      <c r="F7971" t="inlineStr">
        <is>
          <t>BBC 1500kVA</t>
        </is>
      </c>
      <c r="J7971" t="inlineStr">
        <is>
          <t>DUBOIS</t>
        </is>
      </c>
      <c r="L7971">
        <f>_xlfn.XLOOKUP(Tableau1[[#This Row],[TYPE DE PIECE]],Tableau4[MATIERE],Tableau4[SHORT TYPE],"",0,1)</f>
        <v/>
      </c>
      <c r="N7971">
        <f>IF(ISERR(FIND("DECOUPE",Tableau1[[#This Row],[DESIGNATION]])),"","NEED REF")</f>
        <v/>
      </c>
    </row>
    <row r="7972">
      <c r="B7972" t="n">
        <v>34406033</v>
      </c>
      <c r="C7972" s="2" t="n">
        <v>42845</v>
      </c>
      <c r="D7972" t="inlineStr">
        <is>
          <t>SPEC</t>
        </is>
      </c>
      <c r="E7972" t="inlineStr">
        <is>
          <t>Jonction neutre R2-UTIL</t>
        </is>
      </c>
      <c r="F7972" t="inlineStr">
        <is>
          <t>VX TGAB 1500</t>
        </is>
      </c>
      <c r="J7972" t="inlineStr">
        <is>
          <t>ROBERT</t>
        </is>
      </c>
      <c r="L7972">
        <f>_xlfn.XLOOKUP(Tableau1[[#This Row],[TYPE DE PIECE]],Tableau4[MATIERE],Tableau4[SHORT TYPE],"",0,1)</f>
        <v/>
      </c>
      <c r="N7972">
        <f>IF(ISERR(FIND("DECOUPE",Tableau1[[#This Row],[DESIGNATION]])),"","NEED REF")</f>
        <v/>
      </c>
    </row>
    <row r="7973">
      <c r="B7973" t="n">
        <v>34406032</v>
      </c>
      <c r="C7973" s="2" t="n">
        <v>42845</v>
      </c>
      <c r="D7973" t="inlineStr">
        <is>
          <t>SPEC</t>
        </is>
      </c>
      <c r="E7973" t="inlineStr">
        <is>
          <t>Jonction neutre R2</t>
        </is>
      </c>
      <c r="F7973" t="inlineStr">
        <is>
          <t>VX TGAB 1500</t>
        </is>
      </c>
      <c r="J7973" t="inlineStr">
        <is>
          <t>ROBERT</t>
        </is>
      </c>
      <c r="L7973">
        <f>_xlfn.XLOOKUP(Tableau1[[#This Row],[TYPE DE PIECE]],Tableau4[MATIERE],Tableau4[SHORT TYPE],"",0,1)</f>
        <v/>
      </c>
      <c r="N7973">
        <f>IF(ISERR(FIND("DECOUPE",Tableau1[[#This Row],[DESIGNATION]])),"","NEED REF")</f>
        <v/>
      </c>
    </row>
    <row r="7974">
      <c r="B7974" t="n">
        <v>34406031</v>
      </c>
      <c r="C7974" s="2" t="n">
        <v>42845</v>
      </c>
      <c r="D7974" t="inlineStr">
        <is>
          <t>SPEC</t>
        </is>
      </c>
      <c r="E7974" t="inlineStr">
        <is>
          <t>Barre neutre</t>
        </is>
      </c>
      <c r="F7974" t="inlineStr">
        <is>
          <t>VX TGAB 1500</t>
        </is>
      </c>
      <c r="J7974" t="inlineStr">
        <is>
          <t>ROBERT</t>
        </is>
      </c>
      <c r="L7974">
        <f>_xlfn.XLOOKUP(Tableau1[[#This Row],[TYPE DE PIECE]],Tableau4[MATIERE],Tableau4[SHORT TYPE],"",0,1)</f>
        <v/>
      </c>
      <c r="N7974">
        <f>IF(ISERR(FIND("DECOUPE",Tableau1[[#This Row],[DESIGNATION]])),"","NEED REF")</f>
        <v/>
      </c>
    </row>
    <row r="7975">
      <c r="B7975" t="n">
        <v>34406030</v>
      </c>
      <c r="C7975" s="2" t="n">
        <v>42845</v>
      </c>
      <c r="D7975" t="inlineStr">
        <is>
          <t>SPEC</t>
        </is>
      </c>
      <c r="E7975" t="inlineStr">
        <is>
          <t>Liaison neutre TGAB</t>
        </is>
      </c>
      <c r="F7975" t="inlineStr">
        <is>
          <t>VX TGAB 1500</t>
        </is>
      </c>
      <c r="J7975" t="inlineStr">
        <is>
          <t>ROBERT</t>
        </is>
      </c>
      <c r="L7975">
        <f>_xlfn.XLOOKUP(Tableau1[[#This Row],[TYPE DE PIECE]],Tableau4[MATIERE],Tableau4[SHORT TYPE],"",0,1)</f>
        <v/>
      </c>
      <c r="N7975">
        <f>IF(ISERR(FIND("DECOUPE",Tableau1[[#This Row],[DESIGNATION]])),"","NEED REF")</f>
        <v/>
      </c>
    </row>
    <row r="7976">
      <c r="B7976" t="n">
        <v>34406029</v>
      </c>
      <c r="C7976" s="2" t="n">
        <v>42845</v>
      </c>
      <c r="D7976" t="inlineStr">
        <is>
          <t>SPEC</t>
        </is>
      </c>
      <c r="E7976" t="inlineStr">
        <is>
          <t>CORO L3 reseau1</t>
        </is>
      </c>
      <c r="F7976" t="inlineStr">
        <is>
          <t>VX TGAB 1500</t>
        </is>
      </c>
      <c r="J7976" t="inlineStr">
        <is>
          <t>ROBERT</t>
        </is>
      </c>
      <c r="L7976">
        <f>_xlfn.XLOOKUP(Tableau1[[#This Row],[TYPE DE PIECE]],Tableau4[MATIERE],Tableau4[SHORT TYPE],"",0,1)</f>
        <v/>
      </c>
      <c r="N7976">
        <f>IF(ISERR(FIND("DECOUPE",Tableau1[[#This Row],[DESIGNATION]])),"","NEED REF")</f>
        <v/>
      </c>
    </row>
    <row r="7977">
      <c r="B7977" t="n">
        <v>34406028</v>
      </c>
      <c r="C7977" s="2" t="n">
        <v>42845</v>
      </c>
      <c r="D7977" t="inlineStr">
        <is>
          <t>SPEC</t>
        </is>
      </c>
      <c r="E7977" t="inlineStr">
        <is>
          <t>CORO L2 reseau1</t>
        </is>
      </c>
      <c r="F7977" t="inlineStr">
        <is>
          <t>VX TGAB 1500</t>
        </is>
      </c>
      <c r="J7977" t="inlineStr">
        <is>
          <t>ROBERT</t>
        </is>
      </c>
      <c r="L7977">
        <f>_xlfn.XLOOKUP(Tableau1[[#This Row],[TYPE DE PIECE]],Tableau4[MATIERE],Tableau4[SHORT TYPE],"",0,1)</f>
        <v/>
      </c>
      <c r="N7977">
        <f>IF(ISERR(FIND("DECOUPE",Tableau1[[#This Row],[DESIGNATION]])),"","NEED REF")</f>
        <v/>
      </c>
    </row>
    <row r="7978">
      <c r="B7978" t="n">
        <v>34406027</v>
      </c>
      <c r="C7978" s="2" t="n">
        <v>42845</v>
      </c>
      <c r="D7978" t="inlineStr">
        <is>
          <t>SPEC</t>
        </is>
      </c>
      <c r="E7978" t="inlineStr">
        <is>
          <t>CORO L1 reseau1</t>
        </is>
      </c>
      <c r="F7978" t="inlineStr">
        <is>
          <t>VX TGAB 1500</t>
        </is>
      </c>
      <c r="J7978" t="inlineStr">
        <is>
          <t>ROBERT</t>
        </is>
      </c>
      <c r="L7978">
        <f>_xlfn.XLOOKUP(Tableau1[[#This Row],[TYPE DE PIECE]],Tableau4[MATIERE],Tableau4[SHORT TYPE],"",0,1)</f>
        <v/>
      </c>
      <c r="N7978">
        <f>IF(ISERR(FIND("DECOUPE",Tableau1[[#This Row],[DESIGNATION]])),"","NEED REF")</f>
        <v/>
      </c>
    </row>
    <row r="7979">
      <c r="B7979" t="n">
        <v>34406026</v>
      </c>
      <c r="C7979" s="2" t="n">
        <v>42845</v>
      </c>
      <c r="D7979" t="inlineStr">
        <is>
          <t>SPEC</t>
        </is>
      </c>
      <c r="E7979" t="inlineStr">
        <is>
          <t>JONCTION CORO TGAB R2</t>
        </is>
      </c>
      <c r="F7979" t="inlineStr">
        <is>
          <t>VX TGAB 1500</t>
        </is>
      </c>
      <c r="J7979" t="inlineStr">
        <is>
          <t>ROBERT</t>
        </is>
      </c>
      <c r="L7979">
        <f>_xlfn.XLOOKUP(Tableau1[[#This Row],[TYPE DE PIECE]],Tableau4[MATIERE],Tableau4[SHORT TYPE],"",0,1)</f>
        <v/>
      </c>
      <c r="N7979">
        <f>IF(ISERR(FIND("DECOUPE",Tableau1[[#This Row],[DESIGNATION]])),"","NEED REF")</f>
        <v/>
      </c>
    </row>
    <row r="7980">
      <c r="B7980" t="n">
        <v>34406025</v>
      </c>
      <c r="C7980" s="2" t="n">
        <v>42845</v>
      </c>
      <c r="D7980" t="inlineStr">
        <is>
          <t>SPEC</t>
        </is>
      </c>
      <c r="E7980" t="inlineStr">
        <is>
          <t>Fixation barre reseau1</t>
        </is>
      </c>
      <c r="F7980" t="inlineStr">
        <is>
          <t>VX TGAB 1500</t>
        </is>
      </c>
      <c r="J7980" t="inlineStr">
        <is>
          <t>ROBERT</t>
        </is>
      </c>
      <c r="L7980">
        <f>_xlfn.XLOOKUP(Tableau1[[#This Row],[TYPE DE PIECE]],Tableau4[MATIERE],Tableau4[SHORT TYPE],"",0,1)</f>
        <v/>
      </c>
      <c r="N7980">
        <f>IF(ISERR(FIND("DECOUPE",Tableau1[[#This Row],[DESIGNATION]])),"","NEED REF")</f>
        <v/>
      </c>
    </row>
    <row r="7981">
      <c r="B7981" t="n">
        <v>34406024</v>
      </c>
      <c r="C7981" s="2" t="n">
        <v>42845</v>
      </c>
      <c r="D7981" t="inlineStr">
        <is>
          <t>SPEC</t>
        </is>
      </c>
      <c r="E7981" t="inlineStr">
        <is>
          <t>Fixation barre util</t>
        </is>
      </c>
      <c r="F7981" t="inlineStr">
        <is>
          <t>VX TGAB 1500</t>
        </is>
      </c>
      <c r="J7981" t="inlineStr">
        <is>
          <t>ROBERT</t>
        </is>
      </c>
      <c r="L7981">
        <f>_xlfn.XLOOKUP(Tableau1[[#This Row],[TYPE DE PIECE]],Tableau4[MATIERE],Tableau4[SHORT TYPE],"",0,1)</f>
        <v/>
      </c>
      <c r="N7981">
        <f>IF(ISERR(FIND("DECOUPE",Tableau1[[#This Row],[DESIGNATION]])),"","NEED REF")</f>
        <v/>
      </c>
    </row>
    <row r="7982">
      <c r="B7982" t="n">
        <v>34406023</v>
      </c>
      <c r="C7982" s="2" t="n">
        <v>42845</v>
      </c>
      <c r="D7982" t="inlineStr">
        <is>
          <t>SPEC</t>
        </is>
      </c>
      <c r="E7982" t="inlineStr">
        <is>
          <t>Fixation barre reseau2</t>
        </is>
      </c>
      <c r="F7982" t="inlineStr">
        <is>
          <t>VX TGAB 1500</t>
        </is>
      </c>
      <c r="J7982" t="inlineStr">
        <is>
          <t>ROBERT</t>
        </is>
      </c>
      <c r="L7982">
        <f>_xlfn.XLOOKUP(Tableau1[[#This Row],[TYPE DE PIECE]],Tableau4[MATIERE],Tableau4[SHORT TYPE],"",0,1)</f>
        <v/>
      </c>
      <c r="N7982">
        <f>IF(ISERR(FIND("DECOUPE",Tableau1[[#This Row],[DESIGNATION]])),"","NEED REF")</f>
        <v/>
      </c>
    </row>
    <row r="7983">
      <c r="B7983" t="n">
        <v>34406022</v>
      </c>
      <c r="C7983" s="2" t="n">
        <v>42845</v>
      </c>
      <c r="D7983" t="inlineStr">
        <is>
          <t>SPEC</t>
        </is>
      </c>
      <c r="E7983" t="inlineStr">
        <is>
          <t>Fixation barre reseau1</t>
        </is>
      </c>
      <c r="F7983" t="inlineStr">
        <is>
          <t>VX TGAB 1500</t>
        </is>
      </c>
      <c r="J7983" t="inlineStr">
        <is>
          <t>ROBERT</t>
        </is>
      </c>
      <c r="L7983">
        <f>_xlfn.XLOOKUP(Tableau1[[#This Row],[TYPE DE PIECE]],Tableau4[MATIERE],Tableau4[SHORT TYPE],"",0,1)</f>
        <v/>
      </c>
      <c r="N7983">
        <f>IF(ISERR(FIND("DECOUPE",Tableau1[[#This Row],[DESIGNATION]])),"","NEED REF")</f>
        <v/>
      </c>
    </row>
    <row r="7984">
      <c r="B7984" t="n">
        <v>34406021</v>
      </c>
      <c r="C7984" s="2" t="n">
        <v>42845</v>
      </c>
      <c r="D7984" t="inlineStr">
        <is>
          <t>SPEC</t>
        </is>
      </c>
      <c r="E7984" t="inlineStr">
        <is>
          <t>CX L3 Reseau2</t>
        </is>
      </c>
      <c r="F7984" t="inlineStr">
        <is>
          <t>VX TGAB 1500</t>
        </is>
      </c>
      <c r="J7984" t="inlineStr">
        <is>
          <t>ROBERT</t>
        </is>
      </c>
      <c r="L7984">
        <f>_xlfn.XLOOKUP(Tableau1[[#This Row],[TYPE DE PIECE]],Tableau4[MATIERE],Tableau4[SHORT TYPE],"",0,1)</f>
        <v/>
      </c>
      <c r="N7984">
        <f>IF(ISERR(FIND("DECOUPE",Tableau1[[#This Row],[DESIGNATION]])),"","NEED REF")</f>
        <v/>
      </c>
    </row>
    <row r="7985">
      <c r="B7985" t="n">
        <v>34406020</v>
      </c>
      <c r="C7985" s="2" t="n">
        <v>42845</v>
      </c>
      <c r="D7985" t="inlineStr">
        <is>
          <t>SPEC</t>
        </is>
      </c>
      <c r="E7985" t="inlineStr">
        <is>
          <t>CX L2 Reseau2</t>
        </is>
      </c>
      <c r="F7985" t="inlineStr">
        <is>
          <t>VX TGAB 1500</t>
        </is>
      </c>
      <c r="J7985" t="inlineStr">
        <is>
          <t>ROBERT</t>
        </is>
      </c>
      <c r="L7985">
        <f>_xlfn.XLOOKUP(Tableau1[[#This Row],[TYPE DE PIECE]],Tableau4[MATIERE],Tableau4[SHORT TYPE],"",0,1)</f>
        <v/>
      </c>
      <c r="N7985">
        <f>IF(ISERR(FIND("DECOUPE",Tableau1[[#This Row],[DESIGNATION]])),"","NEED REF")</f>
        <v/>
      </c>
    </row>
    <row r="7986">
      <c r="B7986" t="n">
        <v>34406019</v>
      </c>
      <c r="C7986" s="2" t="n">
        <v>42845</v>
      </c>
      <c r="D7986" t="inlineStr">
        <is>
          <t>SPEC</t>
        </is>
      </c>
      <c r="E7986" t="inlineStr">
        <is>
          <t>CX L1 Reseau2</t>
        </is>
      </c>
      <c r="F7986" t="inlineStr">
        <is>
          <t>VX TGAB 1500</t>
        </is>
      </c>
      <c r="J7986" t="inlineStr">
        <is>
          <t>ROBERT</t>
        </is>
      </c>
      <c r="L7986">
        <f>_xlfn.XLOOKUP(Tableau1[[#This Row],[TYPE DE PIECE]],Tableau4[MATIERE],Tableau4[SHORT TYPE],"",0,1)</f>
        <v/>
      </c>
      <c r="N7986">
        <f>IF(ISERR(FIND("DECOUPE",Tableau1[[#This Row],[DESIGNATION]])),"","NEED REF")</f>
        <v/>
      </c>
    </row>
    <row r="7987">
      <c r="B7987" t="n">
        <v>34406018</v>
      </c>
      <c r="C7987" s="2" t="n">
        <v>42845</v>
      </c>
      <c r="D7987" t="inlineStr">
        <is>
          <t>SPEC</t>
        </is>
      </c>
      <c r="E7987" t="inlineStr">
        <is>
          <t>CORO L3 Reseau2</t>
        </is>
      </c>
      <c r="F7987" t="inlineStr">
        <is>
          <t>VX TGAB 1500</t>
        </is>
      </c>
      <c r="J7987" t="inlineStr">
        <is>
          <t>ROBERT</t>
        </is>
      </c>
      <c r="L7987">
        <f>_xlfn.XLOOKUP(Tableau1[[#This Row],[TYPE DE PIECE]],Tableau4[MATIERE],Tableau4[SHORT TYPE],"",0,1)</f>
        <v/>
      </c>
      <c r="N7987">
        <f>IF(ISERR(FIND("DECOUPE",Tableau1[[#This Row],[DESIGNATION]])),"","NEED REF")</f>
        <v/>
      </c>
    </row>
    <row r="7988">
      <c r="B7988" t="n">
        <v>34406017</v>
      </c>
      <c r="C7988" s="2" t="n">
        <v>42845</v>
      </c>
      <c r="D7988" t="inlineStr">
        <is>
          <t>SPEC</t>
        </is>
      </c>
      <c r="E7988" t="inlineStr">
        <is>
          <t>CORO L2 Reseau2</t>
        </is>
      </c>
      <c r="F7988" t="inlineStr">
        <is>
          <t>VX TGAB 1500</t>
        </is>
      </c>
      <c r="J7988" t="inlineStr">
        <is>
          <t>ROBERT</t>
        </is>
      </c>
      <c r="L7988">
        <f>_xlfn.XLOOKUP(Tableau1[[#This Row],[TYPE DE PIECE]],Tableau4[MATIERE],Tableau4[SHORT TYPE],"",0,1)</f>
        <v/>
      </c>
      <c r="N7988">
        <f>IF(ISERR(FIND("DECOUPE",Tableau1[[#This Row],[DESIGNATION]])),"","NEED REF")</f>
        <v/>
      </c>
    </row>
    <row r="7989">
      <c r="B7989" t="n">
        <v>34406016</v>
      </c>
      <c r="C7989" s="2" t="n">
        <v>42845</v>
      </c>
      <c r="D7989" t="inlineStr">
        <is>
          <t>SPEC</t>
        </is>
      </c>
      <c r="E7989" t="inlineStr">
        <is>
          <t>CORO L1 Reseau2</t>
        </is>
      </c>
      <c r="F7989" t="inlineStr">
        <is>
          <t>VX TGAB 1500</t>
        </is>
      </c>
      <c r="J7989" t="inlineStr">
        <is>
          <t>ROBERT</t>
        </is>
      </c>
      <c r="L7989">
        <f>_xlfn.XLOOKUP(Tableau1[[#This Row],[TYPE DE PIECE]],Tableau4[MATIERE],Tableau4[SHORT TYPE],"",0,1)</f>
        <v/>
      </c>
      <c r="N7989">
        <f>IF(ISERR(FIND("DECOUPE",Tableau1[[#This Row],[DESIGNATION]])),"","NEED REF")</f>
        <v/>
      </c>
    </row>
    <row r="7990">
      <c r="B7990" t="n">
        <v>34406015</v>
      </c>
      <c r="C7990" s="2" t="n">
        <v>42845</v>
      </c>
      <c r="D7990" t="inlineStr">
        <is>
          <t>SPEC</t>
        </is>
      </c>
      <c r="E7990" t="inlineStr">
        <is>
          <t>CORO L3 UTIL</t>
        </is>
      </c>
      <c r="F7990" t="inlineStr">
        <is>
          <t>VX TGAB 1500</t>
        </is>
      </c>
      <c r="J7990" t="inlineStr">
        <is>
          <t>ROBERT</t>
        </is>
      </c>
      <c r="L7990">
        <f>_xlfn.XLOOKUP(Tableau1[[#This Row],[TYPE DE PIECE]],Tableau4[MATIERE],Tableau4[SHORT TYPE],"",0,1)</f>
        <v/>
      </c>
      <c r="N7990">
        <f>IF(ISERR(FIND("DECOUPE",Tableau1[[#This Row],[DESIGNATION]])),"","NEED REF")</f>
        <v/>
      </c>
    </row>
    <row r="7991">
      <c r="B7991" t="n">
        <v>34406014</v>
      </c>
      <c r="C7991" s="2" t="n">
        <v>42845</v>
      </c>
      <c r="D7991" t="inlineStr">
        <is>
          <t>SPEC</t>
        </is>
      </c>
      <c r="E7991" t="inlineStr">
        <is>
          <t>CORO L2 UTIL</t>
        </is>
      </c>
      <c r="F7991" t="inlineStr">
        <is>
          <t>VX TGAB 1500</t>
        </is>
      </c>
      <c r="J7991" t="inlineStr">
        <is>
          <t>ROBERT</t>
        </is>
      </c>
      <c r="L7991">
        <f>_xlfn.XLOOKUP(Tableau1[[#This Row],[TYPE DE PIECE]],Tableau4[MATIERE],Tableau4[SHORT TYPE],"",0,1)</f>
        <v/>
      </c>
      <c r="N7991">
        <f>IF(ISERR(FIND("DECOUPE",Tableau1[[#This Row],[DESIGNATION]])),"","NEED REF")</f>
        <v/>
      </c>
    </row>
    <row r="7992">
      <c r="B7992" t="n">
        <v>34406013</v>
      </c>
      <c r="C7992" s="2" t="n">
        <v>42845</v>
      </c>
      <c r="D7992" t="inlineStr">
        <is>
          <t>SPEC</t>
        </is>
      </c>
      <c r="E7992" t="inlineStr">
        <is>
          <t>CORO L1 UTIL</t>
        </is>
      </c>
      <c r="F7992" t="inlineStr">
        <is>
          <t>VX TGAB 1500</t>
        </is>
      </c>
      <c r="J7992" t="inlineStr">
        <is>
          <t>ROBERT</t>
        </is>
      </c>
      <c r="L7992">
        <f>_xlfn.XLOOKUP(Tableau1[[#This Row],[TYPE DE PIECE]],Tableau4[MATIERE],Tableau4[SHORT TYPE],"",0,1)</f>
        <v/>
      </c>
      <c r="N7992">
        <f>IF(ISERR(FIND("DECOUPE",Tableau1[[#This Row],[DESIGNATION]])),"","NEED REF")</f>
        <v/>
      </c>
    </row>
    <row r="7993">
      <c r="B7993" t="n">
        <v>34406012</v>
      </c>
      <c r="C7993" s="2" t="n">
        <v>42844</v>
      </c>
      <c r="D7993" t="inlineStr">
        <is>
          <t>SPEC</t>
        </is>
      </c>
      <c r="F7993" t="inlineStr">
        <is>
          <t>MBC 1500kVA GVX</t>
        </is>
      </c>
      <c r="J7993" t="inlineStr">
        <is>
          <t>MATRION</t>
        </is>
      </c>
      <c r="L7993">
        <f>_xlfn.XLOOKUP(Tableau1[[#This Row],[TYPE DE PIECE]],Tableau4[MATIERE],Tableau4[SHORT TYPE],"",0,1)</f>
        <v/>
      </c>
      <c r="N7993">
        <f>IF(ISERR(FIND("DECOUPE",Tableau1[[#This Row],[DESIGNATION]])),"","NEED REF")</f>
        <v/>
      </c>
    </row>
    <row r="7994">
      <c r="B7994" t="n">
        <v>34406011</v>
      </c>
      <c r="C7994" s="2" t="n">
        <v>42844</v>
      </c>
      <c r="D7994" t="inlineStr">
        <is>
          <t>SPEC</t>
        </is>
      </c>
      <c r="F7994" t="inlineStr">
        <is>
          <t>MBC 1500kVA GVX</t>
        </is>
      </c>
      <c r="J7994" t="inlineStr">
        <is>
          <t>MATRION</t>
        </is>
      </c>
      <c r="L7994">
        <f>_xlfn.XLOOKUP(Tableau1[[#This Row],[TYPE DE PIECE]],Tableau4[MATIERE],Tableau4[SHORT TYPE],"",0,1)</f>
        <v/>
      </c>
      <c r="N7994">
        <f>IF(ISERR(FIND("DECOUPE",Tableau1[[#This Row],[DESIGNATION]])),"","NEED REF")</f>
        <v/>
      </c>
    </row>
    <row r="7995">
      <c r="B7995" t="n">
        <v>34406010</v>
      </c>
      <c r="C7995" s="2" t="n">
        <v>42844</v>
      </c>
      <c r="D7995" t="inlineStr">
        <is>
          <t>SPEC</t>
        </is>
      </c>
      <c r="E7995" t="inlineStr">
        <is>
          <t>CX 2 PE TGAB PRISMA</t>
        </is>
      </c>
      <c r="F7995" t="inlineStr">
        <is>
          <t>MBC 1500kVA GVX</t>
        </is>
      </c>
      <c r="J7995" t="inlineStr">
        <is>
          <t>MATRION</t>
        </is>
      </c>
      <c r="L7995">
        <f>_xlfn.XLOOKUP(Tableau1[[#This Row],[TYPE DE PIECE]],Tableau4[MATIERE],Tableau4[SHORT TYPE],"",0,1)</f>
        <v/>
      </c>
      <c r="N7995">
        <f>IF(ISERR(FIND("DECOUPE",Tableau1[[#This Row],[DESIGNATION]])),"","NEED REF")</f>
        <v/>
      </c>
    </row>
    <row r="7996">
      <c r="B7996" t="n">
        <v>34406009</v>
      </c>
      <c r="C7996" s="2" t="n">
        <v>42844</v>
      </c>
      <c r="D7996" t="inlineStr">
        <is>
          <t>SPEC</t>
        </is>
      </c>
      <c r="E7996" t="inlineStr">
        <is>
          <t>CX EQUERRE LIAISON 8</t>
        </is>
      </c>
      <c r="F7996" t="inlineStr">
        <is>
          <t>MBC 1500kVA GVX</t>
        </is>
      </c>
      <c r="J7996" t="inlineStr">
        <is>
          <t>MATRION</t>
        </is>
      </c>
      <c r="K7996" t="inlineStr">
        <is>
          <t>JDB ALU T4</t>
        </is>
      </c>
      <c r="L7996">
        <f>_xlfn.XLOOKUP(Tableau1[[#This Row],[TYPE DE PIECE]],Tableau4[MATIERE],Tableau4[SHORT TYPE],"",0,1)</f>
        <v/>
      </c>
      <c r="N7996">
        <f>IF(ISERR(FIND("DECOUPE",Tableau1[[#This Row],[DESIGNATION]])),"","NEED REF")</f>
        <v/>
      </c>
    </row>
    <row r="7997">
      <c r="B7997" t="n">
        <v>34406008</v>
      </c>
      <c r="C7997" s="2" t="n">
        <v>42844</v>
      </c>
      <c r="D7997" t="inlineStr">
        <is>
          <t>SPEC</t>
        </is>
      </c>
      <c r="E7997" t="inlineStr">
        <is>
          <t>CX EQUERRE LIAISON 7</t>
        </is>
      </c>
      <c r="F7997" t="inlineStr">
        <is>
          <t>MBC 1500kVA GVX</t>
        </is>
      </c>
      <c r="J7997" t="inlineStr">
        <is>
          <t>MATRION</t>
        </is>
      </c>
      <c r="K7997" t="inlineStr">
        <is>
          <t>JDB ALU T4</t>
        </is>
      </c>
      <c r="L7997">
        <f>_xlfn.XLOOKUP(Tableau1[[#This Row],[TYPE DE PIECE]],Tableau4[MATIERE],Tableau4[SHORT TYPE],"",0,1)</f>
        <v/>
      </c>
      <c r="N7997">
        <f>IF(ISERR(FIND("DECOUPE",Tableau1[[#This Row],[DESIGNATION]])),"","NEED REF")</f>
        <v/>
      </c>
    </row>
    <row r="7998">
      <c r="B7998" t="n">
        <v>34406007</v>
      </c>
      <c r="C7998" s="2" t="n">
        <v>42844</v>
      </c>
      <c r="D7998" t="inlineStr">
        <is>
          <t>SPEC</t>
        </is>
      </c>
      <c r="E7998" t="inlineStr">
        <is>
          <t>CX EQUERRE LIAISON 6</t>
        </is>
      </c>
      <c r="F7998" t="inlineStr">
        <is>
          <t>MBC 1500kVA GVX</t>
        </is>
      </c>
      <c r="J7998" t="inlineStr">
        <is>
          <t>MATRION</t>
        </is>
      </c>
      <c r="K7998" t="inlineStr">
        <is>
          <t>JDB ALU T4</t>
        </is>
      </c>
      <c r="L7998">
        <f>_xlfn.XLOOKUP(Tableau1[[#This Row],[TYPE DE PIECE]],Tableau4[MATIERE],Tableau4[SHORT TYPE],"",0,1)</f>
        <v/>
      </c>
      <c r="N7998">
        <f>IF(ISERR(FIND("DECOUPE",Tableau1[[#This Row],[DESIGNATION]])),"","NEED REF")</f>
        <v/>
      </c>
    </row>
    <row r="7999">
      <c r="B7999" t="n">
        <v>34406006</v>
      </c>
      <c r="C7999" s="2" t="n">
        <v>42844</v>
      </c>
      <c r="D7999" t="inlineStr">
        <is>
          <t>SPEC</t>
        </is>
      </c>
      <c r="E7999" t="inlineStr">
        <is>
          <t>CX EQUERRE LIAISON 5</t>
        </is>
      </c>
      <c r="F7999" t="inlineStr">
        <is>
          <t>MBC 1500kVA GVX</t>
        </is>
      </c>
      <c r="J7999" t="inlineStr">
        <is>
          <t>MATRION</t>
        </is>
      </c>
      <c r="K7999" t="inlineStr">
        <is>
          <t>JDB ALU T4</t>
        </is>
      </c>
      <c r="L7999">
        <f>_xlfn.XLOOKUP(Tableau1[[#This Row],[TYPE DE PIECE]],Tableau4[MATIERE],Tableau4[SHORT TYPE],"",0,1)</f>
        <v/>
      </c>
      <c r="N7999">
        <f>IF(ISERR(FIND("DECOUPE",Tableau1[[#This Row],[DESIGNATION]])),"","NEED REF")</f>
        <v/>
      </c>
    </row>
    <row r="8000">
      <c r="B8000" t="n">
        <v>34406005</v>
      </c>
      <c r="C8000" s="2" t="n">
        <v>42844</v>
      </c>
      <c r="D8000" t="inlineStr">
        <is>
          <t>SPEC</t>
        </is>
      </c>
      <c r="E8000" t="inlineStr">
        <is>
          <t>CX EQUERRE LIAISON 4</t>
        </is>
      </c>
      <c r="F8000" t="inlineStr">
        <is>
          <t>MBC 1500kVA GVX</t>
        </is>
      </c>
      <c r="J8000" t="inlineStr">
        <is>
          <t>MATRION</t>
        </is>
      </c>
      <c r="K8000" t="inlineStr">
        <is>
          <t>JDB ALU T4</t>
        </is>
      </c>
      <c r="L8000">
        <f>_xlfn.XLOOKUP(Tableau1[[#This Row],[TYPE DE PIECE]],Tableau4[MATIERE],Tableau4[SHORT TYPE],"",0,1)</f>
        <v/>
      </c>
      <c r="N8000">
        <f>IF(ISERR(FIND("DECOUPE",Tableau1[[#This Row],[DESIGNATION]])),"","NEED REF")</f>
        <v/>
      </c>
    </row>
    <row r="8001">
      <c r="B8001" t="n">
        <v>34406004</v>
      </c>
      <c r="C8001" s="2" t="n">
        <v>42844</v>
      </c>
      <c r="D8001" t="inlineStr">
        <is>
          <t>SPEC</t>
        </is>
      </c>
      <c r="E8001" t="inlineStr">
        <is>
          <t>CX EQUERRE LIAISON 3</t>
        </is>
      </c>
      <c r="F8001" t="inlineStr">
        <is>
          <t>MBC 1500kVA GVX</t>
        </is>
      </c>
      <c r="J8001" t="inlineStr">
        <is>
          <t>MATRION</t>
        </is>
      </c>
      <c r="K8001" t="inlineStr">
        <is>
          <t>JDB ALU T4</t>
        </is>
      </c>
      <c r="L8001">
        <f>_xlfn.XLOOKUP(Tableau1[[#This Row],[TYPE DE PIECE]],Tableau4[MATIERE],Tableau4[SHORT TYPE],"",0,1)</f>
        <v/>
      </c>
      <c r="N8001">
        <f>IF(ISERR(FIND("DECOUPE",Tableau1[[#This Row],[DESIGNATION]])),"","NEED REF")</f>
        <v/>
      </c>
    </row>
    <row r="8002">
      <c r="B8002" t="n">
        <v>34406003</v>
      </c>
      <c r="C8002" s="2" t="n">
        <v>42844</v>
      </c>
      <c r="D8002" t="inlineStr">
        <is>
          <t>SPEC</t>
        </is>
      </c>
      <c r="E8002" t="inlineStr">
        <is>
          <t>CX EQUERRE LIAISON 2</t>
        </is>
      </c>
      <c r="F8002" t="inlineStr">
        <is>
          <t>MBC 1500kVA GVX</t>
        </is>
      </c>
      <c r="J8002" t="inlineStr">
        <is>
          <t>MATRION</t>
        </is>
      </c>
      <c r="K8002" t="inlineStr">
        <is>
          <t>JDB ALU T4</t>
        </is>
      </c>
      <c r="L8002">
        <f>_xlfn.XLOOKUP(Tableau1[[#This Row],[TYPE DE PIECE]],Tableau4[MATIERE],Tableau4[SHORT TYPE],"",0,1)</f>
        <v/>
      </c>
      <c r="N8002">
        <f>IF(ISERR(FIND("DECOUPE",Tableau1[[#This Row],[DESIGNATION]])),"","NEED REF")</f>
        <v/>
      </c>
    </row>
    <row r="8003">
      <c r="B8003" t="n">
        <v>34406002</v>
      </c>
      <c r="C8003" s="2" t="n">
        <v>42844</v>
      </c>
      <c r="D8003" t="inlineStr">
        <is>
          <t>SPEC</t>
        </is>
      </c>
      <c r="E8003" t="inlineStr">
        <is>
          <t>CX EQUERRE LIAISON 1</t>
        </is>
      </c>
      <c r="F8003" t="inlineStr">
        <is>
          <t>MBC 1500kVA GVX</t>
        </is>
      </c>
      <c r="J8003" t="inlineStr">
        <is>
          <t>MATRION</t>
        </is>
      </c>
      <c r="K8003" t="inlineStr">
        <is>
          <t>JDB ALU T4</t>
        </is>
      </c>
      <c r="L8003">
        <f>_xlfn.XLOOKUP(Tableau1[[#This Row],[TYPE DE PIECE]],Tableau4[MATIERE],Tableau4[SHORT TYPE],"",0,1)</f>
        <v/>
      </c>
      <c r="N8003">
        <f>IF(ISERR(FIND("DECOUPE",Tableau1[[#This Row],[DESIGNATION]])),"","NEED REF")</f>
        <v/>
      </c>
    </row>
    <row r="8004">
      <c r="B8004" t="n">
        <v>34406001</v>
      </c>
      <c r="C8004" s="2" t="n">
        <v>42844</v>
      </c>
      <c r="D8004" t="inlineStr">
        <is>
          <t>SPEC</t>
        </is>
      </c>
      <c r="E8004" t="inlineStr">
        <is>
          <t>TOIT MBC 1x TGAB</t>
        </is>
      </c>
      <c r="F8004" t="inlineStr">
        <is>
          <t>MBC 1500kVA GVX</t>
        </is>
      </c>
      <c r="J8004" t="inlineStr">
        <is>
          <t>MATRION</t>
        </is>
      </c>
      <c r="K8004" t="inlineStr">
        <is>
          <t>TÖLERIE</t>
        </is>
      </c>
      <c r="L8004">
        <f>_xlfn.XLOOKUP(Tableau1[[#This Row],[TYPE DE PIECE]],Tableau4[MATIERE],Tableau4[SHORT TYPE],"",0,1)</f>
        <v/>
      </c>
      <c r="N8004">
        <f>IF(ISERR(FIND("DECOUPE",Tableau1[[#This Row],[DESIGNATION]])),"","NEED REF")</f>
        <v/>
      </c>
    </row>
    <row r="8005">
      <c r="B8005" t="n">
        <v>34406000</v>
      </c>
      <c r="C8005" s="2" t="n">
        <v>42844</v>
      </c>
      <c r="D8005" t="inlineStr">
        <is>
          <t>SPEC</t>
        </is>
      </c>
      <c r="E8005" t="inlineStr">
        <is>
          <t>TOIT MBC 1x TGAB</t>
        </is>
      </c>
      <c r="F8005" t="inlineStr">
        <is>
          <t>MBC 1500kVA GVX</t>
        </is>
      </c>
      <c r="J8005" t="inlineStr">
        <is>
          <t>MATRION</t>
        </is>
      </c>
      <c r="K8005" t="inlineStr">
        <is>
          <t>TÖLERIE</t>
        </is>
      </c>
      <c r="L8005">
        <f>_xlfn.XLOOKUP(Tableau1[[#This Row],[TYPE DE PIECE]],Tableau4[MATIERE],Tableau4[SHORT TYPE],"",0,1)</f>
        <v/>
      </c>
      <c r="N8005">
        <f>IF(ISERR(FIND("DECOUPE",Tableau1[[#This Row],[DESIGNATION]])),"","NEED REF")</f>
        <v/>
      </c>
    </row>
    <row r="8006">
      <c r="B8006" t="n">
        <v>34405999</v>
      </c>
      <c r="C8006" s="2" t="n">
        <v>42844</v>
      </c>
      <c r="D8006" t="inlineStr">
        <is>
          <t>SPEC</t>
        </is>
      </c>
      <c r="E8006" t="inlineStr">
        <is>
          <t>SUPPORT TGAB GAUCHE</t>
        </is>
      </c>
      <c r="F8006" t="inlineStr">
        <is>
          <t>MBC 1500kVA GVX</t>
        </is>
      </c>
      <c r="J8006" t="inlineStr">
        <is>
          <t>MATRION</t>
        </is>
      </c>
      <c r="K8006" t="inlineStr">
        <is>
          <t>TÖLERIE</t>
        </is>
      </c>
      <c r="L8006">
        <f>_xlfn.XLOOKUP(Tableau1[[#This Row],[TYPE DE PIECE]],Tableau4[MATIERE],Tableau4[SHORT TYPE],"",0,1)</f>
        <v/>
      </c>
      <c r="N8006">
        <f>IF(ISERR(FIND("DECOUPE",Tableau1[[#This Row],[DESIGNATION]])),"","NEED REF")</f>
        <v/>
      </c>
    </row>
    <row r="8007">
      <c r="B8007" t="n">
        <v>34405998</v>
      </c>
      <c r="C8007" s="2" t="n">
        <v>42844</v>
      </c>
      <c r="D8007" t="inlineStr">
        <is>
          <t>SPEC</t>
        </is>
      </c>
      <c r="E8007" t="inlineStr">
        <is>
          <t>SUPPORT JDB 2</t>
        </is>
      </c>
      <c r="F8007" t="inlineStr">
        <is>
          <t>MBC 1500kVA GVX</t>
        </is>
      </c>
      <c r="J8007" t="inlineStr">
        <is>
          <t>MATRION</t>
        </is>
      </c>
      <c r="K8007" t="inlineStr">
        <is>
          <t>TÖLERIE</t>
        </is>
      </c>
      <c r="L8007">
        <f>_xlfn.XLOOKUP(Tableau1[[#This Row],[TYPE DE PIECE]],Tableau4[MATIERE],Tableau4[SHORT TYPE],"",0,1)</f>
        <v/>
      </c>
      <c r="N8007">
        <f>IF(ISERR(FIND("DECOUPE",Tableau1[[#This Row],[DESIGNATION]])),"","NEED REF")</f>
        <v/>
      </c>
    </row>
    <row r="8008">
      <c r="B8008" t="n">
        <v>34405997</v>
      </c>
      <c r="C8008" s="2" t="n">
        <v>42844</v>
      </c>
      <c r="D8008" t="inlineStr">
        <is>
          <t>SPEC</t>
        </is>
      </c>
      <c r="E8008" t="inlineStr">
        <is>
          <t>SUPPORT JDB 1</t>
        </is>
      </c>
      <c r="F8008" t="inlineStr">
        <is>
          <t>MBC 1500kVA GVX</t>
        </is>
      </c>
      <c r="J8008" t="inlineStr">
        <is>
          <t>MATRION</t>
        </is>
      </c>
      <c r="K8008" t="inlineStr">
        <is>
          <t>TÖLERIE</t>
        </is>
      </c>
      <c r="L8008">
        <f>_xlfn.XLOOKUP(Tableau1[[#This Row],[TYPE DE PIECE]],Tableau4[MATIERE],Tableau4[SHORT TYPE],"",0,1)</f>
        <v/>
      </c>
      <c r="N8008">
        <f>IF(ISERR(FIND("DECOUPE",Tableau1[[#This Row],[DESIGNATION]])),"","NEED REF")</f>
        <v/>
      </c>
    </row>
    <row r="8009">
      <c r="B8009" t="n">
        <v>34405996</v>
      </c>
      <c r="C8009" s="2" t="n">
        <v>42844</v>
      </c>
      <c r="D8009" t="inlineStr">
        <is>
          <t>SPEC</t>
        </is>
      </c>
      <c r="F8009" t="inlineStr">
        <is>
          <t>MBC 1500kVA GVX</t>
        </is>
      </c>
      <c r="J8009" t="inlineStr">
        <is>
          <t>MATRION</t>
        </is>
      </c>
      <c r="L8009">
        <f>_xlfn.XLOOKUP(Tableau1[[#This Row],[TYPE DE PIECE]],Tableau4[MATIERE],Tableau4[SHORT TYPE],"",0,1)</f>
        <v/>
      </c>
      <c r="N8009">
        <f>IF(ISERR(FIND("DECOUPE",Tableau1[[#This Row],[DESIGNATION]])),"","NEED REF")</f>
        <v/>
      </c>
    </row>
    <row r="8010">
      <c r="B8010" t="n">
        <v>34405995</v>
      </c>
      <c r="C8010" s="2" t="n">
        <v>42844</v>
      </c>
      <c r="D8010" t="inlineStr">
        <is>
          <t>SPEC</t>
        </is>
      </c>
      <c r="F8010" t="inlineStr">
        <is>
          <t>MBC 1500kVA GVX</t>
        </is>
      </c>
      <c r="J8010" t="inlineStr">
        <is>
          <t>MATRION</t>
        </is>
      </c>
      <c r="L8010">
        <f>_xlfn.XLOOKUP(Tableau1[[#This Row],[TYPE DE PIECE]],Tableau4[MATIERE],Tableau4[SHORT TYPE],"",0,1)</f>
        <v/>
      </c>
      <c r="N8010">
        <f>IF(ISERR(FIND("DECOUPE",Tableau1[[#This Row],[DESIGNATION]])),"","NEED REF")</f>
        <v/>
      </c>
    </row>
    <row r="8011">
      <c r="B8011" t="n">
        <v>34405994</v>
      </c>
      <c r="C8011" s="2" t="n">
        <v>42843</v>
      </c>
      <c r="D8011" t="inlineStr">
        <is>
          <t>SPEC</t>
        </is>
      </c>
      <c r="E8011" t="inlineStr">
        <is>
          <t>NW25 HA 4P</t>
        </is>
      </c>
      <c r="J8011" t="inlineStr">
        <is>
          <t>PLANTIER (pour MATRION)</t>
        </is>
      </c>
      <c r="L8011">
        <f>_xlfn.XLOOKUP(Tableau1[[#This Row],[TYPE DE PIECE]],Tableau4[MATIERE],Tableau4[SHORT TYPE],"",0,1)</f>
        <v/>
      </c>
      <c r="N8011">
        <f>IF(ISERR(FIND("DECOUPE",Tableau1[[#This Row],[DESIGNATION]])),"","NEED REF")</f>
        <v/>
      </c>
    </row>
    <row r="8012">
      <c r="B8012" t="n">
        <v>34405993</v>
      </c>
      <c r="C8012" s="2" t="n">
        <v>42839</v>
      </c>
      <c r="D8012" t="inlineStr">
        <is>
          <t>NOM</t>
        </is>
      </c>
      <c r="E8012" t="inlineStr">
        <is>
          <t>COMBINER BOX SANS IM400</t>
        </is>
      </c>
      <c r="F8012" t="inlineStr">
        <is>
          <t>SOLAR</t>
        </is>
      </c>
      <c r="J8012" t="inlineStr">
        <is>
          <t>ÇAKIR</t>
        </is>
      </c>
      <c r="L8012">
        <f>_xlfn.XLOOKUP(Tableau1[[#This Row],[TYPE DE PIECE]],Tableau4[MATIERE],Tableau4[SHORT TYPE],"",0,1)</f>
        <v/>
      </c>
      <c r="N8012">
        <f>IF(ISERR(FIND("DECOUPE",Tableau1[[#This Row],[DESIGNATION]])),"","NEED REF")</f>
        <v/>
      </c>
    </row>
    <row r="8013">
      <c r="B8013" t="n">
        <v>34405992</v>
      </c>
      <c r="C8013" s="2" t="n">
        <v>42839</v>
      </c>
      <c r="D8013" t="inlineStr">
        <is>
          <t>NOM</t>
        </is>
      </c>
      <c r="E8013" t="inlineStr">
        <is>
          <t>COMBINER BOX AVEC IM400</t>
        </is>
      </c>
      <c r="F8013" t="inlineStr">
        <is>
          <t>SOLAR</t>
        </is>
      </c>
      <c r="J8013" t="inlineStr">
        <is>
          <t>ÇAKIR</t>
        </is>
      </c>
      <c r="L8013">
        <f>_xlfn.XLOOKUP(Tableau1[[#This Row],[TYPE DE PIECE]],Tableau4[MATIERE],Tableau4[SHORT TYPE],"",0,1)</f>
        <v/>
      </c>
      <c r="N8013">
        <f>IF(ISERR(FIND("DECOUPE",Tableau1[[#This Row],[DESIGNATION]])),"","NEED REF")</f>
        <v/>
      </c>
    </row>
    <row r="8014">
      <c r="B8014" t="n">
        <v>34405991</v>
      </c>
      <c r="C8014" s="2" t="n">
        <v>42837</v>
      </c>
      <c r="D8014" t="inlineStr">
        <is>
          <t>SPEC</t>
        </is>
      </c>
      <c r="E8014" t="inlineStr">
        <is>
          <t>PANNEAU LATERAL</t>
        </is>
      </c>
      <c r="F8014" t="inlineStr">
        <is>
          <t>VX TGAB 1500</t>
        </is>
      </c>
      <c r="J8014" t="inlineStr">
        <is>
          <t>ROBERT</t>
        </is>
      </c>
      <c r="L8014">
        <f>_xlfn.XLOOKUP(Tableau1[[#This Row],[TYPE DE PIECE]],Tableau4[MATIERE],Tableau4[SHORT TYPE],"",0,1)</f>
        <v/>
      </c>
      <c r="N8014">
        <f>IF(ISERR(FIND("DECOUPE",Tableau1[[#This Row],[DESIGNATION]])),"","NEED REF")</f>
        <v/>
      </c>
    </row>
    <row r="8015">
      <c r="B8015" t="n">
        <v>34405990</v>
      </c>
      <c r="C8015" s="2" t="n">
        <v>42837</v>
      </c>
      <c r="D8015" t="inlineStr">
        <is>
          <t>SPEC</t>
        </is>
      </c>
      <c r="E8015" t="inlineStr">
        <is>
          <t>PANNEAU ARRIERE</t>
        </is>
      </c>
      <c r="F8015" t="inlineStr">
        <is>
          <t>VX TGAB 1500</t>
        </is>
      </c>
      <c r="J8015" t="inlineStr">
        <is>
          <t>ROBERT</t>
        </is>
      </c>
      <c r="L8015">
        <f>_xlfn.XLOOKUP(Tableau1[[#This Row],[TYPE DE PIECE]],Tableau4[MATIERE],Tableau4[SHORT TYPE],"",0,1)</f>
        <v/>
      </c>
      <c r="N8015">
        <f>IF(ISERR(FIND("DECOUPE",Tableau1[[#This Row],[DESIGNATION]])),"","NEED REF")</f>
        <v/>
      </c>
    </row>
    <row r="8016">
      <c r="B8016" t="n">
        <v>34405989</v>
      </c>
      <c r="C8016" s="2" t="n">
        <v>42837</v>
      </c>
      <c r="D8016" t="inlineStr">
        <is>
          <t>SPEC</t>
        </is>
      </c>
      <c r="E8016" t="inlineStr">
        <is>
          <t>PANNEAU AVANT</t>
        </is>
      </c>
      <c r="F8016" t="inlineStr">
        <is>
          <t>VX TGAB 1500</t>
        </is>
      </c>
      <c r="J8016" t="inlineStr">
        <is>
          <t>ROBERT</t>
        </is>
      </c>
      <c r="L8016">
        <f>_xlfn.XLOOKUP(Tableau1[[#This Row],[TYPE DE PIECE]],Tableau4[MATIERE],Tableau4[SHORT TYPE],"",0,1)</f>
        <v/>
      </c>
      <c r="N8016">
        <f>IF(ISERR(FIND("DECOUPE",Tableau1[[#This Row],[DESIGNATION]])),"","NEED REF")</f>
        <v/>
      </c>
    </row>
    <row r="8017">
      <c r="B8017" t="n">
        <v>34405988</v>
      </c>
      <c r="C8017" s="2" t="n">
        <v>42837</v>
      </c>
      <c r="D8017" t="inlineStr">
        <is>
          <t>SPEC</t>
        </is>
      </c>
      <c r="E8017" t="inlineStr">
        <is>
          <t>CADRE LAT REHAUSSE H=350</t>
        </is>
      </c>
      <c r="F8017" t="inlineStr">
        <is>
          <t>VX TGAB 1500</t>
        </is>
      </c>
      <c r="J8017" t="inlineStr">
        <is>
          <t>ROBERT</t>
        </is>
      </c>
      <c r="L8017">
        <f>_xlfn.XLOOKUP(Tableau1[[#This Row],[TYPE DE PIECE]],Tableau4[MATIERE],Tableau4[SHORT TYPE],"",0,1)</f>
        <v/>
      </c>
      <c r="N8017">
        <f>IF(ISERR(FIND("DECOUPE",Tableau1[[#This Row],[DESIGNATION]])),"","NEED REF")</f>
        <v/>
      </c>
    </row>
    <row r="8018">
      <c r="B8018" t="n">
        <v>34405987</v>
      </c>
      <c r="C8018" s="2" t="n">
        <v>42837</v>
      </c>
      <c r="D8018" t="inlineStr">
        <is>
          <t>SPEC</t>
        </is>
      </c>
      <c r="E8018" t="inlineStr">
        <is>
          <t>CADRE AR REHAUSSE H=350</t>
        </is>
      </c>
      <c r="F8018" t="inlineStr">
        <is>
          <t>VX TGAB 1500</t>
        </is>
      </c>
      <c r="J8018" t="inlineStr">
        <is>
          <t>ROBERT</t>
        </is>
      </c>
      <c r="L8018">
        <f>_xlfn.XLOOKUP(Tableau1[[#This Row],[TYPE DE PIECE]],Tableau4[MATIERE],Tableau4[SHORT TYPE],"",0,1)</f>
        <v/>
      </c>
      <c r="N8018">
        <f>IF(ISERR(FIND("DECOUPE",Tableau1[[#This Row],[DESIGNATION]])),"","NEED REF")</f>
        <v/>
      </c>
    </row>
    <row r="8019">
      <c r="B8019" t="n">
        <v>34405986</v>
      </c>
      <c r="C8019" s="2" t="n">
        <v>42837</v>
      </c>
      <c r="D8019" t="inlineStr">
        <is>
          <t>SPEC</t>
        </is>
      </c>
      <c r="E8019" t="inlineStr">
        <is>
          <t>CADRE AV REHAUSSE H=350</t>
        </is>
      </c>
      <c r="F8019" t="inlineStr">
        <is>
          <t>VX TGAB 1500</t>
        </is>
      </c>
      <c r="J8019" t="inlineStr">
        <is>
          <t>ROBERT</t>
        </is>
      </c>
      <c r="L8019">
        <f>_xlfn.XLOOKUP(Tableau1[[#This Row],[TYPE DE PIECE]],Tableau4[MATIERE],Tableau4[SHORT TYPE],"",0,1)</f>
        <v/>
      </c>
      <c r="N8019">
        <f>IF(ISERR(FIND("DECOUPE",Tableau1[[#This Row],[DESIGNATION]])),"","NEED REF")</f>
        <v/>
      </c>
    </row>
    <row r="8020">
      <c r="B8020" t="n">
        <v>34405985</v>
      </c>
      <c r="C8020" s="2" t="n">
        <v>42835</v>
      </c>
      <c r="D8020" t="inlineStr">
        <is>
          <t>SPEC</t>
        </is>
      </c>
      <c r="E8020" t="inlineStr">
        <is>
          <t>KIT FILERIE COMBINER BOX UNIQUEMENT POUR IM400</t>
        </is>
      </c>
      <c r="F8020" t="inlineStr">
        <is>
          <t>SOLAR / COMBINER BOX</t>
        </is>
      </c>
      <c r="J8020" t="inlineStr">
        <is>
          <t>MONGELLI</t>
        </is>
      </c>
      <c r="L8020">
        <f>_xlfn.XLOOKUP(Tableau1[[#This Row],[TYPE DE PIECE]],Tableau4[MATIERE],Tableau4[SHORT TYPE],"",0,1)</f>
        <v/>
      </c>
      <c r="N8020">
        <f>IF(ISERR(FIND("DECOUPE",Tableau1[[#This Row],[DESIGNATION]])),"","NEED REF")</f>
        <v/>
      </c>
    </row>
    <row r="8021">
      <c r="B8021" t="n">
        <v>34405984</v>
      </c>
      <c r="C8021" s="2" t="n">
        <v>42835</v>
      </c>
      <c r="D8021" t="inlineStr">
        <is>
          <t>SPEC</t>
        </is>
      </c>
      <c r="E8021" t="inlineStr">
        <is>
          <t>KIT FILERIE COMBINER BOX COMPLET VERSION SANS IM400</t>
        </is>
      </c>
      <c r="F8021" t="inlineStr">
        <is>
          <t>SOLAR / COMBINER BOX</t>
        </is>
      </c>
      <c r="J8021" t="inlineStr">
        <is>
          <t>MONGELLI</t>
        </is>
      </c>
      <c r="L8021">
        <f>_xlfn.XLOOKUP(Tableau1[[#This Row],[TYPE DE PIECE]],Tableau4[MATIERE],Tableau4[SHORT TYPE],"",0,1)</f>
        <v/>
      </c>
      <c r="N8021">
        <f>IF(ISERR(FIND("DECOUPE",Tableau1[[#This Row],[DESIGNATION]])),"","NEED REF")</f>
        <v/>
      </c>
    </row>
    <row r="8022">
      <c r="B8022" t="n">
        <v>34405983</v>
      </c>
      <c r="C8022" s="2" t="n">
        <v>42809</v>
      </c>
      <c r="D8022" t="inlineStr">
        <is>
          <t>SPEC</t>
        </is>
      </c>
      <c r="E8022" t="inlineStr">
        <is>
          <t>LINERGY 04566 2500A 1000MM</t>
        </is>
      </c>
      <c r="F8022" t="inlineStr">
        <is>
          <t>MBC 1500kVA GVX</t>
        </is>
      </c>
      <c r="J8022" t="inlineStr">
        <is>
          <t>MATRION</t>
        </is>
      </c>
      <c r="K8022" t="inlineStr">
        <is>
          <t>DECOUPE</t>
        </is>
      </c>
      <c r="L8022">
        <f>_xlfn.XLOOKUP(Tableau1[[#This Row],[TYPE DE PIECE]],Tableau4[MATIERE],Tableau4[SHORT TYPE],"",0,1)</f>
        <v/>
      </c>
      <c r="N8022">
        <f>IF(ISERR(FIND("DECOUPE",Tableau1[[#This Row],[DESIGNATION]])),"","NEED REF")</f>
        <v/>
      </c>
    </row>
    <row r="8023">
      <c r="B8023" t="n">
        <v>34405982</v>
      </c>
      <c r="C8023" s="2" t="n">
        <v>42809</v>
      </c>
      <c r="D8023" t="inlineStr">
        <is>
          <t>SPEC</t>
        </is>
      </c>
      <c r="E8023" t="inlineStr">
        <is>
          <t>CX JONCTION NW MBB UOB</t>
        </is>
      </c>
      <c r="F8023" t="inlineStr">
        <is>
          <t>MBC 1500kVA GVX</t>
        </is>
      </c>
      <c r="J8023" t="inlineStr">
        <is>
          <t>MATRION</t>
        </is>
      </c>
      <c r="K8023" t="inlineStr">
        <is>
          <t>JDB ALU T66</t>
        </is>
      </c>
      <c r="L8023">
        <f>_xlfn.XLOOKUP(Tableau1[[#This Row],[TYPE DE PIECE]],Tableau4[MATIERE],Tableau4[SHORT TYPE],"",0,1)</f>
        <v/>
      </c>
      <c r="N8023">
        <f>IF(ISERR(FIND("DECOUPE",Tableau1[[#This Row],[DESIGNATION]])),"","NEED REF")</f>
        <v/>
      </c>
    </row>
    <row r="8024">
      <c r="B8024" t="n">
        <v>34405981</v>
      </c>
      <c r="C8024" s="2" t="n">
        <v>42809</v>
      </c>
      <c r="D8024" t="inlineStr">
        <is>
          <t>SPEC</t>
        </is>
      </c>
      <c r="F8024" t="inlineStr">
        <is>
          <t>MBC 1500kVA GVX</t>
        </is>
      </c>
      <c r="J8024" t="inlineStr">
        <is>
          <t>MATRION</t>
        </is>
      </c>
      <c r="L8024">
        <f>_xlfn.XLOOKUP(Tableau1[[#This Row],[TYPE DE PIECE]],Tableau4[MATIERE],Tableau4[SHORT TYPE],"",0,1)</f>
        <v/>
      </c>
      <c r="N8024">
        <f>IF(ISERR(FIND("DECOUPE",Tableau1[[#This Row],[DESIGNATION]])),"","NEED REF")</f>
        <v/>
      </c>
    </row>
    <row r="8025">
      <c r="B8025" t="n">
        <v>34405980</v>
      </c>
      <c r="C8025" s="2" t="n">
        <v>42809</v>
      </c>
      <c r="D8025" t="inlineStr">
        <is>
          <t>SPEC</t>
        </is>
      </c>
      <c r="F8025" t="inlineStr">
        <is>
          <t>MBC 1500kVA GVX</t>
        </is>
      </c>
      <c r="J8025" t="inlineStr">
        <is>
          <t>MATRION</t>
        </is>
      </c>
      <c r="L8025">
        <f>_xlfn.XLOOKUP(Tableau1[[#This Row],[TYPE DE PIECE]],Tableau4[MATIERE],Tableau4[SHORT TYPE],"",0,1)</f>
        <v/>
      </c>
      <c r="N8025">
        <f>IF(ISERR(FIND("DECOUPE",Tableau1[[#This Row],[DESIGNATION]])),"","NEED REF")</f>
        <v/>
      </c>
    </row>
    <row r="8026">
      <c r="B8026" t="n">
        <v>34405979</v>
      </c>
      <c r="C8026" s="2" t="n">
        <v>42809</v>
      </c>
      <c r="D8026" t="inlineStr">
        <is>
          <t>SPEC</t>
        </is>
      </c>
      <c r="F8026" t="inlineStr">
        <is>
          <t>MBC 1500kVA GVX</t>
        </is>
      </c>
      <c r="J8026" t="inlineStr">
        <is>
          <t>MATRION</t>
        </is>
      </c>
      <c r="L8026">
        <f>_xlfn.XLOOKUP(Tableau1[[#This Row],[TYPE DE PIECE]],Tableau4[MATIERE],Tableau4[SHORT TYPE],"",0,1)</f>
        <v/>
      </c>
      <c r="N8026">
        <f>IF(ISERR(FIND("DECOUPE",Tableau1[[#This Row],[DESIGNATION]])),"","NEED REF")</f>
        <v/>
      </c>
    </row>
    <row r="8027">
      <c r="B8027" t="n">
        <v>34405978</v>
      </c>
      <c r="C8027" s="2" t="n">
        <v>42809</v>
      </c>
      <c r="D8027" t="inlineStr">
        <is>
          <t>SPEC</t>
        </is>
      </c>
      <c r="F8027" t="inlineStr">
        <is>
          <t>MBC 1500kVA GVX</t>
        </is>
      </c>
      <c r="J8027" t="inlineStr">
        <is>
          <t>MATRION</t>
        </is>
      </c>
      <c r="L8027">
        <f>_xlfn.XLOOKUP(Tableau1[[#This Row],[TYPE DE PIECE]],Tableau4[MATIERE],Tableau4[SHORT TYPE],"",0,1)</f>
        <v/>
      </c>
      <c r="N8027">
        <f>IF(ISERR(FIND("DECOUPE",Tableau1[[#This Row],[DESIGNATION]])),"","NEED REF")</f>
        <v/>
      </c>
    </row>
    <row r="8028">
      <c r="B8028" t="n">
        <v>34405977</v>
      </c>
      <c r="C8028" s="2" t="n">
        <v>42809</v>
      </c>
      <c r="D8028" t="inlineStr">
        <is>
          <t>SPEC</t>
        </is>
      </c>
      <c r="F8028" t="inlineStr">
        <is>
          <t>MBC 1500kVA GVX</t>
        </is>
      </c>
      <c r="J8028" t="inlineStr">
        <is>
          <t>MATRION</t>
        </is>
      </c>
      <c r="L8028">
        <f>_xlfn.XLOOKUP(Tableau1[[#This Row],[TYPE DE PIECE]],Tableau4[MATIERE],Tableau4[SHORT TYPE],"",0,1)</f>
        <v/>
      </c>
      <c r="N8028">
        <f>IF(ISERR(FIND("DECOUPE",Tableau1[[#This Row],[DESIGNATION]])),"","NEED REF")</f>
        <v/>
      </c>
    </row>
    <row r="8029">
      <c r="B8029" t="n">
        <v>34405976</v>
      </c>
      <c r="C8029" s="2" t="n">
        <v>42809</v>
      </c>
      <c r="D8029" t="inlineStr">
        <is>
          <t>SPEC</t>
        </is>
      </c>
      <c r="F8029" t="inlineStr">
        <is>
          <t>MBC 1500kVA GVX</t>
        </is>
      </c>
      <c r="J8029" t="inlineStr">
        <is>
          <t>MATRION</t>
        </is>
      </c>
      <c r="L8029">
        <f>_xlfn.XLOOKUP(Tableau1[[#This Row],[TYPE DE PIECE]],Tableau4[MATIERE],Tableau4[SHORT TYPE],"",0,1)</f>
        <v/>
      </c>
      <c r="N8029">
        <f>IF(ISERR(FIND("DECOUPE",Tableau1[[#This Row],[DESIGNATION]])),"","NEED REF")</f>
        <v/>
      </c>
    </row>
    <row r="8030">
      <c r="B8030" t="n">
        <v>34405975</v>
      </c>
      <c r="C8030" s="2" t="n">
        <v>42809</v>
      </c>
      <c r="D8030" t="inlineStr">
        <is>
          <t>SPEC</t>
        </is>
      </c>
      <c r="F8030" t="inlineStr">
        <is>
          <t>MBC 1500kVA GVX</t>
        </is>
      </c>
      <c r="J8030" t="inlineStr">
        <is>
          <t>MATRION</t>
        </is>
      </c>
      <c r="L8030">
        <f>_xlfn.XLOOKUP(Tableau1[[#This Row],[TYPE DE PIECE]],Tableau4[MATIERE],Tableau4[SHORT TYPE],"",0,1)</f>
        <v/>
      </c>
      <c r="N8030">
        <f>IF(ISERR(FIND("DECOUPE",Tableau1[[#This Row],[DESIGNATION]])),"","NEED REF")</f>
        <v/>
      </c>
    </row>
    <row r="8031">
      <c r="B8031" t="n">
        <v>34405974</v>
      </c>
      <c r="C8031" s="2" t="n">
        <v>42809</v>
      </c>
      <c r="D8031" t="inlineStr">
        <is>
          <t>SPEC</t>
        </is>
      </c>
      <c r="F8031" t="inlineStr">
        <is>
          <t>MBC 1500kVA GVX</t>
        </is>
      </c>
      <c r="J8031" t="inlineStr">
        <is>
          <t>MATRION</t>
        </is>
      </c>
      <c r="L8031">
        <f>_xlfn.XLOOKUP(Tableau1[[#This Row],[TYPE DE PIECE]],Tableau4[MATIERE],Tableau4[SHORT TYPE],"",0,1)</f>
        <v/>
      </c>
      <c r="N8031">
        <f>IF(ISERR(FIND("DECOUPE",Tableau1[[#This Row],[DESIGNATION]])),"","NEED REF")</f>
        <v/>
      </c>
    </row>
    <row r="8032">
      <c r="B8032" t="n">
        <v>34405973</v>
      </c>
      <c r="C8032" s="2" t="n">
        <v>42809</v>
      </c>
      <c r="D8032" t="inlineStr">
        <is>
          <t>SPEC</t>
        </is>
      </c>
      <c r="F8032" t="inlineStr">
        <is>
          <t>MBC 1500kVA GVX</t>
        </is>
      </c>
      <c r="J8032" t="inlineStr">
        <is>
          <t>MATRION</t>
        </is>
      </c>
      <c r="L8032">
        <f>_xlfn.XLOOKUP(Tableau1[[#This Row],[TYPE DE PIECE]],Tableau4[MATIERE],Tableau4[SHORT TYPE],"",0,1)</f>
        <v/>
      </c>
      <c r="N8032">
        <f>IF(ISERR(FIND("DECOUPE",Tableau1[[#This Row],[DESIGNATION]])),"","NEED REF")</f>
        <v/>
      </c>
    </row>
    <row r="8033">
      <c r="B8033" t="n">
        <v>34405972</v>
      </c>
      <c r="C8033" s="2" t="n">
        <v>42809</v>
      </c>
      <c r="D8033" t="inlineStr">
        <is>
          <t>SPEC</t>
        </is>
      </c>
      <c r="F8033" t="inlineStr">
        <is>
          <t>MBC 1500kVA GVX</t>
        </is>
      </c>
      <c r="J8033" t="inlineStr">
        <is>
          <t>MATRION</t>
        </is>
      </c>
      <c r="L8033">
        <f>_xlfn.XLOOKUP(Tableau1[[#This Row],[TYPE DE PIECE]],Tableau4[MATIERE],Tableau4[SHORT TYPE],"",0,1)</f>
        <v/>
      </c>
      <c r="N8033">
        <f>IF(ISERR(FIND("DECOUPE",Tableau1[[#This Row],[DESIGNATION]])),"","NEED REF")</f>
        <v/>
      </c>
    </row>
    <row r="8034">
      <c r="B8034" t="n">
        <v>34405971</v>
      </c>
      <c r="C8034" s="2" t="n">
        <v>42809</v>
      </c>
      <c r="D8034" t="inlineStr">
        <is>
          <t>SPEC</t>
        </is>
      </c>
      <c r="F8034" t="inlineStr">
        <is>
          <t>MBC 1500kVA GVX</t>
        </is>
      </c>
      <c r="J8034" t="inlineStr">
        <is>
          <t>MATRION</t>
        </is>
      </c>
      <c r="L8034">
        <f>_xlfn.XLOOKUP(Tableau1[[#This Row],[TYPE DE PIECE]],Tableau4[MATIERE],Tableau4[SHORT TYPE],"",0,1)</f>
        <v/>
      </c>
      <c r="N8034">
        <f>IF(ISERR(FIND("DECOUPE",Tableau1[[#This Row],[DESIGNATION]])),"","NEED REF")</f>
        <v/>
      </c>
    </row>
    <row r="8035">
      <c r="B8035" t="n">
        <v>34405970</v>
      </c>
      <c r="C8035" s="2" t="n">
        <v>42809</v>
      </c>
      <c r="D8035" t="inlineStr">
        <is>
          <t>SPEC</t>
        </is>
      </c>
      <c r="F8035" t="inlineStr">
        <is>
          <t>MBC 1500kVA GVX</t>
        </is>
      </c>
      <c r="J8035" t="inlineStr">
        <is>
          <t>MATRION</t>
        </is>
      </c>
      <c r="L8035">
        <f>_xlfn.XLOOKUP(Tableau1[[#This Row],[TYPE DE PIECE]],Tableau4[MATIERE],Tableau4[SHORT TYPE],"",0,1)</f>
        <v/>
      </c>
      <c r="N8035">
        <f>IF(ISERR(FIND("DECOUPE",Tableau1[[#This Row],[DESIGNATION]])),"","NEED REF")</f>
        <v/>
      </c>
    </row>
    <row r="8036">
      <c r="B8036" t="n">
        <v>34405969</v>
      </c>
      <c r="C8036" s="2" t="n">
        <v>42809</v>
      </c>
      <c r="D8036" t="inlineStr">
        <is>
          <t>SPEC</t>
        </is>
      </c>
      <c r="F8036" t="inlineStr">
        <is>
          <t>MBC 1500kVA GVX</t>
        </is>
      </c>
      <c r="J8036" t="inlineStr">
        <is>
          <t>MATRION</t>
        </is>
      </c>
      <c r="L8036">
        <f>_xlfn.XLOOKUP(Tableau1[[#This Row],[TYPE DE PIECE]],Tableau4[MATIERE],Tableau4[SHORT TYPE],"",0,1)</f>
        <v/>
      </c>
      <c r="N8036">
        <f>IF(ISERR(FIND("DECOUPE",Tableau1[[#This Row],[DESIGNATION]])),"","NEED REF")</f>
        <v/>
      </c>
    </row>
    <row r="8037">
      <c r="B8037" t="n">
        <v>34405968</v>
      </c>
      <c r="C8037" s="2" t="n">
        <v>42809</v>
      </c>
      <c r="D8037" t="inlineStr">
        <is>
          <t>SPEC</t>
        </is>
      </c>
      <c r="F8037" t="inlineStr">
        <is>
          <t>MBC 1500kVA GVX</t>
        </is>
      </c>
      <c r="J8037" t="inlineStr">
        <is>
          <t>MATRION</t>
        </is>
      </c>
      <c r="L8037">
        <f>_xlfn.XLOOKUP(Tableau1[[#This Row],[TYPE DE PIECE]],Tableau4[MATIERE],Tableau4[SHORT TYPE],"",0,1)</f>
        <v/>
      </c>
      <c r="N8037">
        <f>IF(ISERR(FIND("DECOUPE",Tableau1[[#This Row],[DESIGNATION]])),"","NEED REF")</f>
        <v/>
      </c>
    </row>
    <row r="8038">
      <c r="B8038" t="n">
        <v>34405967</v>
      </c>
      <c r="C8038" s="2" t="n">
        <v>42809</v>
      </c>
      <c r="D8038" t="inlineStr">
        <is>
          <t>SPEC</t>
        </is>
      </c>
      <c r="F8038" t="inlineStr">
        <is>
          <t>MBC 1500kVA GVX</t>
        </is>
      </c>
      <c r="J8038" t="inlineStr">
        <is>
          <t>MATRION</t>
        </is>
      </c>
      <c r="L8038">
        <f>_xlfn.XLOOKUP(Tableau1[[#This Row],[TYPE DE PIECE]],Tableau4[MATIERE],Tableau4[SHORT TYPE],"",0,1)</f>
        <v/>
      </c>
      <c r="N8038">
        <f>IF(ISERR(FIND("DECOUPE",Tableau1[[#This Row],[DESIGNATION]])),"","NEED REF")</f>
        <v/>
      </c>
    </row>
    <row r="8039">
      <c r="B8039" t="n">
        <v>34405966</v>
      </c>
      <c r="C8039" s="2" t="n">
        <v>42809</v>
      </c>
      <c r="D8039" t="inlineStr">
        <is>
          <t>SPEC</t>
        </is>
      </c>
      <c r="F8039" t="inlineStr">
        <is>
          <t>MBC 1500kVA GVX</t>
        </is>
      </c>
      <c r="J8039" t="inlineStr">
        <is>
          <t>MATRION</t>
        </is>
      </c>
      <c r="L8039">
        <f>_xlfn.XLOOKUP(Tableau1[[#This Row],[TYPE DE PIECE]],Tableau4[MATIERE],Tableau4[SHORT TYPE],"",0,1)</f>
        <v/>
      </c>
      <c r="N8039">
        <f>IF(ISERR(FIND("DECOUPE",Tableau1[[#This Row],[DESIGNATION]])),"","NEED REF")</f>
        <v/>
      </c>
    </row>
    <row r="8040">
      <c r="B8040" t="n">
        <v>34405965</v>
      </c>
      <c r="C8040" s="2" t="n">
        <v>42809</v>
      </c>
      <c r="D8040" t="inlineStr">
        <is>
          <t>SPEC</t>
        </is>
      </c>
      <c r="F8040" t="inlineStr">
        <is>
          <t>MBC 1500kVA GVX</t>
        </is>
      </c>
      <c r="J8040" t="inlineStr">
        <is>
          <t>MATRION</t>
        </is>
      </c>
      <c r="L8040">
        <f>_xlfn.XLOOKUP(Tableau1[[#This Row],[TYPE DE PIECE]],Tableau4[MATIERE],Tableau4[SHORT TYPE],"",0,1)</f>
        <v/>
      </c>
      <c r="N8040">
        <f>IF(ISERR(FIND("DECOUPE",Tableau1[[#This Row],[DESIGNATION]])),"","NEED REF")</f>
        <v/>
      </c>
    </row>
    <row r="8041">
      <c r="B8041" t="n">
        <v>34405964</v>
      </c>
      <c r="C8041" s="2" t="n">
        <v>42809</v>
      </c>
      <c r="D8041" t="inlineStr">
        <is>
          <t>SPEC</t>
        </is>
      </c>
      <c r="E8041" t="inlineStr">
        <is>
          <t>CX 2 LIAISON INTER CELLULE</t>
        </is>
      </c>
      <c r="F8041" t="inlineStr">
        <is>
          <t>MBC 1500kVA GVX</t>
        </is>
      </c>
      <c r="J8041" t="inlineStr">
        <is>
          <t>MATRION</t>
        </is>
      </c>
      <c r="L8041">
        <f>_xlfn.XLOOKUP(Tableau1[[#This Row],[TYPE DE PIECE]],Tableau4[MATIERE],Tableau4[SHORT TYPE],"",0,1)</f>
        <v/>
      </c>
      <c r="N8041">
        <f>IF(ISERR(FIND("DECOUPE",Tableau1[[#This Row],[DESIGNATION]])),"","NEED REF")</f>
        <v/>
      </c>
    </row>
    <row r="8042">
      <c r="B8042" t="n">
        <v>34405963</v>
      </c>
      <c r="C8042" s="2" t="n">
        <v>42809</v>
      </c>
      <c r="D8042" t="inlineStr">
        <is>
          <t>SPEC</t>
        </is>
      </c>
      <c r="E8042" t="inlineStr">
        <is>
          <t>CX 1 LIAISON INTER CELLULE</t>
        </is>
      </c>
      <c r="F8042" t="inlineStr">
        <is>
          <t>MBC 1500kVA GVX</t>
        </is>
      </c>
      <c r="J8042" t="inlineStr">
        <is>
          <t>MATRION</t>
        </is>
      </c>
      <c r="L8042">
        <f>_xlfn.XLOOKUP(Tableau1[[#This Row],[TYPE DE PIECE]],Tableau4[MATIERE],Tableau4[SHORT TYPE],"",0,1)</f>
        <v/>
      </c>
      <c r="N8042">
        <f>IF(ISERR(FIND("DECOUPE",Tableau1[[#This Row],[DESIGNATION]])),"","NEED REF")</f>
        <v/>
      </c>
    </row>
    <row r="8043">
      <c r="B8043" t="n">
        <v>34405962</v>
      </c>
      <c r="C8043" s="2" t="n">
        <v>42809</v>
      </c>
      <c r="D8043" t="inlineStr">
        <is>
          <t>SPEC</t>
        </is>
      </c>
      <c r="F8043" t="inlineStr">
        <is>
          <t>MBC 1500kVA GVX</t>
        </is>
      </c>
      <c r="J8043" t="inlineStr">
        <is>
          <t>MATRION</t>
        </is>
      </c>
      <c r="L8043">
        <f>_xlfn.XLOOKUP(Tableau1[[#This Row],[TYPE DE PIECE]],Tableau4[MATIERE],Tableau4[SHORT TYPE],"",0,1)</f>
        <v/>
      </c>
      <c r="N8043">
        <f>IF(ISERR(FIND("DECOUPE",Tableau1[[#This Row],[DESIGNATION]])),"","NEED REF")</f>
        <v/>
      </c>
    </row>
    <row r="8044">
      <c r="B8044" t="n">
        <v>34405961</v>
      </c>
      <c r="C8044" s="2" t="n">
        <v>42809</v>
      </c>
      <c r="D8044" t="inlineStr">
        <is>
          <t>SPEC</t>
        </is>
      </c>
      <c r="E8044" t="inlineStr">
        <is>
          <t>CX RACCORDEMENT CLIENT</t>
        </is>
      </c>
      <c r="F8044" t="inlineStr">
        <is>
          <t>MBC 1500kVA GVX</t>
        </is>
      </c>
      <c r="J8044" t="inlineStr">
        <is>
          <t>MATRION</t>
        </is>
      </c>
      <c r="L8044">
        <f>_xlfn.XLOOKUP(Tableau1[[#This Row],[TYPE DE PIECE]],Tableau4[MATIERE],Tableau4[SHORT TYPE],"",0,1)</f>
        <v/>
      </c>
      <c r="N8044">
        <f>IF(ISERR(FIND("DECOUPE",Tableau1[[#This Row],[DESIGNATION]])),"","NEED REF")</f>
        <v/>
      </c>
    </row>
    <row r="8045">
      <c r="B8045" t="n">
        <v>34405960</v>
      </c>
      <c r="C8045" s="2" t="n">
        <v>42809</v>
      </c>
      <c r="D8045" t="inlineStr">
        <is>
          <t>SPEC</t>
        </is>
      </c>
      <c r="F8045" t="inlineStr">
        <is>
          <t>MBC 1500kVA GVX</t>
        </is>
      </c>
      <c r="J8045" t="inlineStr">
        <is>
          <t>MATRION</t>
        </is>
      </c>
      <c r="L8045">
        <f>_xlfn.XLOOKUP(Tableau1[[#This Row],[TYPE DE PIECE]],Tableau4[MATIERE],Tableau4[SHORT TYPE],"",0,1)</f>
        <v/>
      </c>
      <c r="N8045">
        <f>IF(ISERR(FIND("DECOUPE",Tableau1[[#This Row],[DESIGNATION]])),"","NEED REF")</f>
        <v/>
      </c>
    </row>
    <row r="8046">
      <c r="B8046" t="n">
        <v>34405959</v>
      </c>
      <c r="C8046" s="2" t="n">
        <v>42809</v>
      </c>
      <c r="D8046" t="inlineStr">
        <is>
          <t>SPEC</t>
        </is>
      </c>
      <c r="F8046" t="inlineStr">
        <is>
          <t>MBC 1500kVA GVX</t>
        </is>
      </c>
      <c r="J8046" t="inlineStr">
        <is>
          <t>MATRION</t>
        </is>
      </c>
      <c r="L8046">
        <f>_xlfn.XLOOKUP(Tableau1[[#This Row],[TYPE DE PIECE]],Tableau4[MATIERE],Tableau4[SHORT TYPE],"",0,1)</f>
        <v/>
      </c>
      <c r="N8046">
        <f>IF(ISERR(FIND("DECOUPE",Tableau1[[#This Row],[DESIGNATION]])),"","NEED REF")</f>
        <v/>
      </c>
    </row>
    <row r="8047">
      <c r="B8047" t="n">
        <v>34405958</v>
      </c>
      <c r="C8047" s="2" t="n">
        <v>42809</v>
      </c>
      <c r="D8047" t="inlineStr">
        <is>
          <t>SPEC</t>
        </is>
      </c>
      <c r="E8047" t="inlineStr">
        <is>
          <t>SEGREGATION GAUCHE NW</t>
        </is>
      </c>
      <c r="F8047" t="inlineStr">
        <is>
          <t>MBC 1500kVA GVX</t>
        </is>
      </c>
      <c r="J8047" t="inlineStr">
        <is>
          <t>MATRION</t>
        </is>
      </c>
      <c r="L8047">
        <f>_xlfn.XLOOKUP(Tableau1[[#This Row],[TYPE DE PIECE]],Tableau4[MATIERE],Tableau4[SHORT TYPE],"",0,1)</f>
        <v/>
      </c>
      <c r="N8047">
        <f>IF(ISERR(FIND("DECOUPE",Tableau1[[#This Row],[DESIGNATION]])),"","NEED REF")</f>
        <v/>
      </c>
    </row>
    <row r="8048">
      <c r="B8048" t="n">
        <v>34405957</v>
      </c>
      <c r="C8048" s="2" t="n">
        <v>42809</v>
      </c>
      <c r="D8048" t="inlineStr">
        <is>
          <t>SPEC</t>
        </is>
      </c>
      <c r="E8048" t="inlineStr">
        <is>
          <t>TOIT VENTILE</t>
        </is>
      </c>
      <c r="F8048" t="inlineStr">
        <is>
          <t>MBC 1500kVA GVX</t>
        </is>
      </c>
      <c r="J8048" t="inlineStr">
        <is>
          <t>MATRION</t>
        </is>
      </c>
      <c r="L8048">
        <f>_xlfn.XLOOKUP(Tableau1[[#This Row],[TYPE DE PIECE]],Tableau4[MATIERE],Tableau4[SHORT TYPE],"",0,1)</f>
        <v/>
      </c>
      <c r="N8048">
        <f>IF(ISERR(FIND("DECOUPE",Tableau1[[#This Row],[DESIGNATION]])),"","NEED REF")</f>
        <v/>
      </c>
    </row>
    <row r="8049">
      <c r="B8049" t="n">
        <v>34405956</v>
      </c>
      <c r="C8049" s="2" t="n">
        <v>42809</v>
      </c>
      <c r="D8049" t="inlineStr">
        <is>
          <t>SPEC</t>
        </is>
      </c>
      <c r="E8049" t="inlineStr">
        <is>
          <t>PLATINE NW</t>
        </is>
      </c>
      <c r="F8049" t="inlineStr">
        <is>
          <t>MBC 1500kVA GVX</t>
        </is>
      </c>
      <c r="J8049" t="inlineStr">
        <is>
          <t>MATRION</t>
        </is>
      </c>
      <c r="K8049" t="inlineStr">
        <is>
          <t>TÖLERIE</t>
        </is>
      </c>
      <c r="L8049">
        <f>_xlfn.XLOOKUP(Tableau1[[#This Row],[TYPE DE PIECE]],Tableau4[MATIERE],Tableau4[SHORT TYPE],"",0,1)</f>
        <v/>
      </c>
      <c r="N8049">
        <f>IF(ISERR(FIND("DECOUPE",Tableau1[[#This Row],[DESIGNATION]])),"","NEED REF")</f>
        <v/>
      </c>
    </row>
    <row r="8050">
      <c r="B8050" t="n">
        <v>34405955</v>
      </c>
      <c r="C8050" s="2" t="n">
        <v>42809</v>
      </c>
      <c r="D8050" t="inlineStr">
        <is>
          <t>SPEC</t>
        </is>
      </c>
      <c r="E8050" t="inlineStr">
        <is>
          <t>LONGERON</t>
        </is>
      </c>
      <c r="F8050" t="inlineStr">
        <is>
          <t>MBC 1500kVA GVX</t>
        </is>
      </c>
      <c r="J8050" t="inlineStr">
        <is>
          <t>MATRION</t>
        </is>
      </c>
      <c r="L8050">
        <f>_xlfn.XLOOKUP(Tableau1[[#This Row],[TYPE DE PIECE]],Tableau4[MATIERE],Tableau4[SHORT TYPE],"",0,1)</f>
        <v/>
      </c>
      <c r="N8050">
        <f>IF(ISERR(FIND("DECOUPE",Tableau1[[#This Row],[DESIGNATION]])),"","NEED REF")</f>
        <v/>
      </c>
    </row>
    <row r="8051">
      <c r="B8051" t="n">
        <v>34405954</v>
      </c>
      <c r="C8051" s="2" t="n">
        <v>42809</v>
      </c>
      <c r="D8051" t="inlineStr">
        <is>
          <t>SPEC</t>
        </is>
      </c>
      <c r="E8051" t="inlineStr">
        <is>
          <t>LONGERON GAUCHE</t>
        </is>
      </c>
      <c r="F8051" t="inlineStr">
        <is>
          <t>MBC 1500kVA GVX</t>
        </is>
      </c>
      <c r="J8051" t="inlineStr">
        <is>
          <t>MATRION</t>
        </is>
      </c>
      <c r="K8051" t="inlineStr">
        <is>
          <t>TÖLERIE</t>
        </is>
      </c>
      <c r="L8051">
        <f>_xlfn.XLOOKUP(Tableau1[[#This Row],[TYPE DE PIECE]],Tableau4[MATIERE],Tableau4[SHORT TYPE],"",0,1)</f>
        <v/>
      </c>
      <c r="N8051">
        <f>IF(ISERR(FIND("DECOUPE",Tableau1[[#This Row],[DESIGNATION]])),"","NEED REF")</f>
        <v/>
      </c>
    </row>
    <row r="8052">
      <c r="B8052" t="n">
        <v>34405953</v>
      </c>
      <c r="C8052" s="2" t="n">
        <v>42809</v>
      </c>
      <c r="D8052" t="inlineStr">
        <is>
          <t>SPEC</t>
        </is>
      </c>
      <c r="E8052" t="inlineStr">
        <is>
          <t>SEGREGATION HAUT NW</t>
        </is>
      </c>
      <c r="F8052" t="inlineStr">
        <is>
          <t>MBC 1500kVA GVX</t>
        </is>
      </c>
      <c r="J8052" t="inlineStr">
        <is>
          <t>MATRION</t>
        </is>
      </c>
      <c r="L8052">
        <f>_xlfn.XLOOKUP(Tableau1[[#This Row],[TYPE DE PIECE]],Tableau4[MATIERE],Tableau4[SHORT TYPE],"",0,1)</f>
        <v/>
      </c>
      <c r="N8052">
        <f>IF(ISERR(FIND("DECOUPE",Tableau1[[#This Row],[DESIGNATION]])),"","NEED REF")</f>
        <v/>
      </c>
    </row>
    <row r="8053">
      <c r="B8053" t="n">
        <v>34405952</v>
      </c>
      <c r="C8053" s="2" t="n">
        <v>42809</v>
      </c>
      <c r="D8053" t="inlineStr">
        <is>
          <t>SPEC</t>
        </is>
      </c>
      <c r="E8053" t="inlineStr">
        <is>
          <t>MONTANT DROIT</t>
        </is>
      </c>
      <c r="F8053" t="inlineStr">
        <is>
          <t>MBC 1500kVA GVX</t>
        </is>
      </c>
      <c r="J8053" t="inlineStr">
        <is>
          <t>MATRION</t>
        </is>
      </c>
      <c r="L8053">
        <f>_xlfn.XLOOKUP(Tableau1[[#This Row],[TYPE DE PIECE]],Tableau4[MATIERE],Tableau4[SHORT TYPE],"",0,1)</f>
        <v/>
      </c>
      <c r="N8053">
        <f>IF(ISERR(FIND("DECOUPE",Tableau1[[#This Row],[DESIGNATION]])),"","NEED REF")</f>
        <v/>
      </c>
    </row>
    <row r="8054">
      <c r="B8054" t="n">
        <v>34405951</v>
      </c>
      <c r="C8054" s="2" t="n">
        <v>42809</v>
      </c>
      <c r="D8054" t="inlineStr">
        <is>
          <t>SPEC</t>
        </is>
      </c>
      <c r="E8054" t="inlineStr">
        <is>
          <t>MONTANT GAUCHE</t>
        </is>
      </c>
      <c r="F8054" t="inlineStr">
        <is>
          <t>MBC 1500kVA GVX</t>
        </is>
      </c>
      <c r="J8054" t="inlineStr">
        <is>
          <t>MATRION</t>
        </is>
      </c>
      <c r="L8054">
        <f>_xlfn.XLOOKUP(Tableau1[[#This Row],[TYPE DE PIECE]],Tableau4[MATIERE],Tableau4[SHORT TYPE],"",0,1)</f>
        <v/>
      </c>
      <c r="N8054">
        <f>IF(ISERR(FIND("DECOUPE",Tableau1[[#This Row],[DESIGNATION]])),"","NEED REF")</f>
        <v/>
      </c>
    </row>
    <row r="8055">
      <c r="B8055" t="n">
        <v>34405950</v>
      </c>
      <c r="C8055" s="2" t="n">
        <v>42809</v>
      </c>
      <c r="D8055" t="inlineStr">
        <is>
          <t>SPEC</t>
        </is>
      </c>
      <c r="E8055" t="inlineStr">
        <is>
          <t>TOIT MBC 2x TGAB</t>
        </is>
      </c>
      <c r="F8055" t="inlineStr">
        <is>
          <t>MBC 1500kVA GVX</t>
        </is>
      </c>
      <c r="J8055" t="inlineStr">
        <is>
          <t>MATRION</t>
        </is>
      </c>
      <c r="K8055" t="inlineStr">
        <is>
          <t>TÖLERIE</t>
        </is>
      </c>
      <c r="L8055">
        <f>_xlfn.XLOOKUP(Tableau1[[#This Row],[TYPE DE PIECE]],Tableau4[MATIERE],Tableau4[SHORT TYPE],"",0,1)</f>
        <v/>
      </c>
      <c r="N8055">
        <f>IF(ISERR(FIND("DECOUPE",Tableau1[[#This Row],[DESIGNATION]])),"","NEED REF")</f>
        <v/>
      </c>
    </row>
    <row r="8056">
      <c r="B8056" t="n">
        <v>34405949</v>
      </c>
      <c r="C8056" s="2" t="n">
        <v>42809</v>
      </c>
      <c r="D8056" t="inlineStr">
        <is>
          <t>SPEC</t>
        </is>
      </c>
      <c r="E8056" t="inlineStr">
        <is>
          <t>SUPPORT DROIT TGAB</t>
        </is>
      </c>
      <c r="F8056" t="inlineStr">
        <is>
          <t>MBC 1500kVA GVX</t>
        </is>
      </c>
      <c r="J8056" t="inlineStr">
        <is>
          <t>MATRION</t>
        </is>
      </c>
      <c r="L8056">
        <f>_xlfn.XLOOKUP(Tableau1[[#This Row],[TYPE DE PIECE]],Tableau4[MATIERE],Tableau4[SHORT TYPE],"",0,1)</f>
        <v/>
      </c>
      <c r="N8056">
        <f>IF(ISERR(FIND("DECOUPE",Tableau1[[#This Row],[DESIGNATION]])),"","NEED REF")</f>
        <v/>
      </c>
    </row>
    <row r="8057">
      <c r="B8057" t="n">
        <v>34405948</v>
      </c>
      <c r="C8057" s="2" t="n">
        <v>42809</v>
      </c>
      <c r="D8057" t="inlineStr">
        <is>
          <t>SPEC</t>
        </is>
      </c>
      <c r="E8057" t="inlineStr">
        <is>
          <t>SUPPORT GAUCHE TGAB</t>
        </is>
      </c>
      <c r="F8057" t="inlineStr">
        <is>
          <t>MBC 1500kVA GVX</t>
        </is>
      </c>
      <c r="J8057" t="inlineStr">
        <is>
          <t>MATRION</t>
        </is>
      </c>
      <c r="L8057">
        <f>_xlfn.XLOOKUP(Tableau1[[#This Row],[TYPE DE PIECE]],Tableau4[MATIERE],Tableau4[SHORT TYPE],"",0,1)</f>
        <v/>
      </c>
      <c r="N8057">
        <f>IF(ISERR(FIND("DECOUPE",Tableau1[[#This Row],[DESIGNATION]])),"","NEED REF")</f>
        <v/>
      </c>
    </row>
    <row r="8058">
      <c r="B8058" t="n">
        <v>34405947</v>
      </c>
      <c r="C8058" s="2" t="n">
        <v>42809</v>
      </c>
      <c r="D8058" t="inlineStr">
        <is>
          <t>SPEC</t>
        </is>
      </c>
      <c r="E8058" t="inlineStr">
        <is>
          <t>TUNNEL LATERAL DROIT</t>
        </is>
      </c>
      <c r="F8058" t="inlineStr">
        <is>
          <t>MBC 1500kVA GVX</t>
        </is>
      </c>
      <c r="J8058" t="inlineStr">
        <is>
          <t>MATRION</t>
        </is>
      </c>
      <c r="L8058">
        <f>_xlfn.XLOOKUP(Tableau1[[#This Row],[TYPE DE PIECE]],Tableau4[MATIERE],Tableau4[SHORT TYPE],"",0,1)</f>
        <v/>
      </c>
      <c r="N8058">
        <f>IF(ISERR(FIND("DECOUPE",Tableau1[[#This Row],[DESIGNATION]])),"","NEED REF")</f>
        <v/>
      </c>
    </row>
    <row r="8059">
      <c r="B8059" t="n">
        <v>34405946</v>
      </c>
      <c r="C8059" s="2" t="n">
        <v>42809</v>
      </c>
      <c r="D8059" t="inlineStr">
        <is>
          <t>SPEC</t>
        </is>
      </c>
      <c r="E8059" t="inlineStr">
        <is>
          <t>TUNNEL LATERAL GAUCHE</t>
        </is>
      </c>
      <c r="F8059" t="inlineStr">
        <is>
          <t>MBC 1500kVA GVX</t>
        </is>
      </c>
      <c r="J8059" t="inlineStr">
        <is>
          <t>MATRION</t>
        </is>
      </c>
      <c r="L8059">
        <f>_xlfn.XLOOKUP(Tableau1[[#This Row],[TYPE DE PIECE]],Tableau4[MATIERE],Tableau4[SHORT TYPE],"",0,1)</f>
        <v/>
      </c>
      <c r="N8059">
        <f>IF(ISERR(FIND("DECOUPE",Tableau1[[#This Row],[DESIGNATION]])),"","NEED REF")</f>
        <v/>
      </c>
    </row>
    <row r="8060">
      <c r="B8060" t="n">
        <v>34405945</v>
      </c>
      <c r="C8060" s="2" t="n">
        <v>42809</v>
      </c>
      <c r="D8060" t="inlineStr">
        <is>
          <t>SPEC</t>
        </is>
      </c>
      <c r="E8060" t="inlineStr">
        <is>
          <t>SUPPORT JDB HAUT</t>
        </is>
      </c>
      <c r="F8060" t="inlineStr">
        <is>
          <t>MBC 1500kVA GVX</t>
        </is>
      </c>
      <c r="J8060" t="inlineStr">
        <is>
          <t>MATRION</t>
        </is>
      </c>
      <c r="L8060">
        <f>_xlfn.XLOOKUP(Tableau1[[#This Row],[TYPE DE PIECE]],Tableau4[MATIERE],Tableau4[SHORT TYPE],"",0,1)</f>
        <v/>
      </c>
      <c r="N8060">
        <f>IF(ISERR(FIND("DECOUPE",Tableau1[[#This Row],[DESIGNATION]])),"","NEED REF")</f>
        <v/>
      </c>
    </row>
    <row r="8061">
      <c r="B8061" t="n">
        <v>34405944</v>
      </c>
      <c r="C8061" s="2" t="n">
        <v>42809</v>
      </c>
      <c r="D8061" t="inlineStr">
        <is>
          <t>SPEC</t>
        </is>
      </c>
      <c r="E8061" t="inlineStr">
        <is>
          <t>JOUE LATERAL DROIT SUPPORT JDB HAUT</t>
        </is>
      </c>
      <c r="F8061" t="inlineStr">
        <is>
          <t>MBC 1500kVA GVX</t>
        </is>
      </c>
      <c r="J8061" t="inlineStr">
        <is>
          <t>MATRION</t>
        </is>
      </c>
      <c r="L8061">
        <f>_xlfn.XLOOKUP(Tableau1[[#This Row],[TYPE DE PIECE]],Tableau4[MATIERE],Tableau4[SHORT TYPE],"",0,1)</f>
        <v/>
      </c>
      <c r="N8061">
        <f>IF(ISERR(FIND("DECOUPE",Tableau1[[#This Row],[DESIGNATION]])),"","NEED REF")</f>
        <v/>
      </c>
    </row>
    <row r="8062">
      <c r="B8062" t="n">
        <v>34405943</v>
      </c>
      <c r="C8062" s="2" t="n">
        <v>42809</v>
      </c>
      <c r="D8062" t="inlineStr">
        <is>
          <t>SPEC</t>
        </is>
      </c>
      <c r="E8062" t="inlineStr">
        <is>
          <t>JOUE LATERAL GAUCHE SUPPORT JDB HAUT</t>
        </is>
      </c>
      <c r="F8062" t="inlineStr">
        <is>
          <t>MBC 1500kVA GVX</t>
        </is>
      </c>
      <c r="J8062" t="inlineStr">
        <is>
          <t>MATRION</t>
        </is>
      </c>
      <c r="L8062">
        <f>_xlfn.XLOOKUP(Tableau1[[#This Row],[TYPE DE PIECE]],Tableau4[MATIERE],Tableau4[SHORT TYPE],"",0,1)</f>
        <v/>
      </c>
      <c r="N8062">
        <f>IF(ISERR(FIND("DECOUPE",Tableau1[[#This Row],[DESIGNATION]])),"","NEED REF")</f>
        <v/>
      </c>
    </row>
    <row r="8063">
      <c r="B8063" t="n">
        <v>34405942</v>
      </c>
      <c r="C8063" s="2" t="n">
        <v>42809</v>
      </c>
      <c r="D8063" t="inlineStr">
        <is>
          <t>SPEC</t>
        </is>
      </c>
      <c r="F8063" t="inlineStr">
        <is>
          <t>MBC 1500kVA GVX</t>
        </is>
      </c>
      <c r="J8063" t="inlineStr">
        <is>
          <t>MATRION</t>
        </is>
      </c>
      <c r="L8063">
        <f>_xlfn.XLOOKUP(Tableau1[[#This Row],[TYPE DE PIECE]],Tableau4[MATIERE],Tableau4[SHORT TYPE],"",0,1)</f>
        <v/>
      </c>
      <c r="N8063">
        <f>IF(ISERR(FIND("DECOUPE",Tableau1[[#This Row],[DESIGNATION]])),"","NEED REF")</f>
        <v/>
      </c>
    </row>
    <row r="8064">
      <c r="B8064" t="n">
        <v>34405941</v>
      </c>
      <c r="C8064" s="2" t="n">
        <v>42809</v>
      </c>
      <c r="D8064" t="inlineStr">
        <is>
          <t>SPEC</t>
        </is>
      </c>
      <c r="F8064" t="inlineStr">
        <is>
          <t>MBC 1500kVA GVX</t>
        </is>
      </c>
      <c r="J8064" t="inlineStr">
        <is>
          <t>MATRION</t>
        </is>
      </c>
      <c r="L8064">
        <f>_xlfn.XLOOKUP(Tableau1[[#This Row],[TYPE DE PIECE]],Tableau4[MATIERE],Tableau4[SHORT TYPE],"",0,1)</f>
        <v/>
      </c>
      <c r="N8064">
        <f>IF(ISERR(FIND("DECOUPE",Tableau1[[#This Row],[DESIGNATION]])),"","NEED REF")</f>
        <v/>
      </c>
    </row>
    <row r="8065">
      <c r="B8065" t="n">
        <v>34405940</v>
      </c>
      <c r="C8065" s="2" t="n">
        <v>42809</v>
      </c>
      <c r="D8065" t="inlineStr">
        <is>
          <t>SPEC</t>
        </is>
      </c>
      <c r="E8065" t="inlineStr">
        <is>
          <t>CX JONCTION TGAB 2</t>
        </is>
      </c>
      <c r="F8065" t="inlineStr">
        <is>
          <t>MBC 1500kVA GVX</t>
        </is>
      </c>
      <c r="J8065" t="inlineStr">
        <is>
          <t>MATRION</t>
        </is>
      </c>
      <c r="L8065">
        <f>_xlfn.XLOOKUP(Tableau1[[#This Row],[TYPE DE PIECE]],Tableau4[MATIERE],Tableau4[SHORT TYPE],"",0,1)</f>
        <v/>
      </c>
      <c r="N8065">
        <f>IF(ISERR(FIND("DECOUPE",Tableau1[[#This Row],[DESIGNATION]])),"","NEED REF")</f>
        <v/>
      </c>
    </row>
    <row r="8066">
      <c r="B8066" t="n">
        <v>34405939</v>
      </c>
      <c r="C8066" s="2" t="n">
        <v>42809</v>
      </c>
      <c r="D8066" t="inlineStr">
        <is>
          <t>SPEC</t>
        </is>
      </c>
      <c r="E8066" t="inlineStr">
        <is>
          <t>CX JONCTION TGAB 1</t>
        </is>
      </c>
      <c r="F8066" t="inlineStr">
        <is>
          <t>MBC 1500kVA GVX</t>
        </is>
      </c>
      <c r="J8066" t="inlineStr">
        <is>
          <t>MATRION</t>
        </is>
      </c>
      <c r="L8066">
        <f>_xlfn.XLOOKUP(Tableau1[[#This Row],[TYPE DE PIECE]],Tableau4[MATIERE],Tableau4[SHORT TYPE],"",0,1)</f>
        <v/>
      </c>
      <c r="N8066">
        <f>IF(ISERR(FIND("DECOUPE",Tableau1[[#This Row],[DESIGNATION]])),"","NEED REF")</f>
        <v/>
      </c>
    </row>
    <row r="8067">
      <c r="B8067" t="n">
        <v>34405938</v>
      </c>
      <c r="C8067" s="2" t="n">
        <v>42809</v>
      </c>
      <c r="D8067" t="inlineStr">
        <is>
          <t>SPEC</t>
        </is>
      </c>
      <c r="E8067" t="inlineStr">
        <is>
          <t>SUPPORT LINERGY ARRIERE</t>
        </is>
      </c>
      <c r="F8067" t="inlineStr">
        <is>
          <t>MBC 1500kVA GVX</t>
        </is>
      </c>
      <c r="J8067" t="inlineStr">
        <is>
          <t>MATRION</t>
        </is>
      </c>
      <c r="K8067" t="inlineStr">
        <is>
          <t>TÖLERIE</t>
        </is>
      </c>
      <c r="L8067">
        <f>_xlfn.XLOOKUP(Tableau1[[#This Row],[TYPE DE PIECE]],Tableau4[MATIERE],Tableau4[SHORT TYPE],"",0,1)</f>
        <v/>
      </c>
      <c r="N8067">
        <f>IF(ISERR(FIND("DECOUPE",Tableau1[[#This Row],[DESIGNATION]])),"","NEED REF")</f>
        <v/>
      </c>
    </row>
    <row r="8068">
      <c r="B8068" t="n">
        <v>34405937</v>
      </c>
      <c r="C8068" s="2" t="n">
        <v>42809</v>
      </c>
      <c r="D8068" t="inlineStr">
        <is>
          <t>SPEC</t>
        </is>
      </c>
      <c r="E8068" t="inlineStr">
        <is>
          <t>SUPPORT TGAB</t>
        </is>
      </c>
      <c r="F8068" t="inlineStr">
        <is>
          <t>MBC 1500kVA GVX</t>
        </is>
      </c>
      <c r="J8068" t="inlineStr">
        <is>
          <t>MATRION</t>
        </is>
      </c>
      <c r="L8068">
        <f>_xlfn.XLOOKUP(Tableau1[[#This Row],[TYPE DE PIECE]],Tableau4[MATIERE],Tableau4[SHORT TYPE],"",0,1)</f>
        <v/>
      </c>
      <c r="N8068">
        <f>IF(ISERR(FIND("DECOUPE",Tableau1[[#This Row],[DESIGNATION]])),"","NEED REF")</f>
        <v/>
      </c>
    </row>
    <row r="8069">
      <c r="B8069" t="n">
        <v>34405936</v>
      </c>
      <c r="C8069" s="2" t="n">
        <v>42809</v>
      </c>
      <c r="D8069" t="inlineStr">
        <is>
          <t>SPEC</t>
        </is>
      </c>
      <c r="E8069" t="inlineStr">
        <is>
          <t>SUPPORT TGAB</t>
        </is>
      </c>
      <c r="F8069" t="inlineStr">
        <is>
          <t>MBC 1500kVA GVX</t>
        </is>
      </c>
      <c r="J8069" t="inlineStr">
        <is>
          <t>MATRION</t>
        </is>
      </c>
      <c r="L8069">
        <f>_xlfn.XLOOKUP(Tableau1[[#This Row],[TYPE DE PIECE]],Tableau4[MATIERE],Tableau4[SHORT TYPE],"",0,1)</f>
        <v/>
      </c>
      <c r="N8069">
        <f>IF(ISERR(FIND("DECOUPE",Tableau1[[#This Row],[DESIGNATION]])),"","NEED REF")</f>
        <v/>
      </c>
    </row>
    <row r="8070">
      <c r="B8070" t="n">
        <v>34405935</v>
      </c>
      <c r="C8070" s="2" t="n">
        <v>42809</v>
      </c>
      <c r="D8070" t="inlineStr">
        <is>
          <t>SPEC</t>
        </is>
      </c>
      <c r="F8070" t="inlineStr">
        <is>
          <t>MBC 1500kVA GVX</t>
        </is>
      </c>
      <c r="J8070" t="inlineStr">
        <is>
          <t>MATRION</t>
        </is>
      </c>
      <c r="L8070">
        <f>_xlfn.XLOOKUP(Tableau1[[#This Row],[TYPE DE PIECE]],Tableau4[MATIERE],Tableau4[SHORT TYPE],"",0,1)</f>
        <v/>
      </c>
      <c r="N8070">
        <f>IF(ISERR(FIND("DECOUPE",Tableau1[[#This Row],[DESIGNATION]])),"","NEED REF")</f>
        <v/>
      </c>
    </row>
    <row r="8071">
      <c r="B8071" t="n">
        <v>34405934</v>
      </c>
      <c r="C8071" s="2" t="n">
        <v>42809</v>
      </c>
      <c r="D8071" t="inlineStr">
        <is>
          <t>SPEC</t>
        </is>
      </c>
      <c r="F8071" t="inlineStr">
        <is>
          <t>MBC 1500kVA GVX</t>
        </is>
      </c>
      <c r="J8071" t="inlineStr">
        <is>
          <t>MATRION</t>
        </is>
      </c>
      <c r="L8071">
        <f>_xlfn.XLOOKUP(Tableau1[[#This Row],[TYPE DE PIECE]],Tableau4[MATIERE],Tableau4[SHORT TYPE],"",0,1)</f>
        <v/>
      </c>
      <c r="N8071">
        <f>IF(ISERR(FIND("DECOUPE",Tableau1[[#This Row],[DESIGNATION]])),"","NEED REF")</f>
        <v/>
      </c>
    </row>
    <row r="8072">
      <c r="B8072" t="n">
        <v>34405933</v>
      </c>
      <c r="C8072" s="2" t="n">
        <v>42809</v>
      </c>
      <c r="D8072" t="inlineStr">
        <is>
          <t>SPEC</t>
        </is>
      </c>
      <c r="F8072" t="inlineStr">
        <is>
          <t>MBC 1500kVA GVX</t>
        </is>
      </c>
      <c r="J8072" t="inlineStr">
        <is>
          <t>MATRION</t>
        </is>
      </c>
      <c r="L8072">
        <f>_xlfn.XLOOKUP(Tableau1[[#This Row],[TYPE DE PIECE]],Tableau4[MATIERE],Tableau4[SHORT TYPE],"",0,1)</f>
        <v/>
      </c>
      <c r="N8072">
        <f>IF(ISERR(FIND("DECOUPE",Tableau1[[#This Row],[DESIGNATION]])),"","NEED REF")</f>
        <v/>
      </c>
    </row>
    <row r="8073">
      <c r="B8073" t="n">
        <v>34405932</v>
      </c>
      <c r="C8073" s="2" t="n">
        <v>42809</v>
      </c>
      <c r="D8073" t="inlineStr">
        <is>
          <t>SPEC</t>
        </is>
      </c>
      <c r="F8073" t="inlineStr">
        <is>
          <t>MBC 1500kVA GVX</t>
        </is>
      </c>
      <c r="J8073" t="inlineStr">
        <is>
          <t>MATRION</t>
        </is>
      </c>
      <c r="L8073">
        <f>_xlfn.XLOOKUP(Tableau1[[#This Row],[TYPE DE PIECE]],Tableau4[MATIERE],Tableau4[SHORT TYPE],"",0,1)</f>
        <v/>
      </c>
      <c r="N8073">
        <f>IF(ISERR(FIND("DECOUPE",Tableau1[[#This Row],[DESIGNATION]])),"","NEED REF")</f>
        <v/>
      </c>
    </row>
    <row r="8074">
      <c r="B8074" t="n">
        <v>34405931</v>
      </c>
      <c r="C8074" s="2" t="n">
        <v>42809</v>
      </c>
      <c r="D8074" t="inlineStr">
        <is>
          <t>SPEC</t>
        </is>
      </c>
      <c r="F8074" t="inlineStr">
        <is>
          <t>MBC 1500kVA GVX</t>
        </is>
      </c>
      <c r="J8074" t="inlineStr">
        <is>
          <t>MATRION</t>
        </is>
      </c>
      <c r="L8074">
        <f>_xlfn.XLOOKUP(Tableau1[[#This Row],[TYPE DE PIECE]],Tableau4[MATIERE],Tableau4[SHORT TYPE],"",0,1)</f>
        <v/>
      </c>
      <c r="N8074">
        <f>IF(ISERR(FIND("DECOUPE",Tableau1[[#This Row],[DESIGNATION]])),"","NEED REF")</f>
        <v/>
      </c>
    </row>
    <row r="8075">
      <c r="B8075" t="n">
        <v>34405930</v>
      </c>
      <c r="C8075" s="2" t="n">
        <v>42809</v>
      </c>
      <c r="D8075" t="inlineStr">
        <is>
          <t>SPEC</t>
        </is>
      </c>
      <c r="F8075" t="inlineStr">
        <is>
          <t>MBC 1500kVA GVX</t>
        </is>
      </c>
      <c r="J8075" t="inlineStr">
        <is>
          <t>MATRION</t>
        </is>
      </c>
      <c r="L8075">
        <f>_xlfn.XLOOKUP(Tableau1[[#This Row],[TYPE DE PIECE]],Tableau4[MATIERE],Tableau4[SHORT TYPE],"",0,1)</f>
        <v/>
      </c>
      <c r="N8075">
        <f>IF(ISERR(FIND("DECOUPE",Tableau1[[#This Row],[DESIGNATION]])),"","NEED REF")</f>
        <v/>
      </c>
    </row>
    <row r="8076">
      <c r="B8076" t="n">
        <v>34405929</v>
      </c>
      <c r="C8076" s="2" t="n">
        <v>42809</v>
      </c>
      <c r="D8076" t="inlineStr">
        <is>
          <t>SPEC</t>
        </is>
      </c>
      <c r="F8076" t="inlineStr">
        <is>
          <t>MBC 1500kVA GVX</t>
        </is>
      </c>
      <c r="J8076" t="inlineStr">
        <is>
          <t>MATRION</t>
        </is>
      </c>
      <c r="L8076">
        <f>_xlfn.XLOOKUP(Tableau1[[#This Row],[TYPE DE PIECE]],Tableau4[MATIERE],Tableau4[SHORT TYPE],"",0,1)</f>
        <v/>
      </c>
      <c r="N8076">
        <f>IF(ISERR(FIND("DECOUPE",Tableau1[[#This Row],[DESIGNATION]])),"","NEED REF")</f>
        <v/>
      </c>
    </row>
    <row r="8077">
      <c r="B8077" t="n">
        <v>34405928</v>
      </c>
      <c r="C8077" s="2" t="n">
        <v>42809</v>
      </c>
      <c r="D8077" t="inlineStr">
        <is>
          <t>SPEC</t>
        </is>
      </c>
      <c r="F8077" t="inlineStr">
        <is>
          <t>MBC 1500kVA GVX</t>
        </is>
      </c>
      <c r="J8077" t="inlineStr">
        <is>
          <t>MATRION</t>
        </is>
      </c>
      <c r="L8077">
        <f>_xlfn.XLOOKUP(Tableau1[[#This Row],[TYPE DE PIECE]],Tableau4[MATIERE],Tableau4[SHORT TYPE],"",0,1)</f>
        <v/>
      </c>
      <c r="N8077">
        <f>IF(ISERR(FIND("DECOUPE",Tableau1[[#This Row],[DESIGNATION]])),"","NEED REF")</f>
        <v/>
      </c>
    </row>
    <row r="8078">
      <c r="B8078" t="n">
        <v>34405927</v>
      </c>
      <c r="C8078" s="2" t="n">
        <v>42809</v>
      </c>
      <c r="D8078" t="inlineStr">
        <is>
          <t>SPEC</t>
        </is>
      </c>
      <c r="F8078" t="inlineStr">
        <is>
          <t>MBC 1500kVA GVX</t>
        </is>
      </c>
      <c r="J8078" t="inlineStr">
        <is>
          <t>MATRION</t>
        </is>
      </c>
      <c r="L8078">
        <f>_xlfn.XLOOKUP(Tableau1[[#This Row],[TYPE DE PIECE]],Tableau4[MATIERE],Tableau4[SHORT TYPE],"",0,1)</f>
        <v/>
      </c>
      <c r="N8078">
        <f>IF(ISERR(FIND("DECOUPE",Tableau1[[#This Row],[DESIGNATION]])),"","NEED REF")</f>
        <v/>
      </c>
    </row>
    <row r="8079">
      <c r="B8079" t="n">
        <v>34405926</v>
      </c>
      <c r="C8079" s="2" t="n">
        <v>42809</v>
      </c>
      <c r="D8079" t="inlineStr">
        <is>
          <t>SPEC</t>
        </is>
      </c>
      <c r="E8079" t="inlineStr">
        <is>
          <t>LINERGY 04566 2500A 625MM</t>
        </is>
      </c>
      <c r="F8079" t="inlineStr">
        <is>
          <t>MBC 1500kVA GVX</t>
        </is>
      </c>
      <c r="J8079" t="inlineStr">
        <is>
          <t>MATRION</t>
        </is>
      </c>
      <c r="K8079" t="inlineStr">
        <is>
          <t>DECOUPE</t>
        </is>
      </c>
      <c r="L8079">
        <f>_xlfn.XLOOKUP(Tableau1[[#This Row],[TYPE DE PIECE]],Tableau4[MATIERE],Tableau4[SHORT TYPE],"",0,1)</f>
        <v/>
      </c>
      <c r="N8079">
        <f>IF(ISERR(FIND("DECOUPE",Tableau1[[#This Row],[DESIGNATION]])),"","NEED REF")</f>
        <v/>
      </c>
    </row>
    <row r="8080">
      <c r="B8080" t="n">
        <v>34405925</v>
      </c>
      <c r="C8080" s="2" t="n">
        <v>42809</v>
      </c>
      <c r="D8080" t="inlineStr">
        <is>
          <t>SPEC</t>
        </is>
      </c>
      <c r="F8080" t="inlineStr">
        <is>
          <t>MBC 1500kVA GVX</t>
        </is>
      </c>
      <c r="J8080" t="inlineStr">
        <is>
          <t>MATRION</t>
        </is>
      </c>
      <c r="L8080">
        <f>_xlfn.XLOOKUP(Tableau1[[#This Row],[TYPE DE PIECE]],Tableau4[MATIERE],Tableau4[SHORT TYPE],"",0,1)</f>
        <v/>
      </c>
      <c r="N8080">
        <f>IF(ISERR(FIND("DECOUPE",Tableau1[[#This Row],[DESIGNATION]])),"","NEED REF")</f>
        <v/>
      </c>
    </row>
    <row r="8081">
      <c r="B8081" t="n">
        <v>34405924</v>
      </c>
      <c r="C8081" s="2" t="n">
        <v>42809</v>
      </c>
      <c r="D8081" t="inlineStr">
        <is>
          <t>SPEC</t>
        </is>
      </c>
      <c r="F8081" t="inlineStr">
        <is>
          <t>MBC 1500kVA GVX</t>
        </is>
      </c>
      <c r="J8081" t="inlineStr">
        <is>
          <t>MATRION</t>
        </is>
      </c>
      <c r="L8081">
        <f>_xlfn.XLOOKUP(Tableau1[[#This Row],[TYPE DE PIECE]],Tableau4[MATIERE],Tableau4[SHORT TYPE],"",0,1)</f>
        <v/>
      </c>
      <c r="N8081">
        <f>IF(ISERR(FIND("DECOUPE",Tableau1[[#This Row],[DESIGNATION]])),"","NEED REF")</f>
        <v/>
      </c>
    </row>
    <row r="8082">
      <c r="B8082" t="n">
        <v>34405923</v>
      </c>
      <c r="C8082" s="2" t="n">
        <v>42809</v>
      </c>
      <c r="D8082" t="inlineStr">
        <is>
          <t>SPEC</t>
        </is>
      </c>
      <c r="E8082" t="inlineStr">
        <is>
          <t>CX LIAISON LINERGY MAINS2</t>
        </is>
      </c>
      <c r="F8082" t="inlineStr">
        <is>
          <t>MBC 1500kVA GVX</t>
        </is>
      </c>
      <c r="J8082" t="inlineStr">
        <is>
          <t>MATRION</t>
        </is>
      </c>
      <c r="K8082" t="inlineStr">
        <is>
          <t>JDB ALU T66</t>
        </is>
      </c>
      <c r="L8082">
        <f>_xlfn.XLOOKUP(Tableau1[[#This Row],[TYPE DE PIECE]],Tableau4[MATIERE],Tableau4[SHORT TYPE],"",0,1)</f>
        <v/>
      </c>
      <c r="N8082">
        <f>IF(ISERR(FIND("DECOUPE",Tableau1[[#This Row],[DESIGNATION]])),"","NEED REF")</f>
        <v/>
      </c>
    </row>
    <row r="8083">
      <c r="B8083" t="n">
        <v>34405922</v>
      </c>
      <c r="C8083" s="2" t="n">
        <v>42809</v>
      </c>
      <c r="D8083" t="inlineStr">
        <is>
          <t>SPEC</t>
        </is>
      </c>
      <c r="E8083" t="inlineStr">
        <is>
          <t>CX LOAD UPS TGAB</t>
        </is>
      </c>
      <c r="F8083" t="inlineStr">
        <is>
          <t>MBC 1500kVA GVX</t>
        </is>
      </c>
      <c r="J8083" t="inlineStr">
        <is>
          <t>MATRION</t>
        </is>
      </c>
      <c r="K8083" t="inlineStr">
        <is>
          <t>JDB ALU T66</t>
        </is>
      </c>
      <c r="L8083">
        <f>_xlfn.XLOOKUP(Tableau1[[#This Row],[TYPE DE PIECE]],Tableau4[MATIERE],Tableau4[SHORT TYPE],"",0,1)</f>
        <v/>
      </c>
      <c r="N8083">
        <f>IF(ISERR(FIND("DECOUPE",Tableau1[[#This Row],[DESIGNATION]])),"","NEED REF")</f>
        <v/>
      </c>
    </row>
    <row r="8084">
      <c r="B8084" t="n">
        <v>34405921</v>
      </c>
      <c r="C8084" s="2" t="n">
        <v>42809</v>
      </c>
      <c r="D8084" t="inlineStr">
        <is>
          <t>SPEC</t>
        </is>
      </c>
      <c r="E8084" t="inlineStr">
        <is>
          <t>CX MAINS2 TGAB</t>
        </is>
      </c>
      <c r="F8084" t="inlineStr">
        <is>
          <t>MBC 1500kVA GVX</t>
        </is>
      </c>
      <c r="J8084" t="inlineStr">
        <is>
          <t>MATRION</t>
        </is>
      </c>
      <c r="K8084" t="inlineStr">
        <is>
          <t>JDB ALU T66</t>
        </is>
      </c>
      <c r="L8084">
        <f>_xlfn.XLOOKUP(Tableau1[[#This Row],[TYPE DE PIECE]],Tableau4[MATIERE],Tableau4[SHORT TYPE],"",0,1)</f>
        <v/>
      </c>
      <c r="N8084">
        <f>IF(ISERR(FIND("DECOUPE",Tableau1[[#This Row],[DESIGNATION]])),"","NEED REF")</f>
        <v/>
      </c>
    </row>
    <row r="8085">
      <c r="B8085" t="n">
        <v>34405920</v>
      </c>
      <c r="C8085" s="2" t="n">
        <v>42809</v>
      </c>
      <c r="D8085" t="inlineStr">
        <is>
          <t>SPEC</t>
        </is>
      </c>
      <c r="E8085" t="inlineStr">
        <is>
          <t>CX MAINS2 MBB</t>
        </is>
      </c>
      <c r="F8085" t="inlineStr">
        <is>
          <t>MBC 1500kVA GVX</t>
        </is>
      </c>
      <c r="J8085" t="inlineStr">
        <is>
          <t>MATRION</t>
        </is>
      </c>
      <c r="K8085" t="inlineStr">
        <is>
          <t>JDB ALU T66</t>
        </is>
      </c>
      <c r="L8085">
        <f>_xlfn.XLOOKUP(Tableau1[[#This Row],[TYPE DE PIECE]],Tableau4[MATIERE],Tableau4[SHORT TYPE],"",0,1)</f>
        <v/>
      </c>
      <c r="N8085">
        <f>IF(ISERR(FIND("DECOUPE",Tableau1[[#This Row],[DESIGNATION]])),"","NEED REF")</f>
        <v/>
      </c>
    </row>
    <row r="8086">
      <c r="B8086" t="n">
        <v>34405919</v>
      </c>
      <c r="C8086" s="2" t="n">
        <v>42807</v>
      </c>
      <c r="D8086" t="inlineStr">
        <is>
          <t>SPEC</t>
        </is>
      </c>
      <c r="F8086" t="inlineStr">
        <is>
          <t>STS UPSILON 1200A</t>
        </is>
      </c>
      <c r="J8086" t="inlineStr">
        <is>
          <t>MASCELLINO</t>
        </is>
      </c>
      <c r="L8086">
        <f>_xlfn.XLOOKUP(Tableau1[[#This Row],[TYPE DE PIECE]],Tableau4[MATIERE],Tableau4[SHORT TYPE],"",0,1)</f>
        <v/>
      </c>
      <c r="N8086">
        <f>IF(ISERR(FIND("DECOUPE",Tableau1[[#This Row],[DESIGNATION]])),"","NEED REF")</f>
        <v/>
      </c>
    </row>
    <row r="8087">
      <c r="B8087" t="n">
        <v>34405918</v>
      </c>
      <c r="C8087" s="2" t="n">
        <v>42807</v>
      </c>
      <c r="D8087" t="inlineStr">
        <is>
          <t>SPEC</t>
        </is>
      </c>
      <c r="F8087" t="inlineStr">
        <is>
          <t>STS UPSILON 1200A</t>
        </is>
      </c>
      <c r="J8087" t="inlineStr">
        <is>
          <t>MASCELLINO</t>
        </is>
      </c>
      <c r="L8087">
        <f>_xlfn.XLOOKUP(Tableau1[[#This Row],[TYPE DE PIECE]],Tableau4[MATIERE],Tableau4[SHORT TYPE],"",0,1)</f>
        <v/>
      </c>
      <c r="N8087">
        <f>IF(ISERR(FIND("DECOUPE",Tableau1[[#This Row],[DESIGNATION]])),"","NEED REF")</f>
        <v/>
      </c>
    </row>
    <row r="8088">
      <c r="B8088" t="n">
        <v>34405917</v>
      </c>
      <c r="C8088" s="2" t="n">
        <v>42807</v>
      </c>
      <c r="D8088" t="inlineStr">
        <is>
          <t>SPEC</t>
        </is>
      </c>
      <c r="F8088" t="inlineStr">
        <is>
          <t>STS UPSILON 1200A</t>
        </is>
      </c>
      <c r="J8088" t="inlineStr">
        <is>
          <t>MASCELLINO</t>
        </is>
      </c>
      <c r="L8088">
        <f>_xlfn.XLOOKUP(Tableau1[[#This Row],[TYPE DE PIECE]],Tableau4[MATIERE],Tableau4[SHORT TYPE],"",0,1)</f>
        <v/>
      </c>
      <c r="N8088">
        <f>IF(ISERR(FIND("DECOUPE",Tableau1[[#This Row],[DESIGNATION]])),"","NEED REF")</f>
        <v/>
      </c>
    </row>
    <row r="8089">
      <c r="B8089" t="n">
        <v>34405916</v>
      </c>
      <c r="C8089" s="2" t="n">
        <v>42807</v>
      </c>
      <c r="D8089" t="inlineStr">
        <is>
          <t>SPEC</t>
        </is>
      </c>
      <c r="F8089" t="inlineStr">
        <is>
          <t>STS UPSILON 1200A</t>
        </is>
      </c>
      <c r="J8089" t="inlineStr">
        <is>
          <t>MASCELLINO</t>
        </is>
      </c>
      <c r="L8089">
        <f>_xlfn.XLOOKUP(Tableau1[[#This Row],[TYPE DE PIECE]],Tableau4[MATIERE],Tableau4[SHORT TYPE],"",0,1)</f>
        <v/>
      </c>
      <c r="N8089">
        <f>IF(ISERR(FIND("DECOUPE",Tableau1[[#This Row],[DESIGNATION]])),"","NEED REF")</f>
        <v/>
      </c>
    </row>
    <row r="8090">
      <c r="B8090" t="n">
        <v>34405915</v>
      </c>
      <c r="C8090" s="2" t="n">
        <v>42807</v>
      </c>
      <c r="D8090" t="inlineStr">
        <is>
          <t>SPEC</t>
        </is>
      </c>
      <c r="F8090" t="inlineStr">
        <is>
          <t>STS UPSILON 1200A</t>
        </is>
      </c>
      <c r="J8090" t="inlineStr">
        <is>
          <t>MASCELLINO</t>
        </is>
      </c>
      <c r="L8090">
        <f>_xlfn.XLOOKUP(Tableau1[[#This Row],[TYPE DE PIECE]],Tableau4[MATIERE],Tableau4[SHORT TYPE],"",0,1)</f>
        <v/>
      </c>
      <c r="N8090">
        <f>IF(ISERR(FIND("DECOUPE",Tableau1[[#This Row],[DESIGNATION]])),"","NEED REF")</f>
        <v/>
      </c>
    </row>
    <row r="8091">
      <c r="B8091" t="n">
        <v>34405914</v>
      </c>
      <c r="C8091" s="2" t="n">
        <v>42807</v>
      </c>
      <c r="D8091" t="inlineStr">
        <is>
          <t>SPEC</t>
        </is>
      </c>
      <c r="F8091" t="inlineStr">
        <is>
          <t>STS UPSILON 1200A</t>
        </is>
      </c>
      <c r="J8091" t="inlineStr">
        <is>
          <t>MASCELLINO</t>
        </is>
      </c>
      <c r="L8091">
        <f>_xlfn.XLOOKUP(Tableau1[[#This Row],[TYPE DE PIECE]],Tableau4[MATIERE],Tableau4[SHORT TYPE],"",0,1)</f>
        <v/>
      </c>
      <c r="N8091">
        <f>IF(ISERR(FIND("DECOUPE",Tableau1[[#This Row],[DESIGNATION]])),"","NEED REF")</f>
        <v/>
      </c>
    </row>
    <row r="8092">
      <c r="B8092" t="n">
        <v>34405913</v>
      </c>
      <c r="C8092" s="2" t="n">
        <v>42807</v>
      </c>
      <c r="D8092" t="inlineStr">
        <is>
          <t>SPEC</t>
        </is>
      </c>
      <c r="F8092" t="inlineStr">
        <is>
          <t>STS UPSILON 1200A</t>
        </is>
      </c>
      <c r="J8092" t="inlineStr">
        <is>
          <t>MASCELLINO</t>
        </is>
      </c>
      <c r="L8092">
        <f>_xlfn.XLOOKUP(Tableau1[[#This Row],[TYPE DE PIECE]],Tableau4[MATIERE],Tableau4[SHORT TYPE],"",0,1)</f>
        <v/>
      </c>
      <c r="N8092">
        <f>IF(ISERR(FIND("DECOUPE",Tableau1[[#This Row],[DESIGNATION]])),"","NEED REF")</f>
        <v/>
      </c>
    </row>
    <row r="8093">
      <c r="B8093" t="n">
        <v>34405912</v>
      </c>
      <c r="C8093" s="2" t="n">
        <v>42807</v>
      </c>
      <c r="D8093" t="inlineStr">
        <is>
          <t>SPEC</t>
        </is>
      </c>
      <c r="F8093" t="inlineStr">
        <is>
          <t>STS UPSILON 1200A</t>
        </is>
      </c>
      <c r="J8093" t="inlineStr">
        <is>
          <t>MASCELLINO</t>
        </is>
      </c>
      <c r="L8093">
        <f>_xlfn.XLOOKUP(Tableau1[[#This Row],[TYPE DE PIECE]],Tableau4[MATIERE],Tableau4[SHORT TYPE],"",0,1)</f>
        <v/>
      </c>
      <c r="N8093">
        <f>IF(ISERR(FIND("DECOUPE",Tableau1[[#This Row],[DESIGNATION]])),"","NEED REF")</f>
        <v/>
      </c>
    </row>
    <row r="8094">
      <c r="B8094" t="n">
        <v>34405911</v>
      </c>
      <c r="C8094" s="2" t="n">
        <v>42807</v>
      </c>
      <c r="D8094" t="inlineStr">
        <is>
          <t>SPEC</t>
        </is>
      </c>
      <c r="F8094" t="inlineStr">
        <is>
          <t>STS UPSILON 1200A</t>
        </is>
      </c>
      <c r="J8094" t="inlineStr">
        <is>
          <t>MASCELLINO</t>
        </is>
      </c>
      <c r="L8094">
        <f>_xlfn.XLOOKUP(Tableau1[[#This Row],[TYPE DE PIECE]],Tableau4[MATIERE],Tableau4[SHORT TYPE],"",0,1)</f>
        <v/>
      </c>
      <c r="N8094">
        <f>IF(ISERR(FIND("DECOUPE",Tableau1[[#This Row],[DESIGNATION]])),"","NEED REF")</f>
        <v/>
      </c>
    </row>
    <row r="8095">
      <c r="B8095" t="n">
        <v>34405910</v>
      </c>
      <c r="C8095" s="2" t="n">
        <v>42807</v>
      </c>
      <c r="D8095" t="inlineStr">
        <is>
          <t>SPEC</t>
        </is>
      </c>
      <c r="F8095" t="inlineStr">
        <is>
          <t>STS UPSILON 1200A</t>
        </is>
      </c>
      <c r="J8095" t="inlineStr">
        <is>
          <t>MASCELLINO</t>
        </is>
      </c>
      <c r="L8095">
        <f>_xlfn.XLOOKUP(Tableau1[[#This Row],[TYPE DE PIECE]],Tableau4[MATIERE],Tableau4[SHORT TYPE],"",0,1)</f>
        <v/>
      </c>
      <c r="N8095">
        <f>IF(ISERR(FIND("DECOUPE",Tableau1[[#This Row],[DESIGNATION]])),"","NEED REF")</f>
        <v/>
      </c>
    </row>
    <row r="8096">
      <c r="B8096" t="n">
        <v>34405909</v>
      </c>
      <c r="C8096" s="2" t="n">
        <v>42807</v>
      </c>
      <c r="D8096" t="inlineStr">
        <is>
          <t>SPEC</t>
        </is>
      </c>
      <c r="F8096" t="inlineStr">
        <is>
          <t>STS UPSILON 1200A</t>
        </is>
      </c>
      <c r="J8096" t="inlineStr">
        <is>
          <t>MASCELLINO</t>
        </is>
      </c>
      <c r="L8096">
        <f>_xlfn.XLOOKUP(Tableau1[[#This Row],[TYPE DE PIECE]],Tableau4[MATIERE],Tableau4[SHORT TYPE],"",0,1)</f>
        <v/>
      </c>
      <c r="N8096">
        <f>IF(ISERR(FIND("DECOUPE",Tableau1[[#This Row],[DESIGNATION]])),"","NEED REF")</f>
        <v/>
      </c>
    </row>
    <row r="8097">
      <c r="B8097" t="n">
        <v>34405908</v>
      </c>
      <c r="C8097" s="2" t="n">
        <v>42807</v>
      </c>
      <c r="D8097" t="inlineStr">
        <is>
          <t>SPEC</t>
        </is>
      </c>
      <c r="F8097" t="inlineStr">
        <is>
          <t>STS UPSILON 1200A</t>
        </is>
      </c>
      <c r="J8097" t="inlineStr">
        <is>
          <t>MASCELLINO</t>
        </is>
      </c>
      <c r="L8097">
        <f>_xlfn.XLOOKUP(Tableau1[[#This Row],[TYPE DE PIECE]],Tableau4[MATIERE],Tableau4[SHORT TYPE],"",0,1)</f>
        <v/>
      </c>
      <c r="N8097">
        <f>IF(ISERR(FIND("DECOUPE",Tableau1[[#This Row],[DESIGNATION]])),"","NEED REF")</f>
        <v/>
      </c>
    </row>
    <row r="8098">
      <c r="B8098" t="n">
        <v>34405907</v>
      </c>
      <c r="C8098" s="2" t="n">
        <v>42807</v>
      </c>
      <c r="D8098" t="inlineStr">
        <is>
          <t>SPEC</t>
        </is>
      </c>
      <c r="F8098" t="inlineStr">
        <is>
          <t>STS UPSILON 1200A</t>
        </is>
      </c>
      <c r="J8098" t="inlineStr">
        <is>
          <t>MASCELLINO</t>
        </is>
      </c>
      <c r="L8098">
        <f>_xlfn.XLOOKUP(Tableau1[[#This Row],[TYPE DE PIECE]],Tableau4[MATIERE],Tableau4[SHORT TYPE],"",0,1)</f>
        <v/>
      </c>
      <c r="N8098">
        <f>IF(ISERR(FIND("DECOUPE",Tableau1[[#This Row],[DESIGNATION]])),"","NEED REF")</f>
        <v/>
      </c>
    </row>
    <row r="8099">
      <c r="B8099" t="n">
        <v>34405906</v>
      </c>
      <c r="C8099" s="2" t="n">
        <v>42807</v>
      </c>
      <c r="D8099" t="inlineStr">
        <is>
          <t>SPEC</t>
        </is>
      </c>
      <c r="F8099" t="inlineStr">
        <is>
          <t>STS UPSILON 1200A</t>
        </is>
      </c>
      <c r="J8099" t="inlineStr">
        <is>
          <t>MASCELLINO</t>
        </is>
      </c>
      <c r="L8099">
        <f>_xlfn.XLOOKUP(Tableau1[[#This Row],[TYPE DE PIECE]],Tableau4[MATIERE],Tableau4[SHORT TYPE],"",0,1)</f>
        <v/>
      </c>
      <c r="N8099">
        <f>IF(ISERR(FIND("DECOUPE",Tableau1[[#This Row],[DESIGNATION]])),"","NEED REF")</f>
        <v/>
      </c>
    </row>
    <row r="8100">
      <c r="B8100" t="n">
        <v>34405905</v>
      </c>
      <c r="C8100" s="2" t="n">
        <v>42807</v>
      </c>
      <c r="D8100" t="inlineStr">
        <is>
          <t>SPEC</t>
        </is>
      </c>
      <c r="F8100" t="inlineStr">
        <is>
          <t>STS UPSILON 1200A</t>
        </is>
      </c>
      <c r="J8100" t="inlineStr">
        <is>
          <t>MASCELLINO</t>
        </is>
      </c>
      <c r="L8100">
        <f>_xlfn.XLOOKUP(Tableau1[[#This Row],[TYPE DE PIECE]],Tableau4[MATIERE],Tableau4[SHORT TYPE],"",0,1)</f>
        <v/>
      </c>
      <c r="N8100">
        <f>IF(ISERR(FIND("DECOUPE",Tableau1[[#This Row],[DESIGNATION]])),"","NEED REF")</f>
        <v/>
      </c>
    </row>
    <row r="8101">
      <c r="B8101" t="n">
        <v>34405904</v>
      </c>
      <c r="C8101" s="2" t="n">
        <v>42807</v>
      </c>
      <c r="D8101" t="inlineStr">
        <is>
          <t>SPEC</t>
        </is>
      </c>
      <c r="F8101" t="inlineStr">
        <is>
          <t>STS UPSILON 1200A</t>
        </is>
      </c>
      <c r="J8101" t="inlineStr">
        <is>
          <t>MASCELLINO</t>
        </is>
      </c>
      <c r="L8101">
        <f>_xlfn.XLOOKUP(Tableau1[[#This Row],[TYPE DE PIECE]],Tableau4[MATIERE],Tableau4[SHORT TYPE],"",0,1)</f>
        <v/>
      </c>
      <c r="N8101">
        <f>IF(ISERR(FIND("DECOUPE",Tableau1[[#This Row],[DESIGNATION]])),"","NEED REF")</f>
        <v/>
      </c>
    </row>
    <row r="8102">
      <c r="B8102" t="n">
        <v>34405903</v>
      </c>
      <c r="C8102" s="2" t="n">
        <v>42807</v>
      </c>
      <c r="D8102" t="inlineStr">
        <is>
          <t>SPEC</t>
        </is>
      </c>
      <c r="F8102" t="inlineStr">
        <is>
          <t>STS UPSILON 1200A</t>
        </is>
      </c>
      <c r="J8102" t="inlineStr">
        <is>
          <t>MASCELLINO</t>
        </is>
      </c>
      <c r="L8102">
        <f>_xlfn.XLOOKUP(Tableau1[[#This Row],[TYPE DE PIECE]],Tableau4[MATIERE],Tableau4[SHORT TYPE],"",0,1)</f>
        <v/>
      </c>
      <c r="N8102">
        <f>IF(ISERR(FIND("DECOUPE",Tableau1[[#This Row],[DESIGNATION]])),"","NEED REF")</f>
        <v/>
      </c>
    </row>
    <row r="8103">
      <c r="B8103" t="n">
        <v>34405902</v>
      </c>
      <c r="C8103" s="2" t="n">
        <v>42807</v>
      </c>
      <c r="D8103" t="inlineStr">
        <is>
          <t>SPEC</t>
        </is>
      </c>
      <c r="F8103" t="inlineStr">
        <is>
          <t>STS UPSILON 1200A</t>
        </is>
      </c>
      <c r="J8103" t="inlineStr">
        <is>
          <t>MASCELLINO</t>
        </is>
      </c>
      <c r="L8103">
        <f>_xlfn.XLOOKUP(Tableau1[[#This Row],[TYPE DE PIECE]],Tableau4[MATIERE],Tableau4[SHORT TYPE],"",0,1)</f>
        <v/>
      </c>
      <c r="N8103">
        <f>IF(ISERR(FIND("DECOUPE",Tableau1[[#This Row],[DESIGNATION]])),"","NEED REF")</f>
        <v/>
      </c>
    </row>
    <row r="8104">
      <c r="B8104" t="n">
        <v>34405901</v>
      </c>
      <c r="C8104" s="2" t="n">
        <v>42807</v>
      </c>
      <c r="D8104" t="inlineStr">
        <is>
          <t>SPEC</t>
        </is>
      </c>
      <c r="F8104" t="inlineStr">
        <is>
          <t>STS UPSILON 1200A</t>
        </is>
      </c>
      <c r="J8104" t="inlineStr">
        <is>
          <t>MASCELLINO</t>
        </is>
      </c>
      <c r="L8104">
        <f>_xlfn.XLOOKUP(Tableau1[[#This Row],[TYPE DE PIECE]],Tableau4[MATIERE],Tableau4[SHORT TYPE],"",0,1)</f>
        <v/>
      </c>
      <c r="N8104">
        <f>IF(ISERR(FIND("DECOUPE",Tableau1[[#This Row],[DESIGNATION]])),"","NEED REF")</f>
        <v/>
      </c>
    </row>
    <row r="8105">
      <c r="B8105" t="n">
        <v>34405900</v>
      </c>
      <c r="C8105" s="2" t="n">
        <v>42807</v>
      </c>
      <c r="D8105" t="inlineStr">
        <is>
          <t>SPEC</t>
        </is>
      </c>
      <c r="F8105" t="inlineStr">
        <is>
          <t>STS UPSILON 1200A</t>
        </is>
      </c>
      <c r="J8105" t="inlineStr">
        <is>
          <t>MASCELLINO</t>
        </is>
      </c>
      <c r="L8105">
        <f>_xlfn.XLOOKUP(Tableau1[[#This Row],[TYPE DE PIECE]],Tableau4[MATIERE],Tableau4[SHORT TYPE],"",0,1)</f>
        <v/>
      </c>
      <c r="N8105">
        <f>IF(ISERR(FIND("DECOUPE",Tableau1[[#This Row],[DESIGNATION]])),"","NEED REF")</f>
        <v/>
      </c>
    </row>
    <row r="8106">
      <c r="B8106" t="n">
        <v>34405899</v>
      </c>
      <c r="C8106" s="2" t="n">
        <v>42807</v>
      </c>
      <c r="D8106" t="inlineStr">
        <is>
          <t>SPEC</t>
        </is>
      </c>
      <c r="F8106" t="inlineStr">
        <is>
          <t>STS UPSILON 1200A</t>
        </is>
      </c>
      <c r="J8106" t="inlineStr">
        <is>
          <t>MASCELLINO</t>
        </is>
      </c>
      <c r="L8106">
        <f>_xlfn.XLOOKUP(Tableau1[[#This Row],[TYPE DE PIECE]],Tableau4[MATIERE],Tableau4[SHORT TYPE],"",0,1)</f>
        <v/>
      </c>
      <c r="N8106">
        <f>IF(ISERR(FIND("DECOUPE",Tableau1[[#This Row],[DESIGNATION]])),"","NEED REF")</f>
        <v/>
      </c>
    </row>
    <row r="8107">
      <c r="B8107" t="n">
        <v>34405898</v>
      </c>
      <c r="C8107" s="2" t="n">
        <v>42807</v>
      </c>
      <c r="D8107" t="inlineStr">
        <is>
          <t>SPEC</t>
        </is>
      </c>
      <c r="F8107" t="inlineStr">
        <is>
          <t>STS UPSILON 1200A</t>
        </is>
      </c>
      <c r="J8107" t="inlineStr">
        <is>
          <t>MASCELLINO</t>
        </is>
      </c>
      <c r="L8107">
        <f>_xlfn.XLOOKUP(Tableau1[[#This Row],[TYPE DE PIECE]],Tableau4[MATIERE],Tableau4[SHORT TYPE],"",0,1)</f>
        <v/>
      </c>
      <c r="N8107">
        <f>IF(ISERR(FIND("DECOUPE",Tableau1[[#This Row],[DESIGNATION]])),"","NEED REF")</f>
        <v/>
      </c>
    </row>
    <row r="8108">
      <c r="B8108" t="n">
        <v>34405897</v>
      </c>
      <c r="C8108" s="2" t="n">
        <v>42807</v>
      </c>
      <c r="D8108" t="inlineStr">
        <is>
          <t>SPEC</t>
        </is>
      </c>
      <c r="F8108" t="inlineStr">
        <is>
          <t>STS UPSILON 1200A</t>
        </is>
      </c>
      <c r="J8108" t="inlineStr">
        <is>
          <t>MASCELLINO</t>
        </is>
      </c>
      <c r="L8108">
        <f>_xlfn.XLOOKUP(Tableau1[[#This Row],[TYPE DE PIECE]],Tableau4[MATIERE],Tableau4[SHORT TYPE],"",0,1)</f>
        <v/>
      </c>
      <c r="N8108">
        <f>IF(ISERR(FIND("DECOUPE",Tableau1[[#This Row],[DESIGNATION]])),"","NEED REF")</f>
        <v/>
      </c>
    </row>
    <row r="8109">
      <c r="B8109" t="n">
        <v>34405896</v>
      </c>
      <c r="C8109" s="2" t="n">
        <v>42807</v>
      </c>
      <c r="D8109" t="inlineStr">
        <is>
          <t>SPEC</t>
        </is>
      </c>
      <c r="F8109" t="inlineStr">
        <is>
          <t>STS UPSILON 1200A</t>
        </is>
      </c>
      <c r="J8109" t="inlineStr">
        <is>
          <t>MASCELLINO</t>
        </is>
      </c>
      <c r="L8109">
        <f>_xlfn.XLOOKUP(Tableau1[[#This Row],[TYPE DE PIECE]],Tableau4[MATIERE],Tableau4[SHORT TYPE],"",0,1)</f>
        <v/>
      </c>
      <c r="N8109">
        <f>IF(ISERR(FIND("DECOUPE",Tableau1[[#This Row],[DESIGNATION]])),"","NEED REF")</f>
        <v/>
      </c>
    </row>
    <row r="8110">
      <c r="B8110" t="n">
        <v>34405895</v>
      </c>
      <c r="C8110" s="2" t="n">
        <v>42807</v>
      </c>
      <c r="D8110" t="inlineStr">
        <is>
          <t>SPEC</t>
        </is>
      </c>
      <c r="F8110" t="inlineStr">
        <is>
          <t>STS UPSILON 1200A</t>
        </is>
      </c>
      <c r="J8110" t="inlineStr">
        <is>
          <t>MASCELLINO</t>
        </is>
      </c>
      <c r="L8110">
        <f>_xlfn.XLOOKUP(Tableau1[[#This Row],[TYPE DE PIECE]],Tableau4[MATIERE],Tableau4[SHORT TYPE],"",0,1)</f>
        <v/>
      </c>
      <c r="N8110">
        <f>IF(ISERR(FIND("DECOUPE",Tableau1[[#This Row],[DESIGNATION]])),"","NEED REF")</f>
        <v/>
      </c>
    </row>
    <row r="8111">
      <c r="B8111" t="n">
        <v>34405894</v>
      </c>
      <c r="C8111" s="2" t="n">
        <v>42807</v>
      </c>
      <c r="D8111" t="inlineStr">
        <is>
          <t>SPEC</t>
        </is>
      </c>
      <c r="F8111" t="inlineStr">
        <is>
          <t>STS UPSILON 1200A</t>
        </is>
      </c>
      <c r="J8111" t="inlineStr">
        <is>
          <t>MASCELLINO</t>
        </is>
      </c>
      <c r="L8111">
        <f>_xlfn.XLOOKUP(Tableau1[[#This Row],[TYPE DE PIECE]],Tableau4[MATIERE],Tableau4[SHORT TYPE],"",0,1)</f>
        <v/>
      </c>
      <c r="N8111">
        <f>IF(ISERR(FIND("DECOUPE",Tableau1[[#This Row],[DESIGNATION]])),"","NEED REF")</f>
        <v/>
      </c>
    </row>
    <row r="8112">
      <c r="B8112" t="n">
        <v>34405893</v>
      </c>
      <c r="C8112" s="2" t="n">
        <v>42807</v>
      </c>
      <c r="D8112" t="inlineStr">
        <is>
          <t>SPEC</t>
        </is>
      </c>
      <c r="F8112" t="inlineStr">
        <is>
          <t>STS UPSILON 1200A</t>
        </is>
      </c>
      <c r="J8112" t="inlineStr">
        <is>
          <t>MASCELLINO</t>
        </is>
      </c>
      <c r="L8112">
        <f>_xlfn.XLOOKUP(Tableau1[[#This Row],[TYPE DE PIECE]],Tableau4[MATIERE],Tableau4[SHORT TYPE],"",0,1)</f>
        <v/>
      </c>
      <c r="N8112">
        <f>IF(ISERR(FIND("DECOUPE",Tableau1[[#This Row],[DESIGNATION]])),"","NEED REF")</f>
        <v/>
      </c>
    </row>
    <row r="8113">
      <c r="B8113" t="n">
        <v>34405892</v>
      </c>
      <c r="C8113" s="2" t="n">
        <v>42807</v>
      </c>
      <c r="D8113" t="inlineStr">
        <is>
          <t>SPEC</t>
        </is>
      </c>
      <c r="F8113" t="inlineStr">
        <is>
          <t>STS UPSILON 1200A</t>
        </is>
      </c>
      <c r="J8113" t="inlineStr">
        <is>
          <t>MASCELLINO</t>
        </is>
      </c>
      <c r="L8113">
        <f>_xlfn.XLOOKUP(Tableau1[[#This Row],[TYPE DE PIECE]],Tableau4[MATIERE],Tableau4[SHORT TYPE],"",0,1)</f>
        <v/>
      </c>
      <c r="N8113">
        <f>IF(ISERR(FIND("DECOUPE",Tableau1[[#This Row],[DESIGNATION]])),"","NEED REF")</f>
        <v/>
      </c>
    </row>
    <row r="8114">
      <c r="B8114" t="n">
        <v>34405891</v>
      </c>
      <c r="C8114" s="2" t="n">
        <v>42807</v>
      </c>
      <c r="D8114" t="inlineStr">
        <is>
          <t>SPEC</t>
        </is>
      </c>
      <c r="F8114" t="inlineStr">
        <is>
          <t>STS UPSILON 1200A</t>
        </is>
      </c>
      <c r="J8114" t="inlineStr">
        <is>
          <t>MASCELLINO</t>
        </is>
      </c>
      <c r="L8114">
        <f>_xlfn.XLOOKUP(Tableau1[[#This Row],[TYPE DE PIECE]],Tableau4[MATIERE],Tableau4[SHORT TYPE],"",0,1)</f>
        <v/>
      </c>
      <c r="N8114">
        <f>IF(ISERR(FIND("DECOUPE",Tableau1[[#This Row],[DESIGNATION]])),"","NEED REF")</f>
        <v/>
      </c>
    </row>
    <row r="8115">
      <c r="B8115" t="n">
        <v>34405890</v>
      </c>
      <c r="C8115" s="2" t="n">
        <v>42807</v>
      </c>
      <c r="D8115" t="inlineStr">
        <is>
          <t>SPEC</t>
        </is>
      </c>
      <c r="F8115" t="inlineStr">
        <is>
          <t>STS UPSILON 1200A</t>
        </is>
      </c>
      <c r="J8115" t="inlineStr">
        <is>
          <t>MASCELLINO</t>
        </is>
      </c>
      <c r="L8115">
        <f>_xlfn.XLOOKUP(Tableau1[[#This Row],[TYPE DE PIECE]],Tableau4[MATIERE],Tableau4[SHORT TYPE],"",0,1)</f>
        <v/>
      </c>
      <c r="N8115">
        <f>IF(ISERR(FIND("DECOUPE",Tableau1[[#This Row],[DESIGNATION]])),"","NEED REF")</f>
        <v/>
      </c>
    </row>
    <row r="8116">
      <c r="B8116" t="n">
        <v>34405889</v>
      </c>
      <c r="C8116" s="2" t="n">
        <v>42807</v>
      </c>
      <c r="D8116" t="inlineStr">
        <is>
          <t>SPEC</t>
        </is>
      </c>
      <c r="F8116" t="inlineStr">
        <is>
          <t>STS UPSILON 1200A</t>
        </is>
      </c>
      <c r="J8116" t="inlineStr">
        <is>
          <t>MASCELLINO</t>
        </is>
      </c>
      <c r="L8116">
        <f>_xlfn.XLOOKUP(Tableau1[[#This Row],[TYPE DE PIECE]],Tableau4[MATIERE],Tableau4[SHORT TYPE],"",0,1)</f>
        <v/>
      </c>
      <c r="N8116">
        <f>IF(ISERR(FIND("DECOUPE",Tableau1[[#This Row],[DESIGNATION]])),"","NEED REF")</f>
        <v/>
      </c>
    </row>
    <row r="8117">
      <c r="B8117" t="n">
        <v>34405888</v>
      </c>
      <c r="C8117" s="2" t="n">
        <v>42807</v>
      </c>
      <c r="D8117" t="inlineStr">
        <is>
          <t>SPEC</t>
        </is>
      </c>
      <c r="F8117" t="inlineStr">
        <is>
          <t>STS UPSILON 1200A</t>
        </is>
      </c>
      <c r="J8117" t="inlineStr">
        <is>
          <t>MASCELLINO</t>
        </is>
      </c>
      <c r="L8117">
        <f>_xlfn.XLOOKUP(Tableau1[[#This Row],[TYPE DE PIECE]],Tableau4[MATIERE],Tableau4[SHORT TYPE],"",0,1)</f>
        <v/>
      </c>
      <c r="N8117">
        <f>IF(ISERR(FIND("DECOUPE",Tableau1[[#This Row],[DESIGNATION]])),"","NEED REF")</f>
        <v/>
      </c>
    </row>
    <row r="8118">
      <c r="B8118" t="n">
        <v>34405887</v>
      </c>
      <c r="C8118" s="2" t="n">
        <v>42807</v>
      </c>
      <c r="D8118" t="inlineStr">
        <is>
          <t>SPEC</t>
        </is>
      </c>
      <c r="F8118" t="inlineStr">
        <is>
          <t>STS UPSILON 1200A</t>
        </is>
      </c>
      <c r="J8118" t="inlineStr">
        <is>
          <t>MASCELLINO</t>
        </is>
      </c>
      <c r="L8118">
        <f>_xlfn.XLOOKUP(Tableau1[[#This Row],[TYPE DE PIECE]],Tableau4[MATIERE],Tableau4[SHORT TYPE],"",0,1)</f>
        <v/>
      </c>
      <c r="N8118">
        <f>IF(ISERR(FIND("DECOUPE",Tableau1[[#This Row],[DESIGNATION]])),"","NEED REF")</f>
        <v/>
      </c>
    </row>
    <row r="8119">
      <c r="B8119" t="n">
        <v>34405886</v>
      </c>
      <c r="C8119" s="2" t="n">
        <v>42807</v>
      </c>
      <c r="D8119" t="inlineStr">
        <is>
          <t>SPEC</t>
        </is>
      </c>
      <c r="F8119" t="inlineStr">
        <is>
          <t>STS UPSILON 1200A</t>
        </is>
      </c>
      <c r="J8119" t="inlineStr">
        <is>
          <t>MASCELLINO</t>
        </is>
      </c>
      <c r="L8119">
        <f>_xlfn.XLOOKUP(Tableau1[[#This Row],[TYPE DE PIECE]],Tableau4[MATIERE],Tableau4[SHORT TYPE],"",0,1)</f>
        <v/>
      </c>
      <c r="N8119">
        <f>IF(ISERR(FIND("DECOUPE",Tableau1[[#This Row],[DESIGNATION]])),"","NEED REF")</f>
        <v/>
      </c>
    </row>
    <row r="8120">
      <c r="B8120" t="n">
        <v>34405885</v>
      </c>
      <c r="C8120" s="2" t="n">
        <v>42807</v>
      </c>
      <c r="D8120" t="inlineStr">
        <is>
          <t>SPEC</t>
        </is>
      </c>
      <c r="F8120" t="inlineStr">
        <is>
          <t>STS UPSILON 1200A</t>
        </is>
      </c>
      <c r="J8120" t="inlineStr">
        <is>
          <t>MASCELLINO</t>
        </is>
      </c>
      <c r="L8120">
        <f>_xlfn.XLOOKUP(Tableau1[[#This Row],[TYPE DE PIECE]],Tableau4[MATIERE],Tableau4[SHORT TYPE],"",0,1)</f>
        <v/>
      </c>
      <c r="N8120">
        <f>IF(ISERR(FIND("DECOUPE",Tableau1[[#This Row],[DESIGNATION]])),"","NEED REF")</f>
        <v/>
      </c>
    </row>
    <row r="8121">
      <c r="B8121" t="n">
        <v>34405884</v>
      </c>
      <c r="C8121" s="2" t="n">
        <v>42807</v>
      </c>
      <c r="D8121" t="inlineStr">
        <is>
          <t>SPEC</t>
        </is>
      </c>
      <c r="F8121" t="inlineStr">
        <is>
          <t>STS UPSILON 1200A</t>
        </is>
      </c>
      <c r="J8121" t="inlineStr">
        <is>
          <t>MASCELLINO</t>
        </is>
      </c>
      <c r="L8121">
        <f>_xlfn.XLOOKUP(Tableau1[[#This Row],[TYPE DE PIECE]],Tableau4[MATIERE],Tableau4[SHORT TYPE],"",0,1)</f>
        <v/>
      </c>
      <c r="N8121">
        <f>IF(ISERR(FIND("DECOUPE",Tableau1[[#This Row],[DESIGNATION]])),"","NEED REF")</f>
        <v/>
      </c>
    </row>
    <row r="8122">
      <c r="B8122" t="n">
        <v>34405883</v>
      </c>
      <c r="C8122" s="2" t="n">
        <v>42807</v>
      </c>
      <c r="D8122" t="inlineStr">
        <is>
          <t>SPEC</t>
        </is>
      </c>
      <c r="F8122" t="inlineStr">
        <is>
          <t>STS UPSILON 1200A</t>
        </is>
      </c>
      <c r="J8122" t="inlineStr">
        <is>
          <t>MASCELLINO</t>
        </is>
      </c>
      <c r="L8122">
        <f>_xlfn.XLOOKUP(Tableau1[[#This Row],[TYPE DE PIECE]],Tableau4[MATIERE],Tableau4[SHORT TYPE],"",0,1)</f>
        <v/>
      </c>
      <c r="N8122">
        <f>IF(ISERR(FIND("DECOUPE",Tableau1[[#This Row],[DESIGNATION]])),"","NEED REF")</f>
        <v/>
      </c>
    </row>
    <row r="8123">
      <c r="B8123" t="n">
        <v>34405882</v>
      </c>
      <c r="C8123" s="2" t="n">
        <v>42807</v>
      </c>
      <c r="D8123" t="inlineStr">
        <is>
          <t>SPEC</t>
        </is>
      </c>
      <c r="F8123" t="inlineStr">
        <is>
          <t>STS UPSILON 1200A</t>
        </is>
      </c>
      <c r="J8123" t="inlineStr">
        <is>
          <t>MASCELLINO</t>
        </is>
      </c>
      <c r="L8123">
        <f>_xlfn.XLOOKUP(Tableau1[[#This Row],[TYPE DE PIECE]],Tableau4[MATIERE],Tableau4[SHORT TYPE],"",0,1)</f>
        <v/>
      </c>
      <c r="N8123">
        <f>IF(ISERR(FIND("DECOUPE",Tableau1[[#This Row],[DESIGNATION]])),"","NEED REF")</f>
        <v/>
      </c>
    </row>
    <row r="8124">
      <c r="B8124" t="n">
        <v>34405881</v>
      </c>
      <c r="C8124" s="2" t="n">
        <v>42807</v>
      </c>
      <c r="D8124" t="inlineStr">
        <is>
          <t>SPEC</t>
        </is>
      </c>
      <c r="F8124" t="inlineStr">
        <is>
          <t>STS UPSILON 1200A</t>
        </is>
      </c>
      <c r="J8124" t="inlineStr">
        <is>
          <t>MASCELLINO</t>
        </is>
      </c>
      <c r="L8124">
        <f>_xlfn.XLOOKUP(Tableau1[[#This Row],[TYPE DE PIECE]],Tableau4[MATIERE],Tableau4[SHORT TYPE],"",0,1)</f>
        <v/>
      </c>
      <c r="N8124">
        <f>IF(ISERR(FIND("DECOUPE",Tableau1[[#This Row],[DESIGNATION]])),"","NEED REF")</f>
        <v/>
      </c>
    </row>
    <row r="8125">
      <c r="B8125" t="n">
        <v>34405880</v>
      </c>
      <c r="C8125" s="2" t="n">
        <v>42807</v>
      </c>
      <c r="D8125" t="inlineStr">
        <is>
          <t>SPEC</t>
        </is>
      </c>
      <c r="F8125" t="inlineStr">
        <is>
          <t>STS UPSILON 1200A</t>
        </is>
      </c>
      <c r="J8125" t="inlineStr">
        <is>
          <t>MASCELLINO</t>
        </is>
      </c>
      <c r="L8125">
        <f>_xlfn.XLOOKUP(Tableau1[[#This Row],[TYPE DE PIECE]],Tableau4[MATIERE],Tableau4[SHORT TYPE],"",0,1)</f>
        <v/>
      </c>
      <c r="N8125">
        <f>IF(ISERR(FIND("DECOUPE",Tableau1[[#This Row],[DESIGNATION]])),"","NEED REF")</f>
        <v/>
      </c>
    </row>
    <row r="8126">
      <c r="B8126" t="n">
        <v>34405879</v>
      </c>
      <c r="C8126" s="2" t="n">
        <v>42807</v>
      </c>
      <c r="D8126" t="inlineStr">
        <is>
          <t>SPEC</t>
        </is>
      </c>
      <c r="F8126" t="inlineStr">
        <is>
          <t>STS UPSILON 1200A</t>
        </is>
      </c>
      <c r="J8126" t="inlineStr">
        <is>
          <t>MASCELLINO</t>
        </is>
      </c>
      <c r="L8126">
        <f>_xlfn.XLOOKUP(Tableau1[[#This Row],[TYPE DE PIECE]],Tableau4[MATIERE],Tableau4[SHORT TYPE],"",0,1)</f>
        <v/>
      </c>
      <c r="N8126">
        <f>IF(ISERR(FIND("DECOUPE",Tableau1[[#This Row],[DESIGNATION]])),"","NEED REF")</f>
        <v/>
      </c>
    </row>
    <row r="8127">
      <c r="B8127" t="n">
        <v>34405878</v>
      </c>
      <c r="C8127" s="2" t="n">
        <v>42807</v>
      </c>
      <c r="D8127" t="inlineStr">
        <is>
          <t>SPEC</t>
        </is>
      </c>
      <c r="F8127" t="inlineStr">
        <is>
          <t>STS UPSILON 1200A</t>
        </is>
      </c>
      <c r="J8127" t="inlineStr">
        <is>
          <t>MASCELLINO</t>
        </is>
      </c>
      <c r="L8127">
        <f>_xlfn.XLOOKUP(Tableau1[[#This Row],[TYPE DE PIECE]],Tableau4[MATIERE],Tableau4[SHORT TYPE],"",0,1)</f>
        <v/>
      </c>
      <c r="N8127">
        <f>IF(ISERR(FIND("DECOUPE",Tableau1[[#This Row],[DESIGNATION]])),"","NEED REF")</f>
        <v/>
      </c>
    </row>
    <row r="8128">
      <c r="B8128" t="n">
        <v>34405877</v>
      </c>
      <c r="C8128" s="2" t="n">
        <v>42807</v>
      </c>
      <c r="D8128" t="inlineStr">
        <is>
          <t>SPEC</t>
        </is>
      </c>
      <c r="F8128" t="inlineStr">
        <is>
          <t>STS UPSILON 1200A</t>
        </is>
      </c>
      <c r="J8128" t="inlineStr">
        <is>
          <t>MASCELLINO</t>
        </is>
      </c>
      <c r="L8128">
        <f>_xlfn.XLOOKUP(Tableau1[[#This Row],[TYPE DE PIECE]],Tableau4[MATIERE],Tableau4[SHORT TYPE],"",0,1)</f>
        <v/>
      </c>
      <c r="N8128">
        <f>IF(ISERR(FIND("DECOUPE",Tableau1[[#This Row],[DESIGNATION]])),"","NEED REF")</f>
        <v/>
      </c>
    </row>
    <row r="8129">
      <c r="B8129" t="n">
        <v>34405876</v>
      </c>
      <c r="C8129" s="2" t="n">
        <v>42807</v>
      </c>
      <c r="D8129" t="inlineStr">
        <is>
          <t>SPEC</t>
        </is>
      </c>
      <c r="F8129" t="inlineStr">
        <is>
          <t>STS UPSILON 1200A</t>
        </is>
      </c>
      <c r="J8129" t="inlineStr">
        <is>
          <t>MASCELLINO</t>
        </is>
      </c>
      <c r="L8129">
        <f>_xlfn.XLOOKUP(Tableau1[[#This Row],[TYPE DE PIECE]],Tableau4[MATIERE],Tableau4[SHORT TYPE],"",0,1)</f>
        <v/>
      </c>
      <c r="N8129">
        <f>IF(ISERR(FIND("DECOUPE",Tableau1[[#This Row],[DESIGNATION]])),"","NEED REF")</f>
        <v/>
      </c>
    </row>
    <row r="8130">
      <c r="B8130" t="n">
        <v>34405875</v>
      </c>
      <c r="C8130" s="2" t="n">
        <v>42807</v>
      </c>
      <c r="D8130" t="inlineStr">
        <is>
          <t>SPEC</t>
        </is>
      </c>
      <c r="F8130" t="inlineStr">
        <is>
          <t>STS UPSILON 1200A</t>
        </is>
      </c>
      <c r="J8130" t="inlineStr">
        <is>
          <t>MASCELLINO</t>
        </is>
      </c>
      <c r="L8130">
        <f>_xlfn.XLOOKUP(Tableau1[[#This Row],[TYPE DE PIECE]],Tableau4[MATIERE],Tableau4[SHORT TYPE],"",0,1)</f>
        <v/>
      </c>
      <c r="N8130">
        <f>IF(ISERR(FIND("DECOUPE",Tableau1[[#This Row],[DESIGNATION]])),"","NEED REF")</f>
        <v/>
      </c>
    </row>
    <row r="8131">
      <c r="B8131" t="n">
        <v>34405874</v>
      </c>
      <c r="C8131" s="2" t="n">
        <v>42807</v>
      </c>
      <c r="D8131" t="inlineStr">
        <is>
          <t>SPEC</t>
        </is>
      </c>
      <c r="F8131" t="inlineStr">
        <is>
          <t>STS UPSILON 1200A</t>
        </is>
      </c>
      <c r="J8131" t="inlineStr">
        <is>
          <t>MASCELLINO</t>
        </is>
      </c>
      <c r="L8131">
        <f>_xlfn.XLOOKUP(Tableau1[[#This Row],[TYPE DE PIECE]],Tableau4[MATIERE],Tableau4[SHORT TYPE],"",0,1)</f>
        <v/>
      </c>
      <c r="N8131">
        <f>IF(ISERR(FIND("DECOUPE",Tableau1[[#This Row],[DESIGNATION]])),"","NEED REF")</f>
        <v/>
      </c>
    </row>
    <row r="8132">
      <c r="B8132" t="n">
        <v>34405873</v>
      </c>
      <c r="C8132" s="2" t="n">
        <v>42807</v>
      </c>
      <c r="D8132" t="inlineStr">
        <is>
          <t>SPEC</t>
        </is>
      </c>
      <c r="F8132" t="inlineStr">
        <is>
          <t>STS UPSILON 1200A</t>
        </is>
      </c>
      <c r="J8132" t="inlineStr">
        <is>
          <t>MASCELLINO</t>
        </is>
      </c>
      <c r="L8132">
        <f>_xlfn.XLOOKUP(Tableau1[[#This Row],[TYPE DE PIECE]],Tableau4[MATIERE],Tableau4[SHORT TYPE],"",0,1)</f>
        <v/>
      </c>
      <c r="N8132">
        <f>IF(ISERR(FIND("DECOUPE",Tableau1[[#This Row],[DESIGNATION]])),"","NEED REF")</f>
        <v/>
      </c>
    </row>
    <row r="8133">
      <c r="B8133" t="n">
        <v>34405872</v>
      </c>
      <c r="C8133" s="2" t="n">
        <v>42807</v>
      </c>
      <c r="D8133" t="inlineStr">
        <is>
          <t>SPEC</t>
        </is>
      </c>
      <c r="F8133" t="inlineStr">
        <is>
          <t>STS UPSILON 1200A</t>
        </is>
      </c>
      <c r="J8133" t="inlineStr">
        <is>
          <t>MASCELLINO</t>
        </is>
      </c>
      <c r="L8133">
        <f>_xlfn.XLOOKUP(Tableau1[[#This Row],[TYPE DE PIECE]],Tableau4[MATIERE],Tableau4[SHORT TYPE],"",0,1)</f>
        <v/>
      </c>
      <c r="N8133">
        <f>IF(ISERR(FIND("DECOUPE",Tableau1[[#This Row],[DESIGNATION]])),"","NEED REF")</f>
        <v/>
      </c>
    </row>
    <row r="8134">
      <c r="B8134" t="n">
        <v>34405871</v>
      </c>
      <c r="C8134" s="2" t="n">
        <v>42807</v>
      </c>
      <c r="D8134" t="inlineStr">
        <is>
          <t>SPEC</t>
        </is>
      </c>
      <c r="F8134" t="inlineStr">
        <is>
          <t>STS UPSILON 1200A</t>
        </is>
      </c>
      <c r="J8134" t="inlineStr">
        <is>
          <t>MASCELLINO</t>
        </is>
      </c>
      <c r="L8134">
        <f>_xlfn.XLOOKUP(Tableau1[[#This Row],[TYPE DE PIECE]],Tableau4[MATIERE],Tableau4[SHORT TYPE],"",0,1)</f>
        <v/>
      </c>
      <c r="N8134">
        <f>IF(ISERR(FIND("DECOUPE",Tableau1[[#This Row],[DESIGNATION]])),"","NEED REF")</f>
        <v/>
      </c>
    </row>
    <row r="8135">
      <c r="B8135" t="n">
        <v>34405870</v>
      </c>
      <c r="C8135" s="2" t="n">
        <v>42807</v>
      </c>
      <c r="D8135" t="inlineStr">
        <is>
          <t>SPEC</t>
        </is>
      </c>
      <c r="F8135" t="inlineStr">
        <is>
          <t>STS UPSILON 1200A</t>
        </is>
      </c>
      <c r="J8135" t="inlineStr">
        <is>
          <t>MASCELLINO</t>
        </is>
      </c>
      <c r="L8135">
        <f>_xlfn.XLOOKUP(Tableau1[[#This Row],[TYPE DE PIECE]],Tableau4[MATIERE],Tableau4[SHORT TYPE],"",0,1)</f>
        <v/>
      </c>
      <c r="N8135">
        <f>IF(ISERR(FIND("DECOUPE",Tableau1[[#This Row],[DESIGNATION]])),"","NEED REF")</f>
        <v/>
      </c>
    </row>
    <row r="8136">
      <c r="B8136" t="n">
        <v>34405869</v>
      </c>
      <c r="C8136" s="2" t="n">
        <v>42807</v>
      </c>
      <c r="D8136" t="inlineStr">
        <is>
          <t>SPEC</t>
        </is>
      </c>
      <c r="F8136" t="inlineStr">
        <is>
          <t>STS UPSILON 1200A</t>
        </is>
      </c>
      <c r="J8136" t="inlineStr">
        <is>
          <t>MASCELLINO</t>
        </is>
      </c>
      <c r="L8136">
        <f>_xlfn.XLOOKUP(Tableau1[[#This Row],[TYPE DE PIECE]],Tableau4[MATIERE],Tableau4[SHORT TYPE],"",0,1)</f>
        <v/>
      </c>
      <c r="N8136">
        <f>IF(ISERR(FIND("DECOUPE",Tableau1[[#This Row],[DESIGNATION]])),"","NEED REF")</f>
        <v/>
      </c>
    </row>
    <row r="8137">
      <c r="B8137" t="n">
        <v>34405868</v>
      </c>
      <c r="C8137" s="2" t="n">
        <v>42807</v>
      </c>
      <c r="D8137" t="inlineStr">
        <is>
          <t>SPEC</t>
        </is>
      </c>
      <c r="F8137" t="inlineStr">
        <is>
          <t>STS UPSILON 1200A</t>
        </is>
      </c>
      <c r="J8137" t="inlineStr">
        <is>
          <t>MASCELLINO</t>
        </is>
      </c>
      <c r="L8137">
        <f>_xlfn.XLOOKUP(Tableau1[[#This Row],[TYPE DE PIECE]],Tableau4[MATIERE],Tableau4[SHORT TYPE],"",0,1)</f>
        <v/>
      </c>
      <c r="N8137">
        <f>IF(ISERR(FIND("DECOUPE",Tableau1[[#This Row],[DESIGNATION]])),"","NEED REF")</f>
        <v/>
      </c>
    </row>
    <row r="8138">
      <c r="B8138" t="n">
        <v>34405867</v>
      </c>
      <c r="C8138" s="2" t="n">
        <v>42803</v>
      </c>
      <c r="D8138" t="inlineStr">
        <is>
          <t>SPEC</t>
        </is>
      </c>
      <c r="E8138" t="inlineStr">
        <is>
          <t>CABLES  SELF</t>
        </is>
      </c>
      <c r="F8138" t="inlineStr">
        <is>
          <t>CANALPLUS</t>
        </is>
      </c>
      <c r="J8138" t="inlineStr">
        <is>
          <t>ROBERT</t>
        </is>
      </c>
      <c r="L8138">
        <f>_xlfn.XLOOKUP(Tableau1[[#This Row],[TYPE DE PIECE]],Tableau4[MATIERE],Tableau4[SHORT TYPE],"",0,1)</f>
        <v/>
      </c>
      <c r="N8138">
        <f>IF(ISERR(FIND("DECOUPE",Tableau1[[#This Row],[DESIGNATION]])),"","NEED REF")</f>
        <v/>
      </c>
    </row>
    <row r="8139">
      <c r="B8139" t="n">
        <v>34405866</v>
      </c>
      <c r="C8139" s="2" t="n">
        <v>42803</v>
      </c>
      <c r="D8139" t="inlineStr">
        <is>
          <t>SPEC</t>
        </is>
      </c>
      <c r="E8139" t="inlineStr">
        <is>
          <t>SUPPORT SELF</t>
        </is>
      </c>
      <c r="F8139" t="inlineStr">
        <is>
          <t>CANALPLUS</t>
        </is>
      </c>
      <c r="J8139" t="inlineStr">
        <is>
          <t>ROBERT</t>
        </is>
      </c>
      <c r="L8139">
        <f>_xlfn.XLOOKUP(Tableau1[[#This Row],[TYPE DE PIECE]],Tableau4[MATIERE],Tableau4[SHORT TYPE],"",0,1)</f>
        <v/>
      </c>
      <c r="N8139">
        <f>IF(ISERR(FIND("DECOUPE",Tableau1[[#This Row],[DESIGNATION]])),"","NEED REF")</f>
        <v/>
      </c>
    </row>
    <row r="8140">
      <c r="B8140" t="n">
        <v>34405865</v>
      </c>
      <c r="C8140" s="2" t="n">
        <v>42803</v>
      </c>
      <c r="D8140" t="inlineStr">
        <is>
          <t>SPEC</t>
        </is>
      </c>
      <c r="E8140" t="inlineStr">
        <is>
          <t>SUPPORT CAPAS</t>
        </is>
      </c>
      <c r="F8140" t="inlineStr">
        <is>
          <t>CANALPLUS</t>
        </is>
      </c>
      <c r="J8140" t="inlineStr">
        <is>
          <t>ROBERT</t>
        </is>
      </c>
      <c r="L8140">
        <f>_xlfn.XLOOKUP(Tableau1[[#This Row],[TYPE DE PIECE]],Tableau4[MATIERE],Tableau4[SHORT TYPE],"",0,1)</f>
        <v/>
      </c>
      <c r="N8140">
        <f>IF(ISERR(FIND("DECOUPE",Tableau1[[#This Row],[DESIGNATION]])),"","NEED REF")</f>
        <v/>
      </c>
    </row>
    <row r="8141">
      <c r="B8141" t="n">
        <v>34405864</v>
      </c>
      <c r="C8141" s="2" t="n">
        <v>42803</v>
      </c>
      <c r="D8141" t="inlineStr">
        <is>
          <t>SPEC</t>
        </is>
      </c>
      <c r="E8141" t="inlineStr">
        <is>
          <t>SUPPORT BARRE</t>
        </is>
      </c>
      <c r="F8141" t="inlineStr">
        <is>
          <t>CANALPLUS</t>
        </is>
      </c>
      <c r="J8141" t="inlineStr">
        <is>
          <t>ROBERT</t>
        </is>
      </c>
      <c r="L8141">
        <f>_xlfn.XLOOKUP(Tableau1[[#This Row],[TYPE DE PIECE]],Tableau4[MATIERE],Tableau4[SHORT TYPE],"",0,1)</f>
        <v/>
      </c>
      <c r="N8141">
        <f>IF(ISERR(FIND("DECOUPE",Tableau1[[#This Row],[DESIGNATION]])),"","NEED REF")</f>
        <v/>
      </c>
    </row>
    <row r="8142">
      <c r="B8142" t="n">
        <v>34405863</v>
      </c>
      <c r="C8142" s="2" t="n">
        <v>42803</v>
      </c>
      <c r="D8142" t="inlineStr">
        <is>
          <t>SPEC</t>
        </is>
      </c>
      <c r="E8142" t="inlineStr">
        <is>
          <t>BARRE ENTREE/SORTIE</t>
        </is>
      </c>
      <c r="F8142" t="inlineStr">
        <is>
          <t>CANALPLUS</t>
        </is>
      </c>
      <c r="J8142" t="inlineStr">
        <is>
          <t>ROBERT</t>
        </is>
      </c>
      <c r="L8142">
        <f>_xlfn.XLOOKUP(Tableau1[[#This Row],[TYPE DE PIECE]],Tableau4[MATIERE],Tableau4[SHORT TYPE],"",0,1)</f>
        <v/>
      </c>
      <c r="N8142">
        <f>IF(ISERR(FIND("DECOUPE",Tableau1[[#This Row],[DESIGNATION]])),"","NEED REF")</f>
        <v/>
      </c>
    </row>
    <row r="8143">
      <c r="B8143" t="n">
        <v>34405862</v>
      </c>
      <c r="C8143" s="2" t="n">
        <v>42796</v>
      </c>
      <c r="D8143" t="inlineStr">
        <is>
          <t>SPEC</t>
        </is>
      </c>
      <c r="E8143" t="inlineStr">
        <is>
          <t>CX PEN</t>
        </is>
      </c>
      <c r="F8143" t="inlineStr">
        <is>
          <t>DATA4 DC05</t>
        </is>
      </c>
      <c r="J8143" t="inlineStr">
        <is>
          <t>MATRION</t>
        </is>
      </c>
      <c r="L8143">
        <f>_xlfn.XLOOKUP(Tableau1[[#This Row],[TYPE DE PIECE]],Tableau4[MATIERE],Tableau4[SHORT TYPE],"",0,1)</f>
        <v/>
      </c>
      <c r="N8143">
        <f>IF(ISERR(FIND("DECOUPE",Tableau1[[#This Row],[DESIGNATION]])),"","NEED REF")</f>
        <v/>
      </c>
    </row>
    <row r="8144">
      <c r="B8144" t="n">
        <v>34405861</v>
      </c>
      <c r="C8144" s="2" t="n">
        <v>42796</v>
      </c>
      <c r="D8144" t="inlineStr">
        <is>
          <t>SPEC</t>
        </is>
      </c>
      <c r="E8144" t="inlineStr">
        <is>
          <t>CX JONCTION PEN</t>
        </is>
      </c>
      <c r="F8144" t="inlineStr">
        <is>
          <t>DATA4 DC05</t>
        </is>
      </c>
      <c r="J8144" t="inlineStr">
        <is>
          <t>MATRION</t>
        </is>
      </c>
      <c r="L8144">
        <f>_xlfn.XLOOKUP(Tableau1[[#This Row],[TYPE DE PIECE]],Tableau4[MATIERE],Tableau4[SHORT TYPE],"",0,1)</f>
        <v/>
      </c>
      <c r="N8144">
        <f>IF(ISERR(FIND("DECOUPE",Tableau1[[#This Row],[DESIGNATION]])),"","NEED REF")</f>
        <v/>
      </c>
    </row>
    <row r="8145">
      <c r="B8145" t="n">
        <v>34405860</v>
      </c>
      <c r="C8145" s="2" t="n">
        <v>42796</v>
      </c>
      <c r="D8145" t="inlineStr">
        <is>
          <t>SPEC</t>
        </is>
      </c>
      <c r="E8145" t="inlineStr">
        <is>
          <t>CX JONCTION JDB UTIL</t>
        </is>
      </c>
      <c r="F8145" t="inlineStr">
        <is>
          <t>DATA4 DC05</t>
        </is>
      </c>
      <c r="J8145" t="inlineStr">
        <is>
          <t>MATRION</t>
        </is>
      </c>
      <c r="L8145">
        <f>_xlfn.XLOOKUP(Tableau1[[#This Row],[TYPE DE PIECE]],Tableau4[MATIERE],Tableau4[SHORT TYPE],"",0,1)</f>
        <v/>
      </c>
      <c r="N8145">
        <f>IF(ISERR(FIND("DECOUPE",Tableau1[[#This Row],[DESIGNATION]])),"","NEED REF")</f>
        <v/>
      </c>
    </row>
    <row r="8146">
      <c r="B8146" t="n">
        <v>34405859</v>
      </c>
      <c r="C8146" s="2" t="n">
        <v>42796</v>
      </c>
      <c r="D8146" t="inlineStr">
        <is>
          <t>SPEC</t>
        </is>
      </c>
      <c r="E8146" t="inlineStr">
        <is>
          <t>ABANDONNE PROE</t>
        </is>
      </c>
      <c r="F8146" t="inlineStr">
        <is>
          <t>DATA4 DC05</t>
        </is>
      </c>
      <c r="J8146" t="inlineStr">
        <is>
          <t>MATRION</t>
        </is>
      </c>
      <c r="L8146">
        <f>_xlfn.XLOOKUP(Tableau1[[#This Row],[TYPE DE PIECE]],Tableau4[MATIERE],Tableau4[SHORT TYPE],"",0,1)</f>
        <v/>
      </c>
      <c r="N8146">
        <f>IF(ISERR(FIND("DECOUPE",Tableau1[[#This Row],[DESIGNATION]])),"","NEED REF")</f>
        <v/>
      </c>
    </row>
    <row r="8147">
      <c r="B8147" t="n">
        <v>34405858</v>
      </c>
      <c r="C8147" s="2" t="n">
        <v>42796</v>
      </c>
      <c r="D8147" t="inlineStr">
        <is>
          <t>SPEC</t>
        </is>
      </c>
      <c r="E8147" t="inlineStr">
        <is>
          <t>CX EPANOUSSIEMENT TGAB 100-115 - 4</t>
        </is>
      </c>
      <c r="F8147" t="inlineStr">
        <is>
          <t>DATA4 DC05</t>
        </is>
      </c>
      <c r="J8147" t="inlineStr">
        <is>
          <t>MATRION</t>
        </is>
      </c>
      <c r="L8147">
        <f>_xlfn.XLOOKUP(Tableau1[[#This Row],[TYPE DE PIECE]],Tableau4[MATIERE],Tableau4[SHORT TYPE],"",0,1)</f>
        <v/>
      </c>
      <c r="N8147">
        <f>IF(ISERR(FIND("DECOUPE",Tableau1[[#This Row],[DESIGNATION]])),"","NEED REF")</f>
        <v/>
      </c>
    </row>
    <row r="8148">
      <c r="B8148" t="n">
        <v>34405857</v>
      </c>
      <c r="C8148" s="2" t="n">
        <v>42796</v>
      </c>
      <c r="D8148" t="inlineStr">
        <is>
          <t>SPEC</t>
        </is>
      </c>
      <c r="E8148" t="inlineStr">
        <is>
          <t>CX EPANOUSSIEMENT TGAB 100-115 - 3</t>
        </is>
      </c>
      <c r="F8148" t="inlineStr">
        <is>
          <t>DATA4 DC05</t>
        </is>
      </c>
      <c r="J8148" t="inlineStr">
        <is>
          <t>MATRION</t>
        </is>
      </c>
      <c r="L8148">
        <f>_xlfn.XLOOKUP(Tableau1[[#This Row],[TYPE DE PIECE]],Tableau4[MATIERE],Tableau4[SHORT TYPE],"",0,1)</f>
        <v/>
      </c>
      <c r="N8148">
        <f>IF(ISERR(FIND("DECOUPE",Tableau1[[#This Row],[DESIGNATION]])),"","NEED REF")</f>
        <v/>
      </c>
    </row>
    <row r="8149">
      <c r="B8149" t="n">
        <v>34405856</v>
      </c>
      <c r="C8149" s="2" t="n">
        <v>42796</v>
      </c>
      <c r="D8149" t="inlineStr">
        <is>
          <t>SPEC</t>
        </is>
      </c>
      <c r="E8149" t="inlineStr">
        <is>
          <t>CX EPANOUSSIEMENT TGAB 100-115 - 2</t>
        </is>
      </c>
      <c r="F8149" t="inlineStr">
        <is>
          <t>DATA4 DC05</t>
        </is>
      </c>
      <c r="J8149" t="inlineStr">
        <is>
          <t>MATRION</t>
        </is>
      </c>
      <c r="L8149">
        <f>_xlfn.XLOOKUP(Tableau1[[#This Row],[TYPE DE PIECE]],Tableau4[MATIERE],Tableau4[SHORT TYPE],"",0,1)</f>
        <v/>
      </c>
      <c r="N8149">
        <f>IF(ISERR(FIND("DECOUPE",Tableau1[[#This Row],[DESIGNATION]])),"","NEED REF")</f>
        <v/>
      </c>
    </row>
    <row r="8150">
      <c r="B8150" t="n">
        <v>34405855</v>
      </c>
      <c r="C8150" s="2" t="n">
        <v>42796</v>
      </c>
      <c r="D8150" t="inlineStr">
        <is>
          <t>SPEC</t>
        </is>
      </c>
      <c r="E8150" t="inlineStr">
        <is>
          <t>CX EPANOUSSIEMENT TGAB 100-115 - 1</t>
        </is>
      </c>
      <c r="F8150" t="inlineStr">
        <is>
          <t>DATA4 DC05</t>
        </is>
      </c>
      <c r="J8150" t="inlineStr">
        <is>
          <t>MATRION</t>
        </is>
      </c>
      <c r="L8150">
        <f>_xlfn.XLOOKUP(Tableau1[[#This Row],[TYPE DE PIECE]],Tableau4[MATIERE],Tableau4[SHORT TYPE],"",0,1)</f>
        <v/>
      </c>
      <c r="N8150">
        <f>IF(ISERR(FIND("DECOUPE",Tableau1[[#This Row],[DESIGNATION]])),"","NEED REF")</f>
        <v/>
      </c>
    </row>
    <row r="8151">
      <c r="B8151" t="n">
        <v>34405854</v>
      </c>
      <c r="C8151" s="2" t="n">
        <v>42796</v>
      </c>
      <c r="D8151" t="inlineStr">
        <is>
          <t>SPEC</t>
        </is>
      </c>
      <c r="E8151" t="inlineStr">
        <is>
          <t>FLEXIBAR TOP CONNEXION N-2 TWIST PHASE REVERSED</t>
        </is>
      </c>
      <c r="F8151" t="inlineStr">
        <is>
          <t>DATA4 DC05</t>
        </is>
      </c>
      <c r="J8151" t="inlineStr">
        <is>
          <t>MATRION</t>
        </is>
      </c>
      <c r="L8151">
        <f>_xlfn.XLOOKUP(Tableau1[[#This Row],[TYPE DE PIECE]],Tableau4[MATIERE],Tableau4[SHORT TYPE],"",0,1)</f>
        <v/>
      </c>
      <c r="N8151">
        <f>IF(ISERR(FIND("DECOUPE",Tableau1[[#This Row],[DESIGNATION]])),"","NEED REF")</f>
        <v/>
      </c>
    </row>
    <row r="8152">
      <c r="B8152" t="n">
        <v>34405853</v>
      </c>
      <c r="C8152" s="2" t="n">
        <v>42796</v>
      </c>
      <c r="D8152" t="inlineStr">
        <is>
          <t>SPEC</t>
        </is>
      </c>
      <c r="E8152" t="inlineStr">
        <is>
          <t>FLEXIBAR TOP CONNEXION N-1 TWIST PHASE REVERSED</t>
        </is>
      </c>
      <c r="F8152" t="inlineStr">
        <is>
          <t>DATA4 DC05</t>
        </is>
      </c>
      <c r="J8152" t="inlineStr">
        <is>
          <t>MATRION</t>
        </is>
      </c>
      <c r="L8152">
        <f>_xlfn.XLOOKUP(Tableau1[[#This Row],[TYPE DE PIECE]],Tableau4[MATIERE],Tableau4[SHORT TYPE],"",0,1)</f>
        <v/>
      </c>
      <c r="N8152">
        <f>IF(ISERR(FIND("DECOUPE",Tableau1[[#This Row],[DESIGNATION]])),"","NEED REF")</f>
        <v/>
      </c>
    </row>
    <row r="8153">
      <c r="B8153" t="n">
        <v>34405852</v>
      </c>
      <c r="C8153" s="2" t="n">
        <v>42796</v>
      </c>
      <c r="D8153" t="inlineStr">
        <is>
          <t>SPEC</t>
        </is>
      </c>
      <c r="E8153" t="inlineStr">
        <is>
          <t>FLEXIBAR TOP CONNEXION L1-2 TWIST PHASE REVERSED</t>
        </is>
      </c>
      <c r="F8153" t="inlineStr">
        <is>
          <t>DATA4 DC05</t>
        </is>
      </c>
      <c r="J8153" t="inlineStr">
        <is>
          <t>MATRION</t>
        </is>
      </c>
      <c r="L8153">
        <f>_xlfn.XLOOKUP(Tableau1[[#This Row],[TYPE DE PIECE]],Tableau4[MATIERE],Tableau4[SHORT TYPE],"",0,1)</f>
        <v/>
      </c>
      <c r="N8153">
        <f>IF(ISERR(FIND("DECOUPE",Tableau1[[#This Row],[DESIGNATION]])),"","NEED REF")</f>
        <v/>
      </c>
    </row>
    <row r="8154">
      <c r="B8154" t="n">
        <v>34405851</v>
      </c>
      <c r="C8154" s="2" t="n">
        <v>42796</v>
      </c>
      <c r="D8154" t="inlineStr">
        <is>
          <t>SPEC</t>
        </is>
      </c>
      <c r="E8154" t="inlineStr">
        <is>
          <t>FLEXIBAR TOP CONNEXION L1-1 TWIST PHASE REVERSED</t>
        </is>
      </c>
      <c r="F8154" t="inlineStr">
        <is>
          <t>DATA4 DC05</t>
        </is>
      </c>
      <c r="J8154" t="inlineStr">
        <is>
          <t>MATRION</t>
        </is>
      </c>
      <c r="L8154">
        <f>_xlfn.XLOOKUP(Tableau1[[#This Row],[TYPE DE PIECE]],Tableau4[MATIERE],Tableau4[SHORT TYPE],"",0,1)</f>
        <v/>
      </c>
      <c r="N8154">
        <f>IF(ISERR(FIND("DECOUPE",Tableau1[[#This Row],[DESIGNATION]])),"","NEED REF")</f>
        <v/>
      </c>
    </row>
    <row r="8155">
      <c r="B8155" t="n">
        <v>34405850</v>
      </c>
      <c r="C8155" s="2" t="n">
        <v>42796</v>
      </c>
      <c r="D8155" t="inlineStr">
        <is>
          <t>SPEC</t>
        </is>
      </c>
      <c r="E8155" t="inlineStr">
        <is>
          <t>FLEXIBAR TOP CONNEXION L2-2 TWIST PHASE REVERSED</t>
        </is>
      </c>
      <c r="F8155" t="inlineStr">
        <is>
          <t>DATA4 DC05</t>
        </is>
      </c>
      <c r="J8155" t="inlineStr">
        <is>
          <t>MATRION</t>
        </is>
      </c>
      <c r="L8155">
        <f>_xlfn.XLOOKUP(Tableau1[[#This Row],[TYPE DE PIECE]],Tableau4[MATIERE],Tableau4[SHORT TYPE],"",0,1)</f>
        <v/>
      </c>
      <c r="N8155">
        <f>IF(ISERR(FIND("DECOUPE",Tableau1[[#This Row],[DESIGNATION]])),"","NEED REF")</f>
        <v/>
      </c>
    </row>
    <row r="8156">
      <c r="B8156" t="n">
        <v>34405849</v>
      </c>
      <c r="C8156" s="2" t="n">
        <v>42796</v>
      </c>
      <c r="D8156" t="inlineStr">
        <is>
          <t>SPEC</t>
        </is>
      </c>
      <c r="E8156" t="inlineStr">
        <is>
          <t>FLEXIBAR TOP CONNEXION L2-1 TWIST PHASE REVERSED</t>
        </is>
      </c>
      <c r="F8156" t="inlineStr">
        <is>
          <t>DATA4 DC05</t>
        </is>
      </c>
      <c r="J8156" t="inlineStr">
        <is>
          <t>MATRION</t>
        </is>
      </c>
      <c r="L8156">
        <f>_xlfn.XLOOKUP(Tableau1[[#This Row],[TYPE DE PIECE]],Tableau4[MATIERE],Tableau4[SHORT TYPE],"",0,1)</f>
        <v/>
      </c>
      <c r="N8156">
        <f>IF(ISERR(FIND("DECOUPE",Tableau1[[#This Row],[DESIGNATION]])),"","NEED REF")</f>
        <v/>
      </c>
    </row>
    <row r="8157">
      <c r="B8157" t="n">
        <v>34405848</v>
      </c>
      <c r="C8157" s="2" t="n">
        <v>42796</v>
      </c>
      <c r="D8157" t="inlineStr">
        <is>
          <t>SPEC</t>
        </is>
      </c>
      <c r="E8157" t="inlineStr">
        <is>
          <t>FLEXIBAR TOP CONNEXION L3-2 TWIST PHASE REVERSED</t>
        </is>
      </c>
      <c r="F8157" t="inlineStr">
        <is>
          <t>DATA4 DC05</t>
        </is>
      </c>
      <c r="J8157" t="inlineStr">
        <is>
          <t>MATRION</t>
        </is>
      </c>
      <c r="L8157">
        <f>_xlfn.XLOOKUP(Tableau1[[#This Row],[TYPE DE PIECE]],Tableau4[MATIERE],Tableau4[SHORT TYPE],"",0,1)</f>
        <v/>
      </c>
      <c r="N8157">
        <f>IF(ISERR(FIND("DECOUPE",Tableau1[[#This Row],[DESIGNATION]])),"","NEED REF")</f>
        <v/>
      </c>
    </row>
    <row r="8158">
      <c r="B8158" t="n">
        <v>34405847</v>
      </c>
      <c r="C8158" s="2" t="n">
        <v>42796</v>
      </c>
      <c r="D8158" t="inlineStr">
        <is>
          <t>SPEC</t>
        </is>
      </c>
      <c r="E8158" t="inlineStr">
        <is>
          <t>FLEXIBAR TOP CONNEXION L3-1 TWIST PHASE REVERSED</t>
        </is>
      </c>
      <c r="F8158" t="inlineStr">
        <is>
          <t>DATA4 DC05</t>
        </is>
      </c>
      <c r="J8158" t="inlineStr">
        <is>
          <t>MATRION</t>
        </is>
      </c>
      <c r="L8158">
        <f>_xlfn.XLOOKUP(Tableau1[[#This Row],[TYPE DE PIECE]],Tableau4[MATIERE],Tableau4[SHORT TYPE],"",0,1)</f>
        <v/>
      </c>
      <c r="N8158">
        <f>IF(ISERR(FIND("DECOUPE",Tableau1[[#This Row],[DESIGNATION]])),"","NEED REF")</f>
        <v/>
      </c>
    </row>
    <row r="8159">
      <c r="B8159" t="n">
        <v>34405846</v>
      </c>
      <c r="C8159" s="2" t="n">
        <v>42796</v>
      </c>
      <c r="D8159" t="inlineStr">
        <is>
          <t>SPEC</t>
        </is>
      </c>
      <c r="E8159" t="inlineStr">
        <is>
          <t>ERREUR PROE</t>
        </is>
      </c>
      <c r="F8159" t="inlineStr">
        <is>
          <t>DATA4 DC05</t>
        </is>
      </c>
      <c r="J8159" t="inlineStr">
        <is>
          <t>MATRION</t>
        </is>
      </c>
      <c r="L8159">
        <f>_xlfn.XLOOKUP(Tableau1[[#This Row],[TYPE DE PIECE]],Tableau4[MATIERE],Tableau4[SHORT TYPE],"",0,1)</f>
        <v/>
      </c>
      <c r="N8159">
        <f>IF(ISERR(FIND("DECOUPE",Tableau1[[#This Row],[DESIGNATION]])),"","NEED REF")</f>
        <v/>
      </c>
    </row>
    <row r="8160">
      <c r="B8160" t="n">
        <v>34405845</v>
      </c>
      <c r="C8160" s="2" t="n">
        <v>42796</v>
      </c>
      <c r="D8160" t="inlineStr">
        <is>
          <t>SPEC</t>
        </is>
      </c>
      <c r="E8160" t="inlineStr">
        <is>
          <t>ABANDONNE PROE</t>
        </is>
      </c>
      <c r="F8160" t="inlineStr">
        <is>
          <t>DATA4 DC05</t>
        </is>
      </c>
      <c r="J8160" t="inlineStr">
        <is>
          <t>MATRION</t>
        </is>
      </c>
      <c r="L8160">
        <f>_xlfn.XLOOKUP(Tableau1[[#This Row],[TYPE DE PIECE]],Tableau4[MATIERE],Tableau4[SHORT TYPE],"",0,1)</f>
        <v/>
      </c>
      <c r="N8160">
        <f>IF(ISERR(FIND("DECOUPE",Tableau1[[#This Row],[DESIGNATION]])),"","NEED REF")</f>
        <v/>
      </c>
    </row>
    <row r="8161">
      <c r="B8161" t="n">
        <v>34405844</v>
      </c>
      <c r="C8161" s="2" t="n">
        <v>42793</v>
      </c>
      <c r="D8161" t="inlineStr">
        <is>
          <t>SPEC</t>
        </is>
      </c>
      <c r="E8161" t="inlineStr">
        <is>
          <t>SUPPORT DIJ</t>
        </is>
      </c>
      <c r="F8161" t="inlineStr">
        <is>
          <t>Institut laue langevin</t>
        </is>
      </c>
      <c r="J8161" t="inlineStr">
        <is>
          <t>ROBERT</t>
        </is>
      </c>
      <c r="L8161">
        <f>_xlfn.XLOOKUP(Tableau1[[#This Row],[TYPE DE PIECE]],Tableau4[MATIERE],Tableau4[SHORT TYPE],"",0,1)</f>
        <v/>
      </c>
      <c r="N8161">
        <f>IF(ISERR(FIND("DECOUPE",Tableau1[[#This Row],[DESIGNATION]])),"","NEED REF")</f>
        <v/>
      </c>
    </row>
    <row r="8162">
      <c r="B8162" t="n">
        <v>34405843</v>
      </c>
      <c r="C8162" s="2" t="n">
        <v>42942</v>
      </c>
      <c r="D8162" t="inlineStr">
        <is>
          <t>SPEC</t>
        </is>
      </c>
      <c r="E8162" t="inlineStr">
        <is>
          <t>Capot plastique</t>
        </is>
      </c>
      <c r="F8162" t="inlineStr">
        <is>
          <t>BBC Cabinet</t>
        </is>
      </c>
      <c r="J8162" t="inlineStr">
        <is>
          <t>DUBOIS</t>
        </is>
      </c>
      <c r="L8162">
        <f>_xlfn.XLOOKUP(Tableau1[[#This Row],[TYPE DE PIECE]],Tableau4[MATIERE],Tableau4[SHORT TYPE],"",0,1)</f>
        <v/>
      </c>
      <c r="N8162">
        <f>IF(ISERR(FIND("DECOUPE",Tableau1[[#This Row],[DESIGNATION]])),"","NEED REF")</f>
        <v/>
      </c>
    </row>
    <row r="8163">
      <c r="B8163" t="n">
        <v>34405842</v>
      </c>
      <c r="C8163" s="2" t="n">
        <v>42941</v>
      </c>
      <c r="D8163" t="inlineStr">
        <is>
          <t>SPEC</t>
        </is>
      </c>
      <c r="E8163" t="inlineStr">
        <is>
          <t>Capot plastique</t>
        </is>
      </c>
      <c r="F8163" t="inlineStr">
        <is>
          <t>BBC Cabinet</t>
        </is>
      </c>
      <c r="J8163" t="inlineStr">
        <is>
          <t>DUBOIS</t>
        </is>
      </c>
      <c r="L8163">
        <f>_xlfn.XLOOKUP(Tableau1[[#This Row],[TYPE DE PIECE]],Tableau4[MATIERE],Tableau4[SHORT TYPE],"",0,1)</f>
        <v/>
      </c>
      <c r="N8163">
        <f>IF(ISERR(FIND("DECOUPE",Tableau1[[#This Row],[DESIGNATION]])),"","NEED REF")</f>
        <v/>
      </c>
    </row>
    <row r="8164">
      <c r="B8164" t="n">
        <v>34405841</v>
      </c>
      <c r="C8164" s="2" t="n">
        <v>42940</v>
      </c>
      <c r="D8164" t="inlineStr">
        <is>
          <t>SPEC</t>
        </is>
      </c>
      <c r="E8164" t="inlineStr">
        <is>
          <t>Traverse</t>
        </is>
      </c>
      <c r="F8164" t="inlineStr">
        <is>
          <t>BBC Cabinet</t>
        </is>
      </c>
      <c r="J8164" t="inlineStr">
        <is>
          <t>DUBOIS</t>
        </is>
      </c>
      <c r="L8164">
        <f>_xlfn.XLOOKUP(Tableau1[[#This Row],[TYPE DE PIECE]],Tableau4[MATIERE],Tableau4[SHORT TYPE],"",0,1)</f>
        <v/>
      </c>
      <c r="N8164">
        <f>IF(ISERR(FIND("DECOUPE",Tableau1[[#This Row],[DESIGNATION]])),"","NEED REF")</f>
        <v/>
      </c>
    </row>
    <row r="8165">
      <c r="B8165" t="n">
        <v>34405840</v>
      </c>
      <c r="C8165" s="2" t="n">
        <v>42939</v>
      </c>
      <c r="D8165" t="inlineStr">
        <is>
          <t>SPEC</t>
        </is>
      </c>
      <c r="E8165" t="inlineStr">
        <is>
          <t>PLATINE BYPASS 700</t>
        </is>
      </c>
      <c r="F8165" t="inlineStr">
        <is>
          <t>Institut laue langevin</t>
        </is>
      </c>
      <c r="J8165" t="inlineStr">
        <is>
          <t>ROBERT</t>
        </is>
      </c>
      <c r="L8165">
        <f>_xlfn.XLOOKUP(Tableau1[[#This Row],[TYPE DE PIECE]],Tableau4[MATIERE],Tableau4[SHORT TYPE],"",0,1)</f>
        <v/>
      </c>
      <c r="N8165">
        <f>IF(ISERR(FIND("DECOUPE",Tableau1[[#This Row],[DESIGNATION]])),"","NEED REF")</f>
        <v/>
      </c>
    </row>
    <row r="8166">
      <c r="B8166" t="n">
        <v>34405839</v>
      </c>
      <c r="C8166" s="2" t="n">
        <v>42789</v>
      </c>
      <c r="D8166" t="inlineStr">
        <is>
          <t>SPEC</t>
        </is>
      </c>
      <c r="E8166" t="inlineStr">
        <is>
          <t>Barre cuivre</t>
        </is>
      </c>
      <c r="F8166" t="inlineStr">
        <is>
          <t>BBC Cabinet</t>
        </is>
      </c>
      <c r="J8166" t="inlineStr">
        <is>
          <t>DUBOIS</t>
        </is>
      </c>
      <c r="L8166">
        <f>_xlfn.XLOOKUP(Tableau1[[#This Row],[TYPE DE PIECE]],Tableau4[MATIERE],Tableau4[SHORT TYPE],"",0,1)</f>
        <v/>
      </c>
      <c r="N8166">
        <f>IF(ISERR(FIND("DECOUPE",Tableau1[[#This Row],[DESIGNATION]])),"","NEED REF")</f>
        <v/>
      </c>
    </row>
    <row r="8167">
      <c r="B8167" t="n">
        <v>34405838</v>
      </c>
      <c r="C8167" s="2" t="n">
        <v>42789</v>
      </c>
      <c r="D8167" t="inlineStr">
        <is>
          <t>SPEC</t>
        </is>
      </c>
      <c r="E8167" t="inlineStr">
        <is>
          <t>Barre cuivre</t>
        </is>
      </c>
      <c r="F8167" t="inlineStr">
        <is>
          <t>BBC Cabinet</t>
        </is>
      </c>
      <c r="J8167" t="inlineStr">
        <is>
          <t>DUBOIS</t>
        </is>
      </c>
      <c r="L8167">
        <f>_xlfn.XLOOKUP(Tableau1[[#This Row],[TYPE DE PIECE]],Tableau4[MATIERE],Tableau4[SHORT TYPE],"",0,1)</f>
        <v/>
      </c>
      <c r="N8167">
        <f>IF(ISERR(FIND("DECOUPE",Tableau1[[#This Row],[DESIGNATION]])),"","NEED REF")</f>
        <v/>
      </c>
    </row>
    <row r="8168">
      <c r="B8168" t="n">
        <v>34405837</v>
      </c>
      <c r="C8168" s="2" t="n">
        <v>42787</v>
      </c>
      <c r="D8168" t="inlineStr">
        <is>
          <t>SPEC</t>
        </is>
      </c>
      <c r="E8168" t="inlineStr">
        <is>
          <t>BANDEAU LAT PEINT</t>
        </is>
      </c>
      <c r="F8168" t="inlineStr">
        <is>
          <t>TOUTES</t>
        </is>
      </c>
      <c r="J8168" t="inlineStr">
        <is>
          <t>MATRION</t>
        </is>
      </c>
      <c r="L8168">
        <f>_xlfn.XLOOKUP(Tableau1[[#This Row],[TYPE DE PIECE]],Tableau4[MATIERE],Tableau4[SHORT TYPE],"",0,1)</f>
        <v/>
      </c>
      <c r="N8168">
        <f>IF(ISERR(FIND("DECOUPE",Tableau1[[#This Row],[DESIGNATION]])),"","NEED REF")</f>
        <v/>
      </c>
    </row>
    <row r="8169">
      <c r="B8169" t="n">
        <v>34405836</v>
      </c>
      <c r="C8169" s="2" t="n">
        <v>42787</v>
      </c>
      <c r="D8169" t="inlineStr">
        <is>
          <t>SPEC</t>
        </is>
      </c>
      <c r="E8169" t="inlineStr">
        <is>
          <t>BANDEAU AR PEINT</t>
        </is>
      </c>
      <c r="F8169" t="inlineStr">
        <is>
          <t>TOUTES</t>
        </is>
      </c>
      <c r="J8169" t="inlineStr">
        <is>
          <t>MATRION</t>
        </is>
      </c>
      <c r="L8169">
        <f>_xlfn.XLOOKUP(Tableau1[[#This Row],[TYPE DE PIECE]],Tableau4[MATIERE],Tableau4[SHORT TYPE],"",0,1)</f>
        <v/>
      </c>
      <c r="N8169">
        <f>IF(ISERR(FIND("DECOUPE",Tableau1[[#This Row],[DESIGNATION]])),"","NEED REF")</f>
        <v/>
      </c>
    </row>
    <row r="8170">
      <c r="B8170" t="n">
        <v>34405835</v>
      </c>
      <c r="C8170" s="2" t="n">
        <v>42787</v>
      </c>
      <c r="D8170" t="inlineStr">
        <is>
          <t>SPEC</t>
        </is>
      </c>
      <c r="E8170" t="inlineStr">
        <is>
          <t>BANDEAU AV PEINT</t>
        </is>
      </c>
      <c r="F8170" t="inlineStr">
        <is>
          <t>TOUTES</t>
        </is>
      </c>
      <c r="J8170" t="inlineStr">
        <is>
          <t>MATRION</t>
        </is>
      </c>
      <c r="L8170">
        <f>_xlfn.XLOOKUP(Tableau1[[#This Row],[TYPE DE PIECE]],Tableau4[MATIERE],Tableau4[SHORT TYPE],"",0,1)</f>
        <v/>
      </c>
      <c r="N8170">
        <f>IF(ISERR(FIND("DECOUPE",Tableau1[[#This Row],[DESIGNATION]])),"","NEED REF")</f>
        <v/>
      </c>
    </row>
    <row r="8171">
      <c r="B8171" t="n">
        <v>34405834</v>
      </c>
      <c r="C8171" s="2" t="n">
        <v>42787</v>
      </c>
      <c r="D8171" t="inlineStr">
        <is>
          <t>SPEC</t>
        </is>
      </c>
      <c r="E8171" t="inlineStr">
        <is>
          <t>TOIT G7K 1400 TGAB</t>
        </is>
      </c>
      <c r="F8171" t="inlineStr">
        <is>
          <t>DATA4 DC05</t>
        </is>
      </c>
      <c r="J8171" t="inlineStr">
        <is>
          <t>MATRION</t>
        </is>
      </c>
      <c r="L8171">
        <f>_xlfn.XLOOKUP(Tableau1[[#This Row],[TYPE DE PIECE]],Tableau4[MATIERE],Tableau4[SHORT TYPE],"",0,1)</f>
        <v/>
      </c>
      <c r="N8171">
        <f>IF(ISERR(FIND("DECOUPE",Tableau1[[#This Row],[DESIGNATION]])),"","NEED REF")</f>
        <v/>
      </c>
    </row>
    <row r="8172">
      <c r="B8172" t="n">
        <v>34405833</v>
      </c>
      <c r="C8172" s="2" t="n">
        <v>42787</v>
      </c>
      <c r="D8172" t="inlineStr">
        <is>
          <t>SPEC</t>
        </is>
      </c>
      <c r="F8172" t="inlineStr">
        <is>
          <t>TOUTES</t>
        </is>
      </c>
      <c r="J8172" t="inlineStr">
        <is>
          <t>MATRION</t>
        </is>
      </c>
      <c r="L8172">
        <f>_xlfn.XLOOKUP(Tableau1[[#This Row],[TYPE DE PIECE]],Tableau4[MATIERE],Tableau4[SHORT TYPE],"",0,1)</f>
        <v/>
      </c>
      <c r="N8172">
        <f>IF(ISERR(FIND("DECOUPE",Tableau1[[#This Row],[DESIGNATION]])),"","NEED REF")</f>
        <v/>
      </c>
    </row>
    <row r="8173">
      <c r="B8173" t="n">
        <v>34405832</v>
      </c>
      <c r="C8173" s="2" t="n">
        <v>42787</v>
      </c>
      <c r="D8173" t="inlineStr">
        <is>
          <t>SPEC</t>
        </is>
      </c>
      <c r="E8173" t="inlineStr">
        <is>
          <t>REHAUSSE G7K 1400 H400 PEINT</t>
        </is>
      </c>
      <c r="F8173" t="inlineStr">
        <is>
          <t>TOUTES</t>
        </is>
      </c>
      <c r="J8173" t="inlineStr">
        <is>
          <t>MATRION</t>
        </is>
      </c>
      <c r="L8173">
        <f>_xlfn.XLOOKUP(Tableau1[[#This Row],[TYPE DE PIECE]],Tableau4[MATIERE],Tableau4[SHORT TYPE],"",0,1)</f>
        <v/>
      </c>
      <c r="N8173">
        <f>IF(ISERR(FIND("DECOUPE",Tableau1[[#This Row],[DESIGNATION]])),"","NEED REF")</f>
        <v/>
      </c>
    </row>
    <row r="8174">
      <c r="B8174" t="n">
        <v>34405831</v>
      </c>
      <c r="C8174" s="2" t="n">
        <v>42787</v>
      </c>
      <c r="D8174" t="inlineStr">
        <is>
          <t>SPEC</t>
        </is>
      </c>
      <c r="E8174" t="inlineStr">
        <is>
          <t>S/E REHAUSSE G7K 1400 H400</t>
        </is>
      </c>
      <c r="F8174" t="inlineStr">
        <is>
          <t>TOUTES</t>
        </is>
      </c>
      <c r="J8174" t="inlineStr">
        <is>
          <t>MATRION</t>
        </is>
      </c>
      <c r="L8174">
        <f>_xlfn.XLOOKUP(Tableau1[[#This Row],[TYPE DE PIECE]],Tableau4[MATIERE],Tableau4[SHORT TYPE],"",0,1)</f>
        <v/>
      </c>
      <c r="N8174">
        <f>IF(ISERR(FIND("DECOUPE",Tableau1[[#This Row],[DESIGNATION]])),"","NEED REF")</f>
        <v/>
      </c>
    </row>
    <row r="8175">
      <c r="B8175" t="n">
        <v>34405830</v>
      </c>
      <c r="C8175" s="2" t="n">
        <v>42787</v>
      </c>
      <c r="D8175" t="inlineStr">
        <is>
          <t>SPEC</t>
        </is>
      </c>
      <c r="F8175" t="inlineStr">
        <is>
          <t>TOUTES</t>
        </is>
      </c>
      <c r="J8175" t="inlineStr">
        <is>
          <t>MATRION</t>
        </is>
      </c>
      <c r="L8175">
        <f>_xlfn.XLOOKUP(Tableau1[[#This Row],[TYPE DE PIECE]],Tableau4[MATIERE],Tableau4[SHORT TYPE],"",0,1)</f>
        <v/>
      </c>
      <c r="N8175">
        <f>IF(ISERR(FIND("DECOUPE",Tableau1[[#This Row],[DESIGNATION]])),"","NEED REF")</f>
        <v/>
      </c>
    </row>
    <row r="8176">
      <c r="B8176" t="n">
        <v>34405829</v>
      </c>
      <c r="C8176" s="2" t="n">
        <v>42787</v>
      </c>
      <c r="D8176" t="inlineStr">
        <is>
          <t>SPEC</t>
        </is>
      </c>
      <c r="E8176" t="inlineStr">
        <is>
          <t>ERREUR PROE</t>
        </is>
      </c>
      <c r="F8176" t="inlineStr">
        <is>
          <t>TOUTES</t>
        </is>
      </c>
      <c r="J8176" t="inlineStr">
        <is>
          <t>MATRION</t>
        </is>
      </c>
      <c r="L8176">
        <f>_xlfn.XLOOKUP(Tableau1[[#This Row],[TYPE DE PIECE]],Tableau4[MATIERE],Tableau4[SHORT TYPE],"",0,1)</f>
        <v/>
      </c>
      <c r="N8176">
        <f>IF(ISERR(FIND("DECOUPE",Tableau1[[#This Row],[DESIGNATION]])),"","NEED REF")</f>
        <v/>
      </c>
    </row>
    <row r="8177">
      <c r="B8177" t="n">
        <v>34405828</v>
      </c>
      <c r="C8177" s="2" t="n">
        <v>42787</v>
      </c>
      <c r="D8177" t="inlineStr">
        <is>
          <t>SPEC</t>
        </is>
      </c>
      <c r="E8177" t="inlineStr">
        <is>
          <t>ERREUR PROE</t>
        </is>
      </c>
      <c r="F8177" t="inlineStr">
        <is>
          <t>TOUTES</t>
        </is>
      </c>
      <c r="J8177" t="inlineStr">
        <is>
          <t>MATRION</t>
        </is>
      </c>
      <c r="L8177">
        <f>_xlfn.XLOOKUP(Tableau1[[#This Row],[TYPE DE PIECE]],Tableau4[MATIERE],Tableau4[SHORT TYPE],"",0,1)</f>
        <v/>
      </c>
      <c r="N8177">
        <f>IF(ISERR(FIND("DECOUPE",Tableau1[[#This Row],[DESIGNATION]])),"","NEED REF")</f>
        <v/>
      </c>
    </row>
    <row r="8178">
      <c r="B8178" t="n">
        <v>34405827</v>
      </c>
      <c r="C8178" s="2" t="n">
        <v>42787</v>
      </c>
      <c r="D8178" t="inlineStr">
        <is>
          <t>SPEC</t>
        </is>
      </c>
      <c r="E8178" t="inlineStr">
        <is>
          <t>ERREUR PROE</t>
        </is>
      </c>
      <c r="F8178" t="inlineStr">
        <is>
          <t>TOUTES</t>
        </is>
      </c>
      <c r="J8178" t="inlineStr">
        <is>
          <t>MATRION</t>
        </is>
      </c>
      <c r="L8178">
        <f>_xlfn.XLOOKUP(Tableau1[[#This Row],[TYPE DE PIECE]],Tableau4[MATIERE],Tableau4[SHORT TYPE],"",0,1)</f>
        <v/>
      </c>
      <c r="N8178">
        <f>IF(ISERR(FIND("DECOUPE",Tableau1[[#This Row],[DESIGNATION]])),"","NEED REF")</f>
        <v/>
      </c>
    </row>
    <row r="8179">
      <c r="B8179" t="n">
        <v>34405826</v>
      </c>
      <c r="C8179" s="2" t="n">
        <v>42787</v>
      </c>
      <c r="D8179" t="inlineStr">
        <is>
          <t>SPEC</t>
        </is>
      </c>
      <c r="E8179" t="inlineStr">
        <is>
          <t>BANDEAU LAT PEINT</t>
        </is>
      </c>
      <c r="F8179" t="inlineStr">
        <is>
          <t>TOUTES</t>
        </is>
      </c>
      <c r="J8179" t="inlineStr">
        <is>
          <t>MATRION</t>
        </is>
      </c>
      <c r="L8179">
        <f>_xlfn.XLOOKUP(Tableau1[[#This Row],[TYPE DE PIECE]],Tableau4[MATIERE],Tableau4[SHORT TYPE],"",0,1)</f>
        <v/>
      </c>
      <c r="N8179">
        <f>IF(ISERR(FIND("DECOUPE",Tableau1[[#This Row],[DESIGNATION]])),"","NEED REF")</f>
        <v/>
      </c>
    </row>
    <row r="8180">
      <c r="B8180" t="n">
        <v>34405825</v>
      </c>
      <c r="C8180" s="2" t="n">
        <v>42787</v>
      </c>
      <c r="D8180" t="inlineStr">
        <is>
          <t>SPEC</t>
        </is>
      </c>
      <c r="E8180" t="inlineStr">
        <is>
          <t>BANDEAU AR PEINT</t>
        </is>
      </c>
      <c r="F8180" t="inlineStr">
        <is>
          <t>TOUTES</t>
        </is>
      </c>
      <c r="J8180" t="inlineStr">
        <is>
          <t>MATRION</t>
        </is>
      </c>
      <c r="L8180">
        <f>_xlfn.XLOOKUP(Tableau1[[#This Row],[TYPE DE PIECE]],Tableau4[MATIERE],Tableau4[SHORT TYPE],"",0,1)</f>
        <v/>
      </c>
      <c r="N8180">
        <f>IF(ISERR(FIND("DECOUPE",Tableau1[[#This Row],[DESIGNATION]])),"","NEED REF")</f>
        <v/>
      </c>
    </row>
    <row r="8181">
      <c r="B8181" t="n">
        <v>34405824</v>
      </c>
      <c r="C8181" s="2" t="n">
        <v>42787</v>
      </c>
      <c r="D8181" t="inlineStr">
        <is>
          <t>SPEC</t>
        </is>
      </c>
      <c r="E8181" t="inlineStr">
        <is>
          <t>BANDEAU AV/AR PEINT</t>
        </is>
      </c>
      <c r="F8181" t="inlineStr">
        <is>
          <t>TOUTES</t>
        </is>
      </c>
      <c r="J8181" t="inlineStr">
        <is>
          <t>MATRION</t>
        </is>
      </c>
      <c r="L8181">
        <f>_xlfn.XLOOKUP(Tableau1[[#This Row],[TYPE DE PIECE]],Tableau4[MATIERE],Tableau4[SHORT TYPE],"",0,1)</f>
        <v/>
      </c>
      <c r="N8181">
        <f>IF(ISERR(FIND("DECOUPE",Tableau1[[#This Row],[DESIGNATION]])),"","NEED REF")</f>
        <v/>
      </c>
    </row>
    <row r="8182">
      <c r="B8182" t="n">
        <v>34405823</v>
      </c>
      <c r="C8182" s="2" t="n">
        <v>42787</v>
      </c>
      <c r="D8182" t="inlineStr">
        <is>
          <t>SPEC</t>
        </is>
      </c>
      <c r="E8182" t="inlineStr">
        <is>
          <t>ERREUR PROE</t>
        </is>
      </c>
      <c r="F8182" t="inlineStr">
        <is>
          <t>TOUTES</t>
        </is>
      </c>
      <c r="J8182" t="inlineStr">
        <is>
          <t>MATRION</t>
        </is>
      </c>
      <c r="L8182">
        <f>_xlfn.XLOOKUP(Tableau1[[#This Row],[TYPE DE PIECE]],Tableau4[MATIERE],Tableau4[SHORT TYPE],"",0,1)</f>
        <v/>
      </c>
      <c r="N8182">
        <f>IF(ISERR(FIND("DECOUPE",Tableau1[[#This Row],[DESIGNATION]])),"","NEED REF")</f>
        <v/>
      </c>
    </row>
    <row r="8183">
      <c r="B8183" t="n">
        <v>34405822</v>
      </c>
      <c r="C8183" s="2" t="n">
        <v>42787</v>
      </c>
      <c r="D8183" t="inlineStr">
        <is>
          <t>SPEC</t>
        </is>
      </c>
      <c r="E8183" t="inlineStr">
        <is>
          <t>ERREUR PROE</t>
        </is>
      </c>
      <c r="F8183" t="inlineStr">
        <is>
          <t>TOUTES</t>
        </is>
      </c>
      <c r="J8183" t="inlineStr">
        <is>
          <t>MATRION</t>
        </is>
      </c>
      <c r="L8183">
        <f>_xlfn.XLOOKUP(Tableau1[[#This Row],[TYPE DE PIECE]],Tableau4[MATIERE],Tableau4[SHORT TYPE],"",0,1)</f>
        <v/>
      </c>
      <c r="N8183">
        <f>IF(ISERR(FIND("DECOUPE",Tableau1[[#This Row],[DESIGNATION]])),"","NEED REF")</f>
        <v/>
      </c>
    </row>
    <row r="8184">
      <c r="B8184" t="n">
        <v>34405821</v>
      </c>
      <c r="C8184" s="2" t="n">
        <v>42787</v>
      </c>
      <c r="D8184" t="inlineStr">
        <is>
          <t>SPEC</t>
        </is>
      </c>
      <c r="E8184" t="inlineStr">
        <is>
          <t>REHAUSSE G7K 1000 H400 PEINT</t>
        </is>
      </c>
      <c r="F8184" t="inlineStr">
        <is>
          <t>TOUTES</t>
        </is>
      </c>
      <c r="J8184" t="inlineStr">
        <is>
          <t>MATRION</t>
        </is>
      </c>
      <c r="L8184">
        <f>_xlfn.XLOOKUP(Tableau1[[#This Row],[TYPE DE PIECE]],Tableau4[MATIERE],Tableau4[SHORT TYPE],"",0,1)</f>
        <v/>
      </c>
      <c r="N8184">
        <f>IF(ISERR(FIND("DECOUPE",Tableau1[[#This Row],[DESIGNATION]])),"","NEED REF")</f>
        <v/>
      </c>
    </row>
    <row r="8185">
      <c r="B8185" t="n">
        <v>34405820</v>
      </c>
      <c r="C8185" s="2" t="n">
        <v>42787</v>
      </c>
      <c r="D8185" t="inlineStr">
        <is>
          <t>SPEC</t>
        </is>
      </c>
      <c r="E8185" t="inlineStr">
        <is>
          <t>ERREUR PROE</t>
        </is>
      </c>
      <c r="F8185" t="inlineStr">
        <is>
          <t>TOUTES</t>
        </is>
      </c>
      <c r="J8185" t="inlineStr">
        <is>
          <t>MATRION</t>
        </is>
      </c>
      <c r="L8185">
        <f>_xlfn.XLOOKUP(Tableau1[[#This Row],[TYPE DE PIECE]],Tableau4[MATIERE],Tableau4[SHORT TYPE],"",0,1)</f>
        <v/>
      </c>
      <c r="N8185">
        <f>IF(ISERR(FIND("DECOUPE",Tableau1[[#This Row],[DESIGNATION]])),"","NEED REF")</f>
        <v/>
      </c>
    </row>
    <row r="8186">
      <c r="B8186" t="n">
        <v>34405819</v>
      </c>
      <c r="C8186" s="2" t="n">
        <v>42787</v>
      </c>
      <c r="D8186" t="inlineStr">
        <is>
          <t>SPEC</t>
        </is>
      </c>
      <c r="E8186" t="inlineStr">
        <is>
          <t>S/E REHAUSSE GTK 1000 H400</t>
        </is>
      </c>
      <c r="F8186" t="inlineStr">
        <is>
          <t>TOUTES</t>
        </is>
      </c>
      <c r="J8186" t="inlineStr">
        <is>
          <t>MATRION</t>
        </is>
      </c>
      <c r="L8186">
        <f>_xlfn.XLOOKUP(Tableau1[[#This Row],[TYPE DE PIECE]],Tableau4[MATIERE],Tableau4[SHORT TYPE],"",0,1)</f>
        <v/>
      </c>
      <c r="N8186">
        <f>IF(ISERR(FIND("DECOUPE",Tableau1[[#This Row],[DESIGNATION]])),"","NEED REF")</f>
        <v/>
      </c>
    </row>
    <row r="8187">
      <c r="B8187" t="n">
        <v>34405818</v>
      </c>
      <c r="C8187" s="2" t="n">
        <v>42782</v>
      </c>
      <c r="D8187" t="inlineStr">
        <is>
          <t>SPEC</t>
        </is>
      </c>
      <c r="E8187" t="inlineStr">
        <is>
          <t>JOUE BAS</t>
        </is>
      </c>
      <c r="F8187" t="inlineStr">
        <is>
          <t>EAC GVX</t>
        </is>
      </c>
      <c r="J8187" t="inlineStr">
        <is>
          <t>MATRION</t>
        </is>
      </c>
      <c r="L8187">
        <f>_xlfn.XLOOKUP(Tableau1[[#This Row],[TYPE DE PIECE]],Tableau4[MATIERE],Tableau4[SHORT TYPE],"",0,1)</f>
        <v/>
      </c>
      <c r="N8187">
        <f>IF(ISERR(FIND("DECOUPE",Tableau1[[#This Row],[DESIGNATION]])),"","NEED REF")</f>
        <v/>
      </c>
    </row>
    <row r="8188">
      <c r="B8188" t="n">
        <v>34405817</v>
      </c>
      <c r="C8188" s="2" t="n">
        <v>42782</v>
      </c>
      <c r="D8188" t="inlineStr">
        <is>
          <t>SPEC</t>
        </is>
      </c>
      <c r="E8188" t="inlineStr">
        <is>
          <t>JOUE HAUT</t>
        </is>
      </c>
      <c r="F8188" t="inlineStr">
        <is>
          <t>EAC GVX</t>
        </is>
      </c>
      <c r="J8188" t="inlineStr">
        <is>
          <t>MATRION</t>
        </is>
      </c>
      <c r="L8188">
        <f>_xlfn.XLOOKUP(Tableau1[[#This Row],[TYPE DE PIECE]],Tableau4[MATIERE],Tableau4[SHORT TYPE],"",0,1)</f>
        <v/>
      </c>
      <c r="N8188">
        <f>IF(ISERR(FIND("DECOUPE",Tableau1[[#This Row],[DESIGNATION]])),"","NEED REF")</f>
        <v/>
      </c>
    </row>
    <row r="8189">
      <c r="B8189" t="n">
        <v>34405816</v>
      </c>
      <c r="C8189" s="2" t="n">
        <v>42782</v>
      </c>
      <c r="D8189" t="inlineStr">
        <is>
          <t>SPEC</t>
        </is>
      </c>
      <c r="E8189" t="inlineStr">
        <is>
          <t>ERREUR PROE</t>
        </is>
      </c>
      <c r="F8189" t="inlineStr">
        <is>
          <t>EAC GVX</t>
        </is>
      </c>
      <c r="J8189" t="inlineStr">
        <is>
          <t>MATRION</t>
        </is>
      </c>
      <c r="L8189">
        <f>_xlfn.XLOOKUP(Tableau1[[#This Row],[TYPE DE PIECE]],Tableau4[MATIERE],Tableau4[SHORT TYPE],"",0,1)</f>
        <v/>
      </c>
      <c r="N8189">
        <f>IF(ISERR(FIND("DECOUPE",Tableau1[[#This Row],[DESIGNATION]])),"","NEED REF")</f>
        <v/>
      </c>
    </row>
    <row r="8190">
      <c r="B8190" t="n">
        <v>34405815</v>
      </c>
      <c r="C8190" s="2" t="n">
        <v>42782</v>
      </c>
      <c r="D8190" t="inlineStr">
        <is>
          <t>SPEC</t>
        </is>
      </c>
      <c r="E8190" t="inlineStr">
        <is>
          <t>SUPPORT CHEMIN DE CABLE</t>
        </is>
      </c>
      <c r="F8190" t="inlineStr">
        <is>
          <t>EAC GVX</t>
        </is>
      </c>
      <c r="J8190" t="inlineStr">
        <is>
          <t>MATRION</t>
        </is>
      </c>
      <c r="L8190">
        <f>_xlfn.XLOOKUP(Tableau1[[#This Row],[TYPE DE PIECE]],Tableau4[MATIERE],Tableau4[SHORT TYPE],"",0,1)</f>
        <v/>
      </c>
      <c r="N8190">
        <f>IF(ISERR(FIND("DECOUPE",Tableau1[[#This Row],[DESIGNATION]])),"","NEED REF")</f>
        <v/>
      </c>
    </row>
    <row r="8191">
      <c r="B8191" t="n">
        <v>34405814</v>
      </c>
      <c r="C8191" s="2" t="n">
        <v>42782</v>
      </c>
      <c r="D8191" t="inlineStr">
        <is>
          <t>SPEC</t>
        </is>
      </c>
      <c r="E8191" t="inlineStr">
        <is>
          <t>TRAVERSE BAS</t>
        </is>
      </c>
      <c r="F8191" t="inlineStr">
        <is>
          <t>EAC GVX</t>
        </is>
      </c>
      <c r="J8191" t="inlineStr">
        <is>
          <t>MATRION</t>
        </is>
      </c>
      <c r="L8191">
        <f>_xlfn.XLOOKUP(Tableau1[[#This Row],[TYPE DE PIECE]],Tableau4[MATIERE],Tableau4[SHORT TYPE],"",0,1)</f>
        <v/>
      </c>
      <c r="N8191">
        <f>IF(ISERR(FIND("DECOUPE",Tableau1[[#This Row],[DESIGNATION]])),"","NEED REF")</f>
        <v/>
      </c>
    </row>
    <row r="8192">
      <c r="B8192" t="n">
        <v>34405813</v>
      </c>
      <c r="C8192" s="2" t="n">
        <v>42782</v>
      </c>
      <c r="D8192" t="inlineStr">
        <is>
          <t>SPEC</t>
        </is>
      </c>
      <c r="E8192" t="inlineStr">
        <is>
          <t>PLASTRON 4</t>
        </is>
      </c>
      <c r="F8192" t="inlineStr">
        <is>
          <t>EAC GVX</t>
        </is>
      </c>
      <c r="J8192" t="inlineStr">
        <is>
          <t>MATRION</t>
        </is>
      </c>
      <c r="L8192">
        <f>_xlfn.XLOOKUP(Tableau1[[#This Row],[TYPE DE PIECE]],Tableau4[MATIERE],Tableau4[SHORT TYPE],"",0,1)</f>
        <v/>
      </c>
      <c r="N8192">
        <f>IF(ISERR(FIND("DECOUPE",Tableau1[[#This Row],[DESIGNATION]])),"","NEED REF")</f>
        <v/>
      </c>
    </row>
    <row r="8193">
      <c r="B8193" t="n">
        <v>34405812</v>
      </c>
      <c r="C8193" s="2" t="n">
        <v>42782</v>
      </c>
      <c r="D8193" t="inlineStr">
        <is>
          <t>SPEC</t>
        </is>
      </c>
      <c r="E8193" t="inlineStr">
        <is>
          <t>PLASTRON 3</t>
        </is>
      </c>
      <c r="F8193" t="inlineStr">
        <is>
          <t>EAC GVX</t>
        </is>
      </c>
      <c r="J8193" t="inlineStr">
        <is>
          <t>MATRION</t>
        </is>
      </c>
      <c r="L8193">
        <f>_xlfn.XLOOKUP(Tableau1[[#This Row],[TYPE DE PIECE]],Tableau4[MATIERE],Tableau4[SHORT TYPE],"",0,1)</f>
        <v/>
      </c>
      <c r="N8193">
        <f>IF(ISERR(FIND("DECOUPE",Tableau1[[#This Row],[DESIGNATION]])),"","NEED REF")</f>
        <v/>
      </c>
    </row>
    <row r="8194">
      <c r="B8194" t="n">
        <v>34405811</v>
      </c>
      <c r="C8194" s="2" t="n">
        <v>42782</v>
      </c>
      <c r="D8194" t="inlineStr">
        <is>
          <t>SPEC</t>
        </is>
      </c>
      <c r="E8194" t="inlineStr">
        <is>
          <t>PLASTRON 2</t>
        </is>
      </c>
      <c r="F8194" t="inlineStr">
        <is>
          <t>EAC GVX</t>
        </is>
      </c>
      <c r="J8194" t="inlineStr">
        <is>
          <t>MATRION</t>
        </is>
      </c>
      <c r="L8194">
        <f>_xlfn.XLOOKUP(Tableau1[[#This Row],[TYPE DE PIECE]],Tableau4[MATIERE],Tableau4[SHORT TYPE],"",0,1)</f>
        <v/>
      </c>
      <c r="N8194">
        <f>IF(ISERR(FIND("DECOUPE",Tableau1[[#This Row],[DESIGNATION]])),"","NEED REF")</f>
        <v/>
      </c>
    </row>
    <row r="8195">
      <c r="B8195" t="n">
        <v>34405810</v>
      </c>
      <c r="C8195" s="2" t="n">
        <v>42782</v>
      </c>
      <c r="D8195" t="inlineStr">
        <is>
          <t>SPEC</t>
        </is>
      </c>
      <c r="E8195" t="inlineStr">
        <is>
          <t>PLASTRON 1</t>
        </is>
      </c>
      <c r="F8195" t="inlineStr">
        <is>
          <t>EAC GVX</t>
        </is>
      </c>
      <c r="J8195" t="inlineStr">
        <is>
          <t>MATRION</t>
        </is>
      </c>
      <c r="L8195">
        <f>_xlfn.XLOOKUP(Tableau1[[#This Row],[TYPE DE PIECE]],Tableau4[MATIERE],Tableau4[SHORT TYPE],"",0,1)</f>
        <v/>
      </c>
      <c r="N8195">
        <f>IF(ISERR(FIND("DECOUPE",Tableau1[[#This Row],[DESIGNATION]])),"","NEED REF")</f>
        <v/>
      </c>
    </row>
    <row r="8196">
      <c r="B8196" t="n">
        <v>34405809</v>
      </c>
      <c r="C8196" s="2" t="n">
        <v>42782</v>
      </c>
      <c r="D8196" t="inlineStr">
        <is>
          <t>SPEC</t>
        </is>
      </c>
      <c r="E8196" t="inlineStr">
        <is>
          <t>JOUE LATERAL DROIT POUR PLASTRON</t>
        </is>
      </c>
      <c r="F8196" t="inlineStr">
        <is>
          <t>EAC GVX</t>
        </is>
      </c>
      <c r="J8196" t="inlineStr">
        <is>
          <t>MATRION</t>
        </is>
      </c>
      <c r="L8196">
        <f>_xlfn.XLOOKUP(Tableau1[[#This Row],[TYPE DE PIECE]],Tableau4[MATIERE],Tableau4[SHORT TYPE],"",0,1)</f>
        <v/>
      </c>
      <c r="N8196">
        <f>IF(ISERR(FIND("DECOUPE",Tableau1[[#This Row],[DESIGNATION]])),"","NEED REF")</f>
        <v/>
      </c>
    </row>
    <row r="8197">
      <c r="B8197" t="n">
        <v>34405808</v>
      </c>
      <c r="C8197" s="2" t="n">
        <v>42782</v>
      </c>
      <c r="D8197" t="inlineStr">
        <is>
          <t>SPEC</t>
        </is>
      </c>
      <c r="E8197" t="inlineStr">
        <is>
          <t>JOUE LATERAL GAUCHE POUR PLASTRON</t>
        </is>
      </c>
      <c r="F8197" t="inlineStr">
        <is>
          <t>EAC GVX</t>
        </is>
      </c>
      <c r="J8197" t="inlineStr">
        <is>
          <t>MATRION</t>
        </is>
      </c>
      <c r="L8197">
        <f>_xlfn.XLOOKUP(Tableau1[[#This Row],[TYPE DE PIECE]],Tableau4[MATIERE],Tableau4[SHORT TYPE],"",0,1)</f>
        <v/>
      </c>
      <c r="N8197">
        <f>IF(ISERR(FIND("DECOUPE",Tableau1[[#This Row],[DESIGNATION]])),"","NEED REF")</f>
        <v/>
      </c>
    </row>
    <row r="8198">
      <c r="B8198" t="n">
        <v>34405807</v>
      </c>
      <c r="C8198" s="2" t="n">
        <v>42782</v>
      </c>
      <c r="D8198" t="inlineStr">
        <is>
          <t>SPEC</t>
        </is>
      </c>
      <c r="E8198" t="inlineStr">
        <is>
          <t>TRAVERSE HAUT</t>
        </is>
      </c>
      <c r="F8198" t="inlineStr">
        <is>
          <t>EAC GVX</t>
        </is>
      </c>
      <c r="J8198" t="inlineStr">
        <is>
          <t>MATRION</t>
        </is>
      </c>
      <c r="L8198">
        <f>_xlfn.XLOOKUP(Tableau1[[#This Row],[TYPE DE PIECE]],Tableau4[MATIERE],Tableau4[SHORT TYPE],"",0,1)</f>
        <v/>
      </c>
      <c r="N8198">
        <f>IF(ISERR(FIND("DECOUPE",Tableau1[[#This Row],[DESIGNATION]])),"","NEED REF")</f>
        <v/>
      </c>
    </row>
    <row r="8199">
      <c r="B8199" t="n">
        <v>34405806</v>
      </c>
      <c r="C8199" s="2" t="n">
        <v>42782</v>
      </c>
      <c r="D8199" t="inlineStr">
        <is>
          <t>SPEC</t>
        </is>
      </c>
      <c r="E8199" t="inlineStr">
        <is>
          <t>SUPPORT 710</t>
        </is>
      </c>
      <c r="F8199" t="inlineStr">
        <is>
          <t>EAC GVX</t>
        </is>
      </c>
      <c r="J8199" t="inlineStr">
        <is>
          <t>MATRION</t>
        </is>
      </c>
      <c r="L8199">
        <f>_xlfn.XLOOKUP(Tableau1[[#This Row],[TYPE DE PIECE]],Tableau4[MATIERE],Tableau4[SHORT TYPE],"",0,1)</f>
        <v/>
      </c>
      <c r="N8199">
        <f>IF(ISERR(FIND("DECOUPE",Tableau1[[#This Row],[DESIGNATION]])),"","NEED REF")</f>
        <v/>
      </c>
    </row>
    <row r="8200">
      <c r="B8200" t="n">
        <v>34405805</v>
      </c>
      <c r="C8200" s="2" t="n">
        <v>42775</v>
      </c>
      <c r="D8200" t="inlineStr">
        <is>
          <t>SPEC</t>
        </is>
      </c>
      <c r="E8200" t="inlineStr">
        <is>
          <t>PLASTRON 700 1x FU</t>
        </is>
      </c>
      <c r="F8200" t="inlineStr">
        <is>
          <t>TOUTES</t>
        </is>
      </c>
      <c r="J8200" t="inlineStr">
        <is>
          <t>MATRION</t>
        </is>
      </c>
      <c r="L8200">
        <f>_xlfn.XLOOKUP(Tableau1[[#This Row],[TYPE DE PIECE]],Tableau4[MATIERE],Tableau4[SHORT TYPE],"",0,1)</f>
        <v/>
      </c>
      <c r="N8200">
        <f>IF(ISERR(FIND("DECOUPE",Tableau1[[#This Row],[DESIGNATION]])),"","NEED REF")</f>
        <v/>
      </c>
    </row>
    <row r="8201">
      <c r="B8201" t="n">
        <v>34405804</v>
      </c>
      <c r="C8201" s="2" t="n">
        <v>42775</v>
      </c>
      <c r="D8201" t="inlineStr">
        <is>
          <t>SPEC</t>
        </is>
      </c>
      <c r="E8201" t="inlineStr">
        <is>
          <t>PLASTRON 1000 1x FU</t>
        </is>
      </c>
      <c r="F8201" t="inlineStr">
        <is>
          <t>TOUTES</t>
        </is>
      </c>
      <c r="J8201" t="inlineStr">
        <is>
          <t>MATRION</t>
        </is>
      </c>
      <c r="L8201">
        <f>_xlfn.XLOOKUP(Tableau1[[#This Row],[TYPE DE PIECE]],Tableau4[MATIERE],Tableau4[SHORT TYPE],"",0,1)</f>
        <v/>
      </c>
      <c r="N8201">
        <f>IF(ISERR(FIND("DECOUPE",Tableau1[[#This Row],[DESIGNATION]])),"","NEED REF")</f>
        <v/>
      </c>
    </row>
    <row r="8202">
      <c r="B8202" t="n">
        <v>34405803</v>
      </c>
      <c r="C8202" s="2" t="n">
        <v>42779</v>
      </c>
      <c r="D8202" t="inlineStr">
        <is>
          <t>SPEC</t>
        </is>
      </c>
      <c r="E8202" t="inlineStr">
        <is>
          <t>PLASTRON 700 2x NSX100 galva</t>
        </is>
      </c>
      <c r="F8202" t="inlineStr">
        <is>
          <t>Institut laue langevin</t>
        </is>
      </c>
      <c r="J8202" t="inlineStr">
        <is>
          <t>ROBERT</t>
        </is>
      </c>
      <c r="L8202">
        <f>_xlfn.XLOOKUP(Tableau1[[#This Row],[TYPE DE PIECE]],Tableau4[MATIERE],Tableau4[SHORT TYPE],"",0,1)</f>
        <v/>
      </c>
      <c r="N8202">
        <f>IF(ISERR(FIND("DECOUPE",Tableau1[[#This Row],[DESIGNATION]])),"","NEED REF")</f>
        <v/>
      </c>
    </row>
    <row r="8203">
      <c r="B8203" t="n">
        <v>34405802</v>
      </c>
      <c r="C8203" s="2" t="n">
        <v>42775</v>
      </c>
      <c r="D8203" t="inlineStr">
        <is>
          <t>SPEC</t>
        </is>
      </c>
      <c r="E8203" t="inlineStr">
        <is>
          <t>RENFORT CELLULE ARR 700</t>
        </is>
      </c>
      <c r="F8203" t="inlineStr">
        <is>
          <t>TOUTES</t>
        </is>
      </c>
      <c r="J8203" t="inlineStr">
        <is>
          <t>MATRION</t>
        </is>
      </c>
      <c r="L8203">
        <f>_xlfn.XLOOKUP(Tableau1[[#This Row],[TYPE DE PIECE]],Tableau4[MATIERE],Tableau4[SHORT TYPE],"",0,1)</f>
        <v/>
      </c>
      <c r="N8203">
        <f>IF(ISERR(FIND("DECOUPE",Tableau1[[#This Row],[DESIGNATION]])),"","NEED REF")</f>
        <v/>
      </c>
    </row>
    <row r="8204">
      <c r="B8204" t="n">
        <v>34405801</v>
      </c>
      <c r="C8204" s="2" t="n">
        <v>42775</v>
      </c>
      <c r="D8204" t="inlineStr">
        <is>
          <t>SPEC</t>
        </is>
      </c>
      <c r="E8204" t="inlineStr">
        <is>
          <t>RENFORT CELLULE ARR 1000</t>
        </is>
      </c>
      <c r="F8204" t="inlineStr">
        <is>
          <t>TOUTES</t>
        </is>
      </c>
      <c r="J8204" t="inlineStr">
        <is>
          <t>MATRION</t>
        </is>
      </c>
      <c r="L8204">
        <f>_xlfn.XLOOKUP(Tableau1[[#This Row],[TYPE DE PIECE]],Tableau4[MATIERE],Tableau4[SHORT TYPE],"",0,1)</f>
        <v/>
      </c>
      <c r="N8204">
        <f>IF(ISERR(FIND("DECOUPE",Tableau1[[#This Row],[DESIGNATION]])),"","NEED REF")</f>
        <v/>
      </c>
    </row>
    <row r="8205">
      <c r="B8205" t="n">
        <v>34405800</v>
      </c>
      <c r="C8205" s="2" t="n">
        <v>42775</v>
      </c>
      <c r="D8205" t="inlineStr">
        <is>
          <t>SPEC</t>
        </is>
      </c>
      <c r="E8205" t="inlineStr">
        <is>
          <t>RENFORT CELLULE LAT</t>
        </is>
      </c>
      <c r="F8205" t="inlineStr">
        <is>
          <t>TOUTES</t>
        </is>
      </c>
      <c r="J8205" t="inlineStr">
        <is>
          <t>MATRION</t>
        </is>
      </c>
      <c r="L8205">
        <f>_xlfn.XLOOKUP(Tableau1[[#This Row],[TYPE DE PIECE]],Tableau4[MATIERE],Tableau4[SHORT TYPE],"",0,1)</f>
        <v/>
      </c>
      <c r="N8205">
        <f>IF(ISERR(FIND("DECOUPE",Tableau1[[#This Row],[DESIGNATION]])),"","NEED REF")</f>
        <v/>
      </c>
    </row>
    <row r="8206">
      <c r="B8206" t="n">
        <v>34405799</v>
      </c>
      <c r="C8206" s="2" t="n">
        <v>42775</v>
      </c>
      <c r="D8206" t="inlineStr">
        <is>
          <t>SPEC</t>
        </is>
      </c>
      <c r="E8206" t="inlineStr">
        <is>
          <t>PLASTRON 700 2x NSX160</t>
        </is>
      </c>
      <c r="F8206" t="inlineStr">
        <is>
          <t>TOUTES</t>
        </is>
      </c>
      <c r="J8206" t="inlineStr">
        <is>
          <t>MATRION</t>
        </is>
      </c>
      <c r="L8206">
        <f>_xlfn.XLOOKUP(Tableau1[[#This Row],[TYPE DE PIECE]],Tableau4[MATIERE],Tableau4[SHORT TYPE],"",0,1)</f>
        <v/>
      </c>
      <c r="N8206">
        <f>IF(ISERR(FIND("DECOUPE",Tableau1[[#This Row],[DESIGNATION]])),"","NEED REF")</f>
        <v/>
      </c>
    </row>
    <row r="8207">
      <c r="B8207" t="n">
        <v>34405798</v>
      </c>
      <c r="C8207" s="2" t="n">
        <v>42775</v>
      </c>
      <c r="D8207" t="inlineStr">
        <is>
          <t>SPEC</t>
        </is>
      </c>
      <c r="E8207" t="inlineStr">
        <is>
          <t>FIXATION CABLES 700</t>
        </is>
      </c>
      <c r="F8207" t="inlineStr">
        <is>
          <t>TOUTES</t>
        </is>
      </c>
      <c r="J8207" t="inlineStr">
        <is>
          <t>MATRION</t>
        </is>
      </c>
      <c r="L8207">
        <f>_xlfn.XLOOKUP(Tableau1[[#This Row],[TYPE DE PIECE]],Tableau4[MATIERE],Tableau4[SHORT TYPE],"",0,1)</f>
        <v/>
      </c>
      <c r="N8207">
        <f>IF(ISERR(FIND("DECOUPE",Tableau1[[#This Row],[DESIGNATION]])),"","NEED REF")</f>
        <v/>
      </c>
    </row>
    <row r="8208">
      <c r="B8208" t="n">
        <v>34405797</v>
      </c>
      <c r="C8208" s="2" t="n">
        <v>42775</v>
      </c>
      <c r="D8208" t="inlineStr">
        <is>
          <t>SPEC</t>
        </is>
      </c>
      <c r="E8208" t="inlineStr">
        <is>
          <t>PLASTRON 1000 2x NSX160</t>
        </is>
      </c>
      <c r="F8208" t="inlineStr">
        <is>
          <t>TOUTES</t>
        </is>
      </c>
      <c r="J8208" t="inlineStr">
        <is>
          <t>MATRION</t>
        </is>
      </c>
      <c r="L8208">
        <f>_xlfn.XLOOKUP(Tableau1[[#This Row],[TYPE DE PIECE]],Tableau4[MATIERE],Tableau4[SHORT TYPE],"",0,1)</f>
        <v/>
      </c>
      <c r="N8208">
        <f>IF(ISERR(FIND("DECOUPE",Tableau1[[#This Row],[DESIGNATION]])),"","NEED REF")</f>
        <v/>
      </c>
    </row>
    <row r="8209">
      <c r="B8209" t="n">
        <v>34405796</v>
      </c>
      <c r="C8209" s="2" t="n">
        <v>42775</v>
      </c>
      <c r="D8209" t="inlineStr">
        <is>
          <t>SPEC</t>
        </is>
      </c>
      <c r="E8209" t="inlineStr">
        <is>
          <t>FIXATION CABLES 1000</t>
        </is>
      </c>
      <c r="F8209" t="inlineStr">
        <is>
          <t>TOUTES</t>
        </is>
      </c>
      <c r="J8209" t="inlineStr">
        <is>
          <t>MATRION</t>
        </is>
      </c>
      <c r="L8209">
        <f>_xlfn.XLOOKUP(Tableau1[[#This Row],[TYPE DE PIECE]],Tableau4[MATIERE],Tableau4[SHORT TYPE],"",0,1)</f>
        <v/>
      </c>
      <c r="N8209">
        <f>IF(ISERR(FIND("DECOUPE",Tableau1[[#This Row],[DESIGNATION]])),"","NEED REF")</f>
        <v/>
      </c>
    </row>
    <row r="8210">
      <c r="B8210" t="n">
        <v>34405795</v>
      </c>
      <c r="C8210" s="2" t="n">
        <v>42775</v>
      </c>
      <c r="D8210" t="inlineStr">
        <is>
          <t>SPEC</t>
        </is>
      </c>
      <c r="E8210" t="inlineStr">
        <is>
          <t>PLATINE BYPASS 700</t>
        </is>
      </c>
      <c r="F8210" t="inlineStr">
        <is>
          <t>TOUTES</t>
        </is>
      </c>
      <c r="J8210" t="inlineStr">
        <is>
          <t>MATRION</t>
        </is>
      </c>
      <c r="L8210">
        <f>_xlfn.XLOOKUP(Tableau1[[#This Row],[TYPE DE PIECE]],Tableau4[MATIERE],Tableau4[SHORT TYPE],"",0,1)</f>
        <v/>
      </c>
      <c r="N8210">
        <f>IF(ISERR(FIND("DECOUPE",Tableau1[[#This Row],[DESIGNATION]])),"","NEED REF")</f>
        <v/>
      </c>
    </row>
    <row r="8211">
      <c r="B8211" t="n">
        <v>34405794</v>
      </c>
      <c r="C8211" s="2" t="n">
        <v>42775</v>
      </c>
      <c r="D8211" t="inlineStr">
        <is>
          <t>SPEC</t>
        </is>
      </c>
      <c r="E8211" t="inlineStr">
        <is>
          <t>PLATINE BYPASS 1000</t>
        </is>
      </c>
      <c r="F8211" t="inlineStr">
        <is>
          <t>TOUTES</t>
        </is>
      </c>
      <c r="J8211" t="inlineStr">
        <is>
          <t>MATRION</t>
        </is>
      </c>
      <c r="L8211">
        <f>_xlfn.XLOOKUP(Tableau1[[#This Row],[TYPE DE PIECE]],Tableau4[MATIERE],Tableau4[SHORT TYPE],"",0,1)</f>
        <v/>
      </c>
      <c r="N8211">
        <f>IF(ISERR(FIND("DECOUPE",Tableau1[[#This Row],[DESIGNATION]])),"","NEED REF")</f>
        <v/>
      </c>
    </row>
    <row r="8212">
      <c r="B8212" t="n">
        <v>34405793</v>
      </c>
      <c r="C8212" s="2" t="n">
        <v>42775</v>
      </c>
      <c r="D8212" t="inlineStr">
        <is>
          <t>SPEC</t>
        </is>
      </c>
      <c r="E8212" t="inlineStr">
        <is>
          <t>TRAVERSE TFO 700</t>
        </is>
      </c>
      <c r="F8212" t="inlineStr">
        <is>
          <t>TOUTES</t>
        </is>
      </c>
      <c r="J8212" t="inlineStr">
        <is>
          <t>MATRION</t>
        </is>
      </c>
      <c r="L8212">
        <f>_xlfn.XLOOKUP(Tableau1[[#This Row],[TYPE DE PIECE]],Tableau4[MATIERE],Tableau4[SHORT TYPE],"",0,1)</f>
        <v/>
      </c>
      <c r="N8212">
        <f>IF(ISERR(FIND("DECOUPE",Tableau1[[#This Row],[DESIGNATION]])),"","NEED REF")</f>
        <v/>
      </c>
    </row>
    <row r="8213">
      <c r="B8213" t="n">
        <v>34405792</v>
      </c>
      <c r="C8213" s="2" t="n">
        <v>42775</v>
      </c>
      <c r="D8213" t="inlineStr">
        <is>
          <t>SPEC</t>
        </is>
      </c>
      <c r="E8213" t="inlineStr">
        <is>
          <t>TRAVERSE TFO 1000</t>
        </is>
      </c>
      <c r="F8213" t="inlineStr">
        <is>
          <t>TOUTES</t>
        </is>
      </c>
      <c r="J8213" t="inlineStr">
        <is>
          <t>MATRION</t>
        </is>
      </c>
      <c r="L8213">
        <f>_xlfn.XLOOKUP(Tableau1[[#This Row],[TYPE DE PIECE]],Tableau4[MATIERE],Tableau4[SHORT TYPE],"",0,1)</f>
        <v/>
      </c>
      <c r="N8213">
        <f>IF(ISERR(FIND("DECOUPE",Tableau1[[#This Row],[DESIGNATION]])),"","NEED REF")</f>
        <v/>
      </c>
    </row>
    <row r="8214">
      <c r="B8214" t="n">
        <v>34405791</v>
      </c>
      <c r="C8214" s="2" t="n">
        <v>42775</v>
      </c>
      <c r="D8214" t="inlineStr">
        <is>
          <t>SPEC</t>
        </is>
      </c>
      <c r="E8214" t="inlineStr">
        <is>
          <t>SUPPORT DOUBLE TFO</t>
        </is>
      </c>
      <c r="F8214" t="inlineStr">
        <is>
          <t>TOUTES</t>
        </is>
      </c>
      <c r="J8214" t="inlineStr">
        <is>
          <t>MATRION</t>
        </is>
      </c>
      <c r="L8214">
        <f>_xlfn.XLOOKUP(Tableau1[[#This Row],[TYPE DE PIECE]],Tableau4[MATIERE],Tableau4[SHORT TYPE],"",0,1)</f>
        <v/>
      </c>
      <c r="N8214">
        <f>IF(ISERR(FIND("DECOUPE",Tableau1[[#This Row],[DESIGNATION]])),"","NEED REF")</f>
        <v/>
      </c>
    </row>
    <row r="8215">
      <c r="B8215" t="n">
        <v>34405790</v>
      </c>
      <c r="C8215" s="2" t="n">
        <v>42773</v>
      </c>
      <c r="D8215" t="inlineStr">
        <is>
          <t>LEG</t>
        </is>
      </c>
      <c r="E8215" t="inlineStr">
        <is>
          <t xml:space="preserve">Lgd démontage XCBB FLOATING 50178 made in Russie </t>
        </is>
      </c>
      <c r="F8215" t="inlineStr">
        <is>
          <t>SOLAR XCBB</t>
        </is>
      </c>
      <c r="J8215" t="inlineStr">
        <is>
          <t>MONGELLI</t>
        </is>
      </c>
      <c r="L8215">
        <f>_xlfn.XLOOKUP(Tableau1[[#This Row],[TYPE DE PIECE]],Tableau4[MATIERE],Tableau4[SHORT TYPE],"",0,1)</f>
        <v/>
      </c>
      <c r="N8215">
        <f>IF(ISERR(FIND("DECOUPE",Tableau1[[#This Row],[DESIGNATION]])),"","NEED REF")</f>
        <v/>
      </c>
    </row>
    <row r="8216">
      <c r="B8216" t="n">
        <v>34405789</v>
      </c>
      <c r="C8216" s="2" t="n">
        <v>42773</v>
      </c>
      <c r="D8216" t="inlineStr">
        <is>
          <t>LEG</t>
        </is>
      </c>
      <c r="E8216" t="inlineStr">
        <is>
          <t xml:space="preserve">Lgd démontage XCBB NEGATIF 50178 made in Russie </t>
        </is>
      </c>
      <c r="F8216" t="inlineStr">
        <is>
          <t>SOLAR XCBB</t>
        </is>
      </c>
      <c r="J8216" t="inlineStr">
        <is>
          <t>MONGELLI</t>
        </is>
      </c>
      <c r="L8216">
        <f>_xlfn.XLOOKUP(Tableau1[[#This Row],[TYPE DE PIECE]],Tableau4[MATIERE],Tableau4[SHORT TYPE],"",0,1)</f>
        <v/>
      </c>
      <c r="N8216">
        <f>IF(ISERR(FIND("DECOUPE",Tableau1[[#This Row],[DESIGNATION]])),"","NEED REF")</f>
        <v/>
      </c>
    </row>
    <row r="8217">
      <c r="B8217" t="n">
        <v>34405788</v>
      </c>
      <c r="C8217" s="2" t="n">
        <v>42773</v>
      </c>
      <c r="D8217" t="inlineStr">
        <is>
          <t>SPEC</t>
        </is>
      </c>
      <c r="E8217" t="inlineStr">
        <is>
          <t>Specifical packaging XCBB made in Russia</t>
        </is>
      </c>
      <c r="F8217" t="inlineStr">
        <is>
          <t>SOLAR XCBB</t>
        </is>
      </c>
      <c r="J8217" t="inlineStr">
        <is>
          <t>MONGELLI</t>
        </is>
      </c>
      <c r="L8217">
        <f>_xlfn.XLOOKUP(Tableau1[[#This Row],[TYPE DE PIECE]],Tableau4[MATIERE],Tableau4[SHORT TYPE],"",0,1)</f>
        <v/>
      </c>
      <c r="N8217">
        <f>IF(ISERR(FIND("DECOUPE",Tableau1[[#This Row],[DESIGNATION]])),"","NEED REF")</f>
        <v/>
      </c>
    </row>
    <row r="8218">
      <c r="B8218" t="n">
        <v>34405787</v>
      </c>
      <c r="C8218" s="2" t="n">
        <v>42773</v>
      </c>
      <c r="D8218" t="inlineStr">
        <is>
          <t>LEG</t>
        </is>
      </c>
      <c r="E8218" t="inlineStr">
        <is>
          <t>Légende démontage XCBB made in Russie</t>
        </is>
      </c>
      <c r="F8218" t="inlineStr">
        <is>
          <t>SOLAR XCBB</t>
        </is>
      </c>
      <c r="J8218" t="inlineStr">
        <is>
          <t>MONGELLI</t>
        </is>
      </c>
      <c r="L8218">
        <f>_xlfn.XLOOKUP(Tableau1[[#This Row],[TYPE DE PIECE]],Tableau4[MATIERE],Tableau4[SHORT TYPE],"",0,1)</f>
        <v/>
      </c>
      <c r="N8218">
        <f>IF(ISERR(FIND("DECOUPE",Tableau1[[#This Row],[DESIGNATION]])),"","NEED REF")</f>
        <v/>
      </c>
    </row>
    <row r="8219">
      <c r="B8219" t="n">
        <v>34405786</v>
      </c>
      <c r="C8219" s="2" t="n">
        <v>42768</v>
      </c>
      <c r="D8219" t="inlineStr">
        <is>
          <t>SPEC</t>
        </is>
      </c>
      <c r="E8219" t="inlineStr">
        <is>
          <t>Toit cellule 6mm alu</t>
        </is>
      </c>
      <c r="F8219" t="inlineStr">
        <is>
          <t>BBC Cabinet</t>
        </is>
      </c>
      <c r="J8219" t="inlineStr">
        <is>
          <t>DUBOIS</t>
        </is>
      </c>
      <c r="L8219">
        <f>_xlfn.XLOOKUP(Tableau1[[#This Row],[TYPE DE PIECE]],Tableau4[MATIERE],Tableau4[SHORT TYPE],"",0,1)</f>
        <v/>
      </c>
      <c r="N8219">
        <f>IF(ISERR(FIND("DECOUPE",Tableau1[[#This Row],[DESIGNATION]])),"","NEED REF")</f>
        <v/>
      </c>
    </row>
    <row r="8220">
      <c r="B8220" t="n">
        <v>34405785</v>
      </c>
      <c r="C8220" s="2" t="n">
        <v>42768</v>
      </c>
      <c r="D8220" t="inlineStr">
        <is>
          <t>SPEC</t>
        </is>
      </c>
      <c r="E8220" t="inlineStr">
        <is>
          <t>Plaque haut bas</t>
        </is>
      </c>
      <c r="F8220" t="inlineStr">
        <is>
          <t>BBC Cabinet</t>
        </is>
      </c>
      <c r="J8220" t="inlineStr">
        <is>
          <t>DUBOIS</t>
        </is>
      </c>
      <c r="L8220">
        <f>_xlfn.XLOOKUP(Tableau1[[#This Row],[TYPE DE PIECE]],Tableau4[MATIERE],Tableau4[SHORT TYPE],"",0,1)</f>
        <v/>
      </c>
      <c r="N8220">
        <f>IF(ISERR(FIND("DECOUPE",Tableau1[[#This Row],[DESIGNATION]])),"","NEED REF")</f>
        <v/>
      </c>
    </row>
    <row r="8221">
      <c r="B8221" t="n">
        <v>34405784</v>
      </c>
      <c r="C8221" s="2" t="n">
        <v>42768</v>
      </c>
      <c r="D8221" t="inlineStr">
        <is>
          <t>SPEC</t>
        </is>
      </c>
      <c r="E8221" t="inlineStr">
        <is>
          <t>Equerre droite</t>
        </is>
      </c>
      <c r="F8221" t="inlineStr">
        <is>
          <t>BBC Cabinet</t>
        </is>
      </c>
      <c r="J8221" t="inlineStr">
        <is>
          <t>DUBOIS</t>
        </is>
      </c>
      <c r="L8221">
        <f>_xlfn.XLOOKUP(Tableau1[[#This Row],[TYPE DE PIECE]],Tableau4[MATIERE],Tableau4[SHORT TYPE],"",0,1)</f>
        <v/>
      </c>
      <c r="N8221">
        <f>IF(ISERR(FIND("DECOUPE",Tableau1[[#This Row],[DESIGNATION]])),"","NEED REF")</f>
        <v/>
      </c>
    </row>
    <row r="8222">
      <c r="B8222" t="n">
        <v>34405783</v>
      </c>
      <c r="C8222" s="2" t="n">
        <v>42768</v>
      </c>
      <c r="D8222" t="inlineStr">
        <is>
          <t>SPEC</t>
        </is>
      </c>
      <c r="E8222" t="inlineStr">
        <is>
          <t>Equerre gauche</t>
        </is>
      </c>
      <c r="F8222" t="inlineStr">
        <is>
          <t>BBC Cabinet</t>
        </is>
      </c>
      <c r="J8222" t="inlineStr">
        <is>
          <t>DUBOIS</t>
        </is>
      </c>
      <c r="L8222">
        <f>_xlfn.XLOOKUP(Tableau1[[#This Row],[TYPE DE PIECE]],Tableau4[MATIERE],Tableau4[SHORT TYPE],"",0,1)</f>
        <v/>
      </c>
      <c r="N8222">
        <f>IF(ISERR(FIND("DECOUPE",Tableau1[[#This Row],[DESIGNATION]])),"","NEED REF")</f>
        <v/>
      </c>
    </row>
    <row r="8223">
      <c r="B8223" t="n">
        <v>34405782</v>
      </c>
      <c r="C8223" s="2" t="n">
        <v>42768</v>
      </c>
      <c r="D8223" t="inlineStr">
        <is>
          <t>SPEC</t>
        </is>
      </c>
      <c r="E8223" t="inlineStr">
        <is>
          <t>Plastron milieu</t>
        </is>
      </c>
      <c r="F8223" t="inlineStr">
        <is>
          <t>BBC Cabinet</t>
        </is>
      </c>
      <c r="J8223" t="inlineStr">
        <is>
          <t>DUBOIS</t>
        </is>
      </c>
      <c r="L8223">
        <f>_xlfn.XLOOKUP(Tableau1[[#This Row],[TYPE DE PIECE]],Tableau4[MATIERE],Tableau4[SHORT TYPE],"",0,1)</f>
        <v/>
      </c>
      <c r="N8223">
        <f>IF(ISERR(FIND("DECOUPE",Tableau1[[#This Row],[DESIGNATION]])),"","NEED REF")</f>
        <v/>
      </c>
    </row>
    <row r="8224">
      <c r="B8224" t="n">
        <v>34405781</v>
      </c>
      <c r="C8224" s="2" t="n">
        <v>42768</v>
      </c>
      <c r="D8224" t="inlineStr">
        <is>
          <t>SPEC</t>
        </is>
      </c>
      <c r="E8224" t="inlineStr">
        <is>
          <t xml:space="preserve">Plastron haut bas </t>
        </is>
      </c>
      <c r="F8224" t="inlineStr">
        <is>
          <t>BBC Cabinet</t>
        </is>
      </c>
      <c r="J8224" t="inlineStr">
        <is>
          <t>DUBOIS</t>
        </is>
      </c>
      <c r="L8224">
        <f>_xlfn.XLOOKUP(Tableau1[[#This Row],[TYPE DE PIECE]],Tableau4[MATIERE],Tableau4[SHORT TYPE],"",0,1)</f>
        <v/>
      </c>
      <c r="N8224">
        <f>IF(ISERR(FIND("DECOUPE",Tableau1[[#This Row],[DESIGNATION]])),"","NEED REF")</f>
        <v/>
      </c>
    </row>
    <row r="8225">
      <c r="B8225" t="n">
        <v>34405780</v>
      </c>
      <c r="C8225" s="2" t="n">
        <v>42768</v>
      </c>
      <c r="D8225" t="inlineStr">
        <is>
          <t>SPEC</t>
        </is>
      </c>
      <c r="E8225" t="inlineStr">
        <is>
          <t>Platine cartes électronique</t>
        </is>
      </c>
      <c r="F8225" t="inlineStr">
        <is>
          <t>BBC Cabinet</t>
        </is>
      </c>
      <c r="J8225" t="inlineStr">
        <is>
          <t>DUBOIS</t>
        </is>
      </c>
      <c r="L8225">
        <f>_xlfn.XLOOKUP(Tableau1[[#This Row],[TYPE DE PIECE]],Tableau4[MATIERE],Tableau4[SHORT TYPE],"",0,1)</f>
        <v/>
      </c>
      <c r="N8225">
        <f>IF(ISERR(FIND("DECOUPE",Tableau1[[#This Row],[DESIGNATION]])),"","NEED REF")</f>
        <v/>
      </c>
    </row>
    <row r="8226">
      <c r="B8226" t="n">
        <v>34405779</v>
      </c>
      <c r="C8226" s="2" t="n">
        <v>42768</v>
      </c>
      <c r="D8226" t="inlineStr">
        <is>
          <t>SPEC</t>
        </is>
      </c>
      <c r="E8226" t="inlineStr">
        <is>
          <t>Platine masterpac</t>
        </is>
      </c>
      <c r="F8226" t="inlineStr">
        <is>
          <t>BBC Cabinet</t>
        </is>
      </c>
      <c r="J8226" t="inlineStr">
        <is>
          <t>DUBOIS</t>
        </is>
      </c>
      <c r="L8226">
        <f>_xlfn.XLOOKUP(Tableau1[[#This Row],[TYPE DE PIECE]],Tableau4[MATIERE],Tableau4[SHORT TYPE],"",0,1)</f>
        <v/>
      </c>
      <c r="N8226">
        <f>IF(ISERR(FIND("DECOUPE",Tableau1[[#This Row],[DESIGNATION]])),"","NEED REF")</f>
        <v/>
      </c>
    </row>
    <row r="8227">
      <c r="B8227" t="n">
        <v>34405778</v>
      </c>
      <c r="C8227" s="2" t="n">
        <v>42768</v>
      </c>
      <c r="D8227" t="inlineStr">
        <is>
          <t>SPEC</t>
        </is>
      </c>
      <c r="E8227" t="inlineStr">
        <is>
          <t>Traverse arrière</t>
        </is>
      </c>
      <c r="F8227" t="inlineStr">
        <is>
          <t>BBC Cabinet</t>
        </is>
      </c>
      <c r="J8227" t="inlineStr">
        <is>
          <t>DUBOIS</t>
        </is>
      </c>
      <c r="L8227">
        <f>_xlfn.XLOOKUP(Tableau1[[#This Row],[TYPE DE PIECE]],Tableau4[MATIERE],Tableau4[SHORT TYPE],"",0,1)</f>
        <v/>
      </c>
      <c r="N8227">
        <f>IF(ISERR(FIND("DECOUPE",Tableau1[[#This Row],[DESIGNATION]])),"","NEED REF")</f>
        <v/>
      </c>
    </row>
    <row r="8228">
      <c r="B8228" t="n">
        <v>34405777</v>
      </c>
      <c r="C8228" s="2" t="n">
        <v>42768</v>
      </c>
      <c r="D8228" t="inlineStr">
        <is>
          <t>SPEC</t>
        </is>
      </c>
      <c r="E8228" t="inlineStr">
        <is>
          <t>Traverse droite</t>
        </is>
      </c>
      <c r="F8228" t="inlineStr">
        <is>
          <t>BBC Cabinet</t>
        </is>
      </c>
      <c r="J8228" t="inlineStr">
        <is>
          <t>DUBOIS</t>
        </is>
      </c>
      <c r="L8228">
        <f>_xlfn.XLOOKUP(Tableau1[[#This Row],[TYPE DE PIECE]],Tableau4[MATIERE],Tableau4[SHORT TYPE],"",0,1)</f>
        <v/>
      </c>
      <c r="N8228">
        <f>IF(ISERR(FIND("DECOUPE",Tableau1[[#This Row],[DESIGNATION]])),"","NEED REF")</f>
        <v/>
      </c>
    </row>
    <row r="8229">
      <c r="B8229" t="n">
        <v>34405776</v>
      </c>
      <c r="C8229" s="2" t="n">
        <v>42768</v>
      </c>
      <c r="D8229" t="inlineStr">
        <is>
          <t>SPEC</t>
        </is>
      </c>
      <c r="E8229" t="inlineStr">
        <is>
          <t>Traverse gauche</t>
        </is>
      </c>
      <c r="F8229" t="inlineStr">
        <is>
          <t>BBC Cabinet</t>
        </is>
      </c>
      <c r="J8229" t="inlineStr">
        <is>
          <t>DUBOIS</t>
        </is>
      </c>
      <c r="L8229">
        <f>_xlfn.XLOOKUP(Tableau1[[#This Row],[TYPE DE PIECE]],Tableau4[MATIERE],Tableau4[SHORT TYPE],"",0,1)</f>
        <v/>
      </c>
      <c r="N8229">
        <f>IF(ISERR(FIND("DECOUPE",Tableau1[[#This Row],[DESIGNATION]])),"","NEED REF")</f>
        <v/>
      </c>
    </row>
    <row r="8230">
      <c r="B8230" t="n">
        <v>34405775</v>
      </c>
      <c r="C8230" s="2" t="n">
        <v>42768</v>
      </c>
      <c r="D8230" t="inlineStr">
        <is>
          <t>SPEC</t>
        </is>
      </c>
      <c r="E8230" t="inlineStr">
        <is>
          <t>barre cuivre etamée terre</t>
        </is>
      </c>
      <c r="F8230" t="inlineStr">
        <is>
          <t>BBC Cabinet</t>
        </is>
      </c>
      <c r="J8230" t="inlineStr">
        <is>
          <t>DUBOIS</t>
        </is>
      </c>
      <c r="L8230">
        <f>_xlfn.XLOOKUP(Tableau1[[#This Row],[TYPE DE PIECE]],Tableau4[MATIERE],Tableau4[SHORT TYPE],"",0,1)</f>
        <v/>
      </c>
      <c r="N8230">
        <f>IF(ISERR(FIND("DECOUPE",Tableau1[[#This Row],[DESIGNATION]])),"","NEED REF")</f>
        <v/>
      </c>
    </row>
    <row r="8231">
      <c r="B8231" t="n">
        <v>34405774</v>
      </c>
      <c r="C8231" s="2" t="n">
        <v>42768</v>
      </c>
      <c r="D8231" t="inlineStr">
        <is>
          <t>SPEC</t>
        </is>
      </c>
      <c r="E8231" t="inlineStr">
        <is>
          <t>cale cuivre 120 x 50</t>
        </is>
      </c>
      <c r="F8231" t="inlineStr">
        <is>
          <t>BBC Cabinet</t>
        </is>
      </c>
      <c r="J8231" t="inlineStr">
        <is>
          <t>DUBOIS</t>
        </is>
      </c>
      <c r="L8231">
        <f>_xlfn.XLOOKUP(Tableau1[[#This Row],[TYPE DE PIECE]],Tableau4[MATIERE],Tableau4[SHORT TYPE],"",0,1)</f>
        <v/>
      </c>
      <c r="N8231">
        <f>IF(ISERR(FIND("DECOUPE",Tableau1[[#This Row],[DESIGNATION]])),"","NEED REF")</f>
        <v/>
      </c>
    </row>
    <row r="8232">
      <c r="B8232" t="n">
        <v>34405773</v>
      </c>
      <c r="C8232" s="2" t="n">
        <v>42768</v>
      </c>
      <c r="D8232" t="inlineStr">
        <is>
          <t>SPEC</t>
        </is>
      </c>
      <c r="E8232" t="inlineStr">
        <is>
          <t>cale cuivre</t>
        </is>
      </c>
      <c r="F8232" t="inlineStr">
        <is>
          <t>BBC Cabinet</t>
        </is>
      </c>
      <c r="J8232" t="inlineStr">
        <is>
          <t>DUBOIS</t>
        </is>
      </c>
      <c r="L8232">
        <f>_xlfn.XLOOKUP(Tableau1[[#This Row],[TYPE DE PIECE]],Tableau4[MATIERE],Tableau4[SHORT TYPE],"",0,1)</f>
        <v/>
      </c>
      <c r="N8232">
        <f>IF(ISERR(FIND("DECOUPE",Tableau1[[#This Row],[DESIGNATION]])),"","NEED REF")</f>
        <v/>
      </c>
    </row>
    <row r="8233">
      <c r="B8233" t="n">
        <v>34405772</v>
      </c>
      <c r="C8233" s="2" t="n">
        <v>42768</v>
      </c>
      <c r="D8233" t="inlineStr">
        <is>
          <t>SPEC</t>
        </is>
      </c>
      <c r="E8233" t="inlineStr">
        <is>
          <t xml:space="preserve">Barre cuivre L </t>
        </is>
      </c>
      <c r="F8233" t="inlineStr">
        <is>
          <t>BBC Cabinet</t>
        </is>
      </c>
      <c r="J8233" t="inlineStr">
        <is>
          <t>DUBOIS</t>
        </is>
      </c>
      <c r="L8233">
        <f>_xlfn.XLOOKUP(Tableau1[[#This Row],[TYPE DE PIECE]],Tableau4[MATIERE],Tableau4[SHORT TYPE],"",0,1)</f>
        <v/>
      </c>
      <c r="N8233">
        <f>IF(ISERR(FIND("DECOUPE",Tableau1[[#This Row],[DESIGNATION]])),"","NEED REF")</f>
        <v/>
      </c>
    </row>
    <row r="8234">
      <c r="B8234" t="n">
        <v>34405771</v>
      </c>
      <c r="C8234" s="2" t="n">
        <v>42768</v>
      </c>
      <c r="D8234" t="inlineStr">
        <is>
          <t>SPEC</t>
        </is>
      </c>
      <c r="E8234" t="inlineStr">
        <is>
          <t xml:space="preserve">Barre cuivre L </t>
        </is>
      </c>
      <c r="F8234" t="inlineStr">
        <is>
          <t>BBC Cabinet</t>
        </is>
      </c>
      <c r="J8234" t="inlineStr">
        <is>
          <t>DUBOIS</t>
        </is>
      </c>
      <c r="L8234">
        <f>_xlfn.XLOOKUP(Tableau1[[#This Row],[TYPE DE PIECE]],Tableau4[MATIERE],Tableau4[SHORT TYPE],"",0,1)</f>
        <v/>
      </c>
      <c r="N8234">
        <f>IF(ISERR(FIND("DECOUPE",Tableau1[[#This Row],[DESIGNATION]])),"","NEED REF")</f>
        <v/>
      </c>
    </row>
    <row r="8235">
      <c r="B8235" t="n">
        <v>34405770</v>
      </c>
      <c r="C8235" s="2" t="n">
        <v>42768</v>
      </c>
      <c r="D8235" t="inlineStr">
        <is>
          <t>SPEC</t>
        </is>
      </c>
      <c r="E8235" t="inlineStr">
        <is>
          <t xml:space="preserve">Barre cuivre L </t>
        </is>
      </c>
      <c r="F8235" t="inlineStr">
        <is>
          <t>BBC Cabinet</t>
        </is>
      </c>
      <c r="J8235" t="inlineStr">
        <is>
          <t>DUBOIS</t>
        </is>
      </c>
      <c r="L8235">
        <f>_xlfn.XLOOKUP(Tableau1[[#This Row],[TYPE DE PIECE]],Tableau4[MATIERE],Tableau4[SHORT TYPE],"",0,1)</f>
        <v/>
      </c>
      <c r="N8235">
        <f>IF(ISERR(FIND("DECOUPE",Tableau1[[#This Row],[DESIGNATION]])),"","NEED REF")</f>
        <v/>
      </c>
    </row>
    <row r="8236">
      <c r="B8236" t="n">
        <v>34405769</v>
      </c>
      <c r="C8236" s="2" t="n">
        <v>42768</v>
      </c>
      <c r="D8236" t="inlineStr">
        <is>
          <t>SPEC</t>
        </is>
      </c>
      <c r="E8236" t="inlineStr">
        <is>
          <t xml:space="preserve">Barre cuivre L </t>
        </is>
      </c>
      <c r="F8236" t="inlineStr">
        <is>
          <t>BBC Cabinet</t>
        </is>
      </c>
      <c r="J8236" t="inlineStr">
        <is>
          <t>DUBOIS</t>
        </is>
      </c>
      <c r="L8236">
        <f>_xlfn.XLOOKUP(Tableau1[[#This Row],[TYPE DE PIECE]],Tableau4[MATIERE],Tableau4[SHORT TYPE],"",0,1)</f>
        <v/>
      </c>
      <c r="N8236">
        <f>IF(ISERR(FIND("DECOUPE",Tableau1[[#This Row],[DESIGNATION]])),"","NEED REF")</f>
        <v/>
      </c>
    </row>
    <row r="8237">
      <c r="B8237" t="n">
        <v>34405768</v>
      </c>
      <c r="C8237" s="2" t="n">
        <v>42768</v>
      </c>
      <c r="D8237" t="inlineStr">
        <is>
          <t>SPEC</t>
        </is>
      </c>
      <c r="E8237" t="inlineStr">
        <is>
          <t>Barre cuivre verticale 262 x 120</t>
        </is>
      </c>
      <c r="F8237" t="inlineStr">
        <is>
          <t>BBC Cabinet</t>
        </is>
      </c>
      <c r="J8237" t="inlineStr">
        <is>
          <t>DUBOIS</t>
        </is>
      </c>
      <c r="L8237">
        <f>_xlfn.XLOOKUP(Tableau1[[#This Row],[TYPE DE PIECE]],Tableau4[MATIERE],Tableau4[SHORT TYPE],"",0,1)</f>
        <v/>
      </c>
      <c r="N8237">
        <f>IF(ISERR(FIND("DECOUPE",Tableau1[[#This Row],[DESIGNATION]])),"","NEED REF")</f>
        <v/>
      </c>
    </row>
    <row r="8238">
      <c r="B8238" t="n">
        <v>34405767</v>
      </c>
      <c r="C8238" s="2" t="n">
        <v>42768</v>
      </c>
      <c r="D8238" t="inlineStr">
        <is>
          <t>SPEC</t>
        </is>
      </c>
      <c r="E8238" t="inlineStr">
        <is>
          <t xml:space="preserve">Barre cuivre L </t>
        </is>
      </c>
      <c r="F8238" t="inlineStr">
        <is>
          <t>BBC Cabinet</t>
        </is>
      </c>
      <c r="J8238" t="inlineStr">
        <is>
          <t>DUBOIS</t>
        </is>
      </c>
      <c r="L8238">
        <f>_xlfn.XLOOKUP(Tableau1[[#This Row],[TYPE DE PIECE]],Tableau4[MATIERE],Tableau4[SHORT TYPE],"",0,1)</f>
        <v/>
      </c>
      <c r="N8238">
        <f>IF(ISERR(FIND("DECOUPE",Tableau1[[#This Row],[DESIGNATION]])),"","NEED REF")</f>
        <v/>
      </c>
    </row>
    <row r="8239">
      <c r="B8239" t="n">
        <v>34405766</v>
      </c>
      <c r="C8239" s="2" t="n">
        <v>42768</v>
      </c>
      <c r="D8239" t="inlineStr">
        <is>
          <t>SPEC</t>
        </is>
      </c>
      <c r="E8239" t="inlineStr">
        <is>
          <t xml:space="preserve">Barre cuivre L </t>
        </is>
      </c>
      <c r="F8239" t="inlineStr">
        <is>
          <t>BBC Cabinet</t>
        </is>
      </c>
      <c r="J8239" t="inlineStr">
        <is>
          <t>DUBOIS</t>
        </is>
      </c>
      <c r="L8239">
        <f>_xlfn.XLOOKUP(Tableau1[[#This Row],[TYPE DE PIECE]],Tableau4[MATIERE],Tableau4[SHORT TYPE],"",0,1)</f>
        <v/>
      </c>
      <c r="N8239">
        <f>IF(ISERR(FIND("DECOUPE",Tableau1[[#This Row],[DESIGNATION]])),"","NEED REF")</f>
        <v/>
      </c>
    </row>
    <row r="8240">
      <c r="B8240" t="n">
        <v>34405765</v>
      </c>
      <c r="C8240" s="2" t="n">
        <v>42768</v>
      </c>
      <c r="D8240" t="inlineStr">
        <is>
          <t>SPEC</t>
        </is>
      </c>
      <c r="E8240" t="inlineStr">
        <is>
          <t xml:space="preserve">Barre cuivre L </t>
        </is>
      </c>
      <c r="F8240" t="inlineStr">
        <is>
          <t>BBC Cabinet</t>
        </is>
      </c>
      <c r="J8240" t="inlineStr">
        <is>
          <t>DUBOIS</t>
        </is>
      </c>
      <c r="L8240">
        <f>_xlfn.XLOOKUP(Tableau1[[#This Row],[TYPE DE PIECE]],Tableau4[MATIERE],Tableau4[SHORT TYPE],"",0,1)</f>
        <v/>
      </c>
      <c r="N8240">
        <f>IF(ISERR(FIND("DECOUPE",Tableau1[[#This Row],[DESIGNATION]])),"","NEED REF")</f>
        <v/>
      </c>
    </row>
    <row r="8241">
      <c r="B8241" t="n">
        <v>34405764</v>
      </c>
      <c r="C8241" s="2" t="n">
        <v>42768</v>
      </c>
      <c r="D8241" t="inlineStr">
        <is>
          <t>SPEC</t>
        </is>
      </c>
      <c r="E8241" t="inlineStr">
        <is>
          <t xml:space="preserve">Barre cuivre L </t>
        </is>
      </c>
      <c r="F8241" t="inlineStr">
        <is>
          <t>BBC Cabinet</t>
        </is>
      </c>
      <c r="J8241" t="inlineStr">
        <is>
          <t>DUBOIS</t>
        </is>
      </c>
      <c r="L8241">
        <f>_xlfn.XLOOKUP(Tableau1[[#This Row],[TYPE DE PIECE]],Tableau4[MATIERE],Tableau4[SHORT TYPE],"",0,1)</f>
        <v/>
      </c>
      <c r="N8241">
        <f>IF(ISERR(FIND("DECOUPE",Tableau1[[#This Row],[DESIGNATION]])),"","NEED REF")</f>
        <v/>
      </c>
    </row>
    <row r="8242">
      <c r="B8242" t="n">
        <v>34405763</v>
      </c>
      <c r="C8242" s="2" t="n">
        <v>42768</v>
      </c>
      <c r="D8242" t="inlineStr">
        <is>
          <t>SPEC</t>
        </is>
      </c>
      <c r="E8242" t="inlineStr">
        <is>
          <t>Barre cuivre verticale 935 x 120</t>
        </is>
      </c>
      <c r="F8242" t="inlineStr">
        <is>
          <t>BBC Cabinet</t>
        </is>
      </c>
      <c r="J8242" t="inlineStr">
        <is>
          <t>DUBOIS</t>
        </is>
      </c>
      <c r="L8242">
        <f>_xlfn.XLOOKUP(Tableau1[[#This Row],[TYPE DE PIECE]],Tableau4[MATIERE],Tableau4[SHORT TYPE],"",0,1)</f>
        <v/>
      </c>
      <c r="N8242">
        <f>IF(ISERR(FIND("DECOUPE",Tableau1[[#This Row],[DESIGNATION]])),"","NEED REF")</f>
        <v/>
      </c>
    </row>
    <row r="8243">
      <c r="B8243" t="n">
        <v>34405762</v>
      </c>
      <c r="C8243" s="2" t="n">
        <v>42768</v>
      </c>
      <c r="D8243" t="inlineStr">
        <is>
          <t>SPEC</t>
        </is>
      </c>
      <c r="E8243" t="inlineStr">
        <is>
          <t xml:space="preserve">Barre cuivre L </t>
        </is>
      </c>
      <c r="F8243" t="inlineStr">
        <is>
          <t>BBC Cabinet</t>
        </is>
      </c>
      <c r="J8243" t="inlineStr">
        <is>
          <t>DUBOIS</t>
        </is>
      </c>
      <c r="L8243">
        <f>_xlfn.XLOOKUP(Tableau1[[#This Row],[TYPE DE PIECE]],Tableau4[MATIERE],Tableau4[SHORT TYPE],"",0,1)</f>
        <v/>
      </c>
      <c r="N8243">
        <f>IF(ISERR(FIND("DECOUPE",Tableau1[[#This Row],[DESIGNATION]])),"","NEED REF")</f>
        <v/>
      </c>
    </row>
    <row r="8244">
      <c r="B8244" t="n">
        <v>34405761</v>
      </c>
      <c r="C8244" s="2" t="n">
        <v>42768</v>
      </c>
      <c r="D8244" t="inlineStr">
        <is>
          <t>SPEC</t>
        </is>
      </c>
      <c r="E8244" t="inlineStr">
        <is>
          <t xml:space="preserve">Barre cuivre L </t>
        </is>
      </c>
      <c r="F8244" t="inlineStr">
        <is>
          <t>BBC Cabinet</t>
        </is>
      </c>
      <c r="J8244" t="inlineStr">
        <is>
          <t>DUBOIS</t>
        </is>
      </c>
      <c r="L8244">
        <f>_xlfn.XLOOKUP(Tableau1[[#This Row],[TYPE DE PIECE]],Tableau4[MATIERE],Tableau4[SHORT TYPE],"",0,1)</f>
        <v/>
      </c>
      <c r="N8244">
        <f>IF(ISERR(FIND("DECOUPE",Tableau1[[#This Row],[DESIGNATION]])),"","NEED REF")</f>
        <v/>
      </c>
    </row>
    <row r="8245">
      <c r="B8245" t="n">
        <v>34405760</v>
      </c>
      <c r="C8245" s="2" t="n">
        <v>42768</v>
      </c>
      <c r="D8245" t="inlineStr">
        <is>
          <t>SPEC</t>
        </is>
      </c>
      <c r="E8245" t="inlineStr">
        <is>
          <t>Barre cuivre 310 x 120</t>
        </is>
      </c>
      <c r="F8245" t="inlineStr">
        <is>
          <t>BBC Cabinet</t>
        </is>
      </c>
      <c r="J8245" t="inlineStr">
        <is>
          <t>DUBOIS</t>
        </is>
      </c>
      <c r="L8245">
        <f>_xlfn.XLOOKUP(Tableau1[[#This Row],[TYPE DE PIECE]],Tableau4[MATIERE],Tableau4[SHORT TYPE],"",0,1)</f>
        <v/>
      </c>
      <c r="N8245">
        <f>IF(ISERR(FIND("DECOUPE",Tableau1[[#This Row],[DESIGNATION]])),"","NEED REF")</f>
        <v/>
      </c>
    </row>
    <row r="8246">
      <c r="B8246" t="n">
        <v>34405759</v>
      </c>
      <c r="C8246" s="2" t="n">
        <v>42767</v>
      </c>
      <c r="D8246" t="inlineStr">
        <is>
          <t>SPEC</t>
        </is>
      </c>
      <c r="E8246" t="inlineStr">
        <is>
          <t xml:space="preserve">KIT CABLES 70² </t>
        </is>
      </c>
      <c r="F8246" t="inlineStr">
        <is>
          <t>TOUTES</t>
        </is>
      </c>
      <c r="J8246" t="inlineStr">
        <is>
          <t>ÇAKIR</t>
        </is>
      </c>
      <c r="L8246">
        <f>_xlfn.XLOOKUP(Tableau1[[#This Row],[TYPE DE PIECE]],Tableau4[MATIERE],Tableau4[SHORT TYPE],"",0,1)</f>
        <v/>
      </c>
      <c r="N8246">
        <f>IF(ISERR(FIND("DECOUPE",Tableau1[[#This Row],[DESIGNATION]])),"","NEED REF")</f>
        <v/>
      </c>
    </row>
    <row r="8247">
      <c r="B8247" t="n">
        <v>34405758</v>
      </c>
      <c r="C8247" s="2" t="n">
        <v>42759</v>
      </c>
      <c r="D8247" t="inlineStr">
        <is>
          <t>SPEC</t>
        </is>
      </c>
      <c r="E8247" t="inlineStr">
        <is>
          <t>SUPPORT ARRIERE JDB CLIENT</t>
        </is>
      </c>
      <c r="F8247" t="inlineStr">
        <is>
          <t>SOLAR</t>
        </is>
      </c>
      <c r="J8247" t="inlineStr">
        <is>
          <t>MASCELLINO</t>
        </is>
      </c>
      <c r="L8247">
        <f>_xlfn.XLOOKUP(Tableau1[[#This Row],[TYPE DE PIECE]],Tableau4[MATIERE],Tableau4[SHORT TYPE],"",0,1)</f>
        <v/>
      </c>
      <c r="N8247">
        <f>IF(ISERR(FIND("DECOUPE",Tableau1[[#This Row],[DESIGNATION]])),"","NEED REF")</f>
        <v/>
      </c>
    </row>
    <row r="8248">
      <c r="B8248" t="n">
        <v>34405757</v>
      </c>
      <c r="C8248" s="2" t="n">
        <v>42759</v>
      </c>
      <c r="D8248" t="inlineStr">
        <is>
          <t>SPEC</t>
        </is>
      </c>
      <c r="E8248" t="inlineStr">
        <is>
          <t>SUPPORT GAUCHE JDB CLIENT</t>
        </is>
      </c>
      <c r="F8248" t="inlineStr">
        <is>
          <t>SOLAR</t>
        </is>
      </c>
      <c r="J8248" t="inlineStr">
        <is>
          <t>MASCELLINO</t>
        </is>
      </c>
      <c r="L8248">
        <f>_xlfn.XLOOKUP(Tableau1[[#This Row],[TYPE DE PIECE]],Tableau4[MATIERE],Tableau4[SHORT TYPE],"",0,1)</f>
        <v/>
      </c>
      <c r="N8248">
        <f>IF(ISERR(FIND("DECOUPE",Tableau1[[#This Row],[DESIGNATION]])),"","NEED REF")</f>
        <v/>
      </c>
    </row>
    <row r="8249">
      <c r="B8249" t="n">
        <v>34405756</v>
      </c>
      <c r="C8249" s="2" t="n">
        <v>42759</v>
      </c>
      <c r="D8249" t="inlineStr">
        <is>
          <t>SPEC</t>
        </is>
      </c>
      <c r="E8249" t="inlineStr">
        <is>
          <t>SUPPORT DROIT JDB CLIENT</t>
        </is>
      </c>
      <c r="F8249" t="inlineStr">
        <is>
          <t>SOLAR</t>
        </is>
      </c>
      <c r="J8249" t="inlineStr">
        <is>
          <t>MASCELLINO</t>
        </is>
      </c>
      <c r="L8249">
        <f>_xlfn.XLOOKUP(Tableau1[[#This Row],[TYPE DE PIECE]],Tableau4[MATIERE],Tableau4[SHORT TYPE],"",0,1)</f>
        <v/>
      </c>
      <c r="N8249">
        <f>IF(ISERR(FIND("DECOUPE",Tableau1[[#This Row],[DESIGNATION]])),"","NEED REF")</f>
        <v/>
      </c>
    </row>
    <row r="8250">
      <c r="B8250" t="n">
        <v>34405755</v>
      </c>
      <c r="C8250" s="2" t="n">
        <v>42759</v>
      </c>
      <c r="D8250" t="inlineStr">
        <is>
          <t>SPEC</t>
        </is>
      </c>
      <c r="E8250" t="inlineStr">
        <is>
          <t>JDB CLIENT  BATT V2 MIXE</t>
        </is>
      </c>
      <c r="F8250" t="inlineStr">
        <is>
          <t>SOLAR</t>
        </is>
      </c>
      <c r="J8250" t="inlineStr">
        <is>
          <t>ÇAKIR</t>
        </is>
      </c>
      <c r="L8250">
        <f>_xlfn.XLOOKUP(Tableau1[[#This Row],[TYPE DE PIECE]],Tableau4[MATIERE],Tableau4[SHORT TYPE],"",0,1)</f>
        <v/>
      </c>
      <c r="N8250">
        <f>IF(ISERR(FIND("DECOUPE",Tableau1[[#This Row],[DESIGNATION]])),"","NEED REF")</f>
        <v/>
      </c>
    </row>
    <row r="8251">
      <c r="B8251" t="n">
        <v>34405754</v>
      </c>
      <c r="C8251" s="2" t="n">
        <v>42759</v>
      </c>
      <c r="D8251" t="inlineStr">
        <is>
          <t>SPEC</t>
        </is>
      </c>
      <c r="E8251" t="inlineStr">
        <is>
          <t>JDB CLIENT  BATT V2</t>
        </is>
      </c>
      <c r="F8251" t="inlineStr">
        <is>
          <t>SOLAR</t>
        </is>
      </c>
      <c r="J8251" t="inlineStr">
        <is>
          <t>ÇAKIR</t>
        </is>
      </c>
      <c r="L8251">
        <f>_xlfn.XLOOKUP(Tableau1[[#This Row],[TYPE DE PIECE]],Tableau4[MATIERE],Tableau4[SHORT TYPE],"",0,1)</f>
        <v/>
      </c>
      <c r="N8251">
        <f>IF(ISERR(FIND("DECOUPE",Tableau1[[#This Row],[DESIGNATION]])),"","NEED REF")</f>
        <v/>
      </c>
    </row>
    <row r="8252">
      <c r="B8252" t="n">
        <v>34405753</v>
      </c>
      <c r="C8252" s="2" t="n">
        <v>42755</v>
      </c>
      <c r="D8252" t="inlineStr">
        <is>
          <t>SPEC</t>
        </is>
      </c>
      <c r="E8252" t="inlineStr">
        <is>
          <t>CABLE PE</t>
        </is>
      </c>
      <c r="F8252" t="inlineStr">
        <is>
          <t>G7K NS2000 BNP MARNE</t>
        </is>
      </c>
      <c r="J8252" t="inlineStr">
        <is>
          <t>MATRION</t>
        </is>
      </c>
      <c r="L8252">
        <f>_xlfn.XLOOKUP(Tableau1[[#This Row],[TYPE DE PIECE]],Tableau4[MATIERE],Tableau4[SHORT TYPE],"",0,1)</f>
        <v/>
      </c>
      <c r="N8252">
        <f>IF(ISERR(FIND("DECOUPE",Tableau1[[#This Row],[DESIGNATION]])),"","NEED REF")</f>
        <v/>
      </c>
    </row>
    <row r="8253">
      <c r="B8253" t="n">
        <v>34405752</v>
      </c>
      <c r="C8253" s="2" t="n">
        <v>42755</v>
      </c>
      <c r="D8253" t="inlineStr">
        <is>
          <t>SPEC</t>
        </is>
      </c>
      <c r="E8253" t="inlineStr">
        <is>
          <t>CX PE TGAB ET CABLES</t>
        </is>
      </c>
      <c r="F8253" t="inlineStr">
        <is>
          <t>G7K NS2000 BNP MARNE</t>
        </is>
      </c>
      <c r="J8253" t="inlineStr">
        <is>
          <t>MATRION</t>
        </is>
      </c>
      <c r="L8253">
        <f>_xlfn.XLOOKUP(Tableau1[[#This Row],[TYPE DE PIECE]],Tableau4[MATIERE],Tableau4[SHORT TYPE],"",0,1)</f>
        <v/>
      </c>
      <c r="N8253">
        <f>IF(ISERR(FIND("DECOUPE",Tableau1[[#This Row],[DESIGNATION]])),"","NEED REF")</f>
        <v/>
      </c>
    </row>
    <row r="8254">
      <c r="B8254" t="n">
        <v>34405751</v>
      </c>
      <c r="C8254" s="2" t="n">
        <v>42755</v>
      </c>
      <c r="D8254" t="inlineStr">
        <is>
          <t>SPEC</t>
        </is>
      </c>
      <c r="E8254" t="inlineStr">
        <is>
          <t>PLATINE RC</t>
        </is>
      </c>
      <c r="F8254" t="inlineStr">
        <is>
          <t>G7K NS2000 BNP MARNE</t>
        </is>
      </c>
      <c r="J8254" t="inlineStr">
        <is>
          <t>MATRION</t>
        </is>
      </c>
      <c r="L8254">
        <f>_xlfn.XLOOKUP(Tableau1[[#This Row],[TYPE DE PIECE]],Tableau4[MATIERE],Tableau4[SHORT TYPE],"",0,1)</f>
        <v/>
      </c>
      <c r="N8254">
        <f>IF(ISERR(FIND("DECOUPE",Tableau1[[#This Row],[DESIGNATION]])),"","NEED REF")</f>
        <v/>
      </c>
    </row>
    <row r="8255">
      <c r="B8255" t="n">
        <v>34405750</v>
      </c>
      <c r="C8255" s="2" t="n">
        <v>42751</v>
      </c>
      <c r="D8255" t="inlineStr">
        <is>
          <t>SPEC</t>
        </is>
      </c>
      <c r="E8255" t="inlineStr">
        <is>
          <t>S/E REHAUSSE G7K 1000 H200</t>
        </is>
      </c>
      <c r="F8255" t="inlineStr">
        <is>
          <t>G7K NS2000 BNP MARNE</t>
        </is>
      </c>
      <c r="J8255" t="inlineStr">
        <is>
          <t>MATRION</t>
        </is>
      </c>
      <c r="L8255">
        <f>_xlfn.XLOOKUP(Tableau1[[#This Row],[TYPE DE PIECE]],Tableau4[MATIERE],Tableau4[SHORT TYPE],"",0,1)</f>
        <v/>
      </c>
      <c r="N8255">
        <f>IF(ISERR(FIND("DECOUPE",Tableau1[[#This Row],[DESIGNATION]])),"","NEED REF")</f>
        <v/>
      </c>
    </row>
    <row r="8256">
      <c r="B8256" t="n">
        <v>34405749</v>
      </c>
      <c r="C8256" s="2" t="n">
        <v>42753</v>
      </c>
      <c r="D8256" t="inlineStr">
        <is>
          <t>SPEC</t>
        </is>
      </c>
      <c r="E8256" t="inlineStr">
        <is>
          <t>CANON 45mm</t>
        </is>
      </c>
      <c r="F8256" t="inlineStr">
        <is>
          <t>G7K 400kVA Q8T</t>
        </is>
      </c>
      <c r="J8256" t="inlineStr">
        <is>
          <t>MATRION</t>
        </is>
      </c>
      <c r="L8256">
        <f>_xlfn.XLOOKUP(Tableau1[[#This Row],[TYPE DE PIECE]],Tableau4[MATIERE],Tableau4[SHORT TYPE],"",0,1)</f>
        <v/>
      </c>
      <c r="N8256">
        <f>IF(ISERR(FIND("DECOUPE",Tableau1[[#This Row],[DESIGNATION]])),"","NEED REF")</f>
        <v/>
      </c>
    </row>
    <row r="8257">
      <c r="B8257" t="n">
        <v>34405748</v>
      </c>
      <c r="C8257" s="2" t="n">
        <v>42751</v>
      </c>
      <c r="D8257" t="inlineStr">
        <is>
          <t>SPEC</t>
        </is>
      </c>
      <c r="E8257" t="inlineStr">
        <is>
          <t>FLEX Q5N-Q8T L1 AMONT</t>
        </is>
      </c>
      <c r="F8257" t="inlineStr">
        <is>
          <t>G7K 400kVA Q8T</t>
        </is>
      </c>
      <c r="J8257" t="inlineStr">
        <is>
          <t>MATRION</t>
        </is>
      </c>
      <c r="L8257">
        <f>_xlfn.XLOOKUP(Tableau1[[#This Row],[TYPE DE PIECE]],Tableau4[MATIERE],Tableau4[SHORT TYPE],"",0,1)</f>
        <v/>
      </c>
      <c r="N8257">
        <f>IF(ISERR(FIND("DECOUPE",Tableau1[[#This Row],[DESIGNATION]])),"","NEED REF")</f>
        <v/>
      </c>
    </row>
    <row r="8258">
      <c r="B8258" t="n">
        <v>34405747</v>
      </c>
      <c r="C8258" s="2" t="n">
        <v>42751</v>
      </c>
      <c r="D8258" t="inlineStr">
        <is>
          <t>SPEC</t>
        </is>
      </c>
      <c r="E8258" t="inlineStr">
        <is>
          <t>FLEX Q5N-Q8T N AMONT</t>
        </is>
      </c>
      <c r="F8258" t="inlineStr">
        <is>
          <t>G7K 400kVA Q8T</t>
        </is>
      </c>
      <c r="J8258" t="inlineStr">
        <is>
          <t>MATRION</t>
        </is>
      </c>
      <c r="L8258">
        <f>_xlfn.XLOOKUP(Tableau1[[#This Row],[TYPE DE PIECE]],Tableau4[MATIERE],Tableau4[SHORT TYPE],"",0,1)</f>
        <v/>
      </c>
      <c r="N8258">
        <f>IF(ISERR(FIND("DECOUPE",Tableau1[[#This Row],[DESIGNATION]])),"","NEED REF")</f>
        <v/>
      </c>
    </row>
    <row r="8259">
      <c r="B8259" t="n">
        <v>34405746</v>
      </c>
      <c r="C8259" s="2" t="n">
        <v>42751</v>
      </c>
      <c r="D8259" t="inlineStr">
        <is>
          <t>SPEC</t>
        </is>
      </c>
      <c r="E8259" t="inlineStr">
        <is>
          <t>FLEX Q5N-Q8T L1 AMONT</t>
        </is>
      </c>
      <c r="F8259" t="inlineStr">
        <is>
          <t>G7K 400kVA Q8T</t>
        </is>
      </c>
      <c r="J8259" t="inlineStr">
        <is>
          <t>MATRION</t>
        </is>
      </c>
      <c r="L8259">
        <f>_xlfn.XLOOKUP(Tableau1[[#This Row],[TYPE DE PIECE]],Tableau4[MATIERE],Tableau4[SHORT TYPE],"",0,1)</f>
        <v/>
      </c>
      <c r="N8259">
        <f>IF(ISERR(FIND("DECOUPE",Tableau1[[#This Row],[DESIGNATION]])),"","NEED REF")</f>
        <v/>
      </c>
    </row>
    <row r="8260">
      <c r="B8260" t="n">
        <v>34405745</v>
      </c>
      <c r="C8260" s="2" t="n">
        <v>42751</v>
      </c>
      <c r="D8260" t="inlineStr">
        <is>
          <t>SPEC</t>
        </is>
      </c>
      <c r="E8260" t="inlineStr">
        <is>
          <t>FLEX Q5N-Q8T L2 AMONT</t>
        </is>
      </c>
      <c r="F8260" t="inlineStr">
        <is>
          <t>G7K 400kVA Q8T</t>
        </is>
      </c>
      <c r="J8260" t="inlineStr">
        <is>
          <t>MATRION</t>
        </is>
      </c>
      <c r="L8260">
        <f>_xlfn.XLOOKUP(Tableau1[[#This Row],[TYPE DE PIECE]],Tableau4[MATIERE],Tableau4[SHORT TYPE],"",0,1)</f>
        <v/>
      </c>
      <c r="N8260">
        <f>IF(ISERR(FIND("DECOUPE",Tableau1[[#This Row],[DESIGNATION]])),"","NEED REF")</f>
        <v/>
      </c>
    </row>
    <row r="8261">
      <c r="B8261" t="n">
        <v>34405744</v>
      </c>
      <c r="C8261" s="2" t="n">
        <v>42751</v>
      </c>
      <c r="D8261" t="inlineStr">
        <is>
          <t>SPEC</t>
        </is>
      </c>
      <c r="E8261" t="inlineStr">
        <is>
          <t>FLEX Q5N-Q8T L3 AMONT</t>
        </is>
      </c>
      <c r="F8261" t="inlineStr">
        <is>
          <t>G7K 400kVA Q8T</t>
        </is>
      </c>
      <c r="J8261" t="inlineStr">
        <is>
          <t>MATRION</t>
        </is>
      </c>
      <c r="L8261">
        <f>_xlfn.XLOOKUP(Tableau1[[#This Row],[TYPE DE PIECE]],Tableau4[MATIERE],Tableau4[SHORT TYPE],"",0,1)</f>
        <v/>
      </c>
      <c r="N8261">
        <f>IF(ISERR(FIND("DECOUPE",Tableau1[[#This Row],[DESIGNATION]])),"","NEED REF")</f>
        <v/>
      </c>
    </row>
    <row r="8262">
      <c r="B8262" t="n">
        <v>34405743</v>
      </c>
      <c r="C8262" s="2" t="n">
        <v>42751</v>
      </c>
      <c r="D8262" t="inlineStr">
        <is>
          <t>SPEC</t>
        </is>
      </c>
      <c r="E8262" t="inlineStr">
        <is>
          <t>PROECTION FLEX</t>
        </is>
      </c>
      <c r="F8262" t="inlineStr">
        <is>
          <t>G7K 400kVA Q8T</t>
        </is>
      </c>
      <c r="J8262" t="inlineStr">
        <is>
          <t>MATRION</t>
        </is>
      </c>
      <c r="L8262">
        <f>_xlfn.XLOOKUP(Tableau1[[#This Row],[TYPE DE PIECE]],Tableau4[MATIERE],Tableau4[SHORT TYPE],"",0,1)</f>
        <v/>
      </c>
      <c r="N8262">
        <f>IF(ISERR(FIND("DECOUPE",Tableau1[[#This Row],[DESIGNATION]])),"","NEED REF")</f>
        <v/>
      </c>
    </row>
    <row r="8263">
      <c r="B8263" t="n">
        <v>34405742</v>
      </c>
      <c r="C8263" s="2" t="n">
        <v>42751</v>
      </c>
      <c r="D8263" t="inlineStr">
        <is>
          <t>SPEC</t>
        </is>
      </c>
      <c r="E8263" t="inlineStr">
        <is>
          <t>FLEX Q8T-Q5N N AVAL</t>
        </is>
      </c>
      <c r="F8263" t="inlineStr">
        <is>
          <t>G7K 400kVA Q8T</t>
        </is>
      </c>
      <c r="J8263" t="inlineStr">
        <is>
          <t>MATRION</t>
        </is>
      </c>
      <c r="L8263">
        <f>_xlfn.XLOOKUP(Tableau1[[#This Row],[TYPE DE PIECE]],Tableau4[MATIERE],Tableau4[SHORT TYPE],"",0,1)</f>
        <v/>
      </c>
      <c r="N8263">
        <f>IF(ISERR(FIND("DECOUPE",Tableau1[[#This Row],[DESIGNATION]])),"","NEED REF")</f>
        <v/>
      </c>
    </row>
    <row r="8264">
      <c r="B8264" t="n">
        <v>34405741</v>
      </c>
      <c r="C8264" s="2" t="n">
        <v>42751</v>
      </c>
      <c r="D8264" t="inlineStr">
        <is>
          <t>SPEC</t>
        </is>
      </c>
      <c r="E8264" t="inlineStr">
        <is>
          <t>S/E REHAUSSE G7K 1400 H200</t>
        </is>
      </c>
      <c r="F8264" t="inlineStr">
        <is>
          <t>G7K NS2000 BNP MARNE</t>
        </is>
      </c>
      <c r="J8264" t="inlineStr">
        <is>
          <t>MATRION</t>
        </is>
      </c>
      <c r="L8264">
        <f>_xlfn.XLOOKUP(Tableau1[[#This Row],[TYPE DE PIECE]],Tableau4[MATIERE],Tableau4[SHORT TYPE],"",0,1)</f>
        <v/>
      </c>
      <c r="N8264">
        <f>IF(ISERR(FIND("DECOUPE",Tableau1[[#This Row],[DESIGNATION]])),"","NEED REF")</f>
        <v/>
      </c>
    </row>
    <row r="8265">
      <c r="B8265" t="n">
        <v>34405740</v>
      </c>
      <c r="C8265" s="2" t="n">
        <v>42751</v>
      </c>
      <c r="D8265" t="inlineStr">
        <is>
          <t>SPEC</t>
        </is>
      </c>
      <c r="E8265" t="inlineStr">
        <is>
          <t>FLEX R1-Q8T L3</t>
        </is>
      </c>
      <c r="F8265" t="inlineStr">
        <is>
          <t>G7K 400kVA Q8T</t>
        </is>
      </c>
      <c r="J8265" t="inlineStr">
        <is>
          <t>MATRION</t>
        </is>
      </c>
      <c r="L8265">
        <f>_xlfn.XLOOKUP(Tableau1[[#This Row],[TYPE DE PIECE]],Tableau4[MATIERE],Tableau4[SHORT TYPE],"",0,1)</f>
        <v/>
      </c>
      <c r="N8265">
        <f>IF(ISERR(FIND("DECOUPE",Tableau1[[#This Row],[DESIGNATION]])),"","NEED REF")</f>
        <v/>
      </c>
    </row>
    <row r="8266">
      <c r="B8266" t="n">
        <v>34405739</v>
      </c>
      <c r="C8266" s="2" t="n">
        <v>42751</v>
      </c>
      <c r="D8266" t="inlineStr">
        <is>
          <t>SPEC</t>
        </is>
      </c>
      <c r="E8266" t="inlineStr">
        <is>
          <t>FLEX R1-Q8T L2</t>
        </is>
      </c>
      <c r="F8266" t="inlineStr">
        <is>
          <t>G7K 400kVA Q8T</t>
        </is>
      </c>
      <c r="J8266" t="inlineStr">
        <is>
          <t>MATRION</t>
        </is>
      </c>
      <c r="L8266">
        <f>_xlfn.XLOOKUP(Tableau1[[#This Row],[TYPE DE PIECE]],Tableau4[MATIERE],Tableau4[SHORT TYPE],"",0,1)</f>
        <v/>
      </c>
      <c r="N8266">
        <f>IF(ISERR(FIND("DECOUPE",Tableau1[[#This Row],[DESIGNATION]])),"","NEED REF")</f>
        <v/>
      </c>
    </row>
    <row r="8267">
      <c r="B8267" t="n">
        <v>34405738</v>
      </c>
      <c r="C8267" s="2" t="n">
        <v>42751</v>
      </c>
      <c r="D8267" t="inlineStr">
        <is>
          <t>SPEC</t>
        </is>
      </c>
      <c r="E8267" t="inlineStr">
        <is>
          <t>FLEX R1-Q8T L1</t>
        </is>
      </c>
      <c r="F8267" t="inlineStr">
        <is>
          <t>G7K 400kVA Q8T</t>
        </is>
      </c>
      <c r="J8267" t="inlineStr">
        <is>
          <t>MATRION</t>
        </is>
      </c>
      <c r="L8267">
        <f>_xlfn.XLOOKUP(Tableau1[[#This Row],[TYPE DE PIECE]],Tableau4[MATIERE],Tableau4[SHORT TYPE],"",0,1)</f>
        <v/>
      </c>
      <c r="N8267">
        <f>IF(ISERR(FIND("DECOUPE",Tableau1[[#This Row],[DESIGNATION]])),"","NEED REF")</f>
        <v/>
      </c>
    </row>
    <row r="8268">
      <c r="B8268" t="n">
        <v>34405737</v>
      </c>
      <c r="C8268" s="2" t="n">
        <v>42748</v>
      </c>
      <c r="D8268" t="inlineStr">
        <is>
          <t>SPEC</t>
        </is>
      </c>
      <c r="E8268" t="inlineStr">
        <is>
          <t>KIT CABLE PUISSANCE 3P+N + PE</t>
        </is>
      </c>
      <c r="F8268" t="inlineStr">
        <is>
          <t>PDPM</t>
        </is>
      </c>
      <c r="J8268" t="inlineStr">
        <is>
          <t>MATRION</t>
        </is>
      </c>
      <c r="L8268">
        <f>_xlfn.XLOOKUP(Tableau1[[#This Row],[TYPE DE PIECE]],Tableau4[MATIERE],Tableau4[SHORT TYPE],"",0,1)</f>
        <v/>
      </c>
      <c r="N8268">
        <f>IF(ISERR(FIND("DECOUPE",Tableau1[[#This Row],[DESIGNATION]])),"","NEED REF")</f>
        <v/>
      </c>
    </row>
    <row r="8269">
      <c r="B8269" t="n">
        <v>34405736</v>
      </c>
      <c r="C8269" s="2" t="n">
        <v>42726</v>
      </c>
      <c r="D8269" t="inlineStr">
        <is>
          <t>SPEC</t>
        </is>
      </c>
      <c r="E8269" t="inlineStr">
        <is>
          <t>CX PE-PEN TGAB</t>
        </is>
      </c>
      <c r="F8269" t="inlineStr">
        <is>
          <t>G7K NS2000 BNP MARNE</t>
        </is>
      </c>
      <c r="J8269" t="inlineStr">
        <is>
          <t>MATRION</t>
        </is>
      </c>
      <c r="L8269">
        <f>_xlfn.XLOOKUP(Tableau1[[#This Row],[TYPE DE PIECE]],Tableau4[MATIERE],Tableau4[SHORT TYPE],"",0,1)</f>
        <v/>
      </c>
      <c r="N8269">
        <f>IF(ISERR(FIND("DECOUPE",Tableau1[[#This Row],[DESIGNATION]])),"","NEED REF")</f>
        <v/>
      </c>
    </row>
    <row r="8270">
      <c r="B8270" t="n">
        <v>34405735</v>
      </c>
      <c r="C8270" s="2" t="n">
        <v>42726</v>
      </c>
      <c r="D8270" t="inlineStr">
        <is>
          <t>SPEC</t>
        </is>
      </c>
      <c r="E8270" t="inlineStr">
        <is>
          <t>CX PEN TGAB 4 R2-UTIL</t>
        </is>
      </c>
      <c r="F8270" t="inlineStr">
        <is>
          <t>G7K NS2000 BNP MARNE</t>
        </is>
      </c>
      <c r="J8270" t="inlineStr">
        <is>
          <t>MATRION</t>
        </is>
      </c>
      <c r="L8270">
        <f>_xlfn.XLOOKUP(Tableau1[[#This Row],[TYPE DE PIECE]],Tableau4[MATIERE],Tableau4[SHORT TYPE],"",0,1)</f>
        <v/>
      </c>
      <c r="N8270">
        <f>IF(ISERR(FIND("DECOUPE",Tableau1[[#This Row],[DESIGNATION]])),"","NEED REF")</f>
        <v/>
      </c>
    </row>
    <row r="8271">
      <c r="B8271" t="n">
        <v>34405734</v>
      </c>
      <c r="C8271" s="2" t="n">
        <v>42726</v>
      </c>
      <c r="D8271" t="inlineStr">
        <is>
          <t>SPEC</t>
        </is>
      </c>
      <c r="E8271" t="inlineStr">
        <is>
          <t>CX PEN TGAB 3 R2-UTIL</t>
        </is>
      </c>
      <c r="F8271" t="inlineStr">
        <is>
          <t>G7K NS2000 BNP MARNE</t>
        </is>
      </c>
      <c r="J8271" t="inlineStr">
        <is>
          <t>MATRION</t>
        </is>
      </c>
      <c r="L8271">
        <f>_xlfn.XLOOKUP(Tableau1[[#This Row],[TYPE DE PIECE]],Tableau4[MATIERE],Tableau4[SHORT TYPE],"",0,1)</f>
        <v/>
      </c>
      <c r="N8271">
        <f>IF(ISERR(FIND("DECOUPE",Tableau1[[#This Row],[DESIGNATION]])),"","NEED REF")</f>
        <v/>
      </c>
    </row>
    <row r="8272">
      <c r="B8272" t="n">
        <v>34405733</v>
      </c>
      <c r="C8272" s="2" t="n">
        <v>42731</v>
      </c>
      <c r="D8272" t="inlineStr">
        <is>
          <t>SPEC</t>
        </is>
      </c>
      <c r="E8272" t="inlineStr">
        <is>
          <t>Plastron haut et bas BBC</t>
        </is>
      </c>
      <c r="F8272" t="inlineStr">
        <is>
          <t>BBC Cabinet</t>
        </is>
      </c>
      <c r="J8272" t="inlineStr">
        <is>
          <t>DUBOIS</t>
        </is>
      </c>
      <c r="L8272">
        <f>_xlfn.XLOOKUP(Tableau1[[#This Row],[TYPE DE PIECE]],Tableau4[MATIERE],Tableau4[SHORT TYPE],"",0,1)</f>
        <v/>
      </c>
      <c r="N8272">
        <f>IF(ISERR(FIND("DECOUPE",Tableau1[[#This Row],[DESIGNATION]])),"","NEED REF")</f>
        <v/>
      </c>
    </row>
    <row r="8273">
      <c r="B8273" t="n">
        <v>34405732</v>
      </c>
      <c r="C8273" s="2" t="n">
        <v>42731</v>
      </c>
      <c r="D8273" t="inlineStr">
        <is>
          <t>SPEC</t>
        </is>
      </c>
      <c r="E8273" t="inlineStr">
        <is>
          <t>Plastron milieu BBC</t>
        </is>
      </c>
      <c r="F8273" t="inlineStr">
        <is>
          <t>BBC Cabinet</t>
        </is>
      </c>
      <c r="J8273" t="inlineStr">
        <is>
          <t>DUBOIS</t>
        </is>
      </c>
      <c r="L8273">
        <f>_xlfn.XLOOKUP(Tableau1[[#This Row],[TYPE DE PIECE]],Tableau4[MATIERE],Tableau4[SHORT TYPE],"",0,1)</f>
        <v/>
      </c>
      <c r="N8273">
        <f>IF(ISERR(FIND("DECOUPE",Tableau1[[#This Row],[DESIGNATION]])),"","NEED REF")</f>
        <v/>
      </c>
    </row>
    <row r="8274">
      <c r="B8274" t="n">
        <v>34405731</v>
      </c>
      <c r="C8274" s="2" t="n">
        <v>42731</v>
      </c>
      <c r="D8274" t="inlineStr">
        <is>
          <t>SPEC</t>
        </is>
      </c>
      <c r="E8274" t="inlineStr">
        <is>
          <t xml:space="preserve">PROTECTION BATTERIE IP20 </t>
        </is>
      </c>
      <c r="F8274" t="inlineStr">
        <is>
          <t>TOUTES</t>
        </is>
      </c>
      <c r="J8274" t="inlineStr">
        <is>
          <t>ÇAKIR</t>
        </is>
      </c>
      <c r="L8274">
        <f>_xlfn.XLOOKUP(Tableau1[[#This Row],[TYPE DE PIECE]],Tableau4[MATIERE],Tableau4[SHORT TYPE],"",0,1)</f>
        <v/>
      </c>
      <c r="N8274">
        <f>IF(ISERR(FIND("DECOUPE",Tableau1[[#This Row],[DESIGNATION]])),"","NEED REF")</f>
        <v/>
      </c>
    </row>
    <row r="8275">
      <c r="B8275" t="n">
        <v>34405730</v>
      </c>
      <c r="C8275" s="2" t="n">
        <v>42731</v>
      </c>
      <c r="D8275" t="inlineStr">
        <is>
          <t>SPEC</t>
        </is>
      </c>
      <c r="E8275" t="inlineStr">
        <is>
          <t>PROTECTION BATTERIE IP20 HAUT</t>
        </is>
      </c>
      <c r="F8275" t="inlineStr">
        <is>
          <t>TOUTES</t>
        </is>
      </c>
      <c r="J8275" t="inlineStr">
        <is>
          <t>ÇAKIR</t>
        </is>
      </c>
      <c r="L8275">
        <f>_xlfn.XLOOKUP(Tableau1[[#This Row],[TYPE DE PIECE]],Tableau4[MATIERE],Tableau4[SHORT TYPE],"",0,1)</f>
        <v/>
      </c>
      <c r="N8275">
        <f>IF(ISERR(FIND("DECOUPE",Tableau1[[#This Row],[DESIGNATION]])),"","NEED REF")</f>
        <v/>
      </c>
    </row>
    <row r="8276">
      <c r="B8276" t="n">
        <v>34405729</v>
      </c>
      <c r="C8276" s="2" t="n">
        <v>42731</v>
      </c>
      <c r="D8276" t="inlineStr">
        <is>
          <t>SPEC</t>
        </is>
      </c>
      <c r="E8276" t="inlineStr">
        <is>
          <t>KIT CABLES BATTERIE ASI ARM BAT 16mm²</t>
        </is>
      </c>
      <c r="F8276" t="inlineStr">
        <is>
          <t>TOUTES</t>
        </is>
      </c>
      <c r="J8276" t="inlineStr">
        <is>
          <t>ÇAKIR</t>
        </is>
      </c>
      <c r="L8276">
        <f>_xlfn.XLOOKUP(Tableau1[[#This Row],[TYPE DE PIECE]],Tableau4[MATIERE],Tableau4[SHORT TYPE],"",0,1)</f>
        <v/>
      </c>
      <c r="N8276">
        <f>IF(ISERR(FIND("DECOUPE",Tableau1[[#This Row],[DESIGNATION]])),"","NEED REF")</f>
        <v/>
      </c>
    </row>
    <row r="8277">
      <c r="B8277" t="n">
        <v>34405728</v>
      </c>
      <c r="C8277" s="2" t="n">
        <v>42731</v>
      </c>
      <c r="D8277" t="inlineStr">
        <is>
          <t>SPEC</t>
        </is>
      </c>
      <c r="E8277" t="inlineStr">
        <is>
          <t>KIT CABLES PUISSANCE ASI TFO 16mm²</t>
        </is>
      </c>
      <c r="F8277" t="inlineStr">
        <is>
          <t>TOUTES</t>
        </is>
      </c>
      <c r="J8277" t="inlineStr">
        <is>
          <t>ÇAKIR</t>
        </is>
      </c>
      <c r="L8277">
        <f>_xlfn.XLOOKUP(Tableau1[[#This Row],[TYPE DE PIECE]],Tableau4[MATIERE],Tableau4[SHORT TYPE],"",0,1)</f>
        <v/>
      </c>
      <c r="N8277">
        <f>IF(ISERR(FIND("DECOUPE",Tableau1[[#This Row],[DESIGNATION]])),"","NEED REF")</f>
        <v/>
      </c>
    </row>
    <row r="8278">
      <c r="B8278" t="n">
        <v>34405727</v>
      </c>
      <c r="C8278" s="2" t="n">
        <v>42726</v>
      </c>
      <c r="D8278" t="inlineStr">
        <is>
          <t>SPEC</t>
        </is>
      </c>
      <c r="E8278" t="inlineStr">
        <is>
          <t>PLASTRON HAUT BACKFEED</t>
        </is>
      </c>
      <c r="F8278" t="inlineStr">
        <is>
          <t>G7K NS2000 BNP MARNE</t>
        </is>
      </c>
      <c r="J8278" t="inlineStr">
        <is>
          <t>MATRION</t>
        </is>
      </c>
      <c r="L8278">
        <f>_xlfn.XLOOKUP(Tableau1[[#This Row],[TYPE DE PIECE]],Tableau4[MATIERE],Tableau4[SHORT TYPE],"",0,1)</f>
        <v/>
      </c>
      <c r="N8278">
        <f>IF(ISERR(FIND("DECOUPE",Tableau1[[#This Row],[DESIGNATION]])),"","NEED REF")</f>
        <v/>
      </c>
    </row>
    <row r="8279">
      <c r="B8279" t="n">
        <v>34405726</v>
      </c>
      <c r="C8279" s="2" t="n">
        <v>42726</v>
      </c>
      <c r="D8279" t="inlineStr">
        <is>
          <t>SPEC</t>
        </is>
      </c>
      <c r="E8279" t="inlineStr">
        <is>
          <t>PLASTRON BAS 4</t>
        </is>
      </c>
      <c r="F8279" t="inlineStr">
        <is>
          <t>G7K NS2000 BNP MARNE</t>
        </is>
      </c>
      <c r="J8279" t="inlineStr">
        <is>
          <t>MATRION</t>
        </is>
      </c>
      <c r="L8279">
        <f>_xlfn.XLOOKUP(Tableau1[[#This Row],[TYPE DE PIECE]],Tableau4[MATIERE],Tableau4[SHORT TYPE],"",0,1)</f>
        <v/>
      </c>
      <c r="N8279">
        <f>IF(ISERR(FIND("DECOUPE",Tableau1[[#This Row],[DESIGNATION]])),"","NEED REF")</f>
        <v/>
      </c>
    </row>
    <row r="8280">
      <c r="B8280" t="n">
        <v>34405725</v>
      </c>
      <c r="C8280" s="2" t="n">
        <v>42726</v>
      </c>
      <c r="D8280" t="inlineStr">
        <is>
          <t>SPEC</t>
        </is>
      </c>
      <c r="E8280" t="inlineStr">
        <is>
          <t>PLASTRON BAS 3</t>
        </is>
      </c>
      <c r="F8280" t="inlineStr">
        <is>
          <t>G7K NS2000 BNP MARNE</t>
        </is>
      </c>
      <c r="J8280" t="inlineStr">
        <is>
          <t>MATRION</t>
        </is>
      </c>
      <c r="L8280">
        <f>_xlfn.XLOOKUP(Tableau1[[#This Row],[TYPE DE PIECE]],Tableau4[MATIERE],Tableau4[SHORT TYPE],"",0,1)</f>
        <v/>
      </c>
      <c r="N8280">
        <f>IF(ISERR(FIND("DECOUPE",Tableau1[[#This Row],[DESIGNATION]])),"","NEED REF")</f>
        <v/>
      </c>
    </row>
    <row r="8281">
      <c r="B8281" t="n">
        <v>34405724</v>
      </c>
      <c r="C8281" s="2" t="n">
        <v>42726</v>
      </c>
      <c r="D8281" t="inlineStr">
        <is>
          <t>OLD</t>
        </is>
      </c>
      <c r="E8281" t="inlineStr">
        <is>
          <t>PLASTRON BAS 2</t>
        </is>
      </c>
      <c r="F8281" t="inlineStr">
        <is>
          <t>G7K NS2000 BNP MARNE</t>
        </is>
      </c>
      <c r="J8281" t="inlineStr">
        <is>
          <t>MATRION</t>
        </is>
      </c>
      <c r="L8281">
        <f>_xlfn.XLOOKUP(Tableau1[[#This Row],[TYPE DE PIECE]],Tableau4[MATIERE],Tableau4[SHORT TYPE],"",0,1)</f>
        <v/>
      </c>
      <c r="N8281">
        <f>IF(ISERR(FIND("DECOUPE",Tableau1[[#This Row],[DESIGNATION]])),"","NEED REF")</f>
        <v/>
      </c>
    </row>
    <row r="8282">
      <c r="B8282" t="n">
        <v>34405723</v>
      </c>
      <c r="C8282" s="2" t="n">
        <v>42726</v>
      </c>
      <c r="D8282" t="inlineStr">
        <is>
          <t>OLD</t>
        </is>
      </c>
      <c r="E8282" t="inlineStr">
        <is>
          <t>PLASTRON BAS 1</t>
        </is>
      </c>
      <c r="F8282" t="inlineStr">
        <is>
          <t>G7K NS2000 BNP MARNE</t>
        </is>
      </c>
      <c r="J8282" t="inlineStr">
        <is>
          <t>MATRION</t>
        </is>
      </c>
      <c r="L8282">
        <f>_xlfn.XLOOKUP(Tableau1[[#This Row],[TYPE DE PIECE]],Tableau4[MATIERE],Tableau4[SHORT TYPE],"",0,1)</f>
        <v/>
      </c>
      <c r="N8282">
        <f>IF(ISERR(FIND("DECOUPE",Tableau1[[#This Row],[DESIGNATION]])),"","NEED REF")</f>
        <v/>
      </c>
    </row>
    <row r="8283">
      <c r="B8283" t="n">
        <v>34405722</v>
      </c>
      <c r="C8283" s="2" t="n">
        <v>42726</v>
      </c>
      <c r="D8283" t="inlineStr">
        <is>
          <t>SPEC</t>
        </is>
      </c>
      <c r="E8283" t="inlineStr">
        <is>
          <t>PLASTRON BAS 5</t>
        </is>
      </c>
      <c r="F8283" t="inlineStr">
        <is>
          <t>G7K NS2000 BNP MARNE</t>
        </is>
      </c>
      <c r="J8283" t="inlineStr">
        <is>
          <t>MATRION</t>
        </is>
      </c>
      <c r="L8283">
        <f>_xlfn.XLOOKUP(Tableau1[[#This Row],[TYPE DE PIECE]],Tableau4[MATIERE],Tableau4[SHORT TYPE],"",0,1)</f>
        <v/>
      </c>
      <c r="N8283">
        <f>IF(ISERR(FIND("DECOUPE",Tableau1[[#This Row],[DESIGNATION]])),"","NEED REF")</f>
        <v/>
      </c>
    </row>
    <row r="8284">
      <c r="B8284" t="n">
        <v>34405721</v>
      </c>
      <c r="C8284" s="2" t="n">
        <v>42726</v>
      </c>
      <c r="D8284" t="inlineStr">
        <is>
          <t>SPEC</t>
        </is>
      </c>
      <c r="E8284" t="inlineStr">
        <is>
          <t>CX PEN TGAB 2 R2-UTIL</t>
        </is>
      </c>
      <c r="F8284" t="inlineStr">
        <is>
          <t>G7K NS2000 BNP MARNE</t>
        </is>
      </c>
      <c r="J8284" t="inlineStr">
        <is>
          <t>MATRION</t>
        </is>
      </c>
      <c r="L8284">
        <f>_xlfn.XLOOKUP(Tableau1[[#This Row],[TYPE DE PIECE]],Tableau4[MATIERE],Tableau4[SHORT TYPE],"",0,1)</f>
        <v/>
      </c>
      <c r="N8284">
        <f>IF(ISERR(FIND("DECOUPE",Tableau1[[#This Row],[DESIGNATION]])),"","NEED REF")</f>
        <v/>
      </c>
    </row>
    <row r="8285">
      <c r="B8285" t="n">
        <v>34405720</v>
      </c>
      <c r="C8285" s="2" t="n">
        <v>42726</v>
      </c>
      <c r="D8285" t="inlineStr">
        <is>
          <t>SPEC</t>
        </is>
      </c>
      <c r="E8285" t="inlineStr">
        <is>
          <t>CX PEN TGAB 1 R2-UTIL</t>
        </is>
      </c>
      <c r="F8285" t="inlineStr">
        <is>
          <t>G7K NS2000 BNP MARNE</t>
        </is>
      </c>
      <c r="J8285" t="inlineStr">
        <is>
          <t>MATRION</t>
        </is>
      </c>
      <c r="L8285">
        <f>_xlfn.XLOOKUP(Tableau1[[#This Row],[TYPE DE PIECE]],Tableau4[MATIERE],Tableau4[SHORT TYPE],"",0,1)</f>
        <v/>
      </c>
      <c r="N8285">
        <f>IF(ISERR(FIND("DECOUPE",Tableau1[[#This Row],[DESIGNATION]])),"","NEED REF")</f>
        <v/>
      </c>
    </row>
    <row r="8286">
      <c r="B8286" t="n">
        <v>34405719</v>
      </c>
      <c r="C8286" s="2" t="n">
        <v>42726</v>
      </c>
      <c r="D8286" t="inlineStr">
        <is>
          <t>SPEC</t>
        </is>
      </c>
      <c r="E8286" t="inlineStr">
        <is>
          <t>SUPPORT JDB ECLISSAGE HAUT</t>
        </is>
      </c>
      <c r="F8286" t="inlineStr">
        <is>
          <t>G7K NS2000 BNP MARNE</t>
        </is>
      </c>
      <c r="J8286" t="inlineStr">
        <is>
          <t>MATRION</t>
        </is>
      </c>
      <c r="L8286">
        <f>_xlfn.XLOOKUP(Tableau1[[#This Row],[TYPE DE PIECE]],Tableau4[MATIERE],Tableau4[SHORT TYPE],"",0,1)</f>
        <v/>
      </c>
      <c r="N8286">
        <f>IF(ISERR(FIND("DECOUPE",Tableau1[[#This Row],[DESIGNATION]])),"","NEED REF")</f>
        <v/>
      </c>
    </row>
    <row r="8287">
      <c r="B8287" t="n">
        <v>34405718</v>
      </c>
      <c r="C8287" s="2" t="n">
        <v>42726</v>
      </c>
      <c r="D8287" t="inlineStr">
        <is>
          <t>SPEC</t>
        </is>
      </c>
      <c r="E8287" t="inlineStr">
        <is>
          <t>MONTANT INS BYPASS DROIT</t>
        </is>
      </c>
      <c r="F8287" t="inlineStr">
        <is>
          <t>G7K NS2000 BNP MARNE</t>
        </is>
      </c>
      <c r="J8287" t="inlineStr">
        <is>
          <t>MATRION</t>
        </is>
      </c>
      <c r="L8287">
        <f>_xlfn.XLOOKUP(Tableau1[[#This Row],[TYPE DE PIECE]],Tableau4[MATIERE],Tableau4[SHORT TYPE],"",0,1)</f>
        <v/>
      </c>
      <c r="N8287">
        <f>IF(ISERR(FIND("DECOUPE",Tableau1[[#This Row],[DESIGNATION]])),"","NEED REF")</f>
        <v/>
      </c>
    </row>
    <row r="8288">
      <c r="B8288" t="n">
        <v>34405717</v>
      </c>
      <c r="C8288" s="2" t="n">
        <v>42726</v>
      </c>
      <c r="D8288" t="inlineStr">
        <is>
          <t>SPEC</t>
        </is>
      </c>
      <c r="E8288" t="inlineStr">
        <is>
          <t>MONTANT INS BYPASS GAUCHE</t>
        </is>
      </c>
      <c r="F8288" t="inlineStr">
        <is>
          <t>G7K NS2000 BNP MARNE</t>
        </is>
      </c>
      <c r="J8288" t="inlineStr">
        <is>
          <t>MATRION</t>
        </is>
      </c>
      <c r="L8288">
        <f>_xlfn.XLOOKUP(Tableau1[[#This Row],[TYPE DE PIECE]],Tableau4[MATIERE],Tableau4[SHORT TYPE],"",0,1)</f>
        <v/>
      </c>
      <c r="N8288">
        <f>IF(ISERR(FIND("DECOUPE",Tableau1[[#This Row],[DESIGNATION]])),"","NEED REF")</f>
        <v/>
      </c>
    </row>
    <row r="8289">
      <c r="B8289" t="n">
        <v>34405716</v>
      </c>
      <c r="C8289" s="2" t="n">
        <v>42726</v>
      </c>
      <c r="D8289" t="inlineStr">
        <is>
          <t>SPEC</t>
        </is>
      </c>
      <c r="E8289" t="inlineStr">
        <is>
          <t>SUPPORT BACKFEED DROIT</t>
        </is>
      </c>
      <c r="F8289" t="inlineStr">
        <is>
          <t>G7K NS2000 BNP MARNE</t>
        </is>
      </c>
      <c r="J8289" t="inlineStr">
        <is>
          <t>MATRION</t>
        </is>
      </c>
      <c r="L8289">
        <f>_xlfn.XLOOKUP(Tableau1[[#This Row],[TYPE DE PIECE]],Tableau4[MATIERE],Tableau4[SHORT TYPE],"",0,1)</f>
        <v/>
      </c>
      <c r="N8289">
        <f>IF(ISERR(FIND("DECOUPE",Tableau1[[#This Row],[DESIGNATION]])),"","NEED REF")</f>
        <v/>
      </c>
    </row>
    <row r="8290">
      <c r="B8290" t="n">
        <v>34405715</v>
      </c>
      <c r="C8290" s="2" t="n">
        <v>42726</v>
      </c>
      <c r="D8290" t="inlineStr">
        <is>
          <t>SPEC</t>
        </is>
      </c>
      <c r="E8290" t="inlineStr">
        <is>
          <t>SUPPORT BACKFEED GAUCHE 2</t>
        </is>
      </c>
      <c r="F8290" t="inlineStr">
        <is>
          <t>G7K NS2000 BNP MARNE</t>
        </is>
      </c>
      <c r="J8290" t="inlineStr">
        <is>
          <t>MATRION</t>
        </is>
      </c>
      <c r="L8290">
        <f>_xlfn.XLOOKUP(Tableau1[[#This Row],[TYPE DE PIECE]],Tableau4[MATIERE],Tableau4[SHORT TYPE],"",0,1)</f>
        <v/>
      </c>
      <c r="N8290">
        <f>IF(ISERR(FIND("DECOUPE",Tableau1[[#This Row],[DESIGNATION]])),"","NEED REF")</f>
        <v/>
      </c>
    </row>
    <row r="8291">
      <c r="B8291" t="n">
        <v>34405714</v>
      </c>
      <c r="C8291" s="2" t="n">
        <v>42726</v>
      </c>
      <c r="D8291" t="inlineStr">
        <is>
          <t>SPEC</t>
        </is>
      </c>
      <c r="E8291" t="inlineStr">
        <is>
          <t>CALE JDB TGAB 5MM</t>
        </is>
      </c>
      <c r="F8291" t="inlineStr">
        <is>
          <t>G7K NS2000 BNP MARNE</t>
        </is>
      </c>
      <c r="J8291" t="inlineStr">
        <is>
          <t>MATRION</t>
        </is>
      </c>
      <c r="L8291">
        <f>_xlfn.XLOOKUP(Tableau1[[#This Row],[TYPE DE PIECE]],Tableau4[MATIERE],Tableau4[SHORT TYPE],"",0,1)</f>
        <v/>
      </c>
      <c r="N8291">
        <f>IF(ISERR(FIND("DECOUPE",Tableau1[[#This Row],[DESIGNATION]])),"","NEED REF")</f>
        <v/>
      </c>
    </row>
    <row r="8292">
      <c r="B8292" t="n">
        <v>34405713</v>
      </c>
      <c r="C8292" s="2" t="n">
        <v>42726</v>
      </c>
      <c r="D8292" t="inlineStr">
        <is>
          <t>SPEC</t>
        </is>
      </c>
      <c r="E8292" t="inlineStr">
        <is>
          <t>SUPPORT BACKFEED GAUCHE 1</t>
        </is>
      </c>
      <c r="F8292" t="inlineStr">
        <is>
          <t>G7K NS2000 BNP MARNE</t>
        </is>
      </c>
      <c r="J8292" t="inlineStr">
        <is>
          <t>MATRION</t>
        </is>
      </c>
      <c r="L8292">
        <f>_xlfn.XLOOKUP(Tableau1[[#This Row],[TYPE DE PIECE]],Tableau4[MATIERE],Tableau4[SHORT TYPE],"",0,1)</f>
        <v/>
      </c>
      <c r="N8292">
        <f>IF(ISERR(FIND("DECOUPE",Tableau1[[#This Row],[DESIGNATION]])),"","NEED REF")</f>
        <v/>
      </c>
    </row>
    <row r="8293">
      <c r="B8293" t="n">
        <v>34405712</v>
      </c>
      <c r="C8293" s="2" t="n">
        <v>42726</v>
      </c>
      <c r="D8293" t="inlineStr">
        <is>
          <t>SPEC</t>
        </is>
      </c>
      <c r="E8293" t="inlineStr">
        <is>
          <t>SUPPORT BACKFEED FRONTAL</t>
        </is>
      </c>
      <c r="F8293" t="inlineStr">
        <is>
          <t>G7K NS2000 BNP MARNE</t>
        </is>
      </c>
      <c r="J8293" t="inlineStr">
        <is>
          <t>MATRION</t>
        </is>
      </c>
      <c r="L8293">
        <f>_xlfn.XLOOKUP(Tableau1[[#This Row],[TYPE DE PIECE]],Tableau4[MATIERE],Tableau4[SHORT TYPE],"",0,1)</f>
        <v/>
      </c>
      <c r="N8293">
        <f>IF(ISERR(FIND("DECOUPE",Tableau1[[#This Row],[DESIGNATION]])),"","NEED REF")</f>
        <v/>
      </c>
    </row>
    <row r="8294">
      <c r="B8294" t="n">
        <v>34405711</v>
      </c>
      <c r="C8294" s="2" t="n">
        <v>42726</v>
      </c>
      <c r="D8294" t="inlineStr">
        <is>
          <t>SPEC</t>
        </is>
      </c>
      <c r="E8294" t="inlineStr">
        <is>
          <t>PLASTRON 3 DROIT</t>
        </is>
      </c>
      <c r="F8294" t="inlineStr">
        <is>
          <t>G7K NS2000 BNP MARNE</t>
        </is>
      </c>
      <c r="J8294" t="inlineStr">
        <is>
          <t>MATRION</t>
        </is>
      </c>
      <c r="L8294">
        <f>_xlfn.XLOOKUP(Tableau1[[#This Row],[TYPE DE PIECE]],Tableau4[MATIERE],Tableau4[SHORT TYPE],"",0,1)</f>
        <v/>
      </c>
      <c r="N8294">
        <f>IF(ISERR(FIND("DECOUPE",Tableau1[[#This Row],[DESIGNATION]])),"","NEED REF")</f>
        <v/>
      </c>
    </row>
    <row r="8295">
      <c r="B8295" t="n">
        <v>34405710</v>
      </c>
      <c r="C8295" s="2" t="n">
        <v>42726</v>
      </c>
      <c r="D8295" t="inlineStr">
        <is>
          <t>SPEC</t>
        </is>
      </c>
      <c r="E8295" t="inlineStr">
        <is>
          <t>PLASTRON 3 GAUCHE</t>
        </is>
      </c>
      <c r="F8295" t="inlineStr">
        <is>
          <t>G7K NS2000 BNP MARNE</t>
        </is>
      </c>
      <c r="J8295" t="inlineStr">
        <is>
          <t>MATRION</t>
        </is>
      </c>
      <c r="L8295">
        <f>_xlfn.XLOOKUP(Tableau1[[#This Row],[TYPE DE PIECE]],Tableau4[MATIERE],Tableau4[SHORT TYPE],"",0,1)</f>
        <v/>
      </c>
      <c r="N8295">
        <f>IF(ISERR(FIND("DECOUPE",Tableau1[[#This Row],[DESIGNATION]])),"","NEED REF")</f>
        <v/>
      </c>
    </row>
    <row r="8296">
      <c r="B8296" t="n">
        <v>34405709</v>
      </c>
      <c r="C8296" s="2" t="n">
        <v>42726</v>
      </c>
      <c r="D8296" t="inlineStr">
        <is>
          <t>SPEC</t>
        </is>
      </c>
      <c r="E8296" t="inlineStr">
        <is>
          <t>CX LIAISON UTIL</t>
        </is>
      </c>
      <c r="F8296" t="inlineStr">
        <is>
          <t>G7K NS2000 BNP MARNE</t>
        </is>
      </c>
      <c r="J8296" t="inlineStr">
        <is>
          <t>MATRION</t>
        </is>
      </c>
      <c r="L8296">
        <f>_xlfn.XLOOKUP(Tableau1[[#This Row],[TYPE DE PIECE]],Tableau4[MATIERE],Tableau4[SHORT TYPE],"",0,1)</f>
        <v/>
      </c>
      <c r="N8296">
        <f>IF(ISERR(FIND("DECOUPE",Tableau1[[#This Row],[DESIGNATION]])),"","NEED REF")</f>
        <v/>
      </c>
    </row>
    <row r="8297">
      <c r="B8297" t="n">
        <v>34405708</v>
      </c>
      <c r="C8297" s="2" t="n">
        <v>42726</v>
      </c>
      <c r="D8297" t="inlineStr">
        <is>
          <t>SPEC</t>
        </is>
      </c>
      <c r="E8297" t="inlineStr">
        <is>
          <t>CX LIAISON R2</t>
        </is>
      </c>
      <c r="F8297" t="inlineStr">
        <is>
          <t>G7K NS2000 BNP MARNE</t>
        </is>
      </c>
      <c r="J8297" t="inlineStr">
        <is>
          <t>MATRION</t>
        </is>
      </c>
      <c r="L8297">
        <f>_xlfn.XLOOKUP(Tableau1[[#This Row],[TYPE DE PIECE]],Tableau4[MATIERE],Tableau4[SHORT TYPE],"",0,1)</f>
        <v/>
      </c>
      <c r="N8297">
        <f>IF(ISERR(FIND("DECOUPE",Tableau1[[#This Row],[DESIGNATION]])),"","NEED REF")</f>
        <v/>
      </c>
    </row>
    <row r="8298">
      <c r="B8298" t="n">
        <v>34405707</v>
      </c>
      <c r="C8298" s="2" t="n">
        <v>42726</v>
      </c>
      <c r="D8298" t="inlineStr">
        <is>
          <t>SPEC</t>
        </is>
      </c>
      <c r="E8298" t="inlineStr">
        <is>
          <t>CX 4 NW32 BACKFEED</t>
        </is>
      </c>
      <c r="F8298" t="inlineStr">
        <is>
          <t>G7K NS2000 BNP MARNE</t>
        </is>
      </c>
      <c r="J8298" t="inlineStr">
        <is>
          <t>MATRION</t>
        </is>
      </c>
      <c r="L8298">
        <f>_xlfn.XLOOKUP(Tableau1[[#This Row],[TYPE DE PIECE]],Tableau4[MATIERE],Tableau4[SHORT TYPE],"",0,1)</f>
        <v/>
      </c>
      <c r="N8298">
        <f>IF(ISERR(FIND("DECOUPE",Tableau1[[#This Row],[DESIGNATION]])),"","NEED REF")</f>
        <v/>
      </c>
    </row>
    <row r="8299">
      <c r="B8299" t="n">
        <v>34405706</v>
      </c>
      <c r="C8299" s="2" t="n">
        <v>42726</v>
      </c>
      <c r="D8299" t="inlineStr">
        <is>
          <t>SPEC</t>
        </is>
      </c>
      <c r="E8299" t="inlineStr">
        <is>
          <t>CX 3 NW32 BACKFEED</t>
        </is>
      </c>
      <c r="F8299" t="inlineStr">
        <is>
          <t>G7K NS2000 BNP MARNE</t>
        </is>
      </c>
      <c r="J8299" t="inlineStr">
        <is>
          <t>MATRION</t>
        </is>
      </c>
      <c r="L8299">
        <f>_xlfn.XLOOKUP(Tableau1[[#This Row],[TYPE DE PIECE]],Tableau4[MATIERE],Tableau4[SHORT TYPE],"",0,1)</f>
        <v/>
      </c>
      <c r="N8299">
        <f>IF(ISERR(FIND("DECOUPE",Tableau1[[#This Row],[DESIGNATION]])),"","NEED REF")</f>
        <v/>
      </c>
    </row>
    <row r="8300">
      <c r="B8300" t="n">
        <v>34405705</v>
      </c>
      <c r="C8300" s="2" t="n">
        <v>42726</v>
      </c>
      <c r="D8300" t="inlineStr">
        <is>
          <t>SPEC</t>
        </is>
      </c>
      <c r="E8300" t="inlineStr">
        <is>
          <t>CX PEN TGAB R2-UTIL</t>
        </is>
      </c>
      <c r="F8300" t="inlineStr">
        <is>
          <t>G7K NS2000 BNP MARNE</t>
        </is>
      </c>
      <c r="J8300" t="inlineStr">
        <is>
          <t>MATRION</t>
        </is>
      </c>
      <c r="L8300">
        <f>_xlfn.XLOOKUP(Tableau1[[#This Row],[TYPE DE PIECE]],Tableau4[MATIERE],Tableau4[SHORT TYPE],"",0,1)</f>
        <v/>
      </c>
      <c r="N8300">
        <f>IF(ISERR(FIND("DECOUPE",Tableau1[[#This Row],[DESIGNATION]])),"","NEED REF")</f>
        <v/>
      </c>
    </row>
    <row r="8301">
      <c r="B8301" t="n">
        <v>34405704</v>
      </c>
      <c r="C8301" s="2" t="n">
        <v>42726</v>
      </c>
      <c r="D8301" t="inlineStr">
        <is>
          <t>SPEC</t>
        </is>
      </c>
      <c r="E8301" t="inlineStr">
        <is>
          <t>CX TGAB UTIL</t>
        </is>
      </c>
      <c r="F8301" t="inlineStr">
        <is>
          <t>G7K NS2000 BNP MARNE</t>
        </is>
      </c>
      <c r="J8301" t="inlineStr">
        <is>
          <t>MATRION</t>
        </is>
      </c>
      <c r="L8301">
        <f>_xlfn.XLOOKUP(Tableau1[[#This Row],[TYPE DE PIECE]],Tableau4[MATIERE],Tableau4[SHORT TYPE],"",0,1)</f>
        <v/>
      </c>
      <c r="N8301">
        <f>IF(ISERR(FIND("DECOUPE",Tableau1[[#This Row],[DESIGNATION]])),"","NEED REF")</f>
        <v/>
      </c>
    </row>
    <row r="8302">
      <c r="B8302" t="n">
        <v>34405703</v>
      </c>
      <c r="C8302" s="2" t="n">
        <v>42726</v>
      </c>
      <c r="D8302" t="inlineStr">
        <is>
          <t>SPEC</t>
        </is>
      </c>
      <c r="E8302" t="inlineStr">
        <is>
          <t>CX TGAB R2</t>
        </is>
      </c>
      <c r="F8302" t="inlineStr">
        <is>
          <t>G7K NS2000 BNP MARNE</t>
        </is>
      </c>
      <c r="J8302" t="inlineStr">
        <is>
          <t>MATRION</t>
        </is>
      </c>
      <c r="L8302">
        <f>_xlfn.XLOOKUP(Tableau1[[#This Row],[TYPE DE PIECE]],Tableau4[MATIERE],Tableau4[SHORT TYPE],"",0,1)</f>
        <v/>
      </c>
      <c r="N8302">
        <f>IF(ISERR(FIND("DECOUPE",Tableau1[[#This Row],[DESIGNATION]])),"","NEED REF")</f>
        <v/>
      </c>
    </row>
    <row r="8303">
      <c r="B8303" t="n">
        <v>34405702</v>
      </c>
      <c r="C8303" s="2" t="n">
        <v>42726</v>
      </c>
      <c r="D8303" t="inlineStr">
        <is>
          <t>SPEC</t>
        </is>
      </c>
      <c r="E8303" t="inlineStr">
        <is>
          <t>CX TGAB UTIL</t>
        </is>
      </c>
      <c r="F8303" t="inlineStr">
        <is>
          <t>G7K NS2000 BNP MARNE</t>
        </is>
      </c>
      <c r="J8303" t="inlineStr">
        <is>
          <t>MATRION</t>
        </is>
      </c>
      <c r="L8303">
        <f>_xlfn.XLOOKUP(Tableau1[[#This Row],[TYPE DE PIECE]],Tableau4[MATIERE],Tableau4[SHORT TYPE],"",0,1)</f>
        <v/>
      </c>
      <c r="N8303">
        <f>IF(ISERR(FIND("DECOUPE",Tableau1[[#This Row],[DESIGNATION]])),"","NEED REF")</f>
        <v/>
      </c>
    </row>
    <row r="8304">
      <c r="B8304" t="n">
        <v>34405701</v>
      </c>
      <c r="C8304" s="2" t="n">
        <v>42726</v>
      </c>
      <c r="D8304" t="inlineStr">
        <is>
          <t>LIBRE</t>
        </is>
      </c>
      <c r="E8304" t="inlineStr">
        <is>
          <t>A DETRURE DANS PROE</t>
        </is>
      </c>
      <c r="F8304" t="inlineStr">
        <is>
          <t>G7K NS2000 BNP MARNE</t>
        </is>
      </c>
      <c r="J8304" t="inlineStr">
        <is>
          <t>MATRION</t>
        </is>
      </c>
      <c r="L8304">
        <f>_xlfn.XLOOKUP(Tableau1[[#This Row],[TYPE DE PIECE]],Tableau4[MATIERE],Tableau4[SHORT TYPE],"",0,1)</f>
        <v/>
      </c>
      <c r="N8304">
        <f>IF(ISERR(FIND("DECOUPE",Tableau1[[#This Row],[DESIGNATION]])),"","NEED REF")</f>
        <v/>
      </c>
    </row>
    <row r="8305">
      <c r="B8305" t="n">
        <v>34405700</v>
      </c>
      <c r="C8305" s="2" t="n">
        <v>42726</v>
      </c>
      <c r="D8305" t="inlineStr">
        <is>
          <t>LIBRE</t>
        </is>
      </c>
      <c r="E8305" t="inlineStr">
        <is>
          <t>A DETRURE DANS PROE</t>
        </is>
      </c>
      <c r="F8305" t="inlineStr">
        <is>
          <t>G7K NS2000 BNP MARNE</t>
        </is>
      </c>
      <c r="J8305" t="inlineStr">
        <is>
          <t>MATRION</t>
        </is>
      </c>
      <c r="L8305">
        <f>_xlfn.XLOOKUP(Tableau1[[#This Row],[TYPE DE PIECE]],Tableau4[MATIERE],Tableau4[SHORT TYPE],"",0,1)</f>
        <v/>
      </c>
      <c r="N8305">
        <f>IF(ISERR(FIND("DECOUPE",Tableau1[[#This Row],[DESIGNATION]])),"","NEED REF")</f>
        <v/>
      </c>
    </row>
    <row r="8306">
      <c r="B8306" t="n">
        <v>34405699</v>
      </c>
      <c r="C8306" s="2" t="n">
        <v>42726</v>
      </c>
      <c r="D8306" t="inlineStr">
        <is>
          <t>LIBRE</t>
        </is>
      </c>
      <c r="E8306" t="inlineStr">
        <is>
          <t>A DETRURE DANS PROE</t>
        </is>
      </c>
      <c r="F8306" t="inlineStr">
        <is>
          <t>G7K NS2000 BNP MARNE</t>
        </is>
      </c>
      <c r="J8306" t="inlineStr">
        <is>
          <t>MATRION</t>
        </is>
      </c>
      <c r="L8306">
        <f>_xlfn.XLOOKUP(Tableau1[[#This Row],[TYPE DE PIECE]],Tableau4[MATIERE],Tableau4[SHORT TYPE],"",0,1)</f>
        <v/>
      </c>
      <c r="N8306">
        <f>IF(ISERR(FIND("DECOUPE",Tableau1[[#This Row],[DESIGNATION]])),"","NEED REF")</f>
        <v/>
      </c>
    </row>
    <row r="8307">
      <c r="B8307" t="n">
        <v>34405698</v>
      </c>
      <c r="C8307" s="2" t="n">
        <v>42726</v>
      </c>
      <c r="D8307" t="inlineStr">
        <is>
          <t>LIBRE</t>
        </is>
      </c>
      <c r="E8307" t="inlineStr">
        <is>
          <t>A DETRURE DANS PROE</t>
        </is>
      </c>
      <c r="F8307" t="inlineStr">
        <is>
          <t>G7K NS2000 BNP MARNE</t>
        </is>
      </c>
      <c r="J8307" t="inlineStr">
        <is>
          <t>MATRION</t>
        </is>
      </c>
      <c r="L8307">
        <f>_xlfn.XLOOKUP(Tableau1[[#This Row],[TYPE DE PIECE]],Tableau4[MATIERE],Tableau4[SHORT TYPE],"",0,1)</f>
        <v/>
      </c>
      <c r="N8307">
        <f>IF(ISERR(FIND("DECOUPE",Tableau1[[#This Row],[DESIGNATION]])),"","NEED REF")</f>
        <v/>
      </c>
    </row>
    <row r="8308">
      <c r="B8308" t="n">
        <v>34405697</v>
      </c>
      <c r="C8308" s="2" t="n">
        <v>42726</v>
      </c>
      <c r="D8308" t="inlineStr">
        <is>
          <t>SPEC</t>
        </is>
      </c>
      <c r="E8308" t="inlineStr">
        <is>
          <t>BARRE SERRAGE TGAB</t>
        </is>
      </c>
      <c r="F8308" t="inlineStr">
        <is>
          <t>G7K NS2000 BNP MARNE</t>
        </is>
      </c>
      <c r="J8308" t="inlineStr">
        <is>
          <t>MATRION</t>
        </is>
      </c>
      <c r="L8308">
        <f>_xlfn.XLOOKUP(Tableau1[[#This Row],[TYPE DE PIECE]],Tableau4[MATIERE],Tableau4[SHORT TYPE],"",0,1)</f>
        <v/>
      </c>
      <c r="N8308">
        <f>IF(ISERR(FIND("DECOUPE",Tableau1[[#This Row],[DESIGNATION]])),"","NEED REF")</f>
        <v/>
      </c>
    </row>
    <row r="8309">
      <c r="B8309" t="n">
        <v>34405696</v>
      </c>
      <c r="C8309" s="2" t="n">
        <v>42726</v>
      </c>
      <c r="D8309" t="inlineStr">
        <is>
          <t>SPEC</t>
        </is>
      </c>
      <c r="E8309" t="inlineStr">
        <is>
          <t>CALE SERRAGE FLEX</t>
        </is>
      </c>
      <c r="F8309" t="inlineStr">
        <is>
          <t>G7K NS2000 BNP MARNE</t>
        </is>
      </c>
      <c r="J8309" t="inlineStr">
        <is>
          <t>MATRION</t>
        </is>
      </c>
      <c r="L8309">
        <f>_xlfn.XLOOKUP(Tableau1[[#This Row],[TYPE DE PIECE]],Tableau4[MATIERE],Tableau4[SHORT TYPE],"",0,1)</f>
        <v/>
      </c>
      <c r="N8309">
        <f>IF(ISERR(FIND("DECOUPE",Tableau1[[#This Row],[DESIGNATION]])),"","NEED REF")</f>
        <v/>
      </c>
    </row>
    <row r="8310">
      <c r="B8310" t="n">
        <v>34405695</v>
      </c>
      <c r="C8310" s="2" t="n">
        <v>42726</v>
      </c>
      <c r="D8310" t="inlineStr">
        <is>
          <t>SPEC</t>
        </is>
      </c>
      <c r="E8310" t="inlineStr">
        <is>
          <t>PANNEAU AFFICHEUR NS BNP MARNE NORD</t>
        </is>
      </c>
      <c r="F8310" t="inlineStr">
        <is>
          <t>G7K NS2000 BNP MARNE</t>
        </is>
      </c>
      <c r="J8310" t="inlineStr">
        <is>
          <t>MATRION</t>
        </is>
      </c>
      <c r="L8310">
        <f>_xlfn.XLOOKUP(Tableau1[[#This Row],[TYPE DE PIECE]],Tableau4[MATIERE],Tableau4[SHORT TYPE],"",0,1)</f>
        <v/>
      </c>
      <c r="N8310">
        <f>IF(ISERR(FIND("DECOUPE",Tableau1[[#This Row],[DESIGNATION]])),"","NEED REF")</f>
        <v/>
      </c>
    </row>
    <row r="8311">
      <c r="B8311" t="n">
        <v>34405694</v>
      </c>
      <c r="C8311" s="2" t="n">
        <v>42726</v>
      </c>
      <c r="D8311" t="inlineStr">
        <is>
          <t>-</t>
        </is>
      </c>
      <c r="E8311" t="inlineStr">
        <is>
          <t>TGAB CLIENT GAUCHE</t>
        </is>
      </c>
      <c r="F8311" t="inlineStr">
        <is>
          <t>G7K NS2000 BNP MARNE</t>
        </is>
      </c>
      <c r="J8311" t="inlineStr">
        <is>
          <t>MATRION</t>
        </is>
      </c>
      <c r="L8311">
        <f>_xlfn.XLOOKUP(Tableau1[[#This Row],[TYPE DE PIECE]],Tableau4[MATIERE],Tableau4[SHORT TYPE],"",0,1)</f>
        <v/>
      </c>
      <c r="N8311">
        <f>IF(ISERR(FIND("DECOUPE",Tableau1[[#This Row],[DESIGNATION]])),"","NEED REF")</f>
        <v/>
      </c>
    </row>
    <row r="8312">
      <c r="B8312" t="n">
        <v>34405693</v>
      </c>
      <c r="C8312" s="2" t="n">
        <v>42726</v>
      </c>
      <c r="D8312" t="inlineStr">
        <is>
          <t>-</t>
        </is>
      </c>
      <c r="E8312" t="inlineStr">
        <is>
          <t>TGAB CLIENT DROIT</t>
        </is>
      </c>
      <c r="F8312" t="inlineStr">
        <is>
          <t>G7K NS2000 BNP MARNE</t>
        </is>
      </c>
      <c r="J8312" t="inlineStr">
        <is>
          <t>MATRION</t>
        </is>
      </c>
      <c r="L8312">
        <f>_xlfn.XLOOKUP(Tableau1[[#This Row],[TYPE DE PIECE]],Tableau4[MATIERE],Tableau4[SHORT TYPE],"",0,1)</f>
        <v/>
      </c>
      <c r="N8312">
        <f>IF(ISERR(FIND("DECOUPE",Tableau1[[#This Row],[DESIGNATION]])),"","NEED REF")</f>
        <v/>
      </c>
    </row>
    <row r="8313">
      <c r="B8313" t="n">
        <v>34405692</v>
      </c>
      <c r="C8313" s="2" t="n">
        <v>42726</v>
      </c>
      <c r="D8313" t="inlineStr">
        <is>
          <t>SPEC</t>
        </is>
      </c>
      <c r="E8313" t="inlineStr">
        <is>
          <t>BANDEAU AV PEINT</t>
        </is>
      </c>
      <c r="F8313" t="inlineStr">
        <is>
          <t>G7K NS2000 BNP MARNE</t>
        </is>
      </c>
      <c r="J8313" t="inlineStr">
        <is>
          <t>MATRION</t>
        </is>
      </c>
      <c r="L8313">
        <f>_xlfn.XLOOKUP(Tableau1[[#This Row],[TYPE DE PIECE]],Tableau4[MATIERE],Tableau4[SHORT TYPE],"",0,1)</f>
        <v/>
      </c>
      <c r="N8313">
        <f>IF(ISERR(FIND("DECOUPE",Tableau1[[#This Row],[DESIGNATION]])),"","NEED REF")</f>
        <v/>
      </c>
    </row>
    <row r="8314">
      <c r="B8314" t="n">
        <v>34405691</v>
      </c>
      <c r="C8314" s="2" t="n">
        <v>42726</v>
      </c>
      <c r="D8314" t="inlineStr">
        <is>
          <t>SPEC</t>
        </is>
      </c>
      <c r="E8314" t="inlineStr">
        <is>
          <t>BANDEAU AV/AR PEINT</t>
        </is>
      </c>
      <c r="F8314" t="inlineStr">
        <is>
          <t>G7K NS2000 BNP MARNE</t>
        </is>
      </c>
      <c r="J8314" t="inlineStr">
        <is>
          <t>MATRION</t>
        </is>
      </c>
      <c r="L8314">
        <f>_xlfn.XLOOKUP(Tableau1[[#This Row],[TYPE DE PIECE]],Tableau4[MATIERE],Tableau4[SHORT TYPE],"",0,1)</f>
        <v/>
      </c>
      <c r="N8314">
        <f>IF(ISERR(FIND("DECOUPE",Tableau1[[#This Row],[DESIGNATION]])),"","NEED REF")</f>
        <v/>
      </c>
    </row>
    <row r="8315">
      <c r="B8315" t="n">
        <v>34405690</v>
      </c>
      <c r="C8315" s="2" t="n">
        <v>42726</v>
      </c>
      <c r="D8315" t="inlineStr">
        <is>
          <t>SPEC</t>
        </is>
      </c>
      <c r="E8315" t="inlineStr">
        <is>
          <t>TOIT G7K 1000</t>
        </is>
      </c>
      <c r="F8315" t="inlineStr">
        <is>
          <t>G7K NS2000 BNP MARNE</t>
        </is>
      </c>
      <c r="J8315" t="inlineStr">
        <is>
          <t>MATRION</t>
        </is>
      </c>
      <c r="L8315">
        <f>_xlfn.XLOOKUP(Tableau1[[#This Row],[TYPE DE PIECE]],Tableau4[MATIERE],Tableau4[SHORT TYPE],"",0,1)</f>
        <v/>
      </c>
      <c r="N8315">
        <f>IF(ISERR(FIND("DECOUPE",Tableau1[[#This Row],[DESIGNATION]])),"","NEED REF")</f>
        <v/>
      </c>
    </row>
    <row r="8316">
      <c r="B8316" t="n">
        <v>34405689</v>
      </c>
      <c r="C8316" s="2" t="n">
        <v>42726</v>
      </c>
      <c r="D8316" t="inlineStr">
        <is>
          <t>SPEC</t>
        </is>
      </c>
      <c r="E8316" t="inlineStr">
        <is>
          <t>REHAUSSE G7K 1000 H200 PEINT</t>
        </is>
      </c>
      <c r="F8316" t="inlineStr">
        <is>
          <t>G7K NS2000 BNP MARNE</t>
        </is>
      </c>
      <c r="J8316" t="inlineStr">
        <is>
          <t>MATRION</t>
        </is>
      </c>
      <c r="L8316">
        <f>_xlfn.XLOOKUP(Tableau1[[#This Row],[TYPE DE PIECE]],Tableau4[MATIERE],Tableau4[SHORT TYPE],"",0,1)</f>
        <v/>
      </c>
      <c r="N8316">
        <f>IF(ISERR(FIND("DECOUPE",Tableau1[[#This Row],[DESIGNATION]])),"","NEED REF")</f>
        <v/>
      </c>
    </row>
    <row r="8317">
      <c r="B8317" t="n">
        <v>34405688</v>
      </c>
      <c r="C8317" s="2" t="n">
        <v>42726</v>
      </c>
      <c r="D8317" t="inlineStr">
        <is>
          <t>SPEC</t>
        </is>
      </c>
      <c r="E8317" t="inlineStr">
        <is>
          <t>BANDEAU LAT PEINT</t>
        </is>
      </c>
      <c r="F8317" t="inlineStr">
        <is>
          <t>G7K NS2000 BNP MARNE</t>
        </is>
      </c>
      <c r="J8317" t="inlineStr">
        <is>
          <t>MATRION</t>
        </is>
      </c>
      <c r="L8317">
        <f>_xlfn.XLOOKUP(Tableau1[[#This Row],[TYPE DE PIECE]],Tableau4[MATIERE],Tableau4[SHORT TYPE],"",0,1)</f>
        <v/>
      </c>
      <c r="N8317">
        <f>IF(ISERR(FIND("DECOUPE",Tableau1[[#This Row],[DESIGNATION]])),"","NEED REF")</f>
        <v/>
      </c>
    </row>
    <row r="8318">
      <c r="B8318" t="n">
        <v>34405687</v>
      </c>
      <c r="C8318" s="2" t="n">
        <v>42726</v>
      </c>
      <c r="D8318" t="inlineStr">
        <is>
          <t>SPEC</t>
        </is>
      </c>
      <c r="E8318" t="inlineStr">
        <is>
          <t>BANDEAU AR PEINT</t>
        </is>
      </c>
      <c r="F8318" t="inlineStr">
        <is>
          <t>G7K NS2000 BNP MARNE</t>
        </is>
      </c>
      <c r="J8318" t="inlineStr">
        <is>
          <t>MATRION</t>
        </is>
      </c>
      <c r="L8318">
        <f>_xlfn.XLOOKUP(Tableau1[[#This Row],[TYPE DE PIECE]],Tableau4[MATIERE],Tableau4[SHORT TYPE],"",0,1)</f>
        <v/>
      </c>
      <c r="N8318">
        <f>IF(ISERR(FIND("DECOUPE",Tableau1[[#This Row],[DESIGNATION]])),"","NEED REF")</f>
        <v/>
      </c>
    </row>
    <row r="8319">
      <c r="B8319" t="n">
        <v>34405686</v>
      </c>
      <c r="C8319" s="2" t="n">
        <v>42726</v>
      </c>
      <c r="D8319" t="inlineStr">
        <is>
          <t>SPEC</t>
        </is>
      </c>
      <c r="E8319" t="inlineStr">
        <is>
          <t>BANDEAU AV PEINT</t>
        </is>
      </c>
      <c r="F8319" t="inlineStr">
        <is>
          <t>G7K NS2000 BNP MARNE</t>
        </is>
      </c>
      <c r="J8319" t="inlineStr">
        <is>
          <t>MATRION</t>
        </is>
      </c>
      <c r="L8319">
        <f>_xlfn.XLOOKUP(Tableau1[[#This Row],[TYPE DE PIECE]],Tableau4[MATIERE],Tableau4[SHORT TYPE],"",0,1)</f>
        <v/>
      </c>
      <c r="N8319">
        <f>IF(ISERR(FIND("DECOUPE",Tableau1[[#This Row],[DESIGNATION]])),"","NEED REF")</f>
        <v/>
      </c>
    </row>
    <row r="8320">
      <c r="B8320" t="n">
        <v>34405685</v>
      </c>
      <c r="C8320" s="2" t="n">
        <v>42726</v>
      </c>
      <c r="D8320" t="inlineStr">
        <is>
          <t>SPEC</t>
        </is>
      </c>
      <c r="E8320" t="inlineStr">
        <is>
          <t>TOIT G7K 1400 TGAB</t>
        </is>
      </c>
      <c r="F8320" t="inlineStr">
        <is>
          <t>G7K NS2000 BNP MARNE</t>
        </is>
      </c>
      <c r="J8320" t="inlineStr">
        <is>
          <t>MATRION</t>
        </is>
      </c>
      <c r="L8320">
        <f>_xlfn.XLOOKUP(Tableau1[[#This Row],[TYPE DE PIECE]],Tableau4[MATIERE],Tableau4[SHORT TYPE],"",0,1)</f>
        <v/>
      </c>
      <c r="N8320">
        <f>IF(ISERR(FIND("DECOUPE",Tableau1[[#This Row],[DESIGNATION]])),"","NEED REF")</f>
        <v/>
      </c>
    </row>
    <row r="8321">
      <c r="B8321" t="n">
        <v>34405684</v>
      </c>
      <c r="C8321" s="2" t="n">
        <v>42726</v>
      </c>
      <c r="D8321" t="inlineStr">
        <is>
          <t>SPEC</t>
        </is>
      </c>
      <c r="E8321" t="inlineStr">
        <is>
          <t>REHAUSSE G7K 1400 H200 PEINT</t>
        </is>
      </c>
      <c r="F8321" t="inlineStr">
        <is>
          <t>G7K NS2000 BNP MARNE</t>
        </is>
      </c>
      <c r="J8321" t="inlineStr">
        <is>
          <t>MATRION</t>
        </is>
      </c>
      <c r="L8321">
        <f>_xlfn.XLOOKUP(Tableau1[[#This Row],[TYPE DE PIECE]],Tableau4[MATIERE],Tableau4[SHORT TYPE],"",0,1)</f>
        <v/>
      </c>
      <c r="N8321">
        <f>IF(ISERR(FIND("DECOUPE",Tableau1[[#This Row],[DESIGNATION]])),"","NEED REF")</f>
        <v/>
      </c>
    </row>
    <row r="8322">
      <c r="B8322" t="n">
        <v>34405683</v>
      </c>
      <c r="C8322" s="2" t="n">
        <v>42726</v>
      </c>
      <c r="D8322" t="inlineStr">
        <is>
          <t>SPEC</t>
        </is>
      </c>
      <c r="E8322" t="inlineStr">
        <is>
          <t>PLASTRON HAUT</t>
        </is>
      </c>
      <c r="F8322" t="inlineStr">
        <is>
          <t>G7K NS2000 BNP MARNE</t>
        </is>
      </c>
      <c r="J8322" t="inlineStr">
        <is>
          <t>MATRION</t>
        </is>
      </c>
      <c r="L8322">
        <f>_xlfn.XLOOKUP(Tableau1[[#This Row],[TYPE DE PIECE]],Tableau4[MATIERE],Tableau4[SHORT TYPE],"",0,1)</f>
        <v/>
      </c>
      <c r="N8322">
        <f>IF(ISERR(FIND("DECOUPE",Tableau1[[#This Row],[DESIGNATION]])),"","NEED REF")</f>
        <v/>
      </c>
    </row>
    <row r="8323">
      <c r="B8323" t="n">
        <v>34405682</v>
      </c>
      <c r="C8323" s="2" t="n">
        <v>42726</v>
      </c>
      <c r="D8323" t="inlineStr">
        <is>
          <t>SPEC</t>
        </is>
      </c>
      <c r="E8323" t="inlineStr">
        <is>
          <t>PLASTRON 2 MILIEU</t>
        </is>
      </c>
      <c r="F8323" t="inlineStr">
        <is>
          <t>G7K NS2000 BNP MARNE</t>
        </is>
      </c>
      <c r="J8323" t="inlineStr">
        <is>
          <t>MATRION</t>
        </is>
      </c>
      <c r="L8323">
        <f>_xlfn.XLOOKUP(Tableau1[[#This Row],[TYPE DE PIECE]],Tableau4[MATIERE],Tableau4[SHORT TYPE],"",0,1)</f>
        <v/>
      </c>
      <c r="N8323">
        <f>IF(ISERR(FIND("DECOUPE",Tableau1[[#This Row],[DESIGNATION]])),"","NEED REF")</f>
        <v/>
      </c>
    </row>
    <row r="8324">
      <c r="B8324" t="n">
        <v>34405681</v>
      </c>
      <c r="C8324" s="2" t="n">
        <v>42726</v>
      </c>
      <c r="D8324" t="inlineStr">
        <is>
          <t>SPEC</t>
        </is>
      </c>
      <c r="E8324" t="inlineStr">
        <is>
          <t>PLASTRON 2 DROIT</t>
        </is>
      </c>
      <c r="F8324" t="inlineStr">
        <is>
          <t>G7K NS2000 BNP MARNE</t>
        </is>
      </c>
      <c r="J8324" t="inlineStr">
        <is>
          <t>MATRION</t>
        </is>
      </c>
      <c r="L8324">
        <f>_xlfn.XLOOKUP(Tableau1[[#This Row],[TYPE DE PIECE]],Tableau4[MATIERE],Tableau4[SHORT TYPE],"",0,1)</f>
        <v/>
      </c>
      <c r="N8324">
        <f>IF(ISERR(FIND("DECOUPE",Tableau1[[#This Row],[DESIGNATION]])),"","NEED REF")</f>
        <v/>
      </c>
    </row>
    <row r="8325">
      <c r="B8325" t="n">
        <v>34405680</v>
      </c>
      <c r="C8325" s="2" t="n">
        <v>42726</v>
      </c>
      <c r="D8325" t="inlineStr">
        <is>
          <t>SPEC</t>
        </is>
      </c>
      <c r="E8325" t="inlineStr">
        <is>
          <t>PLASTRON 1 DROIT</t>
        </is>
      </c>
      <c r="F8325" t="inlineStr">
        <is>
          <t>G7K NS2000 BNP MARNE</t>
        </is>
      </c>
      <c r="J8325" t="inlineStr">
        <is>
          <t>MATRION</t>
        </is>
      </c>
      <c r="L8325">
        <f>_xlfn.XLOOKUP(Tableau1[[#This Row],[TYPE DE PIECE]],Tableau4[MATIERE],Tableau4[SHORT TYPE],"",0,1)</f>
        <v/>
      </c>
      <c r="N8325">
        <f>IF(ISERR(FIND("DECOUPE",Tableau1[[#This Row],[DESIGNATION]])),"","NEED REF")</f>
        <v/>
      </c>
    </row>
    <row r="8326">
      <c r="B8326" t="n">
        <v>34405679</v>
      </c>
      <c r="C8326" s="2" t="n">
        <v>42726</v>
      </c>
      <c r="D8326" t="inlineStr">
        <is>
          <t>SPEC</t>
        </is>
      </c>
      <c r="E8326" t="inlineStr">
        <is>
          <t>PLASTRON 2 GAUCHE</t>
        </is>
      </c>
      <c r="F8326" t="inlineStr">
        <is>
          <t>G7K NS2000 BNP MARNE</t>
        </is>
      </c>
      <c r="J8326" t="inlineStr">
        <is>
          <t>MATRION</t>
        </is>
      </c>
      <c r="L8326">
        <f>_xlfn.XLOOKUP(Tableau1[[#This Row],[TYPE DE PIECE]],Tableau4[MATIERE],Tableau4[SHORT TYPE],"",0,1)</f>
        <v/>
      </c>
      <c r="N8326">
        <f>IF(ISERR(FIND("DECOUPE",Tableau1[[#This Row],[DESIGNATION]])),"","NEED REF")</f>
        <v/>
      </c>
    </row>
    <row r="8327">
      <c r="B8327" t="n">
        <v>34405678</v>
      </c>
      <c r="C8327" s="2" t="n">
        <v>42726</v>
      </c>
      <c r="D8327" t="inlineStr">
        <is>
          <t>SPEC</t>
        </is>
      </c>
      <c r="E8327" t="inlineStr">
        <is>
          <t>PLASTRON 1 GAUCHE</t>
        </is>
      </c>
      <c r="F8327" t="inlineStr">
        <is>
          <t>G7K NS2000 BNP MARNE</t>
        </is>
      </c>
      <c r="J8327" t="inlineStr">
        <is>
          <t>MATRION</t>
        </is>
      </c>
      <c r="L8327">
        <f>_xlfn.XLOOKUP(Tableau1[[#This Row],[TYPE DE PIECE]],Tableau4[MATIERE],Tableau4[SHORT TYPE],"",0,1)</f>
        <v/>
      </c>
      <c r="N8327">
        <f>IF(ISERR(FIND("DECOUPE",Tableau1[[#This Row],[DESIGNATION]])),"","NEED REF")</f>
        <v/>
      </c>
    </row>
    <row r="8328">
      <c r="B8328" t="n">
        <v>34405677</v>
      </c>
      <c r="C8328" s="2" t="n">
        <v>42726</v>
      </c>
      <c r="D8328" t="inlineStr">
        <is>
          <t>SPEC</t>
        </is>
      </c>
      <c r="E8328" t="inlineStr">
        <is>
          <t>FLEX L3-2 TGAB UTIL</t>
        </is>
      </c>
      <c r="F8328" t="inlineStr">
        <is>
          <t>G7K NS2000 BNP MARNE</t>
        </is>
      </c>
      <c r="J8328" t="inlineStr">
        <is>
          <t>MATRION</t>
        </is>
      </c>
      <c r="L8328">
        <f>_xlfn.XLOOKUP(Tableau1[[#This Row],[TYPE DE PIECE]],Tableau4[MATIERE],Tableau4[SHORT TYPE],"",0,1)</f>
        <v/>
      </c>
      <c r="N8328">
        <f>IF(ISERR(FIND("DECOUPE",Tableau1[[#This Row],[DESIGNATION]])),"","NEED REF")</f>
        <v/>
      </c>
    </row>
    <row r="8329">
      <c r="B8329" t="n">
        <v>34405676</v>
      </c>
      <c r="C8329" s="2" t="n">
        <v>42726</v>
      </c>
      <c r="D8329" t="inlineStr">
        <is>
          <t>SPEC</t>
        </is>
      </c>
      <c r="E8329" t="inlineStr">
        <is>
          <t>FLEX L3-1 TGAB R2</t>
        </is>
      </c>
      <c r="F8329" t="inlineStr">
        <is>
          <t>G7K NS2000 BNP MARNE</t>
        </is>
      </c>
      <c r="J8329" t="inlineStr">
        <is>
          <t>MATRION</t>
        </is>
      </c>
      <c r="L8329">
        <f>_xlfn.XLOOKUP(Tableau1[[#This Row],[TYPE DE PIECE]],Tableau4[MATIERE],Tableau4[SHORT TYPE],"",0,1)</f>
        <v/>
      </c>
      <c r="N8329">
        <f>IF(ISERR(FIND("DECOUPE",Tableau1[[#This Row],[DESIGNATION]])),"","NEED REF")</f>
        <v/>
      </c>
    </row>
    <row r="8330">
      <c r="B8330" t="n">
        <v>34405675</v>
      </c>
      <c r="C8330" s="2" t="n">
        <v>42726</v>
      </c>
      <c r="D8330" t="inlineStr">
        <is>
          <t>SPEC</t>
        </is>
      </c>
      <c r="E8330" t="inlineStr">
        <is>
          <t>FLEX L2-2 TGAB UTIL</t>
        </is>
      </c>
      <c r="F8330" t="inlineStr">
        <is>
          <t>G7K NS2000 BNP MARNE</t>
        </is>
      </c>
      <c r="J8330" t="inlineStr">
        <is>
          <t>MATRION</t>
        </is>
      </c>
      <c r="L8330">
        <f>_xlfn.XLOOKUP(Tableau1[[#This Row],[TYPE DE PIECE]],Tableau4[MATIERE],Tableau4[SHORT TYPE],"",0,1)</f>
        <v/>
      </c>
      <c r="N8330">
        <f>IF(ISERR(FIND("DECOUPE",Tableau1[[#This Row],[DESIGNATION]])),"","NEED REF")</f>
        <v/>
      </c>
    </row>
    <row r="8331">
      <c r="B8331" t="n">
        <v>34405674</v>
      </c>
      <c r="C8331" s="2" t="n">
        <v>42726</v>
      </c>
      <c r="D8331" t="inlineStr">
        <is>
          <t>SPEC</t>
        </is>
      </c>
      <c r="E8331" t="inlineStr">
        <is>
          <t>FLEX L2-1 TGAB R2</t>
        </is>
      </c>
      <c r="F8331" t="inlineStr">
        <is>
          <t>G7K NS2000 BNP MARNE</t>
        </is>
      </c>
      <c r="J8331" t="inlineStr">
        <is>
          <t>MATRION</t>
        </is>
      </c>
      <c r="L8331">
        <f>_xlfn.XLOOKUP(Tableau1[[#This Row],[TYPE DE PIECE]],Tableau4[MATIERE],Tableau4[SHORT TYPE],"",0,1)</f>
        <v/>
      </c>
      <c r="N8331">
        <f>IF(ISERR(FIND("DECOUPE",Tableau1[[#This Row],[DESIGNATION]])),"","NEED REF")</f>
        <v/>
      </c>
    </row>
    <row r="8332">
      <c r="B8332" t="n">
        <v>34405673</v>
      </c>
      <c r="C8332" s="2" t="n">
        <v>42726</v>
      </c>
      <c r="D8332" t="inlineStr">
        <is>
          <t>SPEC</t>
        </is>
      </c>
      <c r="E8332" t="inlineStr">
        <is>
          <t>FLEX L1-2 TGAB UTIL</t>
        </is>
      </c>
      <c r="F8332" t="inlineStr">
        <is>
          <t>G7K NS2000 BNP MARNE</t>
        </is>
      </c>
      <c r="J8332" t="inlineStr">
        <is>
          <t>MATRION</t>
        </is>
      </c>
      <c r="L8332">
        <f>_xlfn.XLOOKUP(Tableau1[[#This Row],[TYPE DE PIECE]],Tableau4[MATIERE],Tableau4[SHORT TYPE],"",0,1)</f>
        <v/>
      </c>
      <c r="N8332">
        <f>IF(ISERR(FIND("DECOUPE",Tableau1[[#This Row],[DESIGNATION]])),"","NEED REF")</f>
        <v/>
      </c>
    </row>
    <row r="8333">
      <c r="B8333" t="n">
        <v>34405672</v>
      </c>
      <c r="C8333" s="2" t="n">
        <v>42726</v>
      </c>
      <c r="D8333" t="inlineStr">
        <is>
          <t>SPEC</t>
        </is>
      </c>
      <c r="E8333" t="inlineStr">
        <is>
          <t>FLEX L1-1 TGAB R2</t>
        </is>
      </c>
      <c r="F8333" t="inlineStr">
        <is>
          <t>G7K NS2000 BNP MARNE</t>
        </is>
      </c>
      <c r="J8333" t="inlineStr">
        <is>
          <t>MATRION</t>
        </is>
      </c>
      <c r="L8333">
        <f>_xlfn.XLOOKUP(Tableau1[[#This Row],[TYPE DE PIECE]],Tableau4[MATIERE],Tableau4[SHORT TYPE],"",0,1)</f>
        <v/>
      </c>
      <c r="N8333">
        <f>IF(ISERR(FIND("DECOUPE",Tableau1[[#This Row],[DESIGNATION]])),"","NEED REF")</f>
        <v/>
      </c>
    </row>
    <row r="8334">
      <c r="B8334" t="n">
        <v>34405671</v>
      </c>
      <c r="C8334" s="2" t="n">
        <v>42726</v>
      </c>
      <c r="D8334" t="inlineStr">
        <is>
          <t>SPEC</t>
        </is>
      </c>
      <c r="E8334" t="inlineStr">
        <is>
          <t>FLEX N-2 TGAB UTIL</t>
        </is>
      </c>
      <c r="F8334" t="inlineStr">
        <is>
          <t>G7K NS2000 BNP MARNE</t>
        </is>
      </c>
      <c r="J8334" t="inlineStr">
        <is>
          <t>MATRION</t>
        </is>
      </c>
      <c r="L8334">
        <f>_xlfn.XLOOKUP(Tableau1[[#This Row],[TYPE DE PIECE]],Tableau4[MATIERE],Tableau4[SHORT TYPE],"",0,1)</f>
        <v/>
      </c>
      <c r="N8334">
        <f>IF(ISERR(FIND("DECOUPE",Tableau1[[#This Row],[DESIGNATION]])),"","NEED REF")</f>
        <v/>
      </c>
    </row>
    <row r="8335">
      <c r="B8335" t="n">
        <v>34405670</v>
      </c>
      <c r="C8335" s="2" t="n">
        <v>42726</v>
      </c>
      <c r="D8335" t="inlineStr">
        <is>
          <t>SPEC</t>
        </is>
      </c>
      <c r="E8335" t="inlineStr">
        <is>
          <t>FLEX N-1 TGAB R2</t>
        </is>
      </c>
      <c r="F8335" t="inlineStr">
        <is>
          <t>G7K NS2000 BNP MARNE</t>
        </is>
      </c>
      <c r="J8335" t="inlineStr">
        <is>
          <t>MATRION</t>
        </is>
      </c>
      <c r="L8335">
        <f>_xlfn.XLOOKUP(Tableau1[[#This Row],[TYPE DE PIECE]],Tableau4[MATIERE],Tableau4[SHORT TYPE],"",0,1)</f>
        <v/>
      </c>
      <c r="N8335">
        <f>IF(ISERR(FIND("DECOUPE",Tableau1[[#This Row],[DESIGNATION]])),"","NEED REF")</f>
        <v/>
      </c>
    </row>
    <row r="8336">
      <c r="B8336" t="n">
        <v>34405669</v>
      </c>
      <c r="C8336" s="2" t="n">
        <v>42726</v>
      </c>
      <c r="D8336" t="inlineStr">
        <is>
          <t>SPEC</t>
        </is>
      </c>
      <c r="E8336" t="inlineStr">
        <is>
          <t>CX 2 NW32 BACKFEED</t>
        </is>
      </c>
      <c r="F8336" t="inlineStr">
        <is>
          <t>G7K NS2000 BNP MARNE</t>
        </is>
      </c>
      <c r="J8336" t="inlineStr">
        <is>
          <t>MATRION</t>
        </is>
      </c>
      <c r="L8336">
        <f>_xlfn.XLOOKUP(Tableau1[[#This Row],[TYPE DE PIECE]],Tableau4[MATIERE],Tableau4[SHORT TYPE],"",0,1)</f>
        <v/>
      </c>
      <c r="N8336">
        <f>IF(ISERR(FIND("DECOUPE",Tableau1[[#This Row],[DESIGNATION]])),"","NEED REF")</f>
        <v/>
      </c>
    </row>
    <row r="8337">
      <c r="B8337" t="n">
        <v>34405668</v>
      </c>
      <c r="C8337" s="2" t="n">
        <v>42726</v>
      </c>
      <c r="D8337" t="inlineStr">
        <is>
          <t>SPEC</t>
        </is>
      </c>
      <c r="E8337" t="inlineStr">
        <is>
          <t>CX 1 NW32 BACKFEED</t>
        </is>
      </c>
      <c r="F8337" t="inlineStr">
        <is>
          <t>G7K NS2000 BNP MARNE</t>
        </is>
      </c>
      <c r="J8337" t="inlineStr">
        <is>
          <t>MATRION</t>
        </is>
      </c>
      <c r="L8337">
        <f>_xlfn.XLOOKUP(Tableau1[[#This Row],[TYPE DE PIECE]],Tableau4[MATIERE],Tableau4[SHORT TYPE],"",0,1)</f>
        <v/>
      </c>
      <c r="N8337">
        <f>IF(ISERR(FIND("DECOUPE",Tableau1[[#This Row],[DESIGNATION]])),"","NEED REF")</f>
        <v/>
      </c>
    </row>
    <row r="8338">
      <c r="B8338" t="n">
        <v>34405667</v>
      </c>
      <c r="C8338" s="2" t="n">
        <v>42730</v>
      </c>
      <c r="D8338" t="inlineStr">
        <is>
          <t>SPEC</t>
        </is>
      </c>
      <c r="F8338" t="inlineStr">
        <is>
          <t>VX TGAB</t>
        </is>
      </c>
      <c r="J8338" t="inlineStr">
        <is>
          <t>ROBERT</t>
        </is>
      </c>
      <c r="L8338">
        <f>_xlfn.XLOOKUP(Tableau1[[#This Row],[TYPE DE PIECE]],Tableau4[MATIERE],Tableau4[SHORT TYPE],"",0,1)</f>
        <v/>
      </c>
      <c r="N8338">
        <f>IF(ISERR(FIND("DECOUPE",Tableau1[[#This Row],[DESIGNATION]])),"","NEED REF")</f>
        <v/>
      </c>
    </row>
    <row r="8339">
      <c r="B8339" t="n">
        <v>34405666</v>
      </c>
      <c r="C8339" s="2" t="n">
        <v>42730</v>
      </c>
      <c r="D8339" t="inlineStr">
        <is>
          <t>SPEC</t>
        </is>
      </c>
      <c r="F8339" t="inlineStr">
        <is>
          <t>VX TGAB</t>
        </is>
      </c>
      <c r="J8339" t="inlineStr">
        <is>
          <t>ROBERT</t>
        </is>
      </c>
      <c r="L8339">
        <f>_xlfn.XLOOKUP(Tableau1[[#This Row],[TYPE DE PIECE]],Tableau4[MATIERE],Tableau4[SHORT TYPE],"",0,1)</f>
        <v/>
      </c>
      <c r="N8339">
        <f>IF(ISERR(FIND("DECOUPE",Tableau1[[#This Row],[DESIGNATION]])),"","NEED REF")</f>
        <v/>
      </c>
    </row>
    <row r="8340">
      <c r="B8340" t="n">
        <v>34405665</v>
      </c>
      <c r="C8340" s="2" t="n">
        <v>42730</v>
      </c>
      <c r="D8340" t="inlineStr">
        <is>
          <t>SPEC</t>
        </is>
      </c>
      <c r="E8340" t="inlineStr">
        <is>
          <t>LIAISON CX NEUTRE</t>
        </is>
      </c>
      <c r="F8340" t="inlineStr">
        <is>
          <t>VX TGAB</t>
        </is>
      </c>
      <c r="J8340" t="inlineStr">
        <is>
          <t>ROBERT</t>
        </is>
      </c>
      <c r="L8340">
        <f>_xlfn.XLOOKUP(Tableau1[[#This Row],[TYPE DE PIECE]],Tableau4[MATIERE],Tableau4[SHORT TYPE],"",0,1)</f>
        <v/>
      </c>
      <c r="N8340">
        <f>IF(ISERR(FIND("DECOUPE",Tableau1[[#This Row],[DESIGNATION]])),"","NEED REF")</f>
        <v/>
      </c>
    </row>
    <row r="8341">
      <c r="B8341" t="n">
        <v>34405664</v>
      </c>
      <c r="C8341" s="2" t="n">
        <v>42730</v>
      </c>
      <c r="D8341" t="inlineStr">
        <is>
          <t>SPEC</t>
        </is>
      </c>
      <c r="E8341" t="inlineStr">
        <is>
          <t>PLAQUE PE KTA 2500 DC</t>
        </is>
      </c>
      <c r="F8341" t="inlineStr">
        <is>
          <t>VX TGAB</t>
        </is>
      </c>
      <c r="J8341" t="inlineStr">
        <is>
          <t>ROBERT</t>
        </is>
      </c>
      <c r="L8341">
        <f>_xlfn.XLOOKUP(Tableau1[[#This Row],[TYPE DE PIECE]],Tableau4[MATIERE],Tableau4[SHORT TYPE],"",0,1)</f>
        <v/>
      </c>
      <c r="N8341">
        <f>IF(ISERR(FIND("DECOUPE",Tableau1[[#This Row],[DESIGNATION]])),"","NEED REF")</f>
        <v/>
      </c>
    </row>
    <row r="8342">
      <c r="B8342" t="n">
        <v>34405663</v>
      </c>
      <c r="C8342" s="2" t="n">
        <v>42730</v>
      </c>
      <c r="D8342" t="inlineStr">
        <is>
          <t>SPEC</t>
        </is>
      </c>
      <c r="E8342" t="inlineStr">
        <is>
          <t>TRAVERSE SUPPORT PE</t>
        </is>
      </c>
      <c r="F8342" t="inlineStr">
        <is>
          <t>VX TGAB</t>
        </is>
      </c>
      <c r="J8342" t="inlineStr">
        <is>
          <t>ROBERT</t>
        </is>
      </c>
      <c r="L8342">
        <f>_xlfn.XLOOKUP(Tableau1[[#This Row],[TYPE DE PIECE]],Tableau4[MATIERE],Tableau4[SHORT TYPE],"",0,1)</f>
        <v/>
      </c>
      <c r="N8342">
        <f>IF(ISERR(FIND("DECOUPE",Tableau1[[#This Row],[DESIGNATION]])),"","NEED REF")</f>
        <v/>
      </c>
    </row>
    <row r="8343">
      <c r="B8343" t="n">
        <v>34405662</v>
      </c>
      <c r="C8343" s="2" t="n">
        <v>42730</v>
      </c>
      <c r="D8343" t="inlineStr">
        <is>
          <t>SPEC</t>
        </is>
      </c>
      <c r="E8343" t="inlineStr">
        <is>
          <t>PLAQUE PE KTA 2500 UTIL</t>
        </is>
      </c>
      <c r="F8343" t="inlineStr">
        <is>
          <t>VX TGAB</t>
        </is>
      </c>
      <c r="J8343" t="inlineStr">
        <is>
          <t>ROBERT</t>
        </is>
      </c>
      <c r="L8343">
        <f>_xlfn.XLOOKUP(Tableau1[[#This Row],[TYPE DE PIECE]],Tableau4[MATIERE],Tableau4[SHORT TYPE],"",0,1)</f>
        <v/>
      </c>
      <c r="N8343">
        <f>IF(ISERR(FIND("DECOUPE",Tableau1[[#This Row],[DESIGNATION]])),"","NEED REF")</f>
        <v/>
      </c>
    </row>
    <row r="8344">
      <c r="B8344" t="n">
        <v>34405661</v>
      </c>
      <c r="C8344" s="2" t="n">
        <v>42730</v>
      </c>
      <c r="D8344" t="inlineStr">
        <is>
          <t>SPEC</t>
        </is>
      </c>
      <c r="E8344" t="inlineStr">
        <is>
          <t>PLAQUE PE KTA3200 R1</t>
        </is>
      </c>
      <c r="F8344" t="inlineStr">
        <is>
          <t>VX TGAB</t>
        </is>
      </c>
      <c r="J8344" t="inlineStr">
        <is>
          <t>ROBERT</t>
        </is>
      </c>
      <c r="L8344">
        <f>_xlfn.XLOOKUP(Tableau1[[#This Row],[TYPE DE PIECE]],Tableau4[MATIERE],Tableau4[SHORT TYPE],"",0,1)</f>
        <v/>
      </c>
      <c r="N8344">
        <f>IF(ISERR(FIND("DECOUPE",Tableau1[[#This Row],[DESIGNATION]])),"","NEED REF")</f>
        <v/>
      </c>
    </row>
    <row r="8345">
      <c r="B8345" t="n">
        <v>34405660</v>
      </c>
      <c r="C8345" s="2" t="n">
        <v>42730</v>
      </c>
      <c r="D8345" t="inlineStr">
        <is>
          <t>SPEC</t>
        </is>
      </c>
      <c r="E8345" t="inlineStr">
        <is>
          <t>CX NEUTRE UTIL</t>
        </is>
      </c>
      <c r="F8345" t="inlineStr">
        <is>
          <t>VX TGAB</t>
        </is>
      </c>
      <c r="J8345" t="inlineStr">
        <is>
          <t>ROBERT</t>
        </is>
      </c>
      <c r="L8345">
        <f>_xlfn.XLOOKUP(Tableau1[[#This Row],[TYPE DE PIECE]],Tableau4[MATIERE],Tableau4[SHORT TYPE],"",0,1)</f>
        <v/>
      </c>
      <c r="N8345">
        <f>IF(ISERR(FIND("DECOUPE",Tableau1[[#This Row],[DESIGNATION]])),"","NEED REF")</f>
        <v/>
      </c>
    </row>
    <row r="8346">
      <c r="B8346" t="n">
        <v>34405659</v>
      </c>
      <c r="C8346" s="2" t="n">
        <v>42730</v>
      </c>
      <c r="D8346" t="inlineStr">
        <is>
          <t>SPEC</t>
        </is>
      </c>
      <c r="E8346" t="inlineStr">
        <is>
          <t>CX NEUTRE R1</t>
        </is>
      </c>
      <c r="F8346" t="inlineStr">
        <is>
          <t>VX TGAB</t>
        </is>
      </c>
      <c r="J8346" t="inlineStr">
        <is>
          <t>ROBERT</t>
        </is>
      </c>
      <c r="L8346">
        <f>_xlfn.XLOOKUP(Tableau1[[#This Row],[TYPE DE PIECE]],Tableau4[MATIERE],Tableau4[SHORT TYPE],"",0,1)</f>
        <v/>
      </c>
      <c r="N8346">
        <f>IF(ISERR(FIND("DECOUPE",Tableau1[[#This Row],[DESIGNATION]])),"","NEED REF")</f>
        <v/>
      </c>
    </row>
    <row r="8347">
      <c r="B8347" t="n">
        <v>34405658</v>
      </c>
      <c r="C8347" s="2" t="n">
        <v>42730</v>
      </c>
      <c r="D8347" t="inlineStr">
        <is>
          <t>SPEC</t>
        </is>
      </c>
      <c r="E8347" t="inlineStr">
        <is>
          <t>PLASTRON LATERAL</t>
        </is>
      </c>
      <c r="F8347" t="inlineStr">
        <is>
          <t>VX TGAB</t>
        </is>
      </c>
      <c r="J8347" t="inlineStr">
        <is>
          <t>ROBERT</t>
        </is>
      </c>
      <c r="L8347">
        <f>_xlfn.XLOOKUP(Tableau1[[#This Row],[TYPE DE PIECE]],Tableau4[MATIERE],Tableau4[SHORT TYPE],"",0,1)</f>
        <v/>
      </c>
      <c r="N8347">
        <f>IF(ISERR(FIND("DECOUPE",Tableau1[[#This Row],[DESIGNATION]])),"","NEED REF")</f>
        <v/>
      </c>
    </row>
    <row r="8348">
      <c r="B8348" t="n">
        <v>34405657</v>
      </c>
      <c r="C8348" s="2" t="n">
        <v>42730</v>
      </c>
      <c r="D8348" t="inlineStr">
        <is>
          <t>SPEC</t>
        </is>
      </c>
      <c r="E8348" t="inlineStr">
        <is>
          <t>CADRE LATERAL</t>
        </is>
      </c>
      <c r="F8348" t="inlineStr">
        <is>
          <t>VX TGAB</t>
        </is>
      </c>
      <c r="J8348" t="inlineStr">
        <is>
          <t>ROBERT</t>
        </is>
      </c>
      <c r="L8348">
        <f>_xlfn.XLOOKUP(Tableau1[[#This Row],[TYPE DE PIECE]],Tableau4[MATIERE],Tableau4[SHORT TYPE],"",0,1)</f>
        <v/>
      </c>
      <c r="N8348">
        <f>IF(ISERR(FIND("DECOUPE",Tableau1[[#This Row],[DESIGNATION]])),"","NEED REF")</f>
        <v/>
      </c>
    </row>
    <row r="8349">
      <c r="B8349" t="n">
        <v>34405656</v>
      </c>
      <c r="C8349" s="2" t="n">
        <v>42730</v>
      </c>
      <c r="D8349" t="inlineStr">
        <is>
          <t>SPEC</t>
        </is>
      </c>
      <c r="E8349" t="inlineStr">
        <is>
          <t>CADRE ARRIERE</t>
        </is>
      </c>
      <c r="F8349" t="inlineStr">
        <is>
          <t>VX TGAB</t>
        </is>
      </c>
      <c r="J8349" t="inlineStr">
        <is>
          <t>ROBERT</t>
        </is>
      </c>
      <c r="L8349">
        <f>_xlfn.XLOOKUP(Tableau1[[#This Row],[TYPE DE PIECE]],Tableau4[MATIERE],Tableau4[SHORT TYPE],"",0,1)</f>
        <v/>
      </c>
      <c r="N8349">
        <f>IF(ISERR(FIND("DECOUPE",Tableau1[[#This Row],[DESIGNATION]])),"","NEED REF")</f>
        <v/>
      </c>
    </row>
    <row r="8350">
      <c r="B8350" t="n">
        <v>34405655</v>
      </c>
      <c r="C8350" s="2" t="n">
        <v>42730</v>
      </c>
      <c r="D8350" t="inlineStr">
        <is>
          <t>SPEC</t>
        </is>
      </c>
      <c r="E8350" t="inlineStr">
        <is>
          <t>CADRE AVANT</t>
        </is>
      </c>
      <c r="F8350" t="inlineStr">
        <is>
          <t>VX TGAB</t>
        </is>
      </c>
      <c r="J8350" t="inlineStr">
        <is>
          <t>ROBERT</t>
        </is>
      </c>
      <c r="L8350">
        <f>_xlfn.XLOOKUP(Tableau1[[#This Row],[TYPE DE PIECE]],Tableau4[MATIERE],Tableau4[SHORT TYPE],"",0,1)</f>
        <v/>
      </c>
      <c r="N8350">
        <f>IF(ISERR(FIND("DECOUPE",Tableau1[[#This Row],[DESIGNATION]])),"","NEED REF")</f>
        <v/>
      </c>
    </row>
    <row r="8351">
      <c r="B8351" t="n">
        <v>34405654</v>
      </c>
      <c r="C8351" s="2" t="n">
        <v>42730</v>
      </c>
      <c r="D8351" t="inlineStr">
        <is>
          <t>SPEC</t>
        </is>
      </c>
      <c r="E8351" t="inlineStr">
        <is>
          <t>FIXATION CADRE AV-AR</t>
        </is>
      </c>
      <c r="F8351" t="inlineStr">
        <is>
          <t>VX TGAB</t>
        </is>
      </c>
      <c r="J8351" t="inlineStr">
        <is>
          <t>ROBERT</t>
        </is>
      </c>
      <c r="L8351">
        <f>_xlfn.XLOOKUP(Tableau1[[#This Row],[TYPE DE PIECE]],Tableau4[MATIERE],Tableau4[SHORT TYPE],"",0,1)</f>
        <v/>
      </c>
      <c r="N8351">
        <f>IF(ISERR(FIND("DECOUPE",Tableau1[[#This Row],[DESIGNATION]])),"","NEED REF")</f>
        <v/>
      </c>
    </row>
    <row r="8352">
      <c r="B8352" t="n">
        <v>34405653</v>
      </c>
      <c r="C8352" s="2" t="n">
        <v>42730</v>
      </c>
      <c r="D8352" t="inlineStr">
        <is>
          <t>SPEC</t>
        </is>
      </c>
      <c r="E8352" t="inlineStr">
        <is>
          <t>FIXATION CADRES</t>
        </is>
      </c>
      <c r="F8352" t="inlineStr">
        <is>
          <t>VX TGAB</t>
        </is>
      </c>
      <c r="J8352" t="inlineStr">
        <is>
          <t>ROBERT</t>
        </is>
      </c>
      <c r="L8352">
        <f>_xlfn.XLOOKUP(Tableau1[[#This Row],[TYPE DE PIECE]],Tableau4[MATIERE],Tableau4[SHORT TYPE],"",0,1)</f>
        <v/>
      </c>
      <c r="N8352">
        <f>IF(ISERR(FIND("DECOUPE",Tableau1[[#This Row],[DESIGNATION]])),"","NEED REF")</f>
        <v/>
      </c>
    </row>
    <row r="8353">
      <c r="B8353" t="n">
        <v>34405652</v>
      </c>
      <c r="C8353" s="2" t="n">
        <v>42724</v>
      </c>
      <c r="D8353" t="inlineStr">
        <is>
          <t>SPEC</t>
        </is>
      </c>
      <c r="E8353" t="inlineStr">
        <is>
          <t>JONCTION CORO TGAB UTIL</t>
        </is>
      </c>
      <c r="F8353" t="inlineStr">
        <is>
          <t>VX TGAB</t>
        </is>
      </c>
      <c r="J8353" t="inlineStr">
        <is>
          <t>ROBERT</t>
        </is>
      </c>
      <c r="L8353">
        <f>_xlfn.XLOOKUP(Tableau1[[#This Row],[TYPE DE PIECE]],Tableau4[MATIERE],Tableau4[SHORT TYPE],"",0,1)</f>
        <v/>
      </c>
      <c r="N8353">
        <f>IF(ISERR(FIND("DECOUPE",Tableau1[[#This Row],[DESIGNATION]])),"","NEED REF")</f>
        <v/>
      </c>
    </row>
    <row r="8354">
      <c r="B8354" t="n">
        <v>34405651</v>
      </c>
      <c r="C8354" s="2" t="n">
        <v>42723</v>
      </c>
      <c r="D8354" t="inlineStr">
        <is>
          <t>SPEC</t>
        </is>
      </c>
      <c r="E8354" t="inlineStr">
        <is>
          <t>PLASTRON ARRIERE</t>
        </is>
      </c>
      <c r="F8354" t="inlineStr">
        <is>
          <t>VX TGAB</t>
        </is>
      </c>
      <c r="J8354" t="inlineStr">
        <is>
          <t>ROBERT</t>
        </is>
      </c>
      <c r="L8354">
        <f>_xlfn.XLOOKUP(Tableau1[[#This Row],[TYPE DE PIECE]],Tableau4[MATIERE],Tableau4[SHORT TYPE],"",0,1)</f>
        <v/>
      </c>
      <c r="N8354">
        <f>IF(ISERR(FIND("DECOUPE",Tableau1[[#This Row],[DESIGNATION]])),"","NEED REF")</f>
        <v/>
      </c>
    </row>
    <row r="8355">
      <c r="B8355" t="n">
        <v>34405650</v>
      </c>
      <c r="C8355" s="2" t="n">
        <v>42723</v>
      </c>
      <c r="D8355" t="inlineStr">
        <is>
          <t>SPEC</t>
        </is>
      </c>
      <c r="E8355" t="inlineStr">
        <is>
          <t>PLASTRON AVANT</t>
        </is>
      </c>
      <c r="F8355" t="inlineStr">
        <is>
          <t>VX TGAB</t>
        </is>
      </c>
      <c r="J8355" t="inlineStr">
        <is>
          <t>ROBERT</t>
        </is>
      </c>
      <c r="L8355">
        <f>_xlfn.XLOOKUP(Tableau1[[#This Row],[TYPE DE PIECE]],Tableau4[MATIERE],Tableau4[SHORT TYPE],"",0,1)</f>
        <v/>
      </c>
      <c r="N8355">
        <f>IF(ISERR(FIND("DECOUPE",Tableau1[[#This Row],[DESIGNATION]])),"","NEED REF")</f>
        <v/>
      </c>
    </row>
    <row r="8356">
      <c r="B8356" t="n">
        <v>34405649</v>
      </c>
      <c r="C8356" s="2" t="n">
        <v>42723</v>
      </c>
      <c r="D8356" t="inlineStr">
        <is>
          <t>SPEC</t>
        </is>
      </c>
      <c r="E8356" t="inlineStr">
        <is>
          <t>JONCTION CORO TGAB R1</t>
        </is>
      </c>
      <c r="F8356" t="inlineStr">
        <is>
          <t>VX TGAB</t>
        </is>
      </c>
      <c r="J8356" t="inlineStr">
        <is>
          <t>ROBERT</t>
        </is>
      </c>
      <c r="L8356">
        <f>_xlfn.XLOOKUP(Tableau1[[#This Row],[TYPE DE PIECE]],Tableau4[MATIERE],Tableau4[SHORT TYPE],"",0,1)</f>
        <v/>
      </c>
      <c r="N8356">
        <f>IF(ISERR(FIND("DECOUPE",Tableau1[[#This Row],[DESIGNATION]])),"","NEED REF")</f>
        <v/>
      </c>
    </row>
    <row r="8357">
      <c r="B8357" t="n">
        <v>34405648</v>
      </c>
      <c r="C8357" s="2" t="n">
        <v>42723</v>
      </c>
      <c r="D8357" t="inlineStr">
        <is>
          <t>SPEC</t>
        </is>
      </c>
      <c r="E8357" t="inlineStr">
        <is>
          <t>JONCTION CORO TGAB DC</t>
        </is>
      </c>
      <c r="F8357" t="inlineStr">
        <is>
          <t>VX TGAB</t>
        </is>
      </c>
      <c r="J8357" t="inlineStr">
        <is>
          <t>ROBERT</t>
        </is>
      </c>
      <c r="L8357">
        <f>_xlfn.XLOOKUP(Tableau1[[#This Row],[TYPE DE PIECE]],Tableau4[MATIERE],Tableau4[SHORT TYPE],"",0,1)</f>
        <v/>
      </c>
      <c r="N8357">
        <f>IF(ISERR(FIND("DECOUPE",Tableau1[[#This Row],[DESIGNATION]])),"","NEED REF")</f>
        <v/>
      </c>
    </row>
    <row r="8358">
      <c r="B8358" t="n">
        <v>34405647</v>
      </c>
      <c r="C8358" s="2" t="n">
        <v>42723</v>
      </c>
      <c r="D8358" t="inlineStr">
        <is>
          <t>SPEC</t>
        </is>
      </c>
      <c r="E8358" t="inlineStr">
        <is>
          <t>JONCTION BARRE CORO R1</t>
        </is>
      </c>
      <c r="F8358" t="inlineStr">
        <is>
          <t>VX TGAB</t>
        </is>
      </c>
      <c r="J8358" t="inlineStr">
        <is>
          <t>ROBERT</t>
        </is>
      </c>
      <c r="L8358">
        <f>_xlfn.XLOOKUP(Tableau1[[#This Row],[TYPE DE PIECE]],Tableau4[MATIERE],Tableau4[SHORT TYPE],"",0,1)</f>
        <v/>
      </c>
      <c r="N8358">
        <f>IF(ISERR(FIND("DECOUPE",Tableau1[[#This Row],[DESIGNATION]])),"","NEED REF")</f>
        <v/>
      </c>
    </row>
    <row r="8359">
      <c r="B8359" t="n">
        <v>34405646</v>
      </c>
      <c r="C8359" s="2" t="n">
        <v>42723</v>
      </c>
      <c r="D8359" t="inlineStr">
        <is>
          <t>SPEC</t>
        </is>
      </c>
      <c r="E8359" t="inlineStr">
        <is>
          <t>JONCTION BARRE CORO R1</t>
        </is>
      </c>
      <c r="F8359" t="inlineStr">
        <is>
          <t>VX TGAB</t>
        </is>
      </c>
      <c r="J8359" t="inlineStr">
        <is>
          <t>ROBERT</t>
        </is>
      </c>
      <c r="L8359">
        <f>_xlfn.XLOOKUP(Tableau1[[#This Row],[TYPE DE PIECE]],Tableau4[MATIERE],Tableau4[SHORT TYPE],"",0,1)</f>
        <v/>
      </c>
      <c r="N8359">
        <f>IF(ISERR(FIND("DECOUPE",Tableau1[[#This Row],[DESIGNATION]])),"","NEED REF")</f>
        <v/>
      </c>
    </row>
    <row r="8360">
      <c r="B8360" t="n">
        <v>34405645</v>
      </c>
      <c r="C8360" s="2" t="n">
        <v>42723</v>
      </c>
      <c r="D8360" t="inlineStr">
        <is>
          <t>SPEC</t>
        </is>
      </c>
      <c r="E8360" t="inlineStr">
        <is>
          <t>FIXATION BARRE DC</t>
        </is>
      </c>
      <c r="F8360" t="inlineStr">
        <is>
          <t>VX TGAB</t>
        </is>
      </c>
      <c r="J8360" t="inlineStr">
        <is>
          <t>ROBERT</t>
        </is>
      </c>
      <c r="L8360">
        <f>_xlfn.XLOOKUP(Tableau1[[#This Row],[TYPE DE PIECE]],Tableau4[MATIERE],Tableau4[SHORT TYPE],"",0,1)</f>
        <v/>
      </c>
      <c r="N8360">
        <f>IF(ISERR(FIND("DECOUPE",Tableau1[[#This Row],[DESIGNATION]])),"","NEED REF")</f>
        <v/>
      </c>
    </row>
    <row r="8361">
      <c r="B8361" t="n">
        <v>34405644</v>
      </c>
      <c r="C8361" s="2" t="n">
        <v>42723</v>
      </c>
      <c r="D8361" t="inlineStr">
        <is>
          <t>SPEC</t>
        </is>
      </c>
      <c r="E8361" t="inlineStr">
        <is>
          <t>CX B-</t>
        </is>
      </c>
      <c r="F8361" t="inlineStr">
        <is>
          <t>VX TGAB</t>
        </is>
      </c>
      <c r="J8361" t="inlineStr">
        <is>
          <t>ROBERT</t>
        </is>
      </c>
      <c r="L8361">
        <f>_xlfn.XLOOKUP(Tableau1[[#This Row],[TYPE DE PIECE]],Tableau4[MATIERE],Tableau4[SHORT TYPE],"",0,1)</f>
        <v/>
      </c>
      <c r="N8361">
        <f>IF(ISERR(FIND("DECOUPE",Tableau1[[#This Row],[DESIGNATION]])),"","NEED REF")</f>
        <v/>
      </c>
    </row>
    <row r="8362">
      <c r="B8362" t="n">
        <v>34405643</v>
      </c>
      <c r="C8362" s="2" t="n">
        <v>42723</v>
      </c>
      <c r="D8362" t="inlineStr">
        <is>
          <t>SPEC</t>
        </is>
      </c>
      <c r="E8362" t="inlineStr">
        <is>
          <t>CX B+</t>
        </is>
      </c>
      <c r="F8362" t="inlineStr">
        <is>
          <t>VX TGAB</t>
        </is>
      </c>
      <c r="J8362" t="inlineStr">
        <is>
          <t>ROBERT</t>
        </is>
      </c>
      <c r="L8362">
        <f>_xlfn.XLOOKUP(Tableau1[[#This Row],[TYPE DE PIECE]],Tableau4[MATIERE],Tableau4[SHORT TYPE],"",0,1)</f>
        <v/>
      </c>
      <c r="N8362">
        <f>IF(ISERR(FIND("DECOUPE",Tableau1[[#This Row],[DESIGNATION]])),"","NEED REF")</f>
        <v/>
      </c>
    </row>
    <row r="8363">
      <c r="B8363" t="n">
        <v>34405642</v>
      </c>
      <c r="C8363" s="2" t="n">
        <v>42723</v>
      </c>
      <c r="D8363" t="inlineStr">
        <is>
          <t>SPEC</t>
        </is>
      </c>
      <c r="E8363" t="inlineStr">
        <is>
          <t>CX L3 Util</t>
        </is>
      </c>
      <c r="F8363" t="inlineStr">
        <is>
          <t>VX TGAB</t>
        </is>
      </c>
      <c r="J8363" t="inlineStr">
        <is>
          <t>ROBERT</t>
        </is>
      </c>
      <c r="L8363">
        <f>_xlfn.XLOOKUP(Tableau1[[#This Row],[TYPE DE PIECE]],Tableau4[MATIERE],Tableau4[SHORT TYPE],"",0,1)</f>
        <v/>
      </c>
      <c r="N8363">
        <f>IF(ISERR(FIND("DECOUPE",Tableau1[[#This Row],[DESIGNATION]])),"","NEED REF")</f>
        <v/>
      </c>
    </row>
    <row r="8364">
      <c r="B8364" t="n">
        <v>34405641</v>
      </c>
      <c r="C8364" s="2" t="n">
        <v>42723</v>
      </c>
      <c r="D8364" t="inlineStr">
        <is>
          <t>SPEC</t>
        </is>
      </c>
      <c r="E8364" t="inlineStr">
        <is>
          <t>CX L2 Util</t>
        </is>
      </c>
      <c r="F8364" t="inlineStr">
        <is>
          <t>VX TGAB</t>
        </is>
      </c>
      <c r="J8364" t="inlineStr">
        <is>
          <t>ROBERT</t>
        </is>
      </c>
      <c r="L8364">
        <f>_xlfn.XLOOKUP(Tableau1[[#This Row],[TYPE DE PIECE]],Tableau4[MATIERE],Tableau4[SHORT TYPE],"",0,1)</f>
        <v/>
      </c>
      <c r="N8364">
        <f>IF(ISERR(FIND("DECOUPE",Tableau1[[#This Row],[DESIGNATION]])),"","NEED REF")</f>
        <v/>
      </c>
    </row>
    <row r="8365">
      <c r="B8365" t="n">
        <v>34405640</v>
      </c>
      <c r="C8365" s="2" t="n">
        <v>42723</v>
      </c>
      <c r="D8365" t="inlineStr">
        <is>
          <t>SPEC</t>
        </is>
      </c>
      <c r="E8365" t="inlineStr">
        <is>
          <t>CX L1 util</t>
        </is>
      </c>
      <c r="F8365" t="inlineStr">
        <is>
          <t>VX TGAB</t>
        </is>
      </c>
      <c r="J8365" t="inlineStr">
        <is>
          <t>ROBERT</t>
        </is>
      </c>
      <c r="L8365">
        <f>_xlfn.XLOOKUP(Tableau1[[#This Row],[TYPE DE PIECE]],Tableau4[MATIERE],Tableau4[SHORT TYPE],"",0,1)</f>
        <v/>
      </c>
      <c r="N8365">
        <f>IF(ISERR(FIND("DECOUPE",Tableau1[[#This Row],[DESIGNATION]])),"","NEED REF")</f>
        <v/>
      </c>
    </row>
    <row r="8366">
      <c r="B8366" t="n">
        <v>34405639</v>
      </c>
      <c r="C8366" s="2" t="n">
        <v>42723</v>
      </c>
      <c r="D8366" t="inlineStr">
        <is>
          <t>SPEC</t>
        </is>
      </c>
      <c r="E8366" t="inlineStr">
        <is>
          <t>CX L3 Reseau 1</t>
        </is>
      </c>
      <c r="F8366" t="inlineStr">
        <is>
          <t>VX TGAB</t>
        </is>
      </c>
      <c r="J8366" t="inlineStr">
        <is>
          <t>ROBERT</t>
        </is>
      </c>
      <c r="L8366">
        <f>_xlfn.XLOOKUP(Tableau1[[#This Row],[TYPE DE PIECE]],Tableau4[MATIERE],Tableau4[SHORT TYPE],"",0,1)</f>
        <v/>
      </c>
      <c r="N8366">
        <f>IF(ISERR(FIND("DECOUPE",Tableau1[[#This Row],[DESIGNATION]])),"","NEED REF")</f>
        <v/>
      </c>
    </row>
    <row r="8367">
      <c r="B8367" t="n">
        <v>34405638</v>
      </c>
      <c r="C8367" s="2" t="n">
        <v>42723</v>
      </c>
      <c r="D8367" t="inlineStr">
        <is>
          <t>SPEC</t>
        </is>
      </c>
      <c r="E8367" t="inlineStr">
        <is>
          <t>CX L2 Reseau 1</t>
        </is>
      </c>
      <c r="F8367" t="inlineStr">
        <is>
          <t>VX TGAB</t>
        </is>
      </c>
      <c r="J8367" t="inlineStr">
        <is>
          <t>ROBERT</t>
        </is>
      </c>
      <c r="L8367">
        <f>_xlfn.XLOOKUP(Tableau1[[#This Row],[TYPE DE PIECE]],Tableau4[MATIERE],Tableau4[SHORT TYPE],"",0,1)</f>
        <v/>
      </c>
      <c r="N8367">
        <f>IF(ISERR(FIND("DECOUPE",Tableau1[[#This Row],[DESIGNATION]])),"","NEED REF")</f>
        <v/>
      </c>
    </row>
    <row r="8368">
      <c r="B8368" t="n">
        <v>34405637</v>
      </c>
      <c r="C8368" s="2" t="n">
        <v>42723</v>
      </c>
      <c r="D8368" t="inlineStr">
        <is>
          <t>SPEC</t>
        </is>
      </c>
      <c r="E8368" t="inlineStr">
        <is>
          <t>CX  L1 reseau 1</t>
        </is>
      </c>
      <c r="F8368" t="inlineStr">
        <is>
          <t>VX TGAB</t>
        </is>
      </c>
      <c r="J8368" t="inlineStr">
        <is>
          <t>ROBERT</t>
        </is>
      </c>
      <c r="L8368">
        <f>_xlfn.XLOOKUP(Tableau1[[#This Row],[TYPE DE PIECE]],Tableau4[MATIERE],Tableau4[SHORT TYPE],"",0,1)</f>
        <v/>
      </c>
      <c r="N8368">
        <f>IF(ISERR(FIND("DECOUPE",Tableau1[[#This Row],[DESIGNATION]])),"","NEED REF")</f>
        <v/>
      </c>
    </row>
    <row r="8369">
      <c r="B8369" t="n">
        <v>34405636</v>
      </c>
      <c r="C8369" s="2" t="inlineStr">
        <is>
          <t>1612/16</t>
        </is>
      </c>
      <c r="D8369" t="inlineStr">
        <is>
          <t>SPEC</t>
        </is>
      </c>
      <c r="E8369" t="inlineStr">
        <is>
          <t>Kit filerie back feed G7K 500kVA</t>
        </is>
      </c>
      <c r="F8369" t="inlineStr">
        <is>
          <t>G7K 500kVA</t>
        </is>
      </c>
      <c r="J8369" t="inlineStr">
        <is>
          <t>REVEL</t>
        </is>
      </c>
      <c r="L8369">
        <f>_xlfn.XLOOKUP(Tableau1[[#This Row],[TYPE DE PIECE]],Tableau4[MATIERE],Tableau4[SHORT TYPE],"",0,1)</f>
        <v/>
      </c>
      <c r="N8369">
        <f>IF(ISERR(FIND("DECOUPE",Tableau1[[#This Row],[DESIGNATION]])),"","NEED REF")</f>
        <v/>
      </c>
    </row>
    <row r="8370">
      <c r="B8370" t="n">
        <v>34405635</v>
      </c>
      <c r="C8370" s="2" t="n">
        <v>42713</v>
      </c>
      <c r="D8370" t="inlineStr">
        <is>
          <t>SPEC</t>
        </is>
      </c>
      <c r="E8370" t="inlineStr">
        <is>
          <t>Plaque gauche droite haut bas</t>
        </is>
      </c>
      <c r="F8370" t="inlineStr">
        <is>
          <t>BBC Cabinet</t>
        </is>
      </c>
      <c r="J8370" t="inlineStr">
        <is>
          <t>DUBOIS</t>
        </is>
      </c>
      <c r="L8370">
        <f>_xlfn.XLOOKUP(Tableau1[[#This Row],[TYPE DE PIECE]],Tableau4[MATIERE],Tableau4[SHORT TYPE],"",0,1)</f>
        <v/>
      </c>
      <c r="N8370">
        <f>IF(ISERR(FIND("DECOUPE",Tableau1[[#This Row],[DESIGNATION]])),"","NEED REF")</f>
        <v/>
      </c>
    </row>
    <row r="8371">
      <c r="B8371" t="n">
        <v>34405634</v>
      </c>
      <c r="C8371" s="2" t="n">
        <v>42713</v>
      </c>
      <c r="D8371" t="inlineStr">
        <is>
          <t>SPEC</t>
        </is>
      </c>
      <c r="E8371" t="inlineStr">
        <is>
          <t>Plaque milieu haut bas</t>
        </is>
      </c>
      <c r="F8371" t="inlineStr">
        <is>
          <t>BBC Cabinet</t>
        </is>
      </c>
      <c r="J8371" t="inlineStr">
        <is>
          <t>DUBOIS</t>
        </is>
      </c>
      <c r="L8371">
        <f>_xlfn.XLOOKUP(Tableau1[[#This Row],[TYPE DE PIECE]],Tableau4[MATIERE],Tableau4[SHORT TYPE],"",0,1)</f>
        <v/>
      </c>
      <c r="N8371">
        <f>IF(ISERR(FIND("DECOUPE",Tableau1[[#This Row],[DESIGNATION]])),"","NEED REF")</f>
        <v/>
      </c>
    </row>
    <row r="8372">
      <c r="B8372" t="n">
        <v>34405633</v>
      </c>
      <c r="C8372" s="2" t="n">
        <v>42713</v>
      </c>
      <c r="D8372" t="inlineStr">
        <is>
          <t>SPEC</t>
        </is>
      </c>
      <c r="E8372" t="inlineStr">
        <is>
          <t>Plastron bas milieu</t>
        </is>
      </c>
      <c r="F8372" t="inlineStr">
        <is>
          <t>BBC Cabinet</t>
        </is>
      </c>
      <c r="J8372" t="inlineStr">
        <is>
          <t>DUBOIS</t>
        </is>
      </c>
      <c r="L8372">
        <f>_xlfn.XLOOKUP(Tableau1[[#This Row],[TYPE DE PIECE]],Tableau4[MATIERE],Tableau4[SHORT TYPE],"",0,1)</f>
        <v/>
      </c>
      <c r="N8372">
        <f>IF(ISERR(FIND("DECOUPE",Tableau1[[#This Row],[DESIGNATION]])),"","NEED REF")</f>
        <v/>
      </c>
    </row>
    <row r="8373">
      <c r="B8373" t="n">
        <v>34405632</v>
      </c>
      <c r="C8373" s="2" t="n">
        <v>42713</v>
      </c>
      <c r="D8373" t="inlineStr">
        <is>
          <t>SPEC</t>
        </is>
      </c>
      <c r="E8373" t="inlineStr">
        <is>
          <t>Plastron milieu milieu</t>
        </is>
      </c>
      <c r="F8373" t="inlineStr">
        <is>
          <t>BBC Cabinet</t>
        </is>
      </c>
      <c r="J8373" t="inlineStr">
        <is>
          <t>DUBOIS</t>
        </is>
      </c>
      <c r="L8373">
        <f>_xlfn.XLOOKUP(Tableau1[[#This Row],[TYPE DE PIECE]],Tableau4[MATIERE],Tableau4[SHORT TYPE],"",0,1)</f>
        <v/>
      </c>
      <c r="N8373">
        <f>IF(ISERR(FIND("DECOUPE",Tableau1[[#This Row],[DESIGNATION]])),"","NEED REF")</f>
        <v/>
      </c>
    </row>
    <row r="8374">
      <c r="B8374" t="n">
        <v>34405631</v>
      </c>
      <c r="C8374" s="2" t="n">
        <v>42713</v>
      </c>
      <c r="D8374" t="inlineStr">
        <is>
          <t>SPEC</t>
        </is>
      </c>
      <c r="E8374" t="inlineStr">
        <is>
          <t>Plastron haut milieu</t>
        </is>
      </c>
      <c r="F8374" t="inlineStr">
        <is>
          <t>BBC Cabinet</t>
        </is>
      </c>
      <c r="J8374" t="inlineStr">
        <is>
          <t>DUBOIS</t>
        </is>
      </c>
      <c r="L8374">
        <f>_xlfn.XLOOKUP(Tableau1[[#This Row],[TYPE DE PIECE]],Tableau4[MATIERE],Tableau4[SHORT TYPE],"",0,1)</f>
        <v/>
      </c>
      <c r="N8374">
        <f>IF(ISERR(FIND("DECOUPE",Tableau1[[#This Row],[DESIGNATION]])),"","NEED REF")</f>
        <v/>
      </c>
    </row>
    <row r="8375">
      <c r="B8375" t="n">
        <v>34405630</v>
      </c>
      <c r="C8375" s="2" t="n">
        <v>42713</v>
      </c>
      <c r="D8375" t="inlineStr">
        <is>
          <t>SPEC</t>
        </is>
      </c>
      <c r="E8375" t="inlineStr">
        <is>
          <t>Plastron milieu gauche droite</t>
        </is>
      </c>
      <c r="F8375" t="inlineStr">
        <is>
          <t>BBC Cabinet</t>
        </is>
      </c>
      <c r="J8375" t="inlineStr">
        <is>
          <t>DUBOIS</t>
        </is>
      </c>
      <c r="L8375">
        <f>_xlfn.XLOOKUP(Tableau1[[#This Row],[TYPE DE PIECE]],Tableau4[MATIERE],Tableau4[SHORT TYPE],"",0,1)</f>
        <v/>
      </c>
      <c r="N8375">
        <f>IF(ISERR(FIND("DECOUPE",Tableau1[[#This Row],[DESIGNATION]])),"","NEED REF")</f>
        <v/>
      </c>
    </row>
    <row r="8376">
      <c r="B8376" t="n">
        <v>34405629</v>
      </c>
      <c r="C8376" s="2" t="n">
        <v>42713</v>
      </c>
      <c r="D8376" t="inlineStr">
        <is>
          <t>SPEC</t>
        </is>
      </c>
      <c r="E8376" t="inlineStr">
        <is>
          <t>Plastron haut bas gauche droite</t>
        </is>
      </c>
      <c r="F8376" t="inlineStr">
        <is>
          <t>BBC Cabinet</t>
        </is>
      </c>
      <c r="J8376" t="inlineStr">
        <is>
          <t>DUBOIS</t>
        </is>
      </c>
      <c r="L8376">
        <f>_xlfn.XLOOKUP(Tableau1[[#This Row],[TYPE DE PIECE]],Tableau4[MATIERE],Tableau4[SHORT TYPE],"",0,1)</f>
        <v/>
      </c>
      <c r="N8376">
        <f>IF(ISERR(FIND("DECOUPE",Tableau1[[#This Row],[DESIGNATION]])),"","NEED REF")</f>
        <v/>
      </c>
    </row>
    <row r="8377">
      <c r="B8377" t="n">
        <v>34405628</v>
      </c>
      <c r="C8377" s="2" t="n">
        <v>42713</v>
      </c>
      <c r="D8377" t="inlineStr">
        <is>
          <t>SPEC</t>
        </is>
      </c>
      <c r="E8377" t="inlineStr">
        <is>
          <t>Equerre longue gauche  plastron</t>
        </is>
      </c>
      <c r="F8377" t="inlineStr">
        <is>
          <t>BBC Cabinet</t>
        </is>
      </c>
      <c r="J8377" t="inlineStr">
        <is>
          <t>DUBOIS</t>
        </is>
      </c>
      <c r="L8377">
        <f>_xlfn.XLOOKUP(Tableau1[[#This Row],[TYPE DE PIECE]],Tableau4[MATIERE],Tableau4[SHORT TYPE],"",0,1)</f>
        <v/>
      </c>
      <c r="N8377">
        <f>IF(ISERR(FIND("DECOUPE",Tableau1[[#This Row],[DESIGNATION]])),"","NEED REF")</f>
        <v/>
      </c>
    </row>
    <row r="8378">
      <c r="B8378" t="n">
        <v>34405627</v>
      </c>
      <c r="C8378" s="2" t="n">
        <v>42713</v>
      </c>
      <c r="D8378" t="inlineStr">
        <is>
          <t>SPEC</t>
        </is>
      </c>
      <c r="E8378" t="inlineStr">
        <is>
          <t>Equerre longue droite percee plastron</t>
        </is>
      </c>
      <c r="F8378" t="inlineStr">
        <is>
          <t>BBC Cabinet</t>
        </is>
      </c>
      <c r="J8378" t="inlineStr">
        <is>
          <t>DUBOIS</t>
        </is>
      </c>
      <c r="L8378">
        <f>_xlfn.XLOOKUP(Tableau1[[#This Row],[TYPE DE PIECE]],Tableau4[MATIERE],Tableau4[SHORT TYPE],"",0,1)</f>
        <v/>
      </c>
      <c r="N8378">
        <f>IF(ISERR(FIND("DECOUPE",Tableau1[[#This Row],[DESIGNATION]])),"","NEED REF")</f>
        <v/>
      </c>
    </row>
    <row r="8379">
      <c r="B8379" t="n">
        <v>34405626</v>
      </c>
      <c r="C8379" s="2" t="n">
        <v>42713</v>
      </c>
      <c r="D8379" t="inlineStr">
        <is>
          <t>SPEC</t>
        </is>
      </c>
      <c r="E8379" t="inlineStr">
        <is>
          <t>Equerre droire  plastron</t>
        </is>
      </c>
      <c r="F8379" t="inlineStr">
        <is>
          <t>BBC Cabinet</t>
        </is>
      </c>
      <c r="J8379" t="inlineStr">
        <is>
          <t>DUBOIS</t>
        </is>
      </c>
      <c r="L8379">
        <f>_xlfn.XLOOKUP(Tableau1[[#This Row],[TYPE DE PIECE]],Tableau4[MATIERE],Tableau4[SHORT TYPE],"",0,1)</f>
        <v/>
      </c>
      <c r="N8379">
        <f>IF(ISERR(FIND("DECOUPE",Tableau1[[#This Row],[DESIGNATION]])),"","NEED REF")</f>
        <v/>
      </c>
    </row>
    <row r="8380">
      <c r="B8380" t="n">
        <v>34405625</v>
      </c>
      <c r="C8380" s="2" t="n">
        <v>42713</v>
      </c>
      <c r="D8380" t="inlineStr">
        <is>
          <t>SPEC</t>
        </is>
      </c>
      <c r="E8380" t="inlineStr">
        <is>
          <t>Equerre gauche  plastron</t>
        </is>
      </c>
      <c r="F8380" t="inlineStr">
        <is>
          <t>BBC Cabinet</t>
        </is>
      </c>
      <c r="J8380" t="inlineStr">
        <is>
          <t>DUBOIS</t>
        </is>
      </c>
      <c r="L8380">
        <f>_xlfn.XLOOKUP(Tableau1[[#This Row],[TYPE DE PIECE]],Tableau4[MATIERE],Tableau4[SHORT TYPE],"",0,1)</f>
        <v/>
      </c>
      <c r="N8380">
        <f>IF(ISERR(FIND("DECOUPE",Tableau1[[#This Row],[DESIGNATION]])),"","NEED REF")</f>
        <v/>
      </c>
    </row>
    <row r="8381">
      <c r="B8381" t="n">
        <v>34405624</v>
      </c>
      <c r="C8381" s="2" t="n">
        <v>42713</v>
      </c>
      <c r="D8381" t="inlineStr">
        <is>
          <t>SPEC</t>
        </is>
      </c>
      <c r="E8381" t="inlineStr">
        <is>
          <t>Equerre gauche percee plastron</t>
        </is>
      </c>
      <c r="F8381" t="inlineStr">
        <is>
          <t>BBC Cabinet</t>
        </is>
      </c>
      <c r="J8381" t="inlineStr">
        <is>
          <t>DUBOIS</t>
        </is>
      </c>
      <c r="L8381">
        <f>_xlfn.XLOOKUP(Tableau1[[#This Row],[TYPE DE PIECE]],Tableau4[MATIERE],Tableau4[SHORT TYPE],"",0,1)</f>
        <v/>
      </c>
      <c r="N8381">
        <f>IF(ISERR(FIND("DECOUPE",Tableau1[[#This Row],[DESIGNATION]])),"","NEED REF")</f>
        <v/>
      </c>
    </row>
    <row r="8382">
      <c r="B8382" t="n">
        <v>34405623</v>
      </c>
      <c r="C8382" s="2" t="n">
        <v>42713</v>
      </c>
      <c r="D8382" t="inlineStr">
        <is>
          <t>SPEC</t>
        </is>
      </c>
      <c r="E8382" t="inlineStr">
        <is>
          <t>Equerre droite percee plastron</t>
        </is>
      </c>
      <c r="F8382" t="inlineStr">
        <is>
          <t>BBC Cabinet</t>
        </is>
      </c>
      <c r="J8382" t="inlineStr">
        <is>
          <t>DUBOIS</t>
        </is>
      </c>
      <c r="L8382">
        <f>_xlfn.XLOOKUP(Tableau1[[#This Row],[TYPE DE PIECE]],Tableau4[MATIERE],Tableau4[SHORT TYPE],"",0,1)</f>
        <v/>
      </c>
      <c r="N8382">
        <f>IF(ISERR(FIND("DECOUPE",Tableau1[[#This Row],[DESIGNATION]])),"","NEED REF")</f>
        <v/>
      </c>
    </row>
    <row r="8383">
      <c r="B8383" t="n">
        <v>34405622</v>
      </c>
      <c r="C8383" s="2" t="n">
        <v>42713</v>
      </c>
      <c r="D8383" t="inlineStr">
        <is>
          <t>SPEC</t>
        </is>
      </c>
      <c r="E8383" t="inlineStr">
        <is>
          <t>PLATINE INTER INS250</t>
        </is>
      </c>
      <c r="F8383" t="inlineStr">
        <is>
          <t>REGEN BOX</t>
        </is>
      </c>
      <c r="J8383" t="inlineStr">
        <is>
          <t>MATRION</t>
        </is>
      </c>
      <c r="L8383">
        <f>_xlfn.XLOOKUP(Tableau1[[#This Row],[TYPE DE PIECE]],Tableau4[MATIERE],Tableau4[SHORT TYPE],"",0,1)</f>
        <v/>
      </c>
      <c r="N8383">
        <f>IF(ISERR(FIND("DECOUPE",Tableau1[[#This Row],[DESIGNATION]])),"","NEED REF")</f>
        <v/>
      </c>
    </row>
    <row r="8384">
      <c r="B8384" t="n">
        <v>34405621</v>
      </c>
      <c r="C8384" s="2" t="n">
        <v>42713</v>
      </c>
      <c r="D8384" t="inlineStr">
        <is>
          <t>SPEC</t>
        </is>
      </c>
      <c r="E8384" t="inlineStr">
        <is>
          <t>OBTURATEUR CS</t>
        </is>
      </c>
      <c r="F8384" t="inlineStr">
        <is>
          <t>REGEN BOX</t>
        </is>
      </c>
      <c r="J8384" t="inlineStr">
        <is>
          <t>MATRION</t>
        </is>
      </c>
      <c r="L8384">
        <f>_xlfn.XLOOKUP(Tableau1[[#This Row],[TYPE DE PIECE]],Tableau4[MATIERE],Tableau4[SHORT TYPE],"",0,1)</f>
        <v/>
      </c>
      <c r="N8384">
        <f>IF(ISERR(FIND("DECOUPE",Tableau1[[#This Row],[DESIGNATION]])),"","NEED REF")</f>
        <v/>
      </c>
    </row>
    <row r="8385">
      <c r="B8385" t="n">
        <v>34405620</v>
      </c>
      <c r="C8385" s="2" t="n">
        <v>42710</v>
      </c>
      <c r="D8385" t="inlineStr">
        <is>
          <t>SPEC</t>
        </is>
      </c>
      <c r="E8385" t="inlineStr">
        <is>
          <t xml:space="preserve">CABLE PUISSANCE </t>
        </is>
      </c>
      <c r="F8385" t="inlineStr">
        <is>
          <t>REGEN BOX</t>
        </is>
      </c>
      <c r="J8385" t="inlineStr">
        <is>
          <t>REVEL</t>
        </is>
      </c>
      <c r="L8385">
        <f>_xlfn.XLOOKUP(Tableau1[[#This Row],[TYPE DE PIECE]],Tableau4[MATIERE],Tableau4[SHORT TYPE],"",0,1)</f>
        <v/>
      </c>
      <c r="N8385">
        <f>IF(ISERR(FIND("DECOUPE",Tableau1[[#This Row],[DESIGNATION]])),"","NEED REF")</f>
        <v/>
      </c>
    </row>
    <row r="8386">
      <c r="B8386" t="n">
        <v>34405619</v>
      </c>
      <c r="C8386" s="2" t="n">
        <v>42710</v>
      </c>
      <c r="D8386" t="inlineStr">
        <is>
          <t>SPEC</t>
        </is>
      </c>
      <c r="E8386" t="inlineStr">
        <is>
          <t>FILERIE CSDT Thyritor</t>
        </is>
      </c>
      <c r="F8386" t="inlineStr">
        <is>
          <t>REGEN BOX</t>
        </is>
      </c>
      <c r="J8386" t="inlineStr">
        <is>
          <t>REVEL</t>
        </is>
      </c>
      <c r="L8386">
        <f>_xlfn.XLOOKUP(Tableau1[[#This Row],[TYPE DE PIECE]],Tableau4[MATIERE],Tableau4[SHORT TYPE],"",0,1)</f>
        <v/>
      </c>
      <c r="N8386">
        <f>IF(ISERR(FIND("DECOUPE",Tableau1[[#This Row],[DESIGNATION]])),"","NEED REF")</f>
        <v/>
      </c>
    </row>
    <row r="8387">
      <c r="B8387" t="n">
        <v>34405618</v>
      </c>
      <c r="C8387" s="2" t="n">
        <v>42710</v>
      </c>
      <c r="D8387" t="inlineStr">
        <is>
          <t>SPEC</t>
        </is>
      </c>
      <c r="E8387" t="inlineStr">
        <is>
          <t>FILERIE DALIT ventilation CS</t>
        </is>
      </c>
      <c r="F8387" t="inlineStr">
        <is>
          <t>REGEN BOX</t>
        </is>
      </c>
      <c r="J8387" t="inlineStr">
        <is>
          <t>REVEL</t>
        </is>
      </c>
      <c r="L8387">
        <f>_xlfn.XLOOKUP(Tableau1[[#This Row],[TYPE DE PIECE]],Tableau4[MATIERE],Tableau4[SHORT TYPE],"",0,1)</f>
        <v/>
      </c>
      <c r="N8387">
        <f>IF(ISERR(FIND("DECOUPE",Tableau1[[#This Row],[DESIGNATION]])),"","NEED REF")</f>
        <v/>
      </c>
    </row>
    <row r="8388">
      <c r="B8388" t="n">
        <v>34405617</v>
      </c>
      <c r="C8388" s="2" t="n">
        <v>42710</v>
      </c>
      <c r="D8388" t="inlineStr">
        <is>
          <t>DM</t>
        </is>
      </c>
      <c r="E8388" t="inlineStr">
        <is>
          <t>Dossier de montage prises WIELAND</t>
        </is>
      </c>
      <c r="F8388" t="inlineStr">
        <is>
          <t xml:space="preserve">PDU APC (AP7155 - AP7175 - AP8886) </t>
        </is>
      </c>
      <c r="J8388" t="inlineStr">
        <is>
          <t>MONGELLI</t>
        </is>
      </c>
      <c r="L8388">
        <f>_xlfn.XLOOKUP(Tableau1[[#This Row],[TYPE DE PIECE]],Tableau4[MATIERE],Tableau4[SHORT TYPE],"",0,1)</f>
        <v/>
      </c>
      <c r="N8388">
        <f>IF(ISERR(FIND("DECOUPE",Tableau1[[#This Row],[DESIGNATION]])),"","NEED REF")</f>
        <v/>
      </c>
    </row>
    <row r="8389">
      <c r="B8389" t="n">
        <v>34405616</v>
      </c>
      <c r="C8389" s="2" t="n">
        <v>42709</v>
      </c>
      <c r="D8389" t="inlineStr">
        <is>
          <t>SPEC</t>
        </is>
      </c>
      <c r="E8389" t="inlineStr">
        <is>
          <t>CABLE PE 70² DOUBLE QSMA75877</t>
        </is>
      </c>
      <c r="F8389" t="inlineStr">
        <is>
          <t>QSMA75877 NSX400N 4P</t>
        </is>
      </c>
      <c r="J8389" t="inlineStr">
        <is>
          <t>ÇAKIR</t>
        </is>
      </c>
      <c r="L8389">
        <f>_xlfn.XLOOKUP(Tableau1[[#This Row],[TYPE DE PIECE]],Tableau4[MATIERE],Tableau4[SHORT TYPE],"",0,1)</f>
        <v/>
      </c>
      <c r="N8389">
        <f>IF(ISERR(FIND("DECOUPE",Tableau1[[#This Row],[DESIGNATION]])),"","NEED REF")</f>
        <v/>
      </c>
    </row>
    <row r="8390">
      <c r="B8390" t="n">
        <v>34405615</v>
      </c>
      <c r="C8390" s="2" t="n">
        <v>42709</v>
      </c>
      <c r="D8390" t="inlineStr">
        <is>
          <t>SPEC</t>
        </is>
      </c>
      <c r="E8390" t="inlineStr">
        <is>
          <t>HARNESS POWER U6 &gt; F7</t>
        </is>
      </c>
      <c r="F8390" t="inlineStr">
        <is>
          <t>SOLAR PV MCC PV Box 1.36 ETO</t>
        </is>
      </c>
      <c r="J8390" t="inlineStr">
        <is>
          <t>MONGELLI</t>
        </is>
      </c>
      <c r="L8390">
        <f>_xlfn.XLOOKUP(Tableau1[[#This Row],[TYPE DE PIECE]],Tableau4[MATIERE],Tableau4[SHORT TYPE],"",0,1)</f>
        <v/>
      </c>
      <c r="N8390">
        <f>IF(ISERR(FIND("DECOUPE",Tableau1[[#This Row],[DESIGNATION]])),"","NEED REF")</f>
        <v/>
      </c>
    </row>
    <row r="8391">
      <c r="B8391" t="n">
        <v>34405614</v>
      </c>
      <c r="C8391" s="2" t="n">
        <v>42709</v>
      </c>
      <c r="D8391" t="inlineStr">
        <is>
          <t>SPEC</t>
        </is>
      </c>
      <c r="E8391" t="inlineStr">
        <is>
          <t>HARNESS POWER U6 &gt; F6</t>
        </is>
      </c>
      <c r="F8391" t="inlineStr">
        <is>
          <t>SOLAR PV MCC PV Box 1.36 ETO</t>
        </is>
      </c>
      <c r="J8391" t="inlineStr">
        <is>
          <t>MONGELLI</t>
        </is>
      </c>
      <c r="L8391">
        <f>_xlfn.XLOOKUP(Tableau1[[#This Row],[TYPE DE PIECE]],Tableau4[MATIERE],Tableau4[SHORT TYPE],"",0,1)</f>
        <v/>
      </c>
      <c r="N8391">
        <f>IF(ISERR(FIND("DECOUPE",Tableau1[[#This Row],[DESIGNATION]])),"","NEED REF")</f>
        <v/>
      </c>
    </row>
    <row r="8392">
      <c r="B8392" t="n">
        <v>34405613</v>
      </c>
      <c r="C8392" s="2" t="n">
        <v>42709</v>
      </c>
      <c r="D8392" t="inlineStr">
        <is>
          <t>SPEC</t>
        </is>
      </c>
      <c r="E8392" t="inlineStr">
        <is>
          <t>HARNESS POWER U6 &gt; F5</t>
        </is>
      </c>
      <c r="F8392" t="inlineStr">
        <is>
          <t>SOLAR PV MCC PV Box 1.36 ETO</t>
        </is>
      </c>
      <c r="J8392" t="inlineStr">
        <is>
          <t>MONGELLI</t>
        </is>
      </c>
      <c r="L8392">
        <f>_xlfn.XLOOKUP(Tableau1[[#This Row],[TYPE DE PIECE]],Tableau4[MATIERE],Tableau4[SHORT TYPE],"",0,1)</f>
        <v/>
      </c>
      <c r="N8392">
        <f>IF(ISERR(FIND("DECOUPE",Tableau1[[#This Row],[DESIGNATION]])),"","NEED REF")</f>
        <v/>
      </c>
    </row>
    <row r="8393">
      <c r="B8393" t="n">
        <v>34405612</v>
      </c>
      <c r="C8393" s="2" t="n">
        <v>42709</v>
      </c>
      <c r="D8393" t="inlineStr">
        <is>
          <t>SPEC</t>
        </is>
      </c>
      <c r="E8393" t="inlineStr">
        <is>
          <t>Kit filerie fils fins  PV MCC PV Box 1.36</t>
        </is>
      </c>
      <c r="F8393" t="inlineStr">
        <is>
          <t>SOLAR PV MCC PV Box 1.36 ETO</t>
        </is>
      </c>
      <c r="J8393" t="inlineStr">
        <is>
          <t>MONGELLI</t>
        </is>
      </c>
      <c r="L8393">
        <f>_xlfn.XLOOKUP(Tableau1[[#This Row],[TYPE DE PIECE]],Tableau4[MATIERE],Tableau4[SHORT TYPE],"",0,1)</f>
        <v/>
      </c>
      <c r="N8393">
        <f>IF(ISERR(FIND("DECOUPE",Tableau1[[#This Row],[DESIGNATION]])),"","NEED REF")</f>
        <v/>
      </c>
    </row>
    <row r="8394">
      <c r="B8394" t="n">
        <v>34405611</v>
      </c>
      <c r="C8394" s="2" t="n"/>
      <c r="E8394" t="inlineStr">
        <is>
          <t>Joint plaque passe cable</t>
        </is>
      </c>
      <c r="F8394" t="inlineStr">
        <is>
          <t>HEXCEL</t>
        </is>
      </c>
      <c r="J8394" t="inlineStr">
        <is>
          <t>MASCELLINO</t>
        </is>
      </c>
      <c r="L8394">
        <f>_xlfn.XLOOKUP(Tableau1[[#This Row],[TYPE DE PIECE]],Tableau4[MATIERE],Tableau4[SHORT TYPE],"",0,1)</f>
        <v/>
      </c>
      <c r="N8394">
        <f>IF(ISERR(FIND("DECOUPE",Tableau1[[#This Row],[DESIGNATION]])),"","NEED REF")</f>
        <v/>
      </c>
    </row>
    <row r="8395">
      <c r="B8395" t="n">
        <v>34405610</v>
      </c>
      <c r="C8395" s="2" t="n"/>
      <c r="E8395" t="inlineStr">
        <is>
          <t>Plaque passe cable</t>
        </is>
      </c>
      <c r="F8395" t="inlineStr">
        <is>
          <t>HEXCEL</t>
        </is>
      </c>
      <c r="J8395" t="inlineStr">
        <is>
          <t>MASCELLINO</t>
        </is>
      </c>
      <c r="L8395">
        <f>_xlfn.XLOOKUP(Tableau1[[#This Row],[TYPE DE PIECE]],Tableau4[MATIERE],Tableau4[SHORT TYPE],"",0,1)</f>
        <v/>
      </c>
      <c r="N8395">
        <f>IF(ISERR(FIND("DECOUPE",Tableau1[[#This Row],[DESIGNATION]])),"","NEED REF")</f>
        <v/>
      </c>
    </row>
    <row r="8396">
      <c r="B8396" t="n">
        <v>34405609</v>
      </c>
      <c r="C8396" s="2" t="n">
        <v>42704</v>
      </c>
      <c r="E8396" t="inlineStr">
        <is>
          <t>Equerre support fusibles</t>
        </is>
      </c>
      <c r="F8396" t="inlineStr">
        <is>
          <t>BBC Cabinet</t>
        </is>
      </c>
      <c r="J8396" t="inlineStr">
        <is>
          <t>DUBOIS</t>
        </is>
      </c>
      <c r="L8396">
        <f>_xlfn.XLOOKUP(Tableau1[[#This Row],[TYPE DE PIECE]],Tableau4[MATIERE],Tableau4[SHORT TYPE],"",0,1)</f>
        <v/>
      </c>
      <c r="N8396">
        <f>IF(ISERR(FIND("DECOUPE",Tableau1[[#This Row],[DESIGNATION]])),"","NEED REF")</f>
        <v/>
      </c>
    </row>
    <row r="8397">
      <c r="B8397" t="n">
        <v>34405608</v>
      </c>
      <c r="C8397" s="2" t="n">
        <v>42703</v>
      </c>
      <c r="E8397" t="inlineStr">
        <is>
          <t>Plastron isolant carte électronique</t>
        </is>
      </c>
      <c r="F8397" t="inlineStr">
        <is>
          <t>BBC Cabinet</t>
        </is>
      </c>
      <c r="J8397" t="inlineStr">
        <is>
          <t>DUBOIS</t>
        </is>
      </c>
      <c r="L8397">
        <f>_xlfn.XLOOKUP(Tableau1[[#This Row],[TYPE DE PIECE]],Tableau4[MATIERE],Tableau4[SHORT TYPE],"",0,1)</f>
        <v/>
      </c>
      <c r="N8397">
        <f>IF(ISERR(FIND("DECOUPE",Tableau1[[#This Row],[DESIGNATION]])),"","NEED REF")</f>
        <v/>
      </c>
    </row>
    <row r="8398">
      <c r="B8398" t="n">
        <v>34405607</v>
      </c>
      <c r="C8398" s="2" t="n">
        <v>42703</v>
      </c>
      <c r="E8398" t="inlineStr">
        <is>
          <t>Plastron isolant</t>
        </is>
      </c>
      <c r="F8398" t="inlineStr">
        <is>
          <t>BBC Cabinet</t>
        </is>
      </c>
      <c r="J8398" t="inlineStr">
        <is>
          <t>DUBOIS</t>
        </is>
      </c>
      <c r="L8398">
        <f>_xlfn.XLOOKUP(Tableau1[[#This Row],[TYPE DE PIECE]],Tableau4[MATIERE],Tableau4[SHORT TYPE],"",0,1)</f>
        <v/>
      </c>
      <c r="N8398">
        <f>IF(ISERR(FIND("DECOUPE",Tableau1[[#This Row],[DESIGNATION]])),"","NEED REF")</f>
        <v/>
      </c>
    </row>
    <row r="8399">
      <c r="B8399" t="n">
        <v>34405606</v>
      </c>
      <c r="C8399" s="2" t="n">
        <v>42703</v>
      </c>
      <c r="E8399" t="inlineStr">
        <is>
          <t>Equerre support barre H110</t>
        </is>
      </c>
      <c r="F8399" t="inlineStr">
        <is>
          <t>BBC Cabinet</t>
        </is>
      </c>
      <c r="J8399" t="inlineStr">
        <is>
          <t>DUBOIS</t>
        </is>
      </c>
      <c r="L8399">
        <f>_xlfn.XLOOKUP(Tableau1[[#This Row],[TYPE DE PIECE]],Tableau4[MATIERE],Tableau4[SHORT TYPE],"",0,1)</f>
        <v/>
      </c>
      <c r="N8399">
        <f>IF(ISERR(FIND("DECOUPE",Tableau1[[#This Row],[DESIGNATION]])),"","NEED REF")</f>
        <v/>
      </c>
    </row>
    <row r="8400">
      <c r="B8400" t="n">
        <v>34405605</v>
      </c>
      <c r="C8400" s="2" t="n">
        <v>42703</v>
      </c>
      <c r="E8400" t="inlineStr">
        <is>
          <t>Equerre support barre H80</t>
        </is>
      </c>
      <c r="F8400" t="inlineStr">
        <is>
          <t>BBC Cabinet</t>
        </is>
      </c>
      <c r="J8400" t="inlineStr">
        <is>
          <t>DUBOIS</t>
        </is>
      </c>
      <c r="L8400">
        <f>_xlfn.XLOOKUP(Tableau1[[#This Row],[TYPE DE PIECE]],Tableau4[MATIERE],Tableau4[SHORT TYPE],"",0,1)</f>
        <v/>
      </c>
      <c r="N8400">
        <f>IF(ISERR(FIND("DECOUPE",Tableau1[[#This Row],[DESIGNATION]])),"","NEED REF")</f>
        <v/>
      </c>
    </row>
    <row r="8401">
      <c r="B8401" t="n">
        <v>34405604</v>
      </c>
      <c r="C8401" s="2" t="n">
        <v>42703</v>
      </c>
      <c r="E8401" t="inlineStr">
        <is>
          <t>Platine support cartes</t>
        </is>
      </c>
      <c r="F8401" t="inlineStr">
        <is>
          <t>BBC Cabinet</t>
        </is>
      </c>
      <c r="J8401" t="inlineStr">
        <is>
          <t>DUBOIS</t>
        </is>
      </c>
      <c r="L8401">
        <f>_xlfn.XLOOKUP(Tableau1[[#This Row],[TYPE DE PIECE]],Tableau4[MATIERE],Tableau4[SHORT TYPE],"",0,1)</f>
        <v/>
      </c>
      <c r="N8401">
        <f>IF(ISERR(FIND("DECOUPE",Tableau1[[#This Row],[DESIGNATION]])),"","NEED REF")</f>
        <v/>
      </c>
    </row>
    <row r="8402">
      <c r="B8402" t="n">
        <v>34405603</v>
      </c>
      <c r="C8402" s="2" t="n">
        <v>42703</v>
      </c>
      <c r="E8402" t="inlineStr">
        <is>
          <t>Platine masterpac</t>
        </is>
      </c>
      <c r="F8402" t="inlineStr">
        <is>
          <t>BBC Cabinet</t>
        </is>
      </c>
      <c r="J8402" t="inlineStr">
        <is>
          <t>DUBOIS</t>
        </is>
      </c>
      <c r="L8402">
        <f>_xlfn.XLOOKUP(Tableau1[[#This Row],[TYPE DE PIECE]],Tableau4[MATIERE],Tableau4[SHORT TYPE],"",0,1)</f>
        <v/>
      </c>
      <c r="N8402">
        <f>IF(ISERR(FIND("DECOUPE",Tableau1[[#This Row],[DESIGNATION]])),"","NEED REF")</f>
        <v/>
      </c>
    </row>
    <row r="8403">
      <c r="B8403" t="n">
        <v>34405602</v>
      </c>
      <c r="C8403" s="2" t="n">
        <v>42703</v>
      </c>
      <c r="E8403" t="inlineStr">
        <is>
          <t>Traverse support barre</t>
        </is>
      </c>
      <c r="F8403" t="inlineStr">
        <is>
          <t>BBC Cabinet</t>
        </is>
      </c>
      <c r="J8403" t="inlineStr">
        <is>
          <t>DUBOIS</t>
        </is>
      </c>
      <c r="L8403">
        <f>_xlfn.XLOOKUP(Tableau1[[#This Row],[TYPE DE PIECE]],Tableau4[MATIERE],Tableau4[SHORT TYPE],"",0,1)</f>
        <v/>
      </c>
      <c r="N8403">
        <f>IF(ISERR(FIND("DECOUPE",Tableau1[[#This Row],[DESIGNATION]])),"","NEED REF")</f>
        <v/>
      </c>
    </row>
    <row r="8404">
      <c r="B8404" t="n">
        <v>34405601</v>
      </c>
      <c r="C8404" s="2" t="n">
        <v>42703</v>
      </c>
      <c r="E8404" t="inlineStr">
        <is>
          <t>Traverse arrière</t>
        </is>
      </c>
      <c r="F8404" t="inlineStr">
        <is>
          <t>BBC Cabinet</t>
        </is>
      </c>
      <c r="J8404" t="inlineStr">
        <is>
          <t>DUBOIS</t>
        </is>
      </c>
      <c r="L8404">
        <f>_xlfn.XLOOKUP(Tableau1[[#This Row],[TYPE DE PIECE]],Tableau4[MATIERE],Tableau4[SHORT TYPE],"",0,1)</f>
        <v/>
      </c>
      <c r="N8404">
        <f>IF(ISERR(FIND("DECOUPE",Tableau1[[#This Row],[DESIGNATION]])),"","NEED REF")</f>
        <v/>
      </c>
    </row>
    <row r="8405">
      <c r="B8405" t="n">
        <v>34405600</v>
      </c>
      <c r="C8405" s="2" t="n">
        <v>42703</v>
      </c>
      <c r="E8405" t="inlineStr">
        <is>
          <t>Traverse droite</t>
        </is>
      </c>
      <c r="F8405" t="inlineStr">
        <is>
          <t>BBC Cabinet</t>
        </is>
      </c>
      <c r="J8405" t="inlineStr">
        <is>
          <t>DUBOIS</t>
        </is>
      </c>
      <c r="L8405">
        <f>_xlfn.XLOOKUP(Tableau1[[#This Row],[TYPE DE PIECE]],Tableau4[MATIERE],Tableau4[SHORT TYPE],"",0,1)</f>
        <v/>
      </c>
      <c r="N8405">
        <f>IF(ISERR(FIND("DECOUPE",Tableau1[[#This Row],[DESIGNATION]])),"","NEED REF")</f>
        <v/>
      </c>
    </row>
    <row r="8406">
      <c r="B8406" t="n">
        <v>34405599</v>
      </c>
      <c r="C8406" s="2" t="n">
        <v>42703</v>
      </c>
      <c r="E8406" t="inlineStr">
        <is>
          <t>Traverse gauche</t>
        </is>
      </c>
      <c r="F8406" t="inlineStr">
        <is>
          <t>BBC Cabinet</t>
        </is>
      </c>
      <c r="J8406" t="inlineStr">
        <is>
          <t>DUBOIS</t>
        </is>
      </c>
      <c r="L8406">
        <f>_xlfn.XLOOKUP(Tableau1[[#This Row],[TYPE DE PIECE]],Tableau4[MATIERE],Tableau4[SHORT TYPE],"",0,1)</f>
        <v/>
      </c>
      <c r="N8406">
        <f>IF(ISERR(FIND("DECOUPE",Tableau1[[#This Row],[DESIGNATION]])),"","NEED REF")</f>
        <v/>
      </c>
    </row>
    <row r="8407">
      <c r="B8407" t="n">
        <v>34405598</v>
      </c>
      <c r="C8407" s="2" t="n">
        <v>42703</v>
      </c>
      <c r="E8407" t="inlineStr">
        <is>
          <t>Barre terre</t>
        </is>
      </c>
      <c r="F8407" t="inlineStr">
        <is>
          <t>BBC Cabinet</t>
        </is>
      </c>
      <c r="J8407" t="inlineStr">
        <is>
          <t>DUBOIS</t>
        </is>
      </c>
      <c r="L8407">
        <f>_xlfn.XLOOKUP(Tableau1[[#This Row],[TYPE DE PIECE]],Tableau4[MATIERE],Tableau4[SHORT TYPE],"",0,1)</f>
        <v/>
      </c>
      <c r="N8407">
        <f>IF(ISERR(FIND("DECOUPE",Tableau1[[#This Row],[DESIGNATION]])),"","NEED REF")</f>
        <v/>
      </c>
    </row>
    <row r="8408">
      <c r="B8408" t="n">
        <v>34405597</v>
      </c>
      <c r="C8408" s="2" t="n">
        <v>42703</v>
      </c>
      <c r="E8408" t="inlineStr">
        <is>
          <t>Cale</t>
        </is>
      </c>
      <c r="F8408" t="inlineStr">
        <is>
          <t>BBC Cabinet</t>
        </is>
      </c>
      <c r="J8408" t="inlineStr">
        <is>
          <t>DUBOIS</t>
        </is>
      </c>
      <c r="L8408">
        <f>_xlfn.XLOOKUP(Tableau1[[#This Row],[TYPE DE PIECE]],Tableau4[MATIERE],Tableau4[SHORT TYPE],"",0,1)</f>
        <v/>
      </c>
      <c r="N8408">
        <f>IF(ISERR(FIND("DECOUPE",Tableau1[[#This Row],[DESIGNATION]])),"","NEED REF")</f>
        <v/>
      </c>
    </row>
    <row r="8409">
      <c r="B8409" t="n">
        <v>34405596</v>
      </c>
      <c r="C8409" s="2" t="n">
        <v>42703</v>
      </c>
      <c r="F8409" t="inlineStr">
        <is>
          <t>BBC Cabinet</t>
        </is>
      </c>
      <c r="J8409" t="inlineStr">
        <is>
          <t>DUBOIS</t>
        </is>
      </c>
      <c r="L8409">
        <f>_xlfn.XLOOKUP(Tableau1[[#This Row],[TYPE DE PIECE]],Tableau4[MATIERE],Tableau4[SHORT TYPE],"",0,1)</f>
        <v/>
      </c>
      <c r="N8409">
        <f>IF(ISERR(FIND("DECOUPE",Tableau1[[#This Row],[DESIGNATION]])),"","NEED REF")</f>
        <v/>
      </c>
    </row>
    <row r="8410">
      <c r="B8410" t="n">
        <v>34405595</v>
      </c>
      <c r="C8410" s="2" t="n">
        <v>42703</v>
      </c>
      <c r="F8410" t="inlineStr">
        <is>
          <t>BBC Cabinet</t>
        </is>
      </c>
      <c r="J8410" t="inlineStr">
        <is>
          <t>DUBOIS</t>
        </is>
      </c>
      <c r="L8410">
        <f>_xlfn.XLOOKUP(Tableau1[[#This Row],[TYPE DE PIECE]],Tableau4[MATIERE],Tableau4[SHORT TYPE],"",0,1)</f>
        <v/>
      </c>
      <c r="N8410">
        <f>IF(ISERR(FIND("DECOUPE",Tableau1[[#This Row],[DESIGNATION]])),"","NEED REF")</f>
        <v/>
      </c>
    </row>
    <row r="8411">
      <c r="B8411" t="n">
        <v>34405594</v>
      </c>
      <c r="C8411" s="2" t="n">
        <v>42703</v>
      </c>
      <c r="E8411" t="inlineStr">
        <is>
          <t>Barre raccordement coudée</t>
        </is>
      </c>
      <c r="F8411" t="inlineStr">
        <is>
          <t>BBC Cabinet</t>
        </is>
      </c>
      <c r="J8411" t="inlineStr">
        <is>
          <t>DUBOIS</t>
        </is>
      </c>
      <c r="L8411">
        <f>_xlfn.XLOOKUP(Tableau1[[#This Row],[TYPE DE PIECE]],Tableau4[MATIERE],Tableau4[SHORT TYPE],"",0,1)</f>
        <v/>
      </c>
      <c r="N8411">
        <f>IF(ISERR(FIND("DECOUPE",Tableau1[[#This Row],[DESIGNATION]])),"","NEED REF")</f>
        <v/>
      </c>
    </row>
    <row r="8412">
      <c r="B8412" t="n">
        <v>34405593</v>
      </c>
      <c r="C8412" s="2" t="n">
        <v>42703</v>
      </c>
      <c r="E8412" t="inlineStr">
        <is>
          <t>Barre raccordement coudée</t>
        </is>
      </c>
      <c r="F8412" t="inlineStr">
        <is>
          <t>BBC Cabinet</t>
        </is>
      </c>
      <c r="J8412" t="inlineStr">
        <is>
          <t>DUBOIS</t>
        </is>
      </c>
      <c r="L8412">
        <f>_xlfn.XLOOKUP(Tableau1[[#This Row],[TYPE DE PIECE]],Tableau4[MATIERE],Tableau4[SHORT TYPE],"",0,1)</f>
        <v/>
      </c>
      <c r="N8412">
        <f>IF(ISERR(FIND("DECOUPE",Tableau1[[#This Row],[DESIGNATION]])),"","NEED REF")</f>
        <v/>
      </c>
    </row>
    <row r="8413">
      <c r="B8413" t="n">
        <v>34405592</v>
      </c>
      <c r="C8413" s="2" t="n">
        <v>42703</v>
      </c>
      <c r="E8413" t="inlineStr">
        <is>
          <t>Barre raccordement droite</t>
        </is>
      </c>
      <c r="F8413" t="inlineStr">
        <is>
          <t>BBC Cabinet</t>
        </is>
      </c>
      <c r="J8413" t="inlineStr">
        <is>
          <t>DUBOIS</t>
        </is>
      </c>
      <c r="L8413">
        <f>_xlfn.XLOOKUP(Tableau1[[#This Row],[TYPE DE PIECE]],Tableau4[MATIERE],Tableau4[SHORT TYPE],"",0,1)</f>
        <v/>
      </c>
      <c r="N8413">
        <f>IF(ISERR(FIND("DECOUPE",Tableau1[[#This Row],[DESIGNATION]])),"","NEED REF")</f>
        <v/>
      </c>
    </row>
    <row r="8414">
      <c r="B8414" t="n">
        <v>34405591</v>
      </c>
      <c r="C8414" s="2" t="n">
        <v>42703</v>
      </c>
      <c r="E8414" t="inlineStr">
        <is>
          <t>Barre verticale plus et moins</t>
        </is>
      </c>
      <c r="F8414" t="inlineStr">
        <is>
          <t>BBC Cabinet</t>
        </is>
      </c>
      <c r="J8414" t="inlineStr">
        <is>
          <t>DUBOIS</t>
        </is>
      </c>
      <c r="L8414">
        <f>_xlfn.XLOOKUP(Tableau1[[#This Row],[TYPE DE PIECE]],Tableau4[MATIERE],Tableau4[SHORT TYPE],"",0,1)</f>
        <v/>
      </c>
      <c r="N8414">
        <f>IF(ISERR(FIND("DECOUPE",Tableau1[[#This Row],[DESIGNATION]])),"","NEED REF")</f>
        <v/>
      </c>
    </row>
    <row r="8415">
      <c r="B8415" t="n">
        <v>34405590</v>
      </c>
      <c r="C8415" s="2" t="n">
        <v>42703</v>
      </c>
      <c r="E8415" t="inlineStr">
        <is>
          <t>Barre entrée plus et moins bas</t>
        </is>
      </c>
      <c r="F8415" t="inlineStr">
        <is>
          <t>BBC Cabinet</t>
        </is>
      </c>
      <c r="J8415" t="inlineStr">
        <is>
          <t>DUBOIS</t>
        </is>
      </c>
      <c r="L8415">
        <f>_xlfn.XLOOKUP(Tableau1[[#This Row],[TYPE DE PIECE]],Tableau4[MATIERE],Tableau4[SHORT TYPE],"",0,1)</f>
        <v/>
      </c>
      <c r="N8415">
        <f>IF(ISERR(FIND("DECOUPE",Tableau1[[#This Row],[DESIGNATION]])),"","NEED REF")</f>
        <v/>
      </c>
    </row>
    <row r="8416">
      <c r="B8416" t="n">
        <v>34405589</v>
      </c>
      <c r="C8416" s="2" t="n">
        <v>42703</v>
      </c>
      <c r="E8416" t="inlineStr">
        <is>
          <t>Barre entrée plus et moins  bas</t>
        </is>
      </c>
      <c r="F8416" t="inlineStr">
        <is>
          <t>BBC Cabinet</t>
        </is>
      </c>
      <c r="J8416" t="inlineStr">
        <is>
          <t>DUBOIS</t>
        </is>
      </c>
      <c r="L8416">
        <f>_xlfn.XLOOKUP(Tableau1[[#This Row],[TYPE DE PIECE]],Tableau4[MATIERE],Tableau4[SHORT TYPE],"",0,1)</f>
        <v/>
      </c>
      <c r="N8416">
        <f>IF(ISERR(FIND("DECOUPE",Tableau1[[#This Row],[DESIGNATION]])),"","NEED REF")</f>
        <v/>
      </c>
    </row>
    <row r="8417">
      <c r="B8417" t="n">
        <v>34405588</v>
      </c>
      <c r="C8417" s="2" t="n">
        <v>42703</v>
      </c>
      <c r="E8417" t="inlineStr">
        <is>
          <t>Barre entrée plus et moins haut</t>
        </is>
      </c>
      <c r="F8417" t="inlineStr">
        <is>
          <t>BBC Cabinet</t>
        </is>
      </c>
      <c r="J8417" t="inlineStr">
        <is>
          <t>DUBOIS</t>
        </is>
      </c>
      <c r="L8417">
        <f>_xlfn.XLOOKUP(Tableau1[[#This Row],[TYPE DE PIECE]],Tableau4[MATIERE],Tableau4[SHORT TYPE],"",0,1)</f>
        <v/>
      </c>
      <c r="N8417">
        <f>IF(ISERR(FIND("DECOUPE",Tableau1[[#This Row],[DESIGNATION]])),"","NEED REF")</f>
        <v/>
      </c>
    </row>
    <row r="8418">
      <c r="B8418" t="n">
        <v>34405587</v>
      </c>
      <c r="C8418" s="2" t="n">
        <v>42703</v>
      </c>
      <c r="E8418" t="inlineStr">
        <is>
          <t>Barre entrée plus et moins  haut</t>
        </is>
      </c>
      <c r="F8418" t="inlineStr">
        <is>
          <t>BBC Cabinet</t>
        </is>
      </c>
      <c r="J8418" t="inlineStr">
        <is>
          <t>DUBOIS</t>
        </is>
      </c>
      <c r="L8418">
        <f>_xlfn.XLOOKUP(Tableau1[[#This Row],[TYPE DE PIECE]],Tableau4[MATIERE],Tableau4[SHORT TYPE],"",0,1)</f>
        <v/>
      </c>
      <c r="N8418">
        <f>IF(ISERR(FIND("DECOUPE",Tableau1[[#This Row],[DESIGNATION]])),"","NEED REF")</f>
        <v/>
      </c>
    </row>
    <row r="8419">
      <c r="B8419" t="n">
        <v>34405586</v>
      </c>
      <c r="C8419" s="2" t="n">
        <v>42703</v>
      </c>
      <c r="E8419" t="inlineStr">
        <is>
          <t>Barre sortie moins</t>
        </is>
      </c>
      <c r="F8419" t="inlineStr">
        <is>
          <t>BBC Cabinet</t>
        </is>
      </c>
      <c r="J8419" t="inlineStr">
        <is>
          <t>DUBOIS</t>
        </is>
      </c>
      <c r="L8419">
        <f>_xlfn.XLOOKUP(Tableau1[[#This Row],[TYPE DE PIECE]],Tableau4[MATIERE],Tableau4[SHORT TYPE],"",0,1)</f>
        <v/>
      </c>
      <c r="N8419">
        <f>IF(ISERR(FIND("DECOUPE",Tableau1[[#This Row],[DESIGNATION]])),"","NEED REF")</f>
        <v/>
      </c>
    </row>
    <row r="8420">
      <c r="B8420" t="n">
        <v>34405585</v>
      </c>
      <c r="C8420" s="2" t="n">
        <v>42703</v>
      </c>
      <c r="E8420" t="inlineStr">
        <is>
          <t>Barre sortie moins</t>
        </is>
      </c>
      <c r="F8420" t="inlineStr">
        <is>
          <t>BBC Cabinet</t>
        </is>
      </c>
      <c r="J8420" t="inlineStr">
        <is>
          <t>DUBOIS</t>
        </is>
      </c>
      <c r="L8420">
        <f>_xlfn.XLOOKUP(Tableau1[[#This Row],[TYPE DE PIECE]],Tableau4[MATIERE],Tableau4[SHORT TYPE],"",0,1)</f>
        <v/>
      </c>
      <c r="N8420">
        <f>IF(ISERR(FIND("DECOUPE",Tableau1[[#This Row],[DESIGNATION]])),"","NEED REF")</f>
        <v/>
      </c>
    </row>
    <row r="8421">
      <c r="B8421" t="n">
        <v>34405584</v>
      </c>
      <c r="C8421" s="2" t="n">
        <v>42703</v>
      </c>
      <c r="E8421" t="inlineStr">
        <is>
          <t>Barre sortie plus</t>
        </is>
      </c>
      <c r="F8421" t="inlineStr">
        <is>
          <t>BBC Cabinet</t>
        </is>
      </c>
      <c r="J8421" t="inlineStr">
        <is>
          <t>DUBOIS</t>
        </is>
      </c>
      <c r="L8421">
        <f>_xlfn.XLOOKUP(Tableau1[[#This Row],[TYPE DE PIECE]],Tableau4[MATIERE],Tableau4[SHORT TYPE],"",0,1)</f>
        <v/>
      </c>
      <c r="N8421">
        <f>IF(ISERR(FIND("DECOUPE",Tableau1[[#This Row],[DESIGNATION]])),"","NEED REF")</f>
        <v/>
      </c>
    </row>
    <row r="8422">
      <c r="B8422" t="n">
        <v>34405583</v>
      </c>
      <c r="C8422" s="2" t="n">
        <v>42703</v>
      </c>
      <c r="E8422" t="inlineStr">
        <is>
          <t>Barre sortie plus</t>
        </is>
      </c>
      <c r="F8422" t="inlineStr">
        <is>
          <t>BBC Cabinet</t>
        </is>
      </c>
      <c r="J8422" t="inlineStr">
        <is>
          <t>DUBOIS</t>
        </is>
      </c>
      <c r="L8422">
        <f>_xlfn.XLOOKUP(Tableau1[[#This Row],[TYPE DE PIECE]],Tableau4[MATIERE],Tableau4[SHORT TYPE],"",0,1)</f>
        <v/>
      </c>
      <c r="N8422">
        <f>IF(ISERR(FIND("DECOUPE",Tableau1[[#This Row],[DESIGNATION]])),"","NEED REF")</f>
        <v/>
      </c>
    </row>
    <row r="8423">
      <c r="B8423" t="n">
        <v>34405582</v>
      </c>
      <c r="C8423" s="2" t="n">
        <v>42703</v>
      </c>
      <c r="E8423" t="inlineStr">
        <is>
          <t>Barre entrée moins</t>
        </is>
      </c>
      <c r="F8423" t="inlineStr">
        <is>
          <t>BBC Cabinet</t>
        </is>
      </c>
      <c r="J8423" t="inlineStr">
        <is>
          <t>DUBOIS</t>
        </is>
      </c>
      <c r="L8423">
        <f>_xlfn.XLOOKUP(Tableau1[[#This Row],[TYPE DE PIECE]],Tableau4[MATIERE],Tableau4[SHORT TYPE],"",0,1)</f>
        <v/>
      </c>
      <c r="N8423">
        <f>IF(ISERR(FIND("DECOUPE",Tableau1[[#This Row],[DESIGNATION]])),"","NEED REF")</f>
        <v/>
      </c>
    </row>
    <row r="8424">
      <c r="B8424" t="n">
        <v>34405581</v>
      </c>
      <c r="C8424" s="2" t="n">
        <v>42703</v>
      </c>
      <c r="E8424" t="inlineStr">
        <is>
          <t>Barre entrée moins</t>
        </is>
      </c>
      <c r="F8424" t="inlineStr">
        <is>
          <t>BBC Cabinet</t>
        </is>
      </c>
      <c r="J8424" t="inlineStr">
        <is>
          <t>DUBOIS</t>
        </is>
      </c>
      <c r="L8424">
        <f>_xlfn.XLOOKUP(Tableau1[[#This Row],[TYPE DE PIECE]],Tableau4[MATIERE],Tableau4[SHORT TYPE],"",0,1)</f>
        <v/>
      </c>
      <c r="N8424">
        <f>IF(ISERR(FIND("DECOUPE",Tableau1[[#This Row],[DESIGNATION]])),"","NEED REF")</f>
        <v/>
      </c>
    </row>
    <row r="8425">
      <c r="B8425" t="n">
        <v>34405580</v>
      </c>
      <c r="C8425" s="2" t="n">
        <v>42703</v>
      </c>
      <c r="E8425" t="inlineStr">
        <is>
          <t>Barre entrée plus</t>
        </is>
      </c>
      <c r="F8425" t="inlineStr">
        <is>
          <t>BBC Cabinet</t>
        </is>
      </c>
      <c r="J8425" t="inlineStr">
        <is>
          <t>DUBOIS</t>
        </is>
      </c>
      <c r="L8425">
        <f>_xlfn.XLOOKUP(Tableau1[[#This Row],[TYPE DE PIECE]],Tableau4[MATIERE],Tableau4[SHORT TYPE],"",0,1)</f>
        <v/>
      </c>
      <c r="N8425">
        <f>IF(ISERR(FIND("DECOUPE",Tableau1[[#This Row],[DESIGNATION]])),"","NEED REF")</f>
        <v/>
      </c>
    </row>
    <row r="8426">
      <c r="B8426" t="n">
        <v>34405579</v>
      </c>
      <c r="C8426" s="2" t="n">
        <v>42703</v>
      </c>
      <c r="E8426" t="inlineStr">
        <is>
          <t>Barre entrée plus</t>
        </is>
      </c>
      <c r="F8426" t="inlineStr">
        <is>
          <t>BBC Cabinet</t>
        </is>
      </c>
      <c r="J8426" t="inlineStr">
        <is>
          <t>DUBOIS</t>
        </is>
      </c>
      <c r="L8426">
        <f>_xlfn.XLOOKUP(Tableau1[[#This Row],[TYPE DE PIECE]],Tableau4[MATIERE],Tableau4[SHORT TYPE],"",0,1)</f>
        <v/>
      </c>
      <c r="N8426">
        <f>IF(ISERR(FIND("DECOUPE",Tableau1[[#This Row],[DESIGNATION]])),"","NEED REF")</f>
        <v/>
      </c>
    </row>
    <row r="8427">
      <c r="B8427" t="n">
        <v>34405578</v>
      </c>
      <c r="C8427" s="2" t="n">
        <v>42702</v>
      </c>
      <c r="D8427" t="inlineStr">
        <is>
          <t>SPEC</t>
        </is>
      </c>
      <c r="E8427" t="inlineStr">
        <is>
          <t>RAIL DIN</t>
        </is>
      </c>
      <c r="F8427" t="inlineStr">
        <is>
          <t>NOVARTIS</t>
        </is>
      </c>
      <c r="J8427" t="inlineStr">
        <is>
          <t>ROBERT</t>
        </is>
      </c>
      <c r="L8427">
        <f>_xlfn.XLOOKUP(Tableau1[[#This Row],[TYPE DE PIECE]],Tableau4[MATIERE],Tableau4[SHORT TYPE],"",0,1)</f>
        <v/>
      </c>
      <c r="N8427">
        <f>IF(ISERR(FIND("DECOUPE",Tableau1[[#This Row],[DESIGNATION]])),"","NEED REF")</f>
        <v/>
      </c>
    </row>
    <row r="8428">
      <c r="B8428" t="n">
        <v>34405577</v>
      </c>
      <c r="C8428" s="2" t="n">
        <v>42692</v>
      </c>
      <c r="D8428" t="n">
        <v>99</v>
      </c>
      <c r="E8428" t="inlineStr">
        <is>
          <t>Equerre voyant</t>
        </is>
      </c>
      <c r="F8428" t="inlineStr">
        <is>
          <t>MBC Cabinet</t>
        </is>
      </c>
      <c r="J8428" t="inlineStr">
        <is>
          <t>DUBOIS</t>
        </is>
      </c>
      <c r="L8428">
        <f>_xlfn.XLOOKUP(Tableau1[[#This Row],[TYPE DE PIECE]],Tableau4[MATIERE],Tableau4[SHORT TYPE],"",0,1)</f>
        <v/>
      </c>
      <c r="N8428">
        <f>IF(ISERR(FIND("DECOUPE",Tableau1[[#This Row],[DESIGNATION]])),"","NEED REF")</f>
        <v/>
      </c>
    </row>
    <row r="8429">
      <c r="B8429" t="n">
        <v>34405576</v>
      </c>
      <c r="C8429" s="2" t="n">
        <v>42692</v>
      </c>
      <c r="D8429" t="n">
        <v>98</v>
      </c>
      <c r="E8429" t="inlineStr">
        <is>
          <t>Barre de terre</t>
        </is>
      </c>
      <c r="F8429" t="inlineStr">
        <is>
          <t>MBC Cabinet</t>
        </is>
      </c>
      <c r="J8429" t="inlineStr">
        <is>
          <t>DUBOIS</t>
        </is>
      </c>
      <c r="L8429">
        <f>_xlfn.XLOOKUP(Tableau1[[#This Row],[TYPE DE PIECE]],Tableau4[MATIERE],Tableau4[SHORT TYPE],"",0,1)</f>
        <v/>
      </c>
      <c r="N8429">
        <f>IF(ISERR(FIND("DECOUPE",Tableau1[[#This Row],[DESIGNATION]])),"","NEED REF")</f>
        <v/>
      </c>
    </row>
    <row r="8430">
      <c r="B8430" t="n">
        <v>34405575</v>
      </c>
      <c r="C8430" s="2" t="n">
        <v>42692</v>
      </c>
      <c r="E8430" t="inlineStr">
        <is>
          <t>Bride pontage R1 R2</t>
        </is>
      </c>
      <c r="F8430" t="inlineStr">
        <is>
          <t>Galaxy 7000</t>
        </is>
      </c>
      <c r="J8430" t="inlineStr">
        <is>
          <t>MASCELLINO</t>
        </is>
      </c>
      <c r="L8430">
        <f>_xlfn.XLOOKUP(Tableau1[[#This Row],[TYPE DE PIECE]],Tableau4[MATIERE],Tableau4[SHORT TYPE],"",0,1)</f>
        <v/>
      </c>
      <c r="N8430">
        <f>IF(ISERR(FIND("DECOUPE",Tableau1[[#This Row],[DESIGNATION]])),"","NEED REF")</f>
        <v/>
      </c>
    </row>
    <row r="8431">
      <c r="B8431" t="n">
        <v>34405574</v>
      </c>
      <c r="C8431" s="2" t="n">
        <v>42692</v>
      </c>
      <c r="E8431" t="inlineStr">
        <is>
          <t>Bride pontage R1 R2</t>
        </is>
      </c>
      <c r="F8431" t="inlineStr">
        <is>
          <t>Galaxy 7000</t>
        </is>
      </c>
      <c r="J8431" t="inlineStr">
        <is>
          <t>MASCELLINO</t>
        </is>
      </c>
      <c r="L8431">
        <f>_xlfn.XLOOKUP(Tableau1[[#This Row],[TYPE DE PIECE]],Tableau4[MATIERE],Tableau4[SHORT TYPE],"",0,1)</f>
        <v/>
      </c>
      <c r="N8431">
        <f>IF(ISERR(FIND("DECOUPE",Tableau1[[#This Row],[DESIGNATION]])),"","NEED REF")</f>
        <v/>
      </c>
    </row>
    <row r="8432">
      <c r="B8432" t="n">
        <v>34405573</v>
      </c>
      <c r="C8432" s="2" t="n">
        <v>42692</v>
      </c>
      <c r="D8432" t="inlineStr">
        <is>
          <t>SPEC</t>
        </is>
      </c>
      <c r="E8432" t="inlineStr">
        <is>
          <t>Masterpact contacteur BF HP DOXFORD</t>
        </is>
      </c>
      <c r="F8432" t="inlineStr">
        <is>
          <t>NS 2000kVA</t>
        </is>
      </c>
      <c r="J8432" t="inlineStr">
        <is>
          <t>REVEL</t>
        </is>
      </c>
      <c r="L8432">
        <f>_xlfn.XLOOKUP(Tableau1[[#This Row],[TYPE DE PIECE]],Tableau4[MATIERE],Tableau4[SHORT TYPE],"",0,1)</f>
        <v/>
      </c>
      <c r="N8432">
        <f>IF(ISERR(FIND("DECOUPE",Tableau1[[#This Row],[DESIGNATION]])),"","NEED REF")</f>
        <v/>
      </c>
    </row>
    <row r="8433">
      <c r="B8433" t="n">
        <v>34405572</v>
      </c>
      <c r="C8433" s="2" t="n"/>
      <c r="E8433" t="inlineStr">
        <is>
          <t>cale</t>
        </is>
      </c>
      <c r="L8433">
        <f>_xlfn.XLOOKUP(Tableau1[[#This Row],[TYPE DE PIECE]],Tableau4[MATIERE],Tableau4[SHORT TYPE],"",0,1)</f>
        <v/>
      </c>
      <c r="N8433">
        <f>IF(ISERR(FIND("DECOUPE",Tableau1[[#This Row],[DESIGNATION]])),"","NEED REF")</f>
        <v/>
      </c>
    </row>
    <row r="8434">
      <c r="B8434" t="n">
        <v>34405571</v>
      </c>
      <c r="C8434" s="2" t="n">
        <v>42688</v>
      </c>
      <c r="D8434" t="n">
        <v>97</v>
      </c>
      <c r="E8434" t="inlineStr">
        <is>
          <t>Palette</t>
        </is>
      </c>
      <c r="F8434" t="inlineStr">
        <is>
          <t>MBC Cabinet</t>
        </is>
      </c>
      <c r="J8434" t="inlineStr">
        <is>
          <t>DUBOIS</t>
        </is>
      </c>
      <c r="L8434">
        <f>_xlfn.XLOOKUP(Tableau1[[#This Row],[TYPE DE PIECE]],Tableau4[MATIERE],Tableau4[SHORT TYPE],"",0,1)</f>
        <v/>
      </c>
      <c r="N8434">
        <f>IF(ISERR(FIND("DECOUPE",Tableau1[[#This Row],[DESIGNATION]])),"","NEED REF")</f>
        <v/>
      </c>
    </row>
    <row r="8435">
      <c r="B8435" t="n">
        <v>34405570</v>
      </c>
      <c r="C8435" s="2" t="n">
        <v>42688</v>
      </c>
      <c r="D8435" t="n">
        <v>96</v>
      </c>
      <c r="E8435" t="inlineStr">
        <is>
          <t>Panneau arrière</t>
        </is>
      </c>
      <c r="F8435" t="inlineStr">
        <is>
          <t>MBC Cabinet</t>
        </is>
      </c>
      <c r="J8435" t="inlineStr">
        <is>
          <t>DUBOIS</t>
        </is>
      </c>
      <c r="L8435">
        <f>_xlfn.XLOOKUP(Tableau1[[#This Row],[TYPE DE PIECE]],Tableau4[MATIERE],Tableau4[SHORT TYPE],"",0,1)</f>
        <v/>
      </c>
      <c r="N8435">
        <f>IF(ISERR(FIND("DECOUPE",Tableau1[[#This Row],[DESIGNATION]])),"","NEED REF")</f>
        <v/>
      </c>
    </row>
    <row r="8436">
      <c r="B8436" t="n">
        <v>34405569</v>
      </c>
      <c r="C8436" s="2" t="n">
        <v>42688</v>
      </c>
      <c r="D8436" t="n">
        <v>95</v>
      </c>
      <c r="E8436" t="inlineStr">
        <is>
          <t>Traverse 120</t>
        </is>
      </c>
      <c r="F8436" t="inlineStr">
        <is>
          <t>MBC Cabinet</t>
        </is>
      </c>
      <c r="J8436" t="inlineStr">
        <is>
          <t>DUBOIS</t>
        </is>
      </c>
      <c r="L8436">
        <f>_xlfn.XLOOKUP(Tableau1[[#This Row],[TYPE DE PIECE]],Tableau4[MATIERE],Tableau4[SHORT TYPE],"",0,1)</f>
        <v/>
      </c>
      <c r="N8436">
        <f>IF(ISERR(FIND("DECOUPE",Tableau1[[#This Row],[DESIGNATION]])),"","NEED REF")</f>
        <v/>
      </c>
    </row>
    <row r="8437">
      <c r="B8437" t="n">
        <v>34405568</v>
      </c>
      <c r="C8437" s="2" t="n">
        <v>42688</v>
      </c>
      <c r="D8437" t="n">
        <v>94</v>
      </c>
      <c r="E8437" t="inlineStr">
        <is>
          <t>Platine support barre 841,5</t>
        </is>
      </c>
      <c r="F8437" t="inlineStr">
        <is>
          <t>MBC Cabinet</t>
        </is>
      </c>
      <c r="J8437" t="inlineStr">
        <is>
          <t>DUBOIS</t>
        </is>
      </c>
      <c r="L8437">
        <f>_xlfn.XLOOKUP(Tableau1[[#This Row],[TYPE DE PIECE]],Tableau4[MATIERE],Tableau4[SHORT TYPE],"",0,1)</f>
        <v/>
      </c>
      <c r="N8437">
        <f>IF(ISERR(FIND("DECOUPE",Tableau1[[#This Row],[DESIGNATION]])),"","NEED REF")</f>
        <v/>
      </c>
    </row>
    <row r="8438">
      <c r="B8438" t="n">
        <v>34405567</v>
      </c>
      <c r="C8438" s="2" t="n">
        <v>42688</v>
      </c>
      <c r="D8438" t="n">
        <v>93</v>
      </c>
      <c r="E8438" t="inlineStr">
        <is>
          <t>Platine support barre 866,5</t>
        </is>
      </c>
      <c r="F8438" t="inlineStr">
        <is>
          <t>MBC Cabinet</t>
        </is>
      </c>
      <c r="J8438" t="inlineStr">
        <is>
          <t>DUBOIS</t>
        </is>
      </c>
      <c r="L8438">
        <f>_xlfn.XLOOKUP(Tableau1[[#This Row],[TYPE DE PIECE]],Tableau4[MATIERE],Tableau4[SHORT TYPE],"",0,1)</f>
        <v/>
      </c>
      <c r="N8438">
        <f>IF(ISERR(FIND("DECOUPE",Tableau1[[#This Row],[DESIGNATION]])),"","NEED REF")</f>
        <v/>
      </c>
    </row>
    <row r="8439">
      <c r="B8439" t="n">
        <v>34405566</v>
      </c>
      <c r="C8439" s="2" t="n">
        <v>42688</v>
      </c>
      <c r="D8439" t="n">
        <v>92</v>
      </c>
      <c r="E8439" t="inlineStr">
        <is>
          <t>Platine support barre 866,5</t>
        </is>
      </c>
      <c r="F8439" t="inlineStr">
        <is>
          <t>MBC Cabinet</t>
        </is>
      </c>
      <c r="J8439" t="inlineStr">
        <is>
          <t>DUBOIS</t>
        </is>
      </c>
      <c r="L8439">
        <f>_xlfn.XLOOKUP(Tableau1[[#This Row],[TYPE DE PIECE]],Tableau4[MATIERE],Tableau4[SHORT TYPE],"",0,1)</f>
        <v/>
      </c>
      <c r="N8439">
        <f>IF(ISERR(FIND("DECOUPE",Tableau1[[#This Row],[DESIGNATION]])),"","NEED REF")</f>
        <v/>
      </c>
    </row>
    <row r="8440">
      <c r="B8440" t="n">
        <v>34405565</v>
      </c>
      <c r="C8440" s="2" t="n">
        <v>42688</v>
      </c>
      <c r="D8440" t="n">
        <v>91</v>
      </c>
      <c r="E8440" t="inlineStr">
        <is>
          <t>Platine support barre 841,5</t>
        </is>
      </c>
      <c r="F8440" t="inlineStr">
        <is>
          <t>MBC Cabinet</t>
        </is>
      </c>
      <c r="J8440" t="inlineStr">
        <is>
          <t>DUBOIS</t>
        </is>
      </c>
      <c r="L8440">
        <f>_xlfn.XLOOKUP(Tableau1[[#This Row],[TYPE DE PIECE]],Tableau4[MATIERE],Tableau4[SHORT TYPE],"",0,1)</f>
        <v/>
      </c>
      <c r="N8440">
        <f>IF(ISERR(FIND("DECOUPE",Tableau1[[#This Row],[DESIGNATION]])),"","NEED REF")</f>
        <v/>
      </c>
    </row>
    <row r="8441">
      <c r="B8441" t="n">
        <v>34405564</v>
      </c>
      <c r="C8441" s="2" t="n">
        <v>42688</v>
      </c>
      <c r="D8441" t="n">
        <v>90</v>
      </c>
      <c r="E8441" t="inlineStr">
        <is>
          <t>Traverse 866,5</t>
        </is>
      </c>
      <c r="F8441" t="inlineStr">
        <is>
          <t>MBC Cabinet</t>
        </is>
      </c>
      <c r="J8441" t="inlineStr">
        <is>
          <t>DUBOIS</t>
        </is>
      </c>
      <c r="L8441">
        <f>_xlfn.XLOOKUP(Tableau1[[#This Row],[TYPE DE PIECE]],Tableau4[MATIERE],Tableau4[SHORT TYPE],"",0,1)</f>
        <v/>
      </c>
      <c r="N8441">
        <f>IF(ISERR(FIND("DECOUPE",Tableau1[[#This Row],[DESIGNATION]])),"","NEED REF")</f>
        <v/>
      </c>
    </row>
    <row r="8442">
      <c r="B8442" t="n">
        <v>34405563</v>
      </c>
      <c r="C8442" s="2" t="n">
        <v>42688</v>
      </c>
      <c r="D8442" t="n">
        <v>89</v>
      </c>
      <c r="E8442" t="inlineStr">
        <is>
          <t>Traverse 441,5</t>
        </is>
      </c>
      <c r="F8442" t="inlineStr">
        <is>
          <t>MBC Cabinet</t>
        </is>
      </c>
      <c r="J8442" t="inlineStr">
        <is>
          <t>DUBOIS</t>
        </is>
      </c>
      <c r="L8442">
        <f>_xlfn.XLOOKUP(Tableau1[[#This Row],[TYPE DE PIECE]],Tableau4[MATIERE],Tableau4[SHORT TYPE],"",0,1)</f>
        <v/>
      </c>
      <c r="N8442">
        <f>IF(ISERR(FIND("DECOUPE",Tableau1[[#This Row],[DESIGNATION]])),"","NEED REF")</f>
        <v/>
      </c>
    </row>
    <row r="8443">
      <c r="B8443" t="n">
        <v>34405562</v>
      </c>
      <c r="C8443" s="2" t="n">
        <v>42688</v>
      </c>
      <c r="D8443" t="n">
        <v>88</v>
      </c>
      <c r="E8443" t="inlineStr">
        <is>
          <t>Traverse 441,5</t>
        </is>
      </c>
      <c r="F8443" t="inlineStr">
        <is>
          <t>MBC Cabinet</t>
        </is>
      </c>
      <c r="J8443" t="inlineStr">
        <is>
          <t>DUBOIS</t>
        </is>
      </c>
      <c r="L8443">
        <f>_xlfn.XLOOKUP(Tableau1[[#This Row],[TYPE DE PIECE]],Tableau4[MATIERE],Tableau4[SHORT TYPE],"",0,1)</f>
        <v/>
      </c>
      <c r="N8443">
        <f>IF(ISERR(FIND("DECOUPE",Tableau1[[#This Row],[DESIGNATION]])),"","NEED REF")</f>
        <v/>
      </c>
    </row>
    <row r="8444">
      <c r="B8444" t="n">
        <v>34405561</v>
      </c>
      <c r="C8444" s="2" t="n">
        <v>42688</v>
      </c>
      <c r="D8444" t="n">
        <v>87</v>
      </c>
      <c r="E8444" t="inlineStr">
        <is>
          <t>Traverse 641,5</t>
        </is>
      </c>
      <c r="F8444" t="inlineStr">
        <is>
          <t>MBC Cabinet</t>
        </is>
      </c>
      <c r="J8444" t="inlineStr">
        <is>
          <t>DUBOIS</t>
        </is>
      </c>
      <c r="L8444">
        <f>_xlfn.XLOOKUP(Tableau1[[#This Row],[TYPE DE PIECE]],Tableau4[MATIERE],Tableau4[SHORT TYPE],"",0,1)</f>
        <v/>
      </c>
      <c r="N8444">
        <f>IF(ISERR(FIND("DECOUPE",Tableau1[[#This Row],[DESIGNATION]])),"","NEED REF")</f>
        <v/>
      </c>
    </row>
    <row r="8445">
      <c r="B8445" t="n">
        <v>34405560</v>
      </c>
      <c r="C8445" s="2" t="n">
        <v>42688</v>
      </c>
      <c r="D8445" t="n">
        <v>86</v>
      </c>
      <c r="E8445" t="inlineStr">
        <is>
          <t>Traverse 437,5</t>
        </is>
      </c>
      <c r="F8445" t="inlineStr">
        <is>
          <t>MBC Cabinet</t>
        </is>
      </c>
      <c r="J8445" t="inlineStr">
        <is>
          <t>DUBOIS</t>
        </is>
      </c>
      <c r="L8445">
        <f>_xlfn.XLOOKUP(Tableau1[[#This Row],[TYPE DE PIECE]],Tableau4[MATIERE],Tableau4[SHORT TYPE],"",0,1)</f>
        <v/>
      </c>
      <c r="N8445">
        <f>IF(ISERR(FIND("DECOUPE",Tableau1[[#This Row],[DESIGNATION]])),"","NEED REF")</f>
        <v/>
      </c>
    </row>
    <row r="8446">
      <c r="B8446" t="n">
        <v>34405559</v>
      </c>
      <c r="C8446" s="2" t="n">
        <v>42684</v>
      </c>
      <c r="D8446" t="inlineStr">
        <is>
          <t>SPEC</t>
        </is>
      </c>
      <c r="E8446" t="inlineStr">
        <is>
          <t>Tôle de fermeture</t>
        </is>
      </c>
      <c r="F8446" t="inlineStr">
        <is>
          <t>BYPASS 250KW</t>
        </is>
      </c>
      <c r="J8446" t="inlineStr">
        <is>
          <t>ROBERT</t>
        </is>
      </c>
      <c r="L8446">
        <f>_xlfn.XLOOKUP(Tableau1[[#This Row],[TYPE DE PIECE]],Tableau4[MATIERE],Tableau4[SHORT TYPE],"",0,1)</f>
        <v/>
      </c>
      <c r="N8446">
        <f>IF(ISERR(FIND("DECOUPE",Tableau1[[#This Row],[DESIGNATION]])),"","NEED REF")</f>
        <v/>
      </c>
    </row>
    <row r="8447">
      <c r="B8447" t="n">
        <v>34405558</v>
      </c>
      <c r="C8447" s="2" t="n">
        <v>42684</v>
      </c>
      <c r="D8447" t="inlineStr">
        <is>
          <t>SPEC</t>
        </is>
      </c>
      <c r="E8447" t="inlineStr">
        <is>
          <t>Lot ETQ bypass 250KW</t>
        </is>
      </c>
      <c r="F8447" t="inlineStr">
        <is>
          <t>BYPASS 250KW</t>
        </is>
      </c>
      <c r="J8447" t="inlineStr">
        <is>
          <t>ROBERT</t>
        </is>
      </c>
      <c r="L8447">
        <f>_xlfn.XLOOKUP(Tableau1[[#This Row],[TYPE DE PIECE]],Tableau4[MATIERE],Tableau4[SHORT TYPE],"",0,1)</f>
        <v/>
      </c>
      <c r="N8447">
        <f>IF(ISERR(FIND("DECOUPE",Tableau1[[#This Row],[DESIGNATION]])),"","NEED REF")</f>
        <v/>
      </c>
    </row>
    <row r="8448">
      <c r="B8448" t="n">
        <v>34405557</v>
      </c>
      <c r="C8448" s="2" t="n">
        <v>42682</v>
      </c>
      <c r="D8448" t="n">
        <v>85</v>
      </c>
      <c r="E8448" t="inlineStr">
        <is>
          <t>Plastron</t>
        </is>
      </c>
      <c r="F8448" t="inlineStr">
        <is>
          <t>MBC Cabinet</t>
        </is>
      </c>
      <c r="J8448" t="inlineStr">
        <is>
          <t>DUBOIS</t>
        </is>
      </c>
      <c r="L8448">
        <f>_xlfn.XLOOKUP(Tableau1[[#This Row],[TYPE DE PIECE]],Tableau4[MATIERE],Tableau4[SHORT TYPE],"",0,1)</f>
        <v/>
      </c>
      <c r="N8448">
        <f>IF(ISERR(FIND("DECOUPE",Tableau1[[#This Row],[DESIGNATION]])),"","NEED REF")</f>
        <v/>
      </c>
    </row>
    <row r="8449">
      <c r="B8449" t="n">
        <v>34405556</v>
      </c>
      <c r="C8449" s="2" t="n"/>
      <c r="D8449" t="n">
        <v>84</v>
      </c>
      <c r="J8449" t="inlineStr">
        <is>
          <t>DUBOIS</t>
        </is>
      </c>
      <c r="L8449">
        <f>_xlfn.XLOOKUP(Tableau1[[#This Row],[TYPE DE PIECE]],Tableau4[MATIERE],Tableau4[SHORT TYPE],"",0,1)</f>
        <v/>
      </c>
      <c r="N8449">
        <f>IF(ISERR(FIND("DECOUPE",Tableau1[[#This Row],[DESIGNATION]])),"","NEED REF")</f>
        <v/>
      </c>
    </row>
    <row r="8450">
      <c r="B8450" t="n">
        <v>34405555</v>
      </c>
      <c r="C8450" s="2" t="n"/>
      <c r="D8450" t="n">
        <v>83</v>
      </c>
      <c r="J8450" t="inlineStr">
        <is>
          <t>DUBOIS</t>
        </is>
      </c>
      <c r="L8450">
        <f>_xlfn.XLOOKUP(Tableau1[[#This Row],[TYPE DE PIECE]],Tableau4[MATIERE],Tableau4[SHORT TYPE],"",0,1)</f>
        <v/>
      </c>
      <c r="N8450">
        <f>IF(ISERR(FIND("DECOUPE",Tableau1[[#This Row],[DESIGNATION]])),"","NEED REF")</f>
        <v/>
      </c>
    </row>
    <row r="8451">
      <c r="B8451" t="n">
        <v>34405554</v>
      </c>
      <c r="C8451" s="2" t="n">
        <v>42682</v>
      </c>
      <c r="D8451" t="n">
        <v>82</v>
      </c>
      <c r="E8451" t="inlineStr">
        <is>
          <t>Plastron</t>
        </is>
      </c>
      <c r="F8451" t="inlineStr">
        <is>
          <t>MBC Cabinet</t>
        </is>
      </c>
      <c r="J8451" t="inlineStr">
        <is>
          <t>DUBOIS</t>
        </is>
      </c>
      <c r="L8451">
        <f>_xlfn.XLOOKUP(Tableau1[[#This Row],[TYPE DE PIECE]],Tableau4[MATIERE],Tableau4[SHORT TYPE],"",0,1)</f>
        <v/>
      </c>
      <c r="N8451">
        <f>IF(ISERR(FIND("DECOUPE",Tableau1[[#This Row],[DESIGNATION]])),"","NEED REF")</f>
        <v/>
      </c>
    </row>
    <row r="8452">
      <c r="B8452" t="n">
        <v>34405553</v>
      </c>
      <c r="C8452" s="2" t="n">
        <v>42682</v>
      </c>
      <c r="D8452" t="n">
        <v>81</v>
      </c>
      <c r="E8452" t="inlineStr">
        <is>
          <t>Plastron</t>
        </is>
      </c>
      <c r="F8452" t="inlineStr">
        <is>
          <t>MBC Cabinet</t>
        </is>
      </c>
      <c r="J8452" t="inlineStr">
        <is>
          <t>DUBOIS</t>
        </is>
      </c>
      <c r="L8452">
        <f>_xlfn.XLOOKUP(Tableau1[[#This Row],[TYPE DE PIECE]],Tableau4[MATIERE],Tableau4[SHORT TYPE],"",0,1)</f>
        <v/>
      </c>
      <c r="N8452">
        <f>IF(ISERR(FIND("DECOUPE",Tableau1[[#This Row],[DESIGNATION]])),"","NEED REF")</f>
        <v/>
      </c>
    </row>
    <row r="8453">
      <c r="B8453" t="n">
        <v>34405552</v>
      </c>
      <c r="C8453" s="2" t="n">
        <v>42682</v>
      </c>
      <c r="D8453" t="n">
        <v>80</v>
      </c>
      <c r="E8453" t="inlineStr">
        <is>
          <t>Plastron</t>
        </is>
      </c>
      <c r="F8453" t="inlineStr">
        <is>
          <t>MBC Cabinet</t>
        </is>
      </c>
      <c r="J8453" t="inlineStr">
        <is>
          <t>DUBOIS</t>
        </is>
      </c>
      <c r="L8453">
        <f>_xlfn.XLOOKUP(Tableau1[[#This Row],[TYPE DE PIECE]],Tableau4[MATIERE],Tableau4[SHORT TYPE],"",0,1)</f>
        <v/>
      </c>
      <c r="N8453">
        <f>IF(ISERR(FIND("DECOUPE",Tableau1[[#This Row],[DESIGNATION]])),"","NEED REF")</f>
        <v/>
      </c>
    </row>
    <row r="8454">
      <c r="B8454" t="n">
        <v>34405551</v>
      </c>
      <c r="C8454" s="2" t="n">
        <v>42682</v>
      </c>
      <c r="D8454" t="n">
        <v>79</v>
      </c>
      <c r="E8454" t="inlineStr">
        <is>
          <t>Plastron</t>
        </is>
      </c>
      <c r="F8454" t="inlineStr">
        <is>
          <t>MBC Cabinet</t>
        </is>
      </c>
      <c r="J8454" t="inlineStr">
        <is>
          <t>DUBOIS</t>
        </is>
      </c>
      <c r="L8454">
        <f>_xlfn.XLOOKUP(Tableau1[[#This Row],[TYPE DE PIECE]],Tableau4[MATIERE],Tableau4[SHORT TYPE],"",0,1)</f>
        <v/>
      </c>
      <c r="N8454">
        <f>IF(ISERR(FIND("DECOUPE",Tableau1[[#This Row],[DESIGNATION]])),"","NEED REF")</f>
        <v/>
      </c>
    </row>
    <row r="8455">
      <c r="B8455" t="n">
        <v>34405550</v>
      </c>
      <c r="C8455" s="2" t="n">
        <v>42682</v>
      </c>
      <c r="D8455" t="n">
        <v>78</v>
      </c>
      <c r="E8455" t="inlineStr">
        <is>
          <t>Plastron</t>
        </is>
      </c>
      <c r="F8455" t="inlineStr">
        <is>
          <t>MBC Cabinet</t>
        </is>
      </c>
      <c r="J8455" t="inlineStr">
        <is>
          <t>DUBOIS</t>
        </is>
      </c>
      <c r="L8455">
        <f>_xlfn.XLOOKUP(Tableau1[[#This Row],[TYPE DE PIECE]],Tableau4[MATIERE],Tableau4[SHORT TYPE],"",0,1)</f>
        <v/>
      </c>
      <c r="N8455">
        <f>IF(ISERR(FIND("DECOUPE",Tableau1[[#This Row],[DESIGNATION]])),"","NEED REF")</f>
        <v/>
      </c>
    </row>
    <row r="8456">
      <c r="B8456" t="n">
        <v>34405549</v>
      </c>
      <c r="C8456" s="2" t="n">
        <v>42682</v>
      </c>
      <c r="D8456" t="n">
        <v>77</v>
      </c>
      <c r="E8456" t="inlineStr">
        <is>
          <t>Plastron</t>
        </is>
      </c>
      <c r="F8456" t="inlineStr">
        <is>
          <t>MBC Cabinet</t>
        </is>
      </c>
      <c r="J8456" t="inlineStr">
        <is>
          <t>DUBOIS</t>
        </is>
      </c>
      <c r="L8456">
        <f>_xlfn.XLOOKUP(Tableau1[[#This Row],[TYPE DE PIECE]],Tableau4[MATIERE],Tableau4[SHORT TYPE],"",0,1)</f>
        <v/>
      </c>
      <c r="N8456">
        <f>IF(ISERR(FIND("DECOUPE",Tableau1[[#This Row],[DESIGNATION]])),"","NEED REF")</f>
        <v/>
      </c>
    </row>
    <row r="8457">
      <c r="B8457" t="n">
        <v>34405548</v>
      </c>
      <c r="C8457" s="2" t="n">
        <v>42682</v>
      </c>
      <c r="D8457" t="n">
        <v>76</v>
      </c>
      <c r="E8457" t="inlineStr">
        <is>
          <t>Platine inter</t>
        </is>
      </c>
      <c r="F8457" t="inlineStr">
        <is>
          <t>MBC Cabinet</t>
        </is>
      </c>
      <c r="J8457" t="inlineStr">
        <is>
          <t>DUBOIS</t>
        </is>
      </c>
      <c r="L8457">
        <f>_xlfn.XLOOKUP(Tableau1[[#This Row],[TYPE DE PIECE]],Tableau4[MATIERE],Tableau4[SHORT TYPE],"",0,1)</f>
        <v/>
      </c>
      <c r="N8457">
        <f>IF(ISERR(FIND("DECOUPE",Tableau1[[#This Row],[DESIGNATION]])),"","NEED REF")</f>
        <v/>
      </c>
    </row>
    <row r="8458">
      <c r="B8458" t="n">
        <v>34405547</v>
      </c>
      <c r="C8458" s="2" t="n">
        <v>42682</v>
      </c>
      <c r="D8458" t="n">
        <v>75</v>
      </c>
      <c r="E8458" t="inlineStr">
        <is>
          <t>Traverse 336,5</t>
        </is>
      </c>
      <c r="F8458" t="inlineStr">
        <is>
          <t>MBC Cabinet</t>
        </is>
      </c>
      <c r="J8458" t="inlineStr">
        <is>
          <t>DUBOIS</t>
        </is>
      </c>
      <c r="L8458">
        <f>_xlfn.XLOOKUP(Tableau1[[#This Row],[TYPE DE PIECE]],Tableau4[MATIERE],Tableau4[SHORT TYPE],"",0,1)</f>
        <v/>
      </c>
      <c r="N8458">
        <f>IF(ISERR(FIND("DECOUPE",Tableau1[[#This Row],[DESIGNATION]])),"","NEED REF")</f>
        <v/>
      </c>
    </row>
    <row r="8459">
      <c r="B8459" t="n">
        <v>34405546</v>
      </c>
      <c r="C8459" s="2" t="n">
        <v>42682</v>
      </c>
      <c r="D8459" t="n">
        <v>74</v>
      </c>
      <c r="E8459" t="inlineStr">
        <is>
          <t>Traverse 6410</t>
        </is>
      </c>
      <c r="F8459" t="inlineStr">
        <is>
          <t>MBC Cabinet</t>
        </is>
      </c>
      <c r="J8459" t="inlineStr">
        <is>
          <t>DUBOIS</t>
        </is>
      </c>
      <c r="L8459">
        <f>_xlfn.XLOOKUP(Tableau1[[#This Row],[TYPE DE PIECE]],Tableau4[MATIERE],Tableau4[SHORT TYPE],"",0,1)</f>
        <v/>
      </c>
      <c r="N8459">
        <f>IF(ISERR(FIND("DECOUPE",Tableau1[[#This Row],[DESIGNATION]])),"","NEED REF")</f>
        <v/>
      </c>
    </row>
    <row r="8460">
      <c r="B8460" t="n">
        <v>34405545</v>
      </c>
      <c r="C8460" s="2" t="n">
        <v>42682</v>
      </c>
      <c r="D8460" t="n">
        <v>73</v>
      </c>
      <c r="E8460" t="inlineStr">
        <is>
          <t>Traverse 710</t>
        </is>
      </c>
      <c r="F8460" t="inlineStr">
        <is>
          <t>MBC Cabinet</t>
        </is>
      </c>
      <c r="J8460" t="inlineStr">
        <is>
          <t>DUBOIS</t>
        </is>
      </c>
      <c r="L8460">
        <f>_xlfn.XLOOKUP(Tableau1[[#This Row],[TYPE DE PIECE]],Tableau4[MATIERE],Tableau4[SHORT TYPE],"",0,1)</f>
        <v/>
      </c>
      <c r="N8460">
        <f>IF(ISERR(FIND("DECOUPE",Tableau1[[#This Row],[DESIGNATION]])),"","NEED REF")</f>
        <v/>
      </c>
    </row>
    <row r="8461">
      <c r="B8461" t="n">
        <v>34405544</v>
      </c>
      <c r="C8461" s="2" t="n">
        <v>42682</v>
      </c>
      <c r="D8461" t="n">
        <v>72</v>
      </c>
      <c r="E8461" t="inlineStr">
        <is>
          <t>Traverse 691,5</t>
        </is>
      </c>
      <c r="F8461" t="inlineStr">
        <is>
          <t>MBC Cabinet</t>
        </is>
      </c>
      <c r="J8461" t="inlineStr">
        <is>
          <t>DUBOIS</t>
        </is>
      </c>
      <c r="L8461">
        <f>_xlfn.XLOOKUP(Tableau1[[#This Row],[TYPE DE PIECE]],Tableau4[MATIERE],Tableau4[SHORT TYPE],"",0,1)</f>
        <v/>
      </c>
      <c r="N8461">
        <f>IF(ISERR(FIND("DECOUPE",Tableau1[[#This Row],[DESIGNATION]])),"","NEED REF")</f>
        <v/>
      </c>
    </row>
    <row r="8462">
      <c r="B8462" t="n">
        <v>34405543</v>
      </c>
      <c r="C8462" s="2" t="n">
        <v>42682</v>
      </c>
      <c r="D8462" t="n">
        <v>71</v>
      </c>
      <c r="E8462" t="inlineStr">
        <is>
          <t>Traverse 1473</t>
        </is>
      </c>
      <c r="F8462" t="inlineStr">
        <is>
          <t>MBC Cabinet</t>
        </is>
      </c>
      <c r="J8462" t="inlineStr">
        <is>
          <t>DUBOIS</t>
        </is>
      </c>
      <c r="L8462">
        <f>_xlfn.XLOOKUP(Tableau1[[#This Row],[TYPE DE PIECE]],Tableau4[MATIERE],Tableau4[SHORT TYPE],"",0,1)</f>
        <v/>
      </c>
      <c r="N8462">
        <f>IF(ISERR(FIND("DECOUPE",Tableau1[[#This Row],[DESIGNATION]])),"","NEED REF")</f>
        <v/>
      </c>
    </row>
    <row r="8463">
      <c r="B8463" t="n">
        <v>34405542</v>
      </c>
      <c r="C8463" s="2" t="n">
        <v>42682</v>
      </c>
      <c r="D8463" t="n">
        <v>70</v>
      </c>
      <c r="E8463" t="inlineStr">
        <is>
          <t>Traverse 1016,5</t>
        </is>
      </c>
      <c r="F8463" t="inlineStr">
        <is>
          <t>MBC Cabinet</t>
        </is>
      </c>
      <c r="J8463" t="inlineStr">
        <is>
          <t>DUBOIS</t>
        </is>
      </c>
      <c r="L8463">
        <f>_xlfn.XLOOKUP(Tableau1[[#This Row],[TYPE DE PIECE]],Tableau4[MATIERE],Tableau4[SHORT TYPE],"",0,1)</f>
        <v/>
      </c>
      <c r="N8463">
        <f>IF(ISERR(FIND("DECOUPE",Tableau1[[#This Row],[DESIGNATION]])),"","NEED REF")</f>
        <v/>
      </c>
    </row>
    <row r="8464">
      <c r="B8464" t="n">
        <v>34405541</v>
      </c>
      <c r="C8464" s="2" t="n">
        <v>42682</v>
      </c>
      <c r="D8464" t="n">
        <v>69</v>
      </c>
      <c r="E8464" t="inlineStr">
        <is>
          <t>Traverse 1760</t>
        </is>
      </c>
      <c r="F8464" t="inlineStr">
        <is>
          <t>MBC Cabinet</t>
        </is>
      </c>
      <c r="J8464" t="inlineStr">
        <is>
          <t>DUBOIS</t>
        </is>
      </c>
      <c r="L8464">
        <f>_xlfn.XLOOKUP(Tableau1[[#This Row],[TYPE DE PIECE]],Tableau4[MATIERE],Tableau4[SHORT TYPE],"",0,1)</f>
        <v/>
      </c>
      <c r="N8464">
        <f>IF(ISERR(FIND("DECOUPE",Tableau1[[#This Row],[DESIGNATION]])),"","NEED REF")</f>
        <v/>
      </c>
    </row>
    <row r="8465">
      <c r="B8465" t="n">
        <v>34405540</v>
      </c>
      <c r="C8465" s="2" t="n">
        <v>42682</v>
      </c>
      <c r="D8465" t="n">
        <v>68</v>
      </c>
      <c r="E8465" t="inlineStr">
        <is>
          <t>Traverse 841,5</t>
        </is>
      </c>
      <c r="F8465" t="inlineStr">
        <is>
          <t>MBC Cabinet</t>
        </is>
      </c>
      <c r="J8465" t="inlineStr">
        <is>
          <t>DUBOIS</t>
        </is>
      </c>
      <c r="L8465">
        <f>_xlfn.XLOOKUP(Tableau1[[#This Row],[TYPE DE PIECE]],Tableau4[MATIERE],Tableau4[SHORT TYPE],"",0,1)</f>
        <v/>
      </c>
      <c r="N8465">
        <f>IF(ISERR(FIND("DECOUPE",Tableau1[[#This Row],[DESIGNATION]])),"","NEED REF")</f>
        <v/>
      </c>
    </row>
    <row r="8466">
      <c r="B8466" t="n">
        <v>34405539</v>
      </c>
      <c r="C8466" s="2" t="n">
        <v>42682</v>
      </c>
      <c r="D8466" t="n">
        <v>67</v>
      </c>
      <c r="E8466" t="inlineStr">
        <is>
          <t>Traverse fine 610</t>
        </is>
      </c>
      <c r="F8466" t="inlineStr">
        <is>
          <t>MBC Cabinet</t>
        </is>
      </c>
      <c r="J8466" t="inlineStr">
        <is>
          <t>DUBOIS</t>
        </is>
      </c>
      <c r="L8466">
        <f>_xlfn.XLOOKUP(Tableau1[[#This Row],[TYPE DE PIECE]],Tableau4[MATIERE],Tableau4[SHORT TYPE],"",0,1)</f>
        <v/>
      </c>
      <c r="N8466">
        <f>IF(ISERR(FIND("DECOUPE",Tableau1[[#This Row],[DESIGNATION]])),"","NEED REF")</f>
        <v/>
      </c>
    </row>
    <row r="8467">
      <c r="B8467" t="n">
        <v>34405538</v>
      </c>
      <c r="C8467" s="2" t="n">
        <v>42682</v>
      </c>
      <c r="D8467" t="n">
        <v>66</v>
      </c>
      <c r="E8467" t="inlineStr">
        <is>
          <t>cale</t>
        </is>
      </c>
      <c r="F8467" t="inlineStr">
        <is>
          <t>MBC Cabinet</t>
        </is>
      </c>
      <c r="J8467" t="inlineStr">
        <is>
          <t>DUBOIS</t>
        </is>
      </c>
      <c r="L8467">
        <f>_xlfn.XLOOKUP(Tableau1[[#This Row],[TYPE DE PIECE]],Tableau4[MATIERE],Tableau4[SHORT TYPE],"",0,1)</f>
        <v/>
      </c>
      <c r="N8467">
        <f>IF(ISERR(FIND("DECOUPE",Tableau1[[#This Row],[DESIGNATION]])),"","NEED REF")</f>
        <v/>
      </c>
    </row>
    <row r="8468">
      <c r="B8468" t="n">
        <v>34405537</v>
      </c>
      <c r="C8468" s="2" t="n">
        <v>42682</v>
      </c>
      <c r="D8468" t="n">
        <v>65</v>
      </c>
      <c r="E8468" t="inlineStr">
        <is>
          <t>Connection NS</t>
        </is>
      </c>
      <c r="F8468" t="inlineStr">
        <is>
          <t>MBC Cabinet</t>
        </is>
      </c>
      <c r="J8468" t="inlineStr">
        <is>
          <t>DUBOIS</t>
        </is>
      </c>
      <c r="L8468">
        <f>_xlfn.XLOOKUP(Tableau1[[#This Row],[TYPE DE PIECE]],Tableau4[MATIERE],Tableau4[SHORT TYPE],"",0,1)</f>
        <v/>
      </c>
      <c r="N8468">
        <f>IF(ISERR(FIND("DECOUPE",Tableau1[[#This Row],[DESIGNATION]])),"","NEED REF")</f>
        <v/>
      </c>
    </row>
    <row r="8469">
      <c r="B8469" t="n">
        <v>34405536</v>
      </c>
      <c r="C8469" s="2" t="n">
        <v>42682</v>
      </c>
      <c r="D8469" t="n">
        <v>64</v>
      </c>
      <c r="E8469" t="inlineStr">
        <is>
          <t>Load L3 NS</t>
        </is>
      </c>
      <c r="F8469" t="inlineStr">
        <is>
          <t>MBC Cabinet</t>
        </is>
      </c>
      <c r="J8469" t="inlineStr">
        <is>
          <t>DUBOIS</t>
        </is>
      </c>
      <c r="L8469">
        <f>_xlfn.XLOOKUP(Tableau1[[#This Row],[TYPE DE PIECE]],Tableau4[MATIERE],Tableau4[SHORT TYPE],"",0,1)</f>
        <v/>
      </c>
      <c r="N8469">
        <f>IF(ISERR(FIND("DECOUPE",Tableau1[[#This Row],[DESIGNATION]])),"","NEED REF")</f>
        <v/>
      </c>
    </row>
    <row r="8470">
      <c r="B8470" t="n">
        <v>34405535</v>
      </c>
      <c r="C8470" s="2" t="n">
        <v>42682</v>
      </c>
      <c r="D8470" t="n">
        <v>63</v>
      </c>
      <c r="E8470" t="inlineStr">
        <is>
          <t>Load L3 NS</t>
        </is>
      </c>
      <c r="F8470" t="inlineStr">
        <is>
          <t>MBC Cabinet</t>
        </is>
      </c>
      <c r="J8470" t="inlineStr">
        <is>
          <t>DUBOIS</t>
        </is>
      </c>
      <c r="L8470">
        <f>_xlfn.XLOOKUP(Tableau1[[#This Row],[TYPE DE PIECE]],Tableau4[MATIERE],Tableau4[SHORT TYPE],"",0,1)</f>
        <v/>
      </c>
      <c r="N8470">
        <f>IF(ISERR(FIND("DECOUPE",Tableau1[[#This Row],[DESIGNATION]])),"","NEED REF")</f>
        <v/>
      </c>
    </row>
    <row r="8471">
      <c r="B8471" t="n">
        <v>34405534</v>
      </c>
      <c r="C8471" s="2" t="n">
        <v>42682</v>
      </c>
      <c r="D8471" t="n">
        <v>62</v>
      </c>
      <c r="E8471" t="inlineStr">
        <is>
          <t>Load L2 NS</t>
        </is>
      </c>
      <c r="F8471" t="inlineStr">
        <is>
          <t>MBC Cabinet</t>
        </is>
      </c>
      <c r="J8471" t="inlineStr">
        <is>
          <t>DUBOIS</t>
        </is>
      </c>
      <c r="L8471">
        <f>_xlfn.XLOOKUP(Tableau1[[#This Row],[TYPE DE PIECE]],Tableau4[MATIERE],Tableau4[SHORT TYPE],"",0,1)</f>
        <v/>
      </c>
      <c r="N8471">
        <f>IF(ISERR(FIND("DECOUPE",Tableau1[[#This Row],[DESIGNATION]])),"","NEED REF")</f>
        <v/>
      </c>
    </row>
    <row r="8472">
      <c r="B8472" t="n">
        <v>34405533</v>
      </c>
      <c r="C8472" s="2" t="n">
        <v>42682</v>
      </c>
      <c r="D8472" t="n">
        <v>61</v>
      </c>
      <c r="E8472" t="inlineStr">
        <is>
          <t>Load L2 NS</t>
        </is>
      </c>
      <c r="F8472" t="inlineStr">
        <is>
          <t>MBC Cabinet</t>
        </is>
      </c>
      <c r="J8472" t="inlineStr">
        <is>
          <t>DUBOIS</t>
        </is>
      </c>
      <c r="L8472">
        <f>_xlfn.XLOOKUP(Tableau1[[#This Row],[TYPE DE PIECE]],Tableau4[MATIERE],Tableau4[SHORT TYPE],"",0,1)</f>
        <v/>
      </c>
      <c r="N8472">
        <f>IF(ISERR(FIND("DECOUPE",Tableau1[[#This Row],[DESIGNATION]])),"","NEED REF")</f>
        <v/>
      </c>
    </row>
    <row r="8473">
      <c r="B8473" t="n">
        <v>34405532</v>
      </c>
      <c r="C8473" s="2" t="n">
        <v>42682</v>
      </c>
      <c r="D8473" t="n">
        <v>60</v>
      </c>
      <c r="E8473" t="inlineStr">
        <is>
          <t>Load L1 NS</t>
        </is>
      </c>
      <c r="F8473" t="inlineStr">
        <is>
          <t>MBC Cabinet</t>
        </is>
      </c>
      <c r="J8473" t="inlineStr">
        <is>
          <t>DUBOIS</t>
        </is>
      </c>
      <c r="L8473">
        <f>_xlfn.XLOOKUP(Tableau1[[#This Row],[TYPE DE PIECE]],Tableau4[MATIERE],Tableau4[SHORT TYPE],"",0,1)</f>
        <v/>
      </c>
      <c r="N8473">
        <f>IF(ISERR(FIND("DECOUPE",Tableau1[[#This Row],[DESIGNATION]])),"","NEED REF")</f>
        <v/>
      </c>
    </row>
    <row r="8474">
      <c r="B8474" t="n">
        <v>34405531</v>
      </c>
      <c r="C8474" s="2" t="n">
        <v>42682</v>
      </c>
      <c r="D8474" t="n">
        <v>59</v>
      </c>
      <c r="E8474" t="inlineStr">
        <is>
          <t>Load L1 NS</t>
        </is>
      </c>
      <c r="F8474" t="inlineStr">
        <is>
          <t>MBC Cabinet</t>
        </is>
      </c>
      <c r="J8474" t="inlineStr">
        <is>
          <t>DUBOIS</t>
        </is>
      </c>
      <c r="L8474">
        <f>_xlfn.XLOOKUP(Tableau1[[#This Row],[TYPE DE PIECE]],Tableau4[MATIERE],Tableau4[SHORT TYPE],"",0,1)</f>
        <v/>
      </c>
      <c r="N8474">
        <f>IF(ISERR(FIND("DECOUPE",Tableau1[[#This Row],[DESIGNATION]])),"","NEED REF")</f>
        <v/>
      </c>
    </row>
    <row r="8475">
      <c r="B8475" t="n">
        <v>34405530</v>
      </c>
      <c r="C8475" s="2" t="n">
        <v>42682</v>
      </c>
      <c r="D8475" t="n">
        <v>58</v>
      </c>
      <c r="E8475" t="inlineStr">
        <is>
          <t>Load Neutral NS</t>
        </is>
      </c>
      <c r="F8475" t="inlineStr">
        <is>
          <t>MBC Cabinet</t>
        </is>
      </c>
      <c r="J8475" t="inlineStr">
        <is>
          <t>DUBOIS</t>
        </is>
      </c>
      <c r="L8475">
        <f>_xlfn.XLOOKUP(Tableau1[[#This Row],[TYPE DE PIECE]],Tableau4[MATIERE],Tableau4[SHORT TYPE],"",0,1)</f>
        <v/>
      </c>
      <c r="N8475">
        <f>IF(ISERR(FIND("DECOUPE",Tableau1[[#This Row],[DESIGNATION]])),"","NEED REF")</f>
        <v/>
      </c>
    </row>
    <row r="8476">
      <c r="B8476" t="n">
        <v>34405529</v>
      </c>
      <c r="C8476" s="2" t="n">
        <v>42682</v>
      </c>
      <c r="D8476" t="n">
        <v>57</v>
      </c>
      <c r="E8476" t="inlineStr">
        <is>
          <t>Load Neutral NS</t>
        </is>
      </c>
      <c r="F8476" t="inlineStr">
        <is>
          <t>MBC Cabinet</t>
        </is>
      </c>
      <c r="J8476" t="inlineStr">
        <is>
          <t>DUBOIS</t>
        </is>
      </c>
      <c r="L8476">
        <f>_xlfn.XLOOKUP(Tableau1[[#This Row],[TYPE DE PIECE]],Tableau4[MATIERE],Tableau4[SHORT TYPE],"",0,1)</f>
        <v/>
      </c>
      <c r="N8476">
        <f>IF(ISERR(FIND("DECOUPE",Tableau1[[#This Row],[DESIGNATION]])),"","NEED REF")</f>
        <v/>
      </c>
    </row>
    <row r="8477">
      <c r="B8477" t="n">
        <v>34405528</v>
      </c>
      <c r="C8477" s="2" t="n">
        <v>42682</v>
      </c>
      <c r="D8477" t="n">
        <v>56</v>
      </c>
      <c r="E8477" t="inlineStr">
        <is>
          <t>Bypass input Neutral NS</t>
        </is>
      </c>
      <c r="F8477" t="inlineStr">
        <is>
          <t>MBC Cabinet</t>
        </is>
      </c>
      <c r="J8477" t="inlineStr">
        <is>
          <t>DUBOIS</t>
        </is>
      </c>
      <c r="L8477">
        <f>_xlfn.XLOOKUP(Tableau1[[#This Row],[TYPE DE PIECE]],Tableau4[MATIERE],Tableau4[SHORT TYPE],"",0,1)</f>
        <v/>
      </c>
      <c r="N8477">
        <f>IF(ISERR(FIND("DECOUPE",Tableau1[[#This Row],[DESIGNATION]])),"","NEED REF")</f>
        <v/>
      </c>
    </row>
    <row r="8478">
      <c r="B8478" t="n">
        <v>34405527</v>
      </c>
      <c r="C8478" s="2" t="n">
        <v>42682</v>
      </c>
      <c r="D8478" t="n">
        <v>55</v>
      </c>
      <c r="E8478" t="inlineStr">
        <is>
          <t>Bypass input Neutral NS</t>
        </is>
      </c>
      <c r="F8478" t="inlineStr">
        <is>
          <t>MBC Cabinet</t>
        </is>
      </c>
      <c r="J8478" t="inlineStr">
        <is>
          <t>DUBOIS</t>
        </is>
      </c>
      <c r="L8478">
        <f>_xlfn.XLOOKUP(Tableau1[[#This Row],[TYPE DE PIECE]],Tableau4[MATIERE],Tableau4[SHORT TYPE],"",0,1)</f>
        <v/>
      </c>
      <c r="N8478">
        <f>IF(ISERR(FIND("DECOUPE",Tableau1[[#This Row],[DESIGNATION]])),"","NEED REF")</f>
        <v/>
      </c>
    </row>
    <row r="8479">
      <c r="B8479" t="n">
        <v>34405526</v>
      </c>
      <c r="C8479" s="2" t="n">
        <v>42682</v>
      </c>
      <c r="D8479" t="n">
        <v>54</v>
      </c>
      <c r="E8479" t="inlineStr">
        <is>
          <t>Bypass input L1 NS</t>
        </is>
      </c>
      <c r="F8479" t="inlineStr">
        <is>
          <t>MBC Cabinet</t>
        </is>
      </c>
      <c r="J8479" t="inlineStr">
        <is>
          <t>DUBOIS</t>
        </is>
      </c>
      <c r="L8479">
        <f>_xlfn.XLOOKUP(Tableau1[[#This Row],[TYPE DE PIECE]],Tableau4[MATIERE],Tableau4[SHORT TYPE],"",0,1)</f>
        <v/>
      </c>
      <c r="N8479">
        <f>IF(ISERR(FIND("DECOUPE",Tableau1[[#This Row],[DESIGNATION]])),"","NEED REF")</f>
        <v/>
      </c>
    </row>
    <row r="8480">
      <c r="B8480" t="n">
        <v>34405525</v>
      </c>
      <c r="C8480" s="2" t="n">
        <v>42682</v>
      </c>
      <c r="D8480" t="n">
        <v>53</v>
      </c>
      <c r="E8480" t="inlineStr">
        <is>
          <t>Bypass input L1 NS</t>
        </is>
      </c>
      <c r="F8480" t="inlineStr">
        <is>
          <t>MBC Cabinet</t>
        </is>
      </c>
      <c r="J8480" t="inlineStr">
        <is>
          <t>DUBOIS</t>
        </is>
      </c>
      <c r="L8480">
        <f>_xlfn.XLOOKUP(Tableau1[[#This Row],[TYPE DE PIECE]],Tableau4[MATIERE],Tableau4[SHORT TYPE],"",0,1)</f>
        <v/>
      </c>
      <c r="N8480">
        <f>IF(ISERR(FIND("DECOUPE",Tableau1[[#This Row],[DESIGNATION]])),"","NEED REF")</f>
        <v/>
      </c>
    </row>
    <row r="8481">
      <c r="B8481" t="n">
        <v>34405524</v>
      </c>
      <c r="C8481" s="2" t="n">
        <v>42682</v>
      </c>
      <c r="D8481" t="n">
        <v>52</v>
      </c>
      <c r="E8481" t="inlineStr">
        <is>
          <t>Bypass input L2 NS</t>
        </is>
      </c>
      <c r="F8481" t="inlineStr">
        <is>
          <t>MBC Cabinet</t>
        </is>
      </c>
      <c r="J8481" t="inlineStr">
        <is>
          <t>DUBOIS</t>
        </is>
      </c>
      <c r="L8481">
        <f>_xlfn.XLOOKUP(Tableau1[[#This Row],[TYPE DE PIECE]],Tableau4[MATIERE],Tableau4[SHORT TYPE],"",0,1)</f>
        <v/>
      </c>
      <c r="N8481">
        <f>IF(ISERR(FIND("DECOUPE",Tableau1[[#This Row],[DESIGNATION]])),"","NEED REF")</f>
        <v/>
      </c>
    </row>
    <row r="8482">
      <c r="B8482" t="n">
        <v>34405523</v>
      </c>
      <c r="C8482" s="2" t="n">
        <v>42682</v>
      </c>
      <c r="D8482" t="n">
        <v>51</v>
      </c>
      <c r="E8482" t="inlineStr">
        <is>
          <t>Bypass input L2 NS</t>
        </is>
      </c>
      <c r="F8482" t="inlineStr">
        <is>
          <t>MBC Cabinet</t>
        </is>
      </c>
      <c r="J8482" t="inlineStr">
        <is>
          <t>DUBOIS</t>
        </is>
      </c>
      <c r="L8482">
        <f>_xlfn.XLOOKUP(Tableau1[[#This Row],[TYPE DE PIECE]],Tableau4[MATIERE],Tableau4[SHORT TYPE],"",0,1)</f>
        <v/>
      </c>
      <c r="N8482">
        <f>IF(ISERR(FIND("DECOUPE",Tableau1[[#This Row],[DESIGNATION]])),"","NEED REF")</f>
        <v/>
      </c>
    </row>
    <row r="8483">
      <c r="B8483" t="n">
        <v>34405522</v>
      </c>
      <c r="C8483" s="2" t="n">
        <v>42682</v>
      </c>
      <c r="D8483" t="n">
        <v>50</v>
      </c>
      <c r="E8483" t="inlineStr">
        <is>
          <t>Bypass input L3 NS</t>
        </is>
      </c>
      <c r="F8483" t="inlineStr">
        <is>
          <t>MBC Cabinet</t>
        </is>
      </c>
      <c r="J8483" t="inlineStr">
        <is>
          <t>DUBOIS</t>
        </is>
      </c>
      <c r="L8483">
        <f>_xlfn.XLOOKUP(Tableau1[[#This Row],[TYPE DE PIECE]],Tableau4[MATIERE],Tableau4[SHORT TYPE],"",0,1)</f>
        <v/>
      </c>
      <c r="N8483">
        <f>IF(ISERR(FIND("DECOUPE",Tableau1[[#This Row],[DESIGNATION]])),"","NEED REF")</f>
        <v/>
      </c>
    </row>
    <row r="8484">
      <c r="B8484" t="n">
        <v>34405521</v>
      </c>
      <c r="C8484" s="2" t="n">
        <v>42682</v>
      </c>
      <c r="D8484" t="n">
        <v>49</v>
      </c>
      <c r="E8484" t="inlineStr">
        <is>
          <t>Bypass input L3 NS</t>
        </is>
      </c>
      <c r="F8484" t="inlineStr">
        <is>
          <t>MBC Cabinet</t>
        </is>
      </c>
      <c r="J8484" t="inlineStr">
        <is>
          <t>DUBOIS</t>
        </is>
      </c>
      <c r="L8484">
        <f>_xlfn.XLOOKUP(Tableau1[[#This Row],[TYPE DE PIECE]],Tableau4[MATIERE],Tableau4[SHORT TYPE],"",0,1)</f>
        <v/>
      </c>
      <c r="N8484">
        <f>IF(ISERR(FIND("DECOUPE",Tableau1[[#This Row],[DESIGNATION]])),"","NEED REF")</f>
        <v/>
      </c>
    </row>
    <row r="8485">
      <c r="B8485" t="n">
        <v>34405520</v>
      </c>
      <c r="C8485" s="2" t="n">
        <v>42682</v>
      </c>
      <c r="D8485" t="n">
        <v>48</v>
      </c>
      <c r="E8485" t="inlineStr">
        <is>
          <t>IOC output L3 NS</t>
        </is>
      </c>
      <c r="F8485" t="inlineStr">
        <is>
          <t>MBC Cabinet</t>
        </is>
      </c>
      <c r="J8485" t="inlineStr">
        <is>
          <t>DUBOIS</t>
        </is>
      </c>
      <c r="L8485">
        <f>_xlfn.XLOOKUP(Tableau1[[#This Row],[TYPE DE PIECE]],Tableau4[MATIERE],Tableau4[SHORT TYPE],"",0,1)</f>
        <v/>
      </c>
      <c r="N8485">
        <f>IF(ISERR(FIND("DECOUPE",Tableau1[[#This Row],[DESIGNATION]])),"","NEED REF")</f>
        <v/>
      </c>
    </row>
    <row r="8486">
      <c r="B8486" t="n">
        <v>34405519</v>
      </c>
      <c r="C8486" s="2" t="n">
        <v>42682</v>
      </c>
      <c r="D8486" t="n">
        <v>47</v>
      </c>
      <c r="E8486" t="inlineStr">
        <is>
          <t>IOC output L3 NS</t>
        </is>
      </c>
      <c r="F8486" t="inlineStr">
        <is>
          <t>MBC Cabinet</t>
        </is>
      </c>
      <c r="J8486" t="inlineStr">
        <is>
          <t>DUBOIS</t>
        </is>
      </c>
      <c r="L8486">
        <f>_xlfn.XLOOKUP(Tableau1[[#This Row],[TYPE DE PIECE]],Tableau4[MATIERE],Tableau4[SHORT TYPE],"",0,1)</f>
        <v/>
      </c>
      <c r="N8486">
        <f>IF(ISERR(FIND("DECOUPE",Tableau1[[#This Row],[DESIGNATION]])),"","NEED REF")</f>
        <v/>
      </c>
    </row>
    <row r="8487">
      <c r="B8487" t="n">
        <v>34405518</v>
      </c>
      <c r="C8487" s="2" t="n">
        <v>42682</v>
      </c>
      <c r="D8487" t="n">
        <v>46</v>
      </c>
      <c r="E8487" t="inlineStr">
        <is>
          <t>IOC output L2 NS</t>
        </is>
      </c>
      <c r="F8487" t="inlineStr">
        <is>
          <t>MBC Cabinet</t>
        </is>
      </c>
      <c r="J8487" t="inlineStr">
        <is>
          <t>DUBOIS</t>
        </is>
      </c>
      <c r="L8487">
        <f>_xlfn.XLOOKUP(Tableau1[[#This Row],[TYPE DE PIECE]],Tableau4[MATIERE],Tableau4[SHORT TYPE],"",0,1)</f>
        <v/>
      </c>
      <c r="N8487">
        <f>IF(ISERR(FIND("DECOUPE",Tableau1[[#This Row],[DESIGNATION]])),"","NEED REF")</f>
        <v/>
      </c>
    </row>
    <row r="8488">
      <c r="B8488" t="n">
        <v>34405517</v>
      </c>
      <c r="C8488" s="2" t="n">
        <v>42682</v>
      </c>
      <c r="D8488" t="n">
        <v>45</v>
      </c>
      <c r="E8488" t="inlineStr">
        <is>
          <t>IOC output L2 NS</t>
        </is>
      </c>
      <c r="F8488" t="inlineStr">
        <is>
          <t>MBC Cabinet</t>
        </is>
      </c>
      <c r="J8488" t="inlineStr">
        <is>
          <t>DUBOIS</t>
        </is>
      </c>
      <c r="L8488">
        <f>_xlfn.XLOOKUP(Tableau1[[#This Row],[TYPE DE PIECE]],Tableau4[MATIERE],Tableau4[SHORT TYPE],"",0,1)</f>
        <v/>
      </c>
      <c r="N8488">
        <f>IF(ISERR(FIND("DECOUPE",Tableau1[[#This Row],[DESIGNATION]])),"","NEED REF")</f>
        <v/>
      </c>
    </row>
    <row r="8489">
      <c r="B8489" t="n">
        <v>34405516</v>
      </c>
      <c r="C8489" s="2" t="n">
        <v>42682</v>
      </c>
      <c r="D8489" t="n">
        <v>44</v>
      </c>
      <c r="E8489" t="inlineStr">
        <is>
          <t>IOC output L1 NS</t>
        </is>
      </c>
      <c r="F8489" t="inlineStr">
        <is>
          <t>MBC Cabinet</t>
        </is>
      </c>
      <c r="J8489" t="inlineStr">
        <is>
          <t>DUBOIS</t>
        </is>
      </c>
      <c r="L8489">
        <f>_xlfn.XLOOKUP(Tableau1[[#This Row],[TYPE DE PIECE]],Tableau4[MATIERE],Tableau4[SHORT TYPE],"",0,1)</f>
        <v/>
      </c>
      <c r="N8489">
        <f>IF(ISERR(FIND("DECOUPE",Tableau1[[#This Row],[DESIGNATION]])),"","NEED REF")</f>
        <v/>
      </c>
    </row>
    <row r="8490">
      <c r="B8490" t="n">
        <v>34405515</v>
      </c>
      <c r="C8490" s="2" t="n">
        <v>42682</v>
      </c>
      <c r="D8490" t="n">
        <v>43</v>
      </c>
      <c r="E8490" t="inlineStr">
        <is>
          <t>IOC output L1 NS</t>
        </is>
      </c>
      <c r="F8490" t="inlineStr">
        <is>
          <t>MBC Cabinet</t>
        </is>
      </c>
      <c r="J8490" t="inlineStr">
        <is>
          <t>DUBOIS</t>
        </is>
      </c>
      <c r="L8490">
        <f>_xlfn.XLOOKUP(Tableau1[[#This Row],[TYPE DE PIECE]],Tableau4[MATIERE],Tableau4[SHORT TYPE],"",0,1)</f>
        <v/>
      </c>
      <c r="N8490">
        <f>IF(ISERR(FIND("DECOUPE",Tableau1[[#This Row],[DESIGNATION]])),"","NEED REF")</f>
        <v/>
      </c>
    </row>
    <row r="8491">
      <c r="B8491" t="n">
        <v>34405514</v>
      </c>
      <c r="C8491" s="2" t="n">
        <v>42682</v>
      </c>
      <c r="D8491" t="n">
        <v>42</v>
      </c>
      <c r="E8491" t="inlineStr">
        <is>
          <t>IOC output Neutral NS</t>
        </is>
      </c>
      <c r="F8491" t="inlineStr">
        <is>
          <t>MBC Cabinet</t>
        </is>
      </c>
      <c r="J8491" t="inlineStr">
        <is>
          <t>DUBOIS</t>
        </is>
      </c>
      <c r="L8491">
        <f>_xlfn.XLOOKUP(Tableau1[[#This Row],[TYPE DE PIECE]],Tableau4[MATIERE],Tableau4[SHORT TYPE],"",0,1)</f>
        <v/>
      </c>
      <c r="N8491">
        <f>IF(ISERR(FIND("DECOUPE",Tableau1[[#This Row],[DESIGNATION]])),"","NEED REF")</f>
        <v/>
      </c>
    </row>
    <row r="8492">
      <c r="B8492" t="n">
        <v>34405513</v>
      </c>
      <c r="C8492" s="2" t="n">
        <v>42682</v>
      </c>
      <c r="D8492" t="n">
        <v>41</v>
      </c>
      <c r="E8492" t="inlineStr">
        <is>
          <t>IOC output Neutral NS</t>
        </is>
      </c>
      <c r="F8492" t="inlineStr">
        <is>
          <t>MBC Cabinet</t>
        </is>
      </c>
      <c r="J8492" t="inlineStr">
        <is>
          <t>DUBOIS</t>
        </is>
      </c>
      <c r="L8492">
        <f>_xlfn.XLOOKUP(Tableau1[[#This Row],[TYPE DE PIECE]],Tableau4[MATIERE],Tableau4[SHORT TYPE],"",0,1)</f>
        <v/>
      </c>
      <c r="N8492">
        <f>IF(ISERR(FIND("DECOUPE",Tableau1[[#This Row],[DESIGNATION]])),"","NEED REF")</f>
        <v/>
      </c>
    </row>
    <row r="8493">
      <c r="B8493" t="n">
        <v>34405512</v>
      </c>
      <c r="C8493" s="2" t="n">
        <v>42682</v>
      </c>
      <c r="D8493" t="n">
        <v>40</v>
      </c>
      <c r="E8493" t="inlineStr">
        <is>
          <t>Bypass Neutral NS</t>
        </is>
      </c>
      <c r="F8493" t="inlineStr">
        <is>
          <t>MBC Cabinet</t>
        </is>
      </c>
      <c r="J8493" t="inlineStr">
        <is>
          <t>DUBOIS</t>
        </is>
      </c>
      <c r="L8493">
        <f>_xlfn.XLOOKUP(Tableau1[[#This Row],[TYPE DE PIECE]],Tableau4[MATIERE],Tableau4[SHORT TYPE],"",0,1)</f>
        <v/>
      </c>
      <c r="N8493">
        <f>IF(ISERR(FIND("DECOUPE",Tableau1[[#This Row],[DESIGNATION]])),"","NEED REF")</f>
        <v/>
      </c>
    </row>
    <row r="8494">
      <c r="B8494" t="n">
        <v>34405511</v>
      </c>
      <c r="C8494" s="2" t="n">
        <v>42682</v>
      </c>
      <c r="D8494" t="n">
        <v>39</v>
      </c>
      <c r="E8494" t="inlineStr">
        <is>
          <t>Bypass Neutral NS</t>
        </is>
      </c>
      <c r="F8494" t="inlineStr">
        <is>
          <t>MBC Cabinet</t>
        </is>
      </c>
      <c r="J8494" t="inlineStr">
        <is>
          <t>DUBOIS</t>
        </is>
      </c>
      <c r="L8494">
        <f>_xlfn.XLOOKUP(Tableau1[[#This Row],[TYPE DE PIECE]],Tableau4[MATIERE],Tableau4[SHORT TYPE],"",0,1)</f>
        <v/>
      </c>
      <c r="N8494">
        <f>IF(ISERR(FIND("DECOUPE",Tableau1[[#This Row],[DESIGNATION]])),"","NEED REF")</f>
        <v/>
      </c>
    </row>
    <row r="8495">
      <c r="B8495" t="n">
        <v>34405510</v>
      </c>
      <c r="C8495" s="2" t="n">
        <v>42682</v>
      </c>
      <c r="D8495" t="n">
        <v>38</v>
      </c>
      <c r="E8495" t="inlineStr">
        <is>
          <t>Bypass output L1 NS</t>
        </is>
      </c>
      <c r="F8495" t="inlineStr">
        <is>
          <t>MBC Cabinet</t>
        </is>
      </c>
      <c r="J8495" t="inlineStr">
        <is>
          <t>DUBOIS</t>
        </is>
      </c>
      <c r="L8495">
        <f>_xlfn.XLOOKUP(Tableau1[[#This Row],[TYPE DE PIECE]],Tableau4[MATIERE],Tableau4[SHORT TYPE],"",0,1)</f>
        <v/>
      </c>
      <c r="N8495">
        <f>IF(ISERR(FIND("DECOUPE",Tableau1[[#This Row],[DESIGNATION]])),"","NEED REF")</f>
        <v/>
      </c>
    </row>
    <row r="8496">
      <c r="B8496" t="n">
        <v>34405509</v>
      </c>
      <c r="C8496" s="2" t="n">
        <v>42682</v>
      </c>
      <c r="D8496" t="n">
        <v>37</v>
      </c>
      <c r="E8496" t="inlineStr">
        <is>
          <t>Bypass output L1 NS</t>
        </is>
      </c>
      <c r="F8496" t="inlineStr">
        <is>
          <t>MBC Cabinet</t>
        </is>
      </c>
      <c r="J8496" t="inlineStr">
        <is>
          <t>DUBOIS</t>
        </is>
      </c>
      <c r="L8496">
        <f>_xlfn.XLOOKUP(Tableau1[[#This Row],[TYPE DE PIECE]],Tableau4[MATIERE],Tableau4[SHORT TYPE],"",0,1)</f>
        <v/>
      </c>
      <c r="N8496">
        <f>IF(ISERR(FIND("DECOUPE",Tableau1[[#This Row],[DESIGNATION]])),"","NEED REF")</f>
        <v/>
      </c>
    </row>
    <row r="8497">
      <c r="B8497" t="n">
        <v>34405508</v>
      </c>
      <c r="C8497" s="2" t="n">
        <v>42682</v>
      </c>
      <c r="D8497" t="n">
        <v>36</v>
      </c>
      <c r="E8497" t="inlineStr">
        <is>
          <t>Bypass output L2 NS</t>
        </is>
      </c>
      <c r="F8497" t="inlineStr">
        <is>
          <t>MBC Cabinet</t>
        </is>
      </c>
      <c r="J8497" t="inlineStr">
        <is>
          <t>DUBOIS</t>
        </is>
      </c>
      <c r="L8497">
        <f>_xlfn.XLOOKUP(Tableau1[[#This Row],[TYPE DE PIECE]],Tableau4[MATIERE],Tableau4[SHORT TYPE],"",0,1)</f>
        <v/>
      </c>
      <c r="N8497">
        <f>IF(ISERR(FIND("DECOUPE",Tableau1[[#This Row],[DESIGNATION]])),"","NEED REF")</f>
        <v/>
      </c>
    </row>
    <row r="8498">
      <c r="B8498" t="n">
        <v>34405507</v>
      </c>
      <c r="C8498" s="2" t="n">
        <v>42682</v>
      </c>
      <c r="D8498" t="n">
        <v>35</v>
      </c>
      <c r="E8498" t="inlineStr">
        <is>
          <t>Bypass output L2 NS</t>
        </is>
      </c>
      <c r="F8498" t="inlineStr">
        <is>
          <t>MBC Cabinet</t>
        </is>
      </c>
      <c r="J8498" t="inlineStr">
        <is>
          <t>DUBOIS</t>
        </is>
      </c>
      <c r="L8498">
        <f>_xlfn.XLOOKUP(Tableau1[[#This Row],[TYPE DE PIECE]],Tableau4[MATIERE],Tableau4[SHORT TYPE],"",0,1)</f>
        <v/>
      </c>
      <c r="N8498">
        <f>IF(ISERR(FIND("DECOUPE",Tableau1[[#This Row],[DESIGNATION]])),"","NEED REF")</f>
        <v/>
      </c>
    </row>
    <row r="8499">
      <c r="B8499" t="n">
        <v>34405506</v>
      </c>
      <c r="C8499" s="2" t="n">
        <v>42682</v>
      </c>
      <c r="D8499" t="n">
        <v>34</v>
      </c>
      <c r="E8499" t="inlineStr">
        <is>
          <t>Bypass output L3 NS</t>
        </is>
      </c>
      <c r="F8499" t="inlineStr">
        <is>
          <t>MBC Cabinet</t>
        </is>
      </c>
      <c r="J8499" t="inlineStr">
        <is>
          <t>DUBOIS</t>
        </is>
      </c>
      <c r="L8499">
        <f>_xlfn.XLOOKUP(Tableau1[[#This Row],[TYPE DE PIECE]],Tableau4[MATIERE],Tableau4[SHORT TYPE],"",0,1)</f>
        <v/>
      </c>
      <c r="N8499">
        <f>IF(ISERR(FIND("DECOUPE",Tableau1[[#This Row],[DESIGNATION]])),"","NEED REF")</f>
        <v/>
      </c>
    </row>
    <row r="8500">
      <c r="B8500" t="n">
        <v>34405505</v>
      </c>
      <c r="C8500" s="2" t="n">
        <v>42682</v>
      </c>
      <c r="D8500" t="n">
        <v>33</v>
      </c>
      <c r="E8500" t="inlineStr">
        <is>
          <t>Bypass output L3 NS</t>
        </is>
      </c>
      <c r="F8500" t="inlineStr">
        <is>
          <t>MBC Cabinet</t>
        </is>
      </c>
      <c r="J8500" t="inlineStr">
        <is>
          <t>DUBOIS</t>
        </is>
      </c>
      <c r="L8500">
        <f>_xlfn.XLOOKUP(Tableau1[[#This Row],[TYPE DE PIECE]],Tableau4[MATIERE],Tableau4[SHORT TYPE],"",0,1)</f>
        <v/>
      </c>
      <c r="N8500">
        <f>IF(ISERR(FIND("DECOUPE",Tableau1[[#This Row],[DESIGNATION]])),"","NEED REF")</f>
        <v/>
      </c>
    </row>
    <row r="8501">
      <c r="B8501" t="n">
        <v>34405504</v>
      </c>
      <c r="C8501" s="2" t="n">
        <v>42682</v>
      </c>
      <c r="D8501" t="n">
        <v>32</v>
      </c>
      <c r="E8501" t="inlineStr">
        <is>
          <t>IOC output L3</t>
        </is>
      </c>
      <c r="F8501" t="inlineStr">
        <is>
          <t>MBC Cabinet</t>
        </is>
      </c>
      <c r="J8501" t="inlineStr">
        <is>
          <t>DUBOIS</t>
        </is>
      </c>
      <c r="L8501">
        <f>_xlfn.XLOOKUP(Tableau1[[#This Row],[TYPE DE PIECE]],Tableau4[MATIERE],Tableau4[SHORT TYPE],"",0,1)</f>
        <v/>
      </c>
      <c r="N8501">
        <f>IF(ISERR(FIND("DECOUPE",Tableau1[[#This Row],[DESIGNATION]])),"","NEED REF")</f>
        <v/>
      </c>
    </row>
    <row r="8502">
      <c r="B8502" t="n">
        <v>34405503</v>
      </c>
      <c r="C8502" s="2" t="n">
        <v>42682</v>
      </c>
      <c r="D8502" t="n">
        <v>31</v>
      </c>
      <c r="E8502" t="inlineStr">
        <is>
          <t>IOC output L3</t>
        </is>
      </c>
      <c r="F8502" t="inlineStr">
        <is>
          <t>MBC Cabinet</t>
        </is>
      </c>
      <c r="J8502" t="inlineStr">
        <is>
          <t>DUBOIS</t>
        </is>
      </c>
      <c r="L8502">
        <f>_xlfn.XLOOKUP(Tableau1[[#This Row],[TYPE DE PIECE]],Tableau4[MATIERE],Tableau4[SHORT TYPE],"",0,1)</f>
        <v/>
      </c>
      <c r="N8502">
        <f>IF(ISERR(FIND("DECOUPE",Tableau1[[#This Row],[DESIGNATION]])),"","NEED REF")</f>
        <v/>
      </c>
    </row>
    <row r="8503">
      <c r="B8503" t="n">
        <v>34405502</v>
      </c>
      <c r="C8503" s="2" t="n">
        <v>42682</v>
      </c>
      <c r="D8503" t="n">
        <v>30</v>
      </c>
      <c r="E8503" t="inlineStr">
        <is>
          <t>IOC output L2</t>
        </is>
      </c>
      <c r="F8503" t="inlineStr">
        <is>
          <t>MBC Cabinet</t>
        </is>
      </c>
      <c r="J8503" t="inlineStr">
        <is>
          <t>DUBOIS</t>
        </is>
      </c>
      <c r="L8503">
        <f>_xlfn.XLOOKUP(Tableau1[[#This Row],[TYPE DE PIECE]],Tableau4[MATIERE],Tableau4[SHORT TYPE],"",0,1)</f>
        <v/>
      </c>
      <c r="N8503">
        <f>IF(ISERR(FIND("DECOUPE",Tableau1[[#This Row],[DESIGNATION]])),"","NEED REF")</f>
        <v/>
      </c>
    </row>
    <row r="8504">
      <c r="B8504" t="n">
        <v>34405501</v>
      </c>
      <c r="C8504" s="2" t="n">
        <v>42682</v>
      </c>
      <c r="D8504" t="n">
        <v>29</v>
      </c>
      <c r="E8504" t="inlineStr">
        <is>
          <t>IOC output L2</t>
        </is>
      </c>
      <c r="F8504" t="inlineStr">
        <is>
          <t>MBC Cabinet</t>
        </is>
      </c>
      <c r="J8504" t="inlineStr">
        <is>
          <t>DUBOIS</t>
        </is>
      </c>
      <c r="L8504">
        <f>_xlfn.XLOOKUP(Tableau1[[#This Row],[TYPE DE PIECE]],Tableau4[MATIERE],Tableau4[SHORT TYPE],"",0,1)</f>
        <v/>
      </c>
      <c r="N8504">
        <f>IF(ISERR(FIND("DECOUPE",Tableau1[[#This Row],[DESIGNATION]])),"","NEED REF")</f>
        <v/>
      </c>
    </row>
    <row r="8505">
      <c r="B8505" t="n">
        <v>34405500</v>
      </c>
      <c r="C8505" s="2" t="n">
        <v>42682</v>
      </c>
      <c r="D8505" t="n">
        <v>28</v>
      </c>
      <c r="E8505" t="inlineStr">
        <is>
          <t>IOC output L1</t>
        </is>
      </c>
      <c r="F8505" t="inlineStr">
        <is>
          <t>MBC Cabinet</t>
        </is>
      </c>
      <c r="J8505" t="inlineStr">
        <is>
          <t>DUBOIS</t>
        </is>
      </c>
      <c r="L8505">
        <f>_xlfn.XLOOKUP(Tableau1[[#This Row],[TYPE DE PIECE]],Tableau4[MATIERE],Tableau4[SHORT TYPE],"",0,1)</f>
        <v/>
      </c>
      <c r="N8505">
        <f>IF(ISERR(FIND("DECOUPE",Tableau1[[#This Row],[DESIGNATION]])),"","NEED REF")</f>
        <v/>
      </c>
    </row>
    <row r="8506">
      <c r="B8506" t="n">
        <v>34405499</v>
      </c>
      <c r="C8506" s="2" t="n">
        <v>42682</v>
      </c>
      <c r="D8506" t="n">
        <v>27</v>
      </c>
      <c r="E8506" t="inlineStr">
        <is>
          <t>IOC output L1</t>
        </is>
      </c>
      <c r="F8506" t="inlineStr">
        <is>
          <t>MBC Cabinet</t>
        </is>
      </c>
      <c r="J8506" t="inlineStr">
        <is>
          <t>DUBOIS</t>
        </is>
      </c>
      <c r="L8506">
        <f>_xlfn.XLOOKUP(Tableau1[[#This Row],[TYPE DE PIECE]],Tableau4[MATIERE],Tableau4[SHORT TYPE],"",0,1)</f>
        <v/>
      </c>
      <c r="N8506">
        <f>IF(ISERR(FIND("DECOUPE",Tableau1[[#This Row],[DESIGNATION]])),"","NEED REF")</f>
        <v/>
      </c>
    </row>
    <row r="8507">
      <c r="B8507" t="n">
        <v>34405498</v>
      </c>
      <c r="C8507" s="2" t="n">
        <v>42682</v>
      </c>
      <c r="D8507" t="n">
        <v>26</v>
      </c>
      <c r="E8507" t="inlineStr">
        <is>
          <t>IOC output Neutral</t>
        </is>
      </c>
      <c r="F8507" t="inlineStr">
        <is>
          <t>MBC Cabinet</t>
        </is>
      </c>
      <c r="J8507" t="inlineStr">
        <is>
          <t>DUBOIS</t>
        </is>
      </c>
      <c r="L8507">
        <f>_xlfn.XLOOKUP(Tableau1[[#This Row],[TYPE DE PIECE]],Tableau4[MATIERE],Tableau4[SHORT TYPE],"",0,1)</f>
        <v/>
      </c>
      <c r="N8507">
        <f>IF(ISERR(FIND("DECOUPE",Tableau1[[#This Row],[DESIGNATION]])),"","NEED REF")</f>
        <v/>
      </c>
    </row>
    <row r="8508">
      <c r="B8508" t="n">
        <v>34405497</v>
      </c>
      <c r="C8508" s="2" t="n">
        <v>42682</v>
      </c>
      <c r="D8508" t="n">
        <v>25</v>
      </c>
      <c r="E8508" t="inlineStr">
        <is>
          <t>IOC output Neutral</t>
        </is>
      </c>
      <c r="F8508" t="inlineStr">
        <is>
          <t>MBC Cabinet</t>
        </is>
      </c>
      <c r="J8508" t="inlineStr">
        <is>
          <t>DUBOIS</t>
        </is>
      </c>
      <c r="L8508">
        <f>_xlfn.XLOOKUP(Tableau1[[#This Row],[TYPE DE PIECE]],Tableau4[MATIERE],Tableau4[SHORT TYPE],"",0,1)</f>
        <v/>
      </c>
      <c r="N8508">
        <f>IF(ISERR(FIND("DECOUPE",Tableau1[[#This Row],[DESIGNATION]])),"","NEED REF")</f>
        <v/>
      </c>
    </row>
    <row r="8509">
      <c r="B8509" t="n">
        <v>34405496</v>
      </c>
      <c r="C8509" s="2" t="n">
        <v>42682</v>
      </c>
      <c r="D8509" t="n">
        <v>24</v>
      </c>
      <c r="E8509" t="inlineStr">
        <is>
          <t>Bypass Neutral</t>
        </is>
      </c>
      <c r="F8509" t="inlineStr">
        <is>
          <t>MBC Cabinet</t>
        </is>
      </c>
      <c r="J8509" t="inlineStr">
        <is>
          <t>DUBOIS</t>
        </is>
      </c>
      <c r="L8509">
        <f>_xlfn.XLOOKUP(Tableau1[[#This Row],[TYPE DE PIECE]],Tableau4[MATIERE],Tableau4[SHORT TYPE],"",0,1)</f>
        <v/>
      </c>
      <c r="N8509">
        <f>IF(ISERR(FIND("DECOUPE",Tableau1[[#This Row],[DESIGNATION]])),"","NEED REF")</f>
        <v/>
      </c>
    </row>
    <row r="8510">
      <c r="B8510" t="n">
        <v>34405495</v>
      </c>
      <c r="C8510" s="2" t="n">
        <v>42682</v>
      </c>
      <c r="D8510" t="n">
        <v>23</v>
      </c>
      <c r="E8510" t="inlineStr">
        <is>
          <t>Bypass Neutral</t>
        </is>
      </c>
      <c r="F8510" t="inlineStr">
        <is>
          <t>MBC Cabinet</t>
        </is>
      </c>
      <c r="J8510" t="inlineStr">
        <is>
          <t>DUBOIS</t>
        </is>
      </c>
      <c r="L8510">
        <f>_xlfn.XLOOKUP(Tableau1[[#This Row],[TYPE DE PIECE]],Tableau4[MATIERE],Tableau4[SHORT TYPE],"",0,1)</f>
        <v/>
      </c>
      <c r="N8510">
        <f>IF(ISERR(FIND("DECOUPE",Tableau1[[#This Row],[DESIGNATION]])),"","NEED REF")</f>
        <v/>
      </c>
    </row>
    <row r="8511">
      <c r="B8511" t="n">
        <v>34405494</v>
      </c>
      <c r="C8511" s="2" t="n">
        <v>42682</v>
      </c>
      <c r="D8511" t="n">
        <v>22</v>
      </c>
      <c r="E8511" t="inlineStr">
        <is>
          <t>Bypass output L1</t>
        </is>
      </c>
      <c r="F8511" t="inlineStr">
        <is>
          <t>MBC Cabinet</t>
        </is>
      </c>
      <c r="J8511" t="inlineStr">
        <is>
          <t>DUBOIS</t>
        </is>
      </c>
      <c r="L8511">
        <f>_xlfn.XLOOKUP(Tableau1[[#This Row],[TYPE DE PIECE]],Tableau4[MATIERE],Tableau4[SHORT TYPE],"",0,1)</f>
        <v/>
      </c>
      <c r="N8511">
        <f>IF(ISERR(FIND("DECOUPE",Tableau1[[#This Row],[DESIGNATION]])),"","NEED REF")</f>
        <v/>
      </c>
    </row>
    <row r="8512">
      <c r="B8512" t="n">
        <v>34405493</v>
      </c>
      <c r="C8512" s="2" t="n">
        <v>42682</v>
      </c>
      <c r="D8512" t="n">
        <v>21</v>
      </c>
      <c r="E8512" t="inlineStr">
        <is>
          <t>Bypass output L1</t>
        </is>
      </c>
      <c r="F8512" t="inlineStr">
        <is>
          <t>MBC Cabinet</t>
        </is>
      </c>
      <c r="J8512" t="inlineStr">
        <is>
          <t>DUBOIS</t>
        </is>
      </c>
      <c r="L8512">
        <f>_xlfn.XLOOKUP(Tableau1[[#This Row],[TYPE DE PIECE]],Tableau4[MATIERE],Tableau4[SHORT TYPE],"",0,1)</f>
        <v/>
      </c>
      <c r="N8512">
        <f>IF(ISERR(FIND("DECOUPE",Tableau1[[#This Row],[DESIGNATION]])),"","NEED REF")</f>
        <v/>
      </c>
    </row>
    <row r="8513">
      <c r="B8513" t="n">
        <v>34405492</v>
      </c>
      <c r="C8513" s="2" t="n">
        <v>42682</v>
      </c>
      <c r="D8513" t="n">
        <v>20</v>
      </c>
      <c r="E8513" t="inlineStr">
        <is>
          <t>Bypass output L2</t>
        </is>
      </c>
      <c r="F8513" t="inlineStr">
        <is>
          <t>MBC Cabinet</t>
        </is>
      </c>
      <c r="J8513" t="inlineStr">
        <is>
          <t>DUBOIS</t>
        </is>
      </c>
      <c r="L8513">
        <f>_xlfn.XLOOKUP(Tableau1[[#This Row],[TYPE DE PIECE]],Tableau4[MATIERE],Tableau4[SHORT TYPE],"",0,1)</f>
        <v/>
      </c>
      <c r="N8513">
        <f>IF(ISERR(FIND("DECOUPE",Tableau1[[#This Row],[DESIGNATION]])),"","NEED REF")</f>
        <v/>
      </c>
    </row>
    <row r="8514">
      <c r="B8514" t="n">
        <v>34405491</v>
      </c>
      <c r="C8514" s="2" t="n">
        <v>42682</v>
      </c>
      <c r="D8514" t="n">
        <v>19</v>
      </c>
      <c r="E8514" t="inlineStr">
        <is>
          <t>Bypass output L2</t>
        </is>
      </c>
      <c r="F8514" t="inlineStr">
        <is>
          <t>MBC Cabinet</t>
        </is>
      </c>
      <c r="J8514" t="inlineStr">
        <is>
          <t>DUBOIS</t>
        </is>
      </c>
      <c r="L8514">
        <f>_xlfn.XLOOKUP(Tableau1[[#This Row],[TYPE DE PIECE]],Tableau4[MATIERE],Tableau4[SHORT TYPE],"",0,1)</f>
        <v/>
      </c>
      <c r="N8514">
        <f>IF(ISERR(FIND("DECOUPE",Tableau1[[#This Row],[DESIGNATION]])),"","NEED REF")</f>
        <v/>
      </c>
    </row>
    <row r="8515">
      <c r="B8515" t="n">
        <v>34405490</v>
      </c>
      <c r="C8515" s="2" t="n">
        <v>42682</v>
      </c>
      <c r="D8515" t="n">
        <v>18</v>
      </c>
      <c r="E8515" t="inlineStr">
        <is>
          <t>Bypass output L3</t>
        </is>
      </c>
      <c r="F8515" t="inlineStr">
        <is>
          <t>MBC Cabinet</t>
        </is>
      </c>
      <c r="J8515" t="inlineStr">
        <is>
          <t>DUBOIS</t>
        </is>
      </c>
      <c r="L8515">
        <f>_xlfn.XLOOKUP(Tableau1[[#This Row],[TYPE DE PIECE]],Tableau4[MATIERE],Tableau4[SHORT TYPE],"",0,1)</f>
        <v/>
      </c>
      <c r="N8515">
        <f>IF(ISERR(FIND("DECOUPE",Tableau1[[#This Row],[DESIGNATION]])),"","NEED REF")</f>
        <v/>
      </c>
    </row>
    <row r="8516">
      <c r="B8516" t="n">
        <v>34405489</v>
      </c>
      <c r="C8516" s="2" t="n">
        <v>42682</v>
      </c>
      <c r="D8516" t="n">
        <v>17</v>
      </c>
      <c r="E8516" t="inlineStr">
        <is>
          <t>Bypass output L3</t>
        </is>
      </c>
      <c r="F8516" t="inlineStr">
        <is>
          <t>MBC Cabinet</t>
        </is>
      </c>
      <c r="J8516" t="inlineStr">
        <is>
          <t>DUBOIS</t>
        </is>
      </c>
      <c r="L8516">
        <f>_xlfn.XLOOKUP(Tableau1[[#This Row],[TYPE DE PIECE]],Tableau4[MATIERE],Tableau4[SHORT TYPE],"",0,1)</f>
        <v/>
      </c>
      <c r="N8516">
        <f>IF(ISERR(FIND("DECOUPE",Tableau1[[#This Row],[DESIGNATION]])),"","NEED REF")</f>
        <v/>
      </c>
    </row>
    <row r="8517">
      <c r="B8517" t="n">
        <v>34405488</v>
      </c>
      <c r="C8517" s="2" t="n">
        <v>42682</v>
      </c>
      <c r="D8517" t="n">
        <v>16</v>
      </c>
      <c r="E8517" t="inlineStr">
        <is>
          <t>Load L3</t>
        </is>
      </c>
      <c r="F8517" t="inlineStr">
        <is>
          <t>MBC Cabinet</t>
        </is>
      </c>
      <c r="J8517" t="inlineStr">
        <is>
          <t>DUBOIS</t>
        </is>
      </c>
      <c r="L8517">
        <f>_xlfn.XLOOKUP(Tableau1[[#This Row],[TYPE DE PIECE]],Tableau4[MATIERE],Tableau4[SHORT TYPE],"",0,1)</f>
        <v/>
      </c>
      <c r="N8517">
        <f>IF(ISERR(FIND("DECOUPE",Tableau1[[#This Row],[DESIGNATION]])),"","NEED REF")</f>
        <v/>
      </c>
    </row>
    <row r="8518">
      <c r="B8518" t="n">
        <v>34405487</v>
      </c>
      <c r="C8518" s="2" t="n">
        <v>42682</v>
      </c>
      <c r="D8518" t="n">
        <v>15</v>
      </c>
      <c r="E8518" t="inlineStr">
        <is>
          <t>Load L3</t>
        </is>
      </c>
      <c r="F8518" t="inlineStr">
        <is>
          <t>MBC Cabinet</t>
        </is>
      </c>
      <c r="J8518" t="inlineStr">
        <is>
          <t>DUBOIS</t>
        </is>
      </c>
      <c r="L8518">
        <f>_xlfn.XLOOKUP(Tableau1[[#This Row],[TYPE DE PIECE]],Tableau4[MATIERE],Tableau4[SHORT TYPE],"",0,1)</f>
        <v/>
      </c>
      <c r="N8518">
        <f>IF(ISERR(FIND("DECOUPE",Tableau1[[#This Row],[DESIGNATION]])),"","NEED REF")</f>
        <v/>
      </c>
    </row>
    <row r="8519">
      <c r="B8519" t="n">
        <v>34405486</v>
      </c>
      <c r="C8519" s="2" t="n">
        <v>42682</v>
      </c>
      <c r="D8519" t="n">
        <v>14</v>
      </c>
      <c r="E8519" t="inlineStr">
        <is>
          <t>Load L2</t>
        </is>
      </c>
      <c r="F8519" t="inlineStr">
        <is>
          <t>MBC Cabinet</t>
        </is>
      </c>
      <c r="J8519" t="inlineStr">
        <is>
          <t>DUBOIS</t>
        </is>
      </c>
      <c r="L8519">
        <f>_xlfn.XLOOKUP(Tableau1[[#This Row],[TYPE DE PIECE]],Tableau4[MATIERE],Tableau4[SHORT TYPE],"",0,1)</f>
        <v/>
      </c>
      <c r="N8519">
        <f>IF(ISERR(FIND("DECOUPE",Tableau1[[#This Row],[DESIGNATION]])),"","NEED REF")</f>
        <v/>
      </c>
    </row>
    <row r="8520">
      <c r="B8520" t="n">
        <v>34405485</v>
      </c>
      <c r="C8520" s="2" t="n">
        <v>42682</v>
      </c>
      <c r="D8520" t="n">
        <v>13</v>
      </c>
      <c r="E8520" t="inlineStr">
        <is>
          <t>Load L2</t>
        </is>
      </c>
      <c r="F8520" t="inlineStr">
        <is>
          <t>MBC Cabinet</t>
        </is>
      </c>
      <c r="J8520" t="inlineStr">
        <is>
          <t>DUBOIS</t>
        </is>
      </c>
      <c r="L8520">
        <f>_xlfn.XLOOKUP(Tableau1[[#This Row],[TYPE DE PIECE]],Tableau4[MATIERE],Tableau4[SHORT TYPE],"",0,1)</f>
        <v/>
      </c>
      <c r="N8520">
        <f>IF(ISERR(FIND("DECOUPE",Tableau1[[#This Row],[DESIGNATION]])),"","NEED REF")</f>
        <v/>
      </c>
    </row>
    <row r="8521">
      <c r="B8521" t="n">
        <v>34405484</v>
      </c>
      <c r="C8521" s="2" t="n">
        <v>42682</v>
      </c>
      <c r="D8521" t="n">
        <v>12</v>
      </c>
      <c r="E8521" t="inlineStr">
        <is>
          <t>Load L1</t>
        </is>
      </c>
      <c r="F8521" t="inlineStr">
        <is>
          <t>MBC Cabinet</t>
        </is>
      </c>
      <c r="J8521" t="inlineStr">
        <is>
          <t>DUBOIS</t>
        </is>
      </c>
      <c r="L8521">
        <f>_xlfn.XLOOKUP(Tableau1[[#This Row],[TYPE DE PIECE]],Tableau4[MATIERE],Tableau4[SHORT TYPE],"",0,1)</f>
        <v/>
      </c>
      <c r="N8521">
        <f>IF(ISERR(FIND("DECOUPE",Tableau1[[#This Row],[DESIGNATION]])),"","NEED REF")</f>
        <v/>
      </c>
    </row>
    <row r="8522">
      <c r="B8522" t="n">
        <v>34405483</v>
      </c>
      <c r="C8522" s="2" t="n">
        <v>42682</v>
      </c>
      <c r="D8522" t="n">
        <v>11</v>
      </c>
      <c r="E8522" t="inlineStr">
        <is>
          <t>Load L1</t>
        </is>
      </c>
      <c r="F8522" t="inlineStr">
        <is>
          <t>MBC Cabinet</t>
        </is>
      </c>
      <c r="J8522" t="inlineStr">
        <is>
          <t>DUBOIS</t>
        </is>
      </c>
      <c r="L8522">
        <f>_xlfn.XLOOKUP(Tableau1[[#This Row],[TYPE DE PIECE]],Tableau4[MATIERE],Tableau4[SHORT TYPE],"",0,1)</f>
        <v/>
      </c>
      <c r="N8522">
        <f>IF(ISERR(FIND("DECOUPE",Tableau1[[#This Row],[DESIGNATION]])),"","NEED REF")</f>
        <v/>
      </c>
    </row>
    <row r="8523">
      <c r="B8523" t="n">
        <v>34405482</v>
      </c>
      <c r="C8523" s="2" t="n">
        <v>42682</v>
      </c>
      <c r="D8523" t="n">
        <v>10</v>
      </c>
      <c r="E8523" t="inlineStr">
        <is>
          <t>Load Neutral</t>
        </is>
      </c>
      <c r="F8523" t="inlineStr">
        <is>
          <t>MBC Cabinet</t>
        </is>
      </c>
      <c r="J8523" t="inlineStr">
        <is>
          <t>DUBOIS</t>
        </is>
      </c>
      <c r="L8523">
        <f>_xlfn.XLOOKUP(Tableau1[[#This Row],[TYPE DE PIECE]],Tableau4[MATIERE],Tableau4[SHORT TYPE],"",0,1)</f>
        <v/>
      </c>
      <c r="N8523">
        <f>IF(ISERR(FIND("DECOUPE",Tableau1[[#This Row],[DESIGNATION]])),"","NEED REF")</f>
        <v/>
      </c>
    </row>
    <row r="8524">
      <c r="B8524" t="n">
        <v>34405481</v>
      </c>
      <c r="C8524" s="2" t="n">
        <v>42682</v>
      </c>
      <c r="D8524" t="n">
        <v>9</v>
      </c>
      <c r="E8524" t="inlineStr">
        <is>
          <t>Load Neutral</t>
        </is>
      </c>
      <c r="F8524" t="inlineStr">
        <is>
          <t>MBC Cabinet</t>
        </is>
      </c>
      <c r="J8524" t="inlineStr">
        <is>
          <t>DUBOIS</t>
        </is>
      </c>
      <c r="L8524">
        <f>_xlfn.XLOOKUP(Tableau1[[#This Row],[TYPE DE PIECE]],Tableau4[MATIERE],Tableau4[SHORT TYPE],"",0,1)</f>
        <v/>
      </c>
      <c r="N8524">
        <f>IF(ISERR(FIND("DECOUPE",Tableau1[[#This Row],[DESIGNATION]])),"","NEED REF")</f>
        <v/>
      </c>
    </row>
    <row r="8525">
      <c r="B8525" t="n">
        <v>34405480</v>
      </c>
      <c r="C8525" s="2" t="n">
        <v>42682</v>
      </c>
      <c r="D8525" t="n">
        <v>8</v>
      </c>
      <c r="E8525" t="inlineStr">
        <is>
          <t>Bypass input Neutral</t>
        </is>
      </c>
      <c r="F8525" t="inlineStr">
        <is>
          <t>MBC Cabinet</t>
        </is>
      </c>
      <c r="J8525" t="inlineStr">
        <is>
          <t>DUBOIS</t>
        </is>
      </c>
      <c r="L8525">
        <f>_xlfn.XLOOKUP(Tableau1[[#This Row],[TYPE DE PIECE]],Tableau4[MATIERE],Tableau4[SHORT TYPE],"",0,1)</f>
        <v/>
      </c>
      <c r="N8525">
        <f>IF(ISERR(FIND("DECOUPE",Tableau1[[#This Row],[DESIGNATION]])),"","NEED REF")</f>
        <v/>
      </c>
    </row>
    <row r="8526">
      <c r="B8526" t="n">
        <v>34405479</v>
      </c>
      <c r="C8526" s="2" t="n">
        <v>42682</v>
      </c>
      <c r="D8526" t="n">
        <v>7</v>
      </c>
      <c r="E8526" t="inlineStr">
        <is>
          <t>Bypass input Neutral</t>
        </is>
      </c>
      <c r="F8526" t="inlineStr">
        <is>
          <t>MBC Cabinet</t>
        </is>
      </c>
      <c r="J8526" t="inlineStr">
        <is>
          <t>DUBOIS</t>
        </is>
      </c>
      <c r="L8526">
        <f>_xlfn.XLOOKUP(Tableau1[[#This Row],[TYPE DE PIECE]],Tableau4[MATIERE],Tableau4[SHORT TYPE],"",0,1)</f>
        <v/>
      </c>
      <c r="N8526">
        <f>IF(ISERR(FIND("DECOUPE",Tableau1[[#This Row],[DESIGNATION]])),"","NEED REF")</f>
        <v/>
      </c>
    </row>
    <row r="8527">
      <c r="B8527" t="n">
        <v>34405478</v>
      </c>
      <c r="C8527" s="2" t="n">
        <v>42682</v>
      </c>
      <c r="D8527" t="n">
        <v>6</v>
      </c>
      <c r="E8527" t="inlineStr">
        <is>
          <t>Bypass input L1</t>
        </is>
      </c>
      <c r="F8527" t="inlineStr">
        <is>
          <t>MBC Cabinet</t>
        </is>
      </c>
      <c r="J8527" t="inlineStr">
        <is>
          <t>DUBOIS</t>
        </is>
      </c>
      <c r="L8527">
        <f>_xlfn.XLOOKUP(Tableau1[[#This Row],[TYPE DE PIECE]],Tableau4[MATIERE],Tableau4[SHORT TYPE],"",0,1)</f>
        <v/>
      </c>
      <c r="N8527">
        <f>IF(ISERR(FIND("DECOUPE",Tableau1[[#This Row],[DESIGNATION]])),"","NEED REF")</f>
        <v/>
      </c>
    </row>
    <row r="8528">
      <c r="B8528" t="n">
        <v>34405477</v>
      </c>
      <c r="C8528" s="2" t="n">
        <v>42682</v>
      </c>
      <c r="D8528" t="n">
        <v>5</v>
      </c>
      <c r="E8528" t="inlineStr">
        <is>
          <t>Bypass input L1</t>
        </is>
      </c>
      <c r="F8528" t="inlineStr">
        <is>
          <t>MBC Cabinet</t>
        </is>
      </c>
      <c r="J8528" t="inlineStr">
        <is>
          <t>DUBOIS</t>
        </is>
      </c>
      <c r="L8528">
        <f>_xlfn.XLOOKUP(Tableau1[[#This Row],[TYPE DE PIECE]],Tableau4[MATIERE],Tableau4[SHORT TYPE],"",0,1)</f>
        <v/>
      </c>
      <c r="N8528">
        <f>IF(ISERR(FIND("DECOUPE",Tableau1[[#This Row],[DESIGNATION]])),"","NEED REF")</f>
        <v/>
      </c>
    </row>
    <row r="8529">
      <c r="B8529" t="n">
        <v>34405476</v>
      </c>
      <c r="C8529" s="2" t="n">
        <v>42682</v>
      </c>
      <c r="D8529" t="n">
        <v>4</v>
      </c>
      <c r="E8529" t="inlineStr">
        <is>
          <t>Bypass input L2</t>
        </is>
      </c>
      <c r="F8529" t="inlineStr">
        <is>
          <t>MBC Cabinet</t>
        </is>
      </c>
      <c r="J8529" t="inlineStr">
        <is>
          <t>DUBOIS</t>
        </is>
      </c>
      <c r="L8529">
        <f>_xlfn.XLOOKUP(Tableau1[[#This Row],[TYPE DE PIECE]],Tableau4[MATIERE],Tableau4[SHORT TYPE],"",0,1)</f>
        <v/>
      </c>
      <c r="N8529">
        <f>IF(ISERR(FIND("DECOUPE",Tableau1[[#This Row],[DESIGNATION]])),"","NEED REF")</f>
        <v/>
      </c>
    </row>
    <row r="8530">
      <c r="B8530" t="n">
        <v>34405475</v>
      </c>
      <c r="C8530" s="2" t="n">
        <v>42682</v>
      </c>
      <c r="D8530" t="n">
        <v>3</v>
      </c>
      <c r="E8530" t="inlineStr">
        <is>
          <t>Bypass input L2</t>
        </is>
      </c>
      <c r="F8530" t="inlineStr">
        <is>
          <t>MBC Cabinet</t>
        </is>
      </c>
      <c r="J8530" t="inlineStr">
        <is>
          <t>DUBOIS</t>
        </is>
      </c>
      <c r="L8530">
        <f>_xlfn.XLOOKUP(Tableau1[[#This Row],[TYPE DE PIECE]],Tableau4[MATIERE],Tableau4[SHORT TYPE],"",0,1)</f>
        <v/>
      </c>
      <c r="N8530">
        <f>IF(ISERR(FIND("DECOUPE",Tableau1[[#This Row],[DESIGNATION]])),"","NEED REF")</f>
        <v/>
      </c>
    </row>
    <row r="8531">
      <c r="B8531" t="n">
        <v>34405474</v>
      </c>
      <c r="C8531" s="2" t="n">
        <v>42682</v>
      </c>
      <c r="D8531" t="n">
        <v>2</v>
      </c>
      <c r="E8531" t="inlineStr">
        <is>
          <t>Bypass input L3</t>
        </is>
      </c>
      <c r="F8531" t="inlineStr">
        <is>
          <t>MBC Cabinet</t>
        </is>
      </c>
      <c r="J8531" t="inlineStr">
        <is>
          <t>DUBOIS</t>
        </is>
      </c>
      <c r="L8531">
        <f>_xlfn.XLOOKUP(Tableau1[[#This Row],[TYPE DE PIECE]],Tableau4[MATIERE],Tableau4[SHORT TYPE],"",0,1)</f>
        <v/>
      </c>
      <c r="N8531">
        <f>IF(ISERR(FIND("DECOUPE",Tableau1[[#This Row],[DESIGNATION]])),"","NEED REF")</f>
        <v/>
      </c>
    </row>
    <row r="8532">
      <c r="B8532" t="n">
        <v>34405473</v>
      </c>
      <c r="C8532" s="2" t="n">
        <v>42682</v>
      </c>
      <c r="D8532" t="n">
        <v>1</v>
      </c>
      <c r="E8532" t="inlineStr">
        <is>
          <t>Bypass input L3</t>
        </is>
      </c>
      <c r="F8532" t="inlineStr">
        <is>
          <t>MBC Cabinet</t>
        </is>
      </c>
      <c r="J8532" t="inlineStr">
        <is>
          <t>DUBOIS</t>
        </is>
      </c>
      <c r="L8532">
        <f>_xlfn.XLOOKUP(Tableau1[[#This Row],[TYPE DE PIECE]],Tableau4[MATIERE],Tableau4[SHORT TYPE],"",0,1)</f>
        <v/>
      </c>
      <c r="N8532">
        <f>IF(ISERR(FIND("DECOUPE",Tableau1[[#This Row],[DESIGNATION]])),"","NEED REF")</f>
        <v/>
      </c>
    </row>
    <row r="8533">
      <c r="B8533" t="n">
        <v>34405472</v>
      </c>
      <c r="C8533" s="2" t="n">
        <v>42676</v>
      </c>
      <c r="D8533" t="inlineStr">
        <is>
          <t>SPEC</t>
        </is>
      </c>
      <c r="E8533" t="inlineStr">
        <is>
          <t>SUPPORT STS IP00 ARM SAREL L=800</t>
        </is>
      </c>
      <c r="F8533" t="inlineStr">
        <is>
          <t>STS 100A IP52</t>
        </is>
      </c>
      <c r="J8533" t="inlineStr">
        <is>
          <t>REVEL</t>
        </is>
      </c>
      <c r="K8533" t="inlineStr">
        <is>
          <t>METAL</t>
        </is>
      </c>
      <c r="L8533">
        <f>_xlfn.XLOOKUP(Tableau1[[#This Row],[TYPE DE PIECE]],Tableau4[MATIERE],Tableau4[SHORT TYPE],"",0,1)</f>
        <v/>
      </c>
      <c r="N8533">
        <f>IF(ISERR(FIND("DECOUPE",Tableau1[[#This Row],[DESIGNATION]])),"","NEED REF")</f>
        <v/>
      </c>
    </row>
    <row r="8534">
      <c r="B8534" t="n">
        <v>34405471</v>
      </c>
      <c r="C8534" s="2" t="n">
        <v>42677</v>
      </c>
      <c r="D8534" t="inlineStr">
        <is>
          <t>SPEC</t>
        </is>
      </c>
      <c r="E8534" t="inlineStr">
        <is>
          <t>UPS WEDGE</t>
        </is>
      </c>
      <c r="F8534" t="inlineStr">
        <is>
          <t>SKID</t>
        </is>
      </c>
      <c r="J8534" t="inlineStr">
        <is>
          <t>MATRION</t>
        </is>
      </c>
      <c r="K8534" t="inlineStr">
        <is>
          <t>METAL</t>
        </is>
      </c>
      <c r="L8534">
        <f>_xlfn.XLOOKUP(Tableau1[[#This Row],[TYPE DE PIECE]],Tableau4[MATIERE],Tableau4[SHORT TYPE],"",0,1)</f>
        <v/>
      </c>
      <c r="N8534">
        <f>IF(ISERR(FIND("DECOUPE",Tableau1[[#This Row],[DESIGNATION]])),"","NEED REF")</f>
        <v/>
      </c>
    </row>
    <row r="8535">
      <c r="B8535" t="n">
        <v>34405470</v>
      </c>
      <c r="C8535" s="2" t="n">
        <v>42677</v>
      </c>
      <c r="D8535" t="inlineStr">
        <is>
          <t>SPEC</t>
        </is>
      </c>
      <c r="E8535" t="inlineStr">
        <is>
          <t>TRAVERSE 2140</t>
        </is>
      </c>
      <c r="F8535" t="inlineStr">
        <is>
          <t>SKID</t>
        </is>
      </c>
      <c r="J8535" t="inlineStr">
        <is>
          <t>MATRION</t>
        </is>
      </c>
      <c r="K8535" t="inlineStr">
        <is>
          <t>METAL</t>
        </is>
      </c>
      <c r="L8535">
        <f>_xlfn.XLOOKUP(Tableau1[[#This Row],[TYPE DE PIECE]],Tableau4[MATIERE],Tableau4[SHORT TYPE],"",0,1)</f>
        <v/>
      </c>
      <c r="N8535">
        <f>IF(ISERR(FIND("DECOUPE",Tableau1[[#This Row],[DESIGNATION]])),"","NEED REF")</f>
        <v/>
      </c>
    </row>
    <row r="8536">
      <c r="B8536" t="n">
        <v>34405469</v>
      </c>
      <c r="C8536" s="2" t="n">
        <v>42677</v>
      </c>
      <c r="D8536" t="inlineStr">
        <is>
          <t>SPEC</t>
        </is>
      </c>
      <c r="E8536" t="inlineStr">
        <is>
          <t>TRAVERSE 1000</t>
        </is>
      </c>
      <c r="F8536" t="inlineStr">
        <is>
          <t>SKID</t>
        </is>
      </c>
      <c r="J8536" t="inlineStr">
        <is>
          <t>MATRION</t>
        </is>
      </c>
      <c r="K8536" t="inlineStr">
        <is>
          <t>METAL</t>
        </is>
      </c>
      <c r="L8536">
        <f>_xlfn.XLOOKUP(Tableau1[[#This Row],[TYPE DE PIECE]],Tableau4[MATIERE],Tableau4[SHORT TYPE],"",0,1)</f>
        <v/>
      </c>
      <c r="N8536">
        <f>IF(ISERR(FIND("DECOUPE",Tableau1[[#This Row],[DESIGNATION]])),"","NEED REF")</f>
        <v/>
      </c>
    </row>
    <row r="8537">
      <c r="B8537" t="n">
        <v>34405468</v>
      </c>
      <c r="C8537" s="2" t="n">
        <v>42677</v>
      </c>
      <c r="D8537" t="inlineStr">
        <is>
          <t>SPEC</t>
        </is>
      </c>
      <c r="E8537" t="inlineStr">
        <is>
          <t>SKID 2140</t>
        </is>
      </c>
      <c r="F8537" t="inlineStr">
        <is>
          <t>SKID</t>
        </is>
      </c>
      <c r="J8537" t="inlineStr">
        <is>
          <t>MATRION</t>
        </is>
      </c>
      <c r="K8537" t="inlineStr">
        <is>
          <t>METAL</t>
        </is>
      </c>
      <c r="L8537">
        <f>_xlfn.XLOOKUP(Tableau1[[#This Row],[TYPE DE PIECE]],Tableau4[MATIERE],Tableau4[SHORT TYPE],"",0,1)</f>
        <v/>
      </c>
      <c r="N8537">
        <f>IF(ISERR(FIND("DECOUPE",Tableau1[[#This Row],[DESIGNATION]])),"","NEED REF")</f>
        <v/>
      </c>
    </row>
    <row r="8538">
      <c r="B8538" t="n">
        <v>34405467</v>
      </c>
      <c r="C8538" s="2" t="n">
        <v>42677</v>
      </c>
      <c r="D8538" t="inlineStr">
        <is>
          <t>SPEC</t>
        </is>
      </c>
      <c r="E8538" t="inlineStr">
        <is>
          <t>SKID 1000</t>
        </is>
      </c>
      <c r="F8538" t="inlineStr">
        <is>
          <t>SKID</t>
        </is>
      </c>
      <c r="J8538" t="inlineStr">
        <is>
          <t>MATRION</t>
        </is>
      </c>
      <c r="K8538" t="inlineStr">
        <is>
          <t>METAL</t>
        </is>
      </c>
      <c r="L8538">
        <f>_xlfn.XLOOKUP(Tableau1[[#This Row],[TYPE DE PIECE]],Tableau4[MATIERE],Tableau4[SHORT TYPE],"",0,1)</f>
        <v/>
      </c>
      <c r="N8538">
        <f>IF(ISERR(FIND("DECOUPE",Tableau1[[#This Row],[DESIGNATION]])),"","NEED REF")</f>
        <v/>
      </c>
    </row>
    <row r="8539">
      <c r="B8539" t="n">
        <v>34405466</v>
      </c>
      <c r="C8539" s="2" t="n">
        <v>42789</v>
      </c>
      <c r="D8539" t="inlineStr">
        <is>
          <t>NOM</t>
        </is>
      </c>
      <c r="E8539" t="inlineStr">
        <is>
          <t>NOM ECLISSAGE NS2000 G7K</t>
        </is>
      </c>
      <c r="F8539" t="inlineStr">
        <is>
          <t>NOM ECLISSAGE NS2000 G7K</t>
        </is>
      </c>
      <c r="J8539" t="inlineStr">
        <is>
          <t>MATRION</t>
        </is>
      </c>
      <c r="L8539">
        <f>_xlfn.XLOOKUP(Tableau1[[#This Row],[TYPE DE PIECE]],Tableau4[MATIERE],Tableau4[SHORT TYPE],"",0,1)</f>
        <v/>
      </c>
      <c r="N8539">
        <f>IF(ISERR(FIND("DECOUPE",Tableau1[[#This Row],[DESIGNATION]])),"","NEED REF")</f>
        <v/>
      </c>
    </row>
    <row r="8540">
      <c r="B8540" t="n">
        <v>34405465</v>
      </c>
      <c r="C8540" s="2" t="n">
        <v>42670</v>
      </c>
      <c r="D8540" t="inlineStr">
        <is>
          <t>SPEC</t>
        </is>
      </c>
      <c r="E8540" t="inlineStr">
        <is>
          <t>RESERVER</t>
        </is>
      </c>
      <c r="F8540" t="inlineStr">
        <is>
          <t>BACKEFEED NS2000 G7K</t>
        </is>
      </c>
      <c r="J8540" t="inlineStr">
        <is>
          <t>MATRION</t>
        </is>
      </c>
      <c r="L8540">
        <f>_xlfn.XLOOKUP(Tableau1[[#This Row],[TYPE DE PIECE]],Tableau4[MATIERE],Tableau4[SHORT TYPE],"",0,1)</f>
        <v/>
      </c>
      <c r="N8540">
        <f>IF(ISERR(FIND("DECOUPE",Tableau1[[#This Row],[DESIGNATION]])),"","NEED REF")</f>
        <v/>
      </c>
    </row>
    <row r="8541">
      <c r="B8541" t="n">
        <v>34405464</v>
      </c>
      <c r="C8541" s="2" t="n">
        <v>42670</v>
      </c>
      <c r="D8541" t="inlineStr">
        <is>
          <t>SPEC</t>
        </is>
      </c>
      <c r="E8541" t="inlineStr">
        <is>
          <t>RESERVER</t>
        </is>
      </c>
      <c r="F8541" t="inlineStr">
        <is>
          <t>BACKEFEED NS2000 G7K</t>
        </is>
      </c>
      <c r="J8541" t="inlineStr">
        <is>
          <t>MATRION</t>
        </is>
      </c>
      <c r="L8541">
        <f>_xlfn.XLOOKUP(Tableau1[[#This Row],[TYPE DE PIECE]],Tableau4[MATIERE],Tableau4[SHORT TYPE],"",0,1)</f>
        <v/>
      </c>
      <c r="N8541">
        <f>IF(ISERR(FIND("DECOUPE",Tableau1[[#This Row],[DESIGNATION]])),"","NEED REF")</f>
        <v/>
      </c>
    </row>
    <row r="8542">
      <c r="B8542" t="n">
        <v>34405463</v>
      </c>
      <c r="C8542" s="2" t="n">
        <v>42670</v>
      </c>
      <c r="D8542" t="inlineStr">
        <is>
          <t>SPEC</t>
        </is>
      </c>
      <c r="E8542" t="inlineStr">
        <is>
          <t>PROTECTION SHIELD 34405463</t>
        </is>
      </c>
      <c r="F8542" t="inlineStr">
        <is>
          <t>BACKEFEED NS2000 G7K</t>
        </is>
      </c>
      <c r="J8542" t="inlineStr">
        <is>
          <t>MATRION</t>
        </is>
      </c>
      <c r="K8542" t="inlineStr">
        <is>
          <t>METAL</t>
        </is>
      </c>
      <c r="L8542">
        <f>_xlfn.XLOOKUP(Tableau1[[#This Row],[TYPE DE PIECE]],Tableau4[MATIERE],Tableau4[SHORT TYPE],"",0,1)</f>
        <v/>
      </c>
      <c r="N8542">
        <f>IF(ISERR(FIND("DECOUPE",Tableau1[[#This Row],[DESIGNATION]])),"","NEED REF")</f>
        <v/>
      </c>
    </row>
    <row r="8543">
      <c r="B8543" t="n">
        <v>34405462</v>
      </c>
      <c r="C8543" s="2" t="n">
        <v>42670</v>
      </c>
      <c r="D8543" t="inlineStr">
        <is>
          <t>SPEC</t>
        </is>
      </c>
      <c r="E8543" t="inlineStr">
        <is>
          <t>RESERVER</t>
        </is>
      </c>
      <c r="F8543" t="inlineStr">
        <is>
          <t>BACKEFEED NS2000 G7K</t>
        </is>
      </c>
      <c r="J8543" t="inlineStr">
        <is>
          <t>MATRION</t>
        </is>
      </c>
      <c r="L8543">
        <f>_xlfn.XLOOKUP(Tableau1[[#This Row],[TYPE DE PIECE]],Tableau4[MATIERE],Tableau4[SHORT TYPE],"",0,1)</f>
        <v/>
      </c>
      <c r="N8543">
        <f>IF(ISERR(FIND("DECOUPE",Tableau1[[#This Row],[DESIGNATION]])),"","NEED REF")</f>
        <v/>
      </c>
    </row>
    <row r="8544">
      <c r="B8544" t="n">
        <v>34405461</v>
      </c>
      <c r="C8544" s="2" t="n">
        <v>42670</v>
      </c>
      <c r="D8544" t="inlineStr">
        <is>
          <t>SPEC</t>
        </is>
      </c>
      <c r="E8544" t="inlineStr">
        <is>
          <t>PLATINE APPAREILLAGE BACKFEED</t>
        </is>
      </c>
      <c r="F8544" t="inlineStr">
        <is>
          <t>BACKEFEED NS2000 G7K</t>
        </is>
      </c>
      <c r="J8544" t="inlineStr">
        <is>
          <t>MATRION</t>
        </is>
      </c>
      <c r="K8544" t="inlineStr">
        <is>
          <t>METAL</t>
        </is>
      </c>
      <c r="L8544">
        <f>_xlfn.XLOOKUP(Tableau1[[#This Row],[TYPE DE PIECE]],Tableau4[MATIERE],Tableau4[SHORT TYPE],"",0,1)</f>
        <v/>
      </c>
      <c r="N8544">
        <f>IF(ISERR(FIND("DECOUPE",Tableau1[[#This Row],[DESIGNATION]])),"","NEED REF")</f>
        <v/>
      </c>
    </row>
    <row r="8545">
      <c r="B8545" t="n">
        <v>34405460</v>
      </c>
      <c r="C8545" s="2" t="n">
        <v>42670</v>
      </c>
      <c r="D8545" t="inlineStr">
        <is>
          <t>SPEC</t>
        </is>
      </c>
      <c r="E8545" t="inlineStr">
        <is>
          <t>SUPPORT CONTACTEUR 630A</t>
        </is>
      </c>
      <c r="F8545" t="inlineStr">
        <is>
          <t>BACKEFEED NS2000 G7K</t>
        </is>
      </c>
      <c r="J8545" t="inlineStr">
        <is>
          <t>MATRION</t>
        </is>
      </c>
      <c r="K8545" t="inlineStr">
        <is>
          <t>METAL</t>
        </is>
      </c>
      <c r="L8545">
        <f>_xlfn.XLOOKUP(Tableau1[[#This Row],[TYPE DE PIECE]],Tableau4[MATIERE],Tableau4[SHORT TYPE],"",0,1)</f>
        <v/>
      </c>
      <c r="N8545">
        <f>IF(ISERR(FIND("DECOUPE",Tableau1[[#This Row],[DESIGNATION]])),"","NEED REF")</f>
        <v/>
      </c>
    </row>
    <row r="8546">
      <c r="B8546" t="n">
        <v>34405459</v>
      </c>
      <c r="C8546" s="2" t="n">
        <v>42670</v>
      </c>
      <c r="D8546" t="inlineStr">
        <is>
          <t>SPEC</t>
        </is>
      </c>
      <c r="E8546" t="inlineStr">
        <is>
          <t>RESERVER</t>
        </is>
      </c>
      <c r="F8546" t="inlineStr">
        <is>
          <t>BACKEFEED NS2000 G7K</t>
        </is>
      </c>
      <c r="J8546" t="inlineStr">
        <is>
          <t>MATRION</t>
        </is>
      </c>
      <c r="L8546">
        <f>_xlfn.XLOOKUP(Tableau1[[#This Row],[TYPE DE PIECE]],Tableau4[MATIERE],Tableau4[SHORT TYPE],"",0,1)</f>
        <v/>
      </c>
      <c r="N8546">
        <f>IF(ISERR(FIND("DECOUPE",Tableau1[[#This Row],[DESIGNATION]])),"","NEED REF")</f>
        <v/>
      </c>
    </row>
    <row r="8547">
      <c r="B8547" t="n">
        <v>34405458</v>
      </c>
      <c r="C8547" s="2" t="n">
        <v>42670</v>
      </c>
      <c r="D8547" t="inlineStr">
        <is>
          <t>SPEC</t>
        </is>
      </c>
      <c r="E8547" t="inlineStr">
        <is>
          <t>RESERVER</t>
        </is>
      </c>
      <c r="F8547" t="inlineStr">
        <is>
          <t>BACKEFEED NS2000 G7K</t>
        </is>
      </c>
      <c r="J8547" t="inlineStr">
        <is>
          <t>MATRION</t>
        </is>
      </c>
      <c r="L8547">
        <f>_xlfn.XLOOKUP(Tableau1[[#This Row],[TYPE DE PIECE]],Tableau4[MATIERE],Tableau4[SHORT TYPE],"",0,1)</f>
        <v/>
      </c>
      <c r="N8547">
        <f>IF(ISERR(FIND("DECOUPE",Tableau1[[#This Row],[DESIGNATION]])),"","NEED REF")</f>
        <v/>
      </c>
    </row>
    <row r="8548">
      <c r="B8548" t="n">
        <v>34405457</v>
      </c>
      <c r="C8548" s="2" t="n">
        <v>42670</v>
      </c>
      <c r="D8548" t="inlineStr">
        <is>
          <t>SPEC</t>
        </is>
      </c>
      <c r="E8548" t="inlineStr">
        <is>
          <t>RESERVER</t>
        </is>
      </c>
      <c r="F8548" t="inlineStr">
        <is>
          <t>BACKEFEED NS2000 G7K</t>
        </is>
      </c>
      <c r="J8548" t="inlineStr">
        <is>
          <t>MATRION</t>
        </is>
      </c>
      <c r="L8548">
        <f>_xlfn.XLOOKUP(Tableau1[[#This Row],[TYPE DE PIECE]],Tableau4[MATIERE],Tableau4[SHORT TYPE],"",0,1)</f>
        <v/>
      </c>
      <c r="N8548">
        <f>IF(ISERR(FIND("DECOUPE",Tableau1[[#This Row],[DESIGNATION]])),"","NEED REF")</f>
        <v/>
      </c>
    </row>
    <row r="8549">
      <c r="B8549" t="n">
        <v>34405456</v>
      </c>
      <c r="C8549" s="2" t="n">
        <v>42670</v>
      </c>
      <c r="D8549" t="inlineStr">
        <is>
          <t>SPEC</t>
        </is>
      </c>
      <c r="E8549" t="inlineStr">
        <is>
          <t>SUPPORT NW</t>
        </is>
      </c>
      <c r="F8549" t="inlineStr">
        <is>
          <t>BACKEFEED NS2000 G7K</t>
        </is>
      </c>
      <c r="J8549" t="inlineStr">
        <is>
          <t>MATRION</t>
        </is>
      </c>
      <c r="K8549" t="inlineStr">
        <is>
          <t>METAL</t>
        </is>
      </c>
      <c r="L8549">
        <f>_xlfn.XLOOKUP(Tableau1[[#This Row],[TYPE DE PIECE]],Tableau4[MATIERE],Tableau4[SHORT TYPE],"",0,1)</f>
        <v/>
      </c>
      <c r="N8549">
        <f>IF(ISERR(FIND("DECOUPE",Tableau1[[#This Row],[DESIGNATION]])),"","NEED REF")</f>
        <v/>
      </c>
    </row>
    <row r="8550">
      <c r="B8550" t="n">
        <v>34405455</v>
      </c>
      <c r="C8550" s="2" t="n">
        <v>42670</v>
      </c>
      <c r="D8550" t="inlineStr">
        <is>
          <t>SPEC</t>
        </is>
      </c>
      <c r="E8550" t="inlineStr">
        <is>
          <t>RESERVER</t>
        </is>
      </c>
      <c r="F8550" t="inlineStr">
        <is>
          <t>BACKEFEED NS2000 G7K</t>
        </is>
      </c>
      <c r="J8550" t="inlineStr">
        <is>
          <t>MATRION</t>
        </is>
      </c>
      <c r="L8550">
        <f>_xlfn.XLOOKUP(Tableau1[[#This Row],[TYPE DE PIECE]],Tableau4[MATIERE],Tableau4[SHORT TYPE],"",0,1)</f>
        <v/>
      </c>
      <c r="N8550">
        <f>IF(ISERR(FIND("DECOUPE",Tableau1[[#This Row],[DESIGNATION]])),"","NEED REF")</f>
        <v/>
      </c>
    </row>
    <row r="8551">
      <c r="B8551" t="n">
        <v>34405454</v>
      </c>
      <c r="C8551" s="2" t="n">
        <v>42670</v>
      </c>
      <c r="D8551" t="inlineStr">
        <is>
          <t>SPEC</t>
        </is>
      </c>
      <c r="E8551" t="inlineStr">
        <is>
          <t>RESERVER</t>
        </is>
      </c>
      <c r="F8551" t="inlineStr">
        <is>
          <t>BACKEFEED NS2000 G7K</t>
        </is>
      </c>
      <c r="J8551" t="inlineStr">
        <is>
          <t>MATRION</t>
        </is>
      </c>
      <c r="L8551">
        <f>_xlfn.XLOOKUP(Tableau1[[#This Row],[TYPE DE PIECE]],Tableau4[MATIERE],Tableau4[SHORT TYPE],"",0,1)</f>
        <v/>
      </c>
      <c r="N8551">
        <f>IF(ISERR(FIND("DECOUPE",Tableau1[[#This Row],[DESIGNATION]])),"","NEED REF")</f>
        <v/>
      </c>
    </row>
    <row r="8552">
      <c r="B8552" t="n">
        <v>34405453</v>
      </c>
      <c r="C8552" s="2" t="n">
        <v>42670</v>
      </c>
      <c r="D8552" t="inlineStr">
        <is>
          <t>SPEC</t>
        </is>
      </c>
      <c r="E8552" t="inlineStr">
        <is>
          <t>RESERVER</t>
        </is>
      </c>
      <c r="F8552" t="inlineStr">
        <is>
          <t>BACKEFEED NS2000 G7K</t>
        </is>
      </c>
      <c r="J8552" t="inlineStr">
        <is>
          <t>MATRION</t>
        </is>
      </c>
      <c r="L8552">
        <f>_xlfn.XLOOKUP(Tableau1[[#This Row],[TYPE DE PIECE]],Tableau4[MATIERE],Tableau4[SHORT TYPE],"",0,1)</f>
        <v/>
      </c>
      <c r="N8552">
        <f>IF(ISERR(FIND("DECOUPE",Tableau1[[#This Row],[DESIGNATION]])),"","NEED REF")</f>
        <v/>
      </c>
    </row>
    <row r="8553">
      <c r="B8553" t="n">
        <v>34405452</v>
      </c>
      <c r="C8553" s="2" t="n">
        <v>42670</v>
      </c>
      <c r="D8553" t="inlineStr">
        <is>
          <t>SPEC</t>
        </is>
      </c>
      <c r="E8553" t="inlineStr">
        <is>
          <t>CX PEN JUNCTION 1</t>
        </is>
      </c>
      <c r="F8553" t="inlineStr">
        <is>
          <t>BACKEFEED NS2000 G7K</t>
        </is>
      </c>
      <c r="J8553" t="inlineStr">
        <is>
          <t>MATRION</t>
        </is>
      </c>
      <c r="K8553" t="inlineStr">
        <is>
          <t>CUIVRE</t>
        </is>
      </c>
      <c r="L8553">
        <f>_xlfn.XLOOKUP(Tableau1[[#This Row],[TYPE DE PIECE]],Tableau4[MATIERE],Tableau4[SHORT TYPE],"",0,1)</f>
        <v/>
      </c>
      <c r="N8553">
        <f>IF(ISERR(FIND("DECOUPE",Tableau1[[#This Row],[DESIGNATION]])),"","NEED REF")</f>
        <v/>
      </c>
    </row>
    <row r="8554">
      <c r="B8554" t="n">
        <v>34405451</v>
      </c>
      <c r="C8554" s="2" t="n">
        <v>42670</v>
      </c>
      <c r="D8554" t="inlineStr">
        <is>
          <t>SPEC</t>
        </is>
      </c>
      <c r="E8554" t="inlineStr">
        <is>
          <t>CX JDB BACKFEED 4</t>
        </is>
      </c>
      <c r="F8554" t="inlineStr">
        <is>
          <t>BACKEFEED NS2000 G7K</t>
        </is>
      </c>
      <c r="J8554" t="inlineStr">
        <is>
          <t>MATRION</t>
        </is>
      </c>
      <c r="K8554" t="inlineStr">
        <is>
          <t>CUIVRE</t>
        </is>
      </c>
      <c r="L8554">
        <f>_xlfn.XLOOKUP(Tableau1[[#This Row],[TYPE DE PIECE]],Tableau4[MATIERE],Tableau4[SHORT TYPE],"",0,1)</f>
        <v/>
      </c>
      <c r="N8554">
        <f>IF(ISERR(FIND("DECOUPE",Tableau1[[#This Row],[DESIGNATION]])),"","NEED REF")</f>
        <v/>
      </c>
    </row>
    <row r="8555">
      <c r="B8555" t="n">
        <v>34405450</v>
      </c>
      <c r="C8555" s="2" t="n">
        <v>42670</v>
      </c>
      <c r="D8555" t="inlineStr">
        <is>
          <t>SPEC</t>
        </is>
      </c>
      <c r="E8555" t="inlineStr">
        <is>
          <t>CX JDB BACKFEED 3</t>
        </is>
      </c>
      <c r="F8555" t="inlineStr">
        <is>
          <t>BACKEFEED NS2000 G7K</t>
        </is>
      </c>
      <c r="J8555" t="inlineStr">
        <is>
          <t>MATRION</t>
        </is>
      </c>
      <c r="K8555" t="inlineStr">
        <is>
          <t>CUIVRE</t>
        </is>
      </c>
      <c r="L8555">
        <f>_xlfn.XLOOKUP(Tableau1[[#This Row],[TYPE DE PIECE]],Tableau4[MATIERE],Tableau4[SHORT TYPE],"",0,1)</f>
        <v/>
      </c>
      <c r="N8555">
        <f>IF(ISERR(FIND("DECOUPE",Tableau1[[#This Row],[DESIGNATION]])),"","NEED REF")</f>
        <v/>
      </c>
    </row>
    <row r="8556">
      <c r="B8556" t="n">
        <v>34405449</v>
      </c>
      <c r="C8556" s="2" t="n">
        <v>42670</v>
      </c>
      <c r="D8556" t="inlineStr">
        <is>
          <t>SPEC</t>
        </is>
      </c>
      <c r="E8556" t="inlineStr">
        <is>
          <t>LIAISON NW AMONT 2</t>
        </is>
      </c>
      <c r="F8556" t="inlineStr">
        <is>
          <t>BACKEFEED NS2000 G7K</t>
        </is>
      </c>
      <c r="J8556" t="inlineStr">
        <is>
          <t>MATRION</t>
        </is>
      </c>
      <c r="K8556" t="inlineStr">
        <is>
          <t>CUIVRE</t>
        </is>
      </c>
      <c r="L8556">
        <f>_xlfn.XLOOKUP(Tableau1[[#This Row],[TYPE DE PIECE]],Tableau4[MATIERE],Tableau4[SHORT TYPE],"",0,1)</f>
        <v/>
      </c>
      <c r="N8556">
        <f>IF(ISERR(FIND("DECOUPE",Tableau1[[#This Row],[DESIGNATION]])),"","NEED REF")</f>
        <v/>
      </c>
    </row>
    <row r="8557">
      <c r="B8557" t="n">
        <v>34405448</v>
      </c>
      <c r="C8557" s="2" t="n">
        <v>42670</v>
      </c>
      <c r="D8557" t="inlineStr">
        <is>
          <t>SPEC</t>
        </is>
      </c>
      <c r="E8557" t="inlineStr">
        <is>
          <t>RESERVER</t>
        </is>
      </c>
      <c r="F8557" t="inlineStr">
        <is>
          <t>BACKEFEED NS2000 G7K</t>
        </is>
      </c>
      <c r="J8557" t="inlineStr">
        <is>
          <t>MATRION</t>
        </is>
      </c>
      <c r="L8557">
        <f>_xlfn.XLOOKUP(Tableau1[[#This Row],[TYPE DE PIECE]],Tableau4[MATIERE],Tableau4[SHORT TYPE],"",0,1)</f>
        <v/>
      </c>
      <c r="N8557">
        <f>IF(ISERR(FIND("DECOUPE",Tableau1[[#This Row],[DESIGNATION]])),"","NEED REF")</f>
        <v/>
      </c>
    </row>
    <row r="8558">
      <c r="B8558" t="n">
        <v>34405447</v>
      </c>
      <c r="C8558" s="2" t="n">
        <v>42670</v>
      </c>
      <c r="D8558" t="inlineStr">
        <is>
          <t>SPEC</t>
        </is>
      </c>
      <c r="E8558" t="inlineStr">
        <is>
          <t>CX LIAISON NW AMONT 1</t>
        </is>
      </c>
      <c r="F8558" t="inlineStr">
        <is>
          <t>BACKEFEED NS2000 G7K</t>
        </is>
      </c>
      <c r="J8558" t="inlineStr">
        <is>
          <t>MATRION</t>
        </is>
      </c>
      <c r="K8558" t="inlineStr">
        <is>
          <t>CUIVRE</t>
        </is>
      </c>
      <c r="L8558">
        <f>_xlfn.XLOOKUP(Tableau1[[#This Row],[TYPE DE PIECE]],Tableau4[MATIERE],Tableau4[SHORT TYPE],"",0,1)</f>
        <v/>
      </c>
      <c r="N8558">
        <f>IF(ISERR(FIND("DECOUPE",Tableau1[[#This Row],[DESIGNATION]])),"","NEED REF")</f>
        <v/>
      </c>
    </row>
    <row r="8559">
      <c r="B8559" t="n">
        <v>34405446</v>
      </c>
      <c r="C8559" s="2" t="n">
        <v>42670</v>
      </c>
      <c r="D8559" t="inlineStr">
        <is>
          <t>SPEC</t>
        </is>
      </c>
      <c r="E8559" t="inlineStr">
        <is>
          <t>CX RACCORDEMENT RESEAU2</t>
        </is>
      </c>
      <c r="F8559" t="inlineStr">
        <is>
          <t>BACKEFEED NS2000 G7K</t>
        </is>
      </c>
      <c r="J8559" t="inlineStr">
        <is>
          <t>MATRION</t>
        </is>
      </c>
      <c r="K8559" t="inlineStr">
        <is>
          <t>CUIVRE</t>
        </is>
      </c>
      <c r="L8559">
        <f>_xlfn.XLOOKUP(Tableau1[[#This Row],[TYPE DE PIECE]],Tableau4[MATIERE],Tableau4[SHORT TYPE],"",0,1)</f>
        <v/>
      </c>
      <c r="N8559">
        <f>IF(ISERR(FIND("DECOUPE",Tableau1[[#This Row],[DESIGNATION]])),"","NEED REF")</f>
        <v/>
      </c>
    </row>
    <row r="8560">
      <c r="B8560" t="n">
        <v>34405445</v>
      </c>
      <c r="C8560" s="2" t="n">
        <v>42670</v>
      </c>
      <c r="D8560" t="inlineStr">
        <is>
          <t>SPEC</t>
        </is>
      </c>
      <c r="E8560" t="inlineStr">
        <is>
          <t>CX LIAISON NW AVAL 1</t>
        </is>
      </c>
      <c r="F8560" t="inlineStr">
        <is>
          <t>BACKEFEED NS2000 G7K</t>
        </is>
      </c>
      <c r="J8560" t="inlineStr">
        <is>
          <t>MATRION</t>
        </is>
      </c>
      <c r="K8560" t="inlineStr">
        <is>
          <t>CUIVRE</t>
        </is>
      </c>
      <c r="L8560">
        <f>_xlfn.XLOOKUP(Tableau1[[#This Row],[TYPE DE PIECE]],Tableau4[MATIERE],Tableau4[SHORT TYPE],"",0,1)</f>
        <v/>
      </c>
      <c r="N8560">
        <f>IF(ISERR(FIND("DECOUPE",Tableau1[[#This Row],[DESIGNATION]])),"","NEED REF")</f>
        <v/>
      </c>
    </row>
    <row r="8561">
      <c r="B8561" t="n">
        <v>34405444</v>
      </c>
      <c r="C8561" s="2" t="n">
        <v>42670</v>
      </c>
      <c r="D8561" t="inlineStr">
        <is>
          <t>SPEC</t>
        </is>
      </c>
      <c r="E8561" t="inlineStr">
        <is>
          <t>RESERVER</t>
        </is>
      </c>
      <c r="F8561" t="inlineStr">
        <is>
          <t>BACKEFEED NS2000 G7K</t>
        </is>
      </c>
      <c r="J8561" t="inlineStr">
        <is>
          <t>MATRION</t>
        </is>
      </c>
      <c r="L8561">
        <f>_xlfn.XLOOKUP(Tableau1[[#This Row],[TYPE DE PIECE]],Tableau4[MATIERE],Tableau4[SHORT TYPE],"",0,1)</f>
        <v/>
      </c>
      <c r="N8561">
        <f>IF(ISERR(FIND("DECOUPE",Tableau1[[#This Row],[DESIGNATION]])),"","NEED REF")</f>
        <v/>
      </c>
    </row>
    <row r="8562">
      <c r="B8562" t="n">
        <v>34405443</v>
      </c>
      <c r="C8562" s="2" t="n">
        <v>42670</v>
      </c>
      <c r="D8562" t="inlineStr">
        <is>
          <t>SPEC</t>
        </is>
      </c>
      <c r="E8562" t="inlineStr">
        <is>
          <t>RESERVER</t>
        </is>
      </c>
      <c r="F8562" t="inlineStr">
        <is>
          <t>BACKEFEED NS2000 G7K</t>
        </is>
      </c>
      <c r="J8562" t="inlineStr">
        <is>
          <t>MATRION</t>
        </is>
      </c>
      <c r="L8562">
        <f>_xlfn.XLOOKUP(Tableau1[[#This Row],[TYPE DE PIECE]],Tableau4[MATIERE],Tableau4[SHORT TYPE],"",0,1)</f>
        <v/>
      </c>
      <c r="N8562">
        <f>IF(ISERR(FIND("DECOUPE",Tableau1[[#This Row],[DESIGNATION]])),"","NEED REF")</f>
        <v/>
      </c>
    </row>
    <row r="8563">
      <c r="B8563" t="n">
        <v>34405442</v>
      </c>
      <c r="C8563" s="2" t="n">
        <v>42670</v>
      </c>
      <c r="D8563" t="inlineStr">
        <is>
          <t>SPEC</t>
        </is>
      </c>
      <c r="E8563" t="inlineStr">
        <is>
          <t>RESERVER</t>
        </is>
      </c>
      <c r="F8563" t="inlineStr">
        <is>
          <t>BACKEFEED NS2000 G7K</t>
        </is>
      </c>
      <c r="J8563" t="inlineStr">
        <is>
          <t>MATRION</t>
        </is>
      </c>
      <c r="L8563">
        <f>_xlfn.XLOOKUP(Tableau1[[#This Row],[TYPE DE PIECE]],Tableau4[MATIERE],Tableau4[SHORT TYPE],"",0,1)</f>
        <v/>
      </c>
      <c r="N8563">
        <f>IF(ISERR(FIND("DECOUPE",Tableau1[[#This Row],[DESIGNATION]])),"","NEED REF")</f>
        <v/>
      </c>
    </row>
    <row r="8564">
      <c r="B8564" t="n">
        <v>34405441</v>
      </c>
      <c r="C8564" s="2" t="n">
        <v>42670</v>
      </c>
      <c r="D8564" t="inlineStr">
        <is>
          <t>SPEC</t>
        </is>
      </c>
      <c r="E8564" t="inlineStr">
        <is>
          <t>RESERVER</t>
        </is>
      </c>
      <c r="F8564" t="inlineStr">
        <is>
          <t>BACKEFEED NS2000 G7K</t>
        </is>
      </c>
      <c r="J8564" t="inlineStr">
        <is>
          <t>MATRION</t>
        </is>
      </c>
      <c r="L8564">
        <f>_xlfn.XLOOKUP(Tableau1[[#This Row],[TYPE DE PIECE]],Tableau4[MATIERE],Tableau4[SHORT TYPE],"",0,1)</f>
        <v/>
      </c>
      <c r="N8564">
        <f>IF(ISERR(FIND("DECOUPE",Tableau1[[#This Row],[DESIGNATION]])),"","NEED REF")</f>
        <v/>
      </c>
    </row>
    <row r="8565">
      <c r="B8565" t="n">
        <v>34405440</v>
      </c>
      <c r="C8565" s="2" t="n">
        <v>42670</v>
      </c>
      <c r="D8565" t="inlineStr">
        <is>
          <t>SPEC</t>
        </is>
      </c>
      <c r="E8565" t="inlineStr">
        <is>
          <t>RESERVER</t>
        </is>
      </c>
      <c r="F8565" t="inlineStr">
        <is>
          <t>BACKEFEED NS2000 G7K</t>
        </is>
      </c>
      <c r="J8565" t="inlineStr">
        <is>
          <t>MATRION</t>
        </is>
      </c>
      <c r="L8565">
        <f>_xlfn.XLOOKUP(Tableau1[[#This Row],[TYPE DE PIECE]],Tableau4[MATIERE],Tableau4[SHORT TYPE],"",0,1)</f>
        <v/>
      </c>
      <c r="N8565">
        <f>IF(ISERR(FIND("DECOUPE",Tableau1[[#This Row],[DESIGNATION]])),"","NEED REF")</f>
        <v/>
      </c>
    </row>
    <row r="8566">
      <c r="B8566" t="n">
        <v>34405439</v>
      </c>
      <c r="C8566" s="2" t="n">
        <v>42670</v>
      </c>
      <c r="D8566" t="inlineStr">
        <is>
          <t>SPEC</t>
        </is>
      </c>
      <c r="E8566" t="inlineStr">
        <is>
          <t>CX PEN JUNCTION 3</t>
        </is>
      </c>
      <c r="F8566" t="inlineStr">
        <is>
          <t>BACKEFEED NS2000 G7K</t>
        </is>
      </c>
      <c r="J8566" t="inlineStr">
        <is>
          <t>MATRION</t>
        </is>
      </c>
      <c r="K8566" t="inlineStr">
        <is>
          <t>CUIVRE</t>
        </is>
      </c>
      <c r="L8566">
        <f>_xlfn.XLOOKUP(Tableau1[[#This Row],[TYPE DE PIECE]],Tableau4[MATIERE],Tableau4[SHORT TYPE],"",0,1)</f>
        <v/>
      </c>
      <c r="N8566">
        <f>IF(ISERR(FIND("DECOUPE",Tableau1[[#This Row],[DESIGNATION]])),"","NEED REF")</f>
        <v/>
      </c>
    </row>
    <row r="8567">
      <c r="B8567" t="n">
        <v>34405438</v>
      </c>
      <c r="C8567" s="2" t="n">
        <v>42670</v>
      </c>
      <c r="D8567" t="inlineStr">
        <is>
          <t>SPEC</t>
        </is>
      </c>
      <c r="E8567" t="inlineStr">
        <is>
          <t>RESERVER</t>
        </is>
      </c>
      <c r="F8567" t="inlineStr">
        <is>
          <t>BACKEFEED NS2000 G7K</t>
        </is>
      </c>
      <c r="J8567" t="inlineStr">
        <is>
          <t>MATRION</t>
        </is>
      </c>
      <c r="L8567">
        <f>_xlfn.XLOOKUP(Tableau1[[#This Row],[TYPE DE PIECE]],Tableau4[MATIERE],Tableau4[SHORT TYPE],"",0,1)</f>
        <v/>
      </c>
      <c r="N8567">
        <f>IF(ISERR(FIND("DECOUPE",Tableau1[[#This Row],[DESIGNATION]])),"","NEED REF")</f>
        <v/>
      </c>
    </row>
    <row r="8568">
      <c r="B8568" t="n">
        <v>34405437</v>
      </c>
      <c r="C8568" s="2" t="n">
        <v>42670</v>
      </c>
      <c r="D8568" t="inlineStr">
        <is>
          <t>SPEC</t>
        </is>
      </c>
      <c r="E8568" t="inlineStr">
        <is>
          <t>RESERVER</t>
        </is>
      </c>
      <c r="F8568" t="inlineStr">
        <is>
          <t>BACKEFEED NS2000 G7K</t>
        </is>
      </c>
      <c r="J8568" t="inlineStr">
        <is>
          <t>MATRION</t>
        </is>
      </c>
      <c r="L8568">
        <f>_xlfn.XLOOKUP(Tableau1[[#This Row],[TYPE DE PIECE]],Tableau4[MATIERE],Tableau4[SHORT TYPE],"",0,1)</f>
        <v/>
      </c>
      <c r="N8568">
        <f>IF(ISERR(FIND("DECOUPE",Tableau1[[#This Row],[DESIGNATION]])),"","NEED REF")</f>
        <v/>
      </c>
    </row>
    <row r="8569">
      <c r="B8569" t="n">
        <v>34405436</v>
      </c>
      <c r="C8569" s="2" t="n">
        <v>42670</v>
      </c>
      <c r="D8569" t="inlineStr">
        <is>
          <t>SPEC</t>
        </is>
      </c>
      <c r="E8569" t="inlineStr">
        <is>
          <t>CX PEN JUNCTION 2</t>
        </is>
      </c>
      <c r="F8569" t="inlineStr">
        <is>
          <t>BACKEFEED NS2000 G7K</t>
        </is>
      </c>
      <c r="J8569" t="inlineStr">
        <is>
          <t>MATRION</t>
        </is>
      </c>
      <c r="K8569" t="inlineStr">
        <is>
          <t>CUIVRE</t>
        </is>
      </c>
      <c r="L8569">
        <f>_xlfn.XLOOKUP(Tableau1[[#This Row],[TYPE DE PIECE]],Tableau4[MATIERE],Tableau4[SHORT TYPE],"",0,1)</f>
        <v/>
      </c>
      <c r="N8569">
        <f>IF(ISERR(FIND("DECOUPE",Tableau1[[#This Row],[DESIGNATION]])),"","NEED REF")</f>
        <v/>
      </c>
    </row>
    <row r="8570">
      <c r="B8570" t="n">
        <v>34405435</v>
      </c>
      <c r="C8570" s="2" t="n">
        <v>42670</v>
      </c>
      <c r="D8570" t="inlineStr">
        <is>
          <t>SPEC</t>
        </is>
      </c>
      <c r="E8570" t="inlineStr">
        <is>
          <t>CX LIAISON NEUTRE NW 3P</t>
        </is>
      </c>
      <c r="F8570" t="inlineStr">
        <is>
          <t>BACKEFEED NS2000 G7K</t>
        </is>
      </c>
      <c r="J8570" t="inlineStr">
        <is>
          <t>MATRION</t>
        </is>
      </c>
      <c r="K8570" t="inlineStr">
        <is>
          <t>CUIVRE</t>
        </is>
      </c>
      <c r="L8570">
        <f>_xlfn.XLOOKUP(Tableau1[[#This Row],[TYPE DE PIECE]],Tableau4[MATIERE],Tableau4[SHORT TYPE],"",0,1)</f>
        <v/>
      </c>
      <c r="N8570">
        <f>IF(ISERR(FIND("DECOUPE",Tableau1[[#This Row],[DESIGNATION]])),"","NEED REF")</f>
        <v/>
      </c>
    </row>
    <row r="8571">
      <c r="B8571" t="n">
        <v>34405434</v>
      </c>
      <c r="C8571" s="2" t="n">
        <v>42670</v>
      </c>
      <c r="D8571" t="inlineStr">
        <is>
          <t>SPEC</t>
        </is>
      </c>
      <c r="E8571" t="inlineStr">
        <is>
          <t>CX JDB BACKFEED 2</t>
        </is>
      </c>
      <c r="F8571" t="inlineStr">
        <is>
          <t>BACKEFEED NS2000 G7K</t>
        </is>
      </c>
      <c r="J8571" t="inlineStr">
        <is>
          <t>MATRION</t>
        </is>
      </c>
      <c r="K8571" t="inlineStr">
        <is>
          <t>CUIVRE</t>
        </is>
      </c>
      <c r="L8571">
        <f>_xlfn.XLOOKUP(Tableau1[[#This Row],[TYPE DE PIECE]],Tableau4[MATIERE],Tableau4[SHORT TYPE],"",0,1)</f>
        <v/>
      </c>
      <c r="N8571">
        <f>IF(ISERR(FIND("DECOUPE",Tableau1[[#This Row],[DESIGNATION]])),"","NEED REF")</f>
        <v/>
      </c>
    </row>
    <row r="8572">
      <c r="B8572" t="n">
        <v>34405433</v>
      </c>
      <c r="C8572" s="2" t="n">
        <v>42670</v>
      </c>
      <c r="D8572" t="inlineStr">
        <is>
          <t>SPEC</t>
        </is>
      </c>
      <c r="E8572" t="inlineStr">
        <is>
          <t>CX JDB BACKFEED 1</t>
        </is>
      </c>
      <c r="F8572" t="inlineStr">
        <is>
          <t>BACKEFEED NS2000 G7K</t>
        </is>
      </c>
      <c r="J8572" t="inlineStr">
        <is>
          <t>MATRION</t>
        </is>
      </c>
      <c r="K8572" t="inlineStr">
        <is>
          <t>CUIVRE</t>
        </is>
      </c>
      <c r="L8572">
        <f>_xlfn.XLOOKUP(Tableau1[[#This Row],[TYPE DE PIECE]],Tableau4[MATIERE],Tableau4[SHORT TYPE],"",0,1)</f>
        <v/>
      </c>
      <c r="N8572">
        <f>IF(ISERR(FIND("DECOUPE",Tableau1[[#This Row],[DESIGNATION]])),"","NEED REF")</f>
        <v/>
      </c>
    </row>
    <row r="8573">
      <c r="B8573" t="n">
        <v>34405432</v>
      </c>
      <c r="C8573" s="2" t="n">
        <v>42662</v>
      </c>
      <c r="D8573" t="inlineStr">
        <is>
          <t>SPEC</t>
        </is>
      </c>
      <c r="E8573" t="inlineStr">
        <is>
          <t>SA NS2500 + ARM700 + DJ R2</t>
        </is>
      </c>
      <c r="L8573">
        <f>_xlfn.XLOOKUP(Tableau1[[#This Row],[TYPE DE PIECE]],Tableau4[MATIERE],Tableau4[SHORT TYPE],"",0,1)</f>
        <v/>
      </c>
      <c r="N8573">
        <f>IF(ISERR(FIND("DECOUPE",Tableau1[[#This Row],[DESIGNATION]])),"","NEED REF")</f>
        <v/>
      </c>
    </row>
    <row r="8574">
      <c r="B8574" t="n">
        <v>34405431</v>
      </c>
      <c r="C8574" s="2" t="n">
        <v>42662</v>
      </c>
      <c r="D8574" t="inlineStr">
        <is>
          <t>SPEC</t>
        </is>
      </c>
      <c r="E8574" t="inlineStr">
        <is>
          <t>ARM700 + DJ R2</t>
        </is>
      </c>
      <c r="L8574">
        <f>_xlfn.XLOOKUP(Tableau1[[#This Row],[TYPE DE PIECE]],Tableau4[MATIERE],Tableau4[SHORT TYPE],"",0,1)</f>
        <v/>
      </c>
      <c r="N8574">
        <f>IF(ISERR(FIND("DECOUPE",Tableau1[[#This Row],[DESIGNATION]])),"","NEED REF")</f>
        <v/>
      </c>
    </row>
    <row r="8575">
      <c r="B8575" t="n">
        <v>34405430</v>
      </c>
      <c r="C8575" s="2" t="n">
        <v>42662</v>
      </c>
      <c r="D8575" t="inlineStr">
        <is>
          <t>SPEC</t>
        </is>
      </c>
      <c r="E8575" t="inlineStr">
        <is>
          <t>NS2500 REPRISE SANS JDB R2</t>
        </is>
      </c>
      <c r="L8575">
        <f>_xlfn.XLOOKUP(Tableau1[[#This Row],[TYPE DE PIECE]],Tableau4[MATIERE],Tableau4[SHORT TYPE],"",0,1)</f>
        <v/>
      </c>
      <c r="N8575">
        <f>IF(ISERR(FIND("DECOUPE",Tableau1[[#This Row],[DESIGNATION]])),"","NEED REF")</f>
        <v/>
      </c>
    </row>
    <row r="8576">
      <c r="B8576" t="n">
        <v>34405429</v>
      </c>
      <c r="C8576" s="2" t="n">
        <v>42657</v>
      </c>
      <c r="D8576" t="inlineStr">
        <is>
          <t>SPEC</t>
        </is>
      </c>
      <c r="E8576" t="inlineStr">
        <is>
          <t>CORO DE LIAISON</t>
        </is>
      </c>
      <c r="F8576" t="inlineStr">
        <is>
          <t>BYPASS 250KW</t>
        </is>
      </c>
      <c r="J8576" t="inlineStr">
        <is>
          <t>ROBERT</t>
        </is>
      </c>
      <c r="K8576" t="inlineStr">
        <is>
          <t>CUIVRE</t>
        </is>
      </c>
      <c r="L8576">
        <f>_xlfn.XLOOKUP(Tableau1[[#This Row],[TYPE DE PIECE]],Tableau4[MATIERE],Tableau4[SHORT TYPE],"",0,1)</f>
        <v/>
      </c>
      <c r="N8576">
        <f>IF(ISERR(FIND("DECOUPE",Tableau1[[#This Row],[DESIGNATION]])),"","NEED REF")</f>
        <v/>
      </c>
    </row>
    <row r="8577">
      <c r="B8577" t="n">
        <v>34405428</v>
      </c>
      <c r="C8577" s="2" t="n">
        <v>42656</v>
      </c>
      <c r="D8577" t="inlineStr">
        <is>
          <t>SPEC</t>
        </is>
      </c>
      <c r="E8577" t="inlineStr">
        <is>
          <t>Canvas de commande NSX1200</t>
        </is>
      </c>
      <c r="F8577" t="inlineStr">
        <is>
          <t>NOVARTIS</t>
        </is>
      </c>
      <c r="J8577" t="inlineStr">
        <is>
          <t>ROBERT</t>
        </is>
      </c>
      <c r="L8577">
        <f>_xlfn.XLOOKUP(Tableau1[[#This Row],[TYPE DE PIECE]],Tableau4[MATIERE],Tableau4[SHORT TYPE],"",0,1)</f>
        <v/>
      </c>
      <c r="N8577">
        <f>IF(ISERR(FIND("DECOUPE",Tableau1[[#This Row],[DESIGNATION]])),"","NEED REF")</f>
        <v/>
      </c>
    </row>
    <row r="8578">
      <c r="B8578" t="n">
        <v>34405427</v>
      </c>
      <c r="C8578" s="2" t="n">
        <v>42654</v>
      </c>
      <c r="D8578" t="inlineStr">
        <is>
          <t>SPEC</t>
        </is>
      </c>
      <c r="E8578" t="inlineStr">
        <is>
          <t>LIMANDE AMB ECT SYMMETRE</t>
        </is>
      </c>
      <c r="F8578" t="inlineStr">
        <is>
          <t>SYMMETRA</t>
        </is>
      </c>
      <c r="J8578" t="inlineStr">
        <is>
          <t>REVEL</t>
        </is>
      </c>
      <c r="L8578">
        <f>_xlfn.XLOOKUP(Tableau1[[#This Row],[TYPE DE PIECE]],Tableau4[MATIERE],Tableau4[SHORT TYPE],"",0,1)</f>
        <v/>
      </c>
      <c r="N8578">
        <f>IF(ISERR(FIND("DECOUPE",Tableau1[[#This Row],[DESIGNATION]])),"","NEED REF")</f>
        <v/>
      </c>
    </row>
    <row r="8579">
      <c r="B8579" t="n">
        <v>34405426</v>
      </c>
      <c r="C8579" s="2" t="n">
        <v>42653</v>
      </c>
      <c r="D8579" t="inlineStr">
        <is>
          <t>SPEC</t>
        </is>
      </c>
      <c r="E8579" t="inlineStr">
        <is>
          <t>CAPOT CARTES</t>
        </is>
      </c>
      <c r="F8579" t="inlineStr">
        <is>
          <t>BYPASS 250KW</t>
        </is>
      </c>
      <c r="J8579" t="inlineStr">
        <is>
          <t>ROBERT</t>
        </is>
      </c>
      <c r="K8579" t="inlineStr">
        <is>
          <t>METAL</t>
        </is>
      </c>
      <c r="L8579">
        <f>_xlfn.XLOOKUP(Tableau1[[#This Row],[TYPE DE PIECE]],Tableau4[MATIERE],Tableau4[SHORT TYPE],"",0,1)</f>
        <v/>
      </c>
      <c r="N8579">
        <f>IF(ISERR(FIND("DECOUPE",Tableau1[[#This Row],[DESIGNATION]])),"","NEED REF")</f>
        <v/>
      </c>
    </row>
    <row r="8580">
      <c r="B8580" t="n">
        <v>34405425</v>
      </c>
      <c r="C8580" s="2" t="n">
        <v>42649</v>
      </c>
      <c r="D8580" t="inlineStr">
        <is>
          <t>SPEC</t>
        </is>
      </c>
      <c r="E8580" t="inlineStr">
        <is>
          <t>SUPPORT CARTES</t>
        </is>
      </c>
      <c r="F8580" t="inlineStr">
        <is>
          <t>BYPASS 250KW</t>
        </is>
      </c>
      <c r="J8580" t="inlineStr">
        <is>
          <t>ROBERT</t>
        </is>
      </c>
      <c r="K8580" t="inlineStr">
        <is>
          <t>METAL</t>
        </is>
      </c>
      <c r="L8580">
        <f>_xlfn.XLOOKUP(Tableau1[[#This Row],[TYPE DE PIECE]],Tableau4[MATIERE],Tableau4[SHORT TYPE],"",0,1)</f>
        <v/>
      </c>
      <c r="N8580">
        <f>IF(ISERR(FIND("DECOUPE",Tableau1[[#This Row],[DESIGNATION]])),"","NEED REF")</f>
        <v/>
      </c>
    </row>
    <row r="8581">
      <c r="B8581" t="n">
        <v>34405424</v>
      </c>
      <c r="C8581" s="2" t="n">
        <v>42649</v>
      </c>
      <c r="D8581" t="inlineStr">
        <is>
          <t>SPEC</t>
        </is>
      </c>
      <c r="E8581" t="inlineStr">
        <is>
          <t>SUPPORT DISJONCTEUR+BORNIER</t>
        </is>
      </c>
      <c r="F8581" t="inlineStr">
        <is>
          <t>BYPASS 250KW</t>
        </is>
      </c>
      <c r="J8581" t="inlineStr">
        <is>
          <t>ROBERT</t>
        </is>
      </c>
      <c r="K8581" t="inlineStr">
        <is>
          <t>METAL</t>
        </is>
      </c>
      <c r="L8581">
        <f>_xlfn.XLOOKUP(Tableau1[[#This Row],[TYPE DE PIECE]],Tableau4[MATIERE],Tableau4[SHORT TYPE],"",0,1)</f>
        <v/>
      </c>
      <c r="N8581">
        <f>IF(ISERR(FIND("DECOUPE",Tableau1[[#This Row],[DESIGNATION]])),"","NEED REF")</f>
        <v/>
      </c>
    </row>
    <row r="8582">
      <c r="B8582" t="n">
        <v>34405423</v>
      </c>
      <c r="C8582" s="2" t="n">
        <v>42649</v>
      </c>
      <c r="D8582" t="inlineStr">
        <is>
          <t>SPEC</t>
        </is>
      </c>
      <c r="E8582" t="inlineStr">
        <is>
          <t>SUPPORT VOYANT</t>
        </is>
      </c>
      <c r="F8582" t="inlineStr">
        <is>
          <t>BYPASS 250KW</t>
        </is>
      </c>
      <c r="J8582" t="inlineStr">
        <is>
          <t>ROBERT</t>
        </is>
      </c>
      <c r="K8582" t="inlineStr">
        <is>
          <t>METAL</t>
        </is>
      </c>
      <c r="L8582">
        <f>_xlfn.XLOOKUP(Tableau1[[#This Row],[TYPE DE PIECE]],Tableau4[MATIERE],Tableau4[SHORT TYPE],"",0,1)</f>
        <v/>
      </c>
      <c r="N8582">
        <f>IF(ISERR(FIND("DECOUPE",Tableau1[[#This Row],[DESIGNATION]])),"","NEED REF")</f>
        <v/>
      </c>
    </row>
    <row r="8583">
      <c r="B8583" t="n">
        <v>34405422</v>
      </c>
      <c r="C8583" s="2" t="n">
        <v>42646</v>
      </c>
      <c r="D8583" t="inlineStr">
        <is>
          <t>SPEC</t>
        </is>
      </c>
      <c r="E8583" t="inlineStr">
        <is>
          <t>PLATINE BORNIER</t>
        </is>
      </c>
      <c r="F8583" t="inlineStr">
        <is>
          <t>ARMOIRE FUPACT</t>
        </is>
      </c>
      <c r="J8583" t="inlineStr">
        <is>
          <t>MATRION</t>
        </is>
      </c>
      <c r="K8583" t="inlineStr">
        <is>
          <t>METAL</t>
        </is>
      </c>
      <c r="L8583">
        <f>_xlfn.XLOOKUP(Tableau1[[#This Row],[TYPE DE PIECE]],Tableau4[MATIERE],Tableau4[SHORT TYPE],"",0,1)</f>
        <v/>
      </c>
      <c r="N8583">
        <f>IF(ISERR(FIND("DECOUPE",Tableau1[[#This Row],[DESIGNATION]])),"","NEED REF")</f>
        <v/>
      </c>
    </row>
    <row r="8584">
      <c r="B8584" t="n">
        <v>34405421</v>
      </c>
      <c r="C8584" s="2" t="n">
        <v>42646</v>
      </c>
      <c r="D8584" t="inlineStr">
        <is>
          <t>SPEC</t>
        </is>
      </c>
      <c r="E8584" t="inlineStr">
        <is>
          <t>SUPPORT JDB CLIENT</t>
        </is>
      </c>
      <c r="F8584" t="inlineStr">
        <is>
          <t>ARMOIRE FUPACT</t>
        </is>
      </c>
      <c r="J8584" t="inlineStr">
        <is>
          <t>MATRION</t>
        </is>
      </c>
      <c r="K8584" t="inlineStr">
        <is>
          <t>METAL</t>
        </is>
      </c>
      <c r="L8584">
        <f>_xlfn.XLOOKUP(Tableau1[[#This Row],[TYPE DE PIECE]],Tableau4[MATIERE],Tableau4[SHORT TYPE],"",0,1)</f>
        <v/>
      </c>
      <c r="N8584">
        <f>IF(ISERR(FIND("DECOUPE",Tableau1[[#This Row],[DESIGNATION]])),"","NEED REF")</f>
        <v/>
      </c>
    </row>
    <row r="8585">
      <c r="B8585" t="n">
        <v>34405420</v>
      </c>
      <c r="C8585" s="2" t="n">
        <v>42646</v>
      </c>
      <c r="D8585" t="inlineStr">
        <is>
          <t>SPEC</t>
        </is>
      </c>
      <c r="E8585" t="inlineStr">
        <is>
          <t>PLASTRON HAUT/BAS</t>
        </is>
      </c>
      <c r="F8585" t="inlineStr">
        <is>
          <t>ARMOIRE FUPACT</t>
        </is>
      </c>
      <c r="J8585" t="inlineStr">
        <is>
          <t>MATRION</t>
        </is>
      </c>
      <c r="K8585" t="inlineStr">
        <is>
          <t>METAL</t>
        </is>
      </c>
      <c r="L8585">
        <f>_xlfn.XLOOKUP(Tableau1[[#This Row],[TYPE DE PIECE]],Tableau4[MATIERE],Tableau4[SHORT TYPE],"",0,1)</f>
        <v/>
      </c>
      <c r="N8585">
        <f>IF(ISERR(FIND("DECOUPE",Tableau1[[#This Row],[DESIGNATION]])),"","NEED REF")</f>
        <v/>
      </c>
    </row>
    <row r="8586">
      <c r="B8586" t="n">
        <v>34405419</v>
      </c>
      <c r="C8586" s="2" t="n">
        <v>42646</v>
      </c>
      <c r="D8586" t="inlineStr">
        <is>
          <t>SPEC</t>
        </is>
      </c>
      <c r="E8586" t="inlineStr">
        <is>
          <t>PLASTRON HAUT</t>
        </is>
      </c>
      <c r="F8586" t="inlineStr">
        <is>
          <t>ARMOIRE FUPACT</t>
        </is>
      </c>
      <c r="J8586" t="inlineStr">
        <is>
          <t>MATRION</t>
        </is>
      </c>
      <c r="K8586" t="inlineStr">
        <is>
          <t>METAL</t>
        </is>
      </c>
      <c r="L8586">
        <f>_xlfn.XLOOKUP(Tableau1[[#This Row],[TYPE DE PIECE]],Tableau4[MATIERE],Tableau4[SHORT TYPE],"",0,1)</f>
        <v/>
      </c>
      <c r="N8586">
        <f>IF(ISERR(FIND("DECOUPE",Tableau1[[#This Row],[DESIGNATION]])),"","NEED REF")</f>
        <v/>
      </c>
    </row>
    <row r="8587">
      <c r="B8587" t="n">
        <v>34405418</v>
      </c>
      <c r="C8587" s="2" t="n">
        <v>42646</v>
      </c>
      <c r="D8587" t="inlineStr">
        <is>
          <t>SPEC</t>
        </is>
      </c>
      <c r="E8587" t="inlineStr">
        <is>
          <t>LATERAL PROTECTION SHIELD SUPPORT DROIT</t>
        </is>
      </c>
      <c r="F8587" t="inlineStr">
        <is>
          <t>ARMOIRE FUPACT</t>
        </is>
      </c>
      <c r="J8587" t="inlineStr">
        <is>
          <t>MATRION</t>
        </is>
      </c>
      <c r="K8587" t="inlineStr">
        <is>
          <t>METAL</t>
        </is>
      </c>
      <c r="L8587">
        <f>_xlfn.XLOOKUP(Tableau1[[#This Row],[TYPE DE PIECE]],Tableau4[MATIERE],Tableau4[SHORT TYPE],"",0,1)</f>
        <v/>
      </c>
      <c r="N8587">
        <f>IF(ISERR(FIND("DECOUPE",Tableau1[[#This Row],[DESIGNATION]])),"","NEED REF")</f>
        <v/>
      </c>
    </row>
    <row r="8588">
      <c r="B8588" t="n">
        <v>34405417</v>
      </c>
      <c r="C8588" s="2" t="n">
        <v>42646</v>
      </c>
      <c r="D8588" t="inlineStr">
        <is>
          <t>SPEC</t>
        </is>
      </c>
      <c r="E8588" t="inlineStr">
        <is>
          <t>LATERAL PROTECTION SHIELD SUPPORT GAUCHE</t>
        </is>
      </c>
      <c r="F8588" t="inlineStr">
        <is>
          <t>ARMOIRE FUPACT</t>
        </is>
      </c>
      <c r="J8588" t="inlineStr">
        <is>
          <t>MATRION</t>
        </is>
      </c>
      <c r="K8588" t="inlineStr">
        <is>
          <t>METAL</t>
        </is>
      </c>
      <c r="L8588">
        <f>_xlfn.XLOOKUP(Tableau1[[#This Row],[TYPE DE PIECE]],Tableau4[MATIERE],Tableau4[SHORT TYPE],"",0,1)</f>
        <v/>
      </c>
      <c r="N8588">
        <f>IF(ISERR(FIND("DECOUPE",Tableau1[[#This Row],[DESIGNATION]])),"","NEED REF")</f>
        <v/>
      </c>
    </row>
    <row r="8589">
      <c r="B8589" t="n">
        <v>34405416</v>
      </c>
      <c r="C8589" s="2" t="n">
        <v>42646</v>
      </c>
      <c r="D8589" t="inlineStr">
        <is>
          <t>SPEC</t>
        </is>
      </c>
      <c r="E8589" t="inlineStr">
        <is>
          <t>PLASTRON INF250 + COMMANDE ROTATIVE</t>
        </is>
      </c>
      <c r="F8589" t="inlineStr">
        <is>
          <t>ARMOIRE FUPACT</t>
        </is>
      </c>
      <c r="J8589" t="inlineStr">
        <is>
          <t>MATRION</t>
        </is>
      </c>
      <c r="K8589" t="inlineStr">
        <is>
          <t>METAL</t>
        </is>
      </c>
      <c r="L8589">
        <f>_xlfn.XLOOKUP(Tableau1[[#This Row],[TYPE DE PIECE]],Tableau4[MATIERE],Tableau4[SHORT TYPE],"",0,1)</f>
        <v/>
      </c>
      <c r="N8589">
        <f>IF(ISERR(FIND("DECOUPE",Tableau1[[#This Row],[DESIGNATION]])),"","NEED REF")</f>
        <v/>
      </c>
    </row>
    <row r="8590">
      <c r="B8590" t="n">
        <v>34405415</v>
      </c>
      <c r="C8590" s="2" t="n">
        <v>42646</v>
      </c>
      <c r="D8590" t="inlineStr">
        <is>
          <t>SPEC</t>
        </is>
      </c>
      <c r="E8590" t="inlineStr">
        <is>
          <t>LATERAL PROTECTION SHIELD SUPPORT</t>
        </is>
      </c>
      <c r="F8590" t="inlineStr">
        <is>
          <t>ARMOIRE FUPACT</t>
        </is>
      </c>
      <c r="J8590" t="inlineStr">
        <is>
          <t>MATRION</t>
        </is>
      </c>
      <c r="K8590" t="inlineStr">
        <is>
          <t>METAL</t>
        </is>
      </c>
      <c r="L8590">
        <f>_xlfn.XLOOKUP(Tableau1[[#This Row],[TYPE DE PIECE]],Tableau4[MATIERE],Tableau4[SHORT TYPE],"",0,1)</f>
        <v/>
      </c>
      <c r="N8590">
        <f>IF(ISERR(FIND("DECOUPE",Tableau1[[#This Row],[DESIGNATION]])),"","NEED REF")</f>
        <v/>
      </c>
    </row>
    <row r="8591">
      <c r="B8591" t="n">
        <v>34405414</v>
      </c>
      <c r="C8591" s="2" t="n">
        <v>42646</v>
      </c>
      <c r="D8591" t="inlineStr">
        <is>
          <t>SPEC</t>
        </is>
      </c>
      <c r="E8591" t="inlineStr">
        <is>
          <t>PLATINE FUPACT INF250</t>
        </is>
      </c>
      <c r="F8591" t="inlineStr">
        <is>
          <t>ARMOIRE FUPACT</t>
        </is>
      </c>
      <c r="J8591" t="inlineStr">
        <is>
          <t>MATRION</t>
        </is>
      </c>
      <c r="K8591" t="inlineStr">
        <is>
          <t>METAL</t>
        </is>
      </c>
      <c r="L8591">
        <f>_xlfn.XLOOKUP(Tableau1[[#This Row],[TYPE DE PIECE]],Tableau4[MATIERE],Tableau4[SHORT TYPE],"",0,1)</f>
        <v/>
      </c>
      <c r="N8591">
        <f>IF(ISERR(FIND("DECOUPE",Tableau1[[#This Row],[DESIGNATION]])),"","NEED REF")</f>
        <v/>
      </c>
    </row>
    <row r="8592">
      <c r="B8592" t="n">
        <v>34405413</v>
      </c>
      <c r="C8592" s="2" t="n">
        <v>42643</v>
      </c>
      <c r="D8592" t="inlineStr">
        <is>
          <t>SPEC</t>
        </is>
      </c>
      <c r="E8592" t="inlineStr">
        <is>
          <t>CX L3</t>
        </is>
      </c>
      <c r="F8592" t="inlineStr">
        <is>
          <t>BYPASS 250Kw</t>
        </is>
      </c>
      <c r="J8592" t="inlineStr">
        <is>
          <t>ROBERT</t>
        </is>
      </c>
      <c r="K8592" t="inlineStr">
        <is>
          <t>CUIVRE</t>
        </is>
      </c>
      <c r="L8592">
        <f>_xlfn.XLOOKUP(Tableau1[[#This Row],[TYPE DE PIECE]],Tableau4[MATIERE],Tableau4[SHORT TYPE],"",0,1)</f>
        <v/>
      </c>
      <c r="N8592">
        <f>IF(ISERR(FIND("DECOUPE",Tableau1[[#This Row],[DESIGNATION]])),"","NEED REF")</f>
        <v/>
      </c>
    </row>
    <row r="8593">
      <c r="B8593" t="n">
        <v>34405412</v>
      </c>
      <c r="C8593" s="2" t="n">
        <v>42643</v>
      </c>
      <c r="D8593" t="inlineStr">
        <is>
          <t>SPEC</t>
        </is>
      </c>
      <c r="E8593" t="inlineStr">
        <is>
          <t>CX L2</t>
        </is>
      </c>
      <c r="F8593" t="inlineStr">
        <is>
          <t>BYPASS 250Kw</t>
        </is>
      </c>
      <c r="J8593" t="inlineStr">
        <is>
          <t>ROBERT</t>
        </is>
      </c>
      <c r="K8593" t="inlineStr">
        <is>
          <t>CUIVRE</t>
        </is>
      </c>
      <c r="L8593">
        <f>_xlfn.XLOOKUP(Tableau1[[#This Row],[TYPE DE PIECE]],Tableau4[MATIERE],Tableau4[SHORT TYPE],"",0,1)</f>
        <v/>
      </c>
      <c r="N8593">
        <f>IF(ISERR(FIND("DECOUPE",Tableau1[[#This Row],[DESIGNATION]])),"","NEED REF")</f>
        <v/>
      </c>
    </row>
    <row r="8594">
      <c r="B8594" t="n">
        <v>34405411</v>
      </c>
      <c r="C8594" s="2" t="n">
        <v>42643</v>
      </c>
      <c r="D8594" t="inlineStr">
        <is>
          <t>SPEC</t>
        </is>
      </c>
      <c r="E8594" t="inlineStr">
        <is>
          <t>CX L1</t>
        </is>
      </c>
      <c r="F8594" t="inlineStr">
        <is>
          <t>BYPASS 250Kw</t>
        </is>
      </c>
      <c r="J8594" t="inlineStr">
        <is>
          <t>ROBERT</t>
        </is>
      </c>
      <c r="K8594" t="inlineStr">
        <is>
          <t>CUIVRE</t>
        </is>
      </c>
      <c r="L8594">
        <f>_xlfn.XLOOKUP(Tableau1[[#This Row],[TYPE DE PIECE]],Tableau4[MATIERE],Tableau4[SHORT TYPE],"",0,1)</f>
        <v/>
      </c>
      <c r="N8594">
        <f>IF(ISERR(FIND("DECOUPE",Tableau1[[#This Row],[DESIGNATION]])),"","NEED REF")</f>
        <v/>
      </c>
    </row>
    <row r="8595">
      <c r="B8595" t="n">
        <v>34405410</v>
      </c>
      <c r="C8595" s="2" t="n">
        <v>42643</v>
      </c>
      <c r="D8595" t="inlineStr">
        <is>
          <t>SPEC</t>
        </is>
      </c>
      <c r="E8595" t="inlineStr">
        <is>
          <t>CX NEUTRE</t>
        </is>
      </c>
      <c r="F8595" t="inlineStr">
        <is>
          <t>BYPASS 250Kw</t>
        </is>
      </c>
      <c r="J8595" t="inlineStr">
        <is>
          <t>ROBERT</t>
        </is>
      </c>
      <c r="K8595" t="inlineStr">
        <is>
          <t>CUIVRE</t>
        </is>
      </c>
      <c r="L8595">
        <f>_xlfn.XLOOKUP(Tableau1[[#This Row],[TYPE DE PIECE]],Tableau4[MATIERE],Tableau4[SHORT TYPE],"",0,1)</f>
        <v/>
      </c>
      <c r="N8595">
        <f>IF(ISERR(FIND("DECOUPE",Tableau1[[#This Row],[DESIGNATION]])),"","NEED REF")</f>
        <v/>
      </c>
    </row>
    <row r="8596">
      <c r="B8596" t="n">
        <v>34405409</v>
      </c>
      <c r="C8596" s="2" t="n">
        <v>42643</v>
      </c>
      <c r="D8596" t="inlineStr">
        <is>
          <t>SPEC</t>
        </is>
      </c>
      <c r="E8596" t="inlineStr">
        <is>
          <t>TRAVERSE</t>
        </is>
      </c>
      <c r="F8596" t="inlineStr">
        <is>
          <t>BYPASS 250Kw</t>
        </is>
      </c>
      <c r="J8596" t="inlineStr">
        <is>
          <t>ROBERT</t>
        </is>
      </c>
      <c r="K8596" t="inlineStr">
        <is>
          <t>METAL</t>
        </is>
      </c>
      <c r="L8596">
        <f>_xlfn.XLOOKUP(Tableau1[[#This Row],[TYPE DE PIECE]],Tableau4[MATIERE],Tableau4[SHORT TYPE],"",0,1)</f>
        <v/>
      </c>
      <c r="N8596">
        <f>IF(ISERR(FIND("DECOUPE",Tableau1[[#This Row],[DESIGNATION]])),"","NEED REF")</f>
        <v/>
      </c>
    </row>
    <row r="8597">
      <c r="B8597" t="n">
        <v>34405408</v>
      </c>
      <c r="C8597" s="2" t="n">
        <v>42643</v>
      </c>
      <c r="D8597" t="inlineStr">
        <is>
          <t>SPEC</t>
        </is>
      </c>
      <c r="E8597" t="inlineStr">
        <is>
          <t>SUPPORT DISJONCTEUR</t>
        </is>
      </c>
      <c r="F8597" t="inlineStr">
        <is>
          <t>BYPASS 250Kw</t>
        </is>
      </c>
      <c r="J8597" t="inlineStr">
        <is>
          <t>ROBERT</t>
        </is>
      </c>
      <c r="K8597" t="inlineStr">
        <is>
          <t>METAL</t>
        </is>
      </c>
      <c r="L8597">
        <f>_xlfn.XLOOKUP(Tableau1[[#This Row],[TYPE DE PIECE]],Tableau4[MATIERE],Tableau4[SHORT TYPE],"",0,1)</f>
        <v/>
      </c>
      <c r="N8597">
        <f>IF(ISERR(FIND("DECOUPE",Tableau1[[#This Row],[DESIGNATION]])),"","NEED REF")</f>
        <v/>
      </c>
    </row>
    <row r="8598">
      <c r="B8598" t="n">
        <v>34405407</v>
      </c>
      <c r="C8598" s="2" t="n">
        <v>42643</v>
      </c>
      <c r="D8598" t="inlineStr">
        <is>
          <t>SPEC</t>
        </is>
      </c>
      <c r="E8598" t="inlineStr">
        <is>
          <t>CAPOT GAUCHE</t>
        </is>
      </c>
      <c r="F8598" t="inlineStr">
        <is>
          <t>BYPASS 250Kw</t>
        </is>
      </c>
      <c r="J8598" t="inlineStr">
        <is>
          <t>ROBERT</t>
        </is>
      </c>
      <c r="K8598" t="inlineStr">
        <is>
          <t>METAL</t>
        </is>
      </c>
      <c r="L8598">
        <f>_xlfn.XLOOKUP(Tableau1[[#This Row],[TYPE DE PIECE]],Tableau4[MATIERE],Tableau4[SHORT TYPE],"",0,1)</f>
        <v/>
      </c>
      <c r="N8598">
        <f>IF(ISERR(FIND("DECOUPE",Tableau1[[#This Row],[DESIGNATION]])),"","NEED REF")</f>
        <v/>
      </c>
    </row>
    <row r="8599">
      <c r="B8599" t="n">
        <v>34405406</v>
      </c>
      <c r="C8599" s="2" t="n">
        <v>42643</v>
      </c>
      <c r="D8599" t="inlineStr">
        <is>
          <t>SPEC</t>
        </is>
      </c>
      <c r="E8599" t="inlineStr">
        <is>
          <t>CAPOT CENTRAL</t>
        </is>
      </c>
      <c r="F8599" t="inlineStr">
        <is>
          <t>BYPASS 250Kw</t>
        </is>
      </c>
      <c r="J8599" t="inlineStr">
        <is>
          <t>ROBERT</t>
        </is>
      </c>
      <c r="K8599" t="inlineStr">
        <is>
          <t>METAL</t>
        </is>
      </c>
      <c r="L8599">
        <f>_xlfn.XLOOKUP(Tableau1[[#This Row],[TYPE DE PIECE]],Tableau4[MATIERE],Tableau4[SHORT TYPE],"",0,1)</f>
        <v/>
      </c>
      <c r="N8599">
        <f>IF(ISERR(FIND("DECOUPE",Tableau1[[#This Row],[DESIGNATION]])),"","NEED REF")</f>
        <v/>
      </c>
    </row>
    <row r="8600">
      <c r="B8600" t="n">
        <v>34405405</v>
      </c>
      <c r="C8600" s="2" t="n">
        <v>42643</v>
      </c>
      <c r="D8600" t="inlineStr">
        <is>
          <t>SPEC</t>
        </is>
      </c>
      <c r="E8600" t="inlineStr">
        <is>
          <t>CAPOT DROIT</t>
        </is>
      </c>
      <c r="F8600" t="inlineStr">
        <is>
          <t>BYPASS 250Kw</t>
        </is>
      </c>
      <c r="J8600" t="inlineStr">
        <is>
          <t>ROBERT</t>
        </is>
      </c>
      <c r="K8600" t="inlineStr">
        <is>
          <t>METAL</t>
        </is>
      </c>
      <c r="L8600">
        <f>_xlfn.XLOOKUP(Tableau1[[#This Row],[TYPE DE PIECE]],Tableau4[MATIERE],Tableau4[SHORT TYPE],"",0,1)</f>
        <v/>
      </c>
      <c r="N8600">
        <f>IF(ISERR(FIND("DECOUPE",Tableau1[[#This Row],[DESIGNATION]])),"","NEED REF")</f>
        <v/>
      </c>
    </row>
    <row r="8601">
      <c r="B8601" t="n">
        <v>34405404</v>
      </c>
      <c r="C8601" s="2" t="n">
        <v>42642</v>
      </c>
      <c r="D8601" t="inlineStr">
        <is>
          <t>NOM</t>
        </is>
      </c>
      <c r="E8601" t="inlineStr">
        <is>
          <t>BACKFEED NS G7K AVEC TI EXISTANT</t>
        </is>
      </c>
      <c r="F8601" t="inlineStr">
        <is>
          <t>NS G7K</t>
        </is>
      </c>
      <c r="J8601" t="inlineStr">
        <is>
          <t>REVEL</t>
        </is>
      </c>
      <c r="L8601">
        <f>_xlfn.XLOOKUP(Tableau1[[#This Row],[TYPE DE PIECE]],Tableau4[MATIERE],Tableau4[SHORT TYPE],"",0,1)</f>
        <v/>
      </c>
      <c r="N8601">
        <f>IF(ISERR(FIND("DECOUPE",Tableau1[[#This Row],[DESIGNATION]])),"","NEED REF")</f>
        <v/>
      </c>
    </row>
    <row r="8602">
      <c r="B8602" t="n">
        <v>34405403</v>
      </c>
      <c r="C8602" s="2" t="n">
        <v>42640</v>
      </c>
      <c r="D8602" t="inlineStr">
        <is>
          <t>SPEC</t>
        </is>
      </c>
      <c r="E8602" t="inlineStr">
        <is>
          <t>CALE 50x50 EP5 1HOLE</t>
        </is>
      </c>
      <c r="F8602" t="inlineStr">
        <is>
          <t>STS1200A</t>
        </is>
      </c>
      <c r="J8602" t="inlineStr">
        <is>
          <t>MATRION</t>
        </is>
      </c>
      <c r="K8602" t="inlineStr">
        <is>
          <t>CUIVRE</t>
        </is>
      </c>
      <c r="L8602">
        <f>_xlfn.XLOOKUP(Tableau1[[#This Row],[TYPE DE PIECE]],Tableau4[MATIERE],Tableau4[SHORT TYPE],"",0,1)</f>
        <v/>
      </c>
      <c r="N8602">
        <f>IF(ISERR(FIND("DECOUPE",Tableau1[[#This Row],[DESIGNATION]])),"","NEED REF")</f>
        <v/>
      </c>
    </row>
    <row r="8603">
      <c r="B8603" t="n">
        <v>34405402</v>
      </c>
      <c r="C8603" s="2" t="n">
        <v>42640</v>
      </c>
      <c r="D8603" t="inlineStr">
        <is>
          <t>SPEC</t>
        </is>
      </c>
      <c r="E8603" t="inlineStr">
        <is>
          <t>SUPPORT RAIL 2</t>
        </is>
      </c>
      <c r="F8603" t="inlineStr">
        <is>
          <t>STS1200A</t>
        </is>
      </c>
      <c r="J8603" t="inlineStr">
        <is>
          <t>MATRION</t>
        </is>
      </c>
      <c r="K8603" t="inlineStr">
        <is>
          <t>METAL</t>
        </is>
      </c>
      <c r="L8603">
        <f>_xlfn.XLOOKUP(Tableau1[[#This Row],[TYPE DE PIECE]],Tableau4[MATIERE],Tableau4[SHORT TYPE],"",0,1)</f>
        <v/>
      </c>
      <c r="N8603">
        <f>IF(ISERR(FIND("DECOUPE",Tableau1[[#This Row],[DESIGNATION]])),"","NEED REF")</f>
        <v/>
      </c>
    </row>
    <row r="8604">
      <c r="B8604" t="n">
        <v>34405401</v>
      </c>
      <c r="C8604" s="2" t="n">
        <v>42640</v>
      </c>
      <c r="D8604" t="inlineStr">
        <is>
          <t>SPEC</t>
        </is>
      </c>
      <c r="E8604" t="inlineStr">
        <is>
          <t>SUPPORT RAIL 1</t>
        </is>
      </c>
      <c r="F8604" t="inlineStr">
        <is>
          <t>STS1200A</t>
        </is>
      </c>
      <c r="J8604" t="inlineStr">
        <is>
          <t>MATRION</t>
        </is>
      </c>
      <c r="K8604" t="inlineStr">
        <is>
          <t>METAL</t>
        </is>
      </c>
      <c r="L8604">
        <f>_xlfn.XLOOKUP(Tableau1[[#This Row],[TYPE DE PIECE]],Tableau4[MATIERE],Tableau4[SHORT TYPE],"",0,1)</f>
        <v/>
      </c>
      <c r="N8604">
        <f>IF(ISERR(FIND("DECOUPE",Tableau1[[#This Row],[DESIGNATION]])),"","NEED REF")</f>
        <v/>
      </c>
    </row>
    <row r="8605">
      <c r="B8605" t="n">
        <v>34405400</v>
      </c>
      <c r="C8605" s="2" t="n">
        <v>42640</v>
      </c>
      <c r="D8605" t="inlineStr">
        <is>
          <t>SPEC</t>
        </is>
      </c>
      <c r="E8605" t="inlineStr">
        <is>
          <t>SUPPORT PE BAR 2</t>
        </is>
      </c>
      <c r="F8605" t="inlineStr">
        <is>
          <t>STS1200A</t>
        </is>
      </c>
      <c r="J8605" t="inlineStr">
        <is>
          <t>MATRION</t>
        </is>
      </c>
      <c r="K8605" t="inlineStr">
        <is>
          <t>METAL</t>
        </is>
      </c>
      <c r="L8605">
        <f>_xlfn.XLOOKUP(Tableau1[[#This Row],[TYPE DE PIECE]],Tableau4[MATIERE],Tableau4[SHORT TYPE],"",0,1)</f>
        <v/>
      </c>
      <c r="N8605">
        <f>IF(ISERR(FIND("DECOUPE",Tableau1[[#This Row],[DESIGNATION]])),"","NEED REF")</f>
        <v/>
      </c>
    </row>
    <row r="8606">
      <c r="B8606" t="n">
        <v>34405399</v>
      </c>
      <c r="C8606" s="2" t="n">
        <v>42640</v>
      </c>
      <c r="D8606" t="inlineStr">
        <is>
          <t>SPEC</t>
        </is>
      </c>
      <c r="E8606" t="inlineStr">
        <is>
          <t>SUPPORT PE BAR 1</t>
        </is>
      </c>
      <c r="F8606" t="inlineStr">
        <is>
          <t>STS1200A</t>
        </is>
      </c>
      <c r="J8606" t="inlineStr">
        <is>
          <t>MATRION</t>
        </is>
      </c>
      <c r="K8606" t="inlineStr">
        <is>
          <t>METAL</t>
        </is>
      </c>
      <c r="L8606">
        <f>_xlfn.XLOOKUP(Tableau1[[#This Row],[TYPE DE PIECE]],Tableau4[MATIERE],Tableau4[SHORT TYPE],"",0,1)</f>
        <v/>
      </c>
      <c r="N8606">
        <f>IF(ISERR(FIND("DECOUPE",Tableau1[[#This Row],[DESIGNATION]])),"","NEED REF")</f>
        <v/>
      </c>
    </row>
    <row r="8607">
      <c r="B8607" t="n">
        <v>34405398</v>
      </c>
      <c r="C8607" s="2" t="n">
        <v>42640</v>
      </c>
      <c r="D8607" t="inlineStr">
        <is>
          <t>SPEC</t>
        </is>
      </c>
      <c r="E8607" t="inlineStr">
        <is>
          <t>CX PE RACCORDEMENT HAUT</t>
        </is>
      </c>
      <c r="F8607" t="inlineStr">
        <is>
          <t>STS1200A</t>
        </is>
      </c>
      <c r="J8607" t="inlineStr">
        <is>
          <t>MATRION</t>
        </is>
      </c>
      <c r="K8607" t="inlineStr">
        <is>
          <t>CUIVRE</t>
        </is>
      </c>
      <c r="L8607">
        <f>_xlfn.XLOOKUP(Tableau1[[#This Row],[TYPE DE PIECE]],Tableau4[MATIERE],Tableau4[SHORT TYPE],"",0,1)</f>
        <v/>
      </c>
      <c r="N8607">
        <f>IF(ISERR(FIND("DECOUPE",Tableau1[[#This Row],[DESIGNATION]])),"","NEED REF")</f>
        <v/>
      </c>
    </row>
    <row r="8608">
      <c r="B8608" t="n">
        <v>34405397</v>
      </c>
      <c r="C8608" s="2" t="n">
        <v>42635</v>
      </c>
      <c r="D8608" t="inlineStr">
        <is>
          <t>SPEC</t>
        </is>
      </c>
      <c r="E8608" t="inlineStr">
        <is>
          <t>CX 7 DEPANNAGE SUR SITE</t>
        </is>
      </c>
      <c r="F8608" t="inlineStr">
        <is>
          <t>HUMACAO</t>
        </is>
      </c>
      <c r="J8608" t="inlineStr">
        <is>
          <t>MATRION</t>
        </is>
      </c>
      <c r="K8608" t="inlineStr">
        <is>
          <t>CUIVRE</t>
        </is>
      </c>
      <c r="L8608">
        <f>_xlfn.XLOOKUP(Tableau1[[#This Row],[TYPE DE PIECE]],Tableau4[MATIERE],Tableau4[SHORT TYPE],"",0,1)</f>
        <v/>
      </c>
      <c r="N8608">
        <f>IF(ISERR(FIND("DECOUPE",Tableau1[[#This Row],[DESIGNATION]])),"","NEED REF")</f>
        <v/>
      </c>
    </row>
    <row r="8609">
      <c r="B8609" t="n">
        <v>34405396</v>
      </c>
      <c r="C8609" s="2" t="n">
        <v>42635</v>
      </c>
      <c r="D8609" t="inlineStr">
        <is>
          <t>SPEC</t>
        </is>
      </c>
      <c r="E8609" t="inlineStr">
        <is>
          <t>CX 6 DEPANNAGE SUR SITE</t>
        </is>
      </c>
      <c r="F8609" t="inlineStr">
        <is>
          <t>HUMACAO</t>
        </is>
      </c>
      <c r="J8609" t="inlineStr">
        <is>
          <t>MATRION</t>
        </is>
      </c>
      <c r="K8609" t="inlineStr">
        <is>
          <t>CUIVRE</t>
        </is>
      </c>
      <c r="L8609">
        <f>_xlfn.XLOOKUP(Tableau1[[#This Row],[TYPE DE PIECE]],Tableau4[MATIERE],Tableau4[SHORT TYPE],"",0,1)</f>
        <v/>
      </c>
      <c r="N8609">
        <f>IF(ISERR(FIND("DECOUPE",Tableau1[[#This Row],[DESIGNATION]])),"","NEED REF")</f>
        <v/>
      </c>
    </row>
    <row r="8610">
      <c r="B8610" t="n">
        <v>34405395</v>
      </c>
      <c r="C8610" s="2" t="n">
        <v>42635</v>
      </c>
      <c r="D8610" t="inlineStr">
        <is>
          <t>SPEC</t>
        </is>
      </c>
      <c r="E8610" t="inlineStr">
        <is>
          <t>CX 5 DEPANNAGE SUR SITE</t>
        </is>
      </c>
      <c r="F8610" t="inlineStr">
        <is>
          <t>HUMACAO</t>
        </is>
      </c>
      <c r="J8610" t="inlineStr">
        <is>
          <t>MATRION</t>
        </is>
      </c>
      <c r="K8610" t="inlineStr">
        <is>
          <t>CUIVRE</t>
        </is>
      </c>
      <c r="L8610">
        <f>_xlfn.XLOOKUP(Tableau1[[#This Row],[TYPE DE PIECE]],Tableau4[MATIERE],Tableau4[SHORT TYPE],"",0,1)</f>
        <v/>
      </c>
      <c r="N8610">
        <f>IF(ISERR(FIND("DECOUPE",Tableau1[[#This Row],[DESIGNATION]])),"","NEED REF")</f>
        <v/>
      </c>
    </row>
    <row r="8611">
      <c r="B8611" t="n">
        <v>34405394</v>
      </c>
      <c r="C8611" s="2" t="n">
        <v>42635</v>
      </c>
      <c r="D8611" t="inlineStr">
        <is>
          <t>SPEC</t>
        </is>
      </c>
      <c r="E8611" t="inlineStr">
        <is>
          <t>CX 4 DEPANNAGE SUR SITE</t>
        </is>
      </c>
      <c r="F8611" t="inlineStr">
        <is>
          <t>HUMACAO</t>
        </is>
      </c>
      <c r="J8611" t="inlineStr">
        <is>
          <t>MATRION</t>
        </is>
      </c>
      <c r="K8611" t="inlineStr">
        <is>
          <t>CUIVRE</t>
        </is>
      </c>
      <c r="L8611">
        <f>_xlfn.XLOOKUP(Tableau1[[#This Row],[TYPE DE PIECE]],Tableau4[MATIERE],Tableau4[SHORT TYPE],"",0,1)</f>
        <v/>
      </c>
      <c r="N8611">
        <f>IF(ISERR(FIND("DECOUPE",Tableau1[[#This Row],[DESIGNATION]])),"","NEED REF")</f>
        <v/>
      </c>
    </row>
    <row r="8612">
      <c r="B8612" t="n">
        <v>34405393</v>
      </c>
      <c r="C8612" s="2" t="n">
        <v>42635</v>
      </c>
      <c r="D8612" t="inlineStr">
        <is>
          <t>SPEC</t>
        </is>
      </c>
      <c r="E8612" t="inlineStr">
        <is>
          <t>CX 3 DEPANNAGE SUR SITE</t>
        </is>
      </c>
      <c r="F8612" t="inlineStr">
        <is>
          <t>HUMACAO</t>
        </is>
      </c>
      <c r="J8612" t="inlineStr">
        <is>
          <t>MATRION</t>
        </is>
      </c>
      <c r="K8612" t="inlineStr">
        <is>
          <t>CUIVRE</t>
        </is>
      </c>
      <c r="L8612">
        <f>_xlfn.XLOOKUP(Tableau1[[#This Row],[TYPE DE PIECE]],Tableau4[MATIERE],Tableau4[SHORT TYPE],"",0,1)</f>
        <v/>
      </c>
      <c r="N8612">
        <f>IF(ISERR(FIND("DECOUPE",Tableau1[[#This Row],[DESIGNATION]])),"","NEED REF")</f>
        <v/>
      </c>
    </row>
    <row r="8613">
      <c r="B8613" t="n">
        <v>34405392</v>
      </c>
      <c r="C8613" s="2" t="n">
        <v>42632</v>
      </c>
      <c r="D8613" t="inlineStr">
        <is>
          <t>SPEC</t>
        </is>
      </c>
      <c r="E8613" t="inlineStr">
        <is>
          <t>SUPPORT MODULE IO</t>
        </is>
      </c>
      <c r="F8613" t="inlineStr">
        <is>
          <t>BMN de cherbourg</t>
        </is>
      </c>
      <c r="J8613" t="inlineStr">
        <is>
          <t>ROBERT</t>
        </is>
      </c>
      <c r="K8613" t="inlineStr">
        <is>
          <t>METAL</t>
        </is>
      </c>
      <c r="L8613">
        <f>_xlfn.XLOOKUP(Tableau1[[#This Row],[TYPE DE PIECE]],Tableau4[MATIERE],Tableau4[SHORT TYPE],"",0,1)</f>
        <v/>
      </c>
      <c r="N8613">
        <f>IF(ISERR(FIND("DECOUPE",Tableau1[[#This Row],[DESIGNATION]])),"","NEED REF")</f>
        <v/>
      </c>
    </row>
    <row r="8614">
      <c r="B8614" t="n">
        <v>34405391</v>
      </c>
      <c r="C8614" s="2" t="n">
        <v>42632</v>
      </c>
      <c r="D8614" t="inlineStr">
        <is>
          <t>SPEC</t>
        </is>
      </c>
      <c r="E8614" t="inlineStr">
        <is>
          <t>SUPPORT DISJONCTEUR</t>
        </is>
      </c>
      <c r="F8614" t="inlineStr">
        <is>
          <t>BMN de cherbourg</t>
        </is>
      </c>
      <c r="J8614" t="inlineStr">
        <is>
          <t>ROBERT</t>
        </is>
      </c>
      <c r="K8614" t="inlineStr">
        <is>
          <t>MATAL</t>
        </is>
      </c>
      <c r="L8614">
        <f>_xlfn.XLOOKUP(Tableau1[[#This Row],[TYPE DE PIECE]],Tableau4[MATIERE],Tableau4[SHORT TYPE],"",0,1)</f>
        <v/>
      </c>
      <c r="N8614">
        <f>IF(ISERR(FIND("DECOUPE",Tableau1[[#This Row],[DESIGNATION]])),"","NEED REF")</f>
        <v/>
      </c>
    </row>
    <row r="8615">
      <c r="B8615" t="n">
        <v>34405390</v>
      </c>
      <c r="C8615" s="2" t="n">
        <v>42629</v>
      </c>
      <c r="D8615" t="inlineStr">
        <is>
          <t>SPEC</t>
        </is>
      </c>
      <c r="E8615" t="inlineStr">
        <is>
          <t>CX 2 DEPANNAGE SUR SITE</t>
        </is>
      </c>
      <c r="F8615" t="inlineStr">
        <is>
          <t>HUMACAO</t>
        </is>
      </c>
      <c r="J8615" t="inlineStr">
        <is>
          <t>MATRION</t>
        </is>
      </c>
      <c r="K8615" t="inlineStr">
        <is>
          <t>CUIVRE</t>
        </is>
      </c>
      <c r="L8615">
        <f>_xlfn.XLOOKUP(Tableau1[[#This Row],[TYPE DE PIECE]],Tableau4[MATIERE],Tableau4[SHORT TYPE],"",0,1)</f>
        <v/>
      </c>
      <c r="N8615">
        <f>IF(ISERR(FIND("DECOUPE",Tableau1[[#This Row],[DESIGNATION]])),"","NEED REF")</f>
        <v/>
      </c>
    </row>
    <row r="8616">
      <c r="B8616" t="n">
        <v>34405389</v>
      </c>
      <c r="C8616" s="2" t="n">
        <v>42629</v>
      </c>
      <c r="D8616" t="inlineStr">
        <is>
          <t>SPEC</t>
        </is>
      </c>
      <c r="E8616" t="inlineStr">
        <is>
          <t>CX 1 DEPANNAGE SUR SITE</t>
        </is>
      </c>
      <c r="F8616" t="inlineStr">
        <is>
          <t>HUMACAO</t>
        </is>
      </c>
      <c r="J8616" t="inlineStr">
        <is>
          <t>MATRION</t>
        </is>
      </c>
      <c r="K8616" t="inlineStr">
        <is>
          <t>CUIVRE</t>
        </is>
      </c>
      <c r="L8616">
        <f>_xlfn.XLOOKUP(Tableau1[[#This Row],[TYPE DE PIECE]],Tableau4[MATIERE],Tableau4[SHORT TYPE],"",0,1)</f>
        <v/>
      </c>
      <c r="N8616">
        <f>IF(ISERR(FIND("DECOUPE",Tableau1[[#This Row],[DESIGNATION]])),"","NEED REF")</f>
        <v/>
      </c>
    </row>
    <row r="8617">
      <c r="B8617" t="n">
        <v>34405388</v>
      </c>
      <c r="C8617" s="2" t="n">
        <v>42625</v>
      </c>
      <c r="D8617" t="inlineStr">
        <is>
          <t>SPEC</t>
        </is>
      </c>
      <c r="E8617" t="inlineStr">
        <is>
          <t>PALETTE</t>
        </is>
      </c>
      <c r="F8617" t="inlineStr">
        <is>
          <t>ARMOIRE FUPACT</t>
        </is>
      </c>
      <c r="J8617" t="inlineStr">
        <is>
          <t>MATRION</t>
        </is>
      </c>
      <c r="K8617" t="inlineStr">
        <is>
          <t>PALETTE</t>
        </is>
      </c>
      <c r="L8617">
        <f>_xlfn.XLOOKUP(Tableau1[[#This Row],[TYPE DE PIECE]],Tableau4[MATIERE],Tableau4[SHORT TYPE],"",0,1)</f>
        <v/>
      </c>
      <c r="N8617">
        <f>IF(ISERR(FIND("DECOUPE",Tableau1[[#This Row],[DESIGNATION]])),"","NEED REF")</f>
        <v/>
      </c>
    </row>
    <row r="8618">
      <c r="B8618" t="n">
        <v>34405387</v>
      </c>
      <c r="C8618" s="2" t="n">
        <v>42625</v>
      </c>
      <c r="D8618" t="inlineStr">
        <is>
          <t>SPEC</t>
        </is>
      </c>
      <c r="E8618" t="inlineStr">
        <is>
          <t>PLASTRON INF200 + COMMANDE ROTATIVE</t>
        </is>
      </c>
      <c r="F8618" t="inlineStr">
        <is>
          <t>ARMOIRE FUPACT</t>
        </is>
      </c>
      <c r="J8618" t="inlineStr">
        <is>
          <t>MATRION</t>
        </is>
      </c>
      <c r="K8618" t="inlineStr">
        <is>
          <t>METAL</t>
        </is>
      </c>
      <c r="L8618">
        <f>_xlfn.XLOOKUP(Tableau1[[#This Row],[TYPE DE PIECE]],Tableau4[MATIERE],Tableau4[SHORT TYPE],"",0,1)</f>
        <v/>
      </c>
      <c r="N8618">
        <f>IF(ISERR(FIND("DECOUPE",Tableau1[[#This Row],[DESIGNATION]])),"","NEED REF")</f>
        <v/>
      </c>
    </row>
    <row r="8619">
      <c r="B8619" t="n">
        <v>34405386</v>
      </c>
      <c r="C8619" s="2" t="n">
        <v>42625</v>
      </c>
      <c r="D8619" t="inlineStr">
        <is>
          <t>SPEC</t>
        </is>
      </c>
      <c r="E8619" t="inlineStr">
        <is>
          <t>SPACIAL SF 800+400 H1800+R100 SPECIFIQUE</t>
        </is>
      </c>
      <c r="F8619" t="inlineStr">
        <is>
          <t>ARMOIRE FUPACT</t>
        </is>
      </c>
      <c r="J8619" t="inlineStr">
        <is>
          <t>MATRION</t>
        </is>
      </c>
      <c r="K8619" t="inlineStr">
        <is>
          <t>SAREL</t>
        </is>
      </c>
      <c r="L8619">
        <f>_xlfn.XLOOKUP(Tableau1[[#This Row],[TYPE DE PIECE]],Tableau4[MATIERE],Tableau4[SHORT TYPE],"",0,1)</f>
        <v/>
      </c>
      <c r="N8619">
        <f>IF(ISERR(FIND("DECOUPE",Tableau1[[#This Row],[DESIGNATION]])),"","NEED REF")</f>
        <v/>
      </c>
    </row>
    <row r="8620">
      <c r="B8620" t="n">
        <v>34405385</v>
      </c>
      <c r="C8620" s="2" t="n">
        <v>42625</v>
      </c>
      <c r="D8620" t="inlineStr">
        <is>
          <t>SPEC</t>
        </is>
      </c>
      <c r="E8620" t="inlineStr">
        <is>
          <t>PLASTRON 400 JDB</t>
        </is>
      </c>
      <c r="F8620" t="inlineStr">
        <is>
          <t>ARMOIRE FUPACT</t>
        </is>
      </c>
      <c r="J8620" t="inlineStr">
        <is>
          <t>MATRION</t>
        </is>
      </c>
      <c r="K8620" t="inlineStr">
        <is>
          <t>METAL</t>
        </is>
      </c>
      <c r="L8620">
        <f>_xlfn.XLOOKUP(Tableau1[[#This Row],[TYPE DE PIECE]],Tableau4[MATIERE],Tableau4[SHORT TYPE],"",0,1)</f>
        <v/>
      </c>
      <c r="N8620">
        <f>IF(ISERR(FIND("DECOUPE",Tableau1[[#This Row],[DESIGNATION]])),"","NEED REF")</f>
        <v/>
      </c>
    </row>
    <row r="8621">
      <c r="B8621" t="n">
        <v>34405384</v>
      </c>
      <c r="C8621" s="2" t="n">
        <v>42625</v>
      </c>
      <c r="D8621" t="inlineStr">
        <is>
          <t>SPEC</t>
        </is>
      </c>
      <c r="E8621" t="inlineStr">
        <is>
          <t>PLASTRON INF200</t>
        </is>
      </c>
      <c r="F8621" t="inlineStr">
        <is>
          <t>ARMOIRE FUPACT</t>
        </is>
      </c>
      <c r="J8621" t="inlineStr">
        <is>
          <t>MATRION</t>
        </is>
      </c>
      <c r="K8621" t="inlineStr">
        <is>
          <t>METAL</t>
        </is>
      </c>
      <c r="L8621">
        <f>_xlfn.XLOOKUP(Tableau1[[#This Row],[TYPE DE PIECE]],Tableau4[MATIERE],Tableau4[SHORT TYPE],"",0,1)</f>
        <v/>
      </c>
      <c r="N8621">
        <f>IF(ISERR(FIND("DECOUPE",Tableau1[[#This Row],[DESIGNATION]])),"","NEED REF")</f>
        <v/>
      </c>
    </row>
    <row r="8622">
      <c r="B8622" t="n">
        <v>34405383</v>
      </c>
      <c r="C8622" s="2" t="n">
        <v>42625</v>
      </c>
      <c r="D8622" t="inlineStr">
        <is>
          <t>SPEC</t>
        </is>
      </c>
      <c r="E8622" t="inlineStr">
        <is>
          <t>PLASTRON HAUT/BAS</t>
        </is>
      </c>
      <c r="F8622" t="inlineStr">
        <is>
          <t>ARMOIRE FUPACT</t>
        </is>
      </c>
      <c r="J8622" t="inlineStr">
        <is>
          <t>MATRION</t>
        </is>
      </c>
      <c r="K8622" t="inlineStr">
        <is>
          <t>METAL</t>
        </is>
      </c>
      <c r="L8622">
        <f>_xlfn.XLOOKUP(Tableau1[[#This Row],[TYPE DE PIECE]],Tableau4[MATIERE],Tableau4[SHORT TYPE],"",0,1)</f>
        <v/>
      </c>
      <c r="N8622">
        <f>IF(ISERR(FIND("DECOUPE",Tableau1[[#This Row],[DESIGNATION]])),"","NEED REF")</f>
        <v/>
      </c>
    </row>
    <row r="8623">
      <c r="B8623" t="n">
        <v>34405382</v>
      </c>
      <c r="C8623" s="2" t="n">
        <v>42625</v>
      </c>
      <c r="D8623" t="inlineStr">
        <is>
          <t>SPEC</t>
        </is>
      </c>
      <c r="E8623" t="inlineStr">
        <is>
          <t>LATERAL PROTECTION SHIELD SUPPORT</t>
        </is>
      </c>
      <c r="F8623" t="inlineStr">
        <is>
          <t>ARMOIRE FUPACT</t>
        </is>
      </c>
      <c r="J8623" t="inlineStr">
        <is>
          <t>MATRION</t>
        </is>
      </c>
      <c r="K8623" t="inlineStr">
        <is>
          <t>METAL</t>
        </is>
      </c>
      <c r="L8623">
        <f>_xlfn.XLOOKUP(Tableau1[[#This Row],[TYPE DE PIECE]],Tableau4[MATIERE],Tableau4[SHORT TYPE],"",0,1)</f>
        <v/>
      </c>
      <c r="N8623">
        <f>IF(ISERR(FIND("DECOUPE",Tableau1[[#This Row],[DESIGNATION]])),"","NEED REF")</f>
        <v/>
      </c>
    </row>
    <row r="8624">
      <c r="B8624" t="n">
        <v>34405381</v>
      </c>
      <c r="C8624" s="2" t="n">
        <v>42622</v>
      </c>
      <c r="D8624" t="inlineStr">
        <is>
          <t>SPEC</t>
        </is>
      </c>
      <c r="E8624" t="inlineStr">
        <is>
          <t>UOB AUX IN CONNECT DOUBLE AVEC BORNES</t>
        </is>
      </c>
      <c r="F8624" t="inlineStr">
        <is>
          <t xml:space="preserve">GALAXY VM  </t>
        </is>
      </c>
      <c r="J8624" t="inlineStr">
        <is>
          <t>ÇAKIR</t>
        </is>
      </c>
      <c r="L8624">
        <f>_xlfn.XLOOKUP(Tableau1[[#This Row],[TYPE DE PIECE]],Tableau4[MATIERE],Tableau4[SHORT TYPE],"",0,1)</f>
        <v/>
      </c>
      <c r="N8624">
        <f>IF(ISERR(FIND("DECOUPE",Tableau1[[#This Row],[DESIGNATION]])),"","NEED REF")</f>
        <v/>
      </c>
    </row>
    <row r="8625">
      <c r="B8625" t="n">
        <v>34405380</v>
      </c>
      <c r="C8625" s="2" t="n">
        <v>42620</v>
      </c>
      <c r="D8625" t="inlineStr">
        <is>
          <t>SPEC</t>
        </is>
      </c>
      <c r="E8625" t="inlineStr">
        <is>
          <t>FLEX B- (4)</t>
        </is>
      </c>
      <c r="F8625" t="inlineStr">
        <is>
          <t>ARMOIRE FUPACT</t>
        </is>
      </c>
      <c r="J8625" t="inlineStr">
        <is>
          <t>MATRION</t>
        </is>
      </c>
      <c r="K8625" t="inlineStr">
        <is>
          <t>CUIVRE</t>
        </is>
      </c>
      <c r="L8625">
        <f>_xlfn.XLOOKUP(Tableau1[[#This Row],[TYPE DE PIECE]],Tableau4[MATIERE],Tableau4[SHORT TYPE],"",0,1)</f>
        <v/>
      </c>
      <c r="N8625">
        <f>IF(ISERR(FIND("DECOUPE",Tableau1[[#This Row],[DESIGNATION]])),"","NEED REF")</f>
        <v/>
      </c>
    </row>
    <row r="8626">
      <c r="B8626" t="n">
        <v>34405379</v>
      </c>
      <c r="C8626" s="2" t="n">
        <v>42620</v>
      </c>
      <c r="D8626" t="inlineStr">
        <is>
          <t>SPEC</t>
        </is>
      </c>
      <c r="E8626" t="inlineStr">
        <is>
          <t>FLEX B+ (3)</t>
        </is>
      </c>
      <c r="F8626" t="inlineStr">
        <is>
          <t>ARMOIRE FUPACT</t>
        </is>
      </c>
      <c r="J8626" t="inlineStr">
        <is>
          <t>MATRION</t>
        </is>
      </c>
      <c r="K8626" t="inlineStr">
        <is>
          <t>CUIVRE</t>
        </is>
      </c>
      <c r="L8626">
        <f>_xlfn.XLOOKUP(Tableau1[[#This Row],[TYPE DE PIECE]],Tableau4[MATIERE],Tableau4[SHORT TYPE],"",0,1)</f>
        <v/>
      </c>
      <c r="N8626">
        <f>IF(ISERR(FIND("DECOUPE",Tableau1[[#This Row],[DESIGNATION]])),"","NEED REF")</f>
        <v/>
      </c>
    </row>
    <row r="8627">
      <c r="B8627" t="n">
        <v>34405378</v>
      </c>
      <c r="C8627" s="2" t="n">
        <v>42620</v>
      </c>
      <c r="D8627" t="inlineStr">
        <is>
          <t>SPEC</t>
        </is>
      </c>
      <c r="E8627" t="inlineStr">
        <is>
          <t>FLEX B+ (2)</t>
        </is>
      </c>
      <c r="F8627" t="inlineStr">
        <is>
          <t>ARMOIRE FUPACT</t>
        </is>
      </c>
      <c r="J8627" t="inlineStr">
        <is>
          <t>MATRION</t>
        </is>
      </c>
      <c r="K8627" t="inlineStr">
        <is>
          <t>CUIVRE</t>
        </is>
      </c>
      <c r="L8627">
        <f>_xlfn.XLOOKUP(Tableau1[[#This Row],[TYPE DE PIECE]],Tableau4[MATIERE],Tableau4[SHORT TYPE],"",0,1)</f>
        <v/>
      </c>
      <c r="N8627">
        <f>IF(ISERR(FIND("DECOUPE",Tableau1[[#This Row],[DESIGNATION]])),"","NEED REF")</f>
        <v/>
      </c>
    </row>
    <row r="8628">
      <c r="B8628" t="n">
        <v>34405377</v>
      </c>
      <c r="C8628" s="2" t="n">
        <v>42620</v>
      </c>
      <c r="D8628" t="inlineStr">
        <is>
          <t>SPEC</t>
        </is>
      </c>
      <c r="E8628" t="inlineStr">
        <is>
          <t>SUPPORT JDB CLIENT</t>
        </is>
      </c>
      <c r="F8628" t="inlineStr">
        <is>
          <t>ARMOIRE FUPACT</t>
        </is>
      </c>
      <c r="J8628" t="inlineStr">
        <is>
          <t>MATRION</t>
        </is>
      </c>
      <c r="K8628" t="inlineStr">
        <is>
          <t>METAL</t>
        </is>
      </c>
      <c r="L8628">
        <f>_xlfn.XLOOKUP(Tableau1[[#This Row],[TYPE DE PIECE]],Tableau4[MATIERE],Tableau4[SHORT TYPE],"",0,1)</f>
        <v/>
      </c>
      <c r="N8628">
        <f>IF(ISERR(FIND("DECOUPE",Tableau1[[#This Row],[DESIGNATION]])),"","NEED REF")</f>
        <v/>
      </c>
    </row>
    <row r="8629">
      <c r="B8629" t="n">
        <v>34405376</v>
      </c>
      <c r="C8629" s="2" t="n">
        <v>42620</v>
      </c>
      <c r="D8629" t="inlineStr">
        <is>
          <t>SPEC</t>
        </is>
      </c>
      <c r="E8629" t="inlineStr">
        <is>
          <t>SUPPORT CHEMIN DE CABLES</t>
        </is>
      </c>
      <c r="F8629" t="inlineStr">
        <is>
          <t>ARMOIRE FUPACT</t>
        </is>
      </c>
      <c r="J8629" t="inlineStr">
        <is>
          <t>MATRION</t>
        </is>
      </c>
      <c r="K8629" t="inlineStr">
        <is>
          <t>METAL</t>
        </is>
      </c>
      <c r="L8629">
        <f>_xlfn.XLOOKUP(Tableau1[[#This Row],[TYPE DE PIECE]],Tableau4[MATIERE],Tableau4[SHORT TYPE],"",0,1)</f>
        <v/>
      </c>
      <c r="N8629">
        <f>IF(ISERR(FIND("DECOUPE",Tableau1[[#This Row],[DESIGNATION]])),"","NEED REF")</f>
        <v/>
      </c>
    </row>
    <row r="8630">
      <c r="B8630" t="n">
        <v>34405375</v>
      </c>
      <c r="C8630" s="2" t="n">
        <v>42620</v>
      </c>
      <c r="D8630" t="inlineStr">
        <is>
          <t>SPEC</t>
        </is>
      </c>
      <c r="E8630" t="inlineStr">
        <is>
          <t>CX JDB CLIENT</t>
        </is>
      </c>
      <c r="F8630" t="inlineStr">
        <is>
          <t>ARMOIRE FUPACT</t>
        </is>
      </c>
      <c r="J8630" t="inlineStr">
        <is>
          <t>MATRION</t>
        </is>
      </c>
      <c r="K8630" t="inlineStr">
        <is>
          <t>CUIVRE</t>
        </is>
      </c>
      <c r="L8630">
        <f>_xlfn.XLOOKUP(Tableau1[[#This Row],[TYPE DE PIECE]],Tableau4[MATIERE],Tableau4[SHORT TYPE],"",0,1)</f>
        <v/>
      </c>
      <c r="N8630">
        <f>IF(ISERR(FIND("DECOUPE",Tableau1[[#This Row],[DESIGNATION]])),"","NEED REF")</f>
        <v/>
      </c>
    </row>
    <row r="8631">
      <c r="B8631" t="n">
        <v>34405374</v>
      </c>
      <c r="C8631" s="2" t="n">
        <v>42620</v>
      </c>
      <c r="D8631" t="inlineStr">
        <is>
          <t>SPEC</t>
        </is>
      </c>
      <c r="E8631" t="inlineStr">
        <is>
          <t>FLEX B- (1)</t>
        </is>
      </c>
      <c r="F8631" t="inlineStr">
        <is>
          <t>ARMOIRE FUPACT</t>
        </is>
      </c>
      <c r="J8631" t="inlineStr">
        <is>
          <t>MATRION</t>
        </is>
      </c>
      <c r="K8631" t="inlineStr">
        <is>
          <t>CUIVRE</t>
        </is>
      </c>
      <c r="L8631">
        <f>_xlfn.XLOOKUP(Tableau1[[#This Row],[TYPE DE PIECE]],Tableau4[MATIERE],Tableau4[SHORT TYPE],"",0,1)</f>
        <v/>
      </c>
      <c r="N8631">
        <f>IF(ISERR(FIND("DECOUPE",Tableau1[[#This Row],[DESIGNATION]])),"","NEED REF")</f>
        <v/>
      </c>
    </row>
    <row r="8632">
      <c r="B8632" t="n">
        <v>34405373</v>
      </c>
      <c r="C8632" s="2" t="n">
        <v>42620</v>
      </c>
      <c r="D8632" t="inlineStr">
        <is>
          <t>SPEC</t>
        </is>
      </c>
      <c r="E8632" t="inlineStr">
        <is>
          <t>MONTANT ARRIERE FORME A</t>
        </is>
      </c>
      <c r="F8632" t="inlineStr">
        <is>
          <t>ARMOIRE FUPACT</t>
        </is>
      </c>
      <c r="J8632" t="inlineStr">
        <is>
          <t>MATRION</t>
        </is>
      </c>
      <c r="K8632" t="inlineStr">
        <is>
          <t>METAL</t>
        </is>
      </c>
      <c r="L8632">
        <f>_xlfn.XLOOKUP(Tableau1[[#This Row],[TYPE DE PIECE]],Tableau4[MATIERE],Tableau4[SHORT TYPE],"",0,1)</f>
        <v/>
      </c>
      <c r="N8632">
        <f>IF(ISERR(FIND("DECOUPE",Tableau1[[#This Row],[DESIGNATION]])),"","NEED REF")</f>
        <v/>
      </c>
    </row>
    <row r="8633">
      <c r="B8633" t="n">
        <v>34405372</v>
      </c>
      <c r="C8633" s="2" t="n">
        <v>42620</v>
      </c>
      <c r="D8633" t="inlineStr">
        <is>
          <t>SPEC</t>
        </is>
      </c>
      <c r="E8633" t="inlineStr">
        <is>
          <t>MONTANT AVANT FORME A</t>
        </is>
      </c>
      <c r="F8633" t="inlineStr">
        <is>
          <t>ARMOIRE FUPACT</t>
        </is>
      </c>
      <c r="J8633" t="inlineStr">
        <is>
          <t>MATRION</t>
        </is>
      </c>
      <c r="K8633" t="inlineStr">
        <is>
          <t>METAL</t>
        </is>
      </c>
      <c r="L8633">
        <f>_xlfn.XLOOKUP(Tableau1[[#This Row],[TYPE DE PIECE]],Tableau4[MATIERE],Tableau4[SHORT TYPE],"",0,1)</f>
        <v/>
      </c>
      <c r="N8633">
        <f>IF(ISERR(FIND("DECOUPE",Tableau1[[#This Row],[DESIGNATION]])),"","NEED REF")</f>
        <v/>
      </c>
    </row>
    <row r="8634">
      <c r="B8634" t="n">
        <v>34405371</v>
      </c>
      <c r="C8634" s="2" t="n">
        <v>42620</v>
      </c>
      <c r="D8634" t="inlineStr">
        <is>
          <t>SPEC</t>
        </is>
      </c>
      <c r="E8634" t="inlineStr">
        <is>
          <t>PLATINE FUPACT INF200</t>
        </is>
      </c>
      <c r="F8634" t="inlineStr">
        <is>
          <t>ARMOIRE FUPACT</t>
        </is>
      </c>
      <c r="J8634" t="inlineStr">
        <is>
          <t>MATRION</t>
        </is>
      </c>
      <c r="K8634" t="inlineStr">
        <is>
          <t>METAL</t>
        </is>
      </c>
      <c r="L8634">
        <f>_xlfn.XLOOKUP(Tableau1[[#This Row],[TYPE DE PIECE]],Tableau4[MATIERE],Tableau4[SHORT TYPE],"",0,1)</f>
        <v/>
      </c>
      <c r="N8634">
        <f>IF(ISERR(FIND("DECOUPE",Tableau1[[#This Row],[DESIGNATION]])),"","NEED REF")</f>
        <v/>
      </c>
    </row>
    <row r="8635">
      <c r="B8635" t="n">
        <v>34405370</v>
      </c>
      <c r="C8635" s="2" t="n">
        <v>42620</v>
      </c>
      <c r="E8635" t="inlineStr">
        <is>
          <t>reserve</t>
        </is>
      </c>
      <c r="F8635" t="inlineStr">
        <is>
          <t>ARMOIRE FUPACT</t>
        </is>
      </c>
      <c r="J8635" t="inlineStr">
        <is>
          <t>MATRION</t>
        </is>
      </c>
      <c r="L8635">
        <f>_xlfn.XLOOKUP(Tableau1[[#This Row],[TYPE DE PIECE]],Tableau4[MATIERE],Tableau4[SHORT TYPE],"",0,1)</f>
        <v/>
      </c>
      <c r="N8635">
        <f>IF(ISERR(FIND("DECOUPE",Tableau1[[#This Row],[DESIGNATION]])),"","NEED REF")</f>
        <v/>
      </c>
    </row>
    <row r="8636">
      <c r="B8636" t="n">
        <v>34405369</v>
      </c>
      <c r="C8636" s="2" t="n">
        <v>42618</v>
      </c>
      <c r="D8636" t="inlineStr">
        <is>
          <t>SPEC</t>
        </is>
      </c>
      <c r="E8636" t="inlineStr">
        <is>
          <t>SUPPORT DROITE/GAUCHE JDB CLIENT</t>
        </is>
      </c>
      <c r="F8636" t="inlineStr">
        <is>
          <t>SOLAR</t>
        </is>
      </c>
      <c r="J8636" t="inlineStr">
        <is>
          <t>MATRION</t>
        </is>
      </c>
      <c r="K8636" t="inlineStr">
        <is>
          <t>METAL</t>
        </is>
      </c>
      <c r="L8636">
        <f>_xlfn.XLOOKUP(Tableau1[[#This Row],[TYPE DE PIECE]],Tableau4[MATIERE],Tableau4[SHORT TYPE],"",0,1)</f>
        <v/>
      </c>
      <c r="N8636">
        <f>IF(ISERR(FIND("DECOUPE",Tableau1[[#This Row],[DESIGNATION]])),"","NEED REF")</f>
        <v/>
      </c>
    </row>
    <row r="8637">
      <c r="B8637" t="n">
        <v>34405368</v>
      </c>
      <c r="C8637" s="2" t="n">
        <v>42614</v>
      </c>
      <c r="D8637" t="inlineStr">
        <is>
          <t>SPEC</t>
        </is>
      </c>
      <c r="E8637" t="inlineStr">
        <is>
          <t>CX2-SELF</t>
        </is>
      </c>
      <c r="F8637" t="inlineStr">
        <is>
          <t>NOVARTIS</t>
        </is>
      </c>
      <c r="J8637" t="inlineStr">
        <is>
          <t>ROBERT</t>
        </is>
      </c>
      <c r="K8637" t="inlineStr">
        <is>
          <t>CUIVRE</t>
        </is>
      </c>
      <c r="L8637">
        <f>_xlfn.XLOOKUP(Tableau1[[#This Row],[TYPE DE PIECE]],Tableau4[MATIERE],Tableau4[SHORT TYPE],"",0,1)</f>
        <v/>
      </c>
      <c r="N8637">
        <f>IF(ISERR(FIND("DECOUPE",Tableau1[[#This Row],[DESIGNATION]])),"","NEED REF")</f>
        <v/>
      </c>
    </row>
    <row r="8638">
      <c r="B8638" t="n">
        <v>34405367</v>
      </c>
      <c r="C8638" s="2" t="n">
        <v>42614</v>
      </c>
      <c r="D8638" t="inlineStr">
        <is>
          <t>SPEC</t>
        </is>
      </c>
      <c r="E8638" t="inlineStr">
        <is>
          <t>Plastron bas droite MBC</t>
        </is>
      </c>
      <c r="F8638" t="inlineStr">
        <is>
          <t>Armoire auxiliaire Bluedoor</t>
        </is>
      </c>
      <c r="J8638" t="inlineStr">
        <is>
          <t>DUBOIS</t>
        </is>
      </c>
      <c r="K8638" t="inlineStr">
        <is>
          <t>METAL</t>
        </is>
      </c>
      <c r="L8638">
        <f>_xlfn.XLOOKUP(Tableau1[[#This Row],[TYPE DE PIECE]],Tableau4[MATIERE],Tableau4[SHORT TYPE],"",0,1)</f>
        <v/>
      </c>
      <c r="N8638">
        <f>IF(ISERR(FIND("DECOUPE",Tableau1[[#This Row],[DESIGNATION]])),"","NEED REF")</f>
        <v/>
      </c>
    </row>
    <row r="8639">
      <c r="B8639" t="n">
        <v>34405366</v>
      </c>
      <c r="C8639" s="2" t="n">
        <v>42614</v>
      </c>
      <c r="D8639" t="inlineStr">
        <is>
          <t>SPEC</t>
        </is>
      </c>
      <c r="E8639" t="inlineStr">
        <is>
          <t>Plastron bas gauche MBC</t>
        </is>
      </c>
      <c r="F8639" t="inlineStr">
        <is>
          <t>Armoire auxiliaire Bluedoor</t>
        </is>
      </c>
      <c r="J8639" t="inlineStr">
        <is>
          <t>DUBOIS</t>
        </is>
      </c>
      <c r="K8639" t="inlineStr">
        <is>
          <t>METAL</t>
        </is>
      </c>
      <c r="L8639">
        <f>_xlfn.XLOOKUP(Tableau1[[#This Row],[TYPE DE PIECE]],Tableau4[MATIERE],Tableau4[SHORT TYPE],"",0,1)</f>
        <v/>
      </c>
      <c r="N8639">
        <f>IF(ISERR(FIND("DECOUPE",Tableau1[[#This Row],[DESIGNATION]])),"","NEED REF")</f>
        <v/>
      </c>
    </row>
    <row r="8640">
      <c r="B8640" t="n">
        <v>34405365</v>
      </c>
      <c r="C8640" s="2" t="n">
        <v>42614</v>
      </c>
      <c r="D8640" t="inlineStr">
        <is>
          <t>SPEC</t>
        </is>
      </c>
      <c r="E8640" t="inlineStr">
        <is>
          <t>Plastron milieu droite MBC</t>
        </is>
      </c>
      <c r="F8640" t="inlineStr">
        <is>
          <t>Armoire auxiliaire Bluedoor</t>
        </is>
      </c>
      <c r="J8640" t="inlineStr">
        <is>
          <t>DUBOIS</t>
        </is>
      </c>
      <c r="K8640" t="inlineStr">
        <is>
          <t>METAL</t>
        </is>
      </c>
      <c r="L8640">
        <f>_xlfn.XLOOKUP(Tableau1[[#This Row],[TYPE DE PIECE]],Tableau4[MATIERE],Tableau4[SHORT TYPE],"",0,1)</f>
        <v/>
      </c>
      <c r="N8640">
        <f>IF(ISERR(FIND("DECOUPE",Tableau1[[#This Row],[DESIGNATION]])),"","NEED REF")</f>
        <v/>
      </c>
    </row>
    <row r="8641">
      <c r="B8641" t="n">
        <v>34405364</v>
      </c>
      <c r="C8641" s="2" t="n">
        <v>42614</v>
      </c>
      <c r="D8641" t="inlineStr">
        <is>
          <t>SPEC</t>
        </is>
      </c>
      <c r="E8641" t="inlineStr">
        <is>
          <t>Plastron milieu gauche MBC</t>
        </is>
      </c>
      <c r="F8641" t="inlineStr">
        <is>
          <t>Armoire auxiliaire Bluedoor</t>
        </is>
      </c>
      <c r="J8641" t="inlineStr">
        <is>
          <t>DUBOIS</t>
        </is>
      </c>
      <c r="K8641" t="inlineStr">
        <is>
          <t>METAL</t>
        </is>
      </c>
      <c r="L8641">
        <f>_xlfn.XLOOKUP(Tableau1[[#This Row],[TYPE DE PIECE]],Tableau4[MATIERE],Tableau4[SHORT TYPE],"",0,1)</f>
        <v/>
      </c>
      <c r="N8641">
        <f>IF(ISERR(FIND("DECOUPE",Tableau1[[#This Row],[DESIGNATION]])),"","NEED REF")</f>
        <v/>
      </c>
    </row>
    <row r="8642">
      <c r="B8642" t="n">
        <v>34405363</v>
      </c>
      <c r="C8642" s="2" t="n">
        <v>42614</v>
      </c>
      <c r="D8642" t="inlineStr">
        <is>
          <t>SPEC</t>
        </is>
      </c>
      <c r="E8642" t="inlineStr">
        <is>
          <t>Plastron haut droite MBC</t>
        </is>
      </c>
      <c r="F8642" t="inlineStr">
        <is>
          <t>Armoire auxiliaire Bluedoor</t>
        </is>
      </c>
      <c r="J8642" t="inlineStr">
        <is>
          <t>DUBOIS</t>
        </is>
      </c>
      <c r="K8642" t="inlineStr">
        <is>
          <t>METAL</t>
        </is>
      </c>
      <c r="L8642">
        <f>_xlfn.XLOOKUP(Tableau1[[#This Row],[TYPE DE PIECE]],Tableau4[MATIERE],Tableau4[SHORT TYPE],"",0,1)</f>
        <v/>
      </c>
      <c r="N8642">
        <f>IF(ISERR(FIND("DECOUPE",Tableau1[[#This Row],[DESIGNATION]])),"","NEED REF")</f>
        <v/>
      </c>
    </row>
    <row r="8643">
      <c r="B8643" t="n">
        <v>34405362</v>
      </c>
      <c r="C8643" s="2" t="n">
        <v>42614</v>
      </c>
      <c r="D8643" t="inlineStr">
        <is>
          <t>SPEC</t>
        </is>
      </c>
      <c r="E8643" t="inlineStr">
        <is>
          <t>Plastron haut gauche MBC</t>
        </is>
      </c>
      <c r="F8643" t="inlineStr">
        <is>
          <t>Armoire auxiliaire Bluedoor</t>
        </is>
      </c>
      <c r="J8643" t="inlineStr">
        <is>
          <t>DUBOIS</t>
        </is>
      </c>
      <c r="K8643" t="inlineStr">
        <is>
          <t>METAL</t>
        </is>
      </c>
      <c r="L8643">
        <f>_xlfn.XLOOKUP(Tableau1[[#This Row],[TYPE DE PIECE]],Tableau4[MATIERE],Tableau4[SHORT TYPE],"",0,1)</f>
        <v/>
      </c>
      <c r="N8643">
        <f>IF(ISERR(FIND("DECOUPE",Tableau1[[#This Row],[DESIGNATION]])),"","NEED REF")</f>
        <v/>
      </c>
    </row>
    <row r="8644">
      <c r="B8644" t="n">
        <v>34405361</v>
      </c>
      <c r="C8644" s="2" t="n">
        <v>42613</v>
      </c>
      <c r="D8644" t="inlineStr">
        <is>
          <t>SPEC</t>
        </is>
      </c>
      <c r="E8644" t="inlineStr">
        <is>
          <t>CX1-SELF</t>
        </is>
      </c>
      <c r="F8644" t="inlineStr">
        <is>
          <t>NOVARTIS</t>
        </is>
      </c>
      <c r="J8644" t="inlineStr">
        <is>
          <t>ROBERT</t>
        </is>
      </c>
      <c r="L8644">
        <f>_xlfn.XLOOKUP(Tableau1[[#This Row],[TYPE DE PIECE]],Tableau4[MATIERE],Tableau4[SHORT TYPE],"",0,1)</f>
        <v/>
      </c>
      <c r="N8644">
        <f>IF(ISERR(FIND("DECOUPE",Tableau1[[#This Row],[DESIGNATION]])),"","NEED REF")</f>
        <v/>
      </c>
    </row>
    <row r="8645">
      <c r="B8645" t="n">
        <v>34405360</v>
      </c>
      <c r="C8645" s="2" t="n">
        <v>42613</v>
      </c>
      <c r="D8645" t="inlineStr">
        <is>
          <t>SPEC</t>
        </is>
      </c>
      <c r="E8645" t="inlineStr">
        <is>
          <t>CX3-CB</t>
        </is>
      </c>
      <c r="F8645" t="inlineStr">
        <is>
          <t>NOVARTIS</t>
        </is>
      </c>
      <c r="J8645" t="inlineStr">
        <is>
          <t>ROBERT</t>
        </is>
      </c>
      <c r="L8645">
        <f>_xlfn.XLOOKUP(Tableau1[[#This Row],[TYPE DE PIECE]],Tableau4[MATIERE],Tableau4[SHORT TYPE],"",0,1)</f>
        <v/>
      </c>
      <c r="N8645">
        <f>IF(ISERR(FIND("DECOUPE",Tableau1[[#This Row],[DESIGNATION]])),"","NEED REF")</f>
        <v/>
      </c>
    </row>
    <row r="8646">
      <c r="B8646" t="n">
        <v>34405359</v>
      </c>
      <c r="C8646" s="2" t="n">
        <v>42613</v>
      </c>
      <c r="D8646" t="inlineStr">
        <is>
          <t>SPEC</t>
        </is>
      </c>
      <c r="E8646" t="inlineStr">
        <is>
          <t>CX2-CB</t>
        </is>
      </c>
      <c r="F8646" t="inlineStr">
        <is>
          <t>NOVARTIS</t>
        </is>
      </c>
      <c r="J8646" t="inlineStr">
        <is>
          <t>ROBERT</t>
        </is>
      </c>
      <c r="L8646">
        <f>_xlfn.XLOOKUP(Tableau1[[#This Row],[TYPE DE PIECE]],Tableau4[MATIERE],Tableau4[SHORT TYPE],"",0,1)</f>
        <v/>
      </c>
      <c r="N8646">
        <f>IF(ISERR(FIND("DECOUPE",Tableau1[[#This Row],[DESIGNATION]])),"","NEED REF")</f>
        <v/>
      </c>
    </row>
    <row r="8647">
      <c r="B8647" t="n">
        <v>34405358</v>
      </c>
      <c r="C8647" s="2" t="n">
        <v>42613</v>
      </c>
      <c r="D8647" t="inlineStr">
        <is>
          <t>SPEC</t>
        </is>
      </c>
      <c r="E8647" t="inlineStr">
        <is>
          <t>CALE</t>
        </is>
      </c>
      <c r="F8647" t="inlineStr">
        <is>
          <t>NOVARTIS</t>
        </is>
      </c>
      <c r="J8647" t="inlineStr">
        <is>
          <t>ROBERT</t>
        </is>
      </c>
      <c r="L8647">
        <f>_xlfn.XLOOKUP(Tableau1[[#This Row],[TYPE DE PIECE]],Tableau4[MATIERE],Tableau4[SHORT TYPE],"",0,1)</f>
        <v/>
      </c>
      <c r="N8647">
        <f>IF(ISERR(FIND("DECOUPE",Tableau1[[#This Row],[DESIGNATION]])),"","NEED REF")</f>
        <v/>
      </c>
    </row>
    <row r="8648">
      <c r="B8648" t="n">
        <v>34405357</v>
      </c>
      <c r="C8648" s="2" t="n">
        <v>42613</v>
      </c>
      <c r="D8648" t="inlineStr">
        <is>
          <t>SPEC</t>
        </is>
      </c>
      <c r="E8648" t="inlineStr">
        <is>
          <t>CX1-CB</t>
        </is>
      </c>
      <c r="F8648" t="inlineStr">
        <is>
          <t>NOVARTIS</t>
        </is>
      </c>
      <c r="J8648" t="inlineStr">
        <is>
          <t>ROBERT</t>
        </is>
      </c>
      <c r="L8648">
        <f>_xlfn.XLOOKUP(Tableau1[[#This Row],[TYPE DE PIECE]],Tableau4[MATIERE],Tableau4[SHORT TYPE],"",0,1)</f>
        <v/>
      </c>
      <c r="N8648">
        <f>IF(ISERR(FIND("DECOUPE",Tableau1[[#This Row],[DESIGNATION]])),"","NEED REF")</f>
        <v/>
      </c>
    </row>
    <row r="8649">
      <c r="B8649" t="n">
        <v>34405356</v>
      </c>
      <c r="C8649" s="2" t="n">
        <v>42613</v>
      </c>
      <c r="D8649" t="inlineStr">
        <is>
          <t>SPEC</t>
        </is>
      </c>
      <c r="E8649" t="inlineStr">
        <is>
          <t xml:space="preserve">SUPPORT CIRCUIT BREAKER </t>
        </is>
      </c>
      <c r="F8649" t="inlineStr">
        <is>
          <t>NOVARTIS</t>
        </is>
      </c>
      <c r="J8649" t="inlineStr">
        <is>
          <t>ROBERT</t>
        </is>
      </c>
      <c r="K8649" t="inlineStr">
        <is>
          <t>METAL</t>
        </is>
      </c>
      <c r="L8649">
        <f>_xlfn.XLOOKUP(Tableau1[[#This Row],[TYPE DE PIECE]],Tableau4[MATIERE],Tableau4[SHORT TYPE],"",0,1)</f>
        <v/>
      </c>
      <c r="N8649">
        <f>IF(ISERR(FIND("DECOUPE",Tableau1[[#This Row],[DESIGNATION]])),"","NEED REF")</f>
        <v/>
      </c>
    </row>
    <row r="8650">
      <c r="B8650" t="n">
        <v>34405355</v>
      </c>
      <c r="C8650" s="2" t="n">
        <v>42613</v>
      </c>
      <c r="D8650" t="inlineStr">
        <is>
          <t>SPEC</t>
        </is>
      </c>
      <c r="E8650" t="inlineStr">
        <is>
          <t>TRAVERSE HORIZONTALE</t>
        </is>
      </c>
      <c r="F8650" t="inlineStr">
        <is>
          <t>NOVARTIS</t>
        </is>
      </c>
      <c r="J8650" t="inlineStr">
        <is>
          <t>ROBERT</t>
        </is>
      </c>
      <c r="K8650" t="inlineStr">
        <is>
          <t>METAL</t>
        </is>
      </c>
      <c r="L8650">
        <f>_xlfn.XLOOKUP(Tableau1[[#This Row],[TYPE DE PIECE]],Tableau4[MATIERE],Tableau4[SHORT TYPE],"",0,1)</f>
        <v/>
      </c>
      <c r="N8650">
        <f>IF(ISERR(FIND("DECOUPE",Tableau1[[#This Row],[DESIGNATION]])),"","NEED REF")</f>
        <v/>
      </c>
    </row>
    <row r="8651">
      <c r="B8651" t="n">
        <v>34405354</v>
      </c>
      <c r="C8651" s="2" t="n">
        <v>42613</v>
      </c>
      <c r="D8651" t="inlineStr">
        <is>
          <t>SPEC</t>
        </is>
      </c>
      <c r="E8651" t="inlineStr">
        <is>
          <t>SUPPORT SELF</t>
        </is>
      </c>
      <c r="F8651" t="inlineStr">
        <is>
          <t>NOVARTIS</t>
        </is>
      </c>
      <c r="J8651" t="inlineStr">
        <is>
          <t>ROBERT</t>
        </is>
      </c>
      <c r="K8651" t="inlineStr">
        <is>
          <t>METAL</t>
        </is>
      </c>
      <c r="L8651">
        <f>_xlfn.XLOOKUP(Tableau1[[#This Row],[TYPE DE PIECE]],Tableau4[MATIERE],Tableau4[SHORT TYPE],"",0,1)</f>
        <v/>
      </c>
      <c r="N8651">
        <f>IF(ISERR(FIND("DECOUPE",Tableau1[[#This Row],[DESIGNATION]])),"","NEED REF")</f>
        <v/>
      </c>
    </row>
    <row r="8652">
      <c r="B8652" t="n">
        <v>34405353</v>
      </c>
      <c r="C8652" s="2" t="n">
        <v>42613</v>
      </c>
      <c r="D8652" t="inlineStr">
        <is>
          <t>SPEC</t>
        </is>
      </c>
      <c r="E8652" t="inlineStr">
        <is>
          <t>TRAVERSE VERTICALE</t>
        </is>
      </c>
      <c r="F8652" t="inlineStr">
        <is>
          <t>NOVARTIS</t>
        </is>
      </c>
      <c r="J8652" t="inlineStr">
        <is>
          <t>ROBERT</t>
        </is>
      </c>
      <c r="K8652" t="inlineStr">
        <is>
          <t>METAL</t>
        </is>
      </c>
      <c r="L8652">
        <f>_xlfn.XLOOKUP(Tableau1[[#This Row],[TYPE DE PIECE]],Tableau4[MATIERE],Tableau4[SHORT TYPE],"",0,1)</f>
        <v/>
      </c>
      <c r="N8652">
        <f>IF(ISERR(FIND("DECOUPE",Tableau1[[#This Row],[DESIGNATION]])),"","NEED REF")</f>
        <v/>
      </c>
    </row>
    <row r="8653">
      <c r="B8653" t="n">
        <v>34405352</v>
      </c>
      <c r="C8653" s="2" t="n">
        <v>42608</v>
      </c>
      <c r="D8653" t="inlineStr">
        <is>
          <t>SPEC</t>
        </is>
      </c>
      <c r="E8653" t="inlineStr">
        <is>
          <t>cale 50 x 80</t>
        </is>
      </c>
      <c r="F8653" t="inlineStr">
        <is>
          <t>Armoire auxiliaire Bluedoor MBC</t>
        </is>
      </c>
      <c r="J8653" t="inlineStr">
        <is>
          <t>DUBOIS</t>
        </is>
      </c>
      <c r="K8653" t="inlineStr">
        <is>
          <t>Aluminium</t>
        </is>
      </c>
      <c r="L8653">
        <f>_xlfn.XLOOKUP(Tableau1[[#This Row],[TYPE DE PIECE]],Tableau4[MATIERE],Tableau4[SHORT TYPE],"",0,1)</f>
        <v/>
      </c>
      <c r="N8653">
        <f>IF(ISERR(FIND("DECOUPE",Tableau1[[#This Row],[DESIGNATION]])),"","NEED REF")</f>
        <v/>
      </c>
    </row>
    <row r="8654">
      <c r="B8654" t="n">
        <v>34405351</v>
      </c>
      <c r="C8654" s="2" t="n">
        <v>42607</v>
      </c>
      <c r="D8654" t="inlineStr">
        <is>
          <t>SPEC</t>
        </is>
      </c>
      <c r="E8654" t="inlineStr">
        <is>
          <t>cale 50 x 80</t>
        </is>
      </c>
      <c r="F8654" t="inlineStr">
        <is>
          <t>Armoire auxiliaire Bluedoor MBC</t>
        </is>
      </c>
      <c r="J8654" t="inlineStr">
        <is>
          <t>DUBOIS</t>
        </is>
      </c>
      <c r="K8654" t="inlineStr">
        <is>
          <t>Aluminium</t>
        </is>
      </c>
      <c r="L8654">
        <f>_xlfn.XLOOKUP(Tableau1[[#This Row],[TYPE DE PIECE]],Tableau4[MATIERE],Tableau4[SHORT TYPE],"",0,1)</f>
        <v/>
      </c>
      <c r="N8654">
        <f>IF(ISERR(FIND("DECOUPE",Tableau1[[#This Row],[DESIGNATION]])),"","NEED REF")</f>
        <v/>
      </c>
    </row>
    <row r="8655">
      <c r="B8655" t="n">
        <v>34405350</v>
      </c>
      <c r="C8655" s="2" t="n">
        <v>42606</v>
      </c>
      <c r="D8655" t="inlineStr">
        <is>
          <t>SPEC</t>
        </is>
      </c>
      <c r="E8655" t="inlineStr">
        <is>
          <t>CORNIERE DE LEVAGE</t>
        </is>
      </c>
      <c r="F8655" t="inlineStr">
        <is>
          <t>DATA4</t>
        </is>
      </c>
      <c r="J8655" t="inlineStr">
        <is>
          <t>MATRION</t>
        </is>
      </c>
      <c r="K8655" t="inlineStr">
        <is>
          <t>METAL</t>
        </is>
      </c>
      <c r="L8655">
        <f>_xlfn.XLOOKUP(Tableau1[[#This Row],[TYPE DE PIECE]],Tableau4[MATIERE],Tableau4[SHORT TYPE],"",0,1)</f>
        <v/>
      </c>
      <c r="N8655">
        <f>IF(ISERR(FIND("DECOUPE",Tableau1[[#This Row],[DESIGNATION]])),"","NEED REF")</f>
        <v/>
      </c>
    </row>
    <row r="8656">
      <c r="B8656" t="n">
        <v>34405349</v>
      </c>
      <c r="C8656" s="2" t="n">
        <v>42606</v>
      </c>
      <c r="D8656" t="inlineStr">
        <is>
          <t>SPEC</t>
        </is>
      </c>
      <c r="E8656" t="inlineStr">
        <is>
          <t>Barre aluminium</t>
        </is>
      </c>
      <c r="F8656" t="inlineStr">
        <is>
          <t>Armoire auxiliaire Bluedoor</t>
        </is>
      </c>
      <c r="J8656" t="inlineStr">
        <is>
          <t>MASCELLINO</t>
        </is>
      </c>
      <c r="K8656" t="inlineStr">
        <is>
          <t>Aluminium</t>
        </is>
      </c>
      <c r="L8656">
        <f>_xlfn.XLOOKUP(Tableau1[[#This Row],[TYPE DE PIECE]],Tableau4[MATIERE],Tableau4[SHORT TYPE],"",0,1)</f>
        <v/>
      </c>
      <c r="N8656">
        <f>IF(ISERR(FIND("DECOUPE",Tableau1[[#This Row],[DESIGNATION]])),"","NEED REF")</f>
        <v/>
      </c>
    </row>
    <row r="8657">
      <c r="B8657" t="n">
        <v>34405348</v>
      </c>
      <c r="C8657" s="2" t="n">
        <v>42606</v>
      </c>
      <c r="D8657" t="inlineStr">
        <is>
          <t>SPEC</t>
        </is>
      </c>
      <c r="E8657" t="inlineStr">
        <is>
          <t>Barre aluminium</t>
        </is>
      </c>
      <c r="F8657" t="inlineStr">
        <is>
          <t>Armoire auxiliaire Bluedoor</t>
        </is>
      </c>
      <c r="J8657" t="inlineStr">
        <is>
          <t>MASCELLINO</t>
        </is>
      </c>
      <c r="K8657" t="inlineStr">
        <is>
          <t>Aluminium</t>
        </is>
      </c>
      <c r="L8657">
        <f>_xlfn.XLOOKUP(Tableau1[[#This Row],[TYPE DE PIECE]],Tableau4[MATIERE],Tableau4[SHORT TYPE],"",0,1)</f>
        <v/>
      </c>
      <c r="N8657">
        <f>IF(ISERR(FIND("DECOUPE",Tableau1[[#This Row],[DESIGNATION]])),"","NEED REF")</f>
        <v/>
      </c>
    </row>
    <row r="8658">
      <c r="B8658" t="n">
        <v>34405347</v>
      </c>
      <c r="C8658" s="2" t="n">
        <v>42606</v>
      </c>
      <c r="E8658" t="inlineStr">
        <is>
          <t>Kit IP 32 armoire auxiliaire VM</t>
        </is>
      </c>
      <c r="F8658" t="inlineStr">
        <is>
          <t>VM</t>
        </is>
      </c>
      <c r="J8658" t="inlineStr">
        <is>
          <t>DUBOIS</t>
        </is>
      </c>
      <c r="L8658">
        <f>_xlfn.XLOOKUP(Tableau1[[#This Row],[TYPE DE PIECE]],Tableau4[MATIERE],Tableau4[SHORT TYPE],"",0,1)</f>
        <v/>
      </c>
      <c r="N8658">
        <f>IF(ISERR(FIND("DECOUPE",Tableau1[[#This Row],[DESIGNATION]])),"","NEED REF")</f>
        <v/>
      </c>
    </row>
    <row r="8659">
      <c r="B8659" t="n">
        <v>34405346</v>
      </c>
      <c r="C8659" s="2" t="n">
        <v>42605</v>
      </c>
      <c r="E8659" t="inlineStr">
        <is>
          <t>NS2500</t>
        </is>
      </c>
      <c r="F8659" t="inlineStr">
        <is>
          <t>Armoire auxiliaire Bluedoor</t>
        </is>
      </c>
      <c r="J8659" t="inlineStr">
        <is>
          <t>DUBOIS</t>
        </is>
      </c>
      <c r="L8659">
        <f>_xlfn.XLOOKUP(Tableau1[[#This Row],[TYPE DE PIECE]],Tableau4[MATIERE],Tableau4[SHORT TYPE],"",0,1)</f>
        <v/>
      </c>
      <c r="N8659">
        <f>IF(ISERR(FIND("DECOUPE",Tableau1[[#This Row],[DESIGNATION]])),"","NEED REF")</f>
        <v/>
      </c>
    </row>
    <row r="8660">
      <c r="B8660" t="n">
        <v>34405345</v>
      </c>
      <c r="C8660" s="2" t="n">
        <v>42605</v>
      </c>
      <c r="E8660" t="inlineStr">
        <is>
          <t>NW40</t>
        </is>
      </c>
      <c r="F8660" t="inlineStr">
        <is>
          <t>Armoire auxiliaire Bluedoor</t>
        </is>
      </c>
      <c r="J8660" t="inlineStr">
        <is>
          <t>DUBOIS</t>
        </is>
      </c>
      <c r="L8660">
        <f>_xlfn.XLOOKUP(Tableau1[[#This Row],[TYPE DE PIECE]],Tableau4[MATIERE],Tableau4[SHORT TYPE],"",0,1)</f>
        <v/>
      </c>
      <c r="N8660">
        <f>IF(ISERR(FIND("DECOUPE",Tableau1[[#This Row],[DESIGNATION]])),"","NEED REF")</f>
        <v/>
      </c>
    </row>
    <row r="8661">
      <c r="B8661" t="n">
        <v>34405344</v>
      </c>
      <c r="C8661" s="2" t="n">
        <v>42604</v>
      </c>
      <c r="D8661" t="inlineStr">
        <is>
          <t>LG</t>
        </is>
      </c>
      <c r="E8661" t="inlineStr">
        <is>
          <t>lG COFFRET DISJONCTEUR 500kVA G6000</t>
        </is>
      </c>
      <c r="F8661" t="inlineStr">
        <is>
          <t>BCB G6000</t>
        </is>
      </c>
      <c r="J8661" t="inlineStr">
        <is>
          <t>ROBERT</t>
        </is>
      </c>
      <c r="L8661">
        <f>_xlfn.XLOOKUP(Tableau1[[#This Row],[TYPE DE PIECE]],Tableau4[MATIERE],Tableau4[SHORT TYPE],"",0,1)</f>
        <v/>
      </c>
      <c r="N8661">
        <f>IF(ISERR(FIND("DECOUPE",Tableau1[[#This Row],[DESIGNATION]])),"","NEED REF")</f>
        <v/>
      </c>
    </row>
    <row r="8662">
      <c r="B8662" t="n">
        <v>34405343</v>
      </c>
      <c r="C8662" s="2" t="n">
        <v>42600</v>
      </c>
      <c r="D8662" t="inlineStr">
        <is>
          <t>SPEC</t>
        </is>
      </c>
      <c r="E8662" t="inlineStr">
        <is>
          <t>Barre aluminium</t>
        </is>
      </c>
      <c r="F8662" t="inlineStr">
        <is>
          <t>Armoire auxiliaire Bluedoor</t>
        </is>
      </c>
      <c r="J8662" t="inlineStr">
        <is>
          <t>MASCELLINO</t>
        </is>
      </c>
      <c r="K8662" t="inlineStr">
        <is>
          <t>Aluminium</t>
        </is>
      </c>
      <c r="L8662">
        <f>_xlfn.XLOOKUP(Tableau1[[#This Row],[TYPE DE PIECE]],Tableau4[MATIERE],Tableau4[SHORT TYPE],"",0,1)</f>
        <v/>
      </c>
      <c r="N8662">
        <f>IF(ISERR(FIND("DECOUPE",Tableau1[[#This Row],[DESIGNATION]])),"","NEED REF")</f>
        <v/>
      </c>
    </row>
    <row r="8663">
      <c r="B8663" t="n">
        <v>34405342</v>
      </c>
      <c r="C8663" s="2" t="n">
        <v>42600</v>
      </c>
      <c r="D8663" t="inlineStr">
        <is>
          <t>SPEC</t>
        </is>
      </c>
      <c r="E8663" t="inlineStr">
        <is>
          <t>Barre aluminium</t>
        </is>
      </c>
      <c r="F8663" t="inlineStr">
        <is>
          <t>Armoire auxiliaire Bluedoor</t>
        </is>
      </c>
      <c r="J8663" t="inlineStr">
        <is>
          <t>MASCELLINO</t>
        </is>
      </c>
      <c r="K8663" t="inlineStr">
        <is>
          <t>Aluminium</t>
        </is>
      </c>
      <c r="L8663">
        <f>_xlfn.XLOOKUP(Tableau1[[#This Row],[TYPE DE PIECE]],Tableau4[MATIERE],Tableau4[SHORT TYPE],"",0,1)</f>
        <v/>
      </c>
      <c r="N8663">
        <f>IF(ISERR(FIND("DECOUPE",Tableau1[[#This Row],[DESIGNATION]])),"","NEED REF")</f>
        <v/>
      </c>
    </row>
    <row r="8664">
      <c r="B8664" t="n">
        <v>34405341</v>
      </c>
      <c r="C8664" s="2" t="n">
        <v>42600</v>
      </c>
      <c r="D8664" t="inlineStr">
        <is>
          <t>SPEC</t>
        </is>
      </c>
      <c r="E8664" t="inlineStr">
        <is>
          <t>Barre aluminium</t>
        </is>
      </c>
      <c r="F8664" t="inlineStr">
        <is>
          <t>Armoire auxiliaire Bluedoor</t>
        </is>
      </c>
      <c r="J8664" t="inlineStr">
        <is>
          <t>MASCELLINO</t>
        </is>
      </c>
      <c r="K8664" t="inlineStr">
        <is>
          <t>Aluminium</t>
        </is>
      </c>
      <c r="L8664">
        <f>_xlfn.XLOOKUP(Tableau1[[#This Row],[TYPE DE PIECE]],Tableau4[MATIERE],Tableau4[SHORT TYPE],"",0,1)</f>
        <v/>
      </c>
      <c r="N8664">
        <f>IF(ISERR(FIND("DECOUPE",Tableau1[[#This Row],[DESIGNATION]])),"","NEED REF")</f>
        <v/>
      </c>
    </row>
    <row r="8665">
      <c r="B8665" t="n">
        <v>34405340</v>
      </c>
      <c r="C8665" s="2" t="n">
        <v>42600</v>
      </c>
      <c r="D8665" t="inlineStr">
        <is>
          <t>SPEC</t>
        </is>
      </c>
      <c r="E8665" t="inlineStr">
        <is>
          <t>Barre aluminium</t>
        </is>
      </c>
      <c r="F8665" t="inlineStr">
        <is>
          <t>Armoire auxiliaire Bluedoor</t>
        </is>
      </c>
      <c r="J8665" t="inlineStr">
        <is>
          <t>MASCELLINO</t>
        </is>
      </c>
      <c r="K8665" t="inlineStr">
        <is>
          <t>Aluminium</t>
        </is>
      </c>
      <c r="L8665">
        <f>_xlfn.XLOOKUP(Tableau1[[#This Row],[TYPE DE PIECE]],Tableau4[MATIERE],Tableau4[SHORT TYPE],"",0,1)</f>
        <v/>
      </c>
      <c r="N8665">
        <f>IF(ISERR(FIND("DECOUPE",Tableau1[[#This Row],[DESIGNATION]])),"","NEED REF")</f>
        <v/>
      </c>
    </row>
    <row r="8666">
      <c r="B8666" t="n">
        <v>34405339</v>
      </c>
      <c r="C8666" s="2" t="n">
        <v>42598</v>
      </c>
      <c r="D8666" t="inlineStr">
        <is>
          <t>SPEC</t>
        </is>
      </c>
      <c r="E8666" t="inlineStr">
        <is>
          <t>Emballage portes XC</t>
        </is>
      </c>
      <c r="F8666" t="inlineStr">
        <is>
          <t>XC</t>
        </is>
      </c>
      <c r="J8666" t="inlineStr">
        <is>
          <t>REIN</t>
        </is>
      </c>
      <c r="K8666" t="inlineStr">
        <is>
          <t>Emballage</t>
        </is>
      </c>
      <c r="L8666">
        <f>_xlfn.XLOOKUP(Tableau1[[#This Row],[TYPE DE PIECE]],Tableau4[MATIERE],Tableau4[SHORT TYPE],"",0,1)</f>
        <v/>
      </c>
      <c r="N8666">
        <f>IF(ISERR(FIND("DECOUPE",Tableau1[[#This Row],[DESIGNATION]])),"","NEED REF")</f>
        <v/>
      </c>
    </row>
    <row r="8667">
      <c r="B8667" t="n">
        <v>34405338</v>
      </c>
      <c r="C8667" s="2" t="n">
        <v>42598</v>
      </c>
      <c r="D8667" t="inlineStr">
        <is>
          <t>SPEC</t>
        </is>
      </c>
      <c r="E8667" t="inlineStr">
        <is>
          <t>Barre aluminium</t>
        </is>
      </c>
      <c r="F8667" t="inlineStr">
        <is>
          <t>Armoire auxiliaire Bluedoor</t>
        </is>
      </c>
      <c r="J8667" t="inlineStr">
        <is>
          <t>MASCELLINO</t>
        </is>
      </c>
      <c r="K8667" t="inlineStr">
        <is>
          <t>Aluminium</t>
        </is>
      </c>
      <c r="L8667">
        <f>_xlfn.XLOOKUP(Tableau1[[#This Row],[TYPE DE PIECE]],Tableau4[MATIERE],Tableau4[SHORT TYPE],"",0,1)</f>
        <v/>
      </c>
      <c r="N8667">
        <f>IF(ISERR(FIND("DECOUPE",Tableau1[[#This Row],[DESIGNATION]])),"","NEED REF")</f>
        <v/>
      </c>
    </row>
    <row r="8668">
      <c r="B8668" t="n">
        <v>34405337</v>
      </c>
      <c r="C8668" s="2" t="n">
        <v>42598</v>
      </c>
      <c r="D8668" t="inlineStr">
        <is>
          <t>SPEC</t>
        </is>
      </c>
      <c r="E8668" t="inlineStr">
        <is>
          <t>Barre aluminium</t>
        </is>
      </c>
      <c r="F8668" t="inlineStr">
        <is>
          <t>Armoire auxiliaire Bluedoor</t>
        </is>
      </c>
      <c r="J8668" t="inlineStr">
        <is>
          <t>MASCELLINO</t>
        </is>
      </c>
      <c r="K8668" t="inlineStr">
        <is>
          <t>Aluminium</t>
        </is>
      </c>
      <c r="L8668">
        <f>_xlfn.XLOOKUP(Tableau1[[#This Row],[TYPE DE PIECE]],Tableau4[MATIERE],Tableau4[SHORT TYPE],"",0,1)</f>
        <v/>
      </c>
      <c r="N8668">
        <f>IF(ISERR(FIND("DECOUPE",Tableau1[[#This Row],[DESIGNATION]])),"","NEED REF")</f>
        <v/>
      </c>
    </row>
    <row r="8669">
      <c r="B8669" t="n">
        <v>34405336</v>
      </c>
      <c r="C8669" s="2" t="n">
        <v>42598</v>
      </c>
      <c r="D8669" t="inlineStr">
        <is>
          <t>SPEC</t>
        </is>
      </c>
      <c r="E8669" t="inlineStr">
        <is>
          <t>Barre aluminium</t>
        </is>
      </c>
      <c r="F8669" t="inlineStr">
        <is>
          <t>Armoire auxiliaire Bluedoor</t>
        </is>
      </c>
      <c r="J8669" t="inlineStr">
        <is>
          <t>MASCELLINO</t>
        </is>
      </c>
      <c r="K8669" t="inlineStr">
        <is>
          <t>Aluminium</t>
        </is>
      </c>
      <c r="L8669">
        <f>_xlfn.XLOOKUP(Tableau1[[#This Row],[TYPE DE PIECE]],Tableau4[MATIERE],Tableau4[SHORT TYPE],"",0,1)</f>
        <v/>
      </c>
      <c r="N8669">
        <f>IF(ISERR(FIND("DECOUPE",Tableau1[[#This Row],[DESIGNATION]])),"","NEED REF")</f>
        <v/>
      </c>
    </row>
    <row r="8670">
      <c r="B8670" t="n">
        <v>34405335</v>
      </c>
      <c r="C8670" s="2" t="n">
        <v>42598</v>
      </c>
      <c r="D8670" t="inlineStr">
        <is>
          <t>SPEC</t>
        </is>
      </c>
      <c r="E8670" t="inlineStr">
        <is>
          <t>Barre aluminium</t>
        </is>
      </c>
      <c r="F8670" t="inlineStr">
        <is>
          <t>Armoire auxiliaire Bluedoor</t>
        </is>
      </c>
      <c r="J8670" t="inlineStr">
        <is>
          <t>MASCELLINO</t>
        </is>
      </c>
      <c r="K8670" t="inlineStr">
        <is>
          <t>Aluminium</t>
        </is>
      </c>
      <c r="L8670">
        <f>_xlfn.XLOOKUP(Tableau1[[#This Row],[TYPE DE PIECE]],Tableau4[MATIERE],Tableau4[SHORT TYPE],"",0,1)</f>
        <v/>
      </c>
      <c r="N8670">
        <f>IF(ISERR(FIND("DECOUPE",Tableau1[[#This Row],[DESIGNATION]])),"","NEED REF")</f>
        <v/>
      </c>
    </row>
    <row r="8671">
      <c r="B8671" t="n">
        <v>34405334</v>
      </c>
      <c r="C8671" s="2" t="n">
        <v>42598</v>
      </c>
      <c r="D8671" t="inlineStr">
        <is>
          <t>SPEC</t>
        </is>
      </c>
      <c r="E8671" t="inlineStr">
        <is>
          <t>Barre aluminium</t>
        </is>
      </c>
      <c r="F8671" t="inlineStr">
        <is>
          <t>Armoire auxiliaire Bluedoor</t>
        </is>
      </c>
      <c r="J8671" t="inlineStr">
        <is>
          <t>MASCELLINO</t>
        </is>
      </c>
      <c r="K8671" t="inlineStr">
        <is>
          <t>Aluminium</t>
        </is>
      </c>
      <c r="L8671">
        <f>_xlfn.XLOOKUP(Tableau1[[#This Row],[TYPE DE PIECE]],Tableau4[MATIERE],Tableau4[SHORT TYPE],"",0,1)</f>
        <v/>
      </c>
      <c r="N8671">
        <f>IF(ISERR(FIND("DECOUPE",Tableau1[[#This Row],[DESIGNATION]])),"","NEED REF")</f>
        <v/>
      </c>
    </row>
    <row r="8672">
      <c r="B8672" t="n">
        <v>34405333</v>
      </c>
      <c r="C8672" s="2" t="n">
        <v>42594</v>
      </c>
      <c r="D8672" t="inlineStr">
        <is>
          <t>SPEC</t>
        </is>
      </c>
      <c r="E8672" t="inlineStr">
        <is>
          <t>Barre aluminium</t>
        </is>
      </c>
      <c r="F8672" t="inlineStr">
        <is>
          <t>Armoire auxiliaire Bluedoor</t>
        </is>
      </c>
      <c r="J8672" t="inlineStr">
        <is>
          <t>MASCELLINO</t>
        </is>
      </c>
      <c r="K8672" t="inlineStr">
        <is>
          <t>Aluminium</t>
        </is>
      </c>
      <c r="L8672">
        <f>_xlfn.XLOOKUP(Tableau1[[#This Row],[TYPE DE PIECE]],Tableau4[MATIERE],Tableau4[SHORT TYPE],"",0,1)</f>
        <v/>
      </c>
      <c r="N8672">
        <f>IF(ISERR(FIND("DECOUPE",Tableau1[[#This Row],[DESIGNATION]])),"","NEED REF")</f>
        <v/>
      </c>
    </row>
    <row r="8673">
      <c r="B8673" t="n">
        <v>34405332</v>
      </c>
      <c r="C8673" s="2" t="n">
        <v>42594</v>
      </c>
      <c r="D8673" t="inlineStr">
        <is>
          <t>SPEC</t>
        </is>
      </c>
      <c r="E8673" t="inlineStr">
        <is>
          <t>Barre aluminium</t>
        </is>
      </c>
      <c r="F8673" t="inlineStr">
        <is>
          <t>Armoire auxiliaire Bluedoor</t>
        </is>
      </c>
      <c r="J8673" t="inlineStr">
        <is>
          <t>MASCELLINO</t>
        </is>
      </c>
      <c r="K8673" t="inlineStr">
        <is>
          <t>Aluminium</t>
        </is>
      </c>
      <c r="L8673">
        <f>_xlfn.XLOOKUP(Tableau1[[#This Row],[TYPE DE PIECE]],Tableau4[MATIERE],Tableau4[SHORT TYPE],"",0,1)</f>
        <v/>
      </c>
      <c r="N8673">
        <f>IF(ISERR(FIND("DECOUPE",Tableau1[[#This Row],[DESIGNATION]])),"","NEED REF")</f>
        <v/>
      </c>
    </row>
    <row r="8674">
      <c r="B8674" t="n">
        <v>34405331</v>
      </c>
      <c r="C8674" s="2" t="n">
        <v>42594</v>
      </c>
      <c r="D8674" t="inlineStr">
        <is>
          <t>SPEC</t>
        </is>
      </c>
      <c r="E8674" t="inlineStr">
        <is>
          <t>Barre aluminium</t>
        </is>
      </c>
      <c r="F8674" t="inlineStr">
        <is>
          <t>Armoire auxiliaire Bluedoor</t>
        </is>
      </c>
      <c r="J8674" t="inlineStr">
        <is>
          <t>MASCELLINO</t>
        </is>
      </c>
      <c r="K8674" t="inlineStr">
        <is>
          <t>Aluminium</t>
        </is>
      </c>
      <c r="L8674">
        <f>_xlfn.XLOOKUP(Tableau1[[#This Row],[TYPE DE PIECE]],Tableau4[MATIERE],Tableau4[SHORT TYPE],"",0,1)</f>
        <v/>
      </c>
      <c r="N8674">
        <f>IF(ISERR(FIND("DECOUPE",Tableau1[[#This Row],[DESIGNATION]])),"","NEED REF")</f>
        <v/>
      </c>
    </row>
    <row r="8675">
      <c r="B8675" t="n">
        <v>34405330</v>
      </c>
      <c r="C8675" s="2" t="n">
        <v>42594</v>
      </c>
      <c r="D8675" t="inlineStr">
        <is>
          <t>SPEC</t>
        </is>
      </c>
      <c r="E8675" t="inlineStr">
        <is>
          <t>Barre aluminium</t>
        </is>
      </c>
      <c r="F8675" t="inlineStr">
        <is>
          <t>Armoire auxiliaire Bluedoor</t>
        </is>
      </c>
      <c r="J8675" t="inlineStr">
        <is>
          <t>MASCELLINO</t>
        </is>
      </c>
      <c r="K8675" t="inlineStr">
        <is>
          <t>Aluminium</t>
        </is>
      </c>
      <c r="L8675">
        <f>_xlfn.XLOOKUP(Tableau1[[#This Row],[TYPE DE PIECE]],Tableau4[MATIERE],Tableau4[SHORT TYPE],"",0,1)</f>
        <v/>
      </c>
      <c r="N8675">
        <f>IF(ISERR(FIND("DECOUPE",Tableau1[[#This Row],[DESIGNATION]])),"","NEED REF")</f>
        <v/>
      </c>
    </row>
    <row r="8676">
      <c r="B8676" t="n">
        <v>34405329</v>
      </c>
      <c r="C8676" s="2" t="n">
        <v>42594</v>
      </c>
      <c r="D8676" t="inlineStr">
        <is>
          <t>SPEC</t>
        </is>
      </c>
      <c r="E8676" t="inlineStr">
        <is>
          <t>Barre aluminium</t>
        </is>
      </c>
      <c r="F8676" t="inlineStr">
        <is>
          <t>Armoire auxiliaire Bluedoor</t>
        </is>
      </c>
      <c r="J8676" t="inlineStr">
        <is>
          <t>MASCELLINO</t>
        </is>
      </c>
      <c r="K8676" t="inlineStr">
        <is>
          <t>Aluminium</t>
        </is>
      </c>
      <c r="L8676">
        <f>_xlfn.XLOOKUP(Tableau1[[#This Row],[TYPE DE PIECE]],Tableau4[MATIERE],Tableau4[SHORT TYPE],"",0,1)</f>
        <v/>
      </c>
      <c r="N8676">
        <f>IF(ISERR(FIND("DECOUPE",Tableau1[[#This Row],[DESIGNATION]])),"","NEED REF")</f>
        <v/>
      </c>
    </row>
    <row r="8677">
      <c r="B8677" t="n">
        <v>34405328</v>
      </c>
      <c r="C8677" s="2" t="n">
        <v>42594</v>
      </c>
      <c r="D8677" t="inlineStr">
        <is>
          <t>SPEC</t>
        </is>
      </c>
      <c r="E8677" t="inlineStr">
        <is>
          <t>Traverse</t>
        </is>
      </c>
      <c r="F8677" t="inlineStr">
        <is>
          <t>Armoire auxiliaire Bluedoor MBC</t>
        </is>
      </c>
      <c r="J8677" t="inlineStr">
        <is>
          <t>DUBOIS</t>
        </is>
      </c>
      <c r="K8677" t="inlineStr">
        <is>
          <t>Metal</t>
        </is>
      </c>
      <c r="L8677">
        <f>_xlfn.XLOOKUP(Tableau1[[#This Row],[TYPE DE PIECE]],Tableau4[MATIERE],Tableau4[SHORT TYPE],"",0,1)</f>
        <v/>
      </c>
      <c r="N8677">
        <f>IF(ISERR(FIND("DECOUPE",Tableau1[[#This Row],[DESIGNATION]])),"","NEED REF")</f>
        <v/>
      </c>
    </row>
    <row r="8678">
      <c r="B8678" t="n">
        <v>34405327</v>
      </c>
      <c r="C8678" s="2" t="n">
        <v>42594</v>
      </c>
      <c r="D8678" t="inlineStr">
        <is>
          <t>SPEC</t>
        </is>
      </c>
      <c r="E8678" t="inlineStr">
        <is>
          <t>Traverse</t>
        </is>
      </c>
      <c r="F8678" t="inlineStr">
        <is>
          <t>Armoire auxiliaire Bluedoor MBC</t>
        </is>
      </c>
      <c r="J8678" t="inlineStr">
        <is>
          <t>DUBOIS</t>
        </is>
      </c>
      <c r="K8678" t="inlineStr">
        <is>
          <t>Metal</t>
        </is>
      </c>
      <c r="L8678">
        <f>_xlfn.XLOOKUP(Tableau1[[#This Row],[TYPE DE PIECE]],Tableau4[MATIERE],Tableau4[SHORT TYPE],"",0,1)</f>
        <v/>
      </c>
      <c r="N8678">
        <f>IF(ISERR(FIND("DECOUPE",Tableau1[[#This Row],[DESIGNATION]])),"","NEED REF")</f>
        <v/>
      </c>
    </row>
    <row r="8679">
      <c r="B8679" t="n">
        <v>34405326</v>
      </c>
      <c r="C8679" s="2" t="n">
        <v>42594</v>
      </c>
      <c r="D8679" t="inlineStr">
        <is>
          <t>SPEC</t>
        </is>
      </c>
      <c r="E8679" t="inlineStr">
        <is>
          <t>Traverse</t>
        </is>
      </c>
      <c r="F8679" t="inlineStr">
        <is>
          <t>Armoire auxiliaire Bluedoor MBC</t>
        </is>
      </c>
      <c r="J8679" t="inlineStr">
        <is>
          <t>DUBOIS</t>
        </is>
      </c>
      <c r="K8679" t="inlineStr">
        <is>
          <t>Metal</t>
        </is>
      </c>
      <c r="L8679">
        <f>_xlfn.XLOOKUP(Tableau1[[#This Row],[TYPE DE PIECE]],Tableau4[MATIERE],Tableau4[SHORT TYPE],"",0,1)</f>
        <v/>
      </c>
      <c r="N8679">
        <f>IF(ISERR(FIND("DECOUPE",Tableau1[[#This Row],[DESIGNATION]])),"","NEED REF")</f>
        <v/>
      </c>
    </row>
    <row r="8680">
      <c r="B8680" t="n">
        <v>34405325</v>
      </c>
      <c r="C8680" s="2" t="n">
        <v>42594</v>
      </c>
      <c r="D8680" t="inlineStr">
        <is>
          <t>SPEC</t>
        </is>
      </c>
      <c r="E8680" t="inlineStr">
        <is>
          <t>Traverse</t>
        </is>
      </c>
      <c r="F8680" t="inlineStr">
        <is>
          <t>Armoire auxiliaire Bluedoor MBC</t>
        </is>
      </c>
      <c r="J8680" t="inlineStr">
        <is>
          <t>DUBOIS</t>
        </is>
      </c>
      <c r="K8680" t="inlineStr">
        <is>
          <t>Metal</t>
        </is>
      </c>
      <c r="L8680">
        <f>_xlfn.XLOOKUP(Tableau1[[#This Row],[TYPE DE PIECE]],Tableau4[MATIERE],Tableau4[SHORT TYPE],"",0,1)</f>
        <v/>
      </c>
      <c r="N8680">
        <f>IF(ISERR(FIND("DECOUPE",Tableau1[[#This Row],[DESIGNATION]])),"","NEED REF")</f>
        <v/>
      </c>
    </row>
    <row r="8681">
      <c r="B8681" t="n">
        <v>34405324</v>
      </c>
      <c r="C8681" s="2" t="n">
        <v>42594</v>
      </c>
      <c r="D8681" t="inlineStr">
        <is>
          <t>SPEC</t>
        </is>
      </c>
      <c r="E8681" t="inlineStr">
        <is>
          <t>Traverse</t>
        </is>
      </c>
      <c r="F8681" t="inlineStr">
        <is>
          <t>Armoire auxiliaire Bluedoor MBC</t>
        </is>
      </c>
      <c r="J8681" t="inlineStr">
        <is>
          <t>DUBOIS</t>
        </is>
      </c>
      <c r="K8681" t="inlineStr">
        <is>
          <t>Metal</t>
        </is>
      </c>
      <c r="L8681">
        <f>_xlfn.XLOOKUP(Tableau1[[#This Row],[TYPE DE PIECE]],Tableau4[MATIERE],Tableau4[SHORT TYPE],"",0,1)</f>
        <v/>
      </c>
      <c r="N8681">
        <f>IF(ISERR(FIND("DECOUPE",Tableau1[[#This Row],[DESIGNATION]])),"","NEED REF")</f>
        <v/>
      </c>
    </row>
    <row r="8682">
      <c r="B8682" t="n">
        <v>34405323</v>
      </c>
      <c r="C8682" s="2" t="n">
        <v>42594</v>
      </c>
      <c r="D8682" t="inlineStr">
        <is>
          <t>SPEC</t>
        </is>
      </c>
      <c r="E8682" t="inlineStr">
        <is>
          <t>Traverse</t>
        </is>
      </c>
      <c r="F8682" t="inlineStr">
        <is>
          <t>Armoire auxiliaire Bluedoor MBC</t>
        </is>
      </c>
      <c r="J8682" t="inlineStr">
        <is>
          <t>DUBOIS</t>
        </is>
      </c>
      <c r="K8682" t="inlineStr">
        <is>
          <t>Metal</t>
        </is>
      </c>
      <c r="L8682">
        <f>_xlfn.XLOOKUP(Tableau1[[#This Row],[TYPE DE PIECE]],Tableau4[MATIERE],Tableau4[SHORT TYPE],"",0,1)</f>
        <v/>
      </c>
      <c r="N8682">
        <f>IF(ISERR(FIND("DECOUPE",Tableau1[[#This Row],[DESIGNATION]])),"","NEED REF")</f>
        <v/>
      </c>
    </row>
    <row r="8683">
      <c r="B8683" t="n">
        <v>34405322</v>
      </c>
      <c r="C8683" s="2" t="n">
        <v>42594</v>
      </c>
      <c r="D8683" t="inlineStr">
        <is>
          <t>SPEC</t>
        </is>
      </c>
      <c r="E8683" t="inlineStr">
        <is>
          <t>Traverse</t>
        </is>
      </c>
      <c r="F8683" t="inlineStr">
        <is>
          <t>Armoire auxiliaire Bluedoor MBC</t>
        </is>
      </c>
      <c r="J8683" t="inlineStr">
        <is>
          <t>DUBOIS</t>
        </is>
      </c>
      <c r="K8683" t="inlineStr">
        <is>
          <t>Metal</t>
        </is>
      </c>
      <c r="L8683">
        <f>_xlfn.XLOOKUP(Tableau1[[#This Row],[TYPE DE PIECE]],Tableau4[MATIERE],Tableau4[SHORT TYPE],"",0,1)</f>
        <v/>
      </c>
      <c r="N8683">
        <f>IF(ISERR(FIND("DECOUPE",Tableau1[[#This Row],[DESIGNATION]])),"","NEED REF")</f>
        <v/>
      </c>
    </row>
    <row r="8684">
      <c r="B8684" t="n">
        <v>34405321</v>
      </c>
      <c r="C8684" s="2" t="n">
        <v>42594</v>
      </c>
      <c r="D8684" t="inlineStr">
        <is>
          <t>SPEC</t>
        </is>
      </c>
      <c r="E8684" t="inlineStr">
        <is>
          <t>Traverse</t>
        </is>
      </c>
      <c r="F8684" t="inlineStr">
        <is>
          <t>Armoire auxiliaire Bluedoor MBC</t>
        </is>
      </c>
      <c r="J8684" t="inlineStr">
        <is>
          <t>DUBOIS</t>
        </is>
      </c>
      <c r="K8684" t="inlineStr">
        <is>
          <t>Metal</t>
        </is>
      </c>
      <c r="L8684">
        <f>_xlfn.XLOOKUP(Tableau1[[#This Row],[TYPE DE PIECE]],Tableau4[MATIERE],Tableau4[SHORT TYPE],"",0,1)</f>
        <v/>
      </c>
      <c r="N8684">
        <f>IF(ISERR(FIND("DECOUPE",Tableau1[[#This Row],[DESIGNATION]])),"","NEED REF")</f>
        <v/>
      </c>
    </row>
    <row r="8685">
      <c r="B8685" t="n">
        <v>34405320</v>
      </c>
      <c r="C8685" s="2" t="n">
        <v>42594</v>
      </c>
      <c r="D8685" t="inlineStr">
        <is>
          <t>SPEC</t>
        </is>
      </c>
      <c r="E8685" t="inlineStr">
        <is>
          <t>Platine inter</t>
        </is>
      </c>
      <c r="F8685" t="inlineStr">
        <is>
          <t>Armoire auxiliaire Bluedoor MBC</t>
        </is>
      </c>
      <c r="J8685" t="inlineStr">
        <is>
          <t>DUBOIS</t>
        </is>
      </c>
      <c r="K8685" t="inlineStr">
        <is>
          <t>Metal</t>
        </is>
      </c>
      <c r="L8685">
        <f>_xlfn.XLOOKUP(Tableau1[[#This Row],[TYPE DE PIECE]],Tableau4[MATIERE],Tableau4[SHORT TYPE],"",0,1)</f>
        <v/>
      </c>
      <c r="N8685">
        <f>IF(ISERR(FIND("DECOUPE",Tableau1[[#This Row],[DESIGNATION]])),"","NEED REF")</f>
        <v/>
      </c>
    </row>
    <row r="8686">
      <c r="B8686" t="n">
        <v>34405319</v>
      </c>
      <c r="C8686" s="2" t="n"/>
      <c r="E8686" t="inlineStr">
        <is>
          <t>reservé</t>
        </is>
      </c>
      <c r="L8686">
        <f>_xlfn.XLOOKUP(Tableau1[[#This Row],[TYPE DE PIECE]],Tableau4[MATIERE],Tableau4[SHORT TYPE],"",0,1)</f>
        <v/>
      </c>
      <c r="N8686">
        <f>IF(ISERR(FIND("DECOUPE",Tableau1[[#This Row],[DESIGNATION]])),"","NEED REF")</f>
        <v/>
      </c>
    </row>
    <row r="8687">
      <c r="B8687" t="n">
        <v>34405318</v>
      </c>
      <c r="C8687" s="2" t="n">
        <v>42594</v>
      </c>
      <c r="D8687" t="inlineStr">
        <is>
          <t>SPEC</t>
        </is>
      </c>
      <c r="E8687" t="inlineStr">
        <is>
          <t>Traverse</t>
        </is>
      </c>
      <c r="F8687" t="inlineStr">
        <is>
          <t>Armoire auxiliaire Bluedoor MBC</t>
        </is>
      </c>
      <c r="J8687" t="inlineStr">
        <is>
          <t>DUBOIS</t>
        </is>
      </c>
      <c r="K8687" t="inlineStr">
        <is>
          <t>Metal</t>
        </is>
      </c>
      <c r="L8687">
        <f>_xlfn.XLOOKUP(Tableau1[[#This Row],[TYPE DE PIECE]],Tableau4[MATIERE],Tableau4[SHORT TYPE],"",0,1)</f>
        <v/>
      </c>
      <c r="N8687">
        <f>IF(ISERR(FIND("DECOUPE",Tableau1[[#This Row],[DESIGNATION]])),"","NEED REF")</f>
        <v/>
      </c>
    </row>
    <row r="8688">
      <c r="B8688" t="n">
        <v>34405317</v>
      </c>
      <c r="C8688" s="2" t="n">
        <v>42593</v>
      </c>
      <c r="D8688" t="inlineStr">
        <is>
          <t>SPEC</t>
        </is>
      </c>
      <c r="E8688" t="inlineStr">
        <is>
          <t>Barre Aluminium</t>
        </is>
      </c>
      <c r="F8688" t="inlineStr">
        <is>
          <t>Armoire auxiliaire Bluedoor MBC</t>
        </is>
      </c>
      <c r="J8688" t="inlineStr">
        <is>
          <t>DUBOIS</t>
        </is>
      </c>
      <c r="K8688" t="inlineStr">
        <is>
          <t>Aluminium</t>
        </is>
      </c>
      <c r="L8688">
        <f>_xlfn.XLOOKUP(Tableau1[[#This Row],[TYPE DE PIECE]],Tableau4[MATIERE],Tableau4[SHORT TYPE],"",0,1)</f>
        <v/>
      </c>
      <c r="N8688">
        <f>IF(ISERR(FIND("DECOUPE",Tableau1[[#This Row],[DESIGNATION]])),"","NEED REF")</f>
        <v/>
      </c>
    </row>
    <row r="8689">
      <c r="B8689" t="n">
        <v>34405316</v>
      </c>
      <c r="C8689" s="2" t="n">
        <v>42593</v>
      </c>
      <c r="D8689" t="inlineStr">
        <is>
          <t>SPEC</t>
        </is>
      </c>
      <c r="E8689" t="inlineStr">
        <is>
          <t>Barre Aluminium</t>
        </is>
      </c>
      <c r="F8689" t="inlineStr">
        <is>
          <t>Armoire auxiliaire Bluedoor MBC</t>
        </is>
      </c>
      <c r="J8689" t="inlineStr">
        <is>
          <t>DUBOIS</t>
        </is>
      </c>
      <c r="K8689" t="inlineStr">
        <is>
          <t>Aluminium</t>
        </is>
      </c>
      <c r="L8689">
        <f>_xlfn.XLOOKUP(Tableau1[[#This Row],[TYPE DE PIECE]],Tableau4[MATIERE],Tableau4[SHORT TYPE],"",0,1)</f>
        <v/>
      </c>
      <c r="N8689">
        <f>IF(ISERR(FIND("DECOUPE",Tableau1[[#This Row],[DESIGNATION]])),"","NEED REF")</f>
        <v/>
      </c>
    </row>
    <row r="8690">
      <c r="B8690" t="n">
        <v>34405315</v>
      </c>
      <c r="C8690" s="2" t="n">
        <v>42593</v>
      </c>
      <c r="D8690" t="inlineStr">
        <is>
          <t>SPEC</t>
        </is>
      </c>
      <c r="E8690" t="inlineStr">
        <is>
          <t>Barre Aluminium</t>
        </is>
      </c>
      <c r="F8690" t="inlineStr">
        <is>
          <t>Armoire auxiliaire Bluedoor MBC</t>
        </is>
      </c>
      <c r="J8690" t="inlineStr">
        <is>
          <t>DUBOIS</t>
        </is>
      </c>
      <c r="K8690" t="inlineStr">
        <is>
          <t>Aluminium</t>
        </is>
      </c>
      <c r="L8690">
        <f>_xlfn.XLOOKUP(Tableau1[[#This Row],[TYPE DE PIECE]],Tableau4[MATIERE],Tableau4[SHORT TYPE],"",0,1)</f>
        <v/>
      </c>
      <c r="N8690">
        <f>IF(ISERR(FIND("DECOUPE",Tableau1[[#This Row],[DESIGNATION]])),"","NEED REF")</f>
        <v/>
      </c>
    </row>
    <row r="8691">
      <c r="B8691" t="n">
        <v>34405314</v>
      </c>
      <c r="C8691" s="2" t="n">
        <v>42593</v>
      </c>
      <c r="D8691" t="inlineStr">
        <is>
          <t>SPEC</t>
        </is>
      </c>
      <c r="E8691" t="inlineStr">
        <is>
          <t>Barre Aluminium</t>
        </is>
      </c>
      <c r="F8691" t="inlineStr">
        <is>
          <t>Armoire auxiliaire Bluedoor MBC</t>
        </is>
      </c>
      <c r="J8691" t="inlineStr">
        <is>
          <t>DUBOIS</t>
        </is>
      </c>
      <c r="K8691" t="inlineStr">
        <is>
          <t>Aluminium</t>
        </is>
      </c>
      <c r="L8691">
        <f>_xlfn.XLOOKUP(Tableau1[[#This Row],[TYPE DE PIECE]],Tableau4[MATIERE],Tableau4[SHORT TYPE],"",0,1)</f>
        <v/>
      </c>
      <c r="N8691">
        <f>IF(ISERR(FIND("DECOUPE",Tableau1[[#This Row],[DESIGNATION]])),"","NEED REF")</f>
        <v/>
      </c>
    </row>
    <row r="8692">
      <c r="B8692" t="n">
        <v>34405313</v>
      </c>
      <c r="C8692" s="2" t="n">
        <v>42593</v>
      </c>
      <c r="D8692" t="inlineStr">
        <is>
          <t>SPEC</t>
        </is>
      </c>
      <c r="E8692" t="inlineStr">
        <is>
          <t>Barre Aluminium</t>
        </is>
      </c>
      <c r="F8692" t="inlineStr">
        <is>
          <t>Armoire auxiliaire Bluedoor MBC</t>
        </is>
      </c>
      <c r="J8692" t="inlineStr">
        <is>
          <t>DUBOIS</t>
        </is>
      </c>
      <c r="K8692" t="inlineStr">
        <is>
          <t>Aluminium</t>
        </is>
      </c>
      <c r="L8692">
        <f>_xlfn.XLOOKUP(Tableau1[[#This Row],[TYPE DE PIECE]],Tableau4[MATIERE],Tableau4[SHORT TYPE],"",0,1)</f>
        <v/>
      </c>
      <c r="N8692">
        <f>IF(ISERR(FIND("DECOUPE",Tableau1[[#This Row],[DESIGNATION]])),"","NEED REF")</f>
        <v/>
      </c>
    </row>
    <row r="8693">
      <c r="B8693" t="n">
        <v>34405312</v>
      </c>
      <c r="C8693" s="2" t="n">
        <v>42593</v>
      </c>
      <c r="D8693" t="inlineStr">
        <is>
          <t>SPEC</t>
        </is>
      </c>
      <c r="E8693" t="inlineStr">
        <is>
          <t>Barre Aluminium</t>
        </is>
      </c>
      <c r="F8693" t="inlineStr">
        <is>
          <t>Armoire auxiliaire Bluedoor MBC</t>
        </is>
      </c>
      <c r="J8693" t="inlineStr">
        <is>
          <t>DUBOIS</t>
        </is>
      </c>
      <c r="K8693" t="inlineStr">
        <is>
          <t>Aluminium</t>
        </is>
      </c>
      <c r="L8693">
        <f>_xlfn.XLOOKUP(Tableau1[[#This Row],[TYPE DE PIECE]],Tableau4[MATIERE],Tableau4[SHORT TYPE],"",0,1)</f>
        <v/>
      </c>
      <c r="N8693">
        <f>IF(ISERR(FIND("DECOUPE",Tableau1[[#This Row],[DESIGNATION]])),"","NEED REF")</f>
        <v/>
      </c>
    </row>
    <row r="8694">
      <c r="B8694" t="n">
        <v>34405311</v>
      </c>
      <c r="C8694" s="2" t="n">
        <v>42593</v>
      </c>
      <c r="D8694" t="inlineStr">
        <is>
          <t>SPEC</t>
        </is>
      </c>
      <c r="E8694" t="inlineStr">
        <is>
          <t>Barre Aluminium</t>
        </is>
      </c>
      <c r="F8694" t="inlineStr">
        <is>
          <t>Armoire auxiliaire Bluedoor MBC</t>
        </is>
      </c>
      <c r="J8694" t="inlineStr">
        <is>
          <t>DUBOIS</t>
        </is>
      </c>
      <c r="K8694" t="inlineStr">
        <is>
          <t>Aluminium</t>
        </is>
      </c>
      <c r="L8694">
        <f>_xlfn.XLOOKUP(Tableau1[[#This Row],[TYPE DE PIECE]],Tableau4[MATIERE],Tableau4[SHORT TYPE],"",0,1)</f>
        <v/>
      </c>
      <c r="N8694">
        <f>IF(ISERR(FIND("DECOUPE",Tableau1[[#This Row],[DESIGNATION]])),"","NEED REF")</f>
        <v/>
      </c>
    </row>
    <row r="8695">
      <c r="B8695" t="n">
        <v>34405310</v>
      </c>
      <c r="C8695" s="2" t="n">
        <v>42593</v>
      </c>
      <c r="D8695" t="inlineStr">
        <is>
          <t>SPEC</t>
        </is>
      </c>
      <c r="E8695" t="inlineStr">
        <is>
          <t>Barre Aluminium</t>
        </is>
      </c>
      <c r="F8695" t="inlineStr">
        <is>
          <t>Armoire auxiliaire Bluedoor MBC</t>
        </is>
      </c>
      <c r="J8695" t="inlineStr">
        <is>
          <t>DUBOIS</t>
        </is>
      </c>
      <c r="K8695" t="inlineStr">
        <is>
          <t>Aluminium</t>
        </is>
      </c>
      <c r="L8695">
        <f>_xlfn.XLOOKUP(Tableau1[[#This Row],[TYPE DE PIECE]],Tableau4[MATIERE],Tableau4[SHORT TYPE],"",0,1)</f>
        <v/>
      </c>
      <c r="N8695">
        <f>IF(ISERR(FIND("DECOUPE",Tableau1[[#This Row],[DESIGNATION]])),"","NEED REF")</f>
        <v/>
      </c>
    </row>
    <row r="8696">
      <c r="B8696" t="n">
        <v>34405309</v>
      </c>
      <c r="C8696" s="2" t="n">
        <v>42593</v>
      </c>
      <c r="D8696" t="inlineStr">
        <is>
          <t>SPEC</t>
        </is>
      </c>
      <c r="E8696" t="inlineStr">
        <is>
          <t>Barre Aluminium</t>
        </is>
      </c>
      <c r="F8696" t="inlineStr">
        <is>
          <t>Armoire auxiliaire Bluedoor MBC</t>
        </is>
      </c>
      <c r="J8696" t="inlineStr">
        <is>
          <t>DUBOIS</t>
        </is>
      </c>
      <c r="K8696" t="inlineStr">
        <is>
          <t>Aluminium</t>
        </is>
      </c>
      <c r="L8696">
        <f>_xlfn.XLOOKUP(Tableau1[[#This Row],[TYPE DE PIECE]],Tableau4[MATIERE],Tableau4[SHORT TYPE],"",0,1)</f>
        <v/>
      </c>
      <c r="N8696">
        <f>IF(ISERR(FIND("DECOUPE",Tableau1[[#This Row],[DESIGNATION]])),"","NEED REF")</f>
        <v/>
      </c>
    </row>
    <row r="8697">
      <c r="B8697" t="n">
        <v>34405308</v>
      </c>
      <c r="C8697" s="2" t="n">
        <v>42593</v>
      </c>
      <c r="D8697" t="inlineStr">
        <is>
          <t>SPEC</t>
        </is>
      </c>
      <c r="E8697" t="inlineStr">
        <is>
          <t>Barre Aluminium</t>
        </is>
      </c>
      <c r="F8697" t="inlineStr">
        <is>
          <t>Armoire auxiliaire Bluedoor MBC</t>
        </is>
      </c>
      <c r="J8697" t="inlineStr">
        <is>
          <t>DUBOIS</t>
        </is>
      </c>
      <c r="K8697" t="inlineStr">
        <is>
          <t>Aluminium</t>
        </is>
      </c>
      <c r="L8697">
        <f>_xlfn.XLOOKUP(Tableau1[[#This Row],[TYPE DE PIECE]],Tableau4[MATIERE],Tableau4[SHORT TYPE],"",0,1)</f>
        <v/>
      </c>
      <c r="N8697">
        <f>IF(ISERR(FIND("DECOUPE",Tableau1[[#This Row],[DESIGNATION]])),"","NEED REF")</f>
        <v/>
      </c>
    </row>
    <row r="8698">
      <c r="B8698" t="n">
        <v>34405307</v>
      </c>
      <c r="C8698" s="2" t="n">
        <v>42593</v>
      </c>
      <c r="D8698" t="inlineStr">
        <is>
          <t>SPEC</t>
        </is>
      </c>
      <c r="E8698" t="inlineStr">
        <is>
          <t>Barre Aluminium</t>
        </is>
      </c>
      <c r="F8698" t="inlineStr">
        <is>
          <t>Armoire auxiliaire Bluedoor MBC</t>
        </is>
      </c>
      <c r="J8698" t="inlineStr">
        <is>
          <t>DUBOIS</t>
        </is>
      </c>
      <c r="K8698" t="inlineStr">
        <is>
          <t>Aluminium</t>
        </is>
      </c>
      <c r="L8698">
        <f>_xlfn.XLOOKUP(Tableau1[[#This Row],[TYPE DE PIECE]],Tableau4[MATIERE],Tableau4[SHORT TYPE],"",0,1)</f>
        <v/>
      </c>
      <c r="N8698">
        <f>IF(ISERR(FIND("DECOUPE",Tableau1[[#This Row],[DESIGNATION]])),"","NEED REF")</f>
        <v/>
      </c>
    </row>
    <row r="8699">
      <c r="B8699" t="n">
        <v>34405306</v>
      </c>
      <c r="C8699" s="2" t="n">
        <v>42593</v>
      </c>
      <c r="D8699" t="inlineStr">
        <is>
          <t>SPEC</t>
        </is>
      </c>
      <c r="E8699" t="inlineStr">
        <is>
          <t>Barre Aluminium</t>
        </is>
      </c>
      <c r="F8699" t="inlineStr">
        <is>
          <t>Armoire auxiliaire Bluedoor MBC</t>
        </is>
      </c>
      <c r="J8699" t="inlineStr">
        <is>
          <t>DUBOIS</t>
        </is>
      </c>
      <c r="K8699" t="inlineStr">
        <is>
          <t>Aluminium</t>
        </is>
      </c>
      <c r="L8699">
        <f>_xlfn.XLOOKUP(Tableau1[[#This Row],[TYPE DE PIECE]],Tableau4[MATIERE],Tableau4[SHORT TYPE],"",0,1)</f>
        <v/>
      </c>
      <c r="N8699">
        <f>IF(ISERR(FIND("DECOUPE",Tableau1[[#This Row],[DESIGNATION]])),"","NEED REF")</f>
        <v/>
      </c>
    </row>
    <row r="8700">
      <c r="B8700" t="n">
        <v>34405305</v>
      </c>
      <c r="C8700" s="2" t="n">
        <v>42593</v>
      </c>
      <c r="D8700" t="inlineStr">
        <is>
          <t>SPEC</t>
        </is>
      </c>
      <c r="E8700" t="inlineStr">
        <is>
          <t>Barre Aluminium</t>
        </is>
      </c>
      <c r="F8700" t="inlineStr">
        <is>
          <t>Armoire auxiliaire Bluedoor MBC</t>
        </is>
      </c>
      <c r="J8700" t="inlineStr">
        <is>
          <t>DUBOIS</t>
        </is>
      </c>
      <c r="K8700" t="inlineStr">
        <is>
          <t>Aluminium</t>
        </is>
      </c>
      <c r="L8700">
        <f>_xlfn.XLOOKUP(Tableau1[[#This Row],[TYPE DE PIECE]],Tableau4[MATIERE],Tableau4[SHORT TYPE],"",0,1)</f>
        <v/>
      </c>
      <c r="N8700">
        <f>IF(ISERR(FIND("DECOUPE",Tableau1[[#This Row],[DESIGNATION]])),"","NEED REF")</f>
        <v/>
      </c>
    </row>
    <row r="8701">
      <c r="B8701" t="n">
        <v>34405304</v>
      </c>
      <c r="C8701" s="2" t="n">
        <v>42593</v>
      </c>
      <c r="D8701" t="inlineStr">
        <is>
          <t>SPEC</t>
        </is>
      </c>
      <c r="E8701" t="inlineStr">
        <is>
          <t>Barre Aluminium</t>
        </is>
      </c>
      <c r="F8701" t="inlineStr">
        <is>
          <t>Armoire auxiliaire Bluedoor MBC</t>
        </is>
      </c>
      <c r="J8701" t="inlineStr">
        <is>
          <t>DUBOIS</t>
        </is>
      </c>
      <c r="K8701" t="inlineStr">
        <is>
          <t>Aluminium</t>
        </is>
      </c>
      <c r="L8701">
        <f>_xlfn.XLOOKUP(Tableau1[[#This Row],[TYPE DE PIECE]],Tableau4[MATIERE],Tableau4[SHORT TYPE],"",0,1)</f>
        <v/>
      </c>
      <c r="N8701">
        <f>IF(ISERR(FIND("DECOUPE",Tableau1[[#This Row],[DESIGNATION]])),"","NEED REF")</f>
        <v/>
      </c>
    </row>
    <row r="8702">
      <c r="B8702" t="n">
        <v>34405303</v>
      </c>
      <c r="C8702" s="2" t="n">
        <v>42593</v>
      </c>
      <c r="D8702" t="inlineStr">
        <is>
          <t>SPEC</t>
        </is>
      </c>
      <c r="E8702" t="inlineStr">
        <is>
          <t>Barre Aluminium</t>
        </is>
      </c>
      <c r="F8702" t="inlineStr">
        <is>
          <t>Armoire auxiliaire Bluedoor MBC</t>
        </is>
      </c>
      <c r="J8702" t="inlineStr">
        <is>
          <t>DUBOIS</t>
        </is>
      </c>
      <c r="K8702" t="inlineStr">
        <is>
          <t>Aluminium</t>
        </is>
      </c>
      <c r="L8702">
        <f>_xlfn.XLOOKUP(Tableau1[[#This Row],[TYPE DE PIECE]],Tableau4[MATIERE],Tableau4[SHORT TYPE],"",0,1)</f>
        <v/>
      </c>
      <c r="N8702">
        <f>IF(ISERR(FIND("DECOUPE",Tableau1[[#This Row],[DESIGNATION]])),"","NEED REF")</f>
        <v/>
      </c>
    </row>
    <row r="8703">
      <c r="B8703" t="n">
        <v>34405302</v>
      </c>
      <c r="C8703" s="2" t="n">
        <v>42593</v>
      </c>
      <c r="D8703" t="inlineStr">
        <is>
          <t>SPEC</t>
        </is>
      </c>
      <c r="E8703" t="inlineStr">
        <is>
          <t>Barre Aluminium</t>
        </is>
      </c>
      <c r="F8703" t="inlineStr">
        <is>
          <t>Armoire auxiliaire Bluedoor MBC</t>
        </is>
      </c>
      <c r="J8703" t="inlineStr">
        <is>
          <t>DUBOIS</t>
        </is>
      </c>
      <c r="K8703" t="inlineStr">
        <is>
          <t>Aluminium</t>
        </is>
      </c>
      <c r="L8703">
        <f>_xlfn.XLOOKUP(Tableau1[[#This Row],[TYPE DE PIECE]],Tableau4[MATIERE],Tableau4[SHORT TYPE],"",0,1)</f>
        <v/>
      </c>
      <c r="N8703">
        <f>IF(ISERR(FIND("DECOUPE",Tableau1[[#This Row],[DESIGNATION]])),"","NEED REF")</f>
        <v/>
      </c>
    </row>
    <row r="8704">
      <c r="B8704" t="n">
        <v>34405301</v>
      </c>
      <c r="C8704" s="2" t="n">
        <v>42593</v>
      </c>
      <c r="D8704" t="inlineStr">
        <is>
          <t>SPEC</t>
        </is>
      </c>
      <c r="E8704" t="inlineStr">
        <is>
          <t>Barre Aluminium</t>
        </is>
      </c>
      <c r="F8704" t="inlineStr">
        <is>
          <t>Armoire auxiliaire Bluedoor MBC</t>
        </is>
      </c>
      <c r="J8704" t="inlineStr">
        <is>
          <t>DUBOIS</t>
        </is>
      </c>
      <c r="K8704" t="inlineStr">
        <is>
          <t>Aluminium</t>
        </is>
      </c>
      <c r="L8704">
        <f>_xlfn.XLOOKUP(Tableau1[[#This Row],[TYPE DE PIECE]],Tableau4[MATIERE],Tableau4[SHORT TYPE],"",0,1)</f>
        <v/>
      </c>
      <c r="N8704">
        <f>IF(ISERR(FIND("DECOUPE",Tableau1[[#This Row],[DESIGNATION]])),"","NEED REF")</f>
        <v/>
      </c>
    </row>
    <row r="8705">
      <c r="B8705" t="n">
        <v>34405300</v>
      </c>
      <c r="C8705" s="2" t="n">
        <v>42593</v>
      </c>
      <c r="D8705" t="inlineStr">
        <is>
          <t>SPEC</t>
        </is>
      </c>
      <c r="E8705" t="inlineStr">
        <is>
          <t>Barre Aluminium</t>
        </is>
      </c>
      <c r="F8705" t="inlineStr">
        <is>
          <t>Armoire auxiliaire Bluedoor MBC</t>
        </is>
      </c>
      <c r="J8705" t="inlineStr">
        <is>
          <t>DUBOIS</t>
        </is>
      </c>
      <c r="K8705" t="inlineStr">
        <is>
          <t>Aluminium</t>
        </is>
      </c>
      <c r="L8705">
        <f>_xlfn.XLOOKUP(Tableau1[[#This Row],[TYPE DE PIECE]],Tableau4[MATIERE],Tableau4[SHORT TYPE],"",0,1)</f>
        <v/>
      </c>
      <c r="N8705">
        <f>IF(ISERR(FIND("DECOUPE",Tableau1[[#This Row],[DESIGNATION]])),"","NEED REF")</f>
        <v/>
      </c>
    </row>
    <row r="8706">
      <c r="B8706" t="n">
        <v>34405299</v>
      </c>
      <c r="C8706" s="2" t="n">
        <v>42593</v>
      </c>
      <c r="D8706" t="inlineStr">
        <is>
          <t>SPEC</t>
        </is>
      </c>
      <c r="E8706" t="inlineStr">
        <is>
          <t>Barre Aluminium</t>
        </is>
      </c>
      <c r="F8706" t="inlineStr">
        <is>
          <t>Armoire auxiliaire Bluedoor MBC</t>
        </is>
      </c>
      <c r="J8706" t="inlineStr">
        <is>
          <t>DUBOIS</t>
        </is>
      </c>
      <c r="K8706" t="inlineStr">
        <is>
          <t>Aluminium</t>
        </is>
      </c>
      <c r="L8706">
        <f>_xlfn.XLOOKUP(Tableau1[[#This Row],[TYPE DE PIECE]],Tableau4[MATIERE],Tableau4[SHORT TYPE],"",0,1)</f>
        <v/>
      </c>
      <c r="N8706">
        <f>IF(ISERR(FIND("DECOUPE",Tableau1[[#This Row],[DESIGNATION]])),"","NEED REF")</f>
        <v/>
      </c>
    </row>
    <row r="8707">
      <c r="B8707" t="n">
        <v>34405298</v>
      </c>
      <c r="C8707" s="2" t="n">
        <v>42593</v>
      </c>
      <c r="D8707" t="inlineStr">
        <is>
          <t>SPEC</t>
        </is>
      </c>
      <c r="E8707" t="inlineStr">
        <is>
          <t>Barre Aluminium</t>
        </is>
      </c>
      <c r="F8707" t="inlineStr">
        <is>
          <t>Armoire auxiliaire Bluedoor MBC</t>
        </is>
      </c>
      <c r="J8707" t="inlineStr">
        <is>
          <t>DUBOIS</t>
        </is>
      </c>
      <c r="K8707" t="inlineStr">
        <is>
          <t>Aluminium</t>
        </is>
      </c>
      <c r="L8707">
        <f>_xlfn.XLOOKUP(Tableau1[[#This Row],[TYPE DE PIECE]],Tableau4[MATIERE],Tableau4[SHORT TYPE],"",0,1)</f>
        <v/>
      </c>
      <c r="N8707">
        <f>IF(ISERR(FIND("DECOUPE",Tableau1[[#This Row],[DESIGNATION]])),"","NEED REF")</f>
        <v/>
      </c>
    </row>
    <row r="8708">
      <c r="B8708" t="n">
        <v>34405297</v>
      </c>
      <c r="C8708" s="2" t="n">
        <v>42593</v>
      </c>
      <c r="D8708" t="inlineStr">
        <is>
          <t>SPEC</t>
        </is>
      </c>
      <c r="E8708" t="inlineStr">
        <is>
          <t>Barre Aluminium</t>
        </is>
      </c>
      <c r="F8708" t="inlineStr">
        <is>
          <t>Armoire auxiliaire Bluedoor MBC</t>
        </is>
      </c>
      <c r="J8708" t="inlineStr">
        <is>
          <t>DUBOIS</t>
        </is>
      </c>
      <c r="K8708" t="inlineStr">
        <is>
          <t>Aluminium</t>
        </is>
      </c>
      <c r="L8708">
        <f>_xlfn.XLOOKUP(Tableau1[[#This Row],[TYPE DE PIECE]],Tableau4[MATIERE],Tableau4[SHORT TYPE],"",0,1)</f>
        <v/>
      </c>
      <c r="N8708">
        <f>IF(ISERR(FIND("DECOUPE",Tableau1[[#This Row],[DESIGNATION]])),"","NEED REF")</f>
        <v/>
      </c>
    </row>
    <row r="8709">
      <c r="B8709" t="n">
        <v>34405296</v>
      </c>
      <c r="C8709" s="2" t="n">
        <v>42590</v>
      </c>
      <c r="D8709" t="inlineStr">
        <is>
          <t>NOM</t>
        </is>
      </c>
      <c r="E8709" t="inlineStr">
        <is>
          <t>LG DISTRIBUTION BUSBAR SYPX 500kVA</t>
        </is>
      </c>
      <c r="F8709" t="inlineStr">
        <is>
          <t>SYPX 500kVA</t>
        </is>
      </c>
      <c r="J8709" t="inlineStr">
        <is>
          <t>ROBERT</t>
        </is>
      </c>
      <c r="L8709">
        <f>_xlfn.XLOOKUP(Tableau1[[#This Row],[TYPE DE PIECE]],Tableau4[MATIERE],Tableau4[SHORT TYPE],"",0,1)</f>
        <v/>
      </c>
      <c r="N8709">
        <f>IF(ISERR(FIND("DECOUPE",Tableau1[[#This Row],[DESIGNATION]])),"","NEED REF")</f>
        <v/>
      </c>
    </row>
    <row r="8710">
      <c r="B8710" t="n">
        <v>34405295</v>
      </c>
      <c r="C8710" s="2" t="n">
        <v>42586</v>
      </c>
      <c r="D8710" t="inlineStr">
        <is>
          <t>SPEC</t>
        </is>
      </c>
      <c r="E8710" t="inlineStr">
        <is>
          <t>PROFILE DE SERRAGE JDB CABS 3P</t>
        </is>
      </c>
      <c r="F8710" t="inlineStr">
        <is>
          <t>NS2500kVA</t>
        </is>
      </c>
      <c r="J8710" t="inlineStr">
        <is>
          <t>MATRION</t>
        </is>
      </c>
      <c r="K8710" t="inlineStr">
        <is>
          <t>METAL</t>
        </is>
      </c>
      <c r="L8710">
        <f>_xlfn.XLOOKUP(Tableau1[[#This Row],[TYPE DE PIECE]],Tableau4[MATIERE],Tableau4[SHORT TYPE],"",0,1)</f>
        <v/>
      </c>
      <c r="N8710">
        <f>IF(ISERR(FIND("DECOUPE",Tableau1[[#This Row],[DESIGNATION]])),"","NEED REF")</f>
        <v/>
      </c>
    </row>
    <row r="8711">
      <c r="B8711" t="n">
        <v>34405294</v>
      </c>
      <c r="C8711" s="2" t="n">
        <v>42586</v>
      </c>
      <c r="D8711" t="inlineStr">
        <is>
          <t>SPEC</t>
        </is>
      </c>
      <c r="E8711" t="inlineStr">
        <is>
          <t>PLATINE SUPPORT JDB TGAB TETRA</t>
        </is>
      </c>
      <c r="F8711" t="inlineStr">
        <is>
          <t>NS2500kVA</t>
        </is>
      </c>
      <c r="J8711" t="inlineStr">
        <is>
          <t>MATRION</t>
        </is>
      </c>
      <c r="K8711" t="inlineStr">
        <is>
          <t>METAL</t>
        </is>
      </c>
      <c r="L8711">
        <f>_xlfn.XLOOKUP(Tableau1[[#This Row],[TYPE DE PIECE]],Tableau4[MATIERE],Tableau4[SHORT TYPE],"",0,1)</f>
        <v/>
      </c>
      <c r="N8711">
        <f>IF(ISERR(FIND("DECOUPE",Tableau1[[#This Row],[DESIGNATION]])),"","NEED REF")</f>
        <v/>
      </c>
    </row>
    <row r="8712">
      <c r="B8712" t="n">
        <v>34405293</v>
      </c>
      <c r="C8712" s="2" t="n">
        <v>42586</v>
      </c>
      <c r="D8712" t="inlineStr">
        <is>
          <t>SPEC</t>
        </is>
      </c>
      <c r="E8712" t="inlineStr">
        <is>
          <t>PLATINE SUPPORT JDB TGAB TRI</t>
        </is>
      </c>
      <c r="F8712" t="inlineStr">
        <is>
          <t>NS2500kVA</t>
        </is>
      </c>
      <c r="J8712" t="inlineStr">
        <is>
          <t>MATRION</t>
        </is>
      </c>
      <c r="K8712" t="inlineStr">
        <is>
          <t>METAL</t>
        </is>
      </c>
      <c r="L8712">
        <f>_xlfn.XLOOKUP(Tableau1[[#This Row],[TYPE DE PIECE]],Tableau4[MATIERE],Tableau4[SHORT TYPE],"",0,1)</f>
        <v/>
      </c>
      <c r="N8712">
        <f>IF(ISERR(FIND("DECOUPE",Tableau1[[#This Row],[DESIGNATION]])),"","NEED REF")</f>
        <v/>
      </c>
    </row>
    <row r="8713">
      <c r="B8713" t="n">
        <v>34405292</v>
      </c>
      <c r="C8713" s="2" t="n">
        <v>42586</v>
      </c>
      <c r="D8713" t="inlineStr">
        <is>
          <t>SPEC</t>
        </is>
      </c>
      <c r="E8713" t="inlineStr">
        <is>
          <t>SUPPORT JDB TGAB TETRA</t>
        </is>
      </c>
      <c r="F8713" t="inlineStr">
        <is>
          <t>NS2500kVA</t>
        </is>
      </c>
      <c r="J8713" t="inlineStr">
        <is>
          <t>MATRION</t>
        </is>
      </c>
      <c r="K8713" t="inlineStr">
        <is>
          <t>METAL</t>
        </is>
      </c>
      <c r="L8713">
        <f>_xlfn.XLOOKUP(Tableau1[[#This Row],[TYPE DE PIECE]],Tableau4[MATIERE],Tableau4[SHORT TYPE],"",0,1)</f>
        <v/>
      </c>
      <c r="N8713">
        <f>IF(ISERR(FIND("DECOUPE",Tableau1[[#This Row],[DESIGNATION]])),"","NEED REF")</f>
        <v/>
      </c>
    </row>
    <row r="8714">
      <c r="B8714" t="n">
        <v>34405291</v>
      </c>
      <c r="C8714" s="2" t="n">
        <v>42586</v>
      </c>
      <c r="D8714" t="inlineStr">
        <is>
          <t>SPEC</t>
        </is>
      </c>
      <c r="E8714" t="inlineStr">
        <is>
          <t>SUPPORT JDB TGAB TRI</t>
        </is>
      </c>
      <c r="F8714" t="inlineStr">
        <is>
          <t>NS2500kVA</t>
        </is>
      </c>
      <c r="J8714" t="inlineStr">
        <is>
          <t>MATRION</t>
        </is>
      </c>
      <c r="K8714" t="inlineStr">
        <is>
          <t>METAL</t>
        </is>
      </c>
      <c r="L8714">
        <f>_xlfn.XLOOKUP(Tableau1[[#This Row],[TYPE DE PIECE]],Tableau4[MATIERE],Tableau4[SHORT TYPE],"",0,1)</f>
        <v/>
      </c>
      <c r="N8714">
        <f>IF(ISERR(FIND("DECOUPE",Tableau1[[#This Row],[DESIGNATION]])),"","NEED REF")</f>
        <v/>
      </c>
    </row>
    <row r="8715">
      <c r="B8715" t="n">
        <v>34405290</v>
      </c>
      <c r="C8715" s="2" t="n">
        <v>42586</v>
      </c>
      <c r="D8715" t="inlineStr">
        <is>
          <t>SE</t>
        </is>
      </c>
      <c r="E8715" t="inlineStr">
        <is>
          <t>SE SUPPORT JDB TGAB LEFT TETRA</t>
        </is>
      </c>
      <c r="F8715" t="inlineStr">
        <is>
          <t>NS2500kVA</t>
        </is>
      </c>
      <c r="J8715" t="inlineStr">
        <is>
          <t>MATRION</t>
        </is>
      </c>
      <c r="L8715">
        <f>_xlfn.XLOOKUP(Tableau1[[#This Row],[TYPE DE PIECE]],Tableau4[MATIERE],Tableau4[SHORT TYPE],"",0,1)</f>
        <v/>
      </c>
      <c r="N8715">
        <f>IF(ISERR(FIND("DECOUPE",Tableau1[[#This Row],[DESIGNATION]])),"","NEED REF")</f>
        <v/>
      </c>
    </row>
    <row r="8716">
      <c r="B8716" t="n">
        <v>34405289</v>
      </c>
      <c r="C8716" s="2" t="n">
        <v>42586</v>
      </c>
      <c r="D8716" t="inlineStr">
        <is>
          <t>SE</t>
        </is>
      </c>
      <c r="E8716" t="inlineStr">
        <is>
          <t>SE SUPPORT JDB TGAB RIGHT TETRA</t>
        </is>
      </c>
      <c r="F8716" t="inlineStr">
        <is>
          <t>NS2500kVA</t>
        </is>
      </c>
      <c r="J8716" t="inlineStr">
        <is>
          <t>MATRION</t>
        </is>
      </c>
      <c r="L8716">
        <f>_xlfn.XLOOKUP(Tableau1[[#This Row],[TYPE DE PIECE]],Tableau4[MATIERE],Tableau4[SHORT TYPE],"",0,1)</f>
        <v/>
      </c>
      <c r="N8716">
        <f>IF(ISERR(FIND("DECOUPE",Tableau1[[#This Row],[DESIGNATION]])),"","NEED REF")</f>
        <v/>
      </c>
    </row>
    <row r="8717">
      <c r="B8717" t="n">
        <v>34405288</v>
      </c>
      <c r="C8717" s="2" t="n">
        <v>42586</v>
      </c>
      <c r="D8717" t="inlineStr">
        <is>
          <t>SE</t>
        </is>
      </c>
      <c r="E8717" t="inlineStr">
        <is>
          <t>SE SUPPORT JDB TGAB LEFT TRI</t>
        </is>
      </c>
      <c r="F8717" t="inlineStr">
        <is>
          <t>NS2500kVA</t>
        </is>
      </c>
      <c r="J8717" t="inlineStr">
        <is>
          <t>MATRION</t>
        </is>
      </c>
      <c r="L8717">
        <f>_xlfn.XLOOKUP(Tableau1[[#This Row],[TYPE DE PIECE]],Tableau4[MATIERE],Tableau4[SHORT TYPE],"",0,1)</f>
        <v/>
      </c>
      <c r="N8717">
        <f>IF(ISERR(FIND("DECOUPE",Tableau1[[#This Row],[DESIGNATION]])),"","NEED REF")</f>
        <v/>
      </c>
    </row>
    <row r="8718">
      <c r="B8718" t="n">
        <v>34405287</v>
      </c>
      <c r="C8718" s="2" t="n">
        <v>42605</v>
      </c>
      <c r="D8718" t="inlineStr">
        <is>
          <t>SPEC</t>
        </is>
      </c>
      <c r="E8718" t="inlineStr">
        <is>
          <t>RENFORT DE TOIT TGAB</t>
        </is>
      </c>
      <c r="F8718" t="inlineStr">
        <is>
          <t>NS2500kVA</t>
        </is>
      </c>
      <c r="J8718" t="inlineStr">
        <is>
          <t>MATRION</t>
        </is>
      </c>
      <c r="K8718" t="inlineStr">
        <is>
          <t>METAL</t>
        </is>
      </c>
      <c r="L8718">
        <f>_xlfn.XLOOKUP(Tableau1[[#This Row],[TYPE DE PIECE]],Tableau4[MATIERE],Tableau4[SHORT TYPE],"",0,1)</f>
        <v/>
      </c>
      <c r="N8718">
        <f>IF(ISERR(FIND("DECOUPE",Tableau1[[#This Row],[DESIGNATION]])),"","NEED REF")</f>
        <v/>
      </c>
    </row>
    <row r="8719">
      <c r="B8719" t="n">
        <v>34405286</v>
      </c>
      <c r="C8719" s="2" t="n">
        <v>42604</v>
      </c>
      <c r="D8719" t="inlineStr">
        <is>
          <t>SPEC</t>
        </is>
      </c>
      <c r="E8719" t="inlineStr">
        <is>
          <t>MONTAGE TGAB GAUCHE</t>
        </is>
      </c>
      <c r="F8719" t="inlineStr">
        <is>
          <t>NS2500kVA</t>
        </is>
      </c>
      <c r="J8719" t="inlineStr">
        <is>
          <t>MATRION</t>
        </is>
      </c>
      <c r="K8719" t="inlineStr">
        <is>
          <t>METAL</t>
        </is>
      </c>
      <c r="L8719">
        <f>_xlfn.XLOOKUP(Tableau1[[#This Row],[TYPE DE PIECE]],Tableau4[MATIERE],Tableau4[SHORT TYPE],"",0,1)</f>
        <v/>
      </c>
      <c r="N8719">
        <f>IF(ISERR(FIND("DECOUPE",Tableau1[[#This Row],[DESIGNATION]])),"","NEED REF")</f>
        <v/>
      </c>
    </row>
    <row r="8720">
      <c r="B8720" t="n">
        <v>34405285</v>
      </c>
      <c r="C8720" s="2" t="n">
        <v>42603</v>
      </c>
      <c r="D8720" t="inlineStr">
        <is>
          <t>SPEC</t>
        </is>
      </c>
      <c r="E8720" t="inlineStr">
        <is>
          <t>CX PEN 2</t>
        </is>
      </c>
      <c r="F8720" t="inlineStr">
        <is>
          <t>NS2500kVA</t>
        </is>
      </c>
      <c r="J8720" t="inlineStr">
        <is>
          <t>MATRION</t>
        </is>
      </c>
      <c r="K8720" t="inlineStr">
        <is>
          <t>CUIVRE</t>
        </is>
      </c>
      <c r="L8720">
        <f>_xlfn.XLOOKUP(Tableau1[[#This Row],[TYPE DE PIECE]],Tableau4[MATIERE],Tableau4[SHORT TYPE],"",0,1)</f>
        <v/>
      </c>
      <c r="N8720">
        <f>IF(ISERR(FIND("DECOUPE",Tableau1[[#This Row],[DESIGNATION]])),"","NEED REF")</f>
        <v/>
      </c>
    </row>
    <row r="8721">
      <c r="B8721" t="n">
        <v>34405284</v>
      </c>
      <c r="C8721" s="2" t="n">
        <v>42602</v>
      </c>
      <c r="D8721" t="inlineStr">
        <is>
          <t>SPEC</t>
        </is>
      </c>
      <c r="E8721" t="inlineStr">
        <is>
          <t>CX PEN 1</t>
        </is>
      </c>
      <c r="F8721" t="inlineStr">
        <is>
          <t>NS2500kVA</t>
        </is>
      </c>
      <c r="J8721" t="inlineStr">
        <is>
          <t>MATRION</t>
        </is>
      </c>
      <c r="K8721" t="inlineStr">
        <is>
          <t>CUIVRE</t>
        </is>
      </c>
      <c r="L8721">
        <f>_xlfn.XLOOKUP(Tableau1[[#This Row],[TYPE DE PIECE]],Tableau4[MATIERE],Tableau4[SHORT TYPE],"",0,1)</f>
        <v/>
      </c>
      <c r="N8721">
        <f>IF(ISERR(FIND("DECOUPE",Tableau1[[#This Row],[DESIGNATION]])),"","NEED REF")</f>
        <v/>
      </c>
    </row>
    <row r="8722">
      <c r="B8722" t="n">
        <v>34405283</v>
      </c>
      <c r="C8722" s="2" t="n">
        <v>42601</v>
      </c>
      <c r="D8722" t="inlineStr">
        <is>
          <t>SPEC</t>
        </is>
      </c>
      <c r="E8722" t="inlineStr">
        <is>
          <t>FLEX TGAB</t>
        </is>
      </c>
      <c r="F8722" t="inlineStr">
        <is>
          <t>NS2500kVA</t>
        </is>
      </c>
      <c r="J8722" t="inlineStr">
        <is>
          <t>MATRION</t>
        </is>
      </c>
      <c r="K8722" t="inlineStr">
        <is>
          <t>CUIVRE</t>
        </is>
      </c>
      <c r="L8722">
        <f>_xlfn.XLOOKUP(Tableau1[[#This Row],[TYPE DE PIECE]],Tableau4[MATIERE],Tableau4[SHORT TYPE],"",0,1)</f>
        <v/>
      </c>
      <c r="N8722">
        <f>IF(ISERR(FIND("DECOUPE",Tableau1[[#This Row],[DESIGNATION]])),"","NEED REF")</f>
        <v/>
      </c>
    </row>
    <row r="8723">
      <c r="B8723" t="n">
        <v>34405282</v>
      </c>
      <c r="C8723" s="2" t="n">
        <v>42600</v>
      </c>
      <c r="D8723" t="inlineStr">
        <is>
          <t>SPEC</t>
        </is>
      </c>
      <c r="E8723" t="inlineStr">
        <is>
          <t>CX TGAB LOAD 8</t>
        </is>
      </c>
      <c r="F8723" t="inlineStr">
        <is>
          <t>NS2500kVA</t>
        </is>
      </c>
      <c r="J8723" t="inlineStr">
        <is>
          <t>MATRION</t>
        </is>
      </c>
      <c r="K8723" t="inlineStr">
        <is>
          <t>CUIVRE</t>
        </is>
      </c>
      <c r="L8723">
        <f>_xlfn.XLOOKUP(Tableau1[[#This Row],[TYPE DE PIECE]],Tableau4[MATIERE],Tableau4[SHORT TYPE],"",0,1)</f>
        <v/>
      </c>
      <c r="N8723">
        <f>IF(ISERR(FIND("DECOUPE",Tableau1[[#This Row],[DESIGNATION]])),"","NEED REF")</f>
        <v/>
      </c>
    </row>
    <row r="8724">
      <c r="B8724" t="n">
        <v>34405281</v>
      </c>
      <c r="C8724" s="2" t="n">
        <v>42599</v>
      </c>
      <c r="D8724" t="inlineStr">
        <is>
          <t>SPEC</t>
        </is>
      </c>
      <c r="E8724" t="inlineStr">
        <is>
          <t>CX TGAB LOAD 7</t>
        </is>
      </c>
      <c r="F8724" t="inlineStr">
        <is>
          <t>NS2500kVA</t>
        </is>
      </c>
      <c r="J8724" t="inlineStr">
        <is>
          <t>MATRION</t>
        </is>
      </c>
      <c r="K8724" t="inlineStr">
        <is>
          <t>CUIVRE</t>
        </is>
      </c>
      <c r="L8724">
        <f>_xlfn.XLOOKUP(Tableau1[[#This Row],[TYPE DE PIECE]],Tableau4[MATIERE],Tableau4[SHORT TYPE],"",0,1)</f>
        <v/>
      </c>
      <c r="N8724">
        <f>IF(ISERR(FIND("DECOUPE",Tableau1[[#This Row],[DESIGNATION]])),"","NEED REF")</f>
        <v/>
      </c>
    </row>
    <row r="8725">
      <c r="B8725" t="n">
        <v>34405280</v>
      </c>
      <c r="C8725" s="2" t="n">
        <v>42598</v>
      </c>
      <c r="D8725" t="inlineStr">
        <is>
          <t>SPEC</t>
        </is>
      </c>
      <c r="E8725" t="inlineStr">
        <is>
          <t>CX TGAB LOAD 6</t>
        </is>
      </c>
      <c r="F8725" t="inlineStr">
        <is>
          <t>NS2500kVA</t>
        </is>
      </c>
      <c r="J8725" t="inlineStr">
        <is>
          <t>MATRION</t>
        </is>
      </c>
      <c r="K8725" t="inlineStr">
        <is>
          <t>CUIVRE</t>
        </is>
      </c>
      <c r="L8725">
        <f>_xlfn.XLOOKUP(Tableau1[[#This Row],[TYPE DE PIECE]],Tableau4[MATIERE],Tableau4[SHORT TYPE],"",0,1)</f>
        <v/>
      </c>
      <c r="N8725">
        <f>IF(ISERR(FIND("DECOUPE",Tableau1[[#This Row],[DESIGNATION]])),"","NEED REF")</f>
        <v/>
      </c>
    </row>
    <row r="8726">
      <c r="B8726" t="n">
        <v>34405279</v>
      </c>
      <c r="C8726" s="2" t="n">
        <v>42597</v>
      </c>
      <c r="D8726" t="inlineStr">
        <is>
          <t>SPEC</t>
        </is>
      </c>
      <c r="E8726" t="inlineStr">
        <is>
          <t>CX TGAB LOAD 5</t>
        </is>
      </c>
      <c r="F8726" t="inlineStr">
        <is>
          <t>NS2500kVA</t>
        </is>
      </c>
      <c r="J8726" t="inlineStr">
        <is>
          <t>MATRION</t>
        </is>
      </c>
      <c r="K8726" t="inlineStr">
        <is>
          <t>CUIVRE</t>
        </is>
      </c>
      <c r="L8726">
        <f>_xlfn.XLOOKUP(Tableau1[[#This Row],[TYPE DE PIECE]],Tableau4[MATIERE],Tableau4[SHORT TYPE],"",0,1)</f>
        <v/>
      </c>
      <c r="N8726">
        <f>IF(ISERR(FIND("DECOUPE",Tableau1[[#This Row],[DESIGNATION]])),"","NEED REF")</f>
        <v/>
      </c>
    </row>
    <row r="8727">
      <c r="B8727" t="n">
        <v>34405278</v>
      </c>
      <c r="C8727" s="2" t="n">
        <v>42596</v>
      </c>
      <c r="D8727" t="inlineStr">
        <is>
          <t>SPEC</t>
        </is>
      </c>
      <c r="E8727" t="inlineStr">
        <is>
          <t>CX TGAB LOAD 4</t>
        </is>
      </c>
      <c r="F8727" t="inlineStr">
        <is>
          <t>NS2500kVA</t>
        </is>
      </c>
      <c r="J8727" t="inlineStr">
        <is>
          <t>MATRION</t>
        </is>
      </c>
      <c r="K8727" t="inlineStr">
        <is>
          <t>CUIVRE</t>
        </is>
      </c>
      <c r="L8727">
        <f>_xlfn.XLOOKUP(Tableau1[[#This Row],[TYPE DE PIECE]],Tableau4[MATIERE],Tableau4[SHORT TYPE],"",0,1)</f>
        <v/>
      </c>
      <c r="N8727">
        <f>IF(ISERR(FIND("DECOUPE",Tableau1[[#This Row],[DESIGNATION]])),"","NEED REF")</f>
        <v/>
      </c>
    </row>
    <row r="8728">
      <c r="B8728" t="n">
        <v>34405277</v>
      </c>
      <c r="C8728" s="2" t="n">
        <v>42595</v>
      </c>
      <c r="D8728" t="inlineStr">
        <is>
          <t>SPEC</t>
        </is>
      </c>
      <c r="E8728" t="inlineStr">
        <is>
          <t>CX TGAB LOAD 3</t>
        </is>
      </c>
      <c r="F8728" t="inlineStr">
        <is>
          <t>NS2500kVA</t>
        </is>
      </c>
      <c r="J8728" t="inlineStr">
        <is>
          <t>MATRION</t>
        </is>
      </c>
      <c r="K8728" t="inlineStr">
        <is>
          <t>CUIVRE</t>
        </is>
      </c>
      <c r="L8728">
        <f>_xlfn.XLOOKUP(Tableau1[[#This Row],[TYPE DE PIECE]],Tableau4[MATIERE],Tableau4[SHORT TYPE],"",0,1)</f>
        <v/>
      </c>
      <c r="N8728">
        <f>IF(ISERR(FIND("DECOUPE",Tableau1[[#This Row],[DESIGNATION]])),"","NEED REF")</f>
        <v/>
      </c>
    </row>
    <row r="8729">
      <c r="B8729" t="n">
        <v>34405276</v>
      </c>
      <c r="C8729" s="2" t="n">
        <v>42594</v>
      </c>
      <c r="D8729" t="inlineStr">
        <is>
          <t>SPEC</t>
        </is>
      </c>
      <c r="E8729" t="inlineStr">
        <is>
          <t>CX TGAB LOAD 2</t>
        </is>
      </c>
      <c r="F8729" t="inlineStr">
        <is>
          <t>NS2500kVA</t>
        </is>
      </c>
      <c r="J8729" t="inlineStr">
        <is>
          <t>MATRION</t>
        </is>
      </c>
      <c r="K8729" t="inlineStr">
        <is>
          <t>CUIVRE</t>
        </is>
      </c>
      <c r="L8729">
        <f>_xlfn.XLOOKUP(Tableau1[[#This Row],[TYPE DE PIECE]],Tableau4[MATIERE],Tableau4[SHORT TYPE],"",0,1)</f>
        <v/>
      </c>
      <c r="N8729">
        <f>IF(ISERR(FIND("DECOUPE",Tableau1[[#This Row],[DESIGNATION]])),"","NEED REF")</f>
        <v/>
      </c>
    </row>
    <row r="8730">
      <c r="B8730" t="n">
        <v>34405275</v>
      </c>
      <c r="C8730" s="2" t="n">
        <v>42593</v>
      </c>
      <c r="D8730" t="inlineStr">
        <is>
          <t>SPEC</t>
        </is>
      </c>
      <c r="E8730" t="inlineStr">
        <is>
          <t>CX TGAB LOAD 1</t>
        </is>
      </c>
      <c r="F8730" t="inlineStr">
        <is>
          <t>NS2500kVA</t>
        </is>
      </c>
      <c r="J8730" t="inlineStr">
        <is>
          <t>MATRION</t>
        </is>
      </c>
      <c r="K8730" t="inlineStr">
        <is>
          <t>CUIVRE</t>
        </is>
      </c>
      <c r="L8730">
        <f>_xlfn.XLOOKUP(Tableau1[[#This Row],[TYPE DE PIECE]],Tableau4[MATIERE],Tableau4[SHORT TYPE],"",0,1)</f>
        <v/>
      </c>
      <c r="N8730">
        <f>IF(ISERR(FIND("DECOUPE",Tableau1[[#This Row],[DESIGNATION]])),"","NEED REF")</f>
        <v/>
      </c>
    </row>
    <row r="8731">
      <c r="B8731" t="n">
        <v>34405274</v>
      </c>
      <c r="C8731" s="2" t="n">
        <v>42592</v>
      </c>
      <c r="D8731" t="inlineStr">
        <is>
          <t>SPEC</t>
        </is>
      </c>
      <c r="E8731" t="inlineStr">
        <is>
          <t>CX TGAB R2 6</t>
        </is>
      </c>
      <c r="F8731" t="inlineStr">
        <is>
          <t>NS2500kVA</t>
        </is>
      </c>
      <c r="J8731" t="inlineStr">
        <is>
          <t>MATRION</t>
        </is>
      </c>
      <c r="K8731" t="inlineStr">
        <is>
          <t>CUIVRE</t>
        </is>
      </c>
      <c r="L8731">
        <f>_xlfn.XLOOKUP(Tableau1[[#This Row],[TYPE DE PIECE]],Tableau4[MATIERE],Tableau4[SHORT TYPE],"",0,1)</f>
        <v/>
      </c>
      <c r="N8731">
        <f>IF(ISERR(FIND("DECOUPE",Tableau1[[#This Row],[DESIGNATION]])),"","NEED REF")</f>
        <v/>
      </c>
    </row>
    <row r="8732">
      <c r="B8732" t="n">
        <v>34405273</v>
      </c>
      <c r="C8732" s="2" t="n">
        <v>42591</v>
      </c>
      <c r="D8732" t="inlineStr">
        <is>
          <t>SPEC</t>
        </is>
      </c>
      <c r="E8732" t="inlineStr">
        <is>
          <t>CX TGAB R2 5</t>
        </is>
      </c>
      <c r="F8732" t="inlineStr">
        <is>
          <t>NS2500kVA</t>
        </is>
      </c>
      <c r="J8732" t="inlineStr">
        <is>
          <t>MATRION</t>
        </is>
      </c>
      <c r="K8732" t="inlineStr">
        <is>
          <t>CUIVRE</t>
        </is>
      </c>
      <c r="L8732">
        <f>_xlfn.XLOOKUP(Tableau1[[#This Row],[TYPE DE PIECE]],Tableau4[MATIERE],Tableau4[SHORT TYPE],"",0,1)</f>
        <v/>
      </c>
      <c r="N8732">
        <f>IF(ISERR(FIND("DECOUPE",Tableau1[[#This Row],[DESIGNATION]])),"","NEED REF")</f>
        <v/>
      </c>
    </row>
    <row r="8733">
      <c r="B8733" t="n">
        <v>34405272</v>
      </c>
      <c r="C8733" s="2" t="n">
        <v>42590</v>
      </c>
      <c r="D8733" t="inlineStr">
        <is>
          <t>SPEC</t>
        </is>
      </c>
      <c r="E8733" t="inlineStr">
        <is>
          <t>CX TGAB R2 4</t>
        </is>
      </c>
      <c r="F8733" t="inlineStr">
        <is>
          <t>NS2500kVA</t>
        </is>
      </c>
      <c r="J8733" t="inlineStr">
        <is>
          <t>MATRION</t>
        </is>
      </c>
      <c r="K8733" t="inlineStr">
        <is>
          <t>CUIVRE</t>
        </is>
      </c>
      <c r="L8733">
        <f>_xlfn.XLOOKUP(Tableau1[[#This Row],[TYPE DE PIECE]],Tableau4[MATIERE],Tableau4[SHORT TYPE],"",0,1)</f>
        <v/>
      </c>
      <c r="N8733">
        <f>IF(ISERR(FIND("DECOUPE",Tableau1[[#This Row],[DESIGNATION]])),"","NEED REF")</f>
        <v/>
      </c>
    </row>
    <row r="8734">
      <c r="B8734" t="n">
        <v>34405271</v>
      </c>
      <c r="C8734" s="2" t="n">
        <v>42589</v>
      </c>
      <c r="D8734" t="inlineStr">
        <is>
          <t>SPEC</t>
        </is>
      </c>
      <c r="E8734" t="inlineStr">
        <is>
          <t>CX TGAB R2 3</t>
        </is>
      </c>
      <c r="F8734" t="inlineStr">
        <is>
          <t>NS2500kVA</t>
        </is>
      </c>
      <c r="J8734" t="inlineStr">
        <is>
          <t>MATRION</t>
        </is>
      </c>
      <c r="K8734" t="inlineStr">
        <is>
          <t>CUIVRE</t>
        </is>
      </c>
      <c r="L8734">
        <f>_xlfn.XLOOKUP(Tableau1[[#This Row],[TYPE DE PIECE]],Tableau4[MATIERE],Tableau4[SHORT TYPE],"",0,1)</f>
        <v/>
      </c>
      <c r="N8734">
        <f>IF(ISERR(FIND("DECOUPE",Tableau1[[#This Row],[DESIGNATION]])),"","NEED REF")</f>
        <v/>
      </c>
    </row>
    <row r="8735">
      <c r="B8735" t="n">
        <v>34405270</v>
      </c>
      <c r="C8735" s="2" t="n">
        <v>42588</v>
      </c>
      <c r="D8735" t="inlineStr">
        <is>
          <t>SPEC</t>
        </is>
      </c>
      <c r="E8735" t="inlineStr">
        <is>
          <t>CX TGAB R2 2</t>
        </is>
      </c>
      <c r="F8735" t="inlineStr">
        <is>
          <t>NS2500kVA</t>
        </is>
      </c>
      <c r="J8735" t="inlineStr">
        <is>
          <t>MATRION</t>
        </is>
      </c>
      <c r="K8735" t="inlineStr">
        <is>
          <t>CUIVRE</t>
        </is>
      </c>
      <c r="L8735">
        <f>_xlfn.XLOOKUP(Tableau1[[#This Row],[TYPE DE PIECE]],Tableau4[MATIERE],Tableau4[SHORT TYPE],"",0,1)</f>
        <v/>
      </c>
      <c r="N8735">
        <f>IF(ISERR(FIND("DECOUPE",Tableau1[[#This Row],[DESIGNATION]])),"","NEED REF")</f>
        <v/>
      </c>
    </row>
    <row r="8736">
      <c r="B8736" t="n">
        <v>34405269</v>
      </c>
      <c r="C8736" s="2" t="n">
        <v>42587</v>
      </c>
      <c r="D8736" t="inlineStr">
        <is>
          <t>SPEC</t>
        </is>
      </c>
      <c r="E8736" t="inlineStr">
        <is>
          <t>CX TGAB R2 1</t>
        </is>
      </c>
      <c r="F8736" t="inlineStr">
        <is>
          <t>NS2500kVA</t>
        </is>
      </c>
      <c r="J8736" t="inlineStr">
        <is>
          <t>MATRION</t>
        </is>
      </c>
      <c r="K8736" t="inlineStr">
        <is>
          <t>CUIVRE</t>
        </is>
      </c>
      <c r="L8736">
        <f>_xlfn.XLOOKUP(Tableau1[[#This Row],[TYPE DE PIECE]],Tableau4[MATIERE],Tableau4[SHORT TYPE],"",0,1)</f>
        <v/>
      </c>
      <c r="N8736">
        <f>IF(ISERR(FIND("DECOUPE",Tableau1[[#This Row],[DESIGNATION]])),"","NEED REF")</f>
        <v/>
      </c>
    </row>
    <row r="8737">
      <c r="B8737" t="n">
        <v>34405268</v>
      </c>
      <c r="C8737" s="2" t="n">
        <v>42586</v>
      </c>
      <c r="D8737" t="inlineStr">
        <is>
          <t>SPEC</t>
        </is>
      </c>
      <c r="E8737" t="inlineStr">
        <is>
          <t>CX EQUERRE 2</t>
        </is>
      </c>
      <c r="F8737" t="inlineStr">
        <is>
          <t>NS2500kVA</t>
        </is>
      </c>
      <c r="J8737" t="inlineStr">
        <is>
          <t>MATRION</t>
        </is>
      </c>
      <c r="K8737" t="inlineStr">
        <is>
          <t>CUIVRE</t>
        </is>
      </c>
      <c r="L8737">
        <f>_xlfn.XLOOKUP(Tableau1[[#This Row],[TYPE DE PIECE]],Tableau4[MATIERE],Tableau4[SHORT TYPE],"",0,1)</f>
        <v/>
      </c>
      <c r="N8737">
        <f>IF(ISERR(FIND("DECOUPE",Tableau1[[#This Row],[DESIGNATION]])),"","NEED REF")</f>
        <v/>
      </c>
    </row>
    <row r="8738">
      <c r="B8738" t="n">
        <v>34405267</v>
      </c>
      <c r="C8738" s="2" t="n">
        <v>42585</v>
      </c>
      <c r="D8738" t="inlineStr">
        <is>
          <t>SPEC</t>
        </is>
      </c>
      <c r="E8738" t="inlineStr">
        <is>
          <t>CX EQUERRE 1</t>
        </is>
      </c>
      <c r="F8738" t="inlineStr">
        <is>
          <t>NS2500kVA</t>
        </is>
      </c>
      <c r="J8738" t="inlineStr">
        <is>
          <t>MATRION</t>
        </is>
      </c>
      <c r="K8738" t="inlineStr">
        <is>
          <t>CUIVRE</t>
        </is>
      </c>
      <c r="L8738">
        <f>_xlfn.XLOOKUP(Tableau1[[#This Row],[TYPE DE PIECE]],Tableau4[MATIERE],Tableau4[SHORT TYPE],"",0,1)</f>
        <v/>
      </c>
      <c r="N8738">
        <f>IF(ISERR(FIND("DECOUPE",Tableau1[[#This Row],[DESIGNATION]])),"","NEED REF")</f>
        <v/>
      </c>
    </row>
    <row r="8739">
      <c r="B8739" t="n">
        <v>34405266</v>
      </c>
      <c r="C8739" s="2" t="n">
        <v>42584</v>
      </c>
      <c r="D8739" t="inlineStr">
        <is>
          <t>SPEC</t>
        </is>
      </c>
      <c r="E8739" t="inlineStr">
        <is>
          <t>CX TGAB HORIZ 4</t>
        </is>
      </c>
      <c r="F8739" t="inlineStr">
        <is>
          <t>NS2500kVA</t>
        </is>
      </c>
      <c r="J8739" t="inlineStr">
        <is>
          <t>MATRION</t>
        </is>
      </c>
      <c r="K8739" t="inlineStr">
        <is>
          <t>CUIVRE</t>
        </is>
      </c>
      <c r="L8739">
        <f>_xlfn.XLOOKUP(Tableau1[[#This Row],[TYPE DE PIECE]],Tableau4[MATIERE],Tableau4[SHORT TYPE],"",0,1)</f>
        <v/>
      </c>
      <c r="N8739">
        <f>IF(ISERR(FIND("DECOUPE",Tableau1[[#This Row],[DESIGNATION]])),"","NEED REF")</f>
        <v/>
      </c>
    </row>
    <row r="8740">
      <c r="B8740" t="n">
        <v>34405265</v>
      </c>
      <c r="C8740" s="2" t="n">
        <v>42583</v>
      </c>
      <c r="D8740" t="inlineStr">
        <is>
          <t>SPEC</t>
        </is>
      </c>
      <c r="E8740" t="inlineStr">
        <is>
          <t>CX TGAB HORIZ 3</t>
        </is>
      </c>
      <c r="F8740" t="inlineStr">
        <is>
          <t>NS2500kVA</t>
        </is>
      </c>
      <c r="J8740" t="inlineStr">
        <is>
          <t>MATRION</t>
        </is>
      </c>
      <c r="K8740" t="inlineStr">
        <is>
          <t>CUIVRE</t>
        </is>
      </c>
      <c r="L8740">
        <f>_xlfn.XLOOKUP(Tableau1[[#This Row],[TYPE DE PIECE]],Tableau4[MATIERE],Tableau4[SHORT TYPE],"",0,1)</f>
        <v/>
      </c>
      <c r="N8740">
        <f>IF(ISERR(FIND("DECOUPE",Tableau1[[#This Row],[DESIGNATION]])),"","NEED REF")</f>
        <v/>
      </c>
    </row>
    <row r="8741">
      <c r="B8741" t="n">
        <v>34405264</v>
      </c>
      <c r="C8741" s="2" t="n">
        <v>42582</v>
      </c>
      <c r="D8741" t="inlineStr">
        <is>
          <t>SPEC</t>
        </is>
      </c>
      <c r="E8741" t="inlineStr">
        <is>
          <t>CX TGAB HORIZ</t>
        </is>
      </c>
      <c r="F8741" t="inlineStr">
        <is>
          <t>NS2500kVA</t>
        </is>
      </c>
      <c r="J8741" t="inlineStr">
        <is>
          <t>MATRION</t>
        </is>
      </c>
      <c r="K8741" t="inlineStr">
        <is>
          <t>CUIVRE</t>
        </is>
      </c>
      <c r="L8741">
        <f>_xlfn.XLOOKUP(Tableau1[[#This Row],[TYPE DE PIECE]],Tableau4[MATIERE],Tableau4[SHORT TYPE],"",0,1)</f>
        <v/>
      </c>
      <c r="N8741">
        <f>IF(ISERR(FIND("DECOUPE",Tableau1[[#This Row],[DESIGNATION]])),"","NEED REF")</f>
        <v/>
      </c>
    </row>
    <row r="8742">
      <c r="B8742" t="n">
        <v>34405263</v>
      </c>
      <c r="C8742" s="2" t="n">
        <v>42581</v>
      </c>
      <c r="D8742" t="inlineStr">
        <is>
          <t>SPEC</t>
        </is>
      </c>
      <c r="E8742" t="inlineStr">
        <is>
          <t>RENFORT ARRIERE JDB BYPASS</t>
        </is>
      </c>
      <c r="F8742" t="inlineStr">
        <is>
          <t>NS2500kVA</t>
        </is>
      </c>
      <c r="J8742" t="inlineStr">
        <is>
          <t>MATRION</t>
        </is>
      </c>
      <c r="K8742" t="inlineStr">
        <is>
          <t>METAL</t>
        </is>
      </c>
      <c r="L8742">
        <f>_xlfn.XLOOKUP(Tableau1[[#This Row],[TYPE DE PIECE]],Tableau4[MATIERE],Tableau4[SHORT TYPE],"",0,1)</f>
        <v/>
      </c>
      <c r="N8742">
        <f>IF(ISERR(FIND("DECOUPE",Tableau1[[#This Row],[DESIGNATION]])),"","NEED REF")</f>
        <v/>
      </c>
    </row>
    <row r="8743">
      <c r="B8743" t="n">
        <v>34405262</v>
      </c>
      <c r="C8743" s="2" t="n">
        <v>42580</v>
      </c>
      <c r="D8743" t="inlineStr">
        <is>
          <t>SPEC</t>
        </is>
      </c>
      <c r="E8743" t="inlineStr">
        <is>
          <t>CX TGAB HORIZ 2</t>
        </is>
      </c>
      <c r="F8743" t="inlineStr">
        <is>
          <t>NS2500kVA</t>
        </is>
      </c>
      <c r="J8743" t="inlineStr">
        <is>
          <t>MATRION</t>
        </is>
      </c>
      <c r="K8743" t="inlineStr">
        <is>
          <t>CUIVRE</t>
        </is>
      </c>
      <c r="L8743">
        <f>_xlfn.XLOOKUP(Tableau1[[#This Row],[TYPE DE PIECE]],Tableau4[MATIERE],Tableau4[SHORT TYPE],"",0,1)</f>
        <v/>
      </c>
      <c r="N8743">
        <f>IF(ISERR(FIND("DECOUPE",Tableau1[[#This Row],[DESIGNATION]])),"","NEED REF")</f>
        <v/>
      </c>
    </row>
    <row r="8744">
      <c r="B8744" t="n">
        <v>34405261</v>
      </c>
      <c r="C8744" s="2" t="n">
        <v>42579</v>
      </c>
      <c r="D8744" t="inlineStr">
        <is>
          <t>SPEC</t>
        </is>
      </c>
      <c r="E8744" t="inlineStr">
        <is>
          <t>CX TGAB HORIZ 1</t>
        </is>
      </c>
      <c r="F8744" t="inlineStr">
        <is>
          <t>NS2500kVA</t>
        </is>
      </c>
      <c r="J8744" t="inlineStr">
        <is>
          <t>MATRION</t>
        </is>
      </c>
      <c r="K8744" t="inlineStr">
        <is>
          <t>CUIVRE</t>
        </is>
      </c>
      <c r="L8744">
        <f>_xlfn.XLOOKUP(Tableau1[[#This Row],[TYPE DE PIECE]],Tableau4[MATIERE],Tableau4[SHORT TYPE],"",0,1)</f>
        <v/>
      </c>
      <c r="N8744">
        <f>IF(ISERR(FIND("DECOUPE",Tableau1[[#This Row],[DESIGNATION]])),"","NEED REF")</f>
        <v/>
      </c>
    </row>
    <row r="8745">
      <c r="B8745" t="n">
        <v>34405260</v>
      </c>
      <c r="C8745" s="2" t="n">
        <v>42578</v>
      </c>
      <c r="D8745" t="inlineStr">
        <is>
          <t>SPEC</t>
        </is>
      </c>
      <c r="E8745" t="inlineStr">
        <is>
          <t>ECLISSE BYPASS/TGAB</t>
        </is>
      </c>
      <c r="F8745" t="inlineStr">
        <is>
          <t>NS2500kVA</t>
        </is>
      </c>
      <c r="J8745" t="inlineStr">
        <is>
          <t>MATRION</t>
        </is>
      </c>
      <c r="K8745" t="inlineStr">
        <is>
          <t>CUIVRE</t>
        </is>
      </c>
      <c r="L8745">
        <f>_xlfn.XLOOKUP(Tableau1[[#This Row],[TYPE DE PIECE]],Tableau4[MATIERE],Tableau4[SHORT TYPE],"",0,1)</f>
        <v/>
      </c>
      <c r="N8745">
        <f>IF(ISERR(FIND("DECOUPE",Tableau1[[#This Row],[DESIGNATION]])),"","NEED REF")</f>
        <v/>
      </c>
    </row>
    <row r="8746">
      <c r="B8746" t="n">
        <v>34405259</v>
      </c>
      <c r="C8746" s="2" t="n">
        <v>42576</v>
      </c>
      <c r="D8746" t="inlineStr">
        <is>
          <t>SPEC</t>
        </is>
      </c>
      <c r="E8746" t="inlineStr">
        <is>
          <t>Barre Aluminium</t>
        </is>
      </c>
      <c r="F8746" t="inlineStr">
        <is>
          <t>Armoire auxiliaire Bluedoor MBC</t>
        </is>
      </c>
      <c r="J8746" t="inlineStr">
        <is>
          <t>DUBOIS</t>
        </is>
      </c>
      <c r="K8746" t="inlineStr">
        <is>
          <t>Aluminium</t>
        </is>
      </c>
      <c r="L8746">
        <f>_xlfn.XLOOKUP(Tableau1[[#This Row],[TYPE DE PIECE]],Tableau4[MATIERE],Tableau4[SHORT TYPE],"",0,1)</f>
        <v/>
      </c>
      <c r="N8746">
        <f>IF(ISERR(FIND("DECOUPE",Tableau1[[#This Row],[DESIGNATION]])),"","NEED REF")</f>
        <v/>
      </c>
    </row>
    <row r="8747">
      <c r="B8747" t="n">
        <v>34405258</v>
      </c>
      <c r="C8747" s="2" t="n">
        <v>42576</v>
      </c>
      <c r="D8747" t="inlineStr">
        <is>
          <t>SPEC</t>
        </is>
      </c>
      <c r="E8747" t="inlineStr">
        <is>
          <t>Barre Aluminium</t>
        </is>
      </c>
      <c r="F8747" t="inlineStr">
        <is>
          <t>Armoire auxiliaire Bluedoor MBC</t>
        </is>
      </c>
      <c r="J8747" t="inlineStr">
        <is>
          <t>DUBOIS</t>
        </is>
      </c>
      <c r="K8747" t="inlineStr">
        <is>
          <t>Aluminium</t>
        </is>
      </c>
      <c r="L8747">
        <f>_xlfn.XLOOKUP(Tableau1[[#This Row],[TYPE DE PIECE]],Tableau4[MATIERE],Tableau4[SHORT TYPE],"",0,1)</f>
        <v/>
      </c>
      <c r="N8747">
        <f>IF(ISERR(FIND("DECOUPE",Tableau1[[#This Row],[DESIGNATION]])),"","NEED REF")</f>
        <v/>
      </c>
    </row>
    <row r="8748">
      <c r="B8748" t="n">
        <v>34405257</v>
      </c>
      <c r="C8748" s="2" t="n">
        <v>42576</v>
      </c>
      <c r="D8748" t="inlineStr">
        <is>
          <t>SPEC</t>
        </is>
      </c>
      <c r="E8748" t="inlineStr">
        <is>
          <t>Barre Aluminium</t>
        </is>
      </c>
      <c r="F8748" t="inlineStr">
        <is>
          <t>Armoire auxiliaire Bluedoor MBC</t>
        </is>
      </c>
      <c r="J8748" t="inlineStr">
        <is>
          <t>DUBOIS</t>
        </is>
      </c>
      <c r="K8748" t="inlineStr">
        <is>
          <t>Aluminium</t>
        </is>
      </c>
      <c r="L8748">
        <f>_xlfn.XLOOKUP(Tableau1[[#This Row],[TYPE DE PIECE]],Tableau4[MATIERE],Tableau4[SHORT TYPE],"",0,1)</f>
        <v/>
      </c>
      <c r="N8748">
        <f>IF(ISERR(FIND("DECOUPE",Tableau1[[#This Row],[DESIGNATION]])),"","NEED REF")</f>
        <v/>
      </c>
    </row>
    <row r="8749">
      <c r="B8749" t="n">
        <v>34405256</v>
      </c>
      <c r="C8749" s="2" t="n">
        <v>42576</v>
      </c>
      <c r="D8749" t="inlineStr">
        <is>
          <t>SPEC</t>
        </is>
      </c>
      <c r="E8749" t="inlineStr">
        <is>
          <t>Barre Aluminium</t>
        </is>
      </c>
      <c r="F8749" t="inlineStr">
        <is>
          <t>Armoire auxiliaire Bluedoor MBC</t>
        </is>
      </c>
      <c r="J8749" t="inlineStr">
        <is>
          <t>DUBOIS</t>
        </is>
      </c>
      <c r="K8749" t="inlineStr">
        <is>
          <t>Aluminium</t>
        </is>
      </c>
      <c r="L8749">
        <f>_xlfn.XLOOKUP(Tableau1[[#This Row],[TYPE DE PIECE]],Tableau4[MATIERE],Tableau4[SHORT TYPE],"",0,1)</f>
        <v/>
      </c>
      <c r="N8749">
        <f>IF(ISERR(FIND("DECOUPE",Tableau1[[#This Row],[DESIGNATION]])),"","NEED REF")</f>
        <v/>
      </c>
    </row>
    <row r="8750">
      <c r="B8750" t="n">
        <v>34405255</v>
      </c>
      <c r="C8750" s="2" t="n">
        <v>42576</v>
      </c>
      <c r="D8750" t="inlineStr">
        <is>
          <t>SPEC</t>
        </is>
      </c>
      <c r="E8750" t="inlineStr">
        <is>
          <t>Réservé</t>
        </is>
      </c>
      <c r="F8750" t="inlineStr">
        <is>
          <t>Armoire auxiliaire Bluedoor</t>
        </is>
      </c>
      <c r="J8750" t="inlineStr">
        <is>
          <t>DUBOIS</t>
        </is>
      </c>
      <c r="L8750">
        <f>_xlfn.XLOOKUP(Tableau1[[#This Row],[TYPE DE PIECE]],Tableau4[MATIERE],Tableau4[SHORT TYPE],"",0,1)</f>
        <v/>
      </c>
      <c r="N8750">
        <f>IF(ISERR(FIND("DECOUPE",Tableau1[[#This Row],[DESIGNATION]])),"","NEED REF")</f>
        <v/>
      </c>
    </row>
    <row r="8751">
      <c r="B8751" t="n">
        <v>34405254</v>
      </c>
      <c r="C8751" s="2" t="n">
        <v>42576</v>
      </c>
      <c r="D8751" t="inlineStr">
        <is>
          <t>SPEC</t>
        </is>
      </c>
      <c r="E8751" t="inlineStr">
        <is>
          <t>Réservé</t>
        </is>
      </c>
      <c r="F8751" t="inlineStr">
        <is>
          <t>Armoire auxiliaire Bluedoor</t>
        </is>
      </c>
      <c r="J8751" t="inlineStr">
        <is>
          <t>DUBOIS</t>
        </is>
      </c>
      <c r="L8751">
        <f>_xlfn.XLOOKUP(Tableau1[[#This Row],[TYPE DE PIECE]],Tableau4[MATIERE],Tableau4[SHORT TYPE],"",0,1)</f>
        <v/>
      </c>
      <c r="N8751">
        <f>IF(ISERR(FIND("DECOUPE",Tableau1[[#This Row],[DESIGNATION]])),"","NEED REF")</f>
        <v/>
      </c>
    </row>
    <row r="8752">
      <c r="B8752" t="n">
        <v>34405253</v>
      </c>
      <c r="C8752" s="2" t="n">
        <v>42576</v>
      </c>
      <c r="D8752" t="inlineStr">
        <is>
          <t>SPEC</t>
        </is>
      </c>
      <c r="E8752" t="inlineStr">
        <is>
          <t>Barre Aluminium</t>
        </is>
      </c>
      <c r="F8752" t="inlineStr">
        <is>
          <t>Armoire auxiliaire Bluedoor MBC</t>
        </is>
      </c>
      <c r="J8752" t="inlineStr">
        <is>
          <t>DUBOIS</t>
        </is>
      </c>
      <c r="K8752" t="inlineStr">
        <is>
          <t>Aluminium</t>
        </is>
      </c>
      <c r="L8752">
        <f>_xlfn.XLOOKUP(Tableau1[[#This Row],[TYPE DE PIECE]],Tableau4[MATIERE],Tableau4[SHORT TYPE],"",0,1)</f>
        <v/>
      </c>
      <c r="N8752">
        <f>IF(ISERR(FIND("DECOUPE",Tableau1[[#This Row],[DESIGNATION]])),"","NEED REF")</f>
        <v/>
      </c>
    </row>
    <row r="8753">
      <c r="B8753" t="n">
        <v>34405252</v>
      </c>
      <c r="C8753" s="2" t="n">
        <v>42576</v>
      </c>
      <c r="D8753" t="inlineStr">
        <is>
          <t>SPEC</t>
        </is>
      </c>
      <c r="E8753" t="inlineStr">
        <is>
          <t>Réservé</t>
        </is>
      </c>
      <c r="F8753" t="inlineStr">
        <is>
          <t>Armoire auxiliaire Bluedoor</t>
        </is>
      </c>
      <c r="J8753" t="inlineStr">
        <is>
          <t>DUBOIS</t>
        </is>
      </c>
      <c r="L8753">
        <f>_xlfn.XLOOKUP(Tableau1[[#This Row],[TYPE DE PIECE]],Tableau4[MATIERE],Tableau4[SHORT TYPE],"",0,1)</f>
        <v/>
      </c>
      <c r="N8753">
        <f>IF(ISERR(FIND("DECOUPE",Tableau1[[#This Row],[DESIGNATION]])),"","NEED REF")</f>
        <v/>
      </c>
    </row>
    <row r="8754">
      <c r="B8754" t="n">
        <v>34405251</v>
      </c>
      <c r="C8754" s="2" t="n">
        <v>42576</v>
      </c>
      <c r="D8754" t="inlineStr">
        <is>
          <t>SPEC</t>
        </is>
      </c>
      <c r="E8754" t="inlineStr">
        <is>
          <t>Réservé</t>
        </is>
      </c>
      <c r="F8754" t="inlineStr">
        <is>
          <t>Armoire auxiliaire Bluedoor</t>
        </is>
      </c>
      <c r="J8754" t="inlineStr">
        <is>
          <t>DUBOIS</t>
        </is>
      </c>
      <c r="L8754">
        <f>_xlfn.XLOOKUP(Tableau1[[#This Row],[TYPE DE PIECE]],Tableau4[MATIERE],Tableau4[SHORT TYPE],"",0,1)</f>
        <v/>
      </c>
      <c r="N8754">
        <f>IF(ISERR(FIND("DECOUPE",Tableau1[[#This Row],[DESIGNATION]])),"","NEED REF")</f>
        <v/>
      </c>
    </row>
    <row r="8755">
      <c r="B8755" t="n">
        <v>34405250</v>
      </c>
      <c r="C8755" s="2" t="n">
        <v>42576</v>
      </c>
      <c r="D8755" t="inlineStr">
        <is>
          <t>SPEC</t>
        </is>
      </c>
      <c r="E8755" t="inlineStr">
        <is>
          <t>Barre Aluminium</t>
        </is>
      </c>
      <c r="F8755" t="inlineStr">
        <is>
          <t>Armoire auxiliaire Bluedoor MBC</t>
        </is>
      </c>
      <c r="J8755" t="inlineStr">
        <is>
          <t>DUBOIS</t>
        </is>
      </c>
      <c r="K8755" t="inlineStr">
        <is>
          <t>Aluminium</t>
        </is>
      </c>
      <c r="L8755">
        <f>_xlfn.XLOOKUP(Tableau1[[#This Row],[TYPE DE PIECE]],Tableau4[MATIERE],Tableau4[SHORT TYPE],"",0,1)</f>
        <v/>
      </c>
      <c r="N8755">
        <f>IF(ISERR(FIND("DECOUPE",Tableau1[[#This Row],[DESIGNATION]])),"","NEED REF")</f>
        <v/>
      </c>
    </row>
    <row r="8756">
      <c r="B8756" t="n">
        <v>34405249</v>
      </c>
      <c r="C8756" s="2" t="n">
        <v>42576</v>
      </c>
      <c r="D8756" t="inlineStr">
        <is>
          <t>SPEC</t>
        </is>
      </c>
      <c r="E8756" t="inlineStr">
        <is>
          <t>Barre Aluminium</t>
        </is>
      </c>
      <c r="F8756" t="inlineStr">
        <is>
          <t>Armoire auxiliaire Bluedoor MBC</t>
        </is>
      </c>
      <c r="J8756" t="inlineStr">
        <is>
          <t>DUBOIS</t>
        </is>
      </c>
      <c r="K8756" t="inlineStr">
        <is>
          <t>Aluminium</t>
        </is>
      </c>
      <c r="L8756">
        <f>_xlfn.XLOOKUP(Tableau1[[#This Row],[TYPE DE PIECE]],Tableau4[MATIERE],Tableau4[SHORT TYPE],"",0,1)</f>
        <v/>
      </c>
      <c r="N8756">
        <f>IF(ISERR(FIND("DECOUPE",Tableau1[[#This Row],[DESIGNATION]])),"","NEED REF")</f>
        <v/>
      </c>
    </row>
    <row r="8757">
      <c r="B8757" t="n">
        <v>34405248</v>
      </c>
      <c r="C8757" s="2" t="n">
        <v>42576</v>
      </c>
      <c r="D8757" t="inlineStr">
        <is>
          <t>SPEC</t>
        </is>
      </c>
      <c r="E8757" t="inlineStr">
        <is>
          <t>Barre Aluminium</t>
        </is>
      </c>
      <c r="F8757" t="inlineStr">
        <is>
          <t>Armoire auxiliaire Bluedoor MBC</t>
        </is>
      </c>
      <c r="J8757" t="inlineStr">
        <is>
          <t>DUBOIS</t>
        </is>
      </c>
      <c r="K8757" t="inlineStr">
        <is>
          <t>Aluminium</t>
        </is>
      </c>
      <c r="L8757">
        <f>_xlfn.XLOOKUP(Tableau1[[#This Row],[TYPE DE PIECE]],Tableau4[MATIERE],Tableau4[SHORT TYPE],"",0,1)</f>
        <v/>
      </c>
      <c r="N8757">
        <f>IF(ISERR(FIND("DECOUPE",Tableau1[[#This Row],[DESIGNATION]])),"","NEED REF")</f>
        <v/>
      </c>
    </row>
    <row r="8758">
      <c r="B8758" t="n">
        <v>34405247</v>
      </c>
      <c r="C8758" s="2" t="n">
        <v>42576</v>
      </c>
      <c r="D8758" t="inlineStr">
        <is>
          <t>SPEC</t>
        </is>
      </c>
      <c r="E8758" t="inlineStr">
        <is>
          <t>Barre Aluminium</t>
        </is>
      </c>
      <c r="F8758" t="inlineStr">
        <is>
          <t>Armoire auxiliaire Bluedoor MBC</t>
        </is>
      </c>
      <c r="J8758" t="inlineStr">
        <is>
          <t>DUBOIS</t>
        </is>
      </c>
      <c r="K8758" t="inlineStr">
        <is>
          <t>Aluminium</t>
        </is>
      </c>
      <c r="L8758">
        <f>_xlfn.XLOOKUP(Tableau1[[#This Row],[TYPE DE PIECE]],Tableau4[MATIERE],Tableau4[SHORT TYPE],"",0,1)</f>
        <v/>
      </c>
      <c r="N8758">
        <f>IF(ISERR(FIND("DECOUPE",Tableau1[[#This Row],[DESIGNATION]])),"","NEED REF")</f>
        <v/>
      </c>
    </row>
    <row r="8759">
      <c r="B8759" t="n">
        <v>34405246</v>
      </c>
      <c r="C8759" s="2" t="n">
        <v>42576</v>
      </c>
      <c r="D8759" t="inlineStr">
        <is>
          <t>SPEC</t>
        </is>
      </c>
      <c r="E8759" t="inlineStr">
        <is>
          <t>Barre Aluminium</t>
        </is>
      </c>
      <c r="F8759" t="inlineStr">
        <is>
          <t>Armoire auxiliaire Bluedoor MBC</t>
        </is>
      </c>
      <c r="J8759" t="inlineStr">
        <is>
          <t>DUBOIS</t>
        </is>
      </c>
      <c r="K8759" t="inlineStr">
        <is>
          <t>Aluminium</t>
        </is>
      </c>
      <c r="L8759">
        <f>_xlfn.XLOOKUP(Tableau1[[#This Row],[TYPE DE PIECE]],Tableau4[MATIERE],Tableau4[SHORT TYPE],"",0,1)</f>
        <v/>
      </c>
      <c r="N8759">
        <f>IF(ISERR(FIND("DECOUPE",Tableau1[[#This Row],[DESIGNATION]])),"","NEED REF")</f>
        <v/>
      </c>
    </row>
    <row r="8760">
      <c r="B8760" t="n">
        <v>34405245</v>
      </c>
      <c r="C8760" s="2" t="n">
        <v>42576</v>
      </c>
      <c r="D8760" t="inlineStr">
        <is>
          <t>SPEC</t>
        </is>
      </c>
      <c r="E8760" t="inlineStr">
        <is>
          <t>Barre Aluminium</t>
        </is>
      </c>
      <c r="F8760" t="inlineStr">
        <is>
          <t>Armoire auxiliaire Bluedoor MBC</t>
        </is>
      </c>
      <c r="J8760" t="inlineStr">
        <is>
          <t>DUBOIS</t>
        </is>
      </c>
      <c r="K8760" t="inlineStr">
        <is>
          <t>Aluminium</t>
        </is>
      </c>
      <c r="L8760">
        <f>_xlfn.XLOOKUP(Tableau1[[#This Row],[TYPE DE PIECE]],Tableau4[MATIERE],Tableau4[SHORT TYPE],"",0,1)</f>
        <v/>
      </c>
      <c r="N8760">
        <f>IF(ISERR(FIND("DECOUPE",Tableau1[[#This Row],[DESIGNATION]])),"","NEED REF")</f>
        <v/>
      </c>
    </row>
    <row r="8761">
      <c r="B8761" t="n">
        <v>34405244</v>
      </c>
      <c r="C8761" s="2" t="n">
        <v>42576</v>
      </c>
      <c r="D8761" t="inlineStr">
        <is>
          <t>SPEC</t>
        </is>
      </c>
      <c r="E8761" t="inlineStr">
        <is>
          <t>Barre Aluminium</t>
        </is>
      </c>
      <c r="F8761" t="inlineStr">
        <is>
          <t>Armoire auxiliaire Bluedoor MBC</t>
        </is>
      </c>
      <c r="J8761" t="inlineStr">
        <is>
          <t>DUBOIS</t>
        </is>
      </c>
      <c r="K8761" t="inlineStr">
        <is>
          <t>Aluminium</t>
        </is>
      </c>
      <c r="L8761">
        <f>_xlfn.XLOOKUP(Tableau1[[#This Row],[TYPE DE PIECE]],Tableau4[MATIERE],Tableau4[SHORT TYPE],"",0,1)</f>
        <v/>
      </c>
      <c r="N8761">
        <f>IF(ISERR(FIND("DECOUPE",Tableau1[[#This Row],[DESIGNATION]])),"","NEED REF")</f>
        <v/>
      </c>
    </row>
    <row r="8762">
      <c r="B8762" t="n">
        <v>34405243</v>
      </c>
      <c r="C8762" s="2" t="n">
        <v>42576</v>
      </c>
      <c r="D8762" t="inlineStr">
        <is>
          <t>SPEC</t>
        </is>
      </c>
      <c r="E8762" t="inlineStr">
        <is>
          <t>Barre Aluminium</t>
        </is>
      </c>
      <c r="F8762" t="inlineStr">
        <is>
          <t>Armoire auxiliaire Bluedoor MBC</t>
        </is>
      </c>
      <c r="J8762" t="inlineStr">
        <is>
          <t>DUBOIS</t>
        </is>
      </c>
      <c r="K8762" t="inlineStr">
        <is>
          <t>Aluminium</t>
        </is>
      </c>
      <c r="L8762">
        <f>_xlfn.XLOOKUP(Tableau1[[#This Row],[TYPE DE PIECE]],Tableau4[MATIERE],Tableau4[SHORT TYPE],"",0,1)</f>
        <v/>
      </c>
      <c r="N8762">
        <f>IF(ISERR(FIND("DECOUPE",Tableau1[[#This Row],[DESIGNATION]])),"","NEED REF")</f>
        <v/>
      </c>
    </row>
    <row r="8763">
      <c r="B8763" t="n">
        <v>34405242</v>
      </c>
      <c r="C8763" s="2" t="n">
        <v>42576</v>
      </c>
      <c r="D8763" t="inlineStr">
        <is>
          <t>SPEC</t>
        </is>
      </c>
      <c r="E8763" t="inlineStr">
        <is>
          <t>Barre Aluminium</t>
        </is>
      </c>
      <c r="F8763" t="inlineStr">
        <is>
          <t>Armoire auxiliaire Bluedoor MBC</t>
        </is>
      </c>
      <c r="J8763" t="inlineStr">
        <is>
          <t>DUBOIS</t>
        </is>
      </c>
      <c r="K8763" t="inlineStr">
        <is>
          <t>Aluminium</t>
        </is>
      </c>
      <c r="L8763">
        <f>_xlfn.XLOOKUP(Tableau1[[#This Row],[TYPE DE PIECE]],Tableau4[MATIERE],Tableau4[SHORT TYPE],"",0,1)</f>
        <v/>
      </c>
      <c r="N8763">
        <f>IF(ISERR(FIND("DECOUPE",Tableau1[[#This Row],[DESIGNATION]])),"","NEED REF")</f>
        <v/>
      </c>
    </row>
    <row r="8764">
      <c r="B8764" t="n">
        <v>34405241</v>
      </c>
      <c r="C8764" s="2" t="n">
        <v>42576</v>
      </c>
      <c r="D8764" t="inlineStr">
        <is>
          <t>SPEC</t>
        </is>
      </c>
      <c r="E8764" t="inlineStr">
        <is>
          <t>Réservé</t>
        </is>
      </c>
      <c r="F8764" t="inlineStr">
        <is>
          <t>Armoire auxiliaire Bluedoor</t>
        </is>
      </c>
      <c r="J8764" t="inlineStr">
        <is>
          <t>DUBOIS</t>
        </is>
      </c>
      <c r="L8764">
        <f>_xlfn.XLOOKUP(Tableau1[[#This Row],[TYPE DE PIECE]],Tableau4[MATIERE],Tableau4[SHORT TYPE],"",0,1)</f>
        <v/>
      </c>
      <c r="N8764">
        <f>IF(ISERR(FIND("DECOUPE",Tableau1[[#This Row],[DESIGNATION]])),"","NEED REF")</f>
        <v/>
      </c>
    </row>
    <row r="8765">
      <c r="B8765" t="n">
        <v>34405240</v>
      </c>
      <c r="C8765" s="2" t="n">
        <v>42576</v>
      </c>
      <c r="D8765" t="inlineStr">
        <is>
          <t>SPEC</t>
        </is>
      </c>
      <c r="E8765" t="inlineStr">
        <is>
          <t>Barre Aluminium</t>
        </is>
      </c>
      <c r="F8765" t="inlineStr">
        <is>
          <t>Armoire auxiliaire Bluedoor MBC</t>
        </is>
      </c>
      <c r="J8765" t="inlineStr">
        <is>
          <t>DUBOIS</t>
        </is>
      </c>
      <c r="K8765" t="inlineStr">
        <is>
          <t>Aluminium</t>
        </is>
      </c>
      <c r="L8765">
        <f>_xlfn.XLOOKUP(Tableau1[[#This Row],[TYPE DE PIECE]],Tableau4[MATIERE],Tableau4[SHORT TYPE],"",0,1)</f>
        <v/>
      </c>
      <c r="N8765">
        <f>IF(ISERR(FIND("DECOUPE",Tableau1[[#This Row],[DESIGNATION]])),"","NEED REF")</f>
        <v/>
      </c>
    </row>
    <row r="8766">
      <c r="B8766" t="n">
        <v>34405239</v>
      </c>
      <c r="C8766" s="2" t="n">
        <v>42576</v>
      </c>
      <c r="D8766" t="inlineStr">
        <is>
          <t>SPEC</t>
        </is>
      </c>
      <c r="E8766" t="inlineStr">
        <is>
          <t>Barre Aluminium</t>
        </is>
      </c>
      <c r="F8766" t="inlineStr">
        <is>
          <t>Armoire auxiliaire Bluedoor MBC</t>
        </is>
      </c>
      <c r="J8766" t="inlineStr">
        <is>
          <t>DUBOIS</t>
        </is>
      </c>
      <c r="K8766" t="inlineStr">
        <is>
          <t>Aluminium</t>
        </is>
      </c>
      <c r="L8766">
        <f>_xlfn.XLOOKUP(Tableau1[[#This Row],[TYPE DE PIECE]],Tableau4[MATIERE],Tableau4[SHORT TYPE],"",0,1)</f>
        <v/>
      </c>
      <c r="N8766">
        <f>IF(ISERR(FIND("DECOUPE",Tableau1[[#This Row],[DESIGNATION]])),"","NEED REF")</f>
        <v/>
      </c>
    </row>
    <row r="8767">
      <c r="B8767" t="n">
        <v>34405238</v>
      </c>
      <c r="C8767" s="2" t="n">
        <v>42576</v>
      </c>
      <c r="D8767" t="inlineStr">
        <is>
          <t>SPEC</t>
        </is>
      </c>
      <c r="E8767" t="inlineStr">
        <is>
          <t>Barre Aluminium</t>
        </is>
      </c>
      <c r="F8767" t="inlineStr">
        <is>
          <t>Armoire auxiliaire Bluedoor MBC</t>
        </is>
      </c>
      <c r="J8767" t="inlineStr">
        <is>
          <t>DUBOIS</t>
        </is>
      </c>
      <c r="K8767" t="inlineStr">
        <is>
          <t>Aluminium</t>
        </is>
      </c>
      <c r="L8767">
        <f>_xlfn.XLOOKUP(Tableau1[[#This Row],[TYPE DE PIECE]],Tableau4[MATIERE],Tableau4[SHORT TYPE],"",0,1)</f>
        <v/>
      </c>
      <c r="N8767">
        <f>IF(ISERR(FIND("DECOUPE",Tableau1[[#This Row],[DESIGNATION]])),"","NEED REF")</f>
        <v/>
      </c>
    </row>
    <row r="8768">
      <c r="B8768" t="n">
        <v>34405237</v>
      </c>
      <c r="C8768" s="2" t="n">
        <v>42576</v>
      </c>
      <c r="D8768" t="inlineStr">
        <is>
          <t>SPEC</t>
        </is>
      </c>
      <c r="E8768" t="inlineStr">
        <is>
          <t>Barre Aluminium</t>
        </is>
      </c>
      <c r="F8768" t="inlineStr">
        <is>
          <t>Armoire auxiliaire Bluedoor MBC</t>
        </is>
      </c>
      <c r="J8768" t="inlineStr">
        <is>
          <t>DUBOIS</t>
        </is>
      </c>
      <c r="K8768" t="inlineStr">
        <is>
          <t>Aluminium</t>
        </is>
      </c>
      <c r="L8768">
        <f>_xlfn.XLOOKUP(Tableau1[[#This Row],[TYPE DE PIECE]],Tableau4[MATIERE],Tableau4[SHORT TYPE],"",0,1)</f>
        <v/>
      </c>
      <c r="N8768">
        <f>IF(ISERR(FIND("DECOUPE",Tableau1[[#This Row],[DESIGNATION]])),"","NEED REF")</f>
        <v/>
      </c>
    </row>
    <row r="8769">
      <c r="B8769" t="n">
        <v>34405236</v>
      </c>
      <c r="C8769" s="2" t="n">
        <v>42576</v>
      </c>
      <c r="D8769" t="inlineStr">
        <is>
          <t>SPEC</t>
        </is>
      </c>
      <c r="E8769" t="inlineStr">
        <is>
          <t>Platine support cartes</t>
        </is>
      </c>
      <c r="F8769" t="inlineStr">
        <is>
          <t>Armoire auxiliaire Bluedoor</t>
        </is>
      </c>
      <c r="J8769" t="inlineStr">
        <is>
          <t>DUBOIS</t>
        </is>
      </c>
      <c r="L8769">
        <f>_xlfn.XLOOKUP(Tableau1[[#This Row],[TYPE DE PIECE]],Tableau4[MATIERE],Tableau4[SHORT TYPE],"",0,1)</f>
        <v/>
      </c>
      <c r="N8769">
        <f>IF(ISERR(FIND("DECOUPE",Tableau1[[#This Row],[DESIGNATION]])),"","NEED REF")</f>
        <v/>
      </c>
    </row>
    <row r="8770">
      <c r="B8770" t="n">
        <v>34405235</v>
      </c>
      <c r="C8770" s="2" t="n">
        <v>42576</v>
      </c>
      <c r="D8770" t="inlineStr">
        <is>
          <t>SPEC</t>
        </is>
      </c>
      <c r="E8770" t="inlineStr">
        <is>
          <t>Plastron bas</t>
        </is>
      </c>
      <c r="F8770" t="inlineStr">
        <is>
          <t>Armoire auxiliaire Bluedoor</t>
        </is>
      </c>
      <c r="J8770" t="inlineStr">
        <is>
          <t>DUBOIS</t>
        </is>
      </c>
      <c r="K8770" t="inlineStr">
        <is>
          <t>METAL</t>
        </is>
      </c>
      <c r="L8770">
        <f>_xlfn.XLOOKUP(Tableau1[[#This Row],[TYPE DE PIECE]],Tableau4[MATIERE],Tableau4[SHORT TYPE],"",0,1)</f>
        <v/>
      </c>
      <c r="N8770">
        <f>IF(ISERR(FIND("DECOUPE",Tableau1[[#This Row],[DESIGNATION]])),"","NEED REF")</f>
        <v/>
      </c>
    </row>
    <row r="8771">
      <c r="B8771" t="n">
        <v>34405234</v>
      </c>
      <c r="C8771" s="2" t="n">
        <v>42576</v>
      </c>
      <c r="D8771" t="inlineStr">
        <is>
          <t>SPEC</t>
        </is>
      </c>
      <c r="E8771" t="inlineStr">
        <is>
          <t>Plastron milieu</t>
        </is>
      </c>
      <c r="F8771" t="inlineStr">
        <is>
          <t>Armoire auxiliaire Bluedoor</t>
        </is>
      </c>
      <c r="J8771" t="inlineStr">
        <is>
          <t>DUBOIS</t>
        </is>
      </c>
      <c r="K8771" t="inlineStr">
        <is>
          <t>METAL</t>
        </is>
      </c>
      <c r="L8771">
        <f>_xlfn.XLOOKUP(Tableau1[[#This Row],[TYPE DE PIECE]],Tableau4[MATIERE],Tableau4[SHORT TYPE],"",0,1)</f>
        <v/>
      </c>
      <c r="N8771">
        <f>IF(ISERR(FIND("DECOUPE",Tableau1[[#This Row],[DESIGNATION]])),"","NEED REF")</f>
        <v/>
      </c>
    </row>
    <row r="8772">
      <c r="B8772" t="n">
        <v>34405233</v>
      </c>
      <c r="C8772" s="2" t="n">
        <v>42576</v>
      </c>
      <c r="D8772" t="inlineStr">
        <is>
          <t>SPEC</t>
        </is>
      </c>
      <c r="E8772" t="inlineStr">
        <is>
          <t>Plastron haut</t>
        </is>
      </c>
      <c r="F8772" t="inlineStr">
        <is>
          <t>Armoire auxiliaire Bluedoor</t>
        </is>
      </c>
      <c r="J8772" t="inlineStr">
        <is>
          <t>DUBOIS</t>
        </is>
      </c>
      <c r="K8772" t="inlineStr">
        <is>
          <t>METAL</t>
        </is>
      </c>
      <c r="L8772">
        <f>_xlfn.XLOOKUP(Tableau1[[#This Row],[TYPE DE PIECE]],Tableau4[MATIERE],Tableau4[SHORT TYPE],"",0,1)</f>
        <v/>
      </c>
      <c r="N8772">
        <f>IF(ISERR(FIND("DECOUPE",Tableau1[[#This Row],[DESIGNATION]])),"","NEED REF")</f>
        <v/>
      </c>
    </row>
    <row r="8773">
      <c r="B8773" t="n">
        <v>34405232</v>
      </c>
      <c r="C8773" s="2" t="n">
        <v>42576</v>
      </c>
      <c r="D8773" t="inlineStr">
        <is>
          <t>SPEC</t>
        </is>
      </c>
      <c r="E8773" t="inlineStr">
        <is>
          <t>Barre aluminium</t>
        </is>
      </c>
      <c r="F8773" t="inlineStr">
        <is>
          <t>Armoire auxiliaire Bluedoor</t>
        </is>
      </c>
      <c r="J8773" t="inlineStr">
        <is>
          <t>DUBOIS</t>
        </is>
      </c>
      <c r="L8773">
        <f>_xlfn.XLOOKUP(Tableau1[[#This Row],[TYPE DE PIECE]],Tableau4[MATIERE],Tableau4[SHORT TYPE],"",0,1)</f>
        <v/>
      </c>
      <c r="N8773">
        <f>IF(ISERR(FIND("DECOUPE",Tableau1[[#This Row],[DESIGNATION]])),"","NEED REF")</f>
        <v/>
      </c>
    </row>
    <row r="8774">
      <c r="B8774" t="n">
        <v>34405231</v>
      </c>
      <c r="C8774" s="2" t="n">
        <v>42576</v>
      </c>
      <c r="D8774" t="inlineStr">
        <is>
          <t>SPEC</t>
        </is>
      </c>
      <c r="F8774" t="inlineStr">
        <is>
          <t>Armoire auxiliaire Bluedoor</t>
        </is>
      </c>
      <c r="J8774" t="inlineStr">
        <is>
          <t>DUBOIS</t>
        </is>
      </c>
      <c r="L8774">
        <f>_xlfn.XLOOKUP(Tableau1[[#This Row],[TYPE DE PIECE]],Tableau4[MATIERE],Tableau4[SHORT TYPE],"",0,1)</f>
        <v/>
      </c>
      <c r="N8774">
        <f>IF(ISERR(FIND("DECOUPE",Tableau1[[#This Row],[DESIGNATION]])),"","NEED REF")</f>
        <v/>
      </c>
    </row>
    <row r="8775">
      <c r="B8775" t="n">
        <v>34405230</v>
      </c>
      <c r="C8775" s="2" t="n">
        <v>42576</v>
      </c>
      <c r="D8775" t="inlineStr">
        <is>
          <t>SPEC</t>
        </is>
      </c>
      <c r="F8775" t="inlineStr">
        <is>
          <t>Armoire auxiliaire Bluedoor</t>
        </is>
      </c>
      <c r="J8775" t="inlineStr">
        <is>
          <t>DUBOIS</t>
        </is>
      </c>
      <c r="K8775" t="inlineStr">
        <is>
          <t>METAL</t>
        </is>
      </c>
      <c r="L8775">
        <f>_xlfn.XLOOKUP(Tableau1[[#This Row],[TYPE DE PIECE]],Tableau4[MATIERE],Tableau4[SHORT TYPE],"",0,1)</f>
        <v/>
      </c>
      <c r="N8775">
        <f>IF(ISERR(FIND("DECOUPE",Tableau1[[#This Row],[DESIGNATION]])),"","NEED REF")</f>
        <v/>
      </c>
    </row>
    <row r="8776">
      <c r="B8776" t="n">
        <v>34405229</v>
      </c>
      <c r="C8776" s="2" t="n">
        <v>42576</v>
      </c>
      <c r="D8776" t="inlineStr">
        <is>
          <t>SPEC</t>
        </is>
      </c>
      <c r="E8776" t="inlineStr">
        <is>
          <t>Platine support master</t>
        </is>
      </c>
      <c r="F8776" t="inlineStr">
        <is>
          <t>Armoire auxiliaire Bluedoor</t>
        </is>
      </c>
      <c r="J8776" t="inlineStr">
        <is>
          <t>DUBOIS</t>
        </is>
      </c>
      <c r="K8776" t="inlineStr">
        <is>
          <t>METAL</t>
        </is>
      </c>
      <c r="L8776">
        <f>_xlfn.XLOOKUP(Tableau1[[#This Row],[TYPE DE PIECE]],Tableau4[MATIERE],Tableau4[SHORT TYPE],"",0,1)</f>
        <v/>
      </c>
      <c r="N8776">
        <f>IF(ISERR(FIND("DECOUPE",Tableau1[[#This Row],[DESIGNATION]])),"","NEED REF")</f>
        <v/>
      </c>
    </row>
    <row r="8777">
      <c r="B8777" t="n">
        <v>34405228</v>
      </c>
      <c r="C8777" s="2" t="n">
        <v>42576</v>
      </c>
      <c r="D8777" t="inlineStr">
        <is>
          <t>SPEC</t>
        </is>
      </c>
      <c r="E8777" t="inlineStr">
        <is>
          <t>Traverse</t>
        </is>
      </c>
      <c r="F8777" t="inlineStr">
        <is>
          <t>Armoire auxiliaire Bluedoor</t>
        </is>
      </c>
      <c r="J8777" t="inlineStr">
        <is>
          <t>DUBOIS</t>
        </is>
      </c>
      <c r="K8777" t="inlineStr">
        <is>
          <t>METAL</t>
        </is>
      </c>
      <c r="L8777">
        <f>_xlfn.XLOOKUP(Tableau1[[#This Row],[TYPE DE PIECE]],Tableau4[MATIERE],Tableau4[SHORT TYPE],"",0,1)</f>
        <v/>
      </c>
      <c r="N8777">
        <f>IF(ISERR(FIND("DECOUPE",Tableau1[[#This Row],[DESIGNATION]])),"","NEED REF")</f>
        <v/>
      </c>
    </row>
    <row r="8778">
      <c r="B8778" t="n">
        <v>34405227</v>
      </c>
      <c r="C8778" s="2" t="n">
        <v>42576</v>
      </c>
      <c r="D8778" t="inlineStr">
        <is>
          <t>SPEC</t>
        </is>
      </c>
      <c r="E8778" t="inlineStr">
        <is>
          <t>Traverse</t>
        </is>
      </c>
      <c r="F8778" t="inlineStr">
        <is>
          <t>Armoire auxiliaire Bluedoor</t>
        </is>
      </c>
      <c r="J8778" t="inlineStr">
        <is>
          <t>DUBOIS</t>
        </is>
      </c>
      <c r="K8778" t="inlineStr">
        <is>
          <t>METAL</t>
        </is>
      </c>
      <c r="L8778">
        <f>_xlfn.XLOOKUP(Tableau1[[#This Row],[TYPE DE PIECE]],Tableau4[MATIERE],Tableau4[SHORT TYPE],"",0,1)</f>
        <v/>
      </c>
      <c r="N8778">
        <f>IF(ISERR(FIND("DECOUPE",Tableau1[[#This Row],[DESIGNATION]])),"","NEED REF")</f>
        <v/>
      </c>
    </row>
    <row r="8779">
      <c r="B8779" t="n">
        <v>34405226</v>
      </c>
      <c r="C8779" s="2" t="n">
        <v>42576</v>
      </c>
      <c r="D8779" t="inlineStr">
        <is>
          <t>SPEC</t>
        </is>
      </c>
      <c r="E8779" t="inlineStr">
        <is>
          <t>Traverse</t>
        </is>
      </c>
      <c r="F8779" t="inlineStr">
        <is>
          <t>Armoire auxiliaire Bluedoor</t>
        </is>
      </c>
      <c r="J8779" t="inlineStr">
        <is>
          <t>DUBOIS</t>
        </is>
      </c>
      <c r="K8779" t="inlineStr">
        <is>
          <t>METAL</t>
        </is>
      </c>
      <c r="L8779">
        <f>_xlfn.XLOOKUP(Tableau1[[#This Row],[TYPE DE PIECE]],Tableau4[MATIERE],Tableau4[SHORT TYPE],"",0,1)</f>
        <v/>
      </c>
      <c r="N8779">
        <f>IF(ISERR(FIND("DECOUPE",Tableau1[[#This Row],[DESIGNATION]])),"","NEED REF")</f>
        <v/>
      </c>
    </row>
    <row r="8780">
      <c r="B8780" t="n">
        <v>34405225</v>
      </c>
      <c r="C8780" s="2" t="n">
        <v>42576</v>
      </c>
      <c r="D8780" t="inlineStr">
        <is>
          <t>SPEC</t>
        </is>
      </c>
      <c r="E8780" t="inlineStr">
        <is>
          <t>Barre aluminium</t>
        </is>
      </c>
      <c r="F8780" t="inlineStr">
        <is>
          <t>Armoire auxiliaire Bluedoor</t>
        </is>
      </c>
      <c r="J8780" t="inlineStr">
        <is>
          <t>DUBOIS</t>
        </is>
      </c>
      <c r="K8780" t="inlineStr">
        <is>
          <t>Aluminium</t>
        </is>
      </c>
      <c r="L8780">
        <f>_xlfn.XLOOKUP(Tableau1[[#This Row],[TYPE DE PIECE]],Tableau4[MATIERE],Tableau4[SHORT TYPE],"",0,1)</f>
        <v/>
      </c>
      <c r="N8780">
        <f>IF(ISERR(FIND("DECOUPE",Tableau1[[#This Row],[DESIGNATION]])),"","NEED REF")</f>
        <v/>
      </c>
    </row>
    <row r="8781">
      <c r="B8781" t="n">
        <v>34405224</v>
      </c>
      <c r="C8781" s="2" t="n">
        <v>42576</v>
      </c>
      <c r="D8781" t="inlineStr">
        <is>
          <t>SPEC</t>
        </is>
      </c>
      <c r="E8781" t="inlineStr">
        <is>
          <t>Barre aluminium</t>
        </is>
      </c>
      <c r="F8781" t="inlineStr">
        <is>
          <t>Armoire auxiliaire Bluedoor</t>
        </is>
      </c>
      <c r="J8781" t="inlineStr">
        <is>
          <t>DUBOIS</t>
        </is>
      </c>
      <c r="K8781" t="inlineStr">
        <is>
          <t>Aluminium</t>
        </is>
      </c>
      <c r="L8781">
        <f>_xlfn.XLOOKUP(Tableau1[[#This Row],[TYPE DE PIECE]],Tableau4[MATIERE],Tableau4[SHORT TYPE],"",0,1)</f>
        <v/>
      </c>
      <c r="N8781">
        <f>IF(ISERR(FIND("DECOUPE",Tableau1[[#This Row],[DESIGNATION]])),"","NEED REF")</f>
        <v/>
      </c>
    </row>
    <row r="8782">
      <c r="B8782" t="n">
        <v>34405223</v>
      </c>
      <c r="C8782" s="2" t="n">
        <v>42576</v>
      </c>
      <c r="D8782" t="inlineStr">
        <is>
          <t>SPEC</t>
        </is>
      </c>
      <c r="E8782" t="inlineStr">
        <is>
          <t>Barre aluminium</t>
        </is>
      </c>
      <c r="F8782" t="inlineStr">
        <is>
          <t>Armoire auxiliaire Bluedoor</t>
        </is>
      </c>
      <c r="J8782" t="inlineStr">
        <is>
          <t>DUBOIS</t>
        </is>
      </c>
      <c r="K8782" t="inlineStr">
        <is>
          <t>Aluminium</t>
        </is>
      </c>
      <c r="L8782">
        <f>_xlfn.XLOOKUP(Tableau1[[#This Row],[TYPE DE PIECE]],Tableau4[MATIERE],Tableau4[SHORT TYPE],"",0,1)</f>
        <v/>
      </c>
      <c r="N8782">
        <f>IF(ISERR(FIND("DECOUPE",Tableau1[[#This Row],[DESIGNATION]])),"","NEED REF")</f>
        <v/>
      </c>
    </row>
    <row r="8783">
      <c r="B8783" t="n">
        <v>34405222</v>
      </c>
      <c r="C8783" s="2" t="n">
        <v>42576</v>
      </c>
      <c r="D8783" t="inlineStr">
        <is>
          <t>SPEC</t>
        </is>
      </c>
      <c r="E8783" t="inlineStr">
        <is>
          <t>Barre aluminium</t>
        </is>
      </c>
      <c r="F8783" t="inlineStr">
        <is>
          <t>Armoire auxiliaire Bluedoor</t>
        </is>
      </c>
      <c r="J8783" t="inlineStr">
        <is>
          <t>DUBOIS</t>
        </is>
      </c>
      <c r="K8783" t="inlineStr">
        <is>
          <t>Aluminium</t>
        </is>
      </c>
      <c r="L8783">
        <f>_xlfn.XLOOKUP(Tableau1[[#This Row],[TYPE DE PIECE]],Tableau4[MATIERE],Tableau4[SHORT TYPE],"",0,1)</f>
        <v/>
      </c>
      <c r="N8783">
        <f>IF(ISERR(FIND("DECOUPE",Tableau1[[#This Row],[DESIGNATION]])),"","NEED REF")</f>
        <v/>
      </c>
    </row>
    <row r="8784">
      <c r="B8784" t="n">
        <v>34405221</v>
      </c>
      <c r="C8784" s="2" t="n">
        <v>42576</v>
      </c>
      <c r="D8784" t="inlineStr">
        <is>
          <t>SPEC</t>
        </is>
      </c>
      <c r="E8784" t="inlineStr">
        <is>
          <t>Barre aluminium</t>
        </is>
      </c>
      <c r="F8784" t="inlineStr">
        <is>
          <t>Armoire auxiliaire Bluedoor</t>
        </is>
      </c>
      <c r="J8784" t="inlineStr">
        <is>
          <t>DUBOIS</t>
        </is>
      </c>
      <c r="K8784" t="inlineStr">
        <is>
          <t>Aluminium</t>
        </is>
      </c>
      <c r="L8784">
        <f>_xlfn.XLOOKUP(Tableau1[[#This Row],[TYPE DE PIECE]],Tableau4[MATIERE],Tableau4[SHORT TYPE],"",0,1)</f>
        <v/>
      </c>
      <c r="N8784">
        <f>IF(ISERR(FIND("DECOUPE",Tableau1[[#This Row],[DESIGNATION]])),"","NEED REF")</f>
        <v/>
      </c>
    </row>
    <row r="8785">
      <c r="B8785" t="n">
        <v>34405220</v>
      </c>
      <c r="C8785" s="2" t="n">
        <v>42576</v>
      </c>
      <c r="D8785" t="inlineStr">
        <is>
          <t>SPEC</t>
        </is>
      </c>
      <c r="E8785" t="inlineStr">
        <is>
          <t>Barre aluminium</t>
        </is>
      </c>
      <c r="F8785" t="inlineStr">
        <is>
          <t>Armoire auxiliaire Bluedoor</t>
        </is>
      </c>
      <c r="J8785" t="inlineStr">
        <is>
          <t>DUBOIS</t>
        </is>
      </c>
      <c r="K8785" t="inlineStr">
        <is>
          <t>Aluminium</t>
        </is>
      </c>
      <c r="L8785">
        <f>_xlfn.XLOOKUP(Tableau1[[#This Row],[TYPE DE PIECE]],Tableau4[MATIERE],Tableau4[SHORT TYPE],"",0,1)</f>
        <v/>
      </c>
      <c r="N8785">
        <f>IF(ISERR(FIND("DECOUPE",Tableau1[[#This Row],[DESIGNATION]])),"","NEED REF")</f>
        <v/>
      </c>
    </row>
    <row r="8786">
      <c r="B8786" t="n">
        <v>34405219</v>
      </c>
      <c r="C8786" s="2" t="n">
        <v>42576</v>
      </c>
      <c r="D8786" t="inlineStr">
        <is>
          <t>SPEC</t>
        </is>
      </c>
      <c r="E8786" t="inlineStr">
        <is>
          <t>Barre aluminium</t>
        </is>
      </c>
      <c r="F8786" t="inlineStr">
        <is>
          <t>Armoire auxiliaire Bluedoor</t>
        </is>
      </c>
      <c r="J8786" t="inlineStr">
        <is>
          <t>DUBOIS</t>
        </is>
      </c>
      <c r="K8786" t="inlineStr">
        <is>
          <t>Aluminium</t>
        </is>
      </c>
      <c r="L8786">
        <f>_xlfn.XLOOKUP(Tableau1[[#This Row],[TYPE DE PIECE]],Tableau4[MATIERE],Tableau4[SHORT TYPE],"",0,1)</f>
        <v/>
      </c>
      <c r="N8786">
        <f>IF(ISERR(FIND("DECOUPE",Tableau1[[#This Row],[DESIGNATION]])),"","NEED REF")</f>
        <v/>
      </c>
    </row>
    <row r="8787">
      <c r="B8787" t="n">
        <v>34405218</v>
      </c>
      <c r="C8787" s="2" t="n">
        <v>42576</v>
      </c>
      <c r="D8787" t="inlineStr">
        <is>
          <t>SPEC</t>
        </is>
      </c>
      <c r="E8787" t="inlineStr">
        <is>
          <t>Barre aluminium</t>
        </is>
      </c>
      <c r="F8787" t="inlineStr">
        <is>
          <t>Armoire auxiliaire Bluedoor</t>
        </is>
      </c>
      <c r="J8787" t="inlineStr">
        <is>
          <t>DUBOIS</t>
        </is>
      </c>
      <c r="K8787" t="inlineStr">
        <is>
          <t>Aluminium</t>
        </is>
      </c>
      <c r="L8787">
        <f>_xlfn.XLOOKUP(Tableau1[[#This Row],[TYPE DE PIECE]],Tableau4[MATIERE],Tableau4[SHORT TYPE],"",0,1)</f>
        <v/>
      </c>
      <c r="N8787">
        <f>IF(ISERR(FIND("DECOUPE",Tableau1[[#This Row],[DESIGNATION]])),"","NEED REF")</f>
        <v/>
      </c>
    </row>
    <row r="8788">
      <c r="B8788" t="n">
        <v>34405217</v>
      </c>
      <c r="C8788" s="2" t="n">
        <v>42576</v>
      </c>
      <c r="D8788" t="inlineStr">
        <is>
          <t>SPEC</t>
        </is>
      </c>
      <c r="E8788" t="inlineStr">
        <is>
          <t>Barre aluminium</t>
        </is>
      </c>
      <c r="F8788" t="inlineStr">
        <is>
          <t>Armoire auxiliaire Bluedoor</t>
        </is>
      </c>
      <c r="J8788" t="inlineStr">
        <is>
          <t>DUBOIS</t>
        </is>
      </c>
      <c r="K8788" t="inlineStr">
        <is>
          <t>Aluminium</t>
        </is>
      </c>
      <c r="L8788">
        <f>_xlfn.XLOOKUP(Tableau1[[#This Row],[TYPE DE PIECE]],Tableau4[MATIERE],Tableau4[SHORT TYPE],"",0,1)</f>
        <v/>
      </c>
      <c r="N8788">
        <f>IF(ISERR(FIND("DECOUPE",Tableau1[[#This Row],[DESIGNATION]])),"","NEED REF")</f>
        <v/>
      </c>
    </row>
    <row r="8789">
      <c r="B8789" t="n">
        <v>34405216</v>
      </c>
      <c r="C8789" s="2" t="n">
        <v>42576</v>
      </c>
      <c r="D8789" t="inlineStr">
        <is>
          <t>SPEC</t>
        </is>
      </c>
      <c r="E8789" t="inlineStr">
        <is>
          <t>Barre aluminium</t>
        </is>
      </c>
      <c r="F8789" t="inlineStr">
        <is>
          <t>Armoire auxiliaire Bluedoor</t>
        </is>
      </c>
      <c r="J8789" t="inlineStr">
        <is>
          <t>DUBOIS</t>
        </is>
      </c>
      <c r="K8789" t="inlineStr">
        <is>
          <t>Aluminium</t>
        </is>
      </c>
      <c r="L8789">
        <f>_xlfn.XLOOKUP(Tableau1[[#This Row],[TYPE DE PIECE]],Tableau4[MATIERE],Tableau4[SHORT TYPE],"",0,1)</f>
        <v/>
      </c>
      <c r="N8789">
        <f>IF(ISERR(FIND("DECOUPE",Tableau1[[#This Row],[DESIGNATION]])),"","NEED REF")</f>
        <v/>
      </c>
    </row>
    <row r="8790">
      <c r="B8790" t="n">
        <v>34405215</v>
      </c>
      <c r="C8790" s="2" t="n">
        <v>42576</v>
      </c>
      <c r="D8790" t="inlineStr">
        <is>
          <t>SPEC</t>
        </is>
      </c>
      <c r="E8790" t="inlineStr">
        <is>
          <t>Barre aluminium</t>
        </is>
      </c>
      <c r="F8790" t="inlineStr">
        <is>
          <t>Armoire auxiliaire Bluedoor</t>
        </is>
      </c>
      <c r="J8790" t="inlineStr">
        <is>
          <t>DUBOIS</t>
        </is>
      </c>
      <c r="K8790" t="inlineStr">
        <is>
          <t>Aluminium</t>
        </is>
      </c>
      <c r="L8790">
        <f>_xlfn.XLOOKUP(Tableau1[[#This Row],[TYPE DE PIECE]],Tableau4[MATIERE],Tableau4[SHORT TYPE],"",0,1)</f>
        <v/>
      </c>
      <c r="N8790">
        <f>IF(ISERR(FIND("DECOUPE",Tableau1[[#This Row],[DESIGNATION]])),"","NEED REF")</f>
        <v/>
      </c>
    </row>
    <row r="8791">
      <c r="B8791" t="n">
        <v>34405214</v>
      </c>
      <c r="C8791" s="2" t="n">
        <v>42576</v>
      </c>
      <c r="D8791" t="inlineStr">
        <is>
          <t>SPEC</t>
        </is>
      </c>
      <c r="E8791" t="inlineStr">
        <is>
          <t>Barre aluminium</t>
        </is>
      </c>
      <c r="F8791" t="inlineStr">
        <is>
          <t>Armoire auxiliaire Bluedoor</t>
        </is>
      </c>
      <c r="J8791" t="inlineStr">
        <is>
          <t>DUBOIS</t>
        </is>
      </c>
      <c r="K8791" t="inlineStr">
        <is>
          <t>Aluminium</t>
        </is>
      </c>
      <c r="L8791">
        <f>_xlfn.XLOOKUP(Tableau1[[#This Row],[TYPE DE PIECE]],Tableau4[MATIERE],Tableau4[SHORT TYPE],"",0,1)</f>
        <v/>
      </c>
      <c r="N8791">
        <f>IF(ISERR(FIND("DECOUPE",Tableau1[[#This Row],[DESIGNATION]])),"","NEED REF")</f>
        <v/>
      </c>
    </row>
    <row r="8792">
      <c r="B8792" t="n">
        <v>34405213</v>
      </c>
      <c r="C8792" s="2" t="n">
        <v>42576</v>
      </c>
      <c r="D8792" t="inlineStr">
        <is>
          <t>SPEC</t>
        </is>
      </c>
      <c r="E8792" t="inlineStr">
        <is>
          <t>Barre aluminium</t>
        </is>
      </c>
      <c r="F8792" t="inlineStr">
        <is>
          <t>Armoire auxiliaire Bluedoor</t>
        </is>
      </c>
      <c r="J8792" t="inlineStr">
        <is>
          <t>DUBOIS</t>
        </is>
      </c>
      <c r="K8792" t="inlineStr">
        <is>
          <t>Aluminium</t>
        </is>
      </c>
      <c r="L8792">
        <f>_xlfn.XLOOKUP(Tableau1[[#This Row],[TYPE DE PIECE]],Tableau4[MATIERE],Tableau4[SHORT TYPE],"",0,1)</f>
        <v/>
      </c>
      <c r="N8792">
        <f>IF(ISERR(FIND("DECOUPE",Tableau1[[#This Row],[DESIGNATION]])),"","NEED REF")</f>
        <v/>
      </c>
    </row>
    <row r="8793">
      <c r="B8793" t="n">
        <v>34405212</v>
      </c>
      <c r="C8793" s="2" t="n">
        <v>42576</v>
      </c>
      <c r="D8793" t="inlineStr">
        <is>
          <t>SPEC</t>
        </is>
      </c>
      <c r="E8793" t="inlineStr">
        <is>
          <t>Barre aluminium</t>
        </is>
      </c>
      <c r="F8793" t="inlineStr">
        <is>
          <t>Armoire auxiliaire Bluedoor</t>
        </is>
      </c>
      <c r="J8793" t="inlineStr">
        <is>
          <t>DUBOIS</t>
        </is>
      </c>
      <c r="K8793" t="inlineStr">
        <is>
          <t>Aluminium</t>
        </is>
      </c>
      <c r="L8793">
        <f>_xlfn.XLOOKUP(Tableau1[[#This Row],[TYPE DE PIECE]],Tableau4[MATIERE],Tableau4[SHORT TYPE],"",0,1)</f>
        <v/>
      </c>
      <c r="N8793">
        <f>IF(ISERR(FIND("DECOUPE",Tableau1[[#This Row],[DESIGNATION]])),"","NEED REF")</f>
        <v/>
      </c>
    </row>
    <row r="8794">
      <c r="B8794" t="n">
        <v>34405211</v>
      </c>
      <c r="C8794" s="2" t="n">
        <v>42576</v>
      </c>
      <c r="D8794" t="inlineStr">
        <is>
          <t>SPEC</t>
        </is>
      </c>
      <c r="E8794" t="inlineStr">
        <is>
          <t>Barre aluminium</t>
        </is>
      </c>
      <c r="F8794" t="inlineStr">
        <is>
          <t>Armoire auxiliaire Bluedoor</t>
        </is>
      </c>
      <c r="J8794" t="inlineStr">
        <is>
          <t>DUBOIS</t>
        </is>
      </c>
      <c r="K8794" t="inlineStr">
        <is>
          <t>Aluminium</t>
        </is>
      </c>
      <c r="L8794">
        <f>_xlfn.XLOOKUP(Tableau1[[#This Row],[TYPE DE PIECE]],Tableau4[MATIERE],Tableau4[SHORT TYPE],"",0,1)</f>
        <v/>
      </c>
      <c r="N8794">
        <f>IF(ISERR(FIND("DECOUPE",Tableau1[[#This Row],[DESIGNATION]])),"","NEED REF")</f>
        <v/>
      </c>
    </row>
    <row r="8795">
      <c r="B8795" t="n">
        <v>34405210</v>
      </c>
      <c r="C8795" s="2" t="n">
        <v>42576</v>
      </c>
      <c r="D8795" t="inlineStr">
        <is>
          <t>SPEC</t>
        </is>
      </c>
      <c r="E8795" t="inlineStr">
        <is>
          <t>Barre aluminium</t>
        </is>
      </c>
      <c r="F8795" t="inlineStr">
        <is>
          <t>Armoire auxiliaire Bluedoor</t>
        </is>
      </c>
      <c r="J8795" t="inlineStr">
        <is>
          <t>DUBOIS</t>
        </is>
      </c>
      <c r="K8795" t="inlineStr">
        <is>
          <t>Aluminium</t>
        </is>
      </c>
      <c r="L8795">
        <f>_xlfn.XLOOKUP(Tableau1[[#This Row],[TYPE DE PIECE]],Tableau4[MATIERE],Tableau4[SHORT TYPE],"",0,1)</f>
        <v/>
      </c>
      <c r="N8795">
        <f>IF(ISERR(FIND("DECOUPE",Tableau1[[#This Row],[DESIGNATION]])),"","NEED REF")</f>
        <v/>
      </c>
    </row>
    <row r="8796">
      <c r="B8796" t="n">
        <v>34405209</v>
      </c>
      <c r="C8796" s="2" t="n">
        <v>42576</v>
      </c>
      <c r="D8796" t="inlineStr">
        <is>
          <t>SPEC</t>
        </is>
      </c>
      <c r="E8796" t="inlineStr">
        <is>
          <t>PLASTRON PROTECTIONS UTIL</t>
        </is>
      </c>
      <c r="F8796" t="inlineStr">
        <is>
          <t>GSK WN01</t>
        </is>
      </c>
      <c r="J8796" t="inlineStr">
        <is>
          <t>MATRION</t>
        </is>
      </c>
      <c r="K8796" t="inlineStr">
        <is>
          <t>METAL</t>
        </is>
      </c>
      <c r="L8796">
        <f>_xlfn.XLOOKUP(Tableau1[[#This Row],[TYPE DE PIECE]],Tableau4[MATIERE],Tableau4[SHORT TYPE],"",0,1)</f>
        <v/>
      </c>
      <c r="N8796">
        <f>IF(ISERR(FIND("DECOUPE",Tableau1[[#This Row],[DESIGNATION]])),"","NEED REF")</f>
        <v/>
      </c>
    </row>
    <row r="8797">
      <c r="B8797" t="n">
        <v>34405208</v>
      </c>
      <c r="C8797" s="2" t="n">
        <v>42576</v>
      </c>
      <c r="D8797" t="inlineStr">
        <is>
          <t>SPEC</t>
        </is>
      </c>
      <c r="E8797" t="inlineStr">
        <is>
          <t>PLASTRON BYPASS</t>
        </is>
      </c>
      <c r="F8797" t="inlineStr">
        <is>
          <t>GSK WN01</t>
        </is>
      </c>
      <c r="J8797" t="inlineStr">
        <is>
          <t>MATRION</t>
        </is>
      </c>
      <c r="K8797" t="inlineStr">
        <is>
          <t>METAL</t>
        </is>
      </c>
      <c r="L8797">
        <f>_xlfn.XLOOKUP(Tableau1[[#This Row],[TYPE DE PIECE]],Tableau4[MATIERE],Tableau4[SHORT TYPE],"",0,1)</f>
        <v/>
      </c>
      <c r="N8797">
        <f>IF(ISERR(FIND("DECOUPE",Tableau1[[#This Row],[DESIGNATION]])),"","NEED REF")</f>
        <v/>
      </c>
    </row>
    <row r="8798">
      <c r="B8798" t="n">
        <v>34405207</v>
      </c>
      <c r="C8798" s="2" t="n">
        <v>42576</v>
      </c>
      <c r="D8798" t="inlineStr">
        <is>
          <t>SPEC</t>
        </is>
      </c>
      <c r="E8798" t="inlineStr">
        <is>
          <t>PLATINE APPAREILLAGE</t>
        </is>
      </c>
      <c r="F8798" t="inlineStr">
        <is>
          <t>GSK WN01</t>
        </is>
      </c>
      <c r="J8798" t="inlineStr">
        <is>
          <t>MATRION</t>
        </is>
      </c>
      <c r="K8798" t="inlineStr">
        <is>
          <t>METAL</t>
        </is>
      </c>
      <c r="L8798">
        <f>_xlfn.XLOOKUP(Tableau1[[#This Row],[TYPE DE PIECE]],Tableau4[MATIERE],Tableau4[SHORT TYPE],"",0,1)</f>
        <v/>
      </c>
      <c r="N8798">
        <f>IF(ISERR(FIND("DECOUPE",Tableau1[[#This Row],[DESIGNATION]])),"","NEED REF")</f>
        <v/>
      </c>
    </row>
    <row r="8799">
      <c r="B8799" t="n">
        <v>34405206</v>
      </c>
      <c r="C8799" s="2" t="n">
        <v>42576</v>
      </c>
      <c r="D8799" t="inlineStr">
        <is>
          <t>SPEC</t>
        </is>
      </c>
      <c r="E8799" t="inlineStr">
        <is>
          <t>PLATINE BYPASS</t>
        </is>
      </c>
      <c r="F8799" t="inlineStr">
        <is>
          <t>GSK WN01</t>
        </is>
      </c>
      <c r="J8799" t="inlineStr">
        <is>
          <t>MATRION</t>
        </is>
      </c>
      <c r="K8799" t="inlineStr">
        <is>
          <t>METAL</t>
        </is>
      </c>
      <c r="L8799">
        <f>_xlfn.XLOOKUP(Tableau1[[#This Row],[TYPE DE PIECE]],Tableau4[MATIERE],Tableau4[SHORT TYPE],"",0,1)</f>
        <v/>
      </c>
      <c r="N8799">
        <f>IF(ISERR(FIND("DECOUPE",Tableau1[[#This Row],[DESIGNATION]])),"","NEED REF")</f>
        <v/>
      </c>
    </row>
    <row r="8800">
      <c r="B8800" t="n">
        <v>34405205</v>
      </c>
      <c r="C8800" s="2" t="n">
        <v>42571</v>
      </c>
      <c r="D8800" t="inlineStr">
        <is>
          <t>SPEC</t>
        </is>
      </c>
      <c r="E8800" t="inlineStr">
        <is>
          <t>CALE 100x80 EP10 3HOLES</t>
        </is>
      </c>
      <c r="F8800" t="inlineStr">
        <is>
          <t>NS2500kVA</t>
        </is>
      </c>
      <c r="J8800" t="inlineStr">
        <is>
          <t>MATRION</t>
        </is>
      </c>
      <c r="K8800" t="inlineStr">
        <is>
          <t>CUIVRE</t>
        </is>
      </c>
      <c r="L8800">
        <f>_xlfn.XLOOKUP(Tableau1[[#This Row],[TYPE DE PIECE]],Tableau4[MATIERE],Tableau4[SHORT TYPE],"",0,1)</f>
        <v/>
      </c>
      <c r="N8800">
        <f>IF(ISERR(FIND("DECOUPE",Tableau1[[#This Row],[DESIGNATION]])),"","NEED REF")</f>
        <v/>
      </c>
    </row>
    <row r="8801">
      <c r="B8801" t="n">
        <v>34405204</v>
      </c>
      <c r="C8801" s="2" t="n">
        <v>42571</v>
      </c>
      <c r="D8801" t="inlineStr">
        <is>
          <t>SPEC</t>
        </is>
      </c>
      <c r="E8801" t="inlineStr">
        <is>
          <t>CALE 60x60 EP10 1HOLE</t>
        </is>
      </c>
      <c r="F8801" t="inlineStr">
        <is>
          <t>NS2500kVA</t>
        </is>
      </c>
      <c r="J8801" t="inlineStr">
        <is>
          <t>MATRION</t>
        </is>
      </c>
      <c r="K8801" t="inlineStr">
        <is>
          <t>CUIVRE</t>
        </is>
      </c>
      <c r="L8801">
        <f>_xlfn.XLOOKUP(Tableau1[[#This Row],[TYPE DE PIECE]],Tableau4[MATIERE],Tableau4[SHORT TYPE],"",0,1)</f>
        <v/>
      </c>
      <c r="N8801">
        <f>IF(ISERR(FIND("DECOUPE",Tableau1[[#This Row],[DESIGNATION]])),"","NEED REF")</f>
        <v/>
      </c>
    </row>
    <row r="8802">
      <c r="B8802" t="n">
        <v>34405203</v>
      </c>
      <c r="C8802" s="2" t="n">
        <v>42571</v>
      </c>
      <c r="D8802" t="inlineStr">
        <is>
          <t>SPEC</t>
        </is>
      </c>
      <c r="E8802" t="inlineStr">
        <is>
          <t>CALE 120x120 EP10 3HOLES</t>
        </is>
      </c>
      <c r="F8802" t="inlineStr">
        <is>
          <t>NS2500kVA</t>
        </is>
      </c>
      <c r="J8802" t="inlineStr">
        <is>
          <t>MATRION</t>
        </is>
      </c>
      <c r="K8802" t="inlineStr">
        <is>
          <t>CUIVRE</t>
        </is>
      </c>
      <c r="L8802">
        <f>_xlfn.XLOOKUP(Tableau1[[#This Row],[TYPE DE PIECE]],Tableau4[MATIERE],Tableau4[SHORT TYPE],"",0,1)</f>
        <v/>
      </c>
      <c r="N8802">
        <f>IF(ISERR(FIND("DECOUPE",Tableau1[[#This Row],[DESIGNATION]])),"","NEED REF")</f>
        <v/>
      </c>
    </row>
    <row r="8803">
      <c r="B8803" t="n">
        <v>34405202</v>
      </c>
      <c r="C8803" s="2" t="n">
        <v>42571</v>
      </c>
      <c r="D8803" t="inlineStr">
        <is>
          <t>SPEC</t>
        </is>
      </c>
      <c r="E8803" t="inlineStr">
        <is>
          <t>CALE 120x60 EP10 1HOLE</t>
        </is>
      </c>
      <c r="F8803" t="inlineStr">
        <is>
          <t>NS2500kVA</t>
        </is>
      </c>
      <c r="J8803" t="inlineStr">
        <is>
          <t>MATRION</t>
        </is>
      </c>
      <c r="K8803" t="inlineStr">
        <is>
          <t>CUIVRE</t>
        </is>
      </c>
      <c r="L8803">
        <f>_xlfn.XLOOKUP(Tableau1[[#This Row],[TYPE DE PIECE]],Tableau4[MATIERE],Tableau4[SHORT TYPE],"",0,1)</f>
        <v/>
      </c>
      <c r="N8803">
        <f>IF(ISERR(FIND("DECOUPE",Tableau1[[#This Row],[DESIGNATION]])),"","NEED REF")</f>
        <v/>
      </c>
    </row>
    <row r="8804">
      <c r="B8804" t="n">
        <v>34405201</v>
      </c>
      <c r="C8804" s="2" t="inlineStr">
        <is>
          <t>20/0716</t>
        </is>
      </c>
      <c r="D8804" t="inlineStr">
        <is>
          <t>SPEC</t>
        </is>
      </c>
      <c r="E8804" t="inlineStr">
        <is>
          <t>MONTAGE BYPASS NW GAUCHE</t>
        </is>
      </c>
      <c r="F8804" t="inlineStr">
        <is>
          <t>NS2500kVA</t>
        </is>
      </c>
      <c r="J8804" t="inlineStr">
        <is>
          <t>MATRION</t>
        </is>
      </c>
      <c r="K8804" t="inlineStr">
        <is>
          <t>METAL</t>
        </is>
      </c>
      <c r="L8804">
        <f>_xlfn.XLOOKUP(Tableau1[[#This Row],[TYPE DE PIECE]],Tableau4[MATIERE],Tableau4[SHORT TYPE],"",0,1)</f>
        <v/>
      </c>
      <c r="N8804">
        <f>IF(ISERR(FIND("DECOUPE",Tableau1[[#This Row],[DESIGNATION]])),"","NEED REF")</f>
        <v/>
      </c>
    </row>
    <row r="8805">
      <c r="B8805" t="n">
        <v>34405200</v>
      </c>
      <c r="C8805" s="2" t="inlineStr">
        <is>
          <t>20/0716</t>
        </is>
      </c>
      <c r="D8805" t="inlineStr">
        <is>
          <t>SPEC</t>
        </is>
      </c>
      <c r="E8805" t="inlineStr">
        <is>
          <t>MONTAGE BYPASS NW DROIT</t>
        </is>
      </c>
      <c r="F8805" t="inlineStr">
        <is>
          <t>NS2500kVA</t>
        </is>
      </c>
      <c r="J8805" t="inlineStr">
        <is>
          <t>MATRION</t>
        </is>
      </c>
      <c r="K8805" t="inlineStr">
        <is>
          <t>METAL</t>
        </is>
      </c>
      <c r="L8805">
        <f>_xlfn.XLOOKUP(Tableau1[[#This Row],[TYPE DE PIECE]],Tableau4[MATIERE],Tableau4[SHORT TYPE],"",0,1)</f>
        <v/>
      </c>
      <c r="N8805">
        <f>IF(ISERR(FIND("DECOUPE",Tableau1[[#This Row],[DESIGNATION]])),"","NEED REF")</f>
        <v/>
      </c>
    </row>
    <row r="8806">
      <c r="B8806" t="n">
        <v>34405199</v>
      </c>
      <c r="C8806" s="2" t="inlineStr">
        <is>
          <t>20/0716</t>
        </is>
      </c>
      <c r="D8806" t="inlineStr">
        <is>
          <t>SPEC</t>
        </is>
      </c>
      <c r="E8806" t="inlineStr">
        <is>
          <t>NW / BUSBAR JUNCTION AMONT PHASE 1 - 2</t>
        </is>
      </c>
      <c r="F8806" t="inlineStr">
        <is>
          <t>NS2500kVA</t>
        </is>
      </c>
      <c r="J8806" t="inlineStr">
        <is>
          <t>MATRION</t>
        </is>
      </c>
      <c r="K8806" t="inlineStr">
        <is>
          <t>CUIVRE</t>
        </is>
      </c>
      <c r="L8806">
        <f>_xlfn.XLOOKUP(Tableau1[[#This Row],[TYPE DE PIECE]],Tableau4[MATIERE],Tableau4[SHORT TYPE],"",0,1)</f>
        <v/>
      </c>
      <c r="N8806">
        <f>IF(ISERR(FIND("DECOUPE",Tableau1[[#This Row],[DESIGNATION]])),"","NEED REF")</f>
        <v/>
      </c>
    </row>
    <row r="8807">
      <c r="B8807" t="n">
        <v>34405198</v>
      </c>
      <c r="C8807" s="2" t="inlineStr">
        <is>
          <t>20/0716</t>
        </is>
      </c>
      <c r="D8807" t="inlineStr">
        <is>
          <t>SPEC</t>
        </is>
      </c>
      <c r="E8807" t="inlineStr">
        <is>
          <t>NW / BUSBAR JUNCTION AMONT PHASE 1 - 1</t>
        </is>
      </c>
      <c r="F8807" t="inlineStr">
        <is>
          <t>NS2500kVA</t>
        </is>
      </c>
      <c r="J8807" t="inlineStr">
        <is>
          <t>MATRION</t>
        </is>
      </c>
      <c r="K8807" t="inlineStr">
        <is>
          <t>CUIVRE</t>
        </is>
      </c>
      <c r="L8807">
        <f>_xlfn.XLOOKUP(Tableau1[[#This Row],[TYPE DE PIECE]],Tableau4[MATIERE],Tableau4[SHORT TYPE],"",0,1)</f>
        <v/>
      </c>
      <c r="N8807">
        <f>IF(ISERR(FIND("DECOUPE",Tableau1[[#This Row],[DESIGNATION]])),"","NEED REF")</f>
        <v/>
      </c>
    </row>
    <row r="8808">
      <c r="B8808" t="n">
        <v>34405197</v>
      </c>
      <c r="C8808" s="2" t="n">
        <v>42570</v>
      </c>
      <c r="D8808" t="inlineStr">
        <is>
          <t>SPEC</t>
        </is>
      </c>
      <c r="E8808" t="inlineStr">
        <is>
          <t>SUPPORT DOUBLE RC</t>
        </is>
      </c>
      <c r="F8808" t="inlineStr">
        <is>
          <t>NS2500kVA</t>
        </is>
      </c>
      <c r="J8808" t="inlineStr">
        <is>
          <t>MATRION</t>
        </is>
      </c>
      <c r="K8808" t="inlineStr">
        <is>
          <t>METAL</t>
        </is>
      </c>
      <c r="L8808">
        <f>_xlfn.XLOOKUP(Tableau1[[#This Row],[TYPE DE PIECE]],Tableau4[MATIERE],Tableau4[SHORT TYPE],"",0,1)</f>
        <v/>
      </c>
      <c r="N8808">
        <f>IF(ISERR(FIND("DECOUPE",Tableau1[[#This Row],[DESIGNATION]])),"","NEED REF")</f>
        <v/>
      </c>
    </row>
    <row r="8809">
      <c r="B8809" t="n">
        <v>34405196</v>
      </c>
      <c r="C8809" s="2" t="n">
        <v>42570</v>
      </c>
      <c r="D8809" t="inlineStr">
        <is>
          <t>SPEC</t>
        </is>
      </c>
      <c r="E8809" t="inlineStr">
        <is>
          <t>FIXATION PLATINE BACKFEED</t>
        </is>
      </c>
      <c r="F8809" t="inlineStr">
        <is>
          <t>NS2500kVA</t>
        </is>
      </c>
      <c r="J8809" t="inlineStr">
        <is>
          <t>MATRION</t>
        </is>
      </c>
      <c r="K8809" t="inlineStr">
        <is>
          <t>METAL</t>
        </is>
      </c>
      <c r="L8809">
        <f>_xlfn.XLOOKUP(Tableau1[[#This Row],[TYPE DE PIECE]],Tableau4[MATIERE],Tableau4[SHORT TYPE],"",0,1)</f>
        <v/>
      </c>
      <c r="N8809">
        <f>IF(ISERR(FIND("DECOUPE",Tableau1[[#This Row],[DESIGNATION]])),"","NEED REF")</f>
        <v/>
      </c>
    </row>
    <row r="8810">
      <c r="B8810" t="n">
        <v>34405195</v>
      </c>
      <c r="C8810" s="2" t="n">
        <v>42570</v>
      </c>
      <c r="D8810" t="inlineStr">
        <is>
          <t>SPEC</t>
        </is>
      </c>
      <c r="E8810" t="inlineStr">
        <is>
          <t>PLATINE BACKFEED</t>
        </is>
      </c>
      <c r="F8810" t="inlineStr">
        <is>
          <t>NS2500kVA</t>
        </is>
      </c>
      <c r="J8810" t="inlineStr">
        <is>
          <t>MATRION</t>
        </is>
      </c>
      <c r="K8810" t="inlineStr">
        <is>
          <t>METAL</t>
        </is>
      </c>
      <c r="L8810">
        <f>_xlfn.XLOOKUP(Tableau1[[#This Row],[TYPE DE PIECE]],Tableau4[MATIERE],Tableau4[SHORT TYPE],"",0,1)</f>
        <v/>
      </c>
      <c r="N8810">
        <f>IF(ISERR(FIND("DECOUPE",Tableau1[[#This Row],[DESIGNATION]])),"","NEED REF")</f>
        <v/>
      </c>
    </row>
    <row r="8811">
      <c r="B8811" t="n">
        <v>34405194</v>
      </c>
      <c r="C8811" s="2" t="n">
        <v>42562</v>
      </c>
      <c r="D8811" t="inlineStr">
        <is>
          <t>SPEC</t>
        </is>
      </c>
      <c r="E8811" t="inlineStr">
        <is>
          <t>Ensemble toit</t>
        </is>
      </c>
      <c r="F8811" t="inlineStr">
        <is>
          <t>IP32 VM</t>
        </is>
      </c>
      <c r="J8811" t="inlineStr">
        <is>
          <t>DUBOIS</t>
        </is>
      </c>
      <c r="K8811" t="inlineStr">
        <is>
          <t>METAL</t>
        </is>
      </c>
      <c r="L8811">
        <f>_xlfn.XLOOKUP(Tableau1[[#This Row],[TYPE DE PIECE]],Tableau4[MATIERE],Tableau4[SHORT TYPE],"",0,1)</f>
        <v/>
      </c>
      <c r="N8811">
        <f>IF(ISERR(FIND("DECOUPE",Tableau1[[#This Row],[DESIGNATION]])),"","NEED REF")</f>
        <v/>
      </c>
    </row>
    <row r="8812">
      <c r="B8812" t="n">
        <v>34405193</v>
      </c>
      <c r="C8812" s="2" t="n">
        <v>42562</v>
      </c>
      <c r="D8812" t="inlineStr">
        <is>
          <t>SPEC</t>
        </is>
      </c>
      <c r="E8812" t="inlineStr">
        <is>
          <t>Patte de fixation pour toit</t>
        </is>
      </c>
      <c r="F8812" t="inlineStr">
        <is>
          <t>IP32 VM</t>
        </is>
      </c>
      <c r="J8812" t="inlineStr">
        <is>
          <t>DUBOIS</t>
        </is>
      </c>
      <c r="K8812" t="inlineStr">
        <is>
          <t>METAL</t>
        </is>
      </c>
      <c r="L8812">
        <f>_xlfn.XLOOKUP(Tableau1[[#This Row],[TYPE DE PIECE]],Tableau4[MATIERE],Tableau4[SHORT TYPE],"",0,1)</f>
        <v/>
      </c>
      <c r="N8812">
        <f>IF(ISERR(FIND("DECOUPE",Tableau1[[#This Row],[DESIGNATION]])),"","NEED REF")</f>
        <v/>
      </c>
    </row>
    <row r="8813">
      <c r="B8813" t="n">
        <v>34405192</v>
      </c>
      <c r="C8813" s="2" t="n">
        <v>42562</v>
      </c>
      <c r="D8813" t="inlineStr">
        <is>
          <t>SPEC</t>
        </is>
      </c>
      <c r="E8813" t="inlineStr">
        <is>
          <t>Equerre de toit</t>
        </is>
      </c>
      <c r="F8813" t="inlineStr">
        <is>
          <t>IP32 VM</t>
        </is>
      </c>
      <c r="J8813" t="inlineStr">
        <is>
          <t>DUBOIS</t>
        </is>
      </c>
      <c r="K8813" t="inlineStr">
        <is>
          <t>METAL</t>
        </is>
      </c>
      <c r="L8813">
        <f>_xlfn.XLOOKUP(Tableau1[[#This Row],[TYPE DE PIECE]],Tableau4[MATIERE],Tableau4[SHORT TYPE],"",0,1)</f>
        <v/>
      </c>
      <c r="N8813">
        <f>IF(ISERR(FIND("DECOUPE",Tableau1[[#This Row],[DESIGNATION]])),"","NEED REF")</f>
        <v/>
      </c>
    </row>
    <row r="8814">
      <c r="B8814" t="n">
        <v>34405191</v>
      </c>
      <c r="C8814" s="2" t="n">
        <v>42562</v>
      </c>
      <c r="D8814" t="inlineStr">
        <is>
          <t>SPEC</t>
        </is>
      </c>
      <c r="E8814" t="inlineStr">
        <is>
          <t>Toit</t>
        </is>
      </c>
      <c r="F8814" t="inlineStr">
        <is>
          <t>IP32 VM</t>
        </is>
      </c>
      <c r="J8814" t="inlineStr">
        <is>
          <t>DUBOIS</t>
        </is>
      </c>
      <c r="K8814" t="inlineStr">
        <is>
          <t>METAL</t>
        </is>
      </c>
      <c r="L8814">
        <f>_xlfn.XLOOKUP(Tableau1[[#This Row],[TYPE DE PIECE]],Tableau4[MATIERE],Tableau4[SHORT TYPE],"",0,1)</f>
        <v/>
      </c>
      <c r="N8814">
        <f>IF(ISERR(FIND("DECOUPE",Tableau1[[#This Row],[DESIGNATION]])),"","NEED REF")</f>
        <v/>
      </c>
    </row>
    <row r="8815">
      <c r="B8815" t="n">
        <v>34405190</v>
      </c>
      <c r="C8815" s="2" t="n">
        <v>42562</v>
      </c>
      <c r="D8815" t="inlineStr">
        <is>
          <t>SPEC</t>
        </is>
      </c>
      <c r="E8815" t="inlineStr">
        <is>
          <t>Flasque arrière</t>
        </is>
      </c>
      <c r="F8815" t="inlineStr">
        <is>
          <t>IP32 VM</t>
        </is>
      </c>
      <c r="J8815" t="inlineStr">
        <is>
          <t>DUBOIS</t>
        </is>
      </c>
      <c r="K8815" t="inlineStr">
        <is>
          <t>METAL</t>
        </is>
      </c>
      <c r="L8815">
        <f>_xlfn.XLOOKUP(Tableau1[[#This Row],[TYPE DE PIECE]],Tableau4[MATIERE],Tableau4[SHORT TYPE],"",0,1)</f>
        <v/>
      </c>
      <c r="N8815">
        <f>IF(ISERR(FIND("DECOUPE",Tableau1[[#This Row],[DESIGNATION]])),"","NEED REF")</f>
        <v/>
      </c>
    </row>
    <row r="8816">
      <c r="B8816" t="n">
        <v>34405189</v>
      </c>
      <c r="C8816" s="2" t="n">
        <v>42562</v>
      </c>
      <c r="D8816" t="inlineStr">
        <is>
          <t>SPEC</t>
        </is>
      </c>
      <c r="E8816" t="inlineStr">
        <is>
          <t>Flasque droit</t>
        </is>
      </c>
      <c r="F8816" t="inlineStr">
        <is>
          <t>IP32 VM</t>
        </is>
      </c>
      <c r="J8816" t="inlineStr">
        <is>
          <t>DUBOIS</t>
        </is>
      </c>
      <c r="K8816" t="inlineStr">
        <is>
          <t>METAL</t>
        </is>
      </c>
      <c r="L8816">
        <f>_xlfn.XLOOKUP(Tableau1[[#This Row],[TYPE DE PIECE]],Tableau4[MATIERE],Tableau4[SHORT TYPE],"",0,1)</f>
        <v/>
      </c>
      <c r="N8816">
        <f>IF(ISERR(FIND("DECOUPE",Tableau1[[#This Row],[DESIGNATION]])),"","NEED REF")</f>
        <v/>
      </c>
    </row>
    <row r="8817">
      <c r="B8817" t="n">
        <v>34405188</v>
      </c>
      <c r="C8817" s="2" t="n">
        <v>42562</v>
      </c>
      <c r="D8817" t="inlineStr">
        <is>
          <t>SPEC</t>
        </is>
      </c>
      <c r="E8817" t="inlineStr">
        <is>
          <t>Flasque gauche</t>
        </is>
      </c>
      <c r="F8817" t="inlineStr">
        <is>
          <t>IP32 VM</t>
        </is>
      </c>
      <c r="J8817" t="inlineStr">
        <is>
          <t>DUBOIS</t>
        </is>
      </c>
      <c r="K8817" t="inlineStr">
        <is>
          <t>METAL</t>
        </is>
      </c>
      <c r="L8817">
        <f>_xlfn.XLOOKUP(Tableau1[[#This Row],[TYPE DE PIECE]],Tableau4[MATIERE],Tableau4[SHORT TYPE],"",0,1)</f>
        <v/>
      </c>
      <c r="N8817">
        <f>IF(ISERR(FIND("DECOUPE",Tableau1[[#This Row],[DESIGNATION]])),"","NEED REF")</f>
        <v/>
      </c>
    </row>
    <row r="8818">
      <c r="B8818" t="n">
        <v>34405187</v>
      </c>
      <c r="C8818" s="2" t="n">
        <v>42570</v>
      </c>
      <c r="D8818" t="inlineStr">
        <is>
          <t>SPEC</t>
        </is>
      </c>
      <c r="E8818" t="inlineStr">
        <is>
          <t>PROECTION SHIELD NS2500 BOTTOM 2</t>
        </is>
      </c>
      <c r="F8818" t="inlineStr">
        <is>
          <t>NS2500kVA</t>
        </is>
      </c>
      <c r="J8818" t="inlineStr">
        <is>
          <t>MATRION</t>
        </is>
      </c>
      <c r="K8818" t="inlineStr">
        <is>
          <t>METAL</t>
        </is>
      </c>
      <c r="L8818">
        <f>_xlfn.XLOOKUP(Tableau1[[#This Row],[TYPE DE PIECE]],Tableau4[MATIERE],Tableau4[SHORT TYPE],"",0,1)</f>
        <v/>
      </c>
      <c r="N8818">
        <f>IF(ISERR(FIND("DECOUPE",Tableau1[[#This Row],[DESIGNATION]])),"","NEED REF")</f>
        <v/>
      </c>
    </row>
    <row r="8819">
      <c r="B8819" t="n">
        <v>34405186</v>
      </c>
      <c r="C8819" s="2" t="n">
        <v>42570</v>
      </c>
      <c r="D8819" t="inlineStr">
        <is>
          <t>SPEC</t>
        </is>
      </c>
      <c r="E8819" t="inlineStr">
        <is>
          <t>PROECTION SHIELD NS2500 BOTTOM</t>
        </is>
      </c>
      <c r="F8819" t="inlineStr">
        <is>
          <t>NS2500kVA</t>
        </is>
      </c>
      <c r="J8819" t="inlineStr">
        <is>
          <t>MATRION</t>
        </is>
      </c>
      <c r="K8819" t="inlineStr">
        <is>
          <t>METAL</t>
        </is>
      </c>
      <c r="L8819">
        <f>_xlfn.XLOOKUP(Tableau1[[#This Row],[TYPE DE PIECE]],Tableau4[MATIERE],Tableau4[SHORT TYPE],"",0,1)</f>
        <v/>
      </c>
      <c r="N8819">
        <f>IF(ISERR(FIND("DECOUPE",Tableau1[[#This Row],[DESIGNATION]])),"","NEED REF")</f>
        <v/>
      </c>
    </row>
    <row r="8820">
      <c r="B8820" t="n">
        <v>34405185</v>
      </c>
      <c r="C8820" s="2" t="n">
        <v>42552</v>
      </c>
      <c r="D8820" t="inlineStr">
        <is>
          <t>SPEC</t>
        </is>
      </c>
      <c r="E8820" t="inlineStr">
        <is>
          <t>CALAGES STRUCTURE INTERMEDAIRE POUR NS</t>
        </is>
      </c>
      <c r="F8820" t="inlineStr">
        <is>
          <t>NS2500kVA</t>
        </is>
      </c>
      <c r="J8820" t="inlineStr">
        <is>
          <t>MATRION</t>
        </is>
      </c>
      <c r="K8820" t="inlineStr">
        <is>
          <t>METAL</t>
        </is>
      </c>
      <c r="L8820">
        <f>_xlfn.XLOOKUP(Tableau1[[#This Row],[TYPE DE PIECE]],Tableau4[MATIERE],Tableau4[SHORT TYPE],"",0,1)</f>
        <v/>
      </c>
      <c r="N8820">
        <f>IF(ISERR(FIND("DECOUPE",Tableau1[[#This Row],[DESIGNATION]])),"","NEED REF")</f>
        <v/>
      </c>
    </row>
    <row r="8821">
      <c r="B8821" t="n">
        <v>34405184</v>
      </c>
      <c r="C8821" s="2" t="n">
        <v>42552</v>
      </c>
      <c r="D8821" t="inlineStr">
        <is>
          <t>SPEC</t>
        </is>
      </c>
      <c r="E8821" t="inlineStr">
        <is>
          <t>CALAGES STRUCTURE BAS POUR NS</t>
        </is>
      </c>
      <c r="F8821" t="inlineStr">
        <is>
          <t>NS2500kVA</t>
        </is>
      </c>
      <c r="J8821" t="inlineStr">
        <is>
          <t>MATRION</t>
        </is>
      </c>
      <c r="K8821" t="inlineStr">
        <is>
          <t>METAL</t>
        </is>
      </c>
      <c r="L8821">
        <f>_xlfn.XLOOKUP(Tableau1[[#This Row],[TYPE DE PIECE]],Tableau4[MATIERE],Tableau4[SHORT TYPE],"",0,1)</f>
        <v/>
      </c>
      <c r="N8821">
        <f>IF(ISERR(FIND("DECOUPE",Tableau1[[#This Row],[DESIGNATION]])),"","NEED REF")</f>
        <v/>
      </c>
    </row>
    <row r="8822">
      <c r="B8822" t="n">
        <v>34405183</v>
      </c>
      <c r="C8822" s="2" t="n">
        <v>42552</v>
      </c>
      <c r="D8822" t="inlineStr">
        <is>
          <t>SPEC</t>
        </is>
      </c>
      <c r="E8822" t="inlineStr">
        <is>
          <t>PROFILE DE SERRAGE JDB CABS 3P+N ECLISSAGE</t>
        </is>
      </c>
      <c r="F8822" t="inlineStr">
        <is>
          <t>NS2500kVA</t>
        </is>
      </c>
      <c r="J8822" t="inlineStr">
        <is>
          <t>MATRION</t>
        </is>
      </c>
      <c r="K8822" t="inlineStr">
        <is>
          <t>METAL</t>
        </is>
      </c>
      <c r="L8822">
        <f>_xlfn.XLOOKUP(Tableau1[[#This Row],[TYPE DE PIECE]],Tableau4[MATIERE],Tableau4[SHORT TYPE],"",0,1)</f>
        <v/>
      </c>
      <c r="N8822">
        <f>IF(ISERR(FIND("DECOUPE",Tableau1[[#This Row],[DESIGNATION]])),"","NEED REF")</f>
        <v/>
      </c>
    </row>
    <row r="8823">
      <c r="B8823" t="n">
        <v>34405182</v>
      </c>
      <c r="C8823" s="2" t="n">
        <v>42552</v>
      </c>
      <c r="D8823" t="inlineStr">
        <is>
          <t>SPEC</t>
        </is>
      </c>
      <c r="E8823" t="inlineStr">
        <is>
          <t>PROFILE DE SERRAGE JDB CABS 3P+N</t>
        </is>
      </c>
      <c r="F8823" t="inlineStr">
        <is>
          <t>NS2500kVA</t>
        </is>
      </c>
      <c r="J8823" t="inlineStr">
        <is>
          <t>MATRION</t>
        </is>
      </c>
      <c r="K8823" t="inlineStr">
        <is>
          <t>METAL</t>
        </is>
      </c>
      <c r="L8823">
        <f>_xlfn.XLOOKUP(Tableau1[[#This Row],[TYPE DE PIECE]],Tableau4[MATIERE],Tableau4[SHORT TYPE],"",0,1)</f>
        <v/>
      </c>
      <c r="N8823">
        <f>IF(ISERR(FIND("DECOUPE",Tableau1[[#This Row],[DESIGNATION]])),"","NEED REF")</f>
        <v/>
      </c>
    </row>
    <row r="8824">
      <c r="B8824" t="n">
        <v>34405181</v>
      </c>
      <c r="C8824" s="2" t="n">
        <v>42552</v>
      </c>
      <c r="D8824" t="inlineStr">
        <is>
          <t>SPEC</t>
        </is>
      </c>
      <c r="E8824" t="inlineStr">
        <is>
          <t>CALE SERRAGE FLEX</t>
        </is>
      </c>
      <c r="F8824" t="inlineStr">
        <is>
          <t>NS2500kVA</t>
        </is>
      </c>
      <c r="J8824" t="inlineStr">
        <is>
          <t>MATRION</t>
        </is>
      </c>
      <c r="K8824" t="inlineStr">
        <is>
          <t>CUIVRE</t>
        </is>
      </c>
      <c r="L8824">
        <f>_xlfn.XLOOKUP(Tableau1[[#This Row],[TYPE DE PIECE]],Tableau4[MATIERE],Tableau4[SHORT TYPE],"",0,1)</f>
        <v/>
      </c>
      <c r="N8824">
        <f>IF(ISERR(FIND("DECOUPE",Tableau1[[#This Row],[DESIGNATION]])),"","NEED REF")</f>
        <v/>
      </c>
    </row>
    <row r="8825">
      <c r="B8825" t="n">
        <v>34405180</v>
      </c>
      <c r="C8825" s="2" t="n">
        <v>42552</v>
      </c>
      <c r="D8825" t="inlineStr">
        <is>
          <t>SPEC</t>
        </is>
      </c>
      <c r="E8825" t="inlineStr">
        <is>
          <t>FLEX ECLISSE</t>
        </is>
      </c>
      <c r="F8825" t="inlineStr">
        <is>
          <t>NS2500kVA</t>
        </is>
      </c>
      <c r="J8825" t="inlineStr">
        <is>
          <t>MATRION</t>
        </is>
      </c>
      <c r="K8825" t="inlineStr">
        <is>
          <t>CUIVRE</t>
        </is>
      </c>
      <c r="L8825">
        <f>_xlfn.XLOOKUP(Tableau1[[#This Row],[TYPE DE PIECE]],Tableau4[MATIERE],Tableau4[SHORT TYPE],"",0,1)</f>
        <v/>
      </c>
      <c r="N8825">
        <f>IF(ISERR(FIND("DECOUPE",Tableau1[[#This Row],[DESIGNATION]])),"","NEED REF")</f>
        <v/>
      </c>
    </row>
    <row r="8826">
      <c r="B8826" t="n">
        <v>34405179</v>
      </c>
      <c r="C8826" s="2" t="n">
        <v>42552</v>
      </c>
      <c r="D8826" t="inlineStr">
        <is>
          <t>SPEC</t>
        </is>
      </c>
      <c r="E8826" t="inlineStr">
        <is>
          <t>RENFORT JDB BYPASS 1</t>
        </is>
      </c>
      <c r="F8826" t="inlineStr">
        <is>
          <t>NS2500kVA</t>
        </is>
      </c>
      <c r="J8826" t="inlineStr">
        <is>
          <t>MATRION</t>
        </is>
      </c>
      <c r="K8826" t="inlineStr">
        <is>
          <t>METAL</t>
        </is>
      </c>
      <c r="L8826">
        <f>_xlfn.XLOOKUP(Tableau1[[#This Row],[TYPE DE PIECE]],Tableau4[MATIERE],Tableau4[SHORT TYPE],"",0,1)</f>
        <v/>
      </c>
      <c r="N8826">
        <f>IF(ISERR(FIND("DECOUPE",Tableau1[[#This Row],[DESIGNATION]])),"","NEED REF")</f>
        <v/>
      </c>
    </row>
    <row r="8827">
      <c r="B8827" t="n">
        <v>34405178</v>
      </c>
      <c r="C8827" s="2" t="n">
        <v>42552</v>
      </c>
      <c r="D8827" t="inlineStr">
        <is>
          <t>SPEC</t>
        </is>
      </c>
      <c r="E8827" t="inlineStr">
        <is>
          <t>RENFORT JDB BYPASS 1</t>
        </is>
      </c>
      <c r="F8827" t="inlineStr">
        <is>
          <t>NS2500kVA</t>
        </is>
      </c>
      <c r="J8827" t="inlineStr">
        <is>
          <t>MATRION</t>
        </is>
      </c>
      <c r="K8827" t="inlineStr">
        <is>
          <t>METAL</t>
        </is>
      </c>
      <c r="L8827">
        <f>_xlfn.XLOOKUP(Tableau1[[#This Row],[TYPE DE PIECE]],Tableau4[MATIERE],Tableau4[SHORT TYPE],"",0,1)</f>
        <v/>
      </c>
      <c r="N8827">
        <f>IF(ISERR(FIND("DECOUPE",Tableau1[[#This Row],[DESIGNATION]])),"","NEED REF")</f>
        <v/>
      </c>
    </row>
    <row r="8828">
      <c r="B8828" t="n">
        <v>34405177</v>
      </c>
      <c r="C8828" s="2" t="n">
        <v>42552</v>
      </c>
      <c r="D8828" t="inlineStr">
        <is>
          <t>SPEC</t>
        </is>
      </c>
      <c r="E8828" t="inlineStr">
        <is>
          <t>SUPPORT JDB HAUT</t>
        </is>
      </c>
      <c r="F8828" t="inlineStr">
        <is>
          <t>NS2500kVA</t>
        </is>
      </c>
      <c r="J8828" t="inlineStr">
        <is>
          <t>MATRION</t>
        </is>
      </c>
      <c r="K8828" t="inlineStr">
        <is>
          <t>METAL</t>
        </is>
      </c>
      <c r="L8828">
        <f>_xlfn.XLOOKUP(Tableau1[[#This Row],[TYPE DE PIECE]],Tableau4[MATIERE],Tableau4[SHORT TYPE],"",0,1)</f>
        <v/>
      </c>
      <c r="N8828">
        <f>IF(ISERR(FIND("DECOUPE",Tableau1[[#This Row],[DESIGNATION]])),"","NEED REF")</f>
        <v/>
      </c>
    </row>
    <row r="8829">
      <c r="B8829" t="n">
        <v>34405176</v>
      </c>
      <c r="C8829" s="2" t="n">
        <v>42552</v>
      </c>
      <c r="D8829" t="inlineStr">
        <is>
          <t>SPEC</t>
        </is>
      </c>
      <c r="E8829" t="inlineStr">
        <is>
          <t>SUPPORT JDB UTIL 1</t>
        </is>
      </c>
      <c r="F8829" t="inlineStr">
        <is>
          <t>NS2500kVA</t>
        </is>
      </c>
      <c r="J8829" t="inlineStr">
        <is>
          <t>MATRION</t>
        </is>
      </c>
      <c r="K8829" t="inlineStr">
        <is>
          <t>METAL</t>
        </is>
      </c>
      <c r="L8829">
        <f>_xlfn.XLOOKUP(Tableau1[[#This Row],[TYPE DE PIECE]],Tableau4[MATIERE],Tableau4[SHORT TYPE],"",0,1)</f>
        <v/>
      </c>
      <c r="N8829">
        <f>IF(ISERR(FIND("DECOUPE",Tableau1[[#This Row],[DESIGNATION]])),"","NEED REF")</f>
        <v/>
      </c>
    </row>
    <row r="8830">
      <c r="B8830" t="n">
        <v>34405175</v>
      </c>
      <c r="C8830" s="2" t="n">
        <v>42552</v>
      </c>
      <c r="D8830" t="inlineStr">
        <is>
          <t>SPEC</t>
        </is>
      </c>
      <c r="E8830" t="inlineStr">
        <is>
          <t>PANNEAU ECLISSE</t>
        </is>
      </c>
      <c r="F8830" t="inlineStr">
        <is>
          <t>NS2500kVA</t>
        </is>
      </c>
      <c r="J8830" t="inlineStr">
        <is>
          <t>MATRION</t>
        </is>
      </c>
      <c r="K8830" t="inlineStr">
        <is>
          <t>METAL</t>
        </is>
      </c>
      <c r="L8830">
        <f>_xlfn.XLOOKUP(Tableau1[[#This Row],[TYPE DE PIECE]],Tableau4[MATIERE],Tableau4[SHORT TYPE],"",0,1)</f>
        <v/>
      </c>
      <c r="N8830">
        <f>IF(ISERR(FIND("DECOUPE",Tableau1[[#This Row],[DESIGNATION]])),"","NEED REF")</f>
        <v/>
      </c>
    </row>
    <row r="8831">
      <c r="B8831" t="n">
        <v>34405174</v>
      </c>
      <c r="C8831" s="2" t="n">
        <v>42552</v>
      </c>
      <c r="D8831" t="inlineStr">
        <is>
          <t>SPEC</t>
        </is>
      </c>
      <c r="E8831" t="inlineStr">
        <is>
          <t>CX ECLISSE</t>
        </is>
      </c>
      <c r="F8831" t="inlineStr">
        <is>
          <t>NS2500kVA</t>
        </is>
      </c>
      <c r="J8831" t="inlineStr">
        <is>
          <t>MATRION</t>
        </is>
      </c>
      <c r="K8831" t="inlineStr">
        <is>
          <t>CUIVRE</t>
        </is>
      </c>
      <c r="L8831">
        <f>_xlfn.XLOOKUP(Tableau1[[#This Row],[TYPE DE PIECE]],Tableau4[MATIERE],Tableau4[SHORT TYPE],"",0,1)</f>
        <v/>
      </c>
      <c r="N8831">
        <f>IF(ISERR(FIND("DECOUPE",Tableau1[[#This Row],[DESIGNATION]])),"","NEED REF")</f>
        <v/>
      </c>
    </row>
    <row r="8832">
      <c r="B8832" t="n">
        <v>34405173</v>
      </c>
      <c r="C8832" s="2" t="n">
        <v>42552</v>
      </c>
      <c r="D8832" t="inlineStr">
        <is>
          <t>SPEC</t>
        </is>
      </c>
      <c r="E8832" t="inlineStr">
        <is>
          <t>Masterpact K2S 3 poles</t>
        </is>
      </c>
      <c r="F8832" t="inlineStr">
        <is>
          <t>NS2500kVA</t>
        </is>
      </c>
      <c r="J8832" t="inlineStr">
        <is>
          <t>MATRION</t>
        </is>
      </c>
      <c r="L8832">
        <f>_xlfn.XLOOKUP(Tableau1[[#This Row],[TYPE DE PIECE]],Tableau4[MATIERE],Tableau4[SHORT TYPE],"",0,1)</f>
        <v/>
      </c>
      <c r="N8832">
        <f>IF(ISERR(FIND("DECOUPE",Tableau1[[#This Row],[DESIGNATION]])),"","NEED REF")</f>
        <v/>
      </c>
    </row>
    <row r="8833">
      <c r="B8833" t="n">
        <v>34405172</v>
      </c>
      <c r="C8833" s="2" t="n">
        <v>42552</v>
      </c>
      <c r="D8833" t="inlineStr">
        <is>
          <t>SPEC</t>
        </is>
      </c>
      <c r="E8833" t="inlineStr">
        <is>
          <t>Masterpact Q4S 4P backfeed</t>
        </is>
      </c>
      <c r="F8833" t="inlineStr">
        <is>
          <t>NS2500kVA</t>
        </is>
      </c>
      <c r="J8833" t="inlineStr">
        <is>
          <t>MATRION</t>
        </is>
      </c>
      <c r="L8833">
        <f>_xlfn.XLOOKUP(Tableau1[[#This Row],[TYPE DE PIECE]],Tableau4[MATIERE],Tableau4[SHORT TYPE],"",0,1)</f>
        <v/>
      </c>
      <c r="N8833">
        <f>IF(ISERR(FIND("DECOUPE",Tableau1[[#This Row],[DESIGNATION]])),"","NEED REF")</f>
        <v/>
      </c>
    </row>
    <row r="8834">
      <c r="B8834" t="n">
        <v>34405171</v>
      </c>
      <c r="C8834" s="2" t="n">
        <v>42552</v>
      </c>
      <c r="D8834" t="inlineStr">
        <is>
          <t>SPEC</t>
        </is>
      </c>
      <c r="E8834" t="inlineStr">
        <is>
          <t>SUPPORT CS 2</t>
        </is>
      </c>
      <c r="F8834" t="inlineStr">
        <is>
          <t>NS2500kVA</t>
        </is>
      </c>
      <c r="J8834" t="inlineStr">
        <is>
          <t>MATRION</t>
        </is>
      </c>
      <c r="K8834" t="inlineStr">
        <is>
          <t>METAL</t>
        </is>
      </c>
      <c r="L8834">
        <f>_xlfn.XLOOKUP(Tableau1[[#This Row],[TYPE DE PIECE]],Tableau4[MATIERE],Tableau4[SHORT TYPE],"",0,1)</f>
        <v/>
      </c>
      <c r="N8834">
        <f>IF(ISERR(FIND("DECOUPE",Tableau1[[#This Row],[DESIGNATION]])),"","NEED REF")</f>
        <v/>
      </c>
    </row>
    <row r="8835">
      <c r="B8835" t="n">
        <v>34405170</v>
      </c>
      <c r="C8835" s="2" t="n">
        <v>42552</v>
      </c>
      <c r="D8835" t="inlineStr">
        <is>
          <t>SPEC</t>
        </is>
      </c>
      <c r="E8835" t="inlineStr">
        <is>
          <t>SUPPORT CS 1</t>
        </is>
      </c>
      <c r="F8835" t="inlineStr">
        <is>
          <t>NS2500kVA</t>
        </is>
      </c>
      <c r="J8835" t="inlineStr">
        <is>
          <t>MATRION</t>
        </is>
      </c>
      <c r="K8835" t="inlineStr">
        <is>
          <t>METAL</t>
        </is>
      </c>
      <c r="L8835">
        <f>_xlfn.XLOOKUP(Tableau1[[#This Row],[TYPE DE PIECE]],Tableau4[MATIERE],Tableau4[SHORT TYPE],"",0,1)</f>
        <v/>
      </c>
      <c r="N8835">
        <f>IF(ISERR(FIND("DECOUPE",Tableau1[[#This Row],[DESIGNATION]])),"","NEED REF")</f>
        <v/>
      </c>
    </row>
    <row r="8836">
      <c r="B8836" t="n">
        <v>34405169</v>
      </c>
      <c r="C8836" s="2" t="n">
        <v>42552</v>
      </c>
      <c r="D8836" t="inlineStr">
        <is>
          <t>SPEC</t>
        </is>
      </c>
      <c r="E8836" t="inlineStr">
        <is>
          <t>SUPPORT JDB UTIL 3</t>
        </is>
      </c>
      <c r="F8836" t="inlineStr">
        <is>
          <t>NS2500kVA</t>
        </is>
      </c>
      <c r="J8836" t="inlineStr">
        <is>
          <t>MATRION</t>
        </is>
      </c>
      <c r="K8836" t="inlineStr">
        <is>
          <t>METAL</t>
        </is>
      </c>
      <c r="L8836">
        <f>_xlfn.XLOOKUP(Tableau1[[#This Row],[TYPE DE PIECE]],Tableau4[MATIERE],Tableau4[SHORT TYPE],"",0,1)</f>
        <v/>
      </c>
      <c r="N8836">
        <f>IF(ISERR(FIND("DECOUPE",Tableau1[[#This Row],[DESIGNATION]])),"","NEED REF")</f>
        <v/>
      </c>
    </row>
    <row r="8837">
      <c r="B8837" t="n">
        <v>34405168</v>
      </c>
      <c r="C8837" s="2" t="n">
        <v>42552</v>
      </c>
      <c r="D8837" t="inlineStr">
        <is>
          <t>SPEC</t>
        </is>
      </c>
      <c r="E8837" t="inlineStr">
        <is>
          <t>SUPPORT JDB UTIL 2</t>
        </is>
      </c>
      <c r="F8837" t="inlineStr">
        <is>
          <t>NS2500kVA</t>
        </is>
      </c>
      <c r="J8837" t="inlineStr">
        <is>
          <t>MATRION</t>
        </is>
      </c>
      <c r="K8837" t="inlineStr">
        <is>
          <t>METAL</t>
        </is>
      </c>
      <c r="L8837">
        <f>_xlfn.XLOOKUP(Tableau1[[#This Row],[TYPE DE PIECE]],Tableau4[MATIERE],Tableau4[SHORT TYPE],"",0,1)</f>
        <v/>
      </c>
      <c r="N8837">
        <f>IF(ISERR(FIND("DECOUPE",Tableau1[[#This Row],[DESIGNATION]])),"","NEED REF")</f>
        <v/>
      </c>
    </row>
    <row r="8838">
      <c r="B8838" t="n">
        <v>34405167</v>
      </c>
      <c r="C8838" s="2" t="n">
        <v>42552</v>
      </c>
      <c r="D8838" t="inlineStr">
        <is>
          <t>SPEC</t>
        </is>
      </c>
      <c r="E8838" t="inlineStr">
        <is>
          <t>SUPPORT JDB UTIL 1</t>
        </is>
      </c>
      <c r="F8838" t="inlineStr">
        <is>
          <t>NS2500kVA</t>
        </is>
      </c>
      <c r="J8838" t="inlineStr">
        <is>
          <t>MATRION</t>
        </is>
      </c>
      <c r="K8838" t="inlineStr">
        <is>
          <t>METAL</t>
        </is>
      </c>
      <c r="L8838">
        <f>_xlfn.XLOOKUP(Tableau1[[#This Row],[TYPE DE PIECE]],Tableau4[MATIERE],Tableau4[SHORT TYPE],"",0,1)</f>
        <v/>
      </c>
      <c r="N8838">
        <f>IF(ISERR(FIND("DECOUPE",Tableau1[[#This Row],[DESIGNATION]])),"","NEED REF")</f>
        <v/>
      </c>
    </row>
    <row r="8839">
      <c r="B8839" t="n">
        <v>34405166</v>
      </c>
      <c r="C8839" s="2" t="n">
        <v>42552</v>
      </c>
      <c r="D8839" t="inlineStr">
        <is>
          <t>SPEC</t>
        </is>
      </c>
      <c r="E8839" t="inlineStr">
        <is>
          <t>TRAVERSE SUPPORT JDB ARRIERE 2</t>
        </is>
      </c>
      <c r="F8839" t="inlineStr">
        <is>
          <t>NS2500kVA</t>
        </is>
      </c>
      <c r="J8839" t="inlineStr">
        <is>
          <t>MATRION</t>
        </is>
      </c>
      <c r="K8839" t="inlineStr">
        <is>
          <t>METAL</t>
        </is>
      </c>
      <c r="L8839">
        <f>_xlfn.XLOOKUP(Tableau1[[#This Row],[TYPE DE PIECE]],Tableau4[MATIERE],Tableau4[SHORT TYPE],"",0,1)</f>
        <v/>
      </c>
      <c r="N8839">
        <f>IF(ISERR(FIND("DECOUPE",Tableau1[[#This Row],[DESIGNATION]])),"","NEED REF")</f>
        <v/>
      </c>
    </row>
    <row r="8840">
      <c r="B8840" t="n">
        <v>34405165</v>
      </c>
      <c r="C8840" s="2" t="n">
        <v>42552</v>
      </c>
      <c r="D8840" t="inlineStr">
        <is>
          <t>SPEC</t>
        </is>
      </c>
      <c r="E8840" t="inlineStr">
        <is>
          <t>TRAVERSE SUPPORT JDB ARRIERE</t>
        </is>
      </c>
      <c r="F8840" t="inlineStr">
        <is>
          <t>NS2500kVA</t>
        </is>
      </c>
      <c r="J8840" t="inlineStr">
        <is>
          <t>MATRION</t>
        </is>
      </c>
      <c r="K8840" t="inlineStr">
        <is>
          <t>METAL</t>
        </is>
      </c>
      <c r="L8840">
        <f>_xlfn.XLOOKUP(Tableau1[[#This Row],[TYPE DE PIECE]],Tableau4[MATIERE],Tableau4[SHORT TYPE],"",0,1)</f>
        <v/>
      </c>
      <c r="N8840">
        <f>IF(ISERR(FIND("DECOUPE",Tableau1[[#This Row],[DESIGNATION]])),"","NEED REF")</f>
        <v/>
      </c>
    </row>
    <row r="8841">
      <c r="B8841" t="n">
        <v>34405164</v>
      </c>
      <c r="C8841" s="2" t="n">
        <v>42552</v>
      </c>
      <c r="D8841" t="inlineStr">
        <is>
          <t>SPEC</t>
        </is>
      </c>
      <c r="E8841" t="inlineStr">
        <is>
          <t>MONTANT ECLISSAGE BYPASS</t>
        </is>
      </c>
      <c r="F8841" t="inlineStr">
        <is>
          <t>NS2500kVA</t>
        </is>
      </c>
      <c r="J8841" t="inlineStr">
        <is>
          <t>MATRION</t>
        </is>
      </c>
      <c r="K8841" t="inlineStr">
        <is>
          <t>METAL</t>
        </is>
      </c>
      <c r="L8841">
        <f>_xlfn.XLOOKUP(Tableau1[[#This Row],[TYPE DE PIECE]],Tableau4[MATIERE],Tableau4[SHORT TYPE],"",0,1)</f>
        <v/>
      </c>
      <c r="N8841">
        <f>IF(ISERR(FIND("DECOUPE",Tableau1[[#This Row],[DESIGNATION]])),"","NEED REF")</f>
        <v/>
      </c>
    </row>
    <row r="8842">
      <c r="B8842" t="n">
        <v>34405163</v>
      </c>
      <c r="C8842" s="2" t="n">
        <v>42552</v>
      </c>
      <c r="D8842" t="inlineStr">
        <is>
          <t>SPEC</t>
        </is>
      </c>
      <c r="E8842" t="inlineStr">
        <is>
          <t>SUPPORT NW + JDB BYPASS GAUCHE</t>
        </is>
      </c>
      <c r="F8842" t="inlineStr">
        <is>
          <t>NS2500kVA</t>
        </is>
      </c>
      <c r="J8842" t="inlineStr">
        <is>
          <t>MATRION</t>
        </is>
      </c>
      <c r="K8842" t="inlineStr">
        <is>
          <t>METAL</t>
        </is>
      </c>
      <c r="L8842">
        <f>_xlfn.XLOOKUP(Tableau1[[#This Row],[TYPE DE PIECE]],Tableau4[MATIERE],Tableau4[SHORT TYPE],"",0,1)</f>
        <v/>
      </c>
      <c r="N8842">
        <f>IF(ISERR(FIND("DECOUPE",Tableau1[[#This Row],[DESIGNATION]])),"","NEED REF")</f>
        <v/>
      </c>
    </row>
    <row r="8843">
      <c r="B8843" t="n">
        <v>34405162</v>
      </c>
      <c r="C8843" s="2" t="n">
        <v>42552</v>
      </c>
      <c r="D8843" t="inlineStr">
        <is>
          <t>SPEC</t>
        </is>
      </c>
      <c r="E8843" t="inlineStr">
        <is>
          <t>SUPPORT NW BYPASS</t>
        </is>
      </c>
      <c r="F8843" t="inlineStr">
        <is>
          <t>NS2500kVA</t>
        </is>
      </c>
      <c r="J8843" t="inlineStr">
        <is>
          <t>MATRION</t>
        </is>
      </c>
      <c r="K8843" t="inlineStr">
        <is>
          <t>METAL</t>
        </is>
      </c>
      <c r="L8843">
        <f>_xlfn.XLOOKUP(Tableau1[[#This Row],[TYPE DE PIECE]],Tableau4[MATIERE],Tableau4[SHORT TYPE],"",0,1)</f>
        <v/>
      </c>
      <c r="N8843">
        <f>IF(ISERR(FIND("DECOUPE",Tableau1[[#This Row],[DESIGNATION]])),"","NEED REF")</f>
        <v/>
      </c>
    </row>
    <row r="8844">
      <c r="B8844" t="n">
        <v>34405161</v>
      </c>
      <c r="C8844" s="2" t="n">
        <v>42552</v>
      </c>
      <c r="D8844" t="inlineStr">
        <is>
          <t>SPEC</t>
        </is>
      </c>
      <c r="E8844" t="inlineStr">
        <is>
          <t>SUPPORT NW BYPASS GAUCHE</t>
        </is>
      </c>
      <c r="F8844" t="inlineStr">
        <is>
          <t>NS2500kVA</t>
        </is>
      </c>
      <c r="J8844" t="inlineStr">
        <is>
          <t>MATRION</t>
        </is>
      </c>
      <c r="K8844" t="inlineStr">
        <is>
          <t>METAL</t>
        </is>
      </c>
      <c r="L8844">
        <f>_xlfn.XLOOKUP(Tableau1[[#This Row],[TYPE DE PIECE]],Tableau4[MATIERE],Tableau4[SHORT TYPE],"",0,1)</f>
        <v/>
      </c>
      <c r="N8844">
        <f>IF(ISERR(FIND("DECOUPE",Tableau1[[#This Row],[DESIGNATION]])),"","NEED REF")</f>
        <v/>
      </c>
    </row>
    <row r="8845">
      <c r="B8845" t="n">
        <v>34405160</v>
      </c>
      <c r="C8845" s="2" t="n">
        <v>42552</v>
      </c>
      <c r="D8845" t="inlineStr">
        <is>
          <t>SPEC</t>
        </is>
      </c>
      <c r="E8845" t="inlineStr">
        <is>
          <t>SUPPORT NW BYPASS DROIT</t>
        </is>
      </c>
      <c r="F8845" t="inlineStr">
        <is>
          <t>NS2500kVA</t>
        </is>
      </c>
      <c r="J8845" t="inlineStr">
        <is>
          <t>MATRION</t>
        </is>
      </c>
      <c r="K8845" t="inlineStr">
        <is>
          <t>METAL</t>
        </is>
      </c>
      <c r="L8845">
        <f>_xlfn.XLOOKUP(Tableau1[[#This Row],[TYPE DE PIECE]],Tableau4[MATIERE],Tableau4[SHORT TYPE],"",0,1)</f>
        <v/>
      </c>
      <c r="N8845">
        <f>IF(ISERR(FIND("DECOUPE",Tableau1[[#This Row],[DESIGNATION]])),"","NEED REF")</f>
        <v/>
      </c>
    </row>
    <row r="8846">
      <c r="B8846" t="n">
        <v>34405159</v>
      </c>
      <c r="C8846" s="2" t="n">
        <v>42552</v>
      </c>
      <c r="D8846" t="inlineStr">
        <is>
          <t>SPEC</t>
        </is>
      </c>
      <c r="E8846" t="inlineStr">
        <is>
          <t>CX NEUTRE EQUERRE 2</t>
        </is>
      </c>
      <c r="F8846" t="inlineStr">
        <is>
          <t>NS2500kVA</t>
        </is>
      </c>
      <c r="J8846" t="inlineStr">
        <is>
          <t>MATRION</t>
        </is>
      </c>
      <c r="K8846" t="inlineStr">
        <is>
          <t>CUIVRE</t>
        </is>
      </c>
      <c r="L8846">
        <f>_xlfn.XLOOKUP(Tableau1[[#This Row],[TYPE DE PIECE]],Tableau4[MATIERE],Tableau4[SHORT TYPE],"",0,1)</f>
        <v/>
      </c>
      <c r="N8846">
        <f>IF(ISERR(FIND("DECOUPE",Tableau1[[#This Row],[DESIGNATION]])),"","NEED REF")</f>
        <v/>
      </c>
    </row>
    <row r="8847">
      <c r="B8847" t="n">
        <v>34405158</v>
      </c>
      <c r="C8847" s="2" t="n">
        <v>42552</v>
      </c>
      <c r="D8847" t="inlineStr">
        <is>
          <t>SPEC</t>
        </is>
      </c>
      <c r="E8847" t="inlineStr">
        <is>
          <t>CX NEUTRE EQUERRE 1</t>
        </is>
      </c>
      <c r="F8847" t="inlineStr">
        <is>
          <t>NS2500kVA</t>
        </is>
      </c>
      <c r="J8847" t="inlineStr">
        <is>
          <t>MATRION</t>
        </is>
      </c>
      <c r="K8847" t="inlineStr">
        <is>
          <t>CUIVRE</t>
        </is>
      </c>
      <c r="L8847">
        <f>_xlfn.XLOOKUP(Tableau1[[#This Row],[TYPE DE PIECE]],Tableau4[MATIERE],Tableau4[SHORT TYPE],"",0,1)</f>
        <v/>
      </c>
      <c r="N8847">
        <f>IF(ISERR(FIND("DECOUPE",Tableau1[[#This Row],[DESIGNATION]])),"","NEED REF")</f>
        <v/>
      </c>
    </row>
    <row r="8848">
      <c r="B8848" t="n">
        <v>34405157</v>
      </c>
      <c r="C8848" s="2" t="n">
        <v>42552</v>
      </c>
      <c r="D8848" t="inlineStr">
        <is>
          <t>SPEC</t>
        </is>
      </c>
      <c r="E8848" t="inlineStr">
        <is>
          <t>CX NEUTRE JONCTION BP 2</t>
        </is>
      </c>
      <c r="F8848" t="inlineStr">
        <is>
          <t>NS2500kVA</t>
        </is>
      </c>
      <c r="J8848" t="inlineStr">
        <is>
          <t>MATRION</t>
        </is>
      </c>
      <c r="K8848" t="inlineStr">
        <is>
          <t>CUIVRE</t>
        </is>
      </c>
      <c r="L8848">
        <f>_xlfn.XLOOKUP(Tableau1[[#This Row],[TYPE DE PIECE]],Tableau4[MATIERE],Tableau4[SHORT TYPE],"",0,1)</f>
        <v/>
      </c>
      <c r="N8848">
        <f>IF(ISERR(FIND("DECOUPE",Tableau1[[#This Row],[DESIGNATION]])),"","NEED REF")</f>
        <v/>
      </c>
    </row>
    <row r="8849">
      <c r="B8849" t="n">
        <v>34405156</v>
      </c>
      <c r="C8849" s="2" t="n">
        <v>42552</v>
      </c>
      <c r="D8849" t="inlineStr">
        <is>
          <t>SPEC</t>
        </is>
      </c>
      <c r="E8849" t="inlineStr">
        <is>
          <t>CX NEUTRE JONCTION BP 1</t>
        </is>
      </c>
      <c r="F8849" t="inlineStr">
        <is>
          <t>NS2500kVA</t>
        </is>
      </c>
      <c r="J8849" t="inlineStr">
        <is>
          <t>MATRION</t>
        </is>
      </c>
      <c r="K8849" t="inlineStr">
        <is>
          <t>CUIVRE</t>
        </is>
      </c>
      <c r="L8849">
        <f>_xlfn.XLOOKUP(Tableau1[[#This Row],[TYPE DE PIECE]],Tableau4[MATIERE],Tableau4[SHORT TYPE],"",0,1)</f>
        <v/>
      </c>
      <c r="N8849">
        <f>IF(ISERR(FIND("DECOUPE",Tableau1[[#This Row],[DESIGNATION]])),"","NEED REF")</f>
        <v/>
      </c>
    </row>
    <row r="8850">
      <c r="B8850" t="n">
        <v>34405155</v>
      </c>
      <c r="C8850" s="2" t="n">
        <v>42552</v>
      </c>
      <c r="D8850" t="inlineStr">
        <is>
          <t>SPEC</t>
        </is>
      </c>
      <c r="E8850" t="inlineStr">
        <is>
          <t>CX ECLISSAGE UPS 8</t>
        </is>
      </c>
      <c r="F8850" t="inlineStr">
        <is>
          <t>NS2500kVA</t>
        </is>
      </c>
      <c r="J8850" t="inlineStr">
        <is>
          <t>MATRION</t>
        </is>
      </c>
      <c r="K8850" t="inlineStr">
        <is>
          <t>CUIVRE</t>
        </is>
      </c>
      <c r="L8850">
        <f>_xlfn.XLOOKUP(Tableau1[[#This Row],[TYPE DE PIECE]],Tableau4[MATIERE],Tableau4[SHORT TYPE],"",0,1)</f>
        <v/>
      </c>
      <c r="N8850">
        <f>IF(ISERR(FIND("DECOUPE",Tableau1[[#This Row],[DESIGNATION]])),"","NEED REF")</f>
        <v/>
      </c>
    </row>
    <row r="8851">
      <c r="B8851" t="n">
        <v>34405154</v>
      </c>
      <c r="C8851" s="2" t="n">
        <v>42552</v>
      </c>
      <c r="D8851" t="inlineStr">
        <is>
          <t>SPEC</t>
        </is>
      </c>
      <c r="E8851" t="inlineStr">
        <is>
          <t>CX ECLISSAGE UPS 7</t>
        </is>
      </c>
      <c r="F8851" t="inlineStr">
        <is>
          <t>NS2500kVA</t>
        </is>
      </c>
      <c r="J8851" t="inlineStr">
        <is>
          <t>MATRION</t>
        </is>
      </c>
      <c r="K8851" t="inlineStr">
        <is>
          <t>CUIVRE</t>
        </is>
      </c>
      <c r="L8851">
        <f>_xlfn.XLOOKUP(Tableau1[[#This Row],[TYPE DE PIECE]],Tableau4[MATIERE],Tableau4[SHORT TYPE],"",0,1)</f>
        <v/>
      </c>
      <c r="N8851">
        <f>IF(ISERR(FIND("DECOUPE",Tableau1[[#This Row],[DESIGNATION]])),"","NEED REF")</f>
        <v/>
      </c>
    </row>
    <row r="8852">
      <c r="B8852" t="n">
        <v>34405153</v>
      </c>
      <c r="C8852" s="2" t="n">
        <v>42552</v>
      </c>
      <c r="D8852" t="inlineStr">
        <is>
          <t>SPEC</t>
        </is>
      </c>
      <c r="E8852" t="inlineStr">
        <is>
          <t>CX ECLISSAGE UPS 6</t>
        </is>
      </c>
      <c r="F8852" t="inlineStr">
        <is>
          <t>NS2500kVA</t>
        </is>
      </c>
      <c r="J8852" t="inlineStr">
        <is>
          <t>MATRION</t>
        </is>
      </c>
      <c r="K8852" t="inlineStr">
        <is>
          <t>CUIVRE</t>
        </is>
      </c>
      <c r="L8852">
        <f>_xlfn.XLOOKUP(Tableau1[[#This Row],[TYPE DE PIECE]],Tableau4[MATIERE],Tableau4[SHORT TYPE],"",0,1)</f>
        <v/>
      </c>
      <c r="N8852">
        <f>IF(ISERR(FIND("DECOUPE",Tableau1[[#This Row],[DESIGNATION]])),"","NEED REF")</f>
        <v/>
      </c>
    </row>
    <row r="8853">
      <c r="B8853" t="n">
        <v>34405152</v>
      </c>
      <c r="C8853" s="2" t="n">
        <v>42552</v>
      </c>
      <c r="D8853" t="inlineStr">
        <is>
          <t>SPEC</t>
        </is>
      </c>
      <c r="E8853" t="inlineStr">
        <is>
          <t>CX ECLISSAGE UPS 5</t>
        </is>
      </c>
      <c r="F8853" t="inlineStr">
        <is>
          <t>NS2500kVA</t>
        </is>
      </c>
      <c r="J8853" t="inlineStr">
        <is>
          <t>MATRION</t>
        </is>
      </c>
      <c r="K8853" t="inlineStr">
        <is>
          <t>CUIVRE</t>
        </is>
      </c>
      <c r="L8853">
        <f>_xlfn.XLOOKUP(Tableau1[[#This Row],[TYPE DE PIECE]],Tableau4[MATIERE],Tableau4[SHORT TYPE],"",0,1)</f>
        <v/>
      </c>
      <c r="N8853">
        <f>IF(ISERR(FIND("DECOUPE",Tableau1[[#This Row],[DESIGNATION]])),"","NEED REF")</f>
        <v/>
      </c>
    </row>
    <row r="8854">
      <c r="B8854" t="n">
        <v>34405151</v>
      </c>
      <c r="C8854" s="2" t="n">
        <v>42552</v>
      </c>
      <c r="D8854" t="inlineStr">
        <is>
          <t>SPEC</t>
        </is>
      </c>
      <c r="E8854" t="inlineStr">
        <is>
          <t>CX ECLISSAGE UPS 4</t>
        </is>
      </c>
      <c r="F8854" t="inlineStr">
        <is>
          <t>NS2500kVA</t>
        </is>
      </c>
      <c r="J8854" t="inlineStr">
        <is>
          <t>MATRION</t>
        </is>
      </c>
      <c r="K8854" t="inlineStr">
        <is>
          <t>CUIVRE</t>
        </is>
      </c>
      <c r="L8854">
        <f>_xlfn.XLOOKUP(Tableau1[[#This Row],[TYPE DE PIECE]],Tableau4[MATIERE],Tableau4[SHORT TYPE],"",0,1)</f>
        <v/>
      </c>
      <c r="N8854">
        <f>IF(ISERR(FIND("DECOUPE",Tableau1[[#This Row],[DESIGNATION]])),"","NEED REF")</f>
        <v/>
      </c>
    </row>
    <row r="8855">
      <c r="B8855" t="n">
        <v>34405150</v>
      </c>
      <c r="C8855" s="2" t="n">
        <v>42552</v>
      </c>
      <c r="D8855" t="inlineStr">
        <is>
          <t>SPEC</t>
        </is>
      </c>
      <c r="E8855" t="inlineStr">
        <is>
          <t>CX ECLISSAGE UPS 3</t>
        </is>
      </c>
      <c r="F8855" t="inlineStr">
        <is>
          <t>NS2500kVA</t>
        </is>
      </c>
      <c r="J8855" t="inlineStr">
        <is>
          <t>MATRION</t>
        </is>
      </c>
      <c r="K8855" t="inlineStr">
        <is>
          <t>CUIVRE</t>
        </is>
      </c>
      <c r="L8855">
        <f>_xlfn.XLOOKUP(Tableau1[[#This Row],[TYPE DE PIECE]],Tableau4[MATIERE],Tableau4[SHORT TYPE],"",0,1)</f>
        <v/>
      </c>
      <c r="N8855">
        <f>IF(ISERR(FIND("DECOUPE",Tableau1[[#This Row],[DESIGNATION]])),"","NEED REF")</f>
        <v/>
      </c>
    </row>
    <row r="8856">
      <c r="B8856" t="n">
        <v>34405149</v>
      </c>
      <c r="C8856" s="2" t="n">
        <v>42552</v>
      </c>
      <c r="D8856" t="inlineStr">
        <is>
          <t>SPEC</t>
        </is>
      </c>
      <c r="E8856" t="inlineStr">
        <is>
          <t>CX ECLISSAGE UPS 2</t>
        </is>
      </c>
      <c r="F8856" t="inlineStr">
        <is>
          <t>NS2500kVA</t>
        </is>
      </c>
      <c r="J8856" t="inlineStr">
        <is>
          <t>MATRION</t>
        </is>
      </c>
      <c r="K8856" t="inlineStr">
        <is>
          <t>CUIVRE</t>
        </is>
      </c>
      <c r="L8856">
        <f>_xlfn.XLOOKUP(Tableau1[[#This Row],[TYPE DE PIECE]],Tableau4[MATIERE],Tableau4[SHORT TYPE],"",0,1)</f>
        <v/>
      </c>
      <c r="N8856">
        <f>IF(ISERR(FIND("DECOUPE",Tableau1[[#This Row],[DESIGNATION]])),"","NEED REF")</f>
        <v/>
      </c>
    </row>
    <row r="8857">
      <c r="B8857" t="n">
        <v>34405148</v>
      </c>
      <c r="C8857" s="2" t="n">
        <v>42552</v>
      </c>
      <c r="D8857" t="inlineStr">
        <is>
          <t>SPEC</t>
        </is>
      </c>
      <c r="E8857" t="inlineStr">
        <is>
          <t>CX ECLISSAGE UPS 1</t>
        </is>
      </c>
      <c r="F8857" t="inlineStr">
        <is>
          <t>NS2500kVA</t>
        </is>
      </c>
      <c r="J8857" t="inlineStr">
        <is>
          <t>MATRION</t>
        </is>
      </c>
      <c r="K8857" t="inlineStr">
        <is>
          <t>CUIVRE</t>
        </is>
      </c>
      <c r="L8857">
        <f>_xlfn.XLOOKUP(Tableau1[[#This Row],[TYPE DE PIECE]],Tableau4[MATIERE],Tableau4[SHORT TYPE],"",0,1)</f>
        <v/>
      </c>
      <c r="N8857">
        <f>IF(ISERR(FIND("DECOUPE",Tableau1[[#This Row],[DESIGNATION]])),"","NEED REF")</f>
        <v/>
      </c>
    </row>
    <row r="8858">
      <c r="B8858" t="n">
        <v>34405147</v>
      </c>
      <c r="C8858" s="2" t="n">
        <v>42552</v>
      </c>
      <c r="D8858" t="inlineStr">
        <is>
          <t>SPEC</t>
        </is>
      </c>
      <c r="E8858" t="inlineStr">
        <is>
          <t>CX AMONT K2S 3</t>
        </is>
      </c>
      <c r="F8858" t="inlineStr">
        <is>
          <t>NS2500kVA</t>
        </is>
      </c>
      <c r="J8858" t="inlineStr">
        <is>
          <t>MATRION</t>
        </is>
      </c>
      <c r="K8858" t="inlineStr">
        <is>
          <t>CUIVRE</t>
        </is>
      </c>
      <c r="L8858">
        <f>_xlfn.XLOOKUP(Tableau1[[#This Row],[TYPE DE PIECE]],Tableau4[MATIERE],Tableau4[SHORT TYPE],"",0,1)</f>
        <v/>
      </c>
      <c r="N8858">
        <f>IF(ISERR(FIND("DECOUPE",Tableau1[[#This Row],[DESIGNATION]])),"","NEED REF")</f>
        <v/>
      </c>
    </row>
    <row r="8859">
      <c r="B8859" t="n">
        <v>34405146</v>
      </c>
      <c r="C8859" s="2" t="n">
        <v>42552</v>
      </c>
      <c r="D8859" t="inlineStr">
        <is>
          <t>SPEC</t>
        </is>
      </c>
      <c r="E8859" t="inlineStr">
        <is>
          <t>CX AMONT K2S 2</t>
        </is>
      </c>
      <c r="F8859" t="inlineStr">
        <is>
          <t>NS2500kVA</t>
        </is>
      </c>
      <c r="J8859" t="inlineStr">
        <is>
          <t>MATRION</t>
        </is>
      </c>
      <c r="K8859" t="inlineStr">
        <is>
          <t>CUIVRE</t>
        </is>
      </c>
      <c r="L8859">
        <f>_xlfn.XLOOKUP(Tableau1[[#This Row],[TYPE DE PIECE]],Tableau4[MATIERE],Tableau4[SHORT TYPE],"",0,1)</f>
        <v/>
      </c>
      <c r="N8859">
        <f>IF(ISERR(FIND("DECOUPE",Tableau1[[#This Row],[DESIGNATION]])),"","NEED REF")</f>
        <v/>
      </c>
    </row>
    <row r="8860">
      <c r="B8860" t="n">
        <v>34405145</v>
      </c>
      <c r="C8860" s="2" t="n">
        <v>42552</v>
      </c>
      <c r="D8860" t="inlineStr">
        <is>
          <t>SPEC</t>
        </is>
      </c>
      <c r="E8860" t="inlineStr">
        <is>
          <t>CX AMONT K2S 1</t>
        </is>
      </c>
      <c r="F8860" t="inlineStr">
        <is>
          <t>NS2500kVA</t>
        </is>
      </c>
      <c r="J8860" t="inlineStr">
        <is>
          <t>MATRION</t>
        </is>
      </c>
      <c r="K8860" t="inlineStr">
        <is>
          <t>CUIVRE</t>
        </is>
      </c>
      <c r="L8860">
        <f>_xlfn.XLOOKUP(Tableau1[[#This Row],[TYPE DE PIECE]],Tableau4[MATIERE],Tableau4[SHORT TYPE],"",0,1)</f>
        <v/>
      </c>
      <c r="N8860">
        <f>IF(ISERR(FIND("DECOUPE",Tableau1[[#This Row],[DESIGNATION]])),"","NEED REF")</f>
        <v/>
      </c>
    </row>
    <row r="8861">
      <c r="B8861" t="n">
        <v>34405144</v>
      </c>
      <c r="C8861" s="2" t="n">
        <v>42552</v>
      </c>
      <c r="D8861" t="inlineStr">
        <is>
          <t>SPEC</t>
        </is>
      </c>
      <c r="E8861" t="inlineStr">
        <is>
          <t>CX CS 4</t>
        </is>
      </c>
      <c r="F8861" t="inlineStr">
        <is>
          <t>NS2500kVA</t>
        </is>
      </c>
      <c r="J8861" t="inlineStr">
        <is>
          <t>MATRION</t>
        </is>
      </c>
      <c r="K8861" t="inlineStr">
        <is>
          <t>CUIVRE</t>
        </is>
      </c>
      <c r="L8861">
        <f>_xlfn.XLOOKUP(Tableau1[[#This Row],[TYPE DE PIECE]],Tableau4[MATIERE],Tableau4[SHORT TYPE],"",0,1)</f>
        <v/>
      </c>
      <c r="N8861">
        <f>IF(ISERR(FIND("DECOUPE",Tableau1[[#This Row],[DESIGNATION]])),"","NEED REF")</f>
        <v/>
      </c>
    </row>
    <row r="8862">
      <c r="B8862" t="n">
        <v>34405143</v>
      </c>
      <c r="C8862" s="2" t="n">
        <v>42552</v>
      </c>
      <c r="D8862" t="inlineStr">
        <is>
          <t>SPEC</t>
        </is>
      </c>
      <c r="E8862" t="inlineStr">
        <is>
          <t>CX CS 3</t>
        </is>
      </c>
      <c r="F8862" t="inlineStr">
        <is>
          <t>NS2500kVA</t>
        </is>
      </c>
      <c r="J8862" t="inlineStr">
        <is>
          <t>MATRION</t>
        </is>
      </c>
      <c r="K8862" t="inlineStr">
        <is>
          <t>CUIVRE</t>
        </is>
      </c>
      <c r="L8862">
        <f>_xlfn.XLOOKUP(Tableau1[[#This Row],[TYPE DE PIECE]],Tableau4[MATIERE],Tableau4[SHORT TYPE],"",0,1)</f>
        <v/>
      </c>
      <c r="N8862">
        <f>IF(ISERR(FIND("DECOUPE",Tableau1[[#This Row],[DESIGNATION]])),"","NEED REF")</f>
        <v/>
      </c>
    </row>
    <row r="8863">
      <c r="B8863" t="n">
        <v>34405142</v>
      </c>
      <c r="C8863" s="2" t="n">
        <v>42552</v>
      </c>
      <c r="D8863" t="inlineStr">
        <is>
          <t>SPEC</t>
        </is>
      </c>
      <c r="E8863" t="inlineStr">
        <is>
          <t>CX CS 2</t>
        </is>
      </c>
      <c r="F8863" t="inlineStr">
        <is>
          <t>NS2500kVA</t>
        </is>
      </c>
      <c r="J8863" t="inlineStr">
        <is>
          <t>MATRION</t>
        </is>
      </c>
      <c r="K8863" t="inlineStr">
        <is>
          <t>CUIVRE</t>
        </is>
      </c>
      <c r="L8863">
        <f>_xlfn.XLOOKUP(Tableau1[[#This Row],[TYPE DE PIECE]],Tableau4[MATIERE],Tableau4[SHORT TYPE],"",0,1)</f>
        <v/>
      </c>
      <c r="N8863">
        <f>IF(ISERR(FIND("DECOUPE",Tableau1[[#This Row],[DESIGNATION]])),"","NEED REF")</f>
        <v/>
      </c>
    </row>
    <row r="8864">
      <c r="B8864" t="n">
        <v>34405141</v>
      </c>
      <c r="C8864" s="2" t="n">
        <v>42552</v>
      </c>
      <c r="D8864" t="inlineStr">
        <is>
          <t>SPEC</t>
        </is>
      </c>
      <c r="E8864" t="inlineStr">
        <is>
          <t>CX CS 1</t>
        </is>
      </c>
      <c r="F8864" t="inlineStr">
        <is>
          <t>NS2500kVA</t>
        </is>
      </c>
      <c r="J8864" t="inlineStr">
        <is>
          <t>MATRION</t>
        </is>
      </c>
      <c r="K8864" t="inlineStr">
        <is>
          <t>CUIVRE</t>
        </is>
      </c>
      <c r="L8864">
        <f>_xlfn.XLOOKUP(Tableau1[[#This Row],[TYPE DE PIECE]],Tableau4[MATIERE],Tableau4[SHORT TYPE],"",0,1)</f>
        <v/>
      </c>
      <c r="N8864">
        <f>IF(ISERR(FIND("DECOUPE",Tableau1[[#This Row],[DESIGNATION]])),"","NEED REF")</f>
        <v/>
      </c>
    </row>
    <row r="8865">
      <c r="B8865" t="n">
        <v>34405140</v>
      </c>
      <c r="C8865" s="2" t="n">
        <v>42552</v>
      </c>
      <c r="D8865" t="inlineStr">
        <is>
          <t>SPEC</t>
        </is>
      </c>
      <c r="E8865" t="inlineStr">
        <is>
          <t>CX TI UPS 3</t>
        </is>
      </c>
      <c r="F8865" t="inlineStr">
        <is>
          <t>NS2500kVA</t>
        </is>
      </c>
      <c r="J8865" t="inlineStr">
        <is>
          <t>MATRION</t>
        </is>
      </c>
      <c r="K8865" t="inlineStr">
        <is>
          <t>CUIVRE</t>
        </is>
      </c>
      <c r="L8865">
        <f>_xlfn.XLOOKUP(Tableau1[[#This Row],[TYPE DE PIECE]],Tableau4[MATIERE],Tableau4[SHORT TYPE],"",0,1)</f>
        <v/>
      </c>
      <c r="N8865">
        <f>IF(ISERR(FIND("DECOUPE",Tableau1[[#This Row],[DESIGNATION]])),"","NEED REF")</f>
        <v/>
      </c>
    </row>
    <row r="8866">
      <c r="B8866" t="n">
        <v>34405139</v>
      </c>
      <c r="C8866" s="2" t="n">
        <v>42552</v>
      </c>
      <c r="D8866" t="inlineStr">
        <is>
          <t>SPEC</t>
        </is>
      </c>
      <c r="E8866" t="inlineStr">
        <is>
          <t>CX TI UPS 2</t>
        </is>
      </c>
      <c r="F8866" t="inlineStr">
        <is>
          <t>NS2500kVA</t>
        </is>
      </c>
      <c r="J8866" t="inlineStr">
        <is>
          <t>MATRION</t>
        </is>
      </c>
      <c r="K8866" t="inlineStr">
        <is>
          <t>CUIVRE</t>
        </is>
      </c>
      <c r="L8866">
        <f>_xlfn.XLOOKUP(Tableau1[[#This Row],[TYPE DE PIECE]],Tableau4[MATIERE],Tableau4[SHORT TYPE],"",0,1)</f>
        <v/>
      </c>
      <c r="N8866">
        <f>IF(ISERR(FIND("DECOUPE",Tableau1[[#This Row],[DESIGNATION]])),"","NEED REF")</f>
        <v/>
      </c>
    </row>
    <row r="8867">
      <c r="B8867" t="n">
        <v>34405138</v>
      </c>
      <c r="C8867" s="2" t="n">
        <v>42552</v>
      </c>
      <c r="D8867" t="inlineStr">
        <is>
          <t>SPEC</t>
        </is>
      </c>
      <c r="E8867" t="inlineStr">
        <is>
          <t>CX TI UPS 1</t>
        </is>
      </c>
      <c r="F8867" t="inlineStr">
        <is>
          <t>NS2500kVA</t>
        </is>
      </c>
      <c r="J8867" t="inlineStr">
        <is>
          <t>MATRION</t>
        </is>
      </c>
      <c r="K8867" t="inlineStr">
        <is>
          <t>CUIVRE</t>
        </is>
      </c>
      <c r="L8867">
        <f>_xlfn.XLOOKUP(Tableau1[[#This Row],[TYPE DE PIECE]],Tableau4[MATIERE],Tableau4[SHORT TYPE],"",0,1)</f>
        <v/>
      </c>
      <c r="N8867">
        <f>IF(ISERR(FIND("DECOUPE",Tableau1[[#This Row],[DESIGNATION]])),"","NEED REF")</f>
        <v/>
      </c>
    </row>
    <row r="8868">
      <c r="B8868" t="n">
        <v>34405137</v>
      </c>
      <c r="C8868" s="2" t="n">
        <v>42552</v>
      </c>
      <c r="D8868" t="inlineStr">
        <is>
          <t>SPEC</t>
        </is>
      </c>
      <c r="E8868" t="inlineStr">
        <is>
          <t>CX TI CS 3</t>
        </is>
      </c>
      <c r="F8868" t="inlineStr">
        <is>
          <t>NS2500kVA</t>
        </is>
      </c>
      <c r="J8868" t="inlineStr">
        <is>
          <t>MATRION</t>
        </is>
      </c>
      <c r="K8868" t="inlineStr">
        <is>
          <t>CUIVRE</t>
        </is>
      </c>
      <c r="L8868">
        <f>_xlfn.XLOOKUP(Tableau1[[#This Row],[TYPE DE PIECE]],Tableau4[MATIERE],Tableau4[SHORT TYPE],"",0,1)</f>
        <v/>
      </c>
      <c r="N8868">
        <f>IF(ISERR(FIND("DECOUPE",Tableau1[[#This Row],[DESIGNATION]])),"","NEED REF")</f>
        <v/>
      </c>
    </row>
    <row r="8869">
      <c r="B8869" t="n">
        <v>34405136</v>
      </c>
      <c r="C8869" s="2" t="n">
        <v>42552</v>
      </c>
      <c r="D8869" t="inlineStr">
        <is>
          <t>SPEC</t>
        </is>
      </c>
      <c r="E8869" t="inlineStr">
        <is>
          <t>CX TI CS 2</t>
        </is>
      </c>
      <c r="F8869" t="inlineStr">
        <is>
          <t>NS2500kVA</t>
        </is>
      </c>
      <c r="J8869" t="inlineStr">
        <is>
          <t>MATRION</t>
        </is>
      </c>
      <c r="K8869" t="inlineStr">
        <is>
          <t>CUIVRE</t>
        </is>
      </c>
      <c r="L8869">
        <f>_xlfn.XLOOKUP(Tableau1[[#This Row],[TYPE DE PIECE]],Tableau4[MATIERE],Tableau4[SHORT TYPE],"",0,1)</f>
        <v/>
      </c>
      <c r="N8869">
        <f>IF(ISERR(FIND("DECOUPE",Tableau1[[#This Row],[DESIGNATION]])),"","NEED REF")</f>
        <v/>
      </c>
    </row>
    <row r="8870">
      <c r="B8870" t="n">
        <v>34405135</v>
      </c>
      <c r="C8870" s="2" t="n">
        <v>42552</v>
      </c>
      <c r="D8870" t="inlineStr">
        <is>
          <t>SPEC</t>
        </is>
      </c>
      <c r="E8870" t="inlineStr">
        <is>
          <t>CX TI CS 1</t>
        </is>
      </c>
      <c r="F8870" t="inlineStr">
        <is>
          <t>NS2500kVA</t>
        </is>
      </c>
      <c r="J8870" t="inlineStr">
        <is>
          <t>MATRION</t>
        </is>
      </c>
      <c r="K8870" t="inlineStr">
        <is>
          <t>CUIVRE</t>
        </is>
      </c>
      <c r="L8870">
        <f>_xlfn.XLOOKUP(Tableau1[[#This Row],[TYPE DE PIECE]],Tableau4[MATIERE],Tableau4[SHORT TYPE],"",0,1)</f>
        <v/>
      </c>
      <c r="N8870">
        <f>IF(ISERR(FIND("DECOUPE",Tableau1[[#This Row],[DESIGNATION]])),"","NEED REF")</f>
        <v/>
      </c>
    </row>
    <row r="8871">
      <c r="B8871" t="n">
        <v>34405134</v>
      </c>
      <c r="C8871" s="2" t="n">
        <v>42552</v>
      </c>
      <c r="D8871" t="inlineStr">
        <is>
          <t>SPEC</t>
        </is>
      </c>
      <c r="E8871" t="inlineStr">
        <is>
          <t>CX JDB Q5N-K2S 8</t>
        </is>
      </c>
      <c r="F8871" t="inlineStr">
        <is>
          <t>NS2500kVA</t>
        </is>
      </c>
      <c r="J8871" t="inlineStr">
        <is>
          <t>MATRION</t>
        </is>
      </c>
      <c r="K8871" t="inlineStr">
        <is>
          <t>CUIVRE</t>
        </is>
      </c>
      <c r="L8871">
        <f>_xlfn.XLOOKUP(Tableau1[[#This Row],[TYPE DE PIECE]],Tableau4[MATIERE],Tableau4[SHORT TYPE],"",0,1)</f>
        <v/>
      </c>
      <c r="N8871">
        <f>IF(ISERR(FIND("DECOUPE",Tableau1[[#This Row],[DESIGNATION]])),"","NEED REF")</f>
        <v/>
      </c>
    </row>
    <row r="8872">
      <c r="B8872" t="n">
        <v>34405133</v>
      </c>
      <c r="C8872" s="2" t="n">
        <v>42552</v>
      </c>
      <c r="D8872" t="inlineStr">
        <is>
          <t>SPEC</t>
        </is>
      </c>
      <c r="E8872" t="inlineStr">
        <is>
          <t>CX JDB Q5N-K2S 7</t>
        </is>
      </c>
      <c r="F8872" t="inlineStr">
        <is>
          <t>NS2500kVA</t>
        </is>
      </c>
      <c r="J8872" t="inlineStr">
        <is>
          <t>MATRION</t>
        </is>
      </c>
      <c r="K8872" t="inlineStr">
        <is>
          <t>CUIVRE</t>
        </is>
      </c>
      <c r="L8872">
        <f>_xlfn.XLOOKUP(Tableau1[[#This Row],[TYPE DE PIECE]],Tableau4[MATIERE],Tableau4[SHORT TYPE],"",0,1)</f>
        <v/>
      </c>
      <c r="N8872">
        <f>IF(ISERR(FIND("DECOUPE",Tableau1[[#This Row],[DESIGNATION]])),"","NEED REF")</f>
        <v/>
      </c>
    </row>
    <row r="8873">
      <c r="B8873" t="n">
        <v>34405132</v>
      </c>
      <c r="C8873" s="2" t="n">
        <v>42552</v>
      </c>
      <c r="D8873" t="inlineStr">
        <is>
          <t>SPEC</t>
        </is>
      </c>
      <c r="E8873" t="inlineStr">
        <is>
          <t>CX JDB Q5N-K2S 6</t>
        </is>
      </c>
      <c r="F8873" t="inlineStr">
        <is>
          <t>NS2500kVA</t>
        </is>
      </c>
      <c r="J8873" t="inlineStr">
        <is>
          <t>MATRION</t>
        </is>
      </c>
      <c r="K8873" t="inlineStr">
        <is>
          <t>CUIVRE</t>
        </is>
      </c>
      <c r="L8873">
        <f>_xlfn.XLOOKUP(Tableau1[[#This Row],[TYPE DE PIECE]],Tableau4[MATIERE],Tableau4[SHORT TYPE],"",0,1)</f>
        <v/>
      </c>
      <c r="N8873">
        <f>IF(ISERR(FIND("DECOUPE",Tableau1[[#This Row],[DESIGNATION]])),"","NEED REF")</f>
        <v/>
      </c>
    </row>
    <row r="8874">
      <c r="B8874" t="n">
        <v>34405131</v>
      </c>
      <c r="C8874" s="2" t="n">
        <v>42552</v>
      </c>
      <c r="D8874" t="inlineStr">
        <is>
          <t>SPEC</t>
        </is>
      </c>
      <c r="E8874" t="inlineStr">
        <is>
          <t>CX JDB Q5N-K2S 5</t>
        </is>
      </c>
      <c r="F8874" t="inlineStr">
        <is>
          <t>NS2500kVA</t>
        </is>
      </c>
      <c r="J8874" t="inlineStr">
        <is>
          <t>MATRION</t>
        </is>
      </c>
      <c r="K8874" t="inlineStr">
        <is>
          <t>CUIVRE</t>
        </is>
      </c>
      <c r="L8874">
        <f>_xlfn.XLOOKUP(Tableau1[[#This Row],[TYPE DE PIECE]],Tableau4[MATIERE],Tableau4[SHORT TYPE],"",0,1)</f>
        <v/>
      </c>
      <c r="N8874">
        <f>IF(ISERR(FIND("DECOUPE",Tableau1[[#This Row],[DESIGNATION]])),"","NEED REF")</f>
        <v/>
      </c>
    </row>
    <row r="8875">
      <c r="B8875" t="n">
        <v>34405130</v>
      </c>
      <c r="C8875" s="2" t="n">
        <v>42552</v>
      </c>
      <c r="D8875" t="inlineStr">
        <is>
          <t>SPEC</t>
        </is>
      </c>
      <c r="E8875" t="inlineStr">
        <is>
          <t>CX JDB Q5N-K2S 4</t>
        </is>
      </c>
      <c r="F8875" t="inlineStr">
        <is>
          <t>NS2500kVA</t>
        </is>
      </c>
      <c r="J8875" t="inlineStr">
        <is>
          <t>MATRION</t>
        </is>
      </c>
      <c r="K8875" t="inlineStr">
        <is>
          <t>CUIVRE</t>
        </is>
      </c>
      <c r="L8875">
        <f>_xlfn.XLOOKUP(Tableau1[[#This Row],[TYPE DE PIECE]],Tableau4[MATIERE],Tableau4[SHORT TYPE],"",0,1)</f>
        <v/>
      </c>
      <c r="N8875">
        <f>IF(ISERR(FIND("DECOUPE",Tableau1[[#This Row],[DESIGNATION]])),"","NEED REF")</f>
        <v/>
      </c>
    </row>
    <row r="8876">
      <c r="B8876" t="n">
        <v>34405129</v>
      </c>
      <c r="C8876" s="2" t="n">
        <v>42552</v>
      </c>
      <c r="D8876" t="inlineStr">
        <is>
          <t>SPEC</t>
        </is>
      </c>
      <c r="E8876" t="inlineStr">
        <is>
          <t>CX JDB Q5N-K2S 3</t>
        </is>
      </c>
      <c r="F8876" t="inlineStr">
        <is>
          <t>NS2500kVA</t>
        </is>
      </c>
      <c r="J8876" t="inlineStr">
        <is>
          <t>MATRION</t>
        </is>
      </c>
      <c r="K8876" t="inlineStr">
        <is>
          <t>CUIVRE</t>
        </is>
      </c>
      <c r="L8876">
        <f>_xlfn.XLOOKUP(Tableau1[[#This Row],[TYPE DE PIECE]],Tableau4[MATIERE],Tableau4[SHORT TYPE],"",0,1)</f>
        <v/>
      </c>
      <c r="N8876">
        <f>IF(ISERR(FIND("DECOUPE",Tableau1[[#This Row],[DESIGNATION]])),"","NEED REF")</f>
        <v/>
      </c>
    </row>
    <row r="8877">
      <c r="B8877" t="n">
        <v>34405128</v>
      </c>
      <c r="C8877" s="2" t="n">
        <v>42552</v>
      </c>
      <c r="D8877" t="inlineStr">
        <is>
          <t>SPEC</t>
        </is>
      </c>
      <c r="E8877" t="inlineStr">
        <is>
          <t>CX JDB Q5N-K2S 2</t>
        </is>
      </c>
      <c r="F8877" t="inlineStr">
        <is>
          <t>NS2500kVA</t>
        </is>
      </c>
      <c r="J8877" t="inlineStr">
        <is>
          <t>MATRION</t>
        </is>
      </c>
      <c r="K8877" t="inlineStr">
        <is>
          <t>CUIVRE</t>
        </is>
      </c>
      <c r="L8877">
        <f>_xlfn.XLOOKUP(Tableau1[[#This Row],[TYPE DE PIECE]],Tableau4[MATIERE],Tableau4[SHORT TYPE],"",0,1)</f>
        <v/>
      </c>
      <c r="N8877">
        <f>IF(ISERR(FIND("DECOUPE",Tableau1[[#This Row],[DESIGNATION]])),"","NEED REF")</f>
        <v/>
      </c>
    </row>
    <row r="8878">
      <c r="B8878" t="n">
        <v>34405127</v>
      </c>
      <c r="C8878" s="2" t="n">
        <v>42552</v>
      </c>
      <c r="D8878" t="inlineStr">
        <is>
          <t>SPEC</t>
        </is>
      </c>
      <c r="E8878" t="inlineStr">
        <is>
          <t>CX JDB Q5N-K2S 1</t>
        </is>
      </c>
      <c r="F8878" t="inlineStr">
        <is>
          <t>NS2500kVA</t>
        </is>
      </c>
      <c r="J8878" t="inlineStr">
        <is>
          <t>MATRION</t>
        </is>
      </c>
      <c r="K8878" t="inlineStr">
        <is>
          <t>CUIVRE</t>
        </is>
      </c>
      <c r="L8878">
        <f>_xlfn.XLOOKUP(Tableau1[[#This Row],[TYPE DE PIECE]],Tableau4[MATIERE],Tableau4[SHORT TYPE],"",0,1)</f>
        <v/>
      </c>
      <c r="N8878">
        <f>IF(ISERR(FIND("DECOUPE",Tableau1[[#This Row],[DESIGNATION]])),"","NEED REF")</f>
        <v/>
      </c>
    </row>
    <row r="8879">
      <c r="B8879" t="n">
        <v>34405126</v>
      </c>
      <c r="C8879" s="2" t="n">
        <v>42552</v>
      </c>
      <c r="D8879" t="inlineStr">
        <is>
          <t>SPEC</t>
        </is>
      </c>
      <c r="E8879" t="inlineStr">
        <is>
          <t>CX JDB Q4S-K2S 8</t>
        </is>
      </c>
      <c r="F8879" t="inlineStr">
        <is>
          <t>NS2500kVA</t>
        </is>
      </c>
      <c r="J8879" t="inlineStr">
        <is>
          <t>MATRION</t>
        </is>
      </c>
      <c r="K8879" t="inlineStr">
        <is>
          <t>CUIVRE</t>
        </is>
      </c>
      <c r="L8879">
        <f>_xlfn.XLOOKUP(Tableau1[[#This Row],[TYPE DE PIECE]],Tableau4[MATIERE],Tableau4[SHORT TYPE],"",0,1)</f>
        <v/>
      </c>
      <c r="N8879">
        <f>IF(ISERR(FIND("DECOUPE",Tableau1[[#This Row],[DESIGNATION]])),"","NEED REF")</f>
        <v/>
      </c>
    </row>
    <row r="8880">
      <c r="B8880" t="n">
        <v>34405125</v>
      </c>
      <c r="C8880" s="2" t="n">
        <v>42552</v>
      </c>
      <c r="D8880" t="inlineStr">
        <is>
          <t>SPEC</t>
        </is>
      </c>
      <c r="E8880" t="inlineStr">
        <is>
          <t>CX JDB Q4S-K2S 7</t>
        </is>
      </c>
      <c r="F8880" t="inlineStr">
        <is>
          <t>NS2500kVA</t>
        </is>
      </c>
      <c r="J8880" t="inlineStr">
        <is>
          <t>MATRION</t>
        </is>
      </c>
      <c r="K8880" t="inlineStr">
        <is>
          <t>CUIVRE</t>
        </is>
      </c>
      <c r="L8880">
        <f>_xlfn.XLOOKUP(Tableau1[[#This Row],[TYPE DE PIECE]],Tableau4[MATIERE],Tableau4[SHORT TYPE],"",0,1)</f>
        <v/>
      </c>
      <c r="N8880">
        <f>IF(ISERR(FIND("DECOUPE",Tableau1[[#This Row],[DESIGNATION]])),"","NEED REF")</f>
        <v/>
      </c>
    </row>
    <row r="8881">
      <c r="B8881" t="n">
        <v>34405124</v>
      </c>
      <c r="C8881" s="2" t="n">
        <v>42552</v>
      </c>
      <c r="D8881" t="inlineStr">
        <is>
          <t>SPEC</t>
        </is>
      </c>
      <c r="E8881" t="inlineStr">
        <is>
          <t>CX JDB Q4S-K2S 6</t>
        </is>
      </c>
      <c r="F8881" t="inlineStr">
        <is>
          <t>NS2500kVA</t>
        </is>
      </c>
      <c r="J8881" t="inlineStr">
        <is>
          <t>MATRION</t>
        </is>
      </c>
      <c r="K8881" t="inlineStr">
        <is>
          <t>CUIVRE</t>
        </is>
      </c>
      <c r="L8881">
        <f>_xlfn.XLOOKUP(Tableau1[[#This Row],[TYPE DE PIECE]],Tableau4[MATIERE],Tableau4[SHORT TYPE],"",0,1)</f>
        <v/>
      </c>
      <c r="N8881">
        <f>IF(ISERR(FIND("DECOUPE",Tableau1[[#This Row],[DESIGNATION]])),"","NEED REF")</f>
        <v/>
      </c>
    </row>
    <row r="8882">
      <c r="B8882" t="n">
        <v>34405123</v>
      </c>
      <c r="C8882" s="2" t="n">
        <v>42552</v>
      </c>
      <c r="D8882" t="inlineStr">
        <is>
          <t>SPEC</t>
        </is>
      </c>
      <c r="E8882" t="inlineStr">
        <is>
          <t>CX JDB Q4S-K2S 5</t>
        </is>
      </c>
      <c r="F8882" t="inlineStr">
        <is>
          <t>NS2500kVA</t>
        </is>
      </c>
      <c r="J8882" t="inlineStr">
        <is>
          <t>MATRION</t>
        </is>
      </c>
      <c r="K8882" t="inlineStr">
        <is>
          <t>CUIVRE</t>
        </is>
      </c>
      <c r="L8882">
        <f>_xlfn.XLOOKUP(Tableau1[[#This Row],[TYPE DE PIECE]],Tableau4[MATIERE],Tableau4[SHORT TYPE],"",0,1)</f>
        <v/>
      </c>
      <c r="N8882">
        <f>IF(ISERR(FIND("DECOUPE",Tableau1[[#This Row],[DESIGNATION]])),"","NEED REF")</f>
        <v/>
      </c>
    </row>
    <row r="8883">
      <c r="B8883" t="n">
        <v>34405122</v>
      </c>
      <c r="C8883" s="2" t="n">
        <v>42552</v>
      </c>
      <c r="D8883" t="inlineStr">
        <is>
          <t>SPEC</t>
        </is>
      </c>
      <c r="E8883" t="inlineStr">
        <is>
          <t>CX JDB Q4S-K2S 4</t>
        </is>
      </c>
      <c r="F8883" t="inlineStr">
        <is>
          <t>NS2500kVA</t>
        </is>
      </c>
      <c r="J8883" t="inlineStr">
        <is>
          <t>MATRION</t>
        </is>
      </c>
      <c r="K8883" t="inlineStr">
        <is>
          <t>CUIVRE</t>
        </is>
      </c>
      <c r="L8883">
        <f>_xlfn.XLOOKUP(Tableau1[[#This Row],[TYPE DE PIECE]],Tableau4[MATIERE],Tableau4[SHORT TYPE],"",0,1)</f>
        <v/>
      </c>
      <c r="N8883">
        <f>IF(ISERR(FIND("DECOUPE",Tableau1[[#This Row],[DESIGNATION]])),"","NEED REF")</f>
        <v/>
      </c>
    </row>
    <row r="8884">
      <c r="B8884" t="n">
        <v>34405121</v>
      </c>
      <c r="C8884" s="2" t="n">
        <v>42552</v>
      </c>
      <c r="D8884" t="inlineStr">
        <is>
          <t>SPEC</t>
        </is>
      </c>
      <c r="E8884" t="inlineStr">
        <is>
          <t>CX JDB Q4S-K2S 3</t>
        </is>
      </c>
      <c r="F8884" t="inlineStr">
        <is>
          <t>NS2500kVA</t>
        </is>
      </c>
      <c r="J8884" t="inlineStr">
        <is>
          <t>MATRION</t>
        </is>
      </c>
      <c r="K8884" t="inlineStr">
        <is>
          <t>CUIVRE</t>
        </is>
      </c>
      <c r="L8884">
        <f>_xlfn.XLOOKUP(Tableau1[[#This Row],[TYPE DE PIECE]],Tableau4[MATIERE],Tableau4[SHORT TYPE],"",0,1)</f>
        <v/>
      </c>
      <c r="N8884">
        <f>IF(ISERR(FIND("DECOUPE",Tableau1[[#This Row],[DESIGNATION]])),"","NEED REF")</f>
        <v/>
      </c>
    </row>
    <row r="8885">
      <c r="B8885" t="n">
        <v>34405120</v>
      </c>
      <c r="C8885" s="2" t="n">
        <v>42552</v>
      </c>
      <c r="D8885" t="inlineStr">
        <is>
          <t>SPEC</t>
        </is>
      </c>
      <c r="E8885" t="inlineStr">
        <is>
          <t>CX JDB Q4S-K2S 2</t>
        </is>
      </c>
      <c r="F8885" t="inlineStr">
        <is>
          <t>NS2500kVA</t>
        </is>
      </c>
      <c r="J8885" t="inlineStr">
        <is>
          <t>MATRION</t>
        </is>
      </c>
      <c r="K8885" t="inlineStr">
        <is>
          <t>CUIVRE</t>
        </is>
      </c>
      <c r="L8885">
        <f>_xlfn.XLOOKUP(Tableau1[[#This Row],[TYPE DE PIECE]],Tableau4[MATIERE],Tableau4[SHORT TYPE],"",0,1)</f>
        <v/>
      </c>
      <c r="N8885">
        <f>IF(ISERR(FIND("DECOUPE",Tableau1[[#This Row],[DESIGNATION]])),"","NEED REF")</f>
        <v/>
      </c>
    </row>
    <row r="8886">
      <c r="B8886" t="n">
        <v>34405119</v>
      </c>
      <c r="C8886" s="2" t="n">
        <v>42552</v>
      </c>
      <c r="D8886" t="inlineStr">
        <is>
          <t>SPEC</t>
        </is>
      </c>
      <c r="E8886" t="inlineStr">
        <is>
          <t>CX JDB Q4S-K2S 1</t>
        </is>
      </c>
      <c r="F8886" t="inlineStr">
        <is>
          <t>NS2500kVA</t>
        </is>
      </c>
      <c r="J8886" t="inlineStr">
        <is>
          <t>MATRION</t>
        </is>
      </c>
      <c r="K8886" t="inlineStr">
        <is>
          <t>CUIVRE</t>
        </is>
      </c>
      <c r="L8886">
        <f>_xlfn.XLOOKUP(Tableau1[[#This Row],[TYPE DE PIECE]],Tableau4[MATIERE],Tableau4[SHORT TYPE],"",0,1)</f>
        <v/>
      </c>
      <c r="N8886">
        <f>IF(ISERR(FIND("DECOUPE",Tableau1[[#This Row],[DESIGNATION]])),"","NEED REF")</f>
        <v/>
      </c>
    </row>
    <row r="8887">
      <c r="B8887" t="n">
        <v>34405118</v>
      </c>
      <c r="C8887" s="2" t="n">
        <v>42552</v>
      </c>
      <c r="D8887" t="inlineStr">
        <is>
          <t>SPEC</t>
        </is>
      </c>
      <c r="E8887" t="inlineStr">
        <is>
          <t>CX ECLISSAGE BYPASS 8</t>
        </is>
      </c>
      <c r="F8887" t="inlineStr">
        <is>
          <t>NS2500kVA</t>
        </is>
      </c>
      <c r="J8887" t="inlineStr">
        <is>
          <t>MATRION</t>
        </is>
      </c>
      <c r="K8887" t="inlineStr">
        <is>
          <t>CUIVRE</t>
        </is>
      </c>
      <c r="L8887">
        <f>_xlfn.XLOOKUP(Tableau1[[#This Row],[TYPE DE PIECE]],Tableau4[MATIERE],Tableau4[SHORT TYPE],"",0,1)</f>
        <v/>
      </c>
      <c r="N8887">
        <f>IF(ISERR(FIND("DECOUPE",Tableau1[[#This Row],[DESIGNATION]])),"","NEED REF")</f>
        <v/>
      </c>
    </row>
    <row r="8888">
      <c r="B8888" t="n">
        <v>34405117</v>
      </c>
      <c r="C8888" s="2" t="n">
        <v>42552</v>
      </c>
      <c r="D8888" t="inlineStr">
        <is>
          <t>SPEC</t>
        </is>
      </c>
      <c r="E8888" t="inlineStr">
        <is>
          <t>CX ECLISSAGE BYPASS 7</t>
        </is>
      </c>
      <c r="F8888" t="inlineStr">
        <is>
          <t>NS2500kVA</t>
        </is>
      </c>
      <c r="J8888" t="inlineStr">
        <is>
          <t>MATRION</t>
        </is>
      </c>
      <c r="K8888" t="inlineStr">
        <is>
          <t>CUIVRE</t>
        </is>
      </c>
      <c r="L8888">
        <f>_xlfn.XLOOKUP(Tableau1[[#This Row],[TYPE DE PIECE]],Tableau4[MATIERE],Tableau4[SHORT TYPE],"",0,1)</f>
        <v/>
      </c>
      <c r="N8888">
        <f>IF(ISERR(FIND("DECOUPE",Tableau1[[#This Row],[DESIGNATION]])),"","NEED REF")</f>
        <v/>
      </c>
    </row>
    <row r="8889">
      <c r="B8889" t="n">
        <v>34405116</v>
      </c>
      <c r="C8889" s="2" t="n">
        <v>42552</v>
      </c>
      <c r="D8889" t="inlineStr">
        <is>
          <t>SPEC</t>
        </is>
      </c>
      <c r="E8889" t="inlineStr">
        <is>
          <t>CX ECLISSAGE BYPASS 6</t>
        </is>
      </c>
      <c r="F8889" t="inlineStr">
        <is>
          <t>NS2500kVA</t>
        </is>
      </c>
      <c r="J8889" t="inlineStr">
        <is>
          <t>MATRION</t>
        </is>
      </c>
      <c r="K8889" t="inlineStr">
        <is>
          <t>CUIVRE</t>
        </is>
      </c>
      <c r="L8889">
        <f>_xlfn.XLOOKUP(Tableau1[[#This Row],[TYPE DE PIECE]],Tableau4[MATIERE],Tableau4[SHORT TYPE],"",0,1)</f>
        <v/>
      </c>
      <c r="N8889">
        <f>IF(ISERR(FIND("DECOUPE",Tableau1[[#This Row],[DESIGNATION]])),"","NEED REF")</f>
        <v/>
      </c>
    </row>
    <row r="8890">
      <c r="B8890" t="n">
        <v>34405115</v>
      </c>
      <c r="C8890" s="2" t="n">
        <v>42552</v>
      </c>
      <c r="D8890" t="inlineStr">
        <is>
          <t>SPEC</t>
        </is>
      </c>
      <c r="E8890" t="inlineStr">
        <is>
          <t>CX ECLISSAGE BYPASS 5</t>
        </is>
      </c>
      <c r="F8890" t="inlineStr">
        <is>
          <t>NS2500kVA</t>
        </is>
      </c>
      <c r="J8890" t="inlineStr">
        <is>
          <t>MATRION</t>
        </is>
      </c>
      <c r="K8890" t="inlineStr">
        <is>
          <t>CUIVRE</t>
        </is>
      </c>
      <c r="L8890">
        <f>_xlfn.XLOOKUP(Tableau1[[#This Row],[TYPE DE PIECE]],Tableau4[MATIERE],Tableau4[SHORT TYPE],"",0,1)</f>
        <v/>
      </c>
      <c r="N8890">
        <f>IF(ISERR(FIND("DECOUPE",Tableau1[[#This Row],[DESIGNATION]])),"","NEED REF")</f>
        <v/>
      </c>
    </row>
    <row r="8891">
      <c r="B8891" t="n">
        <v>34405114</v>
      </c>
      <c r="C8891" s="2" t="n">
        <v>42552</v>
      </c>
      <c r="D8891" t="inlineStr">
        <is>
          <t>SPEC</t>
        </is>
      </c>
      <c r="E8891" t="inlineStr">
        <is>
          <t>CX ECLISSAGE BYPASS 4</t>
        </is>
      </c>
      <c r="F8891" t="inlineStr">
        <is>
          <t>NS2500kVA</t>
        </is>
      </c>
      <c r="J8891" t="inlineStr">
        <is>
          <t>MATRION</t>
        </is>
      </c>
      <c r="K8891" t="inlineStr">
        <is>
          <t>CUIVRE</t>
        </is>
      </c>
      <c r="L8891">
        <f>_xlfn.XLOOKUP(Tableau1[[#This Row],[TYPE DE PIECE]],Tableau4[MATIERE],Tableau4[SHORT TYPE],"",0,1)</f>
        <v/>
      </c>
      <c r="N8891">
        <f>IF(ISERR(FIND("DECOUPE",Tableau1[[#This Row],[DESIGNATION]])),"","NEED REF")</f>
        <v/>
      </c>
    </row>
    <row r="8892">
      <c r="B8892" t="n">
        <v>34405113</v>
      </c>
      <c r="C8892" s="2" t="n">
        <v>42552</v>
      </c>
      <c r="D8892" t="inlineStr">
        <is>
          <t>SPEC</t>
        </is>
      </c>
      <c r="E8892" t="inlineStr">
        <is>
          <t>CX ECLISSAGE BYPASS 3</t>
        </is>
      </c>
      <c r="F8892" t="inlineStr">
        <is>
          <t>NS2500kVA</t>
        </is>
      </c>
      <c r="J8892" t="inlineStr">
        <is>
          <t>MATRION</t>
        </is>
      </c>
      <c r="K8892" t="inlineStr">
        <is>
          <t>CUIVRE</t>
        </is>
      </c>
      <c r="L8892">
        <f>_xlfn.XLOOKUP(Tableau1[[#This Row],[TYPE DE PIECE]],Tableau4[MATIERE],Tableau4[SHORT TYPE],"",0,1)</f>
        <v/>
      </c>
      <c r="N8892">
        <f>IF(ISERR(FIND("DECOUPE",Tableau1[[#This Row],[DESIGNATION]])),"","NEED REF")</f>
        <v/>
      </c>
    </row>
    <row r="8893">
      <c r="B8893" t="n">
        <v>34405112</v>
      </c>
      <c r="C8893" s="2" t="n">
        <v>42552</v>
      </c>
      <c r="D8893" t="inlineStr">
        <is>
          <t>SPEC</t>
        </is>
      </c>
      <c r="E8893" t="inlineStr">
        <is>
          <t>CX ECLISSAGE BYPASS 2</t>
        </is>
      </c>
      <c r="F8893" t="inlineStr">
        <is>
          <t>NS2500kVA</t>
        </is>
      </c>
      <c r="J8893" t="inlineStr">
        <is>
          <t>MATRION</t>
        </is>
      </c>
      <c r="K8893" t="inlineStr">
        <is>
          <t>CUIVRE</t>
        </is>
      </c>
      <c r="L8893">
        <f>_xlfn.XLOOKUP(Tableau1[[#This Row],[TYPE DE PIECE]],Tableau4[MATIERE],Tableau4[SHORT TYPE],"",0,1)</f>
        <v/>
      </c>
      <c r="N8893">
        <f>IF(ISERR(FIND("DECOUPE",Tableau1[[#This Row],[DESIGNATION]])),"","NEED REF")</f>
        <v/>
      </c>
    </row>
    <row r="8894">
      <c r="B8894" t="n">
        <v>34405111</v>
      </c>
      <c r="C8894" s="2" t="n">
        <v>42552</v>
      </c>
      <c r="D8894" t="inlineStr">
        <is>
          <t>SPEC</t>
        </is>
      </c>
      <c r="E8894" t="inlineStr">
        <is>
          <t>CX ECLISSAGE BYPASS 1</t>
        </is>
      </c>
      <c r="F8894" t="inlineStr">
        <is>
          <t>NS2500kVA</t>
        </is>
      </c>
      <c r="J8894" t="inlineStr">
        <is>
          <t>MATRION</t>
        </is>
      </c>
      <c r="K8894" t="inlineStr">
        <is>
          <t>CUIVRE</t>
        </is>
      </c>
      <c r="L8894">
        <f>_xlfn.XLOOKUP(Tableau1[[#This Row],[TYPE DE PIECE]],Tableau4[MATIERE],Tableau4[SHORT TYPE],"",0,1)</f>
        <v/>
      </c>
      <c r="N8894">
        <f>IF(ISERR(FIND("DECOUPE",Tableau1[[#This Row],[DESIGNATION]])),"","NEED REF")</f>
        <v/>
      </c>
    </row>
    <row r="8895">
      <c r="B8895" t="n">
        <v>34405110</v>
      </c>
      <c r="C8895" s="2" t="n">
        <v>42552</v>
      </c>
      <c r="D8895" t="inlineStr">
        <is>
          <t>SPEC</t>
        </is>
      </c>
      <c r="E8895" t="inlineStr">
        <is>
          <t>CX LIAISON BYPASS 2</t>
        </is>
      </c>
      <c r="F8895" t="inlineStr">
        <is>
          <t>NS2500kVA</t>
        </is>
      </c>
      <c r="J8895" t="inlineStr">
        <is>
          <t>MATRION</t>
        </is>
      </c>
      <c r="K8895" t="inlineStr">
        <is>
          <t>CUIVRE</t>
        </is>
      </c>
      <c r="L8895">
        <f>_xlfn.XLOOKUP(Tableau1[[#This Row],[TYPE DE PIECE]],Tableau4[MATIERE],Tableau4[SHORT TYPE],"",0,1)</f>
        <v/>
      </c>
      <c r="N8895">
        <f>IF(ISERR(FIND("DECOUPE",Tableau1[[#This Row],[DESIGNATION]])),"","NEED REF")</f>
        <v/>
      </c>
    </row>
    <row r="8896">
      <c r="B8896" t="n">
        <v>34405109</v>
      </c>
      <c r="C8896" s="2" t="n">
        <v>42552</v>
      </c>
      <c r="D8896" t="inlineStr">
        <is>
          <t>SPEC</t>
        </is>
      </c>
      <c r="E8896" t="inlineStr">
        <is>
          <t>CX LIAISON BYPASS 1</t>
        </is>
      </c>
      <c r="F8896" t="inlineStr">
        <is>
          <t>NS2500kVA</t>
        </is>
      </c>
      <c r="J8896" t="inlineStr">
        <is>
          <t>MATRION</t>
        </is>
      </c>
      <c r="K8896" t="inlineStr">
        <is>
          <t>CUIVRE</t>
        </is>
      </c>
      <c r="L8896">
        <f>_xlfn.XLOOKUP(Tableau1[[#This Row],[TYPE DE PIECE]],Tableau4[MATIERE],Tableau4[SHORT TYPE],"",0,1)</f>
        <v/>
      </c>
      <c r="N8896">
        <f>IF(ISERR(FIND("DECOUPE",Tableau1[[#This Row],[DESIGNATION]])),"","NEED REF")</f>
        <v/>
      </c>
    </row>
    <row r="8897">
      <c r="B8897" t="n">
        <v>34405108</v>
      </c>
      <c r="C8897" s="2" t="n">
        <v>42556</v>
      </c>
      <c r="D8897" t="inlineStr">
        <is>
          <t>SPEC</t>
        </is>
      </c>
      <c r="E8897" t="inlineStr">
        <is>
          <t xml:space="preserve">Masterpact Q3BP Q5N 4P </t>
        </is>
      </c>
      <c r="F8897" t="inlineStr">
        <is>
          <t>NS2500kVA</t>
        </is>
      </c>
      <c r="J8897" t="inlineStr">
        <is>
          <t>REVEL</t>
        </is>
      </c>
      <c r="L8897">
        <f>_xlfn.XLOOKUP(Tableau1[[#This Row],[TYPE DE PIECE]],Tableau4[MATIERE],Tableau4[SHORT TYPE],"",0,1)</f>
        <v/>
      </c>
      <c r="N8897">
        <f>IF(ISERR(FIND("DECOUPE",Tableau1[[#This Row],[DESIGNATION]])),"","NEED REF")</f>
        <v/>
      </c>
    </row>
    <row r="8898">
      <c r="B8898" t="n">
        <v>34405107</v>
      </c>
      <c r="C8898" s="2" t="n">
        <v>42556</v>
      </c>
      <c r="D8898" t="inlineStr">
        <is>
          <t>SPEC</t>
        </is>
      </c>
      <c r="E8898" t="inlineStr">
        <is>
          <t>Plastron SymPX</t>
        </is>
      </c>
      <c r="J8898" t="inlineStr">
        <is>
          <t>MASCELLINO</t>
        </is>
      </c>
      <c r="K8898" t="inlineStr">
        <is>
          <t>PLASTIQUE</t>
        </is>
      </c>
      <c r="L8898">
        <f>_xlfn.XLOOKUP(Tableau1[[#This Row],[TYPE DE PIECE]],Tableau4[MATIERE],Tableau4[SHORT TYPE],"",0,1)</f>
        <v/>
      </c>
      <c r="N8898">
        <f>IF(ISERR(FIND("DECOUPE",Tableau1[[#This Row],[DESIGNATION]])),"","NEED REF")</f>
        <v/>
      </c>
    </row>
    <row r="8899">
      <c r="B8899" t="n">
        <v>34405106</v>
      </c>
      <c r="C8899" s="2" t="n">
        <v>42552</v>
      </c>
      <c r="D8899" t="inlineStr">
        <is>
          <t>SPEC</t>
        </is>
      </c>
      <c r="E8899" t="inlineStr">
        <is>
          <t>S/A CIRCUIT BREAKER SUPPORT PLATE</t>
        </is>
      </c>
      <c r="F8899" t="inlineStr">
        <is>
          <t>DJ 2NSX630</t>
        </is>
      </c>
      <c r="J8899" t="inlineStr">
        <is>
          <t>MATRION</t>
        </is>
      </c>
      <c r="K8899" t="inlineStr">
        <is>
          <t>METAL</t>
        </is>
      </c>
      <c r="L8899">
        <f>_xlfn.XLOOKUP(Tableau1[[#This Row],[TYPE DE PIECE]],Tableau4[MATIERE],Tableau4[SHORT TYPE],"",0,1)</f>
        <v/>
      </c>
      <c r="N8899">
        <f>IF(ISERR(FIND("DECOUPE",Tableau1[[#This Row],[DESIGNATION]])),"","NEED REF")</f>
        <v/>
      </c>
    </row>
    <row r="8900">
      <c r="B8900" t="n">
        <v>34405105</v>
      </c>
      <c r="C8900" s="2" t="n">
        <v>42551</v>
      </c>
      <c r="D8900" t="inlineStr">
        <is>
          <t>SPEC</t>
        </is>
      </c>
      <c r="E8900" t="inlineStr">
        <is>
          <t xml:space="preserve">Schéma BATT </t>
        </is>
      </c>
      <c r="F8900" t="inlineStr">
        <is>
          <t>G300</t>
        </is>
      </c>
      <c r="J8900" t="inlineStr">
        <is>
          <t>ROBERT</t>
        </is>
      </c>
      <c r="L8900">
        <f>_xlfn.XLOOKUP(Tableau1[[#This Row],[TYPE DE PIECE]],Tableau4[MATIERE],Tableau4[SHORT TYPE],"",0,1)</f>
        <v/>
      </c>
      <c r="N8900">
        <f>IF(ISERR(FIND("DECOUPE",Tableau1[[#This Row],[DESIGNATION]])),"","NEED REF")</f>
        <v/>
      </c>
    </row>
    <row r="8901">
      <c r="B8901" t="n">
        <v>34405104</v>
      </c>
      <c r="C8901" s="2" t="n">
        <v>42551</v>
      </c>
      <c r="D8901" t="inlineStr">
        <is>
          <t>SPEC</t>
        </is>
      </c>
      <c r="E8901" t="inlineStr">
        <is>
          <t>IP PORTE OUVERTE SUPERIEUR</t>
        </is>
      </c>
      <c r="F8901" t="inlineStr">
        <is>
          <t>STS1200A</t>
        </is>
      </c>
      <c r="J8901" t="inlineStr">
        <is>
          <t>MATRION</t>
        </is>
      </c>
      <c r="K8901" t="inlineStr">
        <is>
          <t>METAL</t>
        </is>
      </c>
      <c r="L8901">
        <f>_xlfn.XLOOKUP(Tableau1[[#This Row],[TYPE DE PIECE]],Tableau4[MATIERE],Tableau4[SHORT TYPE],"",0,1)</f>
        <v/>
      </c>
      <c r="N8901">
        <f>IF(ISERR(FIND("DECOUPE",Tableau1[[#This Row],[DESIGNATION]])),"","NEED REF")</f>
        <v/>
      </c>
    </row>
    <row r="8902">
      <c r="B8902" t="n">
        <v>34405103</v>
      </c>
      <c r="C8902" s="2" t="n">
        <v>42551</v>
      </c>
      <c r="D8902" t="inlineStr">
        <is>
          <t>SPEC</t>
        </is>
      </c>
      <c r="E8902" t="inlineStr">
        <is>
          <t>IP PORTE OUVERTE INTERMEDIAIRE</t>
        </is>
      </c>
      <c r="F8902" t="inlineStr">
        <is>
          <t>STS1200A</t>
        </is>
      </c>
      <c r="J8902" t="inlineStr">
        <is>
          <t>MATRION</t>
        </is>
      </c>
      <c r="K8902" t="inlineStr">
        <is>
          <t>METAL</t>
        </is>
      </c>
      <c r="L8902">
        <f>_xlfn.XLOOKUP(Tableau1[[#This Row],[TYPE DE PIECE]],Tableau4[MATIERE],Tableau4[SHORT TYPE],"",0,1)</f>
        <v/>
      </c>
      <c r="N8902">
        <f>IF(ISERR(FIND("DECOUPE",Tableau1[[#This Row],[DESIGNATION]])),"","NEED REF")</f>
        <v/>
      </c>
    </row>
    <row r="8903">
      <c r="B8903" t="n">
        <v>34405102</v>
      </c>
      <c r="C8903" s="2" t="n">
        <v>42549</v>
      </c>
      <c r="D8903" t="inlineStr">
        <is>
          <t>SPEC</t>
        </is>
      </c>
      <c r="E8903" t="inlineStr">
        <is>
          <t>Cable de puissance</t>
        </is>
      </c>
      <c r="F8903" t="inlineStr">
        <is>
          <t>REGEN BOX</t>
        </is>
      </c>
      <c r="J8903" t="inlineStr">
        <is>
          <t>REVEL</t>
        </is>
      </c>
      <c r="L8903">
        <f>_xlfn.XLOOKUP(Tableau1[[#This Row],[TYPE DE PIECE]],Tableau4[MATIERE],Tableau4[SHORT TYPE],"",0,1)</f>
        <v/>
      </c>
      <c r="N8903">
        <f>IF(ISERR(FIND("DECOUPE",Tableau1[[#This Row],[DESIGNATION]])),"","NEED REF")</f>
        <v/>
      </c>
    </row>
    <row r="8904">
      <c r="B8904" t="n">
        <v>34405101</v>
      </c>
      <c r="C8904" s="2" t="n">
        <v>42549</v>
      </c>
      <c r="D8904" t="inlineStr">
        <is>
          <t>SPEC</t>
        </is>
      </c>
      <c r="E8904" t="inlineStr">
        <is>
          <t xml:space="preserve">Toron EXPUT </t>
        </is>
      </c>
      <c r="F8904" t="inlineStr">
        <is>
          <t>REGEN BOX</t>
        </is>
      </c>
      <c r="J8904" t="inlineStr">
        <is>
          <t>REVEL</t>
        </is>
      </c>
      <c r="L8904">
        <f>_xlfn.XLOOKUP(Tableau1[[#This Row],[TYPE DE PIECE]],Tableau4[MATIERE],Tableau4[SHORT TYPE],"",0,1)</f>
        <v/>
      </c>
      <c r="N8904">
        <f>IF(ISERR(FIND("DECOUPE",Tableau1[[#This Row],[DESIGNATION]])),"","NEED REF")</f>
        <v/>
      </c>
    </row>
    <row r="8905">
      <c r="B8905" t="n">
        <v>34405100</v>
      </c>
      <c r="C8905" s="2" t="n">
        <v>42544</v>
      </c>
      <c r="D8905" t="inlineStr">
        <is>
          <t>SPEC</t>
        </is>
      </c>
      <c r="E8905" t="inlineStr">
        <is>
          <t>PLASTRON INTERMEDIAIRE</t>
        </is>
      </c>
      <c r="F8905" t="inlineStr">
        <is>
          <t>REGEN BOX</t>
        </is>
      </c>
      <c r="J8905" t="inlineStr">
        <is>
          <t>MATRION</t>
        </is>
      </c>
      <c r="K8905" t="inlineStr">
        <is>
          <t>METAL PEINTE</t>
        </is>
      </c>
      <c r="L8905">
        <f>_xlfn.XLOOKUP(Tableau1[[#This Row],[TYPE DE PIECE]],Tableau4[MATIERE],Tableau4[SHORT TYPE],"",0,1)</f>
        <v/>
      </c>
      <c r="N8905">
        <f>IF(ISERR(FIND("DECOUPE",Tableau1[[#This Row],[DESIGNATION]])),"","NEED REF")</f>
        <v/>
      </c>
    </row>
    <row r="8906">
      <c r="B8906" t="n">
        <v>34405099</v>
      </c>
      <c r="C8906" s="2" t="n">
        <v>42544</v>
      </c>
      <c r="D8906" t="inlineStr">
        <is>
          <t>SPEC</t>
        </is>
      </c>
      <c r="E8906" t="inlineStr">
        <is>
          <t>CX INS AMONT</t>
        </is>
      </c>
      <c r="F8906" t="inlineStr">
        <is>
          <t>REGEN BOX</t>
        </is>
      </c>
      <c r="J8906" t="inlineStr">
        <is>
          <t>MATRION</t>
        </is>
      </c>
      <c r="K8906" t="inlineStr">
        <is>
          <t>CUIVRE</t>
        </is>
      </c>
      <c r="L8906">
        <f>_xlfn.XLOOKUP(Tableau1[[#This Row],[TYPE DE PIECE]],Tableau4[MATIERE],Tableau4[SHORT TYPE],"",0,1)</f>
        <v/>
      </c>
      <c r="N8906">
        <f>IF(ISERR(FIND("DECOUPE",Tableau1[[#This Row],[DESIGNATION]])),"","NEED REF")</f>
        <v/>
      </c>
    </row>
    <row r="8907">
      <c r="B8907" t="n">
        <v>34405098</v>
      </c>
      <c r="C8907" s="2" t="n">
        <v>42544</v>
      </c>
      <c r="D8907" t="inlineStr">
        <is>
          <t>SPEC</t>
        </is>
      </c>
      <c r="E8907" t="inlineStr">
        <is>
          <t>SUPPORT CONDO</t>
        </is>
      </c>
      <c r="F8907" t="inlineStr">
        <is>
          <t>REGEN BOX</t>
        </is>
      </c>
      <c r="J8907" t="inlineStr">
        <is>
          <t>MATRION</t>
        </is>
      </c>
      <c r="K8907" t="inlineStr">
        <is>
          <t>METAL</t>
        </is>
      </c>
      <c r="L8907">
        <f>_xlfn.XLOOKUP(Tableau1[[#This Row],[TYPE DE PIECE]],Tableau4[MATIERE],Tableau4[SHORT TYPE],"",0,1)</f>
        <v/>
      </c>
      <c r="N8907">
        <f>IF(ISERR(FIND("DECOUPE",Tableau1[[#This Row],[DESIGNATION]])),"","NEED REF")</f>
        <v/>
      </c>
    </row>
    <row r="8908">
      <c r="B8908" t="n">
        <v>34405097</v>
      </c>
      <c r="C8908" s="2" t="n">
        <v>42544</v>
      </c>
      <c r="D8908" t="inlineStr">
        <is>
          <t>SPEC</t>
        </is>
      </c>
      <c r="E8908" t="inlineStr">
        <is>
          <t>SUPPORT INS</t>
        </is>
      </c>
      <c r="F8908" t="inlineStr">
        <is>
          <t>REGEN BOX</t>
        </is>
      </c>
      <c r="J8908" t="inlineStr">
        <is>
          <t>MATRION</t>
        </is>
      </c>
      <c r="K8908" t="inlineStr">
        <is>
          <t>METAL</t>
        </is>
      </c>
      <c r="L8908">
        <f>_xlfn.XLOOKUP(Tableau1[[#This Row],[TYPE DE PIECE]],Tableau4[MATIERE],Tableau4[SHORT TYPE],"",0,1)</f>
        <v/>
      </c>
      <c r="N8908">
        <f>IF(ISERR(FIND("DECOUPE",Tableau1[[#This Row],[DESIGNATION]])),"","NEED REF")</f>
        <v/>
      </c>
    </row>
    <row r="8909">
      <c r="B8909" t="n">
        <v>34405096</v>
      </c>
      <c r="C8909" s="2" t="n">
        <v>42544</v>
      </c>
      <c r="D8909" t="inlineStr">
        <is>
          <t>SPEC</t>
        </is>
      </c>
      <c r="E8909" t="inlineStr">
        <is>
          <t>SUPPORT CONDO</t>
        </is>
      </c>
      <c r="F8909" t="inlineStr">
        <is>
          <t>REGEN BOX</t>
        </is>
      </c>
      <c r="J8909" t="inlineStr">
        <is>
          <t>MATRION</t>
        </is>
      </c>
      <c r="K8909" t="inlineStr">
        <is>
          <t>METAL</t>
        </is>
      </c>
      <c r="L8909">
        <f>_xlfn.XLOOKUP(Tableau1[[#This Row],[TYPE DE PIECE]],Tableau4[MATIERE],Tableau4[SHORT TYPE],"",0,1)</f>
        <v/>
      </c>
      <c r="N8909">
        <f>IF(ISERR(FIND("DECOUPE",Tableau1[[#This Row],[DESIGNATION]])),"","NEED REF")</f>
        <v/>
      </c>
    </row>
    <row r="8910">
      <c r="B8910" t="n">
        <v>34405095</v>
      </c>
      <c r="C8910" s="2" t="n">
        <v>42544</v>
      </c>
      <c r="D8910" t="inlineStr">
        <is>
          <t>SPEC</t>
        </is>
      </c>
      <c r="E8910" t="inlineStr">
        <is>
          <t>PROTECTION ELECTRO. 1</t>
        </is>
      </c>
      <c r="F8910" t="inlineStr">
        <is>
          <t>REGEN BOX</t>
        </is>
      </c>
      <c r="J8910" t="inlineStr">
        <is>
          <t>MATRION</t>
        </is>
      </c>
      <c r="K8910" t="inlineStr">
        <is>
          <t>METAL</t>
        </is>
      </c>
      <c r="L8910">
        <f>_xlfn.XLOOKUP(Tableau1[[#This Row],[TYPE DE PIECE]],Tableau4[MATIERE],Tableau4[SHORT TYPE],"",0,1)</f>
        <v/>
      </c>
      <c r="N8910">
        <f>IF(ISERR(FIND("DECOUPE",Tableau1[[#This Row],[DESIGNATION]])),"","NEED REF")</f>
        <v/>
      </c>
    </row>
    <row r="8911">
      <c r="B8911" t="n">
        <v>34405094</v>
      </c>
      <c r="C8911" s="2" t="n">
        <v>42541</v>
      </c>
      <c r="D8911" t="inlineStr">
        <is>
          <t>SPEC</t>
        </is>
      </c>
      <c r="E8911" t="inlineStr">
        <is>
          <t>PLATINE FU ET BORNIER</t>
        </is>
      </c>
      <c r="F8911" t="inlineStr">
        <is>
          <t>REGEN BOX</t>
        </is>
      </c>
      <c r="J8911" t="inlineStr">
        <is>
          <t>MATRION</t>
        </is>
      </c>
      <c r="K8911" t="inlineStr">
        <is>
          <t>METAL</t>
        </is>
      </c>
      <c r="L8911">
        <f>_xlfn.XLOOKUP(Tableau1[[#This Row],[TYPE DE PIECE]],Tableau4[MATIERE],Tableau4[SHORT TYPE],"",0,1)</f>
        <v/>
      </c>
      <c r="N8911">
        <f>IF(ISERR(FIND("DECOUPE",Tableau1[[#This Row],[DESIGNATION]])),"","NEED REF")</f>
        <v/>
      </c>
    </row>
    <row r="8912">
      <c r="B8912" t="n">
        <v>34405093</v>
      </c>
      <c r="C8912" s="2" t="n">
        <v>42537</v>
      </c>
      <c r="D8912" t="inlineStr">
        <is>
          <t>SPEC</t>
        </is>
      </c>
      <c r="E8912" t="inlineStr">
        <is>
          <t>CX AMONT3 LINE+</t>
        </is>
      </c>
      <c r="F8912" t="inlineStr">
        <is>
          <t>SOLAR</t>
        </is>
      </c>
      <c r="J8912" t="inlineStr">
        <is>
          <t>MATRION</t>
        </is>
      </c>
      <c r="K8912" t="inlineStr">
        <is>
          <t>CUIVRE</t>
        </is>
      </c>
      <c r="L8912">
        <f>_xlfn.XLOOKUP(Tableau1[[#This Row],[TYPE DE PIECE]],Tableau4[MATIERE],Tableau4[SHORT TYPE],"",0,1)</f>
        <v/>
      </c>
      <c r="N8912">
        <f>IF(ISERR(FIND("DECOUPE",Tableau1[[#This Row],[DESIGNATION]])),"","NEED REF")</f>
        <v/>
      </c>
    </row>
    <row r="8913">
      <c r="B8913" t="n">
        <v>34405092</v>
      </c>
      <c r="C8913" s="2" t="n">
        <v>42537</v>
      </c>
      <c r="D8913" t="inlineStr">
        <is>
          <t>SPEC</t>
        </is>
      </c>
      <c r="E8913" t="inlineStr">
        <is>
          <t>CX AMONT2 LINE+</t>
        </is>
      </c>
      <c r="F8913" t="inlineStr">
        <is>
          <t>SOLAR</t>
        </is>
      </c>
      <c r="J8913" t="inlineStr">
        <is>
          <t>MATRION</t>
        </is>
      </c>
      <c r="K8913" t="inlineStr">
        <is>
          <t>CUIVRE</t>
        </is>
      </c>
      <c r="L8913">
        <f>_xlfn.XLOOKUP(Tableau1[[#This Row],[TYPE DE PIECE]],Tableau4[MATIERE],Tableau4[SHORT TYPE],"",0,1)</f>
        <v/>
      </c>
      <c r="N8913">
        <f>IF(ISERR(FIND("DECOUPE",Tableau1[[#This Row],[DESIGNATION]])),"","NEED REF")</f>
        <v/>
      </c>
    </row>
    <row r="8914">
      <c r="B8914" t="n">
        <v>34405091</v>
      </c>
      <c r="C8914" s="2" t="n">
        <v>42537</v>
      </c>
      <c r="D8914" t="inlineStr">
        <is>
          <t>SPEC</t>
        </is>
      </c>
      <c r="E8914" t="inlineStr">
        <is>
          <t>JDB CLIENT BATT</t>
        </is>
      </c>
      <c r="F8914" t="inlineStr">
        <is>
          <t>SOLAR</t>
        </is>
      </c>
      <c r="J8914" t="inlineStr">
        <is>
          <t>MATRION</t>
        </is>
      </c>
      <c r="K8914" t="inlineStr">
        <is>
          <t>CUIVRE</t>
        </is>
      </c>
      <c r="L8914">
        <f>_xlfn.XLOOKUP(Tableau1[[#This Row],[TYPE DE PIECE]],Tableau4[MATIERE],Tableau4[SHORT TYPE],"",0,1)</f>
        <v/>
      </c>
      <c r="N8914">
        <f>IF(ISERR(FIND("DECOUPE",Tableau1[[#This Row],[DESIGNATION]])),"","NEED REF")</f>
        <v/>
      </c>
    </row>
    <row r="8915">
      <c r="B8915" t="n">
        <v>34405090</v>
      </c>
      <c r="C8915" s="2" t="n">
        <v>42537</v>
      </c>
      <c r="D8915" t="inlineStr">
        <is>
          <t>SPEC</t>
        </is>
      </c>
      <c r="E8915" t="inlineStr">
        <is>
          <t>BRIDE INTER JDB POUR ICC 90kA</t>
        </is>
      </c>
      <c r="F8915" t="inlineStr">
        <is>
          <t>SOLAR</t>
        </is>
      </c>
      <c r="J8915" t="inlineStr">
        <is>
          <t>MATRION</t>
        </is>
      </c>
      <c r="K8915" t="inlineStr">
        <is>
          <t>METAL</t>
        </is>
      </c>
      <c r="L8915">
        <f>_xlfn.XLOOKUP(Tableau1[[#This Row],[TYPE DE PIECE]],Tableau4[MATIERE],Tableau4[SHORT TYPE],"",0,1)</f>
        <v/>
      </c>
      <c r="N8915">
        <f>IF(ISERR(FIND("DECOUPE",Tableau1[[#This Row],[DESIGNATION]])),"","NEED REF")</f>
        <v/>
      </c>
    </row>
    <row r="8916">
      <c r="B8916" t="n">
        <v>34405089</v>
      </c>
      <c r="C8916" s="2" t="n">
        <v>42537</v>
      </c>
      <c r="D8916" t="inlineStr">
        <is>
          <t>SPEC</t>
        </is>
      </c>
      <c r="E8916" t="inlineStr">
        <is>
          <t>SUPPORT ARRIERE JDB CLIENT</t>
        </is>
      </c>
      <c r="F8916" t="inlineStr">
        <is>
          <t>SOLAR</t>
        </is>
      </c>
      <c r="J8916" t="inlineStr">
        <is>
          <t>MATRION</t>
        </is>
      </c>
      <c r="K8916" t="inlineStr">
        <is>
          <t>METAL</t>
        </is>
      </c>
      <c r="L8916">
        <f>_xlfn.XLOOKUP(Tableau1[[#This Row],[TYPE DE PIECE]],Tableau4[MATIERE],Tableau4[SHORT TYPE],"",0,1)</f>
        <v/>
      </c>
      <c r="N8916">
        <f>IF(ISERR(FIND("DECOUPE",Tableau1[[#This Row],[DESIGNATION]])),"","NEED REF")</f>
        <v/>
      </c>
    </row>
    <row r="8917">
      <c r="B8917" t="n">
        <v>34405088</v>
      </c>
      <c r="C8917" s="2" t="n">
        <v>42537</v>
      </c>
      <c r="D8917" t="inlineStr">
        <is>
          <t>SPEC</t>
        </is>
      </c>
      <c r="E8917" t="inlineStr">
        <is>
          <t>SUPPORT GAUCHE JDB CLIENT</t>
        </is>
      </c>
      <c r="F8917" t="inlineStr">
        <is>
          <t>SOLAR</t>
        </is>
      </c>
      <c r="J8917" t="inlineStr">
        <is>
          <t>MATRION</t>
        </is>
      </c>
      <c r="K8917" t="inlineStr">
        <is>
          <t>METAL</t>
        </is>
      </c>
      <c r="L8917">
        <f>_xlfn.XLOOKUP(Tableau1[[#This Row],[TYPE DE PIECE]],Tableau4[MATIERE],Tableau4[SHORT TYPE],"",0,1)</f>
        <v/>
      </c>
      <c r="N8917">
        <f>IF(ISERR(FIND("DECOUPE",Tableau1[[#This Row],[DESIGNATION]])),"","NEED REF")</f>
        <v/>
      </c>
    </row>
    <row r="8918">
      <c r="B8918" t="n">
        <v>34405087</v>
      </c>
      <c r="C8918" s="2" t="n">
        <v>42537</v>
      </c>
      <c r="D8918" t="inlineStr">
        <is>
          <t>SPEC</t>
        </is>
      </c>
      <c r="E8918" t="inlineStr">
        <is>
          <t>SUPPORT DROIT JDB CLIENT</t>
        </is>
      </c>
      <c r="F8918" t="inlineStr">
        <is>
          <t>SOLAR</t>
        </is>
      </c>
      <c r="J8918" t="inlineStr">
        <is>
          <t>MATRION</t>
        </is>
      </c>
      <c r="K8918" t="inlineStr">
        <is>
          <t>METAL</t>
        </is>
      </c>
      <c r="L8918">
        <f>_xlfn.XLOOKUP(Tableau1[[#This Row],[TYPE DE PIECE]],Tableau4[MATIERE],Tableau4[SHORT TYPE],"",0,1)</f>
        <v/>
      </c>
      <c r="N8918">
        <f>IF(ISERR(FIND("DECOUPE",Tableau1[[#This Row],[DESIGNATION]])),"","NEED REF")</f>
        <v/>
      </c>
    </row>
    <row r="8919">
      <c r="B8919" t="n">
        <v>34405086</v>
      </c>
      <c r="C8919" s="2" t="n">
        <v>42523</v>
      </c>
      <c r="D8919" t="inlineStr">
        <is>
          <t>SPEC</t>
        </is>
      </c>
      <c r="E8919" t="inlineStr">
        <is>
          <t>PROTECTION BRIDE</t>
        </is>
      </c>
      <c r="J8919" t="inlineStr">
        <is>
          <t>MATRION</t>
        </is>
      </c>
      <c r="K8919" t="inlineStr">
        <is>
          <t>PLASTIQUE</t>
        </is>
      </c>
      <c r="L8919">
        <f>_xlfn.XLOOKUP(Tableau1[[#This Row],[TYPE DE PIECE]],Tableau4[MATIERE],Tableau4[SHORT TYPE],"",0,1)</f>
        <v/>
      </c>
      <c r="N8919">
        <f>IF(ISERR(FIND("DECOUPE",Tableau1[[#This Row],[DESIGNATION]])),"","NEED REF")</f>
        <v/>
      </c>
    </row>
    <row r="8920">
      <c r="B8920" t="n">
        <v>34405085</v>
      </c>
      <c r="C8920" s="2" t="n">
        <v>42522</v>
      </c>
      <c r="D8920" t="inlineStr">
        <is>
          <t>SPEC</t>
        </is>
      </c>
      <c r="E8920" t="inlineStr">
        <is>
          <t>DCBOX NEWMODEL 25-04-16</t>
        </is>
      </c>
      <c r="J8920" t="inlineStr">
        <is>
          <t>PLANTIER</t>
        </is>
      </c>
      <c r="L8920">
        <f>_xlfn.XLOOKUP(Tableau1[[#This Row],[TYPE DE PIECE]],Tableau4[MATIERE],Tableau4[SHORT TYPE],"",0,1)</f>
        <v/>
      </c>
      <c r="N8920">
        <f>IF(ISERR(FIND("DECOUPE",Tableau1[[#This Row],[DESIGNATION]])),"","NEED REF")</f>
        <v/>
      </c>
    </row>
    <row r="8921">
      <c r="B8921" t="n">
        <v>34405084</v>
      </c>
      <c r="C8921" s="2" t="n">
        <v>42521</v>
      </c>
      <c r="D8921" t="inlineStr">
        <is>
          <t>SPEC</t>
        </is>
      </c>
      <c r="E8921" t="inlineStr">
        <is>
          <t>PLASTRON H=700 NS 1000</t>
        </is>
      </c>
      <c r="F8921" t="inlineStr">
        <is>
          <t>GALAXY VM</t>
        </is>
      </c>
      <c r="J8921" t="inlineStr">
        <is>
          <t>ROBERT</t>
        </is>
      </c>
      <c r="K8921" t="inlineStr">
        <is>
          <t>ROBERT</t>
        </is>
      </c>
      <c r="L8921">
        <f>_xlfn.XLOOKUP(Tableau1[[#This Row],[TYPE DE PIECE]],Tableau4[MATIERE],Tableau4[SHORT TYPE],"",0,1)</f>
        <v/>
      </c>
      <c r="N8921">
        <f>IF(ISERR(FIND("DECOUPE",Tableau1[[#This Row],[DESIGNATION]])),"","NEED REF")</f>
        <v/>
      </c>
    </row>
    <row r="8922">
      <c r="B8922" t="n">
        <v>34405083</v>
      </c>
      <c r="C8922" s="2" t="n">
        <v>42521</v>
      </c>
      <c r="D8922" t="inlineStr">
        <is>
          <t>SPEC</t>
        </is>
      </c>
      <c r="E8922" t="inlineStr">
        <is>
          <t>TOLE DE FERMETURE</t>
        </is>
      </c>
      <c r="F8922" t="inlineStr">
        <is>
          <t>GALAXY VM</t>
        </is>
      </c>
      <c r="J8922" t="inlineStr">
        <is>
          <t>ROBERT</t>
        </is>
      </c>
      <c r="K8922" t="inlineStr">
        <is>
          <t>ROBERT</t>
        </is>
      </c>
      <c r="L8922">
        <f>_xlfn.XLOOKUP(Tableau1[[#This Row],[TYPE DE PIECE]],Tableau4[MATIERE],Tableau4[SHORT TYPE],"",0,1)</f>
        <v/>
      </c>
      <c r="N8922">
        <f>IF(ISERR(FIND("DECOUPE",Tableau1[[#This Row],[DESIGNATION]])),"","NEED REF")</f>
        <v/>
      </c>
    </row>
    <row r="8923">
      <c r="B8923" t="n">
        <v>34405082</v>
      </c>
      <c r="C8923" s="2" t="n">
        <v>42521</v>
      </c>
      <c r="D8923" t="inlineStr">
        <is>
          <t>SPEC</t>
        </is>
      </c>
      <c r="E8923" t="inlineStr">
        <is>
          <t>PLASTRON BAS H=100</t>
        </is>
      </c>
      <c r="F8923" t="inlineStr">
        <is>
          <t>GALAXY VM</t>
        </is>
      </c>
      <c r="J8923" t="inlineStr">
        <is>
          <t>ROBERT</t>
        </is>
      </c>
      <c r="K8923" t="inlineStr">
        <is>
          <t>ROBERT</t>
        </is>
      </c>
      <c r="L8923">
        <f>_xlfn.XLOOKUP(Tableau1[[#This Row],[TYPE DE PIECE]],Tableau4[MATIERE],Tableau4[SHORT TYPE],"",0,1)</f>
        <v/>
      </c>
      <c r="N8923">
        <f>IF(ISERR(FIND("DECOUPE",Tableau1[[#This Row],[DESIGNATION]])),"","NEED REF")</f>
        <v/>
      </c>
    </row>
    <row r="8924">
      <c r="B8924" t="n">
        <v>34405081</v>
      </c>
      <c r="C8924" s="2" t="n">
        <v>42521</v>
      </c>
      <c r="D8924" t="inlineStr">
        <is>
          <t>SPEC</t>
        </is>
      </c>
      <c r="E8924" t="inlineStr">
        <is>
          <t>PLASTRON HAUT H=300</t>
        </is>
      </c>
      <c r="F8924" t="inlineStr">
        <is>
          <t>GALAXY VM</t>
        </is>
      </c>
      <c r="J8924" t="inlineStr">
        <is>
          <t>ROBERT</t>
        </is>
      </c>
      <c r="K8924" t="inlineStr">
        <is>
          <t>ROBERT</t>
        </is>
      </c>
      <c r="L8924">
        <f>_xlfn.XLOOKUP(Tableau1[[#This Row],[TYPE DE PIECE]],Tableau4[MATIERE],Tableau4[SHORT TYPE],"",0,1)</f>
        <v/>
      </c>
      <c r="N8924">
        <f>IF(ISERR(FIND("DECOUPE",Tableau1[[#This Row],[DESIGNATION]])),"","NEED REF")</f>
        <v/>
      </c>
    </row>
    <row r="8925">
      <c r="B8925" t="n">
        <v>34405080</v>
      </c>
      <c r="C8925" s="2" t="n">
        <v>42521</v>
      </c>
      <c r="D8925" t="inlineStr">
        <is>
          <t>SPEC</t>
        </is>
      </c>
      <c r="E8925" t="inlineStr">
        <is>
          <t>SUPPORT NS1000</t>
        </is>
      </c>
      <c r="F8925" t="inlineStr">
        <is>
          <t>GALAXY VM</t>
        </is>
      </c>
      <c r="J8925" t="inlineStr">
        <is>
          <t>ROBERT</t>
        </is>
      </c>
      <c r="K8925" t="inlineStr">
        <is>
          <t>ROBERT</t>
        </is>
      </c>
      <c r="L8925">
        <f>_xlfn.XLOOKUP(Tableau1[[#This Row],[TYPE DE PIECE]],Tableau4[MATIERE],Tableau4[SHORT TYPE],"",0,1)</f>
        <v/>
      </c>
      <c r="N8925">
        <f>IF(ISERR(FIND("DECOUPE",Tableau1[[#This Row],[DESIGNATION]])),"","NEED REF")</f>
        <v/>
      </c>
    </row>
    <row r="8926">
      <c r="B8926" t="n">
        <v>34405079</v>
      </c>
      <c r="C8926" s="2" t="n">
        <v>42514</v>
      </c>
      <c r="D8926" t="inlineStr">
        <is>
          <t>SPEC</t>
        </is>
      </c>
      <c r="E8926" t="inlineStr">
        <is>
          <t xml:space="preserve"> EMPTY CUBICLE 700 GALAXY VM</t>
        </is>
      </c>
      <c r="F8926" t="inlineStr">
        <is>
          <t>GALAXY VM</t>
        </is>
      </c>
      <c r="J8926" t="inlineStr">
        <is>
          <t>ROBERT</t>
        </is>
      </c>
      <c r="K8926" t="inlineStr">
        <is>
          <t>ROBERT</t>
        </is>
      </c>
      <c r="L8926">
        <f>_xlfn.XLOOKUP(Tableau1[[#This Row],[TYPE DE PIECE]],Tableau4[MATIERE],Tableau4[SHORT TYPE],"",0,1)</f>
        <v/>
      </c>
      <c r="N8926">
        <f>IF(ISERR(FIND("DECOUPE",Tableau1[[#This Row],[DESIGNATION]])),"","NEED REF")</f>
        <v/>
      </c>
    </row>
    <row r="8927">
      <c r="B8927" t="n">
        <v>34405078</v>
      </c>
      <c r="C8927" s="2" t="n">
        <v>42509</v>
      </c>
      <c r="D8927" t="inlineStr">
        <is>
          <t>SPEC</t>
        </is>
      </c>
      <c r="F8927" t="inlineStr">
        <is>
          <t>SOLAR</t>
        </is>
      </c>
      <c r="J8927" t="inlineStr">
        <is>
          <t>DUBOIS</t>
        </is>
      </c>
      <c r="K8927" t="inlineStr">
        <is>
          <t>CUIVRE</t>
        </is>
      </c>
      <c r="L8927">
        <f>_xlfn.XLOOKUP(Tableau1[[#This Row],[TYPE DE PIECE]],Tableau4[MATIERE],Tableau4[SHORT TYPE],"",0,1)</f>
        <v/>
      </c>
      <c r="N8927">
        <f>IF(ISERR(FIND("DECOUPE",Tableau1[[#This Row],[DESIGNATION]])),"","NEED REF")</f>
        <v/>
      </c>
    </row>
    <row r="8928">
      <c r="B8928" t="n">
        <v>34405077</v>
      </c>
      <c r="C8928" s="2" t="n">
        <v>42509</v>
      </c>
      <c r="D8928" t="inlineStr">
        <is>
          <t>SPEC</t>
        </is>
      </c>
      <c r="F8928" t="inlineStr">
        <is>
          <t>SOLAR</t>
        </is>
      </c>
      <c r="J8928" t="inlineStr">
        <is>
          <t>DUBOIS</t>
        </is>
      </c>
      <c r="K8928" t="inlineStr">
        <is>
          <t>CUIVRE</t>
        </is>
      </c>
      <c r="L8928">
        <f>_xlfn.XLOOKUP(Tableau1[[#This Row],[TYPE DE PIECE]],Tableau4[MATIERE],Tableau4[SHORT TYPE],"",0,1)</f>
        <v/>
      </c>
      <c r="N8928">
        <f>IF(ISERR(FIND("DECOUPE",Tableau1[[#This Row],[DESIGNATION]])),"","NEED REF")</f>
        <v/>
      </c>
    </row>
    <row r="8929">
      <c r="B8929" t="n">
        <v>34405076</v>
      </c>
      <c r="C8929" s="2" t="n">
        <v>42509</v>
      </c>
      <c r="D8929" t="inlineStr">
        <is>
          <t>SPEC</t>
        </is>
      </c>
      <c r="E8929" t="inlineStr">
        <is>
          <t>Barre 239x30x10</t>
        </is>
      </c>
      <c r="F8929" t="inlineStr">
        <is>
          <t>SOLAR</t>
        </is>
      </c>
      <c r="J8929" t="inlineStr">
        <is>
          <t>DUBOIS</t>
        </is>
      </c>
      <c r="K8929" t="inlineStr">
        <is>
          <t>CUIVRE</t>
        </is>
      </c>
      <c r="L8929">
        <f>_xlfn.XLOOKUP(Tableau1[[#This Row],[TYPE DE PIECE]],Tableau4[MATIERE],Tableau4[SHORT TYPE],"",0,1)</f>
        <v/>
      </c>
      <c r="N8929">
        <f>IF(ISERR(FIND("DECOUPE",Tableau1[[#This Row],[DESIGNATION]])),"","NEED REF")</f>
        <v/>
      </c>
    </row>
    <row r="8930">
      <c r="B8930" t="n">
        <v>34405075</v>
      </c>
      <c r="C8930" s="2" t="n">
        <v>42509</v>
      </c>
      <c r="D8930" t="inlineStr">
        <is>
          <t>SPEC</t>
        </is>
      </c>
      <c r="E8930" t="inlineStr">
        <is>
          <t>Barre 327,5x30x10</t>
        </is>
      </c>
      <c r="F8930" t="inlineStr">
        <is>
          <t>SOLAR</t>
        </is>
      </c>
      <c r="J8930" t="inlineStr">
        <is>
          <t>DUBOIS</t>
        </is>
      </c>
      <c r="K8930" t="inlineStr">
        <is>
          <t>CUIVRE</t>
        </is>
      </c>
      <c r="L8930">
        <f>_xlfn.XLOOKUP(Tableau1[[#This Row],[TYPE DE PIECE]],Tableau4[MATIERE],Tableau4[SHORT TYPE],"",0,1)</f>
        <v/>
      </c>
      <c r="N8930">
        <f>IF(ISERR(FIND("DECOUPE",Tableau1[[#This Row],[DESIGNATION]])),"","NEED REF")</f>
        <v/>
      </c>
    </row>
    <row r="8931">
      <c r="B8931" t="n">
        <v>34405074</v>
      </c>
      <c r="C8931" s="2" t="n">
        <v>42509</v>
      </c>
      <c r="D8931" t="inlineStr">
        <is>
          <t>SPEC</t>
        </is>
      </c>
      <c r="E8931" t="inlineStr">
        <is>
          <t>Barre en S</t>
        </is>
      </c>
      <c r="F8931" t="inlineStr">
        <is>
          <t>SOLAR</t>
        </is>
      </c>
      <c r="J8931" t="inlineStr">
        <is>
          <t>DUBOIS</t>
        </is>
      </c>
      <c r="K8931" t="inlineStr">
        <is>
          <t>CUIVRE</t>
        </is>
      </c>
      <c r="L8931">
        <f>_xlfn.XLOOKUP(Tableau1[[#This Row],[TYPE DE PIECE]],Tableau4[MATIERE],Tableau4[SHORT TYPE],"",0,1)</f>
        <v/>
      </c>
      <c r="N8931">
        <f>IF(ISERR(FIND("DECOUPE",Tableau1[[#This Row],[DESIGNATION]])),"","NEED REF")</f>
        <v/>
      </c>
    </row>
    <row r="8932">
      <c r="B8932" t="n">
        <v>34405073</v>
      </c>
      <c r="C8932" s="2" t="n">
        <v>42509</v>
      </c>
      <c r="D8932" t="inlineStr">
        <is>
          <t>SPEC</t>
        </is>
      </c>
      <c r="E8932" t="inlineStr">
        <is>
          <t>Barre en L</t>
        </is>
      </c>
      <c r="F8932" t="inlineStr">
        <is>
          <t>SOLAR</t>
        </is>
      </c>
      <c r="J8932" t="inlineStr">
        <is>
          <t>DUBOIS</t>
        </is>
      </c>
      <c r="K8932" t="inlineStr">
        <is>
          <t>CUIVRE</t>
        </is>
      </c>
      <c r="L8932">
        <f>_xlfn.XLOOKUP(Tableau1[[#This Row],[TYPE DE PIECE]],Tableau4[MATIERE],Tableau4[SHORT TYPE],"",0,1)</f>
        <v/>
      </c>
      <c r="N8932">
        <f>IF(ISERR(FIND("DECOUPE",Tableau1[[#This Row],[DESIGNATION]])),"","NEED REF")</f>
        <v/>
      </c>
    </row>
    <row r="8933">
      <c r="B8933" t="n">
        <v>34405072</v>
      </c>
      <c r="C8933" s="2" t="n">
        <v>42509</v>
      </c>
      <c r="D8933" t="inlineStr">
        <is>
          <t>SPEC</t>
        </is>
      </c>
      <c r="E8933" t="inlineStr">
        <is>
          <t>Cale 30x30x5</t>
        </is>
      </c>
      <c r="F8933" t="inlineStr">
        <is>
          <t>SOLAR</t>
        </is>
      </c>
      <c r="J8933" t="inlineStr">
        <is>
          <t>DUBOIS</t>
        </is>
      </c>
      <c r="K8933" t="inlineStr">
        <is>
          <t>CUIVRE</t>
        </is>
      </c>
      <c r="L8933">
        <f>_xlfn.XLOOKUP(Tableau1[[#This Row],[TYPE DE PIECE]],Tableau4[MATIERE],Tableau4[SHORT TYPE],"",0,1)</f>
        <v/>
      </c>
      <c r="N8933">
        <f>IF(ISERR(FIND("DECOUPE",Tableau1[[#This Row],[DESIGNATION]])),"","NEED REF")</f>
        <v/>
      </c>
    </row>
    <row r="8934">
      <c r="B8934" t="n">
        <v>34405071</v>
      </c>
      <c r="C8934" s="2" t="n">
        <v>42509</v>
      </c>
      <c r="D8934" t="inlineStr">
        <is>
          <t>SPEC</t>
        </is>
      </c>
      <c r="E8934" t="inlineStr">
        <is>
          <t>Barre 229x30x10</t>
        </is>
      </c>
      <c r="F8934" t="inlineStr">
        <is>
          <t>SOLAR</t>
        </is>
      </c>
      <c r="J8934" t="inlineStr">
        <is>
          <t>DUBOIS</t>
        </is>
      </c>
      <c r="K8934" t="inlineStr">
        <is>
          <t>CUIVRE</t>
        </is>
      </c>
      <c r="L8934">
        <f>_xlfn.XLOOKUP(Tableau1[[#This Row],[TYPE DE PIECE]],Tableau4[MATIERE],Tableau4[SHORT TYPE],"",0,1)</f>
        <v/>
      </c>
      <c r="N8934">
        <f>IF(ISERR(FIND("DECOUPE",Tableau1[[#This Row],[DESIGNATION]])),"","NEED REF")</f>
        <v/>
      </c>
    </row>
    <row r="8935">
      <c r="B8935" t="n">
        <v>34405070</v>
      </c>
      <c r="C8935" s="2" t="n">
        <v>42509</v>
      </c>
      <c r="D8935" t="inlineStr">
        <is>
          <t>SPEC</t>
        </is>
      </c>
      <c r="E8935" t="inlineStr">
        <is>
          <t>Barre 314,5x30x10</t>
        </is>
      </c>
      <c r="F8935" t="inlineStr">
        <is>
          <t>SOLAR</t>
        </is>
      </c>
      <c r="J8935" t="inlineStr">
        <is>
          <t>DUBOIS</t>
        </is>
      </c>
      <c r="K8935" t="inlineStr">
        <is>
          <t>CUIVRE</t>
        </is>
      </c>
      <c r="L8935">
        <f>_xlfn.XLOOKUP(Tableau1[[#This Row],[TYPE DE PIECE]],Tableau4[MATIERE],Tableau4[SHORT TYPE],"",0,1)</f>
        <v/>
      </c>
      <c r="N8935">
        <f>IF(ISERR(FIND("DECOUPE",Tableau1[[#This Row],[DESIGNATION]])),"","NEED REF")</f>
        <v/>
      </c>
    </row>
    <row r="8936">
      <c r="B8936" t="n">
        <v>34405069</v>
      </c>
      <c r="C8936" s="2" t="n">
        <v>42126</v>
      </c>
      <c r="D8936" t="inlineStr">
        <is>
          <t>SPEC</t>
        </is>
      </c>
      <c r="E8936" t="inlineStr">
        <is>
          <t>Fixation cables</t>
        </is>
      </c>
      <c r="J8936" t="inlineStr">
        <is>
          <t>MATRION</t>
        </is>
      </c>
      <c r="L8936">
        <f>_xlfn.XLOOKUP(Tableau1[[#This Row],[TYPE DE PIECE]],Tableau4[MATIERE],Tableau4[SHORT TYPE],"",0,1)</f>
        <v/>
      </c>
      <c r="N8936">
        <f>IF(ISERR(FIND("DECOUPE",Tableau1[[#This Row],[DESIGNATION]])),"","NEED REF")</f>
        <v/>
      </c>
    </row>
    <row r="8937">
      <c r="B8937" t="n">
        <v>34405068</v>
      </c>
      <c r="C8937" s="2" t="n">
        <v>42126</v>
      </c>
      <c r="D8937" t="inlineStr">
        <is>
          <t>SPEC</t>
        </is>
      </c>
      <c r="E8937" t="inlineStr">
        <is>
          <t>PLATINE DE FOND</t>
        </is>
      </c>
      <c r="J8937" t="inlineStr">
        <is>
          <t>MATRION</t>
        </is>
      </c>
      <c r="K8937" t="inlineStr">
        <is>
          <t>METAL</t>
        </is>
      </c>
      <c r="L8937">
        <f>_xlfn.XLOOKUP(Tableau1[[#This Row],[TYPE DE PIECE]],Tableau4[MATIERE],Tableau4[SHORT TYPE],"",0,1)</f>
        <v/>
      </c>
      <c r="N8937">
        <f>IF(ISERR(FIND("DECOUPE",Tableau1[[#This Row],[DESIGNATION]])),"","NEED REF")</f>
        <v/>
      </c>
    </row>
    <row r="8938">
      <c r="B8938" t="n">
        <v>34405067</v>
      </c>
      <c r="C8938" s="2" t="n">
        <v>42126</v>
      </c>
      <c r="D8938" t="inlineStr">
        <is>
          <t>SPEC</t>
        </is>
      </c>
      <c r="E8938" t="inlineStr">
        <is>
          <t>COFFRET NSYPLM86 SPECIFIQUE</t>
        </is>
      </c>
      <c r="J8938" t="inlineStr">
        <is>
          <t>MATRION</t>
        </is>
      </c>
      <c r="L8938">
        <f>_xlfn.XLOOKUP(Tableau1[[#This Row],[TYPE DE PIECE]],Tableau4[MATIERE],Tableau4[SHORT TYPE],"",0,1)</f>
        <v/>
      </c>
      <c r="N8938">
        <f>IF(ISERR(FIND("DECOUPE",Tableau1[[#This Row],[DESIGNATION]])),"","NEED REF")</f>
        <v/>
      </c>
    </row>
    <row r="8939">
      <c r="B8939" t="n">
        <v>34405066</v>
      </c>
      <c r="C8939" s="2" t="n">
        <v>42126</v>
      </c>
      <c r="D8939" t="inlineStr">
        <is>
          <t>SPEC</t>
        </is>
      </c>
      <c r="E8939" t="inlineStr">
        <is>
          <t>SE Filerie</t>
        </is>
      </c>
      <c r="F8939" t="inlineStr">
        <is>
          <t>SYMPX ISOLATION BOX</t>
        </is>
      </c>
      <c r="J8939" t="inlineStr">
        <is>
          <t>MATRION</t>
        </is>
      </c>
      <c r="L8939">
        <f>_xlfn.XLOOKUP(Tableau1[[#This Row],[TYPE DE PIECE]],Tableau4[MATIERE],Tableau4[SHORT TYPE],"",0,1)</f>
        <v/>
      </c>
      <c r="N8939">
        <f>IF(ISERR(FIND("DECOUPE",Tableau1[[#This Row],[DESIGNATION]])),"","NEED REF")</f>
        <v/>
      </c>
    </row>
    <row r="8940">
      <c r="B8940" t="n">
        <v>34405065</v>
      </c>
      <c r="C8940" s="2" t="n">
        <v>42126</v>
      </c>
      <c r="D8940" t="inlineStr">
        <is>
          <t>SPEC</t>
        </is>
      </c>
      <c r="E8940" t="inlineStr">
        <is>
          <t>COFFRET NSYPLM75 SPECIFIQUE</t>
        </is>
      </c>
      <c r="F8940" t="inlineStr">
        <is>
          <t>BCB GALAXY VM</t>
        </is>
      </c>
      <c r="J8940" t="inlineStr">
        <is>
          <t>ROBERT</t>
        </is>
      </c>
      <c r="K8940" t="inlineStr">
        <is>
          <t>POLYESTER</t>
        </is>
      </c>
      <c r="L8940">
        <f>_xlfn.XLOOKUP(Tableau1[[#This Row],[TYPE DE PIECE]],Tableau4[MATIERE],Tableau4[SHORT TYPE],"",0,1)</f>
        <v/>
      </c>
      <c r="N8940">
        <f>IF(ISERR(FIND("DECOUPE",Tableau1[[#This Row],[DESIGNATION]])),"","NEED REF")</f>
        <v/>
      </c>
    </row>
    <row r="8941">
      <c r="B8941" t="n">
        <v>34405064</v>
      </c>
      <c r="C8941" s="2" t="n">
        <v>42492</v>
      </c>
      <c r="D8941" t="inlineStr">
        <is>
          <t>SPEC</t>
        </is>
      </c>
      <c r="E8941" t="inlineStr">
        <is>
          <t>CAPOT</t>
        </is>
      </c>
      <c r="F8941" t="inlineStr">
        <is>
          <t>BCB GALAXY VM</t>
        </is>
      </c>
      <c r="J8941" t="inlineStr">
        <is>
          <t>ROBERT</t>
        </is>
      </c>
      <c r="K8941" t="inlineStr">
        <is>
          <t>METAL</t>
        </is>
      </c>
      <c r="L8941">
        <f>_xlfn.XLOOKUP(Tableau1[[#This Row],[TYPE DE PIECE]],Tableau4[MATIERE],Tableau4[SHORT TYPE],"",0,1)</f>
        <v/>
      </c>
      <c r="N8941">
        <f>IF(ISERR(FIND("DECOUPE",Tableau1[[#This Row],[DESIGNATION]])),"","NEED REF")</f>
        <v/>
      </c>
    </row>
    <row r="8942">
      <c r="B8942" t="n">
        <v>34405063</v>
      </c>
      <c r="C8942" s="2" t="n">
        <v>42492</v>
      </c>
      <c r="D8942" t="inlineStr">
        <is>
          <t>SPEC</t>
        </is>
      </c>
      <c r="E8942" t="inlineStr">
        <is>
          <t>TOLE DE FOND</t>
        </is>
      </c>
      <c r="F8942" t="inlineStr">
        <is>
          <t>BCB GALAXY VM</t>
        </is>
      </c>
      <c r="J8942" t="inlineStr">
        <is>
          <t>ROBERT</t>
        </is>
      </c>
      <c r="K8942" t="inlineStr">
        <is>
          <t>METAL</t>
        </is>
      </c>
      <c r="L8942">
        <f>_xlfn.XLOOKUP(Tableau1[[#This Row],[TYPE DE PIECE]],Tableau4[MATIERE],Tableau4[SHORT TYPE],"",0,1)</f>
        <v/>
      </c>
      <c r="N8942">
        <f>IF(ISERR(FIND("DECOUPE",Tableau1[[#This Row],[DESIGNATION]])),"","NEED REF")</f>
        <v/>
      </c>
    </row>
    <row r="8943">
      <c r="B8943" t="n">
        <v>34405062</v>
      </c>
      <c r="C8943" s="2" t="n">
        <v>42492</v>
      </c>
      <c r="D8943" t="inlineStr">
        <is>
          <t>SPEC</t>
        </is>
      </c>
      <c r="E8943" t="inlineStr">
        <is>
          <t>SUPPORT CABLE</t>
        </is>
      </c>
      <c r="F8943" t="inlineStr">
        <is>
          <t>BCB GALAXY VM</t>
        </is>
      </c>
      <c r="J8943" t="inlineStr">
        <is>
          <t>ROBERT</t>
        </is>
      </c>
      <c r="K8943" t="inlineStr">
        <is>
          <t>METAL</t>
        </is>
      </c>
      <c r="L8943">
        <f>_xlfn.XLOOKUP(Tableau1[[#This Row],[TYPE DE PIECE]],Tableau4[MATIERE],Tableau4[SHORT TYPE],"",0,1)</f>
        <v/>
      </c>
      <c r="N8943">
        <f>IF(ISERR(FIND("DECOUPE",Tableau1[[#This Row],[DESIGNATION]])),"","NEED REF")</f>
        <v/>
      </c>
    </row>
    <row r="8944">
      <c r="B8944" t="n">
        <v>34405061</v>
      </c>
      <c r="C8944" s="2" t="n">
        <v>42492</v>
      </c>
      <c r="D8944" t="inlineStr">
        <is>
          <t>SPEC</t>
        </is>
      </c>
      <c r="E8944" t="inlineStr">
        <is>
          <t>SUPPORT CAPOT</t>
        </is>
      </c>
      <c r="F8944" t="inlineStr">
        <is>
          <t>BCB GALAXY VM</t>
        </is>
      </c>
      <c r="J8944" t="inlineStr">
        <is>
          <t>ROBERT</t>
        </is>
      </c>
      <c r="K8944" t="inlineStr">
        <is>
          <t>METAL</t>
        </is>
      </c>
      <c r="L8944">
        <f>_xlfn.XLOOKUP(Tableau1[[#This Row],[TYPE DE PIECE]],Tableau4[MATIERE],Tableau4[SHORT TYPE],"",0,1)</f>
        <v/>
      </c>
      <c r="N8944">
        <f>IF(ISERR(FIND("DECOUPE",Tableau1[[#This Row],[DESIGNATION]])),"","NEED REF")</f>
        <v/>
      </c>
    </row>
    <row r="8945">
      <c r="B8945" t="n">
        <v>34405060</v>
      </c>
      <c r="C8945" s="2" t="n">
        <v>42486</v>
      </c>
      <c r="D8945" t="inlineStr">
        <is>
          <t>SPEC</t>
        </is>
      </c>
      <c r="E8945" t="inlineStr">
        <is>
          <t>CALE 5MM ICC 50kA</t>
        </is>
      </c>
      <c r="F8945" t="inlineStr">
        <is>
          <t>STS1200A</t>
        </is>
      </c>
      <c r="J8945" t="inlineStr">
        <is>
          <t>MATRION</t>
        </is>
      </c>
      <c r="K8945" t="inlineStr">
        <is>
          <t>CUIVRE</t>
        </is>
      </c>
      <c r="L8945">
        <f>_xlfn.XLOOKUP(Tableau1[[#This Row],[TYPE DE PIECE]],Tableau4[MATIERE],Tableau4[SHORT TYPE],"",0,1)</f>
        <v/>
      </c>
      <c r="N8945">
        <f>IF(ISERR(FIND("DECOUPE",Tableau1[[#This Row],[DESIGNATION]])),"","NEED REF")</f>
        <v/>
      </c>
    </row>
    <row r="8946">
      <c r="B8946" t="n">
        <v>34405059</v>
      </c>
      <c r="C8946" s="2" t="n">
        <v>42486</v>
      </c>
      <c r="D8946" t="inlineStr">
        <is>
          <t>SPEC</t>
        </is>
      </c>
      <c r="E8946" t="inlineStr">
        <is>
          <t>CALE 10MM ICC 50kA</t>
        </is>
      </c>
      <c r="F8946" t="inlineStr">
        <is>
          <t>STS1200A</t>
        </is>
      </c>
      <c r="J8946" t="inlineStr">
        <is>
          <t>MATRION</t>
        </is>
      </c>
      <c r="K8946" t="inlineStr">
        <is>
          <t>CUIVRE</t>
        </is>
      </c>
      <c r="L8946">
        <f>_xlfn.XLOOKUP(Tableau1[[#This Row],[TYPE DE PIECE]],Tableau4[MATIERE],Tableau4[SHORT TYPE],"",0,1)</f>
        <v/>
      </c>
      <c r="N8946">
        <f>IF(ISERR(FIND("DECOUPE",Tableau1[[#This Row],[DESIGNATION]])),"","NEED REF")</f>
        <v/>
      </c>
    </row>
    <row r="8947">
      <c r="B8947" t="n">
        <v>34405058</v>
      </c>
      <c r="C8947" s="2" t="n">
        <v>42486</v>
      </c>
      <c r="D8947" t="inlineStr">
        <is>
          <t>SPEC</t>
        </is>
      </c>
      <c r="E8947" t="inlineStr">
        <is>
          <t>FIXATION 2 PHASES ICC 50kA</t>
        </is>
      </c>
      <c r="F8947" t="inlineStr">
        <is>
          <t>STS1200A</t>
        </is>
      </c>
      <c r="J8947" t="inlineStr">
        <is>
          <t>MATRION</t>
        </is>
      </c>
      <c r="K8947" t="inlineStr">
        <is>
          <t>METAL</t>
        </is>
      </c>
      <c r="L8947">
        <f>_xlfn.XLOOKUP(Tableau1[[#This Row],[TYPE DE PIECE]],Tableau4[MATIERE],Tableau4[SHORT TYPE],"",0,1)</f>
        <v/>
      </c>
      <c r="N8947">
        <f>IF(ISERR(FIND("DECOUPE",Tableau1[[#This Row],[DESIGNATION]])),"","NEED REF")</f>
        <v/>
      </c>
    </row>
    <row r="8948">
      <c r="B8948" t="n">
        <v>34405057</v>
      </c>
      <c r="C8948" s="2" t="n">
        <v>42486</v>
      </c>
      <c r="D8948" t="inlineStr">
        <is>
          <t>SPEC</t>
        </is>
      </c>
      <c r="E8948" t="inlineStr">
        <is>
          <t>FIXATION 4 PHASES ICC 50kA</t>
        </is>
      </c>
      <c r="F8948" t="inlineStr">
        <is>
          <t>STS1200A</t>
        </is>
      </c>
      <c r="J8948" t="inlineStr">
        <is>
          <t>MATRION</t>
        </is>
      </c>
      <c r="K8948" t="inlineStr">
        <is>
          <t>METAL</t>
        </is>
      </c>
      <c r="L8948">
        <f>_xlfn.XLOOKUP(Tableau1[[#This Row],[TYPE DE PIECE]],Tableau4[MATIERE],Tableau4[SHORT TYPE],"",0,1)</f>
        <v/>
      </c>
      <c r="N8948">
        <f>IF(ISERR(FIND("DECOUPE",Tableau1[[#This Row],[DESIGNATION]])),"","NEED REF")</f>
        <v/>
      </c>
    </row>
    <row r="8949">
      <c r="B8949" t="n">
        <v>34405056</v>
      </c>
      <c r="C8949" s="2" t="n">
        <v>42486</v>
      </c>
      <c r="D8949" t="inlineStr">
        <is>
          <t>SPEC</t>
        </is>
      </c>
      <c r="E8949" t="inlineStr">
        <is>
          <t>TOIT IP42 STS 160-400A</t>
        </is>
      </c>
      <c r="F8949" t="inlineStr">
        <is>
          <t xml:space="preserve">STS UPSILON PW </t>
        </is>
      </c>
      <c r="J8949" t="inlineStr">
        <is>
          <t>ÇAKIR</t>
        </is>
      </c>
      <c r="K8949" t="inlineStr">
        <is>
          <t>METAL</t>
        </is>
      </c>
      <c r="L8949">
        <f>_xlfn.XLOOKUP(Tableau1[[#This Row],[TYPE DE PIECE]],Tableau4[MATIERE],Tableau4[SHORT TYPE],"",0,1)</f>
        <v/>
      </c>
      <c r="N8949">
        <f>IF(ISERR(FIND("DECOUPE",Tableau1[[#This Row],[DESIGNATION]])),"","NEED REF")</f>
        <v/>
      </c>
    </row>
    <row r="8950">
      <c r="B8950" t="n">
        <v>34405055</v>
      </c>
      <c r="C8950" s="2" t="n">
        <v>42485</v>
      </c>
      <c r="D8950" t="inlineStr">
        <is>
          <t>SPEC</t>
        </is>
      </c>
      <c r="E8950" t="inlineStr">
        <is>
          <t>PORTE IP42 STS 160-400A</t>
        </is>
      </c>
      <c r="F8950" t="inlineStr">
        <is>
          <t xml:space="preserve">STS UPSILON PW </t>
        </is>
      </c>
      <c r="J8950" t="inlineStr">
        <is>
          <t>ÇAKIR</t>
        </is>
      </c>
      <c r="K8950" t="inlineStr">
        <is>
          <t>METAL</t>
        </is>
      </c>
      <c r="L8950">
        <f>_xlfn.XLOOKUP(Tableau1[[#This Row],[TYPE DE PIECE]],Tableau4[MATIERE],Tableau4[SHORT TYPE],"",0,1)</f>
        <v/>
      </c>
      <c r="N8950">
        <f>IF(ISERR(FIND("DECOUPE",Tableau1[[#This Row],[DESIGNATION]])),"","NEED REF")</f>
        <v/>
      </c>
    </row>
    <row r="8951">
      <c r="B8951" t="n">
        <v>34405054</v>
      </c>
      <c r="C8951" s="2" t="n">
        <v>42474</v>
      </c>
      <c r="E8951" t="inlineStr">
        <is>
          <t>PLAGES RACC 800mm2</t>
        </is>
      </c>
      <c r="F8951" t="inlineStr">
        <is>
          <t>DATA4</t>
        </is>
      </c>
      <c r="J8951" t="inlineStr">
        <is>
          <t>MATRION</t>
        </is>
      </c>
      <c r="K8951" t="inlineStr">
        <is>
          <t>CUIVRE</t>
        </is>
      </c>
      <c r="L8951">
        <f>_xlfn.XLOOKUP(Tableau1[[#This Row],[TYPE DE PIECE]],Tableau4[MATIERE],Tableau4[SHORT TYPE],"",0,1)</f>
        <v/>
      </c>
      <c r="N8951">
        <f>IF(ISERR(FIND("DECOUPE",Tableau1[[#This Row],[DESIGNATION]])),"","NEED REF")</f>
        <v/>
      </c>
    </row>
    <row r="8952">
      <c r="B8952" t="n">
        <v>34405053</v>
      </c>
      <c r="C8952" s="2" t="n">
        <v>42472</v>
      </c>
      <c r="D8952" t="inlineStr">
        <is>
          <t>NOM</t>
        </is>
      </c>
      <c r="J8952" t="inlineStr">
        <is>
          <t>MATRION</t>
        </is>
      </c>
      <c r="L8952">
        <f>_xlfn.XLOOKUP(Tableau1[[#This Row],[TYPE DE PIECE]],Tableau4[MATIERE],Tableau4[SHORT TYPE],"",0,1)</f>
        <v/>
      </c>
      <c r="N8952">
        <f>IF(ISERR(FIND("DECOUPE",Tableau1[[#This Row],[DESIGNATION]])),"","NEED REF")</f>
        <v/>
      </c>
    </row>
    <row r="8953">
      <c r="B8953" t="n">
        <v>34405052</v>
      </c>
      <c r="C8953" s="2" t="n">
        <v>42472</v>
      </c>
      <c r="D8953" t="inlineStr">
        <is>
          <t>SPEC</t>
        </is>
      </c>
      <c r="E8953" t="inlineStr">
        <is>
          <t>PROTECTION SHIELD NETSHELTER 750 8U R1+BATT</t>
        </is>
      </c>
      <c r="F8953" t="inlineStr">
        <is>
          <t>ESCOTA</t>
        </is>
      </c>
      <c r="J8953" t="inlineStr">
        <is>
          <t>MATRION</t>
        </is>
      </c>
      <c r="K8953" t="inlineStr">
        <is>
          <t>METAL + PEINTURE</t>
        </is>
      </c>
      <c r="L8953">
        <f>_xlfn.XLOOKUP(Tableau1[[#This Row],[TYPE DE PIECE]],Tableau4[MATIERE],Tableau4[SHORT TYPE],"",0,1)</f>
        <v/>
      </c>
      <c r="N8953">
        <f>IF(ISERR(FIND("DECOUPE",Tableau1[[#This Row],[DESIGNATION]])),"","NEED REF")</f>
        <v/>
      </c>
    </row>
    <row r="8954">
      <c r="B8954" t="n">
        <v>34405051</v>
      </c>
      <c r="C8954" s="2" t="n">
        <v>42472</v>
      </c>
      <c r="D8954" t="inlineStr">
        <is>
          <t>SPEC</t>
        </is>
      </c>
      <c r="E8954" t="inlineStr">
        <is>
          <t>SUPPORT BORNIER PUISSANCE 2</t>
        </is>
      </c>
      <c r="F8954" t="inlineStr">
        <is>
          <t>ESCOTA</t>
        </is>
      </c>
      <c r="J8954" t="inlineStr">
        <is>
          <t>MATRION</t>
        </is>
      </c>
      <c r="K8954" t="inlineStr">
        <is>
          <t>METAL</t>
        </is>
      </c>
      <c r="L8954">
        <f>_xlfn.XLOOKUP(Tableau1[[#This Row],[TYPE DE PIECE]],Tableau4[MATIERE],Tableau4[SHORT TYPE],"",0,1)</f>
        <v/>
      </c>
      <c r="N8954">
        <f>IF(ISERR(FIND("DECOUPE",Tableau1[[#This Row],[DESIGNATION]])),"","NEED REF")</f>
        <v/>
      </c>
    </row>
    <row r="8955">
      <c r="B8955" t="n">
        <v>34405050</v>
      </c>
      <c r="C8955" s="2" t="n">
        <v>42472</v>
      </c>
      <c r="D8955" t="inlineStr">
        <is>
          <t>NOM</t>
        </is>
      </c>
      <c r="E8955" t="inlineStr">
        <is>
          <t>SE R1+BATT</t>
        </is>
      </c>
      <c r="F8955" t="inlineStr">
        <is>
          <t>ESCOTA</t>
        </is>
      </c>
      <c r="J8955" t="inlineStr">
        <is>
          <t>MATRION</t>
        </is>
      </c>
      <c r="K8955" t="inlineStr">
        <is>
          <t>NOM</t>
        </is>
      </c>
      <c r="L8955">
        <f>_xlfn.XLOOKUP(Tableau1[[#This Row],[TYPE DE PIECE]],Tableau4[MATIERE],Tableau4[SHORT TYPE],"",0,1)</f>
        <v/>
      </c>
      <c r="N8955">
        <f>IF(ISERR(FIND("DECOUPE",Tableau1[[#This Row],[DESIGNATION]])),"","NEED REF")</f>
        <v/>
      </c>
    </row>
    <row r="8956">
      <c r="B8956" t="n">
        <v>34405049</v>
      </c>
      <c r="C8956" s="2" t="n">
        <v>42472</v>
      </c>
      <c r="D8956" t="inlineStr">
        <is>
          <t>SPEC</t>
        </is>
      </c>
      <c r="E8956" t="inlineStr">
        <is>
          <t>PLATINE R1+BATT</t>
        </is>
      </c>
      <c r="F8956" t="inlineStr">
        <is>
          <t>ESCOTA</t>
        </is>
      </c>
      <c r="J8956" t="inlineStr">
        <is>
          <t>MATRION</t>
        </is>
      </c>
      <c r="K8956" t="inlineStr">
        <is>
          <t>METAL</t>
        </is>
      </c>
      <c r="L8956">
        <f>_xlfn.XLOOKUP(Tableau1[[#This Row],[TYPE DE PIECE]],Tableau4[MATIERE],Tableau4[SHORT TYPE],"",0,1)</f>
        <v/>
      </c>
      <c r="N8956">
        <f>IF(ISERR(FIND("DECOUPE",Tableau1[[#This Row],[DESIGNATION]])),"","NEED REF")</f>
        <v/>
      </c>
    </row>
    <row r="8957">
      <c r="B8957" t="n">
        <v>34405048</v>
      </c>
      <c r="C8957" s="2" t="n">
        <v>42472</v>
      </c>
      <c r="D8957" t="inlineStr">
        <is>
          <t>SPEC</t>
        </is>
      </c>
      <c r="E8957" t="inlineStr">
        <is>
          <t>SUPPORT BORNIER PUISSANCE</t>
        </is>
      </c>
      <c r="F8957" t="inlineStr">
        <is>
          <t>ESCOTA</t>
        </is>
      </c>
      <c r="J8957" t="inlineStr">
        <is>
          <t>MATRION</t>
        </is>
      </c>
      <c r="K8957" t="inlineStr">
        <is>
          <t>METAL</t>
        </is>
      </c>
      <c r="L8957">
        <f>_xlfn.XLOOKUP(Tableau1[[#This Row],[TYPE DE PIECE]],Tableau4[MATIERE],Tableau4[SHORT TYPE],"",0,1)</f>
        <v/>
      </c>
      <c r="N8957">
        <f>IF(ISERR(FIND("DECOUPE",Tableau1[[#This Row],[DESIGNATION]])),"","NEED REF")</f>
        <v/>
      </c>
    </row>
    <row r="8958">
      <c r="B8958" t="n">
        <v>34405047</v>
      </c>
      <c r="C8958" s="2" t="n">
        <v>42472</v>
      </c>
      <c r="D8958" t="inlineStr">
        <is>
          <t>SPEC</t>
        </is>
      </c>
      <c r="E8958" t="inlineStr">
        <is>
          <t>SUPPORT TFO AVANT/ARRIERE</t>
        </is>
      </c>
      <c r="F8958" t="inlineStr">
        <is>
          <t>ESCOTA</t>
        </is>
      </c>
      <c r="J8958" t="inlineStr">
        <is>
          <t>MATRION</t>
        </is>
      </c>
      <c r="K8958" t="inlineStr">
        <is>
          <t>METAL</t>
        </is>
      </c>
      <c r="L8958">
        <f>_xlfn.XLOOKUP(Tableau1[[#This Row],[TYPE DE PIECE]],Tableau4[MATIERE],Tableau4[SHORT TYPE],"",0,1)</f>
        <v/>
      </c>
      <c r="N8958">
        <f>IF(ISERR(FIND("DECOUPE",Tableau1[[#This Row],[DESIGNATION]])),"","NEED REF")</f>
        <v/>
      </c>
    </row>
    <row r="8959">
      <c r="B8959" t="n">
        <v>34405046</v>
      </c>
      <c r="C8959" s="2" t="n">
        <v>42472</v>
      </c>
      <c r="D8959" t="inlineStr">
        <is>
          <t>SPEC</t>
        </is>
      </c>
      <c r="E8959" t="inlineStr">
        <is>
          <t>RAIL FIXATION CABLE</t>
        </is>
      </c>
      <c r="F8959" t="inlineStr">
        <is>
          <t>ESCOTA</t>
        </is>
      </c>
      <c r="J8959" t="inlineStr">
        <is>
          <t>MATRION</t>
        </is>
      </c>
      <c r="K8959" t="inlineStr">
        <is>
          <t>METAL</t>
        </is>
      </c>
      <c r="L8959">
        <f>_xlfn.XLOOKUP(Tableau1[[#This Row],[TYPE DE PIECE]],Tableau4[MATIERE],Tableau4[SHORT TYPE],"",0,1)</f>
        <v/>
      </c>
      <c r="N8959">
        <f>IF(ISERR(FIND("DECOUPE",Tableau1[[#This Row],[DESIGNATION]])),"","NEED REF")</f>
        <v/>
      </c>
    </row>
    <row r="8960">
      <c r="B8960" t="n">
        <v>34405045</v>
      </c>
      <c r="C8960" s="2" t="n">
        <v>42472</v>
      </c>
      <c r="D8960" t="inlineStr">
        <is>
          <t>SPEC</t>
        </is>
      </c>
      <c r="E8960" t="inlineStr">
        <is>
          <t>MONTANT PERFORE NETSHELTER</t>
        </is>
      </c>
      <c r="F8960" t="inlineStr">
        <is>
          <t>ESCOTA</t>
        </is>
      </c>
      <c r="J8960" t="inlineStr">
        <is>
          <t>MATRION</t>
        </is>
      </c>
      <c r="K8960" t="inlineStr">
        <is>
          <t>METAL</t>
        </is>
      </c>
      <c r="L8960">
        <f>_xlfn.XLOOKUP(Tableau1[[#This Row],[TYPE DE PIECE]],Tableau4[MATIERE],Tableau4[SHORT TYPE],"",0,1)</f>
        <v/>
      </c>
      <c r="N8960">
        <f>IF(ISERR(FIND("DECOUPE",Tableau1[[#This Row],[DESIGNATION]])),"","NEED REF")</f>
        <v/>
      </c>
    </row>
    <row r="8961">
      <c r="B8961" t="n">
        <v>34405044</v>
      </c>
      <c r="C8961" s="2" t="n">
        <v>42472</v>
      </c>
      <c r="D8961" t="inlineStr">
        <is>
          <t>SPEC</t>
        </is>
      </c>
      <c r="E8961" t="inlineStr">
        <is>
          <t>PROTECTION SHIELD NETSHELTER 750 8U R2+BYPASS</t>
        </is>
      </c>
      <c r="F8961" t="inlineStr">
        <is>
          <t>ESCOTA</t>
        </is>
      </c>
      <c r="J8961" t="inlineStr">
        <is>
          <t>MATRION</t>
        </is>
      </c>
      <c r="K8961" t="inlineStr">
        <is>
          <t>METAL + PEINTURE</t>
        </is>
      </c>
      <c r="L8961">
        <f>_xlfn.XLOOKUP(Tableau1[[#This Row],[TYPE DE PIECE]],Tableau4[MATIERE],Tableau4[SHORT TYPE],"",0,1)</f>
        <v/>
      </c>
      <c r="N8961">
        <f>IF(ISERR(FIND("DECOUPE",Tableau1[[#This Row],[DESIGNATION]])),"","NEED REF")</f>
        <v/>
      </c>
    </row>
    <row r="8962">
      <c r="B8962" t="n">
        <v>34405043</v>
      </c>
      <c r="C8962" s="2" t="n">
        <v>42472</v>
      </c>
      <c r="D8962" t="inlineStr">
        <is>
          <t>SPEC</t>
        </is>
      </c>
      <c r="E8962" t="inlineStr">
        <is>
          <t>PROTECTION SHIELD NETSHELTER 750 6U APPAREILLAGE</t>
        </is>
      </c>
      <c r="F8962" t="inlineStr">
        <is>
          <t>ESCOTA</t>
        </is>
      </c>
      <c r="J8962" t="inlineStr">
        <is>
          <t>MATRION</t>
        </is>
      </c>
      <c r="K8962" t="inlineStr">
        <is>
          <t>METAL + PEINTURE</t>
        </is>
      </c>
      <c r="L8962">
        <f>_xlfn.XLOOKUP(Tableau1[[#This Row],[TYPE DE PIECE]],Tableau4[MATIERE],Tableau4[SHORT TYPE],"",0,1)</f>
        <v/>
      </c>
      <c r="N8962">
        <f>IF(ISERR(FIND("DECOUPE",Tableau1[[#This Row],[DESIGNATION]])),"","NEED REF")</f>
        <v/>
      </c>
    </row>
    <row r="8963">
      <c r="B8963" t="n">
        <v>34405042</v>
      </c>
      <c r="C8963" s="2" t="n">
        <v>42471</v>
      </c>
      <c r="D8963" t="inlineStr">
        <is>
          <t>NOM</t>
        </is>
      </c>
      <c r="E8963" t="inlineStr">
        <is>
          <t>SE PLATINE APPAREILLAGE</t>
        </is>
      </c>
      <c r="F8963" t="inlineStr">
        <is>
          <t>ESCOTA</t>
        </is>
      </c>
      <c r="J8963" t="inlineStr">
        <is>
          <t>MATRION</t>
        </is>
      </c>
      <c r="L8963">
        <f>_xlfn.XLOOKUP(Tableau1[[#This Row],[TYPE DE PIECE]],Tableau4[MATIERE],Tableau4[SHORT TYPE],"",0,1)</f>
        <v/>
      </c>
      <c r="N8963">
        <f>IF(ISERR(FIND("DECOUPE",Tableau1[[#This Row],[DESIGNATION]])),"","NEED REF")</f>
        <v/>
      </c>
    </row>
    <row r="8964">
      <c r="B8964" t="n">
        <v>34405041</v>
      </c>
      <c r="C8964" s="2" t="n">
        <v>42471</v>
      </c>
      <c r="D8964" t="inlineStr">
        <is>
          <t>SPEC</t>
        </is>
      </c>
      <c r="E8964" t="inlineStr">
        <is>
          <t>PLATINE APPAREILLAGE</t>
        </is>
      </c>
      <c r="F8964" t="inlineStr">
        <is>
          <t>ESCOTA</t>
        </is>
      </c>
      <c r="J8964" t="inlineStr">
        <is>
          <t>MATRION</t>
        </is>
      </c>
      <c r="K8964" t="inlineStr">
        <is>
          <t>METAL</t>
        </is>
      </c>
      <c r="L8964">
        <f>_xlfn.XLOOKUP(Tableau1[[#This Row],[TYPE DE PIECE]],Tableau4[MATIERE],Tableau4[SHORT TYPE],"",0,1)</f>
        <v/>
      </c>
      <c r="N8964">
        <f>IF(ISERR(FIND("DECOUPE",Tableau1[[#This Row],[DESIGNATION]])),"","NEED REF")</f>
        <v/>
      </c>
    </row>
    <row r="8965">
      <c r="B8965" t="n">
        <v>34405040</v>
      </c>
      <c r="C8965" s="2" t="n">
        <v>42471</v>
      </c>
      <c r="D8965" t="inlineStr">
        <is>
          <t>SPEC</t>
        </is>
      </c>
      <c r="E8965" t="inlineStr">
        <is>
          <t>PLATINE R2+BYPASS</t>
        </is>
      </c>
      <c r="F8965" t="inlineStr">
        <is>
          <t>ESCOTA</t>
        </is>
      </c>
      <c r="J8965" t="inlineStr">
        <is>
          <t>MATRION</t>
        </is>
      </c>
      <c r="K8965" t="inlineStr">
        <is>
          <t>METAL</t>
        </is>
      </c>
      <c r="L8965">
        <f>_xlfn.XLOOKUP(Tableau1[[#This Row],[TYPE DE PIECE]],Tableau4[MATIERE],Tableau4[SHORT TYPE],"",0,1)</f>
        <v/>
      </c>
      <c r="N8965">
        <f>IF(ISERR(FIND("DECOUPE",Tableau1[[#This Row],[DESIGNATION]])),"","NEED REF")</f>
        <v/>
      </c>
    </row>
    <row r="8966">
      <c r="B8966" t="n">
        <v>34405039</v>
      </c>
      <c r="C8966" s="2" t="n">
        <v>42471</v>
      </c>
      <c r="D8966" t="inlineStr">
        <is>
          <t>SPEC</t>
        </is>
      </c>
      <c r="E8966" t="inlineStr">
        <is>
          <t>DECOUPE PANNEAU LATERAL NS POUR ECLISSAGE</t>
        </is>
      </c>
      <c r="F8966" t="inlineStr">
        <is>
          <t>DATA4</t>
        </is>
      </c>
      <c r="J8966" t="inlineStr">
        <is>
          <t>MATRION</t>
        </is>
      </c>
      <c r="L8966">
        <f>_xlfn.XLOOKUP(Tableau1[[#This Row],[TYPE DE PIECE]],Tableau4[MATIERE],Tableau4[SHORT TYPE],"",0,1)</f>
        <v/>
      </c>
      <c r="N8966">
        <f>IF(ISERR(FIND("DECOUPE",Tableau1[[#This Row],[DESIGNATION]])),"","NEED REF")</f>
        <v/>
      </c>
    </row>
    <row r="8967">
      <c r="B8967" t="n">
        <v>34405038</v>
      </c>
      <c r="C8967" s="2" t="n">
        <v>42467</v>
      </c>
      <c r="D8967" t="inlineStr">
        <is>
          <t>SPEC</t>
        </is>
      </c>
      <c r="E8967" t="inlineStr">
        <is>
          <t>CX AVAL3 OUT- OR + NEW DESIGN</t>
        </is>
      </c>
      <c r="F8967" t="inlineStr">
        <is>
          <t>SOLAR DC BOX</t>
        </is>
      </c>
      <c r="J8967" t="inlineStr">
        <is>
          <t>MASCELLINO</t>
        </is>
      </c>
      <c r="K8967" t="inlineStr">
        <is>
          <t>CUIVRE</t>
        </is>
      </c>
      <c r="L8967">
        <f>_xlfn.XLOOKUP(Tableau1[[#This Row],[TYPE DE PIECE]],Tableau4[MATIERE],Tableau4[SHORT TYPE],"",0,1)</f>
        <v/>
      </c>
      <c r="N8967">
        <f>IF(ISERR(FIND("DECOUPE",Tableau1[[#This Row],[DESIGNATION]])),"","NEED REF")</f>
        <v/>
      </c>
    </row>
    <row r="8968">
      <c r="B8968" t="n">
        <v>34405037</v>
      </c>
      <c r="C8968" s="2" t="n">
        <v>42467</v>
      </c>
      <c r="D8968" t="inlineStr">
        <is>
          <t>SPEC</t>
        </is>
      </c>
      <c r="E8968" t="inlineStr">
        <is>
          <t>PLAGE DE RACCORDEMENT LINE- NEW DESIGN</t>
        </is>
      </c>
      <c r="F8968" t="inlineStr">
        <is>
          <t>SOLAR DC BOX</t>
        </is>
      </c>
      <c r="J8968" t="inlineStr">
        <is>
          <t>MASCELLINO</t>
        </is>
      </c>
      <c r="K8968" t="inlineStr">
        <is>
          <t>CUIVRE</t>
        </is>
      </c>
      <c r="L8968">
        <f>_xlfn.XLOOKUP(Tableau1[[#This Row],[TYPE DE PIECE]],Tableau4[MATIERE],Tableau4[SHORT TYPE],"",0,1)</f>
        <v/>
      </c>
      <c r="N8968">
        <f>IF(ISERR(FIND("DECOUPE",Tableau1[[#This Row],[DESIGNATION]])),"","NEED REF")</f>
        <v/>
      </c>
    </row>
    <row r="8969">
      <c r="B8969" t="n">
        <v>34405036</v>
      </c>
      <c r="C8969" s="2" t="n">
        <v>42467</v>
      </c>
      <c r="D8969" t="inlineStr">
        <is>
          <t>SPEC</t>
        </is>
      </c>
      <c r="E8969" t="inlineStr">
        <is>
          <t>PLAGE DE RACCORDEMENT LINE+ NEW DESIGN</t>
        </is>
      </c>
      <c r="F8969" t="inlineStr">
        <is>
          <t>SOLAR DC BOX</t>
        </is>
      </c>
      <c r="J8969" t="inlineStr">
        <is>
          <t>MASCELLINO</t>
        </is>
      </c>
      <c r="K8969" t="inlineStr">
        <is>
          <t>CUIVRE</t>
        </is>
      </c>
      <c r="L8969">
        <f>_xlfn.XLOOKUP(Tableau1[[#This Row],[TYPE DE PIECE]],Tableau4[MATIERE],Tableau4[SHORT TYPE],"",0,1)</f>
        <v/>
      </c>
      <c r="N8969">
        <f>IF(ISERR(FIND("DECOUPE",Tableau1[[#This Row],[DESIGNATION]])),"","NEED REF")</f>
        <v/>
      </c>
    </row>
    <row r="8970">
      <c r="B8970" t="n">
        <v>34405035</v>
      </c>
      <c r="C8970" s="2" t="n">
        <v>42467</v>
      </c>
      <c r="D8970" t="inlineStr">
        <is>
          <t>SPEC</t>
        </is>
      </c>
      <c r="E8970" t="inlineStr">
        <is>
          <t>CX AMONT2 LINE- NEW DESIGN</t>
        </is>
      </c>
      <c r="F8970" t="inlineStr">
        <is>
          <t>SOLAR DC BOX</t>
        </is>
      </c>
      <c r="J8970" t="inlineStr">
        <is>
          <t>MASCELLINO</t>
        </is>
      </c>
      <c r="K8970" t="inlineStr">
        <is>
          <t>CUIVRE</t>
        </is>
      </c>
      <c r="L8970">
        <f>_xlfn.XLOOKUP(Tableau1[[#This Row],[TYPE DE PIECE]],Tableau4[MATIERE],Tableau4[SHORT TYPE],"",0,1)</f>
        <v/>
      </c>
      <c r="N8970">
        <f>IF(ISERR(FIND("DECOUPE",Tableau1[[#This Row],[DESIGNATION]])),"","NEED REF")</f>
        <v/>
      </c>
    </row>
    <row r="8971">
      <c r="B8971" t="n">
        <v>34405034</v>
      </c>
      <c r="C8971" s="2" t="n">
        <v>42467</v>
      </c>
      <c r="D8971" t="inlineStr">
        <is>
          <t>SPEC</t>
        </is>
      </c>
      <c r="E8971" t="inlineStr">
        <is>
          <t>CX AMONT2 LINE+ NEW DESIGN</t>
        </is>
      </c>
      <c r="F8971" t="inlineStr">
        <is>
          <t>SOLAR DC BOX</t>
        </is>
      </c>
      <c r="J8971" t="inlineStr">
        <is>
          <t>MASCELLINO</t>
        </is>
      </c>
      <c r="K8971" t="inlineStr">
        <is>
          <t>CUIVRE</t>
        </is>
      </c>
      <c r="L8971">
        <f>_xlfn.XLOOKUP(Tableau1[[#This Row],[TYPE DE PIECE]],Tableau4[MATIERE],Tableau4[SHORT TYPE],"",0,1)</f>
        <v/>
      </c>
      <c r="N8971">
        <f>IF(ISERR(FIND("DECOUPE",Tableau1[[#This Row],[DESIGNATION]])),"","NEED REF")</f>
        <v/>
      </c>
    </row>
    <row r="8972">
      <c r="B8972" t="n">
        <v>34405033</v>
      </c>
      <c r="C8972" s="2" t="n">
        <v>42467</v>
      </c>
      <c r="D8972" t="inlineStr">
        <is>
          <t>NOM</t>
        </is>
      </c>
      <c r="E8972" t="inlineStr">
        <is>
          <t>SE BYPASS</t>
        </is>
      </c>
      <c r="F8972" t="inlineStr">
        <is>
          <t>ESCOTA</t>
        </is>
      </c>
      <c r="J8972" t="inlineStr">
        <is>
          <t>MATRION</t>
        </is>
      </c>
      <c r="K8972" t="inlineStr">
        <is>
          <t>NOM</t>
        </is>
      </c>
      <c r="L8972">
        <f>_xlfn.XLOOKUP(Tableau1[[#This Row],[TYPE DE PIECE]],Tableau4[MATIERE],Tableau4[SHORT TYPE],"",0,1)</f>
        <v/>
      </c>
      <c r="N8972">
        <f>IF(ISERR(FIND("DECOUPE",Tableau1[[#This Row],[DESIGNATION]])),"","NEED REF")</f>
        <v/>
      </c>
    </row>
    <row r="8973">
      <c r="B8973" t="n">
        <v>34405032</v>
      </c>
      <c r="C8973" s="2" t="n">
        <v>42467</v>
      </c>
      <c r="D8973" t="inlineStr">
        <is>
          <t>SPEC</t>
        </is>
      </c>
      <c r="E8973" t="inlineStr">
        <is>
          <t>CX BYPASS AVAL</t>
        </is>
      </c>
      <c r="F8973" t="inlineStr">
        <is>
          <t>ESCOTA</t>
        </is>
      </c>
      <c r="J8973" t="inlineStr">
        <is>
          <t>MATRION</t>
        </is>
      </c>
      <c r="K8973" t="inlineStr">
        <is>
          <t>CUIVRE</t>
        </is>
      </c>
      <c r="L8973">
        <f>_xlfn.XLOOKUP(Tableau1[[#This Row],[TYPE DE PIECE]],Tableau4[MATIERE],Tableau4[SHORT TYPE],"",0,1)</f>
        <v/>
      </c>
      <c r="N8973">
        <f>IF(ISERR(FIND("DECOUPE",Tableau1[[#This Row],[DESIGNATION]])),"","NEED REF")</f>
        <v/>
      </c>
    </row>
    <row r="8974">
      <c r="B8974" t="n">
        <v>34405031</v>
      </c>
      <c r="C8974" s="2" t="n">
        <v>42465</v>
      </c>
      <c r="D8974" t="inlineStr">
        <is>
          <t>SPEC</t>
        </is>
      </c>
      <c r="E8974" t="inlineStr">
        <is>
          <t>PROTECTION IP APPAREILLAGE SANS IM400</t>
        </is>
      </c>
      <c r="F8974" t="inlineStr">
        <is>
          <t>SOLAR</t>
        </is>
      </c>
      <c r="J8974" t="inlineStr">
        <is>
          <t>MASCELLINO</t>
        </is>
      </c>
      <c r="K8974" t="inlineStr">
        <is>
          <t>TOLERIE PEINTE</t>
        </is>
      </c>
      <c r="L8974">
        <f>_xlfn.XLOOKUP(Tableau1[[#This Row],[TYPE DE PIECE]],Tableau4[MATIERE],Tableau4[SHORT TYPE],"",0,1)</f>
        <v/>
      </c>
      <c r="N8974">
        <f>IF(ISERR(FIND("DECOUPE",Tableau1[[#This Row],[DESIGNATION]])),"","NEED REF")</f>
        <v/>
      </c>
    </row>
    <row r="8975">
      <c r="B8975" t="n">
        <v>34405030</v>
      </c>
      <c r="C8975" s="2" t="n">
        <v>42460</v>
      </c>
      <c r="D8975" t="inlineStr">
        <is>
          <t>SPEC</t>
        </is>
      </c>
      <c r="F8975" t="inlineStr">
        <is>
          <t>STS1200A</t>
        </is>
      </c>
      <c r="J8975" t="inlineStr">
        <is>
          <t>MATRION</t>
        </is>
      </c>
      <c r="K8975" t="inlineStr">
        <is>
          <t>METAL</t>
        </is>
      </c>
      <c r="L8975">
        <f>_xlfn.XLOOKUP(Tableau1[[#This Row],[TYPE DE PIECE]],Tableau4[MATIERE],Tableau4[SHORT TYPE],"",0,1)</f>
        <v/>
      </c>
      <c r="N8975">
        <f>IF(ISERR(FIND("DECOUPE",Tableau1[[#This Row],[DESIGNATION]])),"","NEED REF")</f>
        <v/>
      </c>
    </row>
    <row r="8976">
      <c r="B8976" t="n">
        <v>34405029</v>
      </c>
      <c r="C8976" s="2" t="n">
        <v>42464</v>
      </c>
      <c r="D8976" t="inlineStr">
        <is>
          <t>SPEC</t>
        </is>
      </c>
      <c r="E8976" t="inlineStr">
        <is>
          <t>ETQ BYPASS+UPS</t>
        </is>
      </c>
      <c r="F8976" t="inlineStr">
        <is>
          <t>STX E34&amp;F34</t>
        </is>
      </c>
      <c r="J8976" t="inlineStr">
        <is>
          <t>ROBERT</t>
        </is>
      </c>
      <c r="L8976">
        <f>_xlfn.XLOOKUP(Tableau1[[#This Row],[TYPE DE PIECE]],Tableau4[MATIERE],Tableau4[SHORT TYPE],"",0,1)</f>
        <v/>
      </c>
      <c r="N8976">
        <f>IF(ISERR(FIND("DECOUPE",Tableau1[[#This Row],[DESIGNATION]])),"","NEED REF")</f>
        <v/>
      </c>
    </row>
    <row r="8977">
      <c r="B8977" t="n">
        <v>34405028</v>
      </c>
      <c r="C8977" s="2" t="n">
        <v>42460</v>
      </c>
      <c r="D8977" t="inlineStr">
        <is>
          <t>SPEC</t>
        </is>
      </c>
      <c r="F8977" t="inlineStr">
        <is>
          <t>STS1200A</t>
        </is>
      </c>
      <c r="J8977" t="inlineStr">
        <is>
          <t>MATRION</t>
        </is>
      </c>
      <c r="K8977" t="inlineStr">
        <is>
          <t>METAL</t>
        </is>
      </c>
      <c r="L8977">
        <f>_xlfn.XLOOKUP(Tableau1[[#This Row],[TYPE DE PIECE]],Tableau4[MATIERE],Tableau4[SHORT TYPE],"",0,1)</f>
        <v/>
      </c>
      <c r="N8977">
        <f>IF(ISERR(FIND("DECOUPE",Tableau1[[#This Row],[DESIGNATION]])),"","NEED REF")</f>
        <v/>
      </c>
    </row>
    <row r="8978">
      <c r="B8978" t="n">
        <v>34405027</v>
      </c>
      <c r="C8978" s="2" t="n">
        <v>42460</v>
      </c>
      <c r="D8978" t="inlineStr">
        <is>
          <t>SPEC</t>
        </is>
      </c>
      <c r="F8978" t="inlineStr">
        <is>
          <t>STS1200A</t>
        </is>
      </c>
      <c r="J8978" t="inlineStr">
        <is>
          <t>MATRION</t>
        </is>
      </c>
      <c r="K8978" t="inlineStr">
        <is>
          <t>METAL</t>
        </is>
      </c>
      <c r="L8978">
        <f>_xlfn.XLOOKUP(Tableau1[[#This Row],[TYPE DE PIECE]],Tableau4[MATIERE],Tableau4[SHORT TYPE],"",0,1)</f>
        <v/>
      </c>
      <c r="N8978">
        <f>IF(ISERR(FIND("DECOUPE",Tableau1[[#This Row],[DESIGNATION]])),"","NEED REF")</f>
        <v/>
      </c>
    </row>
    <row r="8979">
      <c r="B8979" t="n">
        <v>34405026</v>
      </c>
      <c r="C8979" s="2" t="n">
        <v>42460</v>
      </c>
      <c r="D8979" t="inlineStr">
        <is>
          <t>SPEC</t>
        </is>
      </c>
      <c r="F8979" t="inlineStr">
        <is>
          <t>STS1200A</t>
        </is>
      </c>
      <c r="J8979" t="inlineStr">
        <is>
          <t>MATRION</t>
        </is>
      </c>
      <c r="K8979" t="inlineStr">
        <is>
          <t>METAL</t>
        </is>
      </c>
      <c r="L8979">
        <f>_xlfn.XLOOKUP(Tableau1[[#This Row],[TYPE DE PIECE]],Tableau4[MATIERE],Tableau4[SHORT TYPE],"",0,1)</f>
        <v/>
      </c>
      <c r="N8979">
        <f>IF(ISERR(FIND("DECOUPE",Tableau1[[#This Row],[DESIGNATION]])),"","NEED REF")</f>
        <v/>
      </c>
    </row>
    <row r="8980">
      <c r="B8980" t="n">
        <v>34405025</v>
      </c>
      <c r="C8980" s="2" t="n">
        <v>42460</v>
      </c>
      <c r="D8980" t="inlineStr">
        <is>
          <t>SPEC</t>
        </is>
      </c>
      <c r="F8980" t="inlineStr">
        <is>
          <t>STS1200A</t>
        </is>
      </c>
      <c r="J8980" t="inlineStr">
        <is>
          <t>MATRION</t>
        </is>
      </c>
      <c r="K8980" t="inlineStr">
        <is>
          <t>METAL</t>
        </is>
      </c>
      <c r="L8980">
        <f>_xlfn.XLOOKUP(Tableau1[[#This Row],[TYPE DE PIECE]],Tableau4[MATIERE],Tableau4[SHORT TYPE],"",0,1)</f>
        <v/>
      </c>
      <c r="N8980">
        <f>IF(ISERR(FIND("DECOUPE",Tableau1[[#This Row],[DESIGNATION]])),"","NEED REF")</f>
        <v/>
      </c>
    </row>
    <row r="8981">
      <c r="B8981" t="n">
        <v>34405024</v>
      </c>
      <c r="C8981" s="2" t="n">
        <v>42460</v>
      </c>
      <c r="D8981" t="inlineStr">
        <is>
          <t>SPEC</t>
        </is>
      </c>
      <c r="F8981" t="inlineStr">
        <is>
          <t>STS1200A</t>
        </is>
      </c>
      <c r="J8981" t="inlineStr">
        <is>
          <t>MATRION</t>
        </is>
      </c>
      <c r="K8981" t="inlineStr">
        <is>
          <t>METAL</t>
        </is>
      </c>
      <c r="L8981">
        <f>_xlfn.XLOOKUP(Tableau1[[#This Row],[TYPE DE PIECE]],Tableau4[MATIERE],Tableau4[SHORT TYPE],"",0,1)</f>
        <v/>
      </c>
      <c r="N8981">
        <f>IF(ISERR(FIND("DECOUPE",Tableau1[[#This Row],[DESIGNATION]])),"","NEED REF")</f>
        <v/>
      </c>
    </row>
    <row r="8982">
      <c r="B8982" t="n">
        <v>34405023</v>
      </c>
      <c r="C8982" s="2" t="n">
        <v>42460</v>
      </c>
      <c r="D8982" t="inlineStr">
        <is>
          <t>SPEC</t>
        </is>
      </c>
      <c r="F8982" t="inlineStr">
        <is>
          <t>STS1200A</t>
        </is>
      </c>
      <c r="J8982" t="inlineStr">
        <is>
          <t>MATRION</t>
        </is>
      </c>
      <c r="K8982" t="inlineStr">
        <is>
          <t>METAL</t>
        </is>
      </c>
      <c r="L8982">
        <f>_xlfn.XLOOKUP(Tableau1[[#This Row],[TYPE DE PIECE]],Tableau4[MATIERE],Tableau4[SHORT TYPE],"",0,1)</f>
        <v/>
      </c>
      <c r="N8982">
        <f>IF(ISERR(FIND("DECOUPE",Tableau1[[#This Row],[DESIGNATION]])),"","NEED REF")</f>
        <v/>
      </c>
    </row>
    <row r="8983">
      <c r="B8983" t="n">
        <v>34405022</v>
      </c>
      <c r="C8983" s="2" t="n">
        <v>42460</v>
      </c>
      <c r="D8983" t="inlineStr">
        <is>
          <t>SPEC</t>
        </is>
      </c>
      <c r="F8983" t="inlineStr">
        <is>
          <t>STS1200A</t>
        </is>
      </c>
      <c r="J8983" t="inlineStr">
        <is>
          <t>MATRION</t>
        </is>
      </c>
      <c r="K8983" t="inlineStr">
        <is>
          <t>METAL</t>
        </is>
      </c>
      <c r="L8983">
        <f>_xlfn.XLOOKUP(Tableau1[[#This Row],[TYPE DE PIECE]],Tableau4[MATIERE],Tableau4[SHORT TYPE],"",0,1)</f>
        <v/>
      </c>
      <c r="N8983">
        <f>IF(ISERR(FIND("DECOUPE",Tableau1[[#This Row],[DESIGNATION]])),"","NEED REF")</f>
        <v/>
      </c>
    </row>
    <row r="8984">
      <c r="B8984" t="n">
        <v>34405021</v>
      </c>
      <c r="C8984" s="2" t="n">
        <v>42460</v>
      </c>
      <c r="D8984" t="inlineStr">
        <is>
          <t>SPEC</t>
        </is>
      </c>
      <c r="E8984" t="inlineStr">
        <is>
          <t>EQUIPED 1600 PROFILE SUB AS</t>
        </is>
      </c>
      <c r="F8984" t="inlineStr">
        <is>
          <t>STS1200A</t>
        </is>
      </c>
      <c r="J8984" t="inlineStr">
        <is>
          <t>MATRION</t>
        </is>
      </c>
      <c r="K8984" t="inlineStr">
        <is>
          <t>METAL</t>
        </is>
      </c>
      <c r="L8984">
        <f>_xlfn.XLOOKUP(Tableau1[[#This Row],[TYPE DE PIECE]],Tableau4[MATIERE],Tableau4[SHORT TYPE],"",0,1)</f>
        <v/>
      </c>
      <c r="N8984">
        <f>IF(ISERR(FIND("DECOUPE",Tableau1[[#This Row],[DESIGNATION]])),"","NEED REF")</f>
        <v/>
      </c>
    </row>
    <row r="8985">
      <c r="B8985" t="n">
        <v>34405020</v>
      </c>
      <c r="C8985" s="2" t="n">
        <v>42460</v>
      </c>
      <c r="D8985" t="inlineStr">
        <is>
          <t>SPEC</t>
        </is>
      </c>
      <c r="E8985" t="inlineStr">
        <is>
          <t>SKID STS 1200A</t>
        </is>
      </c>
      <c r="F8985" t="inlineStr">
        <is>
          <t>STS1200A</t>
        </is>
      </c>
      <c r="J8985" t="inlineStr">
        <is>
          <t>MATRION</t>
        </is>
      </c>
      <c r="K8985" t="inlineStr">
        <is>
          <t>METAL</t>
        </is>
      </c>
      <c r="L8985">
        <f>_xlfn.XLOOKUP(Tableau1[[#This Row],[TYPE DE PIECE]],Tableau4[MATIERE],Tableau4[SHORT TYPE],"",0,1)</f>
        <v/>
      </c>
      <c r="N8985">
        <f>IF(ISERR(FIND("DECOUPE",Tableau1[[#This Row],[DESIGNATION]])),"","NEED REF")</f>
        <v/>
      </c>
    </row>
    <row r="8986">
      <c r="B8986" t="n">
        <v>34405019</v>
      </c>
      <c r="C8986" s="2" t="n">
        <v>42447</v>
      </c>
      <c r="D8986" t="inlineStr">
        <is>
          <t>SPEC</t>
        </is>
      </c>
      <c r="E8986" t="inlineStr">
        <is>
          <t>PLATINE DE FOND</t>
        </is>
      </c>
      <c r="J8986" t="inlineStr">
        <is>
          <t>MATRION</t>
        </is>
      </c>
      <c r="K8986" t="inlineStr">
        <is>
          <t>METAL</t>
        </is>
      </c>
      <c r="L8986">
        <f>_xlfn.XLOOKUP(Tableau1[[#This Row],[TYPE DE PIECE]],Tableau4[MATIERE],Tableau4[SHORT TYPE],"",0,1)</f>
        <v/>
      </c>
      <c r="N8986">
        <f>IF(ISERR(FIND("DECOUPE",Tableau1[[#This Row],[DESIGNATION]])),"","NEED REF")</f>
        <v/>
      </c>
    </row>
    <row r="8987">
      <c r="B8987" t="n">
        <v>34405018</v>
      </c>
      <c r="C8987" s="2" t="n">
        <v>42447</v>
      </c>
      <c r="D8987" t="inlineStr">
        <is>
          <t>SPEC</t>
        </is>
      </c>
      <c r="E8987" t="inlineStr">
        <is>
          <t>BRIDE1 POUR CX EPOXY</t>
        </is>
      </c>
      <c r="J8987" t="inlineStr">
        <is>
          <t>MATRION</t>
        </is>
      </c>
      <c r="K8987" t="inlineStr">
        <is>
          <t>METAL</t>
        </is>
      </c>
      <c r="L8987">
        <f>_xlfn.XLOOKUP(Tableau1[[#This Row],[TYPE DE PIECE]],Tableau4[MATIERE],Tableau4[SHORT TYPE],"",0,1)</f>
        <v/>
      </c>
      <c r="N8987">
        <f>IF(ISERR(FIND("DECOUPE",Tableau1[[#This Row],[DESIGNATION]])),"","NEED REF")</f>
        <v/>
      </c>
    </row>
    <row r="8988">
      <c r="B8988" t="n">
        <v>34405017</v>
      </c>
      <c r="C8988" s="2" t="n">
        <v>42447</v>
      </c>
      <c r="D8988" t="inlineStr">
        <is>
          <t>SPEC</t>
        </is>
      </c>
      <c r="E8988" t="inlineStr">
        <is>
          <t>BRIDE2 POUR CX EPOXY</t>
        </is>
      </c>
      <c r="J8988" t="inlineStr">
        <is>
          <t>MATRION</t>
        </is>
      </c>
      <c r="K8988" t="inlineStr">
        <is>
          <t>METAL</t>
        </is>
      </c>
      <c r="L8988">
        <f>_xlfn.XLOOKUP(Tableau1[[#This Row],[TYPE DE PIECE]],Tableau4[MATIERE],Tableau4[SHORT TYPE],"",0,1)</f>
        <v/>
      </c>
      <c r="N8988">
        <f>IF(ISERR(FIND("DECOUPE",Tableau1[[#This Row],[DESIGNATION]])),"","NEED REF")</f>
        <v/>
      </c>
    </row>
    <row r="8989">
      <c r="B8989" t="n">
        <v>34405016</v>
      </c>
      <c r="C8989" s="2" t="n">
        <v>42447</v>
      </c>
      <c r="D8989" t="inlineStr">
        <is>
          <t>SPEC</t>
        </is>
      </c>
      <c r="E8989" t="inlineStr">
        <is>
          <t>CX JONCTION 3</t>
        </is>
      </c>
      <c r="J8989" t="inlineStr">
        <is>
          <t>MATRION</t>
        </is>
      </c>
      <c r="K8989" t="inlineStr">
        <is>
          <t>CUIVRE</t>
        </is>
      </c>
      <c r="L8989">
        <f>_xlfn.XLOOKUP(Tableau1[[#This Row],[TYPE DE PIECE]],Tableau4[MATIERE],Tableau4[SHORT TYPE],"",0,1)</f>
        <v/>
      </c>
      <c r="N8989">
        <f>IF(ISERR(FIND("DECOUPE",Tableau1[[#This Row],[DESIGNATION]])),"","NEED REF")</f>
        <v/>
      </c>
    </row>
    <row r="8990">
      <c r="B8990" t="n">
        <v>34405015</v>
      </c>
      <c r="C8990" s="2" t="n">
        <v>42447</v>
      </c>
      <c r="D8990" t="inlineStr">
        <is>
          <t>SPEC</t>
        </is>
      </c>
      <c r="E8990" t="inlineStr">
        <is>
          <t>CX JONCTION 2</t>
        </is>
      </c>
      <c r="J8990" t="inlineStr">
        <is>
          <t>MATRION</t>
        </is>
      </c>
      <c r="K8990" t="inlineStr">
        <is>
          <t>CUIVRE</t>
        </is>
      </c>
      <c r="L8990">
        <f>_xlfn.XLOOKUP(Tableau1[[#This Row],[TYPE DE PIECE]],Tableau4[MATIERE],Tableau4[SHORT TYPE],"",0,1)</f>
        <v/>
      </c>
      <c r="N8990">
        <f>IF(ISERR(FIND("DECOUPE",Tableau1[[#This Row],[DESIGNATION]])),"","NEED REF")</f>
        <v/>
      </c>
    </row>
    <row r="8991">
      <c r="B8991" t="n">
        <v>34405014</v>
      </c>
      <c r="C8991" s="2" t="n">
        <v>42447</v>
      </c>
      <c r="D8991" t="inlineStr">
        <is>
          <t>SPEC</t>
        </is>
      </c>
      <c r="E8991" t="inlineStr">
        <is>
          <t>CX JONCTION 1</t>
        </is>
      </c>
      <c r="J8991" t="inlineStr">
        <is>
          <t>MATRION</t>
        </is>
      </c>
      <c r="K8991" t="inlineStr">
        <is>
          <t>CUIVRE</t>
        </is>
      </c>
      <c r="L8991">
        <f>_xlfn.XLOOKUP(Tableau1[[#This Row],[TYPE DE PIECE]],Tableau4[MATIERE],Tableau4[SHORT TYPE],"",0,1)</f>
        <v/>
      </c>
      <c r="N8991">
        <f>IF(ISERR(FIND("DECOUPE",Tableau1[[#This Row],[DESIGNATION]])),"","NEED REF")</f>
        <v/>
      </c>
    </row>
    <row r="8992">
      <c r="B8992" t="n">
        <v>34405013</v>
      </c>
      <c r="C8992" s="2" t="n"/>
      <c r="L8992">
        <f>_xlfn.XLOOKUP(Tableau1[[#This Row],[TYPE DE PIECE]],Tableau4[MATIERE],Tableau4[SHORT TYPE],"",0,1)</f>
        <v/>
      </c>
      <c r="N8992">
        <f>IF(ISERR(FIND("DECOUPE",Tableau1[[#This Row],[DESIGNATION]])),"","NEED REF")</f>
        <v/>
      </c>
    </row>
    <row r="8993">
      <c r="B8993" t="n">
        <v>34405012</v>
      </c>
      <c r="C8993" s="2" t="n"/>
      <c r="L8993">
        <f>_xlfn.XLOOKUP(Tableau1[[#This Row],[TYPE DE PIECE]],Tableau4[MATIERE],Tableau4[SHORT TYPE],"",0,1)</f>
        <v/>
      </c>
      <c r="N8993">
        <f>IF(ISERR(FIND("DECOUPE",Tableau1[[#This Row],[DESIGNATION]])),"","NEED REF")</f>
        <v/>
      </c>
    </row>
    <row r="8994">
      <c r="B8994" t="n">
        <v>34405011</v>
      </c>
      <c r="C8994" s="2" t="n"/>
      <c r="L8994">
        <f>_xlfn.XLOOKUP(Tableau1[[#This Row],[TYPE DE PIECE]],Tableau4[MATIERE],Tableau4[SHORT TYPE],"",0,1)</f>
        <v/>
      </c>
      <c r="N8994">
        <f>IF(ISERR(FIND("DECOUPE",Tableau1[[#This Row],[DESIGNATION]])),"","NEED REF")</f>
        <v/>
      </c>
    </row>
    <row r="8995">
      <c r="B8995" t="n">
        <v>34405010</v>
      </c>
      <c r="C8995" s="2" t="n"/>
      <c r="L8995">
        <f>_xlfn.XLOOKUP(Tableau1[[#This Row],[TYPE DE PIECE]],Tableau4[MATIERE],Tableau4[SHORT TYPE],"",0,1)</f>
        <v/>
      </c>
      <c r="N8995">
        <f>IF(ISERR(FIND("DECOUPE",Tableau1[[#This Row],[DESIGNATION]])),"","NEED REF")</f>
        <v/>
      </c>
    </row>
    <row r="8996">
      <c r="B8996" t="n">
        <v>34405009</v>
      </c>
      <c r="C8996" s="2" t="n">
        <v>42447</v>
      </c>
      <c r="D8996" t="inlineStr">
        <is>
          <t>SPEC</t>
        </is>
      </c>
      <c r="E8996" t="inlineStr">
        <is>
          <t>CX CLIENT 1</t>
        </is>
      </c>
      <c r="J8996" t="inlineStr">
        <is>
          <t>MATRION</t>
        </is>
      </c>
      <c r="K8996" t="inlineStr">
        <is>
          <t>CUIVRE</t>
        </is>
      </c>
      <c r="L8996">
        <f>_xlfn.XLOOKUP(Tableau1[[#This Row],[TYPE DE PIECE]],Tableau4[MATIERE],Tableau4[SHORT TYPE],"",0,1)</f>
        <v/>
      </c>
      <c r="N8996">
        <f>IF(ISERR(FIND("DECOUPE",Tableau1[[#This Row],[DESIGNATION]])),"","NEED REF")</f>
        <v/>
      </c>
    </row>
    <row r="8997">
      <c r="B8997" t="n">
        <v>34405008</v>
      </c>
      <c r="C8997" s="2" t="n">
        <v>42447</v>
      </c>
      <c r="D8997" t="inlineStr">
        <is>
          <t>SPEC</t>
        </is>
      </c>
      <c r="E8997" t="inlineStr">
        <is>
          <t>CX CLIENT 2</t>
        </is>
      </c>
      <c r="J8997" t="inlineStr">
        <is>
          <t>MATRION</t>
        </is>
      </c>
      <c r="K8997" t="inlineStr">
        <is>
          <t>CUIVRE</t>
        </is>
      </c>
      <c r="L8997">
        <f>_xlfn.XLOOKUP(Tableau1[[#This Row],[TYPE DE PIECE]],Tableau4[MATIERE],Tableau4[SHORT TYPE],"",0,1)</f>
        <v/>
      </c>
      <c r="N8997">
        <f>IF(ISERR(FIND("DECOUPE",Tableau1[[#This Row],[DESIGNATION]])),"","NEED REF")</f>
        <v/>
      </c>
    </row>
    <row r="8998">
      <c r="B8998" t="n">
        <v>34405007</v>
      </c>
      <c r="C8998" s="2" t="n">
        <v>42447</v>
      </c>
      <c r="D8998" t="inlineStr">
        <is>
          <t>SPEC</t>
        </is>
      </c>
      <c r="E8998" t="inlineStr">
        <is>
          <t>CX JONCTION 3 + RESINE EPOXY</t>
        </is>
      </c>
      <c r="J8998" t="inlineStr">
        <is>
          <t>MATRION</t>
        </is>
      </c>
      <c r="K8998" t="inlineStr">
        <is>
          <t>PEINTURE EPOXY</t>
        </is>
      </c>
      <c r="L8998">
        <f>_xlfn.XLOOKUP(Tableau1[[#This Row],[TYPE DE PIECE]],Tableau4[MATIERE],Tableau4[SHORT TYPE],"",0,1)</f>
        <v/>
      </c>
      <c r="N8998">
        <f>IF(ISERR(FIND("DECOUPE",Tableau1[[#This Row],[DESIGNATION]])),"","NEED REF")</f>
        <v/>
      </c>
    </row>
    <row r="8999">
      <c r="B8999" t="n">
        <v>34405006</v>
      </c>
      <c r="C8999" s="2" t="n">
        <v>42447</v>
      </c>
      <c r="D8999" t="inlineStr">
        <is>
          <t>SPEC</t>
        </is>
      </c>
      <c r="E8999" t="inlineStr">
        <is>
          <t>CX JONCTION 2 + RESINE EPOXY</t>
        </is>
      </c>
      <c r="J8999" t="inlineStr">
        <is>
          <t>MATRION</t>
        </is>
      </c>
      <c r="K8999" t="inlineStr">
        <is>
          <t>PEINTURE EPOXY</t>
        </is>
      </c>
      <c r="L8999">
        <f>_xlfn.XLOOKUP(Tableau1[[#This Row],[TYPE DE PIECE]],Tableau4[MATIERE],Tableau4[SHORT TYPE],"",0,1)</f>
        <v/>
      </c>
      <c r="N8999">
        <f>IF(ISERR(FIND("DECOUPE",Tableau1[[#This Row],[DESIGNATION]])),"","NEED REF")</f>
        <v/>
      </c>
    </row>
    <row r="9000">
      <c r="B9000" t="n">
        <v>34405005</v>
      </c>
      <c r="C9000" s="2" t="n">
        <v>42447</v>
      </c>
      <c r="D9000" t="inlineStr">
        <is>
          <t>SPEC</t>
        </is>
      </c>
      <c r="E9000" t="inlineStr">
        <is>
          <t>CX JONCTION 1 + RESINE EPOXY</t>
        </is>
      </c>
      <c r="J9000" t="inlineStr">
        <is>
          <t>MATRION</t>
        </is>
      </c>
      <c r="K9000" t="inlineStr">
        <is>
          <t>PEINTURE EPOXY</t>
        </is>
      </c>
      <c r="L9000">
        <f>_xlfn.XLOOKUP(Tableau1[[#This Row],[TYPE DE PIECE]],Tableau4[MATIERE],Tableau4[SHORT TYPE],"",0,1)</f>
        <v/>
      </c>
      <c r="N9000">
        <f>IF(ISERR(FIND("DECOUPE",Tableau1[[#This Row],[DESIGNATION]])),"","NEED REF")</f>
        <v/>
      </c>
    </row>
    <row r="9001">
      <c r="B9001" t="n">
        <v>34405004</v>
      </c>
      <c r="C9001" s="2" t="n">
        <v>42447</v>
      </c>
      <c r="D9001" t="inlineStr">
        <is>
          <t>SPEC</t>
        </is>
      </c>
      <c r="E9001" t="inlineStr">
        <is>
          <t>CX CLIENT 2</t>
        </is>
      </c>
      <c r="J9001" t="inlineStr">
        <is>
          <t>MATRION</t>
        </is>
      </c>
      <c r="K9001" t="inlineStr">
        <is>
          <t>CUIVRE</t>
        </is>
      </c>
      <c r="L9001">
        <f>_xlfn.XLOOKUP(Tableau1[[#This Row],[TYPE DE PIECE]],Tableau4[MATIERE],Tableau4[SHORT TYPE],"",0,1)</f>
        <v/>
      </c>
      <c r="N9001">
        <f>IF(ISERR(FIND("DECOUPE",Tableau1[[#This Row],[DESIGNATION]])),"","NEED REF")</f>
        <v/>
      </c>
    </row>
    <row r="9002">
      <c r="B9002" t="n">
        <v>34405003</v>
      </c>
      <c r="C9002" s="2" t="n">
        <v>42447</v>
      </c>
      <c r="D9002" t="inlineStr">
        <is>
          <t>SPEC</t>
        </is>
      </c>
      <c r="E9002" t="inlineStr">
        <is>
          <t>SUPPORT JDB CLIENT</t>
        </is>
      </c>
      <c r="J9002" t="inlineStr">
        <is>
          <t>MATRION</t>
        </is>
      </c>
      <c r="K9002" t="inlineStr">
        <is>
          <t>METAL</t>
        </is>
      </c>
      <c r="L9002">
        <f>_xlfn.XLOOKUP(Tableau1[[#This Row],[TYPE DE PIECE]],Tableau4[MATIERE],Tableau4[SHORT TYPE],"",0,1)</f>
        <v/>
      </c>
      <c r="N9002">
        <f>IF(ISERR(FIND("DECOUPE",Tableau1[[#This Row],[DESIGNATION]])),"","NEED REF")</f>
        <v/>
      </c>
    </row>
    <row r="9003">
      <c r="B9003" t="n">
        <v>34405002</v>
      </c>
      <c r="C9003" s="2" t="n">
        <v>42445</v>
      </c>
      <c r="D9003" t="inlineStr">
        <is>
          <t>SPEC</t>
        </is>
      </c>
      <c r="E9003" t="inlineStr">
        <is>
          <t>SE Filerie</t>
        </is>
      </c>
      <c r="F9003" t="inlineStr">
        <is>
          <t>SYMPX ISOLATION BOX</t>
        </is>
      </c>
      <c r="J9003" t="inlineStr">
        <is>
          <t>MATRION</t>
        </is>
      </c>
      <c r="L9003">
        <f>_xlfn.XLOOKUP(Tableau1[[#This Row],[TYPE DE PIECE]],Tableau4[MATIERE],Tableau4[SHORT TYPE],"",0,1)</f>
        <v/>
      </c>
      <c r="N9003">
        <f>IF(ISERR(FIND("DECOUPE",Tableau1[[#This Row],[DESIGNATION]])),"","NEED REF")</f>
        <v/>
      </c>
    </row>
    <row r="9004">
      <c r="B9004" t="n">
        <v>34405001</v>
      </c>
      <c r="C9004" s="2" t="n">
        <v>42444</v>
      </c>
      <c r="D9004" t="inlineStr">
        <is>
          <t>SPEC</t>
        </is>
      </c>
      <c r="E9004" t="inlineStr">
        <is>
          <t>Fixation cables</t>
        </is>
      </c>
      <c r="J9004" t="inlineStr">
        <is>
          <t>MATRION</t>
        </is>
      </c>
      <c r="L9004">
        <f>_xlfn.XLOOKUP(Tableau1[[#This Row],[TYPE DE PIECE]],Tableau4[MATIERE],Tableau4[SHORT TYPE],"",0,1)</f>
        <v/>
      </c>
      <c r="N9004">
        <f>IF(ISERR(FIND("DECOUPE",Tableau1[[#This Row],[DESIGNATION]])),"","NEED REF")</f>
        <v/>
      </c>
    </row>
    <row r="9005">
      <c r="B9005" t="n">
        <v>34405000</v>
      </c>
      <c r="C9005" s="2" t="n">
        <v>42438</v>
      </c>
      <c r="D9005" t="inlineStr">
        <is>
          <t>SPEC</t>
        </is>
      </c>
      <c r="E9005" t="inlineStr">
        <is>
          <t>SKID STS 160-400</t>
        </is>
      </c>
      <c r="F9005" t="inlineStr">
        <is>
          <t>STS 160-400</t>
        </is>
      </c>
      <c r="J9005" t="inlineStr">
        <is>
          <t>ROBERT</t>
        </is>
      </c>
      <c r="L9005">
        <f>_xlfn.XLOOKUP(Tableau1[[#This Row],[TYPE DE PIECE]],Tableau4[MATIERE],Tableau4[SHORT TYPE],"",0,1)</f>
        <v/>
      </c>
      <c r="N9005">
        <f>IF(ISERR(FIND("DECOUPE",Tableau1[[#This Row],[DESIGNATION]])),"","NEED REF")</f>
        <v/>
      </c>
    </row>
    <row r="9006">
      <c r="B9006" t="n">
        <v>34404999</v>
      </c>
      <c r="C9006" s="2" t="n">
        <v>42438</v>
      </c>
      <c r="D9006" t="inlineStr">
        <is>
          <t>SPEC</t>
        </is>
      </c>
      <c r="E9006" t="inlineStr">
        <is>
          <t>PROTECTION ARRIERE</t>
        </is>
      </c>
      <c r="F9006" t="inlineStr">
        <is>
          <t>SINWAVE DIDACTIC</t>
        </is>
      </c>
      <c r="J9006" t="inlineStr">
        <is>
          <t>MATRION</t>
        </is>
      </c>
      <c r="L9006">
        <f>_xlfn.XLOOKUP(Tableau1[[#This Row],[TYPE DE PIECE]],Tableau4[MATIERE],Tableau4[SHORT TYPE],"",0,1)</f>
        <v/>
      </c>
      <c r="N9006">
        <f>IF(ISERR(FIND("DECOUPE",Tableau1[[#This Row],[DESIGNATION]])),"","NEED REF")</f>
        <v/>
      </c>
    </row>
    <row r="9007">
      <c r="B9007" t="n">
        <v>34404998</v>
      </c>
      <c r="C9007" s="2" t="n">
        <v>42438</v>
      </c>
      <c r="D9007" t="inlineStr">
        <is>
          <t>SPEC</t>
        </is>
      </c>
      <c r="E9007" t="inlineStr">
        <is>
          <t>PROTECTION AVANT</t>
        </is>
      </c>
      <c r="F9007" t="inlineStr">
        <is>
          <t>SINWAVE DIDACTIC</t>
        </is>
      </c>
      <c r="J9007" t="inlineStr">
        <is>
          <t>MATRION</t>
        </is>
      </c>
      <c r="L9007">
        <f>_xlfn.XLOOKUP(Tableau1[[#This Row],[TYPE DE PIECE]],Tableau4[MATIERE],Tableau4[SHORT TYPE],"",0,1)</f>
        <v/>
      </c>
      <c r="N9007">
        <f>IF(ISERR(FIND("DECOUPE",Tableau1[[#This Row],[DESIGNATION]])),"","NEED REF")</f>
        <v/>
      </c>
    </row>
    <row r="9008">
      <c r="B9008" t="n">
        <v>34404997</v>
      </c>
      <c r="C9008" s="2" t="n">
        <v>42438</v>
      </c>
      <c r="D9008" t="inlineStr">
        <is>
          <t>SPEC</t>
        </is>
      </c>
      <c r="E9008" t="inlineStr">
        <is>
          <t>PLATINE SW</t>
        </is>
      </c>
      <c r="F9008" t="inlineStr">
        <is>
          <t>SINWAVE DIDACTIC</t>
        </is>
      </c>
      <c r="J9008" t="inlineStr">
        <is>
          <t>MATRION</t>
        </is>
      </c>
      <c r="L9008">
        <f>_xlfn.XLOOKUP(Tableau1[[#This Row],[TYPE DE PIECE]],Tableau4[MATIERE],Tableau4[SHORT TYPE],"",0,1)</f>
        <v/>
      </c>
      <c r="N9008">
        <f>IF(ISERR(FIND("DECOUPE",Tableau1[[#This Row],[DESIGNATION]])),"","NEED REF")</f>
        <v/>
      </c>
    </row>
    <row r="9009">
      <c r="B9009" t="n">
        <v>34404996</v>
      </c>
      <c r="C9009" s="2" t="n">
        <v>42437</v>
      </c>
      <c r="D9009" t="inlineStr">
        <is>
          <t>LEG</t>
        </is>
      </c>
      <c r="E9009" t="inlineStr">
        <is>
          <t>Légende démontage XC made in</t>
        </is>
      </c>
      <c r="F9009" t="inlineStr">
        <is>
          <t>SOLAR</t>
        </is>
      </c>
      <c r="J9009" t="inlineStr">
        <is>
          <t>MONGELLI</t>
        </is>
      </c>
      <c r="L9009">
        <f>_xlfn.XLOOKUP(Tableau1[[#This Row],[TYPE DE PIECE]],Tableau4[MATIERE],Tableau4[SHORT TYPE],"",0,1)</f>
        <v/>
      </c>
      <c r="N9009">
        <f>IF(ISERR(FIND("DECOUPE",Tableau1[[#This Row],[DESIGNATION]])),"","NEED REF")</f>
        <v/>
      </c>
    </row>
    <row r="9010">
      <c r="B9010" t="n">
        <v>34404995</v>
      </c>
      <c r="C9010" s="2" t="n">
        <v>42432</v>
      </c>
      <c r="D9010" t="inlineStr">
        <is>
          <t>SPEC</t>
        </is>
      </c>
      <c r="E9010" t="inlineStr">
        <is>
          <t>SE MONITOR CARD</t>
        </is>
      </c>
      <c r="J9010" t="inlineStr">
        <is>
          <t>MATRION</t>
        </is>
      </c>
      <c r="L9010">
        <f>_xlfn.XLOOKUP(Tableau1[[#This Row],[TYPE DE PIECE]],Tableau4[MATIERE],Tableau4[SHORT TYPE],"",0,1)</f>
        <v/>
      </c>
      <c r="N9010">
        <f>IF(ISERR(FIND("DECOUPE",Tableau1[[#This Row],[DESIGNATION]])),"","NEED REF")</f>
        <v/>
      </c>
    </row>
    <row r="9011">
      <c r="B9011" t="n">
        <v>34404994</v>
      </c>
      <c r="C9011" s="2" t="n">
        <v>42432</v>
      </c>
      <c r="D9011" t="inlineStr">
        <is>
          <t>SPEC</t>
        </is>
      </c>
      <c r="E9011" t="inlineStr">
        <is>
          <t>Toit perforé cellule marine</t>
        </is>
      </c>
      <c r="F9011" t="inlineStr">
        <is>
          <t>STX</t>
        </is>
      </c>
      <c r="J9011" t="inlineStr">
        <is>
          <t>ROBERT</t>
        </is>
      </c>
      <c r="L9011">
        <f>_xlfn.XLOOKUP(Tableau1[[#This Row],[TYPE DE PIECE]],Tableau4[MATIERE],Tableau4[SHORT TYPE],"",0,1)</f>
        <v/>
      </c>
      <c r="N9011">
        <f>IF(ISERR(FIND("DECOUPE",Tableau1[[#This Row],[DESIGNATION]])),"","NEED REF")</f>
        <v/>
      </c>
    </row>
    <row r="9012">
      <c r="B9012" t="n">
        <v>34404993</v>
      </c>
      <c r="C9012" s="2" t="n">
        <v>42432</v>
      </c>
      <c r="D9012" t="inlineStr">
        <is>
          <t>SPEC</t>
        </is>
      </c>
      <c r="E9012" t="inlineStr">
        <is>
          <t>Platine de fond</t>
        </is>
      </c>
      <c r="J9012" t="inlineStr">
        <is>
          <t>MATRION</t>
        </is>
      </c>
      <c r="L9012">
        <f>_xlfn.XLOOKUP(Tableau1[[#This Row],[TYPE DE PIECE]],Tableau4[MATIERE],Tableau4[SHORT TYPE],"",0,1)</f>
        <v/>
      </c>
      <c r="N9012">
        <f>IF(ISERR(FIND("DECOUPE",Tableau1[[#This Row],[DESIGNATION]])),"","NEED REF")</f>
        <v/>
      </c>
    </row>
    <row r="9013">
      <c r="B9013" t="n">
        <v>34404992</v>
      </c>
      <c r="C9013" s="2" t="n">
        <v>42424</v>
      </c>
      <c r="D9013" t="inlineStr">
        <is>
          <t>SPEC</t>
        </is>
      </c>
      <c r="E9013" t="inlineStr">
        <is>
          <t xml:space="preserve">Cache haut &amp; bas </t>
        </is>
      </c>
      <c r="F9013" t="inlineStr">
        <is>
          <t>STX</t>
        </is>
      </c>
      <c r="J9013" t="inlineStr">
        <is>
          <t>ROBERT</t>
        </is>
      </c>
      <c r="L9013">
        <f>_xlfn.XLOOKUP(Tableau1[[#This Row],[TYPE DE PIECE]],Tableau4[MATIERE],Tableau4[SHORT TYPE],"",0,1)</f>
        <v/>
      </c>
      <c r="N9013">
        <f>IF(ISERR(FIND("DECOUPE",Tableau1[[#This Row],[DESIGNATION]])),"","NEED REF")</f>
        <v/>
      </c>
    </row>
    <row r="9014">
      <c r="B9014" t="n">
        <v>34404991</v>
      </c>
      <c r="C9014" s="2" t="n">
        <v>42424</v>
      </c>
      <c r="D9014" t="inlineStr">
        <is>
          <t>SPEC</t>
        </is>
      </c>
      <c r="E9014" t="inlineStr">
        <is>
          <t>montant perforé H=1910 L=50</t>
        </is>
      </c>
      <c r="F9014" t="inlineStr">
        <is>
          <t>STX</t>
        </is>
      </c>
      <c r="J9014" t="inlineStr">
        <is>
          <t>ROBERT</t>
        </is>
      </c>
      <c r="L9014">
        <f>_xlfn.XLOOKUP(Tableau1[[#This Row],[TYPE DE PIECE]],Tableau4[MATIERE],Tableau4[SHORT TYPE],"",0,1)</f>
        <v/>
      </c>
      <c r="N9014">
        <f>IF(ISERR(FIND("DECOUPE",Tableau1[[#This Row],[DESIGNATION]])),"","NEED REF")</f>
        <v/>
      </c>
    </row>
    <row r="9015">
      <c r="B9015" t="n">
        <v>34404990</v>
      </c>
      <c r="C9015" s="2" t="n">
        <v>42419</v>
      </c>
      <c r="D9015" t="inlineStr">
        <is>
          <t>LEG</t>
        </is>
      </c>
      <c r="E9015" t="inlineStr">
        <is>
          <t>légende pour kit solar QMSA18341</t>
        </is>
      </c>
      <c r="F9015" t="inlineStr">
        <is>
          <t>SOLAR</t>
        </is>
      </c>
      <c r="J9015" t="inlineStr">
        <is>
          <t>REIN</t>
        </is>
      </c>
      <c r="L9015">
        <f>_xlfn.XLOOKUP(Tableau1[[#This Row],[TYPE DE PIECE]],Tableau4[MATIERE],Tableau4[SHORT TYPE],"",0,1)</f>
        <v/>
      </c>
      <c r="N9015">
        <f>IF(ISERR(FIND("DECOUPE",Tableau1[[#This Row],[DESIGNATION]])),"","NEED REF")</f>
        <v/>
      </c>
    </row>
    <row r="9016">
      <c r="B9016" t="n">
        <v>34404989</v>
      </c>
      <c r="C9016" s="2" t="n">
        <v>42419</v>
      </c>
      <c r="D9016" t="inlineStr">
        <is>
          <t>SPEC</t>
        </is>
      </c>
      <c r="E9016" t="inlineStr">
        <is>
          <t>reserve</t>
        </is>
      </c>
      <c r="F9016" t="inlineStr">
        <is>
          <t>STX</t>
        </is>
      </c>
      <c r="J9016" t="inlineStr">
        <is>
          <t>ROBERT</t>
        </is>
      </c>
      <c r="L9016">
        <f>_xlfn.XLOOKUP(Tableau1[[#This Row],[TYPE DE PIECE]],Tableau4[MATIERE],Tableau4[SHORT TYPE],"",0,1)</f>
        <v/>
      </c>
      <c r="N9016">
        <f>IF(ISERR(FIND("DECOUPE",Tableau1[[#This Row],[DESIGNATION]])),"","NEED REF")</f>
        <v/>
      </c>
    </row>
    <row r="9017">
      <c r="B9017" t="n">
        <v>34404988</v>
      </c>
      <c r="C9017" s="2" t="n">
        <v>42419</v>
      </c>
      <c r="D9017" t="inlineStr">
        <is>
          <t>SPEC</t>
        </is>
      </c>
      <c r="E9017" t="inlineStr">
        <is>
          <t>rehausse cellule</t>
        </is>
      </c>
      <c r="F9017" t="inlineStr">
        <is>
          <t>STX</t>
        </is>
      </c>
      <c r="J9017" t="inlineStr">
        <is>
          <t>ROBERT</t>
        </is>
      </c>
      <c r="L9017">
        <f>_xlfn.XLOOKUP(Tableau1[[#This Row],[TYPE DE PIECE]],Tableau4[MATIERE],Tableau4[SHORT TYPE],"",0,1)</f>
        <v/>
      </c>
      <c r="N9017">
        <f>IF(ISERR(FIND("DECOUPE",Tableau1[[#This Row],[DESIGNATION]])),"","NEED REF")</f>
        <v/>
      </c>
    </row>
    <row r="9018">
      <c r="B9018" t="n">
        <v>34404987</v>
      </c>
      <c r="C9018" s="2" t="n">
        <v>42419</v>
      </c>
      <c r="D9018" t="inlineStr">
        <is>
          <t>SPEC</t>
        </is>
      </c>
      <c r="E9018" t="inlineStr">
        <is>
          <t>reserve</t>
        </is>
      </c>
      <c r="F9018" t="inlineStr">
        <is>
          <t>STX</t>
        </is>
      </c>
      <c r="J9018" t="inlineStr">
        <is>
          <t>ROBERT</t>
        </is>
      </c>
      <c r="L9018">
        <f>_xlfn.XLOOKUP(Tableau1[[#This Row],[TYPE DE PIECE]],Tableau4[MATIERE],Tableau4[SHORT TYPE],"",0,1)</f>
        <v/>
      </c>
      <c r="N9018">
        <f>IF(ISERR(FIND("DECOUPE",Tableau1[[#This Row],[DESIGNATION]])),"","NEED REF")</f>
        <v/>
      </c>
    </row>
    <row r="9019">
      <c r="B9019" t="n">
        <v>34404986</v>
      </c>
      <c r="C9019" s="2" t="n">
        <v>42419</v>
      </c>
      <c r="D9019" t="inlineStr">
        <is>
          <t>SPEC</t>
        </is>
      </c>
      <c r="E9019" t="inlineStr">
        <is>
          <t>Cable pour regen box</t>
        </is>
      </c>
      <c r="F9019" t="inlineStr">
        <is>
          <t>REGEN BOX</t>
        </is>
      </c>
      <c r="J9019" t="inlineStr">
        <is>
          <t>REVEL</t>
        </is>
      </c>
      <c r="L9019">
        <f>_xlfn.XLOOKUP(Tableau1[[#This Row],[TYPE DE PIECE]],Tableau4[MATIERE],Tableau4[SHORT TYPE],"",0,1)</f>
        <v/>
      </c>
      <c r="N9019">
        <f>IF(ISERR(FIND("DECOUPE",Tableau1[[#This Row],[DESIGNATION]])),"","NEED REF")</f>
        <v/>
      </c>
    </row>
    <row r="9020">
      <c r="B9020" t="n">
        <v>34404985</v>
      </c>
      <c r="C9020" s="2" t="n">
        <v>42410</v>
      </c>
      <c r="D9020" t="inlineStr">
        <is>
          <t>SPEC</t>
        </is>
      </c>
      <c r="E9020" t="inlineStr">
        <is>
          <t>ARM SAREL MARINE L=2000 L=1000 P=800</t>
        </is>
      </c>
      <c r="F9020" t="inlineStr">
        <is>
          <t>STX</t>
        </is>
      </c>
      <c r="J9020" t="inlineStr">
        <is>
          <t>ROBERT</t>
        </is>
      </c>
      <c r="L9020">
        <f>_xlfn.XLOOKUP(Tableau1[[#This Row],[TYPE DE PIECE]],Tableau4[MATIERE],Tableau4[SHORT TYPE],"",0,1)</f>
        <v/>
      </c>
      <c r="N9020">
        <f>IF(ISERR(FIND("DECOUPE",Tableau1[[#This Row],[DESIGNATION]])),"","NEED REF")</f>
        <v/>
      </c>
    </row>
    <row r="9021">
      <c r="B9021" t="n">
        <v>34404984</v>
      </c>
      <c r="C9021" s="2" t="n">
        <v>42402</v>
      </c>
      <c r="D9021" t="inlineStr">
        <is>
          <t>SPEC</t>
        </is>
      </c>
      <c r="E9021" t="inlineStr">
        <is>
          <t>reverve</t>
        </is>
      </c>
      <c r="J9021" t="inlineStr">
        <is>
          <t>ROBERT</t>
        </is>
      </c>
      <c r="L9021">
        <f>_xlfn.XLOOKUP(Tableau1[[#This Row],[TYPE DE PIECE]],Tableau4[MATIERE],Tableau4[SHORT TYPE],"",0,1)</f>
        <v/>
      </c>
      <c r="N9021">
        <f>IF(ISERR(FIND("DECOUPE",Tableau1[[#This Row],[DESIGNATION]])),"","NEED REF")</f>
        <v/>
      </c>
    </row>
    <row r="9022">
      <c r="B9022" t="n">
        <v>34404983</v>
      </c>
      <c r="C9022" s="2" t="n">
        <v>42402</v>
      </c>
      <c r="D9022" t="inlineStr">
        <is>
          <t>SPEC</t>
        </is>
      </c>
      <c r="E9022" t="inlineStr">
        <is>
          <t>reverve</t>
        </is>
      </c>
      <c r="F9022" t="inlineStr">
        <is>
          <t>stx</t>
        </is>
      </c>
      <c r="J9022" t="inlineStr">
        <is>
          <t>ROBERT</t>
        </is>
      </c>
      <c r="L9022">
        <f>_xlfn.XLOOKUP(Tableau1[[#This Row],[TYPE DE PIECE]],Tableau4[MATIERE],Tableau4[SHORT TYPE],"",0,1)</f>
        <v/>
      </c>
      <c r="N9022">
        <f>IF(ISERR(FIND("DECOUPE",Tableau1[[#This Row],[DESIGNATION]])),"","NEED REF")</f>
        <v/>
      </c>
    </row>
    <row r="9023">
      <c r="B9023" t="n">
        <v>34404982</v>
      </c>
      <c r="C9023" s="2" t="n">
        <v>42397</v>
      </c>
      <c r="D9023" t="inlineStr">
        <is>
          <t>SPEC</t>
        </is>
      </c>
      <c r="E9023" t="inlineStr">
        <is>
          <t>ETIQUETTE REP CELLULE</t>
        </is>
      </c>
      <c r="F9023" t="inlineStr">
        <is>
          <t>STX</t>
        </is>
      </c>
      <c r="J9023" t="inlineStr">
        <is>
          <t>ROBERT</t>
        </is>
      </c>
      <c r="L9023">
        <f>_xlfn.XLOOKUP(Tableau1[[#This Row],[TYPE DE PIECE]],Tableau4[MATIERE],Tableau4[SHORT TYPE],"",0,1)</f>
        <v/>
      </c>
      <c r="N9023">
        <f>IF(ISERR(FIND("DECOUPE",Tableau1[[#This Row],[DESIGNATION]])),"","NEED REF")</f>
        <v/>
      </c>
    </row>
    <row r="9024">
      <c r="B9024" t="n">
        <v>34404981</v>
      </c>
      <c r="C9024" s="2" t="n">
        <v>42381</v>
      </c>
      <c r="D9024" t="inlineStr">
        <is>
          <t>SPEC</t>
        </is>
      </c>
      <c r="E9024" t="inlineStr">
        <is>
          <t>REPRISE PORTE ET TOLE AR STX</t>
        </is>
      </c>
      <c r="F9024" t="inlineStr">
        <is>
          <t>SAREL</t>
        </is>
      </c>
      <c r="J9024" t="inlineStr">
        <is>
          <t>ROBERT</t>
        </is>
      </c>
      <c r="L9024">
        <f>_xlfn.XLOOKUP(Tableau1[[#This Row],[TYPE DE PIECE]],Tableau4[MATIERE],Tableau4[SHORT TYPE],"",0,1)</f>
        <v/>
      </c>
      <c r="N9024">
        <f>IF(ISERR(FIND("DECOUPE",Tableau1[[#This Row],[DESIGNATION]])),"","NEED REF")</f>
        <v/>
      </c>
    </row>
    <row r="9025">
      <c r="B9025" t="n">
        <v>34404980</v>
      </c>
      <c r="C9025" s="2" t="n">
        <v>42375</v>
      </c>
      <c r="D9025" t="inlineStr">
        <is>
          <t>NOM</t>
        </is>
      </c>
      <c r="E9025" t="inlineStr">
        <is>
          <t>LG BCB BOX G6000 300kVA</t>
        </is>
      </c>
      <c r="F9025" t="inlineStr">
        <is>
          <t>G6000</t>
        </is>
      </c>
      <c r="J9025" t="inlineStr">
        <is>
          <t>ROBERT</t>
        </is>
      </c>
      <c r="L9025">
        <f>_xlfn.XLOOKUP(Tableau1[[#This Row],[TYPE DE PIECE]],Tableau4[MATIERE],Tableau4[SHORT TYPE],"",0,1)</f>
        <v/>
      </c>
      <c r="N9025">
        <f>IF(ISERR(FIND("DECOUPE",Tableau1[[#This Row],[DESIGNATION]])),"","NEED REF")</f>
        <v/>
      </c>
    </row>
    <row r="9026">
      <c r="B9026" t="n">
        <v>34404979</v>
      </c>
      <c r="C9026" s="2" t="n">
        <v>42354</v>
      </c>
      <c r="D9026" t="inlineStr">
        <is>
          <t>SPEC</t>
        </is>
      </c>
      <c r="J9026" t="inlineStr">
        <is>
          <t>MASCELLINO</t>
        </is>
      </c>
      <c r="L9026">
        <f>_xlfn.XLOOKUP(Tableau1[[#This Row],[TYPE DE PIECE]],Tableau4[MATIERE],Tableau4[SHORT TYPE],"",0,1)</f>
        <v/>
      </c>
      <c r="N9026">
        <f>IF(ISERR(FIND("DECOUPE",Tableau1[[#This Row],[DESIGNATION]])),"","NEED REF")</f>
        <v/>
      </c>
    </row>
    <row r="9027">
      <c r="B9027" t="n">
        <v>34404978</v>
      </c>
      <c r="C9027" s="2" t="n">
        <v>42354</v>
      </c>
      <c r="D9027" t="inlineStr">
        <is>
          <t>SPEC</t>
        </is>
      </c>
      <c r="F9027" t="inlineStr">
        <is>
          <t>CHILI</t>
        </is>
      </c>
      <c r="J9027" t="inlineStr">
        <is>
          <t>MASCELLINO</t>
        </is>
      </c>
      <c r="L9027">
        <f>_xlfn.XLOOKUP(Tableau1[[#This Row],[TYPE DE PIECE]],Tableau4[MATIERE],Tableau4[SHORT TYPE],"",0,1)</f>
        <v/>
      </c>
      <c r="N9027">
        <f>IF(ISERR(FIND("DECOUPE",Tableau1[[#This Row],[DESIGNATION]])),"","NEED REF")</f>
        <v/>
      </c>
    </row>
    <row r="9028">
      <c r="B9028" t="n">
        <v>34404977</v>
      </c>
      <c r="C9028" s="2" t="n">
        <v>42354</v>
      </c>
      <c r="D9028" t="inlineStr">
        <is>
          <t>SPEC</t>
        </is>
      </c>
      <c r="F9028" t="inlineStr">
        <is>
          <t>CHILI</t>
        </is>
      </c>
      <c r="J9028" t="inlineStr">
        <is>
          <t>MASCELLINO</t>
        </is>
      </c>
      <c r="L9028">
        <f>_xlfn.XLOOKUP(Tableau1[[#This Row],[TYPE DE PIECE]],Tableau4[MATIERE],Tableau4[SHORT TYPE],"",0,1)</f>
        <v/>
      </c>
      <c r="N9028">
        <f>IF(ISERR(FIND("DECOUPE",Tableau1[[#This Row],[DESIGNATION]])),"","NEED REF")</f>
        <v/>
      </c>
    </row>
    <row r="9029">
      <c r="B9029" t="n">
        <v>34404976</v>
      </c>
      <c r="C9029" s="2" t="n">
        <v>42354</v>
      </c>
      <c r="D9029" t="inlineStr">
        <is>
          <t>SPEC</t>
        </is>
      </c>
      <c r="F9029" t="inlineStr">
        <is>
          <t>CHILI</t>
        </is>
      </c>
      <c r="J9029" t="inlineStr">
        <is>
          <t>MASCELLINO</t>
        </is>
      </c>
      <c r="L9029">
        <f>_xlfn.XLOOKUP(Tableau1[[#This Row],[TYPE DE PIECE]],Tableau4[MATIERE],Tableau4[SHORT TYPE],"",0,1)</f>
        <v/>
      </c>
      <c r="N9029">
        <f>IF(ISERR(FIND("DECOUPE",Tableau1[[#This Row],[DESIGNATION]])),"","NEED REF")</f>
        <v/>
      </c>
    </row>
    <row r="9030">
      <c r="B9030" t="n">
        <v>34404975</v>
      </c>
      <c r="C9030" s="2" t="n">
        <v>42352</v>
      </c>
      <c r="D9030" t="inlineStr">
        <is>
          <t>SPEC</t>
        </is>
      </c>
      <c r="F9030" t="inlineStr">
        <is>
          <t>STS UPSILON 1200A</t>
        </is>
      </c>
      <c r="J9030" t="inlineStr">
        <is>
          <t>MASCELLINO</t>
        </is>
      </c>
      <c r="L9030">
        <f>_xlfn.XLOOKUP(Tableau1[[#This Row],[TYPE DE PIECE]],Tableau4[MATIERE],Tableau4[SHORT TYPE],"",0,1)</f>
        <v/>
      </c>
      <c r="N9030">
        <f>IF(ISERR(FIND("DECOUPE",Tableau1[[#This Row],[DESIGNATION]])),"","NEED REF")</f>
        <v/>
      </c>
    </row>
    <row r="9031">
      <c r="B9031" t="n">
        <v>34404974</v>
      </c>
      <c r="C9031" s="2" t="n">
        <v>42352</v>
      </c>
      <c r="D9031" t="inlineStr">
        <is>
          <t>SPEC</t>
        </is>
      </c>
      <c r="E9031" t="inlineStr">
        <is>
          <t>traverse support carte</t>
        </is>
      </c>
      <c r="F9031" t="inlineStr">
        <is>
          <t>STS UPSILON 1200A</t>
        </is>
      </c>
      <c r="J9031" t="inlineStr">
        <is>
          <t>MASCELLINO</t>
        </is>
      </c>
      <c r="L9031">
        <f>_xlfn.XLOOKUP(Tableau1[[#This Row],[TYPE DE PIECE]],Tableau4[MATIERE],Tableau4[SHORT TYPE],"",0,1)</f>
        <v/>
      </c>
      <c r="N9031">
        <f>IF(ISERR(FIND("DECOUPE",Tableau1[[#This Row],[DESIGNATION]])),"","NEED REF")</f>
        <v/>
      </c>
    </row>
    <row r="9032">
      <c r="B9032" t="n">
        <v>34404973</v>
      </c>
      <c r="C9032" s="2" t="n">
        <v>42352</v>
      </c>
      <c r="D9032" t="inlineStr">
        <is>
          <t>SPEC</t>
        </is>
      </c>
      <c r="F9032" t="inlineStr">
        <is>
          <t>STS UPSILON 1200A</t>
        </is>
      </c>
      <c r="J9032" t="inlineStr">
        <is>
          <t>MASCELLINO</t>
        </is>
      </c>
      <c r="L9032">
        <f>_xlfn.XLOOKUP(Tableau1[[#This Row],[TYPE DE PIECE]],Tableau4[MATIERE],Tableau4[SHORT TYPE],"",0,1)</f>
        <v/>
      </c>
      <c r="N9032">
        <f>IF(ISERR(FIND("DECOUPE",Tableau1[[#This Row],[DESIGNATION]])),"","NEED REF")</f>
        <v/>
      </c>
    </row>
    <row r="9033">
      <c r="B9033" t="n">
        <v>34404972</v>
      </c>
      <c r="C9033" s="2" t="n">
        <v>42352</v>
      </c>
      <c r="D9033" t="inlineStr">
        <is>
          <t>SPEC</t>
        </is>
      </c>
      <c r="F9033" t="inlineStr">
        <is>
          <t>STS UPSILON 1200A</t>
        </is>
      </c>
      <c r="J9033" t="inlineStr">
        <is>
          <t>MASCELLINO</t>
        </is>
      </c>
      <c r="L9033">
        <f>_xlfn.XLOOKUP(Tableau1[[#This Row],[TYPE DE PIECE]],Tableau4[MATIERE],Tableau4[SHORT TYPE],"",0,1)</f>
        <v/>
      </c>
      <c r="N9033">
        <f>IF(ISERR(FIND("DECOUPE",Tableau1[[#This Row],[DESIGNATION]])),"","NEED REF")</f>
        <v/>
      </c>
    </row>
    <row r="9034">
      <c r="B9034" t="n">
        <v>34404971</v>
      </c>
      <c r="C9034" s="2" t="n">
        <v>42352</v>
      </c>
      <c r="D9034" t="inlineStr">
        <is>
          <t>SPEC</t>
        </is>
      </c>
      <c r="F9034" t="inlineStr">
        <is>
          <t>STS UPSILON 1200A</t>
        </is>
      </c>
      <c r="J9034" t="inlineStr">
        <is>
          <t>MASCELLINO</t>
        </is>
      </c>
      <c r="L9034">
        <f>_xlfn.XLOOKUP(Tableau1[[#This Row],[TYPE DE PIECE]],Tableau4[MATIERE],Tableau4[SHORT TYPE],"",0,1)</f>
        <v/>
      </c>
      <c r="N9034">
        <f>IF(ISERR(FIND("DECOUPE",Tableau1[[#This Row],[DESIGNATION]])),"","NEED REF")</f>
        <v/>
      </c>
    </row>
    <row r="9035">
      <c r="B9035" t="n">
        <v>34404970</v>
      </c>
      <c r="C9035" s="2" t="n">
        <v>42352</v>
      </c>
      <c r="D9035" t="inlineStr">
        <is>
          <t>SPEC</t>
        </is>
      </c>
      <c r="F9035" t="inlineStr">
        <is>
          <t>STS UPSILON 1200A</t>
        </is>
      </c>
      <c r="J9035" t="inlineStr">
        <is>
          <t>MASCELLINO</t>
        </is>
      </c>
      <c r="L9035">
        <f>_xlfn.XLOOKUP(Tableau1[[#This Row],[TYPE DE PIECE]],Tableau4[MATIERE],Tableau4[SHORT TYPE],"",0,1)</f>
        <v/>
      </c>
      <c r="N9035">
        <f>IF(ISERR(FIND("DECOUPE",Tableau1[[#This Row],[DESIGNATION]])),"","NEED REF")</f>
        <v/>
      </c>
    </row>
    <row r="9036">
      <c r="B9036" t="n">
        <v>34404969</v>
      </c>
      <c r="C9036" s="2" t="n">
        <v>42352</v>
      </c>
      <c r="D9036" t="inlineStr">
        <is>
          <t>SPEC</t>
        </is>
      </c>
      <c r="F9036" t="inlineStr">
        <is>
          <t>STS UPSILON 1200A</t>
        </is>
      </c>
      <c r="J9036" t="inlineStr">
        <is>
          <t>MASCELLINO</t>
        </is>
      </c>
      <c r="L9036">
        <f>_xlfn.XLOOKUP(Tableau1[[#This Row],[TYPE DE PIECE]],Tableau4[MATIERE],Tableau4[SHORT TYPE],"",0,1)</f>
        <v/>
      </c>
      <c r="N9036">
        <f>IF(ISERR(FIND("DECOUPE",Tableau1[[#This Row],[DESIGNATION]])),"","NEED REF")</f>
        <v/>
      </c>
    </row>
    <row r="9037">
      <c r="B9037" t="n">
        <v>34404968</v>
      </c>
      <c r="C9037" s="2" t="n">
        <v>42352</v>
      </c>
      <c r="D9037" t="inlineStr">
        <is>
          <t>SPEC</t>
        </is>
      </c>
      <c r="F9037" t="inlineStr">
        <is>
          <t>STS UPSILON 1200A</t>
        </is>
      </c>
      <c r="J9037" t="inlineStr">
        <is>
          <t>MASCELLINO</t>
        </is>
      </c>
      <c r="L9037">
        <f>_xlfn.XLOOKUP(Tableau1[[#This Row],[TYPE DE PIECE]],Tableau4[MATIERE],Tableau4[SHORT TYPE],"",0,1)</f>
        <v/>
      </c>
      <c r="N9037">
        <f>IF(ISERR(FIND("DECOUPE",Tableau1[[#This Row],[DESIGNATION]])),"","NEED REF")</f>
        <v/>
      </c>
    </row>
    <row r="9038">
      <c r="B9038" t="n">
        <v>34404967</v>
      </c>
      <c r="C9038" s="2" t="n">
        <v>42352</v>
      </c>
      <c r="D9038" t="inlineStr">
        <is>
          <t>SPEC</t>
        </is>
      </c>
      <c r="E9038" t="inlineStr">
        <is>
          <t>support plaque carte</t>
        </is>
      </c>
      <c r="F9038" t="inlineStr">
        <is>
          <t>STS UPSILON 1200A</t>
        </is>
      </c>
      <c r="J9038" t="inlineStr">
        <is>
          <t>MASCELLINO</t>
        </is>
      </c>
      <c r="L9038">
        <f>_xlfn.XLOOKUP(Tableau1[[#This Row],[TYPE DE PIECE]],Tableau4[MATIERE],Tableau4[SHORT TYPE],"",0,1)</f>
        <v/>
      </c>
      <c r="N9038">
        <f>IF(ISERR(FIND("DECOUPE",Tableau1[[#This Row],[DESIGNATION]])),"","NEED REF")</f>
        <v/>
      </c>
    </row>
    <row r="9039">
      <c r="B9039" t="n">
        <v>34404966</v>
      </c>
      <c r="C9039" s="2" t="n">
        <v>42352</v>
      </c>
      <c r="D9039" t="inlineStr">
        <is>
          <t>SPEC</t>
        </is>
      </c>
      <c r="E9039" t="inlineStr">
        <is>
          <t>plaque support carte</t>
        </is>
      </c>
      <c r="F9039" t="inlineStr">
        <is>
          <t>STS UPSILON 1200A</t>
        </is>
      </c>
      <c r="J9039" t="inlineStr">
        <is>
          <t>MASCELLINO</t>
        </is>
      </c>
      <c r="L9039">
        <f>_xlfn.XLOOKUP(Tableau1[[#This Row],[TYPE DE PIECE]],Tableau4[MATIERE],Tableau4[SHORT TYPE],"",0,1)</f>
        <v/>
      </c>
      <c r="N9039">
        <f>IF(ISERR(FIND("DECOUPE",Tableau1[[#This Row],[DESIGNATION]])),"","NEED REF")</f>
        <v/>
      </c>
    </row>
    <row r="9040">
      <c r="B9040" t="n">
        <v>34404965</v>
      </c>
      <c r="C9040" s="2" t="n"/>
      <c r="E9040" t="inlineStr">
        <is>
          <t>reserve</t>
        </is>
      </c>
      <c r="L9040">
        <f>_xlfn.XLOOKUP(Tableau1[[#This Row],[TYPE DE PIECE]],Tableau4[MATIERE],Tableau4[SHORT TYPE],"",0,1)</f>
        <v/>
      </c>
      <c r="N9040">
        <f>IF(ISERR(FIND("DECOUPE",Tableau1[[#This Row],[DESIGNATION]])),"","NEED REF")</f>
        <v/>
      </c>
    </row>
    <row r="9041">
      <c r="B9041" t="n">
        <v>34404964</v>
      </c>
      <c r="C9041" s="2" t="n"/>
      <c r="E9041" t="inlineStr">
        <is>
          <t>reserve</t>
        </is>
      </c>
      <c r="L9041">
        <f>_xlfn.XLOOKUP(Tableau1[[#This Row],[TYPE DE PIECE]],Tableau4[MATIERE],Tableau4[SHORT TYPE],"",0,1)</f>
        <v/>
      </c>
      <c r="N9041">
        <f>IF(ISERR(FIND("DECOUPE",Tableau1[[#This Row],[DESIGNATION]])),"","NEED REF")</f>
        <v/>
      </c>
    </row>
    <row r="9042">
      <c r="B9042" t="n">
        <v>34404963</v>
      </c>
      <c r="C9042" s="2" t="n">
        <v>42346</v>
      </c>
      <c r="D9042" t="inlineStr">
        <is>
          <t>SPEC</t>
        </is>
      </c>
      <c r="E9042" t="inlineStr">
        <is>
          <t>Dedicated item for CLAIM Russia</t>
        </is>
      </c>
      <c r="J9042" t="inlineStr">
        <is>
          <t>REIN</t>
        </is>
      </c>
      <c r="L9042">
        <f>_xlfn.XLOOKUP(Tableau1[[#This Row],[TYPE DE PIECE]],Tableau4[MATIERE],Tableau4[SHORT TYPE],"",0,1)</f>
        <v/>
      </c>
      <c r="N9042">
        <f>IF(ISERR(FIND("DECOUPE",Tableau1[[#This Row],[DESIGNATION]])),"","NEED REF")</f>
        <v/>
      </c>
    </row>
    <row r="9043">
      <c r="B9043" t="n">
        <v>34404962</v>
      </c>
      <c r="C9043" s="2" t="n">
        <v>42345</v>
      </c>
      <c r="D9043" t="inlineStr">
        <is>
          <t>Devis</t>
        </is>
      </c>
      <c r="E9043" t="inlineStr">
        <is>
          <t>Pour claim Russie</t>
        </is>
      </c>
      <c r="J9043" t="inlineStr">
        <is>
          <t>REIN</t>
        </is>
      </c>
      <c r="L9043">
        <f>_xlfn.XLOOKUP(Tableau1[[#This Row],[TYPE DE PIECE]],Tableau4[MATIERE],Tableau4[SHORT TYPE],"",0,1)</f>
        <v/>
      </c>
      <c r="N9043">
        <f>IF(ISERR(FIND("DECOUPE",Tableau1[[#This Row],[DESIGNATION]])),"","NEED REF")</f>
        <v/>
      </c>
    </row>
    <row r="9044">
      <c r="B9044" t="n">
        <v>34404961</v>
      </c>
      <c r="C9044" s="2" t="n">
        <v>42342</v>
      </c>
      <c r="D9044" t="inlineStr">
        <is>
          <t>SPEC</t>
        </is>
      </c>
      <c r="E9044" t="inlineStr">
        <is>
          <t>Equerre raccordement PDPM277</t>
        </is>
      </c>
      <c r="F9044" t="inlineStr">
        <is>
          <t>PDPM NSX400 3P</t>
        </is>
      </c>
      <c r="J9044" t="inlineStr">
        <is>
          <t>REVEL</t>
        </is>
      </c>
      <c r="L9044">
        <f>_xlfn.XLOOKUP(Tableau1[[#This Row],[TYPE DE PIECE]],Tableau4[MATIERE],Tableau4[SHORT TYPE],"",0,1)</f>
        <v/>
      </c>
      <c r="N9044">
        <f>IF(ISERR(FIND("DECOUPE",Tableau1[[#This Row],[DESIGNATION]])),"","NEED REF")</f>
        <v/>
      </c>
    </row>
    <row r="9045">
      <c r="B9045" t="n">
        <v>34404960</v>
      </c>
      <c r="C9045" s="2" t="n">
        <v>42333</v>
      </c>
      <c r="D9045" t="inlineStr">
        <is>
          <t>SPEC</t>
        </is>
      </c>
      <c r="E9045" t="inlineStr">
        <is>
          <t>RESERVE</t>
        </is>
      </c>
      <c r="F9045" t="inlineStr">
        <is>
          <t>STX</t>
        </is>
      </c>
      <c r="J9045" t="inlineStr">
        <is>
          <t>ROBERT</t>
        </is>
      </c>
      <c r="L9045">
        <f>_xlfn.XLOOKUP(Tableau1[[#This Row],[TYPE DE PIECE]],Tableau4[MATIERE],Tableau4[SHORT TYPE],"",0,1)</f>
        <v/>
      </c>
      <c r="N9045">
        <f>IF(ISERR(FIND("DECOUPE",Tableau1[[#This Row],[DESIGNATION]])),"","NEED REF")</f>
        <v/>
      </c>
    </row>
    <row r="9046">
      <c r="B9046" t="n">
        <v>34404959</v>
      </c>
      <c r="C9046" s="2" t="n">
        <v>42333</v>
      </c>
      <c r="D9046" t="inlineStr">
        <is>
          <t>SPEC</t>
        </is>
      </c>
      <c r="E9046" t="inlineStr">
        <is>
          <t>RESERVE</t>
        </is>
      </c>
      <c r="F9046" t="inlineStr">
        <is>
          <t>STX</t>
        </is>
      </c>
      <c r="J9046" t="inlineStr">
        <is>
          <t>ROBERT</t>
        </is>
      </c>
      <c r="L9046">
        <f>_xlfn.XLOOKUP(Tableau1[[#This Row],[TYPE DE PIECE]],Tableau4[MATIERE],Tableau4[SHORT TYPE],"",0,1)</f>
        <v/>
      </c>
      <c r="N9046">
        <f>IF(ISERR(FIND("DECOUPE",Tableau1[[#This Row],[DESIGNATION]])),"","NEED REF")</f>
        <v/>
      </c>
    </row>
    <row r="9047">
      <c r="B9047" t="n">
        <v>34404958</v>
      </c>
      <c r="C9047" s="2" t="n">
        <v>42333</v>
      </c>
      <c r="D9047" t="inlineStr">
        <is>
          <t>SPEC</t>
        </is>
      </c>
      <c r="E9047" t="inlineStr">
        <is>
          <t>RESERVE</t>
        </is>
      </c>
      <c r="F9047" t="inlineStr">
        <is>
          <t>STX</t>
        </is>
      </c>
      <c r="J9047" t="inlineStr">
        <is>
          <t>ROBERT</t>
        </is>
      </c>
      <c r="L9047">
        <f>_xlfn.XLOOKUP(Tableau1[[#This Row],[TYPE DE PIECE]],Tableau4[MATIERE],Tableau4[SHORT TYPE],"",0,1)</f>
        <v/>
      </c>
      <c r="N9047">
        <f>IF(ISERR(FIND("DECOUPE",Tableau1[[#This Row],[DESIGNATION]])),"","NEED REF")</f>
        <v/>
      </c>
    </row>
    <row r="9048">
      <c r="B9048" t="n">
        <v>34404957</v>
      </c>
      <c r="C9048" s="2" t="n">
        <v>42333</v>
      </c>
      <c r="D9048" t="inlineStr">
        <is>
          <t>SPEC</t>
        </is>
      </c>
      <c r="E9048" t="inlineStr">
        <is>
          <t>RESERVE</t>
        </is>
      </c>
      <c r="F9048" t="inlineStr">
        <is>
          <t>STX</t>
        </is>
      </c>
      <c r="J9048" t="inlineStr">
        <is>
          <t>ROBERT</t>
        </is>
      </c>
      <c r="L9048">
        <f>_xlfn.XLOOKUP(Tableau1[[#This Row],[TYPE DE PIECE]],Tableau4[MATIERE],Tableau4[SHORT TYPE],"",0,1)</f>
        <v/>
      </c>
      <c r="N9048">
        <f>IF(ISERR(FIND("DECOUPE",Tableau1[[#This Row],[DESIGNATION]])),"","NEED REF")</f>
        <v/>
      </c>
    </row>
    <row r="9049">
      <c r="B9049" t="n">
        <v>34404956</v>
      </c>
      <c r="C9049" s="2" t="n">
        <v>42333</v>
      </c>
      <c r="D9049" t="inlineStr">
        <is>
          <t>SPEC</t>
        </is>
      </c>
      <c r="E9049" t="inlineStr">
        <is>
          <t>RESERVE</t>
        </is>
      </c>
      <c r="F9049" t="inlineStr">
        <is>
          <t>STX</t>
        </is>
      </c>
      <c r="J9049" t="inlineStr">
        <is>
          <t>ROBERT</t>
        </is>
      </c>
      <c r="L9049">
        <f>_xlfn.XLOOKUP(Tableau1[[#This Row],[TYPE DE PIECE]],Tableau4[MATIERE],Tableau4[SHORT TYPE],"",0,1)</f>
        <v/>
      </c>
      <c r="N9049">
        <f>IF(ISERR(FIND("DECOUPE",Tableau1[[#This Row],[DESIGNATION]])),"","NEED REF")</f>
        <v/>
      </c>
    </row>
    <row r="9050">
      <c r="B9050" t="n">
        <v>34404955</v>
      </c>
      <c r="C9050" s="2" t="n">
        <v>42333</v>
      </c>
      <c r="D9050" t="inlineStr">
        <is>
          <t>SPEC</t>
        </is>
      </c>
      <c r="E9050" t="inlineStr">
        <is>
          <t>RESERVE</t>
        </is>
      </c>
      <c r="F9050" t="inlineStr">
        <is>
          <t>STX</t>
        </is>
      </c>
      <c r="J9050" t="inlineStr">
        <is>
          <t>ROBERT</t>
        </is>
      </c>
      <c r="L9050">
        <f>_xlfn.XLOOKUP(Tableau1[[#This Row],[TYPE DE PIECE]],Tableau4[MATIERE],Tableau4[SHORT TYPE],"",0,1)</f>
        <v/>
      </c>
      <c r="N9050">
        <f>IF(ISERR(FIND("DECOUPE",Tableau1[[#This Row],[DESIGNATION]])),"","NEED REF")</f>
        <v/>
      </c>
    </row>
    <row r="9051">
      <c r="B9051" t="n">
        <v>34404954</v>
      </c>
      <c r="C9051" s="2" t="n">
        <v>42333</v>
      </c>
      <c r="D9051" t="inlineStr">
        <is>
          <t>SPEC</t>
        </is>
      </c>
      <c r="E9051" t="inlineStr">
        <is>
          <t>RESERVE</t>
        </is>
      </c>
      <c r="F9051" t="inlineStr">
        <is>
          <t>STX</t>
        </is>
      </c>
      <c r="J9051" t="inlineStr">
        <is>
          <t>ROBERT</t>
        </is>
      </c>
      <c r="L9051">
        <f>_xlfn.XLOOKUP(Tableau1[[#This Row],[TYPE DE PIECE]],Tableau4[MATIERE],Tableau4[SHORT TYPE],"",0,1)</f>
        <v/>
      </c>
      <c r="N9051">
        <f>IF(ISERR(FIND("DECOUPE",Tableau1[[#This Row],[DESIGNATION]])),"","NEED REF")</f>
        <v/>
      </c>
    </row>
    <row r="9052">
      <c r="B9052" t="n">
        <v>34404953</v>
      </c>
      <c r="C9052" s="2" t="n">
        <v>42333</v>
      </c>
      <c r="D9052" t="inlineStr">
        <is>
          <t>SPEC</t>
        </is>
      </c>
      <c r="E9052" t="inlineStr">
        <is>
          <t>RESERVE</t>
        </is>
      </c>
      <c r="F9052" t="inlineStr">
        <is>
          <t>STX</t>
        </is>
      </c>
      <c r="J9052" t="inlineStr">
        <is>
          <t>ROBERT</t>
        </is>
      </c>
      <c r="L9052">
        <f>_xlfn.XLOOKUP(Tableau1[[#This Row],[TYPE DE PIECE]],Tableau4[MATIERE],Tableau4[SHORT TYPE],"",0,1)</f>
        <v/>
      </c>
      <c r="N9052">
        <f>IF(ISERR(FIND("DECOUPE",Tableau1[[#This Row],[DESIGNATION]])),"","NEED REF")</f>
        <v/>
      </c>
    </row>
    <row r="9053">
      <c r="B9053" t="n">
        <v>34404952</v>
      </c>
      <c r="C9053" s="2" t="n">
        <v>42333</v>
      </c>
      <c r="D9053" t="inlineStr">
        <is>
          <t>SPEC</t>
        </is>
      </c>
      <c r="E9053" t="inlineStr">
        <is>
          <t>RESERVE</t>
        </is>
      </c>
      <c r="F9053" t="inlineStr">
        <is>
          <t>STX</t>
        </is>
      </c>
      <c r="J9053" t="inlineStr">
        <is>
          <t>ROBERT</t>
        </is>
      </c>
      <c r="L9053">
        <f>_xlfn.XLOOKUP(Tableau1[[#This Row],[TYPE DE PIECE]],Tableau4[MATIERE],Tableau4[SHORT TYPE],"",0,1)</f>
        <v/>
      </c>
      <c r="N9053">
        <f>IF(ISERR(FIND("DECOUPE",Tableau1[[#This Row],[DESIGNATION]])),"","NEED REF")</f>
        <v/>
      </c>
    </row>
    <row r="9054">
      <c r="B9054" t="n">
        <v>34404951</v>
      </c>
      <c r="C9054" s="2" t="n">
        <v>42333</v>
      </c>
      <c r="D9054" t="inlineStr">
        <is>
          <t>SPEC</t>
        </is>
      </c>
      <c r="E9054" t="inlineStr">
        <is>
          <t>RESERVE</t>
        </is>
      </c>
      <c r="F9054" t="inlineStr">
        <is>
          <t>STX</t>
        </is>
      </c>
      <c r="J9054" t="inlineStr">
        <is>
          <t>ROBERT</t>
        </is>
      </c>
      <c r="L9054">
        <f>_xlfn.XLOOKUP(Tableau1[[#This Row],[TYPE DE PIECE]],Tableau4[MATIERE],Tableau4[SHORT TYPE],"",0,1)</f>
        <v/>
      </c>
      <c r="N9054">
        <f>IF(ISERR(FIND("DECOUPE",Tableau1[[#This Row],[DESIGNATION]])),"","NEED REF")</f>
        <v/>
      </c>
    </row>
    <row r="9055">
      <c r="B9055" t="n">
        <v>34404950</v>
      </c>
      <c r="C9055" s="2" t="n">
        <v>42332</v>
      </c>
      <c r="D9055" t="inlineStr">
        <is>
          <t>SPEC</t>
        </is>
      </c>
      <c r="E9055" t="inlineStr">
        <is>
          <t>RESERVE</t>
        </is>
      </c>
      <c r="F9055" t="inlineStr">
        <is>
          <t>STX</t>
        </is>
      </c>
      <c r="J9055" t="inlineStr">
        <is>
          <t>ROBERT</t>
        </is>
      </c>
      <c r="L9055">
        <f>_xlfn.XLOOKUP(Tableau1[[#This Row],[TYPE DE PIECE]],Tableau4[MATIERE],Tableau4[SHORT TYPE],"",0,1)</f>
        <v/>
      </c>
      <c r="N9055">
        <f>IF(ISERR(FIND("DECOUPE",Tableau1[[#This Row],[DESIGNATION]])),"","NEED REF")</f>
        <v/>
      </c>
    </row>
    <row r="9056">
      <c r="B9056" t="n">
        <v>34404949</v>
      </c>
      <c r="C9056" s="2" t="n">
        <v>42332</v>
      </c>
      <c r="D9056" t="inlineStr">
        <is>
          <t>SPEC</t>
        </is>
      </c>
      <c r="E9056" t="inlineStr">
        <is>
          <t>RESERVE</t>
        </is>
      </c>
      <c r="F9056" t="inlineStr">
        <is>
          <t>STX</t>
        </is>
      </c>
      <c r="J9056" t="inlineStr">
        <is>
          <t>ROBERT</t>
        </is>
      </c>
      <c r="L9056">
        <f>_xlfn.XLOOKUP(Tableau1[[#This Row],[TYPE DE PIECE]],Tableau4[MATIERE],Tableau4[SHORT TYPE],"",0,1)</f>
        <v/>
      </c>
      <c r="N9056">
        <f>IF(ISERR(FIND("DECOUPE",Tableau1[[#This Row],[DESIGNATION]])),"","NEED REF")</f>
        <v/>
      </c>
    </row>
    <row r="9057">
      <c r="B9057" t="n">
        <v>34404948</v>
      </c>
      <c r="C9057" s="2" t="n">
        <v>42332</v>
      </c>
      <c r="D9057" t="inlineStr">
        <is>
          <t>SPEC</t>
        </is>
      </c>
      <c r="E9057" t="inlineStr">
        <is>
          <t>RESERVE</t>
        </is>
      </c>
      <c r="F9057" t="inlineStr">
        <is>
          <t>STX</t>
        </is>
      </c>
      <c r="J9057" t="inlineStr">
        <is>
          <t>ROBERT</t>
        </is>
      </c>
      <c r="L9057">
        <f>_xlfn.XLOOKUP(Tableau1[[#This Row],[TYPE DE PIECE]],Tableau4[MATIERE],Tableau4[SHORT TYPE],"",0,1)</f>
        <v/>
      </c>
      <c r="N9057">
        <f>IF(ISERR(FIND("DECOUPE",Tableau1[[#This Row],[DESIGNATION]])),"","NEED REF")</f>
        <v/>
      </c>
    </row>
    <row r="9058">
      <c r="B9058" t="n">
        <v>34404947</v>
      </c>
      <c r="C9058" s="2" t="n">
        <v>42332</v>
      </c>
      <c r="D9058" t="inlineStr">
        <is>
          <t>SPEC</t>
        </is>
      </c>
      <c r="E9058" t="inlineStr">
        <is>
          <t>RESERVE</t>
        </is>
      </c>
      <c r="F9058" t="inlineStr">
        <is>
          <t>STX</t>
        </is>
      </c>
      <c r="J9058" t="inlineStr">
        <is>
          <t>ROBERT</t>
        </is>
      </c>
      <c r="L9058">
        <f>_xlfn.XLOOKUP(Tableau1[[#This Row],[TYPE DE PIECE]],Tableau4[MATIERE],Tableau4[SHORT TYPE],"",0,1)</f>
        <v/>
      </c>
      <c r="N9058">
        <f>IF(ISERR(FIND("DECOUPE",Tableau1[[#This Row],[DESIGNATION]])),"","NEED REF")</f>
        <v/>
      </c>
    </row>
    <row r="9059">
      <c r="B9059" t="n">
        <v>34404946</v>
      </c>
      <c r="C9059" s="2" t="n">
        <v>42332</v>
      </c>
      <c r="D9059" t="inlineStr">
        <is>
          <t>SPEC</t>
        </is>
      </c>
      <c r="E9059" t="inlineStr">
        <is>
          <t>RESERVE</t>
        </is>
      </c>
      <c r="F9059" t="inlineStr">
        <is>
          <t>STX</t>
        </is>
      </c>
      <c r="J9059" t="inlineStr">
        <is>
          <t>ROBERT</t>
        </is>
      </c>
      <c r="L9059">
        <f>_xlfn.XLOOKUP(Tableau1[[#This Row],[TYPE DE PIECE]],Tableau4[MATIERE],Tableau4[SHORT TYPE],"",0,1)</f>
        <v/>
      </c>
      <c r="N9059">
        <f>IF(ISERR(FIND("DECOUPE",Tableau1[[#This Row],[DESIGNATION]])),"","NEED REF")</f>
        <v/>
      </c>
    </row>
    <row r="9060">
      <c r="B9060" t="n">
        <v>34404945</v>
      </c>
      <c r="C9060" s="2" t="n">
        <v>42332</v>
      </c>
      <c r="D9060" t="inlineStr">
        <is>
          <t>SPEC</t>
        </is>
      </c>
      <c r="E9060" t="inlineStr">
        <is>
          <t>RESERVE</t>
        </is>
      </c>
      <c r="F9060" t="inlineStr">
        <is>
          <t>STX</t>
        </is>
      </c>
      <c r="J9060" t="inlineStr">
        <is>
          <t>ROBERT</t>
        </is>
      </c>
      <c r="L9060">
        <f>_xlfn.XLOOKUP(Tableau1[[#This Row],[TYPE DE PIECE]],Tableau4[MATIERE],Tableau4[SHORT TYPE],"",0,1)</f>
        <v/>
      </c>
      <c r="N9060">
        <f>IF(ISERR(FIND("DECOUPE",Tableau1[[#This Row],[DESIGNATION]])),"","NEED REF")</f>
        <v/>
      </c>
    </row>
    <row r="9061">
      <c r="B9061" t="n">
        <v>34404944</v>
      </c>
      <c r="C9061" s="2" t="n">
        <v>42332</v>
      </c>
      <c r="D9061" t="inlineStr">
        <is>
          <t>SPEC</t>
        </is>
      </c>
      <c r="E9061" t="inlineStr">
        <is>
          <t>RESERVE</t>
        </is>
      </c>
      <c r="F9061" t="inlineStr">
        <is>
          <t>STX</t>
        </is>
      </c>
      <c r="J9061" t="inlineStr">
        <is>
          <t>ROBERT</t>
        </is>
      </c>
      <c r="L9061">
        <f>_xlfn.XLOOKUP(Tableau1[[#This Row],[TYPE DE PIECE]],Tableau4[MATIERE],Tableau4[SHORT TYPE],"",0,1)</f>
        <v/>
      </c>
      <c r="N9061">
        <f>IF(ISERR(FIND("DECOUPE",Tableau1[[#This Row],[DESIGNATION]])),"","NEED REF")</f>
        <v/>
      </c>
    </row>
    <row r="9062">
      <c r="B9062" t="n">
        <v>34404943</v>
      </c>
      <c r="C9062" s="2" t="n">
        <v>42332</v>
      </c>
      <c r="D9062" t="inlineStr">
        <is>
          <t>SPEC</t>
        </is>
      </c>
      <c r="E9062" t="inlineStr">
        <is>
          <t>RESERVE</t>
        </is>
      </c>
      <c r="F9062" t="inlineStr">
        <is>
          <t>STX</t>
        </is>
      </c>
      <c r="J9062" t="inlineStr">
        <is>
          <t>ROBERT</t>
        </is>
      </c>
      <c r="L9062">
        <f>_xlfn.XLOOKUP(Tableau1[[#This Row],[TYPE DE PIECE]],Tableau4[MATIERE],Tableau4[SHORT TYPE],"",0,1)</f>
        <v/>
      </c>
      <c r="N9062">
        <f>IF(ISERR(FIND("DECOUPE",Tableau1[[#This Row],[DESIGNATION]])),"","NEED REF")</f>
        <v/>
      </c>
    </row>
    <row r="9063">
      <c r="B9063" t="n">
        <v>34404942</v>
      </c>
      <c r="C9063" s="2" t="n">
        <v>42332</v>
      </c>
      <c r="D9063" t="inlineStr">
        <is>
          <t>SPEC</t>
        </is>
      </c>
      <c r="E9063" t="inlineStr">
        <is>
          <t>Tole armoire droite et gauche</t>
        </is>
      </c>
      <c r="F9063" t="inlineStr">
        <is>
          <t>STS 1200A</t>
        </is>
      </c>
      <c r="J9063" t="inlineStr">
        <is>
          <t>REVEL</t>
        </is>
      </c>
      <c r="L9063">
        <f>_xlfn.XLOOKUP(Tableau1[[#This Row],[TYPE DE PIECE]],Tableau4[MATIERE],Tableau4[SHORT TYPE],"",0,1)</f>
        <v/>
      </c>
      <c r="N9063">
        <f>IF(ISERR(FIND("DECOUPE",Tableau1[[#This Row],[DESIGNATION]])),"","NEED REF")</f>
        <v/>
      </c>
    </row>
    <row r="9064">
      <c r="B9064" t="n">
        <v>34404941</v>
      </c>
      <c r="C9064" s="2" t="n">
        <v>42332</v>
      </c>
      <c r="D9064" t="inlineStr">
        <is>
          <t>SPEC</t>
        </is>
      </c>
      <c r="E9064" t="inlineStr">
        <is>
          <t>Tole armoire centre</t>
        </is>
      </c>
      <c r="F9064" t="inlineStr">
        <is>
          <t>STS 1200A</t>
        </is>
      </c>
      <c r="J9064" t="inlineStr">
        <is>
          <t>REVEL</t>
        </is>
      </c>
      <c r="L9064">
        <f>_xlfn.XLOOKUP(Tableau1[[#This Row],[TYPE DE PIECE]],Tableau4[MATIERE],Tableau4[SHORT TYPE],"",0,1)</f>
        <v/>
      </c>
      <c r="N9064">
        <f>IF(ISERR(FIND("DECOUPE",Tableau1[[#This Row],[DESIGNATION]])),"","NEED REF")</f>
        <v/>
      </c>
    </row>
    <row r="9065">
      <c r="B9065" t="n">
        <v>34404940</v>
      </c>
      <c r="C9065" s="2" t="n">
        <v>42332</v>
      </c>
      <c r="D9065" t="inlineStr">
        <is>
          <t>SPEC</t>
        </is>
      </c>
      <c r="E9065" t="inlineStr">
        <is>
          <t>Tole de fond arriere</t>
        </is>
      </c>
      <c r="F9065" t="inlineStr">
        <is>
          <t>STS 1900</t>
        </is>
      </c>
      <c r="J9065" t="inlineStr">
        <is>
          <t>REVEL</t>
        </is>
      </c>
      <c r="L9065">
        <f>_xlfn.XLOOKUP(Tableau1[[#This Row],[TYPE DE PIECE]],Tableau4[MATIERE],Tableau4[SHORT TYPE],"",0,1)</f>
        <v/>
      </c>
      <c r="N9065">
        <f>IF(ISERR(FIND("DECOUPE",Tableau1[[#This Row],[DESIGNATION]])),"","NEED REF")</f>
        <v/>
      </c>
    </row>
    <row r="9066">
      <c r="B9066" t="n">
        <v>34404939</v>
      </c>
      <c r="C9066" s="2" t="n">
        <v>42332</v>
      </c>
      <c r="D9066" t="inlineStr">
        <is>
          <t>SPEC</t>
        </is>
      </c>
      <c r="E9066" t="inlineStr">
        <is>
          <t>Tole de fond avant</t>
        </is>
      </c>
      <c r="F9066" t="inlineStr">
        <is>
          <t>STS 1900</t>
        </is>
      </c>
      <c r="J9066" t="inlineStr">
        <is>
          <t>REVEL</t>
        </is>
      </c>
      <c r="L9066">
        <f>_xlfn.XLOOKUP(Tableau1[[#This Row],[TYPE DE PIECE]],Tableau4[MATIERE],Tableau4[SHORT TYPE],"",0,1)</f>
        <v/>
      </c>
      <c r="N9066">
        <f>IF(ISERR(FIND("DECOUPE",Tableau1[[#This Row],[DESIGNATION]])),"","NEED REF")</f>
        <v/>
      </c>
    </row>
    <row r="9067">
      <c r="B9067" t="n">
        <v>34404938</v>
      </c>
      <c r="C9067" s="2" t="n">
        <v>42332</v>
      </c>
      <c r="D9067" t="inlineStr">
        <is>
          <t>SPEC</t>
        </is>
      </c>
      <c r="E9067" t="inlineStr">
        <is>
          <t>Equerre de fixation tole de fond</t>
        </is>
      </c>
      <c r="F9067" t="inlineStr">
        <is>
          <t>STS 1900</t>
        </is>
      </c>
      <c r="J9067" t="inlineStr">
        <is>
          <t>REVEL</t>
        </is>
      </c>
      <c r="L9067">
        <f>_xlfn.XLOOKUP(Tableau1[[#This Row],[TYPE DE PIECE]],Tableau4[MATIERE],Tableau4[SHORT TYPE],"",0,1)</f>
        <v/>
      </c>
      <c r="N9067">
        <f>IF(ISERR(FIND("DECOUPE",Tableau1[[#This Row],[DESIGNATION]])),"","NEED REF")</f>
        <v/>
      </c>
    </row>
    <row r="9068">
      <c r="B9068" t="n">
        <v>34404937</v>
      </c>
      <c r="C9068" s="2" t="n">
        <v>42331</v>
      </c>
      <c r="E9068" t="inlineStr">
        <is>
          <t>reserve</t>
        </is>
      </c>
      <c r="F9068" t="inlineStr">
        <is>
          <t>STX</t>
        </is>
      </c>
      <c r="J9068" t="inlineStr">
        <is>
          <t>ROBERT</t>
        </is>
      </c>
      <c r="L9068">
        <f>_xlfn.XLOOKUP(Tableau1[[#This Row],[TYPE DE PIECE]],Tableau4[MATIERE],Tableau4[SHORT TYPE],"",0,1)</f>
        <v/>
      </c>
      <c r="N9068">
        <f>IF(ISERR(FIND("DECOUPE",Tableau1[[#This Row],[DESIGNATION]])),"","NEED REF")</f>
        <v/>
      </c>
    </row>
    <row r="9069">
      <c r="B9069" t="n">
        <v>34404936</v>
      </c>
      <c r="C9069" s="2" t="n"/>
      <c r="E9069" t="inlineStr">
        <is>
          <t>reserve</t>
        </is>
      </c>
      <c r="L9069">
        <f>_xlfn.XLOOKUP(Tableau1[[#This Row],[TYPE DE PIECE]],Tableau4[MATIERE],Tableau4[SHORT TYPE],"",0,1)</f>
        <v/>
      </c>
      <c r="N9069">
        <f>IF(ISERR(FIND("DECOUPE",Tableau1[[#This Row],[DESIGNATION]])),"","NEED REF")</f>
        <v/>
      </c>
    </row>
    <row r="9070">
      <c r="B9070" t="n">
        <v>34404935</v>
      </c>
      <c r="C9070" s="2" t="n"/>
      <c r="E9070" t="inlineStr">
        <is>
          <t>reserve</t>
        </is>
      </c>
      <c r="L9070">
        <f>_xlfn.XLOOKUP(Tableau1[[#This Row],[TYPE DE PIECE]],Tableau4[MATIERE],Tableau4[SHORT TYPE],"",0,1)</f>
        <v/>
      </c>
      <c r="N9070">
        <f>IF(ISERR(FIND("DECOUPE",Tableau1[[#This Row],[DESIGNATION]])),"","NEED REF")</f>
        <v/>
      </c>
    </row>
    <row r="9071">
      <c r="B9071" t="n">
        <v>34404934</v>
      </c>
      <c r="C9071" s="2" t="n"/>
      <c r="E9071" t="inlineStr">
        <is>
          <t>reserve</t>
        </is>
      </c>
      <c r="L9071">
        <f>_xlfn.XLOOKUP(Tableau1[[#This Row],[TYPE DE PIECE]],Tableau4[MATIERE],Tableau4[SHORT TYPE],"",0,1)</f>
        <v/>
      </c>
      <c r="N9071">
        <f>IF(ISERR(FIND("DECOUPE",Tableau1[[#This Row],[DESIGNATION]])),"","NEED REF")</f>
        <v/>
      </c>
    </row>
    <row r="9072">
      <c r="B9072" t="n">
        <v>34404933</v>
      </c>
      <c r="C9072" s="2" t="n"/>
      <c r="E9072" t="inlineStr">
        <is>
          <t>reserve</t>
        </is>
      </c>
      <c r="L9072">
        <f>_xlfn.XLOOKUP(Tableau1[[#This Row],[TYPE DE PIECE]],Tableau4[MATIERE],Tableau4[SHORT TYPE],"",0,1)</f>
        <v/>
      </c>
      <c r="N9072">
        <f>IF(ISERR(FIND("DECOUPE",Tableau1[[#This Row],[DESIGNATION]])),"","NEED REF")</f>
        <v/>
      </c>
    </row>
    <row r="9073">
      <c r="B9073" t="n">
        <v>34404932</v>
      </c>
      <c r="C9073" s="2" t="n"/>
      <c r="E9073" t="inlineStr">
        <is>
          <t>reserve</t>
        </is>
      </c>
      <c r="L9073">
        <f>_xlfn.XLOOKUP(Tableau1[[#This Row],[TYPE DE PIECE]],Tableau4[MATIERE],Tableau4[SHORT TYPE],"",0,1)</f>
        <v/>
      </c>
      <c r="N9073">
        <f>IF(ISERR(FIND("DECOUPE",Tableau1[[#This Row],[DESIGNATION]])),"","NEED REF")</f>
        <v/>
      </c>
    </row>
    <row r="9074">
      <c r="B9074" t="n">
        <v>34404931</v>
      </c>
      <c r="C9074" s="2" t="n">
        <v>42331</v>
      </c>
      <c r="D9074" t="inlineStr">
        <is>
          <t>SPEC</t>
        </is>
      </c>
      <c r="E9074" t="inlineStr">
        <is>
          <t>SUPPORT LINERGY</t>
        </is>
      </c>
      <c r="F9074" t="inlineStr">
        <is>
          <t>STX</t>
        </is>
      </c>
      <c r="J9074" t="inlineStr">
        <is>
          <t>ROBERT</t>
        </is>
      </c>
      <c r="L9074">
        <f>_xlfn.XLOOKUP(Tableau1[[#This Row],[TYPE DE PIECE]],Tableau4[MATIERE],Tableau4[SHORT TYPE],"",0,1)</f>
        <v/>
      </c>
      <c r="N9074">
        <f>IF(ISERR(FIND("DECOUPE",Tableau1[[#This Row],[DESIGNATION]])),"","NEED REF")</f>
        <v/>
      </c>
    </row>
    <row r="9075">
      <c r="B9075" t="n">
        <v>34404930</v>
      </c>
      <c r="C9075" s="2" t="n">
        <v>42327</v>
      </c>
      <c r="D9075" t="inlineStr">
        <is>
          <t>SPEC</t>
        </is>
      </c>
      <c r="E9075" t="inlineStr">
        <is>
          <t>Kit filerie ventilo CS</t>
        </is>
      </c>
      <c r="F9075" t="inlineStr">
        <is>
          <t>Regen Box</t>
        </is>
      </c>
      <c r="J9075" t="inlineStr">
        <is>
          <t>REVEL</t>
        </is>
      </c>
      <c r="L9075">
        <f>_xlfn.XLOOKUP(Tableau1[[#This Row],[TYPE DE PIECE]],Tableau4[MATIERE],Tableau4[SHORT TYPE],"",0,1)</f>
        <v/>
      </c>
      <c r="N9075">
        <f>IF(ISERR(FIND("DECOUPE",Tableau1[[#This Row],[DESIGNATION]])),"","NEED REF")</f>
        <v/>
      </c>
    </row>
    <row r="9076">
      <c r="B9076" t="n">
        <v>34404929</v>
      </c>
      <c r="C9076" s="2" t="n">
        <v>42327</v>
      </c>
      <c r="D9076" t="inlineStr">
        <is>
          <t>SPEC</t>
        </is>
      </c>
      <c r="E9076" t="inlineStr">
        <is>
          <t>Kit filerie alim</t>
        </is>
      </c>
      <c r="F9076" t="inlineStr">
        <is>
          <t>Regen Box</t>
        </is>
      </c>
      <c r="J9076" t="inlineStr">
        <is>
          <t>REVEL</t>
        </is>
      </c>
      <c r="L9076">
        <f>_xlfn.XLOOKUP(Tableau1[[#This Row],[TYPE DE PIECE]],Tableau4[MATIERE],Tableau4[SHORT TYPE],"",0,1)</f>
        <v/>
      </c>
      <c r="N9076">
        <f>IF(ISERR(FIND("DECOUPE",Tableau1[[#This Row],[DESIGNATION]])),"","NEED REF")</f>
        <v/>
      </c>
    </row>
    <row r="9077">
      <c r="B9077" t="n">
        <v>34404928</v>
      </c>
      <c r="C9077" s="2" t="n">
        <v>42327</v>
      </c>
      <c r="D9077" t="inlineStr">
        <is>
          <t>SPEC</t>
        </is>
      </c>
      <c r="E9077" t="inlineStr">
        <is>
          <t>Kit GDET</t>
        </is>
      </c>
      <c r="F9077" t="inlineStr">
        <is>
          <t>Regen Box</t>
        </is>
      </c>
      <c r="J9077" t="inlineStr">
        <is>
          <t>REVEL</t>
        </is>
      </c>
      <c r="L9077">
        <f>_xlfn.XLOOKUP(Tableau1[[#This Row],[TYPE DE PIECE]],Tableau4[MATIERE],Tableau4[SHORT TYPE],"",0,1)</f>
        <v/>
      </c>
      <c r="N9077">
        <f>IF(ISERR(FIND("DECOUPE",Tableau1[[#This Row],[DESIGNATION]])),"","NEED REF")</f>
        <v/>
      </c>
    </row>
    <row r="9078">
      <c r="B9078" t="n">
        <v>34404927</v>
      </c>
      <c r="C9078" s="2" t="n">
        <v>42327</v>
      </c>
      <c r="D9078" t="inlineStr">
        <is>
          <t>SPEC</t>
        </is>
      </c>
      <c r="E9078" t="inlineStr">
        <is>
          <t>Kit filerie Power and CS</t>
        </is>
      </c>
      <c r="F9078" t="inlineStr">
        <is>
          <t>Regen Box</t>
        </is>
      </c>
      <c r="J9078" t="inlineStr">
        <is>
          <t>REVEL</t>
        </is>
      </c>
      <c r="L9078">
        <f>_xlfn.XLOOKUP(Tableau1[[#This Row],[TYPE DE PIECE]],Tableau4[MATIERE],Tableau4[SHORT TYPE],"",0,1)</f>
        <v/>
      </c>
      <c r="N9078">
        <f>IF(ISERR(FIND("DECOUPE",Tableau1[[#This Row],[DESIGNATION]])),"","NEED REF")</f>
        <v/>
      </c>
    </row>
    <row r="9079">
      <c r="B9079" t="n">
        <v>34404926</v>
      </c>
      <c r="C9079" s="2" t="n">
        <v>42327</v>
      </c>
      <c r="D9079" t="inlineStr">
        <is>
          <t>SPEC</t>
        </is>
      </c>
      <c r="E9079" t="inlineStr">
        <is>
          <t>Kit filerie platine electronique Regen Box</t>
        </is>
      </c>
      <c r="F9079" t="inlineStr">
        <is>
          <t>Regen Box</t>
        </is>
      </c>
      <c r="J9079" t="inlineStr">
        <is>
          <t>REVEL</t>
        </is>
      </c>
      <c r="L9079">
        <f>_xlfn.XLOOKUP(Tableau1[[#This Row],[TYPE DE PIECE]],Tableau4[MATIERE],Tableau4[SHORT TYPE],"",0,1)</f>
        <v/>
      </c>
      <c r="N9079">
        <f>IF(ISERR(FIND("DECOUPE",Tableau1[[#This Row],[DESIGNATION]])),"","NEED REF")</f>
        <v/>
      </c>
    </row>
    <row r="9080">
      <c r="B9080" t="n">
        <v>34404925</v>
      </c>
      <c r="C9080" s="2" t="n">
        <v>42326</v>
      </c>
      <c r="D9080" t="inlineStr">
        <is>
          <t>SPEC</t>
        </is>
      </c>
      <c r="E9080" t="inlineStr">
        <is>
          <t>SUPPORT DJ BATT</t>
        </is>
      </c>
      <c r="J9080" t="inlineStr">
        <is>
          <t>ROBERT</t>
        </is>
      </c>
      <c r="L9080">
        <f>_xlfn.XLOOKUP(Tableau1[[#This Row],[TYPE DE PIECE]],Tableau4[MATIERE],Tableau4[SHORT TYPE],"",0,1)</f>
        <v/>
      </c>
      <c r="N9080">
        <f>IF(ISERR(FIND("DECOUPE",Tableau1[[#This Row],[DESIGNATION]])),"","NEED REF")</f>
        <v/>
      </c>
    </row>
    <row r="9081">
      <c r="B9081" t="n">
        <v>34404924</v>
      </c>
      <c r="C9081" s="2" t="n">
        <v>42326</v>
      </c>
      <c r="D9081" t="inlineStr">
        <is>
          <t>SPEC</t>
        </is>
      </c>
      <c r="E9081" t="inlineStr">
        <is>
          <t>SUPPORT NSX250</t>
        </is>
      </c>
      <c r="J9081" t="inlineStr">
        <is>
          <t>ROBERT</t>
        </is>
      </c>
      <c r="L9081">
        <f>_xlfn.XLOOKUP(Tableau1[[#This Row],[TYPE DE PIECE]],Tableau4[MATIERE],Tableau4[SHORT TYPE],"",0,1)</f>
        <v/>
      </c>
      <c r="N9081">
        <f>IF(ISERR(FIND("DECOUPE",Tableau1[[#This Row],[DESIGNATION]])),"","NEED REF")</f>
        <v/>
      </c>
    </row>
    <row r="9082">
      <c r="B9082" t="n">
        <v>34404923</v>
      </c>
      <c r="C9082" s="2" t="n">
        <v>42326</v>
      </c>
      <c r="D9082" t="inlineStr">
        <is>
          <t>SPEC</t>
        </is>
      </c>
      <c r="E9082" t="inlineStr">
        <is>
          <t>PLATINE SUPPORT</t>
        </is>
      </c>
      <c r="F9082" t="inlineStr">
        <is>
          <t>SAREL</t>
        </is>
      </c>
      <c r="J9082" t="inlineStr">
        <is>
          <t>ROBERT</t>
        </is>
      </c>
      <c r="L9082">
        <f>_xlfn.XLOOKUP(Tableau1[[#This Row],[TYPE DE PIECE]],Tableau4[MATIERE],Tableau4[SHORT TYPE],"",0,1)</f>
        <v/>
      </c>
      <c r="N9082">
        <f>IF(ISERR(FIND("DECOUPE",Tableau1[[#This Row],[DESIGNATION]])),"","NEED REF")</f>
        <v/>
      </c>
    </row>
    <row r="9083">
      <c r="B9083" t="n">
        <v>34404922</v>
      </c>
      <c r="C9083" s="2" t="n">
        <v>42325</v>
      </c>
      <c r="D9083" t="inlineStr">
        <is>
          <t>SPEC</t>
        </is>
      </c>
      <c r="E9083" t="inlineStr">
        <is>
          <t>GRILLE STS</t>
        </is>
      </c>
      <c r="J9083" t="inlineStr">
        <is>
          <t>MATRION</t>
        </is>
      </c>
      <c r="L9083">
        <f>_xlfn.XLOOKUP(Tableau1[[#This Row],[TYPE DE PIECE]],Tableau4[MATIERE],Tableau4[SHORT TYPE],"",0,1)</f>
        <v/>
      </c>
      <c r="N9083">
        <f>IF(ISERR(FIND("DECOUPE",Tableau1[[#This Row],[DESIGNATION]])),"","NEED REF")</f>
        <v/>
      </c>
    </row>
    <row r="9084">
      <c r="B9084" t="n">
        <v>34404921</v>
      </c>
      <c r="C9084" s="2" t="n">
        <v>42325</v>
      </c>
      <c r="D9084" t="inlineStr">
        <is>
          <t>SPEC</t>
        </is>
      </c>
      <c r="E9084" t="inlineStr">
        <is>
          <t>GRILLE STS</t>
        </is>
      </c>
      <c r="J9084" t="inlineStr">
        <is>
          <t>MATRION</t>
        </is>
      </c>
      <c r="L9084">
        <f>_xlfn.XLOOKUP(Tableau1[[#This Row],[TYPE DE PIECE]],Tableau4[MATIERE],Tableau4[SHORT TYPE],"",0,1)</f>
        <v/>
      </c>
      <c r="N9084">
        <f>IF(ISERR(FIND("DECOUPE",Tableau1[[#This Row],[DESIGNATION]])),"","NEED REF")</f>
        <v/>
      </c>
    </row>
    <row r="9085">
      <c r="B9085" t="n">
        <v>34404920</v>
      </c>
      <c r="C9085" s="2" t="n">
        <v>42325</v>
      </c>
      <c r="D9085" t="inlineStr">
        <is>
          <t>SPEC</t>
        </is>
      </c>
      <c r="E9085" t="inlineStr">
        <is>
          <t>GRILLE STS</t>
        </is>
      </c>
      <c r="J9085" t="inlineStr">
        <is>
          <t>MATRION</t>
        </is>
      </c>
      <c r="L9085">
        <f>_xlfn.XLOOKUP(Tableau1[[#This Row],[TYPE DE PIECE]],Tableau4[MATIERE],Tableau4[SHORT TYPE],"",0,1)</f>
        <v/>
      </c>
      <c r="N9085">
        <f>IF(ISERR(FIND("DECOUPE",Tableau1[[#This Row],[DESIGNATION]])),"","NEED REF")</f>
        <v/>
      </c>
    </row>
    <row r="9086">
      <c r="B9086" t="n">
        <v>34404919</v>
      </c>
      <c r="C9086" s="2" t="n">
        <v>42325</v>
      </c>
      <c r="D9086" t="inlineStr">
        <is>
          <t>SPEC</t>
        </is>
      </c>
      <c r="E9086" t="inlineStr">
        <is>
          <t>GRILLE STS</t>
        </is>
      </c>
      <c r="J9086" t="inlineStr">
        <is>
          <t>MATRION</t>
        </is>
      </c>
      <c r="L9086">
        <f>_xlfn.XLOOKUP(Tableau1[[#This Row],[TYPE DE PIECE]],Tableau4[MATIERE],Tableau4[SHORT TYPE],"",0,1)</f>
        <v/>
      </c>
      <c r="N9086">
        <f>IF(ISERR(FIND("DECOUPE",Tableau1[[#This Row],[DESIGNATION]])),"","NEED REF")</f>
        <v/>
      </c>
    </row>
    <row r="9087">
      <c r="B9087" t="n">
        <v>34404918</v>
      </c>
      <c r="C9087" s="2" t="n">
        <v>42321</v>
      </c>
      <c r="D9087" t="inlineStr">
        <is>
          <t>SPEC</t>
        </is>
      </c>
      <c r="E9087" t="inlineStr">
        <is>
          <t>COFFRET 1000x800x300 4PE CHARNIERES A DROITE</t>
        </is>
      </c>
      <c r="F9087" t="inlineStr">
        <is>
          <t>SAREL</t>
        </is>
      </c>
      <c r="J9087" t="inlineStr">
        <is>
          <t>ROBERT</t>
        </is>
      </c>
      <c r="L9087">
        <f>_xlfn.XLOOKUP(Tableau1[[#This Row],[TYPE DE PIECE]],Tableau4[MATIERE],Tableau4[SHORT TYPE],"",0,1)</f>
        <v/>
      </c>
      <c r="N9087">
        <f>IF(ISERR(FIND("DECOUPE",Tableau1[[#This Row],[DESIGNATION]])),"","NEED REF")</f>
        <v/>
      </c>
    </row>
    <row r="9088">
      <c r="B9088" t="n">
        <v>34404917</v>
      </c>
      <c r="C9088" s="2" t="n">
        <v>42321</v>
      </c>
      <c r="D9088" t="inlineStr">
        <is>
          <t>SPEC</t>
        </is>
      </c>
      <c r="E9088" t="inlineStr">
        <is>
          <t>COFFRET 1000x800x300 4PE CHARNIERES A GAUCHE</t>
        </is>
      </c>
      <c r="F9088" t="inlineStr">
        <is>
          <t xml:space="preserve">SAREL </t>
        </is>
      </c>
      <c r="J9088" t="inlineStr">
        <is>
          <t>ROBERT</t>
        </is>
      </c>
      <c r="L9088">
        <f>_xlfn.XLOOKUP(Tableau1[[#This Row],[TYPE DE PIECE]],Tableau4[MATIERE],Tableau4[SHORT TYPE],"",0,1)</f>
        <v/>
      </c>
      <c r="N9088">
        <f>IF(ISERR(FIND("DECOUPE",Tableau1[[#This Row],[DESIGNATION]])),"","NEED REF")</f>
        <v/>
      </c>
    </row>
    <row r="9089">
      <c r="B9089" t="n">
        <v>34404916</v>
      </c>
      <c r="C9089" s="2" t="n">
        <v>42317</v>
      </c>
      <c r="D9089" t="inlineStr">
        <is>
          <t>SPEC</t>
        </is>
      </c>
      <c r="E9089" t="inlineStr">
        <is>
          <t>EQUERRE 2 RACK 19"</t>
        </is>
      </c>
      <c r="J9089" t="inlineStr">
        <is>
          <t>MATRION</t>
        </is>
      </c>
      <c r="L9089">
        <f>_xlfn.XLOOKUP(Tableau1[[#This Row],[TYPE DE PIECE]],Tableau4[MATIERE],Tableau4[SHORT TYPE],"",0,1)</f>
        <v/>
      </c>
      <c r="N9089">
        <f>IF(ISERR(FIND("DECOUPE",Tableau1[[#This Row],[DESIGNATION]])),"","NEED REF")</f>
        <v/>
      </c>
    </row>
    <row r="9090">
      <c r="B9090" t="n">
        <v>34404915</v>
      </c>
      <c r="C9090" s="2" t="n">
        <v>42317</v>
      </c>
      <c r="D9090" t="inlineStr">
        <is>
          <t>SPEC</t>
        </is>
      </c>
      <c r="E9090" t="inlineStr">
        <is>
          <t>EQUERRE 1 RACK 19"</t>
        </is>
      </c>
      <c r="J9090" t="inlineStr">
        <is>
          <t>MATRION</t>
        </is>
      </c>
      <c r="L9090">
        <f>_xlfn.XLOOKUP(Tableau1[[#This Row],[TYPE DE PIECE]],Tableau4[MATIERE],Tableau4[SHORT TYPE],"",0,1)</f>
        <v/>
      </c>
      <c r="N9090">
        <f>IF(ISERR(FIND("DECOUPE",Tableau1[[#This Row],[DESIGNATION]])),"","NEED REF")</f>
        <v/>
      </c>
    </row>
    <row r="9091">
      <c r="B9091" t="n">
        <v>34404914</v>
      </c>
      <c r="C9091" s="2" t="n">
        <v>42317</v>
      </c>
      <c r="D9091" t="inlineStr">
        <is>
          <t>NOM</t>
        </is>
      </c>
      <c r="E9091" t="inlineStr">
        <is>
          <t>RACK BATTERIES</t>
        </is>
      </c>
      <c r="J9091" t="inlineStr">
        <is>
          <t>MATRION</t>
        </is>
      </c>
      <c r="L9091">
        <f>_xlfn.XLOOKUP(Tableau1[[#This Row],[TYPE DE PIECE]],Tableau4[MATIERE],Tableau4[SHORT TYPE],"",0,1)</f>
        <v/>
      </c>
      <c r="N9091">
        <f>IF(ISERR(FIND("DECOUPE",Tableau1[[#This Row],[DESIGNATION]])),"","NEED REF")</f>
        <v/>
      </c>
    </row>
    <row r="9092">
      <c r="B9092" t="n">
        <v>34404913</v>
      </c>
      <c r="C9092" s="2" t="n">
        <v>42317</v>
      </c>
      <c r="D9092" t="inlineStr">
        <is>
          <t>SPEC</t>
        </is>
      </c>
      <c r="E9092" t="inlineStr">
        <is>
          <t>SERRAGE BATTERIE 3</t>
        </is>
      </c>
      <c r="J9092" t="inlineStr">
        <is>
          <t>MATRION</t>
        </is>
      </c>
      <c r="L9092">
        <f>_xlfn.XLOOKUP(Tableau1[[#This Row],[TYPE DE PIECE]],Tableau4[MATIERE],Tableau4[SHORT TYPE],"",0,1)</f>
        <v/>
      </c>
      <c r="N9092">
        <f>IF(ISERR(FIND("DECOUPE",Tableau1[[#This Row],[DESIGNATION]])),"","NEED REF")</f>
        <v/>
      </c>
    </row>
    <row r="9093">
      <c r="B9093" t="n">
        <v>34404912</v>
      </c>
      <c r="C9093" s="2" t="n">
        <v>42317</v>
      </c>
      <c r="D9093" t="inlineStr">
        <is>
          <t>SPEC</t>
        </is>
      </c>
      <c r="E9093" t="inlineStr">
        <is>
          <t>SERRAGE BATTERIE 2</t>
        </is>
      </c>
      <c r="J9093" t="inlineStr">
        <is>
          <t>MATRION</t>
        </is>
      </c>
      <c r="L9093">
        <f>_xlfn.XLOOKUP(Tableau1[[#This Row],[TYPE DE PIECE]],Tableau4[MATIERE],Tableau4[SHORT TYPE],"",0,1)</f>
        <v/>
      </c>
      <c r="N9093">
        <f>IF(ISERR(FIND("DECOUPE",Tableau1[[#This Row],[DESIGNATION]])),"","NEED REF")</f>
        <v/>
      </c>
    </row>
    <row r="9094">
      <c r="B9094" t="n">
        <v>34404911</v>
      </c>
      <c r="C9094" s="2" t="n">
        <v>42317</v>
      </c>
      <c r="D9094" t="inlineStr">
        <is>
          <t>SPEC</t>
        </is>
      </c>
      <c r="E9094" t="inlineStr">
        <is>
          <t>SERRAGE BATTERIE 1</t>
        </is>
      </c>
      <c r="J9094" t="inlineStr">
        <is>
          <t>MATRION</t>
        </is>
      </c>
      <c r="L9094">
        <f>_xlfn.XLOOKUP(Tableau1[[#This Row],[TYPE DE PIECE]],Tableau4[MATIERE],Tableau4[SHORT TYPE],"",0,1)</f>
        <v/>
      </c>
      <c r="N9094">
        <f>IF(ISERR(FIND("DECOUPE",Tableau1[[#This Row],[DESIGNATION]])),"","NEED REF")</f>
        <v/>
      </c>
    </row>
    <row r="9095">
      <c r="B9095" t="n">
        <v>34404910</v>
      </c>
      <c r="C9095" s="2" t="n">
        <v>42317</v>
      </c>
      <c r="D9095" t="inlineStr">
        <is>
          <t>SPEC</t>
        </is>
      </c>
      <c r="E9095" t="inlineStr">
        <is>
          <t>PLATEAU BATTERIES</t>
        </is>
      </c>
      <c r="J9095" t="inlineStr">
        <is>
          <t>MATRION</t>
        </is>
      </c>
      <c r="L9095">
        <f>_xlfn.XLOOKUP(Tableau1[[#This Row],[TYPE DE PIECE]],Tableau4[MATIERE],Tableau4[SHORT TYPE],"",0,1)</f>
        <v/>
      </c>
      <c r="N9095">
        <f>IF(ISERR(FIND("DECOUPE",Tableau1[[#This Row],[DESIGNATION]])),"","NEED REF")</f>
        <v/>
      </c>
    </row>
    <row r="9096">
      <c r="B9096" t="n">
        <v>34404909</v>
      </c>
      <c r="C9096" s="2" t="n">
        <v>42317</v>
      </c>
      <c r="D9096" t="inlineStr">
        <is>
          <t>SPEC</t>
        </is>
      </c>
      <c r="E9096" t="inlineStr">
        <is>
          <t xml:space="preserve">PLASTRON PERFORE L=608 </t>
        </is>
      </c>
      <c r="F9096" t="inlineStr">
        <is>
          <t>SAREL 1800X700X800</t>
        </is>
      </c>
      <c r="J9096" t="inlineStr">
        <is>
          <t>ROBERT</t>
        </is>
      </c>
      <c r="L9096">
        <f>_xlfn.XLOOKUP(Tableau1[[#This Row],[TYPE DE PIECE]],Tableau4[MATIERE],Tableau4[SHORT TYPE],"",0,1)</f>
        <v/>
      </c>
      <c r="N9096">
        <f>IF(ISERR(FIND("DECOUPE",Tableau1[[#This Row],[DESIGNATION]])),"","NEED REF")</f>
        <v/>
      </c>
    </row>
    <row r="9097">
      <c r="B9097" t="n">
        <v>34404908</v>
      </c>
      <c r="C9097" s="2" t="n">
        <v>42317</v>
      </c>
      <c r="D9097" t="inlineStr">
        <is>
          <t>SPEC</t>
        </is>
      </c>
      <c r="E9097" t="inlineStr">
        <is>
          <t>PLASTRON DECOUPE 2 L=608</t>
        </is>
      </c>
      <c r="F9097" t="inlineStr">
        <is>
          <t>SAREL 1800X700X800</t>
        </is>
      </c>
      <c r="J9097" t="inlineStr">
        <is>
          <t>ROBERT</t>
        </is>
      </c>
      <c r="L9097">
        <f>_xlfn.XLOOKUP(Tableau1[[#This Row],[TYPE DE PIECE]],Tableau4[MATIERE],Tableau4[SHORT TYPE],"",0,1)</f>
        <v/>
      </c>
      <c r="N9097">
        <f>IF(ISERR(FIND("DECOUPE",Tableau1[[#This Row],[DESIGNATION]])),"","NEED REF")</f>
        <v/>
      </c>
    </row>
    <row r="9098">
      <c r="B9098" t="n">
        <v>34404907</v>
      </c>
      <c r="C9098" s="2" t="n">
        <v>42317</v>
      </c>
      <c r="D9098" t="inlineStr">
        <is>
          <t>SPEC</t>
        </is>
      </c>
      <c r="E9098" t="inlineStr">
        <is>
          <t>PANNEAU GAINE400</t>
        </is>
      </c>
      <c r="F9098" t="inlineStr">
        <is>
          <t>G7K 500kVA</t>
        </is>
      </c>
      <c r="J9098" t="inlineStr">
        <is>
          <t>MATRION</t>
        </is>
      </c>
      <c r="L9098">
        <f>_xlfn.XLOOKUP(Tableau1[[#This Row],[TYPE DE PIECE]],Tableau4[MATIERE],Tableau4[SHORT TYPE],"",0,1)</f>
        <v/>
      </c>
      <c r="N9098">
        <f>IF(ISERR(FIND("DECOUPE",Tableau1[[#This Row],[DESIGNATION]])),"","NEED REF")</f>
        <v/>
      </c>
    </row>
    <row r="9099">
      <c r="B9099" t="n">
        <v>34404906</v>
      </c>
      <c r="C9099" s="2" t="n">
        <v>42317</v>
      </c>
      <c r="D9099" t="inlineStr">
        <is>
          <t>SPEC</t>
        </is>
      </c>
      <c r="E9099" t="inlineStr">
        <is>
          <t>MONTANT FIXATION PANNEAU GAINE400</t>
        </is>
      </c>
      <c r="F9099" t="inlineStr">
        <is>
          <t>G7K 500kVA</t>
        </is>
      </c>
      <c r="J9099" t="inlineStr">
        <is>
          <t>MATRION</t>
        </is>
      </c>
      <c r="L9099">
        <f>_xlfn.XLOOKUP(Tableau1[[#This Row],[TYPE DE PIECE]],Tableau4[MATIERE],Tableau4[SHORT TYPE],"",0,1)</f>
        <v/>
      </c>
      <c r="N9099">
        <f>IF(ISERR(FIND("DECOUPE",Tableau1[[#This Row],[DESIGNATION]])),"","NEED REF")</f>
        <v/>
      </c>
    </row>
    <row r="9100">
      <c r="B9100" t="n">
        <v>34404905</v>
      </c>
      <c r="C9100" s="2" t="n">
        <v>42314</v>
      </c>
      <c r="D9100" t="inlineStr">
        <is>
          <t>SPEC</t>
        </is>
      </c>
      <c r="E9100" t="inlineStr">
        <is>
          <t>PLASTRON PLEIN L=608</t>
        </is>
      </c>
      <c r="L9100">
        <f>_xlfn.XLOOKUP(Tableau1[[#This Row],[TYPE DE PIECE]],Tableau4[MATIERE],Tableau4[SHORT TYPE],"",0,1)</f>
        <v/>
      </c>
      <c r="N9100">
        <f>IF(ISERR(FIND("DECOUPE",Tableau1[[#This Row],[DESIGNATION]])),"","NEED REF")</f>
        <v/>
      </c>
    </row>
    <row r="9101">
      <c r="B9101" t="n">
        <v>34404904</v>
      </c>
      <c r="C9101" s="2" t="n">
        <v>42314</v>
      </c>
      <c r="D9101" t="inlineStr">
        <is>
          <t>SPEC</t>
        </is>
      </c>
      <c r="E9101" t="inlineStr">
        <is>
          <t>PLASTRON DECOUPE 773x608</t>
        </is>
      </c>
      <c r="F9101" t="inlineStr">
        <is>
          <t>SAREL 1800X700X800</t>
        </is>
      </c>
      <c r="J9101" t="inlineStr">
        <is>
          <t>ROBERT</t>
        </is>
      </c>
      <c r="L9101">
        <f>_xlfn.XLOOKUP(Tableau1[[#This Row],[TYPE DE PIECE]],Tableau4[MATIERE],Tableau4[SHORT TYPE],"",0,1)</f>
        <v/>
      </c>
      <c r="N9101">
        <f>IF(ISERR(FIND("DECOUPE",Tableau1[[#This Row],[DESIGNATION]])),"","NEED REF")</f>
        <v/>
      </c>
    </row>
    <row r="9102">
      <c r="B9102" t="n">
        <v>34404903</v>
      </c>
      <c r="C9102" s="2" t="n">
        <v>42314</v>
      </c>
      <c r="D9102" t="inlineStr">
        <is>
          <t>SPEC</t>
        </is>
      </c>
      <c r="E9102" t="inlineStr">
        <is>
          <t xml:space="preserve">PLASTRON PERFORE L=608 </t>
        </is>
      </c>
      <c r="F9102" t="inlineStr">
        <is>
          <t>SAREL 1800X700X800</t>
        </is>
      </c>
      <c r="J9102" t="inlineStr">
        <is>
          <t>ROBERT</t>
        </is>
      </c>
      <c r="L9102">
        <f>_xlfn.XLOOKUP(Tableau1[[#This Row],[TYPE DE PIECE]],Tableau4[MATIERE],Tableau4[SHORT TYPE],"",0,1)</f>
        <v/>
      </c>
      <c r="N9102">
        <f>IF(ISERR(FIND("DECOUPE",Tableau1[[#This Row],[DESIGNATION]])),"","NEED REF")</f>
        <v/>
      </c>
    </row>
    <row r="9103">
      <c r="B9103" t="n">
        <v>34404902</v>
      </c>
      <c r="C9103" s="2" t="n">
        <v>42312</v>
      </c>
      <c r="D9103" t="inlineStr">
        <is>
          <t>SPEC</t>
        </is>
      </c>
      <c r="E9103" t="inlineStr">
        <is>
          <t>TRAVERSE SUPPORT TFO L=688</t>
        </is>
      </c>
      <c r="F9103" t="inlineStr">
        <is>
          <t>SAREL 1800X700X800</t>
        </is>
      </c>
      <c r="J9103" t="inlineStr">
        <is>
          <t>ROBERT</t>
        </is>
      </c>
      <c r="L9103">
        <f>_xlfn.XLOOKUP(Tableau1[[#This Row],[TYPE DE PIECE]],Tableau4[MATIERE],Tableau4[SHORT TYPE],"",0,1)</f>
        <v/>
      </c>
      <c r="N9103">
        <f>IF(ISERR(FIND("DECOUPE",Tableau1[[#This Row],[DESIGNATION]])),"","NEED REF")</f>
        <v/>
      </c>
    </row>
    <row r="9104">
      <c r="B9104" t="n">
        <v>34404901</v>
      </c>
      <c r="C9104" s="2" t="n">
        <v>42312</v>
      </c>
      <c r="D9104" t="inlineStr">
        <is>
          <t>SPEC</t>
        </is>
      </c>
      <c r="E9104" t="inlineStr">
        <is>
          <t>TRAVERSE PROFONDEUR L=710</t>
        </is>
      </c>
      <c r="F9104" t="inlineStr">
        <is>
          <t>SAREL 1800X700X800</t>
        </is>
      </c>
      <c r="J9104" t="inlineStr">
        <is>
          <t>ROBERT</t>
        </is>
      </c>
      <c r="L9104">
        <f>_xlfn.XLOOKUP(Tableau1[[#This Row],[TYPE DE PIECE]],Tableau4[MATIERE],Tableau4[SHORT TYPE],"",0,1)</f>
        <v/>
      </c>
      <c r="N9104">
        <f>IF(ISERR(FIND("DECOUPE",Tableau1[[#This Row],[DESIGNATION]])),"","NEED REF")</f>
        <v/>
      </c>
    </row>
    <row r="9105">
      <c r="B9105" t="n">
        <v>34404900</v>
      </c>
      <c r="C9105" s="2" t="n">
        <v>42310</v>
      </c>
      <c r="D9105" t="inlineStr">
        <is>
          <t>SPEC</t>
        </is>
      </c>
      <c r="E9105" t="inlineStr">
        <is>
          <t>COFFRET NSYPLM108 SPECIFIQUE</t>
        </is>
      </c>
      <c r="J9105" t="inlineStr">
        <is>
          <t>MATRION</t>
        </is>
      </c>
      <c r="L9105">
        <f>_xlfn.XLOOKUP(Tableau1[[#This Row],[TYPE DE PIECE]],Tableau4[MATIERE],Tableau4[SHORT TYPE],"",0,1)</f>
        <v/>
      </c>
      <c r="N9105">
        <f>IF(ISERR(FIND("DECOUPE",Tableau1[[#This Row],[DESIGNATION]])),"","NEED REF")</f>
        <v/>
      </c>
    </row>
    <row r="9106">
      <c r="B9106" t="n">
        <v>34404899</v>
      </c>
      <c r="C9106" s="2" t="n">
        <v>42337</v>
      </c>
      <c r="D9106" t="inlineStr">
        <is>
          <t>SPEC</t>
        </is>
      </c>
      <c r="E9106" t="inlineStr">
        <is>
          <t>Rail din Lg 160</t>
        </is>
      </c>
      <c r="F9106" t="inlineStr">
        <is>
          <t>BCB BOX G6K</t>
        </is>
      </c>
      <c r="J9106" t="inlineStr">
        <is>
          <t>ROBERT</t>
        </is>
      </c>
      <c r="L9106">
        <f>_xlfn.XLOOKUP(Tableau1[[#This Row],[TYPE DE PIECE]],Tableau4[MATIERE],Tableau4[SHORT TYPE],"",0,1)</f>
        <v/>
      </c>
      <c r="N9106">
        <f>IF(ISERR(FIND("DECOUPE",Tableau1[[#This Row],[DESIGNATION]])),"","NEED REF")</f>
        <v/>
      </c>
    </row>
    <row r="9107">
      <c r="B9107" t="n">
        <v>34404898</v>
      </c>
      <c r="C9107" s="2" t="n">
        <v>42337</v>
      </c>
      <c r="D9107" t="inlineStr">
        <is>
          <t>SPEC</t>
        </is>
      </c>
      <c r="E9107" t="inlineStr">
        <is>
          <t>Rail din Lg 60</t>
        </is>
      </c>
      <c r="F9107" t="inlineStr">
        <is>
          <t>BCB BOX G6K</t>
        </is>
      </c>
      <c r="J9107" t="inlineStr">
        <is>
          <t>ROBERT</t>
        </is>
      </c>
      <c r="L9107">
        <f>_xlfn.XLOOKUP(Tableau1[[#This Row],[TYPE DE PIECE]],Tableau4[MATIERE],Tableau4[SHORT TYPE],"",0,1)</f>
        <v/>
      </c>
      <c r="N9107">
        <f>IF(ISERR(FIND("DECOUPE",Tableau1[[#This Row],[DESIGNATION]])),"","NEED REF")</f>
        <v/>
      </c>
    </row>
    <row r="9108">
      <c r="B9108" t="n">
        <v>34404897</v>
      </c>
      <c r="C9108" s="2" t="n">
        <v>42335</v>
      </c>
      <c r="D9108" t="inlineStr">
        <is>
          <t>NOM</t>
        </is>
      </c>
      <c r="E9108" t="inlineStr">
        <is>
          <t xml:space="preserve">LG PDPM NSX400 3P </t>
        </is>
      </c>
      <c r="F9108" t="inlineStr">
        <is>
          <t>PDPM NSX400 3P</t>
        </is>
      </c>
      <c r="J9108" t="inlineStr">
        <is>
          <t>ROBERT</t>
        </is>
      </c>
      <c r="L9108">
        <f>_xlfn.XLOOKUP(Tableau1[[#This Row],[TYPE DE PIECE]],Tableau4[MATIERE],Tableau4[SHORT TYPE],"",0,1)</f>
        <v/>
      </c>
      <c r="N9108">
        <f>IF(ISERR(FIND("DECOUPE",Tableau1[[#This Row],[DESIGNATION]])),"","NEED REF")</f>
        <v/>
      </c>
    </row>
    <row r="9109">
      <c r="B9109" t="n">
        <v>34404896</v>
      </c>
      <c r="C9109" s="2" t="n">
        <v>42300</v>
      </c>
      <c r="D9109" t="inlineStr">
        <is>
          <t>SPEC</t>
        </is>
      </c>
      <c r="E9109" t="inlineStr">
        <is>
          <t>PLATINE SUPPORT PE</t>
        </is>
      </c>
      <c r="F9109" t="inlineStr">
        <is>
          <t>PDPM NSX400 3P</t>
        </is>
      </c>
      <c r="J9109" t="inlineStr">
        <is>
          <t>ROBERT</t>
        </is>
      </c>
      <c r="L9109">
        <f>_xlfn.XLOOKUP(Tableau1[[#This Row],[TYPE DE PIECE]],Tableau4[MATIERE],Tableau4[SHORT TYPE],"",0,1)</f>
        <v/>
      </c>
      <c r="N9109">
        <f>IF(ISERR(FIND("DECOUPE",Tableau1[[#This Row],[DESIGNATION]])),"","NEED REF")</f>
        <v/>
      </c>
    </row>
    <row r="9110">
      <c r="B9110" t="n">
        <v>34404895</v>
      </c>
      <c r="C9110" s="2" t="n">
        <v>42300</v>
      </c>
      <c r="D9110" t="inlineStr">
        <is>
          <t>SPEC</t>
        </is>
      </c>
      <c r="E9110" t="inlineStr">
        <is>
          <t>CU PE-NEUTRE</t>
        </is>
      </c>
      <c r="F9110" t="inlineStr">
        <is>
          <t>PDPM NSX400 3P</t>
        </is>
      </c>
      <c r="J9110" t="inlineStr">
        <is>
          <t>ROBERT</t>
        </is>
      </c>
      <c r="L9110">
        <f>_xlfn.XLOOKUP(Tableau1[[#This Row],[TYPE DE PIECE]],Tableau4[MATIERE],Tableau4[SHORT TYPE],"",0,1)</f>
        <v/>
      </c>
      <c r="N9110">
        <f>IF(ISERR(FIND("DECOUPE",Tableau1[[#This Row],[DESIGNATION]])),"","NEED REF")</f>
        <v/>
      </c>
    </row>
    <row r="9111">
      <c r="B9111" t="n">
        <v>34404894</v>
      </c>
      <c r="C9111" s="2" t="n">
        <v>42293</v>
      </c>
      <c r="D9111" t="inlineStr">
        <is>
          <t>SPEC</t>
        </is>
      </c>
      <c r="E9111" t="inlineStr">
        <is>
          <t>SUPPORT GEDET DEPANNAGE</t>
        </is>
      </c>
      <c r="F9111" t="inlineStr">
        <is>
          <t>TOUTES</t>
        </is>
      </c>
      <c r="J9111" t="inlineStr">
        <is>
          <t>MATRION</t>
        </is>
      </c>
      <c r="L9111">
        <f>_xlfn.XLOOKUP(Tableau1[[#This Row],[TYPE DE PIECE]],Tableau4[MATIERE],Tableau4[SHORT TYPE],"",0,1)</f>
        <v/>
      </c>
      <c r="N9111">
        <f>IF(ISERR(FIND("DECOUPE",Tableau1[[#This Row],[DESIGNATION]])),"","NEED REF")</f>
        <v/>
      </c>
    </row>
    <row r="9112">
      <c r="B9112" t="n">
        <v>34404893</v>
      </c>
      <c r="C9112" s="2" t="n">
        <v>42291</v>
      </c>
      <c r="D9112" t="inlineStr">
        <is>
          <t>SPEC</t>
        </is>
      </c>
      <c r="E9112" t="inlineStr">
        <is>
          <t>KIT FILERIE G3500 COF DJ BATT</t>
        </is>
      </c>
      <c r="F9112" t="inlineStr">
        <is>
          <t>G3500</t>
        </is>
      </c>
      <c r="J9112" t="inlineStr">
        <is>
          <t>REVEL</t>
        </is>
      </c>
      <c r="L9112">
        <f>_xlfn.XLOOKUP(Tableau1[[#This Row],[TYPE DE PIECE]],Tableau4[MATIERE],Tableau4[SHORT TYPE],"",0,1)</f>
        <v/>
      </c>
      <c r="N9112">
        <f>IF(ISERR(FIND("DECOUPE",Tableau1[[#This Row],[DESIGNATION]])),"","NEED REF")</f>
        <v/>
      </c>
    </row>
    <row r="9113">
      <c r="B9113" t="n">
        <v>34404892</v>
      </c>
      <c r="C9113" s="2" t="n">
        <v>42289</v>
      </c>
      <c r="D9113" t="inlineStr">
        <is>
          <t>NOM</t>
        </is>
      </c>
      <c r="E9113" t="inlineStr">
        <is>
          <t>ARMOIRE 1000 BATTERIE MARINE G5500</t>
        </is>
      </c>
      <c r="F9113" t="inlineStr">
        <is>
          <t>TOUTES</t>
        </is>
      </c>
      <c r="J9113" t="inlineStr">
        <is>
          <t>MATRION</t>
        </is>
      </c>
      <c r="L9113">
        <f>_xlfn.XLOOKUP(Tableau1[[#This Row],[TYPE DE PIECE]],Tableau4[MATIERE],Tableau4[SHORT TYPE],"",0,1)</f>
        <v/>
      </c>
      <c r="N9113">
        <f>IF(ISERR(FIND("DECOUPE",Tableau1[[#This Row],[DESIGNATION]])),"","NEED REF")</f>
        <v/>
      </c>
    </row>
    <row r="9114">
      <c r="B9114" t="n">
        <v>34404891</v>
      </c>
      <c r="C9114" s="2" t="n">
        <v>42289</v>
      </c>
      <c r="D9114" t="inlineStr">
        <is>
          <t>NOM</t>
        </is>
      </c>
      <c r="E9114" t="inlineStr">
        <is>
          <t>ARMOIRE 700 BATTERIE MARINE G5500</t>
        </is>
      </c>
      <c r="F9114" t="inlineStr">
        <is>
          <t>TOUTES</t>
        </is>
      </c>
      <c r="J9114" t="inlineStr">
        <is>
          <t>MATRION</t>
        </is>
      </c>
      <c r="L9114">
        <f>_xlfn.XLOOKUP(Tableau1[[#This Row],[TYPE DE PIECE]],Tableau4[MATIERE],Tableau4[SHORT TYPE],"",0,1)</f>
        <v/>
      </c>
      <c r="N9114">
        <f>IF(ISERR(FIND("DECOUPE",Tableau1[[#This Row],[DESIGNATION]])),"","NEED REF")</f>
        <v/>
      </c>
    </row>
    <row r="9115">
      <c r="B9115" t="n">
        <v>34404890</v>
      </c>
      <c r="C9115" s="2" t="n">
        <v>42289</v>
      </c>
      <c r="D9115" t="inlineStr">
        <is>
          <t>NOM</t>
        </is>
      </c>
      <c r="E9115" t="inlineStr">
        <is>
          <t>ARMOIRE 1000 VIDE MARINE G5500</t>
        </is>
      </c>
      <c r="F9115" t="inlineStr">
        <is>
          <t>TOUTES</t>
        </is>
      </c>
      <c r="J9115" t="inlineStr">
        <is>
          <t>MATRION</t>
        </is>
      </c>
      <c r="L9115">
        <f>_xlfn.XLOOKUP(Tableau1[[#This Row],[TYPE DE PIECE]],Tableau4[MATIERE],Tableau4[SHORT TYPE],"",0,1)</f>
        <v/>
      </c>
      <c r="N9115">
        <f>IF(ISERR(FIND("DECOUPE",Tableau1[[#This Row],[DESIGNATION]])),"","NEED REF")</f>
        <v/>
      </c>
    </row>
    <row r="9116">
      <c r="B9116" t="n">
        <v>34404889</v>
      </c>
      <c r="C9116" s="2" t="n">
        <v>42289</v>
      </c>
      <c r="D9116" t="inlineStr">
        <is>
          <t>NOM</t>
        </is>
      </c>
      <c r="E9116" t="inlineStr">
        <is>
          <t>ARMOIRE 700 VIDE MARINE G5500</t>
        </is>
      </c>
      <c r="F9116" t="inlineStr">
        <is>
          <t>TOUTES</t>
        </is>
      </c>
      <c r="J9116" t="inlineStr">
        <is>
          <t>MATRION</t>
        </is>
      </c>
      <c r="L9116">
        <f>_xlfn.XLOOKUP(Tableau1[[#This Row],[TYPE DE PIECE]],Tableau4[MATIERE],Tableau4[SHORT TYPE],"",0,1)</f>
        <v/>
      </c>
      <c r="N9116">
        <f>IF(ISERR(FIND("DECOUPE",Tableau1[[#This Row],[DESIGNATION]])),"","NEED REF")</f>
        <v/>
      </c>
    </row>
    <row r="9117">
      <c r="B9117" t="n">
        <v>34404888</v>
      </c>
      <c r="C9117" s="2" t="n">
        <v>42284</v>
      </c>
      <c r="D9117" t="inlineStr">
        <is>
          <t>notice</t>
        </is>
      </c>
      <c r="E9117" t="inlineStr">
        <is>
          <t>Notice de test back feed integre à la NS via Q4S</t>
        </is>
      </c>
      <c r="F9117" t="inlineStr">
        <is>
          <t>Toutes</t>
        </is>
      </c>
      <c r="J9117" t="inlineStr">
        <is>
          <t>REVEL</t>
        </is>
      </c>
      <c r="L9117">
        <f>_xlfn.XLOOKUP(Tableau1[[#This Row],[TYPE DE PIECE]],Tableau4[MATIERE],Tableau4[SHORT TYPE],"",0,1)</f>
        <v/>
      </c>
      <c r="N9117">
        <f>IF(ISERR(FIND("DECOUPE",Tableau1[[#This Row],[DESIGNATION]])),"","NEED REF")</f>
        <v/>
      </c>
    </row>
    <row r="9118">
      <c r="B9118" t="n">
        <v>34404887</v>
      </c>
      <c r="C9118" s="2" t="n">
        <v>42284</v>
      </c>
      <c r="D9118" t="inlineStr">
        <is>
          <t>NOM</t>
        </is>
      </c>
      <c r="E9118" t="inlineStr">
        <is>
          <t xml:space="preserve">LG PDPM NSX400 4P </t>
        </is>
      </c>
      <c r="F9118" t="inlineStr">
        <is>
          <t>TOUTES</t>
        </is>
      </c>
      <c r="J9118" t="inlineStr">
        <is>
          <t>ÇAKIR</t>
        </is>
      </c>
      <c r="L9118">
        <f>_xlfn.XLOOKUP(Tableau1[[#This Row],[TYPE DE PIECE]],Tableau4[MATIERE],Tableau4[SHORT TYPE],"",0,1)</f>
        <v/>
      </c>
      <c r="N9118">
        <f>IF(ISERR(FIND("DECOUPE",Tableau1[[#This Row],[DESIGNATION]])),"","NEED REF")</f>
        <v/>
      </c>
    </row>
    <row r="9119">
      <c r="B9119" t="n">
        <v>34404886</v>
      </c>
      <c r="C9119" s="2" t="n">
        <v>42283</v>
      </c>
      <c r="D9119" t="inlineStr">
        <is>
          <t>SPEC</t>
        </is>
      </c>
      <c r="E9119" t="inlineStr">
        <is>
          <t>Traverse L= 473 support GAB</t>
        </is>
      </c>
      <c r="F9119" t="inlineStr">
        <is>
          <t>BDF</t>
        </is>
      </c>
      <c r="J9119" t="inlineStr">
        <is>
          <t>DUBOIS</t>
        </is>
      </c>
      <c r="L9119">
        <f>_xlfn.XLOOKUP(Tableau1[[#This Row],[TYPE DE PIECE]],Tableau4[MATIERE],Tableau4[SHORT TYPE],"",0,1)</f>
        <v/>
      </c>
      <c r="N9119">
        <f>IF(ISERR(FIND("DECOUPE",Tableau1[[#This Row],[DESIGNATION]])),"","NEED REF")</f>
        <v/>
      </c>
    </row>
    <row r="9120">
      <c r="B9120" t="n">
        <v>34404885</v>
      </c>
      <c r="C9120" s="2" t="n">
        <v>42282</v>
      </c>
      <c r="D9120" t="inlineStr">
        <is>
          <t>SPEC</t>
        </is>
      </c>
      <c r="E9120" t="inlineStr">
        <is>
          <t>BLOC DE DECONNEXION</t>
        </is>
      </c>
      <c r="J9120" t="inlineStr">
        <is>
          <t>PLANTIER</t>
        </is>
      </c>
      <c r="L9120">
        <f>_xlfn.XLOOKUP(Tableau1[[#This Row],[TYPE DE PIECE]],Tableau4[MATIERE],Tableau4[SHORT TYPE],"",0,1)</f>
        <v/>
      </c>
      <c r="N9120">
        <f>IF(ISERR(FIND("DECOUPE",Tableau1[[#This Row],[DESIGNATION]])),"","NEED REF")</f>
        <v/>
      </c>
    </row>
    <row r="9121">
      <c r="B9121" t="n">
        <v>34404884</v>
      </c>
      <c r="C9121" s="2" t="n">
        <v>42279</v>
      </c>
      <c r="D9121" t="inlineStr">
        <is>
          <t>SPEC</t>
        </is>
      </c>
      <c r="E9121" t="inlineStr">
        <is>
          <t>CANEVAS DE CDE INVERSEUR DE SOURCE 2XNSX400 NA AUTOMATISE</t>
        </is>
      </c>
      <c r="F9121" t="inlineStr">
        <is>
          <t>Mise à stock</t>
        </is>
      </c>
      <c r="J9121" t="inlineStr">
        <is>
          <t>ROBERT</t>
        </is>
      </c>
      <c r="L9121">
        <f>_xlfn.XLOOKUP(Tableau1[[#This Row],[TYPE DE PIECE]],Tableau4[MATIERE],Tableau4[SHORT TYPE],"",0,1)</f>
        <v/>
      </c>
      <c r="N9121">
        <f>IF(ISERR(FIND("DECOUPE",Tableau1[[#This Row],[DESIGNATION]])),"","NEED REF")</f>
        <v/>
      </c>
    </row>
    <row r="9122">
      <c r="B9122" t="n">
        <v>34404883</v>
      </c>
      <c r="C9122" s="2" t="n">
        <v>42279</v>
      </c>
      <c r="D9122" t="inlineStr">
        <is>
          <t>notice</t>
        </is>
      </c>
      <c r="E9122" t="inlineStr">
        <is>
          <t xml:space="preserve">Notice d'utilisation Bypass externe G300 + ASI </t>
        </is>
      </c>
      <c r="F9122" t="inlineStr">
        <is>
          <t>ARKEMA HONFLEUR</t>
        </is>
      </c>
      <c r="J9122" t="inlineStr">
        <is>
          <t>MONGELLI</t>
        </is>
      </c>
      <c r="L9122">
        <f>_xlfn.XLOOKUP(Tableau1[[#This Row],[TYPE DE PIECE]],Tableau4[MATIERE],Tableau4[SHORT TYPE],"",0,1)</f>
        <v/>
      </c>
      <c r="N9122">
        <f>IF(ISERR(FIND("DECOUPE",Tableau1[[#This Row],[DESIGNATION]])),"","NEED REF")</f>
        <v/>
      </c>
    </row>
    <row r="9123">
      <c r="B9123" t="n">
        <v>34404882</v>
      </c>
      <c r="C9123" s="2" t="n">
        <v>42268</v>
      </c>
      <c r="D9123" t="inlineStr">
        <is>
          <t>NOM</t>
        </is>
      </c>
      <c r="E9123" t="inlineStr">
        <is>
          <t>ENS SAREL SUPPORT 1200 (1110)</t>
        </is>
      </c>
      <c r="F9123" t="inlineStr">
        <is>
          <t>BDF</t>
        </is>
      </c>
      <c r="J9123" t="inlineStr">
        <is>
          <t>MATRION</t>
        </is>
      </c>
      <c r="L9123">
        <f>_xlfn.XLOOKUP(Tableau1[[#This Row],[TYPE DE PIECE]],Tableau4[MATIERE],Tableau4[SHORT TYPE],"",0,1)</f>
        <v/>
      </c>
      <c r="N9123">
        <f>IF(ISERR(FIND("DECOUPE",Tableau1[[#This Row],[DESIGNATION]])),"","NEED REF")</f>
        <v/>
      </c>
    </row>
    <row r="9124">
      <c r="B9124" t="n">
        <v>34404881</v>
      </c>
      <c r="C9124" s="2" t="n">
        <v>42268</v>
      </c>
      <c r="D9124" t="inlineStr">
        <is>
          <t>NOM</t>
        </is>
      </c>
      <c r="E9124" t="inlineStr">
        <is>
          <t>ENS SAREL SUPPORT (376.00)</t>
        </is>
      </c>
      <c r="F9124" t="inlineStr">
        <is>
          <t>BDF</t>
        </is>
      </c>
      <c r="J9124" t="inlineStr">
        <is>
          <t>MATRION</t>
        </is>
      </c>
      <c r="L9124">
        <f>_xlfn.XLOOKUP(Tableau1[[#This Row],[TYPE DE PIECE]],Tableau4[MATIERE],Tableau4[SHORT TYPE],"",0,1)</f>
        <v/>
      </c>
      <c r="N9124">
        <f>IF(ISERR(FIND("DECOUPE",Tableau1[[#This Row],[DESIGNATION]])),"","NEED REF")</f>
        <v/>
      </c>
    </row>
    <row r="9125">
      <c r="B9125" t="n">
        <v>34404880</v>
      </c>
      <c r="C9125" s="2" t="n">
        <v>42268</v>
      </c>
      <c r="D9125" t="inlineStr">
        <is>
          <t>SPEC</t>
        </is>
      </c>
      <c r="E9125" t="inlineStr">
        <is>
          <t>SAREL SUPPORT (376.00)</t>
        </is>
      </c>
      <c r="F9125" t="inlineStr">
        <is>
          <t>BDF</t>
        </is>
      </c>
      <c r="J9125" t="inlineStr">
        <is>
          <t>MATRION</t>
        </is>
      </c>
      <c r="L9125">
        <f>_xlfn.XLOOKUP(Tableau1[[#This Row],[TYPE DE PIECE]],Tableau4[MATIERE],Tableau4[SHORT TYPE],"",0,1)</f>
        <v/>
      </c>
      <c r="N9125">
        <f>IF(ISERR(FIND("DECOUPE",Tableau1[[#This Row],[DESIGNATION]])),"","NEED REF")</f>
        <v/>
      </c>
    </row>
    <row r="9126">
      <c r="B9126" t="n">
        <v>34404879</v>
      </c>
      <c r="C9126" s="2" t="n">
        <v>42268</v>
      </c>
      <c r="D9126" t="inlineStr">
        <is>
          <t>ETIQ</t>
        </is>
      </c>
      <c r="E9126" t="inlineStr">
        <is>
          <t>Consigne Armoire Batterie Pleine</t>
        </is>
      </c>
      <c r="F9126" t="inlineStr">
        <is>
          <t>MERLOT</t>
        </is>
      </c>
      <c r="J9126" t="inlineStr">
        <is>
          <t>ÇAKIR</t>
        </is>
      </c>
      <c r="K9126" t="inlineStr">
        <is>
          <t>DILOPHANE</t>
        </is>
      </c>
      <c r="L9126">
        <f>_xlfn.XLOOKUP(Tableau1[[#This Row],[TYPE DE PIECE]],Tableau4[MATIERE],Tableau4[SHORT TYPE],"",0,1)</f>
        <v/>
      </c>
      <c r="N9126">
        <f>IF(ISERR(FIND("DECOUPE",Tableau1[[#This Row],[DESIGNATION]])),"","NEED REF")</f>
        <v/>
      </c>
    </row>
    <row r="9127">
      <c r="B9127" t="n">
        <v>34404878</v>
      </c>
      <c r="C9127" s="2" t="n">
        <v>42262</v>
      </c>
      <c r="D9127" t="inlineStr">
        <is>
          <t>SPEC</t>
        </is>
      </c>
      <c r="E9127" t="inlineStr">
        <is>
          <t>EQUERRE DE PROTECTION REAR</t>
        </is>
      </c>
      <c r="F9127" t="inlineStr">
        <is>
          <t>GVM</t>
        </is>
      </c>
      <c r="J9127" t="inlineStr">
        <is>
          <t>ROBERT</t>
        </is>
      </c>
      <c r="L9127">
        <f>_xlfn.XLOOKUP(Tableau1[[#This Row],[TYPE DE PIECE]],Tableau4[MATIERE],Tableau4[SHORT TYPE],"",0,1)</f>
        <v/>
      </c>
      <c r="N9127">
        <f>IF(ISERR(FIND("DECOUPE",Tableau1[[#This Row],[DESIGNATION]])),"","NEED REF")</f>
        <v/>
      </c>
    </row>
    <row r="9128">
      <c r="B9128" t="n">
        <v>34404877</v>
      </c>
      <c r="C9128" s="2" t="n">
        <v>42262</v>
      </c>
      <c r="D9128" t="inlineStr">
        <is>
          <t>SPEC</t>
        </is>
      </c>
      <c r="E9128" t="inlineStr">
        <is>
          <t>EQUERRE DE PROTECTION FRONT</t>
        </is>
      </c>
      <c r="F9128" t="inlineStr">
        <is>
          <t>GVM</t>
        </is>
      </c>
      <c r="J9128" t="inlineStr">
        <is>
          <t>ROBERT</t>
        </is>
      </c>
      <c r="L9128">
        <f>_xlfn.XLOOKUP(Tableau1[[#This Row],[TYPE DE PIECE]],Tableau4[MATIERE],Tableau4[SHORT TYPE],"",0,1)</f>
        <v/>
      </c>
      <c r="N9128">
        <f>IF(ISERR(FIND("DECOUPE",Tableau1[[#This Row],[DESIGNATION]])),"","NEED REF")</f>
        <v/>
      </c>
    </row>
    <row r="9129">
      <c r="B9129" t="n">
        <v>34404876</v>
      </c>
      <c r="C9129" s="2" t="n">
        <v>42262</v>
      </c>
      <c r="D9129" t="inlineStr">
        <is>
          <t>SPEC</t>
        </is>
      </c>
      <c r="E9129" t="inlineStr">
        <is>
          <t>U de MANUTENTION</t>
        </is>
      </c>
      <c r="F9129" t="inlineStr">
        <is>
          <t>GVM</t>
        </is>
      </c>
      <c r="J9129" t="inlineStr">
        <is>
          <t>ROBERT</t>
        </is>
      </c>
      <c r="L9129">
        <f>_xlfn.XLOOKUP(Tableau1[[#This Row],[TYPE DE PIECE]],Tableau4[MATIERE],Tableau4[SHORT TYPE],"",0,1)</f>
        <v/>
      </c>
      <c r="N9129">
        <f>IF(ISERR(FIND("DECOUPE",Tableau1[[#This Row],[DESIGNATION]])),"","NEED REF")</f>
        <v/>
      </c>
    </row>
    <row r="9130">
      <c r="B9130" t="n">
        <v>34404875</v>
      </c>
      <c r="C9130" s="2" t="n">
        <v>42262</v>
      </c>
      <c r="D9130" t="inlineStr">
        <is>
          <t>SPEC</t>
        </is>
      </c>
      <c r="E9130" t="inlineStr">
        <is>
          <t>ANGLE TRANSPORT FRONT</t>
        </is>
      </c>
      <c r="F9130" t="inlineStr">
        <is>
          <t>GVM</t>
        </is>
      </c>
      <c r="J9130" t="inlineStr">
        <is>
          <t>ROBERT</t>
        </is>
      </c>
      <c r="L9130">
        <f>_xlfn.XLOOKUP(Tableau1[[#This Row],[TYPE DE PIECE]],Tableau4[MATIERE],Tableau4[SHORT TYPE],"",0,1)</f>
        <v/>
      </c>
      <c r="N9130">
        <f>IF(ISERR(FIND("DECOUPE",Tableau1[[#This Row],[DESIGNATION]])),"","NEED REF")</f>
        <v/>
      </c>
    </row>
    <row r="9131">
      <c r="B9131" t="n">
        <v>34404874</v>
      </c>
      <c r="C9131" s="2" t="n">
        <v>42262</v>
      </c>
      <c r="D9131" t="inlineStr">
        <is>
          <t>SPEC</t>
        </is>
      </c>
      <c r="E9131" t="inlineStr">
        <is>
          <t>ANGLE TRANSPORT REAR</t>
        </is>
      </c>
      <c r="F9131" t="inlineStr">
        <is>
          <t>GVM</t>
        </is>
      </c>
      <c r="J9131" t="inlineStr">
        <is>
          <t>ROBERT</t>
        </is>
      </c>
      <c r="L9131">
        <f>_xlfn.XLOOKUP(Tableau1[[#This Row],[TYPE DE PIECE]],Tableau4[MATIERE],Tableau4[SHORT TYPE],"",0,1)</f>
        <v/>
      </c>
      <c r="N9131">
        <f>IF(ISERR(FIND("DECOUPE",Tableau1[[#This Row],[DESIGNATION]])),"","NEED REF")</f>
        <v/>
      </c>
    </row>
    <row r="9132">
      <c r="B9132" t="n">
        <v>34404873</v>
      </c>
      <c r="C9132" s="2" t="n">
        <v>42258</v>
      </c>
      <c r="D9132" t="inlineStr">
        <is>
          <t>SPEC</t>
        </is>
      </c>
      <c r="E9132" t="inlineStr">
        <is>
          <t>BYPASS CUBICLE G7K 2000kVA CHAINE A</t>
        </is>
      </c>
      <c r="F9132" t="inlineStr">
        <is>
          <t>BDF</t>
        </is>
      </c>
      <c r="J9132" t="inlineStr">
        <is>
          <t>MATRION</t>
        </is>
      </c>
      <c r="L9132">
        <f>_xlfn.XLOOKUP(Tableau1[[#This Row],[TYPE DE PIECE]],Tableau4[MATIERE],Tableau4[SHORT TYPE],"",0,1)</f>
        <v/>
      </c>
      <c r="N9132">
        <f>IF(ISERR(FIND("DECOUPE",Tableau1[[#This Row],[DESIGNATION]])),"","NEED REF")</f>
        <v/>
      </c>
    </row>
    <row r="9133">
      <c r="B9133" t="n">
        <v>34404872</v>
      </c>
      <c r="C9133" s="2" t="n">
        <v>42258</v>
      </c>
      <c r="D9133" t="inlineStr">
        <is>
          <t>SPEC</t>
        </is>
      </c>
      <c r="E9133" t="inlineStr">
        <is>
          <t>NS CUBICLE G7K 2000kVA CHAINE A</t>
        </is>
      </c>
      <c r="F9133" t="inlineStr">
        <is>
          <t>BDF</t>
        </is>
      </c>
      <c r="J9133" t="inlineStr">
        <is>
          <t>MATRION</t>
        </is>
      </c>
      <c r="L9133">
        <f>_xlfn.XLOOKUP(Tableau1[[#This Row],[TYPE DE PIECE]],Tableau4[MATIERE],Tableau4[SHORT TYPE],"",0,1)</f>
        <v/>
      </c>
      <c r="N9133">
        <f>IF(ISERR(FIND("DECOUPE",Tableau1[[#This Row],[DESIGNATION]])),"","NEED REF")</f>
        <v/>
      </c>
    </row>
    <row r="9134">
      <c r="B9134" t="n">
        <v>34404871</v>
      </c>
      <c r="C9134" s="2" t="n">
        <v>42258</v>
      </c>
      <c r="D9134" t="inlineStr">
        <is>
          <t>SPEC</t>
        </is>
      </c>
      <c r="E9134" t="inlineStr">
        <is>
          <t>BYPASS CUBICLE G7K 2000kVA CHAINE B</t>
        </is>
      </c>
      <c r="F9134" t="inlineStr">
        <is>
          <t>BDF</t>
        </is>
      </c>
      <c r="J9134" t="inlineStr">
        <is>
          <t>MATRION</t>
        </is>
      </c>
      <c r="L9134">
        <f>_xlfn.XLOOKUP(Tableau1[[#This Row],[TYPE DE PIECE]],Tableau4[MATIERE],Tableau4[SHORT TYPE],"",0,1)</f>
        <v/>
      </c>
      <c r="N9134">
        <f>IF(ISERR(FIND("DECOUPE",Tableau1[[#This Row],[DESIGNATION]])),"","NEED REF")</f>
        <v/>
      </c>
    </row>
    <row r="9135">
      <c r="B9135" t="n">
        <v>34404870</v>
      </c>
      <c r="C9135" s="2" t="n">
        <v>42258</v>
      </c>
      <c r="D9135" t="inlineStr">
        <is>
          <t>SPEC</t>
        </is>
      </c>
      <c r="E9135" t="inlineStr">
        <is>
          <t>NS CUBICLE G7K 2000kVA CHAINE B</t>
        </is>
      </c>
      <c r="F9135" t="inlineStr">
        <is>
          <t>BDF</t>
        </is>
      </c>
      <c r="J9135" t="inlineStr">
        <is>
          <t>MATRION</t>
        </is>
      </c>
      <c r="L9135">
        <f>_xlfn.XLOOKUP(Tableau1[[#This Row],[TYPE DE PIECE]],Tableau4[MATIERE],Tableau4[SHORT TYPE],"",0,1)</f>
        <v/>
      </c>
      <c r="N9135">
        <f>IF(ISERR(FIND("DECOUPE",Tableau1[[#This Row],[DESIGNATION]])),"","NEED REF")</f>
        <v/>
      </c>
    </row>
    <row r="9136">
      <c r="B9136" t="n">
        <v>34404869</v>
      </c>
      <c r="C9136" s="2" t="n">
        <v>42258</v>
      </c>
      <c r="D9136" t="inlineStr">
        <is>
          <t>SPEC</t>
        </is>
      </c>
      <c r="E9136" t="inlineStr">
        <is>
          <t>Recoupe equerre support DJ</t>
        </is>
      </c>
      <c r="F9136" t="inlineStr">
        <is>
          <t>BACK FEED</t>
        </is>
      </c>
      <c r="J9136" t="inlineStr">
        <is>
          <t>REVEL</t>
        </is>
      </c>
      <c r="K9136" t="inlineStr">
        <is>
          <t>ETO</t>
        </is>
      </c>
      <c r="L9136">
        <f>_xlfn.XLOOKUP(Tableau1[[#This Row],[TYPE DE PIECE]],Tableau4[MATIERE],Tableau4[SHORT TYPE],"",0,1)</f>
        <v/>
      </c>
      <c r="N9136">
        <f>IF(ISERR(FIND("DECOUPE",Tableau1[[#This Row],[DESIGNATION]])),"","NEED REF")</f>
        <v/>
      </c>
    </row>
    <row r="9137">
      <c r="B9137" t="n">
        <v>34404868</v>
      </c>
      <c r="C9137" s="2" t="n">
        <v>42258</v>
      </c>
      <c r="D9137" t="inlineStr">
        <is>
          <t>SPEC</t>
        </is>
      </c>
      <c r="E9137" t="inlineStr">
        <is>
          <t>Rail din backfeed DATA 4 support DJ</t>
        </is>
      </c>
      <c r="F9137" t="inlineStr">
        <is>
          <t>BACK FEED</t>
        </is>
      </c>
      <c r="J9137" t="inlineStr">
        <is>
          <t>REVEL</t>
        </is>
      </c>
      <c r="K9137" t="inlineStr">
        <is>
          <t>ETO</t>
        </is>
      </c>
      <c r="L9137">
        <f>_xlfn.XLOOKUP(Tableau1[[#This Row],[TYPE DE PIECE]],Tableau4[MATIERE],Tableau4[SHORT TYPE],"",0,1)</f>
        <v/>
      </c>
      <c r="N9137">
        <f>IF(ISERR(FIND("DECOUPE",Tableau1[[#This Row],[DESIGNATION]])),"","NEED REF")</f>
        <v/>
      </c>
    </row>
    <row r="9138">
      <c r="B9138" t="n">
        <v>34404867</v>
      </c>
      <c r="C9138" s="2" t="n">
        <v>42257</v>
      </c>
      <c r="D9138" t="inlineStr">
        <is>
          <t>SPEC</t>
        </is>
      </c>
      <c r="E9138" t="inlineStr">
        <is>
          <t>Rail din backfeed DATA 4</t>
        </is>
      </c>
      <c r="F9138" t="inlineStr">
        <is>
          <t>BACK FEED</t>
        </is>
      </c>
      <c r="J9138" t="inlineStr">
        <is>
          <t>REVEL</t>
        </is>
      </c>
      <c r="K9138" t="inlineStr">
        <is>
          <t>ETO</t>
        </is>
      </c>
      <c r="L9138">
        <f>_xlfn.XLOOKUP(Tableau1[[#This Row],[TYPE DE PIECE]],Tableau4[MATIERE],Tableau4[SHORT TYPE],"",0,1)</f>
        <v/>
      </c>
      <c r="N9138">
        <f>IF(ISERR(FIND("DECOUPE",Tableau1[[#This Row],[DESIGNATION]])),"","NEED REF")</f>
        <v/>
      </c>
    </row>
    <row r="9139">
      <c r="B9139" t="n">
        <v>34404866</v>
      </c>
      <c r="C9139" s="2" t="n">
        <v>42256</v>
      </c>
      <c r="D9139" t="inlineStr">
        <is>
          <t>SPEC</t>
        </is>
      </c>
      <c r="E9139" t="inlineStr">
        <is>
          <t>Rail din backfeed L=350</t>
        </is>
      </c>
      <c r="F9139" t="inlineStr">
        <is>
          <t>BDF</t>
        </is>
      </c>
      <c r="J9139" t="inlineStr">
        <is>
          <t>DUBOIS</t>
        </is>
      </c>
      <c r="K9139" t="inlineStr">
        <is>
          <t>Tolerie</t>
        </is>
      </c>
      <c r="L9139">
        <f>_xlfn.XLOOKUP(Tableau1[[#This Row],[TYPE DE PIECE]],Tableau4[MATIERE],Tableau4[SHORT TYPE],"",0,1)</f>
        <v/>
      </c>
      <c r="N9139">
        <f>IF(ISERR(FIND("DECOUPE",Tableau1[[#This Row],[DESIGNATION]])),"","NEED REF")</f>
        <v/>
      </c>
    </row>
    <row r="9140">
      <c r="B9140" t="n">
        <v>34404865</v>
      </c>
      <c r="C9140" s="2" t="n">
        <v>42255</v>
      </c>
      <c r="D9140" t="inlineStr">
        <is>
          <t>SPEC</t>
        </is>
      </c>
      <c r="E9140" t="inlineStr">
        <is>
          <t>CORNIERE DE LEVAGE</t>
        </is>
      </c>
      <c r="F9140" t="inlineStr">
        <is>
          <t>BDF</t>
        </is>
      </c>
      <c r="J9140" t="inlineStr">
        <is>
          <t>MATRION</t>
        </is>
      </c>
      <c r="K9140" t="inlineStr">
        <is>
          <t>METAL</t>
        </is>
      </c>
      <c r="L9140">
        <f>_xlfn.XLOOKUP(Tableau1[[#This Row],[TYPE DE PIECE]],Tableau4[MATIERE],Tableau4[SHORT TYPE],"",0,1)</f>
        <v/>
      </c>
      <c r="N9140">
        <f>IF(ISERR(FIND("DECOUPE",Tableau1[[#This Row],[DESIGNATION]])),"","NEED REF")</f>
        <v/>
      </c>
    </row>
    <row r="9141">
      <c r="B9141" t="n">
        <v>34404864</v>
      </c>
      <c r="C9141" s="2" t="n">
        <v>42255</v>
      </c>
      <c r="D9141" t="inlineStr">
        <is>
          <t>SPEC</t>
        </is>
      </c>
      <c r="E9141" t="inlineStr">
        <is>
          <t>Cale 50x100x10</t>
        </is>
      </c>
      <c r="F9141" t="inlineStr">
        <is>
          <t>BDF</t>
        </is>
      </c>
      <c r="J9141" t="inlineStr">
        <is>
          <t>MATRION</t>
        </is>
      </c>
      <c r="K9141" t="inlineStr">
        <is>
          <t>CUIVRE</t>
        </is>
      </c>
      <c r="L9141">
        <f>_xlfn.XLOOKUP(Tableau1[[#This Row],[TYPE DE PIECE]],Tableau4[MATIERE],Tableau4[SHORT TYPE],"",0,1)</f>
        <v/>
      </c>
      <c r="N9141">
        <f>IF(ISERR(FIND("DECOUPE",Tableau1[[#This Row],[DESIGNATION]])),"","NEED REF")</f>
        <v/>
      </c>
    </row>
    <row r="9142">
      <c r="B9142" t="n">
        <v>34404863</v>
      </c>
      <c r="C9142" s="2" t="n">
        <v>42251</v>
      </c>
      <c r="D9142" t="inlineStr">
        <is>
          <t>SPEC</t>
        </is>
      </c>
      <c r="E9142" t="inlineStr">
        <is>
          <t>Traverse L=1108 H=100 P=50</t>
        </is>
      </c>
      <c r="F9142" t="inlineStr">
        <is>
          <t>BDF</t>
        </is>
      </c>
      <c r="J9142" t="inlineStr">
        <is>
          <t>MASCELLINO</t>
        </is>
      </c>
      <c r="L9142">
        <f>_xlfn.XLOOKUP(Tableau1[[#This Row],[TYPE DE PIECE]],Tableau4[MATIERE],Tableau4[SHORT TYPE],"",0,1)</f>
        <v/>
      </c>
      <c r="N9142">
        <f>IF(ISERR(FIND("DECOUPE",Tableau1[[#This Row],[DESIGNATION]])),"","NEED REF")</f>
        <v/>
      </c>
    </row>
    <row r="9143">
      <c r="B9143" t="n">
        <v>34404862</v>
      </c>
      <c r="C9143" s="2" t="n">
        <v>42250</v>
      </c>
      <c r="D9143" t="inlineStr">
        <is>
          <t>SPEC</t>
        </is>
      </c>
      <c r="E9143" t="inlineStr">
        <is>
          <t>Ensemble barre chaine B</t>
        </is>
      </c>
      <c r="F9143" t="inlineStr">
        <is>
          <t>BDF</t>
        </is>
      </c>
      <c r="J9143" t="inlineStr">
        <is>
          <t>MASCELLINO</t>
        </is>
      </c>
      <c r="L9143">
        <f>_xlfn.XLOOKUP(Tableau1[[#This Row],[TYPE DE PIECE]],Tableau4[MATIERE],Tableau4[SHORT TYPE],"",0,1)</f>
        <v/>
      </c>
      <c r="N9143">
        <f>IF(ISERR(FIND("DECOUPE",Tableau1[[#This Row],[DESIGNATION]])),"","NEED REF")</f>
        <v/>
      </c>
    </row>
    <row r="9144">
      <c r="B9144" t="n">
        <v>34404861</v>
      </c>
      <c r="C9144" s="2" t="n">
        <v>42250</v>
      </c>
      <c r="D9144" t="inlineStr">
        <is>
          <t>SPEC</t>
        </is>
      </c>
      <c r="E9144" t="inlineStr">
        <is>
          <t>Ensemble barre chaine A</t>
        </is>
      </c>
      <c r="F9144" t="inlineStr">
        <is>
          <t>BDF</t>
        </is>
      </c>
      <c r="J9144" t="inlineStr">
        <is>
          <t>MASCELLINO</t>
        </is>
      </c>
      <c r="L9144">
        <f>_xlfn.XLOOKUP(Tableau1[[#This Row],[TYPE DE PIECE]],Tableau4[MATIERE],Tableau4[SHORT TYPE],"",0,1)</f>
        <v/>
      </c>
      <c r="N9144">
        <f>IF(ISERR(FIND("DECOUPE",Tableau1[[#This Row],[DESIGNATION]])),"","NEED REF")</f>
        <v/>
      </c>
    </row>
    <row r="9145">
      <c r="B9145" t="n">
        <v>34404860</v>
      </c>
      <c r="C9145" s="2" t="n">
        <v>42249</v>
      </c>
      <c r="D9145" t="inlineStr">
        <is>
          <t>SPEC</t>
        </is>
      </c>
      <c r="E9145" t="inlineStr">
        <is>
          <t>Traverse L=1108 H=100 P=50</t>
        </is>
      </c>
      <c r="F9145" t="inlineStr">
        <is>
          <t>BDF</t>
        </is>
      </c>
      <c r="J9145" t="inlineStr">
        <is>
          <t>MASCELLINO</t>
        </is>
      </c>
      <c r="L9145">
        <f>_xlfn.XLOOKUP(Tableau1[[#This Row],[TYPE DE PIECE]],Tableau4[MATIERE],Tableau4[SHORT TYPE],"",0,1)</f>
        <v/>
      </c>
      <c r="N9145">
        <f>IF(ISERR(FIND("DECOUPE",Tableau1[[#This Row],[DESIGNATION]])),"","NEED REF")</f>
        <v/>
      </c>
    </row>
    <row r="9146">
      <c r="B9146" t="n">
        <v>34404859</v>
      </c>
      <c r="C9146" s="2" t="n">
        <v>42249</v>
      </c>
      <c r="D9146" t="inlineStr">
        <is>
          <t>SPEC</t>
        </is>
      </c>
      <c r="E9146" t="inlineStr">
        <is>
          <t>Traverse L=1108 H=100 P=50</t>
        </is>
      </c>
      <c r="F9146" t="inlineStr">
        <is>
          <t>BDF</t>
        </is>
      </c>
      <c r="J9146" t="inlineStr">
        <is>
          <t>MASCELLINO</t>
        </is>
      </c>
      <c r="L9146">
        <f>_xlfn.XLOOKUP(Tableau1[[#This Row],[TYPE DE PIECE]],Tableau4[MATIERE],Tableau4[SHORT TYPE],"",0,1)</f>
        <v/>
      </c>
      <c r="N9146">
        <f>IF(ISERR(FIND("DECOUPE",Tableau1[[#This Row],[DESIGNATION]])),"","NEED REF")</f>
        <v/>
      </c>
    </row>
    <row r="9147">
      <c r="B9147" t="n">
        <v>34404858</v>
      </c>
      <c r="C9147" s="2" t="n">
        <v>42249</v>
      </c>
      <c r="D9147" t="inlineStr">
        <is>
          <t>SPEC</t>
        </is>
      </c>
      <c r="E9147" t="inlineStr">
        <is>
          <t>Barre cuivre cellule ns chaine A</t>
        </is>
      </c>
      <c r="L9147">
        <f>_xlfn.XLOOKUP(Tableau1[[#This Row],[TYPE DE PIECE]],Tableau4[MATIERE],Tableau4[SHORT TYPE],"",0,1)</f>
        <v/>
      </c>
      <c r="N9147">
        <f>IF(ISERR(FIND("DECOUPE",Tableau1[[#This Row],[DESIGNATION]])),"","NEED REF")</f>
        <v/>
      </c>
    </row>
    <row r="9148">
      <c r="B9148" t="n">
        <v>34404857</v>
      </c>
      <c r="C9148" s="2" t="n">
        <v>42249</v>
      </c>
      <c r="D9148" t="inlineStr">
        <is>
          <t>SPEC</t>
        </is>
      </c>
      <c r="E9148" t="inlineStr">
        <is>
          <t>Barre cuivre cellule ns chaine A</t>
        </is>
      </c>
      <c r="F9148" t="inlineStr">
        <is>
          <t>BDF</t>
        </is>
      </c>
      <c r="J9148" t="inlineStr">
        <is>
          <t>DUBOIS</t>
        </is>
      </c>
      <c r="K9148" t="inlineStr">
        <is>
          <t>cuivre</t>
        </is>
      </c>
      <c r="L9148">
        <f>_xlfn.XLOOKUP(Tableau1[[#This Row],[TYPE DE PIECE]],Tableau4[MATIERE],Tableau4[SHORT TYPE],"",0,1)</f>
        <v/>
      </c>
      <c r="N9148">
        <f>IF(ISERR(FIND("DECOUPE",Tableau1[[#This Row],[DESIGNATION]])),"","NEED REF")</f>
        <v/>
      </c>
    </row>
    <row r="9149">
      <c r="B9149" t="n">
        <v>34404856</v>
      </c>
      <c r="C9149" s="2" t="n">
        <v>42249</v>
      </c>
      <c r="D9149" t="inlineStr">
        <is>
          <t>SPEC</t>
        </is>
      </c>
      <c r="E9149" t="inlineStr">
        <is>
          <t>Barre cuivre cellule ns chaine A</t>
        </is>
      </c>
      <c r="F9149" t="inlineStr">
        <is>
          <t>BDF</t>
        </is>
      </c>
      <c r="J9149" t="inlineStr">
        <is>
          <t>DUBOIS</t>
        </is>
      </c>
      <c r="K9149" t="inlineStr">
        <is>
          <t>cuivre</t>
        </is>
      </c>
      <c r="L9149">
        <f>_xlfn.XLOOKUP(Tableau1[[#This Row],[TYPE DE PIECE]],Tableau4[MATIERE],Tableau4[SHORT TYPE],"",0,1)</f>
        <v/>
      </c>
      <c r="N9149">
        <f>IF(ISERR(FIND("DECOUPE",Tableau1[[#This Row],[DESIGNATION]])),"","NEED REF")</f>
        <v/>
      </c>
    </row>
    <row r="9150">
      <c r="B9150" t="n">
        <v>34404855</v>
      </c>
      <c r="C9150" s="2" t="n">
        <v>42249</v>
      </c>
      <c r="D9150" t="inlineStr">
        <is>
          <t>SPEC</t>
        </is>
      </c>
      <c r="E9150" t="inlineStr">
        <is>
          <t>Barre cuivre cellule ns chaine A</t>
        </is>
      </c>
      <c r="F9150" t="inlineStr">
        <is>
          <t>BDF</t>
        </is>
      </c>
      <c r="J9150" t="inlineStr">
        <is>
          <t>DUBOIS</t>
        </is>
      </c>
      <c r="K9150" t="inlineStr">
        <is>
          <t>cuivre</t>
        </is>
      </c>
      <c r="L9150">
        <f>_xlfn.XLOOKUP(Tableau1[[#This Row],[TYPE DE PIECE]],Tableau4[MATIERE],Tableau4[SHORT TYPE],"",0,1)</f>
        <v/>
      </c>
      <c r="N9150">
        <f>IF(ISERR(FIND("DECOUPE",Tableau1[[#This Row],[DESIGNATION]])),"","NEED REF")</f>
        <v/>
      </c>
    </row>
    <row r="9151">
      <c r="B9151" t="n">
        <v>34404854</v>
      </c>
      <c r="C9151" s="2" t="n">
        <v>42249</v>
      </c>
      <c r="D9151" t="inlineStr">
        <is>
          <t>SPEC</t>
        </is>
      </c>
      <c r="E9151" t="inlineStr">
        <is>
          <t>Ensemble barre chaine B</t>
        </is>
      </c>
      <c r="F9151" t="inlineStr">
        <is>
          <t>BDF</t>
        </is>
      </c>
      <c r="J9151" t="inlineStr">
        <is>
          <t>DUBOIS</t>
        </is>
      </c>
      <c r="K9151" t="inlineStr">
        <is>
          <t>cuivre</t>
        </is>
      </c>
      <c r="L9151">
        <f>_xlfn.XLOOKUP(Tableau1[[#This Row],[TYPE DE PIECE]],Tableau4[MATIERE],Tableau4[SHORT TYPE],"",0,1)</f>
        <v/>
      </c>
      <c r="N9151">
        <f>IF(ISERR(FIND("DECOUPE",Tableau1[[#This Row],[DESIGNATION]])),"","NEED REF")</f>
        <v/>
      </c>
    </row>
    <row r="9152">
      <c r="B9152" t="n">
        <v>34404853</v>
      </c>
      <c r="C9152" s="2" t="n">
        <v>42249</v>
      </c>
      <c r="D9152" t="inlineStr">
        <is>
          <t>SPEC</t>
        </is>
      </c>
      <c r="E9152" t="inlineStr">
        <is>
          <t>Ensemble barre chaine A</t>
        </is>
      </c>
      <c r="F9152" t="inlineStr">
        <is>
          <t>BDF</t>
        </is>
      </c>
      <c r="J9152" t="inlineStr">
        <is>
          <t>DUBOIS</t>
        </is>
      </c>
      <c r="L9152">
        <f>_xlfn.XLOOKUP(Tableau1[[#This Row],[TYPE DE PIECE]],Tableau4[MATIERE],Tableau4[SHORT TYPE],"",0,1)</f>
        <v/>
      </c>
      <c r="N9152">
        <f>IF(ISERR(FIND("DECOUPE",Tableau1[[#This Row],[DESIGNATION]])),"","NEED REF")</f>
        <v/>
      </c>
    </row>
    <row r="9153">
      <c r="B9153" t="n">
        <v>34404852</v>
      </c>
      <c r="C9153" s="2" t="n">
        <v>42248</v>
      </c>
      <c r="D9153" t="inlineStr">
        <is>
          <t>SPEC</t>
        </is>
      </c>
      <c r="E9153" t="inlineStr">
        <is>
          <t>ENSEMBLE Back Feed chaine B</t>
        </is>
      </c>
      <c r="F9153" t="inlineStr">
        <is>
          <t>BDF</t>
        </is>
      </c>
      <c r="J9153" t="inlineStr">
        <is>
          <t>DUBOIS</t>
        </is>
      </c>
      <c r="L9153">
        <f>_xlfn.XLOOKUP(Tableau1[[#This Row],[TYPE DE PIECE]],Tableau4[MATIERE],Tableau4[SHORT TYPE],"",0,1)</f>
        <v/>
      </c>
      <c r="N9153">
        <f>IF(ISERR(FIND("DECOUPE",Tableau1[[#This Row],[DESIGNATION]])),"","NEED REF")</f>
        <v/>
      </c>
    </row>
    <row r="9154">
      <c r="B9154" t="n">
        <v>34404851</v>
      </c>
      <c r="C9154" s="2" t="n">
        <v>42248</v>
      </c>
      <c r="D9154" t="inlineStr">
        <is>
          <t>SPEC</t>
        </is>
      </c>
      <c r="E9154" t="inlineStr">
        <is>
          <t>ENSEMBLE Back Feed chaine A</t>
        </is>
      </c>
      <c r="F9154" t="inlineStr">
        <is>
          <t>BDF</t>
        </is>
      </c>
      <c r="J9154" t="inlineStr">
        <is>
          <t>DUBOIS</t>
        </is>
      </c>
      <c r="L9154">
        <f>_xlfn.XLOOKUP(Tableau1[[#This Row],[TYPE DE PIECE]],Tableau4[MATIERE],Tableau4[SHORT TYPE],"",0,1)</f>
        <v/>
      </c>
      <c r="N9154">
        <f>IF(ISERR(FIND("DECOUPE",Tableau1[[#This Row],[DESIGNATION]])),"","NEED REF")</f>
        <v/>
      </c>
    </row>
    <row r="9155">
      <c r="B9155" t="n">
        <v>34404850</v>
      </c>
      <c r="C9155" s="2" t="n">
        <v>42247</v>
      </c>
      <c r="D9155" t="inlineStr">
        <is>
          <t>SPEC</t>
        </is>
      </c>
      <c r="E9155" t="inlineStr">
        <is>
          <t>Traverse 1200 cellule NS</t>
        </is>
      </c>
      <c r="F9155" t="inlineStr">
        <is>
          <t>BDF</t>
        </is>
      </c>
      <c r="J9155" t="inlineStr">
        <is>
          <t>DUBOIS</t>
        </is>
      </c>
      <c r="K9155" t="inlineStr">
        <is>
          <t>Tolerie</t>
        </is>
      </c>
      <c r="L9155">
        <f>_xlfn.XLOOKUP(Tableau1[[#This Row],[TYPE DE PIECE]],Tableau4[MATIERE],Tableau4[SHORT TYPE],"",0,1)</f>
        <v/>
      </c>
      <c r="N9155">
        <f>IF(ISERR(FIND("DECOUPE",Tableau1[[#This Row],[DESIGNATION]])),"","NEED REF")</f>
        <v/>
      </c>
    </row>
    <row r="9156">
      <c r="B9156" t="n">
        <v>34404849</v>
      </c>
      <c r="C9156" s="2" t="n">
        <v>42244</v>
      </c>
      <c r="D9156" t="inlineStr">
        <is>
          <t>SPEC</t>
        </is>
      </c>
      <c r="E9156" t="inlineStr">
        <is>
          <t>Platine backfeed</t>
        </is>
      </c>
      <c r="F9156" t="inlineStr">
        <is>
          <t>BDF</t>
        </is>
      </c>
      <c r="J9156" t="inlineStr">
        <is>
          <t>DUBOIS</t>
        </is>
      </c>
      <c r="K9156" t="inlineStr">
        <is>
          <t>Tolerie</t>
        </is>
      </c>
      <c r="L9156">
        <f>_xlfn.XLOOKUP(Tableau1[[#This Row],[TYPE DE PIECE]],Tableau4[MATIERE],Tableau4[SHORT TYPE],"",0,1)</f>
        <v/>
      </c>
      <c r="N9156">
        <f>IF(ISERR(FIND("DECOUPE",Tableau1[[#This Row],[DESIGNATION]])),"","NEED REF")</f>
        <v/>
      </c>
    </row>
    <row r="9157">
      <c r="B9157" t="n">
        <v>34404848</v>
      </c>
      <c r="C9157" s="2" t="n">
        <v>42244</v>
      </c>
      <c r="D9157" t="inlineStr">
        <is>
          <t>SPEC</t>
        </is>
      </c>
      <c r="E9157" t="inlineStr">
        <is>
          <t>Traverse 1200 cellule NS</t>
        </is>
      </c>
      <c r="F9157" t="inlineStr">
        <is>
          <t>BDF</t>
        </is>
      </c>
      <c r="J9157" t="inlineStr">
        <is>
          <t>DUBOIS</t>
        </is>
      </c>
      <c r="K9157" t="inlineStr">
        <is>
          <t>Tolerie</t>
        </is>
      </c>
      <c r="L9157">
        <f>_xlfn.XLOOKUP(Tableau1[[#This Row],[TYPE DE PIECE]],Tableau4[MATIERE],Tableau4[SHORT TYPE],"",0,1)</f>
        <v/>
      </c>
      <c r="N9157">
        <f>IF(ISERR(FIND("DECOUPE",Tableau1[[#This Row],[DESIGNATION]])),"","NEED REF")</f>
        <v/>
      </c>
    </row>
    <row r="9158">
      <c r="B9158" t="n">
        <v>34404847</v>
      </c>
      <c r="C9158" s="2" t="n">
        <v>42244</v>
      </c>
      <c r="D9158" t="inlineStr">
        <is>
          <t>SPEC</t>
        </is>
      </c>
      <c r="E9158" t="inlineStr">
        <is>
          <t>Traverse 1200 cellule NS</t>
        </is>
      </c>
      <c r="F9158" t="inlineStr">
        <is>
          <t>BDF</t>
        </is>
      </c>
      <c r="J9158" t="inlineStr">
        <is>
          <t>DUBOIS</t>
        </is>
      </c>
      <c r="K9158" t="inlineStr">
        <is>
          <t>Tolerie</t>
        </is>
      </c>
      <c r="L9158">
        <f>_xlfn.XLOOKUP(Tableau1[[#This Row],[TYPE DE PIECE]],Tableau4[MATIERE],Tableau4[SHORT TYPE],"",0,1)</f>
        <v/>
      </c>
      <c r="N9158">
        <f>IF(ISERR(FIND("DECOUPE",Tableau1[[#This Row],[DESIGNATION]])),"","NEED REF")</f>
        <v/>
      </c>
    </row>
    <row r="9159">
      <c r="B9159" t="n">
        <v>34404846</v>
      </c>
      <c r="C9159" s="2" t="n">
        <v>42243</v>
      </c>
      <c r="D9159" t="inlineStr">
        <is>
          <t>SPEC</t>
        </is>
      </c>
      <c r="E9159" t="inlineStr">
        <is>
          <t>Armoire NS chaine A</t>
        </is>
      </c>
      <c r="F9159" t="inlineStr">
        <is>
          <t>BDF</t>
        </is>
      </c>
      <c r="J9159" t="inlineStr">
        <is>
          <t>DUBOIS</t>
        </is>
      </c>
      <c r="L9159">
        <f>_xlfn.XLOOKUP(Tableau1[[#This Row],[TYPE DE PIECE]],Tableau4[MATIERE],Tableau4[SHORT TYPE],"",0,1)</f>
        <v/>
      </c>
      <c r="N9159">
        <f>IF(ISERR(FIND("DECOUPE",Tableau1[[#This Row],[DESIGNATION]])),"","NEED REF")</f>
        <v/>
      </c>
    </row>
    <row r="9160">
      <c r="B9160" t="n">
        <v>34404845</v>
      </c>
      <c r="C9160" s="2" t="n">
        <v>42243</v>
      </c>
      <c r="D9160" t="inlineStr">
        <is>
          <t>SPEC</t>
        </is>
      </c>
      <c r="E9160" t="inlineStr">
        <is>
          <t>Traverse avec support erico</t>
        </is>
      </c>
      <c r="F9160" t="inlineStr">
        <is>
          <t>BDF</t>
        </is>
      </c>
      <c r="J9160" t="inlineStr">
        <is>
          <t>DUBOIS</t>
        </is>
      </c>
      <c r="K9160" t="inlineStr">
        <is>
          <t>Tolerie</t>
        </is>
      </c>
      <c r="L9160">
        <f>_xlfn.XLOOKUP(Tableau1[[#This Row],[TYPE DE PIECE]],Tableau4[MATIERE],Tableau4[SHORT TYPE],"",0,1)</f>
        <v/>
      </c>
      <c r="N9160">
        <f>IF(ISERR(FIND("DECOUPE",Tableau1[[#This Row],[DESIGNATION]])),"","NEED REF")</f>
        <v/>
      </c>
    </row>
    <row r="9161">
      <c r="B9161" t="n">
        <v>34404844</v>
      </c>
      <c r="C9161" s="2" t="n">
        <v>42242</v>
      </c>
      <c r="D9161" t="inlineStr">
        <is>
          <t>SPEC</t>
        </is>
      </c>
      <c r="E9161" t="inlineStr">
        <is>
          <t>Rail support erico</t>
        </is>
      </c>
      <c r="F9161" t="inlineStr">
        <is>
          <t>BDF</t>
        </is>
      </c>
      <c r="J9161" t="inlineStr">
        <is>
          <t>DUBOIS</t>
        </is>
      </c>
      <c r="K9161" t="inlineStr">
        <is>
          <t>Tolerie</t>
        </is>
      </c>
      <c r="L9161">
        <f>_xlfn.XLOOKUP(Tableau1[[#This Row],[TYPE DE PIECE]],Tableau4[MATIERE],Tableau4[SHORT TYPE],"",0,1)</f>
        <v/>
      </c>
      <c r="N9161">
        <f>IF(ISERR(FIND("DECOUPE",Tableau1[[#This Row],[DESIGNATION]])),"","NEED REF")</f>
        <v/>
      </c>
    </row>
    <row r="9162">
      <c r="B9162" t="n">
        <v>34404843</v>
      </c>
      <c r="C9162" s="2" t="n">
        <v>42242</v>
      </c>
      <c r="D9162" t="inlineStr">
        <is>
          <t>SPEC</t>
        </is>
      </c>
      <c r="E9162" t="inlineStr">
        <is>
          <t>Rail support erico</t>
        </is>
      </c>
      <c r="F9162" t="inlineStr">
        <is>
          <t>BDF</t>
        </is>
      </c>
      <c r="J9162" t="inlineStr">
        <is>
          <t>DUBOIS</t>
        </is>
      </c>
      <c r="K9162" t="inlineStr">
        <is>
          <t>Tolerie</t>
        </is>
      </c>
      <c r="L9162">
        <f>_xlfn.XLOOKUP(Tableau1[[#This Row],[TYPE DE PIECE]],Tableau4[MATIERE],Tableau4[SHORT TYPE],"",0,1)</f>
        <v/>
      </c>
      <c r="N9162">
        <f>IF(ISERR(FIND("DECOUPE",Tableau1[[#This Row],[DESIGNATION]])),"","NEED REF")</f>
        <v/>
      </c>
    </row>
    <row r="9163">
      <c r="B9163" t="n">
        <v>34404842</v>
      </c>
      <c r="C9163" s="2" t="n">
        <v>42242</v>
      </c>
      <c r="D9163" t="inlineStr">
        <is>
          <t>SPEC</t>
        </is>
      </c>
      <c r="E9163" t="inlineStr">
        <is>
          <t>Traverse avec support erico</t>
        </is>
      </c>
      <c r="F9163" t="inlineStr">
        <is>
          <t>BDF</t>
        </is>
      </c>
      <c r="J9163" t="inlineStr">
        <is>
          <t>DUBOIS</t>
        </is>
      </c>
      <c r="K9163" t="inlineStr">
        <is>
          <t>Tolerie</t>
        </is>
      </c>
      <c r="L9163">
        <f>_xlfn.XLOOKUP(Tableau1[[#This Row],[TYPE DE PIECE]],Tableau4[MATIERE],Tableau4[SHORT TYPE],"",0,1)</f>
        <v/>
      </c>
      <c r="N9163">
        <f>IF(ISERR(FIND("DECOUPE",Tableau1[[#This Row],[DESIGNATION]])),"","NEED REF")</f>
        <v/>
      </c>
    </row>
    <row r="9164">
      <c r="B9164" t="n">
        <v>34404841</v>
      </c>
      <c r="C9164" s="2" t="n">
        <v>42242</v>
      </c>
      <c r="D9164" t="inlineStr">
        <is>
          <t>SPEC</t>
        </is>
      </c>
      <c r="E9164" t="inlineStr">
        <is>
          <t>Traverse L=1108 H=100 P=50</t>
        </is>
      </c>
      <c r="F9164" t="inlineStr">
        <is>
          <t>BDF</t>
        </is>
      </c>
      <c r="J9164" t="inlineStr">
        <is>
          <t>MASCELLINO</t>
        </is>
      </c>
      <c r="K9164" t="inlineStr">
        <is>
          <t>TOLERIE</t>
        </is>
      </c>
      <c r="L9164">
        <f>_xlfn.XLOOKUP(Tableau1[[#This Row],[TYPE DE PIECE]],Tableau4[MATIERE],Tableau4[SHORT TYPE],"",0,1)</f>
        <v/>
      </c>
      <c r="N9164">
        <f>IF(ISERR(FIND("DECOUPE",Tableau1[[#This Row],[DESIGNATION]])),"","NEED REF")</f>
        <v/>
      </c>
    </row>
    <row r="9165">
      <c r="B9165" t="n">
        <v>34404840</v>
      </c>
      <c r="C9165" s="2" t="n">
        <v>42242</v>
      </c>
      <c r="D9165" t="inlineStr">
        <is>
          <t>SPEC</t>
        </is>
      </c>
      <c r="E9165" t="inlineStr">
        <is>
          <t>Traverse L= 708</t>
        </is>
      </c>
      <c r="F9165" t="inlineStr">
        <is>
          <t>BDF</t>
        </is>
      </c>
      <c r="J9165" t="inlineStr">
        <is>
          <t>MASCELLINO</t>
        </is>
      </c>
      <c r="K9165" t="inlineStr">
        <is>
          <t>Tolerie</t>
        </is>
      </c>
      <c r="L9165">
        <f>_xlfn.XLOOKUP(Tableau1[[#This Row],[TYPE DE PIECE]],Tableau4[MATIERE],Tableau4[SHORT TYPE],"",0,1)</f>
        <v/>
      </c>
      <c r="N9165">
        <f>IF(ISERR(FIND("DECOUPE",Tableau1[[#This Row],[DESIGNATION]])),"","NEED REF")</f>
        <v/>
      </c>
    </row>
    <row r="9166">
      <c r="B9166" t="n">
        <v>34404839</v>
      </c>
      <c r="C9166" s="2" t="n">
        <v>42242</v>
      </c>
      <c r="D9166" t="inlineStr">
        <is>
          <t>SPEC</t>
        </is>
      </c>
      <c r="E9166" t="inlineStr">
        <is>
          <t>Traverse L= 908</t>
        </is>
      </c>
      <c r="F9166" t="inlineStr">
        <is>
          <t>BDF</t>
        </is>
      </c>
      <c r="J9166" t="inlineStr">
        <is>
          <t>DUBOIS</t>
        </is>
      </c>
      <c r="K9166" t="inlineStr">
        <is>
          <t>Tolerie</t>
        </is>
      </c>
      <c r="L9166">
        <f>_xlfn.XLOOKUP(Tableau1[[#This Row],[TYPE DE PIECE]],Tableau4[MATIERE],Tableau4[SHORT TYPE],"",0,1)</f>
        <v/>
      </c>
      <c r="N9166">
        <f>IF(ISERR(FIND("DECOUPE",Tableau1[[#This Row],[DESIGNATION]])),"","NEED REF")</f>
        <v/>
      </c>
    </row>
    <row r="9167">
      <c r="B9167" t="n">
        <v>34404838</v>
      </c>
      <c r="C9167" s="2" t="n">
        <v>42241</v>
      </c>
      <c r="D9167" t="inlineStr">
        <is>
          <t>SPEC</t>
        </is>
      </c>
      <c r="E9167" t="inlineStr">
        <is>
          <t>Traverse L=708 H=100 P=50</t>
        </is>
      </c>
      <c r="F9167" t="inlineStr">
        <is>
          <t>BDF</t>
        </is>
      </c>
      <c r="J9167" t="inlineStr">
        <is>
          <t>MASCELLINO</t>
        </is>
      </c>
      <c r="K9167" t="inlineStr">
        <is>
          <t>TOLERIE</t>
        </is>
      </c>
      <c r="L9167">
        <f>_xlfn.XLOOKUP(Tableau1[[#This Row],[TYPE DE PIECE]],Tableau4[MATIERE],Tableau4[SHORT TYPE],"",0,1)</f>
        <v/>
      </c>
      <c r="N9167">
        <f>IF(ISERR(FIND("DECOUPE",Tableau1[[#This Row],[DESIGNATION]])),"","NEED REF")</f>
        <v/>
      </c>
    </row>
    <row r="9168">
      <c r="B9168" t="n">
        <v>34404837</v>
      </c>
      <c r="C9168" s="2" t="n">
        <v>42240</v>
      </c>
      <c r="D9168" t="inlineStr">
        <is>
          <t>SPEC</t>
        </is>
      </c>
      <c r="E9168" t="inlineStr">
        <is>
          <t xml:space="preserve">Traverse 1000 H= 80 cellule NS </t>
        </is>
      </c>
      <c r="F9168" t="inlineStr">
        <is>
          <t>BDF</t>
        </is>
      </c>
      <c r="J9168" t="inlineStr">
        <is>
          <t>DUBOIS</t>
        </is>
      </c>
      <c r="K9168" t="inlineStr">
        <is>
          <t>Tolerie</t>
        </is>
      </c>
      <c r="L9168">
        <f>_xlfn.XLOOKUP(Tableau1[[#This Row],[TYPE DE PIECE]],Tableau4[MATIERE],Tableau4[SHORT TYPE],"",0,1)</f>
        <v/>
      </c>
      <c r="N9168">
        <f>IF(ISERR(FIND("DECOUPE",Tableau1[[#This Row],[DESIGNATION]])),"","NEED REF")</f>
        <v/>
      </c>
    </row>
    <row r="9169">
      <c r="B9169" t="n">
        <v>34404836</v>
      </c>
      <c r="C9169" s="2" t="n">
        <v>42237</v>
      </c>
      <c r="D9169" t="inlineStr">
        <is>
          <t>SPEC</t>
        </is>
      </c>
      <c r="E9169" t="inlineStr">
        <is>
          <t>Traverse</t>
        </is>
      </c>
      <c r="F9169" t="inlineStr">
        <is>
          <t>BDF</t>
        </is>
      </c>
      <c r="J9169" t="inlineStr">
        <is>
          <t>MASCELLINO</t>
        </is>
      </c>
      <c r="K9169" t="inlineStr">
        <is>
          <t>Tolerie</t>
        </is>
      </c>
      <c r="L9169">
        <f>_xlfn.XLOOKUP(Tableau1[[#This Row],[TYPE DE PIECE]],Tableau4[MATIERE],Tableau4[SHORT TYPE],"",0,1)</f>
        <v/>
      </c>
      <c r="N9169">
        <f>IF(ISERR(FIND("DECOUPE",Tableau1[[#This Row],[DESIGNATION]])),"","NEED REF")</f>
        <v/>
      </c>
    </row>
    <row r="9170">
      <c r="B9170" t="n">
        <v>34404835</v>
      </c>
      <c r="C9170" s="2" t="n">
        <v>42237</v>
      </c>
      <c r="D9170" t="inlineStr">
        <is>
          <t>SPEC</t>
        </is>
      </c>
      <c r="E9170" t="inlineStr">
        <is>
          <t>SUPPORT ERICO 1000</t>
        </is>
      </c>
      <c r="F9170" t="inlineStr">
        <is>
          <t>BDF</t>
        </is>
      </c>
      <c r="J9170" t="inlineStr">
        <is>
          <t>MASCELLINO</t>
        </is>
      </c>
      <c r="K9170" t="inlineStr">
        <is>
          <t>Tolerie</t>
        </is>
      </c>
      <c r="L9170">
        <f>_xlfn.XLOOKUP(Tableau1[[#This Row],[TYPE DE PIECE]],Tableau4[MATIERE],Tableau4[SHORT TYPE],"",0,1)</f>
        <v/>
      </c>
      <c r="N9170">
        <f>IF(ISERR(FIND("DECOUPE",Tableau1[[#This Row],[DESIGNATION]])),"","NEED REF")</f>
        <v/>
      </c>
    </row>
    <row r="9171">
      <c r="B9171" t="n">
        <v>34404834</v>
      </c>
      <c r="C9171" s="2" t="n">
        <v>42237</v>
      </c>
      <c r="D9171" t="inlineStr">
        <is>
          <t>SPEC</t>
        </is>
      </c>
      <c r="E9171" t="inlineStr">
        <is>
          <t>Busbar 2 - bypass</t>
        </is>
      </c>
      <c r="F9171" t="inlineStr">
        <is>
          <t>BDF</t>
        </is>
      </c>
      <c r="J9171" t="inlineStr">
        <is>
          <t>MASCELLINO</t>
        </is>
      </c>
      <c r="K9171" t="inlineStr">
        <is>
          <t>Cuivre</t>
        </is>
      </c>
      <c r="L9171">
        <f>_xlfn.XLOOKUP(Tableau1[[#This Row],[TYPE DE PIECE]],Tableau4[MATIERE],Tableau4[SHORT TYPE],"",0,1)</f>
        <v/>
      </c>
      <c r="N9171">
        <f>IF(ISERR(FIND("DECOUPE",Tableau1[[#This Row],[DESIGNATION]])),"","NEED REF")</f>
        <v/>
      </c>
    </row>
    <row r="9172">
      <c r="B9172" t="n">
        <v>34404833</v>
      </c>
      <c r="C9172" s="2" t="n">
        <v>42237</v>
      </c>
      <c r="D9172" t="inlineStr">
        <is>
          <t>SPEC</t>
        </is>
      </c>
      <c r="E9172" t="inlineStr">
        <is>
          <t>Traverse</t>
        </is>
      </c>
      <c r="F9172" t="inlineStr">
        <is>
          <t>BDF</t>
        </is>
      </c>
      <c r="J9172" t="inlineStr">
        <is>
          <t>MASCELLINO</t>
        </is>
      </c>
      <c r="K9172" t="inlineStr">
        <is>
          <t>Tolerie</t>
        </is>
      </c>
      <c r="L9172">
        <f>_xlfn.XLOOKUP(Tableau1[[#This Row],[TYPE DE PIECE]],Tableau4[MATIERE],Tableau4[SHORT TYPE],"",0,1)</f>
        <v/>
      </c>
      <c r="N9172">
        <f>IF(ISERR(FIND("DECOUPE",Tableau1[[#This Row],[DESIGNATION]])),"","NEED REF")</f>
        <v/>
      </c>
    </row>
    <row r="9173">
      <c r="B9173" t="n">
        <v>34404832</v>
      </c>
      <c r="C9173" s="2" t="n">
        <v>42237</v>
      </c>
      <c r="D9173" t="inlineStr">
        <is>
          <t>SPEC</t>
        </is>
      </c>
      <c r="E9173" t="inlineStr">
        <is>
          <t>Traverse</t>
        </is>
      </c>
      <c r="F9173" t="inlineStr">
        <is>
          <t>BDF</t>
        </is>
      </c>
      <c r="J9173" t="inlineStr">
        <is>
          <t>MASCELLINO</t>
        </is>
      </c>
      <c r="K9173" t="inlineStr">
        <is>
          <t>Tolerie</t>
        </is>
      </c>
      <c r="L9173">
        <f>_xlfn.XLOOKUP(Tableau1[[#This Row],[TYPE DE PIECE]],Tableau4[MATIERE],Tableau4[SHORT TYPE],"",0,1)</f>
        <v/>
      </c>
      <c r="N9173">
        <f>IF(ISERR(FIND("DECOUPE",Tableau1[[#This Row],[DESIGNATION]])),"","NEED REF")</f>
        <v/>
      </c>
    </row>
    <row r="9174">
      <c r="B9174" t="n">
        <v>34404831</v>
      </c>
      <c r="C9174" s="2" t="n">
        <v>42236</v>
      </c>
      <c r="D9174" t="inlineStr">
        <is>
          <t>SPEC</t>
        </is>
      </c>
      <c r="E9174" t="inlineStr">
        <is>
          <t>profilé</t>
        </is>
      </c>
      <c r="F9174" t="inlineStr">
        <is>
          <t>BDF</t>
        </is>
      </c>
      <c r="J9174" t="inlineStr">
        <is>
          <t>MASCELLINO</t>
        </is>
      </c>
      <c r="K9174" t="inlineStr">
        <is>
          <t>Tolerie</t>
        </is>
      </c>
      <c r="L9174">
        <f>_xlfn.XLOOKUP(Tableau1[[#This Row],[TYPE DE PIECE]],Tableau4[MATIERE],Tableau4[SHORT TYPE],"",0,1)</f>
        <v/>
      </c>
      <c r="N9174">
        <f>IF(ISERR(FIND("DECOUPE",Tableau1[[#This Row],[DESIGNATION]])),"","NEED REF")</f>
        <v/>
      </c>
    </row>
    <row r="9175">
      <c r="B9175" t="n">
        <v>34404830</v>
      </c>
      <c r="C9175" s="2" t="n">
        <v>42236</v>
      </c>
      <c r="D9175" t="inlineStr">
        <is>
          <t>SPEC</t>
        </is>
      </c>
      <c r="E9175" t="inlineStr">
        <is>
          <t>Petite traverse 300 cellule NS</t>
        </is>
      </c>
      <c r="F9175" t="inlineStr">
        <is>
          <t>BDF</t>
        </is>
      </c>
      <c r="J9175" t="inlineStr">
        <is>
          <t>DUBOIS</t>
        </is>
      </c>
      <c r="K9175" t="inlineStr">
        <is>
          <t>Tolerie</t>
        </is>
      </c>
      <c r="L9175">
        <f>_xlfn.XLOOKUP(Tableau1[[#This Row],[TYPE DE PIECE]],Tableau4[MATIERE],Tableau4[SHORT TYPE],"",0,1)</f>
        <v/>
      </c>
      <c r="N9175">
        <f>IF(ISERR(FIND("DECOUPE",Tableau1[[#This Row],[DESIGNATION]])),"","NEED REF")</f>
        <v/>
      </c>
    </row>
    <row r="9176">
      <c r="B9176" t="n">
        <v>34404829</v>
      </c>
      <c r="C9176" s="2" t="n">
        <v>42236</v>
      </c>
      <c r="D9176" t="inlineStr">
        <is>
          <t>SPEC</t>
        </is>
      </c>
      <c r="E9176" t="inlineStr">
        <is>
          <t>profilé</t>
        </is>
      </c>
      <c r="F9176" t="inlineStr">
        <is>
          <t>BDF</t>
        </is>
      </c>
      <c r="J9176" t="inlineStr">
        <is>
          <t>MASCELLINO</t>
        </is>
      </c>
      <c r="K9176" t="inlineStr">
        <is>
          <t>Tolerie</t>
        </is>
      </c>
      <c r="L9176">
        <f>_xlfn.XLOOKUP(Tableau1[[#This Row],[TYPE DE PIECE]],Tableau4[MATIERE],Tableau4[SHORT TYPE],"",0,1)</f>
        <v/>
      </c>
      <c r="N9176">
        <f>IF(ISERR(FIND("DECOUPE",Tableau1[[#This Row],[DESIGNATION]])),"","NEED REF")</f>
        <v/>
      </c>
    </row>
    <row r="9177">
      <c r="B9177" t="n">
        <v>34404828</v>
      </c>
      <c r="C9177" s="2" t="n">
        <v>42236</v>
      </c>
      <c r="D9177" t="inlineStr">
        <is>
          <t>SPEC</t>
        </is>
      </c>
      <c r="E9177" t="inlineStr">
        <is>
          <t>Traverse 1200 cellule NS</t>
        </is>
      </c>
      <c r="F9177" t="inlineStr">
        <is>
          <t>BDF</t>
        </is>
      </c>
      <c r="J9177" t="inlineStr">
        <is>
          <t>DUBOIS</t>
        </is>
      </c>
      <c r="K9177" t="inlineStr">
        <is>
          <t>Tolerie</t>
        </is>
      </c>
      <c r="L9177">
        <f>_xlfn.XLOOKUP(Tableau1[[#This Row],[TYPE DE PIECE]],Tableau4[MATIERE],Tableau4[SHORT TYPE],"",0,1)</f>
        <v/>
      </c>
      <c r="N9177">
        <f>IF(ISERR(FIND("DECOUPE",Tableau1[[#This Row],[DESIGNATION]])),"","NEED REF")</f>
        <v/>
      </c>
    </row>
    <row r="9178">
      <c r="B9178" t="n">
        <v>34404827</v>
      </c>
      <c r="C9178" s="2" t="n">
        <v>42236</v>
      </c>
      <c r="D9178" t="inlineStr">
        <is>
          <t>SPEC</t>
        </is>
      </c>
      <c r="E9178" t="inlineStr">
        <is>
          <t>Profilé</t>
        </is>
      </c>
      <c r="F9178" t="inlineStr">
        <is>
          <t>BDF</t>
        </is>
      </c>
      <c r="J9178" t="inlineStr">
        <is>
          <t>DUBOIS</t>
        </is>
      </c>
      <c r="K9178" t="inlineStr">
        <is>
          <t>Tolerie</t>
        </is>
      </c>
      <c r="L9178">
        <f>_xlfn.XLOOKUP(Tableau1[[#This Row],[TYPE DE PIECE]],Tableau4[MATIERE],Tableau4[SHORT TYPE],"",0,1)</f>
        <v/>
      </c>
      <c r="N9178">
        <f>IF(ISERR(FIND("DECOUPE",Tableau1[[#This Row],[DESIGNATION]])),"","NEED REF")</f>
        <v/>
      </c>
    </row>
    <row r="9179">
      <c r="B9179" t="n">
        <v>34404826</v>
      </c>
      <c r="C9179" s="2" t="n">
        <v>42236</v>
      </c>
      <c r="D9179" t="inlineStr">
        <is>
          <t>SPEC</t>
        </is>
      </c>
      <c r="E9179" t="inlineStr">
        <is>
          <t>Profilé</t>
        </is>
      </c>
      <c r="F9179" t="inlineStr">
        <is>
          <t>BDF</t>
        </is>
      </c>
      <c r="J9179" t="inlineStr">
        <is>
          <t>DUBOIS</t>
        </is>
      </c>
      <c r="K9179" t="inlineStr">
        <is>
          <t>Tolerie</t>
        </is>
      </c>
      <c r="L9179">
        <f>_xlfn.XLOOKUP(Tableau1[[#This Row],[TYPE DE PIECE]],Tableau4[MATIERE],Tableau4[SHORT TYPE],"",0,1)</f>
        <v/>
      </c>
      <c r="N9179">
        <f>IF(ISERR(FIND("DECOUPE",Tableau1[[#This Row],[DESIGNATION]])),"","NEED REF")</f>
        <v/>
      </c>
    </row>
    <row r="9180">
      <c r="B9180" t="n">
        <v>34404825</v>
      </c>
      <c r="C9180" s="2" t="n">
        <v>42235</v>
      </c>
      <c r="D9180" t="inlineStr">
        <is>
          <t>SPEC</t>
        </is>
      </c>
      <c r="E9180" t="inlineStr">
        <is>
          <t>Cale 70x120x10</t>
        </is>
      </c>
      <c r="F9180" t="inlineStr">
        <is>
          <t>BDF</t>
        </is>
      </c>
      <c r="J9180" t="inlineStr">
        <is>
          <t>MASCELLINO</t>
        </is>
      </c>
      <c r="K9180" t="inlineStr">
        <is>
          <t>Tolerie</t>
        </is>
      </c>
      <c r="L9180">
        <f>_xlfn.XLOOKUP(Tableau1[[#This Row],[TYPE DE PIECE]],Tableau4[MATIERE],Tableau4[SHORT TYPE],"",0,1)</f>
        <v/>
      </c>
      <c r="N9180">
        <f>IF(ISERR(FIND("DECOUPE",Tableau1[[#This Row],[DESIGNATION]])),"","NEED REF")</f>
        <v/>
      </c>
    </row>
    <row r="9181">
      <c r="B9181" t="n">
        <v>34404824</v>
      </c>
      <c r="C9181" s="2" t="n">
        <v>42235</v>
      </c>
      <c r="D9181" t="inlineStr">
        <is>
          <t>SPEC</t>
        </is>
      </c>
      <c r="E9181" t="inlineStr">
        <is>
          <t>Busbar 2 - bypass</t>
        </is>
      </c>
      <c r="F9181" t="inlineStr">
        <is>
          <t>BDF</t>
        </is>
      </c>
      <c r="J9181" t="inlineStr">
        <is>
          <t>MASCELLINO</t>
        </is>
      </c>
      <c r="K9181" t="inlineStr">
        <is>
          <t>Cuivre</t>
        </is>
      </c>
      <c r="L9181">
        <f>_xlfn.XLOOKUP(Tableau1[[#This Row],[TYPE DE PIECE]],Tableau4[MATIERE],Tableau4[SHORT TYPE],"",0,1)</f>
        <v/>
      </c>
      <c r="N9181">
        <f>IF(ISERR(FIND("DECOUPE",Tableau1[[#This Row],[DESIGNATION]])),"","NEED REF")</f>
        <v/>
      </c>
    </row>
    <row r="9182">
      <c r="B9182" t="n">
        <v>34404823</v>
      </c>
      <c r="C9182" s="2" t="n">
        <v>42235</v>
      </c>
      <c r="D9182" t="inlineStr">
        <is>
          <t>SPEC</t>
        </is>
      </c>
      <c r="E9182" t="inlineStr">
        <is>
          <t>Busbar 2 - bypass L3-4</t>
        </is>
      </c>
      <c r="F9182" t="inlineStr">
        <is>
          <t>BDF</t>
        </is>
      </c>
      <c r="J9182" t="inlineStr">
        <is>
          <t>MASCELLINO</t>
        </is>
      </c>
      <c r="K9182" t="inlineStr">
        <is>
          <t>Cuivre</t>
        </is>
      </c>
      <c r="L9182">
        <f>_xlfn.XLOOKUP(Tableau1[[#This Row],[TYPE DE PIECE]],Tableau4[MATIERE],Tableau4[SHORT TYPE],"",0,1)</f>
        <v/>
      </c>
      <c r="N9182">
        <f>IF(ISERR(FIND("DECOUPE",Tableau1[[#This Row],[DESIGNATION]])),"","NEED REF")</f>
        <v/>
      </c>
    </row>
    <row r="9183">
      <c r="B9183" t="n">
        <v>34404822</v>
      </c>
      <c r="C9183" s="2" t="n">
        <v>42235</v>
      </c>
      <c r="D9183" t="inlineStr">
        <is>
          <t>SPEC</t>
        </is>
      </c>
      <c r="E9183" t="inlineStr">
        <is>
          <t>Busbar 2 - bypass L3-3</t>
        </is>
      </c>
      <c r="F9183" t="inlineStr">
        <is>
          <t>BDF</t>
        </is>
      </c>
      <c r="J9183" t="inlineStr">
        <is>
          <t>MASCELLINO</t>
        </is>
      </c>
      <c r="K9183" t="inlineStr">
        <is>
          <t>Cuivre</t>
        </is>
      </c>
      <c r="L9183">
        <f>_xlfn.XLOOKUP(Tableau1[[#This Row],[TYPE DE PIECE]],Tableau4[MATIERE],Tableau4[SHORT TYPE],"",0,1)</f>
        <v/>
      </c>
      <c r="N9183">
        <f>IF(ISERR(FIND("DECOUPE",Tableau1[[#This Row],[DESIGNATION]])),"","NEED REF")</f>
        <v/>
      </c>
    </row>
    <row r="9184">
      <c r="B9184" t="n">
        <v>34404821</v>
      </c>
      <c r="C9184" s="2" t="n">
        <v>42235</v>
      </c>
      <c r="D9184" t="inlineStr">
        <is>
          <t>SPEC</t>
        </is>
      </c>
      <c r="E9184" t="inlineStr">
        <is>
          <t>Busbar 2 - bypass L1-4</t>
        </is>
      </c>
      <c r="F9184" t="inlineStr">
        <is>
          <t>BDF</t>
        </is>
      </c>
      <c r="J9184" t="inlineStr">
        <is>
          <t>MASCELLINO</t>
        </is>
      </c>
      <c r="K9184" t="inlineStr">
        <is>
          <t>Cuivre</t>
        </is>
      </c>
      <c r="L9184">
        <f>_xlfn.XLOOKUP(Tableau1[[#This Row],[TYPE DE PIECE]],Tableau4[MATIERE],Tableau4[SHORT TYPE],"",0,1)</f>
        <v/>
      </c>
      <c r="N9184">
        <f>IF(ISERR(FIND("DECOUPE",Tableau1[[#This Row],[DESIGNATION]])),"","NEED REF")</f>
        <v/>
      </c>
    </row>
    <row r="9185">
      <c r="B9185" t="n">
        <v>34404820</v>
      </c>
      <c r="C9185" s="2" t="n">
        <v>42235</v>
      </c>
      <c r="D9185" t="inlineStr">
        <is>
          <t>SPEC</t>
        </is>
      </c>
      <c r="E9185" t="inlineStr">
        <is>
          <t>Busbar 2 - bypass L1-3</t>
        </is>
      </c>
      <c r="F9185" t="inlineStr">
        <is>
          <t>BDF</t>
        </is>
      </c>
      <c r="J9185" t="inlineStr">
        <is>
          <t>MASCELLINO</t>
        </is>
      </c>
      <c r="K9185" t="inlineStr">
        <is>
          <t>Cuivre</t>
        </is>
      </c>
      <c r="L9185">
        <f>_xlfn.XLOOKUP(Tableau1[[#This Row],[TYPE DE PIECE]],Tableau4[MATIERE],Tableau4[SHORT TYPE],"",0,1)</f>
        <v/>
      </c>
      <c r="N9185">
        <f>IF(ISERR(FIND("DECOUPE",Tableau1[[#This Row],[DESIGNATION]])),"","NEED REF")</f>
        <v/>
      </c>
    </row>
    <row r="9186">
      <c r="B9186" t="n">
        <v>34404819</v>
      </c>
      <c r="C9186" s="2" t="n">
        <v>42235</v>
      </c>
      <c r="D9186" t="inlineStr">
        <is>
          <t>SPEC</t>
        </is>
      </c>
      <c r="E9186" t="inlineStr">
        <is>
          <t>Busbar 2 - bypass L2-4</t>
        </is>
      </c>
      <c r="F9186" t="inlineStr">
        <is>
          <t>BDF</t>
        </is>
      </c>
      <c r="J9186" t="inlineStr">
        <is>
          <t>MASCELLINO</t>
        </is>
      </c>
      <c r="K9186" t="inlineStr">
        <is>
          <t>Cuivre</t>
        </is>
      </c>
      <c r="L9186">
        <f>_xlfn.XLOOKUP(Tableau1[[#This Row],[TYPE DE PIECE]],Tableau4[MATIERE],Tableau4[SHORT TYPE],"",0,1)</f>
        <v/>
      </c>
      <c r="N9186">
        <f>IF(ISERR(FIND("DECOUPE",Tableau1[[#This Row],[DESIGNATION]])),"","NEED REF")</f>
        <v/>
      </c>
    </row>
    <row r="9187">
      <c r="B9187" t="n">
        <v>34404818</v>
      </c>
      <c r="C9187" s="2" t="n">
        <v>42235</v>
      </c>
      <c r="D9187" t="inlineStr">
        <is>
          <t>SPEC</t>
        </is>
      </c>
      <c r="E9187" t="inlineStr">
        <is>
          <t>Busbar 2 - bypass L2-3</t>
        </is>
      </c>
      <c r="F9187" t="inlineStr">
        <is>
          <t>BDF</t>
        </is>
      </c>
      <c r="J9187" t="inlineStr">
        <is>
          <t>MASCELLINO</t>
        </is>
      </c>
      <c r="K9187" t="inlineStr">
        <is>
          <t>Cuivre</t>
        </is>
      </c>
      <c r="L9187">
        <f>_xlfn.XLOOKUP(Tableau1[[#This Row],[TYPE DE PIECE]],Tableau4[MATIERE],Tableau4[SHORT TYPE],"",0,1)</f>
        <v/>
      </c>
      <c r="N9187">
        <f>IF(ISERR(FIND("DECOUPE",Tableau1[[#This Row],[DESIGNATION]])),"","NEED REF")</f>
        <v/>
      </c>
    </row>
    <row r="9188">
      <c r="B9188" t="n">
        <v>34404817</v>
      </c>
      <c r="C9188" s="2" t="n">
        <v>42235</v>
      </c>
      <c r="D9188" t="inlineStr">
        <is>
          <t>SPEC</t>
        </is>
      </c>
      <c r="E9188" t="inlineStr">
        <is>
          <t>Busbar 2 - bypass L1-2</t>
        </is>
      </c>
      <c r="F9188" t="inlineStr">
        <is>
          <t>BDF</t>
        </is>
      </c>
      <c r="J9188" t="inlineStr">
        <is>
          <t>MASCELLINO</t>
        </is>
      </c>
      <c r="K9188" t="inlineStr">
        <is>
          <t>Cuivre</t>
        </is>
      </c>
      <c r="L9188">
        <f>_xlfn.XLOOKUP(Tableau1[[#This Row],[TYPE DE PIECE]],Tableau4[MATIERE],Tableau4[SHORT TYPE],"",0,1)</f>
        <v/>
      </c>
      <c r="N9188">
        <f>IF(ISERR(FIND("DECOUPE",Tableau1[[#This Row],[DESIGNATION]])),"","NEED REF")</f>
        <v/>
      </c>
    </row>
    <row r="9189">
      <c r="B9189" t="n">
        <v>34404816</v>
      </c>
      <c r="C9189" s="2" t="n">
        <v>42235</v>
      </c>
      <c r="D9189" t="inlineStr">
        <is>
          <t>SPEC</t>
        </is>
      </c>
      <c r="E9189" t="inlineStr">
        <is>
          <t>Busbar 2 - bypass L1-1</t>
        </is>
      </c>
      <c r="F9189" t="inlineStr">
        <is>
          <t>BDF</t>
        </is>
      </c>
      <c r="J9189" t="inlineStr">
        <is>
          <t>MASCELLINO</t>
        </is>
      </c>
      <c r="K9189" t="inlineStr">
        <is>
          <t>Cuivre</t>
        </is>
      </c>
      <c r="L9189">
        <f>_xlfn.XLOOKUP(Tableau1[[#This Row],[TYPE DE PIECE]],Tableau4[MATIERE],Tableau4[SHORT TYPE],"",0,1)</f>
        <v/>
      </c>
      <c r="N9189">
        <f>IF(ISERR(FIND("DECOUPE",Tableau1[[#This Row],[DESIGNATION]])),"","NEED REF")</f>
        <v/>
      </c>
    </row>
    <row r="9190">
      <c r="B9190" t="n">
        <v>34404815</v>
      </c>
      <c r="C9190" s="2" t="n">
        <v>42235</v>
      </c>
      <c r="D9190" t="inlineStr">
        <is>
          <t>SPEC</t>
        </is>
      </c>
      <c r="E9190" t="inlineStr">
        <is>
          <t>Busbar 2 - bypass L3-2</t>
        </is>
      </c>
      <c r="F9190" t="inlineStr">
        <is>
          <t>BDF</t>
        </is>
      </c>
      <c r="J9190" t="inlineStr">
        <is>
          <t>MASCELLINO</t>
        </is>
      </c>
      <c r="K9190" t="inlineStr">
        <is>
          <t>Cuivre</t>
        </is>
      </c>
      <c r="L9190">
        <f>_xlfn.XLOOKUP(Tableau1[[#This Row],[TYPE DE PIECE]],Tableau4[MATIERE],Tableau4[SHORT TYPE],"",0,1)</f>
        <v/>
      </c>
      <c r="N9190">
        <f>IF(ISERR(FIND("DECOUPE",Tableau1[[#This Row],[DESIGNATION]])),"","NEED REF")</f>
        <v/>
      </c>
    </row>
    <row r="9191">
      <c r="B9191" t="n">
        <v>34404814</v>
      </c>
      <c r="C9191" s="2" t="n">
        <v>42235</v>
      </c>
      <c r="D9191" t="inlineStr">
        <is>
          <t>SPEC</t>
        </is>
      </c>
      <c r="E9191" t="inlineStr">
        <is>
          <t>Busbar 2 - bypass L3-1</t>
        </is>
      </c>
      <c r="F9191" t="inlineStr">
        <is>
          <t>BDF</t>
        </is>
      </c>
      <c r="J9191" t="inlineStr">
        <is>
          <t>MASCELLINO</t>
        </is>
      </c>
      <c r="K9191" t="inlineStr">
        <is>
          <t>Cuivre</t>
        </is>
      </c>
      <c r="L9191">
        <f>_xlfn.XLOOKUP(Tableau1[[#This Row],[TYPE DE PIECE]],Tableau4[MATIERE],Tableau4[SHORT TYPE],"",0,1)</f>
        <v/>
      </c>
      <c r="N9191">
        <f>IF(ISERR(FIND("DECOUPE",Tableau1[[#This Row],[DESIGNATION]])),"","NEED REF")</f>
        <v/>
      </c>
    </row>
    <row r="9192">
      <c r="B9192" t="n">
        <v>34404813</v>
      </c>
      <c r="C9192" s="2" t="n">
        <v>42235</v>
      </c>
      <c r="D9192" t="inlineStr">
        <is>
          <t>SPEC</t>
        </is>
      </c>
      <c r="E9192" t="inlineStr">
        <is>
          <t>Busbar 2 - bypass L2-2</t>
        </is>
      </c>
      <c r="F9192" t="inlineStr">
        <is>
          <t>BDF</t>
        </is>
      </c>
      <c r="J9192" t="inlineStr">
        <is>
          <t>MASCELLINO</t>
        </is>
      </c>
      <c r="K9192" t="inlineStr">
        <is>
          <t>Cuivre</t>
        </is>
      </c>
      <c r="L9192">
        <f>_xlfn.XLOOKUP(Tableau1[[#This Row],[TYPE DE PIECE]],Tableau4[MATIERE],Tableau4[SHORT TYPE],"",0,1)</f>
        <v/>
      </c>
      <c r="N9192">
        <f>IF(ISERR(FIND("DECOUPE",Tableau1[[#This Row],[DESIGNATION]])),"","NEED REF")</f>
        <v/>
      </c>
    </row>
    <row r="9193">
      <c r="B9193" t="n">
        <v>34404812</v>
      </c>
      <c r="C9193" s="2" t="n">
        <v>42235</v>
      </c>
      <c r="D9193" t="inlineStr">
        <is>
          <t>SPEC</t>
        </is>
      </c>
      <c r="E9193" t="inlineStr">
        <is>
          <t>Busbar 2 - bypass L2-1</t>
        </is>
      </c>
      <c r="F9193" t="inlineStr">
        <is>
          <t>BDF</t>
        </is>
      </c>
      <c r="J9193" t="inlineStr">
        <is>
          <t>MASCELLINO</t>
        </is>
      </c>
      <c r="K9193" t="inlineStr">
        <is>
          <t>Cuivre</t>
        </is>
      </c>
      <c r="L9193">
        <f>_xlfn.XLOOKUP(Tableau1[[#This Row],[TYPE DE PIECE]],Tableau4[MATIERE],Tableau4[SHORT TYPE],"",0,1)</f>
        <v/>
      </c>
      <c r="N9193">
        <f>IF(ISERR(FIND("DECOUPE",Tableau1[[#This Row],[DESIGNATION]])),"","NEED REF")</f>
        <v/>
      </c>
    </row>
    <row r="9194">
      <c r="B9194" t="n">
        <v>34404811</v>
      </c>
      <c r="C9194" s="2" t="n">
        <v>42235</v>
      </c>
      <c r="D9194" t="inlineStr">
        <is>
          <t>SPEC</t>
        </is>
      </c>
      <c r="E9194" t="inlineStr">
        <is>
          <t>CS Thyristors</t>
        </is>
      </c>
      <c r="F9194" t="inlineStr">
        <is>
          <t>BDF</t>
        </is>
      </c>
      <c r="J9194" t="inlineStr">
        <is>
          <t>DUBOIS</t>
        </is>
      </c>
      <c r="L9194">
        <f>_xlfn.XLOOKUP(Tableau1[[#This Row],[TYPE DE PIECE]],Tableau4[MATIERE],Tableau4[SHORT TYPE],"",0,1)</f>
        <v/>
      </c>
      <c r="N9194">
        <f>IF(ISERR(FIND("DECOUPE",Tableau1[[#This Row],[DESIGNATION]])),"","NEED REF")</f>
        <v/>
      </c>
    </row>
    <row r="9195">
      <c r="B9195" t="n">
        <v>34404810</v>
      </c>
      <c r="C9195" s="2" t="n">
        <v>42235</v>
      </c>
      <c r="D9195" t="inlineStr">
        <is>
          <t>SPEC</t>
        </is>
      </c>
      <c r="E9195" t="inlineStr">
        <is>
          <t>Barre L cs</t>
        </is>
      </c>
      <c r="F9195" t="inlineStr">
        <is>
          <t>BDF</t>
        </is>
      </c>
      <c r="J9195" t="inlineStr">
        <is>
          <t>DUBOIS</t>
        </is>
      </c>
      <c r="L9195">
        <f>_xlfn.XLOOKUP(Tableau1[[#This Row],[TYPE DE PIECE]],Tableau4[MATIERE],Tableau4[SHORT TYPE],"",0,1)</f>
        <v/>
      </c>
      <c r="N9195">
        <f>IF(ISERR(FIND("DECOUPE",Tableau1[[#This Row],[DESIGNATION]])),"","NEED REF")</f>
        <v/>
      </c>
    </row>
    <row r="9196">
      <c r="B9196" t="n">
        <v>34404809</v>
      </c>
      <c r="C9196" s="2" t="n">
        <v>42235</v>
      </c>
      <c r="D9196" t="inlineStr">
        <is>
          <t>SPEC</t>
        </is>
      </c>
      <c r="E9196" t="inlineStr">
        <is>
          <t>Barre L cs</t>
        </is>
      </c>
      <c r="F9196" t="inlineStr">
        <is>
          <t>BDF</t>
        </is>
      </c>
      <c r="J9196" t="inlineStr">
        <is>
          <t>DUBOIS</t>
        </is>
      </c>
      <c r="L9196">
        <f>_xlfn.XLOOKUP(Tableau1[[#This Row],[TYPE DE PIECE]],Tableau4[MATIERE],Tableau4[SHORT TYPE],"",0,1)</f>
        <v/>
      </c>
      <c r="N9196">
        <f>IF(ISERR(FIND("DECOUPE",Tableau1[[#This Row],[DESIGNATION]])),"","NEED REF")</f>
        <v/>
      </c>
    </row>
    <row r="9197">
      <c r="B9197" t="n">
        <v>34404808</v>
      </c>
      <c r="C9197" s="2" t="n">
        <v>42235</v>
      </c>
      <c r="D9197" t="inlineStr">
        <is>
          <t>SPEC</t>
        </is>
      </c>
      <c r="E9197" t="inlineStr">
        <is>
          <t>Barre L cs</t>
        </is>
      </c>
      <c r="F9197" t="inlineStr">
        <is>
          <t>BDF</t>
        </is>
      </c>
      <c r="J9197" t="inlineStr">
        <is>
          <t>DUBOIS</t>
        </is>
      </c>
      <c r="L9197">
        <f>_xlfn.XLOOKUP(Tableau1[[#This Row],[TYPE DE PIECE]],Tableau4[MATIERE],Tableau4[SHORT TYPE],"",0,1)</f>
        <v/>
      </c>
      <c r="N9197">
        <f>IF(ISERR(FIND("DECOUPE",Tableau1[[#This Row],[DESIGNATION]])),"","NEED REF")</f>
        <v/>
      </c>
    </row>
    <row r="9198">
      <c r="B9198" t="n">
        <v>34404807</v>
      </c>
      <c r="C9198" s="2" t="n">
        <v>42235</v>
      </c>
      <c r="D9198" t="inlineStr">
        <is>
          <t>SPEC</t>
        </is>
      </c>
      <c r="E9198" t="inlineStr">
        <is>
          <t>Barre L cs</t>
        </is>
      </c>
      <c r="F9198" t="inlineStr">
        <is>
          <t>BDF</t>
        </is>
      </c>
      <c r="J9198" t="inlineStr">
        <is>
          <t>DUBOIS</t>
        </is>
      </c>
      <c r="L9198">
        <f>_xlfn.XLOOKUP(Tableau1[[#This Row],[TYPE DE PIECE]],Tableau4[MATIERE],Tableau4[SHORT TYPE],"",0,1)</f>
        <v/>
      </c>
      <c r="N9198">
        <f>IF(ISERR(FIND("DECOUPE",Tableau1[[#This Row],[DESIGNATION]])),"","NEED REF")</f>
        <v/>
      </c>
    </row>
    <row r="9199">
      <c r="B9199" t="n">
        <v>34404806</v>
      </c>
      <c r="C9199" s="2" t="n">
        <v>42234</v>
      </c>
      <c r="D9199" t="inlineStr">
        <is>
          <t>SPEC</t>
        </is>
      </c>
      <c r="E9199" t="inlineStr">
        <is>
          <t>SUPPORT ERICO 800</t>
        </is>
      </c>
      <c r="F9199" t="inlineStr">
        <is>
          <t>BDF</t>
        </is>
      </c>
      <c r="J9199" t="inlineStr">
        <is>
          <t>MATRION</t>
        </is>
      </c>
      <c r="L9199">
        <f>_xlfn.XLOOKUP(Tableau1[[#This Row],[TYPE DE PIECE]],Tableau4[MATIERE],Tableau4[SHORT TYPE],"",0,1)</f>
        <v/>
      </c>
      <c r="N9199">
        <f>IF(ISERR(FIND("DECOUPE",Tableau1[[#This Row],[DESIGNATION]])),"","NEED REF")</f>
        <v/>
      </c>
    </row>
    <row r="9200">
      <c r="B9200" t="n">
        <v>34404805</v>
      </c>
      <c r="C9200" s="2" t="n">
        <v>42234</v>
      </c>
      <c r="D9200" t="inlineStr">
        <is>
          <t>SPEC</t>
        </is>
      </c>
      <c r="E9200" t="inlineStr">
        <is>
          <t>Traverse L=1108 H=100 P=50</t>
        </is>
      </c>
      <c r="F9200" t="inlineStr">
        <is>
          <t>BDF</t>
        </is>
      </c>
      <c r="J9200" t="inlineStr">
        <is>
          <t>MASCELLINO</t>
        </is>
      </c>
      <c r="L9200">
        <f>_xlfn.XLOOKUP(Tableau1[[#This Row],[TYPE DE PIECE]],Tableau4[MATIERE],Tableau4[SHORT TYPE],"",0,1)</f>
        <v/>
      </c>
      <c r="N9200">
        <f>IF(ISERR(FIND("DECOUPE",Tableau1[[#This Row],[DESIGNATION]])),"","NEED REF")</f>
        <v/>
      </c>
    </row>
    <row r="9201">
      <c r="B9201" t="n">
        <v>34404804</v>
      </c>
      <c r="C9201" s="2" t="n">
        <v>42234</v>
      </c>
      <c r="D9201" t="inlineStr">
        <is>
          <t>SPEC</t>
        </is>
      </c>
      <c r="E9201" t="inlineStr">
        <is>
          <t>Traverse L=1108 H=100 P=50</t>
        </is>
      </c>
      <c r="F9201" t="inlineStr">
        <is>
          <t>BDF</t>
        </is>
      </c>
      <c r="J9201" t="inlineStr">
        <is>
          <t>MASCELLINO</t>
        </is>
      </c>
      <c r="L9201">
        <f>_xlfn.XLOOKUP(Tableau1[[#This Row],[TYPE DE PIECE]],Tableau4[MATIERE],Tableau4[SHORT TYPE],"",0,1)</f>
        <v/>
      </c>
      <c r="N9201">
        <f>IF(ISERR(FIND("DECOUPE",Tableau1[[#This Row],[DESIGNATION]])),"","NEED REF")</f>
        <v/>
      </c>
    </row>
    <row r="9202">
      <c r="B9202" t="n">
        <v>34404803</v>
      </c>
      <c r="C9202" s="2" t="n">
        <v>42234</v>
      </c>
      <c r="D9202" t="inlineStr">
        <is>
          <t>SPEC</t>
        </is>
      </c>
      <c r="E9202" t="inlineStr">
        <is>
          <t>Barre neutre en U GAB</t>
        </is>
      </c>
      <c r="F9202" t="inlineStr">
        <is>
          <t>BDF</t>
        </is>
      </c>
      <c r="J9202" t="inlineStr">
        <is>
          <t>MASCELLINO</t>
        </is>
      </c>
      <c r="K9202" t="inlineStr">
        <is>
          <t>Cuivre</t>
        </is>
      </c>
      <c r="L9202">
        <f>_xlfn.XLOOKUP(Tableau1[[#This Row],[TYPE DE PIECE]],Tableau4[MATIERE],Tableau4[SHORT TYPE],"",0,1)</f>
        <v/>
      </c>
      <c r="N9202">
        <f>IF(ISERR(FIND("DECOUPE",Tableau1[[#This Row],[DESIGNATION]])),"","NEED REF")</f>
        <v/>
      </c>
    </row>
    <row r="9203">
      <c r="B9203" t="n">
        <v>34404802</v>
      </c>
      <c r="C9203" s="2" t="n">
        <v>42234</v>
      </c>
      <c r="D9203" t="inlineStr">
        <is>
          <t>SPEC</t>
        </is>
      </c>
      <c r="E9203" t="inlineStr">
        <is>
          <t>Barre neutre en U GAB</t>
        </is>
      </c>
      <c r="F9203" t="inlineStr">
        <is>
          <t>BDF</t>
        </is>
      </c>
      <c r="J9203" t="inlineStr">
        <is>
          <t>MASCELLINO</t>
        </is>
      </c>
      <c r="K9203" t="inlineStr">
        <is>
          <t>Cuivre</t>
        </is>
      </c>
      <c r="L9203">
        <f>_xlfn.XLOOKUP(Tableau1[[#This Row],[TYPE DE PIECE]],Tableau4[MATIERE],Tableau4[SHORT TYPE],"",0,1)</f>
        <v/>
      </c>
      <c r="N9203">
        <f>IF(ISERR(FIND("DECOUPE",Tableau1[[#This Row],[DESIGNATION]])),"","NEED REF")</f>
        <v/>
      </c>
    </row>
    <row r="9204">
      <c r="B9204" t="n">
        <v>34404801</v>
      </c>
      <c r="C9204" s="2" t="n">
        <v>42234</v>
      </c>
      <c r="D9204" t="inlineStr">
        <is>
          <t>SPEC</t>
        </is>
      </c>
      <c r="E9204" t="inlineStr">
        <is>
          <t>Bypass chaine A</t>
        </is>
      </c>
      <c r="F9204" t="inlineStr">
        <is>
          <t>BDF</t>
        </is>
      </c>
      <c r="J9204" t="inlineStr">
        <is>
          <t>MASCELLINO</t>
        </is>
      </c>
      <c r="L9204">
        <f>_xlfn.XLOOKUP(Tableau1[[#This Row],[TYPE DE PIECE]],Tableau4[MATIERE],Tableau4[SHORT TYPE],"",0,1)</f>
        <v/>
      </c>
      <c r="N9204">
        <f>IF(ISERR(FIND("DECOUPE",Tableau1[[#This Row],[DESIGNATION]])),"","NEED REF")</f>
        <v/>
      </c>
    </row>
    <row r="9205">
      <c r="B9205" t="n">
        <v>34404800</v>
      </c>
      <c r="C9205" s="2" t="n">
        <v>42233</v>
      </c>
      <c r="D9205" t="inlineStr">
        <is>
          <t>SPEC</t>
        </is>
      </c>
      <c r="E9205" t="inlineStr">
        <is>
          <t>Traverse L=908 H=100 P=40</t>
        </is>
      </c>
      <c r="F9205" t="inlineStr">
        <is>
          <t>BDF</t>
        </is>
      </c>
      <c r="J9205" t="inlineStr">
        <is>
          <t>MASCELLINO</t>
        </is>
      </c>
      <c r="K9205" t="inlineStr">
        <is>
          <t>TOLERIE</t>
        </is>
      </c>
      <c r="L9205">
        <f>_xlfn.XLOOKUP(Tableau1[[#This Row],[TYPE DE PIECE]],Tableau4[MATIERE],Tableau4[SHORT TYPE],"",0,1)</f>
        <v/>
      </c>
      <c r="N9205">
        <f>IF(ISERR(FIND("DECOUPE",Tableau1[[#This Row],[DESIGNATION]])),"","NEED REF")</f>
        <v/>
      </c>
    </row>
    <row r="9206">
      <c r="B9206" t="n">
        <v>34404799</v>
      </c>
      <c r="C9206" s="2" t="n">
        <v>42233</v>
      </c>
      <c r="D9206" t="inlineStr">
        <is>
          <t>SPEC</t>
        </is>
      </c>
      <c r="E9206" t="inlineStr">
        <is>
          <t>Traverse L=908 H=100 P=40</t>
        </is>
      </c>
      <c r="F9206" t="inlineStr">
        <is>
          <t>BDF</t>
        </is>
      </c>
      <c r="J9206" t="inlineStr">
        <is>
          <t>MASCELLINO</t>
        </is>
      </c>
      <c r="K9206" t="inlineStr">
        <is>
          <t>TOLERIE</t>
        </is>
      </c>
      <c r="L9206">
        <f>_xlfn.XLOOKUP(Tableau1[[#This Row],[TYPE DE PIECE]],Tableau4[MATIERE],Tableau4[SHORT TYPE],"",0,1)</f>
        <v/>
      </c>
      <c r="N9206">
        <f>IF(ISERR(FIND("DECOUPE",Tableau1[[#This Row],[DESIGNATION]])),"","NEED REF")</f>
        <v/>
      </c>
    </row>
    <row r="9207">
      <c r="B9207" t="n">
        <v>34404798</v>
      </c>
      <c r="C9207" s="2" t="n">
        <v>42233</v>
      </c>
      <c r="D9207" t="inlineStr">
        <is>
          <t>NOM</t>
        </is>
      </c>
      <c r="E9207" t="inlineStr">
        <is>
          <t>S/A EXTT / SYNIN PLATE</t>
        </is>
      </c>
      <c r="F9207" t="inlineStr">
        <is>
          <t>BDF</t>
        </is>
      </c>
      <c r="J9207" t="inlineStr">
        <is>
          <t>MASCELLINO</t>
        </is>
      </c>
      <c r="L9207">
        <f>_xlfn.XLOOKUP(Tableau1[[#This Row],[TYPE DE PIECE]],Tableau4[MATIERE],Tableau4[SHORT TYPE],"",0,1)</f>
        <v/>
      </c>
      <c r="N9207">
        <f>IF(ISERR(FIND("DECOUPE",Tableau1[[#This Row],[DESIGNATION]])),"","NEED REF")</f>
        <v/>
      </c>
    </row>
    <row r="9208">
      <c r="B9208" t="n">
        <v>34404797</v>
      </c>
      <c r="C9208" s="2" t="n">
        <v>42233</v>
      </c>
      <c r="D9208" t="inlineStr">
        <is>
          <t>SPEC</t>
        </is>
      </c>
      <c r="E9208" t="inlineStr">
        <is>
          <t>EXTT / SYNIN PLATE</t>
        </is>
      </c>
      <c r="F9208" t="inlineStr">
        <is>
          <t>BDF</t>
        </is>
      </c>
      <c r="J9208" t="inlineStr">
        <is>
          <t>MASCELLINO</t>
        </is>
      </c>
      <c r="K9208" t="inlineStr">
        <is>
          <t>METAL</t>
        </is>
      </c>
      <c r="L9208">
        <f>_xlfn.XLOOKUP(Tableau1[[#This Row],[TYPE DE PIECE]],Tableau4[MATIERE],Tableau4[SHORT TYPE],"",0,1)</f>
        <v/>
      </c>
      <c r="N9208">
        <f>IF(ISERR(FIND("DECOUPE",Tableau1[[#This Row],[DESIGNATION]])),"","NEED REF")</f>
        <v/>
      </c>
    </row>
    <row r="9209">
      <c r="B9209" t="n">
        <v>34404796</v>
      </c>
      <c r="C9209" s="2" t="n">
        <v>42233</v>
      </c>
      <c r="D9209" t="inlineStr">
        <is>
          <t>NOM</t>
        </is>
      </c>
      <c r="E9209" t="inlineStr">
        <is>
          <t>S/A EXTT / SYNIN PLATE</t>
        </is>
      </c>
      <c r="F9209" t="inlineStr">
        <is>
          <t>BDF</t>
        </is>
      </c>
      <c r="J9209" t="inlineStr">
        <is>
          <t>MASCELLINO</t>
        </is>
      </c>
      <c r="L9209">
        <f>_xlfn.XLOOKUP(Tableau1[[#This Row],[TYPE DE PIECE]],Tableau4[MATIERE],Tableau4[SHORT TYPE],"",0,1)</f>
        <v/>
      </c>
      <c r="N9209">
        <f>IF(ISERR(FIND("DECOUPE",Tableau1[[#This Row],[DESIGNATION]])),"","NEED REF")</f>
        <v/>
      </c>
    </row>
    <row r="9210">
      <c r="B9210" t="n">
        <v>34404795</v>
      </c>
      <c r="C9210" s="2" t="n">
        <v>42233</v>
      </c>
      <c r="D9210" t="inlineStr">
        <is>
          <t>SPEC</t>
        </is>
      </c>
      <c r="E9210" t="inlineStr">
        <is>
          <t>EXTT / SYNIN PLATE</t>
        </is>
      </c>
      <c r="F9210" t="inlineStr">
        <is>
          <t>BDF</t>
        </is>
      </c>
      <c r="J9210" t="inlineStr">
        <is>
          <t>MASCELLINO</t>
        </is>
      </c>
      <c r="K9210" t="inlineStr">
        <is>
          <t>METAL</t>
        </is>
      </c>
      <c r="L9210">
        <f>_xlfn.XLOOKUP(Tableau1[[#This Row],[TYPE DE PIECE]],Tableau4[MATIERE],Tableau4[SHORT TYPE],"",0,1)</f>
        <v/>
      </c>
      <c r="N9210">
        <f>IF(ISERR(FIND("DECOUPE",Tableau1[[#This Row],[DESIGNATION]])),"","NEED REF")</f>
        <v/>
      </c>
    </row>
    <row r="9211">
      <c r="B9211" t="n">
        <v>34404794</v>
      </c>
      <c r="C9211" s="2" t="n">
        <v>42229</v>
      </c>
      <c r="D9211" t="inlineStr">
        <is>
          <t>SPEC</t>
        </is>
      </c>
      <c r="E9211" t="inlineStr">
        <is>
          <t>PLASTRON 7</t>
        </is>
      </c>
      <c r="F9211" t="inlineStr">
        <is>
          <t>BDF</t>
        </is>
      </c>
      <c r="J9211" t="inlineStr">
        <is>
          <t>MATRION</t>
        </is>
      </c>
      <c r="L9211">
        <f>_xlfn.XLOOKUP(Tableau1[[#This Row],[TYPE DE PIECE]],Tableau4[MATIERE],Tableau4[SHORT TYPE],"",0,1)</f>
        <v/>
      </c>
      <c r="N9211">
        <f>IF(ISERR(FIND("DECOUPE",Tableau1[[#This Row],[DESIGNATION]])),"","NEED REF")</f>
        <v/>
      </c>
    </row>
    <row r="9212">
      <c r="B9212" t="n">
        <v>34404793</v>
      </c>
      <c r="C9212" s="2" t="n">
        <v>42229</v>
      </c>
      <c r="D9212" t="inlineStr">
        <is>
          <t>SPEC</t>
        </is>
      </c>
      <c r="E9212" t="inlineStr">
        <is>
          <t>PLASTRON 6</t>
        </is>
      </c>
      <c r="F9212" t="inlineStr">
        <is>
          <t>BDF</t>
        </is>
      </c>
      <c r="J9212" t="inlineStr">
        <is>
          <t>MATRION</t>
        </is>
      </c>
      <c r="L9212">
        <f>_xlfn.XLOOKUP(Tableau1[[#This Row],[TYPE DE PIECE]],Tableau4[MATIERE],Tableau4[SHORT TYPE],"",0,1)</f>
        <v/>
      </c>
      <c r="N9212">
        <f>IF(ISERR(FIND("DECOUPE",Tableau1[[#This Row],[DESIGNATION]])),"","NEED REF")</f>
        <v/>
      </c>
    </row>
    <row r="9213">
      <c r="B9213" t="n">
        <v>34404792</v>
      </c>
      <c r="C9213" s="2" t="n">
        <v>42229</v>
      </c>
      <c r="D9213" t="inlineStr">
        <is>
          <t>SPEC</t>
        </is>
      </c>
      <c r="E9213" t="inlineStr">
        <is>
          <t>PLASTRON 5</t>
        </is>
      </c>
      <c r="F9213" t="inlineStr">
        <is>
          <t>BDF</t>
        </is>
      </c>
      <c r="J9213" t="inlineStr">
        <is>
          <t>MATRION</t>
        </is>
      </c>
      <c r="L9213">
        <f>_xlfn.XLOOKUP(Tableau1[[#This Row],[TYPE DE PIECE]],Tableau4[MATIERE],Tableau4[SHORT TYPE],"",0,1)</f>
        <v/>
      </c>
      <c r="N9213">
        <f>IF(ISERR(FIND("DECOUPE",Tableau1[[#This Row],[DESIGNATION]])),"","NEED REF")</f>
        <v/>
      </c>
    </row>
    <row r="9214">
      <c r="B9214" t="n">
        <v>34404791</v>
      </c>
      <c r="C9214" s="2" t="n">
        <v>42229</v>
      </c>
      <c r="D9214" t="inlineStr">
        <is>
          <t>SPEC</t>
        </is>
      </c>
      <c r="E9214" t="inlineStr">
        <is>
          <t>PLASTRON 4</t>
        </is>
      </c>
      <c r="F9214" t="inlineStr">
        <is>
          <t>BDF</t>
        </is>
      </c>
      <c r="J9214" t="inlineStr">
        <is>
          <t>MATRION</t>
        </is>
      </c>
      <c r="L9214">
        <f>_xlfn.XLOOKUP(Tableau1[[#This Row],[TYPE DE PIECE]],Tableau4[MATIERE],Tableau4[SHORT TYPE],"",0,1)</f>
        <v/>
      </c>
      <c r="N9214">
        <f>IF(ISERR(FIND("DECOUPE",Tableau1[[#This Row],[DESIGNATION]])),"","NEED REF")</f>
        <v/>
      </c>
    </row>
    <row r="9215">
      <c r="B9215" t="n">
        <v>34404790</v>
      </c>
      <c r="C9215" s="2" t="n">
        <v>42229</v>
      </c>
      <c r="D9215" t="inlineStr">
        <is>
          <t>SPEC</t>
        </is>
      </c>
      <c r="E9215" t="inlineStr">
        <is>
          <t>PLASTRON 3</t>
        </is>
      </c>
      <c r="F9215" t="inlineStr">
        <is>
          <t>BDF</t>
        </is>
      </c>
      <c r="J9215" t="inlineStr">
        <is>
          <t>MATRION</t>
        </is>
      </c>
      <c r="L9215">
        <f>_xlfn.XLOOKUP(Tableau1[[#This Row],[TYPE DE PIECE]],Tableau4[MATIERE],Tableau4[SHORT TYPE],"",0,1)</f>
        <v/>
      </c>
      <c r="N9215">
        <f>IF(ISERR(FIND("DECOUPE",Tableau1[[#This Row],[DESIGNATION]])),"","NEED REF")</f>
        <v/>
      </c>
    </row>
    <row r="9216">
      <c r="B9216" t="n">
        <v>34404789</v>
      </c>
      <c r="C9216" s="2" t="n">
        <v>42229</v>
      </c>
      <c r="D9216" t="inlineStr">
        <is>
          <t>SPEC</t>
        </is>
      </c>
      <c r="E9216" t="inlineStr">
        <is>
          <t>PLASTRON 2</t>
        </is>
      </c>
      <c r="F9216" t="inlineStr">
        <is>
          <t>BDF</t>
        </is>
      </c>
      <c r="J9216" t="inlineStr">
        <is>
          <t>MATRION</t>
        </is>
      </c>
      <c r="L9216">
        <f>_xlfn.XLOOKUP(Tableau1[[#This Row],[TYPE DE PIECE]],Tableau4[MATIERE],Tableau4[SHORT TYPE],"",0,1)</f>
        <v/>
      </c>
      <c r="N9216">
        <f>IF(ISERR(FIND("DECOUPE",Tableau1[[#This Row],[DESIGNATION]])),"","NEED REF")</f>
        <v/>
      </c>
    </row>
    <row r="9217">
      <c r="B9217" t="n">
        <v>34404788</v>
      </c>
      <c r="C9217" s="2" t="n">
        <v>42229</v>
      </c>
      <c r="D9217" t="inlineStr">
        <is>
          <t>SPEC</t>
        </is>
      </c>
      <c r="E9217" t="inlineStr">
        <is>
          <t>PLASTRON 1</t>
        </is>
      </c>
      <c r="F9217" t="inlineStr">
        <is>
          <t>BDF</t>
        </is>
      </c>
      <c r="J9217" t="inlineStr">
        <is>
          <t>MATRION</t>
        </is>
      </c>
      <c r="L9217">
        <f>_xlfn.XLOOKUP(Tableau1[[#This Row],[TYPE DE PIECE]],Tableau4[MATIERE],Tableau4[SHORT TYPE],"",0,1)</f>
        <v/>
      </c>
      <c r="N9217">
        <f>IF(ISERR(FIND("DECOUPE",Tableau1[[#This Row],[DESIGNATION]])),"","NEED REF")</f>
        <v/>
      </c>
    </row>
    <row r="9218">
      <c r="B9218" t="n">
        <v>34404787</v>
      </c>
      <c r="C9218" s="2" t="n">
        <v>42229</v>
      </c>
      <c r="D9218" t="inlineStr">
        <is>
          <t>SPEC</t>
        </is>
      </c>
      <c r="E9218" t="inlineStr">
        <is>
          <t>KIT CABLES PDPM277H - QSMA75877</t>
        </is>
      </c>
      <c r="F9218" t="inlineStr">
        <is>
          <t>APC - PDPM</t>
        </is>
      </c>
      <c r="J9218" t="inlineStr">
        <is>
          <t>MONGELLI</t>
        </is>
      </c>
      <c r="K9218" t="inlineStr">
        <is>
          <t>FILERIE</t>
        </is>
      </c>
      <c r="L9218">
        <f>_xlfn.XLOOKUP(Tableau1[[#This Row],[TYPE DE PIECE]],Tableau4[MATIERE],Tableau4[SHORT TYPE],"",0,1)</f>
        <v/>
      </c>
      <c r="N9218">
        <f>IF(ISERR(FIND("DECOUPE",Tableau1[[#This Row],[DESIGNATION]])),"","NEED REF")</f>
        <v/>
      </c>
    </row>
    <row r="9219">
      <c r="B9219" t="n">
        <v>34404786</v>
      </c>
      <c r="C9219" s="2" t="n">
        <v>42228</v>
      </c>
      <c r="D9219" t="inlineStr">
        <is>
          <t>SPEC</t>
        </is>
      </c>
      <c r="E9219" t="inlineStr">
        <is>
          <t>Panneau Lateral 12x22 Ouverture 2</t>
        </is>
      </c>
      <c r="F9219" t="inlineStr">
        <is>
          <t>BDF</t>
        </is>
      </c>
      <c r="J9219" t="inlineStr">
        <is>
          <t>MATRION</t>
        </is>
      </c>
      <c r="L9219">
        <f>_xlfn.XLOOKUP(Tableau1[[#This Row],[TYPE DE PIECE]],Tableau4[MATIERE],Tableau4[SHORT TYPE],"",0,1)</f>
        <v/>
      </c>
      <c r="N9219">
        <f>IF(ISERR(FIND("DECOUPE",Tableau1[[#This Row],[DESIGNATION]])),"","NEED REF")</f>
        <v/>
      </c>
    </row>
    <row r="9220">
      <c r="B9220" t="n">
        <v>34404785</v>
      </c>
      <c r="C9220" s="2" t="n">
        <v>42228</v>
      </c>
      <c r="D9220" t="inlineStr">
        <is>
          <t>SPEC</t>
        </is>
      </c>
      <c r="E9220" t="inlineStr">
        <is>
          <t>Barre</t>
        </is>
      </c>
      <c r="L9220">
        <f>_xlfn.XLOOKUP(Tableau1[[#This Row],[TYPE DE PIECE]],Tableau4[MATIERE],Tableau4[SHORT TYPE],"",0,1)</f>
        <v/>
      </c>
      <c r="N9220">
        <f>IF(ISERR(FIND("DECOUPE",Tableau1[[#This Row],[DESIGNATION]])),"","NEED REF")</f>
        <v/>
      </c>
    </row>
    <row r="9221">
      <c r="B9221" t="n">
        <v>34404784</v>
      </c>
      <c r="C9221" s="2" t="n">
        <v>42228</v>
      </c>
      <c r="D9221" t="inlineStr">
        <is>
          <t>SPEC</t>
        </is>
      </c>
      <c r="E9221" t="inlineStr">
        <is>
          <t>Cale 100X100</t>
        </is>
      </c>
      <c r="F9221" t="inlineStr">
        <is>
          <t>BDF</t>
        </is>
      </c>
      <c r="L9221">
        <f>_xlfn.XLOOKUP(Tableau1[[#This Row],[TYPE DE PIECE]],Tableau4[MATIERE],Tableau4[SHORT TYPE],"",0,1)</f>
        <v/>
      </c>
      <c r="N9221">
        <f>IF(ISERR(FIND("DECOUPE",Tableau1[[#This Row],[DESIGNATION]])),"","NEED REF")</f>
        <v/>
      </c>
    </row>
    <row r="9222">
      <c r="B9222" t="n">
        <v>34404783</v>
      </c>
      <c r="C9222" s="2" t="n">
        <v>42228</v>
      </c>
      <c r="D9222" t="inlineStr">
        <is>
          <t>SPEC</t>
        </is>
      </c>
      <c r="E9222" t="inlineStr">
        <is>
          <t>Barre L tronqué</t>
        </is>
      </c>
      <c r="F9222" t="inlineStr">
        <is>
          <t>BDF</t>
        </is>
      </c>
      <c r="L9222">
        <f>_xlfn.XLOOKUP(Tableau1[[#This Row],[TYPE DE PIECE]],Tableau4[MATIERE],Tableau4[SHORT TYPE],"",0,1)</f>
        <v/>
      </c>
      <c r="N9222">
        <f>IF(ISERR(FIND("DECOUPE",Tableau1[[#This Row],[DESIGNATION]])),"","NEED REF")</f>
        <v/>
      </c>
    </row>
    <row r="9223">
      <c r="B9223" t="n">
        <v>34404782</v>
      </c>
      <c r="C9223" s="2" t="n">
        <v>42228</v>
      </c>
      <c r="D9223" t="inlineStr">
        <is>
          <t>SPEC</t>
        </is>
      </c>
      <c r="E9223" t="inlineStr">
        <is>
          <t>Barre L tronqué</t>
        </is>
      </c>
      <c r="F9223" t="inlineStr">
        <is>
          <t>BDF</t>
        </is>
      </c>
      <c r="L9223">
        <f>_xlfn.XLOOKUP(Tableau1[[#This Row],[TYPE DE PIECE]],Tableau4[MATIERE],Tableau4[SHORT TYPE],"",0,1)</f>
        <v/>
      </c>
      <c r="N9223">
        <f>IF(ISERR(FIND("DECOUPE",Tableau1[[#This Row],[DESIGNATION]])),"","NEED REF")</f>
        <v/>
      </c>
    </row>
    <row r="9224">
      <c r="B9224" t="n">
        <v>34404781</v>
      </c>
      <c r="C9224" s="2" t="n">
        <v>42228</v>
      </c>
      <c r="D9224" t="inlineStr">
        <is>
          <t>SPEC</t>
        </is>
      </c>
      <c r="E9224" t="inlineStr">
        <is>
          <t>Traverse L=418 H=100 P=40</t>
        </is>
      </c>
      <c r="F9224" t="inlineStr">
        <is>
          <t>BDF</t>
        </is>
      </c>
      <c r="J9224" t="inlineStr">
        <is>
          <t>MASCELLINO</t>
        </is>
      </c>
      <c r="K9224" t="inlineStr">
        <is>
          <t>TOLERIE</t>
        </is>
      </c>
      <c r="L9224">
        <f>_xlfn.XLOOKUP(Tableau1[[#This Row],[TYPE DE PIECE]],Tableau4[MATIERE],Tableau4[SHORT TYPE],"",0,1)</f>
        <v/>
      </c>
      <c r="N9224">
        <f>IF(ISERR(FIND("DECOUPE",Tableau1[[#This Row],[DESIGNATION]])),"","NEED REF")</f>
        <v/>
      </c>
    </row>
    <row r="9225">
      <c r="B9225" t="n">
        <v>34404780</v>
      </c>
      <c r="C9225" s="2" t="n">
        <v>42228</v>
      </c>
      <c r="D9225" t="inlineStr">
        <is>
          <t>SPEC</t>
        </is>
      </c>
      <c r="E9225" t="inlineStr">
        <is>
          <t>Traverse L=318 H=100 P=40</t>
        </is>
      </c>
      <c r="F9225" t="inlineStr">
        <is>
          <t>BDF</t>
        </is>
      </c>
      <c r="J9225" t="inlineStr">
        <is>
          <t>MASCELLINO</t>
        </is>
      </c>
      <c r="K9225" t="inlineStr">
        <is>
          <t>TOLERIE</t>
        </is>
      </c>
      <c r="L9225">
        <f>_xlfn.XLOOKUP(Tableau1[[#This Row],[TYPE DE PIECE]],Tableau4[MATIERE],Tableau4[SHORT TYPE],"",0,1)</f>
        <v/>
      </c>
      <c r="N9225">
        <f>IF(ISERR(FIND("DECOUPE",Tableau1[[#This Row],[DESIGNATION]])),"","NEED REF")</f>
        <v/>
      </c>
    </row>
    <row r="9226">
      <c r="B9226" t="n">
        <v>34404779</v>
      </c>
      <c r="C9226" s="2" t="n">
        <v>42227</v>
      </c>
      <c r="D9226" t="inlineStr">
        <is>
          <t>SPEC</t>
        </is>
      </c>
      <c r="E9226" t="inlineStr">
        <is>
          <t>Cale 50x100x10</t>
        </is>
      </c>
      <c r="F9226" t="inlineStr">
        <is>
          <t>BDF</t>
        </is>
      </c>
      <c r="J9226" t="inlineStr">
        <is>
          <t>MASCELLINO</t>
        </is>
      </c>
      <c r="K9226" t="inlineStr">
        <is>
          <t>Tolerie</t>
        </is>
      </c>
      <c r="L9226">
        <f>_xlfn.XLOOKUP(Tableau1[[#This Row],[TYPE DE PIECE]],Tableau4[MATIERE],Tableau4[SHORT TYPE],"",0,1)</f>
        <v/>
      </c>
      <c r="N9226">
        <f>IF(ISERR(FIND("DECOUPE",Tableau1[[#This Row],[DESIGNATION]])),"","NEED REF")</f>
        <v/>
      </c>
    </row>
    <row r="9227">
      <c r="B9227" t="n">
        <v>34404778</v>
      </c>
      <c r="C9227" s="2" t="n">
        <v>42227</v>
      </c>
      <c r="D9227" t="inlineStr">
        <is>
          <t>SPEC</t>
        </is>
      </c>
      <c r="E9227" t="inlineStr">
        <is>
          <t>CELLULE BYPASS CHAINE B</t>
        </is>
      </c>
      <c r="F9227" t="inlineStr">
        <is>
          <t>BDF</t>
        </is>
      </c>
      <c r="J9227" t="inlineStr">
        <is>
          <t>MATRION</t>
        </is>
      </c>
      <c r="K9227" t="inlineStr">
        <is>
          <t>SAREL</t>
        </is>
      </c>
      <c r="L9227">
        <f>_xlfn.XLOOKUP(Tableau1[[#This Row],[TYPE DE PIECE]],Tableau4[MATIERE],Tableau4[SHORT TYPE],"",0,1)</f>
        <v/>
      </c>
      <c r="N9227">
        <f>IF(ISERR(FIND("DECOUPE",Tableau1[[#This Row],[DESIGNATION]])),"","NEED REF")</f>
        <v/>
      </c>
    </row>
    <row r="9228">
      <c r="B9228" t="n">
        <v>34404777</v>
      </c>
      <c r="C9228" s="2" t="n">
        <v>42227</v>
      </c>
      <c r="D9228" t="inlineStr">
        <is>
          <t>SPEC</t>
        </is>
      </c>
      <c r="E9228" t="inlineStr">
        <is>
          <t>CELLULE NS CHAINE B</t>
        </is>
      </c>
      <c r="F9228" t="inlineStr">
        <is>
          <t>BDF</t>
        </is>
      </c>
      <c r="J9228" t="inlineStr">
        <is>
          <t>MATRION</t>
        </is>
      </c>
      <c r="K9228" t="inlineStr">
        <is>
          <t>SAREL</t>
        </is>
      </c>
      <c r="L9228">
        <f>_xlfn.XLOOKUP(Tableau1[[#This Row],[TYPE DE PIECE]],Tableau4[MATIERE],Tableau4[SHORT TYPE],"",0,1)</f>
        <v/>
      </c>
      <c r="N9228">
        <f>IF(ISERR(FIND("DECOUPE",Tableau1[[#This Row],[DESIGNATION]])),"","NEED REF")</f>
        <v/>
      </c>
    </row>
    <row r="9229">
      <c r="B9229" t="n">
        <v>34404776</v>
      </c>
      <c r="C9229" s="2" t="n">
        <v>42227</v>
      </c>
      <c r="D9229" t="inlineStr">
        <is>
          <t>SPEC</t>
        </is>
      </c>
      <c r="E9229" t="inlineStr">
        <is>
          <t>CELLULE BYPASS CHAINE A</t>
        </is>
      </c>
      <c r="F9229" t="inlineStr">
        <is>
          <t>BDF</t>
        </is>
      </c>
      <c r="J9229" t="inlineStr">
        <is>
          <t>MATRION</t>
        </is>
      </c>
      <c r="K9229" t="inlineStr">
        <is>
          <t>SAREL</t>
        </is>
      </c>
      <c r="L9229">
        <f>_xlfn.XLOOKUP(Tableau1[[#This Row],[TYPE DE PIECE]],Tableau4[MATIERE],Tableau4[SHORT TYPE],"",0,1)</f>
        <v/>
      </c>
      <c r="N9229">
        <f>IF(ISERR(FIND("DECOUPE",Tableau1[[#This Row],[DESIGNATION]])),"","NEED REF")</f>
        <v/>
      </c>
    </row>
    <row r="9230">
      <c r="B9230" t="n">
        <v>34404775</v>
      </c>
      <c r="C9230" s="2" t="n">
        <v>42227</v>
      </c>
      <c r="D9230" t="inlineStr">
        <is>
          <t>SPEC</t>
        </is>
      </c>
      <c r="E9230" t="inlineStr">
        <is>
          <t>CELLULE NS CHAINE A</t>
        </is>
      </c>
      <c r="F9230" t="inlineStr">
        <is>
          <t>BDF</t>
        </is>
      </c>
      <c r="J9230" t="inlineStr">
        <is>
          <t>MATRION</t>
        </is>
      </c>
      <c r="K9230" t="inlineStr">
        <is>
          <t>SAREL</t>
        </is>
      </c>
      <c r="L9230">
        <f>_xlfn.XLOOKUP(Tableau1[[#This Row],[TYPE DE PIECE]],Tableau4[MATIERE],Tableau4[SHORT TYPE],"",0,1)</f>
        <v/>
      </c>
      <c r="N9230">
        <f>IF(ISERR(FIND("DECOUPE",Tableau1[[#This Row],[DESIGNATION]])),"","NEED REF")</f>
        <v/>
      </c>
    </row>
    <row r="9231">
      <c r="B9231" t="n">
        <v>34404774</v>
      </c>
      <c r="C9231" s="2" t="n">
        <v>42227</v>
      </c>
      <c r="D9231" t="inlineStr">
        <is>
          <t>SPEC</t>
        </is>
      </c>
      <c r="E9231" t="inlineStr">
        <is>
          <t>PLATINE 3xNSX250 715 ROTATIF</t>
        </is>
      </c>
      <c r="J9231" t="inlineStr">
        <is>
          <t>MATRION</t>
        </is>
      </c>
      <c r="K9231" t="inlineStr">
        <is>
          <t>Tolerie</t>
        </is>
      </c>
      <c r="L9231">
        <f>_xlfn.XLOOKUP(Tableau1[[#This Row],[TYPE DE PIECE]],Tableau4[MATIERE],Tableau4[SHORT TYPE],"",0,1)</f>
        <v/>
      </c>
      <c r="N9231">
        <f>IF(ISERR(FIND("DECOUPE",Tableau1[[#This Row],[DESIGNATION]])),"","NEED REF")</f>
        <v/>
      </c>
    </row>
    <row r="9232">
      <c r="B9232" t="n">
        <v>34404773</v>
      </c>
      <c r="C9232" s="2" t="n">
        <v>42227</v>
      </c>
      <c r="D9232" t="inlineStr">
        <is>
          <t>SPEC</t>
        </is>
      </c>
      <c r="E9232" t="inlineStr">
        <is>
          <t>profilé</t>
        </is>
      </c>
      <c r="F9232" t="inlineStr">
        <is>
          <t>BDF</t>
        </is>
      </c>
      <c r="J9232" t="inlineStr">
        <is>
          <t>MASCELLINO</t>
        </is>
      </c>
      <c r="K9232" t="inlineStr">
        <is>
          <t>Tolerie</t>
        </is>
      </c>
      <c r="L9232">
        <f>_xlfn.XLOOKUP(Tableau1[[#This Row],[TYPE DE PIECE]],Tableau4[MATIERE],Tableau4[SHORT TYPE],"",0,1)</f>
        <v/>
      </c>
      <c r="N9232">
        <f>IF(ISERR(FIND("DECOUPE",Tableau1[[#This Row],[DESIGNATION]])),"","NEED REF")</f>
        <v/>
      </c>
    </row>
    <row r="9233">
      <c r="B9233" t="n">
        <v>34404772</v>
      </c>
      <c r="C9233" s="2" t="n">
        <v>42227</v>
      </c>
      <c r="D9233" t="inlineStr">
        <is>
          <t>SPEC</t>
        </is>
      </c>
      <c r="E9233" t="inlineStr">
        <is>
          <t>profilé</t>
        </is>
      </c>
      <c r="F9233" t="inlineStr">
        <is>
          <t>BDF</t>
        </is>
      </c>
      <c r="J9233" t="inlineStr">
        <is>
          <t>MASCELLINO</t>
        </is>
      </c>
      <c r="K9233" t="inlineStr">
        <is>
          <t>Tolerie</t>
        </is>
      </c>
      <c r="L9233">
        <f>_xlfn.XLOOKUP(Tableau1[[#This Row],[TYPE DE PIECE]],Tableau4[MATIERE],Tableau4[SHORT TYPE],"",0,1)</f>
        <v/>
      </c>
      <c r="N9233">
        <f>IF(ISERR(FIND("DECOUPE",Tableau1[[#This Row],[DESIGNATION]])),"","NEED REF")</f>
        <v/>
      </c>
    </row>
    <row r="9234">
      <c r="B9234" t="n">
        <v>34404771</v>
      </c>
      <c r="C9234" s="2" t="n">
        <v>42227</v>
      </c>
      <c r="D9234" t="inlineStr">
        <is>
          <t>SPEC</t>
        </is>
      </c>
      <c r="E9234" t="inlineStr">
        <is>
          <t>Traverse L=708 H=100 P=40</t>
        </is>
      </c>
      <c r="F9234" t="inlineStr">
        <is>
          <t>BDF</t>
        </is>
      </c>
      <c r="J9234" t="inlineStr">
        <is>
          <t>MASCELLINO</t>
        </is>
      </c>
      <c r="K9234" t="inlineStr">
        <is>
          <t>TOLERIE</t>
        </is>
      </c>
      <c r="L9234">
        <f>_xlfn.XLOOKUP(Tableau1[[#This Row],[TYPE DE PIECE]],Tableau4[MATIERE],Tableau4[SHORT TYPE],"",0,1)</f>
        <v/>
      </c>
      <c r="N9234">
        <f>IF(ISERR(FIND("DECOUPE",Tableau1[[#This Row],[DESIGNATION]])),"","NEED REF")</f>
        <v/>
      </c>
    </row>
    <row r="9235">
      <c r="B9235" t="n">
        <v>34404770</v>
      </c>
      <c r="C9235" s="2" t="n">
        <v>42226</v>
      </c>
      <c r="D9235" t="inlineStr">
        <is>
          <t>SPEC</t>
        </is>
      </c>
      <c r="E9235" t="inlineStr">
        <is>
          <t>Barre en U</t>
        </is>
      </c>
      <c r="F9235" t="inlineStr">
        <is>
          <t>BDF</t>
        </is>
      </c>
      <c r="J9235" t="inlineStr">
        <is>
          <t>DUBOIS</t>
        </is>
      </c>
      <c r="K9235" t="inlineStr">
        <is>
          <t>cuivre</t>
        </is>
      </c>
      <c r="L9235">
        <f>_xlfn.XLOOKUP(Tableau1[[#This Row],[TYPE DE PIECE]],Tableau4[MATIERE],Tableau4[SHORT TYPE],"",0,1)</f>
        <v/>
      </c>
      <c r="N9235">
        <f>IF(ISERR(FIND("DECOUPE",Tableau1[[#This Row],[DESIGNATION]])),"","NEED REF")</f>
        <v/>
      </c>
    </row>
    <row r="9236">
      <c r="B9236" t="n">
        <v>34404769</v>
      </c>
      <c r="C9236" s="2" t="n">
        <v>42226</v>
      </c>
      <c r="D9236" t="inlineStr">
        <is>
          <t>SPEC</t>
        </is>
      </c>
      <c r="E9236" t="inlineStr">
        <is>
          <t>Barre en U</t>
        </is>
      </c>
      <c r="F9236" t="inlineStr">
        <is>
          <t>BDF</t>
        </is>
      </c>
      <c r="J9236" t="inlineStr">
        <is>
          <t>DUBOIS</t>
        </is>
      </c>
      <c r="K9236" t="inlineStr">
        <is>
          <t>cuivre</t>
        </is>
      </c>
      <c r="L9236">
        <f>_xlfn.XLOOKUP(Tableau1[[#This Row],[TYPE DE PIECE]],Tableau4[MATIERE],Tableau4[SHORT TYPE],"",0,1)</f>
        <v/>
      </c>
      <c r="N9236">
        <f>IF(ISERR(FIND("DECOUPE",Tableau1[[#This Row],[DESIGNATION]])),"","NEED REF")</f>
        <v/>
      </c>
    </row>
    <row r="9237">
      <c r="B9237" t="n">
        <v>34404768</v>
      </c>
      <c r="C9237" s="2" t="n">
        <v>42226</v>
      </c>
      <c r="D9237" t="inlineStr">
        <is>
          <t>SPEC</t>
        </is>
      </c>
      <c r="E9237" t="inlineStr">
        <is>
          <t>Barre en U</t>
        </is>
      </c>
      <c r="F9237" t="inlineStr">
        <is>
          <t>BDF</t>
        </is>
      </c>
      <c r="J9237" t="inlineStr">
        <is>
          <t>DUBOIS</t>
        </is>
      </c>
      <c r="K9237" t="inlineStr">
        <is>
          <t>cuivre</t>
        </is>
      </c>
      <c r="L9237">
        <f>_xlfn.XLOOKUP(Tableau1[[#This Row],[TYPE DE PIECE]],Tableau4[MATIERE],Tableau4[SHORT TYPE],"",0,1)</f>
        <v/>
      </c>
      <c r="N9237">
        <f>IF(ISERR(FIND("DECOUPE",Tableau1[[#This Row],[DESIGNATION]])),"","NEED REF")</f>
        <v/>
      </c>
    </row>
    <row r="9238">
      <c r="B9238" t="n">
        <v>34404767</v>
      </c>
      <c r="C9238" s="2" t="n">
        <v>42226</v>
      </c>
      <c r="D9238" t="inlineStr">
        <is>
          <t>SPEC</t>
        </is>
      </c>
      <c r="E9238" t="inlineStr">
        <is>
          <t>Barre en U</t>
        </is>
      </c>
      <c r="F9238" t="inlineStr">
        <is>
          <t>BDF</t>
        </is>
      </c>
      <c r="J9238" t="inlineStr">
        <is>
          <t>DUBOIS</t>
        </is>
      </c>
      <c r="K9238" t="inlineStr">
        <is>
          <t>cuivre</t>
        </is>
      </c>
      <c r="L9238">
        <f>_xlfn.XLOOKUP(Tableau1[[#This Row],[TYPE DE PIECE]],Tableau4[MATIERE],Tableau4[SHORT TYPE],"",0,1)</f>
        <v/>
      </c>
      <c r="N9238">
        <f>IF(ISERR(FIND("DECOUPE",Tableau1[[#This Row],[DESIGNATION]])),"","NEED REF")</f>
        <v/>
      </c>
    </row>
    <row r="9239">
      <c r="B9239" t="n">
        <v>34404766</v>
      </c>
      <c r="C9239" s="2" t="n">
        <v>42226</v>
      </c>
      <c r="D9239" t="inlineStr">
        <is>
          <t>SPEC</t>
        </is>
      </c>
      <c r="E9239" t="inlineStr">
        <is>
          <t>Barre en U</t>
        </is>
      </c>
      <c r="F9239" t="inlineStr">
        <is>
          <t>BDF</t>
        </is>
      </c>
      <c r="J9239" t="inlineStr">
        <is>
          <t>DUBOIS</t>
        </is>
      </c>
      <c r="K9239" t="inlineStr">
        <is>
          <t>cuivre</t>
        </is>
      </c>
      <c r="L9239">
        <f>_xlfn.XLOOKUP(Tableau1[[#This Row],[TYPE DE PIECE]],Tableau4[MATIERE],Tableau4[SHORT TYPE],"",0,1)</f>
        <v/>
      </c>
      <c r="N9239">
        <f>IF(ISERR(FIND("DECOUPE",Tableau1[[#This Row],[DESIGNATION]])),"","NEED REF")</f>
        <v/>
      </c>
    </row>
    <row r="9240">
      <c r="B9240" t="n">
        <v>34404765</v>
      </c>
      <c r="C9240" s="2" t="n">
        <v>42226</v>
      </c>
      <c r="D9240" t="inlineStr">
        <is>
          <t>SPEC</t>
        </is>
      </c>
      <c r="E9240" t="inlineStr">
        <is>
          <t>Barre en U</t>
        </is>
      </c>
      <c r="F9240" t="inlineStr">
        <is>
          <t>BDF</t>
        </is>
      </c>
      <c r="J9240" t="inlineStr">
        <is>
          <t>DUBOIS</t>
        </is>
      </c>
      <c r="K9240" t="inlineStr">
        <is>
          <t>cuivre</t>
        </is>
      </c>
      <c r="L9240">
        <f>_xlfn.XLOOKUP(Tableau1[[#This Row],[TYPE DE PIECE]],Tableau4[MATIERE],Tableau4[SHORT TYPE],"",0,1)</f>
        <v/>
      </c>
      <c r="N9240">
        <f>IF(ISERR(FIND("DECOUPE",Tableau1[[#This Row],[DESIGNATION]])),"","NEED REF")</f>
        <v/>
      </c>
    </row>
    <row r="9241">
      <c r="B9241" t="n">
        <v>34404764</v>
      </c>
      <c r="C9241" s="2" t="n">
        <v>42226</v>
      </c>
      <c r="D9241" t="inlineStr">
        <is>
          <t>SPEC</t>
        </is>
      </c>
      <c r="E9241" t="inlineStr">
        <is>
          <t>Panneau arrière 8x22</t>
        </is>
      </c>
      <c r="F9241" t="inlineStr">
        <is>
          <t>BDF</t>
        </is>
      </c>
      <c r="J9241" t="inlineStr">
        <is>
          <t>MASCELLINO</t>
        </is>
      </c>
      <c r="L9241">
        <f>_xlfn.XLOOKUP(Tableau1[[#This Row],[TYPE DE PIECE]],Tableau4[MATIERE],Tableau4[SHORT TYPE],"",0,1)</f>
        <v/>
      </c>
      <c r="N9241">
        <f>IF(ISERR(FIND("DECOUPE",Tableau1[[#This Row],[DESIGNATION]])),"","NEED REF")</f>
        <v/>
      </c>
    </row>
    <row r="9242">
      <c r="B9242" t="n">
        <v>34404763</v>
      </c>
      <c r="C9242" s="2" t="n">
        <v>42226</v>
      </c>
      <c r="D9242" t="inlineStr">
        <is>
          <t>SPEC</t>
        </is>
      </c>
      <c r="E9242" t="inlineStr">
        <is>
          <t>Panneau arrière 10x22</t>
        </is>
      </c>
      <c r="F9242" t="inlineStr">
        <is>
          <t>BDF</t>
        </is>
      </c>
      <c r="J9242" t="inlineStr">
        <is>
          <t>MASCELLINO</t>
        </is>
      </c>
      <c r="L9242">
        <f>_xlfn.XLOOKUP(Tableau1[[#This Row],[TYPE DE PIECE]],Tableau4[MATIERE],Tableau4[SHORT TYPE],"",0,1)</f>
        <v/>
      </c>
      <c r="N9242">
        <f>IF(ISERR(FIND("DECOUPE",Tableau1[[#This Row],[DESIGNATION]])),"","NEED REF")</f>
        <v/>
      </c>
    </row>
    <row r="9243">
      <c r="B9243" t="n">
        <v>34404762</v>
      </c>
      <c r="C9243" s="2" t="n">
        <v>42226</v>
      </c>
      <c r="D9243" t="inlineStr">
        <is>
          <t>SPEC</t>
        </is>
      </c>
      <c r="E9243" t="inlineStr">
        <is>
          <t>Panneau lateral 12x22</t>
        </is>
      </c>
      <c r="F9243" t="inlineStr">
        <is>
          <t>BDF</t>
        </is>
      </c>
      <c r="J9243" t="inlineStr">
        <is>
          <t>MASCELLINO</t>
        </is>
      </c>
      <c r="L9243">
        <f>_xlfn.XLOOKUP(Tableau1[[#This Row],[TYPE DE PIECE]],Tableau4[MATIERE],Tableau4[SHORT TYPE],"",0,1)</f>
        <v/>
      </c>
      <c r="N9243">
        <f>IF(ISERR(FIND("DECOUPE",Tableau1[[#This Row],[DESIGNATION]])),"","NEED REF")</f>
        <v/>
      </c>
    </row>
    <row r="9244">
      <c r="B9244" t="n">
        <v>34404761</v>
      </c>
      <c r="C9244" s="2" t="n">
        <v>42226</v>
      </c>
      <c r="D9244" t="inlineStr">
        <is>
          <t>SPEC</t>
        </is>
      </c>
      <c r="E9244" t="inlineStr">
        <is>
          <t>Toit 12x10</t>
        </is>
      </c>
      <c r="F9244" t="inlineStr">
        <is>
          <t>BDF</t>
        </is>
      </c>
      <c r="J9244" t="inlineStr">
        <is>
          <t>MASCELLINO</t>
        </is>
      </c>
      <c r="L9244">
        <f>_xlfn.XLOOKUP(Tableau1[[#This Row],[TYPE DE PIECE]],Tableau4[MATIERE],Tableau4[SHORT TYPE],"",0,1)</f>
        <v/>
      </c>
      <c r="N9244">
        <f>IF(ISERR(FIND("DECOUPE",Tableau1[[#This Row],[DESIGNATION]])),"","NEED REF")</f>
        <v/>
      </c>
    </row>
    <row r="9245">
      <c r="B9245" t="n">
        <v>34404760</v>
      </c>
      <c r="C9245" s="2" t="n">
        <v>42226</v>
      </c>
      <c r="D9245" t="inlineStr">
        <is>
          <t>SPEC</t>
        </is>
      </c>
      <c r="E9245" t="inlineStr">
        <is>
          <t>Panneau Lateral 12x22 Ouverture</t>
        </is>
      </c>
      <c r="F9245" t="inlineStr">
        <is>
          <t>BDF</t>
        </is>
      </c>
      <c r="J9245" t="inlineStr">
        <is>
          <t>MASCELLINO</t>
        </is>
      </c>
      <c r="L9245">
        <f>_xlfn.XLOOKUP(Tableau1[[#This Row],[TYPE DE PIECE]],Tableau4[MATIERE],Tableau4[SHORT TYPE],"",0,1)</f>
        <v/>
      </c>
      <c r="N9245">
        <f>IF(ISERR(FIND("DECOUPE",Tableau1[[#This Row],[DESIGNATION]])),"","NEED REF")</f>
        <v/>
      </c>
    </row>
    <row r="9246">
      <c r="B9246" t="n">
        <v>34404759</v>
      </c>
      <c r="C9246" s="2" t="n">
        <v>42226</v>
      </c>
      <c r="D9246" t="inlineStr">
        <is>
          <t>SPEC</t>
        </is>
      </c>
      <c r="E9246" t="inlineStr">
        <is>
          <t>Porte 1000x2200 ventile + afficheur</t>
        </is>
      </c>
      <c r="F9246" t="inlineStr">
        <is>
          <t>BDF</t>
        </is>
      </c>
      <c r="J9246" t="inlineStr">
        <is>
          <t>MASCELLINO</t>
        </is>
      </c>
      <c r="L9246">
        <f>_xlfn.XLOOKUP(Tableau1[[#This Row],[TYPE DE PIECE]],Tableau4[MATIERE],Tableau4[SHORT TYPE],"",0,1)</f>
        <v/>
      </c>
      <c r="N9246">
        <f>IF(ISERR(FIND("DECOUPE",Tableau1[[#This Row],[DESIGNATION]])),"","NEED REF")</f>
        <v/>
      </c>
    </row>
    <row r="9247">
      <c r="B9247" t="n">
        <v>34404758</v>
      </c>
      <c r="C9247" s="2" t="n">
        <v>42226</v>
      </c>
      <c r="D9247" t="inlineStr">
        <is>
          <t>SPEC</t>
        </is>
      </c>
      <c r="E9247" t="inlineStr">
        <is>
          <t>Porte 800x2200 ventile</t>
        </is>
      </c>
      <c r="F9247" t="inlineStr">
        <is>
          <t>BDF</t>
        </is>
      </c>
      <c r="J9247" t="inlineStr">
        <is>
          <t>MASCELLINO</t>
        </is>
      </c>
      <c r="L9247">
        <f>_xlfn.XLOOKUP(Tableau1[[#This Row],[TYPE DE PIECE]],Tableau4[MATIERE],Tableau4[SHORT TYPE],"",0,1)</f>
        <v/>
      </c>
      <c r="N9247">
        <f>IF(ISERR(FIND("DECOUPE",Tableau1[[#This Row],[DESIGNATION]])),"","NEED REF")</f>
        <v/>
      </c>
    </row>
    <row r="9248">
      <c r="B9248" t="n">
        <v>34404757</v>
      </c>
      <c r="C9248" s="2" t="n">
        <v>42223</v>
      </c>
      <c r="D9248" t="inlineStr">
        <is>
          <t>SPEC</t>
        </is>
      </c>
      <c r="E9248" t="inlineStr">
        <is>
          <t>Eclisse client</t>
        </is>
      </c>
      <c r="F9248" t="inlineStr">
        <is>
          <t>BDF</t>
        </is>
      </c>
      <c r="J9248" t="inlineStr">
        <is>
          <t>MASCELLINO</t>
        </is>
      </c>
      <c r="K9248" t="inlineStr">
        <is>
          <t>Tolerie</t>
        </is>
      </c>
      <c r="L9248">
        <f>_xlfn.XLOOKUP(Tableau1[[#This Row],[TYPE DE PIECE]],Tableau4[MATIERE],Tableau4[SHORT TYPE],"",0,1)</f>
        <v/>
      </c>
      <c r="N9248">
        <f>IF(ISERR(FIND("DECOUPE",Tableau1[[#This Row],[DESIGNATION]])),"","NEED REF")</f>
        <v/>
      </c>
    </row>
    <row r="9249">
      <c r="B9249" t="n">
        <v>34404756</v>
      </c>
      <c r="C9249" s="2" t="n">
        <v>42222</v>
      </c>
      <c r="D9249" t="inlineStr">
        <is>
          <t>SPEC</t>
        </is>
      </c>
      <c r="E9249" t="inlineStr">
        <is>
          <t>PLASTRON 2xNSX250 715</t>
        </is>
      </c>
      <c r="J9249" t="inlineStr">
        <is>
          <t>MATRION</t>
        </is>
      </c>
      <c r="K9249" t="inlineStr">
        <is>
          <t>Tolerie</t>
        </is>
      </c>
      <c r="L9249">
        <f>_xlfn.XLOOKUP(Tableau1[[#This Row],[TYPE DE PIECE]],Tableau4[MATIERE],Tableau4[SHORT TYPE],"",0,1)</f>
        <v/>
      </c>
      <c r="N9249">
        <f>IF(ISERR(FIND("DECOUPE",Tableau1[[#This Row],[DESIGNATION]])),"","NEED REF")</f>
        <v/>
      </c>
    </row>
    <row r="9250">
      <c r="B9250" t="n">
        <v>34404755</v>
      </c>
      <c r="C9250" s="2" t="n">
        <v>42222</v>
      </c>
      <c r="D9250" t="inlineStr">
        <is>
          <t>SPEC</t>
        </is>
      </c>
      <c r="E9250" t="inlineStr">
        <is>
          <t>PLASTRON 3xNSX250 715</t>
        </is>
      </c>
      <c r="J9250" t="inlineStr">
        <is>
          <t>MATRION</t>
        </is>
      </c>
      <c r="K9250" t="inlineStr">
        <is>
          <t>Tolerie</t>
        </is>
      </c>
      <c r="L9250">
        <f>_xlfn.XLOOKUP(Tableau1[[#This Row],[TYPE DE PIECE]],Tableau4[MATIERE],Tableau4[SHORT TYPE],"",0,1)</f>
        <v/>
      </c>
      <c r="N9250">
        <f>IF(ISERR(FIND("DECOUPE",Tableau1[[#This Row],[DESIGNATION]])),"","NEED REF")</f>
        <v/>
      </c>
    </row>
    <row r="9251">
      <c r="B9251" t="n">
        <v>34404754</v>
      </c>
      <c r="C9251" s="2" t="n">
        <v>42222</v>
      </c>
      <c r="D9251" t="inlineStr">
        <is>
          <t>SPEC</t>
        </is>
      </c>
      <c r="E9251" t="inlineStr">
        <is>
          <t>PLASTRON 4xNSX250 715</t>
        </is>
      </c>
      <c r="J9251" t="inlineStr">
        <is>
          <t>MATRION</t>
        </is>
      </c>
      <c r="K9251" t="inlineStr">
        <is>
          <t>Tolerie</t>
        </is>
      </c>
      <c r="L9251">
        <f>_xlfn.XLOOKUP(Tableau1[[#This Row],[TYPE DE PIECE]],Tableau4[MATIERE],Tableau4[SHORT TYPE],"",0,1)</f>
        <v/>
      </c>
      <c r="N9251">
        <f>IF(ISERR(FIND("DECOUPE",Tableau1[[#This Row],[DESIGNATION]])),"","NEED REF")</f>
        <v/>
      </c>
    </row>
    <row r="9252">
      <c r="B9252" t="n">
        <v>34404753</v>
      </c>
      <c r="C9252" s="2" t="n">
        <v>42222</v>
      </c>
      <c r="D9252" t="inlineStr">
        <is>
          <t>SPEC</t>
        </is>
      </c>
      <c r="E9252" t="inlineStr">
        <is>
          <t xml:space="preserve">Platine </t>
        </is>
      </c>
      <c r="F9252" t="inlineStr">
        <is>
          <t>BDF</t>
        </is>
      </c>
      <c r="J9252" t="inlineStr">
        <is>
          <t>DUBOIS</t>
        </is>
      </c>
      <c r="K9252" t="inlineStr">
        <is>
          <t>Tolerie</t>
        </is>
      </c>
      <c r="L9252">
        <f>_xlfn.XLOOKUP(Tableau1[[#This Row],[TYPE DE PIECE]],Tableau4[MATIERE],Tableau4[SHORT TYPE],"",0,1)</f>
        <v/>
      </c>
      <c r="N9252">
        <f>IF(ISERR(FIND("DECOUPE",Tableau1[[#This Row],[DESIGNATION]])),"","NEED REF")</f>
        <v/>
      </c>
    </row>
    <row r="9253">
      <c r="B9253" t="n">
        <v>34404752</v>
      </c>
      <c r="C9253" s="2" t="n">
        <v>42222</v>
      </c>
      <c r="D9253" t="inlineStr">
        <is>
          <t>SPEC</t>
        </is>
      </c>
      <c r="E9253" t="inlineStr">
        <is>
          <t>Barre neutre en U GAB</t>
        </is>
      </c>
      <c r="F9253" t="inlineStr">
        <is>
          <t>BDF</t>
        </is>
      </c>
      <c r="J9253" t="inlineStr">
        <is>
          <t>MASCELLINO</t>
        </is>
      </c>
      <c r="K9253" t="inlineStr">
        <is>
          <t>Cuivre</t>
        </is>
      </c>
      <c r="L9253">
        <f>_xlfn.XLOOKUP(Tableau1[[#This Row],[TYPE DE PIECE]],Tableau4[MATIERE],Tableau4[SHORT TYPE],"",0,1)</f>
        <v/>
      </c>
      <c r="N9253">
        <f>IF(ISERR(FIND("DECOUPE",Tableau1[[#This Row],[DESIGNATION]])),"","NEED REF")</f>
        <v/>
      </c>
    </row>
    <row r="9254">
      <c r="B9254" t="n">
        <v>34404751</v>
      </c>
      <c r="C9254" s="2" t="n">
        <v>42222</v>
      </c>
      <c r="D9254" t="inlineStr">
        <is>
          <t>SPEC</t>
        </is>
      </c>
      <c r="E9254" t="inlineStr">
        <is>
          <t>Traverse L=1108 H=100 P=50</t>
        </is>
      </c>
      <c r="F9254" t="inlineStr">
        <is>
          <t>BDF</t>
        </is>
      </c>
      <c r="J9254" t="inlineStr">
        <is>
          <t>MASCELLINO</t>
        </is>
      </c>
      <c r="L9254">
        <f>_xlfn.XLOOKUP(Tableau1[[#This Row],[TYPE DE PIECE]],Tableau4[MATIERE],Tableau4[SHORT TYPE],"",0,1)</f>
        <v/>
      </c>
      <c r="N9254">
        <f>IF(ISERR(FIND("DECOUPE",Tableau1[[#This Row],[DESIGNATION]])),"","NEED REF")</f>
        <v/>
      </c>
    </row>
    <row r="9255">
      <c r="B9255" t="n">
        <v>34404750</v>
      </c>
      <c r="C9255" s="2" t="n">
        <v>42222</v>
      </c>
      <c r="D9255" t="inlineStr">
        <is>
          <t>SPEC</t>
        </is>
      </c>
      <c r="E9255" t="inlineStr">
        <is>
          <t>PLATINE 2xNSX250 715</t>
        </is>
      </c>
      <c r="J9255" t="inlineStr">
        <is>
          <t>MATRION</t>
        </is>
      </c>
      <c r="K9255" t="inlineStr">
        <is>
          <t>Tolerie</t>
        </is>
      </c>
      <c r="L9255">
        <f>_xlfn.XLOOKUP(Tableau1[[#This Row],[TYPE DE PIECE]],Tableau4[MATIERE],Tableau4[SHORT TYPE],"",0,1)</f>
        <v/>
      </c>
      <c r="N9255">
        <f>IF(ISERR(FIND("DECOUPE",Tableau1[[#This Row],[DESIGNATION]])),"","NEED REF")</f>
        <v/>
      </c>
    </row>
    <row r="9256">
      <c r="B9256" t="n">
        <v>34404749</v>
      </c>
      <c r="C9256" s="2" t="n">
        <v>42222</v>
      </c>
      <c r="D9256" t="inlineStr">
        <is>
          <t>SPEC</t>
        </is>
      </c>
      <c r="E9256" t="inlineStr">
        <is>
          <t>PLATINE 3xNSX250 715</t>
        </is>
      </c>
      <c r="J9256" t="inlineStr">
        <is>
          <t>MATRION</t>
        </is>
      </c>
      <c r="K9256" t="inlineStr">
        <is>
          <t>Tolerie</t>
        </is>
      </c>
      <c r="L9256">
        <f>_xlfn.XLOOKUP(Tableau1[[#This Row],[TYPE DE PIECE]],Tableau4[MATIERE],Tableau4[SHORT TYPE],"",0,1)</f>
        <v/>
      </c>
      <c r="N9256">
        <f>IF(ISERR(FIND("DECOUPE",Tableau1[[#This Row],[DESIGNATION]])),"","NEED REF")</f>
        <v/>
      </c>
    </row>
    <row r="9257">
      <c r="B9257" t="n">
        <v>34404748</v>
      </c>
      <c r="C9257" s="2" t="n">
        <v>42222</v>
      </c>
      <c r="D9257" t="inlineStr">
        <is>
          <t>SPEC</t>
        </is>
      </c>
      <c r="E9257" t="inlineStr">
        <is>
          <t>PLATINE 4xNSX250 715</t>
        </is>
      </c>
      <c r="J9257" t="inlineStr">
        <is>
          <t>MATRION</t>
        </is>
      </c>
      <c r="K9257" t="inlineStr">
        <is>
          <t>Tolerie</t>
        </is>
      </c>
      <c r="L9257">
        <f>_xlfn.XLOOKUP(Tableau1[[#This Row],[TYPE DE PIECE]],Tableau4[MATIERE],Tableau4[SHORT TYPE],"",0,1)</f>
        <v/>
      </c>
      <c r="N9257">
        <f>IF(ISERR(FIND("DECOUPE",Tableau1[[#This Row],[DESIGNATION]])),"","NEED REF")</f>
        <v/>
      </c>
    </row>
    <row r="9258">
      <c r="B9258" t="n">
        <v>34404747</v>
      </c>
      <c r="C9258" s="2" t="n">
        <v>42222</v>
      </c>
      <c r="D9258" t="inlineStr">
        <is>
          <t>SPEC</t>
        </is>
      </c>
      <c r="E9258" t="inlineStr">
        <is>
          <t>PLAGE RACCORDEMENT GAB</t>
        </is>
      </c>
      <c r="F9258" t="inlineStr">
        <is>
          <t>BDF</t>
        </is>
      </c>
      <c r="J9258" t="inlineStr">
        <is>
          <t>MASCELLINO</t>
        </is>
      </c>
      <c r="K9258" t="inlineStr">
        <is>
          <t>CUIVRE</t>
        </is>
      </c>
      <c r="L9258">
        <f>_xlfn.XLOOKUP(Tableau1[[#This Row],[TYPE DE PIECE]],Tableau4[MATIERE],Tableau4[SHORT TYPE],"",0,1)</f>
        <v/>
      </c>
      <c r="N9258">
        <f>IF(ISERR(FIND("DECOUPE",Tableau1[[#This Row],[DESIGNATION]])),"","NEED REF")</f>
        <v/>
      </c>
    </row>
    <row r="9259">
      <c r="B9259" t="n">
        <v>34404746</v>
      </c>
      <c r="C9259" s="2" t="n">
        <v>42222</v>
      </c>
      <c r="D9259" t="inlineStr">
        <is>
          <t>SPEC</t>
        </is>
      </c>
      <c r="E9259" t="inlineStr">
        <is>
          <t>profilé</t>
        </is>
      </c>
      <c r="F9259" t="inlineStr">
        <is>
          <t>BDF</t>
        </is>
      </c>
      <c r="J9259" t="inlineStr">
        <is>
          <t>MASCELLINO</t>
        </is>
      </c>
      <c r="K9259" t="inlineStr">
        <is>
          <t>Tolerie</t>
        </is>
      </c>
      <c r="L9259">
        <f>_xlfn.XLOOKUP(Tableau1[[#This Row],[TYPE DE PIECE]],Tableau4[MATIERE],Tableau4[SHORT TYPE],"",0,1)</f>
        <v/>
      </c>
      <c r="N9259">
        <f>IF(ISERR(FIND("DECOUPE",Tableau1[[#This Row],[DESIGNATION]])),"","NEED REF")</f>
        <v/>
      </c>
    </row>
    <row r="9260">
      <c r="B9260" t="n">
        <v>34404745</v>
      </c>
      <c r="C9260" s="2" t="n">
        <v>42222</v>
      </c>
      <c r="D9260" t="inlineStr">
        <is>
          <t>SPEC</t>
        </is>
      </c>
      <c r="E9260" t="inlineStr">
        <is>
          <t>profilé</t>
        </is>
      </c>
      <c r="F9260" t="inlineStr">
        <is>
          <t>BDF</t>
        </is>
      </c>
      <c r="J9260" t="inlineStr">
        <is>
          <t>MASCELLINO</t>
        </is>
      </c>
      <c r="K9260" t="inlineStr">
        <is>
          <t>Tolerie</t>
        </is>
      </c>
      <c r="L9260">
        <f>_xlfn.XLOOKUP(Tableau1[[#This Row],[TYPE DE PIECE]],Tableau4[MATIERE],Tableau4[SHORT TYPE],"",0,1)</f>
        <v/>
      </c>
      <c r="N9260">
        <f>IF(ISERR(FIND("DECOUPE",Tableau1[[#This Row],[DESIGNATION]])),"","NEED REF")</f>
        <v/>
      </c>
    </row>
    <row r="9261">
      <c r="B9261" t="n">
        <v>34404744</v>
      </c>
      <c r="C9261" s="2" t="n">
        <v>42222</v>
      </c>
      <c r="D9261" t="inlineStr">
        <is>
          <t>SPEC</t>
        </is>
      </c>
      <c r="E9261" t="inlineStr">
        <is>
          <t>FLEXBAR 1 R2 TOP CONNEXION</t>
        </is>
      </c>
      <c r="F9261" t="inlineStr">
        <is>
          <t>BDF</t>
        </is>
      </c>
      <c r="J9261" t="inlineStr">
        <is>
          <t>MASCELLINO</t>
        </is>
      </c>
      <c r="K9261" t="inlineStr">
        <is>
          <t>Cuivre</t>
        </is>
      </c>
      <c r="L9261">
        <f>_xlfn.XLOOKUP(Tableau1[[#This Row],[TYPE DE PIECE]],Tableau4[MATIERE],Tableau4[SHORT TYPE],"",0,1)</f>
        <v/>
      </c>
      <c r="N9261">
        <f>IF(ISERR(FIND("DECOUPE",Tableau1[[#This Row],[DESIGNATION]])),"","NEED REF")</f>
        <v/>
      </c>
    </row>
    <row r="9262">
      <c r="B9262" t="n">
        <v>34404743</v>
      </c>
      <c r="C9262" s="2" t="n">
        <v>42222</v>
      </c>
      <c r="D9262" t="inlineStr">
        <is>
          <t>SPEC</t>
        </is>
      </c>
      <c r="E9262" t="inlineStr">
        <is>
          <t xml:space="preserve">BUSBAR </t>
        </is>
      </c>
      <c r="F9262" t="inlineStr">
        <is>
          <t>BDF</t>
        </is>
      </c>
      <c r="J9262" t="inlineStr">
        <is>
          <t>MASCELLINO</t>
        </is>
      </c>
      <c r="K9262" t="inlineStr">
        <is>
          <t>Tolerie</t>
        </is>
      </c>
      <c r="L9262">
        <f>_xlfn.XLOOKUP(Tableau1[[#This Row],[TYPE DE PIECE]],Tableau4[MATIERE],Tableau4[SHORT TYPE],"",0,1)</f>
        <v/>
      </c>
      <c r="N9262">
        <f>IF(ISERR(FIND("DECOUPE",Tableau1[[#This Row],[DESIGNATION]])),"","NEED REF")</f>
        <v/>
      </c>
    </row>
    <row r="9263">
      <c r="B9263" t="n">
        <v>34404742</v>
      </c>
      <c r="C9263" s="2" t="n">
        <v>42221</v>
      </c>
      <c r="D9263" t="inlineStr">
        <is>
          <t>SPEC</t>
        </is>
      </c>
      <c r="E9263" t="inlineStr">
        <is>
          <t>profilé</t>
        </is>
      </c>
      <c r="F9263" t="inlineStr">
        <is>
          <t>BDF</t>
        </is>
      </c>
      <c r="J9263" t="inlineStr">
        <is>
          <t>MASCELLINO</t>
        </is>
      </c>
      <c r="K9263" t="inlineStr">
        <is>
          <t>Tolerie</t>
        </is>
      </c>
      <c r="L9263">
        <f>_xlfn.XLOOKUP(Tableau1[[#This Row],[TYPE DE PIECE]],Tableau4[MATIERE],Tableau4[SHORT TYPE],"",0,1)</f>
        <v/>
      </c>
      <c r="N9263">
        <f>IF(ISERR(FIND("DECOUPE",Tableau1[[#This Row],[DESIGNATION]])),"","NEED REF")</f>
        <v/>
      </c>
    </row>
    <row r="9264">
      <c r="B9264" t="n">
        <v>34404741</v>
      </c>
      <c r="C9264" s="2" t="n">
        <v>42221</v>
      </c>
      <c r="D9264" t="inlineStr">
        <is>
          <t>SPEC</t>
        </is>
      </c>
      <c r="E9264" t="inlineStr">
        <is>
          <t>profilé</t>
        </is>
      </c>
      <c r="F9264" t="inlineStr">
        <is>
          <t>BDF</t>
        </is>
      </c>
      <c r="J9264" t="inlineStr">
        <is>
          <t>MASCELLINO</t>
        </is>
      </c>
      <c r="K9264" t="inlineStr">
        <is>
          <t>Tolerie</t>
        </is>
      </c>
      <c r="L9264">
        <f>_xlfn.XLOOKUP(Tableau1[[#This Row],[TYPE DE PIECE]],Tableau4[MATIERE],Tableau4[SHORT TYPE],"",0,1)</f>
        <v/>
      </c>
      <c r="N9264">
        <f>IF(ISERR(FIND("DECOUPE",Tableau1[[#This Row],[DESIGNATION]])),"","NEED REF")</f>
        <v/>
      </c>
    </row>
    <row r="9265">
      <c r="B9265" t="n">
        <v>34404740</v>
      </c>
      <c r="C9265" s="2" t="n">
        <v>42221</v>
      </c>
      <c r="D9265" t="inlineStr">
        <is>
          <t>SPEC</t>
        </is>
      </c>
      <c r="E9265" t="inlineStr">
        <is>
          <t>FLEXBAR 1 R2 TOP CONNEXION</t>
        </is>
      </c>
      <c r="F9265" t="inlineStr">
        <is>
          <t>BDF</t>
        </is>
      </c>
      <c r="J9265" t="inlineStr">
        <is>
          <t>MASCELLINO</t>
        </is>
      </c>
      <c r="K9265" t="inlineStr">
        <is>
          <t>Cuivre</t>
        </is>
      </c>
      <c r="L9265">
        <f>_xlfn.XLOOKUP(Tableau1[[#This Row],[TYPE DE PIECE]],Tableau4[MATIERE],Tableau4[SHORT TYPE],"",0,1)</f>
        <v/>
      </c>
      <c r="N9265">
        <f>IF(ISERR(FIND("DECOUPE",Tableau1[[#This Row],[DESIGNATION]])),"","NEED REF")</f>
        <v/>
      </c>
    </row>
    <row r="9266">
      <c r="B9266" t="n">
        <v>34404739</v>
      </c>
      <c r="C9266" s="2" t="n">
        <v>42221</v>
      </c>
      <c r="D9266" t="inlineStr">
        <is>
          <t>SPEC</t>
        </is>
      </c>
      <c r="E9266" t="inlineStr">
        <is>
          <t xml:space="preserve">BUSBAR </t>
        </is>
      </c>
      <c r="F9266" t="inlineStr">
        <is>
          <t>BDF</t>
        </is>
      </c>
      <c r="J9266" t="inlineStr">
        <is>
          <t>MASCELLINO</t>
        </is>
      </c>
      <c r="K9266" t="inlineStr">
        <is>
          <t>Tolerie</t>
        </is>
      </c>
      <c r="L9266">
        <f>_xlfn.XLOOKUP(Tableau1[[#This Row],[TYPE DE PIECE]],Tableau4[MATIERE],Tableau4[SHORT TYPE],"",0,1)</f>
        <v/>
      </c>
      <c r="N9266">
        <f>IF(ISERR(FIND("DECOUPE",Tableau1[[#This Row],[DESIGNATION]])),"","NEED REF")</f>
        <v/>
      </c>
    </row>
    <row r="9267">
      <c r="B9267" t="n">
        <v>34404738</v>
      </c>
      <c r="C9267" s="2" t="n">
        <v>42221</v>
      </c>
      <c r="D9267" t="inlineStr">
        <is>
          <t>SPEC</t>
        </is>
      </c>
      <c r="E9267" t="inlineStr">
        <is>
          <t xml:space="preserve">BUSBAR </t>
        </is>
      </c>
      <c r="F9267" t="inlineStr">
        <is>
          <t>BDF</t>
        </is>
      </c>
      <c r="J9267" t="inlineStr">
        <is>
          <t>MASCELLINO</t>
        </is>
      </c>
      <c r="K9267" t="inlineStr">
        <is>
          <t>Tolerie</t>
        </is>
      </c>
      <c r="L9267">
        <f>_xlfn.XLOOKUP(Tableau1[[#This Row],[TYPE DE PIECE]],Tableau4[MATIERE],Tableau4[SHORT TYPE],"",0,1)</f>
        <v/>
      </c>
      <c r="N9267">
        <f>IF(ISERR(FIND("DECOUPE",Tableau1[[#This Row],[DESIGNATION]])),"","NEED REF")</f>
        <v/>
      </c>
    </row>
    <row r="9268">
      <c r="B9268" t="n">
        <v>34404737</v>
      </c>
      <c r="C9268" s="2" t="n">
        <v>42221</v>
      </c>
      <c r="D9268" t="inlineStr">
        <is>
          <t>SPEC</t>
        </is>
      </c>
      <c r="E9268" t="inlineStr">
        <is>
          <t xml:space="preserve">BUSBAR </t>
        </is>
      </c>
      <c r="F9268" t="inlineStr">
        <is>
          <t>BDF</t>
        </is>
      </c>
      <c r="J9268" t="inlineStr">
        <is>
          <t>MASCELLINO</t>
        </is>
      </c>
      <c r="K9268" t="inlineStr">
        <is>
          <t>Tolerie</t>
        </is>
      </c>
      <c r="L9268">
        <f>_xlfn.XLOOKUP(Tableau1[[#This Row],[TYPE DE PIECE]],Tableau4[MATIERE],Tableau4[SHORT TYPE],"",0,1)</f>
        <v/>
      </c>
      <c r="N9268">
        <f>IF(ISERR(FIND("DECOUPE",Tableau1[[#This Row],[DESIGNATION]])),"","NEED REF")</f>
        <v/>
      </c>
    </row>
    <row r="9269">
      <c r="B9269" t="n">
        <v>34404736</v>
      </c>
      <c r="C9269" s="2" t="n">
        <v>42221</v>
      </c>
      <c r="D9269" t="inlineStr">
        <is>
          <t>SPEC</t>
        </is>
      </c>
      <c r="E9269" t="inlineStr">
        <is>
          <t xml:space="preserve">BUSBAR </t>
        </is>
      </c>
      <c r="F9269" t="inlineStr">
        <is>
          <t>BDF</t>
        </is>
      </c>
      <c r="J9269" t="inlineStr">
        <is>
          <t>MASCELLINO</t>
        </is>
      </c>
      <c r="K9269" t="inlineStr">
        <is>
          <t>Tolerie</t>
        </is>
      </c>
      <c r="L9269">
        <f>_xlfn.XLOOKUP(Tableau1[[#This Row],[TYPE DE PIECE]],Tableau4[MATIERE],Tableau4[SHORT TYPE],"",0,1)</f>
        <v/>
      </c>
      <c r="N9269">
        <f>IF(ISERR(FIND("DECOUPE",Tableau1[[#This Row],[DESIGNATION]])),"","NEED REF")</f>
        <v/>
      </c>
    </row>
    <row r="9270">
      <c r="B9270" t="n">
        <v>34404735</v>
      </c>
      <c r="C9270" s="2" t="n">
        <v>42221</v>
      </c>
      <c r="D9270" t="inlineStr">
        <is>
          <t>SPEC</t>
        </is>
      </c>
      <c r="E9270" t="inlineStr">
        <is>
          <t>Traverse L=1108 H=100 P=50</t>
        </is>
      </c>
      <c r="F9270" t="inlineStr">
        <is>
          <t>BDF</t>
        </is>
      </c>
      <c r="J9270" t="inlineStr">
        <is>
          <t>MASCELLINO</t>
        </is>
      </c>
      <c r="L9270">
        <f>_xlfn.XLOOKUP(Tableau1[[#This Row],[TYPE DE PIECE]],Tableau4[MATIERE],Tableau4[SHORT TYPE],"",0,1)</f>
        <v/>
      </c>
      <c r="N9270">
        <f>IF(ISERR(FIND("DECOUPE",Tableau1[[#This Row],[DESIGNATION]])),"","NEED REF")</f>
        <v/>
      </c>
    </row>
    <row r="9271">
      <c r="B9271" t="n">
        <v>34404734</v>
      </c>
      <c r="C9271" s="2" t="n">
        <v>42221</v>
      </c>
      <c r="D9271" t="inlineStr">
        <is>
          <t>SPEC</t>
        </is>
      </c>
      <c r="E9271" t="inlineStr">
        <is>
          <t>ROOF SF 1000x800 + AIR OULET</t>
        </is>
      </c>
      <c r="F9271" t="inlineStr">
        <is>
          <t>BDF</t>
        </is>
      </c>
      <c r="J9271" t="inlineStr">
        <is>
          <t>MASCELLINO</t>
        </is>
      </c>
      <c r="L9271">
        <f>_xlfn.XLOOKUP(Tableau1[[#This Row],[TYPE DE PIECE]],Tableau4[MATIERE],Tableau4[SHORT TYPE],"",0,1)</f>
        <v/>
      </c>
      <c r="N9271">
        <f>IF(ISERR(FIND("DECOUPE",Tableau1[[#This Row],[DESIGNATION]])),"","NEED REF")</f>
        <v/>
      </c>
    </row>
    <row r="9272">
      <c r="B9272" t="n">
        <v>34404733</v>
      </c>
      <c r="C9272" s="2" t="n">
        <v>42221</v>
      </c>
      <c r="D9272" t="inlineStr">
        <is>
          <t>SPEC</t>
        </is>
      </c>
      <c r="E9272" t="inlineStr">
        <is>
          <t>Traverse L=1108 H=50 P=40</t>
        </is>
      </c>
      <c r="F9272" t="inlineStr">
        <is>
          <t>BDF</t>
        </is>
      </c>
      <c r="J9272" t="inlineStr">
        <is>
          <t>MASCELLINO</t>
        </is>
      </c>
      <c r="L9272">
        <f>_xlfn.XLOOKUP(Tableau1[[#This Row],[TYPE DE PIECE]],Tableau4[MATIERE],Tableau4[SHORT TYPE],"",0,1)</f>
        <v/>
      </c>
      <c r="N9272">
        <f>IF(ISERR(FIND("DECOUPE",Tableau1[[#This Row],[DESIGNATION]])),"","NEED REF")</f>
        <v/>
      </c>
    </row>
    <row r="9273">
      <c r="B9273" t="n">
        <v>34404732</v>
      </c>
      <c r="C9273" s="2" t="n">
        <v>42221</v>
      </c>
      <c r="D9273" t="inlineStr">
        <is>
          <t>SPEC</t>
        </is>
      </c>
      <c r="E9273" t="inlineStr">
        <is>
          <t>profilé</t>
        </is>
      </c>
      <c r="F9273" t="inlineStr">
        <is>
          <t>BDF</t>
        </is>
      </c>
      <c r="J9273" t="inlineStr">
        <is>
          <t>MASCELLINO</t>
        </is>
      </c>
      <c r="K9273" t="inlineStr">
        <is>
          <t>Tolerie</t>
        </is>
      </c>
      <c r="L9273">
        <f>_xlfn.XLOOKUP(Tableau1[[#This Row],[TYPE DE PIECE]],Tableau4[MATIERE],Tableau4[SHORT TYPE],"",0,1)</f>
        <v/>
      </c>
      <c r="N9273">
        <f>IF(ISERR(FIND("DECOUPE",Tableau1[[#This Row],[DESIGNATION]])),"","NEED REF")</f>
        <v/>
      </c>
    </row>
    <row r="9274">
      <c r="B9274" t="n">
        <v>34404731</v>
      </c>
      <c r="C9274" s="2" t="n">
        <v>42221</v>
      </c>
      <c r="D9274" t="inlineStr">
        <is>
          <t>SPEC</t>
        </is>
      </c>
      <c r="E9274" t="inlineStr">
        <is>
          <t>profilé</t>
        </is>
      </c>
      <c r="F9274" t="inlineStr">
        <is>
          <t>BDF</t>
        </is>
      </c>
      <c r="J9274" t="inlineStr">
        <is>
          <t>MASCELLINO</t>
        </is>
      </c>
      <c r="K9274" t="inlineStr">
        <is>
          <t>Tolerie</t>
        </is>
      </c>
      <c r="L9274">
        <f>_xlfn.XLOOKUP(Tableau1[[#This Row],[TYPE DE PIECE]],Tableau4[MATIERE],Tableau4[SHORT TYPE],"",0,1)</f>
        <v/>
      </c>
      <c r="N9274">
        <f>IF(ISERR(FIND("DECOUPE",Tableau1[[#This Row],[DESIGNATION]])),"","NEED REF")</f>
        <v/>
      </c>
    </row>
    <row r="9275">
      <c r="B9275" t="n">
        <v>34404730</v>
      </c>
      <c r="C9275" s="2" t="n">
        <v>42221</v>
      </c>
      <c r="D9275" t="inlineStr">
        <is>
          <t>SPEC</t>
        </is>
      </c>
      <c r="E9275" t="inlineStr">
        <is>
          <t>profilé</t>
        </is>
      </c>
      <c r="F9275" t="inlineStr">
        <is>
          <t>BDF</t>
        </is>
      </c>
      <c r="J9275" t="inlineStr">
        <is>
          <t>MASCELLINO</t>
        </is>
      </c>
      <c r="K9275" t="inlineStr">
        <is>
          <t>Tolerie</t>
        </is>
      </c>
      <c r="L9275">
        <f>_xlfn.XLOOKUP(Tableau1[[#This Row],[TYPE DE PIECE]],Tableau4[MATIERE],Tableau4[SHORT TYPE],"",0,1)</f>
        <v/>
      </c>
      <c r="N9275">
        <f>IF(ISERR(FIND("DECOUPE",Tableau1[[#This Row],[DESIGNATION]])),"","NEED REF")</f>
        <v/>
      </c>
    </row>
    <row r="9276">
      <c r="B9276" t="n">
        <v>34404729</v>
      </c>
      <c r="C9276" s="2" t="n">
        <v>42221</v>
      </c>
      <c r="D9276" t="inlineStr">
        <is>
          <t>SPEC</t>
        </is>
      </c>
      <c r="E9276" t="inlineStr">
        <is>
          <t>profilé</t>
        </is>
      </c>
      <c r="F9276" t="inlineStr">
        <is>
          <t>BDF</t>
        </is>
      </c>
      <c r="J9276" t="inlineStr">
        <is>
          <t>MASCELLINO</t>
        </is>
      </c>
      <c r="K9276" t="inlineStr">
        <is>
          <t>Tolerie</t>
        </is>
      </c>
      <c r="L9276">
        <f>_xlfn.XLOOKUP(Tableau1[[#This Row],[TYPE DE PIECE]],Tableau4[MATIERE],Tableau4[SHORT TYPE],"",0,1)</f>
        <v/>
      </c>
      <c r="N9276">
        <f>IF(ISERR(FIND("DECOUPE",Tableau1[[#This Row],[DESIGNATION]])),"","NEED REF")</f>
        <v/>
      </c>
    </row>
    <row r="9277">
      <c r="B9277" t="n">
        <v>34404728</v>
      </c>
      <c r="C9277" s="2" t="n"/>
      <c r="L9277">
        <f>_xlfn.XLOOKUP(Tableau1[[#This Row],[TYPE DE PIECE]],Tableau4[MATIERE],Tableau4[SHORT TYPE],"",0,1)</f>
        <v/>
      </c>
      <c r="N9277">
        <f>IF(ISERR(FIND("DECOUPE",Tableau1[[#This Row],[DESIGNATION]])),"","NEED REF")</f>
        <v/>
      </c>
    </row>
    <row r="9278">
      <c r="B9278" t="n">
        <v>34404727</v>
      </c>
      <c r="C9278" s="2" t="n"/>
      <c r="L9278">
        <f>_xlfn.XLOOKUP(Tableau1[[#This Row],[TYPE DE PIECE]],Tableau4[MATIERE],Tableau4[SHORT TYPE],"",0,1)</f>
        <v/>
      </c>
      <c r="N9278">
        <f>IF(ISERR(FIND("DECOUPE",Tableau1[[#This Row],[DESIGNATION]])),"","NEED REF")</f>
        <v/>
      </c>
    </row>
    <row r="9279">
      <c r="B9279" t="n">
        <v>34404726</v>
      </c>
      <c r="C9279" s="2" t="n"/>
      <c r="L9279">
        <f>_xlfn.XLOOKUP(Tableau1[[#This Row],[TYPE DE PIECE]],Tableau4[MATIERE],Tableau4[SHORT TYPE],"",0,1)</f>
        <v/>
      </c>
      <c r="N9279">
        <f>IF(ISERR(FIND("DECOUPE",Tableau1[[#This Row],[DESIGNATION]])),"","NEED REF")</f>
        <v/>
      </c>
    </row>
    <row r="9280">
      <c r="B9280" t="n">
        <v>34404725</v>
      </c>
      <c r="C9280" s="2" t="n"/>
      <c r="L9280">
        <f>_xlfn.XLOOKUP(Tableau1[[#This Row],[TYPE DE PIECE]],Tableau4[MATIERE],Tableau4[SHORT TYPE],"",0,1)</f>
        <v/>
      </c>
      <c r="N9280">
        <f>IF(ISERR(FIND("DECOUPE",Tableau1[[#This Row],[DESIGNATION]])),"","NEED REF")</f>
        <v/>
      </c>
    </row>
    <row r="9281">
      <c r="B9281" t="n">
        <v>34404724</v>
      </c>
      <c r="C9281" s="2" t="n"/>
      <c r="L9281">
        <f>_xlfn.XLOOKUP(Tableau1[[#This Row],[TYPE DE PIECE]],Tableau4[MATIERE],Tableau4[SHORT TYPE],"",0,1)</f>
        <v/>
      </c>
      <c r="N9281">
        <f>IF(ISERR(FIND("DECOUPE",Tableau1[[#This Row],[DESIGNATION]])),"","NEED REF")</f>
        <v/>
      </c>
    </row>
    <row r="9282">
      <c r="B9282" t="n">
        <v>34404723</v>
      </c>
      <c r="C9282" s="2" t="n">
        <v>42221</v>
      </c>
      <c r="D9282" t="inlineStr">
        <is>
          <t>SPEC</t>
        </is>
      </c>
      <c r="E9282" t="inlineStr">
        <is>
          <t>Barre</t>
        </is>
      </c>
      <c r="F9282" t="inlineStr">
        <is>
          <t>BDF</t>
        </is>
      </c>
      <c r="J9282" t="inlineStr">
        <is>
          <t>DUBOIS</t>
        </is>
      </c>
      <c r="K9282" t="inlineStr">
        <is>
          <t>Cuivre</t>
        </is>
      </c>
      <c r="L9282">
        <f>_xlfn.XLOOKUP(Tableau1[[#This Row],[TYPE DE PIECE]],Tableau4[MATIERE],Tableau4[SHORT TYPE],"",0,1)</f>
        <v/>
      </c>
      <c r="N9282">
        <f>IF(ISERR(FIND("DECOUPE",Tableau1[[#This Row],[DESIGNATION]])),"","NEED REF")</f>
        <v/>
      </c>
    </row>
    <row r="9283">
      <c r="B9283" t="n">
        <v>34404722</v>
      </c>
      <c r="C9283" s="2" t="n">
        <v>42221</v>
      </c>
      <c r="D9283" t="inlineStr">
        <is>
          <t>SPEC</t>
        </is>
      </c>
      <c r="E9283" t="inlineStr">
        <is>
          <t>Barre L</t>
        </is>
      </c>
      <c r="F9283" t="inlineStr">
        <is>
          <t>BDF</t>
        </is>
      </c>
      <c r="J9283" t="inlineStr">
        <is>
          <t>DUBOIS</t>
        </is>
      </c>
      <c r="K9283" t="inlineStr">
        <is>
          <t>Cuivre</t>
        </is>
      </c>
      <c r="L9283">
        <f>_xlfn.XLOOKUP(Tableau1[[#This Row],[TYPE DE PIECE]],Tableau4[MATIERE],Tableau4[SHORT TYPE],"",0,1)</f>
        <v/>
      </c>
      <c r="N9283">
        <f>IF(ISERR(FIND("DECOUPE",Tableau1[[#This Row],[DESIGNATION]])),"","NEED REF")</f>
        <v/>
      </c>
    </row>
    <row r="9284">
      <c r="B9284" t="n">
        <v>34404721</v>
      </c>
      <c r="C9284" s="2" t="n">
        <v>42221</v>
      </c>
      <c r="D9284" t="inlineStr">
        <is>
          <t>SPEC</t>
        </is>
      </c>
      <c r="E9284" t="inlineStr">
        <is>
          <t>Barre L</t>
        </is>
      </c>
      <c r="F9284" t="inlineStr">
        <is>
          <t>BDF</t>
        </is>
      </c>
      <c r="J9284" t="inlineStr">
        <is>
          <t>DUBOIS</t>
        </is>
      </c>
      <c r="K9284" t="inlineStr">
        <is>
          <t>Cuivre</t>
        </is>
      </c>
      <c r="L9284">
        <f>_xlfn.XLOOKUP(Tableau1[[#This Row],[TYPE DE PIECE]],Tableau4[MATIERE],Tableau4[SHORT TYPE],"",0,1)</f>
        <v/>
      </c>
      <c r="N9284">
        <f>IF(ISERR(FIND("DECOUPE",Tableau1[[#This Row],[DESIGNATION]])),"","NEED REF")</f>
        <v/>
      </c>
    </row>
    <row r="9285">
      <c r="B9285" t="n">
        <v>34404720</v>
      </c>
      <c r="C9285" s="2" t="n">
        <v>42221</v>
      </c>
      <c r="D9285" t="inlineStr">
        <is>
          <t>SPEC</t>
        </is>
      </c>
      <c r="E9285" t="inlineStr">
        <is>
          <t>Barre L</t>
        </is>
      </c>
      <c r="F9285" t="inlineStr">
        <is>
          <t>BDF</t>
        </is>
      </c>
      <c r="J9285" t="inlineStr">
        <is>
          <t>DUBOIS</t>
        </is>
      </c>
      <c r="K9285" t="inlineStr">
        <is>
          <t>Cuivre</t>
        </is>
      </c>
      <c r="L9285">
        <f>_xlfn.XLOOKUP(Tableau1[[#This Row],[TYPE DE PIECE]],Tableau4[MATIERE],Tableau4[SHORT TYPE],"",0,1)</f>
        <v/>
      </c>
      <c r="N9285">
        <f>IF(ISERR(FIND("DECOUPE",Tableau1[[#This Row],[DESIGNATION]])),"","NEED REF")</f>
        <v/>
      </c>
    </row>
    <row r="9286">
      <c r="B9286" t="n">
        <v>34404719</v>
      </c>
      <c r="C9286" s="2" t="n">
        <v>42221</v>
      </c>
      <c r="D9286" t="inlineStr">
        <is>
          <t>SPEC</t>
        </is>
      </c>
      <c r="E9286" t="inlineStr">
        <is>
          <t>Barre L</t>
        </is>
      </c>
      <c r="F9286" t="inlineStr">
        <is>
          <t>BDF</t>
        </is>
      </c>
      <c r="J9286" t="inlineStr">
        <is>
          <t>DUBOIS</t>
        </is>
      </c>
      <c r="K9286" t="inlineStr">
        <is>
          <t>Cuivre</t>
        </is>
      </c>
      <c r="L9286">
        <f>_xlfn.XLOOKUP(Tableau1[[#This Row],[TYPE DE PIECE]],Tableau4[MATIERE],Tableau4[SHORT TYPE],"",0,1)</f>
        <v/>
      </c>
      <c r="N9286">
        <f>IF(ISERR(FIND("DECOUPE",Tableau1[[#This Row],[DESIGNATION]])),"","NEED REF")</f>
        <v/>
      </c>
    </row>
    <row r="9287">
      <c r="B9287" t="n">
        <v>34404718</v>
      </c>
      <c r="C9287" s="2" t="n">
        <v>42221</v>
      </c>
      <c r="D9287" t="inlineStr">
        <is>
          <t>SPEC</t>
        </is>
      </c>
      <c r="E9287" t="inlineStr">
        <is>
          <t>Barre L</t>
        </is>
      </c>
      <c r="F9287" t="inlineStr">
        <is>
          <t>BDF</t>
        </is>
      </c>
      <c r="J9287" t="inlineStr">
        <is>
          <t>DUBOIS</t>
        </is>
      </c>
      <c r="K9287" t="inlineStr">
        <is>
          <t>Cuivre</t>
        </is>
      </c>
      <c r="L9287">
        <f>_xlfn.XLOOKUP(Tableau1[[#This Row],[TYPE DE PIECE]],Tableau4[MATIERE],Tableau4[SHORT TYPE],"",0,1)</f>
        <v/>
      </c>
      <c r="N9287">
        <f>IF(ISERR(FIND("DECOUPE",Tableau1[[#This Row],[DESIGNATION]])),"","NEED REF")</f>
        <v/>
      </c>
    </row>
    <row r="9288">
      <c r="B9288" t="n">
        <v>34404717</v>
      </c>
      <c r="C9288" s="2" t="n">
        <v>42221</v>
      </c>
      <c r="D9288" t="inlineStr">
        <is>
          <t>SPEC</t>
        </is>
      </c>
      <c r="E9288" t="inlineStr">
        <is>
          <t>Barre L</t>
        </is>
      </c>
      <c r="F9288" t="inlineStr">
        <is>
          <t>BDF</t>
        </is>
      </c>
      <c r="J9288" t="inlineStr">
        <is>
          <t>DUBOIS</t>
        </is>
      </c>
      <c r="K9288" t="inlineStr">
        <is>
          <t>Cuivre</t>
        </is>
      </c>
      <c r="L9288">
        <f>_xlfn.XLOOKUP(Tableau1[[#This Row],[TYPE DE PIECE]],Tableau4[MATIERE],Tableau4[SHORT TYPE],"",0,1)</f>
        <v/>
      </c>
      <c r="N9288">
        <f>IF(ISERR(FIND("DECOUPE",Tableau1[[#This Row],[DESIGNATION]])),"","NEED REF")</f>
        <v/>
      </c>
    </row>
    <row r="9289">
      <c r="B9289" t="n">
        <v>34404716</v>
      </c>
      <c r="C9289" s="2" t="n">
        <v>42220</v>
      </c>
      <c r="D9289" t="inlineStr">
        <is>
          <t>SPEC</t>
        </is>
      </c>
      <c r="E9289" t="inlineStr">
        <is>
          <t>FLEXBAR 1 R2 TOP CONNEXION</t>
        </is>
      </c>
      <c r="F9289" t="inlineStr">
        <is>
          <t>BDF</t>
        </is>
      </c>
      <c r="J9289" t="inlineStr">
        <is>
          <t>MASCELLINO</t>
        </is>
      </c>
      <c r="K9289" t="inlineStr">
        <is>
          <t>Cuivre</t>
        </is>
      </c>
      <c r="L9289">
        <f>_xlfn.XLOOKUP(Tableau1[[#This Row],[TYPE DE PIECE]],Tableau4[MATIERE],Tableau4[SHORT TYPE],"",0,1)</f>
        <v/>
      </c>
      <c r="N9289">
        <f>IF(ISERR(FIND("DECOUPE",Tableau1[[#This Row],[DESIGNATION]])),"","NEED REF")</f>
        <v/>
      </c>
    </row>
    <row r="9290">
      <c r="B9290" t="n">
        <v>34404715</v>
      </c>
      <c r="C9290" s="2" t="n">
        <v>42220</v>
      </c>
      <c r="D9290" t="inlineStr">
        <is>
          <t>SPEC</t>
        </is>
      </c>
      <c r="E9290" t="inlineStr">
        <is>
          <t>FLEXBAR TOP CONNEXION</t>
        </is>
      </c>
      <c r="F9290" t="inlineStr">
        <is>
          <t>BDF</t>
        </is>
      </c>
      <c r="J9290" t="inlineStr">
        <is>
          <t>MASCELLINO</t>
        </is>
      </c>
      <c r="K9290" t="inlineStr">
        <is>
          <t>Cuivre</t>
        </is>
      </c>
      <c r="L9290">
        <f>_xlfn.XLOOKUP(Tableau1[[#This Row],[TYPE DE PIECE]],Tableau4[MATIERE],Tableau4[SHORT TYPE],"",0,1)</f>
        <v/>
      </c>
      <c r="N9290">
        <f>IF(ISERR(FIND("DECOUPE",Tableau1[[#This Row],[DESIGNATION]])),"","NEED REF")</f>
        <v/>
      </c>
    </row>
    <row r="9291">
      <c r="B9291" t="n">
        <v>34404714</v>
      </c>
      <c r="C9291" s="2" t="n">
        <v>42220</v>
      </c>
      <c r="D9291" t="inlineStr">
        <is>
          <t>SPEC</t>
        </is>
      </c>
      <c r="E9291" t="inlineStr">
        <is>
          <t>Barre L</t>
        </is>
      </c>
      <c r="F9291" t="inlineStr">
        <is>
          <t>BDF</t>
        </is>
      </c>
      <c r="J9291" t="inlineStr">
        <is>
          <t>DUBOIS</t>
        </is>
      </c>
      <c r="K9291" t="inlineStr">
        <is>
          <t>Cuivre</t>
        </is>
      </c>
      <c r="L9291">
        <f>_xlfn.XLOOKUP(Tableau1[[#This Row],[TYPE DE PIECE]],Tableau4[MATIERE],Tableau4[SHORT TYPE],"",0,1)</f>
        <v/>
      </c>
      <c r="N9291">
        <f>IF(ISERR(FIND("DECOUPE",Tableau1[[#This Row],[DESIGNATION]])),"","NEED REF")</f>
        <v/>
      </c>
    </row>
    <row r="9292">
      <c r="B9292" t="n">
        <v>34404713</v>
      </c>
      <c r="C9292" s="2" t="n">
        <v>42220</v>
      </c>
      <c r="D9292" t="inlineStr">
        <is>
          <t>SPEC</t>
        </is>
      </c>
      <c r="E9292" t="inlineStr">
        <is>
          <t>Barre L</t>
        </is>
      </c>
      <c r="F9292" t="inlineStr">
        <is>
          <t>BDF</t>
        </is>
      </c>
      <c r="J9292" t="inlineStr">
        <is>
          <t>DUBOIS</t>
        </is>
      </c>
      <c r="K9292" t="inlineStr">
        <is>
          <t>Cuivre</t>
        </is>
      </c>
      <c r="L9292">
        <f>_xlfn.XLOOKUP(Tableau1[[#This Row],[TYPE DE PIECE]],Tableau4[MATIERE],Tableau4[SHORT TYPE],"",0,1)</f>
        <v/>
      </c>
      <c r="N9292">
        <f>IF(ISERR(FIND("DECOUPE",Tableau1[[#This Row],[DESIGNATION]])),"","NEED REF")</f>
        <v/>
      </c>
    </row>
    <row r="9293">
      <c r="B9293" t="n">
        <v>34404712</v>
      </c>
      <c r="C9293" s="2" t="n">
        <v>42220</v>
      </c>
      <c r="D9293" t="inlineStr">
        <is>
          <t>SPEC</t>
        </is>
      </c>
      <c r="E9293" t="inlineStr">
        <is>
          <t>Barre L</t>
        </is>
      </c>
      <c r="F9293" t="inlineStr">
        <is>
          <t>BDF</t>
        </is>
      </c>
      <c r="J9293" t="inlineStr">
        <is>
          <t>DUBOIS</t>
        </is>
      </c>
      <c r="K9293" t="inlineStr">
        <is>
          <t>Cuivre</t>
        </is>
      </c>
      <c r="L9293">
        <f>_xlfn.XLOOKUP(Tableau1[[#This Row],[TYPE DE PIECE]],Tableau4[MATIERE],Tableau4[SHORT TYPE],"",0,1)</f>
        <v/>
      </c>
      <c r="N9293">
        <f>IF(ISERR(FIND("DECOUPE",Tableau1[[#This Row],[DESIGNATION]])),"","NEED REF")</f>
        <v/>
      </c>
    </row>
    <row r="9294">
      <c r="B9294" t="n">
        <v>34404711</v>
      </c>
      <c r="C9294" s="2" t="n">
        <v>42220</v>
      </c>
      <c r="D9294" t="inlineStr">
        <is>
          <t>SPEC</t>
        </is>
      </c>
      <c r="E9294" t="inlineStr">
        <is>
          <t>Barre L</t>
        </is>
      </c>
      <c r="F9294" t="inlineStr">
        <is>
          <t>BDF</t>
        </is>
      </c>
      <c r="J9294" t="inlineStr">
        <is>
          <t>DUBOIS</t>
        </is>
      </c>
      <c r="K9294" t="inlineStr">
        <is>
          <t>Cuivre</t>
        </is>
      </c>
      <c r="L9294">
        <f>_xlfn.XLOOKUP(Tableau1[[#This Row],[TYPE DE PIECE]],Tableau4[MATIERE],Tableau4[SHORT TYPE],"",0,1)</f>
        <v/>
      </c>
      <c r="N9294">
        <f>IF(ISERR(FIND("DECOUPE",Tableau1[[#This Row],[DESIGNATION]])),"","NEED REF")</f>
        <v/>
      </c>
    </row>
    <row r="9295">
      <c r="B9295" t="n">
        <v>34404710</v>
      </c>
      <c r="C9295" s="2" t="n">
        <v>42220</v>
      </c>
      <c r="D9295" t="inlineStr">
        <is>
          <t>SPEC</t>
        </is>
      </c>
      <c r="E9295" t="inlineStr">
        <is>
          <t>Barre L</t>
        </is>
      </c>
      <c r="F9295" t="inlineStr">
        <is>
          <t>BDF</t>
        </is>
      </c>
      <c r="J9295" t="inlineStr">
        <is>
          <t>DUBOIS</t>
        </is>
      </c>
      <c r="K9295" t="inlineStr">
        <is>
          <t>Cuivre</t>
        </is>
      </c>
      <c r="L9295">
        <f>_xlfn.XLOOKUP(Tableau1[[#This Row],[TYPE DE PIECE]],Tableau4[MATIERE],Tableau4[SHORT TYPE],"",0,1)</f>
        <v/>
      </c>
      <c r="N9295">
        <f>IF(ISERR(FIND("DECOUPE",Tableau1[[#This Row],[DESIGNATION]])),"","NEED REF")</f>
        <v/>
      </c>
    </row>
    <row r="9296">
      <c r="B9296" t="n">
        <v>34404709</v>
      </c>
      <c r="C9296" s="2" t="n">
        <v>42220</v>
      </c>
      <c r="D9296" t="inlineStr">
        <is>
          <t>SPEC</t>
        </is>
      </c>
      <c r="E9296" t="inlineStr">
        <is>
          <t>Barre L</t>
        </is>
      </c>
      <c r="F9296" t="inlineStr">
        <is>
          <t>BDF</t>
        </is>
      </c>
      <c r="J9296" t="inlineStr">
        <is>
          <t>DUBOIS</t>
        </is>
      </c>
      <c r="K9296" t="inlineStr">
        <is>
          <t>Cuivre</t>
        </is>
      </c>
      <c r="L9296">
        <f>_xlfn.XLOOKUP(Tableau1[[#This Row],[TYPE DE PIECE]],Tableau4[MATIERE],Tableau4[SHORT TYPE],"",0,1)</f>
        <v/>
      </c>
      <c r="N9296">
        <f>IF(ISERR(FIND("DECOUPE",Tableau1[[#This Row],[DESIGNATION]])),"","NEED REF")</f>
        <v/>
      </c>
    </row>
    <row r="9297">
      <c r="B9297" t="n">
        <v>34404708</v>
      </c>
      <c r="C9297" s="2" t="n">
        <v>42220</v>
      </c>
      <c r="D9297" t="inlineStr">
        <is>
          <t>SPEC</t>
        </is>
      </c>
      <c r="E9297" t="inlineStr">
        <is>
          <t>Barre L</t>
        </is>
      </c>
      <c r="F9297" t="inlineStr">
        <is>
          <t>BDF</t>
        </is>
      </c>
      <c r="J9297" t="inlineStr">
        <is>
          <t>DUBOIS</t>
        </is>
      </c>
      <c r="K9297" t="inlineStr">
        <is>
          <t>Cuivre</t>
        </is>
      </c>
      <c r="L9297">
        <f>_xlfn.XLOOKUP(Tableau1[[#This Row],[TYPE DE PIECE]],Tableau4[MATIERE],Tableau4[SHORT TYPE],"",0,1)</f>
        <v/>
      </c>
      <c r="N9297">
        <f>IF(ISERR(FIND("DECOUPE",Tableau1[[#This Row],[DESIGNATION]])),"","NEED REF")</f>
        <v/>
      </c>
    </row>
    <row r="9298">
      <c r="B9298" t="n">
        <v>34404707</v>
      </c>
      <c r="C9298" s="2" t="n">
        <v>42220</v>
      </c>
      <c r="D9298" t="inlineStr">
        <is>
          <t>SPEC</t>
        </is>
      </c>
      <c r="E9298" t="inlineStr">
        <is>
          <t>Barre L</t>
        </is>
      </c>
      <c r="F9298" t="inlineStr">
        <is>
          <t>BDF</t>
        </is>
      </c>
      <c r="J9298" t="inlineStr">
        <is>
          <t>DUBOIS</t>
        </is>
      </c>
      <c r="K9298" t="inlineStr">
        <is>
          <t>Cuivre</t>
        </is>
      </c>
      <c r="L9298">
        <f>_xlfn.XLOOKUP(Tableau1[[#This Row],[TYPE DE PIECE]],Tableau4[MATIERE],Tableau4[SHORT TYPE],"",0,1)</f>
        <v/>
      </c>
      <c r="N9298">
        <f>IF(ISERR(FIND("DECOUPE",Tableau1[[#This Row],[DESIGNATION]])),"","NEED REF")</f>
        <v/>
      </c>
    </row>
    <row r="9299">
      <c r="B9299" t="n">
        <v>34404706</v>
      </c>
      <c r="C9299" s="2" t="n">
        <v>42220</v>
      </c>
      <c r="D9299" t="inlineStr">
        <is>
          <t>SPEC</t>
        </is>
      </c>
      <c r="E9299" t="inlineStr">
        <is>
          <t>Barre L</t>
        </is>
      </c>
      <c r="F9299" t="inlineStr">
        <is>
          <t>BDF</t>
        </is>
      </c>
      <c r="J9299" t="inlineStr">
        <is>
          <t>DUBOIS</t>
        </is>
      </c>
      <c r="K9299" t="inlineStr">
        <is>
          <t>Cuivre</t>
        </is>
      </c>
      <c r="L9299">
        <f>_xlfn.XLOOKUP(Tableau1[[#This Row],[TYPE DE PIECE]],Tableau4[MATIERE],Tableau4[SHORT TYPE],"",0,1)</f>
        <v/>
      </c>
      <c r="N9299">
        <f>IF(ISERR(FIND("DECOUPE",Tableau1[[#This Row],[DESIGNATION]])),"","NEED REF")</f>
        <v/>
      </c>
    </row>
    <row r="9300">
      <c r="B9300" t="n">
        <v>34404705</v>
      </c>
      <c r="C9300" s="2" t="n">
        <v>42220</v>
      </c>
      <c r="D9300" t="inlineStr">
        <is>
          <t>SPEC</t>
        </is>
      </c>
      <c r="E9300" t="inlineStr">
        <is>
          <t>Barre L</t>
        </is>
      </c>
      <c r="F9300" t="inlineStr">
        <is>
          <t>BDF</t>
        </is>
      </c>
      <c r="J9300" t="inlineStr">
        <is>
          <t>DUBOIS</t>
        </is>
      </c>
      <c r="K9300" t="inlineStr">
        <is>
          <t>Cuivre</t>
        </is>
      </c>
      <c r="L9300">
        <f>_xlfn.XLOOKUP(Tableau1[[#This Row],[TYPE DE PIECE]],Tableau4[MATIERE],Tableau4[SHORT TYPE],"",0,1)</f>
        <v/>
      </c>
      <c r="N9300">
        <f>IF(ISERR(FIND("DECOUPE",Tableau1[[#This Row],[DESIGNATION]])),"","NEED REF")</f>
        <v/>
      </c>
    </row>
    <row r="9301">
      <c r="B9301" t="n">
        <v>34404704</v>
      </c>
      <c r="C9301" s="2" t="n">
        <v>42220</v>
      </c>
      <c r="D9301" t="inlineStr">
        <is>
          <t>SPEC</t>
        </is>
      </c>
      <c r="E9301" t="inlineStr">
        <is>
          <t>Barre L</t>
        </is>
      </c>
      <c r="F9301" t="inlineStr">
        <is>
          <t>BDF</t>
        </is>
      </c>
      <c r="J9301" t="inlineStr">
        <is>
          <t>DUBOIS</t>
        </is>
      </c>
      <c r="K9301" t="inlineStr">
        <is>
          <t>Cuivre</t>
        </is>
      </c>
      <c r="L9301">
        <f>_xlfn.XLOOKUP(Tableau1[[#This Row],[TYPE DE PIECE]],Tableau4[MATIERE],Tableau4[SHORT TYPE],"",0,1)</f>
        <v/>
      </c>
      <c r="N9301">
        <f>IF(ISERR(FIND("DECOUPE",Tableau1[[#This Row],[DESIGNATION]])),"","NEED REF")</f>
        <v/>
      </c>
    </row>
    <row r="9302">
      <c r="B9302" t="n">
        <v>34404703</v>
      </c>
      <c r="C9302" s="2" t="n">
        <v>42220</v>
      </c>
      <c r="D9302" t="inlineStr">
        <is>
          <t>SPEC</t>
        </is>
      </c>
      <c r="E9302" t="inlineStr">
        <is>
          <t>Barre L</t>
        </is>
      </c>
      <c r="F9302" t="inlineStr">
        <is>
          <t>BDF</t>
        </is>
      </c>
      <c r="J9302" t="inlineStr">
        <is>
          <t>DUBOIS</t>
        </is>
      </c>
      <c r="K9302" t="inlineStr">
        <is>
          <t>Cuivre</t>
        </is>
      </c>
      <c r="L9302">
        <f>_xlfn.XLOOKUP(Tableau1[[#This Row],[TYPE DE PIECE]],Tableau4[MATIERE],Tableau4[SHORT TYPE],"",0,1)</f>
        <v/>
      </c>
      <c r="N9302">
        <f>IF(ISERR(FIND("DECOUPE",Tableau1[[#This Row],[DESIGNATION]])),"","NEED REF")</f>
        <v/>
      </c>
    </row>
    <row r="9303">
      <c r="B9303" t="n">
        <v>34404702</v>
      </c>
      <c r="C9303" s="2" t="n">
        <v>42220</v>
      </c>
      <c r="D9303" t="inlineStr">
        <is>
          <t>SPEC</t>
        </is>
      </c>
      <c r="E9303" t="inlineStr">
        <is>
          <t xml:space="preserve">Barre </t>
        </is>
      </c>
      <c r="F9303" t="inlineStr">
        <is>
          <t>BDF</t>
        </is>
      </c>
      <c r="J9303" t="inlineStr">
        <is>
          <t>DUBOIS</t>
        </is>
      </c>
      <c r="K9303" t="inlineStr">
        <is>
          <t>Cuivre</t>
        </is>
      </c>
      <c r="L9303">
        <f>_xlfn.XLOOKUP(Tableau1[[#This Row],[TYPE DE PIECE]],Tableau4[MATIERE],Tableau4[SHORT TYPE],"",0,1)</f>
        <v/>
      </c>
      <c r="N9303">
        <f>IF(ISERR(FIND("DECOUPE",Tableau1[[#This Row],[DESIGNATION]])),"","NEED REF")</f>
        <v/>
      </c>
    </row>
    <row r="9304">
      <c r="B9304" t="n">
        <v>34404701</v>
      </c>
      <c r="C9304" s="2" t="n">
        <v>42220</v>
      </c>
      <c r="D9304" t="inlineStr">
        <is>
          <t>SPEC</t>
        </is>
      </c>
      <c r="E9304" t="inlineStr">
        <is>
          <t>Traverse L=1108 H=100 P=50</t>
        </is>
      </c>
      <c r="F9304" t="inlineStr">
        <is>
          <t>BDF</t>
        </is>
      </c>
      <c r="J9304" t="inlineStr">
        <is>
          <t>MASCELLINO</t>
        </is>
      </c>
      <c r="L9304">
        <f>_xlfn.XLOOKUP(Tableau1[[#This Row],[TYPE DE PIECE]],Tableau4[MATIERE],Tableau4[SHORT TYPE],"",0,1)</f>
        <v/>
      </c>
      <c r="N9304">
        <f>IF(ISERR(FIND("DECOUPE",Tableau1[[#This Row],[DESIGNATION]])),"","NEED REF")</f>
        <v/>
      </c>
    </row>
    <row r="9305">
      <c r="B9305" t="n">
        <v>34404700</v>
      </c>
      <c r="C9305" s="2" t="n">
        <v>42220</v>
      </c>
      <c r="D9305" t="inlineStr">
        <is>
          <t>SPEC</t>
        </is>
      </c>
      <c r="E9305" t="inlineStr">
        <is>
          <t>Barre L</t>
        </is>
      </c>
      <c r="F9305" t="inlineStr">
        <is>
          <t>BDF</t>
        </is>
      </c>
      <c r="J9305" t="inlineStr">
        <is>
          <t>DUBOIS</t>
        </is>
      </c>
      <c r="K9305" t="inlineStr">
        <is>
          <t>Cuivre</t>
        </is>
      </c>
      <c r="L9305">
        <f>_xlfn.XLOOKUP(Tableau1[[#This Row],[TYPE DE PIECE]],Tableau4[MATIERE],Tableau4[SHORT TYPE],"",0,1)</f>
        <v/>
      </c>
      <c r="N9305">
        <f>IF(ISERR(FIND("DECOUPE",Tableau1[[#This Row],[DESIGNATION]])),"","NEED REF")</f>
        <v/>
      </c>
    </row>
    <row r="9306">
      <c r="B9306" t="n">
        <v>34404699</v>
      </c>
      <c r="C9306" s="2" t="n">
        <v>42220</v>
      </c>
      <c r="D9306" t="inlineStr">
        <is>
          <t>SPEC</t>
        </is>
      </c>
      <c r="E9306" t="inlineStr">
        <is>
          <t>Barre L</t>
        </is>
      </c>
      <c r="F9306" t="inlineStr">
        <is>
          <t>BDF</t>
        </is>
      </c>
      <c r="J9306" t="inlineStr">
        <is>
          <t>DUBOIS</t>
        </is>
      </c>
      <c r="K9306" t="inlineStr">
        <is>
          <t>Cuivre</t>
        </is>
      </c>
      <c r="L9306">
        <f>_xlfn.XLOOKUP(Tableau1[[#This Row],[TYPE DE PIECE]],Tableau4[MATIERE],Tableau4[SHORT TYPE],"",0,1)</f>
        <v/>
      </c>
      <c r="N9306">
        <f>IF(ISERR(FIND("DECOUPE",Tableau1[[#This Row],[DESIGNATION]])),"","NEED REF")</f>
        <v/>
      </c>
    </row>
    <row r="9307">
      <c r="B9307" t="n">
        <v>34404698</v>
      </c>
      <c r="C9307" s="2" t="n">
        <v>42220</v>
      </c>
      <c r="D9307" t="inlineStr">
        <is>
          <t>SPEC</t>
        </is>
      </c>
      <c r="E9307" t="inlineStr">
        <is>
          <t>Barre L</t>
        </is>
      </c>
      <c r="F9307" t="inlineStr">
        <is>
          <t>BDF</t>
        </is>
      </c>
      <c r="J9307" t="inlineStr">
        <is>
          <t>DUBOIS</t>
        </is>
      </c>
      <c r="K9307" t="inlineStr">
        <is>
          <t>Cuivre</t>
        </is>
      </c>
      <c r="L9307">
        <f>_xlfn.XLOOKUP(Tableau1[[#This Row],[TYPE DE PIECE]],Tableau4[MATIERE],Tableau4[SHORT TYPE],"",0,1)</f>
        <v/>
      </c>
      <c r="N9307">
        <f>IF(ISERR(FIND("DECOUPE",Tableau1[[#This Row],[DESIGNATION]])),"","NEED REF")</f>
        <v/>
      </c>
    </row>
    <row r="9308">
      <c r="B9308" t="n">
        <v>34404697</v>
      </c>
      <c r="C9308" s="2" t="n">
        <v>42220</v>
      </c>
      <c r="D9308" t="inlineStr">
        <is>
          <t>SPEC</t>
        </is>
      </c>
      <c r="E9308" t="inlineStr">
        <is>
          <t>Barre L</t>
        </is>
      </c>
      <c r="F9308" t="inlineStr">
        <is>
          <t>BDF</t>
        </is>
      </c>
      <c r="J9308" t="inlineStr">
        <is>
          <t>DUBOIS</t>
        </is>
      </c>
      <c r="K9308" t="inlineStr">
        <is>
          <t>Cuivre</t>
        </is>
      </c>
      <c r="L9308">
        <f>_xlfn.XLOOKUP(Tableau1[[#This Row],[TYPE DE PIECE]],Tableau4[MATIERE],Tableau4[SHORT TYPE],"",0,1)</f>
        <v/>
      </c>
      <c r="N9308">
        <f>IF(ISERR(FIND("DECOUPE",Tableau1[[#This Row],[DESIGNATION]])),"","NEED REF")</f>
        <v/>
      </c>
    </row>
    <row r="9309">
      <c r="B9309" t="n">
        <v>34404696</v>
      </c>
      <c r="C9309" s="2" t="n">
        <v>42220</v>
      </c>
      <c r="D9309" t="inlineStr">
        <is>
          <t>SPEC</t>
        </is>
      </c>
      <c r="E9309" t="inlineStr">
        <is>
          <t>Barre</t>
        </is>
      </c>
      <c r="F9309" t="inlineStr">
        <is>
          <t>BDF</t>
        </is>
      </c>
      <c r="J9309" t="inlineStr">
        <is>
          <t>DUBOIS</t>
        </is>
      </c>
      <c r="K9309" t="inlineStr">
        <is>
          <t>Cuivre</t>
        </is>
      </c>
      <c r="L9309">
        <f>_xlfn.XLOOKUP(Tableau1[[#This Row],[TYPE DE PIECE]],Tableau4[MATIERE],Tableau4[SHORT TYPE],"",0,1)</f>
        <v/>
      </c>
      <c r="N9309">
        <f>IF(ISERR(FIND("DECOUPE",Tableau1[[#This Row],[DESIGNATION]])),"","NEED REF")</f>
        <v/>
      </c>
    </row>
    <row r="9310">
      <c r="B9310" t="n">
        <v>34404695</v>
      </c>
      <c r="C9310" s="2" t="n">
        <v>42220</v>
      </c>
      <c r="D9310" t="inlineStr">
        <is>
          <t>SPEC</t>
        </is>
      </c>
      <c r="E9310" t="inlineStr">
        <is>
          <t>profilé</t>
        </is>
      </c>
      <c r="F9310" t="inlineStr">
        <is>
          <t>BDF</t>
        </is>
      </c>
      <c r="J9310" t="inlineStr">
        <is>
          <t>MASCELLINO</t>
        </is>
      </c>
      <c r="K9310" t="inlineStr">
        <is>
          <t>Tolerie</t>
        </is>
      </c>
      <c r="L9310">
        <f>_xlfn.XLOOKUP(Tableau1[[#This Row],[TYPE DE PIECE]],Tableau4[MATIERE],Tableau4[SHORT TYPE],"",0,1)</f>
        <v/>
      </c>
      <c r="N9310">
        <f>IF(ISERR(FIND("DECOUPE",Tableau1[[#This Row],[DESIGNATION]])),"","NEED REF")</f>
        <v/>
      </c>
    </row>
    <row r="9311">
      <c r="B9311" t="n">
        <v>34404694</v>
      </c>
      <c r="C9311" s="2" t="n">
        <v>42220</v>
      </c>
      <c r="D9311" t="inlineStr">
        <is>
          <t>SPEC</t>
        </is>
      </c>
      <c r="E9311" t="inlineStr">
        <is>
          <t>profilé</t>
        </is>
      </c>
      <c r="F9311" t="inlineStr">
        <is>
          <t>BDF</t>
        </is>
      </c>
      <c r="J9311" t="inlineStr">
        <is>
          <t>MASCELLINO</t>
        </is>
      </c>
      <c r="K9311" t="inlineStr">
        <is>
          <t>Tolerie</t>
        </is>
      </c>
      <c r="L9311">
        <f>_xlfn.XLOOKUP(Tableau1[[#This Row],[TYPE DE PIECE]],Tableau4[MATIERE],Tableau4[SHORT TYPE],"",0,1)</f>
        <v/>
      </c>
      <c r="N9311">
        <f>IF(ISERR(FIND("DECOUPE",Tableau1[[#This Row],[DESIGNATION]])),"","NEED REF")</f>
        <v/>
      </c>
    </row>
    <row r="9312">
      <c r="B9312" t="n">
        <v>34404693</v>
      </c>
      <c r="C9312" s="2" t="n">
        <v>42220</v>
      </c>
      <c r="D9312" t="inlineStr">
        <is>
          <t>SPEC</t>
        </is>
      </c>
      <c r="E9312" t="inlineStr">
        <is>
          <t>Traverse</t>
        </is>
      </c>
      <c r="F9312" t="inlineStr">
        <is>
          <t>BDF</t>
        </is>
      </c>
      <c r="J9312" t="inlineStr">
        <is>
          <t>MASCELLINO</t>
        </is>
      </c>
      <c r="K9312" t="inlineStr">
        <is>
          <t>Tolerie</t>
        </is>
      </c>
      <c r="L9312">
        <f>_xlfn.XLOOKUP(Tableau1[[#This Row],[TYPE DE PIECE]],Tableau4[MATIERE],Tableau4[SHORT TYPE],"",0,1)</f>
        <v/>
      </c>
      <c r="N9312">
        <f>IF(ISERR(FIND("DECOUPE",Tableau1[[#This Row],[DESIGNATION]])),"","NEED REF")</f>
        <v/>
      </c>
    </row>
    <row r="9313">
      <c r="B9313" t="n">
        <v>34404692</v>
      </c>
      <c r="C9313" s="2" t="n">
        <v>42219</v>
      </c>
      <c r="D9313" t="inlineStr">
        <is>
          <t>SPEC</t>
        </is>
      </c>
      <c r="E9313" t="inlineStr">
        <is>
          <t>Barre L</t>
        </is>
      </c>
      <c r="F9313" t="inlineStr">
        <is>
          <t>BDF</t>
        </is>
      </c>
      <c r="J9313" t="inlineStr">
        <is>
          <t>DUBOIS</t>
        </is>
      </c>
      <c r="K9313" t="inlineStr">
        <is>
          <t>Cuivre</t>
        </is>
      </c>
      <c r="L9313">
        <f>_xlfn.XLOOKUP(Tableau1[[#This Row],[TYPE DE PIECE]],Tableau4[MATIERE],Tableau4[SHORT TYPE],"",0,1)</f>
        <v/>
      </c>
      <c r="N9313">
        <f>IF(ISERR(FIND("DECOUPE",Tableau1[[#This Row],[DESIGNATION]])),"","NEED REF")</f>
        <v/>
      </c>
    </row>
    <row r="9314">
      <c r="B9314" t="n">
        <v>34404691</v>
      </c>
      <c r="C9314" s="2" t="n">
        <v>42219</v>
      </c>
      <c r="D9314" t="inlineStr">
        <is>
          <t>SPEC</t>
        </is>
      </c>
      <c r="E9314" t="inlineStr">
        <is>
          <t>Barre L</t>
        </is>
      </c>
      <c r="F9314" t="inlineStr">
        <is>
          <t>BDF</t>
        </is>
      </c>
      <c r="J9314" t="inlineStr">
        <is>
          <t>DUBOIS</t>
        </is>
      </c>
      <c r="K9314" t="inlineStr">
        <is>
          <t>Cuivre</t>
        </is>
      </c>
      <c r="L9314">
        <f>_xlfn.XLOOKUP(Tableau1[[#This Row],[TYPE DE PIECE]],Tableau4[MATIERE],Tableau4[SHORT TYPE],"",0,1)</f>
        <v/>
      </c>
      <c r="N9314">
        <f>IF(ISERR(FIND("DECOUPE",Tableau1[[#This Row],[DESIGNATION]])),"","NEED REF")</f>
        <v/>
      </c>
    </row>
    <row r="9315">
      <c r="B9315" t="n">
        <v>34404690</v>
      </c>
      <c r="C9315" s="2" t="n">
        <v>42219</v>
      </c>
      <c r="D9315" t="inlineStr">
        <is>
          <t>SPEC</t>
        </is>
      </c>
      <c r="E9315" t="inlineStr">
        <is>
          <t>Barre L</t>
        </is>
      </c>
      <c r="F9315" t="inlineStr">
        <is>
          <t>BDF</t>
        </is>
      </c>
      <c r="J9315" t="inlineStr">
        <is>
          <t>DUBOIS</t>
        </is>
      </c>
      <c r="K9315" t="inlineStr">
        <is>
          <t>Cuivre</t>
        </is>
      </c>
      <c r="L9315">
        <f>_xlfn.XLOOKUP(Tableau1[[#This Row],[TYPE DE PIECE]],Tableau4[MATIERE],Tableau4[SHORT TYPE],"",0,1)</f>
        <v/>
      </c>
      <c r="N9315">
        <f>IF(ISERR(FIND("DECOUPE",Tableau1[[#This Row],[DESIGNATION]])),"","NEED REF")</f>
        <v/>
      </c>
    </row>
    <row r="9316">
      <c r="B9316" t="n">
        <v>34404689</v>
      </c>
      <c r="C9316" s="2" t="n">
        <v>42219</v>
      </c>
      <c r="D9316" t="inlineStr">
        <is>
          <t>SPEC</t>
        </is>
      </c>
      <c r="E9316" t="inlineStr">
        <is>
          <t>Barre L</t>
        </is>
      </c>
      <c r="F9316" t="inlineStr">
        <is>
          <t>BDF</t>
        </is>
      </c>
      <c r="J9316" t="inlineStr">
        <is>
          <t>DUBOIS</t>
        </is>
      </c>
      <c r="K9316" t="inlineStr">
        <is>
          <t>Cuivre</t>
        </is>
      </c>
      <c r="L9316">
        <f>_xlfn.XLOOKUP(Tableau1[[#This Row],[TYPE DE PIECE]],Tableau4[MATIERE],Tableau4[SHORT TYPE],"",0,1)</f>
        <v/>
      </c>
      <c r="N9316">
        <f>IF(ISERR(FIND("DECOUPE",Tableau1[[#This Row],[DESIGNATION]])),"","NEED REF")</f>
        <v/>
      </c>
    </row>
    <row r="9317">
      <c r="B9317" t="n">
        <v>34404688</v>
      </c>
      <c r="C9317" s="2" t="n">
        <v>42219</v>
      </c>
      <c r="D9317" t="inlineStr">
        <is>
          <t>SPEC</t>
        </is>
      </c>
      <c r="E9317" t="inlineStr">
        <is>
          <t>Barre L</t>
        </is>
      </c>
      <c r="F9317" t="inlineStr">
        <is>
          <t>BDF</t>
        </is>
      </c>
      <c r="J9317" t="inlineStr">
        <is>
          <t>DUBOIS</t>
        </is>
      </c>
      <c r="K9317" t="inlineStr">
        <is>
          <t>Cuivre</t>
        </is>
      </c>
      <c r="L9317">
        <f>_xlfn.XLOOKUP(Tableau1[[#This Row],[TYPE DE PIECE]],Tableau4[MATIERE],Tableau4[SHORT TYPE],"",0,1)</f>
        <v/>
      </c>
      <c r="N9317">
        <f>IF(ISERR(FIND("DECOUPE",Tableau1[[#This Row],[DESIGNATION]])),"","NEED REF")</f>
        <v/>
      </c>
    </row>
    <row r="9318">
      <c r="B9318" t="n">
        <v>34404687</v>
      </c>
      <c r="C9318" s="2" t="n">
        <v>42219</v>
      </c>
      <c r="D9318" t="inlineStr">
        <is>
          <t>SPEC</t>
        </is>
      </c>
      <c r="E9318" t="inlineStr">
        <is>
          <t>Barre L</t>
        </is>
      </c>
      <c r="F9318" t="inlineStr">
        <is>
          <t>BDF</t>
        </is>
      </c>
      <c r="J9318" t="inlineStr">
        <is>
          <t>DUBOIS</t>
        </is>
      </c>
      <c r="K9318" t="inlineStr">
        <is>
          <t>Cuivre</t>
        </is>
      </c>
      <c r="L9318">
        <f>_xlfn.XLOOKUP(Tableau1[[#This Row],[TYPE DE PIECE]],Tableau4[MATIERE],Tableau4[SHORT TYPE],"",0,1)</f>
        <v/>
      </c>
      <c r="N9318">
        <f>IF(ISERR(FIND("DECOUPE",Tableau1[[#This Row],[DESIGNATION]])),"","NEED REF")</f>
        <v/>
      </c>
    </row>
    <row r="9319">
      <c r="B9319" t="n">
        <v>34404686</v>
      </c>
      <c r="C9319" s="2" t="n">
        <v>42219</v>
      </c>
      <c r="D9319" t="inlineStr">
        <is>
          <t>SPEC</t>
        </is>
      </c>
      <c r="E9319" t="inlineStr">
        <is>
          <t>Traverse 1000 cellule NS</t>
        </is>
      </c>
      <c r="F9319" t="inlineStr">
        <is>
          <t>BDF</t>
        </is>
      </c>
      <c r="J9319" t="inlineStr">
        <is>
          <t>DUBOIS</t>
        </is>
      </c>
      <c r="K9319" t="inlineStr">
        <is>
          <t>Tolerie</t>
        </is>
      </c>
      <c r="L9319">
        <f>_xlfn.XLOOKUP(Tableau1[[#This Row],[TYPE DE PIECE]],Tableau4[MATIERE],Tableau4[SHORT TYPE],"",0,1)</f>
        <v/>
      </c>
      <c r="N9319">
        <f>IF(ISERR(FIND("DECOUPE",Tableau1[[#This Row],[DESIGNATION]])),"","NEED REF")</f>
        <v/>
      </c>
    </row>
    <row r="9320">
      <c r="B9320" t="n">
        <v>34404685</v>
      </c>
      <c r="C9320" s="2" t="n">
        <v>42219</v>
      </c>
      <c r="D9320" t="inlineStr">
        <is>
          <t>SPEC</t>
        </is>
      </c>
      <c r="E9320" t="inlineStr">
        <is>
          <t>Traverse 1200 cellule NS</t>
        </is>
      </c>
      <c r="F9320" t="inlineStr">
        <is>
          <t>BDF</t>
        </is>
      </c>
      <c r="J9320" t="inlineStr">
        <is>
          <t>DUBOIS</t>
        </is>
      </c>
      <c r="K9320" t="inlineStr">
        <is>
          <t>Tolerie</t>
        </is>
      </c>
      <c r="L9320">
        <f>_xlfn.XLOOKUP(Tableau1[[#This Row],[TYPE DE PIECE]],Tableau4[MATIERE],Tableau4[SHORT TYPE],"",0,1)</f>
        <v/>
      </c>
      <c r="N9320">
        <f>IF(ISERR(FIND("DECOUPE",Tableau1[[#This Row],[DESIGNATION]])),"","NEED REF")</f>
        <v/>
      </c>
    </row>
    <row r="9321">
      <c r="B9321" t="n">
        <v>34404684</v>
      </c>
      <c r="C9321" s="2" t="n">
        <v>42219</v>
      </c>
      <c r="D9321" t="inlineStr">
        <is>
          <t>SPEC</t>
        </is>
      </c>
      <c r="E9321" t="inlineStr">
        <is>
          <t>Cellule NS chaine B</t>
        </is>
      </c>
      <c r="F9321" t="inlineStr">
        <is>
          <t>BDF</t>
        </is>
      </c>
      <c r="J9321" t="inlineStr">
        <is>
          <t>DUBOIS</t>
        </is>
      </c>
      <c r="L9321">
        <f>_xlfn.XLOOKUP(Tableau1[[#This Row],[TYPE DE PIECE]],Tableau4[MATIERE],Tableau4[SHORT TYPE],"",0,1)</f>
        <v/>
      </c>
      <c r="N9321">
        <f>IF(ISERR(FIND("DECOUPE",Tableau1[[#This Row],[DESIGNATION]])),"","NEED REF")</f>
        <v/>
      </c>
    </row>
    <row r="9322">
      <c r="B9322" t="n">
        <v>34404683</v>
      </c>
      <c r="C9322" s="2" t="n">
        <v>42219</v>
      </c>
      <c r="D9322" t="inlineStr">
        <is>
          <t>SPEC</t>
        </is>
      </c>
      <c r="E9322" t="inlineStr">
        <is>
          <t>profilé</t>
        </is>
      </c>
      <c r="F9322" t="inlineStr">
        <is>
          <t>BDF</t>
        </is>
      </c>
      <c r="J9322" t="inlineStr">
        <is>
          <t>MASCELLINO</t>
        </is>
      </c>
      <c r="K9322" t="inlineStr">
        <is>
          <t>Tolerie</t>
        </is>
      </c>
      <c r="L9322">
        <f>_xlfn.XLOOKUP(Tableau1[[#This Row],[TYPE DE PIECE]],Tableau4[MATIERE],Tableau4[SHORT TYPE],"",0,1)</f>
        <v/>
      </c>
      <c r="N9322">
        <f>IF(ISERR(FIND("DECOUPE",Tableau1[[#This Row],[DESIGNATION]])),"","NEED REF")</f>
        <v/>
      </c>
    </row>
    <row r="9323">
      <c r="B9323" t="n">
        <v>34404682</v>
      </c>
      <c r="C9323" s="2" t="n">
        <v>42219</v>
      </c>
      <c r="D9323" t="inlineStr">
        <is>
          <t>SPEC</t>
        </is>
      </c>
      <c r="E9323" t="inlineStr">
        <is>
          <t>profilé</t>
        </is>
      </c>
      <c r="F9323" t="inlineStr">
        <is>
          <t>BDF</t>
        </is>
      </c>
      <c r="J9323" t="inlineStr">
        <is>
          <t>MASCELLINO</t>
        </is>
      </c>
      <c r="K9323" t="inlineStr">
        <is>
          <t>Tolerie</t>
        </is>
      </c>
      <c r="L9323">
        <f>_xlfn.XLOOKUP(Tableau1[[#This Row],[TYPE DE PIECE]],Tableau4[MATIERE],Tableau4[SHORT TYPE],"",0,1)</f>
        <v/>
      </c>
      <c r="N9323">
        <f>IF(ISERR(FIND("DECOUPE",Tableau1[[#This Row],[DESIGNATION]])),"","NEED REF")</f>
        <v/>
      </c>
    </row>
    <row r="9324">
      <c r="B9324" t="n">
        <v>34404681</v>
      </c>
      <c r="C9324" s="2" t="n">
        <v>42219</v>
      </c>
      <c r="D9324" t="inlineStr">
        <is>
          <t>SPEC</t>
        </is>
      </c>
      <c r="E9324" t="inlineStr">
        <is>
          <t>Barre neutre en U GAB</t>
        </is>
      </c>
      <c r="F9324" t="inlineStr">
        <is>
          <t>BDF</t>
        </is>
      </c>
      <c r="J9324" t="inlineStr">
        <is>
          <t>DUBOIS</t>
        </is>
      </c>
      <c r="K9324" t="inlineStr">
        <is>
          <t>Cuivre</t>
        </is>
      </c>
      <c r="L9324">
        <f>_xlfn.XLOOKUP(Tableau1[[#This Row],[TYPE DE PIECE]],Tableau4[MATIERE],Tableau4[SHORT TYPE],"",0,1)</f>
        <v/>
      </c>
      <c r="N9324">
        <f>IF(ISERR(FIND("DECOUPE",Tableau1[[#This Row],[DESIGNATION]])),"","NEED REF")</f>
        <v/>
      </c>
    </row>
    <row r="9325">
      <c r="B9325" t="n">
        <v>34404680</v>
      </c>
      <c r="C9325" s="2" t="n">
        <v>42219</v>
      </c>
      <c r="D9325" t="inlineStr">
        <is>
          <t>SPEC</t>
        </is>
      </c>
      <c r="E9325" t="inlineStr">
        <is>
          <t>Barre neutre GAB</t>
        </is>
      </c>
      <c r="F9325" t="inlineStr">
        <is>
          <t>BDF</t>
        </is>
      </c>
      <c r="J9325" t="inlineStr">
        <is>
          <t>DUBOIS</t>
        </is>
      </c>
      <c r="K9325" t="inlineStr">
        <is>
          <t>Cuivre</t>
        </is>
      </c>
      <c r="L9325">
        <f>_xlfn.XLOOKUP(Tableau1[[#This Row],[TYPE DE PIECE]],Tableau4[MATIERE],Tableau4[SHORT TYPE],"",0,1)</f>
        <v/>
      </c>
      <c r="N9325">
        <f>IF(ISERR(FIND("DECOUPE",Tableau1[[#This Row],[DESIGNATION]])),"","NEED REF")</f>
        <v/>
      </c>
    </row>
    <row r="9326">
      <c r="B9326" t="n">
        <v>34404679</v>
      </c>
      <c r="C9326" s="2" t="n">
        <v>42215</v>
      </c>
      <c r="D9326" t="inlineStr">
        <is>
          <t>SPEC</t>
        </is>
      </c>
      <c r="E9326" t="inlineStr">
        <is>
          <t>BUSBAR 2 TGAB UPS</t>
        </is>
      </c>
      <c r="F9326" t="inlineStr">
        <is>
          <t>BDF</t>
        </is>
      </c>
      <c r="J9326" t="inlineStr">
        <is>
          <t>DUBOIS</t>
        </is>
      </c>
      <c r="K9326" t="inlineStr">
        <is>
          <t>CUIVRE</t>
        </is>
      </c>
      <c r="L9326">
        <f>_xlfn.XLOOKUP(Tableau1[[#This Row],[TYPE DE PIECE]],Tableau4[MATIERE],Tableau4[SHORT TYPE],"",0,1)</f>
        <v/>
      </c>
      <c r="N9326">
        <f>IF(ISERR(FIND("DECOUPE",Tableau1[[#This Row],[DESIGNATION]])),"","NEED REF")</f>
        <v/>
      </c>
    </row>
    <row r="9327">
      <c r="B9327" t="n">
        <v>34404678</v>
      </c>
      <c r="C9327" s="2" t="n">
        <v>42215</v>
      </c>
      <c r="D9327" t="inlineStr">
        <is>
          <t>SPEC</t>
        </is>
      </c>
      <c r="E9327" t="inlineStr">
        <is>
          <t>BUSBAR en L GAB</t>
        </is>
      </c>
      <c r="F9327" t="inlineStr">
        <is>
          <t>BDF</t>
        </is>
      </c>
      <c r="J9327" t="inlineStr">
        <is>
          <t>DUBOIS</t>
        </is>
      </c>
      <c r="K9327" t="inlineStr">
        <is>
          <t>Tolerie</t>
        </is>
      </c>
      <c r="L9327">
        <f>_xlfn.XLOOKUP(Tableau1[[#This Row],[TYPE DE PIECE]],Tableau4[MATIERE],Tableau4[SHORT TYPE],"",0,1)</f>
        <v/>
      </c>
      <c r="N9327">
        <f>IF(ISERR(FIND("DECOUPE",Tableau1[[#This Row],[DESIGNATION]])),"","NEED REF")</f>
        <v/>
      </c>
    </row>
    <row r="9328">
      <c r="B9328" t="n">
        <v>34404677</v>
      </c>
      <c r="C9328" s="2" t="n">
        <v>42215</v>
      </c>
      <c r="D9328" t="inlineStr">
        <is>
          <t>SPEC</t>
        </is>
      </c>
      <c r="E9328" t="inlineStr">
        <is>
          <t>profilé</t>
        </is>
      </c>
      <c r="F9328" t="inlineStr">
        <is>
          <t>BDF</t>
        </is>
      </c>
      <c r="J9328" t="inlineStr">
        <is>
          <t>DUBOIS</t>
        </is>
      </c>
      <c r="K9328" t="inlineStr">
        <is>
          <t>Tolerie</t>
        </is>
      </c>
      <c r="L9328">
        <f>_xlfn.XLOOKUP(Tableau1[[#This Row],[TYPE DE PIECE]],Tableau4[MATIERE],Tableau4[SHORT TYPE],"",0,1)</f>
        <v/>
      </c>
      <c r="N9328">
        <f>IF(ISERR(FIND("DECOUPE",Tableau1[[#This Row],[DESIGNATION]])),"","NEED REF")</f>
        <v/>
      </c>
    </row>
    <row r="9329">
      <c r="B9329" t="n">
        <v>34404676</v>
      </c>
      <c r="C9329" s="2" t="n">
        <v>42215</v>
      </c>
      <c r="D9329" t="inlineStr">
        <is>
          <t>SPEC</t>
        </is>
      </c>
      <c r="E9329" t="inlineStr">
        <is>
          <t>profilé</t>
        </is>
      </c>
      <c r="F9329" t="inlineStr">
        <is>
          <t>BDF</t>
        </is>
      </c>
      <c r="J9329" t="inlineStr">
        <is>
          <t>DUBOIS</t>
        </is>
      </c>
      <c r="K9329" t="inlineStr">
        <is>
          <t>Tolerie</t>
        </is>
      </c>
      <c r="L9329">
        <f>_xlfn.XLOOKUP(Tableau1[[#This Row],[TYPE DE PIECE]],Tableau4[MATIERE],Tableau4[SHORT TYPE],"",0,1)</f>
        <v/>
      </c>
      <c r="N9329">
        <f>IF(ISERR(FIND("DECOUPE",Tableau1[[#This Row],[DESIGNATION]])),"","NEED REF")</f>
        <v/>
      </c>
    </row>
    <row r="9330">
      <c r="B9330" t="n">
        <v>34404675</v>
      </c>
      <c r="C9330" s="2" t="n">
        <v>42215</v>
      </c>
      <c r="D9330" t="inlineStr">
        <is>
          <t>SPEC</t>
        </is>
      </c>
      <c r="E9330" t="inlineStr">
        <is>
          <t>Traverse</t>
        </is>
      </c>
      <c r="F9330" t="inlineStr">
        <is>
          <t>BDF</t>
        </is>
      </c>
      <c r="J9330" t="inlineStr">
        <is>
          <t>DUBOIS</t>
        </is>
      </c>
      <c r="K9330" t="inlineStr">
        <is>
          <t>Tolerie</t>
        </is>
      </c>
      <c r="L9330">
        <f>_xlfn.XLOOKUP(Tableau1[[#This Row],[TYPE DE PIECE]],Tableau4[MATIERE],Tableau4[SHORT TYPE],"",0,1)</f>
        <v/>
      </c>
      <c r="N9330">
        <f>IF(ISERR(FIND("DECOUPE",Tableau1[[#This Row],[DESIGNATION]])),"","NEED REF")</f>
        <v/>
      </c>
    </row>
    <row r="9331">
      <c r="B9331" t="n">
        <v>34404674</v>
      </c>
      <c r="C9331" s="2" t="n">
        <v>42215</v>
      </c>
      <c r="D9331" t="inlineStr">
        <is>
          <t>SPEC</t>
        </is>
      </c>
      <c r="E9331" t="inlineStr">
        <is>
          <t>Traverse NW Bas</t>
        </is>
      </c>
      <c r="F9331" t="inlineStr">
        <is>
          <t>BDF</t>
        </is>
      </c>
      <c r="J9331" t="inlineStr">
        <is>
          <t>DUBOIS</t>
        </is>
      </c>
      <c r="K9331" t="inlineStr">
        <is>
          <t>Tolerie</t>
        </is>
      </c>
      <c r="L9331">
        <f>_xlfn.XLOOKUP(Tableau1[[#This Row],[TYPE DE PIECE]],Tableau4[MATIERE],Tableau4[SHORT TYPE],"",0,1)</f>
        <v/>
      </c>
      <c r="N9331">
        <f>IF(ISERR(FIND("DECOUPE",Tableau1[[#This Row],[DESIGNATION]])),"","NEED REF")</f>
        <v/>
      </c>
    </row>
    <row r="9332">
      <c r="B9332" t="n">
        <v>34404673</v>
      </c>
      <c r="C9332" s="2" t="n">
        <v>42215</v>
      </c>
      <c r="D9332" t="inlineStr">
        <is>
          <t>SPEC</t>
        </is>
      </c>
      <c r="E9332" t="inlineStr">
        <is>
          <t>BUSBAR BOTTOM BYPASS NS PHASE3-2</t>
        </is>
      </c>
      <c r="F9332" t="inlineStr">
        <is>
          <t>BDF</t>
        </is>
      </c>
      <c r="J9332" t="inlineStr">
        <is>
          <t>DUBOIS</t>
        </is>
      </c>
      <c r="K9332" t="inlineStr">
        <is>
          <t>CUIVRE</t>
        </is>
      </c>
      <c r="L9332">
        <f>_xlfn.XLOOKUP(Tableau1[[#This Row],[TYPE DE PIECE]],Tableau4[MATIERE],Tableau4[SHORT TYPE],"",0,1)</f>
        <v/>
      </c>
      <c r="N9332">
        <f>IF(ISERR(FIND("DECOUPE",Tableau1[[#This Row],[DESIGNATION]])),"","NEED REF")</f>
        <v/>
      </c>
    </row>
    <row r="9333">
      <c r="B9333" t="n">
        <v>34404672</v>
      </c>
      <c r="C9333" s="2" t="n">
        <v>42215</v>
      </c>
      <c r="D9333" t="inlineStr">
        <is>
          <t>SPEC</t>
        </is>
      </c>
      <c r="E9333" t="inlineStr">
        <is>
          <t>BUSBAR BOTTOM BYPASS NS PHASE3-1</t>
        </is>
      </c>
      <c r="F9333" t="inlineStr">
        <is>
          <t>BDF</t>
        </is>
      </c>
      <c r="J9333" t="inlineStr">
        <is>
          <t>DUBOIS</t>
        </is>
      </c>
      <c r="K9333" t="inlineStr">
        <is>
          <t>CUIVRE</t>
        </is>
      </c>
      <c r="L9333">
        <f>_xlfn.XLOOKUP(Tableau1[[#This Row],[TYPE DE PIECE]],Tableau4[MATIERE],Tableau4[SHORT TYPE],"",0,1)</f>
        <v/>
      </c>
      <c r="N9333">
        <f>IF(ISERR(FIND("DECOUPE",Tableau1[[#This Row],[DESIGNATION]])),"","NEED REF")</f>
        <v/>
      </c>
    </row>
    <row r="9334">
      <c r="B9334" t="n">
        <v>34404671</v>
      </c>
      <c r="C9334" s="2" t="n">
        <v>42215</v>
      </c>
      <c r="D9334" t="inlineStr">
        <is>
          <t>SPEC</t>
        </is>
      </c>
      <c r="E9334" t="inlineStr">
        <is>
          <t>BUSBAR BOTTOM BYPASS NS PHASE2-2</t>
        </is>
      </c>
      <c r="F9334" t="inlineStr">
        <is>
          <t>BDF</t>
        </is>
      </c>
      <c r="J9334" t="inlineStr">
        <is>
          <t>DUBOIS</t>
        </is>
      </c>
      <c r="K9334" t="inlineStr">
        <is>
          <t>CUIVRE</t>
        </is>
      </c>
      <c r="L9334">
        <f>_xlfn.XLOOKUP(Tableau1[[#This Row],[TYPE DE PIECE]],Tableau4[MATIERE],Tableau4[SHORT TYPE],"",0,1)</f>
        <v/>
      </c>
      <c r="N9334">
        <f>IF(ISERR(FIND("DECOUPE",Tableau1[[#This Row],[DESIGNATION]])),"","NEED REF")</f>
        <v/>
      </c>
    </row>
    <row r="9335">
      <c r="B9335" t="n">
        <v>34404670</v>
      </c>
      <c r="C9335" s="2" t="n">
        <v>42215</v>
      </c>
      <c r="D9335" t="inlineStr">
        <is>
          <t>SPEC</t>
        </is>
      </c>
      <c r="E9335" t="inlineStr">
        <is>
          <t>BUSBAR BOTTOM BYPASS NS PHASE2-1</t>
        </is>
      </c>
      <c r="F9335" t="inlineStr">
        <is>
          <t>BDF</t>
        </is>
      </c>
      <c r="J9335" t="inlineStr">
        <is>
          <t>DUBOIS</t>
        </is>
      </c>
      <c r="K9335" t="inlineStr">
        <is>
          <t>CUIVRE</t>
        </is>
      </c>
      <c r="L9335">
        <f>_xlfn.XLOOKUP(Tableau1[[#This Row],[TYPE DE PIECE]],Tableau4[MATIERE],Tableau4[SHORT TYPE],"",0,1)</f>
        <v/>
      </c>
      <c r="N9335">
        <f>IF(ISERR(FIND("DECOUPE",Tableau1[[#This Row],[DESIGNATION]])),"","NEED REF")</f>
        <v/>
      </c>
    </row>
    <row r="9336">
      <c r="B9336" t="n">
        <v>34404669</v>
      </c>
      <c r="C9336" s="2" t="n">
        <v>42215</v>
      </c>
      <c r="D9336" t="inlineStr">
        <is>
          <t>SPEC</t>
        </is>
      </c>
      <c r="E9336" t="inlineStr">
        <is>
          <t>BUSBAR BOTTOM BYPASS NS PHASE1-2</t>
        </is>
      </c>
      <c r="F9336" t="inlineStr">
        <is>
          <t>BDF</t>
        </is>
      </c>
      <c r="J9336" t="inlineStr">
        <is>
          <t>DUBOIS</t>
        </is>
      </c>
      <c r="K9336" t="inlineStr">
        <is>
          <t>CUIVRE</t>
        </is>
      </c>
      <c r="L9336">
        <f>_xlfn.XLOOKUP(Tableau1[[#This Row],[TYPE DE PIECE]],Tableau4[MATIERE],Tableau4[SHORT TYPE],"",0,1)</f>
        <v/>
      </c>
      <c r="N9336">
        <f>IF(ISERR(FIND("DECOUPE",Tableau1[[#This Row],[DESIGNATION]])),"","NEED REF")</f>
        <v/>
      </c>
    </row>
    <row r="9337">
      <c r="B9337" t="n">
        <v>34404668</v>
      </c>
      <c r="C9337" s="2" t="n">
        <v>42215</v>
      </c>
      <c r="D9337" t="inlineStr">
        <is>
          <t>SPEC</t>
        </is>
      </c>
      <c r="E9337" t="inlineStr">
        <is>
          <t>BUSBAR BOTTOM BYPASS NS PHASE1-1</t>
        </is>
      </c>
      <c r="F9337" t="inlineStr">
        <is>
          <t>BDF</t>
        </is>
      </c>
      <c r="J9337" t="inlineStr">
        <is>
          <t>DUBOIS</t>
        </is>
      </c>
      <c r="K9337" t="inlineStr">
        <is>
          <t>CUIVRE</t>
        </is>
      </c>
      <c r="L9337">
        <f>_xlfn.XLOOKUP(Tableau1[[#This Row],[TYPE DE PIECE]],Tableau4[MATIERE],Tableau4[SHORT TYPE],"",0,1)</f>
        <v/>
      </c>
      <c r="N9337">
        <f>IF(ISERR(FIND("DECOUPE",Tableau1[[#This Row],[DESIGNATION]])),"","NEED REF")</f>
        <v/>
      </c>
    </row>
    <row r="9338">
      <c r="B9338" t="n">
        <v>34404667</v>
      </c>
      <c r="C9338" s="2" t="n">
        <v>42214</v>
      </c>
      <c r="D9338" t="inlineStr">
        <is>
          <t>SPEC</t>
        </is>
      </c>
      <c r="F9338" t="inlineStr">
        <is>
          <t>COFFRET DJ SYMMETRA 48kW</t>
        </is>
      </c>
      <c r="J9338" t="inlineStr">
        <is>
          <t>MATRION</t>
        </is>
      </c>
      <c r="K9338" t="inlineStr">
        <is>
          <t>METAL</t>
        </is>
      </c>
      <c r="L9338">
        <f>_xlfn.XLOOKUP(Tableau1[[#This Row],[TYPE DE PIECE]],Tableau4[MATIERE],Tableau4[SHORT TYPE],"",0,1)</f>
        <v/>
      </c>
      <c r="N9338">
        <f>IF(ISERR(FIND("DECOUPE",Tableau1[[#This Row],[DESIGNATION]])),"","NEED REF")</f>
        <v/>
      </c>
    </row>
    <row r="9339">
      <c r="B9339" t="n">
        <v>34404666</v>
      </c>
      <c r="C9339" s="2" t="n">
        <v>42214</v>
      </c>
      <c r="D9339" t="inlineStr">
        <is>
          <t>SPEC</t>
        </is>
      </c>
      <c r="F9339" t="inlineStr">
        <is>
          <t>COFFRET DJ SYMMETRA 48kW</t>
        </is>
      </c>
      <c r="J9339" t="inlineStr">
        <is>
          <t>MATRION</t>
        </is>
      </c>
      <c r="K9339" t="inlineStr">
        <is>
          <t>METAL</t>
        </is>
      </c>
      <c r="L9339">
        <f>_xlfn.XLOOKUP(Tableau1[[#This Row],[TYPE DE PIECE]],Tableau4[MATIERE],Tableau4[SHORT TYPE],"",0,1)</f>
        <v/>
      </c>
      <c r="N9339">
        <f>IF(ISERR(FIND("DECOUPE",Tableau1[[#This Row],[DESIGNATION]])),"","NEED REF")</f>
        <v/>
      </c>
    </row>
    <row r="9340">
      <c r="B9340" t="n">
        <v>34404665</v>
      </c>
      <c r="C9340" s="2" t="n">
        <v>42214</v>
      </c>
      <c r="D9340" t="inlineStr">
        <is>
          <t>SPEC</t>
        </is>
      </c>
      <c r="F9340" t="inlineStr">
        <is>
          <t>COFFRET DJ SYMMETRA 48kW</t>
        </is>
      </c>
      <c r="J9340" t="inlineStr">
        <is>
          <t>MATRION</t>
        </is>
      </c>
      <c r="K9340" t="inlineStr">
        <is>
          <t>METAL</t>
        </is>
      </c>
      <c r="L9340">
        <f>_xlfn.XLOOKUP(Tableau1[[#This Row],[TYPE DE PIECE]],Tableau4[MATIERE],Tableau4[SHORT TYPE],"",0,1)</f>
        <v/>
      </c>
      <c r="N9340">
        <f>IF(ISERR(FIND("DECOUPE",Tableau1[[#This Row],[DESIGNATION]])),"","NEED REF")</f>
        <v/>
      </c>
    </row>
    <row r="9341">
      <c r="B9341" t="n">
        <v>34404664</v>
      </c>
      <c r="C9341" s="2" t="n">
        <v>42214</v>
      </c>
      <c r="D9341" t="inlineStr">
        <is>
          <t>SPEC</t>
        </is>
      </c>
      <c r="E9341" t="inlineStr">
        <is>
          <t>BUSBAR 1 TGAB UPS</t>
        </is>
      </c>
      <c r="F9341" t="inlineStr">
        <is>
          <t>BDF</t>
        </is>
      </c>
      <c r="J9341" t="inlineStr">
        <is>
          <t>DUBOIS</t>
        </is>
      </c>
      <c r="K9341" t="inlineStr">
        <is>
          <t>CUIVRE</t>
        </is>
      </c>
      <c r="L9341">
        <f>_xlfn.XLOOKUP(Tableau1[[#This Row],[TYPE DE PIECE]],Tableau4[MATIERE],Tableau4[SHORT TYPE],"",0,1)</f>
        <v/>
      </c>
      <c r="N9341">
        <f>IF(ISERR(FIND("DECOUPE",Tableau1[[#This Row],[DESIGNATION]])),"","NEED REF")</f>
        <v/>
      </c>
    </row>
    <row r="9342">
      <c r="B9342" t="n">
        <v>34404663</v>
      </c>
      <c r="C9342" s="2" t="n">
        <v>42214</v>
      </c>
      <c r="D9342" t="inlineStr">
        <is>
          <t>SPEC</t>
        </is>
      </c>
      <c r="E9342" t="inlineStr">
        <is>
          <t>BUSBAR TOP BYPASS NS PHASE3-2</t>
        </is>
      </c>
      <c r="F9342" t="inlineStr">
        <is>
          <t>BDF</t>
        </is>
      </c>
      <c r="J9342" t="inlineStr">
        <is>
          <t>DUBOIS</t>
        </is>
      </c>
      <c r="K9342" t="inlineStr">
        <is>
          <t>CUIVRE</t>
        </is>
      </c>
      <c r="L9342">
        <f>_xlfn.XLOOKUP(Tableau1[[#This Row],[TYPE DE PIECE]],Tableau4[MATIERE],Tableau4[SHORT TYPE],"",0,1)</f>
        <v/>
      </c>
      <c r="N9342">
        <f>IF(ISERR(FIND("DECOUPE",Tableau1[[#This Row],[DESIGNATION]])),"","NEED REF")</f>
        <v/>
      </c>
    </row>
    <row r="9343">
      <c r="B9343" t="n">
        <v>34404662</v>
      </c>
      <c r="C9343" s="2" t="n">
        <v>42214</v>
      </c>
      <c r="D9343" t="inlineStr">
        <is>
          <t>SPEC</t>
        </is>
      </c>
      <c r="E9343" t="inlineStr">
        <is>
          <t>BUSBAR TOP BYPASS NS PHASE3-1</t>
        </is>
      </c>
      <c r="F9343" t="inlineStr">
        <is>
          <t>BDF</t>
        </is>
      </c>
      <c r="J9343" t="inlineStr">
        <is>
          <t>DUBOIS</t>
        </is>
      </c>
      <c r="K9343" t="inlineStr">
        <is>
          <t>CUIVRE</t>
        </is>
      </c>
      <c r="L9343">
        <f>_xlfn.XLOOKUP(Tableau1[[#This Row],[TYPE DE PIECE]],Tableau4[MATIERE],Tableau4[SHORT TYPE],"",0,1)</f>
        <v/>
      </c>
      <c r="N9343">
        <f>IF(ISERR(FIND("DECOUPE",Tableau1[[#This Row],[DESIGNATION]])),"","NEED REF")</f>
        <v/>
      </c>
    </row>
    <row r="9344">
      <c r="B9344" t="n">
        <v>34404661</v>
      </c>
      <c r="C9344" s="2" t="n">
        <v>42214</v>
      </c>
      <c r="D9344" t="inlineStr">
        <is>
          <t>SPEC</t>
        </is>
      </c>
      <c r="E9344" t="inlineStr">
        <is>
          <t>BUSBAR TOP BYPASS NS PHASE2-2</t>
        </is>
      </c>
      <c r="F9344" t="inlineStr">
        <is>
          <t>BDF</t>
        </is>
      </c>
      <c r="J9344" t="inlineStr">
        <is>
          <t>DUBOIS</t>
        </is>
      </c>
      <c r="K9344" t="inlineStr">
        <is>
          <t>CUIVRE</t>
        </is>
      </c>
      <c r="L9344">
        <f>_xlfn.XLOOKUP(Tableau1[[#This Row],[TYPE DE PIECE]],Tableau4[MATIERE],Tableau4[SHORT TYPE],"",0,1)</f>
        <v/>
      </c>
      <c r="N9344">
        <f>IF(ISERR(FIND("DECOUPE",Tableau1[[#This Row],[DESIGNATION]])),"","NEED REF")</f>
        <v/>
      </c>
    </row>
    <row r="9345">
      <c r="B9345" t="n">
        <v>34404660</v>
      </c>
      <c r="C9345" s="2" t="n">
        <v>42214</v>
      </c>
      <c r="D9345" t="inlineStr">
        <is>
          <t>SPEC</t>
        </is>
      </c>
      <c r="E9345" t="inlineStr">
        <is>
          <t>BUSBAR TOP BYPASS NS PHASE2-1</t>
        </is>
      </c>
      <c r="F9345" t="inlineStr">
        <is>
          <t>BDF</t>
        </is>
      </c>
      <c r="J9345" t="inlineStr">
        <is>
          <t>DUBOIS</t>
        </is>
      </c>
      <c r="K9345" t="inlineStr">
        <is>
          <t>CUIVRE</t>
        </is>
      </c>
      <c r="L9345">
        <f>_xlfn.XLOOKUP(Tableau1[[#This Row],[TYPE DE PIECE]],Tableau4[MATIERE],Tableau4[SHORT TYPE],"",0,1)</f>
        <v/>
      </c>
      <c r="N9345">
        <f>IF(ISERR(FIND("DECOUPE",Tableau1[[#This Row],[DESIGNATION]])),"","NEED REF")</f>
        <v/>
      </c>
    </row>
    <row r="9346">
      <c r="B9346" t="n">
        <v>34404659</v>
      </c>
      <c r="C9346" s="2" t="n">
        <v>42214</v>
      </c>
      <c r="D9346" t="inlineStr">
        <is>
          <t>SPEC</t>
        </is>
      </c>
      <c r="E9346" t="inlineStr">
        <is>
          <t>BUSBAR TOP BYPASS NS PHASE1-2</t>
        </is>
      </c>
      <c r="F9346" t="inlineStr">
        <is>
          <t>BDF</t>
        </is>
      </c>
      <c r="J9346" t="inlineStr">
        <is>
          <t>DUBOIS</t>
        </is>
      </c>
      <c r="K9346" t="inlineStr">
        <is>
          <t>CUIVRE</t>
        </is>
      </c>
      <c r="L9346">
        <f>_xlfn.XLOOKUP(Tableau1[[#This Row],[TYPE DE PIECE]],Tableau4[MATIERE],Tableau4[SHORT TYPE],"",0,1)</f>
        <v/>
      </c>
      <c r="N9346">
        <f>IF(ISERR(FIND("DECOUPE",Tableau1[[#This Row],[DESIGNATION]])),"","NEED REF")</f>
        <v/>
      </c>
    </row>
    <row r="9347">
      <c r="B9347" t="n">
        <v>34404658</v>
      </c>
      <c r="C9347" s="2" t="n">
        <v>42214</v>
      </c>
      <c r="D9347" t="inlineStr">
        <is>
          <t>SPEC</t>
        </is>
      </c>
      <c r="E9347" t="inlineStr">
        <is>
          <t>BUSBAR TOP BYPASS NS PHASE1-1</t>
        </is>
      </c>
      <c r="F9347" t="inlineStr">
        <is>
          <t>BDF</t>
        </is>
      </c>
      <c r="J9347" t="inlineStr">
        <is>
          <t>DUBOIS</t>
        </is>
      </c>
      <c r="K9347" t="inlineStr">
        <is>
          <t>CUIVRE</t>
        </is>
      </c>
      <c r="L9347">
        <f>_xlfn.XLOOKUP(Tableau1[[#This Row],[TYPE DE PIECE]],Tableau4[MATIERE],Tableau4[SHORT TYPE],"",0,1)</f>
        <v/>
      </c>
      <c r="N9347">
        <f>IF(ISERR(FIND("DECOUPE",Tableau1[[#This Row],[DESIGNATION]])),"","NEED REF")</f>
        <v/>
      </c>
    </row>
    <row r="9348">
      <c r="B9348" t="n">
        <v>34404657</v>
      </c>
      <c r="C9348" s="2" t="n">
        <v>42213</v>
      </c>
      <c r="D9348" t="inlineStr">
        <is>
          <t>SPEC</t>
        </is>
      </c>
      <c r="E9348" t="inlineStr">
        <is>
          <t>Busbar 2 - bypass</t>
        </is>
      </c>
      <c r="F9348" t="inlineStr">
        <is>
          <t>BDF</t>
        </is>
      </c>
      <c r="J9348" t="inlineStr">
        <is>
          <t>DUBOIS</t>
        </is>
      </c>
      <c r="K9348" t="inlineStr">
        <is>
          <t>Cuivre</t>
        </is>
      </c>
      <c r="L9348">
        <f>_xlfn.XLOOKUP(Tableau1[[#This Row],[TYPE DE PIECE]],Tableau4[MATIERE],Tableau4[SHORT TYPE],"",0,1)</f>
        <v/>
      </c>
      <c r="N9348">
        <f>IF(ISERR(FIND("DECOUPE",Tableau1[[#This Row],[DESIGNATION]])),"","NEED REF")</f>
        <v/>
      </c>
    </row>
    <row r="9349">
      <c r="B9349" t="n">
        <v>34404656</v>
      </c>
      <c r="C9349" s="2" t="n">
        <v>42213</v>
      </c>
      <c r="D9349" t="inlineStr">
        <is>
          <t>SPEC</t>
        </is>
      </c>
      <c r="E9349" t="inlineStr">
        <is>
          <t>BUSBAR L1-1 R2 TOP CONNEXION</t>
        </is>
      </c>
      <c r="F9349" t="inlineStr">
        <is>
          <t>BDF</t>
        </is>
      </c>
      <c r="J9349" t="inlineStr">
        <is>
          <t>DUBOIS</t>
        </is>
      </c>
      <c r="K9349" t="inlineStr">
        <is>
          <t>Cuivre</t>
        </is>
      </c>
      <c r="L9349">
        <f>_xlfn.XLOOKUP(Tableau1[[#This Row],[TYPE DE PIECE]],Tableau4[MATIERE],Tableau4[SHORT TYPE],"",0,1)</f>
        <v/>
      </c>
      <c r="N9349">
        <f>IF(ISERR(FIND("DECOUPE",Tableau1[[#This Row],[DESIGNATION]])),"","NEED REF")</f>
        <v/>
      </c>
    </row>
    <row r="9350">
      <c r="B9350" t="n">
        <v>34404655</v>
      </c>
      <c r="C9350" s="2" t="n">
        <v>42213</v>
      </c>
      <c r="D9350" t="inlineStr">
        <is>
          <t>SPEC</t>
        </is>
      </c>
      <c r="E9350" t="inlineStr">
        <is>
          <t>BUSBAR L1-2 R2 TOP CONNEXION</t>
        </is>
      </c>
      <c r="F9350" t="inlineStr">
        <is>
          <t>BDF</t>
        </is>
      </c>
      <c r="J9350" t="inlineStr">
        <is>
          <t>DUBOIS</t>
        </is>
      </c>
      <c r="K9350" t="inlineStr">
        <is>
          <t>Cuivre</t>
        </is>
      </c>
      <c r="L9350">
        <f>_xlfn.XLOOKUP(Tableau1[[#This Row],[TYPE DE PIECE]],Tableau4[MATIERE],Tableau4[SHORT TYPE],"",0,1)</f>
        <v/>
      </c>
      <c r="N9350">
        <f>IF(ISERR(FIND("DECOUPE",Tableau1[[#This Row],[DESIGNATION]])),"","NEED REF")</f>
        <v/>
      </c>
    </row>
    <row r="9351">
      <c r="B9351" t="n">
        <v>34404654</v>
      </c>
      <c r="C9351" s="2" t="n">
        <v>42213</v>
      </c>
      <c r="D9351" t="inlineStr">
        <is>
          <t>SPEC</t>
        </is>
      </c>
      <c r="E9351" t="inlineStr">
        <is>
          <t>BUSBAR L2-1 R2 TOP CONNEXION</t>
        </is>
      </c>
      <c r="F9351" t="inlineStr">
        <is>
          <t>BDF</t>
        </is>
      </c>
      <c r="J9351" t="inlineStr">
        <is>
          <t>DUBOIS</t>
        </is>
      </c>
      <c r="K9351" t="inlineStr">
        <is>
          <t>Cuivre</t>
        </is>
      </c>
      <c r="L9351">
        <f>_xlfn.XLOOKUP(Tableau1[[#This Row],[TYPE DE PIECE]],Tableau4[MATIERE],Tableau4[SHORT TYPE],"",0,1)</f>
        <v/>
      </c>
      <c r="N9351">
        <f>IF(ISERR(FIND("DECOUPE",Tableau1[[#This Row],[DESIGNATION]])),"","NEED REF")</f>
        <v/>
      </c>
    </row>
    <row r="9352">
      <c r="B9352" t="n">
        <v>34404653</v>
      </c>
      <c r="C9352" s="2" t="n">
        <v>42213</v>
      </c>
      <c r="D9352" t="inlineStr">
        <is>
          <t>SPEC</t>
        </is>
      </c>
      <c r="E9352" t="inlineStr">
        <is>
          <t>BUSBAR L2-2 R2 TOP CONNEXION</t>
        </is>
      </c>
      <c r="F9352" t="inlineStr">
        <is>
          <t>BDF</t>
        </is>
      </c>
      <c r="J9352" t="inlineStr">
        <is>
          <t>DUBOIS</t>
        </is>
      </c>
      <c r="K9352" t="inlineStr">
        <is>
          <t>Cuivre</t>
        </is>
      </c>
      <c r="L9352">
        <f>_xlfn.XLOOKUP(Tableau1[[#This Row],[TYPE DE PIECE]],Tableau4[MATIERE],Tableau4[SHORT TYPE],"",0,1)</f>
        <v/>
      </c>
      <c r="N9352">
        <f>IF(ISERR(FIND("DECOUPE",Tableau1[[#This Row],[DESIGNATION]])),"","NEED REF")</f>
        <v/>
      </c>
    </row>
    <row r="9353">
      <c r="B9353" t="n">
        <v>34404652</v>
      </c>
      <c r="C9353" s="2" t="n">
        <v>42213</v>
      </c>
      <c r="D9353" t="inlineStr">
        <is>
          <t>SPEC</t>
        </is>
      </c>
      <c r="E9353" t="inlineStr">
        <is>
          <t>BUSBAR L3-1 R2 TOP CONNEXION</t>
        </is>
      </c>
      <c r="F9353" t="inlineStr">
        <is>
          <t>BDF</t>
        </is>
      </c>
      <c r="J9353" t="inlineStr">
        <is>
          <t>DUBOIS</t>
        </is>
      </c>
      <c r="K9353" t="inlineStr">
        <is>
          <t>Cuivre</t>
        </is>
      </c>
      <c r="L9353">
        <f>_xlfn.XLOOKUP(Tableau1[[#This Row],[TYPE DE PIECE]],Tableau4[MATIERE],Tableau4[SHORT TYPE],"",0,1)</f>
        <v/>
      </c>
      <c r="N9353">
        <f>IF(ISERR(FIND("DECOUPE",Tableau1[[#This Row],[DESIGNATION]])),"","NEED REF")</f>
        <v/>
      </c>
    </row>
    <row r="9354">
      <c r="B9354" t="n">
        <v>34404651</v>
      </c>
      <c r="C9354" s="2" t="n">
        <v>42213</v>
      </c>
      <c r="D9354" t="inlineStr">
        <is>
          <t>SPEC</t>
        </is>
      </c>
      <c r="E9354" t="inlineStr">
        <is>
          <t>BUSBAR L3-2 R2 TOP CONNEXION</t>
        </is>
      </c>
      <c r="F9354" t="inlineStr">
        <is>
          <t>BDF</t>
        </is>
      </c>
      <c r="J9354" t="inlineStr">
        <is>
          <t>DUBOIS</t>
        </is>
      </c>
      <c r="K9354" t="inlineStr">
        <is>
          <t>Cuivre</t>
        </is>
      </c>
      <c r="L9354">
        <f>_xlfn.XLOOKUP(Tableau1[[#This Row],[TYPE DE PIECE]],Tableau4[MATIERE],Tableau4[SHORT TYPE],"",0,1)</f>
        <v/>
      </c>
      <c r="N9354">
        <f>IF(ISERR(FIND("DECOUPE",Tableau1[[#This Row],[DESIGNATION]])),"","NEED REF")</f>
        <v/>
      </c>
    </row>
    <row r="9355">
      <c r="B9355" t="n">
        <v>34404650</v>
      </c>
      <c r="C9355" s="2" t="n">
        <v>42213</v>
      </c>
      <c r="D9355" t="inlineStr">
        <is>
          <t>SPEC</t>
        </is>
      </c>
      <c r="E9355" t="inlineStr">
        <is>
          <t>Busbar 2 - bypass</t>
        </is>
      </c>
      <c r="F9355" t="inlineStr">
        <is>
          <t>BDF</t>
        </is>
      </c>
      <c r="J9355" t="inlineStr">
        <is>
          <t>DUBOIS</t>
        </is>
      </c>
      <c r="K9355" t="inlineStr">
        <is>
          <t>Cuivre</t>
        </is>
      </c>
      <c r="L9355">
        <f>_xlfn.XLOOKUP(Tableau1[[#This Row],[TYPE DE PIECE]],Tableau4[MATIERE],Tableau4[SHORT TYPE],"",0,1)</f>
        <v/>
      </c>
      <c r="N9355">
        <f>IF(ISERR(FIND("DECOUPE",Tableau1[[#This Row],[DESIGNATION]])),"","NEED REF")</f>
        <v/>
      </c>
    </row>
    <row r="9356">
      <c r="B9356" t="n">
        <v>34404649</v>
      </c>
      <c r="C9356" s="2" t="n">
        <v>42213</v>
      </c>
      <c r="D9356" t="inlineStr">
        <is>
          <t>SPEC</t>
        </is>
      </c>
      <c r="E9356" t="inlineStr">
        <is>
          <t>SUPPORT NAPPE CS</t>
        </is>
      </c>
      <c r="F9356" t="inlineStr">
        <is>
          <t>BREAKER CHOPPER</t>
        </is>
      </c>
      <c r="J9356" t="inlineStr">
        <is>
          <t>MATRION</t>
        </is>
      </c>
      <c r="K9356" t="inlineStr">
        <is>
          <t>TOLERIE</t>
        </is>
      </c>
      <c r="L9356">
        <f>_xlfn.XLOOKUP(Tableau1[[#This Row],[TYPE DE PIECE]],Tableau4[MATIERE],Tableau4[SHORT TYPE],"",0,1)</f>
        <v/>
      </c>
      <c r="N9356">
        <f>IF(ISERR(FIND("DECOUPE",Tableau1[[#This Row],[DESIGNATION]])),"","NEED REF")</f>
        <v/>
      </c>
    </row>
    <row r="9357">
      <c r="B9357" t="n">
        <v>34404648</v>
      </c>
      <c r="C9357" s="2" t="n">
        <v>42212</v>
      </c>
      <c r="D9357" t="inlineStr">
        <is>
          <t>SPEC</t>
        </is>
      </c>
      <c r="E9357" t="inlineStr">
        <is>
          <t>Traverse L=1108 H=100 P=50</t>
        </is>
      </c>
      <c r="F9357" t="inlineStr">
        <is>
          <t>BDF</t>
        </is>
      </c>
      <c r="J9357" t="inlineStr">
        <is>
          <t>DUBOIS</t>
        </is>
      </c>
      <c r="K9357" t="inlineStr">
        <is>
          <t>TOLERIE</t>
        </is>
      </c>
      <c r="L9357">
        <f>_xlfn.XLOOKUP(Tableau1[[#This Row],[TYPE DE PIECE]],Tableau4[MATIERE],Tableau4[SHORT TYPE],"",0,1)</f>
        <v/>
      </c>
      <c r="N9357">
        <f>IF(ISERR(FIND("DECOUPE",Tableau1[[#This Row],[DESIGNATION]])),"","NEED REF")</f>
        <v/>
      </c>
    </row>
    <row r="9358">
      <c r="B9358" t="n">
        <v>34404647</v>
      </c>
      <c r="C9358" s="2" t="n">
        <v>42213</v>
      </c>
      <c r="D9358" t="inlineStr">
        <is>
          <t>SPEC</t>
        </is>
      </c>
      <c r="E9358" t="inlineStr">
        <is>
          <t>GAINE INT HYPER CS 300kVA</t>
        </is>
      </c>
      <c r="F9358" t="inlineStr">
        <is>
          <t>BREAKER CHOPPER</t>
        </is>
      </c>
      <c r="J9358" t="inlineStr">
        <is>
          <t>MATRION</t>
        </is>
      </c>
      <c r="K9358" t="inlineStr">
        <is>
          <t>TOLERIE</t>
        </is>
      </c>
      <c r="L9358">
        <f>_xlfn.XLOOKUP(Tableau1[[#This Row],[TYPE DE PIECE]],Tableau4[MATIERE],Tableau4[SHORT TYPE],"",0,1)</f>
        <v/>
      </c>
      <c r="N9358">
        <f>IF(ISERR(FIND("DECOUPE",Tableau1[[#This Row],[DESIGNATION]])),"","NEED REF")</f>
        <v/>
      </c>
    </row>
    <row r="9359">
      <c r="B9359" t="n">
        <v>34404646</v>
      </c>
      <c r="C9359" s="2" t="n">
        <v>42213</v>
      </c>
      <c r="D9359" t="inlineStr">
        <is>
          <t>NOM</t>
        </is>
      </c>
      <c r="E9359" t="inlineStr">
        <is>
          <t>S/E CS BREAKER CHOPPER</t>
        </is>
      </c>
      <c r="F9359" t="inlineStr">
        <is>
          <t>BREAKER CHOPPER</t>
        </is>
      </c>
      <c r="J9359" t="inlineStr">
        <is>
          <t>MATRION</t>
        </is>
      </c>
      <c r="L9359">
        <f>_xlfn.XLOOKUP(Tableau1[[#This Row],[TYPE DE PIECE]],Tableau4[MATIERE],Tableau4[SHORT TYPE],"",0,1)</f>
        <v/>
      </c>
      <c r="N9359">
        <f>IF(ISERR(FIND("DECOUPE",Tableau1[[#This Row],[DESIGNATION]])),"","NEED REF")</f>
        <v/>
      </c>
    </row>
    <row r="9360">
      <c r="B9360" t="n">
        <v>34404645</v>
      </c>
      <c r="C9360" s="2" t="n">
        <v>42212</v>
      </c>
      <c r="D9360" t="inlineStr">
        <is>
          <t>SPEC</t>
        </is>
      </c>
      <c r="E9360" t="inlineStr">
        <is>
          <t>Traverse L=708 H=100 P=50</t>
        </is>
      </c>
      <c r="F9360" t="inlineStr">
        <is>
          <t>BDF</t>
        </is>
      </c>
      <c r="J9360" t="inlineStr">
        <is>
          <t>DUBOIS</t>
        </is>
      </c>
      <c r="K9360" t="inlineStr">
        <is>
          <t>TOLERIE</t>
        </is>
      </c>
      <c r="L9360">
        <f>_xlfn.XLOOKUP(Tableau1[[#This Row],[TYPE DE PIECE]],Tableau4[MATIERE],Tableau4[SHORT TYPE],"",0,1)</f>
        <v/>
      </c>
      <c r="N9360">
        <f>IF(ISERR(FIND("DECOUPE",Tableau1[[#This Row],[DESIGNATION]])),"","NEED REF")</f>
        <v/>
      </c>
    </row>
    <row r="9361">
      <c r="B9361" t="n">
        <v>34404644</v>
      </c>
      <c r="C9361" s="2" t="n">
        <v>42212</v>
      </c>
      <c r="D9361" t="inlineStr">
        <is>
          <t>SPEC</t>
        </is>
      </c>
      <c r="E9361" t="inlineStr">
        <is>
          <t>,,,,,,</t>
        </is>
      </c>
      <c r="F9361" t="inlineStr">
        <is>
          <t>BDF</t>
        </is>
      </c>
      <c r="J9361" t="inlineStr">
        <is>
          <t>DUBOIS</t>
        </is>
      </c>
      <c r="L9361">
        <f>_xlfn.XLOOKUP(Tableau1[[#This Row],[TYPE DE PIECE]],Tableau4[MATIERE],Tableau4[SHORT TYPE],"",0,1)</f>
        <v/>
      </c>
      <c r="N9361">
        <f>IF(ISERR(FIND("DECOUPE",Tableau1[[#This Row],[DESIGNATION]])),"","NEED REF")</f>
        <v/>
      </c>
    </row>
    <row r="9362">
      <c r="B9362" t="n">
        <v>34404643</v>
      </c>
      <c r="C9362" s="2" t="n">
        <v>42212</v>
      </c>
      <c r="D9362" t="inlineStr">
        <is>
          <t>SPEC</t>
        </is>
      </c>
      <c r="E9362" t="inlineStr">
        <is>
          <t>NW32 HA POUR NS2000 BACKFEED</t>
        </is>
      </c>
      <c r="F9362" t="inlineStr">
        <is>
          <t>BDF</t>
        </is>
      </c>
      <c r="J9362" t="inlineStr">
        <is>
          <t>MATRION</t>
        </is>
      </c>
      <c r="K9362" t="inlineStr">
        <is>
          <t>=S=</t>
        </is>
      </c>
      <c r="L9362">
        <f>_xlfn.XLOOKUP(Tableau1[[#This Row],[TYPE DE PIECE]],Tableau4[MATIERE],Tableau4[SHORT TYPE],"",0,1)</f>
        <v/>
      </c>
      <c r="N9362">
        <f>IF(ISERR(FIND("DECOUPE",Tableau1[[#This Row],[DESIGNATION]])),"","NEED REF")</f>
        <v/>
      </c>
    </row>
    <row r="9363">
      <c r="B9363" t="n">
        <v>34404642</v>
      </c>
      <c r="C9363" s="2" t="n">
        <v>42209</v>
      </c>
      <c r="D9363" t="inlineStr">
        <is>
          <t>SPEC</t>
        </is>
      </c>
      <c r="E9363" t="inlineStr">
        <is>
          <t>NW32 HA POUR NS2000 Q3BP Q5N</t>
        </is>
      </c>
      <c r="F9363" t="inlineStr">
        <is>
          <t>BDF</t>
        </is>
      </c>
      <c r="J9363" t="inlineStr">
        <is>
          <t>MATRION</t>
        </is>
      </c>
      <c r="K9363" t="inlineStr">
        <is>
          <t>=S=</t>
        </is>
      </c>
      <c r="L9363">
        <f>_xlfn.XLOOKUP(Tableau1[[#This Row],[TYPE DE PIECE]],Tableau4[MATIERE],Tableau4[SHORT TYPE],"",0,1)</f>
        <v/>
      </c>
      <c r="N9363">
        <f>IF(ISERR(FIND("DECOUPE",Tableau1[[#This Row],[DESIGNATION]])),"","NEED REF")</f>
        <v/>
      </c>
    </row>
    <row r="9364">
      <c r="B9364" t="n">
        <v>34404641</v>
      </c>
      <c r="C9364" s="2" t="n">
        <v>42200</v>
      </c>
      <c r="D9364" t="inlineStr">
        <is>
          <t>SPEC</t>
        </is>
      </c>
      <c r="E9364" t="inlineStr">
        <is>
          <t>PLAGE DE RACCORDEMENT LINE-</t>
        </is>
      </c>
      <c r="F9364" t="inlineStr">
        <is>
          <t>SOLAR</t>
        </is>
      </c>
      <c r="J9364" t="inlineStr">
        <is>
          <t>MATRION</t>
        </is>
      </c>
      <c r="L9364">
        <f>_xlfn.XLOOKUP(Tableau1[[#This Row],[TYPE DE PIECE]],Tableau4[MATIERE],Tableau4[SHORT TYPE],"",0,1)</f>
        <v/>
      </c>
      <c r="N9364">
        <f>IF(ISERR(FIND("DECOUPE",Tableau1[[#This Row],[DESIGNATION]])),"","NEED REF")</f>
        <v/>
      </c>
    </row>
    <row r="9365">
      <c r="B9365" t="n">
        <v>34404640</v>
      </c>
      <c r="C9365" s="2" t="n">
        <v>42200</v>
      </c>
      <c r="D9365" t="inlineStr">
        <is>
          <t>SPEC</t>
        </is>
      </c>
      <c r="E9365" t="inlineStr">
        <is>
          <t>SUPPORT APPAREILLAGE</t>
        </is>
      </c>
      <c r="F9365" t="inlineStr">
        <is>
          <t>SOLAR</t>
        </is>
      </c>
      <c r="J9365" t="inlineStr">
        <is>
          <t>MATRION</t>
        </is>
      </c>
      <c r="K9365" t="inlineStr">
        <is>
          <t>TOLERIE</t>
        </is>
      </c>
      <c r="L9365">
        <f>_xlfn.XLOOKUP(Tableau1[[#This Row],[TYPE DE PIECE]],Tableau4[MATIERE],Tableau4[SHORT TYPE],"",0,1)</f>
        <v/>
      </c>
      <c r="N9365">
        <f>IF(ISERR(FIND("DECOUPE",Tableau1[[#This Row],[DESIGNATION]])),"","NEED REF")</f>
        <v/>
      </c>
    </row>
    <row r="9366">
      <c r="B9366" t="n">
        <v>34404639</v>
      </c>
      <c r="C9366" s="2" t="n">
        <v>42200</v>
      </c>
      <c r="D9366" t="inlineStr">
        <is>
          <t>SPEC</t>
        </is>
      </c>
      <c r="E9366" t="inlineStr">
        <is>
          <t>PROTECTION IP RACCORDEMENT</t>
        </is>
      </c>
      <c r="F9366" t="inlineStr">
        <is>
          <t>SOLAR</t>
        </is>
      </c>
      <c r="J9366" t="inlineStr">
        <is>
          <t>MATRION</t>
        </is>
      </c>
      <c r="K9366" t="inlineStr">
        <is>
          <t>TOLERIE PEINTE</t>
        </is>
      </c>
      <c r="L9366">
        <f>_xlfn.XLOOKUP(Tableau1[[#This Row],[TYPE DE PIECE]],Tableau4[MATIERE],Tableau4[SHORT TYPE],"",0,1)</f>
        <v/>
      </c>
      <c r="N9366">
        <f>IF(ISERR(FIND("DECOUPE",Tableau1[[#This Row],[DESIGNATION]])),"","NEED REF")</f>
        <v/>
      </c>
    </row>
    <row r="9367">
      <c r="B9367" t="n">
        <v>34404638</v>
      </c>
      <c r="C9367" s="2" t="n">
        <v>42200</v>
      </c>
      <c r="D9367" t="inlineStr">
        <is>
          <t>SPEC</t>
        </is>
      </c>
      <c r="E9367" t="inlineStr">
        <is>
          <t>PROTECTION IP APPAREILLAGE</t>
        </is>
      </c>
      <c r="F9367" t="inlineStr">
        <is>
          <t>SOLAR</t>
        </is>
      </c>
      <c r="J9367" t="inlineStr">
        <is>
          <t>MATRION</t>
        </is>
      </c>
      <c r="K9367" t="inlineStr">
        <is>
          <t>TOLERIE PEINTE</t>
        </is>
      </c>
      <c r="L9367">
        <f>_xlfn.XLOOKUP(Tableau1[[#This Row],[TYPE DE PIECE]],Tableau4[MATIERE],Tableau4[SHORT TYPE],"",0,1)</f>
        <v/>
      </c>
      <c r="N9367">
        <f>IF(ISERR(FIND("DECOUPE",Tableau1[[#This Row],[DESIGNATION]])),"","NEED REF")</f>
        <v/>
      </c>
    </row>
    <row r="9368">
      <c r="B9368" t="n">
        <v>34404637</v>
      </c>
      <c r="C9368" s="2" t="n">
        <v>42200</v>
      </c>
      <c r="D9368" t="inlineStr">
        <is>
          <t>SPEC</t>
        </is>
      </c>
      <c r="E9368" t="inlineStr">
        <is>
          <t>PROTECTION IP MASTERPACT</t>
        </is>
      </c>
      <c r="F9368" t="inlineStr">
        <is>
          <t>SOLAR</t>
        </is>
      </c>
      <c r="J9368" t="inlineStr">
        <is>
          <t>MATRION</t>
        </is>
      </c>
      <c r="K9368" t="inlineStr">
        <is>
          <t>TOLERIE PEINTE</t>
        </is>
      </c>
      <c r="L9368">
        <f>_xlfn.XLOOKUP(Tableau1[[#This Row],[TYPE DE PIECE]],Tableau4[MATIERE],Tableau4[SHORT TYPE],"",0,1)</f>
        <v/>
      </c>
      <c r="N9368">
        <f>IF(ISERR(FIND("DECOUPE",Tableau1[[#This Row],[DESIGNATION]])),"","NEED REF")</f>
        <v/>
      </c>
    </row>
    <row r="9369">
      <c r="B9369" t="n">
        <v>34404636</v>
      </c>
      <c r="C9369" s="2" t="n">
        <v>42202</v>
      </c>
      <c r="D9369" t="inlineStr">
        <is>
          <t>SPEC</t>
        </is>
      </c>
      <c r="E9369" t="inlineStr">
        <is>
          <t>IMECA - Etiquettes dilophanes</t>
        </is>
      </c>
      <c r="J9369" t="inlineStr">
        <is>
          <t>REIN</t>
        </is>
      </c>
      <c r="L9369">
        <f>_xlfn.XLOOKUP(Tableau1[[#This Row],[TYPE DE PIECE]],Tableau4[MATIERE],Tableau4[SHORT TYPE],"",0,1)</f>
        <v/>
      </c>
      <c r="N9369">
        <f>IF(ISERR(FIND("DECOUPE",Tableau1[[#This Row],[DESIGNATION]])),"","NEED REF")</f>
        <v/>
      </c>
    </row>
    <row r="9370">
      <c r="B9370" t="n">
        <v>34404635</v>
      </c>
      <c r="C9370" s="2" t="n">
        <v>42200</v>
      </c>
      <c r="D9370" t="inlineStr">
        <is>
          <t>SPEC</t>
        </is>
      </c>
      <c r="E9370" t="inlineStr">
        <is>
          <t>PROTECTION IP HAUT</t>
        </is>
      </c>
      <c r="F9370" t="inlineStr">
        <is>
          <t>SOLAR</t>
        </is>
      </c>
      <c r="J9370" t="inlineStr">
        <is>
          <t>MATRION</t>
        </is>
      </c>
      <c r="K9370" t="inlineStr">
        <is>
          <t>TOLERIE PEINTE</t>
        </is>
      </c>
      <c r="L9370">
        <f>_xlfn.XLOOKUP(Tableau1[[#This Row],[TYPE DE PIECE]],Tableau4[MATIERE],Tableau4[SHORT TYPE],"",0,1)</f>
        <v/>
      </c>
      <c r="N9370">
        <f>IF(ISERR(FIND("DECOUPE",Tableau1[[#This Row],[DESIGNATION]])),"","NEED REF")</f>
        <v/>
      </c>
    </row>
    <row r="9371">
      <c r="B9371" t="n">
        <v>34404634</v>
      </c>
      <c r="C9371" s="2" t="n">
        <v>42200</v>
      </c>
      <c r="D9371" t="inlineStr">
        <is>
          <t>SPEC</t>
        </is>
      </c>
      <c r="E9371" t="inlineStr">
        <is>
          <t>SUPPORT PROTECTION IP LAERAL</t>
        </is>
      </c>
      <c r="F9371" t="inlineStr">
        <is>
          <t>SOLAR</t>
        </is>
      </c>
      <c r="J9371" t="inlineStr">
        <is>
          <t>MATRION</t>
        </is>
      </c>
      <c r="K9371" t="inlineStr">
        <is>
          <t>TOLERIE PEINTE</t>
        </is>
      </c>
      <c r="L9371">
        <f>_xlfn.XLOOKUP(Tableau1[[#This Row],[TYPE DE PIECE]],Tableau4[MATIERE],Tableau4[SHORT TYPE],"",0,1)</f>
        <v/>
      </c>
      <c r="N9371">
        <f>IF(ISERR(FIND("DECOUPE",Tableau1[[#This Row],[DESIGNATION]])),"","NEED REF")</f>
        <v/>
      </c>
    </row>
    <row r="9372">
      <c r="B9372" t="n">
        <v>34404633</v>
      </c>
      <c r="C9372" s="2" t="n">
        <v>42202</v>
      </c>
      <c r="D9372" t="inlineStr">
        <is>
          <t>NOM</t>
        </is>
      </c>
      <c r="E9372" t="inlineStr">
        <is>
          <t>PRODUCT SYMMETRA PX SYPX 96KW BCB BOX FOR PX96 AND 160 UP TO 6 STRINGS WITH TEMP SENSOR 4001 BOTTOM CONNECTION</t>
        </is>
      </c>
      <c r="F9372" t="inlineStr">
        <is>
          <t>pour VINCENT</t>
        </is>
      </c>
      <c r="J9372" t="inlineStr">
        <is>
          <t>PLANTIER</t>
        </is>
      </c>
      <c r="K9372" t="inlineStr">
        <is>
          <t>nomenclature</t>
        </is>
      </c>
      <c r="L9372">
        <f>_xlfn.XLOOKUP(Tableau1[[#This Row],[TYPE DE PIECE]],Tableau4[MATIERE],Tableau4[SHORT TYPE],"",0,1)</f>
        <v/>
      </c>
      <c r="N9372">
        <f>IF(ISERR(FIND("DECOUPE",Tableau1[[#This Row],[DESIGNATION]])),"","NEED REF")</f>
        <v/>
      </c>
    </row>
    <row r="9373">
      <c r="B9373" t="n">
        <v>34404632</v>
      </c>
      <c r="C9373" s="2" t="n">
        <v>42200</v>
      </c>
      <c r="D9373" t="inlineStr">
        <is>
          <t>SPEC</t>
        </is>
      </c>
      <c r="E9373" t="inlineStr">
        <is>
          <t>PLAGE DE RACCORDEMENT LINE+</t>
        </is>
      </c>
      <c r="F9373" t="inlineStr">
        <is>
          <t>SOLAR</t>
        </is>
      </c>
      <c r="J9373" t="inlineStr">
        <is>
          <t>MATRION</t>
        </is>
      </c>
      <c r="K9373" t="inlineStr">
        <is>
          <t>CUIVRE</t>
        </is>
      </c>
      <c r="L9373">
        <f>_xlfn.XLOOKUP(Tableau1[[#This Row],[TYPE DE PIECE]],Tableau4[MATIERE],Tableau4[SHORT TYPE],"",0,1)</f>
        <v/>
      </c>
      <c r="N9373">
        <f>IF(ISERR(FIND("DECOUPE",Tableau1[[#This Row],[DESIGNATION]])),"","NEED REF")</f>
        <v/>
      </c>
    </row>
    <row r="9374">
      <c r="B9374" t="n">
        <v>34404631</v>
      </c>
      <c r="C9374" s="2" t="n">
        <v>42200</v>
      </c>
      <c r="D9374" t="inlineStr">
        <is>
          <t>SPEC</t>
        </is>
      </c>
      <c r="E9374" t="inlineStr">
        <is>
          <t>CX AMONT2 LINE+</t>
        </is>
      </c>
      <c r="F9374" t="inlineStr">
        <is>
          <t>SOLAR</t>
        </is>
      </c>
      <c r="J9374" t="inlineStr">
        <is>
          <t>MATRION</t>
        </is>
      </c>
      <c r="K9374" t="inlineStr">
        <is>
          <t>CUIVRE</t>
        </is>
      </c>
      <c r="L9374">
        <f>_xlfn.XLOOKUP(Tableau1[[#This Row],[TYPE DE PIECE]],Tableau4[MATIERE],Tableau4[SHORT TYPE],"",0,1)</f>
        <v/>
      </c>
      <c r="N9374">
        <f>IF(ISERR(FIND("DECOUPE",Tableau1[[#This Row],[DESIGNATION]])),"","NEED REF")</f>
        <v/>
      </c>
    </row>
    <row r="9375">
      <c r="B9375" t="n">
        <v>34404630</v>
      </c>
      <c r="C9375" s="2" t="n">
        <v>42200</v>
      </c>
      <c r="D9375" t="inlineStr">
        <is>
          <t>SPEC</t>
        </is>
      </c>
      <c r="E9375" t="inlineStr">
        <is>
          <t>CX AMONT3 LINE-</t>
        </is>
      </c>
      <c r="F9375" t="inlineStr">
        <is>
          <t>SOLAR</t>
        </is>
      </c>
      <c r="J9375" t="inlineStr">
        <is>
          <t>MATRION</t>
        </is>
      </c>
      <c r="K9375" t="inlineStr">
        <is>
          <t>CUIVRE</t>
        </is>
      </c>
      <c r="L9375">
        <f>_xlfn.XLOOKUP(Tableau1[[#This Row],[TYPE DE PIECE]],Tableau4[MATIERE],Tableau4[SHORT TYPE],"",0,1)</f>
        <v/>
      </c>
      <c r="N9375">
        <f>IF(ISERR(FIND("DECOUPE",Tableau1[[#This Row],[DESIGNATION]])),"","NEED REF")</f>
        <v/>
      </c>
    </row>
    <row r="9376">
      <c r="B9376" t="n">
        <v>34404629</v>
      </c>
      <c r="C9376" s="2" t="n">
        <v>42200</v>
      </c>
      <c r="D9376" t="inlineStr">
        <is>
          <t>SPEC</t>
        </is>
      </c>
      <c r="E9376" t="inlineStr">
        <is>
          <t>CX AVAL3 OUT+</t>
        </is>
      </c>
      <c r="F9376" t="inlineStr">
        <is>
          <t>SOLAR</t>
        </is>
      </c>
      <c r="J9376" t="inlineStr">
        <is>
          <t>MATRION</t>
        </is>
      </c>
      <c r="K9376" t="inlineStr">
        <is>
          <t>CUIVRE</t>
        </is>
      </c>
      <c r="L9376">
        <f>_xlfn.XLOOKUP(Tableau1[[#This Row],[TYPE DE PIECE]],Tableau4[MATIERE],Tableau4[SHORT TYPE],"",0,1)</f>
        <v/>
      </c>
      <c r="N9376">
        <f>IF(ISERR(FIND("DECOUPE",Tableau1[[#This Row],[DESIGNATION]])),"","NEED REF")</f>
        <v/>
      </c>
    </row>
    <row r="9377">
      <c r="B9377" t="n">
        <v>34404628</v>
      </c>
      <c r="C9377" s="2" t="n">
        <v>42200</v>
      </c>
      <c r="D9377" t="inlineStr">
        <is>
          <t>SPEC</t>
        </is>
      </c>
      <c r="E9377" t="inlineStr">
        <is>
          <t>CX AVAL OUT+ OUT-</t>
        </is>
      </c>
      <c r="F9377" t="inlineStr">
        <is>
          <t>SOLAR</t>
        </is>
      </c>
      <c r="J9377" t="inlineStr">
        <is>
          <t>MATRION</t>
        </is>
      </c>
      <c r="K9377" t="inlineStr">
        <is>
          <t>CUIVRE</t>
        </is>
      </c>
      <c r="L9377">
        <f>_xlfn.XLOOKUP(Tableau1[[#This Row],[TYPE DE PIECE]],Tableau4[MATIERE],Tableau4[SHORT TYPE],"",0,1)</f>
        <v/>
      </c>
      <c r="N9377">
        <f>IF(ISERR(FIND("DECOUPE",Tableau1[[#This Row],[DESIGNATION]])),"","NEED REF")</f>
        <v/>
      </c>
    </row>
    <row r="9378">
      <c r="B9378" t="n">
        <v>34404627</v>
      </c>
      <c r="C9378" s="2" t="n">
        <v>42200</v>
      </c>
      <c r="D9378" t="inlineStr">
        <is>
          <t>SPEC</t>
        </is>
      </c>
      <c r="E9378" t="inlineStr">
        <is>
          <t>CX AVAL2 OUT-</t>
        </is>
      </c>
      <c r="F9378" t="inlineStr">
        <is>
          <t>SOLAR</t>
        </is>
      </c>
      <c r="J9378" t="inlineStr">
        <is>
          <t>MATRION</t>
        </is>
      </c>
      <c r="K9378" t="inlineStr">
        <is>
          <t>CUIVRE</t>
        </is>
      </c>
      <c r="L9378">
        <f>_xlfn.XLOOKUP(Tableau1[[#This Row],[TYPE DE PIECE]],Tableau4[MATIERE],Tableau4[SHORT TYPE],"",0,1)</f>
        <v/>
      </c>
      <c r="N9378">
        <f>IF(ISERR(FIND("DECOUPE",Tableau1[[#This Row],[DESIGNATION]])),"","NEED REF")</f>
        <v/>
      </c>
    </row>
    <row r="9379">
      <c r="B9379" t="n">
        <v>34404626</v>
      </c>
      <c r="C9379" s="2" t="n">
        <v>42200</v>
      </c>
      <c r="D9379" t="inlineStr">
        <is>
          <t>SPEC</t>
        </is>
      </c>
      <c r="F9379" t="inlineStr">
        <is>
          <t>SOLAR</t>
        </is>
      </c>
      <c r="J9379" t="inlineStr">
        <is>
          <t>MATRION</t>
        </is>
      </c>
      <c r="L9379">
        <f>_xlfn.XLOOKUP(Tableau1[[#This Row],[TYPE DE PIECE]],Tableau4[MATIERE],Tableau4[SHORT TYPE],"",0,1)</f>
        <v/>
      </c>
      <c r="N9379">
        <f>IF(ISERR(FIND("DECOUPE",Tableau1[[#This Row],[DESIGNATION]])),"","NEED REF")</f>
        <v/>
      </c>
    </row>
    <row r="9380">
      <c r="B9380" t="n">
        <v>34404625</v>
      </c>
      <c r="C9380" s="2" t="n">
        <v>42200</v>
      </c>
      <c r="D9380" t="inlineStr">
        <is>
          <t>SPEC</t>
        </is>
      </c>
      <c r="F9380" t="inlineStr">
        <is>
          <t>SOLAR</t>
        </is>
      </c>
      <c r="J9380" t="inlineStr">
        <is>
          <t>MATRION</t>
        </is>
      </c>
      <c r="L9380">
        <f>_xlfn.XLOOKUP(Tableau1[[#This Row],[TYPE DE PIECE]],Tableau4[MATIERE],Tableau4[SHORT TYPE],"",0,1)</f>
        <v/>
      </c>
      <c r="N9380">
        <f>IF(ISERR(FIND("DECOUPE",Tableau1[[#This Row],[DESIGNATION]])),"","NEED REF")</f>
        <v/>
      </c>
    </row>
    <row r="9381">
      <c r="B9381" t="n">
        <v>34404624</v>
      </c>
      <c r="C9381" s="2" t="n">
        <v>42200</v>
      </c>
      <c r="D9381" t="inlineStr">
        <is>
          <t>SPEC</t>
        </is>
      </c>
      <c r="F9381" t="inlineStr">
        <is>
          <t>SOLAR</t>
        </is>
      </c>
      <c r="J9381" t="inlineStr">
        <is>
          <t>MATRION</t>
        </is>
      </c>
      <c r="L9381">
        <f>_xlfn.XLOOKUP(Tableau1[[#This Row],[TYPE DE PIECE]],Tableau4[MATIERE],Tableau4[SHORT TYPE],"",0,1)</f>
        <v/>
      </c>
      <c r="N9381">
        <f>IF(ISERR(FIND("DECOUPE",Tableau1[[#This Row],[DESIGNATION]])),"","NEED REF")</f>
        <v/>
      </c>
    </row>
    <row r="9382">
      <c r="B9382" t="n">
        <v>34404623</v>
      </c>
      <c r="C9382" s="2" t="n">
        <v>42200</v>
      </c>
      <c r="D9382" t="inlineStr">
        <is>
          <t>SPEC</t>
        </is>
      </c>
      <c r="E9382" t="inlineStr">
        <is>
          <t>PROTECTION JDB ARRIERE MASTERPACT</t>
        </is>
      </c>
      <c r="F9382" t="inlineStr">
        <is>
          <t>SOLAR</t>
        </is>
      </c>
      <c r="J9382" t="inlineStr">
        <is>
          <t>MATRION</t>
        </is>
      </c>
      <c r="K9382" t="inlineStr">
        <is>
          <t>PLASTIQUE</t>
        </is>
      </c>
      <c r="L9382">
        <f>_xlfn.XLOOKUP(Tableau1[[#This Row],[TYPE DE PIECE]],Tableau4[MATIERE],Tableau4[SHORT TYPE],"",0,1)</f>
        <v/>
      </c>
      <c r="N9382">
        <f>IF(ISERR(FIND("DECOUPE",Tableau1[[#This Row],[DESIGNATION]])),"","NEED REF")</f>
        <v/>
      </c>
    </row>
    <row r="9383">
      <c r="B9383" t="n">
        <v>34404622</v>
      </c>
      <c r="C9383" s="2" t="n">
        <v>42200</v>
      </c>
      <c r="D9383" t="inlineStr">
        <is>
          <t>SPEC</t>
        </is>
      </c>
      <c r="F9383" t="inlineStr">
        <is>
          <t>SOLAR</t>
        </is>
      </c>
      <c r="J9383" t="inlineStr">
        <is>
          <t>MATRION</t>
        </is>
      </c>
      <c r="L9383">
        <f>_xlfn.XLOOKUP(Tableau1[[#This Row],[TYPE DE PIECE]],Tableau4[MATIERE],Tableau4[SHORT TYPE],"",0,1)</f>
        <v/>
      </c>
      <c r="N9383">
        <f>IF(ISERR(FIND("DECOUPE",Tableau1[[#This Row],[DESIGNATION]])),"","NEED REF")</f>
        <v/>
      </c>
    </row>
    <row r="9384">
      <c r="B9384" t="n">
        <v>34404621</v>
      </c>
      <c r="C9384" s="2" t="n">
        <v>42200</v>
      </c>
      <c r="D9384" t="inlineStr">
        <is>
          <t>SPEC</t>
        </is>
      </c>
      <c r="E9384" t="inlineStr">
        <is>
          <t>PROTECTION ARRIERE MASTERPACT</t>
        </is>
      </c>
      <c r="F9384" t="inlineStr">
        <is>
          <t>SOLAR</t>
        </is>
      </c>
      <c r="J9384" t="inlineStr">
        <is>
          <t>MATRION</t>
        </is>
      </c>
      <c r="K9384" t="inlineStr">
        <is>
          <t>TOLERIE PEINTE</t>
        </is>
      </c>
      <c r="L9384">
        <f>_xlfn.XLOOKUP(Tableau1[[#This Row],[TYPE DE PIECE]],Tableau4[MATIERE],Tableau4[SHORT TYPE],"",0,1)</f>
        <v/>
      </c>
      <c r="N9384">
        <f>IF(ISERR(FIND("DECOUPE",Tableau1[[#This Row],[DESIGNATION]])),"","NEED REF")</f>
        <v/>
      </c>
    </row>
    <row r="9385">
      <c r="B9385" t="n">
        <v>34404620</v>
      </c>
      <c r="C9385" s="2" t="n">
        <v>42187</v>
      </c>
      <c r="D9385" t="inlineStr">
        <is>
          <t>SPEC</t>
        </is>
      </c>
      <c r="F9385" t="inlineStr">
        <is>
          <t>SOLAR</t>
        </is>
      </c>
      <c r="J9385" t="inlineStr">
        <is>
          <t>MATRION</t>
        </is>
      </c>
      <c r="L9385">
        <f>_xlfn.XLOOKUP(Tableau1[[#This Row],[TYPE DE PIECE]],Tableau4[MATIERE],Tableau4[SHORT TYPE],"",0,1)</f>
        <v/>
      </c>
      <c r="N9385">
        <f>IF(ISERR(FIND("DECOUPE",Tableau1[[#This Row],[DESIGNATION]])),"","NEED REF")</f>
        <v/>
      </c>
    </row>
    <row r="9386">
      <c r="B9386" t="n">
        <v>34404619</v>
      </c>
      <c r="C9386" s="2" t="n">
        <v>42187</v>
      </c>
      <c r="D9386" t="inlineStr">
        <is>
          <t>SPEC</t>
        </is>
      </c>
      <c r="E9386" t="inlineStr">
        <is>
          <t>SUPPORT MASTERPACT</t>
        </is>
      </c>
      <c r="F9386" t="inlineStr">
        <is>
          <t>SOLAR</t>
        </is>
      </c>
      <c r="J9386" t="inlineStr">
        <is>
          <t>MATRION</t>
        </is>
      </c>
      <c r="K9386" t="inlineStr">
        <is>
          <t>TOLERIE</t>
        </is>
      </c>
      <c r="L9386">
        <f>_xlfn.XLOOKUP(Tableau1[[#This Row],[TYPE DE PIECE]],Tableau4[MATIERE],Tableau4[SHORT TYPE],"",0,1)</f>
        <v/>
      </c>
      <c r="N9386">
        <f>IF(ISERR(FIND("DECOUPE",Tableau1[[#This Row],[DESIGNATION]])),"","NEED REF")</f>
        <v/>
      </c>
    </row>
    <row r="9387">
      <c r="B9387" t="n">
        <v>34404618</v>
      </c>
      <c r="C9387" s="2" t="n">
        <v>42194</v>
      </c>
      <c r="D9387" t="inlineStr">
        <is>
          <t>SPEC</t>
        </is>
      </c>
      <c r="E9387" t="inlineStr">
        <is>
          <t>PANNEAU ARRIERE VENTILE</t>
        </is>
      </c>
      <c r="F9387" t="inlineStr">
        <is>
          <t>SURT EN SAREL</t>
        </is>
      </c>
      <c r="J9387" t="inlineStr">
        <is>
          <t>MATRION</t>
        </is>
      </c>
      <c r="K9387" t="inlineStr">
        <is>
          <t>TOLERIE</t>
        </is>
      </c>
      <c r="L9387">
        <f>_xlfn.XLOOKUP(Tableau1[[#This Row],[TYPE DE PIECE]],Tableau4[MATIERE],Tableau4[SHORT TYPE],"",0,1)</f>
        <v/>
      </c>
      <c r="N9387">
        <f>IF(ISERR(FIND("DECOUPE",Tableau1[[#This Row],[DESIGNATION]])),"","NEED REF")</f>
        <v/>
      </c>
    </row>
    <row r="9388">
      <c r="B9388" t="n">
        <v>34404617</v>
      </c>
      <c r="C9388" s="2" t="n">
        <v>42193</v>
      </c>
      <c r="D9388" t="inlineStr">
        <is>
          <t>SPEC</t>
        </is>
      </c>
      <c r="E9388" t="inlineStr">
        <is>
          <t>FLEX L3 R1 R2 COMMUN</t>
        </is>
      </c>
      <c r="J9388" t="inlineStr">
        <is>
          <t>MATRION</t>
        </is>
      </c>
      <c r="K9388" t="inlineStr">
        <is>
          <t>CUIVRE</t>
        </is>
      </c>
      <c r="L9388">
        <f>_xlfn.XLOOKUP(Tableau1[[#This Row],[TYPE DE PIECE]],Tableau4[MATIERE],Tableau4[SHORT TYPE],"",0,1)</f>
        <v/>
      </c>
      <c r="N9388">
        <f>IF(ISERR(FIND("DECOUPE",Tableau1[[#This Row],[DESIGNATION]])),"","NEED REF")</f>
        <v/>
      </c>
    </row>
    <row r="9389">
      <c r="B9389" t="n">
        <v>34404616</v>
      </c>
      <c r="C9389" s="2" t="n">
        <v>42193</v>
      </c>
      <c r="D9389" t="inlineStr">
        <is>
          <t>SPEC</t>
        </is>
      </c>
      <c r="E9389" t="inlineStr">
        <is>
          <t>FLEX L1/L2 R1 R2 COMMUN</t>
        </is>
      </c>
      <c r="J9389" t="inlineStr">
        <is>
          <t>MATRION</t>
        </is>
      </c>
      <c r="K9389" t="inlineStr">
        <is>
          <t>CUIVRE</t>
        </is>
      </c>
      <c r="L9389">
        <f>_xlfn.XLOOKUP(Tableau1[[#This Row],[TYPE DE PIECE]],Tableau4[MATIERE],Tableau4[SHORT TYPE],"",0,1)</f>
        <v/>
      </c>
      <c r="N9389">
        <f>IF(ISERR(FIND("DECOUPE",Tableau1[[#This Row],[DESIGNATION]])),"","NEED REF")</f>
        <v/>
      </c>
    </row>
    <row r="9390">
      <c r="B9390" t="n">
        <v>34404615</v>
      </c>
      <c r="C9390" s="2" t="n">
        <v>42193</v>
      </c>
      <c r="D9390" t="inlineStr">
        <is>
          <t>SPEC</t>
        </is>
      </c>
      <c r="E9390" t="inlineStr">
        <is>
          <t>cellule Offre OH080715A</t>
        </is>
      </c>
      <c r="J9390" t="inlineStr">
        <is>
          <t>PLANTIER</t>
        </is>
      </c>
      <c r="L9390">
        <f>_xlfn.XLOOKUP(Tableau1[[#This Row],[TYPE DE PIECE]],Tableau4[MATIERE],Tableau4[SHORT TYPE],"",0,1)</f>
        <v/>
      </c>
      <c r="N9390">
        <f>IF(ISERR(FIND("DECOUPE",Tableau1[[#This Row],[DESIGNATION]])),"","NEED REF")</f>
        <v/>
      </c>
    </row>
    <row r="9391">
      <c r="B9391" t="n">
        <v>34404614</v>
      </c>
      <c r="C9391" s="2" t="n"/>
      <c r="E9391" t="inlineStr">
        <is>
          <t>BDF</t>
        </is>
      </c>
      <c r="J9391" t="inlineStr">
        <is>
          <t>DUBOIS</t>
        </is>
      </c>
      <c r="L9391">
        <f>_xlfn.XLOOKUP(Tableau1[[#This Row],[TYPE DE PIECE]],Tableau4[MATIERE],Tableau4[SHORT TYPE],"",0,1)</f>
        <v/>
      </c>
      <c r="N9391">
        <f>IF(ISERR(FIND("DECOUPE",Tableau1[[#This Row],[DESIGNATION]])),"","NEED REF")</f>
        <v/>
      </c>
    </row>
    <row r="9392">
      <c r="B9392" t="n">
        <v>34404613</v>
      </c>
      <c r="C9392" s="2" t="n"/>
      <c r="E9392" t="inlineStr">
        <is>
          <t>BDF</t>
        </is>
      </c>
      <c r="J9392" t="inlineStr">
        <is>
          <t>DUBOIS</t>
        </is>
      </c>
      <c r="L9392">
        <f>_xlfn.XLOOKUP(Tableau1[[#This Row],[TYPE DE PIECE]],Tableau4[MATIERE],Tableau4[SHORT TYPE],"",0,1)</f>
        <v/>
      </c>
      <c r="N9392">
        <f>IF(ISERR(FIND("DECOUPE",Tableau1[[#This Row],[DESIGNATION]])),"","NEED REF")</f>
        <v/>
      </c>
    </row>
    <row r="9393">
      <c r="B9393" t="n">
        <v>34404612</v>
      </c>
      <c r="C9393" s="2" t="n"/>
      <c r="E9393" t="inlineStr">
        <is>
          <t>BDF</t>
        </is>
      </c>
      <c r="J9393" t="inlineStr">
        <is>
          <t>DUBOIS</t>
        </is>
      </c>
      <c r="L9393">
        <f>_xlfn.XLOOKUP(Tableau1[[#This Row],[TYPE DE PIECE]],Tableau4[MATIERE],Tableau4[SHORT TYPE],"",0,1)</f>
        <v/>
      </c>
      <c r="N9393">
        <f>IF(ISERR(FIND("DECOUPE",Tableau1[[#This Row],[DESIGNATION]])),"","NEED REF")</f>
        <v/>
      </c>
    </row>
    <row r="9394">
      <c r="B9394" t="n">
        <v>34404611</v>
      </c>
      <c r="C9394" s="2" t="n"/>
      <c r="E9394" t="inlineStr">
        <is>
          <t>BDF</t>
        </is>
      </c>
      <c r="J9394" t="inlineStr">
        <is>
          <t>DUBOIS</t>
        </is>
      </c>
      <c r="L9394">
        <f>_xlfn.XLOOKUP(Tableau1[[#This Row],[TYPE DE PIECE]],Tableau4[MATIERE],Tableau4[SHORT TYPE],"",0,1)</f>
        <v/>
      </c>
      <c r="N9394">
        <f>IF(ISERR(FIND("DECOUPE",Tableau1[[#This Row],[DESIGNATION]])),"","NEED REF")</f>
        <v/>
      </c>
    </row>
    <row r="9395">
      <c r="B9395" t="n">
        <v>34404610</v>
      </c>
      <c r="C9395" s="2" t="n"/>
      <c r="E9395" t="inlineStr">
        <is>
          <t>BDF</t>
        </is>
      </c>
      <c r="J9395" t="inlineStr">
        <is>
          <t>DUBOIS</t>
        </is>
      </c>
      <c r="L9395">
        <f>_xlfn.XLOOKUP(Tableau1[[#This Row],[TYPE DE PIECE]],Tableau4[MATIERE],Tableau4[SHORT TYPE],"",0,1)</f>
        <v/>
      </c>
      <c r="N9395">
        <f>IF(ISERR(FIND("DECOUPE",Tableau1[[#This Row],[DESIGNATION]])),"","NEED REF")</f>
        <v/>
      </c>
    </row>
    <row r="9396">
      <c r="B9396" t="n">
        <v>34404609</v>
      </c>
      <c r="C9396" s="2" t="n"/>
      <c r="E9396" t="inlineStr">
        <is>
          <t>BDF</t>
        </is>
      </c>
      <c r="J9396" t="inlineStr">
        <is>
          <t>DUBOIS</t>
        </is>
      </c>
      <c r="L9396">
        <f>_xlfn.XLOOKUP(Tableau1[[#This Row],[TYPE DE PIECE]],Tableau4[MATIERE],Tableau4[SHORT TYPE],"",0,1)</f>
        <v/>
      </c>
      <c r="N9396">
        <f>IF(ISERR(FIND("DECOUPE",Tableau1[[#This Row],[DESIGNATION]])),"","NEED REF")</f>
        <v/>
      </c>
    </row>
    <row r="9397">
      <c r="B9397" t="n">
        <v>34404608</v>
      </c>
      <c r="C9397" s="2" t="n"/>
      <c r="E9397" t="inlineStr">
        <is>
          <t>BDF</t>
        </is>
      </c>
      <c r="J9397" t="inlineStr">
        <is>
          <t>DUBOIS</t>
        </is>
      </c>
      <c r="L9397">
        <f>_xlfn.XLOOKUP(Tableau1[[#This Row],[TYPE DE PIECE]],Tableau4[MATIERE],Tableau4[SHORT TYPE],"",0,1)</f>
        <v/>
      </c>
      <c r="N9397">
        <f>IF(ISERR(FIND("DECOUPE",Tableau1[[#This Row],[DESIGNATION]])),"","NEED REF")</f>
        <v/>
      </c>
    </row>
    <row r="9398">
      <c r="B9398" t="n">
        <v>34404607</v>
      </c>
      <c r="C9398" s="2" t="n"/>
      <c r="E9398" t="inlineStr">
        <is>
          <t>BDF</t>
        </is>
      </c>
      <c r="J9398" t="inlineStr">
        <is>
          <t>DUBOIS</t>
        </is>
      </c>
      <c r="L9398">
        <f>_xlfn.XLOOKUP(Tableau1[[#This Row],[TYPE DE PIECE]],Tableau4[MATIERE],Tableau4[SHORT TYPE],"",0,1)</f>
        <v/>
      </c>
      <c r="N9398">
        <f>IF(ISERR(FIND("DECOUPE",Tableau1[[#This Row],[DESIGNATION]])),"","NEED REF")</f>
        <v/>
      </c>
    </row>
    <row r="9399">
      <c r="B9399" t="n">
        <v>34404606</v>
      </c>
      <c r="C9399" s="2" t="n"/>
      <c r="E9399" t="inlineStr">
        <is>
          <t>BDF</t>
        </is>
      </c>
      <c r="J9399" t="inlineStr">
        <is>
          <t>DUBOIS</t>
        </is>
      </c>
      <c r="L9399">
        <f>_xlfn.XLOOKUP(Tableau1[[#This Row],[TYPE DE PIECE]],Tableau4[MATIERE],Tableau4[SHORT TYPE],"",0,1)</f>
        <v/>
      </c>
      <c r="N9399">
        <f>IF(ISERR(FIND("DECOUPE",Tableau1[[#This Row],[DESIGNATION]])),"","NEED REF")</f>
        <v/>
      </c>
    </row>
    <row r="9400">
      <c r="B9400" t="n">
        <v>34404605</v>
      </c>
      <c r="C9400" s="2" t="n"/>
      <c r="E9400" t="inlineStr">
        <is>
          <t>BDF</t>
        </is>
      </c>
      <c r="J9400" t="inlineStr">
        <is>
          <t>DUBOIS</t>
        </is>
      </c>
      <c r="L9400">
        <f>_xlfn.XLOOKUP(Tableau1[[#This Row],[TYPE DE PIECE]],Tableau4[MATIERE],Tableau4[SHORT TYPE],"",0,1)</f>
        <v/>
      </c>
      <c r="N9400">
        <f>IF(ISERR(FIND("DECOUPE",Tableau1[[#This Row],[DESIGNATION]])),"","NEED REF")</f>
        <v/>
      </c>
    </row>
    <row r="9401">
      <c r="B9401" t="n">
        <v>34404604</v>
      </c>
      <c r="C9401" s="2" t="n"/>
      <c r="E9401" t="inlineStr">
        <is>
          <t>BDF</t>
        </is>
      </c>
      <c r="J9401" t="inlineStr">
        <is>
          <t>DUBOIS</t>
        </is>
      </c>
      <c r="L9401">
        <f>_xlfn.XLOOKUP(Tableau1[[#This Row],[TYPE DE PIECE]],Tableau4[MATIERE],Tableau4[SHORT TYPE],"",0,1)</f>
        <v/>
      </c>
      <c r="N9401">
        <f>IF(ISERR(FIND("DECOUPE",Tableau1[[#This Row],[DESIGNATION]])),"","NEED REF")</f>
        <v/>
      </c>
    </row>
    <row r="9402">
      <c r="B9402" t="n">
        <v>34404603</v>
      </c>
      <c r="C9402" s="2" t="n"/>
      <c r="E9402" t="inlineStr">
        <is>
          <t>BDF</t>
        </is>
      </c>
      <c r="J9402" t="inlineStr">
        <is>
          <t>DUBOIS</t>
        </is>
      </c>
      <c r="L9402">
        <f>_xlfn.XLOOKUP(Tableau1[[#This Row],[TYPE DE PIECE]],Tableau4[MATIERE],Tableau4[SHORT TYPE],"",0,1)</f>
        <v/>
      </c>
      <c r="N9402">
        <f>IF(ISERR(FIND("DECOUPE",Tableau1[[#This Row],[DESIGNATION]])),"","NEED REF")</f>
        <v/>
      </c>
    </row>
    <row r="9403">
      <c r="B9403" t="n">
        <v>34404602</v>
      </c>
      <c r="C9403" s="2" t="n"/>
      <c r="E9403" t="inlineStr">
        <is>
          <t>BDF</t>
        </is>
      </c>
      <c r="J9403" t="inlineStr">
        <is>
          <t>DUBOIS</t>
        </is>
      </c>
      <c r="L9403">
        <f>_xlfn.XLOOKUP(Tableau1[[#This Row],[TYPE DE PIECE]],Tableau4[MATIERE],Tableau4[SHORT TYPE],"",0,1)</f>
        <v/>
      </c>
      <c r="N9403">
        <f>IF(ISERR(FIND("DECOUPE",Tableau1[[#This Row],[DESIGNATION]])),"","NEED REF")</f>
        <v/>
      </c>
    </row>
    <row r="9404">
      <c r="B9404" t="n">
        <v>34404601</v>
      </c>
      <c r="C9404" s="2" t="n"/>
      <c r="E9404" t="inlineStr">
        <is>
          <t>BDF</t>
        </is>
      </c>
      <c r="J9404" t="inlineStr">
        <is>
          <t>DUBOIS</t>
        </is>
      </c>
      <c r="L9404">
        <f>_xlfn.XLOOKUP(Tableau1[[#This Row],[TYPE DE PIECE]],Tableau4[MATIERE],Tableau4[SHORT TYPE],"",0,1)</f>
        <v/>
      </c>
      <c r="N9404">
        <f>IF(ISERR(FIND("DECOUPE",Tableau1[[#This Row],[DESIGNATION]])),"","NEED REF")</f>
        <v/>
      </c>
    </row>
    <row r="9405">
      <c r="B9405" t="n">
        <v>34404600</v>
      </c>
      <c r="C9405" s="2" t="n"/>
      <c r="E9405" t="inlineStr">
        <is>
          <t>BDF</t>
        </is>
      </c>
      <c r="J9405" t="inlineStr">
        <is>
          <t>DUBOIS</t>
        </is>
      </c>
      <c r="L9405">
        <f>_xlfn.XLOOKUP(Tableau1[[#This Row],[TYPE DE PIECE]],Tableau4[MATIERE],Tableau4[SHORT TYPE],"",0,1)</f>
        <v/>
      </c>
      <c r="N9405">
        <f>IF(ISERR(FIND("DECOUPE",Tableau1[[#This Row],[DESIGNATION]])),"","NEED REF")</f>
        <v/>
      </c>
    </row>
    <row r="9406">
      <c r="B9406" t="n">
        <v>34404599</v>
      </c>
      <c r="C9406" s="2" t="n"/>
      <c r="E9406" t="inlineStr">
        <is>
          <t>BDF</t>
        </is>
      </c>
      <c r="J9406" t="inlineStr">
        <is>
          <t>DUBOIS</t>
        </is>
      </c>
      <c r="L9406">
        <f>_xlfn.XLOOKUP(Tableau1[[#This Row],[TYPE DE PIECE]],Tableau4[MATIERE],Tableau4[SHORT TYPE],"",0,1)</f>
        <v/>
      </c>
      <c r="N9406">
        <f>IF(ISERR(FIND("DECOUPE",Tableau1[[#This Row],[DESIGNATION]])),"","NEED REF")</f>
        <v/>
      </c>
    </row>
    <row r="9407">
      <c r="B9407" t="n">
        <v>34404598</v>
      </c>
      <c r="C9407" s="2" t="n"/>
      <c r="E9407" t="inlineStr">
        <is>
          <t>BDF</t>
        </is>
      </c>
      <c r="J9407" t="inlineStr">
        <is>
          <t>DUBOIS</t>
        </is>
      </c>
      <c r="L9407">
        <f>_xlfn.XLOOKUP(Tableau1[[#This Row],[TYPE DE PIECE]],Tableau4[MATIERE],Tableau4[SHORT TYPE],"",0,1)</f>
        <v/>
      </c>
      <c r="N9407">
        <f>IF(ISERR(FIND("DECOUPE",Tableau1[[#This Row],[DESIGNATION]])),"","NEED REF")</f>
        <v/>
      </c>
    </row>
    <row r="9408">
      <c r="B9408" t="n">
        <v>34404597</v>
      </c>
      <c r="C9408" s="2" t="n"/>
      <c r="E9408" t="inlineStr">
        <is>
          <t>BDF</t>
        </is>
      </c>
      <c r="J9408" t="inlineStr">
        <is>
          <t>DUBOIS</t>
        </is>
      </c>
      <c r="L9408">
        <f>_xlfn.XLOOKUP(Tableau1[[#This Row],[TYPE DE PIECE]],Tableau4[MATIERE],Tableau4[SHORT TYPE],"",0,1)</f>
        <v/>
      </c>
      <c r="N9408">
        <f>IF(ISERR(FIND("DECOUPE",Tableau1[[#This Row],[DESIGNATION]])),"","NEED REF")</f>
        <v/>
      </c>
    </row>
    <row r="9409">
      <c r="B9409" t="n">
        <v>34404596</v>
      </c>
      <c r="C9409" s="2" t="n"/>
      <c r="E9409" t="inlineStr">
        <is>
          <t>BDF</t>
        </is>
      </c>
      <c r="J9409" t="inlineStr">
        <is>
          <t>DUBOIS</t>
        </is>
      </c>
      <c r="L9409">
        <f>_xlfn.XLOOKUP(Tableau1[[#This Row],[TYPE DE PIECE]],Tableau4[MATIERE],Tableau4[SHORT TYPE],"",0,1)</f>
        <v/>
      </c>
      <c r="N9409">
        <f>IF(ISERR(FIND("DECOUPE",Tableau1[[#This Row],[DESIGNATION]])),"","NEED REF")</f>
        <v/>
      </c>
    </row>
    <row r="9410">
      <c r="B9410" t="n">
        <v>34404595</v>
      </c>
      <c r="C9410" s="2" t="n"/>
      <c r="E9410" t="inlineStr">
        <is>
          <t>BDF</t>
        </is>
      </c>
      <c r="J9410" t="inlineStr">
        <is>
          <t>DUBOIS</t>
        </is>
      </c>
      <c r="L9410">
        <f>_xlfn.XLOOKUP(Tableau1[[#This Row],[TYPE DE PIECE]],Tableau4[MATIERE],Tableau4[SHORT TYPE],"",0,1)</f>
        <v/>
      </c>
      <c r="N9410">
        <f>IF(ISERR(FIND("DECOUPE",Tableau1[[#This Row],[DESIGNATION]])),"","NEED REF")</f>
        <v/>
      </c>
    </row>
    <row r="9411">
      <c r="B9411" t="n">
        <v>34404594</v>
      </c>
      <c r="C9411" s="2" t="n"/>
      <c r="E9411" t="inlineStr">
        <is>
          <t>BDF</t>
        </is>
      </c>
      <c r="J9411" t="inlineStr">
        <is>
          <t>DUBOIS</t>
        </is>
      </c>
      <c r="L9411">
        <f>_xlfn.XLOOKUP(Tableau1[[#This Row],[TYPE DE PIECE]],Tableau4[MATIERE],Tableau4[SHORT TYPE],"",0,1)</f>
        <v/>
      </c>
      <c r="N9411">
        <f>IF(ISERR(FIND("DECOUPE",Tableau1[[#This Row],[DESIGNATION]])),"","NEED REF")</f>
        <v/>
      </c>
    </row>
    <row r="9412">
      <c r="B9412" t="n">
        <v>34404593</v>
      </c>
      <c r="C9412" s="2" t="n"/>
      <c r="E9412" t="inlineStr">
        <is>
          <t>BDF</t>
        </is>
      </c>
      <c r="J9412" t="inlineStr">
        <is>
          <t>DUBOIS</t>
        </is>
      </c>
      <c r="L9412">
        <f>_xlfn.XLOOKUP(Tableau1[[#This Row],[TYPE DE PIECE]],Tableau4[MATIERE],Tableau4[SHORT TYPE],"",0,1)</f>
        <v/>
      </c>
      <c r="N9412">
        <f>IF(ISERR(FIND("DECOUPE",Tableau1[[#This Row],[DESIGNATION]])),"","NEED REF")</f>
        <v/>
      </c>
    </row>
    <row r="9413">
      <c r="B9413" t="n">
        <v>34404592</v>
      </c>
      <c r="C9413" s="2" t="n"/>
      <c r="E9413" t="inlineStr">
        <is>
          <t>BDF</t>
        </is>
      </c>
      <c r="J9413" t="inlineStr">
        <is>
          <t>DUBOIS</t>
        </is>
      </c>
      <c r="L9413">
        <f>_xlfn.XLOOKUP(Tableau1[[#This Row],[TYPE DE PIECE]],Tableau4[MATIERE],Tableau4[SHORT TYPE],"",0,1)</f>
        <v/>
      </c>
      <c r="N9413">
        <f>IF(ISERR(FIND("DECOUPE",Tableau1[[#This Row],[DESIGNATION]])),"","NEED REF")</f>
        <v/>
      </c>
    </row>
    <row r="9414">
      <c r="B9414" t="n">
        <v>34404591</v>
      </c>
      <c r="C9414" s="2" t="n"/>
      <c r="E9414" t="inlineStr">
        <is>
          <t>BDF</t>
        </is>
      </c>
      <c r="J9414" t="inlineStr">
        <is>
          <t>DUBOIS</t>
        </is>
      </c>
      <c r="L9414">
        <f>_xlfn.XLOOKUP(Tableau1[[#This Row],[TYPE DE PIECE]],Tableau4[MATIERE],Tableau4[SHORT TYPE],"",0,1)</f>
        <v/>
      </c>
      <c r="N9414">
        <f>IF(ISERR(FIND("DECOUPE",Tableau1[[#This Row],[DESIGNATION]])),"","NEED REF")</f>
        <v/>
      </c>
    </row>
    <row r="9415">
      <c r="B9415" t="n">
        <v>34404590</v>
      </c>
      <c r="C9415" s="2" t="n"/>
      <c r="E9415" t="inlineStr">
        <is>
          <t>BDF</t>
        </is>
      </c>
      <c r="J9415" t="inlineStr">
        <is>
          <t>DUBOIS</t>
        </is>
      </c>
      <c r="L9415">
        <f>_xlfn.XLOOKUP(Tableau1[[#This Row],[TYPE DE PIECE]],Tableau4[MATIERE],Tableau4[SHORT TYPE],"",0,1)</f>
        <v/>
      </c>
      <c r="N9415">
        <f>IF(ISERR(FIND("DECOUPE",Tableau1[[#This Row],[DESIGNATION]])),"","NEED REF")</f>
        <v/>
      </c>
    </row>
    <row r="9416">
      <c r="B9416" t="n">
        <v>34404589</v>
      </c>
      <c r="C9416" s="2" t="n"/>
      <c r="E9416" t="inlineStr">
        <is>
          <t>BDF</t>
        </is>
      </c>
      <c r="J9416" t="inlineStr">
        <is>
          <t>DUBOIS</t>
        </is>
      </c>
      <c r="L9416">
        <f>_xlfn.XLOOKUP(Tableau1[[#This Row],[TYPE DE PIECE]],Tableau4[MATIERE],Tableau4[SHORT TYPE],"",0,1)</f>
        <v/>
      </c>
      <c r="N9416">
        <f>IF(ISERR(FIND("DECOUPE",Tableau1[[#This Row],[DESIGNATION]])),"","NEED REF")</f>
        <v/>
      </c>
    </row>
    <row r="9417">
      <c r="B9417" t="n">
        <v>34404588</v>
      </c>
      <c r="C9417" s="2" t="n"/>
      <c r="E9417" t="inlineStr">
        <is>
          <t>BDF</t>
        </is>
      </c>
      <c r="J9417" t="inlineStr">
        <is>
          <t>DUBOIS</t>
        </is>
      </c>
      <c r="L9417">
        <f>_xlfn.XLOOKUP(Tableau1[[#This Row],[TYPE DE PIECE]],Tableau4[MATIERE],Tableau4[SHORT TYPE],"",0,1)</f>
        <v/>
      </c>
      <c r="N9417">
        <f>IF(ISERR(FIND("DECOUPE",Tableau1[[#This Row],[DESIGNATION]])),"","NEED REF")</f>
        <v/>
      </c>
    </row>
    <row r="9418">
      <c r="B9418" t="n">
        <v>34404587</v>
      </c>
      <c r="C9418" s="2" t="n"/>
      <c r="E9418" t="inlineStr">
        <is>
          <t>BDF</t>
        </is>
      </c>
      <c r="J9418" t="inlineStr">
        <is>
          <t>DUBOIS</t>
        </is>
      </c>
      <c r="L9418">
        <f>_xlfn.XLOOKUP(Tableau1[[#This Row],[TYPE DE PIECE]],Tableau4[MATIERE],Tableau4[SHORT TYPE],"",0,1)</f>
        <v/>
      </c>
      <c r="N9418">
        <f>IF(ISERR(FIND("DECOUPE",Tableau1[[#This Row],[DESIGNATION]])),"","NEED REF")</f>
        <v/>
      </c>
    </row>
    <row r="9419">
      <c r="B9419" t="n">
        <v>34404586</v>
      </c>
      <c r="C9419" s="2" t="n"/>
      <c r="E9419" t="inlineStr">
        <is>
          <t>BDF</t>
        </is>
      </c>
      <c r="J9419" t="inlineStr">
        <is>
          <t>DUBOIS</t>
        </is>
      </c>
      <c r="L9419">
        <f>_xlfn.XLOOKUP(Tableau1[[#This Row],[TYPE DE PIECE]],Tableau4[MATIERE],Tableau4[SHORT TYPE],"",0,1)</f>
        <v/>
      </c>
      <c r="N9419">
        <f>IF(ISERR(FIND("DECOUPE",Tableau1[[#This Row],[DESIGNATION]])),"","NEED REF")</f>
        <v/>
      </c>
    </row>
    <row r="9420">
      <c r="B9420" t="n">
        <v>34404585</v>
      </c>
      <c r="C9420" s="2" t="n"/>
      <c r="E9420" t="inlineStr">
        <is>
          <t>BDF</t>
        </is>
      </c>
      <c r="F9420" t="inlineStr">
        <is>
          <t>NS2000</t>
        </is>
      </c>
      <c r="J9420" t="inlineStr">
        <is>
          <t>DUBOIS</t>
        </is>
      </c>
      <c r="L9420">
        <f>_xlfn.XLOOKUP(Tableau1[[#This Row],[TYPE DE PIECE]],Tableau4[MATIERE],Tableau4[SHORT TYPE],"",0,1)</f>
        <v/>
      </c>
      <c r="N9420">
        <f>IF(ISERR(FIND("DECOUPE",Tableau1[[#This Row],[DESIGNATION]])),"","NEED REF")</f>
        <v/>
      </c>
    </row>
    <row r="9421">
      <c r="B9421" t="n">
        <v>34404584</v>
      </c>
      <c r="C9421" s="2" t="n">
        <v>42187</v>
      </c>
      <c r="D9421" t="inlineStr">
        <is>
          <t>SPEC</t>
        </is>
      </c>
      <c r="E9421" t="inlineStr">
        <is>
          <t>PROTECTION HAUTE MASTERPACT</t>
        </is>
      </c>
      <c r="F9421" t="inlineStr">
        <is>
          <t>SOLAR</t>
        </is>
      </c>
      <c r="J9421" t="inlineStr">
        <is>
          <t>MATRION</t>
        </is>
      </c>
      <c r="K9421" t="inlineStr">
        <is>
          <t>TOLERIE PEINTE</t>
        </is>
      </c>
      <c r="L9421">
        <f>_xlfn.XLOOKUP(Tableau1[[#This Row],[TYPE DE PIECE]],Tableau4[MATIERE],Tableau4[SHORT TYPE],"",0,1)</f>
        <v/>
      </c>
      <c r="N9421">
        <f>IF(ISERR(FIND("DECOUPE",Tableau1[[#This Row],[DESIGNATION]])),"","NEED REF")</f>
        <v/>
      </c>
    </row>
    <row r="9422">
      <c r="B9422" t="n">
        <v>34404583</v>
      </c>
      <c r="C9422" s="2" t="n">
        <v>42187</v>
      </c>
      <c r="D9422" t="inlineStr">
        <is>
          <t>SPEC</t>
        </is>
      </c>
      <c r="E9422" t="inlineStr">
        <is>
          <t>CX AVAL3 OUT-</t>
        </is>
      </c>
      <c r="F9422" t="inlineStr">
        <is>
          <t>SOLAR</t>
        </is>
      </c>
      <c r="J9422" t="inlineStr">
        <is>
          <t>MATRION</t>
        </is>
      </c>
      <c r="K9422" t="inlineStr">
        <is>
          <t>CUIVRE</t>
        </is>
      </c>
      <c r="L9422">
        <f>_xlfn.XLOOKUP(Tableau1[[#This Row],[TYPE DE PIECE]],Tableau4[MATIERE],Tableau4[SHORT TYPE],"",0,1)</f>
        <v/>
      </c>
      <c r="N9422">
        <f>IF(ISERR(FIND("DECOUPE",Tableau1[[#This Row],[DESIGNATION]])),"","NEED REF")</f>
        <v/>
      </c>
    </row>
    <row r="9423">
      <c r="B9423" t="n">
        <v>34404582</v>
      </c>
      <c r="C9423" s="2" t="n">
        <v>42187</v>
      </c>
      <c r="D9423" t="inlineStr">
        <is>
          <t>SPEC</t>
        </is>
      </c>
      <c r="E9423" t="inlineStr">
        <is>
          <t>CX AMONT2 LINE-</t>
        </is>
      </c>
      <c r="F9423" t="inlineStr">
        <is>
          <t>SOLAR</t>
        </is>
      </c>
      <c r="J9423" t="inlineStr">
        <is>
          <t>MATRION</t>
        </is>
      </c>
      <c r="K9423" t="inlineStr">
        <is>
          <t>CUIVRE</t>
        </is>
      </c>
      <c r="L9423">
        <f>_xlfn.XLOOKUP(Tableau1[[#This Row],[TYPE DE PIECE]],Tableau4[MATIERE],Tableau4[SHORT TYPE],"",0,1)</f>
        <v/>
      </c>
      <c r="N9423">
        <f>IF(ISERR(FIND("DECOUPE",Tableau1[[#This Row],[DESIGNATION]])),"","NEED REF")</f>
        <v/>
      </c>
    </row>
    <row r="9424">
      <c r="B9424" t="n">
        <v>34404581</v>
      </c>
      <c r="C9424" s="2" t="n">
        <v>42187</v>
      </c>
      <c r="D9424" t="inlineStr">
        <is>
          <t>SPEC</t>
        </is>
      </c>
      <c r="E9424" t="inlineStr">
        <is>
          <t>CX AMONT LINE+ LINE-</t>
        </is>
      </c>
      <c r="F9424" t="inlineStr">
        <is>
          <t>SOLAR</t>
        </is>
      </c>
      <c r="J9424" t="inlineStr">
        <is>
          <t>MATRION</t>
        </is>
      </c>
      <c r="K9424" t="inlineStr">
        <is>
          <t>CUIVRE</t>
        </is>
      </c>
      <c r="L9424">
        <f>_xlfn.XLOOKUP(Tableau1[[#This Row],[TYPE DE PIECE]],Tableau4[MATIERE],Tableau4[SHORT TYPE],"",0,1)</f>
        <v/>
      </c>
      <c r="N9424">
        <f>IF(ISERR(FIND("DECOUPE",Tableau1[[#This Row],[DESIGNATION]])),"","NEED REF")</f>
        <v/>
      </c>
    </row>
    <row r="9425">
      <c r="B9425" t="n">
        <v>34404580</v>
      </c>
      <c r="C9425" s="2" t="n">
        <v>42187</v>
      </c>
      <c r="D9425" t="inlineStr">
        <is>
          <t>SPEC</t>
        </is>
      </c>
      <c r="E9425" t="inlineStr">
        <is>
          <t>SUPPORT TFO NETSHELTER AR3150</t>
        </is>
      </c>
      <c r="F9425" t="inlineStr">
        <is>
          <t>CHASSIS TFO NETSHELTER</t>
        </is>
      </c>
      <c r="J9425" t="inlineStr">
        <is>
          <t>MATRION</t>
        </is>
      </c>
      <c r="K9425" t="inlineStr">
        <is>
          <t>METAL</t>
        </is>
      </c>
      <c r="L9425">
        <f>_xlfn.XLOOKUP(Tableau1[[#This Row],[TYPE DE PIECE]],Tableau4[MATIERE],Tableau4[SHORT TYPE],"",0,1)</f>
        <v/>
      </c>
      <c r="N9425">
        <f>IF(ISERR(FIND("DECOUPE",Tableau1[[#This Row],[DESIGNATION]])),"","NEED REF")</f>
        <v/>
      </c>
    </row>
    <row r="9426">
      <c r="B9426" t="n">
        <v>34404579</v>
      </c>
      <c r="C9426" s="2" t="n">
        <v>42187</v>
      </c>
      <c r="D9426" t="inlineStr">
        <is>
          <t>SPEC</t>
        </is>
      </c>
      <c r="E9426" t="inlineStr">
        <is>
          <t>CHASSIS TFO NETSHELTER AR3150</t>
        </is>
      </c>
      <c r="F9426" t="inlineStr">
        <is>
          <t>CHASSIS TFO NETSHELTER</t>
        </is>
      </c>
      <c r="J9426" t="inlineStr">
        <is>
          <t>MATRION</t>
        </is>
      </c>
      <c r="K9426" t="inlineStr">
        <is>
          <t>METAL</t>
        </is>
      </c>
      <c r="L9426">
        <f>_xlfn.XLOOKUP(Tableau1[[#This Row],[TYPE DE PIECE]],Tableau4[MATIERE],Tableau4[SHORT TYPE],"",0,1)</f>
        <v/>
      </c>
      <c r="N9426">
        <f>IF(ISERR(FIND("DECOUPE",Tableau1[[#This Row],[DESIGNATION]])),"","NEED REF")</f>
        <v/>
      </c>
    </row>
    <row r="9427">
      <c r="B9427" t="n">
        <v>34404578</v>
      </c>
      <c r="C9427" s="2" t="n">
        <v>42179</v>
      </c>
      <c r="D9427" t="inlineStr">
        <is>
          <t>SPEC</t>
        </is>
      </c>
      <c r="E9427" t="inlineStr">
        <is>
          <t>PLASTRON BAS 2</t>
        </is>
      </c>
      <c r="F9427" t="inlineStr">
        <is>
          <t>FILTRE</t>
        </is>
      </c>
      <c r="J9427" t="inlineStr">
        <is>
          <t>MATRION</t>
        </is>
      </c>
      <c r="K9427" t="inlineStr">
        <is>
          <t>METAL</t>
        </is>
      </c>
      <c r="L9427">
        <f>_xlfn.XLOOKUP(Tableau1[[#This Row],[TYPE DE PIECE]],Tableau4[MATIERE],Tableau4[SHORT TYPE],"",0,1)</f>
        <v/>
      </c>
      <c r="N9427">
        <f>IF(ISERR(FIND("DECOUPE",Tableau1[[#This Row],[DESIGNATION]])),"","NEED REF")</f>
        <v/>
      </c>
    </row>
    <row r="9428">
      <c r="B9428" t="n">
        <v>34404577</v>
      </c>
      <c r="C9428" s="2" t="n">
        <v>42179</v>
      </c>
      <c r="D9428" t="inlineStr">
        <is>
          <t>SPEC</t>
        </is>
      </c>
      <c r="E9428" t="inlineStr">
        <is>
          <t>PLASTRON BAS</t>
        </is>
      </c>
      <c r="F9428" t="inlineStr">
        <is>
          <t>FILTRE</t>
        </is>
      </c>
      <c r="J9428" t="inlineStr">
        <is>
          <t>MATRION</t>
        </is>
      </c>
      <c r="K9428" t="inlineStr">
        <is>
          <t>METAL</t>
        </is>
      </c>
      <c r="L9428">
        <f>_xlfn.XLOOKUP(Tableau1[[#This Row],[TYPE DE PIECE]],Tableau4[MATIERE],Tableau4[SHORT TYPE],"",0,1)</f>
        <v/>
      </c>
      <c r="N9428">
        <f>IF(ISERR(FIND("DECOUPE",Tableau1[[#This Row],[DESIGNATION]])),"","NEED REF")</f>
        <v/>
      </c>
    </row>
    <row r="9429">
      <c r="B9429" t="n">
        <v>34404576</v>
      </c>
      <c r="C9429" s="2" t="n">
        <v>42179</v>
      </c>
      <c r="D9429" t="inlineStr">
        <is>
          <t>SPEC</t>
        </is>
      </c>
      <c r="E9429" t="inlineStr">
        <is>
          <t>PLASTRON HAUT</t>
        </is>
      </c>
      <c r="F9429" t="inlineStr">
        <is>
          <t>FILTRE</t>
        </is>
      </c>
      <c r="J9429" t="inlineStr">
        <is>
          <t>MATRION</t>
        </is>
      </c>
      <c r="K9429" t="inlineStr">
        <is>
          <t>METAL</t>
        </is>
      </c>
      <c r="L9429">
        <f>_xlfn.XLOOKUP(Tableau1[[#This Row],[TYPE DE PIECE]],Tableau4[MATIERE],Tableau4[SHORT TYPE],"",0,1)</f>
        <v/>
      </c>
      <c r="N9429">
        <f>IF(ISERR(FIND("DECOUPE",Tableau1[[#This Row],[DESIGNATION]])),"","NEED REF")</f>
        <v/>
      </c>
    </row>
    <row r="9430">
      <c r="B9430" t="n">
        <v>34404575</v>
      </c>
      <c r="C9430" s="2" t="n">
        <v>42179</v>
      </c>
      <c r="D9430" t="inlineStr">
        <is>
          <t>SPEC</t>
        </is>
      </c>
      <c r="E9430" t="inlineStr">
        <is>
          <t>CX INS630 2</t>
        </is>
      </c>
      <c r="F9430" t="inlineStr">
        <is>
          <t>FILTRE</t>
        </is>
      </c>
      <c r="J9430" t="inlineStr">
        <is>
          <t>MATRION</t>
        </is>
      </c>
      <c r="K9430" t="inlineStr">
        <is>
          <t>CUIVRE</t>
        </is>
      </c>
      <c r="L9430">
        <f>_xlfn.XLOOKUP(Tableau1[[#This Row],[TYPE DE PIECE]],Tableau4[MATIERE],Tableau4[SHORT TYPE],"",0,1)</f>
        <v/>
      </c>
      <c r="N9430">
        <f>IF(ISERR(FIND("DECOUPE",Tableau1[[#This Row],[DESIGNATION]])),"","NEED REF")</f>
        <v/>
      </c>
    </row>
    <row r="9431">
      <c r="B9431" t="n">
        <v>34404574</v>
      </c>
      <c r="C9431" s="2" t="n">
        <v>42179</v>
      </c>
      <c r="D9431" t="inlineStr">
        <is>
          <t>SPEC</t>
        </is>
      </c>
      <c r="E9431" t="inlineStr">
        <is>
          <t>CX INS630 1</t>
        </is>
      </c>
      <c r="F9431" t="inlineStr">
        <is>
          <t>FILTRE</t>
        </is>
      </c>
      <c r="J9431" t="inlineStr">
        <is>
          <t>MATRION</t>
        </is>
      </c>
      <c r="K9431" t="inlineStr">
        <is>
          <t>CUIVRE</t>
        </is>
      </c>
      <c r="L9431">
        <f>_xlfn.XLOOKUP(Tableau1[[#This Row],[TYPE DE PIECE]],Tableau4[MATIERE],Tableau4[SHORT TYPE],"",0,1)</f>
        <v/>
      </c>
      <c r="N9431">
        <f>IF(ISERR(FIND("DECOUPE",Tableau1[[#This Row],[DESIGNATION]])),"","NEED REF")</f>
        <v/>
      </c>
    </row>
    <row r="9432">
      <c r="B9432" t="n">
        <v>34404573</v>
      </c>
      <c r="C9432" s="2" t="n">
        <v>42179</v>
      </c>
      <c r="D9432" t="inlineStr">
        <is>
          <t>SPEC</t>
        </is>
      </c>
      <c r="E9432" t="inlineStr">
        <is>
          <t>TOIT VENTILLE</t>
        </is>
      </c>
      <c r="F9432" t="inlineStr">
        <is>
          <t>FILTRE</t>
        </is>
      </c>
      <c r="J9432" t="inlineStr">
        <is>
          <t>MATRION</t>
        </is>
      </c>
      <c r="K9432" t="inlineStr">
        <is>
          <t>METAL</t>
        </is>
      </c>
      <c r="L9432">
        <f>_xlfn.XLOOKUP(Tableau1[[#This Row],[TYPE DE PIECE]],Tableau4[MATIERE],Tableau4[SHORT TYPE],"",0,1)</f>
        <v/>
      </c>
      <c r="N9432">
        <f>IF(ISERR(FIND("DECOUPE",Tableau1[[#This Row],[DESIGNATION]])),"","NEED REF")</f>
        <v/>
      </c>
    </row>
    <row r="9433">
      <c r="B9433" t="n">
        <v>34404572</v>
      </c>
      <c r="C9433" s="2" t="n">
        <v>42179</v>
      </c>
      <c r="D9433" t="inlineStr">
        <is>
          <t>SPEC</t>
        </is>
      </c>
      <c r="E9433" t="inlineStr">
        <is>
          <t>PLASTON INS</t>
        </is>
      </c>
      <c r="F9433" t="inlineStr">
        <is>
          <t>FILTRE</t>
        </is>
      </c>
      <c r="J9433" t="inlineStr">
        <is>
          <t>MATRION</t>
        </is>
      </c>
      <c r="K9433" t="inlineStr">
        <is>
          <t>METAL</t>
        </is>
      </c>
      <c r="L9433">
        <f>_xlfn.XLOOKUP(Tableau1[[#This Row],[TYPE DE PIECE]],Tableau4[MATIERE],Tableau4[SHORT TYPE],"",0,1)</f>
        <v/>
      </c>
      <c r="N9433">
        <f>IF(ISERR(FIND("DECOUPE",Tableau1[[#This Row],[DESIGNATION]])),"","NEED REF")</f>
        <v/>
      </c>
    </row>
    <row r="9434">
      <c r="B9434" t="n">
        <v>34404571</v>
      </c>
      <c r="C9434" s="2" t="n">
        <v>42179</v>
      </c>
      <c r="D9434" t="inlineStr">
        <is>
          <t>SPEC</t>
        </is>
      </c>
      <c r="E9434" t="inlineStr">
        <is>
          <t>PLATINE INS</t>
        </is>
      </c>
      <c r="F9434" t="inlineStr">
        <is>
          <t>FILTRE</t>
        </is>
      </c>
      <c r="J9434" t="inlineStr">
        <is>
          <t>MATRION</t>
        </is>
      </c>
      <c r="K9434" t="inlineStr">
        <is>
          <t>METAL</t>
        </is>
      </c>
      <c r="L9434">
        <f>_xlfn.XLOOKUP(Tableau1[[#This Row],[TYPE DE PIECE]],Tableau4[MATIERE],Tableau4[SHORT TYPE],"",0,1)</f>
        <v/>
      </c>
      <c r="N9434">
        <f>IF(ISERR(FIND("DECOUPE",Tableau1[[#This Row],[DESIGNATION]])),"","NEED REF")</f>
        <v/>
      </c>
    </row>
    <row r="9435">
      <c r="B9435" t="n">
        <v>34404570</v>
      </c>
      <c r="C9435" s="2" t="n">
        <v>42179</v>
      </c>
      <c r="D9435" t="inlineStr">
        <is>
          <t>SPEC</t>
        </is>
      </c>
      <c r="E9435" t="inlineStr">
        <is>
          <t>PLATINE CONDO</t>
        </is>
      </c>
      <c r="F9435" t="inlineStr">
        <is>
          <t>FILTRE</t>
        </is>
      </c>
      <c r="J9435" t="inlineStr">
        <is>
          <t>MATRION</t>
        </is>
      </c>
      <c r="K9435" t="inlineStr">
        <is>
          <t>METAL</t>
        </is>
      </c>
      <c r="L9435">
        <f>_xlfn.XLOOKUP(Tableau1[[#This Row],[TYPE DE PIECE]],Tableau4[MATIERE],Tableau4[SHORT TYPE],"",0,1)</f>
        <v/>
      </c>
      <c r="N9435">
        <f>IF(ISERR(FIND("DECOUPE",Tableau1[[#This Row],[DESIGNATION]])),"","NEED REF")</f>
        <v/>
      </c>
    </row>
    <row r="9436">
      <c r="B9436" t="n">
        <v>34404569</v>
      </c>
      <c r="C9436" s="2" t="n">
        <v>42179</v>
      </c>
      <c r="D9436" t="inlineStr">
        <is>
          <t>SPEC</t>
        </is>
      </c>
      <c r="E9436" t="inlineStr">
        <is>
          <t>CROCHET SELF</t>
        </is>
      </c>
      <c r="F9436" t="inlineStr">
        <is>
          <t>FILTRE</t>
        </is>
      </c>
      <c r="J9436" t="inlineStr">
        <is>
          <t>MATRION</t>
        </is>
      </c>
      <c r="K9436" t="inlineStr">
        <is>
          <t>METAL</t>
        </is>
      </c>
      <c r="L9436">
        <f>_xlfn.XLOOKUP(Tableau1[[#This Row],[TYPE DE PIECE]],Tableau4[MATIERE],Tableau4[SHORT TYPE],"",0,1)</f>
        <v/>
      </c>
      <c r="N9436">
        <f>IF(ISERR(FIND("DECOUPE",Tableau1[[#This Row],[DESIGNATION]])),"","NEED REF")</f>
        <v/>
      </c>
    </row>
    <row r="9437">
      <c r="B9437" t="n">
        <v>34404568</v>
      </c>
      <c r="C9437" s="2" t="n">
        <v>42179</v>
      </c>
      <c r="D9437" t="inlineStr">
        <is>
          <t>SPEC</t>
        </is>
      </c>
      <c r="E9437" t="inlineStr">
        <is>
          <t>SUPPORT SELF</t>
        </is>
      </c>
      <c r="F9437" t="inlineStr">
        <is>
          <t>FILTRE</t>
        </is>
      </c>
      <c r="J9437" t="inlineStr">
        <is>
          <t>MATRION</t>
        </is>
      </c>
      <c r="K9437" t="inlineStr">
        <is>
          <t>METAL</t>
        </is>
      </c>
      <c r="L9437">
        <f>_xlfn.XLOOKUP(Tableau1[[#This Row],[TYPE DE PIECE]],Tableau4[MATIERE],Tableau4[SHORT TYPE],"",0,1)</f>
        <v/>
      </c>
      <c r="N9437">
        <f>IF(ISERR(FIND("DECOUPE",Tableau1[[#This Row],[DESIGNATION]])),"","NEED REF")</f>
        <v/>
      </c>
    </row>
    <row r="9438">
      <c r="B9438" t="n">
        <v>34404567</v>
      </c>
      <c r="C9438" s="2" t="n">
        <v>42179</v>
      </c>
      <c r="D9438" t="inlineStr">
        <is>
          <t>SPEC</t>
        </is>
      </c>
      <c r="E9438" t="inlineStr">
        <is>
          <t>CHASSIS SELF</t>
        </is>
      </c>
      <c r="F9438" t="inlineStr">
        <is>
          <t>FILTRE</t>
        </is>
      </c>
      <c r="J9438" t="inlineStr">
        <is>
          <t>MATRION</t>
        </is>
      </c>
      <c r="K9438" t="inlineStr">
        <is>
          <t>METAL</t>
        </is>
      </c>
      <c r="L9438">
        <f>_xlfn.XLOOKUP(Tableau1[[#This Row],[TYPE DE PIECE]],Tableau4[MATIERE],Tableau4[SHORT TYPE],"",0,1)</f>
        <v/>
      </c>
      <c r="N9438">
        <f>IF(ISERR(FIND("DECOUPE",Tableau1[[#This Row],[DESIGNATION]])),"","NEED REF")</f>
        <v/>
      </c>
    </row>
    <row r="9439">
      <c r="B9439" t="n">
        <v>34404566</v>
      </c>
      <c r="C9439" s="2" t="n">
        <v>42165</v>
      </c>
      <c r="D9439" t="inlineStr">
        <is>
          <t>SPEC</t>
        </is>
      </c>
      <c r="E9439" t="inlineStr">
        <is>
          <t>CX R2/UTIL L3</t>
        </is>
      </c>
      <c r="F9439" t="inlineStr">
        <is>
          <t>SBP VAHLAL</t>
        </is>
      </c>
      <c r="J9439" t="inlineStr">
        <is>
          <t>ROBERT</t>
        </is>
      </c>
      <c r="K9439" t="inlineStr">
        <is>
          <t>CUIVRE</t>
        </is>
      </c>
      <c r="L9439">
        <f>_xlfn.XLOOKUP(Tableau1[[#This Row],[TYPE DE PIECE]],Tableau4[MATIERE],Tableau4[SHORT TYPE],"",0,1)</f>
        <v/>
      </c>
      <c r="N9439">
        <f>IF(ISERR(FIND("DECOUPE",Tableau1[[#This Row],[DESIGNATION]])),"","NEED REF")</f>
        <v/>
      </c>
    </row>
    <row r="9440">
      <c r="B9440" t="n">
        <v>34404565</v>
      </c>
      <c r="C9440" s="2" t="n">
        <v>42165</v>
      </c>
      <c r="D9440" t="inlineStr">
        <is>
          <t>SPEC</t>
        </is>
      </c>
      <c r="E9440" t="inlineStr">
        <is>
          <t>CX R2/UTIL L2</t>
        </is>
      </c>
      <c r="F9440" t="inlineStr">
        <is>
          <t>SBP VAHLAL</t>
        </is>
      </c>
      <c r="J9440" t="inlineStr">
        <is>
          <t>ROBERT</t>
        </is>
      </c>
      <c r="K9440" t="inlineStr">
        <is>
          <t>CUIVRE</t>
        </is>
      </c>
      <c r="L9440">
        <f>_xlfn.XLOOKUP(Tableau1[[#This Row],[TYPE DE PIECE]],Tableau4[MATIERE],Tableau4[SHORT TYPE],"",0,1)</f>
        <v/>
      </c>
      <c r="N9440">
        <f>IF(ISERR(FIND("DECOUPE",Tableau1[[#This Row],[DESIGNATION]])),"","NEED REF")</f>
        <v/>
      </c>
    </row>
    <row r="9441">
      <c r="B9441" t="n">
        <v>34404564</v>
      </c>
      <c r="C9441" s="2" t="n">
        <v>42165</v>
      </c>
      <c r="D9441" t="inlineStr">
        <is>
          <t>SPEC</t>
        </is>
      </c>
      <c r="E9441" t="inlineStr">
        <is>
          <t>CX R2/UTIL L1</t>
        </is>
      </c>
      <c r="F9441" t="inlineStr">
        <is>
          <t>SBP VAHLAL</t>
        </is>
      </c>
      <c r="J9441" t="inlineStr">
        <is>
          <t>ROBERT</t>
        </is>
      </c>
      <c r="K9441" t="inlineStr">
        <is>
          <t>CUIVRE</t>
        </is>
      </c>
      <c r="L9441">
        <f>_xlfn.XLOOKUP(Tableau1[[#This Row],[TYPE DE PIECE]],Tableau4[MATIERE],Tableau4[SHORT TYPE],"",0,1)</f>
        <v/>
      </c>
      <c r="N9441">
        <f>IF(ISERR(FIND("DECOUPE",Tableau1[[#This Row],[DESIGNATION]])),"","NEED REF")</f>
        <v/>
      </c>
    </row>
    <row r="9442">
      <c r="B9442" t="n">
        <v>34404563</v>
      </c>
      <c r="C9442" s="2" t="n">
        <v>42165</v>
      </c>
      <c r="D9442" t="inlineStr">
        <is>
          <t>SPEC</t>
        </is>
      </c>
      <c r="E9442" t="inlineStr">
        <is>
          <t>CX R2/UTIL NEUTRE</t>
        </is>
      </c>
      <c r="F9442" t="inlineStr">
        <is>
          <t>SBP VAHLAL</t>
        </is>
      </c>
      <c r="J9442" t="inlineStr">
        <is>
          <t>ROBERT</t>
        </is>
      </c>
      <c r="K9442" t="inlineStr">
        <is>
          <t>CUIVRE</t>
        </is>
      </c>
      <c r="L9442">
        <f>_xlfn.XLOOKUP(Tableau1[[#This Row],[TYPE DE PIECE]],Tableau4[MATIERE],Tableau4[SHORT TYPE],"",0,1)</f>
        <v/>
      </c>
      <c r="N9442">
        <f>IF(ISERR(FIND("DECOUPE",Tableau1[[#This Row],[DESIGNATION]])),"","NEED REF")</f>
        <v/>
      </c>
    </row>
    <row r="9443">
      <c r="B9443" t="n">
        <v>34404562</v>
      </c>
      <c r="C9443" s="2" t="n">
        <v>42151</v>
      </c>
      <c r="D9443" t="inlineStr">
        <is>
          <t>NOM</t>
        </is>
      </c>
      <c r="E9443" t="inlineStr">
        <is>
          <t>KIT DIJ BATT SYMETRA 96-160kW</t>
        </is>
      </c>
      <c r="F9443" t="inlineStr">
        <is>
          <t>PX 96-160Kva</t>
        </is>
      </c>
      <c r="J9443" t="inlineStr">
        <is>
          <t>ROBERT</t>
        </is>
      </c>
      <c r="L9443">
        <f>_xlfn.XLOOKUP(Tableau1[[#This Row],[TYPE DE PIECE]],Tableau4[MATIERE],Tableau4[SHORT TYPE],"",0,1)</f>
        <v/>
      </c>
      <c r="N9443">
        <f>IF(ISERR(FIND("DECOUPE",Tableau1[[#This Row],[DESIGNATION]])),"","NEED REF")</f>
        <v/>
      </c>
    </row>
    <row r="9444">
      <c r="B9444" t="n">
        <v>34404561</v>
      </c>
      <c r="C9444" s="2" t="n">
        <v>42144</v>
      </c>
      <c r="D9444" t="inlineStr">
        <is>
          <t>SPEC</t>
        </is>
      </c>
      <c r="E9444" t="inlineStr">
        <is>
          <t>LIGHTNING/SURGE ARRESTER TYPE 1/2</t>
        </is>
      </c>
      <c r="F9444" t="inlineStr">
        <is>
          <t>pour Emmanuel</t>
        </is>
      </c>
      <c r="J9444" t="inlineStr">
        <is>
          <t>PLANTIER</t>
        </is>
      </c>
      <c r="L9444">
        <f>_xlfn.XLOOKUP(Tableau1[[#This Row],[TYPE DE PIECE]],Tableau4[MATIERE],Tableau4[SHORT TYPE],"",0,1)</f>
        <v/>
      </c>
      <c r="N9444">
        <f>IF(ISERR(FIND("DECOUPE",Tableau1[[#This Row],[DESIGNATION]])),"","NEED REF")</f>
        <v/>
      </c>
    </row>
    <row r="9445">
      <c r="B9445" t="n">
        <v>34404560</v>
      </c>
      <c r="C9445" s="2" t="n">
        <v>42136</v>
      </c>
      <c r="D9445" t="inlineStr">
        <is>
          <t>SPEC</t>
        </is>
      </c>
      <c r="E9445" t="inlineStr">
        <is>
          <t>TOLE DE PORTE IP32</t>
        </is>
      </c>
      <c r="F9445" t="inlineStr">
        <is>
          <t>STS1200A</t>
        </is>
      </c>
      <c r="J9445" t="inlineStr">
        <is>
          <t>MATRION</t>
        </is>
      </c>
      <c r="K9445" t="inlineStr">
        <is>
          <t>METAL</t>
        </is>
      </c>
      <c r="L9445">
        <f>_xlfn.XLOOKUP(Tableau1[[#This Row],[TYPE DE PIECE]],Tableau4[MATIERE],Tableau4[SHORT TYPE],"",0,1)</f>
        <v/>
      </c>
      <c r="N9445">
        <f>IF(ISERR(FIND("DECOUPE",Tableau1[[#This Row],[DESIGNATION]])),"","NEED REF")</f>
        <v/>
      </c>
    </row>
    <row r="9446">
      <c r="B9446" t="n">
        <v>34404559</v>
      </c>
      <c r="C9446" s="2" t="n">
        <v>42136</v>
      </c>
      <c r="D9446" t="inlineStr">
        <is>
          <t>SPEC</t>
        </is>
      </c>
      <c r="E9446" t="inlineStr">
        <is>
          <t>TOIT 1000 IP32</t>
        </is>
      </c>
      <c r="F9446" t="inlineStr">
        <is>
          <t>STS1200A</t>
        </is>
      </c>
      <c r="J9446" t="inlineStr">
        <is>
          <t>MATRION</t>
        </is>
      </c>
      <c r="K9446" t="inlineStr">
        <is>
          <t>METAL</t>
        </is>
      </c>
      <c r="L9446">
        <f>_xlfn.XLOOKUP(Tableau1[[#This Row],[TYPE DE PIECE]],Tableau4[MATIERE],Tableau4[SHORT TYPE],"",0,1)</f>
        <v/>
      </c>
      <c r="N9446">
        <f>IF(ISERR(FIND("DECOUPE",Tableau1[[#This Row],[DESIGNATION]])),"","NEED REF")</f>
        <v/>
      </c>
    </row>
    <row r="9447">
      <c r="B9447" t="n">
        <v>34404558</v>
      </c>
      <c r="C9447" s="2" t="n">
        <v>42136</v>
      </c>
      <c r="D9447" t="inlineStr">
        <is>
          <t>SPEC</t>
        </is>
      </c>
      <c r="E9447" t="inlineStr">
        <is>
          <t>TOIT 400 IP32</t>
        </is>
      </c>
      <c r="F9447" t="inlineStr">
        <is>
          <t>STS1200A</t>
        </is>
      </c>
      <c r="J9447" t="inlineStr">
        <is>
          <t>MATRION</t>
        </is>
      </c>
      <c r="K9447" t="inlineStr">
        <is>
          <t>METAL</t>
        </is>
      </c>
      <c r="L9447">
        <f>_xlfn.XLOOKUP(Tableau1[[#This Row],[TYPE DE PIECE]],Tableau4[MATIERE],Tableau4[SHORT TYPE],"",0,1)</f>
        <v/>
      </c>
      <c r="N9447">
        <f>IF(ISERR(FIND("DECOUPE",Tableau1[[#This Row],[DESIGNATION]])),"","NEED REF")</f>
        <v/>
      </c>
    </row>
    <row r="9448">
      <c r="B9448" t="n">
        <v>34404557</v>
      </c>
      <c r="C9448" s="2" t="n">
        <v>42081</v>
      </c>
      <c r="D9448" t="inlineStr">
        <is>
          <t>SPEC</t>
        </is>
      </c>
      <c r="E9448" t="inlineStr">
        <is>
          <t>TORON CS-DROE PHASE1/2/3 - STS2000A</t>
        </is>
      </c>
      <c r="F9448" t="inlineStr">
        <is>
          <t>STS2000A</t>
        </is>
      </c>
      <c r="J9448" t="inlineStr">
        <is>
          <t>MATRION</t>
        </is>
      </c>
      <c r="K9448" t="inlineStr">
        <is>
          <t>FILERIE</t>
        </is>
      </c>
      <c r="L9448">
        <f>_xlfn.XLOOKUP(Tableau1[[#This Row],[TYPE DE PIECE]],Tableau4[MATIERE],Tableau4[SHORT TYPE],"",0,1)</f>
        <v/>
      </c>
      <c r="N9448">
        <f>IF(ISERR(FIND("DECOUPE",Tableau1[[#This Row],[DESIGNATION]])),"","NEED REF")</f>
        <v/>
      </c>
    </row>
    <row r="9449">
      <c r="B9449" t="n">
        <v>34404556</v>
      </c>
      <c r="C9449" s="2" t="n">
        <v>42081</v>
      </c>
      <c r="D9449" t="inlineStr">
        <is>
          <t>SPEC</t>
        </is>
      </c>
      <c r="E9449" t="inlineStr">
        <is>
          <t>CORNIERE DE LEVAGE</t>
        </is>
      </c>
      <c r="F9449" t="inlineStr">
        <is>
          <t>STS2000A</t>
        </is>
      </c>
      <c r="J9449" t="inlineStr">
        <is>
          <t>MATRION</t>
        </is>
      </c>
      <c r="K9449" t="inlineStr">
        <is>
          <t>METAL</t>
        </is>
      </c>
      <c r="L9449">
        <f>_xlfn.XLOOKUP(Tableau1[[#This Row],[TYPE DE PIECE]],Tableau4[MATIERE],Tableau4[SHORT TYPE],"",0,1)</f>
        <v/>
      </c>
      <c r="N9449">
        <f>IF(ISERR(FIND("DECOUPE",Tableau1[[#This Row],[DESIGNATION]])),"","NEED REF")</f>
        <v/>
      </c>
    </row>
    <row r="9450">
      <c r="B9450" t="n">
        <v>34404555</v>
      </c>
      <c r="C9450" s="2" t="n">
        <v>42109</v>
      </c>
      <c r="D9450" t="inlineStr">
        <is>
          <t>SPEC</t>
        </is>
      </c>
      <c r="E9450" t="inlineStr">
        <is>
          <t>SKID 1525x1020x160</t>
        </is>
      </c>
      <c r="F9450" t="inlineStr">
        <is>
          <t>SAREL 1800X100X600</t>
        </is>
      </c>
      <c r="J9450" t="inlineStr">
        <is>
          <t>ROBERT</t>
        </is>
      </c>
      <c r="K9450" t="inlineStr">
        <is>
          <t>METAL</t>
        </is>
      </c>
      <c r="L9450">
        <f>_xlfn.XLOOKUP(Tableau1[[#This Row],[TYPE DE PIECE]],Tableau4[MATIERE],Tableau4[SHORT TYPE],"",0,1)</f>
        <v/>
      </c>
      <c r="N9450">
        <f>IF(ISERR(FIND("DECOUPE",Tableau1[[#This Row],[DESIGNATION]])),"","NEED REF")</f>
        <v/>
      </c>
    </row>
    <row r="9451">
      <c r="B9451" t="n">
        <v>34404554</v>
      </c>
      <c r="C9451" s="2" t="n">
        <v>42109</v>
      </c>
      <c r="D9451" t="inlineStr">
        <is>
          <t>SPEC</t>
        </is>
      </c>
      <c r="E9451" t="inlineStr">
        <is>
          <t>TRAVERSE SUPPORT TFO</t>
        </is>
      </c>
      <c r="F9451" t="inlineStr">
        <is>
          <t>SAREL 1800X100X600</t>
        </is>
      </c>
      <c r="J9451" t="inlineStr">
        <is>
          <t>ROBERT</t>
        </is>
      </c>
      <c r="K9451" t="inlineStr">
        <is>
          <t>METAL</t>
        </is>
      </c>
      <c r="L9451">
        <f>_xlfn.XLOOKUP(Tableau1[[#This Row],[TYPE DE PIECE]],Tableau4[MATIERE],Tableau4[SHORT TYPE],"",0,1)</f>
        <v/>
      </c>
      <c r="N9451">
        <f>IF(ISERR(FIND("DECOUPE",Tableau1[[#This Row],[DESIGNATION]])),"","NEED REF")</f>
        <v/>
      </c>
    </row>
    <row r="9452">
      <c r="B9452" t="n">
        <v>34404553</v>
      </c>
      <c r="C9452" s="2" t="n">
        <v>42109</v>
      </c>
      <c r="D9452" t="inlineStr">
        <is>
          <t>SPEC</t>
        </is>
      </c>
      <c r="E9452" t="inlineStr">
        <is>
          <t xml:space="preserve">TRAVERSE PROFONDEUR </t>
        </is>
      </c>
      <c r="F9452" t="inlineStr">
        <is>
          <t>SAREL 1800X100X600</t>
        </is>
      </c>
      <c r="J9452" t="inlineStr">
        <is>
          <t>ROBERT</t>
        </is>
      </c>
      <c r="K9452" t="inlineStr">
        <is>
          <t>METAL</t>
        </is>
      </c>
      <c r="L9452">
        <f>_xlfn.XLOOKUP(Tableau1[[#This Row],[TYPE DE PIECE]],Tableau4[MATIERE],Tableau4[SHORT TYPE],"",0,1)</f>
        <v/>
      </c>
      <c r="N9452">
        <f>IF(ISERR(FIND("DECOUPE",Tableau1[[#This Row],[DESIGNATION]])),"","NEED REF")</f>
        <v/>
      </c>
    </row>
    <row r="9453">
      <c r="B9453" t="n">
        <v>34404552</v>
      </c>
      <c r="C9453" s="2" t="n">
        <v>42108</v>
      </c>
      <c r="D9453" t="inlineStr">
        <is>
          <t>SPEC</t>
        </is>
      </c>
      <c r="E9453" t="inlineStr">
        <is>
          <t>PLASTIC PC CB COVER M-STAR</t>
        </is>
      </c>
      <c r="F9453" t="inlineStr">
        <is>
          <t>G300 AES 3.3 30Kva</t>
        </is>
      </c>
      <c r="J9453" t="inlineStr">
        <is>
          <t>MONGELLI</t>
        </is>
      </c>
      <c r="K9453" t="inlineStr">
        <is>
          <t>PLASTIQUE</t>
        </is>
      </c>
      <c r="L9453">
        <f>_xlfn.XLOOKUP(Tableau1[[#This Row],[TYPE DE PIECE]],Tableau4[MATIERE],Tableau4[SHORT TYPE],"",0,1)</f>
        <v/>
      </c>
      <c r="N9453">
        <f>IF(ISERR(FIND("DECOUPE",Tableau1[[#This Row],[DESIGNATION]])),"","NEED REF")</f>
        <v/>
      </c>
    </row>
    <row r="9454">
      <c r="B9454" t="n">
        <v>34404551</v>
      </c>
      <c r="C9454" s="2" t="n">
        <v>42081</v>
      </c>
      <c r="D9454" t="inlineStr">
        <is>
          <t>SPEC</t>
        </is>
      </c>
      <c r="E9454" t="inlineStr">
        <is>
          <t>SUPPORT CARTES DROE</t>
        </is>
      </c>
      <c r="F9454" t="inlineStr">
        <is>
          <t>STS2000A</t>
        </is>
      </c>
      <c r="J9454" t="inlineStr">
        <is>
          <t>MATRION</t>
        </is>
      </c>
      <c r="K9454" t="inlineStr">
        <is>
          <t>METAL</t>
        </is>
      </c>
      <c r="L9454">
        <f>_xlfn.XLOOKUP(Tableau1[[#This Row],[TYPE DE PIECE]],Tableau4[MATIERE],Tableau4[SHORT TYPE],"",0,1)</f>
        <v/>
      </c>
      <c r="N9454">
        <f>IF(ISERR(FIND("DECOUPE",Tableau1[[#This Row],[DESIGNATION]])),"","NEED REF")</f>
        <v/>
      </c>
    </row>
    <row r="9455">
      <c r="B9455" t="n">
        <v>34404550</v>
      </c>
      <c r="C9455" s="2" t="n">
        <v>42081</v>
      </c>
      <c r="D9455" t="inlineStr">
        <is>
          <t>SPEC</t>
        </is>
      </c>
      <c r="E9455" t="inlineStr">
        <is>
          <t>SUPPORT REGLABLE DOUBLE PLIE</t>
        </is>
      </c>
      <c r="F9455" t="inlineStr">
        <is>
          <t>SAREL</t>
        </is>
      </c>
      <c r="J9455" t="inlineStr">
        <is>
          <t>MATRION</t>
        </is>
      </c>
      <c r="K9455" t="inlineStr">
        <is>
          <t>METAL</t>
        </is>
      </c>
      <c r="L9455">
        <f>_xlfn.XLOOKUP(Tableau1[[#This Row],[TYPE DE PIECE]],Tableau4[MATIERE],Tableau4[SHORT TYPE],"",0,1)</f>
        <v/>
      </c>
      <c r="N9455">
        <f>IF(ISERR(FIND("DECOUPE",Tableau1[[#This Row],[DESIGNATION]])),"","NEED REF")</f>
        <v/>
      </c>
    </row>
    <row r="9456">
      <c r="B9456" t="n">
        <v>34404549</v>
      </c>
      <c r="C9456" s="2" t="n">
        <v>42081</v>
      </c>
      <c r="D9456" t="inlineStr">
        <is>
          <t>SPEC</t>
        </is>
      </c>
      <c r="E9456" t="inlineStr">
        <is>
          <t>SUPPORT MASTERPACT DROITE 600</t>
        </is>
      </c>
      <c r="F9456" t="inlineStr">
        <is>
          <t>STS2000A</t>
        </is>
      </c>
      <c r="J9456" t="inlineStr">
        <is>
          <t>MATRION</t>
        </is>
      </c>
      <c r="K9456" t="inlineStr">
        <is>
          <t>METAL</t>
        </is>
      </c>
      <c r="L9456">
        <f>_xlfn.XLOOKUP(Tableau1[[#This Row],[TYPE DE PIECE]],Tableau4[MATIERE],Tableau4[SHORT TYPE],"",0,1)</f>
        <v/>
      </c>
      <c r="N9456">
        <f>IF(ISERR(FIND("DECOUPE",Tableau1[[#This Row],[DESIGNATION]])),"","NEED REF")</f>
        <v/>
      </c>
    </row>
    <row r="9457">
      <c r="B9457" t="n">
        <v>34404548</v>
      </c>
      <c r="C9457" s="2" t="n">
        <v>42081</v>
      </c>
      <c r="D9457" t="inlineStr">
        <is>
          <t>SPEC</t>
        </is>
      </c>
      <c r="E9457" t="inlineStr">
        <is>
          <t>SUPPORT MASTERPACT GAUCHE 600</t>
        </is>
      </c>
      <c r="F9457" t="inlineStr">
        <is>
          <t>STS2000A</t>
        </is>
      </c>
      <c r="J9457" t="inlineStr">
        <is>
          <t>MATRION</t>
        </is>
      </c>
      <c r="K9457" t="inlineStr">
        <is>
          <t>METAL</t>
        </is>
      </c>
      <c r="L9457">
        <f>_xlfn.XLOOKUP(Tableau1[[#This Row],[TYPE DE PIECE]],Tableau4[MATIERE],Tableau4[SHORT TYPE],"",0,1)</f>
        <v/>
      </c>
      <c r="N9457">
        <f>IF(ISERR(FIND("DECOUPE",Tableau1[[#This Row],[DESIGNATION]])),"","NEED REF")</f>
        <v/>
      </c>
    </row>
    <row r="9458">
      <c r="B9458" t="n">
        <v>34404547</v>
      </c>
      <c r="C9458" s="2" t="n">
        <v>42109</v>
      </c>
      <c r="D9458" t="inlineStr">
        <is>
          <t>SPEC</t>
        </is>
      </c>
      <c r="E9458" t="inlineStr">
        <is>
          <t>PLASTRON PLEIN</t>
        </is>
      </c>
      <c r="F9458" t="inlineStr">
        <is>
          <t>SAREL 1800X100X600</t>
        </is>
      </c>
      <c r="J9458" t="inlineStr">
        <is>
          <t>ROBERT</t>
        </is>
      </c>
      <c r="K9458" t="inlineStr">
        <is>
          <t>METAL</t>
        </is>
      </c>
      <c r="L9458">
        <f>_xlfn.XLOOKUP(Tableau1[[#This Row],[TYPE DE PIECE]],Tableau4[MATIERE],Tableau4[SHORT TYPE],"",0,1)</f>
        <v/>
      </c>
      <c r="N9458">
        <f>IF(ISERR(FIND("DECOUPE",Tableau1[[#This Row],[DESIGNATION]])),"","NEED REF")</f>
        <v/>
      </c>
    </row>
    <row r="9459">
      <c r="B9459" t="n">
        <v>34404546</v>
      </c>
      <c r="C9459" s="2" t="n">
        <v>42109</v>
      </c>
      <c r="D9459" t="inlineStr">
        <is>
          <t>SPEC</t>
        </is>
      </c>
      <c r="E9459" t="inlineStr">
        <is>
          <t>PLASTRON DECOUPE 3xNSX160F</t>
        </is>
      </c>
      <c r="F9459" t="inlineStr">
        <is>
          <t>SAREL 1800X100X600</t>
        </is>
      </c>
      <c r="J9459" t="inlineStr">
        <is>
          <t>ROBERT</t>
        </is>
      </c>
      <c r="K9459" t="inlineStr">
        <is>
          <t>METAL</t>
        </is>
      </c>
      <c r="L9459">
        <f>_xlfn.XLOOKUP(Tableau1[[#This Row],[TYPE DE PIECE]],Tableau4[MATIERE],Tableau4[SHORT TYPE],"",0,1)</f>
        <v/>
      </c>
      <c r="N9459">
        <f>IF(ISERR(FIND("DECOUPE",Tableau1[[#This Row],[DESIGNATION]])),"","NEED REF")</f>
        <v/>
      </c>
    </row>
    <row r="9460">
      <c r="B9460" t="n">
        <v>34404545</v>
      </c>
      <c r="C9460" s="2" t="n">
        <v>42109</v>
      </c>
      <c r="D9460" t="inlineStr">
        <is>
          <t>SPEC</t>
        </is>
      </c>
      <c r="E9460" t="inlineStr">
        <is>
          <t>PLASTRON GRILLAGE 100X800</t>
        </is>
      </c>
      <c r="F9460" t="inlineStr">
        <is>
          <t>SAREL 1800X100X600</t>
        </is>
      </c>
      <c r="J9460" t="inlineStr">
        <is>
          <t>ROBERT</t>
        </is>
      </c>
      <c r="K9460" t="inlineStr">
        <is>
          <t>METAL</t>
        </is>
      </c>
      <c r="L9460">
        <f>_xlfn.XLOOKUP(Tableau1[[#This Row],[TYPE DE PIECE]],Tableau4[MATIERE],Tableau4[SHORT TYPE],"",0,1)</f>
        <v/>
      </c>
      <c r="N9460">
        <f>IF(ISERR(FIND("DECOUPE",Tableau1[[#This Row],[DESIGNATION]])),"","NEED REF")</f>
        <v/>
      </c>
    </row>
    <row r="9461">
      <c r="B9461" t="n">
        <v>34404544</v>
      </c>
      <c r="C9461" s="2" t="n">
        <v>42081</v>
      </c>
      <c r="D9461" t="inlineStr">
        <is>
          <t>SPEC</t>
        </is>
      </c>
      <c r="E9461" t="inlineStr">
        <is>
          <t>SUPPORT ERICO JDB 6</t>
        </is>
      </c>
      <c r="F9461" t="inlineStr">
        <is>
          <t>STS2000A</t>
        </is>
      </c>
      <c r="J9461" t="inlineStr">
        <is>
          <t>MATRION</t>
        </is>
      </c>
      <c r="K9461" t="inlineStr">
        <is>
          <t>METAL</t>
        </is>
      </c>
      <c r="L9461">
        <f>_xlfn.XLOOKUP(Tableau1[[#This Row],[TYPE DE PIECE]],Tableau4[MATIERE],Tableau4[SHORT TYPE],"",0,1)</f>
        <v/>
      </c>
      <c r="N9461">
        <f>IF(ISERR(FIND("DECOUPE",Tableau1[[#This Row],[DESIGNATION]])),"","NEED REF")</f>
        <v/>
      </c>
    </row>
    <row r="9462">
      <c r="B9462" t="n">
        <v>34404543</v>
      </c>
      <c r="C9462" s="2" t="n">
        <v>42081</v>
      </c>
      <c r="D9462" t="inlineStr">
        <is>
          <t>SPEC</t>
        </is>
      </c>
      <c r="E9462" t="inlineStr">
        <is>
          <t>SUPPORT ERICO JDB 5</t>
        </is>
      </c>
      <c r="F9462" t="inlineStr">
        <is>
          <t>STS2000A</t>
        </is>
      </c>
      <c r="J9462" t="inlineStr">
        <is>
          <t>MATRION</t>
        </is>
      </c>
      <c r="K9462" t="inlineStr">
        <is>
          <t>METAL</t>
        </is>
      </c>
      <c r="L9462">
        <f>_xlfn.XLOOKUP(Tableau1[[#This Row],[TYPE DE PIECE]],Tableau4[MATIERE],Tableau4[SHORT TYPE],"",0,1)</f>
        <v/>
      </c>
      <c r="N9462">
        <f>IF(ISERR(FIND("DECOUPE",Tableau1[[#This Row],[DESIGNATION]])),"","NEED REF")</f>
        <v/>
      </c>
    </row>
    <row r="9463">
      <c r="B9463" t="n">
        <v>34404542</v>
      </c>
      <c r="C9463" s="2" t="n">
        <v>42081</v>
      </c>
      <c r="D9463" t="inlineStr">
        <is>
          <t>SPEC</t>
        </is>
      </c>
      <c r="E9463" t="inlineStr">
        <is>
          <t>ECLISSAGE</t>
        </is>
      </c>
      <c r="F9463" t="inlineStr">
        <is>
          <t>STS2000A</t>
        </is>
      </c>
      <c r="J9463" t="inlineStr">
        <is>
          <t>MATRION</t>
        </is>
      </c>
      <c r="K9463" t="inlineStr">
        <is>
          <t>CUIVRE</t>
        </is>
      </c>
      <c r="L9463">
        <f>_xlfn.XLOOKUP(Tableau1[[#This Row],[TYPE DE PIECE]],Tableau4[MATIERE],Tableau4[SHORT TYPE],"",0,1)</f>
        <v/>
      </c>
      <c r="N9463">
        <f>IF(ISERR(FIND("DECOUPE",Tableau1[[#This Row],[DESIGNATION]])),"","NEED REF")</f>
        <v/>
      </c>
    </row>
    <row r="9464">
      <c r="B9464" t="n">
        <v>34404541</v>
      </c>
      <c r="C9464" s="2" t="n">
        <v>42104</v>
      </c>
      <c r="D9464" t="inlineStr">
        <is>
          <t>NOM</t>
        </is>
      </c>
      <c r="E9464" t="inlineStr">
        <is>
          <t>PV BOX REXEL 600x600</t>
        </is>
      </c>
      <c r="L9464">
        <f>_xlfn.XLOOKUP(Tableau1[[#This Row],[TYPE DE PIECE]],Tableau4[MATIERE],Tableau4[SHORT TYPE],"",0,1)</f>
        <v/>
      </c>
      <c r="N9464">
        <f>IF(ISERR(FIND("DECOUPE",Tableau1[[#This Row],[DESIGNATION]])),"","NEED REF")</f>
        <v/>
      </c>
    </row>
    <row r="9465">
      <c r="B9465" t="n">
        <v>34404540</v>
      </c>
      <c r="C9465" s="2" t="n">
        <v>42081</v>
      </c>
      <c r="D9465" t="inlineStr">
        <is>
          <t>SPEC</t>
        </is>
      </c>
      <c r="E9465" t="inlineStr">
        <is>
          <t>SUPPORT ERICO JDB 4</t>
        </is>
      </c>
      <c r="F9465" t="inlineStr">
        <is>
          <t>STS2000A</t>
        </is>
      </c>
      <c r="J9465" t="inlineStr">
        <is>
          <t>MATRION</t>
        </is>
      </c>
      <c r="K9465" t="inlineStr">
        <is>
          <t>METAL</t>
        </is>
      </c>
      <c r="L9465">
        <f>_xlfn.XLOOKUP(Tableau1[[#This Row],[TYPE DE PIECE]],Tableau4[MATIERE],Tableau4[SHORT TYPE],"",0,1)</f>
        <v/>
      </c>
      <c r="N9465">
        <f>IF(ISERR(FIND("DECOUPE",Tableau1[[#This Row],[DESIGNATION]])),"","NEED REF")</f>
        <v/>
      </c>
    </row>
    <row r="9466">
      <c r="B9466" t="n">
        <v>34404539</v>
      </c>
      <c r="C9466" s="2" t="n">
        <v>42081</v>
      </c>
      <c r="D9466" t="inlineStr">
        <is>
          <t>SPEC</t>
        </is>
      </c>
      <c r="E9466" t="inlineStr">
        <is>
          <t>SUPPORT ERICO JDB 3</t>
        </is>
      </c>
      <c r="F9466" t="inlineStr">
        <is>
          <t>STS2000A</t>
        </is>
      </c>
      <c r="J9466" t="inlineStr">
        <is>
          <t>MATRION</t>
        </is>
      </c>
      <c r="K9466" t="inlineStr">
        <is>
          <t>METAL</t>
        </is>
      </c>
      <c r="L9466">
        <f>_xlfn.XLOOKUP(Tableau1[[#This Row],[TYPE DE PIECE]],Tableau4[MATIERE],Tableau4[SHORT TYPE],"",0,1)</f>
        <v/>
      </c>
      <c r="N9466">
        <f>IF(ISERR(FIND("DECOUPE",Tableau1[[#This Row],[DESIGNATION]])),"","NEED REF")</f>
        <v/>
      </c>
    </row>
    <row r="9467">
      <c r="B9467" t="n">
        <v>34404538</v>
      </c>
      <c r="C9467" s="2" t="n">
        <v>42081</v>
      </c>
      <c r="D9467" t="inlineStr">
        <is>
          <t>SPEC</t>
        </is>
      </c>
      <c r="E9467" t="inlineStr">
        <is>
          <t>JDB HORIZONTAL HAUT CS</t>
        </is>
      </c>
      <c r="F9467" t="inlineStr">
        <is>
          <t>STS2000A</t>
        </is>
      </c>
      <c r="J9467" t="inlineStr">
        <is>
          <t>MATRION</t>
        </is>
      </c>
      <c r="K9467" t="inlineStr">
        <is>
          <t>CUIVRE</t>
        </is>
      </c>
      <c r="L9467">
        <f>_xlfn.XLOOKUP(Tableau1[[#This Row],[TYPE DE PIECE]],Tableau4[MATIERE],Tableau4[SHORT TYPE],"",0,1)</f>
        <v/>
      </c>
      <c r="N9467">
        <f>IF(ISERR(FIND("DECOUPE",Tableau1[[#This Row],[DESIGNATION]])),"","NEED REF")</f>
        <v/>
      </c>
    </row>
    <row r="9468">
      <c r="B9468" t="n">
        <v>34404537</v>
      </c>
      <c r="C9468" s="2" t="n">
        <v>42081</v>
      </c>
      <c r="D9468" t="inlineStr">
        <is>
          <t>SPEC</t>
        </is>
      </c>
      <c r="E9468" t="inlineStr">
        <is>
          <t>PLATINE PROTECTION ET ALIMENTATION</t>
        </is>
      </c>
      <c r="F9468" t="inlineStr">
        <is>
          <t>STS2000A</t>
        </is>
      </c>
      <c r="J9468" t="inlineStr">
        <is>
          <t>MATRION</t>
        </is>
      </c>
      <c r="K9468" t="inlineStr">
        <is>
          <t>METAL</t>
        </is>
      </c>
      <c r="L9468">
        <f>_xlfn.XLOOKUP(Tableau1[[#This Row],[TYPE DE PIECE]],Tableau4[MATIERE],Tableau4[SHORT TYPE],"",0,1)</f>
        <v/>
      </c>
      <c r="N9468">
        <f>IF(ISERR(FIND("DECOUPE",Tableau1[[#This Row],[DESIGNATION]])),"","NEED REF")</f>
        <v/>
      </c>
    </row>
    <row r="9469">
      <c r="B9469" t="n">
        <v>34404536</v>
      </c>
      <c r="C9469" s="2" t="n">
        <v>42081</v>
      </c>
      <c r="D9469" t="inlineStr">
        <is>
          <t>SPEC</t>
        </is>
      </c>
      <c r="E9469" t="inlineStr">
        <is>
          <t>SUPPORT PLATINE ELEC</t>
        </is>
      </c>
      <c r="F9469" t="inlineStr">
        <is>
          <t>STS2000A</t>
        </is>
      </c>
      <c r="J9469" t="inlineStr">
        <is>
          <t>MATRION</t>
        </is>
      </c>
      <c r="K9469" t="inlineStr">
        <is>
          <t>METAL</t>
        </is>
      </c>
      <c r="L9469">
        <f>_xlfn.XLOOKUP(Tableau1[[#This Row],[TYPE DE PIECE]],Tableau4[MATIERE],Tableau4[SHORT TYPE],"",0,1)</f>
        <v/>
      </c>
      <c r="N9469">
        <f>IF(ISERR(FIND("DECOUPE",Tableau1[[#This Row],[DESIGNATION]])),"","NEED REF")</f>
        <v/>
      </c>
    </row>
    <row r="9470">
      <c r="B9470" t="n">
        <v>34404535</v>
      </c>
      <c r="C9470" s="2" t="n">
        <v>42081</v>
      </c>
      <c r="D9470" t="inlineStr">
        <is>
          <t>SPEC</t>
        </is>
      </c>
      <c r="E9470" t="inlineStr">
        <is>
          <t>SEGREGATION 5</t>
        </is>
      </c>
      <c r="F9470" t="inlineStr">
        <is>
          <t>STS2000A</t>
        </is>
      </c>
      <c r="J9470" t="inlineStr">
        <is>
          <t>MATRION</t>
        </is>
      </c>
      <c r="K9470" t="inlineStr">
        <is>
          <t>METAL</t>
        </is>
      </c>
      <c r="L9470">
        <f>_xlfn.XLOOKUP(Tableau1[[#This Row],[TYPE DE PIECE]],Tableau4[MATIERE],Tableau4[SHORT TYPE],"",0,1)</f>
        <v/>
      </c>
      <c r="N9470">
        <f>IF(ISERR(FIND("DECOUPE",Tableau1[[#This Row],[DESIGNATION]])),"","NEED REF")</f>
        <v/>
      </c>
    </row>
    <row r="9471">
      <c r="B9471" t="n">
        <v>34404534</v>
      </c>
      <c r="C9471" s="2" t="n">
        <v>42081</v>
      </c>
      <c r="D9471" t="inlineStr">
        <is>
          <t>SPEC</t>
        </is>
      </c>
      <c r="E9471" t="inlineStr">
        <is>
          <t>SEGREGATION 4</t>
        </is>
      </c>
      <c r="F9471" t="inlineStr">
        <is>
          <t>STS2000A</t>
        </is>
      </c>
      <c r="J9471" t="inlineStr">
        <is>
          <t>MATRION</t>
        </is>
      </c>
      <c r="K9471" t="inlineStr">
        <is>
          <t>METAL</t>
        </is>
      </c>
      <c r="L9471">
        <f>_xlfn.XLOOKUP(Tableau1[[#This Row],[TYPE DE PIECE]],Tableau4[MATIERE],Tableau4[SHORT TYPE],"",0,1)</f>
        <v/>
      </c>
      <c r="N9471">
        <f>IF(ISERR(FIND("DECOUPE",Tableau1[[#This Row],[DESIGNATION]])),"","NEED REF")</f>
        <v/>
      </c>
    </row>
    <row r="9472">
      <c r="B9472" t="n">
        <v>34404533</v>
      </c>
      <c r="C9472" s="2" t="n">
        <v>42081</v>
      </c>
      <c r="D9472" t="inlineStr">
        <is>
          <t>SPEC</t>
        </is>
      </c>
      <c r="E9472" t="inlineStr">
        <is>
          <t>SUPPORT ERICO JDB 5</t>
        </is>
      </c>
      <c r="F9472" t="inlineStr">
        <is>
          <t>STS2000A</t>
        </is>
      </c>
      <c r="J9472" t="inlineStr">
        <is>
          <t>MATRION</t>
        </is>
      </c>
      <c r="L9472">
        <f>_xlfn.XLOOKUP(Tableau1[[#This Row],[TYPE DE PIECE]],Tableau4[MATIERE],Tableau4[SHORT TYPE],"",0,1)</f>
        <v/>
      </c>
      <c r="N9472">
        <f>IF(ISERR(FIND("DECOUPE",Tableau1[[#This Row],[DESIGNATION]])),"","NEED REF")</f>
        <v/>
      </c>
    </row>
    <row r="9473">
      <c r="B9473" t="n">
        <v>34404532</v>
      </c>
      <c r="C9473" s="2" t="n">
        <v>42081</v>
      </c>
      <c r="D9473" t="inlineStr">
        <is>
          <t>SPEC</t>
        </is>
      </c>
      <c r="E9473" t="inlineStr">
        <is>
          <t>SUPPORT ERICO JDB 4</t>
        </is>
      </c>
      <c r="F9473" t="inlineStr">
        <is>
          <t>STS2000A</t>
        </is>
      </c>
      <c r="J9473" t="inlineStr">
        <is>
          <t>MATRION</t>
        </is>
      </c>
      <c r="L9473">
        <f>_xlfn.XLOOKUP(Tableau1[[#This Row],[TYPE DE PIECE]],Tableau4[MATIERE],Tableau4[SHORT TYPE],"",0,1)</f>
        <v/>
      </c>
      <c r="N9473">
        <f>IF(ISERR(FIND("DECOUPE",Tableau1[[#This Row],[DESIGNATION]])),"","NEED REF")</f>
        <v/>
      </c>
    </row>
    <row r="9474">
      <c r="B9474" t="n">
        <v>34404531</v>
      </c>
      <c r="C9474" s="2" t="n">
        <v>42081</v>
      </c>
      <c r="D9474" t="inlineStr">
        <is>
          <t>SPEC</t>
        </is>
      </c>
      <c r="E9474" t="inlineStr">
        <is>
          <t>SUPPORT CS MODULE 4</t>
        </is>
      </c>
      <c r="F9474" t="inlineStr">
        <is>
          <t>STS2000A</t>
        </is>
      </c>
      <c r="J9474" t="inlineStr">
        <is>
          <t>MATRION</t>
        </is>
      </c>
      <c r="K9474" t="inlineStr">
        <is>
          <t>METAL</t>
        </is>
      </c>
      <c r="L9474">
        <f>_xlfn.XLOOKUP(Tableau1[[#This Row],[TYPE DE PIECE]],Tableau4[MATIERE],Tableau4[SHORT TYPE],"",0,1)</f>
        <v/>
      </c>
      <c r="N9474">
        <f>IF(ISERR(FIND("DECOUPE",Tableau1[[#This Row],[DESIGNATION]])),"","NEED REF")</f>
        <v/>
      </c>
    </row>
    <row r="9475">
      <c r="B9475" t="n">
        <v>34404530</v>
      </c>
      <c r="C9475" s="2" t="n">
        <v>42081</v>
      </c>
      <c r="D9475" t="inlineStr">
        <is>
          <t>SPEC</t>
        </is>
      </c>
      <c r="E9475" t="inlineStr">
        <is>
          <t>SUPPORT CS MODULE 3</t>
        </is>
      </c>
      <c r="F9475" t="inlineStr">
        <is>
          <t>STS2000A</t>
        </is>
      </c>
      <c r="J9475" t="inlineStr">
        <is>
          <t>MATRION</t>
        </is>
      </c>
      <c r="K9475" t="inlineStr">
        <is>
          <t>METAL</t>
        </is>
      </c>
      <c r="L9475">
        <f>_xlfn.XLOOKUP(Tableau1[[#This Row],[TYPE DE PIECE]],Tableau4[MATIERE],Tableau4[SHORT TYPE],"",0,1)</f>
        <v/>
      </c>
      <c r="N9475">
        <f>IF(ISERR(FIND("DECOUPE",Tableau1[[#This Row],[DESIGNATION]])),"","NEED REF")</f>
        <v/>
      </c>
    </row>
    <row r="9476">
      <c r="B9476" t="n">
        <v>34404529</v>
      </c>
      <c r="C9476" s="2" t="n">
        <v>42103</v>
      </c>
      <c r="D9476" t="inlineStr">
        <is>
          <t>NOM</t>
        </is>
      </c>
      <c r="E9476" t="inlineStr">
        <is>
          <t>LG COMMUNE BOITIER DECHARGE PROFONDE ARMOIRE BATT G55K - G7K</t>
        </is>
      </c>
      <c r="F9476" t="inlineStr">
        <is>
          <t>G55K-G7K</t>
        </is>
      </c>
      <c r="J9476" t="inlineStr">
        <is>
          <t>MONGELLI</t>
        </is>
      </c>
      <c r="L9476">
        <f>_xlfn.XLOOKUP(Tableau1[[#This Row],[TYPE DE PIECE]],Tableau4[MATIERE],Tableau4[SHORT TYPE],"",0,1)</f>
        <v/>
      </c>
      <c r="N9476">
        <f>IF(ISERR(FIND("DECOUPE",Tableau1[[#This Row],[DESIGNATION]])),"","NEED REF")</f>
        <v/>
      </c>
    </row>
    <row r="9477">
      <c r="B9477" t="n">
        <v>34404528</v>
      </c>
      <c r="C9477" s="2" t="n">
        <v>42081</v>
      </c>
      <c r="D9477" t="inlineStr">
        <is>
          <t>SPEC</t>
        </is>
      </c>
      <c r="E9477" t="inlineStr">
        <is>
          <t>PLAN POUR PALETTISATION CS STS2000A</t>
        </is>
      </c>
      <c r="F9477" t="inlineStr">
        <is>
          <t>STS2000A</t>
        </is>
      </c>
      <c r="J9477" t="inlineStr">
        <is>
          <t>MATRION</t>
        </is>
      </c>
      <c r="K9477" t="inlineStr">
        <is>
          <t>PALETTE</t>
        </is>
      </c>
      <c r="L9477">
        <f>_xlfn.XLOOKUP(Tableau1[[#This Row],[TYPE DE PIECE]],Tableau4[MATIERE],Tableau4[SHORT TYPE],"",0,1)</f>
        <v/>
      </c>
      <c r="N9477">
        <f>IF(ISERR(FIND("DECOUPE",Tableau1[[#This Row],[DESIGNATION]])),"","NEED REF")</f>
        <v/>
      </c>
    </row>
    <row r="9478">
      <c r="B9478" t="n">
        <v>34404527</v>
      </c>
      <c r="C9478" s="2" t="n">
        <v>42081</v>
      </c>
      <c r="D9478" t="inlineStr">
        <is>
          <t>SPEC</t>
        </is>
      </c>
      <c r="E9478" t="inlineStr">
        <is>
          <t>PLAN POUR PALETTISATION BYPASS STS2000A</t>
        </is>
      </c>
      <c r="F9478" t="inlineStr">
        <is>
          <t>STS2000A</t>
        </is>
      </c>
      <c r="J9478" t="inlineStr">
        <is>
          <t>MATRION</t>
        </is>
      </c>
      <c r="K9478" t="inlineStr">
        <is>
          <t>PALETTE</t>
        </is>
      </c>
      <c r="L9478">
        <f>_xlfn.XLOOKUP(Tableau1[[#This Row],[TYPE DE PIECE]],Tableau4[MATIERE],Tableau4[SHORT TYPE],"",0,1)</f>
        <v/>
      </c>
      <c r="N9478">
        <f>IF(ISERR(FIND("DECOUPE",Tableau1[[#This Row],[DESIGNATION]])),"","NEED REF")</f>
        <v/>
      </c>
    </row>
    <row r="9479">
      <c r="B9479" t="n">
        <v>34404526</v>
      </c>
      <c r="C9479" s="2" t="n">
        <v>42081</v>
      </c>
      <c r="D9479" t="inlineStr">
        <is>
          <t>SPEC</t>
        </is>
      </c>
      <c r="E9479" t="inlineStr">
        <is>
          <t>PLAN POUR PALETTISATION STS2000A</t>
        </is>
      </c>
      <c r="F9479" t="inlineStr">
        <is>
          <t>STS2000A</t>
        </is>
      </c>
      <c r="J9479" t="inlineStr">
        <is>
          <t>MATRION</t>
        </is>
      </c>
      <c r="K9479" t="inlineStr">
        <is>
          <t>PALETTE</t>
        </is>
      </c>
      <c r="L9479">
        <f>_xlfn.XLOOKUP(Tableau1[[#This Row],[TYPE DE PIECE]],Tableau4[MATIERE],Tableau4[SHORT TYPE],"",0,1)</f>
        <v/>
      </c>
      <c r="N9479">
        <f>IF(ISERR(FIND("DECOUPE",Tableau1[[#This Row],[DESIGNATION]])),"","NEED REF")</f>
        <v/>
      </c>
    </row>
    <row r="9480">
      <c r="B9480" t="n">
        <v>34404525</v>
      </c>
      <c r="C9480" s="2" t="n">
        <v>42081</v>
      </c>
      <c r="D9480" t="inlineStr">
        <is>
          <t>SPEC</t>
        </is>
      </c>
      <c r="E9480" t="inlineStr">
        <is>
          <t>SUPPORT CS MODULE 4</t>
        </is>
      </c>
      <c r="F9480" t="inlineStr">
        <is>
          <t>STS2000A</t>
        </is>
      </c>
      <c r="J9480" t="inlineStr">
        <is>
          <t>MATRION</t>
        </is>
      </c>
      <c r="L9480">
        <f>_xlfn.XLOOKUP(Tableau1[[#This Row],[TYPE DE PIECE]],Tableau4[MATIERE],Tableau4[SHORT TYPE],"",0,1)</f>
        <v/>
      </c>
      <c r="N9480">
        <f>IF(ISERR(FIND("DECOUPE",Tableau1[[#This Row],[DESIGNATION]])),"","NEED REF")</f>
        <v/>
      </c>
    </row>
    <row r="9481">
      <c r="B9481" t="n">
        <v>34404524</v>
      </c>
      <c r="C9481" s="2" t="n">
        <v>42081</v>
      </c>
      <c r="D9481" t="inlineStr">
        <is>
          <t>SPEC</t>
        </is>
      </c>
      <c r="E9481" t="inlineStr">
        <is>
          <t>SUPPORT CS MODULE 3</t>
        </is>
      </c>
      <c r="F9481" t="inlineStr">
        <is>
          <t>STS2000A</t>
        </is>
      </c>
      <c r="J9481" t="inlineStr">
        <is>
          <t>MATRION</t>
        </is>
      </c>
      <c r="L9481">
        <f>_xlfn.XLOOKUP(Tableau1[[#This Row],[TYPE DE PIECE]],Tableau4[MATIERE],Tableau4[SHORT TYPE],"",0,1)</f>
        <v/>
      </c>
      <c r="N9481">
        <f>IF(ISERR(FIND("DECOUPE",Tableau1[[#This Row],[DESIGNATION]])),"","NEED REF")</f>
        <v/>
      </c>
    </row>
    <row r="9482">
      <c r="B9482" t="n">
        <v>34404523</v>
      </c>
      <c r="C9482" s="2" t="n">
        <v>42081</v>
      </c>
      <c r="D9482" t="inlineStr">
        <is>
          <t>SPEC</t>
        </is>
      </c>
      <c r="E9482" t="inlineStr">
        <is>
          <t>CX COUPLAGE LEM 2</t>
        </is>
      </c>
      <c r="F9482" t="inlineStr">
        <is>
          <t>STS2000A</t>
        </is>
      </c>
      <c r="J9482" t="inlineStr">
        <is>
          <t>MATRION</t>
        </is>
      </c>
      <c r="K9482" t="inlineStr">
        <is>
          <t>CUIVRE</t>
        </is>
      </c>
      <c r="L9482">
        <f>_xlfn.XLOOKUP(Tableau1[[#This Row],[TYPE DE PIECE]],Tableau4[MATIERE],Tableau4[SHORT TYPE],"",0,1)</f>
        <v/>
      </c>
      <c r="N9482">
        <f>IF(ISERR(FIND("DECOUPE",Tableau1[[#This Row],[DESIGNATION]])),"","NEED REF")</f>
        <v/>
      </c>
    </row>
    <row r="9483">
      <c r="B9483" t="n">
        <v>34404522</v>
      </c>
      <c r="C9483" s="2" t="n">
        <v>42081</v>
      </c>
      <c r="D9483" t="inlineStr">
        <is>
          <t>SPEC</t>
        </is>
      </c>
      <c r="E9483" t="inlineStr">
        <is>
          <t>SUPPORT TFO IMPULSE</t>
        </is>
      </c>
      <c r="F9483" t="inlineStr">
        <is>
          <t>STS2000A</t>
        </is>
      </c>
      <c r="J9483" t="inlineStr">
        <is>
          <t>MATRION</t>
        </is>
      </c>
      <c r="K9483" t="inlineStr">
        <is>
          <t>METAL</t>
        </is>
      </c>
      <c r="L9483">
        <f>_xlfn.XLOOKUP(Tableau1[[#This Row],[TYPE DE PIECE]],Tableau4[MATIERE],Tableau4[SHORT TYPE],"",0,1)</f>
        <v/>
      </c>
      <c r="N9483">
        <f>IF(ISERR(FIND("DECOUPE",Tableau1[[#This Row],[DESIGNATION]])),"","NEED REF")</f>
        <v/>
      </c>
    </row>
    <row r="9484">
      <c r="B9484" t="n">
        <v>34404521</v>
      </c>
      <c r="C9484" s="2" t="n">
        <v>42081</v>
      </c>
      <c r="D9484" t="inlineStr">
        <is>
          <t>SPEC</t>
        </is>
      </c>
      <c r="E9484" t="inlineStr">
        <is>
          <t>bloqué</t>
        </is>
      </c>
      <c r="F9484" t="inlineStr">
        <is>
          <t>STS2000A</t>
        </is>
      </c>
      <c r="J9484" t="inlineStr">
        <is>
          <t>MATRION</t>
        </is>
      </c>
      <c r="L9484">
        <f>_xlfn.XLOOKUP(Tableau1[[#This Row],[TYPE DE PIECE]],Tableau4[MATIERE],Tableau4[SHORT TYPE],"",0,1)</f>
        <v/>
      </c>
      <c r="N9484">
        <f>IF(ISERR(FIND("DECOUPE",Tableau1[[#This Row],[DESIGNATION]])),"","NEED REF")</f>
        <v/>
      </c>
    </row>
    <row r="9485">
      <c r="B9485" t="n">
        <v>34404520</v>
      </c>
      <c r="C9485" s="2" t="n">
        <v>42081</v>
      </c>
      <c r="D9485" t="inlineStr">
        <is>
          <t>SPEC</t>
        </is>
      </c>
      <c r="E9485" t="inlineStr">
        <is>
          <t>CX LIAISON INTECO CS2 L1</t>
        </is>
      </c>
      <c r="F9485" t="inlineStr">
        <is>
          <t>STS2000A</t>
        </is>
      </c>
      <c r="J9485" t="inlineStr">
        <is>
          <t>MATRION</t>
        </is>
      </c>
      <c r="K9485" t="inlineStr">
        <is>
          <t>CUIVRE</t>
        </is>
      </c>
      <c r="L9485">
        <f>_xlfn.XLOOKUP(Tableau1[[#This Row],[TYPE DE PIECE]],Tableau4[MATIERE],Tableau4[SHORT TYPE],"",0,1)</f>
        <v/>
      </c>
      <c r="N9485">
        <f>IF(ISERR(FIND("DECOUPE",Tableau1[[#This Row],[DESIGNATION]])),"","NEED REF")</f>
        <v/>
      </c>
    </row>
    <row r="9486">
      <c r="B9486" t="n">
        <v>34404519</v>
      </c>
      <c r="C9486" s="2" t="n">
        <v>42081</v>
      </c>
      <c r="D9486" t="inlineStr">
        <is>
          <t>SPEC</t>
        </is>
      </c>
      <c r="E9486" t="inlineStr">
        <is>
          <t>CX LIAISON INTECO CS2 L2</t>
        </is>
      </c>
      <c r="F9486" t="inlineStr">
        <is>
          <t>STS2000A</t>
        </is>
      </c>
      <c r="J9486" t="inlineStr">
        <is>
          <t>MATRION</t>
        </is>
      </c>
      <c r="K9486" t="inlineStr">
        <is>
          <t>CUIVRE</t>
        </is>
      </c>
      <c r="L9486">
        <f>_xlfn.XLOOKUP(Tableau1[[#This Row],[TYPE DE PIECE]],Tableau4[MATIERE],Tableau4[SHORT TYPE],"",0,1)</f>
        <v/>
      </c>
      <c r="N9486">
        <f>IF(ISERR(FIND("DECOUPE",Tableau1[[#This Row],[DESIGNATION]])),"","NEED REF")</f>
        <v/>
      </c>
    </row>
    <row r="9487">
      <c r="B9487" t="n">
        <v>34404518</v>
      </c>
      <c r="C9487" s="2" t="n">
        <v>42081</v>
      </c>
      <c r="D9487" t="inlineStr">
        <is>
          <t>SPEC</t>
        </is>
      </c>
      <c r="E9487" t="inlineStr">
        <is>
          <t>CX LIAISON INTECO CS2 L3</t>
        </is>
      </c>
      <c r="F9487" t="inlineStr">
        <is>
          <t>STS2000A</t>
        </is>
      </c>
      <c r="J9487" t="inlineStr">
        <is>
          <t>MATRION</t>
        </is>
      </c>
      <c r="K9487" t="inlineStr">
        <is>
          <t>CUIVRE</t>
        </is>
      </c>
      <c r="L9487">
        <f>_xlfn.XLOOKUP(Tableau1[[#This Row],[TYPE DE PIECE]],Tableau4[MATIERE],Tableau4[SHORT TYPE],"",0,1)</f>
        <v/>
      </c>
      <c r="N9487">
        <f>IF(ISERR(FIND("DECOUPE",Tableau1[[#This Row],[DESIGNATION]])),"","NEED REF")</f>
        <v/>
      </c>
    </row>
    <row r="9488">
      <c r="B9488" t="n">
        <v>34404517</v>
      </c>
      <c r="C9488" s="2" t="n">
        <v>42081</v>
      </c>
      <c r="D9488" t="inlineStr">
        <is>
          <t>SPEC</t>
        </is>
      </c>
      <c r="E9488" t="inlineStr">
        <is>
          <t>CX LIAISON INTECO CS1 L3</t>
        </is>
      </c>
      <c r="F9488" t="inlineStr">
        <is>
          <t>STS2000A</t>
        </is>
      </c>
      <c r="J9488" t="inlineStr">
        <is>
          <t>MATRION</t>
        </is>
      </c>
      <c r="K9488" t="inlineStr">
        <is>
          <t>CUIVRE</t>
        </is>
      </c>
      <c r="L9488">
        <f>_xlfn.XLOOKUP(Tableau1[[#This Row],[TYPE DE PIECE]],Tableau4[MATIERE],Tableau4[SHORT TYPE],"",0,1)</f>
        <v/>
      </c>
      <c r="N9488">
        <f>IF(ISERR(FIND("DECOUPE",Tableau1[[#This Row],[DESIGNATION]])),"","NEED REF")</f>
        <v/>
      </c>
    </row>
    <row r="9489">
      <c r="B9489" t="n">
        <v>34404516</v>
      </c>
      <c r="C9489" s="2" t="n">
        <v>42081</v>
      </c>
      <c r="D9489" t="inlineStr">
        <is>
          <t>SPEC</t>
        </is>
      </c>
      <c r="E9489" t="inlineStr">
        <is>
          <t>CX LIAISON INTECO CS1 L2</t>
        </is>
      </c>
      <c r="F9489" t="inlineStr">
        <is>
          <t>STS2000A</t>
        </is>
      </c>
      <c r="J9489" t="inlineStr">
        <is>
          <t>MATRION</t>
        </is>
      </c>
      <c r="K9489" t="inlineStr">
        <is>
          <t>CUIVRE</t>
        </is>
      </c>
      <c r="L9489">
        <f>_xlfn.XLOOKUP(Tableau1[[#This Row],[TYPE DE PIECE]],Tableau4[MATIERE],Tableau4[SHORT TYPE],"",0,1)</f>
        <v/>
      </c>
      <c r="N9489">
        <f>IF(ISERR(FIND("DECOUPE",Tableau1[[#This Row],[DESIGNATION]])),"","NEED REF")</f>
        <v/>
      </c>
    </row>
    <row r="9490">
      <c r="B9490" t="n">
        <v>34404515</v>
      </c>
      <c r="C9490" s="2" t="n">
        <v>42081</v>
      </c>
      <c r="D9490" t="inlineStr">
        <is>
          <t>SPEC</t>
        </is>
      </c>
      <c r="E9490" t="inlineStr">
        <is>
          <t>CX CS 4</t>
        </is>
      </c>
      <c r="F9490" t="inlineStr">
        <is>
          <t>STS2000A</t>
        </is>
      </c>
      <c r="J9490" t="inlineStr">
        <is>
          <t>MATRION</t>
        </is>
      </c>
      <c r="K9490" t="inlineStr">
        <is>
          <t>CUIVRE</t>
        </is>
      </c>
      <c r="L9490">
        <f>_xlfn.XLOOKUP(Tableau1[[#This Row],[TYPE DE PIECE]],Tableau4[MATIERE],Tableau4[SHORT TYPE],"",0,1)</f>
        <v/>
      </c>
      <c r="N9490">
        <f>IF(ISERR(FIND("DECOUPE",Tableau1[[#This Row],[DESIGNATION]])),"","NEED REF")</f>
        <v/>
      </c>
    </row>
    <row r="9491">
      <c r="B9491" t="n">
        <v>34404514</v>
      </c>
      <c r="C9491" s="2" t="n">
        <v>42081</v>
      </c>
      <c r="D9491" t="inlineStr">
        <is>
          <t>SPEC</t>
        </is>
      </c>
      <c r="E9491" t="inlineStr">
        <is>
          <t>CX CS 3</t>
        </is>
      </c>
      <c r="F9491" t="inlineStr">
        <is>
          <t>STS2000A</t>
        </is>
      </c>
      <c r="J9491" t="inlineStr">
        <is>
          <t>MATRION</t>
        </is>
      </c>
      <c r="K9491" t="inlineStr">
        <is>
          <t>CUIVRE</t>
        </is>
      </c>
      <c r="L9491">
        <f>_xlfn.XLOOKUP(Tableau1[[#This Row],[TYPE DE PIECE]],Tableau4[MATIERE],Tableau4[SHORT TYPE],"",0,1)</f>
        <v/>
      </c>
      <c r="N9491">
        <f>IF(ISERR(FIND("DECOUPE",Tableau1[[#This Row],[DESIGNATION]])),"","NEED REF")</f>
        <v/>
      </c>
    </row>
    <row r="9492">
      <c r="B9492" t="n">
        <v>34404513</v>
      </c>
      <c r="C9492" s="2" t="n">
        <v>42081</v>
      </c>
      <c r="D9492" t="inlineStr">
        <is>
          <t>SPEC</t>
        </is>
      </c>
      <c r="E9492" t="inlineStr">
        <is>
          <t>CX CS 2</t>
        </is>
      </c>
      <c r="F9492" t="inlineStr">
        <is>
          <t>STS2000A</t>
        </is>
      </c>
      <c r="J9492" t="inlineStr">
        <is>
          <t>MATRION</t>
        </is>
      </c>
      <c r="K9492" t="inlineStr">
        <is>
          <t>CUIVRE</t>
        </is>
      </c>
      <c r="L9492">
        <f>_xlfn.XLOOKUP(Tableau1[[#This Row],[TYPE DE PIECE]],Tableau4[MATIERE],Tableau4[SHORT TYPE],"",0,1)</f>
        <v/>
      </c>
      <c r="N9492">
        <f>IF(ISERR(FIND("DECOUPE",Tableau1[[#This Row],[DESIGNATION]])),"","NEED REF")</f>
        <v/>
      </c>
    </row>
    <row r="9493">
      <c r="B9493" t="n">
        <v>34404512</v>
      </c>
      <c r="C9493" s="2" t="n">
        <v>42081</v>
      </c>
      <c r="D9493" t="inlineStr">
        <is>
          <t>SPEC</t>
        </is>
      </c>
      <c r="E9493" t="inlineStr">
        <is>
          <t>CX CS 1</t>
        </is>
      </c>
      <c r="F9493" t="inlineStr">
        <is>
          <t>STS2000A</t>
        </is>
      </c>
      <c r="J9493" t="inlineStr">
        <is>
          <t>MATRION</t>
        </is>
      </c>
      <c r="K9493" t="inlineStr">
        <is>
          <t>CUIVRE</t>
        </is>
      </c>
      <c r="L9493">
        <f>_xlfn.XLOOKUP(Tableau1[[#This Row],[TYPE DE PIECE]],Tableau4[MATIERE],Tableau4[SHORT TYPE],"",0,1)</f>
        <v/>
      </c>
      <c r="N9493">
        <f>IF(ISERR(FIND("DECOUPE",Tableau1[[#This Row],[DESIGNATION]])),"","NEED REF")</f>
        <v/>
      </c>
    </row>
    <row r="9494">
      <c r="B9494" t="n">
        <v>34404511</v>
      </c>
      <c r="C9494" s="2" t="n">
        <v>42101</v>
      </c>
      <c r="D9494" t="inlineStr">
        <is>
          <t>SPEC</t>
        </is>
      </c>
      <c r="E9494" t="inlineStr">
        <is>
          <t>SUPPORT BORNIER 2</t>
        </is>
      </c>
      <c r="F9494" t="inlineStr">
        <is>
          <t>BREAKER CHOPPER</t>
        </is>
      </c>
      <c r="J9494" t="inlineStr">
        <is>
          <t>MATRION</t>
        </is>
      </c>
      <c r="K9494" t="inlineStr">
        <is>
          <t>METAL</t>
        </is>
      </c>
      <c r="L9494">
        <f>_xlfn.XLOOKUP(Tableau1[[#This Row],[TYPE DE PIECE]],Tableau4[MATIERE],Tableau4[SHORT TYPE],"",0,1)</f>
        <v/>
      </c>
      <c r="N9494">
        <f>IF(ISERR(FIND("DECOUPE",Tableau1[[#This Row],[DESIGNATION]])),"","NEED REF")</f>
        <v/>
      </c>
    </row>
    <row r="9495">
      <c r="B9495" t="n">
        <v>34404510</v>
      </c>
      <c r="C9495" s="2" t="n">
        <v>42097</v>
      </c>
      <c r="D9495" t="inlineStr">
        <is>
          <t>SPEC</t>
        </is>
      </c>
      <c r="E9495" t="inlineStr">
        <is>
          <t>Cable avec cosse 8,3x50 L=400</t>
        </is>
      </c>
      <c r="F9495" t="inlineStr">
        <is>
          <t>Amoire transfo</t>
        </is>
      </c>
      <c r="J9495" t="inlineStr">
        <is>
          <t>DUBOIS</t>
        </is>
      </c>
      <c r="L9495">
        <f>_xlfn.XLOOKUP(Tableau1[[#This Row],[TYPE DE PIECE]],Tableau4[MATIERE],Tableau4[SHORT TYPE],"",0,1)</f>
        <v/>
      </c>
      <c r="N9495">
        <f>IF(ISERR(FIND("DECOUPE",Tableau1[[#This Row],[DESIGNATION]])),"","NEED REF")</f>
        <v/>
      </c>
    </row>
    <row r="9496">
      <c r="B9496" t="n">
        <v>34404509</v>
      </c>
      <c r="C9496" s="2" t="n">
        <v>42097</v>
      </c>
      <c r="D9496" t="inlineStr">
        <is>
          <t>SPEC</t>
        </is>
      </c>
      <c r="E9496" t="inlineStr">
        <is>
          <t>Cable avec cosse 8,3x50 L=750</t>
        </is>
      </c>
      <c r="F9496" t="inlineStr">
        <is>
          <t>Amoire transfo</t>
        </is>
      </c>
      <c r="J9496" t="inlineStr">
        <is>
          <t>DUBOIS</t>
        </is>
      </c>
      <c r="L9496">
        <f>_xlfn.XLOOKUP(Tableau1[[#This Row],[TYPE DE PIECE]],Tableau4[MATIERE],Tableau4[SHORT TYPE],"",0,1)</f>
        <v/>
      </c>
      <c r="N9496">
        <f>IF(ISERR(FIND("DECOUPE",Tableau1[[#This Row],[DESIGNATION]])),"","NEED REF")</f>
        <v/>
      </c>
    </row>
    <row r="9497">
      <c r="B9497" t="n">
        <v>34404508</v>
      </c>
      <c r="C9497" s="2" t="n">
        <v>42097</v>
      </c>
      <c r="D9497" t="inlineStr">
        <is>
          <t>SPEC</t>
        </is>
      </c>
      <c r="E9497" t="inlineStr">
        <is>
          <t>Cable avec cosse 8,3x50 L=700</t>
        </is>
      </c>
      <c r="F9497" t="inlineStr">
        <is>
          <t>Amoire transfo</t>
        </is>
      </c>
      <c r="J9497" t="inlineStr">
        <is>
          <t>DUBOIS</t>
        </is>
      </c>
      <c r="L9497">
        <f>_xlfn.XLOOKUP(Tableau1[[#This Row],[TYPE DE PIECE]],Tableau4[MATIERE],Tableau4[SHORT TYPE],"",0,1)</f>
        <v/>
      </c>
      <c r="N9497">
        <f>IF(ISERR(FIND("DECOUPE",Tableau1[[#This Row],[DESIGNATION]])),"","NEED REF")</f>
        <v/>
      </c>
    </row>
    <row r="9498">
      <c r="B9498" t="n">
        <v>34404507</v>
      </c>
      <c r="C9498" s="2" t="n">
        <v>42097</v>
      </c>
      <c r="D9498" t="inlineStr">
        <is>
          <t>SPEC</t>
        </is>
      </c>
      <c r="E9498" t="inlineStr">
        <is>
          <t>Cable avec cosse 8,3x50  L=650</t>
        </is>
      </c>
      <c r="F9498" t="inlineStr">
        <is>
          <t>Amoire transfo</t>
        </is>
      </c>
      <c r="J9498" t="inlineStr">
        <is>
          <t>DUBOIS</t>
        </is>
      </c>
      <c r="L9498">
        <f>_xlfn.XLOOKUP(Tableau1[[#This Row],[TYPE DE PIECE]],Tableau4[MATIERE],Tableau4[SHORT TYPE],"",0,1)</f>
        <v/>
      </c>
      <c r="N9498">
        <f>IF(ISERR(FIND("DECOUPE",Tableau1[[#This Row],[DESIGNATION]])),"","NEED REF")</f>
        <v/>
      </c>
    </row>
    <row r="9499">
      <c r="B9499" t="n">
        <v>34404506</v>
      </c>
      <c r="C9499" s="2" t="n">
        <v>42093</v>
      </c>
      <c r="D9499" t="inlineStr">
        <is>
          <t>Schéma</t>
        </is>
      </c>
      <c r="E9499" t="inlineStr">
        <is>
          <t>TI déportés</t>
        </is>
      </c>
      <c r="F9499" t="inlineStr">
        <is>
          <t>G7000 NS2000</t>
        </is>
      </c>
      <c r="J9499" t="inlineStr">
        <is>
          <t>DUBOIS</t>
        </is>
      </c>
      <c r="L9499">
        <f>_xlfn.XLOOKUP(Tableau1[[#This Row],[TYPE DE PIECE]],Tableau4[MATIERE],Tableau4[SHORT TYPE],"",0,1)</f>
        <v/>
      </c>
      <c r="N9499">
        <f>IF(ISERR(FIND("DECOUPE",Tableau1[[#This Row],[DESIGNATION]])),"","NEED REF")</f>
        <v/>
      </c>
    </row>
    <row r="9500">
      <c r="B9500" t="n">
        <v>34404505</v>
      </c>
      <c r="C9500" s="2" t="n">
        <v>42081</v>
      </c>
      <c r="D9500" t="inlineStr">
        <is>
          <t>SPEC</t>
        </is>
      </c>
      <c r="E9500" t="inlineStr">
        <is>
          <t>TUNNEL AIR CS</t>
        </is>
      </c>
      <c r="F9500" t="inlineStr">
        <is>
          <t>STS2000A</t>
        </is>
      </c>
      <c r="J9500" t="inlineStr">
        <is>
          <t>MATRION</t>
        </is>
      </c>
      <c r="L9500">
        <f>_xlfn.XLOOKUP(Tableau1[[#This Row],[TYPE DE PIECE]],Tableau4[MATIERE],Tableau4[SHORT TYPE],"",0,1)</f>
        <v/>
      </c>
      <c r="N9500">
        <f>IF(ISERR(FIND("DECOUPE",Tableau1[[#This Row],[DESIGNATION]])),"","NEED REF")</f>
        <v/>
      </c>
    </row>
    <row r="9501">
      <c r="B9501" t="n">
        <v>34404504</v>
      </c>
      <c r="C9501" s="2" t="n">
        <v>42081</v>
      </c>
      <c r="D9501" t="inlineStr">
        <is>
          <t>SPEC</t>
        </is>
      </c>
      <c r="E9501" t="inlineStr">
        <is>
          <t>TUNNEL AIR CS</t>
        </is>
      </c>
      <c r="F9501" t="inlineStr">
        <is>
          <t>STS2000A</t>
        </is>
      </c>
      <c r="J9501" t="inlineStr">
        <is>
          <t>MATRION</t>
        </is>
      </c>
      <c r="L9501">
        <f>_xlfn.XLOOKUP(Tableau1[[#This Row],[TYPE DE PIECE]],Tableau4[MATIERE],Tableau4[SHORT TYPE],"",0,1)</f>
        <v/>
      </c>
      <c r="N9501">
        <f>IF(ISERR(FIND("DECOUPE",Tableau1[[#This Row],[DESIGNATION]])),"","NEED REF")</f>
        <v/>
      </c>
    </row>
    <row r="9502">
      <c r="B9502" t="n">
        <v>34404503</v>
      </c>
      <c r="C9502" s="2" t="n">
        <v>42081</v>
      </c>
      <c r="D9502" t="inlineStr">
        <is>
          <t>SPEC</t>
        </is>
      </c>
      <c r="E9502" t="inlineStr">
        <is>
          <t>PORTE CS</t>
        </is>
      </c>
      <c r="F9502" t="inlineStr">
        <is>
          <t>STS2000A</t>
        </is>
      </c>
      <c r="J9502" t="inlineStr">
        <is>
          <t>MATRION</t>
        </is>
      </c>
      <c r="L9502">
        <f>_xlfn.XLOOKUP(Tableau1[[#This Row],[TYPE DE PIECE]],Tableau4[MATIERE],Tableau4[SHORT TYPE],"",0,1)</f>
        <v/>
      </c>
      <c r="N9502">
        <f>IF(ISERR(FIND("DECOUPE",Tableau1[[#This Row],[DESIGNATION]])),"","NEED REF")</f>
        <v/>
      </c>
    </row>
    <row r="9503">
      <c r="B9503" t="n">
        <v>34404502</v>
      </c>
      <c r="C9503" s="2" t="n">
        <v>42081</v>
      </c>
      <c r="D9503" t="inlineStr">
        <is>
          <t>SPEC</t>
        </is>
      </c>
      <c r="E9503" t="inlineStr">
        <is>
          <t>PANNEAU ARRIERE CS</t>
        </is>
      </c>
      <c r="F9503" t="inlineStr">
        <is>
          <t>STS2000A</t>
        </is>
      </c>
      <c r="J9503" t="inlineStr">
        <is>
          <t>MATRION</t>
        </is>
      </c>
      <c r="L9503">
        <f>_xlfn.XLOOKUP(Tableau1[[#This Row],[TYPE DE PIECE]],Tableau4[MATIERE],Tableau4[SHORT TYPE],"",0,1)</f>
        <v/>
      </c>
      <c r="N9503">
        <f>IF(ISERR(FIND("DECOUPE",Tableau1[[#This Row],[DESIGNATION]])),"","NEED REF")</f>
        <v/>
      </c>
    </row>
    <row r="9504">
      <c r="B9504" t="n">
        <v>34404501</v>
      </c>
      <c r="C9504" s="2" t="n">
        <v>42081</v>
      </c>
      <c r="D9504" t="inlineStr">
        <is>
          <t>SPEC</t>
        </is>
      </c>
      <c r="E9504" t="inlineStr">
        <is>
          <t>CELLULE 600x800x2000 CS</t>
        </is>
      </c>
      <c r="F9504" t="inlineStr">
        <is>
          <t>STS2000A</t>
        </is>
      </c>
      <c r="J9504" t="inlineStr">
        <is>
          <t>MATRION</t>
        </is>
      </c>
      <c r="K9504" t="inlineStr">
        <is>
          <t>METAL</t>
        </is>
      </c>
      <c r="L9504">
        <f>_xlfn.XLOOKUP(Tableau1[[#This Row],[TYPE DE PIECE]],Tableau4[MATIERE],Tableau4[SHORT TYPE],"",0,1)</f>
        <v/>
      </c>
      <c r="N9504">
        <f>IF(ISERR(FIND("DECOUPE",Tableau1[[#This Row],[DESIGNATION]])),"","NEED REF")</f>
        <v/>
      </c>
    </row>
    <row r="9505">
      <c r="B9505" t="n">
        <v>34404500</v>
      </c>
      <c r="C9505" s="2" t="n">
        <v>42081</v>
      </c>
      <c r="D9505" t="inlineStr">
        <is>
          <t>SPEC</t>
        </is>
      </c>
      <c r="E9505" t="inlineStr">
        <is>
          <t>FLEX</t>
        </is>
      </c>
      <c r="F9505" t="inlineStr">
        <is>
          <t>STS2000A</t>
        </is>
      </c>
      <c r="J9505" t="inlineStr">
        <is>
          <t>MATRION</t>
        </is>
      </c>
      <c r="L9505">
        <f>_xlfn.XLOOKUP(Tableau1[[#This Row],[TYPE DE PIECE]],Tableau4[MATIERE],Tableau4[SHORT TYPE],"",0,1)</f>
        <v/>
      </c>
      <c r="N9505">
        <f>IF(ISERR(FIND("DECOUPE",Tableau1[[#This Row],[DESIGNATION]])),"","NEED REF")</f>
        <v/>
      </c>
    </row>
    <row r="9506">
      <c r="B9506" t="n">
        <v>34404499</v>
      </c>
      <c r="C9506" s="2" t="n">
        <v>42081</v>
      </c>
      <c r="D9506" t="inlineStr">
        <is>
          <t>SPEC</t>
        </is>
      </c>
      <c r="E9506" t="inlineStr">
        <is>
          <t>FLEX</t>
        </is>
      </c>
      <c r="F9506" t="inlineStr">
        <is>
          <t>STS2000A</t>
        </is>
      </c>
      <c r="J9506" t="inlineStr">
        <is>
          <t>MATRION</t>
        </is>
      </c>
      <c r="L9506">
        <f>_xlfn.XLOOKUP(Tableau1[[#This Row],[TYPE DE PIECE]],Tableau4[MATIERE],Tableau4[SHORT TYPE],"",0,1)</f>
        <v/>
      </c>
      <c r="N9506">
        <f>IF(ISERR(FIND("DECOUPE",Tableau1[[#This Row],[DESIGNATION]])),"","NEED REF")</f>
        <v/>
      </c>
    </row>
    <row r="9507">
      <c r="B9507" t="n">
        <v>34404498</v>
      </c>
      <c r="C9507" s="2" t="n">
        <v>42081</v>
      </c>
      <c r="D9507" t="inlineStr">
        <is>
          <t>SPEC</t>
        </is>
      </c>
      <c r="E9507" t="inlineStr">
        <is>
          <t>FLEX</t>
        </is>
      </c>
      <c r="F9507" t="inlineStr">
        <is>
          <t>STS2000A</t>
        </is>
      </c>
      <c r="J9507" t="inlineStr">
        <is>
          <t>MATRION</t>
        </is>
      </c>
      <c r="L9507">
        <f>_xlfn.XLOOKUP(Tableau1[[#This Row],[TYPE DE PIECE]],Tableau4[MATIERE],Tableau4[SHORT TYPE],"",0,1)</f>
        <v/>
      </c>
      <c r="N9507">
        <f>IF(ISERR(FIND("DECOUPE",Tableau1[[#This Row],[DESIGNATION]])),"","NEED REF")</f>
        <v/>
      </c>
    </row>
    <row r="9508">
      <c r="B9508" t="n">
        <v>34404497</v>
      </c>
      <c r="C9508" s="2" t="n">
        <v>42081</v>
      </c>
      <c r="D9508" t="inlineStr">
        <is>
          <t>SPEC</t>
        </is>
      </c>
      <c r="E9508" t="inlineStr">
        <is>
          <t>FLEX</t>
        </is>
      </c>
      <c r="F9508" t="inlineStr">
        <is>
          <t>STS2000A</t>
        </is>
      </c>
      <c r="J9508" t="inlineStr">
        <is>
          <t>MATRION</t>
        </is>
      </c>
      <c r="L9508">
        <f>_xlfn.XLOOKUP(Tableau1[[#This Row],[TYPE DE PIECE]],Tableau4[MATIERE],Tableau4[SHORT TYPE],"",0,1)</f>
        <v/>
      </c>
      <c r="N9508">
        <f>IF(ISERR(FIND("DECOUPE",Tableau1[[#This Row],[DESIGNATION]])),"","NEED REF")</f>
        <v/>
      </c>
    </row>
    <row r="9509">
      <c r="B9509" t="n">
        <v>34404496</v>
      </c>
      <c r="C9509" s="2" t="n">
        <v>42081</v>
      </c>
      <c r="D9509" t="inlineStr">
        <is>
          <t>SPEC</t>
        </is>
      </c>
      <c r="E9509" t="inlineStr">
        <is>
          <t>FLEX</t>
        </is>
      </c>
      <c r="F9509" t="inlineStr">
        <is>
          <t>STS2000A</t>
        </is>
      </c>
      <c r="J9509" t="inlineStr">
        <is>
          <t>MATRION</t>
        </is>
      </c>
      <c r="L9509">
        <f>_xlfn.XLOOKUP(Tableau1[[#This Row],[TYPE DE PIECE]],Tableau4[MATIERE],Tableau4[SHORT TYPE],"",0,1)</f>
        <v/>
      </c>
      <c r="N9509">
        <f>IF(ISERR(FIND("DECOUPE",Tableau1[[#This Row],[DESIGNATION]])),"","NEED REF")</f>
        <v/>
      </c>
    </row>
    <row r="9510">
      <c r="B9510" t="n">
        <v>34404495</v>
      </c>
      <c r="C9510" s="2" t="n">
        <v>42081</v>
      </c>
      <c r="D9510" t="inlineStr">
        <is>
          <t>SPEC</t>
        </is>
      </c>
      <c r="E9510" t="inlineStr">
        <is>
          <t>FLEX</t>
        </is>
      </c>
      <c r="F9510" t="inlineStr">
        <is>
          <t>STS2000A</t>
        </is>
      </c>
      <c r="J9510" t="inlineStr">
        <is>
          <t>MATRION</t>
        </is>
      </c>
      <c r="L9510">
        <f>_xlfn.XLOOKUP(Tableau1[[#This Row],[TYPE DE PIECE]],Tableau4[MATIERE],Tableau4[SHORT TYPE],"",0,1)</f>
        <v/>
      </c>
      <c r="N9510">
        <f>IF(ISERR(FIND("DECOUPE",Tableau1[[#This Row],[DESIGNATION]])),"","NEED REF")</f>
        <v/>
      </c>
    </row>
    <row r="9511">
      <c r="B9511" t="n">
        <v>34404494</v>
      </c>
      <c r="C9511" s="2" t="n">
        <v>42081</v>
      </c>
      <c r="D9511" t="inlineStr">
        <is>
          <t>SPEC</t>
        </is>
      </c>
      <c r="E9511" t="inlineStr">
        <is>
          <t>PLAGE AVAL Q1_Q2 2</t>
        </is>
      </c>
      <c r="F9511" t="inlineStr">
        <is>
          <t>STS2000A</t>
        </is>
      </c>
      <c r="J9511" t="inlineStr">
        <is>
          <t>MATRION</t>
        </is>
      </c>
      <c r="L9511">
        <f>_xlfn.XLOOKUP(Tableau1[[#This Row],[TYPE DE PIECE]],Tableau4[MATIERE],Tableau4[SHORT TYPE],"",0,1)</f>
        <v/>
      </c>
      <c r="N9511">
        <f>IF(ISERR(FIND("DECOUPE",Tableau1[[#This Row],[DESIGNATION]])),"","NEED REF")</f>
        <v/>
      </c>
    </row>
    <row r="9512">
      <c r="B9512" t="n">
        <v>34404493</v>
      </c>
      <c r="C9512" s="2" t="n">
        <v>42081</v>
      </c>
      <c r="D9512" t="inlineStr">
        <is>
          <t>SPEC</t>
        </is>
      </c>
      <c r="E9512" t="inlineStr">
        <is>
          <t>CX LIAISON INTECO CS1 L1</t>
        </is>
      </c>
      <c r="F9512" t="inlineStr">
        <is>
          <t>STS2000A</t>
        </is>
      </c>
      <c r="J9512" t="inlineStr">
        <is>
          <t>MATRION</t>
        </is>
      </c>
      <c r="K9512" t="inlineStr">
        <is>
          <t>CUIVRE</t>
        </is>
      </c>
      <c r="L9512">
        <f>_xlfn.XLOOKUP(Tableau1[[#This Row],[TYPE DE PIECE]],Tableau4[MATIERE],Tableau4[SHORT TYPE],"",0,1)</f>
        <v/>
      </c>
      <c r="N9512">
        <f>IF(ISERR(FIND("DECOUPE",Tableau1[[#This Row],[DESIGNATION]])),"","NEED REF")</f>
        <v/>
      </c>
    </row>
    <row r="9513">
      <c r="B9513" t="n">
        <v>34404492</v>
      </c>
      <c r="C9513" s="2" t="n">
        <v>42081</v>
      </c>
      <c r="D9513" t="inlineStr">
        <is>
          <t>SPEC</t>
        </is>
      </c>
      <c r="E9513" t="inlineStr">
        <is>
          <t>SUPPORT ERICO JDB 3 PHASES</t>
        </is>
      </c>
      <c r="F9513" t="inlineStr">
        <is>
          <t>STS2000A</t>
        </is>
      </c>
      <c r="J9513" t="inlineStr">
        <is>
          <t>MATRION</t>
        </is>
      </c>
      <c r="K9513" t="inlineStr">
        <is>
          <t>METAL</t>
        </is>
      </c>
      <c r="L9513">
        <f>_xlfn.XLOOKUP(Tableau1[[#This Row],[TYPE DE PIECE]],Tableau4[MATIERE],Tableau4[SHORT TYPE],"",0,1)</f>
        <v/>
      </c>
      <c r="N9513">
        <f>IF(ISERR(FIND("DECOUPE",Tableau1[[#This Row],[DESIGNATION]])),"","NEED REF")</f>
        <v/>
      </c>
    </row>
    <row r="9514">
      <c r="B9514" t="n">
        <v>34404491</v>
      </c>
      <c r="C9514" s="2" t="n">
        <v>42081</v>
      </c>
      <c r="D9514" t="inlineStr">
        <is>
          <t>SPEC</t>
        </is>
      </c>
      <c r="E9514" t="inlineStr">
        <is>
          <t>FLEX CS 6</t>
        </is>
      </c>
      <c r="F9514" t="inlineStr">
        <is>
          <t>STS2000A</t>
        </is>
      </c>
      <c r="J9514" t="inlineStr">
        <is>
          <t>MATRION</t>
        </is>
      </c>
      <c r="L9514">
        <f>_xlfn.XLOOKUP(Tableau1[[#This Row],[TYPE DE PIECE]],Tableau4[MATIERE],Tableau4[SHORT TYPE],"",0,1)</f>
        <v/>
      </c>
      <c r="N9514">
        <f>IF(ISERR(FIND("DECOUPE",Tableau1[[#This Row],[DESIGNATION]])),"","NEED REF")</f>
        <v/>
      </c>
    </row>
    <row r="9515">
      <c r="B9515" t="n">
        <v>34404490</v>
      </c>
      <c r="C9515" s="2" t="n">
        <v>42081</v>
      </c>
      <c r="D9515" t="inlineStr">
        <is>
          <t>SPEC</t>
        </is>
      </c>
      <c r="E9515" t="inlineStr">
        <is>
          <t>FLEX CS 5</t>
        </is>
      </c>
      <c r="F9515" t="inlineStr">
        <is>
          <t>STS2000A</t>
        </is>
      </c>
      <c r="J9515" t="inlineStr">
        <is>
          <t>MATRION</t>
        </is>
      </c>
      <c r="L9515">
        <f>_xlfn.XLOOKUP(Tableau1[[#This Row],[TYPE DE PIECE]],Tableau4[MATIERE],Tableau4[SHORT TYPE],"",0,1)</f>
        <v/>
      </c>
      <c r="N9515">
        <f>IF(ISERR(FIND("DECOUPE",Tableau1[[#This Row],[DESIGNATION]])),"","NEED REF")</f>
        <v/>
      </c>
    </row>
    <row r="9516">
      <c r="B9516" t="n">
        <v>34404489</v>
      </c>
      <c r="C9516" s="2" t="n">
        <v>42081</v>
      </c>
      <c r="D9516" t="inlineStr">
        <is>
          <t>SPEC</t>
        </is>
      </c>
      <c r="E9516" t="inlineStr">
        <is>
          <t>FLEX CS 4</t>
        </is>
      </c>
      <c r="F9516" t="inlineStr">
        <is>
          <t>STS2000A</t>
        </is>
      </c>
      <c r="J9516" t="inlineStr">
        <is>
          <t>MATRION</t>
        </is>
      </c>
      <c r="L9516">
        <f>_xlfn.XLOOKUP(Tableau1[[#This Row],[TYPE DE PIECE]],Tableau4[MATIERE],Tableau4[SHORT TYPE],"",0,1)</f>
        <v/>
      </c>
      <c r="N9516">
        <f>IF(ISERR(FIND("DECOUPE",Tableau1[[#This Row],[DESIGNATION]])),"","NEED REF")</f>
        <v/>
      </c>
    </row>
    <row r="9517">
      <c r="B9517" t="n">
        <v>34404488</v>
      </c>
      <c r="C9517" s="2" t="n">
        <v>42081</v>
      </c>
      <c r="D9517" t="inlineStr">
        <is>
          <t>SPEC</t>
        </is>
      </c>
      <c r="E9517" t="inlineStr">
        <is>
          <t>FLEX CS 3</t>
        </is>
      </c>
      <c r="F9517" t="inlineStr">
        <is>
          <t>STS2000A</t>
        </is>
      </c>
      <c r="J9517" t="inlineStr">
        <is>
          <t>MATRION</t>
        </is>
      </c>
      <c r="K9517" t="inlineStr">
        <is>
          <t>CUIVRE</t>
        </is>
      </c>
      <c r="L9517">
        <f>_xlfn.XLOOKUP(Tableau1[[#This Row],[TYPE DE PIECE]],Tableau4[MATIERE],Tableau4[SHORT TYPE],"",0,1)</f>
        <v/>
      </c>
      <c r="N9517">
        <f>IF(ISERR(FIND("DECOUPE",Tableau1[[#This Row],[DESIGNATION]])),"","NEED REF")</f>
        <v/>
      </c>
    </row>
    <row r="9518">
      <c r="B9518" t="n">
        <v>34404487</v>
      </c>
      <c r="C9518" s="2" t="n">
        <v>42081</v>
      </c>
      <c r="D9518" t="inlineStr">
        <is>
          <t>SPEC</t>
        </is>
      </c>
      <c r="E9518" t="inlineStr">
        <is>
          <t>FLEX CS 2</t>
        </is>
      </c>
      <c r="F9518" t="inlineStr">
        <is>
          <t>STS2000A</t>
        </is>
      </c>
      <c r="J9518" t="inlineStr">
        <is>
          <t>MATRION</t>
        </is>
      </c>
      <c r="K9518" t="inlineStr">
        <is>
          <t>CUIVRE</t>
        </is>
      </c>
      <c r="L9518">
        <f>_xlfn.XLOOKUP(Tableau1[[#This Row],[TYPE DE PIECE]],Tableau4[MATIERE],Tableau4[SHORT TYPE],"",0,1)</f>
        <v/>
      </c>
      <c r="N9518">
        <f>IF(ISERR(FIND("DECOUPE",Tableau1[[#This Row],[DESIGNATION]])),"","NEED REF")</f>
        <v/>
      </c>
    </row>
    <row r="9519">
      <c r="B9519" t="n">
        <v>34404486</v>
      </c>
      <c r="C9519" s="2" t="n">
        <v>42081</v>
      </c>
      <c r="D9519" t="inlineStr">
        <is>
          <t>SPEC</t>
        </is>
      </c>
      <c r="E9519" t="inlineStr">
        <is>
          <t>FLEX CS 1</t>
        </is>
      </c>
      <c r="F9519" t="inlineStr">
        <is>
          <t>STS2000A</t>
        </is>
      </c>
      <c r="J9519" t="inlineStr">
        <is>
          <t>MATRION</t>
        </is>
      </c>
      <c r="K9519" t="inlineStr">
        <is>
          <t>CUIVRE</t>
        </is>
      </c>
      <c r="L9519">
        <f>_xlfn.XLOOKUP(Tableau1[[#This Row],[TYPE DE PIECE]],Tableau4[MATIERE],Tableau4[SHORT TYPE],"",0,1)</f>
        <v/>
      </c>
      <c r="N9519">
        <f>IF(ISERR(FIND("DECOUPE",Tableau1[[#This Row],[DESIGNATION]])),"","NEED REF")</f>
        <v/>
      </c>
    </row>
    <row r="9520">
      <c r="B9520" t="n">
        <v>34404485</v>
      </c>
      <c r="C9520" s="2" t="n">
        <v>42081</v>
      </c>
      <c r="D9520" t="inlineStr">
        <is>
          <t>SPEC</t>
        </is>
      </c>
      <c r="E9520" t="inlineStr">
        <is>
          <t>CX JONCTION JDB VERS CS 3</t>
        </is>
      </c>
      <c r="F9520" t="inlineStr">
        <is>
          <t>STS2000A</t>
        </is>
      </c>
      <c r="J9520" t="inlineStr">
        <is>
          <t>MATRION</t>
        </is>
      </c>
      <c r="K9520" t="inlineStr">
        <is>
          <t>CUIVRE</t>
        </is>
      </c>
      <c r="L9520">
        <f>_xlfn.XLOOKUP(Tableau1[[#This Row],[TYPE DE PIECE]],Tableau4[MATIERE],Tableau4[SHORT TYPE],"",0,1)</f>
        <v/>
      </c>
      <c r="N9520">
        <f>IF(ISERR(FIND("DECOUPE",Tableau1[[#This Row],[DESIGNATION]])),"","NEED REF")</f>
        <v/>
      </c>
    </row>
    <row r="9521">
      <c r="B9521" t="n">
        <v>34404484</v>
      </c>
      <c r="C9521" s="2" t="n">
        <v>42081</v>
      </c>
      <c r="D9521" t="inlineStr">
        <is>
          <t>SPEC</t>
        </is>
      </c>
      <c r="E9521" t="inlineStr">
        <is>
          <t>CX JONCTION JDB VERS CS 2</t>
        </is>
      </c>
      <c r="F9521" t="inlineStr">
        <is>
          <t>STS2000A</t>
        </is>
      </c>
      <c r="J9521" t="inlineStr">
        <is>
          <t>MATRION</t>
        </is>
      </c>
      <c r="K9521" t="inlineStr">
        <is>
          <t>CUIVRE</t>
        </is>
      </c>
      <c r="L9521">
        <f>_xlfn.XLOOKUP(Tableau1[[#This Row],[TYPE DE PIECE]],Tableau4[MATIERE],Tableau4[SHORT TYPE],"",0,1)</f>
        <v/>
      </c>
      <c r="N9521">
        <f>IF(ISERR(FIND("DECOUPE",Tableau1[[#This Row],[DESIGNATION]])),"","NEED REF")</f>
        <v/>
      </c>
    </row>
    <row r="9522">
      <c r="B9522" t="n">
        <v>34404483</v>
      </c>
      <c r="C9522" s="2" t="n">
        <v>42081</v>
      </c>
      <c r="D9522" t="inlineStr">
        <is>
          <t>SPEC</t>
        </is>
      </c>
      <c r="E9522" t="inlineStr">
        <is>
          <t>CX JONCTION JDB VERS CS 1</t>
        </is>
      </c>
      <c r="F9522" t="inlineStr">
        <is>
          <t>STS2000A</t>
        </is>
      </c>
      <c r="J9522" t="inlineStr">
        <is>
          <t>MATRION</t>
        </is>
      </c>
      <c r="K9522" t="inlineStr">
        <is>
          <t>CUIVRE</t>
        </is>
      </c>
      <c r="L9522">
        <f>_xlfn.XLOOKUP(Tableau1[[#This Row],[TYPE DE PIECE]],Tableau4[MATIERE],Tableau4[SHORT TYPE],"",0,1)</f>
        <v/>
      </c>
      <c r="N9522">
        <f>IF(ISERR(FIND("DECOUPE",Tableau1[[#This Row],[DESIGNATION]])),"","NEED REF")</f>
        <v/>
      </c>
    </row>
    <row r="9523">
      <c r="B9523" t="n">
        <v>34404482</v>
      </c>
      <c r="C9523" s="2" t="n">
        <v>42081</v>
      </c>
      <c r="D9523" t="inlineStr">
        <is>
          <t>SPEC</t>
        </is>
      </c>
      <c r="E9523" t="inlineStr">
        <is>
          <t>CX COUPLAGE LEM</t>
        </is>
      </c>
      <c r="F9523" t="inlineStr">
        <is>
          <t>STS2000A</t>
        </is>
      </c>
      <c r="J9523" t="inlineStr">
        <is>
          <t>MATRION</t>
        </is>
      </c>
      <c r="L9523">
        <f>_xlfn.XLOOKUP(Tableau1[[#This Row],[TYPE DE PIECE]],Tableau4[MATIERE],Tableau4[SHORT TYPE],"",0,1)</f>
        <v/>
      </c>
      <c r="N9523">
        <f>IF(ISERR(FIND("DECOUPE",Tableau1[[#This Row],[DESIGNATION]])),"","NEED REF")</f>
        <v/>
      </c>
    </row>
    <row r="9524">
      <c r="B9524" t="n">
        <v>34404481</v>
      </c>
      <c r="C9524" s="2" t="n">
        <v>42081</v>
      </c>
      <c r="D9524" t="inlineStr">
        <is>
          <t>SPEC</t>
        </is>
      </c>
      <c r="E9524" t="inlineStr">
        <is>
          <t>CX COUPLAGE LEM</t>
        </is>
      </c>
      <c r="F9524" t="inlineStr">
        <is>
          <t>STS2000A</t>
        </is>
      </c>
      <c r="J9524" t="inlineStr">
        <is>
          <t>MATRION</t>
        </is>
      </c>
      <c r="L9524">
        <f>_xlfn.XLOOKUP(Tableau1[[#This Row],[TYPE DE PIECE]],Tableau4[MATIERE],Tableau4[SHORT TYPE],"",0,1)</f>
        <v/>
      </c>
      <c r="N9524">
        <f>IF(ISERR(FIND("DECOUPE",Tableau1[[#This Row],[DESIGNATION]])),"","NEED REF")</f>
        <v/>
      </c>
    </row>
    <row r="9525">
      <c r="B9525" t="n">
        <v>34404480</v>
      </c>
      <c r="C9525" s="2" t="n">
        <v>42081</v>
      </c>
      <c r="D9525" t="inlineStr">
        <is>
          <t>SPEC</t>
        </is>
      </c>
      <c r="E9525" t="inlineStr">
        <is>
          <t>CX COUPLAGE LEM 1</t>
        </is>
      </c>
      <c r="F9525" t="inlineStr">
        <is>
          <t>STS2000A</t>
        </is>
      </c>
      <c r="J9525" t="inlineStr">
        <is>
          <t>MATRION</t>
        </is>
      </c>
      <c r="K9525" t="inlineStr">
        <is>
          <t>CUIVRE</t>
        </is>
      </c>
      <c r="L9525">
        <f>_xlfn.XLOOKUP(Tableau1[[#This Row],[TYPE DE PIECE]],Tableau4[MATIERE],Tableau4[SHORT TYPE],"",0,1)</f>
        <v/>
      </c>
      <c r="N9525">
        <f>IF(ISERR(FIND("DECOUPE",Tableau1[[#This Row],[DESIGNATION]])),"","NEED REF")</f>
        <v/>
      </c>
    </row>
    <row r="9526">
      <c r="B9526" t="n">
        <v>34404479</v>
      </c>
      <c r="C9526" s="2" t="n">
        <v>42081</v>
      </c>
      <c r="D9526" t="inlineStr">
        <is>
          <t>SPEC</t>
        </is>
      </c>
      <c r="E9526" t="inlineStr">
        <is>
          <t>CUIVRE LEM 2</t>
        </is>
      </c>
      <c r="F9526" t="inlineStr">
        <is>
          <t>STS2000A</t>
        </is>
      </c>
      <c r="J9526" t="inlineStr">
        <is>
          <t>MATRION</t>
        </is>
      </c>
      <c r="L9526">
        <f>_xlfn.XLOOKUP(Tableau1[[#This Row],[TYPE DE PIECE]],Tableau4[MATIERE],Tableau4[SHORT TYPE],"",0,1)</f>
        <v/>
      </c>
      <c r="N9526">
        <f>IF(ISERR(FIND("DECOUPE",Tableau1[[#This Row],[DESIGNATION]])),"","NEED REF")</f>
        <v/>
      </c>
    </row>
    <row r="9527">
      <c r="B9527" t="n">
        <v>34404478</v>
      </c>
      <c r="C9527" s="2" t="n">
        <v>42081</v>
      </c>
      <c r="D9527" t="inlineStr">
        <is>
          <t>SPEC</t>
        </is>
      </c>
      <c r="E9527" t="inlineStr">
        <is>
          <t>CUIVRE LEM 1</t>
        </is>
      </c>
      <c r="F9527" t="inlineStr">
        <is>
          <t>STS2000A</t>
        </is>
      </c>
      <c r="J9527" t="inlineStr">
        <is>
          <t>MATRION</t>
        </is>
      </c>
      <c r="L9527">
        <f>_xlfn.XLOOKUP(Tableau1[[#This Row],[TYPE DE PIECE]],Tableau4[MATIERE],Tableau4[SHORT TYPE],"",0,1)</f>
        <v/>
      </c>
      <c r="N9527">
        <f>IF(ISERR(FIND("DECOUPE",Tableau1[[#This Row],[DESIGNATION]])),"","NEED REF")</f>
        <v/>
      </c>
    </row>
    <row r="9528">
      <c r="B9528" t="n">
        <v>34404477</v>
      </c>
      <c r="C9528" s="2" t="n">
        <v>42081</v>
      </c>
      <c r="D9528" t="inlineStr">
        <is>
          <t>SPEC</t>
        </is>
      </c>
      <c r="E9528" t="inlineStr">
        <is>
          <t>CUIVRE LEM 2</t>
        </is>
      </c>
      <c r="F9528" t="inlineStr">
        <is>
          <t>STS2000A</t>
        </is>
      </c>
      <c r="J9528" t="inlineStr">
        <is>
          <t>MATRION</t>
        </is>
      </c>
      <c r="L9528">
        <f>_xlfn.XLOOKUP(Tableau1[[#This Row],[TYPE DE PIECE]],Tableau4[MATIERE],Tableau4[SHORT TYPE],"",0,1)</f>
        <v/>
      </c>
      <c r="N9528">
        <f>IF(ISERR(FIND("DECOUPE",Tableau1[[#This Row],[DESIGNATION]])),"","NEED REF")</f>
        <v/>
      </c>
    </row>
    <row r="9529">
      <c r="B9529" t="n">
        <v>34404476</v>
      </c>
      <c r="C9529" s="2" t="n">
        <v>42081</v>
      </c>
      <c r="D9529" t="inlineStr">
        <is>
          <t>SPEC</t>
        </is>
      </c>
      <c r="E9529" t="inlineStr">
        <is>
          <t>CUIVRE LEM 1</t>
        </is>
      </c>
      <c r="F9529" t="inlineStr">
        <is>
          <t>STS2000A</t>
        </is>
      </c>
      <c r="J9529" t="inlineStr">
        <is>
          <t>MATRION</t>
        </is>
      </c>
      <c r="L9529">
        <f>_xlfn.XLOOKUP(Tableau1[[#This Row],[TYPE DE PIECE]],Tableau4[MATIERE],Tableau4[SHORT TYPE],"",0,1)</f>
        <v/>
      </c>
      <c r="N9529">
        <f>IF(ISERR(FIND("DECOUPE",Tableau1[[#This Row],[DESIGNATION]])),"","NEED REF")</f>
        <v/>
      </c>
    </row>
    <row r="9530">
      <c r="B9530" t="n">
        <v>34404475</v>
      </c>
      <c r="C9530" s="2" t="n">
        <v>42081</v>
      </c>
      <c r="D9530" t="inlineStr">
        <is>
          <t>SPEC</t>
        </is>
      </c>
      <c r="E9530" t="inlineStr">
        <is>
          <t>CX LEM 2</t>
        </is>
      </c>
      <c r="F9530" t="inlineStr">
        <is>
          <t>STS2000A</t>
        </is>
      </c>
      <c r="J9530" t="inlineStr">
        <is>
          <t>MATRION</t>
        </is>
      </c>
      <c r="K9530" t="inlineStr">
        <is>
          <t>CUIVRE</t>
        </is>
      </c>
      <c r="L9530">
        <f>_xlfn.XLOOKUP(Tableau1[[#This Row],[TYPE DE PIECE]],Tableau4[MATIERE],Tableau4[SHORT TYPE],"",0,1)</f>
        <v/>
      </c>
      <c r="N9530">
        <f>IF(ISERR(FIND("DECOUPE",Tableau1[[#This Row],[DESIGNATION]])),"","NEED REF")</f>
        <v/>
      </c>
    </row>
    <row r="9531">
      <c r="B9531" t="n">
        <v>34404474</v>
      </c>
      <c r="C9531" s="2" t="n">
        <v>42081</v>
      </c>
      <c r="D9531" t="inlineStr">
        <is>
          <t>SPEC</t>
        </is>
      </c>
      <c r="E9531" t="inlineStr">
        <is>
          <t>CX LEM 1</t>
        </is>
      </c>
      <c r="F9531" t="inlineStr">
        <is>
          <t>STS2000A</t>
        </is>
      </c>
      <c r="J9531" t="inlineStr">
        <is>
          <t>MATRION</t>
        </is>
      </c>
      <c r="K9531" t="inlineStr">
        <is>
          <t>CUIVRE</t>
        </is>
      </c>
      <c r="L9531">
        <f>_xlfn.XLOOKUP(Tableau1[[#This Row],[TYPE DE PIECE]],Tableau4[MATIERE],Tableau4[SHORT TYPE],"",0,1)</f>
        <v/>
      </c>
      <c r="N9531">
        <f>IF(ISERR(FIND("DECOUPE",Tableau1[[#This Row],[DESIGNATION]])),"","NEED REF")</f>
        <v/>
      </c>
    </row>
    <row r="9532">
      <c r="B9532" t="n">
        <v>34404473</v>
      </c>
      <c r="C9532" s="2" t="n">
        <v>42081</v>
      </c>
      <c r="D9532" t="inlineStr">
        <is>
          <t>SPEC</t>
        </is>
      </c>
      <c r="E9532" t="inlineStr">
        <is>
          <t>MODULE CS</t>
        </is>
      </c>
      <c r="F9532" t="inlineStr">
        <is>
          <t>STS2000A</t>
        </is>
      </c>
      <c r="J9532" t="inlineStr">
        <is>
          <t>MATRION</t>
        </is>
      </c>
      <c r="L9532">
        <f>_xlfn.XLOOKUP(Tableau1[[#This Row],[TYPE DE PIECE]],Tableau4[MATIERE],Tableau4[SHORT TYPE],"",0,1)</f>
        <v/>
      </c>
      <c r="N9532">
        <f>IF(ISERR(FIND("DECOUPE",Tableau1[[#This Row],[DESIGNATION]])),"","NEED REF")</f>
        <v/>
      </c>
    </row>
    <row r="9533">
      <c r="B9533" t="n">
        <v>34404472</v>
      </c>
      <c r="C9533" s="2" t="n">
        <v>42081</v>
      </c>
      <c r="D9533" t="inlineStr">
        <is>
          <t>SPEC</t>
        </is>
      </c>
      <c r="E9533" t="inlineStr">
        <is>
          <t>SUPPORT CS MODULE 2</t>
        </is>
      </c>
      <c r="F9533" t="inlineStr">
        <is>
          <t>STS2000A</t>
        </is>
      </c>
      <c r="J9533" t="inlineStr">
        <is>
          <t>MATRION</t>
        </is>
      </c>
      <c r="K9533" t="inlineStr">
        <is>
          <t>METAL</t>
        </is>
      </c>
      <c r="L9533">
        <f>_xlfn.XLOOKUP(Tableau1[[#This Row],[TYPE DE PIECE]],Tableau4[MATIERE],Tableau4[SHORT TYPE],"",0,1)</f>
        <v/>
      </c>
      <c r="N9533">
        <f>IF(ISERR(FIND("DECOUPE",Tableau1[[#This Row],[DESIGNATION]])),"","NEED REF")</f>
        <v/>
      </c>
    </row>
    <row r="9534">
      <c r="B9534" t="n">
        <v>34404471</v>
      </c>
      <c r="C9534" s="2" t="n">
        <v>42081</v>
      </c>
      <c r="D9534" t="inlineStr">
        <is>
          <t>SPEC</t>
        </is>
      </c>
      <c r="E9534" t="inlineStr">
        <is>
          <t>SUPPORT CS MODULE 1</t>
        </is>
      </c>
      <c r="F9534" t="inlineStr">
        <is>
          <t>STS2000A</t>
        </is>
      </c>
      <c r="J9534" t="inlineStr">
        <is>
          <t>MATRION</t>
        </is>
      </c>
      <c r="K9534" t="inlineStr">
        <is>
          <t>METAL</t>
        </is>
      </c>
      <c r="L9534">
        <f>_xlfn.XLOOKUP(Tableau1[[#This Row],[TYPE DE PIECE]],Tableau4[MATIERE],Tableau4[SHORT TYPE],"",0,1)</f>
        <v/>
      </c>
      <c r="N9534">
        <f>IF(ISERR(FIND("DECOUPE",Tableau1[[#This Row],[DESIGNATION]])),"","NEED REF")</f>
        <v/>
      </c>
    </row>
    <row r="9535">
      <c r="B9535" t="n">
        <v>34404470</v>
      </c>
      <c r="C9535" s="2" t="n">
        <v>42081</v>
      </c>
      <c r="D9535" t="inlineStr">
        <is>
          <t>SPEC</t>
        </is>
      </c>
      <c r="E9535" t="inlineStr">
        <is>
          <t>RAIL CS MODULE 2</t>
        </is>
      </c>
      <c r="F9535" t="inlineStr">
        <is>
          <t>STS2000A</t>
        </is>
      </c>
      <c r="J9535" t="inlineStr">
        <is>
          <t>MATRION</t>
        </is>
      </c>
      <c r="K9535" t="inlineStr">
        <is>
          <t>METAL</t>
        </is>
      </c>
      <c r="L9535">
        <f>_xlfn.XLOOKUP(Tableau1[[#This Row],[TYPE DE PIECE]],Tableau4[MATIERE],Tableau4[SHORT TYPE],"",0,1)</f>
        <v/>
      </c>
      <c r="N9535">
        <f>IF(ISERR(FIND("DECOUPE",Tableau1[[#This Row],[DESIGNATION]])),"","NEED REF")</f>
        <v/>
      </c>
    </row>
    <row r="9536">
      <c r="B9536" t="n">
        <v>34404469</v>
      </c>
      <c r="C9536" s="2" t="n">
        <v>42081</v>
      </c>
      <c r="D9536" t="inlineStr">
        <is>
          <t>SPEC</t>
        </is>
      </c>
      <c r="E9536" t="inlineStr">
        <is>
          <t>RAIL CS MODULE 1</t>
        </is>
      </c>
      <c r="F9536" t="inlineStr">
        <is>
          <t>STS2000A</t>
        </is>
      </c>
      <c r="J9536" t="inlineStr">
        <is>
          <t>MATRION</t>
        </is>
      </c>
      <c r="K9536" t="inlineStr">
        <is>
          <t>METAL</t>
        </is>
      </c>
      <c r="L9536">
        <f>_xlfn.XLOOKUP(Tableau1[[#This Row],[TYPE DE PIECE]],Tableau4[MATIERE],Tableau4[SHORT TYPE],"",0,1)</f>
        <v/>
      </c>
      <c r="N9536">
        <f>IF(ISERR(FIND("DECOUPE",Tableau1[[#This Row],[DESIGNATION]])),"","NEED REF")</f>
        <v/>
      </c>
    </row>
    <row r="9537">
      <c r="B9537" t="n">
        <v>34404468</v>
      </c>
      <c r="C9537" s="2" t="n">
        <v>42081</v>
      </c>
      <c r="D9537" t="inlineStr">
        <is>
          <t>SPEC</t>
        </is>
      </c>
      <c r="E9537" t="inlineStr">
        <is>
          <t>CALE SERRAGE FLEXIBAR 80</t>
        </is>
      </c>
      <c r="F9537" t="inlineStr">
        <is>
          <t>STS2000A</t>
        </is>
      </c>
      <c r="J9537" t="inlineStr">
        <is>
          <t>MATRION</t>
        </is>
      </c>
      <c r="L9537">
        <f>_xlfn.XLOOKUP(Tableau1[[#This Row],[TYPE DE PIECE]],Tableau4[MATIERE],Tableau4[SHORT TYPE],"",0,1)</f>
        <v/>
      </c>
      <c r="N9537">
        <f>IF(ISERR(FIND("DECOUPE",Tableau1[[#This Row],[DESIGNATION]])),"","NEED REF")</f>
        <v/>
      </c>
    </row>
    <row r="9538">
      <c r="B9538" t="n">
        <v>34404467</v>
      </c>
      <c r="C9538" s="2" t="n">
        <v>42081</v>
      </c>
      <c r="D9538" t="inlineStr">
        <is>
          <t>SPEC</t>
        </is>
      </c>
      <c r="E9538" t="inlineStr">
        <is>
          <t>SUPPORT ERICO JDB 3</t>
        </is>
      </c>
      <c r="F9538" t="inlineStr">
        <is>
          <t>STS2000A</t>
        </is>
      </c>
      <c r="J9538" t="inlineStr">
        <is>
          <t>MATRION</t>
        </is>
      </c>
      <c r="K9538" t="inlineStr">
        <is>
          <t>METAL</t>
        </is>
      </c>
      <c r="L9538">
        <f>_xlfn.XLOOKUP(Tableau1[[#This Row],[TYPE DE PIECE]],Tableau4[MATIERE],Tableau4[SHORT TYPE],"",0,1)</f>
        <v/>
      </c>
      <c r="N9538">
        <f>IF(ISERR(FIND("DECOUPE",Tableau1[[#This Row],[DESIGNATION]])),"","NEED REF")</f>
        <v/>
      </c>
    </row>
    <row r="9539">
      <c r="B9539" t="n">
        <v>34404466</v>
      </c>
      <c r="C9539" s="2" t="n">
        <v>42081</v>
      </c>
      <c r="D9539" t="inlineStr">
        <is>
          <t>SPEC</t>
        </is>
      </c>
      <c r="E9539" t="inlineStr">
        <is>
          <t>SUPPORT ERICO 800 2</t>
        </is>
      </c>
      <c r="F9539" t="inlineStr">
        <is>
          <t>STS2000A</t>
        </is>
      </c>
      <c r="J9539" t="inlineStr">
        <is>
          <t>MATRION</t>
        </is>
      </c>
      <c r="K9539" t="inlineStr">
        <is>
          <t>METAL</t>
        </is>
      </c>
      <c r="L9539">
        <f>_xlfn.XLOOKUP(Tableau1[[#This Row],[TYPE DE PIECE]],Tableau4[MATIERE],Tableau4[SHORT TYPE],"",0,1)</f>
        <v/>
      </c>
      <c r="N9539">
        <f>IF(ISERR(FIND("DECOUPE",Tableau1[[#This Row],[DESIGNATION]])),"","NEED REF")</f>
        <v/>
      </c>
    </row>
    <row r="9540">
      <c r="B9540" t="n">
        <v>34404465</v>
      </c>
      <c r="C9540" s="2" t="n">
        <v>42081</v>
      </c>
      <c r="D9540" t="inlineStr">
        <is>
          <t>SPEC</t>
        </is>
      </c>
      <c r="E9540" t="inlineStr">
        <is>
          <t>SUPPORT ERICO 600 2</t>
        </is>
      </c>
      <c r="F9540" t="inlineStr">
        <is>
          <t>STS2000A</t>
        </is>
      </c>
      <c r="J9540" t="inlineStr">
        <is>
          <t>MATRION</t>
        </is>
      </c>
      <c r="K9540" t="inlineStr">
        <is>
          <t>METAL</t>
        </is>
      </c>
      <c r="L9540">
        <f>_xlfn.XLOOKUP(Tableau1[[#This Row],[TYPE DE PIECE]],Tableau4[MATIERE],Tableau4[SHORT TYPE],"",0,1)</f>
        <v/>
      </c>
      <c r="N9540">
        <f>IF(ISERR(FIND("DECOUPE",Tableau1[[#This Row],[DESIGNATION]])),"","NEED REF")</f>
        <v/>
      </c>
    </row>
    <row r="9541">
      <c r="B9541" t="n">
        <v>34404464</v>
      </c>
      <c r="C9541" s="2" t="n">
        <v>42081</v>
      </c>
      <c r="D9541" t="inlineStr">
        <is>
          <t>SPEC</t>
        </is>
      </c>
      <c r="E9541" t="inlineStr">
        <is>
          <t>SUPPORT ERICO JDB 2</t>
        </is>
      </c>
      <c r="F9541" t="inlineStr">
        <is>
          <t>STS2000A</t>
        </is>
      </c>
      <c r="J9541" t="inlineStr">
        <is>
          <t>MATRION</t>
        </is>
      </c>
      <c r="K9541" t="inlineStr">
        <is>
          <t>METAL</t>
        </is>
      </c>
      <c r="L9541">
        <f>_xlfn.XLOOKUP(Tableau1[[#This Row],[TYPE DE PIECE]],Tableau4[MATIERE],Tableau4[SHORT TYPE],"",0,1)</f>
        <v/>
      </c>
      <c r="N9541">
        <f>IF(ISERR(FIND("DECOUPE",Tableau1[[#This Row],[DESIGNATION]])),"","NEED REF")</f>
        <v/>
      </c>
    </row>
    <row r="9542">
      <c r="B9542" t="n">
        <v>34404463</v>
      </c>
      <c r="C9542" s="2" t="n">
        <v>42081</v>
      </c>
      <c r="D9542" t="inlineStr">
        <is>
          <t>SPEC</t>
        </is>
      </c>
      <c r="E9542" t="inlineStr">
        <is>
          <t>SUPPORT ERICO JDB 1</t>
        </is>
      </c>
      <c r="F9542" t="inlineStr">
        <is>
          <t>STS2000A</t>
        </is>
      </c>
      <c r="J9542" t="inlineStr">
        <is>
          <t>MATRION</t>
        </is>
      </c>
      <c r="K9542" t="inlineStr">
        <is>
          <t>METAL</t>
        </is>
      </c>
      <c r="L9542">
        <f>_xlfn.XLOOKUP(Tableau1[[#This Row],[TYPE DE PIECE]],Tableau4[MATIERE],Tableau4[SHORT TYPE],"",0,1)</f>
        <v/>
      </c>
      <c r="N9542">
        <f>IF(ISERR(FIND("DECOUPE",Tableau1[[#This Row],[DESIGNATION]])),"","NEED REF")</f>
        <v/>
      </c>
    </row>
    <row r="9543">
      <c r="B9543" t="n">
        <v>34404462</v>
      </c>
      <c r="C9543" s="2" t="n">
        <v>42081</v>
      </c>
      <c r="D9543" t="inlineStr">
        <is>
          <t>SPEC</t>
        </is>
      </c>
      <c r="E9543" t="inlineStr">
        <is>
          <t>SUPPORT ERICO 800 1</t>
        </is>
      </c>
      <c r="F9543" t="inlineStr">
        <is>
          <t>STS2000A</t>
        </is>
      </c>
      <c r="J9543" t="inlineStr">
        <is>
          <t>MATRION</t>
        </is>
      </c>
      <c r="K9543" t="inlineStr">
        <is>
          <t>METAL</t>
        </is>
      </c>
      <c r="L9543">
        <f>_xlfn.XLOOKUP(Tableau1[[#This Row],[TYPE DE PIECE]],Tableau4[MATIERE],Tableau4[SHORT TYPE],"",0,1)</f>
        <v/>
      </c>
      <c r="N9543">
        <f>IF(ISERR(FIND("DECOUPE",Tableau1[[#This Row],[DESIGNATION]])),"","NEED REF")</f>
        <v/>
      </c>
    </row>
    <row r="9544">
      <c r="B9544" t="n">
        <v>34404461</v>
      </c>
      <c r="C9544" s="2" t="n">
        <v>42081</v>
      </c>
      <c r="D9544" t="inlineStr">
        <is>
          <t>SPEC</t>
        </is>
      </c>
      <c r="E9544" t="inlineStr">
        <is>
          <t>SUPPORT ERICO 600 1</t>
        </is>
      </c>
      <c r="F9544" t="inlineStr">
        <is>
          <t>STS2000A</t>
        </is>
      </c>
      <c r="J9544" t="inlineStr">
        <is>
          <t>MATRION</t>
        </is>
      </c>
      <c r="K9544" t="inlineStr">
        <is>
          <t>METAL</t>
        </is>
      </c>
      <c r="L9544">
        <f>_xlfn.XLOOKUP(Tableau1[[#This Row],[TYPE DE PIECE]],Tableau4[MATIERE],Tableau4[SHORT TYPE],"",0,1)</f>
        <v/>
      </c>
      <c r="N9544">
        <f>IF(ISERR(FIND("DECOUPE",Tableau1[[#This Row],[DESIGNATION]])),"","NEED REF")</f>
        <v/>
      </c>
    </row>
    <row r="9545">
      <c r="B9545" t="n">
        <v>34404460</v>
      </c>
      <c r="C9545" s="2" t="n">
        <v>42081</v>
      </c>
      <c r="D9545" t="inlineStr">
        <is>
          <t>SPEC</t>
        </is>
      </c>
      <c r="E9545" t="inlineStr">
        <is>
          <t>CX NEUTRE 5</t>
        </is>
      </c>
      <c r="F9545" t="inlineStr">
        <is>
          <t>STS2000A</t>
        </is>
      </c>
      <c r="J9545" t="inlineStr">
        <is>
          <t>MATRION</t>
        </is>
      </c>
      <c r="K9545" t="inlineStr">
        <is>
          <t>CUIVRE</t>
        </is>
      </c>
      <c r="L9545">
        <f>_xlfn.XLOOKUP(Tableau1[[#This Row],[TYPE DE PIECE]],Tableau4[MATIERE],Tableau4[SHORT TYPE],"",0,1)</f>
        <v/>
      </c>
      <c r="N9545">
        <f>IF(ISERR(FIND("DECOUPE",Tableau1[[#This Row],[DESIGNATION]])),"","NEED REF")</f>
        <v/>
      </c>
    </row>
    <row r="9546">
      <c r="B9546" t="n">
        <v>34404459</v>
      </c>
      <c r="C9546" s="2" t="n">
        <v>42081</v>
      </c>
      <c r="D9546" t="inlineStr">
        <is>
          <t>SPEC</t>
        </is>
      </c>
      <c r="E9546" t="inlineStr">
        <is>
          <t>CX NEUTRE 4</t>
        </is>
      </c>
      <c r="F9546" t="inlineStr">
        <is>
          <t>STS2000A</t>
        </is>
      </c>
      <c r="J9546" t="inlineStr">
        <is>
          <t>MATRION</t>
        </is>
      </c>
      <c r="K9546" t="inlineStr">
        <is>
          <t>CUIVRE</t>
        </is>
      </c>
      <c r="L9546">
        <f>_xlfn.XLOOKUP(Tableau1[[#This Row],[TYPE DE PIECE]],Tableau4[MATIERE],Tableau4[SHORT TYPE],"",0,1)</f>
        <v/>
      </c>
      <c r="N9546">
        <f>IF(ISERR(FIND("DECOUPE",Tableau1[[#This Row],[DESIGNATION]])),"","NEED REF")</f>
        <v/>
      </c>
    </row>
    <row r="9547">
      <c r="B9547" t="n">
        <v>34404458</v>
      </c>
      <c r="C9547" s="2" t="n">
        <v>42081</v>
      </c>
      <c r="D9547" t="inlineStr">
        <is>
          <t>SPEC</t>
        </is>
      </c>
      <c r="E9547" t="inlineStr">
        <is>
          <t>CX NEUTRE 3</t>
        </is>
      </c>
      <c r="F9547" t="inlineStr">
        <is>
          <t>STS2000A</t>
        </is>
      </c>
      <c r="J9547" t="inlineStr">
        <is>
          <t>MATRION</t>
        </is>
      </c>
      <c r="K9547" t="inlineStr">
        <is>
          <t>CUIVRE</t>
        </is>
      </c>
      <c r="L9547">
        <f>_xlfn.XLOOKUP(Tableau1[[#This Row],[TYPE DE PIECE]],Tableau4[MATIERE],Tableau4[SHORT TYPE],"",0,1)</f>
        <v/>
      </c>
      <c r="N9547">
        <f>IF(ISERR(FIND("DECOUPE",Tableau1[[#This Row],[DESIGNATION]])),"","NEED REF")</f>
        <v/>
      </c>
    </row>
    <row r="9548">
      <c r="B9548" t="n">
        <v>34404457</v>
      </c>
      <c r="C9548" s="2" t="n">
        <v>42081</v>
      </c>
      <c r="D9548" t="inlineStr">
        <is>
          <t>SPEC</t>
        </is>
      </c>
      <c r="E9548" t="inlineStr">
        <is>
          <t>CX NEUTRE 2</t>
        </is>
      </c>
      <c r="F9548" t="inlineStr">
        <is>
          <t>STS2000A</t>
        </is>
      </c>
      <c r="J9548" t="inlineStr">
        <is>
          <t>MATRION</t>
        </is>
      </c>
      <c r="K9548" t="inlineStr">
        <is>
          <t>CUIVRE</t>
        </is>
      </c>
      <c r="L9548">
        <f>_xlfn.XLOOKUP(Tableau1[[#This Row],[TYPE DE PIECE]],Tableau4[MATIERE],Tableau4[SHORT TYPE],"",0,1)</f>
        <v/>
      </c>
      <c r="N9548">
        <f>IF(ISERR(FIND("DECOUPE",Tableau1[[#This Row],[DESIGNATION]])),"","NEED REF")</f>
        <v/>
      </c>
    </row>
    <row r="9549">
      <c r="B9549" t="n">
        <v>34404456</v>
      </c>
      <c r="C9549" s="2" t="n">
        <v>42081</v>
      </c>
      <c r="D9549" t="inlineStr">
        <is>
          <t>SPEC</t>
        </is>
      </c>
      <c r="E9549" t="inlineStr">
        <is>
          <t>CX NEUTRE 1</t>
        </is>
      </c>
      <c r="F9549" t="inlineStr">
        <is>
          <t>STS2000A</t>
        </is>
      </c>
      <c r="J9549" t="inlineStr">
        <is>
          <t>MATRION</t>
        </is>
      </c>
      <c r="K9549" t="inlineStr">
        <is>
          <t>CUIVRE</t>
        </is>
      </c>
      <c r="L9549">
        <f>_xlfn.XLOOKUP(Tableau1[[#This Row],[TYPE DE PIECE]],Tableau4[MATIERE],Tableau4[SHORT TYPE],"",0,1)</f>
        <v/>
      </c>
      <c r="N9549">
        <f>IF(ISERR(FIND("DECOUPE",Tableau1[[#This Row],[DESIGNATION]])),"","NEED REF")</f>
        <v/>
      </c>
    </row>
    <row r="9550">
      <c r="B9550" t="n">
        <v>34404455</v>
      </c>
      <c r="C9550" s="2" t="n">
        <v>42081</v>
      </c>
      <c r="D9550" t="inlineStr">
        <is>
          <t>SPEC</t>
        </is>
      </c>
      <c r="E9550" t="inlineStr">
        <is>
          <t>CX JDB JUNCTION 8</t>
        </is>
      </c>
      <c r="F9550" t="inlineStr">
        <is>
          <t>STS2000A</t>
        </is>
      </c>
      <c r="J9550" t="inlineStr">
        <is>
          <t>MATRION</t>
        </is>
      </c>
      <c r="L9550">
        <f>_xlfn.XLOOKUP(Tableau1[[#This Row],[TYPE DE PIECE]],Tableau4[MATIERE],Tableau4[SHORT TYPE],"",0,1)</f>
        <v/>
      </c>
      <c r="N9550">
        <f>IF(ISERR(FIND("DECOUPE",Tableau1[[#This Row],[DESIGNATION]])),"","NEED REF")</f>
        <v/>
      </c>
    </row>
    <row r="9551">
      <c r="B9551" t="n">
        <v>34404454</v>
      </c>
      <c r="C9551" s="2" t="n">
        <v>42081</v>
      </c>
      <c r="D9551" t="inlineStr">
        <is>
          <t>SPEC</t>
        </is>
      </c>
      <c r="E9551" t="inlineStr">
        <is>
          <t>CX JDB JUNCTION 7</t>
        </is>
      </c>
      <c r="F9551" t="inlineStr">
        <is>
          <t>STS2000A</t>
        </is>
      </c>
      <c r="J9551" t="inlineStr">
        <is>
          <t>MATRION</t>
        </is>
      </c>
      <c r="K9551" t="inlineStr">
        <is>
          <t>CUIVRE</t>
        </is>
      </c>
      <c r="L9551">
        <f>_xlfn.XLOOKUP(Tableau1[[#This Row],[TYPE DE PIECE]],Tableau4[MATIERE],Tableau4[SHORT TYPE],"",0,1)</f>
        <v/>
      </c>
      <c r="N9551">
        <f>IF(ISERR(FIND("DECOUPE",Tableau1[[#This Row],[DESIGNATION]])),"","NEED REF")</f>
        <v/>
      </c>
    </row>
    <row r="9552">
      <c r="B9552" t="n">
        <v>34404453</v>
      </c>
      <c r="C9552" s="2" t="n">
        <v>42081</v>
      </c>
      <c r="D9552" t="inlineStr">
        <is>
          <t>SPEC</t>
        </is>
      </c>
      <c r="E9552" t="inlineStr">
        <is>
          <t>CX JDB JUNCTION 6</t>
        </is>
      </c>
      <c r="F9552" t="inlineStr">
        <is>
          <t>STS2000A</t>
        </is>
      </c>
      <c r="J9552" t="inlineStr">
        <is>
          <t>MATRION</t>
        </is>
      </c>
      <c r="K9552" t="inlineStr">
        <is>
          <t>CUIVRE</t>
        </is>
      </c>
      <c r="L9552">
        <f>_xlfn.XLOOKUP(Tableau1[[#This Row],[TYPE DE PIECE]],Tableau4[MATIERE],Tableau4[SHORT TYPE],"",0,1)</f>
        <v/>
      </c>
      <c r="N9552">
        <f>IF(ISERR(FIND("DECOUPE",Tableau1[[#This Row],[DESIGNATION]])),"","NEED REF")</f>
        <v/>
      </c>
    </row>
    <row r="9553">
      <c r="B9553" t="n">
        <v>34404452</v>
      </c>
      <c r="C9553" s="2" t="n">
        <v>42089</v>
      </c>
      <c r="D9553" t="inlineStr">
        <is>
          <t>CDC</t>
        </is>
      </c>
      <c r="E9553" t="inlineStr">
        <is>
          <t>CDC BYPASS 200kW APC</t>
        </is>
      </c>
      <c r="F9553" t="inlineStr">
        <is>
          <t>BYPASS 200kW APC</t>
        </is>
      </c>
      <c r="J9553" t="inlineStr">
        <is>
          <t>MATRION</t>
        </is>
      </c>
      <c r="L9553">
        <f>_xlfn.XLOOKUP(Tableau1[[#This Row],[TYPE DE PIECE]],Tableau4[MATIERE],Tableau4[SHORT TYPE],"",0,1)</f>
        <v/>
      </c>
      <c r="N9553">
        <f>IF(ISERR(FIND("DECOUPE",Tableau1[[#This Row],[DESIGNATION]])),"","NEED REF")</f>
        <v/>
      </c>
    </row>
    <row r="9554">
      <c r="B9554" t="n">
        <v>34404451</v>
      </c>
      <c r="C9554" s="2" t="n">
        <v>42086</v>
      </c>
      <c r="D9554" t="inlineStr">
        <is>
          <t>NOM</t>
        </is>
      </c>
      <c r="E9554" t="inlineStr">
        <is>
          <t>BCB BOX G6k 400kVA 2xNSX630N</t>
        </is>
      </c>
      <c r="F9554" t="inlineStr">
        <is>
          <t>BCB BOX G6K</t>
        </is>
      </c>
      <c r="J9554" t="inlineStr">
        <is>
          <t>ROBERT</t>
        </is>
      </c>
      <c r="L9554">
        <f>_xlfn.XLOOKUP(Tableau1[[#This Row],[TYPE DE PIECE]],Tableau4[MATIERE],Tableau4[SHORT TYPE],"",0,1)</f>
        <v/>
      </c>
      <c r="N9554">
        <f>IF(ISERR(FIND("DECOUPE",Tableau1[[#This Row],[DESIGNATION]])),"","NEED REF")</f>
        <v/>
      </c>
    </row>
    <row r="9555">
      <c r="B9555" t="n">
        <v>34404450</v>
      </c>
      <c r="C9555" s="2" t="n">
        <v>42081</v>
      </c>
      <c r="D9555" t="inlineStr">
        <is>
          <t>SPEC</t>
        </is>
      </c>
      <c r="E9555" t="inlineStr">
        <is>
          <t>Pontage cote UPS L-</t>
        </is>
      </c>
      <c r="F9555" t="inlineStr">
        <is>
          <t>BCB BOX G6K</t>
        </is>
      </c>
      <c r="J9555" t="inlineStr">
        <is>
          <t>ROBERT</t>
        </is>
      </c>
      <c r="K9555" t="inlineStr">
        <is>
          <t>CUIVRE</t>
        </is>
      </c>
      <c r="L9555">
        <f>_xlfn.XLOOKUP(Tableau1[[#This Row],[TYPE DE PIECE]],Tableau4[MATIERE],Tableau4[SHORT TYPE],"",0,1)</f>
        <v/>
      </c>
      <c r="N9555">
        <f>IF(ISERR(FIND("DECOUPE",Tableau1[[#This Row],[DESIGNATION]])),"","NEED REF")</f>
        <v/>
      </c>
    </row>
    <row r="9556">
      <c r="B9556" t="n">
        <v>34404449</v>
      </c>
      <c r="C9556" s="2" t="n">
        <v>42081</v>
      </c>
      <c r="D9556" t="inlineStr">
        <is>
          <t>SPEC</t>
        </is>
      </c>
      <c r="E9556" t="inlineStr">
        <is>
          <t>Patte fixation capot</t>
        </is>
      </c>
      <c r="F9556" t="inlineStr">
        <is>
          <t>BCB BOX G6K</t>
        </is>
      </c>
      <c r="J9556" t="inlineStr">
        <is>
          <t>ROBERT</t>
        </is>
      </c>
      <c r="K9556" t="inlineStr">
        <is>
          <t>METAL</t>
        </is>
      </c>
      <c r="L9556">
        <f>_xlfn.XLOOKUP(Tableau1[[#This Row],[TYPE DE PIECE]],Tableau4[MATIERE],Tableau4[SHORT TYPE],"",0,1)</f>
        <v/>
      </c>
      <c r="N9556">
        <f>IF(ISERR(FIND("DECOUPE",Tableau1[[#This Row],[DESIGNATION]])),"","NEED REF")</f>
        <v/>
      </c>
    </row>
    <row r="9557">
      <c r="B9557" t="n">
        <v>34404448</v>
      </c>
      <c r="C9557" s="2" t="n">
        <v>42081</v>
      </c>
      <c r="D9557" t="inlineStr">
        <is>
          <t>SPEC</t>
        </is>
      </c>
      <c r="E9557" t="inlineStr">
        <is>
          <t>Capot bas</t>
        </is>
      </c>
      <c r="F9557" t="inlineStr">
        <is>
          <t>BCB BOX G6K</t>
        </is>
      </c>
      <c r="J9557" t="inlineStr">
        <is>
          <t>ROBERT</t>
        </is>
      </c>
      <c r="K9557" t="inlineStr">
        <is>
          <t>PLASTIQUE</t>
        </is>
      </c>
      <c r="L9557">
        <f>_xlfn.XLOOKUP(Tableau1[[#This Row],[TYPE DE PIECE]],Tableau4[MATIERE],Tableau4[SHORT TYPE],"",0,1)</f>
        <v/>
      </c>
      <c r="N9557">
        <f>IF(ISERR(FIND("DECOUPE",Tableau1[[#This Row],[DESIGNATION]])),"","NEED REF")</f>
        <v/>
      </c>
    </row>
    <row r="9558">
      <c r="B9558" t="n">
        <v>34404447</v>
      </c>
      <c r="C9558" s="2" t="n">
        <v>42081</v>
      </c>
      <c r="D9558" t="inlineStr">
        <is>
          <t>SPEC</t>
        </is>
      </c>
      <c r="E9558" t="inlineStr">
        <is>
          <t>Capot haut</t>
        </is>
      </c>
      <c r="F9558" t="inlineStr">
        <is>
          <t>BCB BOX G6K</t>
        </is>
      </c>
      <c r="J9558" t="inlineStr">
        <is>
          <t>ROBERT</t>
        </is>
      </c>
      <c r="K9558" t="inlineStr">
        <is>
          <t>PLASTIQUE</t>
        </is>
      </c>
      <c r="L9558">
        <f>_xlfn.XLOOKUP(Tableau1[[#This Row],[TYPE DE PIECE]],Tableau4[MATIERE],Tableau4[SHORT TYPE],"",0,1)</f>
        <v/>
      </c>
      <c r="N9558">
        <f>IF(ISERR(FIND("DECOUPE",Tableau1[[#This Row],[DESIGNATION]])),"","NEED REF")</f>
        <v/>
      </c>
    </row>
    <row r="9559">
      <c r="B9559" t="n">
        <v>34404446</v>
      </c>
      <c r="C9559" s="2" t="n">
        <v>42081</v>
      </c>
      <c r="D9559" t="inlineStr">
        <is>
          <t>SPEC</t>
        </is>
      </c>
      <c r="E9559" t="inlineStr">
        <is>
          <t>Platine support DISJ</t>
        </is>
      </c>
      <c r="F9559" t="inlineStr">
        <is>
          <t>BCB BOX G6K</t>
        </is>
      </c>
      <c r="J9559" t="inlineStr">
        <is>
          <t>ROBERT</t>
        </is>
      </c>
      <c r="K9559" t="inlineStr">
        <is>
          <t>METAL</t>
        </is>
      </c>
      <c r="L9559">
        <f>_xlfn.XLOOKUP(Tableau1[[#This Row],[TYPE DE PIECE]],Tableau4[MATIERE],Tableau4[SHORT TYPE],"",0,1)</f>
        <v/>
      </c>
      <c r="N9559">
        <f>IF(ISERR(FIND("DECOUPE",Tableau1[[#This Row],[DESIGNATION]])),"","NEED REF")</f>
        <v/>
      </c>
    </row>
    <row r="9560">
      <c r="B9560" t="n">
        <v>34404445</v>
      </c>
      <c r="C9560" s="2" t="n">
        <v>42081</v>
      </c>
      <c r="D9560" t="inlineStr">
        <is>
          <t>SPEC</t>
        </is>
      </c>
      <c r="E9560" t="inlineStr">
        <is>
          <t>CELLULE 600x800x2000 VENTILE</t>
        </is>
      </c>
      <c r="F9560" t="inlineStr">
        <is>
          <t>STS2000A</t>
        </is>
      </c>
      <c r="J9560" t="inlineStr">
        <is>
          <t>MATRION</t>
        </is>
      </c>
      <c r="K9560" t="inlineStr">
        <is>
          <t>METAL</t>
        </is>
      </c>
      <c r="L9560">
        <f>_xlfn.XLOOKUP(Tableau1[[#This Row],[TYPE DE PIECE]],Tableau4[MATIERE],Tableau4[SHORT TYPE],"",0,1)</f>
        <v/>
      </c>
      <c r="N9560">
        <f>IF(ISERR(FIND("DECOUPE",Tableau1[[#This Row],[DESIGNATION]])),"","NEED REF")</f>
        <v/>
      </c>
    </row>
    <row r="9561">
      <c r="B9561" t="n">
        <v>34404444</v>
      </c>
      <c r="C9561" s="2" t="n">
        <v>42081</v>
      </c>
      <c r="D9561" t="inlineStr">
        <is>
          <t>SPEC</t>
        </is>
      </c>
      <c r="E9561" t="inlineStr">
        <is>
          <t>Pontage cote UPS L+</t>
        </is>
      </c>
      <c r="F9561" t="inlineStr">
        <is>
          <t>BCB BOX G6K</t>
        </is>
      </c>
      <c r="J9561" t="inlineStr">
        <is>
          <t>ROBERT</t>
        </is>
      </c>
      <c r="K9561" t="inlineStr">
        <is>
          <t>CUIVRE</t>
        </is>
      </c>
      <c r="L9561">
        <f>_xlfn.XLOOKUP(Tableau1[[#This Row],[TYPE DE PIECE]],Tableau4[MATIERE],Tableau4[SHORT TYPE],"",0,1)</f>
        <v/>
      </c>
      <c r="N9561">
        <f>IF(ISERR(FIND("DECOUPE",Tableau1[[#This Row],[DESIGNATION]])),"","NEED REF")</f>
        <v/>
      </c>
    </row>
    <row r="9562">
      <c r="B9562" t="n">
        <v>34404443</v>
      </c>
      <c r="C9562" s="2" t="n">
        <v>42081</v>
      </c>
      <c r="D9562" t="inlineStr">
        <is>
          <t>SPEC</t>
        </is>
      </c>
      <c r="E9562" t="inlineStr">
        <is>
          <t>CX1 L+ / self B</t>
        </is>
      </c>
      <c r="F9562" t="inlineStr">
        <is>
          <t>BCB BOX G6K</t>
        </is>
      </c>
      <c r="J9562" t="inlineStr">
        <is>
          <t>ROBERT</t>
        </is>
      </c>
      <c r="K9562" t="inlineStr">
        <is>
          <t>CUIVRE</t>
        </is>
      </c>
      <c r="L9562">
        <f>_xlfn.XLOOKUP(Tableau1[[#This Row],[TYPE DE PIECE]],Tableau4[MATIERE],Tableau4[SHORT TYPE],"",0,1)</f>
        <v/>
      </c>
      <c r="N9562">
        <f>IF(ISERR(FIND("DECOUPE",Tableau1[[#This Row],[DESIGNATION]])),"","NEED REF")</f>
        <v/>
      </c>
    </row>
    <row r="9563">
      <c r="B9563" t="n">
        <v>34404442</v>
      </c>
      <c r="C9563" s="2" t="n">
        <v>42081</v>
      </c>
      <c r="D9563" t="inlineStr">
        <is>
          <t>SPEC</t>
        </is>
      </c>
      <c r="E9563" t="inlineStr">
        <is>
          <t>CX1 L+ / self B</t>
        </is>
      </c>
      <c r="F9563" t="inlineStr">
        <is>
          <t>BCB BOX G6K</t>
        </is>
      </c>
      <c r="J9563" t="inlineStr">
        <is>
          <t>ROBERT</t>
        </is>
      </c>
      <c r="K9563" t="inlineStr">
        <is>
          <t>CUIVRE</t>
        </is>
      </c>
      <c r="L9563">
        <f>_xlfn.XLOOKUP(Tableau1[[#This Row],[TYPE DE PIECE]],Tableau4[MATIERE],Tableau4[SHORT TYPE],"",0,1)</f>
        <v/>
      </c>
      <c r="N9563">
        <f>IF(ISERR(FIND("DECOUPE",Tableau1[[#This Row],[DESIGNATION]])),"","NEED REF")</f>
        <v/>
      </c>
    </row>
    <row r="9564">
      <c r="B9564" t="n">
        <v>34404441</v>
      </c>
      <c r="C9564" s="2" t="n">
        <v>42081</v>
      </c>
      <c r="D9564" t="inlineStr">
        <is>
          <t>SPEC</t>
        </is>
      </c>
      <c r="E9564" t="inlineStr">
        <is>
          <t>CX2 L+ / self A</t>
        </is>
      </c>
      <c r="F9564" t="inlineStr">
        <is>
          <t>BCB BOX G6K</t>
        </is>
      </c>
      <c r="J9564" t="inlineStr">
        <is>
          <t>ROBERT</t>
        </is>
      </c>
      <c r="K9564" t="inlineStr">
        <is>
          <t>CUIVRE</t>
        </is>
      </c>
      <c r="L9564">
        <f>_xlfn.XLOOKUP(Tableau1[[#This Row],[TYPE DE PIECE]],Tableau4[MATIERE],Tableau4[SHORT TYPE],"",0,1)</f>
        <v/>
      </c>
      <c r="N9564">
        <f>IF(ISERR(FIND("DECOUPE",Tableau1[[#This Row],[DESIGNATION]])),"","NEED REF")</f>
        <v/>
      </c>
    </row>
    <row r="9565">
      <c r="B9565" t="n">
        <v>34404440</v>
      </c>
      <c r="C9565" s="2" t="n">
        <v>42081</v>
      </c>
      <c r="D9565" t="inlineStr">
        <is>
          <t>SPEC</t>
        </is>
      </c>
      <c r="E9565" t="inlineStr">
        <is>
          <t>CX1 L+ / self A</t>
        </is>
      </c>
      <c r="F9565" t="inlineStr">
        <is>
          <t>BCB BOX G6K</t>
        </is>
      </c>
      <c r="J9565" t="inlineStr">
        <is>
          <t>ROBERT</t>
        </is>
      </c>
      <c r="K9565" t="inlineStr">
        <is>
          <t>CUIVRE</t>
        </is>
      </c>
      <c r="L9565">
        <f>_xlfn.XLOOKUP(Tableau1[[#This Row],[TYPE DE PIECE]],Tableau4[MATIERE],Tableau4[SHORT TYPE],"",0,1)</f>
        <v/>
      </c>
      <c r="N9565">
        <f>IF(ISERR(FIND("DECOUPE",Tableau1[[#This Row],[DESIGNATION]])),"","NEED REF")</f>
        <v/>
      </c>
    </row>
    <row r="9566">
      <c r="B9566" t="n">
        <v>34404439</v>
      </c>
      <c r="C9566" s="2" t="n">
        <v>42081</v>
      </c>
      <c r="D9566" t="inlineStr">
        <is>
          <t>SPEC</t>
        </is>
      </c>
      <c r="E9566" t="inlineStr">
        <is>
          <t>pour vincent</t>
        </is>
      </c>
      <c r="F9566" t="inlineStr">
        <is>
          <t>G7K BACKFEED</t>
        </is>
      </c>
      <c r="J9566" t="inlineStr">
        <is>
          <t>PLANTIER</t>
        </is>
      </c>
      <c r="L9566">
        <f>_xlfn.XLOOKUP(Tableau1[[#This Row],[TYPE DE PIECE]],Tableau4[MATIERE],Tableau4[SHORT TYPE],"",0,1)</f>
        <v/>
      </c>
      <c r="N9566">
        <f>IF(ISERR(FIND("DECOUPE",Tableau1[[#This Row],[DESIGNATION]])),"","NEED REF")</f>
        <v/>
      </c>
    </row>
    <row r="9567">
      <c r="B9567" t="n">
        <v>34404438</v>
      </c>
      <c r="C9567" s="2" t="n">
        <v>42081</v>
      </c>
      <c r="D9567" t="inlineStr">
        <is>
          <t>SPEC</t>
        </is>
      </c>
      <c r="E9567" t="inlineStr">
        <is>
          <t>CX JDB JUNCTION 5</t>
        </is>
      </c>
      <c r="F9567" t="inlineStr">
        <is>
          <t>STS2000A</t>
        </is>
      </c>
      <c r="J9567" t="inlineStr">
        <is>
          <t>MATRION</t>
        </is>
      </c>
      <c r="K9567" t="inlineStr">
        <is>
          <t>CUIVRE</t>
        </is>
      </c>
      <c r="L9567">
        <f>_xlfn.XLOOKUP(Tableau1[[#This Row],[TYPE DE PIECE]],Tableau4[MATIERE],Tableau4[SHORT TYPE],"",0,1)</f>
        <v/>
      </c>
      <c r="N9567">
        <f>IF(ISERR(FIND("DECOUPE",Tableau1[[#This Row],[DESIGNATION]])),"","NEED REF")</f>
        <v/>
      </c>
    </row>
    <row r="9568">
      <c r="B9568" t="n">
        <v>34404437</v>
      </c>
      <c r="C9568" s="2" t="n">
        <v>42081</v>
      </c>
      <c r="D9568" t="inlineStr">
        <is>
          <t>SPEC</t>
        </is>
      </c>
      <c r="E9568" t="inlineStr">
        <is>
          <t>CX JDB JUNCTION 4</t>
        </is>
      </c>
      <c r="F9568" t="inlineStr">
        <is>
          <t>STS2000A</t>
        </is>
      </c>
      <c r="J9568" t="inlineStr">
        <is>
          <t>MATRION</t>
        </is>
      </c>
      <c r="K9568" t="inlineStr">
        <is>
          <t>CUIVRE</t>
        </is>
      </c>
      <c r="L9568">
        <f>_xlfn.XLOOKUP(Tableau1[[#This Row],[TYPE DE PIECE]],Tableau4[MATIERE],Tableau4[SHORT TYPE],"",0,1)</f>
        <v/>
      </c>
      <c r="N9568">
        <f>IF(ISERR(FIND("DECOUPE",Tableau1[[#This Row],[DESIGNATION]])),"","NEED REF")</f>
        <v/>
      </c>
    </row>
    <row r="9569">
      <c r="B9569" t="n">
        <v>34404436</v>
      </c>
      <c r="C9569" s="2" t="n">
        <v>42081</v>
      </c>
      <c r="D9569" t="inlineStr">
        <is>
          <t>SPEC</t>
        </is>
      </c>
      <c r="E9569" t="inlineStr">
        <is>
          <t>CX JDB JUNCTION 3</t>
        </is>
      </c>
      <c r="F9569" t="inlineStr">
        <is>
          <t>STS2000A</t>
        </is>
      </c>
      <c r="J9569" t="inlineStr">
        <is>
          <t>MATRION</t>
        </is>
      </c>
      <c r="K9569" t="inlineStr">
        <is>
          <t>CUIVRE</t>
        </is>
      </c>
      <c r="L9569">
        <f>_xlfn.XLOOKUP(Tableau1[[#This Row],[TYPE DE PIECE]],Tableau4[MATIERE],Tableau4[SHORT TYPE],"",0,1)</f>
        <v/>
      </c>
      <c r="N9569">
        <f>IF(ISERR(FIND("DECOUPE",Tableau1[[#This Row],[DESIGNATION]])),"","NEED REF")</f>
        <v/>
      </c>
    </row>
    <row r="9570">
      <c r="B9570" t="n">
        <v>34404435</v>
      </c>
      <c r="C9570" s="2" t="n">
        <v>42081</v>
      </c>
      <c r="D9570" t="inlineStr">
        <is>
          <t>SPEC</t>
        </is>
      </c>
      <c r="E9570" t="inlineStr">
        <is>
          <t>CX JDB JUNCTION 2</t>
        </is>
      </c>
      <c r="F9570" t="inlineStr">
        <is>
          <t>STS2000A</t>
        </is>
      </c>
      <c r="J9570" t="inlineStr">
        <is>
          <t>MATRION</t>
        </is>
      </c>
      <c r="K9570" t="inlineStr">
        <is>
          <t>CUIVRE</t>
        </is>
      </c>
      <c r="L9570">
        <f>_xlfn.XLOOKUP(Tableau1[[#This Row],[TYPE DE PIECE]],Tableau4[MATIERE],Tableau4[SHORT TYPE],"",0,1)</f>
        <v/>
      </c>
      <c r="N9570">
        <f>IF(ISERR(FIND("DECOUPE",Tableau1[[#This Row],[DESIGNATION]])),"","NEED REF")</f>
        <v/>
      </c>
    </row>
    <row r="9571">
      <c r="B9571" t="n">
        <v>34404434</v>
      </c>
      <c r="C9571" s="2" t="n">
        <v>42081</v>
      </c>
      <c r="D9571" t="inlineStr">
        <is>
          <t>SPEC</t>
        </is>
      </c>
      <c r="E9571" t="inlineStr">
        <is>
          <t>CX JDB JUNCTION 1</t>
        </is>
      </c>
      <c r="F9571" t="inlineStr">
        <is>
          <t>STS2000A</t>
        </is>
      </c>
      <c r="J9571" t="inlineStr">
        <is>
          <t>MATRION</t>
        </is>
      </c>
      <c r="K9571" t="inlineStr">
        <is>
          <t>CUIVRE</t>
        </is>
      </c>
      <c r="L9571">
        <f>_xlfn.XLOOKUP(Tableau1[[#This Row],[TYPE DE PIECE]],Tableau4[MATIERE],Tableau4[SHORT TYPE],"",0,1)</f>
        <v/>
      </c>
      <c r="N9571">
        <f>IF(ISERR(FIND("DECOUPE",Tableau1[[#This Row],[DESIGNATION]])),"","NEED REF")</f>
        <v/>
      </c>
    </row>
    <row r="9572">
      <c r="B9572" t="n">
        <v>34404433</v>
      </c>
      <c r="C9572" s="2" t="n">
        <v>42081</v>
      </c>
      <c r="D9572" t="inlineStr">
        <is>
          <t>SPEC</t>
        </is>
      </c>
      <c r="E9572" t="inlineStr">
        <is>
          <t>CX NEUTRE CLAMP 2</t>
        </is>
      </c>
      <c r="F9572" t="inlineStr">
        <is>
          <t>STS2000A</t>
        </is>
      </c>
      <c r="J9572" t="inlineStr">
        <is>
          <t>MATRION</t>
        </is>
      </c>
      <c r="K9572" t="inlineStr">
        <is>
          <t>CUIVRE</t>
        </is>
      </c>
      <c r="L9572">
        <f>_xlfn.XLOOKUP(Tableau1[[#This Row],[TYPE DE PIECE]],Tableau4[MATIERE],Tableau4[SHORT TYPE],"",0,1)</f>
        <v/>
      </c>
      <c r="N9572">
        <f>IF(ISERR(FIND("DECOUPE",Tableau1[[#This Row],[DESIGNATION]])),"","NEED REF")</f>
        <v/>
      </c>
    </row>
    <row r="9573">
      <c r="B9573" t="n">
        <v>34404432</v>
      </c>
      <c r="C9573" s="2" t="n">
        <v>42081</v>
      </c>
      <c r="D9573" t="inlineStr">
        <is>
          <t>SPEC</t>
        </is>
      </c>
      <c r="E9573" t="inlineStr">
        <is>
          <t>CX NEUTRE CLAMP 1</t>
        </is>
      </c>
      <c r="F9573" t="inlineStr">
        <is>
          <t>STS2000A</t>
        </is>
      </c>
      <c r="J9573" t="inlineStr">
        <is>
          <t>MATRION</t>
        </is>
      </c>
      <c r="K9573" t="inlineStr">
        <is>
          <t>CUIVRE</t>
        </is>
      </c>
      <c r="L9573">
        <f>_xlfn.XLOOKUP(Tableau1[[#This Row],[TYPE DE PIECE]],Tableau4[MATIERE],Tableau4[SHORT TYPE],"",0,1)</f>
        <v/>
      </c>
      <c r="N9573">
        <f>IF(ISERR(FIND("DECOUPE",Tableau1[[#This Row],[DESIGNATION]])),"","NEED REF")</f>
        <v/>
      </c>
    </row>
    <row r="9574">
      <c r="B9574" t="n">
        <v>34404431</v>
      </c>
      <c r="C9574" s="2" t="n">
        <v>42081</v>
      </c>
      <c r="D9574" t="inlineStr">
        <is>
          <t>SPEC</t>
        </is>
      </c>
      <c r="E9574" t="inlineStr">
        <is>
          <t>CALE SERRAGE FLEXIBAR 100</t>
        </is>
      </c>
      <c r="F9574" t="inlineStr">
        <is>
          <t>STS2000A</t>
        </is>
      </c>
      <c r="J9574" t="inlineStr">
        <is>
          <t>MATRION</t>
        </is>
      </c>
      <c r="K9574" t="inlineStr">
        <is>
          <t>CUIVRE</t>
        </is>
      </c>
      <c r="L9574">
        <f>_xlfn.XLOOKUP(Tableau1[[#This Row],[TYPE DE PIECE]],Tableau4[MATIERE],Tableau4[SHORT TYPE],"",0,1)</f>
        <v/>
      </c>
      <c r="N9574">
        <f>IF(ISERR(FIND("DECOUPE",Tableau1[[#This Row],[DESIGNATION]])),"","NEED REF")</f>
        <v/>
      </c>
    </row>
    <row r="9575">
      <c r="B9575" t="n">
        <v>34404430</v>
      </c>
      <c r="C9575" s="2" t="n">
        <v>42081</v>
      </c>
      <c r="D9575" t="inlineStr">
        <is>
          <t>SPEC</t>
        </is>
      </c>
      <c r="E9575" t="inlineStr">
        <is>
          <t>CX JONCTION 2 Q3</t>
        </is>
      </c>
      <c r="F9575" t="inlineStr">
        <is>
          <t>STS2000A</t>
        </is>
      </c>
      <c r="J9575" t="inlineStr">
        <is>
          <t>MATRION</t>
        </is>
      </c>
      <c r="K9575" t="inlineStr">
        <is>
          <t>CUIVRE</t>
        </is>
      </c>
      <c r="L9575">
        <f>_xlfn.XLOOKUP(Tableau1[[#This Row],[TYPE DE PIECE]],Tableau4[MATIERE],Tableau4[SHORT TYPE],"",0,1)</f>
        <v/>
      </c>
      <c r="N9575">
        <f>IF(ISERR(FIND("DECOUPE",Tableau1[[#This Row],[DESIGNATION]])),"","NEED REF")</f>
        <v/>
      </c>
    </row>
    <row r="9576">
      <c r="B9576" t="n">
        <v>34404429</v>
      </c>
      <c r="C9576" s="2" t="n">
        <v>42081</v>
      </c>
      <c r="D9576" t="inlineStr">
        <is>
          <t>SPEC</t>
        </is>
      </c>
      <c r="E9576" t="inlineStr">
        <is>
          <t>CX JONCTION 1 Q3</t>
        </is>
      </c>
      <c r="F9576" t="inlineStr">
        <is>
          <t>STS2000A</t>
        </is>
      </c>
      <c r="J9576" t="inlineStr">
        <is>
          <t>MATRION</t>
        </is>
      </c>
      <c r="K9576" t="inlineStr">
        <is>
          <t>CUIVRE</t>
        </is>
      </c>
      <c r="L9576">
        <f>_xlfn.XLOOKUP(Tableau1[[#This Row],[TYPE DE PIECE]],Tableau4[MATIERE],Tableau4[SHORT TYPE],"",0,1)</f>
        <v/>
      </c>
      <c r="N9576">
        <f>IF(ISERR(FIND("DECOUPE",Tableau1[[#This Row],[DESIGNATION]])),"","NEED REF")</f>
        <v/>
      </c>
    </row>
    <row r="9577">
      <c r="B9577" t="n">
        <v>34404428</v>
      </c>
      <c r="C9577" s="2" t="n">
        <v>42081</v>
      </c>
      <c r="D9577" t="inlineStr">
        <is>
          <t>SPEC</t>
        </is>
      </c>
      <c r="E9577" t="inlineStr">
        <is>
          <t>PLAGE RACCORDEMENT</t>
        </is>
      </c>
      <c r="F9577" t="inlineStr">
        <is>
          <t>STS2000A</t>
        </is>
      </c>
      <c r="J9577" t="inlineStr">
        <is>
          <t>MATRION</t>
        </is>
      </c>
      <c r="K9577" t="inlineStr">
        <is>
          <t>CUIVRE</t>
        </is>
      </c>
      <c r="L9577">
        <f>_xlfn.XLOOKUP(Tableau1[[#This Row],[TYPE DE PIECE]],Tableau4[MATIERE],Tableau4[SHORT TYPE],"",0,1)</f>
        <v/>
      </c>
      <c r="N9577">
        <f>IF(ISERR(FIND("DECOUPE",Tableau1[[#This Row],[DESIGNATION]])),"","NEED REF")</f>
        <v/>
      </c>
    </row>
    <row r="9578">
      <c r="B9578" t="n">
        <v>34404427</v>
      </c>
      <c r="C9578" s="2" t="n">
        <v>42081</v>
      </c>
      <c r="D9578" t="inlineStr">
        <is>
          <t>SPEC</t>
        </is>
      </c>
      <c r="E9578" t="inlineStr">
        <is>
          <t>JDB HORIZONTAL HAUT BYPASS</t>
        </is>
      </c>
      <c r="F9578" t="inlineStr">
        <is>
          <t>STS2000A</t>
        </is>
      </c>
      <c r="J9578" t="inlineStr">
        <is>
          <t>MATRION</t>
        </is>
      </c>
      <c r="K9578" t="inlineStr">
        <is>
          <t>CUIVRE</t>
        </is>
      </c>
      <c r="L9578">
        <f>_xlfn.XLOOKUP(Tableau1[[#This Row],[TYPE DE PIECE]],Tableau4[MATIERE],Tableau4[SHORT TYPE],"",0,1)</f>
        <v/>
      </c>
      <c r="N9578">
        <f>IF(ISERR(FIND("DECOUPE",Tableau1[[#This Row],[DESIGNATION]])),"","NEED REF")</f>
        <v/>
      </c>
    </row>
    <row r="9579">
      <c r="B9579" t="n">
        <v>34404426</v>
      </c>
      <c r="C9579" s="2" t="n">
        <v>42081</v>
      </c>
      <c r="D9579" t="inlineStr">
        <is>
          <t>SPEC</t>
        </is>
      </c>
      <c r="E9579" t="inlineStr">
        <is>
          <t>SUPPORT MASTERPACT DROITE 800</t>
        </is>
      </c>
      <c r="F9579" t="inlineStr">
        <is>
          <t>STS2000A</t>
        </is>
      </c>
      <c r="J9579" t="inlineStr">
        <is>
          <t>MATRION</t>
        </is>
      </c>
      <c r="K9579" t="inlineStr">
        <is>
          <t>METAL</t>
        </is>
      </c>
      <c r="L9579">
        <f>_xlfn.XLOOKUP(Tableau1[[#This Row],[TYPE DE PIECE]],Tableau4[MATIERE],Tableau4[SHORT TYPE],"",0,1)</f>
        <v/>
      </c>
      <c r="N9579">
        <f>IF(ISERR(FIND("DECOUPE",Tableau1[[#This Row],[DESIGNATION]])),"","NEED REF")</f>
        <v/>
      </c>
    </row>
    <row r="9580">
      <c r="B9580" t="n">
        <v>34404425</v>
      </c>
      <c r="C9580" s="2" t="n">
        <v>42081</v>
      </c>
      <c r="D9580" t="inlineStr">
        <is>
          <t>SPEC</t>
        </is>
      </c>
      <c r="E9580" t="inlineStr">
        <is>
          <t>SUPPORT MASTERPACT GAUCHE 800</t>
        </is>
      </c>
      <c r="F9580" t="inlineStr">
        <is>
          <t>STS2000A</t>
        </is>
      </c>
      <c r="J9580" t="inlineStr">
        <is>
          <t>MATRION</t>
        </is>
      </c>
      <c r="K9580" t="inlineStr">
        <is>
          <t>METAL</t>
        </is>
      </c>
      <c r="L9580">
        <f>_xlfn.XLOOKUP(Tableau1[[#This Row],[TYPE DE PIECE]],Tableau4[MATIERE],Tableau4[SHORT TYPE],"",0,1)</f>
        <v/>
      </c>
      <c r="N9580">
        <f>IF(ISERR(FIND("DECOUPE",Tableau1[[#This Row],[DESIGNATION]])),"","NEED REF")</f>
        <v/>
      </c>
    </row>
    <row r="9581">
      <c r="B9581" t="n">
        <v>34404424</v>
      </c>
      <c r="C9581" s="2" t="n">
        <v>42081</v>
      </c>
      <c r="D9581" t="inlineStr">
        <is>
          <t>SPEC</t>
        </is>
      </c>
      <c r="E9581" t="inlineStr">
        <is>
          <t>SUPPORT MASTERPACT DROITE 600</t>
        </is>
      </c>
      <c r="F9581" t="inlineStr">
        <is>
          <t>STS2000A</t>
        </is>
      </c>
      <c r="J9581" t="inlineStr">
        <is>
          <t>MATRION</t>
        </is>
      </c>
      <c r="K9581" t="inlineStr">
        <is>
          <t>METAL</t>
        </is>
      </c>
      <c r="L9581">
        <f>_xlfn.XLOOKUP(Tableau1[[#This Row],[TYPE DE PIECE]],Tableau4[MATIERE],Tableau4[SHORT TYPE],"",0,1)</f>
        <v/>
      </c>
      <c r="N9581">
        <f>IF(ISERR(FIND("DECOUPE",Tableau1[[#This Row],[DESIGNATION]])),"","NEED REF")</f>
        <v/>
      </c>
    </row>
    <row r="9582">
      <c r="B9582" t="n">
        <v>34404423</v>
      </c>
      <c r="C9582" s="2" t="n">
        <v>42081</v>
      </c>
      <c r="D9582" t="inlineStr">
        <is>
          <t>SPEC</t>
        </is>
      </c>
      <c r="E9582" t="inlineStr">
        <is>
          <t>SUPPORT MASTERPACT GAUCHE 600</t>
        </is>
      </c>
      <c r="F9582" t="inlineStr">
        <is>
          <t>STS2000A</t>
        </is>
      </c>
      <c r="J9582" t="inlineStr">
        <is>
          <t>MATRION</t>
        </is>
      </c>
      <c r="K9582" t="inlineStr">
        <is>
          <t>METAL</t>
        </is>
      </c>
      <c r="L9582">
        <f>_xlfn.XLOOKUP(Tableau1[[#This Row],[TYPE DE PIECE]],Tableau4[MATIERE],Tableau4[SHORT TYPE],"",0,1)</f>
        <v/>
      </c>
      <c r="N9582">
        <f>IF(ISERR(FIND("DECOUPE",Tableau1[[#This Row],[DESIGNATION]])),"","NEED REF")</f>
        <v/>
      </c>
    </row>
    <row r="9583">
      <c r="B9583" t="n">
        <v>34404422</v>
      </c>
      <c r="C9583" s="2" t="n">
        <v>42081</v>
      </c>
      <c r="D9583" t="inlineStr">
        <is>
          <t>SPEC</t>
        </is>
      </c>
      <c r="E9583" t="inlineStr">
        <is>
          <t>SEGREGATION 3</t>
        </is>
      </c>
      <c r="F9583" t="inlineStr">
        <is>
          <t>STS2000A</t>
        </is>
      </c>
      <c r="J9583" t="inlineStr">
        <is>
          <t>MATRION</t>
        </is>
      </c>
      <c r="K9583" t="inlineStr">
        <is>
          <t>METAL</t>
        </is>
      </c>
      <c r="L9583">
        <f>_xlfn.XLOOKUP(Tableau1[[#This Row],[TYPE DE PIECE]],Tableau4[MATIERE],Tableau4[SHORT TYPE],"",0,1)</f>
        <v/>
      </c>
      <c r="N9583">
        <f>IF(ISERR(FIND("DECOUPE",Tableau1[[#This Row],[DESIGNATION]])),"","NEED REF")</f>
        <v/>
      </c>
    </row>
    <row r="9584">
      <c r="B9584" t="n">
        <v>34404421</v>
      </c>
      <c r="C9584" s="2" t="n">
        <v>42081</v>
      </c>
      <c r="D9584" t="inlineStr">
        <is>
          <t>SPEC</t>
        </is>
      </c>
      <c r="E9584" t="inlineStr">
        <is>
          <t>SEGREGATION 2</t>
        </is>
      </c>
      <c r="F9584" t="inlineStr">
        <is>
          <t>STS2000A</t>
        </is>
      </c>
      <c r="J9584" t="inlineStr">
        <is>
          <t>MATRION</t>
        </is>
      </c>
      <c r="K9584" t="inlineStr">
        <is>
          <t>METAL</t>
        </is>
      </c>
      <c r="L9584">
        <f>_xlfn.XLOOKUP(Tableau1[[#This Row],[TYPE DE PIECE]],Tableau4[MATIERE],Tableau4[SHORT TYPE],"",0,1)</f>
        <v/>
      </c>
      <c r="N9584">
        <f>IF(ISERR(FIND("DECOUPE",Tableau1[[#This Row],[DESIGNATION]])),"","NEED REF")</f>
        <v/>
      </c>
    </row>
    <row r="9585">
      <c r="B9585" t="n">
        <v>34404420</v>
      </c>
      <c r="C9585" s="2" t="n">
        <v>42081</v>
      </c>
      <c r="D9585" t="inlineStr">
        <is>
          <t>SPEC</t>
        </is>
      </c>
      <c r="E9585" t="inlineStr">
        <is>
          <t>SEGREGATION 1</t>
        </is>
      </c>
      <c r="F9585" t="inlineStr">
        <is>
          <t>STS2000A</t>
        </is>
      </c>
      <c r="J9585" t="inlineStr">
        <is>
          <t>MATRION</t>
        </is>
      </c>
      <c r="K9585" t="inlineStr">
        <is>
          <t>METAL</t>
        </is>
      </c>
      <c r="L9585">
        <f>_xlfn.XLOOKUP(Tableau1[[#This Row],[TYPE DE PIECE]],Tableau4[MATIERE],Tableau4[SHORT TYPE],"",0,1)</f>
        <v/>
      </c>
      <c r="N9585">
        <f>IF(ISERR(FIND("DECOUPE",Tableau1[[#This Row],[DESIGNATION]])),"","NEED REF")</f>
        <v/>
      </c>
    </row>
    <row r="9586">
      <c r="B9586" t="n">
        <v>34404419</v>
      </c>
      <c r="C9586" s="2" t="n">
        <v>42081</v>
      </c>
      <c r="D9586" t="inlineStr">
        <is>
          <t>SPEC</t>
        </is>
      </c>
      <c r="E9586" t="inlineStr">
        <is>
          <t>PLASTRON 9</t>
        </is>
      </c>
      <c r="F9586" t="inlineStr">
        <is>
          <t>STS2000A</t>
        </is>
      </c>
      <c r="J9586" t="inlineStr">
        <is>
          <t>MATRION</t>
        </is>
      </c>
      <c r="K9586" t="inlineStr">
        <is>
          <t>METAL</t>
        </is>
      </c>
      <c r="L9586">
        <f>_xlfn.XLOOKUP(Tableau1[[#This Row],[TYPE DE PIECE]],Tableau4[MATIERE],Tableau4[SHORT TYPE],"",0,1)</f>
        <v/>
      </c>
      <c r="N9586">
        <f>IF(ISERR(FIND("DECOUPE",Tableau1[[#This Row],[DESIGNATION]])),"","NEED REF")</f>
        <v/>
      </c>
    </row>
    <row r="9587">
      <c r="B9587" t="n">
        <v>34404418</v>
      </c>
      <c r="C9587" s="2" t="n">
        <v>42081</v>
      </c>
      <c r="D9587" t="inlineStr">
        <is>
          <t>SPEC</t>
        </is>
      </c>
      <c r="E9587" t="inlineStr">
        <is>
          <t>PLASTRON 8</t>
        </is>
      </c>
      <c r="F9587" t="inlineStr">
        <is>
          <t>STS2000A</t>
        </is>
      </c>
      <c r="J9587" t="inlineStr">
        <is>
          <t>MATRION</t>
        </is>
      </c>
      <c r="K9587" t="inlineStr">
        <is>
          <t>METAL</t>
        </is>
      </c>
      <c r="L9587">
        <f>_xlfn.XLOOKUP(Tableau1[[#This Row],[TYPE DE PIECE]],Tableau4[MATIERE],Tableau4[SHORT TYPE],"",0,1)</f>
        <v/>
      </c>
      <c r="N9587">
        <f>IF(ISERR(FIND("DECOUPE",Tableau1[[#This Row],[DESIGNATION]])),"","NEED REF")</f>
        <v/>
      </c>
    </row>
    <row r="9588">
      <c r="B9588" t="n">
        <v>34404417</v>
      </c>
      <c r="C9588" s="2" t="n">
        <v>42081</v>
      </c>
      <c r="D9588" t="inlineStr">
        <is>
          <t>SPEC</t>
        </is>
      </c>
      <c r="E9588" t="inlineStr">
        <is>
          <t>PLASTRON 7</t>
        </is>
      </c>
      <c r="F9588" t="inlineStr">
        <is>
          <t>STS2000A</t>
        </is>
      </c>
      <c r="J9588" t="inlineStr">
        <is>
          <t>MATRION</t>
        </is>
      </c>
      <c r="K9588" t="inlineStr">
        <is>
          <t>METAL</t>
        </is>
      </c>
      <c r="L9588">
        <f>_xlfn.XLOOKUP(Tableau1[[#This Row],[TYPE DE PIECE]],Tableau4[MATIERE],Tableau4[SHORT TYPE],"",0,1)</f>
        <v/>
      </c>
      <c r="N9588">
        <f>IF(ISERR(FIND("DECOUPE",Tableau1[[#This Row],[DESIGNATION]])),"","NEED REF")</f>
        <v/>
      </c>
    </row>
    <row r="9589">
      <c r="B9589" t="n">
        <v>34404416</v>
      </c>
      <c r="C9589" s="2" t="n">
        <v>42081</v>
      </c>
      <c r="D9589" t="inlineStr">
        <is>
          <t>SPEC</t>
        </is>
      </c>
      <c r="E9589" t="inlineStr">
        <is>
          <t>PLASTRON 6</t>
        </is>
      </c>
      <c r="F9589" t="inlineStr">
        <is>
          <t>STS2000A</t>
        </is>
      </c>
      <c r="J9589" t="inlineStr">
        <is>
          <t>MATRION</t>
        </is>
      </c>
      <c r="K9589" t="inlineStr">
        <is>
          <t>METAL</t>
        </is>
      </c>
      <c r="L9589">
        <f>_xlfn.XLOOKUP(Tableau1[[#This Row],[TYPE DE PIECE]],Tableau4[MATIERE],Tableau4[SHORT TYPE],"",0,1)</f>
        <v/>
      </c>
      <c r="N9589">
        <f>IF(ISERR(FIND("DECOUPE",Tableau1[[#This Row],[DESIGNATION]])),"","NEED REF")</f>
        <v/>
      </c>
    </row>
    <row r="9590">
      <c r="B9590" t="n">
        <v>34404415</v>
      </c>
      <c r="C9590" s="2" t="n">
        <v>42081</v>
      </c>
      <c r="D9590" t="inlineStr">
        <is>
          <t>SPEC</t>
        </is>
      </c>
      <c r="E9590" t="inlineStr">
        <is>
          <t>PLASTRON 5</t>
        </is>
      </c>
      <c r="F9590" t="inlineStr">
        <is>
          <t>STS2000A</t>
        </is>
      </c>
      <c r="J9590" t="inlineStr">
        <is>
          <t>MATRION</t>
        </is>
      </c>
      <c r="K9590" t="inlineStr">
        <is>
          <t>METAL</t>
        </is>
      </c>
      <c r="L9590">
        <f>_xlfn.XLOOKUP(Tableau1[[#This Row],[TYPE DE PIECE]],Tableau4[MATIERE],Tableau4[SHORT TYPE],"",0,1)</f>
        <v/>
      </c>
      <c r="N9590">
        <f>IF(ISERR(FIND("DECOUPE",Tableau1[[#This Row],[DESIGNATION]])),"","NEED REF")</f>
        <v/>
      </c>
    </row>
    <row r="9591">
      <c r="B9591" t="n">
        <v>34404414</v>
      </c>
      <c r="C9591" s="2" t="n">
        <v>42081</v>
      </c>
      <c r="D9591" t="inlineStr">
        <is>
          <t>SPEC</t>
        </is>
      </c>
      <c r="E9591" t="inlineStr">
        <is>
          <t>PLASTRON 4</t>
        </is>
      </c>
      <c r="F9591" t="inlineStr">
        <is>
          <t>STS2000A</t>
        </is>
      </c>
      <c r="J9591" t="inlineStr">
        <is>
          <t>MATRION</t>
        </is>
      </c>
      <c r="K9591" t="inlineStr">
        <is>
          <t>METAL</t>
        </is>
      </c>
      <c r="L9591">
        <f>_xlfn.XLOOKUP(Tableau1[[#This Row],[TYPE DE PIECE]],Tableau4[MATIERE],Tableau4[SHORT TYPE],"",0,1)</f>
        <v/>
      </c>
      <c r="N9591">
        <f>IF(ISERR(FIND("DECOUPE",Tableau1[[#This Row],[DESIGNATION]])),"","NEED REF")</f>
        <v/>
      </c>
    </row>
    <row r="9592">
      <c r="B9592" t="n">
        <v>34404413</v>
      </c>
      <c r="C9592" s="2" t="n">
        <v>42081</v>
      </c>
      <c r="D9592" t="inlineStr">
        <is>
          <t>SPEC</t>
        </is>
      </c>
      <c r="E9592" t="inlineStr">
        <is>
          <t>PLASTRON 3</t>
        </is>
      </c>
      <c r="F9592" t="inlineStr">
        <is>
          <t>STS2000A</t>
        </is>
      </c>
      <c r="J9592" t="inlineStr">
        <is>
          <t>MATRION</t>
        </is>
      </c>
      <c r="K9592" t="inlineStr">
        <is>
          <t>METAL</t>
        </is>
      </c>
      <c r="L9592">
        <f>_xlfn.XLOOKUP(Tableau1[[#This Row],[TYPE DE PIECE]],Tableau4[MATIERE],Tableau4[SHORT TYPE],"",0,1)</f>
        <v/>
      </c>
      <c r="N9592">
        <f>IF(ISERR(FIND("DECOUPE",Tableau1[[#This Row],[DESIGNATION]])),"","NEED REF")</f>
        <v/>
      </c>
    </row>
    <row r="9593">
      <c r="B9593" t="n">
        <v>34404412</v>
      </c>
      <c r="C9593" s="2" t="n">
        <v>42081</v>
      </c>
      <c r="D9593" t="inlineStr">
        <is>
          <t>SPEC</t>
        </is>
      </c>
      <c r="E9593" t="inlineStr">
        <is>
          <t>PLASTRON 2</t>
        </is>
      </c>
      <c r="F9593" t="inlineStr">
        <is>
          <t>STS2000A</t>
        </is>
      </c>
      <c r="J9593" t="inlineStr">
        <is>
          <t>MATRION</t>
        </is>
      </c>
      <c r="K9593" t="inlineStr">
        <is>
          <t>METAL</t>
        </is>
      </c>
      <c r="L9593">
        <f>_xlfn.XLOOKUP(Tableau1[[#This Row],[TYPE DE PIECE]],Tableau4[MATIERE],Tableau4[SHORT TYPE],"",0,1)</f>
        <v/>
      </c>
      <c r="N9593">
        <f>IF(ISERR(FIND("DECOUPE",Tableau1[[#This Row],[DESIGNATION]])),"","NEED REF")</f>
        <v/>
      </c>
    </row>
    <row r="9594">
      <c r="B9594" t="n">
        <v>34404411</v>
      </c>
      <c r="C9594" s="2" t="n">
        <v>42081</v>
      </c>
      <c r="D9594" t="inlineStr">
        <is>
          <t>SPEC</t>
        </is>
      </c>
      <c r="E9594" t="inlineStr">
        <is>
          <t>PLASTRON 1</t>
        </is>
      </c>
      <c r="F9594" t="inlineStr">
        <is>
          <t>STS2000A</t>
        </is>
      </c>
      <c r="J9594" t="inlineStr">
        <is>
          <t>MATRION</t>
        </is>
      </c>
      <c r="K9594" t="inlineStr">
        <is>
          <t>METAL</t>
        </is>
      </c>
      <c r="L9594">
        <f>_xlfn.XLOOKUP(Tableau1[[#This Row],[TYPE DE PIECE]],Tableau4[MATIERE],Tableau4[SHORT TYPE],"",0,1)</f>
        <v/>
      </c>
      <c r="N9594">
        <f>IF(ISERR(FIND("DECOUPE",Tableau1[[#This Row],[DESIGNATION]])),"","NEED REF")</f>
        <v/>
      </c>
    </row>
    <row r="9595">
      <c r="B9595" t="n">
        <v>34404410</v>
      </c>
      <c r="C9595" s="2" t="n">
        <v>42081</v>
      </c>
      <c r="D9595" t="inlineStr">
        <is>
          <t>SPEC</t>
        </is>
      </c>
      <c r="E9595" t="inlineStr">
        <is>
          <t>TRAVERSE SUPPORT CX ARRIERE</t>
        </is>
      </c>
      <c r="F9595" t="inlineStr">
        <is>
          <t>STS2000A</t>
        </is>
      </c>
      <c r="J9595" t="inlineStr">
        <is>
          <t>MATRION</t>
        </is>
      </c>
      <c r="K9595" t="inlineStr">
        <is>
          <t>METAL</t>
        </is>
      </c>
      <c r="L9595">
        <f>_xlfn.XLOOKUP(Tableau1[[#This Row],[TYPE DE PIECE]],Tableau4[MATIERE],Tableau4[SHORT TYPE],"",0,1)</f>
        <v/>
      </c>
      <c r="N9595">
        <f>IF(ISERR(FIND("DECOUPE",Tableau1[[#This Row],[DESIGNATION]])),"","NEED REF")</f>
        <v/>
      </c>
    </row>
    <row r="9596">
      <c r="B9596" t="n">
        <v>34404409</v>
      </c>
      <c r="C9596" s="2" t="n">
        <v>42081</v>
      </c>
      <c r="D9596" t="inlineStr">
        <is>
          <t>SPEC</t>
        </is>
      </c>
      <c r="E9596" t="inlineStr">
        <is>
          <t>CALE CS NEUTRE</t>
        </is>
      </c>
      <c r="F9596" t="inlineStr">
        <is>
          <t>STS2000A</t>
        </is>
      </c>
      <c r="J9596" t="inlineStr">
        <is>
          <t>MATRION</t>
        </is>
      </c>
      <c r="K9596" t="inlineStr">
        <is>
          <t>CUIVRE</t>
        </is>
      </c>
      <c r="L9596">
        <f>_xlfn.XLOOKUP(Tableau1[[#This Row],[TYPE DE PIECE]],Tableau4[MATIERE],Tableau4[SHORT TYPE],"",0,1)</f>
        <v/>
      </c>
      <c r="N9596">
        <f>IF(ISERR(FIND("DECOUPE",Tableau1[[#This Row],[DESIGNATION]])),"","NEED REF")</f>
        <v/>
      </c>
    </row>
    <row r="9597">
      <c r="B9597" t="n">
        <v>34404408</v>
      </c>
      <c r="C9597" s="2" t="n">
        <v>42081</v>
      </c>
      <c r="D9597" t="inlineStr">
        <is>
          <t>SPEC</t>
        </is>
      </c>
      <c r="E9597" t="inlineStr">
        <is>
          <t>TOIT 600x800 VENTILE</t>
        </is>
      </c>
      <c r="F9597" t="inlineStr">
        <is>
          <t>STS2000A</t>
        </is>
      </c>
      <c r="J9597" t="inlineStr">
        <is>
          <t>MATRION</t>
        </is>
      </c>
      <c r="L9597">
        <f>_xlfn.XLOOKUP(Tableau1[[#This Row],[TYPE DE PIECE]],Tableau4[MATIERE],Tableau4[SHORT TYPE],"",0,1)</f>
        <v/>
      </c>
      <c r="N9597">
        <f>IF(ISERR(FIND("DECOUPE",Tableau1[[#This Row],[DESIGNATION]])),"","NEED REF")</f>
        <v/>
      </c>
    </row>
    <row r="9598">
      <c r="B9598" t="n">
        <v>34404407</v>
      </c>
      <c r="C9598" s="2" t="n">
        <v>42081</v>
      </c>
      <c r="D9598" t="inlineStr">
        <is>
          <t>SPEC</t>
        </is>
      </c>
      <c r="E9598" t="inlineStr">
        <is>
          <t>PORTE 600x2000 VENTILE</t>
        </is>
      </c>
      <c r="F9598" t="inlineStr">
        <is>
          <t>STS2000A</t>
        </is>
      </c>
      <c r="J9598" t="inlineStr">
        <is>
          <t>MATRION</t>
        </is>
      </c>
      <c r="L9598">
        <f>_xlfn.XLOOKUP(Tableau1[[#This Row],[TYPE DE PIECE]],Tableau4[MATIERE],Tableau4[SHORT TYPE],"",0,1)</f>
        <v/>
      </c>
      <c r="N9598">
        <f>IF(ISERR(FIND("DECOUPE",Tableau1[[#This Row],[DESIGNATION]])),"","NEED REF")</f>
        <v/>
      </c>
    </row>
    <row r="9599">
      <c r="B9599" t="n">
        <v>34404406</v>
      </c>
      <c r="C9599" s="2" t="n">
        <v>42081</v>
      </c>
      <c r="D9599" t="inlineStr">
        <is>
          <t>SPEC</t>
        </is>
      </c>
      <c r="E9599" t="inlineStr">
        <is>
          <t>PORTE 800x2000 VENTILE + AFFICHEUR</t>
        </is>
      </c>
      <c r="F9599" t="inlineStr">
        <is>
          <t>STS2000A</t>
        </is>
      </c>
      <c r="J9599" t="inlineStr">
        <is>
          <t>MATRION</t>
        </is>
      </c>
      <c r="L9599">
        <f>_xlfn.XLOOKUP(Tableau1[[#This Row],[TYPE DE PIECE]],Tableau4[MATIERE],Tableau4[SHORT TYPE],"",0,1)</f>
        <v/>
      </c>
      <c r="N9599">
        <f>IF(ISERR(FIND("DECOUPE",Tableau1[[#This Row],[DESIGNATION]])),"","NEED REF")</f>
        <v/>
      </c>
    </row>
    <row r="9600">
      <c r="B9600" t="n">
        <v>34404405</v>
      </c>
      <c r="C9600" s="2" t="n">
        <v>42081</v>
      </c>
      <c r="D9600" t="inlineStr">
        <is>
          <t>SPEC</t>
        </is>
      </c>
      <c r="E9600" t="inlineStr">
        <is>
          <t>CX cote UPS L+</t>
        </is>
      </c>
      <c r="F9600" t="inlineStr">
        <is>
          <t>BCB BOX G6K</t>
        </is>
      </c>
      <c r="J9600" t="inlineStr">
        <is>
          <t>ROBERT</t>
        </is>
      </c>
      <c r="K9600" t="inlineStr">
        <is>
          <t>CUIVRE</t>
        </is>
      </c>
      <c r="L9600">
        <f>_xlfn.XLOOKUP(Tableau1[[#This Row],[TYPE DE PIECE]],Tableau4[MATIERE],Tableau4[SHORT TYPE],"",0,1)</f>
        <v/>
      </c>
      <c r="N9600">
        <f>IF(ISERR(FIND("DECOUPE",Tableau1[[#This Row],[DESIGNATION]])),"","NEED REF")</f>
        <v/>
      </c>
    </row>
    <row r="9601">
      <c r="B9601" t="n">
        <v>34404404</v>
      </c>
      <c r="C9601" s="2" t="n">
        <v>42081</v>
      </c>
      <c r="D9601" t="inlineStr">
        <is>
          <t>SPEC</t>
        </is>
      </c>
      <c r="E9601" t="inlineStr">
        <is>
          <t>CELLULE 800x800x2000 VENTILE + AFFICHEUR</t>
        </is>
      </c>
      <c r="F9601" t="inlineStr">
        <is>
          <t>STS2000A</t>
        </is>
      </c>
      <c r="J9601" t="inlineStr">
        <is>
          <t>MATRION</t>
        </is>
      </c>
      <c r="K9601" t="inlineStr">
        <is>
          <t>METAL</t>
        </is>
      </c>
      <c r="L9601">
        <f>_xlfn.XLOOKUP(Tableau1[[#This Row],[TYPE DE PIECE]],Tableau4[MATIERE],Tableau4[SHORT TYPE],"",0,1)</f>
        <v/>
      </c>
      <c r="N9601">
        <f>IF(ISERR(FIND("DECOUPE",Tableau1[[#This Row],[DESIGNATION]])),"","NEED REF")</f>
        <v/>
      </c>
    </row>
    <row r="9602">
      <c r="B9602" t="n">
        <v>34404403</v>
      </c>
      <c r="C9602" s="2" t="n">
        <v>42081</v>
      </c>
      <c r="D9602" t="inlineStr">
        <is>
          <t>SPEC</t>
        </is>
      </c>
      <c r="E9602" t="inlineStr">
        <is>
          <t>SUPPORT CONTACTEUR</t>
        </is>
      </c>
      <c r="F9602" t="inlineStr">
        <is>
          <t>STS2000A</t>
        </is>
      </c>
      <c r="J9602" t="inlineStr">
        <is>
          <t>MATRION</t>
        </is>
      </c>
      <c r="K9602" t="inlineStr">
        <is>
          <t>METAL</t>
        </is>
      </c>
      <c r="L9602">
        <f>_xlfn.XLOOKUP(Tableau1[[#This Row],[TYPE DE PIECE]],Tableau4[MATIERE],Tableau4[SHORT TYPE],"",0,1)</f>
        <v/>
      </c>
      <c r="N9602">
        <f>IF(ISERR(FIND("DECOUPE",Tableau1[[#This Row],[DESIGNATION]])),"","NEED REF")</f>
        <v/>
      </c>
    </row>
    <row r="9603">
      <c r="B9603" t="n">
        <v>34404402</v>
      </c>
      <c r="C9603" s="2" t="n">
        <v>42081</v>
      </c>
      <c r="D9603" t="inlineStr">
        <is>
          <t>SPEC</t>
        </is>
      </c>
      <c r="E9603" t="inlineStr">
        <is>
          <t>SUPPORT ELEC</t>
        </is>
      </c>
      <c r="F9603" t="inlineStr">
        <is>
          <t>STS2000A</t>
        </is>
      </c>
      <c r="J9603" t="inlineStr">
        <is>
          <t>MATRION</t>
        </is>
      </c>
      <c r="L9603">
        <f>_xlfn.XLOOKUP(Tableau1[[#This Row],[TYPE DE PIECE]],Tableau4[MATIERE],Tableau4[SHORT TYPE],"",0,1)</f>
        <v/>
      </c>
      <c r="N9603">
        <f>IF(ISERR(FIND("DECOUPE",Tableau1[[#This Row],[DESIGNATION]])),"","NEED REF")</f>
        <v/>
      </c>
    </row>
    <row r="9604">
      <c r="B9604" t="n">
        <v>34404401</v>
      </c>
      <c r="C9604" s="2" t="n">
        <v>42081</v>
      </c>
      <c r="D9604" t="inlineStr">
        <is>
          <t>SPEC</t>
        </is>
      </c>
      <c r="E9604" t="inlineStr">
        <is>
          <t>PLAGE AMONT Q1_Q2</t>
        </is>
      </c>
      <c r="F9604" t="inlineStr">
        <is>
          <t>STS2000A</t>
        </is>
      </c>
      <c r="J9604" t="inlineStr">
        <is>
          <t>MATRION</t>
        </is>
      </c>
      <c r="K9604" t="inlineStr">
        <is>
          <t>CUIVRE</t>
        </is>
      </c>
      <c r="L9604">
        <f>_xlfn.XLOOKUP(Tableau1[[#This Row],[TYPE DE PIECE]],Tableau4[MATIERE],Tableau4[SHORT TYPE],"",0,1)</f>
        <v/>
      </c>
      <c r="N9604">
        <f>IF(ISERR(FIND("DECOUPE",Tableau1[[#This Row],[DESIGNATION]])),"","NEED REF")</f>
        <v/>
      </c>
    </row>
    <row r="9605">
      <c r="B9605" t="n">
        <v>34404400</v>
      </c>
      <c r="C9605" s="2" t="n">
        <v>42081</v>
      </c>
      <c r="D9605" t="inlineStr">
        <is>
          <t>SPEC</t>
        </is>
      </c>
      <c r="E9605" t="inlineStr">
        <is>
          <t>FLEX_N_JUNCTION DROIT</t>
        </is>
      </c>
      <c r="F9605" t="inlineStr">
        <is>
          <t>STS2000A</t>
        </is>
      </c>
      <c r="J9605" t="inlineStr">
        <is>
          <t>MATRION</t>
        </is>
      </c>
      <c r="K9605" t="inlineStr">
        <is>
          <t>CUIVRE</t>
        </is>
      </c>
      <c r="L9605">
        <f>_xlfn.XLOOKUP(Tableau1[[#This Row],[TYPE DE PIECE]],Tableau4[MATIERE],Tableau4[SHORT TYPE],"",0,1)</f>
        <v/>
      </c>
      <c r="N9605">
        <f>IF(ISERR(FIND("DECOUPE",Tableau1[[#This Row],[DESIGNATION]])),"","NEED REF")</f>
        <v/>
      </c>
    </row>
    <row r="9606">
      <c r="B9606" t="n">
        <v>34404399</v>
      </c>
      <c r="C9606" s="2" t="n">
        <v>42081</v>
      </c>
      <c r="D9606" t="inlineStr">
        <is>
          <t>SPEC</t>
        </is>
      </c>
      <c r="E9606" t="inlineStr">
        <is>
          <t>FLEX_N_JUNCTION GAUCHE</t>
        </is>
      </c>
      <c r="F9606" t="inlineStr">
        <is>
          <t>STS2000A</t>
        </is>
      </c>
      <c r="J9606" t="inlineStr">
        <is>
          <t>MATRION</t>
        </is>
      </c>
      <c r="K9606" t="inlineStr">
        <is>
          <t>CUIVRE</t>
        </is>
      </c>
      <c r="L9606">
        <f>_xlfn.XLOOKUP(Tableau1[[#This Row],[TYPE DE PIECE]],Tableau4[MATIERE],Tableau4[SHORT TYPE],"",0,1)</f>
        <v/>
      </c>
      <c r="N9606">
        <f>IF(ISERR(FIND("DECOUPE",Tableau1[[#This Row],[DESIGNATION]])),"","NEED REF")</f>
        <v/>
      </c>
    </row>
    <row r="9607">
      <c r="B9607" t="n">
        <v>34404398</v>
      </c>
      <c r="C9607" s="2" t="n">
        <v>42081</v>
      </c>
      <c r="D9607" t="inlineStr">
        <is>
          <t>SPEC</t>
        </is>
      </c>
      <c r="E9607" t="inlineStr">
        <is>
          <t>FLEX_Q_QBP_JUNCTION</t>
        </is>
      </c>
      <c r="F9607" t="inlineStr">
        <is>
          <t>STS2000A</t>
        </is>
      </c>
      <c r="J9607" t="inlineStr">
        <is>
          <t>MATRION</t>
        </is>
      </c>
      <c r="K9607" t="inlineStr">
        <is>
          <t>CUIVRE</t>
        </is>
      </c>
      <c r="L9607">
        <f>_xlfn.XLOOKUP(Tableau1[[#This Row],[TYPE DE PIECE]],Tableau4[MATIERE],Tableau4[SHORT TYPE],"",0,1)</f>
        <v/>
      </c>
      <c r="N9607">
        <f>IF(ISERR(FIND("DECOUPE",Tableau1[[#This Row],[DESIGNATION]])),"","NEED REF")</f>
        <v/>
      </c>
    </row>
    <row r="9608">
      <c r="B9608" t="n">
        <v>34404397</v>
      </c>
      <c r="C9608" s="2" t="n">
        <v>42081</v>
      </c>
      <c r="D9608" t="inlineStr">
        <is>
          <t>SPEC</t>
        </is>
      </c>
      <c r="E9608" t="inlineStr">
        <is>
          <t>EQUERRE SUPPORT JDB 2</t>
        </is>
      </c>
      <c r="F9608" t="inlineStr">
        <is>
          <t>STS2000A</t>
        </is>
      </c>
      <c r="J9608" t="inlineStr">
        <is>
          <t>MATRION</t>
        </is>
      </c>
      <c r="K9608" t="inlineStr">
        <is>
          <t>METAL</t>
        </is>
      </c>
      <c r="L9608">
        <f>_xlfn.XLOOKUP(Tableau1[[#This Row],[TYPE DE PIECE]],Tableau4[MATIERE],Tableau4[SHORT TYPE],"",0,1)</f>
        <v/>
      </c>
      <c r="N9608">
        <f>IF(ISERR(FIND("DECOUPE",Tableau1[[#This Row],[DESIGNATION]])),"","NEED REF")</f>
        <v/>
      </c>
    </row>
    <row r="9609">
      <c r="B9609" t="n">
        <v>34404396</v>
      </c>
      <c r="C9609" s="2" t="n">
        <v>42081</v>
      </c>
      <c r="D9609" t="inlineStr">
        <is>
          <t>SPEC</t>
        </is>
      </c>
      <c r="E9609" t="inlineStr">
        <is>
          <t>EQUERRE SUPPORT JDB 1</t>
        </is>
      </c>
      <c r="F9609" t="inlineStr">
        <is>
          <t>STS2000A</t>
        </is>
      </c>
      <c r="J9609" t="inlineStr">
        <is>
          <t>MATRION</t>
        </is>
      </c>
      <c r="K9609" t="inlineStr">
        <is>
          <t>METAL</t>
        </is>
      </c>
      <c r="L9609">
        <f>_xlfn.XLOOKUP(Tableau1[[#This Row],[TYPE DE PIECE]],Tableau4[MATIERE],Tableau4[SHORT TYPE],"",0,1)</f>
        <v/>
      </c>
      <c r="N9609">
        <f>IF(ISERR(FIND("DECOUPE",Tableau1[[#This Row],[DESIGNATION]])),"","NEED REF")</f>
        <v/>
      </c>
    </row>
    <row r="9610">
      <c r="B9610" t="n">
        <v>34404395</v>
      </c>
      <c r="C9610" s="2" t="n">
        <v>42081</v>
      </c>
      <c r="D9610" t="inlineStr">
        <is>
          <t>SPEC</t>
        </is>
      </c>
      <c r="E9610" t="inlineStr">
        <is>
          <t>FLEX Q3-BP 2</t>
        </is>
      </c>
      <c r="F9610" t="inlineStr">
        <is>
          <t>STS2000A</t>
        </is>
      </c>
      <c r="J9610" t="inlineStr">
        <is>
          <t>MATRION</t>
        </is>
      </c>
      <c r="K9610" t="inlineStr">
        <is>
          <t>CUIVRE</t>
        </is>
      </c>
      <c r="L9610">
        <f>_xlfn.XLOOKUP(Tableau1[[#This Row],[TYPE DE PIECE]],Tableau4[MATIERE],Tableau4[SHORT TYPE],"",0,1)</f>
        <v/>
      </c>
      <c r="N9610">
        <f>IF(ISERR(FIND("DECOUPE",Tableau1[[#This Row],[DESIGNATION]])),"","NEED REF")</f>
        <v/>
      </c>
    </row>
    <row r="9611">
      <c r="B9611" t="n">
        <v>34404394</v>
      </c>
      <c r="C9611" s="2" t="n">
        <v>42081</v>
      </c>
      <c r="D9611" t="inlineStr">
        <is>
          <t>SPEC</t>
        </is>
      </c>
      <c r="E9611" t="inlineStr">
        <is>
          <t>FLEX Q3-BP 1</t>
        </is>
      </c>
      <c r="F9611" t="inlineStr">
        <is>
          <t>STS2000A</t>
        </is>
      </c>
      <c r="J9611" t="inlineStr">
        <is>
          <t>MATRION</t>
        </is>
      </c>
      <c r="K9611" t="inlineStr">
        <is>
          <t>CUIVRE</t>
        </is>
      </c>
      <c r="L9611">
        <f>_xlfn.XLOOKUP(Tableau1[[#This Row],[TYPE DE PIECE]],Tableau4[MATIERE],Tableau4[SHORT TYPE],"",0,1)</f>
        <v/>
      </c>
      <c r="N9611">
        <f>IF(ISERR(FIND("DECOUPE",Tableau1[[#This Row],[DESIGNATION]])),"","NEED REF")</f>
        <v/>
      </c>
    </row>
    <row r="9612">
      <c r="B9612" t="n">
        <v>34404393</v>
      </c>
      <c r="C9612" s="2" t="n">
        <v>42081</v>
      </c>
      <c r="D9612" t="inlineStr">
        <is>
          <t>SPEC</t>
        </is>
      </c>
      <c r="E9612" t="inlineStr">
        <is>
          <t>SUPPORT MODULE ELEC</t>
        </is>
      </c>
      <c r="F9612" t="inlineStr">
        <is>
          <t>STS2000A</t>
        </is>
      </c>
      <c r="J9612" t="inlineStr">
        <is>
          <t>MATRION</t>
        </is>
      </c>
      <c r="K9612" t="inlineStr">
        <is>
          <t>METAL</t>
        </is>
      </c>
      <c r="L9612">
        <f>_xlfn.XLOOKUP(Tableau1[[#This Row],[TYPE DE PIECE]],Tableau4[MATIERE],Tableau4[SHORT TYPE],"",0,1)</f>
        <v/>
      </c>
      <c r="N9612">
        <f>IF(ISERR(FIND("DECOUPE",Tableau1[[#This Row],[DESIGNATION]])),"","NEED REF")</f>
        <v/>
      </c>
    </row>
    <row r="9613">
      <c r="B9613" t="n">
        <v>34404392</v>
      </c>
      <c r="C9613" s="2" t="n">
        <v>42081</v>
      </c>
      <c r="D9613" t="inlineStr">
        <is>
          <t>SPEC</t>
        </is>
      </c>
      <c r="E9613" t="inlineStr">
        <is>
          <t>SUPPORT 800 JDB INTER CELLULE</t>
        </is>
      </c>
      <c r="F9613" t="inlineStr">
        <is>
          <t>STS2000A</t>
        </is>
      </c>
      <c r="J9613" t="inlineStr">
        <is>
          <t>MATRION</t>
        </is>
      </c>
      <c r="L9613">
        <f>_xlfn.XLOOKUP(Tableau1[[#This Row],[TYPE DE PIECE]],Tableau4[MATIERE],Tableau4[SHORT TYPE],"",0,1)</f>
        <v/>
      </c>
      <c r="N9613">
        <f>IF(ISERR(FIND("DECOUPE",Tableau1[[#This Row],[DESIGNATION]])),"","NEED REF")</f>
        <v/>
      </c>
    </row>
    <row r="9614">
      <c r="B9614" t="n">
        <v>34404391</v>
      </c>
      <c r="C9614" s="2" t="n">
        <v>42081</v>
      </c>
      <c r="D9614" t="inlineStr">
        <is>
          <t>SPEC</t>
        </is>
      </c>
      <c r="E9614" t="inlineStr">
        <is>
          <t xml:space="preserve">SUPPORT 800 JDB </t>
        </is>
      </c>
      <c r="F9614" t="inlineStr">
        <is>
          <t>STS2000A</t>
        </is>
      </c>
      <c r="J9614" t="inlineStr">
        <is>
          <t>MATRION</t>
        </is>
      </c>
      <c r="L9614">
        <f>_xlfn.XLOOKUP(Tableau1[[#This Row],[TYPE DE PIECE]],Tableau4[MATIERE],Tableau4[SHORT TYPE],"",0,1)</f>
        <v/>
      </c>
      <c r="N9614">
        <f>IF(ISERR(FIND("DECOUPE",Tableau1[[#This Row],[DESIGNATION]])),"","NEED REF")</f>
        <v/>
      </c>
    </row>
    <row r="9615">
      <c r="B9615" t="n">
        <v>34404390</v>
      </c>
      <c r="C9615" s="2" t="n">
        <v>42081</v>
      </c>
      <c r="D9615" t="inlineStr">
        <is>
          <t>SPEC</t>
        </is>
      </c>
      <c r="E9615" t="inlineStr">
        <is>
          <t>SUPPORT 1000 MASTERPACT</t>
        </is>
      </c>
      <c r="F9615" t="inlineStr">
        <is>
          <t>STS2000A</t>
        </is>
      </c>
      <c r="J9615" t="inlineStr">
        <is>
          <t>MATRION</t>
        </is>
      </c>
      <c r="L9615">
        <f>_xlfn.XLOOKUP(Tableau1[[#This Row],[TYPE DE PIECE]],Tableau4[MATIERE],Tableau4[SHORT TYPE],"",0,1)</f>
        <v/>
      </c>
      <c r="N9615">
        <f>IF(ISERR(FIND("DECOUPE",Tableau1[[#This Row],[DESIGNATION]])),"","NEED REF")</f>
        <v/>
      </c>
    </row>
    <row r="9616">
      <c r="B9616" t="n">
        <v>34404389</v>
      </c>
      <c r="C9616" s="2" t="n">
        <v>42081</v>
      </c>
      <c r="D9616" t="inlineStr">
        <is>
          <t>SPEC</t>
        </is>
      </c>
      <c r="E9616" t="inlineStr">
        <is>
          <t>SUPPORT 800 MASTERPACT</t>
        </is>
      </c>
      <c r="F9616" t="inlineStr">
        <is>
          <t>STS2000A</t>
        </is>
      </c>
      <c r="J9616" t="inlineStr">
        <is>
          <t>MATRION</t>
        </is>
      </c>
      <c r="L9616">
        <f>_xlfn.XLOOKUP(Tableau1[[#This Row],[TYPE DE PIECE]],Tableau4[MATIERE],Tableau4[SHORT TYPE],"",0,1)</f>
        <v/>
      </c>
      <c r="N9616">
        <f>IF(ISERR(FIND("DECOUPE",Tableau1[[#This Row],[DESIGNATION]])),"","NEED REF")</f>
        <v/>
      </c>
    </row>
    <row r="9617">
      <c r="B9617" t="n">
        <v>34404388</v>
      </c>
      <c r="C9617" s="2" t="n">
        <v>42080</v>
      </c>
      <c r="D9617" t="inlineStr">
        <is>
          <t>SPEC</t>
        </is>
      </c>
      <c r="J9617" t="inlineStr">
        <is>
          <t>PLANTIER</t>
        </is>
      </c>
      <c r="K9617" t="inlineStr">
        <is>
          <t>PALETTES</t>
        </is>
      </c>
      <c r="L9617">
        <f>_xlfn.XLOOKUP(Tableau1[[#This Row],[TYPE DE PIECE]],Tableau4[MATIERE],Tableau4[SHORT TYPE],"",0,1)</f>
        <v/>
      </c>
      <c r="N9617">
        <f>IF(ISERR(FIND("DECOUPE",Tableau1[[#This Row],[DESIGNATION]])),"","NEED REF")</f>
        <v/>
      </c>
    </row>
    <row r="9618">
      <c r="B9618" t="n">
        <v>34404387</v>
      </c>
      <c r="C9618" s="2" t="n">
        <v>42172</v>
      </c>
      <c r="D9618" t="inlineStr">
        <is>
          <t>SPEC</t>
        </is>
      </c>
      <c r="E9618" t="inlineStr">
        <is>
          <t>MASTERPACT Q1/Q2 STS2000</t>
        </is>
      </c>
      <c r="F9618" t="inlineStr">
        <is>
          <t>STS2000A</t>
        </is>
      </c>
      <c r="J9618" t="inlineStr">
        <is>
          <t>MATRION</t>
        </is>
      </c>
      <c r="K9618" t="inlineStr">
        <is>
          <t>SCHNEIDER</t>
        </is>
      </c>
      <c r="L9618">
        <f>_xlfn.XLOOKUP(Tableau1[[#This Row],[TYPE DE PIECE]],Tableau4[MATIERE],Tableau4[SHORT TYPE],"",0,1)</f>
        <v/>
      </c>
      <c r="N9618">
        <f>IF(ISERR(FIND("DECOUPE",Tableau1[[#This Row],[DESIGNATION]])),"","NEED REF")</f>
        <v/>
      </c>
    </row>
    <row r="9619">
      <c r="B9619" t="n">
        <v>34404386</v>
      </c>
      <c r="C9619" s="2" t="n">
        <v>42171</v>
      </c>
      <c r="D9619" t="inlineStr">
        <is>
          <t>SPEC</t>
        </is>
      </c>
      <c r="E9619" t="inlineStr">
        <is>
          <t>MASTERPACT Q1/Q2 BYPASS STS2000</t>
        </is>
      </c>
      <c r="F9619" t="inlineStr">
        <is>
          <t>STS2000A</t>
        </is>
      </c>
      <c r="J9619" t="inlineStr">
        <is>
          <t>MATRION</t>
        </is>
      </c>
      <c r="K9619" t="inlineStr">
        <is>
          <t>SCHNEIDER</t>
        </is>
      </c>
      <c r="L9619">
        <f>_xlfn.XLOOKUP(Tableau1[[#This Row],[TYPE DE PIECE]],Tableau4[MATIERE],Tableau4[SHORT TYPE],"",0,1)</f>
        <v/>
      </c>
      <c r="N9619">
        <f>IF(ISERR(FIND("DECOUPE",Tableau1[[#This Row],[DESIGNATION]])),"","NEED REF")</f>
        <v/>
      </c>
    </row>
    <row r="9620">
      <c r="B9620" t="n">
        <v>34404385</v>
      </c>
      <c r="C9620" s="2" t="n">
        <v>42171</v>
      </c>
      <c r="D9620" t="inlineStr">
        <is>
          <t>SPEC</t>
        </is>
      </c>
      <c r="E9620" t="inlineStr">
        <is>
          <t>MASTERPACT Q3 STS2000</t>
        </is>
      </c>
      <c r="F9620" t="inlineStr">
        <is>
          <t>STS2000A</t>
        </is>
      </c>
      <c r="J9620" t="inlineStr">
        <is>
          <t>MATRION</t>
        </is>
      </c>
      <c r="K9620" t="inlineStr">
        <is>
          <t>SCHNEIDER</t>
        </is>
      </c>
      <c r="L9620">
        <f>_xlfn.XLOOKUP(Tableau1[[#This Row],[TYPE DE PIECE]],Tableau4[MATIERE],Tableau4[SHORT TYPE],"",0,1)</f>
        <v/>
      </c>
      <c r="N9620">
        <f>IF(ISERR(FIND("DECOUPE",Tableau1[[#This Row],[DESIGNATION]])),"","NEED REF")</f>
        <v/>
      </c>
    </row>
    <row r="9621">
      <c r="B9621" t="n">
        <v>34404384</v>
      </c>
      <c r="C9621" s="2" t="n">
        <v>42171</v>
      </c>
      <c r="D9621" t="inlineStr">
        <is>
          <t>SPEC</t>
        </is>
      </c>
      <c r="E9621" t="inlineStr">
        <is>
          <t>ASSY PLATE BY-PASS 630A STS - 0M-3402007500</t>
        </is>
      </c>
      <c r="F9621" t="inlineStr">
        <is>
          <t>STS630</t>
        </is>
      </c>
      <c r="J9621" t="inlineStr">
        <is>
          <t>MATRION</t>
        </is>
      </c>
      <c r="L9621">
        <f>_xlfn.XLOOKUP(Tableau1[[#This Row],[TYPE DE PIECE]],Tableau4[MATIERE],Tableau4[SHORT TYPE],"",0,1)</f>
        <v/>
      </c>
      <c r="N9621">
        <f>IF(ISERR(FIND("DECOUPE",Tableau1[[#This Row],[DESIGNATION]])),"","NEED REF")</f>
        <v/>
      </c>
    </row>
    <row r="9622">
      <c r="B9622" t="n">
        <v>34404383</v>
      </c>
      <c r="C9622" s="2" t="n">
        <v>42171</v>
      </c>
      <c r="D9622" t="inlineStr">
        <is>
          <t>SPEC</t>
        </is>
      </c>
      <c r="E9622" t="inlineStr">
        <is>
          <t>ASSY PLATE CUT NEUT 380/400V STS 4/630A - 0M-3402036500</t>
        </is>
      </c>
      <c r="F9622" t="inlineStr">
        <is>
          <t>STS630</t>
        </is>
      </c>
      <c r="J9622" t="inlineStr">
        <is>
          <t>MATRION</t>
        </is>
      </c>
      <c r="L9622">
        <f>_xlfn.XLOOKUP(Tableau1[[#This Row],[TYPE DE PIECE]],Tableau4[MATIERE],Tableau4[SHORT TYPE],"",0,1)</f>
        <v/>
      </c>
      <c r="N9622">
        <f>IF(ISERR(FIND("DECOUPE",Tableau1[[#This Row],[DESIGNATION]])),"","NEED REF")</f>
        <v/>
      </c>
    </row>
    <row r="9623">
      <c r="B9623" t="n">
        <v>34404382</v>
      </c>
      <c r="C9623" s="2" t="n">
        <v>42171</v>
      </c>
      <c r="D9623" t="inlineStr">
        <is>
          <t>SPEC</t>
        </is>
      </c>
      <c r="E9623" t="inlineStr">
        <is>
          <t>ASSY PLATE CUT NEUTRAL 415V STS 4/630A - 0M-3402035600</t>
        </is>
      </c>
      <c r="F9623" t="inlineStr">
        <is>
          <t>STS630</t>
        </is>
      </c>
      <c r="J9623" t="inlineStr">
        <is>
          <t>MATRION</t>
        </is>
      </c>
      <c r="L9623">
        <f>_xlfn.XLOOKUP(Tableau1[[#This Row],[TYPE DE PIECE]],Tableau4[MATIERE],Tableau4[SHORT TYPE],"",0,1)</f>
        <v/>
      </c>
      <c r="N9623">
        <f>IF(ISERR(FIND("DECOUPE",Tableau1[[#This Row],[DESIGNATION]])),"","NEED REF")</f>
        <v/>
      </c>
    </row>
    <row r="9624">
      <c r="B9624" t="n">
        <v>34404381</v>
      </c>
      <c r="C9624" s="2" t="n">
        <v>42171</v>
      </c>
      <c r="D9624" t="inlineStr">
        <is>
          <t>SPEC</t>
        </is>
      </c>
      <c r="E9624" t="inlineStr">
        <is>
          <t>ASSY DISPLAY STS UPSILON IP00 - 0M-3402037800</t>
        </is>
      </c>
      <c r="F9624" t="inlineStr">
        <is>
          <t>STS630</t>
        </is>
      </c>
      <c r="J9624" t="inlineStr">
        <is>
          <t>MATRION</t>
        </is>
      </c>
      <c r="L9624">
        <f>_xlfn.XLOOKUP(Tableau1[[#This Row],[TYPE DE PIECE]],Tableau4[MATIERE],Tableau4[SHORT TYPE],"",0,1)</f>
        <v/>
      </c>
      <c r="N9624">
        <f>IF(ISERR(FIND("DECOUPE",Tableau1[[#This Row],[DESIGNATION]])),"","NEED REF")</f>
        <v/>
      </c>
    </row>
    <row r="9625">
      <c r="B9625" t="n">
        <v>34404380</v>
      </c>
      <c r="C9625" s="2" t="n">
        <v>42171</v>
      </c>
      <c r="D9625" t="inlineStr">
        <is>
          <t>SPEC</t>
        </is>
      </c>
      <c r="E9625" t="inlineStr">
        <is>
          <t>ASSY COM STS UPSILON IP00 - 0M-3402037700</t>
        </is>
      </c>
      <c r="F9625" t="inlineStr">
        <is>
          <t>STS630</t>
        </is>
      </c>
      <c r="J9625" t="inlineStr">
        <is>
          <t>MATRION</t>
        </is>
      </c>
      <c r="L9625">
        <f>_xlfn.XLOOKUP(Tableau1[[#This Row],[TYPE DE PIECE]],Tableau4[MATIERE],Tableau4[SHORT TYPE],"",0,1)</f>
        <v/>
      </c>
      <c r="N9625">
        <f>IF(ISERR(FIND("DECOUPE",Tableau1[[#This Row],[DESIGNATION]])),"","NEED REF")</f>
        <v/>
      </c>
    </row>
    <row r="9626">
      <c r="B9626" t="n">
        <v>34404379</v>
      </c>
      <c r="C9626" s="2" t="n">
        <v>42171</v>
      </c>
      <c r="D9626" t="inlineStr">
        <is>
          <t>SPEC</t>
        </is>
      </c>
      <c r="E9626" t="inlineStr">
        <is>
          <t>ASSY DROE MODULE STS 630A - 0M-3402008400</t>
        </is>
      </c>
      <c r="F9626" t="inlineStr">
        <is>
          <t>STS630</t>
        </is>
      </c>
      <c r="J9626" t="inlineStr">
        <is>
          <t>MATRION</t>
        </is>
      </c>
      <c r="L9626">
        <f>_xlfn.XLOOKUP(Tableau1[[#This Row],[TYPE DE PIECE]],Tableau4[MATIERE],Tableau4[SHORT TYPE],"",0,1)</f>
        <v/>
      </c>
      <c r="N9626">
        <f>IF(ISERR(FIND("DECOUPE",Tableau1[[#This Row],[DESIGNATION]])),"","NEED REF")</f>
        <v/>
      </c>
    </row>
    <row r="9627">
      <c r="B9627" t="n">
        <v>34404378</v>
      </c>
      <c r="C9627" s="2" t="n">
        <v>42171</v>
      </c>
      <c r="D9627" t="inlineStr">
        <is>
          <t>SPEC</t>
        </is>
      </c>
      <c r="E9627" t="inlineStr">
        <is>
          <t>ASSY ELECTRONIC UNIT STS 630A - 0M-3402008300</t>
        </is>
      </c>
      <c r="F9627" t="inlineStr">
        <is>
          <t>STS630</t>
        </is>
      </c>
      <c r="J9627" t="inlineStr">
        <is>
          <t>MATRION</t>
        </is>
      </c>
      <c r="L9627">
        <f>_xlfn.XLOOKUP(Tableau1[[#This Row],[TYPE DE PIECE]],Tableau4[MATIERE],Tableau4[SHORT TYPE],"",0,1)</f>
        <v/>
      </c>
      <c r="N9627">
        <f>IF(ISERR(FIND("DECOUPE",Tableau1[[#This Row],[DESIGNATION]])),"","NEED REF")</f>
        <v/>
      </c>
    </row>
    <row r="9628">
      <c r="B9628" t="n">
        <v>34404377</v>
      </c>
      <c r="C9628" s="2" t="n">
        <v>42171</v>
      </c>
      <c r="D9628" t="inlineStr">
        <is>
          <t>SPEC</t>
        </is>
      </c>
      <c r="E9628" t="inlineStr">
        <is>
          <t>ASSY SSW 600A STS - 0M-3402007800</t>
        </is>
      </c>
      <c r="F9628" t="inlineStr">
        <is>
          <t>STS630</t>
        </is>
      </c>
      <c r="J9628" t="inlineStr">
        <is>
          <t>MATRION</t>
        </is>
      </c>
      <c r="L9628">
        <f>_xlfn.XLOOKUP(Tableau1[[#This Row],[TYPE DE PIECE]],Tableau4[MATIERE],Tableau4[SHORT TYPE],"",0,1)</f>
        <v/>
      </c>
      <c r="N9628">
        <f>IF(ISERR(FIND("DECOUPE",Tableau1[[#This Row],[DESIGNATION]])),"","NEED REF")</f>
        <v/>
      </c>
    </row>
    <row r="9629">
      <c r="B9629" t="n">
        <v>34404376</v>
      </c>
      <c r="C9629" s="2" t="n">
        <v>42074</v>
      </c>
      <c r="D9629" t="inlineStr">
        <is>
          <t>NOM</t>
        </is>
      </c>
      <c r="E9629" t="inlineStr">
        <is>
          <t>NOM STS2000A S2</t>
        </is>
      </c>
      <c r="F9629" t="inlineStr">
        <is>
          <t>STS2000A</t>
        </is>
      </c>
      <c r="J9629" t="inlineStr">
        <is>
          <t>MATRION</t>
        </is>
      </c>
      <c r="K9629" t="inlineStr">
        <is>
          <t>-</t>
        </is>
      </c>
      <c r="L9629">
        <f>_xlfn.XLOOKUP(Tableau1[[#This Row],[TYPE DE PIECE]],Tableau4[MATIERE],Tableau4[SHORT TYPE],"",0,1)</f>
        <v/>
      </c>
      <c r="N9629">
        <f>IF(ISERR(FIND("DECOUPE",Tableau1[[#This Row],[DESIGNATION]])),"","NEED REF")</f>
        <v/>
      </c>
    </row>
    <row r="9630">
      <c r="B9630" t="n">
        <v>34404375</v>
      </c>
      <c r="C9630" s="2" t="n">
        <v>42074</v>
      </c>
      <c r="D9630" t="inlineStr">
        <is>
          <t>NOM</t>
        </is>
      </c>
      <c r="E9630" t="inlineStr">
        <is>
          <t>NOM STS2000A S1</t>
        </is>
      </c>
      <c r="F9630" t="inlineStr">
        <is>
          <t>STS2000A</t>
        </is>
      </c>
      <c r="J9630" t="inlineStr">
        <is>
          <t>MATRION</t>
        </is>
      </c>
      <c r="K9630" t="inlineStr">
        <is>
          <t>-</t>
        </is>
      </c>
      <c r="L9630">
        <f>_xlfn.XLOOKUP(Tableau1[[#This Row],[TYPE DE PIECE]],Tableau4[MATIERE],Tableau4[SHORT TYPE],"",0,1)</f>
        <v/>
      </c>
      <c r="N9630">
        <f>IF(ISERR(FIND("DECOUPE",Tableau1[[#This Row],[DESIGNATION]])),"","NEED REF")</f>
        <v/>
      </c>
    </row>
    <row r="9631">
      <c r="B9631" t="n">
        <v>34404374</v>
      </c>
      <c r="C9631" s="2" t="n">
        <v>42074</v>
      </c>
      <c r="D9631" t="inlineStr">
        <is>
          <t>NOM</t>
        </is>
      </c>
      <c r="E9631" t="inlineStr">
        <is>
          <t>NOM STS2000A CENTRAL</t>
        </is>
      </c>
      <c r="F9631" t="inlineStr">
        <is>
          <t>STS2000A</t>
        </is>
      </c>
      <c r="J9631" t="inlineStr">
        <is>
          <t>MATRION</t>
        </is>
      </c>
      <c r="K9631" t="inlineStr">
        <is>
          <t>-</t>
        </is>
      </c>
      <c r="L9631">
        <f>_xlfn.XLOOKUP(Tableau1[[#This Row],[TYPE DE PIECE]],Tableau4[MATIERE],Tableau4[SHORT TYPE],"",0,1)</f>
        <v/>
      </c>
      <c r="N9631">
        <f>IF(ISERR(FIND("DECOUPE",Tableau1[[#This Row],[DESIGNATION]])),"","NEED REF")</f>
        <v/>
      </c>
    </row>
    <row r="9632">
      <c r="B9632" t="n">
        <v>34404373</v>
      </c>
      <c r="C9632" s="2" t="n">
        <v>42072</v>
      </c>
      <c r="D9632" t="inlineStr">
        <is>
          <t>NOM</t>
        </is>
      </c>
      <c r="E9632" t="inlineStr">
        <is>
          <t>NOM COMMUNE STS400 NETSHELTER</t>
        </is>
      </c>
      <c r="F9632" t="inlineStr">
        <is>
          <t>STS400 NETSHLTER</t>
        </is>
      </c>
      <c r="J9632" t="inlineStr">
        <is>
          <t>MATRION</t>
        </is>
      </c>
      <c r="L9632">
        <f>_xlfn.XLOOKUP(Tableau1[[#This Row],[TYPE DE PIECE]],Tableau4[MATIERE],Tableau4[SHORT TYPE],"",0,1)</f>
        <v/>
      </c>
      <c r="N9632">
        <f>IF(ISERR(FIND("DECOUPE",Tableau1[[#This Row],[DESIGNATION]])),"","NEED REF")</f>
        <v/>
      </c>
    </row>
    <row r="9633">
      <c r="B9633" t="n">
        <v>34404372</v>
      </c>
      <c r="C9633" s="2" t="n">
        <v>42072</v>
      </c>
      <c r="D9633" t="inlineStr">
        <is>
          <t>NOM</t>
        </is>
      </c>
      <c r="E9633" t="inlineStr">
        <is>
          <t>NOM RACC HAUT ALLEGE STS400 NETSHELTER</t>
        </is>
      </c>
      <c r="F9633" t="inlineStr">
        <is>
          <t>STS400 NETSHLTER</t>
        </is>
      </c>
      <c r="J9633" t="inlineStr">
        <is>
          <t>MATRION</t>
        </is>
      </c>
      <c r="L9633">
        <f>_xlfn.XLOOKUP(Tableau1[[#This Row],[TYPE DE PIECE]],Tableau4[MATIERE],Tableau4[SHORT TYPE],"",0,1)</f>
        <v/>
      </c>
      <c r="N9633">
        <f>IF(ISERR(FIND("DECOUPE",Tableau1[[#This Row],[DESIGNATION]])),"","NEED REF")</f>
        <v/>
      </c>
    </row>
    <row r="9634">
      <c r="B9634" t="n">
        <v>34404371</v>
      </c>
      <c r="C9634" s="2" t="n">
        <v>42072</v>
      </c>
      <c r="D9634" t="inlineStr">
        <is>
          <t>NOM</t>
        </is>
      </c>
      <c r="E9634" t="inlineStr">
        <is>
          <t>NOM RACC HAUT STS400 NETSHELTER</t>
        </is>
      </c>
      <c r="F9634" t="inlineStr">
        <is>
          <t>STS400 NETSHLTER</t>
        </is>
      </c>
      <c r="J9634" t="inlineStr">
        <is>
          <t>MATRION</t>
        </is>
      </c>
      <c r="L9634">
        <f>_xlfn.XLOOKUP(Tableau1[[#This Row],[TYPE DE PIECE]],Tableau4[MATIERE],Tableau4[SHORT TYPE],"",0,1)</f>
        <v/>
      </c>
      <c r="N9634">
        <f>IF(ISERR(FIND("DECOUPE",Tableau1[[#This Row],[DESIGNATION]])),"","NEED REF")</f>
        <v/>
      </c>
    </row>
    <row r="9635">
      <c r="B9635" t="n">
        <v>34404370</v>
      </c>
      <c r="C9635" s="2" t="n">
        <v>42072</v>
      </c>
      <c r="D9635" t="inlineStr">
        <is>
          <t>NOM</t>
        </is>
      </c>
      <c r="E9635" t="inlineStr">
        <is>
          <t>NOM RACC BAS STS400 NETSHELTER</t>
        </is>
      </c>
      <c r="F9635" t="inlineStr">
        <is>
          <t>STS400 NETSHLTER</t>
        </is>
      </c>
      <c r="J9635" t="inlineStr">
        <is>
          <t>MATRION</t>
        </is>
      </c>
      <c r="L9635">
        <f>_xlfn.XLOOKUP(Tableau1[[#This Row],[TYPE DE PIECE]],Tableau4[MATIERE],Tableau4[SHORT TYPE],"",0,1)</f>
        <v/>
      </c>
      <c r="N9635">
        <f>IF(ISERR(FIND("DECOUPE",Tableau1[[#This Row],[DESIGNATION]])),"","NEED REF")</f>
        <v/>
      </c>
    </row>
    <row r="9636">
      <c r="B9636" t="n">
        <v>34404369</v>
      </c>
      <c r="C9636" s="2" t="n">
        <v>41935</v>
      </c>
      <c r="D9636" t="inlineStr">
        <is>
          <t>SPEC</t>
        </is>
      </c>
      <c r="E9636" t="inlineStr">
        <is>
          <t>B+ COPPER BAR JUNCTION</t>
        </is>
      </c>
      <c r="F9636" t="inlineStr">
        <is>
          <t>COFFRET DJ 96/160kW SYMM PX</t>
        </is>
      </c>
      <c r="J9636" t="inlineStr">
        <is>
          <t>MATRION</t>
        </is>
      </c>
      <c r="K9636" t="inlineStr">
        <is>
          <t>CUIVRE</t>
        </is>
      </c>
      <c r="L9636">
        <f>_xlfn.XLOOKUP(Tableau1[[#This Row],[TYPE DE PIECE]],Tableau4[MATIERE],Tableau4[SHORT TYPE],"",0,1)</f>
        <v/>
      </c>
      <c r="N9636">
        <f>IF(ISERR(FIND("DECOUPE",Tableau1[[#This Row],[DESIGNATION]])),"","NEED REF")</f>
        <v/>
      </c>
    </row>
    <row r="9637">
      <c r="B9637" t="n">
        <v>34404368</v>
      </c>
      <c r="C9637" s="2" t="n">
        <v>42039</v>
      </c>
      <c r="D9637" t="inlineStr">
        <is>
          <t>NOM</t>
        </is>
      </c>
      <c r="E9637" t="inlineStr">
        <is>
          <t>kit Marine Galaxy VM 160/200kVA</t>
        </is>
      </c>
      <c r="F9637" t="inlineStr">
        <is>
          <t>Galaxy VM 160/200kVA</t>
        </is>
      </c>
      <c r="J9637" t="inlineStr">
        <is>
          <t>ROBERT</t>
        </is>
      </c>
      <c r="L9637">
        <f>_xlfn.XLOOKUP(Tableau1[[#This Row],[TYPE DE PIECE]],Tableau4[MATIERE],Tableau4[SHORT TYPE],"",0,1)</f>
        <v/>
      </c>
      <c r="N9637">
        <f>IF(ISERR(FIND("DECOUPE",Tableau1[[#This Row],[DESIGNATION]])),"","NEED REF")</f>
        <v/>
      </c>
    </row>
    <row r="9638">
      <c r="B9638" t="n">
        <v>34404367</v>
      </c>
      <c r="C9638" s="2" t="n">
        <v>42065</v>
      </c>
      <c r="D9638" t="inlineStr">
        <is>
          <t>NOM</t>
        </is>
      </c>
      <c r="E9638" t="inlineStr">
        <is>
          <t>KIT CABLE GAINE 400 TOP CONNECT ADSIL</t>
        </is>
      </c>
      <c r="F9638" t="inlineStr">
        <is>
          <t>G700 ADSIL</t>
        </is>
      </c>
      <c r="L9638">
        <f>_xlfn.XLOOKUP(Tableau1[[#This Row],[TYPE DE PIECE]],Tableau4[MATIERE],Tableau4[SHORT TYPE],"",0,1)</f>
        <v/>
      </c>
      <c r="N9638">
        <f>IF(ISERR(FIND("DECOUPE",Tableau1[[#This Row],[DESIGNATION]])),"","NEED REF")</f>
        <v/>
      </c>
    </row>
    <row r="9639">
      <c r="B9639" t="n">
        <v>34404366</v>
      </c>
      <c r="C9639" s="2" t="n">
        <v>42060</v>
      </c>
      <c r="D9639" t="inlineStr">
        <is>
          <t>SPEC</t>
        </is>
      </c>
      <c r="E9639" t="inlineStr">
        <is>
          <t>KIT FILERIE FILS FIN PDPM277H (sans RCP)</t>
        </is>
      </c>
      <c r="F9639" t="inlineStr">
        <is>
          <t>PDPM277H</t>
        </is>
      </c>
      <c r="J9639" t="inlineStr">
        <is>
          <t>ROBERT</t>
        </is>
      </c>
      <c r="K9639" t="inlineStr">
        <is>
          <t>FILERIE</t>
        </is>
      </c>
      <c r="L9639">
        <f>_xlfn.XLOOKUP(Tableau1[[#This Row],[TYPE DE PIECE]],Tableau4[MATIERE],Tableau4[SHORT TYPE],"",0,1)</f>
        <v/>
      </c>
      <c r="N9639">
        <f>IF(ISERR(FIND("DECOUPE",Tableau1[[#This Row],[DESIGNATION]])),"","NEED REF")</f>
        <v/>
      </c>
    </row>
    <row r="9640">
      <c r="B9640" t="n">
        <v>34404365</v>
      </c>
      <c r="C9640" s="2" t="n">
        <v>42055</v>
      </c>
      <c r="D9640" t="inlineStr">
        <is>
          <t>NOM</t>
        </is>
      </c>
      <c r="E9640" t="inlineStr">
        <is>
          <t>GAINE 400 TOP CONNECTION ADSIL CONFIG</t>
        </is>
      </c>
      <c r="F9640" t="inlineStr">
        <is>
          <t>G700 ADSIL</t>
        </is>
      </c>
      <c r="J9640" t="inlineStr">
        <is>
          <t>ÇAKIR</t>
        </is>
      </c>
      <c r="L9640">
        <f>_xlfn.XLOOKUP(Tableau1[[#This Row],[TYPE DE PIECE]],Tableau4[MATIERE],Tableau4[SHORT TYPE],"",0,1)</f>
        <v/>
      </c>
      <c r="N9640">
        <f>IF(ISERR(FIND("DECOUPE",Tableau1[[#This Row],[DESIGNATION]])),"","NEED REF")</f>
        <v/>
      </c>
    </row>
    <row r="9641">
      <c r="B9641" t="n">
        <v>34404364</v>
      </c>
      <c r="C9641" s="2" t="n">
        <v>42055</v>
      </c>
      <c r="D9641" t="inlineStr">
        <is>
          <t>NOM</t>
        </is>
      </c>
      <c r="E9641" t="inlineStr">
        <is>
          <t>Annulé</t>
        </is>
      </c>
      <c r="J9641" t="inlineStr">
        <is>
          <t>ÇAKIR</t>
        </is>
      </c>
      <c r="L9641">
        <f>_xlfn.XLOOKUP(Tableau1[[#This Row],[TYPE DE PIECE]],Tableau4[MATIERE],Tableau4[SHORT TYPE],"",0,1)</f>
        <v/>
      </c>
      <c r="N9641">
        <f>IF(ISERR(FIND("DECOUPE",Tableau1[[#This Row],[DESIGNATION]])),"","NEED REF")</f>
        <v/>
      </c>
    </row>
    <row r="9642">
      <c r="B9642" t="n">
        <v>34404363</v>
      </c>
      <c r="C9642" s="2" t="n">
        <v>42052</v>
      </c>
      <c r="D9642" t="inlineStr">
        <is>
          <t>SPEC</t>
        </is>
      </c>
      <c r="E9642" t="inlineStr">
        <is>
          <t>PLATINE SUPPORT AES</t>
        </is>
      </c>
      <c r="F9642" t="inlineStr">
        <is>
          <t>G300 AES</t>
        </is>
      </c>
      <c r="J9642" t="inlineStr">
        <is>
          <t>MATRION</t>
        </is>
      </c>
      <c r="K9642" t="inlineStr">
        <is>
          <t>METAL</t>
        </is>
      </c>
      <c r="L9642">
        <f>_xlfn.XLOOKUP(Tableau1[[#This Row],[TYPE DE PIECE]],Tableau4[MATIERE],Tableau4[SHORT TYPE],"",0,1)</f>
        <v/>
      </c>
      <c r="N9642">
        <f>IF(ISERR(FIND("DECOUPE",Tableau1[[#This Row],[DESIGNATION]])),"","NEED REF")</f>
        <v/>
      </c>
    </row>
    <row r="9643">
      <c r="B9643" t="n">
        <v>34404362</v>
      </c>
      <c r="C9643" s="2" t="n">
        <v>42052</v>
      </c>
      <c r="D9643" t="inlineStr">
        <is>
          <t>SPEC</t>
        </is>
      </c>
      <c r="E9643" t="inlineStr">
        <is>
          <t>MONTANT PLASTRONS</t>
        </is>
      </c>
      <c r="F9643" t="inlineStr">
        <is>
          <t>G300 AUX</t>
        </is>
      </c>
      <c r="J9643" t="inlineStr">
        <is>
          <t>MATRION</t>
        </is>
      </c>
      <c r="K9643" t="inlineStr">
        <is>
          <t>METAL</t>
        </is>
      </c>
      <c r="L9643">
        <f>_xlfn.XLOOKUP(Tableau1[[#This Row],[TYPE DE PIECE]],Tableau4[MATIERE],Tableau4[SHORT TYPE],"",0,1)</f>
        <v/>
      </c>
      <c r="N9643">
        <f>IF(ISERR(FIND("DECOUPE",Tableau1[[#This Row],[DESIGNATION]])),"","NEED REF")</f>
        <v/>
      </c>
    </row>
    <row r="9644">
      <c r="B9644" t="n">
        <v>34404361</v>
      </c>
      <c r="C9644" s="2" t="n">
        <v>42052</v>
      </c>
      <c r="D9644" t="inlineStr">
        <is>
          <t>SPEC</t>
        </is>
      </c>
      <c r="E9644" t="inlineStr">
        <is>
          <t>MONTANT APPAREILLAGES</t>
        </is>
      </c>
      <c r="F9644" t="inlineStr">
        <is>
          <t>G300 AUX</t>
        </is>
      </c>
      <c r="J9644" t="inlineStr">
        <is>
          <t>MATRION</t>
        </is>
      </c>
      <c r="K9644" t="inlineStr">
        <is>
          <t>METAL</t>
        </is>
      </c>
      <c r="L9644">
        <f>_xlfn.XLOOKUP(Tableau1[[#This Row],[TYPE DE PIECE]],Tableau4[MATIERE],Tableau4[SHORT TYPE],"",0,1)</f>
        <v/>
      </c>
      <c r="N9644">
        <f>IF(ISERR(FIND("DECOUPE",Tableau1[[#This Row],[DESIGNATION]])),"","NEED REF")</f>
        <v/>
      </c>
    </row>
    <row r="9645">
      <c r="B9645" t="n">
        <v>34404360</v>
      </c>
      <c r="C9645" s="2" t="n">
        <v>42052</v>
      </c>
      <c r="D9645" t="inlineStr">
        <is>
          <t>SPEC</t>
        </is>
      </c>
      <c r="E9645" t="inlineStr">
        <is>
          <t>TRAVERSE SUPPORT TFO</t>
        </is>
      </c>
      <c r="F9645" t="inlineStr">
        <is>
          <t>G300 AUX</t>
        </is>
      </c>
      <c r="J9645" t="inlineStr">
        <is>
          <t>MATRION</t>
        </is>
      </c>
      <c r="K9645" t="inlineStr">
        <is>
          <t>METAL</t>
        </is>
      </c>
      <c r="L9645">
        <f>_xlfn.XLOOKUP(Tableau1[[#This Row],[TYPE DE PIECE]],Tableau4[MATIERE],Tableau4[SHORT TYPE],"",0,1)</f>
        <v/>
      </c>
      <c r="N9645">
        <f>IF(ISERR(FIND("DECOUPE",Tableau1[[#This Row],[DESIGNATION]])),"","NEED REF")</f>
        <v/>
      </c>
    </row>
    <row r="9646">
      <c r="B9646" t="n">
        <v>34404359</v>
      </c>
      <c r="C9646" s="2" t="n">
        <v>42052</v>
      </c>
      <c r="D9646" t="inlineStr">
        <is>
          <t>SPEC</t>
        </is>
      </c>
      <c r="E9646" t="inlineStr">
        <is>
          <t>PLASTRON HAUT/BAS</t>
        </is>
      </c>
      <c r="F9646" t="inlineStr">
        <is>
          <t>G300 AUX</t>
        </is>
      </c>
      <c r="J9646" t="inlineStr">
        <is>
          <t>MATRION</t>
        </is>
      </c>
      <c r="K9646" t="inlineStr">
        <is>
          <t>METAL</t>
        </is>
      </c>
      <c r="L9646">
        <f>_xlfn.XLOOKUP(Tableau1[[#This Row],[TYPE DE PIECE]],Tableau4[MATIERE],Tableau4[SHORT TYPE],"",0,1)</f>
        <v/>
      </c>
      <c r="N9646">
        <f>IF(ISERR(FIND("DECOUPE",Tableau1[[#This Row],[DESIGNATION]])),"","NEED REF")</f>
        <v/>
      </c>
    </row>
    <row r="9647">
      <c r="B9647" t="n">
        <v>34404358</v>
      </c>
      <c r="C9647" s="2" t="n">
        <v>42052</v>
      </c>
      <c r="D9647" t="inlineStr">
        <is>
          <t>SPEC</t>
        </is>
      </c>
      <c r="E9647" t="inlineStr">
        <is>
          <t>PLASTRON 600 PLEIN</t>
        </is>
      </c>
      <c r="F9647" t="inlineStr">
        <is>
          <t>G300 AUX</t>
        </is>
      </c>
      <c r="J9647" t="inlineStr">
        <is>
          <t>MATRION</t>
        </is>
      </c>
      <c r="K9647" t="inlineStr">
        <is>
          <t>METAL</t>
        </is>
      </c>
      <c r="L9647">
        <f>_xlfn.XLOOKUP(Tableau1[[#This Row],[TYPE DE PIECE]],Tableau4[MATIERE],Tableau4[SHORT TYPE],"",0,1)</f>
        <v/>
      </c>
      <c r="N9647">
        <f>IF(ISERR(FIND("DECOUPE",Tableau1[[#This Row],[DESIGNATION]])),"","NEED REF")</f>
        <v/>
      </c>
    </row>
    <row r="9648">
      <c r="B9648" t="n">
        <v>34404357</v>
      </c>
      <c r="C9648" s="2" t="n">
        <v>42052</v>
      </c>
      <c r="D9648" t="inlineStr">
        <is>
          <t>SPEC</t>
        </is>
      </c>
      <c r="E9648" t="inlineStr">
        <is>
          <t>PLASTRON 200 PLEIN</t>
        </is>
      </c>
      <c r="F9648" t="inlineStr">
        <is>
          <t>G300 AUX</t>
        </is>
      </c>
      <c r="J9648" t="inlineStr">
        <is>
          <t>MATRION</t>
        </is>
      </c>
      <c r="K9648" t="inlineStr">
        <is>
          <t>METAL</t>
        </is>
      </c>
      <c r="L9648">
        <f>_xlfn.XLOOKUP(Tableau1[[#This Row],[TYPE DE PIECE]],Tableau4[MATIERE],Tableau4[SHORT TYPE],"",0,1)</f>
        <v/>
      </c>
      <c r="N9648">
        <f>IF(ISERR(FIND("DECOUPE",Tableau1[[#This Row],[DESIGNATION]])),"","NEED REF")</f>
        <v/>
      </c>
    </row>
    <row r="9649">
      <c r="B9649" t="n">
        <v>34404356</v>
      </c>
      <c r="C9649" s="2" t="n">
        <v>42052</v>
      </c>
      <c r="D9649" t="inlineStr">
        <is>
          <t>SPEC</t>
        </is>
      </c>
      <c r="E9649" t="inlineStr">
        <is>
          <t>PLASTRON 200 C60</t>
        </is>
      </c>
      <c r="F9649" t="inlineStr">
        <is>
          <t>G300 AUX</t>
        </is>
      </c>
      <c r="J9649" t="inlineStr">
        <is>
          <t>MATRION</t>
        </is>
      </c>
      <c r="K9649" t="inlineStr">
        <is>
          <t>METAL</t>
        </is>
      </c>
      <c r="L9649">
        <f>_xlfn.XLOOKUP(Tableau1[[#This Row],[TYPE DE PIECE]],Tableau4[MATIERE],Tableau4[SHORT TYPE],"",0,1)</f>
        <v/>
      </c>
      <c r="N9649">
        <f>IF(ISERR(FIND("DECOUPE",Tableau1[[#This Row],[DESIGNATION]])),"","NEED REF")</f>
        <v/>
      </c>
    </row>
    <row r="9650">
      <c r="B9650" t="n">
        <v>34404355</v>
      </c>
      <c r="C9650" s="2" t="n">
        <v>42048</v>
      </c>
      <c r="D9650" t="inlineStr">
        <is>
          <t>SPEC</t>
        </is>
      </c>
      <c r="E9650" t="inlineStr">
        <is>
          <t>TUNNEL AIR CS</t>
        </is>
      </c>
      <c r="F9650" t="inlineStr">
        <is>
          <t>BREAKER CHOPPER</t>
        </is>
      </c>
      <c r="J9650" t="inlineStr">
        <is>
          <t>MATRION</t>
        </is>
      </c>
      <c r="K9650" t="inlineStr">
        <is>
          <t>METAL</t>
        </is>
      </c>
      <c r="L9650">
        <f>_xlfn.XLOOKUP(Tableau1[[#This Row],[TYPE DE PIECE]],Tableau4[MATIERE],Tableau4[SHORT TYPE],"",0,1)</f>
        <v/>
      </c>
      <c r="N9650">
        <f>IF(ISERR(FIND("DECOUPE",Tableau1[[#This Row],[DESIGNATION]])),"","NEED REF")</f>
        <v/>
      </c>
    </row>
    <row r="9651">
      <c r="B9651" t="n">
        <v>34404354</v>
      </c>
      <c r="C9651" s="2" t="n">
        <v>42048</v>
      </c>
      <c r="D9651" t="inlineStr">
        <is>
          <t>SPEC</t>
        </is>
      </c>
      <c r="E9651" t="inlineStr">
        <is>
          <t>PLASTRON BAS</t>
        </is>
      </c>
      <c r="F9651" t="inlineStr">
        <is>
          <t>BREAKER CHOPPER</t>
        </is>
      </c>
      <c r="J9651" t="inlineStr">
        <is>
          <t>MATRION</t>
        </is>
      </c>
      <c r="K9651" t="inlineStr">
        <is>
          <t>METAL</t>
        </is>
      </c>
      <c r="L9651">
        <f>_xlfn.XLOOKUP(Tableau1[[#This Row],[TYPE DE PIECE]],Tableau4[MATIERE],Tableau4[SHORT TYPE],"",0,1)</f>
        <v/>
      </c>
      <c r="N9651">
        <f>IF(ISERR(FIND("DECOUPE",Tableau1[[#This Row],[DESIGNATION]])),"","NEED REF")</f>
        <v/>
      </c>
    </row>
    <row r="9652">
      <c r="B9652" t="n">
        <v>34404353</v>
      </c>
      <c r="C9652" s="2" t="n">
        <v>42048</v>
      </c>
      <c r="D9652" t="inlineStr">
        <is>
          <t>SPEC</t>
        </is>
      </c>
      <c r="E9652" t="inlineStr">
        <is>
          <t>PLASTRON HAUT</t>
        </is>
      </c>
      <c r="F9652" t="inlineStr">
        <is>
          <t>BREAKER CHOPPER</t>
        </is>
      </c>
      <c r="J9652" t="inlineStr">
        <is>
          <t>MATRION</t>
        </is>
      </c>
      <c r="K9652" t="inlineStr">
        <is>
          <t>METAL</t>
        </is>
      </c>
      <c r="L9652">
        <f>_xlfn.XLOOKUP(Tableau1[[#This Row],[TYPE DE PIECE]],Tableau4[MATIERE],Tableau4[SHORT TYPE],"",0,1)</f>
        <v/>
      </c>
      <c r="N9652">
        <f>IF(ISERR(FIND("DECOUPE",Tableau1[[#This Row],[DESIGNATION]])),"","NEED REF")</f>
        <v/>
      </c>
    </row>
    <row r="9653">
      <c r="B9653" t="n">
        <v>34404352</v>
      </c>
      <c r="C9653" s="2" t="n">
        <v>42048</v>
      </c>
      <c r="D9653" t="inlineStr">
        <is>
          <t>SPEC</t>
        </is>
      </c>
      <c r="E9653" t="inlineStr">
        <is>
          <t>SUPPORT CHEMIN DE CABLE FILAIRE</t>
        </is>
      </c>
      <c r="F9653" t="inlineStr">
        <is>
          <t>BREAKER CHOPPER</t>
        </is>
      </c>
      <c r="J9653" t="inlineStr">
        <is>
          <t>MATRION</t>
        </is>
      </c>
      <c r="K9653" t="inlineStr">
        <is>
          <t>METAL</t>
        </is>
      </c>
      <c r="L9653">
        <f>_xlfn.XLOOKUP(Tableau1[[#This Row],[TYPE DE PIECE]],Tableau4[MATIERE],Tableau4[SHORT TYPE],"",0,1)</f>
        <v/>
      </c>
      <c r="N9653">
        <f>IF(ISERR(FIND("DECOUPE",Tableau1[[#This Row],[DESIGNATION]])),"","NEED REF")</f>
        <v/>
      </c>
    </row>
    <row r="9654">
      <c r="B9654" t="n">
        <v>34404351</v>
      </c>
      <c r="C9654" s="2" t="n">
        <v>42048</v>
      </c>
      <c r="D9654" t="inlineStr">
        <is>
          <t>SPEC</t>
        </is>
      </c>
      <c r="E9654" t="inlineStr">
        <is>
          <t>SMT EXPUT PROTEC COVER</t>
        </is>
      </c>
      <c r="F9654" t="inlineStr">
        <is>
          <t>BREAKER CHOPPER</t>
        </is>
      </c>
      <c r="J9654" t="inlineStr">
        <is>
          <t>MATRION</t>
        </is>
      </c>
      <c r="K9654" t="inlineStr">
        <is>
          <t>METAL</t>
        </is>
      </c>
      <c r="L9654">
        <f>_xlfn.XLOOKUP(Tableau1[[#This Row],[TYPE DE PIECE]],Tableau4[MATIERE],Tableau4[SHORT TYPE],"",0,1)</f>
        <v/>
      </c>
      <c r="N9654">
        <f>IF(ISERR(FIND("DECOUPE",Tableau1[[#This Row],[DESIGNATION]])),"","NEED REF")</f>
        <v/>
      </c>
    </row>
    <row r="9655">
      <c r="B9655" t="n">
        <v>34404350</v>
      </c>
      <c r="C9655" s="2" t="n">
        <v>42048</v>
      </c>
      <c r="D9655" t="inlineStr">
        <is>
          <t>SPEC</t>
        </is>
      </c>
      <c r="E9655" t="inlineStr">
        <is>
          <t>DIGIT CARD PLATE LOCK</t>
        </is>
      </c>
      <c r="F9655" t="inlineStr">
        <is>
          <t>BREAKER CHOPPER</t>
        </is>
      </c>
      <c r="J9655" t="inlineStr">
        <is>
          <t>MATRION</t>
        </is>
      </c>
      <c r="K9655" t="inlineStr">
        <is>
          <t>METAL</t>
        </is>
      </c>
      <c r="L9655">
        <f>_xlfn.XLOOKUP(Tableau1[[#This Row],[TYPE DE PIECE]],Tableau4[MATIERE],Tableau4[SHORT TYPE],"",0,1)</f>
        <v/>
      </c>
      <c r="N9655">
        <f>IF(ISERR(FIND("DECOUPE",Tableau1[[#This Row],[DESIGNATION]])),"","NEED REF")</f>
        <v/>
      </c>
    </row>
    <row r="9656">
      <c r="B9656" t="n">
        <v>34404349</v>
      </c>
      <c r="C9656" s="2" t="n">
        <v>42048</v>
      </c>
      <c r="D9656" t="inlineStr">
        <is>
          <t>SPEC</t>
        </is>
      </c>
      <c r="E9656" t="inlineStr">
        <is>
          <t>DIGIT CARD PLATE</t>
        </is>
      </c>
      <c r="F9656" t="inlineStr">
        <is>
          <t>BREAKER CHOPPER</t>
        </is>
      </c>
      <c r="J9656" t="inlineStr">
        <is>
          <t>MATRION</t>
        </is>
      </c>
      <c r="K9656" t="inlineStr">
        <is>
          <t>METAL</t>
        </is>
      </c>
      <c r="L9656">
        <f>_xlfn.XLOOKUP(Tableau1[[#This Row],[TYPE DE PIECE]],Tableau4[MATIERE],Tableau4[SHORT TYPE],"",0,1)</f>
        <v/>
      </c>
      <c r="N9656">
        <f>IF(ISERR(FIND("DECOUPE",Tableau1[[#This Row],[DESIGNATION]])),"","NEED REF")</f>
        <v/>
      </c>
    </row>
    <row r="9657">
      <c r="B9657" t="n">
        <v>34404348</v>
      </c>
      <c r="C9657" s="2" t="n">
        <v>42048</v>
      </c>
      <c r="D9657" t="inlineStr">
        <is>
          <t>SPEC</t>
        </is>
      </c>
      <c r="E9657" t="inlineStr">
        <is>
          <t>DIGIT CARD PLATE HINGE</t>
        </is>
      </c>
      <c r="F9657" t="inlineStr">
        <is>
          <t>BREAKER CHOPPER</t>
        </is>
      </c>
      <c r="J9657" t="inlineStr">
        <is>
          <t>MATRION</t>
        </is>
      </c>
      <c r="K9657" t="inlineStr">
        <is>
          <t>METAL</t>
        </is>
      </c>
      <c r="L9657">
        <f>_xlfn.XLOOKUP(Tableau1[[#This Row],[TYPE DE PIECE]],Tableau4[MATIERE],Tableau4[SHORT TYPE],"",0,1)</f>
        <v/>
      </c>
      <c r="N9657">
        <f>IF(ISERR(FIND("DECOUPE",Tableau1[[#This Row],[DESIGNATION]])),"","NEED REF")</f>
        <v/>
      </c>
    </row>
    <row r="9658">
      <c r="B9658" t="n">
        <v>34404347</v>
      </c>
      <c r="C9658" s="2" t="n">
        <v>42048</v>
      </c>
      <c r="D9658" t="inlineStr">
        <is>
          <t>NOM</t>
        </is>
      </c>
      <c r="E9658" t="inlineStr">
        <is>
          <t>S/A DIGIT PLATE</t>
        </is>
      </c>
      <c r="F9658" t="inlineStr">
        <is>
          <t>BREAKER CHOPPER</t>
        </is>
      </c>
      <c r="J9658" t="inlineStr">
        <is>
          <t>MATRION</t>
        </is>
      </c>
      <c r="L9658">
        <f>_xlfn.XLOOKUP(Tableau1[[#This Row],[TYPE DE PIECE]],Tableau4[MATIERE],Tableau4[SHORT TYPE],"",0,1)</f>
        <v/>
      </c>
      <c r="N9658">
        <f>IF(ISERR(FIND("DECOUPE",Tableau1[[#This Row],[DESIGNATION]])),"","NEED REF")</f>
        <v/>
      </c>
    </row>
    <row r="9659">
      <c r="B9659" t="n">
        <v>34404346</v>
      </c>
      <c r="C9659" s="2" t="n">
        <v>42046</v>
      </c>
      <c r="D9659" t="inlineStr">
        <is>
          <t>SPEC</t>
        </is>
      </c>
      <c r="E9659" t="inlineStr">
        <is>
          <t>SUPPORT BORNIER</t>
        </is>
      </c>
      <c r="F9659" t="inlineStr">
        <is>
          <t>BREAKER CHOPPER</t>
        </is>
      </c>
      <c r="J9659" t="inlineStr">
        <is>
          <t>MATRION</t>
        </is>
      </c>
      <c r="K9659" t="inlineStr">
        <is>
          <t>METAL</t>
        </is>
      </c>
      <c r="L9659">
        <f>_xlfn.XLOOKUP(Tableau1[[#This Row],[TYPE DE PIECE]],Tableau4[MATIERE],Tableau4[SHORT TYPE],"",0,1)</f>
        <v/>
      </c>
      <c r="N9659">
        <f>IF(ISERR(FIND("DECOUPE",Tableau1[[#This Row],[DESIGNATION]])),"","NEED REF")</f>
        <v/>
      </c>
    </row>
    <row r="9660">
      <c r="B9660" t="n">
        <v>34404345</v>
      </c>
      <c r="C9660" s="2" t="n">
        <v>42046</v>
      </c>
      <c r="D9660" t="inlineStr">
        <is>
          <t>SPEC</t>
        </is>
      </c>
      <c r="E9660" t="inlineStr">
        <is>
          <t>DECOUPE PLASTRON IP</t>
        </is>
      </c>
      <c r="F9660" t="inlineStr">
        <is>
          <t>BYPASS 200kW APC</t>
        </is>
      </c>
      <c r="J9660" t="inlineStr">
        <is>
          <t>MATRION</t>
        </is>
      </c>
      <c r="K9660" t="inlineStr">
        <is>
          <t>METAL</t>
        </is>
      </c>
      <c r="L9660">
        <f>_xlfn.XLOOKUP(Tableau1[[#This Row],[TYPE DE PIECE]],Tableau4[MATIERE],Tableau4[SHORT TYPE],"",0,1)</f>
        <v/>
      </c>
      <c r="N9660">
        <f>IF(ISERR(FIND("DECOUPE",Tableau1[[#This Row],[DESIGNATION]])),"","NEED REF")</f>
        <v/>
      </c>
    </row>
    <row r="9661">
      <c r="B9661" t="n">
        <v>34404344</v>
      </c>
      <c r="C9661" s="2" t="n">
        <v>42046</v>
      </c>
      <c r="D9661" t="inlineStr">
        <is>
          <t>SPEC</t>
        </is>
      </c>
      <c r="E9661" t="inlineStr">
        <is>
          <t>SUPPORT INS</t>
        </is>
      </c>
      <c r="F9661" t="inlineStr">
        <is>
          <t>BREAKER CHOPPER</t>
        </is>
      </c>
      <c r="J9661" t="inlineStr">
        <is>
          <t>MATRION</t>
        </is>
      </c>
      <c r="K9661" t="inlineStr">
        <is>
          <t>METAL</t>
        </is>
      </c>
      <c r="L9661">
        <f>_xlfn.XLOOKUP(Tableau1[[#This Row],[TYPE DE PIECE]],Tableau4[MATIERE],Tableau4[SHORT TYPE],"",0,1)</f>
        <v/>
      </c>
      <c r="N9661">
        <f>IF(ISERR(FIND("DECOUPE",Tableau1[[#This Row],[DESIGNATION]])),"","NEED REF")</f>
        <v/>
      </c>
    </row>
    <row r="9662">
      <c r="B9662" t="n">
        <v>34404343</v>
      </c>
      <c r="C9662" s="2" t="n">
        <v>42046</v>
      </c>
      <c r="D9662" t="inlineStr">
        <is>
          <t>SPEC</t>
        </is>
      </c>
      <c r="E9662" t="inlineStr">
        <is>
          <t>PROTECTION ELECTRO. 1</t>
        </is>
      </c>
      <c r="F9662" t="inlineStr">
        <is>
          <t>BREAKER CHOPPER</t>
        </is>
      </c>
      <c r="J9662" t="inlineStr">
        <is>
          <t>MATRION</t>
        </is>
      </c>
      <c r="L9662">
        <f>_xlfn.XLOOKUP(Tableau1[[#This Row],[TYPE DE PIECE]],Tableau4[MATIERE],Tableau4[SHORT TYPE],"",0,1)</f>
        <v/>
      </c>
      <c r="N9662">
        <f>IF(ISERR(FIND("DECOUPE",Tableau1[[#This Row],[DESIGNATION]])),"","NEED REF")</f>
        <v/>
      </c>
    </row>
    <row r="9663">
      <c r="B9663" t="n">
        <v>34404342</v>
      </c>
      <c r="C9663" s="2" t="n">
        <v>42046</v>
      </c>
      <c r="D9663" t="inlineStr">
        <is>
          <t>SPEC</t>
        </is>
      </c>
      <c r="E9663" t="inlineStr">
        <is>
          <t>PROTECTION ELECTRO. 1</t>
        </is>
      </c>
      <c r="F9663" t="inlineStr">
        <is>
          <t>BREAKER CHOPPER</t>
        </is>
      </c>
      <c r="J9663" t="inlineStr">
        <is>
          <t>MATRION</t>
        </is>
      </c>
      <c r="K9663" t="inlineStr">
        <is>
          <t>METAL</t>
        </is>
      </c>
      <c r="L9663">
        <f>_xlfn.XLOOKUP(Tableau1[[#This Row],[TYPE DE PIECE]],Tableau4[MATIERE],Tableau4[SHORT TYPE],"",0,1)</f>
        <v/>
      </c>
      <c r="N9663">
        <f>IF(ISERR(FIND("DECOUPE",Tableau1[[#This Row],[DESIGNATION]])),"","NEED REF")</f>
        <v/>
      </c>
    </row>
    <row r="9664">
      <c r="B9664" t="n">
        <v>34404341</v>
      </c>
      <c r="C9664" s="2" t="n">
        <v>42046</v>
      </c>
      <c r="D9664" t="inlineStr">
        <is>
          <t>SPEC</t>
        </is>
      </c>
      <c r="E9664" t="inlineStr">
        <is>
          <t>PLATINE BAS</t>
        </is>
      </c>
      <c r="F9664" t="inlineStr">
        <is>
          <t>BREAKER CHOPPER</t>
        </is>
      </c>
      <c r="J9664" t="inlineStr">
        <is>
          <t>MATRION</t>
        </is>
      </c>
      <c r="K9664" t="inlineStr">
        <is>
          <t>METAL</t>
        </is>
      </c>
      <c r="L9664">
        <f>_xlfn.XLOOKUP(Tableau1[[#This Row],[TYPE DE PIECE]],Tableau4[MATIERE],Tableau4[SHORT TYPE],"",0,1)</f>
        <v/>
      </c>
      <c r="N9664">
        <f>IF(ISERR(FIND("DECOUPE",Tableau1[[#This Row],[DESIGNATION]])),"","NEED REF")</f>
        <v/>
      </c>
    </row>
    <row r="9665">
      <c r="B9665" t="n">
        <v>34404340</v>
      </c>
      <c r="C9665" s="2" t="n">
        <v>42044</v>
      </c>
      <c r="D9665" t="inlineStr">
        <is>
          <t>SPEC</t>
        </is>
      </c>
      <c r="E9665" t="inlineStr">
        <is>
          <t>PLASTRON PEINT RAL9011</t>
        </is>
      </c>
      <c r="F9665" t="inlineStr">
        <is>
          <t>COFFRET G300 BATT 2xDJ BATT</t>
        </is>
      </c>
      <c r="J9665" t="inlineStr">
        <is>
          <t>MATRION</t>
        </is>
      </c>
      <c r="K9665" t="inlineStr">
        <is>
          <t>METAL</t>
        </is>
      </c>
      <c r="L9665">
        <f>_xlfn.XLOOKUP(Tableau1[[#This Row],[TYPE DE PIECE]],Tableau4[MATIERE],Tableau4[SHORT TYPE],"",0,1)</f>
        <v/>
      </c>
      <c r="N9665">
        <f>IF(ISERR(FIND("DECOUPE",Tableau1[[#This Row],[DESIGNATION]])),"","NEED REF")</f>
        <v/>
      </c>
    </row>
    <row r="9666">
      <c r="B9666" t="n">
        <v>34404339</v>
      </c>
      <c r="C9666" s="2" t="n">
        <v>42041</v>
      </c>
      <c r="D9666" t="inlineStr">
        <is>
          <t>SPEC</t>
        </is>
      </c>
      <c r="E9666" t="inlineStr">
        <is>
          <t>CU LIAISON</t>
        </is>
      </c>
      <c r="F9666" t="inlineStr">
        <is>
          <t>COFFRET G300 BATT 2xDJ BATT</t>
        </is>
      </c>
      <c r="J9666" t="inlineStr">
        <is>
          <t>MATRION</t>
        </is>
      </c>
      <c r="K9666" t="inlineStr">
        <is>
          <t>CUIVRE</t>
        </is>
      </c>
      <c r="L9666">
        <f>_xlfn.XLOOKUP(Tableau1[[#This Row],[TYPE DE PIECE]],Tableau4[MATIERE],Tableau4[SHORT TYPE],"",0,1)</f>
        <v/>
      </c>
      <c r="N9666">
        <f>IF(ISERR(FIND("DECOUPE",Tableau1[[#This Row],[DESIGNATION]])),"","NEED REF")</f>
        <v/>
      </c>
    </row>
    <row r="9667">
      <c r="B9667" t="n">
        <v>34404338</v>
      </c>
      <c r="C9667" s="2" t="n">
        <v>42041</v>
      </c>
      <c r="D9667" t="inlineStr">
        <is>
          <t>SPEC</t>
        </is>
      </c>
      <c r="E9667" t="inlineStr">
        <is>
          <t>CU ETAGE 3</t>
        </is>
      </c>
      <c r="F9667" t="inlineStr">
        <is>
          <t>COFFRET G300 BATT 2xDJ BATT</t>
        </is>
      </c>
      <c r="J9667" t="inlineStr">
        <is>
          <t>MATRION</t>
        </is>
      </c>
      <c r="K9667" t="inlineStr">
        <is>
          <t>CUIVRE</t>
        </is>
      </c>
      <c r="L9667">
        <f>_xlfn.XLOOKUP(Tableau1[[#This Row],[TYPE DE PIECE]],Tableau4[MATIERE],Tableau4[SHORT TYPE],"",0,1)</f>
        <v/>
      </c>
      <c r="N9667">
        <f>IF(ISERR(FIND("DECOUPE",Tableau1[[#This Row],[DESIGNATION]])),"","NEED REF")</f>
        <v/>
      </c>
    </row>
    <row r="9668">
      <c r="B9668" t="n">
        <v>34404337</v>
      </c>
      <c r="C9668" s="2" t="n">
        <v>42041</v>
      </c>
      <c r="D9668" t="inlineStr">
        <is>
          <t>SPEC</t>
        </is>
      </c>
      <c r="E9668" t="inlineStr">
        <is>
          <t>PLAGE RACC DOUBLE</t>
        </is>
      </c>
      <c r="F9668" t="inlineStr">
        <is>
          <t>COFFRET G300 BATT 2xDJ BATT</t>
        </is>
      </c>
      <c r="J9668" t="inlineStr">
        <is>
          <t>MATRION</t>
        </is>
      </c>
      <c r="K9668" t="inlineStr">
        <is>
          <t>CUIVRE</t>
        </is>
      </c>
      <c r="L9668">
        <f>_xlfn.XLOOKUP(Tableau1[[#This Row],[TYPE DE PIECE]],Tableau4[MATIERE],Tableau4[SHORT TYPE],"",0,1)</f>
        <v/>
      </c>
      <c r="N9668">
        <f>IF(ISERR(FIND("DECOUPE",Tableau1[[#This Row],[DESIGNATION]])),"","NEED REF")</f>
        <v/>
      </c>
    </row>
    <row r="9669">
      <c r="B9669" t="n">
        <v>34404336</v>
      </c>
      <c r="C9669" s="2" t="n">
        <v>42041</v>
      </c>
      <c r="D9669" t="inlineStr">
        <is>
          <t>SPEC</t>
        </is>
      </c>
      <c r="E9669" t="inlineStr">
        <is>
          <t>CU ETAGE 1</t>
        </is>
      </c>
      <c r="F9669" t="inlineStr">
        <is>
          <t>COFFRET G300 BATT 2xDJ BATT</t>
        </is>
      </c>
      <c r="J9669" t="inlineStr">
        <is>
          <t>MATRION</t>
        </is>
      </c>
      <c r="K9669" t="inlineStr">
        <is>
          <t>CUIVRE</t>
        </is>
      </c>
      <c r="L9669">
        <f>_xlfn.XLOOKUP(Tableau1[[#This Row],[TYPE DE PIECE]],Tableau4[MATIERE],Tableau4[SHORT TYPE],"",0,1)</f>
        <v/>
      </c>
      <c r="N9669">
        <f>IF(ISERR(FIND("DECOUPE",Tableau1[[#This Row],[DESIGNATION]])),"","NEED REF")</f>
        <v/>
      </c>
    </row>
    <row r="9670">
      <c r="B9670" t="n">
        <v>34404335</v>
      </c>
      <c r="C9670" s="2" t="n">
        <v>42041</v>
      </c>
      <c r="D9670" t="inlineStr">
        <is>
          <t>NOM</t>
        </is>
      </c>
      <c r="E9670" t="inlineStr">
        <is>
          <t>LG ARMOIRE PDPM277H avec RCP</t>
        </is>
      </c>
      <c r="F9670" t="inlineStr">
        <is>
          <t>PDPM277H</t>
        </is>
      </c>
      <c r="J9670" t="inlineStr">
        <is>
          <t>ROBERT</t>
        </is>
      </c>
      <c r="L9670">
        <f>_xlfn.XLOOKUP(Tableau1[[#This Row],[TYPE DE PIECE]],Tableau4[MATIERE],Tableau4[SHORT TYPE],"",0,1)</f>
        <v/>
      </c>
      <c r="N9670">
        <f>IF(ISERR(FIND("DECOUPE",Tableau1[[#This Row],[DESIGNATION]])),"","NEED REF")</f>
        <v/>
      </c>
    </row>
    <row r="9671">
      <c r="B9671" t="n">
        <v>34404334</v>
      </c>
      <c r="C9671" s="2" t="n">
        <v>42041</v>
      </c>
      <c r="D9671" t="inlineStr">
        <is>
          <t>NOM</t>
        </is>
      </c>
      <c r="E9671" t="inlineStr">
        <is>
          <t>GAINE 400 TOP CONNECTION ADSIL</t>
        </is>
      </c>
      <c r="F9671" t="inlineStr">
        <is>
          <t>G700 ADSIL</t>
        </is>
      </c>
      <c r="J9671" t="inlineStr">
        <is>
          <t>PLANTIER</t>
        </is>
      </c>
      <c r="K9671" t="inlineStr">
        <is>
          <t>PRESTATION</t>
        </is>
      </c>
      <c r="L9671">
        <f>_xlfn.XLOOKUP(Tableau1[[#This Row],[TYPE DE PIECE]],Tableau4[MATIERE],Tableau4[SHORT TYPE],"",0,1)</f>
        <v/>
      </c>
      <c r="N9671">
        <f>IF(ISERR(FIND("DECOUPE",Tableau1[[#This Row],[DESIGNATION]])),"","NEED REF")</f>
        <v/>
      </c>
    </row>
    <row r="9672">
      <c r="B9672" t="n">
        <v>34404333</v>
      </c>
      <c r="C9672" s="2" t="n">
        <v>42041</v>
      </c>
      <c r="D9672" t="inlineStr">
        <is>
          <t>SPEC</t>
        </is>
      </c>
      <c r="E9672" t="inlineStr">
        <is>
          <t>POWER WIRES KIT</t>
        </is>
      </c>
      <c r="F9672" t="inlineStr">
        <is>
          <t>COFFRET G300 BATT 2xDJ BATT</t>
        </is>
      </c>
      <c r="J9672" t="inlineStr">
        <is>
          <t>MATRION</t>
        </is>
      </c>
      <c r="K9672" t="inlineStr">
        <is>
          <t>FILERIE</t>
        </is>
      </c>
      <c r="L9672">
        <f>_xlfn.XLOOKUP(Tableau1[[#This Row],[TYPE DE PIECE]],Tableau4[MATIERE],Tableau4[SHORT TYPE],"",0,1)</f>
        <v/>
      </c>
      <c r="N9672">
        <f>IF(ISERR(FIND("DECOUPE",Tableau1[[#This Row],[DESIGNATION]])),"","NEED REF")</f>
        <v/>
      </c>
    </row>
    <row r="9673">
      <c r="B9673" t="n">
        <v>34404332</v>
      </c>
      <c r="C9673" s="2" t="n">
        <v>42041</v>
      </c>
      <c r="D9673" t="inlineStr">
        <is>
          <t>SPEC</t>
        </is>
      </c>
      <c r="E9673" t="inlineStr">
        <is>
          <t>PLAGE RACC DOUBLE</t>
        </is>
      </c>
      <c r="F9673" t="inlineStr">
        <is>
          <t>COFFRET G300 BATT 2xDJ BATT</t>
        </is>
      </c>
      <c r="J9673" t="inlineStr">
        <is>
          <t>MATRION</t>
        </is>
      </c>
      <c r="K9673" t="inlineStr">
        <is>
          <t>CUIVRE</t>
        </is>
      </c>
      <c r="L9673">
        <f>_xlfn.XLOOKUP(Tableau1[[#This Row],[TYPE DE PIECE]],Tableau4[MATIERE],Tableau4[SHORT TYPE],"",0,1)</f>
        <v/>
      </c>
      <c r="N9673">
        <f>IF(ISERR(FIND("DECOUPE",Tableau1[[#This Row],[DESIGNATION]])),"","NEED REF")</f>
        <v/>
      </c>
    </row>
    <row r="9674">
      <c r="B9674" t="n">
        <v>34404331</v>
      </c>
      <c r="C9674" s="2" t="n">
        <v>42041</v>
      </c>
      <c r="D9674" t="inlineStr">
        <is>
          <t>SPEC</t>
        </is>
      </c>
      <c r="E9674" t="inlineStr">
        <is>
          <t>PLATINE 2xDJ + INS</t>
        </is>
      </c>
      <c r="F9674" t="inlineStr">
        <is>
          <t>COFFRET G300 BATT 2xDJ BATT</t>
        </is>
      </c>
      <c r="J9674" t="inlineStr">
        <is>
          <t>MATRION</t>
        </is>
      </c>
      <c r="K9674" t="inlineStr">
        <is>
          <t>METAL</t>
        </is>
      </c>
      <c r="L9674">
        <f>_xlfn.XLOOKUP(Tableau1[[#This Row],[TYPE DE PIECE]],Tableau4[MATIERE],Tableau4[SHORT TYPE],"",0,1)</f>
        <v/>
      </c>
      <c r="N9674">
        <f>IF(ISERR(FIND("DECOUPE",Tableau1[[#This Row],[DESIGNATION]])),"","NEED REF")</f>
        <v/>
      </c>
    </row>
    <row r="9675">
      <c r="B9675" t="n">
        <v>34404330</v>
      </c>
      <c r="C9675" s="2" t="n">
        <v>42041</v>
      </c>
      <c r="D9675" t="inlineStr">
        <is>
          <t>SPEC</t>
        </is>
      </c>
      <c r="E9675" t="inlineStr">
        <is>
          <t>COFFRET G300 BATT 2xDJ BATT</t>
        </is>
      </c>
      <c r="F9675" t="inlineStr">
        <is>
          <t>COFFRET G300 BATT 2xDJ BATT</t>
        </is>
      </c>
      <c r="J9675" t="inlineStr">
        <is>
          <t>MATRION</t>
        </is>
      </c>
      <c r="K9675" t="inlineStr">
        <is>
          <t>SAREL</t>
        </is>
      </c>
      <c r="L9675">
        <f>_xlfn.XLOOKUP(Tableau1[[#This Row],[TYPE DE PIECE]],Tableau4[MATIERE],Tableau4[SHORT TYPE],"",0,1)</f>
        <v/>
      </c>
      <c r="N9675">
        <f>IF(ISERR(FIND("DECOUPE",Tableau1[[#This Row],[DESIGNATION]])),"","NEED REF")</f>
        <v/>
      </c>
    </row>
    <row r="9676">
      <c r="B9676" t="n">
        <v>34404329</v>
      </c>
      <c r="C9676" s="2" t="n">
        <v>42037</v>
      </c>
      <c r="D9676" t="inlineStr">
        <is>
          <t>SPEC</t>
        </is>
      </c>
      <c r="E9676" t="inlineStr">
        <is>
          <t>CIRCUIT BREAKER PROTECTION SHIELD + ISOLANT</t>
        </is>
      </c>
      <c r="F9676" t="inlineStr">
        <is>
          <t>COFFRET DJ SYMMETRA 48kW</t>
        </is>
      </c>
      <c r="J9676" t="inlineStr">
        <is>
          <t>MATRION</t>
        </is>
      </c>
      <c r="K9676" t="inlineStr">
        <is>
          <t>- ATELIER -</t>
        </is>
      </c>
      <c r="L9676">
        <f>_xlfn.XLOOKUP(Tableau1[[#This Row],[TYPE DE PIECE]],Tableau4[MATIERE],Tableau4[SHORT TYPE],"",0,1)</f>
        <v/>
      </c>
      <c r="N9676">
        <f>IF(ISERR(FIND("DECOUPE",Tableau1[[#This Row],[DESIGNATION]])),"","NEED REF")</f>
        <v/>
      </c>
    </row>
    <row r="9677">
      <c r="B9677" t="n">
        <v>34404328</v>
      </c>
      <c r="C9677" s="2" t="n">
        <v>42037</v>
      </c>
      <c r="D9677" t="inlineStr">
        <is>
          <t>SPEC</t>
        </is>
      </c>
      <c r="E9677" t="inlineStr">
        <is>
          <t>CIRCUIT BREAKER PROTECTION SHIELD</t>
        </is>
      </c>
      <c r="F9677" t="inlineStr">
        <is>
          <t>COFFRET DJ SYMMETRA 48kW</t>
        </is>
      </c>
      <c r="J9677" t="inlineStr">
        <is>
          <t>MATRION</t>
        </is>
      </c>
      <c r="K9677" t="inlineStr">
        <is>
          <t>PLASTIQUE</t>
        </is>
      </c>
      <c r="L9677">
        <f>_xlfn.XLOOKUP(Tableau1[[#This Row],[TYPE DE PIECE]],Tableau4[MATIERE],Tableau4[SHORT TYPE],"",0,1)</f>
        <v/>
      </c>
      <c r="N9677">
        <f>IF(ISERR(FIND("DECOUPE",Tableau1[[#This Row],[DESIGNATION]])),"","NEED REF")</f>
        <v/>
      </c>
    </row>
    <row r="9678">
      <c r="B9678" t="n">
        <v>34404327</v>
      </c>
      <c r="C9678" s="2" t="n">
        <v>42037</v>
      </c>
      <c r="D9678" t="inlineStr">
        <is>
          <t>SPEC</t>
        </is>
      </c>
      <c r="E9678" t="inlineStr">
        <is>
          <t>CT UPS COPPER BAR</t>
        </is>
      </c>
      <c r="F9678" t="inlineStr">
        <is>
          <t>COFFRET DJ SYMMETRA 48kW</t>
        </is>
      </c>
      <c r="J9678" t="inlineStr">
        <is>
          <t>MATRION</t>
        </is>
      </c>
      <c r="K9678" t="inlineStr">
        <is>
          <t>CUIVRE</t>
        </is>
      </c>
      <c r="L9678">
        <f>_xlfn.XLOOKUP(Tableau1[[#This Row],[TYPE DE PIECE]],Tableau4[MATIERE],Tableau4[SHORT TYPE],"",0,1)</f>
        <v/>
      </c>
      <c r="N9678">
        <f>IF(ISERR(FIND("DECOUPE",Tableau1[[#This Row],[DESIGNATION]])),"","NEED REF")</f>
        <v/>
      </c>
    </row>
    <row r="9679">
      <c r="B9679" t="n">
        <v>34404326</v>
      </c>
      <c r="C9679" s="2" t="n">
        <v>42037</v>
      </c>
      <c r="D9679" t="inlineStr">
        <is>
          <t>SPEC</t>
        </is>
      </c>
      <c r="E9679" t="inlineStr">
        <is>
          <t>B- UPS COPPER BAR</t>
        </is>
      </c>
      <c r="F9679" t="inlineStr">
        <is>
          <t>COFFRET DJ SYMMETRA 48kW</t>
        </is>
      </c>
      <c r="J9679" t="inlineStr">
        <is>
          <t>MATRION</t>
        </is>
      </c>
      <c r="K9679" t="inlineStr">
        <is>
          <t>CUIVRE</t>
        </is>
      </c>
      <c r="L9679">
        <f>_xlfn.XLOOKUP(Tableau1[[#This Row],[TYPE DE PIECE]],Tableau4[MATIERE],Tableau4[SHORT TYPE],"",0,1)</f>
        <v/>
      </c>
      <c r="N9679">
        <f>IF(ISERR(FIND("DECOUPE",Tableau1[[#This Row],[DESIGNATION]])),"","NEED REF")</f>
        <v/>
      </c>
    </row>
    <row r="9680">
      <c r="B9680" t="n">
        <v>34404325</v>
      </c>
      <c r="C9680" s="2" t="n">
        <v>42037</v>
      </c>
      <c r="D9680" t="inlineStr">
        <is>
          <t>SPEC</t>
        </is>
      </c>
      <c r="E9680" t="inlineStr">
        <is>
          <t>B+ UPS COPPER BAR</t>
        </is>
      </c>
      <c r="F9680" t="inlineStr">
        <is>
          <t>COFFRET DJ SYMMETRA 48kW</t>
        </is>
      </c>
      <c r="J9680" t="inlineStr">
        <is>
          <t>MATRION</t>
        </is>
      </c>
      <c r="K9680" t="inlineStr">
        <is>
          <t>CUIVRE</t>
        </is>
      </c>
      <c r="L9680">
        <f>_xlfn.XLOOKUP(Tableau1[[#This Row],[TYPE DE PIECE]],Tableau4[MATIERE],Tableau4[SHORT TYPE],"",0,1)</f>
        <v/>
      </c>
      <c r="N9680">
        <f>IF(ISERR(FIND("DECOUPE",Tableau1[[#This Row],[DESIGNATION]])),"","NEED REF")</f>
        <v/>
      </c>
    </row>
    <row r="9681">
      <c r="B9681" t="n">
        <v>34404324</v>
      </c>
      <c r="C9681" s="2" t="n">
        <v>42037</v>
      </c>
      <c r="D9681" t="inlineStr">
        <is>
          <t>SPEC</t>
        </is>
      </c>
      <c r="E9681" t="inlineStr">
        <is>
          <t>PE BAR 30x5</t>
        </is>
      </c>
      <c r="F9681" t="inlineStr">
        <is>
          <t>PDPM</t>
        </is>
      </c>
      <c r="J9681" t="inlineStr">
        <is>
          <t>MATRION</t>
        </is>
      </c>
      <c r="K9681" t="inlineStr">
        <is>
          <t>CUIVRE</t>
        </is>
      </c>
      <c r="L9681">
        <f>_xlfn.XLOOKUP(Tableau1[[#This Row],[TYPE DE PIECE]],Tableau4[MATIERE],Tableau4[SHORT TYPE],"",0,1)</f>
        <v/>
      </c>
      <c r="N9681">
        <f>IF(ISERR(FIND("DECOUPE",Tableau1[[#This Row],[DESIGNATION]])),"","NEED REF")</f>
        <v/>
      </c>
    </row>
    <row r="9682">
      <c r="B9682" t="n">
        <v>34404323</v>
      </c>
      <c r="C9682" s="2" t="n">
        <v>42034</v>
      </c>
      <c r="D9682" t="inlineStr">
        <is>
          <t>SPEC</t>
        </is>
      </c>
      <c r="E9682" t="inlineStr">
        <is>
          <t>CT COPPER BAR JUNCTION 2</t>
        </is>
      </c>
      <c r="F9682" t="inlineStr">
        <is>
          <t>COFFRET DJ SYMMETRA 48kW</t>
        </is>
      </c>
      <c r="J9682" t="inlineStr">
        <is>
          <t>MATRION</t>
        </is>
      </c>
      <c r="K9682" t="inlineStr">
        <is>
          <t>CUIVRE</t>
        </is>
      </c>
      <c r="L9682">
        <f>_xlfn.XLOOKUP(Tableau1[[#This Row],[TYPE DE PIECE]],Tableau4[MATIERE],Tableau4[SHORT TYPE],"",0,1)</f>
        <v/>
      </c>
      <c r="N9682">
        <f>IF(ISERR(FIND("DECOUPE",Tableau1[[#This Row],[DESIGNATION]])),"","NEED REF")</f>
        <v/>
      </c>
    </row>
    <row r="9683">
      <c r="B9683" t="n">
        <v>34404322</v>
      </c>
      <c r="C9683" s="2" t="n">
        <v>42034</v>
      </c>
      <c r="D9683" t="inlineStr">
        <is>
          <t>SPEC</t>
        </is>
      </c>
      <c r="E9683" t="inlineStr">
        <is>
          <t>B- COPPER BAR JUNCTION</t>
        </is>
      </c>
      <c r="F9683" t="inlineStr">
        <is>
          <t>COFFRET DJ SYMMETRA 48kW</t>
        </is>
      </c>
      <c r="J9683" t="inlineStr">
        <is>
          <t>MATRION</t>
        </is>
      </c>
      <c r="K9683" t="inlineStr">
        <is>
          <t>CUIVRE</t>
        </is>
      </c>
      <c r="L9683">
        <f>_xlfn.XLOOKUP(Tableau1[[#This Row],[TYPE DE PIECE]],Tableau4[MATIERE],Tableau4[SHORT TYPE],"",0,1)</f>
        <v/>
      </c>
      <c r="N9683">
        <f>IF(ISERR(FIND("DECOUPE",Tableau1[[#This Row],[DESIGNATION]])),"","NEED REF")</f>
        <v/>
      </c>
    </row>
    <row r="9684">
      <c r="B9684" t="n">
        <v>34404321</v>
      </c>
      <c r="C9684" s="2" t="n">
        <v>42034</v>
      </c>
      <c r="D9684" t="inlineStr">
        <is>
          <t>SPEC</t>
        </is>
      </c>
      <c r="E9684" t="inlineStr">
        <is>
          <t>CT COPPER BAR JUNCTION</t>
        </is>
      </c>
      <c r="F9684" t="inlineStr">
        <is>
          <t>COFFRET DJ SYMMETRA 48kW</t>
        </is>
      </c>
      <c r="J9684" t="inlineStr">
        <is>
          <t>MATRION</t>
        </is>
      </c>
      <c r="K9684" t="inlineStr">
        <is>
          <t>CUIVRE</t>
        </is>
      </c>
      <c r="L9684">
        <f>_xlfn.XLOOKUP(Tableau1[[#This Row],[TYPE DE PIECE]],Tableau4[MATIERE],Tableau4[SHORT TYPE],"",0,1)</f>
        <v/>
      </c>
      <c r="N9684">
        <f>IF(ISERR(FIND("DECOUPE",Tableau1[[#This Row],[DESIGNATION]])),"","NEED REF")</f>
        <v/>
      </c>
    </row>
    <row r="9685">
      <c r="B9685" t="n">
        <v>34404320</v>
      </c>
      <c r="C9685" s="2" t="n">
        <v>42034</v>
      </c>
      <c r="D9685" t="inlineStr">
        <is>
          <t>SPEC</t>
        </is>
      </c>
      <c r="E9685" t="inlineStr">
        <is>
          <t>B+ COPPER BAR JUNCTION</t>
        </is>
      </c>
      <c r="F9685" t="inlineStr">
        <is>
          <t>COFFRET DJ SYMMETRA 48kW</t>
        </is>
      </c>
      <c r="J9685" t="inlineStr">
        <is>
          <t>MATRION</t>
        </is>
      </c>
      <c r="K9685" t="inlineStr">
        <is>
          <t>CUIVRE</t>
        </is>
      </c>
      <c r="L9685">
        <f>_xlfn.XLOOKUP(Tableau1[[#This Row],[TYPE DE PIECE]],Tableau4[MATIERE],Tableau4[SHORT TYPE],"",0,1)</f>
        <v/>
      </c>
      <c r="N9685">
        <f>IF(ISERR(FIND("DECOUPE",Tableau1[[#This Row],[DESIGNATION]])),"","NEED REF")</f>
        <v/>
      </c>
    </row>
    <row r="9686">
      <c r="B9686" t="n">
        <v>34404319</v>
      </c>
      <c r="C9686" s="2" t="n">
        <v>42034</v>
      </c>
      <c r="D9686" t="inlineStr">
        <is>
          <t>SPEC</t>
        </is>
      </c>
      <c r="E9686" t="inlineStr">
        <is>
          <t>BAT COPPER BAR CONNEXION</t>
        </is>
      </c>
      <c r="F9686" t="inlineStr">
        <is>
          <t>COFFRET DJ SYMMETRA 48kW</t>
        </is>
      </c>
      <c r="J9686" t="inlineStr">
        <is>
          <t>MATRION</t>
        </is>
      </c>
      <c r="K9686" t="inlineStr">
        <is>
          <t>CUIVRE</t>
        </is>
      </c>
      <c r="L9686">
        <f>_xlfn.XLOOKUP(Tableau1[[#This Row],[TYPE DE PIECE]],Tableau4[MATIERE],Tableau4[SHORT TYPE],"",0,1)</f>
        <v/>
      </c>
      <c r="N9686">
        <f>IF(ISERR(FIND("DECOUPE",Tableau1[[#This Row],[DESIGNATION]])),"","NEED REF")</f>
        <v/>
      </c>
    </row>
    <row r="9687">
      <c r="B9687" t="n">
        <v>34404318</v>
      </c>
      <c r="C9687" s="2" t="n">
        <v>42033</v>
      </c>
      <c r="D9687" t="inlineStr">
        <is>
          <t>SPEC</t>
        </is>
      </c>
      <c r="E9687" t="inlineStr">
        <is>
          <t>PLATINE DJ</t>
        </is>
      </c>
      <c r="F9687" t="inlineStr">
        <is>
          <t>COFFRET DJ SYMMETRA 48kW</t>
        </is>
      </c>
      <c r="J9687" t="inlineStr">
        <is>
          <t>MATRION</t>
        </is>
      </c>
      <c r="K9687" t="inlineStr">
        <is>
          <t>METAL</t>
        </is>
      </c>
      <c r="L9687">
        <f>_xlfn.XLOOKUP(Tableau1[[#This Row],[TYPE DE PIECE]],Tableau4[MATIERE],Tableau4[SHORT TYPE],"",0,1)</f>
        <v/>
      </c>
      <c r="N9687">
        <f>IF(ISERR(FIND("DECOUPE",Tableau1[[#This Row],[DESIGNATION]])),"","NEED REF")</f>
        <v/>
      </c>
    </row>
    <row r="9688">
      <c r="B9688" t="n">
        <v>34404317</v>
      </c>
      <c r="C9688" s="2" t="n">
        <v>42033</v>
      </c>
      <c r="D9688" t="inlineStr">
        <is>
          <t>SPEC</t>
        </is>
      </c>
      <c r="E9688" t="inlineStr">
        <is>
          <t>PLATINE DE FOND</t>
        </is>
      </c>
      <c r="F9688" t="inlineStr">
        <is>
          <t>COFFRET DJ SYMMETRA 48kW</t>
        </is>
      </c>
      <c r="J9688" t="inlineStr">
        <is>
          <t>MATRION</t>
        </is>
      </c>
      <c r="K9688" t="inlineStr">
        <is>
          <t>METAL</t>
        </is>
      </c>
      <c r="L9688">
        <f>_xlfn.XLOOKUP(Tableau1[[#This Row],[TYPE DE PIECE]],Tableau4[MATIERE],Tableau4[SHORT TYPE],"",0,1)</f>
        <v/>
      </c>
      <c r="N9688">
        <f>IF(ISERR(FIND("DECOUPE",Tableau1[[#This Row],[DESIGNATION]])),"","NEED REF")</f>
        <v/>
      </c>
    </row>
    <row r="9689">
      <c r="B9689" t="n">
        <v>34404316</v>
      </c>
      <c r="C9689" s="2" t="n">
        <v>42033</v>
      </c>
      <c r="D9689" t="inlineStr">
        <is>
          <t>NOM</t>
        </is>
      </c>
      <c r="E9689" t="inlineStr">
        <is>
          <t>COFFRET DJ SYMMETRA 48kW</t>
        </is>
      </c>
      <c r="F9689" t="inlineStr">
        <is>
          <t>COFFRET DJ SYMMETRA 48kW</t>
        </is>
      </c>
      <c r="J9689" t="inlineStr">
        <is>
          <t>MATRION</t>
        </is>
      </c>
      <c r="L9689">
        <f>_xlfn.XLOOKUP(Tableau1[[#This Row],[TYPE DE PIECE]],Tableau4[MATIERE],Tableau4[SHORT TYPE],"",0,1)</f>
        <v/>
      </c>
      <c r="N9689">
        <f>IF(ISERR(FIND("DECOUPE",Tableau1[[#This Row],[DESIGNATION]])),"","NEED REF")</f>
        <v/>
      </c>
    </row>
    <row r="9690">
      <c r="B9690" t="n">
        <v>34404315</v>
      </c>
      <c r="C9690" s="2" t="n">
        <v>42032</v>
      </c>
      <c r="D9690" t="inlineStr">
        <is>
          <t>DM</t>
        </is>
      </c>
      <c r="E9690" t="inlineStr">
        <is>
          <t xml:space="preserve">Armoire bypass -transfo 80 kva </t>
        </is>
      </c>
      <c r="F9690" t="inlineStr">
        <is>
          <t>G5000/G7000</t>
        </is>
      </c>
      <c r="J9690" t="inlineStr">
        <is>
          <t>DUBOIS</t>
        </is>
      </c>
      <c r="L9690">
        <f>_xlfn.XLOOKUP(Tableau1[[#This Row],[TYPE DE PIECE]],Tableau4[MATIERE],Tableau4[SHORT TYPE],"",0,1)</f>
        <v/>
      </c>
      <c r="N9690">
        <f>IF(ISERR(FIND("DECOUPE",Tableau1[[#This Row],[DESIGNATION]])),"","NEED REF")</f>
        <v/>
      </c>
    </row>
    <row r="9691">
      <c r="B9691" t="n">
        <v>34404314</v>
      </c>
      <c r="C9691" s="2" t="n">
        <v>41646</v>
      </c>
      <c r="D9691" t="inlineStr">
        <is>
          <t>SPEC</t>
        </is>
      </c>
      <c r="E9691" t="inlineStr">
        <is>
          <t>PROTECTION 3</t>
        </is>
      </c>
      <c r="F9691" t="inlineStr">
        <is>
          <t>PDPM</t>
        </is>
      </c>
      <c r="J9691" t="inlineStr">
        <is>
          <t>MATRION</t>
        </is>
      </c>
      <c r="K9691" t="inlineStr">
        <is>
          <t>METAL</t>
        </is>
      </c>
      <c r="L9691">
        <f>_xlfn.XLOOKUP(Tableau1[[#This Row],[TYPE DE PIECE]],Tableau4[MATIERE],Tableau4[SHORT TYPE],"",0,1)</f>
        <v/>
      </c>
      <c r="N9691">
        <f>IF(ISERR(FIND("DECOUPE",Tableau1[[#This Row],[DESIGNATION]])),"","NEED REF")</f>
        <v/>
      </c>
    </row>
    <row r="9692">
      <c r="B9692" t="n">
        <v>34404313</v>
      </c>
      <c r="C9692" s="2" t="n">
        <v>42031</v>
      </c>
      <c r="D9692" t="inlineStr">
        <is>
          <t>SPEC</t>
        </is>
      </c>
      <c r="E9692" t="inlineStr">
        <is>
          <t>Support boitier decharge profonde G55 AES</t>
        </is>
      </c>
      <c r="F9692" t="inlineStr">
        <is>
          <t>G300/G55 AES</t>
        </is>
      </c>
      <c r="J9692" t="inlineStr">
        <is>
          <t>DUBOIS</t>
        </is>
      </c>
      <c r="K9692" t="inlineStr">
        <is>
          <t>METAL</t>
        </is>
      </c>
      <c r="L9692">
        <f>_xlfn.XLOOKUP(Tableau1[[#This Row],[TYPE DE PIECE]],Tableau4[MATIERE],Tableau4[SHORT TYPE],"",0,1)</f>
        <v/>
      </c>
      <c r="N9692">
        <f>IF(ISERR(FIND("DECOUPE",Tableau1[[#This Row],[DESIGNATION]])),"","NEED REF")</f>
        <v/>
      </c>
    </row>
    <row r="9693">
      <c r="B9693" t="n">
        <v>34404312</v>
      </c>
      <c r="C9693" s="2" t="n">
        <v>42031</v>
      </c>
      <c r="D9693" t="inlineStr">
        <is>
          <t>DM</t>
        </is>
      </c>
      <c r="E9693" t="inlineStr">
        <is>
          <t>Armoire transfo 80 kva + 7 dj</t>
        </is>
      </c>
      <c r="F9693" t="inlineStr">
        <is>
          <t>G5000/G7000</t>
        </is>
      </c>
      <c r="J9693" t="inlineStr">
        <is>
          <t>DUBOIS</t>
        </is>
      </c>
      <c r="L9693">
        <f>_xlfn.XLOOKUP(Tableau1[[#This Row],[TYPE DE PIECE]],Tableau4[MATIERE],Tableau4[SHORT TYPE],"",0,1)</f>
        <v/>
      </c>
      <c r="N9693">
        <f>IF(ISERR(FIND("DECOUPE",Tableau1[[#This Row],[DESIGNATION]])),"","NEED REF")</f>
        <v/>
      </c>
    </row>
    <row r="9694">
      <c r="B9694" t="n">
        <v>34404311</v>
      </c>
      <c r="C9694" s="2" t="n">
        <v>42031</v>
      </c>
      <c r="D9694" t="inlineStr">
        <is>
          <t>SPEC</t>
        </is>
      </c>
      <c r="E9694" t="inlineStr">
        <is>
          <t>PLATINE HAUT</t>
        </is>
      </c>
      <c r="F9694" t="inlineStr">
        <is>
          <t>BREAKER CHOPPER</t>
        </is>
      </c>
      <c r="J9694" t="inlineStr">
        <is>
          <t>MATRION</t>
        </is>
      </c>
      <c r="K9694" t="inlineStr">
        <is>
          <t>METAL</t>
        </is>
      </c>
      <c r="L9694">
        <f>_xlfn.XLOOKUP(Tableau1[[#This Row],[TYPE DE PIECE]],Tableau4[MATIERE],Tableau4[SHORT TYPE],"",0,1)</f>
        <v/>
      </c>
      <c r="N9694">
        <f>IF(ISERR(FIND("DECOUPE",Tableau1[[#This Row],[DESIGNATION]])),"","NEED REF")</f>
        <v/>
      </c>
    </row>
    <row r="9695">
      <c r="B9695" t="n">
        <v>34404310</v>
      </c>
      <c r="C9695" s="2" t="n">
        <v>42030</v>
      </c>
      <c r="D9695" t="inlineStr">
        <is>
          <t>SPEC</t>
        </is>
      </c>
      <c r="E9695" t="inlineStr">
        <is>
          <t>KIT FILERIE G55AES ARM BATTERIE</t>
        </is>
      </c>
      <c r="F9695" t="inlineStr">
        <is>
          <t>G55 AES</t>
        </is>
      </c>
      <c r="J9695" t="inlineStr">
        <is>
          <t>MONGELLI</t>
        </is>
      </c>
      <c r="K9695" t="inlineStr">
        <is>
          <t>CUIVRE</t>
        </is>
      </c>
      <c r="L9695">
        <f>_xlfn.XLOOKUP(Tableau1[[#This Row],[TYPE DE PIECE]],Tableau4[MATIERE],Tableau4[SHORT TYPE],"",0,1)</f>
        <v/>
      </c>
      <c r="N9695">
        <f>IF(ISERR(FIND("DECOUPE",Tableau1[[#This Row],[DESIGNATION]])),"","NEED REF")</f>
        <v/>
      </c>
    </row>
    <row r="9696">
      <c r="B9696" t="n">
        <v>34404309</v>
      </c>
      <c r="C9696" s="2" t="n">
        <v>42030</v>
      </c>
      <c r="D9696" t="inlineStr">
        <is>
          <t>SPEC</t>
        </is>
      </c>
      <c r="E9696" t="inlineStr">
        <is>
          <t>KIT CABLES DE PUISSANCE</t>
        </is>
      </c>
      <c r="F9696" t="inlineStr">
        <is>
          <t>PDPM</t>
        </is>
      </c>
      <c r="J9696" t="inlineStr">
        <is>
          <t>MATRION</t>
        </is>
      </c>
      <c r="L9696">
        <f>_xlfn.XLOOKUP(Tableau1[[#This Row],[TYPE DE PIECE]],Tableau4[MATIERE],Tableau4[SHORT TYPE],"",0,1)</f>
        <v/>
      </c>
      <c r="N9696">
        <f>IF(ISERR(FIND("DECOUPE",Tableau1[[#This Row],[DESIGNATION]])),"","NEED REF")</f>
        <v/>
      </c>
    </row>
    <row r="9697">
      <c r="B9697" t="n">
        <v>34404308</v>
      </c>
      <c r="C9697" s="2" t="n">
        <v>42024</v>
      </c>
      <c r="D9697" t="inlineStr">
        <is>
          <t>SPEC</t>
        </is>
      </c>
      <c r="E9697" t="inlineStr">
        <is>
          <t>CANEVAS INV DE SOURCE 2xNS1600NA</t>
        </is>
      </c>
      <c r="F9697" t="inlineStr">
        <is>
          <t>INVERSEUR 1600A</t>
        </is>
      </c>
      <c r="J9697" t="inlineStr">
        <is>
          <t>ROBERT</t>
        </is>
      </c>
      <c r="K9697" t="inlineStr">
        <is>
          <t>SCHNEIDER</t>
        </is>
      </c>
      <c r="L9697">
        <f>_xlfn.XLOOKUP(Tableau1[[#This Row],[TYPE DE PIECE]],Tableau4[MATIERE],Tableau4[SHORT TYPE],"",0,1)</f>
        <v/>
      </c>
      <c r="N9697">
        <f>IF(ISERR(FIND("DECOUPE",Tableau1[[#This Row],[DESIGNATION]])),"","NEED REF")</f>
        <v/>
      </c>
    </row>
    <row r="9698">
      <c r="B9698" t="n">
        <v>34404307</v>
      </c>
      <c r="C9698" s="2" t="n">
        <v>42024</v>
      </c>
      <c r="D9698" t="inlineStr">
        <is>
          <t>SPEC</t>
        </is>
      </c>
      <c r="E9698" t="inlineStr">
        <is>
          <t>PORTE ECRAN UA</t>
        </is>
      </c>
      <c r="F9698" t="inlineStr">
        <is>
          <t>INVERSEUR 1600A</t>
        </is>
      </c>
      <c r="J9698" t="inlineStr">
        <is>
          <t>MATRION</t>
        </is>
      </c>
      <c r="K9698" t="inlineStr">
        <is>
          <t>METAL</t>
        </is>
      </c>
      <c r="L9698">
        <f>_xlfn.XLOOKUP(Tableau1[[#This Row],[TYPE DE PIECE]],Tableau4[MATIERE],Tableau4[SHORT TYPE],"",0,1)</f>
        <v/>
      </c>
      <c r="N9698">
        <f>IF(ISERR(FIND("DECOUPE",Tableau1[[#This Row],[DESIGNATION]])),"","NEED REF")</f>
        <v/>
      </c>
    </row>
    <row r="9699">
      <c r="B9699" t="n">
        <v>34404306</v>
      </c>
      <c r="C9699" s="2" t="n">
        <v>42024</v>
      </c>
      <c r="D9699" t="inlineStr">
        <is>
          <t>SPEC</t>
        </is>
      </c>
      <c r="E9699" t="inlineStr">
        <is>
          <t>PLASTRON BAS</t>
        </is>
      </c>
      <c r="F9699" t="inlineStr">
        <is>
          <t>INVERSEUR 1600A</t>
        </is>
      </c>
      <c r="J9699" t="inlineStr">
        <is>
          <t>MATRION</t>
        </is>
      </c>
      <c r="K9699" t="inlineStr">
        <is>
          <t>METAL</t>
        </is>
      </c>
      <c r="L9699">
        <f>_xlfn.XLOOKUP(Tableau1[[#This Row],[TYPE DE PIECE]],Tableau4[MATIERE],Tableau4[SHORT TYPE],"",0,1)</f>
        <v/>
      </c>
      <c r="N9699">
        <f>IF(ISERR(FIND("DECOUPE",Tableau1[[#This Row],[DESIGNATION]])),"","NEED REF")</f>
        <v/>
      </c>
    </row>
    <row r="9700">
      <c r="B9700" t="n">
        <v>34404305</v>
      </c>
      <c r="C9700" s="2" t="n">
        <v>42024</v>
      </c>
      <c r="D9700" t="inlineStr">
        <is>
          <t>SPEC</t>
        </is>
      </c>
      <c r="E9700" t="inlineStr">
        <is>
          <t>PLASTRON INTERMEDIAIRE</t>
        </is>
      </c>
      <c r="F9700" t="inlineStr">
        <is>
          <t>INVERSEUR 1600A</t>
        </is>
      </c>
      <c r="J9700" t="inlineStr">
        <is>
          <t>MATRION</t>
        </is>
      </c>
      <c r="K9700" t="inlineStr">
        <is>
          <t>METAL</t>
        </is>
      </c>
      <c r="L9700">
        <f>_xlfn.XLOOKUP(Tableau1[[#This Row],[TYPE DE PIECE]],Tableau4[MATIERE],Tableau4[SHORT TYPE],"",0,1)</f>
        <v/>
      </c>
      <c r="N9700">
        <f>IF(ISERR(FIND("DECOUPE",Tableau1[[#This Row],[DESIGNATION]])),"","NEED REF")</f>
        <v/>
      </c>
    </row>
    <row r="9701">
      <c r="B9701" t="n">
        <v>34404304</v>
      </c>
      <c r="C9701" s="2" t="n">
        <v>42024</v>
      </c>
      <c r="D9701" t="inlineStr">
        <is>
          <t>SPEC</t>
        </is>
      </c>
      <c r="E9701" t="inlineStr">
        <is>
          <t>PLASTRON  2xNS1600</t>
        </is>
      </c>
      <c r="F9701" t="inlineStr">
        <is>
          <t>INVERSEUR 1600A</t>
        </is>
      </c>
      <c r="J9701" t="inlineStr">
        <is>
          <t>MATRION</t>
        </is>
      </c>
      <c r="K9701" t="inlineStr">
        <is>
          <t>METAL</t>
        </is>
      </c>
      <c r="L9701">
        <f>_xlfn.XLOOKUP(Tableau1[[#This Row],[TYPE DE PIECE]],Tableau4[MATIERE],Tableau4[SHORT TYPE],"",0,1)</f>
        <v/>
      </c>
      <c r="N9701">
        <f>IF(ISERR(FIND("DECOUPE",Tableau1[[#This Row],[DESIGNATION]])),"","NEED REF")</f>
        <v/>
      </c>
    </row>
    <row r="9702">
      <c r="B9702" t="n">
        <v>34404303</v>
      </c>
      <c r="C9702" s="2" t="n">
        <v>42024</v>
      </c>
      <c r="D9702" t="inlineStr">
        <is>
          <t>SPEC</t>
        </is>
      </c>
      <c r="E9702" t="inlineStr">
        <is>
          <t>PLASTRON UA</t>
        </is>
      </c>
      <c r="F9702" t="inlineStr">
        <is>
          <t>INVERSEUR 1600A</t>
        </is>
      </c>
      <c r="J9702" t="inlineStr">
        <is>
          <t>MATRION</t>
        </is>
      </c>
      <c r="K9702" t="inlineStr">
        <is>
          <t>METAL</t>
        </is>
      </c>
      <c r="L9702">
        <f>_xlfn.XLOOKUP(Tableau1[[#This Row],[TYPE DE PIECE]],Tableau4[MATIERE],Tableau4[SHORT TYPE],"",0,1)</f>
        <v/>
      </c>
      <c r="N9702">
        <f>IF(ISERR(FIND("DECOUPE",Tableau1[[#This Row],[DESIGNATION]])),"","NEED REF")</f>
        <v/>
      </c>
    </row>
    <row r="9703">
      <c r="B9703" t="n">
        <v>34404302</v>
      </c>
      <c r="C9703" s="2" t="n">
        <v>42024</v>
      </c>
      <c r="D9703" t="inlineStr">
        <is>
          <t>SPEC</t>
        </is>
      </c>
      <c r="E9703" t="inlineStr">
        <is>
          <t>PLASTRON HAUT</t>
        </is>
      </c>
      <c r="F9703" t="inlineStr">
        <is>
          <t>INVERSEUR 1600A</t>
        </is>
      </c>
      <c r="J9703" t="inlineStr">
        <is>
          <t>MATRION</t>
        </is>
      </c>
      <c r="K9703" t="inlineStr">
        <is>
          <t>METAL</t>
        </is>
      </c>
      <c r="L9703">
        <f>_xlfn.XLOOKUP(Tableau1[[#This Row],[TYPE DE PIECE]],Tableau4[MATIERE],Tableau4[SHORT TYPE],"",0,1)</f>
        <v/>
      </c>
      <c r="N9703">
        <f>IF(ISERR(FIND("DECOUPE",Tableau1[[#This Row],[DESIGNATION]])),"","NEED REF")</f>
        <v/>
      </c>
    </row>
    <row r="9704">
      <c r="B9704" t="n">
        <v>34404301</v>
      </c>
      <c r="C9704" s="2" t="n">
        <v>42024</v>
      </c>
      <c r="D9704" t="inlineStr">
        <is>
          <t>SPEC</t>
        </is>
      </c>
      <c r="E9704" t="inlineStr">
        <is>
          <t>TRAVERSE SUPPORT LINERGY</t>
        </is>
      </c>
      <c r="F9704" t="inlineStr">
        <is>
          <t>INVERSEUR 1600A</t>
        </is>
      </c>
      <c r="J9704" t="inlineStr">
        <is>
          <t>MATRION</t>
        </is>
      </c>
      <c r="K9704" t="inlineStr">
        <is>
          <t>METAL</t>
        </is>
      </c>
      <c r="L9704">
        <f>_xlfn.XLOOKUP(Tableau1[[#This Row],[TYPE DE PIECE]],Tableau4[MATIERE],Tableau4[SHORT TYPE],"",0,1)</f>
        <v/>
      </c>
      <c r="N9704">
        <f>IF(ISERR(FIND("DECOUPE",Tableau1[[#This Row],[DESIGNATION]])),"","NEED REF")</f>
        <v/>
      </c>
    </row>
    <row r="9705">
      <c r="B9705" t="n">
        <v>34404300</v>
      </c>
      <c r="C9705" s="2" t="n">
        <v>42024</v>
      </c>
      <c r="D9705" t="inlineStr">
        <is>
          <t>SPEC</t>
        </is>
      </c>
      <c r="E9705" t="inlineStr">
        <is>
          <t>CU RESEAU NS1600</t>
        </is>
      </c>
      <c r="F9705" t="inlineStr">
        <is>
          <t>INVERSEUR 1600A</t>
        </is>
      </c>
      <c r="J9705" t="inlineStr">
        <is>
          <t>MATRION</t>
        </is>
      </c>
      <c r="K9705" t="inlineStr">
        <is>
          <t>CUIVRE</t>
        </is>
      </c>
      <c r="L9705">
        <f>_xlfn.XLOOKUP(Tableau1[[#This Row],[TYPE DE PIECE]],Tableau4[MATIERE],Tableau4[SHORT TYPE],"",0,1)</f>
        <v/>
      </c>
      <c r="N9705">
        <f>IF(ISERR(FIND("DECOUPE",Tableau1[[#This Row],[DESIGNATION]])),"","NEED REF")</f>
        <v/>
      </c>
    </row>
    <row r="9706">
      <c r="B9706" t="n">
        <v>34404299</v>
      </c>
      <c r="C9706" s="2" t="n">
        <v>42024</v>
      </c>
      <c r="D9706" t="inlineStr">
        <is>
          <t>SPEC</t>
        </is>
      </c>
      <c r="E9706" t="inlineStr">
        <is>
          <t>LINERGY 1600</t>
        </is>
      </c>
      <c r="F9706" t="inlineStr">
        <is>
          <t>INVERSEUR 1600A</t>
        </is>
      </c>
      <c r="J9706" t="inlineStr">
        <is>
          <t>MATRION</t>
        </is>
      </c>
      <c r="K9706" t="inlineStr">
        <is>
          <t>- ATELIER -</t>
        </is>
      </c>
      <c r="L9706">
        <f>_xlfn.XLOOKUP(Tableau1[[#This Row],[TYPE DE PIECE]],Tableau4[MATIERE],Tableau4[SHORT TYPE],"",0,1)</f>
        <v/>
      </c>
      <c r="N9706">
        <f>IF(ISERR(FIND("DECOUPE",Tableau1[[#This Row],[DESIGNATION]])),"","NEED REF")</f>
        <v/>
      </c>
    </row>
    <row r="9707">
      <c r="B9707" t="n">
        <v>34404298</v>
      </c>
      <c r="C9707" s="2" t="n">
        <v>42024</v>
      </c>
      <c r="D9707" t="inlineStr">
        <is>
          <t>SPEC</t>
        </is>
      </c>
      <c r="F9707" t="inlineStr">
        <is>
          <t>INVERSEUR 1600A</t>
        </is>
      </c>
      <c r="J9707" t="inlineStr">
        <is>
          <t>MATRION</t>
        </is>
      </c>
      <c r="L9707">
        <f>_xlfn.XLOOKUP(Tableau1[[#This Row],[TYPE DE PIECE]],Tableau4[MATIERE],Tableau4[SHORT TYPE],"",0,1)</f>
        <v/>
      </c>
      <c r="N9707">
        <f>IF(ISERR(FIND("DECOUPE",Tableau1[[#This Row],[DESIGNATION]])),"","NEED REF")</f>
        <v/>
      </c>
    </row>
    <row r="9708">
      <c r="B9708" t="n">
        <v>34404297</v>
      </c>
      <c r="C9708" s="2" t="n">
        <v>42024</v>
      </c>
      <c r="D9708" t="inlineStr">
        <is>
          <t>SPEC</t>
        </is>
      </c>
      <c r="F9708" t="inlineStr">
        <is>
          <t>INVERSEUR 1600A</t>
        </is>
      </c>
      <c r="J9708" t="inlineStr">
        <is>
          <t>MATRION</t>
        </is>
      </c>
      <c r="L9708">
        <f>_xlfn.XLOOKUP(Tableau1[[#This Row],[TYPE DE PIECE]],Tableau4[MATIERE],Tableau4[SHORT TYPE],"",0,1)</f>
        <v/>
      </c>
      <c r="N9708">
        <f>IF(ISERR(FIND("DECOUPE",Tableau1[[#This Row],[DESIGNATION]])),"","NEED REF")</f>
        <v/>
      </c>
    </row>
    <row r="9709">
      <c r="B9709" t="n">
        <v>34404296</v>
      </c>
      <c r="C9709" s="2" t="n">
        <v>42024</v>
      </c>
      <c r="D9709" t="inlineStr">
        <is>
          <t>SPEC</t>
        </is>
      </c>
      <c r="E9709" t="inlineStr">
        <is>
          <t>CU RESEAU NS1600</t>
        </is>
      </c>
      <c r="F9709" t="inlineStr">
        <is>
          <t>INVERSEUR 1600A</t>
        </is>
      </c>
      <c r="J9709" t="inlineStr">
        <is>
          <t>MATRION</t>
        </is>
      </c>
      <c r="K9709" t="inlineStr">
        <is>
          <t>CUIVRE</t>
        </is>
      </c>
      <c r="L9709">
        <f>_xlfn.XLOOKUP(Tableau1[[#This Row],[TYPE DE PIECE]],Tableau4[MATIERE],Tableau4[SHORT TYPE],"",0,1)</f>
        <v/>
      </c>
      <c r="N9709">
        <f>IF(ISERR(FIND("DECOUPE",Tableau1[[#This Row],[DESIGNATION]])),"","NEED REF")</f>
        <v/>
      </c>
    </row>
    <row r="9710">
      <c r="B9710" t="n">
        <v>34404295</v>
      </c>
      <c r="C9710" s="2" t="n">
        <v>42024</v>
      </c>
      <c r="D9710" t="inlineStr">
        <is>
          <t>SPEC</t>
        </is>
      </c>
      <c r="E9710" t="inlineStr">
        <is>
          <t>FLEX JUNCTION INV 1600</t>
        </is>
      </c>
      <c r="F9710" t="inlineStr">
        <is>
          <t>INVERSEUR 1600A</t>
        </is>
      </c>
      <c r="J9710" t="inlineStr">
        <is>
          <t>MATRION</t>
        </is>
      </c>
      <c r="K9710" t="inlineStr">
        <is>
          <t>CUIVRE</t>
        </is>
      </c>
      <c r="L9710">
        <f>_xlfn.XLOOKUP(Tableau1[[#This Row],[TYPE DE PIECE]],Tableau4[MATIERE],Tableau4[SHORT TYPE],"",0,1)</f>
        <v/>
      </c>
      <c r="N9710">
        <f>IF(ISERR(FIND("DECOUPE",Tableau1[[#This Row],[DESIGNATION]])),"","NEED REF")</f>
        <v/>
      </c>
    </row>
    <row r="9711">
      <c r="B9711" t="n">
        <v>34404294</v>
      </c>
      <c r="C9711" s="2" t="n">
        <v>42024</v>
      </c>
      <c r="D9711" t="inlineStr">
        <is>
          <t>SPEC</t>
        </is>
      </c>
      <c r="E9711" t="inlineStr">
        <is>
          <t>CU JONCTION NS1600</t>
        </is>
      </c>
      <c r="F9711" t="inlineStr">
        <is>
          <t>INVERSEUR 1600A</t>
        </is>
      </c>
      <c r="J9711" t="inlineStr">
        <is>
          <t>MATRION</t>
        </is>
      </c>
      <c r="K9711" t="inlineStr">
        <is>
          <t>CUIVRE</t>
        </is>
      </c>
      <c r="L9711">
        <f>_xlfn.XLOOKUP(Tableau1[[#This Row],[TYPE DE PIECE]],Tableau4[MATIERE],Tableau4[SHORT TYPE],"",0,1)</f>
        <v/>
      </c>
      <c r="N9711">
        <f>IF(ISERR(FIND("DECOUPE",Tableau1[[#This Row],[DESIGNATION]])),"","NEED REF")</f>
        <v/>
      </c>
    </row>
    <row r="9712">
      <c r="B9712" t="n">
        <v>34404293</v>
      </c>
      <c r="C9712" s="2" t="n">
        <v>42024</v>
      </c>
      <c r="D9712" t="inlineStr">
        <is>
          <t>SPEC</t>
        </is>
      </c>
      <c r="E9712" t="inlineStr">
        <is>
          <t>PLATINE 2xINV NS1600</t>
        </is>
      </c>
      <c r="F9712" t="inlineStr">
        <is>
          <t>INVERSEUR 1600A</t>
        </is>
      </c>
      <c r="J9712" t="inlineStr">
        <is>
          <t>MATRION</t>
        </is>
      </c>
      <c r="K9712" t="inlineStr">
        <is>
          <t>METAL</t>
        </is>
      </c>
      <c r="L9712">
        <f>_xlfn.XLOOKUP(Tableau1[[#This Row],[TYPE DE PIECE]],Tableau4[MATIERE],Tableau4[SHORT TYPE],"",0,1)</f>
        <v/>
      </c>
      <c r="N9712">
        <f>IF(ISERR(FIND("DECOUPE",Tableau1[[#This Row],[DESIGNATION]])),"","NEED REF")</f>
        <v/>
      </c>
    </row>
    <row r="9713">
      <c r="B9713" t="n">
        <v>34404292</v>
      </c>
      <c r="C9713" s="2" t="n"/>
      <c r="L9713">
        <f>_xlfn.XLOOKUP(Tableau1[[#This Row],[TYPE DE PIECE]],Tableau4[MATIERE],Tableau4[SHORT TYPE],"",0,1)</f>
        <v/>
      </c>
      <c r="N9713">
        <f>IF(ISERR(FIND("DECOUPE",Tableau1[[#This Row],[DESIGNATION]])),"","NEED REF")</f>
        <v/>
      </c>
    </row>
    <row r="9714">
      <c r="B9714" t="n">
        <v>34404291</v>
      </c>
      <c r="C9714" s="2" t="n"/>
      <c r="L9714">
        <f>_xlfn.XLOOKUP(Tableau1[[#This Row],[TYPE DE PIECE]],Tableau4[MATIERE],Tableau4[SHORT TYPE],"",0,1)</f>
        <v/>
      </c>
      <c r="N9714">
        <f>IF(ISERR(FIND("DECOUPE",Tableau1[[#This Row],[DESIGNATION]])),"","NEED REF")</f>
        <v/>
      </c>
    </row>
    <row r="9715">
      <c r="B9715" t="n">
        <v>34404290</v>
      </c>
      <c r="C9715" s="2" t="n">
        <v>42019</v>
      </c>
      <c r="D9715" t="inlineStr">
        <is>
          <t>SPEC</t>
        </is>
      </c>
      <c r="E9715" t="inlineStr">
        <is>
          <t>ETIQUETTE SCHNEIDER</t>
        </is>
      </c>
      <c r="F9715" t="inlineStr">
        <is>
          <t>TOUTES</t>
        </is>
      </c>
      <c r="J9715" t="inlineStr">
        <is>
          <t>ÇAKIR</t>
        </is>
      </c>
      <c r="K9715" t="inlineStr">
        <is>
          <t>POLYESTER</t>
        </is>
      </c>
      <c r="L9715">
        <f>_xlfn.XLOOKUP(Tableau1[[#This Row],[TYPE DE PIECE]],Tableau4[MATIERE],Tableau4[SHORT TYPE],"",0,1)</f>
        <v/>
      </c>
      <c r="N9715">
        <f>IF(ISERR(FIND("DECOUPE",Tableau1[[#This Row],[DESIGNATION]])),"","NEED REF")</f>
        <v/>
      </c>
    </row>
    <row r="9716">
      <c r="B9716" t="n">
        <v>34404289</v>
      </c>
      <c r="C9716" s="2" t="n">
        <v>42019</v>
      </c>
      <c r="D9716" t="inlineStr">
        <is>
          <t>SPEC</t>
        </is>
      </c>
      <c r="E9716" t="inlineStr">
        <is>
          <t>ETIQUETTE SCHNEIDER CUSTOMIZED by ETO MBT</t>
        </is>
      </c>
      <c r="F9716" t="inlineStr">
        <is>
          <t>TOUTES</t>
        </is>
      </c>
      <c r="J9716" t="inlineStr">
        <is>
          <t>ÇAKIR</t>
        </is>
      </c>
      <c r="K9716" t="inlineStr">
        <is>
          <t>POLYESTER</t>
        </is>
      </c>
      <c r="L9716">
        <f>_xlfn.XLOOKUP(Tableau1[[#This Row],[TYPE DE PIECE]],Tableau4[MATIERE],Tableau4[SHORT TYPE],"",0,1)</f>
        <v/>
      </c>
      <c r="N9716">
        <f>IF(ISERR(FIND("DECOUPE",Tableau1[[#This Row],[DESIGNATION]])),"","NEED REF")</f>
        <v/>
      </c>
    </row>
    <row r="9717">
      <c r="B9717" t="n">
        <v>34404288</v>
      </c>
      <c r="C9717" s="2" t="n">
        <v>41646</v>
      </c>
      <c r="D9717" t="inlineStr">
        <is>
          <t>SPEC</t>
        </is>
      </c>
      <c r="E9717" t="inlineStr">
        <is>
          <t>CABLES PROFIL 400</t>
        </is>
      </c>
      <c r="F9717" t="inlineStr">
        <is>
          <t>COFFRET DJ 96/160kW SYMM PX</t>
        </is>
      </c>
      <c r="J9717" t="inlineStr">
        <is>
          <t>MATRION</t>
        </is>
      </c>
      <c r="K9717" t="inlineStr">
        <is>
          <t>METAL</t>
        </is>
      </c>
      <c r="L9717">
        <f>_xlfn.XLOOKUP(Tableau1[[#This Row],[TYPE DE PIECE]],Tableau4[MATIERE],Tableau4[SHORT TYPE],"",0,1)</f>
        <v/>
      </c>
      <c r="N9717">
        <f>IF(ISERR(FIND("DECOUPE",Tableau1[[#This Row],[DESIGNATION]])),"","NEED REF")</f>
        <v/>
      </c>
    </row>
    <row r="9718">
      <c r="B9718" t="n">
        <v>34404287</v>
      </c>
      <c r="C9718" s="2" t="n">
        <v>41646</v>
      </c>
      <c r="D9718" t="inlineStr">
        <is>
          <t>SPEC</t>
        </is>
      </c>
      <c r="E9718" t="inlineStr">
        <is>
          <t>CT COPPER BAR JUNCTION</t>
        </is>
      </c>
      <c r="F9718" t="inlineStr">
        <is>
          <t>COFFRET DJ 96/160kW SYMM PX</t>
        </is>
      </c>
      <c r="J9718" t="inlineStr">
        <is>
          <t>MATRION</t>
        </is>
      </c>
      <c r="K9718" t="inlineStr">
        <is>
          <t>CUIVRE</t>
        </is>
      </c>
      <c r="L9718">
        <f>_xlfn.XLOOKUP(Tableau1[[#This Row],[TYPE DE PIECE]],Tableau4[MATIERE],Tableau4[SHORT TYPE],"",0,1)</f>
        <v/>
      </c>
      <c r="N9718">
        <f>IF(ISERR(FIND("DECOUPE",Tableau1[[#This Row],[DESIGNATION]])),"","NEED REF")</f>
        <v/>
      </c>
    </row>
    <row r="9719">
      <c r="B9719" t="n">
        <v>34404286</v>
      </c>
      <c r="C9719" s="2" t="n">
        <v>41646</v>
      </c>
      <c r="D9719" t="inlineStr">
        <is>
          <t>SPEC</t>
        </is>
      </c>
      <c r="E9719" t="inlineStr">
        <is>
          <t>PROTECTION SWITCHGEAR KIT</t>
        </is>
      </c>
      <c r="F9719" t="inlineStr">
        <is>
          <t>BYPASS 200kW APC</t>
        </is>
      </c>
      <c r="J9719" t="inlineStr">
        <is>
          <t>MATRION</t>
        </is>
      </c>
      <c r="K9719" t="inlineStr">
        <is>
          <t>METAL</t>
        </is>
      </c>
      <c r="L9719">
        <f>_xlfn.XLOOKUP(Tableau1[[#This Row],[TYPE DE PIECE]],Tableau4[MATIERE],Tableau4[SHORT TYPE],"",0,1)</f>
        <v/>
      </c>
      <c r="N9719">
        <f>IF(ISERR(FIND("DECOUPE",Tableau1[[#This Row],[DESIGNATION]])),"","NEED REF")</f>
        <v/>
      </c>
    </row>
    <row r="9720">
      <c r="B9720" t="n">
        <v>34404285</v>
      </c>
      <c r="C9720" s="2" t="n">
        <v>41646</v>
      </c>
      <c r="D9720" t="inlineStr">
        <is>
          <t>SPEC</t>
        </is>
      </c>
      <c r="E9720" t="inlineStr">
        <is>
          <t>SUPPORT CIRCUIT BREAKER KIT</t>
        </is>
      </c>
      <c r="F9720" t="inlineStr">
        <is>
          <t>BYPASS 200kW APC</t>
        </is>
      </c>
      <c r="J9720" t="inlineStr">
        <is>
          <t>MATRION</t>
        </is>
      </c>
      <c r="K9720" t="inlineStr">
        <is>
          <t>METAL</t>
        </is>
      </c>
      <c r="L9720">
        <f>_xlfn.XLOOKUP(Tableau1[[#This Row],[TYPE DE PIECE]],Tableau4[MATIERE],Tableau4[SHORT TYPE],"",0,1)</f>
        <v/>
      </c>
      <c r="N9720">
        <f>IF(ISERR(FIND("DECOUPE",Tableau1[[#This Row],[DESIGNATION]])),"","NEED REF")</f>
        <v/>
      </c>
    </row>
    <row r="9721">
      <c r="B9721" t="n">
        <v>34404284</v>
      </c>
      <c r="C9721" s="2" t="n">
        <v>41646</v>
      </c>
      <c r="D9721" t="inlineStr">
        <is>
          <t>SPEC</t>
        </is>
      </c>
      <c r="E9721" t="inlineStr">
        <is>
          <t>SUPPORT SWITCHGEAR KIT</t>
        </is>
      </c>
      <c r="F9721" t="inlineStr">
        <is>
          <t>BYPASS 200kW APC</t>
        </is>
      </c>
      <c r="J9721" t="inlineStr">
        <is>
          <t>MATRION</t>
        </is>
      </c>
      <c r="K9721" t="inlineStr">
        <is>
          <t>METAL</t>
        </is>
      </c>
      <c r="L9721">
        <f>_xlfn.XLOOKUP(Tableau1[[#This Row],[TYPE DE PIECE]],Tableau4[MATIERE],Tableau4[SHORT TYPE],"",0,1)</f>
        <v/>
      </c>
      <c r="N9721">
        <f>IF(ISERR(FIND("DECOUPE",Tableau1[[#This Row],[DESIGNATION]])),"","NEED REF")</f>
        <v/>
      </c>
    </row>
    <row r="9722">
      <c r="B9722" t="n">
        <v>34404283</v>
      </c>
      <c r="C9722" s="2" t="n">
        <v>41646</v>
      </c>
      <c r="D9722" t="inlineStr">
        <is>
          <t>SPEC</t>
        </is>
      </c>
      <c r="E9722" t="inlineStr">
        <is>
          <t>FIXATION CABLES DE PUISSANCE</t>
        </is>
      </c>
      <c r="F9722" t="inlineStr">
        <is>
          <t>PDPM</t>
        </is>
      </c>
      <c r="J9722" t="inlineStr">
        <is>
          <t>MATRION</t>
        </is>
      </c>
      <c r="K9722" t="inlineStr">
        <is>
          <t>METAL</t>
        </is>
      </c>
      <c r="L9722">
        <f>_xlfn.XLOOKUP(Tableau1[[#This Row],[TYPE DE PIECE]],Tableau4[MATIERE],Tableau4[SHORT TYPE],"",0,1)</f>
        <v/>
      </c>
      <c r="N9722">
        <f>IF(ISERR(FIND("DECOUPE",Tableau1[[#This Row],[DESIGNATION]])),"","NEED REF")</f>
        <v/>
      </c>
    </row>
    <row r="9723">
      <c r="B9723" t="n">
        <v>34404282</v>
      </c>
      <c r="C9723" s="2" t="n">
        <v>41646</v>
      </c>
      <c r="D9723" t="inlineStr">
        <is>
          <t>SPEC</t>
        </is>
      </c>
      <c r="E9723" t="inlineStr">
        <is>
          <t>PROTECTION 2</t>
        </is>
      </c>
      <c r="F9723" t="inlineStr">
        <is>
          <t>PDPM</t>
        </is>
      </c>
      <c r="J9723" t="inlineStr">
        <is>
          <t>MATRION</t>
        </is>
      </c>
      <c r="K9723" t="inlineStr">
        <is>
          <t>METAL</t>
        </is>
      </c>
      <c r="L9723">
        <f>_xlfn.XLOOKUP(Tableau1[[#This Row],[TYPE DE PIECE]],Tableau4[MATIERE],Tableau4[SHORT TYPE],"",0,1)</f>
        <v/>
      </c>
      <c r="N9723">
        <f>IF(ISERR(FIND("DECOUPE",Tableau1[[#This Row],[DESIGNATION]])),"","NEED REF")</f>
        <v/>
      </c>
    </row>
    <row r="9724">
      <c r="B9724" t="n">
        <v>34404281</v>
      </c>
      <c r="C9724" s="2" t="n">
        <v>41646</v>
      </c>
      <c r="D9724" t="inlineStr">
        <is>
          <t>SPEC</t>
        </is>
      </c>
      <c r="E9724" t="inlineStr">
        <is>
          <t>PROTECTION 1</t>
        </is>
      </c>
      <c r="F9724" t="inlineStr">
        <is>
          <t>PDPM</t>
        </is>
      </c>
      <c r="J9724" t="inlineStr">
        <is>
          <t>MATRION</t>
        </is>
      </c>
      <c r="K9724" t="inlineStr">
        <is>
          <t>METAL</t>
        </is>
      </c>
      <c r="L9724">
        <f>_xlfn.XLOOKUP(Tableau1[[#This Row],[TYPE DE PIECE]],Tableau4[MATIERE],Tableau4[SHORT TYPE],"",0,1)</f>
        <v/>
      </c>
      <c r="N9724">
        <f>IF(ISERR(FIND("DECOUPE",Tableau1[[#This Row],[DESIGNATION]])),"","NEED REF")</f>
        <v/>
      </c>
    </row>
    <row r="9725">
      <c r="B9725" t="n">
        <v>34404280</v>
      </c>
      <c r="C9725" s="2" t="n">
        <v>41645</v>
      </c>
      <c r="D9725" t="inlineStr">
        <is>
          <t>SPEC</t>
        </is>
      </c>
      <c r="E9725" t="inlineStr">
        <is>
          <t>DECOUPE CABLE PROTECTION</t>
        </is>
      </c>
      <c r="F9725" t="inlineStr">
        <is>
          <t>PDPM</t>
        </is>
      </c>
      <c r="J9725" t="inlineStr">
        <is>
          <t>MATRION</t>
        </is>
      </c>
      <c r="K9725" t="inlineStr">
        <is>
          <t>METAL</t>
        </is>
      </c>
      <c r="L9725">
        <f>_xlfn.XLOOKUP(Tableau1[[#This Row],[TYPE DE PIECE]],Tableau4[MATIERE],Tableau4[SHORT TYPE],"",0,1)</f>
        <v/>
      </c>
      <c r="N9725">
        <f>IF(ISERR(FIND("DECOUPE",Tableau1[[#This Row],[DESIGNATION]])),"","NEED REF")</f>
        <v/>
      </c>
    </row>
    <row r="9726">
      <c r="B9726" t="n">
        <v>34404279</v>
      </c>
      <c r="C9726" s="2" t="n">
        <v>41996</v>
      </c>
      <c r="D9726" t="inlineStr">
        <is>
          <t>SPEC</t>
        </is>
      </c>
      <c r="E9726" t="inlineStr">
        <is>
          <t>ENS PORTE AFFICHEUR</t>
        </is>
      </c>
      <c r="F9726" t="inlineStr">
        <is>
          <t>STS400 NETSHLTER</t>
        </is>
      </c>
      <c r="J9726" t="inlineStr">
        <is>
          <t>MATRION</t>
        </is>
      </c>
      <c r="K9726" t="inlineStr">
        <is>
          <t>METAL</t>
        </is>
      </c>
      <c r="L9726">
        <f>_xlfn.XLOOKUP(Tableau1[[#This Row],[TYPE DE PIECE]],Tableau4[MATIERE],Tableau4[SHORT TYPE],"",0,1)</f>
        <v/>
      </c>
      <c r="N9726">
        <f>IF(ISERR(FIND("DECOUPE",Tableau1[[#This Row],[DESIGNATION]])),"","NEED REF")</f>
        <v/>
      </c>
    </row>
    <row r="9727">
      <c r="B9727" t="n">
        <v>34404278</v>
      </c>
      <c r="C9727" s="2" t="n">
        <v>41991</v>
      </c>
      <c r="D9727" t="inlineStr">
        <is>
          <t>SPEC</t>
        </is>
      </c>
      <c r="E9727" t="inlineStr">
        <is>
          <t>PROTECTION SHIELD NETSHELTER 750 2U BOTTOM</t>
        </is>
      </c>
      <c r="F9727" t="inlineStr">
        <is>
          <t>STS400 NETSHLTER</t>
        </is>
      </c>
      <c r="J9727" t="inlineStr">
        <is>
          <t>MATRION</t>
        </is>
      </c>
      <c r="K9727" t="inlineStr">
        <is>
          <t>METAL</t>
        </is>
      </c>
      <c r="L9727">
        <f>_xlfn.XLOOKUP(Tableau1[[#This Row],[TYPE DE PIECE]],Tableau4[MATIERE],Tableau4[SHORT TYPE],"",0,1)</f>
        <v/>
      </c>
      <c r="N9727">
        <f>IF(ISERR(FIND("DECOUPE",Tableau1[[#This Row],[DESIGNATION]])),"","NEED REF")</f>
        <v/>
      </c>
    </row>
    <row r="9728">
      <c r="B9728" t="n">
        <v>34404277</v>
      </c>
      <c r="C9728" s="2" t="n">
        <v>41991</v>
      </c>
      <c r="D9728" t="inlineStr">
        <is>
          <t>SPEC</t>
        </is>
      </c>
      <c r="E9728" t="inlineStr">
        <is>
          <t>SUPPORT AFFICHEUR STS NETSHELTER</t>
        </is>
      </c>
      <c r="F9728" t="inlineStr">
        <is>
          <t>STS400 NETSHLTER</t>
        </is>
      </c>
      <c r="J9728" t="inlineStr">
        <is>
          <t>MATRION</t>
        </is>
      </c>
      <c r="K9728" t="inlineStr">
        <is>
          <t>METAL</t>
        </is>
      </c>
      <c r="L9728">
        <f>_xlfn.XLOOKUP(Tableau1[[#This Row],[TYPE DE PIECE]],Tableau4[MATIERE],Tableau4[SHORT TYPE],"",0,1)</f>
        <v/>
      </c>
      <c r="N9728">
        <f>IF(ISERR(FIND("DECOUPE",Tableau1[[#This Row],[DESIGNATION]])),"","NEED REF")</f>
        <v/>
      </c>
    </row>
    <row r="9729">
      <c r="B9729" t="n">
        <v>34404276</v>
      </c>
      <c r="C9729" s="2" t="n">
        <v>41991</v>
      </c>
      <c r="D9729" t="inlineStr">
        <is>
          <t>SPEC</t>
        </is>
      </c>
      <c r="E9729" t="inlineStr">
        <is>
          <t>CADRE AFFICHEUR STS NETSHELTER</t>
        </is>
      </c>
      <c r="F9729" t="inlineStr">
        <is>
          <t>STS400 NETSHLTER</t>
        </is>
      </c>
      <c r="J9729" t="inlineStr">
        <is>
          <t>MATRION</t>
        </is>
      </c>
      <c r="K9729" t="inlineStr">
        <is>
          <t>METAL</t>
        </is>
      </c>
      <c r="L9729">
        <f>_xlfn.XLOOKUP(Tableau1[[#This Row],[TYPE DE PIECE]],Tableau4[MATIERE],Tableau4[SHORT TYPE],"",0,1)</f>
        <v/>
      </c>
      <c r="N9729">
        <f>IF(ISERR(FIND("DECOUPE",Tableau1[[#This Row],[DESIGNATION]])),"","NEED REF")</f>
        <v/>
      </c>
    </row>
    <row r="9730">
      <c r="B9730" t="n">
        <v>34404275</v>
      </c>
      <c r="C9730" s="2" t="n">
        <v>41990</v>
      </c>
      <c r="D9730" t="inlineStr">
        <is>
          <t>SPEC</t>
        </is>
      </c>
      <c r="E9730" t="inlineStr">
        <is>
          <t>SUPPORT ATIZ G3500</t>
        </is>
      </c>
      <c r="F9730" t="inlineStr">
        <is>
          <t>G3500</t>
        </is>
      </c>
      <c r="J9730" t="inlineStr">
        <is>
          <t>MATRION</t>
        </is>
      </c>
      <c r="K9730" t="inlineStr">
        <is>
          <t>METAL</t>
        </is>
      </c>
      <c r="L9730">
        <f>_xlfn.XLOOKUP(Tableau1[[#This Row],[TYPE DE PIECE]],Tableau4[MATIERE],Tableau4[SHORT TYPE],"",0,1)</f>
        <v/>
      </c>
      <c r="N9730">
        <f>IF(ISERR(FIND("DECOUPE",Tableau1[[#This Row],[DESIGNATION]])),"","NEED REF")</f>
        <v/>
      </c>
    </row>
    <row r="9731">
      <c r="B9731" t="n">
        <v>34404274</v>
      </c>
      <c r="C9731" s="2" t="inlineStr">
        <is>
          <t>16/1214</t>
        </is>
      </c>
      <c r="E9731" t="inlineStr">
        <is>
          <t>STS NETSHELTER CUBICLE</t>
        </is>
      </c>
      <c r="F9731" t="inlineStr">
        <is>
          <t>STS400 NETSHLTER</t>
        </is>
      </c>
      <c r="J9731" t="inlineStr">
        <is>
          <t>MATRION</t>
        </is>
      </c>
      <c r="L9731">
        <f>_xlfn.XLOOKUP(Tableau1[[#This Row],[TYPE DE PIECE]],Tableau4[MATIERE],Tableau4[SHORT TYPE],"",0,1)</f>
        <v/>
      </c>
      <c r="N9731">
        <f>IF(ISERR(FIND("DECOUPE",Tableau1[[#This Row],[DESIGNATION]])),"","NEED REF")</f>
        <v/>
      </c>
    </row>
    <row r="9732">
      <c r="B9732" t="n">
        <v>34404273</v>
      </c>
      <c r="C9732" s="2" t="n">
        <v>41989</v>
      </c>
      <c r="D9732" t="inlineStr">
        <is>
          <t>SPEC</t>
        </is>
      </c>
      <c r="E9732" t="inlineStr">
        <is>
          <t>NETSHELTER LEFT AMOUNT 750 FOR STS</t>
        </is>
      </c>
      <c r="F9732" t="inlineStr">
        <is>
          <t>STS400 NETSHLTER</t>
        </is>
      </c>
      <c r="J9732" t="inlineStr">
        <is>
          <t>MATRION</t>
        </is>
      </c>
      <c r="K9732" t="inlineStr">
        <is>
          <t>METAL</t>
        </is>
      </c>
      <c r="L9732">
        <f>_xlfn.XLOOKUP(Tableau1[[#This Row],[TYPE DE PIECE]],Tableau4[MATIERE],Tableau4[SHORT TYPE],"",0,1)</f>
        <v/>
      </c>
      <c r="N9732">
        <f>IF(ISERR(FIND("DECOUPE",Tableau1[[#This Row],[DESIGNATION]])),"","NEED REF")</f>
        <v/>
      </c>
    </row>
    <row r="9733">
      <c r="B9733" t="n">
        <v>34404272</v>
      </c>
      <c r="C9733" s="2" t="n">
        <v>41989</v>
      </c>
      <c r="D9733" t="inlineStr">
        <is>
          <t>SPEC</t>
        </is>
      </c>
      <c r="E9733" t="inlineStr">
        <is>
          <t>NETSHELTER RIGHT AMOUNT 750 FOR STS</t>
        </is>
      </c>
      <c r="F9733" t="inlineStr">
        <is>
          <t>STS400 NETSHLTER</t>
        </is>
      </c>
      <c r="J9733" t="inlineStr">
        <is>
          <t>MATRION</t>
        </is>
      </c>
      <c r="K9733" t="inlineStr">
        <is>
          <t>METAL</t>
        </is>
      </c>
      <c r="L9733">
        <f>_xlfn.XLOOKUP(Tableau1[[#This Row],[TYPE DE PIECE]],Tableau4[MATIERE],Tableau4[SHORT TYPE],"",0,1)</f>
        <v/>
      </c>
      <c r="N9733">
        <f>IF(ISERR(FIND("DECOUPE",Tableau1[[#This Row],[DESIGNATION]])),"","NEED REF")</f>
        <v/>
      </c>
    </row>
    <row r="9734">
      <c r="B9734" t="n">
        <v>34404271</v>
      </c>
      <c r="C9734" s="2" t="n">
        <v>41989</v>
      </c>
      <c r="D9734" t="inlineStr">
        <is>
          <t>SPEC</t>
        </is>
      </c>
      <c r="E9734" t="inlineStr">
        <is>
          <t>PROTECTION BYPASS</t>
        </is>
      </c>
      <c r="F9734" t="inlineStr">
        <is>
          <t>STS400 NETSHLTER</t>
        </is>
      </c>
      <c r="J9734" t="inlineStr">
        <is>
          <t>MATRION</t>
        </is>
      </c>
      <c r="K9734" t="inlineStr">
        <is>
          <t>PLASTIQUE</t>
        </is>
      </c>
      <c r="L9734">
        <f>_xlfn.XLOOKUP(Tableau1[[#This Row],[TYPE DE PIECE]],Tableau4[MATIERE],Tableau4[SHORT TYPE],"",0,1)</f>
        <v/>
      </c>
      <c r="N9734">
        <f>IF(ISERR(FIND("DECOUPE",Tableau1[[#This Row],[DESIGNATION]])),"","NEED REF")</f>
        <v/>
      </c>
    </row>
    <row r="9735">
      <c r="B9735" t="n">
        <v>34404270</v>
      </c>
      <c r="C9735" s="2" t="n">
        <v>41988</v>
      </c>
      <c r="D9735" t="inlineStr">
        <is>
          <t>SPEC</t>
        </is>
      </c>
      <c r="E9735" t="inlineStr">
        <is>
          <t>SUPPORT JDB BYPASS 2</t>
        </is>
      </c>
      <c r="F9735" t="inlineStr">
        <is>
          <t>STS400 NETSHLTER</t>
        </is>
      </c>
      <c r="J9735" t="inlineStr">
        <is>
          <t>MATRION</t>
        </is>
      </c>
      <c r="K9735" t="inlineStr">
        <is>
          <t>METAL</t>
        </is>
      </c>
      <c r="L9735">
        <f>_xlfn.XLOOKUP(Tableau1[[#This Row],[TYPE DE PIECE]],Tableau4[MATIERE],Tableau4[SHORT TYPE],"",0,1)</f>
        <v/>
      </c>
      <c r="N9735">
        <f>IF(ISERR(FIND("DECOUPE",Tableau1[[#This Row],[DESIGNATION]])),"","NEED REF")</f>
        <v/>
      </c>
    </row>
    <row r="9736">
      <c r="B9736" t="n">
        <v>34404269</v>
      </c>
      <c r="C9736" s="2" t="n">
        <v>41988</v>
      </c>
      <c r="D9736" t="inlineStr">
        <is>
          <t>SPEC</t>
        </is>
      </c>
      <c r="E9736" t="inlineStr">
        <is>
          <t>TOIT RACCORDEMENT HAUT</t>
        </is>
      </c>
      <c r="F9736" t="inlineStr">
        <is>
          <t>STS400 NETSHLTER</t>
        </is>
      </c>
      <c r="J9736" t="inlineStr">
        <is>
          <t>MATRION</t>
        </is>
      </c>
      <c r="K9736" t="inlineStr">
        <is>
          <t>METAL</t>
        </is>
      </c>
      <c r="L9736">
        <f>_xlfn.XLOOKUP(Tableau1[[#This Row],[TYPE DE PIECE]],Tableau4[MATIERE],Tableau4[SHORT TYPE],"",0,1)</f>
        <v/>
      </c>
      <c r="N9736">
        <f>IF(ISERR(FIND("DECOUPE",Tableau1[[#This Row],[DESIGNATION]])),"","NEED REF")</f>
        <v/>
      </c>
    </row>
    <row r="9737">
      <c r="B9737" t="n">
        <v>34404268</v>
      </c>
      <c r="C9737" s="2" t="n">
        <v>41988</v>
      </c>
      <c r="D9737" t="inlineStr">
        <is>
          <t>DM</t>
        </is>
      </c>
      <c r="E9737" t="inlineStr">
        <is>
          <t>Dossier photos aide au montage G7K 1MVA</t>
        </is>
      </c>
      <c r="F9737" t="inlineStr">
        <is>
          <t>G7K 1MVA</t>
        </is>
      </c>
      <c r="J9737" t="inlineStr">
        <is>
          <t>DUBOIS</t>
        </is>
      </c>
      <c r="L9737">
        <f>_xlfn.XLOOKUP(Tableau1[[#This Row],[TYPE DE PIECE]],Tableau4[MATIERE],Tableau4[SHORT TYPE],"",0,1)</f>
        <v/>
      </c>
      <c r="N9737">
        <f>IF(ISERR(FIND("DECOUPE",Tableau1[[#This Row],[DESIGNATION]])),"","NEED REF")</f>
        <v/>
      </c>
    </row>
    <row r="9738">
      <c r="B9738" t="n">
        <v>34404267</v>
      </c>
      <c r="C9738" s="2" t="n">
        <v>41985</v>
      </c>
      <c r="D9738" t="inlineStr">
        <is>
          <t>DM</t>
        </is>
      </c>
      <c r="E9738" t="inlineStr">
        <is>
          <t>Dossier de montage</t>
        </is>
      </c>
      <c r="F9738" t="inlineStr">
        <is>
          <t>Armoire transfo 40 kva + vigi</t>
        </is>
      </c>
      <c r="J9738" t="inlineStr">
        <is>
          <t>DUBOIS</t>
        </is>
      </c>
      <c r="L9738">
        <f>_xlfn.XLOOKUP(Tableau1[[#This Row],[TYPE DE PIECE]],Tableau4[MATIERE],Tableau4[SHORT TYPE],"",0,1)</f>
        <v/>
      </c>
      <c r="N9738">
        <f>IF(ISERR(FIND("DECOUPE",Tableau1[[#This Row],[DESIGNATION]])),"","NEED REF")</f>
        <v/>
      </c>
    </row>
    <row r="9739">
      <c r="B9739" t="n">
        <v>34404266</v>
      </c>
      <c r="C9739" s="2" t="n">
        <v>41985</v>
      </c>
      <c r="D9739" t="inlineStr">
        <is>
          <t>DM</t>
        </is>
      </c>
      <c r="E9739" t="inlineStr">
        <is>
          <t>Dossier de montage</t>
        </is>
      </c>
      <c r="F9739" t="inlineStr">
        <is>
          <t>Armoire transfo 63 kva + vigi</t>
        </is>
      </c>
      <c r="J9739" t="inlineStr">
        <is>
          <t>DUBOIS</t>
        </is>
      </c>
      <c r="L9739">
        <f>_xlfn.XLOOKUP(Tableau1[[#This Row],[TYPE DE PIECE]],Tableau4[MATIERE],Tableau4[SHORT TYPE],"",0,1)</f>
        <v/>
      </c>
      <c r="N9739">
        <f>IF(ISERR(FIND("DECOUPE",Tableau1[[#This Row],[DESIGNATION]])),"","NEED REF")</f>
        <v/>
      </c>
    </row>
    <row r="9740">
      <c r="B9740" t="n">
        <v>34404265</v>
      </c>
      <c r="C9740" s="2" t="n">
        <v>41985</v>
      </c>
      <c r="D9740" t="inlineStr">
        <is>
          <t>DM</t>
        </is>
      </c>
      <c r="E9740" t="inlineStr">
        <is>
          <t>Dossier de montage</t>
        </is>
      </c>
      <c r="F9740" t="inlineStr">
        <is>
          <t>Armoire transfo 40 kva</t>
        </is>
      </c>
      <c r="J9740" t="inlineStr">
        <is>
          <t>DUBOIS</t>
        </is>
      </c>
      <c r="L9740">
        <f>_xlfn.XLOOKUP(Tableau1[[#This Row],[TYPE DE PIECE]],Tableau4[MATIERE],Tableau4[SHORT TYPE],"",0,1)</f>
        <v/>
      </c>
      <c r="N9740">
        <f>IF(ISERR(FIND("DECOUPE",Tableau1[[#This Row],[DESIGNATION]])),"","NEED REF")</f>
        <v/>
      </c>
    </row>
    <row r="9741">
      <c r="B9741" t="n">
        <v>34404264</v>
      </c>
      <c r="C9741" s="2" t="inlineStr">
        <is>
          <t>12/1214</t>
        </is>
      </c>
      <c r="D9741" t="inlineStr">
        <is>
          <t>DM</t>
        </is>
      </c>
      <c r="E9741" t="inlineStr">
        <is>
          <t>Dossier de montage</t>
        </is>
      </c>
      <c r="F9741" t="inlineStr">
        <is>
          <t>Armoire transfo 63 kva</t>
        </is>
      </c>
      <c r="J9741" t="inlineStr">
        <is>
          <t>DUBOIS</t>
        </is>
      </c>
      <c r="L9741">
        <f>_xlfn.XLOOKUP(Tableau1[[#This Row],[TYPE DE PIECE]],Tableau4[MATIERE],Tableau4[SHORT TYPE],"",0,1)</f>
        <v/>
      </c>
      <c r="N9741">
        <f>IF(ISERR(FIND("DECOUPE",Tableau1[[#This Row],[DESIGNATION]])),"","NEED REF")</f>
        <v/>
      </c>
    </row>
    <row r="9742">
      <c r="B9742" t="n">
        <v>34404263</v>
      </c>
      <c r="C9742" s="2" t="n">
        <v>41985</v>
      </c>
      <c r="D9742" t="inlineStr">
        <is>
          <t>SPEC</t>
        </is>
      </c>
      <c r="E9742" t="inlineStr">
        <is>
          <t>FLEXIBAR UTIL RACCORDEMENT HAUT</t>
        </is>
      </c>
      <c r="F9742" t="inlineStr">
        <is>
          <t>STS400 NETSHLTER</t>
        </is>
      </c>
      <c r="J9742" t="inlineStr">
        <is>
          <t>MATRION</t>
        </is>
      </c>
      <c r="K9742" t="inlineStr">
        <is>
          <t>CUIVRE</t>
        </is>
      </c>
      <c r="L9742">
        <f>_xlfn.XLOOKUP(Tableau1[[#This Row],[TYPE DE PIECE]],Tableau4[MATIERE],Tableau4[SHORT TYPE],"",0,1)</f>
        <v/>
      </c>
      <c r="N9742">
        <f>IF(ISERR(FIND("DECOUPE",Tableau1[[#This Row],[DESIGNATION]])),"","NEED REF")</f>
        <v/>
      </c>
    </row>
    <row r="9743">
      <c r="B9743" t="n">
        <v>34404262</v>
      </c>
      <c r="C9743" s="2" t="n">
        <v>41985</v>
      </c>
      <c r="D9743" t="inlineStr">
        <is>
          <t>SPEC</t>
        </is>
      </c>
      <c r="E9743" t="inlineStr">
        <is>
          <t>FLEXIBAR 4 S1/S2 RACCORDEMENT HAUT</t>
        </is>
      </c>
      <c r="F9743" t="inlineStr">
        <is>
          <t>STS400 NETSHLTER</t>
        </is>
      </c>
      <c r="J9743" t="inlineStr">
        <is>
          <t>MATRION</t>
        </is>
      </c>
      <c r="K9743" t="inlineStr">
        <is>
          <t>CUIVRE</t>
        </is>
      </c>
      <c r="L9743">
        <f>_xlfn.XLOOKUP(Tableau1[[#This Row],[TYPE DE PIECE]],Tableau4[MATIERE],Tableau4[SHORT TYPE],"",0,1)</f>
        <v/>
      </c>
      <c r="N9743">
        <f>IF(ISERR(FIND("DECOUPE",Tableau1[[#This Row],[DESIGNATION]])),"","NEED REF")</f>
        <v/>
      </c>
    </row>
    <row r="9744">
      <c r="B9744" t="n">
        <v>34404261</v>
      </c>
      <c r="C9744" s="2" t="n">
        <v>41985</v>
      </c>
      <c r="D9744" t="inlineStr">
        <is>
          <t>SPEC</t>
        </is>
      </c>
      <c r="E9744" t="inlineStr">
        <is>
          <t>FLEXIBAR 3 S1/S2 RACCORDEMENT HAUT</t>
        </is>
      </c>
      <c r="F9744" t="inlineStr">
        <is>
          <t>STS400 NETSHLTER</t>
        </is>
      </c>
      <c r="J9744" t="inlineStr">
        <is>
          <t>MATRION</t>
        </is>
      </c>
      <c r="K9744" t="inlineStr">
        <is>
          <t>CUIVRE</t>
        </is>
      </c>
      <c r="L9744">
        <f>_xlfn.XLOOKUP(Tableau1[[#This Row],[TYPE DE PIECE]],Tableau4[MATIERE],Tableau4[SHORT TYPE],"",0,1)</f>
        <v/>
      </c>
      <c r="N9744">
        <f>IF(ISERR(FIND("DECOUPE",Tableau1[[#This Row],[DESIGNATION]])),"","NEED REF")</f>
        <v/>
      </c>
    </row>
    <row r="9745">
      <c r="B9745" t="n">
        <v>34404260</v>
      </c>
      <c r="C9745" s="2" t="n">
        <v>41985</v>
      </c>
      <c r="D9745" t="inlineStr">
        <is>
          <t>SPEC</t>
        </is>
      </c>
      <c r="E9745" t="inlineStr">
        <is>
          <t>FLEXIBAR 2 S1/S2 RACCORDEMENT HAUT</t>
        </is>
      </c>
      <c r="F9745" t="inlineStr">
        <is>
          <t>STS400 NETSHLTER</t>
        </is>
      </c>
      <c r="J9745" t="inlineStr">
        <is>
          <t>MATRION</t>
        </is>
      </c>
      <c r="K9745" t="inlineStr">
        <is>
          <t>CUIVRE</t>
        </is>
      </c>
      <c r="L9745">
        <f>_xlfn.XLOOKUP(Tableau1[[#This Row],[TYPE DE PIECE]],Tableau4[MATIERE],Tableau4[SHORT TYPE],"",0,1)</f>
        <v/>
      </c>
      <c r="N9745">
        <f>IF(ISERR(FIND("DECOUPE",Tableau1[[#This Row],[DESIGNATION]])),"","NEED REF")</f>
        <v/>
      </c>
    </row>
    <row r="9746">
      <c r="B9746" t="n">
        <v>34404259</v>
      </c>
      <c r="C9746" s="2" t="n">
        <v>41985</v>
      </c>
      <c r="D9746" t="inlineStr">
        <is>
          <t>SPEC</t>
        </is>
      </c>
      <c r="E9746" t="inlineStr">
        <is>
          <t>FLEXIBAR 1 S1/S2 RACCORDEMENT HAUT</t>
        </is>
      </c>
      <c r="F9746" t="inlineStr">
        <is>
          <t>STS400 NETSHLTER</t>
        </is>
      </c>
      <c r="J9746" t="inlineStr">
        <is>
          <t>MATRION</t>
        </is>
      </c>
      <c r="K9746" t="inlineStr">
        <is>
          <t>CUIVRE</t>
        </is>
      </c>
      <c r="L9746">
        <f>_xlfn.XLOOKUP(Tableau1[[#This Row],[TYPE DE PIECE]],Tableau4[MATIERE],Tableau4[SHORT TYPE],"",0,1)</f>
        <v/>
      </c>
      <c r="N9746">
        <f>IF(ISERR(FIND("DECOUPE",Tableau1[[#This Row],[DESIGNATION]])),"","NEED REF")</f>
        <v/>
      </c>
    </row>
    <row r="9747">
      <c r="B9747" t="n">
        <v>34404258</v>
      </c>
      <c r="C9747" s="2" t="n">
        <v>41984</v>
      </c>
      <c r="D9747" t="inlineStr">
        <is>
          <t>SPEC</t>
        </is>
      </c>
      <c r="E9747" t="inlineStr">
        <is>
          <t>Reprise toit By-pass AMEX</t>
        </is>
      </c>
      <c r="J9747" t="inlineStr">
        <is>
          <t>ROBERT</t>
        </is>
      </c>
      <c r="L9747">
        <f>_xlfn.XLOOKUP(Tableau1[[#This Row],[TYPE DE PIECE]],Tableau4[MATIERE],Tableau4[SHORT TYPE],"",0,1)</f>
        <v/>
      </c>
      <c r="N9747">
        <f>IF(ISERR(FIND("DECOUPE",Tableau1[[#This Row],[DESIGNATION]])),"","NEED REF")</f>
        <v/>
      </c>
    </row>
    <row r="9748">
      <c r="B9748" t="n">
        <v>34404257</v>
      </c>
      <c r="C9748" s="2" t="n">
        <v>41984</v>
      </c>
      <c r="D9748" t="inlineStr">
        <is>
          <t>SPEC</t>
        </is>
      </c>
      <c r="E9748" t="inlineStr">
        <is>
          <t>lot etiquettes reprise FAT AMEX</t>
        </is>
      </c>
      <c r="J9748" t="inlineStr">
        <is>
          <t>ROBERT</t>
        </is>
      </c>
      <c r="L9748">
        <f>_xlfn.XLOOKUP(Tableau1[[#This Row],[TYPE DE PIECE]],Tableau4[MATIERE],Tableau4[SHORT TYPE],"",0,1)</f>
        <v/>
      </c>
      <c r="N9748">
        <f>IF(ISERR(FIND("DECOUPE",Tableau1[[#This Row],[DESIGNATION]])),"","NEED REF")</f>
        <v/>
      </c>
    </row>
    <row r="9749">
      <c r="B9749" t="n">
        <v>34404256</v>
      </c>
      <c r="C9749" s="2" t="n">
        <v>41984</v>
      </c>
      <c r="D9749" t="inlineStr">
        <is>
          <t>SPEC</t>
        </is>
      </c>
      <c r="E9749" t="inlineStr">
        <is>
          <t>réservé</t>
        </is>
      </c>
      <c r="F9749" t="inlineStr">
        <is>
          <t>STS400 NETSHLTER</t>
        </is>
      </c>
      <c r="J9749" t="inlineStr">
        <is>
          <t>MATRION</t>
        </is>
      </c>
      <c r="K9749" t="inlineStr">
        <is>
          <t>PLASTIQUE</t>
        </is>
      </c>
      <c r="L9749">
        <f>_xlfn.XLOOKUP(Tableau1[[#This Row],[TYPE DE PIECE]],Tableau4[MATIERE],Tableau4[SHORT TYPE],"",0,1)</f>
        <v/>
      </c>
      <c r="N9749">
        <f>IF(ISERR(FIND("DECOUPE",Tableau1[[#This Row],[DESIGNATION]])),"","NEED REF")</f>
        <v/>
      </c>
    </row>
    <row r="9750">
      <c r="B9750" t="n">
        <v>34404255</v>
      </c>
      <c r="C9750" s="2" t="n">
        <v>41984</v>
      </c>
      <c r="D9750" t="inlineStr">
        <is>
          <t>SPEC</t>
        </is>
      </c>
      <c r="E9750" t="inlineStr">
        <is>
          <t>réservé</t>
        </is>
      </c>
      <c r="F9750" t="inlineStr">
        <is>
          <t>STS400 NETSHLTER</t>
        </is>
      </c>
      <c r="J9750" t="inlineStr">
        <is>
          <t>MATRION</t>
        </is>
      </c>
      <c r="K9750" t="inlineStr">
        <is>
          <t>PLASTIQUE</t>
        </is>
      </c>
      <c r="L9750">
        <f>_xlfn.XLOOKUP(Tableau1[[#This Row],[TYPE DE PIECE]],Tableau4[MATIERE],Tableau4[SHORT TYPE],"",0,1)</f>
        <v/>
      </c>
      <c r="N9750">
        <f>IF(ISERR(FIND("DECOUPE",Tableau1[[#This Row],[DESIGNATION]])),"","NEED REF")</f>
        <v/>
      </c>
    </row>
    <row r="9751">
      <c r="B9751" t="n">
        <v>34404254</v>
      </c>
      <c r="C9751" s="2" t="n">
        <v>41984</v>
      </c>
      <c r="D9751" t="inlineStr">
        <is>
          <t>SPEC</t>
        </is>
      </c>
      <c r="E9751" t="inlineStr">
        <is>
          <t>PROTECTION RACCORDEMENT</t>
        </is>
      </c>
      <c r="F9751" t="inlineStr">
        <is>
          <t>STS400 NETSHLTER</t>
        </is>
      </c>
      <c r="J9751" t="inlineStr">
        <is>
          <t>MATRION</t>
        </is>
      </c>
      <c r="K9751" t="inlineStr">
        <is>
          <t>PLASTIQUE</t>
        </is>
      </c>
      <c r="L9751">
        <f>_xlfn.XLOOKUP(Tableau1[[#This Row],[TYPE DE PIECE]],Tableau4[MATIERE],Tableau4[SHORT TYPE],"",0,1)</f>
        <v/>
      </c>
      <c r="N9751">
        <f>IF(ISERR(FIND("DECOUPE",Tableau1[[#This Row],[DESIGNATION]])),"","NEED REF")</f>
        <v/>
      </c>
    </row>
    <row r="9752">
      <c r="B9752" t="n">
        <v>34404253</v>
      </c>
      <c r="C9752" s="2" t="n">
        <v>41983</v>
      </c>
      <c r="D9752" t="inlineStr">
        <is>
          <t>SPEC</t>
        </is>
      </c>
      <c r="E9752" t="inlineStr">
        <is>
          <t>TOIT RACCORDEMENT HAUT</t>
        </is>
      </c>
      <c r="F9752" t="inlineStr">
        <is>
          <t>STS400 NETSHLTER</t>
        </is>
      </c>
      <c r="J9752" t="inlineStr">
        <is>
          <t>MATRION</t>
        </is>
      </c>
      <c r="K9752" t="inlineStr">
        <is>
          <t>METAL</t>
        </is>
      </c>
      <c r="L9752">
        <f>_xlfn.XLOOKUP(Tableau1[[#This Row],[TYPE DE PIECE]],Tableau4[MATIERE],Tableau4[SHORT TYPE],"",0,1)</f>
        <v/>
      </c>
      <c r="N9752">
        <f>IF(ISERR(FIND("DECOUPE",Tableau1[[#This Row],[DESIGNATION]])),"","NEED REF")</f>
        <v/>
      </c>
    </row>
    <row r="9753">
      <c r="B9753" t="n">
        <v>34404252</v>
      </c>
      <c r="C9753" s="2" t="n">
        <v>41981</v>
      </c>
      <c r="D9753" t="inlineStr">
        <is>
          <t>SPEC</t>
        </is>
      </c>
      <c r="E9753" t="inlineStr">
        <is>
          <t>PLAQUE DE RACCORDEMENT</t>
        </is>
      </c>
      <c r="F9753" t="inlineStr">
        <is>
          <t>VENTEA</t>
        </is>
      </c>
      <c r="J9753" t="inlineStr">
        <is>
          <t>MATRION</t>
        </is>
      </c>
      <c r="K9753" t="inlineStr">
        <is>
          <t>CUIVRE</t>
        </is>
      </c>
      <c r="L9753">
        <f>_xlfn.XLOOKUP(Tableau1[[#This Row],[TYPE DE PIECE]],Tableau4[MATIERE],Tableau4[SHORT TYPE],"",0,1)</f>
        <v/>
      </c>
      <c r="N9753">
        <f>IF(ISERR(FIND("DECOUPE",Tableau1[[#This Row],[DESIGNATION]])),"","NEED REF")</f>
        <v/>
      </c>
    </row>
    <row r="9754">
      <c r="B9754" t="n">
        <v>34404251</v>
      </c>
      <c r="C9754" s="2" t="n">
        <v>41981</v>
      </c>
      <c r="D9754" t="inlineStr">
        <is>
          <t>SPEC</t>
        </is>
      </c>
      <c r="E9754" t="inlineStr">
        <is>
          <t>PLATINE MESURES</t>
        </is>
      </c>
      <c r="F9754" t="inlineStr">
        <is>
          <t>VENTEA</t>
        </is>
      </c>
      <c r="J9754" t="inlineStr">
        <is>
          <t>MATRION</t>
        </is>
      </c>
      <c r="K9754" t="inlineStr">
        <is>
          <t>METAL</t>
        </is>
      </c>
      <c r="L9754">
        <f>_xlfn.XLOOKUP(Tableau1[[#This Row],[TYPE DE PIECE]],Tableau4[MATIERE],Tableau4[SHORT TYPE],"",0,1)</f>
        <v/>
      </c>
      <c r="N9754">
        <f>IF(ISERR(FIND("DECOUPE",Tableau1[[#This Row],[DESIGNATION]])),"","NEED REF")</f>
        <v/>
      </c>
    </row>
    <row r="9755">
      <c r="B9755" t="n">
        <v>34404250</v>
      </c>
      <c r="C9755" s="2" t="n">
        <v>41977</v>
      </c>
      <c r="D9755" t="inlineStr">
        <is>
          <t>DM</t>
        </is>
      </c>
      <c r="E9755" t="inlineStr">
        <is>
          <t>Dossier de montage</t>
        </is>
      </c>
      <c r="F9755" t="inlineStr">
        <is>
          <t>Amoire batterie</t>
        </is>
      </c>
      <c r="J9755" t="inlineStr">
        <is>
          <t>DUBOIS</t>
        </is>
      </c>
      <c r="L9755">
        <f>_xlfn.XLOOKUP(Tableau1[[#This Row],[TYPE DE PIECE]],Tableau4[MATIERE],Tableau4[SHORT TYPE],"",0,1)</f>
        <v/>
      </c>
      <c r="N9755">
        <f>IF(ISERR(FIND("DECOUPE",Tableau1[[#This Row],[DESIGNATION]])),"","NEED REF")</f>
        <v/>
      </c>
    </row>
    <row r="9756">
      <c r="B9756" t="n">
        <v>34404249</v>
      </c>
      <c r="C9756" s="2" t="n">
        <v>41976</v>
      </c>
      <c r="D9756" t="inlineStr">
        <is>
          <t>SCH</t>
        </is>
      </c>
      <c r="E9756" t="inlineStr">
        <is>
          <t>Schéma de liaison armoire batterie vers armoire inter</t>
        </is>
      </c>
      <c r="F9756" t="inlineStr">
        <is>
          <t>Amoire batterie</t>
        </is>
      </c>
      <c r="J9756" t="inlineStr">
        <is>
          <t>DUBOIS</t>
        </is>
      </c>
      <c r="L9756">
        <f>_xlfn.XLOOKUP(Tableau1[[#This Row],[TYPE DE PIECE]],Tableau4[MATIERE],Tableau4[SHORT TYPE],"",0,1)</f>
        <v/>
      </c>
      <c r="N9756">
        <f>IF(ISERR(FIND("DECOUPE",Tableau1[[#This Row],[DESIGNATION]])),"","NEED REF")</f>
        <v/>
      </c>
    </row>
    <row r="9757">
      <c r="B9757" t="n">
        <v>34404248</v>
      </c>
      <c r="C9757" s="2" t="n">
        <v>41976</v>
      </c>
      <c r="D9757" t="inlineStr">
        <is>
          <t>SPEC</t>
        </is>
      </c>
      <c r="E9757" t="inlineStr">
        <is>
          <t>KIT FILERIE FILS FIN PDPM277H (avec RCP)</t>
        </is>
      </c>
      <c r="F9757" t="inlineStr">
        <is>
          <t>PDPM277H</t>
        </is>
      </c>
      <c r="J9757" t="inlineStr">
        <is>
          <t>REVEL</t>
        </is>
      </c>
      <c r="K9757" t="inlineStr">
        <is>
          <t>FILERIE</t>
        </is>
      </c>
      <c r="L9757">
        <f>_xlfn.XLOOKUP(Tableau1[[#This Row],[TYPE DE PIECE]],Tableau4[MATIERE],Tableau4[SHORT TYPE],"",0,1)</f>
        <v/>
      </c>
      <c r="N9757">
        <f>IF(ISERR(FIND("DECOUPE",Tableau1[[#This Row],[DESIGNATION]])),"","NEED REF")</f>
        <v/>
      </c>
    </row>
    <row r="9758">
      <c r="B9758" t="n">
        <v>34404247</v>
      </c>
      <c r="C9758" s="2" t="n">
        <v>41883</v>
      </c>
      <c r="D9758" t="inlineStr">
        <is>
          <t>SPEC</t>
        </is>
      </c>
      <c r="E9758" t="inlineStr">
        <is>
          <t>SUPPORT JDB TOP CONNEXION</t>
        </is>
      </c>
      <c r="F9758" t="inlineStr">
        <is>
          <t>STS400 NETSHLTER</t>
        </is>
      </c>
      <c r="J9758" t="inlineStr">
        <is>
          <t>MATRION</t>
        </is>
      </c>
      <c r="K9758" t="inlineStr">
        <is>
          <t>METAL</t>
        </is>
      </c>
      <c r="L9758">
        <f>_xlfn.XLOOKUP(Tableau1[[#This Row],[TYPE DE PIECE]],Tableau4[MATIERE],Tableau4[SHORT TYPE],"",0,1)</f>
        <v/>
      </c>
      <c r="N9758">
        <f>IF(ISERR(FIND("DECOUPE",Tableau1[[#This Row],[DESIGNATION]])),"","NEED REF")</f>
        <v/>
      </c>
    </row>
    <row r="9759">
      <c r="B9759" t="n">
        <v>34404246</v>
      </c>
      <c r="C9759" s="2" t="n">
        <v>41883</v>
      </c>
      <c r="D9759" t="inlineStr">
        <is>
          <t>SPEC</t>
        </is>
      </c>
      <c r="E9759" t="inlineStr">
        <is>
          <t>SUPPORT JDB TOP CONNEXION</t>
        </is>
      </c>
      <c r="F9759" t="inlineStr">
        <is>
          <t>STS400 NETSHLTER</t>
        </is>
      </c>
      <c r="J9759" t="inlineStr">
        <is>
          <t>MATRION</t>
        </is>
      </c>
      <c r="K9759" t="inlineStr">
        <is>
          <t>METAL</t>
        </is>
      </c>
      <c r="L9759">
        <f>_xlfn.XLOOKUP(Tableau1[[#This Row],[TYPE DE PIECE]],Tableau4[MATIERE],Tableau4[SHORT TYPE],"",0,1)</f>
        <v/>
      </c>
      <c r="N9759">
        <f>IF(ISERR(FIND("DECOUPE",Tableau1[[#This Row],[DESIGNATION]])),"","NEED REF")</f>
        <v/>
      </c>
    </row>
    <row r="9760">
      <c r="B9760" t="n">
        <v>34404245</v>
      </c>
      <c r="C9760" s="2" t="n">
        <v>41974</v>
      </c>
      <c r="D9760" t="inlineStr">
        <is>
          <t>SPEC</t>
        </is>
      </c>
      <c r="E9760" t="inlineStr">
        <is>
          <t xml:space="preserve">Dossier de montage cellule PDPM NSX400N </t>
        </is>
      </c>
      <c r="F9760" t="inlineStr">
        <is>
          <t xml:space="preserve">PDPM </t>
        </is>
      </c>
      <c r="J9760" t="inlineStr">
        <is>
          <t>ROBERT</t>
        </is>
      </c>
      <c r="K9760" t="inlineStr">
        <is>
          <t>METAL</t>
        </is>
      </c>
      <c r="L9760">
        <f>_xlfn.XLOOKUP(Tableau1[[#This Row],[TYPE DE PIECE]],Tableau4[MATIERE],Tableau4[SHORT TYPE],"",0,1)</f>
        <v/>
      </c>
      <c r="N9760">
        <f>IF(ISERR(FIND("DECOUPE",Tableau1[[#This Row],[DESIGNATION]])),"","NEED REF")</f>
        <v/>
      </c>
    </row>
    <row r="9761">
      <c r="B9761" t="n">
        <v>34404244</v>
      </c>
      <c r="C9761" s="2" t="n">
        <v>41974</v>
      </c>
      <c r="D9761" t="inlineStr">
        <is>
          <t>SPEC</t>
        </is>
      </c>
      <c r="E9761" t="inlineStr">
        <is>
          <t>CUIVRE UPS</t>
        </is>
      </c>
      <c r="F9761" t="inlineStr">
        <is>
          <t>COFFRET PX 160kW 4STRINGS</t>
        </is>
      </c>
      <c r="J9761" t="inlineStr">
        <is>
          <t>MATRION</t>
        </is>
      </c>
      <c r="K9761" t="inlineStr">
        <is>
          <t>CUIVRE</t>
        </is>
      </c>
      <c r="L9761">
        <f>_xlfn.XLOOKUP(Tableau1[[#This Row],[TYPE DE PIECE]],Tableau4[MATIERE],Tableau4[SHORT TYPE],"",0,1)</f>
        <v/>
      </c>
      <c r="N9761">
        <f>IF(ISERR(FIND("DECOUPE",Tableau1[[#This Row],[DESIGNATION]])),"","NEED REF")</f>
        <v/>
      </c>
    </row>
    <row r="9762">
      <c r="B9762" t="n">
        <v>34404243</v>
      </c>
      <c r="C9762" s="2" t="n">
        <v>41974</v>
      </c>
      <c r="D9762" t="inlineStr">
        <is>
          <t>SPEC</t>
        </is>
      </c>
      <c r="E9762" t="inlineStr">
        <is>
          <t>CUIVRE BATTERIE</t>
        </is>
      </c>
      <c r="F9762" t="inlineStr">
        <is>
          <t>COFFRET PX 160kW 4STRINGS</t>
        </is>
      </c>
      <c r="J9762" t="inlineStr">
        <is>
          <t>MATRION</t>
        </is>
      </c>
      <c r="K9762" t="inlineStr">
        <is>
          <t>CUIVRE</t>
        </is>
      </c>
      <c r="L9762">
        <f>_xlfn.XLOOKUP(Tableau1[[#This Row],[TYPE DE PIECE]],Tableau4[MATIERE],Tableau4[SHORT TYPE],"",0,1)</f>
        <v/>
      </c>
      <c r="N9762">
        <f>IF(ISERR(FIND("DECOUPE",Tableau1[[#This Row],[DESIGNATION]])),"","NEED REF")</f>
        <v/>
      </c>
    </row>
    <row r="9763">
      <c r="B9763" t="n">
        <v>34404242</v>
      </c>
      <c r="C9763" s="2" t="n">
        <v>41943</v>
      </c>
      <c r="D9763" t="inlineStr">
        <is>
          <t>SPEC</t>
        </is>
      </c>
      <c r="E9763" t="inlineStr">
        <is>
          <t>COPPERBAR RACC HAUT S4 L3</t>
        </is>
      </c>
      <c r="F9763" t="inlineStr">
        <is>
          <t>STS400 NETSHLTER</t>
        </is>
      </c>
      <c r="J9763" t="inlineStr">
        <is>
          <t>MATRION</t>
        </is>
      </c>
      <c r="K9763" t="inlineStr">
        <is>
          <t>CUIVRE</t>
        </is>
      </c>
      <c r="L9763">
        <f>_xlfn.XLOOKUP(Tableau1[[#This Row],[TYPE DE PIECE]],Tableau4[MATIERE],Tableau4[SHORT TYPE],"",0,1)</f>
        <v/>
      </c>
      <c r="N9763">
        <f>IF(ISERR(FIND("DECOUPE",Tableau1[[#This Row],[DESIGNATION]])),"","NEED REF")</f>
        <v/>
      </c>
    </row>
    <row r="9764">
      <c r="B9764" t="n">
        <v>34404241</v>
      </c>
      <c r="C9764" s="2" t="n">
        <v>41943</v>
      </c>
      <c r="D9764" t="inlineStr">
        <is>
          <t>SPEC</t>
        </is>
      </c>
      <c r="E9764" t="inlineStr">
        <is>
          <t>COPPERBAR RACC HAUT S3 L2</t>
        </is>
      </c>
      <c r="F9764" t="inlineStr">
        <is>
          <t>STS400 NETSHLTER</t>
        </is>
      </c>
      <c r="J9764" t="inlineStr">
        <is>
          <t>MATRION</t>
        </is>
      </c>
      <c r="K9764" t="inlineStr">
        <is>
          <t>CUIVRE</t>
        </is>
      </c>
      <c r="L9764">
        <f>_xlfn.XLOOKUP(Tableau1[[#This Row],[TYPE DE PIECE]],Tableau4[MATIERE],Tableau4[SHORT TYPE],"",0,1)</f>
        <v/>
      </c>
      <c r="N9764">
        <f>IF(ISERR(FIND("DECOUPE",Tableau1[[#This Row],[DESIGNATION]])),"","NEED REF")</f>
        <v/>
      </c>
    </row>
    <row r="9765">
      <c r="B9765" t="n">
        <v>34404240</v>
      </c>
      <c r="C9765" s="2" t="n">
        <v>41943</v>
      </c>
      <c r="D9765" t="inlineStr">
        <is>
          <t>SPEC</t>
        </is>
      </c>
      <c r="E9765" t="inlineStr">
        <is>
          <t>COPPERBAR RACC HAUT S2 L1</t>
        </is>
      </c>
      <c r="F9765" t="inlineStr">
        <is>
          <t>STS400 NETSHLTER</t>
        </is>
      </c>
      <c r="J9765" t="inlineStr">
        <is>
          <t>MATRION</t>
        </is>
      </c>
      <c r="K9765" t="inlineStr">
        <is>
          <t>CUIVRE</t>
        </is>
      </c>
      <c r="L9765">
        <f>_xlfn.XLOOKUP(Tableau1[[#This Row],[TYPE DE PIECE]],Tableau4[MATIERE],Tableau4[SHORT TYPE],"",0,1)</f>
        <v/>
      </c>
      <c r="N9765">
        <f>IF(ISERR(FIND("DECOUPE",Tableau1[[#This Row],[DESIGNATION]])),"","NEED REF")</f>
        <v/>
      </c>
    </row>
    <row r="9766">
      <c r="B9766" t="n">
        <v>34404239</v>
      </c>
      <c r="C9766" s="2" t="n">
        <v>41943</v>
      </c>
      <c r="D9766" t="inlineStr">
        <is>
          <t>SPEC</t>
        </is>
      </c>
      <c r="E9766" t="inlineStr">
        <is>
          <t>COPPERBAR RACC HAUT S2 N</t>
        </is>
      </c>
      <c r="F9766" t="inlineStr">
        <is>
          <t>STS400 NETSHLTER</t>
        </is>
      </c>
      <c r="J9766" t="inlineStr">
        <is>
          <t>MATRION</t>
        </is>
      </c>
      <c r="K9766" t="inlineStr">
        <is>
          <t>CUIVRE</t>
        </is>
      </c>
      <c r="L9766">
        <f>_xlfn.XLOOKUP(Tableau1[[#This Row],[TYPE DE PIECE]],Tableau4[MATIERE],Tableau4[SHORT TYPE],"",0,1)</f>
        <v/>
      </c>
      <c r="N9766">
        <f>IF(ISERR(FIND("DECOUPE",Tableau1[[#This Row],[DESIGNATION]])),"","NEED REF")</f>
        <v/>
      </c>
    </row>
    <row r="9767">
      <c r="B9767" t="n">
        <v>34404238</v>
      </c>
      <c r="C9767" s="2" t="n">
        <v>41970</v>
      </c>
      <c r="D9767" t="inlineStr">
        <is>
          <t>SPEC</t>
        </is>
      </c>
      <c r="E9767" t="inlineStr">
        <is>
          <t>Schéma de câblage NSX400N</t>
        </is>
      </c>
      <c r="F9767" t="inlineStr">
        <is>
          <t>PDPM</t>
        </is>
      </c>
      <c r="J9767" t="inlineStr">
        <is>
          <t>ROBERT</t>
        </is>
      </c>
      <c r="L9767">
        <f>_xlfn.XLOOKUP(Tableau1[[#This Row],[TYPE DE PIECE]],Tableau4[MATIERE],Tableau4[SHORT TYPE],"",0,1)</f>
        <v/>
      </c>
      <c r="N9767">
        <f>IF(ISERR(FIND("DECOUPE",Tableau1[[#This Row],[DESIGNATION]])),"","NEED REF")</f>
        <v/>
      </c>
    </row>
    <row r="9768">
      <c r="B9768" t="n">
        <v>34404237</v>
      </c>
      <c r="C9768" s="2" t="n">
        <v>41970</v>
      </c>
      <c r="D9768" t="inlineStr">
        <is>
          <t>SPEC</t>
        </is>
      </c>
      <c r="E9768" t="inlineStr">
        <is>
          <t>TOP PROTECTION SHIELD PDPM NSX4003P</t>
        </is>
      </c>
      <c r="F9768" t="inlineStr">
        <is>
          <t>PDPM</t>
        </is>
      </c>
      <c r="J9768" t="inlineStr">
        <is>
          <t>MATRION</t>
        </is>
      </c>
      <c r="K9768" t="inlineStr">
        <is>
          <t>METAL</t>
        </is>
      </c>
      <c r="L9768">
        <f>_xlfn.XLOOKUP(Tableau1[[#This Row],[TYPE DE PIECE]],Tableau4[MATIERE],Tableau4[SHORT TYPE],"",0,1)</f>
        <v/>
      </c>
      <c r="N9768">
        <f>IF(ISERR(FIND("DECOUPE",Tableau1[[#This Row],[DESIGNATION]])),"","NEED REF")</f>
        <v/>
      </c>
    </row>
    <row r="9769">
      <c r="B9769" t="n">
        <v>34404236</v>
      </c>
      <c r="C9769" s="2" t="n">
        <v>41970</v>
      </c>
      <c r="D9769" t="inlineStr">
        <is>
          <t>SPEC</t>
        </is>
      </c>
      <c r="E9769" t="inlineStr">
        <is>
          <t>EQUERRE DE FIXATION G300</t>
        </is>
      </c>
      <c r="F9769" t="inlineStr">
        <is>
          <t>G300</t>
        </is>
      </c>
      <c r="J9769" t="inlineStr">
        <is>
          <t>ROBERT</t>
        </is>
      </c>
      <c r="K9769" t="inlineStr">
        <is>
          <t>METAL</t>
        </is>
      </c>
      <c r="L9769">
        <f>_xlfn.XLOOKUP(Tableau1[[#This Row],[TYPE DE PIECE]],Tableau4[MATIERE],Tableau4[SHORT TYPE],"",0,1)</f>
        <v/>
      </c>
      <c r="N9769">
        <f>IF(ISERR(FIND("DECOUPE",Tableau1[[#This Row],[DESIGNATION]])),"","NEED REF")</f>
        <v/>
      </c>
    </row>
    <row r="9770">
      <c r="B9770" t="n">
        <v>34404235</v>
      </c>
      <c r="C9770" s="2" t="n">
        <v>41964</v>
      </c>
      <c r="D9770" t="inlineStr">
        <is>
          <t>SPEC</t>
        </is>
      </c>
      <c r="E9770" t="inlineStr">
        <is>
          <t>Dossier de montage filtre anti-poussière IP42</t>
        </is>
      </c>
      <c r="F9770" t="inlineStr">
        <is>
          <t>G5500 /G7000</t>
        </is>
      </c>
      <c r="J9770" t="inlineStr">
        <is>
          <t>ROBERT</t>
        </is>
      </c>
      <c r="L9770">
        <f>_xlfn.XLOOKUP(Tableau1[[#This Row],[TYPE DE PIECE]],Tableau4[MATIERE],Tableau4[SHORT TYPE],"",0,1)</f>
        <v/>
      </c>
      <c r="N9770">
        <f>IF(ISERR(FIND("DECOUPE",Tableau1[[#This Row],[DESIGNATION]])),"","NEED REF")</f>
        <v/>
      </c>
    </row>
    <row r="9771">
      <c r="B9771" t="n">
        <v>34404234</v>
      </c>
      <c r="C9771" s="2" t="n"/>
      <c r="E9771" t="inlineStr">
        <is>
          <t>réservé</t>
        </is>
      </c>
      <c r="L9771">
        <f>_xlfn.XLOOKUP(Tableau1[[#This Row],[TYPE DE PIECE]],Tableau4[MATIERE],Tableau4[SHORT TYPE],"",0,1)</f>
        <v/>
      </c>
      <c r="N9771">
        <f>IF(ISERR(FIND("DECOUPE",Tableau1[[#This Row],[DESIGNATION]])),"","NEED REF")</f>
        <v/>
      </c>
    </row>
    <row r="9772">
      <c r="B9772" t="n">
        <v>34404233</v>
      </c>
      <c r="C9772" s="2" t="n">
        <v>41962</v>
      </c>
      <c r="D9772" t="inlineStr">
        <is>
          <t>SPEC</t>
        </is>
      </c>
      <c r="E9772" t="inlineStr">
        <is>
          <t>TOLE SPT CONNECTEUR XR1 POUR KIT 0J-0W4997B</t>
        </is>
      </c>
      <c r="F9772" t="inlineStr">
        <is>
          <t>KIT DJ BATT G300</t>
        </is>
      </c>
      <c r="J9772" t="inlineStr">
        <is>
          <t>MONGELLI</t>
        </is>
      </c>
      <c r="K9772" t="inlineStr">
        <is>
          <t>METAL</t>
        </is>
      </c>
      <c r="L9772">
        <f>_xlfn.XLOOKUP(Tableau1[[#This Row],[TYPE DE PIECE]],Tableau4[MATIERE],Tableau4[SHORT TYPE],"",0,1)</f>
        <v/>
      </c>
      <c r="N9772">
        <f>IF(ISERR(FIND("DECOUPE",Tableau1[[#This Row],[DESIGNATION]])),"","NEED REF")</f>
        <v/>
      </c>
    </row>
    <row r="9773">
      <c r="B9773" t="n">
        <v>34404232</v>
      </c>
      <c r="C9773" s="2" t="n"/>
      <c r="E9773" t="inlineStr">
        <is>
          <t>réservé</t>
        </is>
      </c>
      <c r="L9773">
        <f>_xlfn.XLOOKUP(Tableau1[[#This Row],[TYPE DE PIECE]],Tableau4[MATIERE],Tableau4[SHORT TYPE],"",0,1)</f>
        <v/>
      </c>
      <c r="N9773">
        <f>IF(ISERR(FIND("DECOUPE",Tableau1[[#This Row],[DESIGNATION]])),"","NEED REF")</f>
        <v/>
      </c>
    </row>
    <row r="9774">
      <c r="B9774" t="n">
        <v>34404231</v>
      </c>
      <c r="C9774" s="2" t="n"/>
      <c r="E9774" t="inlineStr">
        <is>
          <t>réservé</t>
        </is>
      </c>
      <c r="L9774">
        <f>_xlfn.XLOOKUP(Tableau1[[#This Row],[TYPE DE PIECE]],Tableau4[MATIERE],Tableau4[SHORT TYPE],"",0,1)</f>
        <v/>
      </c>
      <c r="N9774">
        <f>IF(ISERR(FIND("DECOUPE",Tableau1[[#This Row],[DESIGNATION]])),"","NEED REF")</f>
        <v/>
      </c>
    </row>
    <row r="9775">
      <c r="B9775" t="n">
        <v>34404230</v>
      </c>
      <c r="C9775" s="2" t="n"/>
      <c r="E9775" t="inlineStr">
        <is>
          <t>réservé</t>
        </is>
      </c>
      <c r="L9775">
        <f>_xlfn.XLOOKUP(Tableau1[[#This Row],[TYPE DE PIECE]],Tableau4[MATIERE],Tableau4[SHORT TYPE],"",0,1)</f>
        <v/>
      </c>
      <c r="N9775">
        <f>IF(ISERR(FIND("DECOUPE",Tableau1[[#This Row],[DESIGNATION]])),"","NEED REF")</f>
        <v/>
      </c>
    </row>
    <row r="9776">
      <c r="B9776" t="n">
        <v>34404229</v>
      </c>
      <c r="C9776" s="2" t="n"/>
      <c r="E9776" t="inlineStr">
        <is>
          <t>réservé</t>
        </is>
      </c>
      <c r="L9776">
        <f>_xlfn.XLOOKUP(Tableau1[[#This Row],[TYPE DE PIECE]],Tableau4[MATIERE],Tableau4[SHORT TYPE],"",0,1)</f>
        <v/>
      </c>
      <c r="N9776">
        <f>IF(ISERR(FIND("DECOUPE",Tableau1[[#This Row],[DESIGNATION]])),"","NEED REF")</f>
        <v/>
      </c>
    </row>
    <row r="9777">
      <c r="B9777" t="n">
        <v>34404228</v>
      </c>
      <c r="C9777" s="2" t="n">
        <v>41955</v>
      </c>
      <c r="D9777" t="inlineStr">
        <is>
          <t>SPEC</t>
        </is>
      </c>
      <c r="E9777" t="inlineStr">
        <is>
          <t>Equerre en cuivre</t>
        </is>
      </c>
      <c r="F9777" t="inlineStr">
        <is>
          <t>Armoire batterie R&amp;D</t>
        </is>
      </c>
      <c r="J9777" t="inlineStr">
        <is>
          <t>DUBOIS</t>
        </is>
      </c>
      <c r="L9777">
        <f>_xlfn.XLOOKUP(Tableau1[[#This Row],[TYPE DE PIECE]],Tableau4[MATIERE],Tableau4[SHORT TYPE],"",0,1)</f>
        <v/>
      </c>
      <c r="N9777">
        <f>IF(ISERR(FIND("DECOUPE",Tableau1[[#This Row],[DESIGNATION]])),"","NEED REF")</f>
        <v/>
      </c>
    </row>
    <row r="9778">
      <c r="B9778" t="n">
        <v>34404227</v>
      </c>
      <c r="C9778" s="2" t="n">
        <v>41955</v>
      </c>
      <c r="D9778" t="inlineStr">
        <is>
          <t>SPEC</t>
        </is>
      </c>
      <c r="E9778" t="inlineStr">
        <is>
          <t>Barre de cuivre 20 x 10</t>
        </is>
      </c>
      <c r="F9778" t="inlineStr">
        <is>
          <t>Armoire batterie R&amp;D</t>
        </is>
      </c>
      <c r="J9778" t="inlineStr">
        <is>
          <t>DUBOIS</t>
        </is>
      </c>
      <c r="L9778">
        <f>_xlfn.XLOOKUP(Tableau1[[#This Row],[TYPE DE PIECE]],Tableau4[MATIERE],Tableau4[SHORT TYPE],"",0,1)</f>
        <v/>
      </c>
      <c r="N9778">
        <f>IF(ISERR(FIND("DECOUPE",Tableau1[[#This Row],[DESIGNATION]])),"","NEED REF")</f>
        <v/>
      </c>
    </row>
    <row r="9779">
      <c r="B9779" t="n">
        <v>34404226</v>
      </c>
      <c r="C9779" s="2" t="n">
        <v>41955</v>
      </c>
      <c r="D9779" t="inlineStr">
        <is>
          <t>SPEC</t>
        </is>
      </c>
      <c r="E9779" t="inlineStr">
        <is>
          <t>Platine support DJ</t>
        </is>
      </c>
      <c r="F9779" t="inlineStr">
        <is>
          <t>Armoire batterie R&amp;D</t>
        </is>
      </c>
      <c r="J9779" t="inlineStr">
        <is>
          <t>DUBOIS</t>
        </is>
      </c>
      <c r="L9779">
        <f>_xlfn.XLOOKUP(Tableau1[[#This Row],[TYPE DE PIECE]],Tableau4[MATIERE],Tableau4[SHORT TYPE],"",0,1)</f>
        <v/>
      </c>
      <c r="N9779">
        <f>IF(ISERR(FIND("DECOUPE",Tableau1[[#This Row],[DESIGNATION]])),"","NEED REF")</f>
        <v/>
      </c>
    </row>
    <row r="9780">
      <c r="B9780" t="n">
        <v>34404225</v>
      </c>
      <c r="C9780" s="2" t="n">
        <v>41955</v>
      </c>
      <c r="D9780" t="inlineStr">
        <is>
          <t>SPEC</t>
        </is>
      </c>
      <c r="E9780" t="inlineStr">
        <is>
          <t>Traverse longueur 448</t>
        </is>
      </c>
      <c r="F9780" t="inlineStr">
        <is>
          <t>Armoire batterie R&amp;D</t>
        </is>
      </c>
      <c r="J9780" t="inlineStr">
        <is>
          <t>DUBOIS</t>
        </is>
      </c>
      <c r="L9780">
        <f>_xlfn.XLOOKUP(Tableau1[[#This Row],[TYPE DE PIECE]],Tableau4[MATIERE],Tableau4[SHORT TYPE],"",0,1)</f>
        <v/>
      </c>
      <c r="N9780">
        <f>IF(ISERR(FIND("DECOUPE",Tableau1[[#This Row],[DESIGNATION]])),"","NEED REF")</f>
        <v/>
      </c>
    </row>
    <row r="9781">
      <c r="B9781" t="n">
        <v>34404224</v>
      </c>
      <c r="C9781" s="2" t="n">
        <v>41943</v>
      </c>
      <c r="D9781" t="inlineStr">
        <is>
          <t>SPEC</t>
        </is>
      </c>
      <c r="E9781" t="inlineStr">
        <is>
          <t>COPPERBAR RACCORDEMENT BAS 2</t>
        </is>
      </c>
      <c r="F9781" t="inlineStr">
        <is>
          <t>STS400 NETSHLTER</t>
        </is>
      </c>
      <c r="J9781" t="inlineStr">
        <is>
          <t>MATRION</t>
        </is>
      </c>
      <c r="K9781" t="inlineStr">
        <is>
          <t>CUIVRE</t>
        </is>
      </c>
      <c r="L9781">
        <f>_xlfn.XLOOKUP(Tableau1[[#This Row],[TYPE DE PIECE]],Tableau4[MATIERE],Tableau4[SHORT TYPE],"",0,1)</f>
        <v/>
      </c>
      <c r="N9781">
        <f>IF(ISERR(FIND("DECOUPE",Tableau1[[#This Row],[DESIGNATION]])),"","NEED REF")</f>
        <v/>
      </c>
    </row>
    <row r="9782">
      <c r="B9782" t="n">
        <v>34404223</v>
      </c>
      <c r="C9782" s="2" t="n">
        <v>41943</v>
      </c>
      <c r="D9782" t="inlineStr">
        <is>
          <t>SPEC</t>
        </is>
      </c>
      <c r="E9782" t="inlineStr">
        <is>
          <t>COPPERBAR RACCORDEMENT BAS 1</t>
        </is>
      </c>
      <c r="F9782" t="inlineStr">
        <is>
          <t>STS400 NETSHLTER</t>
        </is>
      </c>
      <c r="J9782" t="inlineStr">
        <is>
          <t>MATRION</t>
        </is>
      </c>
      <c r="K9782" t="inlineStr">
        <is>
          <t>CUIVRE</t>
        </is>
      </c>
      <c r="L9782">
        <f>_xlfn.XLOOKUP(Tableau1[[#This Row],[TYPE DE PIECE]],Tableau4[MATIERE],Tableau4[SHORT TYPE],"",0,1)</f>
        <v/>
      </c>
      <c r="N9782">
        <f>IF(ISERR(FIND("DECOUPE",Tableau1[[#This Row],[DESIGNATION]])),"","NEED REF")</f>
        <v/>
      </c>
    </row>
    <row r="9783">
      <c r="B9783" t="n">
        <v>34404222</v>
      </c>
      <c r="C9783" s="2" t="n">
        <v>41943</v>
      </c>
      <c r="D9783" t="inlineStr">
        <is>
          <t>SPEC</t>
        </is>
      </c>
      <c r="E9783" t="inlineStr">
        <is>
          <t>COPPERBAR RACC HAUT LOAD L1/L3</t>
        </is>
      </c>
      <c r="F9783" t="inlineStr">
        <is>
          <t>STS400 NETSHLTER</t>
        </is>
      </c>
      <c r="J9783" t="inlineStr">
        <is>
          <t>MATRION</t>
        </is>
      </c>
      <c r="K9783" t="inlineStr">
        <is>
          <t>CUIVRE</t>
        </is>
      </c>
      <c r="L9783">
        <f>_xlfn.XLOOKUP(Tableau1[[#This Row],[TYPE DE PIECE]],Tableau4[MATIERE],Tableau4[SHORT TYPE],"",0,1)</f>
        <v/>
      </c>
      <c r="N9783">
        <f>IF(ISERR(FIND("DECOUPE",Tableau1[[#This Row],[DESIGNATION]])),"","NEED REF")</f>
        <v/>
      </c>
    </row>
    <row r="9784">
      <c r="B9784" t="n">
        <v>34404221</v>
      </c>
      <c r="C9784" s="2" t="n">
        <v>41943</v>
      </c>
      <c r="D9784" t="inlineStr">
        <is>
          <t>SPEC</t>
        </is>
      </c>
      <c r="E9784" t="inlineStr">
        <is>
          <t>COPPERBAR RACC HAUT LOAD N/L2</t>
        </is>
      </c>
      <c r="F9784" t="inlineStr">
        <is>
          <t>STS400 NETSHLTER</t>
        </is>
      </c>
      <c r="J9784" t="inlineStr">
        <is>
          <t>MATRION</t>
        </is>
      </c>
      <c r="K9784" t="inlineStr">
        <is>
          <t>CUIVRE</t>
        </is>
      </c>
      <c r="L9784">
        <f>_xlfn.XLOOKUP(Tableau1[[#This Row],[TYPE DE PIECE]],Tableau4[MATIERE],Tableau4[SHORT TYPE],"",0,1)</f>
        <v/>
      </c>
      <c r="N9784">
        <f>IF(ISERR(FIND("DECOUPE",Tableau1[[#This Row],[DESIGNATION]])),"","NEED REF")</f>
        <v/>
      </c>
    </row>
    <row r="9785">
      <c r="B9785" t="n">
        <v>34404220</v>
      </c>
      <c r="C9785" s="2" t="n">
        <v>41943</v>
      </c>
      <c r="D9785" t="inlineStr">
        <is>
          <t>SPEC</t>
        </is>
      </c>
      <c r="E9785" t="inlineStr">
        <is>
          <t>COPPERBAR RACC HAUT S1 L3</t>
        </is>
      </c>
      <c r="F9785" t="inlineStr">
        <is>
          <t>STS400 NETSHLTER</t>
        </is>
      </c>
      <c r="J9785" t="inlineStr">
        <is>
          <t>MATRION</t>
        </is>
      </c>
      <c r="K9785" t="inlineStr">
        <is>
          <t>CUIVRE</t>
        </is>
      </c>
      <c r="L9785">
        <f>_xlfn.XLOOKUP(Tableau1[[#This Row],[TYPE DE PIECE]],Tableau4[MATIERE],Tableau4[SHORT TYPE],"",0,1)</f>
        <v/>
      </c>
      <c r="N9785">
        <f>IF(ISERR(FIND("DECOUPE",Tableau1[[#This Row],[DESIGNATION]])),"","NEED REF")</f>
        <v/>
      </c>
    </row>
    <row r="9786">
      <c r="B9786" t="n">
        <v>34404219</v>
      </c>
      <c r="C9786" s="2" t="n">
        <v>41943</v>
      </c>
      <c r="D9786" t="inlineStr">
        <is>
          <t>SPEC</t>
        </is>
      </c>
      <c r="E9786" t="inlineStr">
        <is>
          <t>COPPERBAR RACC HAUT S1 L2</t>
        </is>
      </c>
      <c r="F9786" t="inlineStr">
        <is>
          <t>STS400 NETSHLTER</t>
        </is>
      </c>
      <c r="J9786" t="inlineStr">
        <is>
          <t>MATRION</t>
        </is>
      </c>
      <c r="K9786" t="inlineStr">
        <is>
          <t>CUIVRE</t>
        </is>
      </c>
      <c r="L9786">
        <f>_xlfn.XLOOKUP(Tableau1[[#This Row],[TYPE DE PIECE]],Tableau4[MATIERE],Tableau4[SHORT TYPE],"",0,1)</f>
        <v/>
      </c>
      <c r="N9786">
        <f>IF(ISERR(FIND("DECOUPE",Tableau1[[#This Row],[DESIGNATION]])),"","NEED REF")</f>
        <v/>
      </c>
    </row>
    <row r="9787">
      <c r="B9787" t="n">
        <v>34404218</v>
      </c>
      <c r="C9787" s="2" t="n">
        <v>41943</v>
      </c>
      <c r="D9787" t="inlineStr">
        <is>
          <t>SPEC</t>
        </is>
      </c>
      <c r="E9787" t="inlineStr">
        <is>
          <t>COPPERBAR RACC HAUT S1 L1</t>
        </is>
      </c>
      <c r="F9787" t="inlineStr">
        <is>
          <t>STS400 NETSHLTER</t>
        </is>
      </c>
      <c r="J9787" t="inlineStr">
        <is>
          <t>MATRION</t>
        </is>
      </c>
      <c r="K9787" t="inlineStr">
        <is>
          <t>CUIVRE</t>
        </is>
      </c>
      <c r="L9787">
        <f>_xlfn.XLOOKUP(Tableau1[[#This Row],[TYPE DE PIECE]],Tableau4[MATIERE],Tableau4[SHORT TYPE],"",0,1)</f>
        <v/>
      </c>
      <c r="N9787">
        <f>IF(ISERR(FIND("DECOUPE",Tableau1[[#This Row],[DESIGNATION]])),"","NEED REF")</f>
        <v/>
      </c>
    </row>
    <row r="9788">
      <c r="B9788" t="n">
        <v>34404217</v>
      </c>
      <c r="C9788" s="2" t="n">
        <v>41943</v>
      </c>
      <c r="D9788" t="inlineStr">
        <is>
          <t>SPEC</t>
        </is>
      </c>
      <c r="E9788" t="inlineStr">
        <is>
          <t>COPPERBAR RACC HAUT S1 N</t>
        </is>
      </c>
      <c r="F9788" t="inlineStr">
        <is>
          <t>STS400 NETSHLTER</t>
        </is>
      </c>
      <c r="J9788" t="inlineStr">
        <is>
          <t>MATRION</t>
        </is>
      </c>
      <c r="K9788" t="inlineStr">
        <is>
          <t>CUIVRE</t>
        </is>
      </c>
      <c r="L9788">
        <f>_xlfn.XLOOKUP(Tableau1[[#This Row],[TYPE DE PIECE]],Tableau4[MATIERE],Tableau4[SHORT TYPE],"",0,1)</f>
        <v/>
      </c>
      <c r="N9788">
        <f>IF(ISERR(FIND("DECOUPE",Tableau1[[#This Row],[DESIGNATION]])),"","NEED REF")</f>
        <v/>
      </c>
    </row>
    <row r="9789">
      <c r="B9789" t="n">
        <v>34404216</v>
      </c>
      <c r="C9789" s="2" t="n">
        <v>41943</v>
      </c>
      <c r="D9789" t="inlineStr">
        <is>
          <t>SPEC</t>
        </is>
      </c>
      <c r="E9789" t="inlineStr">
        <is>
          <t>COPPERBAR BYPASS RACC HAUT S4 L3</t>
        </is>
      </c>
      <c r="F9789" t="inlineStr">
        <is>
          <t>STS400 NETSHLTER</t>
        </is>
      </c>
      <c r="J9789" t="inlineStr">
        <is>
          <t>MATRION</t>
        </is>
      </c>
      <c r="K9789" t="inlineStr">
        <is>
          <t>CUIVRE</t>
        </is>
      </c>
      <c r="L9789">
        <f>_xlfn.XLOOKUP(Tableau1[[#This Row],[TYPE DE PIECE]],Tableau4[MATIERE],Tableau4[SHORT TYPE],"",0,1)</f>
        <v/>
      </c>
      <c r="N9789">
        <f>IF(ISERR(FIND("DECOUPE",Tableau1[[#This Row],[DESIGNATION]])),"","NEED REF")</f>
        <v/>
      </c>
    </row>
    <row r="9790">
      <c r="B9790" t="n">
        <v>34404215</v>
      </c>
      <c r="C9790" s="2" t="n">
        <v>41943</v>
      </c>
      <c r="D9790" t="inlineStr">
        <is>
          <t>SPEC</t>
        </is>
      </c>
      <c r="E9790" t="inlineStr">
        <is>
          <t>COPPERBAR BYPASS RACC HAUT S3 L2</t>
        </is>
      </c>
      <c r="F9790" t="inlineStr">
        <is>
          <t>STS400 NETSHLTER</t>
        </is>
      </c>
      <c r="J9790" t="inlineStr">
        <is>
          <t>MATRION</t>
        </is>
      </c>
      <c r="K9790" t="inlineStr">
        <is>
          <t>CUIVRE</t>
        </is>
      </c>
      <c r="L9790">
        <f>_xlfn.XLOOKUP(Tableau1[[#This Row],[TYPE DE PIECE]],Tableau4[MATIERE],Tableau4[SHORT TYPE],"",0,1)</f>
        <v/>
      </c>
      <c r="N9790">
        <f>IF(ISERR(FIND("DECOUPE",Tableau1[[#This Row],[DESIGNATION]])),"","NEED REF")</f>
        <v/>
      </c>
    </row>
    <row r="9791">
      <c r="B9791" t="n">
        <v>34404214</v>
      </c>
      <c r="C9791" s="2" t="n">
        <v>41943</v>
      </c>
      <c r="D9791" t="inlineStr">
        <is>
          <t>SPEC</t>
        </is>
      </c>
      <c r="E9791" t="inlineStr">
        <is>
          <t>COPPERBAR BYPASS RACC HAUT S2 L1</t>
        </is>
      </c>
      <c r="F9791" t="inlineStr">
        <is>
          <t>STS400 NETSHLTER</t>
        </is>
      </c>
      <c r="J9791" t="inlineStr">
        <is>
          <t>MATRION</t>
        </is>
      </c>
      <c r="K9791" t="inlineStr">
        <is>
          <t>CUIVRE</t>
        </is>
      </c>
      <c r="L9791">
        <f>_xlfn.XLOOKUP(Tableau1[[#This Row],[TYPE DE PIECE]],Tableau4[MATIERE],Tableau4[SHORT TYPE],"",0,1)</f>
        <v/>
      </c>
      <c r="N9791">
        <f>IF(ISERR(FIND("DECOUPE",Tableau1[[#This Row],[DESIGNATION]])),"","NEED REF")</f>
        <v/>
      </c>
    </row>
    <row r="9792">
      <c r="B9792" t="n">
        <v>34404213</v>
      </c>
      <c r="C9792" s="2" t="n">
        <v>41943</v>
      </c>
      <c r="D9792" t="inlineStr">
        <is>
          <t>SPEC</t>
        </is>
      </c>
      <c r="E9792" t="inlineStr">
        <is>
          <t>COPPERBAR BYPASS RACC HAUT S2 N</t>
        </is>
      </c>
      <c r="F9792" t="inlineStr">
        <is>
          <t>STS400 NETSHLTER</t>
        </is>
      </c>
      <c r="J9792" t="inlineStr">
        <is>
          <t>MATRION</t>
        </is>
      </c>
      <c r="K9792" t="inlineStr">
        <is>
          <t>CUIVRE</t>
        </is>
      </c>
      <c r="L9792">
        <f>_xlfn.XLOOKUP(Tableau1[[#This Row],[TYPE DE PIECE]],Tableau4[MATIERE],Tableau4[SHORT TYPE],"",0,1)</f>
        <v/>
      </c>
      <c r="N9792">
        <f>IF(ISERR(FIND("DECOUPE",Tableau1[[#This Row],[DESIGNATION]])),"","NEED REF")</f>
        <v/>
      </c>
    </row>
    <row r="9793">
      <c r="B9793" t="n">
        <v>34404212</v>
      </c>
      <c r="C9793" s="2" t="n">
        <v>41943</v>
      </c>
      <c r="D9793" t="inlineStr">
        <is>
          <t>SPEC</t>
        </is>
      </c>
      <c r="E9793" t="inlineStr">
        <is>
          <t>COPPERBAR BYPASS RACC HAUT S1 L3</t>
        </is>
      </c>
      <c r="F9793" t="inlineStr">
        <is>
          <t>STS400 NETSHLTER</t>
        </is>
      </c>
      <c r="J9793" t="inlineStr">
        <is>
          <t>MATRION</t>
        </is>
      </c>
      <c r="K9793" t="inlineStr">
        <is>
          <t>CUIVRE</t>
        </is>
      </c>
      <c r="L9793">
        <f>_xlfn.XLOOKUP(Tableau1[[#This Row],[TYPE DE PIECE]],Tableau4[MATIERE],Tableau4[SHORT TYPE],"",0,1)</f>
        <v/>
      </c>
      <c r="N9793">
        <f>IF(ISERR(FIND("DECOUPE",Tableau1[[#This Row],[DESIGNATION]])),"","NEED REF")</f>
        <v/>
      </c>
    </row>
    <row r="9794">
      <c r="B9794" t="n">
        <v>34404211</v>
      </c>
      <c r="C9794" s="2" t="n">
        <v>41943</v>
      </c>
      <c r="D9794" t="inlineStr">
        <is>
          <t>SPEC</t>
        </is>
      </c>
      <c r="E9794" t="inlineStr">
        <is>
          <t>COPPERBAR BYPASS RACC HAUT S1 L2</t>
        </is>
      </c>
      <c r="F9794" t="inlineStr">
        <is>
          <t>STS400 NETSHLTER</t>
        </is>
      </c>
      <c r="J9794" t="inlineStr">
        <is>
          <t>MATRION</t>
        </is>
      </c>
      <c r="K9794" t="inlineStr">
        <is>
          <t>CUIVRE</t>
        </is>
      </c>
      <c r="L9794">
        <f>_xlfn.XLOOKUP(Tableau1[[#This Row],[TYPE DE PIECE]],Tableau4[MATIERE],Tableau4[SHORT TYPE],"",0,1)</f>
        <v/>
      </c>
      <c r="N9794">
        <f>IF(ISERR(FIND("DECOUPE",Tableau1[[#This Row],[DESIGNATION]])),"","NEED REF")</f>
        <v/>
      </c>
    </row>
    <row r="9795">
      <c r="B9795" t="n">
        <v>34404210</v>
      </c>
      <c r="C9795" s="2" t="n">
        <v>41943</v>
      </c>
      <c r="D9795" t="inlineStr">
        <is>
          <t>SPEC</t>
        </is>
      </c>
      <c r="E9795" t="inlineStr">
        <is>
          <t>COPPERBAR BYPASS RACC HAUT S1 L1</t>
        </is>
      </c>
      <c r="F9795" t="inlineStr">
        <is>
          <t>STS400 NETSHLTER</t>
        </is>
      </c>
      <c r="J9795" t="inlineStr">
        <is>
          <t>MATRION</t>
        </is>
      </c>
      <c r="K9795" t="inlineStr">
        <is>
          <t>CUIVRE</t>
        </is>
      </c>
      <c r="L9795">
        <f>_xlfn.XLOOKUP(Tableau1[[#This Row],[TYPE DE PIECE]],Tableau4[MATIERE],Tableau4[SHORT TYPE],"",0,1)</f>
        <v/>
      </c>
      <c r="N9795">
        <f>IF(ISERR(FIND("DECOUPE",Tableau1[[#This Row],[DESIGNATION]])),"","NEED REF")</f>
        <v/>
      </c>
    </row>
    <row r="9796">
      <c r="B9796" t="n">
        <v>34404209</v>
      </c>
      <c r="C9796" s="2" t="n">
        <v>41943</v>
      </c>
      <c r="D9796" t="inlineStr">
        <is>
          <t>SPEC</t>
        </is>
      </c>
      <c r="E9796" t="inlineStr">
        <is>
          <t>COPPERBAR BYPASS RACC HAUT S1 N</t>
        </is>
      </c>
      <c r="F9796" t="inlineStr">
        <is>
          <t>STS400 NETSHLTER</t>
        </is>
      </c>
      <c r="J9796" t="inlineStr">
        <is>
          <t>MATRION</t>
        </is>
      </c>
      <c r="K9796" t="inlineStr">
        <is>
          <t>CUIVRE</t>
        </is>
      </c>
      <c r="L9796">
        <f>_xlfn.XLOOKUP(Tableau1[[#This Row],[TYPE DE PIECE]],Tableau4[MATIERE],Tableau4[SHORT TYPE],"",0,1)</f>
        <v/>
      </c>
      <c r="N9796">
        <f>IF(ISERR(FIND("DECOUPE",Tableau1[[#This Row],[DESIGNATION]])),"","NEED REF")</f>
        <v/>
      </c>
    </row>
    <row r="9797">
      <c r="B9797" t="n">
        <v>34404208</v>
      </c>
      <c r="C9797" s="2" t="n">
        <v>41942</v>
      </c>
      <c r="D9797" t="inlineStr">
        <is>
          <t>SPEC</t>
        </is>
      </c>
      <c r="E9797" t="inlineStr">
        <is>
          <t>WIRE KIT FOR SYMM PX 96/160kW BOX</t>
        </is>
      </c>
      <c r="F9797" t="inlineStr">
        <is>
          <t>COFFRET DJ 96/160kW SYMM PX</t>
        </is>
      </c>
      <c r="J9797" t="inlineStr">
        <is>
          <t>MATRION</t>
        </is>
      </c>
      <c r="K9797" t="inlineStr">
        <is>
          <t>FILERIE</t>
        </is>
      </c>
      <c r="L9797">
        <f>_xlfn.XLOOKUP(Tableau1[[#This Row],[TYPE DE PIECE]],Tableau4[MATIERE],Tableau4[SHORT TYPE],"",0,1)</f>
        <v/>
      </c>
      <c r="N9797">
        <f>IF(ISERR(FIND("DECOUPE",Tableau1[[#This Row],[DESIGNATION]])),"","NEED REF")</f>
        <v/>
      </c>
    </row>
    <row r="9798">
      <c r="B9798" t="n">
        <v>34404207</v>
      </c>
      <c r="C9798" s="2" t="n">
        <v>41936</v>
      </c>
      <c r="D9798" t="inlineStr">
        <is>
          <t>SPEC</t>
        </is>
      </c>
      <c r="E9798" t="inlineStr">
        <is>
          <t>PROTECTION SHIELD</t>
        </is>
      </c>
      <c r="F9798" t="inlineStr">
        <is>
          <t>COFFRET DJ 96/160kW SYMM PX</t>
        </is>
      </c>
      <c r="J9798" t="inlineStr">
        <is>
          <t>MATRION</t>
        </is>
      </c>
      <c r="K9798" t="inlineStr">
        <is>
          <t>PLASTIQUE</t>
        </is>
      </c>
      <c r="L9798">
        <f>_xlfn.XLOOKUP(Tableau1[[#This Row],[TYPE DE PIECE]],Tableau4[MATIERE],Tableau4[SHORT TYPE],"",0,1)</f>
        <v/>
      </c>
      <c r="N9798">
        <f>IF(ISERR(FIND("DECOUPE",Tableau1[[#This Row],[DESIGNATION]])),"","NEED REF")</f>
        <v/>
      </c>
    </row>
    <row r="9799">
      <c r="B9799" t="n">
        <v>34404206</v>
      </c>
      <c r="C9799" s="2" t="n">
        <v>41936</v>
      </c>
      <c r="D9799" t="inlineStr">
        <is>
          <t>SPEC</t>
        </is>
      </c>
      <c r="E9799" t="inlineStr">
        <is>
          <t>LG IP42 MEDIA FILTRANT G7000</t>
        </is>
      </c>
      <c r="F9799" t="inlineStr">
        <is>
          <t>G7000</t>
        </is>
      </c>
      <c r="J9799" t="inlineStr">
        <is>
          <t>ROBERT</t>
        </is>
      </c>
      <c r="L9799">
        <f>_xlfn.XLOOKUP(Tableau1[[#This Row],[TYPE DE PIECE]],Tableau4[MATIERE],Tableau4[SHORT TYPE],"",0,1)</f>
        <v/>
      </c>
      <c r="N9799">
        <f>IF(ISERR(FIND("DECOUPE",Tableau1[[#This Row],[DESIGNATION]])),"","NEED REF")</f>
        <v/>
      </c>
    </row>
    <row r="9800">
      <c r="B9800" t="n">
        <v>34404205</v>
      </c>
      <c r="C9800" s="2" t="n">
        <v>41936</v>
      </c>
      <c r="D9800" t="inlineStr">
        <is>
          <t>SPEC</t>
        </is>
      </c>
      <c r="E9800" t="inlineStr">
        <is>
          <t>LG IP42 MEDIA FILTRANT G5500</t>
        </is>
      </c>
      <c r="F9800" t="inlineStr">
        <is>
          <t>G5500</t>
        </is>
      </c>
      <c r="J9800" t="inlineStr">
        <is>
          <t>ROBERT</t>
        </is>
      </c>
      <c r="L9800">
        <f>_xlfn.XLOOKUP(Tableau1[[#This Row],[TYPE DE PIECE]],Tableau4[MATIERE],Tableau4[SHORT TYPE],"",0,1)</f>
        <v/>
      </c>
      <c r="N9800">
        <f>IF(ISERR(FIND("DECOUPE",Tableau1[[#This Row],[DESIGNATION]])),"","NEED REF")</f>
        <v/>
      </c>
    </row>
    <row r="9801">
      <c r="B9801" t="n">
        <v>34404204</v>
      </c>
      <c r="C9801" s="2" t="n">
        <v>40956</v>
      </c>
      <c r="D9801" t="inlineStr">
        <is>
          <t>SPEC</t>
        </is>
      </c>
      <c r="E9801" t="inlineStr">
        <is>
          <t>SUPPORT BYPASS LATERAL2 NU</t>
        </is>
      </c>
      <c r="J9801" t="inlineStr">
        <is>
          <t>MATRION</t>
        </is>
      </c>
      <c r="L9801">
        <f>_xlfn.XLOOKUP(Tableau1[[#This Row],[TYPE DE PIECE]],Tableau4[MATIERE],Tableau4[SHORT TYPE],"",0,1)</f>
        <v/>
      </c>
      <c r="N9801">
        <f>IF(ISERR(FIND("DECOUPE",Tableau1[[#This Row],[DESIGNATION]])),"","NEED REF")</f>
        <v/>
      </c>
    </row>
    <row r="9802">
      <c r="B9802" t="n">
        <v>34404204</v>
      </c>
      <c r="C9802" s="2" t="n">
        <v>41935</v>
      </c>
      <c r="D9802" t="inlineStr">
        <is>
          <t>SPEC</t>
        </is>
      </c>
      <c r="E9802" t="inlineStr">
        <is>
          <t>CUBICLE NSYS3D8625P FOR BAT CIRCUIT BREAKER</t>
        </is>
      </c>
      <c r="F9802" t="inlineStr">
        <is>
          <t>COFFRET DJ 96/160kW SYMM PX</t>
        </is>
      </c>
      <c r="J9802" t="inlineStr">
        <is>
          <t>MATRION</t>
        </is>
      </c>
      <c r="K9802" t="inlineStr">
        <is>
          <t>SAREL</t>
        </is>
      </c>
      <c r="L9802">
        <f>_xlfn.XLOOKUP(Tableau1[[#This Row],[TYPE DE PIECE]],Tableau4[MATIERE],Tableau4[SHORT TYPE],"",0,1)</f>
        <v/>
      </c>
      <c r="N9802">
        <f>IF(ISERR(FIND("DECOUPE",Tableau1[[#This Row],[DESIGNATION]])),"","NEED REF")</f>
        <v/>
      </c>
    </row>
    <row r="9803">
      <c r="B9803" t="n">
        <v>34404203</v>
      </c>
      <c r="C9803" s="2" t="n">
        <v>41935</v>
      </c>
      <c r="D9803" t="inlineStr">
        <is>
          <t>SPEC</t>
        </is>
      </c>
      <c r="E9803" t="inlineStr">
        <is>
          <t>B+ UPS COPPER BAR</t>
        </is>
      </c>
      <c r="F9803" t="inlineStr">
        <is>
          <t>COFFRET DJ 96/160kW SYMM PX</t>
        </is>
      </c>
      <c r="J9803" t="inlineStr">
        <is>
          <t>MATRION</t>
        </is>
      </c>
      <c r="K9803" t="inlineStr">
        <is>
          <t>CUIVRE</t>
        </is>
      </c>
      <c r="L9803">
        <f>_xlfn.XLOOKUP(Tableau1[[#This Row],[TYPE DE PIECE]],Tableau4[MATIERE],Tableau4[SHORT TYPE],"",0,1)</f>
        <v/>
      </c>
      <c r="N9803">
        <f>IF(ISERR(FIND("DECOUPE",Tableau1[[#This Row],[DESIGNATION]])),"","NEED REF")</f>
        <v/>
      </c>
    </row>
    <row r="9804">
      <c r="B9804" t="n">
        <v>34404202</v>
      </c>
      <c r="C9804" s="2" t="n">
        <v>41935</v>
      </c>
      <c r="D9804" t="inlineStr">
        <is>
          <t>SPEC</t>
        </is>
      </c>
      <c r="E9804" t="inlineStr">
        <is>
          <t>CT UPS COPPER BAR</t>
        </is>
      </c>
      <c r="F9804" t="inlineStr">
        <is>
          <t>COFFRET DJ 96/160kW SYMM PX</t>
        </is>
      </c>
      <c r="J9804" t="inlineStr">
        <is>
          <t>MATRION</t>
        </is>
      </c>
      <c r="K9804" t="inlineStr">
        <is>
          <t>CUIVRE</t>
        </is>
      </c>
      <c r="L9804">
        <f>_xlfn.XLOOKUP(Tableau1[[#This Row],[TYPE DE PIECE]],Tableau4[MATIERE],Tableau4[SHORT TYPE],"",0,1)</f>
        <v/>
      </c>
      <c r="N9804">
        <f>IF(ISERR(FIND("DECOUPE",Tableau1[[#This Row],[DESIGNATION]])),"","NEED REF")</f>
        <v/>
      </c>
    </row>
    <row r="9805">
      <c r="B9805" t="n">
        <v>34404201</v>
      </c>
      <c r="C9805" s="2" t="n">
        <v>41935</v>
      </c>
      <c r="D9805" t="inlineStr">
        <is>
          <t>SPEC</t>
        </is>
      </c>
      <c r="E9805" t="inlineStr">
        <is>
          <t>B- UPS COPPER BAR</t>
        </is>
      </c>
      <c r="F9805" t="inlineStr">
        <is>
          <t>COFFRET DJ 96/160kW SYMM PX</t>
        </is>
      </c>
      <c r="J9805" t="inlineStr">
        <is>
          <t>MATRION</t>
        </is>
      </c>
      <c r="K9805" t="inlineStr">
        <is>
          <t>CUIVRE</t>
        </is>
      </c>
      <c r="L9805">
        <f>_xlfn.XLOOKUP(Tableau1[[#This Row],[TYPE DE PIECE]],Tableau4[MATIERE],Tableau4[SHORT TYPE],"",0,1)</f>
        <v/>
      </c>
      <c r="N9805">
        <f>IF(ISERR(FIND("DECOUPE",Tableau1[[#This Row],[DESIGNATION]])),"","NEED REF")</f>
        <v/>
      </c>
    </row>
    <row r="9806">
      <c r="B9806" t="n">
        <v>34404200</v>
      </c>
      <c r="C9806" s="2" t="n">
        <v>41935</v>
      </c>
      <c r="D9806" t="inlineStr">
        <is>
          <t>SPEC</t>
        </is>
      </c>
      <c r="E9806" t="inlineStr">
        <is>
          <t>PLATINE</t>
        </is>
      </c>
      <c r="F9806" t="inlineStr">
        <is>
          <t>COFFRET DJ 96/160kW SYMM PX</t>
        </is>
      </c>
      <c r="J9806" t="inlineStr">
        <is>
          <t>MATRION</t>
        </is>
      </c>
      <c r="L9806">
        <f>_xlfn.XLOOKUP(Tableau1[[#This Row],[TYPE DE PIECE]],Tableau4[MATIERE],Tableau4[SHORT TYPE],"",0,1)</f>
        <v/>
      </c>
      <c r="N9806">
        <f>IF(ISERR(FIND("DECOUPE",Tableau1[[#This Row],[DESIGNATION]])),"","NEED REF")</f>
        <v/>
      </c>
    </row>
    <row r="9807">
      <c r="B9807" t="n">
        <v>34404199</v>
      </c>
      <c r="C9807" s="2" t="n">
        <v>41935</v>
      </c>
      <c r="D9807" t="inlineStr">
        <is>
          <t>SPEC</t>
        </is>
      </c>
      <c r="E9807" t="inlineStr">
        <is>
          <t>CT COPPER BAR JUNCTION 2</t>
        </is>
      </c>
      <c r="F9807" t="inlineStr">
        <is>
          <t>COFFRET DJ 96/160kW SYMM PX</t>
        </is>
      </c>
      <c r="J9807" t="inlineStr">
        <is>
          <t>MATRION</t>
        </is>
      </c>
      <c r="K9807" t="inlineStr">
        <is>
          <t>CUIVRE</t>
        </is>
      </c>
      <c r="L9807">
        <f>_xlfn.XLOOKUP(Tableau1[[#This Row],[TYPE DE PIECE]],Tableau4[MATIERE],Tableau4[SHORT TYPE],"",0,1)</f>
        <v/>
      </c>
      <c r="N9807">
        <f>IF(ISERR(FIND("DECOUPE",Tableau1[[#This Row],[DESIGNATION]])),"","NEED REF")</f>
        <v/>
      </c>
    </row>
    <row r="9808">
      <c r="B9808" t="n">
        <v>34404198</v>
      </c>
      <c r="C9808" s="2" t="n">
        <v>41935</v>
      </c>
      <c r="D9808" t="inlineStr">
        <is>
          <t>SPEC</t>
        </is>
      </c>
      <c r="E9808" t="inlineStr">
        <is>
          <t>B- COPPER BAR JUNCTION</t>
        </is>
      </c>
      <c r="F9808" t="inlineStr">
        <is>
          <t>COFFRET DJ 96/160kW SYMM PX</t>
        </is>
      </c>
      <c r="J9808" t="inlineStr">
        <is>
          <t>MATRION</t>
        </is>
      </c>
      <c r="K9808" t="inlineStr">
        <is>
          <t>CUIVRE</t>
        </is>
      </c>
      <c r="L9808">
        <f>_xlfn.XLOOKUP(Tableau1[[#This Row],[TYPE DE PIECE]],Tableau4[MATIERE],Tableau4[SHORT TYPE],"",0,1)</f>
        <v/>
      </c>
      <c r="N9808">
        <f>IF(ISERR(FIND("DECOUPE",Tableau1[[#This Row],[DESIGNATION]])),"","NEED REF")</f>
        <v/>
      </c>
    </row>
    <row r="9809">
      <c r="B9809" t="n">
        <v>34404197</v>
      </c>
      <c r="C9809" s="2" t="n">
        <v>41935</v>
      </c>
      <c r="D9809" t="inlineStr">
        <is>
          <t>SPEC</t>
        </is>
      </c>
      <c r="E9809" t="inlineStr">
        <is>
          <t>CT COPPER BAR JUNCTION</t>
        </is>
      </c>
      <c r="F9809" t="inlineStr">
        <is>
          <t>COFFRET DJ 96/160kW SYMM PX</t>
        </is>
      </c>
      <c r="J9809" t="inlineStr">
        <is>
          <t>MATRION</t>
        </is>
      </c>
      <c r="K9809" t="inlineStr">
        <is>
          <t>CUIVRE</t>
        </is>
      </c>
      <c r="L9809">
        <f>_xlfn.XLOOKUP(Tableau1[[#This Row],[TYPE DE PIECE]],Tableau4[MATIERE],Tableau4[SHORT TYPE],"",0,1)</f>
        <v/>
      </c>
      <c r="N9809">
        <f>IF(ISERR(FIND("DECOUPE",Tableau1[[#This Row],[DESIGNATION]])),"","NEED REF")</f>
        <v/>
      </c>
    </row>
    <row r="9810">
      <c r="B9810" t="n">
        <v>34404196</v>
      </c>
      <c r="C9810" s="2" t="n">
        <v>41935</v>
      </c>
      <c r="D9810" t="inlineStr">
        <is>
          <t>SPEC</t>
        </is>
      </c>
      <c r="E9810" t="inlineStr">
        <is>
          <t>B+ COPPER BAR JUNCTION</t>
        </is>
      </c>
      <c r="F9810" t="inlineStr">
        <is>
          <t>COFFRET DJ 96/160kW SYMM PX</t>
        </is>
      </c>
      <c r="J9810" t="inlineStr">
        <is>
          <t>MATRION</t>
        </is>
      </c>
      <c r="K9810" t="inlineStr">
        <is>
          <t>CUIVRE</t>
        </is>
      </c>
      <c r="L9810">
        <f>_xlfn.XLOOKUP(Tableau1[[#This Row],[TYPE DE PIECE]],Tableau4[MATIERE],Tableau4[SHORT TYPE],"",0,1)</f>
        <v/>
      </c>
      <c r="N9810">
        <f>IF(ISERR(FIND("DECOUPE",Tableau1[[#This Row],[DESIGNATION]])),"","NEED REF")</f>
        <v/>
      </c>
    </row>
    <row r="9811">
      <c r="B9811" t="n">
        <v>34404195</v>
      </c>
      <c r="C9811" s="2" t="n">
        <v>41935</v>
      </c>
      <c r="D9811" t="inlineStr">
        <is>
          <t>SPEC</t>
        </is>
      </c>
      <c r="E9811" t="inlineStr">
        <is>
          <t>BAT COPPER BAR CONNEXION</t>
        </is>
      </c>
      <c r="F9811" t="inlineStr">
        <is>
          <t>COFFRET DJ 96/160kW SYMM PX</t>
        </is>
      </c>
      <c r="J9811" t="inlineStr">
        <is>
          <t>MATRION</t>
        </is>
      </c>
      <c r="K9811" t="inlineStr">
        <is>
          <t>CUIVRE</t>
        </is>
      </c>
      <c r="L9811">
        <f>_xlfn.XLOOKUP(Tableau1[[#This Row],[TYPE DE PIECE]],Tableau4[MATIERE],Tableau4[SHORT TYPE],"",0,1)</f>
        <v/>
      </c>
      <c r="N9811">
        <f>IF(ISERR(FIND("DECOUPE",Tableau1[[#This Row],[DESIGNATION]])),"","NEED REF")</f>
        <v/>
      </c>
    </row>
    <row r="9812">
      <c r="B9812" t="n">
        <v>34404194</v>
      </c>
      <c r="C9812" s="2" t="n">
        <v>41932</v>
      </c>
      <c r="D9812" t="inlineStr">
        <is>
          <t>SPEC</t>
        </is>
      </c>
      <c r="E9812" t="inlineStr">
        <is>
          <t>TUNNEL AIR ARRIERE G300</t>
        </is>
      </c>
      <c r="F9812" t="inlineStr">
        <is>
          <t xml:space="preserve">G300 </t>
        </is>
      </c>
      <c r="J9812" t="inlineStr">
        <is>
          <t>MATRION</t>
        </is>
      </c>
      <c r="K9812" t="inlineStr">
        <is>
          <t>METAL</t>
        </is>
      </c>
      <c r="L9812">
        <f>_xlfn.XLOOKUP(Tableau1[[#This Row],[TYPE DE PIECE]],Tableau4[MATIERE],Tableau4[SHORT TYPE],"",0,1)</f>
        <v/>
      </c>
      <c r="N9812">
        <f>IF(ISERR(FIND("DECOUPE",Tableau1[[#This Row],[DESIGNATION]])),"","NEED REF")</f>
        <v/>
      </c>
    </row>
    <row r="9813">
      <c r="B9813" t="n">
        <v>34404193</v>
      </c>
      <c r="C9813" s="2" t="n">
        <v>41925</v>
      </c>
      <c r="D9813" t="inlineStr">
        <is>
          <t>SPEC</t>
        </is>
      </c>
      <c r="E9813" t="inlineStr">
        <is>
          <t>BLOCAGEFILTRE Epr 16mm</t>
        </is>
      </c>
      <c r="F9813" t="inlineStr">
        <is>
          <t>G7000</t>
        </is>
      </c>
      <c r="J9813" t="inlineStr">
        <is>
          <t>ROBERT</t>
        </is>
      </c>
      <c r="L9813">
        <f>_xlfn.XLOOKUP(Tableau1[[#This Row],[TYPE DE PIECE]],Tableau4[MATIERE],Tableau4[SHORT TYPE],"",0,1)</f>
        <v/>
      </c>
      <c r="N9813">
        <f>IF(ISERR(FIND("DECOUPE",Tableau1[[#This Row],[DESIGNATION]])),"","NEED REF")</f>
        <v/>
      </c>
    </row>
    <row r="9814">
      <c r="B9814" t="n">
        <v>34404192</v>
      </c>
      <c r="C9814" s="2" t="n">
        <v>41925</v>
      </c>
      <c r="D9814" t="inlineStr">
        <is>
          <t>SPEC</t>
        </is>
      </c>
      <c r="E9814" t="inlineStr">
        <is>
          <t>BLOCAGE FILTRE Epr 16mm</t>
        </is>
      </c>
      <c r="F9814" t="inlineStr">
        <is>
          <t>G5000/G7000</t>
        </is>
      </c>
      <c r="J9814" t="inlineStr">
        <is>
          <t>ROBERT</t>
        </is>
      </c>
      <c r="L9814">
        <f>_xlfn.XLOOKUP(Tableau1[[#This Row],[TYPE DE PIECE]],Tableau4[MATIERE],Tableau4[SHORT TYPE],"",0,1)</f>
        <v/>
      </c>
      <c r="N9814">
        <f>IF(ISERR(FIND("DECOUPE",Tableau1[[#This Row],[DESIGNATION]])),"","NEED REF")</f>
        <v/>
      </c>
    </row>
    <row r="9815">
      <c r="B9815" t="n">
        <v>34404191</v>
      </c>
      <c r="C9815" s="2" t="n">
        <v>41921</v>
      </c>
      <c r="D9815" t="inlineStr">
        <is>
          <t>SPEC</t>
        </is>
      </c>
      <c r="E9815" t="inlineStr">
        <is>
          <t>SUPPORT BYPASS DROIT</t>
        </is>
      </c>
      <c r="F9815" t="inlineStr">
        <is>
          <t>STS 400A PLAT</t>
        </is>
      </c>
      <c r="J9815" t="inlineStr">
        <is>
          <t>MATRION</t>
        </is>
      </c>
      <c r="K9815" t="inlineStr">
        <is>
          <t>METAL</t>
        </is>
      </c>
      <c r="L9815">
        <f>_xlfn.XLOOKUP(Tableau1[[#This Row],[TYPE DE PIECE]],Tableau4[MATIERE],Tableau4[SHORT TYPE],"",0,1)</f>
        <v/>
      </c>
      <c r="N9815">
        <f>IF(ISERR(FIND("DECOUPE",Tableau1[[#This Row],[DESIGNATION]])),"","NEED REF")</f>
        <v/>
      </c>
    </row>
    <row r="9816">
      <c r="B9816" t="n">
        <v>34404190</v>
      </c>
      <c r="C9816" s="2" t="n">
        <v>41921</v>
      </c>
      <c r="D9816" t="inlineStr">
        <is>
          <t>SPEC</t>
        </is>
      </c>
      <c r="E9816" t="inlineStr">
        <is>
          <t>SUPPORT BYPASS GAUCHE</t>
        </is>
      </c>
      <c r="F9816" t="inlineStr">
        <is>
          <t>STS 400A PLAT</t>
        </is>
      </c>
      <c r="J9816" t="inlineStr">
        <is>
          <t>MATRION</t>
        </is>
      </c>
      <c r="K9816" t="inlineStr">
        <is>
          <t>METAL</t>
        </is>
      </c>
      <c r="L9816">
        <f>_xlfn.XLOOKUP(Tableau1[[#This Row],[TYPE DE PIECE]],Tableau4[MATIERE],Tableau4[SHORT TYPE],"",0,1)</f>
        <v/>
      </c>
      <c r="N9816">
        <f>IF(ISERR(FIND("DECOUPE",Tableau1[[#This Row],[DESIGNATION]])),"","NEED REF")</f>
        <v/>
      </c>
    </row>
    <row r="9817">
      <c r="B9817" t="n">
        <v>34404189</v>
      </c>
      <c r="C9817" s="2" t="n">
        <v>41921</v>
      </c>
      <c r="D9817" t="inlineStr">
        <is>
          <t>SPEC</t>
        </is>
      </c>
      <c r="E9817" t="inlineStr">
        <is>
          <t>Kit câble puissance liaison UPS G300/Armoire Batt G5K</t>
        </is>
      </c>
      <c r="F9817" t="inlineStr">
        <is>
          <t>G300</t>
        </is>
      </c>
      <c r="J9817" t="inlineStr">
        <is>
          <t>MONGELLI</t>
        </is>
      </c>
      <c r="K9817" t="inlineStr">
        <is>
          <t>CUIVRE</t>
        </is>
      </c>
      <c r="L9817">
        <f>_xlfn.XLOOKUP(Tableau1[[#This Row],[TYPE DE PIECE]],Tableau4[MATIERE],Tableau4[SHORT TYPE],"",0,1)</f>
        <v/>
      </c>
      <c r="N9817">
        <f>IF(ISERR(FIND("DECOUPE",Tableau1[[#This Row],[DESIGNATION]])),"","NEED REF")</f>
        <v/>
      </c>
    </row>
    <row r="9818">
      <c r="B9818" t="n">
        <v>34404188</v>
      </c>
      <c r="C9818" s="2" t="n"/>
      <c r="D9818" t="inlineStr">
        <is>
          <t>SPEC</t>
        </is>
      </c>
      <c r="E9818" t="inlineStr">
        <is>
          <t>EQUERRE Q1 PH1</t>
        </is>
      </c>
      <c r="F9818" t="inlineStr">
        <is>
          <t>STS 400A PLAT</t>
        </is>
      </c>
      <c r="J9818" t="inlineStr">
        <is>
          <t>MATRION</t>
        </is>
      </c>
      <c r="K9818" t="inlineStr">
        <is>
          <t>CUIVRE</t>
        </is>
      </c>
      <c r="L9818">
        <f>_xlfn.XLOOKUP(Tableau1[[#This Row],[TYPE DE PIECE]],Tableau4[MATIERE],Tableau4[SHORT TYPE],"",0,1)</f>
        <v/>
      </c>
      <c r="N9818">
        <f>IF(ISERR(FIND("DECOUPE",Tableau1[[#This Row],[DESIGNATION]])),"","NEED REF")</f>
        <v/>
      </c>
    </row>
    <row r="9819">
      <c r="B9819" t="n">
        <v>34404187</v>
      </c>
      <c r="C9819" s="2" t="n"/>
      <c r="D9819" t="inlineStr">
        <is>
          <t>SPEC</t>
        </is>
      </c>
      <c r="E9819" t="inlineStr">
        <is>
          <t>SUPPORT CUIVRE RACCORDEMENT HAUT 2</t>
        </is>
      </c>
      <c r="F9819" t="inlineStr">
        <is>
          <t>STS400 NETSHLTER</t>
        </is>
      </c>
      <c r="J9819" t="inlineStr">
        <is>
          <t>MATRION</t>
        </is>
      </c>
      <c r="K9819" t="inlineStr">
        <is>
          <t>METAL</t>
        </is>
      </c>
      <c r="L9819">
        <f>_xlfn.XLOOKUP(Tableau1[[#This Row],[TYPE DE PIECE]],Tableau4[MATIERE],Tableau4[SHORT TYPE],"",0,1)</f>
        <v/>
      </c>
      <c r="N9819">
        <f>IF(ISERR(FIND("DECOUPE",Tableau1[[#This Row],[DESIGNATION]])),"","NEED REF")</f>
        <v/>
      </c>
    </row>
    <row r="9820">
      <c r="B9820" t="n">
        <v>34404186</v>
      </c>
      <c r="C9820" s="2" t="n"/>
      <c r="D9820" t="inlineStr">
        <is>
          <t>SPEC</t>
        </is>
      </c>
      <c r="E9820" t="inlineStr">
        <is>
          <t>SUPPORT CUIVRE RACCORDEMENT HAUT 1</t>
        </is>
      </c>
      <c r="F9820" t="inlineStr">
        <is>
          <t>STS400 NETSHLTER</t>
        </is>
      </c>
      <c r="J9820" t="inlineStr">
        <is>
          <t>MATRION</t>
        </is>
      </c>
      <c r="K9820" t="inlineStr">
        <is>
          <t>METAL</t>
        </is>
      </c>
      <c r="L9820">
        <f>_xlfn.XLOOKUP(Tableau1[[#This Row],[TYPE DE PIECE]],Tableau4[MATIERE],Tableau4[SHORT TYPE],"",0,1)</f>
        <v/>
      </c>
      <c r="N9820">
        <f>IF(ISERR(FIND("DECOUPE",Tableau1[[#This Row],[DESIGNATION]])),"","NEED REF")</f>
        <v/>
      </c>
    </row>
    <row r="9821">
      <c r="B9821" t="n">
        <v>34404185</v>
      </c>
      <c r="C9821" s="2" t="n"/>
      <c r="D9821" t="inlineStr">
        <is>
          <t>SPEC</t>
        </is>
      </c>
      <c r="E9821" t="inlineStr">
        <is>
          <t>COPPERBAR LOAD</t>
        </is>
      </c>
      <c r="F9821" t="inlineStr">
        <is>
          <t>STS400 NETSHLTER</t>
        </is>
      </c>
      <c r="J9821" t="inlineStr">
        <is>
          <t>MATRION</t>
        </is>
      </c>
      <c r="K9821" t="inlineStr">
        <is>
          <t>CUIVRE</t>
        </is>
      </c>
      <c r="L9821">
        <f>_xlfn.XLOOKUP(Tableau1[[#This Row],[TYPE DE PIECE]],Tableau4[MATIERE],Tableau4[SHORT TYPE],"",0,1)</f>
        <v/>
      </c>
      <c r="N9821">
        <f>IF(ISERR(FIND("DECOUPE",Tableau1[[#This Row],[DESIGNATION]])),"","NEED REF")</f>
        <v/>
      </c>
    </row>
    <row r="9822">
      <c r="B9822" t="n">
        <v>34404184</v>
      </c>
      <c r="C9822" s="2" t="n"/>
      <c r="D9822" t="inlineStr">
        <is>
          <t>SPEC</t>
        </is>
      </c>
      <c r="E9822" t="inlineStr">
        <is>
          <t>COPPERBAR S1/S2</t>
        </is>
      </c>
      <c r="F9822" t="inlineStr">
        <is>
          <t>STS400 NETSHLTER</t>
        </is>
      </c>
      <c r="J9822" t="inlineStr">
        <is>
          <t>MATRION</t>
        </is>
      </c>
      <c r="K9822" t="inlineStr">
        <is>
          <t>CUIVRE</t>
        </is>
      </c>
      <c r="L9822">
        <f>_xlfn.XLOOKUP(Tableau1[[#This Row],[TYPE DE PIECE]],Tableau4[MATIERE],Tableau4[SHORT TYPE],"",0,1)</f>
        <v/>
      </c>
      <c r="N9822">
        <f>IF(ISERR(FIND("DECOUPE",Tableau1[[#This Row],[DESIGNATION]])),"","NEED REF")</f>
        <v/>
      </c>
    </row>
    <row r="9823">
      <c r="B9823" t="n">
        <v>34404183</v>
      </c>
      <c r="C9823" s="2" t="n"/>
      <c r="D9823" t="inlineStr">
        <is>
          <t>NOM</t>
        </is>
      </c>
      <c r="E9823" t="inlineStr">
        <is>
          <t>LG PLATINE BYPASS STS400 NETSHELTER</t>
        </is>
      </c>
      <c r="F9823" t="inlineStr">
        <is>
          <t>STS400 NETSHLTER</t>
        </is>
      </c>
      <c r="J9823" t="inlineStr">
        <is>
          <t>MATRION</t>
        </is>
      </c>
      <c r="L9823">
        <f>_xlfn.XLOOKUP(Tableau1[[#This Row],[TYPE DE PIECE]],Tableau4[MATIERE],Tableau4[SHORT TYPE],"",0,1)</f>
        <v/>
      </c>
      <c r="N9823">
        <f>IF(ISERR(FIND("DECOUPE",Tableau1[[#This Row],[DESIGNATION]])),"","NEED REF")</f>
        <v/>
      </c>
    </row>
    <row r="9824">
      <c r="B9824" t="n">
        <v>34404182</v>
      </c>
      <c r="C9824" s="2" t="n"/>
      <c r="D9824" t="inlineStr">
        <is>
          <t>SPEC</t>
        </is>
      </c>
      <c r="E9824" t="inlineStr">
        <is>
          <t>CHEMIN DE CABLE FILAIRE</t>
        </is>
      </c>
      <c r="F9824" t="inlineStr">
        <is>
          <t>STS400 NETSHLTER</t>
        </is>
      </c>
      <c r="J9824" t="inlineStr">
        <is>
          <t>MATRION</t>
        </is>
      </c>
      <c r="K9824" t="inlineStr">
        <is>
          <t>DOCUMENTAIRE</t>
        </is>
      </c>
      <c r="L9824">
        <f>_xlfn.XLOOKUP(Tableau1[[#This Row],[TYPE DE PIECE]],Tableau4[MATIERE],Tableau4[SHORT TYPE],"",0,1)</f>
        <v/>
      </c>
      <c r="N9824">
        <f>IF(ISERR(FIND("DECOUPE",Tableau1[[#This Row],[DESIGNATION]])),"","NEED REF")</f>
        <v/>
      </c>
    </row>
    <row r="9825">
      <c r="B9825" t="n">
        <v>34404181</v>
      </c>
      <c r="C9825" s="2" t="n">
        <v>41915</v>
      </c>
      <c r="D9825" t="inlineStr">
        <is>
          <t>SPEC</t>
        </is>
      </c>
      <c r="E9825" t="inlineStr">
        <is>
          <t>PLASTIC PC CB COVER M-STAR REV04</t>
        </is>
      </c>
      <c r="F9825" t="inlineStr">
        <is>
          <t>AES</t>
        </is>
      </c>
      <c r="J9825" t="inlineStr">
        <is>
          <t>PLANTIER</t>
        </is>
      </c>
      <c r="K9825" t="inlineStr">
        <is>
          <t>PLASTIQUE</t>
        </is>
      </c>
      <c r="L9825">
        <f>_xlfn.XLOOKUP(Tableau1[[#This Row],[TYPE DE PIECE]],Tableau4[MATIERE],Tableau4[SHORT TYPE],"",0,1)</f>
        <v/>
      </c>
      <c r="N9825">
        <f>IF(ISERR(FIND("DECOUPE",Tableau1[[#This Row],[DESIGNATION]])),"","NEED REF")</f>
        <v/>
      </c>
    </row>
    <row r="9826">
      <c r="B9826" t="n">
        <v>34404180</v>
      </c>
      <c r="C9826" s="2" t="n">
        <v>41914</v>
      </c>
      <c r="D9826" t="inlineStr">
        <is>
          <t>SPEC</t>
        </is>
      </c>
      <c r="E9826" t="inlineStr">
        <is>
          <t>TIGE FILTE 145MM M8</t>
        </is>
      </c>
      <c r="F9826" t="inlineStr">
        <is>
          <t>STS400 FLAT</t>
        </is>
      </c>
      <c r="J9826" t="inlineStr">
        <is>
          <t>MATRION</t>
        </is>
      </c>
      <c r="K9826" t="inlineStr">
        <is>
          <t>METAL</t>
        </is>
      </c>
      <c r="L9826">
        <f>_xlfn.XLOOKUP(Tableau1[[#This Row],[TYPE DE PIECE]],Tableau4[MATIERE],Tableau4[SHORT TYPE],"",0,1)</f>
        <v/>
      </c>
      <c r="N9826">
        <f>IF(ISERR(FIND("DECOUPE",Tableau1[[#This Row],[DESIGNATION]])),"","NEED REF")</f>
        <v/>
      </c>
    </row>
    <row r="9827">
      <c r="B9827" t="n">
        <v>34404179</v>
      </c>
      <c r="C9827" s="2" t="n">
        <v>41914</v>
      </c>
      <c r="D9827" t="inlineStr">
        <is>
          <t>SPEC</t>
        </is>
      </c>
      <c r="E9827" t="inlineStr">
        <is>
          <t>TIGE FILTE 120MM M6</t>
        </is>
      </c>
      <c r="F9827" t="inlineStr">
        <is>
          <t>STS400 FLAT</t>
        </is>
      </c>
      <c r="J9827" t="inlineStr">
        <is>
          <t>MATRION</t>
        </is>
      </c>
      <c r="K9827" t="inlineStr">
        <is>
          <t>METAL</t>
        </is>
      </c>
      <c r="L9827">
        <f>_xlfn.XLOOKUP(Tableau1[[#This Row],[TYPE DE PIECE]],Tableau4[MATIERE],Tableau4[SHORT TYPE],"",0,1)</f>
        <v/>
      </c>
      <c r="N9827">
        <f>IF(ISERR(FIND("DECOUPE",Tableau1[[#This Row],[DESIGNATION]])),"","NEED REF")</f>
        <v/>
      </c>
    </row>
    <row r="9828">
      <c r="B9828" t="n">
        <v>34404178</v>
      </c>
      <c r="C9828" s="2" t="n"/>
      <c r="D9828" t="inlineStr">
        <is>
          <t>SPEC</t>
        </is>
      </c>
      <c r="E9828" t="inlineStr">
        <is>
          <t>FLEXIBAR MAINS2 TOP CONNEXION L3 REVERSED</t>
        </is>
      </c>
      <c r="F9828" t="inlineStr">
        <is>
          <t>CAMPUS EOLE</t>
        </is>
      </c>
      <c r="J9828" t="inlineStr">
        <is>
          <t>MATRION</t>
        </is>
      </c>
      <c r="K9828" t="inlineStr">
        <is>
          <t>KIT CUIVRE</t>
        </is>
      </c>
      <c r="L9828">
        <f>_xlfn.XLOOKUP(Tableau1[[#This Row],[TYPE DE PIECE]],Tableau4[MATIERE],Tableau4[SHORT TYPE],"",0,1)</f>
        <v/>
      </c>
      <c r="N9828">
        <f>IF(ISERR(FIND("DECOUPE",Tableau1[[#This Row],[DESIGNATION]])),"","NEED REF")</f>
        <v/>
      </c>
    </row>
    <row r="9829">
      <c r="B9829" t="n">
        <v>34404177</v>
      </c>
      <c r="C9829" s="2" t="n"/>
      <c r="D9829" t="inlineStr">
        <is>
          <t>SPEC</t>
        </is>
      </c>
      <c r="E9829" t="inlineStr">
        <is>
          <t>FLEXIBAR MAINS2 TOP CONNEXION L2 REVERSED</t>
        </is>
      </c>
      <c r="F9829" t="inlineStr">
        <is>
          <t>CAMPUS EOLE</t>
        </is>
      </c>
      <c r="J9829" t="inlineStr">
        <is>
          <t>MATRION</t>
        </is>
      </c>
      <c r="K9829" t="inlineStr">
        <is>
          <t>KIT CUIVRE</t>
        </is>
      </c>
      <c r="L9829">
        <f>_xlfn.XLOOKUP(Tableau1[[#This Row],[TYPE DE PIECE]],Tableau4[MATIERE],Tableau4[SHORT TYPE],"",0,1)</f>
        <v/>
      </c>
      <c r="N9829">
        <f>IF(ISERR(FIND("DECOUPE",Tableau1[[#This Row],[DESIGNATION]])),"","NEED REF")</f>
        <v/>
      </c>
    </row>
    <row r="9830">
      <c r="B9830" t="n">
        <v>34404176</v>
      </c>
      <c r="C9830" s="2" t="n"/>
      <c r="D9830" t="inlineStr">
        <is>
          <t>SPEC</t>
        </is>
      </c>
      <c r="E9830" t="inlineStr">
        <is>
          <t>FLEXIBAR MAINS2 TOP CONNEXION L1 REVERSED</t>
        </is>
      </c>
      <c r="F9830" t="inlineStr">
        <is>
          <t>CAMPUS EOLE</t>
        </is>
      </c>
      <c r="J9830" t="inlineStr">
        <is>
          <t>MATRION</t>
        </is>
      </c>
      <c r="K9830" t="inlineStr">
        <is>
          <t>KIT CUIVRE</t>
        </is>
      </c>
      <c r="L9830">
        <f>_xlfn.XLOOKUP(Tableau1[[#This Row],[TYPE DE PIECE]],Tableau4[MATIERE],Tableau4[SHORT TYPE],"",0,1)</f>
        <v/>
      </c>
      <c r="N9830">
        <f>IF(ISERR(FIND("DECOUPE",Tableau1[[#This Row],[DESIGNATION]])),"","NEED REF")</f>
        <v/>
      </c>
    </row>
    <row r="9831">
      <c r="B9831" t="n">
        <v>34404175</v>
      </c>
      <c r="C9831" s="2" t="n"/>
      <c r="D9831" t="inlineStr">
        <is>
          <t>SPEC</t>
        </is>
      </c>
      <c r="E9831" t="inlineStr">
        <is>
          <t>FLEXIBAR MAINS2 TOP CONNEXION N REVERSED</t>
        </is>
      </c>
      <c r="F9831" t="inlineStr">
        <is>
          <t>CAMPUS EOLE</t>
        </is>
      </c>
      <c r="J9831" t="inlineStr">
        <is>
          <t>MATRION</t>
        </is>
      </c>
      <c r="K9831" t="inlineStr">
        <is>
          <t>KIT CUIVRE</t>
        </is>
      </c>
      <c r="L9831">
        <f>_xlfn.XLOOKUP(Tableau1[[#This Row],[TYPE DE PIECE]],Tableau4[MATIERE],Tableau4[SHORT TYPE],"",0,1)</f>
        <v/>
      </c>
      <c r="N9831">
        <f>IF(ISERR(FIND("DECOUPE",Tableau1[[#This Row],[DESIGNATION]])),"","NEED REF")</f>
        <v/>
      </c>
    </row>
    <row r="9832">
      <c r="B9832" t="n">
        <v>34404174</v>
      </c>
      <c r="C9832" s="2" t="n"/>
      <c r="D9832" t="inlineStr">
        <is>
          <t>SPEC</t>
        </is>
      </c>
      <c r="E9832" t="inlineStr">
        <is>
          <t>FLEXIBAR MAINS2 TOP CONNEXION N</t>
        </is>
      </c>
      <c r="F9832" t="inlineStr">
        <is>
          <t>CAMPUS EOLE</t>
        </is>
      </c>
      <c r="J9832" t="inlineStr">
        <is>
          <t>MATRION</t>
        </is>
      </c>
      <c r="K9832" t="inlineStr">
        <is>
          <t>KIT CUIVRE</t>
        </is>
      </c>
      <c r="L9832">
        <f>_xlfn.XLOOKUP(Tableau1[[#This Row],[TYPE DE PIECE]],Tableau4[MATIERE],Tableau4[SHORT TYPE],"",0,1)</f>
        <v/>
      </c>
      <c r="N9832">
        <f>IF(ISERR(FIND("DECOUPE",Tableau1[[#This Row],[DESIGNATION]])),"","NEED REF")</f>
        <v/>
      </c>
    </row>
    <row r="9833">
      <c r="B9833" t="n">
        <v>34404173</v>
      </c>
      <c r="C9833" s="2" t="n"/>
      <c r="D9833" t="inlineStr">
        <is>
          <t>SPEC</t>
        </is>
      </c>
      <c r="E9833" t="inlineStr">
        <is>
          <t>FLEXIBAR MAINS2 TOP CONNEXION L1</t>
        </is>
      </c>
      <c r="F9833" t="inlineStr">
        <is>
          <t>CAMPUS EOLE</t>
        </is>
      </c>
      <c r="J9833" t="inlineStr">
        <is>
          <t>MATRION</t>
        </is>
      </c>
      <c r="K9833" t="inlineStr">
        <is>
          <t>KIT CUIVRE</t>
        </is>
      </c>
      <c r="L9833">
        <f>_xlfn.XLOOKUP(Tableau1[[#This Row],[TYPE DE PIECE]],Tableau4[MATIERE],Tableau4[SHORT TYPE],"",0,1)</f>
        <v/>
      </c>
      <c r="N9833">
        <f>IF(ISERR(FIND("DECOUPE",Tableau1[[#This Row],[DESIGNATION]])),"","NEED REF")</f>
        <v/>
      </c>
    </row>
    <row r="9834">
      <c r="B9834" t="n">
        <v>34404172</v>
      </c>
      <c r="C9834" s="2" t="n"/>
      <c r="D9834" t="inlineStr">
        <is>
          <t>SPEC</t>
        </is>
      </c>
      <c r="E9834" t="inlineStr">
        <is>
          <t>FLEXIBAR MAINS2 TOP CONNEXION L2</t>
        </is>
      </c>
      <c r="F9834" t="inlineStr">
        <is>
          <t>CAMPUS EOLE</t>
        </is>
      </c>
      <c r="J9834" t="inlineStr">
        <is>
          <t>MATRION</t>
        </is>
      </c>
      <c r="K9834" t="inlineStr">
        <is>
          <t>KIT CUIVRE</t>
        </is>
      </c>
      <c r="L9834">
        <f>_xlfn.XLOOKUP(Tableau1[[#This Row],[TYPE DE PIECE]],Tableau4[MATIERE],Tableau4[SHORT TYPE],"",0,1)</f>
        <v/>
      </c>
      <c r="N9834">
        <f>IF(ISERR(FIND("DECOUPE",Tableau1[[#This Row],[DESIGNATION]])),"","NEED REF")</f>
        <v/>
      </c>
    </row>
    <row r="9835">
      <c r="B9835" t="n">
        <v>34404171</v>
      </c>
      <c r="C9835" s="2" t="n"/>
      <c r="D9835" t="inlineStr">
        <is>
          <t>SPEC</t>
        </is>
      </c>
      <c r="E9835" t="inlineStr">
        <is>
          <t>FLEXIBAR MAINS2 TOP CONNEXION L3</t>
        </is>
      </c>
      <c r="F9835" t="inlineStr">
        <is>
          <t>CAMPUS EOLE</t>
        </is>
      </c>
      <c r="J9835" t="inlineStr">
        <is>
          <t>MATRION</t>
        </is>
      </c>
      <c r="K9835" t="inlineStr">
        <is>
          <t>KIT CUIVRE</t>
        </is>
      </c>
      <c r="L9835">
        <f>_xlfn.XLOOKUP(Tableau1[[#This Row],[TYPE DE PIECE]],Tableau4[MATIERE],Tableau4[SHORT TYPE],"",0,1)</f>
        <v/>
      </c>
      <c r="N9835">
        <f>IF(ISERR(FIND("DECOUPE",Tableau1[[#This Row],[DESIGNATION]])),"","NEED REF")</f>
        <v/>
      </c>
    </row>
    <row r="9836">
      <c r="B9836" t="n">
        <v>34404170</v>
      </c>
      <c r="C9836" s="2" t="n"/>
      <c r="D9836" t="inlineStr">
        <is>
          <t>SPEC</t>
        </is>
      </c>
      <c r="E9836" t="inlineStr">
        <is>
          <t>FLEXIBAR LOAD TOP CONNEXION N</t>
        </is>
      </c>
      <c r="F9836" t="inlineStr">
        <is>
          <t>CAMPUS EOLE</t>
        </is>
      </c>
      <c r="J9836" t="inlineStr">
        <is>
          <t>MATRION</t>
        </is>
      </c>
      <c r="K9836" t="inlineStr">
        <is>
          <t>KIT CUIVRE</t>
        </is>
      </c>
      <c r="L9836">
        <f>_xlfn.XLOOKUP(Tableau1[[#This Row],[TYPE DE PIECE]],Tableau4[MATIERE],Tableau4[SHORT TYPE],"",0,1)</f>
        <v/>
      </c>
      <c r="N9836">
        <f>IF(ISERR(FIND("DECOUPE",Tableau1[[#This Row],[DESIGNATION]])),"","NEED REF")</f>
        <v/>
      </c>
    </row>
    <row r="9837">
      <c r="B9837" t="n">
        <v>34404169</v>
      </c>
      <c r="C9837" s="2" t="n"/>
      <c r="D9837" t="inlineStr">
        <is>
          <t>SPEC</t>
        </is>
      </c>
      <c r="E9837" t="inlineStr">
        <is>
          <t>FLEXIBAR LOAD TOP CONNEXION L1</t>
        </is>
      </c>
      <c r="F9837" t="inlineStr">
        <is>
          <t>CAMPUS EOLE</t>
        </is>
      </c>
      <c r="J9837" t="inlineStr">
        <is>
          <t>MATRION</t>
        </is>
      </c>
      <c r="K9837" t="inlineStr">
        <is>
          <t>KIT CUIVRE</t>
        </is>
      </c>
      <c r="L9837">
        <f>_xlfn.XLOOKUP(Tableau1[[#This Row],[TYPE DE PIECE]],Tableau4[MATIERE],Tableau4[SHORT TYPE],"",0,1)</f>
        <v/>
      </c>
      <c r="N9837">
        <f>IF(ISERR(FIND("DECOUPE",Tableau1[[#This Row],[DESIGNATION]])),"","NEED REF")</f>
        <v/>
      </c>
    </row>
    <row r="9838">
      <c r="B9838" t="n">
        <v>34404168</v>
      </c>
      <c r="C9838" s="2" t="n"/>
      <c r="D9838" t="inlineStr">
        <is>
          <t>SPEC</t>
        </is>
      </c>
      <c r="E9838" t="inlineStr">
        <is>
          <t>FLEXIBAR LOAD TOP CONNEXION L2</t>
        </is>
      </c>
      <c r="F9838" t="inlineStr">
        <is>
          <t>CAMPUS EOLE</t>
        </is>
      </c>
      <c r="J9838" t="inlineStr">
        <is>
          <t>MATRION</t>
        </is>
      </c>
      <c r="K9838" t="inlineStr">
        <is>
          <t>KIT CUIVRE</t>
        </is>
      </c>
      <c r="L9838">
        <f>_xlfn.XLOOKUP(Tableau1[[#This Row],[TYPE DE PIECE]],Tableau4[MATIERE],Tableau4[SHORT TYPE],"",0,1)</f>
        <v/>
      </c>
      <c r="N9838">
        <f>IF(ISERR(FIND("DECOUPE",Tableau1[[#This Row],[DESIGNATION]])),"","NEED REF")</f>
        <v/>
      </c>
    </row>
    <row r="9839">
      <c r="B9839" t="n">
        <v>34404167</v>
      </c>
      <c r="C9839" s="2" t="n"/>
      <c r="D9839" t="inlineStr">
        <is>
          <t>SPEC</t>
        </is>
      </c>
      <c r="E9839" t="inlineStr">
        <is>
          <t>FLEXIBAR LOAD TOP CONNEXION L3</t>
        </is>
      </c>
      <c r="F9839" t="inlineStr">
        <is>
          <t>CAMPUS EOLE</t>
        </is>
      </c>
      <c r="J9839" t="inlineStr">
        <is>
          <t>MATRION</t>
        </is>
      </c>
      <c r="K9839" t="inlineStr">
        <is>
          <t>KIT CUIVRE</t>
        </is>
      </c>
      <c r="L9839">
        <f>_xlfn.XLOOKUP(Tableau1[[#This Row],[TYPE DE PIECE]],Tableau4[MATIERE],Tableau4[SHORT TYPE],"",0,1)</f>
        <v/>
      </c>
      <c r="N9839">
        <f>IF(ISERR(FIND("DECOUPE",Tableau1[[#This Row],[DESIGNATION]])),"","NEED REF")</f>
        <v/>
      </c>
    </row>
    <row r="9840">
      <c r="B9840" t="n">
        <v>34404166</v>
      </c>
      <c r="C9840" s="2" t="n"/>
      <c r="D9840" t="inlineStr">
        <is>
          <t>SPEC</t>
        </is>
      </c>
      <c r="E9840" t="inlineStr">
        <is>
          <t>FLEXIBAR LOAD TOP CONNEXION N FLIP</t>
        </is>
      </c>
      <c r="F9840" t="inlineStr">
        <is>
          <t>CAMPUS EOLE</t>
        </is>
      </c>
      <c r="J9840" t="inlineStr">
        <is>
          <t>MATRION</t>
        </is>
      </c>
      <c r="K9840" t="inlineStr">
        <is>
          <t>KIT CUIVRE</t>
        </is>
      </c>
      <c r="L9840">
        <f>_xlfn.XLOOKUP(Tableau1[[#This Row],[TYPE DE PIECE]],Tableau4[MATIERE],Tableau4[SHORT TYPE],"",0,1)</f>
        <v/>
      </c>
      <c r="N9840">
        <f>IF(ISERR(FIND("DECOUPE",Tableau1[[#This Row],[DESIGNATION]])),"","NEED REF")</f>
        <v/>
      </c>
    </row>
    <row r="9841">
      <c r="B9841" t="n">
        <v>34404165</v>
      </c>
      <c r="C9841" s="2" t="n"/>
      <c r="D9841" t="inlineStr">
        <is>
          <t>SPEC</t>
        </is>
      </c>
      <c r="E9841" t="inlineStr">
        <is>
          <t>FLEXIBAR LOAD TOP CONNEXION L1 FLIP</t>
        </is>
      </c>
      <c r="F9841" t="inlineStr">
        <is>
          <t>CAMPUS EOLE</t>
        </is>
      </c>
      <c r="J9841" t="inlineStr">
        <is>
          <t>MATRION</t>
        </is>
      </c>
      <c r="K9841" t="inlineStr">
        <is>
          <t>KIT CUIVRE</t>
        </is>
      </c>
      <c r="L9841">
        <f>_xlfn.XLOOKUP(Tableau1[[#This Row],[TYPE DE PIECE]],Tableau4[MATIERE],Tableau4[SHORT TYPE],"",0,1)</f>
        <v/>
      </c>
      <c r="N9841">
        <f>IF(ISERR(FIND("DECOUPE",Tableau1[[#This Row],[DESIGNATION]])),"","NEED REF")</f>
        <v/>
      </c>
    </row>
    <row r="9842">
      <c r="B9842" t="n">
        <v>34404164</v>
      </c>
      <c r="C9842" s="2" t="n"/>
      <c r="D9842" t="inlineStr">
        <is>
          <t>SPEC</t>
        </is>
      </c>
      <c r="E9842" t="inlineStr">
        <is>
          <t>FLEXIBAR LOAD TOP CONNEXION L2 FLIP</t>
        </is>
      </c>
      <c r="F9842" t="inlineStr">
        <is>
          <t>CAMPUS EOLE</t>
        </is>
      </c>
      <c r="J9842" t="inlineStr">
        <is>
          <t>MATRION</t>
        </is>
      </c>
      <c r="K9842" t="inlineStr">
        <is>
          <t>KIT CUIVRE</t>
        </is>
      </c>
      <c r="L9842">
        <f>_xlfn.XLOOKUP(Tableau1[[#This Row],[TYPE DE PIECE]],Tableau4[MATIERE],Tableau4[SHORT TYPE],"",0,1)</f>
        <v/>
      </c>
      <c r="N9842">
        <f>IF(ISERR(FIND("DECOUPE",Tableau1[[#This Row],[DESIGNATION]])),"","NEED REF")</f>
        <v/>
      </c>
    </row>
    <row r="9843">
      <c r="B9843" t="n">
        <v>34404163</v>
      </c>
      <c r="C9843" s="2" t="n"/>
      <c r="D9843" t="inlineStr">
        <is>
          <t>SPEC</t>
        </is>
      </c>
      <c r="E9843" t="inlineStr">
        <is>
          <t>FLEXIBAR LOAD TOP CONNEXION L3 FLIP</t>
        </is>
      </c>
      <c r="F9843" t="inlineStr">
        <is>
          <t>CAMPUS EOLE</t>
        </is>
      </c>
      <c r="J9843" t="inlineStr">
        <is>
          <t>MATRION</t>
        </is>
      </c>
      <c r="K9843" t="inlineStr">
        <is>
          <t>KIT CUIVRE</t>
        </is>
      </c>
      <c r="L9843">
        <f>_xlfn.XLOOKUP(Tableau1[[#This Row],[TYPE DE PIECE]],Tableau4[MATIERE],Tableau4[SHORT TYPE],"",0,1)</f>
        <v/>
      </c>
      <c r="N9843">
        <f>IF(ISERR(FIND("DECOUPE",Tableau1[[#This Row],[DESIGNATION]])),"","NEED REF")</f>
        <v/>
      </c>
    </row>
    <row r="9844">
      <c r="B9844" t="n">
        <v>34404162</v>
      </c>
      <c r="C9844" s="2" t="n"/>
      <c r="D9844" t="inlineStr">
        <is>
          <t>SPEC</t>
        </is>
      </c>
      <c r="E9844" t="inlineStr">
        <is>
          <t>FLEXIBAR MAINS2 TOP CONNEXION N FLIP</t>
        </is>
      </c>
      <c r="F9844" t="inlineStr">
        <is>
          <t>CAMPUS EOLE</t>
        </is>
      </c>
      <c r="J9844" t="inlineStr">
        <is>
          <t>MATRION</t>
        </is>
      </c>
      <c r="K9844" t="inlineStr">
        <is>
          <t>KIT CUIVRE</t>
        </is>
      </c>
      <c r="L9844">
        <f>_xlfn.XLOOKUP(Tableau1[[#This Row],[TYPE DE PIECE]],Tableau4[MATIERE],Tableau4[SHORT TYPE],"",0,1)</f>
        <v/>
      </c>
      <c r="N9844">
        <f>IF(ISERR(FIND("DECOUPE",Tableau1[[#This Row],[DESIGNATION]])),"","NEED REF")</f>
        <v/>
      </c>
    </row>
    <row r="9845">
      <c r="B9845" t="n">
        <v>34404161</v>
      </c>
      <c r="C9845" s="2" t="n"/>
      <c r="D9845" t="inlineStr">
        <is>
          <t>SPEC</t>
        </is>
      </c>
      <c r="E9845" t="inlineStr">
        <is>
          <t>FLEXIBAR MAINS2 TOP CONNEXION L1 FLIP</t>
        </is>
      </c>
      <c r="F9845" t="inlineStr">
        <is>
          <t>CAMPUS EOLE</t>
        </is>
      </c>
      <c r="J9845" t="inlineStr">
        <is>
          <t>MATRION</t>
        </is>
      </c>
      <c r="K9845" t="inlineStr">
        <is>
          <t>KIT CUIVRE</t>
        </is>
      </c>
      <c r="L9845">
        <f>_xlfn.XLOOKUP(Tableau1[[#This Row],[TYPE DE PIECE]],Tableau4[MATIERE],Tableau4[SHORT TYPE],"",0,1)</f>
        <v/>
      </c>
      <c r="N9845">
        <f>IF(ISERR(FIND("DECOUPE",Tableau1[[#This Row],[DESIGNATION]])),"","NEED REF")</f>
        <v/>
      </c>
    </row>
    <row r="9846">
      <c r="B9846" t="n">
        <v>34404160</v>
      </c>
      <c r="C9846" s="2" t="n"/>
      <c r="D9846" t="inlineStr">
        <is>
          <t>SPEC</t>
        </is>
      </c>
      <c r="E9846" t="inlineStr">
        <is>
          <t>FLEXIBAR MAINS2 TOP CONNEXION L2 FLIP</t>
        </is>
      </c>
      <c r="F9846" t="inlineStr">
        <is>
          <t>CAMPUS EOLE</t>
        </is>
      </c>
      <c r="J9846" t="inlineStr">
        <is>
          <t>MATRION</t>
        </is>
      </c>
      <c r="K9846" t="inlineStr">
        <is>
          <t>KIT CUIVRE</t>
        </is>
      </c>
      <c r="L9846">
        <f>_xlfn.XLOOKUP(Tableau1[[#This Row],[TYPE DE PIECE]],Tableau4[MATIERE],Tableau4[SHORT TYPE],"",0,1)</f>
        <v/>
      </c>
      <c r="N9846">
        <f>IF(ISERR(FIND("DECOUPE",Tableau1[[#This Row],[DESIGNATION]])),"","NEED REF")</f>
        <v/>
      </c>
    </row>
    <row r="9847">
      <c r="B9847" t="n">
        <v>34404159</v>
      </c>
      <c r="C9847" s="2" t="n"/>
      <c r="D9847" t="inlineStr">
        <is>
          <t>SPEC</t>
        </is>
      </c>
      <c r="E9847" t="inlineStr">
        <is>
          <t>FLEXIBAR MAINS2 TOP CONNEXION L3 FLIP</t>
        </is>
      </c>
      <c r="F9847" t="inlineStr">
        <is>
          <t>CAMPUS EOLE</t>
        </is>
      </c>
      <c r="J9847" t="inlineStr">
        <is>
          <t>MATRION</t>
        </is>
      </c>
      <c r="K9847" t="inlineStr">
        <is>
          <t>KIT CUIVRE</t>
        </is>
      </c>
      <c r="L9847">
        <f>_xlfn.XLOOKUP(Tableau1[[#This Row],[TYPE DE PIECE]],Tableau4[MATIERE],Tableau4[SHORT TYPE],"",0,1)</f>
        <v/>
      </c>
      <c r="N9847">
        <f>IF(ISERR(FIND("DECOUPE",Tableau1[[#This Row],[DESIGNATION]])),"","NEED REF")</f>
        <v/>
      </c>
    </row>
    <row r="9848">
      <c r="B9848" t="n">
        <v>34404158</v>
      </c>
      <c r="C9848" s="2" t="n">
        <v>41912</v>
      </c>
      <c r="D9848" t="inlineStr">
        <is>
          <t>SPEC</t>
        </is>
      </c>
      <c r="E9848" t="inlineStr">
        <is>
          <t>DOSSIER DE MONTAGE COFFRET DISJONCTEUR 3 NSX 630H</t>
        </is>
      </c>
      <c r="F9848" t="inlineStr">
        <is>
          <t>G7000</t>
        </is>
      </c>
      <c r="J9848" t="inlineStr">
        <is>
          <t>ROBERT</t>
        </is>
      </c>
      <c r="L9848">
        <f>_xlfn.XLOOKUP(Tableau1[[#This Row],[TYPE DE PIECE]],Tableau4[MATIERE],Tableau4[SHORT TYPE],"",0,1)</f>
        <v/>
      </c>
      <c r="N9848">
        <f>IF(ISERR(FIND("DECOUPE",Tableau1[[#This Row],[DESIGNATION]])),"","NEED REF")</f>
        <v/>
      </c>
    </row>
    <row r="9849">
      <c r="B9849" t="n">
        <v>34404157</v>
      </c>
      <c r="C9849" s="2" t="n">
        <v>41907</v>
      </c>
      <c r="D9849" t="inlineStr">
        <is>
          <t>SPEC</t>
        </is>
      </c>
      <c r="E9849" t="inlineStr">
        <is>
          <t>S/E PLATINE ELEC BACKFEED</t>
        </is>
      </c>
      <c r="F9849" t="inlineStr">
        <is>
          <t>G7K NS2500kVA - Q4S BACKFEED</t>
        </is>
      </c>
      <c r="J9849" t="inlineStr">
        <is>
          <t>MATRION</t>
        </is>
      </c>
      <c r="K9849" t="inlineStr">
        <is>
          <t>DOC</t>
        </is>
      </c>
      <c r="L9849">
        <f>_xlfn.XLOOKUP(Tableau1[[#This Row],[TYPE DE PIECE]],Tableau4[MATIERE],Tableau4[SHORT TYPE],"",0,1)</f>
        <v/>
      </c>
      <c r="N9849">
        <f>IF(ISERR(FIND("DECOUPE",Tableau1[[#This Row],[DESIGNATION]])),"","NEED REF")</f>
        <v/>
      </c>
    </row>
    <row r="9850">
      <c r="B9850" t="n">
        <v>34404156</v>
      </c>
      <c r="C9850" s="2" t="n">
        <v>41907</v>
      </c>
      <c r="D9850" t="inlineStr">
        <is>
          <t>SPEC</t>
        </is>
      </c>
      <c r="E9850" t="inlineStr">
        <is>
          <t>GOULOTTE 3</t>
        </is>
      </c>
      <c r="F9850" t="inlineStr">
        <is>
          <t>G7K NS2500kVA - Q4S BACKFEED</t>
        </is>
      </c>
      <c r="J9850" t="inlineStr">
        <is>
          <t>MATRION</t>
        </is>
      </c>
      <c r="K9850" t="inlineStr">
        <is>
          <t>DOC</t>
        </is>
      </c>
      <c r="L9850">
        <f>_xlfn.XLOOKUP(Tableau1[[#This Row],[TYPE DE PIECE]],Tableau4[MATIERE],Tableau4[SHORT TYPE],"",0,1)</f>
        <v/>
      </c>
      <c r="N9850">
        <f>IF(ISERR(FIND("DECOUPE",Tableau1[[#This Row],[DESIGNATION]])),"","NEED REF")</f>
        <v/>
      </c>
    </row>
    <row r="9851">
      <c r="B9851" t="n">
        <v>34404155</v>
      </c>
      <c r="C9851" s="2" t="n">
        <v>41907</v>
      </c>
      <c r="D9851" t="inlineStr">
        <is>
          <t>SPEC</t>
        </is>
      </c>
      <c r="E9851" t="inlineStr">
        <is>
          <t>GOULOTTE 2</t>
        </is>
      </c>
      <c r="F9851" t="inlineStr">
        <is>
          <t>G7K NS2500kVA - Q4S BACKFEED</t>
        </is>
      </c>
      <c r="J9851" t="inlineStr">
        <is>
          <t>MATRION</t>
        </is>
      </c>
      <c r="K9851" t="inlineStr">
        <is>
          <t>DOC</t>
        </is>
      </c>
      <c r="L9851">
        <f>_xlfn.XLOOKUP(Tableau1[[#This Row],[TYPE DE PIECE]],Tableau4[MATIERE],Tableau4[SHORT TYPE],"",0,1)</f>
        <v/>
      </c>
      <c r="N9851">
        <f>IF(ISERR(FIND("DECOUPE",Tableau1[[#This Row],[DESIGNATION]])),"","NEED REF")</f>
        <v/>
      </c>
    </row>
    <row r="9852">
      <c r="B9852" t="n">
        <v>34404154</v>
      </c>
      <c r="C9852" s="2" t="n">
        <v>41907</v>
      </c>
      <c r="D9852" t="inlineStr">
        <is>
          <t>SPEC</t>
        </is>
      </c>
      <c r="E9852" t="inlineStr">
        <is>
          <t>GOULOTTE 1</t>
        </is>
      </c>
      <c r="F9852" t="inlineStr">
        <is>
          <t>G7K NS2500kVA - Q4S BACKFEED</t>
        </is>
      </c>
      <c r="J9852" t="inlineStr">
        <is>
          <t>MATRION</t>
        </is>
      </c>
      <c r="K9852" t="inlineStr">
        <is>
          <t>DOC</t>
        </is>
      </c>
      <c r="L9852">
        <f>_xlfn.XLOOKUP(Tableau1[[#This Row],[TYPE DE PIECE]],Tableau4[MATIERE],Tableau4[SHORT TYPE],"",0,1)</f>
        <v/>
      </c>
      <c r="N9852">
        <f>IF(ISERR(FIND("DECOUPE",Tableau1[[#This Row],[DESIGNATION]])),"","NEED REF")</f>
        <v/>
      </c>
    </row>
    <row r="9853">
      <c r="B9853" t="n">
        <v>34404153</v>
      </c>
      <c r="C9853" s="2" t="n"/>
      <c r="E9853" t="inlineStr">
        <is>
          <t>ERICO TRESSE 2</t>
        </is>
      </c>
      <c r="L9853">
        <f>_xlfn.XLOOKUP(Tableau1[[#This Row],[TYPE DE PIECE]],Tableau4[MATIERE],Tableau4[SHORT TYPE],"",0,1)</f>
        <v/>
      </c>
      <c r="N9853">
        <f>IF(ISERR(FIND("DECOUPE",Tableau1[[#This Row],[DESIGNATION]])),"","NEED REF")</f>
        <v/>
      </c>
    </row>
    <row r="9854">
      <c r="B9854" t="n">
        <v>34404152</v>
      </c>
      <c r="C9854" s="2" t="n"/>
      <c r="E9854" t="inlineStr">
        <is>
          <t>ERICO TRESSE 1</t>
        </is>
      </c>
      <c r="L9854">
        <f>_xlfn.XLOOKUP(Tableau1[[#This Row],[TYPE DE PIECE]],Tableau4[MATIERE],Tableau4[SHORT TYPE],"",0,1)</f>
        <v/>
      </c>
      <c r="N9854">
        <f>IF(ISERR(FIND("DECOUPE",Tableau1[[#This Row],[DESIGNATION]])),"","NEED REF")</f>
        <v/>
      </c>
    </row>
    <row r="9855">
      <c r="B9855" t="n">
        <v>34404151</v>
      </c>
      <c r="C9855" s="2" t="n">
        <v>41904</v>
      </c>
      <c r="D9855" t="inlineStr">
        <is>
          <t>SPEC</t>
        </is>
      </c>
      <c r="E9855" t="inlineStr">
        <is>
          <t>SUPPORT BRIDAGE CABLE HAUT</t>
        </is>
      </c>
      <c r="F9855" t="inlineStr">
        <is>
          <t>STS400 NETSHLTER</t>
        </is>
      </c>
      <c r="J9855" t="inlineStr">
        <is>
          <t>MATRION</t>
        </is>
      </c>
      <c r="K9855" t="inlineStr">
        <is>
          <t>METAL</t>
        </is>
      </c>
      <c r="L9855">
        <f>_xlfn.XLOOKUP(Tableau1[[#This Row],[TYPE DE PIECE]],Tableau4[MATIERE],Tableau4[SHORT TYPE],"",0,1)</f>
        <v/>
      </c>
      <c r="N9855">
        <f>IF(ISERR(FIND("DECOUPE",Tableau1[[#This Row],[DESIGNATION]])),"","NEED REF")</f>
        <v/>
      </c>
    </row>
    <row r="9856">
      <c r="B9856" t="n">
        <v>34404150</v>
      </c>
      <c r="C9856" s="2" t="n">
        <v>41904</v>
      </c>
      <c r="D9856" t="inlineStr">
        <is>
          <t>SPEC</t>
        </is>
      </c>
      <c r="E9856" t="inlineStr">
        <is>
          <t>BARRE BRIDAGE CABLE HAUT</t>
        </is>
      </c>
      <c r="F9856" t="inlineStr">
        <is>
          <t>STS400 NETSHLTER</t>
        </is>
      </c>
      <c r="J9856" t="inlineStr">
        <is>
          <t>MATRION</t>
        </is>
      </c>
      <c r="K9856" t="inlineStr">
        <is>
          <t>METAL</t>
        </is>
      </c>
      <c r="L9856">
        <f>_xlfn.XLOOKUP(Tableau1[[#This Row],[TYPE DE PIECE]],Tableau4[MATIERE],Tableau4[SHORT TYPE],"",0,1)</f>
        <v/>
      </c>
      <c r="N9856">
        <f>IF(ISERR(FIND("DECOUPE",Tableau1[[#This Row],[DESIGNATION]])),"","NEED REF")</f>
        <v/>
      </c>
    </row>
    <row r="9857">
      <c r="B9857" t="n">
        <v>34404149</v>
      </c>
      <c r="C9857" s="2" t="n">
        <v>41904</v>
      </c>
      <c r="D9857" t="inlineStr">
        <is>
          <t>SPEC</t>
        </is>
      </c>
      <c r="E9857" t="inlineStr">
        <is>
          <t>SUPPORT RACCORDEMENT HAUT 2</t>
        </is>
      </c>
      <c r="F9857" t="inlineStr">
        <is>
          <t>STS400 NETSHLTER</t>
        </is>
      </c>
      <c r="J9857" t="inlineStr">
        <is>
          <t>MATRION</t>
        </is>
      </c>
      <c r="K9857" t="inlineStr">
        <is>
          <t>METAL</t>
        </is>
      </c>
      <c r="L9857">
        <f>_xlfn.XLOOKUP(Tableau1[[#This Row],[TYPE DE PIECE]],Tableau4[MATIERE],Tableau4[SHORT TYPE],"",0,1)</f>
        <v/>
      </c>
      <c r="N9857">
        <f>IF(ISERR(FIND("DECOUPE",Tableau1[[#This Row],[DESIGNATION]])),"","NEED REF")</f>
        <v/>
      </c>
    </row>
    <row r="9858">
      <c r="B9858" t="n">
        <v>34404148</v>
      </c>
      <c r="C9858" s="2" t="n">
        <v>41904</v>
      </c>
      <c r="D9858" t="inlineStr">
        <is>
          <t>SPEC</t>
        </is>
      </c>
      <c r="E9858" t="inlineStr">
        <is>
          <t>SUPPORT RACCORDEMENT HAUT 1</t>
        </is>
      </c>
      <c r="F9858" t="inlineStr">
        <is>
          <t>STS400 NETSHLTER</t>
        </is>
      </c>
      <c r="J9858" t="inlineStr">
        <is>
          <t>MATRION</t>
        </is>
      </c>
      <c r="K9858" t="inlineStr">
        <is>
          <t>METAL</t>
        </is>
      </c>
      <c r="L9858">
        <f>_xlfn.XLOOKUP(Tableau1[[#This Row],[TYPE DE PIECE]],Tableau4[MATIERE],Tableau4[SHORT TYPE],"",0,1)</f>
        <v/>
      </c>
      <c r="N9858">
        <f>IF(ISERR(FIND("DECOUPE",Tableau1[[#This Row],[DESIGNATION]])),"","NEED REF")</f>
        <v/>
      </c>
    </row>
    <row r="9859">
      <c r="B9859" t="n">
        <v>34404147</v>
      </c>
      <c r="C9859" s="2" t="n">
        <v>41893</v>
      </c>
      <c r="D9859" t="inlineStr">
        <is>
          <t>NOM</t>
        </is>
      </c>
      <c r="E9859" t="inlineStr">
        <is>
          <t>STS400 NETSHLTER TOP CONNECTION</t>
        </is>
      </c>
      <c r="F9859" t="inlineStr">
        <is>
          <t>STS400 NETSHLTER</t>
        </is>
      </c>
      <c r="J9859" t="inlineStr">
        <is>
          <t>MATRION</t>
        </is>
      </c>
      <c r="L9859">
        <f>_xlfn.XLOOKUP(Tableau1[[#This Row],[TYPE DE PIECE]],Tableau4[MATIERE],Tableau4[SHORT TYPE],"",0,1)</f>
        <v/>
      </c>
      <c r="N9859">
        <f>IF(ISERR(FIND("DECOUPE",Tableau1[[#This Row],[DESIGNATION]])),"","NEED REF")</f>
        <v/>
      </c>
    </row>
    <row r="9860">
      <c r="B9860" t="n">
        <v>34404146</v>
      </c>
      <c r="C9860" s="2" t="n">
        <v>41900</v>
      </c>
      <c r="D9860" t="inlineStr">
        <is>
          <t>SPEC</t>
        </is>
      </c>
      <c r="E9860" t="inlineStr">
        <is>
          <t>SUPPORT PORTE 3</t>
        </is>
      </c>
      <c r="F9860" t="inlineStr">
        <is>
          <t>STS400 NETSHLTER</t>
        </is>
      </c>
      <c r="J9860" t="inlineStr">
        <is>
          <t>MATRION</t>
        </is>
      </c>
      <c r="K9860" t="inlineStr">
        <is>
          <t>METAL</t>
        </is>
      </c>
      <c r="L9860">
        <f>_xlfn.XLOOKUP(Tableau1[[#This Row],[TYPE DE PIECE]],Tableau4[MATIERE],Tableau4[SHORT TYPE],"",0,1)</f>
        <v/>
      </c>
      <c r="N9860">
        <f>IF(ISERR(FIND("DECOUPE",Tableau1[[#This Row],[DESIGNATION]])),"","NEED REF")</f>
        <v/>
      </c>
    </row>
    <row r="9861">
      <c r="B9861" t="n">
        <v>34404145</v>
      </c>
      <c r="C9861" s="2" t="n">
        <v>41900</v>
      </c>
      <c r="D9861" t="inlineStr">
        <is>
          <t>SPEC</t>
        </is>
      </c>
      <c r="E9861" t="inlineStr">
        <is>
          <t>SUPPORT PORTE 2</t>
        </is>
      </c>
      <c r="F9861" t="inlineStr">
        <is>
          <t>STS400 NETSHLTER</t>
        </is>
      </c>
      <c r="J9861" t="inlineStr">
        <is>
          <t>MATRION</t>
        </is>
      </c>
      <c r="K9861" t="inlineStr">
        <is>
          <t>METAL</t>
        </is>
      </c>
      <c r="L9861">
        <f>_xlfn.XLOOKUP(Tableau1[[#This Row],[TYPE DE PIECE]],Tableau4[MATIERE],Tableau4[SHORT TYPE],"",0,1)</f>
        <v/>
      </c>
      <c r="N9861">
        <f>IF(ISERR(FIND("DECOUPE",Tableau1[[#This Row],[DESIGNATION]])),"","NEED REF")</f>
        <v/>
      </c>
    </row>
    <row r="9862">
      <c r="B9862" t="n">
        <v>34404144</v>
      </c>
      <c r="C9862" s="2" t="n">
        <v>41900</v>
      </c>
      <c r="D9862" t="inlineStr">
        <is>
          <t>SPEC</t>
        </is>
      </c>
      <c r="E9862" t="inlineStr">
        <is>
          <t>SUPPORT PORTE 1</t>
        </is>
      </c>
      <c r="F9862" t="inlineStr">
        <is>
          <t>STS400 NETSHLTER</t>
        </is>
      </c>
      <c r="J9862" t="inlineStr">
        <is>
          <t>MATRION</t>
        </is>
      </c>
      <c r="K9862" t="inlineStr">
        <is>
          <t>METAL</t>
        </is>
      </c>
      <c r="L9862">
        <f>_xlfn.XLOOKUP(Tableau1[[#This Row],[TYPE DE PIECE]],Tableau4[MATIERE],Tableau4[SHORT TYPE],"",0,1)</f>
        <v/>
      </c>
      <c r="N9862">
        <f>IF(ISERR(FIND("DECOUPE",Tableau1[[#This Row],[DESIGNATION]])),"","NEED REF")</f>
        <v/>
      </c>
    </row>
    <row r="9863">
      <c r="B9863" t="n">
        <v>34404143</v>
      </c>
      <c r="C9863" s="2" t="n">
        <v>41897</v>
      </c>
      <c r="D9863" t="inlineStr">
        <is>
          <t>SPEC</t>
        </is>
      </c>
      <c r="E9863" t="inlineStr">
        <is>
          <t>CHEMIN DE CABLE FILAIRE</t>
        </is>
      </c>
      <c r="F9863" t="inlineStr">
        <is>
          <t>STS400 NETSHLTER</t>
        </is>
      </c>
      <c r="J9863" t="inlineStr">
        <is>
          <t>MATRION</t>
        </is>
      </c>
      <c r="K9863" t="inlineStr">
        <is>
          <t>DOCUMENTAIRE</t>
        </is>
      </c>
      <c r="L9863">
        <f>_xlfn.XLOOKUP(Tableau1[[#This Row],[TYPE DE PIECE]],Tableau4[MATIERE],Tableau4[SHORT TYPE],"",0,1)</f>
        <v/>
      </c>
      <c r="N9863">
        <f>IF(ISERR(FIND("DECOUPE",Tableau1[[#This Row],[DESIGNATION]])),"","NEED REF")</f>
        <v/>
      </c>
    </row>
    <row r="9864">
      <c r="B9864" t="n">
        <v>34404142</v>
      </c>
      <c r="C9864" s="2" t="n">
        <v>41897</v>
      </c>
      <c r="D9864" t="inlineStr">
        <is>
          <t>SPEC</t>
        </is>
      </c>
      <c r="E9864" t="inlineStr">
        <is>
          <t>SUPPORT BAS 2</t>
        </is>
      </c>
      <c r="F9864" t="inlineStr">
        <is>
          <t>STS400 NETSHLTER</t>
        </is>
      </c>
      <c r="J9864" t="inlineStr">
        <is>
          <t>MATRION</t>
        </is>
      </c>
      <c r="K9864" t="inlineStr">
        <is>
          <t>METAL</t>
        </is>
      </c>
      <c r="L9864">
        <f>_xlfn.XLOOKUP(Tableau1[[#This Row],[TYPE DE PIECE]],Tableau4[MATIERE],Tableau4[SHORT TYPE],"",0,1)</f>
        <v/>
      </c>
      <c r="N9864">
        <f>IF(ISERR(FIND("DECOUPE",Tableau1[[#This Row],[DESIGNATION]])),"","NEED REF")</f>
        <v/>
      </c>
    </row>
    <row r="9865">
      <c r="B9865" t="n">
        <v>34404141</v>
      </c>
      <c r="C9865" s="2" t="n">
        <v>41897</v>
      </c>
      <c r="D9865" t="inlineStr">
        <is>
          <t>SPEC</t>
        </is>
      </c>
      <c r="E9865" t="inlineStr">
        <is>
          <t>SUPPORT JDB BYPASS 2</t>
        </is>
      </c>
      <c r="F9865" t="inlineStr">
        <is>
          <t>STS400 NETSHLTER</t>
        </is>
      </c>
      <c r="J9865" t="inlineStr">
        <is>
          <t>MATRION</t>
        </is>
      </c>
      <c r="K9865" t="inlineStr">
        <is>
          <t>METAL</t>
        </is>
      </c>
      <c r="L9865">
        <f>_xlfn.XLOOKUP(Tableau1[[#This Row],[TYPE DE PIECE]],Tableau4[MATIERE],Tableau4[SHORT TYPE],"",0,1)</f>
        <v/>
      </c>
      <c r="N9865">
        <f>IF(ISERR(FIND("DECOUPE",Tableau1[[#This Row],[DESIGNATION]])),"","NEED REF")</f>
        <v/>
      </c>
    </row>
    <row r="9866">
      <c r="B9866" t="n">
        <v>34404140</v>
      </c>
      <c r="C9866" s="2" t="n">
        <v>41897</v>
      </c>
      <c r="D9866" t="inlineStr">
        <is>
          <t>SPEC</t>
        </is>
      </c>
      <c r="E9866" t="inlineStr">
        <is>
          <t>COPPERBAR RACCORDEMENT BAS 2</t>
        </is>
      </c>
      <c r="F9866" t="inlineStr">
        <is>
          <t>STS400 NETSHLTER</t>
        </is>
      </c>
      <c r="J9866" t="inlineStr">
        <is>
          <t>MATRION</t>
        </is>
      </c>
      <c r="K9866" t="inlineStr">
        <is>
          <t>CUIVRE</t>
        </is>
      </c>
      <c r="L9866">
        <f>_xlfn.XLOOKUP(Tableau1[[#This Row],[TYPE DE PIECE]],Tableau4[MATIERE],Tableau4[SHORT TYPE],"",0,1)</f>
        <v/>
      </c>
      <c r="N9866">
        <f>IF(ISERR(FIND("DECOUPE",Tableau1[[#This Row],[DESIGNATION]])),"","NEED REF")</f>
        <v/>
      </c>
    </row>
    <row r="9867">
      <c r="B9867" t="n">
        <v>34404139</v>
      </c>
      <c r="C9867" s="2" t="n">
        <v>41897</v>
      </c>
      <c r="D9867" t="inlineStr">
        <is>
          <t>SPEC</t>
        </is>
      </c>
      <c r="E9867" t="inlineStr">
        <is>
          <t>COPPERBAR RACCORDEMENT BAS 1</t>
        </is>
      </c>
      <c r="F9867" t="inlineStr">
        <is>
          <t>STS400 NETSHLTER</t>
        </is>
      </c>
      <c r="J9867" t="inlineStr">
        <is>
          <t>MATRION</t>
        </is>
      </c>
      <c r="K9867" t="inlineStr">
        <is>
          <t>CUIVRE</t>
        </is>
      </c>
      <c r="L9867">
        <f>_xlfn.XLOOKUP(Tableau1[[#This Row],[TYPE DE PIECE]],Tableau4[MATIERE],Tableau4[SHORT TYPE],"",0,1)</f>
        <v/>
      </c>
      <c r="N9867">
        <f>IF(ISERR(FIND("DECOUPE",Tableau1[[#This Row],[DESIGNATION]])),"","NEED REF")</f>
        <v/>
      </c>
    </row>
    <row r="9868">
      <c r="B9868" t="n">
        <v>34404138</v>
      </c>
      <c r="C9868" s="2" t="n">
        <v>41887</v>
      </c>
      <c r="D9868" t="inlineStr">
        <is>
          <t>SPEC</t>
        </is>
      </c>
      <c r="E9868" t="inlineStr">
        <is>
          <t>BRIDAGE CABLES</t>
        </is>
      </c>
      <c r="F9868" t="inlineStr">
        <is>
          <t>STS400 NETSHLTER</t>
        </is>
      </c>
      <c r="J9868" t="inlineStr">
        <is>
          <t>MATRION</t>
        </is>
      </c>
      <c r="K9868" t="inlineStr">
        <is>
          <t>METAL</t>
        </is>
      </c>
      <c r="L9868">
        <f>_xlfn.XLOOKUP(Tableau1[[#This Row],[TYPE DE PIECE]],Tableau4[MATIERE],Tableau4[SHORT TYPE],"",0,1)</f>
        <v/>
      </c>
      <c r="N9868">
        <f>IF(ISERR(FIND("DECOUPE",Tableau1[[#This Row],[DESIGNATION]])),"","NEED REF")</f>
        <v/>
      </c>
    </row>
    <row r="9869">
      <c r="B9869" t="n">
        <v>34404137</v>
      </c>
      <c r="C9869" s="2" t="n">
        <v>41887</v>
      </c>
      <c r="D9869" t="inlineStr">
        <is>
          <t>SPEC</t>
        </is>
      </c>
      <c r="E9869" t="inlineStr">
        <is>
          <t>TRAVERSE SUPPORT GUEUSE</t>
        </is>
      </c>
      <c r="F9869" t="inlineStr">
        <is>
          <t>STS400 NETSHLTER</t>
        </is>
      </c>
      <c r="J9869" t="inlineStr">
        <is>
          <t>MATRION</t>
        </is>
      </c>
      <c r="K9869" t="inlineStr">
        <is>
          <t>METAL</t>
        </is>
      </c>
      <c r="L9869">
        <f>_xlfn.XLOOKUP(Tableau1[[#This Row],[TYPE DE PIECE]],Tableau4[MATIERE],Tableau4[SHORT TYPE],"",0,1)</f>
        <v/>
      </c>
      <c r="N9869">
        <f>IF(ISERR(FIND("DECOUPE",Tableau1[[#This Row],[DESIGNATION]])),"","NEED REF")</f>
        <v/>
      </c>
    </row>
    <row r="9870">
      <c r="B9870" t="n">
        <v>34404136</v>
      </c>
      <c r="C9870" s="2" t="n">
        <v>41893</v>
      </c>
      <c r="D9870" t="inlineStr">
        <is>
          <t>SPEC</t>
        </is>
      </c>
      <c r="E9870" t="inlineStr">
        <is>
          <t>Traverse avant arrière skid L=400</t>
        </is>
      </c>
      <c r="F9870" t="inlineStr">
        <is>
          <t>G5500</t>
        </is>
      </c>
      <c r="J9870" t="inlineStr">
        <is>
          <t>ROBERT</t>
        </is>
      </c>
      <c r="L9870">
        <f>_xlfn.XLOOKUP(Tableau1[[#This Row],[TYPE DE PIECE]],Tableau4[MATIERE],Tableau4[SHORT TYPE],"",0,1)</f>
        <v/>
      </c>
      <c r="N9870">
        <f>IF(ISERR(FIND("DECOUPE",Tableau1[[#This Row],[DESIGNATION]])),"","NEED REF")</f>
        <v/>
      </c>
    </row>
    <row r="9871">
      <c r="B9871" t="n">
        <v>34404135</v>
      </c>
      <c r="C9871" s="2" t="n">
        <v>41893</v>
      </c>
      <c r="D9871" t="inlineStr">
        <is>
          <t>NOM</t>
        </is>
      </c>
      <c r="E9871" t="inlineStr">
        <is>
          <t>Lg SKID L= 400</t>
        </is>
      </c>
      <c r="F9871" t="inlineStr">
        <is>
          <t>G5500</t>
        </is>
      </c>
      <c r="J9871" t="inlineStr">
        <is>
          <t>ROBERT</t>
        </is>
      </c>
      <c r="L9871">
        <f>_xlfn.XLOOKUP(Tableau1[[#This Row],[TYPE DE PIECE]],Tableau4[MATIERE],Tableau4[SHORT TYPE],"",0,1)</f>
        <v/>
      </c>
      <c r="N9871">
        <f>IF(ISERR(FIND("DECOUPE",Tableau1[[#This Row],[DESIGNATION]])),"","NEED REF")</f>
        <v/>
      </c>
    </row>
    <row r="9872">
      <c r="B9872" t="n">
        <v>34404134</v>
      </c>
      <c r="C9872" s="2" t="n">
        <v>41893</v>
      </c>
      <c r="D9872" t="inlineStr">
        <is>
          <t>SPEC</t>
        </is>
      </c>
      <c r="E9872" t="inlineStr">
        <is>
          <t>réservé</t>
        </is>
      </c>
      <c r="F9872" t="inlineStr">
        <is>
          <t>STS400 NETSHLTER</t>
        </is>
      </c>
      <c r="J9872" t="inlineStr">
        <is>
          <t>MATRION</t>
        </is>
      </c>
      <c r="K9872" t="inlineStr">
        <is>
          <t>METAL</t>
        </is>
      </c>
      <c r="L9872">
        <f>_xlfn.XLOOKUP(Tableau1[[#This Row],[TYPE DE PIECE]],Tableau4[MATIERE],Tableau4[SHORT TYPE],"",0,1)</f>
        <v/>
      </c>
      <c r="N9872">
        <f>IF(ISERR(FIND("DECOUPE",Tableau1[[#This Row],[DESIGNATION]])),"","NEED REF")</f>
        <v/>
      </c>
    </row>
    <row r="9873">
      <c r="B9873" t="n">
        <v>34404133</v>
      </c>
      <c r="C9873" s="2" t="n"/>
      <c r="E9873" t="inlineStr">
        <is>
          <t>DISPO</t>
        </is>
      </c>
      <c r="L9873">
        <f>_xlfn.XLOOKUP(Tableau1[[#This Row],[TYPE DE PIECE]],Tableau4[MATIERE],Tableau4[SHORT TYPE],"",0,1)</f>
        <v/>
      </c>
      <c r="N9873">
        <f>IF(ISERR(FIND("DECOUPE",Tableau1[[#This Row],[DESIGNATION]])),"","NEED REF")</f>
        <v/>
      </c>
    </row>
    <row r="9874">
      <c r="B9874" t="n">
        <v>34404132</v>
      </c>
      <c r="C9874" s="2" t="n">
        <v>41887</v>
      </c>
      <c r="D9874" t="inlineStr">
        <is>
          <t>SPEC</t>
        </is>
      </c>
      <c r="E9874" t="inlineStr">
        <is>
          <t>PROTECTION SHIELD NETSHELTER 750 14U FAN</t>
        </is>
      </c>
      <c r="F9874" t="inlineStr">
        <is>
          <t>STS400 NETSHLTER</t>
        </is>
      </c>
      <c r="J9874" t="inlineStr">
        <is>
          <t>MATRION</t>
        </is>
      </c>
      <c r="K9874" t="inlineStr">
        <is>
          <t>METAL</t>
        </is>
      </c>
      <c r="L9874">
        <f>_xlfn.XLOOKUP(Tableau1[[#This Row],[TYPE DE PIECE]],Tableau4[MATIERE],Tableau4[SHORT TYPE],"",0,1)</f>
        <v/>
      </c>
      <c r="N9874">
        <f>IF(ISERR(FIND("DECOUPE",Tableau1[[#This Row],[DESIGNATION]])),"","NEED REF")</f>
        <v/>
      </c>
    </row>
    <row r="9875">
      <c r="B9875" t="n">
        <v>34404131</v>
      </c>
      <c r="C9875" s="2" t="n">
        <v>41887</v>
      </c>
      <c r="D9875" t="inlineStr">
        <is>
          <t>SPEC</t>
        </is>
      </c>
      <c r="E9875" t="inlineStr">
        <is>
          <t>PROTECTION SHIELD NETSHELTER 750 14U</t>
        </is>
      </c>
      <c r="F9875" t="inlineStr">
        <is>
          <t>STS400 NETSHLTER</t>
        </is>
      </c>
      <c r="J9875" t="inlineStr">
        <is>
          <t>MATRION</t>
        </is>
      </c>
      <c r="K9875" t="inlineStr">
        <is>
          <t>METAL</t>
        </is>
      </c>
      <c r="L9875">
        <f>_xlfn.XLOOKUP(Tableau1[[#This Row],[TYPE DE PIECE]],Tableau4[MATIERE],Tableau4[SHORT TYPE],"",0,1)</f>
        <v/>
      </c>
      <c r="N9875">
        <f>IF(ISERR(FIND("DECOUPE",Tableau1[[#This Row],[DESIGNATION]])),"","NEED REF")</f>
        <v/>
      </c>
    </row>
    <row r="9876">
      <c r="B9876" t="n">
        <v>34404130</v>
      </c>
      <c r="C9876" s="2" t="n"/>
      <c r="E9876" t="inlineStr">
        <is>
          <t>réservé</t>
        </is>
      </c>
      <c r="L9876">
        <f>_xlfn.XLOOKUP(Tableau1[[#This Row],[TYPE DE PIECE]],Tableau4[MATIERE],Tableau4[SHORT TYPE],"",0,1)</f>
        <v/>
      </c>
      <c r="N9876">
        <f>IF(ISERR(FIND("DECOUPE",Tableau1[[#This Row],[DESIGNATION]])),"","NEED REF")</f>
        <v/>
      </c>
    </row>
    <row r="9877">
      <c r="B9877" t="n">
        <v>34404129</v>
      </c>
      <c r="C9877" s="2" t="n">
        <v>41883</v>
      </c>
      <c r="D9877" t="inlineStr">
        <is>
          <t>SPEC</t>
        </is>
      </c>
      <c r="E9877" t="inlineStr">
        <is>
          <t>SUPPORT FOR CIRCUIT BREAKER</t>
        </is>
      </c>
      <c r="F9877" t="inlineStr">
        <is>
          <t>BACKFEED ASI</t>
        </is>
      </c>
      <c r="J9877" t="inlineStr">
        <is>
          <t>MATRION</t>
        </is>
      </c>
      <c r="K9877" t="inlineStr">
        <is>
          <t>METAL</t>
        </is>
      </c>
      <c r="L9877">
        <f>_xlfn.XLOOKUP(Tableau1[[#This Row],[TYPE DE PIECE]],Tableau4[MATIERE],Tableau4[SHORT TYPE],"",0,1)</f>
        <v/>
      </c>
      <c r="N9877">
        <f>IF(ISERR(FIND("DECOUPE",Tableau1[[#This Row],[DESIGNATION]])),"","NEED REF")</f>
        <v/>
      </c>
    </row>
    <row r="9878">
      <c r="B9878" t="n">
        <v>34404128</v>
      </c>
      <c r="C9878" s="2" t="n">
        <v>41883</v>
      </c>
      <c r="D9878" t="inlineStr">
        <is>
          <t>SPEC</t>
        </is>
      </c>
      <c r="E9878" t="inlineStr">
        <is>
          <t>HIDDEN COVER Q4S-Q3BP FOR CIRCUIT BREAKER</t>
        </is>
      </c>
      <c r="F9878" t="inlineStr">
        <is>
          <t>BACKFEED ASI</t>
        </is>
      </c>
      <c r="J9878" t="inlineStr">
        <is>
          <t>MATRION</t>
        </is>
      </c>
      <c r="K9878" t="inlineStr">
        <is>
          <t>METAL</t>
        </is>
      </c>
      <c r="L9878">
        <f>_xlfn.XLOOKUP(Tableau1[[#This Row],[TYPE DE PIECE]],Tableau4[MATIERE],Tableau4[SHORT TYPE],"",0,1)</f>
        <v/>
      </c>
      <c r="N9878">
        <f>IF(ISERR(FIND("DECOUPE",Tableau1[[#This Row],[DESIGNATION]])),"","NEED REF")</f>
        <v/>
      </c>
    </row>
    <row r="9879">
      <c r="B9879" t="n">
        <v>34404127</v>
      </c>
      <c r="C9879" s="2" t="n">
        <v>41887</v>
      </c>
      <c r="D9879" t="inlineStr">
        <is>
          <t>SPEC</t>
        </is>
      </c>
      <c r="E9879" t="inlineStr">
        <is>
          <t>CALE FLEXIBAR</t>
        </is>
      </c>
      <c r="F9879" t="inlineStr">
        <is>
          <t>STS400 NETSHLTER</t>
        </is>
      </c>
      <c r="J9879" t="inlineStr">
        <is>
          <t>MATRION</t>
        </is>
      </c>
      <c r="K9879" t="inlineStr">
        <is>
          <t>PLASTIQUE</t>
        </is>
      </c>
      <c r="L9879">
        <f>_xlfn.XLOOKUP(Tableau1[[#This Row],[TYPE DE PIECE]],Tableau4[MATIERE],Tableau4[SHORT TYPE],"",0,1)</f>
        <v/>
      </c>
      <c r="N9879">
        <f>IF(ISERR(FIND("DECOUPE",Tableau1[[#This Row],[DESIGNATION]])),"","NEED REF")</f>
        <v/>
      </c>
    </row>
    <row r="9880">
      <c r="B9880" t="n">
        <v>34404126</v>
      </c>
      <c r="C9880" s="2" t="n">
        <v>41883</v>
      </c>
      <c r="D9880" t="inlineStr">
        <is>
          <t>SPEC</t>
        </is>
      </c>
      <c r="E9880" t="inlineStr">
        <is>
          <t>RENFORT CELLULE AVANT BAS</t>
        </is>
      </c>
      <c r="F9880" t="inlineStr">
        <is>
          <t>STS400 NETSHLTER</t>
        </is>
      </c>
      <c r="J9880" t="inlineStr">
        <is>
          <t>MATRION</t>
        </is>
      </c>
      <c r="K9880" t="inlineStr">
        <is>
          <t>METAL</t>
        </is>
      </c>
      <c r="L9880">
        <f>_xlfn.XLOOKUP(Tableau1[[#This Row],[TYPE DE PIECE]],Tableau4[MATIERE],Tableau4[SHORT TYPE],"",0,1)</f>
        <v/>
      </c>
      <c r="N9880">
        <f>IF(ISERR(FIND("DECOUPE",Tableau1[[#This Row],[DESIGNATION]])),"","NEED REF")</f>
        <v/>
      </c>
    </row>
    <row r="9881">
      <c r="B9881" t="n">
        <v>34404125</v>
      </c>
      <c r="C9881" s="2" t="n">
        <v>41883</v>
      </c>
      <c r="D9881" t="inlineStr">
        <is>
          <t>SPEC</t>
        </is>
      </c>
      <c r="E9881" t="inlineStr">
        <is>
          <t>RENFORT CELLULE ARRIERE BAS</t>
        </is>
      </c>
      <c r="F9881" t="inlineStr">
        <is>
          <t>STS400 NETSHLTER</t>
        </is>
      </c>
      <c r="J9881" t="inlineStr">
        <is>
          <t>MATRION</t>
        </is>
      </c>
      <c r="K9881" t="inlineStr">
        <is>
          <t>METAL</t>
        </is>
      </c>
      <c r="L9881">
        <f>_xlfn.XLOOKUP(Tableau1[[#This Row],[TYPE DE PIECE]],Tableau4[MATIERE],Tableau4[SHORT TYPE],"",0,1)</f>
        <v/>
      </c>
      <c r="N9881">
        <f>IF(ISERR(FIND("DECOUPE",Tableau1[[#This Row],[DESIGNATION]])),"","NEED REF")</f>
        <v/>
      </c>
    </row>
    <row r="9882">
      <c r="B9882" t="n">
        <v>34404124</v>
      </c>
      <c r="C9882" s="2" t="n">
        <v>41878</v>
      </c>
      <c r="D9882" t="inlineStr">
        <is>
          <t>SPEC</t>
        </is>
      </c>
      <c r="E9882" t="inlineStr">
        <is>
          <t>Filerie fils fins BCB Box G7000 (3xNSX630H)</t>
        </is>
      </c>
      <c r="F9882" t="inlineStr">
        <is>
          <t>G7000</t>
        </is>
      </c>
      <c r="J9882" t="inlineStr">
        <is>
          <t>ROBERT</t>
        </is>
      </c>
      <c r="L9882">
        <f>_xlfn.XLOOKUP(Tableau1[[#This Row],[TYPE DE PIECE]],Tableau4[MATIERE],Tableau4[SHORT TYPE],"",0,1)</f>
        <v/>
      </c>
      <c r="N9882">
        <f>IF(ISERR(FIND("DECOUPE",Tableau1[[#This Row],[DESIGNATION]])),"","NEED REF")</f>
        <v/>
      </c>
    </row>
    <row r="9883">
      <c r="B9883" t="n">
        <v>34404123</v>
      </c>
      <c r="C9883" s="2" t="n">
        <v>41883</v>
      </c>
      <c r="D9883" t="inlineStr">
        <is>
          <t>SPEC</t>
        </is>
      </c>
      <c r="E9883" t="inlineStr">
        <is>
          <t>SUPPORT JDB BYPASS</t>
        </is>
      </c>
      <c r="F9883" t="inlineStr">
        <is>
          <t>STS400 NETSHLTER</t>
        </is>
      </c>
      <c r="J9883" t="inlineStr">
        <is>
          <t>MATRION</t>
        </is>
      </c>
      <c r="K9883" t="inlineStr">
        <is>
          <t>METAL</t>
        </is>
      </c>
      <c r="L9883">
        <f>_xlfn.XLOOKUP(Tableau1[[#This Row],[TYPE DE PIECE]],Tableau4[MATIERE],Tableau4[SHORT TYPE],"",0,1)</f>
        <v/>
      </c>
      <c r="N9883">
        <f>IF(ISERR(FIND("DECOUPE",Tableau1[[#This Row],[DESIGNATION]])),"","NEED REF")</f>
        <v/>
      </c>
    </row>
    <row r="9884">
      <c r="B9884" t="n">
        <v>34404122</v>
      </c>
      <c r="C9884" s="2" t="n">
        <v>41883</v>
      </c>
      <c r="D9884" t="inlineStr">
        <is>
          <t>SPEC</t>
        </is>
      </c>
      <c r="E9884" t="inlineStr">
        <is>
          <t>PROTECTION SHIELD NETSHELTER 750 5U + BYPASS CUT</t>
        </is>
      </c>
      <c r="F9884" t="inlineStr">
        <is>
          <t>STS400 NETSHLTER</t>
        </is>
      </c>
      <c r="J9884" t="inlineStr">
        <is>
          <t>MATRION</t>
        </is>
      </c>
      <c r="K9884" t="inlineStr">
        <is>
          <t>METAL</t>
        </is>
      </c>
      <c r="L9884">
        <f>_xlfn.XLOOKUP(Tableau1[[#This Row],[TYPE DE PIECE]],Tableau4[MATIERE],Tableau4[SHORT TYPE],"",0,1)</f>
        <v/>
      </c>
      <c r="N9884">
        <f>IF(ISERR(FIND("DECOUPE",Tableau1[[#This Row],[DESIGNATION]])),"","NEED REF")</f>
        <v/>
      </c>
    </row>
    <row r="9885">
      <c r="B9885" t="n">
        <v>34404121</v>
      </c>
      <c r="C9885" s="2" t="n">
        <v>41883</v>
      </c>
      <c r="D9885" t="inlineStr">
        <is>
          <t>SPEC</t>
        </is>
      </c>
      <c r="E9885" t="inlineStr">
        <is>
          <t>PROTECTION SHIELD NETSHELTER 750 7U + BYPASS CUT</t>
        </is>
      </c>
      <c r="F9885" t="inlineStr">
        <is>
          <t>STS400 NETSHLTER</t>
        </is>
      </c>
      <c r="J9885" t="inlineStr">
        <is>
          <t>MATRION</t>
        </is>
      </c>
      <c r="K9885" t="inlineStr">
        <is>
          <t>METAL</t>
        </is>
      </c>
      <c r="L9885">
        <f>_xlfn.XLOOKUP(Tableau1[[#This Row],[TYPE DE PIECE]],Tableau4[MATIERE],Tableau4[SHORT TYPE],"",0,1)</f>
        <v/>
      </c>
      <c r="N9885">
        <f>IF(ISERR(FIND("DECOUPE",Tableau1[[#This Row],[DESIGNATION]])),"","NEED REF")</f>
        <v/>
      </c>
    </row>
    <row r="9886">
      <c r="B9886" t="n">
        <v>34404120</v>
      </c>
      <c r="C9886" s="2" t="n">
        <v>41883</v>
      </c>
      <c r="D9886" t="inlineStr">
        <is>
          <t>SPEC</t>
        </is>
      </c>
      <c r="E9886" t="inlineStr">
        <is>
          <t>PROTECTION SHIELD NETSHELTER 750 TOP</t>
        </is>
      </c>
      <c r="F9886" t="inlineStr">
        <is>
          <t>STS400 NETSHLTER</t>
        </is>
      </c>
      <c r="J9886" t="inlineStr">
        <is>
          <t>MATRION</t>
        </is>
      </c>
      <c r="K9886" t="inlineStr">
        <is>
          <t>METAL</t>
        </is>
      </c>
      <c r="L9886">
        <f>_xlfn.XLOOKUP(Tableau1[[#This Row],[TYPE DE PIECE]],Tableau4[MATIERE],Tableau4[SHORT TYPE],"",0,1)</f>
        <v/>
      </c>
      <c r="N9886">
        <f>IF(ISERR(FIND("DECOUPE",Tableau1[[#This Row],[DESIGNATION]])),"","NEED REF")</f>
        <v/>
      </c>
    </row>
    <row r="9887">
      <c r="B9887" t="n">
        <v>34404119</v>
      </c>
      <c r="C9887" s="2" t="n">
        <v>41883</v>
      </c>
      <c r="D9887" t="inlineStr">
        <is>
          <t>SPEC</t>
        </is>
      </c>
      <c r="E9887" t="inlineStr">
        <is>
          <t>PROTECTION SHIELD NETSHELTER 750 8U ELEC MODULE</t>
        </is>
      </c>
      <c r="F9887" t="inlineStr">
        <is>
          <t>STS400 NETSHLTER</t>
        </is>
      </c>
      <c r="J9887" t="inlineStr">
        <is>
          <t>MATRION</t>
        </is>
      </c>
      <c r="K9887" t="inlineStr">
        <is>
          <t>METAL</t>
        </is>
      </c>
      <c r="L9887">
        <f>_xlfn.XLOOKUP(Tableau1[[#This Row],[TYPE DE PIECE]],Tableau4[MATIERE],Tableau4[SHORT TYPE],"",0,1)</f>
        <v/>
      </c>
      <c r="N9887">
        <f>IF(ISERR(FIND("DECOUPE",Tableau1[[#This Row],[DESIGNATION]])),"","NEED REF")</f>
        <v/>
      </c>
    </row>
    <row r="9888">
      <c r="B9888" t="n">
        <v>34404118</v>
      </c>
      <c r="C9888" s="2" t="n">
        <v>41883</v>
      </c>
      <c r="D9888" t="inlineStr">
        <is>
          <t>SPEC</t>
        </is>
      </c>
      <c r="E9888" t="inlineStr">
        <is>
          <t>PROTECTION SHIELD NETSHELTER 750 14U PERFORATED</t>
        </is>
      </c>
      <c r="F9888" t="inlineStr">
        <is>
          <t>STS400 NETSHLTER</t>
        </is>
      </c>
      <c r="J9888" t="inlineStr">
        <is>
          <t>MATRION</t>
        </is>
      </c>
      <c r="K9888" t="inlineStr">
        <is>
          <t>METAL</t>
        </is>
      </c>
      <c r="L9888">
        <f>_xlfn.XLOOKUP(Tableau1[[#This Row],[TYPE DE PIECE]],Tableau4[MATIERE],Tableau4[SHORT TYPE],"",0,1)</f>
        <v/>
      </c>
      <c r="N9888">
        <f>IF(ISERR(FIND("DECOUPE",Tableau1[[#This Row],[DESIGNATION]])),"","NEED REF")</f>
        <v/>
      </c>
    </row>
    <row r="9889">
      <c r="B9889" t="n">
        <v>34404117</v>
      </c>
      <c r="C9889" s="2" t="n">
        <v>41883</v>
      </c>
      <c r="D9889" t="inlineStr">
        <is>
          <t>SPEC</t>
        </is>
      </c>
      <c r="E9889" t="inlineStr">
        <is>
          <t>SUPPORT VENTILATEUR 1</t>
        </is>
      </c>
      <c r="F9889" t="inlineStr">
        <is>
          <t>STS400 NETSHLTER</t>
        </is>
      </c>
      <c r="J9889" t="inlineStr">
        <is>
          <t>MATRION</t>
        </is>
      </c>
      <c r="K9889" t="inlineStr">
        <is>
          <t>METAL</t>
        </is>
      </c>
      <c r="L9889">
        <f>_xlfn.XLOOKUP(Tableau1[[#This Row],[TYPE DE PIECE]],Tableau4[MATIERE],Tableau4[SHORT TYPE],"",0,1)</f>
        <v/>
      </c>
      <c r="N9889">
        <f>IF(ISERR(FIND("DECOUPE",Tableau1[[#This Row],[DESIGNATION]])),"","NEED REF")</f>
        <v/>
      </c>
    </row>
    <row r="9890">
      <c r="B9890" t="n">
        <v>34404116</v>
      </c>
      <c r="C9890" s="2" t="n">
        <v>41883</v>
      </c>
      <c r="D9890" t="inlineStr">
        <is>
          <t>SPEC</t>
        </is>
      </c>
      <c r="E9890" t="inlineStr">
        <is>
          <t>SUPPORT AFFICHEUR HAUT</t>
        </is>
      </c>
      <c r="F9890" t="inlineStr">
        <is>
          <t>STS400 NETSHLTER</t>
        </is>
      </c>
      <c r="J9890" t="inlineStr">
        <is>
          <t>MATRION</t>
        </is>
      </c>
      <c r="K9890" t="inlineStr">
        <is>
          <t>METAL</t>
        </is>
      </c>
      <c r="L9890">
        <f>_xlfn.XLOOKUP(Tableau1[[#This Row],[TYPE DE PIECE]],Tableau4[MATIERE],Tableau4[SHORT TYPE],"",0,1)</f>
        <v/>
      </c>
      <c r="N9890">
        <f>IF(ISERR(FIND("DECOUPE",Tableau1[[#This Row],[DESIGNATION]])),"","NEED REF")</f>
        <v/>
      </c>
    </row>
    <row r="9891">
      <c r="B9891" t="n">
        <v>34404115</v>
      </c>
      <c r="C9891" s="2" t="n">
        <v>41872</v>
      </c>
      <c r="D9891" t="inlineStr">
        <is>
          <t>SPEC</t>
        </is>
      </c>
      <c r="E9891" t="inlineStr">
        <is>
          <t>PASTRON N°3 L=1012 H=300</t>
        </is>
      </c>
      <c r="F9891" t="inlineStr">
        <is>
          <t>CLE ARKEMA</t>
        </is>
      </c>
      <c r="J9891" t="inlineStr">
        <is>
          <t>ROBERT</t>
        </is>
      </c>
      <c r="L9891">
        <f>_xlfn.XLOOKUP(Tableau1[[#This Row],[TYPE DE PIECE]],Tableau4[MATIERE],Tableau4[SHORT TYPE],"",0,1)</f>
        <v/>
      </c>
      <c r="N9891">
        <f>IF(ISERR(FIND("DECOUPE",Tableau1[[#This Row],[DESIGNATION]])),"","NEED REF")</f>
        <v/>
      </c>
    </row>
    <row r="9892">
      <c r="B9892" t="n">
        <v>34404114</v>
      </c>
      <c r="C9892" s="2" t="n">
        <v>41872</v>
      </c>
      <c r="D9892" t="inlineStr">
        <is>
          <t>SPEC</t>
        </is>
      </c>
      <c r="E9892" t="inlineStr">
        <is>
          <t>PASTRON N°2 L=1012 H=300</t>
        </is>
      </c>
      <c r="F9892" t="inlineStr">
        <is>
          <t>CLE ARKEMA</t>
        </is>
      </c>
      <c r="J9892" t="inlineStr">
        <is>
          <t>ROBERT</t>
        </is>
      </c>
      <c r="L9892">
        <f>_xlfn.XLOOKUP(Tableau1[[#This Row],[TYPE DE PIECE]],Tableau4[MATIERE],Tableau4[SHORT TYPE],"",0,1)</f>
        <v/>
      </c>
      <c r="N9892">
        <f>IF(ISERR(FIND("DECOUPE",Tableau1[[#This Row],[DESIGNATION]])),"","NEED REF")</f>
        <v/>
      </c>
    </row>
    <row r="9893">
      <c r="B9893" t="n">
        <v>34404113</v>
      </c>
      <c r="C9893" s="2" t="n">
        <v>41872</v>
      </c>
      <c r="D9893" t="inlineStr">
        <is>
          <t>SPEC</t>
        </is>
      </c>
      <c r="E9893" t="inlineStr">
        <is>
          <t>PASTRON N°1 L=1012 H=300</t>
        </is>
      </c>
      <c r="F9893" t="inlineStr">
        <is>
          <t>CLE ARKEMA</t>
        </is>
      </c>
      <c r="J9893" t="inlineStr">
        <is>
          <t>ROBERT</t>
        </is>
      </c>
      <c r="L9893">
        <f>_xlfn.XLOOKUP(Tableau1[[#This Row],[TYPE DE PIECE]],Tableau4[MATIERE],Tableau4[SHORT TYPE],"",0,1)</f>
        <v/>
      </c>
      <c r="N9893">
        <f>IF(ISERR(FIND("DECOUPE",Tableau1[[#This Row],[DESIGNATION]])),"","NEED REF")</f>
        <v/>
      </c>
    </row>
    <row r="9894">
      <c r="B9894" t="n">
        <v>34404112</v>
      </c>
      <c r="C9894" s="2" t="n">
        <v>41871</v>
      </c>
      <c r="D9894" t="inlineStr">
        <is>
          <t>NOM</t>
        </is>
      </c>
      <c r="E9894" t="inlineStr">
        <is>
          <t>LG REHAUSSE H400 L1000</t>
        </is>
      </c>
      <c r="F9894" t="inlineStr">
        <is>
          <t>TOUTES</t>
        </is>
      </c>
      <c r="J9894" t="inlineStr">
        <is>
          <t>PLANTIER</t>
        </is>
      </c>
      <c r="K9894" t="inlineStr">
        <is>
          <t>BOM</t>
        </is>
      </c>
      <c r="L9894">
        <f>_xlfn.XLOOKUP(Tableau1[[#This Row],[TYPE DE PIECE]],Tableau4[MATIERE],Tableau4[SHORT TYPE],"",0,1)</f>
        <v/>
      </c>
      <c r="N9894">
        <f>IF(ISERR(FIND("DECOUPE",Tableau1[[#This Row],[DESIGNATION]])),"","NEED REF")</f>
        <v/>
      </c>
    </row>
    <row r="9895">
      <c r="B9895" t="n">
        <v>34404111</v>
      </c>
      <c r="C9895" s="2" t="n">
        <v>41871</v>
      </c>
      <c r="D9895" t="inlineStr">
        <is>
          <t>NOM</t>
        </is>
      </c>
      <c r="E9895" t="inlineStr">
        <is>
          <t>LG REHAUSSE H400 L1400</t>
        </is>
      </c>
      <c r="F9895" t="inlineStr">
        <is>
          <t>TOUTES</t>
        </is>
      </c>
      <c r="J9895" t="inlineStr">
        <is>
          <t>PLANTIER</t>
        </is>
      </c>
      <c r="K9895" t="inlineStr">
        <is>
          <t>BOM</t>
        </is>
      </c>
      <c r="L9895">
        <f>_xlfn.XLOOKUP(Tableau1[[#This Row],[TYPE DE PIECE]],Tableau4[MATIERE],Tableau4[SHORT TYPE],"",0,1)</f>
        <v/>
      </c>
      <c r="N9895">
        <f>IF(ISERR(FIND("DECOUPE",Tableau1[[#This Row],[DESIGNATION]])),"","NEED REF")</f>
        <v/>
      </c>
    </row>
    <row r="9896">
      <c r="B9896" t="n">
        <v>34404110</v>
      </c>
      <c r="C9896" s="2" t="n">
        <v>41883</v>
      </c>
      <c r="D9896" t="inlineStr">
        <is>
          <t>SPEC</t>
        </is>
      </c>
      <c r="E9896" t="inlineStr">
        <is>
          <t>SUPPORT DROITE/GAUCHE PLATINE BYPASS</t>
        </is>
      </c>
      <c r="F9896" t="inlineStr">
        <is>
          <t>STS400 NETSHLTER</t>
        </is>
      </c>
      <c r="J9896" t="inlineStr">
        <is>
          <t>MATRION</t>
        </is>
      </c>
      <c r="K9896" t="inlineStr">
        <is>
          <t>METAL</t>
        </is>
      </c>
      <c r="L9896">
        <f>_xlfn.XLOOKUP(Tableau1[[#This Row],[TYPE DE PIECE]],Tableau4[MATIERE],Tableau4[SHORT TYPE],"",0,1)</f>
        <v/>
      </c>
      <c r="N9896">
        <f>IF(ISERR(FIND("DECOUPE",Tableau1[[#This Row],[DESIGNATION]])),"","NEED REF")</f>
        <v/>
      </c>
    </row>
    <row r="9897">
      <c r="B9897" t="n">
        <v>34404109</v>
      </c>
      <c r="C9897" s="2" t="n">
        <v>41883</v>
      </c>
      <c r="D9897" t="inlineStr">
        <is>
          <t>SPEC</t>
        </is>
      </c>
      <c r="E9897" t="inlineStr">
        <is>
          <t>SUPPORT BAS</t>
        </is>
      </c>
      <c r="F9897" t="inlineStr">
        <is>
          <t>STS400 NETSHLTER</t>
        </is>
      </c>
      <c r="J9897" t="inlineStr">
        <is>
          <t>MATRION</t>
        </is>
      </c>
      <c r="K9897" t="inlineStr">
        <is>
          <t>METAL</t>
        </is>
      </c>
      <c r="L9897">
        <f>_xlfn.XLOOKUP(Tableau1[[#This Row],[TYPE DE PIECE]],Tableau4[MATIERE],Tableau4[SHORT TYPE],"",0,1)</f>
        <v/>
      </c>
      <c r="N9897">
        <f>IF(ISERR(FIND("DECOUPE",Tableau1[[#This Row],[DESIGNATION]])),"","NEED REF")</f>
        <v/>
      </c>
    </row>
    <row r="9898">
      <c r="B9898" t="n">
        <v>34404108</v>
      </c>
      <c r="C9898" s="2" t="n">
        <v>41883</v>
      </c>
      <c r="D9898" t="inlineStr">
        <is>
          <t>SPEC</t>
        </is>
      </c>
      <c r="E9898" t="inlineStr">
        <is>
          <t>SUPPORT CHEMIN DE CABLE FILAIRE</t>
        </is>
      </c>
      <c r="F9898" t="inlineStr">
        <is>
          <t>STS400 NETSHLTER</t>
        </is>
      </c>
      <c r="J9898" t="inlineStr">
        <is>
          <t>MATRION</t>
        </is>
      </c>
      <c r="K9898" t="inlineStr">
        <is>
          <t>METAL</t>
        </is>
      </c>
      <c r="L9898">
        <f>_xlfn.XLOOKUP(Tableau1[[#This Row],[TYPE DE PIECE]],Tableau4[MATIERE],Tableau4[SHORT TYPE],"",0,1)</f>
        <v/>
      </c>
      <c r="N9898">
        <f>IF(ISERR(FIND("DECOUPE",Tableau1[[#This Row],[DESIGNATION]])),"","NEED REF")</f>
        <v/>
      </c>
    </row>
    <row r="9899">
      <c r="B9899" t="n">
        <v>34404107</v>
      </c>
      <c r="C9899" s="2" t="n">
        <v>41883</v>
      </c>
      <c r="D9899" t="inlineStr">
        <is>
          <t>SPEC</t>
        </is>
      </c>
      <c r="E9899" t="inlineStr">
        <is>
          <t>SUPPORT VENTILATEUR 2</t>
        </is>
      </c>
      <c r="F9899" t="inlineStr">
        <is>
          <t>STS400 NETSHLTER</t>
        </is>
      </c>
      <c r="J9899" t="inlineStr">
        <is>
          <t>MATRION</t>
        </is>
      </c>
      <c r="K9899" t="inlineStr">
        <is>
          <t>METAL</t>
        </is>
      </c>
      <c r="L9899">
        <f>_xlfn.XLOOKUP(Tableau1[[#This Row],[TYPE DE PIECE]],Tableau4[MATIERE],Tableau4[SHORT TYPE],"",0,1)</f>
        <v/>
      </c>
      <c r="N9899">
        <f>IF(ISERR(FIND("DECOUPE",Tableau1[[#This Row],[DESIGNATION]])),"","NEED REF")</f>
        <v/>
      </c>
    </row>
    <row r="9900">
      <c r="B9900" t="n">
        <v>34404106</v>
      </c>
      <c r="C9900" s="2" t="n"/>
      <c r="E9900" t="inlineStr">
        <is>
          <t>STS NETSHELTER CUBICLE</t>
        </is>
      </c>
      <c r="F9900" t="inlineStr">
        <is>
          <t>STS400 NETSHLTER</t>
        </is>
      </c>
      <c r="L9900">
        <f>_xlfn.XLOOKUP(Tableau1[[#This Row],[TYPE DE PIECE]],Tableau4[MATIERE],Tableau4[SHORT TYPE],"",0,1)</f>
        <v/>
      </c>
      <c r="N9900">
        <f>IF(ISERR(FIND("DECOUPE",Tableau1[[#This Row],[DESIGNATION]])),"","NEED REF")</f>
        <v/>
      </c>
    </row>
    <row r="9901">
      <c r="B9901" t="n">
        <v>34404105</v>
      </c>
      <c r="C9901" s="2" t="n">
        <v>41883</v>
      </c>
      <c r="D9901" t="inlineStr">
        <is>
          <t>SPEC</t>
        </is>
      </c>
      <c r="E9901" t="inlineStr">
        <is>
          <t>SUPPORT NEUTRE COUPE</t>
        </is>
      </c>
      <c r="F9901" t="inlineStr">
        <is>
          <t>STS400 NETSHLTER</t>
        </is>
      </c>
      <c r="J9901" t="inlineStr">
        <is>
          <t>MATRION</t>
        </is>
      </c>
      <c r="K9901" t="inlineStr">
        <is>
          <t>METAL</t>
        </is>
      </c>
      <c r="L9901">
        <f>_xlfn.XLOOKUP(Tableau1[[#This Row],[TYPE DE PIECE]],Tableau4[MATIERE],Tableau4[SHORT TYPE],"",0,1)</f>
        <v/>
      </c>
      <c r="N9901">
        <f>IF(ISERR(FIND("DECOUPE",Tableau1[[#This Row],[DESIGNATION]])),"","NEED REF")</f>
        <v/>
      </c>
    </row>
    <row r="9902">
      <c r="B9902" t="n">
        <v>34404104</v>
      </c>
      <c r="C9902" s="2" t="n"/>
      <c r="E9902" t="inlineStr">
        <is>
          <t>réservé</t>
        </is>
      </c>
      <c r="F9902" t="inlineStr">
        <is>
          <t>STS400 NETSHLTER</t>
        </is>
      </c>
      <c r="L9902">
        <f>_xlfn.XLOOKUP(Tableau1[[#This Row],[TYPE DE PIECE]],Tableau4[MATIERE],Tableau4[SHORT TYPE],"",0,1)</f>
        <v/>
      </c>
      <c r="N9902">
        <f>IF(ISERR(FIND("DECOUPE",Tableau1[[#This Row],[DESIGNATION]])),"","NEED REF")</f>
        <v/>
      </c>
    </row>
    <row r="9903">
      <c r="B9903" t="n">
        <v>34404103</v>
      </c>
      <c r="C9903" s="2" t="n">
        <v>41883</v>
      </c>
      <c r="D9903" t="inlineStr">
        <is>
          <t>SPEC</t>
        </is>
      </c>
      <c r="E9903" t="inlineStr">
        <is>
          <t>PROTECTION SHIELD NETSHELTER 750 5U FAN</t>
        </is>
      </c>
      <c r="F9903" t="inlineStr">
        <is>
          <t>STS400 NETSHLTER</t>
        </is>
      </c>
      <c r="J9903" t="inlineStr">
        <is>
          <t>MATRION</t>
        </is>
      </c>
      <c r="K9903" t="inlineStr">
        <is>
          <t>METAL</t>
        </is>
      </c>
      <c r="L9903">
        <f>_xlfn.XLOOKUP(Tableau1[[#This Row],[TYPE DE PIECE]],Tableau4[MATIERE],Tableau4[SHORT TYPE],"",0,1)</f>
        <v/>
      </c>
      <c r="N9903">
        <f>IF(ISERR(FIND("DECOUPE",Tableau1[[#This Row],[DESIGNATION]])),"","NEED REF")</f>
        <v/>
      </c>
    </row>
    <row r="9904">
      <c r="B9904" t="n">
        <v>34404102</v>
      </c>
      <c r="C9904" s="2" t="n">
        <v>41883</v>
      </c>
      <c r="D9904" t="inlineStr">
        <is>
          <t>SPEC</t>
        </is>
      </c>
      <c r="E9904" t="inlineStr">
        <is>
          <t>PROTECTION SHIELD NETSHELTER 750 12U</t>
        </is>
      </c>
      <c r="F9904" t="inlineStr">
        <is>
          <t>NETSHLTER</t>
        </is>
      </c>
      <c r="J9904" t="inlineStr">
        <is>
          <t>MATRION</t>
        </is>
      </c>
      <c r="K9904" t="inlineStr">
        <is>
          <t>METAL</t>
        </is>
      </c>
      <c r="L9904">
        <f>_xlfn.XLOOKUP(Tableau1[[#This Row],[TYPE DE PIECE]],Tableau4[MATIERE],Tableau4[SHORT TYPE],"",0,1)</f>
        <v/>
      </c>
      <c r="N9904">
        <f>IF(ISERR(FIND("DECOUPE",Tableau1[[#This Row],[DESIGNATION]])),"","NEED REF")</f>
        <v/>
      </c>
    </row>
    <row r="9905">
      <c r="B9905" t="n">
        <v>34404101</v>
      </c>
      <c r="C9905" s="2" t="n">
        <v>41883</v>
      </c>
      <c r="D9905" t="inlineStr">
        <is>
          <t>SPEC</t>
        </is>
      </c>
      <c r="E9905" t="inlineStr">
        <is>
          <t>PROTECTION SHIELD NETSHELTER 750 11U</t>
        </is>
      </c>
      <c r="F9905" t="inlineStr">
        <is>
          <t>NETSHLTER</t>
        </is>
      </c>
      <c r="J9905" t="inlineStr">
        <is>
          <t>MATRION</t>
        </is>
      </c>
      <c r="K9905" t="inlineStr">
        <is>
          <t>METAL</t>
        </is>
      </c>
      <c r="L9905">
        <f>_xlfn.XLOOKUP(Tableau1[[#This Row],[TYPE DE PIECE]],Tableau4[MATIERE],Tableau4[SHORT TYPE],"",0,1)</f>
        <v/>
      </c>
      <c r="N9905">
        <f>IF(ISERR(FIND("DECOUPE",Tableau1[[#This Row],[DESIGNATION]])),"","NEED REF")</f>
        <v/>
      </c>
    </row>
    <row r="9906">
      <c r="B9906" t="n">
        <v>34404100</v>
      </c>
      <c r="C9906" s="2" t="n">
        <v>41883</v>
      </c>
      <c r="D9906" t="inlineStr">
        <is>
          <t>SPEC</t>
        </is>
      </c>
      <c r="E9906" t="inlineStr">
        <is>
          <t>PROTECTION SHIELD NETSHELTER 750 10U</t>
        </is>
      </c>
      <c r="F9906" t="inlineStr">
        <is>
          <t>NETSHLTER</t>
        </is>
      </c>
      <c r="J9906" t="inlineStr">
        <is>
          <t>MATRION</t>
        </is>
      </c>
      <c r="K9906" t="inlineStr">
        <is>
          <t>METAL</t>
        </is>
      </c>
      <c r="L9906">
        <f>_xlfn.XLOOKUP(Tableau1[[#This Row],[TYPE DE PIECE]],Tableau4[MATIERE],Tableau4[SHORT TYPE],"",0,1)</f>
        <v/>
      </c>
      <c r="N9906">
        <f>IF(ISERR(FIND("DECOUPE",Tableau1[[#This Row],[DESIGNATION]])),"","NEED REF")</f>
        <v/>
      </c>
    </row>
    <row r="9907">
      <c r="B9907" t="n">
        <v>34404099</v>
      </c>
      <c r="C9907" s="2" t="n">
        <v>41883</v>
      </c>
      <c r="D9907" t="inlineStr">
        <is>
          <t>SPEC</t>
        </is>
      </c>
      <c r="E9907" t="inlineStr">
        <is>
          <t>PROTECTION SHIELD NETSHELTER 750 9U</t>
        </is>
      </c>
      <c r="F9907" t="inlineStr">
        <is>
          <t>NETSHLTER</t>
        </is>
      </c>
      <c r="J9907" t="inlineStr">
        <is>
          <t>MATRION</t>
        </is>
      </c>
      <c r="K9907" t="inlineStr">
        <is>
          <t>METAL</t>
        </is>
      </c>
      <c r="L9907">
        <f>_xlfn.XLOOKUP(Tableau1[[#This Row],[TYPE DE PIECE]],Tableau4[MATIERE],Tableau4[SHORT TYPE],"",0,1)</f>
        <v/>
      </c>
      <c r="N9907">
        <f>IF(ISERR(FIND("DECOUPE",Tableau1[[#This Row],[DESIGNATION]])),"","NEED REF")</f>
        <v/>
      </c>
    </row>
    <row r="9908">
      <c r="B9908" t="n">
        <v>34404098</v>
      </c>
      <c r="C9908" s="2" t="n">
        <v>41883</v>
      </c>
      <c r="D9908" t="inlineStr">
        <is>
          <t>SPEC</t>
        </is>
      </c>
      <c r="E9908" t="inlineStr">
        <is>
          <t>PROTECTION SHIELD NETSHELTER 750 8U</t>
        </is>
      </c>
      <c r="F9908" t="inlineStr">
        <is>
          <t>NETSHLTER</t>
        </is>
      </c>
      <c r="J9908" t="inlineStr">
        <is>
          <t>MATRION</t>
        </is>
      </c>
      <c r="K9908" t="inlineStr">
        <is>
          <t>METAL</t>
        </is>
      </c>
      <c r="L9908">
        <f>_xlfn.XLOOKUP(Tableau1[[#This Row],[TYPE DE PIECE]],Tableau4[MATIERE],Tableau4[SHORT TYPE],"",0,1)</f>
        <v/>
      </c>
      <c r="N9908">
        <f>IF(ISERR(FIND("DECOUPE",Tableau1[[#This Row],[DESIGNATION]])),"","NEED REF")</f>
        <v/>
      </c>
    </row>
    <row r="9909">
      <c r="B9909" t="n">
        <v>34404097</v>
      </c>
      <c r="C9909" s="2" t="n">
        <v>41883</v>
      </c>
      <c r="D9909" t="inlineStr">
        <is>
          <t>SPEC</t>
        </is>
      </c>
      <c r="E9909" t="inlineStr">
        <is>
          <t>PROTECTION SHIELD NETSHELTER 750 7U</t>
        </is>
      </c>
      <c r="F9909" t="inlineStr">
        <is>
          <t>NETSHLTER</t>
        </is>
      </c>
      <c r="J9909" t="inlineStr">
        <is>
          <t>MATRION</t>
        </is>
      </c>
      <c r="K9909" t="inlineStr">
        <is>
          <t>METAL</t>
        </is>
      </c>
      <c r="L9909">
        <f>_xlfn.XLOOKUP(Tableau1[[#This Row],[TYPE DE PIECE]],Tableau4[MATIERE],Tableau4[SHORT TYPE],"",0,1)</f>
        <v/>
      </c>
      <c r="N9909">
        <f>IF(ISERR(FIND("DECOUPE",Tableau1[[#This Row],[DESIGNATION]])),"","NEED REF")</f>
        <v/>
      </c>
    </row>
    <row r="9910">
      <c r="B9910" t="n">
        <v>34404096</v>
      </c>
      <c r="C9910" s="2" t="n">
        <v>41883</v>
      </c>
      <c r="D9910" t="inlineStr">
        <is>
          <t>SPEC</t>
        </is>
      </c>
      <c r="E9910" t="inlineStr">
        <is>
          <t>PROTECTION SHIELD NETSHELTER 750 6U</t>
        </is>
      </c>
      <c r="F9910" t="inlineStr">
        <is>
          <t>NETSHLTER</t>
        </is>
      </c>
      <c r="J9910" t="inlineStr">
        <is>
          <t>MATRION</t>
        </is>
      </c>
      <c r="K9910" t="inlineStr">
        <is>
          <t>METAL</t>
        </is>
      </c>
      <c r="L9910">
        <f>_xlfn.XLOOKUP(Tableau1[[#This Row],[TYPE DE PIECE]],Tableau4[MATIERE],Tableau4[SHORT TYPE],"",0,1)</f>
        <v/>
      </c>
      <c r="N9910">
        <f>IF(ISERR(FIND("DECOUPE",Tableau1[[#This Row],[DESIGNATION]])),"","NEED REF")</f>
        <v/>
      </c>
    </row>
    <row r="9911">
      <c r="B9911" t="n">
        <v>34404095</v>
      </c>
      <c r="C9911" s="2" t="n">
        <v>41883</v>
      </c>
      <c r="D9911" t="inlineStr">
        <is>
          <t>SPEC</t>
        </is>
      </c>
      <c r="E9911" t="inlineStr">
        <is>
          <t>PROTECTION SHIELD NETSHELTER 750 5U</t>
        </is>
      </c>
      <c r="F9911" t="inlineStr">
        <is>
          <t>NETSHLTER</t>
        </is>
      </c>
      <c r="J9911" t="inlineStr">
        <is>
          <t>MATRION</t>
        </is>
      </c>
      <c r="K9911" t="inlineStr">
        <is>
          <t>METAL</t>
        </is>
      </c>
      <c r="L9911">
        <f>_xlfn.XLOOKUP(Tableau1[[#This Row],[TYPE DE PIECE]],Tableau4[MATIERE],Tableau4[SHORT TYPE],"",0,1)</f>
        <v/>
      </c>
      <c r="N9911">
        <f>IF(ISERR(FIND("DECOUPE",Tableau1[[#This Row],[DESIGNATION]])),"","NEED REF")</f>
        <v/>
      </c>
    </row>
    <row r="9912">
      <c r="B9912" t="n">
        <v>34404094</v>
      </c>
      <c r="C9912" s="2" t="n">
        <v>41883</v>
      </c>
      <c r="D9912" t="inlineStr">
        <is>
          <t>SPEC</t>
        </is>
      </c>
      <c r="E9912" t="inlineStr">
        <is>
          <t>PROTECTION SHIELD NETSHELTER 750 4U</t>
        </is>
      </c>
      <c r="F9912" t="inlineStr">
        <is>
          <t>NETSHLTER</t>
        </is>
      </c>
      <c r="J9912" t="inlineStr">
        <is>
          <t>MATRION</t>
        </is>
      </c>
      <c r="K9912" t="inlineStr">
        <is>
          <t>METAL</t>
        </is>
      </c>
      <c r="L9912">
        <f>_xlfn.XLOOKUP(Tableau1[[#This Row],[TYPE DE PIECE]],Tableau4[MATIERE],Tableau4[SHORT TYPE],"",0,1)</f>
        <v/>
      </c>
      <c r="N9912">
        <f>IF(ISERR(FIND("DECOUPE",Tableau1[[#This Row],[DESIGNATION]])),"","NEED REF")</f>
        <v/>
      </c>
    </row>
    <row r="9913">
      <c r="B9913" t="n">
        <v>34404093</v>
      </c>
      <c r="C9913" s="2" t="n">
        <v>41883</v>
      </c>
      <c r="D9913" t="inlineStr">
        <is>
          <t>SPEC</t>
        </is>
      </c>
      <c r="E9913" t="inlineStr">
        <is>
          <t>PROTECTION SHIELD NETSHELTER 750 3U</t>
        </is>
      </c>
      <c r="F9913" t="inlineStr">
        <is>
          <t>NETSHLTER</t>
        </is>
      </c>
      <c r="J9913" t="inlineStr">
        <is>
          <t>MATRION</t>
        </is>
      </c>
      <c r="K9913" t="inlineStr">
        <is>
          <t>METAL</t>
        </is>
      </c>
      <c r="L9913">
        <f>_xlfn.XLOOKUP(Tableau1[[#This Row],[TYPE DE PIECE]],Tableau4[MATIERE],Tableau4[SHORT TYPE],"",0,1)</f>
        <v/>
      </c>
      <c r="N9913">
        <f>IF(ISERR(FIND("DECOUPE",Tableau1[[#This Row],[DESIGNATION]])),"","NEED REF")</f>
        <v/>
      </c>
    </row>
    <row r="9914">
      <c r="B9914" t="n">
        <v>34404092</v>
      </c>
      <c r="C9914" s="2" t="n">
        <v>41883</v>
      </c>
      <c r="D9914" t="inlineStr">
        <is>
          <t>SPEC</t>
        </is>
      </c>
      <c r="E9914" t="inlineStr">
        <is>
          <t>PROTECTION SHIELD NETSHELTER 750 2U</t>
        </is>
      </c>
      <c r="F9914" t="inlineStr">
        <is>
          <t>NETSHLTER</t>
        </is>
      </c>
      <c r="J9914" t="inlineStr">
        <is>
          <t>MATRION</t>
        </is>
      </c>
      <c r="K9914" t="inlineStr">
        <is>
          <t>METAL</t>
        </is>
      </c>
      <c r="L9914">
        <f>_xlfn.XLOOKUP(Tableau1[[#This Row],[TYPE DE PIECE]],Tableau4[MATIERE],Tableau4[SHORT TYPE],"",0,1)</f>
        <v/>
      </c>
      <c r="N9914">
        <f>IF(ISERR(FIND("DECOUPE",Tableau1[[#This Row],[DESIGNATION]])),"","NEED REF")</f>
        <v/>
      </c>
    </row>
    <row r="9915">
      <c r="B9915" t="n">
        <v>34404091</v>
      </c>
      <c r="C9915" s="2" t="n">
        <v>41883</v>
      </c>
      <c r="D9915" t="inlineStr">
        <is>
          <t>SPEC</t>
        </is>
      </c>
      <c r="E9915" t="inlineStr">
        <is>
          <t>PROTECTION SHIELD NETSHELTER 750 1U</t>
        </is>
      </c>
      <c r="F9915" t="inlineStr">
        <is>
          <t>NETSHLTER</t>
        </is>
      </c>
      <c r="J9915" t="inlineStr">
        <is>
          <t>MATRION</t>
        </is>
      </c>
      <c r="K9915" t="inlineStr">
        <is>
          <t>METAL</t>
        </is>
      </c>
      <c r="L9915">
        <f>_xlfn.XLOOKUP(Tableau1[[#This Row],[TYPE DE PIECE]],Tableau4[MATIERE],Tableau4[SHORT TYPE],"",0,1)</f>
        <v/>
      </c>
      <c r="N9915">
        <f>IF(ISERR(FIND("DECOUPE",Tableau1[[#This Row],[DESIGNATION]])),"","NEED REF")</f>
        <v/>
      </c>
    </row>
    <row r="9916">
      <c r="B9916" t="n">
        <v>34404090</v>
      </c>
      <c r="C9916" s="2" t="n">
        <v>41864</v>
      </c>
      <c r="D9916" t="inlineStr">
        <is>
          <t>SPEC</t>
        </is>
      </c>
      <c r="E9916" t="inlineStr">
        <is>
          <t>Dossier de paramétrage back feed G7000</t>
        </is>
      </c>
      <c r="F9916" t="inlineStr">
        <is>
          <t>G7000</t>
        </is>
      </c>
      <c r="L9916">
        <f>_xlfn.XLOOKUP(Tableau1[[#This Row],[TYPE DE PIECE]],Tableau4[MATIERE],Tableau4[SHORT TYPE],"",0,1)</f>
        <v/>
      </c>
      <c r="N9916">
        <f>IF(ISERR(FIND("DECOUPE",Tableau1[[#This Row],[DESIGNATION]])),"","NEED REF")</f>
        <v/>
      </c>
    </row>
    <row r="9917">
      <c r="B9917" t="n">
        <v>34404089</v>
      </c>
      <c r="C9917" s="2" t="n">
        <v>41883</v>
      </c>
      <c r="D9917" t="inlineStr">
        <is>
          <t>SPEC</t>
        </is>
      </c>
      <c r="E9917" t="inlineStr">
        <is>
          <t>NETSHELTER LEFT AMOUNT 750 FOR STS</t>
        </is>
      </c>
      <c r="F9917" t="inlineStr">
        <is>
          <t>STS400 NETSHLTER</t>
        </is>
      </c>
      <c r="J9917" t="inlineStr">
        <is>
          <t>MATRION</t>
        </is>
      </c>
      <c r="K9917" t="inlineStr">
        <is>
          <t>METAL</t>
        </is>
      </c>
      <c r="L9917">
        <f>_xlfn.XLOOKUP(Tableau1[[#This Row],[TYPE DE PIECE]],Tableau4[MATIERE],Tableau4[SHORT TYPE],"",0,1)</f>
        <v/>
      </c>
      <c r="N9917">
        <f>IF(ISERR(FIND("DECOUPE",Tableau1[[#This Row],[DESIGNATION]])),"","NEED REF")</f>
        <v/>
      </c>
    </row>
    <row r="9918">
      <c r="B9918" t="n">
        <v>34404088</v>
      </c>
      <c r="C9918" s="2" t="n">
        <v>41883</v>
      </c>
      <c r="D9918" t="inlineStr">
        <is>
          <t>SPEC</t>
        </is>
      </c>
      <c r="E9918" t="inlineStr">
        <is>
          <t>NETSHELTER RIGHT AMOUNT 750 FOR STS</t>
        </is>
      </c>
      <c r="F9918" t="inlineStr">
        <is>
          <t>STS400 NETSHLTER</t>
        </is>
      </c>
      <c r="J9918" t="inlineStr">
        <is>
          <t>MATRION</t>
        </is>
      </c>
      <c r="K9918" t="inlineStr">
        <is>
          <t>METAL</t>
        </is>
      </c>
      <c r="L9918">
        <f>_xlfn.XLOOKUP(Tableau1[[#This Row],[TYPE DE PIECE]],Tableau4[MATIERE],Tableau4[SHORT TYPE],"",0,1)</f>
        <v/>
      </c>
      <c r="N9918">
        <f>IF(ISERR(FIND("DECOUPE",Tableau1[[#This Row],[DESIGNATION]])),"","NEED REF")</f>
        <v/>
      </c>
    </row>
    <row r="9919">
      <c r="B9919" t="n">
        <v>34404087</v>
      </c>
      <c r="C9919" s="2" t="n">
        <v>41883</v>
      </c>
      <c r="D9919" t="inlineStr">
        <is>
          <t>SPEC</t>
        </is>
      </c>
      <c r="E9919" t="inlineStr">
        <is>
          <t>SUPPORT AFFICHEUR BAS + COMM</t>
        </is>
      </c>
      <c r="F9919" t="inlineStr">
        <is>
          <t>STS400 NETSHLTER</t>
        </is>
      </c>
      <c r="J9919" t="inlineStr">
        <is>
          <t>MATRION</t>
        </is>
      </c>
      <c r="K9919" t="inlineStr">
        <is>
          <t>METAL</t>
        </is>
      </c>
      <c r="L9919">
        <f>_xlfn.XLOOKUP(Tableau1[[#This Row],[TYPE DE PIECE]],Tableau4[MATIERE],Tableau4[SHORT TYPE],"",0,1)</f>
        <v/>
      </c>
      <c r="N9919">
        <f>IF(ISERR(FIND("DECOUPE",Tableau1[[#This Row],[DESIGNATION]])),"","NEED REF")</f>
        <v/>
      </c>
    </row>
    <row r="9920">
      <c r="B9920" t="n">
        <v>34404086</v>
      </c>
      <c r="C9920" s="2" t="n">
        <v>41883</v>
      </c>
      <c r="D9920" t="inlineStr">
        <is>
          <t>SPEC</t>
        </is>
      </c>
      <c r="E9920" t="inlineStr">
        <is>
          <t>PLATINE MODULE DROE</t>
        </is>
      </c>
      <c r="F9920" t="inlineStr">
        <is>
          <t>STS400 NETSHLTER</t>
        </is>
      </c>
      <c r="J9920" t="inlineStr">
        <is>
          <t>MATRION</t>
        </is>
      </c>
      <c r="K9920" t="inlineStr">
        <is>
          <t>METAL</t>
        </is>
      </c>
      <c r="L9920">
        <f>_xlfn.XLOOKUP(Tableau1[[#This Row],[TYPE DE PIECE]],Tableau4[MATIERE],Tableau4[SHORT TYPE],"",0,1)</f>
        <v/>
      </c>
      <c r="N9920">
        <f>IF(ISERR(FIND("DECOUPE",Tableau1[[#This Row],[DESIGNATION]])),"","NEED REF")</f>
        <v/>
      </c>
    </row>
    <row r="9921">
      <c r="B9921" t="n">
        <v>34404085</v>
      </c>
      <c r="C9921" s="2" t="n">
        <v>41883</v>
      </c>
      <c r="D9921" t="inlineStr">
        <is>
          <t>SPEC</t>
        </is>
      </c>
      <c r="E9921" t="inlineStr">
        <is>
          <t>GLISSIERE GAUCHE MODULE ELEC</t>
        </is>
      </c>
      <c r="F9921" t="inlineStr">
        <is>
          <t>STS400 NETSHLTER</t>
        </is>
      </c>
      <c r="J9921" t="inlineStr">
        <is>
          <t>MATRION</t>
        </is>
      </c>
      <c r="K9921" t="inlineStr">
        <is>
          <t>METAL</t>
        </is>
      </c>
      <c r="L9921">
        <f>_xlfn.XLOOKUP(Tableau1[[#This Row],[TYPE DE PIECE]],Tableau4[MATIERE],Tableau4[SHORT TYPE],"",0,1)</f>
        <v/>
      </c>
      <c r="N9921">
        <f>IF(ISERR(FIND("DECOUPE",Tableau1[[#This Row],[DESIGNATION]])),"","NEED REF")</f>
        <v/>
      </c>
    </row>
    <row r="9922">
      <c r="B9922" t="n">
        <v>34404084</v>
      </c>
      <c r="C9922" s="2" t="n">
        <v>41883</v>
      </c>
      <c r="D9922" t="inlineStr">
        <is>
          <t>SPEC</t>
        </is>
      </c>
      <c r="E9922" t="inlineStr">
        <is>
          <t>GLISSIERE DROITE MODULE ELEC</t>
        </is>
      </c>
      <c r="F9922" t="inlineStr">
        <is>
          <t>STS400 NETSHLTER</t>
        </is>
      </c>
      <c r="J9922" t="inlineStr">
        <is>
          <t>MATRION</t>
        </is>
      </c>
      <c r="K9922" t="inlineStr">
        <is>
          <t>METAL</t>
        </is>
      </c>
      <c r="L9922">
        <f>_xlfn.XLOOKUP(Tableau1[[#This Row],[TYPE DE PIECE]],Tableau4[MATIERE],Tableau4[SHORT TYPE],"",0,1)</f>
        <v/>
      </c>
      <c r="N9922">
        <f>IF(ISERR(FIND("DECOUPE",Tableau1[[#This Row],[DESIGNATION]])),"","NEED REF")</f>
        <v/>
      </c>
    </row>
    <row r="9923">
      <c r="B9923" t="n">
        <v>34404083</v>
      </c>
      <c r="C9923" s="2" t="n">
        <v>41883</v>
      </c>
      <c r="D9923" t="inlineStr">
        <is>
          <t>SPEC</t>
        </is>
      </c>
      <c r="E9923" t="inlineStr">
        <is>
          <t>GLISSIERE MODULE CS</t>
        </is>
      </c>
      <c r="F9923" t="inlineStr">
        <is>
          <t>STS400 NETSHLTER</t>
        </is>
      </c>
      <c r="J9923" t="inlineStr">
        <is>
          <t>MATRION</t>
        </is>
      </c>
      <c r="K9923" t="inlineStr">
        <is>
          <t>PLASTIQUE</t>
        </is>
      </c>
      <c r="L9923">
        <f>_xlfn.XLOOKUP(Tableau1[[#This Row],[TYPE DE PIECE]],Tableau4[MATIERE],Tableau4[SHORT TYPE],"",0,1)</f>
        <v/>
      </c>
      <c r="N9923">
        <f>IF(ISERR(FIND("DECOUPE",Tableau1[[#This Row],[DESIGNATION]])),"","NEED REF")</f>
        <v/>
      </c>
    </row>
    <row r="9924">
      <c r="B9924" t="n">
        <v>34404082</v>
      </c>
      <c r="C9924" s="2" t="n">
        <v>41883</v>
      </c>
      <c r="D9924" t="inlineStr">
        <is>
          <t>SPEC</t>
        </is>
      </c>
      <c r="E9924" t="inlineStr">
        <is>
          <t>SUPPORT GLISSISERE HAUT/DROITE BAS/GAUCHE</t>
        </is>
      </c>
      <c r="F9924" t="inlineStr">
        <is>
          <t>STS400 NETSHLTER</t>
        </is>
      </c>
      <c r="J9924" t="inlineStr">
        <is>
          <t>MATRION</t>
        </is>
      </c>
      <c r="K9924" t="inlineStr">
        <is>
          <t>METAL</t>
        </is>
      </c>
      <c r="L9924">
        <f>_xlfn.XLOOKUP(Tableau1[[#This Row],[TYPE DE PIECE]],Tableau4[MATIERE],Tableau4[SHORT TYPE],"",0,1)</f>
        <v/>
      </c>
      <c r="N9924">
        <f>IF(ISERR(FIND("DECOUPE",Tableau1[[#This Row],[DESIGNATION]])),"","NEED REF")</f>
        <v/>
      </c>
    </row>
    <row r="9925">
      <c r="B9925" t="n">
        <v>34404081</v>
      </c>
      <c r="C9925" s="2" t="n">
        <v>41883</v>
      </c>
      <c r="D9925" t="inlineStr">
        <is>
          <t>SPEC</t>
        </is>
      </c>
      <c r="E9925" t="inlineStr">
        <is>
          <t>COPPERBAR CS MODULES S1 S2</t>
        </is>
      </c>
      <c r="F9925" t="inlineStr">
        <is>
          <t>STS400 NETSHLTER</t>
        </is>
      </c>
      <c r="J9925" t="inlineStr">
        <is>
          <t>MATRION</t>
        </is>
      </c>
      <c r="K9925" t="inlineStr">
        <is>
          <t>CUIVRE</t>
        </is>
      </c>
      <c r="L9925">
        <f>_xlfn.XLOOKUP(Tableau1[[#This Row],[TYPE DE PIECE]],Tableau4[MATIERE],Tableau4[SHORT TYPE],"",0,1)</f>
        <v/>
      </c>
      <c r="N9925">
        <f>IF(ISERR(FIND("DECOUPE",Tableau1[[#This Row],[DESIGNATION]])),"","NEED REF")</f>
        <v/>
      </c>
    </row>
    <row r="9926">
      <c r="B9926" t="n">
        <v>34404080</v>
      </c>
      <c r="C9926" s="2" t="n"/>
      <c r="E9926" t="inlineStr">
        <is>
          <t>réservé</t>
        </is>
      </c>
      <c r="F9926" t="inlineStr">
        <is>
          <t>STS400 NETSHLTER</t>
        </is>
      </c>
      <c r="L9926">
        <f>_xlfn.XLOOKUP(Tableau1[[#This Row],[TYPE DE PIECE]],Tableau4[MATIERE],Tableau4[SHORT TYPE],"",0,1)</f>
        <v/>
      </c>
      <c r="N9926">
        <f>IF(ISERR(FIND("DECOUPE",Tableau1[[#This Row],[DESIGNATION]])),"","NEED REF")</f>
        <v/>
      </c>
    </row>
    <row r="9927">
      <c r="B9927" t="n">
        <v>34404079</v>
      </c>
      <c r="C9927" s="2" t="n"/>
      <c r="E9927" t="inlineStr">
        <is>
          <t>réservé</t>
        </is>
      </c>
      <c r="F9927" t="inlineStr">
        <is>
          <t>STS400 NETSHLTER</t>
        </is>
      </c>
      <c r="L9927">
        <f>_xlfn.XLOOKUP(Tableau1[[#This Row],[TYPE DE PIECE]],Tableau4[MATIERE],Tableau4[SHORT TYPE],"",0,1)</f>
        <v/>
      </c>
      <c r="N9927">
        <f>IF(ISERR(FIND("DECOUPE",Tableau1[[#This Row],[DESIGNATION]])),"","NEED REF")</f>
        <v/>
      </c>
    </row>
    <row r="9928">
      <c r="B9928" t="n">
        <v>34404078</v>
      </c>
      <c r="C9928" s="2" t="n"/>
      <c r="E9928" t="inlineStr">
        <is>
          <t>réservé</t>
        </is>
      </c>
      <c r="F9928" t="inlineStr">
        <is>
          <t>STS400 NETSHLTER</t>
        </is>
      </c>
      <c r="L9928">
        <f>_xlfn.XLOOKUP(Tableau1[[#This Row],[TYPE DE PIECE]],Tableau4[MATIERE],Tableau4[SHORT TYPE],"",0,1)</f>
        <v/>
      </c>
      <c r="N9928">
        <f>IF(ISERR(FIND("DECOUPE",Tableau1[[#This Row],[DESIGNATION]])),"","NEED REF")</f>
        <v/>
      </c>
    </row>
    <row r="9929">
      <c r="B9929" t="n">
        <v>34404077</v>
      </c>
      <c r="C9929" s="2" t="n"/>
      <c r="E9929" t="inlineStr">
        <is>
          <t>Protection arr</t>
        </is>
      </c>
      <c r="F9929" t="inlineStr">
        <is>
          <t>STS400 NETSHLTER</t>
        </is>
      </c>
      <c r="L9929">
        <f>_xlfn.XLOOKUP(Tableau1[[#This Row],[TYPE DE PIECE]],Tableau4[MATIERE],Tableau4[SHORT TYPE],"",0,1)</f>
        <v/>
      </c>
      <c r="N9929">
        <f>IF(ISERR(FIND("DECOUPE",Tableau1[[#This Row],[DESIGNATION]])),"","NEED REF")</f>
        <v/>
      </c>
    </row>
    <row r="9930">
      <c r="B9930" t="n">
        <v>34404076</v>
      </c>
      <c r="C9930" s="2" t="n"/>
      <c r="E9930" t="inlineStr">
        <is>
          <t>réservé</t>
        </is>
      </c>
      <c r="F9930" t="inlineStr">
        <is>
          <t>STS400 NETSHLTER</t>
        </is>
      </c>
      <c r="L9930">
        <f>_xlfn.XLOOKUP(Tableau1[[#This Row],[TYPE DE PIECE]],Tableau4[MATIERE],Tableau4[SHORT TYPE],"",0,1)</f>
        <v/>
      </c>
      <c r="N9930">
        <f>IF(ISERR(FIND("DECOUPE",Tableau1[[#This Row],[DESIGNATION]])),"","NEED REF")</f>
        <v/>
      </c>
    </row>
    <row r="9931">
      <c r="B9931" t="n">
        <v>34404075</v>
      </c>
      <c r="C9931" s="2" t="n">
        <v>41883</v>
      </c>
      <c r="D9931" t="inlineStr">
        <is>
          <t>SPEC</t>
        </is>
      </c>
      <c r="E9931" t="inlineStr">
        <is>
          <t>COPPERBAR BYPASS S2 L2</t>
        </is>
      </c>
      <c r="F9931" t="inlineStr">
        <is>
          <t>STS400 NETSHLTER</t>
        </is>
      </c>
      <c r="J9931" t="inlineStr">
        <is>
          <t>MATRION</t>
        </is>
      </c>
      <c r="K9931" t="inlineStr">
        <is>
          <t>CUIVRE</t>
        </is>
      </c>
      <c r="L9931">
        <f>_xlfn.XLOOKUP(Tableau1[[#This Row],[TYPE DE PIECE]],Tableau4[MATIERE],Tableau4[SHORT TYPE],"",0,1)</f>
        <v/>
      </c>
      <c r="N9931">
        <f>IF(ISERR(FIND("DECOUPE",Tableau1[[#This Row],[DESIGNATION]])),"","NEED REF")</f>
        <v/>
      </c>
    </row>
    <row r="9932">
      <c r="B9932" t="n">
        <v>34404074</v>
      </c>
      <c r="C9932" s="2" t="n">
        <v>41883</v>
      </c>
      <c r="D9932" t="inlineStr">
        <is>
          <t>SPEC</t>
        </is>
      </c>
      <c r="E9932" t="inlineStr">
        <is>
          <t>COPPERBAR BYPASS S2 L3</t>
        </is>
      </c>
      <c r="F9932" t="inlineStr">
        <is>
          <t>STS400 NETSHLTER</t>
        </is>
      </c>
      <c r="J9932" t="inlineStr">
        <is>
          <t>MATRION</t>
        </is>
      </c>
      <c r="K9932" t="inlineStr">
        <is>
          <t>CUIVRE</t>
        </is>
      </c>
      <c r="L9932">
        <f>_xlfn.XLOOKUP(Tableau1[[#This Row],[TYPE DE PIECE]],Tableau4[MATIERE],Tableau4[SHORT TYPE],"",0,1)</f>
        <v/>
      </c>
      <c r="N9932">
        <f>IF(ISERR(FIND("DECOUPE",Tableau1[[#This Row],[DESIGNATION]])),"","NEED REF")</f>
        <v/>
      </c>
    </row>
    <row r="9933">
      <c r="B9933" t="n">
        <v>34404073</v>
      </c>
      <c r="C9933" s="2" t="n">
        <v>41883</v>
      </c>
      <c r="D9933" t="inlineStr">
        <is>
          <t>SPEC</t>
        </is>
      </c>
      <c r="E9933" t="inlineStr">
        <is>
          <t>COPPERBAR BYPASS S1 L3</t>
        </is>
      </c>
      <c r="F9933" t="inlineStr">
        <is>
          <t>STS400 NETSHLTER</t>
        </is>
      </c>
      <c r="J9933" t="inlineStr">
        <is>
          <t>MATRION</t>
        </is>
      </c>
      <c r="K9933" t="inlineStr">
        <is>
          <t>CUIVRE</t>
        </is>
      </c>
      <c r="L9933">
        <f>_xlfn.XLOOKUP(Tableau1[[#This Row],[TYPE DE PIECE]],Tableau4[MATIERE],Tableau4[SHORT TYPE],"",0,1)</f>
        <v/>
      </c>
      <c r="N9933">
        <f>IF(ISERR(FIND("DECOUPE",Tableau1[[#This Row],[DESIGNATION]])),"","NEED REF")</f>
        <v/>
      </c>
    </row>
    <row r="9934">
      <c r="B9934" t="n">
        <v>34404072</v>
      </c>
      <c r="C9934" s="2" t="n">
        <v>41883</v>
      </c>
      <c r="D9934" t="inlineStr">
        <is>
          <t>SPEC</t>
        </is>
      </c>
      <c r="E9934" t="inlineStr">
        <is>
          <t>COPPERBAR BYPASS S1 L2</t>
        </is>
      </c>
      <c r="F9934" t="inlineStr">
        <is>
          <t>STS400 NETSHLTER</t>
        </is>
      </c>
      <c r="J9934" t="inlineStr">
        <is>
          <t>MATRION</t>
        </is>
      </c>
      <c r="K9934" t="inlineStr">
        <is>
          <t>CUIVRE</t>
        </is>
      </c>
      <c r="L9934">
        <f>_xlfn.XLOOKUP(Tableau1[[#This Row],[TYPE DE PIECE]],Tableau4[MATIERE],Tableau4[SHORT TYPE],"",0,1)</f>
        <v/>
      </c>
      <c r="N9934">
        <f>IF(ISERR(FIND("DECOUPE",Tableau1[[#This Row],[DESIGNATION]])),"","NEED REF")</f>
        <v/>
      </c>
    </row>
    <row r="9935">
      <c r="B9935" t="n">
        <v>34404071</v>
      </c>
      <c r="C9935" s="2" t="n">
        <v>41883</v>
      </c>
      <c r="D9935" t="inlineStr">
        <is>
          <t>SPEC</t>
        </is>
      </c>
      <c r="E9935" t="inlineStr">
        <is>
          <t>COPPERBAR BYPASS S1 S2 L1</t>
        </is>
      </c>
      <c r="F9935" t="inlineStr">
        <is>
          <t>STS400 NETSHLTER</t>
        </is>
      </c>
      <c r="J9935" t="inlineStr">
        <is>
          <t>MATRION</t>
        </is>
      </c>
      <c r="K9935" t="inlineStr">
        <is>
          <t>CUIVRE</t>
        </is>
      </c>
      <c r="L9935">
        <f>_xlfn.XLOOKUP(Tableau1[[#This Row],[TYPE DE PIECE]],Tableau4[MATIERE],Tableau4[SHORT TYPE],"",0,1)</f>
        <v/>
      </c>
      <c r="N9935">
        <f>IF(ISERR(FIND("DECOUPE",Tableau1[[#This Row],[DESIGNATION]])),"","NEED REF")</f>
        <v/>
      </c>
    </row>
    <row r="9936">
      <c r="B9936" t="n">
        <v>34404070</v>
      </c>
      <c r="C9936" s="2" t="n"/>
      <c r="E9936" t="inlineStr">
        <is>
          <t>réservé</t>
        </is>
      </c>
      <c r="F9936" t="inlineStr">
        <is>
          <t>STS400 NETSHLTER</t>
        </is>
      </c>
      <c r="L9936">
        <f>_xlfn.XLOOKUP(Tableau1[[#This Row],[TYPE DE PIECE]],Tableau4[MATIERE],Tableau4[SHORT TYPE],"",0,1)</f>
        <v/>
      </c>
      <c r="N9936">
        <f>IF(ISERR(FIND("DECOUPE",Tableau1[[#This Row],[DESIGNATION]])),"","NEED REF")</f>
        <v/>
      </c>
    </row>
    <row r="9937">
      <c r="B9937" t="n">
        <v>34404069</v>
      </c>
      <c r="C9937" s="2" t="n"/>
      <c r="E9937" t="inlineStr">
        <is>
          <t>réservé</t>
        </is>
      </c>
      <c r="F9937" t="inlineStr">
        <is>
          <t>STS400 NETSHLTER</t>
        </is>
      </c>
      <c r="L9937">
        <f>_xlfn.XLOOKUP(Tableau1[[#This Row],[TYPE DE PIECE]],Tableau4[MATIERE],Tableau4[SHORT TYPE],"",0,1)</f>
        <v/>
      </c>
      <c r="N9937">
        <f>IF(ISERR(FIND("DECOUPE",Tableau1[[#This Row],[DESIGNATION]])),"","NEED REF")</f>
        <v/>
      </c>
    </row>
    <row r="9938">
      <c r="B9938" t="n">
        <v>34404068</v>
      </c>
      <c r="C9938" s="2" t="n"/>
      <c r="E9938" t="inlineStr">
        <is>
          <t>Flex</t>
        </is>
      </c>
      <c r="F9938" t="inlineStr">
        <is>
          <t>STS400 NETSHLTER</t>
        </is>
      </c>
      <c r="L9938">
        <f>_xlfn.XLOOKUP(Tableau1[[#This Row],[TYPE DE PIECE]],Tableau4[MATIERE],Tableau4[SHORT TYPE],"",0,1)</f>
        <v/>
      </c>
      <c r="N9938">
        <f>IF(ISERR(FIND("DECOUPE",Tableau1[[#This Row],[DESIGNATION]])),"","NEED REF")</f>
        <v/>
      </c>
    </row>
    <row r="9939">
      <c r="B9939" t="n">
        <v>34404067</v>
      </c>
      <c r="C9939" s="2" t="n"/>
      <c r="E9939" t="inlineStr">
        <is>
          <t>Flex</t>
        </is>
      </c>
      <c r="F9939" t="inlineStr">
        <is>
          <t>STS400 NETSHLTER</t>
        </is>
      </c>
      <c r="L9939">
        <f>_xlfn.XLOOKUP(Tableau1[[#This Row],[TYPE DE PIECE]],Tableau4[MATIERE],Tableau4[SHORT TYPE],"",0,1)</f>
        <v/>
      </c>
      <c r="N9939">
        <f>IF(ISERR(FIND("DECOUPE",Tableau1[[#This Row],[DESIGNATION]])),"","NEED REF")</f>
        <v/>
      </c>
    </row>
    <row r="9940">
      <c r="B9940" t="n">
        <v>34404066</v>
      </c>
      <c r="C9940" s="2" t="n"/>
      <c r="E9940" t="inlineStr">
        <is>
          <t>Flex</t>
        </is>
      </c>
      <c r="F9940" t="inlineStr">
        <is>
          <t>STS400 NETSHLTER</t>
        </is>
      </c>
      <c r="L9940">
        <f>_xlfn.XLOOKUP(Tableau1[[#This Row],[TYPE DE PIECE]],Tableau4[MATIERE],Tableau4[SHORT TYPE],"",0,1)</f>
        <v/>
      </c>
      <c r="N9940">
        <f>IF(ISERR(FIND("DECOUPE",Tableau1[[#This Row],[DESIGNATION]])),"","NEED REF")</f>
        <v/>
      </c>
    </row>
    <row r="9941">
      <c r="B9941" t="n">
        <v>34404065</v>
      </c>
      <c r="C9941" s="2" t="n"/>
      <c r="E9941" t="inlineStr">
        <is>
          <t>Flex</t>
        </is>
      </c>
      <c r="F9941" t="inlineStr">
        <is>
          <t>STS400 NETSHLTER</t>
        </is>
      </c>
      <c r="L9941">
        <f>_xlfn.XLOOKUP(Tableau1[[#This Row],[TYPE DE PIECE]],Tableau4[MATIERE],Tableau4[SHORT TYPE],"",0,1)</f>
        <v/>
      </c>
      <c r="N9941">
        <f>IF(ISERR(FIND("DECOUPE",Tableau1[[#This Row],[DESIGNATION]])),"","NEED REF")</f>
        <v/>
      </c>
    </row>
    <row r="9942">
      <c r="B9942" t="n">
        <v>34404064</v>
      </c>
      <c r="C9942" s="2" t="n"/>
      <c r="E9942" t="inlineStr">
        <is>
          <t>Flex</t>
        </is>
      </c>
      <c r="F9942" t="inlineStr">
        <is>
          <t>STS400 NETSHLTER</t>
        </is>
      </c>
      <c r="L9942">
        <f>_xlfn.XLOOKUP(Tableau1[[#This Row],[TYPE DE PIECE]],Tableau4[MATIERE],Tableau4[SHORT TYPE],"",0,1)</f>
        <v/>
      </c>
      <c r="N9942">
        <f>IF(ISERR(FIND("DECOUPE",Tableau1[[#This Row],[DESIGNATION]])),"","NEED REF")</f>
        <v/>
      </c>
    </row>
    <row r="9943">
      <c r="B9943" t="n">
        <v>34404063</v>
      </c>
      <c r="C9943" s="2" t="n"/>
      <c r="E9943" t="inlineStr">
        <is>
          <t>Flex</t>
        </is>
      </c>
      <c r="F9943" t="inlineStr">
        <is>
          <t>STS400 NETSHLTER</t>
        </is>
      </c>
      <c r="L9943">
        <f>_xlfn.XLOOKUP(Tableau1[[#This Row],[TYPE DE PIECE]],Tableau4[MATIERE],Tableau4[SHORT TYPE],"",0,1)</f>
        <v/>
      </c>
      <c r="N9943">
        <f>IF(ISERR(FIND("DECOUPE",Tableau1[[#This Row],[DESIGNATION]])),"","NEED REF")</f>
        <v/>
      </c>
    </row>
    <row r="9944">
      <c r="B9944" t="n">
        <v>34404062</v>
      </c>
      <c r="C9944" s="2" t="n"/>
      <c r="E9944" t="inlineStr">
        <is>
          <t>Flex</t>
        </is>
      </c>
      <c r="F9944" t="inlineStr">
        <is>
          <t>STS400 NETSHLTER</t>
        </is>
      </c>
      <c r="L9944">
        <f>_xlfn.XLOOKUP(Tableau1[[#This Row],[TYPE DE PIECE]],Tableau4[MATIERE],Tableau4[SHORT TYPE],"",0,1)</f>
        <v/>
      </c>
      <c r="N9944">
        <f>IF(ISERR(FIND("DECOUPE",Tableau1[[#This Row],[DESIGNATION]])),"","NEED REF")</f>
        <v/>
      </c>
    </row>
    <row r="9945">
      <c r="B9945" t="n">
        <v>34404061</v>
      </c>
      <c r="C9945" s="2" t="n"/>
      <c r="E9945" t="inlineStr">
        <is>
          <t>Flex</t>
        </is>
      </c>
      <c r="F9945" t="inlineStr">
        <is>
          <t>STS400 NETSHLTER</t>
        </is>
      </c>
      <c r="L9945">
        <f>_xlfn.XLOOKUP(Tableau1[[#This Row],[TYPE DE PIECE]],Tableau4[MATIERE],Tableau4[SHORT TYPE],"",0,1)</f>
        <v/>
      </c>
      <c r="N9945">
        <f>IF(ISERR(FIND("DECOUPE",Tableau1[[#This Row],[DESIGNATION]])),"","NEED REF")</f>
        <v/>
      </c>
    </row>
    <row r="9946">
      <c r="B9946" t="n">
        <v>34404060</v>
      </c>
      <c r="C9946" s="2" t="n"/>
      <c r="E9946" t="inlineStr">
        <is>
          <t>Flex</t>
        </is>
      </c>
      <c r="F9946" t="inlineStr">
        <is>
          <t>STS400 NETSHLTER</t>
        </is>
      </c>
      <c r="L9946">
        <f>_xlfn.XLOOKUP(Tableau1[[#This Row],[TYPE DE PIECE]],Tableau4[MATIERE],Tableau4[SHORT TYPE],"",0,1)</f>
        <v/>
      </c>
      <c r="N9946">
        <f>IF(ISERR(FIND("DECOUPE",Tableau1[[#This Row],[DESIGNATION]])),"","NEED REF")</f>
        <v/>
      </c>
    </row>
    <row r="9947">
      <c r="B9947" t="n">
        <v>34404059</v>
      </c>
      <c r="C9947" s="2" t="n">
        <v>41883</v>
      </c>
      <c r="D9947" t="inlineStr">
        <is>
          <t>SPEC</t>
        </is>
      </c>
      <c r="E9947" t="inlineStr">
        <is>
          <t>SUPPORT GLISSISERE</t>
        </is>
      </c>
      <c r="F9947" t="inlineStr">
        <is>
          <t>STS400 NETSHLTER</t>
        </is>
      </c>
      <c r="J9947" t="inlineStr">
        <is>
          <t>MATRION</t>
        </is>
      </c>
      <c r="K9947" t="inlineStr">
        <is>
          <t>METAL</t>
        </is>
      </c>
      <c r="L9947">
        <f>_xlfn.XLOOKUP(Tableau1[[#This Row],[TYPE DE PIECE]],Tableau4[MATIERE],Tableau4[SHORT TYPE],"",0,1)</f>
        <v/>
      </c>
      <c r="N9947">
        <f>IF(ISERR(FIND("DECOUPE",Tableau1[[#This Row],[DESIGNATION]])),"","NEED REF")</f>
        <v/>
      </c>
    </row>
    <row r="9948">
      <c r="B9948" t="n">
        <v>34404058</v>
      </c>
      <c r="C9948" s="2" t="n"/>
      <c r="E9948" t="inlineStr">
        <is>
          <t>orange</t>
        </is>
      </c>
      <c r="L9948">
        <f>_xlfn.XLOOKUP(Tableau1[[#This Row],[TYPE DE PIECE]],Tableau4[MATIERE],Tableau4[SHORT TYPE],"",0,1)</f>
        <v/>
      </c>
      <c r="N9948">
        <f>IF(ISERR(FIND("DECOUPE",Tableau1[[#This Row],[DESIGNATION]])),"","NEED REF")</f>
        <v/>
      </c>
    </row>
    <row r="9949">
      <c r="B9949" t="n">
        <v>34404057</v>
      </c>
      <c r="C9949" s="2" t="n"/>
      <c r="E9949" t="inlineStr">
        <is>
          <t>orange</t>
        </is>
      </c>
      <c r="L9949">
        <f>_xlfn.XLOOKUP(Tableau1[[#This Row],[TYPE DE PIECE]],Tableau4[MATIERE],Tableau4[SHORT TYPE],"",0,1)</f>
        <v/>
      </c>
      <c r="N9949">
        <f>IF(ISERR(FIND("DECOUPE",Tableau1[[#This Row],[DESIGNATION]])),"","NEED REF")</f>
        <v/>
      </c>
    </row>
    <row r="9950">
      <c r="B9950" t="n">
        <v>34404056</v>
      </c>
      <c r="C9950" s="2" t="n"/>
      <c r="E9950" t="inlineStr">
        <is>
          <t>orange</t>
        </is>
      </c>
      <c r="L9950">
        <f>_xlfn.XLOOKUP(Tableau1[[#This Row],[TYPE DE PIECE]],Tableau4[MATIERE],Tableau4[SHORT TYPE],"",0,1)</f>
        <v/>
      </c>
      <c r="N9950">
        <f>IF(ISERR(FIND("DECOUPE",Tableau1[[#This Row],[DESIGNATION]])),"","NEED REF")</f>
        <v/>
      </c>
    </row>
    <row r="9951">
      <c r="B9951" t="n">
        <v>34404055</v>
      </c>
      <c r="C9951" s="2" t="n"/>
      <c r="E9951" t="inlineStr">
        <is>
          <t>orange</t>
        </is>
      </c>
      <c r="L9951">
        <f>_xlfn.XLOOKUP(Tableau1[[#This Row],[TYPE DE PIECE]],Tableau4[MATIERE],Tableau4[SHORT TYPE],"",0,1)</f>
        <v/>
      </c>
      <c r="N9951">
        <f>IF(ISERR(FIND("DECOUPE",Tableau1[[#This Row],[DESIGNATION]])),"","NEED REF")</f>
        <v/>
      </c>
    </row>
    <row r="9952">
      <c r="B9952" t="n">
        <v>34404054</v>
      </c>
      <c r="C9952" s="2" t="n"/>
      <c r="E9952" t="inlineStr">
        <is>
          <t>orange</t>
        </is>
      </c>
      <c r="L9952">
        <f>_xlfn.XLOOKUP(Tableau1[[#This Row],[TYPE DE PIECE]],Tableau4[MATIERE],Tableau4[SHORT TYPE],"",0,1)</f>
        <v/>
      </c>
      <c r="N9952">
        <f>IF(ISERR(FIND("DECOUPE",Tableau1[[#This Row],[DESIGNATION]])),"","NEED REF")</f>
        <v/>
      </c>
    </row>
    <row r="9953">
      <c r="B9953" t="n">
        <v>34404053</v>
      </c>
      <c r="C9953" s="2" t="n"/>
      <c r="E9953" t="inlineStr">
        <is>
          <t>orange</t>
        </is>
      </c>
      <c r="L9953">
        <f>_xlfn.XLOOKUP(Tableau1[[#This Row],[TYPE DE PIECE]],Tableau4[MATIERE],Tableau4[SHORT TYPE],"",0,1)</f>
        <v/>
      </c>
      <c r="N9953">
        <f>IF(ISERR(FIND("DECOUPE",Tableau1[[#This Row],[DESIGNATION]])),"","NEED REF")</f>
        <v/>
      </c>
    </row>
    <row r="9954">
      <c r="B9954" t="n">
        <v>34404052</v>
      </c>
      <c r="C9954" s="2" t="n"/>
      <c r="E9954" t="inlineStr">
        <is>
          <t>orange</t>
        </is>
      </c>
      <c r="L9954">
        <f>_xlfn.XLOOKUP(Tableau1[[#This Row],[TYPE DE PIECE]],Tableau4[MATIERE],Tableau4[SHORT TYPE],"",0,1)</f>
        <v/>
      </c>
      <c r="N9954">
        <f>IF(ISERR(FIND("DECOUPE",Tableau1[[#This Row],[DESIGNATION]])),"","NEED REF")</f>
        <v/>
      </c>
    </row>
    <row r="9955">
      <c r="B9955" t="n">
        <v>34404051</v>
      </c>
      <c r="C9955" s="2" t="n"/>
      <c r="E9955" t="inlineStr">
        <is>
          <t>orange</t>
        </is>
      </c>
      <c r="L9955">
        <f>_xlfn.XLOOKUP(Tableau1[[#This Row],[TYPE DE PIECE]],Tableau4[MATIERE],Tableau4[SHORT TYPE],"",0,1)</f>
        <v/>
      </c>
      <c r="N9955">
        <f>IF(ISERR(FIND("DECOUPE",Tableau1[[#This Row],[DESIGNATION]])),"","NEED REF")</f>
        <v/>
      </c>
    </row>
    <row r="9956">
      <c r="B9956" t="n">
        <v>34404050</v>
      </c>
      <c r="C9956" s="2" t="n"/>
      <c r="E9956" t="inlineStr">
        <is>
          <t>orange</t>
        </is>
      </c>
      <c r="L9956">
        <f>_xlfn.XLOOKUP(Tableau1[[#This Row],[TYPE DE PIECE]],Tableau4[MATIERE],Tableau4[SHORT TYPE],"",0,1)</f>
        <v/>
      </c>
      <c r="N9956">
        <f>IF(ISERR(FIND("DECOUPE",Tableau1[[#This Row],[DESIGNATION]])),"","NEED REF")</f>
        <v/>
      </c>
    </row>
    <row r="9957">
      <c r="B9957" t="n">
        <v>34404049</v>
      </c>
      <c r="C9957" s="2" t="n"/>
      <c r="E9957" t="inlineStr">
        <is>
          <t>orange</t>
        </is>
      </c>
      <c r="L9957">
        <f>_xlfn.XLOOKUP(Tableau1[[#This Row],[TYPE DE PIECE]],Tableau4[MATIERE],Tableau4[SHORT TYPE],"",0,1)</f>
        <v/>
      </c>
      <c r="N9957">
        <f>IF(ISERR(FIND("DECOUPE",Tableau1[[#This Row],[DESIGNATION]])),"","NEED REF")</f>
        <v/>
      </c>
    </row>
    <row r="9958">
      <c r="B9958" t="n">
        <v>34404048</v>
      </c>
      <c r="C9958" s="2" t="n"/>
      <c r="E9958" t="inlineStr">
        <is>
          <t>orange</t>
        </is>
      </c>
      <c r="L9958">
        <f>_xlfn.XLOOKUP(Tableau1[[#This Row],[TYPE DE PIECE]],Tableau4[MATIERE],Tableau4[SHORT TYPE],"",0,1)</f>
        <v/>
      </c>
      <c r="N9958">
        <f>IF(ISERR(FIND("DECOUPE",Tableau1[[#This Row],[DESIGNATION]])),"","NEED REF")</f>
        <v/>
      </c>
    </row>
    <row r="9959">
      <c r="B9959" t="n">
        <v>34404047</v>
      </c>
      <c r="C9959" s="2" t="n"/>
      <c r="E9959" t="inlineStr">
        <is>
          <t>orange</t>
        </is>
      </c>
      <c r="L9959">
        <f>_xlfn.XLOOKUP(Tableau1[[#This Row],[TYPE DE PIECE]],Tableau4[MATIERE],Tableau4[SHORT TYPE],"",0,1)</f>
        <v/>
      </c>
      <c r="N9959">
        <f>IF(ISERR(FIND("DECOUPE",Tableau1[[#This Row],[DESIGNATION]])),"","NEED REF")</f>
        <v/>
      </c>
    </row>
    <row r="9960">
      <c r="B9960" t="n">
        <v>34404046</v>
      </c>
      <c r="C9960" s="2" t="n"/>
      <c r="E9960" t="inlineStr">
        <is>
          <t>orange</t>
        </is>
      </c>
      <c r="L9960">
        <f>_xlfn.XLOOKUP(Tableau1[[#This Row],[TYPE DE PIECE]],Tableau4[MATIERE],Tableau4[SHORT TYPE],"",0,1)</f>
        <v/>
      </c>
      <c r="N9960">
        <f>IF(ISERR(FIND("DECOUPE",Tableau1[[#This Row],[DESIGNATION]])),"","NEED REF")</f>
        <v/>
      </c>
    </row>
    <row r="9961">
      <c r="B9961" t="n">
        <v>34404045</v>
      </c>
      <c r="C9961" s="2" t="n"/>
      <c r="E9961" t="inlineStr">
        <is>
          <t>réservé</t>
        </is>
      </c>
      <c r="L9961">
        <f>_xlfn.XLOOKUP(Tableau1[[#This Row],[TYPE DE PIECE]],Tableau4[MATIERE],Tableau4[SHORT TYPE],"",0,1)</f>
        <v/>
      </c>
      <c r="N9961">
        <f>IF(ISERR(FIND("DECOUPE",Tableau1[[#This Row],[DESIGNATION]])),"","NEED REF")</f>
        <v/>
      </c>
    </row>
    <row r="9962">
      <c r="B9962" t="n">
        <v>34404044</v>
      </c>
      <c r="C9962" s="2" t="n">
        <v>41883</v>
      </c>
      <c r="D9962" t="inlineStr">
        <is>
          <t>SPEC</t>
        </is>
      </c>
      <c r="E9962" t="inlineStr">
        <is>
          <t>MONTANT STRUTURE NETSHELTER</t>
        </is>
      </c>
      <c r="F9962" t="inlineStr">
        <is>
          <t>STS400 NETSHLTER</t>
        </is>
      </c>
      <c r="J9962" t="inlineStr">
        <is>
          <t>MATRION</t>
        </is>
      </c>
      <c r="K9962" t="inlineStr">
        <is>
          <t>METAL</t>
        </is>
      </c>
      <c r="L9962">
        <f>_xlfn.XLOOKUP(Tableau1[[#This Row],[TYPE DE PIECE]],Tableau4[MATIERE],Tableau4[SHORT TYPE],"",0,1)</f>
        <v/>
      </c>
      <c r="N9962">
        <f>IF(ISERR(FIND("DECOUPE",Tableau1[[#This Row],[DESIGNATION]])),"","NEED REF")</f>
        <v/>
      </c>
    </row>
    <row r="9963">
      <c r="B9963" t="n">
        <v>34404043</v>
      </c>
      <c r="C9963" s="2" t="n">
        <v>41858</v>
      </c>
      <c r="D9963" t="inlineStr">
        <is>
          <t>SPEC</t>
        </is>
      </c>
      <c r="E9963" t="inlineStr">
        <is>
          <t>KIT FILERIE PDPM NS250</t>
        </is>
      </c>
      <c r="F9963" t="inlineStr">
        <is>
          <t>PDPM</t>
        </is>
      </c>
      <c r="J9963" t="inlineStr">
        <is>
          <t>MATRION</t>
        </is>
      </c>
      <c r="K9963" t="inlineStr">
        <is>
          <t>FILERIE</t>
        </is>
      </c>
      <c r="L9963">
        <f>_xlfn.XLOOKUP(Tableau1[[#This Row],[TYPE DE PIECE]],Tableau4[MATIERE],Tableau4[SHORT TYPE],"",0,1)</f>
        <v/>
      </c>
      <c r="N9963">
        <f>IF(ISERR(FIND("DECOUPE",Tableau1[[#This Row],[DESIGNATION]])),"","NEED REF")</f>
        <v/>
      </c>
    </row>
    <row r="9964">
      <c r="B9964" t="n">
        <v>34404042</v>
      </c>
      <c r="C9964" s="2" t="n">
        <v>41858</v>
      </c>
      <c r="D9964" t="inlineStr">
        <is>
          <t>SPEC</t>
        </is>
      </c>
      <c r="E9964" t="inlineStr">
        <is>
          <t>COPPER BAR PEN JUNCTION TGAB</t>
        </is>
      </c>
      <c r="F9964" t="inlineStr">
        <is>
          <t>CAMPUS EOLE</t>
        </is>
      </c>
      <c r="J9964" t="inlineStr">
        <is>
          <t>MATRION</t>
        </is>
      </c>
      <c r="K9964" t="inlineStr">
        <is>
          <t>CUIVRE</t>
        </is>
      </c>
      <c r="L9964">
        <f>_xlfn.XLOOKUP(Tableau1[[#This Row],[TYPE DE PIECE]],Tableau4[MATIERE],Tableau4[SHORT TYPE],"",0,1)</f>
        <v/>
      </c>
      <c r="N9964">
        <f>IF(ISERR(FIND("DECOUPE",Tableau1[[#This Row],[DESIGNATION]])),"","NEED REF")</f>
        <v/>
      </c>
    </row>
    <row r="9965">
      <c r="B9965" t="n">
        <v>34404041</v>
      </c>
      <c r="C9965" s="2" t="n">
        <v>41857</v>
      </c>
      <c r="D9965" t="inlineStr">
        <is>
          <t>SPEC</t>
        </is>
      </c>
      <c r="E9965" t="inlineStr">
        <is>
          <t>FLEXIBAR R2 TOP CONNEXION L3-2 REVERTED</t>
        </is>
      </c>
      <c r="F9965" t="inlineStr">
        <is>
          <t>CAMPUS EOLE</t>
        </is>
      </c>
      <c r="J9965" t="inlineStr">
        <is>
          <t>MATRION</t>
        </is>
      </c>
      <c r="K9965" t="inlineStr">
        <is>
          <t>CUIVRE</t>
        </is>
      </c>
      <c r="L9965">
        <f>_xlfn.XLOOKUP(Tableau1[[#This Row],[TYPE DE PIECE]],Tableau4[MATIERE],Tableau4[SHORT TYPE],"",0,1)</f>
        <v/>
      </c>
      <c r="N9965">
        <f>IF(ISERR(FIND("DECOUPE",Tableau1[[#This Row],[DESIGNATION]])),"","NEED REF")</f>
        <v/>
      </c>
    </row>
    <row r="9966">
      <c r="B9966" t="n">
        <v>34404040</v>
      </c>
      <c r="C9966" s="2" t="n">
        <v>41857</v>
      </c>
      <c r="D9966" t="inlineStr">
        <is>
          <t>SPEC</t>
        </is>
      </c>
      <c r="E9966" t="inlineStr">
        <is>
          <t>FLEXIBAR R2 TOP CONNEXION L3-1 REVERTED</t>
        </is>
      </c>
      <c r="F9966" t="inlineStr">
        <is>
          <t>CAMPUS EOLE</t>
        </is>
      </c>
      <c r="J9966" t="inlineStr">
        <is>
          <t>MATRION</t>
        </is>
      </c>
      <c r="K9966" t="inlineStr">
        <is>
          <t>CUIVRE</t>
        </is>
      </c>
      <c r="L9966">
        <f>_xlfn.XLOOKUP(Tableau1[[#This Row],[TYPE DE PIECE]],Tableau4[MATIERE],Tableau4[SHORT TYPE],"",0,1)</f>
        <v/>
      </c>
      <c r="N9966">
        <f>IF(ISERR(FIND("DECOUPE",Tableau1[[#This Row],[DESIGNATION]])),"","NEED REF")</f>
        <v/>
      </c>
    </row>
    <row r="9967">
      <c r="B9967" t="n">
        <v>34404039</v>
      </c>
      <c r="C9967" s="2" t="n">
        <v>41857</v>
      </c>
      <c r="D9967" t="inlineStr">
        <is>
          <t>SPEC</t>
        </is>
      </c>
      <c r="E9967" t="inlineStr">
        <is>
          <t>FLEXIBAR R2 TOP CONNEXION L2-2 REVERTED</t>
        </is>
      </c>
      <c r="F9967" t="inlineStr">
        <is>
          <t>CAMPUS EOLE</t>
        </is>
      </c>
      <c r="J9967" t="inlineStr">
        <is>
          <t>MATRION</t>
        </is>
      </c>
      <c r="K9967" t="inlineStr">
        <is>
          <t>CUIVRE</t>
        </is>
      </c>
      <c r="L9967">
        <f>_xlfn.XLOOKUP(Tableau1[[#This Row],[TYPE DE PIECE]],Tableau4[MATIERE],Tableau4[SHORT TYPE],"",0,1)</f>
        <v/>
      </c>
      <c r="N9967">
        <f>IF(ISERR(FIND("DECOUPE",Tableau1[[#This Row],[DESIGNATION]])),"","NEED REF")</f>
        <v/>
      </c>
    </row>
    <row r="9968">
      <c r="B9968" t="n">
        <v>34404038</v>
      </c>
      <c r="C9968" s="2" t="n">
        <v>41857</v>
      </c>
      <c r="D9968" t="inlineStr">
        <is>
          <t>SPEC</t>
        </is>
      </c>
      <c r="E9968" t="inlineStr">
        <is>
          <t>FLEXIBAR R2 TOP CONNEXION L2-1 REVERTED</t>
        </is>
      </c>
      <c r="F9968" t="inlineStr">
        <is>
          <t>CAMPUS EOLE</t>
        </is>
      </c>
      <c r="J9968" t="inlineStr">
        <is>
          <t>MATRION</t>
        </is>
      </c>
      <c r="K9968" t="inlineStr">
        <is>
          <t>CUIVRE</t>
        </is>
      </c>
      <c r="L9968">
        <f>_xlfn.XLOOKUP(Tableau1[[#This Row],[TYPE DE PIECE]],Tableau4[MATIERE],Tableau4[SHORT TYPE],"",0,1)</f>
        <v/>
      </c>
      <c r="N9968">
        <f>IF(ISERR(FIND("DECOUPE",Tableau1[[#This Row],[DESIGNATION]])),"","NEED REF")</f>
        <v/>
      </c>
    </row>
    <row r="9969">
      <c r="B9969" t="n">
        <v>34404037</v>
      </c>
      <c r="C9969" s="2" t="n">
        <v>41857</v>
      </c>
      <c r="D9969" t="inlineStr">
        <is>
          <t>SPEC</t>
        </is>
      </c>
      <c r="E9969" t="inlineStr">
        <is>
          <t>FLEXIBAR R2 TOP CONNEXION L1-2 REVERTED</t>
        </is>
      </c>
      <c r="F9969" t="inlineStr">
        <is>
          <t>CAMPUS EOLE</t>
        </is>
      </c>
      <c r="J9969" t="inlineStr">
        <is>
          <t>MATRION</t>
        </is>
      </c>
      <c r="K9969" t="inlineStr">
        <is>
          <t>CUIVRE</t>
        </is>
      </c>
      <c r="L9969">
        <f>_xlfn.XLOOKUP(Tableau1[[#This Row],[TYPE DE PIECE]],Tableau4[MATIERE],Tableau4[SHORT TYPE],"",0,1)</f>
        <v/>
      </c>
      <c r="N9969">
        <f>IF(ISERR(FIND("DECOUPE",Tableau1[[#This Row],[DESIGNATION]])),"","NEED REF")</f>
        <v/>
      </c>
    </row>
    <row r="9970">
      <c r="B9970" t="n">
        <v>34404036</v>
      </c>
      <c r="C9970" s="2" t="n">
        <v>41857</v>
      </c>
      <c r="D9970" t="inlineStr">
        <is>
          <t>SPEC</t>
        </is>
      </c>
      <c r="E9970" t="inlineStr">
        <is>
          <t>FLEXIBAR R2 TOP CONNEXION L1-1 REVERTED</t>
        </is>
      </c>
      <c r="F9970" t="inlineStr">
        <is>
          <t>CAMPUS EOLE</t>
        </is>
      </c>
      <c r="J9970" t="inlineStr">
        <is>
          <t>MATRION</t>
        </is>
      </c>
      <c r="K9970" t="inlineStr">
        <is>
          <t>CUIVRE</t>
        </is>
      </c>
      <c r="L9970">
        <f>_xlfn.XLOOKUP(Tableau1[[#This Row],[TYPE DE PIECE]],Tableau4[MATIERE],Tableau4[SHORT TYPE],"",0,1)</f>
        <v/>
      </c>
      <c r="N9970">
        <f>IF(ISERR(FIND("DECOUPE",Tableau1[[#This Row],[DESIGNATION]])),"","NEED REF")</f>
        <v/>
      </c>
    </row>
    <row r="9971">
      <c r="B9971" t="n">
        <v>34404035</v>
      </c>
      <c r="C9971" s="2" t="n">
        <v>41857</v>
      </c>
      <c r="D9971" t="inlineStr">
        <is>
          <t>SPEC</t>
        </is>
      </c>
      <c r="E9971" t="inlineStr">
        <is>
          <t>FLEXIBAR R2 TOP CONNEXION N-2 REVERTED</t>
        </is>
      </c>
      <c r="F9971" t="inlineStr">
        <is>
          <t>CAMPUS EOLE</t>
        </is>
      </c>
      <c r="J9971" t="inlineStr">
        <is>
          <t>MATRION</t>
        </is>
      </c>
      <c r="K9971" t="inlineStr">
        <is>
          <t>CUIVRE</t>
        </is>
      </c>
      <c r="L9971">
        <f>_xlfn.XLOOKUP(Tableau1[[#This Row],[TYPE DE PIECE]],Tableau4[MATIERE],Tableau4[SHORT TYPE],"",0,1)</f>
        <v/>
      </c>
      <c r="N9971">
        <f>IF(ISERR(FIND("DECOUPE",Tableau1[[#This Row],[DESIGNATION]])),"","NEED REF")</f>
        <v/>
      </c>
    </row>
    <row r="9972">
      <c r="B9972" t="n">
        <v>34404034</v>
      </c>
      <c r="C9972" s="2" t="n">
        <v>41857</v>
      </c>
      <c r="D9972" t="inlineStr">
        <is>
          <t>SPEC</t>
        </is>
      </c>
      <c r="E9972" t="inlineStr">
        <is>
          <t>FLEXIBAR R2 TOP CONNEXION N-1 REVERTED</t>
        </is>
      </c>
      <c r="F9972" t="inlineStr">
        <is>
          <t>CAMPUS EOLE</t>
        </is>
      </c>
      <c r="J9972" t="inlineStr">
        <is>
          <t>MATRION</t>
        </is>
      </c>
      <c r="K9972" t="inlineStr">
        <is>
          <t>CUIVRE</t>
        </is>
      </c>
      <c r="L9972">
        <f>_xlfn.XLOOKUP(Tableau1[[#This Row],[TYPE DE PIECE]],Tableau4[MATIERE],Tableau4[SHORT TYPE],"",0,1)</f>
        <v/>
      </c>
      <c r="N9972">
        <f>IF(ISERR(FIND("DECOUPE",Tableau1[[#This Row],[DESIGNATION]])),"","NEED REF")</f>
        <v/>
      </c>
    </row>
    <row r="9973">
      <c r="B9973" t="n">
        <v>34404033</v>
      </c>
      <c r="C9973" s="2" t="n">
        <v>41856</v>
      </c>
      <c r="D9973" t="inlineStr">
        <is>
          <t>SPEC</t>
        </is>
      </c>
      <c r="E9973" t="inlineStr">
        <is>
          <t>R2 PROTECTION SHIELD</t>
        </is>
      </c>
      <c r="F9973" t="inlineStr">
        <is>
          <t>G7K NS1200kVA - Q4S BACKFEED</t>
        </is>
      </c>
      <c r="J9973" t="inlineStr">
        <is>
          <t>MATRION</t>
        </is>
      </c>
      <c r="L9973">
        <f>_xlfn.XLOOKUP(Tableau1[[#This Row],[TYPE DE PIECE]],Tableau4[MATIERE],Tableau4[SHORT TYPE],"",0,1)</f>
        <v/>
      </c>
      <c r="N9973">
        <f>IF(ISERR(FIND("DECOUPE",Tableau1[[#This Row],[DESIGNATION]])),"","NEED REF")</f>
        <v/>
      </c>
    </row>
    <row r="9974">
      <c r="B9974" t="n">
        <v>34404032</v>
      </c>
      <c r="C9974" s="2" t="n">
        <v>41856</v>
      </c>
      <c r="D9974" t="inlineStr">
        <is>
          <t>SPEC</t>
        </is>
      </c>
      <c r="E9974" t="inlineStr">
        <is>
          <t>INTERLOCK TUNNEL</t>
        </is>
      </c>
      <c r="F9974" t="inlineStr">
        <is>
          <t>G7K NS1200kVA - Q4S BACKFEED</t>
        </is>
      </c>
      <c r="J9974" t="inlineStr">
        <is>
          <t>MATRION</t>
        </is>
      </c>
      <c r="L9974">
        <f>_xlfn.XLOOKUP(Tableau1[[#This Row],[TYPE DE PIECE]],Tableau4[MATIERE],Tableau4[SHORT TYPE],"",0,1)</f>
        <v/>
      </c>
      <c r="N9974">
        <f>IF(ISERR(FIND("DECOUPE",Tableau1[[#This Row],[DESIGNATION]])),"","NEED REF")</f>
        <v/>
      </c>
    </row>
    <row r="9975">
      <c r="B9975" t="n">
        <v>34404031</v>
      </c>
      <c r="C9975" s="2" t="n">
        <v>41856</v>
      </c>
      <c r="D9975" t="inlineStr">
        <is>
          <t>NOM</t>
        </is>
      </c>
      <c r="E9975" t="inlineStr">
        <is>
          <t>KIT ABB INTERLOCK</t>
        </is>
      </c>
      <c r="F9975" t="inlineStr">
        <is>
          <t>TOUTES</t>
        </is>
      </c>
      <c r="J9975" t="inlineStr">
        <is>
          <t>MATRION</t>
        </is>
      </c>
      <c r="L9975">
        <f>_xlfn.XLOOKUP(Tableau1[[#This Row],[TYPE DE PIECE]],Tableau4[MATIERE],Tableau4[SHORT TYPE],"",0,1)</f>
        <v/>
      </c>
      <c r="N9975">
        <f>IF(ISERR(FIND("DECOUPE",Tableau1[[#This Row],[DESIGNATION]])),"","NEED REF")</f>
        <v/>
      </c>
    </row>
    <row r="9976">
      <c r="B9976" t="n">
        <v>34404030</v>
      </c>
      <c r="C9976" s="2" t="n"/>
      <c r="E9976" t="inlineStr">
        <is>
          <t>barre L thyristors</t>
        </is>
      </c>
      <c r="J9976" t="inlineStr">
        <is>
          <t>TCHEWEMO</t>
        </is>
      </c>
      <c r="L9976">
        <f>_xlfn.XLOOKUP(Tableau1[[#This Row],[TYPE DE PIECE]],Tableau4[MATIERE],Tableau4[SHORT TYPE],"",0,1)</f>
        <v/>
      </c>
      <c r="N9976">
        <f>IF(ISERR(FIND("DECOUPE",Tableau1[[#This Row],[DESIGNATION]])),"","NEED REF")</f>
        <v/>
      </c>
    </row>
    <row r="9977">
      <c r="B9977" t="n">
        <v>34404029</v>
      </c>
      <c r="C9977" s="2" t="n"/>
      <c r="E9977" t="inlineStr">
        <is>
          <t>barre L thyristors</t>
        </is>
      </c>
      <c r="J9977" t="inlineStr">
        <is>
          <t>TCHEWEMO</t>
        </is>
      </c>
      <c r="L9977">
        <f>_xlfn.XLOOKUP(Tableau1[[#This Row],[TYPE DE PIECE]],Tableau4[MATIERE],Tableau4[SHORT TYPE],"",0,1)</f>
        <v/>
      </c>
      <c r="N9977">
        <f>IF(ISERR(FIND("DECOUPE",Tableau1[[#This Row],[DESIGNATION]])),"","NEED REF")</f>
        <v/>
      </c>
    </row>
    <row r="9978">
      <c r="B9978" t="n">
        <v>34404028</v>
      </c>
      <c r="C9978" s="2" t="n"/>
      <c r="E9978" t="inlineStr">
        <is>
          <t>barre L thyristors</t>
        </is>
      </c>
      <c r="J9978" t="inlineStr">
        <is>
          <t>TCHEWEMO</t>
        </is>
      </c>
      <c r="L9978">
        <f>_xlfn.XLOOKUP(Tableau1[[#This Row],[TYPE DE PIECE]],Tableau4[MATIERE],Tableau4[SHORT TYPE],"",0,1)</f>
        <v/>
      </c>
      <c r="N9978">
        <f>IF(ISERR(FIND("DECOUPE",Tableau1[[#This Row],[DESIGNATION]])),"","NEED REF")</f>
        <v/>
      </c>
    </row>
    <row r="9979">
      <c r="B9979" t="n">
        <v>34404027</v>
      </c>
      <c r="C9979" s="2" t="n"/>
      <c r="E9979" t="inlineStr">
        <is>
          <t>barre liaison</t>
        </is>
      </c>
      <c r="J9979" t="inlineStr">
        <is>
          <t>TCHEWEMO</t>
        </is>
      </c>
      <c r="L9979">
        <f>_xlfn.XLOOKUP(Tableau1[[#This Row],[TYPE DE PIECE]],Tableau4[MATIERE],Tableau4[SHORT TYPE],"",0,1)</f>
        <v/>
      </c>
      <c r="N9979">
        <f>IF(ISERR(FIND("DECOUPE",Tableau1[[#This Row],[DESIGNATION]])),"","NEED REF")</f>
        <v/>
      </c>
    </row>
    <row r="9980">
      <c r="B9980" t="n">
        <v>34404026</v>
      </c>
      <c r="C9980" s="2" t="n"/>
      <c r="E9980" t="inlineStr">
        <is>
          <t>barre liaison</t>
        </is>
      </c>
      <c r="J9980" t="inlineStr">
        <is>
          <t>TCHEWEMO</t>
        </is>
      </c>
      <c r="L9980">
        <f>_xlfn.XLOOKUP(Tableau1[[#This Row],[TYPE DE PIECE]],Tableau4[MATIERE],Tableau4[SHORT TYPE],"",0,1)</f>
        <v/>
      </c>
      <c r="N9980">
        <f>IF(ISERR(FIND("DECOUPE",Tableau1[[#This Row],[DESIGNATION]])),"","NEED REF")</f>
        <v/>
      </c>
    </row>
    <row r="9981">
      <c r="B9981" t="n">
        <v>34404025</v>
      </c>
      <c r="C9981" s="2" t="n"/>
      <c r="E9981" t="inlineStr">
        <is>
          <t>barre liaison</t>
        </is>
      </c>
      <c r="J9981" t="inlineStr">
        <is>
          <t>TCHEWEMO</t>
        </is>
      </c>
      <c r="L9981">
        <f>_xlfn.XLOOKUP(Tableau1[[#This Row],[TYPE DE PIECE]],Tableau4[MATIERE],Tableau4[SHORT TYPE],"",0,1)</f>
        <v/>
      </c>
      <c r="N9981">
        <f>IF(ISERR(FIND("DECOUPE",Tableau1[[#This Row],[DESIGNATION]])),"","NEED REF")</f>
        <v/>
      </c>
    </row>
    <row r="9982">
      <c r="B9982" t="n">
        <v>34404024</v>
      </c>
      <c r="C9982" s="2" t="n"/>
      <c r="E9982" t="inlineStr">
        <is>
          <t>barre liaison</t>
        </is>
      </c>
      <c r="J9982" t="inlineStr">
        <is>
          <t>TCHEWEMO</t>
        </is>
      </c>
      <c r="L9982">
        <f>_xlfn.XLOOKUP(Tableau1[[#This Row],[TYPE DE PIECE]],Tableau4[MATIERE],Tableau4[SHORT TYPE],"",0,1)</f>
        <v/>
      </c>
      <c r="N9982">
        <f>IF(ISERR(FIND("DECOUPE",Tableau1[[#This Row],[DESIGNATION]])),"","NEED REF")</f>
        <v/>
      </c>
    </row>
    <row r="9983">
      <c r="B9983" t="n">
        <v>34404023</v>
      </c>
      <c r="C9983" s="2" t="n"/>
      <c r="E9983" t="inlineStr">
        <is>
          <t>barre liaison</t>
        </is>
      </c>
      <c r="J9983" t="inlineStr">
        <is>
          <t>TCHEWEMO</t>
        </is>
      </c>
      <c r="L9983">
        <f>_xlfn.XLOOKUP(Tableau1[[#This Row],[TYPE DE PIECE]],Tableau4[MATIERE],Tableau4[SHORT TYPE],"",0,1)</f>
        <v/>
      </c>
      <c r="N9983">
        <f>IF(ISERR(FIND("DECOUPE",Tableau1[[#This Row],[DESIGNATION]])),"","NEED REF")</f>
        <v/>
      </c>
    </row>
    <row r="9984">
      <c r="B9984" t="n">
        <v>34404022</v>
      </c>
      <c r="C9984" s="2" t="n"/>
      <c r="D9984" t="inlineStr">
        <is>
          <t>SPEC</t>
        </is>
      </c>
      <c r="E9984" t="inlineStr">
        <is>
          <t>barre haut</t>
        </is>
      </c>
      <c r="J9984" t="inlineStr">
        <is>
          <t>TCHEWEMO</t>
        </is>
      </c>
      <c r="L9984">
        <f>_xlfn.XLOOKUP(Tableau1[[#This Row],[TYPE DE PIECE]],Tableau4[MATIERE],Tableau4[SHORT TYPE],"",0,1)</f>
        <v/>
      </c>
      <c r="N9984">
        <f>IF(ISERR(FIND("DECOUPE",Tableau1[[#This Row],[DESIGNATION]])),"","NEED REF")</f>
        <v/>
      </c>
    </row>
    <row r="9985">
      <c r="B9985" t="n">
        <v>34404021</v>
      </c>
      <c r="C9985" s="2" t="n"/>
      <c r="D9985" t="inlineStr">
        <is>
          <t>SPEC</t>
        </is>
      </c>
      <c r="E9985" t="inlineStr">
        <is>
          <t>réservé ORANGE</t>
        </is>
      </c>
      <c r="J9985" t="inlineStr">
        <is>
          <t>TCHEWEMO</t>
        </is>
      </c>
      <c r="L9985">
        <f>_xlfn.XLOOKUP(Tableau1[[#This Row],[TYPE DE PIECE]],Tableau4[MATIERE],Tableau4[SHORT TYPE],"",0,1)</f>
        <v/>
      </c>
      <c r="N9985">
        <f>IF(ISERR(FIND("DECOUPE",Tableau1[[#This Row],[DESIGNATION]])),"","NEED REF")</f>
        <v/>
      </c>
    </row>
    <row r="9986">
      <c r="B9986" t="n">
        <v>34404020</v>
      </c>
      <c r="C9986" s="2" t="n"/>
      <c r="D9986" t="inlineStr">
        <is>
          <t>SPEC</t>
        </is>
      </c>
      <c r="E9986" t="inlineStr">
        <is>
          <t>réservé ORANGE</t>
        </is>
      </c>
      <c r="J9986" t="inlineStr">
        <is>
          <t>TCHEWEMO</t>
        </is>
      </c>
      <c r="L9986">
        <f>_xlfn.XLOOKUP(Tableau1[[#This Row],[TYPE DE PIECE]],Tableau4[MATIERE],Tableau4[SHORT TYPE],"",0,1)</f>
        <v/>
      </c>
      <c r="N9986">
        <f>IF(ISERR(FIND("DECOUPE",Tableau1[[#This Row],[DESIGNATION]])),"","NEED REF")</f>
        <v/>
      </c>
    </row>
    <row r="9987">
      <c r="B9987" t="n">
        <v>34404019</v>
      </c>
      <c r="C9987" s="2" t="n"/>
      <c r="D9987" t="inlineStr">
        <is>
          <t>SPEC</t>
        </is>
      </c>
      <c r="E9987" t="inlineStr">
        <is>
          <t>réservé ORANGE</t>
        </is>
      </c>
      <c r="J9987" t="inlineStr">
        <is>
          <t>TCHEWEMO</t>
        </is>
      </c>
      <c r="L9987">
        <f>_xlfn.XLOOKUP(Tableau1[[#This Row],[TYPE DE PIECE]],Tableau4[MATIERE],Tableau4[SHORT TYPE],"",0,1)</f>
        <v/>
      </c>
      <c r="N9987">
        <f>IF(ISERR(FIND("DECOUPE",Tableau1[[#This Row],[DESIGNATION]])),"","NEED REF")</f>
        <v/>
      </c>
    </row>
    <row r="9988">
      <c r="B9988" t="n">
        <v>34404018</v>
      </c>
      <c r="C9988" s="2" t="n"/>
      <c r="D9988" t="inlineStr">
        <is>
          <t>SPEC</t>
        </is>
      </c>
      <c r="E9988" t="inlineStr">
        <is>
          <t>réservé ORANGE</t>
        </is>
      </c>
      <c r="J9988" t="inlineStr">
        <is>
          <t>TCHEWEMO</t>
        </is>
      </c>
      <c r="L9988">
        <f>_xlfn.XLOOKUP(Tableau1[[#This Row],[TYPE DE PIECE]],Tableau4[MATIERE],Tableau4[SHORT TYPE],"",0,1)</f>
        <v/>
      </c>
      <c r="N9988">
        <f>IF(ISERR(FIND("DECOUPE",Tableau1[[#This Row],[DESIGNATION]])),"","NEED REF")</f>
        <v/>
      </c>
    </row>
    <row r="9989">
      <c r="B9989" t="n">
        <v>34404017</v>
      </c>
      <c r="C9989" s="2" t="n"/>
      <c r="D9989" t="inlineStr">
        <is>
          <t>SPEC</t>
        </is>
      </c>
      <c r="E9989" t="inlineStr">
        <is>
          <t>réservé ORANGE</t>
        </is>
      </c>
      <c r="J9989" t="inlineStr">
        <is>
          <t>TCHEWEMO</t>
        </is>
      </c>
      <c r="L9989">
        <f>_xlfn.XLOOKUP(Tableau1[[#This Row],[TYPE DE PIECE]],Tableau4[MATIERE],Tableau4[SHORT TYPE],"",0,1)</f>
        <v/>
      </c>
      <c r="N9989">
        <f>IF(ISERR(FIND("DECOUPE",Tableau1[[#This Row],[DESIGNATION]])),"","NEED REF")</f>
        <v/>
      </c>
    </row>
    <row r="9990">
      <c r="B9990" t="n">
        <v>34404016</v>
      </c>
      <c r="C9990" s="2" t="n"/>
      <c r="D9990" t="inlineStr">
        <is>
          <t>SPEC</t>
        </is>
      </c>
      <c r="E9990" t="inlineStr">
        <is>
          <t>réservé ORANGE</t>
        </is>
      </c>
      <c r="J9990" t="inlineStr">
        <is>
          <t>TCHEWEMO</t>
        </is>
      </c>
      <c r="L9990">
        <f>_xlfn.XLOOKUP(Tableau1[[#This Row],[TYPE DE PIECE]],Tableau4[MATIERE],Tableau4[SHORT TYPE],"",0,1)</f>
        <v/>
      </c>
      <c r="N9990">
        <f>IF(ISERR(FIND("DECOUPE",Tableau1[[#This Row],[DESIGNATION]])),"","NEED REF")</f>
        <v/>
      </c>
    </row>
    <row r="9991">
      <c r="B9991" t="n">
        <v>34404015</v>
      </c>
      <c r="C9991" s="2" t="n"/>
      <c r="D9991" t="inlineStr">
        <is>
          <t>SPEC</t>
        </is>
      </c>
      <c r="E9991" t="inlineStr">
        <is>
          <t>réservé ORANGE</t>
        </is>
      </c>
      <c r="J9991" t="inlineStr">
        <is>
          <t>TCHEWEMO</t>
        </is>
      </c>
      <c r="L9991">
        <f>_xlfn.XLOOKUP(Tableau1[[#This Row],[TYPE DE PIECE]],Tableau4[MATIERE],Tableau4[SHORT TYPE],"",0,1)</f>
        <v/>
      </c>
      <c r="N9991">
        <f>IF(ISERR(FIND("DECOUPE",Tableau1[[#This Row],[DESIGNATION]])),"","NEED REF")</f>
        <v/>
      </c>
    </row>
    <row r="9992">
      <c r="B9992" t="n">
        <v>34404014</v>
      </c>
      <c r="C9992" s="2" t="n"/>
      <c r="D9992" t="inlineStr">
        <is>
          <t>SPEC</t>
        </is>
      </c>
      <c r="E9992" t="inlineStr">
        <is>
          <t>réservé ORANGE</t>
        </is>
      </c>
      <c r="J9992" t="inlineStr">
        <is>
          <t>TCHEWEMO</t>
        </is>
      </c>
      <c r="L9992">
        <f>_xlfn.XLOOKUP(Tableau1[[#This Row],[TYPE DE PIECE]],Tableau4[MATIERE],Tableau4[SHORT TYPE],"",0,1)</f>
        <v/>
      </c>
      <c r="N9992">
        <f>IF(ISERR(FIND("DECOUPE",Tableau1[[#This Row],[DESIGNATION]])),"","NEED REF")</f>
        <v/>
      </c>
    </row>
    <row r="9993">
      <c r="B9993" t="n">
        <v>34404013</v>
      </c>
      <c r="C9993" s="2" t="n"/>
      <c r="D9993" t="inlineStr">
        <is>
          <t>SPEC</t>
        </is>
      </c>
      <c r="E9993" t="inlineStr">
        <is>
          <t>réservé ORANGE</t>
        </is>
      </c>
      <c r="J9993" t="inlineStr">
        <is>
          <t>TCHEWEMO</t>
        </is>
      </c>
      <c r="L9993">
        <f>_xlfn.XLOOKUP(Tableau1[[#This Row],[TYPE DE PIECE]],Tableau4[MATIERE],Tableau4[SHORT TYPE],"",0,1)</f>
        <v/>
      </c>
      <c r="N9993">
        <f>IF(ISERR(FIND("DECOUPE",Tableau1[[#This Row],[DESIGNATION]])),"","NEED REF")</f>
        <v/>
      </c>
    </row>
    <row r="9994">
      <c r="B9994" t="n">
        <v>34404012</v>
      </c>
      <c r="C9994" s="2" t="n">
        <v>41859</v>
      </c>
      <c r="D9994" t="inlineStr">
        <is>
          <t>SPEC</t>
        </is>
      </c>
      <c r="E9994" t="inlineStr">
        <is>
          <t>réservé ORANGE</t>
        </is>
      </c>
      <c r="J9994" t="inlineStr">
        <is>
          <t>TCHEWEMO</t>
        </is>
      </c>
      <c r="L9994">
        <f>_xlfn.XLOOKUP(Tableau1[[#This Row],[TYPE DE PIECE]],Tableau4[MATIERE],Tableau4[SHORT TYPE],"",0,1)</f>
        <v/>
      </c>
      <c r="N9994">
        <f>IF(ISERR(FIND("DECOUPE",Tableau1[[#This Row],[DESIGNATION]])),"","NEED REF")</f>
        <v/>
      </c>
    </row>
    <row r="9995">
      <c r="B9995" t="n">
        <v>34404011</v>
      </c>
      <c r="C9995" s="2" t="n">
        <v>41859</v>
      </c>
      <c r="D9995" t="inlineStr">
        <is>
          <t>SPEC</t>
        </is>
      </c>
      <c r="E9995" t="inlineStr">
        <is>
          <t>réservé ORANGE</t>
        </is>
      </c>
      <c r="J9995" t="inlineStr">
        <is>
          <t>TCHEWEMO</t>
        </is>
      </c>
      <c r="L9995">
        <f>_xlfn.XLOOKUP(Tableau1[[#This Row],[TYPE DE PIECE]],Tableau4[MATIERE],Tableau4[SHORT TYPE],"",0,1)</f>
        <v/>
      </c>
      <c r="N9995">
        <f>IF(ISERR(FIND("DECOUPE",Tableau1[[#This Row],[DESIGNATION]])),"","NEED REF")</f>
        <v/>
      </c>
    </row>
    <row r="9996">
      <c r="B9996" t="n">
        <v>34404010</v>
      </c>
      <c r="C9996" s="2" t="n">
        <v>41859</v>
      </c>
      <c r="D9996" t="inlineStr">
        <is>
          <t>SPEC</t>
        </is>
      </c>
      <c r="E9996" t="inlineStr">
        <is>
          <t>réservé ORANGE</t>
        </is>
      </c>
      <c r="J9996" t="inlineStr">
        <is>
          <t>TCHEWEMO</t>
        </is>
      </c>
      <c r="L9996">
        <f>_xlfn.XLOOKUP(Tableau1[[#This Row],[TYPE DE PIECE]],Tableau4[MATIERE],Tableau4[SHORT TYPE],"",0,1)</f>
        <v/>
      </c>
      <c r="N9996">
        <f>IF(ISERR(FIND("DECOUPE",Tableau1[[#This Row],[DESIGNATION]])),"","NEED REF")</f>
        <v/>
      </c>
    </row>
    <row r="9997">
      <c r="B9997" t="n">
        <v>34404009</v>
      </c>
      <c r="C9997" s="2" t="n">
        <v>41859</v>
      </c>
      <c r="D9997" t="inlineStr">
        <is>
          <t>SPEC</t>
        </is>
      </c>
      <c r="E9997" t="inlineStr">
        <is>
          <t>réservé ORANGE</t>
        </is>
      </c>
      <c r="J9997" t="inlineStr">
        <is>
          <t>TCHEWEMO</t>
        </is>
      </c>
      <c r="L9997">
        <f>_xlfn.XLOOKUP(Tableau1[[#This Row],[TYPE DE PIECE]],Tableau4[MATIERE],Tableau4[SHORT TYPE],"",0,1)</f>
        <v/>
      </c>
      <c r="N9997">
        <f>IF(ISERR(FIND("DECOUPE",Tableau1[[#This Row],[DESIGNATION]])),"","NEED REF")</f>
        <v/>
      </c>
    </row>
    <row r="9998">
      <c r="B9998" t="n">
        <v>34404008</v>
      </c>
      <c r="C9998" s="2" t="n">
        <v>41859</v>
      </c>
      <c r="D9998" t="inlineStr">
        <is>
          <t>SPEC</t>
        </is>
      </c>
      <c r="E9998" t="inlineStr">
        <is>
          <t>réservé ORANGE</t>
        </is>
      </c>
      <c r="J9998" t="inlineStr">
        <is>
          <t>TCHEWEMO</t>
        </is>
      </c>
      <c r="L9998">
        <f>_xlfn.XLOOKUP(Tableau1[[#This Row],[TYPE DE PIECE]],Tableau4[MATIERE],Tableau4[SHORT TYPE],"",0,1)</f>
        <v/>
      </c>
      <c r="N9998">
        <f>IF(ISERR(FIND("DECOUPE",Tableau1[[#This Row],[DESIGNATION]])),"","NEED REF")</f>
        <v/>
      </c>
    </row>
    <row r="9999">
      <c r="B9999" t="n">
        <v>34404007</v>
      </c>
      <c r="C9999" s="2" t="n">
        <v>41859</v>
      </c>
      <c r="D9999" t="inlineStr">
        <is>
          <t>SPEC</t>
        </is>
      </c>
      <c r="E9999" t="inlineStr">
        <is>
          <t>réservé ORANGE</t>
        </is>
      </c>
      <c r="J9999" t="inlineStr">
        <is>
          <t>TCHEWEMO</t>
        </is>
      </c>
      <c r="L9999">
        <f>_xlfn.XLOOKUP(Tableau1[[#This Row],[TYPE DE PIECE]],Tableau4[MATIERE],Tableau4[SHORT TYPE],"",0,1)</f>
        <v/>
      </c>
      <c r="N9999">
        <f>IF(ISERR(FIND("DECOUPE",Tableau1[[#This Row],[DESIGNATION]])),"","NEED REF")</f>
        <v/>
      </c>
    </row>
    <row r="10000">
      <c r="B10000" t="n">
        <v>34404006</v>
      </c>
      <c r="C10000" s="2" t="n">
        <v>41857</v>
      </c>
      <c r="D10000" t="inlineStr">
        <is>
          <t>SPEC</t>
        </is>
      </c>
      <c r="E10000" t="inlineStr">
        <is>
          <t>réservé ORANGE</t>
        </is>
      </c>
      <c r="J10000" t="inlineStr">
        <is>
          <t>TCHEWEMO</t>
        </is>
      </c>
      <c r="L10000">
        <f>_xlfn.XLOOKUP(Tableau1[[#This Row],[TYPE DE PIECE]],Tableau4[MATIERE],Tableau4[SHORT TYPE],"",0,1)</f>
        <v/>
      </c>
      <c r="N10000">
        <f>IF(ISERR(FIND("DECOUPE",Tableau1[[#This Row],[DESIGNATION]])),"","NEED REF")</f>
        <v/>
      </c>
    </row>
    <row r="10001">
      <c r="B10001" t="n">
        <v>34404005</v>
      </c>
      <c r="C10001" s="2" t="n">
        <v>41857</v>
      </c>
      <c r="D10001" t="inlineStr">
        <is>
          <t>SPEC</t>
        </is>
      </c>
      <c r="E10001" t="inlineStr">
        <is>
          <t>réservé ORANGE</t>
        </is>
      </c>
      <c r="J10001" t="inlineStr">
        <is>
          <t>TCHEWEMO</t>
        </is>
      </c>
      <c r="L10001">
        <f>_xlfn.XLOOKUP(Tableau1[[#This Row],[TYPE DE PIECE]],Tableau4[MATIERE],Tableau4[SHORT TYPE],"",0,1)</f>
        <v/>
      </c>
      <c r="N10001">
        <f>IF(ISERR(FIND("DECOUPE",Tableau1[[#This Row],[DESIGNATION]])),"","NEED REF")</f>
        <v/>
      </c>
    </row>
    <row r="10002">
      <c r="B10002" t="n">
        <v>34404004</v>
      </c>
      <c r="C10002" s="2" t="n">
        <v>41857</v>
      </c>
      <c r="D10002" t="inlineStr">
        <is>
          <t>SPEC</t>
        </is>
      </c>
      <c r="E10002" t="inlineStr">
        <is>
          <t>réservé ORANGE</t>
        </is>
      </c>
      <c r="J10002" t="inlineStr">
        <is>
          <t>TCHEWEMO</t>
        </is>
      </c>
      <c r="L10002">
        <f>_xlfn.XLOOKUP(Tableau1[[#This Row],[TYPE DE PIECE]],Tableau4[MATIERE],Tableau4[SHORT TYPE],"",0,1)</f>
        <v/>
      </c>
      <c r="N10002">
        <f>IF(ISERR(FIND("DECOUPE",Tableau1[[#This Row],[DESIGNATION]])),"","NEED REF")</f>
        <v/>
      </c>
    </row>
    <row r="10003">
      <c r="B10003" t="n">
        <v>34404003</v>
      </c>
      <c r="C10003" s="2" t="n">
        <v>41855</v>
      </c>
      <c r="D10003" t="inlineStr">
        <is>
          <t>SPEC</t>
        </is>
      </c>
      <c r="E10003" t="inlineStr">
        <is>
          <t>réservé ORANGE</t>
        </is>
      </c>
      <c r="J10003" t="inlineStr">
        <is>
          <t>TCHEWEMO</t>
        </is>
      </c>
      <c r="L10003">
        <f>_xlfn.XLOOKUP(Tableau1[[#This Row],[TYPE DE PIECE]],Tableau4[MATIERE],Tableau4[SHORT TYPE],"",0,1)</f>
        <v/>
      </c>
      <c r="N10003">
        <f>IF(ISERR(FIND("DECOUPE",Tableau1[[#This Row],[DESIGNATION]])),"","NEED REF")</f>
        <v/>
      </c>
    </row>
    <row r="10004">
      <c r="B10004" t="n">
        <v>34404002</v>
      </c>
      <c r="C10004" s="2" t="n">
        <v>41855</v>
      </c>
      <c r="D10004" t="inlineStr">
        <is>
          <t>SPEC</t>
        </is>
      </c>
      <c r="E10004" t="inlineStr">
        <is>
          <t>réservé ORANGE</t>
        </is>
      </c>
      <c r="J10004" t="inlineStr">
        <is>
          <t>TCHEWEMO</t>
        </is>
      </c>
      <c r="L10004">
        <f>_xlfn.XLOOKUP(Tableau1[[#This Row],[TYPE DE PIECE]],Tableau4[MATIERE],Tableau4[SHORT TYPE],"",0,1)</f>
        <v/>
      </c>
      <c r="N10004">
        <f>IF(ISERR(FIND("DECOUPE",Tableau1[[#This Row],[DESIGNATION]])),"","NEED REF")</f>
        <v/>
      </c>
    </row>
    <row r="10005">
      <c r="B10005" t="n">
        <v>34404001</v>
      </c>
      <c r="C10005" s="2" t="n">
        <v>41855</v>
      </c>
      <c r="D10005" t="inlineStr">
        <is>
          <t>SPEC</t>
        </is>
      </c>
      <c r="E10005" t="inlineStr">
        <is>
          <t>réservé ORANGE</t>
        </is>
      </c>
      <c r="J10005" t="inlineStr">
        <is>
          <t>TCHEWEMO</t>
        </is>
      </c>
      <c r="L10005">
        <f>_xlfn.XLOOKUP(Tableau1[[#This Row],[TYPE DE PIECE]],Tableau4[MATIERE],Tableau4[SHORT TYPE],"",0,1)</f>
        <v/>
      </c>
      <c r="N10005">
        <f>IF(ISERR(FIND("DECOUPE",Tableau1[[#This Row],[DESIGNATION]])),"","NEED REF")</f>
        <v/>
      </c>
    </row>
    <row r="10006">
      <c r="B10006" t="n">
        <v>34404000</v>
      </c>
      <c r="C10006" s="2" t="n">
        <v>41856</v>
      </c>
      <c r="D10006" t="inlineStr">
        <is>
          <t>SPEC</t>
        </is>
      </c>
      <c r="E10006" t="inlineStr">
        <is>
          <t>INS ABB INTERLOCK</t>
        </is>
      </c>
      <c r="F10006" t="inlineStr">
        <is>
          <t>CAMPUS EOLE</t>
        </is>
      </c>
      <c r="J10006" t="inlineStr">
        <is>
          <t>MATRION</t>
        </is>
      </c>
      <c r="K10006" t="inlineStr">
        <is>
          <t>METAL</t>
        </is>
      </c>
      <c r="L10006">
        <f>_xlfn.XLOOKUP(Tableau1[[#This Row],[TYPE DE PIECE]],Tableau4[MATIERE],Tableau4[SHORT TYPE],"",0,1)</f>
        <v/>
      </c>
      <c r="N10006">
        <f>IF(ISERR(FIND("DECOUPE",Tableau1[[#This Row],[DESIGNATION]])),"","NEED REF")</f>
        <v/>
      </c>
    </row>
    <row r="10007">
      <c r="B10007" t="n">
        <v>34403999</v>
      </c>
      <c r="C10007" s="2" t="n">
        <v>41856</v>
      </c>
      <c r="D10007" t="inlineStr">
        <is>
          <t>SPEC</t>
        </is>
      </c>
      <c r="E10007" t="inlineStr">
        <is>
          <t>INS ABB INTERLOCK PLATE</t>
        </is>
      </c>
      <c r="F10007" t="inlineStr">
        <is>
          <t>CAMPUS EOLE</t>
        </is>
      </c>
      <c r="J10007" t="inlineStr">
        <is>
          <t>MATRION</t>
        </is>
      </c>
      <c r="K10007" t="inlineStr">
        <is>
          <t>METAL</t>
        </is>
      </c>
      <c r="L10007">
        <f>_xlfn.XLOOKUP(Tableau1[[#This Row],[TYPE DE PIECE]],Tableau4[MATIERE],Tableau4[SHORT TYPE],"",0,1)</f>
        <v/>
      </c>
      <c r="N10007">
        <f>IF(ISERR(FIND("DECOUPE",Tableau1[[#This Row],[DESIGNATION]])),"","NEED REF")</f>
        <v/>
      </c>
    </row>
    <row r="10008">
      <c r="B10008" t="n">
        <v>34403998</v>
      </c>
      <c r="C10008" s="2" t="n">
        <v>41856</v>
      </c>
      <c r="D10008" t="inlineStr">
        <is>
          <t>SPEC</t>
        </is>
      </c>
      <c r="E10008" t="inlineStr">
        <is>
          <t>HIDDEN COVER Q4S-Q3BP FOR INTERLOCK</t>
        </is>
      </c>
      <c r="F10008" t="inlineStr">
        <is>
          <t>CAMPUS EOLE</t>
        </is>
      </c>
      <c r="J10008" t="inlineStr">
        <is>
          <t>MATRION</t>
        </is>
      </c>
      <c r="K10008" t="inlineStr">
        <is>
          <t>METAL</t>
        </is>
      </c>
      <c r="L10008">
        <f>_xlfn.XLOOKUP(Tableau1[[#This Row],[TYPE DE PIECE]],Tableau4[MATIERE],Tableau4[SHORT TYPE],"",0,1)</f>
        <v/>
      </c>
      <c r="N10008">
        <f>IF(ISERR(FIND("DECOUPE",Tableau1[[#This Row],[DESIGNATION]])),"","NEED REF")</f>
        <v/>
      </c>
    </row>
    <row r="10009">
      <c r="B10009" t="n">
        <v>34403997</v>
      </c>
      <c r="C10009" s="2" t="n">
        <v>41851</v>
      </c>
      <c r="D10009" t="inlineStr">
        <is>
          <t>NOM</t>
        </is>
      </c>
      <c r="E10009" t="inlineStr">
        <is>
          <t>REHAUSSE H400 L1400 3</t>
        </is>
      </c>
      <c r="F10009" t="inlineStr">
        <is>
          <t>TOUTES</t>
        </is>
      </c>
      <c r="J10009" t="inlineStr">
        <is>
          <t>MATRION</t>
        </is>
      </c>
      <c r="L10009">
        <f>_xlfn.XLOOKUP(Tableau1[[#This Row],[TYPE DE PIECE]],Tableau4[MATIERE],Tableau4[SHORT TYPE],"",0,1)</f>
        <v/>
      </c>
      <c r="N10009">
        <f>IF(ISERR(FIND("DECOUPE",Tableau1[[#This Row],[DESIGNATION]])),"","NEED REF")</f>
        <v/>
      </c>
    </row>
    <row r="10010">
      <c r="B10010" t="n">
        <v>34403996</v>
      </c>
      <c r="C10010" s="2" t="n">
        <v>41851</v>
      </c>
      <c r="D10010" t="inlineStr">
        <is>
          <t>SPEC</t>
        </is>
      </c>
      <c r="E10010" t="inlineStr">
        <is>
          <t>TOIT L1400 2TGAB 3</t>
        </is>
      </c>
      <c r="F10010" t="inlineStr">
        <is>
          <t>CENTRE TRAITEMENT DES DOUANE</t>
        </is>
      </c>
      <c r="J10010" t="inlineStr">
        <is>
          <t>MATRION</t>
        </is>
      </c>
      <c r="K10010" t="inlineStr">
        <is>
          <t>METAL</t>
        </is>
      </c>
      <c r="L10010">
        <f>_xlfn.XLOOKUP(Tableau1[[#This Row],[TYPE DE PIECE]],Tableau4[MATIERE],Tableau4[SHORT TYPE],"",0,1)</f>
        <v/>
      </c>
      <c r="N10010">
        <f>IF(ISERR(FIND("DECOUPE",Tableau1[[#This Row],[DESIGNATION]])),"","NEED REF")</f>
        <v/>
      </c>
    </row>
    <row r="10011">
      <c r="B10011" t="n">
        <v>34403995</v>
      </c>
      <c r="C10011" s="2" t="n">
        <v>41851</v>
      </c>
      <c r="D10011" t="inlineStr">
        <is>
          <t>SPEC</t>
        </is>
      </c>
      <c r="E10011" t="inlineStr">
        <is>
          <t>FLEXIBAR R2 TOP CONNEXION L3-2</t>
        </is>
      </c>
      <c r="F10011" t="inlineStr">
        <is>
          <t>CAMPUS EOLE</t>
        </is>
      </c>
      <c r="J10011" t="inlineStr">
        <is>
          <t>MATRION</t>
        </is>
      </c>
      <c r="K10011" t="inlineStr">
        <is>
          <t>CUIVRE</t>
        </is>
      </c>
      <c r="L10011">
        <f>_xlfn.XLOOKUP(Tableau1[[#This Row],[TYPE DE PIECE]],Tableau4[MATIERE],Tableau4[SHORT TYPE],"",0,1)</f>
        <v/>
      </c>
      <c r="N10011">
        <f>IF(ISERR(FIND("DECOUPE",Tableau1[[#This Row],[DESIGNATION]])),"","NEED REF")</f>
        <v/>
      </c>
    </row>
    <row r="10012">
      <c r="B10012" t="n">
        <v>34403994</v>
      </c>
      <c r="C10012" s="2" t="n">
        <v>41851</v>
      </c>
      <c r="D10012" t="inlineStr">
        <is>
          <t>SPEC</t>
        </is>
      </c>
      <c r="E10012" t="inlineStr">
        <is>
          <t>FLEXIBAR R2 TOP CONNEXION L3-1</t>
        </is>
      </c>
      <c r="F10012" t="inlineStr">
        <is>
          <t>CAMPUS EOLE</t>
        </is>
      </c>
      <c r="J10012" t="inlineStr">
        <is>
          <t>MATRION</t>
        </is>
      </c>
      <c r="K10012" t="inlineStr">
        <is>
          <t>CUIVRE</t>
        </is>
      </c>
      <c r="L10012">
        <f>_xlfn.XLOOKUP(Tableau1[[#This Row],[TYPE DE PIECE]],Tableau4[MATIERE],Tableau4[SHORT TYPE],"",0,1)</f>
        <v/>
      </c>
      <c r="N10012">
        <f>IF(ISERR(FIND("DECOUPE",Tableau1[[#This Row],[DESIGNATION]])),"","NEED REF")</f>
        <v/>
      </c>
    </row>
    <row r="10013">
      <c r="B10013" t="n">
        <v>34403993</v>
      </c>
      <c r="C10013" s="2" t="n">
        <v>41851</v>
      </c>
      <c r="D10013" t="inlineStr">
        <is>
          <t>SPEC</t>
        </is>
      </c>
      <c r="E10013" t="inlineStr">
        <is>
          <t>FLEXIBAR R2 TOP CONNEXION L2-2</t>
        </is>
      </c>
      <c r="F10013" t="inlineStr">
        <is>
          <t>CAMPUS EOLE</t>
        </is>
      </c>
      <c r="J10013" t="inlineStr">
        <is>
          <t>MATRION</t>
        </is>
      </c>
      <c r="K10013" t="inlineStr">
        <is>
          <t>CUIVRE</t>
        </is>
      </c>
      <c r="L10013">
        <f>_xlfn.XLOOKUP(Tableau1[[#This Row],[TYPE DE PIECE]],Tableau4[MATIERE],Tableau4[SHORT TYPE],"",0,1)</f>
        <v/>
      </c>
      <c r="N10013">
        <f>IF(ISERR(FIND("DECOUPE",Tableau1[[#This Row],[DESIGNATION]])),"","NEED REF")</f>
        <v/>
      </c>
    </row>
    <row r="10014">
      <c r="B10014" t="n">
        <v>34403992</v>
      </c>
      <c r="C10014" s="2" t="n">
        <v>41851</v>
      </c>
      <c r="D10014" t="inlineStr">
        <is>
          <t>SPEC</t>
        </is>
      </c>
      <c r="E10014" t="inlineStr">
        <is>
          <t>FLEXIBAR R2 TOP CONNEXION L2-1</t>
        </is>
      </c>
      <c r="F10014" t="inlineStr">
        <is>
          <t>CAMPUS EOLE</t>
        </is>
      </c>
      <c r="J10014" t="inlineStr">
        <is>
          <t>MATRION</t>
        </is>
      </c>
      <c r="K10014" t="inlineStr">
        <is>
          <t>CUIVRE</t>
        </is>
      </c>
      <c r="L10014">
        <f>_xlfn.XLOOKUP(Tableau1[[#This Row],[TYPE DE PIECE]],Tableau4[MATIERE],Tableau4[SHORT TYPE],"",0,1)</f>
        <v/>
      </c>
      <c r="N10014">
        <f>IF(ISERR(FIND("DECOUPE",Tableau1[[#This Row],[DESIGNATION]])),"","NEED REF")</f>
        <v/>
      </c>
    </row>
    <row r="10015">
      <c r="B10015" t="n">
        <v>34403991</v>
      </c>
      <c r="C10015" s="2" t="n">
        <v>41851</v>
      </c>
      <c r="D10015" t="inlineStr">
        <is>
          <t>SPEC</t>
        </is>
      </c>
      <c r="E10015" t="inlineStr">
        <is>
          <t>FLEXIBAR R2 TOP CONNEXION L1-2</t>
        </is>
      </c>
      <c r="F10015" t="inlineStr">
        <is>
          <t>CAMPUS EOLE</t>
        </is>
      </c>
      <c r="J10015" t="inlineStr">
        <is>
          <t>MATRION</t>
        </is>
      </c>
      <c r="K10015" t="inlineStr">
        <is>
          <t>CUIVRE</t>
        </is>
      </c>
      <c r="L10015">
        <f>_xlfn.XLOOKUP(Tableau1[[#This Row],[TYPE DE PIECE]],Tableau4[MATIERE],Tableau4[SHORT TYPE],"",0,1)</f>
        <v/>
      </c>
      <c r="N10015">
        <f>IF(ISERR(FIND("DECOUPE",Tableau1[[#This Row],[DESIGNATION]])),"","NEED REF")</f>
        <v/>
      </c>
    </row>
    <row r="10016">
      <c r="B10016" t="n">
        <v>34403990</v>
      </c>
      <c r="C10016" s="2" t="n">
        <v>41851</v>
      </c>
      <c r="D10016" t="inlineStr">
        <is>
          <t>SPEC</t>
        </is>
      </c>
      <c r="E10016" t="inlineStr">
        <is>
          <t>FLEXIBAR R2 TOP CONNEXION L1-1</t>
        </is>
      </c>
      <c r="F10016" t="inlineStr">
        <is>
          <t>CAMPUS EOLE</t>
        </is>
      </c>
      <c r="J10016" t="inlineStr">
        <is>
          <t>MATRION</t>
        </is>
      </c>
      <c r="K10016" t="inlineStr">
        <is>
          <t>CUIVRE</t>
        </is>
      </c>
      <c r="L10016">
        <f>_xlfn.XLOOKUP(Tableau1[[#This Row],[TYPE DE PIECE]],Tableau4[MATIERE],Tableau4[SHORT TYPE],"",0,1)</f>
        <v/>
      </c>
      <c r="N10016">
        <f>IF(ISERR(FIND("DECOUPE",Tableau1[[#This Row],[DESIGNATION]])),"","NEED REF")</f>
        <v/>
      </c>
    </row>
    <row r="10017">
      <c r="B10017" t="n">
        <v>34403989</v>
      </c>
      <c r="C10017" s="2" t="n">
        <v>41851</v>
      </c>
      <c r="D10017" t="inlineStr">
        <is>
          <t>SPEC</t>
        </is>
      </c>
      <c r="E10017" t="inlineStr">
        <is>
          <t>FLEXIBAR R2 TOP CONNEXION N-2</t>
        </is>
      </c>
      <c r="F10017" t="inlineStr">
        <is>
          <t>CAMPUS EOLE</t>
        </is>
      </c>
      <c r="J10017" t="inlineStr">
        <is>
          <t>MATRION</t>
        </is>
      </c>
      <c r="K10017" t="inlineStr">
        <is>
          <t>CUIVRE</t>
        </is>
      </c>
      <c r="L10017">
        <f>_xlfn.XLOOKUP(Tableau1[[#This Row],[TYPE DE PIECE]],Tableau4[MATIERE],Tableau4[SHORT TYPE],"",0,1)</f>
        <v/>
      </c>
      <c r="N10017">
        <f>IF(ISERR(FIND("DECOUPE",Tableau1[[#This Row],[DESIGNATION]])),"","NEED REF")</f>
        <v/>
      </c>
    </row>
    <row r="10018">
      <c r="B10018" t="n">
        <v>34403988</v>
      </c>
      <c r="C10018" s="2" t="n">
        <v>41851</v>
      </c>
      <c r="D10018" t="inlineStr">
        <is>
          <t>SPEC</t>
        </is>
      </c>
      <c r="E10018" t="inlineStr">
        <is>
          <t>FLEXIBAR R2 TOP CONNEXION N-1</t>
        </is>
      </c>
      <c r="F10018" t="inlineStr">
        <is>
          <t>CAMPUS EOLE</t>
        </is>
      </c>
      <c r="J10018" t="inlineStr">
        <is>
          <t>MATRION</t>
        </is>
      </c>
      <c r="K10018" t="inlineStr">
        <is>
          <t>CUIVRE</t>
        </is>
      </c>
      <c r="L10018">
        <f>_xlfn.XLOOKUP(Tableau1[[#This Row],[TYPE DE PIECE]],Tableau4[MATIERE],Tableau4[SHORT TYPE],"",0,1)</f>
        <v/>
      </c>
      <c r="N10018">
        <f>IF(ISERR(FIND("DECOUPE",Tableau1[[#This Row],[DESIGNATION]])),"","NEED REF")</f>
        <v/>
      </c>
    </row>
    <row r="10019">
      <c r="B10019" t="n">
        <v>34403987</v>
      </c>
      <c r="C10019" s="2" t="n">
        <v>41849</v>
      </c>
      <c r="D10019" t="inlineStr">
        <is>
          <t>SPEC</t>
        </is>
      </c>
      <c r="E10019" t="inlineStr">
        <is>
          <t>BOTTOM PROTECTION SHIELD RIGHT</t>
        </is>
      </c>
      <c r="F10019" t="inlineStr">
        <is>
          <t>G7K NS1200kVA - Q4S BACKFEED</t>
        </is>
      </c>
      <c r="J10019" t="inlineStr">
        <is>
          <t>MATRION</t>
        </is>
      </c>
      <c r="K10019" t="inlineStr">
        <is>
          <t>METAL</t>
        </is>
      </c>
      <c r="L10019">
        <f>_xlfn.XLOOKUP(Tableau1[[#This Row],[TYPE DE PIECE]],Tableau4[MATIERE],Tableau4[SHORT TYPE],"",0,1)</f>
        <v/>
      </c>
      <c r="N10019">
        <f>IF(ISERR(FIND("DECOUPE",Tableau1[[#This Row],[DESIGNATION]])),"","NEED REF")</f>
        <v/>
      </c>
    </row>
    <row r="10020">
      <c r="B10020" t="n">
        <v>34403986</v>
      </c>
      <c r="C10020" s="2" t="n">
        <v>41849</v>
      </c>
      <c r="D10020" t="inlineStr">
        <is>
          <t>SPEC</t>
        </is>
      </c>
      <c r="E10020" t="inlineStr">
        <is>
          <t>BOTTOM PROTECTION SHIELD MIDDLE</t>
        </is>
      </c>
      <c r="F10020" t="inlineStr">
        <is>
          <t>G7K NS1200kVA - Q4S BACKFEED</t>
        </is>
      </c>
      <c r="J10020" t="inlineStr">
        <is>
          <t>MATRION</t>
        </is>
      </c>
      <c r="K10020" t="inlineStr">
        <is>
          <t>METAL</t>
        </is>
      </c>
      <c r="L10020">
        <f>_xlfn.XLOOKUP(Tableau1[[#This Row],[TYPE DE PIECE]],Tableau4[MATIERE],Tableau4[SHORT TYPE],"",0,1)</f>
        <v/>
      </c>
      <c r="N10020">
        <f>IF(ISERR(FIND("DECOUPE",Tableau1[[#This Row],[DESIGNATION]])),"","NEED REF")</f>
        <v/>
      </c>
    </row>
    <row r="10021">
      <c r="B10021" t="n">
        <v>34403985</v>
      </c>
      <c r="C10021" s="2" t="n">
        <v>41849</v>
      </c>
      <c r="D10021" t="inlineStr">
        <is>
          <t>SPEC</t>
        </is>
      </c>
      <c r="E10021" t="inlineStr">
        <is>
          <t>BOTTOM PROTECTION SHIELD LEFT</t>
        </is>
      </c>
      <c r="F10021" t="inlineStr">
        <is>
          <t>G7K NS1200kVA - Q4S BACKFEED</t>
        </is>
      </c>
      <c r="J10021" t="inlineStr">
        <is>
          <t>MATRION</t>
        </is>
      </c>
      <c r="K10021" t="inlineStr">
        <is>
          <t>METAL</t>
        </is>
      </c>
      <c r="L10021">
        <f>_xlfn.XLOOKUP(Tableau1[[#This Row],[TYPE DE PIECE]],Tableau4[MATIERE],Tableau4[SHORT TYPE],"",0,1)</f>
        <v/>
      </c>
      <c r="N10021">
        <f>IF(ISERR(FIND("DECOUPE",Tableau1[[#This Row],[DESIGNATION]])),"","NEED REF")</f>
        <v/>
      </c>
    </row>
    <row r="10022">
      <c r="B10022" t="n">
        <v>34403984</v>
      </c>
      <c r="C10022" s="2" t="n">
        <v>41848</v>
      </c>
      <c r="D10022" t="inlineStr">
        <is>
          <t>SPEC</t>
        </is>
      </c>
      <c r="E10022" t="inlineStr">
        <is>
          <t>BOTTOM PROTECTION SHIELD PLATE L800</t>
        </is>
      </c>
      <c r="F10022" t="inlineStr">
        <is>
          <t>G7K NS2500kVA - Q4S BACKFEED</t>
        </is>
      </c>
      <c r="J10022" t="inlineStr">
        <is>
          <t>MATRION</t>
        </is>
      </c>
      <c r="K10022" t="inlineStr">
        <is>
          <t>METAL</t>
        </is>
      </c>
      <c r="L10022">
        <f>_xlfn.XLOOKUP(Tableau1[[#This Row],[TYPE DE PIECE]],Tableau4[MATIERE],Tableau4[SHORT TYPE],"",0,1)</f>
        <v/>
      </c>
      <c r="N10022">
        <f>IF(ISERR(FIND("DECOUPE",Tableau1[[#This Row],[DESIGNATION]])),"","NEED REF")</f>
        <v/>
      </c>
    </row>
    <row r="10023">
      <c r="B10023" t="n">
        <v>34403983</v>
      </c>
      <c r="C10023" s="2" t="n">
        <v>41848</v>
      </c>
      <c r="D10023" t="inlineStr">
        <is>
          <t>SPEC</t>
        </is>
      </c>
      <c r="E10023" t="inlineStr">
        <is>
          <t>BOTTOM PROTECTION SHIELD PLATE L1000</t>
        </is>
      </c>
      <c r="F10023" t="inlineStr">
        <is>
          <t>G7K NS2500kVA - Q4S BACKFEED</t>
        </is>
      </c>
      <c r="J10023" t="inlineStr">
        <is>
          <t>MATRION</t>
        </is>
      </c>
      <c r="K10023" t="inlineStr">
        <is>
          <t>METAL</t>
        </is>
      </c>
      <c r="L10023">
        <f>_xlfn.XLOOKUP(Tableau1[[#This Row],[TYPE DE PIECE]],Tableau4[MATIERE],Tableau4[SHORT TYPE],"",0,1)</f>
        <v/>
      </c>
      <c r="N10023">
        <f>IF(ISERR(FIND("DECOUPE",Tableau1[[#This Row],[DESIGNATION]])),"","NEED REF")</f>
        <v/>
      </c>
    </row>
    <row r="10024">
      <c r="B10024" t="n">
        <v>34403982</v>
      </c>
      <c r="C10024" s="2" t="n">
        <v>41848</v>
      </c>
      <c r="D10024" t="inlineStr">
        <is>
          <t>SPEC</t>
        </is>
      </c>
      <c r="E10024" t="inlineStr">
        <is>
          <t>COPPERBAR PE TOPCONNEXION CLAMP 2</t>
        </is>
      </c>
      <c r="F10024" t="inlineStr">
        <is>
          <t>G7K NS2500kVA - Q4S BACKFEED</t>
        </is>
      </c>
      <c r="J10024" t="inlineStr">
        <is>
          <t>MATRION</t>
        </is>
      </c>
      <c r="K10024" t="inlineStr">
        <is>
          <t>CUIVRE</t>
        </is>
      </c>
      <c r="L10024">
        <f>_xlfn.XLOOKUP(Tableau1[[#This Row],[TYPE DE PIECE]],Tableau4[MATIERE],Tableau4[SHORT TYPE],"",0,1)</f>
        <v/>
      </c>
      <c r="N10024">
        <f>IF(ISERR(FIND("DECOUPE",Tableau1[[#This Row],[DESIGNATION]])),"","NEED REF")</f>
        <v/>
      </c>
    </row>
    <row r="10025">
      <c r="B10025" t="n">
        <v>34403981</v>
      </c>
      <c r="C10025" s="2" t="n">
        <v>41848</v>
      </c>
      <c r="D10025" t="inlineStr">
        <is>
          <t>SPEC</t>
        </is>
      </c>
      <c r="E10025" t="inlineStr">
        <is>
          <t>COPPERBAR PE TOPCONNEXION JUNCTION</t>
        </is>
      </c>
      <c r="F10025" t="inlineStr">
        <is>
          <t>G7K NS2500kVA - Q4S BACKFEED</t>
        </is>
      </c>
      <c r="J10025" t="inlineStr">
        <is>
          <t>MATRION</t>
        </is>
      </c>
      <c r="K10025" t="inlineStr">
        <is>
          <t>CUIVRE</t>
        </is>
      </c>
      <c r="L10025">
        <f>_xlfn.XLOOKUP(Tableau1[[#This Row],[TYPE DE PIECE]],Tableau4[MATIERE],Tableau4[SHORT TYPE],"",0,1)</f>
        <v/>
      </c>
      <c r="N10025">
        <f>IF(ISERR(FIND("DECOUPE",Tableau1[[#This Row],[DESIGNATION]])),"","NEED REF")</f>
        <v/>
      </c>
    </row>
    <row r="10026">
      <c r="B10026" t="n">
        <v>34403980</v>
      </c>
      <c r="C10026" s="2" t="n"/>
      <c r="E10026" t="inlineStr">
        <is>
          <t>réservé</t>
        </is>
      </c>
      <c r="L10026">
        <f>_xlfn.XLOOKUP(Tableau1[[#This Row],[TYPE DE PIECE]],Tableau4[MATIERE],Tableau4[SHORT TYPE],"",0,1)</f>
        <v/>
      </c>
      <c r="N10026">
        <f>IF(ISERR(FIND("DECOUPE",Tableau1[[#This Row],[DESIGNATION]])),"","NEED REF")</f>
        <v/>
      </c>
    </row>
    <row r="10027">
      <c r="B10027" t="n">
        <v>34403979</v>
      </c>
      <c r="C10027" s="2" t="n"/>
      <c r="E10027" t="inlineStr">
        <is>
          <t>réservé</t>
        </is>
      </c>
      <c r="L10027">
        <f>_xlfn.XLOOKUP(Tableau1[[#This Row],[TYPE DE PIECE]],Tableau4[MATIERE],Tableau4[SHORT TYPE],"",0,1)</f>
        <v/>
      </c>
      <c r="N10027">
        <f>IF(ISERR(FIND("DECOUPE",Tableau1[[#This Row],[DESIGNATION]])),"","NEED REF")</f>
        <v/>
      </c>
    </row>
    <row r="10028">
      <c r="B10028" t="n">
        <v>34403978</v>
      </c>
      <c r="C10028" s="2" t="n"/>
      <c r="E10028" t="inlineStr">
        <is>
          <t>réservé</t>
        </is>
      </c>
      <c r="L10028">
        <f>_xlfn.XLOOKUP(Tableau1[[#This Row],[TYPE DE PIECE]],Tableau4[MATIERE],Tableau4[SHORT TYPE],"",0,1)</f>
        <v/>
      </c>
      <c r="N10028">
        <f>IF(ISERR(FIND("DECOUPE",Tableau1[[#This Row],[DESIGNATION]])),"","NEED REF")</f>
        <v/>
      </c>
    </row>
    <row r="10029">
      <c r="B10029" t="n">
        <v>34403977</v>
      </c>
      <c r="C10029" s="2" t="n">
        <v>41883</v>
      </c>
      <c r="D10029" t="inlineStr">
        <is>
          <t>SPEC</t>
        </is>
      </c>
      <c r="E10029" t="inlineStr">
        <is>
          <t>CACHE AFFICHEUR STS</t>
        </is>
      </c>
      <c r="F10029" t="inlineStr">
        <is>
          <t>STS400 NETSHLTER</t>
        </is>
      </c>
      <c r="J10029" t="inlineStr">
        <is>
          <t>MATRION</t>
        </is>
      </c>
      <c r="K10029" t="inlineStr">
        <is>
          <t>PLASTIQUE</t>
        </is>
      </c>
      <c r="L10029">
        <f>_xlfn.XLOOKUP(Tableau1[[#This Row],[TYPE DE PIECE]],Tableau4[MATIERE],Tableau4[SHORT TYPE],"",0,1)</f>
        <v/>
      </c>
      <c r="N10029">
        <f>IF(ISERR(FIND("DECOUPE",Tableau1[[#This Row],[DESIGNATION]])),"","NEED REF")</f>
        <v/>
      </c>
    </row>
    <row r="10030">
      <c r="B10030" t="n">
        <v>34403976</v>
      </c>
      <c r="C10030" s="2" t="n">
        <v>41883</v>
      </c>
      <c r="D10030" t="inlineStr">
        <is>
          <t>SPEC</t>
        </is>
      </c>
      <c r="E10030" t="inlineStr">
        <is>
          <t>SUPPORT AFFICHEUR STS</t>
        </is>
      </c>
      <c r="F10030" t="inlineStr">
        <is>
          <t>STS400 NETSHLTER</t>
        </is>
      </c>
      <c r="J10030" t="inlineStr">
        <is>
          <t>MATRION</t>
        </is>
      </c>
      <c r="K10030" t="inlineStr">
        <is>
          <t>PLASTIQUE</t>
        </is>
      </c>
      <c r="L10030">
        <f>_xlfn.XLOOKUP(Tableau1[[#This Row],[TYPE DE PIECE]],Tableau4[MATIERE],Tableau4[SHORT TYPE],"",0,1)</f>
        <v/>
      </c>
      <c r="N10030">
        <f>IF(ISERR(FIND("DECOUPE",Tableau1[[#This Row],[DESIGNATION]])),"","NEED REF")</f>
        <v/>
      </c>
    </row>
    <row r="10031">
      <c r="B10031" t="n">
        <v>34403975</v>
      </c>
      <c r="C10031" s="2" t="n">
        <v>41843</v>
      </c>
      <c r="D10031" t="inlineStr">
        <is>
          <t>CDC</t>
        </is>
      </c>
      <c r="E10031" t="inlineStr">
        <is>
          <t>Connecteur HE10-50P-F avec strap entre Pins 6 et 18 (XM2 Carte GDET)</t>
        </is>
      </c>
      <c r="F10031" t="inlineStr">
        <is>
          <t>G7K 1MVA</t>
        </is>
      </c>
      <c r="J10031" t="inlineStr">
        <is>
          <t>MONGELLI</t>
        </is>
      </c>
      <c r="K10031" t="inlineStr">
        <is>
          <t>PLASTIQUE</t>
        </is>
      </c>
      <c r="L10031">
        <f>_xlfn.XLOOKUP(Tableau1[[#This Row],[TYPE DE PIECE]],Tableau4[MATIERE],Tableau4[SHORT TYPE],"",0,1)</f>
        <v/>
      </c>
      <c r="N10031">
        <f>IF(ISERR(FIND("DECOUPE",Tableau1[[#This Row],[DESIGNATION]])),"","NEED REF")</f>
        <v/>
      </c>
    </row>
    <row r="10032">
      <c r="B10032" t="n">
        <v>34403974</v>
      </c>
      <c r="C10032" s="2" t="n">
        <v>41843</v>
      </c>
      <c r="D10032" t="inlineStr">
        <is>
          <t>SPEC</t>
        </is>
      </c>
      <c r="E10032" t="inlineStr">
        <is>
          <t>FIXATION GAUCHE PLASTRON HAUT</t>
        </is>
      </c>
      <c r="F10032" t="inlineStr">
        <is>
          <t>STS400 FLAT</t>
        </is>
      </c>
      <c r="J10032" t="inlineStr">
        <is>
          <t>MATRION</t>
        </is>
      </c>
      <c r="K10032" t="inlineStr">
        <is>
          <t>METAL</t>
        </is>
      </c>
      <c r="L10032">
        <f>_xlfn.XLOOKUP(Tableau1[[#This Row],[TYPE DE PIECE]],Tableau4[MATIERE],Tableau4[SHORT TYPE],"",0,1)</f>
        <v/>
      </c>
      <c r="N10032">
        <f>IF(ISERR(FIND("DECOUPE",Tableau1[[#This Row],[DESIGNATION]])),"","NEED REF")</f>
        <v/>
      </c>
    </row>
    <row r="10033">
      <c r="B10033" t="n">
        <v>34403973</v>
      </c>
      <c r="C10033" s="2" t="n">
        <v>41843</v>
      </c>
      <c r="D10033" t="inlineStr">
        <is>
          <t>SPEC</t>
        </is>
      </c>
      <c r="E10033" t="inlineStr">
        <is>
          <t>SUPPORT RELAIS K2S</t>
        </is>
      </c>
      <c r="F10033" t="inlineStr">
        <is>
          <t>G7K NS2500kVA - Q4S BACKFEED</t>
        </is>
      </c>
      <c r="J10033" t="inlineStr">
        <is>
          <t>MATRION</t>
        </is>
      </c>
      <c r="K10033" t="inlineStr">
        <is>
          <t>METAL</t>
        </is>
      </c>
      <c r="L10033">
        <f>_xlfn.XLOOKUP(Tableau1[[#This Row],[TYPE DE PIECE]],Tableau4[MATIERE],Tableau4[SHORT TYPE],"",0,1)</f>
        <v/>
      </c>
      <c r="N10033">
        <f>IF(ISERR(FIND("DECOUPE",Tableau1[[#This Row],[DESIGNATION]])),"","NEED REF")</f>
        <v/>
      </c>
    </row>
    <row r="10034">
      <c r="B10034" t="n">
        <v>34403972</v>
      </c>
      <c r="C10034" s="2" t="n">
        <v>41830</v>
      </c>
      <c r="D10034" t="inlineStr">
        <is>
          <t>NOM</t>
        </is>
      </c>
      <c r="E10034" t="inlineStr">
        <is>
          <t>REHAUSSE H400 L1400 1</t>
        </is>
      </c>
      <c r="F10034" t="inlineStr">
        <is>
          <t>TOUTES</t>
        </is>
      </c>
      <c r="J10034" t="inlineStr">
        <is>
          <t>MATRION</t>
        </is>
      </c>
      <c r="L10034">
        <f>_xlfn.XLOOKUP(Tableau1[[#This Row],[TYPE DE PIECE]],Tableau4[MATIERE],Tableau4[SHORT TYPE],"",0,1)</f>
        <v/>
      </c>
      <c r="N10034">
        <f>IF(ISERR(FIND("DECOUPE",Tableau1[[#This Row],[DESIGNATION]])),"","NEED REF")</f>
        <v/>
      </c>
    </row>
    <row r="10035">
      <c r="B10035" t="n">
        <v>34403971</v>
      </c>
      <c r="C10035" s="2" t="n">
        <v>41838</v>
      </c>
      <c r="D10035" t="inlineStr">
        <is>
          <t>SPEC</t>
        </is>
      </c>
      <c r="E10035" t="inlineStr">
        <is>
          <t>LOW COPPER BAR 100X10</t>
        </is>
      </c>
      <c r="F10035" t="inlineStr">
        <is>
          <t>STORE BOX</t>
        </is>
      </c>
      <c r="J10035" t="inlineStr">
        <is>
          <t>MATRION</t>
        </is>
      </c>
      <c r="K10035" t="inlineStr">
        <is>
          <t>DOC</t>
        </is>
      </c>
      <c r="L10035">
        <f>_xlfn.XLOOKUP(Tableau1[[#This Row],[TYPE DE PIECE]],Tableau4[MATIERE],Tableau4[SHORT TYPE],"",0,1)</f>
        <v/>
      </c>
      <c r="N10035">
        <f>IF(ISERR(FIND("DECOUPE",Tableau1[[#This Row],[DESIGNATION]])),"","NEED REF")</f>
        <v/>
      </c>
    </row>
    <row r="10036">
      <c r="B10036" t="n">
        <v>34403970</v>
      </c>
      <c r="C10036" s="2" t="n">
        <v>41838</v>
      </c>
      <c r="D10036" t="inlineStr">
        <is>
          <t>SPEC</t>
        </is>
      </c>
      <c r="E10036" t="inlineStr">
        <is>
          <t>HIGHT DCBOX PROTECTION COVER</t>
        </is>
      </c>
      <c r="F10036" t="inlineStr">
        <is>
          <t>STORE BOX</t>
        </is>
      </c>
      <c r="J10036" t="inlineStr">
        <is>
          <t>MATRION</t>
        </is>
      </c>
      <c r="K10036" t="inlineStr">
        <is>
          <t>PLASTIQUE</t>
        </is>
      </c>
      <c r="L10036">
        <f>_xlfn.XLOOKUP(Tableau1[[#This Row],[TYPE DE PIECE]],Tableau4[MATIERE],Tableau4[SHORT TYPE],"",0,1)</f>
        <v/>
      </c>
      <c r="N10036">
        <f>IF(ISERR(FIND("DECOUPE",Tableau1[[#This Row],[DESIGNATION]])),"","NEED REF")</f>
        <v/>
      </c>
    </row>
    <row r="10037">
      <c r="B10037" t="n">
        <v>34403969</v>
      </c>
      <c r="C10037" s="2" t="n">
        <v>41830</v>
      </c>
      <c r="D10037" t="inlineStr">
        <is>
          <t>SPEC</t>
        </is>
      </c>
      <c r="E10037" t="inlineStr">
        <is>
          <t>TOIT L1400 2TGAB 1</t>
        </is>
      </c>
      <c r="F10037" t="inlineStr">
        <is>
          <t>CAMPUS EOLE</t>
        </is>
      </c>
      <c r="J10037" t="inlineStr">
        <is>
          <t>MATRION</t>
        </is>
      </c>
      <c r="K10037" t="inlineStr">
        <is>
          <t>METAL</t>
        </is>
      </c>
      <c r="L10037">
        <f>_xlfn.XLOOKUP(Tableau1[[#This Row],[TYPE DE PIECE]],Tableau4[MATIERE],Tableau4[SHORT TYPE],"",0,1)</f>
        <v/>
      </c>
      <c r="N10037">
        <f>IF(ISERR(FIND("DECOUPE",Tableau1[[#This Row],[DESIGNATION]])),"","NEED REF")</f>
        <v/>
      </c>
    </row>
    <row r="10038">
      <c r="B10038" t="n">
        <v>34403968</v>
      </c>
      <c r="C10038" s="2" t="n">
        <v>41838</v>
      </c>
      <c r="D10038" t="inlineStr">
        <is>
          <t>SPEC</t>
        </is>
      </c>
      <c r="E10038" t="inlineStr">
        <is>
          <t>DOOR WITH IM400</t>
        </is>
      </c>
      <c r="F10038" t="inlineStr">
        <is>
          <t>STORE BOX</t>
        </is>
      </c>
      <c r="J10038" t="inlineStr">
        <is>
          <t>MATRION</t>
        </is>
      </c>
      <c r="K10038" t="inlineStr">
        <is>
          <t>DOC</t>
        </is>
      </c>
      <c r="L10038">
        <f>_xlfn.XLOOKUP(Tableau1[[#This Row],[TYPE DE PIECE]],Tableau4[MATIERE],Tableau4[SHORT TYPE],"",0,1)</f>
        <v/>
      </c>
      <c r="N10038">
        <f>IF(ISERR(FIND("DECOUPE",Tableau1[[#This Row],[DESIGNATION]])),"","NEED REF")</f>
        <v/>
      </c>
    </row>
    <row r="10039">
      <c r="B10039" t="n">
        <v>34403967</v>
      </c>
      <c r="C10039" s="2" t="n">
        <v>41838</v>
      </c>
      <c r="D10039" t="inlineStr">
        <is>
          <t>NOM</t>
        </is>
      </c>
      <c r="E10039" t="inlineStr">
        <is>
          <t>STORE BOX</t>
        </is>
      </c>
      <c r="F10039" t="inlineStr">
        <is>
          <t>STORE BOX</t>
        </is>
      </c>
      <c r="J10039" t="inlineStr">
        <is>
          <t>MATRION</t>
        </is>
      </c>
      <c r="L10039">
        <f>_xlfn.XLOOKUP(Tableau1[[#This Row],[TYPE DE PIECE]],Tableau4[MATIERE],Tableau4[SHORT TYPE],"",0,1)</f>
        <v/>
      </c>
      <c r="N10039">
        <f>IF(ISERR(FIND("DECOUPE",Tableau1[[#This Row],[DESIGNATION]])),"","NEED REF")</f>
        <v/>
      </c>
    </row>
    <row r="10040">
      <c r="B10040" t="n">
        <v>34403966</v>
      </c>
      <c r="C10040" s="2" t="n">
        <v>41837</v>
      </c>
      <c r="D10040" t="inlineStr">
        <is>
          <t>SPEC</t>
        </is>
      </c>
      <c r="E10040" t="inlineStr">
        <is>
          <t>SUPPORT FUSES</t>
        </is>
      </c>
      <c r="F10040" t="inlineStr">
        <is>
          <t>VAHLAL ARMOIRE BATT</t>
        </is>
      </c>
      <c r="J10040" t="inlineStr">
        <is>
          <t>ROBERT</t>
        </is>
      </c>
      <c r="L10040">
        <f>_xlfn.XLOOKUP(Tableau1[[#This Row],[TYPE DE PIECE]],Tableau4[MATIERE],Tableau4[SHORT TYPE],"",0,1)</f>
        <v/>
      </c>
      <c r="N10040">
        <f>IF(ISERR(FIND("DECOUPE",Tableau1[[#This Row],[DESIGNATION]])),"","NEED REF")</f>
        <v/>
      </c>
    </row>
    <row r="10041">
      <c r="B10041" t="n">
        <v>34403965</v>
      </c>
      <c r="C10041" s="2" t="n">
        <v>41837</v>
      </c>
      <c r="D10041" t="inlineStr">
        <is>
          <t>SPEC</t>
        </is>
      </c>
      <c r="E10041" t="inlineStr">
        <is>
          <t>SUPPORT CARTE</t>
        </is>
      </c>
      <c r="F10041" t="inlineStr">
        <is>
          <t>VAHLAL ARMOIRE BATT</t>
        </is>
      </c>
      <c r="J10041" t="inlineStr">
        <is>
          <t>ROBERT</t>
        </is>
      </c>
      <c r="L10041">
        <f>_xlfn.XLOOKUP(Tableau1[[#This Row],[TYPE DE PIECE]],Tableau4[MATIERE],Tableau4[SHORT TYPE],"",0,1)</f>
        <v/>
      </c>
      <c r="N10041">
        <f>IF(ISERR(FIND("DECOUPE",Tableau1[[#This Row],[DESIGNATION]])),"","NEED REF")</f>
        <v/>
      </c>
    </row>
    <row r="10042">
      <c r="B10042" t="n">
        <v>34403964</v>
      </c>
      <c r="C10042" s="2" t="n">
        <v>41837</v>
      </c>
      <c r="D10042" t="inlineStr">
        <is>
          <t>SPEC</t>
        </is>
      </c>
      <c r="E10042" t="inlineStr">
        <is>
          <t>HOLD HORIZONTAL 5MM TOP CONNEXION</t>
        </is>
      </c>
      <c r="F10042" t="inlineStr">
        <is>
          <t>CAMPUS EOLE</t>
        </is>
      </c>
      <c r="J10042" t="inlineStr">
        <is>
          <t>MATRION</t>
        </is>
      </c>
      <c r="K10042" t="inlineStr">
        <is>
          <t>CUIVRE</t>
        </is>
      </c>
      <c r="L10042">
        <f>_xlfn.XLOOKUP(Tableau1[[#This Row],[TYPE DE PIECE]],Tableau4[MATIERE],Tableau4[SHORT TYPE],"",0,1)</f>
        <v/>
      </c>
      <c r="N10042">
        <f>IF(ISERR(FIND("DECOUPE",Tableau1[[#This Row],[DESIGNATION]])),"","NEED REF")</f>
        <v/>
      </c>
    </row>
    <row r="10043">
      <c r="B10043" t="n">
        <v>34403963</v>
      </c>
      <c r="C10043" s="2" t="n">
        <v>41835</v>
      </c>
      <c r="D10043" t="inlineStr">
        <is>
          <t>SPEC</t>
        </is>
      </c>
      <c r="E10043" t="inlineStr">
        <is>
          <t>MODULE ELEC LOCK</t>
        </is>
      </c>
      <c r="F10043" t="inlineStr">
        <is>
          <t>STS400 FLAT</t>
        </is>
      </c>
      <c r="J10043" t="inlineStr">
        <is>
          <t>MATRION</t>
        </is>
      </c>
      <c r="K10043" t="inlineStr">
        <is>
          <t>METAL</t>
        </is>
      </c>
      <c r="L10043">
        <f>_xlfn.XLOOKUP(Tableau1[[#This Row],[TYPE DE PIECE]],Tableau4[MATIERE],Tableau4[SHORT TYPE],"",0,1)</f>
        <v/>
      </c>
      <c r="N10043">
        <f>IF(ISERR(FIND("DECOUPE",Tableau1[[#This Row],[DESIGNATION]])),"","NEED REF")</f>
        <v/>
      </c>
    </row>
    <row r="10044">
      <c r="B10044" t="n">
        <v>34403962</v>
      </c>
      <c r="C10044" s="2" t="n">
        <v>41835</v>
      </c>
      <c r="D10044" t="inlineStr">
        <is>
          <t>SPEC</t>
        </is>
      </c>
      <c r="E10044" t="inlineStr">
        <is>
          <t>SUPPORT MODULE ELEC</t>
        </is>
      </c>
      <c r="F10044" t="inlineStr">
        <is>
          <t>STS400 FLAT</t>
        </is>
      </c>
      <c r="J10044" t="inlineStr">
        <is>
          <t>MATRION</t>
        </is>
      </c>
      <c r="K10044" t="inlineStr">
        <is>
          <t>METAL</t>
        </is>
      </c>
      <c r="L10044">
        <f>_xlfn.XLOOKUP(Tableau1[[#This Row],[TYPE DE PIECE]],Tableau4[MATIERE],Tableau4[SHORT TYPE],"",0,1)</f>
        <v/>
      </c>
      <c r="N10044">
        <f>IF(ISERR(FIND("DECOUPE",Tableau1[[#This Row],[DESIGNATION]])),"","NEED REF")</f>
        <v/>
      </c>
    </row>
    <row r="10045">
      <c r="B10045" t="n">
        <v>34403961</v>
      </c>
      <c r="C10045" s="2" t="n">
        <v>41835</v>
      </c>
      <c r="D10045" t="inlineStr">
        <is>
          <t>SPEC</t>
        </is>
      </c>
      <c r="E10045" t="inlineStr">
        <is>
          <t>PLAGE TGAB2</t>
        </is>
      </c>
      <c r="F10045" t="inlineStr">
        <is>
          <t>CAMPUS EOLE</t>
        </is>
      </c>
      <c r="J10045" t="inlineStr">
        <is>
          <t>MATRION</t>
        </is>
      </c>
      <c r="K10045" t="inlineStr">
        <is>
          <t>CUIVRE</t>
        </is>
      </c>
      <c r="L10045">
        <f>_xlfn.XLOOKUP(Tableau1[[#This Row],[TYPE DE PIECE]],Tableau4[MATIERE],Tableau4[SHORT TYPE],"",0,1)</f>
        <v/>
      </c>
      <c r="N10045">
        <f>IF(ISERR(FIND("DECOUPE",Tableau1[[#This Row],[DESIGNATION]])),"","NEED REF")</f>
        <v/>
      </c>
    </row>
    <row r="10046">
      <c r="B10046" t="n">
        <v>34403960</v>
      </c>
      <c r="C10046" s="2" t="n">
        <v>41835</v>
      </c>
      <c r="D10046" t="inlineStr">
        <is>
          <t>SPEC</t>
        </is>
      </c>
      <c r="E10046" t="inlineStr">
        <is>
          <t>FLEXIBAR LOAD TOP CONNEXION N-2</t>
        </is>
      </c>
      <c r="F10046" t="inlineStr">
        <is>
          <t>CAMPUS EOLE</t>
        </is>
      </c>
      <c r="J10046" t="inlineStr">
        <is>
          <t>MATRION</t>
        </is>
      </c>
      <c r="K10046" t="inlineStr">
        <is>
          <t>CUIVRE</t>
        </is>
      </c>
      <c r="L10046">
        <f>_xlfn.XLOOKUP(Tableau1[[#This Row],[TYPE DE PIECE]],Tableau4[MATIERE],Tableau4[SHORT TYPE],"",0,1)</f>
        <v/>
      </c>
      <c r="N10046">
        <f>IF(ISERR(FIND("DECOUPE",Tableau1[[#This Row],[DESIGNATION]])),"","NEED REF")</f>
        <v/>
      </c>
    </row>
    <row r="10047">
      <c r="B10047" t="n">
        <v>34403959</v>
      </c>
      <c r="C10047" s="2" t="n">
        <v>41835</v>
      </c>
      <c r="D10047" t="inlineStr">
        <is>
          <t>SPEC</t>
        </is>
      </c>
      <c r="E10047" t="inlineStr">
        <is>
          <t>FLEXIBAR LOAD TOP CONNEXION N-1</t>
        </is>
      </c>
      <c r="F10047" t="inlineStr">
        <is>
          <t>CAMPUS EOLE</t>
        </is>
      </c>
      <c r="J10047" t="inlineStr">
        <is>
          <t>MATRION</t>
        </is>
      </c>
      <c r="K10047" t="inlineStr">
        <is>
          <t>CUIVRE</t>
        </is>
      </c>
      <c r="L10047">
        <f>_xlfn.XLOOKUP(Tableau1[[#This Row],[TYPE DE PIECE]],Tableau4[MATIERE],Tableau4[SHORT TYPE],"",0,1)</f>
        <v/>
      </c>
      <c r="N10047">
        <f>IF(ISERR(FIND("DECOUPE",Tableau1[[#This Row],[DESIGNATION]])),"","NEED REF")</f>
        <v/>
      </c>
    </row>
    <row r="10048">
      <c r="B10048" t="n">
        <v>34403958</v>
      </c>
      <c r="C10048" s="2" t="n">
        <v>41835</v>
      </c>
      <c r="D10048" t="inlineStr">
        <is>
          <t>SPEC</t>
        </is>
      </c>
      <c r="E10048" t="inlineStr">
        <is>
          <t>FLEXIBAR LOAD TOP CONNEXION L1-2</t>
        </is>
      </c>
      <c r="F10048" t="inlineStr">
        <is>
          <t>CAMPUS EOLE</t>
        </is>
      </c>
      <c r="J10048" t="inlineStr">
        <is>
          <t>MATRION</t>
        </is>
      </c>
      <c r="K10048" t="inlineStr">
        <is>
          <t>CUIVRE</t>
        </is>
      </c>
      <c r="L10048">
        <f>_xlfn.XLOOKUP(Tableau1[[#This Row],[TYPE DE PIECE]],Tableau4[MATIERE],Tableau4[SHORT TYPE],"",0,1)</f>
        <v/>
      </c>
      <c r="N10048">
        <f>IF(ISERR(FIND("DECOUPE",Tableau1[[#This Row],[DESIGNATION]])),"","NEED REF")</f>
        <v/>
      </c>
    </row>
    <row r="10049">
      <c r="B10049" t="n">
        <v>34403957</v>
      </c>
      <c r="C10049" s="2" t="n">
        <v>41835</v>
      </c>
      <c r="D10049" t="inlineStr">
        <is>
          <t>SPEC</t>
        </is>
      </c>
      <c r="E10049" t="inlineStr">
        <is>
          <t>FLEXIBAR LOAD TOP CONNEXION L1-1</t>
        </is>
      </c>
      <c r="F10049" t="inlineStr">
        <is>
          <t>CAMPUS EOLE</t>
        </is>
      </c>
      <c r="J10049" t="inlineStr">
        <is>
          <t>MATRION</t>
        </is>
      </c>
      <c r="K10049" t="inlineStr">
        <is>
          <t>CUIVRE</t>
        </is>
      </c>
      <c r="L10049">
        <f>_xlfn.XLOOKUP(Tableau1[[#This Row],[TYPE DE PIECE]],Tableau4[MATIERE],Tableau4[SHORT TYPE],"",0,1)</f>
        <v/>
      </c>
      <c r="N10049">
        <f>IF(ISERR(FIND("DECOUPE",Tableau1[[#This Row],[DESIGNATION]])),"","NEED REF")</f>
        <v/>
      </c>
    </row>
    <row r="10050">
      <c r="B10050" t="n">
        <v>34403956</v>
      </c>
      <c r="C10050" s="2" t="n">
        <v>41835</v>
      </c>
      <c r="D10050" t="inlineStr">
        <is>
          <t>SPEC</t>
        </is>
      </c>
      <c r="E10050" t="inlineStr">
        <is>
          <t>FLEXIBAR LOAD TOP CONNEXION L2-2</t>
        </is>
      </c>
      <c r="F10050" t="inlineStr">
        <is>
          <t>CAMPUS EOLE</t>
        </is>
      </c>
      <c r="J10050" t="inlineStr">
        <is>
          <t>MATRION</t>
        </is>
      </c>
      <c r="K10050" t="inlineStr">
        <is>
          <t>CUIVRE</t>
        </is>
      </c>
      <c r="L10050">
        <f>_xlfn.XLOOKUP(Tableau1[[#This Row],[TYPE DE PIECE]],Tableau4[MATIERE],Tableau4[SHORT TYPE],"",0,1)</f>
        <v/>
      </c>
      <c r="N10050">
        <f>IF(ISERR(FIND("DECOUPE",Tableau1[[#This Row],[DESIGNATION]])),"","NEED REF")</f>
        <v/>
      </c>
    </row>
    <row r="10051">
      <c r="B10051" t="n">
        <v>34403955</v>
      </c>
      <c r="C10051" s="2" t="n">
        <v>41835</v>
      </c>
      <c r="D10051" t="inlineStr">
        <is>
          <t>SPEC</t>
        </is>
      </c>
      <c r="E10051" t="inlineStr">
        <is>
          <t>FLEXIBAR LOAD TOP CONNEXION L2-1</t>
        </is>
      </c>
      <c r="F10051" t="inlineStr">
        <is>
          <t>CAMPUS EOLE</t>
        </is>
      </c>
      <c r="J10051" t="inlineStr">
        <is>
          <t>MATRION</t>
        </is>
      </c>
      <c r="K10051" t="inlineStr">
        <is>
          <t>CUIVRE</t>
        </is>
      </c>
      <c r="L10051">
        <f>_xlfn.XLOOKUP(Tableau1[[#This Row],[TYPE DE PIECE]],Tableau4[MATIERE],Tableau4[SHORT TYPE],"",0,1)</f>
        <v/>
      </c>
      <c r="N10051">
        <f>IF(ISERR(FIND("DECOUPE",Tableau1[[#This Row],[DESIGNATION]])),"","NEED REF")</f>
        <v/>
      </c>
    </row>
    <row r="10052">
      <c r="B10052" t="n">
        <v>34403954</v>
      </c>
      <c r="C10052" s="2" t="n">
        <v>41835</v>
      </c>
      <c r="D10052" t="inlineStr">
        <is>
          <t>SPEC</t>
        </is>
      </c>
      <c r="E10052" t="inlineStr">
        <is>
          <t>FLEXIBAR LOAD TOP CONNEXION L3-2</t>
        </is>
      </c>
      <c r="F10052" t="inlineStr">
        <is>
          <t>CAMPUS EOLE</t>
        </is>
      </c>
      <c r="J10052" t="inlineStr">
        <is>
          <t>MATRION</t>
        </is>
      </c>
      <c r="K10052" t="inlineStr">
        <is>
          <t>CUIVRE</t>
        </is>
      </c>
      <c r="L10052">
        <f>_xlfn.XLOOKUP(Tableau1[[#This Row],[TYPE DE PIECE]],Tableau4[MATIERE],Tableau4[SHORT TYPE],"",0,1)</f>
        <v/>
      </c>
      <c r="N10052">
        <f>IF(ISERR(FIND("DECOUPE",Tableau1[[#This Row],[DESIGNATION]])),"","NEED REF")</f>
        <v/>
      </c>
    </row>
    <row r="10053">
      <c r="B10053" t="n">
        <v>34403953</v>
      </c>
      <c r="C10053" s="2" t="n">
        <v>41835</v>
      </c>
      <c r="D10053" t="inlineStr">
        <is>
          <t>SPEC</t>
        </is>
      </c>
      <c r="E10053" t="inlineStr">
        <is>
          <t>FLEXIBAR LOAD TOP CONNEXION L3-1</t>
        </is>
      </c>
      <c r="F10053" t="inlineStr">
        <is>
          <t>CAMPUS EOLE</t>
        </is>
      </c>
      <c r="J10053" t="inlineStr">
        <is>
          <t>MATRION</t>
        </is>
      </c>
      <c r="K10053" t="inlineStr">
        <is>
          <t>CUIVRE</t>
        </is>
      </c>
      <c r="L10053">
        <f>_xlfn.XLOOKUP(Tableau1[[#This Row],[TYPE DE PIECE]],Tableau4[MATIERE],Tableau4[SHORT TYPE],"",0,1)</f>
        <v/>
      </c>
      <c r="N10053">
        <f>IF(ISERR(FIND("DECOUPE",Tableau1[[#This Row],[DESIGNATION]])),"","NEED REF")</f>
        <v/>
      </c>
    </row>
    <row r="10054">
      <c r="B10054" t="n">
        <v>34403952</v>
      </c>
      <c r="C10054" s="2" t="n">
        <v>41831</v>
      </c>
      <c r="D10054" t="inlineStr">
        <is>
          <t>SPEC</t>
        </is>
      </c>
      <c r="E10054" t="inlineStr">
        <is>
          <t>ENS. L1-Q1 / F1 CONNEXION</t>
        </is>
      </c>
      <c r="F10054" t="inlineStr">
        <is>
          <t>A VOIR</t>
        </is>
      </c>
      <c r="J10054" t="inlineStr">
        <is>
          <t>TRICOLI</t>
        </is>
      </c>
      <c r="K10054" t="inlineStr">
        <is>
          <t>CUIVRE</t>
        </is>
      </c>
      <c r="L10054">
        <f>_xlfn.XLOOKUP(Tableau1[[#This Row],[TYPE DE PIECE]],Tableau4[MATIERE],Tableau4[SHORT TYPE],"",0,1)</f>
        <v/>
      </c>
      <c r="N10054">
        <f>IF(ISERR(FIND("DECOUPE",Tableau1[[#This Row],[DESIGNATION]])),"","NEED REF")</f>
        <v/>
      </c>
    </row>
    <row r="10055">
      <c r="B10055" t="n">
        <v>34403951</v>
      </c>
      <c r="C10055" s="2" t="n"/>
      <c r="E10055" t="inlineStr">
        <is>
          <t>réservé</t>
        </is>
      </c>
      <c r="L10055">
        <f>_xlfn.XLOOKUP(Tableau1[[#This Row],[TYPE DE PIECE]],Tableau4[MATIERE],Tableau4[SHORT TYPE],"",0,1)</f>
        <v/>
      </c>
      <c r="N10055">
        <f>IF(ISERR(FIND("DECOUPE",Tableau1[[#This Row],[DESIGNATION]])),"","NEED REF")</f>
        <v/>
      </c>
    </row>
    <row r="10056">
      <c r="B10056" t="n">
        <v>34403950</v>
      </c>
      <c r="C10056" s="2" t="n"/>
      <c r="E10056" t="inlineStr">
        <is>
          <t>réservé</t>
        </is>
      </c>
      <c r="L10056">
        <f>_xlfn.XLOOKUP(Tableau1[[#This Row],[TYPE DE PIECE]],Tableau4[MATIERE],Tableau4[SHORT TYPE],"",0,1)</f>
        <v/>
      </c>
      <c r="N10056">
        <f>IF(ISERR(FIND("DECOUPE",Tableau1[[#This Row],[DESIGNATION]])),"","NEED REF")</f>
        <v/>
      </c>
    </row>
    <row r="10057">
      <c r="B10057" t="n">
        <v>34403949</v>
      </c>
      <c r="C10057" s="2" t="n"/>
      <c r="E10057" t="inlineStr">
        <is>
          <t>réservé</t>
        </is>
      </c>
      <c r="L10057">
        <f>_xlfn.XLOOKUP(Tableau1[[#This Row],[TYPE DE PIECE]],Tableau4[MATIERE],Tableau4[SHORT TYPE],"",0,1)</f>
        <v/>
      </c>
      <c r="N10057">
        <f>IF(ISERR(FIND("DECOUPE",Tableau1[[#This Row],[DESIGNATION]])),"","NEED REF")</f>
        <v/>
      </c>
    </row>
    <row r="10058">
      <c r="B10058" t="n">
        <v>34403948</v>
      </c>
      <c r="C10058" s="2" t="n"/>
      <c r="E10058" t="inlineStr">
        <is>
          <t>réservé</t>
        </is>
      </c>
      <c r="L10058">
        <f>_xlfn.XLOOKUP(Tableau1[[#This Row],[TYPE DE PIECE]],Tableau4[MATIERE],Tableau4[SHORT TYPE],"",0,1)</f>
        <v/>
      </c>
      <c r="N10058">
        <f>IF(ISERR(FIND("DECOUPE",Tableau1[[#This Row],[DESIGNATION]])),"","NEED REF")</f>
        <v/>
      </c>
    </row>
    <row r="10059">
      <c r="B10059" t="n">
        <v>34403947</v>
      </c>
      <c r="C10059" s="2" t="n"/>
      <c r="E10059" t="inlineStr">
        <is>
          <t>réservé</t>
        </is>
      </c>
      <c r="L10059">
        <f>_xlfn.XLOOKUP(Tableau1[[#This Row],[TYPE DE PIECE]],Tableau4[MATIERE],Tableau4[SHORT TYPE],"",0,1)</f>
        <v/>
      </c>
      <c r="N10059">
        <f>IF(ISERR(FIND("DECOUPE",Tableau1[[#This Row],[DESIGNATION]])),"","NEED REF")</f>
        <v/>
      </c>
    </row>
    <row r="10060">
      <c r="B10060" t="n">
        <v>34403946</v>
      </c>
      <c r="C10060" s="2" t="n"/>
      <c r="E10060" t="inlineStr">
        <is>
          <t>réservé</t>
        </is>
      </c>
      <c r="L10060">
        <f>_xlfn.XLOOKUP(Tableau1[[#This Row],[TYPE DE PIECE]],Tableau4[MATIERE],Tableau4[SHORT TYPE],"",0,1)</f>
        <v/>
      </c>
      <c r="N10060">
        <f>IF(ISERR(FIND("DECOUPE",Tableau1[[#This Row],[DESIGNATION]])),"","NEED REF")</f>
        <v/>
      </c>
    </row>
    <row r="10061">
      <c r="B10061" t="n">
        <v>34403945</v>
      </c>
      <c r="C10061" s="2" t="n">
        <v>41830</v>
      </c>
      <c r="D10061" t="inlineStr">
        <is>
          <t>SPEC</t>
        </is>
      </c>
      <c r="E10061" t="inlineStr">
        <is>
          <t>PANNEAUX AV/AR H400 L1400</t>
        </is>
      </c>
      <c r="F10061" t="inlineStr">
        <is>
          <t>TOUTES</t>
        </is>
      </c>
      <c r="J10061" t="inlineStr">
        <is>
          <t>MATRION</t>
        </is>
      </c>
      <c r="K10061" t="inlineStr">
        <is>
          <t>METAL PEINT</t>
        </is>
      </c>
      <c r="L10061">
        <f>_xlfn.XLOOKUP(Tableau1[[#This Row],[TYPE DE PIECE]],Tableau4[MATIERE],Tableau4[SHORT TYPE],"",0,1)</f>
        <v/>
      </c>
      <c r="N10061">
        <f>IF(ISERR(FIND("DECOUPE",Tableau1[[#This Row],[DESIGNATION]])),"","NEED REF")</f>
        <v/>
      </c>
    </row>
    <row r="10062">
      <c r="B10062" t="n">
        <v>34403944</v>
      </c>
      <c r="C10062" s="2" t="n">
        <v>41830</v>
      </c>
      <c r="D10062" t="inlineStr">
        <is>
          <t>SPEC</t>
        </is>
      </c>
      <c r="E10062" t="inlineStr">
        <is>
          <t>PANNEAUX AV/AR H400 L1000</t>
        </is>
      </c>
      <c r="F10062" t="inlineStr">
        <is>
          <t>TOUTES</t>
        </is>
      </c>
      <c r="J10062" t="inlineStr">
        <is>
          <t>MATRION</t>
        </is>
      </c>
      <c r="K10062" t="inlineStr">
        <is>
          <t>METAL PEINT</t>
        </is>
      </c>
      <c r="L10062">
        <f>_xlfn.XLOOKUP(Tableau1[[#This Row],[TYPE DE PIECE]],Tableau4[MATIERE],Tableau4[SHORT TYPE],"",0,1)</f>
        <v/>
      </c>
      <c r="N10062">
        <f>IF(ISERR(FIND("DECOUPE",Tableau1[[#This Row],[DESIGNATION]])),"","NEED REF")</f>
        <v/>
      </c>
    </row>
    <row r="10063">
      <c r="B10063" t="n">
        <v>34403943</v>
      </c>
      <c r="C10063" s="2" t="n">
        <v>41830</v>
      </c>
      <c r="D10063" t="inlineStr">
        <is>
          <t>SPEC</t>
        </is>
      </c>
      <c r="E10063" t="inlineStr">
        <is>
          <t>PANNEAUX LAT H400</t>
        </is>
      </c>
      <c r="F10063" t="inlineStr">
        <is>
          <t>TOUTES</t>
        </is>
      </c>
      <c r="J10063" t="inlineStr">
        <is>
          <t>MATRION</t>
        </is>
      </c>
      <c r="K10063" t="inlineStr">
        <is>
          <t>METAL PEINT</t>
        </is>
      </c>
      <c r="L10063">
        <f>_xlfn.XLOOKUP(Tableau1[[#This Row],[TYPE DE PIECE]],Tableau4[MATIERE],Tableau4[SHORT TYPE],"",0,1)</f>
        <v/>
      </c>
      <c r="N10063">
        <f>IF(ISERR(FIND("DECOUPE",Tableau1[[#This Row],[DESIGNATION]])),"","NEED REF")</f>
        <v/>
      </c>
    </row>
    <row r="10064">
      <c r="B10064" t="n">
        <v>34403942</v>
      </c>
      <c r="C10064" s="2" t="n">
        <v>41830</v>
      </c>
      <c r="D10064" t="inlineStr">
        <is>
          <t>SPEC</t>
        </is>
      </c>
      <c r="E10064" t="inlineStr">
        <is>
          <t>TOIT L1400 2TGAB 2</t>
        </is>
      </c>
      <c r="F10064" t="inlineStr">
        <is>
          <t>CAMPUS EOLE</t>
        </is>
      </c>
      <c r="J10064" t="inlineStr">
        <is>
          <t>MATRION</t>
        </is>
      </c>
      <c r="K10064" t="inlineStr">
        <is>
          <t>METAL</t>
        </is>
      </c>
      <c r="L10064">
        <f>_xlfn.XLOOKUP(Tableau1[[#This Row],[TYPE DE PIECE]],Tableau4[MATIERE],Tableau4[SHORT TYPE],"",0,1)</f>
        <v/>
      </c>
      <c r="N10064">
        <f>IF(ISERR(FIND("DECOUPE",Tableau1[[#This Row],[DESIGNATION]])),"","NEED REF")</f>
        <v/>
      </c>
    </row>
    <row r="10065">
      <c r="B10065" t="n">
        <v>34403941</v>
      </c>
      <c r="C10065" s="2" t="n">
        <v>41830</v>
      </c>
      <c r="D10065" t="inlineStr">
        <is>
          <t>SPEC</t>
        </is>
      </c>
      <c r="E10065" t="inlineStr">
        <is>
          <t>TOLE DE JONCTION H400</t>
        </is>
      </c>
      <c r="F10065" t="inlineStr">
        <is>
          <t>TOUTES</t>
        </is>
      </c>
      <c r="J10065" t="inlineStr">
        <is>
          <t>MATRION</t>
        </is>
      </c>
      <c r="K10065" t="inlineStr">
        <is>
          <t>METAL PEINT</t>
        </is>
      </c>
      <c r="L10065">
        <f>_xlfn.XLOOKUP(Tableau1[[#This Row],[TYPE DE PIECE]],Tableau4[MATIERE],Tableau4[SHORT TYPE],"",0,1)</f>
        <v/>
      </c>
      <c r="N10065">
        <f>IF(ISERR(FIND("DECOUPE",Tableau1[[#This Row],[DESIGNATION]])),"","NEED REF")</f>
        <v/>
      </c>
    </row>
    <row r="10066">
      <c r="B10066" t="n">
        <v>34403940</v>
      </c>
      <c r="C10066" s="2" t="n">
        <v>41830</v>
      </c>
      <c r="D10066" t="inlineStr">
        <is>
          <t>SPEC</t>
        </is>
      </c>
      <c r="E10066" t="inlineStr">
        <is>
          <t>REHAUSSE H400 L1000</t>
        </is>
      </c>
      <c r="F10066" t="inlineStr">
        <is>
          <t>TOUTES</t>
        </is>
      </c>
      <c r="J10066" t="inlineStr">
        <is>
          <t>MATRION</t>
        </is>
      </c>
      <c r="L10066">
        <f>_xlfn.XLOOKUP(Tableau1[[#This Row],[TYPE DE PIECE]],Tableau4[MATIERE],Tableau4[SHORT TYPE],"",0,1)</f>
        <v/>
      </c>
      <c r="N10066">
        <f>IF(ISERR(FIND("DECOUPE",Tableau1[[#This Row],[DESIGNATION]])),"","NEED REF")</f>
        <v/>
      </c>
    </row>
    <row r="10067">
      <c r="B10067" t="n">
        <v>34403939</v>
      </c>
      <c r="C10067" s="2" t="n">
        <v>41830</v>
      </c>
      <c r="D10067" t="inlineStr">
        <is>
          <t>SPEC</t>
        </is>
      </c>
      <c r="E10067" t="inlineStr">
        <is>
          <t>REHAUSSE H400 L1400 2</t>
        </is>
      </c>
      <c r="F10067" t="inlineStr">
        <is>
          <t>TOUTES</t>
        </is>
      </c>
      <c r="J10067" t="inlineStr">
        <is>
          <t>MATRION</t>
        </is>
      </c>
      <c r="L10067">
        <f>_xlfn.XLOOKUP(Tableau1[[#This Row],[TYPE DE PIECE]],Tableau4[MATIERE],Tableau4[SHORT TYPE],"",0,1)</f>
        <v/>
      </c>
      <c r="N10067">
        <f>IF(ISERR(FIND("DECOUPE",Tableau1[[#This Row],[DESIGNATION]])),"","NEED REF")</f>
        <v/>
      </c>
    </row>
    <row r="10068">
      <c r="B10068" t="n">
        <v>34403938</v>
      </c>
      <c r="C10068" s="2" t="n">
        <v>41829</v>
      </c>
      <c r="D10068" t="inlineStr">
        <is>
          <t>SPEC</t>
        </is>
      </c>
      <c r="E10068" t="inlineStr">
        <is>
          <t>Barre de terre gaine de raccordement 1mVA</t>
        </is>
      </c>
      <c r="F10068" t="inlineStr">
        <is>
          <t>G7K</t>
        </is>
      </c>
      <c r="J10068" t="inlineStr">
        <is>
          <t>DUBOIS</t>
        </is>
      </c>
      <c r="K10068" t="inlineStr">
        <is>
          <t>CUIVRE ETAME</t>
        </is>
      </c>
      <c r="L10068">
        <f>_xlfn.XLOOKUP(Tableau1[[#This Row],[TYPE DE PIECE]],Tableau4[MATIERE],Tableau4[SHORT TYPE],"",0,1)</f>
        <v/>
      </c>
      <c r="N10068">
        <f>IF(ISERR(FIND("DECOUPE",Tableau1[[#This Row],[DESIGNATION]])),"","NEED REF")</f>
        <v/>
      </c>
    </row>
    <row r="10069">
      <c r="B10069" t="n">
        <v>34403937</v>
      </c>
      <c r="C10069" s="2" t="n">
        <v>41829</v>
      </c>
      <c r="D10069" t="inlineStr">
        <is>
          <t>SPEC</t>
        </is>
      </c>
      <c r="E10069" t="inlineStr">
        <is>
          <t>FLEXIBAR LOAD TOP CONNEXION N-2 FLIP</t>
        </is>
      </c>
      <c r="F10069" t="inlineStr">
        <is>
          <t>CAMPUS EOLE</t>
        </is>
      </c>
      <c r="J10069" t="inlineStr">
        <is>
          <t>MATRION</t>
        </is>
      </c>
      <c r="K10069" t="inlineStr">
        <is>
          <t>CUIVRE</t>
        </is>
      </c>
      <c r="L10069">
        <f>_xlfn.XLOOKUP(Tableau1[[#This Row],[TYPE DE PIECE]],Tableau4[MATIERE],Tableau4[SHORT TYPE],"",0,1)</f>
        <v/>
      </c>
      <c r="N10069">
        <f>IF(ISERR(FIND("DECOUPE",Tableau1[[#This Row],[DESIGNATION]])),"","NEED REF")</f>
        <v/>
      </c>
    </row>
    <row r="10070">
      <c r="B10070" t="n">
        <v>34403936</v>
      </c>
      <c r="C10070" s="2" t="n">
        <v>41829</v>
      </c>
      <c r="D10070" t="inlineStr">
        <is>
          <t>SPEC</t>
        </is>
      </c>
      <c r="E10070" t="inlineStr">
        <is>
          <t>FLEXIBAR LOAD TOP CONNEXION N-1 FLIP</t>
        </is>
      </c>
      <c r="F10070" t="inlineStr">
        <is>
          <t>CAMPUS EOLE</t>
        </is>
      </c>
      <c r="J10070" t="inlineStr">
        <is>
          <t>MATRION</t>
        </is>
      </c>
      <c r="K10070" t="inlineStr">
        <is>
          <t>CUIVRE</t>
        </is>
      </c>
      <c r="L10070">
        <f>_xlfn.XLOOKUP(Tableau1[[#This Row],[TYPE DE PIECE]],Tableau4[MATIERE],Tableau4[SHORT TYPE],"",0,1)</f>
        <v/>
      </c>
      <c r="N10070">
        <f>IF(ISERR(FIND("DECOUPE",Tableau1[[#This Row],[DESIGNATION]])),"","NEED REF")</f>
        <v/>
      </c>
    </row>
    <row r="10071">
      <c r="B10071" t="n">
        <v>34403935</v>
      </c>
      <c r="C10071" s="2" t="n">
        <v>41829</v>
      </c>
      <c r="D10071" t="inlineStr">
        <is>
          <t>SPEC</t>
        </is>
      </c>
      <c r="E10071" t="inlineStr">
        <is>
          <t>FLEXIBAR LOAD TOP CONNEXION L1-2 FLIP</t>
        </is>
      </c>
      <c r="F10071" t="inlineStr">
        <is>
          <t>CAMPUS EOLE</t>
        </is>
      </c>
      <c r="J10071" t="inlineStr">
        <is>
          <t>MATRION</t>
        </is>
      </c>
      <c r="K10071" t="inlineStr">
        <is>
          <t>CUIVRE</t>
        </is>
      </c>
      <c r="L10071">
        <f>_xlfn.XLOOKUP(Tableau1[[#This Row],[TYPE DE PIECE]],Tableau4[MATIERE],Tableau4[SHORT TYPE],"",0,1)</f>
        <v/>
      </c>
      <c r="N10071">
        <f>IF(ISERR(FIND("DECOUPE",Tableau1[[#This Row],[DESIGNATION]])),"","NEED REF")</f>
        <v/>
      </c>
    </row>
    <row r="10072">
      <c r="B10072" t="n">
        <v>34403934</v>
      </c>
      <c r="C10072" s="2" t="n">
        <v>41829</v>
      </c>
      <c r="D10072" t="inlineStr">
        <is>
          <t>SPEC</t>
        </is>
      </c>
      <c r="E10072" t="inlineStr">
        <is>
          <t>FLEXIBAR LOAD TOP CONNEXION L1-1 FLIP</t>
        </is>
      </c>
      <c r="F10072" t="inlineStr">
        <is>
          <t>CAMPUS EOLE</t>
        </is>
      </c>
      <c r="J10072" t="inlineStr">
        <is>
          <t>MATRION</t>
        </is>
      </c>
      <c r="K10072" t="inlineStr">
        <is>
          <t>CUIVRE</t>
        </is>
      </c>
      <c r="L10072">
        <f>_xlfn.XLOOKUP(Tableau1[[#This Row],[TYPE DE PIECE]],Tableau4[MATIERE],Tableau4[SHORT TYPE],"",0,1)</f>
        <v/>
      </c>
      <c r="N10072">
        <f>IF(ISERR(FIND("DECOUPE",Tableau1[[#This Row],[DESIGNATION]])),"","NEED REF")</f>
        <v/>
      </c>
    </row>
    <row r="10073">
      <c r="B10073" t="n">
        <v>34403933</v>
      </c>
      <c r="C10073" s="2" t="n">
        <v>41829</v>
      </c>
      <c r="D10073" t="inlineStr">
        <is>
          <t>SPEC</t>
        </is>
      </c>
      <c r="E10073" t="inlineStr">
        <is>
          <t>FLEXIBAR LOAD TOP CONNEXION L2-2 FLIP</t>
        </is>
      </c>
      <c r="F10073" t="inlineStr">
        <is>
          <t>CAMPUS EOLE</t>
        </is>
      </c>
      <c r="J10073" t="inlineStr">
        <is>
          <t>MATRION</t>
        </is>
      </c>
      <c r="K10073" t="inlineStr">
        <is>
          <t>CUIVRE</t>
        </is>
      </c>
      <c r="L10073">
        <f>_xlfn.XLOOKUP(Tableau1[[#This Row],[TYPE DE PIECE]],Tableau4[MATIERE],Tableau4[SHORT TYPE],"",0,1)</f>
        <v/>
      </c>
      <c r="N10073">
        <f>IF(ISERR(FIND("DECOUPE",Tableau1[[#This Row],[DESIGNATION]])),"","NEED REF")</f>
        <v/>
      </c>
    </row>
    <row r="10074">
      <c r="B10074" t="n">
        <v>34403932</v>
      </c>
      <c r="C10074" s="2" t="n">
        <v>41829</v>
      </c>
      <c r="D10074" t="inlineStr">
        <is>
          <t>SPEC</t>
        </is>
      </c>
      <c r="E10074" t="inlineStr">
        <is>
          <t>FLEXIBAR LOAD TOP CONNEXION L2-1 FLIP</t>
        </is>
      </c>
      <c r="F10074" t="inlineStr">
        <is>
          <t>CAMPUS EOLE</t>
        </is>
      </c>
      <c r="J10074" t="inlineStr">
        <is>
          <t>MATRION</t>
        </is>
      </c>
      <c r="K10074" t="inlineStr">
        <is>
          <t>CUIVRE</t>
        </is>
      </c>
      <c r="L10074">
        <f>_xlfn.XLOOKUP(Tableau1[[#This Row],[TYPE DE PIECE]],Tableau4[MATIERE],Tableau4[SHORT TYPE],"",0,1)</f>
        <v/>
      </c>
      <c r="N10074">
        <f>IF(ISERR(FIND("DECOUPE",Tableau1[[#This Row],[DESIGNATION]])),"","NEED REF")</f>
        <v/>
      </c>
    </row>
    <row r="10075">
      <c r="B10075" t="n">
        <v>34403931</v>
      </c>
      <c r="C10075" s="2" t="n">
        <v>41829</v>
      </c>
      <c r="D10075" t="inlineStr">
        <is>
          <t>SPEC</t>
        </is>
      </c>
      <c r="E10075" t="inlineStr">
        <is>
          <t>FLEXIBAR LOAD TOP CONNEXION L3-2 FLIP</t>
        </is>
      </c>
      <c r="F10075" t="inlineStr">
        <is>
          <t>CAMPUS EOLE</t>
        </is>
      </c>
      <c r="J10075" t="inlineStr">
        <is>
          <t>MATRION</t>
        </is>
      </c>
      <c r="K10075" t="inlineStr">
        <is>
          <t>CUIVRE</t>
        </is>
      </c>
      <c r="L10075">
        <f>_xlfn.XLOOKUP(Tableau1[[#This Row],[TYPE DE PIECE]],Tableau4[MATIERE],Tableau4[SHORT TYPE],"",0,1)</f>
        <v/>
      </c>
      <c r="N10075">
        <f>IF(ISERR(FIND("DECOUPE",Tableau1[[#This Row],[DESIGNATION]])),"","NEED REF")</f>
        <v/>
      </c>
    </row>
    <row r="10076">
      <c r="B10076" t="n">
        <v>34403930</v>
      </c>
      <c r="C10076" s="2" t="n">
        <v>41829</v>
      </c>
      <c r="D10076" t="inlineStr">
        <is>
          <t>SPEC</t>
        </is>
      </c>
      <c r="E10076" t="inlineStr">
        <is>
          <t>FLEXIBAR LOAD TOP CONNEXION L3-1 FLIP</t>
        </is>
      </c>
      <c r="F10076" t="inlineStr">
        <is>
          <t>CAMPUS EOLE</t>
        </is>
      </c>
      <c r="J10076" t="inlineStr">
        <is>
          <t>MATRION</t>
        </is>
      </c>
      <c r="K10076" t="inlineStr">
        <is>
          <t>CUIVRE</t>
        </is>
      </c>
      <c r="L10076">
        <f>_xlfn.XLOOKUP(Tableau1[[#This Row],[TYPE DE PIECE]],Tableau4[MATIERE],Tableau4[SHORT TYPE],"",0,1)</f>
        <v/>
      </c>
      <c r="N10076">
        <f>IF(ISERR(FIND("DECOUPE",Tableau1[[#This Row],[DESIGNATION]])),"","NEED REF")</f>
        <v/>
      </c>
    </row>
    <row r="10077">
      <c r="B10077" t="n">
        <v>34403929</v>
      </c>
      <c r="C10077" s="2" t="n">
        <v>41829</v>
      </c>
      <c r="D10077" t="inlineStr">
        <is>
          <t>SPEC</t>
        </is>
      </c>
      <c r="E10077" t="inlineStr">
        <is>
          <t>FLEXIBAR MAINS2 TOP CONNEXION N-2 FLIP</t>
        </is>
      </c>
      <c r="F10077" t="inlineStr">
        <is>
          <t>CAMPUS EOLE</t>
        </is>
      </c>
      <c r="J10077" t="inlineStr">
        <is>
          <t>MATRION</t>
        </is>
      </c>
      <c r="K10077" t="inlineStr">
        <is>
          <t>CUIVRE</t>
        </is>
      </c>
      <c r="L10077">
        <f>_xlfn.XLOOKUP(Tableau1[[#This Row],[TYPE DE PIECE]],Tableau4[MATIERE],Tableau4[SHORT TYPE],"",0,1)</f>
        <v/>
      </c>
      <c r="N10077">
        <f>IF(ISERR(FIND("DECOUPE",Tableau1[[#This Row],[DESIGNATION]])),"","NEED REF")</f>
        <v/>
      </c>
    </row>
    <row r="10078">
      <c r="B10078" t="n">
        <v>34403928</v>
      </c>
      <c r="C10078" s="2" t="n">
        <v>41829</v>
      </c>
      <c r="D10078" t="inlineStr">
        <is>
          <t>SPEC</t>
        </is>
      </c>
      <c r="E10078" t="inlineStr">
        <is>
          <t>FLEXIBAR MAINS2 TOP CONNEXION N-1 FLIP</t>
        </is>
      </c>
      <c r="F10078" t="inlineStr">
        <is>
          <t>CAMPUS EOLE</t>
        </is>
      </c>
      <c r="J10078" t="inlineStr">
        <is>
          <t>MATRION</t>
        </is>
      </c>
      <c r="K10078" t="inlineStr">
        <is>
          <t>CUIVRE</t>
        </is>
      </c>
      <c r="L10078">
        <f>_xlfn.XLOOKUP(Tableau1[[#This Row],[TYPE DE PIECE]],Tableau4[MATIERE],Tableau4[SHORT TYPE],"",0,1)</f>
        <v/>
      </c>
      <c r="N10078">
        <f>IF(ISERR(FIND("DECOUPE",Tableau1[[#This Row],[DESIGNATION]])),"","NEED REF")</f>
        <v/>
      </c>
    </row>
    <row r="10079">
      <c r="B10079" t="n">
        <v>34403927</v>
      </c>
      <c r="C10079" s="2" t="n">
        <v>41829</v>
      </c>
      <c r="D10079" t="inlineStr">
        <is>
          <t>SPEC</t>
        </is>
      </c>
      <c r="E10079" t="inlineStr">
        <is>
          <t>FLEXIBAR MAINS2 TOP CONNEXION L1-2 FLIP</t>
        </is>
      </c>
      <c r="F10079" t="inlineStr">
        <is>
          <t>CAMPUS EOLE</t>
        </is>
      </c>
      <c r="J10079" t="inlineStr">
        <is>
          <t>MATRION</t>
        </is>
      </c>
      <c r="K10079" t="inlineStr">
        <is>
          <t>CUIVRE</t>
        </is>
      </c>
      <c r="L10079">
        <f>_xlfn.XLOOKUP(Tableau1[[#This Row],[TYPE DE PIECE]],Tableau4[MATIERE],Tableau4[SHORT TYPE],"",0,1)</f>
        <v/>
      </c>
      <c r="N10079">
        <f>IF(ISERR(FIND("DECOUPE",Tableau1[[#This Row],[DESIGNATION]])),"","NEED REF")</f>
        <v/>
      </c>
    </row>
    <row r="10080">
      <c r="B10080" t="n">
        <v>34403926</v>
      </c>
      <c r="C10080" s="2" t="n">
        <v>41829</v>
      </c>
      <c r="D10080" t="inlineStr">
        <is>
          <t>SPEC</t>
        </is>
      </c>
      <c r="E10080" t="inlineStr">
        <is>
          <t>FLEXIBAR MAINS2 TOP CONNEXION L1-1 FLIP</t>
        </is>
      </c>
      <c r="F10080" t="inlineStr">
        <is>
          <t>CAMPUS EOLE</t>
        </is>
      </c>
      <c r="J10080" t="inlineStr">
        <is>
          <t>MATRION</t>
        </is>
      </c>
      <c r="K10080" t="inlineStr">
        <is>
          <t>CUIVRE</t>
        </is>
      </c>
      <c r="L10080">
        <f>_xlfn.XLOOKUP(Tableau1[[#This Row],[TYPE DE PIECE]],Tableau4[MATIERE],Tableau4[SHORT TYPE],"",0,1)</f>
        <v/>
      </c>
      <c r="N10080">
        <f>IF(ISERR(FIND("DECOUPE",Tableau1[[#This Row],[DESIGNATION]])),"","NEED REF")</f>
        <v/>
      </c>
    </row>
    <row r="10081">
      <c r="B10081" t="n">
        <v>34403925</v>
      </c>
      <c r="C10081" s="2" t="n">
        <v>41829</v>
      </c>
      <c r="D10081" t="inlineStr">
        <is>
          <t>SPEC</t>
        </is>
      </c>
      <c r="E10081" t="inlineStr">
        <is>
          <t>FLEXIBAR MAINS2 TOP CONNEXION L2-2 FLIP</t>
        </is>
      </c>
      <c r="F10081" t="inlineStr">
        <is>
          <t>CAMPUS EOLE</t>
        </is>
      </c>
      <c r="J10081" t="inlineStr">
        <is>
          <t>MATRION</t>
        </is>
      </c>
      <c r="K10081" t="inlineStr">
        <is>
          <t>CUIVRE</t>
        </is>
      </c>
      <c r="L10081">
        <f>_xlfn.XLOOKUP(Tableau1[[#This Row],[TYPE DE PIECE]],Tableau4[MATIERE],Tableau4[SHORT TYPE],"",0,1)</f>
        <v/>
      </c>
      <c r="N10081">
        <f>IF(ISERR(FIND("DECOUPE",Tableau1[[#This Row],[DESIGNATION]])),"","NEED REF")</f>
        <v/>
      </c>
    </row>
    <row r="10082">
      <c r="B10082" t="n">
        <v>34403924</v>
      </c>
      <c r="C10082" s="2" t="n">
        <v>41829</v>
      </c>
      <c r="D10082" t="inlineStr">
        <is>
          <t>SPEC</t>
        </is>
      </c>
      <c r="E10082" t="inlineStr">
        <is>
          <t>FLEXIBAR MAINS2 TOP CONNEXION L2-1 FLIP</t>
        </is>
      </c>
      <c r="F10082" t="inlineStr">
        <is>
          <t>CAMPUS EOLE</t>
        </is>
      </c>
      <c r="J10082" t="inlineStr">
        <is>
          <t>MATRION</t>
        </is>
      </c>
      <c r="K10082" t="inlineStr">
        <is>
          <t>CUIVRE</t>
        </is>
      </c>
      <c r="L10082">
        <f>_xlfn.XLOOKUP(Tableau1[[#This Row],[TYPE DE PIECE]],Tableau4[MATIERE],Tableau4[SHORT TYPE],"",0,1)</f>
        <v/>
      </c>
      <c r="N10082">
        <f>IF(ISERR(FIND("DECOUPE",Tableau1[[#This Row],[DESIGNATION]])),"","NEED REF")</f>
        <v/>
      </c>
    </row>
    <row r="10083">
      <c r="B10083" t="n">
        <v>34403923</v>
      </c>
      <c r="C10083" s="2" t="n">
        <v>41829</v>
      </c>
      <c r="D10083" t="inlineStr">
        <is>
          <t>SPEC</t>
        </is>
      </c>
      <c r="E10083" t="inlineStr">
        <is>
          <t>FLEXIBAR MAINS2 TOP CONNEXION L3-2 FLIP</t>
        </is>
      </c>
      <c r="F10083" t="inlineStr">
        <is>
          <t>CAMPUS EOLE</t>
        </is>
      </c>
      <c r="J10083" t="inlineStr">
        <is>
          <t>MATRION</t>
        </is>
      </c>
      <c r="K10083" t="inlineStr">
        <is>
          <t>CUIVRE</t>
        </is>
      </c>
      <c r="L10083">
        <f>_xlfn.XLOOKUP(Tableau1[[#This Row],[TYPE DE PIECE]],Tableau4[MATIERE],Tableau4[SHORT TYPE],"",0,1)</f>
        <v/>
      </c>
      <c r="N10083">
        <f>IF(ISERR(FIND("DECOUPE",Tableau1[[#This Row],[DESIGNATION]])),"","NEED REF")</f>
        <v/>
      </c>
    </row>
    <row r="10084">
      <c r="B10084" t="n">
        <v>34403922</v>
      </c>
      <c r="C10084" s="2" t="n">
        <v>41829</v>
      </c>
      <c r="D10084" t="inlineStr">
        <is>
          <t>SPEC</t>
        </is>
      </c>
      <c r="E10084" t="inlineStr">
        <is>
          <t>FLEXIBAR MAINS2 TOP CONNEXION L3-1 FLIP</t>
        </is>
      </c>
      <c r="F10084" t="inlineStr">
        <is>
          <t>CAMPUS EOLE</t>
        </is>
      </c>
      <c r="J10084" t="inlineStr">
        <is>
          <t>MATRION</t>
        </is>
      </c>
      <c r="K10084" t="inlineStr">
        <is>
          <t>CUIVRE</t>
        </is>
      </c>
      <c r="L10084">
        <f>_xlfn.XLOOKUP(Tableau1[[#This Row],[TYPE DE PIECE]],Tableau4[MATIERE],Tableau4[SHORT TYPE],"",0,1)</f>
        <v/>
      </c>
      <c r="N10084">
        <f>IF(ISERR(FIND("DECOUPE",Tableau1[[#This Row],[DESIGNATION]])),"","NEED REF")</f>
        <v/>
      </c>
    </row>
    <row r="10085">
      <c r="B10085" t="n">
        <v>34403921</v>
      </c>
      <c r="C10085" s="2" t="n">
        <v>41829</v>
      </c>
      <c r="D10085" t="inlineStr">
        <is>
          <t>SPEC</t>
        </is>
      </c>
      <c r="E10085" t="inlineStr">
        <is>
          <t>PLAGE TGAB</t>
        </is>
      </c>
      <c r="F10085" t="inlineStr">
        <is>
          <t>CAMPUS EOLE</t>
        </is>
      </c>
      <c r="J10085" t="inlineStr">
        <is>
          <t>MATRION</t>
        </is>
      </c>
      <c r="K10085" t="inlineStr">
        <is>
          <t>CUIVRE</t>
        </is>
      </c>
      <c r="L10085">
        <f>_xlfn.XLOOKUP(Tableau1[[#This Row],[TYPE DE PIECE]],Tableau4[MATIERE],Tableau4[SHORT TYPE],"",0,1)</f>
        <v/>
      </c>
      <c r="N10085">
        <f>IF(ISERR(FIND("DECOUPE",Tableau1[[#This Row],[DESIGNATION]])),"","NEED REF")</f>
        <v/>
      </c>
    </row>
    <row r="10086">
      <c r="B10086" t="n">
        <v>34403920</v>
      </c>
      <c r="C10086" s="2" t="n">
        <v>41828</v>
      </c>
      <c r="D10086" t="inlineStr">
        <is>
          <t>SPEC</t>
        </is>
      </c>
      <c r="E10086" t="inlineStr">
        <is>
          <t>MONTANT REHAUSSE 400</t>
        </is>
      </c>
      <c r="F10086" t="inlineStr">
        <is>
          <t>CAMPUS EOLE</t>
        </is>
      </c>
      <c r="J10086" t="inlineStr">
        <is>
          <t>MATRION</t>
        </is>
      </c>
      <c r="L10086">
        <f>_xlfn.XLOOKUP(Tableau1[[#This Row],[TYPE DE PIECE]],Tableau4[MATIERE],Tableau4[SHORT TYPE],"",0,1)</f>
        <v/>
      </c>
      <c r="N10086">
        <f>IF(ISERR(FIND("DECOUPE",Tableau1[[#This Row],[DESIGNATION]])),"","NEED REF")</f>
        <v/>
      </c>
    </row>
    <row r="10087">
      <c r="B10087" t="n">
        <v>34403919</v>
      </c>
      <c r="C10087" s="2" t="n">
        <v>41827</v>
      </c>
      <c r="D10087" t="inlineStr">
        <is>
          <t>SPEC</t>
        </is>
      </c>
      <c r="E10087" t="inlineStr">
        <is>
          <t>PLATINE SUPPORT 3xNSX630 INVERSE</t>
        </is>
      </c>
      <c r="F10087" t="inlineStr">
        <is>
          <t>COFFRET DISJONCTEUR G7000</t>
        </is>
      </c>
      <c r="J10087" t="inlineStr">
        <is>
          <t>ROBERT</t>
        </is>
      </c>
      <c r="L10087">
        <f>_xlfn.XLOOKUP(Tableau1[[#This Row],[TYPE DE PIECE]],Tableau4[MATIERE],Tableau4[SHORT TYPE],"",0,1)</f>
        <v/>
      </c>
      <c r="N10087">
        <f>IF(ISERR(FIND("DECOUPE",Tableau1[[#This Row],[DESIGNATION]])),"","NEED REF")</f>
        <v/>
      </c>
    </row>
    <row r="10088">
      <c r="B10088" t="n">
        <v>34403918</v>
      </c>
      <c r="C10088" s="2" t="n">
        <v>41824</v>
      </c>
      <c r="D10088" t="inlineStr">
        <is>
          <t>SPEC</t>
        </is>
      </c>
      <c r="E10088" t="inlineStr">
        <is>
          <t>Carte COSS EXT</t>
        </is>
      </c>
      <c r="F10088" t="inlineStr">
        <is>
          <t>CARTE COSS synchro ext</t>
        </is>
      </c>
      <c r="J10088" t="inlineStr">
        <is>
          <t>REVEL</t>
        </is>
      </c>
      <c r="L10088">
        <f>_xlfn.XLOOKUP(Tableau1[[#This Row],[TYPE DE PIECE]],Tableau4[MATIERE],Tableau4[SHORT TYPE],"",0,1)</f>
        <v/>
      </c>
      <c r="N10088">
        <f>IF(ISERR(FIND("DECOUPE",Tableau1[[#This Row],[DESIGNATION]])),"","NEED REF")</f>
        <v/>
      </c>
    </row>
    <row r="10089">
      <c r="B10089" t="n">
        <v>34403917</v>
      </c>
      <c r="C10089" s="2" t="n">
        <v>41822</v>
      </c>
      <c r="D10089" t="inlineStr">
        <is>
          <t>SPEC</t>
        </is>
      </c>
      <c r="E10089" t="inlineStr">
        <is>
          <t>Pallette démontage XC</t>
        </is>
      </c>
      <c r="J10089" t="inlineStr">
        <is>
          <t>DUBOIS</t>
        </is>
      </c>
      <c r="L10089">
        <f>_xlfn.XLOOKUP(Tableau1[[#This Row],[TYPE DE PIECE]],Tableau4[MATIERE],Tableau4[SHORT TYPE],"",0,1)</f>
        <v/>
      </c>
      <c r="N10089">
        <f>IF(ISERR(FIND("DECOUPE",Tableau1[[#This Row],[DESIGNATION]])),"","NEED REF")</f>
        <v/>
      </c>
    </row>
    <row r="10090">
      <c r="B10090" t="n">
        <v>34403916</v>
      </c>
      <c r="C10090" s="2" t="n">
        <v>41822</v>
      </c>
      <c r="D10090" t="inlineStr">
        <is>
          <t>SPEC</t>
        </is>
      </c>
      <c r="E10090" t="inlineStr">
        <is>
          <t>PROTO PROE</t>
        </is>
      </c>
      <c r="F10090" t="inlineStr">
        <is>
          <t>PROTO STS400 FLAT</t>
        </is>
      </c>
      <c r="J10090" t="inlineStr">
        <is>
          <t>MATRION</t>
        </is>
      </c>
      <c r="L10090">
        <f>_xlfn.XLOOKUP(Tableau1[[#This Row],[TYPE DE PIECE]],Tableau4[MATIERE],Tableau4[SHORT TYPE],"",0,1)</f>
        <v/>
      </c>
      <c r="N10090">
        <f>IF(ISERR(FIND("DECOUPE",Tableau1[[#This Row],[DESIGNATION]])),"","NEED REF")</f>
        <v/>
      </c>
    </row>
    <row r="10091">
      <c r="B10091" t="n">
        <v>34403915</v>
      </c>
      <c r="C10091" s="2" t="n">
        <v>41822</v>
      </c>
      <c r="D10091" t="inlineStr">
        <is>
          <t>SPEC</t>
        </is>
      </c>
      <c r="E10091" t="inlineStr">
        <is>
          <t>SUPPORT HAUT MODULE ELEC</t>
        </is>
      </c>
      <c r="F10091" t="inlineStr">
        <is>
          <t>STS400 FLAT</t>
        </is>
      </c>
      <c r="J10091" t="inlineStr">
        <is>
          <t>MATRION</t>
        </is>
      </c>
      <c r="K10091" t="inlineStr">
        <is>
          <t>METAL</t>
        </is>
      </c>
      <c r="L10091">
        <f>_xlfn.XLOOKUP(Tableau1[[#This Row],[TYPE DE PIECE]],Tableau4[MATIERE],Tableau4[SHORT TYPE],"",0,1)</f>
        <v/>
      </c>
      <c r="N10091">
        <f>IF(ISERR(FIND("DECOUPE",Tableau1[[#This Row],[DESIGNATION]])),"","NEED REF")</f>
        <v/>
      </c>
    </row>
    <row r="10092">
      <c r="B10092" t="n">
        <v>34403914</v>
      </c>
      <c r="C10092" s="2" t="n">
        <v>41822</v>
      </c>
      <c r="D10092" t="inlineStr">
        <is>
          <t>SPEC</t>
        </is>
      </c>
      <c r="E10092" t="inlineStr">
        <is>
          <t>SUPPORT BAS MODULE ELEC</t>
        </is>
      </c>
      <c r="F10092" t="inlineStr">
        <is>
          <t>PROTO STS400 FLAT</t>
        </is>
      </c>
      <c r="J10092" t="inlineStr">
        <is>
          <t>MATRION</t>
        </is>
      </c>
      <c r="L10092">
        <f>_xlfn.XLOOKUP(Tableau1[[#This Row],[TYPE DE PIECE]],Tableau4[MATIERE],Tableau4[SHORT TYPE],"",0,1)</f>
        <v/>
      </c>
      <c r="N10092">
        <f>IF(ISERR(FIND("DECOUPE",Tableau1[[#This Row],[DESIGNATION]])),"","NEED REF")</f>
        <v/>
      </c>
    </row>
    <row r="10093">
      <c r="B10093" t="n">
        <v>34403913</v>
      </c>
      <c r="C10093" s="2" t="n">
        <v>41822</v>
      </c>
      <c r="D10093" t="inlineStr">
        <is>
          <t>SPEC</t>
        </is>
      </c>
      <c r="E10093" t="inlineStr">
        <is>
          <t>PROTO PROE</t>
        </is>
      </c>
      <c r="F10093" t="inlineStr">
        <is>
          <t>PROTO STS400 FLAT</t>
        </is>
      </c>
      <c r="J10093" t="inlineStr">
        <is>
          <t>MATRION</t>
        </is>
      </c>
      <c r="L10093">
        <f>_xlfn.XLOOKUP(Tableau1[[#This Row],[TYPE DE PIECE]],Tableau4[MATIERE],Tableau4[SHORT TYPE],"",0,1)</f>
        <v/>
      </c>
      <c r="N10093">
        <f>IF(ISERR(FIND("DECOUPE",Tableau1[[#This Row],[DESIGNATION]])),"","NEED REF")</f>
        <v/>
      </c>
    </row>
    <row r="10094">
      <c r="B10094" t="n">
        <v>34403912</v>
      </c>
      <c r="C10094" s="2" t="n">
        <v>41822</v>
      </c>
      <c r="D10094" t="inlineStr">
        <is>
          <t>SPEC</t>
        </is>
      </c>
      <c r="E10094" t="inlineStr">
        <is>
          <t>SUPPORT MODULES DROE</t>
        </is>
      </c>
      <c r="F10094" t="inlineStr">
        <is>
          <t>STS400 FLAT</t>
        </is>
      </c>
      <c r="J10094" t="inlineStr">
        <is>
          <t>MATRION</t>
        </is>
      </c>
      <c r="K10094" t="inlineStr">
        <is>
          <t>METAL</t>
        </is>
      </c>
      <c r="L10094">
        <f>_xlfn.XLOOKUP(Tableau1[[#This Row],[TYPE DE PIECE]],Tableau4[MATIERE],Tableau4[SHORT TYPE],"",0,1)</f>
        <v/>
      </c>
      <c r="N10094">
        <f>IF(ISERR(FIND("DECOUPE",Tableau1[[#This Row],[DESIGNATION]])),"","NEED REF")</f>
        <v/>
      </c>
    </row>
    <row r="10095">
      <c r="B10095" t="n">
        <v>34403911</v>
      </c>
      <c r="C10095" s="2" t="n">
        <v>41822</v>
      </c>
      <c r="D10095" t="inlineStr">
        <is>
          <t>SPEC</t>
        </is>
      </c>
      <c r="E10095" t="inlineStr">
        <is>
          <t>PROTO PROE</t>
        </is>
      </c>
      <c r="F10095" t="inlineStr">
        <is>
          <t>PROTO STS400 FLAT</t>
        </is>
      </c>
      <c r="J10095" t="inlineStr">
        <is>
          <t>MATRION</t>
        </is>
      </c>
      <c r="L10095">
        <f>_xlfn.XLOOKUP(Tableau1[[#This Row],[TYPE DE PIECE]],Tableau4[MATIERE],Tableau4[SHORT TYPE],"",0,1)</f>
        <v/>
      </c>
      <c r="N10095">
        <f>IF(ISERR(FIND("DECOUPE",Tableau1[[#This Row],[DESIGNATION]])),"","NEED REF")</f>
        <v/>
      </c>
    </row>
    <row r="10096">
      <c r="B10096" t="n">
        <v>34403910</v>
      </c>
      <c r="C10096" s="2" t="n">
        <v>41822</v>
      </c>
      <c r="D10096" t="inlineStr">
        <is>
          <t>SPEC</t>
        </is>
      </c>
      <c r="E10096" t="inlineStr">
        <is>
          <t>BRIDAGE LINERGY</t>
        </is>
      </c>
      <c r="F10096" t="inlineStr">
        <is>
          <t>STS400 FLAT</t>
        </is>
      </c>
      <c r="J10096" t="inlineStr">
        <is>
          <t>MATRION</t>
        </is>
      </c>
      <c r="K10096" t="inlineStr">
        <is>
          <t>PLASTIQUE</t>
        </is>
      </c>
      <c r="L10096">
        <f>_xlfn.XLOOKUP(Tableau1[[#This Row],[TYPE DE PIECE]],Tableau4[MATIERE],Tableau4[SHORT TYPE],"",0,1)</f>
        <v/>
      </c>
      <c r="N10096">
        <f>IF(ISERR(FIND("DECOUPE",Tableau1[[#This Row],[DESIGNATION]])),"","NEED REF")</f>
        <v/>
      </c>
    </row>
    <row r="10097">
      <c r="B10097" t="n">
        <v>34403909</v>
      </c>
      <c r="C10097" s="2" t="n">
        <v>41822</v>
      </c>
      <c r="D10097" t="inlineStr">
        <is>
          <t>SPEC</t>
        </is>
      </c>
      <c r="E10097" t="inlineStr">
        <is>
          <t>SUPPORT LINERGY</t>
        </is>
      </c>
      <c r="F10097" t="inlineStr">
        <is>
          <t>STS400 FLAT</t>
        </is>
      </c>
      <c r="J10097" t="inlineStr">
        <is>
          <t>MATRION</t>
        </is>
      </c>
      <c r="K10097" t="inlineStr">
        <is>
          <t>METAL</t>
        </is>
      </c>
      <c r="L10097">
        <f>_xlfn.XLOOKUP(Tableau1[[#This Row],[TYPE DE PIECE]],Tableau4[MATIERE],Tableau4[SHORT TYPE],"",0,1)</f>
        <v/>
      </c>
      <c r="N10097">
        <f>IF(ISERR(FIND("DECOUPE",Tableau1[[#This Row],[DESIGNATION]])),"","NEED REF")</f>
        <v/>
      </c>
    </row>
    <row r="10098">
      <c r="B10098" t="n">
        <v>34403908</v>
      </c>
      <c r="C10098" s="2" t="n">
        <v>41822</v>
      </c>
      <c r="D10098" t="inlineStr">
        <is>
          <t>SPEC</t>
        </is>
      </c>
      <c r="E10098" t="inlineStr">
        <is>
          <t>PROTO PROE</t>
        </is>
      </c>
      <c r="F10098" t="inlineStr">
        <is>
          <t>PROTO STS400 FLAT</t>
        </is>
      </c>
      <c r="J10098" t="inlineStr">
        <is>
          <t>MATRION</t>
        </is>
      </c>
      <c r="L10098">
        <f>_xlfn.XLOOKUP(Tableau1[[#This Row],[TYPE DE PIECE]],Tableau4[MATIERE],Tableau4[SHORT TYPE],"",0,1)</f>
        <v/>
      </c>
      <c r="N10098">
        <f>IF(ISERR(FIND("DECOUPE",Tableau1[[#This Row],[DESIGNATION]])),"","NEED REF")</f>
        <v/>
      </c>
    </row>
    <row r="10099">
      <c r="B10099" t="n">
        <v>34403907</v>
      </c>
      <c r="C10099" s="2" t="n">
        <v>41822</v>
      </c>
      <c r="D10099" t="inlineStr">
        <is>
          <t>SPEC</t>
        </is>
      </c>
      <c r="E10099" t="inlineStr">
        <is>
          <t>PROTO PROE</t>
        </is>
      </c>
      <c r="F10099" t="inlineStr">
        <is>
          <t>PROTO STS400 FLAT</t>
        </is>
      </c>
      <c r="J10099" t="inlineStr">
        <is>
          <t>MATRION</t>
        </is>
      </c>
      <c r="L10099">
        <f>_xlfn.XLOOKUP(Tableau1[[#This Row],[TYPE DE PIECE]],Tableau4[MATIERE],Tableau4[SHORT TYPE],"",0,1)</f>
        <v/>
      </c>
      <c r="N10099">
        <f>IF(ISERR(FIND("DECOUPE",Tableau1[[#This Row],[DESIGNATION]])),"","NEED REF")</f>
        <v/>
      </c>
    </row>
    <row r="10100">
      <c r="B10100" t="n">
        <v>34403906</v>
      </c>
      <c r="C10100" s="2" t="n">
        <v>41820</v>
      </c>
      <c r="D10100" t="inlineStr">
        <is>
          <t>DM</t>
        </is>
      </c>
      <c r="E10100" t="inlineStr">
        <is>
          <t>DM NS2400kVA G9K 3500A AVEC 2 INTERS/TNC/VISION/TGAB R2/ECLISSAGE A DROITE avec armoire de couplage</t>
        </is>
      </c>
      <c r="F10100" t="inlineStr">
        <is>
          <t>G9K NS2400kVA - ORANGE</t>
        </is>
      </c>
      <c r="J10100" t="inlineStr">
        <is>
          <t>DUBOIS</t>
        </is>
      </c>
      <c r="L10100">
        <f>_xlfn.XLOOKUP(Tableau1[[#This Row],[TYPE DE PIECE]],Tableau4[MATIERE],Tableau4[SHORT TYPE],"",0,1)</f>
        <v/>
      </c>
      <c r="N10100">
        <f>IF(ISERR(FIND("DECOUPE",Tableau1[[#This Row],[DESIGNATION]])),"","NEED REF")</f>
        <v/>
      </c>
    </row>
    <row r="10101">
      <c r="B10101" t="n">
        <v>34403905</v>
      </c>
      <c r="C10101" s="2" t="n">
        <v>41820</v>
      </c>
      <c r="D10101" t="inlineStr">
        <is>
          <t>DM</t>
        </is>
      </c>
      <c r="E10101" t="inlineStr">
        <is>
          <t>DM NS2400kVA G9K 3500A AVEC 2 INTERS/TNC/VISION/TGAB R2/ECLISSAGE A GAUCHE avec armoire de couplage</t>
        </is>
      </c>
      <c r="F10101" t="inlineStr">
        <is>
          <t>G9K NS2400kVA - ORANGE</t>
        </is>
      </c>
      <c r="J10101" t="inlineStr">
        <is>
          <t>DUBOIS</t>
        </is>
      </c>
      <c r="L10101">
        <f>_xlfn.XLOOKUP(Tableau1[[#This Row],[TYPE DE PIECE]],Tableau4[MATIERE],Tableau4[SHORT TYPE],"",0,1)</f>
        <v/>
      </c>
      <c r="N10101">
        <f>IF(ISERR(FIND("DECOUPE",Tableau1[[#This Row],[DESIGNATION]])),"","NEED REF")</f>
        <v/>
      </c>
    </row>
    <row r="10102">
      <c r="B10102" t="n">
        <v>34403904</v>
      </c>
      <c r="C10102" s="2" t="n">
        <v>41817</v>
      </c>
      <c r="D10102" t="inlineStr">
        <is>
          <t>SPEC</t>
        </is>
      </c>
      <c r="E10102" t="inlineStr">
        <is>
          <t>Barre cuivre GAB neutre</t>
        </is>
      </c>
      <c r="F10102" t="inlineStr">
        <is>
          <t>G9K NS2400kVA - ORANGE</t>
        </is>
      </c>
      <c r="J10102" t="inlineStr">
        <is>
          <t>DUBOIS</t>
        </is>
      </c>
      <c r="L10102">
        <f>_xlfn.XLOOKUP(Tableau1[[#This Row],[TYPE DE PIECE]],Tableau4[MATIERE],Tableau4[SHORT TYPE],"",0,1)</f>
        <v/>
      </c>
      <c r="N10102">
        <f>IF(ISERR(FIND("DECOUPE",Tableau1[[#This Row],[DESIGNATION]])),"","NEED REF")</f>
        <v/>
      </c>
    </row>
    <row r="10103">
      <c r="B10103" t="n">
        <v>34403903</v>
      </c>
      <c r="C10103" s="2" t="n">
        <v>41817</v>
      </c>
      <c r="D10103" t="inlineStr">
        <is>
          <t>SPEC</t>
        </is>
      </c>
      <c r="E10103" t="inlineStr">
        <is>
          <t>Tole aluminium 6mm</t>
        </is>
      </c>
      <c r="F10103" t="inlineStr">
        <is>
          <t>Gaine de raccordement haut</t>
        </is>
      </c>
      <c r="J10103" t="inlineStr">
        <is>
          <t>DUBOIS</t>
        </is>
      </c>
      <c r="L10103">
        <f>_xlfn.XLOOKUP(Tableau1[[#This Row],[TYPE DE PIECE]],Tableau4[MATIERE],Tableau4[SHORT TYPE],"",0,1)</f>
        <v/>
      </c>
      <c r="N10103">
        <f>IF(ISERR(FIND("DECOUPE",Tableau1[[#This Row],[DESIGNATION]])),"","NEED REF")</f>
        <v/>
      </c>
    </row>
    <row r="10104">
      <c r="B10104" t="n">
        <v>34403902</v>
      </c>
      <c r="C10104" s="2" t="n">
        <v>41817</v>
      </c>
      <c r="D10104" t="inlineStr">
        <is>
          <t>SPEC</t>
        </is>
      </c>
      <c r="E10104" t="inlineStr">
        <is>
          <t>Toit armoire sarel percé</t>
        </is>
      </c>
      <c r="F10104" t="inlineStr">
        <is>
          <t>Gaine de raccordement haut</t>
        </is>
      </c>
      <c r="J10104" t="inlineStr">
        <is>
          <t>DUBOIS</t>
        </is>
      </c>
      <c r="L10104">
        <f>_xlfn.XLOOKUP(Tableau1[[#This Row],[TYPE DE PIECE]],Tableau4[MATIERE],Tableau4[SHORT TYPE],"",0,1)</f>
        <v/>
      </c>
      <c r="N10104">
        <f>IF(ISERR(FIND("DECOUPE",Tableau1[[#This Row],[DESIGNATION]])),"","NEED REF")</f>
        <v/>
      </c>
    </row>
    <row r="10105">
      <c r="B10105" t="n">
        <v>34403901</v>
      </c>
      <c r="C10105" s="2" t="n">
        <v>41817</v>
      </c>
      <c r="D10105" t="inlineStr">
        <is>
          <t>SPEC</t>
        </is>
      </c>
      <c r="E10105" t="inlineStr">
        <is>
          <t>Fils fins NSDT NS2500kVA</t>
        </is>
      </c>
      <c r="F10105" t="inlineStr">
        <is>
          <t>NS2500kVA</t>
        </is>
      </c>
      <c r="J10105" t="inlineStr">
        <is>
          <t>REVEL</t>
        </is>
      </c>
      <c r="K10105" t="inlineStr">
        <is>
          <t>FF</t>
        </is>
      </c>
      <c r="L10105">
        <f>_xlfn.XLOOKUP(Tableau1[[#This Row],[TYPE DE PIECE]],Tableau4[MATIERE],Tableau4[SHORT TYPE],"",0,1)</f>
        <v/>
      </c>
      <c r="N10105">
        <f>IF(ISERR(FIND("DECOUPE",Tableau1[[#This Row],[DESIGNATION]])),"","NEED REF")</f>
        <v/>
      </c>
    </row>
    <row r="10106">
      <c r="B10106" t="n">
        <v>34403900</v>
      </c>
      <c r="C10106" s="2" t="n">
        <v>41815</v>
      </c>
      <c r="D10106" t="inlineStr">
        <is>
          <t>SPEC</t>
        </is>
      </c>
      <c r="E10106" t="inlineStr">
        <is>
          <t>Barre cuivre en C 100x10 PEN c</t>
        </is>
      </c>
      <c r="F10106" t="inlineStr">
        <is>
          <t>G9K NS2400kVA - ORANGE</t>
        </is>
      </c>
      <c r="J10106" t="inlineStr">
        <is>
          <t>DUBOIS</t>
        </is>
      </c>
      <c r="K10106" t="inlineStr">
        <is>
          <t>CUIVRE</t>
        </is>
      </c>
      <c r="L10106">
        <f>_xlfn.XLOOKUP(Tableau1[[#This Row],[TYPE DE PIECE]],Tableau4[MATIERE],Tableau4[SHORT TYPE],"",0,1)</f>
        <v/>
      </c>
      <c r="N10106">
        <f>IF(ISERR(FIND("DECOUPE",Tableau1[[#This Row],[DESIGNATION]])),"","NEED REF")</f>
        <v/>
      </c>
    </row>
    <row r="10107">
      <c r="B10107" t="n">
        <v>34403899</v>
      </c>
      <c r="C10107" s="2" t="n">
        <v>41815</v>
      </c>
      <c r="D10107" t="inlineStr">
        <is>
          <t>SPEC</t>
        </is>
      </c>
      <c r="E10107" t="inlineStr">
        <is>
          <t>Barre cuivre en C 100x10 PEN b</t>
        </is>
      </c>
      <c r="F10107" t="inlineStr">
        <is>
          <t>G9K NS2400kVA - ORANGE</t>
        </is>
      </c>
      <c r="J10107" t="inlineStr">
        <is>
          <t>DUBOIS</t>
        </is>
      </c>
      <c r="K10107" t="inlineStr">
        <is>
          <t>CUIVRE</t>
        </is>
      </c>
      <c r="L10107">
        <f>_xlfn.XLOOKUP(Tableau1[[#This Row],[TYPE DE PIECE]],Tableau4[MATIERE],Tableau4[SHORT TYPE],"",0,1)</f>
        <v/>
      </c>
      <c r="N10107">
        <f>IF(ISERR(FIND("DECOUPE",Tableau1[[#This Row],[DESIGNATION]])),"","NEED REF")</f>
        <v/>
      </c>
    </row>
    <row r="10108">
      <c r="B10108" t="n">
        <v>34403898</v>
      </c>
      <c r="C10108" s="2" t="n">
        <v>41815</v>
      </c>
      <c r="D10108" t="inlineStr">
        <is>
          <t>SPEC</t>
        </is>
      </c>
      <c r="E10108" t="inlineStr">
        <is>
          <t>Barre cuivre en C 100x10 PEN a</t>
        </is>
      </c>
      <c r="F10108" t="inlineStr">
        <is>
          <t>G9K NS2400kVA - ORANGE</t>
        </is>
      </c>
      <c r="J10108" t="inlineStr">
        <is>
          <t>DUBOIS</t>
        </is>
      </c>
      <c r="K10108" t="inlineStr">
        <is>
          <t>CUIVRE</t>
        </is>
      </c>
      <c r="L10108">
        <f>_xlfn.XLOOKUP(Tableau1[[#This Row],[TYPE DE PIECE]],Tableau4[MATIERE],Tableau4[SHORT TYPE],"",0,1)</f>
        <v/>
      </c>
      <c r="N10108">
        <f>IF(ISERR(FIND("DECOUPE",Tableau1[[#This Row],[DESIGNATION]])),"","NEED REF")</f>
        <v/>
      </c>
    </row>
    <row r="10109">
      <c r="B10109" t="n">
        <v>34403897</v>
      </c>
      <c r="C10109" s="2" t="n">
        <v>41815</v>
      </c>
      <c r="D10109" t="inlineStr">
        <is>
          <t>SPEC</t>
        </is>
      </c>
      <c r="E10109" t="inlineStr">
        <is>
          <t>Barre cuivre verticale PEN</t>
        </is>
      </c>
      <c r="F10109" t="inlineStr">
        <is>
          <t>G9K NS2400kVA - ORANGE</t>
        </is>
      </c>
      <c r="J10109" t="inlineStr">
        <is>
          <t>DUBOIS</t>
        </is>
      </c>
      <c r="K10109" t="inlineStr">
        <is>
          <t>CUIVRE</t>
        </is>
      </c>
      <c r="L10109">
        <f>_xlfn.XLOOKUP(Tableau1[[#This Row],[TYPE DE PIECE]],Tableau4[MATIERE],Tableau4[SHORT TYPE],"",0,1)</f>
        <v/>
      </c>
      <c r="N10109">
        <f>IF(ISERR(FIND("DECOUPE",Tableau1[[#This Row],[DESIGNATION]])),"","NEED REF")</f>
        <v/>
      </c>
    </row>
    <row r="10110">
      <c r="B10110" t="n">
        <v>34403896</v>
      </c>
      <c r="C10110" s="2" t="n">
        <v>41815</v>
      </c>
      <c r="D10110" t="inlineStr">
        <is>
          <t>SPEC</t>
        </is>
      </c>
      <c r="E10110" t="inlineStr">
        <is>
          <t>Barre cuivre 120x10 eclisse PEN</t>
        </is>
      </c>
      <c r="F10110" t="inlineStr">
        <is>
          <t>G9K NS2400kVA - ORANGE</t>
        </is>
      </c>
      <c r="J10110" t="inlineStr">
        <is>
          <t>DUBOIS</t>
        </is>
      </c>
      <c r="K10110" t="inlineStr">
        <is>
          <t>CUIVRE</t>
        </is>
      </c>
      <c r="L10110">
        <f>_xlfn.XLOOKUP(Tableau1[[#This Row],[TYPE DE PIECE]],Tableau4[MATIERE],Tableau4[SHORT TYPE],"",0,1)</f>
        <v/>
      </c>
      <c r="N10110">
        <f>IF(ISERR(FIND("DECOUPE",Tableau1[[#This Row],[DESIGNATION]])),"","NEED REF")</f>
        <v/>
      </c>
    </row>
    <row r="10111">
      <c r="B10111" t="n">
        <v>34403895</v>
      </c>
      <c r="C10111" s="2" t="n">
        <v>41815</v>
      </c>
      <c r="D10111" t="inlineStr">
        <is>
          <t>SPEC</t>
        </is>
      </c>
      <c r="E10111" t="inlineStr">
        <is>
          <t>Barre cuivre 120x10 eclisse phase 1</t>
        </is>
      </c>
      <c r="F10111" t="inlineStr">
        <is>
          <t>G9K NS2400kVA - ORANGE</t>
        </is>
      </c>
      <c r="J10111" t="inlineStr">
        <is>
          <t>DUBOIS</t>
        </is>
      </c>
      <c r="K10111" t="inlineStr">
        <is>
          <t>CUIVRE</t>
        </is>
      </c>
      <c r="L10111">
        <f>_xlfn.XLOOKUP(Tableau1[[#This Row],[TYPE DE PIECE]],Tableau4[MATIERE],Tableau4[SHORT TYPE],"",0,1)</f>
        <v/>
      </c>
      <c r="N10111">
        <f>IF(ISERR(FIND("DECOUPE",Tableau1[[#This Row],[DESIGNATION]])),"","NEED REF")</f>
        <v/>
      </c>
    </row>
    <row r="10112">
      <c r="B10112" t="n">
        <v>34403894</v>
      </c>
      <c r="C10112" s="2" t="n">
        <v>41815</v>
      </c>
      <c r="D10112" t="inlineStr">
        <is>
          <t>SPEC</t>
        </is>
      </c>
      <c r="E10112" t="inlineStr">
        <is>
          <t>Barre cuivre 120x10 eclisse phase 2</t>
        </is>
      </c>
      <c r="F10112" t="inlineStr">
        <is>
          <t>G9K NS2400kVA - ORANGE</t>
        </is>
      </c>
      <c r="J10112" t="inlineStr">
        <is>
          <t>DUBOIS</t>
        </is>
      </c>
      <c r="K10112" t="inlineStr">
        <is>
          <t>CUIVRE</t>
        </is>
      </c>
      <c r="L10112">
        <f>_xlfn.XLOOKUP(Tableau1[[#This Row],[TYPE DE PIECE]],Tableau4[MATIERE],Tableau4[SHORT TYPE],"",0,1)</f>
        <v/>
      </c>
      <c r="N10112">
        <f>IF(ISERR(FIND("DECOUPE",Tableau1[[#This Row],[DESIGNATION]])),"","NEED REF")</f>
        <v/>
      </c>
    </row>
    <row r="10113">
      <c r="B10113" t="n">
        <v>34403893</v>
      </c>
      <c r="C10113" s="2" t="n">
        <v>41815</v>
      </c>
      <c r="D10113" t="inlineStr">
        <is>
          <t>SPEC</t>
        </is>
      </c>
      <c r="E10113" t="inlineStr">
        <is>
          <t>Barre cuivre 120x10 eclisse phase 3</t>
        </is>
      </c>
      <c r="F10113" t="inlineStr">
        <is>
          <t>G9K NS2400kVA - ORANGE</t>
        </is>
      </c>
      <c r="J10113" t="inlineStr">
        <is>
          <t>DUBOIS</t>
        </is>
      </c>
      <c r="K10113" t="inlineStr">
        <is>
          <t>CUIVRE</t>
        </is>
      </c>
      <c r="L10113">
        <f>_xlfn.XLOOKUP(Tableau1[[#This Row],[TYPE DE PIECE]],Tableau4[MATIERE],Tableau4[SHORT TYPE],"",0,1)</f>
        <v/>
      </c>
      <c r="N10113">
        <f>IF(ISERR(FIND("DECOUPE",Tableau1[[#This Row],[DESIGNATION]])),"","NEED REF")</f>
        <v/>
      </c>
    </row>
    <row r="10114">
      <c r="B10114" t="n">
        <v>34403892</v>
      </c>
      <c r="C10114" s="2" t="n">
        <v>41815</v>
      </c>
      <c r="D10114" t="inlineStr">
        <is>
          <t>SPEC</t>
        </is>
      </c>
      <c r="E10114" t="inlineStr">
        <is>
          <t>Petite barre verticale 120x10</t>
        </is>
      </c>
      <c r="F10114" t="inlineStr">
        <is>
          <t>G9K NS2400kVA - ORANGE</t>
        </is>
      </c>
      <c r="J10114" t="inlineStr">
        <is>
          <t>DUBOIS</t>
        </is>
      </c>
      <c r="K10114" t="inlineStr">
        <is>
          <t>CUIVRE</t>
        </is>
      </c>
      <c r="L10114">
        <f>_xlfn.XLOOKUP(Tableau1[[#This Row],[TYPE DE PIECE]],Tableau4[MATIERE],Tableau4[SHORT TYPE],"",0,1)</f>
        <v/>
      </c>
      <c r="N10114">
        <f>IF(ISERR(FIND("DECOUPE",Tableau1[[#This Row],[DESIGNATION]])),"","NEED REF")</f>
        <v/>
      </c>
    </row>
    <row r="10115">
      <c r="B10115" t="n">
        <v>34403891</v>
      </c>
      <c r="C10115" s="2" t="n">
        <v>41815</v>
      </c>
      <c r="D10115" t="inlineStr">
        <is>
          <t>SPEC</t>
        </is>
      </c>
      <c r="E10115" t="inlineStr">
        <is>
          <t>Barre cuivre 120x10 bas Q3BP phase 1</t>
        </is>
      </c>
      <c r="F10115" t="inlineStr">
        <is>
          <t>G9K NS2400kVA - ORANGE</t>
        </is>
      </c>
      <c r="J10115" t="inlineStr">
        <is>
          <t>DUBOIS</t>
        </is>
      </c>
      <c r="K10115" t="inlineStr">
        <is>
          <t>CUIVRE</t>
        </is>
      </c>
      <c r="L10115">
        <f>_xlfn.XLOOKUP(Tableau1[[#This Row],[TYPE DE PIECE]],Tableau4[MATIERE],Tableau4[SHORT TYPE],"",0,1)</f>
        <v/>
      </c>
      <c r="N10115">
        <f>IF(ISERR(FIND("DECOUPE",Tableau1[[#This Row],[DESIGNATION]])),"","NEED REF")</f>
        <v/>
      </c>
    </row>
    <row r="10116">
      <c r="B10116" t="n">
        <v>34403890</v>
      </c>
      <c r="C10116" s="2" t="n">
        <v>41815</v>
      </c>
      <c r="D10116" t="inlineStr">
        <is>
          <t>SPEC</t>
        </is>
      </c>
      <c r="E10116" t="inlineStr">
        <is>
          <t>Barre cuivre 120x10 bas Q3BP phase 2</t>
        </is>
      </c>
      <c r="F10116" t="inlineStr">
        <is>
          <t>G9K NS2400kVA - ORANGE</t>
        </is>
      </c>
      <c r="J10116" t="inlineStr">
        <is>
          <t>DUBOIS</t>
        </is>
      </c>
      <c r="K10116" t="inlineStr">
        <is>
          <t>CUIVRE</t>
        </is>
      </c>
      <c r="L10116">
        <f>_xlfn.XLOOKUP(Tableau1[[#This Row],[TYPE DE PIECE]],Tableau4[MATIERE],Tableau4[SHORT TYPE],"",0,1)</f>
        <v/>
      </c>
      <c r="N10116">
        <f>IF(ISERR(FIND("DECOUPE",Tableau1[[#This Row],[DESIGNATION]])),"","NEED REF")</f>
        <v/>
      </c>
    </row>
    <row r="10117">
      <c r="B10117" t="n">
        <v>34403889</v>
      </c>
      <c r="C10117" s="2" t="n">
        <v>41815</v>
      </c>
      <c r="D10117" t="inlineStr">
        <is>
          <t>SPEC</t>
        </is>
      </c>
      <c r="E10117" t="inlineStr">
        <is>
          <t>Barre cuivre 120x10 bas Q3BP phase 3</t>
        </is>
      </c>
      <c r="F10117" t="inlineStr">
        <is>
          <t>G9K NS2400kVA - ORANGE</t>
        </is>
      </c>
      <c r="J10117" t="inlineStr">
        <is>
          <t>DUBOIS</t>
        </is>
      </c>
      <c r="K10117" t="inlineStr">
        <is>
          <t>CUIVRE</t>
        </is>
      </c>
      <c r="L10117">
        <f>_xlfn.XLOOKUP(Tableau1[[#This Row],[TYPE DE PIECE]],Tableau4[MATIERE],Tableau4[SHORT TYPE],"",0,1)</f>
        <v/>
      </c>
      <c r="N10117">
        <f>IF(ISERR(FIND("DECOUPE",Tableau1[[#This Row],[DESIGNATION]])),"","NEED REF")</f>
        <v/>
      </c>
    </row>
    <row r="10118">
      <c r="B10118" t="n">
        <v>34403888</v>
      </c>
      <c r="C10118" s="2" t="n">
        <v>41815</v>
      </c>
      <c r="D10118" t="inlineStr">
        <is>
          <t>SPEC</t>
        </is>
      </c>
      <c r="E10118" t="inlineStr">
        <is>
          <t>Barre cuivre 100x10 sortie Q3BP phase 1-2-3 c</t>
        </is>
      </c>
      <c r="F10118" t="inlineStr">
        <is>
          <t>G9K NS2400kVA - ORANGE</t>
        </is>
      </c>
      <c r="J10118" t="inlineStr">
        <is>
          <t>DUBOIS</t>
        </is>
      </c>
      <c r="K10118" t="inlineStr">
        <is>
          <t>CUIVRE</t>
        </is>
      </c>
      <c r="L10118">
        <f>_xlfn.XLOOKUP(Tableau1[[#This Row],[TYPE DE PIECE]],Tableau4[MATIERE],Tableau4[SHORT TYPE],"",0,1)</f>
        <v/>
      </c>
      <c r="N10118">
        <f>IF(ISERR(FIND("DECOUPE",Tableau1[[#This Row],[DESIGNATION]])),"","NEED REF")</f>
        <v/>
      </c>
    </row>
    <row r="10119">
      <c r="B10119" t="n">
        <v>34403887</v>
      </c>
      <c r="C10119" s="2" t="n">
        <v>41815</v>
      </c>
      <c r="D10119" t="inlineStr">
        <is>
          <t>SPEC</t>
        </is>
      </c>
      <c r="E10119" t="inlineStr">
        <is>
          <t>Barre cuivre 100x10 sortie Q3BP phase 1-2-3 b</t>
        </is>
      </c>
      <c r="F10119" t="inlineStr">
        <is>
          <t>G9K NS2400kVA - ORANGE</t>
        </is>
      </c>
      <c r="J10119" t="inlineStr">
        <is>
          <t>DUBOIS</t>
        </is>
      </c>
      <c r="K10119" t="inlineStr">
        <is>
          <t>CUIVRE</t>
        </is>
      </c>
      <c r="L10119">
        <f>_xlfn.XLOOKUP(Tableau1[[#This Row],[TYPE DE PIECE]],Tableau4[MATIERE],Tableau4[SHORT TYPE],"",0,1)</f>
        <v/>
      </c>
      <c r="N10119">
        <f>IF(ISERR(FIND("DECOUPE",Tableau1[[#This Row],[DESIGNATION]])),"","NEED REF")</f>
        <v/>
      </c>
    </row>
    <row r="10120">
      <c r="B10120" t="n">
        <v>34403886</v>
      </c>
      <c r="C10120" s="2" t="n">
        <v>41815</v>
      </c>
      <c r="D10120" t="inlineStr">
        <is>
          <t>SPEC</t>
        </is>
      </c>
      <c r="E10120" t="inlineStr">
        <is>
          <t>Barre cuivre 100x10 sortie Q3BP phase 1-2-3 a</t>
        </is>
      </c>
      <c r="F10120" t="inlineStr">
        <is>
          <t>G9K NS2400kVA - ORANGE</t>
        </is>
      </c>
      <c r="J10120" t="inlineStr">
        <is>
          <t>DUBOIS</t>
        </is>
      </c>
      <c r="K10120" t="inlineStr">
        <is>
          <t>CUIVRE</t>
        </is>
      </c>
      <c r="L10120">
        <f>_xlfn.XLOOKUP(Tableau1[[#This Row],[TYPE DE PIECE]],Tableau4[MATIERE],Tableau4[SHORT TYPE],"",0,1)</f>
        <v/>
      </c>
      <c r="N10120">
        <f>IF(ISERR(FIND("DECOUPE",Tableau1[[#This Row],[DESIGNATION]])),"","NEED REF")</f>
        <v/>
      </c>
    </row>
    <row r="10121">
      <c r="B10121" t="n">
        <v>34403885</v>
      </c>
      <c r="C10121" s="2" t="n">
        <v>41815</v>
      </c>
      <c r="D10121" t="inlineStr">
        <is>
          <t>SPEC</t>
        </is>
      </c>
      <c r="E10121" t="inlineStr">
        <is>
          <t>Barre cuivre 100x10 sortie Q3BP phase 3 c</t>
        </is>
      </c>
      <c r="F10121" t="inlineStr">
        <is>
          <t>G9K NS2400kVA - ORANGE</t>
        </is>
      </c>
      <c r="J10121" t="inlineStr">
        <is>
          <t>DUBOIS</t>
        </is>
      </c>
      <c r="K10121" t="inlineStr">
        <is>
          <t>CUIVRE</t>
        </is>
      </c>
      <c r="L10121">
        <f>_xlfn.XLOOKUP(Tableau1[[#This Row],[TYPE DE PIECE]],Tableau4[MATIERE],Tableau4[SHORT TYPE],"",0,1)</f>
        <v/>
      </c>
      <c r="N10121">
        <f>IF(ISERR(FIND("DECOUPE",Tableau1[[#This Row],[DESIGNATION]])),"","NEED REF")</f>
        <v/>
      </c>
    </row>
    <row r="10122">
      <c r="B10122" t="n">
        <v>34403884</v>
      </c>
      <c r="C10122" s="2" t="n">
        <v>41815</v>
      </c>
      <c r="D10122" t="inlineStr">
        <is>
          <t>SPEC</t>
        </is>
      </c>
      <c r="E10122" t="inlineStr">
        <is>
          <t>Barre cuivre 100x10 sortie Q3BP phase 3 b</t>
        </is>
      </c>
      <c r="F10122" t="inlineStr">
        <is>
          <t>G9K NS2400kVA - ORANGE</t>
        </is>
      </c>
      <c r="J10122" t="inlineStr">
        <is>
          <t>DUBOIS</t>
        </is>
      </c>
      <c r="K10122" t="inlineStr">
        <is>
          <t>CUIVRE</t>
        </is>
      </c>
      <c r="L10122">
        <f>_xlfn.XLOOKUP(Tableau1[[#This Row],[TYPE DE PIECE]],Tableau4[MATIERE],Tableau4[SHORT TYPE],"",0,1)</f>
        <v/>
      </c>
      <c r="N10122">
        <f>IF(ISERR(FIND("DECOUPE",Tableau1[[#This Row],[DESIGNATION]])),"","NEED REF")</f>
        <v/>
      </c>
    </row>
    <row r="10123">
      <c r="B10123" t="n">
        <v>34403883</v>
      </c>
      <c r="C10123" s="2" t="n">
        <v>41815</v>
      </c>
      <c r="D10123" t="inlineStr">
        <is>
          <t>SPEC</t>
        </is>
      </c>
      <c r="E10123" t="inlineStr">
        <is>
          <t>Barre cuivre 100x10 sortie Q3BP phase 3 a</t>
        </is>
      </c>
      <c r="F10123" t="inlineStr">
        <is>
          <t>G9K NS2400kVA - ORANGE</t>
        </is>
      </c>
      <c r="J10123" t="inlineStr">
        <is>
          <t>DUBOIS</t>
        </is>
      </c>
      <c r="K10123" t="inlineStr">
        <is>
          <t>CUIVRE</t>
        </is>
      </c>
      <c r="L10123">
        <f>_xlfn.XLOOKUP(Tableau1[[#This Row],[TYPE DE PIECE]],Tableau4[MATIERE],Tableau4[SHORT TYPE],"",0,1)</f>
        <v/>
      </c>
      <c r="N10123">
        <f>IF(ISERR(FIND("DECOUPE",Tableau1[[#This Row],[DESIGNATION]])),"","NEED REF")</f>
        <v/>
      </c>
    </row>
    <row r="10124">
      <c r="B10124" t="n">
        <v>34403882</v>
      </c>
      <c r="C10124" s="2" t="n">
        <v>41815</v>
      </c>
      <c r="D10124" t="inlineStr">
        <is>
          <t>SPEC</t>
        </is>
      </c>
      <c r="E10124" t="inlineStr">
        <is>
          <t>Barre cuivre 100x10 sortie Q3BP phase 2 c</t>
        </is>
      </c>
      <c r="F10124" t="inlineStr">
        <is>
          <t>G9K NS2400kVA - ORANGE</t>
        </is>
      </c>
      <c r="J10124" t="inlineStr">
        <is>
          <t>DUBOIS</t>
        </is>
      </c>
      <c r="K10124" t="inlineStr">
        <is>
          <t>CUIVRE</t>
        </is>
      </c>
      <c r="L10124">
        <f>_xlfn.XLOOKUP(Tableau1[[#This Row],[TYPE DE PIECE]],Tableau4[MATIERE],Tableau4[SHORT TYPE],"",0,1)</f>
        <v/>
      </c>
      <c r="N10124">
        <f>IF(ISERR(FIND("DECOUPE",Tableau1[[#This Row],[DESIGNATION]])),"","NEED REF")</f>
        <v/>
      </c>
    </row>
    <row r="10125">
      <c r="B10125" t="n">
        <v>34403881</v>
      </c>
      <c r="C10125" s="2" t="n">
        <v>41815</v>
      </c>
      <c r="D10125" t="inlineStr">
        <is>
          <t>SPEC</t>
        </is>
      </c>
      <c r="E10125" t="inlineStr">
        <is>
          <t>Barre cuivre 100x10 sortie Q3BP phase 2 b</t>
        </is>
      </c>
      <c r="F10125" t="inlineStr">
        <is>
          <t>G9K NS2400kVA - ORANGE</t>
        </is>
      </c>
      <c r="J10125" t="inlineStr">
        <is>
          <t>DUBOIS</t>
        </is>
      </c>
      <c r="K10125" t="inlineStr">
        <is>
          <t>CUIVRE</t>
        </is>
      </c>
      <c r="L10125">
        <f>_xlfn.XLOOKUP(Tableau1[[#This Row],[TYPE DE PIECE]],Tableau4[MATIERE],Tableau4[SHORT TYPE],"",0,1)</f>
        <v/>
      </c>
      <c r="N10125">
        <f>IF(ISERR(FIND("DECOUPE",Tableau1[[#This Row],[DESIGNATION]])),"","NEED REF")</f>
        <v/>
      </c>
    </row>
    <row r="10126">
      <c r="B10126" t="n">
        <v>34403880</v>
      </c>
      <c r="C10126" s="2" t="n">
        <v>41815</v>
      </c>
      <c r="D10126" t="inlineStr">
        <is>
          <t>SPEC</t>
        </is>
      </c>
      <c r="E10126" t="inlineStr">
        <is>
          <t>Barre cuivre 100x10 sortie Q3BP phase 2 a</t>
        </is>
      </c>
      <c r="F10126" t="inlineStr">
        <is>
          <t>G9K NS2400kVA - ORANGE</t>
        </is>
      </c>
      <c r="J10126" t="inlineStr">
        <is>
          <t>DUBOIS</t>
        </is>
      </c>
      <c r="K10126" t="inlineStr">
        <is>
          <t>CUIVRE</t>
        </is>
      </c>
      <c r="L10126">
        <f>_xlfn.XLOOKUP(Tableau1[[#This Row],[TYPE DE PIECE]],Tableau4[MATIERE],Tableau4[SHORT TYPE],"",0,1)</f>
        <v/>
      </c>
      <c r="N10126">
        <f>IF(ISERR(FIND("DECOUPE",Tableau1[[#This Row],[DESIGNATION]])),"","NEED REF")</f>
        <v/>
      </c>
    </row>
    <row r="10127">
      <c r="B10127" t="n">
        <v>34403879</v>
      </c>
      <c r="C10127" s="2" t="n">
        <v>41815</v>
      </c>
      <c r="D10127" t="inlineStr">
        <is>
          <t>SPEC</t>
        </is>
      </c>
      <c r="E10127" t="inlineStr">
        <is>
          <t>Barre cuivre 100x10 sortie Q3BP phase 1 b</t>
        </is>
      </c>
      <c r="F10127" t="inlineStr">
        <is>
          <t>G9K NS2400kVA - ORANGE</t>
        </is>
      </c>
      <c r="J10127" t="inlineStr">
        <is>
          <t>DUBOIS</t>
        </is>
      </c>
      <c r="K10127" t="inlineStr">
        <is>
          <t>CUIVRE</t>
        </is>
      </c>
      <c r="L10127">
        <f>_xlfn.XLOOKUP(Tableau1[[#This Row],[TYPE DE PIECE]],Tableau4[MATIERE],Tableau4[SHORT TYPE],"",0,1)</f>
        <v/>
      </c>
      <c r="N10127">
        <f>IF(ISERR(FIND("DECOUPE",Tableau1[[#This Row],[DESIGNATION]])),"","NEED REF")</f>
        <v/>
      </c>
    </row>
    <row r="10128">
      <c r="B10128" t="n">
        <v>34403878</v>
      </c>
      <c r="C10128" s="2" t="n">
        <v>41815</v>
      </c>
      <c r="D10128" t="inlineStr">
        <is>
          <t>SPEC</t>
        </is>
      </c>
      <c r="E10128" t="inlineStr">
        <is>
          <t>Barre cuivre 100x10 sortie Q3BP phase 1 b</t>
        </is>
      </c>
      <c r="F10128" t="inlineStr">
        <is>
          <t>G9K NS2400kVA - ORANGE</t>
        </is>
      </c>
      <c r="J10128" t="inlineStr">
        <is>
          <t>DUBOIS</t>
        </is>
      </c>
      <c r="K10128" t="inlineStr">
        <is>
          <t>CUIVRE</t>
        </is>
      </c>
      <c r="L10128">
        <f>_xlfn.XLOOKUP(Tableau1[[#This Row],[TYPE DE PIECE]],Tableau4[MATIERE],Tableau4[SHORT TYPE],"",0,1)</f>
        <v/>
      </c>
      <c r="N10128">
        <f>IF(ISERR(FIND("DECOUPE",Tableau1[[#This Row],[DESIGNATION]])),"","NEED REF")</f>
        <v/>
      </c>
    </row>
    <row r="10129">
      <c r="B10129" t="n">
        <v>34403877</v>
      </c>
      <c r="C10129" s="2" t="n">
        <v>41815</v>
      </c>
      <c r="D10129" t="inlineStr">
        <is>
          <t>SPEC</t>
        </is>
      </c>
      <c r="E10129" t="inlineStr">
        <is>
          <t>Barre cuivre 100x10 sortie Q3BP phase 1 a</t>
        </is>
      </c>
      <c r="F10129" t="inlineStr">
        <is>
          <t>G9K NS2400kVA - ORANGE</t>
        </is>
      </c>
      <c r="J10129" t="inlineStr">
        <is>
          <t>DUBOIS</t>
        </is>
      </c>
      <c r="K10129" t="inlineStr">
        <is>
          <t>CUIVRE</t>
        </is>
      </c>
      <c r="L10129">
        <f>_xlfn.XLOOKUP(Tableau1[[#This Row],[TYPE DE PIECE]],Tableau4[MATIERE],Tableau4[SHORT TYPE],"",0,1)</f>
        <v/>
      </c>
      <c r="N10129">
        <f>IF(ISERR(FIND("DECOUPE",Tableau1[[#This Row],[DESIGNATION]])),"","NEED REF")</f>
        <v/>
      </c>
    </row>
    <row r="10130">
      <c r="B10130" t="n">
        <v>34403876</v>
      </c>
      <c r="C10130" s="2" t="n">
        <v>41815</v>
      </c>
      <c r="D10130" t="inlineStr">
        <is>
          <t>SPEC</t>
        </is>
      </c>
      <c r="E10130" t="inlineStr">
        <is>
          <t>Barre cuivre 100x10 liaison Q4S phase 1-2-3 c</t>
        </is>
      </c>
      <c r="F10130" t="inlineStr">
        <is>
          <t>G9K NS2400kVA - ORANGE</t>
        </is>
      </c>
      <c r="J10130" t="inlineStr">
        <is>
          <t>DUBOIS</t>
        </is>
      </c>
      <c r="K10130" t="inlineStr">
        <is>
          <t>CUIVRE</t>
        </is>
      </c>
      <c r="L10130">
        <f>_xlfn.XLOOKUP(Tableau1[[#This Row],[TYPE DE PIECE]],Tableau4[MATIERE],Tableau4[SHORT TYPE],"",0,1)</f>
        <v/>
      </c>
      <c r="N10130">
        <f>IF(ISERR(FIND("DECOUPE",Tableau1[[#This Row],[DESIGNATION]])),"","NEED REF")</f>
        <v/>
      </c>
    </row>
    <row r="10131">
      <c r="B10131" t="n">
        <v>34403875</v>
      </c>
      <c r="C10131" s="2" t="n">
        <v>41815</v>
      </c>
      <c r="D10131" t="inlineStr">
        <is>
          <t>SPEC</t>
        </is>
      </c>
      <c r="E10131" t="inlineStr">
        <is>
          <t>Barre cuivre 100x10 liaison Q4S phase 1-2-3 b</t>
        </is>
      </c>
      <c r="F10131" t="inlineStr">
        <is>
          <t>G9K NS2400kVA - ORANGE</t>
        </is>
      </c>
      <c r="J10131" t="inlineStr">
        <is>
          <t>DUBOIS</t>
        </is>
      </c>
      <c r="K10131" t="inlineStr">
        <is>
          <t>CUIVRE</t>
        </is>
      </c>
      <c r="L10131">
        <f>_xlfn.XLOOKUP(Tableau1[[#This Row],[TYPE DE PIECE]],Tableau4[MATIERE],Tableau4[SHORT TYPE],"",0,1)</f>
        <v/>
      </c>
      <c r="N10131">
        <f>IF(ISERR(FIND("DECOUPE",Tableau1[[#This Row],[DESIGNATION]])),"","NEED REF")</f>
        <v/>
      </c>
    </row>
    <row r="10132">
      <c r="B10132" t="n">
        <v>34403874</v>
      </c>
      <c r="C10132" s="2" t="n">
        <v>41815</v>
      </c>
      <c r="D10132" t="inlineStr">
        <is>
          <t>SPEC</t>
        </is>
      </c>
      <c r="E10132" t="inlineStr">
        <is>
          <t>Barre cuivre 100x10 liaison Q4S phase 1-2-3 a</t>
        </is>
      </c>
      <c r="F10132" t="inlineStr">
        <is>
          <t>G9K NS2400kVA - ORANGE</t>
        </is>
      </c>
      <c r="J10132" t="inlineStr">
        <is>
          <t>DUBOIS</t>
        </is>
      </c>
      <c r="K10132" t="inlineStr">
        <is>
          <t>CUIVRE</t>
        </is>
      </c>
      <c r="L10132">
        <f>_xlfn.XLOOKUP(Tableau1[[#This Row],[TYPE DE PIECE]],Tableau4[MATIERE],Tableau4[SHORT TYPE],"",0,1)</f>
        <v/>
      </c>
      <c r="N10132">
        <f>IF(ISERR(FIND("DECOUPE",Tableau1[[#This Row],[DESIGNATION]])),"","NEED REF")</f>
        <v/>
      </c>
    </row>
    <row r="10133">
      <c r="B10133" t="n">
        <v>34403873</v>
      </c>
      <c r="C10133" s="2" t="n">
        <v>41815</v>
      </c>
      <c r="D10133" t="inlineStr">
        <is>
          <t>SPEC</t>
        </is>
      </c>
      <c r="E10133" t="inlineStr">
        <is>
          <t>Barre cuivre 100x10 liaison Q3BP phase 1-2-3 c</t>
        </is>
      </c>
      <c r="F10133" t="inlineStr">
        <is>
          <t>G9K NS2400kVA - ORANGE</t>
        </is>
      </c>
      <c r="J10133" t="inlineStr">
        <is>
          <t>DUBOIS</t>
        </is>
      </c>
      <c r="K10133" t="inlineStr">
        <is>
          <t>CUIVRE</t>
        </is>
      </c>
      <c r="L10133">
        <f>_xlfn.XLOOKUP(Tableau1[[#This Row],[TYPE DE PIECE]],Tableau4[MATIERE],Tableau4[SHORT TYPE],"",0,1)</f>
        <v/>
      </c>
      <c r="N10133">
        <f>IF(ISERR(FIND("DECOUPE",Tableau1[[#This Row],[DESIGNATION]])),"","NEED REF")</f>
        <v/>
      </c>
    </row>
    <row r="10134">
      <c r="B10134" t="n">
        <v>34403872</v>
      </c>
      <c r="C10134" s="2" t="n">
        <v>41815</v>
      </c>
      <c r="D10134" t="inlineStr">
        <is>
          <t>SPEC</t>
        </is>
      </c>
      <c r="E10134" t="inlineStr">
        <is>
          <t>Barre cuivre 100x10 liaison Q3BP phase 1-2-3 b</t>
        </is>
      </c>
      <c r="F10134" t="inlineStr">
        <is>
          <t>G9K NS2400kVA - ORANGE</t>
        </is>
      </c>
      <c r="J10134" t="inlineStr">
        <is>
          <t>DUBOIS</t>
        </is>
      </c>
      <c r="K10134" t="inlineStr">
        <is>
          <t>CUIVRE</t>
        </is>
      </c>
      <c r="L10134">
        <f>_xlfn.XLOOKUP(Tableau1[[#This Row],[TYPE DE PIECE]],Tableau4[MATIERE],Tableau4[SHORT TYPE],"",0,1)</f>
        <v/>
      </c>
      <c r="N10134">
        <f>IF(ISERR(FIND("DECOUPE",Tableau1[[#This Row],[DESIGNATION]])),"","NEED REF")</f>
        <v/>
      </c>
    </row>
    <row r="10135">
      <c r="B10135" t="n">
        <v>34403871</v>
      </c>
      <c r="C10135" s="2" t="n">
        <v>41815</v>
      </c>
      <c r="D10135" t="inlineStr">
        <is>
          <t>SPEC</t>
        </is>
      </c>
      <c r="E10135" t="inlineStr">
        <is>
          <t>Barre cuivre 100x10 liaison Q3BP phase 1-2-3 a</t>
        </is>
      </c>
      <c r="F10135" t="inlineStr">
        <is>
          <t>G9K NS2400kVA - ORANGE</t>
        </is>
      </c>
      <c r="J10135" t="inlineStr">
        <is>
          <t>DUBOIS</t>
        </is>
      </c>
      <c r="K10135" t="inlineStr">
        <is>
          <t>CUIVRE</t>
        </is>
      </c>
      <c r="L10135">
        <f>_xlfn.XLOOKUP(Tableau1[[#This Row],[TYPE DE PIECE]],Tableau4[MATIERE],Tableau4[SHORT TYPE],"",0,1)</f>
        <v/>
      </c>
      <c r="N10135">
        <f>IF(ISERR(FIND("DECOUPE",Tableau1[[#This Row],[DESIGNATION]])),"","NEED REF")</f>
        <v/>
      </c>
    </row>
    <row r="10136">
      <c r="B10136" t="n">
        <v>34403870</v>
      </c>
      <c r="C10136" s="2" t="n">
        <v>41815</v>
      </c>
      <c r="D10136" t="inlineStr">
        <is>
          <t>SPEC</t>
        </is>
      </c>
      <c r="E10136" t="inlineStr">
        <is>
          <t>Barre cuivre 100x10 liaison Q4S  phase 3c</t>
        </is>
      </c>
      <c r="F10136" t="inlineStr">
        <is>
          <t>G9K NS2400kVA - ORANGE</t>
        </is>
      </c>
      <c r="J10136" t="inlineStr">
        <is>
          <t>DUBOIS</t>
        </is>
      </c>
      <c r="K10136" t="inlineStr">
        <is>
          <t>CUIVRE</t>
        </is>
      </c>
      <c r="L10136">
        <f>_xlfn.XLOOKUP(Tableau1[[#This Row],[TYPE DE PIECE]],Tableau4[MATIERE],Tableau4[SHORT TYPE],"",0,1)</f>
        <v/>
      </c>
      <c r="N10136">
        <f>IF(ISERR(FIND("DECOUPE",Tableau1[[#This Row],[DESIGNATION]])),"","NEED REF")</f>
        <v/>
      </c>
    </row>
    <row r="10137">
      <c r="B10137" t="n">
        <v>34403869</v>
      </c>
      <c r="C10137" s="2" t="n">
        <v>41815</v>
      </c>
      <c r="D10137" t="inlineStr">
        <is>
          <t>SPEC</t>
        </is>
      </c>
      <c r="E10137" t="inlineStr">
        <is>
          <t>Barre cuivre 100x10 liaison Q4S  phase 3b</t>
        </is>
      </c>
      <c r="F10137" t="inlineStr">
        <is>
          <t>G9K NS2400kVA - ORANGE</t>
        </is>
      </c>
      <c r="J10137" t="inlineStr">
        <is>
          <t>DUBOIS</t>
        </is>
      </c>
      <c r="K10137" t="inlineStr">
        <is>
          <t>CUIVRE</t>
        </is>
      </c>
      <c r="L10137">
        <f>_xlfn.XLOOKUP(Tableau1[[#This Row],[TYPE DE PIECE]],Tableau4[MATIERE],Tableau4[SHORT TYPE],"",0,1)</f>
        <v/>
      </c>
      <c r="N10137">
        <f>IF(ISERR(FIND("DECOUPE",Tableau1[[#This Row],[DESIGNATION]])),"","NEED REF")</f>
        <v/>
      </c>
    </row>
    <row r="10138">
      <c r="B10138" t="n">
        <v>34403868</v>
      </c>
      <c r="C10138" s="2" t="n">
        <v>41815</v>
      </c>
      <c r="D10138" t="inlineStr">
        <is>
          <t>SPEC</t>
        </is>
      </c>
      <c r="E10138" t="inlineStr">
        <is>
          <t>Barre cuivre 100x10 liaison Q4S  phase 3a</t>
        </is>
      </c>
      <c r="F10138" t="inlineStr">
        <is>
          <t>G9K NS2400kVA - ORANGE</t>
        </is>
      </c>
      <c r="J10138" t="inlineStr">
        <is>
          <t>DUBOIS</t>
        </is>
      </c>
      <c r="K10138" t="inlineStr">
        <is>
          <t>CUIVRE</t>
        </is>
      </c>
      <c r="L10138">
        <f>_xlfn.XLOOKUP(Tableau1[[#This Row],[TYPE DE PIECE]],Tableau4[MATIERE],Tableau4[SHORT TYPE],"",0,1)</f>
        <v/>
      </c>
      <c r="N10138">
        <f>IF(ISERR(FIND("DECOUPE",Tableau1[[#This Row],[DESIGNATION]])),"","NEED REF")</f>
        <v/>
      </c>
    </row>
    <row r="10139">
      <c r="B10139" t="n">
        <v>34403867</v>
      </c>
      <c r="C10139" s="2" t="n">
        <v>41815</v>
      </c>
      <c r="D10139" t="inlineStr">
        <is>
          <t>SPEC</t>
        </is>
      </c>
      <c r="E10139" t="inlineStr">
        <is>
          <t>Barre cuivre 100x10 liaison Q4S  phase 2c</t>
        </is>
      </c>
      <c r="F10139" t="inlineStr">
        <is>
          <t>G9K NS2400kVA - ORANGE</t>
        </is>
      </c>
      <c r="J10139" t="inlineStr">
        <is>
          <t>DUBOIS</t>
        </is>
      </c>
      <c r="K10139" t="inlineStr">
        <is>
          <t>CUIVRE</t>
        </is>
      </c>
      <c r="L10139">
        <f>_xlfn.XLOOKUP(Tableau1[[#This Row],[TYPE DE PIECE]],Tableau4[MATIERE],Tableau4[SHORT TYPE],"",0,1)</f>
        <v/>
      </c>
      <c r="N10139">
        <f>IF(ISERR(FIND("DECOUPE",Tableau1[[#This Row],[DESIGNATION]])),"","NEED REF")</f>
        <v/>
      </c>
    </row>
    <row r="10140">
      <c r="B10140" t="n">
        <v>34403866</v>
      </c>
      <c r="C10140" s="2" t="n">
        <v>41815</v>
      </c>
      <c r="D10140" t="inlineStr">
        <is>
          <t>SPEC</t>
        </is>
      </c>
      <c r="E10140" t="inlineStr">
        <is>
          <t>Barre cuivre 100x10 liaison Q4S  phase 2b</t>
        </is>
      </c>
      <c r="F10140" t="inlineStr">
        <is>
          <t>G9K NS2400kVA - ORANGE</t>
        </is>
      </c>
      <c r="J10140" t="inlineStr">
        <is>
          <t>DUBOIS</t>
        </is>
      </c>
      <c r="K10140" t="inlineStr">
        <is>
          <t>CUIVRE</t>
        </is>
      </c>
      <c r="L10140">
        <f>_xlfn.XLOOKUP(Tableau1[[#This Row],[TYPE DE PIECE]],Tableau4[MATIERE],Tableau4[SHORT TYPE],"",0,1)</f>
        <v/>
      </c>
      <c r="N10140">
        <f>IF(ISERR(FIND("DECOUPE",Tableau1[[#This Row],[DESIGNATION]])),"","NEED REF")</f>
        <v/>
      </c>
    </row>
    <row r="10141">
      <c r="B10141" t="n">
        <v>34403865</v>
      </c>
      <c r="C10141" s="2" t="n">
        <v>41815</v>
      </c>
      <c r="D10141" t="inlineStr">
        <is>
          <t>SPEC</t>
        </is>
      </c>
      <c r="E10141" t="inlineStr">
        <is>
          <t>Barre cuivre 100x10 liaison Q4S  phase 2a</t>
        </is>
      </c>
      <c r="F10141" t="inlineStr">
        <is>
          <t>G9K NS2400kVA - ORANGE</t>
        </is>
      </c>
      <c r="J10141" t="inlineStr">
        <is>
          <t>DUBOIS</t>
        </is>
      </c>
      <c r="K10141" t="inlineStr">
        <is>
          <t>CUIVRE</t>
        </is>
      </c>
      <c r="L10141">
        <f>_xlfn.XLOOKUP(Tableau1[[#This Row],[TYPE DE PIECE]],Tableau4[MATIERE],Tableau4[SHORT TYPE],"",0,1)</f>
        <v/>
      </c>
      <c r="N10141">
        <f>IF(ISERR(FIND("DECOUPE",Tableau1[[#This Row],[DESIGNATION]])),"","NEED REF")</f>
        <v/>
      </c>
    </row>
    <row r="10142">
      <c r="B10142" t="n">
        <v>34403864</v>
      </c>
      <c r="C10142" s="2" t="n">
        <v>41815</v>
      </c>
      <c r="D10142" t="inlineStr">
        <is>
          <t>SPEC</t>
        </is>
      </c>
      <c r="E10142" t="inlineStr">
        <is>
          <t>Barre cuivre 100x10 liaison_2 Q4S  phase 1c</t>
        </is>
      </c>
      <c r="F10142" t="inlineStr">
        <is>
          <t>G9K NS2400kVA - ORANGE</t>
        </is>
      </c>
      <c r="J10142" t="inlineStr">
        <is>
          <t>DUBOIS</t>
        </is>
      </c>
      <c r="K10142" t="inlineStr">
        <is>
          <t>CUIVRE</t>
        </is>
      </c>
      <c r="L10142">
        <f>_xlfn.XLOOKUP(Tableau1[[#This Row],[TYPE DE PIECE]],Tableau4[MATIERE],Tableau4[SHORT TYPE],"",0,1)</f>
        <v/>
      </c>
      <c r="N10142">
        <f>IF(ISERR(FIND("DECOUPE",Tableau1[[#This Row],[DESIGNATION]])),"","NEED REF")</f>
        <v/>
      </c>
    </row>
    <row r="10143">
      <c r="B10143" t="n">
        <v>34403863</v>
      </c>
      <c r="C10143" s="2" t="n">
        <v>41815</v>
      </c>
      <c r="D10143" t="inlineStr">
        <is>
          <t>SPEC</t>
        </is>
      </c>
      <c r="E10143" t="inlineStr">
        <is>
          <t>Barre cuivre 100x10 liaison_2 Q4S  phase 1b</t>
        </is>
      </c>
      <c r="F10143" t="inlineStr">
        <is>
          <t>G9K NS2400kVA - ORANGE</t>
        </is>
      </c>
      <c r="J10143" t="inlineStr">
        <is>
          <t>DUBOIS</t>
        </is>
      </c>
      <c r="K10143" t="inlineStr">
        <is>
          <t>CUIVRE</t>
        </is>
      </c>
      <c r="L10143">
        <f>_xlfn.XLOOKUP(Tableau1[[#This Row],[TYPE DE PIECE]],Tableau4[MATIERE],Tableau4[SHORT TYPE],"",0,1)</f>
        <v/>
      </c>
      <c r="N10143">
        <f>IF(ISERR(FIND("DECOUPE",Tableau1[[#This Row],[DESIGNATION]])),"","NEED REF")</f>
        <v/>
      </c>
    </row>
    <row r="10144">
      <c r="B10144" t="n">
        <v>34403862</v>
      </c>
      <c r="C10144" s="2" t="n">
        <v>41815</v>
      </c>
      <c r="D10144" t="inlineStr">
        <is>
          <t>SPEC</t>
        </is>
      </c>
      <c r="E10144" t="inlineStr">
        <is>
          <t>Barre cuivre 100x10 liaison_2 Q4S  phase 1a</t>
        </is>
      </c>
      <c r="F10144" t="inlineStr">
        <is>
          <t>G9K NS2400kVA - ORANGE</t>
        </is>
      </c>
      <c r="J10144" t="inlineStr">
        <is>
          <t>DUBOIS</t>
        </is>
      </c>
      <c r="K10144" t="inlineStr">
        <is>
          <t>CUIVRE</t>
        </is>
      </c>
      <c r="L10144">
        <f>_xlfn.XLOOKUP(Tableau1[[#This Row],[TYPE DE PIECE]],Tableau4[MATIERE],Tableau4[SHORT TYPE],"",0,1)</f>
        <v/>
      </c>
      <c r="N10144">
        <f>IF(ISERR(FIND("DECOUPE",Tableau1[[#This Row],[DESIGNATION]])),"","NEED REF")</f>
        <v/>
      </c>
    </row>
    <row r="10145">
      <c r="B10145" t="n">
        <v>34403861</v>
      </c>
      <c r="C10145" s="2" t="n">
        <v>41815</v>
      </c>
      <c r="D10145" t="inlineStr">
        <is>
          <t>SPEC</t>
        </is>
      </c>
      <c r="E10145" t="inlineStr">
        <is>
          <t>Barre cuivre 100x10 liaison Q4S  phase 1c</t>
        </is>
      </c>
      <c r="F10145" t="inlineStr">
        <is>
          <t>G9K NS2400kVA - ORANGE</t>
        </is>
      </c>
      <c r="J10145" t="inlineStr">
        <is>
          <t>DUBOIS</t>
        </is>
      </c>
      <c r="K10145" t="inlineStr">
        <is>
          <t>CUIVRE</t>
        </is>
      </c>
      <c r="L10145">
        <f>_xlfn.XLOOKUP(Tableau1[[#This Row],[TYPE DE PIECE]],Tableau4[MATIERE],Tableau4[SHORT TYPE],"",0,1)</f>
        <v/>
      </c>
      <c r="N10145">
        <f>IF(ISERR(FIND("DECOUPE",Tableau1[[#This Row],[DESIGNATION]])),"","NEED REF")</f>
        <v/>
      </c>
    </row>
    <row r="10146">
      <c r="B10146" t="n">
        <v>34403860</v>
      </c>
      <c r="C10146" s="2" t="n">
        <v>41815</v>
      </c>
      <c r="D10146" t="inlineStr">
        <is>
          <t>SPEC</t>
        </is>
      </c>
      <c r="E10146" t="inlineStr">
        <is>
          <t>Barre cuivre 100x10 liaison Q4S  phase 1b</t>
        </is>
      </c>
      <c r="F10146" t="inlineStr">
        <is>
          <t>G9K NS2400kVA - ORANGE</t>
        </is>
      </c>
      <c r="J10146" t="inlineStr">
        <is>
          <t>DUBOIS</t>
        </is>
      </c>
      <c r="K10146" t="inlineStr">
        <is>
          <t>CUIVRE</t>
        </is>
      </c>
      <c r="L10146">
        <f>_xlfn.XLOOKUP(Tableau1[[#This Row],[TYPE DE PIECE]],Tableau4[MATIERE],Tableau4[SHORT TYPE],"",0,1)</f>
        <v/>
      </c>
      <c r="N10146">
        <f>IF(ISERR(FIND("DECOUPE",Tableau1[[#This Row],[DESIGNATION]])),"","NEED REF")</f>
        <v/>
      </c>
    </row>
    <row r="10147">
      <c r="B10147" t="n">
        <v>34403859</v>
      </c>
      <c r="C10147" s="2" t="n">
        <v>41815</v>
      </c>
      <c r="D10147" t="inlineStr">
        <is>
          <t>SPEC</t>
        </is>
      </c>
      <c r="E10147" t="inlineStr">
        <is>
          <t>Barre cuivre 100x10 liaison Q4S  phase 1a</t>
        </is>
      </c>
      <c r="F10147" t="inlineStr">
        <is>
          <t>G9K NS2400kVA - ORANGE</t>
        </is>
      </c>
      <c r="J10147" t="inlineStr">
        <is>
          <t>DUBOIS</t>
        </is>
      </c>
      <c r="K10147" t="inlineStr">
        <is>
          <t>CUIVRE</t>
        </is>
      </c>
      <c r="L10147">
        <f>_xlfn.XLOOKUP(Tableau1[[#This Row],[TYPE DE PIECE]],Tableau4[MATIERE],Tableau4[SHORT TYPE],"",0,1)</f>
        <v/>
      </c>
      <c r="N10147">
        <f>IF(ISERR(FIND("DECOUPE",Tableau1[[#This Row],[DESIGNATION]])),"","NEED REF")</f>
        <v/>
      </c>
    </row>
    <row r="10148">
      <c r="B10148" t="n">
        <v>34403858</v>
      </c>
      <c r="C10148" s="2" t="n">
        <v>41815</v>
      </c>
      <c r="D10148" t="inlineStr">
        <is>
          <t>SPEC</t>
        </is>
      </c>
      <c r="E10148" t="inlineStr">
        <is>
          <t>Barre cuivre 100x10 liaison GAB  phase 3c</t>
        </is>
      </c>
      <c r="F10148" t="inlineStr">
        <is>
          <t>G9K NS2400kVA - ORANGE</t>
        </is>
      </c>
      <c r="J10148" t="inlineStr">
        <is>
          <t>DUBOIS</t>
        </is>
      </c>
      <c r="K10148" t="inlineStr">
        <is>
          <t>CUIVRE</t>
        </is>
      </c>
      <c r="L10148">
        <f>_xlfn.XLOOKUP(Tableau1[[#This Row],[TYPE DE PIECE]],Tableau4[MATIERE],Tableau4[SHORT TYPE],"",0,1)</f>
        <v/>
      </c>
      <c r="N10148">
        <f>IF(ISERR(FIND("DECOUPE",Tableau1[[#This Row],[DESIGNATION]])),"","NEED REF")</f>
        <v/>
      </c>
    </row>
    <row r="10149">
      <c r="B10149" t="n">
        <v>34403857</v>
      </c>
      <c r="C10149" s="2" t="n">
        <v>41815</v>
      </c>
      <c r="D10149" t="inlineStr">
        <is>
          <t>SPEC</t>
        </is>
      </c>
      <c r="E10149" t="inlineStr">
        <is>
          <t>Barre cuivre 100x10 liaison GAB  phase 3b</t>
        </is>
      </c>
      <c r="F10149" t="inlineStr">
        <is>
          <t>G9K NS2400kVA - ORANGE</t>
        </is>
      </c>
      <c r="J10149" t="inlineStr">
        <is>
          <t>DUBOIS</t>
        </is>
      </c>
      <c r="K10149" t="inlineStr">
        <is>
          <t>CUIVRE</t>
        </is>
      </c>
      <c r="L10149">
        <f>_xlfn.XLOOKUP(Tableau1[[#This Row],[TYPE DE PIECE]],Tableau4[MATIERE],Tableau4[SHORT TYPE],"",0,1)</f>
        <v/>
      </c>
      <c r="N10149">
        <f>IF(ISERR(FIND("DECOUPE",Tableau1[[#This Row],[DESIGNATION]])),"","NEED REF")</f>
        <v/>
      </c>
    </row>
    <row r="10150">
      <c r="B10150" t="n">
        <v>34403856</v>
      </c>
      <c r="C10150" s="2" t="n">
        <v>41815</v>
      </c>
      <c r="D10150" t="inlineStr">
        <is>
          <t>SPEC</t>
        </is>
      </c>
      <c r="E10150" t="inlineStr">
        <is>
          <t>Barre cuivre 100x10 liaison GAB  phase 3a</t>
        </is>
      </c>
      <c r="F10150" t="inlineStr">
        <is>
          <t>G9K NS2400kVA - ORANGE</t>
        </is>
      </c>
      <c r="J10150" t="inlineStr">
        <is>
          <t>DUBOIS</t>
        </is>
      </c>
      <c r="K10150" t="inlineStr">
        <is>
          <t>CUIVRE</t>
        </is>
      </c>
      <c r="L10150">
        <f>_xlfn.XLOOKUP(Tableau1[[#This Row],[TYPE DE PIECE]],Tableau4[MATIERE],Tableau4[SHORT TYPE],"",0,1)</f>
        <v/>
      </c>
      <c r="N10150">
        <f>IF(ISERR(FIND("DECOUPE",Tableau1[[#This Row],[DESIGNATION]])),"","NEED REF")</f>
        <v/>
      </c>
    </row>
    <row r="10151">
      <c r="B10151" t="n">
        <v>34403855</v>
      </c>
      <c r="C10151" s="2" t="n">
        <v>41815</v>
      </c>
      <c r="D10151" t="inlineStr">
        <is>
          <t>SPEC</t>
        </is>
      </c>
      <c r="E10151" t="inlineStr">
        <is>
          <t>Barre cuivre 100x10 liaison GAB  phase 2c</t>
        </is>
      </c>
      <c r="F10151" t="inlineStr">
        <is>
          <t>G9K NS2400kVA - ORANGE</t>
        </is>
      </c>
      <c r="J10151" t="inlineStr">
        <is>
          <t>DUBOIS</t>
        </is>
      </c>
      <c r="K10151" t="inlineStr">
        <is>
          <t>CUIVRE</t>
        </is>
      </c>
      <c r="L10151">
        <f>_xlfn.XLOOKUP(Tableau1[[#This Row],[TYPE DE PIECE]],Tableau4[MATIERE],Tableau4[SHORT TYPE],"",0,1)</f>
        <v/>
      </c>
      <c r="N10151">
        <f>IF(ISERR(FIND("DECOUPE",Tableau1[[#This Row],[DESIGNATION]])),"","NEED REF")</f>
        <v/>
      </c>
    </row>
    <row r="10152">
      <c r="B10152" t="n">
        <v>34403854</v>
      </c>
      <c r="C10152" s="2" t="n">
        <v>41815</v>
      </c>
      <c r="D10152" t="inlineStr">
        <is>
          <t>SPEC</t>
        </is>
      </c>
      <c r="E10152" t="inlineStr">
        <is>
          <t>Barre cuivre 100x10 liaison GAB  phase 2b</t>
        </is>
      </c>
      <c r="F10152" t="inlineStr">
        <is>
          <t>G9K NS2400kVA - ORANGE</t>
        </is>
      </c>
      <c r="J10152" t="inlineStr">
        <is>
          <t>DUBOIS</t>
        </is>
      </c>
      <c r="K10152" t="inlineStr">
        <is>
          <t>CUIVRE</t>
        </is>
      </c>
      <c r="L10152">
        <f>_xlfn.XLOOKUP(Tableau1[[#This Row],[TYPE DE PIECE]],Tableau4[MATIERE],Tableau4[SHORT TYPE],"",0,1)</f>
        <v/>
      </c>
      <c r="N10152">
        <f>IF(ISERR(FIND("DECOUPE",Tableau1[[#This Row],[DESIGNATION]])),"","NEED REF")</f>
        <v/>
      </c>
    </row>
    <row r="10153">
      <c r="B10153" t="n">
        <v>34403853</v>
      </c>
      <c r="C10153" s="2" t="n">
        <v>41815</v>
      </c>
      <c r="D10153" t="inlineStr">
        <is>
          <t>SPEC</t>
        </is>
      </c>
      <c r="E10153" t="inlineStr">
        <is>
          <t>Barre cuivre 100x10 liaison GAB  phase 2a</t>
        </is>
      </c>
      <c r="F10153" t="inlineStr">
        <is>
          <t>G9K NS2400kVA - ORANGE</t>
        </is>
      </c>
      <c r="J10153" t="inlineStr">
        <is>
          <t>DUBOIS</t>
        </is>
      </c>
      <c r="K10153" t="inlineStr">
        <is>
          <t>CUIVRE</t>
        </is>
      </c>
      <c r="L10153">
        <f>_xlfn.XLOOKUP(Tableau1[[#This Row],[TYPE DE PIECE]],Tableau4[MATIERE],Tableau4[SHORT TYPE],"",0,1)</f>
        <v/>
      </c>
      <c r="N10153">
        <f>IF(ISERR(FIND("DECOUPE",Tableau1[[#This Row],[DESIGNATION]])),"","NEED REF")</f>
        <v/>
      </c>
    </row>
    <row r="10154">
      <c r="B10154" t="n">
        <v>34403852</v>
      </c>
      <c r="C10154" s="2" t="n">
        <v>41815</v>
      </c>
      <c r="D10154" t="inlineStr">
        <is>
          <t>SPEC</t>
        </is>
      </c>
      <c r="E10154" t="inlineStr">
        <is>
          <t>Barre cuivre 100x10 liaison GAB  phase 1c</t>
        </is>
      </c>
      <c r="F10154" t="inlineStr">
        <is>
          <t>G9K NS2400kVA - ORANGE</t>
        </is>
      </c>
      <c r="J10154" t="inlineStr">
        <is>
          <t>DUBOIS</t>
        </is>
      </c>
      <c r="K10154" t="inlineStr">
        <is>
          <t>CUIVRE</t>
        </is>
      </c>
      <c r="L10154">
        <f>_xlfn.XLOOKUP(Tableau1[[#This Row],[TYPE DE PIECE]],Tableau4[MATIERE],Tableau4[SHORT TYPE],"",0,1)</f>
        <v/>
      </c>
      <c r="N10154">
        <f>IF(ISERR(FIND("DECOUPE",Tableau1[[#This Row],[DESIGNATION]])),"","NEED REF")</f>
        <v/>
      </c>
    </row>
    <row r="10155">
      <c r="B10155" t="n">
        <v>34403851</v>
      </c>
      <c r="C10155" s="2" t="n">
        <v>41815</v>
      </c>
      <c r="D10155" t="inlineStr">
        <is>
          <t>SPEC</t>
        </is>
      </c>
      <c r="E10155" t="inlineStr">
        <is>
          <t>Barre cuivre 100x10 liaison GAB  phase 1b</t>
        </is>
      </c>
      <c r="F10155" t="inlineStr">
        <is>
          <t>G9K NS2400kVA - ORANGE</t>
        </is>
      </c>
      <c r="J10155" t="inlineStr">
        <is>
          <t>DUBOIS</t>
        </is>
      </c>
      <c r="K10155" t="inlineStr">
        <is>
          <t>CUIVRE</t>
        </is>
      </c>
      <c r="L10155">
        <f>_xlfn.XLOOKUP(Tableau1[[#This Row],[TYPE DE PIECE]],Tableau4[MATIERE],Tableau4[SHORT TYPE],"",0,1)</f>
        <v/>
      </c>
      <c r="N10155">
        <f>IF(ISERR(FIND("DECOUPE",Tableau1[[#This Row],[DESIGNATION]])),"","NEED REF")</f>
        <v/>
      </c>
    </row>
    <row r="10156">
      <c r="B10156" t="n">
        <v>34403850</v>
      </c>
      <c r="C10156" s="2" t="n">
        <v>41815</v>
      </c>
      <c r="D10156" t="inlineStr">
        <is>
          <t>SPEC</t>
        </is>
      </c>
      <c r="E10156" t="inlineStr">
        <is>
          <t>Barre cuivre 100x10 liaison GAB  phase 1a</t>
        </is>
      </c>
      <c r="F10156" t="inlineStr">
        <is>
          <t>G9K NS2400kVA - ORANGE</t>
        </is>
      </c>
      <c r="J10156" t="inlineStr">
        <is>
          <t>DUBOIS</t>
        </is>
      </c>
      <c r="K10156" t="inlineStr">
        <is>
          <t>CUIVRE</t>
        </is>
      </c>
      <c r="L10156">
        <f>_xlfn.XLOOKUP(Tableau1[[#This Row],[TYPE DE PIECE]],Tableau4[MATIERE],Tableau4[SHORT TYPE],"",0,1)</f>
        <v/>
      </c>
      <c r="N10156">
        <f>IF(ISERR(FIND("DECOUPE",Tableau1[[#This Row],[DESIGNATION]])),"","NEED REF")</f>
        <v/>
      </c>
    </row>
    <row r="10157">
      <c r="B10157" t="n">
        <v>34403849</v>
      </c>
      <c r="C10157" s="2" t="n">
        <v>41815</v>
      </c>
      <c r="D10157" t="inlineStr">
        <is>
          <t>SPEC</t>
        </is>
      </c>
      <c r="E10157" t="inlineStr">
        <is>
          <t>Barre cuivre 120X10 phase 3b sortie Q4S</t>
        </is>
      </c>
      <c r="F10157" t="inlineStr">
        <is>
          <t>G9K NS2400kVA - ORANGE</t>
        </is>
      </c>
      <c r="J10157" t="inlineStr">
        <is>
          <t>DUBOIS</t>
        </is>
      </c>
      <c r="K10157" t="inlineStr">
        <is>
          <t>CUIVRE</t>
        </is>
      </c>
      <c r="L10157">
        <f>_xlfn.XLOOKUP(Tableau1[[#This Row],[TYPE DE PIECE]],Tableau4[MATIERE],Tableau4[SHORT TYPE],"",0,1)</f>
        <v/>
      </c>
      <c r="N10157">
        <f>IF(ISERR(FIND("DECOUPE",Tableau1[[#This Row],[DESIGNATION]])),"","NEED REF")</f>
        <v/>
      </c>
    </row>
    <row r="10158">
      <c r="B10158" t="n">
        <v>34403848</v>
      </c>
      <c r="C10158" s="2" t="n">
        <v>41815</v>
      </c>
      <c r="D10158" t="inlineStr">
        <is>
          <t>SPEC</t>
        </is>
      </c>
      <c r="E10158" t="inlineStr">
        <is>
          <t>Barre cuivre 120X10 phase 3a sortie Q4S</t>
        </is>
      </c>
      <c r="F10158" t="inlineStr">
        <is>
          <t>G9K NS2400kVA - ORANGE</t>
        </is>
      </c>
      <c r="J10158" t="inlineStr">
        <is>
          <t>DUBOIS</t>
        </is>
      </c>
      <c r="K10158" t="inlineStr">
        <is>
          <t>CUIVRE</t>
        </is>
      </c>
      <c r="L10158">
        <f>_xlfn.XLOOKUP(Tableau1[[#This Row],[TYPE DE PIECE]],Tableau4[MATIERE],Tableau4[SHORT TYPE],"",0,1)</f>
        <v/>
      </c>
      <c r="N10158">
        <f>IF(ISERR(FIND("DECOUPE",Tableau1[[#This Row],[DESIGNATION]])),"","NEED REF")</f>
        <v/>
      </c>
    </row>
    <row r="10159">
      <c r="B10159" t="n">
        <v>34403847</v>
      </c>
      <c r="C10159" s="2" t="n">
        <v>41815</v>
      </c>
      <c r="D10159" t="inlineStr">
        <is>
          <t>SPEC</t>
        </is>
      </c>
      <c r="E10159" t="inlineStr">
        <is>
          <t>Barre cuivre 120X10 phase 2b sortie Q4S</t>
        </is>
      </c>
      <c r="F10159" t="inlineStr">
        <is>
          <t>G9K NS2400kVA - ORANGE</t>
        </is>
      </c>
      <c r="J10159" t="inlineStr">
        <is>
          <t>DUBOIS</t>
        </is>
      </c>
      <c r="K10159" t="inlineStr">
        <is>
          <t>CUIVRE</t>
        </is>
      </c>
      <c r="L10159">
        <f>_xlfn.XLOOKUP(Tableau1[[#This Row],[TYPE DE PIECE]],Tableau4[MATIERE],Tableau4[SHORT TYPE],"",0,1)</f>
        <v/>
      </c>
      <c r="N10159">
        <f>IF(ISERR(FIND("DECOUPE",Tableau1[[#This Row],[DESIGNATION]])),"","NEED REF")</f>
        <v/>
      </c>
    </row>
    <row r="10160">
      <c r="B10160" t="n">
        <v>34403846</v>
      </c>
      <c r="C10160" s="2" t="n">
        <v>41815</v>
      </c>
      <c r="D10160" t="inlineStr">
        <is>
          <t>SPEC</t>
        </is>
      </c>
      <c r="E10160" t="inlineStr">
        <is>
          <t>Barre cuivre 120X10 phase 2a sortie Q4S</t>
        </is>
      </c>
      <c r="F10160" t="inlineStr">
        <is>
          <t>G9K NS2400kVA - ORANGE</t>
        </is>
      </c>
      <c r="J10160" t="inlineStr">
        <is>
          <t>DUBOIS</t>
        </is>
      </c>
      <c r="K10160" t="inlineStr">
        <is>
          <t>CUIVRE</t>
        </is>
      </c>
      <c r="L10160">
        <f>_xlfn.XLOOKUP(Tableau1[[#This Row],[TYPE DE PIECE]],Tableau4[MATIERE],Tableau4[SHORT TYPE],"",0,1)</f>
        <v/>
      </c>
      <c r="N10160">
        <f>IF(ISERR(FIND("DECOUPE",Tableau1[[#This Row],[DESIGNATION]])),"","NEED REF")</f>
        <v/>
      </c>
    </row>
    <row r="10161">
      <c r="B10161" t="n">
        <v>34403845</v>
      </c>
      <c r="C10161" s="2" t="n">
        <v>41815</v>
      </c>
      <c r="D10161" t="inlineStr">
        <is>
          <t>SPEC</t>
        </is>
      </c>
      <c r="E10161" t="inlineStr">
        <is>
          <t>Barre cuivre 120X10 phase 1b sortie Q4S</t>
        </is>
      </c>
      <c r="F10161" t="inlineStr">
        <is>
          <t>G9K NS2400kVA - ORANGE</t>
        </is>
      </c>
      <c r="J10161" t="inlineStr">
        <is>
          <t>DUBOIS</t>
        </is>
      </c>
      <c r="K10161" t="inlineStr">
        <is>
          <t>CUIVRE</t>
        </is>
      </c>
      <c r="L10161">
        <f>_xlfn.XLOOKUP(Tableau1[[#This Row],[TYPE DE PIECE]],Tableau4[MATIERE],Tableau4[SHORT TYPE],"",0,1)</f>
        <v/>
      </c>
      <c r="N10161">
        <f>IF(ISERR(FIND("DECOUPE",Tableau1[[#This Row],[DESIGNATION]])),"","NEED REF")</f>
        <v/>
      </c>
    </row>
    <row r="10162">
      <c r="B10162" t="n">
        <v>34403844</v>
      </c>
      <c r="C10162" s="2" t="n">
        <v>41815</v>
      </c>
      <c r="D10162" t="inlineStr">
        <is>
          <t>SPEC</t>
        </is>
      </c>
      <c r="E10162" t="inlineStr">
        <is>
          <t>Barre cuivre 120X10 phase 1a sortie Q4S</t>
        </is>
      </c>
      <c r="F10162" t="inlineStr">
        <is>
          <t>G9K NS2400kVA - ORANGE</t>
        </is>
      </c>
      <c r="J10162" t="inlineStr">
        <is>
          <t>DUBOIS</t>
        </is>
      </c>
      <c r="K10162" t="inlineStr">
        <is>
          <t>CUIVRE</t>
        </is>
      </c>
      <c r="L10162">
        <f>_xlfn.XLOOKUP(Tableau1[[#This Row],[TYPE DE PIECE]],Tableau4[MATIERE],Tableau4[SHORT TYPE],"",0,1)</f>
        <v/>
      </c>
      <c r="N10162">
        <f>IF(ISERR(FIND("DECOUPE",Tableau1[[#This Row],[DESIGNATION]])),"","NEED REF")</f>
        <v/>
      </c>
    </row>
    <row r="10163">
      <c r="B10163" t="n">
        <v>34403843</v>
      </c>
      <c r="C10163" s="2" t="n">
        <v>41815</v>
      </c>
      <c r="D10163" t="inlineStr">
        <is>
          <t>SPEC</t>
        </is>
      </c>
      <c r="E10163" t="inlineStr">
        <is>
          <t>KIT CABLES DE PUISSANCE G7K 1MVA</t>
        </is>
      </c>
      <c r="F10163" t="inlineStr">
        <is>
          <t>G7K 1MVA</t>
        </is>
      </c>
      <c r="J10163" t="inlineStr">
        <is>
          <t>DUBOIS</t>
        </is>
      </c>
      <c r="K10163" t="inlineStr">
        <is>
          <t>CABLES</t>
        </is>
      </c>
      <c r="L10163">
        <f>_xlfn.XLOOKUP(Tableau1[[#This Row],[TYPE DE PIECE]],Tableau4[MATIERE],Tableau4[SHORT TYPE],"",0,1)</f>
        <v/>
      </c>
      <c r="N10163">
        <f>IF(ISERR(FIND("DECOUPE",Tableau1[[#This Row],[DESIGNATION]])),"","NEED REF")</f>
        <v/>
      </c>
    </row>
    <row r="10164">
      <c r="B10164" t="n">
        <v>34403842</v>
      </c>
      <c r="C10164" s="2" t="n">
        <v>41803</v>
      </c>
      <c r="D10164" t="inlineStr">
        <is>
          <t>NOM</t>
        </is>
      </c>
      <c r="E10164" t="inlineStr">
        <is>
          <t>LGD GAINE DE RACCORDEMENT G7K 1MVA</t>
        </is>
      </c>
      <c r="F10164" t="inlineStr">
        <is>
          <t>G7K 1MVA</t>
        </is>
      </c>
      <c r="J10164" t="inlineStr">
        <is>
          <t>MONGELLI</t>
        </is>
      </c>
      <c r="L10164">
        <f>_xlfn.XLOOKUP(Tableau1[[#This Row],[TYPE DE PIECE]],Tableau4[MATIERE],Tableau4[SHORT TYPE],"",0,1)</f>
        <v/>
      </c>
      <c r="N10164">
        <f>IF(ISERR(FIND("DECOUPE",Tableau1[[#This Row],[DESIGNATION]])),"","NEED REF")</f>
        <v/>
      </c>
    </row>
    <row r="10165">
      <c r="B10165" t="n">
        <v>34403841</v>
      </c>
      <c r="C10165" s="2" t="n">
        <v>41803</v>
      </c>
      <c r="D10165" t="inlineStr">
        <is>
          <t>SPEC</t>
        </is>
      </c>
      <c r="E10165" t="inlineStr">
        <is>
          <t>CABLES AES</t>
        </is>
      </c>
      <c r="F10165" t="inlineStr">
        <is>
          <t>AES</t>
        </is>
      </c>
      <c r="J10165" t="inlineStr">
        <is>
          <t>PLANTIER</t>
        </is>
      </c>
      <c r="K10165" t="inlineStr">
        <is>
          <t>CABLES</t>
        </is>
      </c>
      <c r="L10165">
        <f>_xlfn.XLOOKUP(Tableau1[[#This Row],[TYPE DE PIECE]],Tableau4[MATIERE],Tableau4[SHORT TYPE],"",0,1)</f>
        <v/>
      </c>
      <c r="N10165">
        <f>IF(ISERR(FIND("DECOUPE",Tableau1[[#This Row],[DESIGNATION]])),"","NEED REF")</f>
        <v/>
      </c>
    </row>
    <row r="10166">
      <c r="B10166" t="n">
        <v>34403840</v>
      </c>
      <c r="C10166" s="2" t="n">
        <v>41827</v>
      </c>
      <c r="D10166" t="inlineStr">
        <is>
          <t>SPEC</t>
        </is>
      </c>
      <c r="E10166" t="inlineStr">
        <is>
          <t>COPPER BAR CS R1</t>
        </is>
      </c>
      <c r="F10166" t="inlineStr">
        <is>
          <t>PROTO STS400 FLAT</t>
        </is>
      </c>
      <c r="J10166" t="inlineStr">
        <is>
          <t>MATRION</t>
        </is>
      </c>
      <c r="K10166" t="inlineStr">
        <is>
          <t>CUIVRE</t>
        </is>
      </c>
      <c r="L10166">
        <f>_xlfn.XLOOKUP(Tableau1[[#This Row],[TYPE DE PIECE]],Tableau4[MATIERE],Tableau4[SHORT TYPE],"",0,1)</f>
        <v/>
      </c>
      <c r="N10166">
        <f>IF(ISERR(FIND("DECOUPE",Tableau1[[#This Row],[DESIGNATION]])),"","NEED REF")</f>
        <v/>
      </c>
    </row>
    <row r="10167">
      <c r="B10167" t="n">
        <v>34403839</v>
      </c>
      <c r="C10167" s="2" t="n"/>
      <c r="E10167" t="inlineStr">
        <is>
          <t>PROTO PROE</t>
        </is>
      </c>
      <c r="F10167" t="inlineStr">
        <is>
          <t>PROTO STS400 FLAT</t>
        </is>
      </c>
      <c r="J10167" t="inlineStr">
        <is>
          <t>MATRION</t>
        </is>
      </c>
      <c r="L10167">
        <f>_xlfn.XLOOKUP(Tableau1[[#This Row],[TYPE DE PIECE]],Tableau4[MATIERE],Tableau4[SHORT TYPE],"",0,1)</f>
        <v/>
      </c>
      <c r="N10167">
        <f>IF(ISERR(FIND("DECOUPE",Tableau1[[#This Row],[DESIGNATION]])),"","NEED REF")</f>
        <v/>
      </c>
    </row>
    <row r="10168">
      <c r="B10168" t="n">
        <v>34403838</v>
      </c>
      <c r="C10168" s="2" t="n"/>
      <c r="E10168" t="inlineStr">
        <is>
          <t>PROTO PROE</t>
        </is>
      </c>
      <c r="F10168" t="inlineStr">
        <is>
          <t>PROTO STS400 FLAT</t>
        </is>
      </c>
      <c r="J10168" t="inlineStr">
        <is>
          <t>MATRION</t>
        </is>
      </c>
      <c r="L10168">
        <f>_xlfn.XLOOKUP(Tableau1[[#This Row],[TYPE DE PIECE]],Tableau4[MATIERE],Tableau4[SHORT TYPE],"",0,1)</f>
        <v/>
      </c>
      <c r="N10168">
        <f>IF(ISERR(FIND("DECOUPE",Tableau1[[#This Row],[DESIGNATION]])),"","NEED REF")</f>
        <v/>
      </c>
    </row>
    <row r="10169">
      <c r="B10169" t="n">
        <v>34403837</v>
      </c>
      <c r="C10169" s="2" t="n"/>
      <c r="E10169" t="inlineStr">
        <is>
          <t>PROTO PROE</t>
        </is>
      </c>
      <c r="F10169" t="inlineStr">
        <is>
          <t>PROTO STS400 FLAT</t>
        </is>
      </c>
      <c r="J10169" t="inlineStr">
        <is>
          <t>MATRION</t>
        </is>
      </c>
      <c r="L10169">
        <f>_xlfn.XLOOKUP(Tableau1[[#This Row],[TYPE DE PIECE]],Tableau4[MATIERE],Tableau4[SHORT TYPE],"",0,1)</f>
        <v/>
      </c>
      <c r="N10169">
        <f>IF(ISERR(FIND("DECOUPE",Tableau1[[#This Row],[DESIGNATION]])),"","NEED REF")</f>
        <v/>
      </c>
    </row>
    <row r="10170">
      <c r="B10170" t="n">
        <v>34403836</v>
      </c>
      <c r="C10170" s="2" t="n"/>
      <c r="E10170" t="inlineStr">
        <is>
          <t>PROTO PROE</t>
        </is>
      </c>
      <c r="F10170" t="inlineStr">
        <is>
          <t>PROTO STS400 FLAT</t>
        </is>
      </c>
      <c r="J10170" t="inlineStr">
        <is>
          <t>MATRION</t>
        </is>
      </c>
      <c r="L10170">
        <f>_xlfn.XLOOKUP(Tableau1[[#This Row],[TYPE DE PIECE]],Tableau4[MATIERE],Tableau4[SHORT TYPE],"",0,1)</f>
        <v/>
      </c>
      <c r="N10170">
        <f>IF(ISERR(FIND("DECOUPE",Tableau1[[#This Row],[DESIGNATION]])),"","NEED REF")</f>
        <v/>
      </c>
    </row>
    <row r="10171">
      <c r="B10171" t="n">
        <v>34403835</v>
      </c>
      <c r="C10171" s="2" t="n">
        <v>41827</v>
      </c>
      <c r="D10171" t="inlineStr">
        <is>
          <t>SPEC</t>
        </is>
      </c>
      <c r="E10171" t="inlineStr">
        <is>
          <t>COPPER BAR AVAL CS</t>
        </is>
      </c>
      <c r="F10171" t="inlineStr">
        <is>
          <t>STS400 FLAT</t>
        </is>
      </c>
      <c r="J10171" t="inlineStr">
        <is>
          <t>MATRION</t>
        </is>
      </c>
      <c r="K10171" t="inlineStr">
        <is>
          <t>CUIVRE</t>
        </is>
      </c>
      <c r="L10171">
        <f>_xlfn.XLOOKUP(Tableau1[[#This Row],[TYPE DE PIECE]],Tableau4[MATIERE],Tableau4[SHORT TYPE],"",0,1)</f>
        <v/>
      </c>
      <c r="N10171">
        <f>IF(ISERR(FIND("DECOUPE",Tableau1[[#This Row],[DESIGNATION]])),"","NEED REF")</f>
        <v/>
      </c>
    </row>
    <row r="10172">
      <c r="B10172" t="n">
        <v>34403834</v>
      </c>
      <c r="C10172" s="2" t="n">
        <v>41803</v>
      </c>
      <c r="D10172" t="inlineStr">
        <is>
          <t>SPEC</t>
        </is>
      </c>
      <c r="E10172" t="inlineStr">
        <is>
          <t>Barre de terre cellule raccordement haut</t>
        </is>
      </c>
      <c r="F10172" t="inlineStr">
        <is>
          <t>G7K</t>
        </is>
      </c>
      <c r="J10172" t="inlineStr">
        <is>
          <t>DUBOIS</t>
        </is>
      </c>
      <c r="K10172" t="inlineStr">
        <is>
          <t>CUIVRE</t>
        </is>
      </c>
      <c r="L10172">
        <f>_xlfn.XLOOKUP(Tableau1[[#This Row],[TYPE DE PIECE]],Tableau4[MATIERE],Tableau4[SHORT TYPE],"",0,1)</f>
        <v/>
      </c>
      <c r="N10172">
        <f>IF(ISERR(FIND("DECOUPE",Tableau1[[#This Row],[DESIGNATION]])),"","NEED REF")</f>
        <v/>
      </c>
    </row>
    <row r="10173">
      <c r="B10173" t="n">
        <v>34403833</v>
      </c>
      <c r="C10173" s="2" t="n">
        <v>41802</v>
      </c>
      <c r="D10173" t="inlineStr">
        <is>
          <t>SPEC</t>
        </is>
      </c>
      <c r="E10173" t="inlineStr">
        <is>
          <t>BUSBAR L3 STEP 100 - CABS APP - PROFIL ALU PERFO</t>
        </is>
      </c>
      <c r="F10173" t="inlineStr">
        <is>
          <t>G7K NS2500kVA - Q4S BACKFEED</t>
        </is>
      </c>
      <c r="J10173" t="inlineStr">
        <is>
          <t>MATRION</t>
        </is>
      </c>
      <c r="K10173" t="inlineStr">
        <is>
          <t>DOC</t>
        </is>
      </c>
      <c r="L10173">
        <f>_xlfn.XLOOKUP(Tableau1[[#This Row],[TYPE DE PIECE]],Tableau4[MATIERE],Tableau4[SHORT TYPE],"",0,1)</f>
        <v/>
      </c>
      <c r="N10173">
        <f>IF(ISERR(FIND("DECOUPE",Tableau1[[#This Row],[DESIGNATION]])),"","NEED REF")</f>
        <v/>
      </c>
    </row>
    <row r="10174">
      <c r="B10174" t="n">
        <v>34403832</v>
      </c>
      <c r="C10174" s="2" t="n">
        <v>41802</v>
      </c>
      <c r="D10174" t="inlineStr">
        <is>
          <t>SPEC</t>
        </is>
      </c>
      <c r="E10174" t="inlineStr">
        <is>
          <t>ERICO TIGE FILETE</t>
        </is>
      </c>
      <c r="F10174" t="inlineStr">
        <is>
          <t>G7K NS2500kVA - Q4S BACKFEED</t>
        </is>
      </c>
      <c r="J10174" t="inlineStr">
        <is>
          <t>MATRION</t>
        </is>
      </c>
      <c r="K10174" t="inlineStr">
        <is>
          <t>DOC</t>
        </is>
      </c>
      <c r="L10174">
        <f>_xlfn.XLOOKUP(Tableau1[[#This Row],[TYPE DE PIECE]],Tableau4[MATIERE],Tableau4[SHORT TYPE],"",0,1)</f>
        <v/>
      </c>
      <c r="N10174">
        <f>IF(ISERR(FIND("DECOUPE",Tableau1[[#This Row],[DESIGNATION]])),"","NEED REF")</f>
        <v/>
      </c>
    </row>
    <row r="10175">
      <c r="B10175" t="n">
        <v>34403831</v>
      </c>
      <c r="C10175" s="2" t="n">
        <v>41802</v>
      </c>
      <c r="D10175" t="inlineStr">
        <is>
          <t>SPEC</t>
        </is>
      </c>
      <c r="E10175" t="inlineStr">
        <is>
          <t>Barre cellule raccordement</t>
        </is>
      </c>
      <c r="F10175" t="inlineStr">
        <is>
          <t>G7K</t>
        </is>
      </c>
      <c r="J10175" t="inlineStr">
        <is>
          <t>DUBOIS</t>
        </is>
      </c>
      <c r="K10175" t="inlineStr">
        <is>
          <t>CUIVRE</t>
        </is>
      </c>
      <c r="L10175">
        <f>_xlfn.XLOOKUP(Tableau1[[#This Row],[TYPE DE PIECE]],Tableau4[MATIERE],Tableau4[SHORT TYPE],"",0,1)</f>
        <v/>
      </c>
      <c r="N10175">
        <f>IF(ISERR(FIND("DECOUPE",Tableau1[[#This Row],[DESIGNATION]])),"","NEED REF")</f>
        <v/>
      </c>
    </row>
    <row r="10176">
      <c r="B10176" t="n">
        <v>34403830</v>
      </c>
      <c r="C10176" s="2" t="n">
        <v>41802</v>
      </c>
      <c r="D10176" t="inlineStr">
        <is>
          <t>SPEC</t>
        </is>
      </c>
      <c r="E10176" t="inlineStr">
        <is>
          <t>BUSBAR L1 STEP 100 - CABS APP - (REPRISE)</t>
        </is>
      </c>
      <c r="F10176" t="inlineStr">
        <is>
          <t>G7K NS2500kVA - Q4S BACKFEED</t>
        </is>
      </c>
      <c r="J10176" t="inlineStr">
        <is>
          <t>MATRION</t>
        </is>
      </c>
      <c r="K10176" t="inlineStr">
        <is>
          <t>DOC</t>
        </is>
      </c>
      <c r="L10176">
        <f>_xlfn.XLOOKUP(Tableau1[[#This Row],[TYPE DE PIECE]],Tableau4[MATIERE],Tableau4[SHORT TYPE],"",0,1)</f>
        <v/>
      </c>
      <c r="N10176">
        <f>IF(ISERR(FIND("DECOUPE",Tableau1[[#This Row],[DESIGNATION]])),"","NEED REF")</f>
        <v/>
      </c>
    </row>
    <row r="10177">
      <c r="B10177" t="n">
        <v>34403829</v>
      </c>
      <c r="C10177" s="2" t="n">
        <v>41801</v>
      </c>
      <c r="D10177" t="inlineStr">
        <is>
          <t>SPEC</t>
        </is>
      </c>
      <c r="E10177" t="inlineStr">
        <is>
          <t>BARRE CUIVRE 160X10 POUR TGAB L=406</t>
        </is>
      </c>
      <c r="F10177" t="inlineStr">
        <is>
          <t>G9K NS2400kVA - ORANGE</t>
        </is>
      </c>
      <c r="J10177" t="inlineStr">
        <is>
          <t>MONGELLI</t>
        </is>
      </c>
      <c r="K10177" t="inlineStr">
        <is>
          <t>CUIVRE</t>
        </is>
      </c>
      <c r="L10177">
        <f>_xlfn.XLOOKUP(Tableau1[[#This Row],[TYPE DE PIECE]],Tableau4[MATIERE],Tableau4[SHORT TYPE],"",0,1)</f>
        <v/>
      </c>
      <c r="N10177">
        <f>IF(ISERR(FIND("DECOUPE",Tableau1[[#This Row],[DESIGNATION]])),"","NEED REF")</f>
        <v/>
      </c>
    </row>
    <row r="10178">
      <c r="B10178" t="n">
        <v>34403828</v>
      </c>
      <c r="C10178" s="2" t="n">
        <v>41800</v>
      </c>
      <c r="D10178" t="inlineStr">
        <is>
          <t>SPEC</t>
        </is>
      </c>
      <c r="E10178" t="inlineStr">
        <is>
          <t>BOTTOM PROTECTION SHIELD PLATE NS2500</t>
        </is>
      </c>
      <c r="F10178" t="inlineStr">
        <is>
          <t>G7K NS2500kVA - Q4S BACKFEED</t>
        </is>
      </c>
      <c r="J10178" t="inlineStr">
        <is>
          <t>MATRION</t>
        </is>
      </c>
      <c r="K10178" t="inlineStr">
        <is>
          <t>METAL</t>
        </is>
      </c>
      <c r="L10178">
        <f>_xlfn.XLOOKUP(Tableau1[[#This Row],[TYPE DE PIECE]],Tableau4[MATIERE],Tableau4[SHORT TYPE],"",0,1)</f>
        <v/>
      </c>
      <c r="N10178">
        <f>IF(ISERR(FIND("DECOUPE",Tableau1[[#This Row],[DESIGNATION]])),"","NEED REF")</f>
        <v/>
      </c>
    </row>
    <row r="10179">
      <c r="B10179" t="n">
        <v>34403827</v>
      </c>
      <c r="C10179" s="2" t="n">
        <v>41800</v>
      </c>
      <c r="D10179" t="inlineStr">
        <is>
          <t>SPEC</t>
        </is>
      </c>
      <c r="E10179" t="inlineStr">
        <is>
          <t>PROTECTION SHIELD NS2500 BOTTOM</t>
        </is>
      </c>
      <c r="F10179" t="inlineStr">
        <is>
          <t>G7K NS2500kVA - Q4S BACKFEED</t>
        </is>
      </c>
      <c r="J10179" t="inlineStr">
        <is>
          <t>MATRION</t>
        </is>
      </c>
      <c r="K10179" t="inlineStr">
        <is>
          <t>METAL</t>
        </is>
      </c>
      <c r="L10179">
        <f>_xlfn.XLOOKUP(Tableau1[[#This Row],[TYPE DE PIECE]],Tableau4[MATIERE],Tableau4[SHORT TYPE],"",0,1)</f>
        <v/>
      </c>
      <c r="N10179">
        <f>IF(ISERR(FIND("DECOUPE",Tableau1[[#This Row],[DESIGNATION]])),"","NEED REF")</f>
        <v/>
      </c>
    </row>
    <row r="10180">
      <c r="B10180" t="n">
        <v>34403826</v>
      </c>
      <c r="C10180" s="2" t="n">
        <v>41800</v>
      </c>
      <c r="D10180" t="inlineStr">
        <is>
          <t>SPEC</t>
        </is>
      </c>
      <c r="E10180" t="inlineStr">
        <is>
          <t>ELECTRONIC SUPPORT</t>
        </is>
      </c>
      <c r="F10180" t="inlineStr">
        <is>
          <t>G7K NS2500kVA - Q4S BACKFEED</t>
        </is>
      </c>
      <c r="J10180" t="inlineStr">
        <is>
          <t>MATRION</t>
        </is>
      </c>
      <c r="K10180" t="inlineStr">
        <is>
          <t>METAL</t>
        </is>
      </c>
      <c r="L10180">
        <f>_xlfn.XLOOKUP(Tableau1[[#This Row],[TYPE DE PIECE]],Tableau4[MATIERE],Tableau4[SHORT TYPE],"",0,1)</f>
        <v/>
      </c>
      <c r="N10180">
        <f>IF(ISERR(FIND("DECOUPE",Tableau1[[#This Row],[DESIGNATION]])),"","NEED REF")</f>
        <v/>
      </c>
    </row>
    <row r="10181">
      <c r="B10181" t="n">
        <v>34403825</v>
      </c>
      <c r="C10181" s="2" t="n">
        <v>41800</v>
      </c>
      <c r="D10181" t="inlineStr">
        <is>
          <t>SPEC</t>
        </is>
      </c>
      <c r="E10181" t="inlineStr">
        <is>
          <t>PLATE ELEC BACKFEED 2</t>
        </is>
      </c>
      <c r="F10181" t="inlineStr">
        <is>
          <t>G7K NS2500kVA - Q4S BACKFEED</t>
        </is>
      </c>
      <c r="J10181" t="inlineStr">
        <is>
          <t>MATRION</t>
        </is>
      </c>
      <c r="K10181" t="inlineStr">
        <is>
          <t>METAL</t>
        </is>
      </c>
      <c r="L10181">
        <f>_xlfn.XLOOKUP(Tableau1[[#This Row],[TYPE DE PIECE]],Tableau4[MATIERE],Tableau4[SHORT TYPE],"",0,1)</f>
        <v/>
      </c>
      <c r="N10181">
        <f>IF(ISERR(FIND("DECOUPE",Tableau1[[#This Row],[DESIGNATION]])),"","NEED REF")</f>
        <v/>
      </c>
    </row>
    <row r="10182">
      <c r="B10182" t="n">
        <v>34403824</v>
      </c>
      <c r="C10182" s="2" t="n">
        <v>41795</v>
      </c>
      <c r="D10182" t="inlineStr">
        <is>
          <t>SPEC</t>
        </is>
      </c>
      <c r="E10182" t="inlineStr">
        <is>
          <t>PROTECTION SHIELD NS2500 TOP</t>
        </is>
      </c>
      <c r="F10182" t="inlineStr">
        <is>
          <t>G7K NS2500kVA - Q4S BACKFEED</t>
        </is>
      </c>
      <c r="J10182" t="inlineStr">
        <is>
          <t>MATRION</t>
        </is>
      </c>
      <c r="K10182" t="inlineStr">
        <is>
          <t>METAL</t>
        </is>
      </c>
      <c r="L10182">
        <f>_xlfn.XLOOKUP(Tableau1[[#This Row],[TYPE DE PIECE]],Tableau4[MATIERE],Tableau4[SHORT TYPE],"",0,1)</f>
        <v/>
      </c>
      <c r="N10182">
        <f>IF(ISERR(FIND("DECOUPE",Tableau1[[#This Row],[DESIGNATION]])),"","NEED REF")</f>
        <v/>
      </c>
    </row>
    <row r="10183">
      <c r="B10183" t="n">
        <v>34403823</v>
      </c>
      <c r="C10183" s="2" t="n">
        <v>41795</v>
      </c>
      <c r="D10183" t="inlineStr">
        <is>
          <t>SPEC</t>
        </is>
      </c>
      <c r="E10183" t="inlineStr">
        <is>
          <t>PLATE ELEC BACKFEED</t>
        </is>
      </c>
      <c r="F10183" t="inlineStr">
        <is>
          <t>G7K NS2500kVA - Q4S BACKFEED</t>
        </is>
      </c>
      <c r="J10183" t="inlineStr">
        <is>
          <t>MATRION</t>
        </is>
      </c>
      <c r="K10183" t="inlineStr">
        <is>
          <t>METAL</t>
        </is>
      </c>
      <c r="L10183">
        <f>_xlfn.XLOOKUP(Tableau1[[#This Row],[TYPE DE PIECE]],Tableau4[MATIERE],Tableau4[SHORT TYPE],"",0,1)</f>
        <v/>
      </c>
      <c r="N10183">
        <f>IF(ISERR(FIND("DECOUPE",Tableau1[[#This Row],[DESIGNATION]])),"","NEED REF")</f>
        <v/>
      </c>
    </row>
    <row r="10184">
      <c r="B10184" t="n">
        <v>34403822</v>
      </c>
      <c r="C10184" s="2" t="n">
        <v>41794</v>
      </c>
      <c r="D10184" t="inlineStr">
        <is>
          <t>SPEC</t>
        </is>
      </c>
      <c r="E10184" t="inlineStr">
        <is>
          <t>TRAVERSE LARGEUR G9K POUR NW-K2S L=567</t>
        </is>
      </c>
      <c r="F10184" t="inlineStr">
        <is>
          <t>G9K NS2400kVA - ORANGE</t>
        </is>
      </c>
      <c r="J10184" t="inlineStr">
        <is>
          <t>MONGELLI</t>
        </is>
      </c>
      <c r="L10184">
        <f>_xlfn.XLOOKUP(Tableau1[[#This Row],[TYPE DE PIECE]],Tableau4[MATIERE],Tableau4[SHORT TYPE],"",0,1)</f>
        <v/>
      </c>
      <c r="N10184">
        <f>IF(ISERR(FIND("DECOUPE",Tableau1[[#This Row],[DESIGNATION]])),"","NEED REF")</f>
        <v/>
      </c>
    </row>
    <row r="10185">
      <c r="B10185" t="n">
        <v>34403821</v>
      </c>
      <c r="C10185" s="2" t="n">
        <v>41794</v>
      </c>
      <c r="D10185" t="inlineStr">
        <is>
          <t>SPEC</t>
        </is>
      </c>
      <c r="E10185" t="inlineStr">
        <is>
          <t>TRAVERSE LARGEUR G9K L=1108</t>
        </is>
      </c>
      <c r="F10185" t="inlineStr">
        <is>
          <t>G9K NS2400kVA - ORANGE</t>
        </is>
      </c>
      <c r="J10185" t="inlineStr">
        <is>
          <t>MONGELLI</t>
        </is>
      </c>
      <c r="L10185">
        <f>_xlfn.XLOOKUP(Tableau1[[#This Row],[TYPE DE PIECE]],Tableau4[MATIERE],Tableau4[SHORT TYPE],"",0,1)</f>
        <v/>
      </c>
      <c r="N10185">
        <f>IF(ISERR(FIND("DECOUPE",Tableau1[[#This Row],[DESIGNATION]])),"","NEED REF")</f>
        <v/>
      </c>
    </row>
    <row r="10186">
      <c r="B10186" t="n">
        <v>34403820</v>
      </c>
      <c r="C10186" s="2" t="n">
        <v>41794</v>
      </c>
      <c r="D10186" t="inlineStr">
        <is>
          <t>SPEC</t>
        </is>
      </c>
      <c r="E10186" t="inlineStr">
        <is>
          <t>TRAVERSE LARGEUR G9K POUR NW_L=525</t>
        </is>
      </c>
      <c r="F10186" t="inlineStr">
        <is>
          <t>G9K NS2400kVA - ORANGE</t>
        </is>
      </c>
      <c r="J10186" t="inlineStr">
        <is>
          <t>MONGELLI</t>
        </is>
      </c>
      <c r="L10186">
        <f>_xlfn.XLOOKUP(Tableau1[[#This Row],[TYPE DE PIECE]],Tableau4[MATIERE],Tableau4[SHORT TYPE],"",0,1)</f>
        <v/>
      </c>
      <c r="N10186">
        <f>IF(ISERR(FIND("DECOUPE",Tableau1[[#This Row],[DESIGNATION]])),"","NEED REF")</f>
        <v/>
      </c>
    </row>
    <row r="10187">
      <c r="B10187" t="n">
        <v>34403819</v>
      </c>
      <c r="C10187" s="2" t="n">
        <v>41794</v>
      </c>
      <c r="D10187" t="inlineStr">
        <is>
          <t>SPEC</t>
        </is>
      </c>
      <c r="E10187" t="inlineStr">
        <is>
          <t>TRAVERSE PROFONDEUR G9K L=710</t>
        </is>
      </c>
      <c r="F10187" t="inlineStr">
        <is>
          <t>G9K NS2400kVA - ORANGE</t>
        </is>
      </c>
      <c r="J10187" t="inlineStr">
        <is>
          <t>MONGELLI</t>
        </is>
      </c>
      <c r="L10187">
        <f>_xlfn.XLOOKUP(Tableau1[[#This Row],[TYPE DE PIECE]],Tableau4[MATIERE],Tableau4[SHORT TYPE],"",0,1)</f>
        <v/>
      </c>
      <c r="N10187">
        <f>IF(ISERR(FIND("DECOUPE",Tableau1[[#This Row],[DESIGNATION]])),"","NEED REF")</f>
        <v/>
      </c>
    </row>
    <row r="10188">
      <c r="B10188" t="n">
        <v>34403818</v>
      </c>
      <c r="C10188" s="2" t="n">
        <v>41794</v>
      </c>
      <c r="D10188" t="inlineStr">
        <is>
          <t>SPEC</t>
        </is>
      </c>
      <c r="E10188" t="inlineStr">
        <is>
          <t>TRAVERSE VERTICALE G9K L=1708</t>
        </is>
      </c>
      <c r="F10188" t="inlineStr">
        <is>
          <t>G9K NS2400kVA - ORANGE</t>
        </is>
      </c>
      <c r="J10188" t="inlineStr">
        <is>
          <t>MONGELLI</t>
        </is>
      </c>
      <c r="L10188">
        <f>_xlfn.XLOOKUP(Tableau1[[#This Row],[TYPE DE PIECE]],Tableau4[MATIERE],Tableau4[SHORT TYPE],"",0,1)</f>
        <v/>
      </c>
      <c r="N10188">
        <f>IF(ISERR(FIND("DECOUPE",Tableau1[[#This Row],[DESIGNATION]])),"","NEED REF")</f>
        <v/>
      </c>
    </row>
    <row r="10189">
      <c r="B10189" t="n">
        <v>34403817</v>
      </c>
      <c r="C10189" s="2" t="n">
        <v>41792</v>
      </c>
      <c r="D10189" t="inlineStr">
        <is>
          <t>SPEC</t>
        </is>
      </c>
      <c r="E10189" t="inlineStr">
        <is>
          <t>COPPERBAR PE TOPCONNEXION CLAMP</t>
        </is>
      </c>
      <c r="F10189" t="inlineStr">
        <is>
          <t>G7K NS2500kVA - Q4S BACKFEED</t>
        </is>
      </c>
      <c r="J10189" t="inlineStr">
        <is>
          <t>MATRION</t>
        </is>
      </c>
      <c r="K10189" t="inlineStr">
        <is>
          <t>CUIVRE</t>
        </is>
      </c>
      <c r="L10189">
        <f>_xlfn.XLOOKUP(Tableau1[[#This Row],[TYPE DE PIECE]],Tableau4[MATIERE],Tableau4[SHORT TYPE],"",0,1)</f>
        <v/>
      </c>
      <c r="N10189">
        <f>IF(ISERR(FIND("DECOUPE",Tableau1[[#This Row],[DESIGNATION]])),"","NEED REF")</f>
        <v/>
      </c>
    </row>
    <row r="10190">
      <c r="B10190" t="n">
        <v>34403816</v>
      </c>
      <c r="C10190" s="2" t="n">
        <v>41792</v>
      </c>
      <c r="D10190" t="inlineStr">
        <is>
          <t>SPEC</t>
        </is>
      </c>
      <c r="E10190" t="inlineStr">
        <is>
          <t>COPPERBAR N TOPCONNEXION SPACER</t>
        </is>
      </c>
      <c r="F10190" t="inlineStr">
        <is>
          <t>G7K NS2500kVA - Q4S BACKFEED</t>
        </is>
      </c>
      <c r="J10190" t="inlineStr">
        <is>
          <t>MATRION</t>
        </is>
      </c>
      <c r="K10190" t="inlineStr">
        <is>
          <t>CUIVRE</t>
        </is>
      </c>
      <c r="L10190">
        <f>_xlfn.XLOOKUP(Tableau1[[#This Row],[TYPE DE PIECE]],Tableau4[MATIERE],Tableau4[SHORT TYPE],"",0,1)</f>
        <v/>
      </c>
      <c r="N10190">
        <f>IF(ISERR(FIND("DECOUPE",Tableau1[[#This Row],[DESIGNATION]])),"","NEED REF")</f>
        <v/>
      </c>
    </row>
    <row r="10191">
      <c r="B10191" t="n">
        <v>34403815</v>
      </c>
      <c r="C10191" s="2" t="n">
        <v>41792</v>
      </c>
      <c r="D10191" t="inlineStr">
        <is>
          <t>SPEC</t>
        </is>
      </c>
      <c r="E10191" t="inlineStr">
        <is>
          <t>NEUTRAL COPPERBAR SUPPORT</t>
        </is>
      </c>
      <c r="F10191" t="inlineStr">
        <is>
          <t>G7K NS2500kVA - Q4S BACKFEED</t>
        </is>
      </c>
      <c r="J10191" t="inlineStr">
        <is>
          <t>MATRION</t>
        </is>
      </c>
      <c r="K10191" t="inlineStr">
        <is>
          <t>METAL</t>
        </is>
      </c>
      <c r="L10191">
        <f>_xlfn.XLOOKUP(Tableau1[[#This Row],[TYPE DE PIECE]],Tableau4[MATIERE],Tableau4[SHORT TYPE],"",0,1)</f>
        <v/>
      </c>
      <c r="N10191">
        <f>IF(ISERR(FIND("DECOUPE",Tableau1[[#This Row],[DESIGNATION]])),"","NEED REF")</f>
        <v/>
      </c>
    </row>
    <row r="10192">
      <c r="B10192" t="n">
        <v>34403814</v>
      </c>
      <c r="C10192" s="2" t="n">
        <v>41792</v>
      </c>
      <c r="D10192" t="inlineStr">
        <is>
          <t>SPEC</t>
        </is>
      </c>
      <c r="E10192" t="inlineStr">
        <is>
          <t>Cellule SPACIAL SF 1800X1000X800 RAL 9003</t>
        </is>
      </c>
      <c r="F10192" t="inlineStr">
        <is>
          <t>BATTERIE VALHAL</t>
        </is>
      </c>
      <c r="J10192" t="inlineStr">
        <is>
          <t>ROBERT</t>
        </is>
      </c>
      <c r="L10192">
        <f>_xlfn.XLOOKUP(Tableau1[[#This Row],[TYPE DE PIECE]],Tableau4[MATIERE],Tableau4[SHORT TYPE],"",0,1)</f>
        <v/>
      </c>
      <c r="N10192">
        <f>IF(ISERR(FIND("DECOUPE",Tableau1[[#This Row],[DESIGNATION]])),"","NEED REF")</f>
        <v/>
      </c>
    </row>
    <row r="10193">
      <c r="B10193" t="n">
        <v>34403813</v>
      </c>
      <c r="C10193" s="2" t="n">
        <v>41792</v>
      </c>
      <c r="D10193" t="inlineStr">
        <is>
          <t>SPEC</t>
        </is>
      </c>
      <c r="E10193" t="inlineStr">
        <is>
          <t>Cellule SPACIAL SF 1800X700X800 RAL 9003</t>
        </is>
      </c>
      <c r="F10193" t="inlineStr">
        <is>
          <t>BATTERIE VALHAL</t>
        </is>
      </c>
      <c r="J10193" t="inlineStr">
        <is>
          <t>ROBERT</t>
        </is>
      </c>
      <c r="L10193">
        <f>_xlfn.XLOOKUP(Tableau1[[#This Row],[TYPE DE PIECE]],Tableau4[MATIERE],Tableau4[SHORT TYPE],"",0,1)</f>
        <v/>
      </c>
      <c r="N10193">
        <f>IF(ISERR(FIND("DECOUPE",Tableau1[[#This Row],[DESIGNATION]])),"","NEED REF")</f>
        <v/>
      </c>
    </row>
    <row r="10194">
      <c r="B10194" t="n">
        <v>34403812</v>
      </c>
      <c r="C10194" s="2" t="n">
        <v>41792</v>
      </c>
      <c r="D10194" t="inlineStr">
        <is>
          <t>SPEC</t>
        </is>
      </c>
      <c r="E10194" t="inlineStr">
        <is>
          <t>COPPERBAR PEN 2 TOPCONNEXION</t>
        </is>
      </c>
      <c r="F10194" t="inlineStr">
        <is>
          <t>G7K NS2500kVA - Q4S BACKFEED</t>
        </is>
      </c>
      <c r="J10194" t="inlineStr">
        <is>
          <t>MATRION</t>
        </is>
      </c>
      <c r="K10194" t="inlineStr">
        <is>
          <t>CUIVRE</t>
        </is>
      </c>
      <c r="L10194">
        <f>_xlfn.XLOOKUP(Tableau1[[#This Row],[TYPE DE PIECE]],Tableau4[MATIERE],Tableau4[SHORT TYPE],"",0,1)</f>
        <v/>
      </c>
      <c r="N10194">
        <f>IF(ISERR(FIND("DECOUPE",Tableau1[[#This Row],[DESIGNATION]])),"","NEED REF")</f>
        <v/>
      </c>
    </row>
    <row r="10195">
      <c r="B10195" t="n">
        <v>34403811</v>
      </c>
      <c r="C10195" s="2" t="n">
        <v>41792</v>
      </c>
      <c r="D10195" t="inlineStr">
        <is>
          <t>SPEC</t>
        </is>
      </c>
      <c r="E10195" t="inlineStr">
        <is>
          <t>COPPERBAR PEN 1 TOPCONNEXION</t>
        </is>
      </c>
      <c r="F10195" t="inlineStr">
        <is>
          <t>G7K NS2500kVA - Q4S BACKFEED</t>
        </is>
      </c>
      <c r="J10195" t="inlineStr">
        <is>
          <t>MATRION</t>
        </is>
      </c>
      <c r="K10195" t="inlineStr">
        <is>
          <t>CUIVRE</t>
        </is>
      </c>
      <c r="L10195">
        <f>_xlfn.XLOOKUP(Tableau1[[#This Row],[TYPE DE PIECE]],Tableau4[MATIERE],Tableau4[SHORT TYPE],"",0,1)</f>
        <v/>
      </c>
      <c r="N10195">
        <f>IF(ISERR(FIND("DECOUPE",Tableau1[[#This Row],[DESIGNATION]])),"","NEED REF")</f>
        <v/>
      </c>
    </row>
    <row r="10196">
      <c r="B10196" t="n">
        <v>34403810</v>
      </c>
      <c r="C10196" s="2" t="n">
        <v>41792</v>
      </c>
      <c r="D10196" t="inlineStr">
        <is>
          <t>SPEC</t>
        </is>
      </c>
      <c r="E10196" t="inlineStr">
        <is>
          <t>COPPERBAR N TOPCONNEXION JUNCTION</t>
        </is>
      </c>
      <c r="F10196" t="inlineStr">
        <is>
          <t>G7K NS2500kVA - Q4S BACKFEED</t>
        </is>
      </c>
      <c r="J10196" t="inlineStr">
        <is>
          <t>MATRION</t>
        </is>
      </c>
      <c r="K10196" t="inlineStr">
        <is>
          <t>CUIVRE</t>
        </is>
      </c>
      <c r="L10196">
        <f>_xlfn.XLOOKUP(Tableau1[[#This Row],[TYPE DE PIECE]],Tableau4[MATIERE],Tableau4[SHORT TYPE],"",0,1)</f>
        <v/>
      </c>
      <c r="N10196">
        <f>IF(ISERR(FIND("DECOUPE",Tableau1[[#This Row],[DESIGNATION]])),"","NEED REF")</f>
        <v/>
      </c>
    </row>
    <row r="10197">
      <c r="B10197" t="n">
        <v>34403809</v>
      </c>
      <c r="C10197" s="2" t="n">
        <v>41785</v>
      </c>
      <c r="D10197" t="inlineStr">
        <is>
          <t>SPEC</t>
        </is>
      </c>
      <c r="E10197" t="inlineStr">
        <is>
          <t xml:space="preserve">Montage des éléments </t>
        </is>
      </c>
      <c r="F10197" t="inlineStr">
        <is>
          <t>Gaine de raccordement haut</t>
        </is>
      </c>
      <c r="J10197" t="inlineStr">
        <is>
          <t>DUBOIS</t>
        </is>
      </c>
      <c r="L10197">
        <f>_xlfn.XLOOKUP(Tableau1[[#This Row],[TYPE DE PIECE]],Tableau4[MATIERE],Tableau4[SHORT TYPE],"",0,1)</f>
        <v/>
      </c>
      <c r="N10197">
        <f>IF(ISERR(FIND("DECOUPE",Tableau1[[#This Row],[DESIGNATION]])),"","NEED REF")</f>
        <v/>
      </c>
    </row>
    <row r="10198">
      <c r="B10198" t="n">
        <v>34403808</v>
      </c>
      <c r="C10198" s="2" t="n">
        <v>41781</v>
      </c>
      <c r="D10198" t="inlineStr">
        <is>
          <t>SPEC</t>
        </is>
      </c>
      <c r="E10198" t="inlineStr">
        <is>
          <t>SUPPORT SERRURE PW STS GOTHARD</t>
        </is>
      </c>
      <c r="F10198" t="inlineStr">
        <is>
          <t>STS GOTTHARD</t>
        </is>
      </c>
      <c r="J10198" t="inlineStr">
        <is>
          <t>MONGELLI</t>
        </is>
      </c>
      <c r="K10198" t="inlineStr">
        <is>
          <t>METAL</t>
        </is>
      </c>
      <c r="L10198">
        <f>_xlfn.XLOOKUP(Tableau1[[#This Row],[TYPE DE PIECE]],Tableau4[MATIERE],Tableau4[SHORT TYPE],"",0,1)</f>
        <v/>
      </c>
      <c r="N10198">
        <f>IF(ISERR(FIND("DECOUPE",Tableau1[[#This Row],[DESIGNATION]])),"","NEED REF")</f>
        <v/>
      </c>
    </row>
    <row r="10199">
      <c r="B10199" t="n">
        <v>34403807</v>
      </c>
      <c r="C10199" s="2" t="n">
        <v>41780</v>
      </c>
      <c r="D10199" t="inlineStr">
        <is>
          <t>SPEC</t>
        </is>
      </c>
      <c r="E10199" t="inlineStr">
        <is>
          <t>RAIL SUPPORT CX COUPLAGE BATTERIE 120kVA</t>
        </is>
      </c>
      <c r="F10199" t="inlineStr">
        <is>
          <t>G55K 100-120kVA COUPLAGE BATTERIE</t>
        </is>
      </c>
      <c r="J10199" t="inlineStr">
        <is>
          <t>ÇAKIR</t>
        </is>
      </c>
      <c r="K10199" t="inlineStr">
        <is>
          <t>METAL</t>
        </is>
      </c>
      <c r="L10199">
        <f>_xlfn.XLOOKUP(Tableau1[[#This Row],[TYPE DE PIECE]],Tableau4[MATIERE],Tableau4[SHORT TYPE],"",0,1)</f>
        <v/>
      </c>
      <c r="N10199">
        <f>IF(ISERR(FIND("DECOUPE",Tableau1[[#This Row],[DESIGNATION]])),"","NEED REF")</f>
        <v/>
      </c>
    </row>
    <row r="10200">
      <c r="B10200" t="n">
        <v>34403806</v>
      </c>
      <c r="C10200" s="2" t="n">
        <v>41779</v>
      </c>
      <c r="D10200" t="inlineStr">
        <is>
          <t>SPEC</t>
        </is>
      </c>
      <c r="E10200" t="inlineStr">
        <is>
          <t>TRAVERSE AV/AR SKID 1015 (skid étroit)</t>
        </is>
      </c>
      <c r="F10200" t="inlineStr">
        <is>
          <t xml:space="preserve">AKER SOLUTION </t>
        </is>
      </c>
      <c r="J10200" t="inlineStr">
        <is>
          <t>ROBERT</t>
        </is>
      </c>
      <c r="L10200">
        <f>_xlfn.XLOOKUP(Tableau1[[#This Row],[TYPE DE PIECE]],Tableau4[MATIERE],Tableau4[SHORT TYPE],"",0,1)</f>
        <v/>
      </c>
      <c r="N10200">
        <f>IF(ISERR(FIND("DECOUPE",Tableau1[[#This Row],[DESIGNATION]])),"","NEED REF")</f>
        <v/>
      </c>
    </row>
    <row r="10201">
      <c r="B10201" t="n">
        <v>34403805</v>
      </c>
      <c r="C10201" s="2" t="n">
        <v>41779</v>
      </c>
      <c r="D10201" t="inlineStr">
        <is>
          <t>SPEC</t>
        </is>
      </c>
      <c r="E10201" t="inlineStr">
        <is>
          <t>EQUERRE DE LEVAGE (skid etroit)</t>
        </is>
      </c>
      <c r="F10201" t="inlineStr">
        <is>
          <t>AKER SOLUTION</t>
        </is>
      </c>
      <c r="J10201" t="inlineStr">
        <is>
          <t>ROBERT</t>
        </is>
      </c>
      <c r="L10201">
        <f>_xlfn.XLOOKUP(Tableau1[[#This Row],[TYPE DE PIECE]],Tableau4[MATIERE],Tableau4[SHORT TYPE],"",0,1)</f>
        <v/>
      </c>
      <c r="N10201">
        <f>IF(ISERR(FIND("DECOUPE",Tableau1[[#This Row],[DESIGNATION]])),"","NEED REF")</f>
        <v/>
      </c>
    </row>
    <row r="10202">
      <c r="B10202" t="n">
        <v>34403804</v>
      </c>
      <c r="C10202" s="2" t="n">
        <v>41779</v>
      </c>
      <c r="D10202" t="inlineStr">
        <is>
          <t>SPEC</t>
        </is>
      </c>
      <c r="E10202" t="inlineStr">
        <is>
          <t>PROTECTION SHIELD NS2500 TGAB TOP</t>
        </is>
      </c>
      <c r="F10202" t="inlineStr">
        <is>
          <t>G7K NS2500kVA - Q4S BACKFEED</t>
        </is>
      </c>
      <c r="J10202" t="inlineStr">
        <is>
          <t>MATRION</t>
        </is>
      </c>
      <c r="K10202" t="inlineStr">
        <is>
          <t>METAL</t>
        </is>
      </c>
      <c r="L10202">
        <f>_xlfn.XLOOKUP(Tableau1[[#This Row],[TYPE DE PIECE]],Tableau4[MATIERE],Tableau4[SHORT TYPE],"",0,1)</f>
        <v/>
      </c>
      <c r="N10202">
        <f>IF(ISERR(FIND("DECOUPE",Tableau1[[#This Row],[DESIGNATION]])),"","NEED REF")</f>
        <v/>
      </c>
    </row>
    <row r="10203">
      <c r="B10203" t="n">
        <v>34403803</v>
      </c>
      <c r="C10203" s="2" t="n">
        <v>41779</v>
      </c>
      <c r="D10203" t="inlineStr">
        <is>
          <t>SPEC</t>
        </is>
      </c>
      <c r="E10203" t="inlineStr">
        <is>
          <t>PROTECTION SHIELD NS2500 TGAB MIDDLE</t>
        </is>
      </c>
      <c r="F10203" t="inlineStr">
        <is>
          <t>G7K NS2500kVA - Q4S BACKFEED</t>
        </is>
      </c>
      <c r="J10203" t="inlineStr">
        <is>
          <t>MATRION</t>
        </is>
      </c>
      <c r="K10203" t="inlineStr">
        <is>
          <t>METAL</t>
        </is>
      </c>
      <c r="L10203">
        <f>_xlfn.XLOOKUP(Tableau1[[#This Row],[TYPE DE PIECE]],Tableau4[MATIERE],Tableau4[SHORT TYPE],"",0,1)</f>
        <v/>
      </c>
      <c r="N10203">
        <f>IF(ISERR(FIND("DECOUPE",Tableau1[[#This Row],[DESIGNATION]])),"","NEED REF")</f>
        <v/>
      </c>
    </row>
    <row r="10204">
      <c r="B10204" t="n">
        <v>34403802</v>
      </c>
      <c r="C10204" s="2" t="n">
        <v>41779</v>
      </c>
      <c r="D10204" t="inlineStr">
        <is>
          <t>SPEC</t>
        </is>
      </c>
      <c r="E10204" t="inlineStr">
        <is>
          <t>PROTECTION SHIELD NS2500 TGAB BOTTOM</t>
        </is>
      </c>
      <c r="F10204" t="inlineStr">
        <is>
          <t>G7K NS2500kVA - Q4S BACKFEED</t>
        </is>
      </c>
      <c r="J10204" t="inlineStr">
        <is>
          <t>MATRION</t>
        </is>
      </c>
      <c r="K10204" t="inlineStr">
        <is>
          <t>METAL</t>
        </is>
      </c>
      <c r="L10204">
        <f>_xlfn.XLOOKUP(Tableau1[[#This Row],[TYPE DE PIECE]],Tableau4[MATIERE],Tableau4[SHORT TYPE],"",0,1)</f>
        <v/>
      </c>
      <c r="N10204">
        <f>IF(ISERR(FIND("DECOUPE",Tableau1[[#This Row],[DESIGNATION]])),"","NEED REF")</f>
        <v/>
      </c>
    </row>
    <row r="10205">
      <c r="B10205" t="n">
        <v>34403801</v>
      </c>
      <c r="C10205" s="2" t="n">
        <v>41778</v>
      </c>
      <c r="D10205" t="inlineStr">
        <is>
          <t>SPEC</t>
        </is>
      </c>
      <c r="E10205" t="inlineStr">
        <is>
          <t>TRAVERSE AV/AR SKID 715 (skid étroit)</t>
        </is>
      </c>
      <c r="F10205" t="inlineStr">
        <is>
          <t>AKER SOLUTION</t>
        </is>
      </c>
      <c r="J10205" t="inlineStr">
        <is>
          <t>ROBERT</t>
        </is>
      </c>
      <c r="L10205">
        <f>_xlfn.XLOOKUP(Tableau1[[#This Row],[TYPE DE PIECE]],Tableau4[MATIERE],Tableau4[SHORT TYPE],"",0,1)</f>
        <v/>
      </c>
      <c r="N10205">
        <f>IF(ISERR(FIND("DECOUPE",Tableau1[[#This Row],[DESIGNATION]])),"","NEED REF")</f>
        <v/>
      </c>
    </row>
    <row r="10206">
      <c r="B10206" t="n">
        <v>34403800</v>
      </c>
      <c r="C10206" s="2" t="n"/>
      <c r="L10206">
        <f>_xlfn.XLOOKUP(Tableau1[[#This Row],[TYPE DE PIECE]],Tableau4[MATIERE],Tableau4[SHORT TYPE],"",0,1)</f>
        <v/>
      </c>
      <c r="N10206">
        <f>IF(ISERR(FIND("DECOUPE",Tableau1[[#This Row],[DESIGNATION]])),"","NEED REF")</f>
        <v/>
      </c>
    </row>
    <row r="10207">
      <c r="B10207" t="n">
        <v>34403799</v>
      </c>
      <c r="C10207" s="2" t="n">
        <v>41774</v>
      </c>
      <c r="D10207" t="inlineStr">
        <is>
          <t>SPEC</t>
        </is>
      </c>
      <c r="E10207" t="inlineStr">
        <is>
          <t>CX JdB CONNEXION COUPLAGE BATTERIE 100-120kVA</t>
        </is>
      </c>
      <c r="F10207" t="inlineStr">
        <is>
          <t>G55K 100-120kVA COUPLAGE BATTERIE</t>
        </is>
      </c>
      <c r="J10207" t="inlineStr">
        <is>
          <t>ÇAKIR</t>
        </is>
      </c>
      <c r="K10207" t="inlineStr">
        <is>
          <t>CUIVRE</t>
        </is>
      </c>
      <c r="L10207">
        <f>_xlfn.XLOOKUP(Tableau1[[#This Row],[TYPE DE PIECE]],Tableau4[MATIERE],Tableau4[SHORT TYPE],"",0,1)</f>
        <v/>
      </c>
      <c r="N10207">
        <f>IF(ISERR(FIND("DECOUPE",Tableau1[[#This Row],[DESIGNATION]])),"","NEED REF")</f>
        <v/>
      </c>
    </row>
    <row r="10208">
      <c r="B10208" t="n">
        <v>34403798</v>
      </c>
      <c r="C10208" s="2" t="n">
        <v>41774</v>
      </c>
      <c r="D10208" t="inlineStr">
        <is>
          <t>SPEC</t>
        </is>
      </c>
      <c r="E10208" t="inlineStr">
        <is>
          <t xml:space="preserve">KIT CABLES DE PUISSANCE  COUPLAGE BATTERIE 100-120kVA </t>
        </is>
      </c>
      <c r="F10208" t="inlineStr">
        <is>
          <t>G55K 100-120kVA COUPLAGE BATTERIE</t>
        </is>
      </c>
      <c r="J10208" t="inlineStr">
        <is>
          <t>ÇAKIR</t>
        </is>
      </c>
      <c r="K10208" t="inlineStr">
        <is>
          <t>CABLES</t>
        </is>
      </c>
      <c r="L10208">
        <f>_xlfn.XLOOKUP(Tableau1[[#This Row],[TYPE DE PIECE]],Tableau4[MATIERE],Tableau4[SHORT TYPE],"",0,1)</f>
        <v/>
      </c>
      <c r="N10208">
        <f>IF(ISERR(FIND("DECOUPE",Tableau1[[#This Row],[DESIGNATION]])),"","NEED REF")</f>
        <v/>
      </c>
    </row>
    <row r="10209">
      <c r="B10209" t="n">
        <v>34403797</v>
      </c>
      <c r="C10209" s="2" t="n">
        <v>41773</v>
      </c>
      <c r="D10209" t="inlineStr">
        <is>
          <t>SPEC</t>
        </is>
      </c>
      <c r="E10209" t="inlineStr">
        <is>
          <t>FLEXBAR 2 LOAD TOP CONNEXION</t>
        </is>
      </c>
      <c r="F10209" t="inlineStr">
        <is>
          <t>G7K NS2500kVA - Q4S BACKFEED</t>
        </is>
      </c>
      <c r="J10209" t="inlineStr">
        <is>
          <t>MATRION</t>
        </is>
      </c>
      <c r="K10209" t="inlineStr">
        <is>
          <t>CUIVRE</t>
        </is>
      </c>
      <c r="L10209">
        <f>_xlfn.XLOOKUP(Tableau1[[#This Row],[TYPE DE PIECE]],Tableau4[MATIERE],Tableau4[SHORT TYPE],"",0,1)</f>
        <v/>
      </c>
      <c r="N10209">
        <f>IF(ISERR(FIND("DECOUPE",Tableau1[[#This Row],[DESIGNATION]])),"","NEED REF")</f>
        <v/>
      </c>
    </row>
    <row r="10210">
      <c r="B10210" t="n">
        <v>34403796</v>
      </c>
      <c r="C10210" s="2" t="n">
        <v>41773</v>
      </c>
      <c r="D10210" t="inlineStr">
        <is>
          <t>SPEC</t>
        </is>
      </c>
      <c r="E10210" t="inlineStr">
        <is>
          <t>FLEXBAR 1 LOAD TOP CONNEXION</t>
        </is>
      </c>
      <c r="F10210" t="inlineStr">
        <is>
          <t>G7K NS2500kVA - Q4S BACKFEED</t>
        </is>
      </c>
      <c r="J10210" t="inlineStr">
        <is>
          <t>MATRION</t>
        </is>
      </c>
      <c r="K10210" t="inlineStr">
        <is>
          <t>CUIVRE</t>
        </is>
      </c>
      <c r="L10210">
        <f>_xlfn.XLOOKUP(Tableau1[[#This Row],[TYPE DE PIECE]],Tableau4[MATIERE],Tableau4[SHORT TYPE],"",0,1)</f>
        <v/>
      </c>
      <c r="N10210">
        <f>IF(ISERR(FIND("DECOUPE",Tableau1[[#This Row],[DESIGNATION]])),"","NEED REF")</f>
        <v/>
      </c>
    </row>
    <row r="10211">
      <c r="B10211" t="n">
        <v>34403795</v>
      </c>
      <c r="C10211" s="2" t="n">
        <v>41773</v>
      </c>
      <c r="D10211" t="inlineStr">
        <is>
          <t>SPEC</t>
        </is>
      </c>
      <c r="E10211" t="inlineStr">
        <is>
          <t>CLAMP FLEXBAR 2</t>
        </is>
      </c>
      <c r="F10211" t="inlineStr">
        <is>
          <t>G7K NS2500kVA - Q4S BACKFEED</t>
        </is>
      </c>
      <c r="J10211" t="inlineStr">
        <is>
          <t>MATRION</t>
        </is>
      </c>
      <c r="K10211" t="inlineStr">
        <is>
          <t>PLASTIQUE</t>
        </is>
      </c>
      <c r="L10211">
        <f>_xlfn.XLOOKUP(Tableau1[[#This Row],[TYPE DE PIECE]],Tableau4[MATIERE],Tableau4[SHORT TYPE],"",0,1)</f>
        <v/>
      </c>
      <c r="N10211">
        <f>IF(ISERR(FIND("DECOUPE",Tableau1[[#This Row],[DESIGNATION]])),"","NEED REF")</f>
        <v/>
      </c>
    </row>
    <row r="10212">
      <c r="B10212" t="n">
        <v>34403794</v>
      </c>
      <c r="C10212" s="2" t="n">
        <v>41773</v>
      </c>
      <c r="D10212" t="inlineStr">
        <is>
          <t>SPEC</t>
        </is>
      </c>
      <c r="E10212" t="inlineStr">
        <is>
          <t>CLAMP FLEXBAR 1</t>
        </is>
      </c>
      <c r="F10212" t="inlineStr">
        <is>
          <t>G7K NS2500kVA - Q4S BACKFEED</t>
        </is>
      </c>
      <c r="J10212" t="inlineStr">
        <is>
          <t>MATRION</t>
        </is>
      </c>
      <c r="K10212" t="inlineStr">
        <is>
          <t>PLASTIQUE</t>
        </is>
      </c>
      <c r="L10212">
        <f>_xlfn.XLOOKUP(Tableau1[[#This Row],[TYPE DE PIECE]],Tableau4[MATIERE],Tableau4[SHORT TYPE],"",0,1)</f>
        <v/>
      </c>
      <c r="N10212">
        <f>IF(ISERR(FIND("DECOUPE",Tableau1[[#This Row],[DESIGNATION]])),"","NEED REF")</f>
        <v/>
      </c>
    </row>
    <row r="10213">
      <c r="B10213" t="n">
        <v>34403793</v>
      </c>
      <c r="C10213" s="2" t="n">
        <v>41773</v>
      </c>
      <c r="D10213" t="inlineStr">
        <is>
          <t>SPEC</t>
        </is>
      </c>
      <c r="E10213" t="inlineStr">
        <is>
          <t>VERTICAL FLEXBAR SUPPORT</t>
        </is>
      </c>
      <c r="F10213" t="inlineStr">
        <is>
          <t>G7K NS2500kVA - Q4S BACKFEED</t>
        </is>
      </c>
      <c r="J10213" t="inlineStr">
        <is>
          <t>MATRION</t>
        </is>
      </c>
      <c r="K10213" t="inlineStr">
        <is>
          <t>METAL</t>
        </is>
      </c>
      <c r="L10213">
        <f>_xlfn.XLOOKUP(Tableau1[[#This Row],[TYPE DE PIECE]],Tableau4[MATIERE],Tableau4[SHORT TYPE],"",0,1)</f>
        <v/>
      </c>
      <c r="N10213">
        <f>IF(ISERR(FIND("DECOUPE",Tableau1[[#This Row],[DESIGNATION]])),"","NEED REF")</f>
        <v/>
      </c>
    </row>
    <row r="10214">
      <c r="B10214" t="n">
        <v>34403792</v>
      </c>
      <c r="C10214" s="2" t="n">
        <v>41773</v>
      </c>
      <c r="D10214" t="inlineStr">
        <is>
          <t>SPEC</t>
        </is>
      </c>
      <c r="E10214" t="inlineStr">
        <is>
          <t>FLEXBAR 2 R2 TOP CONNEXION</t>
        </is>
      </c>
      <c r="F10214" t="inlineStr">
        <is>
          <t>G7K NS2500kVA - Q4S BACKFEED</t>
        </is>
      </c>
      <c r="J10214" t="inlineStr">
        <is>
          <t>MATRION</t>
        </is>
      </c>
      <c r="K10214" t="inlineStr">
        <is>
          <t>CUIVRE</t>
        </is>
      </c>
      <c r="L10214">
        <f>_xlfn.XLOOKUP(Tableau1[[#This Row],[TYPE DE PIECE]],Tableau4[MATIERE],Tableau4[SHORT TYPE],"",0,1)</f>
        <v/>
      </c>
      <c r="N10214">
        <f>IF(ISERR(FIND("DECOUPE",Tableau1[[#This Row],[DESIGNATION]])),"","NEED REF")</f>
        <v/>
      </c>
    </row>
    <row r="10215">
      <c r="B10215" t="n">
        <v>34403791</v>
      </c>
      <c r="C10215" s="2" t="n">
        <v>41773</v>
      </c>
      <c r="D10215" t="inlineStr">
        <is>
          <t>SPEC</t>
        </is>
      </c>
      <c r="E10215" t="inlineStr">
        <is>
          <t>FLEXBAR 1 R2 TOP CONNEXION</t>
        </is>
      </c>
      <c r="F10215" t="inlineStr">
        <is>
          <t>G7K NS2500kVA - Q4S BACKFEED</t>
        </is>
      </c>
      <c r="J10215" t="inlineStr">
        <is>
          <t>MATRION</t>
        </is>
      </c>
      <c r="K10215" t="inlineStr">
        <is>
          <t>CUIVRE</t>
        </is>
      </c>
      <c r="L10215">
        <f>_xlfn.XLOOKUP(Tableau1[[#This Row],[TYPE DE PIECE]],Tableau4[MATIERE],Tableau4[SHORT TYPE],"",0,1)</f>
        <v/>
      </c>
      <c r="N10215">
        <f>IF(ISERR(FIND("DECOUPE",Tableau1[[#This Row],[DESIGNATION]])),"","NEED REF")</f>
        <v/>
      </c>
    </row>
    <row r="10216">
      <c r="B10216" t="n">
        <v>34403790</v>
      </c>
      <c r="C10216" s="2" t="n">
        <v>41773</v>
      </c>
      <c r="D10216" t="inlineStr">
        <is>
          <t>SPEC</t>
        </is>
      </c>
      <c r="E10216" t="inlineStr">
        <is>
          <t>ROOF SF 800x800 + TOP CONNEXION</t>
        </is>
      </c>
      <c r="F10216" t="inlineStr">
        <is>
          <t>G7K NS2500kVA - Q4S BACKFEED</t>
        </is>
      </c>
      <c r="J10216" t="inlineStr">
        <is>
          <t>MATRION</t>
        </is>
      </c>
      <c r="K10216" t="inlineStr">
        <is>
          <t>SAREL</t>
        </is>
      </c>
      <c r="L10216">
        <f>_xlfn.XLOOKUP(Tableau1[[#This Row],[TYPE DE PIECE]],Tableau4[MATIERE],Tableau4[SHORT TYPE],"",0,1)</f>
        <v/>
      </c>
      <c r="N10216">
        <f>IF(ISERR(FIND("DECOUPE",Tableau1[[#This Row],[DESIGNATION]])),"","NEED REF")</f>
        <v/>
      </c>
    </row>
    <row r="10217">
      <c r="B10217" t="n">
        <v>34403789</v>
      </c>
      <c r="C10217" s="2" t="n">
        <v>41772</v>
      </c>
      <c r="D10217" t="inlineStr">
        <is>
          <t>SPEC</t>
        </is>
      </c>
      <c r="E10217" t="inlineStr">
        <is>
          <t>BUSBAR N+L1 - L2+L3 STEP 100 - CABS APP - PROFIL ALU PERFO</t>
        </is>
      </c>
      <c r="F10217" t="inlineStr">
        <is>
          <t>G7K NS2500kVA - Q4S BACKFEED</t>
        </is>
      </c>
      <c r="J10217" t="inlineStr">
        <is>
          <t>MATRION</t>
        </is>
      </c>
      <c r="K10217" t="inlineStr">
        <is>
          <t>DOC</t>
        </is>
      </c>
      <c r="L10217">
        <f>_xlfn.XLOOKUP(Tableau1[[#This Row],[TYPE DE PIECE]],Tableau4[MATIERE],Tableau4[SHORT TYPE],"",0,1)</f>
        <v/>
      </c>
      <c r="N10217">
        <f>IF(ISERR(FIND("DECOUPE",Tableau1[[#This Row],[DESIGNATION]])),"","NEED REF")</f>
        <v/>
      </c>
    </row>
    <row r="10218">
      <c r="B10218" t="n">
        <v>34403788</v>
      </c>
      <c r="C10218" s="2" t="n">
        <v>41771</v>
      </c>
      <c r="D10218" t="inlineStr">
        <is>
          <t>SPEC</t>
        </is>
      </c>
      <c r="E10218" t="inlineStr">
        <is>
          <t>BUSBAR L1/L2 LOAD TOP CONNEXION</t>
        </is>
      </c>
      <c r="F10218" t="inlineStr">
        <is>
          <t>G7K NS2500kVA - Q4S BACKFEED</t>
        </is>
      </c>
      <c r="J10218" t="inlineStr">
        <is>
          <t>MATRION</t>
        </is>
      </c>
      <c r="K10218" t="inlineStr">
        <is>
          <t>CUIVRE</t>
        </is>
      </c>
      <c r="L10218">
        <f>_xlfn.XLOOKUP(Tableau1[[#This Row],[TYPE DE PIECE]],Tableau4[MATIERE],Tableau4[SHORT TYPE],"",0,1)</f>
        <v/>
      </c>
      <c r="N10218">
        <f>IF(ISERR(FIND("DECOUPE",Tableau1[[#This Row],[DESIGNATION]])),"","NEED REF")</f>
        <v/>
      </c>
    </row>
    <row r="10219">
      <c r="B10219" t="n">
        <v>34403787</v>
      </c>
      <c r="C10219" s="2" t="n">
        <v>41771</v>
      </c>
      <c r="D10219" t="inlineStr">
        <is>
          <t>SPEC</t>
        </is>
      </c>
      <c r="E10219" t="inlineStr">
        <is>
          <t>BUSBAR N/L3 LOAD TOP CONNEXION</t>
        </is>
      </c>
      <c r="F10219" t="inlineStr">
        <is>
          <t>G7K NS2500kVA - Q4S BACKFEED</t>
        </is>
      </c>
      <c r="J10219" t="inlineStr">
        <is>
          <t>MATRION</t>
        </is>
      </c>
      <c r="K10219" t="inlineStr">
        <is>
          <t>CUIVRE</t>
        </is>
      </c>
      <c r="L10219">
        <f>_xlfn.XLOOKUP(Tableau1[[#This Row],[TYPE DE PIECE]],Tableau4[MATIERE],Tableau4[SHORT TYPE],"",0,1)</f>
        <v/>
      </c>
      <c r="N10219">
        <f>IF(ISERR(FIND("DECOUPE",Tableau1[[#This Row],[DESIGNATION]])),"","NEED REF")</f>
        <v/>
      </c>
    </row>
    <row r="10220">
      <c r="B10220" t="n">
        <v>34403786</v>
      </c>
      <c r="C10220" s="2" t="n">
        <v>41771</v>
      </c>
      <c r="D10220" t="inlineStr">
        <is>
          <t>SPEC</t>
        </is>
      </c>
      <c r="E10220" t="inlineStr">
        <is>
          <t>BUSBAR L1/L2 LOAD TOP CONNEXION</t>
        </is>
      </c>
      <c r="F10220" t="inlineStr">
        <is>
          <t>G7K NS2500kVA - Q4S BACKFEED</t>
        </is>
      </c>
      <c r="J10220" t="inlineStr">
        <is>
          <t>MATRION</t>
        </is>
      </c>
      <c r="K10220" t="inlineStr">
        <is>
          <t>CUIVRE</t>
        </is>
      </c>
      <c r="L10220">
        <f>_xlfn.XLOOKUP(Tableau1[[#This Row],[TYPE DE PIECE]],Tableau4[MATIERE],Tableau4[SHORT TYPE],"",0,1)</f>
        <v/>
      </c>
      <c r="N10220">
        <f>IF(ISERR(FIND("DECOUPE",Tableau1[[#This Row],[DESIGNATION]])),"","NEED REF")</f>
        <v/>
      </c>
    </row>
    <row r="10221">
      <c r="B10221" t="n">
        <v>34403785</v>
      </c>
      <c r="C10221" s="2" t="n">
        <v>41771</v>
      </c>
      <c r="D10221" t="inlineStr">
        <is>
          <t>SPEC</t>
        </is>
      </c>
      <c r="E10221" t="inlineStr">
        <is>
          <t>BUSBAR N/L3 LOAD TOP CONNEXION</t>
        </is>
      </c>
      <c r="F10221" t="inlineStr">
        <is>
          <t>G7K NS2500kVA - Q4S BACKFEED</t>
        </is>
      </c>
      <c r="J10221" t="inlineStr">
        <is>
          <t>MATRION</t>
        </is>
      </c>
      <c r="K10221" t="inlineStr">
        <is>
          <t>CUIVRE</t>
        </is>
      </c>
      <c r="L10221">
        <f>_xlfn.XLOOKUP(Tableau1[[#This Row],[TYPE DE PIECE]],Tableau4[MATIERE],Tableau4[SHORT TYPE],"",0,1)</f>
        <v/>
      </c>
      <c r="N10221">
        <f>IF(ISERR(FIND("DECOUPE",Tableau1[[#This Row],[DESIGNATION]])),"","NEED REF")</f>
        <v/>
      </c>
    </row>
    <row r="10222">
      <c r="B10222" t="n">
        <v>34403784</v>
      </c>
      <c r="C10222" s="2" t="n">
        <v>41771</v>
      </c>
      <c r="D10222" t="inlineStr">
        <is>
          <t>SPEC</t>
        </is>
      </c>
      <c r="E10222" t="inlineStr">
        <is>
          <t>BUSBAR L1/L2 R2 TOP CONNEXION</t>
        </is>
      </c>
      <c r="F10222" t="inlineStr">
        <is>
          <t>G7K NS2500kVA - Q4S BACKFEED</t>
        </is>
      </c>
      <c r="J10222" t="inlineStr">
        <is>
          <t>MATRION</t>
        </is>
      </c>
      <c r="K10222" t="inlineStr">
        <is>
          <t>CUIVRE</t>
        </is>
      </c>
      <c r="L10222">
        <f>_xlfn.XLOOKUP(Tableau1[[#This Row],[TYPE DE PIECE]],Tableau4[MATIERE],Tableau4[SHORT TYPE],"",0,1)</f>
        <v/>
      </c>
      <c r="N10222">
        <f>IF(ISERR(FIND("DECOUPE",Tableau1[[#This Row],[DESIGNATION]])),"","NEED REF")</f>
        <v/>
      </c>
    </row>
    <row r="10223">
      <c r="B10223" t="n">
        <v>34403783</v>
      </c>
      <c r="C10223" s="2" t="n">
        <v>41771</v>
      </c>
      <c r="D10223" t="inlineStr">
        <is>
          <t>SPEC</t>
        </is>
      </c>
      <c r="E10223" t="inlineStr">
        <is>
          <t>BUSBAR N/L3 R2 TOP CONNEXION</t>
        </is>
      </c>
      <c r="F10223" t="inlineStr">
        <is>
          <t>G7K NS2500kVA - Q4S BACKFEED</t>
        </is>
      </c>
      <c r="J10223" t="inlineStr">
        <is>
          <t>MATRION</t>
        </is>
      </c>
      <c r="K10223" t="inlineStr">
        <is>
          <t>CUIVRE</t>
        </is>
      </c>
      <c r="L10223">
        <f>_xlfn.XLOOKUP(Tableau1[[#This Row],[TYPE DE PIECE]],Tableau4[MATIERE],Tableau4[SHORT TYPE],"",0,1)</f>
        <v/>
      </c>
      <c r="N10223">
        <f>IF(ISERR(FIND("DECOUPE",Tableau1[[#This Row],[DESIGNATION]])),"","NEED REF")</f>
        <v/>
      </c>
    </row>
    <row r="10224">
      <c r="B10224" t="n">
        <v>34403782</v>
      </c>
      <c r="C10224" s="2" t="n">
        <v>41771</v>
      </c>
      <c r="D10224" t="inlineStr">
        <is>
          <t>SPEC</t>
        </is>
      </c>
      <c r="E10224" t="inlineStr">
        <is>
          <t>JUNCTION BUSBAR HORIZONTAL TOP CONNEXION</t>
        </is>
      </c>
      <c r="F10224" t="inlineStr">
        <is>
          <t>G7K NS2500kVA - Q4S BACKFEED</t>
        </is>
      </c>
      <c r="J10224" t="inlineStr">
        <is>
          <t>MATRION</t>
        </is>
      </c>
      <c r="K10224" t="inlineStr">
        <is>
          <t>CUIVRE</t>
        </is>
      </c>
      <c r="L10224">
        <f>_xlfn.XLOOKUP(Tableau1[[#This Row],[TYPE DE PIECE]],Tableau4[MATIERE],Tableau4[SHORT TYPE],"",0,1)</f>
        <v/>
      </c>
      <c r="N10224">
        <f>IF(ISERR(FIND("DECOUPE",Tableau1[[#This Row],[DESIGNATION]])),"","NEED REF")</f>
        <v/>
      </c>
    </row>
    <row r="10225">
      <c r="B10225" t="n">
        <v>34403781</v>
      </c>
      <c r="C10225" s="2" t="n">
        <v>41771</v>
      </c>
      <c r="D10225" t="inlineStr">
        <is>
          <t>SPEC</t>
        </is>
      </c>
      <c r="E10225" t="inlineStr">
        <is>
          <t>HOLD HORIZONTAL 10MM TOP CONNEXION</t>
        </is>
      </c>
      <c r="F10225" t="inlineStr">
        <is>
          <t>G7K NS2500kVA - Q4S BACKFEED</t>
        </is>
      </c>
      <c r="J10225" t="inlineStr">
        <is>
          <t>MATRION</t>
        </is>
      </c>
      <c r="K10225" t="inlineStr">
        <is>
          <t>CUIVRE</t>
        </is>
      </c>
      <c r="L10225">
        <f>_xlfn.XLOOKUP(Tableau1[[#This Row],[TYPE DE PIECE]],Tableau4[MATIERE],Tableau4[SHORT TYPE],"",0,1)</f>
        <v/>
      </c>
      <c r="N10225">
        <f>IF(ISERR(FIND("DECOUPE",Tableau1[[#This Row],[DESIGNATION]])),"","NEED REF")</f>
        <v/>
      </c>
    </row>
    <row r="10226">
      <c r="B10226" t="n">
        <v>34403780</v>
      </c>
      <c r="C10226" s="2" t="n">
        <v>41771</v>
      </c>
      <c r="D10226" t="inlineStr">
        <is>
          <t>SPEC</t>
        </is>
      </c>
      <c r="E10226" t="inlineStr">
        <is>
          <t>BUSBAR HORIZONTAL TOP CONNEXION</t>
        </is>
      </c>
      <c r="F10226" t="inlineStr">
        <is>
          <t>G7K NS2500kVA - Q4S BACKFEED</t>
        </is>
      </c>
      <c r="J10226" t="inlineStr">
        <is>
          <t>MATRION</t>
        </is>
      </c>
      <c r="K10226" t="inlineStr">
        <is>
          <t>CUIVRE</t>
        </is>
      </c>
      <c r="L10226">
        <f>_xlfn.XLOOKUP(Tableau1[[#This Row],[TYPE DE PIECE]],Tableau4[MATIERE],Tableau4[SHORT TYPE],"",0,1)</f>
        <v/>
      </c>
      <c r="N10226">
        <f>IF(ISERR(FIND("DECOUPE",Tableau1[[#This Row],[DESIGNATION]])),"","NEED REF")</f>
        <v/>
      </c>
    </row>
    <row r="10227">
      <c r="B10227" t="n">
        <v>34403779</v>
      </c>
      <c r="C10227" s="2" t="n">
        <v>41759</v>
      </c>
      <c r="D10227" t="inlineStr">
        <is>
          <t>SPEC</t>
        </is>
      </c>
      <c r="E10227" t="inlineStr">
        <is>
          <t>PROTECTION SHIELD NS2500 BYPASS TOP</t>
        </is>
      </c>
      <c r="F10227" t="inlineStr">
        <is>
          <t>G7K NS2500kVA - Q4S BACKFEED</t>
        </is>
      </c>
      <c r="J10227" t="inlineStr">
        <is>
          <t>MATRION</t>
        </is>
      </c>
      <c r="K10227" t="inlineStr">
        <is>
          <t>METAL</t>
        </is>
      </c>
      <c r="L10227">
        <f>_xlfn.XLOOKUP(Tableau1[[#This Row],[TYPE DE PIECE]],Tableau4[MATIERE],Tableau4[SHORT TYPE],"",0,1)</f>
        <v/>
      </c>
      <c r="N10227">
        <f>IF(ISERR(FIND("DECOUPE",Tableau1[[#This Row],[DESIGNATION]])),"","NEED REF")</f>
        <v/>
      </c>
    </row>
    <row r="10228">
      <c r="B10228" t="n">
        <v>34403778</v>
      </c>
      <c r="C10228" s="2" t="n">
        <v>41766</v>
      </c>
      <c r="D10228" t="inlineStr">
        <is>
          <t>SPEC</t>
        </is>
      </c>
      <c r="E10228" t="inlineStr">
        <is>
          <t>PROTECTION SHIELD NS2500 BYPASS MIDDLE</t>
        </is>
      </c>
      <c r="F10228" t="inlineStr">
        <is>
          <t>G7K NS2500kVA - Q4S BACKFEED</t>
        </is>
      </c>
      <c r="J10228" t="inlineStr">
        <is>
          <t>MATRION</t>
        </is>
      </c>
      <c r="K10228" t="inlineStr">
        <is>
          <t>METAL</t>
        </is>
      </c>
      <c r="L10228">
        <f>_xlfn.XLOOKUP(Tableau1[[#This Row],[TYPE DE PIECE]],Tableau4[MATIERE],Tableau4[SHORT TYPE],"",0,1)</f>
        <v/>
      </c>
      <c r="N10228">
        <f>IF(ISERR(FIND("DECOUPE",Tableau1[[#This Row],[DESIGNATION]])),"","NEED REF")</f>
        <v/>
      </c>
    </row>
    <row r="10229">
      <c r="B10229" t="n">
        <v>34403777</v>
      </c>
      <c r="C10229" s="2" t="n">
        <v>41778</v>
      </c>
      <c r="D10229" t="inlineStr">
        <is>
          <t>SPEC</t>
        </is>
      </c>
      <c r="E10229" t="inlineStr">
        <is>
          <t>HOLD HORIZONTAL 5MM TOP CONNEXION</t>
        </is>
      </c>
      <c r="F10229" t="inlineStr">
        <is>
          <t>G7K NS2500kVA - Q4S BACKFEED</t>
        </is>
      </c>
      <c r="J10229" t="inlineStr">
        <is>
          <t>MATRION</t>
        </is>
      </c>
      <c r="K10229" t="inlineStr">
        <is>
          <t>CUIVRE</t>
        </is>
      </c>
      <c r="L10229">
        <f>_xlfn.XLOOKUP(Tableau1[[#This Row],[TYPE DE PIECE]],Tableau4[MATIERE],Tableau4[SHORT TYPE],"",0,1)</f>
        <v/>
      </c>
      <c r="N10229">
        <f>IF(ISERR(FIND("DECOUPE",Tableau1[[#This Row],[DESIGNATION]])),"","NEED REF")</f>
        <v/>
      </c>
    </row>
    <row r="10230">
      <c r="B10230" t="n">
        <v>34403776</v>
      </c>
      <c r="C10230" s="2" t="n">
        <v>41766</v>
      </c>
      <c r="D10230" t="inlineStr">
        <is>
          <t>SPEC</t>
        </is>
      </c>
      <c r="E10230" t="inlineStr">
        <is>
          <t>LATERAL PROTECTION 2</t>
        </is>
      </c>
      <c r="F10230" t="inlineStr">
        <is>
          <t>G7K NS2500kVA - Q4S BACKFEED</t>
        </is>
      </c>
      <c r="J10230" t="inlineStr">
        <is>
          <t>MATRION</t>
        </is>
      </c>
      <c r="K10230" t="inlineStr">
        <is>
          <t>METAL</t>
        </is>
      </c>
      <c r="L10230">
        <f>_xlfn.XLOOKUP(Tableau1[[#This Row],[TYPE DE PIECE]],Tableau4[MATIERE],Tableau4[SHORT TYPE],"",0,1)</f>
        <v/>
      </c>
      <c r="N10230">
        <f>IF(ISERR(FIND("DECOUPE",Tableau1[[#This Row],[DESIGNATION]])),"","NEED REF")</f>
        <v/>
      </c>
    </row>
    <row r="10231">
      <c r="B10231" t="n">
        <v>34403775</v>
      </c>
      <c r="C10231" s="2" t="n">
        <v>41766</v>
      </c>
      <c r="D10231" t="inlineStr">
        <is>
          <t>SPEC</t>
        </is>
      </c>
      <c r="E10231" t="inlineStr">
        <is>
          <t>LATERAL PROTECTION 1</t>
        </is>
      </c>
      <c r="F10231" t="inlineStr">
        <is>
          <t>G7K NS2500kVA - Q4S BACKFEED</t>
        </is>
      </c>
      <c r="J10231" t="inlineStr">
        <is>
          <t>MATRION</t>
        </is>
      </c>
      <c r="K10231" t="inlineStr">
        <is>
          <t>METAL</t>
        </is>
      </c>
      <c r="L10231">
        <f>_xlfn.XLOOKUP(Tableau1[[#This Row],[TYPE DE PIECE]],Tableau4[MATIERE],Tableau4[SHORT TYPE],"",0,1)</f>
        <v/>
      </c>
      <c r="N10231">
        <f>IF(ISERR(FIND("DECOUPE",Tableau1[[#This Row],[DESIGNATION]])),"","NEED REF")</f>
        <v/>
      </c>
    </row>
    <row r="10232">
      <c r="B10232" t="n">
        <v>34403774</v>
      </c>
      <c r="C10232" s="2" t="n">
        <v>41765</v>
      </c>
      <c r="D10232" t="inlineStr">
        <is>
          <t>SPEC</t>
        </is>
      </c>
      <c r="E10232" t="inlineStr">
        <is>
          <t>NEUTRAL CX QTEST</t>
        </is>
      </c>
      <c r="F10232" t="inlineStr">
        <is>
          <t>G7K 500kVA QST</t>
        </is>
      </c>
      <c r="J10232" t="inlineStr">
        <is>
          <t>MATRION</t>
        </is>
      </c>
      <c r="K10232" t="inlineStr">
        <is>
          <t>CUIVRE</t>
        </is>
      </c>
      <c r="L10232">
        <f>_xlfn.XLOOKUP(Tableau1[[#This Row],[TYPE DE PIECE]],Tableau4[MATIERE],Tableau4[SHORT TYPE],"",0,1)</f>
        <v/>
      </c>
      <c r="N10232">
        <f>IF(ISERR(FIND("DECOUPE",Tableau1[[#This Row],[DESIGNATION]])),"","NEED REF")</f>
        <v/>
      </c>
    </row>
    <row r="10233">
      <c r="B10233" t="n">
        <v>34403773</v>
      </c>
      <c r="C10233" s="2" t="n">
        <v>41764</v>
      </c>
      <c r="D10233" t="inlineStr">
        <is>
          <t>SPEC</t>
        </is>
      </c>
      <c r="E10233" t="inlineStr">
        <is>
          <t>LATERAL PROTECTION 3</t>
        </is>
      </c>
      <c r="F10233" t="inlineStr">
        <is>
          <t>G7K NS2500kVA - Q4S BACKFEED</t>
        </is>
      </c>
      <c r="J10233" t="inlineStr">
        <is>
          <t>MATRION</t>
        </is>
      </c>
      <c r="K10233" t="inlineStr">
        <is>
          <t>METAL</t>
        </is>
      </c>
      <c r="L10233">
        <f>_xlfn.XLOOKUP(Tableau1[[#This Row],[TYPE DE PIECE]],Tableau4[MATIERE],Tableau4[SHORT TYPE],"",0,1)</f>
        <v/>
      </c>
      <c r="N10233">
        <f>IF(ISERR(FIND("DECOUPE",Tableau1[[#This Row],[DESIGNATION]])),"","NEED REF")</f>
        <v/>
      </c>
    </row>
    <row r="10234">
      <c r="B10234" t="n">
        <v>34403772</v>
      </c>
      <c r="C10234" s="2" t="n">
        <v>41764</v>
      </c>
      <c r="D10234" t="inlineStr">
        <is>
          <t>SPEC</t>
        </is>
      </c>
      <c r="E10234" t="inlineStr">
        <is>
          <t>QTEST BOTTOM PROTECTION</t>
        </is>
      </c>
      <c r="F10234" t="inlineStr">
        <is>
          <t>G7K 500kVA QST</t>
        </is>
      </c>
      <c r="J10234" t="inlineStr">
        <is>
          <t>MATRION</t>
        </is>
      </c>
      <c r="K10234" t="inlineStr">
        <is>
          <t>METAL</t>
        </is>
      </c>
      <c r="L10234">
        <f>_xlfn.XLOOKUP(Tableau1[[#This Row],[TYPE DE PIECE]],Tableau4[MATIERE],Tableau4[SHORT TYPE],"",0,1)</f>
        <v/>
      </c>
      <c r="N10234">
        <f>IF(ISERR(FIND("DECOUPE",Tableau1[[#This Row],[DESIGNATION]])),"","NEED REF")</f>
        <v/>
      </c>
    </row>
    <row r="10235">
      <c r="B10235" t="n">
        <v>34403771</v>
      </c>
      <c r="C10235" s="2" t="n">
        <v>41764</v>
      </c>
      <c r="D10235" t="inlineStr">
        <is>
          <t>SPEC</t>
        </is>
      </c>
      <c r="E10235" t="inlineStr">
        <is>
          <t>QTEST TOP PROTECTION</t>
        </is>
      </c>
      <c r="F10235" t="inlineStr">
        <is>
          <t>G7K 500kVA QST</t>
        </is>
      </c>
      <c r="J10235" t="inlineStr">
        <is>
          <t>MATRION</t>
        </is>
      </c>
      <c r="K10235" t="inlineStr">
        <is>
          <t>PLASTIQUE</t>
        </is>
      </c>
      <c r="L10235">
        <f>_xlfn.XLOOKUP(Tableau1[[#This Row],[TYPE DE PIECE]],Tableau4[MATIERE],Tableau4[SHORT TYPE],"",0,1)</f>
        <v/>
      </c>
      <c r="N10235">
        <f>IF(ISERR(FIND("DECOUPE",Tableau1[[#This Row],[DESIGNATION]])),"","NEED REF")</f>
        <v/>
      </c>
    </row>
    <row r="10236">
      <c r="B10236" t="n">
        <v>34403770</v>
      </c>
      <c r="C10236" s="2" t="n">
        <v>41764</v>
      </c>
      <c r="D10236" t="inlineStr">
        <is>
          <t>SPEC</t>
        </is>
      </c>
      <c r="E10236" t="inlineStr">
        <is>
          <t>SPACER 5MM</t>
        </is>
      </c>
      <c r="F10236" t="inlineStr">
        <is>
          <t>G7K 500kVA QST</t>
        </is>
      </c>
      <c r="J10236" t="inlineStr">
        <is>
          <t>MATRION</t>
        </is>
      </c>
      <c r="K10236" t="inlineStr">
        <is>
          <t>PLASTIQUE</t>
        </is>
      </c>
      <c r="L10236">
        <f>_xlfn.XLOOKUP(Tableau1[[#This Row],[TYPE DE PIECE]],Tableau4[MATIERE],Tableau4[SHORT TYPE],"",0,1)</f>
        <v/>
      </c>
      <c r="N10236">
        <f>IF(ISERR(FIND("DECOUPE",Tableau1[[#This Row],[DESIGNATION]])),"","NEED REF")</f>
        <v/>
      </c>
    </row>
    <row r="10237">
      <c r="B10237" t="n">
        <v>34403769</v>
      </c>
      <c r="C10237" s="2" t="n">
        <v>41749</v>
      </c>
      <c r="D10237" t="inlineStr">
        <is>
          <t>SPEC</t>
        </is>
      </c>
      <c r="E10237" t="inlineStr">
        <is>
          <t>BUSBAR L1 - L2+L3 STEP 100 - CABS APP - PROFIL ALU PERFO</t>
        </is>
      </c>
      <c r="F10237" t="inlineStr">
        <is>
          <t>G7K NS2500kVA - Q4S BACKFEED</t>
        </is>
      </c>
      <c r="J10237" t="inlineStr">
        <is>
          <t>MATRION</t>
        </is>
      </c>
      <c r="K10237" t="inlineStr">
        <is>
          <t>DOC</t>
        </is>
      </c>
      <c r="L10237">
        <f>_xlfn.XLOOKUP(Tableau1[[#This Row],[TYPE DE PIECE]],Tableau4[MATIERE],Tableau4[SHORT TYPE],"",0,1)</f>
        <v/>
      </c>
      <c r="N10237">
        <f>IF(ISERR(FIND("DECOUPE",Tableau1[[#This Row],[DESIGNATION]])),"","NEED REF")</f>
        <v/>
      </c>
    </row>
    <row r="10238">
      <c r="B10238" t="n">
        <v>34403768</v>
      </c>
      <c r="C10238" s="2" t="n">
        <v>41759</v>
      </c>
      <c r="D10238" t="inlineStr">
        <is>
          <t>SPEC</t>
        </is>
      </c>
      <c r="E10238" t="inlineStr">
        <is>
          <t>PROTECTION SHIELD NS2500 BYPASS BOTTOM</t>
        </is>
      </c>
      <c r="F10238" t="inlineStr">
        <is>
          <t>G7K NS2500kVA - Q4S BACKFEED</t>
        </is>
      </c>
      <c r="J10238" t="inlineStr">
        <is>
          <t>MATRION</t>
        </is>
      </c>
      <c r="K10238" t="inlineStr">
        <is>
          <t>METAL</t>
        </is>
      </c>
      <c r="L10238">
        <f>_xlfn.XLOOKUP(Tableau1[[#This Row],[TYPE DE PIECE]],Tableau4[MATIERE],Tableau4[SHORT TYPE],"",0,1)</f>
        <v/>
      </c>
      <c r="N10238">
        <f>IF(ISERR(FIND("DECOUPE",Tableau1[[#This Row],[DESIGNATION]])),"","NEED REF")</f>
        <v/>
      </c>
    </row>
    <row r="10239">
      <c r="B10239" t="n">
        <v>34403767</v>
      </c>
      <c r="C10239" s="2" t="n">
        <v>41759</v>
      </c>
      <c r="D10239" t="inlineStr">
        <is>
          <t>SPEC</t>
        </is>
      </c>
      <c r="E10239" t="inlineStr">
        <is>
          <t>IQ CONNECTION 2</t>
        </is>
      </c>
      <c r="F10239" t="inlineStr">
        <is>
          <t>G7K NS2500kVA - Q4S BACKFEED</t>
        </is>
      </c>
      <c r="J10239" t="inlineStr">
        <is>
          <t>MATRION</t>
        </is>
      </c>
      <c r="K10239" t="inlineStr">
        <is>
          <t>METAL</t>
        </is>
      </c>
      <c r="L10239">
        <f>_xlfn.XLOOKUP(Tableau1[[#This Row],[TYPE DE PIECE]],Tableau4[MATIERE],Tableau4[SHORT TYPE],"",0,1)</f>
        <v/>
      </c>
      <c r="N10239">
        <f>IF(ISERR(FIND("DECOUPE",Tableau1[[#This Row],[DESIGNATION]])),"","NEED REF")</f>
        <v/>
      </c>
    </row>
    <row r="10240">
      <c r="B10240" t="n">
        <v>34403766</v>
      </c>
      <c r="C10240" s="2" t="n">
        <v>41759</v>
      </c>
      <c r="D10240" t="inlineStr">
        <is>
          <t>SPEC</t>
        </is>
      </c>
      <c r="E10240" t="inlineStr">
        <is>
          <t>IQ CONNECTION 1</t>
        </is>
      </c>
      <c r="F10240" t="inlineStr">
        <is>
          <t>G7K NS2500kVA - Q4S BACKFEED</t>
        </is>
      </c>
      <c r="J10240" t="inlineStr">
        <is>
          <t>MATRION</t>
        </is>
      </c>
      <c r="K10240" t="inlineStr">
        <is>
          <t>METAL</t>
        </is>
      </c>
      <c r="L10240">
        <f>_xlfn.XLOOKUP(Tableau1[[#This Row],[TYPE DE PIECE]],Tableau4[MATIERE],Tableau4[SHORT TYPE],"",0,1)</f>
        <v/>
      </c>
      <c r="N10240">
        <f>IF(ISERR(FIND("DECOUPE",Tableau1[[#This Row],[DESIGNATION]])),"","NEED REF")</f>
        <v/>
      </c>
    </row>
    <row r="10241">
      <c r="B10241" t="n">
        <v>34403765</v>
      </c>
      <c r="C10241" s="2" t="n">
        <v>41759</v>
      </c>
      <c r="D10241" t="inlineStr">
        <is>
          <t>SPEC</t>
        </is>
      </c>
      <c r="E10241" t="inlineStr">
        <is>
          <t>PROTECTION SHIELD NS2500 BOTTOM</t>
        </is>
      </c>
      <c r="F10241" t="inlineStr">
        <is>
          <t>G7K NS2500kVA - Q4S BACKFEED</t>
        </is>
      </c>
      <c r="J10241" t="inlineStr">
        <is>
          <t>MATRION</t>
        </is>
      </c>
      <c r="K10241" t="inlineStr">
        <is>
          <t>METAL</t>
        </is>
      </c>
      <c r="L10241">
        <f>_xlfn.XLOOKUP(Tableau1[[#This Row],[TYPE DE PIECE]],Tableau4[MATIERE],Tableau4[SHORT TYPE],"",0,1)</f>
        <v/>
      </c>
      <c r="N10241">
        <f>IF(ISERR(FIND("DECOUPE",Tableau1[[#This Row],[DESIGNATION]])),"","NEED REF")</f>
        <v/>
      </c>
    </row>
    <row r="10242">
      <c r="B10242" t="n">
        <v>34403764</v>
      </c>
      <c r="C10242" s="2" t="n">
        <v>41759</v>
      </c>
      <c r="D10242" t="inlineStr">
        <is>
          <t>SPEC</t>
        </is>
      </c>
      <c r="E10242" t="inlineStr">
        <is>
          <t>PROTECTION SHIELD NS2500 TOP</t>
        </is>
      </c>
      <c r="F10242" t="inlineStr">
        <is>
          <t>G7K NS2500kVA - Q4S BACKFEED</t>
        </is>
      </c>
      <c r="J10242" t="inlineStr">
        <is>
          <t>MATRION</t>
        </is>
      </c>
      <c r="K10242" t="inlineStr">
        <is>
          <t>METAL</t>
        </is>
      </c>
      <c r="L10242">
        <f>_xlfn.XLOOKUP(Tableau1[[#This Row],[TYPE DE PIECE]],Tableau4[MATIERE],Tableau4[SHORT TYPE],"",0,1)</f>
        <v/>
      </c>
      <c r="N10242">
        <f>IF(ISERR(FIND("DECOUPE",Tableau1[[#This Row],[DESIGNATION]])),"","NEED REF")</f>
        <v/>
      </c>
    </row>
    <row r="10243">
      <c r="B10243" t="n">
        <v>34403763</v>
      </c>
      <c r="C10243" s="2" t="n">
        <v>41759</v>
      </c>
      <c r="D10243" t="inlineStr">
        <is>
          <t>SPEC</t>
        </is>
      </c>
      <c r="E10243" t="inlineStr">
        <is>
          <t>SUPPORT PROTECTION SHIELD NS2500 BOTTOM 2</t>
        </is>
      </c>
      <c r="F10243" t="inlineStr">
        <is>
          <t>G7K NS2500kVA - Q4S BACKFEED</t>
        </is>
      </c>
      <c r="J10243" t="inlineStr">
        <is>
          <t>MATRION</t>
        </is>
      </c>
      <c r="K10243" t="inlineStr">
        <is>
          <t>METAL</t>
        </is>
      </c>
      <c r="L10243">
        <f>_xlfn.XLOOKUP(Tableau1[[#This Row],[TYPE DE PIECE]],Tableau4[MATIERE],Tableau4[SHORT TYPE],"",0,1)</f>
        <v/>
      </c>
      <c r="N10243">
        <f>IF(ISERR(FIND("DECOUPE",Tableau1[[#This Row],[DESIGNATION]])),"","NEED REF")</f>
        <v/>
      </c>
    </row>
    <row r="10244">
      <c r="B10244" t="n">
        <v>34403762</v>
      </c>
      <c r="C10244" s="2" t="n">
        <v>41759</v>
      </c>
      <c r="D10244" t="inlineStr">
        <is>
          <t>SPEC</t>
        </is>
      </c>
      <c r="E10244" t="inlineStr">
        <is>
          <t>SUPPORT PROTECTION SHIELD NS2500 BOTTOM 1</t>
        </is>
      </c>
      <c r="F10244" t="inlineStr">
        <is>
          <t>G7K NS2500kVA - Q4S BACKFEED</t>
        </is>
      </c>
      <c r="J10244" t="inlineStr">
        <is>
          <t>MATRION</t>
        </is>
      </c>
      <c r="K10244" t="inlineStr">
        <is>
          <t>METAL</t>
        </is>
      </c>
      <c r="L10244">
        <f>_xlfn.XLOOKUP(Tableau1[[#This Row],[TYPE DE PIECE]],Tableau4[MATIERE],Tableau4[SHORT TYPE],"",0,1)</f>
        <v/>
      </c>
      <c r="N10244">
        <f>IF(ISERR(FIND("DECOUPE",Tableau1[[#This Row],[DESIGNATION]])),"","NEED REF")</f>
        <v/>
      </c>
    </row>
    <row r="10245">
      <c r="B10245" t="n">
        <v>34403761</v>
      </c>
      <c r="C10245" s="2" t="n">
        <v>41759</v>
      </c>
      <c r="D10245" t="inlineStr">
        <is>
          <t>SPEC</t>
        </is>
      </c>
      <c r="E10245" t="inlineStr">
        <is>
          <t>PROTECTION SHIELD NS2500 (TEST)</t>
        </is>
      </c>
      <c r="F10245" t="inlineStr">
        <is>
          <t>G7K NS2500kVA - Q4S BACKFEED</t>
        </is>
      </c>
      <c r="J10245" t="inlineStr">
        <is>
          <t>MATRION</t>
        </is>
      </c>
      <c r="K10245" t="inlineStr">
        <is>
          <t>METAL</t>
        </is>
      </c>
      <c r="L10245">
        <f>_xlfn.XLOOKUP(Tableau1[[#This Row],[TYPE DE PIECE]],Tableau4[MATIERE],Tableau4[SHORT TYPE],"",0,1)</f>
        <v/>
      </c>
      <c r="N10245">
        <f>IF(ISERR(FIND("DECOUPE",Tableau1[[#This Row],[DESIGNATION]])),"","NEED REF")</f>
        <v/>
      </c>
    </row>
    <row r="10246">
      <c r="B10246" t="n">
        <v>34403760</v>
      </c>
      <c r="C10246" s="2" t="n">
        <v>41758</v>
      </c>
      <c r="D10246" t="inlineStr">
        <is>
          <t>SPEC</t>
        </is>
      </c>
      <c r="E10246" t="inlineStr">
        <is>
          <t>CABLE FIX 1</t>
        </is>
      </c>
      <c r="F10246" t="inlineStr">
        <is>
          <t>G7K TOP CONNECTION - AMAZON</t>
        </is>
      </c>
      <c r="J10246" t="inlineStr">
        <is>
          <t>MATRION</t>
        </is>
      </c>
      <c r="L10246">
        <f>_xlfn.XLOOKUP(Tableau1[[#This Row],[TYPE DE PIECE]],Tableau4[MATIERE],Tableau4[SHORT TYPE],"",0,1)</f>
        <v/>
      </c>
      <c r="N10246">
        <f>IF(ISERR(FIND("DECOUPE",Tableau1[[#This Row],[DESIGNATION]])),"","NEED REF")</f>
        <v/>
      </c>
    </row>
    <row r="10247">
      <c r="B10247" t="n">
        <v>34403759</v>
      </c>
      <c r="C10247" s="2" t="n">
        <v>41757</v>
      </c>
      <c r="D10247" t="inlineStr">
        <is>
          <t>SPEC</t>
        </is>
      </c>
      <c r="E10247" t="inlineStr">
        <is>
          <t>SUPPORT 300 CLAMP JDB</t>
        </is>
      </c>
      <c r="F10247" t="inlineStr">
        <is>
          <t>G7K TOP CONNECTION - AMAZON</t>
        </is>
      </c>
      <c r="J10247" t="inlineStr">
        <is>
          <t>MATRION</t>
        </is>
      </c>
      <c r="L10247">
        <f>_xlfn.XLOOKUP(Tableau1[[#This Row],[TYPE DE PIECE]],Tableau4[MATIERE],Tableau4[SHORT TYPE],"",0,1)</f>
        <v/>
      </c>
      <c r="N10247">
        <f>IF(ISERR(FIND("DECOUPE",Tableau1[[#This Row],[DESIGNATION]])),"","NEED REF")</f>
        <v/>
      </c>
    </row>
    <row r="10248">
      <c r="B10248" t="n">
        <v>34403758</v>
      </c>
      <c r="C10248" s="2" t="n">
        <v>41757</v>
      </c>
      <c r="D10248" t="inlineStr">
        <is>
          <t>SPEC</t>
        </is>
      </c>
      <c r="E10248" t="inlineStr">
        <is>
          <t>COPPERBAR MAIN1/LOAD</t>
        </is>
      </c>
      <c r="F10248" t="inlineStr">
        <is>
          <t>G7K TOP CONNECTION - AMAZON</t>
        </is>
      </c>
      <c r="J10248" t="inlineStr">
        <is>
          <t>MATRION</t>
        </is>
      </c>
      <c r="L10248">
        <f>_xlfn.XLOOKUP(Tableau1[[#This Row],[TYPE DE PIECE]],Tableau4[MATIERE],Tableau4[SHORT TYPE],"",0,1)</f>
        <v/>
      </c>
      <c r="N10248">
        <f>IF(ISERR(FIND("DECOUPE",Tableau1[[#This Row],[DESIGNATION]])),"","NEED REF")</f>
        <v/>
      </c>
    </row>
    <row r="10249">
      <c r="B10249" t="n">
        <v>34403757</v>
      </c>
      <c r="C10249" s="2" t="n">
        <v>41757</v>
      </c>
      <c r="D10249" t="inlineStr">
        <is>
          <t>SPEC</t>
        </is>
      </c>
      <c r="E10249" t="inlineStr">
        <is>
          <t>PLATE ALIN-ALBT-EXTT</t>
        </is>
      </c>
      <c r="F10249" t="inlineStr">
        <is>
          <t>G7K TOP CONNECTION - AMAZON</t>
        </is>
      </c>
      <c r="J10249" t="inlineStr">
        <is>
          <t>MATRION</t>
        </is>
      </c>
      <c r="L10249">
        <f>_xlfn.XLOOKUP(Tableau1[[#This Row],[TYPE DE PIECE]],Tableau4[MATIERE],Tableau4[SHORT TYPE],"",0,1)</f>
        <v/>
      </c>
      <c r="N10249">
        <f>IF(ISERR(FIND("DECOUPE",Tableau1[[#This Row],[DESIGNATION]])),"","NEED REF")</f>
        <v/>
      </c>
    </row>
    <row r="10250">
      <c r="B10250" t="n">
        <v>34403756</v>
      </c>
      <c r="C10250" s="2" t="n">
        <v>41757</v>
      </c>
      <c r="D10250" t="inlineStr">
        <is>
          <t>SPEC</t>
        </is>
      </c>
      <c r="E10250" t="inlineStr">
        <is>
          <t>PLAN DE FIXATION CELLULE TGAB R2/LOAD POUR PALETTISATION</t>
        </is>
      </c>
      <c r="F10250" t="inlineStr">
        <is>
          <t>G7K NS2500kVA - Q4S BACKFEED</t>
        </is>
      </c>
      <c r="J10250" t="inlineStr">
        <is>
          <t>MATRION</t>
        </is>
      </c>
      <c r="K10250" t="inlineStr">
        <is>
          <t>DPF (palette)</t>
        </is>
      </c>
      <c r="L10250">
        <f>_xlfn.XLOOKUP(Tableau1[[#This Row],[TYPE DE PIECE]],Tableau4[MATIERE],Tableau4[SHORT TYPE],"",0,1)</f>
        <v/>
      </c>
      <c r="N10250">
        <f>IF(ISERR(FIND("DECOUPE",Tableau1[[#This Row],[DESIGNATION]])),"","NEED REF")</f>
        <v/>
      </c>
    </row>
    <row r="10251">
      <c r="B10251" t="n">
        <v>34403755</v>
      </c>
      <c r="C10251" s="2" t="n">
        <v>41757</v>
      </c>
      <c r="D10251" t="inlineStr">
        <is>
          <t>SPEC</t>
        </is>
      </c>
      <c r="E10251" t="inlineStr">
        <is>
          <t>PLAN DE FIXATION CELLULE NS2500+BYPASS POUR PALETTISATION</t>
        </is>
      </c>
      <c r="F10251" t="inlineStr">
        <is>
          <t>G7K NS2500kVA - Q4S BACKFEED</t>
        </is>
      </c>
      <c r="J10251" t="inlineStr">
        <is>
          <t>MATRION</t>
        </is>
      </c>
      <c r="K10251" t="inlineStr">
        <is>
          <t>DPF (palette)</t>
        </is>
      </c>
      <c r="L10251">
        <f>_xlfn.XLOOKUP(Tableau1[[#This Row],[TYPE DE PIECE]],Tableau4[MATIERE],Tableau4[SHORT TYPE],"",0,1)</f>
        <v/>
      </c>
      <c r="N10251">
        <f>IF(ISERR(FIND("DECOUPE",Tableau1[[#This Row],[DESIGNATION]])),"","NEED REF")</f>
        <v/>
      </c>
    </row>
    <row r="10252">
      <c r="B10252" t="n">
        <v>34403754</v>
      </c>
      <c r="C10252" s="2" t="n">
        <v>41752</v>
      </c>
      <c r="D10252" t="inlineStr">
        <is>
          <t>SPEC</t>
        </is>
      </c>
      <c r="E10252" t="inlineStr">
        <is>
          <t>BUSBAR SUPPORT 800 TGAB</t>
        </is>
      </c>
      <c r="F10252" t="inlineStr">
        <is>
          <t>G7K NS2500kVA - Q4S BACKFEED</t>
        </is>
      </c>
      <c r="J10252" t="inlineStr">
        <is>
          <t>MATRION</t>
        </is>
      </c>
      <c r="K10252" t="inlineStr">
        <is>
          <t>METAL</t>
        </is>
      </c>
      <c r="L10252">
        <f>_xlfn.XLOOKUP(Tableau1[[#This Row],[TYPE DE PIECE]],Tableau4[MATIERE],Tableau4[SHORT TYPE],"",0,1)</f>
        <v/>
      </c>
      <c r="N10252">
        <f>IF(ISERR(FIND("DECOUPE",Tableau1[[#This Row],[DESIGNATION]])),"","NEED REF")</f>
        <v/>
      </c>
    </row>
    <row r="10253">
      <c r="B10253" t="n">
        <v>34403753</v>
      </c>
      <c r="C10253" s="2" t="n">
        <v>41751</v>
      </c>
      <c r="D10253" t="inlineStr">
        <is>
          <t>SPEC</t>
        </is>
      </c>
      <c r="E10253" t="inlineStr">
        <is>
          <t>BUSBAR L3-4 LOAD TOP CONNEXION</t>
        </is>
      </c>
      <c r="F10253" t="inlineStr">
        <is>
          <t>G7K NS2500kVA - Q4S BACKFEED</t>
        </is>
      </c>
      <c r="J10253" t="inlineStr">
        <is>
          <t>MATRION</t>
        </is>
      </c>
      <c r="K10253" t="inlineStr">
        <is>
          <t>CUIVRE</t>
        </is>
      </c>
      <c r="L10253">
        <f>_xlfn.XLOOKUP(Tableau1[[#This Row],[TYPE DE PIECE]],Tableau4[MATIERE],Tableau4[SHORT TYPE],"",0,1)</f>
        <v/>
      </c>
      <c r="N10253">
        <f>IF(ISERR(FIND("DECOUPE",Tableau1[[#This Row],[DESIGNATION]])),"","NEED REF")</f>
        <v/>
      </c>
    </row>
    <row r="10254">
      <c r="B10254" t="n">
        <v>34403752</v>
      </c>
      <c r="C10254" s="2" t="n">
        <v>41751</v>
      </c>
      <c r="D10254" t="inlineStr">
        <is>
          <t>SPEC</t>
        </is>
      </c>
      <c r="E10254" t="inlineStr">
        <is>
          <t>BUSBAR L3-3 LOAD TOP CONNEXION</t>
        </is>
      </c>
      <c r="F10254" t="inlineStr">
        <is>
          <t>G7K NS2500kVA - Q4S BACKFEED</t>
        </is>
      </c>
      <c r="J10254" t="inlineStr">
        <is>
          <t>MATRION</t>
        </is>
      </c>
      <c r="K10254" t="inlineStr">
        <is>
          <t>CUIVRE</t>
        </is>
      </c>
      <c r="L10254">
        <f>_xlfn.XLOOKUP(Tableau1[[#This Row],[TYPE DE PIECE]],Tableau4[MATIERE],Tableau4[SHORT TYPE],"",0,1)</f>
        <v/>
      </c>
      <c r="N10254">
        <f>IF(ISERR(FIND("DECOUPE",Tableau1[[#This Row],[DESIGNATION]])),"","NEED REF")</f>
        <v/>
      </c>
    </row>
    <row r="10255">
      <c r="B10255" t="n">
        <v>34403751</v>
      </c>
      <c r="C10255" s="2" t="n">
        <v>41751</v>
      </c>
      <c r="D10255" t="inlineStr">
        <is>
          <t>SPEC</t>
        </is>
      </c>
      <c r="E10255" t="inlineStr">
        <is>
          <t>BUSBAR L2-4 LOAD TOP CONNEXION</t>
        </is>
      </c>
      <c r="F10255" t="inlineStr">
        <is>
          <t>G7K NS2500kVA - Q4S BACKFEED</t>
        </is>
      </c>
      <c r="J10255" t="inlineStr">
        <is>
          <t>MATRION</t>
        </is>
      </c>
      <c r="K10255" t="inlineStr">
        <is>
          <t>CUIVRE</t>
        </is>
      </c>
      <c r="L10255">
        <f>_xlfn.XLOOKUP(Tableau1[[#This Row],[TYPE DE PIECE]],Tableau4[MATIERE],Tableau4[SHORT TYPE],"",0,1)</f>
        <v/>
      </c>
      <c r="N10255">
        <f>IF(ISERR(FIND("DECOUPE",Tableau1[[#This Row],[DESIGNATION]])),"","NEED REF")</f>
        <v/>
      </c>
    </row>
    <row r="10256">
      <c r="B10256" t="n">
        <v>34403750</v>
      </c>
      <c r="C10256" s="2" t="n">
        <v>41751</v>
      </c>
      <c r="D10256" t="inlineStr">
        <is>
          <t>SPEC</t>
        </is>
      </c>
      <c r="E10256" t="inlineStr">
        <is>
          <t>BUSBAR L2-3 LOAD TOP CONNEXION</t>
        </is>
      </c>
      <c r="F10256" t="inlineStr">
        <is>
          <t>G7K NS2500kVA - Q4S BACKFEED</t>
        </is>
      </c>
      <c r="J10256" t="inlineStr">
        <is>
          <t>MATRION</t>
        </is>
      </c>
      <c r="K10256" t="inlineStr">
        <is>
          <t>CUIVRE</t>
        </is>
      </c>
      <c r="L10256">
        <f>_xlfn.XLOOKUP(Tableau1[[#This Row],[TYPE DE PIECE]],Tableau4[MATIERE],Tableau4[SHORT TYPE],"",0,1)</f>
        <v/>
      </c>
      <c r="N10256">
        <f>IF(ISERR(FIND("DECOUPE",Tableau1[[#This Row],[DESIGNATION]])),"","NEED REF")</f>
        <v/>
      </c>
    </row>
    <row r="10257">
      <c r="B10257" t="n">
        <v>34403749</v>
      </c>
      <c r="C10257" s="2" t="n">
        <v>41751</v>
      </c>
      <c r="D10257" t="inlineStr">
        <is>
          <t>SPEC</t>
        </is>
      </c>
      <c r="E10257" t="inlineStr">
        <is>
          <t>BUSBAR L1-4 LOAD TOP CONNEXION</t>
        </is>
      </c>
      <c r="F10257" t="inlineStr">
        <is>
          <t>G7K NS2500kVA - Q4S BACKFEED</t>
        </is>
      </c>
      <c r="J10257" t="inlineStr">
        <is>
          <t>MATRION</t>
        </is>
      </c>
      <c r="K10257" t="inlineStr">
        <is>
          <t>CUIVRE</t>
        </is>
      </c>
      <c r="L10257">
        <f>_xlfn.XLOOKUP(Tableau1[[#This Row],[TYPE DE PIECE]],Tableau4[MATIERE],Tableau4[SHORT TYPE],"",0,1)</f>
        <v/>
      </c>
      <c r="N10257">
        <f>IF(ISERR(FIND("DECOUPE",Tableau1[[#This Row],[DESIGNATION]])),"","NEED REF")</f>
        <v/>
      </c>
    </row>
    <row r="10258">
      <c r="B10258" t="n">
        <v>34403748</v>
      </c>
      <c r="C10258" s="2" t="n">
        <v>41751</v>
      </c>
      <c r="D10258" t="inlineStr">
        <is>
          <t>SPEC</t>
        </is>
      </c>
      <c r="E10258" t="inlineStr">
        <is>
          <t>BUSBAR L1-3 LOAD TOP CONNEXION</t>
        </is>
      </c>
      <c r="F10258" t="inlineStr">
        <is>
          <t>G7K NS2500kVA - Q4S BACKFEED</t>
        </is>
      </c>
      <c r="J10258" t="inlineStr">
        <is>
          <t>MATRION</t>
        </is>
      </c>
      <c r="K10258" t="inlineStr">
        <is>
          <t>CUIVRE</t>
        </is>
      </c>
      <c r="L10258">
        <f>_xlfn.XLOOKUP(Tableau1[[#This Row],[TYPE DE PIECE]],Tableau4[MATIERE],Tableau4[SHORT TYPE],"",0,1)</f>
        <v/>
      </c>
      <c r="N10258">
        <f>IF(ISERR(FIND("DECOUPE",Tableau1[[#This Row],[DESIGNATION]])),"","NEED REF")</f>
        <v/>
      </c>
    </row>
    <row r="10259">
      <c r="B10259" t="n">
        <v>34403747</v>
      </c>
      <c r="C10259" s="2" t="n">
        <v>41751</v>
      </c>
      <c r="D10259" t="inlineStr">
        <is>
          <t>SPEC</t>
        </is>
      </c>
      <c r="E10259" t="inlineStr">
        <is>
          <t>BUSBAR N-4 LOAD TOP CONNEXION</t>
        </is>
      </c>
      <c r="F10259" t="inlineStr">
        <is>
          <t>G7K NS2500kVA - Q4S BACKFEED</t>
        </is>
      </c>
      <c r="J10259" t="inlineStr">
        <is>
          <t>MATRION</t>
        </is>
      </c>
      <c r="K10259" t="inlineStr">
        <is>
          <t>CUIVRE</t>
        </is>
      </c>
      <c r="L10259">
        <f>_xlfn.XLOOKUP(Tableau1[[#This Row],[TYPE DE PIECE]],Tableau4[MATIERE],Tableau4[SHORT TYPE],"",0,1)</f>
        <v/>
      </c>
      <c r="N10259">
        <f>IF(ISERR(FIND("DECOUPE",Tableau1[[#This Row],[DESIGNATION]])),"","NEED REF")</f>
        <v/>
      </c>
    </row>
    <row r="10260">
      <c r="B10260" t="n">
        <v>34403746</v>
      </c>
      <c r="C10260" s="2" t="n">
        <v>41751</v>
      </c>
      <c r="D10260" t="inlineStr">
        <is>
          <t>SPEC</t>
        </is>
      </c>
      <c r="E10260" t="inlineStr">
        <is>
          <t>BUSBAR N-3 LOAD TOP CONNEXION</t>
        </is>
      </c>
      <c r="F10260" t="inlineStr">
        <is>
          <t>G7K NS2500kVA - Q4S BACKFEED</t>
        </is>
      </c>
      <c r="J10260" t="inlineStr">
        <is>
          <t>MATRION</t>
        </is>
      </c>
      <c r="K10260" t="inlineStr">
        <is>
          <t>CUIVRE</t>
        </is>
      </c>
      <c r="L10260">
        <f>_xlfn.XLOOKUP(Tableau1[[#This Row],[TYPE DE PIECE]],Tableau4[MATIERE],Tableau4[SHORT TYPE],"",0,1)</f>
        <v/>
      </c>
      <c r="N10260">
        <f>IF(ISERR(FIND("DECOUPE",Tableau1[[#This Row],[DESIGNATION]])),"","NEED REF")</f>
        <v/>
      </c>
    </row>
    <row r="10261">
      <c r="B10261" t="n">
        <v>34403745</v>
      </c>
      <c r="C10261" s="2" t="n">
        <v>41751</v>
      </c>
      <c r="D10261" t="inlineStr">
        <is>
          <t>SPEC</t>
        </is>
      </c>
      <c r="E10261" t="inlineStr">
        <is>
          <t>BUSBAR L3-4 R2 TOP CONNEXION</t>
        </is>
      </c>
      <c r="F10261" t="inlineStr">
        <is>
          <t>G7K NS2500kVA - Q4S BACKFEED</t>
        </is>
      </c>
      <c r="J10261" t="inlineStr">
        <is>
          <t>MATRION</t>
        </is>
      </c>
      <c r="K10261" t="inlineStr">
        <is>
          <t>CUIVRE</t>
        </is>
      </c>
      <c r="L10261">
        <f>_xlfn.XLOOKUP(Tableau1[[#This Row],[TYPE DE PIECE]],Tableau4[MATIERE],Tableau4[SHORT TYPE],"",0,1)</f>
        <v/>
      </c>
      <c r="N10261">
        <f>IF(ISERR(FIND("DECOUPE",Tableau1[[#This Row],[DESIGNATION]])),"","NEED REF")</f>
        <v/>
      </c>
    </row>
    <row r="10262">
      <c r="B10262" t="n">
        <v>34403744</v>
      </c>
      <c r="C10262" s="2" t="n">
        <v>41751</v>
      </c>
      <c r="D10262" t="inlineStr">
        <is>
          <t>SPEC</t>
        </is>
      </c>
      <c r="E10262" t="inlineStr">
        <is>
          <t>BUSBAR L3-3 R2 TOP CONNEXION</t>
        </is>
      </c>
      <c r="F10262" t="inlineStr">
        <is>
          <t>G7K NS2500kVA - Q4S BACKFEED</t>
        </is>
      </c>
      <c r="J10262" t="inlineStr">
        <is>
          <t>MATRION</t>
        </is>
      </c>
      <c r="K10262" t="inlineStr">
        <is>
          <t>CUIVRE</t>
        </is>
      </c>
      <c r="L10262">
        <f>_xlfn.XLOOKUP(Tableau1[[#This Row],[TYPE DE PIECE]],Tableau4[MATIERE],Tableau4[SHORT TYPE],"",0,1)</f>
        <v/>
      </c>
      <c r="N10262">
        <f>IF(ISERR(FIND("DECOUPE",Tableau1[[#This Row],[DESIGNATION]])),"","NEED REF")</f>
        <v/>
      </c>
    </row>
    <row r="10263">
      <c r="B10263" t="n">
        <v>34403743</v>
      </c>
      <c r="C10263" s="2" t="n">
        <v>41751</v>
      </c>
      <c r="D10263" t="inlineStr">
        <is>
          <t>SPEC</t>
        </is>
      </c>
      <c r="E10263" t="inlineStr">
        <is>
          <t>BUSBAR L2-4 R2 TOP CONNEXION</t>
        </is>
      </c>
      <c r="F10263" t="inlineStr">
        <is>
          <t>G7K NS2500kVA - Q4S BACKFEED</t>
        </is>
      </c>
      <c r="J10263" t="inlineStr">
        <is>
          <t>MATRION</t>
        </is>
      </c>
      <c r="K10263" t="inlineStr">
        <is>
          <t>CUIVRE</t>
        </is>
      </c>
      <c r="L10263">
        <f>_xlfn.XLOOKUP(Tableau1[[#This Row],[TYPE DE PIECE]],Tableau4[MATIERE],Tableau4[SHORT TYPE],"",0,1)</f>
        <v/>
      </c>
      <c r="N10263">
        <f>IF(ISERR(FIND("DECOUPE",Tableau1[[#This Row],[DESIGNATION]])),"","NEED REF")</f>
        <v/>
      </c>
    </row>
    <row r="10264">
      <c r="B10264" t="n">
        <v>34403742</v>
      </c>
      <c r="C10264" s="2" t="n">
        <v>41751</v>
      </c>
      <c r="D10264" t="inlineStr">
        <is>
          <t>SPEC</t>
        </is>
      </c>
      <c r="E10264" t="inlineStr">
        <is>
          <t>BUSBAR L2-3 R2 TOP CONNEXION</t>
        </is>
      </c>
      <c r="F10264" t="inlineStr">
        <is>
          <t>G7K NS2500kVA - Q4S BACKFEED</t>
        </is>
      </c>
      <c r="J10264" t="inlineStr">
        <is>
          <t>MATRION</t>
        </is>
      </c>
      <c r="K10264" t="inlineStr">
        <is>
          <t>CUIVRE</t>
        </is>
      </c>
      <c r="L10264">
        <f>_xlfn.XLOOKUP(Tableau1[[#This Row],[TYPE DE PIECE]],Tableau4[MATIERE],Tableau4[SHORT TYPE],"",0,1)</f>
        <v/>
      </c>
      <c r="N10264">
        <f>IF(ISERR(FIND("DECOUPE",Tableau1[[#This Row],[DESIGNATION]])),"","NEED REF")</f>
        <v/>
      </c>
    </row>
    <row r="10265">
      <c r="B10265" t="n">
        <v>34403741</v>
      </c>
      <c r="C10265" s="2" t="n">
        <v>41751</v>
      </c>
      <c r="D10265" t="inlineStr">
        <is>
          <t>SPEC</t>
        </is>
      </c>
      <c r="E10265" t="inlineStr">
        <is>
          <t>BUSBAR L1-4 R2 TOP CONNEXION</t>
        </is>
      </c>
      <c r="F10265" t="inlineStr">
        <is>
          <t>G7K NS2500kVA - Q4S BACKFEED</t>
        </is>
      </c>
      <c r="J10265" t="inlineStr">
        <is>
          <t>MATRION</t>
        </is>
      </c>
      <c r="K10265" t="inlineStr">
        <is>
          <t>CUIVRE</t>
        </is>
      </c>
      <c r="L10265">
        <f>_xlfn.XLOOKUP(Tableau1[[#This Row],[TYPE DE PIECE]],Tableau4[MATIERE],Tableau4[SHORT TYPE],"",0,1)</f>
        <v/>
      </c>
      <c r="N10265">
        <f>IF(ISERR(FIND("DECOUPE",Tableau1[[#This Row],[DESIGNATION]])),"","NEED REF")</f>
        <v/>
      </c>
    </row>
    <row r="10266">
      <c r="B10266" t="n">
        <v>34403740</v>
      </c>
      <c r="C10266" s="2" t="n">
        <v>41751</v>
      </c>
      <c r="D10266" t="inlineStr">
        <is>
          <t>SPEC</t>
        </is>
      </c>
      <c r="E10266" t="inlineStr">
        <is>
          <t>BUSBAR L1-3 R2 TOP CONNEXION</t>
        </is>
      </c>
      <c r="F10266" t="inlineStr">
        <is>
          <t>G7K NS2500kVA - Q4S BACKFEED</t>
        </is>
      </c>
      <c r="J10266" t="inlineStr">
        <is>
          <t>MATRION</t>
        </is>
      </c>
      <c r="K10266" t="inlineStr">
        <is>
          <t>CUIVRE</t>
        </is>
      </c>
      <c r="L10266">
        <f>_xlfn.XLOOKUP(Tableau1[[#This Row],[TYPE DE PIECE]],Tableau4[MATIERE],Tableau4[SHORT TYPE],"",0,1)</f>
        <v/>
      </c>
      <c r="N10266">
        <f>IF(ISERR(FIND("DECOUPE",Tableau1[[#This Row],[DESIGNATION]])),"","NEED REF")</f>
        <v/>
      </c>
    </row>
    <row r="10267">
      <c r="B10267" t="n">
        <v>34403739</v>
      </c>
      <c r="C10267" s="2" t="n">
        <v>41751</v>
      </c>
      <c r="D10267" t="inlineStr">
        <is>
          <t>SPEC</t>
        </is>
      </c>
      <c r="E10267" t="inlineStr">
        <is>
          <t>BUSBAR N-4 R2 TOP CONNEXION</t>
        </is>
      </c>
      <c r="F10267" t="inlineStr">
        <is>
          <t>G7K NS2500kVA - Q4S BACKFEED</t>
        </is>
      </c>
      <c r="J10267" t="inlineStr">
        <is>
          <t>MATRION</t>
        </is>
      </c>
      <c r="K10267" t="inlineStr">
        <is>
          <t>CUIVRE</t>
        </is>
      </c>
      <c r="L10267">
        <f>_xlfn.XLOOKUP(Tableau1[[#This Row],[TYPE DE PIECE]],Tableau4[MATIERE],Tableau4[SHORT TYPE],"",0,1)</f>
        <v/>
      </c>
      <c r="N10267">
        <f>IF(ISERR(FIND("DECOUPE",Tableau1[[#This Row],[DESIGNATION]])),"","NEED REF")</f>
        <v/>
      </c>
    </row>
    <row r="10268">
      <c r="B10268" t="n">
        <v>34403738</v>
      </c>
      <c r="C10268" s="2" t="n">
        <v>41751</v>
      </c>
      <c r="D10268" t="inlineStr">
        <is>
          <t>SPEC</t>
        </is>
      </c>
      <c r="E10268" t="inlineStr">
        <is>
          <t>BUSBAR N-3 R2 TOP CONNEXION</t>
        </is>
      </c>
      <c r="F10268" t="inlineStr">
        <is>
          <t>G7K NS2500kVA - Q4S BACKFEED</t>
        </is>
      </c>
      <c r="J10268" t="inlineStr">
        <is>
          <t>MATRION</t>
        </is>
      </c>
      <c r="K10268" t="inlineStr">
        <is>
          <t>CUIVRE</t>
        </is>
      </c>
      <c r="L10268">
        <f>_xlfn.XLOOKUP(Tableau1[[#This Row],[TYPE DE PIECE]],Tableau4[MATIERE],Tableau4[SHORT TYPE],"",0,1)</f>
        <v/>
      </c>
      <c r="N10268">
        <f>IF(ISERR(FIND("DECOUPE",Tableau1[[#This Row],[DESIGNATION]])),"","NEED REF")</f>
        <v/>
      </c>
    </row>
    <row r="10269">
      <c r="B10269" t="n">
        <v>34403737</v>
      </c>
      <c r="C10269" s="2" t="n">
        <v>41751</v>
      </c>
      <c r="D10269" t="inlineStr">
        <is>
          <t>SPEC</t>
        </is>
      </c>
      <c r="E10269" t="inlineStr">
        <is>
          <t>SPICE BAR 2</t>
        </is>
      </c>
      <c r="F10269" t="inlineStr">
        <is>
          <t>G7K NS2500kVA - Q4S BACKFEED</t>
        </is>
      </c>
      <c r="J10269" t="inlineStr">
        <is>
          <t>MATRION</t>
        </is>
      </c>
      <c r="K10269" t="inlineStr">
        <is>
          <t>CUIVRE</t>
        </is>
      </c>
      <c r="L10269">
        <f>_xlfn.XLOOKUP(Tableau1[[#This Row],[TYPE DE PIECE]],Tableau4[MATIERE],Tableau4[SHORT TYPE],"",0,1)</f>
        <v/>
      </c>
      <c r="N10269">
        <f>IF(ISERR(FIND("DECOUPE",Tableau1[[#This Row],[DESIGNATION]])),"","NEED REF")</f>
        <v/>
      </c>
    </row>
    <row r="10270">
      <c r="B10270" t="n">
        <v>34403736</v>
      </c>
      <c r="C10270" s="2" t="n">
        <v>41751</v>
      </c>
      <c r="D10270" t="inlineStr">
        <is>
          <t>SPEC</t>
        </is>
      </c>
      <c r="E10270" t="inlineStr">
        <is>
          <t>SPICE BAR 1</t>
        </is>
      </c>
      <c r="F10270" t="inlineStr">
        <is>
          <t>G7K NS2500kVA - Q4S BACKFEED</t>
        </is>
      </c>
      <c r="J10270" t="inlineStr">
        <is>
          <t>MATRION</t>
        </is>
      </c>
      <c r="K10270" t="inlineStr">
        <is>
          <t>CUIVRE</t>
        </is>
      </c>
      <c r="L10270">
        <f>_xlfn.XLOOKUP(Tableau1[[#This Row],[TYPE DE PIECE]],Tableau4[MATIERE],Tableau4[SHORT TYPE],"",0,1)</f>
        <v/>
      </c>
      <c r="N10270">
        <f>IF(ISERR(FIND("DECOUPE",Tableau1[[#This Row],[DESIGNATION]])),"","NEED REF")</f>
        <v/>
      </c>
    </row>
    <row r="10271">
      <c r="B10271" t="n">
        <v>34403735</v>
      </c>
      <c r="C10271" s="2" t="n">
        <v>41746</v>
      </c>
      <c r="D10271" t="inlineStr">
        <is>
          <t>SPEC</t>
        </is>
      </c>
      <c r="E10271" t="inlineStr">
        <is>
          <t>BUSBAR VERTICAL TOP CONNEXION</t>
        </is>
      </c>
      <c r="F10271" t="inlineStr">
        <is>
          <t>G7K NS2500kVA - Q4S BACKFEED</t>
        </is>
      </c>
      <c r="J10271" t="inlineStr">
        <is>
          <t>MATRION</t>
        </is>
      </c>
      <c r="K10271" t="inlineStr">
        <is>
          <t>CUIVRE</t>
        </is>
      </c>
      <c r="L10271">
        <f>_xlfn.XLOOKUP(Tableau1[[#This Row],[TYPE DE PIECE]],Tableau4[MATIERE],Tableau4[SHORT TYPE],"",0,1)</f>
        <v/>
      </c>
      <c r="N10271">
        <f>IF(ISERR(FIND("DECOUPE",Tableau1[[#This Row],[DESIGNATION]])),"","NEED REF")</f>
        <v/>
      </c>
    </row>
    <row r="10272">
      <c r="B10272" t="n">
        <v>34403734</v>
      </c>
      <c r="C10272" s="2" t="n">
        <v>41746</v>
      </c>
      <c r="D10272" t="inlineStr">
        <is>
          <t>SPEC</t>
        </is>
      </c>
      <c r="E10272" t="inlineStr">
        <is>
          <t>ROOF SF 800x800 + TGAB 4</t>
        </is>
      </c>
      <c r="F10272" t="inlineStr">
        <is>
          <t>G7K NS2500kVA - Q4S BACKFEED</t>
        </is>
      </c>
      <c r="J10272" t="inlineStr">
        <is>
          <t>MATRION</t>
        </is>
      </c>
      <c r="K10272" t="inlineStr">
        <is>
          <t>SAREL</t>
        </is>
      </c>
      <c r="L10272">
        <f>_xlfn.XLOOKUP(Tableau1[[#This Row],[TYPE DE PIECE]],Tableau4[MATIERE],Tableau4[SHORT TYPE],"",0,1)</f>
        <v/>
      </c>
      <c r="N10272">
        <f>IF(ISERR(FIND("DECOUPE",Tableau1[[#This Row],[DESIGNATION]])),"","NEED REF")</f>
        <v/>
      </c>
    </row>
    <row r="10273">
      <c r="B10273" t="n">
        <v>34403733</v>
      </c>
      <c r="C10273" s="2" t="n">
        <v>41746</v>
      </c>
      <c r="D10273" t="inlineStr">
        <is>
          <t>SPEC</t>
        </is>
      </c>
      <c r="E10273" t="inlineStr">
        <is>
          <t>ROOF SF 800x800 + TGAB 3</t>
        </is>
      </c>
      <c r="F10273" t="inlineStr">
        <is>
          <t>G7K NS2500kVA - Q4S BACKFEED</t>
        </is>
      </c>
      <c r="J10273" t="inlineStr">
        <is>
          <t>MATRION</t>
        </is>
      </c>
      <c r="K10273" t="inlineStr">
        <is>
          <t>SAREL</t>
        </is>
      </c>
      <c r="L10273">
        <f>_xlfn.XLOOKUP(Tableau1[[#This Row],[TYPE DE PIECE]],Tableau4[MATIERE],Tableau4[SHORT TYPE],"",0,1)</f>
        <v/>
      </c>
      <c r="N10273">
        <f>IF(ISERR(FIND("DECOUPE",Tableau1[[#This Row],[DESIGNATION]])),"","NEED REF")</f>
        <v/>
      </c>
    </row>
    <row r="10274">
      <c r="B10274" t="n">
        <v>34403732</v>
      </c>
      <c r="C10274" s="2" t="n">
        <v>41746</v>
      </c>
      <c r="D10274" t="inlineStr">
        <is>
          <t>SPEC</t>
        </is>
      </c>
      <c r="E10274" t="inlineStr">
        <is>
          <t>ROOF SF 800x800 + TGAB 2</t>
        </is>
      </c>
      <c r="F10274" t="inlineStr">
        <is>
          <t>G7K NS2500kVA - Q4S BACKFEED</t>
        </is>
      </c>
      <c r="J10274" t="inlineStr">
        <is>
          <t>MATRION</t>
        </is>
      </c>
      <c r="K10274" t="inlineStr">
        <is>
          <t>SAREL</t>
        </is>
      </c>
      <c r="L10274">
        <f>_xlfn.XLOOKUP(Tableau1[[#This Row],[TYPE DE PIECE]],Tableau4[MATIERE],Tableau4[SHORT TYPE],"",0,1)</f>
        <v/>
      </c>
      <c r="N10274">
        <f>IF(ISERR(FIND("DECOUPE",Tableau1[[#This Row],[DESIGNATION]])),"","NEED REF")</f>
        <v/>
      </c>
    </row>
    <row r="10275">
      <c r="B10275" t="n">
        <v>34403731</v>
      </c>
      <c r="C10275" s="2" t="n">
        <v>41746</v>
      </c>
      <c r="D10275" t="inlineStr">
        <is>
          <t>SPEC</t>
        </is>
      </c>
      <c r="E10275" t="inlineStr">
        <is>
          <t>ROOF SF 800x800 + TGAB 1</t>
        </is>
      </c>
      <c r="F10275" t="inlineStr">
        <is>
          <t>G7K NS2500kVA - Q4S BACKFEED</t>
        </is>
      </c>
      <c r="J10275" t="inlineStr">
        <is>
          <t>MATRION</t>
        </is>
      </c>
      <c r="K10275" t="inlineStr">
        <is>
          <t>SAREL</t>
        </is>
      </c>
      <c r="L10275">
        <f>_xlfn.XLOOKUP(Tableau1[[#This Row],[TYPE DE PIECE]],Tableau4[MATIERE],Tableau4[SHORT TYPE],"",0,1)</f>
        <v/>
      </c>
      <c r="N10275">
        <f>IF(ISERR(FIND("DECOUPE",Tableau1[[#This Row],[DESIGNATION]])),"","NEED REF")</f>
        <v/>
      </c>
    </row>
    <row r="10276">
      <c r="B10276" t="n">
        <v>34403730</v>
      </c>
      <c r="C10276" s="2" t="n">
        <v>41746</v>
      </c>
      <c r="D10276" t="inlineStr">
        <is>
          <t>SPEC</t>
        </is>
      </c>
      <c r="E10276" t="inlineStr">
        <is>
          <t>SF CUBICLE 800x800x2000 TGAB</t>
        </is>
      </c>
      <c r="F10276" t="inlineStr">
        <is>
          <t>G7K NS2500kVA - Q4S BACKFEED</t>
        </is>
      </c>
      <c r="J10276" t="inlineStr">
        <is>
          <t>MATRION</t>
        </is>
      </c>
      <c r="K10276" t="inlineStr">
        <is>
          <t>SAREL</t>
        </is>
      </c>
      <c r="L10276">
        <f>_xlfn.XLOOKUP(Tableau1[[#This Row],[TYPE DE PIECE]],Tableau4[MATIERE],Tableau4[SHORT TYPE],"",0,1)</f>
        <v/>
      </c>
      <c r="N10276">
        <f>IF(ISERR(FIND("DECOUPE",Tableau1[[#This Row],[DESIGNATION]])),"","NEED REF")</f>
        <v/>
      </c>
    </row>
    <row r="10277">
      <c r="B10277" t="n">
        <v>34403729</v>
      </c>
      <c r="C10277" s="2" t="n">
        <v>41743</v>
      </c>
      <c r="D10277" t="inlineStr">
        <is>
          <t>SPEC</t>
        </is>
      </c>
      <c r="E10277" t="inlineStr">
        <is>
          <t>BUSBAR L3-2 LOAD TOP CONNEXION</t>
        </is>
      </c>
      <c r="F10277" t="inlineStr">
        <is>
          <t>G7K NS2500kVA - Q4S BACKFEED</t>
        </is>
      </c>
      <c r="J10277" t="inlineStr">
        <is>
          <t>MATRION</t>
        </is>
      </c>
      <c r="K10277" t="inlineStr">
        <is>
          <t>CUIVRE</t>
        </is>
      </c>
      <c r="L10277">
        <f>_xlfn.XLOOKUP(Tableau1[[#This Row],[TYPE DE PIECE]],Tableau4[MATIERE],Tableau4[SHORT TYPE],"",0,1)</f>
        <v/>
      </c>
      <c r="N10277">
        <f>IF(ISERR(FIND("DECOUPE",Tableau1[[#This Row],[DESIGNATION]])),"","NEED REF")</f>
        <v/>
      </c>
    </row>
    <row r="10278">
      <c r="B10278" t="n">
        <v>34403728</v>
      </c>
      <c r="C10278" s="2" t="n">
        <v>41743</v>
      </c>
      <c r="D10278" t="inlineStr">
        <is>
          <t>SPEC</t>
        </is>
      </c>
      <c r="E10278" t="inlineStr">
        <is>
          <t>BUSBAR L3-1 LOAD TOP CONNEXION</t>
        </is>
      </c>
      <c r="F10278" t="inlineStr">
        <is>
          <t>G7K NS2500kVA - Q4S BACKFEED</t>
        </is>
      </c>
      <c r="J10278" t="inlineStr">
        <is>
          <t>MATRION</t>
        </is>
      </c>
      <c r="K10278" t="inlineStr">
        <is>
          <t>CUIVRE</t>
        </is>
      </c>
      <c r="L10278">
        <f>_xlfn.XLOOKUP(Tableau1[[#This Row],[TYPE DE PIECE]],Tableau4[MATIERE],Tableau4[SHORT TYPE],"",0,1)</f>
        <v/>
      </c>
      <c r="N10278">
        <f>IF(ISERR(FIND("DECOUPE",Tableau1[[#This Row],[DESIGNATION]])),"","NEED REF")</f>
        <v/>
      </c>
    </row>
    <row r="10279">
      <c r="B10279" t="n">
        <v>34403727</v>
      </c>
      <c r="C10279" s="2" t="n">
        <v>41743</v>
      </c>
      <c r="D10279" t="inlineStr">
        <is>
          <t>SPEC</t>
        </is>
      </c>
      <c r="E10279" t="inlineStr">
        <is>
          <t>BUSBAR L2-2 LOAD TOP CONNEXION</t>
        </is>
      </c>
      <c r="F10279" t="inlineStr">
        <is>
          <t>G7K NS2500kVA - Q4S BACKFEED</t>
        </is>
      </c>
      <c r="J10279" t="inlineStr">
        <is>
          <t>MATRION</t>
        </is>
      </c>
      <c r="K10279" t="inlineStr">
        <is>
          <t>CUIVRE</t>
        </is>
      </c>
      <c r="L10279">
        <f>_xlfn.XLOOKUP(Tableau1[[#This Row],[TYPE DE PIECE]],Tableau4[MATIERE],Tableau4[SHORT TYPE],"",0,1)</f>
        <v/>
      </c>
      <c r="N10279">
        <f>IF(ISERR(FIND("DECOUPE",Tableau1[[#This Row],[DESIGNATION]])),"","NEED REF")</f>
        <v/>
      </c>
    </row>
    <row r="10280">
      <c r="B10280" t="n">
        <v>34403726</v>
      </c>
      <c r="C10280" s="2" t="n">
        <v>41743</v>
      </c>
      <c r="D10280" t="inlineStr">
        <is>
          <t>SPEC</t>
        </is>
      </c>
      <c r="E10280" t="inlineStr">
        <is>
          <t xml:space="preserve">BUSBAR L2-1 LOAD TOP CONNEXION </t>
        </is>
      </c>
      <c r="F10280" t="inlineStr">
        <is>
          <t>G7K NS2500kVA - Q4S BACKFEED</t>
        </is>
      </c>
      <c r="J10280" t="inlineStr">
        <is>
          <t>MATRION</t>
        </is>
      </c>
      <c r="K10280" t="inlineStr">
        <is>
          <t>CUIVRE</t>
        </is>
      </c>
      <c r="L10280">
        <f>_xlfn.XLOOKUP(Tableau1[[#This Row],[TYPE DE PIECE]],Tableau4[MATIERE],Tableau4[SHORT TYPE],"",0,1)</f>
        <v/>
      </c>
      <c r="N10280">
        <f>IF(ISERR(FIND("DECOUPE",Tableau1[[#This Row],[DESIGNATION]])),"","NEED REF")</f>
        <v/>
      </c>
    </row>
    <row r="10281">
      <c r="B10281" t="n">
        <v>34403725</v>
      </c>
      <c r="C10281" s="2" t="n">
        <v>41743</v>
      </c>
      <c r="D10281" t="inlineStr">
        <is>
          <t>SPEC</t>
        </is>
      </c>
      <c r="E10281" t="inlineStr">
        <is>
          <t>BUSBAR L1-2 LOAD TOP CONNEXION</t>
        </is>
      </c>
      <c r="F10281" t="inlineStr">
        <is>
          <t>G7K NS2500kVA - Q4S BACKFEED</t>
        </is>
      </c>
      <c r="J10281" t="inlineStr">
        <is>
          <t>MATRION</t>
        </is>
      </c>
      <c r="K10281" t="inlineStr">
        <is>
          <t>CUIVRE</t>
        </is>
      </c>
      <c r="L10281">
        <f>_xlfn.XLOOKUP(Tableau1[[#This Row],[TYPE DE PIECE]],Tableau4[MATIERE],Tableau4[SHORT TYPE],"",0,1)</f>
        <v/>
      </c>
      <c r="N10281">
        <f>IF(ISERR(FIND("DECOUPE",Tableau1[[#This Row],[DESIGNATION]])),"","NEED REF")</f>
        <v/>
      </c>
    </row>
    <row r="10282">
      <c r="B10282" t="n">
        <v>34403724</v>
      </c>
      <c r="C10282" s="2" t="n">
        <v>41743</v>
      </c>
      <c r="D10282" t="inlineStr">
        <is>
          <t>SPEC</t>
        </is>
      </c>
      <c r="E10282" t="inlineStr">
        <is>
          <t>BUSBAR L1-1 LOAD TOP CONNEXION</t>
        </is>
      </c>
      <c r="F10282" t="inlineStr">
        <is>
          <t>G7K NS2500kVA - Q4S BACKFEED</t>
        </is>
      </c>
      <c r="J10282" t="inlineStr">
        <is>
          <t>MATRION</t>
        </is>
      </c>
      <c r="K10282" t="inlineStr">
        <is>
          <t>CUIVRE</t>
        </is>
      </c>
      <c r="L10282">
        <f>_xlfn.XLOOKUP(Tableau1[[#This Row],[TYPE DE PIECE]],Tableau4[MATIERE],Tableau4[SHORT TYPE],"",0,1)</f>
        <v/>
      </c>
      <c r="N10282">
        <f>IF(ISERR(FIND("DECOUPE",Tableau1[[#This Row],[DESIGNATION]])),"","NEED REF")</f>
        <v/>
      </c>
    </row>
    <row r="10283">
      <c r="B10283" t="n">
        <v>34403723</v>
      </c>
      <c r="C10283" s="2" t="n">
        <v>41743</v>
      </c>
      <c r="D10283" t="inlineStr">
        <is>
          <t>SPEC</t>
        </is>
      </c>
      <c r="E10283" t="inlineStr">
        <is>
          <t>BUSBAR N-2 LOAD TOP CONNEXION</t>
        </is>
      </c>
      <c r="F10283" t="inlineStr">
        <is>
          <t>G7K NS2500kVA - Q4S BACKFEED</t>
        </is>
      </c>
      <c r="J10283" t="inlineStr">
        <is>
          <t>MATRION</t>
        </is>
      </c>
      <c r="K10283" t="inlineStr">
        <is>
          <t>CUIVRE</t>
        </is>
      </c>
      <c r="L10283">
        <f>_xlfn.XLOOKUP(Tableau1[[#This Row],[TYPE DE PIECE]],Tableau4[MATIERE],Tableau4[SHORT TYPE],"",0,1)</f>
        <v/>
      </c>
      <c r="N10283">
        <f>IF(ISERR(FIND("DECOUPE",Tableau1[[#This Row],[DESIGNATION]])),"","NEED REF")</f>
        <v/>
      </c>
    </row>
    <row r="10284">
      <c r="B10284" t="n">
        <v>34403722</v>
      </c>
      <c r="C10284" s="2" t="n">
        <v>41743</v>
      </c>
      <c r="D10284" t="inlineStr">
        <is>
          <t>SPEC</t>
        </is>
      </c>
      <c r="E10284" t="inlineStr">
        <is>
          <t>BUSBAR N-1 LOAD TOP CONNEXION</t>
        </is>
      </c>
      <c r="F10284" t="inlineStr">
        <is>
          <t>G7K NS2500kVA - Q4S BACKFEED</t>
        </is>
      </c>
      <c r="J10284" t="inlineStr">
        <is>
          <t>MATRION</t>
        </is>
      </c>
      <c r="K10284" t="inlineStr">
        <is>
          <t>CUIVRE</t>
        </is>
      </c>
      <c r="L10284">
        <f>_xlfn.XLOOKUP(Tableau1[[#This Row],[TYPE DE PIECE]],Tableau4[MATIERE],Tableau4[SHORT TYPE],"",0,1)</f>
        <v/>
      </c>
      <c r="N10284">
        <f>IF(ISERR(FIND("DECOUPE",Tableau1[[#This Row],[DESIGNATION]])),"","NEED REF")</f>
        <v/>
      </c>
    </row>
    <row r="10285">
      <c r="B10285" t="n">
        <v>34403721</v>
      </c>
      <c r="C10285" s="2" t="n">
        <v>41711</v>
      </c>
      <c r="D10285" t="inlineStr">
        <is>
          <t>SPEC</t>
        </is>
      </c>
      <c r="E10285" t="inlineStr">
        <is>
          <t>BUSBAR PHASE 1/3 - 2 THYRISTOR</t>
        </is>
      </c>
      <c r="F10285" t="inlineStr">
        <is>
          <t>G7K NS2500kVA - Q4S BACKFEED</t>
        </is>
      </c>
      <c r="J10285" t="inlineStr">
        <is>
          <t>MATRION</t>
        </is>
      </c>
      <c r="K10285" t="inlineStr">
        <is>
          <t>CUIVRE</t>
        </is>
      </c>
      <c r="L10285">
        <f>_xlfn.XLOOKUP(Tableau1[[#This Row],[TYPE DE PIECE]],Tableau4[MATIERE],Tableau4[SHORT TYPE],"",0,1)</f>
        <v/>
      </c>
      <c r="N10285">
        <f>IF(ISERR(FIND("DECOUPE",Tableau1[[#This Row],[DESIGNATION]])),"","NEED REF")</f>
        <v/>
      </c>
    </row>
    <row r="10286">
      <c r="B10286" t="n">
        <v>34403720</v>
      </c>
      <c r="C10286" s="2" t="n">
        <v>41711</v>
      </c>
      <c r="D10286" t="inlineStr">
        <is>
          <t>SPEC</t>
        </is>
      </c>
      <c r="E10286" t="inlineStr">
        <is>
          <t>BUSBAR PHASE 2 - 1 THYRISTOR</t>
        </is>
      </c>
      <c r="F10286" t="inlineStr">
        <is>
          <t>G7K NS2500kVA - Q4S BACKFEED</t>
        </is>
      </c>
      <c r="J10286" t="inlineStr">
        <is>
          <t>MATRION</t>
        </is>
      </c>
      <c r="K10286" t="inlineStr">
        <is>
          <t>CUIVRE</t>
        </is>
      </c>
      <c r="L10286">
        <f>_xlfn.XLOOKUP(Tableau1[[#This Row],[TYPE DE PIECE]],Tableau4[MATIERE],Tableau4[SHORT TYPE],"",0,1)</f>
        <v/>
      </c>
      <c r="N10286">
        <f>IF(ISERR(FIND("DECOUPE",Tableau1[[#This Row],[DESIGNATION]])),"","NEED REF")</f>
        <v/>
      </c>
    </row>
    <row r="10287">
      <c r="B10287" t="n">
        <v>34403719</v>
      </c>
      <c r="C10287" s="2" t="n">
        <v>41711</v>
      </c>
      <c r="D10287" t="inlineStr">
        <is>
          <t>SPEC</t>
        </is>
      </c>
      <c r="E10287" t="inlineStr">
        <is>
          <t>BUSBAR PHASE 2 - 2 THYRISTOR</t>
        </is>
      </c>
      <c r="F10287" t="inlineStr">
        <is>
          <t>G7K NS2500kVA - Q4S BACKFEED</t>
        </is>
      </c>
      <c r="J10287" t="inlineStr">
        <is>
          <t>MATRION</t>
        </is>
      </c>
      <c r="K10287" t="inlineStr">
        <is>
          <t>CUIVRE</t>
        </is>
      </c>
      <c r="L10287">
        <f>_xlfn.XLOOKUP(Tableau1[[#This Row],[TYPE DE PIECE]],Tableau4[MATIERE],Tableau4[SHORT TYPE],"",0,1)</f>
        <v/>
      </c>
      <c r="N10287">
        <f>IF(ISERR(FIND("DECOUPE",Tableau1[[#This Row],[DESIGNATION]])),"","NEED REF")</f>
        <v/>
      </c>
    </row>
    <row r="10288">
      <c r="B10288" t="n">
        <v>34403718</v>
      </c>
      <c r="C10288" s="2" t="n">
        <v>41711</v>
      </c>
      <c r="D10288" t="inlineStr">
        <is>
          <t>SPEC</t>
        </is>
      </c>
      <c r="E10288" t="inlineStr">
        <is>
          <t>BUSBAR PHASE 1/3 - 1 THYRISTOR</t>
        </is>
      </c>
      <c r="F10288" t="inlineStr">
        <is>
          <t>G7K NS2500kVA - Q4S BACKFEED</t>
        </is>
      </c>
      <c r="J10288" t="inlineStr">
        <is>
          <t>MATRION</t>
        </is>
      </c>
      <c r="K10288" t="inlineStr">
        <is>
          <t>CUIVRE</t>
        </is>
      </c>
      <c r="L10288">
        <f>_xlfn.XLOOKUP(Tableau1[[#This Row],[TYPE DE PIECE]],Tableau4[MATIERE],Tableau4[SHORT TYPE],"",0,1)</f>
        <v/>
      </c>
      <c r="N10288">
        <f>IF(ISERR(FIND("DECOUPE",Tableau1[[#This Row],[DESIGNATION]])),"","NEED REF")</f>
        <v/>
      </c>
    </row>
    <row r="10289">
      <c r="B10289" t="n">
        <v>34403717</v>
      </c>
      <c r="C10289" s="2" t="n">
        <v>41744</v>
      </c>
      <c r="D10289" t="inlineStr">
        <is>
          <t>SPEC</t>
        </is>
      </c>
      <c r="E10289" t="inlineStr">
        <is>
          <t>DOOR SF 800x1900 + AIR INLET</t>
        </is>
      </c>
      <c r="F10289" t="inlineStr">
        <is>
          <t>G7K NS2500kVA - Q4S BACKFEED</t>
        </is>
      </c>
      <c r="J10289" t="inlineStr">
        <is>
          <t>MATRION</t>
        </is>
      </c>
      <c r="K10289" t="inlineStr">
        <is>
          <t>SAREL</t>
        </is>
      </c>
      <c r="L10289">
        <f>_xlfn.XLOOKUP(Tableau1[[#This Row],[TYPE DE PIECE]],Tableau4[MATIERE],Tableau4[SHORT TYPE],"",0,1)</f>
        <v/>
      </c>
      <c r="N10289">
        <f>IF(ISERR(FIND("DECOUPE",Tableau1[[#This Row],[DESIGNATION]])),"","NEED REF")</f>
        <v/>
      </c>
    </row>
    <row r="10290">
      <c r="B10290" t="n">
        <v>34403716</v>
      </c>
      <c r="C10290" s="2" t="n"/>
      <c r="L10290">
        <f>_xlfn.XLOOKUP(Tableau1[[#This Row],[TYPE DE PIECE]],Tableau4[MATIERE],Tableau4[SHORT TYPE],"",0,1)</f>
        <v/>
      </c>
      <c r="N10290">
        <f>IF(ISERR(FIND("DECOUPE",Tableau1[[#This Row],[DESIGNATION]])),"","NEED REF")</f>
        <v/>
      </c>
    </row>
    <row r="10291">
      <c r="B10291" t="n">
        <v>34403715</v>
      </c>
      <c r="C10291" s="2" t="n">
        <v>41744</v>
      </c>
      <c r="D10291" t="inlineStr">
        <is>
          <t>SPEC</t>
        </is>
      </c>
      <c r="E10291" t="inlineStr">
        <is>
          <t>ROOF SF 800x800 + AIR OULET</t>
        </is>
      </c>
      <c r="F10291" t="inlineStr">
        <is>
          <t>G7K NS2500kVA - Q4S BACKFEED</t>
        </is>
      </c>
      <c r="J10291" t="inlineStr">
        <is>
          <t>MATRION</t>
        </is>
      </c>
      <c r="K10291" t="inlineStr">
        <is>
          <t>SAREL</t>
        </is>
      </c>
      <c r="L10291">
        <f>_xlfn.XLOOKUP(Tableau1[[#This Row],[TYPE DE PIECE]],Tableau4[MATIERE],Tableau4[SHORT TYPE],"",0,1)</f>
        <v/>
      </c>
      <c r="N10291">
        <f>IF(ISERR(FIND("DECOUPE",Tableau1[[#This Row],[DESIGNATION]])),"","NEED REF")</f>
        <v/>
      </c>
    </row>
    <row r="10292">
      <c r="B10292" t="n">
        <v>34403714</v>
      </c>
      <c r="C10292" s="2" t="n">
        <v>41744</v>
      </c>
      <c r="D10292" t="inlineStr">
        <is>
          <t>SPEC</t>
        </is>
      </c>
      <c r="E10292" t="inlineStr">
        <is>
          <t>IHM SMT PLATE SHIELDING</t>
        </is>
      </c>
      <c r="F10292" t="inlineStr">
        <is>
          <t>G7K NS2500kVA - Q4S BACKFEED</t>
        </is>
      </c>
      <c r="J10292" t="inlineStr">
        <is>
          <t>MATRION</t>
        </is>
      </c>
      <c r="K10292" t="inlineStr">
        <is>
          <t>METAL</t>
        </is>
      </c>
      <c r="L10292">
        <f>_xlfn.XLOOKUP(Tableau1[[#This Row],[TYPE DE PIECE]],Tableau4[MATIERE],Tableau4[SHORT TYPE],"",0,1)</f>
        <v/>
      </c>
      <c r="N10292">
        <f>IF(ISERR(FIND("DECOUPE",Tableau1[[#This Row],[DESIGNATION]])),"","NEED REF")</f>
        <v/>
      </c>
    </row>
    <row r="10293">
      <c r="B10293" t="n">
        <v>34403713</v>
      </c>
      <c r="C10293" s="2" t="n">
        <v>41743</v>
      </c>
      <c r="D10293" t="inlineStr">
        <is>
          <t>SPEC</t>
        </is>
      </c>
      <c r="E10293" t="inlineStr">
        <is>
          <t>LIAISON AMONT Q5N QST L3</t>
        </is>
      </c>
      <c r="F10293" t="inlineStr">
        <is>
          <t>G7K 500kVA QST</t>
        </is>
      </c>
      <c r="J10293" t="inlineStr">
        <is>
          <t>MATRION</t>
        </is>
      </c>
      <c r="K10293" t="inlineStr">
        <is>
          <t>FLEXBAR</t>
        </is>
      </c>
      <c r="L10293">
        <f>_xlfn.XLOOKUP(Tableau1[[#This Row],[TYPE DE PIECE]],Tableau4[MATIERE],Tableau4[SHORT TYPE],"",0,1)</f>
        <v/>
      </c>
      <c r="N10293">
        <f>IF(ISERR(FIND("DECOUPE",Tableau1[[#This Row],[DESIGNATION]])),"","NEED REF")</f>
        <v/>
      </c>
    </row>
    <row r="10294">
      <c r="B10294" t="n">
        <v>34403712</v>
      </c>
      <c r="C10294" s="2" t="n">
        <v>41743</v>
      </c>
      <c r="D10294" t="inlineStr">
        <is>
          <t>SPEC</t>
        </is>
      </c>
      <c r="E10294" t="inlineStr">
        <is>
          <t>LIAISON AMONT Q5N QST L2</t>
        </is>
      </c>
      <c r="F10294" t="inlineStr">
        <is>
          <t>G7K 500kVA QST</t>
        </is>
      </c>
      <c r="J10294" t="inlineStr">
        <is>
          <t>MATRION</t>
        </is>
      </c>
      <c r="K10294" t="inlineStr">
        <is>
          <t>FLEXBAR</t>
        </is>
      </c>
      <c r="L10294">
        <f>_xlfn.XLOOKUP(Tableau1[[#This Row],[TYPE DE PIECE]],Tableau4[MATIERE],Tableau4[SHORT TYPE],"",0,1)</f>
        <v/>
      </c>
      <c r="N10294">
        <f>IF(ISERR(FIND("DECOUPE",Tableau1[[#This Row],[DESIGNATION]])),"","NEED REF")</f>
        <v/>
      </c>
    </row>
    <row r="10295">
      <c r="B10295" t="n">
        <v>34403711</v>
      </c>
      <c r="C10295" s="2" t="n">
        <v>41743</v>
      </c>
      <c r="D10295" t="inlineStr">
        <is>
          <t>SPEC</t>
        </is>
      </c>
      <c r="E10295" t="inlineStr">
        <is>
          <t>BUSBAR L3-2 R2 TOP CONNEXION</t>
        </is>
      </c>
      <c r="F10295" t="inlineStr">
        <is>
          <t>G7K NS2500kVA - Q4S BACKFEED</t>
        </is>
      </c>
      <c r="J10295" t="inlineStr">
        <is>
          <t>MATRION</t>
        </is>
      </c>
      <c r="K10295" t="inlineStr">
        <is>
          <t>CUIVRE</t>
        </is>
      </c>
      <c r="L10295">
        <f>_xlfn.XLOOKUP(Tableau1[[#This Row],[TYPE DE PIECE]],Tableau4[MATIERE],Tableau4[SHORT TYPE],"",0,1)</f>
        <v/>
      </c>
      <c r="N10295">
        <f>IF(ISERR(FIND("DECOUPE",Tableau1[[#This Row],[DESIGNATION]])),"","NEED REF")</f>
        <v/>
      </c>
    </row>
    <row r="10296">
      <c r="B10296" t="n">
        <v>34403710</v>
      </c>
      <c r="C10296" s="2" t="n">
        <v>41743</v>
      </c>
      <c r="D10296" t="inlineStr">
        <is>
          <t>SPEC</t>
        </is>
      </c>
      <c r="E10296" t="inlineStr">
        <is>
          <t>BUSBAR L3-1 R2 TOP CONNEXION</t>
        </is>
      </c>
      <c r="F10296" t="inlineStr">
        <is>
          <t>G7K NS2500kVA - Q4S BACKFEED</t>
        </is>
      </c>
      <c r="J10296" t="inlineStr">
        <is>
          <t>MATRION</t>
        </is>
      </c>
      <c r="K10296" t="inlineStr">
        <is>
          <t>CUIVRE</t>
        </is>
      </c>
      <c r="L10296">
        <f>_xlfn.XLOOKUP(Tableau1[[#This Row],[TYPE DE PIECE]],Tableau4[MATIERE],Tableau4[SHORT TYPE],"",0,1)</f>
        <v/>
      </c>
      <c r="N10296">
        <f>IF(ISERR(FIND("DECOUPE",Tableau1[[#This Row],[DESIGNATION]])),"","NEED REF")</f>
        <v/>
      </c>
    </row>
    <row r="10297">
      <c r="B10297" t="n">
        <v>34403709</v>
      </c>
      <c r="C10297" s="2" t="n">
        <v>41743</v>
      </c>
      <c r="D10297" t="inlineStr">
        <is>
          <t>SPEC</t>
        </is>
      </c>
      <c r="E10297" t="inlineStr">
        <is>
          <t>BUSBAR L2-2 R2 TOP CONNEXION</t>
        </is>
      </c>
      <c r="F10297" t="inlineStr">
        <is>
          <t>G7K NS2500kVA - Q4S BACKFEED</t>
        </is>
      </c>
      <c r="J10297" t="inlineStr">
        <is>
          <t>MATRION</t>
        </is>
      </c>
      <c r="K10297" t="inlineStr">
        <is>
          <t>CUIVRE</t>
        </is>
      </c>
      <c r="L10297">
        <f>_xlfn.XLOOKUP(Tableau1[[#This Row],[TYPE DE PIECE]],Tableau4[MATIERE],Tableau4[SHORT TYPE],"",0,1)</f>
        <v/>
      </c>
      <c r="N10297">
        <f>IF(ISERR(FIND("DECOUPE",Tableau1[[#This Row],[DESIGNATION]])),"","NEED REF")</f>
        <v/>
      </c>
    </row>
    <row r="10298">
      <c r="B10298" t="n">
        <v>34403708</v>
      </c>
      <c r="C10298" s="2" t="n">
        <v>41743</v>
      </c>
      <c r="D10298" t="inlineStr">
        <is>
          <t>SPEC</t>
        </is>
      </c>
      <c r="E10298" t="inlineStr">
        <is>
          <t xml:space="preserve">BUSBAR L2-1 R2 TOP CONNEXION </t>
        </is>
      </c>
      <c r="F10298" t="inlineStr">
        <is>
          <t>G7K NS2500kVA - Q4S BACKFEED</t>
        </is>
      </c>
      <c r="J10298" t="inlineStr">
        <is>
          <t>MATRION</t>
        </is>
      </c>
      <c r="K10298" t="inlineStr">
        <is>
          <t>CUIVRE</t>
        </is>
      </c>
      <c r="L10298">
        <f>_xlfn.XLOOKUP(Tableau1[[#This Row],[TYPE DE PIECE]],Tableau4[MATIERE],Tableau4[SHORT TYPE],"",0,1)</f>
        <v/>
      </c>
      <c r="N10298">
        <f>IF(ISERR(FIND("DECOUPE",Tableau1[[#This Row],[DESIGNATION]])),"","NEED REF")</f>
        <v/>
      </c>
    </row>
    <row r="10299">
      <c r="B10299" t="n">
        <v>34403707</v>
      </c>
      <c r="C10299" s="2" t="n">
        <v>41743</v>
      </c>
      <c r="D10299" t="inlineStr">
        <is>
          <t>SPEC</t>
        </is>
      </c>
      <c r="E10299" t="inlineStr">
        <is>
          <t>BUSBAR L1-2 R2 TOP CONNEXION</t>
        </is>
      </c>
      <c r="F10299" t="inlineStr">
        <is>
          <t>G7K NS2500kVA - Q4S BACKFEED</t>
        </is>
      </c>
      <c r="J10299" t="inlineStr">
        <is>
          <t>MATRION</t>
        </is>
      </c>
      <c r="K10299" t="inlineStr">
        <is>
          <t>CUIVRE</t>
        </is>
      </c>
      <c r="L10299">
        <f>_xlfn.XLOOKUP(Tableau1[[#This Row],[TYPE DE PIECE]],Tableau4[MATIERE],Tableau4[SHORT TYPE],"",0,1)</f>
        <v/>
      </c>
      <c r="N10299">
        <f>IF(ISERR(FIND("DECOUPE",Tableau1[[#This Row],[DESIGNATION]])),"","NEED REF")</f>
        <v/>
      </c>
    </row>
    <row r="10300">
      <c r="B10300" t="n">
        <v>34403706</v>
      </c>
      <c r="C10300" s="2" t="n">
        <v>41743</v>
      </c>
      <c r="D10300" t="inlineStr">
        <is>
          <t>SPEC</t>
        </is>
      </c>
      <c r="E10300" t="inlineStr">
        <is>
          <t>BUSBAR L1-1 R2 TOP CONNEXION</t>
        </is>
      </c>
      <c r="F10300" t="inlineStr">
        <is>
          <t>G7K NS2500kVA - Q4S BACKFEED</t>
        </is>
      </c>
      <c r="J10300" t="inlineStr">
        <is>
          <t>MATRION</t>
        </is>
      </c>
      <c r="K10300" t="inlineStr">
        <is>
          <t>CUIVRE</t>
        </is>
      </c>
      <c r="L10300">
        <f>_xlfn.XLOOKUP(Tableau1[[#This Row],[TYPE DE PIECE]],Tableau4[MATIERE],Tableau4[SHORT TYPE],"",0,1)</f>
        <v/>
      </c>
      <c r="N10300">
        <f>IF(ISERR(FIND("DECOUPE",Tableau1[[#This Row],[DESIGNATION]])),"","NEED REF")</f>
        <v/>
      </c>
    </row>
    <row r="10301">
      <c r="B10301" t="n">
        <v>34403705</v>
      </c>
      <c r="C10301" s="2" t="n">
        <v>41743</v>
      </c>
      <c r="D10301" t="inlineStr">
        <is>
          <t>SPEC</t>
        </is>
      </c>
      <c r="E10301" t="inlineStr">
        <is>
          <t>BUSBAR N-2 R2 TOP CONNEXION</t>
        </is>
      </c>
      <c r="F10301" t="inlineStr">
        <is>
          <t>G7K NS2500kVA - Q4S BACKFEED</t>
        </is>
      </c>
      <c r="J10301" t="inlineStr">
        <is>
          <t>MATRION</t>
        </is>
      </c>
      <c r="K10301" t="inlineStr">
        <is>
          <t>CUIVRE</t>
        </is>
      </c>
      <c r="L10301">
        <f>_xlfn.XLOOKUP(Tableau1[[#This Row],[TYPE DE PIECE]],Tableau4[MATIERE],Tableau4[SHORT TYPE],"",0,1)</f>
        <v/>
      </c>
      <c r="N10301">
        <f>IF(ISERR(FIND("DECOUPE",Tableau1[[#This Row],[DESIGNATION]])),"","NEED REF")</f>
        <v/>
      </c>
    </row>
    <row r="10302">
      <c r="B10302" t="n">
        <v>34403704</v>
      </c>
      <c r="C10302" s="2" t="n">
        <v>41743</v>
      </c>
      <c r="D10302" t="inlineStr">
        <is>
          <t>SPEC</t>
        </is>
      </c>
      <c r="E10302" t="inlineStr">
        <is>
          <t>BUSBAR N-1 R2 TOP CONNEXION</t>
        </is>
      </c>
      <c r="F10302" t="inlineStr">
        <is>
          <t>G7K NS2500kVA - Q4S BACKFEED</t>
        </is>
      </c>
      <c r="J10302" t="inlineStr">
        <is>
          <t>MATRION</t>
        </is>
      </c>
      <c r="K10302" t="inlineStr">
        <is>
          <t>CUIVRE</t>
        </is>
      </c>
      <c r="L10302">
        <f>_xlfn.XLOOKUP(Tableau1[[#This Row],[TYPE DE PIECE]],Tableau4[MATIERE],Tableau4[SHORT TYPE],"",0,1)</f>
        <v/>
      </c>
      <c r="N10302">
        <f>IF(ISERR(FIND("DECOUPE",Tableau1[[#This Row],[DESIGNATION]])),"","NEED REF")</f>
        <v/>
      </c>
    </row>
    <row r="10303">
      <c r="B10303" t="n">
        <v>34403703</v>
      </c>
      <c r="C10303" s="2" t="n">
        <v>41737</v>
      </c>
      <c r="D10303" t="inlineStr">
        <is>
          <t>SPEC</t>
        </is>
      </c>
      <c r="E10303" t="inlineStr">
        <is>
          <t>FLEXBAR L3 LOAD</t>
        </is>
      </c>
      <c r="F10303" t="inlineStr">
        <is>
          <t>G7K NS2500kVA - Q4S BACKFEED</t>
        </is>
      </c>
      <c r="J10303" t="inlineStr">
        <is>
          <t>MATRION</t>
        </is>
      </c>
      <c r="L10303">
        <f>_xlfn.XLOOKUP(Tableau1[[#This Row],[TYPE DE PIECE]],Tableau4[MATIERE],Tableau4[SHORT TYPE],"",0,1)</f>
        <v/>
      </c>
      <c r="N10303">
        <f>IF(ISERR(FIND("DECOUPE",Tableau1[[#This Row],[DESIGNATION]])),"","NEED REF")</f>
        <v/>
      </c>
    </row>
    <row r="10304">
      <c r="B10304" t="n">
        <v>34403702</v>
      </c>
      <c r="C10304" s="2" t="n">
        <v>41737</v>
      </c>
      <c r="D10304" t="inlineStr">
        <is>
          <t>SPEC</t>
        </is>
      </c>
      <c r="E10304" t="inlineStr">
        <is>
          <t>FLEXBAR L2 LOAD</t>
        </is>
      </c>
      <c r="F10304" t="inlineStr">
        <is>
          <t>G7K NS2500kVA - Q4S BACKFEED</t>
        </is>
      </c>
      <c r="J10304" t="inlineStr">
        <is>
          <t>MATRION</t>
        </is>
      </c>
      <c r="L10304">
        <f>_xlfn.XLOOKUP(Tableau1[[#This Row],[TYPE DE PIECE]],Tableau4[MATIERE],Tableau4[SHORT TYPE],"",0,1)</f>
        <v/>
      </c>
      <c r="N10304">
        <f>IF(ISERR(FIND("DECOUPE",Tableau1[[#This Row],[DESIGNATION]])),"","NEED REF")</f>
        <v/>
      </c>
    </row>
    <row r="10305">
      <c r="B10305" t="n">
        <v>34403701</v>
      </c>
      <c r="C10305" s="2" t="n">
        <v>41737</v>
      </c>
      <c r="D10305" t="inlineStr">
        <is>
          <t>SPEC</t>
        </is>
      </c>
      <c r="E10305" t="inlineStr">
        <is>
          <t>FLEXBAR L1 LOAD</t>
        </is>
      </c>
      <c r="F10305" t="inlineStr">
        <is>
          <t>G7K NS2500kVA - Q4S BACKFEED</t>
        </is>
      </c>
      <c r="J10305" t="inlineStr">
        <is>
          <t>MATRION</t>
        </is>
      </c>
      <c r="L10305">
        <f>_xlfn.XLOOKUP(Tableau1[[#This Row],[TYPE DE PIECE]],Tableau4[MATIERE],Tableau4[SHORT TYPE],"",0,1)</f>
        <v/>
      </c>
      <c r="N10305">
        <f>IF(ISERR(FIND("DECOUPE",Tableau1[[#This Row],[DESIGNATION]])),"","NEED REF")</f>
        <v/>
      </c>
    </row>
    <row r="10306">
      <c r="B10306" t="n">
        <v>34403700</v>
      </c>
      <c r="C10306" s="2" t="n">
        <v>41737</v>
      </c>
      <c r="D10306" t="inlineStr">
        <is>
          <t>SPEC</t>
        </is>
      </c>
      <c r="E10306" t="inlineStr">
        <is>
          <t>FLEXBAR L3 R2</t>
        </is>
      </c>
      <c r="F10306" t="inlineStr">
        <is>
          <t>G7K NS2500kVA - Q4S BACKFEED</t>
        </is>
      </c>
      <c r="J10306" t="inlineStr">
        <is>
          <t>MATRION</t>
        </is>
      </c>
      <c r="L10306">
        <f>_xlfn.XLOOKUP(Tableau1[[#This Row],[TYPE DE PIECE]],Tableau4[MATIERE],Tableau4[SHORT TYPE],"",0,1)</f>
        <v/>
      </c>
      <c r="N10306">
        <f>IF(ISERR(FIND("DECOUPE",Tableau1[[#This Row],[DESIGNATION]])),"","NEED REF")</f>
        <v/>
      </c>
    </row>
    <row r="10307">
      <c r="B10307" t="n">
        <v>34403699</v>
      </c>
      <c r="C10307" s="2" t="n">
        <v>41737</v>
      </c>
      <c r="D10307" t="inlineStr">
        <is>
          <t>SPEC</t>
        </is>
      </c>
      <c r="E10307" t="inlineStr">
        <is>
          <t>FLEXBAR L2 R2</t>
        </is>
      </c>
      <c r="F10307" t="inlineStr">
        <is>
          <t>G7K NS2500kVA - Q4S BACKFEED</t>
        </is>
      </c>
      <c r="J10307" t="inlineStr">
        <is>
          <t>MATRION</t>
        </is>
      </c>
      <c r="L10307">
        <f>_xlfn.XLOOKUP(Tableau1[[#This Row],[TYPE DE PIECE]],Tableau4[MATIERE],Tableau4[SHORT TYPE],"",0,1)</f>
        <v/>
      </c>
      <c r="N10307">
        <f>IF(ISERR(FIND("DECOUPE",Tableau1[[#This Row],[DESIGNATION]])),"","NEED REF")</f>
        <v/>
      </c>
    </row>
    <row r="10308">
      <c r="B10308" t="n">
        <v>34403698</v>
      </c>
      <c r="C10308" s="2" t="n">
        <v>41737</v>
      </c>
      <c r="D10308" t="inlineStr">
        <is>
          <t>SPEC</t>
        </is>
      </c>
      <c r="E10308" t="inlineStr">
        <is>
          <t>FLEXBAR L1 R2</t>
        </is>
      </c>
      <c r="F10308" t="inlineStr">
        <is>
          <t>G7K NS2500kVA - Q4S BACKFEED</t>
        </is>
      </c>
      <c r="J10308" t="inlineStr">
        <is>
          <t>MATRION</t>
        </is>
      </c>
      <c r="L10308">
        <f>_xlfn.XLOOKUP(Tableau1[[#This Row],[TYPE DE PIECE]],Tableau4[MATIERE],Tableau4[SHORT TYPE],"",0,1)</f>
        <v/>
      </c>
      <c r="N10308">
        <f>IF(ISERR(FIND("DECOUPE",Tableau1[[#This Row],[DESIGNATION]])),"","NEED REF")</f>
        <v/>
      </c>
    </row>
    <row r="10309">
      <c r="B10309" t="n">
        <v>34403697</v>
      </c>
      <c r="C10309" s="2" t="n">
        <v>41736</v>
      </c>
      <c r="D10309" t="inlineStr">
        <is>
          <t>SPEC</t>
        </is>
      </c>
      <c r="E10309" t="inlineStr">
        <is>
          <t>PLASTIC PC CB COVER FOR 13 M-STAR UL94 V0</t>
        </is>
      </c>
      <c r="F10309" t="inlineStr">
        <is>
          <t>G300IAES</t>
        </is>
      </c>
      <c r="J10309" t="inlineStr">
        <is>
          <t>REVEL</t>
        </is>
      </c>
      <c r="L10309">
        <f>_xlfn.XLOOKUP(Tableau1[[#This Row],[TYPE DE PIECE]],Tableau4[MATIERE],Tableau4[SHORT TYPE],"",0,1)</f>
        <v/>
      </c>
      <c r="N10309">
        <f>IF(ISERR(FIND("DECOUPE",Tableau1[[#This Row],[DESIGNATION]])),"","NEED REF")</f>
        <v/>
      </c>
    </row>
    <row r="10310">
      <c r="B10310" t="n">
        <v>34403696</v>
      </c>
      <c r="C10310" s="2" t="n">
        <v>41736</v>
      </c>
      <c r="D10310" t="inlineStr">
        <is>
          <t>SPEC</t>
        </is>
      </c>
      <c r="E10310" t="inlineStr">
        <is>
          <t>BUSBAR SUPPORT 800</t>
        </is>
      </c>
      <c r="F10310" t="inlineStr">
        <is>
          <t>G7K NS2500kVA - Q4S BACKFEED</t>
        </is>
      </c>
      <c r="J10310" t="inlineStr">
        <is>
          <t>MATRION</t>
        </is>
      </c>
      <c r="K10310" t="inlineStr">
        <is>
          <t>METAL</t>
        </is>
      </c>
      <c r="L10310">
        <f>_xlfn.XLOOKUP(Tableau1[[#This Row],[TYPE DE PIECE]],Tableau4[MATIERE],Tableau4[SHORT TYPE],"",0,1)</f>
        <v/>
      </c>
      <c r="N10310">
        <f>IF(ISERR(FIND("DECOUPE",Tableau1[[#This Row],[DESIGNATION]])),"","NEED REF")</f>
        <v/>
      </c>
    </row>
    <row r="10311">
      <c r="B10311" t="n">
        <v>34403695</v>
      </c>
      <c r="C10311" s="2" t="n">
        <v>41733</v>
      </c>
      <c r="D10311" t="inlineStr">
        <is>
          <t>SPEC</t>
        </is>
      </c>
      <c r="E10311" t="inlineStr">
        <is>
          <t>FILERIE POUR BACK FEED NS 2000KVA G7K</t>
        </is>
      </c>
      <c r="F10311" t="inlineStr">
        <is>
          <t>G7K NS2500kVA - BACKFEED INTEGRE</t>
        </is>
      </c>
      <c r="J10311" t="inlineStr">
        <is>
          <t>REVEL</t>
        </is>
      </c>
      <c r="L10311">
        <f>_xlfn.XLOOKUP(Tableau1[[#This Row],[TYPE DE PIECE]],Tableau4[MATIERE],Tableau4[SHORT TYPE],"",0,1)</f>
        <v/>
      </c>
      <c r="N10311">
        <f>IF(ISERR(FIND("DECOUPE",Tableau1[[#This Row],[DESIGNATION]])),"","NEED REF")</f>
        <v/>
      </c>
    </row>
    <row r="10312">
      <c r="B10312" t="n">
        <v>34403694</v>
      </c>
      <c r="C10312" s="2" t="n">
        <v>41732</v>
      </c>
      <c r="D10312" t="inlineStr">
        <is>
          <t>SPEC</t>
        </is>
      </c>
      <c r="E10312" t="inlineStr">
        <is>
          <t>FTT/C ACIER TETE CYLINDRIQUE M5</t>
        </is>
      </c>
      <c r="F10312" t="inlineStr">
        <is>
          <t>ADSIL</t>
        </is>
      </c>
      <c r="J10312" t="inlineStr">
        <is>
          <t>PLANTIER</t>
        </is>
      </c>
      <c r="L10312">
        <f>_xlfn.XLOOKUP(Tableau1[[#This Row],[TYPE DE PIECE]],Tableau4[MATIERE],Tableau4[SHORT TYPE],"",0,1)</f>
        <v/>
      </c>
      <c r="N10312">
        <f>IF(ISERR(FIND("DECOUPE",Tableau1[[#This Row],[DESIGNATION]])),"","NEED REF")</f>
        <v/>
      </c>
    </row>
    <row r="10313">
      <c r="B10313" t="n">
        <v>34403693</v>
      </c>
      <c r="C10313" s="2" t="n">
        <v>41731</v>
      </c>
      <c r="D10313" t="inlineStr">
        <is>
          <t>SPEC</t>
        </is>
      </c>
      <c r="E10313" t="inlineStr">
        <is>
          <t>BACK NW NS SUPPORT</t>
        </is>
      </c>
      <c r="F10313" t="inlineStr">
        <is>
          <t>G7K NS2500kVA - Q4S BACKFEED</t>
        </is>
      </c>
      <c r="J10313" t="inlineStr">
        <is>
          <t>MATRION</t>
        </is>
      </c>
      <c r="K10313" t="inlineStr">
        <is>
          <t>METAL</t>
        </is>
      </c>
      <c r="L10313">
        <f>_xlfn.XLOOKUP(Tableau1[[#This Row],[TYPE DE PIECE]],Tableau4[MATIERE],Tableau4[SHORT TYPE],"",0,1)</f>
        <v/>
      </c>
      <c r="N10313">
        <f>IF(ISERR(FIND("DECOUPE",Tableau1[[#This Row],[DESIGNATION]])),"","NEED REF")</f>
        <v/>
      </c>
    </row>
    <row r="10314">
      <c r="B10314" t="n">
        <v>34403692</v>
      </c>
      <c r="C10314" s="2" t="n">
        <v>41729</v>
      </c>
      <c r="D10314" t="inlineStr">
        <is>
          <t>SPEC</t>
        </is>
      </c>
      <c r="E10314" t="inlineStr">
        <is>
          <t>COMM SUPPORT</t>
        </is>
      </c>
      <c r="F10314" t="inlineStr">
        <is>
          <t>G7K NS2500kVA - Q4S BACKFEED</t>
        </is>
      </c>
      <c r="J10314" t="inlineStr">
        <is>
          <t>MATRION</t>
        </is>
      </c>
      <c r="K10314" t="inlineStr">
        <is>
          <t>METAL</t>
        </is>
      </c>
      <c r="L10314">
        <f>_xlfn.XLOOKUP(Tableau1[[#This Row],[TYPE DE PIECE]],Tableau4[MATIERE],Tableau4[SHORT TYPE],"",0,1)</f>
        <v/>
      </c>
      <c r="N10314">
        <f>IF(ISERR(FIND("DECOUPE",Tableau1[[#This Row],[DESIGNATION]])),"","NEED REF")</f>
        <v/>
      </c>
    </row>
    <row r="10315">
      <c r="B10315" t="n">
        <v>34403691</v>
      </c>
      <c r="C10315" s="2" t="n">
        <v>41729</v>
      </c>
      <c r="D10315" t="inlineStr">
        <is>
          <t>SPEC</t>
        </is>
      </c>
      <c r="E10315" t="inlineStr">
        <is>
          <t>ROOF SF 1000x800 + AIR OULET</t>
        </is>
      </c>
      <c r="F10315" t="inlineStr">
        <is>
          <t>G7K NS2500kVA - Q4S BACKFEED</t>
        </is>
      </c>
      <c r="J10315" t="inlineStr">
        <is>
          <t>MATRION</t>
        </is>
      </c>
      <c r="K10315" t="inlineStr">
        <is>
          <t>SAREL</t>
        </is>
      </c>
      <c r="L10315">
        <f>_xlfn.XLOOKUP(Tableau1[[#This Row],[TYPE DE PIECE]],Tableau4[MATIERE],Tableau4[SHORT TYPE],"",0,1)</f>
        <v/>
      </c>
      <c r="N10315">
        <f>IF(ISERR(FIND("DECOUPE",Tableau1[[#This Row],[DESIGNATION]])),"","NEED REF")</f>
        <v/>
      </c>
    </row>
    <row r="10316">
      <c r="B10316" t="n">
        <v>34403690</v>
      </c>
      <c r="C10316" s="2" t="n">
        <v>41729</v>
      </c>
      <c r="D10316" t="inlineStr">
        <is>
          <t>SPEC</t>
        </is>
      </c>
      <c r="E10316" t="inlineStr">
        <is>
          <t>IHM SUPPORT 2</t>
        </is>
      </c>
      <c r="F10316" t="inlineStr">
        <is>
          <t>G7K NS2500kVA - Q4S BACKFEED</t>
        </is>
      </c>
      <c r="J10316" t="inlineStr">
        <is>
          <t>MATRION</t>
        </is>
      </c>
      <c r="K10316" t="inlineStr">
        <is>
          <t>METAL</t>
        </is>
      </c>
      <c r="L10316">
        <f>_xlfn.XLOOKUP(Tableau1[[#This Row],[TYPE DE PIECE]],Tableau4[MATIERE],Tableau4[SHORT TYPE],"",0,1)</f>
        <v/>
      </c>
      <c r="N10316">
        <f>IF(ISERR(FIND("DECOUPE",Tableau1[[#This Row],[DESIGNATION]])),"","NEED REF")</f>
        <v/>
      </c>
    </row>
    <row r="10317">
      <c r="B10317" t="n">
        <v>34403689</v>
      </c>
      <c r="C10317" s="2" t="n">
        <v>41729</v>
      </c>
      <c r="D10317" t="inlineStr">
        <is>
          <t>SPEC</t>
        </is>
      </c>
      <c r="E10317" t="inlineStr">
        <is>
          <t>IHM SUPPORT 1</t>
        </is>
      </c>
      <c r="F10317" t="inlineStr">
        <is>
          <t>G7K NS2500kVA - Q4S BACKFEED</t>
        </is>
      </c>
      <c r="J10317" t="inlineStr">
        <is>
          <t>MATRION</t>
        </is>
      </c>
      <c r="K10317" t="inlineStr">
        <is>
          <t>METAL</t>
        </is>
      </c>
      <c r="L10317">
        <f>_xlfn.XLOOKUP(Tableau1[[#This Row],[TYPE DE PIECE]],Tableau4[MATIERE],Tableau4[SHORT TYPE],"",0,1)</f>
        <v/>
      </c>
      <c r="N10317">
        <f>IF(ISERR(FIND("DECOUPE",Tableau1[[#This Row],[DESIGNATION]])),"","NEED REF")</f>
        <v/>
      </c>
    </row>
    <row r="10318">
      <c r="B10318" t="n">
        <v>34403688</v>
      </c>
      <c r="C10318" s="2" t="n">
        <v>41729</v>
      </c>
      <c r="D10318" t="inlineStr">
        <is>
          <t>SPEC</t>
        </is>
      </c>
      <c r="E10318" t="inlineStr">
        <is>
          <t>DOOR SF 1000x1900 + IHM + AIR INLET</t>
        </is>
      </c>
      <c r="F10318" t="inlineStr">
        <is>
          <t>G7K NS2500kVA - Q4S BACKFEED</t>
        </is>
      </c>
      <c r="J10318" t="inlineStr">
        <is>
          <t>MATRION</t>
        </is>
      </c>
      <c r="K10318" t="inlineStr">
        <is>
          <t>SAREL</t>
        </is>
      </c>
      <c r="L10318">
        <f>_xlfn.XLOOKUP(Tableau1[[#This Row],[TYPE DE PIECE]],Tableau4[MATIERE],Tableau4[SHORT TYPE],"",0,1)</f>
        <v/>
      </c>
      <c r="N10318">
        <f>IF(ISERR(FIND("DECOUPE",Tableau1[[#This Row],[DESIGNATION]])),"","NEED REF")</f>
        <v/>
      </c>
    </row>
    <row r="10319">
      <c r="B10319" t="n">
        <v>34403687</v>
      </c>
      <c r="C10319" s="2" t="n">
        <v>41723</v>
      </c>
      <c r="D10319" t="inlineStr">
        <is>
          <t>SPEC</t>
        </is>
      </c>
      <c r="E10319" t="inlineStr">
        <is>
          <t>ETIQUETTE  G7000 250kVA</t>
        </is>
      </c>
      <c r="F10319" t="inlineStr">
        <is>
          <t>WFR SWAP PAC ASSEMBLE NATIONALE</t>
        </is>
      </c>
      <c r="J10319" t="inlineStr">
        <is>
          <t>ROBERT</t>
        </is>
      </c>
      <c r="L10319">
        <f>_xlfn.XLOOKUP(Tableau1[[#This Row],[TYPE DE PIECE]],Tableau4[MATIERE],Tableau4[SHORT TYPE],"",0,1)</f>
        <v/>
      </c>
      <c r="N10319">
        <f>IF(ISERR(FIND("DECOUPE",Tableau1[[#This Row],[DESIGNATION]])),"","NEED REF")</f>
        <v/>
      </c>
    </row>
    <row r="10320">
      <c r="B10320" t="n">
        <v>34403686</v>
      </c>
      <c r="C10320" s="2" t="n">
        <v>41723</v>
      </c>
      <c r="D10320" t="inlineStr">
        <is>
          <t>SPEC</t>
        </is>
      </c>
      <c r="E10320" t="inlineStr">
        <is>
          <t>ETIQUETTE STS 400A</t>
        </is>
      </c>
      <c r="F10320" t="inlineStr">
        <is>
          <t>WFR SWAP PAC ASSEMBLE NATIONALE</t>
        </is>
      </c>
      <c r="J10320" t="inlineStr">
        <is>
          <t>ROBERT</t>
        </is>
      </c>
      <c r="L10320">
        <f>_xlfn.XLOOKUP(Tableau1[[#This Row],[TYPE DE PIECE]],Tableau4[MATIERE],Tableau4[SHORT TYPE],"",0,1)</f>
        <v/>
      </c>
      <c r="N10320">
        <f>IF(ISERR(FIND("DECOUPE",Tableau1[[#This Row],[DESIGNATION]])),"","NEED REF")</f>
        <v/>
      </c>
    </row>
    <row r="10321">
      <c r="B10321" t="n">
        <v>34403685</v>
      </c>
      <c r="C10321" s="2" t="n">
        <v>41723</v>
      </c>
      <c r="D10321" t="inlineStr">
        <is>
          <t>SPEC</t>
        </is>
      </c>
      <c r="E10321" t="inlineStr">
        <is>
          <t>FAN TOP PROTECTION RIGHT/LEFT</t>
        </is>
      </c>
      <c r="F10321" t="inlineStr">
        <is>
          <t>GOTTARD</t>
        </is>
      </c>
      <c r="J10321" t="inlineStr">
        <is>
          <t>MATRION</t>
        </is>
      </c>
      <c r="L10321">
        <f>_xlfn.XLOOKUP(Tableau1[[#This Row],[TYPE DE PIECE]],Tableau4[MATIERE],Tableau4[SHORT TYPE],"",0,1)</f>
        <v/>
      </c>
      <c r="N10321">
        <f>IF(ISERR(FIND("DECOUPE",Tableau1[[#This Row],[DESIGNATION]])),"","NEED REF")</f>
        <v/>
      </c>
    </row>
    <row r="10322">
      <c r="B10322" t="n">
        <v>34403684</v>
      </c>
      <c r="C10322" s="2" t="n">
        <v>41718</v>
      </c>
      <c r="D10322" t="inlineStr">
        <is>
          <t>SPEC</t>
        </is>
      </c>
      <c r="E10322" t="inlineStr">
        <is>
          <t>COPPERBAR ASI</t>
        </is>
      </c>
      <c r="F10322" t="inlineStr">
        <is>
          <t>BNP CIRCUIT BREAKER</t>
        </is>
      </c>
      <c r="J10322" t="inlineStr">
        <is>
          <t>MATRION</t>
        </is>
      </c>
      <c r="L10322">
        <f>_xlfn.XLOOKUP(Tableau1[[#This Row],[TYPE DE PIECE]],Tableau4[MATIERE],Tableau4[SHORT TYPE],"",0,1)</f>
        <v/>
      </c>
      <c r="N10322">
        <f>IF(ISERR(FIND("DECOUPE",Tableau1[[#This Row],[DESIGNATION]])),"","NEED REF")</f>
        <v/>
      </c>
    </row>
    <row r="10323">
      <c r="B10323" t="n">
        <v>34403683</v>
      </c>
      <c r="C10323" s="2" t="n">
        <v>41717</v>
      </c>
      <c r="D10323" t="inlineStr">
        <is>
          <t>NOM</t>
        </is>
      </c>
      <c r="E10323" t="inlineStr">
        <is>
          <t>ETUDE (PROE) GAINE RACC. WITH UPS 500kVA</t>
        </is>
      </c>
      <c r="F10323" t="inlineStr">
        <is>
          <t>AMAZON</t>
        </is>
      </c>
      <c r="J10323" t="inlineStr">
        <is>
          <t>MATRION</t>
        </is>
      </c>
      <c r="L10323">
        <f>_xlfn.XLOOKUP(Tableau1[[#This Row],[TYPE DE PIECE]],Tableau4[MATIERE],Tableau4[SHORT TYPE],"",0,1)</f>
        <v/>
      </c>
      <c r="N10323">
        <f>IF(ISERR(FIND("DECOUPE",Tableau1[[#This Row],[DESIGNATION]])),"","NEED REF")</f>
        <v/>
      </c>
    </row>
    <row r="10324">
      <c r="B10324" t="n">
        <v>34403682</v>
      </c>
      <c r="C10324" s="2" t="n">
        <v>41716</v>
      </c>
      <c r="D10324" t="inlineStr">
        <is>
          <t>SPEC</t>
        </is>
      </c>
      <c r="E10324" t="inlineStr">
        <is>
          <t>SQUARE TOP CONNEXION</t>
        </is>
      </c>
      <c r="F10324" t="inlineStr">
        <is>
          <t>STS400 FLAT</t>
        </is>
      </c>
      <c r="J10324" t="inlineStr">
        <is>
          <t>MATRION</t>
        </is>
      </c>
      <c r="K10324" t="inlineStr">
        <is>
          <t>CUIVRE/ERICO</t>
        </is>
      </c>
      <c r="L10324">
        <f>_xlfn.XLOOKUP(Tableau1[[#This Row],[TYPE DE PIECE]],Tableau4[MATIERE],Tableau4[SHORT TYPE],"",0,1)</f>
        <v/>
      </c>
      <c r="N10324">
        <f>IF(ISERR(FIND("DECOUPE",Tableau1[[#This Row],[DESIGNATION]])),"","NEED REF")</f>
        <v/>
      </c>
    </row>
    <row r="10325">
      <c r="B10325" t="n">
        <v>34403681</v>
      </c>
      <c r="C10325" s="2" t="n">
        <v>41716</v>
      </c>
      <c r="D10325" t="inlineStr">
        <is>
          <t>SPEC</t>
        </is>
      </c>
      <c r="E10325" t="inlineStr">
        <is>
          <t>FLEXBAR TOP CONNECTION 12</t>
        </is>
      </c>
      <c r="F10325" t="inlineStr">
        <is>
          <t>STS400 FLAT</t>
        </is>
      </c>
      <c r="J10325" t="inlineStr">
        <is>
          <t>MATRION</t>
        </is>
      </c>
      <c r="K10325" t="inlineStr">
        <is>
          <t>CUIVRE/ERICO</t>
        </is>
      </c>
      <c r="L10325">
        <f>_xlfn.XLOOKUP(Tableau1[[#This Row],[TYPE DE PIECE]],Tableau4[MATIERE],Tableau4[SHORT TYPE],"",0,1)</f>
        <v/>
      </c>
      <c r="N10325">
        <f>IF(ISERR(FIND("DECOUPE",Tableau1[[#This Row],[DESIGNATION]])),"","NEED REF")</f>
        <v/>
      </c>
    </row>
    <row r="10326">
      <c r="B10326" t="n">
        <v>34403680</v>
      </c>
      <c r="C10326" s="2" t="n">
        <v>41716</v>
      </c>
      <c r="D10326" t="inlineStr">
        <is>
          <t>SPEC</t>
        </is>
      </c>
      <c r="E10326" t="inlineStr">
        <is>
          <t>FLEXBAR TOP CONNECTION 11</t>
        </is>
      </c>
      <c r="F10326" t="inlineStr">
        <is>
          <t>STS400 FLAT</t>
        </is>
      </c>
      <c r="J10326" t="inlineStr">
        <is>
          <t>MATRION</t>
        </is>
      </c>
      <c r="K10326" t="inlineStr">
        <is>
          <t>CUIVRE/ERICO</t>
        </is>
      </c>
      <c r="L10326">
        <f>_xlfn.XLOOKUP(Tableau1[[#This Row],[TYPE DE PIECE]],Tableau4[MATIERE],Tableau4[SHORT TYPE],"",0,1)</f>
        <v/>
      </c>
      <c r="N10326">
        <f>IF(ISERR(FIND("DECOUPE",Tableau1[[#This Row],[DESIGNATION]])),"","NEED REF")</f>
        <v/>
      </c>
    </row>
    <row r="10327">
      <c r="B10327" t="n">
        <v>34403679</v>
      </c>
      <c r="C10327" s="2" t="n">
        <v>41716</v>
      </c>
      <c r="D10327" t="inlineStr">
        <is>
          <t>SPEC</t>
        </is>
      </c>
      <c r="E10327" t="inlineStr">
        <is>
          <t>FLEXBAR TOP CONNECTION 10</t>
        </is>
      </c>
      <c r="F10327" t="inlineStr">
        <is>
          <t>STS400 FLAT</t>
        </is>
      </c>
      <c r="J10327" t="inlineStr">
        <is>
          <t>MATRION</t>
        </is>
      </c>
      <c r="K10327" t="inlineStr">
        <is>
          <t>CUIVRE/ERICO</t>
        </is>
      </c>
      <c r="L10327">
        <f>_xlfn.XLOOKUP(Tableau1[[#This Row],[TYPE DE PIECE]],Tableau4[MATIERE],Tableau4[SHORT TYPE],"",0,1)</f>
        <v/>
      </c>
      <c r="N10327">
        <f>IF(ISERR(FIND("DECOUPE",Tableau1[[#This Row],[DESIGNATION]])),"","NEED REF")</f>
        <v/>
      </c>
    </row>
    <row r="10328">
      <c r="B10328" t="n">
        <v>34403678</v>
      </c>
      <c r="C10328" s="2" t="n">
        <v>41716</v>
      </c>
      <c r="D10328" t="inlineStr">
        <is>
          <t>SPEC</t>
        </is>
      </c>
      <c r="E10328" t="inlineStr">
        <is>
          <t>FLEXBAR TOP CONNECTION 9</t>
        </is>
      </c>
      <c r="F10328" t="inlineStr">
        <is>
          <t>STS400 FLAT</t>
        </is>
      </c>
      <c r="J10328" t="inlineStr">
        <is>
          <t>MATRION</t>
        </is>
      </c>
      <c r="K10328" t="inlineStr">
        <is>
          <t>CUIVRE/ERICO</t>
        </is>
      </c>
      <c r="L10328">
        <f>_xlfn.XLOOKUP(Tableau1[[#This Row],[TYPE DE PIECE]],Tableau4[MATIERE],Tableau4[SHORT TYPE],"",0,1)</f>
        <v/>
      </c>
      <c r="N10328">
        <f>IF(ISERR(FIND("DECOUPE",Tableau1[[#This Row],[DESIGNATION]])),"","NEED REF")</f>
        <v/>
      </c>
    </row>
    <row r="10329">
      <c r="B10329" t="n">
        <v>34403677</v>
      </c>
      <c r="C10329" s="2" t="n">
        <v>41716</v>
      </c>
      <c r="D10329" t="inlineStr">
        <is>
          <t>SPEC</t>
        </is>
      </c>
      <c r="E10329" t="inlineStr">
        <is>
          <t>FLEXBAR TOP CONNECTION 8</t>
        </is>
      </c>
      <c r="F10329" t="inlineStr">
        <is>
          <t>STS400 FLAT</t>
        </is>
      </c>
      <c r="J10329" t="inlineStr">
        <is>
          <t>MATRION</t>
        </is>
      </c>
      <c r="K10329" t="inlineStr">
        <is>
          <t>CUIVRE/ERICO</t>
        </is>
      </c>
      <c r="L10329">
        <f>_xlfn.XLOOKUP(Tableau1[[#This Row],[TYPE DE PIECE]],Tableau4[MATIERE],Tableau4[SHORT TYPE],"",0,1)</f>
        <v/>
      </c>
      <c r="N10329">
        <f>IF(ISERR(FIND("DECOUPE",Tableau1[[#This Row],[DESIGNATION]])),"","NEED REF")</f>
        <v/>
      </c>
    </row>
    <row r="10330">
      <c r="B10330" t="n">
        <v>34403676</v>
      </c>
      <c r="C10330" s="2" t="n">
        <v>41716</v>
      </c>
      <c r="D10330" t="inlineStr">
        <is>
          <t>SPEC</t>
        </is>
      </c>
      <c r="E10330" t="inlineStr">
        <is>
          <t>FLEXBAR TOP CONNECTION 7</t>
        </is>
      </c>
      <c r="F10330" t="inlineStr">
        <is>
          <t>STS400 FLAT</t>
        </is>
      </c>
      <c r="J10330" t="inlineStr">
        <is>
          <t>MATRION</t>
        </is>
      </c>
      <c r="K10330" t="inlineStr">
        <is>
          <t>CUIVRE/ERICO</t>
        </is>
      </c>
      <c r="L10330">
        <f>_xlfn.XLOOKUP(Tableau1[[#This Row],[TYPE DE PIECE]],Tableau4[MATIERE],Tableau4[SHORT TYPE],"",0,1)</f>
        <v/>
      </c>
      <c r="N10330">
        <f>IF(ISERR(FIND("DECOUPE",Tableau1[[#This Row],[DESIGNATION]])),"","NEED REF")</f>
        <v/>
      </c>
    </row>
    <row r="10331">
      <c r="B10331" t="n">
        <v>34403675</v>
      </c>
      <c r="C10331" s="2" t="n">
        <v>41716</v>
      </c>
      <c r="D10331" t="inlineStr">
        <is>
          <t>SPEC</t>
        </is>
      </c>
      <c r="E10331" t="inlineStr">
        <is>
          <t>FLEXBAR TOP CONNECTION 6</t>
        </is>
      </c>
      <c r="F10331" t="inlineStr">
        <is>
          <t>STS400 FLAT</t>
        </is>
      </c>
      <c r="J10331" t="inlineStr">
        <is>
          <t>MATRION</t>
        </is>
      </c>
      <c r="K10331" t="inlineStr">
        <is>
          <t>CUIVRE/ERICO</t>
        </is>
      </c>
      <c r="L10331">
        <f>_xlfn.XLOOKUP(Tableau1[[#This Row],[TYPE DE PIECE]],Tableau4[MATIERE],Tableau4[SHORT TYPE],"",0,1)</f>
        <v/>
      </c>
      <c r="N10331">
        <f>IF(ISERR(FIND("DECOUPE",Tableau1[[#This Row],[DESIGNATION]])),"","NEED REF")</f>
        <v/>
      </c>
    </row>
    <row r="10332">
      <c r="B10332" t="n">
        <v>34403674</v>
      </c>
      <c r="C10332" s="2" t="n">
        <v>41716</v>
      </c>
      <c r="D10332" t="inlineStr">
        <is>
          <t>SPEC</t>
        </is>
      </c>
      <c r="E10332" t="inlineStr">
        <is>
          <t>FLEXBAR TOP CONNECTION 5</t>
        </is>
      </c>
      <c r="F10332" t="inlineStr">
        <is>
          <t>STS400 FLAT</t>
        </is>
      </c>
      <c r="J10332" t="inlineStr">
        <is>
          <t>MATRION</t>
        </is>
      </c>
      <c r="K10332" t="inlineStr">
        <is>
          <t>CUIVRE/ERICO</t>
        </is>
      </c>
      <c r="L10332">
        <f>_xlfn.XLOOKUP(Tableau1[[#This Row],[TYPE DE PIECE]],Tableau4[MATIERE],Tableau4[SHORT TYPE],"",0,1)</f>
        <v/>
      </c>
      <c r="N10332">
        <f>IF(ISERR(FIND("DECOUPE",Tableau1[[#This Row],[DESIGNATION]])),"","NEED REF")</f>
        <v/>
      </c>
    </row>
    <row r="10333">
      <c r="B10333" t="n">
        <v>34403673</v>
      </c>
      <c r="C10333" s="2" t="n">
        <v>41716</v>
      </c>
      <c r="D10333" t="inlineStr">
        <is>
          <t>SPEC</t>
        </is>
      </c>
      <c r="E10333" t="inlineStr">
        <is>
          <t>FLEXBAR TOP CONNECTION 4</t>
        </is>
      </c>
      <c r="F10333" t="inlineStr">
        <is>
          <t>STS400 FLAT</t>
        </is>
      </c>
      <c r="J10333" t="inlineStr">
        <is>
          <t>MATRION</t>
        </is>
      </c>
      <c r="K10333" t="inlineStr">
        <is>
          <t>CUIVRE/ERICO</t>
        </is>
      </c>
      <c r="L10333">
        <f>_xlfn.XLOOKUP(Tableau1[[#This Row],[TYPE DE PIECE]],Tableau4[MATIERE],Tableau4[SHORT TYPE],"",0,1)</f>
        <v/>
      </c>
      <c r="N10333">
        <f>IF(ISERR(FIND("DECOUPE",Tableau1[[#This Row],[DESIGNATION]])),"","NEED REF")</f>
        <v/>
      </c>
    </row>
    <row r="10334">
      <c r="B10334" t="n">
        <v>34403672</v>
      </c>
      <c r="C10334" s="2" t="n">
        <v>41716</v>
      </c>
      <c r="D10334" t="inlineStr">
        <is>
          <t>SPEC</t>
        </is>
      </c>
      <c r="E10334" t="inlineStr">
        <is>
          <t>FLEXBAR TOP CONNECTION 3</t>
        </is>
      </c>
      <c r="F10334" t="inlineStr">
        <is>
          <t>STS400 FLAT</t>
        </is>
      </c>
      <c r="J10334" t="inlineStr">
        <is>
          <t>MATRION</t>
        </is>
      </c>
      <c r="K10334" t="inlineStr">
        <is>
          <t>CUIVRE/ERICO</t>
        </is>
      </c>
      <c r="L10334">
        <f>_xlfn.XLOOKUP(Tableau1[[#This Row],[TYPE DE PIECE]],Tableau4[MATIERE],Tableau4[SHORT TYPE],"",0,1)</f>
        <v/>
      </c>
      <c r="N10334">
        <f>IF(ISERR(FIND("DECOUPE",Tableau1[[#This Row],[DESIGNATION]])),"","NEED REF")</f>
        <v/>
      </c>
    </row>
    <row r="10335">
      <c r="B10335" t="n">
        <v>34403671</v>
      </c>
      <c r="C10335" s="2" t="n">
        <v>41716</v>
      </c>
      <c r="D10335" t="inlineStr">
        <is>
          <t>SPEC</t>
        </is>
      </c>
      <c r="E10335" t="inlineStr">
        <is>
          <t>FLEXBAR TOP CONNECTION 2</t>
        </is>
      </c>
      <c r="F10335" t="inlineStr">
        <is>
          <t>STS400 FLAT</t>
        </is>
      </c>
      <c r="J10335" t="inlineStr">
        <is>
          <t>MATRION</t>
        </is>
      </c>
      <c r="K10335" t="inlineStr">
        <is>
          <t>CUIVRE/ERICO</t>
        </is>
      </c>
      <c r="L10335">
        <f>_xlfn.XLOOKUP(Tableau1[[#This Row],[TYPE DE PIECE]],Tableau4[MATIERE],Tableau4[SHORT TYPE],"",0,1)</f>
        <v/>
      </c>
      <c r="N10335">
        <f>IF(ISERR(FIND("DECOUPE",Tableau1[[#This Row],[DESIGNATION]])),"","NEED REF")</f>
        <v/>
      </c>
    </row>
    <row r="10336">
      <c r="B10336" t="n">
        <v>34403670</v>
      </c>
      <c r="C10336" s="2" t="n">
        <v>41716</v>
      </c>
      <c r="D10336" t="inlineStr">
        <is>
          <t>SPEC</t>
        </is>
      </c>
      <c r="E10336" t="inlineStr">
        <is>
          <t>FLEXBAR TOP CONNECTION 1</t>
        </is>
      </c>
      <c r="F10336" t="inlineStr">
        <is>
          <t>STS400 FLAT</t>
        </is>
      </c>
      <c r="J10336" t="inlineStr">
        <is>
          <t>MATRION</t>
        </is>
      </c>
      <c r="K10336" t="inlineStr">
        <is>
          <t>CUIVRE/ERICO</t>
        </is>
      </c>
      <c r="L10336">
        <f>_xlfn.XLOOKUP(Tableau1[[#This Row],[TYPE DE PIECE]],Tableau4[MATIERE],Tableau4[SHORT TYPE],"",0,1)</f>
        <v/>
      </c>
      <c r="N10336">
        <f>IF(ISERR(FIND("DECOUPE",Tableau1[[#This Row],[DESIGNATION]])),"","NEED REF")</f>
        <v/>
      </c>
    </row>
    <row r="10337">
      <c r="B10337" t="n">
        <v>34403669</v>
      </c>
      <c r="C10337" s="2" t="n">
        <v>41716</v>
      </c>
      <c r="D10337" t="inlineStr">
        <is>
          <t>SPEC</t>
        </is>
      </c>
      <c r="E10337" t="inlineStr">
        <is>
          <t>PROTO PROE</t>
        </is>
      </c>
      <c r="F10337" t="inlineStr">
        <is>
          <t>PROTO STS400 FLAT</t>
        </is>
      </c>
      <c r="J10337" t="inlineStr">
        <is>
          <t>MATRION</t>
        </is>
      </c>
      <c r="L10337">
        <f>_xlfn.XLOOKUP(Tableau1[[#This Row],[TYPE DE PIECE]],Tableau4[MATIERE],Tableau4[SHORT TYPE],"",0,1)</f>
        <v/>
      </c>
      <c r="N10337">
        <f>IF(ISERR(FIND("DECOUPE",Tableau1[[#This Row],[DESIGNATION]])),"","NEED REF")</f>
        <v/>
      </c>
    </row>
    <row r="10338">
      <c r="B10338" t="n">
        <v>34403668</v>
      </c>
      <c r="C10338" s="2" t="n">
        <v>41716</v>
      </c>
      <c r="D10338" t="inlineStr">
        <is>
          <t>SPEC</t>
        </is>
      </c>
      <c r="E10338" t="inlineStr">
        <is>
          <t>TOP CONNEXION JUNCTION</t>
        </is>
      </c>
      <c r="F10338" t="inlineStr">
        <is>
          <t>STS400 FLAT</t>
        </is>
      </c>
      <c r="J10338" t="inlineStr">
        <is>
          <t>MATRION</t>
        </is>
      </c>
      <c r="K10338" t="inlineStr">
        <is>
          <t>CUIVRE</t>
        </is>
      </c>
      <c r="L10338">
        <f>_xlfn.XLOOKUP(Tableau1[[#This Row],[TYPE DE PIECE]],Tableau4[MATIERE],Tableau4[SHORT TYPE],"",0,1)</f>
        <v/>
      </c>
      <c r="N10338">
        <f>IF(ISERR(FIND("DECOUPE",Tableau1[[#This Row],[DESIGNATION]])),"","NEED REF")</f>
        <v/>
      </c>
    </row>
    <row r="10339">
      <c r="B10339" t="n">
        <v>34403667</v>
      </c>
      <c r="C10339" s="2" t="n">
        <v>41716</v>
      </c>
      <c r="D10339" t="inlineStr">
        <is>
          <t>SPEC</t>
        </is>
      </c>
      <c r="E10339" t="inlineStr">
        <is>
          <t>PROTO PROE</t>
        </is>
      </c>
      <c r="F10339" t="inlineStr">
        <is>
          <t>PROTO STS400 FLAT</t>
        </is>
      </c>
      <c r="J10339" t="inlineStr">
        <is>
          <t>MATRION</t>
        </is>
      </c>
      <c r="L10339">
        <f>_xlfn.XLOOKUP(Tableau1[[#This Row],[TYPE DE PIECE]],Tableau4[MATIERE],Tableau4[SHORT TYPE],"",0,1)</f>
        <v/>
      </c>
      <c r="N10339">
        <f>IF(ISERR(FIND("DECOUPE",Tableau1[[#This Row],[DESIGNATION]])),"","NEED REF")</f>
        <v/>
      </c>
    </row>
    <row r="10340">
      <c r="B10340" t="n">
        <v>34403666</v>
      </c>
      <c r="C10340" s="2" t="n">
        <v>41716</v>
      </c>
      <c r="D10340" t="inlineStr">
        <is>
          <t>SPEC</t>
        </is>
      </c>
      <c r="E10340" t="inlineStr">
        <is>
          <t>PROTO PROE</t>
        </is>
      </c>
      <c r="F10340" t="inlineStr">
        <is>
          <t>PROTO STS400 FLAT</t>
        </is>
      </c>
      <c r="J10340" t="inlineStr">
        <is>
          <t>MATRION</t>
        </is>
      </c>
      <c r="L10340">
        <f>_xlfn.XLOOKUP(Tableau1[[#This Row],[TYPE DE PIECE]],Tableau4[MATIERE],Tableau4[SHORT TYPE],"",0,1)</f>
        <v/>
      </c>
      <c r="N10340">
        <f>IF(ISERR(FIND("DECOUPE",Tableau1[[#This Row],[DESIGNATION]])),"","NEED REF")</f>
        <v/>
      </c>
    </row>
    <row r="10341">
      <c r="B10341" t="n">
        <v>34403665</v>
      </c>
      <c r="C10341" s="2" t="n">
        <v>41716</v>
      </c>
      <c r="D10341" t="inlineStr">
        <is>
          <t>SPEC</t>
        </is>
      </c>
      <c r="E10341" t="inlineStr">
        <is>
          <t>PROTO PROE</t>
        </is>
      </c>
      <c r="F10341" t="inlineStr">
        <is>
          <t>PROTO STS400 FLAT</t>
        </is>
      </c>
      <c r="J10341" t="inlineStr">
        <is>
          <t>MATRION</t>
        </is>
      </c>
      <c r="L10341">
        <f>_xlfn.XLOOKUP(Tableau1[[#This Row],[TYPE DE PIECE]],Tableau4[MATIERE],Tableau4[SHORT TYPE],"",0,1)</f>
        <v/>
      </c>
      <c r="N10341">
        <f>IF(ISERR(FIND("DECOUPE",Tableau1[[#This Row],[DESIGNATION]])),"","NEED REF")</f>
        <v/>
      </c>
    </row>
    <row r="10342">
      <c r="B10342" t="n">
        <v>34403664</v>
      </c>
      <c r="C10342" s="2" t="n">
        <v>41716</v>
      </c>
      <c r="D10342" t="inlineStr">
        <is>
          <t>SPEC</t>
        </is>
      </c>
      <c r="E10342" t="inlineStr">
        <is>
          <t>PROTO PROE</t>
        </is>
      </c>
      <c r="F10342" t="inlineStr">
        <is>
          <t>PROTO STS400 FLAT</t>
        </is>
      </c>
      <c r="J10342" t="inlineStr">
        <is>
          <t>MATRION</t>
        </is>
      </c>
      <c r="L10342">
        <f>_xlfn.XLOOKUP(Tableau1[[#This Row],[TYPE DE PIECE]],Tableau4[MATIERE],Tableau4[SHORT TYPE],"",0,1)</f>
        <v/>
      </c>
      <c r="N10342">
        <f>IF(ISERR(FIND("DECOUPE",Tableau1[[#This Row],[DESIGNATION]])),"","NEED REF")</f>
        <v/>
      </c>
    </row>
    <row r="10343">
      <c r="B10343" t="n">
        <v>34403663</v>
      </c>
      <c r="C10343" s="2" t="n">
        <v>41716</v>
      </c>
      <c r="D10343" t="inlineStr">
        <is>
          <t>SPEC</t>
        </is>
      </c>
      <c r="E10343" t="inlineStr">
        <is>
          <t>PROTO PROE</t>
        </is>
      </c>
      <c r="F10343" t="inlineStr">
        <is>
          <t>PROTO STS400 FLAT</t>
        </is>
      </c>
      <c r="J10343" t="inlineStr">
        <is>
          <t>MATRION</t>
        </is>
      </c>
      <c r="L10343">
        <f>_xlfn.XLOOKUP(Tableau1[[#This Row],[TYPE DE PIECE]],Tableau4[MATIERE],Tableau4[SHORT TYPE],"",0,1)</f>
        <v/>
      </c>
      <c r="N10343">
        <f>IF(ISERR(FIND("DECOUPE",Tableau1[[#This Row],[DESIGNATION]])),"","NEED REF")</f>
        <v/>
      </c>
    </row>
    <row r="10344">
      <c r="B10344" t="n">
        <v>34403662</v>
      </c>
      <c r="C10344" s="2" t="n">
        <v>41716</v>
      </c>
      <c r="D10344" t="inlineStr">
        <is>
          <t>SPEC</t>
        </is>
      </c>
      <c r="E10344" t="inlineStr">
        <is>
          <t>LINERGY PROFILE</t>
        </is>
      </c>
      <c r="F10344" t="inlineStr">
        <is>
          <t>STS400 FLAT</t>
        </is>
      </c>
      <c r="J10344" t="inlineStr">
        <is>
          <t>MATRION</t>
        </is>
      </c>
      <c r="K10344" t="inlineStr">
        <is>
          <t>DOC</t>
        </is>
      </c>
      <c r="L10344">
        <f>_xlfn.XLOOKUP(Tableau1[[#This Row],[TYPE DE PIECE]],Tableau4[MATIERE],Tableau4[SHORT TYPE],"",0,1)</f>
        <v/>
      </c>
      <c r="N10344">
        <f>IF(ISERR(FIND("DECOUPE",Tableau1[[#This Row],[DESIGNATION]])),"","NEED REF")</f>
        <v/>
      </c>
    </row>
    <row r="10345">
      <c r="B10345" t="n">
        <v>34403661</v>
      </c>
      <c r="C10345" s="2" t="n">
        <v>41711</v>
      </c>
      <c r="D10345" t="inlineStr">
        <is>
          <t>NOM</t>
        </is>
      </c>
      <c r="E10345" t="inlineStr">
        <is>
          <t>S/A EXTT / SYNIN PLATE</t>
        </is>
      </c>
      <c r="F10345" t="inlineStr">
        <is>
          <t>G7K NS2500kVA - Q4S BACKFEED</t>
        </is>
      </c>
      <c r="J10345" t="inlineStr">
        <is>
          <t>MATRION</t>
        </is>
      </c>
      <c r="L10345">
        <f>_xlfn.XLOOKUP(Tableau1[[#This Row],[TYPE DE PIECE]],Tableau4[MATIERE],Tableau4[SHORT TYPE],"",0,1)</f>
        <v/>
      </c>
      <c r="N10345">
        <f>IF(ISERR(FIND("DECOUPE",Tableau1[[#This Row],[DESIGNATION]])),"","NEED REF")</f>
        <v/>
      </c>
    </row>
    <row r="10346">
      <c r="B10346" t="n">
        <v>34403660</v>
      </c>
      <c r="C10346" s="2" t="n">
        <v>41711</v>
      </c>
      <c r="D10346" t="inlineStr">
        <is>
          <t>SPEC</t>
        </is>
      </c>
      <c r="E10346" t="inlineStr">
        <is>
          <t>EXTT / SYNIN PLATE</t>
        </is>
      </c>
      <c r="F10346" t="inlineStr">
        <is>
          <t>G7K NS2500kVA - Q4S BACKFEED</t>
        </is>
      </c>
      <c r="J10346" t="inlineStr">
        <is>
          <t>MATRION</t>
        </is>
      </c>
      <c r="K10346" t="inlineStr">
        <is>
          <t>METAL</t>
        </is>
      </c>
      <c r="L10346">
        <f>_xlfn.XLOOKUP(Tableau1[[#This Row],[TYPE DE PIECE]],Tableau4[MATIERE],Tableau4[SHORT TYPE],"",0,1)</f>
        <v/>
      </c>
      <c r="N10346">
        <f>IF(ISERR(FIND("DECOUPE",Tableau1[[#This Row],[DESIGNATION]])),"","NEED REF")</f>
        <v/>
      </c>
    </row>
    <row r="10347">
      <c r="B10347" t="n">
        <v>34403659</v>
      </c>
      <c r="C10347" s="2" t="n">
        <v>41711</v>
      </c>
      <c r="D10347" t="inlineStr">
        <is>
          <t>SPEC</t>
        </is>
      </c>
      <c r="E10347" t="inlineStr">
        <is>
          <t>BUSBAR N+L1 - L2+L3 STEP 100 - CABS APP - PROFIL ALU PERFO</t>
        </is>
      </c>
      <c r="F10347" t="inlineStr">
        <is>
          <t>G7K NS2500kVA - Q4S BACKFEED</t>
        </is>
      </c>
      <c r="J10347" t="inlineStr">
        <is>
          <t>MATRION</t>
        </is>
      </c>
      <c r="K10347" t="inlineStr">
        <is>
          <t>DOC</t>
        </is>
      </c>
      <c r="L10347">
        <f>_xlfn.XLOOKUP(Tableau1[[#This Row],[TYPE DE PIECE]],Tableau4[MATIERE],Tableau4[SHORT TYPE],"",0,1)</f>
        <v/>
      </c>
      <c r="N10347">
        <f>IF(ISERR(FIND("DECOUPE",Tableau1[[#This Row],[DESIGNATION]])),"","NEED REF")</f>
        <v/>
      </c>
    </row>
    <row r="10348">
      <c r="B10348" t="n">
        <v>34403658</v>
      </c>
      <c r="C10348" s="2" t="n">
        <v>41711</v>
      </c>
      <c r="D10348" t="inlineStr">
        <is>
          <t>SPEC</t>
        </is>
      </c>
      <c r="E10348" t="inlineStr">
        <is>
          <t>AUXILIARY WIRE KIT BCB BOX G300</t>
        </is>
      </c>
      <c r="F10348" t="inlineStr">
        <is>
          <t>COFFRTE DJ G300</t>
        </is>
      </c>
      <c r="J10348" t="inlineStr">
        <is>
          <t>ROBERT</t>
        </is>
      </c>
      <c r="K10348" t="inlineStr">
        <is>
          <t>FILERIE</t>
        </is>
      </c>
      <c r="L10348">
        <f>_xlfn.XLOOKUP(Tableau1[[#This Row],[TYPE DE PIECE]],Tableau4[MATIERE],Tableau4[SHORT TYPE],"",0,1)</f>
        <v/>
      </c>
      <c r="N10348">
        <f>IF(ISERR(FIND("DECOUPE",Tableau1[[#This Row],[DESIGNATION]])),"","NEED REF")</f>
        <v/>
      </c>
    </row>
    <row r="10349">
      <c r="B10349" t="n">
        <v>34403657</v>
      </c>
      <c r="C10349" s="2" t="inlineStr">
        <is>
          <t>13/0314</t>
        </is>
      </c>
      <c r="D10349" t="inlineStr">
        <is>
          <t>SPEC</t>
        </is>
      </c>
      <c r="E10349" t="inlineStr">
        <is>
          <t>AUXILIARY WIRE KIT BCB BOX G3500</t>
        </is>
      </c>
      <c r="F10349" t="inlineStr">
        <is>
          <t>COFFRTE DJ G3500</t>
        </is>
      </c>
      <c r="J10349" t="inlineStr">
        <is>
          <t>ROBERT</t>
        </is>
      </c>
      <c r="K10349" t="inlineStr">
        <is>
          <t>FILERIE</t>
        </is>
      </c>
      <c r="L10349">
        <f>_xlfn.XLOOKUP(Tableau1[[#This Row],[TYPE DE PIECE]],Tableau4[MATIERE],Tableau4[SHORT TYPE],"",0,1)</f>
        <v/>
      </c>
      <c r="N10349">
        <f>IF(ISERR(FIND("DECOUPE",Tableau1[[#This Row],[DESIGNATION]])),"","NEED REF")</f>
        <v/>
      </c>
    </row>
    <row r="10350">
      <c r="B10350" t="n">
        <v>34403656</v>
      </c>
      <c r="C10350" s="2" t="n">
        <v>41711</v>
      </c>
      <c r="D10350" t="inlineStr">
        <is>
          <t>NOM</t>
        </is>
      </c>
      <c r="E10350" t="inlineStr">
        <is>
          <t>THYRISTOR SUB ASSEMBLY</t>
        </is>
      </c>
      <c r="F10350" t="inlineStr">
        <is>
          <t>G7K NS2500kVA - Q4S BACKFEED</t>
        </is>
      </c>
      <c r="J10350" t="inlineStr">
        <is>
          <t>MATRION</t>
        </is>
      </c>
      <c r="L10350">
        <f>_xlfn.XLOOKUP(Tableau1[[#This Row],[TYPE DE PIECE]],Tableau4[MATIERE],Tableau4[SHORT TYPE],"",0,1)</f>
        <v/>
      </c>
      <c r="N10350">
        <f>IF(ISERR(FIND("DECOUPE",Tableau1[[#This Row],[DESIGNATION]])),"","NEED REF")</f>
        <v/>
      </c>
    </row>
    <row r="10351">
      <c r="B10351" t="n">
        <v>34403655</v>
      </c>
      <c r="C10351" s="2" t="n">
        <v>41711</v>
      </c>
      <c r="D10351" t="inlineStr">
        <is>
          <t>SPEC</t>
        </is>
      </c>
      <c r="E10351" t="inlineStr">
        <is>
          <t>FRONT SUPPORT BYPASS</t>
        </is>
      </c>
      <c r="F10351" t="inlineStr">
        <is>
          <t>G7K NS2500kVA - Q4S BACKFEED</t>
        </is>
      </c>
      <c r="J10351" t="inlineStr">
        <is>
          <t>MATRION</t>
        </is>
      </c>
      <c r="K10351" t="inlineStr">
        <is>
          <t>METAL</t>
        </is>
      </c>
      <c r="L10351">
        <f>_xlfn.XLOOKUP(Tableau1[[#This Row],[TYPE DE PIECE]],Tableau4[MATIERE],Tableau4[SHORT TYPE],"",0,1)</f>
        <v/>
      </c>
      <c r="N10351">
        <f>IF(ISERR(FIND("DECOUPE",Tableau1[[#This Row],[DESIGNATION]])),"","NEED REF")</f>
        <v/>
      </c>
    </row>
    <row r="10352">
      <c r="B10352" t="n">
        <v>34403654</v>
      </c>
      <c r="C10352" s="2" t="n">
        <v>41711</v>
      </c>
      <c r="D10352" t="inlineStr">
        <is>
          <t>SPEC</t>
        </is>
      </c>
      <c r="E10352" t="inlineStr">
        <is>
          <t>BUSBAR SUPPORT 1000</t>
        </is>
      </c>
      <c r="F10352" t="inlineStr">
        <is>
          <t>G7K NS2500kVA - Q4S BACKFEED</t>
        </is>
      </c>
      <c r="J10352" t="inlineStr">
        <is>
          <t>MATRION</t>
        </is>
      </c>
      <c r="K10352" t="inlineStr">
        <is>
          <t>METAL</t>
        </is>
      </c>
      <c r="L10352">
        <f>_xlfn.XLOOKUP(Tableau1[[#This Row],[TYPE DE PIECE]],Tableau4[MATIERE],Tableau4[SHORT TYPE],"",0,1)</f>
        <v/>
      </c>
      <c r="N10352">
        <f>IF(ISERR(FIND("DECOUPE",Tableau1[[#This Row],[DESIGNATION]])),"","NEED REF")</f>
        <v/>
      </c>
    </row>
    <row r="10353">
      <c r="B10353" t="n">
        <v>34403653</v>
      </c>
      <c r="C10353" s="2" t="n">
        <v>41711</v>
      </c>
      <c r="D10353" t="inlineStr">
        <is>
          <t>SPEC</t>
        </is>
      </c>
      <c r="E10353" t="inlineStr">
        <is>
          <t>FRONT NW NS SUPPORT</t>
        </is>
      </c>
      <c r="F10353" t="inlineStr">
        <is>
          <t>G7K NS2500kVA - Q4S BACKFEED</t>
        </is>
      </c>
      <c r="J10353" t="inlineStr">
        <is>
          <t>MATRION</t>
        </is>
      </c>
      <c r="K10353" t="inlineStr">
        <is>
          <t>METAL</t>
        </is>
      </c>
      <c r="L10353">
        <f>_xlfn.XLOOKUP(Tableau1[[#This Row],[TYPE DE PIECE]],Tableau4[MATIERE],Tableau4[SHORT TYPE],"",0,1)</f>
        <v/>
      </c>
      <c r="N10353">
        <f>IF(ISERR(FIND("DECOUPE",Tableau1[[#This Row],[DESIGNATION]])),"","NEED REF")</f>
        <v/>
      </c>
    </row>
    <row r="10354">
      <c r="B10354" t="n">
        <v>34403652</v>
      </c>
      <c r="C10354" s="2" t="n">
        <v>41711</v>
      </c>
      <c r="D10354" t="inlineStr">
        <is>
          <t>SPEC</t>
        </is>
      </c>
      <c r="E10354" t="inlineStr">
        <is>
          <t>BACK CS SUPPORT</t>
        </is>
      </c>
      <c r="F10354" t="inlineStr">
        <is>
          <t>G7K NS2500kVA - Q4S BACKFEED</t>
        </is>
      </c>
      <c r="J10354" t="inlineStr">
        <is>
          <t>MATRION</t>
        </is>
      </c>
      <c r="K10354" t="inlineStr">
        <is>
          <t>METAL</t>
        </is>
      </c>
      <c r="L10354">
        <f>_xlfn.XLOOKUP(Tableau1[[#This Row],[TYPE DE PIECE]],Tableau4[MATIERE],Tableau4[SHORT TYPE],"",0,1)</f>
        <v/>
      </c>
      <c r="N10354">
        <f>IF(ISERR(FIND("DECOUPE",Tableau1[[#This Row],[DESIGNATION]])),"","NEED REF")</f>
        <v/>
      </c>
    </row>
    <row r="10355">
      <c r="B10355" t="n">
        <v>34403651</v>
      </c>
      <c r="C10355" s="2" t="n">
        <v>41711</v>
      </c>
      <c r="D10355" t="inlineStr">
        <is>
          <t>SPEC</t>
        </is>
      </c>
      <c r="E10355" t="inlineStr">
        <is>
          <t>SIDE NS SUPPORT</t>
        </is>
      </c>
      <c r="F10355" t="inlineStr">
        <is>
          <t>G7K NS2500kVA - Q4S BACKFEED</t>
        </is>
      </c>
      <c r="J10355" t="inlineStr">
        <is>
          <t>MATRION</t>
        </is>
      </c>
      <c r="K10355" t="inlineStr">
        <is>
          <t>METAL</t>
        </is>
      </c>
      <c r="L10355">
        <f>_xlfn.XLOOKUP(Tableau1[[#This Row],[TYPE DE PIECE]],Tableau4[MATIERE],Tableau4[SHORT TYPE],"",0,1)</f>
        <v/>
      </c>
      <c r="N10355">
        <f>IF(ISERR(FIND("DECOUPE",Tableau1[[#This Row],[DESIGNATION]])),"","NEED REF")</f>
        <v/>
      </c>
    </row>
    <row r="10356">
      <c r="B10356" t="n">
        <v>34403650</v>
      </c>
      <c r="C10356" s="2" t="n">
        <v>41711</v>
      </c>
      <c r="D10356" t="inlineStr">
        <is>
          <t>SPEC</t>
        </is>
      </c>
      <c r="E10356" t="inlineStr">
        <is>
          <t>CS ASSEMBLY SUPPORT</t>
        </is>
      </c>
      <c r="F10356" t="inlineStr">
        <is>
          <t>G7K NS2500kVA - Q4S BACKFEED</t>
        </is>
      </c>
      <c r="J10356" t="inlineStr">
        <is>
          <t>MATRION</t>
        </is>
      </c>
      <c r="K10356" t="inlineStr">
        <is>
          <t>METAL</t>
        </is>
      </c>
      <c r="L10356">
        <f>_xlfn.XLOOKUP(Tableau1[[#This Row],[TYPE DE PIECE]],Tableau4[MATIERE],Tableau4[SHORT TYPE],"",0,1)</f>
        <v/>
      </c>
      <c r="N10356">
        <f>IF(ISERR(FIND("DECOUPE",Tableau1[[#This Row],[DESIGNATION]])),"","NEED REF")</f>
        <v/>
      </c>
    </row>
    <row r="10357">
      <c r="B10357" t="n">
        <v>34403649</v>
      </c>
      <c r="C10357" s="2" t="n">
        <v>41711</v>
      </c>
      <c r="D10357" t="inlineStr">
        <is>
          <t>SPEC</t>
        </is>
      </c>
      <c r="E10357" t="inlineStr">
        <is>
          <t>BYPASS VERTICAL BUSBAR SUPPORT</t>
        </is>
      </c>
      <c r="F10357" t="inlineStr">
        <is>
          <t>G7K NS2500kVA - Q4S BACKFEED</t>
        </is>
      </c>
      <c r="J10357" t="inlineStr">
        <is>
          <t>MATRION</t>
        </is>
      </c>
      <c r="K10357" t="inlineStr">
        <is>
          <t>METAL</t>
        </is>
      </c>
      <c r="L10357">
        <f>_xlfn.XLOOKUP(Tableau1[[#This Row],[TYPE DE PIECE]],Tableau4[MATIERE],Tableau4[SHORT TYPE],"",0,1)</f>
        <v/>
      </c>
      <c r="N10357">
        <f>IF(ISERR(FIND("DECOUPE",Tableau1[[#This Row],[DESIGNATION]])),"","NEED REF")</f>
        <v/>
      </c>
    </row>
    <row r="10358">
      <c r="B10358" t="n">
        <v>34403648</v>
      </c>
      <c r="C10358" s="2" t="n">
        <v>41711</v>
      </c>
      <c r="D10358" t="inlineStr">
        <is>
          <t>SPEC</t>
        </is>
      </c>
      <c r="E10358" t="inlineStr">
        <is>
          <t>&gt;&gt;&gt; PROTECTION SHIELD GENERIC &lt;&lt;&lt;</t>
        </is>
      </c>
      <c r="F10358" t="inlineStr">
        <is>
          <t>G7K NS2500kVA - Q4S BACKFEED</t>
        </is>
      </c>
      <c r="J10358" t="inlineStr">
        <is>
          <t>MATRION</t>
        </is>
      </c>
      <c r="L10358">
        <f>_xlfn.XLOOKUP(Tableau1[[#This Row],[TYPE DE PIECE]],Tableau4[MATIERE],Tableau4[SHORT TYPE],"",0,1)</f>
        <v/>
      </c>
      <c r="N10358">
        <f>IF(ISERR(FIND("DECOUPE",Tableau1[[#This Row],[DESIGNATION]])),"","NEED REF")</f>
        <v/>
      </c>
    </row>
    <row r="10359">
      <c r="B10359" t="n">
        <v>34403647</v>
      </c>
      <c r="C10359" s="2" t="n">
        <v>41711</v>
      </c>
      <c r="D10359" t="inlineStr">
        <is>
          <t>SPEC</t>
        </is>
      </c>
      <c r="E10359" t="inlineStr">
        <is>
          <t>NW NS PLATE SUPPORT</t>
        </is>
      </c>
      <c r="F10359" t="inlineStr">
        <is>
          <t>G7K NS2500kVA - Q4S BACKFEED</t>
        </is>
      </c>
      <c r="J10359" t="inlineStr">
        <is>
          <t>MATRION</t>
        </is>
      </c>
      <c r="K10359" t="inlineStr">
        <is>
          <t>METAL</t>
        </is>
      </c>
      <c r="L10359">
        <f>_xlfn.XLOOKUP(Tableau1[[#This Row],[TYPE DE PIECE]],Tableau4[MATIERE],Tableau4[SHORT TYPE],"",0,1)</f>
        <v/>
      </c>
      <c r="N10359">
        <f>IF(ISERR(FIND("DECOUPE",Tableau1[[#This Row],[DESIGNATION]])),"","NEED REF")</f>
        <v/>
      </c>
    </row>
    <row r="10360">
      <c r="B10360" t="n">
        <v>34403646</v>
      </c>
      <c r="C10360" s="2" t="n">
        <v>41711</v>
      </c>
      <c r="D10360" t="inlineStr">
        <is>
          <t>SPEC</t>
        </is>
      </c>
      <c r="E10360" t="inlineStr">
        <is>
          <t>NW / CS JUNCTION AMONT PHASE 3</t>
        </is>
      </c>
      <c r="F10360" t="inlineStr">
        <is>
          <t>G7K NS2500kVA - Q4S BACKFEED</t>
        </is>
      </c>
      <c r="J10360" t="inlineStr">
        <is>
          <t>MATRION</t>
        </is>
      </c>
      <c r="K10360" t="inlineStr">
        <is>
          <t>CUIVRE</t>
        </is>
      </c>
      <c r="L10360">
        <f>_xlfn.XLOOKUP(Tableau1[[#This Row],[TYPE DE PIECE]],Tableau4[MATIERE],Tableau4[SHORT TYPE],"",0,1)</f>
        <v/>
      </c>
      <c r="N10360">
        <f>IF(ISERR(FIND("DECOUPE",Tableau1[[#This Row],[DESIGNATION]])),"","NEED REF")</f>
        <v/>
      </c>
    </row>
    <row r="10361">
      <c r="B10361" t="n">
        <v>34403645</v>
      </c>
      <c r="C10361" s="2" t="n">
        <v>41711</v>
      </c>
      <c r="D10361" t="inlineStr">
        <is>
          <t>SPEC</t>
        </is>
      </c>
      <c r="E10361" t="inlineStr">
        <is>
          <t>NW / BUSBAR JUNCTION AMONT PHASE 1/3</t>
        </is>
      </c>
      <c r="F10361" t="inlineStr">
        <is>
          <t>G7K NS2500kVA - Q4S BACKFEED</t>
        </is>
      </c>
      <c r="J10361" t="inlineStr">
        <is>
          <t>MATRION</t>
        </is>
      </c>
      <c r="K10361" t="inlineStr">
        <is>
          <t>CUIVRE</t>
        </is>
      </c>
      <c r="L10361">
        <f>_xlfn.XLOOKUP(Tableau1[[#This Row],[TYPE DE PIECE]],Tableau4[MATIERE],Tableau4[SHORT TYPE],"",0,1)</f>
        <v/>
      </c>
      <c r="N10361">
        <f>IF(ISERR(FIND("DECOUPE",Tableau1[[#This Row],[DESIGNATION]])),"","NEED REF")</f>
        <v/>
      </c>
    </row>
    <row r="10362">
      <c r="B10362" t="n">
        <v>34403644</v>
      </c>
      <c r="C10362" s="2" t="n">
        <v>41711</v>
      </c>
      <c r="D10362" t="inlineStr">
        <is>
          <t>SPEC</t>
        </is>
      </c>
      <c r="E10362" t="inlineStr">
        <is>
          <t>NW / CS JUNCTION AMONT PHASE 1 - 2</t>
        </is>
      </c>
      <c r="F10362" t="inlineStr">
        <is>
          <t>G7K NS2500kVA - Q4S BACKFEED</t>
        </is>
      </c>
      <c r="J10362" t="inlineStr">
        <is>
          <t>MATRION</t>
        </is>
      </c>
      <c r="K10362" t="inlineStr">
        <is>
          <t>CUIVRE</t>
        </is>
      </c>
      <c r="L10362">
        <f>_xlfn.XLOOKUP(Tableau1[[#This Row],[TYPE DE PIECE]],Tableau4[MATIERE],Tableau4[SHORT TYPE],"",0,1)</f>
        <v/>
      </c>
      <c r="N10362">
        <f>IF(ISERR(FIND("DECOUPE",Tableau1[[#This Row],[DESIGNATION]])),"","NEED REF")</f>
        <v/>
      </c>
    </row>
    <row r="10363">
      <c r="B10363" t="n">
        <v>34403643</v>
      </c>
      <c r="C10363" s="2" t="n">
        <v>41711</v>
      </c>
      <c r="D10363" t="inlineStr">
        <is>
          <t>SPEC</t>
        </is>
      </c>
      <c r="E10363" t="inlineStr">
        <is>
          <t>NW / CS JUNCTION AMONT PHASE 1 - 1</t>
        </is>
      </c>
      <c r="F10363" t="inlineStr">
        <is>
          <t>G7K NS2500kVA - Q4S BACKFEED</t>
        </is>
      </c>
      <c r="J10363" t="inlineStr">
        <is>
          <t>MATRION</t>
        </is>
      </c>
      <c r="K10363" t="inlineStr">
        <is>
          <t>CUIVRE</t>
        </is>
      </c>
      <c r="L10363">
        <f>_xlfn.XLOOKUP(Tableau1[[#This Row],[TYPE DE PIECE]],Tableau4[MATIERE],Tableau4[SHORT TYPE],"",0,1)</f>
        <v/>
      </c>
      <c r="N10363">
        <f>IF(ISERR(FIND("DECOUPE",Tableau1[[#This Row],[DESIGNATION]])),"","NEED REF")</f>
        <v/>
      </c>
    </row>
    <row r="10364">
      <c r="B10364" t="n">
        <v>34403642</v>
      </c>
      <c r="C10364" s="2" t="n">
        <v>41711</v>
      </c>
      <c r="D10364" t="inlineStr">
        <is>
          <t>SPEC</t>
        </is>
      </c>
      <c r="E10364" t="inlineStr">
        <is>
          <t>BUSBAR BYPASS/NS NEUTRAL</t>
        </is>
      </c>
      <c r="F10364" t="inlineStr">
        <is>
          <t>G7K NS2500kVA - Q4S BACKFEED</t>
        </is>
      </c>
      <c r="J10364" t="inlineStr">
        <is>
          <t>MATRION</t>
        </is>
      </c>
      <c r="K10364" t="inlineStr">
        <is>
          <t>CUIVRE</t>
        </is>
      </c>
      <c r="L10364">
        <f>_xlfn.XLOOKUP(Tableau1[[#This Row],[TYPE DE PIECE]],Tableau4[MATIERE],Tableau4[SHORT TYPE],"",0,1)</f>
        <v/>
      </c>
      <c r="N10364">
        <f>IF(ISERR(FIND("DECOUPE",Tableau1[[#This Row],[DESIGNATION]])),"","NEED REF")</f>
        <v/>
      </c>
    </row>
    <row r="10365">
      <c r="B10365" t="n">
        <v>34403641</v>
      </c>
      <c r="C10365" s="2" t="n">
        <v>41711</v>
      </c>
      <c r="D10365" t="inlineStr">
        <is>
          <t>SPEC</t>
        </is>
      </c>
      <c r="E10365" t="inlineStr">
        <is>
          <t>BUSBAR 1 - BYPASS</t>
        </is>
      </c>
      <c r="F10365" t="inlineStr">
        <is>
          <t>G7K NS2500kVA - Q4S BACKFEED</t>
        </is>
      </c>
      <c r="J10365" t="inlineStr">
        <is>
          <t>MATRION</t>
        </is>
      </c>
      <c r="K10365" t="inlineStr">
        <is>
          <t>CUIVRE</t>
        </is>
      </c>
      <c r="L10365">
        <f>_xlfn.XLOOKUP(Tableau1[[#This Row],[TYPE DE PIECE]],Tableau4[MATIERE],Tableau4[SHORT TYPE],"",0,1)</f>
        <v/>
      </c>
      <c r="N10365">
        <f>IF(ISERR(FIND("DECOUPE",Tableau1[[#This Row],[DESIGNATION]])),"","NEED REF")</f>
        <v/>
      </c>
    </row>
    <row r="10366">
      <c r="B10366" t="n">
        <v>34403640</v>
      </c>
      <c r="C10366" s="2" t="n">
        <v>41711</v>
      </c>
      <c r="D10366" t="inlineStr">
        <is>
          <t>SPEC</t>
        </is>
      </c>
      <c r="E10366" t="inlineStr">
        <is>
          <t>BUSBAR 2 - BYPASS</t>
        </is>
      </c>
      <c r="F10366" t="inlineStr">
        <is>
          <t>G7K NS2500kVA - Q4S BACKFEED</t>
        </is>
      </c>
      <c r="J10366" t="inlineStr">
        <is>
          <t>MATRION</t>
        </is>
      </c>
      <c r="K10366" t="inlineStr">
        <is>
          <t>CUIVRE</t>
        </is>
      </c>
      <c r="L10366">
        <f>_xlfn.XLOOKUP(Tableau1[[#This Row],[TYPE DE PIECE]],Tableau4[MATIERE],Tableau4[SHORT TYPE],"",0,1)</f>
        <v/>
      </c>
      <c r="N10366">
        <f>IF(ISERR(FIND("DECOUPE",Tableau1[[#This Row],[DESIGNATION]])),"","NEED REF")</f>
        <v/>
      </c>
    </row>
    <row r="10367">
      <c r="B10367" t="n">
        <v>34403639</v>
      </c>
      <c r="C10367" s="2" t="n">
        <v>41711</v>
      </c>
      <c r="D10367" t="inlineStr">
        <is>
          <t>SPEC</t>
        </is>
      </c>
      <c r="E10367" t="inlineStr">
        <is>
          <t>BUSBAR BYPASS/NS PHASE 3 - 2</t>
        </is>
      </c>
      <c r="F10367" t="inlineStr">
        <is>
          <t>G7K NS2500kVA - Q4S BACKFEED</t>
        </is>
      </c>
      <c r="J10367" t="inlineStr">
        <is>
          <t>MATRION</t>
        </is>
      </c>
      <c r="K10367" t="inlineStr">
        <is>
          <t>CUIVRE</t>
        </is>
      </c>
      <c r="L10367">
        <f>_xlfn.XLOOKUP(Tableau1[[#This Row],[TYPE DE PIECE]],Tableau4[MATIERE],Tableau4[SHORT TYPE],"",0,1)</f>
        <v/>
      </c>
      <c r="N10367">
        <f>IF(ISERR(FIND("DECOUPE",Tableau1[[#This Row],[DESIGNATION]])),"","NEED REF")</f>
        <v/>
      </c>
    </row>
    <row r="10368">
      <c r="B10368" t="n">
        <v>34403638</v>
      </c>
      <c r="C10368" s="2" t="n">
        <v>41711</v>
      </c>
      <c r="D10368" t="inlineStr">
        <is>
          <t>SPEC</t>
        </is>
      </c>
      <c r="E10368" t="inlineStr">
        <is>
          <t>BUSBAR BYPASS/NS PHASE 3 - 1</t>
        </is>
      </c>
      <c r="F10368" t="inlineStr">
        <is>
          <t>G7K NS2500kVA - Q4S BACKFEED</t>
        </is>
      </c>
      <c r="J10368" t="inlineStr">
        <is>
          <t>MATRION</t>
        </is>
      </c>
      <c r="K10368" t="inlineStr">
        <is>
          <t>CUIVRE</t>
        </is>
      </c>
      <c r="L10368">
        <f>_xlfn.XLOOKUP(Tableau1[[#This Row],[TYPE DE PIECE]],Tableau4[MATIERE],Tableau4[SHORT TYPE],"",0,1)</f>
        <v/>
      </c>
      <c r="N10368">
        <f>IF(ISERR(FIND("DECOUPE",Tableau1[[#This Row],[DESIGNATION]])),"","NEED REF")</f>
        <v/>
      </c>
    </row>
    <row r="10369">
      <c r="B10369" t="n">
        <v>34403637</v>
      </c>
      <c r="C10369" s="2" t="n">
        <v>41711</v>
      </c>
      <c r="D10369" t="inlineStr">
        <is>
          <t>SPEC</t>
        </is>
      </c>
      <c r="E10369" t="inlineStr">
        <is>
          <t>BUSBAR BYPASS/NS PHASE 2 - 2</t>
        </is>
      </c>
      <c r="F10369" t="inlineStr">
        <is>
          <t>G7K NS2500kVA - Q4S BACKFEED</t>
        </is>
      </c>
      <c r="J10369" t="inlineStr">
        <is>
          <t>MATRION</t>
        </is>
      </c>
      <c r="K10369" t="inlineStr">
        <is>
          <t>CUIVRE</t>
        </is>
      </c>
      <c r="L10369">
        <f>_xlfn.XLOOKUP(Tableau1[[#This Row],[TYPE DE PIECE]],Tableau4[MATIERE],Tableau4[SHORT TYPE],"",0,1)</f>
        <v/>
      </c>
      <c r="N10369">
        <f>IF(ISERR(FIND("DECOUPE",Tableau1[[#This Row],[DESIGNATION]])),"","NEED REF")</f>
        <v/>
      </c>
    </row>
    <row r="10370">
      <c r="B10370" t="n">
        <v>34403636</v>
      </c>
      <c r="C10370" s="2" t="n">
        <v>41711</v>
      </c>
      <c r="D10370" t="inlineStr">
        <is>
          <t>SPEC</t>
        </is>
      </c>
      <c r="E10370" t="inlineStr">
        <is>
          <t>BUSBAR BYPASS/NS PHASE 2 - 1</t>
        </is>
      </c>
      <c r="F10370" t="inlineStr">
        <is>
          <t>G7K NS2500kVA - Q4S BACKFEED</t>
        </is>
      </c>
      <c r="J10370" t="inlineStr">
        <is>
          <t>MATRION</t>
        </is>
      </c>
      <c r="K10370" t="inlineStr">
        <is>
          <t>CUIVRE</t>
        </is>
      </c>
      <c r="L10370">
        <f>_xlfn.XLOOKUP(Tableau1[[#This Row],[TYPE DE PIECE]],Tableau4[MATIERE],Tableau4[SHORT TYPE],"",0,1)</f>
        <v/>
      </c>
      <c r="N10370">
        <f>IF(ISERR(FIND("DECOUPE",Tableau1[[#This Row],[DESIGNATION]])),"","NEED REF")</f>
        <v/>
      </c>
    </row>
    <row r="10371">
      <c r="B10371" t="n">
        <v>34403635</v>
      </c>
      <c r="C10371" s="2" t="n">
        <v>41711</v>
      </c>
      <c r="D10371" t="inlineStr">
        <is>
          <t>SPEC</t>
        </is>
      </c>
      <c r="E10371" t="inlineStr">
        <is>
          <t>BUSBAR BYPASS/NS PHASE 1 - 2</t>
        </is>
      </c>
      <c r="F10371" t="inlineStr">
        <is>
          <t>G7K NS2500kVA - Q4S BACKFEED</t>
        </is>
      </c>
      <c r="J10371" t="inlineStr">
        <is>
          <t>MATRION</t>
        </is>
      </c>
      <c r="K10371" t="inlineStr">
        <is>
          <t>CUIVRE</t>
        </is>
      </c>
      <c r="L10371">
        <f>_xlfn.XLOOKUP(Tableau1[[#This Row],[TYPE DE PIECE]],Tableau4[MATIERE],Tableau4[SHORT TYPE],"",0,1)</f>
        <v/>
      </c>
      <c r="N10371">
        <f>IF(ISERR(FIND("DECOUPE",Tableau1[[#This Row],[DESIGNATION]])),"","NEED REF")</f>
        <v/>
      </c>
    </row>
    <row r="10372">
      <c r="B10372" t="n">
        <v>34403634</v>
      </c>
      <c r="C10372" s="2" t="n">
        <v>41711</v>
      </c>
      <c r="D10372" t="inlineStr">
        <is>
          <t>SPEC</t>
        </is>
      </c>
      <c r="E10372" t="inlineStr">
        <is>
          <t>BUSBAR BYPASS/NS PHASE 1 - 1</t>
        </is>
      </c>
      <c r="F10372" t="inlineStr">
        <is>
          <t>G7K NS2500kVA - Q4S BACKFEED</t>
        </is>
      </c>
      <c r="J10372" t="inlineStr">
        <is>
          <t>MATRION</t>
        </is>
      </c>
      <c r="K10372" t="inlineStr">
        <is>
          <t>CUIVRE</t>
        </is>
      </c>
      <c r="L10372">
        <f>_xlfn.XLOOKUP(Tableau1[[#This Row],[TYPE DE PIECE]],Tableau4[MATIERE],Tableau4[SHORT TYPE],"",0,1)</f>
        <v/>
      </c>
      <c r="N10372">
        <f>IF(ISERR(FIND("DECOUPE",Tableau1[[#This Row],[DESIGNATION]])),"","NEED REF")</f>
        <v/>
      </c>
    </row>
    <row r="10373">
      <c r="B10373" t="n">
        <v>34403633</v>
      </c>
      <c r="C10373" s="2" t="n">
        <v>41711</v>
      </c>
      <c r="D10373" t="inlineStr">
        <is>
          <t>SPEC</t>
        </is>
      </c>
      <c r="E10373" t="inlineStr">
        <is>
          <t>BUSBAR BYPASS/NS JUNCTION N - 2</t>
        </is>
      </c>
      <c r="F10373" t="inlineStr">
        <is>
          <t>G7K NS2500kVA - Q4S BACKFEED</t>
        </is>
      </c>
      <c r="J10373" t="inlineStr">
        <is>
          <t>MATRION</t>
        </is>
      </c>
      <c r="K10373" t="inlineStr">
        <is>
          <t>CUIVRE</t>
        </is>
      </c>
      <c r="L10373">
        <f>_xlfn.XLOOKUP(Tableau1[[#This Row],[TYPE DE PIECE]],Tableau4[MATIERE],Tableau4[SHORT TYPE],"",0,1)</f>
        <v/>
      </c>
      <c r="N10373">
        <f>IF(ISERR(FIND("DECOUPE",Tableau1[[#This Row],[DESIGNATION]])),"","NEED REF")</f>
        <v/>
      </c>
    </row>
    <row r="10374">
      <c r="B10374" t="n">
        <v>34403632</v>
      </c>
      <c r="C10374" s="2" t="n">
        <v>41711</v>
      </c>
      <c r="D10374" t="inlineStr">
        <is>
          <t>SPEC</t>
        </is>
      </c>
      <c r="E10374" t="inlineStr">
        <is>
          <t>BUSBAR BYPASS/NS JUNCTION N - 1</t>
        </is>
      </c>
      <c r="F10374" t="inlineStr">
        <is>
          <t>G7K NS2500kVA - Q4S BACKFEED</t>
        </is>
      </c>
      <c r="J10374" t="inlineStr">
        <is>
          <t>MATRION</t>
        </is>
      </c>
      <c r="K10374" t="inlineStr">
        <is>
          <t>CUIVRE</t>
        </is>
      </c>
      <c r="L10374">
        <f>_xlfn.XLOOKUP(Tableau1[[#This Row],[TYPE DE PIECE]],Tableau4[MATIERE],Tableau4[SHORT TYPE],"",0,1)</f>
        <v/>
      </c>
      <c r="N10374">
        <f>IF(ISERR(FIND("DECOUPE",Tableau1[[#This Row],[DESIGNATION]])),"","NEED REF")</f>
        <v/>
      </c>
    </row>
    <row r="10375">
      <c r="B10375" t="n">
        <v>34403631</v>
      </c>
      <c r="C10375" s="2" t="n">
        <v>41711</v>
      </c>
      <c r="D10375" t="inlineStr">
        <is>
          <t>SPEC</t>
        </is>
      </c>
      <c r="E10375" t="inlineStr">
        <is>
          <t>&gt;&gt;&gt; USE IN OTHER ASSEMBLY &lt;&lt;&lt;</t>
        </is>
      </c>
      <c r="F10375" t="inlineStr">
        <is>
          <t>G7K NS2500kVA - Q4S BACKFEED</t>
        </is>
      </c>
      <c r="J10375" t="inlineStr">
        <is>
          <t>MATRION</t>
        </is>
      </c>
      <c r="L10375">
        <f>_xlfn.XLOOKUP(Tableau1[[#This Row],[TYPE DE PIECE]],Tableau4[MATIERE],Tableau4[SHORT TYPE],"",0,1)</f>
        <v/>
      </c>
      <c r="N10375">
        <f>IF(ISERR(FIND("DECOUPE",Tableau1[[#This Row],[DESIGNATION]])),"","NEED REF")</f>
        <v/>
      </c>
    </row>
    <row r="10376">
      <c r="B10376" t="n">
        <v>34403630</v>
      </c>
      <c r="C10376" s="2" t="n">
        <v>41711</v>
      </c>
      <c r="D10376" t="inlineStr">
        <is>
          <t>SPEC</t>
        </is>
      </c>
      <c r="E10376" t="inlineStr">
        <is>
          <t>BUSBAR PHASE 3 - 3 TI</t>
        </is>
      </c>
      <c r="F10376" t="inlineStr">
        <is>
          <t>G7K NS2500kVA - Q4S BACKFEED</t>
        </is>
      </c>
      <c r="J10376" t="inlineStr">
        <is>
          <t>MATRION</t>
        </is>
      </c>
      <c r="K10376" t="inlineStr">
        <is>
          <t>CUIVRE</t>
        </is>
      </c>
      <c r="L10376">
        <f>_xlfn.XLOOKUP(Tableau1[[#This Row],[TYPE DE PIECE]],Tableau4[MATIERE],Tableau4[SHORT TYPE],"",0,1)</f>
        <v/>
      </c>
      <c r="N10376">
        <f>IF(ISERR(FIND("DECOUPE",Tableau1[[#This Row],[DESIGNATION]])),"","NEED REF")</f>
        <v/>
      </c>
    </row>
    <row r="10377">
      <c r="B10377" t="n">
        <v>34403629</v>
      </c>
      <c r="C10377" s="2" t="n">
        <v>41711</v>
      </c>
      <c r="D10377" t="inlineStr">
        <is>
          <t>SPEC</t>
        </is>
      </c>
      <c r="E10377" t="inlineStr">
        <is>
          <t>BUSBAR PHASE 3 - 2 TI</t>
        </is>
      </c>
      <c r="F10377" t="inlineStr">
        <is>
          <t>G7K NS2500kVA - Q4S BACKFEED</t>
        </is>
      </c>
      <c r="J10377" t="inlineStr">
        <is>
          <t>MATRION</t>
        </is>
      </c>
      <c r="K10377" t="inlineStr">
        <is>
          <t>CUIVRE</t>
        </is>
      </c>
      <c r="L10377">
        <f>_xlfn.XLOOKUP(Tableau1[[#This Row],[TYPE DE PIECE]],Tableau4[MATIERE],Tableau4[SHORT TYPE],"",0,1)</f>
        <v/>
      </c>
      <c r="N10377">
        <f>IF(ISERR(FIND("DECOUPE",Tableau1[[#This Row],[DESIGNATION]])),"","NEED REF")</f>
        <v/>
      </c>
    </row>
    <row r="10378">
      <c r="B10378" t="n">
        <v>34403628</v>
      </c>
      <c r="C10378" s="2" t="n">
        <v>41711</v>
      </c>
      <c r="D10378" t="inlineStr">
        <is>
          <t>SPEC</t>
        </is>
      </c>
      <c r="E10378" t="inlineStr">
        <is>
          <t>BUSBAR PHASE 3 - 1 TI</t>
        </is>
      </c>
      <c r="F10378" t="inlineStr">
        <is>
          <t>G7K NS2500kVA - Q4S BACKFEED</t>
        </is>
      </c>
      <c r="J10378" t="inlineStr">
        <is>
          <t>MATRION</t>
        </is>
      </c>
      <c r="K10378" t="inlineStr">
        <is>
          <t>CUIVRE</t>
        </is>
      </c>
      <c r="L10378">
        <f>_xlfn.XLOOKUP(Tableau1[[#This Row],[TYPE DE PIECE]],Tableau4[MATIERE],Tableau4[SHORT TYPE],"",0,1)</f>
        <v/>
      </c>
      <c r="N10378">
        <f>IF(ISERR(FIND("DECOUPE",Tableau1[[#This Row],[DESIGNATION]])),"","NEED REF")</f>
        <v/>
      </c>
    </row>
    <row r="10379">
      <c r="B10379" t="n">
        <v>34403627</v>
      </c>
      <c r="C10379" s="2" t="n">
        <v>41711</v>
      </c>
      <c r="D10379" t="inlineStr">
        <is>
          <t>SPEC</t>
        </is>
      </c>
      <c r="E10379" t="inlineStr">
        <is>
          <t>BUSBAR PHASE 2 - 3 TI</t>
        </is>
      </c>
      <c r="F10379" t="inlineStr">
        <is>
          <t>G7K NS2500kVA - Q4S BACKFEED</t>
        </is>
      </c>
      <c r="J10379" t="inlineStr">
        <is>
          <t>MATRION</t>
        </is>
      </c>
      <c r="K10379" t="inlineStr">
        <is>
          <t>CUIVRE</t>
        </is>
      </c>
      <c r="L10379">
        <f>_xlfn.XLOOKUP(Tableau1[[#This Row],[TYPE DE PIECE]],Tableau4[MATIERE],Tableau4[SHORT TYPE],"",0,1)</f>
        <v/>
      </c>
      <c r="N10379">
        <f>IF(ISERR(FIND("DECOUPE",Tableau1[[#This Row],[DESIGNATION]])),"","NEED REF")</f>
        <v/>
      </c>
    </row>
    <row r="10380">
      <c r="B10380" t="n">
        <v>34403626</v>
      </c>
      <c r="C10380" s="2" t="n">
        <v>41711</v>
      </c>
      <c r="D10380" t="inlineStr">
        <is>
          <t>SPEC</t>
        </is>
      </c>
      <c r="E10380" t="inlineStr">
        <is>
          <t>BUSBAR PHASE 2 - 2 TI</t>
        </is>
      </c>
      <c r="F10380" t="inlineStr">
        <is>
          <t>G7K NS2500kVA - Q4S BACKFEED</t>
        </is>
      </c>
      <c r="J10380" t="inlineStr">
        <is>
          <t>MATRION</t>
        </is>
      </c>
      <c r="K10380" t="inlineStr">
        <is>
          <t>CUIVRE</t>
        </is>
      </c>
      <c r="L10380">
        <f>_xlfn.XLOOKUP(Tableau1[[#This Row],[TYPE DE PIECE]],Tableau4[MATIERE],Tableau4[SHORT TYPE],"",0,1)</f>
        <v/>
      </c>
      <c r="N10380">
        <f>IF(ISERR(FIND("DECOUPE",Tableau1[[#This Row],[DESIGNATION]])),"","NEED REF")</f>
        <v/>
      </c>
    </row>
    <row r="10381">
      <c r="B10381" t="n">
        <v>34403625</v>
      </c>
      <c r="C10381" s="2" t="n">
        <v>41711</v>
      </c>
      <c r="D10381" t="inlineStr">
        <is>
          <t>SPEC</t>
        </is>
      </c>
      <c r="E10381" t="inlineStr">
        <is>
          <t>BUSBAR PHASE 2 - 1 TI</t>
        </is>
      </c>
      <c r="F10381" t="inlineStr">
        <is>
          <t>G7K NS2500kVA - Q4S BACKFEED</t>
        </is>
      </c>
      <c r="J10381" t="inlineStr">
        <is>
          <t>MATRION</t>
        </is>
      </c>
      <c r="K10381" t="inlineStr">
        <is>
          <t>CUIVRE</t>
        </is>
      </c>
      <c r="L10381">
        <f>_xlfn.XLOOKUP(Tableau1[[#This Row],[TYPE DE PIECE]],Tableau4[MATIERE],Tableau4[SHORT TYPE],"",0,1)</f>
        <v/>
      </c>
      <c r="N10381">
        <f>IF(ISERR(FIND("DECOUPE",Tableau1[[#This Row],[DESIGNATION]])),"","NEED REF")</f>
        <v/>
      </c>
    </row>
    <row r="10382">
      <c r="B10382" t="n">
        <v>34403624</v>
      </c>
      <c r="C10382" s="2" t="n">
        <v>41711</v>
      </c>
      <c r="D10382" t="inlineStr">
        <is>
          <t>SPEC</t>
        </is>
      </c>
      <c r="E10382" t="inlineStr">
        <is>
          <t>BUSBAR PHASE 1 - 3 TI</t>
        </is>
      </c>
      <c r="F10382" t="inlineStr">
        <is>
          <t>G7K NS2500kVA - Q4S BACKFEED</t>
        </is>
      </c>
      <c r="J10382" t="inlineStr">
        <is>
          <t>MATRION</t>
        </is>
      </c>
      <c r="K10382" t="inlineStr">
        <is>
          <t>CUIVRE</t>
        </is>
      </c>
      <c r="L10382">
        <f>_xlfn.XLOOKUP(Tableau1[[#This Row],[TYPE DE PIECE]],Tableau4[MATIERE],Tableau4[SHORT TYPE],"",0,1)</f>
        <v/>
      </c>
      <c r="N10382">
        <f>IF(ISERR(FIND("DECOUPE",Tableau1[[#This Row],[DESIGNATION]])),"","NEED REF")</f>
        <v/>
      </c>
    </row>
    <row r="10383">
      <c r="B10383" t="n">
        <v>34403623</v>
      </c>
      <c r="C10383" s="2" t="n">
        <v>41711</v>
      </c>
      <c r="D10383" t="inlineStr">
        <is>
          <t>SPEC</t>
        </is>
      </c>
      <c r="E10383" t="inlineStr">
        <is>
          <t>BUSBAR PHASE 1 - 2 TI</t>
        </is>
      </c>
      <c r="F10383" t="inlineStr">
        <is>
          <t>G7K NS2500kVA - Q4S BACKFEED</t>
        </is>
      </c>
      <c r="J10383" t="inlineStr">
        <is>
          <t>MATRION</t>
        </is>
      </c>
      <c r="K10383" t="inlineStr">
        <is>
          <t>CUIVRE</t>
        </is>
      </c>
      <c r="L10383">
        <f>_xlfn.XLOOKUP(Tableau1[[#This Row],[TYPE DE PIECE]],Tableau4[MATIERE],Tableau4[SHORT TYPE],"",0,1)</f>
        <v/>
      </c>
      <c r="N10383">
        <f>IF(ISERR(FIND("DECOUPE",Tableau1[[#This Row],[DESIGNATION]])),"","NEED REF")</f>
        <v/>
      </c>
    </row>
    <row r="10384">
      <c r="B10384" t="n">
        <v>34403622</v>
      </c>
      <c r="C10384" s="2" t="n">
        <v>41711</v>
      </c>
      <c r="D10384" t="inlineStr">
        <is>
          <t>SPEC</t>
        </is>
      </c>
      <c r="E10384" t="inlineStr">
        <is>
          <t>BUSBAR PHASE 1 - 1 TI</t>
        </is>
      </c>
      <c r="F10384" t="inlineStr">
        <is>
          <t>G7K NS2500kVA - Q4S BACKFEED</t>
        </is>
      </c>
      <c r="J10384" t="inlineStr">
        <is>
          <t>MATRION</t>
        </is>
      </c>
      <c r="K10384" t="inlineStr">
        <is>
          <t>CUIVRE</t>
        </is>
      </c>
      <c r="L10384">
        <f>_xlfn.XLOOKUP(Tableau1[[#This Row],[TYPE DE PIECE]],Tableau4[MATIERE],Tableau4[SHORT TYPE],"",0,1)</f>
        <v/>
      </c>
      <c r="N10384">
        <f>IF(ISERR(FIND("DECOUPE",Tableau1[[#This Row],[DESIGNATION]])),"","NEED REF")</f>
        <v/>
      </c>
    </row>
    <row r="10385">
      <c r="B10385" t="n">
        <v>34403621</v>
      </c>
      <c r="C10385" s="2" t="n">
        <v>41711</v>
      </c>
      <c r="D10385" t="inlineStr">
        <is>
          <t>SPEC</t>
        </is>
      </c>
      <c r="E10385" t="inlineStr">
        <is>
          <t>&gt;&gt;&gt; NEED TO BE DELETED !! VIS RECTANGULAIRE &lt;&lt;&lt;</t>
        </is>
      </c>
      <c r="F10385" t="inlineStr">
        <is>
          <t>G7K NS2500kVA - Q4S BACKFEED</t>
        </is>
      </c>
      <c r="J10385" t="inlineStr">
        <is>
          <t>MATRION</t>
        </is>
      </c>
      <c r="L10385">
        <f>_xlfn.XLOOKUP(Tableau1[[#This Row],[TYPE DE PIECE]],Tableau4[MATIERE],Tableau4[SHORT TYPE],"",0,1)</f>
        <v/>
      </c>
      <c r="N10385">
        <f>IF(ISERR(FIND("DECOUPE",Tableau1[[#This Row],[DESIGNATION]])),"","NEED REF")</f>
        <v/>
      </c>
    </row>
    <row r="10386">
      <c r="B10386" t="n">
        <v>34403620</v>
      </c>
      <c r="C10386" s="2" t="n">
        <v>41711</v>
      </c>
      <c r="D10386" t="inlineStr">
        <is>
          <t>SPEC</t>
        </is>
      </c>
      <c r="E10386" t="inlineStr">
        <is>
          <t>BUSBAR 3PH STEP 100 - CABS APP - PROFIL ALU PERFO</t>
        </is>
      </c>
      <c r="F10386" t="inlineStr">
        <is>
          <t>G7K NS2500kVA - Q4S BACKFEED</t>
        </is>
      </c>
      <c r="J10386" t="inlineStr">
        <is>
          <t>MATRION</t>
        </is>
      </c>
      <c r="K10386" t="inlineStr">
        <is>
          <t>DOC</t>
        </is>
      </c>
      <c r="L10386">
        <f>_xlfn.XLOOKUP(Tableau1[[#This Row],[TYPE DE PIECE]],Tableau4[MATIERE],Tableau4[SHORT TYPE],"",0,1)</f>
        <v/>
      </c>
      <c r="N10386">
        <f>IF(ISERR(FIND("DECOUPE",Tableau1[[#This Row],[DESIGNATION]])),"","NEED REF")</f>
        <v/>
      </c>
    </row>
    <row r="10387">
      <c r="B10387" t="n">
        <v>34403619</v>
      </c>
      <c r="C10387" s="2" t="n">
        <v>41711</v>
      </c>
      <c r="D10387" t="inlineStr">
        <is>
          <t>SPEC</t>
        </is>
      </c>
      <c r="E10387" t="inlineStr">
        <is>
          <t>BUSBAR N+L1 STEP 100 - CABS APP - PROFIL ALU PERFO</t>
        </is>
      </c>
      <c r="F10387" t="inlineStr">
        <is>
          <t>G7K NS2500kVA - Q4S BACKFEED</t>
        </is>
      </c>
      <c r="J10387" t="inlineStr">
        <is>
          <t>MATRION</t>
        </is>
      </c>
      <c r="K10387" t="inlineStr">
        <is>
          <t>DOC</t>
        </is>
      </c>
      <c r="L10387">
        <f>_xlfn.XLOOKUP(Tableau1[[#This Row],[TYPE DE PIECE]],Tableau4[MATIERE],Tableau4[SHORT TYPE],"",0,1)</f>
        <v/>
      </c>
      <c r="N10387">
        <f>IF(ISERR(FIND("DECOUPE",Tableau1[[#This Row],[DESIGNATION]])),"","NEED REF")</f>
        <v/>
      </c>
    </row>
    <row r="10388">
      <c r="B10388" t="n">
        <v>34403618</v>
      </c>
      <c r="C10388" s="2" t="n">
        <v>41711</v>
      </c>
      <c r="D10388" t="inlineStr">
        <is>
          <t>SPEC</t>
        </is>
      </c>
      <c r="E10388" t="inlineStr">
        <is>
          <t>BUSBAR N+3PH STEP 100 - CABS APP - PROFIL ALU PERFO</t>
        </is>
      </c>
      <c r="F10388" t="inlineStr">
        <is>
          <t>G7K NS2500kVA - Q4S BACKFEED</t>
        </is>
      </c>
      <c r="J10388" t="inlineStr">
        <is>
          <t>MATRION</t>
        </is>
      </c>
      <c r="K10388" t="inlineStr">
        <is>
          <t>DOC</t>
        </is>
      </c>
      <c r="L10388">
        <f>_xlfn.XLOOKUP(Tableau1[[#This Row],[TYPE DE PIECE]],Tableau4[MATIERE],Tableau4[SHORT TYPE],"",0,1)</f>
        <v/>
      </c>
      <c r="N10388">
        <f>IF(ISERR(FIND("DECOUPE",Tableau1[[#This Row],[DESIGNATION]])),"","NEED REF")</f>
        <v/>
      </c>
    </row>
    <row r="10389">
      <c r="B10389" t="n">
        <v>34403617</v>
      </c>
      <c r="C10389" s="2" t="n">
        <v>41711</v>
      </c>
      <c r="D10389" t="inlineStr">
        <is>
          <t>SPEC</t>
        </is>
      </c>
      <c r="E10389" t="inlineStr">
        <is>
          <t>NW / BUSBAR JUNCTION AVAL PHASE 3 - 2</t>
        </is>
      </c>
      <c r="F10389" t="inlineStr">
        <is>
          <t>G7K NS2500kVA - Q4S BACKFEED</t>
        </is>
      </c>
      <c r="J10389" t="inlineStr">
        <is>
          <t>MATRION</t>
        </is>
      </c>
      <c r="K10389" t="inlineStr">
        <is>
          <t>CUIVRE</t>
        </is>
      </c>
      <c r="L10389">
        <f>_xlfn.XLOOKUP(Tableau1[[#This Row],[TYPE DE PIECE]],Tableau4[MATIERE],Tableau4[SHORT TYPE],"",0,1)</f>
        <v/>
      </c>
      <c r="N10389">
        <f>IF(ISERR(FIND("DECOUPE",Tableau1[[#This Row],[DESIGNATION]])),"","NEED REF")</f>
        <v/>
      </c>
    </row>
    <row r="10390">
      <c r="B10390" t="n">
        <v>34403616</v>
      </c>
      <c r="C10390" s="2" t="n">
        <v>41711</v>
      </c>
      <c r="D10390" t="inlineStr">
        <is>
          <t>SPEC</t>
        </is>
      </c>
      <c r="E10390" t="inlineStr">
        <is>
          <t>NW / BUSBAR JUNCTION AVAL PHASE 3 - 1</t>
        </is>
      </c>
      <c r="F10390" t="inlineStr">
        <is>
          <t>G7K NS2500kVA - Q4S BACKFEED</t>
        </is>
      </c>
      <c r="J10390" t="inlineStr">
        <is>
          <t>MATRION</t>
        </is>
      </c>
      <c r="K10390" t="inlineStr">
        <is>
          <t>CUIVRE</t>
        </is>
      </c>
      <c r="L10390">
        <f>_xlfn.XLOOKUP(Tableau1[[#This Row],[TYPE DE PIECE]],Tableau4[MATIERE],Tableau4[SHORT TYPE],"",0,1)</f>
        <v/>
      </c>
      <c r="N10390">
        <f>IF(ISERR(FIND("DECOUPE",Tableau1[[#This Row],[DESIGNATION]])),"","NEED REF")</f>
        <v/>
      </c>
    </row>
    <row r="10391">
      <c r="B10391" t="n">
        <v>34403615</v>
      </c>
      <c r="C10391" s="2" t="n">
        <v>41711</v>
      </c>
      <c r="D10391" t="inlineStr">
        <is>
          <t>SPEC</t>
        </is>
      </c>
      <c r="E10391" t="inlineStr">
        <is>
          <t>NW / BUSBAR JUNCTION AVAL PHASE 1 - 2</t>
        </is>
      </c>
      <c r="F10391" t="inlineStr">
        <is>
          <t>G7K NS2500kVA - Q4S BACKFEED</t>
        </is>
      </c>
      <c r="J10391" t="inlineStr">
        <is>
          <t>MATRION</t>
        </is>
      </c>
      <c r="K10391" t="inlineStr">
        <is>
          <t>CUIVRE</t>
        </is>
      </c>
      <c r="L10391">
        <f>_xlfn.XLOOKUP(Tableau1[[#This Row],[TYPE DE PIECE]],Tableau4[MATIERE],Tableau4[SHORT TYPE],"",0,1)</f>
        <v/>
      </c>
      <c r="N10391">
        <f>IF(ISERR(FIND("DECOUPE",Tableau1[[#This Row],[DESIGNATION]])),"","NEED REF")</f>
        <v/>
      </c>
    </row>
    <row r="10392">
      <c r="B10392" t="n">
        <v>34403614</v>
      </c>
      <c r="C10392" s="2" t="n">
        <v>41711</v>
      </c>
      <c r="D10392" t="inlineStr">
        <is>
          <t>SPEC</t>
        </is>
      </c>
      <c r="E10392" t="inlineStr">
        <is>
          <t>NW / BUSBAR JUNCTION AVAL PHASE 1 - 1</t>
        </is>
      </c>
      <c r="F10392" t="inlineStr">
        <is>
          <t>G7K NS2500kVA - Q4S BACKFEED</t>
        </is>
      </c>
      <c r="J10392" t="inlineStr">
        <is>
          <t>MATRION</t>
        </is>
      </c>
      <c r="K10392" t="inlineStr">
        <is>
          <t>CUIVRE</t>
        </is>
      </c>
      <c r="L10392">
        <f>_xlfn.XLOOKUP(Tableau1[[#This Row],[TYPE DE PIECE]],Tableau4[MATIERE],Tableau4[SHORT TYPE],"",0,1)</f>
        <v/>
      </c>
      <c r="N10392">
        <f>IF(ISERR(FIND("DECOUPE",Tableau1[[#This Row],[DESIGNATION]])),"","NEED REF")</f>
        <v/>
      </c>
    </row>
    <row r="10393">
      <c r="B10393" t="n">
        <v>34403613</v>
      </c>
      <c r="C10393" s="2" t="n">
        <v>41711</v>
      </c>
      <c r="D10393" t="inlineStr">
        <is>
          <t>SPEC</t>
        </is>
      </c>
      <c r="E10393" t="inlineStr">
        <is>
          <t>NW / BUSBAR JUNCTION AMONT PHASE 3 - 3</t>
        </is>
      </c>
      <c r="F10393" t="inlineStr">
        <is>
          <t>G7K NS2500kVA - Q4S BACKFEED</t>
        </is>
      </c>
      <c r="J10393" t="inlineStr">
        <is>
          <t>MATRION</t>
        </is>
      </c>
      <c r="K10393" t="inlineStr">
        <is>
          <t>CUIVRE</t>
        </is>
      </c>
      <c r="L10393">
        <f>_xlfn.XLOOKUP(Tableau1[[#This Row],[TYPE DE PIECE]],Tableau4[MATIERE],Tableau4[SHORT TYPE],"",0,1)</f>
        <v/>
      </c>
      <c r="N10393">
        <f>IF(ISERR(FIND("DECOUPE",Tableau1[[#This Row],[DESIGNATION]])),"","NEED REF")</f>
        <v/>
      </c>
    </row>
    <row r="10394">
      <c r="B10394" t="n">
        <v>34403612</v>
      </c>
      <c r="C10394" s="2" t="n">
        <v>41711</v>
      </c>
      <c r="D10394" t="inlineStr">
        <is>
          <t>SPEC</t>
        </is>
      </c>
      <c r="E10394" t="inlineStr">
        <is>
          <t>NW / BUSBAR JUNCTION AMONT PHASE 3 - 1</t>
        </is>
      </c>
      <c r="F10394" t="inlineStr">
        <is>
          <t>G7K NS2500kVA - Q4S BACKFEED</t>
        </is>
      </c>
      <c r="J10394" t="inlineStr">
        <is>
          <t>MATRION</t>
        </is>
      </c>
      <c r="K10394" t="inlineStr">
        <is>
          <t>CUIVRE</t>
        </is>
      </c>
      <c r="L10394">
        <f>_xlfn.XLOOKUP(Tableau1[[#This Row],[TYPE DE PIECE]],Tableau4[MATIERE],Tableau4[SHORT TYPE],"",0,1)</f>
        <v/>
      </c>
      <c r="N10394">
        <f>IF(ISERR(FIND("DECOUPE",Tableau1[[#This Row],[DESIGNATION]])),"","NEED REF")</f>
        <v/>
      </c>
    </row>
    <row r="10395">
      <c r="B10395" t="n">
        <v>34403611</v>
      </c>
      <c r="C10395" s="2" t="n">
        <v>41711</v>
      </c>
      <c r="D10395" t="inlineStr">
        <is>
          <t>SPEC</t>
        </is>
      </c>
      <c r="E10395" t="inlineStr">
        <is>
          <t>NW / BUSBAR JUNCTION AMONT PHASE 1 - 2</t>
        </is>
      </c>
      <c r="F10395" t="inlineStr">
        <is>
          <t>G7K NS2500kVA - Q4S BACKFEED</t>
        </is>
      </c>
      <c r="J10395" t="inlineStr">
        <is>
          <t>MATRION</t>
        </is>
      </c>
      <c r="K10395" t="inlineStr">
        <is>
          <t>CUIVRE</t>
        </is>
      </c>
      <c r="L10395">
        <f>_xlfn.XLOOKUP(Tableau1[[#This Row],[TYPE DE PIECE]],Tableau4[MATIERE],Tableau4[SHORT TYPE],"",0,1)</f>
        <v/>
      </c>
      <c r="N10395">
        <f>IF(ISERR(FIND("DECOUPE",Tableau1[[#This Row],[DESIGNATION]])),"","NEED REF")</f>
        <v/>
      </c>
    </row>
    <row r="10396">
      <c r="B10396" t="n">
        <v>34403610</v>
      </c>
      <c r="C10396" s="2" t="n">
        <v>41711</v>
      </c>
      <c r="D10396" t="inlineStr">
        <is>
          <t>SPEC</t>
        </is>
      </c>
      <c r="E10396" t="inlineStr">
        <is>
          <t>NW / BUSBAR JUNCTION AMONT PHASE 1 - 1</t>
        </is>
      </c>
      <c r="F10396" t="inlineStr">
        <is>
          <t>G7K NS2500kVA - Q4S BACKFEED</t>
        </is>
      </c>
      <c r="J10396" t="inlineStr">
        <is>
          <t>MATRION</t>
        </is>
      </c>
      <c r="K10396" t="inlineStr">
        <is>
          <t>CUIVRE</t>
        </is>
      </c>
      <c r="L10396">
        <f>_xlfn.XLOOKUP(Tableau1[[#This Row],[TYPE DE PIECE]],Tableau4[MATIERE],Tableau4[SHORT TYPE],"",0,1)</f>
        <v/>
      </c>
      <c r="N10396">
        <f>IF(ISERR(FIND("DECOUPE",Tableau1[[#This Row],[DESIGNATION]])),"","NEED REF")</f>
        <v/>
      </c>
    </row>
    <row r="10397">
      <c r="B10397" t="n">
        <v>34403609</v>
      </c>
      <c r="C10397" s="2" t="n">
        <v>41711</v>
      </c>
      <c r="D10397" t="inlineStr">
        <is>
          <t>SPEC</t>
        </is>
      </c>
      <c r="E10397" t="inlineStr">
        <is>
          <t>NW / CS JUNCTION AMONT PHASE 2 - 1</t>
        </is>
      </c>
      <c r="F10397" t="inlineStr">
        <is>
          <t>G7K NS2500kVA - Q4S BACKFEED</t>
        </is>
      </c>
      <c r="J10397" t="inlineStr">
        <is>
          <t>MATRION</t>
        </is>
      </c>
      <c r="K10397" t="inlineStr">
        <is>
          <t>CUIVRE</t>
        </is>
      </c>
      <c r="L10397">
        <f>_xlfn.XLOOKUP(Tableau1[[#This Row],[TYPE DE PIECE]],Tableau4[MATIERE],Tableau4[SHORT TYPE],"",0,1)</f>
        <v/>
      </c>
      <c r="N10397">
        <f>IF(ISERR(FIND("DECOUPE",Tableau1[[#This Row],[DESIGNATION]])),"","NEED REF")</f>
        <v/>
      </c>
    </row>
    <row r="10398">
      <c r="B10398" t="n">
        <v>34403608</v>
      </c>
      <c r="C10398" s="2" t="n">
        <v>41711</v>
      </c>
      <c r="D10398" t="inlineStr">
        <is>
          <t>SPEC</t>
        </is>
      </c>
      <c r="E10398" t="inlineStr">
        <is>
          <t>NW / CS JUNCTION AMONT PHASE 2 - 2</t>
        </is>
      </c>
      <c r="F10398" t="inlineStr">
        <is>
          <t>G7K NS2500kVA - Q4S BACKFEED</t>
        </is>
      </c>
      <c r="J10398" t="inlineStr">
        <is>
          <t>MATRION</t>
        </is>
      </c>
      <c r="K10398" t="inlineStr">
        <is>
          <t>CUIVRE</t>
        </is>
      </c>
      <c r="L10398">
        <f>_xlfn.XLOOKUP(Tableau1[[#This Row],[TYPE DE PIECE]],Tableau4[MATIERE],Tableau4[SHORT TYPE],"",0,1)</f>
        <v/>
      </c>
      <c r="N10398">
        <f>IF(ISERR(FIND("DECOUPE",Tableau1[[#This Row],[DESIGNATION]])),"","NEED REF")</f>
        <v/>
      </c>
    </row>
    <row r="10399">
      <c r="B10399" t="n">
        <v>34403607</v>
      </c>
      <c r="C10399" s="2" t="n">
        <v>41711</v>
      </c>
      <c r="D10399" t="inlineStr">
        <is>
          <t>SPEC</t>
        </is>
      </c>
      <c r="E10399" t="inlineStr">
        <is>
          <t>NW JUNCTION AMONT PHASE 2 - 2</t>
        </is>
      </c>
      <c r="F10399" t="inlineStr">
        <is>
          <t>G7K NS2500kVA - Q4S BACKFEED</t>
        </is>
      </c>
      <c r="J10399" t="inlineStr">
        <is>
          <t>MATRION</t>
        </is>
      </c>
      <c r="K10399" t="inlineStr">
        <is>
          <t>CUIVRE</t>
        </is>
      </c>
      <c r="L10399">
        <f>_xlfn.XLOOKUP(Tableau1[[#This Row],[TYPE DE PIECE]],Tableau4[MATIERE],Tableau4[SHORT TYPE],"",0,1)</f>
        <v/>
      </c>
      <c r="N10399">
        <f>IF(ISERR(FIND("DECOUPE",Tableau1[[#This Row],[DESIGNATION]])),"","NEED REF")</f>
        <v/>
      </c>
    </row>
    <row r="10400">
      <c r="B10400" t="n">
        <v>34403606</v>
      </c>
      <c r="C10400" s="2" t="n">
        <v>41711</v>
      </c>
      <c r="D10400" t="inlineStr">
        <is>
          <t>SPEC</t>
        </is>
      </c>
      <c r="E10400" t="inlineStr">
        <is>
          <t>NW JUNCTION AMONT PHASE 2 - 1</t>
        </is>
      </c>
      <c r="F10400" t="inlineStr">
        <is>
          <t>G7K NS2500kVA - Q4S BACKFEED</t>
        </is>
      </c>
      <c r="J10400" t="inlineStr">
        <is>
          <t>MATRION</t>
        </is>
      </c>
      <c r="K10400" t="inlineStr">
        <is>
          <t>CUIVRE</t>
        </is>
      </c>
      <c r="L10400">
        <f>_xlfn.XLOOKUP(Tableau1[[#This Row],[TYPE DE PIECE]],Tableau4[MATIERE],Tableau4[SHORT TYPE],"",0,1)</f>
        <v/>
      </c>
      <c r="N10400">
        <f>IF(ISERR(FIND("DECOUPE",Tableau1[[#This Row],[DESIGNATION]])),"","NEED REF")</f>
        <v/>
      </c>
    </row>
    <row r="10401">
      <c r="B10401" t="n">
        <v>34403605</v>
      </c>
      <c r="C10401" s="2" t="n">
        <v>41711</v>
      </c>
      <c r="D10401" t="inlineStr">
        <is>
          <t>NOM</t>
        </is>
      </c>
      <c r="E10401" t="inlineStr">
        <is>
          <t>LG COFFRET DJ BATT G300</t>
        </is>
      </c>
      <c r="F10401" t="inlineStr">
        <is>
          <t>COFFRET DISJ G300</t>
        </is>
      </c>
      <c r="J10401" t="inlineStr">
        <is>
          <t>ROBERT</t>
        </is>
      </c>
      <c r="L10401">
        <f>_xlfn.XLOOKUP(Tableau1[[#This Row],[TYPE DE PIECE]],Tableau4[MATIERE],Tableau4[SHORT TYPE],"",0,1)</f>
        <v/>
      </c>
      <c r="N10401">
        <f>IF(ISERR(FIND("DECOUPE",Tableau1[[#This Row],[DESIGNATION]])),"","NEED REF")</f>
        <v/>
      </c>
    </row>
    <row r="10402">
      <c r="B10402" t="n">
        <v>34403604</v>
      </c>
      <c r="C10402" s="2" t="n">
        <v>41710</v>
      </c>
      <c r="D10402" t="inlineStr">
        <is>
          <t>SPEC</t>
        </is>
      </c>
      <c r="E10402" t="inlineStr">
        <is>
          <t>COPPER BAR 2 AMAZON</t>
        </is>
      </c>
      <c r="F10402" t="inlineStr">
        <is>
          <t>RESERVE AMAZON</t>
        </is>
      </c>
      <c r="J10402" t="inlineStr">
        <is>
          <t>MATRION</t>
        </is>
      </c>
      <c r="K10402" t="inlineStr">
        <is>
          <t>CUIVRE</t>
        </is>
      </c>
      <c r="L10402">
        <f>_xlfn.XLOOKUP(Tableau1[[#This Row],[TYPE DE PIECE]],Tableau4[MATIERE],Tableau4[SHORT TYPE],"",0,1)</f>
        <v/>
      </c>
      <c r="N10402">
        <f>IF(ISERR(FIND("DECOUPE",Tableau1[[#This Row],[DESIGNATION]])),"","NEED REF")</f>
        <v/>
      </c>
    </row>
    <row r="10403">
      <c r="B10403" t="n">
        <v>34403603</v>
      </c>
      <c r="C10403" s="2" t="n">
        <v>41710</v>
      </c>
      <c r="D10403" t="inlineStr">
        <is>
          <t>SPEC</t>
        </is>
      </c>
      <c r="E10403" t="inlineStr">
        <is>
          <t>COPPER BAR 1 AMAZON</t>
        </is>
      </c>
      <c r="F10403" t="inlineStr">
        <is>
          <t>RESERVE AMAZON</t>
        </is>
      </c>
      <c r="J10403" t="inlineStr">
        <is>
          <t>MATRION</t>
        </is>
      </c>
      <c r="K10403" t="inlineStr">
        <is>
          <t>CUIVRE</t>
        </is>
      </c>
      <c r="L10403">
        <f>_xlfn.XLOOKUP(Tableau1[[#This Row],[TYPE DE PIECE]],Tableau4[MATIERE],Tableau4[SHORT TYPE],"",0,1)</f>
        <v/>
      </c>
      <c r="N10403">
        <f>IF(ISERR(FIND("DECOUPE",Tableau1[[#This Row],[DESIGNATION]])),"","NEED REF")</f>
        <v/>
      </c>
    </row>
    <row r="10404">
      <c r="B10404" t="n">
        <v>34403602</v>
      </c>
      <c r="C10404" s="2" t="n">
        <v>41709</v>
      </c>
      <c r="D10404" t="inlineStr">
        <is>
          <t>NOM</t>
        </is>
      </c>
      <c r="E10404" t="inlineStr">
        <is>
          <t>LG COFFRET DJ BATT SYMMETRA 40kW</t>
        </is>
      </c>
      <c r="F10404" t="inlineStr">
        <is>
          <t>COFFRET DISJ SYMMETRA</t>
        </is>
      </c>
      <c r="J10404" t="inlineStr">
        <is>
          <t>ROBERT</t>
        </is>
      </c>
      <c r="L10404">
        <f>_xlfn.XLOOKUP(Tableau1[[#This Row],[TYPE DE PIECE]],Tableau4[MATIERE],Tableau4[SHORT TYPE],"",0,1)</f>
        <v/>
      </c>
      <c r="N10404">
        <f>IF(ISERR(FIND("DECOUPE",Tableau1[[#This Row],[DESIGNATION]])),"","NEED REF")</f>
        <v/>
      </c>
    </row>
    <row r="10405">
      <c r="B10405" t="n">
        <v>34403601</v>
      </c>
      <c r="C10405" s="2" t="n">
        <v>41709</v>
      </c>
      <c r="D10405" t="inlineStr">
        <is>
          <t>NOM</t>
        </is>
      </c>
      <c r="E10405" t="inlineStr">
        <is>
          <t>LG COFFRET DJ BATT G3500</t>
        </is>
      </c>
      <c r="F10405" t="inlineStr">
        <is>
          <t>COFFRET DISJ G3500</t>
        </is>
      </c>
      <c r="J10405" t="inlineStr">
        <is>
          <t>ROBERT</t>
        </is>
      </c>
      <c r="L10405">
        <f>_xlfn.XLOOKUP(Tableau1[[#This Row],[TYPE DE PIECE]],Tableau4[MATIERE],Tableau4[SHORT TYPE],"",0,1)</f>
        <v/>
      </c>
      <c r="N10405">
        <f>IF(ISERR(FIND("DECOUPE",Tableau1[[#This Row],[DESIGNATION]])),"","NEED REF")</f>
        <v/>
      </c>
    </row>
    <row r="10406">
      <c r="B10406" t="n">
        <v>34403600</v>
      </c>
      <c r="C10406" s="2" t="n">
        <v>41709</v>
      </c>
      <c r="D10406" t="inlineStr">
        <is>
          <t>SPEC</t>
        </is>
      </c>
      <c r="E10406" t="inlineStr">
        <is>
          <t>KIT CABLES PUISSANCE ET FILS FINS</t>
        </is>
      </c>
      <c r="F10406" t="inlineStr">
        <is>
          <t>COFFRET DISJ G3500</t>
        </is>
      </c>
      <c r="J10406" t="inlineStr">
        <is>
          <t>ROBERT</t>
        </is>
      </c>
      <c r="K10406" t="inlineStr">
        <is>
          <t>FILERIE</t>
        </is>
      </c>
      <c r="L10406">
        <f>_xlfn.XLOOKUP(Tableau1[[#This Row],[TYPE DE PIECE]],Tableau4[MATIERE],Tableau4[SHORT TYPE],"",0,1)</f>
        <v/>
      </c>
      <c r="N10406">
        <f>IF(ISERR(FIND("DECOUPE",Tableau1[[#This Row],[DESIGNATION]])),"","NEED REF")</f>
        <v/>
      </c>
    </row>
    <row r="10407">
      <c r="B10407" t="n">
        <v>34403599</v>
      </c>
      <c r="C10407" s="2" t="n">
        <v>41696</v>
      </c>
      <c r="D10407" t="inlineStr">
        <is>
          <t>SPEC</t>
        </is>
      </c>
      <c r="E10407" t="inlineStr">
        <is>
          <t>Q4S-BF NW LEFT/RIGHT SUPPORT</t>
        </is>
      </c>
      <c r="F10407" t="inlineStr">
        <is>
          <t>G7K NS1200kVA - Q4S BACKFEED</t>
        </is>
      </c>
      <c r="J10407" t="inlineStr">
        <is>
          <t>MATRION</t>
        </is>
      </c>
      <c r="K10407" t="inlineStr">
        <is>
          <t>METAL</t>
        </is>
      </c>
      <c r="L10407">
        <f>_xlfn.XLOOKUP(Tableau1[[#This Row],[TYPE DE PIECE]],Tableau4[MATIERE],Tableau4[SHORT TYPE],"",0,1)</f>
        <v/>
      </c>
      <c r="N10407">
        <f>IF(ISERR(FIND("DECOUPE",Tableau1[[#This Row],[DESIGNATION]])),"","NEED REF")</f>
        <v/>
      </c>
    </row>
    <row r="10408">
      <c r="B10408" t="n">
        <v>34403598</v>
      </c>
      <c r="C10408" s="2" t="n">
        <v>41696</v>
      </c>
      <c r="D10408" t="inlineStr">
        <is>
          <t>SPEC</t>
        </is>
      </c>
      <c r="E10408" t="inlineStr">
        <is>
          <t>Q4S-BF NW RIGHT SUPPORT</t>
        </is>
      </c>
      <c r="F10408" t="inlineStr">
        <is>
          <t>G7K NS1200kVA - Q4S BACKFEED</t>
        </is>
      </c>
      <c r="J10408" t="inlineStr">
        <is>
          <t>MATRION</t>
        </is>
      </c>
      <c r="K10408" t="inlineStr">
        <is>
          <t>METAL</t>
        </is>
      </c>
      <c r="L10408">
        <f>_xlfn.XLOOKUP(Tableau1[[#This Row],[TYPE DE PIECE]],Tableau4[MATIERE],Tableau4[SHORT TYPE],"",0,1)</f>
        <v/>
      </c>
      <c r="N10408">
        <f>IF(ISERR(FIND("DECOUPE",Tableau1[[#This Row],[DESIGNATION]])),"","NEED REF")</f>
        <v/>
      </c>
    </row>
    <row r="10409">
      <c r="B10409" t="n">
        <v>34403597</v>
      </c>
      <c r="C10409" s="2" t="n">
        <v>41696</v>
      </c>
      <c r="D10409" t="inlineStr">
        <is>
          <t>SPEC</t>
        </is>
      </c>
      <c r="E10409" t="inlineStr">
        <is>
          <t>CONTACTOR PLATE</t>
        </is>
      </c>
      <c r="F10409" t="inlineStr">
        <is>
          <t>G7K NS1200kVA - Q4S BACKFEED</t>
        </is>
      </c>
      <c r="J10409" t="inlineStr">
        <is>
          <t>MATRION</t>
        </is>
      </c>
      <c r="K10409" t="inlineStr">
        <is>
          <t>METAL</t>
        </is>
      </c>
      <c r="L10409">
        <f>_xlfn.XLOOKUP(Tableau1[[#This Row],[TYPE DE PIECE]],Tableau4[MATIERE],Tableau4[SHORT TYPE],"",0,1)</f>
        <v/>
      </c>
      <c r="N10409">
        <f>IF(ISERR(FIND("DECOUPE",Tableau1[[#This Row],[DESIGNATION]])),"","NEED REF")</f>
        <v/>
      </c>
    </row>
    <row r="10410">
      <c r="B10410" t="n">
        <v>34403596</v>
      </c>
      <c r="C10410" s="2" t="n">
        <v>41696</v>
      </c>
      <c r="D10410" t="inlineStr">
        <is>
          <t>SPEC</t>
        </is>
      </c>
      <c r="E10410" t="inlineStr">
        <is>
          <t>MIDDLE SEGREGATION</t>
        </is>
      </c>
      <c r="F10410" t="inlineStr">
        <is>
          <t>G7K NS1200kVA - Q4S BACKFEED</t>
        </is>
      </c>
      <c r="J10410" t="inlineStr">
        <is>
          <t>MATRION</t>
        </is>
      </c>
      <c r="K10410" t="inlineStr">
        <is>
          <t>METAL</t>
        </is>
      </c>
      <c r="L10410">
        <f>_xlfn.XLOOKUP(Tableau1[[#This Row],[TYPE DE PIECE]],Tableau4[MATIERE],Tableau4[SHORT TYPE],"",0,1)</f>
        <v/>
      </c>
      <c r="N10410">
        <f>IF(ISERR(FIND("DECOUPE",Tableau1[[#This Row],[DESIGNATION]])),"","NEED REF")</f>
        <v/>
      </c>
    </row>
    <row r="10411">
      <c r="B10411" t="n">
        <v>34403595</v>
      </c>
      <c r="C10411" s="2" t="n">
        <v>41696</v>
      </c>
      <c r="D10411" t="inlineStr">
        <is>
          <t>SPEC</t>
        </is>
      </c>
      <c r="E10411" t="inlineStr">
        <is>
          <t>NW PROTECTION SHIELD</t>
        </is>
      </c>
      <c r="F10411" t="inlineStr">
        <is>
          <t>G7K NS1200kVA - Q4S BACKFEED</t>
        </is>
      </c>
      <c r="J10411" t="inlineStr">
        <is>
          <t>MATRION</t>
        </is>
      </c>
      <c r="K10411" t="inlineStr">
        <is>
          <t>PLASTIQUE</t>
        </is>
      </c>
      <c r="L10411">
        <f>_xlfn.XLOOKUP(Tableau1[[#This Row],[TYPE DE PIECE]],Tableau4[MATIERE],Tableau4[SHORT TYPE],"",0,1)</f>
        <v/>
      </c>
      <c r="N10411">
        <f>IF(ISERR(FIND("DECOUPE",Tableau1[[#This Row],[DESIGNATION]])),"","NEED REF")</f>
        <v/>
      </c>
    </row>
    <row r="10412">
      <c r="B10412" t="n">
        <v>34403594</v>
      </c>
      <c r="C10412" s="2" t="n">
        <v>41696</v>
      </c>
      <c r="D10412" t="inlineStr">
        <is>
          <t>SPEC</t>
        </is>
      </c>
      <c r="E10412" t="inlineStr">
        <is>
          <t>R2 PROTECTION SHIELD</t>
        </is>
      </c>
      <c r="F10412" t="inlineStr">
        <is>
          <t>G7K NS1200kVA - Q4S BACKFEED</t>
        </is>
      </c>
      <c r="J10412" t="inlineStr">
        <is>
          <t>MATRION</t>
        </is>
      </c>
      <c r="K10412" t="inlineStr">
        <is>
          <t>PLASTIQUE</t>
        </is>
      </c>
      <c r="L10412">
        <f>_xlfn.XLOOKUP(Tableau1[[#This Row],[TYPE DE PIECE]],Tableau4[MATIERE],Tableau4[SHORT TYPE],"",0,1)</f>
        <v/>
      </c>
      <c r="N10412">
        <f>IF(ISERR(FIND("DECOUPE",Tableau1[[#This Row],[DESIGNATION]])),"","NEED REF")</f>
        <v/>
      </c>
    </row>
    <row r="10413">
      <c r="B10413" t="n">
        <v>34403593</v>
      </c>
      <c r="C10413" s="2" t="n">
        <v>41696</v>
      </c>
      <c r="D10413" t="inlineStr">
        <is>
          <t>SPEC</t>
        </is>
      </c>
      <c r="E10413" t="inlineStr">
        <is>
          <t>Q4S-BF NW SUPPORT</t>
        </is>
      </c>
      <c r="F10413" t="inlineStr">
        <is>
          <t>G7K NS1200kVA - Q4S BACKFEED</t>
        </is>
      </c>
      <c r="J10413" t="inlineStr">
        <is>
          <t>MATRION</t>
        </is>
      </c>
      <c r="K10413" t="inlineStr">
        <is>
          <t>METAL</t>
        </is>
      </c>
      <c r="L10413">
        <f>_xlfn.XLOOKUP(Tableau1[[#This Row],[TYPE DE PIECE]],Tableau4[MATIERE],Tableau4[SHORT TYPE],"",0,1)</f>
        <v/>
      </c>
      <c r="N10413">
        <f>IF(ISERR(FIND("DECOUPE",Tableau1[[#This Row],[DESIGNATION]])),"","NEED REF")</f>
        <v/>
      </c>
    </row>
    <row r="10414">
      <c r="B10414" t="n">
        <v>34403592</v>
      </c>
      <c r="C10414" s="2" t="n">
        <v>41696</v>
      </c>
      <c r="D10414" t="inlineStr">
        <is>
          <t>SPEC</t>
        </is>
      </c>
      <c r="E10414" t="inlineStr">
        <is>
          <t>FRONT TOP SUPPORT</t>
        </is>
      </c>
      <c r="F10414" t="inlineStr">
        <is>
          <t>G7K NS1200kVA - Q4S BACKFEED</t>
        </is>
      </c>
      <c r="J10414" t="inlineStr">
        <is>
          <t>MATRION</t>
        </is>
      </c>
      <c r="K10414" t="inlineStr">
        <is>
          <t>METAL</t>
        </is>
      </c>
      <c r="L10414">
        <f>_xlfn.XLOOKUP(Tableau1[[#This Row],[TYPE DE PIECE]],Tableau4[MATIERE],Tableau4[SHORT TYPE],"",0,1)</f>
        <v/>
      </c>
      <c r="N10414">
        <f>IF(ISERR(FIND("DECOUPE",Tableau1[[#This Row],[DESIGNATION]])),"","NEED REF")</f>
        <v/>
      </c>
    </row>
    <row r="10415">
      <c r="B10415" t="n">
        <v>34403591</v>
      </c>
      <c r="C10415" s="2" t="n">
        <v>41696</v>
      </c>
      <c r="D10415" t="inlineStr">
        <is>
          <t>SPEC</t>
        </is>
      </c>
      <c r="E10415" t="inlineStr">
        <is>
          <t>FRONT BOTTOM SUPPORT</t>
        </is>
      </c>
      <c r="F10415" t="inlineStr">
        <is>
          <t>G7K NS1200kVA - Q4S BACKFEED</t>
        </is>
      </c>
      <c r="J10415" t="inlineStr">
        <is>
          <t>MATRION</t>
        </is>
      </c>
      <c r="K10415" t="inlineStr">
        <is>
          <t>METAL</t>
        </is>
      </c>
      <c r="L10415">
        <f>_xlfn.XLOOKUP(Tableau1[[#This Row],[TYPE DE PIECE]],Tableau4[MATIERE],Tableau4[SHORT TYPE],"",0,1)</f>
        <v/>
      </c>
      <c r="N10415">
        <f>IF(ISERR(FIND("DECOUPE",Tableau1[[#This Row],[DESIGNATION]])),"","NEED REF")</f>
        <v/>
      </c>
    </row>
    <row r="10416">
      <c r="B10416" t="n">
        <v>34403590</v>
      </c>
      <c r="C10416" s="2" t="n">
        <v>41696</v>
      </c>
      <c r="D10416" t="inlineStr">
        <is>
          <t>SPEC</t>
        </is>
      </c>
      <c r="E10416" t="inlineStr">
        <is>
          <t>BYPASS TOP SUPPORT</t>
        </is>
      </c>
      <c r="F10416" t="inlineStr">
        <is>
          <t>G7K NS1200kVA - Q4S BACKFEED</t>
        </is>
      </c>
      <c r="J10416" t="inlineStr">
        <is>
          <t>MATRION</t>
        </is>
      </c>
      <c r="K10416" t="inlineStr">
        <is>
          <t>METAL</t>
        </is>
      </c>
      <c r="L10416">
        <f>_xlfn.XLOOKUP(Tableau1[[#This Row],[TYPE DE PIECE]],Tableau4[MATIERE],Tableau4[SHORT TYPE],"",0,1)</f>
        <v/>
      </c>
      <c r="N10416">
        <f>IF(ISERR(FIND("DECOUPE",Tableau1[[#This Row],[DESIGNATION]])),"","NEED REF")</f>
        <v/>
      </c>
    </row>
    <row r="10417">
      <c r="B10417" t="n">
        <v>34403589</v>
      </c>
      <c r="C10417" s="2" t="n">
        <v>41696</v>
      </c>
      <c r="D10417" t="inlineStr">
        <is>
          <t>SPEC</t>
        </is>
      </c>
      <c r="E10417" t="inlineStr">
        <is>
          <t>BYPASS SUPPORT RIGHT/LEFT</t>
        </is>
      </c>
      <c r="F10417" t="inlineStr">
        <is>
          <t>G7K NS1200kVA - Q4S BACKFEED</t>
        </is>
      </c>
      <c r="J10417" t="inlineStr">
        <is>
          <t>MATRION</t>
        </is>
      </c>
      <c r="K10417" t="inlineStr">
        <is>
          <t>METAL</t>
        </is>
      </c>
      <c r="L10417">
        <f>_xlfn.XLOOKUP(Tableau1[[#This Row],[TYPE DE PIECE]],Tableau4[MATIERE],Tableau4[SHORT TYPE],"",0,1)</f>
        <v/>
      </c>
      <c r="N10417">
        <f>IF(ISERR(FIND("DECOUPE",Tableau1[[#This Row],[DESIGNATION]])),"","NEED REF")</f>
        <v/>
      </c>
    </row>
    <row r="10418">
      <c r="B10418" t="n">
        <v>34403588</v>
      </c>
      <c r="C10418" s="2" t="n">
        <v>41696</v>
      </c>
      <c r="D10418" t="inlineStr">
        <is>
          <t>SPEC</t>
        </is>
      </c>
      <c r="E10418" t="inlineStr">
        <is>
          <t>COPPER BAR SPACING FIX</t>
        </is>
      </c>
      <c r="F10418" t="inlineStr">
        <is>
          <t>G7K NS1200kVA - Q4S BACKFEED</t>
        </is>
      </c>
      <c r="J10418" t="inlineStr">
        <is>
          <t>MATRION</t>
        </is>
      </c>
      <c r="K10418" t="inlineStr">
        <is>
          <t>CUIVRE</t>
        </is>
      </c>
      <c r="L10418">
        <f>_xlfn.XLOOKUP(Tableau1[[#This Row],[TYPE DE PIECE]],Tableau4[MATIERE],Tableau4[SHORT TYPE],"",0,1)</f>
        <v/>
      </c>
      <c r="N10418">
        <f>IF(ISERR(FIND("DECOUPE",Tableau1[[#This Row],[DESIGNATION]])),"","NEED REF")</f>
        <v/>
      </c>
    </row>
    <row r="10419">
      <c r="B10419" t="n">
        <v>34403587</v>
      </c>
      <c r="C10419" s="2" t="n">
        <v>41696</v>
      </c>
      <c r="D10419" t="inlineStr">
        <is>
          <t>SPEC</t>
        </is>
      </c>
      <c r="E10419" t="inlineStr">
        <is>
          <t>COPPER BAR SPACING L3</t>
        </is>
      </c>
      <c r="F10419" t="inlineStr">
        <is>
          <t>G7K NS1200kVA - Q4S BACKFEED</t>
        </is>
      </c>
      <c r="J10419" t="inlineStr">
        <is>
          <t>MATRION</t>
        </is>
      </c>
      <c r="K10419" t="inlineStr">
        <is>
          <t>CUIVRE</t>
        </is>
      </c>
      <c r="L10419">
        <f>_xlfn.XLOOKUP(Tableau1[[#This Row],[TYPE DE PIECE]],Tableau4[MATIERE],Tableau4[SHORT TYPE],"",0,1)</f>
        <v/>
      </c>
      <c r="N10419">
        <f>IF(ISERR(FIND("DECOUPE",Tableau1[[#This Row],[DESIGNATION]])),"","NEED REF")</f>
        <v/>
      </c>
    </row>
    <row r="10420">
      <c r="B10420" t="n">
        <v>34403586</v>
      </c>
      <c r="C10420" s="2" t="n">
        <v>41696</v>
      </c>
      <c r="D10420" t="inlineStr">
        <is>
          <t>SPEC</t>
        </is>
      </c>
      <c r="E10420" t="inlineStr">
        <is>
          <t>COPPER BAR UPSTREAM JUNCTION L3 2</t>
        </is>
      </c>
      <c r="F10420" t="inlineStr">
        <is>
          <t>G7K NS1200kVA - Q4S BACKFEED</t>
        </is>
      </c>
      <c r="J10420" t="inlineStr">
        <is>
          <t>MATRION</t>
        </is>
      </c>
      <c r="K10420" t="inlineStr">
        <is>
          <t>CUIVRE</t>
        </is>
      </c>
      <c r="L10420">
        <f>_xlfn.XLOOKUP(Tableau1[[#This Row],[TYPE DE PIECE]],Tableau4[MATIERE],Tableau4[SHORT TYPE],"",0,1)</f>
        <v/>
      </c>
      <c r="N10420">
        <f>IF(ISERR(FIND("DECOUPE",Tableau1[[#This Row],[DESIGNATION]])),"","NEED REF")</f>
        <v/>
      </c>
    </row>
    <row r="10421">
      <c r="B10421" t="n">
        <v>34403585</v>
      </c>
      <c r="C10421" s="2" t="n">
        <v>41696</v>
      </c>
      <c r="D10421" t="inlineStr">
        <is>
          <t>SPEC</t>
        </is>
      </c>
      <c r="E10421" t="inlineStr">
        <is>
          <t>COPPER BAR UPSTREAM JUNCTION L3 1</t>
        </is>
      </c>
      <c r="F10421" t="inlineStr">
        <is>
          <t>G7K NS1200kVA - Q4S BACKFEED</t>
        </is>
      </c>
      <c r="J10421" t="inlineStr">
        <is>
          <t>MATRION</t>
        </is>
      </c>
      <c r="K10421" t="inlineStr">
        <is>
          <t>CUIVRE</t>
        </is>
      </c>
      <c r="L10421">
        <f>_xlfn.XLOOKUP(Tableau1[[#This Row],[TYPE DE PIECE]],Tableau4[MATIERE],Tableau4[SHORT TYPE],"",0,1)</f>
        <v/>
      </c>
      <c r="N10421">
        <f>IF(ISERR(FIND("DECOUPE",Tableau1[[#This Row],[DESIGNATION]])),"","NEED REF")</f>
        <v/>
      </c>
    </row>
    <row r="10422">
      <c r="B10422" t="n">
        <v>34403584</v>
      </c>
      <c r="C10422" s="2" t="n">
        <v>41696</v>
      </c>
      <c r="D10422" t="inlineStr">
        <is>
          <t>SPEC</t>
        </is>
      </c>
      <c r="E10422" t="inlineStr">
        <is>
          <t>COPPER BAR DOWNSTREAM WEDGE</t>
        </is>
      </c>
      <c r="F10422" t="inlineStr">
        <is>
          <t>G7K NS1200kVA - Q4S BACKFEED</t>
        </is>
      </c>
      <c r="J10422" t="inlineStr">
        <is>
          <t>MATRION</t>
        </is>
      </c>
      <c r="K10422" t="inlineStr">
        <is>
          <t>CUIVRE</t>
        </is>
      </c>
      <c r="L10422">
        <f>_xlfn.XLOOKUP(Tableau1[[#This Row],[TYPE DE PIECE]],Tableau4[MATIERE],Tableau4[SHORT TYPE],"",0,1)</f>
        <v/>
      </c>
      <c r="N10422">
        <f>IF(ISERR(FIND("DECOUPE",Tableau1[[#This Row],[DESIGNATION]])),"","NEED REF")</f>
        <v/>
      </c>
    </row>
    <row r="10423">
      <c r="B10423" t="n">
        <v>34403583</v>
      </c>
      <c r="C10423" s="2" t="n">
        <v>41696</v>
      </c>
      <c r="D10423" t="inlineStr">
        <is>
          <t>SPEC</t>
        </is>
      </c>
      <c r="E10423" t="inlineStr">
        <is>
          <t>COPPER BAR DOWNSTREAM Q4S-BF 2</t>
        </is>
      </c>
      <c r="F10423" t="inlineStr">
        <is>
          <t>G7K NS1200kVA - Q4S BACKFEED</t>
        </is>
      </c>
      <c r="J10423" t="inlineStr">
        <is>
          <t>MATRION</t>
        </is>
      </c>
      <c r="K10423" t="inlineStr">
        <is>
          <t>CUIVRE</t>
        </is>
      </c>
      <c r="L10423">
        <f>_xlfn.XLOOKUP(Tableau1[[#This Row],[TYPE DE PIECE]],Tableau4[MATIERE],Tableau4[SHORT TYPE],"",0,1)</f>
        <v/>
      </c>
      <c r="N10423">
        <f>IF(ISERR(FIND("DECOUPE",Tableau1[[#This Row],[DESIGNATION]])),"","NEED REF")</f>
        <v/>
      </c>
    </row>
    <row r="10424">
      <c r="B10424" t="n">
        <v>34403582</v>
      </c>
      <c r="C10424" s="2" t="n">
        <v>41696</v>
      </c>
      <c r="D10424" t="inlineStr">
        <is>
          <t>SPEC</t>
        </is>
      </c>
      <c r="E10424" t="inlineStr">
        <is>
          <t>COPPER BAR DOWNSTREAM Q4S-BF 1</t>
        </is>
      </c>
      <c r="F10424" t="inlineStr">
        <is>
          <t>G7K NS1200kVA - Q4S BACKFEED</t>
        </is>
      </c>
      <c r="J10424" t="inlineStr">
        <is>
          <t>MATRION</t>
        </is>
      </c>
      <c r="K10424" t="inlineStr">
        <is>
          <t>CUIVRE</t>
        </is>
      </c>
      <c r="L10424">
        <f>_xlfn.XLOOKUP(Tableau1[[#This Row],[TYPE DE PIECE]],Tableau4[MATIERE],Tableau4[SHORT TYPE],"",0,1)</f>
        <v/>
      </c>
      <c r="N10424">
        <f>IF(ISERR(FIND("DECOUPE",Tableau1[[#This Row],[DESIGNATION]])),"","NEED REF")</f>
        <v/>
      </c>
    </row>
    <row r="10425">
      <c r="B10425" t="n">
        <v>34403581</v>
      </c>
      <c r="C10425" s="2" t="n">
        <v>41696</v>
      </c>
      <c r="D10425" t="inlineStr">
        <is>
          <t>SPEC</t>
        </is>
      </c>
      <c r="E10425" t="inlineStr">
        <is>
          <t>COPPER BAR UPSTREAM Q4S-BF 2</t>
        </is>
      </c>
      <c r="F10425" t="inlineStr">
        <is>
          <t>G7K NS1200kVA - Q4S BACKFEED</t>
        </is>
      </c>
      <c r="J10425" t="inlineStr">
        <is>
          <t>MATRION</t>
        </is>
      </c>
      <c r="K10425" t="inlineStr">
        <is>
          <t>CUIVRE</t>
        </is>
      </c>
      <c r="L10425">
        <f>_xlfn.XLOOKUP(Tableau1[[#This Row],[TYPE DE PIECE]],Tableau4[MATIERE],Tableau4[SHORT TYPE],"",0,1)</f>
        <v/>
      </c>
      <c r="N10425">
        <f>IF(ISERR(FIND("DECOUPE",Tableau1[[#This Row],[DESIGNATION]])),"","NEED REF")</f>
        <v/>
      </c>
    </row>
    <row r="10426">
      <c r="B10426" t="n">
        <v>34403580</v>
      </c>
      <c r="C10426" s="2" t="n">
        <v>41696</v>
      </c>
      <c r="D10426" t="inlineStr">
        <is>
          <t>SPEC</t>
        </is>
      </c>
      <c r="E10426" t="inlineStr">
        <is>
          <t>COPPER BAR UPSTREAM Q4S-BF 1</t>
        </is>
      </c>
      <c r="F10426" t="inlineStr">
        <is>
          <t>G7K NS1200kVA - Q4S BACKFEED</t>
        </is>
      </c>
      <c r="J10426" t="inlineStr">
        <is>
          <t>MATRION</t>
        </is>
      </c>
      <c r="K10426" t="inlineStr">
        <is>
          <t>CUIVRE</t>
        </is>
      </c>
      <c r="L10426">
        <f>_xlfn.XLOOKUP(Tableau1[[#This Row],[TYPE DE PIECE]],Tableau4[MATIERE],Tableau4[SHORT TYPE],"",0,1)</f>
        <v/>
      </c>
      <c r="N10426">
        <f>IF(ISERR(FIND("DECOUPE",Tableau1[[#This Row],[DESIGNATION]])),"","NEED REF")</f>
        <v/>
      </c>
    </row>
    <row r="10427">
      <c r="B10427" t="n">
        <v>34403579</v>
      </c>
      <c r="C10427" s="2" t="n">
        <v>41695</v>
      </c>
      <c r="D10427" t="inlineStr">
        <is>
          <t>SPEC</t>
        </is>
      </c>
      <c r="E10427" t="inlineStr">
        <is>
          <t>Schema client G300AES</t>
        </is>
      </c>
      <c r="F10427" t="inlineStr">
        <is>
          <t>G300</t>
        </is>
      </c>
      <c r="J10427" t="inlineStr">
        <is>
          <t>REVEL</t>
        </is>
      </c>
      <c r="L10427">
        <f>_xlfn.XLOOKUP(Tableau1[[#This Row],[TYPE DE PIECE]],Tableau4[MATIERE],Tableau4[SHORT TYPE],"",0,1)</f>
        <v/>
      </c>
      <c r="N10427">
        <f>IF(ISERR(FIND("DECOUPE",Tableau1[[#This Row],[DESIGNATION]])),"","NEED REF")</f>
        <v/>
      </c>
    </row>
    <row r="10428">
      <c r="B10428" t="n">
        <v>34403578</v>
      </c>
      <c r="C10428" s="2" t="n">
        <v>41691</v>
      </c>
      <c r="D10428" t="inlineStr">
        <is>
          <t>NOM</t>
        </is>
      </c>
      <c r="E10428" t="inlineStr">
        <is>
          <t>LG Kit DJ Batt G300 NS160</t>
        </is>
      </c>
      <c r="F10428" t="inlineStr">
        <is>
          <t>G300</t>
        </is>
      </c>
      <c r="J10428" t="inlineStr">
        <is>
          <t>MONGELLI</t>
        </is>
      </c>
      <c r="L10428">
        <f>_xlfn.XLOOKUP(Tableau1[[#This Row],[TYPE DE PIECE]],Tableau4[MATIERE],Tableau4[SHORT TYPE],"",0,1)</f>
        <v/>
      </c>
      <c r="N10428">
        <f>IF(ISERR(FIND("DECOUPE",Tableau1[[#This Row],[DESIGNATION]])),"","NEED REF")</f>
        <v/>
      </c>
    </row>
    <row r="10429">
      <c r="B10429" t="n">
        <v>34403577</v>
      </c>
      <c r="C10429" s="2" t="n">
        <v>41690</v>
      </c>
      <c r="D10429" t="inlineStr">
        <is>
          <t>SPEC</t>
        </is>
      </c>
      <c r="E10429" t="inlineStr">
        <is>
          <t>INTERPHASE EQUERRE AVAL Q1</t>
        </is>
      </c>
      <c r="F10429" t="inlineStr">
        <is>
          <t>G7K 500kVA QST</t>
        </is>
      </c>
      <c r="J10429" t="inlineStr">
        <is>
          <t>MATRION</t>
        </is>
      </c>
      <c r="K10429" t="inlineStr">
        <is>
          <t>METAL</t>
        </is>
      </c>
      <c r="L10429">
        <f>_xlfn.XLOOKUP(Tableau1[[#This Row],[TYPE DE PIECE]],Tableau4[MATIERE],Tableau4[SHORT TYPE],"",0,1)</f>
        <v/>
      </c>
      <c r="N10429">
        <f>IF(ISERR(FIND("DECOUPE",Tableau1[[#This Row],[DESIGNATION]])),"","NEED REF")</f>
        <v/>
      </c>
    </row>
    <row r="10430">
      <c r="B10430" t="n">
        <v>34403576</v>
      </c>
      <c r="C10430" s="2" t="n">
        <v>41690</v>
      </c>
      <c r="D10430" t="inlineStr">
        <is>
          <t>SPEC</t>
        </is>
      </c>
      <c r="E10430" t="inlineStr">
        <is>
          <t>LIAISON AVAL L3 Q1 QST</t>
        </is>
      </c>
      <c r="F10430" t="inlineStr">
        <is>
          <t>G7K 500kVA QST</t>
        </is>
      </c>
      <c r="J10430" t="inlineStr">
        <is>
          <t>MATRION</t>
        </is>
      </c>
      <c r="K10430" t="inlineStr">
        <is>
          <t>CUIVRE</t>
        </is>
      </c>
      <c r="L10430">
        <f>_xlfn.XLOOKUP(Tableau1[[#This Row],[TYPE DE PIECE]],Tableau4[MATIERE],Tableau4[SHORT TYPE],"",0,1)</f>
        <v/>
      </c>
      <c r="N10430">
        <f>IF(ISERR(FIND("DECOUPE",Tableau1[[#This Row],[DESIGNATION]])),"","NEED REF")</f>
        <v/>
      </c>
    </row>
    <row r="10431">
      <c r="B10431" t="n">
        <v>34403575</v>
      </c>
      <c r="C10431" s="2" t="n">
        <v>41690</v>
      </c>
      <c r="D10431" t="inlineStr">
        <is>
          <t>SPEC</t>
        </is>
      </c>
      <c r="E10431" t="inlineStr">
        <is>
          <t>LIAISON AVAL L2 Q1 QST</t>
        </is>
      </c>
      <c r="F10431" t="inlineStr">
        <is>
          <t>G7K 500kVA QST</t>
        </is>
      </c>
      <c r="J10431" t="inlineStr">
        <is>
          <t>MATRION</t>
        </is>
      </c>
      <c r="K10431" t="inlineStr">
        <is>
          <t>CUIVRE</t>
        </is>
      </c>
      <c r="L10431">
        <f>_xlfn.XLOOKUP(Tableau1[[#This Row],[TYPE DE PIECE]],Tableau4[MATIERE],Tableau4[SHORT TYPE],"",0,1)</f>
        <v/>
      </c>
      <c r="N10431">
        <f>IF(ISERR(FIND("DECOUPE",Tableau1[[#This Row],[DESIGNATION]])),"","NEED REF")</f>
        <v/>
      </c>
    </row>
    <row r="10432">
      <c r="B10432" t="n">
        <v>34403574</v>
      </c>
      <c r="C10432" s="2" t="n">
        <v>41690</v>
      </c>
      <c r="D10432" t="inlineStr">
        <is>
          <t>SPEC</t>
        </is>
      </c>
      <c r="E10432" t="inlineStr">
        <is>
          <t>LIAISON AVAL L1 Q1 QST</t>
        </is>
      </c>
      <c r="F10432" t="inlineStr">
        <is>
          <t>G7K 500kVA QST</t>
        </is>
      </c>
      <c r="J10432" t="inlineStr">
        <is>
          <t>MATRION</t>
        </is>
      </c>
      <c r="K10432" t="inlineStr">
        <is>
          <t>CUIVRE</t>
        </is>
      </c>
      <c r="L10432">
        <f>_xlfn.XLOOKUP(Tableau1[[#This Row],[TYPE DE PIECE]],Tableau4[MATIERE],Tableau4[SHORT TYPE],"",0,1)</f>
        <v/>
      </c>
      <c r="N10432">
        <f>IF(ISERR(FIND("DECOUPE",Tableau1[[#This Row],[DESIGNATION]])),"","NEED REF")</f>
        <v/>
      </c>
    </row>
    <row r="10433">
      <c r="B10433" t="n">
        <v>34403573</v>
      </c>
      <c r="C10433" s="2" t="n">
        <v>41690</v>
      </c>
      <c r="D10433" t="inlineStr">
        <is>
          <t>SPEC</t>
        </is>
      </c>
      <c r="E10433" t="inlineStr">
        <is>
          <t>EQUERRE L3 AVAL Q1</t>
        </is>
      </c>
      <c r="F10433" t="inlineStr">
        <is>
          <t>G7K 500kVA QST</t>
        </is>
      </c>
      <c r="J10433" t="inlineStr">
        <is>
          <t>MATRION</t>
        </is>
      </c>
      <c r="K10433" t="inlineStr">
        <is>
          <t>CUIVRE</t>
        </is>
      </c>
      <c r="L10433">
        <f>_xlfn.XLOOKUP(Tableau1[[#This Row],[TYPE DE PIECE]],Tableau4[MATIERE],Tableau4[SHORT TYPE],"",0,1)</f>
        <v/>
      </c>
      <c r="N10433">
        <f>IF(ISERR(FIND("DECOUPE",Tableau1[[#This Row],[DESIGNATION]])),"","NEED REF")</f>
        <v/>
      </c>
    </row>
    <row r="10434">
      <c r="B10434" t="n">
        <v>34403572</v>
      </c>
      <c r="C10434" s="2" t="n">
        <v>41690</v>
      </c>
      <c r="D10434" t="inlineStr">
        <is>
          <t>SPEC</t>
        </is>
      </c>
      <c r="E10434" t="inlineStr">
        <is>
          <t>EQUERRE L2 AVAL Q1</t>
        </is>
      </c>
      <c r="F10434" t="inlineStr">
        <is>
          <t>G7K 500kVA QST</t>
        </is>
      </c>
      <c r="J10434" t="inlineStr">
        <is>
          <t>MATRION</t>
        </is>
      </c>
      <c r="K10434" t="inlineStr">
        <is>
          <t>CUIVRE</t>
        </is>
      </c>
      <c r="L10434">
        <f>_xlfn.XLOOKUP(Tableau1[[#This Row],[TYPE DE PIECE]],Tableau4[MATIERE],Tableau4[SHORT TYPE],"",0,1)</f>
        <v/>
      </c>
      <c r="N10434">
        <f>IF(ISERR(FIND("DECOUPE",Tableau1[[#This Row],[DESIGNATION]])),"","NEED REF")</f>
        <v/>
      </c>
    </row>
    <row r="10435">
      <c r="B10435" t="n">
        <v>34403571</v>
      </c>
      <c r="C10435" s="2" t="n">
        <v>41690</v>
      </c>
      <c r="D10435" t="inlineStr">
        <is>
          <t>SPEC</t>
        </is>
      </c>
      <c r="E10435" t="inlineStr">
        <is>
          <t>EQUERRE L1 AVAL Q1</t>
        </is>
      </c>
      <c r="F10435" t="inlineStr">
        <is>
          <t>G7K 500kVA QST</t>
        </is>
      </c>
      <c r="J10435" t="inlineStr">
        <is>
          <t>MATRION</t>
        </is>
      </c>
      <c r="K10435" t="inlineStr">
        <is>
          <t>CUIVRE</t>
        </is>
      </c>
      <c r="L10435">
        <f>_xlfn.XLOOKUP(Tableau1[[#This Row],[TYPE DE PIECE]],Tableau4[MATIERE],Tableau4[SHORT TYPE],"",0,1)</f>
        <v/>
      </c>
      <c r="N10435">
        <f>IF(ISERR(FIND("DECOUPE",Tableau1[[#This Row],[DESIGNATION]])),"","NEED REF")</f>
        <v/>
      </c>
    </row>
    <row r="10436">
      <c r="B10436" t="n">
        <v>34403570</v>
      </c>
      <c r="C10436" s="2" t="n">
        <v>41690</v>
      </c>
      <c r="D10436" t="inlineStr">
        <is>
          <t>SPEC</t>
        </is>
      </c>
      <c r="E10436" t="inlineStr">
        <is>
          <t>LIAISON AMONT Q5N QST</t>
        </is>
      </c>
      <c r="F10436" t="inlineStr">
        <is>
          <t>G7K 500kVA QST</t>
        </is>
      </c>
      <c r="J10436" t="inlineStr">
        <is>
          <t>MATRION</t>
        </is>
      </c>
      <c r="K10436" t="inlineStr">
        <is>
          <t>CUIVRE</t>
        </is>
      </c>
      <c r="L10436">
        <f>_xlfn.XLOOKUP(Tableau1[[#This Row],[TYPE DE PIECE]],Tableau4[MATIERE],Tableau4[SHORT TYPE],"",0,1)</f>
        <v/>
      </c>
      <c r="N10436">
        <f>IF(ISERR(FIND("DECOUPE",Tableau1[[#This Row],[DESIGNATION]])),"","NEED REF")</f>
        <v/>
      </c>
    </row>
    <row r="10437">
      <c r="B10437" t="n">
        <v>34403569</v>
      </c>
      <c r="C10437" s="2" t="n">
        <v>41690</v>
      </c>
      <c r="D10437" t="inlineStr">
        <is>
          <t>SPEC</t>
        </is>
      </c>
      <c r="E10437" t="inlineStr">
        <is>
          <t>EQUERRE L3 AMONT Q5N</t>
        </is>
      </c>
      <c r="F10437" t="inlineStr">
        <is>
          <t>G7K 500kVA QST</t>
        </is>
      </c>
      <c r="J10437" t="inlineStr">
        <is>
          <t>MATRION</t>
        </is>
      </c>
      <c r="K10437" t="inlineStr">
        <is>
          <t>CUIVRE</t>
        </is>
      </c>
      <c r="L10437">
        <f>_xlfn.XLOOKUP(Tableau1[[#This Row],[TYPE DE PIECE]],Tableau4[MATIERE],Tableau4[SHORT TYPE],"",0,1)</f>
        <v/>
      </c>
      <c r="N10437">
        <f>IF(ISERR(FIND("DECOUPE",Tableau1[[#This Row],[DESIGNATION]])),"","NEED REF")</f>
        <v/>
      </c>
    </row>
    <row r="10438">
      <c r="B10438" t="n">
        <v>34403568</v>
      </c>
      <c r="C10438" s="2" t="n">
        <v>41690</v>
      </c>
      <c r="D10438" t="inlineStr">
        <is>
          <t>SPEC</t>
        </is>
      </c>
      <c r="E10438" t="inlineStr">
        <is>
          <t>EQUERRE L2 AMONT Q5N</t>
        </is>
      </c>
      <c r="F10438" t="inlineStr">
        <is>
          <t>G7K 500kVA QST</t>
        </is>
      </c>
      <c r="J10438" t="inlineStr">
        <is>
          <t>MATRION</t>
        </is>
      </c>
      <c r="K10438" t="inlineStr">
        <is>
          <t>CUIVRE</t>
        </is>
      </c>
      <c r="L10438">
        <f>_xlfn.XLOOKUP(Tableau1[[#This Row],[TYPE DE PIECE]],Tableau4[MATIERE],Tableau4[SHORT TYPE],"",0,1)</f>
        <v/>
      </c>
      <c r="N10438">
        <f>IF(ISERR(FIND("DECOUPE",Tableau1[[#This Row],[DESIGNATION]])),"","NEED REF")</f>
        <v/>
      </c>
    </row>
    <row r="10439">
      <c r="B10439" t="n">
        <v>34403567</v>
      </c>
      <c r="C10439" s="2" t="n">
        <v>41690</v>
      </c>
      <c r="D10439" t="inlineStr">
        <is>
          <t>SPEC</t>
        </is>
      </c>
      <c r="E10439" t="inlineStr">
        <is>
          <t>EQUERRE L1 AMONT Q5N</t>
        </is>
      </c>
      <c r="F10439" t="inlineStr">
        <is>
          <t>G7K 500kVA QST</t>
        </is>
      </c>
      <c r="J10439" t="inlineStr">
        <is>
          <t>MATRION</t>
        </is>
      </c>
      <c r="K10439" t="inlineStr">
        <is>
          <t>CUIVRE</t>
        </is>
      </c>
      <c r="L10439">
        <f>_xlfn.XLOOKUP(Tableau1[[#This Row],[TYPE DE PIECE]],Tableau4[MATIERE],Tableau4[SHORT TYPE],"",0,1)</f>
        <v/>
      </c>
      <c r="N10439">
        <f>IF(ISERR(FIND("DECOUPE",Tableau1[[#This Row],[DESIGNATION]])),"","NEED REF")</f>
        <v/>
      </c>
    </row>
    <row r="10440">
      <c r="B10440" t="n">
        <v>34403566</v>
      </c>
      <c r="C10440" s="2" t="n">
        <v>41689</v>
      </c>
      <c r="D10440" t="inlineStr">
        <is>
          <t>SPEC</t>
        </is>
      </c>
      <c r="E10440" t="inlineStr">
        <is>
          <t>PLAQUE ISOLANTE POUR STS 400A SLIM</t>
        </is>
      </c>
      <c r="F10440" t="inlineStr">
        <is>
          <t>STS 400A PLAT</t>
        </is>
      </c>
      <c r="J10440" t="inlineStr">
        <is>
          <t>REVEL</t>
        </is>
      </c>
      <c r="L10440">
        <f>_xlfn.XLOOKUP(Tableau1[[#This Row],[TYPE DE PIECE]],Tableau4[MATIERE],Tableau4[SHORT TYPE],"",0,1)</f>
        <v/>
      </c>
      <c r="N10440">
        <f>IF(ISERR(FIND("DECOUPE",Tableau1[[#This Row],[DESIGNATION]])),"","NEED REF")</f>
        <v/>
      </c>
    </row>
    <row r="10441">
      <c r="B10441" t="n">
        <v>34403565</v>
      </c>
      <c r="C10441" s="2" t="n">
        <v>41690</v>
      </c>
      <c r="D10441" t="inlineStr">
        <is>
          <t>SPEC</t>
        </is>
      </c>
      <c r="E10441" t="inlineStr">
        <is>
          <t>PANNEAU LAT PASSE CABLE</t>
        </is>
      </c>
      <c r="F10441" t="inlineStr">
        <is>
          <t>AMAZON</t>
        </is>
      </c>
      <c r="J10441" t="inlineStr">
        <is>
          <t>MATRION</t>
        </is>
      </c>
      <c r="L10441">
        <f>_xlfn.XLOOKUP(Tableau1[[#This Row],[TYPE DE PIECE]],Tableau4[MATIERE],Tableau4[SHORT TYPE],"",0,1)</f>
        <v/>
      </c>
      <c r="N10441">
        <f>IF(ISERR(FIND("DECOUPE",Tableau1[[#This Row],[DESIGNATION]])),"","NEED REF")</f>
        <v/>
      </c>
    </row>
    <row r="10442">
      <c r="B10442" t="n">
        <v>34403564</v>
      </c>
      <c r="C10442" s="2" t="n">
        <v>41690</v>
      </c>
      <c r="D10442" t="inlineStr">
        <is>
          <t>SPEC</t>
        </is>
      </c>
      <c r="E10442" t="inlineStr">
        <is>
          <t>GLAND PLATE MIDDLE SUPPORT</t>
        </is>
      </c>
      <c r="F10442" t="inlineStr">
        <is>
          <t>AMAZON</t>
        </is>
      </c>
      <c r="J10442" t="inlineStr">
        <is>
          <t>MATRION</t>
        </is>
      </c>
      <c r="L10442">
        <f>_xlfn.XLOOKUP(Tableau1[[#This Row],[TYPE DE PIECE]],Tableau4[MATIERE],Tableau4[SHORT TYPE],"",0,1)</f>
        <v/>
      </c>
      <c r="N10442">
        <f>IF(ISERR(FIND("DECOUPE",Tableau1[[#This Row],[DESIGNATION]])),"","NEED REF")</f>
        <v/>
      </c>
    </row>
    <row r="10443">
      <c r="B10443" t="n">
        <v>34403563</v>
      </c>
      <c r="C10443" s="2" t="n">
        <v>41690</v>
      </c>
      <c r="D10443" t="inlineStr">
        <is>
          <t>SPEC</t>
        </is>
      </c>
      <c r="E10443" t="inlineStr">
        <is>
          <t>DOUBLE GLAND PLATE 6MM FOR 400 CUBICLE</t>
        </is>
      </c>
      <c r="F10443" t="inlineStr">
        <is>
          <t>AMAZON</t>
        </is>
      </c>
      <c r="J10443" t="inlineStr">
        <is>
          <t>MATRION</t>
        </is>
      </c>
      <c r="L10443">
        <f>_xlfn.XLOOKUP(Tableau1[[#This Row],[TYPE DE PIECE]],Tableau4[MATIERE],Tableau4[SHORT TYPE],"",0,1)</f>
        <v/>
      </c>
      <c r="N10443">
        <f>IF(ISERR(FIND("DECOUPE",Tableau1[[#This Row],[DESIGNATION]])),"","NEED REF")</f>
        <v/>
      </c>
    </row>
    <row r="10444">
      <c r="B10444" t="n">
        <v>34403562</v>
      </c>
      <c r="C10444" s="2" t="n">
        <v>41690</v>
      </c>
      <c r="D10444" t="inlineStr">
        <is>
          <t>SPEC</t>
        </is>
      </c>
      <c r="E10444" t="inlineStr">
        <is>
          <t>SEGREGATION 3</t>
        </is>
      </c>
      <c r="F10444" t="inlineStr">
        <is>
          <t>AMAZON</t>
        </is>
      </c>
      <c r="J10444" t="inlineStr">
        <is>
          <t>MATRION</t>
        </is>
      </c>
      <c r="L10444">
        <f>_xlfn.XLOOKUP(Tableau1[[#This Row],[TYPE DE PIECE]],Tableau4[MATIERE],Tableau4[SHORT TYPE],"",0,1)</f>
        <v/>
      </c>
      <c r="N10444">
        <f>IF(ISERR(FIND("DECOUPE",Tableau1[[#This Row],[DESIGNATION]])),"","NEED REF")</f>
        <v/>
      </c>
    </row>
    <row r="10445">
      <c r="B10445" t="n">
        <v>34403561</v>
      </c>
      <c r="C10445" s="2" t="n">
        <v>41689</v>
      </c>
      <c r="D10445" t="inlineStr">
        <is>
          <t>SPEC</t>
        </is>
      </c>
      <c r="E10445" t="inlineStr">
        <is>
          <t>SEGREGATION 2</t>
        </is>
      </c>
      <c r="F10445" t="inlineStr">
        <is>
          <t>AMAZON</t>
        </is>
      </c>
      <c r="J10445" t="inlineStr">
        <is>
          <t>MATRION</t>
        </is>
      </c>
      <c r="L10445">
        <f>_xlfn.XLOOKUP(Tableau1[[#This Row],[TYPE DE PIECE]],Tableau4[MATIERE],Tableau4[SHORT TYPE],"",0,1)</f>
        <v/>
      </c>
      <c r="N10445">
        <f>IF(ISERR(FIND("DECOUPE",Tableau1[[#This Row],[DESIGNATION]])),"","NEED REF")</f>
        <v/>
      </c>
    </row>
    <row r="10446">
      <c r="B10446" t="n">
        <v>34403560</v>
      </c>
      <c r="C10446" s="2" t="n">
        <v>41688</v>
      </c>
      <c r="D10446" t="inlineStr">
        <is>
          <t>SPEC</t>
        </is>
      </c>
      <c r="E10446" t="inlineStr">
        <is>
          <t>SEGREGATION 1</t>
        </is>
      </c>
      <c r="F10446" t="inlineStr">
        <is>
          <t>AMAZON</t>
        </is>
      </c>
      <c r="J10446" t="inlineStr">
        <is>
          <t>MATRION</t>
        </is>
      </c>
      <c r="L10446">
        <f>_xlfn.XLOOKUP(Tableau1[[#This Row],[TYPE DE PIECE]],Tableau4[MATIERE],Tableau4[SHORT TYPE],"",0,1)</f>
        <v/>
      </c>
      <c r="N10446">
        <f>IF(ISERR(FIND("DECOUPE",Tableau1[[#This Row],[DESIGNATION]])),"","NEED REF")</f>
        <v/>
      </c>
    </row>
    <row r="10447">
      <c r="B10447" t="n">
        <v>34403559</v>
      </c>
      <c r="C10447" s="2" t="n">
        <v>41687</v>
      </c>
      <c r="D10447" t="inlineStr">
        <is>
          <t>SPEC</t>
        </is>
      </c>
      <c r="E10447" t="inlineStr">
        <is>
          <t>JDB BAT</t>
        </is>
      </c>
      <c r="F10447" t="inlineStr">
        <is>
          <t>AMAZON</t>
        </is>
      </c>
      <c r="J10447" t="inlineStr">
        <is>
          <t>MATRION</t>
        </is>
      </c>
      <c r="L10447">
        <f>_xlfn.XLOOKUP(Tableau1[[#This Row],[TYPE DE PIECE]],Tableau4[MATIERE],Tableau4[SHORT TYPE],"",0,1)</f>
        <v/>
      </c>
      <c r="N10447">
        <f>IF(ISERR(FIND("DECOUPE",Tableau1[[#This Row],[DESIGNATION]])),"","NEED REF")</f>
        <v/>
      </c>
    </row>
    <row r="10448">
      <c r="B10448" t="n">
        <v>34403558</v>
      </c>
      <c r="C10448" s="2" t="n">
        <v>41687</v>
      </c>
      <c r="D10448" t="inlineStr">
        <is>
          <t>SPEC</t>
        </is>
      </c>
      <c r="E10448" t="inlineStr">
        <is>
          <t>SUPPORT 300 CLAMP JDB</t>
        </is>
      </c>
      <c r="F10448" t="inlineStr">
        <is>
          <t>AMAZON</t>
        </is>
      </c>
      <c r="J10448" t="inlineStr">
        <is>
          <t>MATRION</t>
        </is>
      </c>
      <c r="L10448">
        <f>_xlfn.XLOOKUP(Tableau1[[#This Row],[TYPE DE PIECE]],Tableau4[MATIERE],Tableau4[SHORT TYPE],"",0,1)</f>
        <v/>
      </c>
      <c r="N10448">
        <f>IF(ISERR(FIND("DECOUPE",Tableau1[[#This Row],[DESIGNATION]])),"","NEED REF")</f>
        <v/>
      </c>
    </row>
    <row r="10449">
      <c r="B10449" t="n">
        <v>34403557</v>
      </c>
      <c r="C10449" s="2" t="n">
        <v>41687</v>
      </c>
      <c r="D10449" t="inlineStr">
        <is>
          <t>SPEC</t>
        </is>
      </c>
      <c r="E10449" t="inlineStr">
        <is>
          <t>JDB R1 R2</t>
        </is>
      </c>
      <c r="F10449" t="inlineStr">
        <is>
          <t>AMAZON</t>
        </is>
      </c>
      <c r="J10449" t="inlineStr">
        <is>
          <t>MATRION</t>
        </is>
      </c>
      <c r="L10449">
        <f>_xlfn.XLOOKUP(Tableau1[[#This Row],[TYPE DE PIECE]],Tableau4[MATIERE],Tableau4[SHORT TYPE],"",0,1)</f>
        <v/>
      </c>
      <c r="N10449">
        <f>IF(ISERR(FIND("DECOUPE",Tableau1[[#This Row],[DESIGNATION]])),"","NEED REF")</f>
        <v/>
      </c>
    </row>
    <row r="10450">
      <c r="B10450" t="n">
        <v>34403556</v>
      </c>
      <c r="C10450" s="2" t="n">
        <v>41687</v>
      </c>
      <c r="D10450" t="inlineStr">
        <is>
          <t>SPEC</t>
        </is>
      </c>
      <c r="E10450" t="inlineStr">
        <is>
          <t>SUPPORT 350 CLAMP JDB</t>
        </is>
      </c>
      <c r="F10450" t="inlineStr">
        <is>
          <t>AMAZON</t>
        </is>
      </c>
      <c r="J10450" t="inlineStr">
        <is>
          <t>MATRION</t>
        </is>
      </c>
      <c r="L10450">
        <f>_xlfn.XLOOKUP(Tableau1[[#This Row],[TYPE DE PIECE]],Tableau4[MATIERE],Tableau4[SHORT TYPE],"",0,1)</f>
        <v/>
      </c>
      <c r="N10450">
        <f>IF(ISERR(FIND("DECOUPE",Tableau1[[#This Row],[DESIGNATION]])),"","NEED REF")</f>
        <v/>
      </c>
    </row>
    <row r="10451">
      <c r="B10451" t="n">
        <v>34403555</v>
      </c>
      <c r="C10451" s="2" t="n">
        <v>41687</v>
      </c>
      <c r="D10451" t="inlineStr">
        <is>
          <t>SPEC</t>
        </is>
      </c>
      <c r="E10451" t="inlineStr">
        <is>
          <t>Panneau Lat Passage de cable</t>
        </is>
      </c>
      <c r="F10451" t="inlineStr">
        <is>
          <t>AMAZON</t>
        </is>
      </c>
      <c r="J10451" t="inlineStr">
        <is>
          <t>MATRION</t>
        </is>
      </c>
      <c r="L10451">
        <f>_xlfn.XLOOKUP(Tableau1[[#This Row],[TYPE DE PIECE]],Tableau4[MATIERE],Tableau4[SHORT TYPE],"",0,1)</f>
        <v/>
      </c>
      <c r="N10451">
        <f>IF(ISERR(FIND("DECOUPE",Tableau1[[#This Row],[DESIGNATION]])),"","NEED REF")</f>
        <v/>
      </c>
    </row>
    <row r="10452">
      <c r="B10452" t="n">
        <v>34403554</v>
      </c>
      <c r="C10452" s="2" t="n">
        <v>41687</v>
      </c>
      <c r="D10452" t="inlineStr">
        <is>
          <t>NOM</t>
        </is>
      </c>
      <c r="E10452" t="inlineStr">
        <is>
          <t>GAINE RACC. UPS 500kVA</t>
        </is>
      </c>
      <c r="F10452" t="inlineStr">
        <is>
          <t>AMAZON</t>
        </is>
      </c>
      <c r="J10452" t="inlineStr">
        <is>
          <t>MATRION</t>
        </is>
      </c>
      <c r="L10452">
        <f>_xlfn.XLOOKUP(Tableau1[[#This Row],[TYPE DE PIECE]],Tableau4[MATIERE],Tableau4[SHORT TYPE],"",0,1)</f>
        <v/>
      </c>
      <c r="N10452">
        <f>IF(ISERR(FIND("DECOUPE",Tableau1[[#This Row],[DESIGNATION]])),"","NEED REF")</f>
        <v/>
      </c>
    </row>
    <row r="10453">
      <c r="B10453" t="n">
        <v>34403553</v>
      </c>
      <c r="C10453" s="2" t="n">
        <v>41683</v>
      </c>
      <c r="D10453" t="inlineStr">
        <is>
          <t>SPEC</t>
        </is>
      </c>
      <c r="E10453" t="inlineStr">
        <is>
          <t>Coffret dj bat G7K 4 plaques PE sans AU sur porte</t>
        </is>
      </c>
      <c r="F10453" t="inlineStr">
        <is>
          <t>BNP</t>
        </is>
      </c>
      <c r="J10453" t="inlineStr">
        <is>
          <t>REVEL</t>
        </is>
      </c>
      <c r="L10453">
        <f>_xlfn.XLOOKUP(Tableau1[[#This Row],[TYPE DE PIECE]],Tableau4[MATIERE],Tableau4[SHORT TYPE],"",0,1)</f>
        <v/>
      </c>
      <c r="N10453">
        <f>IF(ISERR(FIND("DECOUPE",Tableau1[[#This Row],[DESIGNATION]])),"","NEED REF")</f>
        <v/>
      </c>
    </row>
    <row r="10454">
      <c r="B10454" t="n">
        <v>34403552</v>
      </c>
      <c r="C10454" s="2" t="n">
        <v>41683</v>
      </c>
      <c r="D10454" t="inlineStr">
        <is>
          <t>SPEC</t>
        </is>
      </c>
      <c r="E10454" t="inlineStr">
        <is>
          <t>Coffret dj bat G7K 4 plaques PE avec AU sur porte</t>
        </is>
      </c>
      <c r="F10454" t="inlineStr">
        <is>
          <t>BNP</t>
        </is>
      </c>
      <c r="J10454" t="inlineStr">
        <is>
          <t>REVEL</t>
        </is>
      </c>
      <c r="L10454">
        <f>_xlfn.XLOOKUP(Tableau1[[#This Row],[TYPE DE PIECE]],Tableau4[MATIERE],Tableau4[SHORT TYPE],"",0,1)</f>
        <v/>
      </c>
      <c r="N10454">
        <f>IF(ISERR(FIND("DECOUPE",Tableau1[[#This Row],[DESIGNATION]])),"","NEED REF")</f>
        <v/>
      </c>
    </row>
    <row r="10455">
      <c r="B10455" t="n">
        <v>34403551</v>
      </c>
      <c r="C10455" s="2" t="n">
        <v>41683</v>
      </c>
      <c r="D10455" t="inlineStr">
        <is>
          <t>SPEC</t>
        </is>
      </c>
      <c r="E10455" t="inlineStr">
        <is>
          <t>Instruction+fiche de contrôle NS</t>
        </is>
      </c>
      <c r="F10455" t="inlineStr">
        <is>
          <t>AMAZON</t>
        </is>
      </c>
      <c r="J10455" t="inlineStr">
        <is>
          <t>ROBERT</t>
        </is>
      </c>
      <c r="L10455">
        <f>_xlfn.XLOOKUP(Tableau1[[#This Row],[TYPE DE PIECE]],Tableau4[MATIERE],Tableau4[SHORT TYPE],"",0,1)</f>
        <v/>
      </c>
      <c r="N10455">
        <f>IF(ISERR(FIND("DECOUPE",Tableau1[[#This Row],[DESIGNATION]])),"","NEED REF")</f>
        <v/>
      </c>
    </row>
    <row r="10456">
      <c r="B10456" t="n">
        <v>34403550</v>
      </c>
      <c r="C10456" s="2" t="n">
        <v>41681</v>
      </c>
      <c r="D10456" t="inlineStr">
        <is>
          <t>SPEC</t>
        </is>
      </c>
      <c r="E10456" t="inlineStr">
        <is>
          <t>FILERIE COFRET DJ BAT 2NSX630 ARRET URGENCE</t>
        </is>
      </c>
      <c r="F10456" t="inlineStr">
        <is>
          <t>BNP</t>
        </is>
      </c>
      <c r="J10456" t="inlineStr">
        <is>
          <t>REVEL</t>
        </is>
      </c>
      <c r="L10456">
        <f>_xlfn.XLOOKUP(Tableau1[[#This Row],[TYPE DE PIECE]],Tableau4[MATIERE],Tableau4[SHORT TYPE],"",0,1)</f>
        <v/>
      </c>
      <c r="N10456">
        <f>IF(ISERR(FIND("DECOUPE",Tableau1[[#This Row],[DESIGNATION]])),"","NEED REF")</f>
        <v/>
      </c>
    </row>
    <row r="10457">
      <c r="B10457" t="n">
        <v>34403549</v>
      </c>
      <c r="C10457" s="2" t="n">
        <v>41681</v>
      </c>
      <c r="D10457" t="inlineStr">
        <is>
          <t>SPEC</t>
        </is>
      </c>
      <c r="E10457" t="inlineStr">
        <is>
          <t>FILERIE COFRET DJ BAT 2NSX630 SEPARE</t>
        </is>
      </c>
      <c r="F10457" t="inlineStr">
        <is>
          <t>BNP</t>
        </is>
      </c>
      <c r="J10457" t="inlineStr">
        <is>
          <t>REVEL</t>
        </is>
      </c>
      <c r="L10457">
        <f>_xlfn.XLOOKUP(Tableau1[[#This Row],[TYPE DE PIECE]],Tableau4[MATIERE],Tableau4[SHORT TYPE],"",0,1)</f>
        <v/>
      </c>
      <c r="N10457">
        <f>IF(ISERR(FIND("DECOUPE",Tableau1[[#This Row],[DESIGNATION]])),"","NEED REF")</f>
        <v/>
      </c>
    </row>
    <row r="10458">
      <c r="B10458" t="n">
        <v>34403548</v>
      </c>
      <c r="C10458" s="2" t="n">
        <v>41680</v>
      </c>
      <c r="D10458" t="inlineStr">
        <is>
          <t>NOM</t>
        </is>
      </c>
      <c r="E10458" t="inlineStr">
        <is>
          <t xml:space="preserve">NOM DOOR STS 400-630A RIGHT HINGES </t>
        </is>
      </c>
      <c r="F10458" t="inlineStr">
        <is>
          <t>GOTTARD</t>
        </is>
      </c>
      <c r="J10458" t="inlineStr">
        <is>
          <t>MATRION</t>
        </is>
      </c>
      <c r="L10458">
        <f>_xlfn.XLOOKUP(Tableau1[[#This Row],[TYPE DE PIECE]],Tableau4[MATIERE],Tableau4[SHORT TYPE],"",0,1)</f>
        <v/>
      </c>
      <c r="N10458">
        <f>IF(ISERR(FIND("DECOUPE",Tableau1[[#This Row],[DESIGNATION]])),"","NEED REF")</f>
        <v/>
      </c>
    </row>
    <row r="10459">
      <c r="B10459" t="n">
        <v>34403547</v>
      </c>
      <c r="C10459" s="2" t="n">
        <v>41677</v>
      </c>
      <c r="D10459" t="inlineStr">
        <is>
          <t>NOM</t>
        </is>
      </c>
      <c r="E10459" t="inlineStr">
        <is>
          <t>LG COFFRET DJ BAT TYPE BNP SAN AU</t>
        </is>
      </c>
      <c r="F10459" t="inlineStr">
        <is>
          <t>BNP</t>
        </is>
      </c>
      <c r="J10459" t="inlineStr">
        <is>
          <t>REVEL</t>
        </is>
      </c>
      <c r="L10459">
        <f>_xlfn.XLOOKUP(Tableau1[[#This Row],[TYPE DE PIECE]],Tableau4[MATIERE],Tableau4[SHORT TYPE],"",0,1)</f>
        <v/>
      </c>
      <c r="N10459">
        <f>IF(ISERR(FIND("DECOUPE",Tableau1[[#This Row],[DESIGNATION]])),"","NEED REF")</f>
        <v/>
      </c>
    </row>
    <row r="10460">
      <c r="B10460" t="n">
        <v>34403546</v>
      </c>
      <c r="C10460" s="2" t="n">
        <v>41677</v>
      </c>
      <c r="D10460" t="inlineStr">
        <is>
          <t>NOM</t>
        </is>
      </c>
      <c r="E10460" t="inlineStr">
        <is>
          <t>LG COFFRET DJ BAT TYPE BNP AVEC AU</t>
        </is>
      </c>
      <c r="F10460" t="inlineStr">
        <is>
          <t>BNP</t>
        </is>
      </c>
      <c r="J10460" t="inlineStr">
        <is>
          <t>REVEL</t>
        </is>
      </c>
      <c r="L10460">
        <f>_xlfn.XLOOKUP(Tableau1[[#This Row],[TYPE DE PIECE]],Tableau4[MATIERE],Tableau4[SHORT TYPE],"",0,1)</f>
        <v/>
      </c>
      <c r="N10460">
        <f>IF(ISERR(FIND("DECOUPE",Tableau1[[#This Row],[DESIGNATION]])),"","NEED REF")</f>
        <v/>
      </c>
    </row>
    <row r="10461">
      <c r="B10461" t="n">
        <v>34403545</v>
      </c>
      <c r="C10461" s="2" t="n">
        <v>41677</v>
      </c>
      <c r="D10461" t="inlineStr">
        <is>
          <t>SPEC</t>
        </is>
      </c>
      <c r="E10461" t="inlineStr">
        <is>
          <t>PATIN SINEWAVE DP modifié</t>
        </is>
      </c>
      <c r="F10461" t="inlineStr">
        <is>
          <t>Double pont</t>
        </is>
      </c>
      <c r="J10461" t="inlineStr">
        <is>
          <t>ROBERT</t>
        </is>
      </c>
      <c r="L10461">
        <f>_xlfn.XLOOKUP(Tableau1[[#This Row],[TYPE DE PIECE]],Tableau4[MATIERE],Tableau4[SHORT TYPE],"",0,1)</f>
        <v/>
      </c>
      <c r="N10461">
        <f>IF(ISERR(FIND("DECOUPE",Tableau1[[#This Row],[DESIGNATION]])),"","NEED REF")</f>
        <v/>
      </c>
    </row>
    <row r="10462">
      <c r="B10462" t="n">
        <v>34403544</v>
      </c>
      <c r="C10462" s="2" t="inlineStr">
        <is>
          <t>02/02//14</t>
        </is>
      </c>
      <c r="D10462" t="inlineStr">
        <is>
          <t>SPEC</t>
        </is>
      </c>
      <c r="E10462" t="inlineStr">
        <is>
          <t>CX INPUT Q3BP L3</t>
        </is>
      </c>
      <c r="F10462" t="inlineStr">
        <is>
          <t>RTE</t>
        </is>
      </c>
      <c r="J10462" t="inlineStr">
        <is>
          <t>ROBERT</t>
        </is>
      </c>
      <c r="L10462">
        <f>_xlfn.XLOOKUP(Tableau1[[#This Row],[TYPE DE PIECE]],Tableau4[MATIERE],Tableau4[SHORT TYPE],"",0,1)</f>
        <v/>
      </c>
      <c r="N10462">
        <f>IF(ISERR(FIND("DECOUPE",Tableau1[[#This Row],[DESIGNATION]])),"","NEED REF")</f>
        <v/>
      </c>
    </row>
    <row r="10463">
      <c r="B10463" t="n">
        <v>34403543</v>
      </c>
      <c r="C10463" s="2" t="n">
        <v>41672</v>
      </c>
      <c r="D10463" t="inlineStr">
        <is>
          <t>SPEC</t>
        </is>
      </c>
      <c r="E10463" t="inlineStr">
        <is>
          <t>BARRE DE LIAISON L1/L2/L3</t>
        </is>
      </c>
      <c r="F10463" t="inlineStr">
        <is>
          <t>RTE</t>
        </is>
      </c>
      <c r="J10463" t="inlineStr">
        <is>
          <t>ROBERT</t>
        </is>
      </c>
      <c r="L10463">
        <f>_xlfn.XLOOKUP(Tableau1[[#This Row],[TYPE DE PIECE]],Tableau4[MATIERE],Tableau4[SHORT TYPE],"",0,1)</f>
        <v/>
      </c>
      <c r="N10463">
        <f>IF(ISERR(FIND("DECOUPE",Tableau1[[#This Row],[DESIGNATION]])),"","NEED REF")</f>
        <v/>
      </c>
    </row>
    <row r="10464">
      <c r="B10464" t="n">
        <v>34403542</v>
      </c>
      <c r="C10464" s="2" t="n">
        <v>41672</v>
      </c>
      <c r="D10464" t="inlineStr">
        <is>
          <t>SPEC</t>
        </is>
      </c>
      <c r="E10464" t="inlineStr">
        <is>
          <t>BARRE L1/L2/L3 VERTICALE</t>
        </is>
      </c>
      <c r="F10464" t="inlineStr">
        <is>
          <t>RTE</t>
        </is>
      </c>
      <c r="J10464" t="inlineStr">
        <is>
          <t>ROBERT</t>
        </is>
      </c>
      <c r="L10464">
        <f>_xlfn.XLOOKUP(Tableau1[[#This Row],[TYPE DE PIECE]],Tableau4[MATIERE],Tableau4[SHORT TYPE],"",0,1)</f>
        <v/>
      </c>
      <c r="N10464">
        <f>IF(ISERR(FIND("DECOUPE",Tableau1[[#This Row],[DESIGNATION]])),"","NEED REF")</f>
        <v/>
      </c>
    </row>
    <row r="10465">
      <c r="B10465" t="n">
        <v>34403541</v>
      </c>
      <c r="C10465" s="2" t="n">
        <v>41672</v>
      </c>
      <c r="D10465" t="inlineStr">
        <is>
          <t>SPEC</t>
        </is>
      </c>
      <c r="E10465" t="inlineStr">
        <is>
          <t>BARRE DE NEUTRE VERTICALE</t>
        </is>
      </c>
      <c r="F10465" t="inlineStr">
        <is>
          <t>RTE</t>
        </is>
      </c>
      <c r="J10465" t="inlineStr">
        <is>
          <t>ROBERT</t>
        </is>
      </c>
      <c r="L10465">
        <f>_xlfn.XLOOKUP(Tableau1[[#This Row],[TYPE DE PIECE]],Tableau4[MATIERE],Tableau4[SHORT TYPE],"",0,1)</f>
        <v/>
      </c>
      <c r="N10465">
        <f>IF(ISERR(FIND("DECOUPE",Tableau1[[#This Row],[DESIGNATION]])),"","NEED REF")</f>
        <v/>
      </c>
    </row>
    <row r="10466">
      <c r="B10466" t="n">
        <v>34403540</v>
      </c>
      <c r="C10466" s="2" t="n">
        <v>41672</v>
      </c>
      <c r="D10466" t="inlineStr">
        <is>
          <t>SPEC</t>
        </is>
      </c>
      <c r="E10466" t="inlineStr">
        <is>
          <t>CX NEUTRE</t>
        </is>
      </c>
      <c r="F10466" t="inlineStr">
        <is>
          <t>RTE</t>
        </is>
      </c>
      <c r="J10466" t="inlineStr">
        <is>
          <t>ROBERT</t>
        </is>
      </c>
      <c r="L10466">
        <f>_xlfn.XLOOKUP(Tableau1[[#This Row],[TYPE DE PIECE]],Tableau4[MATIERE],Tableau4[SHORT TYPE],"",0,1)</f>
        <v/>
      </c>
      <c r="N10466">
        <f>IF(ISERR(FIND("DECOUPE",Tableau1[[#This Row],[DESIGNATION]])),"","NEED REF")</f>
        <v/>
      </c>
    </row>
    <row r="10467">
      <c r="B10467" t="n">
        <v>34403539</v>
      </c>
      <c r="C10467" s="2" t="n">
        <v>41669</v>
      </c>
      <c r="D10467" t="inlineStr">
        <is>
          <t>SPEC</t>
        </is>
      </c>
      <c r="E10467" t="inlineStr">
        <is>
          <t>BOX SPACIAL 3D 1000x800x300 WITH AU</t>
        </is>
      </c>
      <c r="F10467" t="inlineStr">
        <is>
          <t>BNP CIRCUIT BREAKER</t>
        </is>
      </c>
      <c r="J10467" t="inlineStr">
        <is>
          <t>MATRION</t>
        </is>
      </c>
      <c r="L10467">
        <f>_xlfn.XLOOKUP(Tableau1[[#This Row],[TYPE DE PIECE]],Tableau4[MATIERE],Tableau4[SHORT TYPE],"",0,1)</f>
        <v/>
      </c>
      <c r="N10467">
        <f>IF(ISERR(FIND("DECOUPE",Tableau1[[#This Row],[DESIGNATION]])),"","NEED REF")</f>
        <v/>
      </c>
    </row>
    <row r="10468">
      <c r="B10468" t="n">
        <v>34403538</v>
      </c>
      <c r="C10468" s="2" t="n">
        <v>41669</v>
      </c>
      <c r="D10468" t="inlineStr">
        <is>
          <t>SPEC</t>
        </is>
      </c>
      <c r="E10468" t="inlineStr">
        <is>
          <t>S/A CIRCUIT BREAKER SUPPORT PLATE</t>
        </is>
      </c>
      <c r="F10468" t="inlineStr">
        <is>
          <t>BNP CIRCUIT BREAKER</t>
        </is>
      </c>
      <c r="J10468" t="inlineStr">
        <is>
          <t>MATRION</t>
        </is>
      </c>
      <c r="L10468">
        <f>_xlfn.XLOOKUP(Tableau1[[#This Row],[TYPE DE PIECE]],Tableau4[MATIERE],Tableau4[SHORT TYPE],"",0,1)</f>
        <v/>
      </c>
      <c r="N10468">
        <f>IF(ISERR(FIND("DECOUPE",Tableau1[[#This Row],[DESIGNATION]])),"","NEED REF")</f>
        <v/>
      </c>
    </row>
    <row r="10469">
      <c r="B10469" t="n">
        <v>34403537</v>
      </c>
      <c r="C10469" s="2" t="n">
        <v>41669</v>
      </c>
      <c r="D10469" t="inlineStr">
        <is>
          <t>SPEC</t>
        </is>
      </c>
      <c r="E10469" t="inlineStr">
        <is>
          <t>CIRCUIT BREAKER UPS COPPER BAR 2</t>
        </is>
      </c>
      <c r="F10469" t="inlineStr">
        <is>
          <t>BYPASS + BAT CIRCUIT BREAKER</t>
        </is>
      </c>
      <c r="J10469" t="inlineStr">
        <is>
          <t>MATRION</t>
        </is>
      </c>
      <c r="L10469">
        <f>_xlfn.XLOOKUP(Tableau1[[#This Row],[TYPE DE PIECE]],Tableau4[MATIERE],Tableau4[SHORT TYPE],"",0,1)</f>
        <v/>
      </c>
      <c r="N10469">
        <f>IF(ISERR(FIND("DECOUPE",Tableau1[[#This Row],[DESIGNATION]])),"","NEED REF")</f>
        <v/>
      </c>
    </row>
    <row r="10470">
      <c r="B10470" t="n">
        <v>34403536</v>
      </c>
      <c r="C10470" s="2" t="n">
        <v>41669</v>
      </c>
      <c r="D10470" t="inlineStr">
        <is>
          <t>SPEC</t>
        </is>
      </c>
      <c r="E10470" t="inlineStr">
        <is>
          <t>COPPER BAR L+/B+</t>
        </is>
      </c>
      <c r="F10470" t="inlineStr">
        <is>
          <t>BYPASS + BAT CIRCUIT BREAKER</t>
        </is>
      </c>
      <c r="J10470" t="inlineStr">
        <is>
          <t>MATRION</t>
        </is>
      </c>
      <c r="L10470">
        <f>_xlfn.XLOOKUP(Tableau1[[#This Row],[TYPE DE PIECE]],Tableau4[MATIERE],Tableau4[SHORT TYPE],"",0,1)</f>
        <v/>
      </c>
      <c r="N10470">
        <f>IF(ISERR(FIND("DECOUPE",Tableau1[[#This Row],[DESIGNATION]])),"","NEED REF")</f>
        <v/>
      </c>
    </row>
    <row r="10471">
      <c r="B10471" t="n">
        <v>34403535</v>
      </c>
      <c r="C10471" s="2" t="n">
        <v>41669</v>
      </c>
      <c r="D10471" t="inlineStr">
        <is>
          <t>SPEC</t>
        </is>
      </c>
      <c r="E10471" t="inlineStr">
        <is>
          <t>EMBALLAGE STS 400A SLIM</t>
        </is>
      </c>
      <c r="F10471" t="inlineStr">
        <is>
          <t>STS 400A PLAT</t>
        </is>
      </c>
      <c r="J10471" t="inlineStr">
        <is>
          <t>REVEL</t>
        </is>
      </c>
      <c r="L10471">
        <f>_xlfn.XLOOKUP(Tableau1[[#This Row],[TYPE DE PIECE]],Tableau4[MATIERE],Tableau4[SHORT TYPE],"",0,1)</f>
        <v/>
      </c>
      <c r="N10471">
        <f>IF(ISERR(FIND("DECOUPE",Tableau1[[#This Row],[DESIGNATION]])),"","NEED REF")</f>
        <v/>
      </c>
    </row>
    <row r="10472">
      <c r="B10472" t="n">
        <v>34403534</v>
      </c>
      <c r="C10472" s="2" t="n">
        <v>41667</v>
      </c>
      <c r="D10472" t="inlineStr">
        <is>
          <t>NOM</t>
        </is>
      </c>
      <c r="E10472" t="inlineStr">
        <is>
          <t>LG Pieces CEV</t>
        </is>
      </c>
      <c r="F10472" t="inlineStr">
        <is>
          <t>STS 400A PLAT</t>
        </is>
      </c>
      <c r="J10472" t="inlineStr">
        <is>
          <t>REVEL</t>
        </is>
      </c>
      <c r="L10472">
        <f>_xlfn.XLOOKUP(Tableau1[[#This Row],[TYPE DE PIECE]],Tableau4[MATIERE],Tableau4[SHORT TYPE],"",0,1)</f>
        <v/>
      </c>
      <c r="N10472">
        <f>IF(ISERR(FIND("DECOUPE",Tableau1[[#This Row],[DESIGNATION]])),"","NEED REF")</f>
        <v/>
      </c>
    </row>
    <row r="10473">
      <c r="B10473" t="n">
        <v>34403533</v>
      </c>
      <c r="C10473" s="2" t="n">
        <v>41666</v>
      </c>
      <c r="D10473" t="inlineStr">
        <is>
          <t>NOM</t>
        </is>
      </c>
      <c r="E10473" t="inlineStr">
        <is>
          <t>S/A NS 2400kVA CELLULE TGAB</t>
        </is>
      </c>
      <c r="F10473" t="inlineStr">
        <is>
          <t>BNP</t>
        </is>
      </c>
      <c r="J10473" t="inlineStr">
        <is>
          <t>MATRION</t>
        </is>
      </c>
      <c r="L10473">
        <f>_xlfn.XLOOKUP(Tableau1[[#This Row],[TYPE DE PIECE]],Tableau4[MATIERE],Tableau4[SHORT TYPE],"",0,1)</f>
        <v/>
      </c>
      <c r="N10473">
        <f>IF(ISERR(FIND("DECOUPE",Tableau1[[#This Row],[DESIGNATION]])),"","NEED REF")</f>
        <v/>
      </c>
    </row>
    <row r="10474">
      <c r="B10474" t="n">
        <v>34403532</v>
      </c>
      <c r="C10474" s="2" t="n">
        <v>41666</v>
      </c>
      <c r="D10474" t="inlineStr">
        <is>
          <t>NOM</t>
        </is>
      </c>
      <c r="E10474" t="inlineStr">
        <is>
          <t>S/A NS 2400kVA CELLULE NS</t>
        </is>
      </c>
      <c r="F10474" t="inlineStr">
        <is>
          <t>BNP</t>
        </is>
      </c>
      <c r="J10474" t="inlineStr">
        <is>
          <t>MATRION</t>
        </is>
      </c>
      <c r="L10474">
        <f>_xlfn.XLOOKUP(Tableau1[[#This Row],[TYPE DE PIECE]],Tableau4[MATIERE],Tableau4[SHORT TYPE],"",0,1)</f>
        <v/>
      </c>
      <c r="N10474">
        <f>IF(ISERR(FIND("DECOUPE",Tableau1[[#This Row],[DESIGNATION]])),"","NEED REF")</f>
        <v/>
      </c>
    </row>
    <row r="10475">
      <c r="B10475" t="n">
        <v>34403531</v>
      </c>
      <c r="C10475" s="2" t="n">
        <v>41663</v>
      </c>
      <c r="D10475" t="inlineStr">
        <is>
          <t>SPEC</t>
        </is>
      </c>
      <c r="E10475" t="inlineStr">
        <is>
          <t>PROTECTION SHIELD RIGHT HINGES</t>
        </is>
      </c>
      <c r="F10475" t="inlineStr">
        <is>
          <t>GOTTARD</t>
        </is>
      </c>
      <c r="J10475" t="inlineStr">
        <is>
          <t>MATRION</t>
        </is>
      </c>
      <c r="L10475">
        <f>_xlfn.XLOOKUP(Tableau1[[#This Row],[TYPE DE PIECE]],Tableau4[MATIERE],Tableau4[SHORT TYPE],"",0,1)</f>
        <v/>
      </c>
      <c r="N10475">
        <f>IF(ISERR(FIND("DECOUPE",Tableau1[[#This Row],[DESIGNATION]])),"","NEED REF")</f>
        <v/>
      </c>
    </row>
    <row r="10476">
      <c r="B10476" t="n">
        <v>34403530</v>
      </c>
      <c r="C10476" s="2" t="n">
        <v>41662</v>
      </c>
      <c r="D10476" t="inlineStr">
        <is>
          <t>SPEC</t>
        </is>
      </c>
      <c r="E10476" t="inlineStr">
        <is>
          <t>SPACIAL SF 1200x800x2000</t>
        </is>
      </c>
      <c r="F10476" t="inlineStr">
        <is>
          <t>BNP</t>
        </is>
      </c>
      <c r="J10476" t="inlineStr">
        <is>
          <t>MATRION</t>
        </is>
      </c>
      <c r="L10476">
        <f>_xlfn.XLOOKUP(Tableau1[[#This Row],[TYPE DE PIECE]],Tableau4[MATIERE],Tableau4[SHORT TYPE],"",0,1)</f>
        <v/>
      </c>
      <c r="N10476">
        <f>IF(ISERR(FIND("DECOUPE",Tableau1[[#This Row],[DESIGNATION]])),"","NEED REF")</f>
        <v/>
      </c>
    </row>
    <row r="10477">
      <c r="B10477" t="n">
        <v>34403529</v>
      </c>
      <c r="C10477" s="2" t="n">
        <v>41662</v>
      </c>
      <c r="D10477" t="inlineStr">
        <is>
          <t>SPEC</t>
        </is>
      </c>
      <c r="E10477" t="inlineStr">
        <is>
          <t>SPACIAL SF 1000x800x2000 NS</t>
        </is>
      </c>
      <c r="F10477" t="inlineStr">
        <is>
          <t>BNP</t>
        </is>
      </c>
      <c r="J10477" t="inlineStr">
        <is>
          <t>MATRION</t>
        </is>
      </c>
      <c r="L10477">
        <f>_xlfn.XLOOKUP(Tableau1[[#This Row],[TYPE DE PIECE]],Tableau4[MATIERE],Tableau4[SHORT TYPE],"",0,1)</f>
        <v/>
      </c>
      <c r="N10477">
        <f>IF(ISERR(FIND("DECOUPE",Tableau1[[#This Row],[DESIGNATION]])),"","NEED REF")</f>
        <v/>
      </c>
    </row>
    <row r="10478">
      <c r="B10478" t="n">
        <v>34403528</v>
      </c>
      <c r="C10478" s="2" t="n">
        <v>41662</v>
      </c>
      <c r="D10478" t="inlineStr">
        <is>
          <t>SPEC</t>
        </is>
      </c>
      <c r="E10478" t="inlineStr">
        <is>
          <t>SPACIAL SF 800x800x2000 BYPASS</t>
        </is>
      </c>
      <c r="F10478" t="inlineStr">
        <is>
          <t>BNP</t>
        </is>
      </c>
      <c r="J10478" t="inlineStr">
        <is>
          <t>MATRION</t>
        </is>
      </c>
      <c r="L10478">
        <f>_xlfn.XLOOKUP(Tableau1[[#This Row],[TYPE DE PIECE]],Tableau4[MATIERE],Tableau4[SHORT TYPE],"",0,1)</f>
        <v/>
      </c>
      <c r="N10478">
        <f>IF(ISERR(FIND("DECOUPE",Tableau1[[#This Row],[DESIGNATION]])),"","NEED REF")</f>
        <v/>
      </c>
    </row>
    <row r="10479">
      <c r="B10479" t="n">
        <v>34403527</v>
      </c>
      <c r="C10479" s="2" t="n">
        <v>41662</v>
      </c>
      <c r="D10479" t="inlineStr">
        <is>
          <t>SPEC</t>
        </is>
      </c>
      <c r="F10479" t="inlineStr">
        <is>
          <t>BYPASS + BAT CIRCUIT BREAKER</t>
        </is>
      </c>
      <c r="J10479" t="inlineStr">
        <is>
          <t>TCHEWEMO</t>
        </is>
      </c>
      <c r="L10479">
        <f>_xlfn.XLOOKUP(Tableau1[[#This Row],[TYPE DE PIECE]],Tableau4[MATIERE],Tableau4[SHORT TYPE],"",0,1)</f>
        <v/>
      </c>
      <c r="N10479">
        <f>IF(ISERR(FIND("DECOUPE",Tableau1[[#This Row],[DESIGNATION]])),"","NEED REF")</f>
        <v/>
      </c>
    </row>
    <row r="10480">
      <c r="B10480" t="n">
        <v>34403526</v>
      </c>
      <c r="C10480" s="2" t="n">
        <v>41662</v>
      </c>
      <c r="D10480" t="inlineStr">
        <is>
          <t>SPEC</t>
        </is>
      </c>
      <c r="F10480" t="inlineStr">
        <is>
          <t>BYPASS + BAT CIRCUIT BREAKER</t>
        </is>
      </c>
      <c r="J10480" t="inlineStr">
        <is>
          <t>TCHEWEMO</t>
        </is>
      </c>
      <c r="L10480">
        <f>_xlfn.XLOOKUP(Tableau1[[#This Row],[TYPE DE PIECE]],Tableau4[MATIERE],Tableau4[SHORT TYPE],"",0,1)</f>
        <v/>
      </c>
      <c r="N10480">
        <f>IF(ISERR(FIND("DECOUPE",Tableau1[[#This Row],[DESIGNATION]])),"","NEED REF")</f>
        <v/>
      </c>
    </row>
    <row r="10481">
      <c r="B10481" t="n">
        <v>34403525</v>
      </c>
      <c r="C10481" s="2" t="n">
        <v>41662</v>
      </c>
      <c r="D10481" t="inlineStr">
        <is>
          <t>SPEC</t>
        </is>
      </c>
      <c r="F10481" t="inlineStr">
        <is>
          <t>BYPASS + BAT CIRCUIT BREAKER</t>
        </is>
      </c>
      <c r="J10481" t="inlineStr">
        <is>
          <t>TCHEWEMO</t>
        </is>
      </c>
      <c r="L10481">
        <f>_xlfn.XLOOKUP(Tableau1[[#This Row],[TYPE DE PIECE]],Tableau4[MATIERE],Tableau4[SHORT TYPE],"",0,1)</f>
        <v/>
      </c>
      <c r="N10481">
        <f>IF(ISERR(FIND("DECOUPE",Tableau1[[#This Row],[DESIGNATION]])),"","NEED REF")</f>
        <v/>
      </c>
    </row>
    <row r="10482">
      <c r="B10482" t="n">
        <v>34403524</v>
      </c>
      <c r="C10482" s="2" t="n">
        <v>41660</v>
      </c>
      <c r="D10482" t="inlineStr">
        <is>
          <t>SPEC</t>
        </is>
      </c>
      <c r="E10482" t="inlineStr">
        <is>
          <t>PLAQUETTE POUR STS SLIM</t>
        </is>
      </c>
      <c r="F10482" t="inlineStr">
        <is>
          <t>STS 400A PLAT</t>
        </is>
      </c>
      <c r="J10482" t="inlineStr">
        <is>
          <t>REVEL</t>
        </is>
      </c>
      <c r="L10482">
        <f>_xlfn.XLOOKUP(Tableau1[[#This Row],[TYPE DE PIECE]],Tableau4[MATIERE],Tableau4[SHORT TYPE],"",0,1)</f>
        <v/>
      </c>
      <c r="N10482">
        <f>IF(ISERR(FIND("DECOUPE",Tableau1[[#This Row],[DESIGNATION]])),"","NEED REF")</f>
        <v/>
      </c>
    </row>
    <row r="10483">
      <c r="B10483" t="n">
        <v>34403523</v>
      </c>
      <c r="C10483" s="2" t="n">
        <v>41660</v>
      </c>
      <c r="D10483" t="inlineStr">
        <is>
          <t>SPEC</t>
        </is>
      </c>
      <c r="E10483" t="inlineStr">
        <is>
          <t>SUPPORT CABLE TRAIL</t>
        </is>
      </c>
      <c r="F10483" t="inlineStr">
        <is>
          <t>BYPASS + BAT CIRCUIT BREAKER</t>
        </is>
      </c>
      <c r="J10483" t="inlineStr">
        <is>
          <t>MATRION</t>
        </is>
      </c>
      <c r="L10483">
        <f>_xlfn.XLOOKUP(Tableau1[[#This Row],[TYPE DE PIECE]],Tableau4[MATIERE],Tableau4[SHORT TYPE],"",0,1)</f>
        <v/>
      </c>
      <c r="N10483">
        <f>IF(ISERR(FIND("DECOUPE",Tableau1[[#This Row],[DESIGNATION]])),"","NEED REF")</f>
        <v/>
      </c>
    </row>
    <row r="10484">
      <c r="B10484" t="n">
        <v>34403522</v>
      </c>
      <c r="C10484" s="2" t="n">
        <v>41660</v>
      </c>
      <c r="D10484" t="inlineStr">
        <is>
          <t>SPEC</t>
        </is>
      </c>
      <c r="E10484" t="inlineStr">
        <is>
          <t>PHASE SEPARATOR</t>
        </is>
      </c>
      <c r="F10484" t="inlineStr">
        <is>
          <t>BYPASS + BAT CIRCUIT BREAKER</t>
        </is>
      </c>
      <c r="J10484" t="inlineStr">
        <is>
          <t>MATRION</t>
        </is>
      </c>
      <c r="L10484">
        <f>_xlfn.XLOOKUP(Tableau1[[#This Row],[TYPE DE PIECE]],Tableau4[MATIERE],Tableau4[SHORT TYPE],"",0,1)</f>
        <v/>
      </c>
      <c r="N10484">
        <f>IF(ISERR(FIND("DECOUPE",Tableau1[[#This Row],[DESIGNATION]])),"","NEED REF")</f>
        <v/>
      </c>
    </row>
    <row r="10485">
      <c r="B10485" t="n">
        <v>34403521</v>
      </c>
      <c r="C10485" s="2" t="n">
        <v>41660</v>
      </c>
      <c r="D10485" t="inlineStr">
        <is>
          <t>SPEC</t>
        </is>
      </c>
      <c r="E10485" t="inlineStr">
        <is>
          <t>COPPER BAR SPACING ATTACHEMENT</t>
        </is>
      </c>
      <c r="F10485" t="inlineStr">
        <is>
          <t>BYPASS + BAT CIRCUIT BREAKER</t>
        </is>
      </c>
      <c r="J10485" t="inlineStr">
        <is>
          <t>MATRION</t>
        </is>
      </c>
      <c r="L10485">
        <f>_xlfn.XLOOKUP(Tableau1[[#This Row],[TYPE DE PIECE]],Tableau4[MATIERE],Tableau4[SHORT TYPE],"",0,1)</f>
        <v/>
      </c>
      <c r="N10485">
        <f>IF(ISERR(FIND("DECOUPE",Tableau1[[#This Row],[DESIGNATION]])),"","NEED REF")</f>
        <v/>
      </c>
    </row>
    <row r="10486">
      <c r="B10486" t="n">
        <v>34403520</v>
      </c>
      <c r="C10486" s="2" t="n">
        <v>41660</v>
      </c>
      <c r="D10486" t="inlineStr">
        <is>
          <t>SPEC</t>
        </is>
      </c>
      <c r="E10486" t="inlineStr">
        <is>
          <t>PROTECTION JDB BAT</t>
        </is>
      </c>
      <c r="F10486" t="inlineStr">
        <is>
          <t>BYPASS + BAT CIRCUIT BREAKER</t>
        </is>
      </c>
      <c r="J10486" t="inlineStr">
        <is>
          <t>MATRION</t>
        </is>
      </c>
      <c r="L10486">
        <f>_xlfn.XLOOKUP(Tableau1[[#This Row],[TYPE DE PIECE]],Tableau4[MATIERE],Tableau4[SHORT TYPE],"",0,1)</f>
        <v/>
      </c>
      <c r="N10486">
        <f>IF(ISERR(FIND("DECOUPE",Tableau1[[#This Row],[DESIGNATION]])),"","NEED REF")</f>
        <v/>
      </c>
    </row>
    <row r="10487">
      <c r="B10487" t="n">
        <v>34403519</v>
      </c>
      <c r="C10487" s="2" t="n">
        <v>41660</v>
      </c>
      <c r="D10487" t="inlineStr">
        <is>
          <t>SPEC</t>
        </is>
      </c>
      <c r="E10487" t="inlineStr">
        <is>
          <t>COPPER BAR MAINS</t>
        </is>
      </c>
      <c r="F10487" t="inlineStr">
        <is>
          <t>BYPASS + BAT CIRCUIT BREAKER</t>
        </is>
      </c>
      <c r="J10487" t="inlineStr">
        <is>
          <t>MATRION</t>
        </is>
      </c>
      <c r="L10487">
        <f>_xlfn.XLOOKUP(Tableau1[[#This Row],[TYPE DE PIECE]],Tableau4[MATIERE],Tableau4[SHORT TYPE],"",0,1)</f>
        <v/>
      </c>
      <c r="N10487">
        <f>IF(ISERR(FIND("DECOUPE",Tableau1[[#This Row],[DESIGNATION]])),"","NEED REF")</f>
        <v/>
      </c>
    </row>
    <row r="10488">
      <c r="B10488" t="n">
        <v>34403518</v>
      </c>
      <c r="C10488" s="2" t="n">
        <v>41660</v>
      </c>
      <c r="D10488" t="inlineStr">
        <is>
          <t>SPEC</t>
        </is>
      </c>
      <c r="E10488" t="inlineStr">
        <is>
          <t xml:space="preserve">COPPER BAR BATTERY DISPATCHER STEPPED </t>
        </is>
      </c>
      <c r="F10488" t="inlineStr">
        <is>
          <t>BYPASS + BAT CIRCUIT BREAKER</t>
        </is>
      </c>
      <c r="J10488" t="inlineStr">
        <is>
          <t>MATRION</t>
        </is>
      </c>
      <c r="L10488">
        <f>_xlfn.XLOOKUP(Tableau1[[#This Row],[TYPE DE PIECE]],Tableau4[MATIERE],Tableau4[SHORT TYPE],"",0,1)</f>
        <v/>
      </c>
      <c r="N10488">
        <f>IF(ISERR(FIND("DECOUPE",Tableau1[[#This Row],[DESIGNATION]])),"","NEED REF")</f>
        <v/>
      </c>
    </row>
    <row r="10489">
      <c r="B10489" t="n">
        <v>34403517</v>
      </c>
      <c r="C10489" s="2" t="n">
        <v>41653</v>
      </c>
      <c r="D10489" t="inlineStr">
        <is>
          <t>NOM</t>
        </is>
      </c>
      <c r="E10489" t="inlineStr">
        <is>
          <t>SE SUPPORT FLEXBAR ARRIERE 4</t>
        </is>
      </c>
      <c r="F10489" t="inlineStr">
        <is>
          <t>STS 400A PLAT</t>
        </is>
      </c>
      <c r="J10489" t="inlineStr">
        <is>
          <t>MATRION</t>
        </is>
      </c>
      <c r="L10489">
        <f>_xlfn.XLOOKUP(Tableau1[[#This Row],[TYPE DE PIECE]],Tableau4[MATIERE],Tableau4[SHORT TYPE],"",0,1)</f>
        <v/>
      </c>
      <c r="N10489">
        <f>IF(ISERR(FIND("DECOUPE",Tableau1[[#This Row],[DESIGNATION]])),"","NEED REF")</f>
        <v/>
      </c>
    </row>
    <row r="10490">
      <c r="B10490" t="n">
        <v>34403516</v>
      </c>
      <c r="C10490" s="2" t="n">
        <v>41653</v>
      </c>
      <c r="D10490" t="inlineStr">
        <is>
          <t>NOM</t>
        </is>
      </c>
      <c r="E10490" t="inlineStr">
        <is>
          <t>SE SUPPORT FLEXBAR ARRIERE 3</t>
        </is>
      </c>
      <c r="F10490" t="inlineStr">
        <is>
          <t>STS 400A PLAT</t>
        </is>
      </c>
      <c r="J10490" t="inlineStr">
        <is>
          <t>MATRION</t>
        </is>
      </c>
      <c r="L10490">
        <f>_xlfn.XLOOKUP(Tableau1[[#This Row],[TYPE DE PIECE]],Tableau4[MATIERE],Tableau4[SHORT TYPE],"",0,1)</f>
        <v/>
      </c>
      <c r="N10490">
        <f>IF(ISERR(FIND("DECOUPE",Tableau1[[#This Row],[DESIGNATION]])),"","NEED REF")</f>
        <v/>
      </c>
    </row>
    <row r="10491">
      <c r="B10491" t="n">
        <v>34403515</v>
      </c>
      <c r="C10491" s="2" t="n">
        <v>41653</v>
      </c>
      <c r="D10491" t="inlineStr">
        <is>
          <t>NOM</t>
        </is>
      </c>
      <c r="E10491" t="inlineStr">
        <is>
          <t>SE SUPPORT FLEXBAR ARRIERE 2</t>
        </is>
      </c>
      <c r="F10491" t="inlineStr">
        <is>
          <t>STS 400A PLAT</t>
        </is>
      </c>
      <c r="J10491" t="inlineStr">
        <is>
          <t>MATRION</t>
        </is>
      </c>
      <c r="L10491">
        <f>_xlfn.XLOOKUP(Tableau1[[#This Row],[TYPE DE PIECE]],Tableau4[MATIERE],Tableau4[SHORT TYPE],"",0,1)</f>
        <v/>
      </c>
      <c r="N10491">
        <f>IF(ISERR(FIND("DECOUPE",Tableau1[[#This Row],[DESIGNATION]])),"","NEED REF")</f>
        <v/>
      </c>
    </row>
    <row r="10492">
      <c r="B10492" t="n">
        <v>34403514</v>
      </c>
      <c r="C10492" s="2" t="n">
        <v>41653</v>
      </c>
      <c r="D10492" t="inlineStr">
        <is>
          <t>NOM</t>
        </is>
      </c>
      <c r="E10492" t="inlineStr">
        <is>
          <t>SE SUPPORT FLEXBAR ARRIERE 1</t>
        </is>
      </c>
      <c r="F10492" t="inlineStr">
        <is>
          <t>STS 400A PLAT</t>
        </is>
      </c>
      <c r="J10492" t="inlineStr">
        <is>
          <t>MATRION</t>
        </is>
      </c>
      <c r="L10492">
        <f>_xlfn.XLOOKUP(Tableau1[[#This Row],[TYPE DE PIECE]],Tableau4[MATIERE],Tableau4[SHORT TYPE],"",0,1)</f>
        <v/>
      </c>
      <c r="N10492">
        <f>IF(ISERR(FIND("DECOUPE",Tableau1[[#This Row],[DESIGNATION]])),"","NEED REF")</f>
        <v/>
      </c>
    </row>
    <row r="10493">
      <c r="B10493" t="n">
        <v>34403513</v>
      </c>
      <c r="C10493" s="2" t="n">
        <v>41653</v>
      </c>
      <c r="D10493" t="inlineStr">
        <is>
          <t>NOM</t>
        </is>
      </c>
      <c r="E10493" t="inlineStr">
        <is>
          <t>SE Q3 CUIVRE</t>
        </is>
      </c>
      <c r="F10493" t="inlineStr">
        <is>
          <t>STS 400A PLAT</t>
        </is>
      </c>
      <c r="J10493" t="inlineStr">
        <is>
          <t>MATRION</t>
        </is>
      </c>
      <c r="L10493">
        <f>_xlfn.XLOOKUP(Tableau1[[#This Row],[TYPE DE PIECE]],Tableau4[MATIERE],Tableau4[SHORT TYPE],"",0,1)</f>
        <v/>
      </c>
      <c r="N10493">
        <f>IF(ISERR(FIND("DECOUPE",Tableau1[[#This Row],[DESIGNATION]])),"","NEED REF")</f>
        <v/>
      </c>
    </row>
    <row r="10494">
      <c r="B10494" t="n">
        <v>34403512</v>
      </c>
      <c r="C10494" s="2" t="n">
        <v>41653</v>
      </c>
      <c r="D10494" t="inlineStr">
        <is>
          <t>NOM</t>
        </is>
      </c>
      <c r="E10494" t="inlineStr">
        <is>
          <t>SE SUPPORT JDB ARRIERE</t>
        </is>
      </c>
      <c r="F10494" t="inlineStr">
        <is>
          <t>STS 400A PLAT</t>
        </is>
      </c>
      <c r="J10494" t="inlineStr">
        <is>
          <t>MATRION</t>
        </is>
      </c>
      <c r="L10494">
        <f>_xlfn.XLOOKUP(Tableau1[[#This Row],[TYPE DE PIECE]],Tableau4[MATIERE],Tableau4[SHORT TYPE],"",0,1)</f>
        <v/>
      </c>
      <c r="N10494">
        <f>IF(ISERR(FIND("DECOUPE",Tableau1[[#This Row],[DESIGNATION]])),"","NEED REF")</f>
        <v/>
      </c>
    </row>
    <row r="10495">
      <c r="B10495" t="n">
        <v>34403511</v>
      </c>
      <c r="C10495" s="2" t="n">
        <v>41653</v>
      </c>
      <c r="D10495" t="inlineStr">
        <is>
          <t>NOM</t>
        </is>
      </c>
      <c r="E10495" t="inlineStr">
        <is>
          <t>SE GLISSIERE CS S2 HAUT</t>
        </is>
      </c>
      <c r="F10495" t="inlineStr">
        <is>
          <t>STS 400A PLAT</t>
        </is>
      </c>
      <c r="J10495" t="inlineStr">
        <is>
          <t>MATRION</t>
        </is>
      </c>
      <c r="L10495">
        <f>_xlfn.XLOOKUP(Tableau1[[#This Row],[TYPE DE PIECE]],Tableau4[MATIERE],Tableau4[SHORT TYPE],"",0,1)</f>
        <v/>
      </c>
      <c r="N10495">
        <f>IF(ISERR(FIND("DECOUPE",Tableau1[[#This Row],[DESIGNATION]])),"","NEED REF")</f>
        <v/>
      </c>
    </row>
    <row r="10496">
      <c r="B10496" t="n">
        <v>34403510</v>
      </c>
      <c r="C10496" s="2" t="n">
        <v>41653</v>
      </c>
      <c r="D10496" t="inlineStr">
        <is>
          <t>NOM</t>
        </is>
      </c>
      <c r="E10496" t="inlineStr">
        <is>
          <t>SE GLISSIERE CS S1/2 BAS</t>
        </is>
      </c>
      <c r="F10496" t="inlineStr">
        <is>
          <t>STS 400A PLAT</t>
        </is>
      </c>
      <c r="J10496" t="inlineStr">
        <is>
          <t>MATRION</t>
        </is>
      </c>
      <c r="L10496">
        <f>_xlfn.XLOOKUP(Tableau1[[#This Row],[TYPE DE PIECE]],Tableau4[MATIERE],Tableau4[SHORT TYPE],"",0,1)</f>
        <v/>
      </c>
      <c r="N10496">
        <f>IF(ISERR(FIND("DECOUPE",Tableau1[[#This Row],[DESIGNATION]])),"","NEED REF")</f>
        <v/>
      </c>
    </row>
    <row r="10497">
      <c r="B10497" t="n">
        <v>34403509</v>
      </c>
      <c r="C10497" s="2" t="n">
        <v>41653</v>
      </c>
      <c r="D10497" t="inlineStr">
        <is>
          <t>NOM</t>
        </is>
      </c>
      <c r="E10497" t="inlineStr">
        <is>
          <t>SE GLISSIERE CS S1 HAUT</t>
        </is>
      </c>
      <c r="F10497" t="inlineStr">
        <is>
          <t>STS 400A PLAT</t>
        </is>
      </c>
      <c r="J10497" t="inlineStr">
        <is>
          <t>MATRION</t>
        </is>
      </c>
      <c r="L10497">
        <f>_xlfn.XLOOKUP(Tableau1[[#This Row],[TYPE DE PIECE]],Tableau4[MATIERE],Tableau4[SHORT TYPE],"",0,1)</f>
        <v/>
      </c>
      <c r="N10497">
        <f>IF(ISERR(FIND("DECOUPE",Tableau1[[#This Row],[DESIGNATION]])),"","NEED REF")</f>
        <v/>
      </c>
    </row>
    <row r="10498">
      <c r="B10498" t="n">
        <v>34403508</v>
      </c>
      <c r="C10498" s="2" t="n">
        <v>41653</v>
      </c>
      <c r="D10498" t="inlineStr">
        <is>
          <t>SPEC</t>
        </is>
      </c>
      <c r="E10498" t="inlineStr">
        <is>
          <t>COFFRET SAREL 4 PLAQUES PE</t>
        </is>
      </c>
      <c r="F10498" t="inlineStr">
        <is>
          <t>COFFRET DIJ 3xNSX630</t>
        </is>
      </c>
      <c r="J10498" t="inlineStr">
        <is>
          <t>ROBERT</t>
        </is>
      </c>
      <c r="L10498">
        <f>_xlfn.XLOOKUP(Tableau1[[#This Row],[TYPE DE PIECE]],Tableau4[MATIERE],Tableau4[SHORT TYPE],"",0,1)</f>
        <v/>
      </c>
      <c r="N10498">
        <f>IF(ISERR(FIND("DECOUPE",Tableau1[[#This Row],[DESIGNATION]])),"","NEED REF")</f>
        <v/>
      </c>
    </row>
    <row r="10499">
      <c r="B10499" t="n">
        <v>34403507</v>
      </c>
      <c r="C10499" s="2" t="n">
        <v>41646</v>
      </c>
      <c r="D10499" t="inlineStr">
        <is>
          <t>SPEC</t>
        </is>
      </c>
      <c r="E10499" t="inlineStr">
        <is>
          <t>PORTE AFFICHEUR</t>
        </is>
      </c>
      <c r="F10499" t="inlineStr">
        <is>
          <t>STS 400A PLAT</t>
        </is>
      </c>
      <c r="J10499" t="inlineStr">
        <is>
          <t>MATRION</t>
        </is>
      </c>
      <c r="L10499">
        <f>_xlfn.XLOOKUP(Tableau1[[#This Row],[TYPE DE PIECE]],Tableau4[MATIERE],Tableau4[SHORT TYPE],"",0,1)</f>
        <v/>
      </c>
      <c r="N10499">
        <f>IF(ISERR(FIND("DECOUPE",Tableau1[[#This Row],[DESIGNATION]])),"","NEED REF")</f>
        <v/>
      </c>
    </row>
    <row r="10500">
      <c r="B10500" t="n">
        <v>34403506</v>
      </c>
      <c r="C10500" s="2" t="n">
        <v>41645</v>
      </c>
      <c r="D10500" t="inlineStr">
        <is>
          <t>SPEC</t>
        </is>
      </c>
      <c r="E10500" t="inlineStr">
        <is>
          <t>SEPARATEUR DE PHASES</t>
        </is>
      </c>
      <c r="F10500" t="inlineStr">
        <is>
          <t>STS 400A PLAT</t>
        </is>
      </c>
      <c r="J10500" t="inlineStr">
        <is>
          <t>MATRION</t>
        </is>
      </c>
      <c r="L10500">
        <f>_xlfn.XLOOKUP(Tableau1[[#This Row],[TYPE DE PIECE]],Tableau4[MATIERE],Tableau4[SHORT TYPE],"",0,1)</f>
        <v/>
      </c>
      <c r="N10500">
        <f>IF(ISERR(FIND("DECOUPE",Tableau1[[#This Row],[DESIGNATION]])),"","NEED REF")</f>
        <v/>
      </c>
    </row>
    <row r="10501">
      <c r="B10501" t="n">
        <v>34403505</v>
      </c>
      <c r="C10501" s="2" t="n">
        <v>41645</v>
      </c>
      <c r="D10501" t="inlineStr">
        <is>
          <t>SPEC</t>
        </is>
      </c>
      <c r="E10501" t="inlineStr">
        <is>
          <t>COPPER BAR PE</t>
        </is>
      </c>
      <c r="F10501" t="inlineStr">
        <is>
          <t>STS 400A PLAT</t>
        </is>
      </c>
      <c r="J10501" t="inlineStr">
        <is>
          <t>MATRION</t>
        </is>
      </c>
      <c r="L10501">
        <f>_xlfn.XLOOKUP(Tableau1[[#This Row],[TYPE DE PIECE]],Tableau4[MATIERE],Tableau4[SHORT TYPE],"",0,1)</f>
        <v/>
      </c>
      <c r="N10501">
        <f>IF(ISERR(FIND("DECOUPE",Tableau1[[#This Row],[DESIGNATION]])),"","NEED REF")</f>
        <v/>
      </c>
    </row>
    <row r="10502">
      <c r="B10502" t="n">
        <v>34403504</v>
      </c>
      <c r="C10502" s="2" t="n">
        <v>41645</v>
      </c>
      <c r="D10502" t="inlineStr">
        <is>
          <t>SPEC</t>
        </is>
      </c>
      <c r="E10502" t="inlineStr">
        <is>
          <t>TINPLATED COPPER BAR PE</t>
        </is>
      </c>
      <c r="F10502" t="inlineStr">
        <is>
          <t>COFFRET DJ SYMMETRA 40kW</t>
        </is>
      </c>
      <c r="J10502" t="inlineStr">
        <is>
          <t>MATRION</t>
        </is>
      </c>
      <c r="L10502">
        <f>_xlfn.XLOOKUP(Tableau1[[#This Row],[TYPE DE PIECE]],Tableau4[MATIERE],Tableau4[SHORT TYPE],"",0,1)</f>
        <v/>
      </c>
      <c r="N10502">
        <f>IF(ISERR(FIND("DECOUPE",Tableau1[[#This Row],[DESIGNATION]])),"","NEED REF")</f>
        <v/>
      </c>
    </row>
    <row r="10503">
      <c r="B10503" t="n">
        <v>34403503</v>
      </c>
      <c r="C10503" s="2" t="n">
        <v>41614</v>
      </c>
      <c r="D10503" t="inlineStr">
        <is>
          <t>SPEC</t>
        </is>
      </c>
      <c r="E10503" t="inlineStr">
        <is>
          <t>FLEXBAR SOURCE1 PH1/2/3 AVAL</t>
        </is>
      </c>
      <c r="F10503" t="inlineStr">
        <is>
          <t>STS 400A PLAT</t>
        </is>
      </c>
      <c r="J10503" t="inlineStr">
        <is>
          <t>MATRION</t>
        </is>
      </c>
      <c r="L10503">
        <f>_xlfn.XLOOKUP(Tableau1[[#This Row],[TYPE DE PIECE]],Tableau4[MATIERE],Tableau4[SHORT TYPE],"",0,1)</f>
        <v/>
      </c>
      <c r="N10503">
        <f>IF(ISERR(FIND("DECOUPE",Tableau1[[#This Row],[DESIGNATION]])),"","NEED REF")</f>
        <v/>
      </c>
    </row>
    <row r="10504">
      <c r="B10504" t="n">
        <v>34403502</v>
      </c>
      <c r="C10504" s="2" t="n">
        <v>41635</v>
      </c>
      <c r="D10504" t="inlineStr">
        <is>
          <t>SPEC</t>
        </is>
      </c>
      <c r="E10504" t="inlineStr">
        <is>
          <t>RAIL CIRCUIT BREAKER</t>
        </is>
      </c>
      <c r="F10504" t="inlineStr">
        <is>
          <t>BYPASS 160kW APC</t>
        </is>
      </c>
      <c r="J10504" t="inlineStr">
        <is>
          <t>MATRION</t>
        </is>
      </c>
      <c r="L10504">
        <f>_xlfn.XLOOKUP(Tableau1[[#This Row],[TYPE DE PIECE]],Tableau4[MATIERE],Tableau4[SHORT TYPE],"",0,1)</f>
        <v/>
      </c>
      <c r="N10504">
        <f>IF(ISERR(FIND("DECOUPE",Tableau1[[#This Row],[DESIGNATION]])),"","NEED REF")</f>
        <v/>
      </c>
    </row>
    <row r="10505" ht="15" customHeight="1" s="142">
      <c r="B10505" t="n">
        <v>34403501</v>
      </c>
      <c r="C10505" s="2" t="n">
        <v>41635</v>
      </c>
      <c r="D10505" t="inlineStr">
        <is>
          <t>SPEC</t>
        </is>
      </c>
      <c r="E10505" t="inlineStr">
        <is>
          <t>SUPPORT PROTECTION SHIELD LEFT</t>
        </is>
      </c>
      <c r="F10505" t="inlineStr">
        <is>
          <t>BYPASS 160kW APC</t>
        </is>
      </c>
      <c r="J10505" t="inlineStr">
        <is>
          <t>MATRION</t>
        </is>
      </c>
      <c r="L10505">
        <f>_xlfn.XLOOKUP(Tableau1[[#This Row],[TYPE DE PIECE]],Tableau4[MATIERE],Tableau4[SHORT TYPE],"",0,1)</f>
        <v/>
      </c>
      <c r="N10505">
        <f>IF(ISERR(FIND("DECOUPE",Tableau1[[#This Row],[DESIGNATION]])),"","NEED REF")</f>
        <v/>
      </c>
    </row>
    <row r="10506">
      <c r="B10506" t="n">
        <v>34403500</v>
      </c>
      <c r="C10506" s="2" t="n">
        <v>41614</v>
      </c>
      <c r="D10506" t="inlineStr">
        <is>
          <t>SPEC</t>
        </is>
      </c>
      <c r="E10506" t="inlineStr">
        <is>
          <t>RAIL TELEX 3</t>
        </is>
      </c>
      <c r="F10506" t="inlineStr">
        <is>
          <t>STS 400A PLAT</t>
        </is>
      </c>
      <c r="J10506" t="inlineStr">
        <is>
          <t>MATRION</t>
        </is>
      </c>
      <c r="L10506">
        <f>_xlfn.XLOOKUP(Tableau1[[#This Row],[TYPE DE PIECE]],Tableau4[MATIERE],Tableau4[SHORT TYPE],"",0,1)</f>
        <v/>
      </c>
      <c r="N10506">
        <f>IF(ISERR(FIND("DECOUPE",Tableau1[[#This Row],[DESIGNATION]])),"","NEED REF")</f>
        <v/>
      </c>
    </row>
    <row r="10507">
      <c r="B10507" t="n">
        <v>34403499</v>
      </c>
      <c r="C10507" s="2" t="n">
        <v>41614</v>
      </c>
      <c r="D10507" t="inlineStr">
        <is>
          <t>SPEC</t>
        </is>
      </c>
      <c r="E10507" t="inlineStr">
        <is>
          <t>RAIL TELEX 2</t>
        </is>
      </c>
      <c r="F10507" t="inlineStr">
        <is>
          <t>STS 400A PLAT</t>
        </is>
      </c>
      <c r="J10507" t="inlineStr">
        <is>
          <t>MATRION</t>
        </is>
      </c>
      <c r="L10507">
        <f>_xlfn.XLOOKUP(Tableau1[[#This Row],[TYPE DE PIECE]],Tableau4[MATIERE],Tableau4[SHORT TYPE],"",0,1)</f>
        <v/>
      </c>
      <c r="N10507">
        <f>IF(ISERR(FIND("DECOUPE",Tableau1[[#This Row],[DESIGNATION]])),"","NEED REF")</f>
        <v/>
      </c>
    </row>
    <row r="10508">
      <c r="B10508" t="n">
        <v>34403498</v>
      </c>
      <c r="C10508" s="2" t="n">
        <v>41614</v>
      </c>
      <c r="D10508" t="inlineStr">
        <is>
          <t>SPEC</t>
        </is>
      </c>
      <c r="E10508" t="inlineStr">
        <is>
          <t>RAIL TELEX 1</t>
        </is>
      </c>
      <c r="F10508" t="inlineStr">
        <is>
          <t>STS 400A PLAT</t>
        </is>
      </c>
      <c r="J10508" t="inlineStr">
        <is>
          <t>MATRION</t>
        </is>
      </c>
      <c r="L10508">
        <f>_xlfn.XLOOKUP(Tableau1[[#This Row],[TYPE DE PIECE]],Tableau4[MATIERE],Tableau4[SHORT TYPE],"",0,1)</f>
        <v/>
      </c>
      <c r="N10508">
        <f>IF(ISERR(FIND("DECOUPE",Tableau1[[#This Row],[DESIGNATION]])),"","NEED REF")</f>
        <v/>
      </c>
    </row>
    <row r="10509">
      <c r="B10509" t="n">
        <v>34403497</v>
      </c>
      <c r="C10509" s="2" t="n">
        <v>41632</v>
      </c>
      <c r="D10509" t="inlineStr">
        <is>
          <t>DM</t>
        </is>
      </c>
      <c r="E10509" t="inlineStr">
        <is>
          <t>Dossier de montage G5k QF1 AOIB MOTORISE</t>
        </is>
      </c>
      <c r="F10509" t="inlineStr">
        <is>
          <t>G5K AOIB</t>
        </is>
      </c>
      <c r="J10509" t="inlineStr">
        <is>
          <t>MONGELLI</t>
        </is>
      </c>
      <c r="L10509">
        <f>_xlfn.XLOOKUP(Tableau1[[#This Row],[TYPE DE PIECE]],Tableau4[MATIERE],Tableau4[SHORT TYPE],"",0,1)</f>
        <v/>
      </c>
      <c r="N10509">
        <f>IF(ISERR(FIND("DECOUPE",Tableau1[[#This Row],[DESIGNATION]])),"","NEED REF")</f>
        <v/>
      </c>
    </row>
    <row r="10510">
      <c r="B10510" t="n">
        <v>34403496</v>
      </c>
      <c r="C10510" s="2" t="n">
        <v>41631</v>
      </c>
      <c r="D10510" t="inlineStr">
        <is>
          <t>SPEC</t>
        </is>
      </c>
      <c r="E10510" t="inlineStr">
        <is>
          <t>LG COFFRET DISJ  3xNSX630</t>
        </is>
      </c>
      <c r="F10510" t="inlineStr">
        <is>
          <t>BCB BOX</t>
        </is>
      </c>
      <c r="J10510" t="inlineStr">
        <is>
          <t>ROBERT</t>
        </is>
      </c>
      <c r="L10510">
        <f>_xlfn.XLOOKUP(Tableau1[[#This Row],[TYPE DE PIECE]],Tableau4[MATIERE],Tableau4[SHORT TYPE],"",0,1)</f>
        <v/>
      </c>
      <c r="N10510">
        <f>IF(ISERR(FIND("DECOUPE",Tableau1[[#This Row],[DESIGNATION]])),"","NEED REF")</f>
        <v/>
      </c>
    </row>
    <row r="10511">
      <c r="B10511" t="n">
        <v>34403495</v>
      </c>
      <c r="C10511" s="2" t="n">
        <v>41631</v>
      </c>
      <c r="D10511" t="inlineStr">
        <is>
          <t>SPEC</t>
        </is>
      </c>
      <c r="E10511" t="inlineStr">
        <is>
          <t>PLATINE SUPPORT 3xNSX630</t>
        </is>
      </c>
      <c r="F10511" t="inlineStr">
        <is>
          <t>BCB BOX</t>
        </is>
      </c>
      <c r="J10511" t="inlineStr">
        <is>
          <t>ROBERT</t>
        </is>
      </c>
      <c r="L10511">
        <f>_xlfn.XLOOKUP(Tableau1[[#This Row],[TYPE DE PIECE]],Tableau4[MATIERE],Tableau4[SHORT TYPE],"",0,1)</f>
        <v/>
      </c>
      <c r="N10511">
        <f>IF(ISERR(FIND("DECOUPE",Tableau1[[#This Row],[DESIGNATION]])),"","NEED REF")</f>
        <v/>
      </c>
    </row>
    <row r="10512">
      <c r="B10512" t="n">
        <v>34403494</v>
      </c>
      <c r="C10512" s="2" t="n">
        <v>41631</v>
      </c>
      <c r="D10512" t="inlineStr">
        <is>
          <t>SPEC</t>
        </is>
      </c>
      <c r="E10512" t="inlineStr">
        <is>
          <t>PONTAGE COTE ASI</t>
        </is>
      </c>
      <c r="F10512" t="inlineStr">
        <is>
          <t>BCB BOX</t>
        </is>
      </c>
      <c r="J10512" t="inlineStr">
        <is>
          <t>ROBERT</t>
        </is>
      </c>
      <c r="L10512">
        <f>_xlfn.XLOOKUP(Tableau1[[#This Row],[TYPE DE PIECE]],Tableau4[MATIERE],Tableau4[SHORT TYPE],"",0,1)</f>
        <v/>
      </c>
      <c r="N10512">
        <f>IF(ISERR(FIND("DECOUPE",Tableau1[[#This Row],[DESIGNATION]])),"","NEED REF")</f>
        <v/>
      </c>
    </row>
    <row r="10513">
      <c r="B10513" t="n">
        <v>34403493</v>
      </c>
      <c r="C10513" s="2" t="n">
        <v>41631</v>
      </c>
      <c r="D10513" t="inlineStr">
        <is>
          <t>SPEC</t>
        </is>
      </c>
      <c r="E10513" t="inlineStr">
        <is>
          <t>CAPOT PLASTIQUE BCB BOX 3xNSX630</t>
        </is>
      </c>
      <c r="F10513" t="inlineStr">
        <is>
          <t>BCB BOX</t>
        </is>
      </c>
      <c r="J10513" t="inlineStr">
        <is>
          <t>ROBERT</t>
        </is>
      </c>
      <c r="L10513">
        <f>_xlfn.XLOOKUP(Tableau1[[#This Row],[TYPE DE PIECE]],Tableau4[MATIERE],Tableau4[SHORT TYPE],"",0,1)</f>
        <v/>
      </c>
      <c r="N10513">
        <f>IF(ISERR(FIND("DECOUPE",Tableau1[[#This Row],[DESIGNATION]])),"","NEED REF")</f>
        <v/>
      </c>
    </row>
    <row r="10514">
      <c r="B10514" t="n">
        <v>34403492</v>
      </c>
      <c r="C10514" s="2" t="n">
        <v>41614</v>
      </c>
      <c r="D10514" t="inlineStr">
        <is>
          <t>SPEC</t>
        </is>
      </c>
      <c r="E10514" t="inlineStr">
        <is>
          <t>RAIL C SUPPORT MODULE ELEC</t>
        </is>
      </c>
      <c r="F10514" t="inlineStr">
        <is>
          <t>STS 400A PLAT</t>
        </is>
      </c>
      <c r="J10514" t="inlineStr">
        <is>
          <t>MATRION</t>
        </is>
      </c>
      <c r="L10514">
        <f>_xlfn.XLOOKUP(Tableau1[[#This Row],[TYPE DE PIECE]],Tableau4[MATIERE],Tableau4[SHORT TYPE],"",0,1)</f>
        <v/>
      </c>
      <c r="N10514">
        <f>IF(ISERR(FIND("DECOUPE",Tableau1[[#This Row],[DESIGNATION]])),"","NEED REF")</f>
        <v/>
      </c>
    </row>
    <row r="10515">
      <c r="B10515" t="n">
        <v>34403491</v>
      </c>
      <c r="C10515" s="2" t="n">
        <v>41631</v>
      </c>
      <c r="D10515" t="inlineStr">
        <is>
          <t>SPEC</t>
        </is>
      </c>
      <c r="E10515" t="inlineStr">
        <is>
          <t>CELLULE SPACIAL SF 2000X800X800 RAL 9005</t>
        </is>
      </c>
      <c r="F10515" t="inlineStr">
        <is>
          <t>SYMMETRA PX</t>
        </is>
      </c>
      <c r="J10515" t="inlineStr">
        <is>
          <t>ROBERT</t>
        </is>
      </c>
      <c r="L10515">
        <f>_xlfn.XLOOKUP(Tableau1[[#This Row],[TYPE DE PIECE]],Tableau4[MATIERE],Tableau4[SHORT TYPE],"",0,1)</f>
        <v/>
      </c>
      <c r="N10515">
        <f>IF(ISERR(FIND("DECOUPE",Tableau1[[#This Row],[DESIGNATION]])),"","NEED REF")</f>
        <v/>
      </c>
    </row>
    <row r="10516">
      <c r="B10516" t="n">
        <v>34403490</v>
      </c>
      <c r="C10516" s="2" t="n">
        <v>41614</v>
      </c>
      <c r="D10516" t="inlineStr">
        <is>
          <t>NOM</t>
        </is>
      </c>
      <c r="E10516" t="inlineStr">
        <is>
          <t>FLEXBAR TOP CONNECTION</t>
        </is>
      </c>
      <c r="F10516" t="inlineStr">
        <is>
          <t>STS 400A PLAT</t>
        </is>
      </c>
      <c r="J10516" t="inlineStr">
        <is>
          <t>MATRION</t>
        </is>
      </c>
      <c r="L10516">
        <f>_xlfn.XLOOKUP(Tableau1[[#This Row],[TYPE DE PIECE]],Tableau4[MATIERE],Tableau4[SHORT TYPE],"",0,1)</f>
        <v/>
      </c>
      <c r="N10516">
        <f>IF(ISERR(FIND("DECOUPE",Tableau1[[#This Row],[DESIGNATION]])),"","NEED REF")</f>
        <v/>
      </c>
    </row>
    <row r="10517">
      <c r="B10517" t="n">
        <v>34403489</v>
      </c>
      <c r="C10517" s="2" t="n">
        <v>41614</v>
      </c>
      <c r="D10517" t="inlineStr">
        <is>
          <t>NOM</t>
        </is>
      </c>
      <c r="E10517" t="inlineStr">
        <is>
          <t>LG ENSEMBLE CS L3 STS400 SLIM</t>
        </is>
      </c>
      <c r="F10517" t="inlineStr">
        <is>
          <t>STS 400A PLAT</t>
        </is>
      </c>
      <c r="J10517" t="inlineStr">
        <is>
          <t>MATRION</t>
        </is>
      </c>
      <c r="L10517">
        <f>_xlfn.XLOOKUP(Tableau1[[#This Row],[TYPE DE PIECE]],Tableau4[MATIERE],Tableau4[SHORT TYPE],"",0,1)</f>
        <v/>
      </c>
      <c r="N10517">
        <f>IF(ISERR(FIND("DECOUPE",Tableau1[[#This Row],[DESIGNATION]])),"","NEED REF")</f>
        <v/>
      </c>
    </row>
    <row r="10518">
      <c r="B10518" t="n">
        <v>34403488</v>
      </c>
      <c r="C10518" s="2" t="n">
        <v>41614</v>
      </c>
      <c r="D10518" t="inlineStr">
        <is>
          <t>SPEC</t>
        </is>
      </c>
      <c r="E10518" t="inlineStr">
        <is>
          <t>MAKROLON DROIT HAUT</t>
        </is>
      </c>
      <c r="F10518" t="inlineStr">
        <is>
          <t>STS 400A PLAT</t>
        </is>
      </c>
      <c r="J10518" t="inlineStr">
        <is>
          <t>MATRION</t>
        </is>
      </c>
      <c r="L10518">
        <f>_xlfn.XLOOKUP(Tableau1[[#This Row],[TYPE DE PIECE]],Tableau4[MATIERE],Tableau4[SHORT TYPE],"",0,1)</f>
        <v/>
      </c>
      <c r="N10518">
        <f>IF(ISERR(FIND("DECOUPE",Tableau1[[#This Row],[DESIGNATION]])),"","NEED REF")</f>
        <v/>
      </c>
    </row>
    <row r="10519">
      <c r="B10519" t="n">
        <v>34403487</v>
      </c>
      <c r="C10519" s="2" t="n">
        <v>41614</v>
      </c>
      <c r="D10519" t="inlineStr">
        <is>
          <t>SPEC</t>
        </is>
      </c>
      <c r="E10519" t="inlineStr">
        <is>
          <t>MAKROLON GAUCHE</t>
        </is>
      </c>
      <c r="F10519" t="inlineStr">
        <is>
          <t>STS 400A PLAT</t>
        </is>
      </c>
      <c r="J10519" t="inlineStr">
        <is>
          <t>MATRION</t>
        </is>
      </c>
      <c r="L10519">
        <f>_xlfn.XLOOKUP(Tableau1[[#This Row],[TYPE DE PIECE]],Tableau4[MATIERE],Tableau4[SHORT TYPE],"",0,1)</f>
        <v/>
      </c>
      <c r="N10519">
        <f>IF(ISERR(FIND("DECOUPE",Tableau1[[#This Row],[DESIGNATION]])),"","NEED REF")</f>
        <v/>
      </c>
    </row>
    <row r="10520">
      <c r="B10520" t="n">
        <v>34403486</v>
      </c>
      <c r="C10520" s="2" t="n">
        <v>41614</v>
      </c>
      <c r="D10520" t="inlineStr">
        <is>
          <t>SPEC</t>
        </is>
      </c>
      <c r="E10520" t="inlineStr">
        <is>
          <t>MAKROLON ARRIERE CS BAS</t>
        </is>
      </c>
      <c r="F10520" t="inlineStr">
        <is>
          <t>STS 400A PLAT</t>
        </is>
      </c>
      <c r="J10520" t="inlineStr">
        <is>
          <t>MATRION</t>
        </is>
      </c>
      <c r="L10520">
        <f>_xlfn.XLOOKUP(Tableau1[[#This Row],[TYPE DE PIECE]],Tableau4[MATIERE],Tableau4[SHORT TYPE],"",0,1)</f>
        <v/>
      </c>
      <c r="N10520">
        <f>IF(ISERR(FIND("DECOUPE",Tableau1[[#This Row],[DESIGNATION]])),"","NEED REF")</f>
        <v/>
      </c>
    </row>
    <row r="10521">
      <c r="B10521" t="n">
        <v>34403485</v>
      </c>
      <c r="C10521" s="2" t="n">
        <v>41614</v>
      </c>
      <c r="D10521" t="inlineStr">
        <is>
          <t>SPEC</t>
        </is>
      </c>
      <c r="E10521" t="inlineStr">
        <is>
          <t>MAKROLON ARRIERE CS HAUT</t>
        </is>
      </c>
      <c r="F10521" t="inlineStr">
        <is>
          <t>STS 400A PLAT</t>
        </is>
      </c>
      <c r="J10521" t="inlineStr">
        <is>
          <t>MATRION</t>
        </is>
      </c>
      <c r="L10521">
        <f>_xlfn.XLOOKUP(Tableau1[[#This Row],[TYPE DE PIECE]],Tableau4[MATIERE],Tableau4[SHORT TYPE],"",0,1)</f>
        <v/>
      </c>
      <c r="N10521">
        <f>IF(ISERR(FIND("DECOUPE",Tableau1[[#This Row],[DESIGNATION]])),"","NEED REF")</f>
        <v/>
      </c>
    </row>
    <row r="10522">
      <c r="B10522" t="n">
        <v>34403484</v>
      </c>
      <c r="C10522" s="2" t="n">
        <v>41614</v>
      </c>
      <c r="D10522" t="inlineStr">
        <is>
          <t>SPEC</t>
        </is>
      </c>
      <c r="E10522" t="inlineStr">
        <is>
          <t>MAKROLON JEU DE BARRES</t>
        </is>
      </c>
      <c r="F10522" t="inlineStr">
        <is>
          <t>STS 400A PLAT</t>
        </is>
      </c>
      <c r="J10522" t="inlineStr">
        <is>
          <t>MATRION</t>
        </is>
      </c>
      <c r="L10522">
        <f>_xlfn.XLOOKUP(Tableau1[[#This Row],[TYPE DE PIECE]],Tableau4[MATIERE],Tableau4[SHORT TYPE],"",0,1)</f>
        <v/>
      </c>
      <c r="N10522">
        <f>IF(ISERR(FIND("DECOUPE",Tableau1[[#This Row],[DESIGNATION]])),"","NEED REF")</f>
        <v/>
      </c>
    </row>
    <row r="10523">
      <c r="B10523" t="n">
        <v>34403483</v>
      </c>
      <c r="C10523" s="2" t="n">
        <v>41614</v>
      </c>
      <c r="D10523" t="inlineStr">
        <is>
          <t>SPEC</t>
        </is>
      </c>
      <c r="E10523" t="inlineStr">
        <is>
          <t>MAKROLON DESSOUS PE</t>
        </is>
      </c>
      <c r="F10523" t="inlineStr">
        <is>
          <t>STS 400A PLAT</t>
        </is>
      </c>
      <c r="J10523" t="inlineStr">
        <is>
          <t>MATRION</t>
        </is>
      </c>
      <c r="L10523">
        <f>_xlfn.XLOOKUP(Tableau1[[#This Row],[TYPE DE PIECE]],Tableau4[MATIERE],Tableau4[SHORT TYPE],"",0,1)</f>
        <v/>
      </c>
      <c r="N10523">
        <f>IF(ISERR(FIND("DECOUPE",Tableau1[[#This Row],[DESIGNATION]])),"","NEED REF")</f>
        <v/>
      </c>
    </row>
    <row r="10524">
      <c r="B10524" t="n">
        <v>34403482</v>
      </c>
      <c r="C10524" s="2" t="n">
        <v>41628</v>
      </c>
      <c r="D10524" t="inlineStr">
        <is>
          <t>SPEC</t>
        </is>
      </c>
      <c r="E10524" t="inlineStr">
        <is>
          <t>KIT CABLE CS-MODULE DROE PH3</t>
        </is>
      </c>
      <c r="F10524" t="inlineStr">
        <is>
          <t>STS 400A PLAT</t>
        </is>
      </c>
      <c r="J10524" t="inlineStr">
        <is>
          <t>REVEL</t>
        </is>
      </c>
      <c r="L10524">
        <f>_xlfn.XLOOKUP(Tableau1[[#This Row],[TYPE DE PIECE]],Tableau4[MATIERE],Tableau4[SHORT TYPE],"",0,1)</f>
        <v/>
      </c>
      <c r="N10524">
        <f>IF(ISERR(FIND("DECOUPE",Tableau1[[#This Row],[DESIGNATION]])),"","NEED REF")</f>
        <v/>
      </c>
    </row>
    <row r="10525">
      <c r="B10525" t="n">
        <v>34403481</v>
      </c>
      <c r="C10525" s="2" t="n">
        <v>41627</v>
      </c>
      <c r="D10525" t="inlineStr">
        <is>
          <t>SPEC</t>
        </is>
      </c>
      <c r="E10525" t="inlineStr">
        <is>
          <t>KIT CABLE CS-MODULE DROE PH2</t>
        </is>
      </c>
      <c r="F10525" t="inlineStr">
        <is>
          <t>STS 400A PLAT</t>
        </is>
      </c>
      <c r="J10525" t="inlineStr">
        <is>
          <t>REVEL</t>
        </is>
      </c>
      <c r="L10525">
        <f>_xlfn.XLOOKUP(Tableau1[[#This Row],[TYPE DE PIECE]],Tableau4[MATIERE],Tableau4[SHORT TYPE],"",0,1)</f>
        <v/>
      </c>
      <c r="N10525">
        <f>IF(ISERR(FIND("DECOUPE",Tableau1[[#This Row],[DESIGNATION]])),"","NEED REF")</f>
        <v/>
      </c>
    </row>
    <row r="10526">
      <c r="B10526" t="n">
        <v>34403480</v>
      </c>
      <c r="C10526" s="2" t="n">
        <v>41626</v>
      </c>
      <c r="D10526" t="inlineStr">
        <is>
          <t>SPEC</t>
        </is>
      </c>
      <c r="E10526" t="inlineStr">
        <is>
          <t>KIT CABLE CS-MODULE DROE PH1</t>
        </is>
      </c>
      <c r="F10526" t="inlineStr">
        <is>
          <t>STS 400A PLAT</t>
        </is>
      </c>
      <c r="J10526" t="inlineStr">
        <is>
          <t>REVEL</t>
        </is>
      </c>
      <c r="L10526">
        <f>_xlfn.XLOOKUP(Tableau1[[#This Row],[TYPE DE PIECE]],Tableau4[MATIERE],Tableau4[SHORT TYPE],"",0,1)</f>
        <v/>
      </c>
      <c r="N10526">
        <f>IF(ISERR(FIND("DECOUPE",Tableau1[[#This Row],[DESIGNATION]])),"","NEED REF")</f>
        <v/>
      </c>
    </row>
    <row r="10527">
      <c r="B10527" t="n">
        <v>34403479</v>
      </c>
      <c r="C10527" s="2" t="n">
        <v>41614</v>
      </c>
      <c r="D10527" t="inlineStr">
        <is>
          <t>SPEC</t>
        </is>
      </c>
      <c r="E10527" t="inlineStr">
        <is>
          <t>SUPPORT DROE</t>
        </is>
      </c>
      <c r="F10527" t="inlineStr">
        <is>
          <t>STS 400A PLAT</t>
        </is>
      </c>
      <c r="J10527" t="inlineStr">
        <is>
          <t>MATRION</t>
        </is>
      </c>
      <c r="L10527">
        <f>_xlfn.XLOOKUP(Tableau1[[#This Row],[TYPE DE PIECE]],Tableau4[MATIERE],Tableau4[SHORT TYPE],"",0,1)</f>
        <v/>
      </c>
      <c r="N10527">
        <f>IF(ISERR(FIND("DECOUPE",Tableau1[[#This Row],[DESIGNATION]])),"","NEED REF")</f>
        <v/>
      </c>
    </row>
    <row r="10528">
      <c r="B10528" t="n">
        <v>34403478</v>
      </c>
      <c r="C10528" s="2" t="n">
        <v>41614</v>
      </c>
      <c r="D10528" t="inlineStr">
        <is>
          <t>SPEC</t>
        </is>
      </c>
      <c r="E10528" t="inlineStr">
        <is>
          <t>BUS BAR TOP CONNECTION</t>
        </is>
      </c>
      <c r="F10528" t="inlineStr">
        <is>
          <t>STS 400A PLAT</t>
        </is>
      </c>
      <c r="J10528" t="inlineStr">
        <is>
          <t>MATRION</t>
        </is>
      </c>
      <c r="L10528">
        <f>_xlfn.XLOOKUP(Tableau1[[#This Row],[TYPE DE PIECE]],Tableau4[MATIERE],Tableau4[SHORT TYPE],"",0,1)</f>
        <v/>
      </c>
      <c r="N10528">
        <f>IF(ISERR(FIND("DECOUPE",Tableau1[[#This Row],[DESIGNATION]])),"","NEED REF")</f>
        <v/>
      </c>
    </row>
    <row r="10529">
      <c r="B10529" t="n">
        <v>34403477</v>
      </c>
      <c r="C10529" s="2" t="n">
        <v>41614</v>
      </c>
      <c r="D10529" t="inlineStr">
        <is>
          <t>SPEC</t>
        </is>
      </c>
      <c r="E10529" t="inlineStr">
        <is>
          <t>FLEXBAR Q3 N</t>
        </is>
      </c>
      <c r="F10529" t="inlineStr">
        <is>
          <t>STS 400A PLAT</t>
        </is>
      </c>
      <c r="J10529" t="inlineStr">
        <is>
          <t>MATRION</t>
        </is>
      </c>
      <c r="L10529">
        <f>_xlfn.XLOOKUP(Tableau1[[#This Row],[TYPE DE PIECE]],Tableau4[MATIERE],Tableau4[SHORT TYPE],"",0,1)</f>
        <v/>
      </c>
      <c r="N10529">
        <f>IF(ISERR(FIND("DECOUPE",Tableau1[[#This Row],[DESIGNATION]])),"","NEED REF")</f>
        <v/>
      </c>
    </row>
    <row r="10530">
      <c r="B10530" t="n">
        <v>34403476</v>
      </c>
      <c r="C10530" s="2" t="n">
        <v>41614</v>
      </c>
      <c r="D10530" t="inlineStr">
        <is>
          <t>SPEC</t>
        </is>
      </c>
      <c r="E10530" t="inlineStr">
        <is>
          <t>FLEXBAR NEUTRE COUPE 2</t>
        </is>
      </c>
      <c r="F10530" t="inlineStr">
        <is>
          <t>STS 400A PLAT</t>
        </is>
      </c>
      <c r="J10530" t="inlineStr">
        <is>
          <t>MATRION</t>
        </is>
      </c>
      <c r="L10530">
        <f>_xlfn.XLOOKUP(Tableau1[[#This Row],[TYPE DE PIECE]],Tableau4[MATIERE],Tableau4[SHORT TYPE],"",0,1)</f>
        <v/>
      </c>
      <c r="N10530">
        <f>IF(ISERR(FIND("DECOUPE",Tableau1[[#This Row],[DESIGNATION]])),"","NEED REF")</f>
        <v/>
      </c>
    </row>
    <row r="10531">
      <c r="B10531" t="n">
        <v>34403475</v>
      </c>
      <c r="C10531" s="2" t="n">
        <v>41614</v>
      </c>
      <c r="D10531" t="inlineStr">
        <is>
          <t>SPEC</t>
        </is>
      </c>
      <c r="E10531" t="inlineStr">
        <is>
          <t>FLEXBAR NEUTRE COUPE 1</t>
        </is>
      </c>
      <c r="F10531" t="inlineStr">
        <is>
          <t>STS 400A PLAT</t>
        </is>
      </c>
      <c r="J10531" t="inlineStr">
        <is>
          <t>MATRION</t>
        </is>
      </c>
      <c r="L10531">
        <f>_xlfn.XLOOKUP(Tableau1[[#This Row],[TYPE DE PIECE]],Tableau4[MATIERE],Tableau4[SHORT TYPE],"",0,1)</f>
        <v/>
      </c>
      <c r="N10531">
        <f>IF(ISERR(FIND("DECOUPE",Tableau1[[#This Row],[DESIGNATION]])),"","NEED REF")</f>
        <v/>
      </c>
    </row>
    <row r="10532">
      <c r="B10532" t="n">
        <v>34403474</v>
      </c>
      <c r="C10532" s="2" t="n">
        <v>41614</v>
      </c>
      <c r="D10532" t="inlineStr">
        <is>
          <t>SPEC</t>
        </is>
      </c>
      <c r="E10532" t="inlineStr">
        <is>
          <t>EQUERRE Q1 N</t>
        </is>
      </c>
      <c r="F10532" t="inlineStr">
        <is>
          <t>STS 400A PLAT</t>
        </is>
      </c>
      <c r="J10532" t="inlineStr">
        <is>
          <t>MATRION</t>
        </is>
      </c>
      <c r="L10532">
        <f>_xlfn.XLOOKUP(Tableau1[[#This Row],[TYPE DE PIECE]],Tableau4[MATIERE],Tableau4[SHORT TYPE],"",0,1)</f>
        <v/>
      </c>
      <c r="N10532">
        <f>IF(ISERR(FIND("DECOUPE",Tableau1[[#This Row],[DESIGNATION]])),"","NEED REF")</f>
        <v/>
      </c>
    </row>
    <row r="10533">
      <c r="B10533" t="n">
        <v>34403473</v>
      </c>
      <c r="C10533" s="2" t="n">
        <v>41615</v>
      </c>
      <c r="D10533" t="inlineStr">
        <is>
          <t>SPEC</t>
        </is>
      </c>
      <c r="E10533" t="inlineStr">
        <is>
          <t>PLATINE MODULE ELEC</t>
        </is>
      </c>
      <c r="F10533" t="inlineStr">
        <is>
          <t>STS 400A PLAT</t>
        </is>
      </c>
      <c r="J10533" t="inlineStr">
        <is>
          <t>MATRION</t>
        </is>
      </c>
      <c r="L10533">
        <f>_xlfn.XLOOKUP(Tableau1[[#This Row],[TYPE DE PIECE]],Tableau4[MATIERE],Tableau4[SHORT TYPE],"",0,1)</f>
        <v/>
      </c>
      <c r="N10533">
        <f>IF(ISERR(FIND("DECOUPE",Tableau1[[#This Row],[DESIGNATION]])),"","NEED REF")</f>
        <v/>
      </c>
    </row>
    <row r="10534">
      <c r="B10534" t="n">
        <v>34403472</v>
      </c>
      <c r="C10534" s="2" t="n">
        <v>41614</v>
      </c>
      <c r="D10534" t="inlineStr">
        <is>
          <t>SPEC</t>
        </is>
      </c>
      <c r="E10534" t="inlineStr">
        <is>
          <t>PROTECTION SHIELD BOTTOM RIGHT</t>
        </is>
      </c>
      <c r="F10534" t="inlineStr">
        <is>
          <t>STS 400A PLAT</t>
        </is>
      </c>
      <c r="J10534" t="inlineStr">
        <is>
          <t>MATRION</t>
        </is>
      </c>
      <c r="L10534">
        <f>_xlfn.XLOOKUP(Tableau1[[#This Row],[TYPE DE PIECE]],Tableau4[MATIERE],Tableau4[SHORT TYPE],"",0,1)</f>
        <v/>
      </c>
      <c r="N10534">
        <f>IF(ISERR(FIND("DECOUPE",Tableau1[[#This Row],[DESIGNATION]])),"","NEED REF")</f>
        <v/>
      </c>
    </row>
    <row r="10535">
      <c r="B10535" t="n">
        <v>34403471</v>
      </c>
      <c r="C10535" s="2" t="n">
        <v>41614</v>
      </c>
      <c r="D10535" t="inlineStr">
        <is>
          <t>SPEC</t>
        </is>
      </c>
      <c r="E10535" t="inlineStr">
        <is>
          <t>SUPPORT COPPER BAR Q3</t>
        </is>
      </c>
      <c r="F10535" t="inlineStr">
        <is>
          <t>STS 400A PLAT</t>
        </is>
      </c>
      <c r="J10535" t="inlineStr">
        <is>
          <t>MATRION</t>
        </is>
      </c>
      <c r="L10535">
        <f>_xlfn.XLOOKUP(Tableau1[[#This Row],[TYPE DE PIECE]],Tableau4[MATIERE],Tableau4[SHORT TYPE],"",0,1)</f>
        <v/>
      </c>
      <c r="N10535">
        <f>IF(ISERR(FIND("DECOUPE",Tableau1[[#This Row],[DESIGNATION]])),"","NEED REF")</f>
        <v/>
      </c>
    </row>
    <row r="10536">
      <c r="B10536" t="n">
        <v>34403470</v>
      </c>
      <c r="C10536" s="2" t="n">
        <v>41614</v>
      </c>
      <c r="D10536" t="inlineStr">
        <is>
          <t>SPEC</t>
        </is>
      </c>
      <c r="E10536" t="inlineStr">
        <is>
          <t>FLEXBAR SOURCE2 PH2 AMONT</t>
        </is>
      </c>
      <c r="F10536" t="inlineStr">
        <is>
          <t>STS 400A PLAT</t>
        </is>
      </c>
      <c r="J10536" t="inlineStr">
        <is>
          <t>MATRION</t>
        </is>
      </c>
      <c r="L10536">
        <f>_xlfn.XLOOKUP(Tableau1[[#This Row],[TYPE DE PIECE]],Tableau4[MATIERE],Tableau4[SHORT TYPE],"",0,1)</f>
        <v/>
      </c>
      <c r="N10536">
        <f>IF(ISERR(FIND("DECOUPE",Tableau1[[#This Row],[DESIGNATION]])),"","NEED REF")</f>
        <v/>
      </c>
    </row>
    <row r="10537">
      <c r="B10537" t="n">
        <v>34403469</v>
      </c>
      <c r="C10537" s="2" t="n">
        <v>41614</v>
      </c>
      <c r="D10537" t="inlineStr">
        <is>
          <t>SPEC</t>
        </is>
      </c>
      <c r="E10537" t="inlineStr">
        <is>
          <t>FLEXBAR SOURCE2 PH1 AMONT</t>
        </is>
      </c>
      <c r="F10537" t="inlineStr">
        <is>
          <t>STS 400A PLAT</t>
        </is>
      </c>
      <c r="J10537" t="inlineStr">
        <is>
          <t>MATRION</t>
        </is>
      </c>
      <c r="L10537">
        <f>_xlfn.XLOOKUP(Tableau1[[#This Row],[TYPE DE PIECE]],Tableau4[MATIERE],Tableau4[SHORT TYPE],"",0,1)</f>
        <v/>
      </c>
      <c r="N10537">
        <f>IF(ISERR(FIND("DECOUPE",Tableau1[[#This Row],[DESIGNATION]])),"","NEED REF")</f>
        <v/>
      </c>
    </row>
    <row r="10538">
      <c r="B10538" t="n">
        <v>34403468</v>
      </c>
      <c r="C10538" s="2" t="n">
        <v>41614</v>
      </c>
      <c r="D10538" t="inlineStr">
        <is>
          <t>SPEC</t>
        </is>
      </c>
      <c r="E10538" t="inlineStr">
        <is>
          <t>FLEXBAR SOURCE1 PH3 AMONT</t>
        </is>
      </c>
      <c r="F10538" t="inlineStr">
        <is>
          <t>STS 400A PLAT</t>
        </is>
      </c>
      <c r="J10538" t="inlineStr">
        <is>
          <t>MATRION</t>
        </is>
      </c>
      <c r="L10538">
        <f>_xlfn.XLOOKUP(Tableau1[[#This Row],[TYPE DE PIECE]],Tableau4[MATIERE],Tableau4[SHORT TYPE],"",0,1)</f>
        <v/>
      </c>
      <c r="N10538">
        <f>IF(ISERR(FIND("DECOUPE",Tableau1[[#This Row],[DESIGNATION]])),"","NEED REF")</f>
        <v/>
      </c>
    </row>
    <row r="10539">
      <c r="B10539" t="n">
        <v>34403467</v>
      </c>
      <c r="C10539" s="2" t="n">
        <v>41614</v>
      </c>
      <c r="D10539" t="inlineStr">
        <is>
          <t>SPEC</t>
        </is>
      </c>
      <c r="E10539" t="inlineStr">
        <is>
          <t>FLEXBAR SOURCE1 PH2 AMONT</t>
        </is>
      </c>
      <c r="F10539" t="inlineStr">
        <is>
          <t>STS 400A PLAT</t>
        </is>
      </c>
      <c r="J10539" t="inlineStr">
        <is>
          <t>MATRION</t>
        </is>
      </c>
      <c r="L10539">
        <f>_xlfn.XLOOKUP(Tableau1[[#This Row],[TYPE DE PIECE]],Tableau4[MATIERE],Tableau4[SHORT TYPE],"",0,1)</f>
        <v/>
      </c>
      <c r="N10539">
        <f>IF(ISERR(FIND("DECOUPE",Tableau1[[#This Row],[DESIGNATION]])),"","NEED REF")</f>
        <v/>
      </c>
    </row>
    <row r="10540">
      <c r="B10540" t="n">
        <v>34403466</v>
      </c>
      <c r="C10540" s="2" t="n">
        <v>41614</v>
      </c>
      <c r="D10540" t="inlineStr">
        <is>
          <t>SPEC</t>
        </is>
      </c>
      <c r="E10540" t="inlineStr">
        <is>
          <t>FLEXBAR SOURCE1 PH1 AMONT</t>
        </is>
      </c>
      <c r="F10540" t="inlineStr">
        <is>
          <t>STS 400A PLAT</t>
        </is>
      </c>
      <c r="J10540" t="inlineStr">
        <is>
          <t>MATRION</t>
        </is>
      </c>
      <c r="L10540">
        <f>_xlfn.XLOOKUP(Tableau1[[#This Row],[TYPE DE PIECE]],Tableau4[MATIERE],Tableau4[SHORT TYPE],"",0,1)</f>
        <v/>
      </c>
      <c r="N10540">
        <f>IF(ISERR(FIND("DECOUPE",Tableau1[[#This Row],[DESIGNATION]])),"","NEED REF")</f>
        <v/>
      </c>
    </row>
    <row r="10541">
      <c r="B10541" t="n">
        <v>34403465</v>
      </c>
      <c r="C10541" s="2" t="n">
        <v>41614</v>
      </c>
      <c r="D10541" t="inlineStr">
        <is>
          <t>SPEC</t>
        </is>
      </c>
      <c r="E10541" t="inlineStr">
        <is>
          <t>FLEXBAR SOURCE2 PH3 AVAL</t>
        </is>
      </c>
      <c r="F10541" t="inlineStr">
        <is>
          <t>STS 400A PLAT</t>
        </is>
      </c>
      <c r="J10541" t="inlineStr">
        <is>
          <t>MATRION</t>
        </is>
      </c>
      <c r="L10541">
        <f>_xlfn.XLOOKUP(Tableau1[[#This Row],[TYPE DE PIECE]],Tableau4[MATIERE],Tableau4[SHORT TYPE],"",0,1)</f>
        <v/>
      </c>
      <c r="N10541">
        <f>IF(ISERR(FIND("DECOUPE",Tableau1[[#This Row],[DESIGNATION]])),"","NEED REF")</f>
        <v/>
      </c>
    </row>
    <row r="10542">
      <c r="B10542" t="n">
        <v>34403464</v>
      </c>
      <c r="C10542" s="2" t="n">
        <v>41614</v>
      </c>
      <c r="D10542" t="inlineStr">
        <is>
          <t>SPEC</t>
        </is>
      </c>
      <c r="E10542" t="inlineStr">
        <is>
          <t>FLEXBAR SOURCE2 PH2 AVAL</t>
        </is>
      </c>
      <c r="F10542" t="inlineStr">
        <is>
          <t>STS 400A PLAT</t>
        </is>
      </c>
      <c r="J10542" t="inlineStr">
        <is>
          <t>MATRION</t>
        </is>
      </c>
      <c r="L10542">
        <f>_xlfn.XLOOKUP(Tableau1[[#This Row],[TYPE DE PIECE]],Tableau4[MATIERE],Tableau4[SHORT TYPE],"",0,1)</f>
        <v/>
      </c>
      <c r="N10542">
        <f>IF(ISERR(FIND("DECOUPE",Tableau1[[#This Row],[DESIGNATION]])),"","NEED REF")</f>
        <v/>
      </c>
    </row>
    <row r="10543">
      <c r="B10543" t="n">
        <v>34403463</v>
      </c>
      <c r="C10543" s="2" t="n">
        <v>41614</v>
      </c>
      <c r="D10543" t="inlineStr">
        <is>
          <t>SPEC</t>
        </is>
      </c>
      <c r="E10543" t="inlineStr">
        <is>
          <t>FLEXBAR SOURCE2 PH1 AVAL</t>
        </is>
      </c>
      <c r="F10543" t="inlineStr">
        <is>
          <t>STS 400A PLAT</t>
        </is>
      </c>
      <c r="J10543" t="inlineStr">
        <is>
          <t>MATRION</t>
        </is>
      </c>
      <c r="L10543">
        <f>_xlfn.XLOOKUP(Tableau1[[#This Row],[TYPE DE PIECE]],Tableau4[MATIERE],Tableau4[SHORT TYPE],"",0,1)</f>
        <v/>
      </c>
      <c r="N10543">
        <f>IF(ISERR(FIND("DECOUPE",Tableau1[[#This Row],[DESIGNATION]])),"","NEED REF")</f>
        <v/>
      </c>
    </row>
    <row r="10544">
      <c r="B10544" t="n">
        <v>34403462</v>
      </c>
      <c r="C10544" s="2" t="n">
        <v>41614</v>
      </c>
      <c r="D10544" t="inlineStr">
        <is>
          <t>SPEC</t>
        </is>
      </c>
      <c r="E10544" t="inlineStr">
        <is>
          <t>COMMANDE TRADUCTION AFFAIRE MARINE</t>
        </is>
      </c>
      <c r="J10544" t="inlineStr">
        <is>
          <t>MATRION</t>
        </is>
      </c>
      <c r="L10544">
        <f>_xlfn.XLOOKUP(Tableau1[[#This Row],[TYPE DE PIECE]],Tableau4[MATIERE],Tableau4[SHORT TYPE],"",0,1)</f>
        <v/>
      </c>
      <c r="N10544">
        <f>IF(ISERR(FIND("DECOUPE",Tableau1[[#This Row],[DESIGNATION]])),"","NEED REF")</f>
        <v/>
      </c>
    </row>
    <row r="10545">
      <c r="B10545" t="n">
        <v>34403461</v>
      </c>
      <c r="C10545" s="2" t="n">
        <v>41614</v>
      </c>
      <c r="D10545" t="inlineStr">
        <is>
          <t>SPEC</t>
        </is>
      </c>
      <c r="E10545" t="inlineStr">
        <is>
          <t>EQUERRE Q3 N</t>
        </is>
      </c>
      <c r="F10545" t="inlineStr">
        <is>
          <t>STS 400A PLAT</t>
        </is>
      </c>
      <c r="J10545" t="inlineStr">
        <is>
          <t>MATRION</t>
        </is>
      </c>
      <c r="L10545">
        <f>_xlfn.XLOOKUP(Tableau1[[#This Row],[TYPE DE PIECE]],Tableau4[MATIERE],Tableau4[SHORT TYPE],"",0,1)</f>
        <v/>
      </c>
      <c r="N10545">
        <f>IF(ISERR(FIND("DECOUPE",Tableau1[[#This Row],[DESIGNATION]])),"","NEED REF")</f>
        <v/>
      </c>
    </row>
    <row r="10546">
      <c r="B10546" t="n">
        <v>34403460</v>
      </c>
      <c r="C10546" s="2" t="n">
        <v>41614</v>
      </c>
      <c r="D10546" t="inlineStr">
        <is>
          <t>SPEC</t>
        </is>
      </c>
      <c r="E10546" t="inlineStr">
        <is>
          <t>EQUERRE Q2 PH2</t>
        </is>
      </c>
      <c r="F10546" t="inlineStr">
        <is>
          <t>STS 400A PLAT</t>
        </is>
      </c>
      <c r="J10546" t="inlineStr">
        <is>
          <t>MATRION</t>
        </is>
      </c>
      <c r="L10546">
        <f>_xlfn.XLOOKUP(Tableau1[[#This Row],[TYPE DE PIECE]],Tableau4[MATIERE],Tableau4[SHORT TYPE],"",0,1)</f>
        <v/>
      </c>
      <c r="N10546">
        <f>IF(ISERR(FIND("DECOUPE",Tableau1[[#This Row],[DESIGNATION]])),"","NEED REF")</f>
        <v/>
      </c>
    </row>
    <row r="10547">
      <c r="B10547" t="n">
        <v>34403459</v>
      </c>
      <c r="C10547" s="2" t="n">
        <v>41614</v>
      </c>
      <c r="D10547" t="inlineStr">
        <is>
          <t>SPEC</t>
        </is>
      </c>
      <c r="E10547" t="inlineStr">
        <is>
          <t>EQUERRE Q3 PH1 &amp; PH3</t>
        </is>
      </c>
      <c r="F10547" t="inlineStr">
        <is>
          <t>STS 400A PLAT</t>
        </is>
      </c>
      <c r="J10547" t="inlineStr">
        <is>
          <t>MATRION</t>
        </is>
      </c>
      <c r="L10547">
        <f>_xlfn.XLOOKUP(Tableau1[[#This Row],[TYPE DE PIECE]],Tableau4[MATIERE],Tableau4[SHORT TYPE],"",0,1)</f>
        <v/>
      </c>
      <c r="N10547">
        <f>IF(ISERR(FIND("DECOUPE",Tableau1[[#This Row],[DESIGNATION]])),"","NEED REF")</f>
        <v/>
      </c>
    </row>
    <row r="10548">
      <c r="B10548" t="n">
        <v>34403458</v>
      </c>
      <c r="C10548" s="2" t="n">
        <v>41614</v>
      </c>
      <c r="D10548" t="inlineStr">
        <is>
          <t>SPEC</t>
        </is>
      </c>
      <c r="E10548" t="inlineStr">
        <is>
          <t>EQUERRE Q2 PH3</t>
        </is>
      </c>
      <c r="F10548" t="inlineStr">
        <is>
          <t>STS 400A PLAT</t>
        </is>
      </c>
      <c r="J10548" t="inlineStr">
        <is>
          <t>MATRION</t>
        </is>
      </c>
      <c r="L10548">
        <f>_xlfn.XLOOKUP(Tableau1[[#This Row],[TYPE DE PIECE]],Tableau4[MATIERE],Tableau4[SHORT TYPE],"",0,1)</f>
        <v/>
      </c>
      <c r="N10548">
        <f>IF(ISERR(FIND("DECOUPE",Tableau1[[#This Row],[DESIGNATION]])),"","NEED REF")</f>
        <v/>
      </c>
    </row>
    <row r="10549">
      <c r="B10549" t="n">
        <v>34403457</v>
      </c>
      <c r="C10549" s="2" t="n">
        <v>41614</v>
      </c>
      <c r="D10549" t="inlineStr">
        <is>
          <t>SPEC</t>
        </is>
      </c>
      <c r="E10549" t="inlineStr">
        <is>
          <t>EQUERRE Q2 PH2</t>
        </is>
      </c>
      <c r="F10549" t="inlineStr">
        <is>
          <t>STS 400A PLAT</t>
        </is>
      </c>
      <c r="J10549" t="inlineStr">
        <is>
          <t>MATRION</t>
        </is>
      </c>
      <c r="L10549">
        <f>_xlfn.XLOOKUP(Tableau1[[#This Row],[TYPE DE PIECE]],Tableau4[MATIERE],Tableau4[SHORT TYPE],"",0,1)</f>
        <v/>
      </c>
      <c r="N10549">
        <f>IF(ISERR(FIND("DECOUPE",Tableau1[[#This Row],[DESIGNATION]])),"","NEED REF")</f>
        <v/>
      </c>
    </row>
    <row r="10550">
      <c r="B10550" t="n">
        <v>34403456</v>
      </c>
      <c r="C10550" s="2" t="n">
        <v>41614</v>
      </c>
      <c r="D10550" t="inlineStr">
        <is>
          <t>SPEC</t>
        </is>
      </c>
      <c r="E10550" t="inlineStr">
        <is>
          <t>EQUERRE Q2 PH1</t>
        </is>
      </c>
      <c r="F10550" t="inlineStr">
        <is>
          <t>STS 400A PLAT</t>
        </is>
      </c>
      <c r="J10550" t="inlineStr">
        <is>
          <t>MATRION</t>
        </is>
      </c>
      <c r="L10550">
        <f>_xlfn.XLOOKUP(Tableau1[[#This Row],[TYPE DE PIECE]],Tableau4[MATIERE],Tableau4[SHORT TYPE],"",0,1)</f>
        <v/>
      </c>
      <c r="N10550">
        <f>IF(ISERR(FIND("DECOUPE",Tableau1[[#This Row],[DESIGNATION]])),"","NEED REF")</f>
        <v/>
      </c>
    </row>
    <row r="10551">
      <c r="B10551" t="n">
        <v>34403455</v>
      </c>
      <c r="C10551" s="2" t="n">
        <v>41614</v>
      </c>
      <c r="D10551" t="inlineStr">
        <is>
          <t>SPEC</t>
        </is>
      </c>
      <c r="E10551" t="inlineStr">
        <is>
          <t>EQUERRE Q1 PH2</t>
        </is>
      </c>
      <c r="F10551" t="inlineStr">
        <is>
          <t>STS 400A PLAT</t>
        </is>
      </c>
      <c r="J10551" t="inlineStr">
        <is>
          <t>MATRION</t>
        </is>
      </c>
      <c r="L10551">
        <f>_xlfn.XLOOKUP(Tableau1[[#This Row],[TYPE DE PIECE]],Tableau4[MATIERE],Tableau4[SHORT TYPE],"",0,1)</f>
        <v/>
      </c>
      <c r="N10551">
        <f>IF(ISERR(FIND("DECOUPE",Tableau1[[#This Row],[DESIGNATION]])),"","NEED REF")</f>
        <v/>
      </c>
    </row>
    <row r="10552">
      <c r="B10552" t="n">
        <v>34403454</v>
      </c>
      <c r="C10552" s="2" t="n">
        <v>41614</v>
      </c>
      <c r="D10552" t="inlineStr">
        <is>
          <t>SPEC</t>
        </is>
      </c>
      <c r="E10552" t="inlineStr">
        <is>
          <t>EQUERRE Q1 PH1</t>
        </is>
      </c>
      <c r="F10552" t="inlineStr">
        <is>
          <t>STS 400A PLAT</t>
        </is>
      </c>
      <c r="J10552" t="inlineStr">
        <is>
          <t>MATRION</t>
        </is>
      </c>
      <c r="L10552">
        <f>_xlfn.XLOOKUP(Tableau1[[#This Row],[TYPE DE PIECE]],Tableau4[MATIERE],Tableau4[SHORT TYPE],"",0,1)</f>
        <v/>
      </c>
      <c r="N10552">
        <f>IF(ISERR(FIND("DECOUPE",Tableau1[[#This Row],[DESIGNATION]])),"","NEED REF")</f>
        <v/>
      </c>
    </row>
    <row r="10553">
      <c r="B10553" t="n">
        <v>34403453</v>
      </c>
      <c r="C10553" s="2" t="n">
        <v>41614</v>
      </c>
      <c r="D10553" t="inlineStr">
        <is>
          <t>SPEC</t>
        </is>
      </c>
      <c r="E10553" t="inlineStr">
        <is>
          <t>COPPER BAR CS</t>
        </is>
      </c>
      <c r="F10553" t="inlineStr">
        <is>
          <t>STS 400A PLAT</t>
        </is>
      </c>
      <c r="J10553" t="inlineStr">
        <is>
          <t>MATRION</t>
        </is>
      </c>
      <c r="L10553">
        <f>_xlfn.XLOOKUP(Tableau1[[#This Row],[TYPE DE PIECE]],Tableau4[MATIERE],Tableau4[SHORT TYPE],"",0,1)</f>
        <v/>
      </c>
      <c r="N10553">
        <f>IF(ISERR(FIND("DECOUPE",Tableau1[[#This Row],[DESIGNATION]])),"","NEED REF")</f>
        <v/>
      </c>
    </row>
    <row r="10554">
      <c r="B10554" t="n">
        <v>34403452</v>
      </c>
      <c r="C10554" s="2" t="n">
        <v>41614</v>
      </c>
      <c r="D10554" t="inlineStr">
        <is>
          <t>SPEC</t>
        </is>
      </c>
      <c r="E10554" t="inlineStr">
        <is>
          <t>COPPER BAR AVAL CS</t>
        </is>
      </c>
      <c r="F10554" t="inlineStr">
        <is>
          <t>STS 400A PLAT</t>
        </is>
      </c>
      <c r="J10554" t="inlineStr">
        <is>
          <t>MATRION</t>
        </is>
      </c>
      <c r="L10554">
        <f>_xlfn.XLOOKUP(Tableau1[[#This Row],[TYPE DE PIECE]],Tableau4[MATIERE],Tableau4[SHORT TYPE],"",0,1)</f>
        <v/>
      </c>
      <c r="N10554">
        <f>IF(ISERR(FIND("DECOUPE",Tableau1[[#This Row],[DESIGNATION]])),"","NEED REF")</f>
        <v/>
      </c>
    </row>
    <row r="10555">
      <c r="B10555" t="n">
        <v>34403451</v>
      </c>
      <c r="C10555" s="2" t="n">
        <v>41614</v>
      </c>
      <c r="D10555" t="inlineStr">
        <is>
          <t>SPEC</t>
        </is>
      </c>
      <c r="E10555" t="inlineStr">
        <is>
          <t>COPPER BAR Q2 N</t>
        </is>
      </c>
      <c r="F10555" t="inlineStr">
        <is>
          <t>STS 400A PLAT</t>
        </is>
      </c>
      <c r="J10555" t="inlineStr">
        <is>
          <t>MATRION</t>
        </is>
      </c>
      <c r="L10555">
        <f>_xlfn.XLOOKUP(Tableau1[[#This Row],[TYPE DE PIECE]],Tableau4[MATIERE],Tableau4[SHORT TYPE],"",0,1)</f>
        <v/>
      </c>
      <c r="N10555">
        <f>IF(ISERR(FIND("DECOUPE",Tableau1[[#This Row],[DESIGNATION]])),"","NEED REF")</f>
        <v/>
      </c>
    </row>
    <row r="10556">
      <c r="B10556" t="n">
        <v>34403450</v>
      </c>
      <c r="C10556" s="2" t="n">
        <v>41614</v>
      </c>
      <c r="D10556" t="inlineStr">
        <is>
          <t>SPEC</t>
        </is>
      </c>
      <c r="E10556" t="inlineStr">
        <is>
          <t>COPPER BAR CS R2</t>
        </is>
      </c>
      <c r="F10556" t="inlineStr">
        <is>
          <t>STS 400A PLAT</t>
        </is>
      </c>
      <c r="J10556" t="inlineStr">
        <is>
          <t>MATRION</t>
        </is>
      </c>
      <c r="L10556">
        <f>_xlfn.XLOOKUP(Tableau1[[#This Row],[TYPE DE PIECE]],Tableau4[MATIERE],Tableau4[SHORT TYPE],"",0,1)</f>
        <v/>
      </c>
      <c r="N10556">
        <f>IF(ISERR(FIND("DECOUPE",Tableau1[[#This Row],[DESIGNATION]])),"","NEED REF")</f>
        <v/>
      </c>
    </row>
    <row r="10557">
      <c r="B10557" t="n">
        <v>34403449</v>
      </c>
      <c r="C10557" s="2" t="n">
        <v>41614</v>
      </c>
      <c r="D10557" t="inlineStr">
        <is>
          <t>SPEC</t>
        </is>
      </c>
      <c r="E10557" t="inlineStr">
        <is>
          <t>COPPER BAR CS R1</t>
        </is>
      </c>
      <c r="F10557" t="inlineStr">
        <is>
          <t>STS 400A PLAT</t>
        </is>
      </c>
      <c r="J10557" t="inlineStr">
        <is>
          <t>MATRION</t>
        </is>
      </c>
      <c r="L10557">
        <f>_xlfn.XLOOKUP(Tableau1[[#This Row],[TYPE DE PIECE]],Tableau4[MATIERE],Tableau4[SHORT TYPE],"",0,1)</f>
        <v/>
      </c>
      <c r="N10557">
        <f>IF(ISERR(FIND("DECOUPE",Tableau1[[#This Row],[DESIGNATION]])),"","NEED REF")</f>
        <v/>
      </c>
    </row>
    <row r="10558">
      <c r="B10558" t="n">
        <v>34403448</v>
      </c>
      <c r="C10558" s="2" t="n">
        <v>41614</v>
      </c>
      <c r="D10558" t="inlineStr">
        <is>
          <t>SPEC</t>
        </is>
      </c>
      <c r="E10558" t="inlineStr">
        <is>
          <t>BARRE DE FIXATION SUPPORT DROE</t>
        </is>
      </c>
      <c r="F10558" t="inlineStr">
        <is>
          <t>STS 400A PLAT</t>
        </is>
      </c>
      <c r="J10558" t="inlineStr">
        <is>
          <t>MATRION</t>
        </is>
      </c>
      <c r="L10558">
        <f>_xlfn.XLOOKUP(Tableau1[[#This Row],[TYPE DE PIECE]],Tableau4[MATIERE],Tableau4[SHORT TYPE],"",0,1)</f>
        <v/>
      </c>
      <c r="N10558">
        <f>IF(ISERR(FIND("DECOUPE",Tableau1[[#This Row],[DESIGNATION]])),"","NEED REF")</f>
        <v/>
      </c>
    </row>
    <row r="10559">
      <c r="B10559" t="n">
        <v>34403447</v>
      </c>
      <c r="C10559" s="2" t="n">
        <v>41614</v>
      </c>
      <c r="D10559" t="inlineStr">
        <is>
          <t>SPEC</t>
        </is>
      </c>
      <c r="E10559" t="inlineStr">
        <is>
          <t>EQUERRE FIXATION PLATINE DJ</t>
        </is>
      </c>
      <c r="F10559" t="inlineStr">
        <is>
          <t>STS 400A PLAT</t>
        </is>
      </c>
      <c r="J10559" t="inlineStr">
        <is>
          <t>MATRION</t>
        </is>
      </c>
      <c r="L10559">
        <f>_xlfn.XLOOKUP(Tableau1[[#This Row],[TYPE DE PIECE]],Tableau4[MATIERE],Tableau4[SHORT TYPE],"",0,1)</f>
        <v/>
      </c>
      <c r="N10559">
        <f>IF(ISERR(FIND("DECOUPE",Tableau1[[#This Row],[DESIGNATION]])),"","NEED REF")</f>
        <v/>
      </c>
    </row>
    <row r="10560">
      <c r="B10560" t="n">
        <v>34403446</v>
      </c>
      <c r="C10560" s="2" t="n">
        <v>41614</v>
      </c>
      <c r="D10560" t="inlineStr">
        <is>
          <t>NOM</t>
        </is>
      </c>
      <c r="E10560" t="inlineStr">
        <is>
          <t>LG ENSEMBLE CS STS400 SLIM</t>
        </is>
      </c>
      <c r="F10560" t="inlineStr">
        <is>
          <t>STS 400A PLAT</t>
        </is>
      </c>
      <c r="J10560" t="inlineStr">
        <is>
          <t>MATRION</t>
        </is>
      </c>
      <c r="L10560">
        <f>_xlfn.XLOOKUP(Tableau1[[#This Row],[TYPE DE PIECE]],Tableau4[MATIERE],Tableau4[SHORT TYPE],"",0,1)</f>
        <v/>
      </c>
      <c r="N10560">
        <f>IF(ISERR(FIND("DECOUPE",Tableau1[[#This Row],[DESIGNATION]])),"","NEED REF")</f>
        <v/>
      </c>
    </row>
    <row r="10561">
      <c r="B10561" t="n">
        <v>34403445</v>
      </c>
      <c r="C10561" s="2" t="n">
        <v>41614</v>
      </c>
      <c r="D10561" t="inlineStr">
        <is>
          <t>NOM</t>
        </is>
      </c>
      <c r="E10561" t="inlineStr">
        <is>
          <t>LG ENSEMBLE CS L3 STS400 SLIM</t>
        </is>
      </c>
      <c r="F10561" t="inlineStr">
        <is>
          <t>STS 400A PLAT</t>
        </is>
      </c>
      <c r="J10561" t="inlineStr">
        <is>
          <t>MATRION</t>
        </is>
      </c>
      <c r="L10561">
        <f>_xlfn.XLOOKUP(Tableau1[[#This Row],[TYPE DE PIECE]],Tableau4[MATIERE],Tableau4[SHORT TYPE],"",0,1)</f>
        <v/>
      </c>
      <c r="N10561">
        <f>IF(ISERR(FIND("DECOUPE",Tableau1[[#This Row],[DESIGNATION]])),"","NEED REF")</f>
        <v/>
      </c>
    </row>
    <row r="10562">
      <c r="B10562" t="n">
        <v>34403444</v>
      </c>
      <c r="C10562" s="2" t="n">
        <v>41614</v>
      </c>
      <c r="D10562" t="inlineStr">
        <is>
          <t>NOM</t>
        </is>
      </c>
      <c r="E10562" t="inlineStr">
        <is>
          <t>LG ENSEMBLE CS L2 STS400 SLIM</t>
        </is>
      </c>
      <c r="F10562" t="inlineStr">
        <is>
          <t>STS 400A PLAT</t>
        </is>
      </c>
      <c r="J10562" t="inlineStr">
        <is>
          <t>MATRION</t>
        </is>
      </c>
      <c r="L10562">
        <f>_xlfn.XLOOKUP(Tableau1[[#This Row],[TYPE DE PIECE]],Tableau4[MATIERE],Tableau4[SHORT TYPE],"",0,1)</f>
        <v/>
      </c>
      <c r="N10562">
        <f>IF(ISERR(FIND("DECOUPE",Tableau1[[#This Row],[DESIGNATION]])),"","NEED REF")</f>
        <v/>
      </c>
    </row>
    <row r="10563">
      <c r="B10563" t="n">
        <v>34403443</v>
      </c>
      <c r="C10563" s="2" t="n">
        <v>41614</v>
      </c>
      <c r="D10563" t="inlineStr">
        <is>
          <t>NOM</t>
        </is>
      </c>
      <c r="E10563" t="inlineStr">
        <is>
          <t>LG ENSEMBLE CS L1 STS400 SLIM</t>
        </is>
      </c>
      <c r="F10563" t="inlineStr">
        <is>
          <t>STS 400A PLAT</t>
        </is>
      </c>
      <c r="J10563" t="inlineStr">
        <is>
          <t>MATRION</t>
        </is>
      </c>
      <c r="L10563">
        <f>_xlfn.XLOOKUP(Tableau1[[#This Row],[TYPE DE PIECE]],Tableau4[MATIERE],Tableau4[SHORT TYPE],"",0,1)</f>
        <v/>
      </c>
      <c r="N10563">
        <f>IF(ISERR(FIND("DECOUPE",Tableau1[[#This Row],[DESIGNATION]])),"","NEED REF")</f>
        <v/>
      </c>
    </row>
    <row r="10564">
      <c r="B10564" t="n">
        <v>34403442</v>
      </c>
      <c r="C10564" s="2" t="n">
        <v>41614</v>
      </c>
      <c r="D10564" t="inlineStr">
        <is>
          <t>SPEC</t>
        </is>
      </c>
      <c r="E10564" t="inlineStr">
        <is>
          <t>SUPPORT CS HAUT RESEAU 2</t>
        </is>
      </c>
      <c r="F10564" t="inlineStr">
        <is>
          <t>STS 400A PLAT</t>
        </is>
      </c>
      <c r="J10564" t="inlineStr">
        <is>
          <t>MATRION</t>
        </is>
      </c>
      <c r="L10564">
        <f>_xlfn.XLOOKUP(Tableau1[[#This Row],[TYPE DE PIECE]],Tableau4[MATIERE],Tableau4[SHORT TYPE],"",0,1)</f>
        <v/>
      </c>
      <c r="N10564">
        <f>IF(ISERR(FIND("DECOUPE",Tableau1[[#This Row],[DESIGNATION]])),"","NEED REF")</f>
        <v/>
      </c>
    </row>
    <row r="10565">
      <c r="B10565" t="n">
        <v>34403441</v>
      </c>
      <c r="C10565" s="2" t="n">
        <v>41614</v>
      </c>
      <c r="D10565" t="inlineStr">
        <is>
          <t>SPEC</t>
        </is>
      </c>
      <c r="E10565" t="inlineStr">
        <is>
          <t>SUPPORT PLATINE BYPASS</t>
        </is>
      </c>
      <c r="F10565" t="inlineStr">
        <is>
          <t>STS 400A PLAT</t>
        </is>
      </c>
      <c r="J10565" t="inlineStr">
        <is>
          <t>MATRION</t>
        </is>
      </c>
      <c r="L10565">
        <f>_xlfn.XLOOKUP(Tableau1[[#This Row],[TYPE DE PIECE]],Tableau4[MATIERE],Tableau4[SHORT TYPE],"",0,1)</f>
        <v/>
      </c>
      <c r="N10565">
        <f>IF(ISERR(FIND("DECOUPE",Tableau1[[#This Row],[DESIGNATION]])),"","NEED REF")</f>
        <v/>
      </c>
    </row>
    <row r="10566">
      <c r="B10566" t="n">
        <v>34403440</v>
      </c>
      <c r="C10566" s="2" t="n">
        <v>41614</v>
      </c>
      <c r="D10566" t="inlineStr">
        <is>
          <t>SPEC</t>
        </is>
      </c>
      <c r="E10566" t="inlineStr">
        <is>
          <t>SUPPORT CS BAS RESEAU 1 ET 2</t>
        </is>
      </c>
      <c r="F10566" t="inlineStr">
        <is>
          <t>STS 400A PLAT</t>
        </is>
      </c>
      <c r="J10566" t="inlineStr">
        <is>
          <t>MATRION</t>
        </is>
      </c>
      <c r="L10566">
        <f>_xlfn.XLOOKUP(Tableau1[[#This Row],[TYPE DE PIECE]],Tableau4[MATIERE],Tableau4[SHORT TYPE],"",0,1)</f>
        <v/>
      </c>
      <c r="N10566">
        <f>IF(ISERR(FIND("DECOUPE",Tableau1[[#This Row],[DESIGNATION]])),"","NEED REF")</f>
        <v/>
      </c>
    </row>
    <row r="10567">
      <c r="B10567" t="n">
        <v>34403439</v>
      </c>
      <c r="C10567" s="2" t="n">
        <v>41614</v>
      </c>
      <c r="D10567" t="inlineStr">
        <is>
          <t>SPEC</t>
        </is>
      </c>
      <c r="E10567" t="inlineStr">
        <is>
          <t>EQUERRE BARRE SOUPLE NEUTRE</t>
        </is>
      </c>
      <c r="F10567" t="inlineStr">
        <is>
          <t>STS 400A PLAT</t>
        </is>
      </c>
      <c r="J10567" t="inlineStr">
        <is>
          <t>MATRION</t>
        </is>
      </c>
      <c r="L10567">
        <f>_xlfn.XLOOKUP(Tableau1[[#This Row],[TYPE DE PIECE]],Tableau4[MATIERE],Tableau4[SHORT TYPE],"",0,1)</f>
        <v/>
      </c>
      <c r="N10567">
        <f>IF(ISERR(FIND("DECOUPE",Tableau1[[#This Row],[DESIGNATION]])),"","NEED REF")</f>
        <v/>
      </c>
    </row>
    <row r="10568">
      <c r="B10568" t="n">
        <v>34403438</v>
      </c>
      <c r="C10568" s="2" t="n">
        <v>41614</v>
      </c>
      <c r="D10568" t="inlineStr">
        <is>
          <t>SPEC</t>
        </is>
      </c>
      <c r="E10568" t="inlineStr">
        <is>
          <t>SUPPORT BARRE SOUPLE HAUT</t>
        </is>
      </c>
      <c r="F10568" t="inlineStr">
        <is>
          <t>STS 400A PLAT</t>
        </is>
      </c>
      <c r="J10568" t="inlineStr">
        <is>
          <t>MATRION</t>
        </is>
      </c>
      <c r="L10568">
        <f>_xlfn.XLOOKUP(Tableau1[[#This Row],[TYPE DE PIECE]],Tableau4[MATIERE],Tableau4[SHORT TYPE],"",0,1)</f>
        <v/>
      </c>
      <c r="N10568">
        <f>IF(ISERR(FIND("DECOUPE",Tableau1[[#This Row],[DESIGNATION]])),"","NEED REF")</f>
        <v/>
      </c>
    </row>
    <row r="10569">
      <c r="B10569" t="n">
        <v>34403437</v>
      </c>
      <c r="C10569" s="2" t="n">
        <v>41614</v>
      </c>
      <c r="D10569" t="inlineStr">
        <is>
          <t>SPEC</t>
        </is>
      </c>
      <c r="E10569" t="inlineStr">
        <is>
          <t>SUPPORT BARRE SOUPLE MILIEU</t>
        </is>
      </c>
      <c r="F10569" t="inlineStr">
        <is>
          <t>STS 400A PLAT</t>
        </is>
      </c>
      <c r="J10569" t="inlineStr">
        <is>
          <t>MATRION</t>
        </is>
      </c>
      <c r="L10569">
        <f>_xlfn.XLOOKUP(Tableau1[[#This Row],[TYPE DE PIECE]],Tableau4[MATIERE],Tableau4[SHORT TYPE],"",0,1)</f>
        <v/>
      </c>
      <c r="N10569">
        <f>IF(ISERR(FIND("DECOUPE",Tableau1[[#This Row],[DESIGNATION]])),"","NEED REF")</f>
        <v/>
      </c>
    </row>
    <row r="10570">
      <c r="B10570" t="n">
        <v>34403436</v>
      </c>
      <c r="C10570" s="2" t="n">
        <v>41614</v>
      </c>
      <c r="D10570" t="inlineStr">
        <is>
          <t>SPEC</t>
        </is>
      </c>
      <c r="E10570" t="inlineStr">
        <is>
          <t>SUPPORT BARRE SOUPLE BAS 2</t>
        </is>
      </c>
      <c r="F10570" t="inlineStr">
        <is>
          <t>STS 400A PLAT</t>
        </is>
      </c>
      <c r="J10570" t="inlineStr">
        <is>
          <t>MATRION</t>
        </is>
      </c>
      <c r="L10570">
        <f>_xlfn.XLOOKUP(Tableau1[[#This Row],[TYPE DE PIECE]],Tableau4[MATIERE],Tableau4[SHORT TYPE],"",0,1)</f>
        <v/>
      </c>
      <c r="N10570">
        <f>IF(ISERR(FIND("DECOUPE",Tableau1[[#This Row],[DESIGNATION]])),"","NEED REF")</f>
        <v/>
      </c>
    </row>
    <row r="10571">
      <c r="B10571" t="n">
        <v>34403435</v>
      </c>
      <c r="C10571" s="2" t="n">
        <v>41614</v>
      </c>
      <c r="D10571" t="inlineStr">
        <is>
          <t>SPEC</t>
        </is>
      </c>
      <c r="E10571" t="inlineStr">
        <is>
          <t>SUPPORT JEU DE BARRE ARRIERE</t>
        </is>
      </c>
      <c r="F10571" t="inlineStr">
        <is>
          <t>STS 400A PLAT</t>
        </is>
      </c>
      <c r="J10571" t="inlineStr">
        <is>
          <t>MATRION</t>
        </is>
      </c>
      <c r="L10571">
        <f>_xlfn.XLOOKUP(Tableau1[[#This Row],[TYPE DE PIECE]],Tableau4[MATIERE],Tableau4[SHORT TYPE],"",0,1)</f>
        <v/>
      </c>
      <c r="N10571">
        <f>IF(ISERR(FIND("DECOUPE",Tableau1[[#This Row],[DESIGNATION]])),"","NEED REF")</f>
        <v/>
      </c>
    </row>
    <row r="10572">
      <c r="B10572" t="n">
        <v>34403434</v>
      </c>
      <c r="C10572" s="2" t="n">
        <v>41614</v>
      </c>
      <c r="D10572" t="inlineStr">
        <is>
          <t>NOM</t>
        </is>
      </c>
      <c r="E10572" t="inlineStr">
        <is>
          <t>LG ENSEMBLE 6xCS STS400 SLIM</t>
        </is>
      </c>
      <c r="F10572" t="inlineStr">
        <is>
          <t>STS 400A PLAT</t>
        </is>
      </c>
      <c r="J10572" t="inlineStr">
        <is>
          <t>MATRION</t>
        </is>
      </c>
      <c r="L10572">
        <f>_xlfn.XLOOKUP(Tableau1[[#This Row],[TYPE DE PIECE]],Tableau4[MATIERE],Tableau4[SHORT TYPE],"",0,1)</f>
        <v/>
      </c>
      <c r="N10572">
        <f>IF(ISERR(FIND("DECOUPE",Tableau1[[#This Row],[DESIGNATION]])),"","NEED REF")</f>
        <v/>
      </c>
    </row>
    <row r="10573">
      <c r="B10573" t="n">
        <v>34403433</v>
      </c>
      <c r="C10573" s="2" t="n">
        <v>41614</v>
      </c>
      <c r="D10573" t="inlineStr">
        <is>
          <t>NOM</t>
        </is>
      </c>
      <c r="E10573" t="inlineStr">
        <is>
          <t>LG MODULE ELEC STS400 SLIM</t>
        </is>
      </c>
      <c r="F10573" t="inlineStr">
        <is>
          <t>STS 400A PLAT</t>
        </is>
      </c>
      <c r="J10573" t="inlineStr">
        <is>
          <t>MATRION</t>
        </is>
      </c>
      <c r="L10573">
        <f>_xlfn.XLOOKUP(Tableau1[[#This Row],[TYPE DE PIECE]],Tableau4[MATIERE],Tableau4[SHORT TYPE],"",0,1)</f>
        <v/>
      </c>
      <c r="N10573">
        <f>IF(ISERR(FIND("DECOUPE",Tableau1[[#This Row],[DESIGNATION]])),"","NEED REF")</f>
        <v/>
      </c>
    </row>
    <row r="10574">
      <c r="B10574" t="n">
        <v>34403432</v>
      </c>
      <c r="C10574" s="2" t="n">
        <v>41614</v>
      </c>
      <c r="D10574" t="inlineStr">
        <is>
          <t>SPEC</t>
        </is>
      </c>
      <c r="E10574" t="inlineStr">
        <is>
          <t>SUPPORT BARRE SOUPLE BAS</t>
        </is>
      </c>
      <c r="F10574" t="inlineStr">
        <is>
          <t>STS 400A PLAT</t>
        </is>
      </c>
      <c r="J10574" t="inlineStr">
        <is>
          <t>MATRION</t>
        </is>
      </c>
      <c r="L10574">
        <f>_xlfn.XLOOKUP(Tableau1[[#This Row],[TYPE DE PIECE]],Tableau4[MATIERE],Tableau4[SHORT TYPE],"",0,1)</f>
        <v/>
      </c>
      <c r="N10574">
        <f>IF(ISERR(FIND("DECOUPE",Tableau1[[#This Row],[DESIGNATION]])),"","NEED REF")</f>
        <v/>
      </c>
    </row>
    <row r="10575">
      <c r="B10575" t="n">
        <v>34403431</v>
      </c>
      <c r="C10575" s="2" t="n">
        <v>41614</v>
      </c>
      <c r="D10575" t="inlineStr">
        <is>
          <t>SPEC</t>
        </is>
      </c>
      <c r="E10575" t="inlineStr">
        <is>
          <t>SUPPORT LATERAL GAUCHE</t>
        </is>
      </c>
      <c r="F10575" t="inlineStr">
        <is>
          <t>STS 400A PLAT</t>
        </is>
      </c>
      <c r="J10575" t="inlineStr">
        <is>
          <t>MATRION</t>
        </is>
      </c>
      <c r="L10575">
        <f>_xlfn.XLOOKUP(Tableau1[[#This Row],[TYPE DE PIECE]],Tableau4[MATIERE],Tableau4[SHORT TYPE],"",0,1)</f>
        <v/>
      </c>
      <c r="N10575">
        <f>IF(ISERR(FIND("DECOUPE",Tableau1[[#This Row],[DESIGNATION]])),"","NEED REF")</f>
        <v/>
      </c>
    </row>
    <row r="10576">
      <c r="B10576" t="n">
        <v>34403430</v>
      </c>
      <c r="C10576" s="2" t="n">
        <v>41614</v>
      </c>
      <c r="D10576" t="inlineStr">
        <is>
          <t>SPEC</t>
        </is>
      </c>
      <c r="E10576" t="inlineStr">
        <is>
          <t>SUPPORT LATERAL DROIT</t>
        </is>
      </c>
      <c r="F10576" t="inlineStr">
        <is>
          <t>STS 400A PLAT</t>
        </is>
      </c>
      <c r="J10576" t="inlineStr">
        <is>
          <t>MATRION</t>
        </is>
      </c>
      <c r="L10576">
        <f>_xlfn.XLOOKUP(Tableau1[[#This Row],[TYPE DE PIECE]],Tableau4[MATIERE],Tableau4[SHORT TYPE],"",0,1)</f>
        <v/>
      </c>
      <c r="N10576">
        <f>IF(ISERR(FIND("DECOUPE",Tableau1[[#This Row],[DESIGNATION]])),"","NEED REF")</f>
        <v/>
      </c>
    </row>
    <row r="10577">
      <c r="B10577" t="n">
        <v>34403429</v>
      </c>
      <c r="C10577" s="2" t="n">
        <v>41614</v>
      </c>
      <c r="D10577" t="inlineStr">
        <is>
          <t>SPEC</t>
        </is>
      </c>
      <c r="E10577" t="inlineStr">
        <is>
          <t>SUPPORT CS RESEAU 1</t>
        </is>
      </c>
      <c r="F10577" t="inlineStr">
        <is>
          <t>STS 400A PLAT</t>
        </is>
      </c>
      <c r="J10577" t="inlineStr">
        <is>
          <t>MATRION</t>
        </is>
      </c>
      <c r="L10577">
        <f>_xlfn.XLOOKUP(Tableau1[[#This Row],[TYPE DE PIECE]],Tableau4[MATIERE],Tableau4[SHORT TYPE],"",0,1)</f>
        <v/>
      </c>
      <c r="N10577">
        <f>IF(ISERR(FIND("DECOUPE",Tableau1[[#This Row],[DESIGNATION]])),"","NEED REF")</f>
        <v/>
      </c>
    </row>
    <row r="10578">
      <c r="B10578" t="n">
        <v>34403428</v>
      </c>
      <c r="C10578" s="2" t="n">
        <v>41614</v>
      </c>
      <c r="D10578" t="inlineStr">
        <is>
          <t>SPEC</t>
        </is>
      </c>
      <c r="E10578" t="inlineStr">
        <is>
          <t>SUPPORT JEU DE BARRE</t>
        </is>
      </c>
      <c r="F10578" t="inlineStr">
        <is>
          <t>STS 400A PLAT</t>
        </is>
      </c>
      <c r="J10578" t="inlineStr">
        <is>
          <t>MATRION</t>
        </is>
      </c>
      <c r="L10578">
        <f>_xlfn.XLOOKUP(Tableau1[[#This Row],[TYPE DE PIECE]],Tableau4[MATIERE],Tableau4[SHORT TYPE],"",0,1)</f>
        <v/>
      </c>
      <c r="N10578">
        <f>IF(ISERR(FIND("DECOUPE",Tableau1[[#This Row],[DESIGNATION]])),"","NEED REF")</f>
        <v/>
      </c>
    </row>
    <row r="10579">
      <c r="B10579" t="n">
        <v>34403427</v>
      </c>
      <c r="C10579" s="2" t="n">
        <v>41614</v>
      </c>
      <c r="D10579" t="inlineStr">
        <is>
          <t>SPEC</t>
        </is>
      </c>
      <c r="E10579" t="inlineStr">
        <is>
          <t>SUPPORT LATERAL DROIT</t>
        </is>
      </c>
      <c r="F10579" t="inlineStr">
        <is>
          <t>STS 400A PLAT</t>
        </is>
      </c>
      <c r="J10579" t="inlineStr">
        <is>
          <t>MATRION</t>
        </is>
      </c>
      <c r="L10579">
        <f>_xlfn.XLOOKUP(Tableau1[[#This Row],[TYPE DE PIECE]],Tableau4[MATIERE],Tableau4[SHORT TYPE],"",0,1)</f>
        <v/>
      </c>
      <c r="N10579">
        <f>IF(ISERR(FIND("DECOUPE",Tableau1[[#This Row],[DESIGNATION]])),"","NEED REF")</f>
        <v/>
      </c>
    </row>
    <row r="10580">
      <c r="B10580" t="n">
        <v>34403426</v>
      </c>
      <c r="C10580" s="2" t="n">
        <v>41614</v>
      </c>
      <c r="D10580" t="inlineStr">
        <is>
          <t>SPEC</t>
        </is>
      </c>
      <c r="E10580" t="inlineStr">
        <is>
          <t>PLATINE CLOISONNEMENT</t>
        </is>
      </c>
      <c r="F10580" t="inlineStr">
        <is>
          <t>STS 400A PLAT</t>
        </is>
      </c>
      <c r="J10580" t="inlineStr">
        <is>
          <t>MATRION</t>
        </is>
      </c>
      <c r="L10580">
        <f>_xlfn.XLOOKUP(Tableau1[[#This Row],[TYPE DE PIECE]],Tableau4[MATIERE],Tableau4[SHORT TYPE],"",0,1)</f>
        <v/>
      </c>
      <c r="N10580">
        <f>IF(ISERR(FIND("DECOUPE",Tableau1[[#This Row],[DESIGNATION]])),"","NEED REF")</f>
        <v/>
      </c>
    </row>
    <row r="10581">
      <c r="B10581" t="n">
        <v>34403425</v>
      </c>
      <c r="C10581" s="2" t="n">
        <v>41614</v>
      </c>
      <c r="D10581" t="inlineStr">
        <is>
          <t>SPEC</t>
        </is>
      </c>
      <c r="E10581" t="inlineStr">
        <is>
          <t>SUPPORT CLOISONNEMENT</t>
        </is>
      </c>
      <c r="F10581" t="inlineStr">
        <is>
          <t>STS 400A PLAT</t>
        </is>
      </c>
      <c r="J10581" t="inlineStr">
        <is>
          <t>MATRION</t>
        </is>
      </c>
      <c r="L10581">
        <f>_xlfn.XLOOKUP(Tableau1[[#This Row],[TYPE DE PIECE]],Tableau4[MATIERE],Tableau4[SHORT TYPE],"",0,1)</f>
        <v/>
      </c>
      <c r="N10581">
        <f>IF(ISERR(FIND("DECOUPE",Tableau1[[#This Row],[DESIGNATION]])),"","NEED REF")</f>
        <v/>
      </c>
    </row>
    <row r="10582">
      <c r="B10582" t="n">
        <v>34403424</v>
      </c>
      <c r="C10582" s="2" t="n">
        <v>41614</v>
      </c>
      <c r="D10582" t="inlineStr">
        <is>
          <t>SPEC</t>
        </is>
      </c>
      <c r="E10582" t="inlineStr">
        <is>
          <t>WIRE KIT RC</t>
        </is>
      </c>
      <c r="F10582" t="inlineStr">
        <is>
          <t>STS 400A PLAT</t>
        </is>
      </c>
      <c r="J10582" t="inlineStr">
        <is>
          <t>MATRION</t>
        </is>
      </c>
      <c r="L10582">
        <f>_xlfn.XLOOKUP(Tableau1[[#This Row],[TYPE DE PIECE]],Tableau4[MATIERE],Tableau4[SHORT TYPE],"",0,1)</f>
        <v/>
      </c>
      <c r="N10582">
        <f>IF(ISERR(FIND("DECOUPE",Tableau1[[#This Row],[DESIGNATION]])),"","NEED REF")</f>
        <v/>
      </c>
    </row>
    <row r="10583">
      <c r="B10583" t="n">
        <v>34403423</v>
      </c>
      <c r="C10583" s="2" t="n">
        <v>41615</v>
      </c>
      <c r="D10583" t="inlineStr">
        <is>
          <t>SPEC</t>
        </is>
      </c>
      <c r="E10583" t="inlineStr">
        <is>
          <t>KIT FILERIE G300AES ARM BATTERIE</t>
        </is>
      </c>
      <c r="F10583" t="inlineStr">
        <is>
          <t>G300 AES</t>
        </is>
      </c>
      <c r="J10583" t="inlineStr">
        <is>
          <t>REVEL</t>
        </is>
      </c>
      <c r="L10583">
        <f>_xlfn.XLOOKUP(Tableau1[[#This Row],[TYPE DE PIECE]],Tableau4[MATIERE],Tableau4[SHORT TYPE],"",0,1)</f>
        <v/>
      </c>
      <c r="N10583">
        <f>IF(ISERR(FIND("DECOUPE",Tableau1[[#This Row],[DESIGNATION]])),"","NEED REF")</f>
        <v/>
      </c>
    </row>
    <row r="10584">
      <c r="B10584" t="n">
        <v>34403422</v>
      </c>
      <c r="C10584" s="2" t="n">
        <v>41614</v>
      </c>
      <c r="D10584" t="inlineStr">
        <is>
          <t>SPEC</t>
        </is>
      </c>
      <c r="F10584" t="inlineStr">
        <is>
          <t>STS 400A PLAT</t>
        </is>
      </c>
      <c r="J10584" t="inlineStr">
        <is>
          <t>MATRION</t>
        </is>
      </c>
      <c r="L10584">
        <f>_xlfn.XLOOKUP(Tableau1[[#This Row],[TYPE DE PIECE]],Tableau4[MATIERE],Tableau4[SHORT TYPE],"",0,1)</f>
        <v/>
      </c>
      <c r="N10584">
        <f>IF(ISERR(FIND("DECOUPE",Tableau1[[#This Row],[DESIGNATION]])),"","NEED REF")</f>
        <v/>
      </c>
    </row>
    <row r="10585">
      <c r="B10585" t="n">
        <v>34403421</v>
      </c>
      <c r="C10585" s="2" t="n">
        <v>41614</v>
      </c>
      <c r="D10585" t="inlineStr">
        <is>
          <t>SPEC</t>
        </is>
      </c>
      <c r="E10585" t="inlineStr">
        <is>
          <t>3/3 CS SUPPORT SLIDE</t>
        </is>
      </c>
      <c r="F10585" t="inlineStr">
        <is>
          <t>STS 400A PLAT</t>
        </is>
      </c>
      <c r="J10585" t="inlineStr">
        <is>
          <t>MATRION</t>
        </is>
      </c>
      <c r="L10585">
        <f>_xlfn.XLOOKUP(Tableau1[[#This Row],[TYPE DE PIECE]],Tableau4[MATIERE],Tableau4[SHORT TYPE],"",0,1)</f>
        <v/>
      </c>
      <c r="N10585">
        <f>IF(ISERR(FIND("DECOUPE",Tableau1[[#This Row],[DESIGNATION]])),"","NEED REF")</f>
        <v/>
      </c>
    </row>
    <row r="10586">
      <c r="B10586" t="n">
        <v>34403420</v>
      </c>
      <c r="C10586" s="2" t="n">
        <v>41614</v>
      </c>
      <c r="D10586" t="inlineStr">
        <is>
          <t>SPEC</t>
        </is>
      </c>
      <c r="E10586" t="inlineStr">
        <is>
          <t>2/3 CS SUPPORT SLIDE</t>
        </is>
      </c>
      <c r="F10586" t="inlineStr">
        <is>
          <t>STS 400A PLAT</t>
        </is>
      </c>
      <c r="J10586" t="inlineStr">
        <is>
          <t>MATRION</t>
        </is>
      </c>
      <c r="L10586">
        <f>_xlfn.XLOOKUP(Tableau1[[#This Row],[TYPE DE PIECE]],Tableau4[MATIERE],Tableau4[SHORT TYPE],"",0,1)</f>
        <v/>
      </c>
      <c r="N10586">
        <f>IF(ISERR(FIND("DECOUPE",Tableau1[[#This Row],[DESIGNATION]])),"","NEED REF")</f>
        <v/>
      </c>
    </row>
    <row r="10587">
      <c r="B10587" t="n">
        <v>34403419</v>
      </c>
      <c r="C10587" s="2" t="n">
        <v>41614</v>
      </c>
      <c r="D10587" t="inlineStr">
        <is>
          <t>SPEC</t>
        </is>
      </c>
      <c r="E10587" t="inlineStr">
        <is>
          <t>1/3 CS SUPPORT SLIDE</t>
        </is>
      </c>
      <c r="F10587" t="inlineStr">
        <is>
          <t>STS 400A PLAT</t>
        </is>
      </c>
      <c r="J10587" t="inlineStr">
        <is>
          <t>MATRION</t>
        </is>
      </c>
      <c r="L10587">
        <f>_xlfn.XLOOKUP(Tableau1[[#This Row],[TYPE DE PIECE]],Tableau4[MATIERE],Tableau4[SHORT TYPE],"",0,1)</f>
        <v/>
      </c>
      <c r="N10587">
        <f>IF(ISERR(FIND("DECOUPE",Tableau1[[#This Row],[DESIGNATION]])),"","NEED REF")</f>
        <v/>
      </c>
    </row>
    <row r="10588">
      <c r="B10588" t="n">
        <v>34403418</v>
      </c>
      <c r="C10588" s="2" t="n">
        <v>41614</v>
      </c>
      <c r="D10588" t="inlineStr">
        <is>
          <t>SPEC</t>
        </is>
      </c>
      <c r="E10588" t="inlineStr">
        <is>
          <t>WIRE KIT BYPASS</t>
        </is>
      </c>
      <c r="F10588" t="inlineStr">
        <is>
          <t>STS 400A PLAT</t>
        </is>
      </c>
      <c r="J10588" t="inlineStr">
        <is>
          <t>MATRION</t>
        </is>
      </c>
      <c r="L10588">
        <f>_xlfn.XLOOKUP(Tableau1[[#This Row],[TYPE DE PIECE]],Tableau4[MATIERE],Tableau4[SHORT TYPE],"",0,1)</f>
        <v/>
      </c>
      <c r="N10588">
        <f>IF(ISERR(FIND("DECOUPE",Tableau1[[#This Row],[DESIGNATION]])),"","NEED REF")</f>
        <v/>
      </c>
    </row>
    <row r="10589">
      <c r="B10589" t="n">
        <v>34403417</v>
      </c>
      <c r="C10589" s="2" t="n">
        <v>41614</v>
      </c>
      <c r="D10589" t="inlineStr">
        <is>
          <t>SPEC</t>
        </is>
      </c>
      <c r="E10589" t="inlineStr">
        <is>
          <t>SUPPORT CUIVRE BYPASS</t>
        </is>
      </c>
      <c r="F10589" t="inlineStr">
        <is>
          <t>STS 400A PLAT</t>
        </is>
      </c>
      <c r="J10589" t="inlineStr">
        <is>
          <t>MATRION</t>
        </is>
      </c>
      <c r="L10589">
        <f>_xlfn.XLOOKUP(Tableau1[[#This Row],[TYPE DE PIECE]],Tableau4[MATIERE],Tableau4[SHORT TYPE],"",0,1)</f>
        <v/>
      </c>
      <c r="N10589">
        <f>IF(ISERR(FIND("DECOUPE",Tableau1[[#This Row],[DESIGNATION]])),"","NEED REF")</f>
        <v/>
      </c>
    </row>
    <row r="10590">
      <c r="B10590" t="n">
        <v>34403416</v>
      </c>
      <c r="C10590" s="2" t="n">
        <v>41614</v>
      </c>
      <c r="D10590" t="inlineStr">
        <is>
          <t>NOM</t>
        </is>
      </c>
      <c r="E10590" t="inlineStr">
        <is>
          <t>LG PLATINE BYPASS STS400 SLIM</t>
        </is>
      </c>
      <c r="F10590" t="inlineStr">
        <is>
          <t>STS 400A PLAT</t>
        </is>
      </c>
      <c r="J10590" t="inlineStr">
        <is>
          <t>MATRION</t>
        </is>
      </c>
      <c r="L10590">
        <f>_xlfn.XLOOKUP(Tableau1[[#This Row],[TYPE DE PIECE]],Tableau4[MATIERE],Tableau4[SHORT TYPE],"",0,1)</f>
        <v/>
      </c>
      <c r="N10590">
        <f>IF(ISERR(FIND("DECOUPE",Tableau1[[#This Row],[DESIGNATION]])),"","NEED REF")</f>
        <v/>
      </c>
    </row>
    <row r="10591">
      <c r="B10591" t="n">
        <v>34403415</v>
      </c>
      <c r="C10591" s="2" t="n">
        <v>41614</v>
      </c>
      <c r="D10591" t="inlineStr">
        <is>
          <t>SPEC</t>
        </is>
      </c>
      <c r="E10591" t="inlineStr">
        <is>
          <t>AMONT Q1BP, Q3 &amp; Q2BP</t>
        </is>
      </c>
      <c r="F10591" t="inlineStr">
        <is>
          <t>STS 400A PLAT</t>
        </is>
      </c>
      <c r="J10591" t="inlineStr">
        <is>
          <t>MATRION</t>
        </is>
      </c>
      <c r="L10591">
        <f>_xlfn.XLOOKUP(Tableau1[[#This Row],[TYPE DE PIECE]],Tableau4[MATIERE],Tableau4[SHORT TYPE],"",0,1)</f>
        <v/>
      </c>
      <c r="N10591">
        <f>IF(ISERR(FIND("DECOUPE",Tableau1[[#This Row],[DESIGNATION]])),"","NEED REF")</f>
        <v/>
      </c>
    </row>
    <row r="10592">
      <c r="B10592" t="n">
        <v>34403414</v>
      </c>
      <c r="C10592" s="2" t="n">
        <v>41611</v>
      </c>
      <c r="D10592" t="inlineStr">
        <is>
          <t>SPEC</t>
        </is>
      </c>
      <c r="E10592" t="inlineStr">
        <is>
          <t>DOOR 700 x 1900 LEFT HINGES</t>
        </is>
      </c>
      <c r="F10592" t="inlineStr">
        <is>
          <t>GOTTARD</t>
        </is>
      </c>
      <c r="J10592" t="inlineStr">
        <is>
          <t>MATRION</t>
        </is>
      </c>
      <c r="L10592">
        <f>_xlfn.XLOOKUP(Tableau1[[#This Row],[TYPE DE PIECE]],Tableau4[MATIERE],Tableau4[SHORT TYPE],"",0,1)</f>
        <v/>
      </c>
      <c r="N10592">
        <f>IF(ISERR(FIND("DECOUPE",Tableau1[[#This Row],[DESIGNATION]])),"","NEED REF")</f>
        <v/>
      </c>
    </row>
    <row r="10593">
      <c r="B10593" t="n">
        <v>34403413</v>
      </c>
      <c r="C10593" s="2" t="n">
        <v>41611</v>
      </c>
      <c r="D10593" t="inlineStr">
        <is>
          <t>SPEC</t>
        </is>
      </c>
      <c r="E10593" t="inlineStr">
        <is>
          <t>S/A DOOR 700 x 1900 LEFT HINGES</t>
        </is>
      </c>
      <c r="F10593" t="inlineStr">
        <is>
          <t>GOTTARD</t>
        </is>
      </c>
      <c r="J10593" t="inlineStr">
        <is>
          <t>MATRION</t>
        </is>
      </c>
      <c r="L10593">
        <f>_xlfn.XLOOKUP(Tableau1[[#This Row],[TYPE DE PIECE]],Tableau4[MATIERE],Tableau4[SHORT TYPE],"",0,1)</f>
        <v/>
      </c>
      <c r="N10593">
        <f>IF(ISERR(FIND("DECOUPE",Tableau1[[#This Row],[DESIGNATION]])),"","NEED REF")</f>
        <v/>
      </c>
    </row>
    <row r="10594">
      <c r="B10594" t="n">
        <v>34403412</v>
      </c>
      <c r="C10594" s="2" t="n">
        <v>41611</v>
      </c>
      <c r="D10594" t="inlineStr">
        <is>
          <t>SPEC</t>
        </is>
      </c>
      <c r="E10594" t="inlineStr">
        <is>
          <t>EARTH BAR CERN</t>
        </is>
      </c>
      <c r="F10594" t="inlineStr">
        <is>
          <t>GOTTARD</t>
        </is>
      </c>
      <c r="J10594" t="inlineStr">
        <is>
          <t>MATRION</t>
        </is>
      </c>
      <c r="L10594">
        <f>_xlfn.XLOOKUP(Tableau1[[#This Row],[TYPE DE PIECE]],Tableau4[MATIERE],Tableau4[SHORT TYPE],"",0,1)</f>
        <v/>
      </c>
      <c r="N10594">
        <f>IF(ISERR(FIND("DECOUPE",Tableau1[[#This Row],[DESIGNATION]])),"","NEED REF")</f>
        <v/>
      </c>
    </row>
    <row r="10595">
      <c r="B10595" t="n">
        <v>34403411</v>
      </c>
      <c r="C10595" s="2" t="n">
        <v>41611</v>
      </c>
      <c r="D10595" t="inlineStr">
        <is>
          <t>SPEC</t>
        </is>
      </c>
      <c r="E10595" t="inlineStr">
        <is>
          <t>SUPPORT CONTACT ECLAIRAGE</t>
        </is>
      </c>
      <c r="F10595" t="inlineStr">
        <is>
          <t>GOTTARD</t>
        </is>
      </c>
      <c r="J10595" t="inlineStr">
        <is>
          <t>MATRION</t>
        </is>
      </c>
      <c r="L10595">
        <f>_xlfn.XLOOKUP(Tableau1[[#This Row],[TYPE DE PIECE]],Tableau4[MATIERE],Tableau4[SHORT TYPE],"",0,1)</f>
        <v/>
      </c>
      <c r="N10595">
        <f>IF(ISERR(FIND("DECOUPE",Tableau1[[#This Row],[DESIGNATION]])),"","NEED REF")</f>
        <v/>
      </c>
    </row>
    <row r="10596">
      <c r="B10596" t="n">
        <v>34403410</v>
      </c>
      <c r="C10596" s="2" t="n">
        <v>41611</v>
      </c>
      <c r="D10596" t="inlineStr">
        <is>
          <t>NOM</t>
        </is>
      </c>
      <c r="J10596" t="inlineStr">
        <is>
          <t>REVEL</t>
        </is>
      </c>
      <c r="L10596">
        <f>_xlfn.XLOOKUP(Tableau1[[#This Row],[TYPE DE PIECE]],Tableau4[MATIERE],Tableau4[SHORT TYPE],"",0,1)</f>
        <v/>
      </c>
      <c r="N10596">
        <f>IF(ISERR(FIND("DECOUPE",Tableau1[[#This Row],[DESIGNATION]])),"","NEED REF")</f>
        <v/>
      </c>
    </row>
    <row r="10597">
      <c r="B10597" t="n">
        <v>34403409</v>
      </c>
      <c r="C10597" s="2" t="n">
        <v>41610</v>
      </c>
      <c r="D10597" t="inlineStr">
        <is>
          <t>SPEC</t>
        </is>
      </c>
      <c r="E10597" t="inlineStr">
        <is>
          <t>SUPPORT CIRCUIT BREAKER LIGHTING</t>
        </is>
      </c>
      <c r="F10597" t="inlineStr">
        <is>
          <t>GOTTARD</t>
        </is>
      </c>
      <c r="J10597" t="inlineStr">
        <is>
          <t>MATRION</t>
        </is>
      </c>
      <c r="L10597">
        <f>_xlfn.XLOOKUP(Tableau1[[#This Row],[TYPE DE PIECE]],Tableau4[MATIERE],Tableau4[SHORT TYPE],"",0,1)</f>
        <v/>
      </c>
      <c r="N10597">
        <f>IF(ISERR(FIND("DECOUPE",Tableau1[[#This Row],[DESIGNATION]])),"","NEED REF")</f>
        <v/>
      </c>
    </row>
    <row r="10598">
      <c r="B10598" t="n">
        <v>34403408</v>
      </c>
      <c r="C10598" s="2" t="n">
        <v>41610</v>
      </c>
      <c r="D10598" t="inlineStr">
        <is>
          <t>SPEC</t>
        </is>
      </c>
      <c r="E10598" t="inlineStr">
        <is>
          <t>CUSTOMER CONNECTION COVER LEFT HINGES</t>
        </is>
      </c>
      <c r="F10598" t="inlineStr">
        <is>
          <t>GOTTARD</t>
        </is>
      </c>
      <c r="J10598" t="inlineStr">
        <is>
          <t>MATRION</t>
        </is>
      </c>
      <c r="L10598">
        <f>_xlfn.XLOOKUP(Tableau1[[#This Row],[TYPE DE PIECE]],Tableau4[MATIERE],Tableau4[SHORT TYPE],"",0,1)</f>
        <v/>
      </c>
      <c r="N10598">
        <f>IF(ISERR(FIND("DECOUPE",Tableau1[[#This Row],[DESIGNATION]])),"","NEED REF")</f>
        <v/>
      </c>
    </row>
    <row r="10599">
      <c r="B10599" t="n">
        <v>34403407</v>
      </c>
      <c r="C10599" s="2" t="n">
        <v>41610</v>
      </c>
      <c r="D10599" t="inlineStr">
        <is>
          <t>SPEC</t>
        </is>
      </c>
      <c r="E10599" t="inlineStr">
        <is>
          <t>PROTECTION SHIELD LEFT HINGES</t>
        </is>
      </c>
      <c r="F10599" t="inlineStr">
        <is>
          <t>GOTTARD</t>
        </is>
      </c>
      <c r="J10599" t="inlineStr">
        <is>
          <t>MATRION</t>
        </is>
      </c>
      <c r="L10599">
        <f>_xlfn.XLOOKUP(Tableau1[[#This Row],[TYPE DE PIECE]],Tableau4[MATIERE],Tableau4[SHORT TYPE],"",0,1)</f>
        <v/>
      </c>
      <c r="N10599">
        <f>IF(ISERR(FIND("DECOUPE",Tableau1[[#This Row],[DESIGNATION]])),"","NEED REF")</f>
        <v/>
      </c>
    </row>
    <row r="10600">
      <c r="B10600" t="n">
        <v>34403406</v>
      </c>
      <c r="C10600" s="2" t="n">
        <v>41610</v>
      </c>
      <c r="D10600" t="inlineStr">
        <is>
          <t>NOM</t>
        </is>
      </c>
      <c r="E10600" t="inlineStr">
        <is>
          <t>NOM DOOR STS 400-630A LEFT HINGES</t>
        </is>
      </c>
      <c r="F10600" t="inlineStr">
        <is>
          <t>GOTTARD</t>
        </is>
      </c>
      <c r="J10600" t="inlineStr">
        <is>
          <t>MATRION</t>
        </is>
      </c>
      <c r="L10600">
        <f>_xlfn.XLOOKUP(Tableau1[[#This Row],[TYPE DE PIECE]],Tableau4[MATIERE],Tableau4[SHORT TYPE],"",0,1)</f>
        <v/>
      </c>
      <c r="N10600">
        <f>IF(ISERR(FIND("DECOUPE",Tableau1[[#This Row],[DESIGNATION]])),"","NEED REF")</f>
        <v/>
      </c>
    </row>
    <row r="10601">
      <c r="B10601" t="n">
        <v>34403405</v>
      </c>
      <c r="C10601" s="2" t="n">
        <v>41607</v>
      </c>
      <c r="D10601" t="inlineStr">
        <is>
          <t>SPEC</t>
        </is>
      </c>
      <c r="E10601" t="inlineStr">
        <is>
          <t>rail DIN support Multiclip</t>
        </is>
      </c>
      <c r="F10601" t="inlineStr">
        <is>
          <t xml:space="preserve">PMM </t>
        </is>
      </c>
      <c r="J10601" t="inlineStr">
        <is>
          <t>PLANTIER</t>
        </is>
      </c>
      <c r="L10601">
        <f>_xlfn.XLOOKUP(Tableau1[[#This Row],[TYPE DE PIECE]],Tableau4[MATIERE],Tableau4[SHORT TYPE],"",0,1)</f>
        <v/>
      </c>
      <c r="N10601">
        <f>IF(ISERR(FIND("DECOUPE",Tableau1[[#This Row],[DESIGNATION]])),"","NEED REF")</f>
        <v/>
      </c>
    </row>
    <row r="10602">
      <c r="B10602" t="n">
        <v>34403404</v>
      </c>
      <c r="C10602" s="2" t="n">
        <v>41607</v>
      </c>
      <c r="D10602" t="inlineStr">
        <is>
          <t>SPEC</t>
        </is>
      </c>
      <c r="E10602" t="inlineStr">
        <is>
          <t>palette de 1200 x 1000</t>
        </is>
      </c>
      <c r="F10602" t="inlineStr">
        <is>
          <t xml:space="preserve">PMM </t>
        </is>
      </c>
      <c r="J10602" t="inlineStr">
        <is>
          <t>PLANTIER</t>
        </is>
      </c>
      <c r="L10602">
        <f>_xlfn.XLOOKUP(Tableau1[[#This Row],[TYPE DE PIECE]],Tableau4[MATIERE],Tableau4[SHORT TYPE],"",0,1)</f>
        <v/>
      </c>
      <c r="N10602">
        <f>IF(ISERR(FIND("DECOUPE",Tableau1[[#This Row],[DESIGNATION]])),"","NEED REF")</f>
        <v/>
      </c>
    </row>
    <row r="10603">
      <c r="B10603" t="n">
        <v>34403403</v>
      </c>
      <c r="C10603" s="2" t="n">
        <v>41607</v>
      </c>
      <c r="D10603" t="inlineStr">
        <is>
          <t>SPEC</t>
        </is>
      </c>
      <c r="E10603" t="inlineStr">
        <is>
          <t>4 liaisons Cu CB/jdb</t>
        </is>
      </c>
      <c r="F10603" t="inlineStr">
        <is>
          <t xml:space="preserve">PMM </t>
        </is>
      </c>
      <c r="J10603" t="inlineStr">
        <is>
          <t>PLANTIER</t>
        </is>
      </c>
      <c r="L10603">
        <f>_xlfn.XLOOKUP(Tableau1[[#This Row],[TYPE DE PIECE]],Tableau4[MATIERE],Tableau4[SHORT TYPE],"",0,1)</f>
        <v/>
      </c>
      <c r="N10603">
        <f>IF(ISERR(FIND("DECOUPE",Tableau1[[#This Row],[DESIGNATION]])),"","NEED REF")</f>
        <v/>
      </c>
    </row>
    <row r="10604">
      <c r="B10604" t="n">
        <v>34403402</v>
      </c>
      <c r="C10604" s="2" t="n">
        <v>41607</v>
      </c>
      <c r="D10604" t="inlineStr">
        <is>
          <t>SPEC</t>
        </is>
      </c>
      <c r="E10604" t="inlineStr">
        <is>
          <t>palette de 1200 x 1000</t>
        </is>
      </c>
      <c r="F10604" t="inlineStr">
        <is>
          <t xml:space="preserve">PMM </t>
        </is>
      </c>
      <c r="J10604" t="inlineStr">
        <is>
          <t>PLANTIER</t>
        </is>
      </c>
      <c r="L10604">
        <f>_xlfn.XLOOKUP(Tableau1[[#This Row],[TYPE DE PIECE]],Tableau4[MATIERE],Tableau4[SHORT TYPE],"",0,1)</f>
        <v/>
      </c>
      <c r="N10604">
        <f>IF(ISERR(FIND("DECOUPE",Tableau1[[#This Row],[DESIGNATION]])),"","NEED REF")</f>
        <v/>
      </c>
    </row>
    <row r="10605">
      <c r="B10605" t="n">
        <v>34403401</v>
      </c>
      <c r="C10605" s="2" t="n">
        <v>41607</v>
      </c>
      <c r="D10605" t="inlineStr">
        <is>
          <t>SPEC</t>
        </is>
      </c>
      <c r="E10605" t="inlineStr">
        <is>
          <t>câbles TFO 200kVA</t>
        </is>
      </c>
      <c r="F10605" t="inlineStr">
        <is>
          <t xml:space="preserve">PMM </t>
        </is>
      </c>
      <c r="J10605" t="inlineStr">
        <is>
          <t>PLANTIER</t>
        </is>
      </c>
      <c r="L10605">
        <f>_xlfn.XLOOKUP(Tableau1[[#This Row],[TYPE DE PIECE]],Tableau4[MATIERE],Tableau4[SHORT TYPE],"",0,1)</f>
        <v/>
      </c>
      <c r="N10605">
        <f>IF(ISERR(FIND("DECOUPE",Tableau1[[#This Row],[DESIGNATION]])),"","NEED REF")</f>
        <v/>
      </c>
    </row>
    <row r="10606">
      <c r="B10606" t="n">
        <v>34403400</v>
      </c>
      <c r="C10606" s="2" t="n"/>
      <c r="L10606">
        <f>_xlfn.XLOOKUP(Tableau1[[#This Row],[TYPE DE PIECE]],Tableau4[MATIERE],Tableau4[SHORT TYPE],"",0,1)</f>
        <v/>
      </c>
      <c r="N10606">
        <f>IF(ISERR(FIND("DECOUPE",Tableau1[[#This Row],[DESIGNATION]])),"","NEED REF")</f>
        <v/>
      </c>
    </row>
    <row r="10607">
      <c r="B10607" t="n">
        <v>34403399</v>
      </c>
      <c r="C10607" s="2" t="n">
        <v>41607</v>
      </c>
      <c r="D10607" t="inlineStr">
        <is>
          <t>SPEC</t>
        </is>
      </c>
      <c r="E10607" t="inlineStr">
        <is>
          <t>PLASTRON CB tfo 600x600</t>
        </is>
      </c>
      <c r="F10607" t="inlineStr">
        <is>
          <t xml:space="preserve">PMM </t>
        </is>
      </c>
      <c r="J10607" t="inlineStr">
        <is>
          <t>PLANTIER</t>
        </is>
      </c>
      <c r="L10607">
        <f>_xlfn.XLOOKUP(Tableau1[[#This Row],[TYPE DE PIECE]],Tableau4[MATIERE],Tableau4[SHORT TYPE],"",0,1)</f>
        <v/>
      </c>
      <c r="N10607">
        <f>IF(ISERR(FIND("DECOUPE",Tableau1[[#This Row],[DESIGNATION]])),"","NEED REF")</f>
        <v/>
      </c>
    </row>
    <row r="10608">
      <c r="B10608" t="n">
        <v>34403398</v>
      </c>
      <c r="C10608" s="2" t="n">
        <v>41607</v>
      </c>
      <c r="D10608" t="inlineStr">
        <is>
          <t>SPEC</t>
        </is>
      </c>
      <c r="E10608" t="inlineStr">
        <is>
          <t>BOM équipement départs</t>
        </is>
      </c>
      <c r="F10608" t="inlineStr">
        <is>
          <t xml:space="preserve">PMM </t>
        </is>
      </c>
      <c r="J10608" t="inlineStr">
        <is>
          <t>PLANTIER</t>
        </is>
      </c>
      <c r="L10608">
        <f>_xlfn.XLOOKUP(Tableau1[[#This Row],[TYPE DE PIECE]],Tableau4[MATIERE],Tableau4[SHORT TYPE],"",0,1)</f>
        <v/>
      </c>
      <c r="N10608">
        <f>IF(ISERR(FIND("DECOUPE",Tableau1[[#This Row],[DESIGNATION]])),"","NEED REF")</f>
        <v/>
      </c>
    </row>
    <row r="10609">
      <c r="B10609" t="n">
        <v>34403397</v>
      </c>
      <c r="C10609" s="2" t="n">
        <v>41607</v>
      </c>
      <c r="D10609" t="inlineStr">
        <is>
          <t>SPEC</t>
        </is>
      </c>
      <c r="E10609" t="inlineStr">
        <is>
          <t>BOM commun PMM</t>
        </is>
      </c>
      <c r="F10609" t="inlineStr">
        <is>
          <t xml:space="preserve">PMM </t>
        </is>
      </c>
      <c r="J10609" t="inlineStr">
        <is>
          <t>PLANTIER</t>
        </is>
      </c>
      <c r="L10609">
        <f>_xlfn.XLOOKUP(Tableau1[[#This Row],[TYPE DE PIECE]],Tableau4[MATIERE],Tableau4[SHORT TYPE],"",0,1)</f>
        <v/>
      </c>
      <c r="N10609">
        <f>IF(ISERR(FIND("DECOUPE",Tableau1[[#This Row],[DESIGNATION]])),"","NEED REF")</f>
        <v/>
      </c>
    </row>
    <row r="10610">
      <c r="B10610" t="n">
        <v>34403396</v>
      </c>
      <c r="C10610" s="2" t="n">
        <v>41607</v>
      </c>
      <c r="D10610" t="inlineStr">
        <is>
          <t>SPEC</t>
        </is>
      </c>
      <c r="E10610" t="inlineStr">
        <is>
          <t>Ensemble Spacial SF Prisma P spéciale p=800</t>
        </is>
      </c>
      <c r="F10610" t="inlineStr">
        <is>
          <t xml:space="preserve">PMM </t>
        </is>
      </c>
      <c r="J10610" t="inlineStr">
        <is>
          <t>PLANTIER</t>
        </is>
      </c>
      <c r="L10610">
        <f>_xlfn.XLOOKUP(Tableau1[[#This Row],[TYPE DE PIECE]],Tableau4[MATIERE],Tableau4[SHORT TYPE],"",0,1)</f>
        <v/>
      </c>
      <c r="N10610">
        <f>IF(ISERR(FIND("DECOUPE",Tableau1[[#This Row],[DESIGNATION]])),"","NEED REF")</f>
        <v/>
      </c>
    </row>
    <row r="10611">
      <c r="B10611" t="n">
        <v>34403395</v>
      </c>
      <c r="C10611" s="2" t="n">
        <v>41607</v>
      </c>
      <c r="D10611" t="inlineStr">
        <is>
          <t>SPEC</t>
        </is>
      </c>
      <c r="E10611" t="inlineStr">
        <is>
          <t>Ensemble Spacial SF Prisma P spéciale p=500</t>
        </is>
      </c>
      <c r="F10611" t="inlineStr">
        <is>
          <t xml:space="preserve">PMM </t>
        </is>
      </c>
      <c r="J10611" t="inlineStr">
        <is>
          <t>PLANTIER</t>
        </is>
      </c>
      <c r="L10611">
        <f>_xlfn.XLOOKUP(Tableau1[[#This Row],[TYPE DE PIECE]],Tableau4[MATIERE],Tableau4[SHORT TYPE],"",0,1)</f>
        <v/>
      </c>
      <c r="N10611">
        <f>IF(ISERR(FIND("DECOUPE",Tableau1[[#This Row],[DESIGNATION]])),"","NEED REF")</f>
        <v/>
      </c>
    </row>
    <row r="10612">
      <c r="B10612" t="n">
        <v>34403394</v>
      </c>
      <c r="C10612" s="2" t="n">
        <v>41607</v>
      </c>
      <c r="D10612" t="inlineStr">
        <is>
          <t>SPEC</t>
        </is>
      </c>
      <c r="E10612" t="inlineStr">
        <is>
          <t>BOM armoire TFO</t>
        </is>
      </c>
      <c r="F10612" t="inlineStr">
        <is>
          <t xml:space="preserve">PMM </t>
        </is>
      </c>
      <c r="J10612" t="inlineStr">
        <is>
          <t>PLANTIER</t>
        </is>
      </c>
      <c r="L10612">
        <f>_xlfn.XLOOKUP(Tableau1[[#This Row],[TYPE DE PIECE]],Tableau4[MATIERE],Tableau4[SHORT TYPE],"",0,1)</f>
        <v/>
      </c>
      <c r="N10612">
        <f>IF(ISERR(FIND("DECOUPE",Tableau1[[#This Row],[DESIGNATION]])),"","NEED REF")</f>
        <v/>
      </c>
    </row>
    <row r="10613">
      <c r="B10613" t="n">
        <v>34403393</v>
      </c>
      <c r="C10613" s="2" t="n">
        <v>41607</v>
      </c>
      <c r="D10613" t="inlineStr">
        <is>
          <t>SPEC</t>
        </is>
      </c>
      <c r="E10613" t="inlineStr">
        <is>
          <t>câbles TFO 110kVA</t>
        </is>
      </c>
      <c r="F10613" t="inlineStr">
        <is>
          <t xml:space="preserve">PMM </t>
        </is>
      </c>
      <c r="J10613" t="inlineStr">
        <is>
          <t>PLANTIER</t>
        </is>
      </c>
      <c r="L10613">
        <f>_xlfn.XLOOKUP(Tableau1[[#This Row],[TYPE DE PIECE]],Tableau4[MATIERE],Tableau4[SHORT TYPE],"",0,1)</f>
        <v/>
      </c>
      <c r="N10613">
        <f>IF(ISERR(FIND("DECOUPE",Tableau1[[#This Row],[DESIGNATION]])),"","NEED REF")</f>
        <v/>
      </c>
    </row>
    <row r="10614">
      <c r="B10614" t="n">
        <v>34403392</v>
      </c>
      <c r="C10614" s="2" t="n">
        <v>41607</v>
      </c>
      <c r="D10614" t="inlineStr">
        <is>
          <t>SPEC</t>
        </is>
      </c>
      <c r="E10614" t="inlineStr">
        <is>
          <t>câbles TFO 70kVA</t>
        </is>
      </c>
      <c r="F10614" t="inlineStr">
        <is>
          <t xml:space="preserve">PMM </t>
        </is>
      </c>
      <c r="J10614" t="inlineStr">
        <is>
          <t>PLANTIER</t>
        </is>
      </c>
      <c r="L10614">
        <f>_xlfn.XLOOKUP(Tableau1[[#This Row],[TYPE DE PIECE]],Tableau4[MATIERE],Tableau4[SHORT TYPE],"",0,1)</f>
        <v/>
      </c>
      <c r="N10614">
        <f>IF(ISERR(FIND("DECOUPE",Tableau1[[#This Row],[DESIGNATION]])),"","NEED REF")</f>
        <v/>
      </c>
    </row>
    <row r="10615">
      <c r="B10615" t="n">
        <v>34403391</v>
      </c>
      <c r="C10615" s="2" t="n">
        <v>41607</v>
      </c>
      <c r="D10615" t="inlineStr">
        <is>
          <t>SPEC</t>
        </is>
      </c>
      <c r="E10615" t="inlineStr">
        <is>
          <t>BOM auxiliaire NSX630 4P</t>
        </is>
      </c>
      <c r="F10615" t="inlineStr">
        <is>
          <t xml:space="preserve">PMM </t>
        </is>
      </c>
      <c r="J10615" t="inlineStr">
        <is>
          <t>PLANTIER</t>
        </is>
      </c>
      <c r="L10615">
        <f>_xlfn.XLOOKUP(Tableau1[[#This Row],[TYPE DE PIECE]],Tableau4[MATIERE],Tableau4[SHORT TYPE],"",0,1)</f>
        <v/>
      </c>
      <c r="N10615">
        <f>IF(ISERR(FIND("DECOUPE",Tableau1[[#This Row],[DESIGNATION]])),"","NEED REF")</f>
        <v/>
      </c>
    </row>
    <row r="10616">
      <c r="B10616" t="n">
        <v>34403390</v>
      </c>
      <c r="C10616" s="2" t="n">
        <v>41607</v>
      </c>
      <c r="D10616" t="inlineStr">
        <is>
          <t>SPEC</t>
        </is>
      </c>
      <c r="E10616" t="inlineStr">
        <is>
          <t>BOM auxiliaire NSX400 4P</t>
        </is>
      </c>
      <c r="F10616" t="inlineStr">
        <is>
          <t xml:space="preserve">PMM </t>
        </is>
      </c>
      <c r="J10616" t="inlineStr">
        <is>
          <t>PLANTIER</t>
        </is>
      </c>
      <c r="L10616">
        <f>_xlfn.XLOOKUP(Tableau1[[#This Row],[TYPE DE PIECE]],Tableau4[MATIERE],Tableau4[SHORT TYPE],"",0,1)</f>
        <v/>
      </c>
      <c r="N10616">
        <f>IF(ISERR(FIND("DECOUPE",Tableau1[[#This Row],[DESIGNATION]])),"","NEED REF")</f>
        <v/>
      </c>
    </row>
    <row r="10617">
      <c r="B10617" t="n">
        <v>34403389</v>
      </c>
      <c r="C10617" s="2" t="n">
        <v>41607</v>
      </c>
      <c r="D10617" t="inlineStr">
        <is>
          <t>SPEC</t>
        </is>
      </c>
      <c r="E10617" t="inlineStr">
        <is>
          <t>BOM auxiliaire NSX250 4P</t>
        </is>
      </c>
      <c r="F10617" t="inlineStr">
        <is>
          <t xml:space="preserve">PMM </t>
        </is>
      </c>
      <c r="J10617" t="inlineStr">
        <is>
          <t>PLANTIER</t>
        </is>
      </c>
      <c r="L10617">
        <f>_xlfn.XLOOKUP(Tableau1[[#This Row],[TYPE DE PIECE]],Tableau4[MATIERE],Tableau4[SHORT TYPE],"",0,1)</f>
        <v/>
      </c>
      <c r="N10617">
        <f>IF(ISERR(FIND("DECOUPE",Tableau1[[#This Row],[DESIGNATION]])),"","NEED REF")</f>
        <v/>
      </c>
    </row>
    <row r="10618">
      <c r="B10618" t="n">
        <v>34403388</v>
      </c>
      <c r="C10618" s="2" t="n">
        <v>41607</v>
      </c>
      <c r="D10618" t="inlineStr">
        <is>
          <t>SPEC</t>
        </is>
      </c>
      <c r="E10618" t="inlineStr">
        <is>
          <t>BOM auxiliaire NSX630 3P</t>
        </is>
      </c>
      <c r="F10618" t="inlineStr">
        <is>
          <t xml:space="preserve">PMM </t>
        </is>
      </c>
      <c r="J10618" t="inlineStr">
        <is>
          <t>PLANTIER</t>
        </is>
      </c>
      <c r="L10618">
        <f>_xlfn.XLOOKUP(Tableau1[[#This Row],[TYPE DE PIECE]],Tableau4[MATIERE],Tableau4[SHORT TYPE],"",0,1)</f>
        <v/>
      </c>
      <c r="N10618">
        <f>IF(ISERR(FIND("DECOUPE",Tableau1[[#This Row],[DESIGNATION]])),"","NEED REF")</f>
        <v/>
      </c>
    </row>
    <row r="10619">
      <c r="B10619" t="n">
        <v>34403387</v>
      </c>
      <c r="C10619" s="2" t="n">
        <v>41607</v>
      </c>
      <c r="D10619" t="inlineStr">
        <is>
          <t>SPEC</t>
        </is>
      </c>
      <c r="E10619" t="inlineStr">
        <is>
          <t>BOM auxiliaire NSX400 3P</t>
        </is>
      </c>
      <c r="F10619" t="inlineStr">
        <is>
          <t xml:space="preserve">PMM </t>
        </is>
      </c>
      <c r="J10619" t="inlineStr">
        <is>
          <t>PLANTIER</t>
        </is>
      </c>
      <c r="L10619">
        <f>_xlfn.XLOOKUP(Tableau1[[#This Row],[TYPE DE PIECE]],Tableau4[MATIERE],Tableau4[SHORT TYPE],"",0,1)</f>
        <v/>
      </c>
      <c r="N10619">
        <f>IF(ISERR(FIND("DECOUPE",Tableau1[[#This Row],[DESIGNATION]])),"","NEED REF")</f>
        <v/>
      </c>
    </row>
    <row r="10620">
      <c r="B10620" t="n">
        <v>34403386</v>
      </c>
      <c r="C10620" s="2" t="n">
        <v>41607</v>
      </c>
      <c r="D10620" t="inlineStr">
        <is>
          <t>SPEC</t>
        </is>
      </c>
      <c r="E10620" t="inlineStr">
        <is>
          <t>BOM auxiliaire NSX250 3P</t>
        </is>
      </c>
      <c r="F10620" t="inlineStr">
        <is>
          <t xml:space="preserve">PMM </t>
        </is>
      </c>
      <c r="J10620" t="inlineStr">
        <is>
          <t>PLANTIER</t>
        </is>
      </c>
      <c r="L10620">
        <f>_xlfn.XLOOKUP(Tableau1[[#This Row],[TYPE DE PIECE]],Tableau4[MATIERE],Tableau4[SHORT TYPE],"",0,1)</f>
        <v/>
      </c>
      <c r="N10620">
        <f>IF(ISERR(FIND("DECOUPE",Tableau1[[#This Row],[DESIGNATION]])),"","NEED REF")</f>
        <v/>
      </c>
    </row>
    <row r="10621">
      <c r="B10621" t="n">
        <v>34403385</v>
      </c>
      <c r="C10621" s="2" t="n">
        <v>41606</v>
      </c>
      <c r="D10621" t="inlineStr">
        <is>
          <t>SPEC</t>
        </is>
      </c>
      <c r="E10621" t="inlineStr">
        <is>
          <t>CANEVAS DE CDE INVERSEUR DE SOURCE 2XINS630 AUTOMATISE</t>
        </is>
      </c>
      <c r="F10621" t="inlineStr">
        <is>
          <t>G7K CNES</t>
        </is>
      </c>
      <c r="J10621" t="inlineStr">
        <is>
          <t>ROBERT</t>
        </is>
      </c>
      <c r="L10621">
        <f>_xlfn.XLOOKUP(Tableau1[[#This Row],[TYPE DE PIECE]],Tableau4[MATIERE],Tableau4[SHORT TYPE],"",0,1)</f>
        <v/>
      </c>
      <c r="N10621">
        <f>IF(ISERR(FIND("DECOUPE",Tableau1[[#This Row],[DESIGNATION]])),"","NEED REF")</f>
        <v/>
      </c>
    </row>
    <row r="10622">
      <c r="B10622" t="n">
        <v>34403384</v>
      </c>
      <c r="C10622" s="2" t="n">
        <v>41603</v>
      </c>
      <c r="D10622" t="inlineStr">
        <is>
          <t>SPEC</t>
        </is>
      </c>
      <c r="E10622" t="inlineStr">
        <is>
          <t>MAIN PLATE PLASTIC ISOLATOR</t>
        </is>
      </c>
      <c r="F10622" t="inlineStr">
        <is>
          <t>FLAT ARRAY BOX</t>
        </is>
      </c>
      <c r="J10622" t="inlineStr">
        <is>
          <t>MATRION</t>
        </is>
      </c>
      <c r="L10622">
        <f>_xlfn.XLOOKUP(Tableau1[[#This Row],[TYPE DE PIECE]],Tableau4[MATIERE],Tableau4[SHORT TYPE],"",0,1)</f>
        <v/>
      </c>
      <c r="N10622">
        <f>IF(ISERR(FIND("DECOUPE",Tableau1[[#This Row],[DESIGNATION]])),"","NEED REF")</f>
        <v/>
      </c>
    </row>
    <row r="10623">
      <c r="B10623" t="n">
        <v>34403383</v>
      </c>
      <c r="C10623" s="2" t="n">
        <v>41603</v>
      </c>
      <c r="D10623" t="inlineStr">
        <is>
          <t>SPEC</t>
        </is>
      </c>
      <c r="E10623" t="inlineStr">
        <is>
          <t>RAIL DIN FLAT 24 CHANNEL</t>
        </is>
      </c>
      <c r="F10623" t="inlineStr">
        <is>
          <t>FLAT ARRAY BOX</t>
        </is>
      </c>
      <c r="J10623" t="inlineStr">
        <is>
          <t>MATRION</t>
        </is>
      </c>
      <c r="L10623">
        <f>_xlfn.XLOOKUP(Tableau1[[#This Row],[TYPE DE PIECE]],Tableau4[MATIERE],Tableau4[SHORT TYPE],"",0,1)</f>
        <v/>
      </c>
      <c r="N10623">
        <f>IF(ISERR(FIND("DECOUPE",Tableau1[[#This Row],[DESIGNATION]])),"","NEED REF")</f>
        <v/>
      </c>
    </row>
    <row r="10624">
      <c r="B10624" t="n">
        <v>34403382</v>
      </c>
      <c r="C10624" s="2" t="n">
        <v>41603</v>
      </c>
      <c r="D10624" t="inlineStr">
        <is>
          <t>SPEC</t>
        </is>
      </c>
      <c r="E10624" t="inlineStr">
        <is>
          <t>RAIL DIN FLAT 24 CHANNEL + SURGE A</t>
        </is>
      </c>
      <c r="F10624" t="inlineStr">
        <is>
          <t>FLAT ARRAY BOX</t>
        </is>
      </c>
      <c r="J10624" t="inlineStr">
        <is>
          <t>MATRION</t>
        </is>
      </c>
      <c r="L10624">
        <f>_xlfn.XLOOKUP(Tableau1[[#This Row],[TYPE DE PIECE]],Tableau4[MATIERE],Tableau4[SHORT TYPE],"",0,1)</f>
        <v/>
      </c>
      <c r="N10624">
        <f>IF(ISERR(FIND("DECOUPE",Tableau1[[#This Row],[DESIGNATION]])),"","NEED REF")</f>
        <v/>
      </c>
    </row>
    <row r="10625">
      <c r="B10625" t="n">
        <v>34403381</v>
      </c>
      <c r="C10625" s="2" t="n">
        <v>41603</v>
      </c>
      <c r="D10625" t="inlineStr">
        <is>
          <t>SPEC</t>
        </is>
      </c>
      <c r="E10625" t="inlineStr">
        <is>
          <t>DIN RAIL PLAT 24 CHANNEL POSITIVE SIDE S/A</t>
        </is>
      </c>
      <c r="F10625" t="inlineStr">
        <is>
          <t>FLAT ARRAY BOX</t>
        </is>
      </c>
      <c r="J10625" t="inlineStr">
        <is>
          <t>MATRION</t>
        </is>
      </c>
      <c r="L10625">
        <f>_xlfn.XLOOKUP(Tableau1[[#This Row],[TYPE DE PIECE]],Tableau4[MATIERE],Tableau4[SHORT TYPE],"",0,1)</f>
        <v/>
      </c>
      <c r="N10625">
        <f>IF(ISERR(FIND("DECOUPE",Tableau1[[#This Row],[DESIGNATION]])),"","NEED REF")</f>
        <v/>
      </c>
    </row>
    <row r="10626">
      <c r="B10626" t="n">
        <v>34403380</v>
      </c>
      <c r="C10626" s="2" t="n">
        <v>41603</v>
      </c>
      <c r="D10626" t="inlineStr">
        <is>
          <t>SPEC</t>
        </is>
      </c>
      <c r="E10626" t="inlineStr">
        <is>
          <t>DIN RAIL PLAT 24 CHANNEL NEGATIVE SIDE S/A</t>
        </is>
      </c>
      <c r="F10626" t="inlineStr">
        <is>
          <t>FLAT ARRAY BOX</t>
        </is>
      </c>
      <c r="J10626" t="inlineStr">
        <is>
          <t>MATRION</t>
        </is>
      </c>
      <c r="L10626">
        <f>_xlfn.XLOOKUP(Tableau1[[#This Row],[TYPE DE PIECE]],Tableau4[MATIERE],Tableau4[SHORT TYPE],"",0,1)</f>
        <v/>
      </c>
      <c r="N10626">
        <f>IF(ISERR(FIND("DECOUPE",Tableau1[[#This Row],[DESIGNATION]])),"","NEED REF")</f>
        <v/>
      </c>
    </row>
    <row r="10627">
      <c r="B10627" t="n">
        <v>34403379</v>
      </c>
      <c r="C10627" s="2" t="n">
        <v>41603</v>
      </c>
      <c r="D10627" t="inlineStr">
        <is>
          <t>SPEC</t>
        </is>
      </c>
      <c r="E10627" t="inlineStr">
        <is>
          <t>RIGHT CONNEXION COPPER BAR</t>
        </is>
      </c>
      <c r="F10627" t="inlineStr">
        <is>
          <t>FLAT ARRAY BOX</t>
        </is>
      </c>
      <c r="J10627" t="inlineStr">
        <is>
          <t>MATRION</t>
        </is>
      </c>
      <c r="L10627">
        <f>_xlfn.XLOOKUP(Tableau1[[#This Row],[TYPE DE PIECE]],Tableau4[MATIERE],Tableau4[SHORT TYPE],"",0,1)</f>
        <v/>
      </c>
      <c r="N10627">
        <f>IF(ISERR(FIND("DECOUPE",Tableau1[[#This Row],[DESIGNATION]])),"","NEED REF")</f>
        <v/>
      </c>
    </row>
    <row r="10628">
      <c r="B10628" t="n">
        <v>34403378</v>
      </c>
      <c r="C10628" s="2" t="n">
        <v>41603</v>
      </c>
      <c r="D10628" t="inlineStr">
        <is>
          <t>SPEC</t>
        </is>
      </c>
      <c r="E10628" t="inlineStr">
        <is>
          <t>LEFT CONNEXION COPPER BAR</t>
        </is>
      </c>
      <c r="F10628" t="inlineStr">
        <is>
          <t>FLAT ARRAY BOX</t>
        </is>
      </c>
      <c r="J10628" t="inlineStr">
        <is>
          <t>MATRION</t>
        </is>
      </c>
      <c r="L10628">
        <f>_xlfn.XLOOKUP(Tableau1[[#This Row],[TYPE DE PIECE]],Tableau4[MATIERE],Tableau4[SHORT TYPE],"",0,1)</f>
        <v/>
      </c>
      <c r="N10628">
        <f>IF(ISERR(FIND("DECOUPE",Tableau1[[#This Row],[DESIGNATION]])),"","NEED REF")</f>
        <v/>
      </c>
    </row>
    <row r="10629">
      <c r="B10629" t="n">
        <v>34403377</v>
      </c>
      <c r="C10629" s="2" t="n">
        <v>41603</v>
      </c>
      <c r="D10629" t="inlineStr">
        <is>
          <t>SPEC</t>
        </is>
      </c>
      <c r="E10629" t="inlineStr">
        <is>
          <t>THALASSA FLAT BOX 750x1250x320 AND PLATS</t>
        </is>
      </c>
      <c r="F10629" t="inlineStr">
        <is>
          <t>FLAT ARRAY BOX</t>
        </is>
      </c>
      <c r="J10629" t="inlineStr">
        <is>
          <t>MATRION</t>
        </is>
      </c>
      <c r="L10629">
        <f>_xlfn.XLOOKUP(Tableau1[[#This Row],[TYPE DE PIECE]],Tableau4[MATIERE],Tableau4[SHORT TYPE],"",0,1)</f>
        <v/>
      </c>
      <c r="N10629">
        <f>IF(ISERR(FIND("DECOUPE",Tableau1[[#This Row],[DESIGNATION]])),"","NEED REF")</f>
        <v/>
      </c>
    </row>
    <row r="10630">
      <c r="B10630" t="n">
        <v>34403376</v>
      </c>
      <c r="C10630" s="2" t="n">
        <v>41603</v>
      </c>
      <c r="D10630" t="inlineStr">
        <is>
          <t>SPEC</t>
        </is>
      </c>
      <c r="E10630" t="inlineStr">
        <is>
          <t>REAR PLATE 2</t>
        </is>
      </c>
      <c r="F10630" t="inlineStr">
        <is>
          <t>FLAT ARRAY BOX</t>
        </is>
      </c>
      <c r="J10630" t="inlineStr">
        <is>
          <t>MATRION</t>
        </is>
      </c>
      <c r="L10630">
        <f>_xlfn.XLOOKUP(Tableau1[[#This Row],[TYPE DE PIECE]],Tableau4[MATIERE],Tableau4[SHORT TYPE],"",0,1)</f>
        <v/>
      </c>
      <c r="N10630">
        <f>IF(ISERR(FIND("DECOUPE",Tableau1[[#This Row],[DESIGNATION]])),"","NEED REF")</f>
        <v/>
      </c>
    </row>
    <row r="10631">
      <c r="B10631" t="n">
        <v>34403375</v>
      </c>
      <c r="C10631" s="2" t="n">
        <v>41603</v>
      </c>
      <c r="D10631" t="inlineStr">
        <is>
          <t>SPEC</t>
        </is>
      </c>
      <c r="E10631" t="inlineStr">
        <is>
          <t>REAR PLATE 1</t>
        </is>
      </c>
      <c r="F10631" t="inlineStr">
        <is>
          <t>FLAT ARRAY BOX</t>
        </is>
      </c>
      <c r="J10631" t="inlineStr">
        <is>
          <t>MATRION</t>
        </is>
      </c>
      <c r="L10631">
        <f>_xlfn.XLOOKUP(Tableau1[[#This Row],[TYPE DE PIECE]],Tableau4[MATIERE],Tableau4[SHORT TYPE],"",0,1)</f>
        <v/>
      </c>
      <c r="N10631">
        <f>IF(ISERR(FIND("DECOUPE",Tableau1[[#This Row],[DESIGNATION]])),"","NEED REF")</f>
        <v/>
      </c>
    </row>
    <row r="10632">
      <c r="B10632" t="n">
        <v>34403374</v>
      </c>
      <c r="C10632" s="2" t="n">
        <v>41603</v>
      </c>
      <c r="D10632" t="inlineStr">
        <is>
          <t>SPEC</t>
        </is>
      </c>
      <c r="E10632" t="inlineStr">
        <is>
          <t>THALASSA FLAT BOX 750x1250x320</t>
        </is>
      </c>
      <c r="F10632" t="inlineStr">
        <is>
          <t>FLAT ARRAY BOX</t>
        </is>
      </c>
      <c r="J10632" t="inlineStr">
        <is>
          <t>MATRION</t>
        </is>
      </c>
      <c r="L10632">
        <f>_xlfn.XLOOKUP(Tableau1[[#This Row],[TYPE DE PIECE]],Tableau4[MATIERE],Tableau4[SHORT TYPE],"",0,1)</f>
        <v/>
      </c>
      <c r="N10632">
        <f>IF(ISERR(FIND("DECOUPE",Tableau1[[#This Row],[DESIGNATION]])),"","NEED REF")</f>
        <v/>
      </c>
    </row>
    <row r="10633">
      <c r="B10633" t="n">
        <v>34403373</v>
      </c>
      <c r="C10633" s="2" t="n">
        <v>41604</v>
      </c>
      <c r="D10633" t="inlineStr">
        <is>
          <t>NOM</t>
        </is>
      </c>
      <c r="E10633" t="inlineStr">
        <is>
          <t>NOM FLAT ARRAY BOX</t>
        </is>
      </c>
      <c r="F10633" t="inlineStr">
        <is>
          <t>FLAT ARRAY BOX</t>
        </is>
      </c>
      <c r="J10633" t="inlineStr">
        <is>
          <t>MATRION</t>
        </is>
      </c>
      <c r="L10633">
        <f>_xlfn.XLOOKUP(Tableau1[[#This Row],[TYPE DE PIECE]],Tableau4[MATIERE],Tableau4[SHORT TYPE],"",0,1)</f>
        <v/>
      </c>
      <c r="N10633">
        <f>IF(ISERR(FIND("DECOUPE",Tableau1[[#This Row],[DESIGNATION]])),"","NEED REF")</f>
        <v/>
      </c>
    </row>
    <row r="10634">
      <c r="B10634" t="n">
        <v>34403372</v>
      </c>
      <c r="C10634" s="2" t="n">
        <v>41603</v>
      </c>
      <c r="D10634" t="inlineStr">
        <is>
          <t>NOM</t>
        </is>
      </c>
      <c r="E10634" t="inlineStr">
        <is>
          <t>BATT CIRCUIT BREAKER PX 48kW AND G3500 40kVA</t>
        </is>
      </c>
      <c r="F10634" t="inlineStr">
        <is>
          <t>COFFRET DJ SYMMETRA 40kW</t>
        </is>
      </c>
      <c r="J10634" t="inlineStr">
        <is>
          <t>MATRION</t>
        </is>
      </c>
      <c r="L10634">
        <f>_xlfn.XLOOKUP(Tableau1[[#This Row],[TYPE DE PIECE]],Tableau4[MATIERE],Tableau4[SHORT TYPE],"",0,1)</f>
        <v/>
      </c>
      <c r="N10634">
        <f>IF(ISERR(FIND("DECOUPE",Tableau1[[#This Row],[DESIGNATION]])),"","NEED REF")</f>
        <v/>
      </c>
    </row>
    <row r="10635">
      <c r="B10635" t="n">
        <v>34403371</v>
      </c>
      <c r="C10635" s="2" t="n">
        <v>41603</v>
      </c>
      <c r="D10635" t="inlineStr">
        <is>
          <t>SPEC</t>
        </is>
      </c>
      <c r="E10635" t="inlineStr">
        <is>
          <t>CIRCUIT BREAKER PROTECTION SHIELD</t>
        </is>
      </c>
      <c r="F10635" t="inlineStr">
        <is>
          <t>COFFRET DJ SYMMETRA 40kW</t>
        </is>
      </c>
      <c r="J10635" t="inlineStr">
        <is>
          <t>MATRION</t>
        </is>
      </c>
      <c r="L10635">
        <f>_xlfn.XLOOKUP(Tableau1[[#This Row],[TYPE DE PIECE]],Tableau4[MATIERE],Tableau4[SHORT TYPE],"",0,1)</f>
        <v/>
      </c>
      <c r="N10635">
        <f>IF(ISERR(FIND("DECOUPE",Tableau1[[#This Row],[DESIGNATION]])),"","NEED REF")</f>
        <v/>
      </c>
    </row>
    <row r="10636">
      <c r="B10636" t="n">
        <v>34403370</v>
      </c>
      <c r="C10636" s="2" t="n">
        <v>41603</v>
      </c>
      <c r="D10636" t="inlineStr">
        <is>
          <t>SPEC</t>
        </is>
      </c>
      <c r="E10636" t="inlineStr">
        <is>
          <t>CIRCUIT BREAKER WIRE KIT</t>
        </is>
      </c>
      <c r="F10636" t="inlineStr">
        <is>
          <t>COFFRET DJ SYMMETRA 40kW</t>
        </is>
      </c>
      <c r="J10636" t="inlineStr">
        <is>
          <t>MATRION</t>
        </is>
      </c>
      <c r="L10636">
        <f>_xlfn.XLOOKUP(Tableau1[[#This Row],[TYPE DE PIECE]],Tableau4[MATIERE],Tableau4[SHORT TYPE],"",0,1)</f>
        <v/>
      </c>
      <c r="N10636">
        <f>IF(ISERR(FIND("DECOUPE",Tableau1[[#This Row],[DESIGNATION]])),"","NEED REF")</f>
        <v/>
      </c>
    </row>
    <row r="10637">
      <c r="B10637" t="n">
        <v>34403369</v>
      </c>
      <c r="C10637" s="2" t="n">
        <v>41603</v>
      </c>
      <c r="D10637" t="inlineStr">
        <is>
          <t>SPEC</t>
        </is>
      </c>
      <c r="E10637" t="inlineStr">
        <is>
          <t>CIRCUIT BREAKER BATT COPPER BAR LINK</t>
        </is>
      </c>
      <c r="F10637" t="inlineStr">
        <is>
          <t>COFFRET DJ SYMMETRA 40kW</t>
        </is>
      </c>
      <c r="J10637" t="inlineStr">
        <is>
          <t>MATRION</t>
        </is>
      </c>
      <c r="L10637">
        <f>_xlfn.XLOOKUP(Tableau1[[#This Row],[TYPE DE PIECE]],Tableau4[MATIERE],Tableau4[SHORT TYPE],"",0,1)</f>
        <v/>
      </c>
      <c r="N10637">
        <f>IF(ISERR(FIND("DECOUPE",Tableau1[[#This Row],[DESIGNATION]])),"","NEED REF")</f>
        <v/>
      </c>
    </row>
    <row r="10638">
      <c r="B10638" t="n">
        <v>34403368</v>
      </c>
      <c r="C10638" s="2" t="n">
        <v>41603</v>
      </c>
      <c r="D10638" t="inlineStr">
        <is>
          <t>SPEC</t>
        </is>
      </c>
      <c r="E10638" t="inlineStr">
        <is>
          <t>CIRCUIT BREAKER UPS COPPER BAR</t>
        </is>
      </c>
      <c r="F10638" t="inlineStr">
        <is>
          <t>COFFRET DJ SYMMETRA 40kW</t>
        </is>
      </c>
      <c r="J10638" t="inlineStr">
        <is>
          <t>MATRION</t>
        </is>
      </c>
      <c r="L10638">
        <f>_xlfn.XLOOKUP(Tableau1[[#This Row],[TYPE DE PIECE]],Tableau4[MATIERE],Tableau4[SHORT TYPE],"",0,1)</f>
        <v/>
      </c>
      <c r="N10638">
        <f>IF(ISERR(FIND("DECOUPE",Tableau1[[#This Row],[DESIGNATION]])),"","NEED REF")</f>
        <v/>
      </c>
    </row>
    <row r="10639">
      <c r="B10639" t="n">
        <v>34403367</v>
      </c>
      <c r="C10639" s="2" t="n">
        <v>41603</v>
      </c>
      <c r="D10639" t="inlineStr">
        <is>
          <t>SPEC</t>
        </is>
      </c>
      <c r="E10639" t="inlineStr">
        <is>
          <t>CIRCUIT BREAKER BATT COPPER BAR</t>
        </is>
      </c>
      <c r="F10639" t="inlineStr">
        <is>
          <t>COFFRET DJ SYMMETRA 40kW</t>
        </is>
      </c>
      <c r="J10639" t="inlineStr">
        <is>
          <t>MATRION</t>
        </is>
      </c>
      <c r="L10639">
        <f>_xlfn.XLOOKUP(Tableau1[[#This Row],[TYPE DE PIECE]],Tableau4[MATIERE],Tableau4[SHORT TYPE],"",0,1)</f>
        <v/>
      </c>
      <c r="N10639">
        <f>IF(ISERR(FIND("DECOUPE",Tableau1[[#This Row],[DESIGNATION]])),"","NEED REF")</f>
        <v/>
      </c>
    </row>
    <row r="10640">
      <c r="B10640" t="n">
        <v>34403366</v>
      </c>
      <c r="C10640" s="2" t="n">
        <v>41603</v>
      </c>
      <c r="D10640" t="inlineStr">
        <is>
          <t>SPEC</t>
        </is>
      </c>
      <c r="E10640" t="inlineStr">
        <is>
          <t>CIRCUIT BREAKER NSX250 PLATE</t>
        </is>
      </c>
      <c r="F10640" t="inlineStr">
        <is>
          <t>COFFRET DJ SYMMETRA 40kW</t>
        </is>
      </c>
      <c r="J10640" t="inlineStr">
        <is>
          <t>MATRION</t>
        </is>
      </c>
      <c r="L10640">
        <f>_xlfn.XLOOKUP(Tableau1[[#This Row],[TYPE DE PIECE]],Tableau4[MATIERE],Tableau4[SHORT TYPE],"",0,1)</f>
        <v/>
      </c>
      <c r="N10640">
        <f>IF(ISERR(FIND("DECOUPE",Tableau1[[#This Row],[DESIGNATION]])),"","NEED REF")</f>
        <v/>
      </c>
    </row>
    <row r="10641">
      <c r="B10641" t="n">
        <v>34403365</v>
      </c>
      <c r="C10641" s="2" t="n">
        <v>41603</v>
      </c>
      <c r="D10641" t="inlineStr">
        <is>
          <t>SPEC</t>
        </is>
      </c>
      <c r="E10641" t="inlineStr">
        <is>
          <t>CIRCUIT BREAKER OF RAIL</t>
        </is>
      </c>
      <c r="F10641" t="inlineStr">
        <is>
          <t>COFFRET DJ SYMMETRA 40kW</t>
        </is>
      </c>
      <c r="J10641" t="inlineStr">
        <is>
          <t>MATRION</t>
        </is>
      </c>
      <c r="L10641">
        <f>_xlfn.XLOOKUP(Tableau1[[#This Row],[TYPE DE PIECE]],Tableau4[MATIERE],Tableau4[SHORT TYPE],"",0,1)</f>
        <v/>
      </c>
      <c r="N10641">
        <f>IF(ISERR(FIND("DECOUPE",Tableau1[[#This Row],[DESIGNATION]])),"","NEED REF")</f>
        <v/>
      </c>
    </row>
    <row r="10642">
      <c r="B10642" t="n">
        <v>34403364</v>
      </c>
      <c r="C10642" s="2" t="n">
        <v>41603</v>
      </c>
      <c r="D10642" t="inlineStr">
        <is>
          <t>SPEC</t>
        </is>
      </c>
      <c r="E10642" t="inlineStr">
        <is>
          <t>CIRCUIT BREAKER PLATE</t>
        </is>
      </c>
      <c r="F10642" t="inlineStr">
        <is>
          <t>COFFRET DJ SYMMETRA 40kW</t>
        </is>
      </c>
      <c r="J10642" t="inlineStr">
        <is>
          <t>MATRION</t>
        </is>
      </c>
      <c r="L10642">
        <f>_xlfn.XLOOKUP(Tableau1[[#This Row],[TYPE DE PIECE]],Tableau4[MATIERE],Tableau4[SHORT TYPE],"",0,1)</f>
        <v/>
      </c>
      <c r="N10642">
        <f>IF(ISERR(FIND("DECOUPE",Tableau1[[#This Row],[DESIGNATION]])),"","NEED REF")</f>
        <v/>
      </c>
    </row>
    <row r="10643">
      <c r="B10643" t="n">
        <v>34403363</v>
      </c>
      <c r="C10643" s="2" t="n">
        <v>41603</v>
      </c>
      <c r="D10643" t="inlineStr">
        <is>
          <t>NOM</t>
        </is>
      </c>
      <c r="E10643" t="inlineStr">
        <is>
          <t>NSYS3D6420 + 4xNSYSDCR200</t>
        </is>
      </c>
      <c r="F10643" t="inlineStr">
        <is>
          <t>COFFRET DJ SYMMETRA 40kW</t>
        </is>
      </c>
      <c r="J10643" t="inlineStr">
        <is>
          <t>MATRION</t>
        </is>
      </c>
      <c r="L10643">
        <f>_xlfn.XLOOKUP(Tableau1[[#This Row],[TYPE DE PIECE]],Tableau4[MATIERE],Tableau4[SHORT TYPE],"",0,1)</f>
        <v/>
      </c>
      <c r="N10643">
        <f>IF(ISERR(FIND("DECOUPE",Tableau1[[#This Row],[DESIGNATION]])),"","NEED REF")</f>
        <v/>
      </c>
    </row>
    <row r="10644">
      <c r="B10644" t="n">
        <v>34403362</v>
      </c>
      <c r="C10644" s="2" t="n">
        <v>41600</v>
      </c>
      <c r="D10644" t="inlineStr">
        <is>
          <t>SPEC</t>
        </is>
      </c>
      <c r="E10644" t="inlineStr">
        <is>
          <t>Plastic CB cover M Star</t>
        </is>
      </c>
      <c r="F10644" t="inlineStr">
        <is>
          <t>G300 AES</t>
        </is>
      </c>
      <c r="J10644" t="inlineStr">
        <is>
          <t>REVEL</t>
        </is>
      </c>
      <c r="L10644">
        <f>_xlfn.XLOOKUP(Tableau1[[#This Row],[TYPE DE PIECE]],Tableau4[MATIERE],Tableau4[SHORT TYPE],"",0,1)</f>
        <v/>
      </c>
      <c r="N10644">
        <f>IF(ISERR(FIND("DECOUPE",Tableau1[[#This Row],[DESIGNATION]])),"","NEED REF")</f>
        <v/>
      </c>
    </row>
    <row r="10645">
      <c r="B10645" t="n">
        <v>34403361</v>
      </c>
      <c r="C10645" s="2" t="n">
        <v>41599</v>
      </c>
      <c r="D10645" t="inlineStr">
        <is>
          <t>SPEC</t>
        </is>
      </c>
      <c r="E10645" t="inlineStr">
        <is>
          <t>Plastic CB cover M Star</t>
        </is>
      </c>
      <c r="F10645" t="inlineStr">
        <is>
          <t>G300 AES</t>
        </is>
      </c>
      <c r="J10645" t="inlineStr">
        <is>
          <t>REVEL</t>
        </is>
      </c>
      <c r="L10645">
        <f>_xlfn.XLOOKUP(Tableau1[[#This Row],[TYPE DE PIECE]],Tableau4[MATIERE],Tableau4[SHORT TYPE],"",0,1)</f>
        <v/>
      </c>
      <c r="N10645">
        <f>IF(ISERR(FIND("DECOUPE",Tableau1[[#This Row],[DESIGNATION]])),"","NEED REF")</f>
        <v/>
      </c>
    </row>
    <row r="10646">
      <c r="B10646" t="n">
        <v>34403360</v>
      </c>
      <c r="C10646" s="2" t="n">
        <v>41598</v>
      </c>
      <c r="D10646" t="inlineStr">
        <is>
          <t>SPEC</t>
        </is>
      </c>
      <c r="E10646" t="inlineStr">
        <is>
          <t>Plastic TB protection cover M Star</t>
        </is>
      </c>
      <c r="F10646" t="inlineStr">
        <is>
          <t>G300 AES</t>
        </is>
      </c>
      <c r="J10646" t="inlineStr">
        <is>
          <t>REVEL</t>
        </is>
      </c>
      <c r="L10646">
        <f>_xlfn.XLOOKUP(Tableau1[[#This Row],[TYPE DE PIECE]],Tableau4[MATIERE],Tableau4[SHORT TYPE],"",0,1)</f>
        <v/>
      </c>
      <c r="N10646">
        <f>IF(ISERR(FIND("DECOUPE",Tableau1[[#This Row],[DESIGNATION]])),"","NEED REF")</f>
        <v/>
      </c>
    </row>
    <row r="10647">
      <c r="B10647" t="n">
        <v>34403359</v>
      </c>
      <c r="C10647" s="2" t="n">
        <v>41597</v>
      </c>
      <c r="D10647" t="inlineStr">
        <is>
          <t>SPEC</t>
        </is>
      </c>
      <c r="E10647" t="inlineStr">
        <is>
          <t>TOIT IP30 G6000 DOUBLE PONT</t>
        </is>
      </c>
      <c r="F10647" t="inlineStr">
        <is>
          <t>CERN</t>
        </is>
      </c>
      <c r="J10647" t="inlineStr">
        <is>
          <t>MATRION</t>
        </is>
      </c>
      <c r="L10647">
        <f>_xlfn.XLOOKUP(Tableau1[[#This Row],[TYPE DE PIECE]],Tableau4[MATIERE],Tableau4[SHORT TYPE],"",0,1)</f>
        <v/>
      </c>
      <c r="N10647">
        <f>IF(ISERR(FIND("DECOUPE",Tableau1[[#This Row],[DESIGNATION]])),"","NEED REF")</f>
        <v/>
      </c>
    </row>
    <row r="10648">
      <c r="B10648" t="n">
        <v>34403358</v>
      </c>
      <c r="C10648" s="2" t="n">
        <v>41578</v>
      </c>
      <c r="D10648" t="inlineStr">
        <is>
          <t>SPEC</t>
        </is>
      </c>
      <c r="E10648" t="inlineStr">
        <is>
          <t>LOT DE 3 PIECE RAL 2003 PA CERN</t>
        </is>
      </c>
      <c r="F10648" t="inlineStr">
        <is>
          <t>CERN</t>
        </is>
      </c>
      <c r="J10648" t="inlineStr">
        <is>
          <t>MATRION</t>
        </is>
      </c>
      <c r="L10648">
        <f>_xlfn.XLOOKUP(Tableau1[[#This Row],[TYPE DE PIECE]],Tableau4[MATIERE],Tableau4[SHORT TYPE],"",0,1)</f>
        <v/>
      </c>
      <c r="N10648">
        <f>IF(ISERR(FIND("DECOUPE",Tableau1[[#This Row],[DESIGNATION]])),"","NEED REF")</f>
        <v/>
      </c>
    </row>
    <row r="10649">
      <c r="B10649" t="n">
        <v>34403357</v>
      </c>
      <c r="C10649" s="2" t="n">
        <v>41578</v>
      </c>
      <c r="D10649" t="inlineStr">
        <is>
          <t>SPEC</t>
        </is>
      </c>
      <c r="E10649" t="inlineStr">
        <is>
          <t>COPPER BAR L3 NS800 LINERGY</t>
        </is>
      </c>
      <c r="F10649" t="inlineStr">
        <is>
          <t>HP EYBENS</t>
        </is>
      </c>
      <c r="J10649" t="inlineStr">
        <is>
          <t>MATRION</t>
        </is>
      </c>
      <c r="L10649">
        <f>_xlfn.XLOOKUP(Tableau1[[#This Row],[TYPE DE PIECE]],Tableau4[MATIERE],Tableau4[SHORT TYPE],"",0,1)</f>
        <v/>
      </c>
      <c r="N10649">
        <f>IF(ISERR(FIND("DECOUPE",Tableau1[[#This Row],[DESIGNATION]])),"","NEED REF")</f>
        <v/>
      </c>
    </row>
    <row r="10650">
      <c r="B10650" t="n">
        <v>34403356</v>
      </c>
      <c r="C10650" s="2" t="n">
        <v>41578</v>
      </c>
      <c r="D10650" t="inlineStr">
        <is>
          <t>SPEC</t>
        </is>
      </c>
      <c r="E10650" t="inlineStr">
        <is>
          <t>COPPER BAR L2 NS800 LINERGY</t>
        </is>
      </c>
      <c r="F10650" t="inlineStr">
        <is>
          <t>HP EYBENS</t>
        </is>
      </c>
      <c r="J10650" t="inlineStr">
        <is>
          <t>MATRION</t>
        </is>
      </c>
      <c r="L10650">
        <f>_xlfn.XLOOKUP(Tableau1[[#This Row],[TYPE DE PIECE]],Tableau4[MATIERE],Tableau4[SHORT TYPE],"",0,1)</f>
        <v/>
      </c>
      <c r="N10650">
        <f>IF(ISERR(FIND("DECOUPE",Tableau1[[#This Row],[DESIGNATION]])),"","NEED REF")</f>
        <v/>
      </c>
    </row>
    <row r="10651">
      <c r="B10651" t="n">
        <v>34403355</v>
      </c>
      <c r="C10651" s="2" t="n">
        <v>41578</v>
      </c>
      <c r="D10651" t="inlineStr">
        <is>
          <t>SPEC</t>
        </is>
      </c>
      <c r="E10651" t="inlineStr">
        <is>
          <t>COPPER BAR L1 NS800 LINERGY</t>
        </is>
      </c>
      <c r="F10651" t="inlineStr">
        <is>
          <t>HP EYBENS</t>
        </is>
      </c>
      <c r="J10651" t="inlineStr">
        <is>
          <t>MATRION</t>
        </is>
      </c>
      <c r="L10651">
        <f>_xlfn.XLOOKUP(Tableau1[[#This Row],[TYPE DE PIECE]],Tableau4[MATIERE],Tableau4[SHORT TYPE],"",0,1)</f>
        <v/>
      </c>
      <c r="N10651">
        <f>IF(ISERR(FIND("DECOUPE",Tableau1[[#This Row],[DESIGNATION]])),"","NEED REF")</f>
        <v/>
      </c>
    </row>
    <row r="10652">
      <c r="B10652" t="n">
        <v>34403354</v>
      </c>
      <c r="C10652" s="2" t="n">
        <v>41576</v>
      </c>
      <c r="D10652" t="inlineStr">
        <is>
          <t>SPEC</t>
        </is>
      </c>
      <c r="E10652" t="inlineStr">
        <is>
          <t>PLASTRON DECOUPE 3xINSX250 H=300</t>
        </is>
      </c>
      <c r="F10652" t="inlineStr">
        <is>
          <t>ARCELOR MITTAL</t>
        </is>
      </c>
      <c r="J10652" t="inlineStr">
        <is>
          <t>ROBERT</t>
        </is>
      </c>
      <c r="L10652">
        <f>_xlfn.XLOOKUP(Tableau1[[#This Row],[TYPE DE PIECE]],Tableau4[MATIERE],Tableau4[SHORT TYPE],"",0,1)</f>
        <v/>
      </c>
      <c r="N10652">
        <f>IF(ISERR(FIND("DECOUPE",Tableau1[[#This Row],[DESIGNATION]])),"","NEED REF")</f>
        <v/>
      </c>
    </row>
    <row r="10653">
      <c r="B10653" t="n">
        <v>34403353</v>
      </c>
      <c r="C10653" s="2" t="n">
        <v>41576</v>
      </c>
      <c r="D10653" t="inlineStr">
        <is>
          <t>SPEC</t>
        </is>
      </c>
      <c r="E10653" t="inlineStr">
        <is>
          <t>PLASTRON DECOUPE 1xNSX250 H=300</t>
        </is>
      </c>
      <c r="F10653" t="inlineStr">
        <is>
          <t>ARCELOR MITTAL</t>
        </is>
      </c>
      <c r="J10653" t="inlineStr">
        <is>
          <t>ROBERT</t>
        </is>
      </c>
      <c r="L10653">
        <f>_xlfn.XLOOKUP(Tableau1[[#This Row],[TYPE DE PIECE]],Tableau4[MATIERE],Tableau4[SHORT TYPE],"",0,1)</f>
        <v/>
      </c>
      <c r="N10653">
        <f>IF(ISERR(FIND("DECOUPE",Tableau1[[#This Row],[DESIGNATION]])),"","NEED REF")</f>
        <v/>
      </c>
    </row>
    <row r="10654">
      <c r="B10654" t="n">
        <v>34403352</v>
      </c>
      <c r="C10654" s="2" t="n">
        <v>41571</v>
      </c>
      <c r="D10654" t="inlineStr">
        <is>
          <t>SPEC</t>
        </is>
      </c>
      <c r="E10654" t="inlineStr">
        <is>
          <t>Support boitier decharge profonde G300 AES</t>
        </is>
      </c>
      <c r="F10654" t="inlineStr">
        <is>
          <t>G300 AES</t>
        </is>
      </c>
      <c r="J10654" t="inlineStr">
        <is>
          <t>REVEL</t>
        </is>
      </c>
      <c r="L10654">
        <f>_xlfn.XLOOKUP(Tableau1[[#This Row],[TYPE DE PIECE]],Tableau4[MATIERE],Tableau4[SHORT TYPE],"",0,1)</f>
        <v/>
      </c>
      <c r="N10654">
        <f>IF(ISERR(FIND("DECOUPE",Tableau1[[#This Row],[DESIGNATION]])),"","NEED REF")</f>
        <v/>
      </c>
    </row>
    <row r="10655">
      <c r="B10655" t="n">
        <v>34403351</v>
      </c>
      <c r="C10655" s="2" t="n">
        <v>41572</v>
      </c>
      <c r="D10655" t="inlineStr">
        <is>
          <t>SPEC</t>
        </is>
      </c>
      <c r="E10655" t="inlineStr">
        <is>
          <t>Cale d'accouplement skid</t>
        </is>
      </c>
      <c r="F10655" t="inlineStr">
        <is>
          <t>SKID G7k 400</t>
        </is>
      </c>
      <c r="J10655" t="inlineStr">
        <is>
          <t>ROBERT</t>
        </is>
      </c>
      <c r="L10655">
        <f>_xlfn.XLOOKUP(Tableau1[[#This Row],[TYPE DE PIECE]],Tableau4[MATIERE],Tableau4[SHORT TYPE],"",0,1)</f>
        <v/>
      </c>
      <c r="N10655">
        <f>IF(ISERR(FIND("DECOUPE",Tableau1[[#This Row],[DESIGNATION]])),"","NEED REF")</f>
        <v/>
      </c>
    </row>
    <row r="10656">
      <c r="B10656" t="n">
        <v>34403350</v>
      </c>
      <c r="C10656" s="2" t="n">
        <v>41571</v>
      </c>
      <c r="D10656" t="inlineStr">
        <is>
          <t>SPEC</t>
        </is>
      </c>
      <c r="E10656" t="inlineStr">
        <is>
          <t>BAC TFO</t>
        </is>
      </c>
      <c r="F10656" t="inlineStr">
        <is>
          <t>AKER</t>
        </is>
      </c>
      <c r="J10656" t="inlineStr">
        <is>
          <t>ROBERT</t>
        </is>
      </c>
      <c r="L10656">
        <f>_xlfn.XLOOKUP(Tableau1[[#This Row],[TYPE DE PIECE]],Tableau4[MATIERE],Tableau4[SHORT TYPE],"",0,1)</f>
        <v/>
      </c>
      <c r="N10656">
        <f>IF(ISERR(FIND("DECOUPE",Tableau1[[#This Row],[DESIGNATION]])),"","NEED REF")</f>
        <v/>
      </c>
    </row>
    <row r="10657">
      <c r="B10657" t="n">
        <v>34403349</v>
      </c>
      <c r="C10657" s="2" t="n">
        <v>41564</v>
      </c>
      <c r="D10657" t="inlineStr">
        <is>
          <t>SPEC</t>
        </is>
      </c>
      <c r="E10657" t="inlineStr">
        <is>
          <t>CARTE INTERFACE ONE STOP BUTTON</t>
        </is>
      </c>
      <c r="F10657" t="inlineStr">
        <is>
          <t>SAMSUNG</t>
        </is>
      </c>
      <c r="J10657" t="inlineStr">
        <is>
          <t>REVEL</t>
        </is>
      </c>
      <c r="L10657">
        <f>_xlfn.XLOOKUP(Tableau1[[#This Row],[TYPE DE PIECE]],Tableau4[MATIERE],Tableau4[SHORT TYPE],"",0,1)</f>
        <v/>
      </c>
      <c r="N10657">
        <f>IF(ISERR(FIND("DECOUPE",Tableau1[[#This Row],[DESIGNATION]])),"","NEED REF")</f>
        <v/>
      </c>
    </row>
    <row r="10658">
      <c r="B10658" t="n">
        <v>34403348</v>
      </c>
      <c r="C10658" s="2" t="n">
        <v>41564</v>
      </c>
      <c r="D10658" t="inlineStr">
        <is>
          <t>SPEC</t>
        </is>
      </c>
      <c r="E10658" t="inlineStr">
        <is>
          <t>CARTE OBEZ ONE STOP BUTTON</t>
        </is>
      </c>
      <c r="F10658" t="inlineStr">
        <is>
          <t>SAMSUNG</t>
        </is>
      </c>
      <c r="J10658" t="inlineStr">
        <is>
          <t>REVEL</t>
        </is>
      </c>
      <c r="L10658">
        <f>_xlfn.XLOOKUP(Tableau1[[#This Row],[TYPE DE PIECE]],Tableau4[MATIERE],Tableau4[SHORT TYPE],"",0,1)</f>
        <v/>
      </c>
      <c r="N10658">
        <f>IF(ISERR(FIND("DECOUPE",Tableau1[[#This Row],[DESIGNATION]])),"","NEED REF")</f>
        <v/>
      </c>
    </row>
    <row r="10659">
      <c r="B10659" t="n">
        <v>34403347</v>
      </c>
      <c r="C10659" s="2" t="n">
        <v>41563</v>
      </c>
      <c r="D10659" t="inlineStr">
        <is>
          <t>SPEC</t>
        </is>
      </c>
      <c r="E10659" t="inlineStr">
        <is>
          <t xml:space="preserve">PLASTRON PERFORE H=706  </t>
        </is>
      </c>
      <c r="F10659" t="inlineStr">
        <is>
          <t>ARCELOR MITTAL</t>
        </is>
      </c>
      <c r="J10659" t="inlineStr">
        <is>
          <t>ROBERT</t>
        </is>
      </c>
      <c r="L10659">
        <f>_xlfn.XLOOKUP(Tableau1[[#This Row],[TYPE DE PIECE]],Tableau4[MATIERE],Tableau4[SHORT TYPE],"",0,1)</f>
        <v/>
      </c>
      <c r="N10659">
        <f>IF(ISERR(FIND("DECOUPE",Tableau1[[#This Row],[DESIGNATION]])),"","NEED REF")</f>
        <v/>
      </c>
    </row>
    <row r="10660">
      <c r="B10660" t="n">
        <v>34403346</v>
      </c>
      <c r="C10660" s="2" t="n">
        <v>41563</v>
      </c>
      <c r="D10660" t="inlineStr">
        <is>
          <t>SPEC</t>
        </is>
      </c>
      <c r="E10660" t="inlineStr">
        <is>
          <t>PLASTRON DECOUPE 3xNSX250 H=300</t>
        </is>
      </c>
      <c r="F10660" t="inlineStr">
        <is>
          <t>ARCELOR MITTAL</t>
        </is>
      </c>
      <c r="J10660" t="inlineStr">
        <is>
          <t>ROBERT</t>
        </is>
      </c>
      <c r="L10660">
        <f>_xlfn.XLOOKUP(Tableau1[[#This Row],[TYPE DE PIECE]],Tableau4[MATIERE],Tableau4[SHORT TYPE],"",0,1)</f>
        <v/>
      </c>
      <c r="N10660">
        <f>IF(ISERR(FIND("DECOUPE",Tableau1[[#This Row],[DESIGNATION]])),"","NEED REF")</f>
        <v/>
      </c>
    </row>
    <row r="10661">
      <c r="B10661" t="n">
        <v>34403345</v>
      </c>
      <c r="C10661" s="2" t="n">
        <v>41563</v>
      </c>
      <c r="D10661" t="inlineStr">
        <is>
          <t>SPEC</t>
        </is>
      </c>
      <c r="E10661" t="inlineStr">
        <is>
          <t>PLASTRON DECOUPE 2xNSX250 H=300</t>
        </is>
      </c>
      <c r="F10661" t="inlineStr">
        <is>
          <t>ARCELOR MITTAL</t>
        </is>
      </c>
      <c r="J10661" t="inlineStr">
        <is>
          <t>ROBERT</t>
        </is>
      </c>
      <c r="L10661">
        <f>_xlfn.XLOOKUP(Tableau1[[#This Row],[TYPE DE PIECE]],Tableau4[MATIERE],Tableau4[SHORT TYPE],"",0,1)</f>
        <v/>
      </c>
      <c r="N10661">
        <f>IF(ISERR(FIND("DECOUPE",Tableau1[[#This Row],[DESIGNATION]])),"","NEED REF")</f>
        <v/>
      </c>
    </row>
    <row r="10662">
      <c r="B10662" t="n">
        <v>34403344</v>
      </c>
      <c r="C10662" s="2" t="n">
        <v>41560</v>
      </c>
      <c r="D10662" t="inlineStr">
        <is>
          <t>SPEC</t>
        </is>
      </c>
      <c r="E10662" t="inlineStr">
        <is>
          <t>Support pour relais et DJ</t>
        </is>
      </c>
      <c r="F10662" t="inlineStr">
        <is>
          <t>SAMSUNG</t>
        </is>
      </c>
      <c r="J10662" t="inlineStr">
        <is>
          <t>REVEL</t>
        </is>
      </c>
      <c r="L10662">
        <f>_xlfn.XLOOKUP(Tableau1[[#This Row],[TYPE DE PIECE]],Tableau4[MATIERE],Tableau4[SHORT TYPE],"",0,1)</f>
        <v/>
      </c>
      <c r="N10662">
        <f>IF(ISERR(FIND("DECOUPE",Tableau1[[#This Row],[DESIGNATION]])),"","NEED REF")</f>
        <v/>
      </c>
    </row>
    <row r="10663">
      <c r="B10663" t="n">
        <v>34403343</v>
      </c>
      <c r="C10663" s="2" t="n">
        <v>41559</v>
      </c>
      <c r="D10663" t="inlineStr">
        <is>
          <t>SPEC</t>
        </is>
      </c>
      <c r="E10663" t="inlineStr">
        <is>
          <t>Spec filerie pour NS affaire Samsung</t>
        </is>
      </c>
      <c r="F10663" t="inlineStr">
        <is>
          <t>SAMSUNG</t>
        </is>
      </c>
      <c r="J10663" t="inlineStr">
        <is>
          <t>REVEL</t>
        </is>
      </c>
      <c r="L10663">
        <f>_xlfn.XLOOKUP(Tableau1[[#This Row],[TYPE DE PIECE]],Tableau4[MATIERE],Tableau4[SHORT TYPE],"",0,1)</f>
        <v/>
      </c>
      <c r="N10663">
        <f>IF(ISERR(FIND("DECOUPE",Tableau1[[#This Row],[DESIGNATION]])),"","NEED REF")</f>
        <v/>
      </c>
    </row>
    <row r="10664">
      <c r="B10664" t="n">
        <v>34403342</v>
      </c>
      <c r="C10664" s="2" t="n">
        <v>41558</v>
      </c>
      <c r="D10664" t="inlineStr">
        <is>
          <t>SPEC</t>
        </is>
      </c>
      <c r="E10664" t="inlineStr">
        <is>
          <t>Spec filerie pour NS et ASI affaire Samsung</t>
        </is>
      </c>
      <c r="F10664" t="inlineStr">
        <is>
          <t>SAMSUNG</t>
        </is>
      </c>
      <c r="J10664" t="inlineStr">
        <is>
          <t>REVEL</t>
        </is>
      </c>
      <c r="L10664">
        <f>_xlfn.XLOOKUP(Tableau1[[#This Row],[TYPE DE PIECE]],Tableau4[MATIERE],Tableau4[SHORT TYPE],"",0,1)</f>
        <v/>
      </c>
      <c r="N10664">
        <f>IF(ISERR(FIND("DECOUPE",Tableau1[[#This Row],[DESIGNATION]])),"","NEED REF")</f>
        <v/>
      </c>
    </row>
    <row r="10665">
      <c r="B10665" t="n">
        <v>34403341</v>
      </c>
      <c r="C10665" s="2" t="n">
        <v>41558</v>
      </c>
      <c r="D10665" t="inlineStr">
        <is>
          <t>SPEC</t>
        </is>
      </c>
      <c r="F10665" t="inlineStr">
        <is>
          <t>ARCELOR MITTAL</t>
        </is>
      </c>
      <c r="J10665" t="inlineStr">
        <is>
          <t>ROBERT</t>
        </is>
      </c>
      <c r="L10665">
        <f>_xlfn.XLOOKUP(Tableau1[[#This Row],[TYPE DE PIECE]],Tableau4[MATIERE],Tableau4[SHORT TYPE],"",0,1)</f>
        <v/>
      </c>
      <c r="N10665">
        <f>IF(ISERR(FIND("DECOUPE",Tableau1[[#This Row],[DESIGNATION]])),"","NEED REF")</f>
        <v/>
      </c>
    </row>
    <row r="10666">
      <c r="B10666" t="n">
        <v>34403340</v>
      </c>
      <c r="C10666" s="2" t="n">
        <v>41558</v>
      </c>
      <c r="D10666" t="inlineStr">
        <is>
          <t>SPEC</t>
        </is>
      </c>
      <c r="E10666" t="inlineStr">
        <is>
          <t>PLASTRON PERFORE H=367  Structure L=550</t>
        </is>
      </c>
      <c r="F10666" t="inlineStr">
        <is>
          <t>ARCELOR MITTAL</t>
        </is>
      </c>
      <c r="J10666" t="inlineStr">
        <is>
          <t>ROBERT</t>
        </is>
      </c>
      <c r="L10666">
        <f>_xlfn.XLOOKUP(Tableau1[[#This Row],[TYPE DE PIECE]],Tableau4[MATIERE],Tableau4[SHORT TYPE],"",0,1)</f>
        <v/>
      </c>
      <c r="N10666">
        <f>IF(ISERR(FIND("DECOUPE",Tableau1[[#This Row],[DESIGNATION]])),"","NEED REF")</f>
        <v/>
      </c>
    </row>
    <row r="10667">
      <c r="B10667" t="n">
        <v>34403339</v>
      </c>
      <c r="C10667" s="2" t="n">
        <v>41558</v>
      </c>
      <c r="D10667" t="inlineStr">
        <is>
          <t>SPEC</t>
        </is>
      </c>
      <c r="E10667" t="inlineStr">
        <is>
          <t>PLASTRON H=206 pour NSX250F Structure L=550</t>
        </is>
      </c>
      <c r="F10667" t="inlineStr">
        <is>
          <t>ARCELOR MITTAL</t>
        </is>
      </c>
      <c r="J10667" t="inlineStr">
        <is>
          <t>ROBERT</t>
        </is>
      </c>
      <c r="L10667">
        <f>_xlfn.XLOOKUP(Tableau1[[#This Row],[TYPE DE PIECE]],Tableau4[MATIERE],Tableau4[SHORT TYPE],"",0,1)</f>
        <v/>
      </c>
      <c r="N10667">
        <f>IF(ISERR(FIND("DECOUPE",Tableau1[[#This Row],[DESIGNATION]])),"","NEED REF")</f>
        <v/>
      </c>
    </row>
    <row r="10668">
      <c r="B10668" t="n">
        <v>34403338</v>
      </c>
      <c r="C10668" s="2" t="n">
        <v>41325</v>
      </c>
      <c r="D10668" t="inlineStr">
        <is>
          <t>SPEC</t>
        </is>
      </c>
      <c r="E10668" t="inlineStr">
        <is>
          <t>SPEC FILLERIE PROFIBUS</t>
        </is>
      </c>
      <c r="F10668" t="inlineStr">
        <is>
          <t>PV BOX THAILANDE POUR SOLAR</t>
        </is>
      </c>
      <c r="J10668" t="inlineStr">
        <is>
          <t>TCHEWEMO</t>
        </is>
      </c>
      <c r="L10668">
        <f>_xlfn.XLOOKUP(Tableau1[[#This Row],[TYPE DE PIECE]],Tableau4[MATIERE],Tableau4[SHORT TYPE],"",0,1)</f>
        <v/>
      </c>
      <c r="N10668">
        <f>IF(ISERR(FIND("DECOUPE",Tableau1[[#This Row],[DESIGNATION]])),"","NEED REF")</f>
        <v/>
      </c>
    </row>
    <row r="10669">
      <c r="B10669" t="n">
        <v>34403337</v>
      </c>
      <c r="C10669" s="2" t="n">
        <v>41513</v>
      </c>
      <c r="D10669" t="inlineStr">
        <is>
          <t>SPEC</t>
        </is>
      </c>
      <c r="E10669" t="inlineStr">
        <is>
          <t>4x NSX800 PROTECTION SHIELD</t>
        </is>
      </c>
      <c r="F10669" t="inlineStr">
        <is>
          <t>BYPASS 1600kVA HP EYBENS PHASE III</t>
        </is>
      </c>
      <c r="J10669" t="inlineStr">
        <is>
          <t>MATRION</t>
        </is>
      </c>
      <c r="L10669">
        <f>_xlfn.XLOOKUP(Tableau1[[#This Row],[TYPE DE PIECE]],Tableau4[MATIERE],Tableau4[SHORT TYPE],"",0,1)</f>
        <v/>
      </c>
      <c r="N10669">
        <f>IF(ISERR(FIND("DECOUPE",Tableau1[[#This Row],[DESIGNATION]])),"","NEED REF")</f>
        <v/>
      </c>
    </row>
    <row r="10670">
      <c r="B10670" t="n">
        <v>34403336</v>
      </c>
      <c r="C10670" s="2" t="n">
        <v>41555</v>
      </c>
      <c r="D10670" t="inlineStr">
        <is>
          <t>NOM</t>
        </is>
      </c>
      <c r="E10670" t="inlineStr">
        <is>
          <t>LG TI  DEPORTE NS G7K</t>
        </is>
      </c>
      <c r="F10670" t="inlineStr">
        <is>
          <t>NS800K G7000</t>
        </is>
      </c>
      <c r="J10670" t="inlineStr">
        <is>
          <t>ROBERT</t>
        </is>
      </c>
      <c r="L10670">
        <f>_xlfn.XLOOKUP(Tableau1[[#This Row],[TYPE DE PIECE]],Tableau4[MATIERE],Tableau4[SHORT TYPE],"",0,1)</f>
        <v/>
      </c>
      <c r="N10670">
        <f>IF(ISERR(FIND("DECOUPE",Tableau1[[#This Row],[DESIGNATION]])),"","NEED REF")</f>
        <v/>
      </c>
    </row>
    <row r="10671">
      <c r="B10671" t="n">
        <v>34403335</v>
      </c>
      <c r="C10671" s="2" t="n">
        <v>41528</v>
      </c>
      <c r="D10671" t="inlineStr">
        <is>
          <t>SPEC</t>
        </is>
      </c>
      <c r="E10671" t="inlineStr">
        <is>
          <t>SURTOIT IP L=800 G6000</t>
        </is>
      </c>
      <c r="F10671" t="inlineStr">
        <is>
          <t>CERN</t>
        </is>
      </c>
      <c r="J10671" t="inlineStr">
        <is>
          <t>MATRION</t>
        </is>
      </c>
      <c r="L10671">
        <f>_xlfn.XLOOKUP(Tableau1[[#This Row],[TYPE DE PIECE]],Tableau4[MATIERE],Tableau4[SHORT TYPE],"",0,1)</f>
        <v/>
      </c>
      <c r="N10671">
        <f>IF(ISERR(FIND("DECOUPE",Tableau1[[#This Row],[DESIGNATION]])),"","NEED REF")</f>
        <v/>
      </c>
    </row>
    <row r="10672">
      <c r="B10672" t="n">
        <v>34403334</v>
      </c>
      <c r="C10672" s="2" t="n">
        <v>41526</v>
      </c>
      <c r="D10672" t="inlineStr">
        <is>
          <t>SPEC</t>
        </is>
      </c>
      <c r="E10672" t="inlineStr">
        <is>
          <t>KIT FILERIE TIROIR DJ AMAZON</t>
        </is>
      </c>
      <c r="F10672" t="inlineStr">
        <is>
          <t>TIROIR DJ AMAZON</t>
        </is>
      </c>
      <c r="J10672" t="inlineStr">
        <is>
          <t>REVEL</t>
        </is>
      </c>
      <c r="L10672">
        <f>_xlfn.XLOOKUP(Tableau1[[#This Row],[TYPE DE PIECE]],Tableau4[MATIERE],Tableau4[SHORT TYPE],"",0,1)</f>
        <v/>
      </c>
      <c r="N10672">
        <f>IF(ISERR(FIND("DECOUPE",Tableau1[[#This Row],[DESIGNATION]])),"","NEED REF")</f>
        <v/>
      </c>
    </row>
    <row r="10673">
      <c r="B10673" t="n">
        <v>34403333</v>
      </c>
      <c r="C10673" s="2" t="n">
        <v>41513</v>
      </c>
      <c r="D10673" t="inlineStr">
        <is>
          <t>SPEC</t>
        </is>
      </c>
      <c r="E10673" t="inlineStr">
        <is>
          <t>SUPPORT 700 CLAMP JDB</t>
        </is>
      </c>
      <c r="F10673" t="inlineStr">
        <is>
          <t>BYPASS 1600kVA HP EYBENS PHASE III</t>
        </is>
      </c>
      <c r="J10673" t="inlineStr">
        <is>
          <t>MATRION</t>
        </is>
      </c>
      <c r="L10673">
        <f>_xlfn.XLOOKUP(Tableau1[[#This Row],[TYPE DE PIECE]],Tableau4[MATIERE],Tableau4[SHORT TYPE],"",0,1)</f>
        <v/>
      </c>
      <c r="N10673">
        <f>IF(ISERR(FIND("DECOUPE",Tableau1[[#This Row],[DESIGNATION]])),"","NEED REF")</f>
        <v/>
      </c>
    </row>
    <row r="10674">
      <c r="B10674" t="n">
        <v>34403332</v>
      </c>
      <c r="C10674" s="2" t="n">
        <v>41513</v>
      </c>
      <c r="D10674" t="inlineStr">
        <is>
          <t>SPEC</t>
        </is>
      </c>
      <c r="E10674" t="inlineStr">
        <is>
          <t>TOP CAB JUNCTION SMT</t>
        </is>
      </c>
      <c r="F10674" t="inlineStr">
        <is>
          <t>BYPASS 1600kVA HP EYBENS PHASE III</t>
        </is>
      </c>
      <c r="J10674" t="inlineStr">
        <is>
          <t>MATRION</t>
        </is>
      </c>
      <c r="L10674">
        <f>_xlfn.XLOOKUP(Tableau1[[#This Row],[TYPE DE PIECE]],Tableau4[MATIERE],Tableau4[SHORT TYPE],"",0,1)</f>
        <v/>
      </c>
      <c r="N10674">
        <f>IF(ISERR(FIND("DECOUPE",Tableau1[[#This Row],[DESIGNATION]])),"","NEED REF")</f>
        <v/>
      </c>
    </row>
    <row r="10675">
      <c r="B10675" t="n">
        <v>34403331</v>
      </c>
      <c r="C10675" s="2" t="n">
        <v>41513</v>
      </c>
      <c r="D10675" t="inlineStr">
        <is>
          <t>SPEC</t>
        </is>
      </c>
      <c r="E10675" t="inlineStr">
        <is>
          <t>SUPPORT JDB LOAD</t>
        </is>
      </c>
      <c r="F10675" t="inlineStr">
        <is>
          <t>BYPASS 1600kVA HP EYBENS PHASE III</t>
        </is>
      </c>
      <c r="J10675" t="inlineStr">
        <is>
          <t>MATRION</t>
        </is>
      </c>
      <c r="L10675">
        <f>_xlfn.XLOOKUP(Tableau1[[#This Row],[TYPE DE PIECE]],Tableau4[MATIERE],Tableau4[SHORT TYPE],"",0,1)</f>
        <v/>
      </c>
      <c r="N10675">
        <f>IF(ISERR(FIND("DECOUPE",Tableau1[[#This Row],[DESIGNATION]])),"","NEED REF")</f>
        <v/>
      </c>
    </row>
    <row r="10676">
      <c r="B10676" t="n">
        <v>34403330</v>
      </c>
      <c r="C10676" s="2" t="n">
        <v>41513</v>
      </c>
      <c r="D10676" t="inlineStr">
        <is>
          <t>SPEC</t>
        </is>
      </c>
      <c r="E10676" t="inlineStr">
        <is>
          <t>JDB PROTECTION SHIELD</t>
        </is>
      </c>
      <c r="F10676" t="inlineStr">
        <is>
          <t>BYPASS 1600kVA HP EYBENS PHASE III</t>
        </is>
      </c>
      <c r="J10676" t="inlineStr">
        <is>
          <t>MATRION</t>
        </is>
      </c>
      <c r="L10676">
        <f>_xlfn.XLOOKUP(Tableau1[[#This Row],[TYPE DE PIECE]],Tableau4[MATIERE],Tableau4[SHORT TYPE],"",0,1)</f>
        <v/>
      </c>
      <c r="N10676">
        <f>IF(ISERR(FIND("DECOUPE",Tableau1[[#This Row],[DESIGNATION]])),"","NEED REF")</f>
        <v/>
      </c>
    </row>
    <row r="10677">
      <c r="B10677" t="n">
        <v>34403329</v>
      </c>
      <c r="C10677" s="2" t="n">
        <v>41513</v>
      </c>
      <c r="D10677" t="inlineStr">
        <is>
          <t>SPEC</t>
        </is>
      </c>
      <c r="E10677" t="inlineStr">
        <is>
          <t>4x NSX800 PROTECTION SHIELD</t>
        </is>
      </c>
      <c r="F10677" t="inlineStr">
        <is>
          <t>BYPASS 1600kVA HP EYBENS PHASE III</t>
        </is>
      </c>
      <c r="J10677" t="inlineStr">
        <is>
          <t>MATRION</t>
        </is>
      </c>
      <c r="L10677">
        <f>_xlfn.XLOOKUP(Tableau1[[#This Row],[TYPE DE PIECE]],Tableau4[MATIERE],Tableau4[SHORT TYPE],"",0,1)</f>
        <v/>
      </c>
      <c r="N10677">
        <f>IF(ISERR(FIND("DECOUPE",Tableau1[[#This Row],[DESIGNATION]])),"","NEED REF")</f>
        <v/>
      </c>
    </row>
    <row r="10678">
      <c r="B10678" t="n">
        <v>34403328</v>
      </c>
      <c r="C10678" s="2" t="n">
        <v>41513</v>
      </c>
      <c r="D10678" t="inlineStr">
        <is>
          <t>SPEC</t>
        </is>
      </c>
      <c r="E10678" t="inlineStr">
        <is>
          <t>TOP / BOTTOM PROTECTION SHIELD</t>
        </is>
      </c>
      <c r="F10678" t="inlineStr">
        <is>
          <t>BYPASS 1600kVA HP EYBENS PHASE III</t>
        </is>
      </c>
      <c r="J10678" t="inlineStr">
        <is>
          <t>MATRION</t>
        </is>
      </c>
      <c r="L10678">
        <f>_xlfn.XLOOKUP(Tableau1[[#This Row],[TYPE DE PIECE]],Tableau4[MATIERE],Tableau4[SHORT TYPE],"",0,1)</f>
        <v/>
      </c>
      <c r="N10678">
        <f>IF(ISERR(FIND("DECOUPE",Tableau1[[#This Row],[DESIGNATION]])),"","NEED REF")</f>
        <v/>
      </c>
    </row>
    <row r="10679">
      <c r="B10679" t="n">
        <v>34403327</v>
      </c>
      <c r="C10679" s="2" t="n">
        <v>41513</v>
      </c>
      <c r="D10679" t="inlineStr">
        <is>
          <t>SPEC</t>
        </is>
      </c>
      <c r="E10679" t="inlineStr">
        <is>
          <t>4+1 NS800 PLATE</t>
        </is>
      </c>
      <c r="F10679" t="inlineStr">
        <is>
          <t>BYPASS 1600kVA HP EYBENS PHASE III</t>
        </is>
      </c>
      <c r="J10679" t="inlineStr">
        <is>
          <t>MATRION</t>
        </is>
      </c>
      <c r="L10679">
        <f>_xlfn.XLOOKUP(Tableau1[[#This Row],[TYPE DE PIECE]],Tableau4[MATIERE],Tableau4[SHORT TYPE],"",0,1)</f>
        <v/>
      </c>
      <c r="N10679">
        <f>IF(ISERR(FIND("DECOUPE",Tableau1[[#This Row],[DESIGNATION]])),"","NEED REF")</f>
        <v/>
      </c>
    </row>
    <row r="10680">
      <c r="B10680" t="n">
        <v>34403326</v>
      </c>
      <c r="C10680" s="2" t="n">
        <v>41513</v>
      </c>
      <c r="D10680" t="inlineStr">
        <is>
          <t>SPEC</t>
        </is>
      </c>
      <c r="E10680" t="inlineStr">
        <is>
          <t>TOP / BOTTOM SUPPORT 600 FOR NS PLATE</t>
        </is>
      </c>
      <c r="F10680" t="inlineStr">
        <is>
          <t>BYPASS 1600kVA HP EYBENS PHASE III</t>
        </is>
      </c>
      <c r="J10680" t="inlineStr">
        <is>
          <t>MATRION</t>
        </is>
      </c>
      <c r="L10680">
        <f>_xlfn.XLOOKUP(Tableau1[[#This Row],[TYPE DE PIECE]],Tableau4[MATIERE],Tableau4[SHORT TYPE],"",0,1)</f>
        <v/>
      </c>
      <c r="N10680">
        <f>IF(ISERR(FIND("DECOUPE",Tableau1[[#This Row],[DESIGNATION]])),"","NEED REF")</f>
        <v/>
      </c>
    </row>
    <row r="10681">
      <c r="B10681" t="n">
        <v>34403325</v>
      </c>
      <c r="C10681" s="2" t="n">
        <v>41513</v>
      </c>
      <c r="D10681" t="inlineStr">
        <is>
          <t>SPEC</t>
        </is>
      </c>
      <c r="E10681" t="inlineStr">
        <is>
          <t>SUPPORT 400 CLAMP JDB</t>
        </is>
      </c>
      <c r="F10681" t="inlineStr">
        <is>
          <t>BYPASS 1600kVA HP EYBENS PHASE III</t>
        </is>
      </c>
      <c r="J10681" t="inlineStr">
        <is>
          <t>MATRION</t>
        </is>
      </c>
      <c r="L10681">
        <f>_xlfn.XLOOKUP(Tableau1[[#This Row],[TYPE DE PIECE]],Tableau4[MATIERE],Tableau4[SHORT TYPE],"",0,1)</f>
        <v/>
      </c>
      <c r="N10681">
        <f>IF(ISERR(FIND("DECOUPE",Tableau1[[#This Row],[DESIGNATION]])),"","NEED REF")</f>
        <v/>
      </c>
    </row>
    <row r="10682">
      <c r="B10682" t="n">
        <v>34403324</v>
      </c>
      <c r="C10682" s="2" t="n">
        <v>41513</v>
      </c>
      <c r="D10682" t="inlineStr">
        <is>
          <t>SPEC</t>
        </is>
      </c>
      <c r="E10682" t="inlineStr">
        <is>
          <t>CABLE GROMET SHEETMETAL FOR TGAB</t>
        </is>
      </c>
      <c r="F10682" t="inlineStr">
        <is>
          <t>BYPASS 1600kVA HP EYBENS PHASE III</t>
        </is>
      </c>
      <c r="J10682" t="inlineStr">
        <is>
          <t>MATRION</t>
        </is>
      </c>
      <c r="L10682">
        <f>_xlfn.XLOOKUP(Tableau1[[#This Row],[TYPE DE PIECE]],Tableau4[MATIERE],Tableau4[SHORT TYPE],"",0,1)</f>
        <v/>
      </c>
      <c r="N10682">
        <f>IF(ISERR(FIND("DECOUPE",Tableau1[[#This Row],[DESIGNATION]])),"","NEED REF")</f>
        <v/>
      </c>
    </row>
    <row r="10683">
      <c r="B10683" t="n">
        <v>34403323</v>
      </c>
      <c r="C10683" s="2" t="n">
        <v>41513</v>
      </c>
      <c r="D10683" t="inlineStr">
        <is>
          <t>SPEC</t>
        </is>
      </c>
      <c r="E10683" t="inlineStr">
        <is>
          <t>FRONT / BACK CAB JUNCTION SMT</t>
        </is>
      </c>
      <c r="F10683" t="inlineStr">
        <is>
          <t>BYPASS 1600kVA HP EYBENS PHASE III</t>
        </is>
      </c>
      <c r="J10683" t="inlineStr">
        <is>
          <t>MATRION</t>
        </is>
      </c>
      <c r="L10683">
        <f>_xlfn.XLOOKUP(Tableau1[[#This Row],[TYPE DE PIECE]],Tableau4[MATIERE],Tableau4[SHORT TYPE],"",0,1)</f>
        <v/>
      </c>
      <c r="N10683">
        <f>IF(ISERR(FIND("DECOUPE",Tableau1[[#This Row],[DESIGNATION]])),"","NEED REF")</f>
        <v/>
      </c>
    </row>
    <row r="10684">
      <c r="B10684" t="n">
        <v>34403322</v>
      </c>
      <c r="C10684" s="2" t="n">
        <v>41513</v>
      </c>
      <c r="D10684" t="inlineStr">
        <is>
          <t>SPEC</t>
        </is>
      </c>
      <c r="E10684" t="inlineStr">
        <is>
          <t>SPLICE JUNCTION L3-1</t>
        </is>
      </c>
      <c r="F10684" t="inlineStr">
        <is>
          <t>BYPASS 1600kVA HP EYBENS PHASE III</t>
        </is>
      </c>
      <c r="J10684" t="inlineStr">
        <is>
          <t>MATRION</t>
        </is>
      </c>
      <c r="L10684">
        <f>_xlfn.XLOOKUP(Tableau1[[#This Row],[TYPE DE PIECE]],Tableau4[MATIERE],Tableau4[SHORT TYPE],"",0,1)</f>
        <v/>
      </c>
      <c r="N10684">
        <f>IF(ISERR(FIND("DECOUPE",Tableau1[[#This Row],[DESIGNATION]])),"","NEED REF")</f>
        <v/>
      </c>
    </row>
    <row r="10685">
      <c r="B10685" t="n">
        <v>34403321</v>
      </c>
      <c r="C10685" s="2" t="n">
        <v>41513</v>
      </c>
      <c r="D10685" t="inlineStr">
        <is>
          <t>SPEC</t>
        </is>
      </c>
      <c r="E10685" t="inlineStr">
        <is>
          <t>SPLICE JUNCTION L3-2</t>
        </is>
      </c>
      <c r="F10685" t="inlineStr">
        <is>
          <t>BYPASS 1600kVA HP EYBENS PHASE III</t>
        </is>
      </c>
      <c r="J10685" t="inlineStr">
        <is>
          <t>MATRION</t>
        </is>
      </c>
      <c r="L10685">
        <f>_xlfn.XLOOKUP(Tableau1[[#This Row],[TYPE DE PIECE]],Tableau4[MATIERE],Tableau4[SHORT TYPE],"",0,1)</f>
        <v/>
      </c>
      <c r="N10685">
        <f>IF(ISERR(FIND("DECOUPE",Tableau1[[#This Row],[DESIGNATION]])),"","NEED REF")</f>
        <v/>
      </c>
    </row>
    <row r="10686">
      <c r="B10686" t="n">
        <v>34403320</v>
      </c>
      <c r="C10686" s="2" t="n">
        <v>41513</v>
      </c>
      <c r="D10686" t="inlineStr">
        <is>
          <t>SPEC</t>
        </is>
      </c>
      <c r="E10686" t="inlineStr">
        <is>
          <t>SPLICE JUNCTION L2-1</t>
        </is>
      </c>
      <c r="F10686" t="inlineStr">
        <is>
          <t>BYPASS 1600kVA HP EYBENS PHASE III</t>
        </is>
      </c>
      <c r="J10686" t="inlineStr">
        <is>
          <t>MATRION</t>
        </is>
      </c>
      <c r="L10686">
        <f>_xlfn.XLOOKUP(Tableau1[[#This Row],[TYPE DE PIECE]],Tableau4[MATIERE],Tableau4[SHORT TYPE],"",0,1)</f>
        <v/>
      </c>
      <c r="N10686">
        <f>IF(ISERR(FIND("DECOUPE",Tableau1[[#This Row],[DESIGNATION]])),"","NEED REF")</f>
        <v/>
      </c>
    </row>
    <row r="10687">
      <c r="B10687" t="n">
        <v>34403319</v>
      </c>
      <c r="C10687" s="2" t="n">
        <v>41533</v>
      </c>
      <c r="D10687" t="inlineStr">
        <is>
          <t>SPEC</t>
        </is>
      </c>
      <c r="E10687" t="inlineStr">
        <is>
          <t>LINERGY CONNECTION 2500A</t>
        </is>
      </c>
      <c r="F10687" t="inlineStr">
        <is>
          <t>BYPASS 1600kVA HP EYBENS PHASE III</t>
        </is>
      </c>
      <c r="J10687" t="inlineStr">
        <is>
          <t>MATRION</t>
        </is>
      </c>
      <c r="L10687">
        <f>_xlfn.XLOOKUP(Tableau1[[#This Row],[TYPE DE PIECE]],Tableau4[MATIERE],Tableau4[SHORT TYPE],"",0,1)</f>
        <v/>
      </c>
      <c r="N10687">
        <f>IF(ISERR(FIND("DECOUPE",Tableau1[[#This Row],[DESIGNATION]])),"","NEED REF")</f>
        <v/>
      </c>
    </row>
    <row r="10688">
      <c r="B10688" t="n">
        <v>34403318</v>
      </c>
      <c r="C10688" s="2" t="n">
        <v>41533</v>
      </c>
      <c r="D10688" t="inlineStr">
        <is>
          <t>SPEC</t>
        </is>
      </c>
      <c r="E10688" t="inlineStr">
        <is>
          <t>CLAMPING PLATE 100x100</t>
        </is>
      </c>
      <c r="F10688" t="inlineStr">
        <is>
          <t>BYPASS 1600kVA HP EYBENS PHASE III</t>
        </is>
      </c>
      <c r="J10688" t="inlineStr">
        <is>
          <t>MATRION</t>
        </is>
      </c>
      <c r="L10688">
        <f>_xlfn.XLOOKUP(Tableau1[[#This Row],[TYPE DE PIECE]],Tableau4[MATIERE],Tableau4[SHORT TYPE],"",0,1)</f>
        <v/>
      </c>
      <c r="N10688">
        <f>IF(ISERR(FIND("DECOUPE",Tableau1[[#This Row],[DESIGNATION]])),"","NEED REF")</f>
        <v/>
      </c>
    </row>
    <row r="10689">
      <c r="B10689" t="n">
        <v>34403317</v>
      </c>
      <c r="C10689" s="2" t="n">
        <v>41513</v>
      </c>
      <c r="D10689" t="inlineStr">
        <is>
          <t>SPEC</t>
        </is>
      </c>
      <c r="E10689" t="inlineStr">
        <is>
          <t>SPLICE FLEXBAR 100x6</t>
        </is>
      </c>
      <c r="F10689" t="inlineStr">
        <is>
          <t>BYPASS 1600kVA HP EYBENS PHASE III</t>
        </is>
      </c>
      <c r="J10689" t="inlineStr">
        <is>
          <t>MATRION</t>
        </is>
      </c>
      <c r="L10689">
        <f>_xlfn.XLOOKUP(Tableau1[[#This Row],[TYPE DE PIECE]],Tableau4[MATIERE],Tableau4[SHORT TYPE],"",0,1)</f>
        <v/>
      </c>
      <c r="N10689">
        <f>IF(ISERR(FIND("DECOUPE",Tableau1[[#This Row],[DESIGNATION]])),"","NEED REF")</f>
        <v/>
      </c>
    </row>
    <row r="10690">
      <c r="B10690" t="n">
        <v>34403316</v>
      </c>
      <c r="C10690" s="2" t="n">
        <v>41513</v>
      </c>
      <c r="D10690" t="inlineStr">
        <is>
          <t>SPEC</t>
        </is>
      </c>
      <c r="E10690" t="inlineStr">
        <is>
          <t>SPLICE JUNCTION L2-2</t>
        </is>
      </c>
      <c r="F10690" t="inlineStr">
        <is>
          <t>BYPASS 1600kVA HP EYBENS PHASE III</t>
        </is>
      </c>
      <c r="J10690" t="inlineStr">
        <is>
          <t>MATRION</t>
        </is>
      </c>
      <c r="L10690">
        <f>_xlfn.XLOOKUP(Tableau1[[#This Row],[TYPE DE PIECE]],Tableau4[MATIERE],Tableau4[SHORT TYPE],"",0,1)</f>
        <v/>
      </c>
      <c r="N10690">
        <f>IF(ISERR(FIND("DECOUPE",Tableau1[[#This Row],[DESIGNATION]])),"","NEED REF")</f>
        <v/>
      </c>
    </row>
    <row r="10691">
      <c r="B10691" t="n">
        <v>34403315</v>
      </c>
      <c r="C10691" s="2" t="n">
        <v>41513</v>
      </c>
      <c r="D10691" t="inlineStr">
        <is>
          <t>SPEC</t>
        </is>
      </c>
      <c r="E10691" t="inlineStr">
        <is>
          <t>SPLICE JUNCTION L1-1</t>
        </is>
      </c>
      <c r="F10691" t="inlineStr">
        <is>
          <t>BYPASS 1600kVA HP EYBENS PHASE III</t>
        </is>
      </c>
      <c r="J10691" t="inlineStr">
        <is>
          <t>MATRION</t>
        </is>
      </c>
      <c r="L10691">
        <f>_xlfn.XLOOKUP(Tableau1[[#This Row],[TYPE DE PIECE]],Tableau4[MATIERE],Tableau4[SHORT TYPE],"",0,1)</f>
        <v/>
      </c>
      <c r="N10691">
        <f>IF(ISERR(FIND("DECOUPE",Tableau1[[#This Row],[DESIGNATION]])),"","NEED REF")</f>
        <v/>
      </c>
    </row>
    <row r="10692">
      <c r="B10692" t="n">
        <v>34403314</v>
      </c>
      <c r="C10692" s="2" t="n">
        <v>41513</v>
      </c>
      <c r="D10692" t="inlineStr">
        <is>
          <t>SPEC</t>
        </is>
      </c>
      <c r="E10692" t="inlineStr">
        <is>
          <t>SPLICE JUNCTION L1-2</t>
        </is>
      </c>
      <c r="F10692" t="inlineStr">
        <is>
          <t>BYPASS 1600kVA HP EYBENS PHASE III</t>
        </is>
      </c>
      <c r="J10692" t="inlineStr">
        <is>
          <t>MATRION</t>
        </is>
      </c>
      <c r="L10692">
        <f>_xlfn.XLOOKUP(Tableau1[[#This Row],[TYPE DE PIECE]],Tableau4[MATIERE],Tableau4[SHORT TYPE],"",0,1)</f>
        <v/>
      </c>
      <c r="N10692">
        <f>IF(ISERR(FIND("DECOUPE",Tableau1[[#This Row],[DESIGNATION]])),"","NEED REF")</f>
        <v/>
      </c>
    </row>
    <row r="10693">
      <c r="B10693" t="n">
        <v>34403313</v>
      </c>
      <c r="C10693" s="2" t="n">
        <v>41513</v>
      </c>
      <c r="D10693" t="inlineStr">
        <is>
          <t>SPEC</t>
        </is>
      </c>
      <c r="E10693" t="inlineStr">
        <is>
          <t>R2 JUNCTION L3 120x10</t>
        </is>
      </c>
      <c r="F10693" t="inlineStr">
        <is>
          <t>BYPASS 1600kVA HP EYBENS PHASE III</t>
        </is>
      </c>
      <c r="J10693" t="inlineStr">
        <is>
          <t>MATRION</t>
        </is>
      </c>
      <c r="L10693">
        <f>_xlfn.XLOOKUP(Tableau1[[#This Row],[TYPE DE PIECE]],Tableau4[MATIERE],Tableau4[SHORT TYPE],"",0,1)</f>
        <v/>
      </c>
      <c r="N10693">
        <f>IF(ISERR(FIND("DECOUPE",Tableau1[[#This Row],[DESIGNATION]])),"","NEED REF")</f>
        <v/>
      </c>
    </row>
    <row r="10694">
      <c r="B10694" t="n">
        <v>34403312</v>
      </c>
      <c r="C10694" s="2" t="n">
        <v>41513</v>
      </c>
      <c r="D10694" t="inlineStr">
        <is>
          <t>SPEC</t>
        </is>
      </c>
      <c r="E10694" t="inlineStr">
        <is>
          <t>R2 JUNCTION L2 120x10</t>
        </is>
      </c>
      <c r="F10694" t="inlineStr">
        <is>
          <t>BYPASS 1600kVA HP EYBENS PHASE III</t>
        </is>
      </c>
      <c r="J10694" t="inlineStr">
        <is>
          <t>MATRION</t>
        </is>
      </c>
      <c r="L10694">
        <f>_xlfn.XLOOKUP(Tableau1[[#This Row],[TYPE DE PIECE]],Tableau4[MATIERE],Tableau4[SHORT TYPE],"",0,1)</f>
        <v/>
      </c>
      <c r="N10694">
        <f>IF(ISERR(FIND("DECOUPE",Tableau1[[#This Row],[DESIGNATION]])),"","NEED REF")</f>
        <v/>
      </c>
    </row>
    <row r="10695">
      <c r="B10695" t="n">
        <v>34403311</v>
      </c>
      <c r="C10695" s="2" t="n">
        <v>41513</v>
      </c>
      <c r="D10695" t="inlineStr">
        <is>
          <t>SPEC</t>
        </is>
      </c>
      <c r="E10695" t="inlineStr">
        <is>
          <t>R2 JUNCTION L1 120x10</t>
        </is>
      </c>
      <c r="F10695" t="inlineStr">
        <is>
          <t>BYPASS 1600kVA HP EYBENS PHASE III</t>
        </is>
      </c>
      <c r="J10695" t="inlineStr">
        <is>
          <t>MATRION</t>
        </is>
      </c>
      <c r="L10695">
        <f>_xlfn.XLOOKUP(Tableau1[[#This Row],[TYPE DE PIECE]],Tableau4[MATIERE],Tableau4[SHORT TYPE],"",0,1)</f>
        <v/>
      </c>
      <c r="N10695">
        <f>IF(ISERR(FIND("DECOUPE",Tableau1[[#This Row],[DESIGNATION]])),"","NEED REF")</f>
        <v/>
      </c>
    </row>
    <row r="10696">
      <c r="B10696" t="n">
        <v>34403310</v>
      </c>
      <c r="C10696" s="2" t="n">
        <v>41513</v>
      </c>
      <c r="D10696" t="inlineStr">
        <is>
          <t>SPEC</t>
        </is>
      </c>
      <c r="E10696" t="inlineStr">
        <is>
          <t>LINERGY JDB L1650</t>
        </is>
      </c>
      <c r="F10696" t="inlineStr">
        <is>
          <t>BYPASS 1600kVA HP EYBENS PHASE III</t>
        </is>
      </c>
      <c r="J10696" t="inlineStr">
        <is>
          <t>MATRION</t>
        </is>
      </c>
      <c r="L10696">
        <f>_xlfn.XLOOKUP(Tableau1[[#This Row],[TYPE DE PIECE]],Tableau4[MATIERE],Tableau4[SHORT TYPE],"",0,1)</f>
        <v/>
      </c>
      <c r="N10696">
        <f>IF(ISERR(FIND("DECOUPE",Tableau1[[#This Row],[DESIGNATION]])),"","NEED REF")</f>
        <v/>
      </c>
    </row>
    <row r="10697">
      <c r="B10697" t="n">
        <v>34403309</v>
      </c>
      <c r="C10697" s="2" t="n">
        <v>41534</v>
      </c>
      <c r="D10697" t="inlineStr">
        <is>
          <t>SPEC</t>
        </is>
      </c>
      <c r="E10697" t="inlineStr">
        <is>
          <t>PROTECTION SHIELD</t>
        </is>
      </c>
      <c r="F10697" t="inlineStr">
        <is>
          <t>BYPASS 160kW APC</t>
        </is>
      </c>
      <c r="J10697" t="inlineStr">
        <is>
          <t>MATRION</t>
        </is>
      </c>
      <c r="L10697">
        <f>_xlfn.XLOOKUP(Tableau1[[#This Row],[TYPE DE PIECE]],Tableau4[MATIERE],Tableau4[SHORT TYPE],"",0,1)</f>
        <v/>
      </c>
      <c r="N10697">
        <f>IF(ISERR(FIND("DECOUPE",Tableau1[[#This Row],[DESIGNATION]])),"","NEED REF")</f>
        <v/>
      </c>
    </row>
    <row r="10698">
      <c r="B10698" t="n">
        <v>34403308</v>
      </c>
      <c r="C10698" s="2" t="n">
        <v>41534</v>
      </c>
      <c r="D10698" t="inlineStr">
        <is>
          <t>SPEC</t>
        </is>
      </c>
      <c r="E10698" t="inlineStr">
        <is>
          <t>PHASE SEPARATOR</t>
        </is>
      </c>
      <c r="F10698" t="inlineStr">
        <is>
          <t>BYPASS 160kW APC</t>
        </is>
      </c>
      <c r="J10698" t="inlineStr">
        <is>
          <t>MATRION</t>
        </is>
      </c>
      <c r="L10698">
        <f>_xlfn.XLOOKUP(Tableau1[[#This Row],[TYPE DE PIECE]],Tableau4[MATIERE],Tableau4[SHORT TYPE],"",0,1)</f>
        <v/>
      </c>
      <c r="N10698">
        <f>IF(ISERR(FIND("DECOUPE",Tableau1[[#This Row],[DESIGNATION]])),"","NEED REF")</f>
        <v/>
      </c>
    </row>
    <row r="10699">
      <c r="B10699" t="n">
        <v>34403307</v>
      </c>
      <c r="C10699" s="2" t="n">
        <v>41534</v>
      </c>
      <c r="D10699" t="inlineStr">
        <is>
          <t>SPEC</t>
        </is>
      </c>
      <c r="E10699" t="inlineStr">
        <is>
          <t>SUPPORT BREAKER&amp;LED</t>
        </is>
      </c>
      <c r="F10699" t="inlineStr">
        <is>
          <t>BYPASS 160kW APC</t>
        </is>
      </c>
      <c r="J10699" t="inlineStr">
        <is>
          <t>MATRION</t>
        </is>
      </c>
      <c r="L10699">
        <f>_xlfn.XLOOKUP(Tableau1[[#This Row],[TYPE DE PIECE]],Tableau4[MATIERE],Tableau4[SHORT TYPE],"",0,1)</f>
        <v/>
      </c>
      <c r="N10699">
        <f>IF(ISERR(FIND("DECOUPE",Tableau1[[#This Row],[DESIGNATION]])),"","NEED REF")</f>
        <v/>
      </c>
    </row>
    <row r="10700">
      <c r="B10700" t="n">
        <v>34403306</v>
      </c>
      <c r="C10700" s="2" t="n">
        <v>41534</v>
      </c>
      <c r="D10700" t="inlineStr">
        <is>
          <t>SPEC</t>
        </is>
      </c>
      <c r="E10700" t="inlineStr">
        <is>
          <t>CABLES PROFIL 230</t>
        </is>
      </c>
      <c r="F10700" t="inlineStr">
        <is>
          <t>BYPASS 160kW APC</t>
        </is>
      </c>
      <c r="J10700" t="inlineStr">
        <is>
          <t>MATRION</t>
        </is>
      </c>
      <c r="L10700">
        <f>_xlfn.XLOOKUP(Tableau1[[#This Row],[TYPE DE PIECE]],Tableau4[MATIERE],Tableau4[SHORT TYPE],"",0,1)</f>
        <v/>
      </c>
      <c r="N10700">
        <f>IF(ISERR(FIND("DECOUPE",Tableau1[[#This Row],[DESIGNATION]])),"","NEED REF")</f>
        <v/>
      </c>
    </row>
    <row r="10701">
      <c r="B10701" t="n">
        <v>34403305</v>
      </c>
      <c r="C10701" s="2" t="n">
        <v>41534</v>
      </c>
      <c r="D10701" t="inlineStr">
        <is>
          <t>SPEC</t>
        </is>
      </c>
      <c r="E10701" t="inlineStr">
        <is>
          <t>CABLES PROFIL 700</t>
        </is>
      </c>
      <c r="F10701" t="inlineStr">
        <is>
          <t>BYPASS 160kW APC</t>
        </is>
      </c>
      <c r="J10701" t="inlineStr">
        <is>
          <t>MATRION</t>
        </is>
      </c>
      <c r="L10701">
        <f>_xlfn.XLOOKUP(Tableau1[[#This Row],[TYPE DE PIECE]],Tableau4[MATIERE],Tableau4[SHORT TYPE],"",0,1)</f>
        <v/>
      </c>
      <c r="N10701">
        <f>IF(ISERR(FIND("DECOUPE",Tableau1[[#This Row],[DESIGNATION]])),"","NEED REF")</f>
        <v/>
      </c>
    </row>
    <row r="10702">
      <c r="B10702" t="n">
        <v>34403304</v>
      </c>
      <c r="C10702" s="2" t="n">
        <v>41534</v>
      </c>
      <c r="D10702" t="inlineStr">
        <is>
          <t>SPEC</t>
        </is>
      </c>
      <c r="E10702" t="inlineStr">
        <is>
          <t>SUPPORT PE BAR</t>
        </is>
      </c>
      <c r="F10702" t="inlineStr">
        <is>
          <t>BYPASS 160kW APC</t>
        </is>
      </c>
      <c r="J10702" t="inlineStr">
        <is>
          <t>MATRION</t>
        </is>
      </c>
      <c r="L10702">
        <f>_xlfn.XLOOKUP(Tableau1[[#This Row],[TYPE DE PIECE]],Tableau4[MATIERE],Tableau4[SHORT TYPE],"",0,1)</f>
        <v/>
      </c>
      <c r="N10702">
        <f>IF(ISERR(FIND("DECOUPE",Tableau1[[#This Row],[DESIGNATION]])),"","NEED REF")</f>
        <v/>
      </c>
    </row>
    <row r="10703">
      <c r="B10703" t="n">
        <v>34403303</v>
      </c>
      <c r="C10703" s="2" t="n">
        <v>41534</v>
      </c>
      <c r="D10703" t="inlineStr">
        <is>
          <t>SPEC</t>
        </is>
      </c>
      <c r="E10703" t="inlineStr">
        <is>
          <t>RIGHT SUPPORT JDB R2&amp;LOAD</t>
        </is>
      </c>
      <c r="F10703" t="inlineStr">
        <is>
          <t>BYPASS 160kW APC</t>
        </is>
      </c>
      <c r="J10703" t="inlineStr">
        <is>
          <t>MATRION</t>
        </is>
      </c>
      <c r="L10703">
        <f>_xlfn.XLOOKUP(Tableau1[[#This Row],[TYPE DE PIECE]],Tableau4[MATIERE],Tableau4[SHORT TYPE],"",0,1)</f>
        <v/>
      </c>
      <c r="N10703">
        <f>IF(ISERR(FIND("DECOUPE",Tableau1[[#This Row],[DESIGNATION]])),"","NEED REF")</f>
        <v/>
      </c>
    </row>
    <row r="10704">
      <c r="B10704" t="n">
        <v>34403302</v>
      </c>
      <c r="C10704" s="2" t="n">
        <v>41534</v>
      </c>
      <c r="D10704" t="inlineStr">
        <is>
          <t>SPEC</t>
        </is>
      </c>
      <c r="E10704" t="inlineStr">
        <is>
          <t>RIGHT SUPPORT JDB R2 ASI</t>
        </is>
      </c>
      <c r="F10704" t="inlineStr">
        <is>
          <t>BYPASS 160kW APC</t>
        </is>
      </c>
      <c r="J10704" t="inlineStr">
        <is>
          <t>MATRION</t>
        </is>
      </c>
      <c r="L10704">
        <f>_xlfn.XLOOKUP(Tableau1[[#This Row],[TYPE DE PIECE]],Tableau4[MATIERE],Tableau4[SHORT TYPE],"",0,1)</f>
        <v/>
      </c>
      <c r="N10704">
        <f>IF(ISERR(FIND("DECOUPE",Tableau1[[#This Row],[DESIGNATION]])),"","NEED REF")</f>
        <v/>
      </c>
    </row>
    <row r="10705">
      <c r="B10705" t="n">
        <v>34403301</v>
      </c>
      <c r="C10705" s="2" t="n">
        <v>41534</v>
      </c>
      <c r="D10705" t="inlineStr">
        <is>
          <t>SPEC</t>
        </is>
      </c>
      <c r="E10705" t="inlineStr">
        <is>
          <t>GASKET GLAND PLATE</t>
        </is>
      </c>
      <c r="F10705" t="inlineStr">
        <is>
          <t>BYPASS 160kW APC</t>
        </is>
      </c>
      <c r="J10705" t="inlineStr">
        <is>
          <t>MATRION</t>
        </is>
      </c>
      <c r="L10705">
        <f>_xlfn.XLOOKUP(Tableau1[[#This Row],[TYPE DE PIECE]],Tableau4[MATIERE],Tableau4[SHORT TYPE],"",0,1)</f>
        <v/>
      </c>
      <c r="N10705">
        <f>IF(ISERR(FIND("DECOUPE",Tableau1[[#This Row],[DESIGNATION]])),"","NEED REF")</f>
        <v/>
      </c>
    </row>
    <row r="10706">
      <c r="B10706" t="n">
        <v>34403300</v>
      </c>
      <c r="C10706" s="2" t="n">
        <v>41534</v>
      </c>
      <c r="D10706" t="inlineStr">
        <is>
          <t>SPEC</t>
        </is>
      </c>
      <c r="E10706" t="inlineStr">
        <is>
          <t>CABLE GLAND PLATE</t>
        </is>
      </c>
      <c r="F10706" t="inlineStr">
        <is>
          <t>BYPASS 160kW APC</t>
        </is>
      </c>
      <c r="J10706" t="inlineStr">
        <is>
          <t>MATRION</t>
        </is>
      </c>
      <c r="L10706">
        <f>_xlfn.XLOOKUP(Tableau1[[#This Row],[TYPE DE PIECE]],Tableau4[MATIERE],Tableau4[SHORT TYPE],"",0,1)</f>
        <v/>
      </c>
      <c r="N10706">
        <f>IF(ISERR(FIND("DECOUPE",Tableau1[[#This Row],[DESIGNATION]])),"","NEED REF")</f>
        <v/>
      </c>
    </row>
    <row r="10707">
      <c r="B10707" t="n">
        <v>34403299</v>
      </c>
      <c r="C10707" s="2" t="n">
        <v>41534</v>
      </c>
      <c r="D10707" t="inlineStr">
        <is>
          <t>SPEC</t>
        </is>
      </c>
      <c r="E10707" t="inlineStr">
        <is>
          <t>SUPPORT PROTECTION SHIELD</t>
        </is>
      </c>
      <c r="F10707" t="inlineStr">
        <is>
          <t>BYPASS 160kW APC</t>
        </is>
      </c>
      <c r="J10707" t="inlineStr">
        <is>
          <t>MATRION</t>
        </is>
      </c>
      <c r="L10707">
        <f>_xlfn.XLOOKUP(Tableau1[[#This Row],[TYPE DE PIECE]],Tableau4[MATIERE],Tableau4[SHORT TYPE],"",0,1)</f>
        <v/>
      </c>
      <c r="N10707">
        <f>IF(ISERR(FIND("DECOUPE",Tableau1[[#This Row],[DESIGNATION]])),"","NEED REF")</f>
        <v/>
      </c>
    </row>
    <row r="10708">
      <c r="B10708" t="n">
        <v>34403298</v>
      </c>
      <c r="C10708" s="2" t="n">
        <v>41534</v>
      </c>
      <c r="D10708" t="inlineStr">
        <is>
          <t>SPEC</t>
        </is>
      </c>
      <c r="E10708" t="inlineStr">
        <is>
          <t>SUPPORT Q2&amp;Q3</t>
        </is>
      </c>
      <c r="F10708" t="inlineStr">
        <is>
          <t>BYPASS 160kW APC</t>
        </is>
      </c>
      <c r="J10708" t="inlineStr">
        <is>
          <t>MATRION</t>
        </is>
      </c>
      <c r="L10708">
        <f>_xlfn.XLOOKUP(Tableau1[[#This Row],[TYPE DE PIECE]],Tableau4[MATIERE],Tableau4[SHORT TYPE],"",0,1)</f>
        <v/>
      </c>
      <c r="N10708">
        <f>IF(ISERR(FIND("DECOUPE",Tableau1[[#This Row],[DESIGNATION]])),"","NEED REF")</f>
        <v/>
      </c>
    </row>
    <row r="10709">
      <c r="B10709" t="n">
        <v>34403297</v>
      </c>
      <c r="C10709" s="2" t="n">
        <v>41534</v>
      </c>
      <c r="D10709" t="inlineStr">
        <is>
          <t>SPEC</t>
        </is>
      </c>
      <c r="E10709" t="inlineStr">
        <is>
          <t>SUPPORT Q1</t>
        </is>
      </c>
      <c r="F10709" t="inlineStr">
        <is>
          <t>BYPASS 160kW APC</t>
        </is>
      </c>
      <c r="J10709" t="inlineStr">
        <is>
          <t>MATRION</t>
        </is>
      </c>
      <c r="L10709">
        <f>_xlfn.XLOOKUP(Tableau1[[#This Row],[TYPE DE PIECE]],Tableau4[MATIERE],Tableau4[SHORT TYPE],"",0,1)</f>
        <v/>
      </c>
      <c r="N10709">
        <f>IF(ISERR(FIND("DECOUPE",Tableau1[[#This Row],[DESIGNATION]])),"","NEED REF")</f>
        <v/>
      </c>
    </row>
    <row r="10710">
      <c r="B10710" t="n">
        <v>34403296</v>
      </c>
      <c r="C10710" s="2" t="n">
        <v>41534</v>
      </c>
      <c r="D10710" t="inlineStr">
        <is>
          <t>SPEC</t>
        </is>
      </c>
      <c r="E10710" t="inlineStr">
        <is>
          <t>SUPPORT JDB R2 ASI</t>
        </is>
      </c>
      <c r="F10710" t="inlineStr">
        <is>
          <t>BYPASS 160kW APC</t>
        </is>
      </c>
      <c r="J10710" t="inlineStr">
        <is>
          <t>MATRION</t>
        </is>
      </c>
      <c r="L10710">
        <f>_xlfn.XLOOKUP(Tableau1[[#This Row],[TYPE DE PIECE]],Tableau4[MATIERE],Tableau4[SHORT TYPE],"",0,1)</f>
        <v/>
      </c>
      <c r="N10710">
        <f>IF(ISERR(FIND("DECOUPE",Tableau1[[#This Row],[DESIGNATION]])),"","NEED REF")</f>
        <v/>
      </c>
    </row>
    <row r="10711">
      <c r="B10711" t="n">
        <v>34403295</v>
      </c>
      <c r="C10711" s="2" t="n">
        <v>41534</v>
      </c>
      <c r="D10711" t="inlineStr">
        <is>
          <t>SPEC</t>
        </is>
      </c>
      <c r="E10711" t="inlineStr">
        <is>
          <t>PLATE 1200x800x300 APC BYPASS 160kVA</t>
        </is>
      </c>
      <c r="F10711" t="inlineStr">
        <is>
          <t>BYPASS 160kW APC</t>
        </is>
      </c>
      <c r="J10711" t="inlineStr">
        <is>
          <t>MATRION</t>
        </is>
      </c>
      <c r="L10711">
        <f>_xlfn.XLOOKUP(Tableau1[[#This Row],[TYPE DE PIECE]],Tableau4[MATIERE],Tableau4[SHORT TYPE],"",0,1)</f>
        <v/>
      </c>
      <c r="N10711">
        <f>IF(ISERR(FIND("DECOUPE",Tableau1[[#This Row],[DESIGNATION]])),"","NEED REF")</f>
        <v/>
      </c>
    </row>
    <row r="10712">
      <c r="B10712" t="n">
        <v>34403294</v>
      </c>
      <c r="C10712" s="2" t="n">
        <v>41534</v>
      </c>
      <c r="D10712" t="inlineStr">
        <is>
          <t>SPEC</t>
        </is>
      </c>
      <c r="E10712" t="inlineStr">
        <is>
          <t>BOX 1200x800x300 APC BYPASS 160kVA</t>
        </is>
      </c>
      <c r="F10712" t="inlineStr">
        <is>
          <t>BYPASS 160kW APC</t>
        </is>
      </c>
      <c r="J10712" t="inlineStr">
        <is>
          <t>MATRION</t>
        </is>
      </c>
      <c r="L10712">
        <f>_xlfn.XLOOKUP(Tableau1[[#This Row],[TYPE DE PIECE]],Tableau4[MATIERE],Tableau4[SHORT TYPE],"",0,1)</f>
        <v/>
      </c>
      <c r="N10712">
        <f>IF(ISERR(FIND("DECOUPE",Tableau1[[#This Row],[DESIGNATION]])),"","NEED REF")</f>
        <v/>
      </c>
    </row>
    <row r="10713">
      <c r="B10713" t="n">
        <v>34403293</v>
      </c>
      <c r="C10713" s="2" t="n">
        <v>41513</v>
      </c>
      <c r="D10713" t="inlineStr">
        <is>
          <t>SPEC</t>
        </is>
      </c>
      <c r="E10713" t="inlineStr">
        <is>
          <t>LOAD JONCTION TGAB  120x10</t>
        </is>
      </c>
      <c r="F10713" t="inlineStr">
        <is>
          <t>BYPASS 1600kVA HP EYBENS PHASE III</t>
        </is>
      </c>
      <c r="J10713" t="inlineStr">
        <is>
          <t>MATRION</t>
        </is>
      </c>
      <c r="L10713">
        <f>_xlfn.XLOOKUP(Tableau1[[#This Row],[TYPE DE PIECE]],Tableau4[MATIERE],Tableau4[SHORT TYPE],"",0,1)</f>
        <v/>
      </c>
      <c r="N10713">
        <f>IF(ISERR(FIND("DECOUPE",Tableau1[[#This Row],[DESIGNATION]])),"","NEED REF")</f>
        <v/>
      </c>
    </row>
    <row r="10714">
      <c r="B10714" t="n">
        <v>34403292</v>
      </c>
      <c r="C10714" s="2" t="n">
        <v>41500</v>
      </c>
      <c r="D10714" t="inlineStr">
        <is>
          <t>DDM</t>
        </is>
      </c>
      <c r="E10714" t="inlineStr">
        <is>
          <t>Dossier de Montage des Skids Gaine de 300MM</t>
        </is>
      </c>
      <c r="F10714" t="inlineStr">
        <is>
          <t>G7000</t>
        </is>
      </c>
      <c r="J10714" t="inlineStr">
        <is>
          <t>TCHEWEMO</t>
        </is>
      </c>
      <c r="L10714">
        <f>_xlfn.XLOOKUP(Tableau1[[#This Row],[TYPE DE PIECE]],Tableau4[MATIERE],Tableau4[SHORT TYPE],"",0,1)</f>
        <v/>
      </c>
      <c r="N10714">
        <f>IF(ISERR(FIND("DECOUPE",Tableau1[[#This Row],[DESIGNATION]])),"","NEED REF")</f>
        <v/>
      </c>
    </row>
    <row r="10715">
      <c r="B10715" t="n">
        <v>34403291</v>
      </c>
      <c r="C10715" s="2" t="n">
        <v>41499</v>
      </c>
      <c r="D10715" t="inlineStr">
        <is>
          <t>SPEC</t>
        </is>
      </c>
      <c r="E10715" t="inlineStr">
        <is>
          <t>Limande 30 Courant d'échange</t>
        </is>
      </c>
      <c r="F10715" t="inlineStr">
        <is>
          <t>G5000</t>
        </is>
      </c>
      <c r="J10715" t="inlineStr">
        <is>
          <t>ROBERT</t>
        </is>
      </c>
      <c r="L10715">
        <f>_xlfn.XLOOKUP(Tableau1[[#This Row],[TYPE DE PIECE]],Tableau4[MATIERE],Tableau4[SHORT TYPE],"",0,1)</f>
        <v/>
      </c>
      <c r="N10715">
        <f>IF(ISERR(FIND("DECOUPE",Tableau1[[#This Row],[DESIGNATION]])),"","NEED REF")</f>
        <v/>
      </c>
    </row>
    <row r="10716">
      <c r="B10716" t="n">
        <v>34403290</v>
      </c>
      <c r="C10716" s="2" t="n">
        <v>41499</v>
      </c>
      <c r="D10716" t="inlineStr">
        <is>
          <t>SPEC</t>
        </is>
      </c>
      <c r="E10716" t="inlineStr">
        <is>
          <t>Limande 30 CAN Externe</t>
        </is>
      </c>
      <c r="F10716" t="inlineStr">
        <is>
          <t>G5000</t>
        </is>
      </c>
      <c r="J10716" t="inlineStr">
        <is>
          <t>ROBERT</t>
        </is>
      </c>
      <c r="L10716">
        <f>_xlfn.XLOOKUP(Tableau1[[#This Row],[TYPE DE PIECE]],Tableau4[MATIERE],Tableau4[SHORT TYPE],"",0,1)</f>
        <v/>
      </c>
      <c r="N10716">
        <f>IF(ISERR(FIND("DECOUPE",Tableau1[[#This Row],[DESIGNATION]])),"","NEED REF")</f>
        <v/>
      </c>
    </row>
    <row r="10717">
      <c r="B10717" t="n">
        <v>34403289</v>
      </c>
      <c r="C10717" s="2" t="n">
        <v>41495</v>
      </c>
      <c r="E10717" t="inlineStr">
        <is>
          <t>Etiquette pour ACK 2U</t>
        </is>
      </c>
      <c r="J10717" t="inlineStr">
        <is>
          <t>PLANTIER</t>
        </is>
      </c>
      <c r="L10717">
        <f>_xlfn.XLOOKUP(Tableau1[[#This Row],[TYPE DE PIECE]],Tableau4[MATIERE],Tableau4[SHORT TYPE],"",0,1)</f>
        <v/>
      </c>
      <c r="N10717">
        <f>IF(ISERR(FIND("DECOUPE",Tableau1[[#This Row],[DESIGNATION]])),"","NEED REF")</f>
        <v/>
      </c>
    </row>
    <row r="10718">
      <c r="B10718" t="n">
        <v>34403288</v>
      </c>
      <c r="C10718" s="2" t="n">
        <v>41495</v>
      </c>
      <c r="E10718" t="inlineStr">
        <is>
          <t>TORON pour RACK 2U</t>
        </is>
      </c>
      <c r="J10718" t="inlineStr">
        <is>
          <t>PLANTIER</t>
        </is>
      </c>
      <c r="L10718">
        <f>_xlfn.XLOOKUP(Tableau1[[#This Row],[TYPE DE PIECE]],Tableau4[MATIERE],Tableau4[SHORT TYPE],"",0,1)</f>
        <v/>
      </c>
      <c r="N10718">
        <f>IF(ISERR(FIND("DECOUPE",Tableau1[[#This Row],[DESIGNATION]])),"","NEED REF")</f>
        <v/>
      </c>
    </row>
    <row r="10719">
      <c r="B10719" t="n">
        <v>34403287</v>
      </c>
      <c r="C10719" s="2" t="n">
        <v>41491</v>
      </c>
      <c r="D10719" t="inlineStr">
        <is>
          <t>SPEC</t>
        </is>
      </c>
      <c r="E10719" t="inlineStr">
        <is>
          <t>PLASTRON DROIT BYPASS G5k 600kVA</t>
        </is>
      </c>
      <c r="F10719" t="inlineStr">
        <is>
          <t>BYPASS 600kVA GK</t>
        </is>
      </c>
      <c r="J10719" t="inlineStr">
        <is>
          <t>MATRION</t>
        </is>
      </c>
      <c r="L10719">
        <f>_xlfn.XLOOKUP(Tableau1[[#This Row],[TYPE DE PIECE]],Tableau4[MATIERE],Tableau4[SHORT TYPE],"",0,1)</f>
        <v/>
      </c>
      <c r="N10719">
        <f>IF(ISERR(FIND("DECOUPE",Tableau1[[#This Row],[DESIGNATION]])),"","NEED REF")</f>
        <v/>
      </c>
    </row>
    <row r="10720">
      <c r="B10720" t="n">
        <v>34403286</v>
      </c>
      <c r="C10720" s="2" t="n">
        <v>41491</v>
      </c>
      <c r="D10720" t="inlineStr">
        <is>
          <t>SPEC</t>
        </is>
      </c>
      <c r="E10720" t="inlineStr">
        <is>
          <t>PLASTRON GAUCHE BYPASS G5k 600kVA</t>
        </is>
      </c>
      <c r="F10720" t="inlineStr">
        <is>
          <t>BYPASS 600kVA GK</t>
        </is>
      </c>
      <c r="J10720" t="inlineStr">
        <is>
          <t>MATRION</t>
        </is>
      </c>
      <c r="L10720">
        <f>_xlfn.XLOOKUP(Tableau1[[#This Row],[TYPE DE PIECE]],Tableau4[MATIERE],Tableau4[SHORT TYPE],"",0,1)</f>
        <v/>
      </c>
      <c r="N10720">
        <f>IF(ISERR(FIND("DECOUPE",Tableau1[[#This Row],[DESIGNATION]])),"","NEED REF")</f>
        <v/>
      </c>
    </row>
    <row r="10721">
      <c r="B10721" t="n">
        <v>34403285</v>
      </c>
      <c r="C10721" s="2" t="n">
        <v>41491</v>
      </c>
      <c r="D10721" t="inlineStr">
        <is>
          <t>SPEC</t>
        </is>
      </c>
      <c r="E10721" t="inlineStr">
        <is>
          <t>FRONT PRISMA JDB SUPPORT</t>
        </is>
      </c>
      <c r="F10721" t="inlineStr">
        <is>
          <t>R&amp;D MBT</t>
        </is>
      </c>
      <c r="J10721" t="inlineStr">
        <is>
          <t>MATRION</t>
        </is>
      </c>
      <c r="L10721">
        <f>_xlfn.XLOOKUP(Tableau1[[#This Row],[TYPE DE PIECE]],Tableau4[MATIERE],Tableau4[SHORT TYPE],"",0,1)</f>
        <v/>
      </c>
      <c r="N10721">
        <f>IF(ISERR(FIND("DECOUPE",Tableau1[[#This Row],[DESIGNATION]])),"","NEED REF")</f>
        <v/>
      </c>
    </row>
    <row r="10722">
      <c r="B10722" t="n">
        <v>34403284</v>
      </c>
      <c r="C10722" s="2" t="n">
        <v>41491</v>
      </c>
      <c r="D10722" t="inlineStr">
        <is>
          <t>SPEC</t>
        </is>
      </c>
      <c r="E10722" t="inlineStr">
        <is>
          <t>WEDGE FOR FLEXIBAR &amp; JDB</t>
        </is>
      </c>
      <c r="F10722" t="inlineStr">
        <is>
          <t>R&amp;D MBT</t>
        </is>
      </c>
      <c r="J10722" t="inlineStr">
        <is>
          <t>MATRION</t>
        </is>
      </c>
      <c r="L10722">
        <f>_xlfn.XLOOKUP(Tableau1[[#This Row],[TYPE DE PIECE]],Tableau4[MATIERE],Tableau4[SHORT TYPE],"",0,1)</f>
        <v/>
      </c>
      <c r="N10722">
        <f>IF(ISERR(FIND("DECOUPE",Tableau1[[#This Row],[DESIGNATION]])),"","NEED REF")</f>
        <v/>
      </c>
    </row>
    <row r="10723">
      <c r="B10723" t="n">
        <v>34403283</v>
      </c>
      <c r="C10723" s="2" t="n">
        <v>41491</v>
      </c>
      <c r="D10723" t="inlineStr">
        <is>
          <t>SPEC</t>
        </is>
      </c>
      <c r="E10723" t="inlineStr">
        <is>
          <t>WEDGE FOR FLEXIBAR &amp; NS1600</t>
        </is>
      </c>
      <c r="F10723" t="inlineStr">
        <is>
          <t>R&amp;D MBT</t>
        </is>
      </c>
      <c r="J10723" t="inlineStr">
        <is>
          <t>MATRION</t>
        </is>
      </c>
      <c r="L10723">
        <f>_xlfn.XLOOKUP(Tableau1[[#This Row],[TYPE DE PIECE]],Tableau4[MATIERE],Tableau4[SHORT TYPE],"",0,1)</f>
        <v/>
      </c>
      <c r="N10723">
        <f>IF(ISERR(FIND("DECOUPE",Tableau1[[#This Row],[DESIGNATION]])),"","NEED REF")</f>
        <v/>
      </c>
    </row>
    <row r="10724">
      <c r="B10724" t="n">
        <v>34403282</v>
      </c>
      <c r="C10724" s="2" t="n">
        <v>41491</v>
      </c>
      <c r="D10724" t="inlineStr">
        <is>
          <t>SPEC</t>
        </is>
      </c>
      <c r="E10724" t="inlineStr">
        <is>
          <t>COPPER BAR CONNECTION UPS</t>
        </is>
      </c>
      <c r="F10724" t="inlineStr">
        <is>
          <t>R&amp;D MBT</t>
        </is>
      </c>
      <c r="J10724" t="inlineStr">
        <is>
          <t>MATRION</t>
        </is>
      </c>
      <c r="L10724">
        <f>_xlfn.XLOOKUP(Tableau1[[#This Row],[TYPE DE PIECE]],Tableau4[MATIERE],Tableau4[SHORT TYPE],"",0,1)</f>
        <v/>
      </c>
      <c r="N10724">
        <f>IF(ISERR(FIND("DECOUPE",Tableau1[[#This Row],[DESIGNATION]])),"","NEED REF")</f>
        <v/>
      </c>
    </row>
    <row r="10725">
      <c r="B10725" t="n">
        <v>34403281</v>
      </c>
      <c r="C10725" s="2" t="n">
        <v>41491</v>
      </c>
      <c r="D10725" t="inlineStr">
        <is>
          <t>SPEC</t>
        </is>
      </c>
      <c r="E10725" t="inlineStr">
        <is>
          <t>COPPER BAR CONNECTION LOAD</t>
        </is>
      </c>
      <c r="F10725" t="inlineStr">
        <is>
          <t>R&amp;D MBT</t>
        </is>
      </c>
      <c r="J10725" t="inlineStr">
        <is>
          <t>MATRION</t>
        </is>
      </c>
      <c r="L10725">
        <f>_xlfn.XLOOKUP(Tableau1[[#This Row],[TYPE DE PIECE]],Tableau4[MATIERE],Tableau4[SHORT TYPE],"",0,1)</f>
        <v/>
      </c>
      <c r="N10725">
        <f>IF(ISERR(FIND("DECOUPE",Tableau1[[#This Row],[DESIGNATION]])),"","NEED REF")</f>
        <v/>
      </c>
    </row>
    <row r="10726">
      <c r="B10726" t="n">
        <v>34403280</v>
      </c>
      <c r="C10726" s="2" t="n">
        <v>41491</v>
      </c>
      <c r="D10726" t="inlineStr">
        <is>
          <t>SPEC</t>
        </is>
      </c>
      <c r="E10726" t="inlineStr">
        <is>
          <t>COPPER BAR NS1600 JUNCTION</t>
        </is>
      </c>
      <c r="F10726" t="inlineStr">
        <is>
          <t>R&amp;D MBT</t>
        </is>
      </c>
      <c r="J10726" t="inlineStr">
        <is>
          <t>MATRION</t>
        </is>
      </c>
      <c r="L10726">
        <f>_xlfn.XLOOKUP(Tableau1[[#This Row],[TYPE DE PIECE]],Tableau4[MATIERE],Tableau4[SHORT TYPE],"",0,1)</f>
        <v/>
      </c>
      <c r="N10726">
        <f>IF(ISERR(FIND("DECOUPE",Tableau1[[#This Row],[DESIGNATION]])),"","NEED REF")</f>
        <v/>
      </c>
    </row>
    <row r="10727">
      <c r="B10727" t="n">
        <v>34403279</v>
      </c>
      <c r="C10727" s="2" t="n">
        <v>41488</v>
      </c>
      <c r="D10727" t="inlineStr">
        <is>
          <t>SPEC</t>
        </is>
      </c>
      <c r="E10727" t="inlineStr">
        <is>
          <t>FLEXBAR L3_2 BP 1MVA</t>
        </is>
      </c>
      <c r="F10727" t="inlineStr">
        <is>
          <t>R&amp;D MBT</t>
        </is>
      </c>
      <c r="J10727" t="inlineStr">
        <is>
          <t>MATRION</t>
        </is>
      </c>
      <c r="L10727">
        <f>_xlfn.XLOOKUP(Tableau1[[#This Row],[TYPE DE PIECE]],Tableau4[MATIERE],Tableau4[SHORT TYPE],"",0,1)</f>
        <v/>
      </c>
      <c r="N10727">
        <f>IF(ISERR(FIND("DECOUPE",Tableau1[[#This Row],[DESIGNATION]])),"","NEED REF")</f>
        <v/>
      </c>
    </row>
    <row r="10728">
      <c r="B10728" t="n">
        <v>34403278</v>
      </c>
      <c r="C10728" s="2" t="n">
        <v>41488</v>
      </c>
      <c r="D10728" t="inlineStr">
        <is>
          <t>SPEC</t>
        </is>
      </c>
      <c r="E10728" t="inlineStr">
        <is>
          <t>FLEXBAR L3_1 BP 1MVA</t>
        </is>
      </c>
      <c r="F10728" t="inlineStr">
        <is>
          <t>R&amp;D MBT</t>
        </is>
      </c>
      <c r="J10728" t="inlineStr">
        <is>
          <t>MATRION</t>
        </is>
      </c>
      <c r="L10728">
        <f>_xlfn.XLOOKUP(Tableau1[[#This Row],[TYPE DE PIECE]],Tableau4[MATIERE],Tableau4[SHORT TYPE],"",0,1)</f>
        <v/>
      </c>
      <c r="N10728">
        <f>IF(ISERR(FIND("DECOUPE",Tableau1[[#This Row],[DESIGNATION]])),"","NEED REF")</f>
        <v/>
      </c>
    </row>
    <row r="10729">
      <c r="B10729" t="n">
        <v>34403277</v>
      </c>
      <c r="C10729" s="2" t="n">
        <v>41488</v>
      </c>
      <c r="D10729" t="inlineStr">
        <is>
          <t>SPEC</t>
        </is>
      </c>
      <c r="E10729" t="inlineStr">
        <is>
          <t>FLEXBAR L2_2 BP 1MVA</t>
        </is>
      </c>
      <c r="F10729" t="inlineStr">
        <is>
          <t>R&amp;D MBT</t>
        </is>
      </c>
      <c r="J10729" t="inlineStr">
        <is>
          <t>MATRION</t>
        </is>
      </c>
      <c r="L10729">
        <f>_xlfn.XLOOKUP(Tableau1[[#This Row],[TYPE DE PIECE]],Tableau4[MATIERE],Tableau4[SHORT TYPE],"",0,1)</f>
        <v/>
      </c>
      <c r="N10729">
        <f>IF(ISERR(FIND("DECOUPE",Tableau1[[#This Row],[DESIGNATION]])),"","NEED REF")</f>
        <v/>
      </c>
    </row>
    <row r="10730">
      <c r="B10730" t="n">
        <v>34403276</v>
      </c>
      <c r="C10730" s="2" t="n">
        <v>41488</v>
      </c>
      <c r="D10730" t="inlineStr">
        <is>
          <t>SPEC</t>
        </is>
      </c>
      <c r="E10730" t="inlineStr">
        <is>
          <t>FLEXBAR L2_1 BP 1MVA</t>
        </is>
      </c>
      <c r="F10730" t="inlineStr">
        <is>
          <t>R&amp;D MBT</t>
        </is>
      </c>
      <c r="J10730" t="inlineStr">
        <is>
          <t>MATRION</t>
        </is>
      </c>
      <c r="L10730">
        <f>_xlfn.XLOOKUP(Tableau1[[#This Row],[TYPE DE PIECE]],Tableau4[MATIERE],Tableau4[SHORT TYPE],"",0,1)</f>
        <v/>
      </c>
      <c r="N10730">
        <f>IF(ISERR(FIND("DECOUPE",Tableau1[[#This Row],[DESIGNATION]])),"","NEED REF")</f>
        <v/>
      </c>
    </row>
    <row r="10731">
      <c r="B10731" t="n">
        <v>34403275</v>
      </c>
      <c r="C10731" s="2" t="n">
        <v>41488</v>
      </c>
      <c r="D10731" t="inlineStr">
        <is>
          <t>SPEC</t>
        </is>
      </c>
      <c r="E10731" t="inlineStr">
        <is>
          <t>FLEXBAR L1_2 BP 1MVA</t>
        </is>
      </c>
      <c r="F10731" t="inlineStr">
        <is>
          <t>R&amp;D MBT</t>
        </is>
      </c>
      <c r="J10731" t="inlineStr">
        <is>
          <t>MATRION</t>
        </is>
      </c>
      <c r="L10731">
        <f>_xlfn.XLOOKUP(Tableau1[[#This Row],[TYPE DE PIECE]],Tableau4[MATIERE],Tableau4[SHORT TYPE],"",0,1)</f>
        <v/>
      </c>
      <c r="N10731">
        <f>IF(ISERR(FIND("DECOUPE",Tableau1[[#This Row],[DESIGNATION]])),"","NEED REF")</f>
        <v/>
      </c>
    </row>
    <row r="10732">
      <c r="B10732" t="n">
        <v>34403274</v>
      </c>
      <c r="C10732" s="2" t="n">
        <v>41488</v>
      </c>
      <c r="D10732" t="inlineStr">
        <is>
          <t>SPEC</t>
        </is>
      </c>
      <c r="E10732" t="inlineStr">
        <is>
          <t>FLEXBAR L1_1 BP 1MVA</t>
        </is>
      </c>
      <c r="F10732" t="inlineStr">
        <is>
          <t>R&amp;D MBT</t>
        </is>
      </c>
      <c r="J10732" t="inlineStr">
        <is>
          <t>MATRION</t>
        </is>
      </c>
      <c r="L10732">
        <f>_xlfn.XLOOKUP(Tableau1[[#This Row],[TYPE DE PIECE]],Tableau4[MATIERE],Tableau4[SHORT TYPE],"",0,1)</f>
        <v/>
      </c>
      <c r="N10732">
        <f>IF(ISERR(FIND("DECOUPE",Tableau1[[#This Row],[DESIGNATION]])),"","NEED REF")</f>
        <v/>
      </c>
    </row>
    <row r="10733">
      <c r="B10733" t="n">
        <v>34403273</v>
      </c>
      <c r="C10733" s="2" t="n">
        <v>41488</v>
      </c>
      <c r="D10733" t="inlineStr">
        <is>
          <t>SPEC</t>
        </is>
      </c>
      <c r="E10733" t="inlineStr">
        <is>
          <t>FLEXBAR N_2 BP 1MVA</t>
        </is>
      </c>
      <c r="F10733" t="inlineStr">
        <is>
          <t>R&amp;D MBT</t>
        </is>
      </c>
      <c r="J10733" t="inlineStr">
        <is>
          <t>MATRION</t>
        </is>
      </c>
      <c r="L10733">
        <f>_xlfn.XLOOKUP(Tableau1[[#This Row],[TYPE DE PIECE]],Tableau4[MATIERE],Tableau4[SHORT TYPE],"",0,1)</f>
        <v/>
      </c>
      <c r="N10733">
        <f>IF(ISERR(FIND("DECOUPE",Tableau1[[#This Row],[DESIGNATION]])),"","NEED REF")</f>
        <v/>
      </c>
    </row>
    <row r="10734">
      <c r="B10734" t="n">
        <v>34403272</v>
      </c>
      <c r="C10734" s="2" t="n">
        <v>41488</v>
      </c>
      <c r="D10734" t="inlineStr">
        <is>
          <t>SPEC</t>
        </is>
      </c>
      <c r="E10734" t="inlineStr">
        <is>
          <t>FLEXBAR N_1 BP 1MVA</t>
        </is>
      </c>
      <c r="F10734" t="inlineStr">
        <is>
          <t>R&amp;D MBT</t>
        </is>
      </c>
      <c r="J10734" t="inlineStr">
        <is>
          <t>MATRION</t>
        </is>
      </c>
      <c r="L10734">
        <f>_xlfn.XLOOKUP(Tableau1[[#This Row],[TYPE DE PIECE]],Tableau4[MATIERE],Tableau4[SHORT TYPE],"",0,1)</f>
        <v/>
      </c>
      <c r="N10734">
        <f>IF(ISERR(FIND("DECOUPE",Tableau1[[#This Row],[DESIGNATION]])),"","NEED REF")</f>
        <v/>
      </c>
    </row>
    <row r="10735">
      <c r="B10735" t="n">
        <v>34403271</v>
      </c>
      <c r="C10735" s="2" t="n">
        <v>41486</v>
      </c>
      <c r="D10735" t="inlineStr">
        <is>
          <t>SPEC</t>
        </is>
      </c>
      <c r="E10735" t="inlineStr">
        <is>
          <t>INVERSEUR SOURCE NS1600H 4P + ROTAT + 2OF</t>
        </is>
      </c>
      <c r="F10735" t="inlineStr">
        <is>
          <t>R&amp;D MBT</t>
        </is>
      </c>
      <c r="J10735" t="inlineStr">
        <is>
          <t>MATRION</t>
        </is>
      </c>
      <c r="L10735">
        <f>_xlfn.XLOOKUP(Tableau1[[#This Row],[TYPE DE PIECE]],Tableau4[MATIERE],Tableau4[SHORT TYPE],"",0,1)</f>
        <v/>
      </c>
      <c r="N10735">
        <f>IF(ISERR(FIND("DECOUPE",Tableau1[[#This Row],[DESIGNATION]])),"","NEED REF")</f>
        <v/>
      </c>
    </row>
    <row r="10736">
      <c r="B10736" t="n">
        <v>34403270</v>
      </c>
      <c r="C10736" s="2" t="n">
        <v>41486</v>
      </c>
      <c r="D10736" t="inlineStr">
        <is>
          <t>SPEC</t>
        </is>
      </c>
      <c r="E10736" t="inlineStr">
        <is>
          <t>NS1600NA 4P + ROTAT + 2OF</t>
        </is>
      </c>
      <c r="F10736" t="inlineStr">
        <is>
          <t>R&amp;D MBT</t>
        </is>
      </c>
      <c r="J10736" t="inlineStr">
        <is>
          <t>MATRION</t>
        </is>
      </c>
      <c r="L10736">
        <f>_xlfn.XLOOKUP(Tableau1[[#This Row],[TYPE DE PIECE]],Tableau4[MATIERE],Tableau4[SHORT TYPE],"",0,1)</f>
        <v/>
      </c>
      <c r="N10736">
        <f>IF(ISERR(FIND("DECOUPE",Tableau1[[#This Row],[DESIGNATION]])),"","NEED REF")</f>
        <v/>
      </c>
    </row>
    <row r="10737">
      <c r="B10737" t="n">
        <v>34403269</v>
      </c>
      <c r="C10737" s="2" t="n">
        <v>41472</v>
      </c>
      <c r="D10737" t="inlineStr">
        <is>
          <t>SPEC</t>
        </is>
      </c>
      <c r="E10737" t="inlineStr">
        <is>
          <t xml:space="preserve">Spec monitoring box pour SAREL </t>
        </is>
      </c>
      <c r="F10737" t="inlineStr">
        <is>
          <t>PV BOX THAILANDE POUR SOLAR</t>
        </is>
      </c>
      <c r="J10737" t="inlineStr">
        <is>
          <t>DUBOIS</t>
        </is>
      </c>
      <c r="L10737">
        <f>_xlfn.XLOOKUP(Tableau1[[#This Row],[TYPE DE PIECE]],Tableau4[MATIERE],Tableau4[SHORT TYPE],"",0,1)</f>
        <v/>
      </c>
      <c r="N10737">
        <f>IF(ISERR(FIND("DECOUPE",Tableau1[[#This Row],[DESIGNATION]])),"","NEED REF")</f>
        <v/>
      </c>
    </row>
    <row r="10738">
      <c r="B10738" t="n">
        <v>34403268</v>
      </c>
      <c r="C10738" s="2" t="n">
        <v>41470</v>
      </c>
      <c r="D10738" t="inlineStr">
        <is>
          <t>SPEC</t>
        </is>
      </c>
      <c r="E10738" t="inlineStr">
        <is>
          <t>Plastron 3xNSX630 h=300</t>
        </is>
      </c>
      <c r="F10738" t="inlineStr">
        <is>
          <t>CELLULE BIRDY 712</t>
        </is>
      </c>
      <c r="J10738" t="inlineStr">
        <is>
          <t>ROBERT</t>
        </is>
      </c>
      <c r="L10738">
        <f>_xlfn.XLOOKUP(Tableau1[[#This Row],[TYPE DE PIECE]],Tableau4[MATIERE],Tableau4[SHORT TYPE],"",0,1)</f>
        <v/>
      </c>
      <c r="N10738">
        <f>IF(ISERR(FIND("DECOUPE",Tableau1[[#This Row],[DESIGNATION]])),"","NEED REF")</f>
        <v/>
      </c>
    </row>
    <row r="10739">
      <c r="B10739" t="n">
        <v>34403267</v>
      </c>
      <c r="C10739" s="2" t="n">
        <v>41467</v>
      </c>
      <c r="D10739" t="inlineStr">
        <is>
          <t>SPEC</t>
        </is>
      </c>
      <c r="E10739" t="inlineStr">
        <is>
          <t xml:space="preserve">Traverse </t>
        </is>
      </c>
      <c r="F10739" t="inlineStr">
        <is>
          <t>G7K 1mVA</t>
        </is>
      </c>
      <c r="J10739" t="inlineStr">
        <is>
          <t>DUBOIS</t>
        </is>
      </c>
      <c r="L10739">
        <f>_xlfn.XLOOKUP(Tableau1[[#This Row],[TYPE DE PIECE]],Tableau4[MATIERE],Tableau4[SHORT TYPE],"",0,1)</f>
        <v/>
      </c>
      <c r="N10739">
        <f>IF(ISERR(FIND("DECOUPE",Tableau1[[#This Row],[DESIGNATION]])),"","NEED REF")</f>
        <v/>
      </c>
    </row>
    <row r="10740">
      <c r="B10740" t="n">
        <v>34403266</v>
      </c>
      <c r="C10740" s="2" t="n">
        <v>41467</v>
      </c>
      <c r="D10740" t="inlineStr">
        <is>
          <t>SPEC</t>
        </is>
      </c>
      <c r="E10740" t="inlineStr">
        <is>
          <t xml:space="preserve">Barre cuivre </t>
        </is>
      </c>
      <c r="F10740" t="inlineStr">
        <is>
          <t>G7K 1mVA</t>
        </is>
      </c>
      <c r="J10740" t="inlineStr">
        <is>
          <t>DUBOIS</t>
        </is>
      </c>
      <c r="L10740">
        <f>_xlfn.XLOOKUP(Tableau1[[#This Row],[TYPE DE PIECE]],Tableau4[MATIERE],Tableau4[SHORT TYPE],"",0,1)</f>
        <v/>
      </c>
      <c r="N10740">
        <f>IF(ISERR(FIND("DECOUPE",Tableau1[[#This Row],[DESIGNATION]])),"","NEED REF")</f>
        <v/>
      </c>
    </row>
    <row r="10741">
      <c r="B10741" t="n">
        <v>34403265</v>
      </c>
      <c r="C10741" s="2" t="n">
        <v>41467</v>
      </c>
      <c r="D10741" t="inlineStr">
        <is>
          <t>SPEC</t>
        </is>
      </c>
      <c r="E10741" t="inlineStr">
        <is>
          <t>Gaine raccordement</t>
        </is>
      </c>
      <c r="F10741" t="inlineStr">
        <is>
          <t>G7K 1mVA</t>
        </is>
      </c>
      <c r="J10741" t="inlineStr">
        <is>
          <t>DUBOIS</t>
        </is>
      </c>
      <c r="L10741">
        <f>_xlfn.XLOOKUP(Tableau1[[#This Row],[TYPE DE PIECE]],Tableau4[MATIERE],Tableau4[SHORT TYPE],"",0,1)</f>
        <v/>
      </c>
      <c r="N10741">
        <f>IF(ISERR(FIND("DECOUPE",Tableau1[[#This Row],[DESIGNATION]])),"","NEED REF")</f>
        <v/>
      </c>
    </row>
    <row r="10742">
      <c r="B10742" t="n">
        <v>34403264</v>
      </c>
      <c r="C10742" s="2" t="n">
        <v>41464</v>
      </c>
      <c r="D10742" t="inlineStr">
        <is>
          <t>SPEC</t>
        </is>
      </c>
      <c r="E10742" t="inlineStr">
        <is>
          <t>PLAQUE MASSE CEM ARRIERE CELLULE</t>
        </is>
      </c>
      <c r="F10742" t="inlineStr">
        <is>
          <t xml:space="preserve">G5K &amp; G7K </t>
        </is>
      </c>
      <c r="J10742" t="inlineStr">
        <is>
          <t>ÇAKIR</t>
        </is>
      </c>
      <c r="L10742">
        <f>_xlfn.XLOOKUP(Tableau1[[#This Row],[TYPE DE PIECE]],Tableau4[MATIERE],Tableau4[SHORT TYPE],"",0,1)</f>
        <v/>
      </c>
      <c r="N10742">
        <f>IF(ISERR(FIND("DECOUPE",Tableau1[[#This Row],[DESIGNATION]])),"","NEED REF")</f>
        <v/>
      </c>
    </row>
    <row r="10743">
      <c r="B10743" t="n">
        <v>34403263</v>
      </c>
      <c r="C10743" s="2" t="n">
        <v>41463</v>
      </c>
      <c r="D10743" t="inlineStr">
        <is>
          <t>NOM</t>
        </is>
      </c>
      <c r="E10743" t="inlineStr">
        <is>
          <t xml:space="preserve">LG ARM COUPLAGE BATT 710 G7K 200-250kVA </t>
        </is>
      </c>
      <c r="F10743" t="inlineStr">
        <is>
          <t>TOUTE</t>
        </is>
      </c>
      <c r="J10743" t="inlineStr">
        <is>
          <t>ROBERT</t>
        </is>
      </c>
      <c r="L10743">
        <f>_xlfn.XLOOKUP(Tableau1[[#This Row],[TYPE DE PIECE]],Tableau4[MATIERE],Tableau4[SHORT TYPE],"",0,1)</f>
        <v/>
      </c>
      <c r="N10743">
        <f>IF(ISERR(FIND("DECOUPE",Tableau1[[#This Row],[DESIGNATION]])),"","NEED REF")</f>
        <v/>
      </c>
    </row>
    <row r="10744">
      <c r="B10744" t="n">
        <v>34403262</v>
      </c>
      <c r="C10744" s="2" t="n">
        <v>41458</v>
      </c>
      <c r="D10744" t="inlineStr">
        <is>
          <t>D Montage</t>
        </is>
      </c>
      <c r="E10744" t="inlineStr">
        <is>
          <t>Dossier de montage Bypass 800kVA + 3 INS630</t>
        </is>
      </c>
      <c r="J10744" t="inlineStr">
        <is>
          <t>DUBOIS</t>
        </is>
      </c>
      <c r="L10744">
        <f>_xlfn.XLOOKUP(Tableau1[[#This Row],[TYPE DE PIECE]],Tableau4[MATIERE],Tableau4[SHORT TYPE],"",0,1)</f>
        <v/>
      </c>
      <c r="N10744">
        <f>IF(ISERR(FIND("DECOUPE",Tableau1[[#This Row],[DESIGNATION]])),"","NEED REF")</f>
        <v/>
      </c>
    </row>
    <row r="10745">
      <c r="B10745" t="n">
        <v>34403261</v>
      </c>
      <c r="C10745" s="2" t="n">
        <v>41457</v>
      </c>
      <c r="D10745" t="inlineStr">
        <is>
          <t>SPEC</t>
        </is>
      </c>
      <c r="E10745" t="inlineStr">
        <is>
          <t>Plaque Isolante Mylar 600x150mm x0,19mm 1face Adhésive</t>
        </is>
      </c>
      <c r="F10745" t="inlineStr">
        <is>
          <t>TOUTE</t>
        </is>
      </c>
      <c r="J10745" t="inlineStr">
        <is>
          <t>MATRION</t>
        </is>
      </c>
      <c r="L10745">
        <f>_xlfn.XLOOKUP(Tableau1[[#This Row],[TYPE DE PIECE]],Tableau4[MATIERE],Tableau4[SHORT TYPE],"",0,1)</f>
        <v/>
      </c>
      <c r="N10745">
        <f>IF(ISERR(FIND("DECOUPE",Tableau1[[#This Row],[DESIGNATION]])),"","NEED REF")</f>
        <v/>
      </c>
    </row>
    <row r="10746">
      <c r="B10746" t="n">
        <v>34403260</v>
      </c>
      <c r="C10746" s="2" t="n">
        <v>41457</v>
      </c>
      <c r="D10746" t="inlineStr">
        <is>
          <t>SPEC</t>
        </is>
      </c>
      <c r="E10746" t="inlineStr">
        <is>
          <t>Plaque Isolante Mylar 800x500mm x0,19mm 1face Adhésive</t>
        </is>
      </c>
      <c r="F10746" t="inlineStr">
        <is>
          <t>TOUTE</t>
        </is>
      </c>
      <c r="J10746" t="inlineStr">
        <is>
          <t>MATRION</t>
        </is>
      </c>
      <c r="L10746">
        <f>_xlfn.XLOOKUP(Tableau1[[#This Row],[TYPE DE PIECE]],Tableau4[MATIERE],Tableau4[SHORT TYPE],"",0,1)</f>
        <v/>
      </c>
      <c r="N10746">
        <f>IF(ISERR(FIND("DECOUPE",Tableau1[[#This Row],[DESIGNATION]])),"","NEED REF")</f>
        <v/>
      </c>
    </row>
    <row r="10747">
      <c r="B10747" t="n">
        <v>34403259</v>
      </c>
      <c r="C10747" s="2" t="n">
        <v>41457</v>
      </c>
      <c r="D10747" t="inlineStr">
        <is>
          <t>SPEC</t>
        </is>
      </c>
      <c r="E10747" t="inlineStr">
        <is>
          <t>PLAQ SERRAGE2 BARRE SOUPLE CS LEM STS 800A</t>
        </is>
      </c>
      <c r="F10747" t="inlineStr">
        <is>
          <t>STS800A</t>
        </is>
      </c>
      <c r="J10747" t="inlineStr">
        <is>
          <t>MATRION</t>
        </is>
      </c>
      <c r="L10747">
        <f>_xlfn.XLOOKUP(Tableau1[[#This Row],[TYPE DE PIECE]],Tableau4[MATIERE],Tableau4[SHORT TYPE],"",0,1)</f>
        <v/>
      </c>
      <c r="N10747">
        <f>IF(ISERR(FIND("DECOUPE",Tableau1[[#This Row],[DESIGNATION]])),"","NEED REF")</f>
        <v/>
      </c>
    </row>
    <row r="10748">
      <c r="B10748" t="n">
        <v>34403258</v>
      </c>
      <c r="C10748" s="2" t="n">
        <v>41453</v>
      </c>
      <c r="D10748" t="inlineStr">
        <is>
          <t>SPEC</t>
        </is>
      </c>
      <c r="E10748" t="inlineStr">
        <is>
          <t>STS 1200A 4P Light Capot 3 - GOTTARD</t>
        </is>
      </c>
      <c r="F10748" t="inlineStr">
        <is>
          <t>STS1200A GOTTARD</t>
        </is>
      </c>
      <c r="J10748" t="inlineStr">
        <is>
          <t>MATRION</t>
        </is>
      </c>
      <c r="L10748">
        <f>_xlfn.XLOOKUP(Tableau1[[#This Row],[TYPE DE PIECE]],Tableau4[MATIERE],Tableau4[SHORT TYPE],"",0,1)</f>
        <v/>
      </c>
      <c r="N10748">
        <f>IF(ISERR(FIND("DECOUPE",Tableau1[[#This Row],[DESIGNATION]])),"","NEED REF")</f>
        <v/>
      </c>
    </row>
    <row r="10749">
      <c r="B10749" t="n">
        <v>34403257</v>
      </c>
      <c r="C10749" s="2" t="n">
        <v>41452</v>
      </c>
      <c r="D10749" t="inlineStr">
        <is>
          <t>SPEC</t>
        </is>
      </c>
      <c r="E10749" t="inlineStr">
        <is>
          <t>LOT ETIQUETTE DILOPHANE ADHESIVE PMM NIGERIA pour 52 Départs</t>
        </is>
      </c>
      <c r="F10749" t="inlineStr">
        <is>
          <t>PMM NIGERIA</t>
        </is>
      </c>
      <c r="J10749" t="inlineStr">
        <is>
          <t>MONGELLI</t>
        </is>
      </c>
      <c r="L10749">
        <f>_xlfn.XLOOKUP(Tableau1[[#This Row],[TYPE DE PIECE]],Tableau4[MATIERE],Tableau4[SHORT TYPE],"",0,1)</f>
        <v/>
      </c>
      <c r="N10749">
        <f>IF(ISERR(FIND("DECOUPE",Tableau1[[#This Row],[DESIGNATION]])),"","NEED REF")</f>
        <v/>
      </c>
    </row>
    <row r="10750">
      <c r="B10750" t="n">
        <v>34403256</v>
      </c>
      <c r="C10750" s="2" t="n">
        <v>41438</v>
      </c>
      <c r="D10750" t="inlineStr">
        <is>
          <t>SPEC</t>
        </is>
      </c>
      <c r="E10750" t="inlineStr">
        <is>
          <t>Plastic PC Q3BP COVER M-STAR</t>
        </is>
      </c>
      <c r="F10750" t="inlineStr">
        <is>
          <t>Plastic Pc TB Protection Cover M-STAR</t>
        </is>
      </c>
      <c r="J10750" t="inlineStr">
        <is>
          <t>TCHEWEMO</t>
        </is>
      </c>
      <c r="L10750">
        <f>_xlfn.XLOOKUP(Tableau1[[#This Row],[TYPE DE PIECE]],Tableau4[MATIERE],Tableau4[SHORT TYPE],"",0,1)</f>
        <v/>
      </c>
      <c r="N10750">
        <f>IF(ISERR(FIND("DECOUPE",Tableau1[[#This Row],[DESIGNATION]])),"","NEED REF")</f>
        <v/>
      </c>
    </row>
    <row r="10751">
      <c r="B10751" t="n">
        <v>34403255</v>
      </c>
      <c r="C10751" s="2" t="n">
        <v>41438</v>
      </c>
      <c r="D10751" t="inlineStr">
        <is>
          <t>SPEC</t>
        </is>
      </c>
      <c r="E10751" t="inlineStr">
        <is>
          <t>Plastic PC Q3BP COVER M-STAR</t>
        </is>
      </c>
      <c r="F10751" t="inlineStr">
        <is>
          <t>Plastic PC CB COVER for 13 M-STAR</t>
        </is>
      </c>
      <c r="J10751" t="inlineStr">
        <is>
          <t>TCHEWEMO</t>
        </is>
      </c>
      <c r="L10751">
        <f>_xlfn.XLOOKUP(Tableau1[[#This Row],[TYPE DE PIECE]],Tableau4[MATIERE],Tableau4[SHORT TYPE],"",0,1)</f>
        <v/>
      </c>
      <c r="N10751">
        <f>IF(ISERR(FIND("DECOUPE",Tableau1[[#This Row],[DESIGNATION]])),"","NEED REF")</f>
        <v/>
      </c>
    </row>
    <row r="10752">
      <c r="B10752" t="n">
        <v>34403254</v>
      </c>
      <c r="C10752" s="2" t="n">
        <v>41438</v>
      </c>
      <c r="D10752" t="inlineStr">
        <is>
          <t>SPEC</t>
        </is>
      </c>
      <c r="E10752" t="inlineStr">
        <is>
          <t>Plastic PC Q3BP COVER M-STAR</t>
        </is>
      </c>
      <c r="F10752" t="inlineStr">
        <is>
          <t>Plastic PC SWITCH SAFETY PROTECTION</t>
        </is>
      </c>
      <c r="J10752" t="inlineStr">
        <is>
          <t>TCHEWEMO</t>
        </is>
      </c>
      <c r="L10752">
        <f>_xlfn.XLOOKUP(Tableau1[[#This Row],[TYPE DE PIECE]],Tableau4[MATIERE],Tableau4[SHORT TYPE],"",0,1)</f>
        <v/>
      </c>
      <c r="N10752">
        <f>IF(ISERR(FIND("DECOUPE",Tableau1[[#This Row],[DESIGNATION]])),"","NEED REF")</f>
        <v/>
      </c>
    </row>
    <row r="10753">
      <c r="B10753" t="n">
        <v>34403253</v>
      </c>
      <c r="C10753" s="2" t="n">
        <v>41438</v>
      </c>
      <c r="D10753" t="inlineStr">
        <is>
          <t>SPEC</t>
        </is>
      </c>
      <c r="E10753" t="inlineStr">
        <is>
          <t>Plastic PC Q3BP COVER M-STAR</t>
        </is>
      </c>
      <c r="F10753" t="inlineStr">
        <is>
          <t>Plastic PC SWITCH SAFETY PROTECTION</t>
        </is>
      </c>
      <c r="J10753" t="inlineStr">
        <is>
          <t>TCHEWEMO</t>
        </is>
      </c>
      <c r="L10753">
        <f>_xlfn.XLOOKUP(Tableau1[[#This Row],[TYPE DE PIECE]],Tableau4[MATIERE],Tableau4[SHORT TYPE],"",0,1)</f>
        <v/>
      </c>
      <c r="N10753">
        <f>IF(ISERR(FIND("DECOUPE",Tableau1[[#This Row],[DESIGNATION]])),"","NEED REF")</f>
        <v/>
      </c>
    </row>
    <row r="10754">
      <c r="B10754" t="n">
        <v>34403252</v>
      </c>
      <c r="C10754" s="2" t="n">
        <v>41438</v>
      </c>
      <c r="D10754" t="inlineStr">
        <is>
          <t>SPEC</t>
        </is>
      </c>
      <c r="E10754" t="inlineStr">
        <is>
          <t>Plastic PC Q3BP COVER M-STAR</t>
        </is>
      </c>
      <c r="F10754" t="inlineStr">
        <is>
          <t>Plastic PC CB COVER M-STAR</t>
        </is>
      </c>
      <c r="J10754" t="inlineStr">
        <is>
          <t>TCHEWEMO</t>
        </is>
      </c>
      <c r="L10754">
        <f>_xlfn.XLOOKUP(Tableau1[[#This Row],[TYPE DE PIECE]],Tableau4[MATIERE],Tableau4[SHORT TYPE],"",0,1)</f>
        <v/>
      </c>
      <c r="N10754">
        <f>IF(ISERR(FIND("DECOUPE",Tableau1[[#This Row],[DESIGNATION]])),"","NEED REF")</f>
        <v/>
      </c>
    </row>
    <row r="10755">
      <c r="B10755" t="n">
        <v>34403251</v>
      </c>
      <c r="C10755" s="2" t="n">
        <v>41438</v>
      </c>
      <c r="D10755" t="inlineStr">
        <is>
          <t>SPEC</t>
        </is>
      </c>
      <c r="E10755" t="inlineStr">
        <is>
          <t>Plastic PC Q3BP COVER M-STAR</t>
        </is>
      </c>
      <c r="F10755" t="inlineStr">
        <is>
          <t>Plastic PC CB COVER M-STAR</t>
        </is>
      </c>
      <c r="J10755" t="inlineStr">
        <is>
          <t>TCHEWEMO</t>
        </is>
      </c>
      <c r="L10755">
        <f>_xlfn.XLOOKUP(Tableau1[[#This Row],[TYPE DE PIECE]],Tableau4[MATIERE],Tableau4[SHORT TYPE],"",0,1)</f>
        <v/>
      </c>
      <c r="N10755">
        <f>IF(ISERR(FIND("DECOUPE",Tableau1[[#This Row],[DESIGNATION]])),"","NEED REF")</f>
        <v/>
      </c>
    </row>
    <row r="10756">
      <c r="B10756" t="n">
        <v>34403250</v>
      </c>
      <c r="C10756" s="2" t="n">
        <v>41438</v>
      </c>
      <c r="D10756" t="inlineStr">
        <is>
          <t>SPEC</t>
        </is>
      </c>
      <c r="E10756" t="inlineStr">
        <is>
          <t>Plastic PC Q3BP COVER M-STAR</t>
        </is>
      </c>
      <c r="F10756" t="inlineStr">
        <is>
          <t>Plastic PC CB COVER M-STAR</t>
        </is>
      </c>
      <c r="J10756" t="inlineStr">
        <is>
          <t>TCHEWEMO</t>
        </is>
      </c>
      <c r="L10756">
        <f>_xlfn.XLOOKUP(Tableau1[[#This Row],[TYPE DE PIECE]],Tableau4[MATIERE],Tableau4[SHORT TYPE],"",0,1)</f>
        <v/>
      </c>
      <c r="N10756">
        <f>IF(ISERR(FIND("DECOUPE",Tableau1[[#This Row],[DESIGNATION]])),"","NEED REF")</f>
        <v/>
      </c>
    </row>
    <row r="10757">
      <c r="B10757" t="n">
        <v>34403249</v>
      </c>
      <c r="C10757" s="2" t="n">
        <v>41438</v>
      </c>
      <c r="D10757" t="inlineStr">
        <is>
          <t>SPEC</t>
        </is>
      </c>
      <c r="E10757" t="inlineStr">
        <is>
          <t>Plastic PC Q3BP COVER M-STAR</t>
        </is>
      </c>
      <c r="F10757" t="inlineStr">
        <is>
          <t>Plastic Pc TB Protection Cover M-STAR</t>
        </is>
      </c>
      <c r="J10757" t="inlineStr">
        <is>
          <t>TCHEWEMO</t>
        </is>
      </c>
      <c r="L10757">
        <f>_xlfn.XLOOKUP(Tableau1[[#This Row],[TYPE DE PIECE]],Tableau4[MATIERE],Tableau4[SHORT TYPE],"",0,1)</f>
        <v/>
      </c>
      <c r="N10757">
        <f>IF(ISERR(FIND("DECOUPE",Tableau1[[#This Row],[DESIGNATION]])),"","NEED REF")</f>
        <v/>
      </c>
    </row>
    <row r="10758">
      <c r="B10758" t="n">
        <v>34403248</v>
      </c>
      <c r="C10758" s="2" t="n">
        <v>41438</v>
      </c>
      <c r="D10758" t="inlineStr">
        <is>
          <t>SPEC</t>
        </is>
      </c>
      <c r="E10758" t="inlineStr">
        <is>
          <t>Plastic PC Q3BP COVER M-STAR</t>
        </is>
      </c>
      <c r="F10758" t="inlineStr">
        <is>
          <t>Plastic Pc TB Protection Cover M-STAR</t>
        </is>
      </c>
      <c r="J10758" t="inlineStr">
        <is>
          <t>TCHEWEMO</t>
        </is>
      </c>
      <c r="L10758">
        <f>_xlfn.XLOOKUP(Tableau1[[#This Row],[TYPE DE PIECE]],Tableau4[MATIERE],Tableau4[SHORT TYPE],"",0,1)</f>
        <v/>
      </c>
      <c r="N10758">
        <f>IF(ISERR(FIND("DECOUPE",Tableau1[[#This Row],[DESIGNATION]])),"","NEED REF")</f>
        <v/>
      </c>
    </row>
    <row r="10759">
      <c r="B10759" t="n">
        <v>34403247</v>
      </c>
      <c r="C10759" s="2" t="n">
        <v>41437</v>
      </c>
      <c r="D10759" t="inlineStr">
        <is>
          <t>SPEC</t>
        </is>
      </c>
      <c r="E10759" t="inlineStr">
        <is>
          <t>Etiquettes Bypass 160kVA SYMMETRA PX</t>
        </is>
      </c>
      <c r="F10759" t="inlineStr">
        <is>
          <t>BYPASS 160kW APC</t>
        </is>
      </c>
      <c r="J10759" t="inlineStr">
        <is>
          <t>PLANTIER</t>
        </is>
      </c>
      <c r="L10759">
        <f>_xlfn.XLOOKUP(Tableau1[[#This Row],[TYPE DE PIECE]],Tableau4[MATIERE],Tableau4[SHORT TYPE],"",0,1)</f>
        <v/>
      </c>
      <c r="N10759">
        <f>IF(ISERR(FIND("DECOUPE",Tableau1[[#This Row],[DESIGNATION]])),"","NEED REF")</f>
        <v/>
      </c>
    </row>
    <row r="10760">
      <c r="B10760" t="n">
        <v>34403246</v>
      </c>
      <c r="C10760" s="2" t="n">
        <v>41437</v>
      </c>
      <c r="D10760" t="inlineStr">
        <is>
          <t>NOM</t>
        </is>
      </c>
      <c r="E10760" t="inlineStr">
        <is>
          <t>Coffret Bypass 160kVA SYMMETRA PX</t>
        </is>
      </c>
      <c r="F10760" t="inlineStr">
        <is>
          <t>BYPASS 160kW APC</t>
        </is>
      </c>
      <c r="J10760" t="inlineStr">
        <is>
          <t>PLANTIER</t>
        </is>
      </c>
      <c r="L10760">
        <f>_xlfn.XLOOKUP(Tableau1[[#This Row],[TYPE DE PIECE]],Tableau4[MATIERE],Tableau4[SHORT TYPE],"",0,1)</f>
        <v/>
      </c>
      <c r="N10760">
        <f>IF(ISERR(FIND("DECOUPE",Tableau1[[#This Row],[DESIGNATION]])),"","NEED REF")</f>
        <v/>
      </c>
    </row>
    <row r="10761">
      <c r="B10761" t="n">
        <v>34403245</v>
      </c>
      <c r="C10761" s="2" t="n">
        <v>41430</v>
      </c>
      <c r="D10761" t="inlineStr">
        <is>
          <t>SPEC</t>
        </is>
      </c>
      <c r="E10761" t="inlineStr">
        <is>
          <t>Etiquette " Caution glass door "</t>
        </is>
      </c>
      <c r="F10761" t="inlineStr">
        <is>
          <t>PV BOX THAILANDE POUR SOLAR</t>
        </is>
      </c>
      <c r="J10761" t="inlineStr">
        <is>
          <t>DUBOIS</t>
        </is>
      </c>
      <c r="L10761">
        <f>_xlfn.XLOOKUP(Tableau1[[#This Row],[TYPE DE PIECE]],Tableau4[MATIERE],Tableau4[SHORT TYPE],"",0,1)</f>
        <v/>
      </c>
      <c r="N10761">
        <f>IF(ISERR(FIND("DECOUPE",Tableau1[[#This Row],[DESIGNATION]])),"","NEED REF")</f>
        <v/>
      </c>
    </row>
    <row r="10762">
      <c r="B10762" t="n">
        <v>34403244</v>
      </c>
      <c r="C10762" s="2" t="n">
        <v>41429</v>
      </c>
      <c r="D10762" t="inlineStr">
        <is>
          <t>SPEC</t>
        </is>
      </c>
      <c r="E10762" t="inlineStr">
        <is>
          <t>Coffret Bypass 160kVA SYMMETRA PX PROTO</t>
        </is>
      </c>
      <c r="F10762" t="inlineStr">
        <is>
          <t xml:space="preserve">projet BP Sym </t>
        </is>
      </c>
      <c r="J10762" t="inlineStr">
        <is>
          <t>PLANTIER</t>
        </is>
      </c>
      <c r="L10762">
        <f>_xlfn.XLOOKUP(Tableau1[[#This Row],[TYPE DE PIECE]],Tableau4[MATIERE],Tableau4[SHORT TYPE],"",0,1)</f>
        <v/>
      </c>
      <c r="N10762">
        <f>IF(ISERR(FIND("DECOUPE",Tableau1[[#This Row],[DESIGNATION]])),"","NEED REF")</f>
        <v/>
      </c>
    </row>
    <row r="10763">
      <c r="B10763" t="n">
        <v>34403243</v>
      </c>
      <c r="C10763" s="2" t="n">
        <v>41421</v>
      </c>
      <c r="D10763" t="inlineStr">
        <is>
          <t>SPEC</t>
        </is>
      </c>
      <c r="E10763" t="inlineStr">
        <is>
          <t>Barre de liaison</t>
        </is>
      </c>
      <c r="F10763" t="inlineStr">
        <is>
          <t>INVERSEUR DE SOURCE 800 A</t>
        </is>
      </c>
      <c r="J10763" t="inlineStr">
        <is>
          <t>ROULLIER</t>
        </is>
      </c>
      <c r="L10763">
        <f>_xlfn.XLOOKUP(Tableau1[[#This Row],[TYPE DE PIECE]],Tableau4[MATIERE],Tableau4[SHORT TYPE],"",0,1)</f>
        <v/>
      </c>
      <c r="N10763">
        <f>IF(ISERR(FIND("DECOUPE",Tableau1[[#This Row],[DESIGNATION]])),"","NEED REF")</f>
        <v/>
      </c>
    </row>
    <row r="10764">
      <c r="B10764" t="n">
        <v>34403242</v>
      </c>
      <c r="C10764" s="2" t="n">
        <v>41421</v>
      </c>
      <c r="D10764" t="inlineStr">
        <is>
          <t>SPEC</t>
        </is>
      </c>
      <c r="E10764" t="inlineStr">
        <is>
          <t>Raccordement phase 3</t>
        </is>
      </c>
      <c r="F10764" t="inlineStr">
        <is>
          <t>INVERSEUR DE SOURCE 800 A</t>
        </is>
      </c>
      <c r="J10764" t="inlineStr">
        <is>
          <t>ROULLIER</t>
        </is>
      </c>
      <c r="L10764">
        <f>_xlfn.XLOOKUP(Tableau1[[#This Row],[TYPE DE PIECE]],Tableau4[MATIERE],Tableau4[SHORT TYPE],"",0,1)</f>
        <v/>
      </c>
      <c r="N10764">
        <f>IF(ISERR(FIND("DECOUPE",Tableau1[[#This Row],[DESIGNATION]])),"","NEED REF")</f>
        <v/>
      </c>
    </row>
    <row r="10765">
      <c r="B10765" t="n">
        <v>34403241</v>
      </c>
      <c r="C10765" s="2" t="n">
        <v>41421</v>
      </c>
      <c r="D10765" t="inlineStr">
        <is>
          <t>SPEC</t>
        </is>
      </c>
      <c r="E10765" t="inlineStr">
        <is>
          <t>Raccordement phase 2</t>
        </is>
      </c>
      <c r="F10765" t="inlineStr">
        <is>
          <t>INVERSEUR DE SOURCE 800 A</t>
        </is>
      </c>
      <c r="J10765" t="inlineStr">
        <is>
          <t>ROULLIER</t>
        </is>
      </c>
      <c r="L10765">
        <f>_xlfn.XLOOKUP(Tableau1[[#This Row],[TYPE DE PIECE]],Tableau4[MATIERE],Tableau4[SHORT TYPE],"",0,1)</f>
        <v/>
      </c>
      <c r="N10765">
        <f>IF(ISERR(FIND("DECOUPE",Tableau1[[#This Row],[DESIGNATION]])),"","NEED REF")</f>
        <v/>
      </c>
    </row>
    <row r="10766">
      <c r="B10766" t="n">
        <v>34403240</v>
      </c>
      <c r="C10766" s="2" t="n">
        <v>41421</v>
      </c>
      <c r="D10766" t="inlineStr">
        <is>
          <t>SPEC</t>
        </is>
      </c>
      <c r="E10766" t="inlineStr">
        <is>
          <t>Raccordement phase 1</t>
        </is>
      </c>
      <c r="F10766" t="inlineStr">
        <is>
          <t>INVERSEUR DE SOURCE 800 A</t>
        </is>
      </c>
      <c r="J10766" t="inlineStr">
        <is>
          <t>ROULLIER</t>
        </is>
      </c>
      <c r="L10766">
        <f>_xlfn.XLOOKUP(Tableau1[[#This Row],[TYPE DE PIECE]],Tableau4[MATIERE],Tableau4[SHORT TYPE],"",0,1)</f>
        <v/>
      </c>
      <c r="N10766">
        <f>IF(ISERR(FIND("DECOUPE",Tableau1[[#This Row],[DESIGNATION]])),"","NEED REF")</f>
        <v/>
      </c>
    </row>
    <row r="10767">
      <c r="B10767" t="n">
        <v>34403239</v>
      </c>
      <c r="C10767" s="2" t="n">
        <v>41421</v>
      </c>
      <c r="D10767" t="inlineStr">
        <is>
          <t>SPEC</t>
        </is>
      </c>
      <c r="E10767" t="inlineStr">
        <is>
          <t>Reserve</t>
        </is>
      </c>
      <c r="F10767" t="inlineStr">
        <is>
          <t>BYPASS 800 kva</t>
        </is>
      </c>
      <c r="J10767" t="inlineStr">
        <is>
          <t>DUBOIS</t>
        </is>
      </c>
      <c r="L10767">
        <f>_xlfn.XLOOKUP(Tableau1[[#This Row],[TYPE DE PIECE]],Tableau4[MATIERE],Tableau4[SHORT TYPE],"",0,1)</f>
        <v/>
      </c>
      <c r="N10767">
        <f>IF(ISERR(FIND("DECOUPE",Tableau1[[#This Row],[DESIGNATION]])),"","NEED REF")</f>
        <v/>
      </c>
    </row>
    <row r="10768">
      <c r="B10768" t="n">
        <v>34403238</v>
      </c>
      <c r="C10768" s="2" t="n">
        <v>41421</v>
      </c>
      <c r="D10768" t="inlineStr">
        <is>
          <t>SPEC</t>
        </is>
      </c>
      <c r="E10768" t="inlineStr">
        <is>
          <t>Reserve</t>
        </is>
      </c>
      <c r="F10768" t="inlineStr">
        <is>
          <t>BYPASS 800 kva</t>
        </is>
      </c>
      <c r="J10768" t="inlineStr">
        <is>
          <t>DUBOIS</t>
        </is>
      </c>
      <c r="L10768">
        <f>_xlfn.XLOOKUP(Tableau1[[#This Row],[TYPE DE PIECE]],Tableau4[MATIERE],Tableau4[SHORT TYPE],"",0,1)</f>
        <v/>
      </c>
      <c r="N10768">
        <f>IF(ISERR(FIND("DECOUPE",Tableau1[[#This Row],[DESIGNATION]])),"","NEED REF")</f>
        <v/>
      </c>
    </row>
    <row r="10769">
      <c r="B10769" t="n">
        <v>34403237</v>
      </c>
      <c r="C10769" s="2" t="n">
        <v>41421</v>
      </c>
      <c r="D10769" t="inlineStr">
        <is>
          <t>SPEC</t>
        </is>
      </c>
      <c r="E10769" t="inlineStr">
        <is>
          <t>Reserve</t>
        </is>
      </c>
      <c r="F10769" t="inlineStr">
        <is>
          <t>BYPASS 800 kva</t>
        </is>
      </c>
      <c r="J10769" t="inlineStr">
        <is>
          <t>DUBOIS</t>
        </is>
      </c>
      <c r="L10769">
        <f>_xlfn.XLOOKUP(Tableau1[[#This Row],[TYPE DE PIECE]],Tableau4[MATIERE],Tableau4[SHORT TYPE],"",0,1)</f>
        <v/>
      </c>
      <c r="N10769">
        <f>IF(ISERR(FIND("DECOUPE",Tableau1[[#This Row],[DESIGNATION]])),"","NEED REF")</f>
        <v/>
      </c>
    </row>
    <row r="10770">
      <c r="B10770" t="n">
        <v>34403236</v>
      </c>
      <c r="C10770" s="2" t="n">
        <v>41421</v>
      </c>
      <c r="D10770" t="inlineStr">
        <is>
          <t>SPEC</t>
        </is>
      </c>
      <c r="E10770" t="inlineStr">
        <is>
          <t>Reserve</t>
        </is>
      </c>
      <c r="F10770" t="inlineStr">
        <is>
          <t>BYPASS 800 kva</t>
        </is>
      </c>
      <c r="J10770" t="inlineStr">
        <is>
          <t>DUBOIS</t>
        </is>
      </c>
      <c r="L10770">
        <f>_xlfn.XLOOKUP(Tableau1[[#This Row],[TYPE DE PIECE]],Tableau4[MATIERE],Tableau4[SHORT TYPE],"",0,1)</f>
        <v/>
      </c>
      <c r="N10770">
        <f>IF(ISERR(FIND("DECOUPE",Tableau1[[#This Row],[DESIGNATION]])),"","NEED REF")</f>
        <v/>
      </c>
    </row>
    <row r="10771">
      <c r="B10771" t="n">
        <v>34403235</v>
      </c>
      <c r="C10771" s="2" t="n">
        <v>41421</v>
      </c>
      <c r="D10771" t="inlineStr">
        <is>
          <t>SPEC</t>
        </is>
      </c>
      <c r="E10771" t="inlineStr">
        <is>
          <t>Reserve</t>
        </is>
      </c>
      <c r="F10771" t="inlineStr">
        <is>
          <t>BYPASS 800 kva</t>
        </is>
      </c>
      <c r="J10771" t="inlineStr">
        <is>
          <t>DUBOIS</t>
        </is>
      </c>
      <c r="L10771">
        <f>_xlfn.XLOOKUP(Tableau1[[#This Row],[TYPE DE PIECE]],Tableau4[MATIERE],Tableau4[SHORT TYPE],"",0,1)</f>
        <v/>
      </c>
      <c r="N10771">
        <f>IF(ISERR(FIND("DECOUPE",Tableau1[[#This Row],[DESIGNATION]])),"","NEED REF")</f>
        <v/>
      </c>
    </row>
    <row r="10772">
      <c r="B10772" t="n">
        <v>34403234</v>
      </c>
      <c r="C10772" s="2" t="n">
        <v>41421</v>
      </c>
      <c r="D10772" t="inlineStr">
        <is>
          <t>SPEC</t>
        </is>
      </c>
      <c r="E10772" t="inlineStr">
        <is>
          <t>Reserve</t>
        </is>
      </c>
      <c r="F10772" t="inlineStr">
        <is>
          <t>BYPASS 800 kva</t>
        </is>
      </c>
      <c r="J10772" t="inlineStr">
        <is>
          <t>DUBOIS</t>
        </is>
      </c>
      <c r="L10772">
        <f>_xlfn.XLOOKUP(Tableau1[[#This Row],[TYPE DE PIECE]],Tableau4[MATIERE],Tableau4[SHORT TYPE],"",0,1)</f>
        <v/>
      </c>
      <c r="N10772">
        <f>IF(ISERR(FIND("DECOUPE",Tableau1[[#This Row],[DESIGNATION]])),"","NEED REF")</f>
        <v/>
      </c>
    </row>
    <row r="10773">
      <c r="B10773" t="n">
        <v>34403233</v>
      </c>
      <c r="C10773" s="2" t="n">
        <v>41421</v>
      </c>
      <c r="D10773" t="inlineStr">
        <is>
          <t>SPEC</t>
        </is>
      </c>
      <c r="E10773" t="inlineStr">
        <is>
          <t>Barre 80x8 L= 1200mm</t>
        </is>
      </c>
      <c r="F10773" t="inlineStr">
        <is>
          <t>BYPASS 800 kva</t>
        </is>
      </c>
      <c r="J10773" t="inlineStr">
        <is>
          <t>DUBOIS</t>
        </is>
      </c>
      <c r="L10773">
        <f>_xlfn.XLOOKUP(Tableau1[[#This Row],[TYPE DE PIECE]],Tableau4[MATIERE],Tableau4[SHORT TYPE],"",0,1)</f>
        <v/>
      </c>
      <c r="N10773">
        <f>IF(ISERR(FIND("DECOUPE",Tableau1[[#This Row],[DESIGNATION]])),"","NEED REF")</f>
        <v/>
      </c>
    </row>
    <row r="10774">
      <c r="B10774" t="n">
        <v>34403232</v>
      </c>
      <c r="C10774" s="2" t="n">
        <v>41421</v>
      </c>
      <c r="D10774" t="inlineStr">
        <is>
          <t>SPEC</t>
        </is>
      </c>
      <c r="E10774" t="inlineStr">
        <is>
          <t>Barre en L 32x8 Neutre</t>
        </is>
      </c>
      <c r="F10774" t="inlineStr">
        <is>
          <t>BYPASS 800 kva</t>
        </is>
      </c>
      <c r="J10774" t="inlineStr">
        <is>
          <t>DUBOIS</t>
        </is>
      </c>
      <c r="L10774">
        <f>_xlfn.XLOOKUP(Tableau1[[#This Row],[TYPE DE PIECE]],Tableau4[MATIERE],Tableau4[SHORT TYPE],"",0,1)</f>
        <v/>
      </c>
      <c r="N10774">
        <f>IF(ISERR(FIND("DECOUPE",Tableau1[[#This Row],[DESIGNATION]])),"","NEED REF")</f>
        <v/>
      </c>
    </row>
    <row r="10775">
      <c r="B10775" t="n">
        <v>34403231</v>
      </c>
      <c r="C10775" s="2" t="n">
        <v>41421</v>
      </c>
      <c r="D10775" t="inlineStr">
        <is>
          <t>SPEC</t>
        </is>
      </c>
      <c r="E10775" t="inlineStr">
        <is>
          <t>Barre en L 32x8 Phase 3</t>
        </is>
      </c>
      <c r="F10775" t="inlineStr">
        <is>
          <t>BYPASS 800 kva</t>
        </is>
      </c>
      <c r="J10775" t="inlineStr">
        <is>
          <t>DUBOIS</t>
        </is>
      </c>
      <c r="L10775">
        <f>_xlfn.XLOOKUP(Tableau1[[#This Row],[TYPE DE PIECE]],Tableau4[MATIERE],Tableau4[SHORT TYPE],"",0,1)</f>
        <v/>
      </c>
      <c r="N10775">
        <f>IF(ISERR(FIND("DECOUPE",Tableau1[[#This Row],[DESIGNATION]])),"","NEED REF")</f>
        <v/>
      </c>
    </row>
    <row r="10776">
      <c r="B10776" t="n">
        <v>34403230</v>
      </c>
      <c r="C10776" s="2" t="n">
        <v>41421</v>
      </c>
      <c r="D10776" t="inlineStr">
        <is>
          <t>SPEC</t>
        </is>
      </c>
      <c r="E10776" t="inlineStr">
        <is>
          <t>Barre en L 32x8 Phase 2</t>
        </is>
      </c>
      <c r="F10776" t="inlineStr">
        <is>
          <t>BYPASS 800 kva</t>
        </is>
      </c>
      <c r="J10776" t="inlineStr">
        <is>
          <t>DUBOIS</t>
        </is>
      </c>
      <c r="L10776">
        <f>_xlfn.XLOOKUP(Tableau1[[#This Row],[TYPE DE PIECE]],Tableau4[MATIERE],Tableau4[SHORT TYPE],"",0,1)</f>
        <v/>
      </c>
      <c r="N10776">
        <f>IF(ISERR(FIND("DECOUPE",Tableau1[[#This Row],[DESIGNATION]])),"","NEED REF")</f>
        <v/>
      </c>
    </row>
    <row r="10777">
      <c r="B10777" t="n">
        <v>34403229</v>
      </c>
      <c r="C10777" s="2" t="n">
        <v>41421</v>
      </c>
      <c r="D10777" t="inlineStr">
        <is>
          <t>SPEC</t>
        </is>
      </c>
      <c r="E10777" t="inlineStr">
        <is>
          <t>Barre en L 32x8 Phase 1</t>
        </is>
      </c>
      <c r="F10777" t="inlineStr">
        <is>
          <t>BYPASS 800 kva</t>
        </is>
      </c>
      <c r="J10777" t="inlineStr">
        <is>
          <t>DUBOIS</t>
        </is>
      </c>
      <c r="L10777">
        <f>_xlfn.XLOOKUP(Tableau1[[#This Row],[TYPE DE PIECE]],Tableau4[MATIERE],Tableau4[SHORT TYPE],"",0,1)</f>
        <v/>
      </c>
      <c r="N10777">
        <f>IF(ISERR(FIND("DECOUPE",Tableau1[[#This Row],[DESIGNATION]])),"","NEED REF")</f>
        <v/>
      </c>
    </row>
    <row r="10778">
      <c r="B10778" t="n">
        <v>34403228</v>
      </c>
      <c r="C10778" s="2" t="n">
        <v>41421</v>
      </c>
      <c r="D10778" t="inlineStr">
        <is>
          <t>SPEC</t>
        </is>
      </c>
      <c r="E10778" t="inlineStr">
        <is>
          <t xml:space="preserve">Plastron </t>
        </is>
      </c>
      <c r="F10778" t="inlineStr">
        <is>
          <t>BYPASS 800 kva</t>
        </is>
      </c>
      <c r="J10778" t="inlineStr">
        <is>
          <t>DUBOIS</t>
        </is>
      </c>
      <c r="L10778">
        <f>_xlfn.XLOOKUP(Tableau1[[#This Row],[TYPE DE PIECE]],Tableau4[MATIERE],Tableau4[SHORT TYPE],"",0,1)</f>
        <v/>
      </c>
      <c r="N10778">
        <f>IF(ISERR(FIND("DECOUPE",Tableau1[[#This Row],[DESIGNATION]])),"","NEED REF")</f>
        <v/>
      </c>
    </row>
    <row r="10779">
      <c r="B10779" t="n">
        <v>34403227</v>
      </c>
      <c r="C10779" s="2" t="n">
        <v>41421</v>
      </c>
      <c r="D10779" t="inlineStr">
        <is>
          <t>SPEC</t>
        </is>
      </c>
      <c r="E10779" t="inlineStr">
        <is>
          <t>Platine support interrupteurs</t>
        </is>
      </c>
      <c r="F10779" t="inlineStr">
        <is>
          <t>BYPASS 800 kva</t>
        </is>
      </c>
      <c r="J10779" t="inlineStr">
        <is>
          <t>DUBOIS</t>
        </is>
      </c>
      <c r="L10779">
        <f>_xlfn.XLOOKUP(Tableau1[[#This Row],[TYPE DE PIECE]],Tableau4[MATIERE],Tableau4[SHORT TYPE],"",0,1)</f>
        <v/>
      </c>
      <c r="N10779">
        <f>IF(ISERR(FIND("DECOUPE",Tableau1[[#This Row],[DESIGNATION]])),"","NEED REF")</f>
        <v/>
      </c>
    </row>
    <row r="10780">
      <c r="B10780" t="n">
        <v>34403226</v>
      </c>
      <c r="C10780" s="2" t="n">
        <v>41422</v>
      </c>
      <c r="D10780" t="inlineStr">
        <is>
          <t>SPEC</t>
        </is>
      </c>
      <c r="E10780" t="inlineStr">
        <is>
          <t>ADJUSTABLE SUPPORT DOOR CONTACT</t>
        </is>
      </c>
      <c r="F10780" t="inlineStr">
        <is>
          <t>STS1200A</t>
        </is>
      </c>
      <c r="J10780" t="inlineStr">
        <is>
          <t>MATRION</t>
        </is>
      </c>
      <c r="L10780">
        <f>_xlfn.XLOOKUP(Tableau1[[#This Row],[TYPE DE PIECE]],Tableau4[MATIERE],Tableau4[SHORT TYPE],"",0,1)</f>
        <v/>
      </c>
      <c r="N10780">
        <f>IF(ISERR(FIND("DECOUPE",Tableau1[[#This Row],[DESIGNATION]])),"","NEED REF")</f>
        <v/>
      </c>
    </row>
    <row r="10781">
      <c r="B10781" t="n">
        <v>34403225</v>
      </c>
      <c r="C10781" s="2" t="n">
        <v>41422</v>
      </c>
      <c r="D10781" t="inlineStr">
        <is>
          <t>SPEC</t>
        </is>
      </c>
      <c r="E10781" t="inlineStr">
        <is>
          <t>LATERAL PROTECTION 1 CS GOTTARD</t>
        </is>
      </c>
      <c r="F10781" t="inlineStr">
        <is>
          <t>STS1200A</t>
        </is>
      </c>
      <c r="J10781" t="inlineStr">
        <is>
          <t>MATRION</t>
        </is>
      </c>
      <c r="L10781">
        <f>_xlfn.XLOOKUP(Tableau1[[#This Row],[TYPE DE PIECE]],Tableau4[MATIERE],Tableau4[SHORT TYPE],"",0,1)</f>
        <v/>
      </c>
      <c r="N10781">
        <f>IF(ISERR(FIND("DECOUPE",Tableau1[[#This Row],[DESIGNATION]])),"","NEED REF")</f>
        <v/>
      </c>
    </row>
    <row r="10782">
      <c r="B10782" t="n">
        <v>34403224</v>
      </c>
      <c r="C10782" s="2" t="n">
        <v>41417</v>
      </c>
      <c r="D10782" t="inlineStr">
        <is>
          <t>SPEC</t>
        </is>
      </c>
      <c r="E10782" t="inlineStr">
        <is>
          <t>SKID STS 20/200 H=1400</t>
        </is>
      </c>
      <c r="F10782" t="inlineStr">
        <is>
          <t>TOUTES</t>
        </is>
      </c>
      <c r="J10782" t="inlineStr">
        <is>
          <t>MATRION</t>
        </is>
      </c>
      <c r="L10782">
        <f>_xlfn.XLOOKUP(Tableau1[[#This Row],[TYPE DE PIECE]],Tableau4[MATIERE],Tableau4[SHORT TYPE],"",0,1)</f>
        <v/>
      </c>
      <c r="N10782">
        <f>IF(ISERR(FIND("DECOUPE",Tableau1[[#This Row],[DESIGNATION]])),"","NEED REF")</f>
        <v/>
      </c>
    </row>
    <row r="10783">
      <c r="B10783" t="n">
        <v>34403223</v>
      </c>
      <c r="C10783" s="2" t="n">
        <v>41417</v>
      </c>
      <c r="D10783" t="inlineStr">
        <is>
          <t>D Montage</t>
        </is>
      </c>
      <c r="E10783" t="inlineStr">
        <is>
          <t xml:space="preserve">DOSSIER DE MONTAGE STS1200A </t>
        </is>
      </c>
      <c r="F10783" t="inlineStr">
        <is>
          <t>STS1200A</t>
        </is>
      </c>
      <c r="J10783" t="inlineStr">
        <is>
          <t>MATRION</t>
        </is>
      </c>
      <c r="L10783">
        <f>_xlfn.XLOOKUP(Tableau1[[#This Row],[TYPE DE PIECE]],Tableau4[MATIERE],Tableau4[SHORT TYPE],"",0,1)</f>
        <v/>
      </c>
      <c r="N10783">
        <f>IF(ISERR(FIND("DECOUPE",Tableau1[[#This Row],[DESIGNATION]])),"","NEED REF")</f>
        <v/>
      </c>
    </row>
    <row r="10784">
      <c r="B10784" t="n">
        <v>34403222</v>
      </c>
      <c r="C10784" s="2" t="n">
        <v>41327</v>
      </c>
      <c r="D10784" t="inlineStr">
        <is>
          <t>SPEC</t>
        </is>
      </c>
      <c r="E10784" t="inlineStr">
        <is>
          <t>PROTECTION SHIELD NETSHELTER 6U (bypass)</t>
        </is>
      </c>
      <c r="F10784" t="inlineStr">
        <is>
          <t>ELECTROPOLE</t>
        </is>
      </c>
      <c r="J10784" t="inlineStr">
        <is>
          <t>ROULLIER</t>
        </is>
      </c>
      <c r="L10784">
        <f>_xlfn.XLOOKUP(Tableau1[[#This Row],[TYPE DE PIECE]],Tableau4[MATIERE],Tableau4[SHORT TYPE],"",0,1)</f>
        <v/>
      </c>
      <c r="N10784">
        <f>IF(ISERR(FIND("DECOUPE",Tableau1[[#This Row],[DESIGNATION]])),"","NEED REF")</f>
        <v/>
      </c>
    </row>
    <row r="10785">
      <c r="B10785" t="n">
        <v>34403221</v>
      </c>
      <c r="C10785" s="2" t="n">
        <v>41409</v>
      </c>
      <c r="D10785" t="inlineStr">
        <is>
          <t>SPEC</t>
        </is>
      </c>
      <c r="E10785" t="inlineStr">
        <is>
          <t>NS800L 4P MICRO2.0 PARB+PAVH</t>
        </is>
      </c>
      <c r="F10785" t="inlineStr">
        <is>
          <t>EXTERNE AU SAS</t>
        </is>
      </c>
      <c r="J10785" t="inlineStr">
        <is>
          <t>MATRION</t>
        </is>
      </c>
      <c r="L10785">
        <f>_xlfn.XLOOKUP(Tableau1[[#This Row],[TYPE DE PIECE]],Tableau4[MATIERE],Tableau4[SHORT TYPE],"",0,1)</f>
        <v/>
      </c>
      <c r="N10785">
        <f>IF(ISERR(FIND("DECOUPE",Tableau1[[#This Row],[DESIGNATION]])),"","NEED REF")</f>
        <v/>
      </c>
    </row>
    <row r="10786">
      <c r="B10786" t="n">
        <v>34403220</v>
      </c>
      <c r="C10786" s="2" t="n">
        <v>41370</v>
      </c>
      <c r="D10786" t="inlineStr">
        <is>
          <t>SPEC</t>
        </is>
      </c>
      <c r="E10786" t="inlineStr">
        <is>
          <t>WIRE KIT PROFIBUS</t>
        </is>
      </c>
      <c r="F10786" t="inlineStr">
        <is>
          <t>MONITORING BOX</t>
        </is>
      </c>
      <c r="J10786" t="inlineStr">
        <is>
          <t>MATRION</t>
        </is>
      </c>
      <c r="L10786">
        <f>_xlfn.XLOOKUP(Tableau1[[#This Row],[TYPE DE PIECE]],Tableau4[MATIERE],Tableau4[SHORT TYPE],"",0,1)</f>
        <v/>
      </c>
      <c r="N10786">
        <f>IF(ISERR(FIND("DECOUPE",Tableau1[[#This Row],[DESIGNATION]])),"","NEED REF")</f>
        <v/>
      </c>
    </row>
    <row r="10787">
      <c r="B10787" t="n">
        <v>34403219</v>
      </c>
      <c r="C10787" s="2" t="n">
        <v>41370</v>
      </c>
      <c r="D10787" t="inlineStr">
        <is>
          <t>CDC</t>
        </is>
      </c>
      <c r="E10787" t="inlineStr">
        <is>
          <t>MONITORING BOX SAREL</t>
        </is>
      </c>
      <c r="F10787" t="inlineStr">
        <is>
          <t>MONITORING BOX</t>
        </is>
      </c>
      <c r="J10787" t="inlineStr">
        <is>
          <t>MATRION</t>
        </is>
      </c>
      <c r="L10787">
        <f>_xlfn.XLOOKUP(Tableau1[[#This Row],[TYPE DE PIECE]],Tableau4[MATIERE],Tableau4[SHORT TYPE],"",0,1)</f>
        <v/>
      </c>
      <c r="N10787">
        <f>IF(ISERR(FIND("DECOUPE",Tableau1[[#This Row],[DESIGNATION]])),"","NEED REF")</f>
        <v/>
      </c>
    </row>
    <row r="10788">
      <c r="B10788" t="n">
        <v>34403218</v>
      </c>
      <c r="C10788" s="2" t="n">
        <v>41393</v>
      </c>
      <c r="D10788" t="inlineStr">
        <is>
          <t>SPEC</t>
        </is>
      </c>
      <c r="E10788" t="inlineStr">
        <is>
          <t xml:space="preserve">Schéma coffret disj NS160 </t>
        </is>
      </c>
      <c r="F10788" t="inlineStr">
        <is>
          <t>G300 10-40kVA</t>
        </is>
      </c>
      <c r="J10788" t="inlineStr">
        <is>
          <t>ROBERT</t>
        </is>
      </c>
      <c r="L10788">
        <f>_xlfn.XLOOKUP(Tableau1[[#This Row],[TYPE DE PIECE]],Tableau4[MATIERE],Tableau4[SHORT TYPE],"",0,1)</f>
        <v/>
      </c>
      <c r="N10788">
        <f>IF(ISERR(FIND("DECOUPE",Tableau1[[#This Row],[DESIGNATION]])),"","NEED REF")</f>
        <v/>
      </c>
    </row>
    <row r="10789">
      <c r="B10789" t="n">
        <v>34403217</v>
      </c>
      <c r="C10789" s="2" t="n">
        <v>41388</v>
      </c>
      <c r="D10789" t="inlineStr">
        <is>
          <t>SPEC</t>
        </is>
      </c>
      <c r="E10789" t="inlineStr">
        <is>
          <t>NW20 3P MICRO2.0 + PAR + PAV AVAL + OF</t>
        </is>
      </c>
      <c r="F10789" t="inlineStr">
        <is>
          <t>KOLDING</t>
        </is>
      </c>
      <c r="J10789" t="inlineStr">
        <is>
          <t>MATRION</t>
        </is>
      </c>
      <c r="L10789">
        <f>_xlfn.XLOOKUP(Tableau1[[#This Row],[TYPE DE PIECE]],Tableau4[MATIERE],Tableau4[SHORT TYPE],"",0,1)</f>
        <v/>
      </c>
      <c r="N10789">
        <f>IF(ISERR(FIND("DECOUPE",Tableau1[[#This Row],[DESIGNATION]])),"","NEED REF")</f>
        <v/>
      </c>
    </row>
    <row r="10790">
      <c r="B10790" t="n">
        <v>34403216</v>
      </c>
      <c r="C10790" s="2" t="n">
        <v>41387</v>
      </c>
      <c r="D10790" t="inlineStr">
        <is>
          <t>SPEC</t>
        </is>
      </c>
      <c r="E10790" t="inlineStr">
        <is>
          <t>Support étiquette pour goulotte L= 885</t>
        </is>
      </c>
      <c r="F10790" t="inlineStr">
        <is>
          <t>PV BOX THAILANDE POUR SOLAR</t>
        </is>
      </c>
      <c r="J10790" t="inlineStr">
        <is>
          <t>DUBOIS</t>
        </is>
      </c>
      <c r="L10790">
        <f>_xlfn.XLOOKUP(Tableau1[[#This Row],[TYPE DE PIECE]],Tableau4[MATIERE],Tableau4[SHORT TYPE],"",0,1)</f>
        <v/>
      </c>
      <c r="N10790">
        <f>IF(ISERR(FIND("DECOUPE",Tableau1[[#This Row],[DESIGNATION]])),"","NEED REF")</f>
        <v/>
      </c>
    </row>
    <row r="10791">
      <c r="B10791" t="n">
        <v>34403215</v>
      </c>
      <c r="C10791" s="2" t="n">
        <v>41387</v>
      </c>
      <c r="D10791" t="inlineStr">
        <is>
          <t>SPEC</t>
        </is>
      </c>
      <c r="E10791" t="inlineStr">
        <is>
          <t>Support étiquette pour goulotte L= 395</t>
        </is>
      </c>
      <c r="F10791" t="inlineStr">
        <is>
          <t>PV BOX THAILANDE POUR SOLAR</t>
        </is>
      </c>
      <c r="J10791" t="inlineStr">
        <is>
          <t>DUBOIS</t>
        </is>
      </c>
      <c r="L10791">
        <f>_xlfn.XLOOKUP(Tableau1[[#This Row],[TYPE DE PIECE]],Tableau4[MATIERE],Tableau4[SHORT TYPE],"",0,1)</f>
        <v/>
      </c>
      <c r="N10791">
        <f>IF(ISERR(FIND("DECOUPE",Tableau1[[#This Row],[DESIGNATION]])),"","NEED REF")</f>
        <v/>
      </c>
    </row>
    <row r="10792">
      <c r="B10792" t="n">
        <v>34403214</v>
      </c>
      <c r="C10792" s="2" t="n">
        <v>41383</v>
      </c>
      <c r="D10792" t="inlineStr">
        <is>
          <t>SPEC</t>
        </is>
      </c>
      <c r="E10792" t="inlineStr">
        <is>
          <t>Barre de cuivre L=1754</t>
        </is>
      </c>
      <c r="F10792" t="inlineStr">
        <is>
          <t>PV BOX THAILANDE POUR SOLAR</t>
        </is>
      </c>
      <c r="J10792" t="inlineStr">
        <is>
          <t>DUBOIS</t>
        </is>
      </c>
      <c r="L10792">
        <f>_xlfn.XLOOKUP(Tableau1[[#This Row],[TYPE DE PIECE]],Tableau4[MATIERE],Tableau4[SHORT TYPE],"",0,1)</f>
        <v/>
      </c>
      <c r="N10792">
        <f>IF(ISERR(FIND("DECOUPE",Tableau1[[#This Row],[DESIGNATION]])),"","NEED REF")</f>
        <v/>
      </c>
    </row>
    <row r="10793">
      <c r="B10793" t="n">
        <v>34403213</v>
      </c>
      <c r="C10793" s="2" t="n">
        <v>41374</v>
      </c>
      <c r="D10793" t="inlineStr">
        <is>
          <t>SPEC</t>
        </is>
      </c>
      <c r="E10793" t="inlineStr">
        <is>
          <t>Panneau lat G5K - Pour Peinture Spécial</t>
        </is>
      </c>
      <c r="F10793" t="inlineStr">
        <is>
          <t>G5K</t>
        </is>
      </c>
      <c r="J10793" t="inlineStr">
        <is>
          <t>MATRION</t>
        </is>
      </c>
      <c r="L10793">
        <f>_xlfn.XLOOKUP(Tableau1[[#This Row],[TYPE DE PIECE]],Tableau4[MATIERE],Tableau4[SHORT TYPE],"",0,1)</f>
        <v/>
      </c>
      <c r="N10793">
        <f>IF(ISERR(FIND("DECOUPE",Tableau1[[#This Row],[DESIGNATION]])),"","NEED REF")</f>
        <v/>
      </c>
    </row>
    <row r="10794">
      <c r="B10794" t="n">
        <v>34403212</v>
      </c>
      <c r="C10794" s="2" t="n">
        <v>41374</v>
      </c>
      <c r="D10794" t="inlineStr">
        <is>
          <t>NOM</t>
        </is>
      </c>
      <c r="E10794" t="inlineStr">
        <is>
          <t>12P CABINET 500kVA  COLOR SPECIAL CERN</t>
        </is>
      </c>
      <c r="F10794" t="inlineStr">
        <is>
          <t>Galaxy 600 CERN</t>
        </is>
      </c>
      <c r="J10794" t="inlineStr">
        <is>
          <t>PLANTIER</t>
        </is>
      </c>
      <c r="L10794">
        <f>_xlfn.XLOOKUP(Tableau1[[#This Row],[TYPE DE PIECE]],Tableau4[MATIERE],Tableau4[SHORT TYPE],"",0,1)</f>
        <v/>
      </c>
      <c r="N10794">
        <f>IF(ISERR(FIND("DECOUPE",Tableau1[[#This Row],[DESIGNATION]])),"","NEED REF")</f>
        <v/>
      </c>
    </row>
    <row r="10795">
      <c r="B10795" t="n">
        <v>34403211</v>
      </c>
      <c r="C10795" s="2" t="n">
        <v>41368</v>
      </c>
      <c r="D10795" t="inlineStr">
        <is>
          <t>SPEC</t>
        </is>
      </c>
      <c r="E10795" t="inlineStr">
        <is>
          <t>EARTH BAR STS GOTTARD</t>
        </is>
      </c>
      <c r="F10795" t="inlineStr">
        <is>
          <t>STS1200A</t>
        </is>
      </c>
      <c r="J10795" t="inlineStr">
        <is>
          <t>MATRION</t>
        </is>
      </c>
      <c r="L10795">
        <f>_xlfn.XLOOKUP(Tableau1[[#This Row],[TYPE DE PIECE]],Tableau4[MATIERE],Tableau4[SHORT TYPE],"",0,1)</f>
        <v/>
      </c>
      <c r="N10795">
        <f>IF(ISERR(FIND("DECOUPE",Tableau1[[#This Row],[DESIGNATION]])),"","NEED REF")</f>
        <v/>
      </c>
    </row>
    <row r="10796">
      <c r="B10796" t="n">
        <v>34403210</v>
      </c>
      <c r="C10796" s="2" t="n">
        <v>41366</v>
      </c>
      <c r="D10796" t="inlineStr">
        <is>
          <t>NOM</t>
        </is>
      </c>
      <c r="E10796" t="inlineStr">
        <is>
          <t>LG ARM AUX/BATT 712 MARINE</t>
        </is>
      </c>
      <c r="F10796" t="inlineStr">
        <is>
          <t>G5000</t>
        </is>
      </c>
      <c r="J10796" t="inlineStr">
        <is>
          <t>ROBERT</t>
        </is>
      </c>
      <c r="L10796">
        <f>_xlfn.XLOOKUP(Tableau1[[#This Row],[TYPE DE PIECE]],Tableau4[MATIERE],Tableau4[SHORT TYPE],"",0,1)</f>
        <v/>
      </c>
      <c r="N10796">
        <f>IF(ISERR(FIND("DECOUPE",Tableau1[[#This Row],[DESIGNATION]])),"","NEED REF")</f>
        <v/>
      </c>
    </row>
    <row r="10797">
      <c r="B10797" t="n">
        <v>34403209</v>
      </c>
      <c r="C10797" s="2" t="n">
        <v>41353</v>
      </c>
      <c r="D10797" t="inlineStr">
        <is>
          <t>SPEC</t>
        </is>
      </c>
      <c r="E10797" t="inlineStr">
        <is>
          <t>INVERSEUR SOURCE NS800 3P</t>
        </is>
      </c>
      <c r="J10797" t="inlineStr">
        <is>
          <t>MATRION</t>
        </is>
      </c>
      <c r="L10797">
        <f>_xlfn.XLOOKUP(Tableau1[[#This Row],[TYPE DE PIECE]],Tableau4[MATIERE],Tableau4[SHORT TYPE],"",0,1)</f>
        <v/>
      </c>
      <c r="N10797">
        <f>IF(ISERR(FIND("DECOUPE",Tableau1[[#This Row],[DESIGNATION]])),"","NEED REF")</f>
        <v/>
      </c>
    </row>
    <row r="10798">
      <c r="B10798" t="n">
        <v>34403208</v>
      </c>
      <c r="C10798" s="2" t="n">
        <v>41351</v>
      </c>
      <c r="D10798" t="inlineStr">
        <is>
          <t>CDC</t>
        </is>
      </c>
      <c r="E10798" t="inlineStr">
        <is>
          <t>SKID STS en GALAXY PW</t>
        </is>
      </c>
      <c r="F10798" t="inlineStr">
        <is>
          <t xml:space="preserve">STS PW  - SHAMIYAH </t>
        </is>
      </c>
      <c r="J10798" t="inlineStr">
        <is>
          <t>ÇAKIR</t>
        </is>
      </c>
      <c r="L10798">
        <f>_xlfn.XLOOKUP(Tableau1[[#This Row],[TYPE DE PIECE]],Tableau4[MATIERE],Tableau4[SHORT TYPE],"",0,1)</f>
        <v/>
      </c>
      <c r="N10798">
        <f>IF(ISERR(FIND("DECOUPE",Tableau1[[#This Row],[DESIGNATION]])),"","NEED REF")</f>
        <v/>
      </c>
    </row>
    <row r="10799">
      <c r="B10799" t="n">
        <v>34403207</v>
      </c>
      <c r="C10799" s="2" t="n">
        <v>41422</v>
      </c>
      <c r="D10799" t="inlineStr">
        <is>
          <t>NOM</t>
        </is>
      </c>
      <c r="E10799" t="inlineStr">
        <is>
          <t>NOM GOTTARD LIGHTING</t>
        </is>
      </c>
      <c r="F10799" t="inlineStr">
        <is>
          <t>STS1200A</t>
        </is>
      </c>
      <c r="J10799" t="inlineStr">
        <is>
          <t>MATRION</t>
        </is>
      </c>
      <c r="L10799">
        <f>_xlfn.XLOOKUP(Tableau1[[#This Row],[TYPE DE PIECE]],Tableau4[MATIERE],Tableau4[SHORT TYPE],"",0,1)</f>
        <v/>
      </c>
      <c r="N10799">
        <f>IF(ISERR(FIND("DECOUPE",Tableau1[[#This Row],[DESIGNATION]])),"","NEED REF")</f>
        <v/>
      </c>
    </row>
    <row r="10800">
      <c r="B10800" t="n">
        <v>34403206</v>
      </c>
      <c r="C10800" s="2" t="n">
        <v>41422</v>
      </c>
      <c r="D10800" t="inlineStr">
        <is>
          <t>SPEC</t>
        </is>
      </c>
      <c r="E10800" t="inlineStr">
        <is>
          <t>ADJUSTABLE SUPPORT DOOR CONTACT</t>
        </is>
      </c>
      <c r="F10800" t="inlineStr">
        <is>
          <t>STS1200A</t>
        </is>
      </c>
      <c r="J10800" t="inlineStr">
        <is>
          <t>MATRION</t>
        </is>
      </c>
      <c r="L10800">
        <f>_xlfn.XLOOKUP(Tableau1[[#This Row],[TYPE DE PIECE]],Tableau4[MATIERE],Tableau4[SHORT TYPE],"",0,1)</f>
        <v/>
      </c>
      <c r="N10800">
        <f>IF(ISERR(FIND("DECOUPE",Tableau1[[#This Row],[DESIGNATION]])),"","NEED REF")</f>
        <v/>
      </c>
    </row>
    <row r="10801">
      <c r="B10801" t="n">
        <v>34403205</v>
      </c>
      <c r="C10801" s="2" t="n">
        <v>41421</v>
      </c>
      <c r="D10801" t="inlineStr">
        <is>
          <t>SPEC</t>
        </is>
      </c>
      <c r="E10801" t="inlineStr">
        <is>
          <t>TOP RIGHT PROTECTION SHIELD GOTTARD</t>
        </is>
      </c>
      <c r="F10801" t="inlineStr">
        <is>
          <t>STS1200A</t>
        </is>
      </c>
      <c r="J10801" t="inlineStr">
        <is>
          <t>MATRION</t>
        </is>
      </c>
      <c r="L10801">
        <f>_xlfn.XLOOKUP(Tableau1[[#This Row],[TYPE DE PIECE]],Tableau4[MATIERE],Tableau4[SHORT TYPE],"",0,1)</f>
        <v/>
      </c>
      <c r="N10801">
        <f>IF(ISERR(FIND("DECOUPE",Tableau1[[#This Row],[DESIGNATION]])),"","NEED REF")</f>
        <v/>
      </c>
    </row>
    <row r="10802">
      <c r="B10802" t="n">
        <v>34403204</v>
      </c>
      <c r="C10802" s="2" t="n">
        <v>41421</v>
      </c>
      <c r="D10802" t="inlineStr">
        <is>
          <t>SPEC</t>
        </is>
      </c>
      <c r="E10802" t="inlineStr">
        <is>
          <t>TOP LEFT PROTECTION SHIELD GOTTARD</t>
        </is>
      </c>
      <c r="F10802" t="inlineStr">
        <is>
          <t>STS1200A</t>
        </is>
      </c>
      <c r="J10802" t="inlineStr">
        <is>
          <t>MATRION</t>
        </is>
      </c>
      <c r="L10802">
        <f>_xlfn.XLOOKUP(Tableau1[[#This Row],[TYPE DE PIECE]],Tableau4[MATIERE],Tableau4[SHORT TYPE],"",0,1)</f>
        <v/>
      </c>
      <c r="N10802">
        <f>IF(ISERR(FIND("DECOUPE",Tableau1[[#This Row],[DESIGNATION]])),"","NEED REF")</f>
        <v/>
      </c>
    </row>
    <row r="10803">
      <c r="B10803" t="n">
        <v>34403203</v>
      </c>
      <c r="C10803" s="2" t="n">
        <v>41408</v>
      </c>
      <c r="D10803" t="inlineStr">
        <is>
          <t>SPEC</t>
        </is>
      </c>
      <c r="E10803" t="inlineStr">
        <is>
          <t>SUPPORT LIGHTNING GOTTARD</t>
        </is>
      </c>
      <c r="F10803" t="inlineStr">
        <is>
          <t>STS1200A</t>
        </is>
      </c>
      <c r="J10803" t="inlineStr">
        <is>
          <t>MATRION</t>
        </is>
      </c>
      <c r="L10803">
        <f>_xlfn.XLOOKUP(Tableau1[[#This Row],[TYPE DE PIECE]],Tableau4[MATIERE],Tableau4[SHORT TYPE],"",0,1)</f>
        <v/>
      </c>
      <c r="N10803">
        <f>IF(ISERR(FIND("DECOUPE",Tableau1[[#This Row],[DESIGNATION]])),"","NEED REF")</f>
        <v/>
      </c>
    </row>
    <row r="10804">
      <c r="B10804" t="n">
        <v>34403202</v>
      </c>
      <c r="C10804" s="2" t="n">
        <v>41387</v>
      </c>
      <c r="D10804" t="inlineStr">
        <is>
          <t>NOM</t>
        </is>
      </c>
      <c r="E10804" t="inlineStr">
        <is>
          <t>700 DOOR STS</t>
        </is>
      </c>
      <c r="F10804" t="inlineStr">
        <is>
          <t>STS800A</t>
        </is>
      </c>
      <c r="J10804" t="inlineStr">
        <is>
          <t>MATRION</t>
        </is>
      </c>
      <c r="L10804">
        <f>_xlfn.XLOOKUP(Tableau1[[#This Row],[TYPE DE PIECE]],Tableau4[MATIERE],Tableau4[SHORT TYPE],"",0,1)</f>
        <v/>
      </c>
      <c r="N10804">
        <f>IF(ISERR(FIND("DECOUPE",Tableau1[[#This Row],[DESIGNATION]])),"","NEED REF")</f>
        <v/>
      </c>
    </row>
    <row r="10805">
      <c r="B10805" t="n">
        <v>34403201</v>
      </c>
      <c r="C10805" s="2" t="n">
        <v>41387</v>
      </c>
      <c r="D10805" t="inlineStr">
        <is>
          <t>SPEC</t>
        </is>
      </c>
      <c r="E10805" t="inlineStr">
        <is>
          <t>700 DOOR STS WITH SCREEN AND COMM.</t>
        </is>
      </c>
      <c r="F10805" t="inlineStr">
        <is>
          <t>STS800A</t>
        </is>
      </c>
      <c r="J10805" t="inlineStr">
        <is>
          <t>MATRION</t>
        </is>
      </c>
      <c r="L10805">
        <f>_xlfn.XLOOKUP(Tableau1[[#This Row],[TYPE DE PIECE]],Tableau4[MATIERE],Tableau4[SHORT TYPE],"",0,1)</f>
        <v/>
      </c>
      <c r="N10805">
        <f>IF(ISERR(FIND("DECOUPE",Tableau1[[#This Row],[DESIGNATION]])),"","NEED REF")</f>
        <v/>
      </c>
    </row>
    <row r="10806">
      <c r="B10806" t="n">
        <v>34403200</v>
      </c>
      <c r="C10806" s="2" t="n">
        <v>41333</v>
      </c>
      <c r="D10806" t="inlineStr">
        <is>
          <t>SPEC</t>
        </is>
      </c>
      <c r="E10806" t="inlineStr">
        <is>
          <t>PLAQ SERRAGE BARRE SOUPLE CS LEM STS 800A</t>
        </is>
      </c>
      <c r="F10806" t="inlineStr">
        <is>
          <t>STS800A</t>
        </is>
      </c>
      <c r="J10806" t="inlineStr">
        <is>
          <t>MATRION</t>
        </is>
      </c>
      <c r="L10806">
        <f>_xlfn.XLOOKUP(Tableau1[[#This Row],[TYPE DE PIECE]],Tableau4[MATIERE],Tableau4[SHORT TYPE],"",0,1)</f>
        <v/>
      </c>
      <c r="N10806">
        <f>IF(ISERR(FIND("DECOUPE",Tableau1[[#This Row],[DESIGNATION]])),"","NEED REF")</f>
        <v/>
      </c>
    </row>
    <row r="10807">
      <c r="B10807" t="n">
        <v>34403199</v>
      </c>
      <c r="C10807" s="2" t="n">
        <v>41333</v>
      </c>
      <c r="D10807" t="inlineStr">
        <is>
          <t>SPEC</t>
        </is>
      </c>
      <c r="E10807" t="inlineStr">
        <is>
          <t>BARRES SOUPLE CS STS 800A</t>
        </is>
      </c>
      <c r="F10807" t="inlineStr">
        <is>
          <t>STS800A</t>
        </is>
      </c>
      <c r="J10807" t="inlineStr">
        <is>
          <t>MATRION</t>
        </is>
      </c>
      <c r="L10807">
        <f>_xlfn.XLOOKUP(Tableau1[[#This Row],[TYPE DE PIECE]],Tableau4[MATIERE],Tableau4[SHORT TYPE],"",0,1)</f>
        <v/>
      </c>
      <c r="N10807">
        <f>IF(ISERR(FIND("DECOUPE",Tableau1[[#This Row],[DESIGNATION]])),"","NEED REF")</f>
        <v/>
      </c>
    </row>
    <row r="10808">
      <c r="B10808" t="n">
        <v>34403198</v>
      </c>
      <c r="C10808" s="2" t="n">
        <v>41542</v>
      </c>
      <c r="D10808" t="inlineStr">
        <is>
          <t>SPEC</t>
        </is>
      </c>
      <c r="E10808" t="inlineStr">
        <is>
          <t>CORNIERE DE LEVAGE</t>
        </is>
      </c>
      <c r="F10808" t="inlineStr">
        <is>
          <t>BYPASS 1600kVA HP EYBENS PHASE III</t>
        </is>
      </c>
      <c r="J10808" t="inlineStr">
        <is>
          <t>MATRION</t>
        </is>
      </c>
      <c r="L10808">
        <f>_xlfn.XLOOKUP(Tableau1[[#This Row],[TYPE DE PIECE]],Tableau4[MATIERE],Tableau4[SHORT TYPE],"",0,1)</f>
        <v/>
      </c>
      <c r="N10808">
        <f>IF(ISERR(FIND("DECOUPE",Tableau1[[#This Row],[DESIGNATION]])),"","NEED REF")</f>
        <v/>
      </c>
    </row>
    <row r="10809">
      <c r="B10809" t="n">
        <v>34403197</v>
      </c>
      <c r="C10809" s="2" t="n">
        <v>41323</v>
      </c>
      <c r="D10809" t="inlineStr">
        <is>
          <t>SPEC</t>
        </is>
      </c>
      <c r="E10809" t="inlineStr">
        <is>
          <t>SPEC FILERIE SCHEMA PDPM277H</t>
        </is>
      </c>
      <c r="F10809" t="inlineStr">
        <is>
          <t>PDPM277H</t>
        </is>
      </c>
      <c r="J10809" t="inlineStr">
        <is>
          <t>MATRION</t>
        </is>
      </c>
      <c r="L10809">
        <f>_xlfn.XLOOKUP(Tableau1[[#This Row],[TYPE DE PIECE]],Tableau4[MATIERE],Tableau4[SHORT TYPE],"",0,1)</f>
        <v/>
      </c>
      <c r="N10809">
        <f>IF(ISERR(FIND("DECOUPE",Tableau1[[#This Row],[DESIGNATION]])),"","NEED REF")</f>
        <v/>
      </c>
    </row>
    <row r="10810">
      <c r="B10810" t="n">
        <v>34403196</v>
      </c>
      <c r="C10810" s="2" t="n">
        <v>41320</v>
      </c>
      <c r="D10810" t="inlineStr">
        <is>
          <t>SPEC</t>
        </is>
      </c>
      <c r="E10810" t="inlineStr">
        <is>
          <t>COPPER BAR JONCTION</t>
        </is>
      </c>
      <c r="F10810" t="inlineStr">
        <is>
          <t>BYPASS 160kVA APC</t>
        </is>
      </c>
      <c r="J10810" t="inlineStr">
        <is>
          <t>MATRION</t>
        </is>
      </c>
      <c r="L10810">
        <f>_xlfn.XLOOKUP(Tableau1[[#This Row],[TYPE DE PIECE]],Tableau4[MATIERE],Tableau4[SHORT TYPE],"",0,1)</f>
        <v/>
      </c>
      <c r="N10810">
        <f>IF(ISERR(FIND("DECOUPE",Tableau1[[#This Row],[DESIGNATION]])),"","NEED REF")</f>
        <v/>
      </c>
    </row>
    <row r="10811">
      <c r="B10811" t="n">
        <v>34403195</v>
      </c>
      <c r="C10811" s="2" t="n">
        <v>41320</v>
      </c>
      <c r="D10811" t="inlineStr">
        <is>
          <t>SPEC</t>
        </is>
      </c>
      <c r="E10811" t="inlineStr">
        <is>
          <t>LIGHT AND CIRCUIT BREAKER SUPPORT</t>
        </is>
      </c>
      <c r="F10811" t="inlineStr">
        <is>
          <t>BYPASS 160kVA APC</t>
        </is>
      </c>
      <c r="J10811" t="inlineStr">
        <is>
          <t>MATRION</t>
        </is>
      </c>
      <c r="L10811">
        <f>_xlfn.XLOOKUP(Tableau1[[#This Row],[TYPE DE PIECE]],Tableau4[MATIERE],Tableau4[SHORT TYPE],"",0,1)</f>
        <v/>
      </c>
      <c r="N10811">
        <f>IF(ISERR(FIND("DECOUPE",Tableau1[[#This Row],[DESIGNATION]])),"","NEED REF")</f>
        <v/>
      </c>
    </row>
    <row r="10812">
      <c r="B10812" t="n">
        <v>34403194</v>
      </c>
      <c r="C10812" s="2" t="n">
        <v>41320</v>
      </c>
      <c r="D10812" t="inlineStr">
        <is>
          <t>SPEC</t>
        </is>
      </c>
      <c r="E10812" t="inlineStr">
        <is>
          <t>PROTECTION SHIELD</t>
        </is>
      </c>
      <c r="F10812" t="inlineStr">
        <is>
          <t>BYPASS 160kVA APC</t>
        </is>
      </c>
      <c r="J10812" t="inlineStr">
        <is>
          <t>MATRION</t>
        </is>
      </c>
      <c r="L10812">
        <f>_xlfn.XLOOKUP(Tableau1[[#This Row],[TYPE DE PIECE]],Tableau4[MATIERE],Tableau4[SHORT TYPE],"",0,1)</f>
        <v/>
      </c>
      <c r="N10812">
        <f>IF(ISERR(FIND("DECOUPE",Tableau1[[#This Row],[DESIGNATION]])),"","NEED REF")</f>
        <v/>
      </c>
    </row>
    <row r="10813">
      <c r="B10813" t="n">
        <v>34403193</v>
      </c>
      <c r="C10813" s="2" t="n">
        <v>41316</v>
      </c>
      <c r="E10813" t="inlineStr">
        <is>
          <t>BCB BOX TERASAKI 300/500</t>
        </is>
      </c>
      <c r="F10813" t="inlineStr">
        <is>
          <t>SFR VRT</t>
        </is>
      </c>
      <c r="J10813" t="inlineStr">
        <is>
          <t>ÇAKIR</t>
        </is>
      </c>
      <c r="L10813">
        <f>_xlfn.XLOOKUP(Tableau1[[#This Row],[TYPE DE PIECE]],Tableau4[MATIERE],Tableau4[SHORT TYPE],"",0,1)</f>
        <v/>
      </c>
      <c r="N10813">
        <f>IF(ISERR(FIND("DECOUPE",Tableau1[[#This Row],[DESIGNATION]])),"","NEED REF")</f>
        <v/>
      </c>
    </row>
    <row r="10814">
      <c r="B10814" t="n">
        <v>34403192</v>
      </c>
      <c r="C10814" s="2" t="n">
        <v>41312</v>
      </c>
      <c r="D10814" t="inlineStr">
        <is>
          <t>SPEC</t>
        </is>
      </c>
      <c r="E10814" t="inlineStr">
        <is>
          <t>Rail din L= 1700</t>
        </is>
      </c>
      <c r="F10814" t="inlineStr">
        <is>
          <t>PV BOX THAILANDE POUR SOLAR</t>
        </is>
      </c>
      <c r="J10814" t="inlineStr">
        <is>
          <t>DUBOIS</t>
        </is>
      </c>
      <c r="L10814">
        <f>_xlfn.XLOOKUP(Tableau1[[#This Row],[TYPE DE PIECE]],Tableau4[MATIERE],Tableau4[SHORT TYPE],"",0,1)</f>
        <v/>
      </c>
      <c r="N10814">
        <f>IF(ISERR(FIND("DECOUPE",Tableau1[[#This Row],[DESIGNATION]])),"","NEED REF")</f>
        <v/>
      </c>
    </row>
    <row r="10815">
      <c r="B10815" t="n">
        <v>34403191</v>
      </c>
      <c r="C10815" s="2" t="n">
        <v>41312</v>
      </c>
      <c r="D10815" t="inlineStr">
        <is>
          <t>SPEC</t>
        </is>
      </c>
      <c r="E10815" t="inlineStr">
        <is>
          <t>DIN RAIL</t>
        </is>
      </c>
      <c r="F10815" t="inlineStr">
        <is>
          <t>GRID BOX POUR SOLAR</t>
        </is>
      </c>
      <c r="J10815" t="inlineStr">
        <is>
          <t>CIVETTA</t>
        </is>
      </c>
      <c r="L10815">
        <f>_xlfn.XLOOKUP(Tableau1[[#This Row],[TYPE DE PIECE]],Tableau4[MATIERE],Tableau4[SHORT TYPE],"",0,1)</f>
        <v/>
      </c>
      <c r="N10815">
        <f>IF(ISERR(FIND("DECOUPE",Tableau1[[#This Row],[DESIGNATION]])),"","NEED REF")</f>
        <v/>
      </c>
    </row>
    <row r="10816">
      <c r="B10816" t="n">
        <v>34403190</v>
      </c>
      <c r="C10816" s="2" t="n">
        <v>41305</v>
      </c>
      <c r="D10816" t="inlineStr">
        <is>
          <t>SPEC</t>
        </is>
      </c>
      <c r="E10816" t="inlineStr">
        <is>
          <t xml:space="preserve">Barre de terre en L = </t>
        </is>
      </c>
      <c r="F10816" t="inlineStr">
        <is>
          <t>PV BOX THAILANDE POUR SOLAR</t>
        </is>
      </c>
      <c r="J10816" t="inlineStr">
        <is>
          <t>DUBOIS</t>
        </is>
      </c>
      <c r="L10816">
        <f>_xlfn.XLOOKUP(Tableau1[[#This Row],[TYPE DE PIECE]],Tableau4[MATIERE],Tableau4[SHORT TYPE],"",0,1)</f>
        <v/>
      </c>
      <c r="N10816">
        <f>IF(ISERR(FIND("DECOUPE",Tableau1[[#This Row],[DESIGNATION]])),"","NEED REF")</f>
        <v/>
      </c>
    </row>
    <row r="10817">
      <c r="B10817" t="n">
        <v>34403189</v>
      </c>
      <c r="C10817" s="2" t="n">
        <v>41305</v>
      </c>
      <c r="D10817" t="inlineStr">
        <is>
          <t>SPEC</t>
        </is>
      </c>
      <c r="E10817" t="inlineStr">
        <is>
          <t xml:space="preserve">Barre de terre en L = </t>
        </is>
      </c>
      <c r="F10817" t="inlineStr">
        <is>
          <t>PV BOX THAILANDE POUR SOLAR</t>
        </is>
      </c>
      <c r="J10817" t="inlineStr">
        <is>
          <t>DUBOIS</t>
        </is>
      </c>
      <c r="L10817">
        <f>_xlfn.XLOOKUP(Tableau1[[#This Row],[TYPE DE PIECE]],Tableau4[MATIERE],Tableau4[SHORT TYPE],"",0,1)</f>
        <v/>
      </c>
      <c r="N10817">
        <f>IF(ISERR(FIND("DECOUPE",Tableau1[[#This Row],[DESIGNATION]])),"","NEED REF")</f>
        <v/>
      </c>
    </row>
    <row r="10818">
      <c r="B10818" t="n">
        <v>34403188</v>
      </c>
      <c r="C10818" s="2" t="n">
        <v>41305</v>
      </c>
      <c r="D10818" t="inlineStr">
        <is>
          <t>SPEC</t>
        </is>
      </c>
      <c r="E10818" t="inlineStr">
        <is>
          <t>Barre de terre 15x 5 L= 75</t>
        </is>
      </c>
      <c r="F10818" t="inlineStr">
        <is>
          <t>PV BOX THAILANDE POUR SOLAR</t>
        </is>
      </c>
      <c r="J10818" t="inlineStr">
        <is>
          <t>DUBOIS</t>
        </is>
      </c>
      <c r="L10818">
        <f>_xlfn.XLOOKUP(Tableau1[[#This Row],[TYPE DE PIECE]],Tableau4[MATIERE],Tableau4[SHORT TYPE],"",0,1)</f>
        <v/>
      </c>
      <c r="N10818">
        <f>IF(ISERR(FIND("DECOUPE",Tableau1[[#This Row],[DESIGNATION]])),"","NEED REF")</f>
        <v/>
      </c>
    </row>
    <row r="10819">
      <c r="B10819" t="n">
        <v>34403187</v>
      </c>
      <c r="C10819" s="2" t="n">
        <v>41305</v>
      </c>
      <c r="D10819" t="inlineStr">
        <is>
          <t>SPEC</t>
        </is>
      </c>
      <c r="E10819" t="inlineStr">
        <is>
          <t>Barre de terre 15x 5 L= 990</t>
        </is>
      </c>
      <c r="F10819" t="inlineStr">
        <is>
          <t>PV BOX THAILANDE POUR SOLAR</t>
        </is>
      </c>
      <c r="J10819" t="inlineStr">
        <is>
          <t>DUBOIS</t>
        </is>
      </c>
      <c r="L10819">
        <f>_xlfn.XLOOKUP(Tableau1[[#This Row],[TYPE DE PIECE]],Tableau4[MATIERE],Tableau4[SHORT TYPE],"",0,1)</f>
        <v/>
      </c>
      <c r="N10819">
        <f>IF(ISERR(FIND("DECOUPE",Tableau1[[#This Row],[DESIGNATION]])),"","NEED REF")</f>
        <v/>
      </c>
    </row>
    <row r="10820">
      <c r="B10820" t="n">
        <v>34403186</v>
      </c>
      <c r="C10820" s="2" t="n">
        <v>41305</v>
      </c>
      <c r="D10820" t="inlineStr">
        <is>
          <t>SPEC</t>
        </is>
      </c>
      <c r="E10820" t="inlineStr">
        <is>
          <t>PROTECTION SHIELD 555mm</t>
        </is>
      </c>
      <c r="F10820" t="inlineStr">
        <is>
          <t>ELECTRO POLE</t>
        </is>
      </c>
      <c r="J10820" t="inlineStr">
        <is>
          <t>MATRION</t>
        </is>
      </c>
      <c r="L10820">
        <f>_xlfn.XLOOKUP(Tableau1[[#This Row],[TYPE DE PIECE]],Tableau4[MATIERE],Tableau4[SHORT TYPE],"",0,1)</f>
        <v/>
      </c>
      <c r="N10820">
        <f>IF(ISERR(FIND("DECOUPE",Tableau1[[#This Row],[DESIGNATION]])),"","NEED REF")</f>
        <v/>
      </c>
    </row>
    <row r="10821">
      <c r="B10821" t="n">
        <v>34403185</v>
      </c>
      <c r="C10821" s="2" t="n">
        <v>41305</v>
      </c>
      <c r="D10821" t="inlineStr">
        <is>
          <t>SPEC</t>
        </is>
      </c>
      <c r="E10821" t="inlineStr">
        <is>
          <t>EARTHING BAR</t>
        </is>
      </c>
      <c r="F10821" t="inlineStr">
        <is>
          <t>GRID BOX POUR SOLAR</t>
        </is>
      </c>
      <c r="J10821" t="inlineStr">
        <is>
          <t>CIVETTA</t>
        </is>
      </c>
      <c r="L10821">
        <f>_xlfn.XLOOKUP(Tableau1[[#This Row],[TYPE DE PIECE]],Tableau4[MATIERE],Tableau4[SHORT TYPE],"",0,1)</f>
        <v/>
      </c>
      <c r="N10821">
        <f>IF(ISERR(FIND("DECOUPE",Tableau1[[#This Row],[DESIGNATION]])),"","NEED REF")</f>
        <v/>
      </c>
    </row>
    <row r="10822">
      <c r="B10822" t="n">
        <v>34403184</v>
      </c>
      <c r="C10822" s="2" t="n">
        <v>41303</v>
      </c>
      <c r="D10822" t="inlineStr">
        <is>
          <t>SPEC</t>
        </is>
      </c>
      <c r="E10822" t="inlineStr">
        <is>
          <t>Barre de terre 15x 5 L= ?</t>
        </is>
      </c>
      <c r="F10822" t="inlineStr">
        <is>
          <t>PV BOX THAILANDE POUR SOLAR</t>
        </is>
      </c>
      <c r="J10822" t="inlineStr">
        <is>
          <t>DUBOIS</t>
        </is>
      </c>
      <c r="L10822">
        <f>_xlfn.XLOOKUP(Tableau1[[#This Row],[TYPE DE PIECE]],Tableau4[MATIERE],Tableau4[SHORT TYPE],"",0,1)</f>
        <v/>
      </c>
      <c r="N10822">
        <f>IF(ISERR(FIND("DECOUPE",Tableau1[[#This Row],[DESIGNATION]])),"","NEED REF")</f>
        <v/>
      </c>
    </row>
    <row r="10823">
      <c r="B10823" t="n">
        <v>34403183</v>
      </c>
      <c r="C10823" s="2" t="n">
        <v>41302</v>
      </c>
      <c r="D10823" t="inlineStr">
        <is>
          <t>SPEC</t>
        </is>
      </c>
      <c r="E10823" t="inlineStr">
        <is>
          <t>Barre de terre 15x 5 L= ?</t>
        </is>
      </c>
      <c r="F10823" t="inlineStr">
        <is>
          <t>PV BOX THAILANDE POUR SOLAR</t>
        </is>
      </c>
      <c r="J10823" t="inlineStr">
        <is>
          <t>DUBOIS</t>
        </is>
      </c>
      <c r="L10823">
        <f>_xlfn.XLOOKUP(Tableau1[[#This Row],[TYPE DE PIECE]],Tableau4[MATIERE],Tableau4[SHORT TYPE],"",0,1)</f>
        <v/>
      </c>
      <c r="N10823">
        <f>IF(ISERR(FIND("DECOUPE",Tableau1[[#This Row],[DESIGNATION]])),"","NEED REF")</f>
        <v/>
      </c>
    </row>
    <row r="10824">
      <c r="B10824" t="n">
        <v>34403182</v>
      </c>
      <c r="C10824" s="2" t="n">
        <v>41301</v>
      </c>
      <c r="D10824" t="inlineStr">
        <is>
          <t>SPEC</t>
        </is>
      </c>
      <c r="E10824" t="inlineStr">
        <is>
          <t>Barre de terre 15x 5 L= ?</t>
        </is>
      </c>
      <c r="F10824" t="inlineStr">
        <is>
          <t>PV BOX THAILANDE POUR SOLAR</t>
        </is>
      </c>
      <c r="J10824" t="inlineStr">
        <is>
          <t>DUBOIS</t>
        </is>
      </c>
      <c r="L10824">
        <f>_xlfn.XLOOKUP(Tableau1[[#This Row],[TYPE DE PIECE]],Tableau4[MATIERE],Tableau4[SHORT TYPE],"",0,1)</f>
        <v/>
      </c>
      <c r="N10824">
        <f>IF(ISERR(FIND("DECOUPE",Tableau1[[#This Row],[DESIGNATION]])),"","NEED REF")</f>
        <v/>
      </c>
    </row>
    <row r="10825">
      <c r="B10825" t="n">
        <v>34403181</v>
      </c>
      <c r="C10825" s="2" t="n">
        <v>41300</v>
      </c>
      <c r="D10825" t="inlineStr">
        <is>
          <t>SPEC</t>
        </is>
      </c>
      <c r="E10825" t="inlineStr">
        <is>
          <t>Barre de terre 15x 5 L= ?</t>
        </is>
      </c>
      <c r="F10825" t="inlineStr">
        <is>
          <t>PV BOX THAILANDE POUR SOLAR</t>
        </is>
      </c>
      <c r="J10825" t="inlineStr">
        <is>
          <t>DUBOIS</t>
        </is>
      </c>
      <c r="L10825">
        <f>_xlfn.XLOOKUP(Tableau1[[#This Row],[TYPE DE PIECE]],Tableau4[MATIERE],Tableau4[SHORT TYPE],"",0,1)</f>
        <v/>
      </c>
      <c r="N10825">
        <f>IF(ISERR(FIND("DECOUPE",Tableau1[[#This Row],[DESIGNATION]])),"","NEED REF")</f>
        <v/>
      </c>
    </row>
    <row r="10826">
      <c r="B10826" t="n">
        <v>34403180</v>
      </c>
      <c r="C10826" s="2" t="n">
        <v>41299</v>
      </c>
      <c r="D10826" t="inlineStr">
        <is>
          <t>SPEC</t>
        </is>
      </c>
      <c r="E10826" t="inlineStr">
        <is>
          <t>COPPER BAR UPPER SWITCH 400A</t>
        </is>
      </c>
      <c r="F10826" t="inlineStr">
        <is>
          <t>BYPASS 160kVA APC</t>
        </is>
      </c>
      <c r="J10826" t="inlineStr">
        <is>
          <t>MATRION</t>
        </is>
      </c>
      <c r="L10826">
        <f>_xlfn.XLOOKUP(Tableau1[[#This Row],[TYPE DE PIECE]],Tableau4[MATIERE],Tableau4[SHORT TYPE],"",0,1)</f>
        <v/>
      </c>
      <c r="N10826">
        <f>IF(ISERR(FIND("DECOUPE",Tableau1[[#This Row],[DESIGNATION]])),"","NEED REF")</f>
        <v/>
      </c>
    </row>
    <row r="10827">
      <c r="B10827" t="n">
        <v>34403179</v>
      </c>
      <c r="C10827" s="2" t="n">
        <v>41299</v>
      </c>
      <c r="D10827" t="inlineStr">
        <is>
          <t>SPEC</t>
        </is>
      </c>
      <c r="E10827" t="inlineStr">
        <is>
          <t>PLATE BYPASS SUPPORT</t>
        </is>
      </c>
      <c r="F10827" t="inlineStr">
        <is>
          <t>BYPASS 160kVA APC</t>
        </is>
      </c>
      <c r="J10827" t="inlineStr">
        <is>
          <t>MATRION</t>
        </is>
      </c>
      <c r="L10827">
        <f>_xlfn.XLOOKUP(Tableau1[[#This Row],[TYPE DE PIECE]],Tableau4[MATIERE],Tableau4[SHORT TYPE],"",0,1)</f>
        <v/>
      </c>
      <c r="N10827">
        <f>IF(ISERR(FIND("DECOUPE",Tableau1[[#This Row],[DESIGNATION]])),"","NEED REF")</f>
        <v/>
      </c>
    </row>
    <row r="10828">
      <c r="B10828" t="n">
        <v>34403178</v>
      </c>
      <c r="C10828" s="2" t="n">
        <v>41299</v>
      </c>
      <c r="D10828" t="inlineStr">
        <is>
          <t>SPEC</t>
        </is>
      </c>
      <c r="E10828" t="inlineStr">
        <is>
          <t>COPPER BAR CONNEXION L3</t>
        </is>
      </c>
      <c r="F10828" t="inlineStr">
        <is>
          <t>BYPASS 160kVA APC</t>
        </is>
      </c>
      <c r="J10828" t="inlineStr">
        <is>
          <t>MATRION</t>
        </is>
      </c>
      <c r="L10828">
        <f>_xlfn.XLOOKUP(Tableau1[[#This Row],[TYPE DE PIECE]],Tableau4[MATIERE],Tableau4[SHORT TYPE],"",0,1)</f>
        <v/>
      </c>
      <c r="N10828">
        <f>IF(ISERR(FIND("DECOUPE",Tableau1[[#This Row],[DESIGNATION]])),"","NEED REF")</f>
        <v/>
      </c>
    </row>
    <row r="10829">
      <c r="B10829" t="n">
        <v>34403177</v>
      </c>
      <c r="C10829" s="2" t="n">
        <v>41299</v>
      </c>
      <c r="D10829" t="inlineStr">
        <is>
          <t>SPEC</t>
        </is>
      </c>
      <c r="E10829" t="inlineStr">
        <is>
          <t>COPPER BAR CONNEXION L2</t>
        </is>
      </c>
      <c r="F10829" t="inlineStr">
        <is>
          <t>BYPASS 160kVA APC</t>
        </is>
      </c>
      <c r="J10829" t="inlineStr">
        <is>
          <t>MATRION</t>
        </is>
      </c>
      <c r="L10829">
        <f>_xlfn.XLOOKUP(Tableau1[[#This Row],[TYPE DE PIECE]],Tableau4[MATIERE],Tableau4[SHORT TYPE],"",0,1)</f>
        <v/>
      </c>
      <c r="N10829">
        <f>IF(ISERR(FIND("DECOUPE",Tableau1[[#This Row],[DESIGNATION]])),"","NEED REF")</f>
        <v/>
      </c>
    </row>
    <row r="10830">
      <c r="B10830" t="n">
        <v>34403176</v>
      </c>
      <c r="C10830" s="2" t="n">
        <v>41299</v>
      </c>
      <c r="D10830" t="inlineStr">
        <is>
          <t>SPEC</t>
        </is>
      </c>
      <c r="E10830" t="inlineStr">
        <is>
          <t>COPPER BAR CONNEXION L1</t>
        </is>
      </c>
      <c r="F10830" t="inlineStr">
        <is>
          <t>BYPASS 160kVA APC</t>
        </is>
      </c>
      <c r="J10830" t="inlineStr">
        <is>
          <t>MATRION</t>
        </is>
      </c>
      <c r="L10830">
        <f>_xlfn.XLOOKUP(Tableau1[[#This Row],[TYPE DE PIECE]],Tableau4[MATIERE],Tableau4[SHORT TYPE],"",0,1)</f>
        <v/>
      </c>
      <c r="N10830">
        <f>IF(ISERR(FIND("DECOUPE",Tableau1[[#This Row],[DESIGNATION]])),"","NEED REF")</f>
        <v/>
      </c>
    </row>
    <row r="10831">
      <c r="B10831" t="n">
        <v>34403175</v>
      </c>
      <c r="C10831" s="2" t="n">
        <v>41299</v>
      </c>
      <c r="D10831" t="inlineStr">
        <is>
          <t>SPEC</t>
        </is>
      </c>
      <c r="E10831" t="inlineStr">
        <is>
          <t>COPPER BAR CONNEXION N</t>
        </is>
      </c>
      <c r="F10831" t="inlineStr">
        <is>
          <t>BYPASS 160kVA APC</t>
        </is>
      </c>
      <c r="J10831" t="inlineStr">
        <is>
          <t>MATRION</t>
        </is>
      </c>
      <c r="L10831">
        <f>_xlfn.XLOOKUP(Tableau1[[#This Row],[TYPE DE PIECE]],Tableau4[MATIERE],Tableau4[SHORT TYPE],"",0,1)</f>
        <v/>
      </c>
      <c r="N10831">
        <f>IF(ISERR(FIND("DECOUPE",Tableau1[[#This Row],[DESIGNATION]])),"","NEED REF")</f>
        <v/>
      </c>
    </row>
    <row r="10832">
      <c r="B10832" t="n">
        <v>34403174</v>
      </c>
      <c r="C10832" s="2" t="n">
        <v>41299</v>
      </c>
      <c r="D10832" t="inlineStr">
        <is>
          <t>SPEC</t>
        </is>
      </c>
      <c r="E10832" t="inlineStr">
        <is>
          <t>COPPER BAR CONNEXION L3</t>
        </is>
      </c>
      <c r="F10832" t="inlineStr">
        <is>
          <t>BYPASS 160kVA APC</t>
        </is>
      </c>
      <c r="J10832" t="inlineStr">
        <is>
          <t>MATRION</t>
        </is>
      </c>
      <c r="L10832">
        <f>_xlfn.XLOOKUP(Tableau1[[#This Row],[TYPE DE PIECE]],Tableau4[MATIERE],Tableau4[SHORT TYPE],"",0,1)</f>
        <v/>
      </c>
      <c r="N10832">
        <f>IF(ISERR(FIND("DECOUPE",Tableau1[[#This Row],[DESIGNATION]])),"","NEED REF")</f>
        <v/>
      </c>
    </row>
    <row r="10833">
      <c r="B10833" t="n">
        <v>34403173</v>
      </c>
      <c r="C10833" s="2" t="n">
        <v>41299</v>
      </c>
      <c r="D10833" t="inlineStr">
        <is>
          <t>SPEC</t>
        </is>
      </c>
      <c r="E10833" t="inlineStr">
        <is>
          <t>COPPER BAR CONNEXION L2</t>
        </is>
      </c>
      <c r="F10833" t="inlineStr">
        <is>
          <t>BYPASS 160kVA APC</t>
        </is>
      </c>
      <c r="J10833" t="inlineStr">
        <is>
          <t>MATRION</t>
        </is>
      </c>
      <c r="L10833">
        <f>_xlfn.XLOOKUP(Tableau1[[#This Row],[TYPE DE PIECE]],Tableau4[MATIERE],Tableau4[SHORT TYPE],"",0,1)</f>
        <v/>
      </c>
      <c r="N10833">
        <f>IF(ISERR(FIND("DECOUPE",Tableau1[[#This Row],[DESIGNATION]])),"","NEED REF")</f>
        <v/>
      </c>
    </row>
    <row r="10834">
      <c r="B10834" t="n">
        <v>34403172</v>
      </c>
      <c r="C10834" s="2" t="n">
        <v>41299</v>
      </c>
      <c r="D10834" t="inlineStr">
        <is>
          <t>SPEC</t>
        </is>
      </c>
      <c r="E10834" t="inlineStr">
        <is>
          <t>COPPER BAR CONNEXION L1</t>
        </is>
      </c>
      <c r="F10834" t="inlineStr">
        <is>
          <t>BYPASS 160kVA APC</t>
        </is>
      </c>
      <c r="J10834" t="inlineStr">
        <is>
          <t>MATRION</t>
        </is>
      </c>
      <c r="L10834">
        <f>_xlfn.XLOOKUP(Tableau1[[#This Row],[TYPE DE PIECE]],Tableau4[MATIERE],Tableau4[SHORT TYPE],"",0,1)</f>
        <v/>
      </c>
      <c r="N10834">
        <f>IF(ISERR(FIND("DECOUPE",Tableau1[[#This Row],[DESIGNATION]])),"","NEED REF")</f>
        <v/>
      </c>
    </row>
    <row r="10835">
      <c r="B10835" t="n">
        <v>34403171</v>
      </c>
      <c r="C10835" s="2" t="n">
        <v>41299</v>
      </c>
      <c r="D10835" t="inlineStr">
        <is>
          <t>SPEC</t>
        </is>
      </c>
      <c r="E10835" t="inlineStr">
        <is>
          <t>COPPER BAR CONNEXION N</t>
        </is>
      </c>
      <c r="F10835" t="inlineStr">
        <is>
          <t>BYPASS 160kVA APC</t>
        </is>
      </c>
      <c r="J10835" t="inlineStr">
        <is>
          <t>MATRION</t>
        </is>
      </c>
      <c r="L10835">
        <f>_xlfn.XLOOKUP(Tableau1[[#This Row],[TYPE DE PIECE]],Tableau4[MATIERE],Tableau4[SHORT TYPE],"",0,1)</f>
        <v/>
      </c>
      <c r="N10835">
        <f>IF(ISERR(FIND("DECOUPE",Tableau1[[#This Row],[DESIGNATION]])),"","NEED REF")</f>
        <v/>
      </c>
    </row>
    <row r="10836">
      <c r="B10836" t="n">
        <v>34403170</v>
      </c>
      <c r="C10836" s="2" t="n">
        <v>41299</v>
      </c>
      <c r="D10836" t="inlineStr">
        <is>
          <t>SPEC</t>
        </is>
      </c>
      <c r="E10836" t="inlineStr">
        <is>
          <t>COPPER BAR CONNEXION L3</t>
        </is>
      </c>
      <c r="F10836" t="inlineStr">
        <is>
          <t>BYPASS 160kVA APC</t>
        </is>
      </c>
      <c r="J10836" t="inlineStr">
        <is>
          <t>MATRION</t>
        </is>
      </c>
      <c r="L10836">
        <f>_xlfn.XLOOKUP(Tableau1[[#This Row],[TYPE DE PIECE]],Tableau4[MATIERE],Tableau4[SHORT TYPE],"",0,1)</f>
        <v/>
      </c>
      <c r="N10836">
        <f>IF(ISERR(FIND("DECOUPE",Tableau1[[#This Row],[DESIGNATION]])),"","NEED REF")</f>
        <v/>
      </c>
    </row>
    <row r="10837">
      <c r="B10837" t="n">
        <v>34403169</v>
      </c>
      <c r="C10837" s="2" t="n">
        <v>41299</v>
      </c>
      <c r="D10837" t="inlineStr">
        <is>
          <t>SPEC</t>
        </is>
      </c>
      <c r="E10837" t="inlineStr">
        <is>
          <t>COPPER BAR CONNEXION L2</t>
        </is>
      </c>
      <c r="F10837" t="inlineStr">
        <is>
          <t>BYPASS 160kVA APC</t>
        </is>
      </c>
      <c r="J10837" t="inlineStr">
        <is>
          <t>MATRION</t>
        </is>
      </c>
      <c r="L10837">
        <f>_xlfn.XLOOKUP(Tableau1[[#This Row],[TYPE DE PIECE]],Tableau4[MATIERE],Tableau4[SHORT TYPE],"",0,1)</f>
        <v/>
      </c>
      <c r="N10837">
        <f>IF(ISERR(FIND("DECOUPE",Tableau1[[#This Row],[DESIGNATION]])),"","NEED REF")</f>
        <v/>
      </c>
    </row>
    <row r="10838">
      <c r="B10838" t="n">
        <v>34403168</v>
      </c>
      <c r="C10838" s="2" t="n">
        <v>41299</v>
      </c>
      <c r="D10838" t="inlineStr">
        <is>
          <t>SPEC</t>
        </is>
      </c>
      <c r="E10838" t="inlineStr">
        <is>
          <t>COPPER BAR CONNEXION L1</t>
        </is>
      </c>
      <c r="F10838" t="inlineStr">
        <is>
          <t>BYPASS 160kVA APC</t>
        </is>
      </c>
      <c r="J10838" t="inlineStr">
        <is>
          <t>MATRION</t>
        </is>
      </c>
      <c r="L10838">
        <f>_xlfn.XLOOKUP(Tableau1[[#This Row],[TYPE DE PIECE]],Tableau4[MATIERE],Tableau4[SHORT TYPE],"",0,1)</f>
        <v/>
      </c>
      <c r="N10838">
        <f>IF(ISERR(FIND("DECOUPE",Tableau1[[#This Row],[DESIGNATION]])),"","NEED REF")</f>
        <v/>
      </c>
    </row>
    <row r="10839">
      <c r="B10839" t="n">
        <v>34403167</v>
      </c>
      <c r="C10839" s="2" t="n">
        <v>41299</v>
      </c>
      <c r="D10839" t="inlineStr">
        <is>
          <t>SPEC</t>
        </is>
      </c>
      <c r="E10839" t="inlineStr">
        <is>
          <t>COPPER BAR CONNEXION N</t>
        </is>
      </c>
      <c r="F10839" t="inlineStr">
        <is>
          <t>BYPASS 160kVA APC</t>
        </is>
      </c>
      <c r="J10839" t="inlineStr">
        <is>
          <t>MATRION</t>
        </is>
      </c>
      <c r="L10839">
        <f>_xlfn.XLOOKUP(Tableau1[[#This Row],[TYPE DE PIECE]],Tableau4[MATIERE],Tableau4[SHORT TYPE],"",0,1)</f>
        <v/>
      </c>
      <c r="N10839">
        <f>IF(ISERR(FIND("DECOUPE",Tableau1[[#This Row],[DESIGNATION]])),"","NEED REF")</f>
        <v/>
      </c>
    </row>
    <row r="10840">
      <c r="B10840" t="n">
        <v>34403166</v>
      </c>
      <c r="C10840" s="2" t="n">
        <v>41299</v>
      </c>
      <c r="D10840" t="inlineStr">
        <is>
          <t>SPEC</t>
        </is>
      </c>
      <c r="E10840" t="inlineStr">
        <is>
          <t>COPPER BAR SWITCH INTERLINK 400A</t>
        </is>
      </c>
      <c r="F10840" t="inlineStr">
        <is>
          <t>BYPASS 160kVA APC</t>
        </is>
      </c>
      <c r="J10840" t="inlineStr">
        <is>
          <t>MATRION</t>
        </is>
      </c>
      <c r="L10840">
        <f>_xlfn.XLOOKUP(Tableau1[[#This Row],[TYPE DE PIECE]],Tableau4[MATIERE],Tableau4[SHORT TYPE],"",0,1)</f>
        <v/>
      </c>
      <c r="N10840">
        <f>IF(ISERR(FIND("DECOUPE",Tableau1[[#This Row],[DESIGNATION]])),"","NEED REF")</f>
        <v/>
      </c>
    </row>
    <row r="10841">
      <c r="B10841" t="n">
        <v>34403165</v>
      </c>
      <c r="C10841" s="2" t="n">
        <v>41297</v>
      </c>
      <c r="D10841" t="inlineStr">
        <is>
          <t>SPEC</t>
        </is>
      </c>
      <c r="E10841" t="inlineStr">
        <is>
          <t>Cablofil 54x100 L= 1200</t>
        </is>
      </c>
      <c r="F10841" t="inlineStr">
        <is>
          <t>PV BOX THAILANDE POUR SOLAR</t>
        </is>
      </c>
      <c r="J10841" t="inlineStr">
        <is>
          <t>DUBOIS</t>
        </is>
      </c>
      <c r="L10841">
        <f>_xlfn.XLOOKUP(Tableau1[[#This Row],[TYPE DE PIECE]],Tableau4[MATIERE],Tableau4[SHORT TYPE],"",0,1)</f>
        <v/>
      </c>
      <c r="N10841">
        <f>IF(ISERR(FIND("DECOUPE",Tableau1[[#This Row],[DESIGNATION]])),"","NEED REF")</f>
        <v/>
      </c>
    </row>
    <row r="10842">
      <c r="B10842" t="n">
        <v>34403164</v>
      </c>
      <c r="C10842" s="2" t="n">
        <v>41297</v>
      </c>
      <c r="D10842" t="inlineStr">
        <is>
          <t>SPEC</t>
        </is>
      </c>
      <c r="E10842" t="inlineStr">
        <is>
          <t>Cablofil 54x100 L= 1800</t>
        </is>
      </c>
      <c r="F10842" t="inlineStr">
        <is>
          <t>PV BOX THAILANDE POUR SOLAR</t>
        </is>
      </c>
      <c r="J10842" t="inlineStr">
        <is>
          <t>DUBOIS</t>
        </is>
      </c>
      <c r="L10842">
        <f>_xlfn.XLOOKUP(Tableau1[[#This Row],[TYPE DE PIECE]],Tableau4[MATIERE],Tableau4[SHORT TYPE],"",0,1)</f>
        <v/>
      </c>
      <c r="N10842">
        <f>IF(ISERR(FIND("DECOUPE",Tableau1[[#This Row],[DESIGNATION]])),"","NEED REF")</f>
        <v/>
      </c>
    </row>
    <row r="10843">
      <c r="B10843" t="n">
        <v>34403163</v>
      </c>
      <c r="C10843" s="2" t="n">
        <v>41297</v>
      </c>
      <c r="D10843" t="inlineStr">
        <is>
          <t>SPEC</t>
        </is>
      </c>
      <c r="E10843" t="inlineStr">
        <is>
          <t>Goulotte 40x80 L=1500</t>
        </is>
      </c>
      <c r="F10843" t="inlineStr">
        <is>
          <t>PV BOX THAILANDE POUR SOLAR</t>
        </is>
      </c>
      <c r="J10843" t="inlineStr">
        <is>
          <t>DUBOIS</t>
        </is>
      </c>
      <c r="L10843">
        <f>_xlfn.XLOOKUP(Tableau1[[#This Row],[TYPE DE PIECE]],Tableau4[MATIERE],Tableau4[SHORT TYPE],"",0,1)</f>
        <v/>
      </c>
      <c r="N10843">
        <f>IF(ISERR(FIND("DECOUPE",Tableau1[[#This Row],[DESIGNATION]])),"","NEED REF")</f>
        <v/>
      </c>
    </row>
    <row r="10844">
      <c r="B10844" t="n">
        <v>34403162</v>
      </c>
      <c r="C10844" s="2" t="n">
        <v>41296</v>
      </c>
      <c r="D10844" t="inlineStr">
        <is>
          <t>SPEC</t>
        </is>
      </c>
      <c r="E10844" t="inlineStr">
        <is>
          <t>Goulotte 40x80 L=405</t>
        </is>
      </c>
      <c r="F10844" t="inlineStr">
        <is>
          <t>PV BOX THAILANDE POUR SOLAR</t>
        </is>
      </c>
      <c r="J10844" t="inlineStr">
        <is>
          <t>DUBOIS</t>
        </is>
      </c>
      <c r="L10844">
        <f>_xlfn.XLOOKUP(Tableau1[[#This Row],[TYPE DE PIECE]],Tableau4[MATIERE],Tableau4[SHORT TYPE],"",0,1)</f>
        <v/>
      </c>
      <c r="N10844">
        <f>IF(ISERR(FIND("DECOUPE",Tableau1[[#This Row],[DESIGNATION]])),"","NEED REF")</f>
        <v/>
      </c>
    </row>
    <row r="10845">
      <c r="B10845" t="n">
        <v>34403161</v>
      </c>
      <c r="C10845" s="2" t="n">
        <v>41295</v>
      </c>
      <c r="D10845" t="inlineStr">
        <is>
          <t>SPEC</t>
        </is>
      </c>
      <c r="E10845" t="inlineStr">
        <is>
          <t>Cablofil 54x100 L=80</t>
        </is>
      </c>
      <c r="F10845" t="inlineStr">
        <is>
          <t>PV BOX THAILANDE POUR SOLAR</t>
        </is>
      </c>
      <c r="J10845" t="inlineStr">
        <is>
          <t>DUBOIS</t>
        </is>
      </c>
      <c r="L10845">
        <f>_xlfn.XLOOKUP(Tableau1[[#This Row],[TYPE DE PIECE]],Tableau4[MATIERE],Tableau4[SHORT TYPE],"",0,1)</f>
        <v/>
      </c>
      <c r="N10845">
        <f>IF(ISERR(FIND("DECOUPE",Tableau1[[#This Row],[DESIGNATION]])),"","NEED REF")</f>
        <v/>
      </c>
    </row>
    <row r="10846">
      <c r="B10846" t="n">
        <v>34403160</v>
      </c>
      <c r="C10846" s="2" t="n">
        <v>41295</v>
      </c>
      <c r="D10846" t="inlineStr">
        <is>
          <t>SPEC</t>
        </is>
      </c>
      <c r="E10846" t="inlineStr">
        <is>
          <t>Rail DIN L=150</t>
        </is>
      </c>
      <c r="F10846" t="inlineStr">
        <is>
          <t>PV BOX THAILANDE POUR SOLAR</t>
        </is>
      </c>
      <c r="J10846" t="inlineStr">
        <is>
          <t>DUBOIS</t>
        </is>
      </c>
      <c r="L10846">
        <f>_xlfn.XLOOKUP(Tableau1[[#This Row],[TYPE DE PIECE]],Tableau4[MATIERE],Tableau4[SHORT TYPE],"",0,1)</f>
        <v/>
      </c>
      <c r="N10846">
        <f>IF(ISERR(FIND("DECOUPE",Tableau1[[#This Row],[DESIGNATION]])),"","NEED REF")</f>
        <v/>
      </c>
    </row>
    <row r="10847">
      <c r="B10847" t="n">
        <v>34403159</v>
      </c>
      <c r="C10847" s="2" t="n">
        <v>41295</v>
      </c>
      <c r="D10847" t="inlineStr">
        <is>
          <t>SPEC</t>
        </is>
      </c>
      <c r="E10847" t="inlineStr">
        <is>
          <t>Rail DIN L=810</t>
        </is>
      </c>
      <c r="F10847" t="inlineStr">
        <is>
          <t>PV BOX THAILANDE POUR SOLAR</t>
        </is>
      </c>
      <c r="J10847" t="inlineStr">
        <is>
          <t>DUBOIS</t>
        </is>
      </c>
      <c r="L10847">
        <f>_xlfn.XLOOKUP(Tableau1[[#This Row],[TYPE DE PIECE]],Tableau4[MATIERE],Tableau4[SHORT TYPE],"",0,1)</f>
        <v/>
      </c>
      <c r="N10847">
        <f>IF(ISERR(FIND("DECOUPE",Tableau1[[#This Row],[DESIGNATION]])),"","NEED REF")</f>
        <v/>
      </c>
    </row>
    <row r="10848">
      <c r="B10848" t="n">
        <v>34403158</v>
      </c>
      <c r="C10848" s="2" t="n">
        <v>41295</v>
      </c>
      <c r="D10848" t="inlineStr">
        <is>
          <t>SPEC</t>
        </is>
      </c>
      <c r="E10848" t="inlineStr">
        <is>
          <t>Rail DIN L=385</t>
        </is>
      </c>
      <c r="F10848" t="inlineStr">
        <is>
          <t>PV BOX THAILANDE POUR SOLAR</t>
        </is>
      </c>
      <c r="J10848" t="inlineStr">
        <is>
          <t>DUBOIS</t>
        </is>
      </c>
      <c r="L10848">
        <f>_xlfn.XLOOKUP(Tableau1[[#This Row],[TYPE DE PIECE]],Tableau4[MATIERE],Tableau4[SHORT TYPE],"",0,1)</f>
        <v/>
      </c>
      <c r="N10848">
        <f>IF(ISERR(FIND("DECOUPE",Tableau1[[#This Row],[DESIGNATION]])),"","NEED REF")</f>
        <v/>
      </c>
    </row>
    <row r="10849">
      <c r="B10849" t="n">
        <v>34403157</v>
      </c>
      <c r="C10849" s="2" t="n">
        <v>41295</v>
      </c>
      <c r="D10849" t="inlineStr">
        <is>
          <t>SPEC</t>
        </is>
      </c>
      <c r="E10849" t="inlineStr">
        <is>
          <t>Rail DIN L=490</t>
        </is>
      </c>
      <c r="F10849" t="inlineStr">
        <is>
          <t>PV BOX THAILANDE POUR SOLAR</t>
        </is>
      </c>
      <c r="J10849" t="inlineStr">
        <is>
          <t>DUBOIS</t>
        </is>
      </c>
      <c r="L10849">
        <f>_xlfn.XLOOKUP(Tableau1[[#This Row],[TYPE DE PIECE]],Tableau4[MATIERE],Tableau4[SHORT TYPE],"",0,1)</f>
        <v/>
      </c>
      <c r="N10849">
        <f>IF(ISERR(FIND("DECOUPE",Tableau1[[#This Row],[DESIGNATION]])),"","NEED REF")</f>
        <v/>
      </c>
    </row>
    <row r="10850">
      <c r="B10850" t="n">
        <v>34403156</v>
      </c>
      <c r="C10850" s="2" t="n">
        <v>41295</v>
      </c>
      <c r="D10850" t="inlineStr">
        <is>
          <t>SPEC</t>
        </is>
      </c>
      <c r="E10850" t="inlineStr">
        <is>
          <t>Barre de terre 15x 5 L= ?</t>
        </is>
      </c>
      <c r="F10850" t="inlineStr">
        <is>
          <t>PV BOX THAILANDE POUR SOLAR</t>
        </is>
      </c>
      <c r="J10850" t="inlineStr">
        <is>
          <t>DUBOIS</t>
        </is>
      </c>
      <c r="L10850">
        <f>_xlfn.XLOOKUP(Tableau1[[#This Row],[TYPE DE PIECE]],Tableau4[MATIERE],Tableau4[SHORT TYPE],"",0,1)</f>
        <v/>
      </c>
      <c r="N10850">
        <f>IF(ISERR(FIND("DECOUPE",Tableau1[[#This Row],[DESIGNATION]])),"","NEED REF")</f>
        <v/>
      </c>
    </row>
    <row r="10851">
      <c r="B10851" t="n">
        <v>34403155</v>
      </c>
      <c r="C10851" s="2" t="n">
        <v>41295</v>
      </c>
      <c r="D10851" t="inlineStr">
        <is>
          <t>SPEC</t>
        </is>
      </c>
      <c r="E10851" t="inlineStr">
        <is>
          <t>Barre de terre 15x 5 L= 990</t>
        </is>
      </c>
      <c r="F10851" t="inlineStr">
        <is>
          <t>PV BOX THAILANDE POUR SOLAR</t>
        </is>
      </c>
      <c r="J10851" t="inlineStr">
        <is>
          <t>DUBOIS</t>
        </is>
      </c>
      <c r="L10851">
        <f>_xlfn.XLOOKUP(Tableau1[[#This Row],[TYPE DE PIECE]],Tableau4[MATIERE],Tableau4[SHORT TYPE],"",0,1)</f>
        <v/>
      </c>
      <c r="N10851">
        <f>IF(ISERR(FIND("DECOUPE",Tableau1[[#This Row],[DESIGNATION]])),"","NEED REF")</f>
        <v/>
      </c>
    </row>
    <row r="10852">
      <c r="B10852" t="n">
        <v>34403154</v>
      </c>
      <c r="C10852" s="2" t="n">
        <v>41295</v>
      </c>
      <c r="D10852" t="inlineStr">
        <is>
          <t>SPEC</t>
        </is>
      </c>
      <c r="E10852" t="inlineStr">
        <is>
          <t>Barre de terre 20x 5 L= 470 mm</t>
        </is>
      </c>
      <c r="F10852" t="inlineStr">
        <is>
          <t>PV BOX THAILANDE POUR SOLAR</t>
        </is>
      </c>
      <c r="J10852" t="inlineStr">
        <is>
          <t>DUBOIS</t>
        </is>
      </c>
      <c r="L10852">
        <f>_xlfn.XLOOKUP(Tableau1[[#This Row],[TYPE DE PIECE]],Tableau4[MATIERE],Tableau4[SHORT TYPE],"",0,1)</f>
        <v/>
      </c>
      <c r="N10852">
        <f>IF(ISERR(FIND("DECOUPE",Tableau1[[#This Row],[DESIGNATION]])),"","NEED REF")</f>
        <v/>
      </c>
    </row>
    <row r="10853">
      <c r="B10853" t="n">
        <v>34403153</v>
      </c>
      <c r="C10853" s="2" t="n">
        <v>41295</v>
      </c>
      <c r="D10853" t="inlineStr">
        <is>
          <t>SPEC</t>
        </is>
      </c>
      <c r="E10853" t="inlineStr">
        <is>
          <t>Barre de terre 15x 5 L= 940 mm</t>
        </is>
      </c>
      <c r="F10853" t="inlineStr">
        <is>
          <t>PV BOX THAILANDE POUR SOLAR</t>
        </is>
      </c>
      <c r="J10853" t="inlineStr">
        <is>
          <t>DUBOIS</t>
        </is>
      </c>
      <c r="L10853">
        <f>_xlfn.XLOOKUP(Tableau1[[#This Row],[TYPE DE PIECE]],Tableau4[MATIERE],Tableau4[SHORT TYPE],"",0,1)</f>
        <v/>
      </c>
      <c r="N10853">
        <f>IF(ISERR(FIND("DECOUPE",Tableau1[[#This Row],[DESIGNATION]])),"","NEED REF")</f>
        <v/>
      </c>
    </row>
    <row r="10854">
      <c r="B10854" t="n">
        <v>34403152</v>
      </c>
      <c r="C10854" s="2" t="n">
        <v>41295</v>
      </c>
      <c r="D10854" t="inlineStr">
        <is>
          <t>SPEC</t>
        </is>
      </c>
      <c r="E10854" t="inlineStr">
        <is>
          <t>Barre de terre 15x 5 L= 330 mm</t>
        </is>
      </c>
      <c r="F10854" t="inlineStr">
        <is>
          <t>PV BOX THAILANDE POUR SOLAR</t>
        </is>
      </c>
      <c r="J10854" t="inlineStr">
        <is>
          <t>DUBOIS</t>
        </is>
      </c>
      <c r="L10854">
        <f>_xlfn.XLOOKUP(Tableau1[[#This Row],[TYPE DE PIECE]],Tableau4[MATIERE],Tableau4[SHORT TYPE],"",0,1)</f>
        <v/>
      </c>
      <c r="N10854">
        <f>IF(ISERR(FIND("DECOUPE",Tableau1[[#This Row],[DESIGNATION]])),"","NEED REF")</f>
        <v/>
      </c>
    </row>
    <row r="10855">
      <c r="B10855" t="n">
        <v>34403151</v>
      </c>
      <c r="C10855" s="2" t="n">
        <v>41291</v>
      </c>
      <c r="D10855" t="inlineStr">
        <is>
          <t>SPEC</t>
        </is>
      </c>
      <c r="E10855" t="inlineStr">
        <is>
          <t>PV BOX THAILAND</t>
        </is>
      </c>
      <c r="F10855" t="inlineStr">
        <is>
          <t>PV BOX THAILANDE POUR SOLAR</t>
        </is>
      </c>
      <c r="J10855" t="inlineStr">
        <is>
          <t>DUBOIS</t>
        </is>
      </c>
      <c r="L10855">
        <f>_xlfn.XLOOKUP(Tableau1[[#This Row],[TYPE DE PIECE]],Tableau4[MATIERE],Tableau4[SHORT TYPE],"",0,1)</f>
        <v/>
      </c>
      <c r="N10855">
        <f>IF(ISERR(FIND("DECOUPE",Tableau1[[#This Row],[DESIGNATION]])),"","NEED REF")</f>
        <v/>
      </c>
    </row>
    <row r="10856">
      <c r="B10856" t="n">
        <v>34403150</v>
      </c>
      <c r="C10856" s="2" t="n">
        <v>41291</v>
      </c>
      <c r="D10856" t="inlineStr">
        <is>
          <t>SPEC</t>
        </is>
      </c>
      <c r="E10856" t="inlineStr">
        <is>
          <t>CAPOT PV BOX</t>
        </is>
      </c>
      <c r="F10856" t="inlineStr">
        <is>
          <t>PV BOX THAILANDE POUR SOLAR</t>
        </is>
      </c>
      <c r="J10856" t="inlineStr">
        <is>
          <t>DUBOIS</t>
        </is>
      </c>
      <c r="L10856">
        <f>_xlfn.XLOOKUP(Tableau1[[#This Row],[TYPE DE PIECE]],Tableau4[MATIERE],Tableau4[SHORT TYPE],"",0,1)</f>
        <v/>
      </c>
      <c r="N10856">
        <f>IF(ISERR(FIND("DECOUPE",Tableau1[[#This Row],[DESIGNATION]])),"","NEED REF")</f>
        <v/>
      </c>
    </row>
    <row r="10857">
      <c r="B10857" t="n">
        <v>34403149</v>
      </c>
      <c r="C10857" s="2" t="n">
        <v>41291</v>
      </c>
      <c r="D10857" t="inlineStr">
        <is>
          <t>SPEC</t>
        </is>
      </c>
      <c r="E10857" t="inlineStr">
        <is>
          <t>EARTHING BAR</t>
        </is>
      </c>
      <c r="F10857" t="inlineStr">
        <is>
          <t>GRID BOX POUR SOLAR</t>
        </is>
      </c>
      <c r="J10857" t="inlineStr">
        <is>
          <t>CIVETTA</t>
        </is>
      </c>
      <c r="L10857">
        <f>_xlfn.XLOOKUP(Tableau1[[#This Row],[TYPE DE PIECE]],Tableau4[MATIERE],Tableau4[SHORT TYPE],"",0,1)</f>
        <v/>
      </c>
      <c r="N10857">
        <f>IF(ISERR(FIND("DECOUPE",Tableau1[[#This Row],[DESIGNATION]])),"","NEED REF")</f>
        <v/>
      </c>
    </row>
    <row r="10858">
      <c r="B10858" t="n">
        <v>34403148</v>
      </c>
      <c r="C10858" s="2" t="n">
        <v>41291</v>
      </c>
      <c r="D10858" t="inlineStr">
        <is>
          <t>SPEC</t>
        </is>
      </c>
      <c r="E10858" t="inlineStr">
        <is>
          <t>EARTHING BAR</t>
        </is>
      </c>
      <c r="F10858" t="inlineStr">
        <is>
          <t>GRID BOX POUR SOLAR</t>
        </is>
      </c>
      <c r="J10858" t="inlineStr">
        <is>
          <t>CIVETTA</t>
        </is>
      </c>
      <c r="L10858">
        <f>_xlfn.XLOOKUP(Tableau1[[#This Row],[TYPE DE PIECE]],Tableau4[MATIERE],Tableau4[SHORT TYPE],"",0,1)</f>
        <v/>
      </c>
      <c r="N10858">
        <f>IF(ISERR(FIND("DECOUPE",Tableau1[[#This Row],[DESIGNATION]])),"","NEED REF")</f>
        <v/>
      </c>
    </row>
    <row r="10859">
      <c r="B10859" t="n">
        <v>34403147</v>
      </c>
      <c r="C10859" s="2" t="n">
        <v>41291</v>
      </c>
      <c r="D10859" t="inlineStr">
        <is>
          <t>SPEC</t>
        </is>
      </c>
      <c r="E10859" t="inlineStr">
        <is>
          <t>EARTHING BAR</t>
        </is>
      </c>
      <c r="F10859" t="inlineStr">
        <is>
          <t>GRID BOX POUR SOLAR</t>
        </is>
      </c>
      <c r="J10859" t="inlineStr">
        <is>
          <t>CIVETTA</t>
        </is>
      </c>
      <c r="L10859">
        <f>_xlfn.XLOOKUP(Tableau1[[#This Row],[TYPE DE PIECE]],Tableau4[MATIERE],Tableau4[SHORT TYPE],"",0,1)</f>
        <v/>
      </c>
      <c r="N10859">
        <f>IF(ISERR(FIND("DECOUPE",Tableau1[[#This Row],[DESIGNATION]])),"","NEED REF")</f>
        <v/>
      </c>
    </row>
    <row r="10860">
      <c r="B10860" t="n">
        <v>34403146</v>
      </c>
      <c r="C10860" s="2" t="n">
        <v>41291</v>
      </c>
      <c r="D10860" t="inlineStr">
        <is>
          <t>SPEC</t>
        </is>
      </c>
      <c r="E10860" t="inlineStr">
        <is>
          <t>DIN RAIL</t>
        </is>
      </c>
      <c r="F10860" t="inlineStr">
        <is>
          <t>GRID BOX POUR SOLAR</t>
        </is>
      </c>
      <c r="J10860" t="inlineStr">
        <is>
          <t>CIVETTA</t>
        </is>
      </c>
      <c r="L10860">
        <f>_xlfn.XLOOKUP(Tableau1[[#This Row],[TYPE DE PIECE]],Tableau4[MATIERE],Tableau4[SHORT TYPE],"",0,1)</f>
        <v/>
      </c>
      <c r="N10860">
        <f>IF(ISERR(FIND("DECOUPE",Tableau1[[#This Row],[DESIGNATION]])),"","NEED REF")</f>
        <v/>
      </c>
    </row>
    <row r="10861">
      <c r="B10861" t="n">
        <v>34403145</v>
      </c>
      <c r="C10861" s="2" t="n">
        <v>41291</v>
      </c>
      <c r="D10861" t="inlineStr">
        <is>
          <t>SPEC</t>
        </is>
      </c>
      <c r="E10861" t="inlineStr">
        <is>
          <t>BASKET TRAY</t>
        </is>
      </c>
      <c r="F10861" t="inlineStr">
        <is>
          <t>GRID BOX POUR SOLAR</t>
        </is>
      </c>
      <c r="J10861" t="inlineStr">
        <is>
          <t>CIVETTA</t>
        </is>
      </c>
      <c r="L10861">
        <f>_xlfn.XLOOKUP(Tableau1[[#This Row],[TYPE DE PIECE]],Tableau4[MATIERE],Tableau4[SHORT TYPE],"",0,1)</f>
        <v/>
      </c>
      <c r="N10861">
        <f>IF(ISERR(FIND("DECOUPE",Tableau1[[#This Row],[DESIGNATION]])),"","NEED REF")</f>
        <v/>
      </c>
    </row>
    <row r="10862">
      <c r="B10862" t="n">
        <v>34403144</v>
      </c>
      <c r="C10862" s="2" t="n">
        <v>41291</v>
      </c>
      <c r="D10862" t="inlineStr">
        <is>
          <t>SPEC</t>
        </is>
      </c>
      <c r="E10862" t="inlineStr">
        <is>
          <t>DIN RAIL</t>
        </is>
      </c>
      <c r="F10862" t="inlineStr">
        <is>
          <t>GRID BOX POUR SOLAR</t>
        </is>
      </c>
      <c r="J10862" t="inlineStr">
        <is>
          <t>CIVETTA</t>
        </is>
      </c>
      <c r="L10862">
        <f>_xlfn.XLOOKUP(Tableau1[[#This Row],[TYPE DE PIECE]],Tableau4[MATIERE],Tableau4[SHORT TYPE],"",0,1)</f>
        <v/>
      </c>
      <c r="N10862">
        <f>IF(ISERR(FIND("DECOUPE",Tableau1[[#This Row],[DESIGNATION]])),"","NEED REF")</f>
        <v/>
      </c>
    </row>
    <row r="10863">
      <c r="B10863" t="n">
        <v>34403143</v>
      </c>
      <c r="C10863" s="2" t="n">
        <v>41291</v>
      </c>
      <c r="D10863" t="inlineStr">
        <is>
          <t>SPEC</t>
        </is>
      </c>
      <c r="E10863" t="inlineStr">
        <is>
          <t>WIRING DUCT</t>
        </is>
      </c>
      <c r="F10863" t="inlineStr">
        <is>
          <t>GRID BOX POUR SOLAR</t>
        </is>
      </c>
      <c r="J10863" t="inlineStr">
        <is>
          <t>CIVETTA</t>
        </is>
      </c>
      <c r="L10863">
        <f>_xlfn.XLOOKUP(Tableau1[[#This Row],[TYPE DE PIECE]],Tableau4[MATIERE],Tableau4[SHORT TYPE],"",0,1)</f>
        <v/>
      </c>
      <c r="N10863">
        <f>IF(ISERR(FIND("DECOUPE",Tableau1[[#This Row],[DESIGNATION]])),"","NEED REF")</f>
        <v/>
      </c>
    </row>
    <row r="10864">
      <c r="B10864" t="n">
        <v>34403142</v>
      </c>
      <c r="C10864" s="2" t="n">
        <v>41291</v>
      </c>
      <c r="D10864" t="inlineStr">
        <is>
          <t>SPEC</t>
        </is>
      </c>
      <c r="E10864" t="inlineStr">
        <is>
          <t>WIRING DUCT</t>
        </is>
      </c>
      <c r="F10864" t="inlineStr">
        <is>
          <t>GRID BOX POUR SOLAR</t>
        </is>
      </c>
      <c r="J10864" t="inlineStr">
        <is>
          <t>CIVETTA</t>
        </is>
      </c>
      <c r="L10864">
        <f>_xlfn.XLOOKUP(Tableau1[[#This Row],[TYPE DE PIECE]],Tableau4[MATIERE],Tableau4[SHORT TYPE],"",0,1)</f>
        <v/>
      </c>
      <c r="N10864">
        <f>IF(ISERR(FIND("DECOUPE",Tableau1[[#This Row],[DESIGNATION]])),"","NEED REF")</f>
        <v/>
      </c>
    </row>
    <row r="10865">
      <c r="B10865" t="n">
        <v>34403141</v>
      </c>
      <c r="C10865" s="2" t="n">
        <v>41291</v>
      </c>
      <c r="D10865" t="inlineStr">
        <is>
          <t>SPEC</t>
        </is>
      </c>
      <c r="E10865" t="inlineStr">
        <is>
          <t>EQUIPED PANEL</t>
        </is>
      </c>
      <c r="F10865" t="inlineStr">
        <is>
          <t>GRID BOX POUR SOLAR</t>
        </is>
      </c>
      <c r="J10865" t="inlineStr">
        <is>
          <t>CIVETTA</t>
        </is>
      </c>
      <c r="L10865">
        <f>_xlfn.XLOOKUP(Tableau1[[#This Row],[TYPE DE PIECE]],Tableau4[MATIERE],Tableau4[SHORT TYPE],"",0,1)</f>
        <v/>
      </c>
      <c r="N10865">
        <f>IF(ISERR(FIND("DECOUPE",Tableau1[[#This Row],[DESIGNATION]])),"","NEED REF")</f>
        <v/>
      </c>
    </row>
    <row r="10866">
      <c r="B10866" t="n">
        <v>34403140</v>
      </c>
      <c r="C10866" s="2" t="n">
        <v>41291</v>
      </c>
      <c r="D10866" t="inlineStr">
        <is>
          <t>SPEC</t>
        </is>
      </c>
      <c r="E10866" t="inlineStr">
        <is>
          <t>GRID BOX THAILAND</t>
        </is>
      </c>
      <c r="F10866" t="inlineStr">
        <is>
          <t>GRID BOX POUR SOLAR</t>
        </is>
      </c>
      <c r="J10866" t="inlineStr">
        <is>
          <t>CIVETTA</t>
        </is>
      </c>
      <c r="L10866">
        <f>_xlfn.XLOOKUP(Tableau1[[#This Row],[TYPE DE PIECE]],Tableau4[MATIERE],Tableau4[SHORT TYPE],"",0,1)</f>
        <v/>
      </c>
      <c r="N10866">
        <f>IF(ISERR(FIND("DECOUPE",Tableau1[[#This Row],[DESIGNATION]])),"","NEED REF")</f>
        <v/>
      </c>
    </row>
    <row r="10867">
      <c r="B10867" t="n">
        <v>34403139</v>
      </c>
      <c r="C10867" s="2" t="n">
        <v>41290</v>
      </c>
      <c r="D10867" t="inlineStr">
        <is>
          <t>SPEC</t>
        </is>
      </c>
      <c r="E10867" t="inlineStr">
        <is>
          <t>CAPOT FOLTRE GRID BOX</t>
        </is>
      </c>
      <c r="F10867" t="inlineStr">
        <is>
          <t>GRID BOX POUR SOLAR</t>
        </is>
      </c>
      <c r="J10867" t="inlineStr">
        <is>
          <t>CIVETTA</t>
        </is>
      </c>
      <c r="L10867">
        <f>_xlfn.XLOOKUP(Tableau1[[#This Row],[TYPE DE PIECE]],Tableau4[MATIERE],Tableau4[SHORT TYPE],"",0,1)</f>
        <v/>
      </c>
      <c r="N10867">
        <f>IF(ISERR(FIND("DECOUPE",Tableau1[[#This Row],[DESIGNATION]])),"","NEED REF")</f>
        <v/>
      </c>
    </row>
    <row r="10868">
      <c r="B10868" t="n">
        <v>34403138</v>
      </c>
      <c r="C10868" s="2" t="n">
        <v>41290</v>
      </c>
      <c r="D10868" t="inlineStr">
        <is>
          <t>SPEC</t>
        </is>
      </c>
      <c r="E10868" t="inlineStr">
        <is>
          <t>PLATINE GRID BOX</t>
        </is>
      </c>
      <c r="F10868" t="inlineStr">
        <is>
          <t>GRID BOX POUR SOLAR</t>
        </is>
      </c>
      <c r="J10868" t="inlineStr">
        <is>
          <t>CIVETTA</t>
        </is>
      </c>
      <c r="L10868">
        <f>_xlfn.XLOOKUP(Tableau1[[#This Row],[TYPE DE PIECE]],Tableau4[MATIERE],Tableau4[SHORT TYPE],"",0,1)</f>
        <v/>
      </c>
      <c r="N10868">
        <f>IF(ISERR(FIND("DECOUPE",Tableau1[[#This Row],[DESIGNATION]])),"","NEED REF")</f>
        <v/>
      </c>
    </row>
    <row r="10869">
      <c r="B10869" t="n">
        <v>34403137</v>
      </c>
      <c r="C10869" s="2" t="n">
        <v>41290</v>
      </c>
      <c r="D10869" t="inlineStr">
        <is>
          <t>SPEC</t>
        </is>
      </c>
      <c r="E10869" t="inlineStr">
        <is>
          <t>PLATINE PV BOX THAILANDE</t>
        </is>
      </c>
      <c r="F10869" t="inlineStr">
        <is>
          <t>PV BOX THAILANDE POUR SOLAR</t>
        </is>
      </c>
      <c r="J10869" t="inlineStr">
        <is>
          <t>DUBOIS</t>
        </is>
      </c>
      <c r="L10869">
        <f>_xlfn.XLOOKUP(Tableau1[[#This Row],[TYPE DE PIECE]],Tableau4[MATIERE],Tableau4[SHORT TYPE],"",0,1)</f>
        <v/>
      </c>
      <c r="N10869">
        <f>IF(ISERR(FIND("DECOUPE",Tableau1[[#This Row],[DESIGNATION]])),"","NEED REF")</f>
        <v/>
      </c>
    </row>
    <row r="10870">
      <c r="B10870" t="n">
        <v>34403136</v>
      </c>
      <c r="C10870" s="2" t="n">
        <v>41290</v>
      </c>
      <c r="D10870" t="inlineStr">
        <is>
          <t>SPEC</t>
        </is>
      </c>
      <c r="E10870" t="inlineStr">
        <is>
          <t>COPPER BAR JONCTION INS400/INS250 L1/L2</t>
        </is>
      </c>
      <c r="F10870" t="inlineStr">
        <is>
          <t>PROJECT BYPASS 160kVA APC</t>
        </is>
      </c>
      <c r="J10870" t="inlineStr">
        <is>
          <t>MATRION</t>
        </is>
      </c>
      <c r="L10870">
        <f>_xlfn.XLOOKUP(Tableau1[[#This Row],[TYPE DE PIECE]],Tableau4[MATIERE],Tableau4[SHORT TYPE],"",0,1)</f>
        <v/>
      </c>
      <c r="N10870">
        <f>IF(ISERR(FIND("DECOUPE",Tableau1[[#This Row],[DESIGNATION]])),"","NEED REF")</f>
        <v/>
      </c>
    </row>
    <row r="10871">
      <c r="B10871" t="n">
        <v>34403135</v>
      </c>
      <c r="C10871" s="2" t="n">
        <v>41290</v>
      </c>
      <c r="D10871" t="inlineStr">
        <is>
          <t>SPEC</t>
        </is>
      </c>
      <c r="E10871" t="inlineStr">
        <is>
          <t>COPPER BAR JONCTION INS400/INS250 N/L3</t>
        </is>
      </c>
      <c r="F10871" t="inlineStr">
        <is>
          <t>PROJECT BYPASS 160kVA APC</t>
        </is>
      </c>
      <c r="J10871" t="inlineStr">
        <is>
          <t>MATRION</t>
        </is>
      </c>
      <c r="L10871">
        <f>_xlfn.XLOOKUP(Tableau1[[#This Row],[TYPE DE PIECE]],Tableau4[MATIERE],Tableau4[SHORT TYPE],"",0,1)</f>
        <v/>
      </c>
      <c r="N10871">
        <f>IF(ISERR(FIND("DECOUPE",Tableau1[[#This Row],[DESIGNATION]])),"","NEED REF")</f>
        <v/>
      </c>
    </row>
    <row r="10872">
      <c r="B10872" t="n">
        <v>34403134</v>
      </c>
      <c r="C10872" s="2" t="n">
        <v>41289</v>
      </c>
      <c r="D10872" t="inlineStr">
        <is>
          <t>SPEC</t>
        </is>
      </c>
      <c r="E10872" t="inlineStr">
        <is>
          <t>FILERIE GRID BOX</t>
        </is>
      </c>
      <c r="F10872" t="inlineStr">
        <is>
          <t>GRID BOX POUR SOLAR</t>
        </is>
      </c>
      <c r="J10872" t="inlineStr">
        <is>
          <t>CAKIR</t>
        </is>
      </c>
      <c r="L10872">
        <f>_xlfn.XLOOKUP(Tableau1[[#This Row],[TYPE DE PIECE]],Tableau4[MATIERE],Tableau4[SHORT TYPE],"",0,1)</f>
        <v/>
      </c>
      <c r="N10872">
        <f>IF(ISERR(FIND("DECOUPE",Tableau1[[#This Row],[DESIGNATION]])),"","NEED REF")</f>
        <v/>
      </c>
    </row>
    <row r="10873">
      <c r="B10873" t="n">
        <v>34403133</v>
      </c>
      <c r="C10873" s="2" t="n">
        <v>41289</v>
      </c>
      <c r="D10873" t="inlineStr">
        <is>
          <t>SPEC</t>
        </is>
      </c>
      <c r="E10873" t="inlineStr">
        <is>
          <t>FILERIE PV BOX THAILANDE</t>
        </is>
      </c>
      <c r="F10873" t="inlineStr">
        <is>
          <t>PV BOX THAILANDE POUR SOLAR</t>
        </is>
      </c>
      <c r="J10873" t="inlineStr">
        <is>
          <t>DUBOIS</t>
        </is>
      </c>
      <c r="L10873">
        <f>_xlfn.XLOOKUP(Tableau1[[#This Row],[TYPE DE PIECE]],Tableau4[MATIERE],Tableau4[SHORT TYPE],"",0,1)</f>
        <v/>
      </c>
      <c r="N10873">
        <f>IF(ISERR(FIND("DECOUPE",Tableau1[[#This Row],[DESIGNATION]])),"","NEED REF")</f>
        <v/>
      </c>
    </row>
    <row r="10874">
      <c r="B10874" t="n">
        <v>34403132</v>
      </c>
      <c r="C10874" s="2" t="n">
        <v>41285</v>
      </c>
      <c r="D10874" t="inlineStr">
        <is>
          <t>SPEC</t>
        </is>
      </c>
      <c r="E10874" t="inlineStr">
        <is>
          <t>BACK PANEL HOLES iC60N RACK 2U</t>
        </is>
      </c>
      <c r="F10874" t="inlineStr">
        <is>
          <t>RACK 2U C60N</t>
        </is>
      </c>
      <c r="J10874" t="inlineStr">
        <is>
          <t>MATRION</t>
        </is>
      </c>
      <c r="L10874">
        <f>_xlfn.XLOOKUP(Tableau1[[#This Row],[TYPE DE PIECE]],Tableau4[MATIERE],Tableau4[SHORT TYPE],"",0,1)</f>
        <v/>
      </c>
      <c r="N10874">
        <f>IF(ISERR(FIND("DECOUPE",Tableau1[[#This Row],[DESIGNATION]])),"","NEED REF")</f>
        <v/>
      </c>
    </row>
    <row r="10875">
      <c r="B10875" t="n">
        <v>34403131</v>
      </c>
      <c r="C10875" s="2" t="n">
        <v>41285</v>
      </c>
      <c r="D10875" t="inlineStr">
        <is>
          <t>SPEC</t>
        </is>
      </c>
      <c r="E10875" t="inlineStr">
        <is>
          <t>SIDE PANEL CUT iC60N RACK 2U</t>
        </is>
      </c>
      <c r="F10875" t="inlineStr">
        <is>
          <t>RACK 2U C60N</t>
        </is>
      </c>
      <c r="J10875" t="inlineStr">
        <is>
          <t>MATRION</t>
        </is>
      </c>
      <c r="L10875">
        <f>_xlfn.XLOOKUP(Tableau1[[#This Row],[TYPE DE PIECE]],Tableau4[MATIERE],Tableau4[SHORT TYPE],"",0,1)</f>
        <v/>
      </c>
      <c r="N10875">
        <f>IF(ISERR(FIND("DECOUPE",Tableau1[[#This Row],[DESIGNATION]])),"","NEED REF")</f>
        <v/>
      </c>
    </row>
    <row r="10876">
      <c r="B10876" t="n">
        <v>34403130</v>
      </c>
      <c r="C10876" s="2" t="n">
        <v>41285</v>
      </c>
      <c r="D10876" t="inlineStr">
        <is>
          <t>SPEC</t>
        </is>
      </c>
      <c r="E10876" t="inlineStr">
        <is>
          <t>FRONT PANEL CUT iC60N RACK 2U</t>
        </is>
      </c>
      <c r="F10876" t="inlineStr">
        <is>
          <t>RACK 2U C60N</t>
        </is>
      </c>
      <c r="J10876" t="inlineStr">
        <is>
          <t>MATRION</t>
        </is>
      </c>
      <c r="L10876">
        <f>_xlfn.XLOOKUP(Tableau1[[#This Row],[TYPE DE PIECE]],Tableau4[MATIERE],Tableau4[SHORT TYPE],"",0,1)</f>
        <v/>
      </c>
      <c r="N10876">
        <f>IF(ISERR(FIND("DECOUPE",Tableau1[[#This Row],[DESIGNATION]])),"","NEED REF")</f>
        <v/>
      </c>
    </row>
    <row r="10877">
      <c r="B10877" t="n">
        <v>34403129</v>
      </c>
      <c r="C10877" s="2" t="n">
        <v>41285</v>
      </c>
      <c r="D10877" t="inlineStr">
        <is>
          <t>SPEC</t>
        </is>
      </c>
      <c r="E10877" t="inlineStr">
        <is>
          <t>SUPPORT iC60N RACK 2U</t>
        </is>
      </c>
      <c r="F10877" t="inlineStr">
        <is>
          <t>RACK 2U C60N</t>
        </is>
      </c>
      <c r="J10877" t="inlineStr">
        <is>
          <t>MATRION</t>
        </is>
      </c>
      <c r="L10877">
        <f>_xlfn.XLOOKUP(Tableau1[[#This Row],[TYPE DE PIECE]],Tableau4[MATIERE],Tableau4[SHORT TYPE],"",0,1)</f>
        <v/>
      </c>
      <c r="N10877">
        <f>IF(ISERR(FIND("DECOUPE",Tableau1[[#This Row],[DESIGNATION]])),"","NEED REF")</f>
        <v/>
      </c>
    </row>
    <row r="10878">
      <c r="B10878" t="n">
        <v>34403128</v>
      </c>
      <c r="C10878" s="2" t="n">
        <v>41261</v>
      </c>
      <c r="D10878" t="inlineStr">
        <is>
          <t>SPEC</t>
        </is>
      </c>
      <c r="E10878" t="inlineStr">
        <is>
          <t>SPEC FILERIE SCHEMA ARRIV PDPM277H</t>
        </is>
      </c>
      <c r="F10878" t="inlineStr">
        <is>
          <t>PMM PDU</t>
        </is>
      </c>
      <c r="J10878" t="inlineStr">
        <is>
          <t>TCHEWEMO</t>
        </is>
      </c>
      <c r="L10878">
        <f>_xlfn.XLOOKUP(Tableau1[[#This Row],[TYPE DE PIECE]],Tableau4[MATIERE],Tableau4[SHORT TYPE],"",0,1)</f>
        <v/>
      </c>
      <c r="N10878">
        <f>IF(ISERR(FIND("DECOUPE",Tableau1[[#This Row],[DESIGNATION]])),"","NEED REF")</f>
        <v/>
      </c>
    </row>
    <row r="10879">
      <c r="B10879" t="n">
        <v>34403127</v>
      </c>
      <c r="C10879" s="2" t="n">
        <v>41260</v>
      </c>
      <c r="D10879" t="inlineStr">
        <is>
          <t>NOM</t>
        </is>
      </c>
      <c r="E10879" t="inlineStr">
        <is>
          <t>ETO HOUSING FINISHING CUBICLE WIDTH=700</t>
        </is>
      </c>
      <c r="J10879" t="inlineStr">
        <is>
          <t>ROBERT</t>
        </is>
      </c>
      <c r="L10879">
        <f>_xlfn.XLOOKUP(Tableau1[[#This Row],[TYPE DE PIECE]],Tableau4[MATIERE],Tableau4[SHORT TYPE],"",0,1)</f>
        <v/>
      </c>
      <c r="N10879">
        <f>IF(ISERR(FIND("DECOUPE",Tableau1[[#This Row],[DESIGNATION]])),"","NEED REF")</f>
        <v/>
      </c>
    </row>
    <row r="10880">
      <c r="B10880" t="n">
        <v>34403126</v>
      </c>
      <c r="C10880" s="2" t="n">
        <v>41255</v>
      </c>
      <c r="D10880" t="inlineStr">
        <is>
          <t>SPEC</t>
        </is>
      </c>
      <c r="E10880" t="inlineStr">
        <is>
          <t>PLATINE NETSHELTER SEGREGATION 10U</t>
        </is>
      </c>
      <c r="L10880">
        <f>_xlfn.XLOOKUP(Tableau1[[#This Row],[TYPE DE PIECE]],Tableau4[MATIERE],Tableau4[SHORT TYPE],"",0,1)</f>
        <v/>
      </c>
      <c r="N10880">
        <f>IF(ISERR(FIND("DECOUPE",Tableau1[[#This Row],[DESIGNATION]])),"","NEED REF")</f>
        <v/>
      </c>
    </row>
    <row r="10881">
      <c r="B10881" t="n">
        <v>34403125</v>
      </c>
      <c r="C10881" s="2" t="n">
        <v>41255</v>
      </c>
      <c r="D10881" t="inlineStr">
        <is>
          <t>SPEC</t>
        </is>
      </c>
      <c r="E10881" t="inlineStr">
        <is>
          <t>PLATINE NETSHELTER SEGREGATION 12U</t>
        </is>
      </c>
      <c r="L10881">
        <f>_xlfn.XLOOKUP(Tableau1[[#This Row],[TYPE DE PIECE]],Tableau4[MATIERE],Tableau4[SHORT TYPE],"",0,1)</f>
        <v/>
      </c>
      <c r="N10881">
        <f>IF(ISERR(FIND("DECOUPE",Tableau1[[#This Row],[DESIGNATION]])),"","NEED REF")</f>
        <v/>
      </c>
    </row>
    <row r="10882">
      <c r="B10882" t="n">
        <v>34403124</v>
      </c>
      <c r="C10882" s="2" t="n">
        <v>41255</v>
      </c>
      <c r="D10882" t="inlineStr">
        <is>
          <t>SPEC</t>
        </is>
      </c>
      <c r="E10882" t="inlineStr">
        <is>
          <t>PLATINE NETSHELTER SUPPORT 2xJDB 630A</t>
        </is>
      </c>
      <c r="L10882">
        <f>_xlfn.XLOOKUP(Tableau1[[#This Row],[TYPE DE PIECE]],Tableau4[MATIERE],Tableau4[SHORT TYPE],"",0,1)</f>
        <v/>
      </c>
      <c r="N10882">
        <f>IF(ISERR(FIND("DECOUPE",Tableau1[[#This Row],[DESIGNATION]])),"","NEED REF")</f>
        <v/>
      </c>
    </row>
    <row r="10883">
      <c r="B10883" t="n">
        <v>34403123</v>
      </c>
      <c r="C10883" s="2" t="n">
        <v>41249</v>
      </c>
      <c r="D10883" t="inlineStr">
        <is>
          <t>SPEC</t>
        </is>
      </c>
      <c r="E10883" t="inlineStr">
        <is>
          <t>S/E PLATINE NETSHELTER SEGREGATION</t>
        </is>
      </c>
      <c r="F10883" t="inlineStr">
        <is>
          <t>A DELETE</t>
        </is>
      </c>
      <c r="L10883">
        <f>_xlfn.XLOOKUP(Tableau1[[#This Row],[TYPE DE PIECE]],Tableau4[MATIERE],Tableau4[SHORT TYPE],"",0,1)</f>
        <v/>
      </c>
      <c r="N10883">
        <f>IF(ISERR(FIND("DECOUPE",Tableau1[[#This Row],[DESIGNATION]])),"","NEED REF")</f>
        <v/>
      </c>
    </row>
    <row r="10884">
      <c r="B10884" t="n">
        <v>34403122</v>
      </c>
      <c r="C10884" s="2" t="n">
        <v>41249</v>
      </c>
      <c r="D10884" t="inlineStr">
        <is>
          <t>SPEC</t>
        </is>
      </c>
      <c r="E10884" t="inlineStr">
        <is>
          <t>PLATINE 1NSX250</t>
        </is>
      </c>
      <c r="L10884">
        <f>_xlfn.XLOOKUP(Tableau1[[#This Row],[TYPE DE PIECE]],Tableau4[MATIERE],Tableau4[SHORT TYPE],"",0,1)</f>
        <v/>
      </c>
      <c r="N10884">
        <f>IF(ISERR(FIND("DECOUPE",Tableau1[[#This Row],[DESIGNATION]])),"","NEED REF")</f>
        <v/>
      </c>
    </row>
    <row r="10885">
      <c r="B10885" t="n">
        <v>34403121</v>
      </c>
      <c r="C10885" s="2" t="n">
        <v>41249</v>
      </c>
      <c r="D10885" t="inlineStr">
        <is>
          <t>SPEC</t>
        </is>
      </c>
      <c r="E10885" t="inlineStr">
        <is>
          <t>MONTANT SAREL NETSHELTER</t>
        </is>
      </c>
      <c r="L10885">
        <f>_xlfn.XLOOKUP(Tableau1[[#This Row],[TYPE DE PIECE]],Tableau4[MATIERE],Tableau4[SHORT TYPE],"",0,1)</f>
        <v/>
      </c>
      <c r="N10885">
        <f>IF(ISERR(FIND("DECOUPE",Tableau1[[#This Row],[DESIGNATION]])),"","NEED REF")</f>
        <v/>
      </c>
    </row>
    <row r="10886">
      <c r="B10886" t="n">
        <v>34403120</v>
      </c>
      <c r="C10886" s="2" t="n">
        <v>41249</v>
      </c>
      <c r="D10886" t="inlineStr">
        <is>
          <t>NOM</t>
        </is>
      </c>
      <c r="E10886" t="inlineStr">
        <is>
          <t>S/E PLATINE NETSHELTER SUPPORT 2xJDB 630A</t>
        </is>
      </c>
      <c r="L10886">
        <f>_xlfn.XLOOKUP(Tableau1[[#This Row],[TYPE DE PIECE]],Tableau4[MATIERE],Tableau4[SHORT TYPE],"",0,1)</f>
        <v/>
      </c>
      <c r="N10886">
        <f>IF(ISERR(FIND("DECOUPE",Tableau1[[#This Row],[DESIGNATION]])),"","NEED REF")</f>
        <v/>
      </c>
    </row>
    <row r="10887">
      <c r="B10887" t="n">
        <v>34403119</v>
      </c>
      <c r="C10887" s="2" t="n">
        <v>41249</v>
      </c>
      <c r="D10887" t="inlineStr">
        <is>
          <t>SPEC</t>
        </is>
      </c>
      <c r="E10887" t="inlineStr">
        <is>
          <t>PLATINE NETSHELTER SUPPORT 2xJDB 630A</t>
        </is>
      </c>
      <c r="F10887" t="inlineStr">
        <is>
          <t>A DELETE</t>
        </is>
      </c>
      <c r="L10887">
        <f>_xlfn.XLOOKUP(Tableau1[[#This Row],[TYPE DE PIECE]],Tableau4[MATIERE],Tableau4[SHORT TYPE],"",0,1)</f>
        <v/>
      </c>
      <c r="N10887">
        <f>IF(ISERR(FIND("DECOUPE",Tableau1[[#This Row],[DESIGNATION]])),"","NEED REF")</f>
        <v/>
      </c>
    </row>
    <row r="10888">
      <c r="B10888" t="n">
        <v>34403118</v>
      </c>
      <c r="C10888" s="2" t="n">
        <v>41249</v>
      </c>
      <c r="D10888" t="inlineStr">
        <is>
          <t>SPEC</t>
        </is>
      </c>
      <c r="E10888" t="inlineStr">
        <is>
          <t>PLASTRON NETSHEILTER 4U+1INS250+1NSX250</t>
        </is>
      </c>
      <c r="L10888">
        <f>_xlfn.XLOOKUP(Tableau1[[#This Row],[TYPE DE PIECE]],Tableau4[MATIERE],Tableau4[SHORT TYPE],"",0,1)</f>
        <v/>
      </c>
      <c r="N10888">
        <f>IF(ISERR(FIND("DECOUPE",Tableau1[[#This Row],[DESIGNATION]])),"","NEED REF")</f>
        <v/>
      </c>
    </row>
    <row r="10889">
      <c r="B10889" t="n">
        <v>34403117</v>
      </c>
      <c r="C10889" s="2" t="n">
        <v>41249</v>
      </c>
      <c r="D10889" t="inlineStr">
        <is>
          <t>SPEC</t>
        </is>
      </c>
      <c r="E10889" t="inlineStr">
        <is>
          <t>PLASTRON NETSHEILTER 8U+1NSX400</t>
        </is>
      </c>
      <c r="L10889">
        <f>_xlfn.XLOOKUP(Tableau1[[#This Row],[TYPE DE PIECE]],Tableau4[MATIERE],Tableau4[SHORT TYPE],"",0,1)</f>
        <v/>
      </c>
      <c r="N10889">
        <f>IF(ISERR(FIND("DECOUPE",Tableau1[[#This Row],[DESIGNATION]])),"","NEED REF")</f>
        <v/>
      </c>
    </row>
    <row r="10890">
      <c r="B10890" t="n">
        <v>34403116</v>
      </c>
      <c r="C10890" s="2" t="n">
        <v>41249</v>
      </c>
      <c r="D10890" t="inlineStr">
        <is>
          <t>SPEC</t>
        </is>
      </c>
      <c r="E10890" t="inlineStr">
        <is>
          <t>PLASTRON NETSHEILTER 4U+FU+2xLIGHT</t>
        </is>
      </c>
      <c r="L10890">
        <f>_xlfn.XLOOKUP(Tableau1[[#This Row],[TYPE DE PIECE]],Tableau4[MATIERE],Tableau4[SHORT TYPE],"",0,1)</f>
        <v/>
      </c>
      <c r="N10890">
        <f>IF(ISERR(FIND("DECOUPE",Tableau1[[#This Row],[DESIGNATION]])),"","NEED REF")</f>
        <v/>
      </c>
    </row>
    <row r="10891">
      <c r="B10891" t="n">
        <v>34403115</v>
      </c>
      <c r="C10891" s="2" t="n">
        <v>41246</v>
      </c>
      <c r="D10891" t="inlineStr">
        <is>
          <t>NOM</t>
        </is>
      </c>
      <c r="E10891" t="inlineStr">
        <is>
          <t>NOM S/A 2xJDB 630A</t>
        </is>
      </c>
      <c r="F10891" t="inlineStr">
        <is>
          <t>ALL</t>
        </is>
      </c>
      <c r="J10891" t="inlineStr">
        <is>
          <t>MATRION</t>
        </is>
      </c>
      <c r="L10891">
        <f>_xlfn.XLOOKUP(Tableau1[[#This Row],[TYPE DE PIECE]],Tableau4[MATIERE],Tableau4[SHORT TYPE],"",0,1)</f>
        <v/>
      </c>
      <c r="N10891">
        <f>IF(ISERR(FIND("DECOUPE",Tableau1[[#This Row],[DESIGNATION]])),"","NEED REF")</f>
        <v/>
      </c>
    </row>
    <row r="10892">
      <c r="B10892" t="n">
        <v>34403114</v>
      </c>
      <c r="C10892" s="2" t="n">
        <v>41246</v>
      </c>
      <c r="D10892" t="inlineStr">
        <is>
          <t>SPEC</t>
        </is>
      </c>
      <c r="E10892" t="inlineStr">
        <is>
          <t>JOINTING BUSBAR PH2</t>
        </is>
      </c>
      <c r="F10892" t="inlineStr">
        <is>
          <t>BDF</t>
        </is>
      </c>
      <c r="J10892" t="inlineStr">
        <is>
          <t>REVEL</t>
        </is>
      </c>
      <c r="L10892">
        <f>_xlfn.XLOOKUP(Tableau1[[#This Row],[TYPE DE PIECE]],Tableau4[MATIERE],Tableau4[SHORT TYPE],"",0,1)</f>
        <v/>
      </c>
      <c r="N10892">
        <f>IF(ISERR(FIND("DECOUPE",Tableau1[[#This Row],[DESIGNATION]])),"","NEED REF")</f>
        <v/>
      </c>
    </row>
    <row r="10893">
      <c r="B10893" t="n">
        <v>34403113</v>
      </c>
      <c r="C10893" s="2" t="n">
        <v>41246</v>
      </c>
      <c r="D10893" t="inlineStr">
        <is>
          <t>SPEC</t>
        </is>
      </c>
      <c r="E10893" t="inlineStr">
        <is>
          <t>Plastron h=300 1xNSX400 Birdy l=712</t>
        </is>
      </c>
      <c r="F10893" t="inlineStr">
        <is>
          <t>ALL</t>
        </is>
      </c>
      <c r="J10893" t="inlineStr">
        <is>
          <t>MATRION</t>
        </is>
      </c>
      <c r="L10893">
        <f>_xlfn.XLOOKUP(Tableau1[[#This Row],[TYPE DE PIECE]],Tableau4[MATIERE],Tableau4[SHORT TYPE],"",0,1)</f>
        <v/>
      </c>
      <c r="N10893">
        <f>IF(ISERR(FIND("DECOUPE",Tableau1[[#This Row],[DESIGNATION]])),"","NEED REF")</f>
        <v/>
      </c>
    </row>
    <row r="10894">
      <c r="B10894" t="n">
        <v>34403112</v>
      </c>
      <c r="C10894" s="2" t="n">
        <v>41246</v>
      </c>
      <c r="D10894" t="inlineStr">
        <is>
          <t>SPEC</t>
        </is>
      </c>
      <c r="E10894" t="inlineStr">
        <is>
          <t>Plastron h=300 3xINS400 Birdy l=712</t>
        </is>
      </c>
      <c r="F10894" t="inlineStr">
        <is>
          <t>ALL</t>
        </is>
      </c>
      <c r="J10894" t="inlineStr">
        <is>
          <t>MATRION</t>
        </is>
      </c>
      <c r="L10894">
        <f>_xlfn.XLOOKUP(Tableau1[[#This Row],[TYPE DE PIECE]],Tableau4[MATIERE],Tableau4[SHORT TYPE],"",0,1)</f>
        <v/>
      </c>
      <c r="N10894">
        <f>IF(ISERR(FIND("DECOUPE",Tableau1[[#This Row],[DESIGNATION]])),"","NEED REF")</f>
        <v/>
      </c>
    </row>
    <row r="10895">
      <c r="B10895" t="n">
        <v>34403111</v>
      </c>
      <c r="C10895" s="2" t="n">
        <v>41243</v>
      </c>
      <c r="D10895" t="inlineStr">
        <is>
          <t>SPEC</t>
        </is>
      </c>
      <c r="E10895" t="inlineStr">
        <is>
          <t>Plastron h=100 plein  pour Birdy l=712</t>
        </is>
      </c>
      <c r="F10895" t="inlineStr">
        <is>
          <t>ALL</t>
        </is>
      </c>
      <c r="J10895" t="inlineStr">
        <is>
          <t>MATRION</t>
        </is>
      </c>
      <c r="L10895">
        <f>_xlfn.XLOOKUP(Tableau1[[#This Row],[TYPE DE PIECE]],Tableau4[MATIERE],Tableau4[SHORT TYPE],"",0,1)</f>
        <v/>
      </c>
      <c r="N10895">
        <f>IF(ISERR(FIND("DECOUPE",Tableau1[[#This Row],[DESIGNATION]])),"","NEED REF")</f>
        <v/>
      </c>
    </row>
    <row r="10896">
      <c r="B10896" t="n">
        <v>34403110</v>
      </c>
      <c r="C10896" s="2" t="n">
        <v>41243</v>
      </c>
      <c r="D10896" t="inlineStr">
        <is>
          <t>NOM</t>
        </is>
      </c>
      <c r="E10896" t="inlineStr">
        <is>
          <t>COMMON FRAME FOR BYPASS+TFO G5K 712</t>
        </is>
      </c>
      <c r="F10896" t="inlineStr">
        <is>
          <t>ALL</t>
        </is>
      </c>
      <c r="J10896" t="inlineStr">
        <is>
          <t>MATRION</t>
        </is>
      </c>
      <c r="L10896">
        <f>_xlfn.XLOOKUP(Tableau1[[#This Row],[TYPE DE PIECE]],Tableau4[MATIERE],Tableau4[SHORT TYPE],"",0,1)</f>
        <v/>
      </c>
      <c r="N10896">
        <f>IF(ISERR(FIND("DECOUPE",Tableau1[[#This Row],[DESIGNATION]])),"","NEED REF")</f>
        <v/>
      </c>
    </row>
    <row r="10897">
      <c r="B10897" t="n">
        <v>34403109</v>
      </c>
      <c r="C10897" s="2" t="n">
        <v>41243</v>
      </c>
      <c r="D10897" t="inlineStr">
        <is>
          <t>SPEC</t>
        </is>
      </c>
      <c r="E10897" t="inlineStr">
        <is>
          <t>LOT ETIQUETTE DILOPHANE ADHESIVE PMM NIGERIA pour 72 Départs</t>
        </is>
      </c>
      <c r="F10897" t="inlineStr">
        <is>
          <t>PMM NIGERIA</t>
        </is>
      </c>
      <c r="J10897" t="inlineStr">
        <is>
          <t>MONGELLI</t>
        </is>
      </c>
      <c r="L10897">
        <f>_xlfn.XLOOKUP(Tableau1[[#This Row],[TYPE DE PIECE]],Tableau4[MATIERE],Tableau4[SHORT TYPE],"",0,1)</f>
        <v/>
      </c>
      <c r="N10897">
        <f>IF(ISERR(FIND("DECOUPE",Tableau1[[#This Row],[DESIGNATION]])),"","NEED REF")</f>
        <v/>
      </c>
    </row>
    <row r="10898">
      <c r="B10898" t="n">
        <v>34403108</v>
      </c>
      <c r="C10898" s="2" t="n">
        <v>41227</v>
      </c>
      <c r="D10898" t="inlineStr">
        <is>
          <t>SPEC</t>
        </is>
      </c>
      <c r="E10898" t="inlineStr">
        <is>
          <t>BARETTES FIXATION TI VARIANTE N°2</t>
        </is>
      </c>
      <c r="J10898" t="inlineStr">
        <is>
          <t>ROBERT</t>
        </is>
      </c>
      <c r="L10898">
        <f>_xlfn.XLOOKUP(Tableau1[[#This Row],[TYPE DE PIECE]],Tableau4[MATIERE],Tableau4[SHORT TYPE],"",0,1)</f>
        <v/>
      </c>
      <c r="N10898">
        <f>IF(ISERR(FIND("DECOUPE",Tableau1[[#This Row],[DESIGNATION]])),"","NEED REF")</f>
        <v/>
      </c>
    </row>
    <row r="10899">
      <c r="B10899" t="n">
        <v>34403107</v>
      </c>
      <c r="C10899" s="2" t="n">
        <v>41227</v>
      </c>
      <c r="D10899" t="inlineStr">
        <is>
          <t>SPEC</t>
        </is>
      </c>
      <c r="E10899" t="inlineStr">
        <is>
          <t>BARETTES FIXATION TI VARIANTE N°1</t>
        </is>
      </c>
      <c r="J10899" t="inlineStr">
        <is>
          <t>ROBERT</t>
        </is>
      </c>
      <c r="L10899">
        <f>_xlfn.XLOOKUP(Tableau1[[#This Row],[TYPE DE PIECE]],Tableau4[MATIERE],Tableau4[SHORT TYPE],"",0,1)</f>
        <v/>
      </c>
      <c r="N10899">
        <f>IF(ISERR(FIND("DECOUPE",Tableau1[[#This Row],[DESIGNATION]])),"","NEED REF")</f>
        <v/>
      </c>
    </row>
    <row r="10900">
      <c r="B10900" t="n">
        <v>34403106</v>
      </c>
      <c r="C10900" s="2" t="n">
        <v>41226</v>
      </c>
      <c r="D10900" t="inlineStr">
        <is>
          <t>SPEC</t>
        </is>
      </c>
      <c r="E10900" t="inlineStr">
        <is>
          <t>BIRDY CABINET 1000x800x1900 WITH TFO INNER FRAME</t>
        </is>
      </c>
      <c r="J10900" t="inlineStr">
        <is>
          <t>CIVETTA</t>
        </is>
      </c>
      <c r="L10900">
        <f>_xlfn.XLOOKUP(Tableau1[[#This Row],[TYPE DE PIECE]],Tableau4[MATIERE],Tableau4[SHORT TYPE],"",0,1)</f>
        <v/>
      </c>
      <c r="N10900">
        <f>IF(ISERR(FIND("DECOUPE",Tableau1[[#This Row],[DESIGNATION]])),"","NEED REF")</f>
        <v/>
      </c>
    </row>
    <row r="10901">
      <c r="B10901" t="n">
        <v>34403105</v>
      </c>
      <c r="C10901" s="2" t="n">
        <v>41226</v>
      </c>
      <c r="D10901" t="inlineStr">
        <is>
          <t>SPEC</t>
        </is>
      </c>
      <c r="E10901" t="inlineStr">
        <is>
          <t>BIRDY CABINET 700x800x1900 WITH TFO INNER FRAME</t>
        </is>
      </c>
      <c r="J10901" t="inlineStr">
        <is>
          <t>CIVETTA</t>
        </is>
      </c>
      <c r="L10901">
        <f>_xlfn.XLOOKUP(Tableau1[[#This Row],[TYPE DE PIECE]],Tableau4[MATIERE],Tableau4[SHORT TYPE],"",0,1)</f>
        <v/>
      </c>
      <c r="N10901">
        <f>IF(ISERR(FIND("DECOUPE",Tableau1[[#This Row],[DESIGNATION]])),"","NEED REF")</f>
        <v/>
      </c>
    </row>
    <row r="10902">
      <c r="B10902" t="n">
        <v>34403104</v>
      </c>
      <c r="C10902" s="2" t="n">
        <v>41226</v>
      </c>
      <c r="D10902" t="inlineStr">
        <is>
          <t>SPEC</t>
        </is>
      </c>
      <c r="E10902" t="inlineStr">
        <is>
          <t>BIRDY CABINET 400x800x1900 WITH TFO INNER FRAME</t>
        </is>
      </c>
      <c r="J10902" t="inlineStr">
        <is>
          <t>CIVETTA</t>
        </is>
      </c>
      <c r="L10902">
        <f>_xlfn.XLOOKUP(Tableau1[[#This Row],[TYPE DE PIECE]],Tableau4[MATIERE],Tableau4[SHORT TYPE],"",0,1)</f>
        <v/>
      </c>
      <c r="N10902">
        <f>IF(ISERR(FIND("DECOUPE",Tableau1[[#This Row],[DESIGNATION]])),"","NEED REF")</f>
        <v/>
      </c>
    </row>
    <row r="10903">
      <c r="B10903" t="n">
        <v>34403103</v>
      </c>
      <c r="C10903" s="2" t="n">
        <v>41226</v>
      </c>
      <c r="D10903" t="inlineStr">
        <is>
          <t>SPEC</t>
        </is>
      </c>
      <c r="E10903" t="inlineStr">
        <is>
          <t>BIRDY CABINET 1400x800x1900 WITH INNER FRAME</t>
        </is>
      </c>
      <c r="J10903" t="inlineStr">
        <is>
          <t>CIVETTA</t>
        </is>
      </c>
      <c r="L10903">
        <f>_xlfn.XLOOKUP(Tableau1[[#This Row],[TYPE DE PIECE]],Tableau4[MATIERE],Tableau4[SHORT TYPE],"",0,1)</f>
        <v/>
      </c>
      <c r="N10903">
        <f>IF(ISERR(FIND("DECOUPE",Tableau1[[#This Row],[DESIGNATION]])),"","NEED REF")</f>
        <v/>
      </c>
    </row>
    <row r="10904">
      <c r="B10904" t="n">
        <v>34403102</v>
      </c>
      <c r="C10904" s="2" t="n">
        <v>41226</v>
      </c>
      <c r="D10904" t="inlineStr">
        <is>
          <t>SPEC</t>
        </is>
      </c>
      <c r="E10904" t="inlineStr">
        <is>
          <t>BIRDY CABINET 1000x800x1900 WITH INNER FRAME</t>
        </is>
      </c>
      <c r="J10904" t="inlineStr">
        <is>
          <t>CIVETTA</t>
        </is>
      </c>
      <c r="L10904">
        <f>_xlfn.XLOOKUP(Tableau1[[#This Row],[TYPE DE PIECE]],Tableau4[MATIERE],Tableau4[SHORT TYPE],"",0,1)</f>
        <v/>
      </c>
      <c r="N10904">
        <f>IF(ISERR(FIND("DECOUPE",Tableau1[[#This Row],[DESIGNATION]])),"","NEED REF")</f>
        <v/>
      </c>
    </row>
    <row r="10905">
      <c r="B10905" t="n">
        <v>34403101</v>
      </c>
      <c r="C10905" s="2" t="n">
        <v>41226</v>
      </c>
      <c r="D10905" t="inlineStr">
        <is>
          <t>SPEC</t>
        </is>
      </c>
      <c r="E10905" t="inlineStr">
        <is>
          <t>BIRDY CABINET 700x800x1900 WITH INNER FRAME</t>
        </is>
      </c>
      <c r="J10905" t="inlineStr">
        <is>
          <t>CIVETTA</t>
        </is>
      </c>
      <c r="L10905">
        <f>_xlfn.XLOOKUP(Tableau1[[#This Row],[TYPE DE PIECE]],Tableau4[MATIERE],Tableau4[SHORT TYPE],"",0,1)</f>
        <v/>
      </c>
      <c r="N10905">
        <f>IF(ISERR(FIND("DECOUPE",Tableau1[[#This Row],[DESIGNATION]])),"","NEED REF")</f>
        <v/>
      </c>
    </row>
    <row r="10906">
      <c r="B10906" t="n">
        <v>34403100</v>
      </c>
      <c r="C10906" s="2" t="n">
        <v>41226</v>
      </c>
      <c r="D10906" t="inlineStr">
        <is>
          <t>SPEC</t>
        </is>
      </c>
      <c r="E10906" t="inlineStr">
        <is>
          <t>BIRDY CABINET 400x800x1900 WITH INNER FRAME</t>
        </is>
      </c>
      <c r="J10906" t="inlineStr">
        <is>
          <t>CIVETTA</t>
        </is>
      </c>
      <c r="L10906">
        <f>_xlfn.XLOOKUP(Tableau1[[#This Row],[TYPE DE PIECE]],Tableau4[MATIERE],Tableau4[SHORT TYPE],"",0,1)</f>
        <v/>
      </c>
      <c r="N10906">
        <f>IF(ISERR(FIND("DECOUPE",Tableau1[[#This Row],[DESIGNATION]])),"","NEED REF")</f>
        <v/>
      </c>
    </row>
    <row r="10907">
      <c r="B10907" t="n">
        <v>34403099</v>
      </c>
      <c r="C10907" s="2" t="n">
        <v>41306</v>
      </c>
      <c r="D10907" t="inlineStr">
        <is>
          <t>SPEC</t>
        </is>
      </c>
      <c r="E10907" t="inlineStr">
        <is>
          <t>SPACER M4X80FF ACIER ZINGUE ERICO SPECIFIQUE</t>
        </is>
      </c>
      <c r="F10907" t="inlineStr">
        <is>
          <t>SOLAR</t>
        </is>
      </c>
      <c r="J10907" t="inlineStr">
        <is>
          <t>MATRION</t>
        </is>
      </c>
      <c r="L10907">
        <f>_xlfn.XLOOKUP(Tableau1[[#This Row],[TYPE DE PIECE]],Tableau4[MATIERE],Tableau4[SHORT TYPE],"",0,1)</f>
        <v/>
      </c>
      <c r="N10907">
        <f>IF(ISERR(FIND("DECOUPE",Tableau1[[#This Row],[DESIGNATION]])),"","NEED REF")</f>
        <v/>
      </c>
    </row>
    <row r="10908">
      <c r="B10908" t="n">
        <v>34403098</v>
      </c>
      <c r="C10908" s="2" t="n"/>
      <c r="E10908" t="inlineStr">
        <is>
          <t>A UTILISER</t>
        </is>
      </c>
      <c r="L10908">
        <f>_xlfn.XLOOKUP(Tableau1[[#This Row],[TYPE DE PIECE]],Tableau4[MATIERE],Tableau4[SHORT TYPE],"",0,1)</f>
        <v/>
      </c>
      <c r="N10908">
        <f>IF(ISERR(FIND("DECOUPE",Tableau1[[#This Row],[DESIGNATION]])),"","NEED REF")</f>
        <v/>
      </c>
    </row>
    <row r="10909">
      <c r="B10909" t="n">
        <v>34403097</v>
      </c>
      <c r="C10909" s="2" t="n"/>
      <c r="E10909" t="inlineStr">
        <is>
          <t>A UTILISER</t>
        </is>
      </c>
      <c r="L10909">
        <f>_xlfn.XLOOKUP(Tableau1[[#This Row],[TYPE DE PIECE]],Tableau4[MATIERE],Tableau4[SHORT TYPE],"",0,1)</f>
        <v/>
      </c>
      <c r="N10909">
        <f>IF(ISERR(FIND("DECOUPE",Tableau1[[#This Row],[DESIGNATION]])),"","NEED REF")</f>
        <v/>
      </c>
    </row>
    <row r="10910">
      <c r="B10910" t="n">
        <v>34403096</v>
      </c>
      <c r="C10910" s="2" t="n"/>
      <c r="E10910" t="inlineStr">
        <is>
          <t>A UTILISER</t>
        </is>
      </c>
      <c r="L10910">
        <f>_xlfn.XLOOKUP(Tableau1[[#This Row],[TYPE DE PIECE]],Tableau4[MATIERE],Tableau4[SHORT TYPE],"",0,1)</f>
        <v/>
      </c>
      <c r="N10910">
        <f>IF(ISERR(FIND("DECOUPE",Tableau1[[#This Row],[DESIGNATION]])),"","NEED REF")</f>
        <v/>
      </c>
    </row>
    <row r="10911">
      <c r="B10911" t="n">
        <v>34403095</v>
      </c>
      <c r="C10911" s="2" t="n"/>
      <c r="E10911" t="inlineStr">
        <is>
          <t>A UTILISER</t>
        </is>
      </c>
      <c r="L10911">
        <f>_xlfn.XLOOKUP(Tableau1[[#This Row],[TYPE DE PIECE]],Tableau4[MATIERE],Tableau4[SHORT TYPE],"",0,1)</f>
        <v/>
      </c>
      <c r="N10911">
        <f>IF(ISERR(FIND("DECOUPE",Tableau1[[#This Row],[DESIGNATION]])),"","NEED REF")</f>
        <v/>
      </c>
    </row>
    <row r="10912">
      <c r="B10912" t="n">
        <v>34403094</v>
      </c>
      <c r="C10912" s="2" t="n"/>
      <c r="E10912" t="inlineStr">
        <is>
          <t>A UTILISER</t>
        </is>
      </c>
      <c r="L10912">
        <f>_xlfn.XLOOKUP(Tableau1[[#This Row],[TYPE DE PIECE]],Tableau4[MATIERE],Tableau4[SHORT TYPE],"",0,1)</f>
        <v/>
      </c>
      <c r="N10912">
        <f>IF(ISERR(FIND("DECOUPE",Tableau1[[#This Row],[DESIGNATION]])),"","NEED REF")</f>
        <v/>
      </c>
    </row>
    <row r="10913">
      <c r="B10913" t="n">
        <v>34403093</v>
      </c>
      <c r="C10913" s="2" t="n"/>
      <c r="E10913" t="inlineStr">
        <is>
          <t>A UTILISER</t>
        </is>
      </c>
      <c r="L10913">
        <f>_xlfn.XLOOKUP(Tableau1[[#This Row],[TYPE DE PIECE]],Tableau4[MATIERE],Tableau4[SHORT TYPE],"",0,1)</f>
        <v/>
      </c>
      <c r="N10913">
        <f>IF(ISERR(FIND("DECOUPE",Tableau1[[#This Row],[DESIGNATION]])),"","NEED REF")</f>
        <v/>
      </c>
    </row>
    <row r="10914">
      <c r="B10914" t="n">
        <v>34403092</v>
      </c>
      <c r="C10914" s="2" t="n"/>
      <c r="E10914" t="inlineStr">
        <is>
          <t>A UTILISER</t>
        </is>
      </c>
      <c r="L10914">
        <f>_xlfn.XLOOKUP(Tableau1[[#This Row],[TYPE DE PIECE]],Tableau4[MATIERE],Tableau4[SHORT TYPE],"",0,1)</f>
        <v/>
      </c>
      <c r="N10914">
        <f>IF(ISERR(FIND("DECOUPE",Tableau1[[#This Row],[DESIGNATION]])),"","NEED REF")</f>
        <v/>
      </c>
    </row>
    <row r="10915">
      <c r="B10915" t="n">
        <v>34403091</v>
      </c>
      <c r="C10915" s="2" t="n"/>
      <c r="E10915" t="inlineStr">
        <is>
          <t>A UTILISER</t>
        </is>
      </c>
      <c r="L10915">
        <f>_xlfn.XLOOKUP(Tableau1[[#This Row],[TYPE DE PIECE]],Tableau4[MATIERE],Tableau4[SHORT TYPE],"",0,1)</f>
        <v/>
      </c>
      <c r="N10915">
        <f>IF(ISERR(FIND("DECOUPE",Tableau1[[#This Row],[DESIGNATION]])),"","NEED REF")</f>
        <v/>
      </c>
    </row>
    <row r="10916">
      <c r="B10916" t="n">
        <v>34403090</v>
      </c>
      <c r="C10916" s="2" t="n"/>
      <c r="E10916" t="inlineStr">
        <is>
          <t>A UTILISER</t>
        </is>
      </c>
      <c r="L10916">
        <f>_xlfn.XLOOKUP(Tableau1[[#This Row],[TYPE DE PIECE]],Tableau4[MATIERE],Tableau4[SHORT TYPE],"",0,1)</f>
        <v/>
      </c>
      <c r="N10916">
        <f>IF(ISERR(FIND("DECOUPE",Tableau1[[#This Row],[DESIGNATION]])),"","NEED REF")</f>
        <v/>
      </c>
    </row>
    <row r="10917">
      <c r="B10917" t="n">
        <v>34403089</v>
      </c>
      <c r="C10917" s="2" t="n"/>
      <c r="E10917" t="inlineStr">
        <is>
          <t>A UTILISER</t>
        </is>
      </c>
      <c r="L10917">
        <f>_xlfn.XLOOKUP(Tableau1[[#This Row],[TYPE DE PIECE]],Tableau4[MATIERE],Tableau4[SHORT TYPE],"",0,1)</f>
        <v/>
      </c>
      <c r="N10917">
        <f>IF(ISERR(FIND("DECOUPE",Tableau1[[#This Row],[DESIGNATION]])),"","NEED REF")</f>
        <v/>
      </c>
    </row>
    <row r="10918">
      <c r="B10918" t="n">
        <v>34403088</v>
      </c>
      <c r="C10918" s="2" t="n">
        <v>41519</v>
      </c>
      <c r="D10918" t="inlineStr">
        <is>
          <t>SPEC</t>
        </is>
      </c>
      <c r="E10918" t="inlineStr">
        <is>
          <t>KIT WIRING BYPASS 160kW</t>
        </is>
      </c>
      <c r="F10918" t="inlineStr">
        <is>
          <t>BYPASS 160kW APC</t>
        </is>
      </c>
      <c r="J10918" t="inlineStr">
        <is>
          <t>MATRION</t>
        </is>
      </c>
      <c r="L10918">
        <f>_xlfn.XLOOKUP(Tableau1[[#This Row],[TYPE DE PIECE]],Tableau4[MATIERE],Tableau4[SHORT TYPE],"",0,1)</f>
        <v/>
      </c>
      <c r="N10918">
        <f>IF(ISERR(FIND("DECOUPE",Tableau1[[#This Row],[DESIGNATION]])),"","NEED REF")</f>
        <v/>
      </c>
    </row>
    <row r="10919">
      <c r="B10919" t="n">
        <v>34403087</v>
      </c>
      <c r="C10919" s="2" t="n">
        <v>41519</v>
      </c>
      <c r="D10919" t="inlineStr">
        <is>
          <t>SPEC</t>
        </is>
      </c>
      <c r="E10919" t="inlineStr">
        <is>
          <t>KIT BUSBAR BYPASS 160kW</t>
        </is>
      </c>
      <c r="F10919" t="inlineStr">
        <is>
          <t>BYPASS 160kW APC</t>
        </is>
      </c>
      <c r="J10919" t="inlineStr">
        <is>
          <t>MATRION</t>
        </is>
      </c>
      <c r="L10919">
        <f>_xlfn.XLOOKUP(Tableau1[[#This Row],[TYPE DE PIECE]],Tableau4[MATIERE],Tableau4[SHORT TYPE],"",0,1)</f>
        <v/>
      </c>
      <c r="N10919">
        <f>IF(ISERR(FIND("DECOUPE",Tableau1[[#This Row],[DESIGNATION]])),"","NEED REF")</f>
        <v/>
      </c>
    </row>
    <row r="10920">
      <c r="B10920" t="n">
        <v>34403086</v>
      </c>
      <c r="C10920" s="2" t="n">
        <v>41536</v>
      </c>
      <c r="D10920" t="inlineStr">
        <is>
          <t>SPEC</t>
        </is>
      </c>
      <c r="E10920" t="inlineStr">
        <is>
          <t>NEURAL COPPER BAR JONCTION</t>
        </is>
      </c>
      <c r="F10920" t="inlineStr">
        <is>
          <t>BYPASS 160kW APC</t>
        </is>
      </c>
      <c r="J10920" t="inlineStr">
        <is>
          <t>MATRION</t>
        </is>
      </c>
      <c r="L10920">
        <f>_xlfn.XLOOKUP(Tableau1[[#This Row],[TYPE DE PIECE]],Tableau4[MATIERE],Tableau4[SHORT TYPE],"",0,1)</f>
        <v/>
      </c>
      <c r="N10920">
        <f>IF(ISERR(FIND("DECOUPE",Tableau1[[#This Row],[DESIGNATION]])),"","NEED REF")</f>
        <v/>
      </c>
    </row>
    <row r="10921">
      <c r="B10921" t="n">
        <v>34403085</v>
      </c>
      <c r="C10921" s="2" t="n">
        <v>41536</v>
      </c>
      <c r="D10921" t="inlineStr">
        <is>
          <t>SPEC</t>
        </is>
      </c>
      <c r="E10921" t="inlineStr">
        <is>
          <t>RAIL DIN</t>
        </is>
      </c>
      <c r="F10921" t="inlineStr">
        <is>
          <t>BYPASS 160kW APC</t>
        </is>
      </c>
      <c r="J10921" t="inlineStr">
        <is>
          <t>MATRION</t>
        </is>
      </c>
      <c r="L10921">
        <f>_xlfn.XLOOKUP(Tableau1[[#This Row],[TYPE DE PIECE]],Tableau4[MATIERE],Tableau4[SHORT TYPE],"",0,1)</f>
        <v/>
      </c>
      <c r="N10921">
        <f>IF(ISERR(FIND("DECOUPE",Tableau1[[#This Row],[DESIGNATION]])),"","NEED REF")</f>
        <v/>
      </c>
    </row>
    <row r="10922">
      <c r="B10922" t="n">
        <v>34403084</v>
      </c>
      <c r="C10922" s="2" t="n">
        <v>41506</v>
      </c>
      <c r="D10922" t="inlineStr">
        <is>
          <t>SPEC</t>
        </is>
      </c>
      <c r="E10922" t="inlineStr">
        <is>
          <t>NW10 DC HA VER. E 500kVA</t>
        </is>
      </c>
      <c r="F10922" t="inlineStr">
        <is>
          <t>COUPLAGE BATT 500kVA</t>
        </is>
      </c>
      <c r="J10922" t="inlineStr">
        <is>
          <t>MATRION</t>
        </is>
      </c>
      <c r="L10922">
        <f>_xlfn.XLOOKUP(Tableau1[[#This Row],[TYPE DE PIECE]],Tableau4[MATIERE],Tableau4[SHORT TYPE],"",0,1)</f>
        <v/>
      </c>
      <c r="N10922">
        <f>IF(ISERR(FIND("DECOUPE",Tableau1[[#This Row],[DESIGNATION]])),"","NEED REF")</f>
        <v/>
      </c>
    </row>
    <row r="10923">
      <c r="B10923" t="n">
        <v>34403083</v>
      </c>
      <c r="C10923" s="2" t="n">
        <v>41441</v>
      </c>
      <c r="E10923" t="inlineStr">
        <is>
          <t>SUPPORT CEM FOR FIAZ CARD</t>
        </is>
      </c>
      <c r="F10923" t="inlineStr">
        <is>
          <t>STS1200A</t>
        </is>
      </c>
      <c r="J10923" t="inlineStr">
        <is>
          <t>MATRION</t>
        </is>
      </c>
      <c r="L10923">
        <f>_xlfn.XLOOKUP(Tableau1[[#This Row],[TYPE DE PIECE]],Tableau4[MATIERE],Tableau4[SHORT TYPE],"",0,1)</f>
        <v/>
      </c>
      <c r="N10923">
        <f>IF(ISERR(FIND("DECOUPE",Tableau1[[#This Row],[DESIGNATION]])),"","NEED REF")</f>
        <v/>
      </c>
    </row>
    <row r="10924">
      <c r="B10924" t="n">
        <v>34403082</v>
      </c>
      <c r="C10924" s="2" t="n">
        <v>41441</v>
      </c>
      <c r="E10924" t="inlineStr">
        <is>
          <t>SUPPORT JDB CS S1 AND S2</t>
        </is>
      </c>
      <c r="F10924" t="inlineStr">
        <is>
          <t>STS1200A</t>
        </is>
      </c>
      <c r="J10924" t="inlineStr">
        <is>
          <t>MATRION</t>
        </is>
      </c>
      <c r="L10924">
        <f>_xlfn.XLOOKUP(Tableau1[[#This Row],[TYPE DE PIECE]],Tableau4[MATIERE],Tableau4[SHORT TYPE],"",0,1)</f>
        <v/>
      </c>
      <c r="N10924">
        <f>IF(ISERR(FIND("DECOUPE",Tableau1[[#This Row],[DESIGNATION]])),"","NEED REF")</f>
        <v/>
      </c>
    </row>
    <row r="10925">
      <c r="B10925" t="n">
        <v>34403081</v>
      </c>
      <c r="C10925" s="2" t="n">
        <v>41441</v>
      </c>
      <c r="E10925" t="inlineStr">
        <is>
          <t>COPPER BAR 2 BRIDGE S2</t>
        </is>
      </c>
      <c r="F10925" t="inlineStr">
        <is>
          <t>STS1200A</t>
        </is>
      </c>
      <c r="J10925" t="inlineStr">
        <is>
          <t>MATRION</t>
        </is>
      </c>
      <c r="L10925">
        <f>_xlfn.XLOOKUP(Tableau1[[#This Row],[TYPE DE PIECE]],Tableau4[MATIERE],Tableau4[SHORT TYPE],"",0,1)</f>
        <v/>
      </c>
      <c r="N10925">
        <f>IF(ISERR(FIND("DECOUPE",Tableau1[[#This Row],[DESIGNATION]])),"","NEED REF")</f>
        <v/>
      </c>
    </row>
    <row r="10926">
      <c r="B10926" t="n">
        <v>34403080</v>
      </c>
      <c r="C10926" s="2" t="n">
        <v>41441</v>
      </c>
      <c r="E10926" t="inlineStr">
        <is>
          <t>COPPER BAR 1 BRIDGE S2</t>
        </is>
      </c>
      <c r="F10926" t="inlineStr">
        <is>
          <t>STS1200A</t>
        </is>
      </c>
      <c r="J10926" t="inlineStr">
        <is>
          <t>MATRION</t>
        </is>
      </c>
      <c r="L10926">
        <f>_xlfn.XLOOKUP(Tableau1[[#This Row],[TYPE DE PIECE]],Tableau4[MATIERE],Tableau4[SHORT TYPE],"",0,1)</f>
        <v/>
      </c>
      <c r="N10926">
        <f>IF(ISERR(FIND("DECOUPE",Tableau1[[#This Row],[DESIGNATION]])),"","NEED REF")</f>
        <v/>
      </c>
    </row>
    <row r="10927">
      <c r="B10927" t="n">
        <v>34403079</v>
      </c>
      <c r="C10927" s="2" t="n">
        <v>41253</v>
      </c>
      <c r="E10927" t="inlineStr">
        <is>
          <t>CROSS BEAM CLAMP SUPPORT</t>
        </is>
      </c>
      <c r="F10927" t="inlineStr">
        <is>
          <t>Banque de France</t>
        </is>
      </c>
      <c r="J10927" t="inlineStr">
        <is>
          <t>Civetta</t>
        </is>
      </c>
      <c r="L10927">
        <f>_xlfn.XLOOKUP(Tableau1[[#This Row],[TYPE DE PIECE]],Tableau4[MATIERE],Tableau4[SHORT TYPE],"",0,1)</f>
        <v/>
      </c>
      <c r="N10927">
        <f>IF(ISERR(FIND("DECOUPE",Tableau1[[#This Row],[DESIGNATION]])),"","NEED REF")</f>
        <v/>
      </c>
    </row>
    <row r="10928">
      <c r="B10928" t="n">
        <v>34403078</v>
      </c>
      <c r="C10928" s="2" t="n">
        <v>41248</v>
      </c>
      <c r="E10928" t="inlineStr">
        <is>
          <t>FLEXIBLE BUSBAR</t>
        </is>
      </c>
      <c r="F10928" t="inlineStr">
        <is>
          <t>Banque de France</t>
        </is>
      </c>
      <c r="J10928" t="inlineStr">
        <is>
          <t>Civetta</t>
        </is>
      </c>
      <c r="L10928">
        <f>_xlfn.XLOOKUP(Tableau1[[#This Row],[TYPE DE PIECE]],Tableau4[MATIERE],Tableau4[SHORT TYPE],"",0,1)</f>
        <v/>
      </c>
      <c r="N10928">
        <f>IF(ISERR(FIND("DECOUPE",Tableau1[[#This Row],[DESIGNATION]])),"","NEED REF")</f>
        <v/>
      </c>
    </row>
    <row r="10929">
      <c r="B10929" t="n">
        <v>34403077</v>
      </c>
      <c r="C10929" s="2" t="n">
        <v>41247</v>
      </c>
      <c r="E10929" t="inlineStr">
        <is>
          <t>FLEXIBLE BUSBAR</t>
        </is>
      </c>
      <c r="F10929" t="inlineStr">
        <is>
          <t>Banque de France</t>
        </is>
      </c>
      <c r="J10929" t="inlineStr">
        <is>
          <t>Civetta</t>
        </is>
      </c>
      <c r="L10929">
        <f>_xlfn.XLOOKUP(Tableau1[[#This Row],[TYPE DE PIECE]],Tableau4[MATIERE],Tableau4[SHORT TYPE],"",0,1)</f>
        <v/>
      </c>
      <c r="N10929">
        <f>IF(ISERR(FIND("DECOUPE",Tableau1[[#This Row],[DESIGNATION]])),"","NEED REF")</f>
        <v/>
      </c>
    </row>
    <row r="10930">
      <c r="B10930" t="n">
        <v>34403076</v>
      </c>
      <c r="C10930" s="2" t="n">
        <v>41240</v>
      </c>
      <c r="E10930" t="inlineStr">
        <is>
          <t>STIFFENING RIB TOOL</t>
        </is>
      </c>
      <c r="F10930" t="inlineStr">
        <is>
          <t>ALL</t>
        </is>
      </c>
      <c r="J10930" t="inlineStr">
        <is>
          <t>Civetta</t>
        </is>
      </c>
      <c r="L10930">
        <f>_xlfn.XLOOKUP(Tableau1[[#This Row],[TYPE DE PIECE]],Tableau4[MATIERE],Tableau4[SHORT TYPE],"",0,1)</f>
        <v/>
      </c>
      <c r="N10930">
        <f>IF(ISERR(FIND("DECOUPE",Tableau1[[#This Row],[DESIGNATION]])),"","NEED REF")</f>
        <v/>
      </c>
    </row>
    <row r="10931">
      <c r="B10931" t="n">
        <v>34403075</v>
      </c>
      <c r="C10931" s="2" t="n">
        <v>41240</v>
      </c>
      <c r="E10931" t="inlineStr">
        <is>
          <t>LARGE STRUCTURE STIFFNER</t>
        </is>
      </c>
      <c r="F10931" t="inlineStr">
        <is>
          <t>ALL</t>
        </is>
      </c>
      <c r="J10931" t="inlineStr">
        <is>
          <t>Civetta</t>
        </is>
      </c>
      <c r="L10931">
        <f>_xlfn.XLOOKUP(Tableau1[[#This Row],[TYPE DE PIECE]],Tableau4[MATIERE],Tableau4[SHORT TYPE],"",0,1)</f>
        <v/>
      </c>
      <c r="N10931">
        <f>IF(ISERR(FIND("DECOUPE",Tableau1[[#This Row],[DESIGNATION]])),"","NEED REF")</f>
        <v/>
      </c>
    </row>
    <row r="10932">
      <c r="B10932" t="n">
        <v>34403074</v>
      </c>
      <c r="C10932" s="2" t="n">
        <v>41240</v>
      </c>
      <c r="E10932" t="inlineStr">
        <is>
          <t>SMALL STRUCTURE STIFFNER</t>
        </is>
      </c>
      <c r="F10932" t="inlineStr">
        <is>
          <t>ALL</t>
        </is>
      </c>
      <c r="J10932" t="inlineStr">
        <is>
          <t>Civetta</t>
        </is>
      </c>
      <c r="L10932">
        <f>_xlfn.XLOOKUP(Tableau1[[#This Row],[TYPE DE PIECE]],Tableau4[MATIERE],Tableau4[SHORT TYPE],"",0,1)</f>
        <v/>
      </c>
      <c r="N10932">
        <f>IF(ISERR(FIND("DECOUPE",Tableau1[[#This Row],[DESIGNATION]])),"","NEED REF")</f>
        <v/>
      </c>
    </row>
    <row r="10933">
      <c r="B10933" t="n">
        <v>34403073</v>
      </c>
      <c r="C10933" s="2" t="n"/>
      <c r="E10933" t="inlineStr">
        <is>
          <t>PLASTRON NETSHEILTER 6U + 1 NSX400 GAUCHE</t>
        </is>
      </c>
      <c r="L10933">
        <f>_xlfn.XLOOKUP(Tableau1[[#This Row],[TYPE DE PIECE]],Tableau4[MATIERE],Tableau4[SHORT TYPE],"",0,1)</f>
        <v/>
      </c>
      <c r="N10933">
        <f>IF(ISERR(FIND("DECOUPE",Tableau1[[#This Row],[DESIGNATION]])),"","NEED REF")</f>
        <v/>
      </c>
    </row>
    <row r="10934">
      <c r="B10934" t="n">
        <v>34403072</v>
      </c>
      <c r="C10934" s="2" t="n"/>
      <c r="E10934" t="inlineStr">
        <is>
          <t>PLASTRON NETSHEILTER 6U + 2 NSX250</t>
        </is>
      </c>
      <c r="L10934">
        <f>_xlfn.XLOOKUP(Tableau1[[#This Row],[TYPE DE PIECE]],Tableau4[MATIERE],Tableau4[SHORT TYPE],"",0,1)</f>
        <v/>
      </c>
      <c r="N10934">
        <f>IF(ISERR(FIND("DECOUPE",Tableau1[[#This Row],[DESIGNATION]])),"","NEED REF")</f>
        <v/>
      </c>
    </row>
    <row r="10935">
      <c r="B10935" t="n">
        <v>34403071</v>
      </c>
      <c r="C10935" s="2" t="n"/>
      <c r="E10935" t="inlineStr">
        <is>
          <t>PLASTRON NETSHEILTER 6U + 2 INS160 + 1 iC60N 2P</t>
        </is>
      </c>
      <c r="L10935">
        <f>_xlfn.XLOOKUP(Tableau1[[#This Row],[TYPE DE PIECE]],Tableau4[MATIERE],Tableau4[SHORT TYPE],"",0,1)</f>
        <v/>
      </c>
      <c r="N10935">
        <f>IF(ISERR(FIND("DECOUPE",Tableau1[[#This Row],[DESIGNATION]])),"","NEED REF")</f>
        <v/>
      </c>
    </row>
    <row r="10936">
      <c r="B10936" t="n">
        <v>34403070</v>
      </c>
      <c r="C10936" s="2" t="n"/>
      <c r="E10936" t="inlineStr">
        <is>
          <t>PLASTRON NETSHEILTER 6U + 1 NSX250 GAUCHE + 2 VOYANTS</t>
        </is>
      </c>
      <c r="L10936">
        <f>_xlfn.XLOOKUP(Tableau1[[#This Row],[TYPE DE PIECE]],Tableau4[MATIERE],Tableau4[SHORT TYPE],"",0,1)</f>
        <v/>
      </c>
      <c r="N10936">
        <f>IF(ISERR(FIND("DECOUPE",Tableau1[[#This Row],[DESIGNATION]])),"","NEED REF")</f>
        <v/>
      </c>
    </row>
    <row r="10937">
      <c r="B10937" t="n">
        <v>34403069</v>
      </c>
      <c r="C10937" s="2" t="n">
        <v>41234</v>
      </c>
      <c r="D10937" t="inlineStr">
        <is>
          <t>SPEC</t>
        </is>
      </c>
      <c r="E10937" t="inlineStr">
        <is>
          <t>PLASTRON NETSHEILTER 12U</t>
        </is>
      </c>
      <c r="F10937" t="inlineStr">
        <is>
          <t>ALL</t>
        </is>
      </c>
      <c r="J10937" t="inlineStr">
        <is>
          <t>MATRION</t>
        </is>
      </c>
      <c r="L10937">
        <f>_xlfn.XLOOKUP(Tableau1[[#This Row],[TYPE DE PIECE]],Tableau4[MATIERE],Tableau4[SHORT TYPE],"",0,1)</f>
        <v/>
      </c>
      <c r="N10937">
        <f>IF(ISERR(FIND("DECOUPE",Tableau1[[#This Row],[DESIGNATION]])),"","NEED REF")</f>
        <v/>
      </c>
    </row>
    <row r="10938">
      <c r="B10938" t="n">
        <v>34403068</v>
      </c>
      <c r="C10938" s="2" t="n">
        <v>41234</v>
      </c>
      <c r="D10938" t="inlineStr">
        <is>
          <t>SPEC</t>
        </is>
      </c>
      <c r="E10938" t="inlineStr">
        <is>
          <t>PLASTRON NETSHEILTER 11U</t>
        </is>
      </c>
      <c r="F10938" t="inlineStr">
        <is>
          <t>ALL</t>
        </is>
      </c>
      <c r="J10938" t="inlineStr">
        <is>
          <t>MATRION</t>
        </is>
      </c>
      <c r="L10938">
        <f>_xlfn.XLOOKUP(Tableau1[[#This Row],[TYPE DE PIECE]],Tableau4[MATIERE],Tableau4[SHORT TYPE],"",0,1)</f>
        <v/>
      </c>
      <c r="N10938">
        <f>IF(ISERR(FIND("DECOUPE",Tableau1[[#This Row],[DESIGNATION]])),"","NEED REF")</f>
        <v/>
      </c>
    </row>
    <row r="10939">
      <c r="B10939" t="n">
        <v>34403067</v>
      </c>
      <c r="C10939" s="2" t="n">
        <v>41234</v>
      </c>
      <c r="D10939" t="inlineStr">
        <is>
          <t>SPEC</t>
        </is>
      </c>
      <c r="E10939" t="inlineStr">
        <is>
          <t>PLASTRON NETSHEILTER 10U</t>
        </is>
      </c>
      <c r="F10939" t="inlineStr">
        <is>
          <t>ALL</t>
        </is>
      </c>
      <c r="J10939" t="inlineStr">
        <is>
          <t>MATRION</t>
        </is>
      </c>
      <c r="L10939">
        <f>_xlfn.XLOOKUP(Tableau1[[#This Row],[TYPE DE PIECE]],Tableau4[MATIERE],Tableau4[SHORT TYPE],"",0,1)</f>
        <v/>
      </c>
      <c r="N10939">
        <f>IF(ISERR(FIND("DECOUPE",Tableau1[[#This Row],[DESIGNATION]])),"","NEED REF")</f>
        <v/>
      </c>
    </row>
    <row r="10940">
      <c r="B10940" t="n">
        <v>34403066</v>
      </c>
      <c r="C10940" s="2" t="n">
        <v>41234</v>
      </c>
      <c r="D10940" t="inlineStr">
        <is>
          <t>SPEC</t>
        </is>
      </c>
      <c r="E10940" t="inlineStr">
        <is>
          <t>PLASTRON NETSHEILTER 9U</t>
        </is>
      </c>
      <c r="F10940" t="inlineStr">
        <is>
          <t>ALL</t>
        </is>
      </c>
      <c r="J10940" t="inlineStr">
        <is>
          <t>MATRION</t>
        </is>
      </c>
      <c r="L10940">
        <f>_xlfn.XLOOKUP(Tableau1[[#This Row],[TYPE DE PIECE]],Tableau4[MATIERE],Tableau4[SHORT TYPE],"",0,1)</f>
        <v/>
      </c>
      <c r="N10940">
        <f>IF(ISERR(FIND("DECOUPE",Tableau1[[#This Row],[DESIGNATION]])),"","NEED REF")</f>
        <v/>
      </c>
    </row>
    <row r="10941">
      <c r="B10941" t="n">
        <v>34403065</v>
      </c>
      <c r="C10941" s="2" t="n">
        <v>41234</v>
      </c>
      <c r="D10941" t="inlineStr">
        <is>
          <t>SPEC</t>
        </is>
      </c>
      <c r="E10941" t="inlineStr">
        <is>
          <t>PLASTRON NETSHEILTER 8U</t>
        </is>
      </c>
      <c r="F10941" t="inlineStr">
        <is>
          <t>ALL</t>
        </is>
      </c>
      <c r="J10941" t="inlineStr">
        <is>
          <t>MATRION</t>
        </is>
      </c>
      <c r="L10941">
        <f>_xlfn.XLOOKUP(Tableau1[[#This Row],[TYPE DE PIECE]],Tableau4[MATIERE],Tableau4[SHORT TYPE],"",0,1)</f>
        <v/>
      </c>
      <c r="N10941">
        <f>IF(ISERR(FIND("DECOUPE",Tableau1[[#This Row],[DESIGNATION]])),"","NEED REF")</f>
        <v/>
      </c>
    </row>
    <row r="10942">
      <c r="B10942" t="n">
        <v>34403064</v>
      </c>
      <c r="C10942" s="2" t="n">
        <v>41234</v>
      </c>
      <c r="D10942" t="inlineStr">
        <is>
          <t>SPEC</t>
        </is>
      </c>
      <c r="E10942" t="inlineStr">
        <is>
          <t>PLASTRON NETSHEILTER 7U</t>
        </is>
      </c>
      <c r="F10942" t="inlineStr">
        <is>
          <t>ALL</t>
        </is>
      </c>
      <c r="J10942" t="inlineStr">
        <is>
          <t>MATRION</t>
        </is>
      </c>
      <c r="L10942">
        <f>_xlfn.XLOOKUP(Tableau1[[#This Row],[TYPE DE PIECE]],Tableau4[MATIERE],Tableau4[SHORT TYPE],"",0,1)</f>
        <v/>
      </c>
      <c r="N10942">
        <f>IF(ISERR(FIND("DECOUPE",Tableau1[[#This Row],[DESIGNATION]])),"","NEED REF")</f>
        <v/>
      </c>
    </row>
    <row r="10943">
      <c r="B10943" t="n">
        <v>34403063</v>
      </c>
      <c r="C10943" s="2" t="n">
        <v>41234</v>
      </c>
      <c r="D10943" t="inlineStr">
        <is>
          <t>SPEC</t>
        </is>
      </c>
      <c r="E10943" t="inlineStr">
        <is>
          <t>PLASTRON NETSHEILTER 6U</t>
        </is>
      </c>
      <c r="F10943" t="inlineStr">
        <is>
          <t>ALL</t>
        </is>
      </c>
      <c r="J10943" t="inlineStr">
        <is>
          <t>MATRION</t>
        </is>
      </c>
      <c r="L10943">
        <f>_xlfn.XLOOKUP(Tableau1[[#This Row],[TYPE DE PIECE]],Tableau4[MATIERE],Tableau4[SHORT TYPE],"",0,1)</f>
        <v/>
      </c>
      <c r="N10943">
        <f>IF(ISERR(FIND("DECOUPE",Tableau1[[#This Row],[DESIGNATION]])),"","NEED REF")</f>
        <v/>
      </c>
    </row>
    <row r="10944">
      <c r="B10944" t="n">
        <v>34403062</v>
      </c>
      <c r="C10944" s="2" t="n">
        <v>41234</v>
      </c>
      <c r="D10944" t="inlineStr">
        <is>
          <t>SPEC</t>
        </is>
      </c>
      <c r="E10944" t="inlineStr">
        <is>
          <t>PLASTRON NETSHEILTER 5U</t>
        </is>
      </c>
      <c r="F10944" t="inlineStr">
        <is>
          <t>ALL</t>
        </is>
      </c>
      <c r="J10944" t="inlineStr">
        <is>
          <t>MATRION</t>
        </is>
      </c>
      <c r="L10944">
        <f>_xlfn.XLOOKUP(Tableau1[[#This Row],[TYPE DE PIECE]],Tableau4[MATIERE],Tableau4[SHORT TYPE],"",0,1)</f>
        <v/>
      </c>
      <c r="N10944">
        <f>IF(ISERR(FIND("DECOUPE",Tableau1[[#This Row],[DESIGNATION]])),"","NEED REF")</f>
        <v/>
      </c>
    </row>
    <row r="10945">
      <c r="B10945" t="n">
        <v>34403061</v>
      </c>
      <c r="C10945" s="2" t="n">
        <v>41234</v>
      </c>
      <c r="D10945" t="inlineStr">
        <is>
          <t>SPEC</t>
        </is>
      </c>
      <c r="E10945" t="inlineStr">
        <is>
          <t>PLASTRON NETSHEILTER 4U</t>
        </is>
      </c>
      <c r="F10945" t="inlineStr">
        <is>
          <t>ALL</t>
        </is>
      </c>
      <c r="J10945" t="inlineStr">
        <is>
          <t>MATRION</t>
        </is>
      </c>
      <c r="L10945">
        <f>_xlfn.XLOOKUP(Tableau1[[#This Row],[TYPE DE PIECE]],Tableau4[MATIERE],Tableau4[SHORT TYPE],"",0,1)</f>
        <v/>
      </c>
      <c r="N10945">
        <f>IF(ISERR(FIND("DECOUPE",Tableau1[[#This Row],[DESIGNATION]])),"","NEED REF")</f>
        <v/>
      </c>
    </row>
    <row r="10946">
      <c r="B10946" t="n">
        <v>34403060</v>
      </c>
      <c r="C10946" s="2" t="n">
        <v>41234</v>
      </c>
      <c r="D10946" t="inlineStr">
        <is>
          <t>SPEC</t>
        </is>
      </c>
      <c r="E10946" t="inlineStr">
        <is>
          <t>PLASTRON NETSHEILTER 3U</t>
        </is>
      </c>
      <c r="F10946" t="inlineStr">
        <is>
          <t>ALL</t>
        </is>
      </c>
      <c r="J10946" t="inlineStr">
        <is>
          <t>MATRION</t>
        </is>
      </c>
      <c r="L10946">
        <f>_xlfn.XLOOKUP(Tableau1[[#This Row],[TYPE DE PIECE]],Tableau4[MATIERE],Tableau4[SHORT TYPE],"",0,1)</f>
        <v/>
      </c>
      <c r="N10946">
        <f>IF(ISERR(FIND("DECOUPE",Tableau1[[#This Row],[DESIGNATION]])),"","NEED REF")</f>
        <v/>
      </c>
    </row>
    <row r="10947">
      <c r="B10947" t="n">
        <v>34403059</v>
      </c>
      <c r="C10947" s="2" t="n">
        <v>41234</v>
      </c>
      <c r="D10947" t="inlineStr">
        <is>
          <t>SPEC</t>
        </is>
      </c>
      <c r="E10947" t="inlineStr">
        <is>
          <t>PLASTRON NETSHEILTER 2U</t>
        </is>
      </c>
      <c r="F10947" t="inlineStr">
        <is>
          <t>ALL</t>
        </is>
      </c>
      <c r="J10947" t="inlineStr">
        <is>
          <t>MATRION</t>
        </is>
      </c>
      <c r="L10947">
        <f>_xlfn.XLOOKUP(Tableau1[[#This Row],[TYPE DE PIECE]],Tableau4[MATIERE],Tableau4[SHORT TYPE],"",0,1)</f>
        <v/>
      </c>
      <c r="N10947">
        <f>IF(ISERR(FIND("DECOUPE",Tableau1[[#This Row],[DESIGNATION]])),"","NEED REF")</f>
        <v/>
      </c>
    </row>
    <row r="10948">
      <c r="B10948" t="n">
        <v>34403058</v>
      </c>
      <c r="C10948" s="2" t="n">
        <v>41234</v>
      </c>
      <c r="D10948" t="inlineStr">
        <is>
          <t>SPEC</t>
        </is>
      </c>
      <c r="E10948" t="inlineStr">
        <is>
          <t>PLASTRON NETSHEILTER 1U</t>
        </is>
      </c>
      <c r="F10948" t="inlineStr">
        <is>
          <t>ALL</t>
        </is>
      </c>
      <c r="J10948" t="inlineStr">
        <is>
          <t>MATRION</t>
        </is>
      </c>
      <c r="L10948">
        <f>_xlfn.XLOOKUP(Tableau1[[#This Row],[TYPE DE PIECE]],Tableau4[MATIERE],Tableau4[SHORT TYPE],"",0,1)</f>
        <v/>
      </c>
      <c r="N10948">
        <f>IF(ISERR(FIND("DECOUPE",Tableau1[[#This Row],[DESIGNATION]])),"","NEED REF")</f>
        <v/>
      </c>
    </row>
    <row r="10949">
      <c r="B10949" t="n">
        <v>34403057</v>
      </c>
      <c r="C10949" s="2" t="n">
        <v>41233</v>
      </c>
      <c r="D10949" t="inlineStr">
        <is>
          <t>SPEC</t>
        </is>
      </c>
      <c r="E10949" t="inlineStr">
        <is>
          <t>ROOF SUPPORT</t>
        </is>
      </c>
      <c r="F10949" t="inlineStr">
        <is>
          <t>Banque de France</t>
        </is>
      </c>
      <c r="J10949" t="inlineStr">
        <is>
          <t>Civetta</t>
        </is>
      </c>
      <c r="L10949">
        <f>_xlfn.XLOOKUP(Tableau1[[#This Row],[TYPE DE PIECE]],Tableau4[MATIERE],Tableau4[SHORT TYPE],"",0,1)</f>
        <v/>
      </c>
      <c r="N10949">
        <f>IF(ISERR(FIND("DECOUPE",Tableau1[[#This Row],[DESIGNATION]])),"","NEED REF")</f>
        <v/>
      </c>
    </row>
    <row r="10950">
      <c r="B10950" t="n">
        <v>34403056</v>
      </c>
      <c r="C10950" s="2" t="n">
        <v>41232</v>
      </c>
      <c r="D10950" t="inlineStr">
        <is>
          <t>SPEC</t>
        </is>
      </c>
      <c r="E10950" t="inlineStr">
        <is>
          <t>TRUNCKING BUSBARS SUPPORT</t>
        </is>
      </c>
      <c r="F10950" t="inlineStr">
        <is>
          <t>Banque de France</t>
        </is>
      </c>
      <c r="J10950" t="inlineStr">
        <is>
          <t>Civetta</t>
        </is>
      </c>
      <c r="L10950">
        <f>_xlfn.XLOOKUP(Tableau1[[#This Row],[TYPE DE PIECE]],Tableau4[MATIERE],Tableau4[SHORT TYPE],"",0,1)</f>
        <v/>
      </c>
      <c r="N10950">
        <f>IF(ISERR(FIND("DECOUPE",Tableau1[[#This Row],[DESIGNATION]])),"","NEED REF")</f>
        <v/>
      </c>
    </row>
    <row r="10951">
      <c r="B10951" t="n">
        <v>34403055</v>
      </c>
      <c r="C10951" s="2" t="n">
        <v>41208</v>
      </c>
      <c r="D10951" t="inlineStr">
        <is>
          <t>SPEC</t>
        </is>
      </c>
      <c r="E10951" t="inlineStr">
        <is>
          <t>Makrolon transparent 1000 x 1000 ep 1,5</t>
        </is>
      </c>
      <c r="F10951" t="inlineStr">
        <is>
          <t>FAST CHARGE AUSTRALIE</t>
        </is>
      </c>
      <c r="J10951" t="inlineStr">
        <is>
          <t>MONGELLI</t>
        </is>
      </c>
      <c r="L10951">
        <f>_xlfn.XLOOKUP(Tableau1[[#This Row],[TYPE DE PIECE]],Tableau4[MATIERE],Tableau4[SHORT TYPE],"",0,1)</f>
        <v/>
      </c>
      <c r="N10951">
        <f>IF(ISERR(FIND("DECOUPE",Tableau1[[#This Row],[DESIGNATION]])),"","NEED REF")</f>
        <v/>
      </c>
    </row>
    <row r="10952">
      <c r="B10952" t="n">
        <v>34403054</v>
      </c>
      <c r="C10952" s="2" t="n">
        <v>41208</v>
      </c>
      <c r="D10952" t="inlineStr">
        <is>
          <t>SPEC</t>
        </is>
      </c>
      <c r="E10952" t="inlineStr">
        <is>
          <t>STICKERS FAST CHARGE BETTER PLACE (AUSTRALIE)</t>
        </is>
      </c>
      <c r="F10952" t="inlineStr">
        <is>
          <t>FAST CHARGE AUSTRALIE</t>
        </is>
      </c>
      <c r="J10952" t="inlineStr">
        <is>
          <t>MONGELLI</t>
        </is>
      </c>
      <c r="L10952">
        <f>_xlfn.XLOOKUP(Tableau1[[#This Row],[TYPE DE PIECE]],Tableau4[MATIERE],Tableau4[SHORT TYPE],"",0,1)</f>
        <v/>
      </c>
      <c r="N10952">
        <f>IF(ISERR(FIND("DECOUPE",Tableau1[[#This Row],[DESIGNATION]])),"","NEED REF")</f>
        <v/>
      </c>
    </row>
    <row r="10953">
      <c r="B10953" t="n">
        <v>34403053</v>
      </c>
      <c r="C10953" s="2" t="n">
        <v>41208</v>
      </c>
      <c r="D10953" t="inlineStr">
        <is>
          <t>SPEC</t>
        </is>
      </c>
      <c r="E10953" t="inlineStr">
        <is>
          <t>PLATINE GPRS GALVA CUSTOM (AUSTRALIE)</t>
        </is>
      </c>
      <c r="F10953" t="inlineStr">
        <is>
          <t>FAST CHARGE AUSTRALIE</t>
        </is>
      </c>
      <c r="J10953" t="inlineStr">
        <is>
          <t>MONGELLI</t>
        </is>
      </c>
      <c r="L10953">
        <f>_xlfn.XLOOKUP(Tableau1[[#This Row],[TYPE DE PIECE]],Tableau4[MATIERE],Tableau4[SHORT TYPE],"",0,1)</f>
        <v/>
      </c>
      <c r="N10953">
        <f>IF(ISERR(FIND("DECOUPE",Tableau1[[#This Row],[DESIGNATION]])),"","NEED REF")</f>
        <v/>
      </c>
    </row>
    <row r="10954">
      <c r="B10954" t="n">
        <v>34403052</v>
      </c>
      <c r="C10954" s="2" t="n">
        <v>41201</v>
      </c>
      <c r="D10954" t="inlineStr">
        <is>
          <t>NOM</t>
        </is>
      </c>
      <c r="E10954" t="inlineStr">
        <is>
          <t>NOM S/A 2xJDB 630A</t>
        </is>
      </c>
      <c r="F10954" t="inlineStr">
        <is>
          <t>ALL</t>
        </is>
      </c>
      <c r="J10954" t="inlineStr">
        <is>
          <t>MATRION</t>
        </is>
      </c>
      <c r="L10954">
        <f>_xlfn.XLOOKUP(Tableau1[[#This Row],[TYPE DE PIECE]],Tableau4[MATIERE],Tableau4[SHORT TYPE],"",0,1)</f>
        <v/>
      </c>
      <c r="N10954">
        <f>IF(ISERR(FIND("DECOUPE",Tableau1[[#This Row],[DESIGNATION]])),"","NEED REF")</f>
        <v/>
      </c>
    </row>
    <row r="10955">
      <c r="B10955" t="n">
        <v>34403051</v>
      </c>
      <c r="C10955" s="2" t="n">
        <v>41201</v>
      </c>
      <c r="D10955" t="inlineStr">
        <is>
          <t>SPEC</t>
        </is>
      </c>
      <c r="E10955" t="inlineStr">
        <is>
          <t>BUS BAR CU L=240 PERFORED</t>
        </is>
      </c>
      <c r="F10955" t="inlineStr">
        <is>
          <t>ALL</t>
        </is>
      </c>
      <c r="J10955" t="inlineStr">
        <is>
          <t>MATRION</t>
        </is>
      </c>
      <c r="L10955">
        <f>_xlfn.XLOOKUP(Tableau1[[#This Row],[TYPE DE PIECE]],Tableau4[MATIERE],Tableau4[SHORT TYPE],"",0,1)</f>
        <v/>
      </c>
      <c r="N10955">
        <f>IF(ISERR(FIND("DECOUPE",Tableau1[[#This Row],[DESIGNATION]])),"","NEED REF")</f>
        <v/>
      </c>
    </row>
    <row r="10956">
      <c r="B10956" t="n">
        <v>34403050</v>
      </c>
      <c r="C10956" s="2" t="n">
        <v>41201</v>
      </c>
      <c r="D10956" t="inlineStr">
        <is>
          <t>SPEC</t>
        </is>
      </c>
      <c r="E10956" t="inlineStr">
        <is>
          <t>PLATINE 712 SUPPORT 2xJDB 630A</t>
        </is>
      </c>
      <c r="F10956" t="inlineStr">
        <is>
          <t>ALL</t>
        </is>
      </c>
      <c r="J10956" t="inlineStr">
        <is>
          <t>MATRION</t>
        </is>
      </c>
      <c r="L10956">
        <f>_xlfn.XLOOKUP(Tableau1[[#This Row],[TYPE DE PIECE]],Tableau4[MATIERE],Tableau4[SHORT TYPE],"",0,1)</f>
        <v/>
      </c>
      <c r="N10956">
        <f>IF(ISERR(FIND("DECOUPE",Tableau1[[#This Row],[DESIGNATION]])),"","NEED REF")</f>
        <v/>
      </c>
    </row>
    <row r="10957">
      <c r="B10957" t="n">
        <v>34403049</v>
      </c>
      <c r="C10957" s="2" t="n">
        <v>41184</v>
      </c>
      <c r="D10957" t="inlineStr">
        <is>
          <t>SPEC</t>
        </is>
      </c>
      <c r="E10957" t="inlineStr">
        <is>
          <t>FLEXIBLE BUSBAR</t>
        </is>
      </c>
      <c r="F10957" t="inlineStr">
        <is>
          <t>NS 4000A Banque de France</t>
        </is>
      </c>
      <c r="J10957" t="inlineStr">
        <is>
          <t>Civetta</t>
        </is>
      </c>
      <c r="L10957">
        <f>_xlfn.XLOOKUP(Tableau1[[#This Row],[TYPE DE PIECE]],Tableau4[MATIERE],Tableau4[SHORT TYPE],"",0,1)</f>
        <v/>
      </c>
      <c r="N10957">
        <f>IF(ISERR(FIND("DECOUPE",Tableau1[[#This Row],[DESIGNATION]])),"","NEED REF")</f>
        <v/>
      </c>
    </row>
    <row r="10958">
      <c r="B10958" t="n">
        <v>34403048</v>
      </c>
      <c r="C10958" s="2" t="n">
        <v>41184</v>
      </c>
      <c r="D10958" t="inlineStr">
        <is>
          <t>SPEC</t>
        </is>
      </c>
      <c r="E10958" t="inlineStr">
        <is>
          <t>FLEXIBLE BUSBAR</t>
        </is>
      </c>
      <c r="F10958" t="inlineStr">
        <is>
          <t>NS 4000A Banque de France</t>
        </is>
      </c>
      <c r="J10958" t="inlineStr">
        <is>
          <t>Civetta</t>
        </is>
      </c>
      <c r="L10958">
        <f>_xlfn.XLOOKUP(Tableau1[[#This Row],[TYPE DE PIECE]],Tableau4[MATIERE],Tableau4[SHORT TYPE],"",0,1)</f>
        <v/>
      </c>
      <c r="N10958">
        <f>IF(ISERR(FIND("DECOUPE",Tableau1[[#This Row],[DESIGNATION]])),"","NEED REF")</f>
        <v/>
      </c>
    </row>
    <row r="10959">
      <c r="B10959" t="n">
        <v>34403047</v>
      </c>
      <c r="C10959" s="2" t="n">
        <v>41183</v>
      </c>
      <c r="D10959" t="inlineStr">
        <is>
          <t>SPEC</t>
        </is>
      </c>
      <c r="E10959" t="inlineStr">
        <is>
          <t>STIFFNER</t>
        </is>
      </c>
      <c r="F10959" t="inlineStr">
        <is>
          <t>NS 4000A Banque de France</t>
        </is>
      </c>
      <c r="J10959" t="inlineStr">
        <is>
          <t>Civetta</t>
        </is>
      </c>
      <c r="L10959">
        <f>_xlfn.XLOOKUP(Tableau1[[#This Row],[TYPE DE PIECE]],Tableau4[MATIERE],Tableau4[SHORT TYPE],"",0,1)</f>
        <v/>
      </c>
      <c r="N10959">
        <f>IF(ISERR(FIND("DECOUPE",Tableau1[[#This Row],[DESIGNATION]])),"","NEED REF")</f>
        <v/>
      </c>
    </row>
    <row r="10960">
      <c r="B10960" t="n">
        <v>34403046</v>
      </c>
      <c r="C10960" s="2" t="n">
        <v>41181</v>
      </c>
      <c r="D10960" t="inlineStr">
        <is>
          <t>SPEC</t>
        </is>
      </c>
      <c r="E10960" t="inlineStr">
        <is>
          <t>STRUCTURE SUPPORT</t>
        </is>
      </c>
      <c r="F10960" t="inlineStr">
        <is>
          <t>NS 4000A Banque de France</t>
        </is>
      </c>
      <c r="J10960" t="inlineStr">
        <is>
          <t>Civetta</t>
        </is>
      </c>
      <c r="L10960">
        <f>_xlfn.XLOOKUP(Tableau1[[#This Row],[TYPE DE PIECE]],Tableau4[MATIERE],Tableau4[SHORT TYPE],"",0,1)</f>
        <v/>
      </c>
      <c r="N10960">
        <f>IF(ISERR(FIND("DECOUPE",Tableau1[[#This Row],[DESIGNATION]])),"","NEED REF")</f>
        <v/>
      </c>
    </row>
    <row r="10961">
      <c r="B10961" t="n">
        <v>34403045</v>
      </c>
      <c r="C10961" s="2" t="n">
        <v>41180</v>
      </c>
      <c r="D10961" t="inlineStr">
        <is>
          <t>SPEC</t>
        </is>
      </c>
      <c r="E10961" t="inlineStr">
        <is>
          <t>INCOMING PEN BUSBAR 2</t>
        </is>
      </c>
      <c r="F10961" t="inlineStr">
        <is>
          <t>NS 4000A Banque de France</t>
        </is>
      </c>
      <c r="J10961" t="inlineStr">
        <is>
          <t>Civetta</t>
        </is>
      </c>
      <c r="L10961">
        <f>_xlfn.XLOOKUP(Tableau1[[#This Row],[TYPE DE PIECE]],Tableau4[MATIERE],Tableau4[SHORT TYPE],"",0,1)</f>
        <v/>
      </c>
      <c r="N10961">
        <f>IF(ISERR(FIND("DECOUPE",Tableau1[[#This Row],[DESIGNATION]])),"","NEED REF")</f>
        <v/>
      </c>
    </row>
    <row r="10962">
      <c r="B10962" t="n">
        <v>34403044</v>
      </c>
      <c r="C10962" s="2" t="n">
        <v>41180</v>
      </c>
      <c r="D10962" t="inlineStr">
        <is>
          <t>SPEC</t>
        </is>
      </c>
      <c r="E10962" t="inlineStr">
        <is>
          <t>INCOMING PEN BUSBAR 1</t>
        </is>
      </c>
      <c r="F10962" t="inlineStr">
        <is>
          <t>NS 4000A Banque de France</t>
        </is>
      </c>
      <c r="J10962" t="inlineStr">
        <is>
          <t>Civetta</t>
        </is>
      </c>
      <c r="L10962">
        <f>_xlfn.XLOOKUP(Tableau1[[#This Row],[TYPE DE PIECE]],Tableau4[MATIERE],Tableau4[SHORT TYPE],"",0,1)</f>
        <v/>
      </c>
      <c r="N10962">
        <f>IF(ISERR(FIND("DECOUPE",Tableau1[[#This Row],[DESIGNATION]])),"","NEED REF")</f>
        <v/>
      </c>
    </row>
    <row r="10963">
      <c r="B10963" t="n">
        <v>34403043</v>
      </c>
      <c r="C10963" s="2" t="n">
        <v>41180</v>
      </c>
      <c r="D10963" t="inlineStr">
        <is>
          <t>SPEC</t>
        </is>
      </c>
      <c r="E10963" t="inlineStr">
        <is>
          <t>OMEGA CLAMP</t>
        </is>
      </c>
      <c r="F10963" t="inlineStr">
        <is>
          <t>NS 4000A Banque de France</t>
        </is>
      </c>
      <c r="J10963" t="inlineStr">
        <is>
          <t>Civetta</t>
        </is>
      </c>
      <c r="L10963">
        <f>_xlfn.XLOOKUP(Tableau1[[#This Row],[TYPE DE PIECE]],Tableau4[MATIERE],Tableau4[SHORT TYPE],"",0,1)</f>
        <v/>
      </c>
      <c r="N10963">
        <f>IF(ISERR(FIND("DECOUPE",Tableau1[[#This Row],[DESIGNATION]])),"","NEED REF")</f>
        <v/>
      </c>
    </row>
    <row r="10964">
      <c r="B10964" t="n">
        <v>34403042</v>
      </c>
      <c r="C10964" s="2" t="n">
        <v>41179</v>
      </c>
      <c r="D10964" t="inlineStr">
        <is>
          <t>SPEC</t>
        </is>
      </c>
      <c r="E10964" t="inlineStr">
        <is>
          <t>outfgoing busbar phase 1 -3</t>
        </is>
      </c>
      <c r="F10964" t="inlineStr">
        <is>
          <t>NS 4000A Banque de France</t>
        </is>
      </c>
      <c r="J10964" t="inlineStr">
        <is>
          <t>Civetta</t>
        </is>
      </c>
      <c r="L10964">
        <f>_xlfn.XLOOKUP(Tableau1[[#This Row],[TYPE DE PIECE]],Tableau4[MATIERE],Tableau4[SHORT TYPE],"",0,1)</f>
        <v/>
      </c>
      <c r="N10964">
        <f>IF(ISERR(FIND("DECOUPE",Tableau1[[#This Row],[DESIGNATION]])),"","NEED REF")</f>
        <v/>
      </c>
    </row>
    <row r="10965">
      <c r="B10965" t="n">
        <v>34403041</v>
      </c>
      <c r="C10965" s="2" t="n">
        <v>41179</v>
      </c>
      <c r="D10965" t="inlineStr">
        <is>
          <t>SPEC</t>
        </is>
      </c>
      <c r="E10965" t="inlineStr">
        <is>
          <t>outgoing busbar phase 1 - 2</t>
        </is>
      </c>
      <c r="F10965" t="inlineStr">
        <is>
          <t>NS 4000A Banque de France</t>
        </is>
      </c>
      <c r="J10965" t="inlineStr">
        <is>
          <t>Civetta</t>
        </is>
      </c>
      <c r="L10965">
        <f>_xlfn.XLOOKUP(Tableau1[[#This Row],[TYPE DE PIECE]],Tableau4[MATIERE],Tableau4[SHORT TYPE],"",0,1)</f>
        <v/>
      </c>
      <c r="N10965">
        <f>IF(ISERR(FIND("DECOUPE",Tableau1[[#This Row],[DESIGNATION]])),"","NEED REF")</f>
        <v/>
      </c>
    </row>
    <row r="10966">
      <c r="B10966" t="n">
        <v>34403040</v>
      </c>
      <c r="C10966" s="2" t="n">
        <v>41179</v>
      </c>
      <c r="D10966" t="inlineStr">
        <is>
          <t>SPEC</t>
        </is>
      </c>
      <c r="E10966" t="inlineStr">
        <is>
          <t>FLEXIBLE BUSBAR</t>
        </is>
      </c>
      <c r="F10966" t="inlineStr">
        <is>
          <t>NS 4000A Banque de France</t>
        </is>
      </c>
      <c r="J10966" t="inlineStr">
        <is>
          <t>Civetta</t>
        </is>
      </c>
      <c r="L10966">
        <f>_xlfn.XLOOKUP(Tableau1[[#This Row],[TYPE DE PIECE]],Tableau4[MATIERE],Tableau4[SHORT TYPE],"",0,1)</f>
        <v/>
      </c>
      <c r="N10966">
        <f>IF(ISERR(FIND("DECOUPE",Tableau1[[#This Row],[DESIGNATION]])),"","NEED REF")</f>
        <v/>
      </c>
    </row>
    <row r="10967">
      <c r="B10967" t="n">
        <v>34403039</v>
      </c>
      <c r="C10967" s="2" t="n">
        <v>41179</v>
      </c>
      <c r="D10967" t="inlineStr">
        <is>
          <t>SPEC</t>
        </is>
      </c>
      <c r="E10967" t="inlineStr">
        <is>
          <t>Tole pour prise sur fast charge</t>
        </is>
      </c>
      <c r="F10967" t="inlineStr">
        <is>
          <t>EV Fast charge</t>
        </is>
      </c>
      <c r="J10967" t="inlineStr">
        <is>
          <t>DUBOIS</t>
        </is>
      </c>
      <c r="L10967">
        <f>_xlfn.XLOOKUP(Tableau1[[#This Row],[TYPE DE PIECE]],Tableau4[MATIERE],Tableau4[SHORT TYPE],"",0,1)</f>
        <v/>
      </c>
      <c r="N10967">
        <f>IF(ISERR(FIND("DECOUPE",Tableau1[[#This Row],[DESIGNATION]])),"","NEED REF")</f>
        <v/>
      </c>
    </row>
    <row r="10968">
      <c r="B10968" t="n">
        <v>34403038</v>
      </c>
      <c r="C10968" s="2" t="n">
        <v>41178</v>
      </c>
      <c r="D10968" t="inlineStr">
        <is>
          <t>SPEC</t>
        </is>
      </c>
      <c r="E10968" t="inlineStr">
        <is>
          <t>UPPER CONNECTION ASSEMBLY</t>
        </is>
      </c>
      <c r="F10968" t="inlineStr">
        <is>
          <t>NS 4000A Banque de France</t>
        </is>
      </c>
      <c r="J10968" t="inlineStr">
        <is>
          <t>Civetta</t>
        </is>
      </c>
      <c r="L10968">
        <f>_xlfn.XLOOKUP(Tableau1[[#This Row],[TYPE DE PIECE]],Tableau4[MATIERE],Tableau4[SHORT TYPE],"",0,1)</f>
        <v/>
      </c>
      <c r="N10968">
        <f>IF(ISERR(FIND("DECOUPE",Tableau1[[#This Row],[DESIGNATION]])),"","NEED REF")</f>
        <v/>
      </c>
    </row>
    <row r="10969">
      <c r="B10969" t="n">
        <v>34403037</v>
      </c>
      <c r="C10969" s="2" t="n">
        <v>41178</v>
      </c>
      <c r="D10969" t="inlineStr">
        <is>
          <t>SPEC</t>
        </is>
      </c>
      <c r="E10969" t="inlineStr">
        <is>
          <t>OUTGOING BUSBAR PHASE 1 - 3</t>
        </is>
      </c>
      <c r="F10969" t="inlineStr">
        <is>
          <t>NS 4000A Banque de France</t>
        </is>
      </c>
      <c r="J10969" t="inlineStr">
        <is>
          <t>Civetta</t>
        </is>
      </c>
      <c r="L10969">
        <f>_xlfn.XLOOKUP(Tableau1[[#This Row],[TYPE DE PIECE]],Tableau4[MATIERE],Tableau4[SHORT TYPE],"",0,1)</f>
        <v/>
      </c>
      <c r="N10969">
        <f>IF(ISERR(FIND("DECOUPE",Tableau1[[#This Row],[DESIGNATION]])),"","NEED REF")</f>
        <v/>
      </c>
    </row>
    <row r="10970">
      <c r="B10970" t="n">
        <v>34403036</v>
      </c>
      <c r="C10970" s="2" t="n">
        <v>41178</v>
      </c>
      <c r="D10970" t="inlineStr">
        <is>
          <t>SPEC</t>
        </is>
      </c>
      <c r="E10970" t="inlineStr">
        <is>
          <t>OUTGOING BUSBAR PHASE 1 - 2</t>
        </is>
      </c>
      <c r="F10970" t="inlineStr">
        <is>
          <t>NS 4000A Banque de France</t>
        </is>
      </c>
      <c r="J10970" t="inlineStr">
        <is>
          <t>Civetta</t>
        </is>
      </c>
      <c r="L10970">
        <f>_xlfn.XLOOKUP(Tableau1[[#This Row],[TYPE DE PIECE]],Tableau4[MATIERE],Tableau4[SHORT TYPE],"",0,1)</f>
        <v/>
      </c>
      <c r="N10970">
        <f>IF(ISERR(FIND("DECOUPE",Tableau1[[#This Row],[DESIGNATION]])),"","NEED REF")</f>
        <v/>
      </c>
    </row>
    <row r="10971">
      <c r="B10971" t="n">
        <v>34403035</v>
      </c>
      <c r="C10971" s="2" t="n">
        <v>41178</v>
      </c>
      <c r="D10971" t="inlineStr">
        <is>
          <t>SPEC</t>
        </is>
      </c>
      <c r="E10971" t="inlineStr">
        <is>
          <t>OUTGOING BUSBAR PHASE 1 - 1</t>
        </is>
      </c>
      <c r="F10971" t="inlineStr">
        <is>
          <t>NS 4000A Banque de France</t>
        </is>
      </c>
      <c r="J10971" t="inlineStr">
        <is>
          <t>Civetta</t>
        </is>
      </c>
      <c r="L10971">
        <f>_xlfn.XLOOKUP(Tableau1[[#This Row],[TYPE DE PIECE]],Tableau4[MATIERE],Tableau4[SHORT TYPE],"",0,1)</f>
        <v/>
      </c>
      <c r="N10971">
        <f>IF(ISERR(FIND("DECOUPE",Tableau1[[#This Row],[DESIGNATION]])),"","NEED REF")</f>
        <v/>
      </c>
    </row>
    <row r="10972">
      <c r="B10972" t="n">
        <v>34403034</v>
      </c>
      <c r="C10972" s="2" t="n">
        <v>41178</v>
      </c>
      <c r="D10972" t="inlineStr">
        <is>
          <t>SPEC</t>
        </is>
      </c>
      <c r="E10972" t="inlineStr">
        <is>
          <t>UPPER CONNECTION PHASE 1</t>
        </is>
      </c>
      <c r="F10972" t="inlineStr">
        <is>
          <t>NS 4000A Banque de France</t>
        </is>
      </c>
      <c r="J10972" t="inlineStr">
        <is>
          <t>Civetta</t>
        </is>
      </c>
      <c r="L10972">
        <f>_xlfn.XLOOKUP(Tableau1[[#This Row],[TYPE DE PIECE]],Tableau4[MATIERE],Tableau4[SHORT TYPE],"",0,1)</f>
        <v/>
      </c>
      <c r="N10972">
        <f>IF(ISERR(FIND("DECOUPE",Tableau1[[#This Row],[DESIGNATION]])),"","NEED REF")</f>
        <v/>
      </c>
    </row>
    <row r="10973">
      <c r="B10973" t="n">
        <v>34403033</v>
      </c>
      <c r="C10973" s="2" t="n">
        <v>41177</v>
      </c>
      <c r="D10973" t="inlineStr">
        <is>
          <t>SPEC</t>
        </is>
      </c>
      <c r="E10973" t="inlineStr">
        <is>
          <t>ASSEMBLY WEDGE</t>
        </is>
      </c>
      <c r="F10973" t="inlineStr">
        <is>
          <t>NS 4000A Banque de France</t>
        </is>
      </c>
      <c r="J10973" t="inlineStr">
        <is>
          <t>Civetta</t>
        </is>
      </c>
      <c r="L10973">
        <f>_xlfn.XLOOKUP(Tableau1[[#This Row],[TYPE DE PIECE]],Tableau4[MATIERE],Tableau4[SHORT TYPE],"",0,1)</f>
        <v/>
      </c>
      <c r="N10973">
        <f>IF(ISERR(FIND("DECOUPE",Tableau1[[#This Row],[DESIGNATION]])),"","NEED REF")</f>
        <v/>
      </c>
    </row>
    <row r="10974">
      <c r="B10974" t="n">
        <v>34403032</v>
      </c>
      <c r="C10974" s="2" t="n">
        <v>41177</v>
      </c>
      <c r="D10974" t="inlineStr">
        <is>
          <t>SPEC</t>
        </is>
      </c>
      <c r="E10974" t="inlineStr">
        <is>
          <t>PLASTRON 2 ARM COUPLAGE BATT 120kVA</t>
        </is>
      </c>
      <c r="F10974" t="inlineStr">
        <is>
          <t>ARM COUPLAGE BATT 120kVA</t>
        </is>
      </c>
      <c r="J10974" t="inlineStr">
        <is>
          <t>TCHEWEMO</t>
        </is>
      </c>
      <c r="L10974">
        <f>_xlfn.XLOOKUP(Tableau1[[#This Row],[TYPE DE PIECE]],Tableau4[MATIERE],Tableau4[SHORT TYPE],"",0,1)</f>
        <v/>
      </c>
      <c r="N10974">
        <f>IF(ISERR(FIND("DECOUPE",Tableau1[[#This Row],[DESIGNATION]])),"","NEED REF")</f>
        <v/>
      </c>
    </row>
    <row r="10975">
      <c r="B10975" t="n">
        <v>34403031</v>
      </c>
      <c r="C10975" s="2" t="n">
        <v>41177</v>
      </c>
      <c r="D10975" t="inlineStr">
        <is>
          <t>SPEC</t>
        </is>
      </c>
      <c r="E10975" t="inlineStr">
        <is>
          <t>PLASTRON 1 ARM COUPLAGE BATT 120kVA</t>
        </is>
      </c>
      <c r="F10975" t="inlineStr">
        <is>
          <t>ARM COUPLAGE BATT 120kVA</t>
        </is>
      </c>
      <c r="J10975" t="inlineStr">
        <is>
          <t>TCHEWEMO</t>
        </is>
      </c>
      <c r="L10975">
        <f>_xlfn.XLOOKUP(Tableau1[[#This Row],[TYPE DE PIECE]],Tableau4[MATIERE],Tableau4[SHORT TYPE],"",0,1)</f>
        <v/>
      </c>
      <c r="N10975">
        <f>IF(ISERR(FIND("DECOUPE",Tableau1[[#This Row],[DESIGNATION]])),"","NEED REF")</f>
        <v/>
      </c>
    </row>
    <row r="10976">
      <c r="B10976" t="n">
        <v>34403030</v>
      </c>
      <c r="C10976" s="2" t="n">
        <v>41176</v>
      </c>
      <c r="D10976" t="inlineStr">
        <is>
          <t>SPEC</t>
        </is>
      </c>
      <c r="E10976" t="inlineStr">
        <is>
          <t>PHASE 1 SUPPORT</t>
        </is>
      </c>
      <c r="F10976" t="inlineStr">
        <is>
          <t>NS 4000A Banque de France</t>
        </is>
      </c>
      <c r="J10976" t="inlineStr">
        <is>
          <t>Civetta</t>
        </is>
      </c>
      <c r="L10976">
        <f>_xlfn.XLOOKUP(Tableau1[[#This Row],[TYPE DE PIECE]],Tableau4[MATIERE],Tableau4[SHORT TYPE],"",0,1)</f>
        <v/>
      </c>
      <c r="N10976">
        <f>IF(ISERR(FIND("DECOUPE",Tableau1[[#This Row],[DESIGNATION]])),"","NEED REF")</f>
        <v/>
      </c>
    </row>
    <row r="10977">
      <c r="B10977" t="n">
        <v>34403029</v>
      </c>
      <c r="C10977" s="2" t="n">
        <v>41174</v>
      </c>
      <c r="D10977" t="inlineStr">
        <is>
          <t>SPEC</t>
        </is>
      </c>
      <c r="E10977" t="inlineStr">
        <is>
          <t>PEN BUSBAR 2</t>
        </is>
      </c>
      <c r="F10977" t="inlineStr">
        <is>
          <t>NS 4000A Banque de France</t>
        </is>
      </c>
      <c r="J10977" t="inlineStr">
        <is>
          <t>Civetta</t>
        </is>
      </c>
      <c r="L10977">
        <f>_xlfn.XLOOKUP(Tableau1[[#This Row],[TYPE DE PIECE]],Tableau4[MATIERE],Tableau4[SHORT TYPE],"",0,1)</f>
        <v/>
      </c>
      <c r="N10977">
        <f>IF(ISERR(FIND("DECOUPE",Tableau1[[#This Row],[DESIGNATION]])),"","NEED REF")</f>
        <v/>
      </c>
    </row>
    <row r="10978">
      <c r="B10978" t="n">
        <v>34403028</v>
      </c>
      <c r="C10978" s="2" t="n">
        <v>41174</v>
      </c>
      <c r="D10978" t="inlineStr">
        <is>
          <t>SPEC</t>
        </is>
      </c>
      <c r="E10978" t="inlineStr">
        <is>
          <t>PEN BUSBAR 1</t>
        </is>
      </c>
      <c r="F10978" t="inlineStr">
        <is>
          <t>NS 4000A Banque de France</t>
        </is>
      </c>
      <c r="J10978" t="inlineStr">
        <is>
          <t>Civetta</t>
        </is>
      </c>
      <c r="L10978">
        <f>_xlfn.XLOOKUP(Tableau1[[#This Row],[TYPE DE PIECE]],Tableau4[MATIERE],Tableau4[SHORT TYPE],"",0,1)</f>
        <v/>
      </c>
      <c r="N10978">
        <f>IF(ISERR(FIND("DECOUPE",Tableau1[[#This Row],[DESIGNATION]])),"","NEED REF")</f>
        <v/>
      </c>
    </row>
    <row r="10979">
      <c r="B10979" t="n">
        <v>34403027</v>
      </c>
      <c r="C10979" s="2" t="n">
        <v>41173</v>
      </c>
      <c r="D10979" t="inlineStr">
        <is>
          <t>SPEC</t>
        </is>
      </c>
      <c r="E10979" t="inlineStr">
        <is>
          <t>CROSS BUSBAR PHASE 1 - 3</t>
        </is>
      </c>
      <c r="F10979" t="inlineStr">
        <is>
          <t>NS 4000A Banque de France</t>
        </is>
      </c>
      <c r="J10979" t="inlineStr">
        <is>
          <t>Civetta</t>
        </is>
      </c>
      <c r="L10979">
        <f>_xlfn.XLOOKUP(Tableau1[[#This Row],[TYPE DE PIECE]],Tableau4[MATIERE],Tableau4[SHORT TYPE],"",0,1)</f>
        <v/>
      </c>
      <c r="N10979">
        <f>IF(ISERR(FIND("DECOUPE",Tableau1[[#This Row],[DESIGNATION]])),"","NEED REF")</f>
        <v/>
      </c>
    </row>
    <row r="10980">
      <c r="B10980" t="n">
        <v>34403026</v>
      </c>
      <c r="C10980" s="2" t="n">
        <v>41173</v>
      </c>
      <c r="D10980" t="inlineStr">
        <is>
          <t>SPEC</t>
        </is>
      </c>
      <c r="E10980" t="inlineStr">
        <is>
          <t>CROSS BUSBAR PHASE 1 - 2</t>
        </is>
      </c>
      <c r="F10980" t="inlineStr">
        <is>
          <t>NS 4000A Banque de France</t>
        </is>
      </c>
      <c r="J10980" t="inlineStr">
        <is>
          <t>Civetta</t>
        </is>
      </c>
      <c r="L10980">
        <f>_xlfn.XLOOKUP(Tableau1[[#This Row],[TYPE DE PIECE]],Tableau4[MATIERE],Tableau4[SHORT TYPE],"",0,1)</f>
        <v/>
      </c>
      <c r="N10980">
        <f>IF(ISERR(FIND("DECOUPE",Tableau1[[#This Row],[DESIGNATION]])),"","NEED REF")</f>
        <v/>
      </c>
    </row>
    <row r="10981">
      <c r="B10981" t="n">
        <v>34403025</v>
      </c>
      <c r="C10981" s="2" t="n">
        <v>41173</v>
      </c>
      <c r="D10981" t="inlineStr">
        <is>
          <t>SPEC</t>
        </is>
      </c>
      <c r="E10981" t="inlineStr">
        <is>
          <t>CROSS BUSBAR PHASE 1 - 1</t>
        </is>
      </c>
      <c r="F10981" t="inlineStr">
        <is>
          <t>NS 4000A Banque de France</t>
        </is>
      </c>
      <c r="J10981" t="inlineStr">
        <is>
          <t>Civetta</t>
        </is>
      </c>
      <c r="L10981">
        <f>_xlfn.XLOOKUP(Tableau1[[#This Row],[TYPE DE PIECE]],Tableau4[MATIERE],Tableau4[SHORT TYPE],"",0,1)</f>
        <v/>
      </c>
      <c r="N10981">
        <f>IF(ISERR(FIND("DECOUPE",Tableau1[[#This Row],[DESIGNATION]])),"","NEED REF")</f>
        <v/>
      </c>
    </row>
    <row r="10982">
      <c r="B10982" t="n">
        <v>34403024</v>
      </c>
      <c r="C10982" s="2" t="n">
        <v>41173</v>
      </c>
      <c r="D10982" t="inlineStr">
        <is>
          <t>SPEC</t>
        </is>
      </c>
      <c r="E10982" t="inlineStr">
        <is>
          <t>CROSS BUSBAR PHASE 2/3 - 1</t>
        </is>
      </c>
      <c r="F10982" t="inlineStr">
        <is>
          <t>NS 4000A Banque de France</t>
        </is>
      </c>
      <c r="J10982" t="inlineStr">
        <is>
          <t>Civetta</t>
        </is>
      </c>
      <c r="L10982">
        <f>_xlfn.XLOOKUP(Tableau1[[#This Row],[TYPE DE PIECE]],Tableau4[MATIERE],Tableau4[SHORT TYPE],"",0,1)</f>
        <v/>
      </c>
      <c r="N10982">
        <f>IF(ISERR(FIND("DECOUPE",Tableau1[[#This Row],[DESIGNATION]])),"","NEED REF")</f>
        <v/>
      </c>
    </row>
    <row r="10983">
      <c r="B10983" t="n">
        <v>34403023</v>
      </c>
      <c r="C10983" s="2" t="n"/>
      <c r="L10983">
        <f>_xlfn.XLOOKUP(Tableau1[[#This Row],[TYPE DE PIECE]],Tableau4[MATIERE],Tableau4[SHORT TYPE],"",0,1)</f>
        <v/>
      </c>
      <c r="N10983">
        <f>IF(ISERR(FIND("DECOUPE",Tableau1[[#This Row],[DESIGNATION]])),"","NEED REF")</f>
        <v/>
      </c>
    </row>
    <row r="10984">
      <c r="B10984" t="n">
        <v>34403022</v>
      </c>
      <c r="C10984" s="2" t="n">
        <v>41197</v>
      </c>
      <c r="D10984" t="inlineStr">
        <is>
          <t>SPEC</t>
        </is>
      </c>
      <c r="E10984" t="inlineStr">
        <is>
          <t>MONTANT DROITE PDPM</t>
        </is>
      </c>
      <c r="F10984" t="inlineStr">
        <is>
          <t>PDPM277H</t>
        </is>
      </c>
      <c r="J10984" t="inlineStr">
        <is>
          <t>MATRION</t>
        </is>
      </c>
      <c r="L10984">
        <f>_xlfn.XLOOKUP(Tableau1[[#This Row],[TYPE DE PIECE]],Tableau4[MATIERE],Tableau4[SHORT TYPE],"",0,1)</f>
        <v/>
      </c>
      <c r="N10984">
        <f>IF(ISERR(FIND("DECOUPE",Tableau1[[#This Row],[DESIGNATION]])),"","NEED REF")</f>
        <v/>
      </c>
    </row>
    <row r="10985">
      <c r="B10985" t="n">
        <v>34403021</v>
      </c>
      <c r="C10985" s="2" t="n">
        <v>41197</v>
      </c>
      <c r="D10985" t="inlineStr">
        <is>
          <t>SPEC</t>
        </is>
      </c>
      <c r="E10985" t="inlineStr">
        <is>
          <t>PLATINE ALIM PDPM</t>
        </is>
      </c>
      <c r="F10985" t="inlineStr">
        <is>
          <t>PDPM277H</t>
        </is>
      </c>
      <c r="J10985" t="inlineStr">
        <is>
          <t>MATRION</t>
        </is>
      </c>
      <c r="L10985">
        <f>_xlfn.XLOOKUP(Tableau1[[#This Row],[TYPE DE PIECE]],Tableau4[MATIERE],Tableau4[SHORT TYPE],"",0,1)</f>
        <v/>
      </c>
      <c r="N10985">
        <f>IF(ISERR(FIND("DECOUPE",Tableau1[[#This Row],[DESIGNATION]])),"","NEED REF")</f>
        <v/>
      </c>
    </row>
    <row r="10986">
      <c r="B10986" t="n">
        <v>34403020</v>
      </c>
      <c r="C10986" s="2" t="n">
        <v>41191</v>
      </c>
      <c r="D10986" t="inlineStr">
        <is>
          <t>SPEC</t>
        </is>
      </c>
      <c r="E10986" t="inlineStr">
        <is>
          <t>INSTALL AND USER MANUAL STS1200A</t>
        </is>
      </c>
      <c r="F10986" t="inlineStr">
        <is>
          <t>STS1200A</t>
        </is>
      </c>
      <c r="J10986" t="inlineStr">
        <is>
          <t>MATRION</t>
        </is>
      </c>
      <c r="L10986">
        <f>_xlfn.XLOOKUP(Tableau1[[#This Row],[TYPE DE PIECE]],Tableau4[MATIERE],Tableau4[SHORT TYPE],"",0,1)</f>
        <v/>
      </c>
      <c r="N10986">
        <f>IF(ISERR(FIND("DECOUPE",Tableau1[[#This Row],[DESIGNATION]])),"","NEED REF")</f>
        <v/>
      </c>
    </row>
    <row r="10987">
      <c r="B10987" t="n">
        <v>34403019</v>
      </c>
      <c r="C10987" s="2" t="n">
        <v>41170</v>
      </c>
      <c r="D10987" t="inlineStr">
        <is>
          <t>SPEC</t>
        </is>
      </c>
      <c r="E10987" t="inlineStr">
        <is>
          <t>TOIT 1012</t>
        </is>
      </c>
      <c r="F10987" t="inlineStr">
        <is>
          <t>STS1200A</t>
        </is>
      </c>
      <c r="J10987" t="inlineStr">
        <is>
          <t>MATRION</t>
        </is>
      </c>
      <c r="L10987">
        <f>_xlfn.XLOOKUP(Tableau1[[#This Row],[TYPE DE PIECE]],Tableau4[MATIERE],Tableau4[SHORT TYPE],"",0,1)</f>
        <v/>
      </c>
      <c r="N10987">
        <f>IF(ISERR(FIND("DECOUPE",Tableau1[[#This Row],[DESIGNATION]])),"","NEED REF")</f>
        <v/>
      </c>
    </row>
    <row r="10988">
      <c r="B10988" t="n">
        <v>34403018</v>
      </c>
      <c r="C10988" s="2" t="n">
        <v>41170</v>
      </c>
      <c r="D10988" t="inlineStr">
        <is>
          <t>SPEC</t>
        </is>
      </c>
      <c r="E10988" t="inlineStr">
        <is>
          <t>PROTECTION LATERAL 3</t>
        </is>
      </c>
      <c r="F10988" t="inlineStr">
        <is>
          <t>STS1200A</t>
        </is>
      </c>
      <c r="J10988" t="inlineStr">
        <is>
          <t>MATRION</t>
        </is>
      </c>
      <c r="L10988">
        <f>_xlfn.XLOOKUP(Tableau1[[#This Row],[TYPE DE PIECE]],Tableau4[MATIERE],Tableau4[SHORT TYPE],"",0,1)</f>
        <v/>
      </c>
      <c r="N10988">
        <f>IF(ISERR(FIND("DECOUPE",Tableau1[[#This Row],[DESIGNATION]])),"","NEED REF")</f>
        <v/>
      </c>
    </row>
    <row r="10989">
      <c r="B10989" t="n">
        <v>34403017</v>
      </c>
      <c r="C10989" s="2" t="n">
        <v>41170</v>
      </c>
      <c r="D10989" t="inlineStr">
        <is>
          <t>SPEC</t>
        </is>
      </c>
      <c r="E10989" t="inlineStr">
        <is>
          <t>PROTECTION LATERAL 2 CS</t>
        </is>
      </c>
      <c r="F10989" t="inlineStr">
        <is>
          <t>STS1200A</t>
        </is>
      </c>
      <c r="J10989" t="inlineStr">
        <is>
          <t>MATRION</t>
        </is>
      </c>
      <c r="L10989">
        <f>_xlfn.XLOOKUP(Tableau1[[#This Row],[TYPE DE PIECE]],Tableau4[MATIERE],Tableau4[SHORT TYPE],"",0,1)</f>
        <v/>
      </c>
      <c r="N10989">
        <f>IF(ISERR(FIND("DECOUPE",Tableau1[[#This Row],[DESIGNATION]])),"","NEED REF")</f>
        <v/>
      </c>
    </row>
    <row r="10990">
      <c r="B10990" t="n">
        <v>34403016</v>
      </c>
      <c r="C10990" s="2" t="n">
        <v>41170</v>
      </c>
      <c r="D10990" t="inlineStr">
        <is>
          <t>SPEC</t>
        </is>
      </c>
      <c r="E10990" t="inlineStr">
        <is>
          <t>PROTECTION LATERAL 3 CS</t>
        </is>
      </c>
      <c r="F10990" t="inlineStr">
        <is>
          <t>STS1200A</t>
        </is>
      </c>
      <c r="J10990" t="inlineStr">
        <is>
          <t>MATRION</t>
        </is>
      </c>
      <c r="L10990">
        <f>_xlfn.XLOOKUP(Tableau1[[#This Row],[TYPE DE PIECE]],Tableau4[MATIERE],Tableau4[SHORT TYPE],"",0,1)</f>
        <v/>
      </c>
      <c r="N10990">
        <f>IF(ISERR(FIND("DECOUPE",Tableau1[[#This Row],[DESIGNATION]])),"","NEED REF")</f>
        <v/>
      </c>
    </row>
    <row r="10991">
      <c r="B10991" t="n">
        <v>34403015</v>
      </c>
      <c r="C10991" s="2" t="n">
        <v>41170</v>
      </c>
      <c r="D10991" t="inlineStr">
        <is>
          <t>SPEC</t>
        </is>
      </c>
      <c r="E10991" t="inlineStr">
        <is>
          <t>PROTECTION JDB SUPERIEUR 2</t>
        </is>
      </c>
      <c r="F10991" t="inlineStr">
        <is>
          <t>STS1200A</t>
        </is>
      </c>
      <c r="J10991" t="inlineStr">
        <is>
          <t>MATRION</t>
        </is>
      </c>
      <c r="L10991">
        <f>_xlfn.XLOOKUP(Tableau1[[#This Row],[TYPE DE PIECE]],Tableau4[MATIERE],Tableau4[SHORT TYPE],"",0,1)</f>
        <v/>
      </c>
      <c r="N10991">
        <f>IF(ISERR(FIND("DECOUPE",Tableau1[[#This Row],[DESIGNATION]])),"","NEED REF")</f>
        <v/>
      </c>
    </row>
    <row r="10992">
      <c r="B10992" t="n">
        <v>34403014</v>
      </c>
      <c r="C10992" s="2" t="n">
        <v>41170</v>
      </c>
      <c r="D10992" t="inlineStr">
        <is>
          <t>SPEC</t>
        </is>
      </c>
      <c r="E10992" t="inlineStr">
        <is>
          <t>PROTECTION LATERAL 4 CS</t>
        </is>
      </c>
      <c r="F10992" t="inlineStr">
        <is>
          <t>STS1200A</t>
        </is>
      </c>
      <c r="J10992" t="inlineStr">
        <is>
          <t>MATRION</t>
        </is>
      </c>
      <c r="L10992">
        <f>_xlfn.XLOOKUP(Tableau1[[#This Row],[TYPE DE PIECE]],Tableau4[MATIERE],Tableau4[SHORT TYPE],"",0,1)</f>
        <v/>
      </c>
      <c r="N10992">
        <f>IF(ISERR(FIND("DECOUPE",Tableau1[[#This Row],[DESIGNATION]])),"","NEED REF")</f>
        <v/>
      </c>
    </row>
    <row r="10993">
      <c r="B10993" t="n">
        <v>34403013</v>
      </c>
      <c r="C10993" s="2" t="n">
        <v>41170</v>
      </c>
      <c r="D10993" t="inlineStr">
        <is>
          <t>SPEC</t>
        </is>
      </c>
      <c r="E10993" t="inlineStr">
        <is>
          <t>PROTECTION LATERAL 1 CS</t>
        </is>
      </c>
      <c r="F10993" t="inlineStr">
        <is>
          <t>STS1200A</t>
        </is>
      </c>
      <c r="J10993" t="inlineStr">
        <is>
          <t>MATRION</t>
        </is>
      </c>
      <c r="L10993">
        <f>_xlfn.XLOOKUP(Tableau1[[#This Row],[TYPE DE PIECE]],Tableau4[MATIERE],Tableau4[SHORT TYPE],"",0,1)</f>
        <v/>
      </c>
      <c r="N10993">
        <f>IF(ISERR(FIND("DECOUPE",Tableau1[[#This Row],[DESIGNATION]])),"","NEED REF")</f>
        <v/>
      </c>
    </row>
    <row r="10994">
      <c r="B10994" t="n">
        <v>34403012</v>
      </c>
      <c r="C10994" s="2" t="n"/>
      <c r="L10994">
        <f>_xlfn.XLOOKUP(Tableau1[[#This Row],[TYPE DE PIECE]],Tableau4[MATIERE],Tableau4[SHORT TYPE],"",0,1)</f>
        <v/>
      </c>
      <c r="N10994">
        <f>IF(ISERR(FIND("DECOUPE",Tableau1[[#This Row],[DESIGNATION]])),"","NEED REF")</f>
        <v/>
      </c>
    </row>
    <row r="10995">
      <c r="B10995" t="n">
        <v>34403011</v>
      </c>
      <c r="C10995" s="2" t="n">
        <v>41170</v>
      </c>
      <c r="D10995" t="inlineStr">
        <is>
          <t>SPEC</t>
        </is>
      </c>
      <c r="E10995" t="inlineStr">
        <is>
          <t>PROTECTION LATERAL 2</t>
        </is>
      </c>
      <c r="F10995" t="inlineStr">
        <is>
          <t>STS1200A</t>
        </is>
      </c>
      <c r="J10995" t="inlineStr">
        <is>
          <t>MATRION</t>
        </is>
      </c>
      <c r="L10995">
        <f>_xlfn.XLOOKUP(Tableau1[[#This Row],[TYPE DE PIECE]],Tableau4[MATIERE],Tableau4[SHORT TYPE],"",0,1)</f>
        <v/>
      </c>
      <c r="N10995">
        <f>IF(ISERR(FIND("DECOUPE",Tableau1[[#This Row],[DESIGNATION]])),"","NEED REF")</f>
        <v/>
      </c>
    </row>
    <row r="10996">
      <c r="B10996" t="n">
        <v>34403010</v>
      </c>
      <c r="C10996" s="2" t="n">
        <v>41170</v>
      </c>
      <c r="D10996" t="inlineStr">
        <is>
          <t>SPEC</t>
        </is>
      </c>
      <c r="E10996" t="inlineStr">
        <is>
          <t>PROTECTION RACC HAUT UTIL</t>
        </is>
      </c>
      <c r="F10996" t="inlineStr">
        <is>
          <t>STS1200A</t>
        </is>
      </c>
      <c r="J10996" t="inlineStr">
        <is>
          <t>MATRION</t>
        </is>
      </c>
      <c r="L10996">
        <f>_xlfn.XLOOKUP(Tableau1[[#This Row],[TYPE DE PIECE]],Tableau4[MATIERE],Tableau4[SHORT TYPE],"",0,1)</f>
        <v/>
      </c>
      <c r="N10996">
        <f>IF(ISERR(FIND("DECOUPE",Tableau1[[#This Row],[DESIGNATION]])),"","NEED REF")</f>
        <v/>
      </c>
    </row>
    <row r="10997">
      <c r="B10997" t="n">
        <v>34403009</v>
      </c>
      <c r="C10997" s="2" t="n">
        <v>41170</v>
      </c>
      <c r="D10997" t="inlineStr">
        <is>
          <t>SPEC</t>
        </is>
      </c>
      <c r="E10997" t="inlineStr">
        <is>
          <t>PROTECTION AVAL Q3</t>
        </is>
      </c>
      <c r="F10997" t="inlineStr">
        <is>
          <t>STS1200A</t>
        </is>
      </c>
      <c r="J10997" t="inlineStr">
        <is>
          <t>MATRION</t>
        </is>
      </c>
      <c r="L10997">
        <f>_xlfn.XLOOKUP(Tableau1[[#This Row],[TYPE DE PIECE]],Tableau4[MATIERE],Tableau4[SHORT TYPE],"",0,1)</f>
        <v/>
      </c>
      <c r="N10997">
        <f>IF(ISERR(FIND("DECOUPE",Tableau1[[#This Row],[DESIGNATION]])),"","NEED REF")</f>
        <v/>
      </c>
    </row>
    <row r="10998">
      <c r="B10998" t="n">
        <v>34403008</v>
      </c>
      <c r="C10998" s="2" t="n">
        <v>41170</v>
      </c>
      <c r="D10998" t="inlineStr">
        <is>
          <t>SPEC</t>
        </is>
      </c>
      <c r="E10998" t="inlineStr">
        <is>
          <t>PROTECTION JDB LATERAL 2</t>
        </is>
      </c>
      <c r="F10998" t="inlineStr">
        <is>
          <t>STS1200A</t>
        </is>
      </c>
      <c r="J10998" t="inlineStr">
        <is>
          <t>MATRION</t>
        </is>
      </c>
      <c r="L10998">
        <f>_xlfn.XLOOKUP(Tableau1[[#This Row],[TYPE DE PIECE]],Tableau4[MATIERE],Tableau4[SHORT TYPE],"",0,1)</f>
        <v/>
      </c>
      <c r="N10998">
        <f>IF(ISERR(FIND("DECOUPE",Tableau1[[#This Row],[DESIGNATION]])),"","NEED REF")</f>
        <v/>
      </c>
    </row>
    <row r="10999">
      <c r="B10999" t="n">
        <v>34403007</v>
      </c>
      <c r="C10999" s="2" t="n">
        <v>41170</v>
      </c>
      <c r="D10999" t="inlineStr">
        <is>
          <t>SPEC</t>
        </is>
      </c>
      <c r="E10999" t="inlineStr">
        <is>
          <t>PROTECTION JDB LATERAL 1</t>
        </is>
      </c>
      <c r="F10999" t="inlineStr">
        <is>
          <t>STS1200A</t>
        </is>
      </c>
      <c r="J10999" t="inlineStr">
        <is>
          <t>MATRION</t>
        </is>
      </c>
      <c r="L10999">
        <f>_xlfn.XLOOKUP(Tableau1[[#This Row],[TYPE DE PIECE]],Tableau4[MATIERE],Tableau4[SHORT TYPE],"",0,1)</f>
        <v/>
      </c>
      <c r="N10999">
        <f>IF(ISERR(FIND("DECOUPE",Tableau1[[#This Row],[DESIGNATION]])),"","NEED REF")</f>
        <v/>
      </c>
    </row>
    <row r="11000">
      <c r="B11000" t="n">
        <v>34403006</v>
      </c>
      <c r="C11000" s="2" t="n">
        <v>41170</v>
      </c>
      <c r="D11000" t="inlineStr">
        <is>
          <t>SPEC</t>
        </is>
      </c>
      <c r="E11000" t="inlineStr">
        <is>
          <t>PROTECTION JDB SUPERIEUR 1</t>
        </is>
      </c>
      <c r="F11000" t="inlineStr">
        <is>
          <t>STS1200A</t>
        </is>
      </c>
      <c r="J11000" t="inlineStr">
        <is>
          <t>MATRION</t>
        </is>
      </c>
      <c r="L11000">
        <f>_xlfn.XLOOKUP(Tableau1[[#This Row],[TYPE DE PIECE]],Tableau4[MATIERE],Tableau4[SHORT TYPE],"",0,1)</f>
        <v/>
      </c>
      <c r="N11000">
        <f>IF(ISERR(FIND("DECOUPE",Tableau1[[#This Row],[DESIGNATION]])),"","NEED REF")</f>
        <v/>
      </c>
    </row>
    <row r="11001">
      <c r="B11001" t="n">
        <v>34403005</v>
      </c>
      <c r="C11001" s="2" t="n">
        <v>41169</v>
      </c>
      <c r="D11001" t="inlineStr">
        <is>
          <t>SPEC</t>
        </is>
      </c>
      <c r="E11001" t="inlineStr">
        <is>
          <t>COPPER SPACER</t>
        </is>
      </c>
      <c r="F11001" t="inlineStr">
        <is>
          <t>NS 4000A Banque de France</t>
        </is>
      </c>
      <c r="J11001" t="inlineStr">
        <is>
          <t>Civetta</t>
        </is>
      </c>
      <c r="L11001">
        <f>_xlfn.XLOOKUP(Tableau1[[#This Row],[TYPE DE PIECE]],Tableau4[MATIERE],Tableau4[SHORT TYPE],"",0,1)</f>
        <v/>
      </c>
      <c r="N11001">
        <f>IF(ISERR(FIND("DECOUPE",Tableau1[[#This Row],[DESIGNATION]])),"","NEED REF")</f>
        <v/>
      </c>
    </row>
    <row r="11002">
      <c r="B11002" t="n">
        <v>34403004</v>
      </c>
      <c r="C11002" s="2" t="n">
        <v>41164</v>
      </c>
      <c r="D11002" t="inlineStr">
        <is>
          <t>SPEC</t>
        </is>
      </c>
      <c r="E11002" t="inlineStr">
        <is>
          <t>BIMETAL PLATE</t>
        </is>
      </c>
      <c r="F11002" t="inlineStr">
        <is>
          <t>NS 4000A Banque de France</t>
        </is>
      </c>
      <c r="J11002" t="inlineStr">
        <is>
          <t>Civetta</t>
        </is>
      </c>
      <c r="L11002">
        <f>_xlfn.XLOOKUP(Tableau1[[#This Row],[TYPE DE PIECE]],Tableau4[MATIERE],Tableau4[SHORT TYPE],"",0,1)</f>
        <v/>
      </c>
      <c r="N11002">
        <f>IF(ISERR(FIND("DECOUPE",Tableau1[[#This Row],[DESIGNATION]])),"","NEED REF")</f>
        <v/>
      </c>
    </row>
    <row r="11003">
      <c r="B11003" t="n">
        <v>34403003</v>
      </c>
      <c r="C11003" s="2" t="n">
        <v>41164</v>
      </c>
      <c r="D11003" t="inlineStr">
        <is>
          <t>SPEC</t>
        </is>
      </c>
      <c r="E11003" t="inlineStr">
        <is>
          <t>STIFFNER</t>
        </is>
      </c>
      <c r="F11003" t="inlineStr">
        <is>
          <t>NS 4000A Banque de France</t>
        </is>
      </c>
      <c r="J11003" t="inlineStr">
        <is>
          <t>Civetta</t>
        </is>
      </c>
      <c r="L11003">
        <f>_xlfn.XLOOKUP(Tableau1[[#This Row],[TYPE DE PIECE]],Tableau4[MATIERE],Tableau4[SHORT TYPE],"",0,1)</f>
        <v/>
      </c>
      <c r="N11003">
        <f>IF(ISERR(FIND("DECOUPE",Tableau1[[#This Row],[DESIGNATION]])),"","NEED REF")</f>
        <v/>
      </c>
    </row>
    <row r="11004">
      <c r="B11004" t="n">
        <v>34403002</v>
      </c>
      <c r="C11004" s="2" t="n">
        <v>41164</v>
      </c>
      <c r="D11004" t="inlineStr">
        <is>
          <t>DM</t>
        </is>
      </c>
      <c r="E11004" t="inlineStr">
        <is>
          <t>Dossier de montage Fast Charge</t>
        </is>
      </c>
      <c r="F11004" t="inlineStr">
        <is>
          <t>EV Fast charge</t>
        </is>
      </c>
      <c r="L11004">
        <f>_xlfn.XLOOKUP(Tableau1[[#This Row],[TYPE DE PIECE]],Tableau4[MATIERE],Tableau4[SHORT TYPE],"",0,1)</f>
        <v/>
      </c>
      <c r="N11004">
        <f>IF(ISERR(FIND("DECOUPE",Tableau1[[#This Row],[DESIGNATION]])),"","NEED REF")</f>
        <v/>
      </c>
    </row>
    <row r="11005">
      <c r="B11005" t="n">
        <v>34403001</v>
      </c>
      <c r="C11005" s="2" t="n"/>
      <c r="D11005" t="inlineStr">
        <is>
          <t>SPEC</t>
        </is>
      </c>
      <c r="E11005" t="inlineStr">
        <is>
          <t xml:space="preserve">Panneau plastique Velfor afficheur HMI  + RFID percé pour prise AC 22Kw </t>
        </is>
      </c>
      <c r="F11005" t="inlineStr">
        <is>
          <t>EV Fast charge</t>
        </is>
      </c>
      <c r="L11005">
        <f>_xlfn.XLOOKUP(Tableau1[[#This Row],[TYPE DE PIECE]],Tableau4[MATIERE],Tableau4[SHORT TYPE],"",0,1)</f>
        <v/>
      </c>
      <c r="N11005">
        <f>IF(ISERR(FIND("DECOUPE",Tableau1[[#This Row],[DESIGNATION]])),"","NEED REF")</f>
        <v/>
      </c>
    </row>
    <row r="11006">
      <c r="B11006" t="n">
        <v>34403000</v>
      </c>
      <c r="C11006" s="2" t="n">
        <v>41157</v>
      </c>
      <c r="D11006" t="inlineStr">
        <is>
          <t>DM</t>
        </is>
      </c>
      <c r="E11006" t="inlineStr">
        <is>
          <t>Dossier de montage skid pour Shamiya</t>
        </is>
      </c>
      <c r="F11006" t="inlineStr">
        <is>
          <t>G7K</t>
        </is>
      </c>
      <c r="L11006">
        <f>_xlfn.XLOOKUP(Tableau1[[#This Row],[TYPE DE PIECE]],Tableau4[MATIERE],Tableau4[SHORT TYPE],"",0,1)</f>
        <v/>
      </c>
      <c r="N11006">
        <f>IF(ISERR(FIND("DECOUPE",Tableau1[[#This Row],[DESIGNATION]])),"","NEED REF")</f>
        <v/>
      </c>
    </row>
    <row r="11007">
      <c r="B11007" t="n">
        <v>34402999</v>
      </c>
      <c r="C11007" s="2" t="n">
        <v>41155</v>
      </c>
      <c r="E11007" t="inlineStr">
        <is>
          <t>SKID TFO 63kVA</t>
        </is>
      </c>
      <c r="F11007" t="inlineStr">
        <is>
          <t>G5K</t>
        </is>
      </c>
      <c r="J11007" t="inlineStr">
        <is>
          <t>ÇAKIR</t>
        </is>
      </c>
      <c r="L11007">
        <f>_xlfn.XLOOKUP(Tableau1[[#This Row],[TYPE DE PIECE]],Tableau4[MATIERE],Tableau4[SHORT TYPE],"",0,1)</f>
        <v/>
      </c>
      <c r="N11007">
        <f>IF(ISERR(FIND("DECOUPE",Tableau1[[#This Row],[DESIGNATION]])),"","NEED REF")</f>
        <v/>
      </c>
    </row>
    <row r="11008">
      <c r="B11008" t="n">
        <v>34402998</v>
      </c>
      <c r="C11008" s="2" t="n">
        <v>41149</v>
      </c>
      <c r="D11008" t="inlineStr">
        <is>
          <t>SPEC</t>
        </is>
      </c>
      <c r="E11008" t="inlineStr">
        <is>
          <t>Limande courants d'échange L=25m</t>
        </is>
      </c>
      <c r="F11008" t="inlineStr">
        <is>
          <t>G5K</t>
        </is>
      </c>
      <c r="J11008" t="inlineStr">
        <is>
          <t>MONGELLI</t>
        </is>
      </c>
      <c r="L11008">
        <f>_xlfn.XLOOKUP(Tableau1[[#This Row],[TYPE DE PIECE]],Tableau4[MATIERE],Tableau4[SHORT TYPE],"",0,1)</f>
        <v/>
      </c>
      <c r="N11008">
        <f>IF(ISERR(FIND("DECOUPE",Tableau1[[#This Row],[DESIGNATION]])),"","NEED REF")</f>
        <v/>
      </c>
    </row>
    <row r="11009">
      <c r="B11009" t="n">
        <v>34402997</v>
      </c>
      <c r="C11009" s="2" t="n">
        <v>41149</v>
      </c>
      <c r="D11009" t="inlineStr">
        <is>
          <t>SPEC</t>
        </is>
      </c>
      <c r="E11009" t="inlineStr">
        <is>
          <t xml:space="preserve">Limande BUS CAN Externe L=25m </t>
        </is>
      </c>
      <c r="F11009" t="inlineStr">
        <is>
          <t>NS 4000A Banque de France</t>
        </is>
      </c>
      <c r="J11009" t="inlineStr">
        <is>
          <t>Civetta</t>
        </is>
      </c>
      <c r="L11009">
        <f>_xlfn.XLOOKUP(Tableau1[[#This Row],[TYPE DE PIECE]],Tableau4[MATIERE],Tableau4[SHORT TYPE],"",0,1)</f>
        <v/>
      </c>
      <c r="N11009">
        <f>IF(ISERR(FIND("DECOUPE",Tableau1[[#This Row],[DESIGNATION]])),"","NEED REF")</f>
        <v/>
      </c>
    </row>
    <row r="11010">
      <c r="B11010" t="n">
        <v>34402996</v>
      </c>
      <c r="C11010" s="2" t="n">
        <v>41162</v>
      </c>
      <c r="D11010" t="inlineStr">
        <is>
          <t>SPEC</t>
        </is>
      </c>
      <c r="E11010" t="inlineStr">
        <is>
          <t>FLEXIBLE BUSBAR</t>
        </is>
      </c>
      <c r="F11010" t="inlineStr">
        <is>
          <t>NS 4000A Banque de France</t>
        </is>
      </c>
      <c r="J11010" t="inlineStr">
        <is>
          <t>Civetta</t>
        </is>
      </c>
      <c r="L11010">
        <f>_xlfn.XLOOKUP(Tableau1[[#This Row],[TYPE DE PIECE]],Tableau4[MATIERE],Tableau4[SHORT TYPE],"",0,1)</f>
        <v/>
      </c>
      <c r="N11010">
        <f>IF(ISERR(FIND("DECOUPE",Tableau1[[#This Row],[DESIGNATION]])),"","NEED REF")</f>
        <v/>
      </c>
    </row>
    <row r="11011">
      <c r="B11011" t="n">
        <v>34402995</v>
      </c>
      <c r="C11011" s="2" t="n">
        <v>41162</v>
      </c>
      <c r="D11011" t="inlineStr">
        <is>
          <t>SPEC</t>
        </is>
      </c>
      <c r="E11011" t="inlineStr">
        <is>
          <t>STRUCTURE STIFFNER</t>
        </is>
      </c>
      <c r="F11011" t="inlineStr">
        <is>
          <t>NS 4000A Banque de France</t>
        </is>
      </c>
      <c r="J11011" t="inlineStr">
        <is>
          <t>Civetta</t>
        </is>
      </c>
      <c r="L11011">
        <f>_xlfn.XLOOKUP(Tableau1[[#This Row],[TYPE DE PIECE]],Tableau4[MATIERE],Tableau4[SHORT TYPE],"",0,1)</f>
        <v/>
      </c>
      <c r="N11011">
        <f>IF(ISERR(FIND("DECOUPE",Tableau1[[#This Row],[DESIGNATION]])),"","NEED REF")</f>
        <v/>
      </c>
    </row>
    <row r="11012">
      <c r="B11012" t="n">
        <v>34402994</v>
      </c>
      <c r="C11012" s="2" t="n">
        <v>41162</v>
      </c>
      <c r="D11012" t="inlineStr">
        <is>
          <t>SPEC</t>
        </is>
      </c>
      <c r="E11012" t="inlineStr">
        <is>
          <t>STIFFNER</t>
        </is>
      </c>
      <c r="F11012" t="inlineStr">
        <is>
          <t>NS 4000A Banque de France</t>
        </is>
      </c>
      <c r="J11012" t="inlineStr">
        <is>
          <t>Civetta</t>
        </is>
      </c>
      <c r="L11012">
        <f>_xlfn.XLOOKUP(Tableau1[[#This Row],[TYPE DE PIECE]],Tableau4[MATIERE],Tableau4[SHORT TYPE],"",0,1)</f>
        <v/>
      </c>
      <c r="N11012">
        <f>IF(ISERR(FIND("DECOUPE",Tableau1[[#This Row],[DESIGNATION]])),"","NEED REF")</f>
        <v/>
      </c>
    </row>
    <row r="11013">
      <c r="B11013" t="n">
        <v>34402993</v>
      </c>
      <c r="C11013" s="2" t="n">
        <v>41162</v>
      </c>
      <c r="D11013" t="inlineStr">
        <is>
          <t>SPEC</t>
        </is>
      </c>
      <c r="E11013" t="inlineStr">
        <is>
          <t>STIFFNER</t>
        </is>
      </c>
      <c r="F11013" t="inlineStr">
        <is>
          <t>NS 4000A Banque de France</t>
        </is>
      </c>
      <c r="J11013" t="inlineStr">
        <is>
          <t>Civetta</t>
        </is>
      </c>
      <c r="L11013">
        <f>_xlfn.XLOOKUP(Tableau1[[#This Row],[TYPE DE PIECE]],Tableau4[MATIERE],Tableau4[SHORT TYPE],"",0,1)</f>
        <v/>
      </c>
      <c r="N11013">
        <f>IF(ISERR(FIND("DECOUPE",Tableau1[[#This Row],[DESIGNATION]])),"","NEED REF")</f>
        <v/>
      </c>
    </row>
    <row r="11014">
      <c r="B11014" t="n">
        <v>34402992</v>
      </c>
      <c r="C11014" s="2" t="n">
        <v>41162</v>
      </c>
      <c r="D11014" t="inlineStr">
        <is>
          <t>SPEC</t>
        </is>
      </c>
      <c r="E11014" t="inlineStr">
        <is>
          <t>FLEXIBLE BUSBAR</t>
        </is>
      </c>
      <c r="F11014" t="inlineStr">
        <is>
          <t>NS 4000A Banque de France</t>
        </is>
      </c>
      <c r="J11014" t="inlineStr">
        <is>
          <t>Civetta</t>
        </is>
      </c>
      <c r="L11014">
        <f>_xlfn.XLOOKUP(Tableau1[[#This Row],[TYPE DE PIECE]],Tableau4[MATIERE],Tableau4[SHORT TYPE],"",0,1)</f>
        <v/>
      </c>
      <c r="N11014">
        <f>IF(ISERR(FIND("DECOUPE",Tableau1[[#This Row],[DESIGNATION]])),"","NEED REF")</f>
        <v/>
      </c>
    </row>
    <row r="11015">
      <c r="B11015" t="n">
        <v>34402991</v>
      </c>
      <c r="C11015" s="2" t="n">
        <v>41159</v>
      </c>
      <c r="D11015" t="inlineStr">
        <is>
          <t>SPEC</t>
        </is>
      </c>
      <c r="E11015" t="inlineStr">
        <is>
          <t>CABLE DOUBLE LADDER</t>
        </is>
      </c>
      <c r="F11015" t="inlineStr">
        <is>
          <t>NS 4000A Banque de France</t>
        </is>
      </c>
      <c r="J11015" t="inlineStr">
        <is>
          <t>Civetta</t>
        </is>
      </c>
      <c r="L11015">
        <f>_xlfn.XLOOKUP(Tableau1[[#This Row],[TYPE DE PIECE]],Tableau4[MATIERE],Tableau4[SHORT TYPE],"",0,1)</f>
        <v/>
      </c>
      <c r="N11015">
        <f>IF(ISERR(FIND("DECOUPE",Tableau1[[#This Row],[DESIGNATION]])),"","NEED REF")</f>
        <v/>
      </c>
    </row>
    <row r="11016">
      <c r="B11016" t="n">
        <v>34402990</v>
      </c>
      <c r="C11016" s="2" t="inlineStr">
        <is>
          <t>07/0912</t>
        </is>
      </c>
      <c r="D11016" t="inlineStr">
        <is>
          <t>SPEC</t>
        </is>
      </c>
      <c r="E11016" t="inlineStr">
        <is>
          <t>ROOF</t>
        </is>
      </c>
      <c r="F11016" t="inlineStr">
        <is>
          <t>NS 4000A Banque de France</t>
        </is>
      </c>
      <c r="J11016" t="inlineStr">
        <is>
          <t>Civetta</t>
        </is>
      </c>
      <c r="L11016">
        <f>_xlfn.XLOOKUP(Tableau1[[#This Row],[TYPE DE PIECE]],Tableau4[MATIERE],Tableau4[SHORT TYPE],"",0,1)</f>
        <v/>
      </c>
      <c r="N11016">
        <f>IF(ISERR(FIND("DECOUPE",Tableau1[[#This Row],[DESIGNATION]])),"","NEED REF")</f>
        <v/>
      </c>
    </row>
    <row r="11017">
      <c r="B11017" t="n">
        <v>34402989</v>
      </c>
      <c r="C11017" s="2" t="n">
        <v>41159</v>
      </c>
      <c r="D11017" t="inlineStr">
        <is>
          <t>SPEC</t>
        </is>
      </c>
      <c r="E11017" t="inlineStr">
        <is>
          <t>EARTH CONNECTION</t>
        </is>
      </c>
      <c r="F11017" t="inlineStr">
        <is>
          <t>NS 4000A Banque de France</t>
        </is>
      </c>
      <c r="J11017" t="inlineStr">
        <is>
          <t>Civetta</t>
        </is>
      </c>
      <c r="L11017">
        <f>_xlfn.XLOOKUP(Tableau1[[#This Row],[TYPE DE PIECE]],Tableau4[MATIERE],Tableau4[SHORT TYPE],"",0,1)</f>
        <v/>
      </c>
      <c r="N11017">
        <f>IF(ISERR(FIND("DECOUPE",Tableau1[[#This Row],[DESIGNATION]])),"","NEED REF")</f>
        <v/>
      </c>
    </row>
    <row r="11018">
      <c r="B11018" t="n">
        <v>34402988</v>
      </c>
      <c r="C11018" s="2" t="n">
        <v>41158</v>
      </c>
      <c r="D11018" t="inlineStr">
        <is>
          <t>SPEC</t>
        </is>
      </c>
      <c r="E11018" t="inlineStr">
        <is>
          <t>SCHEMA KIT AUTOMATE STS</t>
        </is>
      </c>
      <c r="F11018" t="inlineStr">
        <is>
          <t>KIT TWIDO STS Standard</t>
        </is>
      </c>
      <c r="J11018" t="inlineStr">
        <is>
          <t>TCHEWEMO</t>
        </is>
      </c>
      <c r="L11018">
        <f>_xlfn.XLOOKUP(Tableau1[[#This Row],[TYPE DE PIECE]],Tableau4[MATIERE],Tableau4[SHORT TYPE],"",0,1)</f>
        <v/>
      </c>
      <c r="N11018">
        <f>IF(ISERR(FIND("DECOUPE",Tableau1[[#This Row],[DESIGNATION]])),"","NEED REF")</f>
        <v/>
      </c>
    </row>
    <row r="11019">
      <c r="B11019" t="n">
        <v>34402987</v>
      </c>
      <c r="C11019" s="2" t="n">
        <v>41155</v>
      </c>
      <c r="D11019" t="inlineStr">
        <is>
          <t>SPEC</t>
        </is>
      </c>
      <c r="E11019" t="inlineStr">
        <is>
          <t>CABLE LADDER</t>
        </is>
      </c>
      <c r="F11019" t="inlineStr">
        <is>
          <t>NS 4000A Banque de France</t>
        </is>
      </c>
      <c r="J11019" t="inlineStr">
        <is>
          <t>Civetta</t>
        </is>
      </c>
      <c r="L11019">
        <f>_xlfn.XLOOKUP(Tableau1[[#This Row],[TYPE DE PIECE]],Tableau4[MATIERE],Tableau4[SHORT TYPE],"",0,1)</f>
        <v/>
      </c>
      <c r="N11019">
        <f>IF(ISERR(FIND("DECOUPE",Tableau1[[#This Row],[DESIGNATION]])),"","NEED REF")</f>
        <v/>
      </c>
    </row>
    <row r="11020">
      <c r="B11020" t="n">
        <v>34402986</v>
      </c>
      <c r="C11020" s="2" t="n">
        <v>41153</v>
      </c>
      <c r="D11020" t="inlineStr">
        <is>
          <t>SPEC</t>
        </is>
      </c>
      <c r="E11020" t="inlineStr">
        <is>
          <t>INSULATION SUPPORT</t>
        </is>
      </c>
      <c r="F11020" t="inlineStr">
        <is>
          <t>NS 4000A Banque de France</t>
        </is>
      </c>
      <c r="J11020" t="inlineStr">
        <is>
          <t>Civetta</t>
        </is>
      </c>
      <c r="L11020">
        <f>_xlfn.XLOOKUP(Tableau1[[#This Row],[TYPE DE PIECE]],Tableau4[MATIERE],Tableau4[SHORT TYPE],"",0,1)</f>
        <v/>
      </c>
      <c r="N11020">
        <f>IF(ISERR(FIND("DECOUPE",Tableau1[[#This Row],[DESIGNATION]])),"","NEED REF")</f>
        <v/>
      </c>
    </row>
    <row r="11021">
      <c r="B11021" t="n">
        <v>34402985</v>
      </c>
      <c r="C11021" s="2" t="n">
        <v>41153</v>
      </c>
      <c r="D11021" t="inlineStr">
        <is>
          <t>SPEC</t>
        </is>
      </c>
      <c r="E11021" t="inlineStr">
        <is>
          <t>INSULATION SUPPORT</t>
        </is>
      </c>
      <c r="F11021" t="inlineStr">
        <is>
          <t>NS 4000A Banque de France</t>
        </is>
      </c>
      <c r="J11021" t="inlineStr">
        <is>
          <t>Civetta</t>
        </is>
      </c>
      <c r="L11021">
        <f>_xlfn.XLOOKUP(Tableau1[[#This Row],[TYPE DE PIECE]],Tableau4[MATIERE],Tableau4[SHORT TYPE],"",0,1)</f>
        <v/>
      </c>
      <c r="N11021">
        <f>IF(ISERR(FIND("DECOUPE",Tableau1[[#This Row],[DESIGNATION]])),"","NEED REF")</f>
        <v/>
      </c>
    </row>
    <row r="11022">
      <c r="B11022" t="n">
        <v>34402984</v>
      </c>
      <c r="C11022" s="2" t="n">
        <v>41150</v>
      </c>
      <c r="D11022" t="inlineStr">
        <is>
          <t>SPEC</t>
        </is>
      </c>
      <c r="E11022" t="inlineStr">
        <is>
          <t>WEDGE 32 X 100 X8</t>
        </is>
      </c>
      <c r="F11022" t="inlineStr">
        <is>
          <t>NS 4000A Banque de France</t>
        </is>
      </c>
      <c r="J11022" t="inlineStr">
        <is>
          <t>Civetta</t>
        </is>
      </c>
      <c r="L11022">
        <f>_xlfn.XLOOKUP(Tableau1[[#This Row],[TYPE DE PIECE]],Tableau4[MATIERE],Tableau4[SHORT TYPE],"",0,1)</f>
        <v/>
      </c>
      <c r="N11022">
        <f>IF(ISERR(FIND("DECOUPE",Tableau1[[#This Row],[DESIGNATION]])),"","NEED REF")</f>
        <v/>
      </c>
    </row>
    <row r="11023">
      <c r="B11023" t="n">
        <v>34402983</v>
      </c>
      <c r="C11023" s="2" t="n">
        <v>41149</v>
      </c>
      <c r="D11023" t="inlineStr">
        <is>
          <t>SPEC</t>
        </is>
      </c>
      <c r="E11023" t="inlineStr">
        <is>
          <t>WEDGE 32 X 50 X8</t>
        </is>
      </c>
      <c r="F11023" t="inlineStr">
        <is>
          <t>NS 4000A Banque de France</t>
        </is>
      </c>
      <c r="J11023" t="inlineStr">
        <is>
          <t>Civetta</t>
        </is>
      </c>
      <c r="L11023">
        <f>_xlfn.XLOOKUP(Tableau1[[#This Row],[TYPE DE PIECE]],Tableau4[MATIERE],Tableau4[SHORT TYPE],"",0,1)</f>
        <v/>
      </c>
      <c r="N11023">
        <f>IF(ISERR(FIND("DECOUPE",Tableau1[[#This Row],[DESIGNATION]])),"","NEED REF")</f>
        <v/>
      </c>
    </row>
    <row r="11024">
      <c r="B11024" t="n">
        <v>34402982</v>
      </c>
      <c r="C11024" s="2" t="n">
        <v>41148</v>
      </c>
      <c r="D11024" t="inlineStr">
        <is>
          <t>SPEC</t>
        </is>
      </c>
      <c r="E11024" t="inlineStr">
        <is>
          <t>JOINTING BUSBAR PHASE 2</t>
        </is>
      </c>
      <c r="F11024" t="inlineStr">
        <is>
          <t>NS 4000A Banque de France</t>
        </is>
      </c>
      <c r="J11024" t="inlineStr">
        <is>
          <t>Civetta</t>
        </is>
      </c>
      <c r="L11024">
        <f>_xlfn.XLOOKUP(Tableau1[[#This Row],[TYPE DE PIECE]],Tableau4[MATIERE],Tableau4[SHORT TYPE],"",0,1)</f>
        <v/>
      </c>
      <c r="N11024">
        <f>IF(ISERR(FIND("DECOUPE",Tableau1[[#This Row],[DESIGNATION]])),"","NEED REF")</f>
        <v/>
      </c>
    </row>
    <row r="11025">
      <c r="B11025" t="n">
        <v>34402981</v>
      </c>
      <c r="C11025" s="2" t="n">
        <v>41138</v>
      </c>
      <c r="D11025" t="inlineStr">
        <is>
          <t>SPEC</t>
        </is>
      </c>
      <c r="E11025" t="inlineStr">
        <is>
          <t>L PROFIL L=1350</t>
        </is>
      </c>
      <c r="F11025" t="inlineStr">
        <is>
          <t>NS 4000A Banque de France</t>
        </is>
      </c>
      <c r="J11025" t="inlineStr">
        <is>
          <t>MATRION</t>
        </is>
      </c>
      <c r="L11025">
        <f>_xlfn.XLOOKUP(Tableau1[[#This Row],[TYPE DE PIECE]],Tableau4[MATIERE],Tableau4[SHORT TYPE],"",0,1)</f>
        <v/>
      </c>
      <c r="N11025">
        <f>IF(ISERR(FIND("DECOUPE",Tableau1[[#This Row],[DESIGNATION]])),"","NEED REF")</f>
        <v/>
      </c>
    </row>
    <row r="11026">
      <c r="B11026" t="n">
        <v>34402980</v>
      </c>
      <c r="C11026" s="2" t="n">
        <v>41135</v>
      </c>
      <c r="D11026" t="inlineStr">
        <is>
          <t>CDC</t>
        </is>
      </c>
      <c r="E11026" t="inlineStr">
        <is>
          <t>CDC SKID ARM SF 600x800x1200</t>
        </is>
      </c>
      <c r="F11026" t="inlineStr">
        <is>
          <t>TOUTES</t>
        </is>
      </c>
      <c r="J11026" t="inlineStr">
        <is>
          <t>MATRION</t>
        </is>
      </c>
      <c r="L11026">
        <f>_xlfn.XLOOKUP(Tableau1[[#This Row],[TYPE DE PIECE]],Tableau4[MATIERE],Tableau4[SHORT TYPE],"",0,1)</f>
        <v/>
      </c>
      <c r="N11026">
        <f>IF(ISERR(FIND("DECOUPE",Tableau1[[#This Row],[DESIGNATION]])),"","NEED REF")</f>
        <v/>
      </c>
    </row>
    <row r="11027">
      <c r="B11027" t="n">
        <v>34402979</v>
      </c>
      <c r="C11027" s="2" t="n">
        <v>41130</v>
      </c>
      <c r="D11027" t="inlineStr">
        <is>
          <t>SPEC</t>
        </is>
      </c>
      <c r="E11027" t="inlineStr">
        <is>
          <t>Liaison GDET</t>
        </is>
      </c>
      <c r="F11027" t="inlineStr">
        <is>
          <t>NS 4000A Banque de France</t>
        </is>
      </c>
      <c r="J11027" t="inlineStr">
        <is>
          <t>MATRION</t>
        </is>
      </c>
      <c r="L11027">
        <f>_xlfn.XLOOKUP(Tableau1[[#This Row],[TYPE DE PIECE]],Tableau4[MATIERE],Tableau4[SHORT TYPE],"",0,1)</f>
        <v/>
      </c>
      <c r="N11027">
        <f>IF(ISERR(FIND("DECOUPE",Tableau1[[#This Row],[DESIGNATION]])),"","NEED REF")</f>
        <v/>
      </c>
    </row>
    <row r="11028">
      <c r="B11028" t="n">
        <v>34402978</v>
      </c>
      <c r="C11028" s="2" t="n">
        <v>41130</v>
      </c>
      <c r="D11028" t="inlineStr">
        <is>
          <t>SPEC</t>
        </is>
      </c>
      <c r="E11028" t="inlineStr">
        <is>
          <t>ROOF JONCTION</t>
        </is>
      </c>
      <c r="F11028" t="inlineStr">
        <is>
          <t>NS 4000A Banque de France</t>
        </is>
      </c>
      <c r="J11028" t="inlineStr">
        <is>
          <t>MATRION</t>
        </is>
      </c>
      <c r="L11028">
        <f>_xlfn.XLOOKUP(Tableau1[[#This Row],[TYPE DE PIECE]],Tableau4[MATIERE],Tableau4[SHORT TYPE],"",0,1)</f>
        <v/>
      </c>
      <c r="N11028">
        <f>IF(ISERR(FIND("DECOUPE",Tableau1[[#This Row],[DESIGNATION]])),"","NEED REF")</f>
        <v/>
      </c>
    </row>
    <row r="11029">
      <c r="B11029" t="n">
        <v>34402977</v>
      </c>
      <c r="C11029" s="2" t="n">
        <v>41122</v>
      </c>
      <c r="D11029" t="inlineStr">
        <is>
          <t>SPEC</t>
        </is>
      </c>
      <c r="E11029" t="inlineStr">
        <is>
          <t>OUTGOING BUSBAR PHASE 3 - 4</t>
        </is>
      </c>
      <c r="F11029" t="inlineStr">
        <is>
          <t>NS 4000A Banque de France</t>
        </is>
      </c>
      <c r="J11029" t="inlineStr">
        <is>
          <t>Civetta</t>
        </is>
      </c>
      <c r="L11029">
        <f>_xlfn.XLOOKUP(Tableau1[[#This Row],[TYPE DE PIECE]],Tableau4[MATIERE],Tableau4[SHORT TYPE],"",0,1)</f>
        <v/>
      </c>
      <c r="N11029">
        <f>IF(ISERR(FIND("DECOUPE",Tableau1[[#This Row],[DESIGNATION]])),"","NEED REF")</f>
        <v/>
      </c>
    </row>
    <row r="11030">
      <c r="B11030" t="n">
        <v>34402976</v>
      </c>
      <c r="C11030" s="2" t="n">
        <v>41122</v>
      </c>
      <c r="D11030" t="inlineStr">
        <is>
          <t>SPEC</t>
        </is>
      </c>
      <c r="E11030" t="inlineStr">
        <is>
          <t>OUTGOING BUSBAR PHASE 3 - 3</t>
        </is>
      </c>
      <c r="F11030" t="inlineStr">
        <is>
          <t>NS 4000A Banque de France</t>
        </is>
      </c>
      <c r="J11030" t="inlineStr">
        <is>
          <t>Civetta</t>
        </is>
      </c>
      <c r="L11030">
        <f>_xlfn.XLOOKUP(Tableau1[[#This Row],[TYPE DE PIECE]],Tableau4[MATIERE],Tableau4[SHORT TYPE],"",0,1)</f>
        <v/>
      </c>
      <c r="N11030">
        <f>IF(ISERR(FIND("DECOUPE",Tableau1[[#This Row],[DESIGNATION]])),"","NEED REF")</f>
        <v/>
      </c>
    </row>
    <row r="11031">
      <c r="B11031" t="n">
        <v>34402975</v>
      </c>
      <c r="C11031" s="2" t="n">
        <v>41122</v>
      </c>
      <c r="D11031" t="inlineStr">
        <is>
          <t>SPEC</t>
        </is>
      </c>
      <c r="E11031" t="inlineStr">
        <is>
          <t>OUTGOING BUSBAR PHASE 2 - 4</t>
        </is>
      </c>
      <c r="F11031" t="inlineStr">
        <is>
          <t>NS 4000A Banque de France</t>
        </is>
      </c>
      <c r="J11031" t="inlineStr">
        <is>
          <t>Civetta</t>
        </is>
      </c>
      <c r="L11031">
        <f>_xlfn.XLOOKUP(Tableau1[[#This Row],[TYPE DE PIECE]],Tableau4[MATIERE],Tableau4[SHORT TYPE],"",0,1)</f>
        <v/>
      </c>
      <c r="N11031">
        <f>IF(ISERR(FIND("DECOUPE",Tableau1[[#This Row],[DESIGNATION]])),"","NEED REF")</f>
        <v/>
      </c>
    </row>
    <row r="11032">
      <c r="B11032" t="n">
        <v>34402974</v>
      </c>
      <c r="C11032" s="2" t="n">
        <v>41122</v>
      </c>
      <c r="D11032" t="inlineStr">
        <is>
          <t>SPEC</t>
        </is>
      </c>
      <c r="E11032" t="inlineStr">
        <is>
          <t>OUTGOING BUSBAR PHASE 2 - 3</t>
        </is>
      </c>
      <c r="F11032" t="inlineStr">
        <is>
          <t>NS 4000A Banque de France</t>
        </is>
      </c>
      <c r="J11032" t="inlineStr">
        <is>
          <t>Civetta</t>
        </is>
      </c>
      <c r="L11032">
        <f>_xlfn.XLOOKUP(Tableau1[[#This Row],[TYPE DE PIECE]],Tableau4[MATIERE],Tableau4[SHORT TYPE],"",0,1)</f>
        <v/>
      </c>
      <c r="N11032">
        <f>IF(ISERR(FIND("DECOUPE",Tableau1[[#This Row],[DESIGNATION]])),"","NEED REF")</f>
        <v/>
      </c>
    </row>
    <row r="11033">
      <c r="B11033" t="n">
        <v>34402973</v>
      </c>
      <c r="C11033" s="2" t="n">
        <v>41122</v>
      </c>
      <c r="D11033" t="inlineStr">
        <is>
          <t>SPEC</t>
        </is>
      </c>
      <c r="E11033" t="inlineStr">
        <is>
          <t>OUTGOING BUSBAR PHASE 1 - 4</t>
        </is>
      </c>
      <c r="F11033" t="inlineStr">
        <is>
          <t>NS 4000A Banque de France</t>
        </is>
      </c>
      <c r="J11033" t="inlineStr">
        <is>
          <t>Civetta</t>
        </is>
      </c>
      <c r="L11033">
        <f>_xlfn.XLOOKUP(Tableau1[[#This Row],[TYPE DE PIECE]],Tableau4[MATIERE],Tableau4[SHORT TYPE],"",0,1)</f>
        <v/>
      </c>
      <c r="N11033">
        <f>IF(ISERR(FIND("DECOUPE",Tableau1[[#This Row],[DESIGNATION]])),"","NEED REF")</f>
        <v/>
      </c>
    </row>
    <row r="11034">
      <c r="B11034" t="n">
        <v>34402972</v>
      </c>
      <c r="C11034" s="2" t="n">
        <v>41122</v>
      </c>
      <c r="D11034" t="inlineStr">
        <is>
          <t>SPEC</t>
        </is>
      </c>
      <c r="E11034" t="inlineStr">
        <is>
          <t>OUTGOING BUSBAR PHASE 1 - 3</t>
        </is>
      </c>
      <c r="F11034" t="inlineStr">
        <is>
          <t>NS 4000A Banque de France</t>
        </is>
      </c>
      <c r="J11034" t="inlineStr">
        <is>
          <t>Civetta</t>
        </is>
      </c>
      <c r="L11034">
        <f>_xlfn.XLOOKUP(Tableau1[[#This Row],[TYPE DE PIECE]],Tableau4[MATIERE],Tableau4[SHORT TYPE],"",0,1)</f>
        <v/>
      </c>
      <c r="N11034">
        <f>IF(ISERR(FIND("DECOUPE",Tableau1[[#This Row],[DESIGNATION]])),"","NEED REF")</f>
        <v/>
      </c>
    </row>
    <row r="11035">
      <c r="B11035" t="n">
        <v>34402971</v>
      </c>
      <c r="C11035" s="2" t="n">
        <v>41122</v>
      </c>
      <c r="D11035" t="inlineStr">
        <is>
          <t>SPEC</t>
        </is>
      </c>
      <c r="E11035" t="inlineStr">
        <is>
          <t>UPPER CONNECTION PHASE 1 - 2 Q3BP</t>
        </is>
      </c>
      <c r="F11035" t="inlineStr">
        <is>
          <t>NS 4000A Banque de France</t>
        </is>
      </c>
      <c r="J11035" t="inlineStr">
        <is>
          <t>Civetta</t>
        </is>
      </c>
      <c r="L11035">
        <f>_xlfn.XLOOKUP(Tableau1[[#This Row],[TYPE DE PIECE]],Tableau4[MATIERE],Tableau4[SHORT TYPE],"",0,1)</f>
        <v/>
      </c>
      <c r="N11035">
        <f>IF(ISERR(FIND("DECOUPE",Tableau1[[#This Row],[DESIGNATION]])),"","NEED REF")</f>
        <v/>
      </c>
    </row>
    <row r="11036">
      <c r="B11036" t="n">
        <v>34402970</v>
      </c>
      <c r="C11036" s="2" t="n">
        <v>41122</v>
      </c>
      <c r="D11036" t="inlineStr">
        <is>
          <t>SPEC</t>
        </is>
      </c>
      <c r="E11036" t="inlineStr">
        <is>
          <t>UPPER CONNECTION PHASE 1 - 1 Q3BP</t>
        </is>
      </c>
      <c r="F11036" t="inlineStr">
        <is>
          <t>NS 4000A Banque de France</t>
        </is>
      </c>
      <c r="J11036" t="inlineStr">
        <is>
          <t>Civetta</t>
        </is>
      </c>
      <c r="L11036">
        <f>_xlfn.XLOOKUP(Tableau1[[#This Row],[TYPE DE PIECE]],Tableau4[MATIERE],Tableau4[SHORT TYPE],"",0,1)</f>
        <v/>
      </c>
      <c r="N11036">
        <f>IF(ISERR(FIND("DECOUPE",Tableau1[[#This Row],[DESIGNATION]])),"","NEED REF")</f>
        <v/>
      </c>
    </row>
    <row r="11037">
      <c r="B11037" t="n">
        <v>34402969</v>
      </c>
      <c r="C11037" s="2" t="n">
        <v>41122</v>
      </c>
      <c r="D11037" t="inlineStr">
        <is>
          <t>SPEC</t>
        </is>
      </c>
      <c r="E11037" t="inlineStr">
        <is>
          <t>UPPER CONNECTION PHASE 2 - 2 Q3BP</t>
        </is>
      </c>
      <c r="F11037" t="inlineStr">
        <is>
          <t>NS 4000A Banque de France</t>
        </is>
      </c>
      <c r="J11037" t="inlineStr">
        <is>
          <t>Civetta</t>
        </is>
      </c>
      <c r="L11037">
        <f>_xlfn.XLOOKUP(Tableau1[[#This Row],[TYPE DE PIECE]],Tableau4[MATIERE],Tableau4[SHORT TYPE],"",0,1)</f>
        <v/>
      </c>
      <c r="N11037">
        <f>IF(ISERR(FIND("DECOUPE",Tableau1[[#This Row],[DESIGNATION]])),"","NEED REF")</f>
        <v/>
      </c>
    </row>
    <row r="11038">
      <c r="B11038" t="n">
        <v>34402968</v>
      </c>
      <c r="C11038" s="2" t="n">
        <v>41122</v>
      </c>
      <c r="D11038" t="inlineStr">
        <is>
          <t>SPEC</t>
        </is>
      </c>
      <c r="E11038" t="inlineStr">
        <is>
          <t>UPPER CONNECTION PHASE 2 - 1 Q3BP</t>
        </is>
      </c>
      <c r="F11038" t="inlineStr">
        <is>
          <t>NS 4000A Banque de France</t>
        </is>
      </c>
      <c r="J11038" t="inlineStr">
        <is>
          <t>Civetta</t>
        </is>
      </c>
      <c r="L11038">
        <f>_xlfn.XLOOKUP(Tableau1[[#This Row],[TYPE DE PIECE]],Tableau4[MATIERE],Tableau4[SHORT TYPE],"",0,1)</f>
        <v/>
      </c>
      <c r="N11038">
        <f>IF(ISERR(FIND("DECOUPE",Tableau1[[#This Row],[DESIGNATION]])),"","NEED REF")</f>
        <v/>
      </c>
    </row>
    <row r="11039">
      <c r="B11039" t="n">
        <v>34402967</v>
      </c>
      <c r="C11039" s="2" t="n">
        <v>41122</v>
      </c>
      <c r="D11039" t="inlineStr">
        <is>
          <t>SPEC</t>
        </is>
      </c>
      <c r="E11039" t="inlineStr">
        <is>
          <t>UPPER CONNECTION PHASE 3 - 2 Q3BP</t>
        </is>
      </c>
      <c r="F11039" t="inlineStr">
        <is>
          <t>NS 4000A Banque de France</t>
        </is>
      </c>
      <c r="J11039" t="inlineStr">
        <is>
          <t>Civetta</t>
        </is>
      </c>
      <c r="L11039">
        <f>_xlfn.XLOOKUP(Tableau1[[#This Row],[TYPE DE PIECE]],Tableau4[MATIERE],Tableau4[SHORT TYPE],"",0,1)</f>
        <v/>
      </c>
      <c r="N11039">
        <f>IF(ISERR(FIND("DECOUPE",Tableau1[[#This Row],[DESIGNATION]])),"","NEED REF")</f>
        <v/>
      </c>
    </row>
    <row r="11040">
      <c r="B11040" t="n">
        <v>34402966</v>
      </c>
      <c r="C11040" s="2" t="n">
        <v>41122</v>
      </c>
      <c r="D11040" t="inlineStr">
        <is>
          <t>SPEC</t>
        </is>
      </c>
      <c r="E11040" t="inlineStr">
        <is>
          <t>UPPER CONNECTION PHASE 3 - 1 Q3BP</t>
        </is>
      </c>
      <c r="F11040" t="inlineStr">
        <is>
          <t>NS 4000A Banque de France</t>
        </is>
      </c>
      <c r="J11040" t="inlineStr">
        <is>
          <t>Civetta</t>
        </is>
      </c>
      <c r="L11040">
        <f>_xlfn.XLOOKUP(Tableau1[[#This Row],[TYPE DE PIECE]],Tableau4[MATIERE],Tableau4[SHORT TYPE],"",0,1)</f>
        <v/>
      </c>
      <c r="N11040">
        <f>IF(ISERR(FIND("DECOUPE",Tableau1[[#This Row],[DESIGNATION]])),"","NEED REF")</f>
        <v/>
      </c>
    </row>
    <row r="11041">
      <c r="B11041" t="n">
        <v>34402965</v>
      </c>
      <c r="C11041" s="2" t="n">
        <v>41122</v>
      </c>
      <c r="D11041" t="inlineStr">
        <is>
          <t>SPEC</t>
        </is>
      </c>
      <c r="E11041" t="inlineStr">
        <is>
          <t>BUSBAR PHASE 3 - 2 UPS LOAD</t>
        </is>
      </c>
      <c r="F11041" t="inlineStr">
        <is>
          <t>NS 4000A Banque de France</t>
        </is>
      </c>
      <c r="J11041" t="inlineStr">
        <is>
          <t>Civetta</t>
        </is>
      </c>
      <c r="L11041">
        <f>_xlfn.XLOOKUP(Tableau1[[#This Row],[TYPE DE PIECE]],Tableau4[MATIERE],Tableau4[SHORT TYPE],"",0,1)</f>
        <v/>
      </c>
      <c r="N11041">
        <f>IF(ISERR(FIND("DECOUPE",Tableau1[[#This Row],[DESIGNATION]])),"","NEED REF")</f>
        <v/>
      </c>
    </row>
    <row r="11042">
      <c r="B11042" t="n">
        <v>34402964</v>
      </c>
      <c r="C11042" s="2" t="n">
        <v>41122</v>
      </c>
      <c r="D11042" t="inlineStr">
        <is>
          <t>SPEC</t>
        </is>
      </c>
      <c r="E11042" t="inlineStr">
        <is>
          <t>BUSBAR PHASE 2 - 2 UPS LOAD</t>
        </is>
      </c>
      <c r="F11042" t="inlineStr">
        <is>
          <t>NS 4000A Banque de France</t>
        </is>
      </c>
      <c r="J11042" t="inlineStr">
        <is>
          <t>Civetta</t>
        </is>
      </c>
      <c r="L11042">
        <f>_xlfn.XLOOKUP(Tableau1[[#This Row],[TYPE DE PIECE]],Tableau4[MATIERE],Tableau4[SHORT TYPE],"",0,1)</f>
        <v/>
      </c>
      <c r="N11042">
        <f>IF(ISERR(FIND("DECOUPE",Tableau1[[#This Row],[DESIGNATION]])),"","NEED REF")</f>
        <v/>
      </c>
    </row>
    <row r="11043">
      <c r="B11043" t="n">
        <v>34402963</v>
      </c>
      <c r="C11043" s="2" t="n">
        <v>41122</v>
      </c>
      <c r="D11043" t="inlineStr">
        <is>
          <t>SPEC</t>
        </is>
      </c>
      <c r="E11043" t="inlineStr">
        <is>
          <t>BUSBAR PHASE 1 - 2 UPS LOAD</t>
        </is>
      </c>
      <c r="F11043" t="inlineStr">
        <is>
          <t>NS 4000A Banque de France</t>
        </is>
      </c>
      <c r="J11043" t="inlineStr">
        <is>
          <t>Civetta</t>
        </is>
      </c>
      <c r="L11043">
        <f>_xlfn.XLOOKUP(Tableau1[[#This Row],[TYPE DE PIECE]],Tableau4[MATIERE],Tableau4[SHORT TYPE],"",0,1)</f>
        <v/>
      </c>
      <c r="N11043">
        <f>IF(ISERR(FIND("DECOUPE",Tableau1[[#This Row],[DESIGNATION]])),"","NEED REF")</f>
        <v/>
      </c>
    </row>
    <row r="11044">
      <c r="B11044" t="n">
        <v>34402962</v>
      </c>
      <c r="C11044" s="2" t="n">
        <v>41122</v>
      </c>
      <c r="D11044" t="inlineStr">
        <is>
          <t>SPEC</t>
        </is>
      </c>
      <c r="E11044" t="inlineStr">
        <is>
          <t>OUTGOING BUSBAR PHASE 3 - 2</t>
        </is>
      </c>
      <c r="F11044" t="inlineStr">
        <is>
          <t>NS 4000A Banque de France</t>
        </is>
      </c>
      <c r="J11044" t="inlineStr">
        <is>
          <t>Civetta</t>
        </is>
      </c>
      <c r="L11044">
        <f>_xlfn.XLOOKUP(Tableau1[[#This Row],[TYPE DE PIECE]],Tableau4[MATIERE],Tableau4[SHORT TYPE],"",0,1)</f>
        <v/>
      </c>
      <c r="N11044">
        <f>IF(ISERR(FIND("DECOUPE",Tableau1[[#This Row],[DESIGNATION]])),"","NEED REF")</f>
        <v/>
      </c>
    </row>
    <row r="11045">
      <c r="B11045" t="n">
        <v>34402961</v>
      </c>
      <c r="C11045" s="2" t="n">
        <v>41122</v>
      </c>
      <c r="D11045" t="inlineStr">
        <is>
          <t>SPEC</t>
        </is>
      </c>
      <c r="E11045" t="inlineStr">
        <is>
          <t>OUTGOING BUSBAR PHASE 1 - 1</t>
        </is>
      </c>
      <c r="F11045" t="inlineStr">
        <is>
          <t>NS 4000A Banque de France</t>
        </is>
      </c>
      <c r="J11045" t="inlineStr">
        <is>
          <t>Civetta</t>
        </is>
      </c>
      <c r="L11045">
        <f>_xlfn.XLOOKUP(Tableau1[[#This Row],[TYPE DE PIECE]],Tableau4[MATIERE],Tableau4[SHORT TYPE],"",0,1)</f>
        <v/>
      </c>
      <c r="N11045">
        <f>IF(ISERR(FIND("DECOUPE",Tableau1[[#This Row],[DESIGNATION]])),"","NEED REF")</f>
        <v/>
      </c>
    </row>
    <row r="11046">
      <c r="B11046" t="n">
        <v>34402960</v>
      </c>
      <c r="C11046" s="2" t="n">
        <v>41122</v>
      </c>
      <c r="D11046" t="inlineStr">
        <is>
          <t>SPEC</t>
        </is>
      </c>
      <c r="E11046" t="inlineStr">
        <is>
          <t>OUTGOING BUSBAR PHASE 3 - 1</t>
        </is>
      </c>
      <c r="F11046" t="inlineStr">
        <is>
          <t>NS 4000A Banque de France</t>
        </is>
      </c>
      <c r="J11046" t="inlineStr">
        <is>
          <t>Civetta</t>
        </is>
      </c>
      <c r="L11046">
        <f>_xlfn.XLOOKUP(Tableau1[[#This Row],[TYPE DE PIECE]],Tableau4[MATIERE],Tableau4[SHORT TYPE],"",0,1)</f>
        <v/>
      </c>
      <c r="N11046">
        <f>IF(ISERR(FIND("DECOUPE",Tableau1[[#This Row],[DESIGNATION]])),"","NEED REF")</f>
        <v/>
      </c>
    </row>
    <row r="11047">
      <c r="B11047" t="n">
        <v>34402959</v>
      </c>
      <c r="C11047" s="2" t="n">
        <v>41122</v>
      </c>
      <c r="D11047" t="inlineStr">
        <is>
          <t>SPEC</t>
        </is>
      </c>
      <c r="E11047" t="inlineStr">
        <is>
          <t>RIGHT SWITH CABINET AND SHEATH CABINET chaine B</t>
        </is>
      </c>
      <c r="F11047" t="inlineStr">
        <is>
          <t>NS 4000A Banque de France</t>
        </is>
      </c>
      <c r="J11047" t="inlineStr">
        <is>
          <t>Civetta</t>
        </is>
      </c>
      <c r="L11047">
        <f>_xlfn.XLOOKUP(Tableau1[[#This Row],[TYPE DE PIECE]],Tableau4[MATIERE],Tableau4[SHORT TYPE],"",0,1)</f>
        <v/>
      </c>
      <c r="N11047">
        <f>IF(ISERR(FIND("DECOUPE",Tableau1[[#This Row],[DESIGNATION]])),"","NEED REF")</f>
        <v/>
      </c>
    </row>
    <row r="11048">
      <c r="B11048" t="n">
        <v>34402958</v>
      </c>
      <c r="C11048" s="2" t="n">
        <v>41122</v>
      </c>
      <c r="D11048" t="inlineStr">
        <is>
          <t>SPEC</t>
        </is>
      </c>
      <c r="E11048" t="inlineStr">
        <is>
          <t>RIGHT CABINET chaine B</t>
        </is>
      </c>
      <c r="F11048" t="inlineStr">
        <is>
          <t>NS 4000A Banque de France</t>
        </is>
      </c>
      <c r="J11048" t="inlineStr">
        <is>
          <t>Civetta</t>
        </is>
      </c>
      <c r="L11048">
        <f>_xlfn.XLOOKUP(Tableau1[[#This Row],[TYPE DE PIECE]],Tableau4[MATIERE],Tableau4[SHORT TYPE],"",0,1)</f>
        <v/>
      </c>
      <c r="N11048">
        <f>IF(ISERR(FIND("DECOUPE",Tableau1[[#This Row],[DESIGNATION]])),"","NEED REF")</f>
        <v/>
      </c>
    </row>
    <row r="11049">
      <c r="B11049" t="n">
        <v>34402957</v>
      </c>
      <c r="C11049" s="2" t="n">
        <v>41122</v>
      </c>
      <c r="D11049" t="inlineStr">
        <is>
          <t>SPEC</t>
        </is>
      </c>
      <c r="E11049" t="inlineStr">
        <is>
          <t>CROSS BUSBAR PHASE 3 - 2</t>
        </is>
      </c>
      <c r="F11049" t="inlineStr">
        <is>
          <t>NS 4000A Banque de France</t>
        </is>
      </c>
      <c r="J11049" t="inlineStr">
        <is>
          <t>Civetta</t>
        </is>
      </c>
      <c r="L11049">
        <f>_xlfn.XLOOKUP(Tableau1[[#This Row],[TYPE DE PIECE]],Tableau4[MATIERE],Tableau4[SHORT TYPE],"",0,1)</f>
        <v/>
      </c>
      <c r="N11049">
        <f>IF(ISERR(FIND("DECOUPE",Tableau1[[#This Row],[DESIGNATION]])),"","NEED REF")</f>
        <v/>
      </c>
    </row>
    <row r="11050">
      <c r="B11050" t="n">
        <v>34402956</v>
      </c>
      <c r="C11050" s="2" t="n">
        <v>41122</v>
      </c>
      <c r="D11050" t="inlineStr">
        <is>
          <t>SPEC</t>
        </is>
      </c>
      <c r="E11050" t="inlineStr">
        <is>
          <t>CROSS BUSBAR PHASE 3 - 1</t>
        </is>
      </c>
      <c r="F11050" t="inlineStr">
        <is>
          <t>NS 4000A Banque de France</t>
        </is>
      </c>
      <c r="J11050" t="inlineStr">
        <is>
          <t>Civetta</t>
        </is>
      </c>
      <c r="L11050">
        <f>_xlfn.XLOOKUP(Tableau1[[#This Row],[TYPE DE PIECE]],Tableau4[MATIERE],Tableau4[SHORT TYPE],"",0,1)</f>
        <v/>
      </c>
      <c r="N11050">
        <f>IF(ISERR(FIND("DECOUPE",Tableau1[[#This Row],[DESIGNATION]])),"","NEED REF")</f>
        <v/>
      </c>
    </row>
    <row r="11051">
      <c r="B11051" t="n">
        <v>34402955</v>
      </c>
      <c r="C11051" s="2" t="n">
        <v>41122</v>
      </c>
      <c r="D11051" t="inlineStr">
        <is>
          <t>SPEC</t>
        </is>
      </c>
      <c r="E11051" t="inlineStr">
        <is>
          <t>CROSS BUSBAR PHASE 2 - 2</t>
        </is>
      </c>
      <c r="F11051" t="inlineStr">
        <is>
          <t>NS 4000A Banque de France</t>
        </is>
      </c>
      <c r="J11051" t="inlineStr">
        <is>
          <t>Civetta</t>
        </is>
      </c>
      <c r="L11051">
        <f>_xlfn.XLOOKUP(Tableau1[[#This Row],[TYPE DE PIECE]],Tableau4[MATIERE],Tableau4[SHORT TYPE],"",0,1)</f>
        <v/>
      </c>
      <c r="N11051">
        <f>IF(ISERR(FIND("DECOUPE",Tableau1[[#This Row],[DESIGNATION]])),"","NEED REF")</f>
        <v/>
      </c>
    </row>
    <row r="11052">
      <c r="B11052" t="n">
        <v>34402954</v>
      </c>
      <c r="C11052" s="2" t="n">
        <v>41122</v>
      </c>
      <c r="D11052" t="inlineStr">
        <is>
          <t>SPEC</t>
        </is>
      </c>
      <c r="E11052" t="inlineStr">
        <is>
          <t>CROSS BUSBAR PHASE 2 - 1</t>
        </is>
      </c>
      <c r="F11052" t="inlineStr">
        <is>
          <t>NS 4000A Banque de France</t>
        </is>
      </c>
      <c r="J11052" t="inlineStr">
        <is>
          <t>Civetta</t>
        </is>
      </c>
      <c r="L11052">
        <f>_xlfn.XLOOKUP(Tableau1[[#This Row],[TYPE DE PIECE]],Tableau4[MATIERE],Tableau4[SHORT TYPE],"",0,1)</f>
        <v/>
      </c>
      <c r="N11052">
        <f>IF(ISERR(FIND("DECOUPE",Tableau1[[#This Row],[DESIGNATION]])),"","NEED REF")</f>
        <v/>
      </c>
    </row>
    <row r="11053">
      <c r="B11053" t="n">
        <v>34402953</v>
      </c>
      <c r="C11053" s="2" t="n">
        <v>41122</v>
      </c>
      <c r="D11053" t="inlineStr">
        <is>
          <t>SPEC</t>
        </is>
      </c>
      <c r="E11053" t="inlineStr">
        <is>
          <t>CROSS BUSBAR PHASE 1 - 2</t>
        </is>
      </c>
      <c r="F11053" t="inlineStr">
        <is>
          <t>NS 4000A Banque de France</t>
        </is>
      </c>
      <c r="J11053" t="inlineStr">
        <is>
          <t>Civetta</t>
        </is>
      </c>
      <c r="L11053">
        <f>_xlfn.XLOOKUP(Tableau1[[#This Row],[TYPE DE PIECE]],Tableau4[MATIERE],Tableau4[SHORT TYPE],"",0,1)</f>
        <v/>
      </c>
      <c r="N11053">
        <f>IF(ISERR(FIND("DECOUPE",Tableau1[[#This Row],[DESIGNATION]])),"","NEED REF")</f>
        <v/>
      </c>
    </row>
    <row r="11054">
      <c r="B11054" t="n">
        <v>34402952</v>
      </c>
      <c r="C11054" s="2" t="n">
        <v>41122</v>
      </c>
      <c r="D11054" t="inlineStr">
        <is>
          <t>SPEC</t>
        </is>
      </c>
      <c r="E11054" t="inlineStr">
        <is>
          <t>CROSS BUSBAR PHASE 1 - 1</t>
        </is>
      </c>
      <c r="F11054" t="inlineStr">
        <is>
          <t>NS 4000A Banque de France</t>
        </is>
      </c>
      <c r="J11054" t="inlineStr">
        <is>
          <t>Civetta</t>
        </is>
      </c>
      <c r="L11054">
        <f>_xlfn.XLOOKUP(Tableau1[[#This Row],[TYPE DE PIECE]],Tableau4[MATIERE],Tableau4[SHORT TYPE],"",0,1)</f>
        <v/>
      </c>
      <c r="N11054">
        <f>IF(ISERR(FIND("DECOUPE",Tableau1[[#This Row],[DESIGNATION]])),"","NEED REF")</f>
        <v/>
      </c>
    </row>
    <row r="11055">
      <c r="B11055" t="n">
        <v>34402951</v>
      </c>
      <c r="C11055" s="2" t="n">
        <v>41122</v>
      </c>
      <c r="D11055" t="inlineStr">
        <is>
          <t>SPEC</t>
        </is>
      </c>
      <c r="E11055" t="inlineStr">
        <is>
          <t>OUTGOING BUSBAR PEN 2</t>
        </is>
      </c>
      <c r="F11055" t="inlineStr">
        <is>
          <t>NS 4000A Banque de France</t>
        </is>
      </c>
      <c r="J11055" t="inlineStr">
        <is>
          <t>Civetta</t>
        </is>
      </c>
      <c r="L11055">
        <f>_xlfn.XLOOKUP(Tableau1[[#This Row],[TYPE DE PIECE]],Tableau4[MATIERE],Tableau4[SHORT TYPE],"",0,1)</f>
        <v/>
      </c>
      <c r="N11055">
        <f>IF(ISERR(FIND("DECOUPE",Tableau1[[#This Row],[DESIGNATION]])),"","NEED REF")</f>
        <v/>
      </c>
    </row>
    <row r="11056">
      <c r="B11056" t="n">
        <v>34402950</v>
      </c>
      <c r="C11056" s="2" t="n">
        <v>41122</v>
      </c>
      <c r="D11056" t="inlineStr">
        <is>
          <t>SPEC</t>
        </is>
      </c>
      <c r="E11056" t="inlineStr">
        <is>
          <t>NS 4000A chaine B</t>
        </is>
      </c>
      <c r="F11056" t="inlineStr">
        <is>
          <t>NS 4000A Banque de France</t>
        </is>
      </c>
      <c r="J11056" t="inlineStr">
        <is>
          <t>Civetta</t>
        </is>
      </c>
      <c r="L11056">
        <f>_xlfn.XLOOKUP(Tableau1[[#This Row],[TYPE DE PIECE]],Tableau4[MATIERE],Tableau4[SHORT TYPE],"",0,1)</f>
        <v/>
      </c>
      <c r="N11056">
        <f>IF(ISERR(FIND("DECOUPE",Tableau1[[#This Row],[DESIGNATION]])),"","NEED REF")</f>
        <v/>
      </c>
    </row>
    <row r="11057">
      <c r="B11057" t="n">
        <v>34402949</v>
      </c>
      <c r="C11057" s="2" t="n">
        <v>41122</v>
      </c>
      <c r="D11057" t="inlineStr">
        <is>
          <t>SPEC</t>
        </is>
      </c>
      <c r="E11057" t="inlineStr">
        <is>
          <t>OUTGOING BUSBAR PEN 1</t>
        </is>
      </c>
      <c r="F11057" t="inlineStr">
        <is>
          <t>NS 4000A Banque de France</t>
        </is>
      </c>
      <c r="J11057" t="inlineStr">
        <is>
          <t>Civetta</t>
        </is>
      </c>
      <c r="L11057">
        <f>_xlfn.XLOOKUP(Tableau1[[#This Row],[TYPE DE PIECE]],Tableau4[MATIERE],Tableau4[SHORT TYPE],"",0,1)</f>
        <v/>
      </c>
      <c r="N11057">
        <f>IF(ISERR(FIND("DECOUPE",Tableau1[[#This Row],[DESIGNATION]])),"","NEED REF")</f>
        <v/>
      </c>
    </row>
    <row r="11058">
      <c r="B11058" t="n">
        <v>34402948</v>
      </c>
      <c r="C11058" s="2" t="n">
        <v>41122</v>
      </c>
      <c r="D11058" t="inlineStr">
        <is>
          <t>SPEC</t>
        </is>
      </c>
      <c r="E11058" t="inlineStr">
        <is>
          <t>UPPER CONNECTION PHASE 2 - 2 Q4S</t>
        </is>
      </c>
      <c r="F11058" t="inlineStr">
        <is>
          <t>NS 4000A Banque de France</t>
        </is>
      </c>
      <c r="J11058" t="inlineStr">
        <is>
          <t>Civetta</t>
        </is>
      </c>
      <c r="L11058">
        <f>_xlfn.XLOOKUP(Tableau1[[#This Row],[TYPE DE PIECE]],Tableau4[MATIERE],Tableau4[SHORT TYPE],"",0,1)</f>
        <v/>
      </c>
      <c r="N11058">
        <f>IF(ISERR(FIND("DECOUPE",Tableau1[[#This Row],[DESIGNATION]])),"","NEED REF")</f>
        <v/>
      </c>
    </row>
    <row r="11059">
      <c r="B11059" t="n">
        <v>34402947</v>
      </c>
      <c r="C11059" s="2" t="n">
        <v>41122</v>
      </c>
      <c r="D11059" t="inlineStr">
        <is>
          <t>SPEC</t>
        </is>
      </c>
      <c r="E11059" t="inlineStr">
        <is>
          <t>UPPER CONNECTION PHASE 2 -1 Q4S</t>
        </is>
      </c>
      <c r="F11059" t="inlineStr">
        <is>
          <t>NS 4000A Banque de France</t>
        </is>
      </c>
      <c r="J11059" t="inlineStr">
        <is>
          <t>Civetta</t>
        </is>
      </c>
      <c r="L11059">
        <f>_xlfn.XLOOKUP(Tableau1[[#This Row],[TYPE DE PIECE]],Tableau4[MATIERE],Tableau4[SHORT TYPE],"",0,1)</f>
        <v/>
      </c>
      <c r="N11059">
        <f>IF(ISERR(FIND("DECOUPE",Tableau1[[#This Row],[DESIGNATION]])),"","NEED REF")</f>
        <v/>
      </c>
    </row>
    <row r="11060">
      <c r="B11060" t="n">
        <v>34402946</v>
      </c>
      <c r="C11060" s="2" t="n">
        <v>41122</v>
      </c>
      <c r="D11060" t="inlineStr">
        <is>
          <t>SPEC</t>
        </is>
      </c>
      <c r="E11060" t="inlineStr">
        <is>
          <t>UPPER CONNECTION Q4S  - 3</t>
        </is>
      </c>
      <c r="F11060" t="inlineStr">
        <is>
          <t>NS 4000A Banque de France</t>
        </is>
      </c>
      <c r="J11060" t="inlineStr">
        <is>
          <t>Civetta</t>
        </is>
      </c>
      <c r="L11060">
        <f>_xlfn.XLOOKUP(Tableau1[[#This Row],[TYPE DE PIECE]],Tableau4[MATIERE],Tableau4[SHORT TYPE],"",0,1)</f>
        <v/>
      </c>
      <c r="N11060">
        <f>IF(ISERR(FIND("DECOUPE",Tableau1[[#This Row],[DESIGNATION]])),"","NEED REF")</f>
        <v/>
      </c>
    </row>
    <row r="11061">
      <c r="B11061" t="n">
        <v>34402945</v>
      </c>
      <c r="C11061" s="2" t="n">
        <v>41122</v>
      </c>
      <c r="D11061" t="inlineStr">
        <is>
          <t>SPEC</t>
        </is>
      </c>
      <c r="E11061" t="inlineStr">
        <is>
          <t>UPPER CONNECTION Q4S - 4</t>
        </is>
      </c>
      <c r="F11061" t="inlineStr">
        <is>
          <t>NS 4000A Banque de France</t>
        </is>
      </c>
      <c r="J11061" t="inlineStr">
        <is>
          <t>Civetta</t>
        </is>
      </c>
      <c r="L11061">
        <f>_xlfn.XLOOKUP(Tableau1[[#This Row],[TYPE DE PIECE]],Tableau4[MATIERE],Tableau4[SHORT TYPE],"",0,1)</f>
        <v/>
      </c>
      <c r="N11061">
        <f>IF(ISERR(FIND("DECOUPE",Tableau1[[#This Row],[DESIGNATION]])),"","NEED REF")</f>
        <v/>
      </c>
    </row>
    <row r="11062">
      <c r="B11062" t="n">
        <v>34402944</v>
      </c>
      <c r="C11062" s="2" t="n">
        <v>41122</v>
      </c>
      <c r="D11062" t="inlineStr">
        <is>
          <t>SPEC</t>
        </is>
      </c>
      <c r="E11062" t="inlineStr">
        <is>
          <t>ERICO FLEXIBAR</t>
        </is>
      </c>
      <c r="F11062" t="inlineStr">
        <is>
          <t>NS 4000A Banque de France</t>
        </is>
      </c>
      <c r="J11062" t="inlineStr">
        <is>
          <t>Civetta</t>
        </is>
      </c>
      <c r="L11062">
        <f>_xlfn.XLOOKUP(Tableau1[[#This Row],[TYPE DE PIECE]],Tableau4[MATIERE],Tableau4[SHORT TYPE],"",0,1)</f>
        <v/>
      </c>
      <c r="N11062">
        <f>IF(ISERR(FIND("DECOUPE",Tableau1[[#This Row],[DESIGNATION]])),"","NEED REF")</f>
        <v/>
      </c>
    </row>
    <row r="11063">
      <c r="B11063" t="n">
        <v>34402943</v>
      </c>
      <c r="C11063" s="2" t="n">
        <v>41122</v>
      </c>
      <c r="D11063" t="inlineStr">
        <is>
          <t>SPEC</t>
        </is>
      </c>
      <c r="E11063" t="inlineStr">
        <is>
          <t>ERICO FLEXIBAR</t>
        </is>
      </c>
      <c r="F11063" t="inlineStr">
        <is>
          <t>NS 4000A Banque de France</t>
        </is>
      </c>
      <c r="J11063" t="inlineStr">
        <is>
          <t>Civetta</t>
        </is>
      </c>
      <c r="L11063">
        <f>_xlfn.XLOOKUP(Tableau1[[#This Row],[TYPE DE PIECE]],Tableau4[MATIERE],Tableau4[SHORT TYPE],"",0,1)</f>
        <v/>
      </c>
      <c r="N11063">
        <f>IF(ISERR(FIND("DECOUPE",Tableau1[[#This Row],[DESIGNATION]])),"","NEED REF")</f>
        <v/>
      </c>
    </row>
    <row r="11064">
      <c r="B11064" t="n">
        <v>34402942</v>
      </c>
      <c r="C11064" s="2" t="n">
        <v>41122</v>
      </c>
      <c r="D11064" t="inlineStr">
        <is>
          <t>SPEC</t>
        </is>
      </c>
      <c r="E11064" t="inlineStr">
        <is>
          <t>ERICO FLEXIBAR</t>
        </is>
      </c>
      <c r="F11064" t="inlineStr">
        <is>
          <t>NS 4000A Banque de France</t>
        </is>
      </c>
      <c r="J11064" t="inlineStr">
        <is>
          <t>Civetta</t>
        </is>
      </c>
      <c r="L11064">
        <f>_xlfn.XLOOKUP(Tableau1[[#This Row],[TYPE DE PIECE]],Tableau4[MATIERE],Tableau4[SHORT TYPE],"",0,1)</f>
        <v/>
      </c>
      <c r="N11064">
        <f>IF(ISERR(FIND("DECOUPE",Tableau1[[#This Row],[DESIGNATION]])),"","NEED REF")</f>
        <v/>
      </c>
    </row>
    <row r="11065">
      <c r="B11065" t="n">
        <v>34402941</v>
      </c>
      <c r="C11065" s="2" t="n">
        <v>41122</v>
      </c>
      <c r="D11065" t="inlineStr">
        <is>
          <t>SPEC</t>
        </is>
      </c>
      <c r="E11065" t="inlineStr">
        <is>
          <t>ERICO FLEXIBAR</t>
        </is>
      </c>
      <c r="F11065" t="inlineStr">
        <is>
          <t>NS 4000A Banque de France</t>
        </is>
      </c>
      <c r="J11065" t="inlineStr">
        <is>
          <t>Civetta</t>
        </is>
      </c>
      <c r="L11065">
        <f>_xlfn.XLOOKUP(Tableau1[[#This Row],[TYPE DE PIECE]],Tableau4[MATIERE],Tableau4[SHORT TYPE],"",0,1)</f>
        <v/>
      </c>
      <c r="N11065">
        <f>IF(ISERR(FIND("DECOUPE",Tableau1[[#This Row],[DESIGNATION]])),"","NEED REF")</f>
        <v/>
      </c>
    </row>
    <row r="11066">
      <c r="B11066" t="n">
        <v>34402940</v>
      </c>
      <c r="C11066" s="2" t="n">
        <v>41122</v>
      </c>
      <c r="D11066" t="inlineStr">
        <is>
          <t>SPEC</t>
        </is>
      </c>
      <c r="E11066" t="inlineStr">
        <is>
          <t>ERICO FLEXIBAR</t>
        </is>
      </c>
      <c r="F11066" t="inlineStr">
        <is>
          <t>NS 4000A Banque de France</t>
        </is>
      </c>
      <c r="J11066" t="inlineStr">
        <is>
          <t>Civetta</t>
        </is>
      </c>
      <c r="L11066">
        <f>_xlfn.XLOOKUP(Tableau1[[#This Row],[TYPE DE PIECE]],Tableau4[MATIERE],Tableau4[SHORT TYPE],"",0,1)</f>
        <v/>
      </c>
      <c r="N11066">
        <f>IF(ISERR(FIND("DECOUPE",Tableau1[[#This Row],[DESIGNATION]])),"","NEED REF")</f>
        <v/>
      </c>
    </row>
    <row r="11067">
      <c r="B11067" t="n">
        <v>34402939</v>
      </c>
      <c r="C11067" s="2" t="n">
        <v>41122</v>
      </c>
      <c r="D11067" t="inlineStr">
        <is>
          <t>SPEC</t>
        </is>
      </c>
      <c r="E11067" t="inlineStr">
        <is>
          <t>ERICO FLEXIBAR</t>
        </is>
      </c>
      <c r="F11067" t="inlineStr">
        <is>
          <t>NS 4000A Banque de France</t>
        </is>
      </c>
      <c r="J11067" t="inlineStr">
        <is>
          <t>Civetta</t>
        </is>
      </c>
      <c r="L11067">
        <f>_xlfn.XLOOKUP(Tableau1[[#This Row],[TYPE DE PIECE]],Tableau4[MATIERE],Tableau4[SHORT TYPE],"",0,1)</f>
        <v/>
      </c>
      <c r="N11067">
        <f>IF(ISERR(FIND("DECOUPE",Tableau1[[#This Row],[DESIGNATION]])),"","NEED REF")</f>
        <v/>
      </c>
    </row>
    <row r="11068">
      <c r="B11068" t="n">
        <v>34402938</v>
      </c>
      <c r="C11068" s="2" t="n">
        <v>41122</v>
      </c>
      <c r="D11068" t="inlineStr">
        <is>
          <t>SPEC</t>
        </is>
      </c>
      <c r="E11068" t="inlineStr">
        <is>
          <t>ERICO FLEXIBAR</t>
        </is>
      </c>
      <c r="F11068" t="inlineStr">
        <is>
          <t>NS 4000A Banque de France</t>
        </is>
      </c>
      <c r="J11068" t="inlineStr">
        <is>
          <t>Civetta</t>
        </is>
      </c>
      <c r="L11068">
        <f>_xlfn.XLOOKUP(Tableau1[[#This Row],[TYPE DE PIECE]],Tableau4[MATIERE],Tableau4[SHORT TYPE],"",0,1)</f>
        <v/>
      </c>
      <c r="N11068">
        <f>IF(ISERR(FIND("DECOUPE",Tableau1[[#This Row],[DESIGNATION]])),"","NEED REF")</f>
        <v/>
      </c>
    </row>
    <row r="11069">
      <c r="B11069" t="n">
        <v>34402937</v>
      </c>
      <c r="C11069" s="2" t="n">
        <v>41122</v>
      </c>
      <c r="D11069" t="inlineStr">
        <is>
          <t>SPEC</t>
        </is>
      </c>
      <c r="E11069" t="inlineStr">
        <is>
          <t>ERICO FLEXIBAR</t>
        </is>
      </c>
      <c r="F11069" t="inlineStr">
        <is>
          <t>NS 4000A Banque de France</t>
        </is>
      </c>
      <c r="J11069" t="inlineStr">
        <is>
          <t>Civetta</t>
        </is>
      </c>
      <c r="L11069">
        <f>_xlfn.XLOOKUP(Tableau1[[#This Row],[TYPE DE PIECE]],Tableau4[MATIERE],Tableau4[SHORT TYPE],"",0,1)</f>
        <v/>
      </c>
      <c r="N11069">
        <f>IF(ISERR(FIND("DECOUPE",Tableau1[[#This Row],[DESIGNATION]])),"","NEED REF")</f>
        <v/>
      </c>
    </row>
    <row r="11070">
      <c r="B11070" t="n">
        <v>34402936</v>
      </c>
      <c r="C11070" s="2" t="n">
        <v>41122</v>
      </c>
      <c r="D11070" t="inlineStr">
        <is>
          <t>SPEC</t>
        </is>
      </c>
      <c r="E11070" t="inlineStr">
        <is>
          <t>ERICO FLEXIBAR</t>
        </is>
      </c>
      <c r="F11070" t="inlineStr">
        <is>
          <t>NS 4000A Banque de France</t>
        </is>
      </c>
      <c r="J11070" t="inlineStr">
        <is>
          <t>Civetta</t>
        </is>
      </c>
      <c r="L11070">
        <f>_xlfn.XLOOKUP(Tableau1[[#This Row],[TYPE DE PIECE]],Tableau4[MATIERE],Tableau4[SHORT TYPE],"",0,1)</f>
        <v/>
      </c>
      <c r="N11070">
        <f>IF(ISERR(FIND("DECOUPE",Tableau1[[#This Row],[DESIGNATION]])),"","NEED REF")</f>
        <v/>
      </c>
    </row>
    <row r="11071">
      <c r="B11071" t="n">
        <v>34402935</v>
      </c>
      <c r="C11071" s="2" t="n">
        <v>41122</v>
      </c>
      <c r="D11071" t="inlineStr">
        <is>
          <t>SPEC</t>
        </is>
      </c>
      <c r="E11071" t="inlineStr">
        <is>
          <t>LEFT SWITH CABINET  AND SHEATH CABINETS</t>
        </is>
      </c>
      <c r="F11071" t="inlineStr">
        <is>
          <t>NS 4000A Banque de France</t>
        </is>
      </c>
      <c r="J11071" t="inlineStr">
        <is>
          <t>Civetta</t>
        </is>
      </c>
      <c r="L11071">
        <f>_xlfn.XLOOKUP(Tableau1[[#This Row],[TYPE DE PIECE]],Tableau4[MATIERE],Tableau4[SHORT TYPE],"",0,1)</f>
        <v/>
      </c>
      <c r="N11071">
        <f>IF(ISERR(FIND("DECOUPE",Tableau1[[#This Row],[DESIGNATION]])),"","NEED REF")</f>
        <v/>
      </c>
    </row>
    <row r="11072">
      <c r="B11072" t="n">
        <v>34402934</v>
      </c>
      <c r="C11072" s="2" t="n">
        <v>41122</v>
      </c>
      <c r="D11072" t="inlineStr">
        <is>
          <t>SPEC</t>
        </is>
      </c>
      <c r="E11072" t="inlineStr">
        <is>
          <t>LEFT SWITCHES ASSEMBLY</t>
        </is>
      </c>
      <c r="F11072" t="inlineStr">
        <is>
          <t>NS 4000A Banque de France</t>
        </is>
      </c>
      <c r="J11072" t="inlineStr">
        <is>
          <t>Civetta</t>
        </is>
      </c>
      <c r="L11072">
        <f>_xlfn.XLOOKUP(Tableau1[[#This Row],[TYPE DE PIECE]],Tableau4[MATIERE],Tableau4[SHORT TYPE],"",0,1)</f>
        <v/>
      </c>
      <c r="N11072">
        <f>IF(ISERR(FIND("DECOUPE",Tableau1[[#This Row],[DESIGNATION]])),"","NEED REF")</f>
        <v/>
      </c>
    </row>
    <row r="11073">
      <c r="B11073" t="n">
        <v>34402933</v>
      </c>
      <c r="C11073" s="2" t="n">
        <v>41121</v>
      </c>
      <c r="D11073" t="inlineStr">
        <is>
          <t>SPEC</t>
        </is>
      </c>
      <c r="E11073" t="inlineStr">
        <is>
          <t>PLATINE DISTRIB BAS G7K 250kVA + MODBUS + ETH</t>
        </is>
      </c>
      <c r="F11073" t="inlineStr">
        <is>
          <t>G7K</t>
        </is>
      </c>
      <c r="J11073" t="inlineStr">
        <is>
          <t>MATRION</t>
        </is>
      </c>
      <c r="L11073">
        <f>_xlfn.XLOOKUP(Tableau1[[#This Row],[TYPE DE PIECE]],Tableau4[MATIERE],Tableau4[SHORT TYPE],"",0,1)</f>
        <v/>
      </c>
      <c r="N11073">
        <f>IF(ISERR(FIND("DECOUPE",Tableau1[[#This Row],[DESIGNATION]])),"","NEED REF")</f>
        <v/>
      </c>
    </row>
    <row r="11074">
      <c r="B11074" t="n">
        <v>34402932</v>
      </c>
      <c r="C11074" s="2" t="n">
        <v>41121</v>
      </c>
      <c r="D11074" t="inlineStr">
        <is>
          <t>SPEC</t>
        </is>
      </c>
      <c r="E11074" t="inlineStr">
        <is>
          <t>PLATINE DISTRIB HAUT G7K 250kVA + MODBUS + ETH</t>
        </is>
      </c>
      <c r="F11074" t="inlineStr">
        <is>
          <t>G7K</t>
        </is>
      </c>
      <c r="J11074" t="inlineStr">
        <is>
          <t>MATRION</t>
        </is>
      </c>
      <c r="L11074">
        <f>_xlfn.XLOOKUP(Tableau1[[#This Row],[TYPE DE PIECE]],Tableau4[MATIERE],Tableau4[SHORT TYPE],"",0,1)</f>
        <v/>
      </c>
      <c r="N11074">
        <f>IF(ISERR(FIND("DECOUPE",Tableau1[[#This Row],[DESIGNATION]])),"","NEED REF")</f>
        <v/>
      </c>
    </row>
    <row r="11075">
      <c r="B11075" t="n">
        <v>34402931</v>
      </c>
      <c r="C11075" s="2" t="n">
        <v>41121</v>
      </c>
      <c r="D11075" t="inlineStr">
        <is>
          <t>SPEC</t>
        </is>
      </c>
      <c r="E11075" t="inlineStr">
        <is>
          <t>PLASTRON BAS DISTRIB G7K 250kVA + MODBUS + ETH</t>
        </is>
      </c>
      <c r="F11075" t="inlineStr">
        <is>
          <t>G7K</t>
        </is>
      </c>
      <c r="J11075" t="inlineStr">
        <is>
          <t>MATRION</t>
        </is>
      </c>
      <c r="L11075">
        <f>_xlfn.XLOOKUP(Tableau1[[#This Row],[TYPE DE PIECE]],Tableau4[MATIERE],Tableau4[SHORT TYPE],"",0,1)</f>
        <v/>
      </c>
      <c r="N11075">
        <f>IF(ISERR(FIND("DECOUPE",Tableau1[[#This Row],[DESIGNATION]])),"","NEED REF")</f>
        <v/>
      </c>
    </row>
    <row r="11076">
      <c r="B11076" t="n">
        <v>34402930</v>
      </c>
      <c r="C11076" s="2" t="n">
        <v>41121</v>
      </c>
      <c r="D11076" t="inlineStr">
        <is>
          <t>SPEC</t>
        </is>
      </c>
      <c r="E11076" t="inlineStr">
        <is>
          <t>PLASTRON HAUT DISTRIB G7K 250kVA + MODBUS + ETH</t>
        </is>
      </c>
      <c r="F11076" t="inlineStr">
        <is>
          <t>G7K</t>
        </is>
      </c>
      <c r="J11076" t="inlineStr">
        <is>
          <t>MATRION</t>
        </is>
      </c>
      <c r="L11076">
        <f>_xlfn.XLOOKUP(Tableau1[[#This Row],[TYPE DE PIECE]],Tableau4[MATIERE],Tableau4[SHORT TYPE],"",0,1)</f>
        <v/>
      </c>
      <c r="N11076">
        <f>IF(ISERR(FIND("DECOUPE",Tableau1[[#This Row],[DESIGNATION]])),"","NEED REF")</f>
        <v/>
      </c>
    </row>
    <row r="11077">
      <c r="B11077" t="n">
        <v>34402929</v>
      </c>
      <c r="C11077" s="2" t="n">
        <v>41121</v>
      </c>
      <c r="D11077" t="inlineStr">
        <is>
          <t>SPEC</t>
        </is>
      </c>
      <c r="E11077" t="inlineStr">
        <is>
          <t>SUPPORT PLATINE DISTRIB G7K 250kVA + MODBUS + ETH</t>
        </is>
      </c>
      <c r="F11077" t="inlineStr">
        <is>
          <t>G7K</t>
        </is>
      </c>
      <c r="J11077" t="inlineStr">
        <is>
          <t>MATRION</t>
        </is>
      </c>
      <c r="L11077">
        <f>_xlfn.XLOOKUP(Tableau1[[#This Row],[TYPE DE PIECE]],Tableau4[MATIERE],Tableau4[SHORT TYPE],"",0,1)</f>
        <v/>
      </c>
      <c r="N11077">
        <f>IF(ISERR(FIND("DECOUPE",Tableau1[[#This Row],[DESIGNATION]])),"","NEED REF")</f>
        <v/>
      </c>
    </row>
    <row r="11078">
      <c r="B11078" t="n">
        <v>34402928</v>
      </c>
      <c r="C11078" s="2" t="n">
        <v>41121</v>
      </c>
      <c r="D11078" t="inlineStr">
        <is>
          <t>NOM</t>
        </is>
      </c>
      <c r="E11078" t="inlineStr">
        <is>
          <t>ARM DISTRIB G7K 400mm 250kVA + MODBUS + ETH</t>
        </is>
      </c>
      <c r="F11078" t="inlineStr">
        <is>
          <t>G7K</t>
        </is>
      </c>
      <c r="J11078" t="inlineStr">
        <is>
          <t>MATRION</t>
        </is>
      </c>
      <c r="L11078">
        <f>_xlfn.XLOOKUP(Tableau1[[#This Row],[TYPE DE PIECE]],Tableau4[MATIERE],Tableau4[SHORT TYPE],"",0,1)</f>
        <v/>
      </c>
      <c r="N11078">
        <f>IF(ISERR(FIND("DECOUPE",Tableau1[[#This Row],[DESIGNATION]])),"","NEED REF")</f>
        <v/>
      </c>
    </row>
    <row r="11079">
      <c r="B11079" t="n">
        <v>34402927</v>
      </c>
      <c r="C11079" s="2" t="n">
        <v>41117</v>
      </c>
      <c r="D11079" t="inlineStr">
        <is>
          <t>SPEC</t>
        </is>
      </c>
      <c r="E11079" t="inlineStr">
        <is>
          <t>PROTECTION SHIELD JUNCTION</t>
        </is>
      </c>
      <c r="F11079" t="inlineStr">
        <is>
          <t>NS 4000A Banque de France</t>
        </is>
      </c>
      <c r="J11079" t="inlineStr">
        <is>
          <t>Civetta</t>
        </is>
      </c>
      <c r="L11079">
        <f>_xlfn.XLOOKUP(Tableau1[[#This Row],[TYPE DE PIECE]],Tableau4[MATIERE],Tableau4[SHORT TYPE],"",0,1)</f>
        <v/>
      </c>
      <c r="N11079">
        <f>IF(ISERR(FIND("DECOUPE",Tableau1[[#This Row],[DESIGNATION]])),"","NEED REF")</f>
        <v/>
      </c>
    </row>
    <row r="11080">
      <c r="B11080" t="n">
        <v>34402926</v>
      </c>
      <c r="C11080" s="2" t="n">
        <v>41117</v>
      </c>
      <c r="D11080" t="inlineStr">
        <is>
          <t>SPEC</t>
        </is>
      </c>
      <c r="E11080" t="inlineStr">
        <is>
          <t>ROOF L=400</t>
        </is>
      </c>
      <c r="F11080" t="inlineStr">
        <is>
          <t>NS 4000A Banque de France</t>
        </is>
      </c>
      <c r="J11080" t="inlineStr">
        <is>
          <t>Civetta</t>
        </is>
      </c>
      <c r="L11080">
        <f>_xlfn.XLOOKUP(Tableau1[[#This Row],[TYPE DE PIECE]],Tableau4[MATIERE],Tableau4[SHORT TYPE],"",0,1)</f>
        <v/>
      </c>
      <c r="N11080">
        <f>IF(ISERR(FIND("DECOUPE",Tableau1[[#This Row],[DESIGNATION]])),"","NEED REF")</f>
        <v/>
      </c>
    </row>
    <row r="11081">
      <c r="B11081" t="n">
        <v>34402925</v>
      </c>
      <c r="C11081" s="2" t="n">
        <v>41117</v>
      </c>
      <c r="D11081" t="inlineStr">
        <is>
          <t>SPEC</t>
        </is>
      </c>
      <c r="E11081" t="inlineStr">
        <is>
          <t>ROOF L=1400</t>
        </is>
      </c>
      <c r="F11081" t="inlineStr">
        <is>
          <t>NS 4000A Banque de France</t>
        </is>
      </c>
      <c r="J11081" t="inlineStr">
        <is>
          <t>Civetta</t>
        </is>
      </c>
      <c r="L11081">
        <f>_xlfn.XLOOKUP(Tableau1[[#This Row],[TYPE DE PIECE]],Tableau4[MATIERE],Tableau4[SHORT TYPE],"",0,1)</f>
        <v/>
      </c>
      <c r="N11081">
        <f>IF(ISERR(FIND("DECOUPE",Tableau1[[#This Row],[DESIGNATION]])),"","NEED REF")</f>
        <v/>
      </c>
    </row>
    <row r="11082">
      <c r="B11082" t="n">
        <v>34402924</v>
      </c>
      <c r="C11082" s="2" t="n">
        <v>41117</v>
      </c>
      <c r="D11082" t="inlineStr">
        <is>
          <t>SPEC</t>
        </is>
      </c>
      <c r="E11082" t="inlineStr">
        <is>
          <t>SHEATH PANEL L=800</t>
        </is>
      </c>
      <c r="F11082" t="inlineStr">
        <is>
          <t>NS 4000A Banque de France</t>
        </is>
      </c>
      <c r="J11082" t="inlineStr">
        <is>
          <t>Civetta</t>
        </is>
      </c>
      <c r="L11082">
        <f>_xlfn.XLOOKUP(Tableau1[[#This Row],[TYPE DE PIECE]],Tableau4[MATIERE],Tableau4[SHORT TYPE],"",0,1)</f>
        <v/>
      </c>
      <c r="N11082">
        <f>IF(ISERR(FIND("DECOUPE",Tableau1[[#This Row],[DESIGNATION]])),"","NEED REF")</f>
        <v/>
      </c>
    </row>
    <row r="11083">
      <c r="B11083" t="n">
        <v>34402923</v>
      </c>
      <c r="C11083" s="2" t="n">
        <v>41117</v>
      </c>
      <c r="D11083" t="inlineStr">
        <is>
          <t>SPEC</t>
        </is>
      </c>
      <c r="E11083" t="inlineStr">
        <is>
          <t>SHEATH PANEL L=1400</t>
        </is>
      </c>
      <c r="F11083" t="inlineStr">
        <is>
          <t>NS 4000A Banque de France</t>
        </is>
      </c>
      <c r="J11083" t="inlineStr">
        <is>
          <t>Civetta</t>
        </is>
      </c>
      <c r="L11083">
        <f>_xlfn.XLOOKUP(Tableau1[[#This Row],[TYPE DE PIECE]],Tableau4[MATIERE],Tableau4[SHORT TYPE],"",0,1)</f>
        <v/>
      </c>
      <c r="N11083">
        <f>IF(ISERR(FIND("DECOUPE",Tableau1[[#This Row],[DESIGNATION]])),"","NEED REF")</f>
        <v/>
      </c>
    </row>
    <row r="11084">
      <c r="B11084" t="n">
        <v>34402922</v>
      </c>
      <c r="C11084" s="2" t="n">
        <v>41117</v>
      </c>
      <c r="D11084" t="inlineStr">
        <is>
          <t>SPEC</t>
        </is>
      </c>
      <c r="E11084" t="inlineStr">
        <is>
          <t>SHEATH PANEL L=800</t>
        </is>
      </c>
      <c r="F11084" t="inlineStr">
        <is>
          <t>NS 4000A Banque de France</t>
        </is>
      </c>
      <c r="J11084" t="inlineStr">
        <is>
          <t>Civetta</t>
        </is>
      </c>
      <c r="L11084">
        <f>_xlfn.XLOOKUP(Tableau1[[#This Row],[TYPE DE PIECE]],Tableau4[MATIERE],Tableau4[SHORT TYPE],"",0,1)</f>
        <v/>
      </c>
      <c r="N11084">
        <f>IF(ISERR(FIND("DECOUPE",Tableau1[[#This Row],[DESIGNATION]])),"","NEED REF")</f>
        <v/>
      </c>
    </row>
    <row r="11085">
      <c r="B11085" t="n">
        <v>34402921</v>
      </c>
      <c r="C11085" s="2" t="n">
        <v>41117</v>
      </c>
      <c r="D11085" t="inlineStr">
        <is>
          <t>SPEC</t>
        </is>
      </c>
      <c r="E11085" t="inlineStr">
        <is>
          <t>IP 20 PROTECTION SHIELD L=400</t>
        </is>
      </c>
      <c r="F11085" t="inlineStr">
        <is>
          <t>NS 4000A Banque de France</t>
        </is>
      </c>
      <c r="J11085" t="inlineStr">
        <is>
          <t>Civetta</t>
        </is>
      </c>
      <c r="L11085">
        <f>_xlfn.XLOOKUP(Tableau1[[#This Row],[TYPE DE PIECE]],Tableau4[MATIERE],Tableau4[SHORT TYPE],"",0,1)</f>
        <v/>
      </c>
      <c r="N11085">
        <f>IF(ISERR(FIND("DECOUPE",Tableau1[[#This Row],[DESIGNATION]])),"","NEED REF")</f>
        <v/>
      </c>
    </row>
    <row r="11086">
      <c r="B11086" t="n">
        <v>34402920</v>
      </c>
      <c r="C11086" s="2" t="n">
        <v>41117</v>
      </c>
      <c r="D11086" t="inlineStr">
        <is>
          <t>SPEC</t>
        </is>
      </c>
      <c r="E11086" t="inlineStr">
        <is>
          <t>PROTECTION_SHIELD ELECTRONIC</t>
        </is>
      </c>
      <c r="F11086" t="inlineStr">
        <is>
          <t>NS 4000A Banque de France</t>
        </is>
      </c>
      <c r="J11086" t="inlineStr">
        <is>
          <t>Civetta</t>
        </is>
      </c>
      <c r="L11086">
        <f>_xlfn.XLOOKUP(Tableau1[[#This Row],[TYPE DE PIECE]],Tableau4[MATIERE],Tableau4[SHORT TYPE],"",0,1)</f>
        <v/>
      </c>
      <c r="N11086">
        <f>IF(ISERR(FIND("DECOUPE",Tableau1[[#This Row],[DESIGNATION]])),"","NEED REF")</f>
        <v/>
      </c>
    </row>
    <row r="11087">
      <c r="B11087" t="n">
        <v>34402919</v>
      </c>
      <c r="C11087" s="2" t="n">
        <v>41117</v>
      </c>
      <c r="D11087" t="inlineStr">
        <is>
          <t>SPEC</t>
        </is>
      </c>
      <c r="E11087" t="inlineStr">
        <is>
          <t>PROTECTION SUPPORT</t>
        </is>
      </c>
      <c r="F11087" t="inlineStr">
        <is>
          <t>NS 4000A Banque de France</t>
        </is>
      </c>
      <c r="J11087" t="inlineStr">
        <is>
          <t>Civetta</t>
        </is>
      </c>
      <c r="L11087">
        <f>_xlfn.XLOOKUP(Tableau1[[#This Row],[TYPE DE PIECE]],Tableau4[MATIERE],Tableau4[SHORT TYPE],"",0,1)</f>
        <v/>
      </c>
      <c r="N11087">
        <f>IF(ISERR(FIND("DECOUPE",Tableau1[[#This Row],[DESIGNATION]])),"","NEED REF")</f>
        <v/>
      </c>
    </row>
    <row r="11088">
      <c r="B11088" t="n">
        <v>34402918</v>
      </c>
      <c r="C11088" s="2" t="n">
        <v>41117</v>
      </c>
      <c r="D11088" t="inlineStr">
        <is>
          <t>SPEC</t>
        </is>
      </c>
      <c r="E11088" t="inlineStr">
        <is>
          <t>IP 20 PROTECTION SHIELD</t>
        </is>
      </c>
      <c r="F11088" t="inlineStr">
        <is>
          <t>NS 4000A Banque de France</t>
        </is>
      </c>
      <c r="J11088" t="inlineStr">
        <is>
          <t>Civetta</t>
        </is>
      </c>
      <c r="L11088">
        <f>_xlfn.XLOOKUP(Tableau1[[#This Row],[TYPE DE PIECE]],Tableau4[MATIERE],Tableau4[SHORT TYPE],"",0,1)</f>
        <v/>
      </c>
      <c r="N11088">
        <f>IF(ISERR(FIND("DECOUPE",Tableau1[[#This Row],[DESIGNATION]])),"","NEED REF")</f>
        <v/>
      </c>
    </row>
    <row r="11089">
      <c r="B11089" t="n">
        <v>34402917</v>
      </c>
      <c r="C11089" s="2" t="n">
        <v>41117</v>
      </c>
      <c r="D11089" t="inlineStr">
        <is>
          <t>SPEC</t>
        </is>
      </c>
      <c r="E11089" t="inlineStr">
        <is>
          <t>PROTECTION SHIELD SHEATH</t>
        </is>
      </c>
      <c r="F11089" t="inlineStr">
        <is>
          <t>NS 4000A Banque de France</t>
        </is>
      </c>
      <c r="J11089" t="inlineStr">
        <is>
          <t>Civetta</t>
        </is>
      </c>
      <c r="L11089">
        <f>_xlfn.XLOOKUP(Tableau1[[#This Row],[TYPE DE PIECE]],Tableau4[MATIERE],Tableau4[SHORT TYPE],"",0,1)</f>
        <v/>
      </c>
      <c r="N11089">
        <f>IF(ISERR(FIND("DECOUPE",Tableau1[[#This Row],[DESIGNATION]])),"","NEED REF")</f>
        <v/>
      </c>
    </row>
    <row r="11090">
      <c r="B11090" t="n">
        <v>34402916</v>
      </c>
      <c r="C11090" s="2" t="n">
        <v>41117</v>
      </c>
      <c r="D11090" t="inlineStr">
        <is>
          <t>SPEC</t>
        </is>
      </c>
      <c r="E11090" t="inlineStr">
        <is>
          <t>PROTECTION SHIELD K2S</t>
        </is>
      </c>
      <c r="F11090" t="inlineStr">
        <is>
          <t>NS 4000A Banque de France</t>
        </is>
      </c>
      <c r="J11090" t="inlineStr">
        <is>
          <t>Civetta</t>
        </is>
      </c>
      <c r="L11090">
        <f>_xlfn.XLOOKUP(Tableau1[[#This Row],[TYPE DE PIECE]],Tableau4[MATIERE],Tableau4[SHORT TYPE],"",0,1)</f>
        <v/>
      </c>
      <c r="N11090">
        <f>IF(ISERR(FIND("DECOUPE",Tableau1[[#This Row],[DESIGNATION]])),"","NEED REF")</f>
        <v/>
      </c>
    </row>
    <row r="11091">
      <c r="B11091" t="n">
        <v>34402915</v>
      </c>
      <c r="C11091" s="2" t="n">
        <v>41117</v>
      </c>
      <c r="D11091" t="inlineStr">
        <is>
          <t>SPEC</t>
        </is>
      </c>
      <c r="E11091" t="inlineStr">
        <is>
          <t>PROTECTION SHIELD Q4S Q5N</t>
        </is>
      </c>
      <c r="F11091" t="inlineStr">
        <is>
          <t>NS 4000A Banque de France</t>
        </is>
      </c>
      <c r="J11091" t="inlineStr">
        <is>
          <t>Civetta</t>
        </is>
      </c>
      <c r="L11091">
        <f>_xlfn.XLOOKUP(Tableau1[[#This Row],[TYPE DE PIECE]],Tableau4[MATIERE],Tableau4[SHORT TYPE],"",0,1)</f>
        <v/>
      </c>
      <c r="N11091">
        <f>IF(ISERR(FIND("DECOUPE",Tableau1[[#This Row],[DESIGNATION]])),"","NEED REF")</f>
        <v/>
      </c>
    </row>
    <row r="11092">
      <c r="B11092" t="n">
        <v>34402914</v>
      </c>
      <c r="C11092" s="2" t="n">
        <v>41117</v>
      </c>
      <c r="D11092" t="inlineStr">
        <is>
          <t>SPEC</t>
        </is>
      </c>
      <c r="E11092" t="inlineStr">
        <is>
          <t>PROTECTION SHIELD Q5N</t>
        </is>
      </c>
      <c r="F11092" t="inlineStr">
        <is>
          <t>NS 4000A Banque de France</t>
        </is>
      </c>
      <c r="J11092" t="inlineStr">
        <is>
          <t>Civetta</t>
        </is>
      </c>
      <c r="L11092">
        <f>_xlfn.XLOOKUP(Tableau1[[#This Row],[TYPE DE PIECE]],Tableau4[MATIERE],Tableau4[SHORT TYPE],"",0,1)</f>
        <v/>
      </c>
      <c r="N11092">
        <f>IF(ISERR(FIND("DECOUPE",Tableau1[[#This Row],[DESIGNATION]])),"","NEED REF")</f>
        <v/>
      </c>
    </row>
    <row r="11093">
      <c r="B11093" t="n">
        <v>34402913</v>
      </c>
      <c r="C11093" s="2" t="n">
        <v>41117</v>
      </c>
      <c r="D11093" t="inlineStr">
        <is>
          <t>SPEC</t>
        </is>
      </c>
      <c r="E11093" t="inlineStr">
        <is>
          <t>PROTECTION SHIELD -PROTECTION_SHIELD</t>
        </is>
      </c>
      <c r="F11093" t="inlineStr">
        <is>
          <t>NS 4000A Banque de France</t>
        </is>
      </c>
      <c r="J11093" t="inlineStr">
        <is>
          <t>Civetta</t>
        </is>
      </c>
      <c r="L11093">
        <f>_xlfn.XLOOKUP(Tableau1[[#This Row],[TYPE DE PIECE]],Tableau4[MATIERE],Tableau4[SHORT TYPE],"",0,1)</f>
        <v/>
      </c>
      <c r="N11093">
        <f>IF(ISERR(FIND("DECOUPE",Tableau1[[#This Row],[DESIGNATION]])),"","NEED REF")</f>
        <v/>
      </c>
    </row>
    <row r="11094">
      <c r="B11094" t="n">
        <v>34402912</v>
      </c>
      <c r="C11094" s="2" t="n">
        <v>41110</v>
      </c>
      <c r="D11094" t="inlineStr">
        <is>
          <t>SPEC</t>
        </is>
      </c>
      <c r="E11094" t="inlineStr">
        <is>
          <t xml:space="preserve">L PROFIL - L=1350     </t>
        </is>
      </c>
      <c r="F11094" t="inlineStr">
        <is>
          <t>NS 4000A Banque de France</t>
        </is>
      </c>
      <c r="J11094" t="inlineStr">
        <is>
          <t>Civetta</t>
        </is>
      </c>
      <c r="L11094">
        <f>_xlfn.XLOOKUP(Tableau1[[#This Row],[TYPE DE PIECE]],Tableau4[MATIERE],Tableau4[SHORT TYPE],"",0,1)</f>
        <v/>
      </c>
      <c r="N11094">
        <f>IF(ISERR(FIND("DECOUPE",Tableau1[[#This Row],[DESIGNATION]])),"","NEED REF")</f>
        <v/>
      </c>
    </row>
    <row r="11095">
      <c r="B11095" t="n">
        <v>34402911</v>
      </c>
      <c r="C11095" s="2" t="n">
        <v>41108</v>
      </c>
      <c r="D11095" t="inlineStr">
        <is>
          <t>SPEC</t>
        </is>
      </c>
      <c r="E11095" t="inlineStr">
        <is>
          <t>SPACER 100  X 100 x 5</t>
        </is>
      </c>
      <c r="F11095" t="inlineStr">
        <is>
          <t>NS 4000A Banque de France</t>
        </is>
      </c>
      <c r="J11095" t="inlineStr">
        <is>
          <t>Civetta</t>
        </is>
      </c>
      <c r="L11095">
        <f>_xlfn.XLOOKUP(Tableau1[[#This Row],[TYPE DE PIECE]],Tableau4[MATIERE],Tableau4[SHORT TYPE],"",0,1)</f>
        <v/>
      </c>
      <c r="N11095">
        <f>IF(ISERR(FIND("DECOUPE",Tableau1[[#This Row],[DESIGNATION]])),"","NEED REF")</f>
        <v/>
      </c>
    </row>
    <row r="11096">
      <c r="B11096" t="n">
        <v>34402910</v>
      </c>
      <c r="C11096" s="2" t="n">
        <v>41108</v>
      </c>
      <c r="D11096" t="inlineStr">
        <is>
          <t>SPEC</t>
        </is>
      </c>
      <c r="E11096" t="inlineStr">
        <is>
          <t>SPACER 160 X 50 2 TROUS</t>
        </is>
      </c>
      <c r="F11096" t="inlineStr">
        <is>
          <t>NS 4000A Banque de France</t>
        </is>
      </c>
      <c r="J11096" t="inlineStr">
        <is>
          <t>Civetta</t>
        </is>
      </c>
      <c r="L11096">
        <f>_xlfn.XLOOKUP(Tableau1[[#This Row],[TYPE DE PIECE]],Tableau4[MATIERE],Tableau4[SHORT TYPE],"",0,1)</f>
        <v/>
      </c>
      <c r="N11096">
        <f>IF(ISERR(FIND("DECOUPE",Tableau1[[#This Row],[DESIGNATION]])),"","NEED REF")</f>
        <v/>
      </c>
    </row>
    <row r="11097">
      <c r="B11097" t="n">
        <v>34402909</v>
      </c>
      <c r="C11097" s="2" t="n">
        <v>41108</v>
      </c>
      <c r="D11097" t="inlineStr">
        <is>
          <t>SPEC</t>
        </is>
      </c>
      <c r="E11097" t="inlineStr">
        <is>
          <t>CROSS BEAM CLAMP HORIZONTAL SUPPORT</t>
        </is>
      </c>
      <c r="F11097" t="inlineStr">
        <is>
          <t>NS 4000A Banque de France</t>
        </is>
      </c>
      <c r="J11097" t="inlineStr">
        <is>
          <t>Civetta</t>
        </is>
      </c>
      <c r="L11097">
        <f>_xlfn.XLOOKUP(Tableau1[[#This Row],[TYPE DE PIECE]],Tableau4[MATIERE],Tableau4[SHORT TYPE],"",0,1)</f>
        <v/>
      </c>
      <c r="N11097">
        <f>IF(ISERR(FIND("DECOUPE",Tableau1[[#This Row],[DESIGNATION]])),"","NEED REF")</f>
        <v/>
      </c>
    </row>
    <row r="11098">
      <c r="B11098" t="n">
        <v>34402908</v>
      </c>
      <c r="C11098" s="2" t="n">
        <v>41108</v>
      </c>
      <c r="D11098" t="inlineStr">
        <is>
          <t>SPEC</t>
        </is>
      </c>
      <c r="E11098" t="inlineStr">
        <is>
          <t>CROSS BEAM CLAMP VERTICAL SUPPORT</t>
        </is>
      </c>
      <c r="F11098" t="inlineStr">
        <is>
          <t>NS 4000A Banque de France</t>
        </is>
      </c>
      <c r="J11098" t="inlineStr">
        <is>
          <t>Civetta</t>
        </is>
      </c>
      <c r="L11098">
        <f>_xlfn.XLOOKUP(Tableau1[[#This Row],[TYPE DE PIECE]],Tableau4[MATIERE],Tableau4[SHORT TYPE],"",0,1)</f>
        <v/>
      </c>
      <c r="N11098">
        <f>IF(ISERR(FIND("DECOUPE",Tableau1[[#This Row],[DESIGNATION]])),"","NEED REF")</f>
        <v/>
      </c>
    </row>
    <row r="11099">
      <c r="B11099" t="n">
        <v>34402907</v>
      </c>
      <c r="C11099" s="2" t="n">
        <v>41108</v>
      </c>
      <c r="D11099" t="inlineStr">
        <is>
          <t>SPEC</t>
        </is>
      </c>
      <c r="E11099" t="inlineStr">
        <is>
          <t>CROSS BEAM SWITCH SUPPORT</t>
        </is>
      </c>
      <c r="F11099" t="inlineStr">
        <is>
          <t>NS 4000A Banque de France</t>
        </is>
      </c>
      <c r="J11099" t="inlineStr">
        <is>
          <t>Civetta</t>
        </is>
      </c>
      <c r="L11099">
        <f>_xlfn.XLOOKUP(Tableau1[[#This Row],[TYPE DE PIECE]],Tableau4[MATIERE],Tableau4[SHORT TYPE],"",0,1)</f>
        <v/>
      </c>
      <c r="N11099">
        <f>IF(ISERR(FIND("DECOUPE",Tableau1[[#This Row],[DESIGNATION]])),"","NEED REF")</f>
        <v/>
      </c>
    </row>
    <row r="11100">
      <c r="B11100" t="n">
        <v>34402906</v>
      </c>
      <c r="C11100" s="2" t="n">
        <v>41108</v>
      </c>
      <c r="D11100" t="inlineStr">
        <is>
          <t>SPEC</t>
        </is>
      </c>
      <c r="E11100" t="inlineStr">
        <is>
          <t>Q5N SPACER</t>
        </is>
      </c>
      <c r="F11100" t="inlineStr">
        <is>
          <t>NS 4000A Banque de France</t>
        </is>
      </c>
      <c r="J11100" t="inlineStr">
        <is>
          <t>Civetta</t>
        </is>
      </c>
      <c r="L11100">
        <f>_xlfn.XLOOKUP(Tableau1[[#This Row],[TYPE DE PIECE]],Tableau4[MATIERE],Tableau4[SHORT TYPE],"",0,1)</f>
        <v/>
      </c>
      <c r="N11100">
        <f>IF(ISERR(FIND("DECOUPE",Tableau1[[#This Row],[DESIGNATION]])),"","NEED REF")</f>
        <v/>
      </c>
    </row>
    <row r="11101">
      <c r="B11101" t="n">
        <v>34402905</v>
      </c>
      <c r="C11101" s="2" t="n">
        <v>41108</v>
      </c>
      <c r="D11101" t="inlineStr">
        <is>
          <t>SPEC</t>
        </is>
      </c>
      <c r="E11101" t="inlineStr">
        <is>
          <t>OUTGOING BUSBAR PHASE 1 - 4</t>
        </is>
      </c>
      <c r="F11101" t="inlineStr">
        <is>
          <t>NS 4000A Banque de France</t>
        </is>
      </c>
      <c r="J11101" t="inlineStr">
        <is>
          <t>Civetta</t>
        </is>
      </c>
      <c r="L11101">
        <f>_xlfn.XLOOKUP(Tableau1[[#This Row],[TYPE DE PIECE]],Tableau4[MATIERE],Tableau4[SHORT TYPE],"",0,1)</f>
        <v/>
      </c>
      <c r="N11101">
        <f>IF(ISERR(FIND("DECOUPE",Tableau1[[#This Row],[DESIGNATION]])),"","NEED REF")</f>
        <v/>
      </c>
    </row>
    <row r="11102">
      <c r="B11102" t="n">
        <v>34402904</v>
      </c>
      <c r="C11102" s="2" t="n">
        <v>41108</v>
      </c>
      <c r="D11102" t="inlineStr">
        <is>
          <t>SPEC</t>
        </is>
      </c>
      <c r="E11102" t="inlineStr">
        <is>
          <t>OUTGOING BUSBAR PHASE 1 - 3</t>
        </is>
      </c>
      <c r="F11102" t="inlineStr">
        <is>
          <t>NS 4000A Banque de France</t>
        </is>
      </c>
      <c r="J11102" t="inlineStr">
        <is>
          <t>Civetta</t>
        </is>
      </c>
      <c r="L11102">
        <f>_xlfn.XLOOKUP(Tableau1[[#This Row],[TYPE DE PIECE]],Tableau4[MATIERE],Tableau4[SHORT TYPE],"",0,1)</f>
        <v/>
      </c>
      <c r="N11102">
        <f>IF(ISERR(FIND("DECOUPE",Tableau1[[#This Row],[DESIGNATION]])),"","NEED REF")</f>
        <v/>
      </c>
    </row>
    <row r="11103">
      <c r="B11103" t="n">
        <v>34402903</v>
      </c>
      <c r="C11103" s="2" t="n">
        <v>41108</v>
      </c>
      <c r="D11103" t="inlineStr">
        <is>
          <t>SPEC</t>
        </is>
      </c>
      <c r="E11103" t="inlineStr">
        <is>
          <t>OUTGOING BUSBAR PHASE 2 - 4</t>
        </is>
      </c>
      <c r="F11103" t="inlineStr">
        <is>
          <t>NS 4000A Banque de France</t>
        </is>
      </c>
      <c r="J11103" t="inlineStr">
        <is>
          <t>Civetta</t>
        </is>
      </c>
      <c r="L11103">
        <f>_xlfn.XLOOKUP(Tableau1[[#This Row],[TYPE DE PIECE]],Tableau4[MATIERE],Tableau4[SHORT TYPE],"",0,1)</f>
        <v/>
      </c>
      <c r="N11103">
        <f>IF(ISERR(FIND("DECOUPE",Tableau1[[#This Row],[DESIGNATION]])),"","NEED REF")</f>
        <v/>
      </c>
    </row>
    <row r="11104">
      <c r="B11104" t="n">
        <v>34402902</v>
      </c>
      <c r="C11104" s="2" t="n">
        <v>41108</v>
      </c>
      <c r="D11104" t="inlineStr">
        <is>
          <t>SPEC</t>
        </is>
      </c>
      <c r="E11104" t="inlineStr">
        <is>
          <t>OUTGOING BUSBAR PHASE 2 - 3</t>
        </is>
      </c>
      <c r="F11104" t="inlineStr">
        <is>
          <t>NS 4000A Banque de France</t>
        </is>
      </c>
      <c r="J11104" t="inlineStr">
        <is>
          <t>Civetta</t>
        </is>
      </c>
      <c r="L11104">
        <f>_xlfn.XLOOKUP(Tableau1[[#This Row],[TYPE DE PIECE]],Tableau4[MATIERE],Tableau4[SHORT TYPE],"",0,1)</f>
        <v/>
      </c>
      <c r="N11104">
        <f>IF(ISERR(FIND("DECOUPE",Tableau1[[#This Row],[DESIGNATION]])),"","NEED REF")</f>
        <v/>
      </c>
    </row>
    <row r="11105">
      <c r="B11105" t="n">
        <v>34402901</v>
      </c>
      <c r="C11105" s="2" t="n">
        <v>41108</v>
      </c>
      <c r="D11105" t="inlineStr">
        <is>
          <t>SPEC</t>
        </is>
      </c>
      <c r="E11105" t="inlineStr">
        <is>
          <t>OUTGOING BUSBAR PHASE 1 - 6</t>
        </is>
      </c>
      <c r="F11105" t="inlineStr">
        <is>
          <t>NS 4000A Banque de France</t>
        </is>
      </c>
      <c r="J11105" t="inlineStr">
        <is>
          <t>Civetta</t>
        </is>
      </c>
      <c r="L11105">
        <f>_xlfn.XLOOKUP(Tableau1[[#This Row],[TYPE DE PIECE]],Tableau4[MATIERE],Tableau4[SHORT TYPE],"",0,1)</f>
        <v/>
      </c>
      <c r="N11105">
        <f>IF(ISERR(FIND("DECOUPE",Tableau1[[#This Row],[DESIGNATION]])),"","NEED REF")</f>
        <v/>
      </c>
    </row>
    <row r="11106">
      <c r="B11106" t="n">
        <v>34402900</v>
      </c>
      <c r="C11106" s="2" t="n">
        <v>41108</v>
      </c>
      <c r="D11106" t="inlineStr">
        <is>
          <t>SPEC</t>
        </is>
      </c>
      <c r="E11106" t="inlineStr">
        <is>
          <t>OUTGOING BUSBAR PHASE 1 - 5</t>
        </is>
      </c>
      <c r="F11106" t="inlineStr">
        <is>
          <t>NS 4000A Banque de France</t>
        </is>
      </c>
      <c r="J11106" t="inlineStr">
        <is>
          <t>Civetta</t>
        </is>
      </c>
      <c r="L11106">
        <f>_xlfn.XLOOKUP(Tableau1[[#This Row],[TYPE DE PIECE]],Tableau4[MATIERE],Tableau4[SHORT TYPE],"",0,1)</f>
        <v/>
      </c>
      <c r="N11106">
        <f>IF(ISERR(FIND("DECOUPE",Tableau1[[#This Row],[DESIGNATION]])),"","NEED REF")</f>
        <v/>
      </c>
    </row>
    <row r="11107">
      <c r="B11107" t="n">
        <v>34402899</v>
      </c>
      <c r="C11107" s="2" t="n">
        <v>41108</v>
      </c>
      <c r="D11107" t="inlineStr">
        <is>
          <t>SPEC</t>
        </is>
      </c>
      <c r="E11107" t="inlineStr">
        <is>
          <t>OUTGOING BUSBAR PHASE 2 - 6</t>
        </is>
      </c>
      <c r="F11107" t="inlineStr">
        <is>
          <t>NS 4000A Banque de France</t>
        </is>
      </c>
      <c r="J11107" t="inlineStr">
        <is>
          <t>Civetta</t>
        </is>
      </c>
      <c r="L11107">
        <f>_xlfn.XLOOKUP(Tableau1[[#This Row],[TYPE DE PIECE]],Tableau4[MATIERE],Tableau4[SHORT TYPE],"",0,1)</f>
        <v/>
      </c>
      <c r="N11107">
        <f>IF(ISERR(FIND("DECOUPE",Tableau1[[#This Row],[DESIGNATION]])),"","NEED REF")</f>
        <v/>
      </c>
    </row>
    <row r="11108">
      <c r="B11108" t="n">
        <v>34402898</v>
      </c>
      <c r="C11108" s="2" t="n">
        <v>41108</v>
      </c>
      <c r="D11108" t="inlineStr">
        <is>
          <t>SPEC</t>
        </is>
      </c>
      <c r="E11108" t="inlineStr">
        <is>
          <t>OUTGOING BUSBAR PHASE 2 - 5</t>
        </is>
      </c>
      <c r="F11108" t="inlineStr">
        <is>
          <t>NS 4000A Banque de France</t>
        </is>
      </c>
      <c r="J11108" t="inlineStr">
        <is>
          <t>Civetta</t>
        </is>
      </c>
      <c r="L11108">
        <f>_xlfn.XLOOKUP(Tableau1[[#This Row],[TYPE DE PIECE]],Tableau4[MATIERE],Tableau4[SHORT TYPE],"",0,1)</f>
        <v/>
      </c>
      <c r="N11108">
        <f>IF(ISERR(FIND("DECOUPE",Tableau1[[#This Row],[DESIGNATION]])),"","NEED REF")</f>
        <v/>
      </c>
    </row>
    <row r="11109">
      <c r="B11109" t="n">
        <v>34402897</v>
      </c>
      <c r="C11109" s="2" t="n">
        <v>41107</v>
      </c>
      <c r="D11109" t="inlineStr">
        <is>
          <t>SPEC</t>
        </is>
      </c>
      <c r="E11109" t="inlineStr">
        <is>
          <t>LOWER CONNECTION PHASE 2 - 1 Q3BP</t>
        </is>
      </c>
      <c r="F11109" t="inlineStr">
        <is>
          <t>NS 4000A Banque de France</t>
        </is>
      </c>
      <c r="J11109" t="inlineStr">
        <is>
          <t>Civetta</t>
        </is>
      </c>
      <c r="L11109">
        <f>_xlfn.XLOOKUP(Tableau1[[#This Row],[TYPE DE PIECE]],Tableau4[MATIERE],Tableau4[SHORT TYPE],"",0,1)</f>
        <v/>
      </c>
      <c r="N11109">
        <f>IF(ISERR(FIND("DECOUPE",Tableau1[[#This Row],[DESIGNATION]])),"","NEED REF")</f>
        <v/>
      </c>
    </row>
    <row r="11110">
      <c r="B11110" t="n">
        <v>34402896</v>
      </c>
      <c r="C11110" s="2" t="n">
        <v>41107</v>
      </c>
      <c r="D11110" t="inlineStr">
        <is>
          <t>SPEC</t>
        </is>
      </c>
      <c r="E11110" t="inlineStr">
        <is>
          <t>LOWER CONNECTION PHASE 2 - 1 Q3BP</t>
        </is>
      </c>
      <c r="F11110" t="inlineStr">
        <is>
          <t>NS 4000A Banque de France</t>
        </is>
      </c>
      <c r="J11110" t="inlineStr">
        <is>
          <t>Civetta</t>
        </is>
      </c>
      <c r="L11110">
        <f>_xlfn.XLOOKUP(Tableau1[[#This Row],[TYPE DE PIECE]],Tableau4[MATIERE],Tableau4[SHORT TYPE],"",0,1)</f>
        <v/>
      </c>
      <c r="N11110">
        <f>IF(ISERR(FIND("DECOUPE",Tableau1[[#This Row],[DESIGNATION]])),"","NEED REF")</f>
        <v/>
      </c>
    </row>
    <row r="11111">
      <c r="B11111" t="n">
        <v>34402895</v>
      </c>
      <c r="C11111" s="2" t="n">
        <v>41107</v>
      </c>
      <c r="D11111" t="inlineStr">
        <is>
          <t>SPEC</t>
        </is>
      </c>
      <c r="E11111" t="inlineStr">
        <is>
          <t>LOWER CONNECTION PHASE 2 - 1 Q3BP</t>
        </is>
      </c>
      <c r="F11111" t="inlineStr">
        <is>
          <t>NS 4000A Banque de France</t>
        </is>
      </c>
      <c r="J11111" t="inlineStr">
        <is>
          <t>Civetta</t>
        </is>
      </c>
      <c r="L11111">
        <f>_xlfn.XLOOKUP(Tableau1[[#This Row],[TYPE DE PIECE]],Tableau4[MATIERE],Tableau4[SHORT TYPE],"",0,1)</f>
        <v/>
      </c>
      <c r="N11111">
        <f>IF(ISERR(FIND("DECOUPE",Tableau1[[#This Row],[DESIGNATION]])),"","NEED REF")</f>
        <v/>
      </c>
    </row>
    <row r="11112">
      <c r="B11112" t="n">
        <v>34402894</v>
      </c>
      <c r="C11112" s="2" t="n">
        <v>41107</v>
      </c>
      <c r="D11112" t="inlineStr">
        <is>
          <t>SPEC</t>
        </is>
      </c>
      <c r="E11112" t="inlineStr">
        <is>
          <t>LOWER CONNECTION PHASE 1 - 3 Q3BP</t>
        </is>
      </c>
      <c r="F11112" t="inlineStr">
        <is>
          <t>NS 4000A Banque de France</t>
        </is>
      </c>
      <c r="J11112" t="inlineStr">
        <is>
          <t>Civetta</t>
        </is>
      </c>
      <c r="L11112">
        <f>_xlfn.XLOOKUP(Tableau1[[#This Row],[TYPE DE PIECE]],Tableau4[MATIERE],Tableau4[SHORT TYPE],"",0,1)</f>
        <v/>
      </c>
      <c r="N11112">
        <f>IF(ISERR(FIND("DECOUPE",Tableau1[[#This Row],[DESIGNATION]])),"","NEED REF")</f>
        <v/>
      </c>
    </row>
    <row r="11113">
      <c r="B11113" t="n">
        <v>34402893</v>
      </c>
      <c r="C11113" s="2" t="n">
        <v>41107</v>
      </c>
      <c r="D11113" t="inlineStr">
        <is>
          <t>SPEC</t>
        </is>
      </c>
      <c r="E11113" t="inlineStr">
        <is>
          <t>LOWER CONNECTION PHASE 1 - 2 Q3BP</t>
        </is>
      </c>
      <c r="F11113" t="inlineStr">
        <is>
          <t>NS 4000A Banque de France</t>
        </is>
      </c>
      <c r="J11113" t="inlineStr">
        <is>
          <t>Civetta</t>
        </is>
      </c>
      <c r="L11113">
        <f>_xlfn.XLOOKUP(Tableau1[[#This Row],[TYPE DE PIECE]],Tableau4[MATIERE],Tableau4[SHORT TYPE],"",0,1)</f>
        <v/>
      </c>
      <c r="N11113">
        <f>IF(ISERR(FIND("DECOUPE",Tableau1[[#This Row],[DESIGNATION]])),"","NEED REF")</f>
        <v/>
      </c>
    </row>
    <row r="11114">
      <c r="B11114" t="n">
        <v>34402892</v>
      </c>
      <c r="C11114" s="2" t="n">
        <v>41107</v>
      </c>
      <c r="D11114" t="inlineStr">
        <is>
          <t>SPEC</t>
        </is>
      </c>
      <c r="E11114" t="inlineStr">
        <is>
          <t>LOWER CONNECTION PHASE 1 - 1 Q3BP</t>
        </is>
      </c>
      <c r="F11114" t="inlineStr">
        <is>
          <t>NS 4000A Banque de France</t>
        </is>
      </c>
      <c r="J11114" t="inlineStr">
        <is>
          <t>Civetta</t>
        </is>
      </c>
      <c r="L11114">
        <f>_xlfn.XLOOKUP(Tableau1[[#This Row],[TYPE DE PIECE]],Tableau4[MATIERE],Tableau4[SHORT TYPE],"",0,1)</f>
        <v/>
      </c>
      <c r="N11114">
        <f>IF(ISERR(FIND("DECOUPE",Tableau1[[#This Row],[DESIGNATION]])),"","NEED REF")</f>
        <v/>
      </c>
    </row>
    <row r="11115">
      <c r="B11115" t="n">
        <v>34402891</v>
      </c>
      <c r="C11115" s="2" t="n">
        <v>41107</v>
      </c>
      <c r="D11115" t="inlineStr">
        <is>
          <t>SPEC</t>
        </is>
      </c>
      <c r="E11115" t="inlineStr">
        <is>
          <t>LOWER CONNECTION PHASE 3 - 3 Q3BP</t>
        </is>
      </c>
      <c r="F11115" t="inlineStr">
        <is>
          <t>NS 4000A Banque de France</t>
        </is>
      </c>
      <c r="J11115" t="inlineStr">
        <is>
          <t>Civetta</t>
        </is>
      </c>
      <c r="L11115">
        <f>_xlfn.XLOOKUP(Tableau1[[#This Row],[TYPE DE PIECE]],Tableau4[MATIERE],Tableau4[SHORT TYPE],"",0,1)</f>
        <v/>
      </c>
      <c r="N11115">
        <f>IF(ISERR(FIND("DECOUPE",Tableau1[[#This Row],[DESIGNATION]])),"","NEED REF")</f>
        <v/>
      </c>
    </row>
    <row r="11116">
      <c r="B11116" t="n">
        <v>34402890</v>
      </c>
      <c r="C11116" s="2" t="n">
        <v>41107</v>
      </c>
      <c r="D11116" t="inlineStr">
        <is>
          <t>SPEC</t>
        </is>
      </c>
      <c r="E11116" t="inlineStr">
        <is>
          <t>LOWER CONNECTION PHASE 3 - 2 Q3BP</t>
        </is>
      </c>
      <c r="F11116" t="inlineStr">
        <is>
          <t>NS 4000A Banque de France</t>
        </is>
      </c>
      <c r="J11116" t="inlineStr">
        <is>
          <t>Civetta</t>
        </is>
      </c>
      <c r="L11116">
        <f>_xlfn.XLOOKUP(Tableau1[[#This Row],[TYPE DE PIECE]],Tableau4[MATIERE],Tableau4[SHORT TYPE],"",0,1)</f>
        <v/>
      </c>
      <c r="N11116">
        <f>IF(ISERR(FIND("DECOUPE",Tableau1[[#This Row],[DESIGNATION]])),"","NEED REF")</f>
        <v/>
      </c>
    </row>
    <row r="11117">
      <c r="B11117" t="n">
        <v>34402889</v>
      </c>
      <c r="C11117" s="2" t="n">
        <v>41107</v>
      </c>
      <c r="D11117" t="inlineStr">
        <is>
          <t>SPEC</t>
        </is>
      </c>
      <c r="E11117" t="inlineStr">
        <is>
          <t>LOWER CONNECTION PHASE 3 - 1 Q3BP</t>
        </is>
      </c>
      <c r="F11117" t="inlineStr">
        <is>
          <t>NS 4000A Banque de France</t>
        </is>
      </c>
      <c r="J11117" t="inlineStr">
        <is>
          <t>Civetta</t>
        </is>
      </c>
      <c r="L11117">
        <f>_xlfn.XLOOKUP(Tableau1[[#This Row],[TYPE DE PIECE]],Tableau4[MATIERE],Tableau4[SHORT TYPE],"",0,1)</f>
        <v/>
      </c>
      <c r="N11117">
        <f>IF(ISERR(FIND("DECOUPE",Tableau1[[#This Row],[DESIGNATION]])),"","NEED REF")</f>
        <v/>
      </c>
    </row>
    <row r="11118">
      <c r="B11118" t="n">
        <v>34402888</v>
      </c>
      <c r="C11118" s="2" t="n">
        <v>41106</v>
      </c>
      <c r="D11118" t="inlineStr">
        <is>
          <t>SPEC</t>
        </is>
      </c>
      <c r="E11118" t="inlineStr">
        <is>
          <t>OUTGOING BUSBAR PHASE 3 - 4</t>
        </is>
      </c>
      <c r="F11118" t="inlineStr">
        <is>
          <t>NS 4000A Banque de France</t>
        </is>
      </c>
      <c r="J11118" t="inlineStr">
        <is>
          <t>Civetta</t>
        </is>
      </c>
      <c r="L11118">
        <f>_xlfn.XLOOKUP(Tableau1[[#This Row],[TYPE DE PIECE]],Tableau4[MATIERE],Tableau4[SHORT TYPE],"",0,1)</f>
        <v/>
      </c>
      <c r="N11118">
        <f>IF(ISERR(FIND("DECOUPE",Tableau1[[#This Row],[DESIGNATION]])),"","NEED REF")</f>
        <v/>
      </c>
    </row>
    <row r="11119">
      <c r="B11119" t="n">
        <v>34402887</v>
      </c>
      <c r="C11119" s="2" t="n">
        <v>41106</v>
      </c>
      <c r="D11119" t="inlineStr">
        <is>
          <t>SPEC</t>
        </is>
      </c>
      <c r="E11119" t="inlineStr">
        <is>
          <t>OUTGOING BUSBAR PHASE 3 - 3</t>
        </is>
      </c>
      <c r="F11119" t="inlineStr">
        <is>
          <t>NS 4000A Banque de France</t>
        </is>
      </c>
      <c r="J11119" t="inlineStr">
        <is>
          <t>Civetta</t>
        </is>
      </c>
      <c r="L11119">
        <f>_xlfn.XLOOKUP(Tableau1[[#This Row],[TYPE DE PIECE]],Tableau4[MATIERE],Tableau4[SHORT TYPE],"",0,1)</f>
        <v/>
      </c>
      <c r="N11119">
        <f>IF(ISERR(FIND("DECOUPE",Tableau1[[#This Row],[DESIGNATION]])),"","NEED REF")</f>
        <v/>
      </c>
    </row>
    <row r="11120">
      <c r="B11120" t="n">
        <v>34402886</v>
      </c>
      <c r="C11120" s="2" t="n">
        <v>41106</v>
      </c>
      <c r="D11120" t="inlineStr">
        <is>
          <t>SPEC</t>
        </is>
      </c>
      <c r="E11120" t="inlineStr">
        <is>
          <t>OUTGOING BUSBAR PHASE 1/2/3 - 1</t>
        </is>
      </c>
      <c r="F11120" t="inlineStr">
        <is>
          <t>NS 4000A Banque de France</t>
        </is>
      </c>
      <c r="J11120" t="inlineStr">
        <is>
          <t>Civetta</t>
        </is>
      </c>
      <c r="L11120">
        <f>_xlfn.XLOOKUP(Tableau1[[#This Row],[TYPE DE PIECE]],Tableau4[MATIERE],Tableau4[SHORT TYPE],"",0,1)</f>
        <v/>
      </c>
      <c r="N11120">
        <f>IF(ISERR(FIND("DECOUPE",Tableau1[[#This Row],[DESIGNATION]])),"","NEED REF")</f>
        <v/>
      </c>
    </row>
    <row r="11121">
      <c r="B11121" t="n">
        <v>34402885</v>
      </c>
      <c r="C11121" s="2" t="n">
        <v>41106</v>
      </c>
      <c r="D11121" t="inlineStr">
        <is>
          <t>SPEC</t>
        </is>
      </c>
      <c r="E11121" t="inlineStr">
        <is>
          <t>OUTGOING BUSBAR PHASE 1 - 1</t>
        </is>
      </c>
      <c r="F11121" t="inlineStr">
        <is>
          <t>NS 4000A Banque de France</t>
        </is>
      </c>
      <c r="J11121" t="inlineStr">
        <is>
          <t>Civetta</t>
        </is>
      </c>
      <c r="L11121">
        <f>_xlfn.XLOOKUP(Tableau1[[#This Row],[TYPE DE PIECE]],Tableau4[MATIERE],Tableau4[SHORT TYPE],"",0,1)</f>
        <v/>
      </c>
      <c r="N11121">
        <f>IF(ISERR(FIND("DECOUPE",Tableau1[[#This Row],[DESIGNATION]])),"","NEED REF")</f>
        <v/>
      </c>
    </row>
    <row r="11122">
      <c r="B11122" t="n">
        <v>34402884</v>
      </c>
      <c r="C11122" s="2" t="n">
        <v>41106</v>
      </c>
      <c r="D11122" t="inlineStr">
        <is>
          <t>SPEC</t>
        </is>
      </c>
      <c r="E11122" t="inlineStr">
        <is>
          <t>OUTGOING BUSBAR PHASE 3 - 2</t>
        </is>
      </c>
      <c r="F11122" t="inlineStr">
        <is>
          <t>NS 4000A Banque de France</t>
        </is>
      </c>
      <c r="J11122" t="inlineStr">
        <is>
          <t>Civetta</t>
        </is>
      </c>
      <c r="L11122">
        <f>_xlfn.XLOOKUP(Tableau1[[#This Row],[TYPE DE PIECE]],Tableau4[MATIERE],Tableau4[SHORT TYPE],"",0,1)</f>
        <v/>
      </c>
      <c r="N11122">
        <f>IF(ISERR(FIND("DECOUPE",Tableau1[[#This Row],[DESIGNATION]])),"","NEED REF")</f>
        <v/>
      </c>
    </row>
    <row r="11123">
      <c r="B11123" t="n">
        <v>34402883</v>
      </c>
      <c r="C11123" s="2" t="n">
        <v>41106</v>
      </c>
      <c r="D11123" t="inlineStr">
        <is>
          <t>SPEC</t>
        </is>
      </c>
      <c r="E11123" t="inlineStr">
        <is>
          <t>OUTGOING BUSBAR PHASE 3 - 1</t>
        </is>
      </c>
      <c r="F11123" t="inlineStr">
        <is>
          <t>NS 4000A Banque de France</t>
        </is>
      </c>
      <c r="J11123" t="inlineStr">
        <is>
          <t>Civetta</t>
        </is>
      </c>
      <c r="L11123">
        <f>_xlfn.XLOOKUP(Tableau1[[#This Row],[TYPE DE PIECE]],Tableau4[MATIERE],Tableau4[SHORT TYPE],"",0,1)</f>
        <v/>
      </c>
      <c r="N11123">
        <f>IF(ISERR(FIND("DECOUPE",Tableau1[[#This Row],[DESIGNATION]])),"","NEED REF")</f>
        <v/>
      </c>
    </row>
    <row r="11124">
      <c r="B11124" t="n">
        <v>34402882</v>
      </c>
      <c r="C11124" s="2" t="n">
        <v>41106</v>
      </c>
      <c r="D11124" t="inlineStr">
        <is>
          <t>SPEC</t>
        </is>
      </c>
      <c r="E11124" t="inlineStr">
        <is>
          <t>INCOMING PEN BUSBAR 1</t>
        </is>
      </c>
      <c r="F11124" t="inlineStr">
        <is>
          <t>NS 4000A Banque de France</t>
        </is>
      </c>
      <c r="J11124" t="inlineStr">
        <is>
          <t>Civetta</t>
        </is>
      </c>
      <c r="L11124">
        <f>_xlfn.XLOOKUP(Tableau1[[#This Row],[TYPE DE PIECE]],Tableau4[MATIERE],Tableau4[SHORT TYPE],"",0,1)</f>
        <v/>
      </c>
      <c r="N11124">
        <f>IF(ISERR(FIND("DECOUPE",Tableau1[[#This Row],[DESIGNATION]])),"","NEED REF")</f>
        <v/>
      </c>
    </row>
    <row r="11125">
      <c r="B11125" t="n">
        <v>34402881</v>
      </c>
      <c r="C11125" s="2" t="n">
        <v>41106</v>
      </c>
      <c r="D11125" t="inlineStr">
        <is>
          <t>SPEC</t>
        </is>
      </c>
      <c r="E11125" t="inlineStr">
        <is>
          <t>INCOMING PEN BUSBAR 1</t>
        </is>
      </c>
      <c r="F11125" t="inlineStr">
        <is>
          <t>NS 4000A Banque de France</t>
        </is>
      </c>
      <c r="J11125" t="inlineStr">
        <is>
          <t>Civetta</t>
        </is>
      </c>
      <c r="L11125">
        <f>_xlfn.XLOOKUP(Tableau1[[#This Row],[TYPE DE PIECE]],Tableau4[MATIERE],Tableau4[SHORT TYPE],"",0,1)</f>
        <v/>
      </c>
      <c r="N11125">
        <f>IF(ISERR(FIND("DECOUPE",Tableau1[[#This Row],[DESIGNATION]])),"","NEED REF")</f>
        <v/>
      </c>
    </row>
    <row r="11126">
      <c r="B11126" t="n">
        <v>34402880</v>
      </c>
      <c r="C11126" s="2" t="n">
        <v>41106</v>
      </c>
      <c r="D11126" t="inlineStr">
        <is>
          <t>SPEC</t>
        </is>
      </c>
      <c r="E11126" t="inlineStr">
        <is>
          <t>LOWER CONNECTION PHASE 2 - 1 Q5N</t>
        </is>
      </c>
      <c r="F11126" t="inlineStr">
        <is>
          <t>NS 4000A Banque de France</t>
        </is>
      </c>
      <c r="J11126" t="inlineStr">
        <is>
          <t>Civetta</t>
        </is>
      </c>
      <c r="L11126">
        <f>_xlfn.XLOOKUP(Tableau1[[#This Row],[TYPE DE PIECE]],Tableau4[MATIERE],Tableau4[SHORT TYPE],"",0,1)</f>
        <v/>
      </c>
      <c r="N11126">
        <f>IF(ISERR(FIND("DECOUPE",Tableau1[[#This Row],[DESIGNATION]])),"","NEED REF")</f>
        <v/>
      </c>
    </row>
    <row r="11127">
      <c r="B11127" t="n">
        <v>34402879</v>
      </c>
      <c r="C11127" s="2" t="n">
        <v>41106</v>
      </c>
      <c r="D11127" t="inlineStr">
        <is>
          <t>SPEC</t>
        </is>
      </c>
      <c r="E11127" t="inlineStr">
        <is>
          <t>LOWER CONNECTION PHASE 2 - 1 Q5N</t>
        </is>
      </c>
      <c r="F11127" t="inlineStr">
        <is>
          <t>NS 4000A Banque de France</t>
        </is>
      </c>
      <c r="J11127" t="inlineStr">
        <is>
          <t>Civetta</t>
        </is>
      </c>
      <c r="L11127">
        <f>_xlfn.XLOOKUP(Tableau1[[#This Row],[TYPE DE PIECE]],Tableau4[MATIERE],Tableau4[SHORT TYPE],"",0,1)</f>
        <v/>
      </c>
      <c r="N11127">
        <f>IF(ISERR(FIND("DECOUPE",Tableau1[[#This Row],[DESIGNATION]])),"","NEED REF")</f>
        <v/>
      </c>
    </row>
    <row r="11128">
      <c r="B11128" t="n">
        <v>34402878</v>
      </c>
      <c r="C11128" s="2" t="n">
        <v>41106</v>
      </c>
      <c r="D11128" t="inlineStr">
        <is>
          <t>SPEC</t>
        </is>
      </c>
      <c r="E11128" t="inlineStr">
        <is>
          <t>LOWER CONNECTION PHASE 2 - 1 Q5N</t>
        </is>
      </c>
      <c r="F11128" t="inlineStr">
        <is>
          <t>NS 4000A Banque de France</t>
        </is>
      </c>
      <c r="J11128" t="inlineStr">
        <is>
          <t>Civetta</t>
        </is>
      </c>
      <c r="L11128">
        <f>_xlfn.XLOOKUP(Tableau1[[#This Row],[TYPE DE PIECE]],Tableau4[MATIERE],Tableau4[SHORT TYPE],"",0,1)</f>
        <v/>
      </c>
      <c r="N11128">
        <f>IF(ISERR(FIND("DECOUPE",Tableau1[[#This Row],[DESIGNATION]])),"","NEED REF")</f>
        <v/>
      </c>
    </row>
    <row r="11129">
      <c r="B11129" t="n">
        <v>34402877</v>
      </c>
      <c r="C11129" s="2" t="n">
        <v>41106</v>
      </c>
      <c r="D11129" t="inlineStr">
        <is>
          <t>SPEC</t>
        </is>
      </c>
      <c r="E11129" t="inlineStr">
        <is>
          <t>LOWER CONNECTION PHASE 1 - 3 Q5N</t>
        </is>
      </c>
      <c r="F11129" t="inlineStr">
        <is>
          <t>NS 4000A Banque de France</t>
        </is>
      </c>
      <c r="J11129" t="inlineStr">
        <is>
          <t>Civetta</t>
        </is>
      </c>
      <c r="L11129">
        <f>_xlfn.XLOOKUP(Tableau1[[#This Row],[TYPE DE PIECE]],Tableau4[MATIERE],Tableau4[SHORT TYPE],"",0,1)</f>
        <v/>
      </c>
      <c r="N11129">
        <f>IF(ISERR(FIND("DECOUPE",Tableau1[[#This Row],[DESIGNATION]])),"","NEED REF")</f>
        <v/>
      </c>
    </row>
    <row r="11130">
      <c r="B11130" t="n">
        <v>34402876</v>
      </c>
      <c r="C11130" s="2" t="n">
        <v>41106</v>
      </c>
      <c r="D11130" t="inlineStr">
        <is>
          <t>SPEC</t>
        </is>
      </c>
      <c r="E11130" t="inlineStr">
        <is>
          <t>LOWER CONNECTION PHASE 1 - 2 Q5N</t>
        </is>
      </c>
      <c r="F11130" t="inlineStr">
        <is>
          <t>NS 4000A Banque de France</t>
        </is>
      </c>
      <c r="J11130" t="inlineStr">
        <is>
          <t>Civetta</t>
        </is>
      </c>
      <c r="L11130">
        <f>_xlfn.XLOOKUP(Tableau1[[#This Row],[TYPE DE PIECE]],Tableau4[MATIERE],Tableau4[SHORT TYPE],"",0,1)</f>
        <v/>
      </c>
      <c r="N11130">
        <f>IF(ISERR(FIND("DECOUPE",Tableau1[[#This Row],[DESIGNATION]])),"","NEED REF")</f>
        <v/>
      </c>
    </row>
    <row r="11131">
      <c r="B11131" t="n">
        <v>34402875</v>
      </c>
      <c r="C11131" s="2" t="n">
        <v>41106</v>
      </c>
      <c r="D11131" t="inlineStr">
        <is>
          <t>SPEC</t>
        </is>
      </c>
      <c r="E11131" t="inlineStr">
        <is>
          <t>LOWER CONNECTION PHASE 1 - 1 Q5N</t>
        </is>
      </c>
      <c r="F11131" t="inlineStr">
        <is>
          <t>NS 4000A Banque de France</t>
        </is>
      </c>
      <c r="J11131" t="inlineStr">
        <is>
          <t>Civetta</t>
        </is>
      </c>
      <c r="L11131">
        <f>_xlfn.XLOOKUP(Tableau1[[#This Row],[TYPE DE PIECE]],Tableau4[MATIERE],Tableau4[SHORT TYPE],"",0,1)</f>
        <v/>
      </c>
      <c r="N11131">
        <f>IF(ISERR(FIND("DECOUPE",Tableau1[[#This Row],[DESIGNATION]])),"","NEED REF")</f>
        <v/>
      </c>
    </row>
    <row r="11132">
      <c r="B11132" t="n">
        <v>34402874</v>
      </c>
      <c r="C11132" s="2" t="n">
        <v>41106</v>
      </c>
      <c r="D11132" t="inlineStr">
        <is>
          <t>SPEC</t>
        </is>
      </c>
      <c r="E11132" t="inlineStr">
        <is>
          <t>LOWER CONNECTION PHASE 3 - 3 Q5N</t>
        </is>
      </c>
      <c r="F11132" t="inlineStr">
        <is>
          <t>NS 4000A Banque de France</t>
        </is>
      </c>
      <c r="J11132" t="inlineStr">
        <is>
          <t>Civetta</t>
        </is>
      </c>
      <c r="L11132">
        <f>_xlfn.XLOOKUP(Tableau1[[#This Row],[TYPE DE PIECE]],Tableau4[MATIERE],Tableau4[SHORT TYPE],"",0,1)</f>
        <v/>
      </c>
      <c r="N11132">
        <f>IF(ISERR(FIND("DECOUPE",Tableau1[[#This Row],[DESIGNATION]])),"","NEED REF")</f>
        <v/>
      </c>
    </row>
    <row r="11133">
      <c r="B11133" t="n">
        <v>34402873</v>
      </c>
      <c r="C11133" s="2" t="n">
        <v>41106</v>
      </c>
      <c r="D11133" t="inlineStr">
        <is>
          <t>SPEC</t>
        </is>
      </c>
      <c r="E11133" t="inlineStr">
        <is>
          <t>LOWER CONNECTION PHASE 3 - 2 Q5N</t>
        </is>
      </c>
      <c r="F11133" t="inlineStr">
        <is>
          <t>NS 4000A Banque de France</t>
        </is>
      </c>
      <c r="J11133" t="inlineStr">
        <is>
          <t>Civetta</t>
        </is>
      </c>
      <c r="L11133">
        <f>_xlfn.XLOOKUP(Tableau1[[#This Row],[TYPE DE PIECE]],Tableau4[MATIERE],Tableau4[SHORT TYPE],"",0,1)</f>
        <v/>
      </c>
      <c r="N11133">
        <f>IF(ISERR(FIND("DECOUPE",Tableau1[[#This Row],[DESIGNATION]])),"","NEED REF")</f>
        <v/>
      </c>
    </row>
    <row r="11134">
      <c r="B11134" t="n">
        <v>34402872</v>
      </c>
      <c r="C11134" s="2" t="n">
        <v>41106</v>
      </c>
      <c r="D11134" t="inlineStr">
        <is>
          <t>SPEC</t>
        </is>
      </c>
      <c r="E11134" t="inlineStr">
        <is>
          <t>LOWER CONNECTION PHASE 3 - 1 Q5N</t>
        </is>
      </c>
      <c r="F11134" t="inlineStr">
        <is>
          <t>NS 4000A Banque de France</t>
        </is>
      </c>
      <c r="J11134" t="inlineStr">
        <is>
          <t>Civetta</t>
        </is>
      </c>
      <c r="L11134">
        <f>_xlfn.XLOOKUP(Tableau1[[#This Row],[TYPE DE PIECE]],Tableau4[MATIERE],Tableau4[SHORT TYPE],"",0,1)</f>
        <v/>
      </c>
      <c r="N11134">
        <f>IF(ISERR(FIND("DECOUPE",Tableau1[[#This Row],[DESIGNATION]])),"","NEED REF")</f>
        <v/>
      </c>
    </row>
    <row r="11135">
      <c r="B11135" t="n">
        <v>34402871</v>
      </c>
      <c r="C11135" s="2" t="n">
        <v>41106</v>
      </c>
      <c r="D11135" t="inlineStr">
        <is>
          <t>SPEC</t>
        </is>
      </c>
      <c r="E11135" t="inlineStr">
        <is>
          <t>UPPER CONNECTION PHASE 3 - 2 Q3BP</t>
        </is>
      </c>
      <c r="F11135" t="inlineStr">
        <is>
          <t>NS 4000A Banque de France</t>
        </is>
      </c>
      <c r="J11135" t="inlineStr">
        <is>
          <t>Civetta</t>
        </is>
      </c>
      <c r="L11135">
        <f>_xlfn.XLOOKUP(Tableau1[[#This Row],[TYPE DE PIECE]],Tableau4[MATIERE],Tableau4[SHORT TYPE],"",0,1)</f>
        <v/>
      </c>
      <c r="N11135">
        <f>IF(ISERR(FIND("DECOUPE",Tableau1[[#This Row],[DESIGNATION]])),"","NEED REF")</f>
        <v/>
      </c>
    </row>
    <row r="11136">
      <c r="B11136" t="n">
        <v>34402870</v>
      </c>
      <c r="C11136" s="2" t="n">
        <v>41106</v>
      </c>
      <c r="D11136" t="inlineStr">
        <is>
          <t>SPEC</t>
        </is>
      </c>
      <c r="E11136" t="inlineStr">
        <is>
          <t>UPPER CONNECTION PHASE 3 - 1 Q3BP</t>
        </is>
      </c>
      <c r="F11136" t="inlineStr">
        <is>
          <t>NS 4000A Banque de France</t>
        </is>
      </c>
      <c r="J11136" t="inlineStr">
        <is>
          <t>Civetta</t>
        </is>
      </c>
      <c r="L11136">
        <f>_xlfn.XLOOKUP(Tableau1[[#This Row],[TYPE DE PIECE]],Tableau4[MATIERE],Tableau4[SHORT TYPE],"",0,1)</f>
        <v/>
      </c>
      <c r="N11136">
        <f>IF(ISERR(FIND("DECOUPE",Tableau1[[#This Row],[DESIGNATION]])),"","NEED REF")</f>
        <v/>
      </c>
    </row>
    <row r="11137">
      <c r="B11137" t="n">
        <v>34402869</v>
      </c>
      <c r="C11137" s="2" t="n">
        <v>41106</v>
      </c>
      <c r="D11137" t="inlineStr">
        <is>
          <t>SPEC</t>
        </is>
      </c>
      <c r="E11137" t="inlineStr">
        <is>
          <t>UPPER CONNECTION PHASE 2 - 2 Q3BP</t>
        </is>
      </c>
      <c r="F11137" t="inlineStr">
        <is>
          <t>NS 4000A Banque de France</t>
        </is>
      </c>
      <c r="J11137" t="inlineStr">
        <is>
          <t>Civetta</t>
        </is>
      </c>
      <c r="L11137">
        <f>_xlfn.XLOOKUP(Tableau1[[#This Row],[TYPE DE PIECE]],Tableau4[MATIERE],Tableau4[SHORT TYPE],"",0,1)</f>
        <v/>
      </c>
      <c r="N11137">
        <f>IF(ISERR(FIND("DECOUPE",Tableau1[[#This Row],[DESIGNATION]])),"","NEED REF")</f>
        <v/>
      </c>
    </row>
    <row r="11138">
      <c r="B11138" t="n">
        <v>34402868</v>
      </c>
      <c r="C11138" s="2" t="n">
        <v>41106</v>
      </c>
      <c r="D11138" t="inlineStr">
        <is>
          <t>SPEC</t>
        </is>
      </c>
      <c r="E11138" t="inlineStr">
        <is>
          <t>UPPER CONNECTION PHASE 2 - 1 Q3BP</t>
        </is>
      </c>
      <c r="F11138" t="inlineStr">
        <is>
          <t>NS 4000A Banque de France</t>
        </is>
      </c>
      <c r="J11138" t="inlineStr">
        <is>
          <t>Civetta</t>
        </is>
      </c>
      <c r="L11138">
        <f>_xlfn.XLOOKUP(Tableau1[[#This Row],[TYPE DE PIECE]],Tableau4[MATIERE],Tableau4[SHORT TYPE],"",0,1)</f>
        <v/>
      </c>
      <c r="N11138">
        <f>IF(ISERR(FIND("DECOUPE",Tableau1[[#This Row],[DESIGNATION]])),"","NEED REF")</f>
        <v/>
      </c>
    </row>
    <row r="11139">
      <c r="B11139" t="n">
        <v>34402867</v>
      </c>
      <c r="C11139" s="2" t="n">
        <v>41106</v>
      </c>
      <c r="D11139" t="inlineStr">
        <is>
          <t>SPEC</t>
        </is>
      </c>
      <c r="E11139" t="inlineStr">
        <is>
          <t>UPPER CONNECTION PHASE 1 - 2 Q3BP</t>
        </is>
      </c>
      <c r="F11139" t="inlineStr">
        <is>
          <t>NS 4000A Banque de France</t>
        </is>
      </c>
      <c r="J11139" t="inlineStr">
        <is>
          <t>Civetta</t>
        </is>
      </c>
      <c r="L11139">
        <f>_xlfn.XLOOKUP(Tableau1[[#This Row],[TYPE DE PIECE]],Tableau4[MATIERE],Tableau4[SHORT TYPE],"",0,1)</f>
        <v/>
      </c>
      <c r="N11139">
        <f>IF(ISERR(FIND("DECOUPE",Tableau1[[#This Row],[DESIGNATION]])),"","NEED REF")</f>
        <v/>
      </c>
    </row>
    <row r="11140">
      <c r="B11140" t="n">
        <v>34402866</v>
      </c>
      <c r="C11140" s="2" t="n">
        <v>41106</v>
      </c>
      <c r="D11140" t="inlineStr">
        <is>
          <t>SPEC</t>
        </is>
      </c>
      <c r="E11140" t="inlineStr">
        <is>
          <t>UPPER CONNECTION PHASE 1 - 1 Q3BP</t>
        </is>
      </c>
      <c r="F11140" t="inlineStr">
        <is>
          <t>NS 4000A Banque de France</t>
        </is>
      </c>
      <c r="J11140" t="inlineStr">
        <is>
          <t>Civetta</t>
        </is>
      </c>
      <c r="L11140">
        <f>_xlfn.XLOOKUP(Tableau1[[#This Row],[TYPE DE PIECE]],Tableau4[MATIERE],Tableau4[SHORT TYPE],"",0,1)</f>
        <v/>
      </c>
      <c r="N11140">
        <f>IF(ISERR(FIND("DECOUPE",Tableau1[[#This Row],[DESIGNATION]])),"","NEED REF")</f>
        <v/>
      </c>
    </row>
    <row r="11141">
      <c r="B11141" t="n">
        <v>34402865</v>
      </c>
      <c r="C11141" s="2" t="n">
        <v>41106</v>
      </c>
      <c r="D11141" t="inlineStr">
        <is>
          <t>SPEC</t>
        </is>
      </c>
      <c r="E11141" t="inlineStr">
        <is>
          <t>DECOUPE PLASTRON 2x NSX160-250A - 870-5102784100</t>
        </is>
      </c>
      <c r="F11141" t="inlineStr">
        <is>
          <t>STS160A-250A</t>
        </is>
      </c>
      <c r="J11141" t="inlineStr">
        <is>
          <t>MATRION</t>
        </is>
      </c>
      <c r="L11141">
        <f>_xlfn.XLOOKUP(Tableau1[[#This Row],[TYPE DE PIECE]],Tableau4[MATIERE],Tableau4[SHORT TYPE],"",0,1)</f>
        <v/>
      </c>
      <c r="N11141">
        <f>IF(ISERR(FIND("DECOUPE",Tableau1[[#This Row],[DESIGNATION]])),"","NEED REF")</f>
        <v/>
      </c>
    </row>
    <row r="11142">
      <c r="B11142" t="n">
        <v>34402864</v>
      </c>
      <c r="C11142" s="2" t="n">
        <v>41106</v>
      </c>
      <c r="D11142" t="inlineStr">
        <is>
          <t>SPEC</t>
        </is>
      </c>
      <c r="E11142" t="inlineStr">
        <is>
          <t>MONTANT LATERAL - REPRISE 0.5x 870-5102784400</t>
        </is>
      </c>
      <c r="F11142" t="inlineStr">
        <is>
          <t>STS160A-250A</t>
        </is>
      </c>
      <c r="J11142" t="inlineStr">
        <is>
          <t>MATRION</t>
        </is>
      </c>
      <c r="L11142">
        <f>_xlfn.XLOOKUP(Tableau1[[#This Row],[TYPE DE PIECE]],Tableau4[MATIERE],Tableau4[SHORT TYPE],"",0,1)</f>
        <v/>
      </c>
      <c r="N11142">
        <f>IF(ISERR(FIND("DECOUPE",Tableau1[[#This Row],[DESIGNATION]])),"","NEED REF")</f>
        <v/>
      </c>
    </row>
    <row r="11143">
      <c r="B11143" t="n">
        <v>34402863</v>
      </c>
      <c r="C11143" s="2" t="n">
        <v>41106</v>
      </c>
      <c r="D11143" t="inlineStr">
        <is>
          <t>NOM</t>
        </is>
      </c>
      <c r="E11143" t="inlineStr">
        <is>
          <t>LG SUPPORT NSX160-250A PARTIE HAUTE STS160-250A</t>
        </is>
      </c>
      <c r="F11143" t="inlineStr">
        <is>
          <t>STS160A-250A</t>
        </is>
      </c>
      <c r="J11143" t="inlineStr">
        <is>
          <t>MATRION</t>
        </is>
      </c>
      <c r="L11143">
        <f>_xlfn.XLOOKUP(Tableau1[[#This Row],[TYPE DE PIECE]],Tableau4[MATIERE],Tableau4[SHORT TYPE],"",0,1)</f>
        <v/>
      </c>
      <c r="N11143">
        <f>IF(ISERR(FIND("DECOUPE",Tableau1[[#This Row],[DESIGNATION]])),"","NEED REF")</f>
        <v/>
      </c>
    </row>
    <row r="11144">
      <c r="B11144" t="n">
        <v>34402862</v>
      </c>
      <c r="C11144" s="2" t="n">
        <v>41100</v>
      </c>
      <c r="D11144" t="inlineStr">
        <is>
          <t>SPEC</t>
        </is>
      </c>
      <c r="E11144" t="inlineStr">
        <is>
          <t>L=400 STRUCTURE PROFIL CUTTING</t>
        </is>
      </c>
      <c r="F11144" t="inlineStr">
        <is>
          <t>NS 4000A Banque de France</t>
        </is>
      </c>
      <c r="J11144" t="inlineStr">
        <is>
          <t>Civetta</t>
        </is>
      </c>
      <c r="L11144">
        <f>_xlfn.XLOOKUP(Tableau1[[#This Row],[TYPE DE PIECE]],Tableau4[MATIERE],Tableau4[SHORT TYPE],"",0,1)</f>
        <v/>
      </c>
      <c r="N11144">
        <f>IF(ISERR(FIND("DECOUPE",Tableau1[[#This Row],[DESIGNATION]])),"","NEED REF")</f>
        <v/>
      </c>
    </row>
    <row r="11145">
      <c r="B11145" t="n">
        <v>34402861</v>
      </c>
      <c r="C11145" s="2" t="n">
        <v>41100</v>
      </c>
      <c r="D11145" t="inlineStr">
        <is>
          <t>SPEC</t>
        </is>
      </c>
      <c r="E11145" t="inlineStr">
        <is>
          <t>L=1400 STRUCTURE PROFIL CUTTING</t>
        </is>
      </c>
      <c r="F11145" t="inlineStr">
        <is>
          <t>NS 4000A Banque de France</t>
        </is>
      </c>
      <c r="J11145" t="inlineStr">
        <is>
          <t>Civetta</t>
        </is>
      </c>
      <c r="L11145">
        <f>_xlfn.XLOOKUP(Tableau1[[#This Row],[TYPE DE PIECE]],Tableau4[MATIERE],Tableau4[SHORT TYPE],"",0,1)</f>
        <v/>
      </c>
      <c r="N11145">
        <f>IF(ISERR(FIND("DECOUPE",Tableau1[[#This Row],[DESIGNATION]])),"","NEED REF")</f>
        <v/>
      </c>
    </row>
    <row r="11146">
      <c r="B11146" t="n">
        <v>34402860</v>
      </c>
      <c r="C11146" s="2" t="n">
        <v>41100</v>
      </c>
      <c r="D11146" t="inlineStr">
        <is>
          <t>SPEC</t>
        </is>
      </c>
      <c r="E11146" t="inlineStr">
        <is>
          <t>L=1800 STRUCTURE PROFIL CUTTING</t>
        </is>
      </c>
      <c r="F11146" t="inlineStr">
        <is>
          <t>NS 4000A Banque de France</t>
        </is>
      </c>
      <c r="J11146" t="inlineStr">
        <is>
          <t>Civetta</t>
        </is>
      </c>
      <c r="L11146">
        <f>_xlfn.XLOOKUP(Tableau1[[#This Row],[TYPE DE PIECE]],Tableau4[MATIERE],Tableau4[SHORT TYPE],"",0,1)</f>
        <v/>
      </c>
      <c r="N11146">
        <f>IF(ISERR(FIND("DECOUPE",Tableau1[[#This Row],[DESIGNATION]])),"","NEED REF")</f>
        <v/>
      </c>
    </row>
    <row r="11147">
      <c r="B11147" t="n">
        <v>34402859</v>
      </c>
      <c r="C11147" s="2" t="n">
        <v>41100</v>
      </c>
      <c r="D11147" t="inlineStr">
        <is>
          <t>SPEC</t>
        </is>
      </c>
      <c r="E11147" t="inlineStr">
        <is>
          <t>FRONT/BACK CAB JUNCTION SNT</t>
        </is>
      </c>
      <c r="F11147" t="inlineStr">
        <is>
          <t>NS 4000A Banque de France</t>
        </is>
      </c>
      <c r="J11147" t="inlineStr">
        <is>
          <t>Civetta</t>
        </is>
      </c>
      <c r="L11147">
        <f>_xlfn.XLOOKUP(Tableau1[[#This Row],[TYPE DE PIECE]],Tableau4[MATIERE],Tableau4[SHORT TYPE],"",0,1)</f>
        <v/>
      </c>
      <c r="N11147">
        <f>IF(ISERR(FIND("DECOUPE",Tableau1[[#This Row],[DESIGNATION]])),"","NEED REF")</f>
        <v/>
      </c>
    </row>
    <row r="11148">
      <c r="B11148" t="n">
        <v>34402858</v>
      </c>
      <c r="C11148" s="2" t="n">
        <v>41100</v>
      </c>
      <c r="D11148" t="inlineStr">
        <is>
          <t>SPEC</t>
        </is>
      </c>
      <c r="E11148" t="inlineStr">
        <is>
          <t>BUSBAR CLAMP SUPPORT</t>
        </is>
      </c>
      <c r="F11148" t="inlineStr">
        <is>
          <t>NS 4000A Banque de France</t>
        </is>
      </c>
      <c r="J11148" t="inlineStr">
        <is>
          <t>Civetta</t>
        </is>
      </c>
      <c r="L11148">
        <f>_xlfn.XLOOKUP(Tableau1[[#This Row],[TYPE DE PIECE]],Tableau4[MATIERE],Tableau4[SHORT TYPE],"",0,1)</f>
        <v/>
      </c>
      <c r="N11148">
        <f>IF(ISERR(FIND("DECOUPE",Tableau1[[#This Row],[DESIGNATION]])),"","NEED REF")</f>
        <v/>
      </c>
    </row>
    <row r="11149">
      <c r="B11149" t="n">
        <v>34402857</v>
      </c>
      <c r="C11149" s="2" t="n">
        <v>41100</v>
      </c>
      <c r="D11149" t="inlineStr">
        <is>
          <t>SPEC</t>
        </is>
      </c>
      <c r="E11149" t="inlineStr">
        <is>
          <t>CROSS BEAM CLAMP SUPPORT</t>
        </is>
      </c>
      <c r="F11149" t="inlineStr">
        <is>
          <t>NS 4000A Banque de France</t>
        </is>
      </c>
      <c r="J11149" t="inlineStr">
        <is>
          <t>Civetta</t>
        </is>
      </c>
      <c r="L11149">
        <f>_xlfn.XLOOKUP(Tableau1[[#This Row],[TYPE DE PIECE]],Tableau4[MATIERE],Tableau4[SHORT TYPE],"",0,1)</f>
        <v/>
      </c>
      <c r="N11149">
        <f>IF(ISERR(FIND("DECOUPE",Tableau1[[#This Row],[DESIGNATION]])),"","NEED REF")</f>
        <v/>
      </c>
    </row>
    <row r="11150">
      <c r="B11150" t="n">
        <v>34402856</v>
      </c>
      <c r="C11150" s="2" t="n">
        <v>41100</v>
      </c>
      <c r="D11150" t="inlineStr">
        <is>
          <t>SPEC</t>
        </is>
      </c>
      <c r="E11150" t="inlineStr">
        <is>
          <t>UPPER CONNECTION Q4S - 3</t>
        </is>
      </c>
      <c r="F11150" t="inlineStr">
        <is>
          <t>NS 4000A Banque de France</t>
        </is>
      </c>
      <c r="J11150" t="inlineStr">
        <is>
          <t>Civetta</t>
        </is>
      </c>
      <c r="L11150">
        <f>_xlfn.XLOOKUP(Tableau1[[#This Row],[TYPE DE PIECE]],Tableau4[MATIERE],Tableau4[SHORT TYPE],"",0,1)</f>
        <v/>
      </c>
      <c r="N11150">
        <f>IF(ISERR(FIND("DECOUPE",Tableau1[[#This Row],[DESIGNATION]])),"","NEED REF")</f>
        <v/>
      </c>
    </row>
    <row r="11151">
      <c r="B11151" t="n">
        <v>34402855</v>
      </c>
      <c r="C11151" s="2" t="n">
        <v>41100</v>
      </c>
      <c r="D11151" t="inlineStr">
        <is>
          <t>SPEC</t>
        </is>
      </c>
      <c r="E11151" t="inlineStr">
        <is>
          <t>CROSS BUSBAR PHASE 2 - 1</t>
        </is>
      </c>
      <c r="F11151" t="inlineStr">
        <is>
          <t>NS 4000A Banque de France</t>
        </is>
      </c>
      <c r="J11151" t="inlineStr">
        <is>
          <t>Civetta</t>
        </is>
      </c>
      <c r="L11151">
        <f>_xlfn.XLOOKUP(Tableau1[[#This Row],[TYPE DE PIECE]],Tableau4[MATIERE],Tableau4[SHORT TYPE],"",0,1)</f>
        <v/>
      </c>
      <c r="N11151">
        <f>IF(ISERR(FIND("DECOUPE",Tableau1[[#This Row],[DESIGNATION]])),"","NEED REF")</f>
        <v/>
      </c>
    </row>
    <row r="11152">
      <c r="B11152" t="n">
        <v>34402854</v>
      </c>
      <c r="C11152" s="2" t="n">
        <v>41100</v>
      </c>
      <c r="D11152" t="inlineStr">
        <is>
          <t>SPEC</t>
        </is>
      </c>
      <c r="E11152" t="inlineStr">
        <is>
          <t>UPPER CONNECTION PHASE 2 - 2 Q4S</t>
        </is>
      </c>
      <c r="F11152" t="inlineStr">
        <is>
          <t>NS 4000A Banque de France</t>
        </is>
      </c>
      <c r="J11152" t="inlineStr">
        <is>
          <t>Civetta</t>
        </is>
      </c>
      <c r="L11152">
        <f>_xlfn.XLOOKUP(Tableau1[[#This Row],[TYPE DE PIECE]],Tableau4[MATIERE],Tableau4[SHORT TYPE],"",0,1)</f>
        <v/>
      </c>
      <c r="N11152">
        <f>IF(ISERR(FIND("DECOUPE",Tableau1[[#This Row],[DESIGNATION]])),"","NEED REF")</f>
        <v/>
      </c>
    </row>
    <row r="11153">
      <c r="B11153" t="n">
        <v>34402853</v>
      </c>
      <c r="C11153" s="2" t="n">
        <v>41100</v>
      </c>
      <c r="D11153" t="inlineStr">
        <is>
          <t>SPEC</t>
        </is>
      </c>
      <c r="E11153" t="inlineStr">
        <is>
          <t>UPPER CONNECTION Q4S - 4</t>
        </is>
      </c>
      <c r="F11153" t="inlineStr">
        <is>
          <t>NS 4000A Banque de France</t>
        </is>
      </c>
      <c r="J11153" t="inlineStr">
        <is>
          <t>Civetta</t>
        </is>
      </c>
      <c r="L11153">
        <f>_xlfn.XLOOKUP(Tableau1[[#This Row],[TYPE DE PIECE]],Tableau4[MATIERE],Tableau4[SHORT TYPE],"",0,1)</f>
        <v/>
      </c>
      <c r="N11153">
        <f>IF(ISERR(FIND("DECOUPE",Tableau1[[#This Row],[DESIGNATION]])),"","NEED REF")</f>
        <v/>
      </c>
    </row>
    <row r="11154">
      <c r="B11154" t="n">
        <v>34402852</v>
      </c>
      <c r="C11154" s="2" t="n">
        <v>41100</v>
      </c>
      <c r="D11154" t="inlineStr">
        <is>
          <t>SPEC</t>
        </is>
      </c>
      <c r="E11154" t="inlineStr">
        <is>
          <t>UPPER CONNECTION PHASE 2 -1 Q4S</t>
        </is>
      </c>
      <c r="F11154" t="inlineStr">
        <is>
          <t>NS 4000A Banque de France</t>
        </is>
      </c>
      <c r="J11154" t="inlineStr">
        <is>
          <t>Civetta</t>
        </is>
      </c>
      <c r="L11154">
        <f>_xlfn.XLOOKUP(Tableau1[[#This Row],[TYPE DE PIECE]],Tableau4[MATIERE],Tableau4[SHORT TYPE],"",0,1)</f>
        <v/>
      </c>
      <c r="N11154">
        <f>IF(ISERR(FIND("DECOUPE",Tableau1[[#This Row],[DESIGNATION]])),"","NEED REF")</f>
        <v/>
      </c>
    </row>
    <row r="11155">
      <c r="B11155" t="n">
        <v>34402851</v>
      </c>
      <c r="C11155" s="2" t="n">
        <v>41100</v>
      </c>
      <c r="D11155" t="inlineStr">
        <is>
          <t>SPEC</t>
        </is>
      </c>
      <c r="E11155" t="inlineStr">
        <is>
          <t>CROSS BUSBAR PHASE 1/2/3 - 1</t>
        </is>
      </c>
      <c r="F11155" t="inlineStr">
        <is>
          <t>NS 4000A Banque de France</t>
        </is>
      </c>
      <c r="J11155" t="inlineStr">
        <is>
          <t>Civetta</t>
        </is>
      </c>
      <c r="L11155">
        <f>_xlfn.XLOOKUP(Tableau1[[#This Row],[TYPE DE PIECE]],Tableau4[MATIERE],Tableau4[SHORT TYPE],"",0,1)</f>
        <v/>
      </c>
      <c r="N11155">
        <f>IF(ISERR(FIND("DECOUPE",Tableau1[[#This Row],[DESIGNATION]])),"","NEED REF")</f>
        <v/>
      </c>
    </row>
    <row r="11156">
      <c r="B11156" t="n">
        <v>34402850</v>
      </c>
      <c r="C11156" s="2" t="n">
        <v>41100</v>
      </c>
      <c r="D11156" t="inlineStr">
        <is>
          <t>SPEC</t>
        </is>
      </c>
      <c r="E11156" t="inlineStr">
        <is>
          <t>CROSS BEAM CLAMP SUPPORT</t>
        </is>
      </c>
      <c r="F11156" t="inlineStr">
        <is>
          <t>NS 4000A Banque de France</t>
        </is>
      </c>
      <c r="J11156" t="inlineStr">
        <is>
          <t>Civetta</t>
        </is>
      </c>
      <c r="L11156">
        <f>_xlfn.XLOOKUP(Tableau1[[#This Row],[TYPE DE PIECE]],Tableau4[MATIERE],Tableau4[SHORT TYPE],"",0,1)</f>
        <v/>
      </c>
      <c r="N11156">
        <f>IF(ISERR(FIND("DECOUPE",Tableau1[[#This Row],[DESIGNATION]])),"","NEED REF")</f>
        <v/>
      </c>
    </row>
    <row r="11157">
      <c r="B11157" t="n">
        <v>34402849</v>
      </c>
      <c r="C11157" s="2" t="n">
        <v>41100</v>
      </c>
      <c r="D11157" t="inlineStr">
        <is>
          <t>SPEC</t>
        </is>
      </c>
      <c r="E11157" t="inlineStr">
        <is>
          <t>CROSS BUSBAR PEN 1</t>
        </is>
      </c>
      <c r="F11157" t="inlineStr">
        <is>
          <t>NS 4000A Banque de France</t>
        </is>
      </c>
      <c r="J11157" t="inlineStr">
        <is>
          <t>Civetta</t>
        </is>
      </c>
      <c r="L11157">
        <f>_xlfn.XLOOKUP(Tableau1[[#This Row],[TYPE DE PIECE]],Tableau4[MATIERE],Tableau4[SHORT TYPE],"",0,1)</f>
        <v/>
      </c>
      <c r="N11157">
        <f>IF(ISERR(FIND("DECOUPE",Tableau1[[#This Row],[DESIGNATION]])),"","NEED REF")</f>
        <v/>
      </c>
    </row>
    <row r="11158">
      <c r="B11158" t="n">
        <v>34402848</v>
      </c>
      <c r="C11158" s="2" t="n">
        <v>41100</v>
      </c>
      <c r="D11158" t="inlineStr">
        <is>
          <t>SPEC</t>
        </is>
      </c>
      <c r="E11158" t="inlineStr">
        <is>
          <t>FLEXIBAR INTERCONNECT</t>
        </is>
      </c>
      <c r="F11158" t="inlineStr">
        <is>
          <t>NS 4000A Banque de France</t>
        </is>
      </c>
      <c r="J11158" t="inlineStr">
        <is>
          <t>Civetta</t>
        </is>
      </c>
      <c r="L11158">
        <f>_xlfn.XLOOKUP(Tableau1[[#This Row],[TYPE DE PIECE]],Tableau4[MATIERE],Tableau4[SHORT TYPE],"",0,1)</f>
        <v/>
      </c>
      <c r="N11158">
        <f>IF(ISERR(FIND("DECOUPE",Tableau1[[#This Row],[DESIGNATION]])),"","NEED REF")</f>
        <v/>
      </c>
    </row>
    <row r="11159">
      <c r="B11159" t="n">
        <v>34402847</v>
      </c>
      <c r="C11159" s="2" t="n">
        <v>41100</v>
      </c>
      <c r="D11159" t="inlineStr">
        <is>
          <t>SPEC</t>
        </is>
      </c>
      <c r="E11159" t="inlineStr">
        <is>
          <t>SPACER 160 X 50</t>
        </is>
      </c>
      <c r="F11159" t="inlineStr">
        <is>
          <t>NS 4000A Banque de France</t>
        </is>
      </c>
      <c r="J11159" t="inlineStr">
        <is>
          <t>Civetta</t>
        </is>
      </c>
      <c r="L11159">
        <f>_xlfn.XLOOKUP(Tableau1[[#This Row],[TYPE DE PIECE]],Tableau4[MATIERE],Tableau4[SHORT TYPE],"",0,1)</f>
        <v/>
      </c>
      <c r="N11159">
        <f>IF(ISERR(FIND("DECOUPE",Tableau1[[#This Row],[DESIGNATION]])),"","NEED REF")</f>
        <v/>
      </c>
    </row>
    <row r="11160">
      <c r="B11160" t="n">
        <v>34402846</v>
      </c>
      <c r="C11160" s="2" t="n">
        <v>41100</v>
      </c>
      <c r="D11160" t="inlineStr">
        <is>
          <t>SPEC</t>
        </is>
      </c>
      <c r="E11160" t="inlineStr">
        <is>
          <t>OUTGOING BUSBAR PEN 2</t>
        </is>
      </c>
      <c r="F11160" t="inlineStr">
        <is>
          <t>NS 4000A Banque de France</t>
        </is>
      </c>
      <c r="J11160" t="inlineStr">
        <is>
          <t>Civetta</t>
        </is>
      </c>
      <c r="L11160">
        <f>_xlfn.XLOOKUP(Tableau1[[#This Row],[TYPE DE PIECE]],Tableau4[MATIERE],Tableau4[SHORT TYPE],"",0,1)</f>
        <v/>
      </c>
      <c r="N11160">
        <f>IF(ISERR(FIND("DECOUPE",Tableau1[[#This Row],[DESIGNATION]])),"","NEED REF")</f>
        <v/>
      </c>
    </row>
    <row r="11161">
      <c r="B11161" t="n">
        <v>34402845</v>
      </c>
      <c r="C11161" s="2" t="n">
        <v>41100</v>
      </c>
      <c r="D11161" t="inlineStr">
        <is>
          <t>SPEC</t>
        </is>
      </c>
      <c r="E11161" t="inlineStr">
        <is>
          <t>SWITCHES SUPPORT CROSS BEAM</t>
        </is>
      </c>
      <c r="F11161" t="inlineStr">
        <is>
          <t>NS 4000A Banque de France</t>
        </is>
      </c>
      <c r="J11161" t="inlineStr">
        <is>
          <t>Civetta</t>
        </is>
      </c>
      <c r="L11161">
        <f>_xlfn.XLOOKUP(Tableau1[[#This Row],[TYPE DE PIECE]],Tableau4[MATIERE],Tableau4[SHORT TYPE],"",0,1)</f>
        <v/>
      </c>
      <c r="N11161">
        <f>IF(ISERR(FIND("DECOUPE",Tableau1[[#This Row],[DESIGNATION]])),"","NEED REF")</f>
        <v/>
      </c>
    </row>
    <row r="11162">
      <c r="B11162" t="n">
        <v>34402844</v>
      </c>
      <c r="C11162" s="2" t="n">
        <v>41100</v>
      </c>
      <c r="D11162" t="inlineStr">
        <is>
          <t>SPEC</t>
        </is>
      </c>
      <c r="E11162" t="inlineStr">
        <is>
          <t>CROSS BEAM CLAMP VERTICAL SUPPORT</t>
        </is>
      </c>
      <c r="F11162" t="inlineStr">
        <is>
          <t>NS 4000A Banque de France</t>
        </is>
      </c>
      <c r="J11162" t="inlineStr">
        <is>
          <t>Civetta</t>
        </is>
      </c>
      <c r="L11162">
        <f>_xlfn.XLOOKUP(Tableau1[[#This Row],[TYPE DE PIECE]],Tableau4[MATIERE],Tableau4[SHORT TYPE],"",0,1)</f>
        <v/>
      </c>
      <c r="N11162">
        <f>IF(ISERR(FIND("DECOUPE",Tableau1[[#This Row],[DESIGNATION]])),"","NEED REF")</f>
        <v/>
      </c>
    </row>
    <row r="11163">
      <c r="B11163" t="n">
        <v>34402843</v>
      </c>
      <c r="C11163" s="2" t="n">
        <v>41100</v>
      </c>
      <c r="D11163" t="inlineStr">
        <is>
          <t>SPEC</t>
        </is>
      </c>
      <c r="E11163" t="inlineStr">
        <is>
          <t>CROSS BEAM CLAMP VERTICAL SUPPORT</t>
        </is>
      </c>
      <c r="F11163" t="inlineStr">
        <is>
          <t>NS 4000A Banque de France</t>
        </is>
      </c>
      <c r="J11163" t="inlineStr">
        <is>
          <t>Civetta</t>
        </is>
      </c>
      <c r="L11163">
        <f>_xlfn.XLOOKUP(Tableau1[[#This Row],[TYPE DE PIECE]],Tableau4[MATIERE],Tableau4[SHORT TYPE],"",0,1)</f>
        <v/>
      </c>
      <c r="N11163">
        <f>IF(ISERR(FIND("DECOUPE",Tableau1[[#This Row],[DESIGNATION]])),"","NEED REF")</f>
        <v/>
      </c>
    </row>
    <row r="11164">
      <c r="B11164" t="n">
        <v>34402842</v>
      </c>
      <c r="C11164" s="2" t="n">
        <v>41100</v>
      </c>
      <c r="D11164" t="inlineStr">
        <is>
          <t>SPEC</t>
        </is>
      </c>
      <c r="E11164" t="inlineStr">
        <is>
          <t>SPACER 100  X 100</t>
        </is>
      </c>
      <c r="F11164" t="inlineStr">
        <is>
          <t>NS 4000A Banque de France</t>
        </is>
      </c>
      <c r="J11164" t="inlineStr">
        <is>
          <t>Civetta</t>
        </is>
      </c>
      <c r="L11164">
        <f>_xlfn.XLOOKUP(Tableau1[[#This Row],[TYPE DE PIECE]],Tableau4[MATIERE],Tableau4[SHORT TYPE],"",0,1)</f>
        <v/>
      </c>
      <c r="N11164">
        <f>IF(ISERR(FIND("DECOUPE",Tableau1[[#This Row],[DESIGNATION]])),"","NEED REF")</f>
        <v/>
      </c>
    </row>
    <row r="11165">
      <c r="B11165" t="n">
        <v>34402841</v>
      </c>
      <c r="C11165" s="2" t="n">
        <v>41100</v>
      </c>
      <c r="D11165" t="inlineStr">
        <is>
          <t>SPEC</t>
        </is>
      </c>
      <c r="E11165" t="inlineStr">
        <is>
          <t>UPPER CONNECTION Q4S PHASE 1/2/3 - 1</t>
        </is>
      </c>
      <c r="F11165" t="inlineStr">
        <is>
          <t>NS 4000A Banque de France</t>
        </is>
      </c>
      <c r="J11165" t="inlineStr">
        <is>
          <t>Civetta</t>
        </is>
      </c>
      <c r="L11165">
        <f>_xlfn.XLOOKUP(Tableau1[[#This Row],[TYPE DE PIECE]],Tableau4[MATIERE],Tableau4[SHORT TYPE],"",0,1)</f>
        <v/>
      </c>
      <c r="N11165">
        <f>IF(ISERR(FIND("DECOUPE",Tableau1[[#This Row],[DESIGNATION]])),"","NEED REF")</f>
        <v/>
      </c>
    </row>
    <row r="11166">
      <c r="B11166" t="n">
        <v>34402840</v>
      </c>
      <c r="C11166" s="2" t="n">
        <v>41100</v>
      </c>
      <c r="D11166" t="inlineStr">
        <is>
          <t>SPEC</t>
        </is>
      </c>
      <c r="E11166" t="inlineStr">
        <is>
          <t>ERICO FLEXIBAR TGAB</t>
        </is>
      </c>
      <c r="F11166" t="inlineStr">
        <is>
          <t>NS 4000A Banque de France</t>
        </is>
      </c>
      <c r="J11166" t="inlineStr">
        <is>
          <t>Civetta</t>
        </is>
      </c>
      <c r="L11166">
        <f>_xlfn.XLOOKUP(Tableau1[[#This Row],[TYPE DE PIECE]],Tableau4[MATIERE],Tableau4[SHORT TYPE],"",0,1)</f>
        <v/>
      </c>
      <c r="N11166">
        <f>IF(ISERR(FIND("DECOUPE",Tableau1[[#This Row],[DESIGNATION]])),"","NEED REF")</f>
        <v/>
      </c>
    </row>
    <row r="11167">
      <c r="B11167" t="n">
        <v>34402839</v>
      </c>
      <c r="C11167" s="2" t="n">
        <v>41096</v>
      </c>
      <c r="D11167" t="inlineStr">
        <is>
          <t>SPEC</t>
        </is>
      </c>
      <c r="E11167" t="inlineStr">
        <is>
          <t>CROSS BEAM</t>
        </is>
      </c>
      <c r="F11167" t="inlineStr">
        <is>
          <t>NS 4000A Banque de France</t>
        </is>
      </c>
      <c r="J11167" t="inlineStr">
        <is>
          <t>Civetta</t>
        </is>
      </c>
      <c r="L11167">
        <f>_xlfn.XLOOKUP(Tableau1[[#This Row],[TYPE DE PIECE]],Tableau4[MATIERE],Tableau4[SHORT TYPE],"",0,1)</f>
        <v/>
      </c>
      <c r="N11167">
        <f>IF(ISERR(FIND("DECOUPE",Tableau1[[#This Row],[DESIGNATION]])),"","NEED REF")</f>
        <v/>
      </c>
    </row>
    <row r="11168">
      <c r="B11168" t="n">
        <v>34402838</v>
      </c>
      <c r="C11168" s="2" t="n">
        <v>41096</v>
      </c>
      <c r="D11168" t="inlineStr">
        <is>
          <t>SPEC</t>
        </is>
      </c>
      <c r="E11168" t="inlineStr">
        <is>
          <t>BUSBAR SORTANT PEN 1</t>
        </is>
      </c>
      <c r="F11168" t="inlineStr">
        <is>
          <t>NS 4000A Banque de France</t>
        </is>
      </c>
      <c r="J11168" t="inlineStr">
        <is>
          <t>Civetta</t>
        </is>
      </c>
      <c r="L11168">
        <f>_xlfn.XLOOKUP(Tableau1[[#This Row],[TYPE DE PIECE]],Tableau4[MATIERE],Tableau4[SHORT TYPE],"",0,1)</f>
        <v/>
      </c>
      <c r="N11168">
        <f>IF(ISERR(FIND("DECOUPE",Tableau1[[#This Row],[DESIGNATION]])),"","NEED REF")</f>
        <v/>
      </c>
    </row>
    <row r="11169">
      <c r="B11169" t="n">
        <v>34402837</v>
      </c>
      <c r="C11169" s="2" t="n">
        <v>41096</v>
      </c>
      <c r="D11169" t="inlineStr">
        <is>
          <t>SPEC</t>
        </is>
      </c>
      <c r="E11169" t="inlineStr">
        <is>
          <t>BUSBAR SORTANT PEN 2</t>
        </is>
      </c>
      <c r="F11169" t="inlineStr">
        <is>
          <t>NS 4000A Banque de France</t>
        </is>
      </c>
      <c r="J11169" t="inlineStr">
        <is>
          <t>Civetta</t>
        </is>
      </c>
      <c r="L11169">
        <f>_xlfn.XLOOKUP(Tableau1[[#This Row],[TYPE DE PIECE]],Tableau4[MATIERE],Tableau4[SHORT TYPE],"",0,1)</f>
        <v/>
      </c>
      <c r="N11169">
        <f>IF(ISERR(FIND("DECOUPE",Tableau1[[#This Row],[DESIGNATION]])),"","NEED REF")</f>
        <v/>
      </c>
    </row>
    <row r="11170">
      <c r="B11170" t="n">
        <v>34402836</v>
      </c>
      <c r="C11170" s="2" t="n">
        <v>41096</v>
      </c>
      <c r="D11170" t="inlineStr">
        <is>
          <t>SPEC</t>
        </is>
      </c>
      <c r="E11170" t="inlineStr">
        <is>
          <t>CONNEXION HAUTE PHASE 1 - 1 Q4S</t>
        </is>
      </c>
      <c r="F11170" t="inlineStr">
        <is>
          <t>NS 4000A Banque de France</t>
        </is>
      </c>
      <c r="J11170" t="inlineStr">
        <is>
          <t>Civetta</t>
        </is>
      </c>
      <c r="L11170">
        <f>_xlfn.XLOOKUP(Tableau1[[#This Row],[TYPE DE PIECE]],Tableau4[MATIERE],Tableau4[SHORT TYPE],"",0,1)</f>
        <v/>
      </c>
      <c r="N11170">
        <f>IF(ISERR(FIND("DECOUPE",Tableau1[[#This Row],[DESIGNATION]])),"","NEED REF")</f>
        <v/>
      </c>
    </row>
    <row r="11171">
      <c r="B11171" t="n">
        <v>34402835</v>
      </c>
      <c r="C11171" s="2" t="n">
        <v>41096</v>
      </c>
      <c r="D11171" t="inlineStr">
        <is>
          <t>SPEC</t>
        </is>
      </c>
      <c r="E11171" t="inlineStr">
        <is>
          <t>CONNEXION HAUTE PHASE 1/2/3 - 1</t>
        </is>
      </c>
      <c r="F11171" t="inlineStr">
        <is>
          <t>NS 4000A Banque de France</t>
        </is>
      </c>
      <c r="J11171" t="inlineStr">
        <is>
          <t>Civetta</t>
        </is>
      </c>
      <c r="L11171">
        <f>_xlfn.XLOOKUP(Tableau1[[#This Row],[TYPE DE PIECE]],Tableau4[MATIERE],Tableau4[SHORT TYPE],"",0,1)</f>
        <v/>
      </c>
      <c r="N11171">
        <f>IF(ISERR(FIND("DECOUPE",Tableau1[[#This Row],[DESIGNATION]])),"","NEED REF")</f>
        <v/>
      </c>
    </row>
    <row r="11172">
      <c r="B11172" t="n">
        <v>34402834</v>
      </c>
      <c r="C11172" s="2" t="n">
        <v>41096</v>
      </c>
      <c r="D11172" t="inlineStr">
        <is>
          <t>SPEC</t>
        </is>
      </c>
      <c r="E11172" t="inlineStr">
        <is>
          <t>ENTRETOISE 100 X 100</t>
        </is>
      </c>
      <c r="F11172" t="inlineStr">
        <is>
          <t>NS 4000A Banque de France</t>
        </is>
      </c>
      <c r="J11172" t="inlineStr">
        <is>
          <t>Civetta</t>
        </is>
      </c>
      <c r="L11172">
        <f>_xlfn.XLOOKUP(Tableau1[[#This Row],[TYPE DE PIECE]],Tableau4[MATIERE],Tableau4[SHORT TYPE],"",0,1)</f>
        <v/>
      </c>
      <c r="N11172">
        <f>IF(ISERR(FIND("DECOUPE",Tableau1[[#This Row],[DESIGNATION]])),"","NEED REF")</f>
        <v/>
      </c>
    </row>
    <row r="11173">
      <c r="B11173" t="n">
        <v>34402833</v>
      </c>
      <c r="C11173" s="2" t="n">
        <v>41096</v>
      </c>
      <c r="D11173" t="inlineStr">
        <is>
          <t>SPEC</t>
        </is>
      </c>
      <c r="E11173" t="inlineStr">
        <is>
          <t>ENTRETOISE 160 X 50</t>
        </is>
      </c>
      <c r="F11173" t="inlineStr">
        <is>
          <t>NS 4000A Banque de France</t>
        </is>
      </c>
      <c r="J11173" t="inlineStr">
        <is>
          <t>Civetta</t>
        </is>
      </c>
      <c r="L11173">
        <f>_xlfn.XLOOKUP(Tableau1[[#This Row],[TYPE DE PIECE]],Tableau4[MATIERE],Tableau4[SHORT TYPE],"",0,1)</f>
        <v/>
      </c>
      <c r="N11173">
        <f>IF(ISERR(FIND("DECOUPE",Tableau1[[#This Row],[DESIGNATION]])),"","NEED REF")</f>
        <v/>
      </c>
    </row>
    <row r="11174">
      <c r="B11174" t="n">
        <v>34402832</v>
      </c>
      <c r="C11174" s="2" t="n">
        <v>41096</v>
      </c>
      <c r="D11174" t="inlineStr">
        <is>
          <t>SPEC</t>
        </is>
      </c>
      <c r="E11174" t="inlineStr">
        <is>
          <t>BUSBAR SORTANT PHASE 3 - 1</t>
        </is>
      </c>
      <c r="F11174" t="inlineStr">
        <is>
          <t>NS 4000A Banque de France</t>
        </is>
      </c>
      <c r="J11174" t="inlineStr">
        <is>
          <t>Civetta</t>
        </is>
      </c>
      <c r="L11174">
        <f>_xlfn.XLOOKUP(Tableau1[[#This Row],[TYPE DE PIECE]],Tableau4[MATIERE],Tableau4[SHORT TYPE],"",0,1)</f>
        <v/>
      </c>
      <c r="N11174">
        <f>IF(ISERR(FIND("DECOUPE",Tableau1[[#This Row],[DESIGNATION]])),"","NEED REF")</f>
        <v/>
      </c>
    </row>
    <row r="11175">
      <c r="B11175" t="n">
        <v>34402831</v>
      </c>
      <c r="C11175" s="2" t="n">
        <v>41096</v>
      </c>
      <c r="D11175" t="inlineStr">
        <is>
          <t>SPEC</t>
        </is>
      </c>
      <c r="E11175" t="inlineStr">
        <is>
          <t>BUSBAR SORTANT PHASE 3 - 2</t>
        </is>
      </c>
      <c r="F11175" t="inlineStr">
        <is>
          <t>NS 4000A Banque de France</t>
        </is>
      </c>
      <c r="J11175" t="inlineStr">
        <is>
          <t>Civetta</t>
        </is>
      </c>
      <c r="L11175">
        <f>_xlfn.XLOOKUP(Tableau1[[#This Row],[TYPE DE PIECE]],Tableau4[MATIERE],Tableau4[SHORT TYPE],"",0,1)</f>
        <v/>
      </c>
      <c r="N11175">
        <f>IF(ISERR(FIND("DECOUPE",Tableau1[[#This Row],[DESIGNATION]])),"","NEED REF")</f>
        <v/>
      </c>
    </row>
    <row r="11176">
      <c r="B11176" t="n">
        <v>34402830</v>
      </c>
      <c r="C11176" s="2" t="n">
        <v>41096</v>
      </c>
      <c r="D11176" t="inlineStr">
        <is>
          <t>SPEC</t>
        </is>
      </c>
      <c r="E11176" t="inlineStr">
        <is>
          <t>BUSBAR SORTANT PHASE 1 - 1</t>
        </is>
      </c>
      <c r="F11176" t="inlineStr">
        <is>
          <t>NS 4000A Banque de France</t>
        </is>
      </c>
      <c r="J11176" t="inlineStr">
        <is>
          <t>Civetta</t>
        </is>
      </c>
      <c r="L11176">
        <f>_xlfn.XLOOKUP(Tableau1[[#This Row],[TYPE DE PIECE]],Tableau4[MATIERE],Tableau4[SHORT TYPE],"",0,1)</f>
        <v/>
      </c>
      <c r="N11176">
        <f>IF(ISERR(FIND("DECOUPE",Tableau1[[#This Row],[DESIGNATION]])),"","NEED REF")</f>
        <v/>
      </c>
    </row>
    <row r="11177">
      <c r="B11177" t="n">
        <v>34402829</v>
      </c>
      <c r="C11177" s="2" t="n">
        <v>41096</v>
      </c>
      <c r="D11177" t="inlineStr">
        <is>
          <t>SPEC</t>
        </is>
      </c>
      <c r="E11177" t="inlineStr">
        <is>
          <t>BUSBAR TRAVERSANT PEN 1</t>
        </is>
      </c>
      <c r="F11177" t="inlineStr">
        <is>
          <t>NS 4000A Banque de France</t>
        </is>
      </c>
      <c r="J11177" t="inlineStr">
        <is>
          <t>Civetta</t>
        </is>
      </c>
      <c r="L11177">
        <f>_xlfn.XLOOKUP(Tableau1[[#This Row],[TYPE DE PIECE]],Tableau4[MATIERE],Tableau4[SHORT TYPE],"",0,1)</f>
        <v/>
      </c>
      <c r="N11177">
        <f>IF(ISERR(FIND("DECOUPE",Tableau1[[#This Row],[DESIGNATION]])),"","NEED REF")</f>
        <v/>
      </c>
    </row>
    <row r="11178">
      <c r="B11178" t="n">
        <v>34402828</v>
      </c>
      <c r="C11178" s="2" t="n">
        <v>41096</v>
      </c>
      <c r="D11178" t="inlineStr">
        <is>
          <t>SPEC</t>
        </is>
      </c>
      <c r="E11178" t="inlineStr">
        <is>
          <t>TRAVERSE SUPPORT BUSBAR</t>
        </is>
      </c>
      <c r="F11178" t="inlineStr">
        <is>
          <t>NS 4000A Banque de France</t>
        </is>
      </c>
      <c r="J11178" t="inlineStr">
        <is>
          <t>Civetta</t>
        </is>
      </c>
      <c r="L11178">
        <f>_xlfn.XLOOKUP(Tableau1[[#This Row],[TYPE DE PIECE]],Tableau4[MATIERE],Tableau4[SHORT TYPE],"",0,1)</f>
        <v/>
      </c>
      <c r="N11178">
        <f>IF(ISERR(FIND("DECOUPE",Tableau1[[#This Row],[DESIGNATION]])),"","NEED REF")</f>
        <v/>
      </c>
    </row>
    <row r="11179">
      <c r="B11179" t="n">
        <v>34402827</v>
      </c>
      <c r="C11179" s="2" t="n">
        <v>41096</v>
      </c>
      <c r="D11179" t="inlineStr">
        <is>
          <t>SPEC</t>
        </is>
      </c>
      <c r="E11179" t="inlineStr">
        <is>
          <t>BUSBAR PEN ENTRANT 2</t>
        </is>
      </c>
      <c r="F11179" t="inlineStr">
        <is>
          <t>NS 4000A Banque de France</t>
        </is>
      </c>
      <c r="J11179" t="inlineStr">
        <is>
          <t>Civetta</t>
        </is>
      </c>
      <c r="L11179">
        <f>_xlfn.XLOOKUP(Tableau1[[#This Row],[TYPE DE PIECE]],Tableau4[MATIERE],Tableau4[SHORT TYPE],"",0,1)</f>
        <v/>
      </c>
      <c r="N11179">
        <f>IF(ISERR(FIND("DECOUPE",Tableau1[[#This Row],[DESIGNATION]])),"","NEED REF")</f>
        <v/>
      </c>
    </row>
    <row r="11180">
      <c r="B11180" t="n">
        <v>34402826</v>
      </c>
      <c r="C11180" s="2" t="n">
        <v>41096</v>
      </c>
      <c r="D11180" t="inlineStr">
        <is>
          <t>SPEC</t>
        </is>
      </c>
      <c r="E11180" t="inlineStr">
        <is>
          <t>BUSBAR PEN ENTRANT 1</t>
        </is>
      </c>
      <c r="F11180" t="inlineStr">
        <is>
          <t>NS 4000A Banque de France</t>
        </is>
      </c>
      <c r="J11180" t="inlineStr">
        <is>
          <t>Civetta</t>
        </is>
      </c>
      <c r="L11180">
        <f>_xlfn.XLOOKUP(Tableau1[[#This Row],[TYPE DE PIECE]],Tableau4[MATIERE],Tableau4[SHORT TYPE],"",0,1)</f>
        <v/>
      </c>
      <c r="N11180">
        <f>IF(ISERR(FIND("DECOUPE",Tableau1[[#This Row],[DESIGNATION]])),"","NEED REF")</f>
        <v/>
      </c>
    </row>
    <row r="11181">
      <c r="B11181" t="n">
        <v>34402825</v>
      </c>
      <c r="C11181" s="2" t="n">
        <v>41096</v>
      </c>
      <c r="D11181" t="inlineStr">
        <is>
          <t>SPEC</t>
        </is>
      </c>
      <c r="E11181" t="inlineStr">
        <is>
          <t>BUSBAR TRAVERSANT PHASE 1/2/3 - 1</t>
        </is>
      </c>
      <c r="F11181" t="inlineStr">
        <is>
          <t>NS 4000A Banque de France</t>
        </is>
      </c>
      <c r="J11181" t="inlineStr">
        <is>
          <t>Civetta</t>
        </is>
      </c>
      <c r="L11181">
        <f>_xlfn.XLOOKUP(Tableau1[[#This Row],[TYPE DE PIECE]],Tableau4[MATIERE],Tableau4[SHORT TYPE],"",0,1)</f>
        <v/>
      </c>
      <c r="N11181">
        <f>IF(ISERR(FIND("DECOUPE",Tableau1[[#This Row],[DESIGNATION]])),"","NEED REF")</f>
        <v/>
      </c>
    </row>
    <row r="11182">
      <c r="B11182" t="n">
        <v>34402824</v>
      </c>
      <c r="C11182" s="2" t="n">
        <v>41096</v>
      </c>
      <c r="D11182" t="inlineStr">
        <is>
          <t>SPEC</t>
        </is>
      </c>
      <c r="E11182" t="inlineStr">
        <is>
          <t>BUSBAR TRAVERSANT PHASE 1/2/3 - 2</t>
        </is>
      </c>
      <c r="F11182" t="inlineStr">
        <is>
          <t>NS 4000A Banque de France</t>
        </is>
      </c>
      <c r="J11182" t="inlineStr">
        <is>
          <t>Civetta</t>
        </is>
      </c>
      <c r="L11182">
        <f>_xlfn.XLOOKUP(Tableau1[[#This Row],[TYPE DE PIECE]],Tableau4[MATIERE],Tableau4[SHORT TYPE],"",0,1)</f>
        <v/>
      </c>
      <c r="N11182">
        <f>IF(ISERR(FIND("DECOUPE",Tableau1[[#This Row],[DESIGNATION]])),"","NEED REF")</f>
        <v/>
      </c>
    </row>
    <row r="11183">
      <c r="B11183" t="n">
        <v>34402823</v>
      </c>
      <c r="C11183" s="2" t="n">
        <v>41096</v>
      </c>
      <c r="D11183" t="inlineStr">
        <is>
          <t>SPEC</t>
        </is>
      </c>
      <c r="E11183" t="inlineStr">
        <is>
          <t>CONNEXION HAUTE PHASE 2 - 1 Q4S</t>
        </is>
      </c>
      <c r="F11183" t="inlineStr">
        <is>
          <t>NS 4000A Banque de France</t>
        </is>
      </c>
      <c r="J11183" t="inlineStr">
        <is>
          <t>Civetta</t>
        </is>
      </c>
      <c r="L11183">
        <f>_xlfn.XLOOKUP(Tableau1[[#This Row],[TYPE DE PIECE]],Tableau4[MATIERE],Tableau4[SHORT TYPE],"",0,1)</f>
        <v/>
      </c>
      <c r="N11183">
        <f>IF(ISERR(FIND("DECOUPE",Tableau1[[#This Row],[DESIGNATION]])),"","NEED REF")</f>
        <v/>
      </c>
    </row>
    <row r="11184">
      <c r="B11184" t="n">
        <v>34402822</v>
      </c>
      <c r="C11184" s="2" t="n">
        <v>41096</v>
      </c>
      <c r="D11184" t="inlineStr">
        <is>
          <t>SPEC</t>
        </is>
      </c>
      <c r="E11184" t="inlineStr">
        <is>
          <t>CONNEXION HAUTE PHASE 2 - 2 Q4S</t>
        </is>
      </c>
      <c r="F11184" t="inlineStr">
        <is>
          <t>NS 4000A Banque de France</t>
        </is>
      </c>
      <c r="J11184" t="inlineStr">
        <is>
          <t>Civetta</t>
        </is>
      </c>
      <c r="L11184">
        <f>_xlfn.XLOOKUP(Tableau1[[#This Row],[TYPE DE PIECE]],Tableau4[MATIERE],Tableau4[SHORT TYPE],"",0,1)</f>
        <v/>
      </c>
      <c r="N11184">
        <f>IF(ISERR(FIND("DECOUPE",Tableau1[[#This Row],[DESIGNATION]])),"","NEED REF")</f>
        <v/>
      </c>
    </row>
    <row r="11185">
      <c r="B11185" t="n">
        <v>34402821</v>
      </c>
      <c r="C11185" s="2" t="n">
        <v>41096</v>
      </c>
      <c r="D11185" t="inlineStr">
        <is>
          <t>SPEC</t>
        </is>
      </c>
      <c r="E11185" t="inlineStr">
        <is>
          <t>CONNEXION HAUTE Q3BP PHASE 1 -1</t>
        </is>
      </c>
      <c r="F11185" t="inlineStr">
        <is>
          <t>NS 4000A Banque de France</t>
        </is>
      </c>
      <c r="J11185" t="inlineStr">
        <is>
          <t>Civetta</t>
        </is>
      </c>
      <c r="L11185">
        <f>_xlfn.XLOOKUP(Tableau1[[#This Row],[TYPE DE PIECE]],Tableau4[MATIERE],Tableau4[SHORT TYPE],"",0,1)</f>
        <v/>
      </c>
      <c r="N11185">
        <f>IF(ISERR(FIND("DECOUPE",Tableau1[[#This Row],[DESIGNATION]])),"","NEED REF")</f>
        <v/>
      </c>
    </row>
    <row r="11186">
      <c r="B11186" t="n">
        <v>34402820</v>
      </c>
      <c r="C11186" s="2" t="n">
        <v>41096</v>
      </c>
      <c r="D11186" t="inlineStr">
        <is>
          <t>SPEC</t>
        </is>
      </c>
      <c r="E11186" t="inlineStr">
        <is>
          <t>CONNEXION HAUTE Q3BP PHASE 1 -2</t>
        </is>
      </c>
      <c r="F11186" t="inlineStr">
        <is>
          <t>NS 4000A Banque de France</t>
        </is>
      </c>
      <c r="J11186" t="inlineStr">
        <is>
          <t>Civetta</t>
        </is>
      </c>
      <c r="L11186">
        <f>_xlfn.XLOOKUP(Tableau1[[#This Row],[TYPE DE PIECE]],Tableau4[MATIERE],Tableau4[SHORT TYPE],"",0,1)</f>
        <v/>
      </c>
      <c r="N11186">
        <f>IF(ISERR(FIND("DECOUPE",Tableau1[[#This Row],[DESIGNATION]])),"","NEED REF")</f>
        <v/>
      </c>
    </row>
    <row r="11187">
      <c r="B11187" t="n">
        <v>34402819</v>
      </c>
      <c r="C11187" s="2" t="n">
        <v>41096</v>
      </c>
      <c r="D11187" t="inlineStr">
        <is>
          <t>SPEC</t>
        </is>
      </c>
      <c r="E11187" t="inlineStr">
        <is>
          <t>CONNEXION HAUTE Q3BP PHASE 2 - 1</t>
        </is>
      </c>
      <c r="F11187" t="inlineStr">
        <is>
          <t>NS 4000A Banque de France</t>
        </is>
      </c>
      <c r="J11187" t="inlineStr">
        <is>
          <t>Civetta</t>
        </is>
      </c>
      <c r="L11187">
        <f>_xlfn.XLOOKUP(Tableau1[[#This Row],[TYPE DE PIECE]],Tableau4[MATIERE],Tableau4[SHORT TYPE],"",0,1)</f>
        <v/>
      </c>
      <c r="N11187">
        <f>IF(ISERR(FIND("DECOUPE",Tableau1[[#This Row],[DESIGNATION]])),"","NEED REF")</f>
        <v/>
      </c>
    </row>
    <row r="11188">
      <c r="B11188" t="n">
        <v>34402818</v>
      </c>
      <c r="C11188" s="2" t="n">
        <v>41096</v>
      </c>
      <c r="D11188" t="inlineStr">
        <is>
          <t>SPEC</t>
        </is>
      </c>
      <c r="E11188" t="inlineStr">
        <is>
          <t>CONNEXION HAUTE Q3BP PHASE 2 - 2</t>
        </is>
      </c>
      <c r="F11188" t="inlineStr">
        <is>
          <t>NS 4000A Banque de France</t>
        </is>
      </c>
      <c r="J11188" t="inlineStr">
        <is>
          <t>Civetta</t>
        </is>
      </c>
      <c r="L11188">
        <f>_xlfn.XLOOKUP(Tableau1[[#This Row],[TYPE DE PIECE]],Tableau4[MATIERE],Tableau4[SHORT TYPE],"",0,1)</f>
        <v/>
      </c>
      <c r="N11188">
        <f>IF(ISERR(FIND("DECOUPE",Tableau1[[#This Row],[DESIGNATION]])),"","NEED REF")</f>
        <v/>
      </c>
    </row>
    <row r="11189">
      <c r="B11189" t="n">
        <v>34402817</v>
      </c>
      <c r="C11189" s="2" t="n">
        <v>41096</v>
      </c>
      <c r="D11189" t="inlineStr">
        <is>
          <t>SPEC</t>
        </is>
      </c>
      <c r="E11189" t="inlineStr">
        <is>
          <t>CONNEXION HAUTE Q3BP PHASE 3 - 1</t>
        </is>
      </c>
      <c r="F11189" t="inlineStr">
        <is>
          <t>NS 4000A Banque de France</t>
        </is>
      </c>
      <c r="J11189" t="inlineStr">
        <is>
          <t>Civetta</t>
        </is>
      </c>
      <c r="L11189">
        <f>_xlfn.XLOOKUP(Tableau1[[#This Row],[TYPE DE PIECE]],Tableau4[MATIERE],Tableau4[SHORT TYPE],"",0,1)</f>
        <v/>
      </c>
      <c r="N11189">
        <f>IF(ISERR(FIND("DECOUPE",Tableau1[[#This Row],[DESIGNATION]])),"","NEED REF")</f>
        <v/>
      </c>
    </row>
    <row r="11190">
      <c r="B11190" t="n">
        <v>34402816</v>
      </c>
      <c r="C11190" s="2" t="n">
        <v>41096</v>
      </c>
      <c r="D11190" t="inlineStr">
        <is>
          <t>SPEC</t>
        </is>
      </c>
      <c r="E11190" t="inlineStr">
        <is>
          <t>CONNEXION HAUTE Q3BP PHASE 3 - 2</t>
        </is>
      </c>
      <c r="F11190" t="inlineStr">
        <is>
          <t>NS 4000A Banque de France</t>
        </is>
      </c>
      <c r="J11190" t="inlineStr">
        <is>
          <t>Civetta</t>
        </is>
      </c>
      <c r="L11190">
        <f>_xlfn.XLOOKUP(Tableau1[[#This Row],[TYPE DE PIECE]],Tableau4[MATIERE],Tableau4[SHORT TYPE],"",0,1)</f>
        <v/>
      </c>
      <c r="N11190">
        <f>IF(ISERR(FIND("DECOUPE",Tableau1[[#This Row],[DESIGNATION]])),"","NEED REF")</f>
        <v/>
      </c>
    </row>
    <row r="11191">
      <c r="B11191" t="n">
        <v>34402815</v>
      </c>
      <c r="C11191" s="2" t="n">
        <v>41096</v>
      </c>
      <c r="D11191" t="inlineStr">
        <is>
          <t>SPEC</t>
        </is>
      </c>
      <c r="E11191" t="inlineStr">
        <is>
          <t>BUSBAR TRAVERSANT PHASE 1 - 1</t>
        </is>
      </c>
      <c r="F11191" t="inlineStr">
        <is>
          <t>NS 4000A Banque de France</t>
        </is>
      </c>
      <c r="J11191" t="inlineStr">
        <is>
          <t>Civetta</t>
        </is>
      </c>
      <c r="L11191">
        <f>_xlfn.XLOOKUP(Tableau1[[#This Row],[TYPE DE PIECE]],Tableau4[MATIERE],Tableau4[SHORT TYPE],"",0,1)</f>
        <v/>
      </c>
      <c r="N11191">
        <f>IF(ISERR(FIND("DECOUPE",Tableau1[[#This Row],[DESIGNATION]])),"","NEED REF")</f>
        <v/>
      </c>
    </row>
    <row r="11192">
      <c r="B11192" t="n">
        <v>34402814</v>
      </c>
      <c r="C11192" s="2" t="n">
        <v>41096</v>
      </c>
      <c r="D11192" t="inlineStr">
        <is>
          <t>SPEC</t>
        </is>
      </c>
      <c r="E11192" t="inlineStr">
        <is>
          <t>BUSBAR TRAVERSANT PHASE 1 - 2</t>
        </is>
      </c>
      <c r="F11192" t="inlineStr">
        <is>
          <t>NS 4000A Banque de France</t>
        </is>
      </c>
      <c r="J11192" t="inlineStr">
        <is>
          <t>Civetta</t>
        </is>
      </c>
      <c r="L11192">
        <f>_xlfn.XLOOKUP(Tableau1[[#This Row],[TYPE DE PIECE]],Tableau4[MATIERE],Tableau4[SHORT TYPE],"",0,1)</f>
        <v/>
      </c>
      <c r="N11192">
        <f>IF(ISERR(FIND("DECOUPE",Tableau1[[#This Row],[DESIGNATION]])),"","NEED REF")</f>
        <v/>
      </c>
    </row>
    <row r="11193">
      <c r="B11193" t="n">
        <v>34402813</v>
      </c>
      <c r="C11193" s="2" t="n">
        <v>41096</v>
      </c>
      <c r="D11193" t="inlineStr">
        <is>
          <t>SPEC</t>
        </is>
      </c>
      <c r="E11193" t="inlineStr">
        <is>
          <t>BUSBAR TRAVERSANT PHASE 2 - 1</t>
        </is>
      </c>
      <c r="F11193" t="inlineStr">
        <is>
          <t>NS 4000A Banque de France</t>
        </is>
      </c>
      <c r="J11193" t="inlineStr">
        <is>
          <t>Civetta</t>
        </is>
      </c>
      <c r="L11193">
        <f>_xlfn.XLOOKUP(Tableau1[[#This Row],[TYPE DE PIECE]],Tableau4[MATIERE],Tableau4[SHORT TYPE],"",0,1)</f>
        <v/>
      </c>
      <c r="N11193">
        <f>IF(ISERR(FIND("DECOUPE",Tableau1[[#This Row],[DESIGNATION]])),"","NEED REF")</f>
        <v/>
      </c>
    </row>
    <row r="11194">
      <c r="B11194" t="n">
        <v>34402812</v>
      </c>
      <c r="C11194" s="2" t="n">
        <v>41096</v>
      </c>
      <c r="D11194" t="inlineStr">
        <is>
          <t>SPEC</t>
        </is>
      </c>
      <c r="E11194" t="inlineStr">
        <is>
          <t>BUSBAR TRAVERSANT PHASE 2 - 2</t>
        </is>
      </c>
      <c r="F11194" t="inlineStr">
        <is>
          <t>NS 4000A Banque de France</t>
        </is>
      </c>
      <c r="J11194" t="inlineStr">
        <is>
          <t>Civetta</t>
        </is>
      </c>
      <c r="L11194">
        <f>_xlfn.XLOOKUP(Tableau1[[#This Row],[TYPE DE PIECE]],Tableau4[MATIERE],Tableau4[SHORT TYPE],"",0,1)</f>
        <v/>
      </c>
      <c r="N11194">
        <f>IF(ISERR(FIND("DECOUPE",Tableau1[[#This Row],[DESIGNATION]])),"","NEED REF")</f>
        <v/>
      </c>
    </row>
    <row r="11195">
      <c r="B11195" t="n">
        <v>34402811</v>
      </c>
      <c r="C11195" s="2" t="n">
        <v>41096</v>
      </c>
      <c r="D11195" t="inlineStr">
        <is>
          <t>SPEC</t>
        </is>
      </c>
      <c r="E11195" t="inlineStr">
        <is>
          <t>CROSS BUSBAR PHASE 3 - 1</t>
        </is>
      </c>
      <c r="F11195" t="inlineStr">
        <is>
          <t>NS 4000A Banque de France</t>
        </is>
      </c>
      <c r="J11195" t="inlineStr">
        <is>
          <t>Civetta</t>
        </is>
      </c>
      <c r="L11195">
        <f>_xlfn.XLOOKUP(Tableau1[[#This Row],[TYPE DE PIECE]],Tableau4[MATIERE],Tableau4[SHORT TYPE],"",0,1)</f>
        <v/>
      </c>
      <c r="N11195">
        <f>IF(ISERR(FIND("DECOUPE",Tableau1[[#This Row],[DESIGNATION]])),"","NEED REF")</f>
        <v/>
      </c>
    </row>
    <row r="11196">
      <c r="B11196" t="n">
        <v>34402810</v>
      </c>
      <c r="C11196" s="2" t="n">
        <v>41096</v>
      </c>
      <c r="D11196" t="inlineStr">
        <is>
          <t>SPEC</t>
        </is>
      </c>
      <c r="E11196" t="inlineStr">
        <is>
          <t>CROSS BUSBAR PHASE 3 - 2</t>
        </is>
      </c>
      <c r="F11196" t="inlineStr">
        <is>
          <t>NS 4000A Banque de France</t>
        </is>
      </c>
      <c r="J11196" t="inlineStr">
        <is>
          <t>Civetta</t>
        </is>
      </c>
      <c r="L11196">
        <f>_xlfn.XLOOKUP(Tableau1[[#This Row],[TYPE DE PIECE]],Tableau4[MATIERE],Tableau4[SHORT TYPE],"",0,1)</f>
        <v/>
      </c>
      <c r="N11196">
        <f>IF(ISERR(FIND("DECOUPE",Tableau1[[#This Row],[DESIGNATION]])),"","NEED REF")</f>
        <v/>
      </c>
    </row>
    <row r="11197">
      <c r="B11197" t="n">
        <v>34402809</v>
      </c>
      <c r="C11197" s="2" t="n">
        <v>41096</v>
      </c>
      <c r="D11197" t="inlineStr">
        <is>
          <t>SPEC</t>
        </is>
      </c>
      <c r="E11197" t="inlineStr">
        <is>
          <t>OUTGOING BUSBAR PHASE 3 - 3</t>
        </is>
      </c>
      <c r="F11197" t="inlineStr">
        <is>
          <t>NS 4000A Banque de France</t>
        </is>
      </c>
      <c r="J11197" t="inlineStr">
        <is>
          <t>Civetta</t>
        </is>
      </c>
      <c r="L11197">
        <f>_xlfn.XLOOKUP(Tableau1[[#This Row],[TYPE DE PIECE]],Tableau4[MATIERE],Tableau4[SHORT TYPE],"",0,1)</f>
        <v/>
      </c>
      <c r="N11197">
        <f>IF(ISERR(FIND("DECOUPE",Tableau1[[#This Row],[DESIGNATION]])),"","NEED REF")</f>
        <v/>
      </c>
    </row>
    <row r="11198">
      <c r="B11198" t="n">
        <v>34402808</v>
      </c>
      <c r="C11198" s="2" t="n">
        <v>41096</v>
      </c>
      <c r="D11198" t="inlineStr">
        <is>
          <t>SPEC</t>
        </is>
      </c>
      <c r="E11198" t="inlineStr">
        <is>
          <t>OUTGOING BUSBAR PHASE 3 - 4</t>
        </is>
      </c>
      <c r="F11198" t="inlineStr">
        <is>
          <t>NS 4000A Banque de France</t>
        </is>
      </c>
      <c r="J11198" t="inlineStr">
        <is>
          <t>Civetta</t>
        </is>
      </c>
      <c r="L11198">
        <f>_xlfn.XLOOKUP(Tableau1[[#This Row],[TYPE DE PIECE]],Tableau4[MATIERE],Tableau4[SHORT TYPE],"",0,1)</f>
        <v/>
      </c>
      <c r="N11198">
        <f>IF(ISERR(FIND("DECOUPE",Tableau1[[#This Row],[DESIGNATION]])),"","NEED REF")</f>
        <v/>
      </c>
    </row>
    <row r="11199">
      <c r="B11199" t="n">
        <v>34402807</v>
      </c>
      <c r="C11199" s="2" t="n">
        <v>41096</v>
      </c>
      <c r="D11199" t="inlineStr">
        <is>
          <t>SPEC</t>
        </is>
      </c>
      <c r="E11199" t="inlineStr">
        <is>
          <t>OUTGOING BUSBAR PHASE 1/2/3 - 1</t>
        </is>
      </c>
      <c r="F11199" t="inlineStr">
        <is>
          <t>NS 4000A Banque de France</t>
        </is>
      </c>
      <c r="J11199" t="inlineStr">
        <is>
          <t>Civetta</t>
        </is>
      </c>
      <c r="L11199">
        <f>_xlfn.XLOOKUP(Tableau1[[#This Row],[TYPE DE PIECE]],Tableau4[MATIERE],Tableau4[SHORT TYPE],"",0,1)</f>
        <v/>
      </c>
      <c r="N11199">
        <f>IF(ISERR(FIND("DECOUPE",Tableau1[[#This Row],[DESIGNATION]])),"","NEED REF")</f>
        <v/>
      </c>
    </row>
    <row r="11200">
      <c r="B11200" t="n">
        <v>34402806</v>
      </c>
      <c r="C11200" s="2" t="n">
        <v>41096</v>
      </c>
      <c r="D11200" t="inlineStr">
        <is>
          <t>SPEC</t>
        </is>
      </c>
      <c r="E11200" t="inlineStr">
        <is>
          <t>LOWER CONNECTION PHASE 3 - 1 Q5N</t>
        </is>
      </c>
      <c r="F11200" t="inlineStr">
        <is>
          <t>NS 4000A Banque de France</t>
        </is>
      </c>
      <c r="J11200" t="inlineStr">
        <is>
          <t>Civetta</t>
        </is>
      </c>
      <c r="L11200">
        <f>_xlfn.XLOOKUP(Tableau1[[#This Row],[TYPE DE PIECE]],Tableau4[MATIERE],Tableau4[SHORT TYPE],"",0,1)</f>
        <v/>
      </c>
      <c r="N11200">
        <f>IF(ISERR(FIND("DECOUPE",Tableau1[[#This Row],[DESIGNATION]])),"","NEED REF")</f>
        <v/>
      </c>
    </row>
    <row r="11201">
      <c r="B11201" t="n">
        <v>34402805</v>
      </c>
      <c r="C11201" s="2" t="n">
        <v>41096</v>
      </c>
      <c r="D11201" t="inlineStr">
        <is>
          <t>SPEC</t>
        </is>
      </c>
      <c r="E11201" t="inlineStr">
        <is>
          <t>LOWER CONNECTION PHASE 3 - 2 Q5N</t>
        </is>
      </c>
      <c r="F11201" t="inlineStr">
        <is>
          <t>NS 4000A Banque de France</t>
        </is>
      </c>
      <c r="J11201" t="inlineStr">
        <is>
          <t>Civetta</t>
        </is>
      </c>
      <c r="L11201">
        <f>_xlfn.XLOOKUP(Tableau1[[#This Row],[TYPE DE PIECE]],Tableau4[MATIERE],Tableau4[SHORT TYPE],"",0,1)</f>
        <v/>
      </c>
      <c r="N11201">
        <f>IF(ISERR(FIND("DECOUPE",Tableau1[[#This Row],[DESIGNATION]])),"","NEED REF")</f>
        <v/>
      </c>
    </row>
    <row r="11202">
      <c r="B11202" t="n">
        <v>34402804</v>
      </c>
      <c r="C11202" s="2" t="n">
        <v>41096</v>
      </c>
      <c r="D11202" t="inlineStr">
        <is>
          <t>SPEC</t>
        </is>
      </c>
      <c r="E11202" t="inlineStr">
        <is>
          <t>LOWER CONNECTION PHASE 3 - 3 Q5N</t>
        </is>
      </c>
      <c r="F11202" t="inlineStr">
        <is>
          <t>NS 4000A Banque de France</t>
        </is>
      </c>
      <c r="J11202" t="inlineStr">
        <is>
          <t>Civetta</t>
        </is>
      </c>
      <c r="L11202">
        <f>_xlfn.XLOOKUP(Tableau1[[#This Row],[TYPE DE PIECE]],Tableau4[MATIERE],Tableau4[SHORT TYPE],"",0,1)</f>
        <v/>
      </c>
      <c r="N11202">
        <f>IF(ISERR(FIND("DECOUPE",Tableau1[[#This Row],[DESIGNATION]])),"","NEED REF")</f>
        <v/>
      </c>
    </row>
    <row r="11203">
      <c r="B11203" t="n">
        <v>34402803</v>
      </c>
      <c r="C11203" s="2" t="n">
        <v>41096</v>
      </c>
      <c r="D11203" t="inlineStr">
        <is>
          <t>SPEC</t>
        </is>
      </c>
      <c r="E11203" t="inlineStr">
        <is>
          <t>LOWER CONNECTION PHASE 1 - 3 Q5N</t>
        </is>
      </c>
      <c r="F11203" t="inlineStr">
        <is>
          <t>NS 4000A Banque de France</t>
        </is>
      </c>
      <c r="J11203" t="inlineStr">
        <is>
          <t>Civetta</t>
        </is>
      </c>
      <c r="L11203">
        <f>_xlfn.XLOOKUP(Tableau1[[#This Row],[TYPE DE PIECE]],Tableau4[MATIERE],Tableau4[SHORT TYPE],"",0,1)</f>
        <v/>
      </c>
      <c r="N11203">
        <f>IF(ISERR(FIND("DECOUPE",Tableau1[[#This Row],[DESIGNATION]])),"","NEED REF")</f>
        <v/>
      </c>
    </row>
    <row r="11204">
      <c r="B11204" t="n">
        <v>34402802</v>
      </c>
      <c r="C11204" s="2" t="n">
        <v>41096</v>
      </c>
      <c r="D11204" t="inlineStr">
        <is>
          <t>SPEC</t>
        </is>
      </c>
      <c r="E11204" t="inlineStr">
        <is>
          <t>LOWER CONNECTION PHASE 1 - 1 Q5N</t>
        </is>
      </c>
      <c r="F11204" t="inlineStr">
        <is>
          <t>NS 4000A Banque de France</t>
        </is>
      </c>
      <c r="J11204" t="inlineStr">
        <is>
          <t>Civetta</t>
        </is>
      </c>
      <c r="L11204">
        <f>_xlfn.XLOOKUP(Tableau1[[#This Row],[TYPE DE PIECE]],Tableau4[MATIERE],Tableau4[SHORT TYPE],"",0,1)</f>
        <v/>
      </c>
      <c r="N11204">
        <f>IF(ISERR(FIND("DECOUPE",Tableau1[[#This Row],[DESIGNATION]])),"","NEED REF")</f>
        <v/>
      </c>
    </row>
    <row r="11205">
      <c r="B11205" t="n">
        <v>34402801</v>
      </c>
      <c r="C11205" s="2" t="n">
        <v>41096</v>
      </c>
      <c r="D11205" t="inlineStr">
        <is>
          <t>SPEC</t>
        </is>
      </c>
      <c r="E11205" t="inlineStr">
        <is>
          <t>LOWER CONNECTION PHASE 1 - 2 Q5N</t>
        </is>
      </c>
      <c r="F11205" t="inlineStr">
        <is>
          <t>NS 4000A Banque de France</t>
        </is>
      </c>
      <c r="J11205" t="inlineStr">
        <is>
          <t>Civetta</t>
        </is>
      </c>
      <c r="L11205">
        <f>_xlfn.XLOOKUP(Tableau1[[#This Row],[TYPE DE PIECE]],Tableau4[MATIERE],Tableau4[SHORT TYPE],"",0,1)</f>
        <v/>
      </c>
      <c r="N11205">
        <f>IF(ISERR(FIND("DECOUPE",Tableau1[[#This Row],[DESIGNATION]])),"","NEED REF")</f>
        <v/>
      </c>
    </row>
    <row r="11206">
      <c r="B11206" t="n">
        <v>34402800</v>
      </c>
      <c r="C11206" s="2" t="n">
        <v>41096</v>
      </c>
      <c r="D11206" t="inlineStr">
        <is>
          <t>SPEC</t>
        </is>
      </c>
      <c r="E11206" t="inlineStr">
        <is>
          <t>LOWER CONNECTION PHASE 2 - 3 Q5N</t>
        </is>
      </c>
      <c r="F11206" t="inlineStr">
        <is>
          <t>NS 4000A Banque de France</t>
        </is>
      </c>
      <c r="J11206" t="inlineStr">
        <is>
          <t>Civetta</t>
        </is>
      </c>
      <c r="L11206">
        <f>_xlfn.XLOOKUP(Tableau1[[#This Row],[TYPE DE PIECE]],Tableau4[MATIERE],Tableau4[SHORT TYPE],"",0,1)</f>
        <v/>
      </c>
      <c r="N11206">
        <f>IF(ISERR(FIND("DECOUPE",Tableau1[[#This Row],[DESIGNATION]])),"","NEED REF")</f>
        <v/>
      </c>
    </row>
    <row r="11207">
      <c r="B11207" t="n">
        <v>34402799</v>
      </c>
      <c r="C11207" s="2" t="n">
        <v>41096</v>
      </c>
      <c r="D11207" t="inlineStr">
        <is>
          <t>SPEC</t>
        </is>
      </c>
      <c r="E11207" t="inlineStr">
        <is>
          <t>LOWER CONNECTION PHASE 2 - 2 Q5N</t>
        </is>
      </c>
      <c r="F11207" t="inlineStr">
        <is>
          <t>NS 4000A Banque de France</t>
        </is>
      </c>
      <c r="J11207" t="inlineStr">
        <is>
          <t>Civetta</t>
        </is>
      </c>
      <c r="L11207">
        <f>_xlfn.XLOOKUP(Tableau1[[#This Row],[TYPE DE PIECE]],Tableau4[MATIERE],Tableau4[SHORT TYPE],"",0,1)</f>
        <v/>
      </c>
      <c r="N11207">
        <f>IF(ISERR(FIND("DECOUPE",Tableau1[[#This Row],[DESIGNATION]])),"","NEED REF")</f>
        <v/>
      </c>
    </row>
    <row r="11208">
      <c r="B11208" t="n">
        <v>34402798</v>
      </c>
      <c r="C11208" s="2" t="n">
        <v>41096</v>
      </c>
      <c r="D11208" t="inlineStr">
        <is>
          <t>SPEC</t>
        </is>
      </c>
      <c r="E11208" t="inlineStr">
        <is>
          <t>LOWER CONNECTION PHASE 2 - 1 Q5N</t>
        </is>
      </c>
      <c r="F11208" t="inlineStr">
        <is>
          <t>NS 4000A Banque de France</t>
        </is>
      </c>
      <c r="J11208" t="inlineStr">
        <is>
          <t>Civetta</t>
        </is>
      </c>
      <c r="L11208">
        <f>_xlfn.XLOOKUP(Tableau1[[#This Row],[TYPE DE PIECE]],Tableau4[MATIERE],Tableau4[SHORT TYPE],"",0,1)</f>
        <v/>
      </c>
      <c r="N11208">
        <f>IF(ISERR(FIND("DECOUPE",Tableau1[[#This Row],[DESIGNATION]])),"","NEED REF")</f>
        <v/>
      </c>
    </row>
    <row r="11209">
      <c r="B11209" t="n">
        <v>34402797</v>
      </c>
      <c r="C11209" s="2" t="n">
        <v>41096</v>
      </c>
      <c r="D11209" t="inlineStr">
        <is>
          <t>SPEC</t>
        </is>
      </c>
      <c r="E11209" t="inlineStr">
        <is>
          <t>PLATINE 3xFUSILBLE PDPM</t>
        </is>
      </c>
      <c r="F11209" t="inlineStr">
        <is>
          <t>PDPM277H</t>
        </is>
      </c>
      <c r="J11209" t="inlineStr">
        <is>
          <t>MATRION</t>
        </is>
      </c>
      <c r="L11209">
        <f>_xlfn.XLOOKUP(Tableau1[[#This Row],[TYPE DE PIECE]],Tableau4[MATIERE],Tableau4[SHORT TYPE],"",0,1)</f>
        <v/>
      </c>
      <c r="N11209">
        <f>IF(ISERR(FIND("DECOUPE",Tableau1[[#This Row],[DESIGNATION]])),"","NEED REF")</f>
        <v/>
      </c>
    </row>
    <row r="11210">
      <c r="B11210" t="n">
        <v>34402796</v>
      </c>
      <c r="C11210" s="2" t="n">
        <v>41096</v>
      </c>
      <c r="D11210" t="inlineStr">
        <is>
          <t>SPEC</t>
        </is>
      </c>
      <c r="E11210" t="inlineStr">
        <is>
          <t>PLATINE NSX400 PDPM</t>
        </is>
      </c>
      <c r="F11210" t="inlineStr">
        <is>
          <t>PDPM277H</t>
        </is>
      </c>
      <c r="J11210" t="inlineStr">
        <is>
          <t>MATRION</t>
        </is>
      </c>
      <c r="L11210">
        <f>_xlfn.XLOOKUP(Tableau1[[#This Row],[TYPE DE PIECE]],Tableau4[MATIERE],Tableau4[SHORT TYPE],"",0,1)</f>
        <v/>
      </c>
      <c r="N11210">
        <f>IF(ISERR(FIND("DECOUPE",Tableau1[[#This Row],[DESIGNATION]])),"","NEED REF")</f>
        <v/>
      </c>
    </row>
    <row r="11211">
      <c r="B11211" t="n">
        <v>34402795</v>
      </c>
      <c r="C11211" s="2" t="n">
        <v>41096</v>
      </c>
      <c r="D11211" t="inlineStr">
        <is>
          <t>SPEC</t>
        </is>
      </c>
      <c r="E11211" t="inlineStr">
        <is>
          <t>MONTANT CHASSIS DROIT PDPM</t>
        </is>
      </c>
      <c r="F11211" t="inlineStr">
        <is>
          <t>PDPM277H</t>
        </is>
      </c>
      <c r="J11211" t="inlineStr">
        <is>
          <t>MATRION</t>
        </is>
      </c>
      <c r="L11211">
        <f>_xlfn.XLOOKUP(Tableau1[[#This Row],[TYPE DE PIECE]],Tableau4[MATIERE],Tableau4[SHORT TYPE],"",0,1)</f>
        <v/>
      </c>
      <c r="N11211">
        <f>IF(ISERR(FIND("DECOUPE",Tableau1[[#This Row],[DESIGNATION]])),"","NEED REF")</f>
        <v/>
      </c>
    </row>
    <row r="11212">
      <c r="B11212" t="n">
        <v>34402794</v>
      </c>
      <c r="C11212" s="2" t="n">
        <v>41096</v>
      </c>
      <c r="D11212" t="inlineStr">
        <is>
          <t>SPEC</t>
        </is>
      </c>
      <c r="E11212" t="inlineStr">
        <is>
          <t>MONTANT CHASSIS GAUCHE PDPM</t>
        </is>
      </c>
      <c r="F11212" t="inlineStr">
        <is>
          <t>PDPM277H</t>
        </is>
      </c>
      <c r="J11212" t="inlineStr">
        <is>
          <t>MATRION</t>
        </is>
      </c>
      <c r="L11212">
        <f>_xlfn.XLOOKUP(Tableau1[[#This Row],[TYPE DE PIECE]],Tableau4[MATIERE],Tableau4[SHORT TYPE],"",0,1)</f>
        <v/>
      </c>
      <c r="N11212">
        <f>IF(ISERR(FIND("DECOUPE",Tableau1[[#This Row],[DESIGNATION]])),"","NEED REF")</f>
        <v/>
      </c>
    </row>
    <row r="11213">
      <c r="B11213" t="n">
        <v>34402793</v>
      </c>
      <c r="C11213" s="2" t="n">
        <v>41096</v>
      </c>
      <c r="D11213" t="inlineStr">
        <is>
          <t>NOM</t>
        </is>
      </c>
      <c r="E11213" t="inlineStr">
        <is>
          <t>NOM CHASSIS NSX400 + FU POUR PDPM277H</t>
        </is>
      </c>
      <c r="F11213" t="inlineStr">
        <is>
          <t>PDPM277H</t>
        </is>
      </c>
      <c r="J11213" t="inlineStr">
        <is>
          <t>MATRION</t>
        </is>
      </c>
      <c r="L11213">
        <f>_xlfn.XLOOKUP(Tableau1[[#This Row],[TYPE DE PIECE]],Tableau4[MATIERE],Tableau4[SHORT TYPE],"",0,1)</f>
        <v/>
      </c>
      <c r="N11213">
        <f>IF(ISERR(FIND("DECOUPE",Tableau1[[#This Row],[DESIGNATION]])),"","NEED REF")</f>
        <v/>
      </c>
    </row>
    <row r="11214">
      <c r="B11214" t="n">
        <v>34402792</v>
      </c>
      <c r="C11214" s="2" t="n">
        <v>41087</v>
      </c>
      <c r="D11214" t="inlineStr">
        <is>
          <t>CDC</t>
        </is>
      </c>
      <c r="E11214" t="inlineStr">
        <is>
          <t>NS2400kVA LT G6K + VISION + TGAB R2 + ECLISSAGE UTIL</t>
        </is>
      </c>
      <c r="F11214" t="inlineStr">
        <is>
          <t>NS2400 Crédit SUISSE</t>
        </is>
      </c>
      <c r="J11214" t="inlineStr">
        <is>
          <t>MATRION</t>
        </is>
      </c>
      <c r="L11214">
        <f>_xlfn.XLOOKUP(Tableau1[[#This Row],[TYPE DE PIECE]],Tableau4[MATIERE],Tableau4[SHORT TYPE],"",0,1)</f>
        <v/>
      </c>
      <c r="N11214">
        <f>IF(ISERR(FIND("DECOUPE",Tableau1[[#This Row],[DESIGNATION]])),"","NEED REF")</f>
        <v/>
      </c>
    </row>
    <row r="11215">
      <c r="B11215" t="n">
        <v>34402791</v>
      </c>
      <c r="C11215" s="2" t="n">
        <v>41087</v>
      </c>
      <c r="D11215" t="inlineStr">
        <is>
          <t>SPEC</t>
        </is>
      </c>
      <c r="E11215" t="inlineStr">
        <is>
          <t>LOWER CONNECTION PHASE 1 - 2 Q5N</t>
        </is>
      </c>
      <c r="F11215" t="inlineStr">
        <is>
          <t>NS 4000A Banque de France</t>
        </is>
      </c>
      <c r="J11215" t="inlineStr">
        <is>
          <t>Civetta</t>
        </is>
      </c>
      <c r="L11215">
        <f>_xlfn.XLOOKUP(Tableau1[[#This Row],[TYPE DE PIECE]],Tableau4[MATIERE],Tableau4[SHORT TYPE],"",0,1)</f>
        <v/>
      </c>
      <c r="N11215">
        <f>IF(ISERR(FIND("DECOUPE",Tableau1[[#This Row],[DESIGNATION]])),"","NEED REF")</f>
        <v/>
      </c>
    </row>
    <row r="11216">
      <c r="B11216" t="n">
        <v>34402790</v>
      </c>
      <c r="C11216" s="2" t="n">
        <v>41087</v>
      </c>
      <c r="D11216" t="inlineStr">
        <is>
          <t>SPEC</t>
        </is>
      </c>
      <c r="E11216" t="inlineStr">
        <is>
          <t>LOWER CONNECTION PHASE 1 - 1 Q5N</t>
        </is>
      </c>
      <c r="F11216" t="inlineStr">
        <is>
          <t>NS 4000A Banque de France</t>
        </is>
      </c>
      <c r="J11216" t="inlineStr">
        <is>
          <t>Civetta</t>
        </is>
      </c>
      <c r="L11216">
        <f>_xlfn.XLOOKUP(Tableau1[[#This Row],[TYPE DE PIECE]],Tableau4[MATIERE],Tableau4[SHORT TYPE],"",0,1)</f>
        <v/>
      </c>
      <c r="N11216">
        <f>IF(ISERR(FIND("DECOUPE",Tableau1[[#This Row],[DESIGNATION]])),"","NEED REF")</f>
        <v/>
      </c>
    </row>
    <row r="11217">
      <c r="B11217" t="n">
        <v>34402789</v>
      </c>
      <c r="C11217" s="2" t="n">
        <v>41087</v>
      </c>
      <c r="D11217" t="inlineStr">
        <is>
          <t>SPEC</t>
        </is>
      </c>
      <c r="E11217" t="inlineStr">
        <is>
          <t>LOWER CONNECTION PHASE 1 - 3 Q5N</t>
        </is>
      </c>
      <c r="F11217" t="inlineStr">
        <is>
          <t>NS 4000A Banque de France</t>
        </is>
      </c>
      <c r="J11217" t="inlineStr">
        <is>
          <t>Civetta</t>
        </is>
      </c>
      <c r="L11217">
        <f>_xlfn.XLOOKUP(Tableau1[[#This Row],[TYPE DE PIECE]],Tableau4[MATIERE],Tableau4[SHORT TYPE],"",0,1)</f>
        <v/>
      </c>
      <c r="N11217">
        <f>IF(ISERR(FIND("DECOUPE",Tableau1[[#This Row],[DESIGNATION]])),"","NEED REF")</f>
        <v/>
      </c>
    </row>
    <row r="11218">
      <c r="B11218" t="n">
        <v>34402788</v>
      </c>
      <c r="C11218" s="2" t="n">
        <v>41087</v>
      </c>
      <c r="D11218" t="inlineStr">
        <is>
          <t>SPEC</t>
        </is>
      </c>
      <c r="E11218" t="inlineStr">
        <is>
          <t>BUSBAR PHASE 1 - 1 UPS LOAD</t>
        </is>
      </c>
      <c r="F11218" t="inlineStr">
        <is>
          <t>NS 4000A Banque de France</t>
        </is>
      </c>
      <c r="J11218" t="inlineStr">
        <is>
          <t>Civetta</t>
        </is>
      </c>
      <c r="L11218">
        <f>_xlfn.XLOOKUP(Tableau1[[#This Row],[TYPE DE PIECE]],Tableau4[MATIERE],Tableau4[SHORT TYPE],"",0,1)</f>
        <v/>
      </c>
      <c r="N11218">
        <f>IF(ISERR(FIND("DECOUPE",Tableau1[[#This Row],[DESIGNATION]])),"","NEED REF")</f>
        <v/>
      </c>
    </row>
    <row r="11219">
      <c r="B11219" t="n">
        <v>34402787</v>
      </c>
      <c r="C11219" s="2" t="n">
        <v>41087</v>
      </c>
      <c r="D11219" t="inlineStr">
        <is>
          <t>SPEC</t>
        </is>
      </c>
      <c r="E11219" t="inlineStr">
        <is>
          <t>BUSBAR PHASE 2 - 1 UPS LOAD</t>
        </is>
      </c>
      <c r="F11219" t="inlineStr">
        <is>
          <t>NS 4000A Banque de France</t>
        </is>
      </c>
      <c r="J11219" t="inlineStr">
        <is>
          <t>Civetta</t>
        </is>
      </c>
      <c r="L11219">
        <f>_xlfn.XLOOKUP(Tableau1[[#This Row],[TYPE DE PIECE]],Tableau4[MATIERE],Tableau4[SHORT TYPE],"",0,1)</f>
        <v/>
      </c>
      <c r="N11219">
        <f>IF(ISERR(FIND("DECOUPE",Tableau1[[#This Row],[DESIGNATION]])),"","NEED REF")</f>
        <v/>
      </c>
    </row>
    <row r="11220">
      <c r="B11220" t="n">
        <v>34402786</v>
      </c>
      <c r="C11220" s="2" t="n">
        <v>41087</v>
      </c>
      <c r="D11220" t="inlineStr">
        <is>
          <t>SPEC</t>
        </is>
      </c>
      <c r="E11220" t="inlineStr">
        <is>
          <t>JOINTING BUSBAR PEN</t>
        </is>
      </c>
      <c r="F11220" t="inlineStr">
        <is>
          <t>NS 4000A Banque de France</t>
        </is>
      </c>
      <c r="J11220" t="inlineStr">
        <is>
          <t>Civetta</t>
        </is>
      </c>
      <c r="L11220">
        <f>_xlfn.XLOOKUP(Tableau1[[#This Row],[TYPE DE PIECE]],Tableau4[MATIERE],Tableau4[SHORT TYPE],"",0,1)</f>
        <v/>
      </c>
      <c r="N11220">
        <f>IF(ISERR(FIND("DECOUPE",Tableau1[[#This Row],[DESIGNATION]])),"","NEED REF")</f>
        <v/>
      </c>
    </row>
    <row r="11221">
      <c r="B11221" t="n">
        <v>34402785</v>
      </c>
      <c r="C11221" s="2" t="n">
        <v>41087</v>
      </c>
      <c r="D11221" t="inlineStr">
        <is>
          <t>SPEC</t>
        </is>
      </c>
      <c r="E11221" t="inlineStr">
        <is>
          <t>SUPPORT BEAM RIGHT CABINET</t>
        </is>
      </c>
      <c r="F11221" t="inlineStr">
        <is>
          <t>NS 4000A Banque de France</t>
        </is>
      </c>
      <c r="J11221" t="inlineStr">
        <is>
          <t>Civetta</t>
        </is>
      </c>
      <c r="L11221">
        <f>_xlfn.XLOOKUP(Tableau1[[#This Row],[TYPE DE PIECE]],Tableau4[MATIERE],Tableau4[SHORT TYPE],"",0,1)</f>
        <v/>
      </c>
      <c r="N11221">
        <f>IF(ISERR(FIND("DECOUPE",Tableau1[[#This Row],[DESIGNATION]])),"","NEED REF")</f>
        <v/>
      </c>
    </row>
    <row r="11222">
      <c r="B11222" t="n">
        <v>34402784</v>
      </c>
      <c r="C11222" s="2" t="n">
        <v>41087</v>
      </c>
      <c r="D11222" t="inlineStr">
        <is>
          <t>SPEC</t>
        </is>
      </c>
      <c r="E11222" t="inlineStr">
        <is>
          <t>SUPPORT BEAM LEFT CABINET</t>
        </is>
      </c>
      <c r="F11222" t="inlineStr">
        <is>
          <t>NS 4000A Banque de France</t>
        </is>
      </c>
      <c r="J11222" t="inlineStr">
        <is>
          <t>Civetta</t>
        </is>
      </c>
      <c r="L11222">
        <f>_xlfn.XLOOKUP(Tableau1[[#This Row],[TYPE DE PIECE]],Tableau4[MATIERE],Tableau4[SHORT TYPE],"",0,1)</f>
        <v/>
      </c>
      <c r="N11222">
        <f>IF(ISERR(FIND("DECOUPE",Tableau1[[#This Row],[DESIGNATION]])),"","NEED REF")</f>
        <v/>
      </c>
    </row>
    <row r="11223">
      <c r="B11223" t="n">
        <v>34402783</v>
      </c>
      <c r="C11223" s="2" t="n">
        <v>41087</v>
      </c>
      <c r="D11223" t="inlineStr">
        <is>
          <t>SPEC</t>
        </is>
      </c>
      <c r="E11223" t="inlineStr">
        <is>
          <t>CROSS BEAM SWITCH SUPPORT</t>
        </is>
      </c>
      <c r="F11223" t="inlineStr">
        <is>
          <t>NS 4000A Banque de France</t>
        </is>
      </c>
      <c r="J11223" t="inlineStr">
        <is>
          <t>Civetta</t>
        </is>
      </c>
      <c r="L11223">
        <f>_xlfn.XLOOKUP(Tableau1[[#This Row],[TYPE DE PIECE]],Tableau4[MATIERE],Tableau4[SHORT TYPE],"",0,1)</f>
        <v/>
      </c>
      <c r="N11223">
        <f>IF(ISERR(FIND("DECOUPE",Tableau1[[#This Row],[DESIGNATION]])),"","NEED REF")</f>
        <v/>
      </c>
    </row>
    <row r="11224">
      <c r="B11224" t="n">
        <v>34402782</v>
      </c>
      <c r="C11224" s="2" t="n">
        <v>41087</v>
      </c>
      <c r="D11224" t="inlineStr">
        <is>
          <t>SPEC</t>
        </is>
      </c>
      <c r="E11224" t="inlineStr">
        <is>
          <t>CROSS BEAM CLAMP SUPPORT</t>
        </is>
      </c>
      <c r="F11224" t="inlineStr">
        <is>
          <t>NS 4000A Banque de France</t>
        </is>
      </c>
      <c r="J11224" t="inlineStr">
        <is>
          <t>Civetta</t>
        </is>
      </c>
      <c r="L11224">
        <f>_xlfn.XLOOKUP(Tableau1[[#This Row],[TYPE DE PIECE]],Tableau4[MATIERE],Tableau4[SHORT TYPE],"",0,1)</f>
        <v/>
      </c>
      <c r="N11224">
        <f>IF(ISERR(FIND("DECOUPE",Tableau1[[#This Row],[DESIGNATION]])),"","NEED REF")</f>
        <v/>
      </c>
    </row>
    <row r="11225">
      <c r="B11225" t="n">
        <v>34402781</v>
      </c>
      <c r="C11225" s="2" t="n">
        <v>41087</v>
      </c>
      <c r="D11225" t="inlineStr">
        <is>
          <t>SPEC</t>
        </is>
      </c>
      <c r="E11225" t="inlineStr">
        <is>
          <t>BUSBAR PHASE 1 - 3 THYRISTOR</t>
        </is>
      </c>
      <c r="F11225" t="inlineStr">
        <is>
          <t>NS 4000A Banque de France</t>
        </is>
      </c>
      <c r="J11225" t="inlineStr">
        <is>
          <t>Civetta</t>
        </is>
      </c>
      <c r="L11225">
        <f>_xlfn.XLOOKUP(Tableau1[[#This Row],[TYPE DE PIECE]],Tableau4[MATIERE],Tableau4[SHORT TYPE],"",0,1)</f>
        <v/>
      </c>
      <c r="N11225">
        <f>IF(ISERR(FIND("DECOUPE",Tableau1[[#This Row],[DESIGNATION]])),"","NEED REF")</f>
        <v/>
      </c>
    </row>
    <row r="11226">
      <c r="B11226" t="n">
        <v>34402780</v>
      </c>
      <c r="C11226" s="2" t="n">
        <v>41087</v>
      </c>
      <c r="D11226" t="inlineStr">
        <is>
          <t>SPEC</t>
        </is>
      </c>
      <c r="E11226" t="inlineStr">
        <is>
          <t>BUSBAR PHASE 1 - 2 THYRISTOR</t>
        </is>
      </c>
      <c r="F11226" t="inlineStr">
        <is>
          <t>NS 4000A Banque de France</t>
        </is>
      </c>
      <c r="J11226" t="inlineStr">
        <is>
          <t>Civetta</t>
        </is>
      </c>
      <c r="L11226">
        <f>_xlfn.XLOOKUP(Tableau1[[#This Row],[TYPE DE PIECE]],Tableau4[MATIERE],Tableau4[SHORT TYPE],"",0,1)</f>
        <v/>
      </c>
      <c r="N11226">
        <f>IF(ISERR(FIND("DECOUPE",Tableau1[[#This Row],[DESIGNATION]])),"","NEED REF")</f>
        <v/>
      </c>
    </row>
    <row r="11227">
      <c r="B11227" t="n">
        <v>34402779</v>
      </c>
      <c r="C11227" s="2" t="n">
        <v>41087</v>
      </c>
      <c r="D11227" t="inlineStr">
        <is>
          <t>SPEC</t>
        </is>
      </c>
      <c r="E11227" t="inlineStr">
        <is>
          <t>BUSBAR PHASE 1 - 1 THYRISTOR</t>
        </is>
      </c>
      <c r="F11227" t="inlineStr">
        <is>
          <t>NS 4000A Banque de France</t>
        </is>
      </c>
      <c r="J11227" t="inlineStr">
        <is>
          <t>Civetta</t>
        </is>
      </c>
      <c r="L11227">
        <f>_xlfn.XLOOKUP(Tableau1[[#This Row],[TYPE DE PIECE]],Tableau4[MATIERE],Tableau4[SHORT TYPE],"",0,1)</f>
        <v/>
      </c>
      <c r="N11227">
        <f>IF(ISERR(FIND("DECOUPE",Tableau1[[#This Row],[DESIGNATION]])),"","NEED REF")</f>
        <v/>
      </c>
    </row>
    <row r="11228">
      <c r="B11228" t="n">
        <v>34402778</v>
      </c>
      <c r="C11228" s="2" t="n">
        <v>41087</v>
      </c>
      <c r="D11228" t="inlineStr">
        <is>
          <t>SPEC</t>
        </is>
      </c>
      <c r="E11228" t="inlineStr">
        <is>
          <t>LOWER CONNECTION PHASE 2 - 3 Q5N</t>
        </is>
      </c>
      <c r="F11228" t="inlineStr">
        <is>
          <t>NS 4000A Banque de France</t>
        </is>
      </c>
      <c r="J11228" t="inlineStr">
        <is>
          <t>Civetta</t>
        </is>
      </c>
      <c r="L11228">
        <f>_xlfn.XLOOKUP(Tableau1[[#This Row],[TYPE DE PIECE]],Tableau4[MATIERE],Tableau4[SHORT TYPE],"",0,1)</f>
        <v/>
      </c>
      <c r="N11228">
        <f>IF(ISERR(FIND("DECOUPE",Tableau1[[#This Row],[DESIGNATION]])),"","NEED REF")</f>
        <v/>
      </c>
    </row>
    <row r="11229">
      <c r="B11229" t="n">
        <v>34402777</v>
      </c>
      <c r="C11229" s="2" t="n">
        <v>41087</v>
      </c>
      <c r="D11229" t="inlineStr">
        <is>
          <t>SPEC</t>
        </is>
      </c>
      <c r="E11229" t="inlineStr">
        <is>
          <t>LOWER CONNECTION PHASE 2 - 2 Q5N</t>
        </is>
      </c>
      <c r="F11229" t="inlineStr">
        <is>
          <t>NS 4000A Banque de France</t>
        </is>
      </c>
      <c r="J11229" t="inlineStr">
        <is>
          <t>Civetta</t>
        </is>
      </c>
      <c r="L11229">
        <f>_xlfn.XLOOKUP(Tableau1[[#This Row],[TYPE DE PIECE]],Tableau4[MATIERE],Tableau4[SHORT TYPE],"",0,1)</f>
        <v/>
      </c>
      <c r="N11229">
        <f>IF(ISERR(FIND("DECOUPE",Tableau1[[#This Row],[DESIGNATION]])),"","NEED REF")</f>
        <v/>
      </c>
    </row>
    <row r="11230">
      <c r="B11230" t="n">
        <v>34402776</v>
      </c>
      <c r="C11230" s="2" t="n">
        <v>41087</v>
      </c>
      <c r="D11230" t="inlineStr">
        <is>
          <t>SPEC</t>
        </is>
      </c>
      <c r="E11230" t="inlineStr">
        <is>
          <t>LOWER CONNECTION PHASE 2 - 1 Q5N</t>
        </is>
      </c>
      <c r="F11230" t="inlineStr">
        <is>
          <t>NS 4000A Banque de France</t>
        </is>
      </c>
      <c r="J11230" t="inlineStr">
        <is>
          <t>Civetta</t>
        </is>
      </c>
      <c r="L11230">
        <f>_xlfn.XLOOKUP(Tableau1[[#This Row],[TYPE DE PIECE]],Tableau4[MATIERE],Tableau4[SHORT TYPE],"",0,1)</f>
        <v/>
      </c>
      <c r="N11230">
        <f>IF(ISERR(FIND("DECOUPE",Tableau1[[#This Row],[DESIGNATION]])),"","NEED REF")</f>
        <v/>
      </c>
    </row>
    <row r="11231">
      <c r="B11231" t="n">
        <v>34402775</v>
      </c>
      <c r="C11231" s="2" t="n">
        <v>41087</v>
      </c>
      <c r="D11231" t="inlineStr">
        <is>
          <t>SPEC</t>
        </is>
      </c>
      <c r="E11231" t="inlineStr">
        <is>
          <t>LOWER CONNECTION PHASE 3 - 3 Q5N</t>
        </is>
      </c>
      <c r="F11231" t="inlineStr">
        <is>
          <t>NS 4000A Banque de France</t>
        </is>
      </c>
      <c r="J11231" t="inlineStr">
        <is>
          <t>Civetta</t>
        </is>
      </c>
      <c r="L11231">
        <f>_xlfn.XLOOKUP(Tableau1[[#This Row],[TYPE DE PIECE]],Tableau4[MATIERE],Tableau4[SHORT TYPE],"",0,1)</f>
        <v/>
      </c>
      <c r="N11231">
        <f>IF(ISERR(FIND("DECOUPE",Tableau1[[#This Row],[DESIGNATION]])),"","NEED REF")</f>
        <v/>
      </c>
    </row>
    <row r="11232">
      <c r="B11232" t="n">
        <v>34402774</v>
      </c>
      <c r="C11232" s="2" t="n">
        <v>41087</v>
      </c>
      <c r="D11232" t="inlineStr">
        <is>
          <t>SPEC</t>
        </is>
      </c>
      <c r="E11232" t="inlineStr">
        <is>
          <t>LOWER CONNECTION PHASE 3 - 2 Q5N</t>
        </is>
      </c>
      <c r="F11232" t="inlineStr">
        <is>
          <t>NS 4000A Banque de France</t>
        </is>
      </c>
      <c r="J11232" t="inlineStr">
        <is>
          <t>Civetta</t>
        </is>
      </c>
      <c r="L11232">
        <f>_xlfn.XLOOKUP(Tableau1[[#This Row],[TYPE DE PIECE]],Tableau4[MATIERE],Tableau4[SHORT TYPE],"",0,1)</f>
        <v/>
      </c>
      <c r="N11232">
        <f>IF(ISERR(FIND("DECOUPE",Tableau1[[#This Row],[DESIGNATION]])),"","NEED REF")</f>
        <v/>
      </c>
    </row>
    <row r="11233">
      <c r="B11233" t="n">
        <v>34402773</v>
      </c>
      <c r="C11233" s="2" t="n">
        <v>41087</v>
      </c>
      <c r="D11233" t="inlineStr">
        <is>
          <t>SPEC</t>
        </is>
      </c>
      <c r="E11233" t="inlineStr">
        <is>
          <t>LOWER CONNECTION PHASE 3 - 1 Q5N</t>
        </is>
      </c>
      <c r="F11233" t="inlineStr">
        <is>
          <t>NS 4000A Banque de France</t>
        </is>
      </c>
      <c r="J11233" t="inlineStr">
        <is>
          <t>Civetta</t>
        </is>
      </c>
      <c r="L11233">
        <f>_xlfn.XLOOKUP(Tableau1[[#This Row],[TYPE DE PIECE]],Tableau4[MATIERE],Tableau4[SHORT TYPE],"",0,1)</f>
        <v/>
      </c>
      <c r="N11233">
        <f>IF(ISERR(FIND("DECOUPE",Tableau1[[#This Row],[DESIGNATION]])),"","NEED REF")</f>
        <v/>
      </c>
    </row>
    <row r="11234">
      <c r="B11234" t="n">
        <v>34402772</v>
      </c>
      <c r="C11234" s="2" t="n">
        <v>41087</v>
      </c>
      <c r="D11234" t="inlineStr">
        <is>
          <t>SPEC</t>
        </is>
      </c>
      <c r="E11234" t="inlineStr">
        <is>
          <t>BUSBAR PHASE 3 - 2UPS LOAD</t>
        </is>
      </c>
      <c r="F11234" t="inlineStr">
        <is>
          <t>NS 4000A Banque de France</t>
        </is>
      </c>
      <c r="J11234" t="inlineStr">
        <is>
          <t>Civetta</t>
        </is>
      </c>
      <c r="L11234">
        <f>_xlfn.XLOOKUP(Tableau1[[#This Row],[TYPE DE PIECE]],Tableau4[MATIERE],Tableau4[SHORT TYPE],"",0,1)</f>
        <v/>
      </c>
      <c r="N11234">
        <f>IF(ISERR(FIND("DECOUPE",Tableau1[[#This Row],[DESIGNATION]])),"","NEED REF")</f>
        <v/>
      </c>
    </row>
    <row r="11235">
      <c r="B11235" t="n">
        <v>34402771</v>
      </c>
      <c r="C11235" s="2" t="n">
        <v>41087</v>
      </c>
      <c r="D11235" t="inlineStr">
        <is>
          <t>SPEC</t>
        </is>
      </c>
      <c r="E11235" t="inlineStr">
        <is>
          <t>BUSBAR PHASE 2 - 2 UPS LOAD</t>
        </is>
      </c>
      <c r="F11235" t="inlineStr">
        <is>
          <t>NS 4000A Banque de France</t>
        </is>
      </c>
      <c r="J11235" t="inlineStr">
        <is>
          <t>Civetta</t>
        </is>
      </c>
      <c r="L11235">
        <f>_xlfn.XLOOKUP(Tableau1[[#This Row],[TYPE DE PIECE]],Tableau4[MATIERE],Tableau4[SHORT TYPE],"",0,1)</f>
        <v/>
      </c>
      <c r="N11235">
        <f>IF(ISERR(FIND("DECOUPE",Tableau1[[#This Row],[DESIGNATION]])),"","NEED REF")</f>
        <v/>
      </c>
    </row>
    <row r="11236">
      <c r="B11236" t="n">
        <v>34402770</v>
      </c>
      <c r="C11236" s="2" t="n">
        <v>41087</v>
      </c>
      <c r="D11236" t="inlineStr">
        <is>
          <t>SPEC</t>
        </is>
      </c>
      <c r="E11236" t="inlineStr">
        <is>
          <t>BUSBAR PHASE 1 - 2 UPS LOAD</t>
        </is>
      </c>
      <c r="F11236" t="inlineStr">
        <is>
          <t>NS 4000A Banque de France</t>
        </is>
      </c>
      <c r="J11236" t="inlineStr">
        <is>
          <t>Civetta</t>
        </is>
      </c>
      <c r="L11236">
        <f>_xlfn.XLOOKUP(Tableau1[[#This Row],[TYPE DE PIECE]],Tableau4[MATIERE],Tableau4[SHORT TYPE],"",0,1)</f>
        <v/>
      </c>
      <c r="N11236">
        <f>IF(ISERR(FIND("DECOUPE",Tableau1[[#This Row],[DESIGNATION]])),"","NEED REF")</f>
        <v/>
      </c>
    </row>
    <row r="11237">
      <c r="B11237" t="n">
        <v>34402769</v>
      </c>
      <c r="C11237" s="2" t="n">
        <v>41087</v>
      </c>
      <c r="D11237" t="inlineStr">
        <is>
          <t>SPEC</t>
        </is>
      </c>
      <c r="E11237" t="inlineStr">
        <is>
          <t>INSULATION</t>
        </is>
      </c>
      <c r="F11237" t="inlineStr">
        <is>
          <t>NS 4000A Banque de France</t>
        </is>
      </c>
      <c r="J11237" t="inlineStr">
        <is>
          <t>Civetta</t>
        </is>
      </c>
      <c r="L11237">
        <f>_xlfn.XLOOKUP(Tableau1[[#This Row],[TYPE DE PIECE]],Tableau4[MATIERE],Tableau4[SHORT TYPE],"",0,1)</f>
        <v/>
      </c>
      <c r="N11237">
        <f>IF(ISERR(FIND("DECOUPE",Tableau1[[#This Row],[DESIGNATION]])),"","NEED REF")</f>
        <v/>
      </c>
    </row>
    <row r="11238">
      <c r="B11238" t="n">
        <v>34402768</v>
      </c>
      <c r="C11238" s="2" t="n">
        <v>41087</v>
      </c>
      <c r="D11238" t="inlineStr">
        <is>
          <t>SPEC</t>
        </is>
      </c>
      <c r="E11238" t="inlineStr">
        <is>
          <t>BUSBAR PHASE 3 UPS LOAD</t>
        </is>
      </c>
      <c r="F11238" t="inlineStr">
        <is>
          <t>NS 4000A Banque de France</t>
        </is>
      </c>
      <c r="J11238" t="inlineStr">
        <is>
          <t>Civetta</t>
        </is>
      </c>
      <c r="L11238">
        <f>_xlfn.XLOOKUP(Tableau1[[#This Row],[TYPE DE PIECE]],Tableau4[MATIERE],Tableau4[SHORT TYPE],"",0,1)</f>
        <v/>
      </c>
      <c r="N11238">
        <f>IF(ISERR(FIND("DECOUPE",Tableau1[[#This Row],[DESIGNATION]])),"","NEED REF")</f>
        <v/>
      </c>
    </row>
    <row r="11239">
      <c r="B11239" t="n">
        <v>34402767</v>
      </c>
      <c r="C11239" s="2" t="n">
        <v>41087</v>
      </c>
      <c r="D11239" t="inlineStr">
        <is>
          <t>SPEC</t>
        </is>
      </c>
      <c r="E11239" t="inlineStr">
        <is>
          <t>BUSBAR PHASE 3 - 1 THYRISTOR</t>
        </is>
      </c>
      <c r="F11239" t="inlineStr">
        <is>
          <t>NS 4000A Banque de France</t>
        </is>
      </c>
      <c r="J11239" t="inlineStr">
        <is>
          <t>Civetta</t>
        </is>
      </c>
      <c r="L11239">
        <f>_xlfn.XLOOKUP(Tableau1[[#This Row],[TYPE DE PIECE]],Tableau4[MATIERE],Tableau4[SHORT TYPE],"",0,1)</f>
        <v/>
      </c>
      <c r="N11239">
        <f>IF(ISERR(FIND("DECOUPE",Tableau1[[#This Row],[DESIGNATION]])),"","NEED REF")</f>
        <v/>
      </c>
    </row>
    <row r="11240">
      <c r="B11240" t="n">
        <v>34402766</v>
      </c>
      <c r="C11240" s="2" t="n">
        <v>41087</v>
      </c>
      <c r="D11240" t="inlineStr">
        <is>
          <t>SPEC</t>
        </is>
      </c>
      <c r="E11240" t="inlineStr">
        <is>
          <t>BUSBAR PHASE 3 - 2 THYRISTOR</t>
        </is>
      </c>
      <c r="F11240" t="inlineStr">
        <is>
          <t>NS 4000A Banque de France</t>
        </is>
      </c>
      <c r="J11240" t="inlineStr">
        <is>
          <t>Civetta</t>
        </is>
      </c>
      <c r="L11240">
        <f>_xlfn.XLOOKUP(Tableau1[[#This Row],[TYPE DE PIECE]],Tableau4[MATIERE],Tableau4[SHORT TYPE],"",0,1)</f>
        <v/>
      </c>
      <c r="N11240">
        <f>IF(ISERR(FIND("DECOUPE",Tableau1[[#This Row],[DESIGNATION]])),"","NEED REF")</f>
        <v/>
      </c>
    </row>
    <row r="11241">
      <c r="B11241" t="n">
        <v>34402765</v>
      </c>
      <c r="C11241" s="2" t="n">
        <v>41087</v>
      </c>
      <c r="D11241" t="inlineStr">
        <is>
          <t>SPEC</t>
        </is>
      </c>
      <c r="E11241" t="inlineStr">
        <is>
          <t>BUSBAR PHASE 3 - 3 THYRISTOR</t>
        </is>
      </c>
      <c r="F11241" t="inlineStr">
        <is>
          <t>NS 4000A Banque de France</t>
        </is>
      </c>
      <c r="J11241" t="inlineStr">
        <is>
          <t>Civetta</t>
        </is>
      </c>
      <c r="L11241">
        <f>_xlfn.XLOOKUP(Tableau1[[#This Row],[TYPE DE PIECE]],Tableau4[MATIERE],Tableau4[SHORT TYPE],"",0,1)</f>
        <v/>
      </c>
      <c r="N11241">
        <f>IF(ISERR(FIND("DECOUPE",Tableau1[[#This Row],[DESIGNATION]])),"","NEED REF")</f>
        <v/>
      </c>
    </row>
    <row r="11242">
      <c r="B11242" t="n">
        <v>34402764</v>
      </c>
      <c r="C11242" s="2" t="n">
        <v>41087</v>
      </c>
      <c r="D11242" t="inlineStr">
        <is>
          <t>SPEC</t>
        </is>
      </c>
      <c r="E11242" t="inlineStr">
        <is>
          <t>JOINTING BUSBAR PHASE 2 UPS LOAD</t>
        </is>
      </c>
      <c r="F11242" t="inlineStr">
        <is>
          <t>NS 4000A Banque de France</t>
        </is>
      </c>
      <c r="J11242" t="inlineStr">
        <is>
          <t>Civetta</t>
        </is>
      </c>
      <c r="L11242">
        <f>_xlfn.XLOOKUP(Tableau1[[#This Row],[TYPE DE PIECE]],Tableau4[MATIERE],Tableau4[SHORT TYPE],"",0,1)</f>
        <v/>
      </c>
      <c r="N11242">
        <f>IF(ISERR(FIND("DECOUPE",Tableau1[[#This Row],[DESIGNATION]])),"","NEED REF")</f>
        <v/>
      </c>
    </row>
    <row r="11243">
      <c r="B11243" t="n">
        <v>34402763</v>
      </c>
      <c r="C11243" s="2" t="n">
        <v>41087</v>
      </c>
      <c r="D11243" t="inlineStr">
        <is>
          <t>SPEC</t>
        </is>
      </c>
      <c r="E11243" t="inlineStr">
        <is>
          <t>BUSBAR PHASE 2 - 1 THYRISTOR</t>
        </is>
      </c>
      <c r="F11243" t="inlineStr">
        <is>
          <t>NS 4000A Banque de France</t>
        </is>
      </c>
      <c r="J11243" t="inlineStr">
        <is>
          <t>Civetta</t>
        </is>
      </c>
      <c r="L11243">
        <f>_xlfn.XLOOKUP(Tableau1[[#This Row],[TYPE DE PIECE]],Tableau4[MATIERE],Tableau4[SHORT TYPE],"",0,1)</f>
        <v/>
      </c>
      <c r="N11243">
        <f>IF(ISERR(FIND("DECOUPE",Tableau1[[#This Row],[DESIGNATION]])),"","NEED REF")</f>
        <v/>
      </c>
    </row>
    <row r="11244">
      <c r="B11244" t="n">
        <v>34402762</v>
      </c>
      <c r="C11244" s="2" t="n">
        <v>41087</v>
      </c>
      <c r="D11244" t="inlineStr">
        <is>
          <t>SPEC</t>
        </is>
      </c>
      <c r="E11244" t="inlineStr">
        <is>
          <t>JOINTING UPS LOAD</t>
        </is>
      </c>
      <c r="F11244" t="inlineStr">
        <is>
          <t>NS 4000A Banque de France</t>
        </is>
      </c>
      <c r="J11244" t="inlineStr">
        <is>
          <t>Civetta</t>
        </is>
      </c>
      <c r="L11244">
        <f>_xlfn.XLOOKUP(Tableau1[[#This Row],[TYPE DE PIECE]],Tableau4[MATIERE],Tableau4[SHORT TYPE],"",0,1)</f>
        <v/>
      </c>
      <c r="N11244">
        <f>IF(ISERR(FIND("DECOUPE",Tableau1[[#This Row],[DESIGNATION]])),"","NEED REF")</f>
        <v/>
      </c>
    </row>
    <row r="11245">
      <c r="B11245" t="n">
        <v>34402761</v>
      </c>
      <c r="C11245" s="2" t="n">
        <v>41087</v>
      </c>
      <c r="D11245" t="inlineStr">
        <is>
          <t>SPEC</t>
        </is>
      </c>
      <c r="E11245" t="inlineStr">
        <is>
          <t>UPPER CONNECTION 3 Q4S K2S</t>
        </is>
      </c>
      <c r="F11245" t="inlineStr">
        <is>
          <t>NS 4000A Banque de France</t>
        </is>
      </c>
      <c r="J11245" t="inlineStr">
        <is>
          <t>Civetta</t>
        </is>
      </c>
      <c r="L11245">
        <f>_xlfn.XLOOKUP(Tableau1[[#This Row],[TYPE DE PIECE]],Tableau4[MATIERE],Tableau4[SHORT TYPE],"",0,1)</f>
        <v/>
      </c>
      <c r="N11245">
        <f>IF(ISERR(FIND("DECOUPE",Tableau1[[#This Row],[DESIGNATION]])),"","NEED REF")</f>
        <v/>
      </c>
    </row>
    <row r="11246">
      <c r="B11246" t="n">
        <v>34402760</v>
      </c>
      <c r="C11246" s="2" t="n">
        <v>41087</v>
      </c>
      <c r="D11246" t="inlineStr">
        <is>
          <t>SPEC</t>
        </is>
      </c>
      <c r="E11246" t="inlineStr">
        <is>
          <t>UPPER CONNECTION 2 Q4S K2S</t>
        </is>
      </c>
      <c r="F11246" t="inlineStr">
        <is>
          <t>NS 4000A Banque de France</t>
        </is>
      </c>
      <c r="J11246" t="inlineStr">
        <is>
          <t>Civetta</t>
        </is>
      </c>
      <c r="L11246">
        <f>_xlfn.XLOOKUP(Tableau1[[#This Row],[TYPE DE PIECE]],Tableau4[MATIERE],Tableau4[SHORT TYPE],"",0,1)</f>
        <v/>
      </c>
      <c r="N11246">
        <f>IF(ISERR(FIND("DECOUPE",Tableau1[[#This Row],[DESIGNATION]])),"","NEED REF")</f>
        <v/>
      </c>
    </row>
    <row r="11247">
      <c r="B11247" t="n">
        <v>34402759</v>
      </c>
      <c r="C11247" s="2" t="n">
        <v>41087</v>
      </c>
      <c r="D11247" t="inlineStr">
        <is>
          <t>SPEC</t>
        </is>
      </c>
      <c r="E11247" t="inlineStr">
        <is>
          <t>UPPER CONNECTION 1 Q4S K2S</t>
        </is>
      </c>
      <c r="F11247" t="inlineStr">
        <is>
          <t>NS 4000A Banque de France</t>
        </is>
      </c>
      <c r="J11247" t="inlineStr">
        <is>
          <t>Civetta</t>
        </is>
      </c>
      <c r="L11247">
        <f>_xlfn.XLOOKUP(Tableau1[[#This Row],[TYPE DE PIECE]],Tableau4[MATIERE],Tableau4[SHORT TYPE],"",0,1)</f>
        <v/>
      </c>
      <c r="N11247">
        <f>IF(ISERR(FIND("DECOUPE",Tableau1[[#This Row],[DESIGNATION]])),"","NEED REF")</f>
        <v/>
      </c>
    </row>
    <row r="11248">
      <c r="B11248" t="n">
        <v>34402758</v>
      </c>
      <c r="C11248" s="2" t="n">
        <v>41087</v>
      </c>
      <c r="D11248" t="inlineStr">
        <is>
          <t>SPEC</t>
        </is>
      </c>
      <c r="E11248" t="inlineStr">
        <is>
          <t>LOWER CONNECTION 1 Q4S K2S</t>
        </is>
      </c>
      <c r="F11248" t="inlineStr">
        <is>
          <t>NS 4000A Banque de France</t>
        </is>
      </c>
      <c r="J11248" t="inlineStr">
        <is>
          <t>Civetta</t>
        </is>
      </c>
      <c r="L11248">
        <f>_xlfn.XLOOKUP(Tableau1[[#This Row],[TYPE DE PIECE]],Tableau4[MATIERE],Tableau4[SHORT TYPE],"",0,1)</f>
        <v/>
      </c>
      <c r="N11248">
        <f>IF(ISERR(FIND("DECOUPE",Tableau1[[#This Row],[DESIGNATION]])),"","NEED REF")</f>
        <v/>
      </c>
    </row>
    <row r="11249">
      <c r="B11249" t="n">
        <v>34402757</v>
      </c>
      <c r="C11249" s="2" t="n">
        <v>41087</v>
      </c>
      <c r="D11249" t="inlineStr">
        <is>
          <t>SPEC</t>
        </is>
      </c>
      <c r="E11249" t="inlineStr">
        <is>
          <t>LOWER CONNECTION 2 Q4S K2S</t>
        </is>
      </c>
      <c r="F11249" t="inlineStr">
        <is>
          <t>NS 4000A Banque de France</t>
        </is>
      </c>
      <c r="J11249" t="inlineStr">
        <is>
          <t>Civetta</t>
        </is>
      </c>
      <c r="L11249">
        <f>_xlfn.XLOOKUP(Tableau1[[#This Row],[TYPE DE PIECE]],Tableau4[MATIERE],Tableau4[SHORT TYPE],"",0,1)</f>
        <v/>
      </c>
      <c r="N11249">
        <f>IF(ISERR(FIND("DECOUPE",Tableau1[[#This Row],[DESIGNATION]])),"","NEED REF")</f>
        <v/>
      </c>
    </row>
    <row r="11250">
      <c r="B11250" t="n">
        <v>34402756</v>
      </c>
      <c r="C11250" s="2" t="n">
        <v>41087</v>
      </c>
      <c r="D11250" t="inlineStr">
        <is>
          <t>SPEC</t>
        </is>
      </c>
      <c r="E11250" t="inlineStr">
        <is>
          <t>LOWER CONNECTION 3 Q4S K2S</t>
        </is>
      </c>
      <c r="F11250" t="inlineStr">
        <is>
          <t>NS 4000A Banque de France</t>
        </is>
      </c>
      <c r="J11250" t="inlineStr">
        <is>
          <t>Civetta</t>
        </is>
      </c>
      <c r="L11250">
        <f>_xlfn.XLOOKUP(Tableau1[[#This Row],[TYPE DE PIECE]],Tableau4[MATIERE],Tableau4[SHORT TYPE],"",0,1)</f>
        <v/>
      </c>
      <c r="N11250">
        <f>IF(ISERR(FIND("DECOUPE",Tableau1[[#This Row],[DESIGNATION]])),"","NEED REF")</f>
        <v/>
      </c>
    </row>
    <row r="11251">
      <c r="B11251" t="n">
        <v>34402755</v>
      </c>
      <c r="C11251" s="2" t="n">
        <v>41087</v>
      </c>
      <c r="D11251" t="inlineStr">
        <is>
          <t>SPEC</t>
        </is>
      </c>
      <c r="E11251" t="inlineStr">
        <is>
          <t>OUTGOING BUSBAR PHASE 2 - 1 K2S</t>
        </is>
      </c>
      <c r="F11251" t="inlineStr">
        <is>
          <t>NS 4000A Banque de France</t>
        </is>
      </c>
      <c r="J11251" t="inlineStr">
        <is>
          <t>Civetta</t>
        </is>
      </c>
      <c r="L11251">
        <f>_xlfn.XLOOKUP(Tableau1[[#This Row],[TYPE DE PIECE]],Tableau4[MATIERE],Tableau4[SHORT TYPE],"",0,1)</f>
        <v/>
      </c>
      <c r="N11251">
        <f>IF(ISERR(FIND("DECOUPE",Tableau1[[#This Row],[DESIGNATION]])),"","NEED REF")</f>
        <v/>
      </c>
    </row>
    <row r="11252">
      <c r="B11252" t="n">
        <v>34402754</v>
      </c>
      <c r="C11252" s="2" t="n">
        <v>41087</v>
      </c>
      <c r="D11252" t="inlineStr">
        <is>
          <t>SPEC</t>
        </is>
      </c>
      <c r="E11252" t="inlineStr">
        <is>
          <t>OUTGOING BUSBAR PHASE 1/3 - 1 K2S</t>
        </is>
      </c>
      <c r="F11252" t="inlineStr">
        <is>
          <t>NS 4000A Banque de France</t>
        </is>
      </c>
      <c r="J11252" t="inlineStr">
        <is>
          <t>Civetta</t>
        </is>
      </c>
      <c r="L11252">
        <f>_xlfn.XLOOKUP(Tableau1[[#This Row],[TYPE DE PIECE]],Tableau4[MATIERE],Tableau4[SHORT TYPE],"",0,1)</f>
        <v/>
      </c>
      <c r="N11252">
        <f>IF(ISERR(FIND("DECOUPE",Tableau1[[#This Row],[DESIGNATION]])),"","NEED REF")</f>
        <v/>
      </c>
    </row>
    <row r="11253">
      <c r="B11253" t="n">
        <v>34402753</v>
      </c>
      <c r="C11253" s="2" t="n">
        <v>41087</v>
      </c>
      <c r="D11253" t="inlineStr">
        <is>
          <t>SPEC</t>
        </is>
      </c>
      <c r="E11253" t="inlineStr">
        <is>
          <t>OUTGOING BUSBAR PHASE 1/3 - 2 K2S</t>
        </is>
      </c>
      <c r="F11253" t="inlineStr">
        <is>
          <t>NS 4000A Banque de France</t>
        </is>
      </c>
      <c r="J11253" t="inlineStr">
        <is>
          <t>Civetta</t>
        </is>
      </c>
      <c r="L11253">
        <f>_xlfn.XLOOKUP(Tableau1[[#This Row],[TYPE DE PIECE]],Tableau4[MATIERE],Tableau4[SHORT TYPE],"",0,1)</f>
        <v/>
      </c>
      <c r="N11253">
        <f>IF(ISERR(FIND("DECOUPE",Tableau1[[#This Row],[DESIGNATION]])),"","NEED REF")</f>
        <v/>
      </c>
    </row>
    <row r="11254">
      <c r="B11254" t="n">
        <v>34402752</v>
      </c>
      <c r="C11254" s="2" t="n">
        <v>41087</v>
      </c>
      <c r="D11254" t="inlineStr">
        <is>
          <t>SPEC</t>
        </is>
      </c>
      <c r="E11254" t="inlineStr">
        <is>
          <t>BUSBAR PHASE 2 - 2 THYRISTOR</t>
        </is>
      </c>
      <c r="F11254" t="inlineStr">
        <is>
          <t>NS 4000A Banque de France</t>
        </is>
      </c>
      <c r="J11254" t="inlineStr">
        <is>
          <t>Civetta</t>
        </is>
      </c>
      <c r="L11254">
        <f>_xlfn.XLOOKUP(Tableau1[[#This Row],[TYPE DE PIECE]],Tableau4[MATIERE],Tableau4[SHORT TYPE],"",0,1)</f>
        <v/>
      </c>
      <c r="N11254">
        <f>IF(ISERR(FIND("DECOUPE",Tableau1[[#This Row],[DESIGNATION]])),"","NEED REF")</f>
        <v/>
      </c>
    </row>
    <row r="11255">
      <c r="B11255" t="n">
        <v>34402751</v>
      </c>
      <c r="C11255" s="2" t="n">
        <v>41087</v>
      </c>
      <c r="D11255" t="inlineStr">
        <is>
          <t>NOM</t>
        </is>
      </c>
      <c r="E11255" t="inlineStr">
        <is>
          <t>MASTERPACT NW20 ASMQ4S</t>
        </is>
      </c>
      <c r="F11255" t="inlineStr">
        <is>
          <t>NS 4000A Banque de France</t>
        </is>
      </c>
      <c r="J11255" t="inlineStr">
        <is>
          <t>Civetta</t>
        </is>
      </c>
      <c r="L11255">
        <f>_xlfn.XLOOKUP(Tableau1[[#This Row],[TYPE DE PIECE]],Tableau4[MATIERE],Tableau4[SHORT TYPE],"",0,1)</f>
        <v/>
      </c>
      <c r="N11255">
        <f>IF(ISERR(FIND("DECOUPE",Tableau1[[#This Row],[DESIGNATION]])),"","NEED REF")</f>
        <v/>
      </c>
    </row>
    <row r="11256">
      <c r="B11256" t="n">
        <v>34402750</v>
      </c>
      <c r="C11256" s="2" t="n">
        <v>41087</v>
      </c>
      <c r="D11256" t="inlineStr">
        <is>
          <t>NOM</t>
        </is>
      </c>
      <c r="E11256" t="inlineStr">
        <is>
          <t>RIGHT SWITH CABINET AND SHEATH CABINET</t>
        </is>
      </c>
      <c r="F11256" t="inlineStr">
        <is>
          <t>NS 4000A Banque de France</t>
        </is>
      </c>
      <c r="J11256" t="inlineStr">
        <is>
          <t>Civetta</t>
        </is>
      </c>
      <c r="L11256">
        <f>_xlfn.XLOOKUP(Tableau1[[#This Row],[TYPE DE PIECE]],Tableau4[MATIERE],Tableau4[SHORT TYPE],"",0,1)</f>
        <v/>
      </c>
      <c r="N11256">
        <f>IF(ISERR(FIND("DECOUPE",Tableau1[[#This Row],[DESIGNATION]])),"","NEED REF")</f>
        <v/>
      </c>
    </row>
    <row r="11257">
      <c r="B11257" t="n">
        <v>34402749</v>
      </c>
      <c r="C11257" s="2" t="n">
        <v>41087</v>
      </c>
      <c r="D11257" t="inlineStr">
        <is>
          <t>NOM</t>
        </is>
      </c>
      <c r="E11257" t="inlineStr">
        <is>
          <t>SHEATH CABINET 400 X 300</t>
        </is>
      </c>
      <c r="F11257" t="inlineStr">
        <is>
          <t>NS 4000A Banque de France</t>
        </is>
      </c>
      <c r="J11257" t="inlineStr">
        <is>
          <t>Civetta</t>
        </is>
      </c>
      <c r="L11257">
        <f>_xlfn.XLOOKUP(Tableau1[[#This Row],[TYPE DE PIECE]],Tableau4[MATIERE],Tableau4[SHORT TYPE],"",0,1)</f>
        <v/>
      </c>
      <c r="N11257">
        <f>IF(ISERR(FIND("DECOUPE",Tableau1[[#This Row],[DESIGNATION]])),"","NEED REF")</f>
        <v/>
      </c>
    </row>
    <row r="11258">
      <c r="B11258" t="n">
        <v>34402748</v>
      </c>
      <c r="C11258" s="2" t="n">
        <v>41087</v>
      </c>
      <c r="D11258" t="inlineStr">
        <is>
          <t>NOM</t>
        </is>
      </c>
      <c r="E11258" t="inlineStr">
        <is>
          <t>SHEATH CABINET 1400 X 300</t>
        </is>
      </c>
      <c r="F11258" t="inlineStr">
        <is>
          <t>NS 4000A Banque de France</t>
        </is>
      </c>
      <c r="J11258" t="inlineStr">
        <is>
          <t>Civetta</t>
        </is>
      </c>
      <c r="L11258">
        <f>_xlfn.XLOOKUP(Tableau1[[#This Row],[TYPE DE PIECE]],Tableau4[MATIERE],Tableau4[SHORT TYPE],"",0,1)</f>
        <v/>
      </c>
      <c r="N11258">
        <f>IF(ISERR(FIND("DECOUPE",Tableau1[[#This Row],[DESIGNATION]])),"","NEED REF")</f>
        <v/>
      </c>
    </row>
    <row r="11259">
      <c r="B11259" t="n">
        <v>34402747</v>
      </c>
      <c r="C11259" s="2" t="n">
        <v>41087</v>
      </c>
      <c r="D11259" t="inlineStr">
        <is>
          <t>NOM</t>
        </is>
      </c>
      <c r="E11259" t="inlineStr">
        <is>
          <t>RIGHT CABINET</t>
        </is>
      </c>
      <c r="F11259" t="inlineStr">
        <is>
          <t>NS 4000A Banque de France</t>
        </is>
      </c>
      <c r="J11259" t="inlineStr">
        <is>
          <t>Civetta</t>
        </is>
      </c>
      <c r="L11259">
        <f>_xlfn.XLOOKUP(Tableau1[[#This Row],[TYPE DE PIECE]],Tableau4[MATIERE],Tableau4[SHORT TYPE],"",0,1)</f>
        <v/>
      </c>
      <c r="N11259">
        <f>IF(ISERR(FIND("DECOUPE",Tableau1[[#This Row],[DESIGNATION]])),"","NEED REF")</f>
        <v/>
      </c>
    </row>
    <row r="11260">
      <c r="B11260" t="n">
        <v>34402746</v>
      </c>
      <c r="C11260" s="2" t="n">
        <v>41087</v>
      </c>
      <c r="D11260" t="inlineStr">
        <is>
          <t>NOM</t>
        </is>
      </c>
      <c r="E11260" t="inlineStr">
        <is>
          <t>LEFT SWITCH ASSEMBLY</t>
        </is>
      </c>
      <c r="F11260" t="inlineStr">
        <is>
          <t>NS 4000A Banque de France</t>
        </is>
      </c>
      <c r="J11260" t="inlineStr">
        <is>
          <t>Civetta</t>
        </is>
      </c>
      <c r="L11260">
        <f>_xlfn.XLOOKUP(Tableau1[[#This Row],[TYPE DE PIECE]],Tableau4[MATIERE],Tableau4[SHORT TYPE],"",0,1)</f>
        <v/>
      </c>
      <c r="N11260">
        <f>IF(ISERR(FIND("DECOUPE",Tableau1[[#This Row],[DESIGNATION]])),"","NEED REF")</f>
        <v/>
      </c>
    </row>
    <row r="11261">
      <c r="B11261" t="n">
        <v>34402745</v>
      </c>
      <c r="C11261" s="2" t="n">
        <v>41087</v>
      </c>
      <c r="D11261" t="inlineStr">
        <is>
          <t>NOM</t>
        </is>
      </c>
      <c r="E11261" t="inlineStr">
        <is>
          <t>LEFT SWITH CABINET AND SHEATH CABINETS</t>
        </is>
      </c>
      <c r="F11261" t="inlineStr">
        <is>
          <t>NS 4000A Banque de France</t>
        </is>
      </c>
      <c r="J11261" t="inlineStr">
        <is>
          <t>Civetta</t>
        </is>
      </c>
      <c r="L11261">
        <f>_xlfn.XLOOKUP(Tableau1[[#This Row],[TYPE DE PIECE]],Tableau4[MATIERE],Tableau4[SHORT TYPE],"",0,1)</f>
        <v/>
      </c>
      <c r="N11261">
        <f>IF(ISERR(FIND("DECOUPE",Tableau1[[#This Row],[DESIGNATION]])),"","NEED REF")</f>
        <v/>
      </c>
    </row>
    <row r="11262">
      <c r="B11262" t="n">
        <v>34402744</v>
      </c>
      <c r="C11262" s="2" t="n">
        <v>41087</v>
      </c>
      <c r="D11262" t="inlineStr">
        <is>
          <t>NOM</t>
        </is>
      </c>
      <c r="E11262" t="inlineStr">
        <is>
          <t>THYRISTOR SUB ASSEMBLY PHASE 1</t>
        </is>
      </c>
      <c r="F11262" t="inlineStr">
        <is>
          <t>NS 4000A Banque de France</t>
        </is>
      </c>
      <c r="J11262" t="inlineStr">
        <is>
          <t>Civetta</t>
        </is>
      </c>
      <c r="L11262">
        <f>_xlfn.XLOOKUP(Tableau1[[#This Row],[TYPE DE PIECE]],Tableau4[MATIERE],Tableau4[SHORT TYPE],"",0,1)</f>
        <v/>
      </c>
      <c r="N11262">
        <f>IF(ISERR(FIND("DECOUPE",Tableau1[[#This Row],[DESIGNATION]])),"","NEED REF")</f>
        <v/>
      </c>
    </row>
    <row r="11263">
      <c r="B11263" t="n">
        <v>34402743</v>
      </c>
      <c r="C11263" s="2" t="n">
        <v>41087</v>
      </c>
      <c r="D11263" t="inlineStr">
        <is>
          <t>NOM</t>
        </is>
      </c>
      <c r="E11263" t="inlineStr">
        <is>
          <t>THYRISTOR SUB ASSEMBLY PHASE 3</t>
        </is>
      </c>
      <c r="F11263" t="inlineStr">
        <is>
          <t>NS 4000A Banque de France</t>
        </is>
      </c>
      <c r="J11263" t="inlineStr">
        <is>
          <t>Civetta</t>
        </is>
      </c>
      <c r="L11263">
        <f>_xlfn.XLOOKUP(Tableau1[[#This Row],[TYPE DE PIECE]],Tableau4[MATIERE],Tableau4[SHORT TYPE],"",0,1)</f>
        <v/>
      </c>
      <c r="N11263">
        <f>IF(ISERR(FIND("DECOUPE",Tableau1[[#This Row],[DESIGNATION]])),"","NEED REF")</f>
        <v/>
      </c>
    </row>
    <row r="11264">
      <c r="B11264" t="n">
        <v>34402742</v>
      </c>
      <c r="C11264" s="2" t="n">
        <v>41087</v>
      </c>
      <c r="D11264" t="inlineStr">
        <is>
          <t>NOM</t>
        </is>
      </c>
      <c r="E11264" t="inlineStr">
        <is>
          <t>SE PLATINE ELECTRONIQUE NS 120</t>
        </is>
      </c>
      <c r="F11264" t="inlineStr">
        <is>
          <t>NS 4000A Banque de France</t>
        </is>
      </c>
      <c r="J11264" t="inlineStr">
        <is>
          <t>Civetta</t>
        </is>
      </c>
      <c r="L11264">
        <f>_xlfn.XLOOKUP(Tableau1[[#This Row],[TYPE DE PIECE]],Tableau4[MATIERE],Tableau4[SHORT TYPE],"",0,1)</f>
        <v/>
      </c>
      <c r="N11264">
        <f>IF(ISERR(FIND("DECOUPE",Tableau1[[#This Row],[DESIGNATION]])),"","NEED REF")</f>
        <v/>
      </c>
    </row>
    <row r="11265">
      <c r="B11265" t="n">
        <v>34402741</v>
      </c>
      <c r="C11265" s="2" t="n">
        <v>41087</v>
      </c>
      <c r="D11265" t="inlineStr">
        <is>
          <t>NOM</t>
        </is>
      </c>
      <c r="E11265" t="inlineStr">
        <is>
          <t>THYRISTOR SUB ASSEMBLY PHASE 2</t>
        </is>
      </c>
      <c r="F11265" t="inlineStr">
        <is>
          <t>NS 4000A Banque de France</t>
        </is>
      </c>
      <c r="J11265" t="inlineStr">
        <is>
          <t>Civetta</t>
        </is>
      </c>
      <c r="L11265">
        <f>_xlfn.XLOOKUP(Tableau1[[#This Row],[TYPE DE PIECE]],Tableau4[MATIERE],Tableau4[SHORT TYPE],"",0,1)</f>
        <v/>
      </c>
      <c r="N11265">
        <f>IF(ISERR(FIND("DECOUPE",Tableau1[[#This Row],[DESIGNATION]])),"","NEED REF")</f>
        <v/>
      </c>
    </row>
    <row r="11266">
      <c r="B11266" t="n">
        <v>34402740</v>
      </c>
      <c r="C11266" s="2" t="n">
        <v>41087</v>
      </c>
      <c r="D11266" t="inlineStr">
        <is>
          <t>NOM</t>
        </is>
      </c>
      <c r="E11266" t="inlineStr">
        <is>
          <t>MASTERPACT NW20 Q3BP Q5N</t>
        </is>
      </c>
      <c r="F11266" t="inlineStr">
        <is>
          <t>NS 4000A Banque de France</t>
        </is>
      </c>
      <c r="J11266" t="inlineStr">
        <is>
          <t>Civetta</t>
        </is>
      </c>
      <c r="L11266">
        <f>_xlfn.XLOOKUP(Tableau1[[#This Row],[TYPE DE PIECE]],Tableau4[MATIERE],Tableau4[SHORT TYPE],"",0,1)</f>
        <v/>
      </c>
      <c r="N11266">
        <f>IF(ISERR(FIND("DECOUPE",Tableau1[[#This Row],[DESIGNATION]])),"","NEED REF")</f>
        <v/>
      </c>
    </row>
    <row r="11267">
      <c r="B11267" t="n">
        <v>34402739</v>
      </c>
      <c r="C11267" s="2" t="n">
        <v>41087</v>
      </c>
      <c r="D11267" t="inlineStr">
        <is>
          <t>NOM</t>
        </is>
      </c>
      <c r="E11267" t="inlineStr">
        <is>
          <t>NS 4000A</t>
        </is>
      </c>
      <c r="F11267" t="inlineStr">
        <is>
          <t>NS 4000A Banque de France</t>
        </is>
      </c>
      <c r="J11267" t="inlineStr">
        <is>
          <t>Civetta</t>
        </is>
      </c>
      <c r="L11267">
        <f>_xlfn.XLOOKUP(Tableau1[[#This Row],[TYPE DE PIECE]],Tableau4[MATIERE],Tableau4[SHORT TYPE],"",0,1)</f>
        <v/>
      </c>
      <c r="N11267">
        <f>IF(ISERR(FIND("DECOUPE",Tableau1[[#This Row],[DESIGNATION]])),"","NEED REF")</f>
        <v/>
      </c>
    </row>
    <row r="11268">
      <c r="B11268" t="n">
        <v>34402738</v>
      </c>
      <c r="C11268" s="2" t="n">
        <v>41085</v>
      </c>
      <c r="D11268" t="inlineStr">
        <is>
          <t>NOM</t>
        </is>
      </c>
      <c r="E11268" t="inlineStr">
        <is>
          <t>LG coffret dj batterie G6000 2xNS630</t>
        </is>
      </c>
      <c r="F11268" t="inlineStr">
        <is>
          <t>COFFRET DISJ G6K</t>
        </is>
      </c>
      <c r="J11268" t="inlineStr">
        <is>
          <t>MATRION</t>
        </is>
      </c>
      <c r="L11268">
        <f>_xlfn.XLOOKUP(Tableau1[[#This Row],[TYPE DE PIECE]],Tableau4[MATIERE],Tableau4[SHORT TYPE],"",0,1)</f>
        <v/>
      </c>
      <c r="N11268">
        <f>IF(ISERR(FIND("DECOUPE",Tableau1[[#This Row],[DESIGNATION]])),"","NEED REF")</f>
        <v/>
      </c>
    </row>
    <row r="11269">
      <c r="B11269" t="n">
        <v>34402737</v>
      </c>
      <c r="C11269" s="2" t="n">
        <v>41072</v>
      </c>
      <c r="D11269" t="inlineStr">
        <is>
          <t>SPEC</t>
        </is>
      </c>
      <c r="E11269" t="inlineStr">
        <is>
          <t>PLASTRON 712 H200 2xINS125 1xCPI SM300</t>
        </is>
      </c>
      <c r="F11269" t="inlineStr">
        <is>
          <t>Birdy</t>
        </is>
      </c>
      <c r="L11269">
        <f>_xlfn.XLOOKUP(Tableau1[[#This Row],[TYPE DE PIECE]],Tableau4[MATIERE],Tableau4[SHORT TYPE],"",0,1)</f>
        <v/>
      </c>
      <c r="N11269">
        <f>IF(ISERR(FIND("DECOUPE",Tableau1[[#This Row],[DESIGNATION]])),"","NEED REF")</f>
        <v/>
      </c>
    </row>
    <row r="11270">
      <c r="B11270" t="n">
        <v>34402736</v>
      </c>
      <c r="C11270" s="2" t="n">
        <v>41072</v>
      </c>
      <c r="D11270" t="inlineStr">
        <is>
          <t>SPEC</t>
        </is>
      </c>
      <c r="E11270" t="inlineStr">
        <is>
          <t>PORTE IP22 L700 STS1200A</t>
        </is>
      </c>
      <c r="F11270" t="inlineStr">
        <is>
          <t>STS1200A</t>
        </is>
      </c>
      <c r="L11270">
        <f>_xlfn.XLOOKUP(Tableau1[[#This Row],[TYPE DE PIECE]],Tableau4[MATIERE],Tableau4[SHORT TYPE],"",0,1)</f>
        <v/>
      </c>
      <c r="N11270">
        <f>IF(ISERR(FIND("DECOUPE",Tableau1[[#This Row],[DESIGNATION]])),"","NEED REF")</f>
        <v/>
      </c>
    </row>
    <row r="11271">
      <c r="B11271" t="n">
        <v>34402735</v>
      </c>
      <c r="C11271" s="2" t="n">
        <v>41072</v>
      </c>
      <c r="D11271" t="inlineStr">
        <is>
          <t>SPEC</t>
        </is>
      </c>
      <c r="E11271" t="inlineStr">
        <is>
          <t>SURTOIT IP22 STS1200A</t>
        </is>
      </c>
      <c r="F11271" t="inlineStr">
        <is>
          <t>STS1200A</t>
        </is>
      </c>
      <c r="L11271">
        <f>_xlfn.XLOOKUP(Tableau1[[#This Row],[TYPE DE PIECE]],Tableau4[MATIERE],Tableau4[SHORT TYPE],"",0,1)</f>
        <v/>
      </c>
      <c r="N11271">
        <f>IF(ISERR(FIND("DECOUPE",Tableau1[[#This Row],[DESIGNATION]])),"","NEED REF")</f>
        <v/>
      </c>
    </row>
    <row r="11272">
      <c r="B11272" t="n">
        <v>34402734</v>
      </c>
      <c r="C11272" s="2" t="n">
        <v>41068</v>
      </c>
      <c r="D11272" t="inlineStr">
        <is>
          <t>SPEC</t>
        </is>
      </c>
      <c r="E11272" t="inlineStr">
        <is>
          <t>PLASTRON H200 L712 pour 2 NSX100 à NSX250</t>
        </is>
      </c>
      <c r="F11272" t="inlineStr">
        <is>
          <t>Birdy</t>
        </is>
      </c>
      <c r="L11272">
        <f>_xlfn.XLOOKUP(Tableau1[[#This Row],[TYPE DE PIECE]],Tableau4[MATIERE],Tableau4[SHORT TYPE],"",0,1)</f>
        <v/>
      </c>
      <c r="N11272">
        <f>IF(ISERR(FIND("DECOUPE",Tableau1[[#This Row],[DESIGNATION]])),"","NEED REF")</f>
        <v/>
      </c>
    </row>
    <row r="11273">
      <c r="B11273" t="n">
        <v>34402733</v>
      </c>
      <c r="C11273" s="2" t="n">
        <v>41066</v>
      </c>
      <c r="D11273" t="inlineStr">
        <is>
          <t>SPEC</t>
        </is>
      </c>
      <c r="E11273" t="inlineStr">
        <is>
          <t>PASSE CABLE 300x300</t>
        </is>
      </c>
      <c r="F11273" t="inlineStr">
        <is>
          <t>TOUTES</t>
        </is>
      </c>
      <c r="L11273">
        <f>_xlfn.XLOOKUP(Tableau1[[#This Row],[TYPE DE PIECE]],Tableau4[MATIERE],Tableau4[SHORT TYPE],"",0,1)</f>
        <v/>
      </c>
      <c r="N11273">
        <f>IF(ISERR(FIND("DECOUPE",Tableau1[[#This Row],[DESIGNATION]])),"","NEED REF")</f>
        <v/>
      </c>
    </row>
    <row r="11274">
      <c r="B11274" t="n">
        <v>34402732</v>
      </c>
      <c r="C11274" s="2" t="n">
        <v>41066</v>
      </c>
      <c r="D11274" t="inlineStr">
        <is>
          <t>SPEC</t>
        </is>
      </c>
      <c r="E11274" t="inlineStr">
        <is>
          <t>TOIT 1012 G5K + PASSE CABLE 300x300</t>
        </is>
      </c>
      <c r="F11274" t="inlineStr">
        <is>
          <t>TOUTES</t>
        </is>
      </c>
      <c r="L11274">
        <f>_xlfn.XLOOKUP(Tableau1[[#This Row],[TYPE DE PIECE]],Tableau4[MATIERE],Tableau4[SHORT TYPE],"",0,1)</f>
        <v/>
      </c>
      <c r="N11274">
        <f>IF(ISERR(FIND("DECOUPE",Tableau1[[#This Row],[DESIGNATION]])),"","NEED REF")</f>
        <v/>
      </c>
    </row>
    <row r="11275">
      <c r="B11275" t="n">
        <v>34402731</v>
      </c>
      <c r="C11275" s="2" t="n">
        <v>41065</v>
      </c>
      <c r="D11275" t="inlineStr">
        <is>
          <t>SPEC</t>
        </is>
      </c>
      <c r="E11275" t="inlineStr">
        <is>
          <t>PLASTRON SUPP.2 COFFRET 2xINS630 + CPI</t>
        </is>
      </c>
      <c r="F11275" t="inlineStr">
        <is>
          <t>COFFRET DISJ G7K</t>
        </is>
      </c>
      <c r="L11275">
        <f>_xlfn.XLOOKUP(Tableau1[[#This Row],[TYPE DE PIECE]],Tableau4[MATIERE],Tableau4[SHORT TYPE],"",0,1)</f>
        <v/>
      </c>
      <c r="N11275">
        <f>IF(ISERR(FIND("DECOUPE",Tableau1[[#This Row],[DESIGNATION]])),"","NEED REF")</f>
        <v/>
      </c>
    </row>
    <row r="11276">
      <c r="B11276" t="n">
        <v>34402730</v>
      </c>
      <c r="C11276" s="2" t="n">
        <v>41065</v>
      </c>
      <c r="D11276" t="inlineStr">
        <is>
          <t>SPEC</t>
        </is>
      </c>
      <c r="E11276" t="inlineStr">
        <is>
          <t>PLASTRON SUPP. COFFRET 2xINS630 + CPI</t>
        </is>
      </c>
      <c r="F11276" t="inlineStr">
        <is>
          <t>COFFRET DISJ G7K</t>
        </is>
      </c>
      <c r="L11276">
        <f>_xlfn.XLOOKUP(Tableau1[[#This Row],[TYPE DE PIECE]],Tableau4[MATIERE],Tableau4[SHORT TYPE],"",0,1)</f>
        <v/>
      </c>
      <c r="N11276">
        <f>IF(ISERR(FIND("DECOUPE",Tableau1[[#This Row],[DESIGNATION]])),"","NEED REF")</f>
        <v/>
      </c>
    </row>
    <row r="11277">
      <c r="B11277" t="n">
        <v>34402729</v>
      </c>
      <c r="C11277" s="2" t="n">
        <v>41038</v>
      </c>
      <c r="D11277" t="inlineStr">
        <is>
          <t>SPEC</t>
        </is>
      </c>
      <c r="E11277" t="inlineStr">
        <is>
          <t>SEPARATEUR DE PHASE G7K 300kVA COSSE ALU 300mm2</t>
        </is>
      </c>
      <c r="F11277" t="inlineStr">
        <is>
          <t>ASI G7K 300kVA</t>
        </is>
      </c>
      <c r="L11277">
        <f>_xlfn.XLOOKUP(Tableau1[[#This Row],[TYPE DE PIECE]],Tableau4[MATIERE],Tableau4[SHORT TYPE],"",0,1)</f>
        <v/>
      </c>
      <c r="N11277">
        <f>IF(ISERR(FIND("DECOUPE",Tableau1[[#This Row],[DESIGNATION]])),"","NEED REF")</f>
        <v/>
      </c>
    </row>
    <row r="11278">
      <c r="B11278" t="n">
        <v>34402728</v>
      </c>
      <c r="C11278" s="2" t="n">
        <v>41038</v>
      </c>
      <c r="D11278" t="inlineStr">
        <is>
          <t>SPEC</t>
        </is>
      </c>
      <c r="E11278" t="inlineStr">
        <is>
          <t>SEPARATEUR DE PHASE STS600 COSSE ALU 300mm2</t>
        </is>
      </c>
      <c r="F11278" t="inlineStr">
        <is>
          <t>STS600A</t>
        </is>
      </c>
      <c r="L11278">
        <f>_xlfn.XLOOKUP(Tableau1[[#This Row],[TYPE DE PIECE]],Tableau4[MATIERE],Tableau4[SHORT TYPE],"",0,1)</f>
        <v/>
      </c>
      <c r="N11278">
        <f>IF(ISERR(FIND("DECOUPE",Tableau1[[#This Row],[DESIGNATION]])),"","NEED REF")</f>
        <v/>
      </c>
    </row>
    <row r="11279">
      <c r="B11279" t="n">
        <v>34402727</v>
      </c>
      <c r="C11279" s="2" t="n">
        <v>41016</v>
      </c>
      <c r="D11279" t="inlineStr">
        <is>
          <t>SPEC</t>
        </is>
      </c>
      <c r="E11279" t="inlineStr">
        <is>
          <t>PROTECTION PANEL NW10 DJ BATTERY</t>
        </is>
      </c>
      <c r="F11279" t="inlineStr">
        <is>
          <t>G5000</t>
        </is>
      </c>
      <c r="L11279">
        <f>_xlfn.XLOOKUP(Tableau1[[#This Row],[TYPE DE PIECE]],Tableau4[MATIERE],Tableau4[SHORT TYPE],"",0,1)</f>
        <v/>
      </c>
      <c r="N11279">
        <f>IF(ISERR(FIND("DECOUPE",Tableau1[[#This Row],[DESIGNATION]])),"","NEED REF")</f>
        <v/>
      </c>
    </row>
    <row r="11280">
      <c r="B11280" t="n">
        <v>34402726</v>
      </c>
      <c r="C11280" s="2" t="n">
        <v>41010</v>
      </c>
      <c r="D11280" t="inlineStr">
        <is>
          <t>SPEC</t>
        </is>
      </c>
      <c r="E11280" t="inlineStr">
        <is>
          <t>PLASTRON H=200 1xNSX100/250 BIRDY 712</t>
        </is>
      </c>
      <c r="F11280" t="inlineStr">
        <is>
          <t>ALL</t>
        </is>
      </c>
      <c r="L11280">
        <f>_xlfn.XLOOKUP(Tableau1[[#This Row],[TYPE DE PIECE]],Tableau4[MATIERE],Tableau4[SHORT TYPE],"",0,1)</f>
        <v/>
      </c>
      <c r="N11280">
        <f>IF(ISERR(FIND("DECOUPE",Tableau1[[#This Row],[DESIGNATION]])),"","NEED REF")</f>
        <v/>
      </c>
    </row>
    <row r="11281">
      <c r="B11281" t="n">
        <v>34402725</v>
      </c>
      <c r="C11281" s="2" t="n">
        <v>41005</v>
      </c>
      <c r="E11281" t="inlineStr">
        <is>
          <t>DISPO</t>
        </is>
      </c>
      <c r="L11281">
        <f>_xlfn.XLOOKUP(Tableau1[[#This Row],[TYPE DE PIECE]],Tableau4[MATIERE],Tableau4[SHORT TYPE],"",0,1)</f>
        <v/>
      </c>
      <c r="N11281">
        <f>IF(ISERR(FIND("DECOUPE",Tableau1[[#This Row],[DESIGNATION]])),"","NEED REF")</f>
        <v/>
      </c>
    </row>
    <row r="11282">
      <c r="B11282" t="n">
        <v>34402724</v>
      </c>
      <c r="C11282" s="2" t="n">
        <v>41005</v>
      </c>
      <c r="E11282" t="inlineStr">
        <is>
          <t>DISPO</t>
        </is>
      </c>
      <c r="L11282">
        <f>_xlfn.XLOOKUP(Tableau1[[#This Row],[TYPE DE PIECE]],Tableau4[MATIERE],Tableau4[SHORT TYPE],"",0,1)</f>
        <v/>
      </c>
      <c r="N11282">
        <f>IF(ISERR(FIND("DECOUPE",Tableau1[[#This Row],[DESIGNATION]])),"","NEED REF")</f>
        <v/>
      </c>
    </row>
    <row r="11283">
      <c r="B11283" t="n">
        <v>34402723</v>
      </c>
      <c r="C11283" s="2" t="n">
        <v>41005</v>
      </c>
      <c r="D11283" t="inlineStr">
        <is>
          <t>PROE</t>
        </is>
      </c>
      <c r="E11283" t="inlineStr">
        <is>
          <t>PROTECTION LATERAL 1</t>
        </is>
      </c>
      <c r="F11283" t="inlineStr">
        <is>
          <t>STS1200A</t>
        </is>
      </c>
      <c r="L11283">
        <f>_xlfn.XLOOKUP(Tableau1[[#This Row],[TYPE DE PIECE]],Tableau4[MATIERE],Tableau4[SHORT TYPE],"",0,1)</f>
        <v/>
      </c>
      <c r="N11283">
        <f>IF(ISERR(FIND("DECOUPE",Tableau1[[#This Row],[DESIGNATION]])),"","NEED REF")</f>
        <v/>
      </c>
    </row>
    <row r="11284">
      <c r="B11284" t="n">
        <v>34402722</v>
      </c>
      <c r="C11284" s="2" t="n">
        <v>41005</v>
      </c>
      <c r="D11284" t="inlineStr">
        <is>
          <t>SPEC</t>
        </is>
      </c>
      <c r="E11284" t="inlineStr">
        <is>
          <t>PLAQUE MAINTENANCE ARR D&amp;G</t>
        </is>
      </c>
      <c r="F11284" t="inlineStr">
        <is>
          <t>STS1200A</t>
        </is>
      </c>
      <c r="L11284">
        <f>_xlfn.XLOOKUP(Tableau1[[#This Row],[TYPE DE PIECE]],Tableau4[MATIERE],Tableau4[SHORT TYPE],"",0,1)</f>
        <v/>
      </c>
      <c r="N11284">
        <f>IF(ISERR(FIND("DECOUPE",Tableau1[[#This Row],[DESIGNATION]])),"","NEED REF")</f>
        <v/>
      </c>
    </row>
    <row r="11285">
      <c r="B11285" t="n">
        <v>34402721</v>
      </c>
      <c r="C11285" s="2" t="n">
        <v>41005</v>
      </c>
      <c r="E11285" t="inlineStr">
        <is>
          <t>DISPO</t>
        </is>
      </c>
      <c r="L11285">
        <f>_xlfn.XLOOKUP(Tableau1[[#This Row],[TYPE DE PIECE]],Tableau4[MATIERE],Tableau4[SHORT TYPE],"",0,1)</f>
        <v/>
      </c>
      <c r="N11285">
        <f>IF(ISERR(FIND("DECOUPE",Tableau1[[#This Row],[DESIGNATION]])),"","NEED REF")</f>
        <v/>
      </c>
    </row>
    <row r="11286">
      <c r="B11286" t="n">
        <v>34402720</v>
      </c>
      <c r="C11286" s="2" t="n">
        <v>41005</v>
      </c>
      <c r="D11286" t="inlineStr">
        <is>
          <t>SPEC</t>
        </is>
      </c>
      <c r="E11286" t="inlineStr">
        <is>
          <t>CABLE RACCORD TERRE TGAB</t>
        </is>
      </c>
      <c r="F11286" t="inlineStr">
        <is>
          <t>STS1200A</t>
        </is>
      </c>
      <c r="L11286">
        <f>_xlfn.XLOOKUP(Tableau1[[#This Row],[TYPE DE PIECE]],Tableau4[MATIERE],Tableau4[SHORT TYPE],"",0,1)</f>
        <v/>
      </c>
      <c r="N11286">
        <f>IF(ISERR(FIND("DECOUPE",Tableau1[[#This Row],[DESIGNATION]])),"","NEED REF")</f>
        <v/>
      </c>
    </row>
    <row r="11287">
      <c r="B11287" t="n">
        <v>34402719</v>
      </c>
      <c r="C11287" s="2" t="n">
        <v>41005</v>
      </c>
      <c r="D11287" t="inlineStr">
        <is>
          <t>SPEC</t>
        </is>
      </c>
      <c r="E11287" t="inlineStr">
        <is>
          <t>PLAQUE MAINTENANCE CHASSIS CS D&amp;G</t>
        </is>
      </c>
      <c r="F11287" t="inlineStr">
        <is>
          <t>STS1200A</t>
        </is>
      </c>
      <c r="L11287">
        <f>_xlfn.XLOOKUP(Tableau1[[#This Row],[TYPE DE PIECE]],Tableau4[MATIERE],Tableau4[SHORT TYPE],"",0,1)</f>
        <v/>
      </c>
      <c r="N11287">
        <f>IF(ISERR(FIND("DECOUPE",Tableau1[[#This Row],[DESIGNATION]])),"","NEED REF")</f>
        <v/>
      </c>
    </row>
    <row r="11288">
      <c r="B11288" t="n">
        <v>34402718</v>
      </c>
      <c r="C11288" s="2" t="n">
        <v>41005</v>
      </c>
      <c r="D11288" t="inlineStr">
        <is>
          <t>SPEC</t>
        </is>
      </c>
      <c r="E11288" t="inlineStr">
        <is>
          <t>PLAQUE SERRAGE BARRE SOUPLE TGAB</t>
        </is>
      </c>
      <c r="F11288" t="inlineStr">
        <is>
          <t>STS1200A</t>
        </is>
      </c>
      <c r="L11288">
        <f>_xlfn.XLOOKUP(Tableau1[[#This Row],[TYPE DE PIECE]],Tableau4[MATIERE],Tableau4[SHORT TYPE],"",0,1)</f>
        <v/>
      </c>
      <c r="N11288">
        <f>IF(ISERR(FIND("DECOUPE",Tableau1[[#This Row],[DESIGNATION]])),"","NEED REF")</f>
        <v/>
      </c>
    </row>
    <row r="11289">
      <c r="B11289" t="n">
        <v>34402717</v>
      </c>
      <c r="C11289" s="2" t="n">
        <v>41001</v>
      </c>
      <c r="D11289" t="inlineStr">
        <is>
          <t>SPEC</t>
        </is>
      </c>
      <c r="E11289" t="inlineStr">
        <is>
          <t>EXTT / SYNIN PLATE 2/2</t>
        </is>
      </c>
      <c r="F11289" t="inlineStr">
        <is>
          <t>NS2000</t>
        </is>
      </c>
      <c r="L11289">
        <f>_xlfn.XLOOKUP(Tableau1[[#This Row],[TYPE DE PIECE]],Tableau4[MATIERE],Tableau4[SHORT TYPE],"",0,1)</f>
        <v/>
      </c>
      <c r="N11289">
        <f>IF(ISERR(FIND("DECOUPE",Tableau1[[#This Row],[DESIGNATION]])),"","NEED REF")</f>
        <v/>
      </c>
    </row>
    <row r="11290">
      <c r="B11290" t="n">
        <v>34402716</v>
      </c>
      <c r="C11290" s="2" t="n">
        <v>41001</v>
      </c>
      <c r="D11290" t="inlineStr">
        <is>
          <t>SPEC</t>
        </is>
      </c>
      <c r="E11290" t="inlineStr">
        <is>
          <t>EXTT / SYNIN PLATE 1/2</t>
        </is>
      </c>
      <c r="F11290" t="inlineStr">
        <is>
          <t>NS2000</t>
        </is>
      </c>
      <c r="L11290">
        <f>_xlfn.XLOOKUP(Tableau1[[#This Row],[TYPE DE PIECE]],Tableau4[MATIERE],Tableau4[SHORT TYPE],"",0,1)</f>
        <v/>
      </c>
      <c r="N11290">
        <f>IF(ISERR(FIND("DECOUPE",Tableau1[[#This Row],[DESIGNATION]])),"","NEED REF")</f>
        <v/>
      </c>
    </row>
    <row r="11291">
      <c r="B11291" t="n">
        <v>34402715</v>
      </c>
      <c r="C11291" s="2" t="n">
        <v>40994</v>
      </c>
      <c r="D11291" t="inlineStr">
        <is>
          <t>SPEC</t>
        </is>
      </c>
      <c r="E11291" t="inlineStr">
        <is>
          <t>DRAPEAU UTIL TGAB HAUT</t>
        </is>
      </c>
      <c r="F11291" t="inlineStr">
        <is>
          <t>STS1200A</t>
        </is>
      </c>
      <c r="L11291">
        <f>_xlfn.XLOOKUP(Tableau1[[#This Row],[TYPE DE PIECE]],Tableau4[MATIERE],Tableau4[SHORT TYPE],"",0,1)</f>
        <v/>
      </c>
      <c r="N11291">
        <f>IF(ISERR(FIND("DECOUPE",Tableau1[[#This Row],[DESIGNATION]])),"","NEED REF")</f>
        <v/>
      </c>
    </row>
    <row r="11292">
      <c r="B11292" t="n">
        <v>34402714</v>
      </c>
      <c r="C11292" s="2" t="n">
        <v>40994</v>
      </c>
      <c r="D11292" t="inlineStr">
        <is>
          <t>SPEC</t>
        </is>
      </c>
      <c r="E11292" t="inlineStr">
        <is>
          <t>BARRE SOUPLE UTIL TGAB HAUT</t>
        </is>
      </c>
      <c r="F11292" t="inlineStr">
        <is>
          <t>STS1200A</t>
        </is>
      </c>
      <c r="L11292">
        <f>_xlfn.XLOOKUP(Tableau1[[#This Row],[TYPE DE PIECE]],Tableau4[MATIERE],Tableau4[SHORT TYPE],"",0,1)</f>
        <v/>
      </c>
      <c r="N11292">
        <f>IF(ISERR(FIND("DECOUPE",Tableau1[[#This Row],[DESIGNATION]])),"","NEED REF")</f>
        <v/>
      </c>
    </row>
    <row r="11293">
      <c r="B11293" t="n">
        <v>34402713</v>
      </c>
      <c r="C11293" s="2" t="n">
        <v>40994</v>
      </c>
      <c r="D11293" t="inlineStr">
        <is>
          <t>SPEC</t>
        </is>
      </c>
      <c r="E11293" t="inlineStr">
        <is>
          <t>SERRE BARRE S1S2 TGAB HAUT</t>
        </is>
      </c>
      <c r="F11293" t="inlineStr">
        <is>
          <t>STS1200A</t>
        </is>
      </c>
      <c r="L11293">
        <f>_xlfn.XLOOKUP(Tableau1[[#This Row],[TYPE DE PIECE]],Tableau4[MATIERE],Tableau4[SHORT TYPE],"",0,1)</f>
        <v/>
      </c>
      <c r="N11293">
        <f>IF(ISERR(FIND("DECOUPE",Tableau1[[#This Row],[DESIGNATION]])),"","NEED REF")</f>
        <v/>
      </c>
    </row>
    <row r="11294">
      <c r="B11294" t="n">
        <v>34402712</v>
      </c>
      <c r="C11294" s="2" t="n">
        <v>41065</v>
      </c>
      <c r="D11294" t="inlineStr">
        <is>
          <t>NOM</t>
        </is>
      </c>
      <c r="E11294" t="inlineStr">
        <is>
          <t>LG SKID G7000 ASI AUX L=1800</t>
        </is>
      </c>
      <c r="F11294" t="inlineStr">
        <is>
          <t>TOUTES</t>
        </is>
      </c>
      <c r="J11294" t="inlineStr">
        <is>
          <t>ÇAKIR</t>
        </is>
      </c>
      <c r="L11294">
        <f>_xlfn.XLOOKUP(Tableau1[[#This Row],[TYPE DE PIECE]],Tableau4[MATIERE],Tableau4[SHORT TYPE],"",0,1)</f>
        <v/>
      </c>
      <c r="N11294">
        <f>IF(ISERR(FIND("DECOUPE",Tableau1[[#This Row],[DESIGNATION]])),"","NEED REF")</f>
        <v/>
      </c>
    </row>
    <row r="11295">
      <c r="B11295" t="n">
        <v>34402711</v>
      </c>
      <c r="C11295" s="2" t="n">
        <v>41065</v>
      </c>
      <c r="D11295" t="inlineStr">
        <is>
          <t>NOM</t>
        </is>
      </c>
      <c r="E11295" t="inlineStr">
        <is>
          <t>LG SKID G7000 GAINE 400</t>
        </is>
      </c>
      <c r="F11295" t="inlineStr">
        <is>
          <t>TOUTES</t>
        </is>
      </c>
      <c r="J11295" t="inlineStr">
        <is>
          <t>ÇAKIR</t>
        </is>
      </c>
      <c r="L11295">
        <f>_xlfn.XLOOKUP(Tableau1[[#This Row],[TYPE DE PIECE]],Tableau4[MATIERE],Tableau4[SHORT TYPE],"",0,1)</f>
        <v/>
      </c>
      <c r="N11295">
        <f>IF(ISERR(FIND("DECOUPE",Tableau1[[#This Row],[DESIGNATION]])),"","NEED REF")</f>
        <v/>
      </c>
    </row>
    <row r="11296">
      <c r="B11296" t="n">
        <v>34402710</v>
      </c>
      <c r="C11296" s="2" t="n">
        <v>40994</v>
      </c>
      <c r="D11296" t="inlineStr">
        <is>
          <t>NOM</t>
        </is>
      </c>
      <c r="E11296" t="inlineStr">
        <is>
          <t>Réservé</t>
        </is>
      </c>
      <c r="F11296" t="inlineStr">
        <is>
          <t>SHAMIYA</t>
        </is>
      </c>
      <c r="L11296">
        <f>_xlfn.XLOOKUP(Tableau1[[#This Row],[TYPE DE PIECE]],Tableau4[MATIERE],Tableau4[SHORT TYPE],"",0,1)</f>
        <v/>
      </c>
      <c r="N11296">
        <f>IF(ISERR(FIND("DECOUPE",Tableau1[[#This Row],[DESIGNATION]])),"","NEED REF")</f>
        <v/>
      </c>
    </row>
    <row r="11297">
      <c r="B11297" t="n">
        <v>34402709</v>
      </c>
      <c r="C11297" s="2" t="n">
        <v>40994</v>
      </c>
      <c r="D11297" t="inlineStr">
        <is>
          <t>SPEC</t>
        </is>
      </c>
      <c r="E11297" t="inlineStr">
        <is>
          <t>Réservé</t>
        </is>
      </c>
      <c r="F11297" t="inlineStr">
        <is>
          <t>SHAMIYA</t>
        </is>
      </c>
      <c r="L11297">
        <f>_xlfn.XLOOKUP(Tableau1[[#This Row],[TYPE DE PIECE]],Tableau4[MATIERE],Tableau4[SHORT TYPE],"",0,1)</f>
        <v/>
      </c>
      <c r="N11297">
        <f>IF(ISERR(FIND("DECOUPE",Tableau1[[#This Row],[DESIGNATION]])),"","NEED REF")</f>
        <v/>
      </c>
    </row>
    <row r="11298">
      <c r="B11298" t="n">
        <v>34402708</v>
      </c>
      <c r="C11298" s="2" t="n">
        <v>40994</v>
      </c>
      <c r="D11298" t="inlineStr">
        <is>
          <t>SPEC</t>
        </is>
      </c>
      <c r="E11298" t="inlineStr">
        <is>
          <t>Réservé</t>
        </is>
      </c>
      <c r="F11298" t="inlineStr">
        <is>
          <t>SHAMIYA</t>
        </is>
      </c>
      <c r="L11298">
        <f>_xlfn.XLOOKUP(Tableau1[[#This Row],[TYPE DE PIECE]],Tableau4[MATIERE],Tableau4[SHORT TYPE],"",0,1)</f>
        <v/>
      </c>
      <c r="N11298">
        <f>IF(ISERR(FIND("DECOUPE",Tableau1[[#This Row],[DESIGNATION]])),"","NEED REF")</f>
        <v/>
      </c>
    </row>
    <row r="11299">
      <c r="B11299" t="n">
        <v>34402707</v>
      </c>
      <c r="C11299" s="2" t="n">
        <v>40994</v>
      </c>
      <c r="D11299" t="inlineStr">
        <is>
          <t>SPEC</t>
        </is>
      </c>
      <c r="E11299" t="inlineStr">
        <is>
          <t>Réservé</t>
        </is>
      </c>
      <c r="F11299" t="inlineStr">
        <is>
          <t>SHAMIYA</t>
        </is>
      </c>
      <c r="L11299">
        <f>_xlfn.XLOOKUP(Tableau1[[#This Row],[TYPE DE PIECE]],Tableau4[MATIERE],Tableau4[SHORT TYPE],"",0,1)</f>
        <v/>
      </c>
      <c r="N11299">
        <f>IF(ISERR(FIND("DECOUPE",Tableau1[[#This Row],[DESIGNATION]])),"","NEED REF")</f>
        <v/>
      </c>
    </row>
    <row r="11300">
      <c r="B11300" t="n">
        <v>34402706</v>
      </c>
      <c r="C11300" s="2" t="n">
        <v>40994</v>
      </c>
      <c r="D11300" t="inlineStr">
        <is>
          <t>SPEC</t>
        </is>
      </c>
      <c r="E11300" t="inlineStr">
        <is>
          <t>Réservé</t>
        </is>
      </c>
      <c r="F11300" t="inlineStr">
        <is>
          <t>SHAMIYA</t>
        </is>
      </c>
      <c r="L11300">
        <f>_xlfn.XLOOKUP(Tableau1[[#This Row],[TYPE DE PIECE]],Tableau4[MATIERE],Tableau4[SHORT TYPE],"",0,1)</f>
        <v/>
      </c>
      <c r="N11300">
        <f>IF(ISERR(FIND("DECOUPE",Tableau1[[#This Row],[DESIGNATION]])),"","NEED REF")</f>
        <v/>
      </c>
    </row>
    <row r="11301">
      <c r="B11301" t="n">
        <v>34402705</v>
      </c>
      <c r="C11301" s="2" t="n">
        <v>40994</v>
      </c>
      <c r="D11301" t="inlineStr">
        <is>
          <t>SPEC</t>
        </is>
      </c>
      <c r="E11301" t="inlineStr">
        <is>
          <t>CABLE de TERRE FILTRE</t>
        </is>
      </c>
      <c r="F11301" t="inlineStr">
        <is>
          <t>SHAMIYA</t>
        </is>
      </c>
      <c r="J11301" t="inlineStr">
        <is>
          <t>ÇAKIR</t>
        </is>
      </c>
      <c r="L11301">
        <f>_xlfn.XLOOKUP(Tableau1[[#This Row],[TYPE DE PIECE]],Tableau4[MATIERE],Tableau4[SHORT TYPE],"",0,1)</f>
        <v/>
      </c>
      <c r="N11301">
        <f>IF(ISERR(FIND("DECOUPE",Tableau1[[#This Row],[DESIGNATION]])),"","NEED REF")</f>
        <v/>
      </c>
    </row>
    <row r="11302">
      <c r="B11302" t="n">
        <v>34402704</v>
      </c>
      <c r="C11302" s="2" t="n">
        <v>41080</v>
      </c>
      <c r="D11302" t="inlineStr">
        <is>
          <t>SPEC</t>
        </is>
      </c>
      <c r="E11302" t="inlineStr">
        <is>
          <t>BARRE NEUTRE CONNEXION CLIENT</t>
        </is>
      </c>
      <c r="F11302" t="inlineStr">
        <is>
          <t>SHAMIYA</t>
        </is>
      </c>
      <c r="J11302" t="inlineStr">
        <is>
          <t>ÇAKIR</t>
        </is>
      </c>
      <c r="L11302">
        <f>_xlfn.XLOOKUP(Tableau1[[#This Row],[TYPE DE PIECE]],Tableau4[MATIERE],Tableau4[SHORT TYPE],"",0,1)</f>
        <v/>
      </c>
      <c r="N11302">
        <f>IF(ISERR(FIND("DECOUPE",Tableau1[[#This Row],[DESIGNATION]])),"","NEED REF")</f>
        <v/>
      </c>
    </row>
    <row r="11303">
      <c r="B11303" t="n">
        <v>34402703</v>
      </c>
      <c r="C11303" s="2" t="n">
        <v>41080</v>
      </c>
      <c r="D11303" t="inlineStr">
        <is>
          <t>SPEC</t>
        </is>
      </c>
      <c r="E11303" t="inlineStr">
        <is>
          <t>CX CORO FILT BARRE NEUTRE 50x5</t>
        </is>
      </c>
      <c r="F11303" t="inlineStr">
        <is>
          <t>SHAMIYA</t>
        </is>
      </c>
      <c r="J11303" t="inlineStr">
        <is>
          <t>ÇAKIR</t>
        </is>
      </c>
      <c r="L11303">
        <f>_xlfn.XLOOKUP(Tableau1[[#This Row],[TYPE DE PIECE]],Tableau4[MATIERE],Tableau4[SHORT TYPE],"",0,1)</f>
        <v/>
      </c>
      <c r="N11303">
        <f>IF(ISERR(FIND("DECOUPE",Tableau1[[#This Row],[DESIGNATION]])),"","NEED REF")</f>
        <v/>
      </c>
    </row>
    <row r="11304">
      <c r="B11304" t="n">
        <v>34402702</v>
      </c>
      <c r="C11304" s="2" t="n">
        <v>41080</v>
      </c>
      <c r="D11304" t="inlineStr">
        <is>
          <t>SPEC</t>
        </is>
      </c>
      <c r="E11304" t="inlineStr">
        <is>
          <t>CX CORO FILT BARRE NEUTRE 32x5</t>
        </is>
      </c>
      <c r="F11304" t="inlineStr">
        <is>
          <t>SHAMIYA</t>
        </is>
      </c>
      <c r="J11304" t="inlineStr">
        <is>
          <t>ÇAKIR</t>
        </is>
      </c>
      <c r="L11304">
        <f>_xlfn.XLOOKUP(Tableau1[[#This Row],[TYPE DE PIECE]],Tableau4[MATIERE],Tableau4[SHORT TYPE],"",0,1)</f>
        <v/>
      </c>
      <c r="N11304">
        <f>IF(ISERR(FIND("DECOUPE",Tableau1[[#This Row],[DESIGNATION]])),"","NEED REF")</f>
        <v/>
      </c>
    </row>
    <row r="11305">
      <c r="B11305" t="n">
        <v>34402701</v>
      </c>
      <c r="C11305" s="2" t="n">
        <v>40994</v>
      </c>
      <c r="D11305" t="inlineStr">
        <is>
          <t>SPEC</t>
        </is>
      </c>
      <c r="E11305" t="inlineStr">
        <is>
          <t>SUPPORT BARRES BATTERIE</t>
        </is>
      </c>
      <c r="F11305" t="inlineStr">
        <is>
          <t>SHAMIYA</t>
        </is>
      </c>
      <c r="L11305">
        <f>_xlfn.XLOOKUP(Tableau1[[#This Row],[TYPE DE PIECE]],Tableau4[MATIERE],Tableau4[SHORT TYPE],"",0,1)</f>
        <v/>
      </c>
      <c r="N11305">
        <f>IF(ISERR(FIND("DECOUPE",Tableau1[[#This Row],[DESIGNATION]])),"","NEED REF")</f>
        <v/>
      </c>
    </row>
    <row r="11306">
      <c r="B11306" t="n">
        <v>34402700</v>
      </c>
      <c r="C11306" s="2" t="n">
        <v>40994</v>
      </c>
      <c r="D11306" t="inlineStr">
        <is>
          <t>SPEC</t>
        </is>
      </c>
      <c r="E11306" t="inlineStr">
        <is>
          <t>BARRE CONNEXION BATTERIE</t>
        </is>
      </c>
      <c r="F11306" t="inlineStr">
        <is>
          <t>SHAMIYA</t>
        </is>
      </c>
      <c r="L11306">
        <f>_xlfn.XLOOKUP(Tableau1[[#This Row],[TYPE DE PIECE]],Tableau4[MATIERE],Tableau4[SHORT TYPE],"",0,1)</f>
        <v/>
      </c>
      <c r="N11306">
        <f>IF(ISERR(FIND("DECOUPE",Tableau1[[#This Row],[DESIGNATION]])),"","NEED REF")</f>
        <v/>
      </c>
    </row>
    <row r="11307">
      <c r="B11307" t="n">
        <v>34402699</v>
      </c>
      <c r="C11307" s="2" t="n">
        <v>40994</v>
      </c>
      <c r="D11307" t="inlineStr">
        <is>
          <t>SPEC</t>
        </is>
      </c>
      <c r="E11307" t="inlineStr">
        <is>
          <t>CALE POUR CORO 32x6</t>
        </is>
      </c>
      <c r="F11307" t="inlineStr">
        <is>
          <t>SHAMIYA</t>
        </is>
      </c>
      <c r="L11307">
        <f>_xlfn.XLOOKUP(Tableau1[[#This Row],[TYPE DE PIECE]],Tableau4[MATIERE],Tableau4[SHORT TYPE],"",0,1)</f>
        <v/>
      </c>
      <c r="N11307">
        <f>IF(ISERR(FIND("DECOUPE",Tableau1[[#This Row],[DESIGNATION]])),"","NEED REF")</f>
        <v/>
      </c>
    </row>
    <row r="11308">
      <c r="B11308" t="n">
        <v>34402698</v>
      </c>
      <c r="C11308" s="2" t="n">
        <v>40994</v>
      </c>
      <c r="D11308" t="inlineStr">
        <is>
          <t>SPEC</t>
        </is>
      </c>
      <c r="E11308" t="inlineStr">
        <is>
          <t>CALE POUR CORO 50x5</t>
        </is>
      </c>
      <c r="F11308" t="inlineStr">
        <is>
          <t>SHAMIYA</t>
        </is>
      </c>
      <c r="L11308">
        <f>_xlfn.XLOOKUP(Tableau1[[#This Row],[TYPE DE PIECE]],Tableau4[MATIERE],Tableau4[SHORT TYPE],"",0,1)</f>
        <v/>
      </c>
      <c r="N11308">
        <f>IF(ISERR(FIND("DECOUPE",Tableau1[[#This Row],[DESIGNATION]])),"","NEED REF")</f>
        <v/>
      </c>
    </row>
    <row r="11309">
      <c r="B11309" t="n">
        <v>34402697</v>
      </c>
      <c r="C11309" s="2" t="n">
        <v>40991</v>
      </c>
      <c r="D11309" t="inlineStr">
        <is>
          <t>SPEC</t>
        </is>
      </c>
      <c r="E11309" t="inlineStr">
        <is>
          <t>BARRE SOUPLE L3 S1S2 TGAB HAUT</t>
        </is>
      </c>
      <c r="F11309" t="inlineStr">
        <is>
          <t>STS1200A</t>
        </is>
      </c>
      <c r="L11309">
        <f>_xlfn.XLOOKUP(Tableau1[[#This Row],[TYPE DE PIECE]],Tableau4[MATIERE],Tableau4[SHORT TYPE],"",0,1)</f>
        <v/>
      </c>
      <c r="N11309">
        <f>IF(ISERR(FIND("DECOUPE",Tableau1[[#This Row],[DESIGNATION]])),"","NEED REF")</f>
        <v/>
      </c>
    </row>
    <row r="11310">
      <c r="B11310" t="n">
        <v>34402696</v>
      </c>
      <c r="C11310" s="2" t="n">
        <v>40991</v>
      </c>
      <c r="D11310" t="inlineStr">
        <is>
          <t>SPEC</t>
        </is>
      </c>
      <c r="E11310" t="inlineStr">
        <is>
          <t>BARRE SOUPLE L2 S1S2 TGAB HAUT</t>
        </is>
      </c>
      <c r="F11310" t="inlineStr">
        <is>
          <t>STS1200A</t>
        </is>
      </c>
      <c r="L11310">
        <f>_xlfn.XLOOKUP(Tableau1[[#This Row],[TYPE DE PIECE]],Tableau4[MATIERE],Tableau4[SHORT TYPE],"",0,1)</f>
        <v/>
      </c>
      <c r="N11310">
        <f>IF(ISERR(FIND("DECOUPE",Tableau1[[#This Row],[DESIGNATION]])),"","NEED REF")</f>
        <v/>
      </c>
    </row>
    <row r="11311">
      <c r="B11311" t="n">
        <v>34402695</v>
      </c>
      <c r="C11311" s="2" t="n">
        <v>40991</v>
      </c>
      <c r="D11311" t="inlineStr">
        <is>
          <t>SPEC</t>
        </is>
      </c>
      <c r="E11311" t="inlineStr">
        <is>
          <t>BARRE SOUPLE L1 S1S2 TGAB HAUT</t>
        </is>
      </c>
      <c r="F11311" t="inlineStr">
        <is>
          <t>STS1200A</t>
        </is>
      </c>
      <c r="L11311">
        <f>_xlfn.XLOOKUP(Tableau1[[#This Row],[TYPE DE PIECE]],Tableau4[MATIERE],Tableau4[SHORT TYPE],"",0,1)</f>
        <v/>
      </c>
      <c r="N11311">
        <f>IF(ISERR(FIND("DECOUPE",Tableau1[[#This Row],[DESIGNATION]])),"","NEED REF")</f>
        <v/>
      </c>
    </row>
    <row r="11312">
      <c r="B11312" t="n">
        <v>34402694</v>
      </c>
      <c r="C11312" s="2" t="n">
        <v>40991</v>
      </c>
      <c r="D11312" t="inlineStr">
        <is>
          <t>SPEC</t>
        </is>
      </c>
      <c r="E11312" t="inlineStr">
        <is>
          <t>BARRE SOUPLE N S1S2 TGAB HAUT</t>
        </is>
      </c>
      <c r="F11312" t="inlineStr">
        <is>
          <t>STS1200A</t>
        </is>
      </c>
      <c r="L11312">
        <f>_xlfn.XLOOKUP(Tableau1[[#This Row],[TYPE DE PIECE]],Tableau4[MATIERE],Tableau4[SHORT TYPE],"",0,1)</f>
        <v/>
      </c>
      <c r="N11312">
        <f>IF(ISERR(FIND("DECOUPE",Tableau1[[#This Row],[DESIGNATION]])),"","NEED REF")</f>
        <v/>
      </c>
    </row>
    <row r="11313">
      <c r="B11313" t="n">
        <v>34402693</v>
      </c>
      <c r="C11313" s="2" t="n">
        <v>40990</v>
      </c>
      <c r="D11313" t="inlineStr">
        <is>
          <t>SPEC</t>
        </is>
      </c>
      <c r="E11313" t="inlineStr">
        <is>
          <t xml:space="preserve">Arm PDPM277H NSX 250N CX Client </t>
        </is>
      </c>
      <c r="F11313" t="inlineStr">
        <is>
          <t>NEOCLYDE</t>
        </is>
      </c>
      <c r="J11313" t="inlineStr">
        <is>
          <t>ROBERT</t>
        </is>
      </c>
      <c r="L11313">
        <f>_xlfn.XLOOKUP(Tableau1[[#This Row],[TYPE DE PIECE]],Tableau4[MATIERE],Tableau4[SHORT TYPE],"",0,1)</f>
        <v/>
      </c>
      <c r="N11313">
        <f>IF(ISERR(FIND("DECOUPE",Tableau1[[#This Row],[DESIGNATION]])),"","NEED REF")</f>
        <v/>
      </c>
    </row>
    <row r="11314">
      <c r="B11314" t="n">
        <v>34402692</v>
      </c>
      <c r="C11314" s="2" t="n">
        <v>40990</v>
      </c>
      <c r="D11314" t="inlineStr">
        <is>
          <t>SPEC</t>
        </is>
      </c>
      <c r="E11314" t="inlineStr">
        <is>
          <t>Arm PDPM277H Plastron haut NSX 250N</t>
        </is>
      </c>
      <c r="F11314" t="inlineStr">
        <is>
          <t>NEOCLYDE</t>
        </is>
      </c>
      <c r="J11314" t="inlineStr">
        <is>
          <t>ROBERT</t>
        </is>
      </c>
      <c r="L11314">
        <f>_xlfn.XLOOKUP(Tableau1[[#This Row],[TYPE DE PIECE]],Tableau4[MATIERE],Tableau4[SHORT TYPE],"",0,1)</f>
        <v/>
      </c>
      <c r="N11314">
        <f>IF(ISERR(FIND("DECOUPE",Tableau1[[#This Row],[DESIGNATION]])),"","NEED REF")</f>
        <v/>
      </c>
    </row>
    <row r="11315">
      <c r="B11315" t="n">
        <v>34402691</v>
      </c>
      <c r="C11315" s="2" t="n">
        <v>40990</v>
      </c>
      <c r="D11315" t="inlineStr">
        <is>
          <t>SPEC</t>
        </is>
      </c>
      <c r="E11315" t="inlineStr">
        <is>
          <t>Arm PDPM277H Plastron bas NSX 250N</t>
        </is>
      </c>
      <c r="F11315" t="inlineStr">
        <is>
          <t>NEOCLYDE</t>
        </is>
      </c>
      <c r="J11315" t="inlineStr">
        <is>
          <t>ROBERT</t>
        </is>
      </c>
      <c r="L11315">
        <f>_xlfn.XLOOKUP(Tableau1[[#This Row],[TYPE DE PIECE]],Tableau4[MATIERE],Tableau4[SHORT TYPE],"",0,1)</f>
        <v/>
      </c>
      <c r="N11315">
        <f>IF(ISERR(FIND("DECOUPE",Tableau1[[#This Row],[DESIGNATION]])),"","NEED REF")</f>
        <v/>
      </c>
    </row>
    <row r="11316">
      <c r="B11316" t="n">
        <v>34402690</v>
      </c>
      <c r="C11316" s="2" t="n">
        <v>40990</v>
      </c>
      <c r="D11316" t="inlineStr">
        <is>
          <t>SPEC</t>
        </is>
      </c>
      <c r="E11316" t="inlineStr">
        <is>
          <t xml:space="preserve">PLASTRON H:300 AVEC OUVERTURE POUR NSX1004P </t>
        </is>
      </c>
      <c r="J11316" t="inlineStr">
        <is>
          <t>GALLAND</t>
        </is>
      </c>
      <c r="L11316">
        <f>_xlfn.XLOOKUP(Tableau1[[#This Row],[TYPE DE PIECE]],Tableau4[MATIERE],Tableau4[SHORT TYPE],"",0,1)</f>
        <v/>
      </c>
      <c r="N11316">
        <f>IF(ISERR(FIND("DECOUPE",Tableau1[[#This Row],[DESIGNATION]])),"","NEED REF")</f>
        <v/>
      </c>
    </row>
    <row r="11317">
      <c r="B11317" t="n">
        <v>34402689</v>
      </c>
      <c r="C11317" s="2" t="n">
        <v>40989</v>
      </c>
      <c r="D11317" t="inlineStr">
        <is>
          <t>SPEC</t>
        </is>
      </c>
      <c r="E11317" t="inlineStr">
        <is>
          <t>CALE 40x50</t>
        </is>
      </c>
      <c r="F11317" t="inlineStr">
        <is>
          <t>SHAMIYA</t>
        </is>
      </c>
      <c r="L11317">
        <f>_xlfn.XLOOKUP(Tableau1[[#This Row],[TYPE DE PIECE]],Tableau4[MATIERE],Tableau4[SHORT TYPE],"",0,1)</f>
        <v/>
      </c>
      <c r="N11317">
        <f>IF(ISERR(FIND("DECOUPE",Tableau1[[#This Row],[DESIGNATION]])),"","NEED REF")</f>
        <v/>
      </c>
    </row>
    <row r="11318">
      <c r="B11318" t="n">
        <v>34402688</v>
      </c>
      <c r="C11318" s="2" t="n">
        <v>40989</v>
      </c>
      <c r="D11318" t="inlineStr">
        <is>
          <t>SPEC</t>
        </is>
      </c>
      <c r="E11318" t="inlineStr">
        <is>
          <t>SUPPORT BARRES CLIENT</t>
        </is>
      </c>
      <c r="F11318" t="inlineStr">
        <is>
          <t>SHAMIYA</t>
        </is>
      </c>
      <c r="L11318">
        <f>_xlfn.XLOOKUP(Tableau1[[#This Row],[TYPE DE PIECE]],Tableau4[MATIERE],Tableau4[SHORT TYPE],"",0,1)</f>
        <v/>
      </c>
      <c r="N11318">
        <f>IF(ISERR(FIND("DECOUPE",Tableau1[[#This Row],[DESIGNATION]])),"","NEED REF")</f>
        <v/>
      </c>
    </row>
    <row r="11319">
      <c r="B11319" t="n">
        <v>34402687</v>
      </c>
      <c r="C11319" s="2" t="n">
        <v>40989</v>
      </c>
      <c r="D11319" t="inlineStr">
        <is>
          <t>SPEC</t>
        </is>
      </c>
      <c r="E11319" t="inlineStr">
        <is>
          <t>BARRE LIAISON NEUTRE 2</t>
        </is>
      </c>
      <c r="F11319" t="inlineStr">
        <is>
          <t>SHAMIYA</t>
        </is>
      </c>
      <c r="L11319">
        <f>_xlfn.XLOOKUP(Tableau1[[#This Row],[TYPE DE PIECE]],Tableau4[MATIERE],Tableau4[SHORT TYPE],"",0,1)</f>
        <v/>
      </c>
      <c r="N11319">
        <f>IF(ISERR(FIND("DECOUPE",Tableau1[[#This Row],[DESIGNATION]])),"","NEED REF")</f>
        <v/>
      </c>
    </row>
    <row r="11320">
      <c r="B11320" t="n">
        <v>34402686</v>
      </c>
      <c r="C11320" s="2" t="n">
        <v>40989</v>
      </c>
      <c r="D11320" t="inlineStr">
        <is>
          <t>SPEC</t>
        </is>
      </c>
      <c r="E11320" t="inlineStr">
        <is>
          <t>BARRE LIAISON NEUTRE 1</t>
        </is>
      </c>
      <c r="F11320" t="inlineStr">
        <is>
          <t>SHAMIYA</t>
        </is>
      </c>
      <c r="L11320">
        <f>_xlfn.XLOOKUP(Tableau1[[#This Row],[TYPE DE PIECE]],Tableau4[MATIERE],Tableau4[SHORT TYPE],"",0,1)</f>
        <v/>
      </c>
      <c r="N11320">
        <f>IF(ISERR(FIND("DECOUPE",Tableau1[[#This Row],[DESIGNATION]])),"","NEED REF")</f>
        <v/>
      </c>
    </row>
    <row r="11321">
      <c r="B11321" t="n">
        <v>34402685</v>
      </c>
      <c r="C11321" s="2" t="n">
        <v>40989</v>
      </c>
      <c r="D11321" t="inlineStr">
        <is>
          <t>SPEC</t>
        </is>
      </c>
      <c r="E11321" t="inlineStr">
        <is>
          <t>BARRE CONNEXION CLIENT</t>
        </is>
      </c>
      <c r="F11321" t="inlineStr">
        <is>
          <t>SHAMIYA</t>
        </is>
      </c>
      <c r="L11321">
        <f>_xlfn.XLOOKUP(Tableau1[[#This Row],[TYPE DE PIECE]],Tableau4[MATIERE],Tableau4[SHORT TYPE],"",0,1)</f>
        <v/>
      </c>
      <c r="N11321">
        <f>IF(ISERR(FIND("DECOUPE",Tableau1[[#This Row],[DESIGNATION]])),"","NEED REF")</f>
        <v/>
      </c>
    </row>
    <row r="11322">
      <c r="B11322" t="n">
        <v>34402684</v>
      </c>
      <c r="C11322" s="2" t="n">
        <v>40989</v>
      </c>
      <c r="D11322" t="inlineStr">
        <is>
          <t>SPEC</t>
        </is>
      </c>
      <c r="E11322" t="inlineStr">
        <is>
          <t>CX CORO INPUT FILT PH3 500kVA R2 4P</t>
        </is>
      </c>
      <c r="F11322" t="inlineStr">
        <is>
          <t>SHAMIYA</t>
        </is>
      </c>
      <c r="L11322">
        <f>_xlfn.XLOOKUP(Tableau1[[#This Row],[TYPE DE PIECE]],Tableau4[MATIERE],Tableau4[SHORT TYPE],"",0,1)</f>
        <v/>
      </c>
      <c r="N11322">
        <f>IF(ISERR(FIND("DECOUPE",Tableau1[[#This Row],[DESIGNATION]])),"","NEED REF")</f>
        <v/>
      </c>
    </row>
    <row r="11323">
      <c r="B11323" t="n">
        <v>34402683</v>
      </c>
      <c r="C11323" s="2" t="n">
        <v>40989</v>
      </c>
      <c r="D11323" t="inlineStr">
        <is>
          <t>SPEC</t>
        </is>
      </c>
      <c r="E11323" t="inlineStr">
        <is>
          <t>CX CORO INPUT FILT PH2 500kVA R2 4P</t>
        </is>
      </c>
      <c r="F11323" t="inlineStr">
        <is>
          <t>SHAMIYA</t>
        </is>
      </c>
      <c r="L11323">
        <f>_xlfn.XLOOKUP(Tableau1[[#This Row],[TYPE DE PIECE]],Tableau4[MATIERE],Tableau4[SHORT TYPE],"",0,1)</f>
        <v/>
      </c>
      <c r="N11323">
        <f>IF(ISERR(FIND("DECOUPE",Tableau1[[#This Row],[DESIGNATION]])),"","NEED REF")</f>
        <v/>
      </c>
    </row>
    <row r="11324">
      <c r="B11324" t="n">
        <v>34402682</v>
      </c>
      <c r="C11324" s="2" t="n">
        <v>40989</v>
      </c>
      <c r="D11324" t="inlineStr">
        <is>
          <t>SPEC</t>
        </is>
      </c>
      <c r="E11324" t="inlineStr">
        <is>
          <t>CX CORO INPUT FILT PH1 500kVA R2 4P</t>
        </is>
      </c>
      <c r="F11324" t="inlineStr">
        <is>
          <t>SHAMIYA</t>
        </is>
      </c>
      <c r="L11324">
        <f>_xlfn.XLOOKUP(Tableau1[[#This Row],[TYPE DE PIECE]],Tableau4[MATIERE],Tableau4[SHORT TYPE],"",0,1)</f>
        <v/>
      </c>
      <c r="N11324">
        <f>IF(ISERR(FIND("DECOUPE",Tableau1[[#This Row],[DESIGNATION]])),"","NEED REF")</f>
        <v/>
      </c>
    </row>
    <row r="11325">
      <c r="B11325" t="n">
        <v>34402681</v>
      </c>
      <c r="C11325" s="2" t="n">
        <v>40989</v>
      </c>
      <c r="D11325" t="inlineStr">
        <is>
          <t>SPEC</t>
        </is>
      </c>
      <c r="E11325" t="inlineStr">
        <is>
          <t>CX CORO FILT CONT PH3 500kVA R2 4P</t>
        </is>
      </c>
      <c r="F11325" t="inlineStr">
        <is>
          <t>SHAMIYA</t>
        </is>
      </c>
      <c r="L11325">
        <f>_xlfn.XLOOKUP(Tableau1[[#This Row],[TYPE DE PIECE]],Tableau4[MATIERE],Tableau4[SHORT TYPE],"",0,1)</f>
        <v/>
      </c>
      <c r="N11325">
        <f>IF(ISERR(FIND("DECOUPE",Tableau1[[#This Row],[DESIGNATION]])),"","NEED REF")</f>
        <v/>
      </c>
    </row>
    <row r="11326">
      <c r="B11326" t="n">
        <v>34402680</v>
      </c>
      <c r="C11326" s="2" t="n">
        <v>40989</v>
      </c>
      <c r="D11326" t="inlineStr">
        <is>
          <t>SPEC</t>
        </is>
      </c>
      <c r="E11326" t="inlineStr">
        <is>
          <t>CX CORO FILT CONT PH2 500kVA R2 4P</t>
        </is>
      </c>
      <c r="F11326" t="inlineStr">
        <is>
          <t>SHAMIYA</t>
        </is>
      </c>
      <c r="L11326">
        <f>_xlfn.XLOOKUP(Tableau1[[#This Row],[TYPE DE PIECE]],Tableau4[MATIERE],Tableau4[SHORT TYPE],"",0,1)</f>
        <v/>
      </c>
      <c r="N11326">
        <f>IF(ISERR(FIND("DECOUPE",Tableau1[[#This Row],[DESIGNATION]])),"","NEED REF")</f>
        <v/>
      </c>
    </row>
    <row r="11327">
      <c r="B11327" t="n">
        <v>34402679</v>
      </c>
      <c r="C11327" s="2" t="n">
        <v>40989</v>
      </c>
      <c r="D11327" t="inlineStr">
        <is>
          <t>SPEC</t>
        </is>
      </c>
      <c r="E11327" t="inlineStr">
        <is>
          <t>CX CORO FILT CONT PH1 500kVA R2 4P</t>
        </is>
      </c>
      <c r="F11327" t="inlineStr">
        <is>
          <t>SHAMIYA</t>
        </is>
      </c>
      <c r="L11327">
        <f>_xlfn.XLOOKUP(Tableau1[[#This Row],[TYPE DE PIECE]],Tableau4[MATIERE],Tableau4[SHORT TYPE],"",0,1)</f>
        <v/>
      </c>
      <c r="N11327">
        <f>IF(ISERR(FIND("DECOUPE",Tableau1[[#This Row],[DESIGNATION]])),"","NEED REF")</f>
        <v/>
      </c>
    </row>
    <row r="11328">
      <c r="B11328" t="n">
        <v>34402678</v>
      </c>
      <c r="C11328" s="2" t="n">
        <v>40989</v>
      </c>
      <c r="D11328" t="inlineStr">
        <is>
          <t>SPEC</t>
        </is>
      </c>
      <c r="E11328" t="inlineStr">
        <is>
          <t>CX CORO INPUT FILT PH3 500kVA R2 3P</t>
        </is>
      </c>
      <c r="F11328" t="inlineStr">
        <is>
          <t>SHAMIYA</t>
        </is>
      </c>
      <c r="L11328">
        <f>_xlfn.XLOOKUP(Tableau1[[#This Row],[TYPE DE PIECE]],Tableau4[MATIERE],Tableau4[SHORT TYPE],"",0,1)</f>
        <v/>
      </c>
      <c r="N11328">
        <f>IF(ISERR(FIND("DECOUPE",Tableau1[[#This Row],[DESIGNATION]])),"","NEED REF")</f>
        <v/>
      </c>
    </row>
    <row r="11329">
      <c r="B11329" t="n">
        <v>34402677</v>
      </c>
      <c r="C11329" s="2" t="n">
        <v>40989</v>
      </c>
      <c r="D11329" t="inlineStr">
        <is>
          <t>SPEC</t>
        </is>
      </c>
      <c r="E11329" t="inlineStr">
        <is>
          <t>CX CORO INPUT FILT PH2 500kVA R2 3P</t>
        </is>
      </c>
      <c r="F11329" t="inlineStr">
        <is>
          <t>SHAMIYA</t>
        </is>
      </c>
      <c r="L11329">
        <f>_xlfn.XLOOKUP(Tableau1[[#This Row],[TYPE DE PIECE]],Tableau4[MATIERE],Tableau4[SHORT TYPE],"",0,1)</f>
        <v/>
      </c>
      <c r="N11329">
        <f>IF(ISERR(FIND("DECOUPE",Tableau1[[#This Row],[DESIGNATION]])),"","NEED REF")</f>
        <v/>
      </c>
    </row>
    <row r="11330">
      <c r="B11330" t="n">
        <v>34402676</v>
      </c>
      <c r="C11330" s="2" t="n">
        <v>40989</v>
      </c>
      <c r="D11330" t="inlineStr">
        <is>
          <t>SPEC</t>
        </is>
      </c>
      <c r="E11330" t="inlineStr">
        <is>
          <t>CX CORO INPUT FILT PH1 400kVA R2 3P</t>
        </is>
      </c>
      <c r="F11330" t="inlineStr">
        <is>
          <t>SHAMIYA</t>
        </is>
      </c>
      <c r="L11330">
        <f>_xlfn.XLOOKUP(Tableau1[[#This Row],[TYPE DE PIECE]],Tableau4[MATIERE],Tableau4[SHORT TYPE],"",0,1)</f>
        <v/>
      </c>
      <c r="N11330">
        <f>IF(ISERR(FIND("DECOUPE",Tableau1[[#This Row],[DESIGNATION]])),"","NEED REF")</f>
        <v/>
      </c>
    </row>
    <row r="11331">
      <c r="B11331" t="n">
        <v>34402675</v>
      </c>
      <c r="C11331" s="2" t="n">
        <v>40989</v>
      </c>
      <c r="D11331" t="inlineStr">
        <is>
          <t>SPEC</t>
        </is>
      </c>
      <c r="E11331" t="inlineStr">
        <is>
          <t>CX CORO FILT CONT PH3 500kVA R2 3P</t>
        </is>
      </c>
      <c r="F11331" t="inlineStr">
        <is>
          <t>SHAMIYA</t>
        </is>
      </c>
      <c r="L11331">
        <f>_xlfn.XLOOKUP(Tableau1[[#This Row],[TYPE DE PIECE]],Tableau4[MATIERE],Tableau4[SHORT TYPE],"",0,1)</f>
        <v/>
      </c>
      <c r="N11331">
        <f>IF(ISERR(FIND("DECOUPE",Tableau1[[#This Row],[DESIGNATION]])),"","NEED REF")</f>
        <v/>
      </c>
    </row>
    <row r="11332">
      <c r="B11332" t="n">
        <v>34402674</v>
      </c>
      <c r="C11332" s="2" t="n">
        <v>40989</v>
      </c>
      <c r="D11332" t="inlineStr">
        <is>
          <t>SPEC</t>
        </is>
      </c>
      <c r="E11332" t="inlineStr">
        <is>
          <t>CX CORO FILT CONT PH2 400kVA R2 3P</t>
        </is>
      </c>
      <c r="F11332" t="inlineStr">
        <is>
          <t>SHAMIYA</t>
        </is>
      </c>
      <c r="L11332">
        <f>_xlfn.XLOOKUP(Tableau1[[#This Row],[TYPE DE PIECE]],Tableau4[MATIERE],Tableau4[SHORT TYPE],"",0,1)</f>
        <v/>
      </c>
      <c r="N11332">
        <f>IF(ISERR(FIND("DECOUPE",Tableau1[[#This Row],[DESIGNATION]])),"","NEED REF")</f>
        <v/>
      </c>
    </row>
    <row r="11333">
      <c r="B11333" t="n">
        <v>34402673</v>
      </c>
      <c r="C11333" s="2" t="n">
        <v>40989</v>
      </c>
      <c r="D11333" t="inlineStr">
        <is>
          <t>SPEC</t>
        </is>
      </c>
      <c r="E11333" t="inlineStr">
        <is>
          <t>CX CORO FILT CONT PH1 500kVA R2 3P</t>
        </is>
      </c>
      <c r="F11333" t="inlineStr">
        <is>
          <t>SHAMIYA</t>
        </is>
      </c>
      <c r="L11333">
        <f>_xlfn.XLOOKUP(Tableau1[[#This Row],[TYPE DE PIECE]],Tableau4[MATIERE],Tableau4[SHORT TYPE],"",0,1)</f>
        <v/>
      </c>
      <c r="N11333">
        <f>IF(ISERR(FIND("DECOUPE",Tableau1[[#This Row],[DESIGNATION]])),"","NEED REF")</f>
        <v/>
      </c>
    </row>
    <row r="11334">
      <c r="B11334" t="n">
        <v>34402672</v>
      </c>
      <c r="C11334" s="2" t="n">
        <v>40989</v>
      </c>
      <c r="D11334" t="inlineStr">
        <is>
          <t>SPEC</t>
        </is>
      </c>
      <c r="E11334" t="inlineStr">
        <is>
          <t>CX CORO INPUT FILT PH3 400kVA R2 4P</t>
        </is>
      </c>
      <c r="F11334" t="inlineStr">
        <is>
          <t>SHAMIYA</t>
        </is>
      </c>
      <c r="L11334">
        <f>_xlfn.XLOOKUP(Tableau1[[#This Row],[TYPE DE PIECE]],Tableau4[MATIERE],Tableau4[SHORT TYPE],"",0,1)</f>
        <v/>
      </c>
      <c r="N11334">
        <f>IF(ISERR(FIND("DECOUPE",Tableau1[[#This Row],[DESIGNATION]])),"","NEED REF")</f>
        <v/>
      </c>
    </row>
    <row r="11335">
      <c r="B11335" t="n">
        <v>34402671</v>
      </c>
      <c r="C11335" s="2" t="n">
        <v>40989</v>
      </c>
      <c r="D11335" t="inlineStr">
        <is>
          <t>SPEC</t>
        </is>
      </c>
      <c r="E11335" t="inlineStr">
        <is>
          <t>CX CORO INPUT FILT PH2 400kVA R2 4P</t>
        </is>
      </c>
      <c r="F11335" t="inlineStr">
        <is>
          <t>SHAMIYA</t>
        </is>
      </c>
      <c r="L11335">
        <f>_xlfn.XLOOKUP(Tableau1[[#This Row],[TYPE DE PIECE]],Tableau4[MATIERE],Tableau4[SHORT TYPE],"",0,1)</f>
        <v/>
      </c>
      <c r="N11335">
        <f>IF(ISERR(FIND("DECOUPE",Tableau1[[#This Row],[DESIGNATION]])),"","NEED REF")</f>
        <v/>
      </c>
    </row>
    <row r="11336">
      <c r="B11336" t="n">
        <v>34402670</v>
      </c>
      <c r="C11336" s="2" t="n">
        <v>40989</v>
      </c>
      <c r="D11336" t="inlineStr">
        <is>
          <t>SPEC</t>
        </is>
      </c>
      <c r="E11336" t="inlineStr">
        <is>
          <t>CX CORO INPUT FILT PH1 400kVA R2 4P</t>
        </is>
      </c>
      <c r="F11336" t="inlineStr">
        <is>
          <t>SHAMIYA</t>
        </is>
      </c>
      <c r="L11336">
        <f>_xlfn.XLOOKUP(Tableau1[[#This Row],[TYPE DE PIECE]],Tableau4[MATIERE],Tableau4[SHORT TYPE],"",0,1)</f>
        <v/>
      </c>
      <c r="N11336">
        <f>IF(ISERR(FIND("DECOUPE",Tableau1[[#This Row],[DESIGNATION]])),"","NEED REF")</f>
        <v/>
      </c>
    </row>
    <row r="11337">
      <c r="B11337" t="n">
        <v>34402669</v>
      </c>
      <c r="C11337" s="2" t="n">
        <v>40989</v>
      </c>
      <c r="D11337" t="inlineStr">
        <is>
          <t>SPEC</t>
        </is>
      </c>
      <c r="E11337" t="inlineStr">
        <is>
          <t>CX CORO FILT CONT PH3 400kVA R2 4P</t>
        </is>
      </c>
      <c r="F11337" t="inlineStr">
        <is>
          <t>SHAMIYA</t>
        </is>
      </c>
      <c r="L11337">
        <f>_xlfn.XLOOKUP(Tableau1[[#This Row],[TYPE DE PIECE]],Tableau4[MATIERE],Tableau4[SHORT TYPE],"",0,1)</f>
        <v/>
      </c>
      <c r="N11337">
        <f>IF(ISERR(FIND("DECOUPE",Tableau1[[#This Row],[DESIGNATION]])),"","NEED REF")</f>
        <v/>
      </c>
    </row>
    <row r="11338">
      <c r="B11338" t="n">
        <v>34402668</v>
      </c>
      <c r="C11338" s="2" t="n">
        <v>40989</v>
      </c>
      <c r="D11338" t="inlineStr">
        <is>
          <t>SPEC</t>
        </is>
      </c>
      <c r="E11338" t="inlineStr">
        <is>
          <t>CX CORO FILT CONT PH2 400kVA R2 4P</t>
        </is>
      </c>
      <c r="F11338" t="inlineStr">
        <is>
          <t>SHAMIYA</t>
        </is>
      </c>
      <c r="L11338">
        <f>_xlfn.XLOOKUP(Tableau1[[#This Row],[TYPE DE PIECE]],Tableau4[MATIERE],Tableau4[SHORT TYPE],"",0,1)</f>
        <v/>
      </c>
      <c r="N11338">
        <f>IF(ISERR(FIND("DECOUPE",Tableau1[[#This Row],[DESIGNATION]])),"","NEED REF")</f>
        <v/>
      </c>
    </row>
    <row r="11339">
      <c r="B11339" t="n">
        <v>34402667</v>
      </c>
      <c r="C11339" s="2" t="n">
        <v>40989</v>
      </c>
      <c r="D11339" t="inlineStr">
        <is>
          <t>SPEC</t>
        </is>
      </c>
      <c r="E11339" t="inlineStr">
        <is>
          <t>CX CORO FILT CONT PH1 400kVA R2 4P</t>
        </is>
      </c>
      <c r="F11339" t="inlineStr">
        <is>
          <t>SHAMIYA</t>
        </is>
      </c>
      <c r="L11339">
        <f>_xlfn.XLOOKUP(Tableau1[[#This Row],[TYPE DE PIECE]],Tableau4[MATIERE],Tableau4[SHORT TYPE],"",0,1)</f>
        <v/>
      </c>
      <c r="N11339">
        <f>IF(ISERR(FIND("DECOUPE",Tableau1[[#This Row],[DESIGNATION]])),"","NEED REF")</f>
        <v/>
      </c>
    </row>
    <row r="11340">
      <c r="B11340" t="n">
        <v>34402666</v>
      </c>
      <c r="C11340" s="2" t="n">
        <v>40989</v>
      </c>
      <c r="D11340" t="inlineStr">
        <is>
          <t>SPEC</t>
        </is>
      </c>
      <c r="E11340" t="inlineStr">
        <is>
          <t>CX CORO INPUT FILT PH3 400kVA R2 3P</t>
        </is>
      </c>
      <c r="F11340" t="inlineStr">
        <is>
          <t>SHAMIYA</t>
        </is>
      </c>
      <c r="L11340">
        <f>_xlfn.XLOOKUP(Tableau1[[#This Row],[TYPE DE PIECE]],Tableau4[MATIERE],Tableau4[SHORT TYPE],"",0,1)</f>
        <v/>
      </c>
      <c r="N11340">
        <f>IF(ISERR(FIND("DECOUPE",Tableau1[[#This Row],[DESIGNATION]])),"","NEED REF")</f>
        <v/>
      </c>
    </row>
    <row r="11341">
      <c r="B11341" t="n">
        <v>34402665</v>
      </c>
      <c r="C11341" s="2" t="n">
        <v>40989</v>
      </c>
      <c r="D11341" t="inlineStr">
        <is>
          <t>SPEC</t>
        </is>
      </c>
      <c r="E11341" t="inlineStr">
        <is>
          <t>CX CORO INPUT FILT PH2 400kVA R2 3P</t>
        </is>
      </c>
      <c r="F11341" t="inlineStr">
        <is>
          <t>SHAMIYA</t>
        </is>
      </c>
      <c r="L11341">
        <f>_xlfn.XLOOKUP(Tableau1[[#This Row],[TYPE DE PIECE]],Tableau4[MATIERE],Tableau4[SHORT TYPE],"",0,1)</f>
        <v/>
      </c>
      <c r="N11341">
        <f>IF(ISERR(FIND("DECOUPE",Tableau1[[#This Row],[DESIGNATION]])),"","NEED REF")</f>
        <v/>
      </c>
    </row>
    <row r="11342">
      <c r="B11342" t="n">
        <v>34402664</v>
      </c>
      <c r="C11342" s="2" t="n">
        <v>40989</v>
      </c>
      <c r="D11342" t="inlineStr">
        <is>
          <t>SPEC</t>
        </is>
      </c>
      <c r="E11342" t="inlineStr">
        <is>
          <t>CX CORO INPUT FILT PH1 400kVA R2 3P</t>
        </is>
      </c>
      <c r="F11342" t="inlineStr">
        <is>
          <t>SHAMIYA</t>
        </is>
      </c>
      <c r="L11342">
        <f>_xlfn.XLOOKUP(Tableau1[[#This Row],[TYPE DE PIECE]],Tableau4[MATIERE],Tableau4[SHORT TYPE],"",0,1)</f>
        <v/>
      </c>
      <c r="N11342">
        <f>IF(ISERR(FIND("DECOUPE",Tableau1[[#This Row],[DESIGNATION]])),"","NEED REF")</f>
        <v/>
      </c>
    </row>
    <row r="11343">
      <c r="B11343" t="n">
        <v>34402663</v>
      </c>
      <c r="C11343" s="2" t="n">
        <v>40989</v>
      </c>
      <c r="D11343" t="inlineStr">
        <is>
          <t>SPEC</t>
        </is>
      </c>
      <c r="E11343" t="inlineStr">
        <is>
          <t>CX CORO FILT CONT PH3 400kVA R2 3P</t>
        </is>
      </c>
      <c r="F11343" t="inlineStr">
        <is>
          <t>SHAMIYA</t>
        </is>
      </c>
      <c r="L11343">
        <f>_xlfn.XLOOKUP(Tableau1[[#This Row],[TYPE DE PIECE]],Tableau4[MATIERE],Tableau4[SHORT TYPE],"",0,1)</f>
        <v/>
      </c>
      <c r="N11343">
        <f>IF(ISERR(FIND("DECOUPE",Tableau1[[#This Row],[DESIGNATION]])),"","NEED REF")</f>
        <v/>
      </c>
    </row>
    <row r="11344">
      <c r="B11344" t="n">
        <v>34402662</v>
      </c>
      <c r="C11344" s="2" t="n">
        <v>40989</v>
      </c>
      <c r="D11344" t="inlineStr">
        <is>
          <t>SPEC</t>
        </is>
      </c>
      <c r="E11344" t="inlineStr">
        <is>
          <t>CX CORO FILT CONT PH2 400kVA R2 3P</t>
        </is>
      </c>
      <c r="F11344" t="inlineStr">
        <is>
          <t>SHAMIYA</t>
        </is>
      </c>
      <c r="L11344">
        <f>_xlfn.XLOOKUP(Tableau1[[#This Row],[TYPE DE PIECE]],Tableau4[MATIERE],Tableau4[SHORT TYPE],"",0,1)</f>
        <v/>
      </c>
      <c r="N11344">
        <f>IF(ISERR(FIND("DECOUPE",Tableau1[[#This Row],[DESIGNATION]])),"","NEED REF")</f>
        <v/>
      </c>
    </row>
    <row r="11345">
      <c r="B11345" t="n">
        <v>34402661</v>
      </c>
      <c r="C11345" s="2" t="n">
        <v>40989</v>
      </c>
      <c r="D11345" t="inlineStr">
        <is>
          <t>SPEC</t>
        </is>
      </c>
      <c r="E11345" t="inlineStr">
        <is>
          <t>CX CORO FILT CONT PH1 400kVA R2 3P</t>
        </is>
      </c>
      <c r="F11345" t="inlineStr">
        <is>
          <t>SHAMIYA</t>
        </is>
      </c>
      <c r="L11345">
        <f>_xlfn.XLOOKUP(Tableau1[[#This Row],[TYPE DE PIECE]],Tableau4[MATIERE],Tableau4[SHORT TYPE],"",0,1)</f>
        <v/>
      </c>
      <c r="N11345">
        <f>IF(ISERR(FIND("DECOUPE",Tableau1[[#This Row],[DESIGNATION]])),"","NEED REF")</f>
        <v/>
      </c>
    </row>
    <row r="11346">
      <c r="B11346" t="n">
        <v>34402660</v>
      </c>
      <c r="C11346" s="2" t="n">
        <v>40989</v>
      </c>
      <c r="D11346" t="inlineStr">
        <is>
          <t>SPEC</t>
        </is>
      </c>
      <c r="E11346" t="inlineStr">
        <is>
          <t>CX CORO INPUT FILT PH3 200kVA R2 4P</t>
        </is>
      </c>
      <c r="F11346" t="inlineStr">
        <is>
          <t>SHAMIYA</t>
        </is>
      </c>
      <c r="L11346">
        <f>_xlfn.XLOOKUP(Tableau1[[#This Row],[TYPE DE PIECE]],Tableau4[MATIERE],Tableau4[SHORT TYPE],"",0,1)</f>
        <v/>
      </c>
      <c r="N11346">
        <f>IF(ISERR(FIND("DECOUPE",Tableau1[[#This Row],[DESIGNATION]])),"","NEED REF")</f>
        <v/>
      </c>
    </row>
    <row r="11347">
      <c r="B11347" t="n">
        <v>34402659</v>
      </c>
      <c r="C11347" s="2" t="n">
        <v>40989</v>
      </c>
      <c r="D11347" t="inlineStr">
        <is>
          <t>SPEC</t>
        </is>
      </c>
      <c r="E11347" t="inlineStr">
        <is>
          <t>CX CORO INPUT FILT PH2 200kVA R2 4P</t>
        </is>
      </c>
      <c r="F11347" t="inlineStr">
        <is>
          <t>SHAMIYA</t>
        </is>
      </c>
      <c r="L11347">
        <f>_xlfn.XLOOKUP(Tableau1[[#This Row],[TYPE DE PIECE]],Tableau4[MATIERE],Tableau4[SHORT TYPE],"",0,1)</f>
        <v/>
      </c>
      <c r="N11347">
        <f>IF(ISERR(FIND("DECOUPE",Tableau1[[#This Row],[DESIGNATION]])),"","NEED REF")</f>
        <v/>
      </c>
    </row>
    <row r="11348">
      <c r="B11348" t="n">
        <v>34402658</v>
      </c>
      <c r="C11348" s="2" t="n">
        <v>40989</v>
      </c>
      <c r="D11348" t="inlineStr">
        <is>
          <t>SPEC</t>
        </is>
      </c>
      <c r="E11348" t="inlineStr">
        <is>
          <t>CX CORO INPUT FILT PH1 200kVA R2 4P</t>
        </is>
      </c>
      <c r="F11348" t="inlineStr">
        <is>
          <t>SHAMIYA</t>
        </is>
      </c>
      <c r="L11348">
        <f>_xlfn.XLOOKUP(Tableau1[[#This Row],[TYPE DE PIECE]],Tableau4[MATIERE],Tableau4[SHORT TYPE],"",0,1)</f>
        <v/>
      </c>
      <c r="N11348">
        <f>IF(ISERR(FIND("DECOUPE",Tableau1[[#This Row],[DESIGNATION]])),"","NEED REF")</f>
        <v/>
      </c>
    </row>
    <row r="11349">
      <c r="B11349" t="n">
        <v>34402657</v>
      </c>
      <c r="C11349" s="2" t="n">
        <v>40989</v>
      </c>
      <c r="D11349" t="inlineStr">
        <is>
          <t>SPEC</t>
        </is>
      </c>
      <c r="E11349" t="inlineStr">
        <is>
          <t>CX CORO FILT CONT PH3 200kVA R2 4P</t>
        </is>
      </c>
      <c r="F11349" t="inlineStr">
        <is>
          <t>SHAMIYA</t>
        </is>
      </c>
      <c r="L11349">
        <f>_xlfn.XLOOKUP(Tableau1[[#This Row],[TYPE DE PIECE]],Tableau4[MATIERE],Tableau4[SHORT TYPE],"",0,1)</f>
        <v/>
      </c>
      <c r="N11349">
        <f>IF(ISERR(FIND("DECOUPE",Tableau1[[#This Row],[DESIGNATION]])),"","NEED REF")</f>
        <v/>
      </c>
    </row>
    <row r="11350">
      <c r="B11350" t="n">
        <v>34402656</v>
      </c>
      <c r="C11350" s="2" t="n">
        <v>40989</v>
      </c>
      <c r="D11350" t="inlineStr">
        <is>
          <t>SPEC</t>
        </is>
      </c>
      <c r="E11350" t="inlineStr">
        <is>
          <t>CX CORO FILT CONT PH2 200kVA R2 4P</t>
        </is>
      </c>
      <c r="F11350" t="inlineStr">
        <is>
          <t>SHAMIYA</t>
        </is>
      </c>
      <c r="L11350">
        <f>_xlfn.XLOOKUP(Tableau1[[#This Row],[TYPE DE PIECE]],Tableau4[MATIERE],Tableau4[SHORT TYPE],"",0,1)</f>
        <v/>
      </c>
      <c r="N11350">
        <f>IF(ISERR(FIND("DECOUPE",Tableau1[[#This Row],[DESIGNATION]])),"","NEED REF")</f>
        <v/>
      </c>
    </row>
    <row r="11351">
      <c r="B11351" t="n">
        <v>34402655</v>
      </c>
      <c r="C11351" s="2" t="n">
        <v>40989</v>
      </c>
      <c r="D11351" t="inlineStr">
        <is>
          <t>SPEC</t>
        </is>
      </c>
      <c r="E11351" t="inlineStr">
        <is>
          <t>CX CORO FILT CONT PH1 200kVA R2 4P</t>
        </is>
      </c>
      <c r="F11351" t="inlineStr">
        <is>
          <t>SHAMIYA</t>
        </is>
      </c>
      <c r="L11351">
        <f>_xlfn.XLOOKUP(Tableau1[[#This Row],[TYPE DE PIECE]],Tableau4[MATIERE],Tableau4[SHORT TYPE],"",0,1)</f>
        <v/>
      </c>
      <c r="N11351">
        <f>IF(ISERR(FIND("DECOUPE",Tableau1[[#This Row],[DESIGNATION]])),"","NEED REF")</f>
        <v/>
      </c>
    </row>
    <row r="11352">
      <c r="B11352" t="n">
        <v>34402654</v>
      </c>
      <c r="C11352" s="2" t="n">
        <v>40989</v>
      </c>
      <c r="D11352" t="inlineStr">
        <is>
          <t>SPEC</t>
        </is>
      </c>
      <c r="E11352" t="inlineStr">
        <is>
          <t>CX CORO INPUT FILT PH3 200kVA R2 3P</t>
        </is>
      </c>
      <c r="F11352" t="inlineStr">
        <is>
          <t>SHAMIYA</t>
        </is>
      </c>
      <c r="L11352">
        <f>_xlfn.XLOOKUP(Tableau1[[#This Row],[TYPE DE PIECE]],Tableau4[MATIERE],Tableau4[SHORT TYPE],"",0,1)</f>
        <v/>
      </c>
      <c r="N11352">
        <f>IF(ISERR(FIND("DECOUPE",Tableau1[[#This Row],[DESIGNATION]])),"","NEED REF")</f>
        <v/>
      </c>
    </row>
    <row r="11353">
      <c r="B11353" t="n">
        <v>34402653</v>
      </c>
      <c r="C11353" s="2" t="n">
        <v>40989</v>
      </c>
      <c r="D11353" t="inlineStr">
        <is>
          <t>SPEC</t>
        </is>
      </c>
      <c r="E11353" t="inlineStr">
        <is>
          <t>CX CORO INPUT FILT PH2 200kVA R2 3P</t>
        </is>
      </c>
      <c r="F11353" t="inlineStr">
        <is>
          <t>SHAMIYA</t>
        </is>
      </c>
      <c r="L11353">
        <f>_xlfn.XLOOKUP(Tableau1[[#This Row],[TYPE DE PIECE]],Tableau4[MATIERE],Tableau4[SHORT TYPE],"",0,1)</f>
        <v/>
      </c>
      <c r="N11353">
        <f>IF(ISERR(FIND("DECOUPE",Tableau1[[#This Row],[DESIGNATION]])),"","NEED REF")</f>
        <v/>
      </c>
    </row>
    <row r="11354">
      <c r="B11354" t="n">
        <v>34402652</v>
      </c>
      <c r="C11354" s="2" t="n">
        <v>40989</v>
      </c>
      <c r="D11354" t="inlineStr">
        <is>
          <t>SPEC</t>
        </is>
      </c>
      <c r="E11354" t="inlineStr">
        <is>
          <t>CX CORO INPUT FILT PH1 200kVA R2 3P</t>
        </is>
      </c>
      <c r="F11354" t="inlineStr">
        <is>
          <t>SHAMIYA</t>
        </is>
      </c>
      <c r="L11354">
        <f>_xlfn.XLOOKUP(Tableau1[[#This Row],[TYPE DE PIECE]],Tableau4[MATIERE],Tableau4[SHORT TYPE],"",0,1)</f>
        <v/>
      </c>
      <c r="N11354">
        <f>IF(ISERR(FIND("DECOUPE",Tableau1[[#This Row],[DESIGNATION]])),"","NEED REF")</f>
        <v/>
      </c>
    </row>
    <row r="11355">
      <c r="B11355" t="n">
        <v>34402651</v>
      </c>
      <c r="C11355" s="2" t="n">
        <v>40989</v>
      </c>
      <c r="D11355" t="inlineStr">
        <is>
          <t>SPEC</t>
        </is>
      </c>
      <c r="E11355" t="inlineStr">
        <is>
          <t>CX CORO FILT CONT PH3 200kVA R2 3P</t>
        </is>
      </c>
      <c r="F11355" t="inlineStr">
        <is>
          <t>SHAMIYA</t>
        </is>
      </c>
      <c r="L11355">
        <f>_xlfn.XLOOKUP(Tableau1[[#This Row],[TYPE DE PIECE]],Tableau4[MATIERE],Tableau4[SHORT TYPE],"",0,1)</f>
        <v/>
      </c>
      <c r="N11355">
        <f>IF(ISERR(FIND("DECOUPE",Tableau1[[#This Row],[DESIGNATION]])),"","NEED REF")</f>
        <v/>
      </c>
    </row>
    <row r="11356">
      <c r="B11356" t="n">
        <v>34402650</v>
      </c>
      <c r="C11356" s="2" t="n">
        <v>40989</v>
      </c>
      <c r="D11356" t="inlineStr">
        <is>
          <t>SPEC</t>
        </is>
      </c>
      <c r="E11356" t="inlineStr">
        <is>
          <t>CX CORO FILT CONT PH2 200kVA R2 3P</t>
        </is>
      </c>
      <c r="F11356" t="inlineStr">
        <is>
          <t>SHAMIYA</t>
        </is>
      </c>
      <c r="L11356">
        <f>_xlfn.XLOOKUP(Tableau1[[#This Row],[TYPE DE PIECE]],Tableau4[MATIERE],Tableau4[SHORT TYPE],"",0,1)</f>
        <v/>
      </c>
      <c r="N11356">
        <f>IF(ISERR(FIND("DECOUPE",Tableau1[[#This Row],[DESIGNATION]])),"","NEED REF")</f>
        <v/>
      </c>
    </row>
    <row r="11357">
      <c r="B11357" t="n">
        <v>34402649</v>
      </c>
      <c r="C11357" s="2" t="n">
        <v>40989</v>
      </c>
      <c r="D11357" t="inlineStr">
        <is>
          <t>SPEC</t>
        </is>
      </c>
      <c r="E11357" t="inlineStr">
        <is>
          <t>CX CORO FILT CONT PH1 200kVA R2 3P</t>
        </is>
      </c>
      <c r="F11357" t="inlineStr">
        <is>
          <t>SHAMIYA</t>
        </is>
      </c>
      <c r="L11357">
        <f>_xlfn.XLOOKUP(Tableau1[[#This Row],[TYPE DE PIECE]],Tableau4[MATIERE],Tableau4[SHORT TYPE],"",0,1)</f>
        <v/>
      </c>
      <c r="N11357">
        <f>IF(ISERR(FIND("DECOUPE",Tableau1[[#This Row],[DESIGNATION]])),"","NEED REF")</f>
        <v/>
      </c>
    </row>
    <row r="11358">
      <c r="B11358" t="n">
        <v>34402648</v>
      </c>
      <c r="C11358" s="2" t="n">
        <v>40989</v>
      </c>
      <c r="D11358" t="inlineStr">
        <is>
          <t>SPEC</t>
        </is>
      </c>
      <c r="E11358" t="inlineStr">
        <is>
          <t>PLATINE SUPPORT FILTRE 200kVA 4P</t>
        </is>
      </c>
      <c r="F11358" t="inlineStr">
        <is>
          <t>SHAMIYA</t>
        </is>
      </c>
      <c r="L11358">
        <f>_xlfn.XLOOKUP(Tableau1[[#This Row],[TYPE DE PIECE]],Tableau4[MATIERE],Tableau4[SHORT TYPE],"",0,1)</f>
        <v/>
      </c>
      <c r="N11358">
        <f>IF(ISERR(FIND("DECOUPE",Tableau1[[#This Row],[DESIGNATION]])),"","NEED REF")</f>
        <v/>
      </c>
    </row>
    <row r="11359">
      <c r="B11359" t="n">
        <v>34402647</v>
      </c>
      <c r="C11359" s="2" t="n">
        <v>40989</v>
      </c>
      <c r="D11359" t="inlineStr">
        <is>
          <t>SPEC</t>
        </is>
      </c>
      <c r="E11359" t="inlineStr">
        <is>
          <t>PLATINE SUPPORT FILTRE  400kVA 4P</t>
        </is>
      </c>
      <c r="F11359" t="inlineStr">
        <is>
          <t>SHAMIYA</t>
        </is>
      </c>
      <c r="L11359">
        <f>_xlfn.XLOOKUP(Tableau1[[#This Row],[TYPE DE PIECE]],Tableau4[MATIERE],Tableau4[SHORT TYPE],"",0,1)</f>
        <v/>
      </c>
      <c r="N11359">
        <f>IF(ISERR(FIND("DECOUPE",Tableau1[[#This Row],[DESIGNATION]])),"","NEED REF")</f>
        <v/>
      </c>
    </row>
    <row r="11360">
      <c r="B11360" t="n">
        <v>34402646</v>
      </c>
      <c r="C11360" s="2" t="n">
        <v>40989</v>
      </c>
      <c r="D11360" t="inlineStr">
        <is>
          <t>SPEC</t>
        </is>
      </c>
      <c r="E11360" t="inlineStr">
        <is>
          <t>PLATINE SUPPORT FILTRE  500kVA 4P</t>
        </is>
      </c>
      <c r="F11360" t="inlineStr">
        <is>
          <t>SHAMIYA</t>
        </is>
      </c>
      <c r="L11360">
        <f>_xlfn.XLOOKUP(Tableau1[[#This Row],[TYPE DE PIECE]],Tableau4[MATIERE],Tableau4[SHORT TYPE],"",0,1)</f>
        <v/>
      </c>
      <c r="N11360">
        <f>IF(ISERR(FIND("DECOUPE",Tableau1[[#This Row],[DESIGNATION]])),"","NEED REF")</f>
        <v/>
      </c>
    </row>
    <row r="11361">
      <c r="B11361" t="n">
        <v>34402645</v>
      </c>
      <c r="C11361" s="2" t="n">
        <v>40989</v>
      </c>
      <c r="D11361" t="inlineStr">
        <is>
          <t>SPEC</t>
        </is>
      </c>
      <c r="E11361" t="inlineStr">
        <is>
          <t>PLATINE SUPPORT FILTRE  200kVA 3P</t>
        </is>
      </c>
      <c r="F11361" t="inlineStr">
        <is>
          <t>SHAMIYA</t>
        </is>
      </c>
      <c r="L11361">
        <f>_xlfn.XLOOKUP(Tableau1[[#This Row],[TYPE DE PIECE]],Tableau4[MATIERE],Tableau4[SHORT TYPE],"",0,1)</f>
        <v/>
      </c>
      <c r="N11361">
        <f>IF(ISERR(FIND("DECOUPE",Tableau1[[#This Row],[DESIGNATION]])),"","NEED REF")</f>
        <v/>
      </c>
    </row>
    <row r="11362">
      <c r="B11362" t="n">
        <v>34402644</v>
      </c>
      <c r="C11362" s="2" t="n">
        <v>40989</v>
      </c>
      <c r="D11362" t="inlineStr">
        <is>
          <t>SPEC</t>
        </is>
      </c>
      <c r="E11362" t="inlineStr">
        <is>
          <t>PLATINE SUPPORT FILTRE  400kVA 3P</t>
        </is>
      </c>
      <c r="F11362" t="inlineStr">
        <is>
          <t>SHAMIYA</t>
        </is>
      </c>
      <c r="L11362">
        <f>_xlfn.XLOOKUP(Tableau1[[#This Row],[TYPE DE PIECE]],Tableau4[MATIERE],Tableau4[SHORT TYPE],"",0,1)</f>
        <v/>
      </c>
      <c r="N11362">
        <f>IF(ISERR(FIND("DECOUPE",Tableau1[[#This Row],[DESIGNATION]])),"","NEED REF")</f>
        <v/>
      </c>
    </row>
    <row r="11363">
      <c r="B11363" t="n">
        <v>34402643</v>
      </c>
      <c r="C11363" s="2" t="n">
        <v>40989</v>
      </c>
      <c r="D11363" t="inlineStr">
        <is>
          <t>SPEC</t>
        </is>
      </c>
      <c r="E11363" t="inlineStr">
        <is>
          <t>PLATINE SUPPORT FILTRE  500kVA 3P</t>
        </is>
      </c>
      <c r="F11363" t="inlineStr">
        <is>
          <t>SHAMIYA</t>
        </is>
      </c>
      <c r="L11363">
        <f>_xlfn.XLOOKUP(Tableau1[[#This Row],[TYPE DE PIECE]],Tableau4[MATIERE],Tableau4[SHORT TYPE],"",0,1)</f>
        <v/>
      </c>
      <c r="N11363">
        <f>IF(ISERR(FIND("DECOUPE",Tableau1[[#This Row],[DESIGNATION]])),"","NEED REF")</f>
        <v/>
      </c>
    </row>
    <row r="11364">
      <c r="B11364" t="n">
        <v>34402642</v>
      </c>
      <c r="C11364" s="2" t="n">
        <v>40988</v>
      </c>
      <c r="D11364" t="inlineStr">
        <is>
          <t>SPEC</t>
        </is>
      </c>
      <c r="E11364" t="inlineStr">
        <is>
          <t>PLASTRON H:300  AVEC OUVERTURE POUR NSX400</t>
        </is>
      </c>
      <c r="J11364" t="inlineStr">
        <is>
          <t>GALLAND</t>
        </is>
      </c>
      <c r="L11364">
        <f>_xlfn.XLOOKUP(Tableau1[[#This Row],[TYPE DE PIECE]],Tableau4[MATIERE],Tableau4[SHORT TYPE],"",0,1)</f>
        <v/>
      </c>
      <c r="N11364">
        <f>IF(ISERR(FIND("DECOUPE",Tableau1[[#This Row],[DESIGNATION]])),"","NEED REF")</f>
        <v/>
      </c>
    </row>
    <row r="11365">
      <c r="B11365" t="n">
        <v>34402641</v>
      </c>
      <c r="C11365" s="2" t="n">
        <v>40988</v>
      </c>
      <c r="D11365" t="inlineStr">
        <is>
          <t>SPEC</t>
        </is>
      </c>
      <c r="E11365" t="inlineStr">
        <is>
          <t>PLASTRON H:300  AVEC OUVERTURE POUR NSX1003P</t>
        </is>
      </c>
      <c r="J11365" t="inlineStr">
        <is>
          <t>GALLAND</t>
        </is>
      </c>
      <c r="L11365">
        <f>_xlfn.XLOOKUP(Tableau1[[#This Row],[TYPE DE PIECE]],Tableau4[MATIERE],Tableau4[SHORT TYPE],"",0,1)</f>
        <v/>
      </c>
      <c r="N11365">
        <f>IF(ISERR(FIND("DECOUPE",Tableau1[[#This Row],[DESIGNATION]])),"","NEED REF")</f>
        <v/>
      </c>
    </row>
    <row r="11366">
      <c r="B11366" t="n">
        <v>34402640</v>
      </c>
      <c r="C11366" s="2" t="n">
        <v>40984</v>
      </c>
      <c r="D11366" t="inlineStr">
        <is>
          <t>SPEC</t>
        </is>
      </c>
      <c r="E11366" t="inlineStr">
        <is>
          <t>PLASTRON IP30 COFFRET BYPASS 3xINS 400A</t>
        </is>
      </c>
      <c r="F11366" t="inlineStr">
        <is>
          <t>COFFRET BYPASS 400A</t>
        </is>
      </c>
      <c r="J11366" t="inlineStr">
        <is>
          <t>MATRION</t>
        </is>
      </c>
      <c r="L11366">
        <f>_xlfn.XLOOKUP(Tableau1[[#This Row],[TYPE DE PIECE]],Tableau4[MATIERE],Tableau4[SHORT TYPE],"",0,1)</f>
        <v/>
      </c>
      <c r="N11366">
        <f>IF(ISERR(FIND("DECOUPE",Tableau1[[#This Row],[DESIGNATION]])),"","NEED REF")</f>
        <v/>
      </c>
    </row>
    <row r="11367">
      <c r="B11367" t="n">
        <v>34402639</v>
      </c>
      <c r="C11367" s="2" t="n">
        <v>40984</v>
      </c>
      <c r="D11367" t="inlineStr">
        <is>
          <t>SPEC</t>
        </is>
      </c>
      <c r="E11367" t="inlineStr">
        <is>
          <t>RAIL SUPPORT CABLES 3xINS 400A</t>
        </is>
      </c>
      <c r="F11367" t="inlineStr">
        <is>
          <t>COFFRET BYPASS 400A</t>
        </is>
      </c>
      <c r="J11367" t="inlineStr">
        <is>
          <t>MATRION</t>
        </is>
      </c>
      <c r="L11367">
        <f>_xlfn.XLOOKUP(Tableau1[[#This Row],[TYPE DE PIECE]],Tableau4[MATIERE],Tableau4[SHORT TYPE],"",0,1)</f>
        <v/>
      </c>
      <c r="N11367">
        <f>IF(ISERR(FIND("DECOUPE",Tableau1[[#This Row],[DESIGNATION]])),"","NEED REF")</f>
        <v/>
      </c>
    </row>
    <row r="11368">
      <c r="B11368" t="n">
        <v>34402638</v>
      </c>
      <c r="C11368" s="2" t="n">
        <v>40984</v>
      </c>
      <c r="D11368" t="inlineStr">
        <is>
          <t>SPEC</t>
        </is>
      </c>
      <c r="E11368" t="inlineStr">
        <is>
          <t>CU RACC R2 ASI INS400 L3</t>
        </is>
      </c>
      <c r="F11368" t="inlineStr">
        <is>
          <t>COFFRET BYPASS 400A</t>
        </is>
      </c>
      <c r="J11368" t="inlineStr">
        <is>
          <t>MATRION</t>
        </is>
      </c>
      <c r="L11368">
        <f>_xlfn.XLOOKUP(Tableau1[[#This Row],[TYPE DE PIECE]],Tableau4[MATIERE],Tableau4[SHORT TYPE],"",0,1)</f>
        <v/>
      </c>
      <c r="N11368">
        <f>IF(ISERR(FIND("DECOUPE",Tableau1[[#This Row],[DESIGNATION]])),"","NEED REF")</f>
        <v/>
      </c>
    </row>
    <row r="11369">
      <c r="B11369" t="n">
        <v>34402637</v>
      </c>
      <c r="C11369" s="2" t="n">
        <v>40984</v>
      </c>
      <c r="D11369" t="inlineStr">
        <is>
          <t>SPEC</t>
        </is>
      </c>
      <c r="E11369" t="inlineStr">
        <is>
          <t>CU RACC R2 ASI INS400 L2</t>
        </is>
      </c>
      <c r="F11369" t="inlineStr">
        <is>
          <t>COFFRET BYPASS 400A</t>
        </is>
      </c>
      <c r="J11369" t="inlineStr">
        <is>
          <t>MATRION</t>
        </is>
      </c>
      <c r="L11369">
        <f>_xlfn.XLOOKUP(Tableau1[[#This Row],[TYPE DE PIECE]],Tableau4[MATIERE],Tableau4[SHORT TYPE],"",0,1)</f>
        <v/>
      </c>
      <c r="N11369">
        <f>IF(ISERR(FIND("DECOUPE",Tableau1[[#This Row],[DESIGNATION]])),"","NEED REF")</f>
        <v/>
      </c>
    </row>
    <row r="11370">
      <c r="B11370" t="n">
        <v>34402636</v>
      </c>
      <c r="C11370" s="2" t="n">
        <v>40984</v>
      </c>
      <c r="D11370" t="inlineStr">
        <is>
          <t>SPEC</t>
        </is>
      </c>
      <c r="E11370" t="inlineStr">
        <is>
          <t>CU RACC R2 ASI INS400 L1</t>
        </is>
      </c>
      <c r="F11370" t="inlineStr">
        <is>
          <t>COFFRET BYPASS 400A</t>
        </is>
      </c>
      <c r="J11370" t="inlineStr">
        <is>
          <t>MATRION</t>
        </is>
      </c>
      <c r="L11370">
        <f>_xlfn.XLOOKUP(Tableau1[[#This Row],[TYPE DE PIECE]],Tableau4[MATIERE],Tableau4[SHORT TYPE],"",0,1)</f>
        <v/>
      </c>
      <c r="N11370">
        <f>IF(ISERR(FIND("DECOUPE",Tableau1[[#This Row],[DESIGNATION]])),"","NEED REF")</f>
        <v/>
      </c>
    </row>
    <row r="11371">
      <c r="B11371" t="n">
        <v>34402635</v>
      </c>
      <c r="C11371" s="2" t="n">
        <v>40984</v>
      </c>
      <c r="D11371" t="inlineStr">
        <is>
          <t>SPEC</t>
        </is>
      </c>
      <c r="E11371" t="inlineStr">
        <is>
          <t>CU RACC R2 ASI INS400 N</t>
        </is>
      </c>
      <c r="F11371" t="inlineStr">
        <is>
          <t>COFFRET BYPASS 400A</t>
        </is>
      </c>
      <c r="J11371" t="inlineStr">
        <is>
          <t>MATRION</t>
        </is>
      </c>
      <c r="L11371">
        <f>_xlfn.XLOOKUP(Tableau1[[#This Row],[TYPE DE PIECE]],Tableau4[MATIERE],Tableau4[SHORT TYPE],"",0,1)</f>
        <v/>
      </c>
      <c r="N11371">
        <f>IF(ISERR(FIND("DECOUPE",Tableau1[[#This Row],[DESIGNATION]])),"","NEED REF")</f>
        <v/>
      </c>
    </row>
    <row r="11372">
      <c r="B11372" t="n">
        <v>34402634</v>
      </c>
      <c r="C11372" s="2" t="n">
        <v>40984</v>
      </c>
      <c r="D11372" t="inlineStr">
        <is>
          <t>SPEC</t>
        </is>
      </c>
      <c r="E11372" t="inlineStr">
        <is>
          <t>PLATINE BYPASS 2xINS NU</t>
        </is>
      </c>
      <c r="F11372" t="inlineStr">
        <is>
          <t>COFFRET BYPASS 400A</t>
        </is>
      </c>
      <c r="J11372" t="inlineStr">
        <is>
          <t>MATRION</t>
        </is>
      </c>
      <c r="L11372">
        <f>_xlfn.XLOOKUP(Tableau1[[#This Row],[TYPE DE PIECE]],Tableau4[MATIERE],Tableau4[SHORT TYPE],"",0,1)</f>
        <v/>
      </c>
      <c r="N11372">
        <f>IF(ISERR(FIND("DECOUPE",Tableau1[[#This Row],[DESIGNATION]])),"","NEED REF")</f>
        <v/>
      </c>
    </row>
    <row r="11373">
      <c r="B11373" t="n">
        <v>34402633</v>
      </c>
      <c r="C11373" s="2" t="n">
        <v>40984</v>
      </c>
      <c r="D11373" t="inlineStr">
        <is>
          <t>SPEC</t>
        </is>
      </c>
      <c r="E11373" t="inlineStr">
        <is>
          <t>PLATINE COFFRET BYPASS 3xINS 400A</t>
        </is>
      </c>
      <c r="F11373" t="inlineStr">
        <is>
          <t>COFFRET BYPASS 400A</t>
        </is>
      </c>
      <c r="J11373" t="inlineStr">
        <is>
          <t>MATRION</t>
        </is>
      </c>
      <c r="L11373">
        <f>_xlfn.XLOOKUP(Tableau1[[#This Row],[TYPE DE PIECE]],Tableau4[MATIERE],Tableau4[SHORT TYPE],"",0,1)</f>
        <v/>
      </c>
      <c r="N11373">
        <f>IF(ISERR(FIND("DECOUPE",Tableau1[[#This Row],[DESIGNATION]])),"","NEED REF")</f>
        <v/>
      </c>
    </row>
    <row r="11374">
      <c r="B11374" t="n">
        <v>34402632</v>
      </c>
      <c r="C11374" s="2" t="n">
        <v>40983</v>
      </c>
      <c r="D11374" t="inlineStr">
        <is>
          <t>SPEC</t>
        </is>
      </c>
      <c r="E11374" t="inlineStr">
        <is>
          <t>CU LIAISON INS400 Q3BP/Q5N L3</t>
        </is>
      </c>
      <c r="F11374" t="inlineStr">
        <is>
          <t>COFFRET BYPASS 400A</t>
        </is>
      </c>
      <c r="J11374" t="inlineStr">
        <is>
          <t>MATRION</t>
        </is>
      </c>
      <c r="L11374">
        <f>_xlfn.XLOOKUP(Tableau1[[#This Row],[TYPE DE PIECE]],Tableau4[MATIERE],Tableau4[SHORT TYPE],"",0,1)</f>
        <v/>
      </c>
      <c r="N11374">
        <f>IF(ISERR(FIND("DECOUPE",Tableau1[[#This Row],[DESIGNATION]])),"","NEED REF")</f>
        <v/>
      </c>
    </row>
    <row r="11375">
      <c r="B11375" t="n">
        <v>34402631</v>
      </c>
      <c r="C11375" s="2" t="n">
        <v>40983</v>
      </c>
      <c r="D11375" t="inlineStr">
        <is>
          <t>SPEC</t>
        </is>
      </c>
      <c r="E11375" t="inlineStr">
        <is>
          <t>CU LIAISON INS400 Q3BP/Q5N L2</t>
        </is>
      </c>
      <c r="F11375" t="inlineStr">
        <is>
          <t>COFFRET BYPASS 400A</t>
        </is>
      </c>
      <c r="J11375" t="inlineStr">
        <is>
          <t>MATRION</t>
        </is>
      </c>
      <c r="L11375">
        <f>_xlfn.XLOOKUP(Tableau1[[#This Row],[TYPE DE PIECE]],Tableau4[MATIERE],Tableau4[SHORT TYPE],"",0,1)</f>
        <v/>
      </c>
      <c r="N11375">
        <f>IF(ISERR(FIND("DECOUPE",Tableau1[[#This Row],[DESIGNATION]])),"","NEED REF")</f>
        <v/>
      </c>
    </row>
    <row r="11376">
      <c r="B11376" t="n">
        <v>34402630</v>
      </c>
      <c r="C11376" s="2" t="n">
        <v>40983</v>
      </c>
      <c r="D11376" t="inlineStr">
        <is>
          <t>SPEC</t>
        </is>
      </c>
      <c r="E11376" t="inlineStr">
        <is>
          <t>CU LIAISON INS400 Q3BP/Q5N L1</t>
        </is>
      </c>
      <c r="F11376" t="inlineStr">
        <is>
          <t>COFFRET BYPASS 400A</t>
        </is>
      </c>
      <c r="J11376" t="inlineStr">
        <is>
          <t>MATRION</t>
        </is>
      </c>
      <c r="L11376">
        <f>_xlfn.XLOOKUP(Tableau1[[#This Row],[TYPE DE PIECE]],Tableau4[MATIERE],Tableau4[SHORT TYPE],"",0,1)</f>
        <v/>
      </c>
      <c r="N11376">
        <f>IF(ISERR(FIND("DECOUPE",Tableau1[[#This Row],[DESIGNATION]])),"","NEED REF")</f>
        <v/>
      </c>
    </row>
    <row r="11377">
      <c r="B11377" t="n">
        <v>34402629</v>
      </c>
      <c r="C11377" s="2" t="n">
        <v>40983</v>
      </c>
      <c r="D11377" t="inlineStr">
        <is>
          <t>SPEC</t>
        </is>
      </c>
      <c r="E11377" t="inlineStr">
        <is>
          <t>CU LIAISON INS400 Q4S/Q3BP N</t>
        </is>
      </c>
      <c r="F11377" t="inlineStr">
        <is>
          <t>COFFRET BYPASS 400A</t>
        </is>
      </c>
      <c r="J11377" t="inlineStr">
        <is>
          <t>MATRION</t>
        </is>
      </c>
      <c r="L11377">
        <f>_xlfn.XLOOKUP(Tableau1[[#This Row],[TYPE DE PIECE]],Tableau4[MATIERE],Tableau4[SHORT TYPE],"",0,1)</f>
        <v/>
      </c>
      <c r="N11377">
        <f>IF(ISERR(FIND("DECOUPE",Tableau1[[#This Row],[DESIGNATION]])),"","NEED REF")</f>
        <v/>
      </c>
    </row>
    <row r="11378">
      <c r="B11378" t="n">
        <v>34402628</v>
      </c>
      <c r="C11378" s="2" t="n">
        <v>40983</v>
      </c>
      <c r="D11378" t="inlineStr">
        <is>
          <t>NOM</t>
        </is>
      </c>
      <c r="E11378" t="inlineStr">
        <is>
          <t>LG COFFRET BYPASS 3xINS 400A 1000x1400x300</t>
        </is>
      </c>
      <c r="F11378" t="inlineStr">
        <is>
          <t>COFFRET BYPASS 400A</t>
        </is>
      </c>
      <c r="J11378" t="inlineStr">
        <is>
          <t>MATRION</t>
        </is>
      </c>
      <c r="L11378">
        <f>_xlfn.XLOOKUP(Tableau1[[#This Row],[TYPE DE PIECE]],Tableau4[MATIERE],Tableau4[SHORT TYPE],"",0,1)</f>
        <v/>
      </c>
      <c r="N11378">
        <f>IF(ISERR(FIND("DECOUPE",Tableau1[[#This Row],[DESIGNATION]])),"","NEED REF")</f>
        <v/>
      </c>
    </row>
    <row r="11379">
      <c r="B11379" t="n">
        <v>34402627</v>
      </c>
      <c r="C11379" s="2" t="n">
        <v>40982</v>
      </c>
      <c r="D11379" t="inlineStr">
        <is>
          <t>NOM</t>
        </is>
      </c>
      <c r="E11379" t="inlineStr">
        <is>
          <t>LG CELLULE FILTRE UTILISATION G7000 200kVA</t>
        </is>
      </c>
      <c r="F11379" t="inlineStr">
        <is>
          <t>SHAMIYA</t>
        </is>
      </c>
      <c r="J11379" t="inlineStr">
        <is>
          <t>ROBERT</t>
        </is>
      </c>
      <c r="L11379">
        <f>_xlfn.XLOOKUP(Tableau1[[#This Row],[TYPE DE PIECE]],Tableau4[MATIERE],Tableau4[SHORT TYPE],"",0,1)</f>
        <v/>
      </c>
      <c r="N11379">
        <f>IF(ISERR(FIND("DECOUPE",Tableau1[[#This Row],[DESIGNATION]])),"","NEED REF")</f>
        <v/>
      </c>
    </row>
    <row r="11380">
      <c r="B11380" t="n">
        <v>34402626</v>
      </c>
      <c r="C11380" s="2" t="n">
        <v>40982</v>
      </c>
      <c r="D11380" t="inlineStr">
        <is>
          <t>NOM</t>
        </is>
      </c>
      <c r="E11380" t="inlineStr">
        <is>
          <t>LG CELLULE FILTRE UTILISATION G7000 400kVA</t>
        </is>
      </c>
      <c r="F11380" t="inlineStr">
        <is>
          <t>SHAMIYA</t>
        </is>
      </c>
      <c r="J11380" t="inlineStr">
        <is>
          <t>ROBERT</t>
        </is>
      </c>
      <c r="L11380">
        <f>_xlfn.XLOOKUP(Tableau1[[#This Row],[TYPE DE PIECE]],Tableau4[MATIERE],Tableau4[SHORT TYPE],"",0,1)</f>
        <v/>
      </c>
      <c r="N11380">
        <f>IF(ISERR(FIND("DECOUPE",Tableau1[[#This Row],[DESIGNATION]])),"","NEED REF")</f>
        <v/>
      </c>
    </row>
    <row r="11381">
      <c r="B11381" t="n">
        <v>34402625</v>
      </c>
      <c r="C11381" s="2" t="n">
        <v>40982</v>
      </c>
      <c r="D11381" t="inlineStr">
        <is>
          <t>NOM</t>
        </is>
      </c>
      <c r="E11381" t="inlineStr">
        <is>
          <t>LG CELLULE FILTRE UTILISATION G7000 500kVA</t>
        </is>
      </c>
      <c r="F11381" t="inlineStr">
        <is>
          <t>SHAMIYA</t>
        </is>
      </c>
      <c r="J11381" t="inlineStr">
        <is>
          <t>ROBERT</t>
        </is>
      </c>
      <c r="L11381">
        <f>_xlfn.XLOOKUP(Tableau1[[#This Row],[TYPE DE PIECE]],Tableau4[MATIERE],Tableau4[SHORT TYPE],"",0,1)</f>
        <v/>
      </c>
      <c r="N11381">
        <f>IF(ISERR(FIND("DECOUPE",Tableau1[[#This Row],[DESIGNATION]])),"","NEED REF")</f>
        <v/>
      </c>
    </row>
    <row r="11382">
      <c r="B11382" t="n">
        <v>34402624</v>
      </c>
      <c r="C11382" s="2" t="n">
        <v>40982</v>
      </c>
      <c r="D11382" t="inlineStr">
        <is>
          <t>NOM</t>
        </is>
      </c>
      <c r="E11382" t="inlineStr">
        <is>
          <t>LG CELLULE R1 BACK-FEED+FILTRE G7000 200kVA</t>
        </is>
      </c>
      <c r="F11382" t="inlineStr">
        <is>
          <t>SHAMIYA</t>
        </is>
      </c>
      <c r="J11382" t="inlineStr">
        <is>
          <t>ROBERT</t>
        </is>
      </c>
      <c r="L11382">
        <f>_xlfn.XLOOKUP(Tableau1[[#This Row],[TYPE DE PIECE]],Tableau4[MATIERE],Tableau4[SHORT TYPE],"",0,1)</f>
        <v/>
      </c>
      <c r="N11382">
        <f>IF(ISERR(FIND("DECOUPE",Tableau1[[#This Row],[DESIGNATION]])),"","NEED REF")</f>
        <v/>
      </c>
    </row>
    <row r="11383">
      <c r="B11383" t="n">
        <v>34402623</v>
      </c>
      <c r="C11383" s="2" t="n">
        <v>40982</v>
      </c>
      <c r="D11383" t="inlineStr">
        <is>
          <t>NOM</t>
        </is>
      </c>
      <c r="E11383" t="inlineStr">
        <is>
          <t>LG CELLULE R1 BACK-FEED+FILTRE G7000 400kVA</t>
        </is>
      </c>
      <c r="F11383" t="inlineStr">
        <is>
          <t>SHAMIYA</t>
        </is>
      </c>
      <c r="J11383" t="inlineStr">
        <is>
          <t>ROBERT</t>
        </is>
      </c>
      <c r="L11383">
        <f>_xlfn.XLOOKUP(Tableau1[[#This Row],[TYPE DE PIECE]],Tableau4[MATIERE],Tableau4[SHORT TYPE],"",0,1)</f>
        <v/>
      </c>
      <c r="N11383">
        <f>IF(ISERR(FIND("DECOUPE",Tableau1[[#This Row],[DESIGNATION]])),"","NEED REF")</f>
        <v/>
      </c>
    </row>
    <row r="11384">
      <c r="B11384" t="n">
        <v>34402622</v>
      </c>
      <c r="C11384" s="2" t="n">
        <v>40982</v>
      </c>
      <c r="D11384" t="inlineStr">
        <is>
          <t>NOM</t>
        </is>
      </c>
      <c r="E11384" t="inlineStr">
        <is>
          <t>LG CELLULE R1 BACK-FEED+FILTRE G7000 500kVA</t>
        </is>
      </c>
      <c r="F11384" t="inlineStr">
        <is>
          <t>SHAMIYA</t>
        </is>
      </c>
      <c r="J11384" t="inlineStr">
        <is>
          <t>ROBERT</t>
        </is>
      </c>
      <c r="L11384">
        <f>_xlfn.XLOOKUP(Tableau1[[#This Row],[TYPE DE PIECE]],Tableau4[MATIERE],Tableau4[SHORT TYPE],"",0,1)</f>
        <v/>
      </c>
      <c r="N11384">
        <f>IF(ISERR(FIND("DECOUPE",Tableau1[[#This Row],[DESIGNATION]])),"","NEED REF")</f>
        <v/>
      </c>
    </row>
    <row r="11385">
      <c r="B11385" t="n">
        <v>34402621</v>
      </c>
      <c r="C11385" s="2" t="n">
        <v>40982</v>
      </c>
      <c r="D11385" t="inlineStr">
        <is>
          <t>NOM</t>
        </is>
      </c>
      <c r="E11385" t="inlineStr">
        <is>
          <t>LG CELLULE R2 BACK-FEED+FILTRE G7000 200kVA</t>
        </is>
      </c>
      <c r="F11385" t="inlineStr">
        <is>
          <t>SHAMIYA</t>
        </is>
      </c>
      <c r="J11385" t="inlineStr">
        <is>
          <t>ROBERT</t>
        </is>
      </c>
      <c r="L11385">
        <f>_xlfn.XLOOKUP(Tableau1[[#This Row],[TYPE DE PIECE]],Tableau4[MATIERE],Tableau4[SHORT TYPE],"",0,1)</f>
        <v/>
      </c>
      <c r="N11385">
        <f>IF(ISERR(FIND("DECOUPE",Tableau1[[#This Row],[DESIGNATION]])),"","NEED REF")</f>
        <v/>
      </c>
    </row>
    <row r="11386">
      <c r="B11386" t="n">
        <v>34402620</v>
      </c>
      <c r="C11386" s="2" t="n">
        <v>40982</v>
      </c>
      <c r="D11386" t="inlineStr">
        <is>
          <t>NOM</t>
        </is>
      </c>
      <c r="E11386" t="inlineStr">
        <is>
          <t>LG CELLULE R2 BACK-FEED+FILTRE G7000 400kVA</t>
        </is>
      </c>
      <c r="F11386" t="inlineStr">
        <is>
          <t>SHAMIYA</t>
        </is>
      </c>
      <c r="J11386" t="inlineStr">
        <is>
          <t>ROBERT</t>
        </is>
      </c>
      <c r="L11386">
        <f>_xlfn.XLOOKUP(Tableau1[[#This Row],[TYPE DE PIECE]],Tableau4[MATIERE],Tableau4[SHORT TYPE],"",0,1)</f>
        <v/>
      </c>
      <c r="N11386">
        <f>IF(ISERR(FIND("DECOUPE",Tableau1[[#This Row],[DESIGNATION]])),"","NEED REF")</f>
        <v/>
      </c>
    </row>
    <row r="11387">
      <c r="B11387" t="n">
        <v>34402619</v>
      </c>
      <c r="C11387" s="2" t="n">
        <v>40982</v>
      </c>
      <c r="D11387" t="inlineStr">
        <is>
          <t>NOM</t>
        </is>
      </c>
      <c r="E11387" t="inlineStr">
        <is>
          <t>LG CELLULE R2 BACK-FEED+FILTRE G7000 500kVA</t>
        </is>
      </c>
      <c r="F11387" t="inlineStr">
        <is>
          <t>SHAMIYA</t>
        </is>
      </c>
      <c r="J11387" t="inlineStr">
        <is>
          <t>ROBERT</t>
        </is>
      </c>
      <c r="L11387">
        <f>_xlfn.XLOOKUP(Tableau1[[#This Row],[TYPE DE PIECE]],Tableau4[MATIERE],Tableau4[SHORT TYPE],"",0,1)</f>
        <v/>
      </c>
      <c r="N11387">
        <f>IF(ISERR(FIND("DECOUPE",Tableau1[[#This Row],[DESIGNATION]])),"","NEED REF")</f>
        <v/>
      </c>
    </row>
    <row r="11388">
      <c r="B11388" t="n">
        <v>34402618</v>
      </c>
      <c r="C11388" s="2" t="n">
        <v>40981</v>
      </c>
      <c r="D11388" t="inlineStr">
        <is>
          <t>ART</t>
        </is>
      </c>
      <c r="E11388" t="inlineStr">
        <is>
          <t>CALES BATT S690 6x(55x165)+2x(165x200)</t>
        </is>
      </c>
      <c r="F11388" t="inlineStr">
        <is>
          <t>MEYER WERFT</t>
        </is>
      </c>
      <c r="J11388" t="inlineStr">
        <is>
          <t>ROBERT</t>
        </is>
      </c>
      <c r="L11388">
        <f>_xlfn.XLOOKUP(Tableau1[[#This Row],[TYPE DE PIECE]],Tableau4[MATIERE],Tableau4[SHORT TYPE],"",0,1)</f>
        <v/>
      </c>
      <c r="N11388">
        <f>IF(ISERR(FIND("DECOUPE",Tableau1[[#This Row],[DESIGNATION]])),"","NEED REF")</f>
        <v/>
      </c>
    </row>
    <row r="11389">
      <c r="B11389" t="n">
        <v>34402617</v>
      </c>
      <c r="C11389" s="2" t="n">
        <v>40981</v>
      </c>
      <c r="D11389" t="inlineStr">
        <is>
          <t>SPEC</t>
        </is>
      </c>
      <c r="E11389" t="inlineStr">
        <is>
          <t>ECRAN PROTECTION DISJONCTEUR BATTERIE SNCF</t>
        </is>
      </c>
      <c r="J11389" t="inlineStr">
        <is>
          <t>REVEL</t>
        </is>
      </c>
      <c r="L11389">
        <f>_xlfn.XLOOKUP(Tableau1[[#This Row],[TYPE DE PIECE]],Tableau4[MATIERE],Tableau4[SHORT TYPE],"",0,1)</f>
        <v/>
      </c>
      <c r="N11389">
        <f>IF(ISERR(FIND("DECOUPE",Tableau1[[#This Row],[DESIGNATION]])),"","NEED REF")</f>
        <v/>
      </c>
    </row>
    <row r="11390">
      <c r="B11390" t="n">
        <v>34402616</v>
      </c>
      <c r="C11390" s="2" t="n">
        <v>40969</v>
      </c>
      <c r="D11390" t="inlineStr">
        <is>
          <t>SPEC</t>
        </is>
      </c>
      <c r="E11390" t="inlineStr">
        <is>
          <t>PLAQUE PE 500x325</t>
        </is>
      </c>
      <c r="J11390" t="inlineStr">
        <is>
          <t>MATRION</t>
        </is>
      </c>
      <c r="L11390">
        <f>_xlfn.XLOOKUP(Tableau1[[#This Row],[TYPE DE PIECE]],Tableau4[MATIERE],Tableau4[SHORT TYPE],"",0,1)</f>
        <v/>
      </c>
      <c r="N11390">
        <f>IF(ISERR(FIND("DECOUPE",Tableau1[[#This Row],[DESIGNATION]])),"","NEED REF")</f>
        <v/>
      </c>
    </row>
    <row r="11391">
      <c r="B11391" t="n">
        <v>34402615</v>
      </c>
      <c r="C11391" s="2" t="n">
        <v>40969</v>
      </c>
      <c r="D11391" t="inlineStr">
        <is>
          <t>SPEC</t>
        </is>
      </c>
      <c r="E11391" t="inlineStr">
        <is>
          <t>PLAQUE PE 620x325</t>
        </is>
      </c>
      <c r="J11391" t="inlineStr">
        <is>
          <t>MATRION</t>
        </is>
      </c>
      <c r="L11391">
        <f>_xlfn.XLOOKUP(Tableau1[[#This Row],[TYPE DE PIECE]],Tableau4[MATIERE],Tableau4[SHORT TYPE],"",0,1)</f>
        <v/>
      </c>
      <c r="N11391">
        <f>IF(ISERR(FIND("DECOUPE",Tableau1[[#This Row],[DESIGNATION]])),"","NEED REF")</f>
        <v/>
      </c>
    </row>
    <row r="11392">
      <c r="B11392" t="n">
        <v>34402614</v>
      </c>
      <c r="C11392" s="2" t="n">
        <v>40969</v>
      </c>
      <c r="D11392" t="inlineStr">
        <is>
          <t>SPEC</t>
        </is>
      </c>
      <c r="E11392" t="inlineStr">
        <is>
          <t>RAIL OMEGA L=186</t>
        </is>
      </c>
      <c r="J11392" t="inlineStr">
        <is>
          <t>MATRION</t>
        </is>
      </c>
      <c r="L11392">
        <f>_xlfn.XLOOKUP(Tableau1[[#This Row],[TYPE DE PIECE]],Tableau4[MATIERE],Tableau4[SHORT TYPE],"",0,1)</f>
        <v/>
      </c>
      <c r="N11392">
        <f>IF(ISERR(FIND("DECOUPE",Tableau1[[#This Row],[DESIGNATION]])),"","NEED REF")</f>
        <v/>
      </c>
    </row>
    <row r="11393">
      <c r="B11393" t="n">
        <v>34402613</v>
      </c>
      <c r="C11393" s="2" t="n">
        <v>40969</v>
      </c>
      <c r="D11393" t="inlineStr">
        <is>
          <t>NOM</t>
        </is>
      </c>
      <c r="E11393" t="inlineStr">
        <is>
          <t>LG SUPPORT IP REGLABLE H=245-298</t>
        </is>
      </c>
      <c r="J11393" t="inlineStr">
        <is>
          <t>MATRION</t>
        </is>
      </c>
      <c r="L11393">
        <f>_xlfn.XLOOKUP(Tableau1[[#This Row],[TYPE DE PIECE]],Tableau4[MATIERE],Tableau4[SHORT TYPE],"",0,1)</f>
        <v/>
      </c>
      <c r="N11393">
        <f>IF(ISERR(FIND("DECOUPE",Tableau1[[#This Row],[DESIGNATION]])),"","NEED REF")</f>
        <v/>
      </c>
    </row>
    <row r="11394">
      <c r="B11394" t="n">
        <v>34402612</v>
      </c>
      <c r="C11394" s="2" t="n">
        <v>40969</v>
      </c>
      <c r="D11394" t="inlineStr">
        <is>
          <t>SPEC</t>
        </is>
      </c>
      <c r="E11394" t="inlineStr">
        <is>
          <t>SUPPORT 2 IP30 REGLABLE H=245</t>
        </is>
      </c>
      <c r="J11394" t="inlineStr">
        <is>
          <t>MATRION</t>
        </is>
      </c>
      <c r="L11394">
        <f>_xlfn.XLOOKUP(Tableau1[[#This Row],[TYPE DE PIECE]],Tableau4[MATIERE],Tableau4[SHORT TYPE],"",0,1)</f>
        <v/>
      </c>
      <c r="N11394">
        <f>IF(ISERR(FIND("DECOUPE",Tableau1[[#This Row],[DESIGNATION]])),"","NEED REF")</f>
        <v/>
      </c>
    </row>
    <row r="11395">
      <c r="B11395" t="n">
        <v>34402611</v>
      </c>
      <c r="C11395" s="2" t="n">
        <v>40962</v>
      </c>
      <c r="D11395" t="inlineStr">
        <is>
          <t>SPEC</t>
        </is>
      </c>
      <c r="E11395" t="inlineStr">
        <is>
          <t>Pièces d'angle structure Birdy 2 (sans les renforts à 45°)</t>
        </is>
      </c>
      <c r="J11395" t="inlineStr">
        <is>
          <t>MATRION</t>
        </is>
      </c>
      <c r="L11395">
        <f>_xlfn.XLOOKUP(Tableau1[[#This Row],[TYPE DE PIECE]],Tableau4[MATIERE],Tableau4[SHORT TYPE],"",0,1)</f>
        <v/>
      </c>
      <c r="N11395">
        <f>IF(ISERR(FIND("DECOUPE",Tableau1[[#This Row],[DESIGNATION]])),"","NEED REF")</f>
        <v/>
      </c>
    </row>
    <row r="11396">
      <c r="B11396" t="n">
        <v>34402610</v>
      </c>
      <c r="C11396" s="2" t="n">
        <v>40961</v>
      </c>
      <c r="D11396" t="inlineStr">
        <is>
          <t>CDC</t>
        </is>
      </c>
      <c r="E11396" t="inlineStr">
        <is>
          <t>AVARIE-DC8 OFFRE SAREL OH210212A</t>
        </is>
      </c>
      <c r="F11396" t="inlineStr">
        <is>
          <t>STS400A MARCCOUSIS</t>
        </is>
      </c>
      <c r="J11396" t="inlineStr">
        <is>
          <t>MATRION</t>
        </is>
      </c>
      <c r="L11396">
        <f>_xlfn.XLOOKUP(Tableau1[[#This Row],[TYPE DE PIECE]],Tableau4[MATIERE],Tableau4[SHORT TYPE],"",0,1)</f>
        <v/>
      </c>
      <c r="N11396">
        <f>IF(ISERR(FIND("DECOUPE",Tableau1[[#This Row],[DESIGNATION]])),"","NEED REF")</f>
        <v/>
      </c>
    </row>
    <row r="11397">
      <c r="B11397" t="n">
        <v>34402609</v>
      </c>
      <c r="C11397" s="2" t="n">
        <v>40956</v>
      </c>
      <c r="D11397" t="inlineStr">
        <is>
          <t>SPEC</t>
        </is>
      </c>
      <c r="E11397" t="inlineStr">
        <is>
          <t>CX JDB RACC R2 ASI JONCTION N 240kW</t>
        </is>
      </c>
      <c r="J11397" t="inlineStr">
        <is>
          <t>MATRION</t>
        </is>
      </c>
      <c r="L11397">
        <f>_xlfn.XLOOKUP(Tableau1[[#This Row],[TYPE DE PIECE]],Tableau4[MATIERE],Tableau4[SHORT TYPE],"",0,1)</f>
        <v/>
      </c>
      <c r="N11397">
        <f>IF(ISERR(FIND("DECOUPE",Tableau1[[#This Row],[DESIGNATION]])),"","NEED REF")</f>
        <v/>
      </c>
    </row>
    <row r="11398">
      <c r="B11398" t="n">
        <v>34402608</v>
      </c>
      <c r="C11398" s="2" t="n">
        <v>40956</v>
      </c>
      <c r="D11398" t="inlineStr">
        <is>
          <t>SPEC</t>
        </is>
      </c>
      <c r="E11398" t="inlineStr">
        <is>
          <t>PLASTRON2 IP30 240kW</t>
        </is>
      </c>
      <c r="J11398" t="inlineStr">
        <is>
          <t>MATRION</t>
        </is>
      </c>
      <c r="L11398">
        <f>_xlfn.XLOOKUP(Tableau1[[#This Row],[TYPE DE PIECE]],Tableau4[MATIERE],Tableau4[SHORT TYPE],"",0,1)</f>
        <v/>
      </c>
      <c r="N11398">
        <f>IF(ISERR(FIND("DECOUPE",Tableau1[[#This Row],[DESIGNATION]])),"","NEED REF")</f>
        <v/>
      </c>
    </row>
    <row r="11399">
      <c r="B11399" t="n">
        <v>34402607</v>
      </c>
      <c r="C11399" s="2" t="n">
        <v>40956</v>
      </c>
      <c r="D11399" t="inlineStr">
        <is>
          <t>SPEC</t>
        </is>
      </c>
      <c r="E11399" t="inlineStr">
        <is>
          <t>PLASTRON1 IP30 240kW</t>
        </is>
      </c>
      <c r="J11399" t="inlineStr">
        <is>
          <t>MATRION</t>
        </is>
      </c>
      <c r="L11399">
        <f>_xlfn.XLOOKUP(Tableau1[[#This Row],[TYPE DE PIECE]],Tableau4[MATIERE],Tableau4[SHORT TYPE],"",0,1)</f>
        <v/>
      </c>
      <c r="N11399">
        <f>IF(ISERR(FIND("DECOUPE",Tableau1[[#This Row],[DESIGNATION]])),"","NEED REF")</f>
        <v/>
      </c>
    </row>
    <row r="11400">
      <c r="B11400" t="n">
        <v>34402606</v>
      </c>
      <c r="C11400" s="2" t="n">
        <v>40956</v>
      </c>
      <c r="D11400" t="inlineStr">
        <is>
          <t>SPEC</t>
        </is>
      </c>
      <c r="E11400" t="inlineStr">
        <is>
          <t>PLASTRON2 IP30 160kW</t>
        </is>
      </c>
      <c r="J11400" t="inlineStr">
        <is>
          <t>MATRION</t>
        </is>
      </c>
      <c r="L11400">
        <f>_xlfn.XLOOKUP(Tableau1[[#This Row],[TYPE DE PIECE]],Tableau4[MATIERE],Tableau4[SHORT TYPE],"",0,1)</f>
        <v/>
      </c>
      <c r="N11400">
        <f>IF(ISERR(FIND("DECOUPE",Tableau1[[#This Row],[DESIGNATION]])),"","NEED REF")</f>
        <v/>
      </c>
    </row>
    <row r="11401">
      <c r="B11401" t="n">
        <v>34402605</v>
      </c>
      <c r="C11401" s="2" t="n">
        <v>40956</v>
      </c>
      <c r="D11401" t="inlineStr">
        <is>
          <t>SPEC</t>
        </is>
      </c>
      <c r="E11401" t="inlineStr">
        <is>
          <t>PLASTRON1 IP30 160kW</t>
        </is>
      </c>
      <c r="J11401" t="inlineStr">
        <is>
          <t>MATRION</t>
        </is>
      </c>
      <c r="L11401">
        <f>_xlfn.XLOOKUP(Tableau1[[#This Row],[TYPE DE PIECE]],Tableau4[MATIERE],Tableau4[SHORT TYPE],"",0,1)</f>
        <v/>
      </c>
      <c r="N11401">
        <f>IF(ISERR(FIND("DECOUPE",Tableau1[[#This Row],[DESIGNATION]])),"","NEED REF")</f>
        <v/>
      </c>
    </row>
    <row r="11402">
      <c r="B11402" t="n">
        <v>34402604</v>
      </c>
      <c r="C11402" s="2" t="n">
        <v>40956</v>
      </c>
      <c r="D11402" t="inlineStr">
        <is>
          <t>SPEC</t>
        </is>
      </c>
      <c r="E11402" t="inlineStr">
        <is>
          <t>RAIL FIXATION CABLES CLIENT 240kW</t>
        </is>
      </c>
      <c r="J11402" t="inlineStr">
        <is>
          <t>MATRION</t>
        </is>
      </c>
      <c r="L11402">
        <f>_xlfn.XLOOKUP(Tableau1[[#This Row],[TYPE DE PIECE]],Tableau4[MATIERE],Tableau4[SHORT TYPE],"",0,1)</f>
        <v/>
      </c>
      <c r="N11402">
        <f>IF(ISERR(FIND("DECOUPE",Tableau1[[#This Row],[DESIGNATION]])),"","NEED REF")</f>
        <v/>
      </c>
    </row>
    <row r="11403">
      <c r="B11403" t="n">
        <v>34402603</v>
      </c>
      <c r="C11403" s="2" t="n">
        <v>40956</v>
      </c>
      <c r="D11403" t="inlineStr">
        <is>
          <t>SPEC</t>
        </is>
      </c>
      <c r="E11403" t="inlineStr">
        <is>
          <t>CX AVAL Q1 240kW L3</t>
        </is>
      </c>
      <c r="J11403" t="inlineStr">
        <is>
          <t>MATRION</t>
        </is>
      </c>
      <c r="L11403">
        <f>_xlfn.XLOOKUP(Tableau1[[#This Row],[TYPE DE PIECE]],Tableau4[MATIERE],Tableau4[SHORT TYPE],"",0,1)</f>
        <v/>
      </c>
      <c r="N11403">
        <f>IF(ISERR(FIND("DECOUPE",Tableau1[[#This Row],[DESIGNATION]])),"","NEED REF")</f>
        <v/>
      </c>
    </row>
    <row r="11404">
      <c r="B11404" t="n">
        <v>34402602</v>
      </c>
      <c r="C11404" s="2" t="n">
        <v>40956</v>
      </c>
      <c r="D11404" t="inlineStr">
        <is>
          <t>SPEC</t>
        </is>
      </c>
      <c r="E11404" t="inlineStr">
        <is>
          <t>CX AVAL Q1 240kW L2</t>
        </is>
      </c>
      <c r="J11404" t="inlineStr">
        <is>
          <t>MATRION</t>
        </is>
      </c>
      <c r="L11404">
        <f>_xlfn.XLOOKUP(Tableau1[[#This Row],[TYPE DE PIECE]],Tableau4[MATIERE],Tableau4[SHORT TYPE],"",0,1)</f>
        <v/>
      </c>
      <c r="N11404">
        <f>IF(ISERR(FIND("DECOUPE",Tableau1[[#This Row],[DESIGNATION]])),"","NEED REF")</f>
        <v/>
      </c>
    </row>
    <row r="11405">
      <c r="B11405" t="n">
        <v>34402601</v>
      </c>
      <c r="C11405" s="2" t="n">
        <v>40956</v>
      </c>
      <c r="D11405" t="inlineStr">
        <is>
          <t>SPEC</t>
        </is>
      </c>
      <c r="E11405" t="inlineStr">
        <is>
          <t>CX AVAL Q1 240kW L1</t>
        </is>
      </c>
      <c r="J11405" t="inlineStr">
        <is>
          <t>MATRION</t>
        </is>
      </c>
      <c r="L11405">
        <f>_xlfn.XLOOKUP(Tableau1[[#This Row],[TYPE DE PIECE]],Tableau4[MATIERE],Tableau4[SHORT TYPE],"",0,1)</f>
        <v/>
      </c>
      <c r="N11405">
        <f>IF(ISERR(FIND("DECOUPE",Tableau1[[#This Row],[DESIGNATION]])),"","NEED REF")</f>
        <v/>
      </c>
    </row>
    <row r="11406">
      <c r="B11406" t="n">
        <v>34402600</v>
      </c>
      <c r="C11406" s="2" t="n">
        <v>40956</v>
      </c>
      <c r="D11406" t="inlineStr">
        <is>
          <t>SPEC</t>
        </is>
      </c>
      <c r="E11406" t="inlineStr">
        <is>
          <t>CX AVAL Q1 240kW GENERIC</t>
        </is>
      </c>
      <c r="J11406" t="inlineStr">
        <is>
          <t>MATRION</t>
        </is>
      </c>
      <c r="L11406">
        <f>_xlfn.XLOOKUP(Tableau1[[#This Row],[TYPE DE PIECE]],Tableau4[MATIERE],Tableau4[SHORT TYPE],"",0,1)</f>
        <v/>
      </c>
      <c r="N11406">
        <f>IF(ISERR(FIND("DECOUPE",Tableau1[[#This Row],[DESIGNATION]])),"","NEED REF")</f>
        <v/>
      </c>
    </row>
    <row r="11407">
      <c r="B11407" t="n">
        <v>34402599</v>
      </c>
      <c r="C11407" s="2" t="n">
        <v>40956</v>
      </c>
      <c r="D11407" t="inlineStr">
        <is>
          <t>SPEC</t>
        </is>
      </c>
      <c r="E11407" t="inlineStr">
        <is>
          <t>CX AMONT Q2 L3 240kW</t>
        </is>
      </c>
      <c r="J11407" t="inlineStr">
        <is>
          <t>MATRION</t>
        </is>
      </c>
      <c r="L11407">
        <f>_xlfn.XLOOKUP(Tableau1[[#This Row],[TYPE DE PIECE]],Tableau4[MATIERE],Tableau4[SHORT TYPE],"",0,1)</f>
        <v/>
      </c>
      <c r="N11407">
        <f>IF(ISERR(FIND("DECOUPE",Tableau1[[#This Row],[DESIGNATION]])),"","NEED REF")</f>
        <v/>
      </c>
    </row>
    <row r="11408">
      <c r="B11408" t="n">
        <v>34402598</v>
      </c>
      <c r="C11408" s="2" t="n">
        <v>40956</v>
      </c>
      <c r="D11408" t="inlineStr">
        <is>
          <t>SPEC</t>
        </is>
      </c>
      <c r="E11408" t="inlineStr">
        <is>
          <t>CX AMONT Q2 L2 240kW</t>
        </is>
      </c>
      <c r="J11408" t="inlineStr">
        <is>
          <t>MATRION</t>
        </is>
      </c>
      <c r="L11408">
        <f>_xlfn.XLOOKUP(Tableau1[[#This Row],[TYPE DE PIECE]],Tableau4[MATIERE],Tableau4[SHORT TYPE],"",0,1)</f>
        <v/>
      </c>
      <c r="N11408">
        <f>IF(ISERR(FIND("DECOUPE",Tableau1[[#This Row],[DESIGNATION]])),"","NEED REF")</f>
        <v/>
      </c>
    </row>
    <row r="11409">
      <c r="B11409" t="n">
        <v>34402597</v>
      </c>
      <c r="C11409" s="2" t="n">
        <v>40956</v>
      </c>
      <c r="D11409" t="inlineStr">
        <is>
          <t>SPEC</t>
        </is>
      </c>
      <c r="E11409" t="inlineStr">
        <is>
          <t>CX AMONT Q2 L1 240kW</t>
        </is>
      </c>
      <c r="J11409" t="inlineStr">
        <is>
          <t>MATRION</t>
        </is>
      </c>
      <c r="L11409">
        <f>_xlfn.XLOOKUP(Tableau1[[#This Row],[TYPE DE PIECE]],Tableau4[MATIERE],Tableau4[SHORT TYPE],"",0,1)</f>
        <v/>
      </c>
      <c r="N11409">
        <f>IF(ISERR(FIND("DECOUPE",Tableau1[[#This Row],[DESIGNATION]])),"","NEED REF")</f>
        <v/>
      </c>
    </row>
    <row r="11410">
      <c r="B11410" t="n">
        <v>34402596</v>
      </c>
      <c r="C11410" s="2" t="n">
        <v>40956</v>
      </c>
      <c r="D11410" t="inlineStr">
        <is>
          <t>SPEC</t>
        </is>
      </c>
      <c r="E11410" t="inlineStr">
        <is>
          <t>CX AMONT Q2 N 240kW</t>
        </is>
      </c>
      <c r="J11410" t="inlineStr">
        <is>
          <t>MATRION</t>
        </is>
      </c>
      <c r="L11410">
        <f>_xlfn.XLOOKUP(Tableau1[[#This Row],[TYPE DE PIECE]],Tableau4[MATIERE],Tableau4[SHORT TYPE],"",0,1)</f>
        <v/>
      </c>
      <c r="N11410">
        <f>IF(ISERR(FIND("DECOUPE",Tableau1[[#This Row],[DESIGNATION]])),"","NEED REF")</f>
        <v/>
      </c>
    </row>
    <row r="11411">
      <c r="B11411" t="n">
        <v>34402595</v>
      </c>
      <c r="C11411" s="2" t="n">
        <v>40956</v>
      </c>
      <c r="D11411" t="inlineStr">
        <is>
          <t>SPEC</t>
        </is>
      </c>
      <c r="E11411" t="inlineStr">
        <is>
          <t>CX AMONT Q2 240kW GENERIC</t>
        </is>
      </c>
      <c r="J11411" t="inlineStr">
        <is>
          <t>MATRION</t>
        </is>
      </c>
      <c r="L11411">
        <f>_xlfn.XLOOKUP(Tableau1[[#This Row],[TYPE DE PIECE]],Tableau4[MATIERE],Tableau4[SHORT TYPE],"",0,1)</f>
        <v/>
      </c>
      <c r="N11411">
        <f>IF(ISERR(FIND("DECOUPE",Tableau1[[#This Row],[DESIGNATION]])),"","NEED REF")</f>
        <v/>
      </c>
    </row>
    <row r="11412">
      <c r="B11412" t="n">
        <v>34402594</v>
      </c>
      <c r="C11412" s="2" t="n">
        <v>40956</v>
      </c>
      <c r="D11412" t="inlineStr">
        <is>
          <t>SPEC</t>
        </is>
      </c>
      <c r="E11412" t="inlineStr">
        <is>
          <t>CAILLBOTI ARMOIRE SAREL L=1000</t>
        </is>
      </c>
      <c r="F11412" t="inlineStr">
        <is>
          <t>ARM SAREL</t>
        </is>
      </c>
      <c r="J11412" t="inlineStr">
        <is>
          <t>REVEL</t>
        </is>
      </c>
      <c r="L11412">
        <f>_xlfn.XLOOKUP(Tableau1[[#This Row],[TYPE DE PIECE]],Tableau4[MATIERE],Tableau4[SHORT TYPE],"",0,1)</f>
        <v/>
      </c>
      <c r="N11412">
        <f>IF(ISERR(FIND("DECOUPE",Tableau1[[#This Row],[DESIGNATION]])),"","NEED REF")</f>
        <v/>
      </c>
    </row>
    <row r="11413">
      <c r="B11413" t="n">
        <v>34402593</v>
      </c>
      <c r="C11413" s="2" t="n">
        <v>40917</v>
      </c>
      <c r="D11413" t="inlineStr">
        <is>
          <t>SPEC</t>
        </is>
      </c>
      <c r="E11413" t="inlineStr">
        <is>
          <t>PLASTRON N°4 H=300 L=1012</t>
        </is>
      </c>
      <c r="F11413" t="inlineStr">
        <is>
          <t>G5000</t>
        </is>
      </c>
      <c r="J11413" t="inlineStr">
        <is>
          <t>ROBERT</t>
        </is>
      </c>
      <c r="L11413">
        <f>_xlfn.XLOOKUP(Tableau1[[#This Row],[TYPE DE PIECE]],Tableau4[MATIERE],Tableau4[SHORT TYPE],"",0,1)</f>
        <v/>
      </c>
      <c r="N11413">
        <f>IF(ISERR(FIND("DECOUPE",Tableau1[[#This Row],[DESIGNATION]])),"","NEED REF")</f>
        <v/>
      </c>
    </row>
    <row r="11414">
      <c r="B11414" t="n">
        <v>34402592</v>
      </c>
      <c r="C11414" s="2" t="n">
        <v>40917</v>
      </c>
      <c r="D11414" t="inlineStr">
        <is>
          <t>SPEC</t>
        </is>
      </c>
      <c r="E11414" t="inlineStr">
        <is>
          <t>PLASTRON N°3 H=300 L=1012</t>
        </is>
      </c>
      <c r="F11414" t="inlineStr">
        <is>
          <t>G5000</t>
        </is>
      </c>
      <c r="J11414" t="inlineStr">
        <is>
          <t>ROBERT</t>
        </is>
      </c>
      <c r="L11414">
        <f>_xlfn.XLOOKUP(Tableau1[[#This Row],[TYPE DE PIECE]],Tableau4[MATIERE],Tableau4[SHORT TYPE],"",0,1)</f>
        <v/>
      </c>
      <c r="N11414">
        <f>IF(ISERR(FIND("DECOUPE",Tableau1[[#This Row],[DESIGNATION]])),"","NEED REF")</f>
        <v/>
      </c>
    </row>
    <row r="11415">
      <c r="B11415" t="n">
        <v>34402591</v>
      </c>
      <c r="C11415" s="2" t="n">
        <v>40917</v>
      </c>
      <c r="D11415" t="inlineStr">
        <is>
          <t>SPEC</t>
        </is>
      </c>
      <c r="E11415" t="inlineStr">
        <is>
          <t>PLASTRON N°2 H=300 L=1012</t>
        </is>
      </c>
      <c r="F11415" t="inlineStr">
        <is>
          <t>G5000</t>
        </is>
      </c>
      <c r="J11415" t="inlineStr">
        <is>
          <t>ROBERT</t>
        </is>
      </c>
      <c r="L11415">
        <f>_xlfn.XLOOKUP(Tableau1[[#This Row],[TYPE DE PIECE]],Tableau4[MATIERE],Tableau4[SHORT TYPE],"",0,1)</f>
        <v/>
      </c>
      <c r="N11415">
        <f>IF(ISERR(FIND("DECOUPE",Tableau1[[#This Row],[DESIGNATION]])),"","NEED REF")</f>
        <v/>
      </c>
    </row>
    <row r="11416">
      <c r="B11416" t="n">
        <v>34402590</v>
      </c>
      <c r="C11416" s="2" t="n">
        <v>40917</v>
      </c>
      <c r="D11416" t="inlineStr">
        <is>
          <t>SPEC</t>
        </is>
      </c>
      <c r="E11416" t="inlineStr">
        <is>
          <t>PLASTRON N°1 H=300 L=1012</t>
        </is>
      </c>
      <c r="F11416" t="inlineStr">
        <is>
          <t>G5000</t>
        </is>
      </c>
      <c r="J11416" t="inlineStr">
        <is>
          <t>ROBERT</t>
        </is>
      </c>
      <c r="L11416">
        <f>_xlfn.XLOOKUP(Tableau1[[#This Row],[TYPE DE PIECE]],Tableau4[MATIERE],Tableau4[SHORT TYPE],"",0,1)</f>
        <v/>
      </c>
      <c r="N11416">
        <f>IF(ISERR(FIND("DECOUPE",Tableau1[[#This Row],[DESIGNATION]])),"","NEED REF")</f>
        <v/>
      </c>
    </row>
    <row r="11417">
      <c r="B11417" t="n">
        <v>34402589</v>
      </c>
      <c r="C11417" s="2" t="n">
        <v>40948</v>
      </c>
      <c r="D11417" t="inlineStr">
        <is>
          <t>SPEC</t>
        </is>
      </c>
      <c r="E11417" t="inlineStr">
        <is>
          <t>SUPPORT MAKROLON PROTEC BY PASS 2 INS 400</t>
        </is>
      </c>
      <c r="F11417" t="inlineStr">
        <is>
          <t>G5000</t>
        </is>
      </c>
      <c r="J11417" t="inlineStr">
        <is>
          <t>REVEL</t>
        </is>
      </c>
      <c r="L11417">
        <f>_xlfn.XLOOKUP(Tableau1[[#This Row],[TYPE DE PIECE]],Tableau4[MATIERE],Tableau4[SHORT TYPE],"",0,1)</f>
        <v/>
      </c>
      <c r="N11417">
        <f>IF(ISERR(FIND("DECOUPE",Tableau1[[#This Row],[DESIGNATION]])),"","NEED REF")</f>
        <v/>
      </c>
    </row>
    <row r="11418">
      <c r="B11418" t="n">
        <v>34402588</v>
      </c>
      <c r="C11418" s="2" t="n">
        <v>40948</v>
      </c>
      <c r="D11418" t="inlineStr">
        <is>
          <t>SPEC</t>
        </is>
      </c>
      <c r="E11418" t="inlineStr">
        <is>
          <t>MAKROLON PROTECTION BY PASS 2 INS400</t>
        </is>
      </c>
      <c r="F11418" t="inlineStr">
        <is>
          <t>G5000</t>
        </is>
      </c>
      <c r="J11418" t="inlineStr">
        <is>
          <t>REVEL</t>
        </is>
      </c>
      <c r="L11418">
        <f>_xlfn.XLOOKUP(Tableau1[[#This Row],[TYPE DE PIECE]],Tableau4[MATIERE],Tableau4[SHORT TYPE],"",0,1)</f>
        <v/>
      </c>
      <c r="N11418">
        <f>IF(ISERR(FIND("DECOUPE",Tableau1[[#This Row],[DESIGNATION]])),"","NEED REF")</f>
        <v/>
      </c>
    </row>
    <row r="11419">
      <c r="B11419" t="n">
        <v>34402587</v>
      </c>
      <c r="C11419" s="2" t="n">
        <v>40914</v>
      </c>
      <c r="D11419" t="inlineStr">
        <is>
          <t>SPEC</t>
        </is>
      </c>
      <c r="E11419" t="inlineStr">
        <is>
          <t>ETIQUETTES BCB BOX</t>
        </is>
      </c>
      <c r="F11419" t="inlineStr">
        <is>
          <t>G5000</t>
        </is>
      </c>
      <c r="J11419" t="inlineStr">
        <is>
          <t>ROBERT</t>
        </is>
      </c>
      <c r="L11419">
        <f>_xlfn.XLOOKUP(Tableau1[[#This Row],[TYPE DE PIECE]],Tableau4[MATIERE],Tableau4[SHORT TYPE],"",0,1)</f>
        <v/>
      </c>
      <c r="N11419">
        <f>IF(ISERR(FIND("DECOUPE",Tableau1[[#This Row],[DESIGNATION]])),"","NEED REF")</f>
        <v/>
      </c>
    </row>
    <row r="11420">
      <c r="B11420" t="n">
        <v>34402586</v>
      </c>
      <c r="C11420" s="2" t="n">
        <v>40914</v>
      </c>
      <c r="D11420" t="inlineStr">
        <is>
          <t>SPEC</t>
        </is>
      </c>
      <c r="E11420" t="inlineStr">
        <is>
          <t>ETIQUETTES BY-PASS</t>
        </is>
      </c>
      <c r="F11420" t="inlineStr">
        <is>
          <t>G5000</t>
        </is>
      </c>
      <c r="J11420" t="inlineStr">
        <is>
          <t>ROBERT</t>
        </is>
      </c>
      <c r="L11420">
        <f>_xlfn.XLOOKUP(Tableau1[[#This Row],[TYPE DE PIECE]],Tableau4[MATIERE],Tableau4[SHORT TYPE],"",0,1)</f>
        <v/>
      </c>
      <c r="N11420">
        <f>IF(ISERR(FIND("DECOUPE",Tableau1[[#This Row],[DESIGNATION]])),"","NEED REF")</f>
        <v/>
      </c>
    </row>
    <row r="11421">
      <c r="B11421" t="n">
        <v>34402585</v>
      </c>
      <c r="C11421" s="2" t="n">
        <v>40914</v>
      </c>
      <c r="D11421" t="inlineStr">
        <is>
          <t>SPEC</t>
        </is>
      </c>
      <c r="E11421" t="inlineStr">
        <is>
          <t>ETIQUETTES UPS</t>
        </is>
      </c>
      <c r="F11421" t="inlineStr">
        <is>
          <t>G5000</t>
        </is>
      </c>
      <c r="J11421" t="inlineStr">
        <is>
          <t>ROBERT</t>
        </is>
      </c>
      <c r="L11421">
        <f>_xlfn.XLOOKUP(Tableau1[[#This Row],[TYPE DE PIECE]],Tableau4[MATIERE],Tableau4[SHORT TYPE],"",0,1)</f>
        <v/>
      </c>
      <c r="N11421">
        <f>IF(ISERR(FIND("DECOUPE",Tableau1[[#This Row],[DESIGNATION]])),"","NEED REF")</f>
        <v/>
      </c>
    </row>
    <row r="11422">
      <c r="B11422" t="n">
        <v>34402584</v>
      </c>
      <c r="C11422" s="2" t="n">
        <v>40935</v>
      </c>
      <c r="D11422" t="inlineStr">
        <is>
          <t>NOM</t>
        </is>
      </c>
      <c r="E11422" t="inlineStr">
        <is>
          <t xml:space="preserve">LG ADAPTATION DNV BATT / AUX </t>
        </is>
      </c>
      <c r="F11422" t="inlineStr">
        <is>
          <t>G5000</t>
        </is>
      </c>
      <c r="J11422" t="inlineStr">
        <is>
          <t>ROBERT</t>
        </is>
      </c>
      <c r="L11422">
        <f>_xlfn.XLOOKUP(Tableau1[[#This Row],[TYPE DE PIECE]],Tableau4[MATIERE],Tableau4[SHORT TYPE],"",0,1)</f>
        <v/>
      </c>
      <c r="N11422">
        <f>IF(ISERR(FIND("DECOUPE",Tableau1[[#This Row],[DESIGNATION]])),"","NEED REF")</f>
        <v/>
      </c>
    </row>
    <row r="11423">
      <c r="B11423" t="n">
        <v>34402583</v>
      </c>
      <c r="C11423" s="2" t="n">
        <v>40935</v>
      </c>
      <c r="D11423" t="inlineStr">
        <is>
          <t>NOM</t>
        </is>
      </c>
      <c r="E11423" t="inlineStr">
        <is>
          <t>LG PLATINE+SILENTBLOCS BATT / AUX 1010</t>
        </is>
      </c>
      <c r="F11423" t="inlineStr">
        <is>
          <t>G5000</t>
        </is>
      </c>
      <c r="J11423" t="inlineStr">
        <is>
          <t>ROBERT</t>
        </is>
      </c>
      <c r="L11423">
        <f>_xlfn.XLOOKUP(Tableau1[[#This Row],[TYPE DE PIECE]],Tableau4[MATIERE],Tableau4[SHORT TYPE],"",0,1)</f>
        <v/>
      </c>
      <c r="N11423">
        <f>IF(ISERR(FIND("DECOUPE",Tableau1[[#This Row],[DESIGNATION]])),"","NEED REF")</f>
        <v/>
      </c>
    </row>
    <row r="11424">
      <c r="B11424" t="n">
        <v>34402582</v>
      </c>
      <c r="C11424" s="2" t="n">
        <v>40935</v>
      </c>
      <c r="D11424" t="inlineStr">
        <is>
          <t>NOM</t>
        </is>
      </c>
      <c r="E11424" t="inlineStr">
        <is>
          <t>LG PLATINE+SILENTBLOCS 80/120kVA</t>
        </is>
      </c>
      <c r="F11424" t="inlineStr">
        <is>
          <t>G5000</t>
        </is>
      </c>
      <c r="J11424" t="inlineStr">
        <is>
          <t>ROBERT</t>
        </is>
      </c>
      <c r="L11424">
        <f>_xlfn.XLOOKUP(Tableau1[[#This Row],[TYPE DE PIECE]],Tableau4[MATIERE],Tableau4[SHORT TYPE],"",0,1)</f>
        <v/>
      </c>
      <c r="N11424">
        <f>IF(ISERR(FIND("DECOUPE",Tableau1[[#This Row],[DESIGNATION]])),"","NEED REF")</f>
        <v/>
      </c>
    </row>
    <row r="11425">
      <c r="B11425" t="n">
        <v>34402581</v>
      </c>
      <c r="C11425" s="2" t="n">
        <v>40932</v>
      </c>
      <c r="D11425" t="inlineStr">
        <is>
          <t>SPEC</t>
        </is>
      </c>
      <c r="E11425" t="inlineStr">
        <is>
          <t>PONTAGE L3 R1/R2 G7K 400kVA</t>
        </is>
      </c>
      <c r="F11425" t="inlineStr">
        <is>
          <t>G7000</t>
        </is>
      </c>
      <c r="J11425" t="inlineStr">
        <is>
          <t>MATRION</t>
        </is>
      </c>
      <c r="L11425">
        <f>_xlfn.XLOOKUP(Tableau1[[#This Row],[TYPE DE PIECE]],Tableau4[MATIERE],Tableau4[SHORT TYPE],"",0,1)</f>
        <v/>
      </c>
      <c r="N11425">
        <f>IF(ISERR(FIND("DECOUPE",Tableau1[[#This Row],[DESIGNATION]])),"","NEED REF")</f>
        <v/>
      </c>
    </row>
    <row r="11426">
      <c r="B11426" t="n">
        <v>34402580</v>
      </c>
      <c r="C11426" s="2" t="n">
        <v>40932</v>
      </c>
      <c r="D11426" t="inlineStr">
        <is>
          <t>SPEC</t>
        </is>
      </c>
      <c r="E11426" t="inlineStr">
        <is>
          <t>PONTAGE L2 R1/R2 G7K 400kVA</t>
        </is>
      </c>
      <c r="F11426" t="inlineStr">
        <is>
          <t>G7000</t>
        </is>
      </c>
      <c r="J11426" t="inlineStr">
        <is>
          <t>MATRION</t>
        </is>
      </c>
      <c r="L11426">
        <f>_xlfn.XLOOKUP(Tableau1[[#This Row],[TYPE DE PIECE]],Tableau4[MATIERE],Tableau4[SHORT TYPE],"",0,1)</f>
        <v/>
      </c>
      <c r="N11426">
        <f>IF(ISERR(FIND("DECOUPE",Tableau1[[#This Row],[DESIGNATION]])),"","NEED REF")</f>
        <v/>
      </c>
    </row>
    <row r="11427">
      <c r="B11427" t="n">
        <v>34402579</v>
      </c>
      <c r="C11427" s="2" t="n">
        <v>40932</v>
      </c>
      <c r="D11427" t="inlineStr">
        <is>
          <t>SPEC</t>
        </is>
      </c>
      <c r="E11427" t="inlineStr">
        <is>
          <t>PONTAGE L1 R1/R2 G7K 400kVA</t>
        </is>
      </c>
      <c r="F11427" t="inlineStr">
        <is>
          <t>G7000</t>
        </is>
      </c>
      <c r="J11427" t="inlineStr">
        <is>
          <t>MATRION</t>
        </is>
      </c>
      <c r="L11427">
        <f>_xlfn.XLOOKUP(Tableau1[[#This Row],[TYPE DE PIECE]],Tableau4[MATIERE],Tableau4[SHORT TYPE],"",0,1)</f>
        <v/>
      </c>
      <c r="N11427">
        <f>IF(ISERR(FIND("DECOUPE",Tableau1[[#This Row],[DESIGNATION]])),"","NEED REF")</f>
        <v/>
      </c>
    </row>
    <row r="11428">
      <c r="B11428" t="n">
        <v>34402578</v>
      </c>
      <c r="C11428" s="2" t="n">
        <v>40924</v>
      </c>
      <c r="D11428" t="inlineStr">
        <is>
          <t>SPEC</t>
        </is>
      </c>
      <c r="E11428" t="inlineStr">
        <is>
          <t>PLATINE SUPPORT SW + INSERTS</t>
        </is>
      </c>
      <c r="F11428" t="inlineStr">
        <is>
          <t>2xSW G5000 G7000</t>
        </is>
      </c>
      <c r="J11428" t="inlineStr">
        <is>
          <t>MATRION</t>
        </is>
      </c>
      <c r="L11428">
        <f>_xlfn.XLOOKUP(Tableau1[[#This Row],[TYPE DE PIECE]],Tableau4[MATIERE],Tableau4[SHORT TYPE],"",0,1)</f>
        <v/>
      </c>
      <c r="N11428">
        <f>IF(ISERR(FIND("DECOUPE",Tableau1[[#This Row],[DESIGNATION]])),"","NEED REF")</f>
        <v/>
      </c>
    </row>
    <row r="11429">
      <c r="B11429" t="n">
        <v>34402577</v>
      </c>
      <c r="C11429" s="2" t="n">
        <v>40924</v>
      </c>
      <c r="D11429" t="inlineStr">
        <is>
          <t>SPEC</t>
        </is>
      </c>
      <c r="E11429" t="inlineStr">
        <is>
          <t>SUPPORT GLISSIERE SW + INSERTS</t>
        </is>
      </c>
      <c r="F11429" t="inlineStr">
        <is>
          <t>2xSW G5000 G7000</t>
        </is>
      </c>
      <c r="J11429" t="inlineStr">
        <is>
          <t>MATRION</t>
        </is>
      </c>
      <c r="L11429">
        <f>_xlfn.XLOOKUP(Tableau1[[#This Row],[TYPE DE PIECE]],Tableau4[MATIERE],Tableau4[SHORT TYPE],"",0,1)</f>
        <v/>
      </c>
      <c r="N11429">
        <f>IF(ISERR(FIND("DECOUPE",Tableau1[[#This Row],[DESIGNATION]])),"","NEED REF")</f>
        <v/>
      </c>
    </row>
    <row r="11430">
      <c r="B11430" t="n">
        <v>34402576</v>
      </c>
      <c r="C11430" s="2" t="n">
        <v>40924</v>
      </c>
      <c r="D11430" t="inlineStr">
        <is>
          <t>SPEC</t>
        </is>
      </c>
      <c r="E11430" t="inlineStr">
        <is>
          <t>TRAVERSE AV/AR +  INSERTS</t>
        </is>
      </c>
      <c r="F11430" t="inlineStr">
        <is>
          <t>2xSW G5000 G7000</t>
        </is>
      </c>
      <c r="J11430" t="inlineStr">
        <is>
          <t>MATRION</t>
        </is>
      </c>
      <c r="L11430">
        <f>_xlfn.XLOOKUP(Tableau1[[#This Row],[TYPE DE PIECE]],Tableau4[MATIERE],Tableau4[SHORT TYPE],"",0,1)</f>
        <v/>
      </c>
      <c r="N11430">
        <f>IF(ISERR(FIND("DECOUPE",Tableau1[[#This Row],[DESIGNATION]])),"","NEED REF")</f>
        <v/>
      </c>
    </row>
    <row r="11431">
      <c r="B11431" t="n">
        <v>34402575</v>
      </c>
      <c r="C11431" s="2" t="n">
        <v>40924</v>
      </c>
      <c r="D11431" t="inlineStr">
        <is>
          <t>SPEC</t>
        </is>
      </c>
      <c r="E11431" t="inlineStr">
        <is>
          <t>SUPPORT INTERVERROUILLAGE SW + INSERTS</t>
        </is>
      </c>
      <c r="F11431" t="inlineStr">
        <is>
          <t>2xSW G5000 G7000</t>
        </is>
      </c>
      <c r="J11431" t="inlineStr">
        <is>
          <t>MATRION</t>
        </is>
      </c>
      <c r="L11431">
        <f>_xlfn.XLOOKUP(Tableau1[[#This Row],[TYPE DE PIECE]],Tableau4[MATIERE],Tableau4[SHORT TYPE],"",0,1)</f>
        <v/>
      </c>
      <c r="N11431">
        <f>IF(ISERR(FIND("DECOUPE",Tableau1[[#This Row],[DESIGNATION]])),"","NEED REF")</f>
        <v/>
      </c>
    </row>
    <row r="11432">
      <c r="B11432" t="n">
        <v>34402574</v>
      </c>
      <c r="C11432" s="2" t="n">
        <v>40924</v>
      </c>
      <c r="D11432" t="inlineStr">
        <is>
          <t>SPEC</t>
        </is>
      </c>
      <c r="E11432" t="inlineStr">
        <is>
          <t>PLATINE SUPPORT SW</t>
        </is>
      </c>
      <c r="F11432" t="inlineStr">
        <is>
          <t>2xSW G5000 G7000</t>
        </is>
      </c>
      <c r="J11432" t="inlineStr">
        <is>
          <t>MATRION</t>
        </is>
      </c>
      <c r="L11432">
        <f>_xlfn.XLOOKUP(Tableau1[[#This Row],[TYPE DE PIECE]],Tableau4[MATIERE],Tableau4[SHORT TYPE],"",0,1)</f>
        <v/>
      </c>
      <c r="N11432">
        <f>IF(ISERR(FIND("DECOUPE",Tableau1[[#This Row],[DESIGNATION]])),"","NEED REF")</f>
        <v/>
      </c>
    </row>
    <row r="11433">
      <c r="B11433" t="n">
        <v>34402573</v>
      </c>
      <c r="C11433" s="2" t="n">
        <v>40924</v>
      </c>
      <c r="D11433" t="inlineStr">
        <is>
          <t>SPEC</t>
        </is>
      </c>
      <c r="E11433" t="inlineStr">
        <is>
          <t>SUPPORT GLISSIERE SW</t>
        </is>
      </c>
      <c r="F11433" t="inlineStr">
        <is>
          <t>2xSW G5000 G7000</t>
        </is>
      </c>
      <c r="J11433" t="inlineStr">
        <is>
          <t>MATRION</t>
        </is>
      </c>
      <c r="L11433">
        <f>_xlfn.XLOOKUP(Tableau1[[#This Row],[TYPE DE PIECE]],Tableau4[MATIERE],Tableau4[SHORT TYPE],"",0,1)</f>
        <v/>
      </c>
      <c r="N11433">
        <f>IF(ISERR(FIND("DECOUPE",Tableau1[[#This Row],[DESIGNATION]])),"","NEED REF")</f>
        <v/>
      </c>
    </row>
    <row r="11434">
      <c r="B11434" t="n">
        <v>34402572</v>
      </c>
      <c r="C11434" s="2" t="n">
        <v>40924</v>
      </c>
      <c r="D11434" t="inlineStr">
        <is>
          <t>SPEC</t>
        </is>
      </c>
      <c r="E11434" t="inlineStr">
        <is>
          <t>TRAVERSE AV/AR</t>
        </is>
      </c>
      <c r="F11434" t="inlineStr">
        <is>
          <t>2xSW G5000 G7000</t>
        </is>
      </c>
      <c r="J11434" t="inlineStr">
        <is>
          <t>MATRION</t>
        </is>
      </c>
      <c r="L11434">
        <f>_xlfn.XLOOKUP(Tableau1[[#This Row],[TYPE DE PIECE]],Tableau4[MATIERE],Tableau4[SHORT TYPE],"",0,1)</f>
        <v/>
      </c>
      <c r="N11434">
        <f>IF(ISERR(FIND("DECOUPE",Tableau1[[#This Row],[DESIGNATION]])),"","NEED REF")</f>
        <v/>
      </c>
    </row>
    <row r="11435">
      <c r="B11435" t="n">
        <v>34402571</v>
      </c>
      <c r="C11435" s="2" t="n">
        <v>40924</v>
      </c>
      <c r="D11435" t="inlineStr">
        <is>
          <t>SPEC</t>
        </is>
      </c>
      <c r="E11435" t="inlineStr">
        <is>
          <t>SUPPORT INTERVERROUILLAGE SW</t>
        </is>
      </c>
      <c r="F11435" t="inlineStr">
        <is>
          <t>2xSW G5000 G7000</t>
        </is>
      </c>
      <c r="J11435" t="inlineStr">
        <is>
          <t>MATRION</t>
        </is>
      </c>
      <c r="L11435">
        <f>_xlfn.XLOOKUP(Tableau1[[#This Row],[TYPE DE PIECE]],Tableau4[MATIERE],Tableau4[SHORT TYPE],"",0,1)</f>
        <v/>
      </c>
      <c r="N11435">
        <f>IF(ISERR(FIND("DECOUPE",Tableau1[[#This Row],[DESIGNATION]])),"","NEED REF")</f>
        <v/>
      </c>
    </row>
    <row r="11436">
      <c r="B11436" t="n">
        <v>34402570</v>
      </c>
      <c r="C11436" s="2" t="n">
        <v>40924</v>
      </c>
      <c r="D11436" t="inlineStr">
        <is>
          <t>SPEC</t>
        </is>
      </c>
      <c r="E11436" t="inlineStr">
        <is>
          <t>INTERVERROUILLAGE SW</t>
        </is>
      </c>
      <c r="F11436" t="inlineStr">
        <is>
          <t>2xSW G5000 G7000</t>
        </is>
      </c>
      <c r="J11436" t="inlineStr">
        <is>
          <t>MATRION</t>
        </is>
      </c>
      <c r="L11436">
        <f>_xlfn.XLOOKUP(Tableau1[[#This Row],[TYPE DE PIECE]],Tableau4[MATIERE],Tableau4[SHORT TYPE],"",0,1)</f>
        <v/>
      </c>
      <c r="N11436">
        <f>IF(ISERR(FIND("DECOUPE",Tableau1[[#This Row],[DESIGNATION]])),"","NEED REF")</f>
        <v/>
      </c>
    </row>
    <row r="11437">
      <c r="B11437" t="n">
        <v>34402569</v>
      </c>
      <c r="C11437" s="2" t="n">
        <v>40924</v>
      </c>
      <c r="D11437" t="inlineStr">
        <is>
          <t>SPEC</t>
        </is>
      </c>
      <c r="E11437" t="inlineStr">
        <is>
          <t>RENFORT SUPERIEUR</t>
        </is>
      </c>
      <c r="F11437" t="inlineStr">
        <is>
          <t>2xSW G5000 G7000</t>
        </is>
      </c>
      <c r="J11437" t="inlineStr">
        <is>
          <t>MATRION</t>
        </is>
      </c>
      <c r="L11437">
        <f>_xlfn.XLOOKUP(Tableau1[[#This Row],[TYPE DE PIECE]],Tableau4[MATIERE],Tableau4[SHORT TYPE],"",0,1)</f>
        <v/>
      </c>
      <c r="N11437">
        <f>IF(ISERR(FIND("DECOUPE",Tableau1[[#This Row],[DESIGNATION]])),"","NEED REF")</f>
        <v/>
      </c>
    </row>
    <row r="11438">
      <c r="B11438" t="n">
        <v>34402568</v>
      </c>
      <c r="C11438" s="2" t="n">
        <v>40924</v>
      </c>
      <c r="D11438" t="inlineStr">
        <is>
          <t>SPEC</t>
        </is>
      </c>
      <c r="E11438" t="inlineStr">
        <is>
          <t>SUPPORT INTERVERROUILLAGE SW</t>
        </is>
      </c>
      <c r="F11438" t="inlineStr">
        <is>
          <t>2xSW G5000 G7000</t>
        </is>
      </c>
      <c r="J11438" t="inlineStr">
        <is>
          <t>MATRION</t>
        </is>
      </c>
      <c r="L11438">
        <f>_xlfn.XLOOKUP(Tableau1[[#This Row],[TYPE DE PIECE]],Tableau4[MATIERE],Tableau4[SHORT TYPE],"",0,1)</f>
        <v/>
      </c>
      <c r="N11438">
        <f>IF(ISERR(FIND("DECOUPE",Tableau1[[#This Row],[DESIGNATION]])),"","NEED REF")</f>
        <v/>
      </c>
    </row>
    <row r="11439">
      <c r="B11439" t="n">
        <v>34402567</v>
      </c>
      <c r="C11439" s="2" t="n">
        <v>40924</v>
      </c>
      <c r="D11439" t="inlineStr">
        <is>
          <t>NOM</t>
        </is>
      </c>
      <c r="E11439" t="inlineStr">
        <is>
          <t>NOM 2xSW120A // en ARM G5K 1012</t>
        </is>
      </c>
      <c r="F11439" t="inlineStr">
        <is>
          <t>2xSW G5000 G7000</t>
        </is>
      </c>
      <c r="J11439" t="inlineStr">
        <is>
          <t>MATRION</t>
        </is>
      </c>
      <c r="L11439">
        <f>_xlfn.XLOOKUP(Tableau1[[#This Row],[TYPE DE PIECE]],Tableau4[MATIERE],Tableau4[SHORT TYPE],"",0,1)</f>
        <v/>
      </c>
      <c r="N11439">
        <f>IF(ISERR(FIND("DECOUPE",Tableau1[[#This Row],[DESIGNATION]])),"","NEED REF")</f>
        <v/>
      </c>
    </row>
    <row r="11440">
      <c r="B11440" t="n">
        <v>34402566</v>
      </c>
      <c r="C11440" s="2" t="n">
        <v>40918</v>
      </c>
      <c r="D11440" t="inlineStr">
        <is>
          <t>SPEC</t>
        </is>
      </c>
      <c r="E11440" t="inlineStr">
        <is>
          <t>Pièce d'angle allégé 2</t>
        </is>
      </c>
      <c r="F11440" t="inlineStr">
        <is>
          <t>TOUTES</t>
        </is>
      </c>
      <c r="J11440" t="inlineStr">
        <is>
          <t>MATRION</t>
        </is>
      </c>
      <c r="L11440">
        <f>_xlfn.XLOOKUP(Tableau1[[#This Row],[TYPE DE PIECE]],Tableau4[MATIERE],Tableau4[SHORT TYPE],"",0,1)</f>
        <v/>
      </c>
      <c r="N11440">
        <f>IF(ISERR(FIND("DECOUPE",Tableau1[[#This Row],[DESIGNATION]])),"","NEED REF")</f>
        <v/>
      </c>
    </row>
    <row r="11441">
      <c r="B11441" t="n">
        <v>34402565</v>
      </c>
      <c r="C11441" s="2" t="n">
        <v>40914</v>
      </c>
      <c r="D11441" t="inlineStr">
        <is>
          <t>SPEC</t>
        </is>
      </c>
      <c r="E11441" t="inlineStr">
        <is>
          <t>RAIL SPT AUTOMATE</t>
        </is>
      </c>
      <c r="F11441" t="inlineStr">
        <is>
          <t>STS AUTOMATE TWIDO</t>
        </is>
      </c>
      <c r="J11441" t="inlineStr">
        <is>
          <t>ÇAKIR</t>
        </is>
      </c>
      <c r="L11441">
        <f>_xlfn.XLOOKUP(Tableau1[[#This Row],[TYPE DE PIECE]],Tableau4[MATIERE],Tableau4[SHORT TYPE],"",0,1)</f>
        <v/>
      </c>
      <c r="N11441">
        <f>IF(ISERR(FIND("DECOUPE",Tableau1[[#This Row],[DESIGNATION]])),"","NEED REF")</f>
        <v/>
      </c>
    </row>
    <row r="11442">
      <c r="B11442" t="n">
        <v>34402564</v>
      </c>
      <c r="C11442" s="2" t="n">
        <v>40913</v>
      </c>
      <c r="D11442" t="inlineStr">
        <is>
          <t>NOM</t>
        </is>
      </c>
      <c r="E11442" t="inlineStr">
        <is>
          <t>LG STS AUTOMATE TWIDO</t>
        </is>
      </c>
      <c r="F11442" t="inlineStr">
        <is>
          <t>STS AUTOMATE TWIDO</t>
        </is>
      </c>
      <c r="J11442" t="inlineStr">
        <is>
          <t>ÇAKIR</t>
        </is>
      </c>
      <c r="L11442">
        <f>_xlfn.XLOOKUP(Tableau1[[#This Row],[TYPE DE PIECE]],Tableau4[MATIERE],Tableau4[SHORT TYPE],"",0,1)</f>
        <v/>
      </c>
      <c r="N11442">
        <f>IF(ISERR(FIND("DECOUPE",Tableau1[[#This Row],[DESIGNATION]])),"","NEED REF")</f>
        <v/>
      </c>
    </row>
    <row r="11443">
      <c r="B11443" t="n">
        <v>34402563</v>
      </c>
      <c r="C11443" s="2" t="n">
        <v>40912</v>
      </c>
      <c r="D11443" t="inlineStr">
        <is>
          <t>SPEC</t>
        </is>
      </c>
      <c r="E11443" t="inlineStr">
        <is>
          <t>Equerre de bridage latérale C</t>
        </is>
      </c>
      <c r="F11443" t="inlineStr">
        <is>
          <t>CAILLEBOTIS MARINE MW</t>
        </is>
      </c>
      <c r="J11443" t="inlineStr">
        <is>
          <t>ROBERT</t>
        </is>
      </c>
      <c r="L11443">
        <f>_xlfn.XLOOKUP(Tableau1[[#This Row],[TYPE DE PIECE]],Tableau4[MATIERE],Tableau4[SHORT TYPE],"",0,1)</f>
        <v/>
      </c>
      <c r="N11443">
        <f>IF(ISERR(FIND("DECOUPE",Tableau1[[#This Row],[DESIGNATION]])),"","NEED REF")</f>
        <v/>
      </c>
    </row>
    <row r="11444">
      <c r="B11444" t="n">
        <v>34402562</v>
      </c>
      <c r="C11444" s="2" t="n">
        <v>40912</v>
      </c>
      <c r="D11444" t="inlineStr">
        <is>
          <t>NOM</t>
        </is>
      </c>
      <c r="E11444" t="inlineStr">
        <is>
          <t>LG raccordement haut TGAB STS1200A</t>
        </is>
      </c>
      <c r="F11444" t="inlineStr">
        <is>
          <t>STS1200</t>
        </is>
      </c>
      <c r="J11444" t="inlineStr">
        <is>
          <t>REVEL</t>
        </is>
      </c>
      <c r="L11444">
        <f>_xlfn.XLOOKUP(Tableau1[[#This Row],[TYPE DE PIECE]],Tableau4[MATIERE],Tableau4[SHORT TYPE],"",0,1)</f>
        <v/>
      </c>
      <c r="N11444">
        <f>IF(ISERR(FIND("DECOUPE",Tableau1[[#This Row],[DESIGNATION]])),"","NEED REF")</f>
        <v/>
      </c>
    </row>
    <row r="11445">
      <c r="B11445" t="n">
        <v>34402561</v>
      </c>
      <c r="C11445" s="2" t="n">
        <v>40912</v>
      </c>
      <c r="D11445" t="inlineStr">
        <is>
          <t>SPEC</t>
        </is>
      </c>
      <c r="E11445" t="inlineStr">
        <is>
          <t>Panneau lateral L 812*300 pour STS 1200A TGAB</t>
        </is>
      </c>
      <c r="F11445" t="inlineStr">
        <is>
          <t>STS1200</t>
        </is>
      </c>
      <c r="J11445" t="inlineStr">
        <is>
          <t>REVEL</t>
        </is>
      </c>
      <c r="L11445">
        <f>_xlfn.XLOOKUP(Tableau1[[#This Row],[TYPE DE PIECE]],Tableau4[MATIERE],Tableau4[SHORT TYPE],"",0,1)</f>
        <v/>
      </c>
      <c r="N11445">
        <f>IF(ISERR(FIND("DECOUPE",Tableau1[[#This Row],[DESIGNATION]])),"","NEED REF")</f>
        <v/>
      </c>
    </row>
    <row r="11446">
      <c r="B11446" t="n">
        <v>34402560</v>
      </c>
      <c r="C11446" s="2" t="n">
        <v>40912</v>
      </c>
      <c r="D11446" t="inlineStr">
        <is>
          <t>SPEC</t>
        </is>
      </c>
      <c r="E11446" t="inlineStr">
        <is>
          <t>Panneau AV/AR L 1840*300 pour STS 1200A TGAB</t>
        </is>
      </c>
      <c r="F11446" t="inlineStr">
        <is>
          <t>STS1200</t>
        </is>
      </c>
      <c r="J11446" t="inlineStr">
        <is>
          <t>REVEL</t>
        </is>
      </c>
      <c r="L11446">
        <f>_xlfn.XLOOKUP(Tableau1[[#This Row],[TYPE DE PIECE]],Tableau4[MATIERE],Tableau4[SHORT TYPE],"",0,1)</f>
        <v/>
      </c>
      <c r="N11446">
        <f>IF(ISERR(FIND("DECOUPE",Tableau1[[#This Row],[DESIGNATION]])),"","NEED REF")</f>
        <v/>
      </c>
    </row>
    <row r="11447">
      <c r="B11447" t="n">
        <v>34402559</v>
      </c>
      <c r="C11447" s="2" t="n">
        <v>40912</v>
      </c>
      <c r="D11447" t="inlineStr">
        <is>
          <t>SPEC</t>
        </is>
      </c>
      <c r="E11447" t="inlineStr">
        <is>
          <t>Montant AV/AR Lg 224 pour STS 1200A TGAB</t>
        </is>
      </c>
      <c r="F11447" t="inlineStr">
        <is>
          <t>STS1200</t>
        </is>
      </c>
      <c r="J11447" t="inlineStr">
        <is>
          <t>REVEL</t>
        </is>
      </c>
      <c r="L11447">
        <f>_xlfn.XLOOKUP(Tableau1[[#This Row],[TYPE DE PIECE]],Tableau4[MATIERE],Tableau4[SHORT TYPE],"",0,1)</f>
        <v/>
      </c>
      <c r="N11447">
        <f>IF(ISERR(FIND("DECOUPE",Tableau1[[#This Row],[DESIGNATION]])),"","NEED REF")</f>
        <v/>
      </c>
    </row>
    <row r="11448">
      <c r="B11448" t="n">
        <v>34402558</v>
      </c>
      <c r="C11448" s="2" t="n">
        <v>40912</v>
      </c>
      <c r="D11448" t="inlineStr">
        <is>
          <t>SPEC</t>
        </is>
      </c>
      <c r="E11448" t="inlineStr">
        <is>
          <t>Montant d'angle Lg 300 pour STS 1200A TGAB</t>
        </is>
      </c>
      <c r="F11448" t="inlineStr">
        <is>
          <t>STS1200</t>
        </is>
      </c>
      <c r="J11448" t="inlineStr">
        <is>
          <t>REVEL</t>
        </is>
      </c>
      <c r="L11448">
        <f>_xlfn.XLOOKUP(Tableau1[[#This Row],[TYPE DE PIECE]],Tableau4[MATIERE],Tableau4[SHORT TYPE],"",0,1)</f>
        <v/>
      </c>
      <c r="N11448">
        <f>IF(ISERR(FIND("DECOUPE",Tableau1[[#This Row],[DESIGNATION]])),"","NEED REF")</f>
        <v/>
      </c>
    </row>
    <row r="11449">
      <c r="B11449" t="n">
        <v>34402557</v>
      </c>
      <c r="C11449" s="2" t="n">
        <v>40912</v>
      </c>
      <c r="D11449" t="inlineStr">
        <is>
          <t>SPEC</t>
        </is>
      </c>
      <c r="E11449" t="inlineStr">
        <is>
          <t>Traverse AV/AR Lg 880 pour STS 1200A TGAB</t>
        </is>
      </c>
      <c r="F11449" t="inlineStr">
        <is>
          <t>STS1200</t>
        </is>
      </c>
      <c r="J11449" t="inlineStr">
        <is>
          <t>REVEL</t>
        </is>
      </c>
      <c r="L11449">
        <f>_xlfn.XLOOKUP(Tableau1[[#This Row],[TYPE DE PIECE]],Tableau4[MATIERE],Tableau4[SHORT TYPE],"",0,1)</f>
        <v/>
      </c>
      <c r="N11449">
        <f>IF(ISERR(FIND("DECOUPE",Tableau1[[#This Row],[DESIGNATION]])),"","NEED REF")</f>
        <v/>
      </c>
    </row>
    <row r="11450">
      <c r="B11450" t="n">
        <v>34402556</v>
      </c>
      <c r="C11450" s="2" t="n">
        <v>40912</v>
      </c>
      <c r="D11450" t="inlineStr">
        <is>
          <t>SPEC</t>
        </is>
      </c>
      <c r="E11450" t="inlineStr">
        <is>
          <t>Toit largeur 1000 pour STS 1200A TGAB</t>
        </is>
      </c>
      <c r="F11450" t="inlineStr">
        <is>
          <t>STS1200</t>
        </is>
      </c>
      <c r="J11450" t="inlineStr">
        <is>
          <t>REVEL</t>
        </is>
      </c>
      <c r="L11450">
        <f>_xlfn.XLOOKUP(Tableau1[[#This Row],[TYPE DE PIECE]],Tableau4[MATIERE],Tableau4[SHORT TYPE],"",0,1)</f>
        <v/>
      </c>
      <c r="N11450">
        <f>IF(ISERR(FIND("DECOUPE",Tableau1[[#This Row],[DESIGNATION]])),"","NEED REF")</f>
        <v/>
      </c>
    </row>
    <row r="11451">
      <c r="B11451" t="n">
        <v>34402555</v>
      </c>
      <c r="C11451" s="2" t="n">
        <v>40912</v>
      </c>
      <c r="D11451" t="inlineStr">
        <is>
          <t>SPEC</t>
        </is>
      </c>
      <c r="E11451" t="inlineStr">
        <is>
          <t>Jonction de toit pour STS 1200A TGAB</t>
        </is>
      </c>
      <c r="F11451" t="inlineStr">
        <is>
          <t>STS1200</t>
        </is>
      </c>
      <c r="J11451" t="inlineStr">
        <is>
          <t>REVEL</t>
        </is>
      </c>
      <c r="L11451">
        <f>_xlfn.XLOOKUP(Tableau1[[#This Row],[TYPE DE PIECE]],Tableau4[MATIERE],Tableau4[SHORT TYPE],"",0,1)</f>
        <v/>
      </c>
      <c r="N11451">
        <f>IF(ISERR(FIND("DECOUPE",Tableau1[[#This Row],[DESIGNATION]])),"","NEED REF")</f>
        <v/>
      </c>
    </row>
    <row r="11452">
      <c r="B11452" t="n">
        <v>34402554</v>
      </c>
      <c r="C11452" s="2" t="n">
        <v>40912</v>
      </c>
      <c r="D11452" t="inlineStr">
        <is>
          <t>SPEC</t>
        </is>
      </c>
      <c r="E11452" t="inlineStr">
        <is>
          <t>Toit largeur 400 pour STS 1200A TGAB</t>
        </is>
      </c>
      <c r="F11452" t="inlineStr">
        <is>
          <t>STS1200</t>
        </is>
      </c>
      <c r="J11452" t="inlineStr">
        <is>
          <t>REVEL</t>
        </is>
      </c>
      <c r="L11452">
        <f>_xlfn.XLOOKUP(Tableau1[[#This Row],[TYPE DE PIECE]],Tableau4[MATIERE],Tableau4[SHORT TYPE],"",0,1)</f>
        <v/>
      </c>
      <c r="N11452">
        <f>IF(ISERR(FIND("DECOUPE",Tableau1[[#This Row],[DESIGNATION]])),"","NEED REF")</f>
        <v/>
      </c>
    </row>
    <row r="11453">
      <c r="B11453" t="n">
        <v>34402553</v>
      </c>
      <c r="C11453" s="2" t="n">
        <v>40912</v>
      </c>
      <c r="D11453" t="inlineStr">
        <is>
          <t>SPEC</t>
        </is>
      </c>
      <c r="E11453" t="inlineStr">
        <is>
          <t>Jeu de barres verticales STS 1200A TGAB</t>
        </is>
      </c>
      <c r="F11453" t="inlineStr">
        <is>
          <t>STS1200</t>
        </is>
      </c>
      <c r="J11453" t="inlineStr">
        <is>
          <t>REVEL</t>
        </is>
      </c>
      <c r="L11453">
        <f>_xlfn.XLOOKUP(Tableau1[[#This Row],[TYPE DE PIECE]],Tableau4[MATIERE],Tableau4[SHORT TYPE],"",0,1)</f>
        <v/>
      </c>
      <c r="N11453">
        <f>IF(ISERR(FIND("DECOUPE",Tableau1[[#This Row],[DESIGNATION]])),"","NEED REF")</f>
        <v/>
      </c>
    </row>
    <row r="11454">
      <c r="B11454" t="n">
        <v>34402552</v>
      </c>
      <c r="C11454" s="2" t="n">
        <v>40900</v>
      </c>
      <c r="D11454" t="inlineStr">
        <is>
          <t>CDC</t>
        </is>
      </c>
      <c r="E11454" t="inlineStr">
        <is>
          <t>Reprise carte 0P0067 pour modification en carte 0P1928</t>
        </is>
      </c>
      <c r="F11454" t="inlineStr">
        <is>
          <t>SILCON</t>
        </is>
      </c>
      <c r="J11454" t="inlineStr">
        <is>
          <t>REVEL</t>
        </is>
      </c>
      <c r="L11454">
        <f>_xlfn.XLOOKUP(Tableau1[[#This Row],[TYPE DE PIECE]],Tableau4[MATIERE],Tableau4[SHORT TYPE],"",0,1)</f>
        <v/>
      </c>
      <c r="N11454">
        <f>IF(ISERR(FIND("DECOUPE",Tableau1[[#This Row],[DESIGNATION]])),"","NEED REF")</f>
        <v/>
      </c>
    </row>
    <row r="11455">
      <c r="B11455" t="n">
        <v>34402551</v>
      </c>
      <c r="C11455" s="2" t="n">
        <v>40897</v>
      </c>
      <c r="D11455" t="inlineStr">
        <is>
          <t>SPEC</t>
        </is>
      </c>
      <c r="E11455" t="inlineStr">
        <is>
          <t>AUTOMATE COVER STS 600A</t>
        </is>
      </c>
      <c r="F11455" t="inlineStr">
        <is>
          <t>STS</t>
        </is>
      </c>
      <c r="J11455" t="inlineStr">
        <is>
          <t>ÇAKIR</t>
        </is>
      </c>
      <c r="L11455">
        <f>_xlfn.XLOOKUP(Tableau1[[#This Row],[TYPE DE PIECE]],Tableau4[MATIERE],Tableau4[SHORT TYPE],"",0,1)</f>
        <v/>
      </c>
      <c r="N11455">
        <f>IF(ISERR(FIND("DECOUPE",Tableau1[[#This Row],[DESIGNATION]])),"","NEED REF")</f>
        <v/>
      </c>
    </row>
    <row r="11456">
      <c r="B11456" t="n">
        <v>34402550</v>
      </c>
      <c r="C11456" s="2" t="n">
        <v>40896</v>
      </c>
      <c r="D11456" t="inlineStr">
        <is>
          <t>SPEC</t>
        </is>
      </c>
      <c r="E11456" t="inlineStr">
        <is>
          <t>SUPPORT E, MONTE AUTOMATE STS 600A</t>
        </is>
      </c>
      <c r="F11456" t="inlineStr">
        <is>
          <t>STS</t>
        </is>
      </c>
      <c r="J11456" t="inlineStr">
        <is>
          <t>ÇAKIR</t>
        </is>
      </c>
      <c r="L11456">
        <f>_xlfn.XLOOKUP(Tableau1[[#This Row],[TYPE DE PIECE]],Tableau4[MATIERE],Tableau4[SHORT TYPE],"",0,1)</f>
        <v/>
      </c>
      <c r="N11456">
        <f>IF(ISERR(FIND("DECOUPE",Tableau1[[#This Row],[DESIGNATION]])),"","NEED REF")</f>
        <v/>
      </c>
    </row>
    <row r="11457">
      <c r="B11457" t="n">
        <v>34402549</v>
      </c>
      <c r="C11457" s="2" t="n">
        <v>40896</v>
      </c>
      <c r="D11457" t="inlineStr">
        <is>
          <t>SPEC</t>
        </is>
      </c>
      <c r="E11457" t="inlineStr">
        <is>
          <t>SUPPORT AUTOMATE STS 600A</t>
        </is>
      </c>
      <c r="F11457" t="inlineStr">
        <is>
          <t>STS</t>
        </is>
      </c>
      <c r="J11457" t="inlineStr">
        <is>
          <t>ÇAKIR</t>
        </is>
      </c>
      <c r="L11457">
        <f>_xlfn.XLOOKUP(Tableau1[[#This Row],[TYPE DE PIECE]],Tableau4[MATIERE],Tableau4[SHORT TYPE],"",0,1)</f>
        <v/>
      </c>
      <c r="N11457">
        <f>IF(ISERR(FIND("DECOUPE",Tableau1[[#This Row],[DESIGNATION]])),"","NEED REF")</f>
        <v/>
      </c>
    </row>
    <row r="11458">
      <c r="B11458" t="n">
        <v>34402548</v>
      </c>
      <c r="C11458" s="2" t="n">
        <v>40886</v>
      </c>
      <c r="D11458" t="inlineStr">
        <is>
          <t>ART</t>
        </is>
      </c>
      <c r="E11458" t="inlineStr">
        <is>
          <t>CALES BATT STX 3x(65x197)+2x(164x197)</t>
        </is>
      </c>
      <c r="F11458" t="inlineStr">
        <is>
          <t>STX</t>
        </is>
      </c>
      <c r="J11458" t="inlineStr">
        <is>
          <t>ROBERT</t>
        </is>
      </c>
      <c r="L11458">
        <f>_xlfn.XLOOKUP(Tableau1[[#This Row],[TYPE DE PIECE]],Tableau4[MATIERE],Tableau4[SHORT TYPE],"",0,1)</f>
        <v/>
      </c>
      <c r="N11458">
        <f>IF(ISERR(FIND("DECOUPE",Tableau1[[#This Row],[DESIGNATION]])),"","NEED REF")</f>
        <v/>
      </c>
    </row>
    <row r="11459">
      <c r="B11459" t="n">
        <v>34402547</v>
      </c>
      <c r="C11459" s="2" t="n">
        <v>40885</v>
      </c>
      <c r="D11459" t="inlineStr">
        <is>
          <t>SPEC</t>
        </is>
      </c>
      <c r="E11459" t="inlineStr">
        <is>
          <t xml:space="preserve">PLASTRON H100 L712 </t>
        </is>
      </c>
      <c r="F11459" t="inlineStr">
        <is>
          <t>BIRDY</t>
        </is>
      </c>
      <c r="J11459" t="inlineStr">
        <is>
          <t>REVEL</t>
        </is>
      </c>
      <c r="L11459">
        <f>_xlfn.XLOOKUP(Tableau1[[#This Row],[TYPE DE PIECE]],Tableau4[MATIERE],Tableau4[SHORT TYPE],"",0,1)</f>
        <v/>
      </c>
      <c r="N11459">
        <f>IF(ISERR(FIND("DECOUPE",Tableau1[[#This Row],[DESIGNATION]])),"","NEED REF")</f>
        <v/>
      </c>
    </row>
    <row r="11460">
      <c r="B11460" t="n">
        <v>34402546</v>
      </c>
      <c r="C11460" s="2" t="n">
        <v>40913</v>
      </c>
      <c r="D11460" t="inlineStr">
        <is>
          <t>SPEC</t>
        </is>
      </c>
      <c r="E11460" t="inlineStr">
        <is>
          <t xml:space="preserve">BARRE Cu JdB </t>
        </is>
      </c>
      <c r="F11460" t="inlineStr">
        <is>
          <t>MEEZA</t>
        </is>
      </c>
      <c r="J11460" t="inlineStr">
        <is>
          <t>ÇAKIR</t>
        </is>
      </c>
      <c r="L11460">
        <f>_xlfn.XLOOKUP(Tableau1[[#This Row],[TYPE DE PIECE]],Tableau4[MATIERE],Tableau4[SHORT TYPE],"",0,1)</f>
        <v/>
      </c>
      <c r="N11460">
        <f>IF(ISERR(FIND("DECOUPE",Tableau1[[#This Row],[DESIGNATION]])),"","NEED REF")</f>
        <v/>
      </c>
    </row>
    <row r="11461">
      <c r="B11461" t="n">
        <v>34402545</v>
      </c>
      <c r="C11461" s="2" t="n">
        <v>40885</v>
      </c>
      <c r="D11461" t="inlineStr">
        <is>
          <t>SPEC</t>
        </is>
      </c>
      <c r="E11461" t="inlineStr">
        <is>
          <t>PLASTRON H300 L712 pour 1 NSX100 à NSX250</t>
        </is>
      </c>
      <c r="F11461" t="inlineStr">
        <is>
          <t>BIRDY</t>
        </is>
      </c>
      <c r="J11461" t="inlineStr">
        <is>
          <t>REVEL</t>
        </is>
      </c>
      <c r="L11461">
        <f>_xlfn.XLOOKUP(Tableau1[[#This Row],[TYPE DE PIECE]],Tableau4[MATIERE],Tableau4[SHORT TYPE],"",0,1)</f>
        <v/>
      </c>
      <c r="N11461">
        <f>IF(ISERR(FIND("DECOUPE",Tableau1[[#This Row],[DESIGNATION]])),"","NEED REF")</f>
        <v/>
      </c>
    </row>
    <row r="11462">
      <c r="B11462" t="n">
        <v>34402544</v>
      </c>
      <c r="C11462" s="2" t="n">
        <v>40875</v>
      </c>
      <c r="D11462" t="inlineStr">
        <is>
          <t>SPEC</t>
        </is>
      </c>
      <c r="E11462" t="inlineStr">
        <is>
          <t>1/2 capot de protection de tête de gaine a barres</t>
        </is>
      </c>
      <c r="F11462" t="inlineStr">
        <is>
          <t xml:space="preserve">NS2000 G7K </t>
        </is>
      </c>
      <c r="J11462" t="inlineStr">
        <is>
          <t>Tchewemo</t>
        </is>
      </c>
      <c r="L11462">
        <f>_xlfn.XLOOKUP(Tableau1[[#This Row],[TYPE DE PIECE]],Tableau4[MATIERE],Tableau4[SHORT TYPE],"",0,1)</f>
        <v/>
      </c>
      <c r="N11462">
        <f>IF(ISERR(FIND("DECOUPE",Tableau1[[#This Row],[DESIGNATION]])),"","NEED REF")</f>
        <v/>
      </c>
    </row>
    <row r="11463">
      <c r="B11463" t="n">
        <v>34402543</v>
      </c>
      <c r="C11463" s="2" t="n">
        <v>40870</v>
      </c>
      <c r="D11463" t="inlineStr">
        <is>
          <t>SPEC</t>
        </is>
      </c>
      <c r="E11463" t="inlineStr">
        <is>
          <t>PLAQUE PE 560X315 POUR TOIT 712</t>
        </is>
      </c>
      <c r="F11463" t="inlineStr">
        <is>
          <t>G5000 G7000</t>
        </is>
      </c>
      <c r="J11463" t="inlineStr">
        <is>
          <t>ÇAKIR</t>
        </is>
      </c>
      <c r="L11463">
        <f>_xlfn.XLOOKUP(Tableau1[[#This Row],[TYPE DE PIECE]],Tableau4[MATIERE],Tableau4[SHORT TYPE],"",0,1)</f>
        <v/>
      </c>
      <c r="N11463">
        <f>IF(ISERR(FIND("DECOUPE",Tableau1[[#This Row],[DESIGNATION]])),"","NEED REF")</f>
        <v/>
      </c>
    </row>
    <row r="11464">
      <c r="B11464" t="n">
        <v>34402542</v>
      </c>
      <c r="C11464" s="2" t="n">
        <v>40870</v>
      </c>
      <c r="D11464" t="inlineStr">
        <is>
          <t>SPEC</t>
        </is>
      </c>
      <c r="E11464" t="inlineStr">
        <is>
          <t>TOIT AUX L712 DECOUPE 2X520X275 PPE</t>
        </is>
      </c>
      <c r="F11464" t="inlineStr">
        <is>
          <t>G5000 G7000</t>
        </is>
      </c>
      <c r="J11464" t="inlineStr">
        <is>
          <t>ÇAKIR</t>
        </is>
      </c>
      <c r="L11464">
        <f>_xlfn.XLOOKUP(Tableau1[[#This Row],[TYPE DE PIECE]],Tableau4[MATIERE],Tableau4[SHORT TYPE],"",0,1)</f>
        <v/>
      </c>
      <c r="N11464">
        <f>IF(ISERR(FIND("DECOUPE",Tableau1[[#This Row],[DESIGNATION]])),"","NEED REF")</f>
        <v/>
      </c>
    </row>
    <row r="11465">
      <c r="B11465" t="n">
        <v>34402541</v>
      </c>
      <c r="C11465" s="2" t="n">
        <v>40869</v>
      </c>
      <c r="D11465" t="inlineStr">
        <is>
          <t>SPEC</t>
        </is>
      </c>
      <c r="E11465" t="inlineStr">
        <is>
          <t>CX SPT CARTE STS 2DJ</t>
        </is>
      </c>
      <c r="F11465" t="inlineStr">
        <is>
          <t>STS 400-600</t>
        </is>
      </c>
      <c r="J11465" t="inlineStr">
        <is>
          <t>TCHEWEMO</t>
        </is>
      </c>
      <c r="L11465">
        <f>_xlfn.XLOOKUP(Tableau1[[#This Row],[TYPE DE PIECE]],Tableau4[MATIERE],Tableau4[SHORT TYPE],"",0,1)</f>
        <v/>
      </c>
      <c r="N11465">
        <f>IF(ISERR(FIND("DECOUPE",Tableau1[[#This Row],[DESIGNATION]])),"","NEED REF")</f>
        <v/>
      </c>
    </row>
    <row r="11466">
      <c r="B11466" t="n">
        <v>34402540</v>
      </c>
      <c r="C11466" s="2" t="n">
        <v>40868</v>
      </c>
      <c r="D11466" t="inlineStr">
        <is>
          <t>SPEC</t>
        </is>
      </c>
      <c r="E11466" t="inlineStr">
        <is>
          <t>CX SPT COMMANDE ROTATIVE STS 2DJ</t>
        </is>
      </c>
      <c r="F11466" t="inlineStr">
        <is>
          <t>STS 400-600</t>
        </is>
      </c>
      <c r="J11466" t="inlineStr">
        <is>
          <t>TCHEWEMO</t>
        </is>
      </c>
      <c r="L11466">
        <f>_xlfn.XLOOKUP(Tableau1[[#This Row],[TYPE DE PIECE]],Tableau4[MATIERE],Tableau4[SHORT TYPE],"",0,1)</f>
        <v/>
      </c>
      <c r="N11466">
        <f>IF(ISERR(FIND("DECOUPE",Tableau1[[#This Row],[DESIGNATION]])),"","NEED REF")</f>
        <v/>
      </c>
    </row>
    <row r="11467">
      <c r="B11467" t="n">
        <v>34402539</v>
      </c>
      <c r="C11467" s="2" t="n">
        <v>40868</v>
      </c>
      <c r="D11467" t="inlineStr">
        <is>
          <t>SPEC</t>
        </is>
      </c>
      <c r="E11467" t="inlineStr">
        <is>
          <t>CX SPT PLATINE DE COMMANDE STS 2DJ</t>
        </is>
      </c>
      <c r="F11467" t="inlineStr">
        <is>
          <t>STS 400-600</t>
        </is>
      </c>
      <c r="J11467" t="inlineStr">
        <is>
          <t>TCHEWEMO</t>
        </is>
      </c>
      <c r="L11467">
        <f>_xlfn.XLOOKUP(Tableau1[[#This Row],[TYPE DE PIECE]],Tableau4[MATIERE],Tableau4[SHORT TYPE],"",0,1)</f>
        <v/>
      </c>
      <c r="N11467">
        <f>IF(ISERR(FIND("DECOUPE",Tableau1[[#This Row],[DESIGNATION]])),"","NEED REF")</f>
        <v/>
      </c>
    </row>
    <row r="11468">
      <c r="B11468" t="n">
        <v>34402538</v>
      </c>
      <c r="C11468" s="2" t="n">
        <v>40868</v>
      </c>
      <c r="D11468" t="inlineStr">
        <is>
          <t>SPEC</t>
        </is>
      </c>
      <c r="E11468" t="inlineStr">
        <is>
          <t>CX PL2 STS 2DJ GALAXY 7000</t>
        </is>
      </c>
      <c r="F11468" t="inlineStr">
        <is>
          <t>STS 400-600</t>
        </is>
      </c>
      <c r="J11468" t="inlineStr">
        <is>
          <t>TCHEWEMO</t>
        </is>
      </c>
      <c r="L11468">
        <f>_xlfn.XLOOKUP(Tableau1[[#This Row],[TYPE DE PIECE]],Tableau4[MATIERE],Tableau4[SHORT TYPE],"",0,1)</f>
        <v/>
      </c>
      <c r="N11468">
        <f>IF(ISERR(FIND("DECOUPE",Tableau1[[#This Row],[DESIGNATION]])),"","NEED REF")</f>
        <v/>
      </c>
    </row>
    <row r="11469">
      <c r="B11469" t="n">
        <v>34402537</v>
      </c>
      <c r="C11469" s="2" t="n">
        <v>40868</v>
      </c>
      <c r="D11469" t="inlineStr">
        <is>
          <t>SPEC</t>
        </is>
      </c>
      <c r="E11469" t="inlineStr">
        <is>
          <t>CX PL1 STS 2DJ GALAXY 7000</t>
        </is>
      </c>
      <c r="F11469" t="inlineStr">
        <is>
          <t>STS 400-600</t>
        </is>
      </c>
      <c r="J11469" t="inlineStr">
        <is>
          <t>TCHEWEMO</t>
        </is>
      </c>
      <c r="L11469">
        <f>_xlfn.XLOOKUP(Tableau1[[#This Row],[TYPE DE PIECE]],Tableau4[MATIERE],Tableau4[SHORT TYPE],"",0,1)</f>
        <v/>
      </c>
      <c r="N11469">
        <f>IF(ISERR(FIND("DECOUPE",Tableau1[[#This Row],[DESIGNATION]])),"","NEED REF")</f>
        <v/>
      </c>
    </row>
    <row r="11470">
      <c r="B11470" t="n">
        <v>34402536</v>
      </c>
      <c r="C11470" s="2" t="n">
        <v>40868</v>
      </c>
      <c r="D11470" t="inlineStr">
        <is>
          <t>SPEC</t>
        </is>
      </c>
      <c r="E11470" t="inlineStr">
        <is>
          <t xml:space="preserve">CX CORO AM 3 STS 2DJ </t>
        </is>
      </c>
      <c r="F11470" t="inlineStr">
        <is>
          <t>STS 400-600</t>
        </is>
      </c>
      <c r="J11470" t="inlineStr">
        <is>
          <t>TCHEWEMO</t>
        </is>
      </c>
      <c r="L11470">
        <f>_xlfn.XLOOKUP(Tableau1[[#This Row],[TYPE DE PIECE]],Tableau4[MATIERE],Tableau4[SHORT TYPE],"",0,1)</f>
        <v/>
      </c>
      <c r="N11470">
        <f>IF(ISERR(FIND("DECOUPE",Tableau1[[#This Row],[DESIGNATION]])),"","NEED REF")</f>
        <v/>
      </c>
    </row>
    <row r="11471">
      <c r="B11471" t="n">
        <v>34402535</v>
      </c>
      <c r="C11471" s="2" t="n">
        <v>40868</v>
      </c>
      <c r="D11471" t="inlineStr">
        <is>
          <t>SPEC</t>
        </is>
      </c>
      <c r="E11471" t="inlineStr">
        <is>
          <t>CX CORO AM 2 STS 2DJ</t>
        </is>
      </c>
      <c r="F11471" t="inlineStr">
        <is>
          <t>STS 400-600</t>
        </is>
      </c>
      <c r="J11471" t="inlineStr">
        <is>
          <t>TCHEWEMO</t>
        </is>
      </c>
      <c r="L11471">
        <f>_xlfn.XLOOKUP(Tableau1[[#This Row],[TYPE DE PIECE]],Tableau4[MATIERE],Tableau4[SHORT TYPE],"",0,1)</f>
        <v/>
      </c>
      <c r="N11471">
        <f>IF(ISERR(FIND("DECOUPE",Tableau1[[#This Row],[DESIGNATION]])),"","NEED REF")</f>
        <v/>
      </c>
    </row>
    <row r="11472">
      <c r="B11472" t="n">
        <v>34402534</v>
      </c>
      <c r="C11472" s="2" t="n">
        <v>40868</v>
      </c>
      <c r="D11472" t="inlineStr">
        <is>
          <t>SPEC</t>
        </is>
      </c>
      <c r="E11472" t="inlineStr">
        <is>
          <t>CX CORO AM 1 STS 2DJ</t>
        </is>
      </c>
      <c r="F11472" t="inlineStr">
        <is>
          <t>STS 400-600</t>
        </is>
      </c>
      <c r="J11472" t="inlineStr">
        <is>
          <t>TCHEWEMO</t>
        </is>
      </c>
      <c r="L11472">
        <f>_xlfn.XLOOKUP(Tableau1[[#This Row],[TYPE DE PIECE]],Tableau4[MATIERE],Tableau4[SHORT TYPE],"",0,1)</f>
        <v/>
      </c>
      <c r="N11472">
        <f>IF(ISERR(FIND("DECOUPE",Tableau1[[#This Row],[DESIGNATION]])),"","NEED REF")</f>
        <v/>
      </c>
    </row>
    <row r="11473">
      <c r="B11473" t="n">
        <v>34402533</v>
      </c>
      <c r="C11473" s="2" t="n">
        <v>40868</v>
      </c>
      <c r="D11473" t="inlineStr">
        <is>
          <t>SPEC</t>
        </is>
      </c>
      <c r="E11473" t="inlineStr">
        <is>
          <t>CX CORO AV 3 STS 2DJ</t>
        </is>
      </c>
      <c r="F11473" t="inlineStr">
        <is>
          <t>STS 400-600</t>
        </is>
      </c>
      <c r="J11473" t="inlineStr">
        <is>
          <t>TCHEWEMO</t>
        </is>
      </c>
      <c r="L11473">
        <f>_xlfn.XLOOKUP(Tableau1[[#This Row],[TYPE DE PIECE]],Tableau4[MATIERE],Tableau4[SHORT TYPE],"",0,1)</f>
        <v/>
      </c>
      <c r="N11473">
        <f>IF(ISERR(FIND("DECOUPE",Tableau1[[#This Row],[DESIGNATION]])),"","NEED REF")</f>
        <v/>
      </c>
    </row>
    <row r="11474">
      <c r="B11474" t="n">
        <v>34402532</v>
      </c>
      <c r="C11474" s="2" t="n">
        <v>40868</v>
      </c>
      <c r="D11474" t="inlineStr">
        <is>
          <t>SPEC</t>
        </is>
      </c>
      <c r="E11474" t="inlineStr">
        <is>
          <t>CX CORO AV 2 STS 2DJ</t>
        </is>
      </c>
      <c r="F11474" t="inlineStr">
        <is>
          <t>STS 400-600</t>
        </is>
      </c>
      <c r="J11474" t="inlineStr">
        <is>
          <t>TCHEWEMO</t>
        </is>
      </c>
      <c r="L11474">
        <f>_xlfn.XLOOKUP(Tableau1[[#This Row],[TYPE DE PIECE]],Tableau4[MATIERE],Tableau4[SHORT TYPE],"",0,1)</f>
        <v/>
      </c>
      <c r="N11474">
        <f>IF(ISERR(FIND("DECOUPE",Tableau1[[#This Row],[DESIGNATION]])),"","NEED REF")</f>
        <v/>
      </c>
    </row>
    <row r="11475">
      <c r="B11475" t="n">
        <v>34402531</v>
      </c>
      <c r="C11475" s="2" t="n">
        <v>40868</v>
      </c>
      <c r="D11475" t="inlineStr">
        <is>
          <t>SPEC</t>
        </is>
      </c>
      <c r="E11475" t="inlineStr">
        <is>
          <t>CX CORO AV 1 STS 2DJ</t>
        </is>
      </c>
      <c r="F11475" t="inlineStr">
        <is>
          <t>STS 400-600</t>
        </is>
      </c>
      <c r="J11475" t="inlineStr">
        <is>
          <t>TCHEWEMO</t>
        </is>
      </c>
      <c r="L11475">
        <f>_xlfn.XLOOKUP(Tableau1[[#This Row],[TYPE DE PIECE]],Tableau4[MATIERE],Tableau4[SHORT TYPE],"",0,1)</f>
        <v/>
      </c>
      <c r="N11475">
        <f>IF(ISERR(FIND("DECOUPE",Tableau1[[#This Row],[DESIGNATION]])),"","NEED REF")</f>
        <v/>
      </c>
    </row>
    <row r="11476">
      <c r="B11476" t="n">
        <v>34402530</v>
      </c>
      <c r="C11476" s="2" t="n">
        <v>40868</v>
      </c>
      <c r="D11476" t="inlineStr">
        <is>
          <t>SPEC</t>
        </is>
      </c>
      <c r="E11476" t="inlineStr">
        <is>
          <t>CX CORO PONTAGE STS 2DJ</t>
        </is>
      </c>
      <c r="F11476" t="inlineStr">
        <is>
          <t>STS 400-600</t>
        </is>
      </c>
      <c r="J11476" t="inlineStr">
        <is>
          <t>TCHEWEMO</t>
        </is>
      </c>
      <c r="L11476">
        <f>_xlfn.XLOOKUP(Tableau1[[#This Row],[TYPE DE PIECE]],Tableau4[MATIERE],Tableau4[SHORT TYPE],"",0,1)</f>
        <v/>
      </c>
      <c r="N11476">
        <f>IF(ISERR(FIND("DECOUPE",Tableau1[[#This Row],[DESIGNATION]])),"","NEED REF")</f>
        <v/>
      </c>
    </row>
    <row r="11477">
      <c r="B11477" t="n">
        <v>34402529</v>
      </c>
      <c r="C11477" s="2" t="n">
        <v>40868</v>
      </c>
      <c r="D11477" t="inlineStr">
        <is>
          <t>SPEC</t>
        </is>
      </c>
      <c r="E11477" t="inlineStr">
        <is>
          <t>CX L3 STS 2DJ</t>
        </is>
      </c>
      <c r="F11477" t="inlineStr">
        <is>
          <t>STS 400-600</t>
        </is>
      </c>
      <c r="J11477" t="inlineStr">
        <is>
          <t>TCHEWEMO</t>
        </is>
      </c>
      <c r="L11477">
        <f>_xlfn.XLOOKUP(Tableau1[[#This Row],[TYPE DE PIECE]],Tableau4[MATIERE],Tableau4[SHORT TYPE],"",0,1)</f>
        <v/>
      </c>
      <c r="N11477">
        <f>IF(ISERR(FIND("DECOUPE",Tableau1[[#This Row],[DESIGNATION]])),"","NEED REF")</f>
        <v/>
      </c>
    </row>
    <row r="11478">
      <c r="B11478" t="n">
        <v>34402528</v>
      </c>
      <c r="C11478" s="2" t="n">
        <v>40868</v>
      </c>
      <c r="D11478" t="inlineStr">
        <is>
          <t>SPEC</t>
        </is>
      </c>
      <c r="E11478" t="inlineStr">
        <is>
          <t>CX L2 STS 2DJ</t>
        </is>
      </c>
      <c r="F11478" t="inlineStr">
        <is>
          <t>STS 400-600</t>
        </is>
      </c>
      <c r="J11478" t="inlineStr">
        <is>
          <t>TCHEWEMO</t>
        </is>
      </c>
      <c r="L11478">
        <f>_xlfn.XLOOKUP(Tableau1[[#This Row],[TYPE DE PIECE]],Tableau4[MATIERE],Tableau4[SHORT TYPE],"",0,1)</f>
        <v/>
      </c>
      <c r="N11478">
        <f>IF(ISERR(FIND("DECOUPE",Tableau1[[#This Row],[DESIGNATION]])),"","NEED REF")</f>
        <v/>
      </c>
    </row>
    <row r="11479">
      <c r="B11479" t="n">
        <v>34402527</v>
      </c>
      <c r="C11479" s="2" t="n">
        <v>40868</v>
      </c>
      <c r="D11479" t="inlineStr">
        <is>
          <t>SPEC</t>
        </is>
      </c>
      <c r="E11479" t="inlineStr">
        <is>
          <t>CX L1 STS 2DJ</t>
        </is>
      </c>
      <c r="F11479" t="inlineStr">
        <is>
          <t>STS 400-600</t>
        </is>
      </c>
      <c r="J11479" t="inlineStr">
        <is>
          <t>TCHEWEMO</t>
        </is>
      </c>
      <c r="L11479">
        <f>_xlfn.XLOOKUP(Tableau1[[#This Row],[TYPE DE PIECE]],Tableau4[MATIERE],Tableau4[SHORT TYPE],"",0,1)</f>
        <v/>
      </c>
      <c r="N11479">
        <f>IF(ISERR(FIND("DECOUPE",Tableau1[[#This Row],[DESIGNATION]])),"","NEED REF")</f>
        <v/>
      </c>
    </row>
    <row r="11480">
      <c r="B11480" t="n">
        <v>34402526</v>
      </c>
      <c r="C11480" s="2" t="n">
        <v>40865</v>
      </c>
      <c r="D11480" t="inlineStr">
        <is>
          <t>SPEC</t>
        </is>
      </c>
      <c r="E11480" t="inlineStr">
        <is>
          <t>Traverse omega L=800  pour gaine raccordement</t>
        </is>
      </c>
      <c r="F11480" t="inlineStr">
        <is>
          <t>G7000</t>
        </is>
      </c>
      <c r="J11480" t="inlineStr">
        <is>
          <t>DUBOIS</t>
        </is>
      </c>
      <c r="L11480">
        <f>_xlfn.XLOOKUP(Tableau1[[#This Row],[TYPE DE PIECE]],Tableau4[MATIERE],Tableau4[SHORT TYPE],"",0,1)</f>
        <v/>
      </c>
      <c r="N11480">
        <f>IF(ISERR(FIND("DECOUPE",Tableau1[[#This Row],[DESIGNATION]])),"","NEED REF")</f>
        <v/>
      </c>
    </row>
    <row r="11481">
      <c r="B11481" t="n">
        <v>34402525</v>
      </c>
      <c r="C11481" s="2" t="n">
        <v>40865</v>
      </c>
      <c r="D11481" t="inlineStr">
        <is>
          <t>SPEC</t>
        </is>
      </c>
      <c r="E11481" t="inlineStr">
        <is>
          <t>Traverse omega L=800  pour gaine raccordement</t>
        </is>
      </c>
      <c r="F11481" t="inlineStr">
        <is>
          <t>G7000</t>
        </is>
      </c>
      <c r="J11481" t="inlineStr">
        <is>
          <t>DUBOIS</t>
        </is>
      </c>
      <c r="L11481">
        <f>_xlfn.XLOOKUP(Tableau1[[#This Row],[TYPE DE PIECE]],Tableau4[MATIERE],Tableau4[SHORT TYPE],"",0,1)</f>
        <v/>
      </c>
      <c r="N11481">
        <f>IF(ISERR(FIND("DECOUPE",Tableau1[[#This Row],[DESIGNATION]])),"","NEED REF")</f>
        <v/>
      </c>
    </row>
    <row r="11482">
      <c r="B11482" t="n">
        <v>34402524</v>
      </c>
      <c r="C11482" s="2" t="n">
        <v>40865</v>
      </c>
      <c r="D11482" t="inlineStr">
        <is>
          <t>SPEC</t>
        </is>
      </c>
      <c r="E11482" t="inlineStr">
        <is>
          <t>Traverse omega L=800  pour gaine raccordement</t>
        </is>
      </c>
      <c r="F11482" t="inlineStr">
        <is>
          <t>G7000</t>
        </is>
      </c>
      <c r="J11482" t="inlineStr">
        <is>
          <t>DUBOIS</t>
        </is>
      </c>
      <c r="L11482">
        <f>_xlfn.XLOOKUP(Tableau1[[#This Row],[TYPE DE PIECE]],Tableau4[MATIERE],Tableau4[SHORT TYPE],"",0,1)</f>
        <v/>
      </c>
      <c r="N11482">
        <f>IF(ISERR(FIND("DECOUPE",Tableau1[[#This Row],[DESIGNATION]])),"","NEED REF")</f>
        <v/>
      </c>
    </row>
    <row r="11483">
      <c r="B11483" t="n">
        <v>34402523</v>
      </c>
      <c r="C11483" s="2" t="n">
        <v>40865</v>
      </c>
      <c r="D11483" t="inlineStr">
        <is>
          <t>SPEC</t>
        </is>
      </c>
      <c r="E11483" t="inlineStr">
        <is>
          <t>Traverse L=600  pour gaine raccordement</t>
        </is>
      </c>
      <c r="F11483" t="inlineStr">
        <is>
          <t>G7000</t>
        </is>
      </c>
      <c r="J11483" t="inlineStr">
        <is>
          <t>DUBOIS</t>
        </is>
      </c>
      <c r="L11483">
        <f>_xlfn.XLOOKUP(Tableau1[[#This Row],[TYPE DE PIECE]],Tableau4[MATIERE],Tableau4[SHORT TYPE],"",0,1)</f>
        <v/>
      </c>
      <c r="N11483">
        <f>IF(ISERR(FIND("DECOUPE",Tableau1[[#This Row],[DESIGNATION]])),"","NEED REF")</f>
        <v/>
      </c>
    </row>
    <row r="11484">
      <c r="B11484" t="n">
        <v>34402522</v>
      </c>
      <c r="C11484" s="2" t="n">
        <v>40865</v>
      </c>
      <c r="D11484" t="inlineStr">
        <is>
          <t>SPEC</t>
        </is>
      </c>
      <c r="E11484" t="inlineStr">
        <is>
          <t>Traverse L=800  pour gaine raccordement</t>
        </is>
      </c>
      <c r="F11484" t="inlineStr">
        <is>
          <t>G7000</t>
        </is>
      </c>
      <c r="J11484" t="inlineStr">
        <is>
          <t>DUBOIS</t>
        </is>
      </c>
      <c r="L11484">
        <f>_xlfn.XLOOKUP(Tableau1[[#This Row],[TYPE DE PIECE]],Tableau4[MATIERE],Tableau4[SHORT TYPE],"",0,1)</f>
        <v/>
      </c>
      <c r="N11484">
        <f>IF(ISERR(FIND("DECOUPE",Tableau1[[#This Row],[DESIGNATION]])),"","NEED REF")</f>
        <v/>
      </c>
    </row>
    <row r="11485">
      <c r="B11485" t="n">
        <v>34402521</v>
      </c>
      <c r="C11485" s="2" t="n">
        <v>40865</v>
      </c>
      <c r="D11485" t="inlineStr">
        <is>
          <t>SPEC</t>
        </is>
      </c>
      <c r="E11485" t="inlineStr">
        <is>
          <t>Traverse L=800  pour gaine raccordement</t>
        </is>
      </c>
      <c r="F11485" t="inlineStr">
        <is>
          <t>G7000</t>
        </is>
      </c>
      <c r="J11485" t="inlineStr">
        <is>
          <t>DUBOIS</t>
        </is>
      </c>
      <c r="L11485">
        <f>_xlfn.XLOOKUP(Tableau1[[#This Row],[TYPE DE PIECE]],Tableau4[MATIERE],Tableau4[SHORT TYPE],"",0,1)</f>
        <v/>
      </c>
      <c r="N11485">
        <f>IF(ISERR(FIND("DECOUPE",Tableau1[[#This Row],[DESIGNATION]])),"","NEED REF")</f>
        <v/>
      </c>
    </row>
    <row r="11486">
      <c r="B11486" t="n">
        <v>34402520</v>
      </c>
      <c r="C11486" s="2" t="n">
        <v>40864</v>
      </c>
      <c r="D11486" t="inlineStr">
        <is>
          <t>SPEC</t>
        </is>
      </c>
      <c r="E11486" t="inlineStr">
        <is>
          <t>ECROU RECTANGULAIRE COULISSSANT DE 35x25x12 M6</t>
        </is>
      </c>
      <c r="F11486" t="inlineStr">
        <is>
          <t>S.A.T LIGNE ETO</t>
        </is>
      </c>
      <c r="J11486" t="inlineStr">
        <is>
          <t>MONGELLI</t>
        </is>
      </c>
      <c r="L11486">
        <f>_xlfn.XLOOKUP(Tableau1[[#This Row],[TYPE DE PIECE]],Tableau4[MATIERE],Tableau4[SHORT TYPE],"",0,1)</f>
        <v/>
      </c>
      <c r="N11486">
        <f>IF(ISERR(FIND("DECOUPE",Tableau1[[#This Row],[DESIGNATION]])),"","NEED REF")</f>
        <v/>
      </c>
    </row>
    <row r="11487">
      <c r="B11487" t="n">
        <v>34402519</v>
      </c>
      <c r="C11487" s="2" t="n"/>
      <c r="D11487" t="inlineStr">
        <is>
          <t>SPEC</t>
        </is>
      </c>
      <c r="E11487" t="inlineStr">
        <is>
          <t>ARM SAREL 1x800+1x700 CELLULE SF</t>
        </is>
      </c>
      <c r="F11487" t="inlineStr">
        <is>
          <t>G5000 MEYER WERFT</t>
        </is>
      </c>
      <c r="J11487" t="inlineStr">
        <is>
          <t>ROBERT</t>
        </is>
      </c>
      <c r="L11487">
        <f>_xlfn.XLOOKUP(Tableau1[[#This Row],[TYPE DE PIECE]],Tableau4[MATIERE],Tableau4[SHORT TYPE],"",0,1)</f>
        <v/>
      </c>
      <c r="N11487">
        <f>IF(ISERR(FIND("DECOUPE",Tableau1[[#This Row],[DESIGNATION]])),"","NEED REF")</f>
        <v/>
      </c>
    </row>
    <row r="11488">
      <c r="B11488" t="n">
        <v>34402518</v>
      </c>
      <c r="C11488" s="2" t="n"/>
      <c r="D11488" t="inlineStr">
        <is>
          <t>SPEC</t>
        </is>
      </c>
      <c r="E11488" t="inlineStr">
        <is>
          <t>CAILLEBOTIS BAS MARINE ARM SAREL  L=700</t>
        </is>
      </c>
      <c r="F11488" t="inlineStr">
        <is>
          <t>G5000 MEYER WERFT</t>
        </is>
      </c>
      <c r="J11488" t="inlineStr">
        <is>
          <t>ROBERT</t>
        </is>
      </c>
      <c r="L11488">
        <f>_xlfn.XLOOKUP(Tableau1[[#This Row],[TYPE DE PIECE]],Tableau4[MATIERE],Tableau4[SHORT TYPE],"",0,1)</f>
        <v/>
      </c>
      <c r="N11488">
        <f>IF(ISERR(FIND("DECOUPE",Tableau1[[#This Row],[DESIGNATION]])),"","NEED REF")</f>
        <v/>
      </c>
    </row>
    <row r="11489">
      <c r="B11489" t="n">
        <v>34402517</v>
      </c>
      <c r="C11489" s="2" t="n"/>
      <c r="D11489" t="inlineStr">
        <is>
          <t>SPEC</t>
        </is>
      </c>
      <c r="E11489" t="inlineStr">
        <is>
          <t>CAILLEBOTIS BAS MARINE ARM SAREL  L=800</t>
        </is>
      </c>
      <c r="F11489" t="inlineStr">
        <is>
          <t>G5000 MEYER WERFT</t>
        </is>
      </c>
      <c r="J11489" t="inlineStr">
        <is>
          <t>ROBERT</t>
        </is>
      </c>
      <c r="L11489">
        <f>_xlfn.XLOOKUP(Tableau1[[#This Row],[TYPE DE PIECE]],Tableau4[MATIERE],Tableau4[SHORT TYPE],"",0,1)</f>
        <v/>
      </c>
      <c r="N11489">
        <f>IF(ISERR(FIND("DECOUPE",Tableau1[[#This Row],[DESIGNATION]])),"","NEED REF")</f>
        <v/>
      </c>
    </row>
    <row r="11490">
      <c r="B11490" t="n">
        <v>34402516</v>
      </c>
      <c r="C11490" s="2" t="n"/>
      <c r="D11490" t="inlineStr">
        <is>
          <t>SPEC</t>
        </is>
      </c>
      <c r="E11490" t="inlineStr">
        <is>
          <t>GLISSIERE CAILLEBOTIS ARM SAREL</t>
        </is>
      </c>
      <c r="F11490" t="inlineStr">
        <is>
          <t>G5000 MEYER WERFT</t>
        </is>
      </c>
      <c r="J11490" t="inlineStr">
        <is>
          <t>ROBERT</t>
        </is>
      </c>
      <c r="L11490">
        <f>_xlfn.XLOOKUP(Tableau1[[#This Row],[TYPE DE PIECE]],Tableau4[MATIERE],Tableau4[SHORT TYPE],"",0,1)</f>
        <v/>
      </c>
      <c r="N11490">
        <f>IF(ISERR(FIND("DECOUPE",Tableau1[[#This Row],[DESIGNATION]])),"","NEED REF")</f>
        <v/>
      </c>
    </row>
    <row r="11491">
      <c r="B11491" t="n">
        <v>34402515</v>
      </c>
      <c r="C11491" s="2" t="n">
        <v>40857</v>
      </c>
      <c r="D11491" t="inlineStr">
        <is>
          <t>SPEC</t>
        </is>
      </c>
      <c r="E11491" t="inlineStr">
        <is>
          <t>CIRCUIT BREAKER BATT. CX EXT 2NW</t>
        </is>
      </c>
      <c r="F11491" t="inlineStr">
        <is>
          <t>G7000 2NW</t>
        </is>
      </c>
      <c r="J11491" t="inlineStr">
        <is>
          <t>ÇAKIR</t>
        </is>
      </c>
      <c r="L11491">
        <f>_xlfn.XLOOKUP(Tableau1[[#This Row],[TYPE DE PIECE]],Tableau4[MATIERE],Tableau4[SHORT TYPE],"",0,1)</f>
        <v/>
      </c>
      <c r="N11491">
        <f>IF(ISERR(FIND("DECOUPE",Tableau1[[#This Row],[DESIGNATION]])),"","NEED REF")</f>
        <v/>
      </c>
    </row>
    <row r="11492">
      <c r="B11492" t="n">
        <v>34402514</v>
      </c>
      <c r="C11492" s="2" t="n">
        <v>40857</v>
      </c>
      <c r="D11492" t="inlineStr">
        <is>
          <t>SPEC</t>
        </is>
      </c>
      <c r="E11492" t="inlineStr">
        <is>
          <t>CIRCUIT BREAKER BATT. CX INT 2NW</t>
        </is>
      </c>
      <c r="F11492" t="inlineStr">
        <is>
          <t>G7000 2NW</t>
        </is>
      </c>
      <c r="J11492" t="inlineStr">
        <is>
          <t>ÇAKIR</t>
        </is>
      </c>
      <c r="L11492">
        <f>_xlfn.XLOOKUP(Tableau1[[#This Row],[TYPE DE PIECE]],Tableau4[MATIERE],Tableau4[SHORT TYPE],"",0,1)</f>
        <v/>
      </c>
      <c r="N11492">
        <f>IF(ISERR(FIND("DECOUPE",Tableau1[[#This Row],[DESIGNATION]])),"","NEED REF")</f>
        <v/>
      </c>
    </row>
    <row r="11493">
      <c r="B11493" t="n">
        <v>34402513</v>
      </c>
      <c r="C11493" s="2" t="n"/>
      <c r="D11493" t="inlineStr">
        <is>
          <t>CDC</t>
        </is>
      </c>
      <c r="E11493" t="inlineStr">
        <is>
          <t>G6K NS2000 KVA LIGHT RACCOREMENT HAUT GAB</t>
        </is>
      </c>
      <c r="F11493" t="inlineStr">
        <is>
          <t>NS2000 G6K</t>
        </is>
      </c>
      <c r="J11493" t="inlineStr">
        <is>
          <t>REVEL</t>
        </is>
      </c>
      <c r="L11493">
        <f>_xlfn.XLOOKUP(Tableau1[[#This Row],[TYPE DE PIECE]],Tableau4[MATIERE],Tableau4[SHORT TYPE],"",0,1)</f>
        <v/>
      </c>
      <c r="N11493">
        <f>IF(ISERR(FIND("DECOUPE",Tableau1[[#This Row],[DESIGNATION]])),"","NEED REF")</f>
        <v/>
      </c>
    </row>
    <row r="11494">
      <c r="B11494" t="n">
        <v>34402512</v>
      </c>
      <c r="C11494" s="2" t="n"/>
      <c r="D11494" t="inlineStr">
        <is>
          <t>NOM</t>
        </is>
      </c>
      <c r="E11494" t="inlineStr">
        <is>
          <t>PREST PEINTURE SPE GALAXY 3500 10KVA</t>
        </is>
      </c>
      <c r="F11494" t="inlineStr">
        <is>
          <t xml:space="preserve">G35K </t>
        </is>
      </c>
      <c r="J11494" t="inlineStr">
        <is>
          <t>REVEL</t>
        </is>
      </c>
      <c r="L11494">
        <f>_xlfn.XLOOKUP(Tableau1[[#This Row],[TYPE DE PIECE]],Tableau4[MATIERE],Tableau4[SHORT TYPE],"",0,1)</f>
        <v/>
      </c>
      <c r="N11494">
        <f>IF(ISERR(FIND("DECOUPE",Tableau1[[#This Row],[DESIGNATION]])),"","NEED REF")</f>
        <v/>
      </c>
    </row>
    <row r="11495">
      <c r="B11495" t="n">
        <v>34402511</v>
      </c>
      <c r="C11495" s="2" t="n">
        <v>40843</v>
      </c>
      <c r="D11495" t="inlineStr">
        <is>
          <t>CDC</t>
        </is>
      </c>
      <c r="E11495" t="inlineStr">
        <is>
          <t>CDC SAREL 2200x1200x500 POUR STS400</t>
        </is>
      </c>
      <c r="F11495" t="inlineStr">
        <is>
          <t>STS400A MARCCOUSIS</t>
        </is>
      </c>
      <c r="J11495" t="inlineStr">
        <is>
          <t>MATRION</t>
        </is>
      </c>
      <c r="L11495">
        <f>_xlfn.XLOOKUP(Tableau1[[#This Row],[TYPE DE PIECE]],Tableau4[MATIERE],Tableau4[SHORT TYPE],"",0,1)</f>
        <v/>
      </c>
      <c r="N11495">
        <f>IF(ISERR(FIND("DECOUPE",Tableau1[[#This Row],[DESIGNATION]])),"","NEED REF")</f>
        <v/>
      </c>
    </row>
    <row r="11496">
      <c r="B11496" t="n">
        <v>34402510</v>
      </c>
      <c r="C11496" s="2" t="n"/>
      <c r="D11496" t="inlineStr">
        <is>
          <t>SPEC</t>
        </is>
      </c>
      <c r="E11496" t="inlineStr">
        <is>
          <t>SUPPORT SERRURE EL11 VERROUILLAGE</t>
        </is>
      </c>
      <c r="F11496" t="inlineStr">
        <is>
          <t xml:space="preserve">NS2000 G7K </t>
        </is>
      </c>
      <c r="J11496" t="inlineStr">
        <is>
          <t>REVEL</t>
        </is>
      </c>
      <c r="L11496">
        <f>_xlfn.XLOOKUP(Tableau1[[#This Row],[TYPE DE PIECE]],Tableau4[MATIERE],Tableau4[SHORT TYPE],"",0,1)</f>
        <v/>
      </c>
      <c r="N11496">
        <f>IF(ISERR(FIND("DECOUPE",Tableau1[[#This Row],[DESIGNATION]])),"","NEED REF")</f>
        <v/>
      </c>
    </row>
    <row r="11497">
      <c r="B11497" t="n">
        <v>34402509</v>
      </c>
      <c r="C11497" s="2" t="n"/>
      <c r="D11497" t="inlineStr">
        <is>
          <t>SPEC</t>
        </is>
      </c>
      <c r="E11497" t="inlineStr">
        <is>
          <t>CAILLEBOTIS MARINE ARM SAREL  L=700</t>
        </is>
      </c>
      <c r="F11497" t="inlineStr">
        <is>
          <t>G5000 MEYER WERFT</t>
        </is>
      </c>
      <c r="J11497" t="inlineStr">
        <is>
          <t>ROBERT</t>
        </is>
      </c>
      <c r="L11497">
        <f>_xlfn.XLOOKUP(Tableau1[[#This Row],[TYPE DE PIECE]],Tableau4[MATIERE],Tableau4[SHORT TYPE],"",0,1)</f>
        <v/>
      </c>
      <c r="N11497">
        <f>IF(ISERR(FIND("DECOUPE",Tableau1[[#This Row],[DESIGNATION]])),"","NEED REF")</f>
        <v/>
      </c>
    </row>
    <row r="11498">
      <c r="B11498" t="n">
        <v>34402508</v>
      </c>
      <c r="C11498" s="2" t="n"/>
      <c r="D11498" t="inlineStr">
        <is>
          <t>SPEC</t>
        </is>
      </c>
      <c r="E11498" t="inlineStr">
        <is>
          <t>CAILLEBOTIS MARINE ARM SAREL  L=800</t>
        </is>
      </c>
      <c r="F11498" t="inlineStr">
        <is>
          <t>G5000 MEYER WERFT</t>
        </is>
      </c>
      <c r="J11498" t="inlineStr">
        <is>
          <t>ROBERT</t>
        </is>
      </c>
      <c r="L11498">
        <f>_xlfn.XLOOKUP(Tableau1[[#This Row],[TYPE DE PIECE]],Tableau4[MATIERE],Tableau4[SHORT TYPE],"",0,1)</f>
        <v/>
      </c>
      <c r="N11498">
        <f>IF(ISERR(FIND("DECOUPE",Tableau1[[#This Row],[DESIGNATION]])),"","NEED REF")</f>
        <v/>
      </c>
    </row>
    <row r="11499">
      <c r="B11499" t="n">
        <v>34402507</v>
      </c>
      <c r="C11499" s="2" t="n"/>
      <c r="D11499" t="inlineStr">
        <is>
          <t>NOM</t>
        </is>
      </c>
      <c r="E11499" t="inlineStr">
        <is>
          <t>LG CAILLEBOTIS MARINE ARM SAREL L=700 CELLULE SF</t>
        </is>
      </c>
      <c r="F11499" t="inlineStr">
        <is>
          <t>G5000 MEYER WERFT</t>
        </is>
      </c>
      <c r="J11499" t="inlineStr">
        <is>
          <t>ROBERT</t>
        </is>
      </c>
      <c r="L11499">
        <f>_xlfn.XLOOKUP(Tableau1[[#This Row],[TYPE DE PIECE]],Tableau4[MATIERE],Tableau4[SHORT TYPE],"",0,1)</f>
        <v/>
      </c>
      <c r="N11499">
        <f>IF(ISERR(FIND("DECOUPE",Tableau1[[#This Row],[DESIGNATION]])),"","NEED REF")</f>
        <v/>
      </c>
    </row>
    <row r="11500">
      <c r="B11500" t="n">
        <v>34402506</v>
      </c>
      <c r="C11500" s="2" t="n"/>
      <c r="D11500" t="inlineStr">
        <is>
          <t>NOM</t>
        </is>
      </c>
      <c r="E11500" t="inlineStr">
        <is>
          <t>LG CAILLEBOTIS MARINE ARM SAREL L=800 CELLULE SF</t>
        </is>
      </c>
      <c r="F11500" t="inlineStr">
        <is>
          <t>G5000 MEYER WERFT</t>
        </is>
      </c>
      <c r="J11500" t="inlineStr">
        <is>
          <t>ROBERT</t>
        </is>
      </c>
      <c r="L11500">
        <f>_xlfn.XLOOKUP(Tableau1[[#This Row],[TYPE DE PIECE]],Tableau4[MATIERE],Tableau4[SHORT TYPE],"",0,1)</f>
        <v/>
      </c>
      <c r="N11500">
        <f>IF(ISERR(FIND("DECOUPE",Tableau1[[#This Row],[DESIGNATION]])),"","NEED REF")</f>
        <v/>
      </c>
    </row>
    <row r="11501">
      <c r="B11501" t="n">
        <v>34402505</v>
      </c>
      <c r="C11501" s="2" t="n"/>
      <c r="D11501" t="inlineStr">
        <is>
          <t>SPEC</t>
        </is>
      </c>
      <c r="E11501" t="inlineStr">
        <is>
          <t>CDC Skid ARM SAREL 700x2000+800x2000 H=75 NEW</t>
        </is>
      </c>
      <c r="F11501" t="inlineStr">
        <is>
          <t>G5000 MEYER WERFT</t>
        </is>
      </c>
      <c r="J11501" t="inlineStr">
        <is>
          <t>ROBERT</t>
        </is>
      </c>
      <c r="L11501">
        <f>_xlfn.XLOOKUP(Tableau1[[#This Row],[TYPE DE PIECE]],Tableau4[MATIERE],Tableau4[SHORT TYPE],"",0,1)</f>
        <v/>
      </c>
      <c r="N11501">
        <f>IF(ISERR(FIND("DECOUPE",Tableau1[[#This Row],[DESIGNATION]])),"","NEED REF")</f>
        <v/>
      </c>
    </row>
    <row r="11502">
      <c r="B11502" t="n">
        <v>34402504</v>
      </c>
      <c r="C11502" s="2" t="n"/>
      <c r="D11502" t="inlineStr">
        <is>
          <t>SPEC</t>
        </is>
      </c>
      <c r="E11502" t="inlineStr">
        <is>
          <t>CDC Skid ARM SAREL 700x2000+800x2000 H=160 NEW</t>
        </is>
      </c>
      <c r="F11502" t="inlineStr">
        <is>
          <t>G5000 MEYER WERFT</t>
        </is>
      </c>
      <c r="J11502" t="inlineStr">
        <is>
          <t>ROBERT</t>
        </is>
      </c>
      <c r="L11502">
        <f>_xlfn.XLOOKUP(Tableau1[[#This Row],[TYPE DE PIECE]],Tableau4[MATIERE],Tableau4[SHORT TYPE],"",0,1)</f>
        <v/>
      </c>
      <c r="N11502">
        <f>IF(ISERR(FIND("DECOUPE",Tableau1[[#This Row],[DESIGNATION]])),"","NEED REF")</f>
        <v/>
      </c>
    </row>
    <row r="11503">
      <c r="B11503" t="n">
        <v>34402503</v>
      </c>
      <c r="C11503" s="2" t="n"/>
      <c r="D11503" t="inlineStr">
        <is>
          <t>NOM</t>
        </is>
      </c>
      <c r="E11503" t="inlineStr">
        <is>
          <t>LG CELLULE INV SOURCE 80kVA BACK UP</t>
        </is>
      </c>
      <c r="F11503" t="inlineStr">
        <is>
          <t>G5000 MEYER WERFT</t>
        </is>
      </c>
      <c r="J11503" t="inlineStr">
        <is>
          <t>ROBERT</t>
        </is>
      </c>
      <c r="L11503">
        <f>_xlfn.XLOOKUP(Tableau1[[#This Row],[TYPE DE PIECE]],Tableau4[MATIERE],Tableau4[SHORT TYPE],"",0,1)</f>
        <v/>
      </c>
      <c r="N11503">
        <f>IF(ISERR(FIND("DECOUPE",Tableau1[[#This Row],[DESIGNATION]])),"","NEED REF")</f>
        <v/>
      </c>
    </row>
    <row r="11504">
      <c r="B11504" t="n">
        <v>34402502</v>
      </c>
      <c r="C11504" s="2" t="n"/>
      <c r="D11504" t="inlineStr">
        <is>
          <t>SPEC</t>
        </is>
      </c>
      <c r="E11504" t="inlineStr">
        <is>
          <t>Plastron lateral bas</t>
        </is>
      </c>
      <c r="F11504" t="inlineStr">
        <is>
          <t>G5000</t>
        </is>
      </c>
      <c r="J11504" t="inlineStr">
        <is>
          <t>REVEL</t>
        </is>
      </c>
      <c r="L11504">
        <f>_xlfn.XLOOKUP(Tableau1[[#This Row],[TYPE DE PIECE]],Tableau4[MATIERE],Tableau4[SHORT TYPE],"",0,1)</f>
        <v/>
      </c>
      <c r="N11504">
        <f>IF(ISERR(FIND("DECOUPE",Tableau1[[#This Row],[DESIGNATION]])),"","NEED REF")</f>
        <v/>
      </c>
    </row>
    <row r="11505">
      <c r="B11505" t="n">
        <v>34402501</v>
      </c>
      <c r="C11505" s="2" t="n"/>
      <c r="D11505" t="inlineStr">
        <is>
          <t>SPEC</t>
        </is>
      </c>
      <c r="E11505" t="inlineStr">
        <is>
          <t>Plastron lateral haut</t>
        </is>
      </c>
      <c r="F11505" t="inlineStr">
        <is>
          <t>G5000</t>
        </is>
      </c>
      <c r="J11505" t="inlineStr">
        <is>
          <t>REVEL</t>
        </is>
      </c>
      <c r="L11505">
        <f>_xlfn.XLOOKUP(Tableau1[[#This Row],[TYPE DE PIECE]],Tableau4[MATIERE],Tableau4[SHORT TYPE],"",0,1)</f>
        <v/>
      </c>
      <c r="N11505">
        <f>IF(ISERR(FIND("DECOUPE",Tableau1[[#This Row],[DESIGNATION]])),"","NEED REF")</f>
        <v/>
      </c>
    </row>
    <row r="11506">
      <c r="B11506" t="n">
        <v>34402500</v>
      </c>
      <c r="C11506" s="2" t="n"/>
      <c r="D11506" t="inlineStr">
        <is>
          <t>SPEC</t>
        </is>
      </c>
      <c r="E11506" t="inlineStr">
        <is>
          <t>Plastron L1012 H300 pour 3 NSX250N</t>
        </is>
      </c>
      <c r="F11506" t="inlineStr">
        <is>
          <t>G5000</t>
        </is>
      </c>
      <c r="J11506" t="inlineStr">
        <is>
          <t>REVEL</t>
        </is>
      </c>
      <c r="L11506">
        <f>_xlfn.XLOOKUP(Tableau1[[#This Row],[TYPE DE PIECE]],Tableau4[MATIERE],Tableau4[SHORT TYPE],"",0,1)</f>
        <v/>
      </c>
      <c r="N11506">
        <f>IF(ISERR(FIND("DECOUPE",Tableau1[[#This Row],[DESIGNATION]])),"","NEED REF")</f>
        <v/>
      </c>
    </row>
    <row r="11507">
      <c r="B11507" t="n">
        <v>34402499</v>
      </c>
      <c r="C11507" s="2" t="n"/>
      <c r="D11507" t="inlineStr">
        <is>
          <t>SPEC</t>
        </is>
      </c>
      <c r="E11507" t="inlineStr">
        <is>
          <t>Plastron L400 grillage</t>
        </is>
      </c>
      <c r="F11507" t="inlineStr">
        <is>
          <t>G5000</t>
        </is>
      </c>
      <c r="J11507" t="inlineStr">
        <is>
          <t>REVEL</t>
        </is>
      </c>
      <c r="L11507">
        <f>_xlfn.XLOOKUP(Tableau1[[#This Row],[TYPE DE PIECE]],Tableau4[MATIERE],Tableau4[SHORT TYPE],"",0,1)</f>
        <v/>
      </c>
      <c r="N11507">
        <f>IF(ISERR(FIND("DECOUPE",Tableau1[[#This Row],[DESIGNATION]])),"","NEED REF")</f>
        <v/>
      </c>
    </row>
    <row r="11508">
      <c r="B11508" t="n">
        <v>34402498</v>
      </c>
      <c r="C11508" s="2" t="n"/>
      <c r="D11508" t="inlineStr">
        <is>
          <t>SPEC</t>
        </is>
      </c>
      <c r="E11508" t="inlineStr">
        <is>
          <t>Plastron L400 pour 1 INS160</t>
        </is>
      </c>
      <c r="F11508" t="inlineStr">
        <is>
          <t>G5000</t>
        </is>
      </c>
      <c r="J11508" t="inlineStr">
        <is>
          <t>REVEL</t>
        </is>
      </c>
      <c r="L11508">
        <f>_xlfn.XLOOKUP(Tableau1[[#This Row],[TYPE DE PIECE]],Tableau4[MATIERE],Tableau4[SHORT TYPE],"",0,1)</f>
        <v/>
      </c>
      <c r="N11508">
        <f>IF(ISERR(FIND("DECOUPE",Tableau1[[#This Row],[DESIGNATION]])),"","NEED REF")</f>
        <v/>
      </c>
    </row>
    <row r="11509">
      <c r="B11509" t="n">
        <v>34402497</v>
      </c>
      <c r="C11509" s="2" t="n"/>
      <c r="D11509" t="inlineStr">
        <is>
          <t>SPEC</t>
        </is>
      </c>
      <c r="E11509" t="inlineStr">
        <is>
          <t>Plastron L1012 H200 pour 1 INS400 et 2 INS160</t>
        </is>
      </c>
      <c r="F11509" t="inlineStr">
        <is>
          <t>G5000</t>
        </is>
      </c>
      <c r="J11509" t="inlineStr">
        <is>
          <t>REVEL</t>
        </is>
      </c>
      <c r="L11509">
        <f>_xlfn.XLOOKUP(Tableau1[[#This Row],[TYPE DE PIECE]],Tableau4[MATIERE],Tableau4[SHORT TYPE],"",0,1)</f>
        <v/>
      </c>
      <c r="N11509">
        <f>IF(ISERR(FIND("DECOUPE",Tableau1[[#This Row],[DESIGNATION]])),"","NEED REF")</f>
        <v/>
      </c>
    </row>
    <row r="11510">
      <c r="B11510" t="n">
        <v>34402496</v>
      </c>
      <c r="C11510" s="2" t="n"/>
      <c r="D11510" t="inlineStr">
        <is>
          <t>SPEC</t>
        </is>
      </c>
      <c r="E11510" t="inlineStr">
        <is>
          <t>Plastron L1012 H300 pour 3 NSX250N</t>
        </is>
      </c>
      <c r="F11510" t="inlineStr">
        <is>
          <t>G5000</t>
        </is>
      </c>
      <c r="J11510" t="inlineStr">
        <is>
          <t>REVEL</t>
        </is>
      </c>
      <c r="L11510">
        <f>_xlfn.XLOOKUP(Tableau1[[#This Row],[TYPE DE PIECE]],Tableau4[MATIERE],Tableau4[SHORT TYPE],"",0,1)</f>
        <v/>
      </c>
      <c r="N11510">
        <f>IF(ISERR(FIND("DECOUPE",Tableau1[[#This Row],[DESIGNATION]])),"","NEED REF")</f>
        <v/>
      </c>
    </row>
    <row r="11511">
      <c r="B11511" t="n">
        <v>34402495</v>
      </c>
      <c r="C11511" s="2" t="n"/>
      <c r="D11511" t="inlineStr">
        <is>
          <t>NOM</t>
        </is>
      </c>
      <c r="E11511" t="inlineStr">
        <is>
          <t>LG CELLULE BATT+INV SOURCE 20kVA BR</t>
        </is>
      </c>
      <c r="F11511" t="inlineStr">
        <is>
          <t>G5000 MEYER WERFT</t>
        </is>
      </c>
      <c r="J11511" t="inlineStr">
        <is>
          <t>ROBERT</t>
        </is>
      </c>
      <c r="L11511">
        <f>_xlfn.XLOOKUP(Tableau1[[#This Row],[TYPE DE PIECE]],Tableau4[MATIERE],Tableau4[SHORT TYPE],"",0,1)</f>
        <v/>
      </c>
      <c r="N11511">
        <f>IF(ISERR(FIND("DECOUPE",Tableau1[[#This Row],[DESIGNATION]])),"","NEED REF")</f>
        <v/>
      </c>
    </row>
    <row r="11512">
      <c r="B11512" t="n">
        <v>34402494</v>
      </c>
      <c r="C11512" s="2" t="n"/>
      <c r="D11512" t="inlineStr">
        <is>
          <t>NOM</t>
        </is>
      </c>
      <c r="E11512" t="inlineStr">
        <is>
          <t>LG CELLULE BATT+INV SOURCE 20kVA ER</t>
        </is>
      </c>
      <c r="F11512" t="inlineStr">
        <is>
          <t>G5000 MEYER WERFT</t>
        </is>
      </c>
      <c r="J11512" t="inlineStr">
        <is>
          <t>ROBERT</t>
        </is>
      </c>
      <c r="L11512">
        <f>_xlfn.XLOOKUP(Tableau1[[#This Row],[TYPE DE PIECE]],Tableau4[MATIERE],Tableau4[SHORT TYPE],"",0,1)</f>
        <v/>
      </c>
      <c r="N11512">
        <f>IF(ISERR(FIND("DECOUPE",Tableau1[[#This Row],[DESIGNATION]])),"","NEED REF")</f>
        <v/>
      </c>
    </row>
    <row r="11513">
      <c r="B11513" t="n">
        <v>34402493</v>
      </c>
      <c r="C11513" s="2" t="n"/>
      <c r="D11513" t="inlineStr">
        <is>
          <t>NOM</t>
        </is>
      </c>
      <c r="E11513" t="inlineStr">
        <is>
          <t>LG ADAPTATION UPS 20kVA</t>
        </is>
      </c>
      <c r="F11513" t="inlineStr">
        <is>
          <t>G5000 MEYER WERFT</t>
        </is>
      </c>
      <c r="J11513" t="inlineStr">
        <is>
          <t>ROBERT</t>
        </is>
      </c>
      <c r="L11513">
        <f>_xlfn.XLOOKUP(Tableau1[[#This Row],[TYPE DE PIECE]],Tableau4[MATIERE],Tableau4[SHORT TYPE],"",0,1)</f>
        <v/>
      </c>
      <c r="N11513">
        <f>IF(ISERR(FIND("DECOUPE",Tableau1[[#This Row],[DESIGNATION]])),"","NEED REF")</f>
        <v/>
      </c>
    </row>
    <row r="11514">
      <c r="B11514" t="n">
        <v>34402492</v>
      </c>
      <c r="C11514" s="2" t="n"/>
      <c r="D11514" t="inlineStr">
        <is>
          <t>NOM</t>
        </is>
      </c>
      <c r="E11514" t="inlineStr">
        <is>
          <t>LG ADAPTATION UPS 80kVA</t>
        </is>
      </c>
      <c r="F11514" t="inlineStr">
        <is>
          <t>G5000 MEYER WERFT</t>
        </is>
      </c>
      <c r="J11514" t="inlineStr">
        <is>
          <t>ROBERT</t>
        </is>
      </c>
      <c r="L11514">
        <f>_xlfn.XLOOKUP(Tableau1[[#This Row],[TYPE DE PIECE]],Tableau4[MATIERE],Tableau4[SHORT TYPE],"",0,1)</f>
        <v/>
      </c>
      <c r="N11514">
        <f>IF(ISERR(FIND("DECOUPE",Tableau1[[#This Row],[DESIGNATION]])),"","NEED REF")</f>
        <v/>
      </c>
    </row>
    <row r="11515">
      <c r="B11515" t="n">
        <v>34402491</v>
      </c>
      <c r="C11515" s="2" t="n"/>
      <c r="D11515" t="inlineStr">
        <is>
          <t>NOM</t>
        </is>
      </c>
      <c r="E11515" t="inlineStr">
        <is>
          <t>LG GAINE L=300 80kVA</t>
        </is>
      </c>
      <c r="F11515" t="inlineStr">
        <is>
          <t>G5000 MEYER WERFT</t>
        </is>
      </c>
      <c r="J11515" t="inlineStr">
        <is>
          <t>ROBERT</t>
        </is>
      </c>
      <c r="L11515">
        <f>_xlfn.XLOOKUP(Tableau1[[#This Row],[TYPE DE PIECE]],Tableau4[MATIERE],Tableau4[SHORT TYPE],"",0,1)</f>
        <v/>
      </c>
      <c r="N11515">
        <f>IF(ISERR(FIND("DECOUPE",Tableau1[[#This Row],[DESIGNATION]])),"","NEED REF")</f>
        <v/>
      </c>
    </row>
    <row r="11516">
      <c r="B11516" t="n">
        <v>34402490</v>
      </c>
      <c r="C11516" s="2" t="n"/>
      <c r="D11516" t="inlineStr">
        <is>
          <t>SPEC</t>
        </is>
      </c>
      <c r="E11516" t="inlineStr">
        <is>
          <t>BARRE PONTAGE COUPLAGE NS</t>
        </is>
      </c>
      <c r="F11516" t="inlineStr">
        <is>
          <t>ARM COUPLAGE</t>
        </is>
      </c>
      <c r="J11516" t="inlineStr">
        <is>
          <t>ROBERT</t>
        </is>
      </c>
      <c r="L11516">
        <f>_xlfn.XLOOKUP(Tableau1[[#This Row],[TYPE DE PIECE]],Tableau4[MATIERE],Tableau4[SHORT TYPE],"",0,1)</f>
        <v/>
      </c>
      <c r="N11516">
        <f>IF(ISERR(FIND("DECOUPE",Tableau1[[#This Row],[DESIGNATION]])),"","NEED REF")</f>
        <v/>
      </c>
    </row>
    <row r="11517">
      <c r="B11517" t="n">
        <v>34402489</v>
      </c>
      <c r="C11517" s="2" t="n">
        <v>40816</v>
      </c>
      <c r="D11517" t="inlineStr">
        <is>
          <t>SPEC</t>
        </is>
      </c>
      <c r="E11517" t="inlineStr">
        <is>
          <t>TOIT LAT. 1400 NS2000 TGAB TKA2500</t>
        </is>
      </c>
      <c r="F11517" t="inlineStr">
        <is>
          <t>G5000</t>
        </is>
      </c>
      <c r="J11517" t="inlineStr">
        <is>
          <t>MATRION</t>
        </is>
      </c>
      <c r="L11517">
        <f>_xlfn.XLOOKUP(Tableau1[[#This Row],[TYPE DE PIECE]],Tableau4[MATIERE],Tableau4[SHORT TYPE],"",0,1)</f>
        <v/>
      </c>
      <c r="N11517">
        <f>IF(ISERR(FIND("DECOUPE",Tableau1[[#This Row],[DESIGNATION]])),"","NEED REF")</f>
        <v/>
      </c>
    </row>
    <row r="11518">
      <c r="B11518" t="n">
        <v>34402488</v>
      </c>
      <c r="C11518" s="2" t="n">
        <v>40816</v>
      </c>
      <c r="D11518" t="inlineStr">
        <is>
          <t>SPEC</t>
        </is>
      </c>
      <c r="E11518" t="inlineStr">
        <is>
          <t>TOIT CENTRALE 1400 NS2000 TGAB TKA2500</t>
        </is>
      </c>
      <c r="F11518" t="inlineStr">
        <is>
          <t>G5000</t>
        </is>
      </c>
      <c r="J11518" t="inlineStr">
        <is>
          <t>MATRION</t>
        </is>
      </c>
      <c r="L11518">
        <f>_xlfn.XLOOKUP(Tableau1[[#This Row],[TYPE DE PIECE]],Tableau4[MATIERE],Tableau4[SHORT TYPE],"",0,1)</f>
        <v/>
      </c>
      <c r="N11518">
        <f>IF(ISERR(FIND("DECOUPE",Tableau1[[#This Row],[DESIGNATION]])),"","NEED REF")</f>
        <v/>
      </c>
    </row>
    <row r="11519">
      <c r="B11519" t="n">
        <v>34402487</v>
      </c>
      <c r="C11519" s="2" t="n">
        <v>40816</v>
      </c>
      <c r="D11519" t="inlineStr">
        <is>
          <t>SPEC</t>
        </is>
      </c>
      <c r="E11519" t="inlineStr">
        <is>
          <t>TOIT 1000 NS2000 LT TGAB TKA2500 NON DECOUPE</t>
        </is>
      </c>
      <c r="F11519" t="inlineStr">
        <is>
          <t>G5000</t>
        </is>
      </c>
      <c r="J11519" t="inlineStr">
        <is>
          <t>MATRION</t>
        </is>
      </c>
      <c r="L11519">
        <f>_xlfn.XLOOKUP(Tableau1[[#This Row],[TYPE DE PIECE]],Tableau4[MATIERE],Tableau4[SHORT TYPE],"",0,1)</f>
        <v/>
      </c>
      <c r="N11519">
        <f>IF(ISERR(FIND("DECOUPE",Tableau1[[#This Row],[DESIGNATION]])),"","NEED REF")</f>
        <v/>
      </c>
    </row>
    <row r="11520">
      <c r="B11520" t="n">
        <v>34402486</v>
      </c>
      <c r="C11520" s="2" t="n">
        <v>40816</v>
      </c>
      <c r="D11520" t="inlineStr">
        <is>
          <t>ST</t>
        </is>
      </c>
      <c r="E11520" t="inlineStr">
        <is>
          <t>Prestation Dépollution d’un onduleur PW 120kVA DEVIS 1101016</t>
        </is>
      </c>
      <c r="F11520" t="inlineStr">
        <is>
          <t>GALAXY PW</t>
        </is>
      </c>
      <c r="J11520" t="inlineStr">
        <is>
          <t>REVEL</t>
        </is>
      </c>
      <c r="L11520">
        <f>_xlfn.XLOOKUP(Tableau1[[#This Row],[TYPE DE PIECE]],Tableau4[MATIERE],Tableau4[SHORT TYPE],"",0,1)</f>
        <v/>
      </c>
      <c r="N11520">
        <f>IF(ISERR(FIND("DECOUPE",Tableau1[[#This Row],[DESIGNATION]])),"","NEED REF")</f>
        <v/>
      </c>
    </row>
    <row r="11521">
      <c r="B11521" t="n">
        <v>34402485</v>
      </c>
      <c r="C11521" s="2" t="n"/>
      <c r="D11521" t="inlineStr">
        <is>
          <t>SPEC</t>
        </is>
      </c>
      <c r="E11521" t="inlineStr">
        <is>
          <t>Plastron bas  L=1400</t>
        </is>
      </c>
      <c r="F11521" t="inlineStr">
        <is>
          <t>G7000</t>
        </is>
      </c>
      <c r="J11521" t="inlineStr">
        <is>
          <t>ROBERT</t>
        </is>
      </c>
      <c r="L11521">
        <f>_xlfn.XLOOKUP(Tableau1[[#This Row],[TYPE DE PIECE]],Tableau4[MATIERE],Tableau4[SHORT TYPE],"",0,1)</f>
        <v/>
      </c>
      <c r="N11521">
        <f>IF(ISERR(FIND("DECOUPE",Tableau1[[#This Row],[DESIGNATION]])),"","NEED REF")</f>
        <v/>
      </c>
    </row>
    <row r="11522">
      <c r="B11522" t="n">
        <v>34402484</v>
      </c>
      <c r="C11522" s="2" t="n"/>
      <c r="D11522" t="inlineStr">
        <is>
          <t>SPEC</t>
        </is>
      </c>
      <c r="E11522" t="inlineStr">
        <is>
          <t>Plastron intermédiaire  L=1400</t>
        </is>
      </c>
      <c r="F11522" t="inlineStr">
        <is>
          <t>G7000</t>
        </is>
      </c>
      <c r="J11522" t="inlineStr">
        <is>
          <t>ROBERT</t>
        </is>
      </c>
      <c r="L11522">
        <f>_xlfn.XLOOKUP(Tableau1[[#This Row],[TYPE DE PIECE]],Tableau4[MATIERE],Tableau4[SHORT TYPE],"",0,1)</f>
        <v/>
      </c>
      <c r="N11522">
        <f>IF(ISERR(FIND("DECOUPE",Tableau1[[#This Row],[DESIGNATION]])),"","NEED REF")</f>
        <v/>
      </c>
    </row>
    <row r="11523">
      <c r="B11523" t="n">
        <v>34402483</v>
      </c>
      <c r="C11523" s="2" t="n"/>
      <c r="D11523" t="inlineStr">
        <is>
          <t>SPEC</t>
        </is>
      </c>
      <c r="E11523" t="inlineStr">
        <is>
          <t>Plastron Haut  L=1400</t>
        </is>
      </c>
      <c r="F11523" t="inlineStr">
        <is>
          <t>G7000</t>
        </is>
      </c>
      <c r="J11523" t="inlineStr">
        <is>
          <t>ROBERT</t>
        </is>
      </c>
      <c r="L11523">
        <f>_xlfn.XLOOKUP(Tableau1[[#This Row],[TYPE DE PIECE]],Tableau4[MATIERE],Tableau4[SHORT TYPE],"",0,1)</f>
        <v/>
      </c>
      <c r="N11523">
        <f>IF(ISERR(FIND("DECOUPE",Tableau1[[#This Row],[DESIGNATION]])),"","NEED REF")</f>
        <v/>
      </c>
    </row>
    <row r="11524">
      <c r="B11524" t="n">
        <v>34402482</v>
      </c>
      <c r="C11524" s="2" t="n">
        <v>40812</v>
      </c>
      <c r="D11524" t="inlineStr">
        <is>
          <t>SPEC</t>
        </is>
      </c>
      <c r="E11524" t="inlineStr">
        <is>
          <t>PLASTRON H=1/2hauteur plein - Birdy l=400</t>
        </is>
      </c>
      <c r="F11524" t="inlineStr">
        <is>
          <t>G5000</t>
        </is>
      </c>
      <c r="J11524" t="inlineStr">
        <is>
          <t>MATRION</t>
        </is>
      </c>
      <c r="L11524">
        <f>_xlfn.XLOOKUP(Tableau1[[#This Row],[TYPE DE PIECE]],Tableau4[MATIERE],Tableau4[SHORT TYPE],"",0,1)</f>
        <v/>
      </c>
      <c r="N11524">
        <f>IF(ISERR(FIND("DECOUPE",Tableau1[[#This Row],[DESIGNATION]])),"","NEED REF")</f>
        <v/>
      </c>
    </row>
    <row r="11525">
      <c r="B11525" t="n">
        <v>34402481</v>
      </c>
      <c r="C11525" s="2" t="n">
        <v>40812</v>
      </c>
      <c r="D11525" t="inlineStr">
        <is>
          <t>SPEC</t>
        </is>
      </c>
      <c r="E11525" t="inlineStr">
        <is>
          <t>PLASTRON h=300 plein - Birdy l=1012</t>
        </is>
      </c>
      <c r="F11525" t="inlineStr">
        <is>
          <t>G5000</t>
        </is>
      </c>
      <c r="J11525" t="inlineStr">
        <is>
          <t>MATRION</t>
        </is>
      </c>
      <c r="L11525">
        <f>_xlfn.XLOOKUP(Tableau1[[#This Row],[TYPE DE PIECE]],Tableau4[MATIERE],Tableau4[SHORT TYPE],"",0,1)</f>
        <v/>
      </c>
      <c r="N11525">
        <f>IF(ISERR(FIND("DECOUPE",Tableau1[[#This Row],[DESIGNATION]])),"","NEED REF")</f>
        <v/>
      </c>
    </row>
    <row r="11526">
      <c r="B11526" t="n">
        <v>34402480</v>
      </c>
      <c r="C11526" s="2" t="n">
        <v>40812</v>
      </c>
      <c r="D11526" t="inlineStr">
        <is>
          <t>SPEC</t>
        </is>
      </c>
      <c r="E11526" t="inlineStr">
        <is>
          <t>PLASTRON h=200+30 plein - Birdy l=1012</t>
        </is>
      </c>
      <c r="F11526" t="inlineStr">
        <is>
          <t>G5000</t>
        </is>
      </c>
      <c r="J11526" t="inlineStr">
        <is>
          <t>MATRION</t>
        </is>
      </c>
      <c r="L11526">
        <f>_xlfn.XLOOKUP(Tableau1[[#This Row],[TYPE DE PIECE]],Tableau4[MATIERE],Tableau4[SHORT TYPE],"",0,1)</f>
        <v/>
      </c>
      <c r="N11526">
        <f>IF(ISERR(FIND("DECOUPE",Tableau1[[#This Row],[DESIGNATION]])),"","NEED REF")</f>
        <v/>
      </c>
    </row>
    <row r="11527">
      <c r="B11527" t="n">
        <v>34402479</v>
      </c>
      <c r="C11527" s="2" t="n"/>
      <c r="D11527" t="inlineStr">
        <is>
          <t>SPEC</t>
        </is>
      </c>
      <c r="E11527" t="inlineStr">
        <is>
          <t>TRAVERSE LATERALE SUPPORT JDB</t>
        </is>
      </c>
      <c r="F11527" t="inlineStr">
        <is>
          <t>ARM COUPLAGE</t>
        </is>
      </c>
      <c r="J11527" t="inlineStr">
        <is>
          <t>ROBERT</t>
        </is>
      </c>
      <c r="L11527">
        <f>_xlfn.XLOOKUP(Tableau1[[#This Row],[TYPE DE PIECE]],Tableau4[MATIERE],Tableau4[SHORT TYPE],"",0,1)</f>
        <v/>
      </c>
      <c r="N11527">
        <f>IF(ISERR(FIND("DECOUPE",Tableau1[[#This Row],[DESIGNATION]])),"","NEED REF")</f>
        <v/>
      </c>
    </row>
    <row r="11528">
      <c r="B11528" t="n">
        <v>34402478</v>
      </c>
      <c r="C11528" s="2" t="n">
        <v>40808</v>
      </c>
      <c r="D11528" t="inlineStr">
        <is>
          <t>DM</t>
        </is>
      </c>
      <c r="E11528" t="inlineStr">
        <is>
          <t>modification des blocs prises</t>
        </is>
      </c>
      <c r="F11528" t="inlineStr">
        <is>
          <t>APC PDPM</t>
        </is>
      </c>
      <c r="J11528" t="inlineStr">
        <is>
          <t>REVEL</t>
        </is>
      </c>
      <c r="L11528">
        <f>_xlfn.XLOOKUP(Tableau1[[#This Row],[TYPE DE PIECE]],Tableau4[MATIERE],Tableau4[SHORT TYPE],"",0,1)</f>
        <v/>
      </c>
      <c r="N11528">
        <f>IF(ISERR(FIND("DECOUPE",Tableau1[[#This Row],[DESIGNATION]])),"","NEED REF")</f>
        <v/>
      </c>
    </row>
    <row r="11529">
      <c r="B11529" t="n">
        <v>34402477</v>
      </c>
      <c r="C11529" s="2" t="n"/>
      <c r="D11529" t="inlineStr">
        <is>
          <t>SPEC</t>
        </is>
      </c>
      <c r="E11529" t="inlineStr">
        <is>
          <t>TRAVERSE SUPPORT ISO</t>
        </is>
      </c>
      <c r="F11529" t="inlineStr">
        <is>
          <t>ARM COUPLAGE</t>
        </is>
      </c>
      <c r="J11529" t="inlineStr">
        <is>
          <t>ROBERT</t>
        </is>
      </c>
      <c r="L11529">
        <f>_xlfn.XLOOKUP(Tableau1[[#This Row],[TYPE DE PIECE]],Tableau4[MATIERE],Tableau4[SHORT TYPE],"",0,1)</f>
        <v/>
      </c>
      <c r="N11529">
        <f>IF(ISERR(FIND("DECOUPE",Tableau1[[#This Row],[DESIGNATION]])),"","NEED REF")</f>
        <v/>
      </c>
    </row>
    <row r="11530">
      <c r="B11530" t="n">
        <v>34402476</v>
      </c>
      <c r="C11530" s="2" t="n"/>
      <c r="D11530" t="inlineStr">
        <is>
          <t>SPEC</t>
        </is>
      </c>
      <c r="E11530" t="inlineStr">
        <is>
          <t>TRAVERSE SUPPORT JDB</t>
        </is>
      </c>
      <c r="F11530" t="inlineStr">
        <is>
          <t>ARM COUPLAGE</t>
        </is>
      </c>
      <c r="J11530" t="inlineStr">
        <is>
          <t>ROBERT</t>
        </is>
      </c>
      <c r="L11530">
        <f>_xlfn.XLOOKUP(Tableau1[[#This Row],[TYPE DE PIECE]],Tableau4[MATIERE],Tableau4[SHORT TYPE],"",0,1)</f>
        <v/>
      </c>
      <c r="N11530">
        <f>IF(ISERR(FIND("DECOUPE",Tableau1[[#This Row],[DESIGNATION]])),"","NEED REF")</f>
        <v/>
      </c>
    </row>
    <row r="11531">
      <c r="B11531" t="n">
        <v>34402475</v>
      </c>
      <c r="C11531" s="2" t="n"/>
      <c r="D11531" t="inlineStr">
        <is>
          <t>SPEC</t>
        </is>
      </c>
      <c r="E11531" t="inlineStr">
        <is>
          <t>TRAVERSE L= 598</t>
        </is>
      </c>
      <c r="F11531" t="inlineStr">
        <is>
          <t>ARM COUPLAGE</t>
        </is>
      </c>
      <c r="J11531" t="inlineStr">
        <is>
          <t>ROBERT</t>
        </is>
      </c>
      <c r="L11531">
        <f>_xlfn.XLOOKUP(Tableau1[[#This Row],[TYPE DE PIECE]],Tableau4[MATIERE],Tableau4[SHORT TYPE],"",0,1)</f>
        <v/>
      </c>
      <c r="N11531">
        <f>IF(ISERR(FIND("DECOUPE",Tableau1[[#This Row],[DESIGNATION]])),"","NEED REF")</f>
        <v/>
      </c>
    </row>
    <row r="11532">
      <c r="B11532" t="n">
        <v>34402474</v>
      </c>
      <c r="C11532" s="2" t="n"/>
      <c r="D11532" t="inlineStr">
        <is>
          <t>SPEC</t>
        </is>
      </c>
      <c r="E11532" t="inlineStr">
        <is>
          <t>BARRE CLIENT PHASE 3</t>
        </is>
      </c>
      <c r="F11532" t="inlineStr">
        <is>
          <t>ARM COUPLAGE</t>
        </is>
      </c>
      <c r="J11532" t="inlineStr">
        <is>
          <t>ROBERT</t>
        </is>
      </c>
      <c r="L11532">
        <f>_xlfn.XLOOKUP(Tableau1[[#This Row],[TYPE DE PIECE]],Tableau4[MATIERE],Tableau4[SHORT TYPE],"",0,1)</f>
        <v/>
      </c>
      <c r="N11532">
        <f>IF(ISERR(FIND("DECOUPE",Tableau1[[#This Row],[DESIGNATION]])),"","NEED REF")</f>
        <v/>
      </c>
    </row>
    <row r="11533">
      <c r="B11533" t="n">
        <v>34402473</v>
      </c>
      <c r="C11533" s="2" t="n"/>
      <c r="D11533" t="inlineStr">
        <is>
          <t>SPEC</t>
        </is>
      </c>
      <c r="E11533" t="inlineStr">
        <is>
          <t>BARRE CLIENT PHASE 2</t>
        </is>
      </c>
      <c r="F11533" t="inlineStr">
        <is>
          <t>ARM COUPLAGE</t>
        </is>
      </c>
      <c r="J11533" t="inlineStr">
        <is>
          <t>ROBERT</t>
        </is>
      </c>
      <c r="L11533">
        <f>_xlfn.XLOOKUP(Tableau1[[#This Row],[TYPE DE PIECE]],Tableau4[MATIERE],Tableau4[SHORT TYPE],"",0,1)</f>
        <v/>
      </c>
      <c r="N11533">
        <f>IF(ISERR(FIND("DECOUPE",Tableau1[[#This Row],[DESIGNATION]])),"","NEED REF")</f>
        <v/>
      </c>
    </row>
    <row r="11534">
      <c r="B11534" t="n">
        <v>34402472</v>
      </c>
      <c r="C11534" s="2" t="n"/>
      <c r="D11534" t="inlineStr">
        <is>
          <t>SPEC</t>
        </is>
      </c>
      <c r="E11534" t="inlineStr">
        <is>
          <t>BARRE CLIENT PHASE 1</t>
        </is>
      </c>
      <c r="F11534" t="inlineStr">
        <is>
          <t>ARM COUPLAGE</t>
        </is>
      </c>
      <c r="J11534" t="inlineStr">
        <is>
          <t>ROBERT</t>
        </is>
      </c>
      <c r="L11534">
        <f>_xlfn.XLOOKUP(Tableau1[[#This Row],[TYPE DE PIECE]],Tableau4[MATIERE],Tableau4[SHORT TYPE],"",0,1)</f>
        <v/>
      </c>
      <c r="N11534">
        <f>IF(ISERR(FIND("DECOUPE",Tableau1[[#This Row],[DESIGNATION]])),"","NEED REF")</f>
        <v/>
      </c>
    </row>
    <row r="11535">
      <c r="B11535" t="n">
        <v>34402471</v>
      </c>
      <c r="C11535" s="2" t="n"/>
      <c r="D11535" t="inlineStr">
        <is>
          <t>SPEC</t>
        </is>
      </c>
      <c r="E11535" t="inlineStr">
        <is>
          <t>BARRE DE COUPLAGE PHASE 3</t>
        </is>
      </c>
      <c r="F11535" t="inlineStr">
        <is>
          <t>ARM COUPLAGE</t>
        </is>
      </c>
      <c r="J11535" t="inlineStr">
        <is>
          <t>ROBERT</t>
        </is>
      </c>
      <c r="L11535">
        <f>_xlfn.XLOOKUP(Tableau1[[#This Row],[TYPE DE PIECE]],Tableau4[MATIERE],Tableau4[SHORT TYPE],"",0,1)</f>
        <v/>
      </c>
      <c r="N11535">
        <f>IF(ISERR(FIND("DECOUPE",Tableau1[[#This Row],[DESIGNATION]])),"","NEED REF")</f>
        <v/>
      </c>
    </row>
    <row r="11536">
      <c r="B11536" t="n">
        <v>34402470</v>
      </c>
      <c r="C11536" s="2" t="n"/>
      <c r="D11536" t="inlineStr">
        <is>
          <t>SPEC</t>
        </is>
      </c>
      <c r="E11536" t="inlineStr">
        <is>
          <t>BARRE DE COUPLAGE PHASE 2</t>
        </is>
      </c>
      <c r="F11536" t="inlineStr">
        <is>
          <t>ARM COUPLAGE</t>
        </is>
      </c>
      <c r="J11536" t="inlineStr">
        <is>
          <t>ROBERT</t>
        </is>
      </c>
      <c r="L11536">
        <f>_xlfn.XLOOKUP(Tableau1[[#This Row],[TYPE DE PIECE]],Tableau4[MATIERE],Tableau4[SHORT TYPE],"",0,1)</f>
        <v/>
      </c>
      <c r="N11536">
        <f>IF(ISERR(FIND("DECOUPE",Tableau1[[#This Row],[DESIGNATION]])),"","NEED REF")</f>
        <v/>
      </c>
    </row>
    <row r="11537">
      <c r="B11537" t="n">
        <v>34402469</v>
      </c>
      <c r="C11537" s="2" t="n"/>
      <c r="D11537" t="inlineStr">
        <is>
          <t>SPEC</t>
        </is>
      </c>
      <c r="E11537" t="inlineStr">
        <is>
          <t>BARRE DE COUPLAGE PHASE 1</t>
        </is>
      </c>
      <c r="F11537" t="inlineStr">
        <is>
          <t>ARM COUPLAGE</t>
        </is>
      </c>
      <c r="J11537" t="inlineStr">
        <is>
          <t>ROBERT</t>
        </is>
      </c>
      <c r="L11537">
        <f>_xlfn.XLOOKUP(Tableau1[[#This Row],[TYPE DE PIECE]],Tableau4[MATIERE],Tableau4[SHORT TYPE],"",0,1)</f>
        <v/>
      </c>
      <c r="N11537">
        <f>IF(ISERR(FIND("DECOUPE",Tableau1[[#This Row],[DESIGNATION]])),"","NEED REF")</f>
        <v/>
      </c>
    </row>
    <row r="11538">
      <c r="B11538" t="n">
        <v>34402468</v>
      </c>
      <c r="C11538" s="2" t="n"/>
      <c r="D11538" t="inlineStr">
        <is>
          <t>SPEC</t>
        </is>
      </c>
      <c r="E11538" t="inlineStr">
        <is>
          <t>SUPPORT INS 1700X48</t>
        </is>
      </c>
      <c r="F11538" t="inlineStr">
        <is>
          <t>ARM COUPLAGE</t>
        </is>
      </c>
      <c r="J11538" t="inlineStr">
        <is>
          <t>ROBERT</t>
        </is>
      </c>
      <c r="L11538">
        <f>_xlfn.XLOOKUP(Tableau1[[#This Row],[TYPE DE PIECE]],Tableau4[MATIERE],Tableau4[SHORT TYPE],"",0,1)</f>
        <v/>
      </c>
      <c r="N11538">
        <f>IF(ISERR(FIND("DECOUPE",Tableau1[[#This Row],[DESIGNATION]])),"","NEED REF")</f>
        <v/>
      </c>
    </row>
    <row r="11539">
      <c r="B11539" t="n">
        <v>34402467</v>
      </c>
      <c r="C11539" s="2" t="n"/>
      <c r="D11539" t="inlineStr">
        <is>
          <t>SPEC</t>
        </is>
      </c>
      <c r="E11539" t="inlineStr">
        <is>
          <t>TOIT L=1400 PARTIE DROITE RACC. ARRIERE</t>
        </is>
      </c>
      <c r="F11539" t="inlineStr">
        <is>
          <t>G7000</t>
        </is>
      </c>
      <c r="J11539" t="inlineStr">
        <is>
          <t>MATRION</t>
        </is>
      </c>
      <c r="L11539">
        <f>_xlfn.XLOOKUP(Tableau1[[#This Row],[TYPE DE PIECE]],Tableau4[MATIERE],Tableau4[SHORT TYPE],"",0,1)</f>
        <v/>
      </c>
      <c r="N11539">
        <f>IF(ISERR(FIND("DECOUPE",Tableau1[[#This Row],[DESIGNATION]])),"","NEED REF")</f>
        <v/>
      </c>
    </row>
    <row r="11540">
      <c r="B11540" t="n">
        <v>34402466</v>
      </c>
      <c r="C11540" s="2" t="n"/>
      <c r="D11540" t="inlineStr">
        <is>
          <t>SPEC</t>
        </is>
      </c>
      <c r="E11540" t="inlineStr">
        <is>
          <t>TOIT L=600 TGAB SIEMENS LX.04..-FA NON DECOUPE</t>
        </is>
      </c>
      <c r="F11540" t="inlineStr">
        <is>
          <t>G6000</t>
        </is>
      </c>
      <c r="J11540" t="inlineStr">
        <is>
          <t>MATRION</t>
        </is>
      </c>
      <c r="L11540">
        <f>_xlfn.XLOOKUP(Tableau1[[#This Row],[TYPE DE PIECE]],Tableau4[MATIERE],Tableau4[SHORT TYPE],"",0,1)</f>
        <v/>
      </c>
      <c r="N11540">
        <f>IF(ISERR(FIND("DECOUPE",Tableau1[[#This Row],[DESIGNATION]])),"","NEED REF")</f>
        <v/>
      </c>
    </row>
    <row r="11541">
      <c r="B11541" t="n">
        <v>34402465</v>
      </c>
      <c r="C11541" s="2" t="n"/>
      <c r="D11541" t="inlineStr">
        <is>
          <t>SPEC</t>
        </is>
      </c>
      <c r="E11541" t="inlineStr">
        <is>
          <t>TOIT L=1200 TGAB SIEMENS LXA0441-AS1-T NON DECOUPE</t>
        </is>
      </c>
      <c r="F11541" t="inlineStr">
        <is>
          <t>G6000</t>
        </is>
      </c>
      <c r="J11541" t="inlineStr">
        <is>
          <t>MATRION</t>
        </is>
      </c>
      <c r="L11541">
        <f>_xlfn.XLOOKUP(Tableau1[[#This Row],[TYPE DE PIECE]],Tableau4[MATIERE],Tableau4[SHORT TYPE],"",0,1)</f>
        <v/>
      </c>
      <c r="N11541">
        <f>IF(ISERR(FIND("DECOUPE",Tableau1[[#This Row],[DESIGNATION]])),"","NEED REF")</f>
        <v/>
      </c>
    </row>
    <row r="11542">
      <c r="B11542" t="n">
        <v>34402464</v>
      </c>
      <c r="C11542" s="2" t="n">
        <v>40956</v>
      </c>
      <c r="D11542" t="inlineStr">
        <is>
          <t>SPEC</t>
        </is>
      </c>
      <c r="E11542" t="inlineStr">
        <is>
          <t>CX AVAL Q2 JONCTION L1/L3 240kVA</t>
        </is>
      </c>
      <c r="J11542" t="inlineStr">
        <is>
          <t>MATRION</t>
        </is>
      </c>
      <c r="L11542">
        <f>_xlfn.XLOOKUP(Tableau1[[#This Row],[TYPE DE PIECE]],Tableau4[MATIERE],Tableau4[SHORT TYPE],"",0,1)</f>
        <v/>
      </c>
      <c r="N11542">
        <f>IF(ISERR(FIND("DECOUPE",Tableau1[[#This Row],[DESIGNATION]])),"","NEED REF")</f>
        <v/>
      </c>
    </row>
    <row r="11543">
      <c r="B11543" t="n">
        <v>34402463</v>
      </c>
      <c r="C11543" s="2" t="n">
        <v>40956</v>
      </c>
      <c r="D11543" t="inlineStr">
        <is>
          <t>SPEC</t>
        </is>
      </c>
      <c r="E11543" t="inlineStr">
        <is>
          <t>CX AVAL Q2 JONCTION N/L2 240kVA</t>
        </is>
      </c>
      <c r="J11543" t="inlineStr">
        <is>
          <t>MATRION</t>
        </is>
      </c>
      <c r="L11543">
        <f>_xlfn.XLOOKUP(Tableau1[[#This Row],[TYPE DE PIECE]],Tableau4[MATIERE],Tableau4[SHORT TYPE],"",0,1)</f>
        <v/>
      </c>
      <c r="N11543">
        <f>IF(ISERR(FIND("DECOUPE",Tableau1[[#This Row],[DESIGNATION]])),"","NEED REF")</f>
        <v/>
      </c>
    </row>
    <row r="11544">
      <c r="B11544" t="n">
        <v>34402462</v>
      </c>
      <c r="C11544" s="2" t="n">
        <v>40956</v>
      </c>
      <c r="D11544" t="inlineStr">
        <is>
          <t>SPEC</t>
        </is>
      </c>
      <c r="E11544" t="inlineStr">
        <is>
          <t>CX AVAL Q2 JONCTION 240kVA GENERIC</t>
        </is>
      </c>
      <c r="J11544" t="inlineStr">
        <is>
          <t>MATRION</t>
        </is>
      </c>
      <c r="L11544">
        <f>_xlfn.XLOOKUP(Tableau1[[#This Row],[TYPE DE PIECE]],Tableau4[MATIERE],Tableau4[SHORT TYPE],"",0,1)</f>
        <v/>
      </c>
      <c r="N11544">
        <f>IF(ISERR(FIND("DECOUPE",Tableau1[[#This Row],[DESIGNATION]])),"","NEED REF")</f>
        <v/>
      </c>
    </row>
    <row r="11545">
      <c r="B11545" t="n">
        <v>34402461</v>
      </c>
      <c r="C11545" s="2" t="n">
        <v>40956</v>
      </c>
      <c r="D11545" t="inlineStr">
        <is>
          <t>SPEC</t>
        </is>
      </c>
      <c r="E11545" t="inlineStr">
        <is>
          <t>CX Q3 L3/N 240kW</t>
        </is>
      </c>
      <c r="J11545" t="inlineStr">
        <is>
          <t>MATRION</t>
        </is>
      </c>
      <c r="L11545">
        <f>_xlfn.XLOOKUP(Tableau1[[#This Row],[TYPE DE PIECE]],Tableau4[MATIERE],Tableau4[SHORT TYPE],"",0,1)</f>
        <v/>
      </c>
      <c r="N11545">
        <f>IF(ISERR(FIND("DECOUPE",Tableau1[[#This Row],[DESIGNATION]])),"","NEED REF")</f>
        <v/>
      </c>
    </row>
    <row r="11546">
      <c r="B11546" t="n">
        <v>34402460</v>
      </c>
      <c r="C11546" s="2" t="n">
        <v>40956</v>
      </c>
      <c r="D11546" t="inlineStr">
        <is>
          <t>SPEC</t>
        </is>
      </c>
      <c r="E11546" t="inlineStr">
        <is>
          <t>CX Q3 L2/L3 240kW</t>
        </is>
      </c>
      <c r="J11546" t="inlineStr">
        <is>
          <t>MATRION</t>
        </is>
      </c>
      <c r="L11546">
        <f>_xlfn.XLOOKUP(Tableau1[[#This Row],[TYPE DE PIECE]],Tableau4[MATIERE],Tableau4[SHORT TYPE],"",0,1)</f>
        <v/>
      </c>
      <c r="N11546">
        <f>IF(ISERR(FIND("DECOUPE",Tableau1[[#This Row],[DESIGNATION]])),"","NEED REF")</f>
        <v/>
      </c>
    </row>
    <row r="11547">
      <c r="B11547" t="n">
        <v>34402459</v>
      </c>
      <c r="C11547" s="2" t="n">
        <v>40956</v>
      </c>
      <c r="D11547" t="inlineStr">
        <is>
          <t>SPEC</t>
        </is>
      </c>
      <c r="E11547" t="inlineStr">
        <is>
          <t>CX Q3 L1/L2 240kW</t>
        </is>
      </c>
      <c r="J11547" t="inlineStr">
        <is>
          <t>MATRION</t>
        </is>
      </c>
      <c r="L11547">
        <f>_xlfn.XLOOKUP(Tableau1[[#This Row],[TYPE DE PIECE]],Tableau4[MATIERE],Tableau4[SHORT TYPE],"",0,1)</f>
        <v/>
      </c>
      <c r="N11547">
        <f>IF(ISERR(FIND("DECOUPE",Tableau1[[#This Row],[DESIGNATION]])),"","NEED REF")</f>
        <v/>
      </c>
    </row>
    <row r="11548">
      <c r="B11548" t="n">
        <v>34402458</v>
      </c>
      <c r="C11548" s="2" t="n">
        <v>40956</v>
      </c>
      <c r="D11548" t="inlineStr">
        <is>
          <t>SPEC</t>
        </is>
      </c>
      <c r="E11548" t="inlineStr">
        <is>
          <t>CX Q3 N/L3 240kW</t>
        </is>
      </c>
      <c r="J11548" t="inlineStr">
        <is>
          <t>MATRION</t>
        </is>
      </c>
      <c r="L11548">
        <f>_xlfn.XLOOKUP(Tableau1[[#This Row],[TYPE DE PIECE]],Tableau4[MATIERE],Tableau4[SHORT TYPE],"",0,1)</f>
        <v/>
      </c>
      <c r="N11548">
        <f>IF(ISERR(FIND("DECOUPE",Tableau1[[#This Row],[DESIGNATION]])),"","NEED REF")</f>
        <v/>
      </c>
    </row>
    <row r="11549">
      <c r="B11549" t="n">
        <v>34402457</v>
      </c>
      <c r="C11549" s="2" t="n">
        <v>40956</v>
      </c>
      <c r="D11549" t="inlineStr">
        <is>
          <t>SPEC</t>
        </is>
      </c>
      <c r="E11549" t="inlineStr">
        <is>
          <t>CX Q3 240kW GENERIC</t>
        </is>
      </c>
      <c r="J11549" t="inlineStr">
        <is>
          <t>MATRION</t>
        </is>
      </c>
      <c r="L11549">
        <f>_xlfn.XLOOKUP(Tableau1[[#This Row],[TYPE DE PIECE]],Tableau4[MATIERE],Tableau4[SHORT TYPE],"",0,1)</f>
        <v/>
      </c>
      <c r="N11549">
        <f>IF(ISERR(FIND("DECOUPE",Tableau1[[#This Row],[DESIGNATION]])),"","NEED REF")</f>
        <v/>
      </c>
    </row>
    <row r="11550">
      <c r="B11550" t="n">
        <v>34402456</v>
      </c>
      <c r="C11550" s="2" t="n">
        <v>40956</v>
      </c>
      <c r="D11550" t="inlineStr">
        <is>
          <t>SPEC</t>
        </is>
      </c>
      <c r="E11550" t="inlineStr">
        <is>
          <t>CX JDB RACC R2/UTIL 240kW</t>
        </is>
      </c>
      <c r="J11550" t="inlineStr">
        <is>
          <t>MATRION</t>
        </is>
      </c>
      <c r="L11550">
        <f>_xlfn.XLOOKUP(Tableau1[[#This Row],[TYPE DE PIECE]],Tableau4[MATIERE],Tableau4[SHORT TYPE],"",0,1)</f>
        <v/>
      </c>
      <c r="N11550">
        <f>IF(ISERR(FIND("DECOUPE",Tableau1[[#This Row],[DESIGNATION]])),"","NEED REF")</f>
        <v/>
      </c>
    </row>
    <row r="11551">
      <c r="B11551" t="n">
        <v>34402455</v>
      </c>
      <c r="C11551" s="2" t="n">
        <v>40956</v>
      </c>
      <c r="D11551" t="inlineStr">
        <is>
          <t>SPEC</t>
        </is>
      </c>
      <c r="E11551" t="inlineStr">
        <is>
          <t>PLATINE BYPASS 240kW NU</t>
        </is>
      </c>
      <c r="J11551" t="inlineStr">
        <is>
          <t>MATRION</t>
        </is>
      </c>
      <c r="L11551">
        <f>_xlfn.XLOOKUP(Tableau1[[#This Row],[TYPE DE PIECE]],Tableau4[MATIERE],Tableau4[SHORT TYPE],"",0,1)</f>
        <v/>
      </c>
      <c r="N11551">
        <f>IF(ISERR(FIND("DECOUPE",Tableau1[[#This Row],[DESIGNATION]])),"","NEED REF")</f>
        <v/>
      </c>
    </row>
    <row r="11552">
      <c r="B11552" t="n">
        <v>34402454</v>
      </c>
      <c r="C11552" s="2" t="n">
        <v>40956</v>
      </c>
      <c r="D11552" t="inlineStr">
        <is>
          <t>SPEC</t>
        </is>
      </c>
      <c r="E11552" t="inlineStr">
        <is>
          <t>PLATINE BYPASS 240kW</t>
        </is>
      </c>
      <c r="J11552" t="inlineStr">
        <is>
          <t>MATRION</t>
        </is>
      </c>
      <c r="L11552">
        <f>_xlfn.XLOOKUP(Tableau1[[#This Row],[TYPE DE PIECE]],Tableau4[MATIERE],Tableau4[SHORT TYPE],"",0,1)</f>
        <v/>
      </c>
      <c r="N11552">
        <f>IF(ISERR(FIND("DECOUPE",Tableau1[[#This Row],[DESIGNATION]])),"","NEED REF")</f>
        <v/>
      </c>
    </row>
    <row r="11553">
      <c r="B11553" t="n">
        <v>34402453</v>
      </c>
      <c r="C11553" s="2" t="n">
        <v>40956</v>
      </c>
      <c r="D11553" t="inlineStr">
        <is>
          <t>SPEC</t>
        </is>
      </c>
      <c r="E11553" t="inlineStr">
        <is>
          <t>RAIL FIXATION CABLES CLIENT 160kW</t>
        </is>
      </c>
      <c r="J11553" t="inlineStr">
        <is>
          <t>MATRION</t>
        </is>
      </c>
      <c r="L11553">
        <f>_xlfn.XLOOKUP(Tableau1[[#This Row],[TYPE DE PIECE]],Tableau4[MATIERE],Tableau4[SHORT TYPE],"",0,1)</f>
        <v/>
      </c>
      <c r="N11553">
        <f>IF(ISERR(FIND("DECOUPE",Tableau1[[#This Row],[DESIGNATION]])),"","NEED REF")</f>
        <v/>
      </c>
    </row>
    <row r="11554">
      <c r="B11554" t="n">
        <v>34402452</v>
      </c>
      <c r="C11554" s="2" t="n">
        <v>40956</v>
      </c>
      <c r="D11554" t="inlineStr">
        <is>
          <t>SPEC</t>
        </is>
      </c>
      <c r="E11554" t="inlineStr">
        <is>
          <t>CX PE COMMUNE</t>
        </is>
      </c>
      <c r="J11554" t="inlineStr">
        <is>
          <t>MATRION</t>
        </is>
      </c>
      <c r="L11554">
        <f>_xlfn.XLOOKUP(Tableau1[[#This Row],[TYPE DE PIECE]],Tableau4[MATIERE],Tableau4[SHORT TYPE],"",0,1)</f>
        <v/>
      </c>
      <c r="N11554">
        <f>IF(ISERR(FIND("DECOUPE",Tableau1[[#This Row],[DESIGNATION]])),"","NEED REF")</f>
        <v/>
      </c>
    </row>
    <row r="11555">
      <c r="B11555" t="n">
        <v>34402451</v>
      </c>
      <c r="C11555" s="2" t="n">
        <v>40956</v>
      </c>
      <c r="D11555" t="inlineStr">
        <is>
          <t>SPEC</t>
        </is>
      </c>
      <c r="E11555" t="inlineStr">
        <is>
          <t>CX JDB RACC R2 ASI L3</t>
        </is>
      </c>
      <c r="J11555" t="inlineStr">
        <is>
          <t>MATRION</t>
        </is>
      </c>
      <c r="L11555">
        <f>_xlfn.XLOOKUP(Tableau1[[#This Row],[TYPE DE PIECE]],Tableau4[MATIERE],Tableau4[SHORT TYPE],"",0,1)</f>
        <v/>
      </c>
      <c r="N11555">
        <f>IF(ISERR(FIND("DECOUPE",Tableau1[[#This Row],[DESIGNATION]])),"","NEED REF")</f>
        <v/>
      </c>
    </row>
    <row r="11556">
      <c r="B11556" t="n">
        <v>34402450</v>
      </c>
      <c r="C11556" s="2" t="n">
        <v>40956</v>
      </c>
      <c r="D11556" t="inlineStr">
        <is>
          <t>SPEC</t>
        </is>
      </c>
      <c r="E11556" t="inlineStr">
        <is>
          <t>CX JDB RACC R2 ASI L2</t>
        </is>
      </c>
      <c r="J11556" t="inlineStr">
        <is>
          <t>MATRION</t>
        </is>
      </c>
      <c r="L11556">
        <f>_xlfn.XLOOKUP(Tableau1[[#This Row],[TYPE DE PIECE]],Tableau4[MATIERE],Tableau4[SHORT TYPE],"",0,1)</f>
        <v/>
      </c>
      <c r="N11556">
        <f>IF(ISERR(FIND("DECOUPE",Tableau1[[#This Row],[DESIGNATION]])),"","NEED REF")</f>
        <v/>
      </c>
    </row>
    <row r="11557">
      <c r="B11557" t="n">
        <v>34402449</v>
      </c>
      <c r="C11557" s="2" t="n">
        <v>40956</v>
      </c>
      <c r="D11557" t="inlineStr">
        <is>
          <t>SPEC</t>
        </is>
      </c>
      <c r="E11557" t="inlineStr">
        <is>
          <t>CX JDB RACC R2 ASI L1</t>
        </is>
      </c>
      <c r="J11557" t="inlineStr">
        <is>
          <t>MATRION</t>
        </is>
      </c>
      <c r="L11557">
        <f>_xlfn.XLOOKUP(Tableau1[[#This Row],[TYPE DE PIECE]],Tableau4[MATIERE],Tableau4[SHORT TYPE],"",0,1)</f>
        <v/>
      </c>
      <c r="N11557">
        <f>IF(ISERR(FIND("DECOUPE",Tableau1[[#This Row],[DESIGNATION]])),"","NEED REF")</f>
        <v/>
      </c>
    </row>
    <row r="11558">
      <c r="B11558" t="n">
        <v>34402448</v>
      </c>
      <c r="C11558" s="2" t="n">
        <v>40956</v>
      </c>
      <c r="D11558" t="inlineStr">
        <is>
          <t>SPEC</t>
        </is>
      </c>
      <c r="E11558" t="inlineStr">
        <is>
          <t>CX JDB RACC R2 ASI GENERIC</t>
        </is>
      </c>
      <c r="J11558" t="inlineStr">
        <is>
          <t>MATRION</t>
        </is>
      </c>
      <c r="L11558">
        <f>_xlfn.XLOOKUP(Tableau1[[#This Row],[TYPE DE PIECE]],Tableau4[MATIERE],Tableau4[SHORT TYPE],"",0,1)</f>
        <v/>
      </c>
      <c r="N11558">
        <f>IF(ISERR(FIND("DECOUPE",Tableau1[[#This Row],[DESIGNATION]])),"","NEED REF")</f>
        <v/>
      </c>
    </row>
    <row r="11559">
      <c r="B11559" t="n">
        <v>34402447</v>
      </c>
      <c r="C11559" s="2" t="n">
        <v>40956</v>
      </c>
      <c r="D11559" t="inlineStr">
        <is>
          <t>SPEC</t>
        </is>
      </c>
      <c r="E11559" t="inlineStr">
        <is>
          <t>CX JDB RACC R2 ASI JONCTION N 160kW</t>
        </is>
      </c>
      <c r="J11559" t="inlineStr">
        <is>
          <t>MATRION</t>
        </is>
      </c>
      <c r="L11559">
        <f>_xlfn.XLOOKUP(Tableau1[[#This Row],[TYPE DE PIECE]],Tableau4[MATIERE],Tableau4[SHORT TYPE],"",0,1)</f>
        <v/>
      </c>
      <c r="N11559">
        <f>IF(ISERR(FIND("DECOUPE",Tableau1[[#This Row],[DESIGNATION]])),"","NEED REF")</f>
        <v/>
      </c>
    </row>
    <row r="11560">
      <c r="B11560" t="n">
        <v>34402446</v>
      </c>
      <c r="C11560" s="2" t="n">
        <v>40956</v>
      </c>
      <c r="D11560" t="inlineStr">
        <is>
          <t>SPEC</t>
        </is>
      </c>
      <c r="E11560" t="inlineStr">
        <is>
          <t>CX JDB RACC R2 ASI N</t>
        </is>
      </c>
      <c r="J11560" t="inlineStr">
        <is>
          <t>MATRION</t>
        </is>
      </c>
      <c r="L11560">
        <f>_xlfn.XLOOKUP(Tableau1[[#This Row],[TYPE DE PIECE]],Tableau4[MATIERE],Tableau4[SHORT TYPE],"",0,1)</f>
        <v/>
      </c>
      <c r="N11560">
        <f>IF(ISERR(FIND("DECOUPE",Tableau1[[#This Row],[DESIGNATION]])),"","NEED REF")</f>
        <v/>
      </c>
    </row>
    <row r="11561">
      <c r="B11561" t="n">
        <v>34402445</v>
      </c>
      <c r="C11561" s="2" t="n">
        <v>40956</v>
      </c>
      <c r="D11561" t="inlineStr">
        <is>
          <t>SPEC</t>
        </is>
      </c>
      <c r="E11561" t="inlineStr">
        <is>
          <t>CX JDB RACC ASI L2/L3</t>
        </is>
      </c>
      <c r="J11561" t="inlineStr">
        <is>
          <t>MATRION</t>
        </is>
      </c>
      <c r="L11561">
        <f>_xlfn.XLOOKUP(Tableau1[[#This Row],[TYPE DE PIECE]],Tableau4[MATIERE],Tableau4[SHORT TYPE],"",0,1)</f>
        <v/>
      </c>
      <c r="N11561">
        <f>IF(ISERR(FIND("DECOUPE",Tableau1[[#This Row],[DESIGNATION]])),"","NEED REF")</f>
        <v/>
      </c>
    </row>
    <row r="11562">
      <c r="B11562" t="n">
        <v>34402444</v>
      </c>
      <c r="C11562" s="2" t="n">
        <v>40956</v>
      </c>
      <c r="D11562" t="inlineStr">
        <is>
          <t>SPEC</t>
        </is>
      </c>
      <c r="E11562" t="inlineStr">
        <is>
          <t>CX JDB RACC ASI N/L1</t>
        </is>
      </c>
      <c r="J11562" t="inlineStr">
        <is>
          <t>MATRION</t>
        </is>
      </c>
      <c r="L11562">
        <f>_xlfn.XLOOKUP(Tableau1[[#This Row],[TYPE DE PIECE]],Tableau4[MATIERE],Tableau4[SHORT TYPE],"",0,1)</f>
        <v/>
      </c>
      <c r="N11562">
        <f>IF(ISERR(FIND("DECOUPE",Tableau1[[#This Row],[DESIGNATION]])),"","NEED REF")</f>
        <v/>
      </c>
    </row>
    <row r="11563">
      <c r="B11563" t="n">
        <v>34402443</v>
      </c>
      <c r="C11563" s="2" t="n">
        <v>40956</v>
      </c>
      <c r="D11563" t="inlineStr">
        <is>
          <t>SPEC</t>
        </is>
      </c>
      <c r="E11563" t="inlineStr">
        <is>
          <t>CX JDB RACC ASI GENERIC</t>
        </is>
      </c>
      <c r="J11563" t="inlineStr">
        <is>
          <t>MATRION</t>
        </is>
      </c>
      <c r="L11563">
        <f>_xlfn.XLOOKUP(Tableau1[[#This Row],[TYPE DE PIECE]],Tableau4[MATIERE],Tableau4[SHORT TYPE],"",0,1)</f>
        <v/>
      </c>
      <c r="N11563">
        <f>IF(ISERR(FIND("DECOUPE",Tableau1[[#This Row],[DESIGNATION]])),"","NEED REF")</f>
        <v/>
      </c>
    </row>
    <row r="11564">
      <c r="B11564" t="n">
        <v>34402442</v>
      </c>
      <c r="C11564" s="2" t="n">
        <v>40956</v>
      </c>
      <c r="D11564" t="inlineStr">
        <is>
          <t>SPEC</t>
        </is>
      </c>
      <c r="E11564" t="inlineStr">
        <is>
          <t>CX JDB RACC R2/UTIL 160kW</t>
        </is>
      </c>
      <c r="J11564" t="inlineStr">
        <is>
          <t>MATRION</t>
        </is>
      </c>
      <c r="L11564">
        <f>_xlfn.XLOOKUP(Tableau1[[#This Row],[TYPE DE PIECE]],Tableau4[MATIERE],Tableau4[SHORT TYPE],"",0,1)</f>
        <v/>
      </c>
      <c r="N11564">
        <f>IF(ISERR(FIND("DECOUPE",Tableau1[[#This Row],[DESIGNATION]])),"","NEED REF")</f>
        <v/>
      </c>
    </row>
    <row r="11565">
      <c r="B11565" t="n">
        <v>34402441</v>
      </c>
      <c r="C11565" s="2" t="n">
        <v>40956</v>
      </c>
      <c r="D11565" t="inlineStr">
        <is>
          <t>SPEC</t>
        </is>
      </c>
      <c r="E11565" t="inlineStr">
        <is>
          <t>CX AMONT Q2 L3 160kW</t>
        </is>
      </c>
      <c r="J11565" t="inlineStr">
        <is>
          <t>MATRION</t>
        </is>
      </c>
      <c r="L11565">
        <f>_xlfn.XLOOKUP(Tableau1[[#This Row],[TYPE DE PIECE]],Tableau4[MATIERE],Tableau4[SHORT TYPE],"",0,1)</f>
        <v/>
      </c>
      <c r="N11565">
        <f>IF(ISERR(FIND("DECOUPE",Tableau1[[#This Row],[DESIGNATION]])),"","NEED REF")</f>
        <v/>
      </c>
    </row>
    <row r="11566">
      <c r="B11566" t="n">
        <v>34402440</v>
      </c>
      <c r="C11566" s="2" t="n">
        <v>40956</v>
      </c>
      <c r="D11566" t="inlineStr">
        <is>
          <t>SPEC</t>
        </is>
      </c>
      <c r="E11566" t="inlineStr">
        <is>
          <t>CX AMONT Q2 L2 160kW</t>
        </is>
      </c>
      <c r="J11566" t="inlineStr">
        <is>
          <t>MATRION</t>
        </is>
      </c>
      <c r="L11566">
        <f>_xlfn.XLOOKUP(Tableau1[[#This Row],[TYPE DE PIECE]],Tableau4[MATIERE],Tableau4[SHORT TYPE],"",0,1)</f>
        <v/>
      </c>
      <c r="N11566">
        <f>IF(ISERR(FIND("DECOUPE",Tableau1[[#This Row],[DESIGNATION]])),"","NEED REF")</f>
        <v/>
      </c>
    </row>
    <row r="11567">
      <c r="B11567" t="n">
        <v>34402439</v>
      </c>
      <c r="C11567" s="2" t="n">
        <v>40956</v>
      </c>
      <c r="D11567" t="inlineStr">
        <is>
          <t>SPEC</t>
        </is>
      </c>
      <c r="E11567" t="inlineStr">
        <is>
          <t>CX AMONT Q2 L1 160kW</t>
        </is>
      </c>
      <c r="J11567" t="inlineStr">
        <is>
          <t>MATRION</t>
        </is>
      </c>
      <c r="L11567">
        <f>_xlfn.XLOOKUP(Tableau1[[#This Row],[TYPE DE PIECE]],Tableau4[MATIERE],Tableau4[SHORT TYPE],"",0,1)</f>
        <v/>
      </c>
      <c r="N11567">
        <f>IF(ISERR(FIND("DECOUPE",Tableau1[[#This Row],[DESIGNATION]])),"","NEED REF")</f>
        <v/>
      </c>
    </row>
    <row r="11568">
      <c r="B11568" t="n">
        <v>34402438</v>
      </c>
      <c r="C11568" s="2" t="n">
        <v>40956</v>
      </c>
      <c r="D11568" t="inlineStr">
        <is>
          <t>SPEC</t>
        </is>
      </c>
      <c r="E11568" t="inlineStr">
        <is>
          <t>CX AMONT Q2 N 160kW</t>
        </is>
      </c>
      <c r="J11568" t="inlineStr">
        <is>
          <t>MATRION</t>
        </is>
      </c>
      <c r="L11568">
        <f>_xlfn.XLOOKUP(Tableau1[[#This Row],[TYPE DE PIECE]],Tableau4[MATIERE],Tableau4[SHORT TYPE],"",0,1)</f>
        <v/>
      </c>
      <c r="N11568">
        <f>IF(ISERR(FIND("DECOUPE",Tableau1[[#This Row],[DESIGNATION]])),"","NEED REF")</f>
        <v/>
      </c>
    </row>
    <row r="11569">
      <c r="B11569" t="n">
        <v>34402437</v>
      </c>
      <c r="C11569" s="2" t="n">
        <v>40956</v>
      </c>
      <c r="D11569" t="inlineStr">
        <is>
          <t>SPEC</t>
        </is>
      </c>
      <c r="E11569" t="inlineStr">
        <is>
          <t>CX AMONT Q2 160kW GENERIC</t>
        </is>
      </c>
      <c r="J11569" t="inlineStr">
        <is>
          <t>MATRION</t>
        </is>
      </c>
      <c r="L11569">
        <f>_xlfn.XLOOKUP(Tableau1[[#This Row],[TYPE DE PIECE]],Tableau4[MATIERE],Tableau4[SHORT TYPE],"",0,1)</f>
        <v/>
      </c>
      <c r="N11569">
        <f>IF(ISERR(FIND("DECOUPE",Tableau1[[#This Row],[DESIGNATION]])),"","NEED REF")</f>
        <v/>
      </c>
    </row>
    <row r="11570">
      <c r="B11570" t="n">
        <v>34402436</v>
      </c>
      <c r="C11570" s="2" t="n">
        <v>40956</v>
      </c>
      <c r="D11570" t="inlineStr">
        <is>
          <t>SPEC</t>
        </is>
      </c>
      <c r="E11570" t="inlineStr">
        <is>
          <t>CX AVAL Q2 JONCTION L3 160kW</t>
        </is>
      </c>
      <c r="J11570" t="inlineStr">
        <is>
          <t>MATRION</t>
        </is>
      </c>
      <c r="L11570">
        <f>_xlfn.XLOOKUP(Tableau1[[#This Row],[TYPE DE PIECE]],Tableau4[MATIERE],Tableau4[SHORT TYPE],"",0,1)</f>
        <v/>
      </c>
      <c r="N11570">
        <f>IF(ISERR(FIND("DECOUPE",Tableau1[[#This Row],[DESIGNATION]])),"","NEED REF")</f>
        <v/>
      </c>
    </row>
    <row r="11571">
      <c r="B11571" t="n">
        <v>34402435</v>
      </c>
      <c r="C11571" s="2" t="n">
        <v>40956</v>
      </c>
      <c r="D11571" t="inlineStr">
        <is>
          <t>SPEC</t>
        </is>
      </c>
      <c r="E11571" t="inlineStr">
        <is>
          <t>CX AVAL Q2 JONCTION L2 160kW</t>
        </is>
      </c>
      <c r="J11571" t="inlineStr">
        <is>
          <t>MATRION</t>
        </is>
      </c>
      <c r="L11571">
        <f>_xlfn.XLOOKUP(Tableau1[[#This Row],[TYPE DE PIECE]],Tableau4[MATIERE],Tableau4[SHORT TYPE],"",0,1)</f>
        <v/>
      </c>
      <c r="N11571">
        <f>IF(ISERR(FIND("DECOUPE",Tableau1[[#This Row],[DESIGNATION]])),"","NEED REF")</f>
        <v/>
      </c>
    </row>
    <row r="11572">
      <c r="B11572" t="n">
        <v>34402434</v>
      </c>
      <c r="C11572" s="2" t="n">
        <v>40956</v>
      </c>
      <c r="D11572" t="inlineStr">
        <is>
          <t>SPEC</t>
        </is>
      </c>
      <c r="E11572" t="inlineStr">
        <is>
          <t>CX AVAL Q2 JONCTION L1 160kW</t>
        </is>
      </c>
      <c r="J11572" t="inlineStr">
        <is>
          <t>MATRION</t>
        </is>
      </c>
      <c r="L11572">
        <f>_xlfn.XLOOKUP(Tableau1[[#This Row],[TYPE DE PIECE]],Tableau4[MATIERE],Tableau4[SHORT TYPE],"",0,1)</f>
        <v/>
      </c>
      <c r="N11572">
        <f>IF(ISERR(FIND("DECOUPE",Tableau1[[#This Row],[DESIGNATION]])),"","NEED REF")</f>
        <v/>
      </c>
    </row>
    <row r="11573">
      <c r="B11573" t="n">
        <v>34402433</v>
      </c>
      <c r="C11573" s="2" t="n">
        <v>40956</v>
      </c>
      <c r="D11573" t="inlineStr">
        <is>
          <t>SPEC</t>
        </is>
      </c>
      <c r="E11573" t="inlineStr">
        <is>
          <t>CX AVAL Q2 JONCTION N 160kW</t>
        </is>
      </c>
      <c r="J11573" t="inlineStr">
        <is>
          <t>MATRION</t>
        </is>
      </c>
      <c r="L11573">
        <f>_xlfn.XLOOKUP(Tableau1[[#This Row],[TYPE DE PIECE]],Tableau4[MATIERE],Tableau4[SHORT TYPE],"",0,1)</f>
        <v/>
      </c>
      <c r="N11573">
        <f>IF(ISERR(FIND("DECOUPE",Tableau1[[#This Row],[DESIGNATION]])),"","NEED REF")</f>
        <v/>
      </c>
    </row>
    <row r="11574">
      <c r="B11574" t="n">
        <v>34402432</v>
      </c>
      <c r="C11574" s="2" t="n">
        <v>40956</v>
      </c>
      <c r="D11574" t="inlineStr">
        <is>
          <t>SPEC</t>
        </is>
      </c>
      <c r="E11574" t="inlineStr">
        <is>
          <t>CX AVAL Q2 JONCTION 160kW GENERIC</t>
        </is>
      </c>
      <c r="J11574" t="inlineStr">
        <is>
          <t>MATRION</t>
        </is>
      </c>
      <c r="L11574">
        <f>_xlfn.XLOOKUP(Tableau1[[#This Row],[TYPE DE PIECE]],Tableau4[MATIERE],Tableau4[SHORT TYPE],"",0,1)</f>
        <v/>
      </c>
      <c r="N11574">
        <f>IF(ISERR(FIND("DECOUPE",Tableau1[[#This Row],[DESIGNATION]])),"","NEED REF")</f>
        <v/>
      </c>
    </row>
    <row r="11575">
      <c r="B11575" t="n">
        <v>34402431</v>
      </c>
      <c r="C11575" s="2" t="n">
        <v>40956</v>
      </c>
      <c r="D11575" t="inlineStr">
        <is>
          <t>SPEC</t>
        </is>
      </c>
      <c r="E11575" t="inlineStr">
        <is>
          <t>CX AVAL Q2 JONCTION 160kW COMMUNE</t>
        </is>
      </c>
      <c r="J11575" t="inlineStr">
        <is>
          <t>MATRION</t>
        </is>
      </c>
      <c r="L11575">
        <f>_xlfn.XLOOKUP(Tableau1[[#This Row],[TYPE DE PIECE]],Tableau4[MATIERE],Tableau4[SHORT TYPE],"",0,1)</f>
        <v/>
      </c>
      <c r="N11575">
        <f>IF(ISERR(FIND("DECOUPE",Tableau1[[#This Row],[DESIGNATION]])),"","NEED REF")</f>
        <v/>
      </c>
    </row>
    <row r="11576">
      <c r="B11576" t="n">
        <v>34402430</v>
      </c>
      <c r="C11576" s="2" t="n">
        <v>40956</v>
      </c>
      <c r="D11576" t="inlineStr">
        <is>
          <t>SPEC</t>
        </is>
      </c>
      <c r="E11576" t="inlineStr">
        <is>
          <t>CX Q3 L3/N 160kW</t>
        </is>
      </c>
      <c r="J11576" t="inlineStr">
        <is>
          <t>MATRION</t>
        </is>
      </c>
      <c r="L11576">
        <f>_xlfn.XLOOKUP(Tableau1[[#This Row],[TYPE DE PIECE]],Tableau4[MATIERE],Tableau4[SHORT TYPE],"",0,1)</f>
        <v/>
      </c>
      <c r="N11576">
        <f>IF(ISERR(FIND("DECOUPE",Tableau1[[#This Row],[DESIGNATION]])),"","NEED REF")</f>
        <v/>
      </c>
    </row>
    <row r="11577">
      <c r="B11577" t="n">
        <v>34402429</v>
      </c>
      <c r="C11577" s="2" t="n">
        <v>40956</v>
      </c>
      <c r="D11577" t="inlineStr">
        <is>
          <t>SPEC</t>
        </is>
      </c>
      <c r="E11577" t="inlineStr">
        <is>
          <t>CX Q3 L2/L3 160kW</t>
        </is>
      </c>
      <c r="J11577" t="inlineStr">
        <is>
          <t>MATRION</t>
        </is>
      </c>
      <c r="L11577">
        <f>_xlfn.XLOOKUP(Tableau1[[#This Row],[TYPE DE PIECE]],Tableau4[MATIERE],Tableau4[SHORT TYPE],"",0,1)</f>
        <v/>
      </c>
      <c r="N11577">
        <f>IF(ISERR(FIND("DECOUPE",Tableau1[[#This Row],[DESIGNATION]])),"","NEED REF")</f>
        <v/>
      </c>
    </row>
    <row r="11578">
      <c r="B11578" t="n">
        <v>34402428</v>
      </c>
      <c r="C11578" s="2" t="n">
        <v>40956</v>
      </c>
      <c r="D11578" t="inlineStr">
        <is>
          <t>SPEC</t>
        </is>
      </c>
      <c r="E11578" t="inlineStr">
        <is>
          <t>CX Q3 L1/L2 160kW</t>
        </is>
      </c>
      <c r="J11578" t="inlineStr">
        <is>
          <t>MATRION</t>
        </is>
      </c>
      <c r="L11578">
        <f>_xlfn.XLOOKUP(Tableau1[[#This Row],[TYPE DE PIECE]],Tableau4[MATIERE],Tableau4[SHORT TYPE],"",0,1)</f>
        <v/>
      </c>
      <c r="N11578">
        <f>IF(ISERR(FIND("DECOUPE",Tableau1[[#This Row],[DESIGNATION]])),"","NEED REF")</f>
        <v/>
      </c>
    </row>
    <row r="11579">
      <c r="B11579" t="n">
        <v>34402427</v>
      </c>
      <c r="C11579" s="2" t="n">
        <v>40956</v>
      </c>
      <c r="D11579" t="inlineStr">
        <is>
          <t>SPEC</t>
        </is>
      </c>
      <c r="E11579" t="inlineStr">
        <is>
          <t>CX Q3 N/L3 160kW</t>
        </is>
      </c>
      <c r="J11579" t="inlineStr">
        <is>
          <t>MATRION</t>
        </is>
      </c>
      <c r="L11579">
        <f>_xlfn.XLOOKUP(Tableau1[[#This Row],[TYPE DE PIECE]],Tableau4[MATIERE],Tableau4[SHORT TYPE],"",0,1)</f>
        <v/>
      </c>
      <c r="N11579">
        <f>IF(ISERR(FIND("DECOUPE",Tableau1[[#This Row],[DESIGNATION]])),"","NEED REF")</f>
        <v/>
      </c>
    </row>
    <row r="11580">
      <c r="B11580" t="n">
        <v>34402426</v>
      </c>
      <c r="C11580" s="2" t="n">
        <v>40956</v>
      </c>
      <c r="D11580" t="inlineStr">
        <is>
          <t>SPEC</t>
        </is>
      </c>
      <c r="E11580" t="inlineStr">
        <is>
          <t>CX Q3 160kW GENERIC</t>
        </is>
      </c>
      <c r="J11580" t="inlineStr">
        <is>
          <t>MATRION</t>
        </is>
      </c>
      <c r="L11580">
        <f>_xlfn.XLOOKUP(Tableau1[[#This Row],[TYPE DE PIECE]],Tableau4[MATIERE],Tableau4[SHORT TYPE],"",0,1)</f>
        <v/>
      </c>
      <c r="N11580">
        <f>IF(ISERR(FIND("DECOUPE",Tableau1[[#This Row],[DESIGNATION]])),"","NEED REF")</f>
        <v/>
      </c>
    </row>
    <row r="11581">
      <c r="B11581" t="n">
        <v>34402425</v>
      </c>
      <c r="C11581" s="2" t="n">
        <v>40956</v>
      </c>
      <c r="D11581" t="inlineStr">
        <is>
          <t>SPEC</t>
        </is>
      </c>
      <c r="E11581" t="inlineStr">
        <is>
          <t>CX AMONT Q1 L3 240kW</t>
        </is>
      </c>
      <c r="J11581" t="inlineStr">
        <is>
          <t>MATRION</t>
        </is>
      </c>
      <c r="L11581">
        <f>_xlfn.XLOOKUP(Tableau1[[#This Row],[TYPE DE PIECE]],Tableau4[MATIERE],Tableau4[SHORT TYPE],"",0,1)</f>
        <v/>
      </c>
      <c r="N11581">
        <f>IF(ISERR(FIND("DECOUPE",Tableau1[[#This Row],[DESIGNATION]])),"","NEED REF")</f>
        <v/>
      </c>
    </row>
    <row r="11582">
      <c r="B11582" t="n">
        <v>34402424</v>
      </c>
      <c r="C11582" s="2" t="n">
        <v>40956</v>
      </c>
      <c r="D11582" t="inlineStr">
        <is>
          <t>SPEC</t>
        </is>
      </c>
      <c r="E11582" t="inlineStr">
        <is>
          <t>CX AMONT Q1 L2 240kW</t>
        </is>
      </c>
      <c r="J11582" t="inlineStr">
        <is>
          <t>MATRION</t>
        </is>
      </c>
      <c r="L11582">
        <f>_xlfn.XLOOKUP(Tableau1[[#This Row],[TYPE DE PIECE]],Tableau4[MATIERE],Tableau4[SHORT TYPE],"",0,1)</f>
        <v/>
      </c>
      <c r="N11582">
        <f>IF(ISERR(FIND("DECOUPE",Tableau1[[#This Row],[DESIGNATION]])),"","NEED REF")</f>
        <v/>
      </c>
    </row>
    <row r="11583">
      <c r="B11583" t="n">
        <v>34402423</v>
      </c>
      <c r="C11583" s="2" t="n">
        <v>40956</v>
      </c>
      <c r="D11583" t="inlineStr">
        <is>
          <t>SPEC</t>
        </is>
      </c>
      <c r="E11583" t="inlineStr">
        <is>
          <t>CX AMONT Q1 L1 240kW</t>
        </is>
      </c>
      <c r="J11583" t="inlineStr">
        <is>
          <t>MATRION</t>
        </is>
      </c>
      <c r="L11583">
        <f>_xlfn.XLOOKUP(Tableau1[[#This Row],[TYPE DE PIECE]],Tableau4[MATIERE],Tableau4[SHORT TYPE],"",0,1)</f>
        <v/>
      </c>
      <c r="N11583">
        <f>IF(ISERR(FIND("DECOUPE",Tableau1[[#This Row],[DESIGNATION]])),"","NEED REF")</f>
        <v/>
      </c>
    </row>
    <row r="11584">
      <c r="B11584" t="n">
        <v>34402422</v>
      </c>
      <c r="C11584" s="2" t="n">
        <v>40956</v>
      </c>
      <c r="D11584" t="inlineStr">
        <is>
          <t>SPEC</t>
        </is>
      </c>
      <c r="E11584" t="inlineStr">
        <is>
          <t>CX AMONT Q1 L3 160kW</t>
        </is>
      </c>
      <c r="J11584" t="inlineStr">
        <is>
          <t>MATRION</t>
        </is>
      </c>
      <c r="L11584">
        <f>_xlfn.XLOOKUP(Tableau1[[#This Row],[TYPE DE PIECE]],Tableau4[MATIERE],Tableau4[SHORT TYPE],"",0,1)</f>
        <v/>
      </c>
      <c r="N11584">
        <f>IF(ISERR(FIND("DECOUPE",Tableau1[[#This Row],[DESIGNATION]])),"","NEED REF")</f>
        <v/>
      </c>
    </row>
    <row r="11585">
      <c r="B11585" t="n">
        <v>34402421</v>
      </c>
      <c r="C11585" s="2" t="n">
        <v>40956</v>
      </c>
      <c r="D11585" t="inlineStr">
        <is>
          <t>SPEC</t>
        </is>
      </c>
      <c r="E11585" t="inlineStr">
        <is>
          <t>CX AMONT Q1 L2 160kW</t>
        </is>
      </c>
      <c r="J11585" t="inlineStr">
        <is>
          <t>MATRION</t>
        </is>
      </c>
      <c r="L11585">
        <f>_xlfn.XLOOKUP(Tableau1[[#This Row],[TYPE DE PIECE]],Tableau4[MATIERE],Tableau4[SHORT TYPE],"",0,1)</f>
        <v/>
      </c>
      <c r="N11585">
        <f>IF(ISERR(FIND("DECOUPE",Tableau1[[#This Row],[DESIGNATION]])),"","NEED REF")</f>
        <v/>
      </c>
    </row>
    <row r="11586">
      <c r="B11586" t="n">
        <v>34402420</v>
      </c>
      <c r="C11586" s="2" t="n">
        <v>40956</v>
      </c>
      <c r="D11586" t="inlineStr">
        <is>
          <t>SPEC</t>
        </is>
      </c>
      <c r="E11586" t="inlineStr">
        <is>
          <t>CX AMONT Q1 L1 160kW</t>
        </is>
      </c>
      <c r="J11586" t="inlineStr">
        <is>
          <t>MATRION</t>
        </is>
      </c>
      <c r="L11586">
        <f>_xlfn.XLOOKUP(Tableau1[[#This Row],[TYPE DE PIECE]],Tableau4[MATIERE],Tableau4[SHORT TYPE],"",0,1)</f>
        <v/>
      </c>
      <c r="N11586">
        <f>IF(ISERR(FIND("DECOUPE",Tableau1[[#This Row],[DESIGNATION]])),"","NEED REF")</f>
        <v/>
      </c>
    </row>
    <row r="11587">
      <c r="B11587" t="n">
        <v>34402419</v>
      </c>
      <c r="C11587" s="2" t="n">
        <v>40956</v>
      </c>
      <c r="D11587" t="inlineStr">
        <is>
          <t>SPEC</t>
        </is>
      </c>
      <c r="E11587" t="inlineStr">
        <is>
          <t>CX AMONT Q1 GENERIC</t>
        </is>
      </c>
      <c r="J11587" t="inlineStr">
        <is>
          <t>MATRION</t>
        </is>
      </c>
      <c r="L11587">
        <f>_xlfn.XLOOKUP(Tableau1[[#This Row],[TYPE DE PIECE]],Tableau4[MATIERE],Tableau4[SHORT TYPE],"",0,1)</f>
        <v/>
      </c>
      <c r="N11587">
        <f>IF(ISERR(FIND("DECOUPE",Tableau1[[#This Row],[DESIGNATION]])),"","NEED REF")</f>
        <v/>
      </c>
    </row>
    <row r="11588">
      <c r="B11588" t="n">
        <v>34402418</v>
      </c>
      <c r="C11588" s="2" t="n">
        <v>40956</v>
      </c>
      <c r="D11588" t="inlineStr">
        <is>
          <t>SPEC</t>
        </is>
      </c>
      <c r="E11588" t="inlineStr">
        <is>
          <t>CX AMONT Q1 JONCTION L1 240kW</t>
        </is>
      </c>
      <c r="J11588" t="inlineStr">
        <is>
          <t>MATRION</t>
        </is>
      </c>
      <c r="L11588">
        <f>_xlfn.XLOOKUP(Tableau1[[#This Row],[TYPE DE PIECE]],Tableau4[MATIERE],Tableau4[SHORT TYPE],"",0,1)</f>
        <v/>
      </c>
      <c r="N11588">
        <f>IF(ISERR(FIND("DECOUPE",Tableau1[[#This Row],[DESIGNATION]])),"","NEED REF")</f>
        <v/>
      </c>
    </row>
    <row r="11589">
      <c r="B11589" t="n">
        <v>34402417</v>
      </c>
      <c r="C11589" s="2" t="n">
        <v>40956</v>
      </c>
      <c r="D11589" t="inlineStr">
        <is>
          <t>SPEC</t>
        </is>
      </c>
      <c r="E11589" t="inlineStr">
        <is>
          <t>CX AMONT Q1 JONCTION L1 160kW</t>
        </is>
      </c>
      <c r="J11589" t="inlineStr">
        <is>
          <t>MATRION</t>
        </is>
      </c>
      <c r="L11589">
        <f>_xlfn.XLOOKUP(Tableau1[[#This Row],[TYPE DE PIECE]],Tableau4[MATIERE],Tableau4[SHORT TYPE],"",0,1)</f>
        <v/>
      </c>
      <c r="N11589">
        <f>IF(ISERR(FIND("DECOUPE",Tableau1[[#This Row],[DESIGNATION]])),"","NEED REF")</f>
        <v/>
      </c>
    </row>
    <row r="11590">
      <c r="B11590" t="n">
        <v>34402416</v>
      </c>
      <c r="C11590" s="2" t="n">
        <v>40956</v>
      </c>
      <c r="D11590" t="inlineStr">
        <is>
          <t>SPEC</t>
        </is>
      </c>
      <c r="E11590" t="inlineStr">
        <is>
          <t>CX AMONT Q1 JONCTION L1 GENERIC</t>
        </is>
      </c>
      <c r="J11590" t="inlineStr">
        <is>
          <t>MATRION</t>
        </is>
      </c>
      <c r="L11590">
        <f>_xlfn.XLOOKUP(Tableau1[[#This Row],[TYPE DE PIECE]],Tableau4[MATIERE],Tableau4[SHORT TYPE],"",0,1)</f>
        <v/>
      </c>
      <c r="N11590">
        <f>IF(ISERR(FIND("DECOUPE",Tableau1[[#This Row],[DESIGNATION]])),"","NEED REF")</f>
        <v/>
      </c>
    </row>
    <row r="11591">
      <c r="B11591" t="n">
        <v>34402415</v>
      </c>
      <c r="C11591" s="2" t="n">
        <v>40956</v>
      </c>
      <c r="D11591" t="inlineStr">
        <is>
          <t>SPEC</t>
        </is>
      </c>
      <c r="E11591" t="inlineStr">
        <is>
          <t>CX AVAL Q1 160kW L3</t>
        </is>
      </c>
      <c r="J11591" t="inlineStr">
        <is>
          <t>MATRION</t>
        </is>
      </c>
      <c r="L11591">
        <f>_xlfn.XLOOKUP(Tableau1[[#This Row],[TYPE DE PIECE]],Tableau4[MATIERE],Tableau4[SHORT TYPE],"",0,1)</f>
        <v/>
      </c>
      <c r="N11591">
        <f>IF(ISERR(FIND("DECOUPE",Tableau1[[#This Row],[DESIGNATION]])),"","NEED REF")</f>
        <v/>
      </c>
    </row>
    <row r="11592">
      <c r="B11592" t="n">
        <v>34402414</v>
      </c>
      <c r="C11592" s="2" t="n">
        <v>40956</v>
      </c>
      <c r="D11592" t="inlineStr">
        <is>
          <t>SPEC</t>
        </is>
      </c>
      <c r="E11592" t="inlineStr">
        <is>
          <t>CX AVAL Q1 160kW L2</t>
        </is>
      </c>
      <c r="J11592" t="inlineStr">
        <is>
          <t>MATRION</t>
        </is>
      </c>
      <c r="L11592">
        <f>_xlfn.XLOOKUP(Tableau1[[#This Row],[TYPE DE PIECE]],Tableau4[MATIERE],Tableau4[SHORT TYPE],"",0,1)</f>
        <v/>
      </c>
      <c r="N11592">
        <f>IF(ISERR(FIND("DECOUPE",Tableau1[[#This Row],[DESIGNATION]])),"","NEED REF")</f>
        <v/>
      </c>
    </row>
    <row r="11593">
      <c r="B11593" t="n">
        <v>34402413</v>
      </c>
      <c r="C11593" s="2" t="n">
        <v>40956</v>
      </c>
      <c r="D11593" t="inlineStr">
        <is>
          <t>SPEC</t>
        </is>
      </c>
      <c r="E11593" t="inlineStr">
        <is>
          <t>CX AVAL Q1 160kW L1</t>
        </is>
      </c>
      <c r="J11593" t="inlineStr">
        <is>
          <t>MATRION</t>
        </is>
      </c>
      <c r="L11593">
        <f>_xlfn.XLOOKUP(Tableau1[[#This Row],[TYPE DE PIECE]],Tableau4[MATIERE],Tableau4[SHORT TYPE],"",0,1)</f>
        <v/>
      </c>
      <c r="N11593">
        <f>IF(ISERR(FIND("DECOUPE",Tableau1[[#This Row],[DESIGNATION]])),"","NEED REF")</f>
        <v/>
      </c>
    </row>
    <row r="11594">
      <c r="B11594" t="n">
        <v>34402412</v>
      </c>
      <c r="C11594" s="2" t="n">
        <v>40956</v>
      </c>
      <c r="D11594" t="inlineStr">
        <is>
          <t>SPEC</t>
        </is>
      </c>
      <c r="E11594" t="inlineStr">
        <is>
          <t>CX AVAL Q1 160kW GENERIC</t>
        </is>
      </c>
      <c r="J11594" t="inlineStr">
        <is>
          <t>MATRION</t>
        </is>
      </c>
      <c r="L11594">
        <f>_xlfn.XLOOKUP(Tableau1[[#This Row],[TYPE DE PIECE]],Tableau4[MATIERE],Tableau4[SHORT TYPE],"",0,1)</f>
        <v/>
      </c>
      <c r="N11594">
        <f>IF(ISERR(FIND("DECOUPE",Tableau1[[#This Row],[DESIGNATION]])),"","NEED REF")</f>
        <v/>
      </c>
    </row>
    <row r="11595">
      <c r="B11595" t="n">
        <v>34402411</v>
      </c>
      <c r="C11595" s="2" t="n">
        <v>40956</v>
      </c>
      <c r="D11595" t="inlineStr">
        <is>
          <t>SPEC</t>
        </is>
      </c>
      <c r="E11595" t="inlineStr">
        <is>
          <t>SEPARATEUR BYPASS 240kVA NU</t>
        </is>
      </c>
      <c r="J11595" t="inlineStr">
        <is>
          <t>MATRION</t>
        </is>
      </c>
      <c r="L11595">
        <f>_xlfn.XLOOKUP(Tableau1[[#This Row],[TYPE DE PIECE]],Tableau4[MATIERE],Tableau4[SHORT TYPE],"",0,1)</f>
        <v/>
      </c>
      <c r="N11595">
        <f>IF(ISERR(FIND("DECOUPE",Tableau1[[#This Row],[DESIGNATION]])),"","NEED REF")</f>
        <v/>
      </c>
    </row>
    <row r="11596">
      <c r="B11596" t="n">
        <v>34402410</v>
      </c>
      <c r="C11596" s="2" t="n">
        <v>40956</v>
      </c>
      <c r="D11596" t="inlineStr">
        <is>
          <t>SPEC</t>
        </is>
      </c>
      <c r="E11596" t="inlineStr">
        <is>
          <t>SEPARATEUR BYPASS 240kVA</t>
        </is>
      </c>
      <c r="J11596" t="inlineStr">
        <is>
          <t>MATRION</t>
        </is>
      </c>
      <c r="L11596">
        <f>_xlfn.XLOOKUP(Tableau1[[#This Row],[TYPE DE PIECE]],Tableau4[MATIERE],Tableau4[SHORT TYPE],"",0,1)</f>
        <v/>
      </c>
      <c r="N11596">
        <f>IF(ISERR(FIND("DECOUPE",Tableau1[[#This Row],[DESIGNATION]])),"","NEED REF")</f>
        <v/>
      </c>
    </row>
    <row r="11597">
      <c r="B11597" t="n">
        <v>34402409</v>
      </c>
      <c r="C11597" s="2" t="n">
        <v>40956</v>
      </c>
      <c r="D11597" t="inlineStr">
        <is>
          <t>SPEC</t>
        </is>
      </c>
      <c r="E11597" t="inlineStr">
        <is>
          <t>SEPARATEUR BYPASS 160kW NU</t>
        </is>
      </c>
      <c r="J11597" t="inlineStr">
        <is>
          <t>MATRION</t>
        </is>
      </c>
      <c r="L11597">
        <f>_xlfn.XLOOKUP(Tableau1[[#This Row],[TYPE DE PIECE]],Tableau4[MATIERE],Tableau4[SHORT TYPE],"",0,1)</f>
        <v/>
      </c>
      <c r="N11597">
        <f>IF(ISERR(FIND("DECOUPE",Tableau1[[#This Row],[DESIGNATION]])),"","NEED REF")</f>
        <v/>
      </c>
    </row>
    <row r="11598">
      <c r="B11598" t="n">
        <v>34402408</v>
      </c>
      <c r="C11598" s="2" t="n">
        <v>40956</v>
      </c>
      <c r="D11598" t="inlineStr">
        <is>
          <t>SPEC</t>
        </is>
      </c>
      <c r="E11598" t="inlineStr">
        <is>
          <t>SEPARATEUR BYPASS 160kW</t>
        </is>
      </c>
      <c r="J11598" t="inlineStr">
        <is>
          <t>MATRION</t>
        </is>
      </c>
      <c r="L11598">
        <f>_xlfn.XLOOKUP(Tableau1[[#This Row],[TYPE DE PIECE]],Tableau4[MATIERE],Tableau4[SHORT TYPE],"",0,1)</f>
        <v/>
      </c>
      <c r="N11598">
        <f>IF(ISERR(FIND("DECOUPE",Tableau1[[#This Row],[DESIGNATION]])),"","NEED REF")</f>
        <v/>
      </c>
    </row>
    <row r="11599">
      <c r="B11599" t="n">
        <v>34402407</v>
      </c>
      <c r="C11599" s="2" t="n">
        <v>40956</v>
      </c>
      <c r="D11599" t="inlineStr">
        <is>
          <t>SPEC</t>
        </is>
      </c>
      <c r="E11599" t="inlineStr">
        <is>
          <t>SEPARATEUR BYPASS GENERIC</t>
        </is>
      </c>
      <c r="J11599" t="inlineStr">
        <is>
          <t>MATRION</t>
        </is>
      </c>
      <c r="L11599">
        <f>_xlfn.XLOOKUP(Tableau1[[#This Row],[TYPE DE PIECE]],Tableau4[MATIERE],Tableau4[SHORT TYPE],"",0,1)</f>
        <v/>
      </c>
      <c r="N11599">
        <f>IF(ISERR(FIND("DECOUPE",Tableau1[[#This Row],[DESIGNATION]])),"","NEED REF")</f>
        <v/>
      </c>
    </row>
    <row r="11600">
      <c r="B11600" t="n">
        <v>34402406</v>
      </c>
      <c r="C11600" s="2" t="n">
        <v>40956</v>
      </c>
      <c r="D11600" t="inlineStr">
        <is>
          <t>SPEC</t>
        </is>
      </c>
      <c r="E11600" t="inlineStr">
        <is>
          <t>SUPPORT BYPASS SUPERIEUR2 NU</t>
        </is>
      </c>
      <c r="J11600" t="inlineStr">
        <is>
          <t>MATRION</t>
        </is>
      </c>
      <c r="L11600">
        <f>_xlfn.XLOOKUP(Tableau1[[#This Row],[TYPE DE PIECE]],Tableau4[MATIERE],Tableau4[SHORT TYPE],"",0,1)</f>
        <v/>
      </c>
      <c r="N11600">
        <f>IF(ISERR(FIND("DECOUPE",Tableau1[[#This Row],[DESIGNATION]])),"","NEED REF")</f>
        <v/>
      </c>
    </row>
    <row r="11601">
      <c r="B11601" t="n">
        <v>34402405</v>
      </c>
      <c r="C11601" s="2" t="n">
        <v>40956</v>
      </c>
      <c r="D11601" t="inlineStr">
        <is>
          <t>SPEC</t>
        </is>
      </c>
      <c r="E11601" t="inlineStr">
        <is>
          <t>SUPPORT BYPASS SUPERIEUR2</t>
        </is>
      </c>
      <c r="J11601" t="inlineStr">
        <is>
          <t>MATRION</t>
        </is>
      </c>
      <c r="L11601">
        <f>_xlfn.XLOOKUP(Tableau1[[#This Row],[TYPE DE PIECE]],Tableau4[MATIERE],Tableau4[SHORT TYPE],"",0,1)</f>
        <v/>
      </c>
      <c r="N11601">
        <f>IF(ISERR(FIND("DECOUPE",Tableau1[[#This Row],[DESIGNATION]])),"","NEED REF")</f>
        <v/>
      </c>
    </row>
    <row r="11602">
      <c r="B11602" t="n">
        <v>34402404</v>
      </c>
      <c r="C11602" s="2" t="n">
        <v>40956</v>
      </c>
      <c r="D11602" t="inlineStr">
        <is>
          <t>SPEC</t>
        </is>
      </c>
      <c r="E11602" t="inlineStr">
        <is>
          <t>SUPPORT BYPASS SUPERIEUR NU</t>
        </is>
      </c>
      <c r="J11602" t="inlineStr">
        <is>
          <t>MATRION</t>
        </is>
      </c>
      <c r="L11602">
        <f>_xlfn.XLOOKUP(Tableau1[[#This Row],[TYPE DE PIECE]],Tableau4[MATIERE],Tableau4[SHORT TYPE],"",0,1)</f>
        <v/>
      </c>
      <c r="N11602">
        <f>IF(ISERR(FIND("DECOUPE",Tableau1[[#This Row],[DESIGNATION]])),"","NEED REF")</f>
        <v/>
      </c>
    </row>
    <row r="11603">
      <c r="B11603" t="n">
        <v>34402403</v>
      </c>
      <c r="C11603" s="2" t="n">
        <v>40956</v>
      </c>
      <c r="D11603" t="inlineStr">
        <is>
          <t>SPEC</t>
        </is>
      </c>
      <c r="E11603" t="inlineStr">
        <is>
          <t>SUPPORT BYPASS SUPERIEUR</t>
        </is>
      </c>
      <c r="J11603" t="inlineStr">
        <is>
          <t>MATRION</t>
        </is>
      </c>
      <c r="L11603">
        <f>_xlfn.XLOOKUP(Tableau1[[#This Row],[TYPE DE PIECE]],Tableau4[MATIERE],Tableau4[SHORT TYPE],"",0,1)</f>
        <v/>
      </c>
      <c r="N11603">
        <f>IF(ISERR(FIND("DECOUPE",Tableau1[[#This Row],[DESIGNATION]])),"","NEED REF")</f>
        <v/>
      </c>
    </row>
    <row r="11604">
      <c r="B11604" t="n">
        <v>34402401</v>
      </c>
      <c r="C11604" s="2" t="n">
        <v>40956</v>
      </c>
      <c r="D11604" t="inlineStr">
        <is>
          <t>SPEC</t>
        </is>
      </c>
      <c r="E11604" t="inlineStr">
        <is>
          <t>SUPPORT BYPASS LATERAL2</t>
        </is>
      </c>
      <c r="J11604" t="inlineStr">
        <is>
          <t>MATRION</t>
        </is>
      </c>
      <c r="L11604">
        <f>_xlfn.XLOOKUP(Tableau1[[#This Row],[TYPE DE PIECE]],Tableau4[MATIERE],Tableau4[SHORT TYPE],"",0,1)</f>
        <v/>
      </c>
      <c r="N11604">
        <f>IF(ISERR(FIND("DECOUPE",Tableau1[[#This Row],[DESIGNATION]])),"","NEED REF")</f>
        <v/>
      </c>
    </row>
    <row r="11605">
      <c r="B11605" t="n">
        <v>34402400</v>
      </c>
      <c r="C11605" s="2" t="n">
        <v>40956</v>
      </c>
      <c r="D11605" t="inlineStr">
        <is>
          <t>SPEC</t>
        </is>
      </c>
      <c r="E11605" t="inlineStr">
        <is>
          <t>SUPPORT BYPASS LATERAL NU</t>
        </is>
      </c>
      <c r="J11605" t="inlineStr">
        <is>
          <t>MATRION</t>
        </is>
      </c>
      <c r="L11605">
        <f>_xlfn.XLOOKUP(Tableau1[[#This Row],[TYPE DE PIECE]],Tableau4[MATIERE],Tableau4[SHORT TYPE],"",0,1)</f>
        <v/>
      </c>
      <c r="N11605">
        <f>IF(ISERR(FIND("DECOUPE",Tableau1[[#This Row],[DESIGNATION]])),"","NEED REF")</f>
        <v/>
      </c>
    </row>
    <row r="11606">
      <c r="B11606" t="n">
        <v>34402399</v>
      </c>
      <c r="C11606" s="2" t="n">
        <v>40956</v>
      </c>
      <c r="D11606" t="inlineStr">
        <is>
          <t>SPEC</t>
        </is>
      </c>
      <c r="E11606" t="inlineStr">
        <is>
          <t>SUPPORT BYPASS LATERAL</t>
        </is>
      </c>
      <c r="J11606" t="inlineStr">
        <is>
          <t>MATRION</t>
        </is>
      </c>
      <c r="L11606">
        <f>_xlfn.XLOOKUP(Tableau1[[#This Row],[TYPE DE PIECE]],Tableau4[MATIERE],Tableau4[SHORT TYPE],"",0,1)</f>
        <v/>
      </c>
      <c r="N11606">
        <f>IF(ISERR(FIND("DECOUPE",Tableau1[[#This Row],[DESIGNATION]])),"","NEED REF")</f>
        <v/>
      </c>
    </row>
    <row r="11607">
      <c r="B11607" t="n">
        <v>34402398</v>
      </c>
      <c r="C11607" s="2" t="n">
        <v>40956</v>
      </c>
      <c r="D11607" t="inlineStr">
        <is>
          <t>SPEC</t>
        </is>
      </c>
      <c r="E11607" t="inlineStr">
        <is>
          <t>PLATINE BYPASS 160kW NU</t>
        </is>
      </c>
      <c r="F11607" t="inlineStr">
        <is>
          <t>COFFRET BYPASS 160kW</t>
        </is>
      </c>
      <c r="J11607" t="inlineStr">
        <is>
          <t>MATRION</t>
        </is>
      </c>
      <c r="L11607">
        <f>_xlfn.XLOOKUP(Tableau1[[#This Row],[TYPE DE PIECE]],Tableau4[MATIERE],Tableau4[SHORT TYPE],"",0,1)</f>
        <v/>
      </c>
      <c r="N11607">
        <f>IF(ISERR(FIND("DECOUPE",Tableau1[[#This Row],[DESIGNATION]])),"","NEED REF")</f>
        <v/>
      </c>
    </row>
    <row r="11608">
      <c r="B11608" t="n">
        <v>34402397</v>
      </c>
      <c r="C11608" s="2" t="n">
        <v>40956</v>
      </c>
      <c r="D11608" t="inlineStr">
        <is>
          <t>SPEC</t>
        </is>
      </c>
      <c r="E11608" t="inlineStr">
        <is>
          <t>PLATINE BYPASS 160kW</t>
        </is>
      </c>
      <c r="F11608" t="inlineStr">
        <is>
          <t>COFFRET BYPASS 160kW</t>
        </is>
      </c>
      <c r="J11608" t="inlineStr">
        <is>
          <t>MATRION</t>
        </is>
      </c>
      <c r="L11608">
        <f>_xlfn.XLOOKUP(Tableau1[[#This Row],[TYPE DE PIECE]],Tableau4[MATIERE],Tableau4[SHORT TYPE],"",0,1)</f>
        <v/>
      </c>
      <c r="N11608">
        <f>IF(ISERR(FIND("DECOUPE",Tableau1[[#This Row],[DESIGNATION]])),"","NEED REF")</f>
        <v/>
      </c>
    </row>
    <row r="11609">
      <c r="B11609" t="n">
        <v>34402396</v>
      </c>
      <c r="C11609" s="2" t="n">
        <v>40956</v>
      </c>
      <c r="D11609" t="inlineStr">
        <is>
          <t>NOM</t>
        </is>
      </c>
      <c r="E11609" t="inlineStr">
        <is>
          <t>LG COFFRET BYPASS LOGSTRUP 240kW 1FU+2INS</t>
        </is>
      </c>
      <c r="F11609" t="inlineStr">
        <is>
          <t>COFFRET BYPASS 240kW</t>
        </is>
      </c>
      <c r="J11609" t="inlineStr">
        <is>
          <t>MATRION</t>
        </is>
      </c>
      <c r="L11609">
        <f>_xlfn.XLOOKUP(Tableau1[[#This Row],[TYPE DE PIECE]],Tableau4[MATIERE],Tableau4[SHORT TYPE],"",0,1)</f>
        <v/>
      </c>
      <c r="N11609">
        <f>IF(ISERR(FIND("DECOUPE",Tableau1[[#This Row],[DESIGNATION]])),"","NEED REF")</f>
        <v/>
      </c>
    </row>
    <row r="11610">
      <c r="B11610" t="n">
        <v>34402395</v>
      </c>
      <c r="C11610" s="2" t="n">
        <v>40956</v>
      </c>
      <c r="D11610" t="inlineStr">
        <is>
          <t>NOM</t>
        </is>
      </c>
      <c r="E11610" t="inlineStr">
        <is>
          <t>LG COFFRET BYPASS LOGSTRUP 160kW</t>
        </is>
      </c>
      <c r="F11610" t="inlineStr">
        <is>
          <t>COFFRET BYPASS 160kW</t>
        </is>
      </c>
      <c r="J11610" t="inlineStr">
        <is>
          <t>MATRION</t>
        </is>
      </c>
      <c r="L11610">
        <f>_xlfn.XLOOKUP(Tableau1[[#This Row],[TYPE DE PIECE]],Tableau4[MATIERE],Tableau4[SHORT TYPE],"",0,1)</f>
        <v/>
      </c>
      <c r="N11610">
        <f>IF(ISERR(FIND("DECOUPE",Tableau1[[#This Row],[DESIGNATION]])),"","NEED REF")</f>
        <v/>
      </c>
    </row>
    <row r="11611">
      <c r="B11611" t="n">
        <v>34402394</v>
      </c>
      <c r="C11611" s="2" t="n">
        <v>40954</v>
      </c>
      <c r="D11611" t="inlineStr">
        <is>
          <t>SPEC</t>
        </is>
      </c>
      <c r="E11611" t="inlineStr">
        <is>
          <t>RAIL BORNIER OF</t>
        </is>
      </c>
      <c r="F11611" t="inlineStr">
        <is>
          <t>COFFRET BYPASS 400A</t>
        </is>
      </c>
      <c r="J11611" t="inlineStr">
        <is>
          <t>MATRION</t>
        </is>
      </c>
      <c r="L11611">
        <f>_xlfn.XLOOKUP(Tableau1[[#This Row],[TYPE DE PIECE]],Tableau4[MATIERE],Tableau4[SHORT TYPE],"",0,1)</f>
        <v/>
      </c>
      <c r="N11611">
        <f>IF(ISERR(FIND("DECOUPE",Tableau1[[#This Row],[DESIGNATION]])),"","NEED REF")</f>
        <v/>
      </c>
    </row>
    <row r="11612">
      <c r="B11612" t="n">
        <v>34402393</v>
      </c>
      <c r="C11612" s="2" t="n">
        <v>40954</v>
      </c>
      <c r="D11612" t="inlineStr">
        <is>
          <t>SPEC</t>
        </is>
      </c>
      <c r="E11612" t="inlineStr">
        <is>
          <t>PLATINE + INSERT COFFRET BYPASS 400A 800x1000</t>
        </is>
      </c>
      <c r="F11612" t="inlineStr">
        <is>
          <t>COFFRET BYPASS 400A</t>
        </is>
      </c>
      <c r="J11612" t="inlineStr">
        <is>
          <t>MATRION</t>
        </is>
      </c>
      <c r="L11612">
        <f>_xlfn.XLOOKUP(Tableau1[[#This Row],[TYPE DE PIECE]],Tableau4[MATIERE],Tableau4[SHORT TYPE],"",0,1)</f>
        <v/>
      </c>
      <c r="N11612">
        <f>IF(ISERR(FIND("DECOUPE",Tableau1[[#This Row],[DESIGNATION]])),"","NEED REF")</f>
        <v/>
      </c>
    </row>
    <row r="11613">
      <c r="B11613" t="n">
        <v>34402392</v>
      </c>
      <c r="C11613" s="2" t="n">
        <v>40954</v>
      </c>
      <c r="D11613" t="inlineStr">
        <is>
          <t>SPEC</t>
        </is>
      </c>
      <c r="E11613" t="inlineStr">
        <is>
          <t>PLASTRON IP30 COFFRET BYPASS 400A</t>
        </is>
      </c>
      <c r="F11613" t="inlineStr">
        <is>
          <t>COFFRET BYPASS 400A</t>
        </is>
      </c>
      <c r="J11613" t="inlineStr">
        <is>
          <t>MATRION</t>
        </is>
      </c>
      <c r="L11613">
        <f>_xlfn.XLOOKUP(Tableau1[[#This Row],[TYPE DE PIECE]],Tableau4[MATIERE],Tableau4[SHORT TYPE],"",0,1)</f>
        <v/>
      </c>
      <c r="N11613">
        <f>IF(ISERR(FIND("DECOUPE",Tableau1[[#This Row],[DESIGNATION]])),"","NEED REF")</f>
        <v/>
      </c>
    </row>
    <row r="11614">
      <c r="B11614" t="n">
        <v>34402391</v>
      </c>
      <c r="C11614" s="2" t="n">
        <v>40954</v>
      </c>
      <c r="D11614" t="inlineStr">
        <is>
          <t>NOM</t>
        </is>
      </c>
      <c r="E11614" t="inlineStr">
        <is>
          <t>LG SUPPORT IP REGLABLE H=110-165</t>
        </is>
      </c>
      <c r="F11614" t="inlineStr">
        <is>
          <t>COFFRET BYPASS 400A</t>
        </is>
      </c>
      <c r="J11614" t="inlineStr">
        <is>
          <t>MATRION</t>
        </is>
      </c>
      <c r="L11614">
        <f>_xlfn.XLOOKUP(Tableau1[[#This Row],[TYPE DE PIECE]],Tableau4[MATIERE],Tableau4[SHORT TYPE],"",0,1)</f>
        <v/>
      </c>
      <c r="N11614">
        <f>IF(ISERR(FIND("DECOUPE",Tableau1[[#This Row],[DESIGNATION]])),"","NEED REF")</f>
        <v/>
      </c>
    </row>
    <row r="11615">
      <c r="B11615" t="n">
        <v>34402390</v>
      </c>
      <c r="C11615" s="2" t="n">
        <v>40954</v>
      </c>
      <c r="D11615" t="inlineStr">
        <is>
          <t>SPEC</t>
        </is>
      </c>
      <c r="E11615" t="inlineStr">
        <is>
          <t>SUPPORT 2 IP30 REGLABLE H=110</t>
        </is>
      </c>
      <c r="F11615" t="inlineStr">
        <is>
          <t>COFFRET BYPASS 400A</t>
        </is>
      </c>
      <c r="J11615" t="inlineStr">
        <is>
          <t>MATRION</t>
        </is>
      </c>
      <c r="L11615">
        <f>_xlfn.XLOOKUP(Tableau1[[#This Row],[TYPE DE PIECE]],Tableau4[MATIERE],Tableau4[SHORT TYPE],"",0,1)</f>
        <v/>
      </c>
      <c r="N11615">
        <f>IF(ISERR(FIND("DECOUPE",Tableau1[[#This Row],[DESIGNATION]])),"","NEED REF")</f>
        <v/>
      </c>
    </row>
    <row r="11616">
      <c r="B11616" t="n">
        <v>34402389</v>
      </c>
      <c r="C11616" s="2" t="n">
        <v>40954</v>
      </c>
      <c r="D11616" t="inlineStr">
        <is>
          <t>SPEC</t>
        </is>
      </c>
      <c r="E11616" t="inlineStr">
        <is>
          <t>SUPPORT 1 IP30 REGLABLE H=92</t>
        </is>
      </c>
      <c r="F11616" t="inlineStr">
        <is>
          <t>COFFRET BYPASS 400A</t>
        </is>
      </c>
      <c r="J11616" t="inlineStr">
        <is>
          <t>MATRION</t>
        </is>
      </c>
      <c r="L11616">
        <f>_xlfn.XLOOKUP(Tableau1[[#This Row],[TYPE DE PIECE]],Tableau4[MATIERE],Tableau4[SHORT TYPE],"",0,1)</f>
        <v/>
      </c>
      <c r="N11616">
        <f>IF(ISERR(FIND("DECOUPE",Tableau1[[#This Row],[DESIGNATION]])),"","NEED REF")</f>
        <v/>
      </c>
    </row>
    <row r="11617">
      <c r="B11617" t="n">
        <v>34402388</v>
      </c>
      <c r="C11617" s="2" t="n">
        <v>40954</v>
      </c>
      <c r="D11617" t="inlineStr">
        <is>
          <t>SPEC</t>
        </is>
      </c>
      <c r="E11617" t="inlineStr">
        <is>
          <t>RAIL SUPPORT CABLES</t>
        </is>
      </c>
      <c r="F11617" t="inlineStr">
        <is>
          <t>COFFRET BYPASS 400A</t>
        </is>
      </c>
      <c r="J11617" t="inlineStr">
        <is>
          <t>MATRION</t>
        </is>
      </c>
      <c r="L11617">
        <f>_xlfn.XLOOKUP(Tableau1[[#This Row],[TYPE DE PIECE]],Tableau4[MATIERE],Tableau4[SHORT TYPE],"",0,1)</f>
        <v/>
      </c>
      <c r="N11617">
        <f>IF(ISERR(FIND("DECOUPE",Tableau1[[#This Row],[DESIGNATION]])),"","NEED REF")</f>
        <v/>
      </c>
    </row>
    <row r="11618">
      <c r="B11618" t="n">
        <v>34402387</v>
      </c>
      <c r="C11618" s="2" t="n">
        <v>40954</v>
      </c>
      <c r="D11618" t="inlineStr">
        <is>
          <t>SPEC</t>
        </is>
      </c>
      <c r="E11618" t="inlineStr">
        <is>
          <t>CU BARRE PE</t>
        </is>
      </c>
      <c r="F11618" t="inlineStr">
        <is>
          <t>COFFRET BYPASS 400A</t>
        </is>
      </c>
      <c r="J11618" t="inlineStr">
        <is>
          <t>MATRION</t>
        </is>
      </c>
      <c r="L11618">
        <f>_xlfn.XLOOKUP(Tableau1[[#This Row],[TYPE DE PIECE]],Tableau4[MATIERE],Tableau4[SHORT TYPE],"",0,1)</f>
        <v/>
      </c>
      <c r="N11618">
        <f>IF(ISERR(FIND("DECOUPE",Tableau1[[#This Row],[DESIGNATION]])),"","NEED REF")</f>
        <v/>
      </c>
    </row>
    <row r="11619">
      <c r="B11619" t="n">
        <v>34402386</v>
      </c>
      <c r="C11619" s="2" t="n">
        <v>40954</v>
      </c>
      <c r="D11619" t="inlineStr">
        <is>
          <t>SPEC</t>
        </is>
      </c>
      <c r="E11619" t="inlineStr">
        <is>
          <t>CU RONDELLE 5mm</t>
        </is>
      </c>
      <c r="F11619" t="inlineStr">
        <is>
          <t>COFFRET BYPASS 400A</t>
        </is>
      </c>
      <c r="J11619" t="inlineStr">
        <is>
          <t>MATRION</t>
        </is>
      </c>
      <c r="L11619">
        <f>_xlfn.XLOOKUP(Tableau1[[#This Row],[TYPE DE PIECE]],Tableau4[MATIERE],Tableau4[SHORT TYPE],"",0,1)</f>
        <v/>
      </c>
      <c r="N11619">
        <f>IF(ISERR(FIND("DECOUPE",Tableau1[[#This Row],[DESIGNATION]])),"","NEED REF")</f>
        <v/>
      </c>
    </row>
    <row r="11620">
      <c r="B11620" t="n">
        <v>34402385</v>
      </c>
      <c r="C11620" s="2" t="n">
        <v>40954</v>
      </c>
      <c r="D11620" t="inlineStr">
        <is>
          <t>SPEC</t>
        </is>
      </c>
      <c r="E11620" t="inlineStr">
        <is>
          <t>CU AVAL RACC INS400 Q5N N/L1/L2/L3</t>
        </is>
      </c>
      <c r="F11620" t="inlineStr">
        <is>
          <t>COFFRET BYPASS 400A</t>
        </is>
      </c>
      <c r="J11620" t="inlineStr">
        <is>
          <t>MATRION</t>
        </is>
      </c>
      <c r="L11620">
        <f>_xlfn.XLOOKUP(Tableau1[[#This Row],[TYPE DE PIECE]],Tableau4[MATIERE],Tableau4[SHORT TYPE],"",0,1)</f>
        <v/>
      </c>
      <c r="N11620">
        <f>IF(ISERR(FIND("DECOUPE",Tableau1[[#This Row],[DESIGNATION]])),"","NEED REF")</f>
        <v/>
      </c>
    </row>
    <row r="11621">
      <c r="B11621" t="n">
        <v>34402384</v>
      </c>
      <c r="C11621" s="2" t="n">
        <v>40954</v>
      </c>
      <c r="D11621" t="inlineStr">
        <is>
          <t>SPEC</t>
        </is>
      </c>
      <c r="E11621" t="inlineStr">
        <is>
          <t>CU RACC UTIL INS400 L3</t>
        </is>
      </c>
      <c r="F11621" t="inlineStr">
        <is>
          <t>COFFRET BYPASS 400A</t>
        </is>
      </c>
      <c r="J11621" t="inlineStr">
        <is>
          <t>MATRION</t>
        </is>
      </c>
      <c r="L11621">
        <f>_xlfn.XLOOKUP(Tableau1[[#This Row],[TYPE DE PIECE]],Tableau4[MATIERE],Tableau4[SHORT TYPE],"",0,1)</f>
        <v/>
      </c>
      <c r="N11621">
        <f>IF(ISERR(FIND("DECOUPE",Tableau1[[#This Row],[DESIGNATION]])),"","NEED REF")</f>
        <v/>
      </c>
    </row>
    <row r="11622">
      <c r="B11622" t="n">
        <v>34402383</v>
      </c>
      <c r="C11622" s="2" t="n">
        <v>40954</v>
      </c>
      <c r="D11622" t="inlineStr">
        <is>
          <t>SPEC</t>
        </is>
      </c>
      <c r="E11622" t="inlineStr">
        <is>
          <t>CU RACC UTIL INS400 L2</t>
        </is>
      </c>
      <c r="F11622" t="inlineStr">
        <is>
          <t>COFFRET BYPASS 400A</t>
        </is>
      </c>
      <c r="J11622" t="inlineStr">
        <is>
          <t>MATRION</t>
        </is>
      </c>
      <c r="L11622">
        <f>_xlfn.XLOOKUP(Tableau1[[#This Row],[TYPE DE PIECE]],Tableau4[MATIERE],Tableau4[SHORT TYPE],"",0,1)</f>
        <v/>
      </c>
      <c r="N11622">
        <f>IF(ISERR(FIND("DECOUPE",Tableau1[[#This Row],[DESIGNATION]])),"","NEED REF")</f>
        <v/>
      </c>
    </row>
    <row r="11623">
      <c r="B11623" t="n">
        <v>34402382</v>
      </c>
      <c r="C11623" s="2" t="n">
        <v>40954</v>
      </c>
      <c r="D11623" t="inlineStr">
        <is>
          <t>SPEC</t>
        </is>
      </c>
      <c r="E11623" t="inlineStr">
        <is>
          <t>CU RACC UTIL INS400 L1</t>
        </is>
      </c>
      <c r="F11623" t="inlineStr">
        <is>
          <t>COFFRET BYPASS 400A</t>
        </is>
      </c>
      <c r="J11623" t="inlineStr">
        <is>
          <t>MATRION</t>
        </is>
      </c>
      <c r="L11623">
        <f>_xlfn.XLOOKUP(Tableau1[[#This Row],[TYPE DE PIECE]],Tableau4[MATIERE],Tableau4[SHORT TYPE],"",0,1)</f>
        <v/>
      </c>
      <c r="N11623">
        <f>IF(ISERR(FIND("DECOUPE",Tableau1[[#This Row],[DESIGNATION]])),"","NEED REF")</f>
        <v/>
      </c>
    </row>
    <row r="11624">
      <c r="B11624" t="n">
        <v>34402381</v>
      </c>
      <c r="C11624" s="2" t="n">
        <v>40954</v>
      </c>
      <c r="D11624" t="inlineStr">
        <is>
          <t>SPEC</t>
        </is>
      </c>
      <c r="E11624" t="inlineStr">
        <is>
          <t>CU RACC UTIL INS400 N</t>
        </is>
      </c>
      <c r="F11624" t="inlineStr">
        <is>
          <t>COFFRET BYPASS 400A</t>
        </is>
      </c>
      <c r="J11624" t="inlineStr">
        <is>
          <t>MATRION</t>
        </is>
      </c>
      <c r="L11624">
        <f>_xlfn.XLOOKUP(Tableau1[[#This Row],[TYPE DE PIECE]],Tableau4[MATIERE],Tableau4[SHORT TYPE],"",0,1)</f>
        <v/>
      </c>
      <c r="N11624">
        <f>IF(ISERR(FIND("DECOUPE",Tableau1[[#This Row],[DESIGNATION]])),"","NEED REF")</f>
        <v/>
      </c>
    </row>
    <row r="11625">
      <c r="B11625" t="n">
        <v>34402380</v>
      </c>
      <c r="C11625" s="2" t="n">
        <v>40954</v>
      </c>
      <c r="D11625" t="inlineStr">
        <is>
          <t>SPEC</t>
        </is>
      </c>
      <c r="E11625" t="inlineStr">
        <is>
          <t>CU RACC R2 INS400 L3</t>
        </is>
      </c>
      <c r="F11625" t="inlineStr">
        <is>
          <t>COFFRET BYPASS 400A</t>
        </is>
      </c>
      <c r="J11625" t="inlineStr">
        <is>
          <t>MATRION</t>
        </is>
      </c>
      <c r="L11625">
        <f>_xlfn.XLOOKUP(Tableau1[[#This Row],[TYPE DE PIECE]],Tableau4[MATIERE],Tableau4[SHORT TYPE],"",0,1)</f>
        <v/>
      </c>
      <c r="N11625">
        <f>IF(ISERR(FIND("DECOUPE",Tableau1[[#This Row],[DESIGNATION]])),"","NEED REF")</f>
        <v/>
      </c>
    </row>
    <row r="11626">
      <c r="B11626" t="n">
        <v>34402379</v>
      </c>
      <c r="C11626" s="2" t="n">
        <v>40954</v>
      </c>
      <c r="D11626" t="inlineStr">
        <is>
          <t>SPEC</t>
        </is>
      </c>
      <c r="E11626" t="inlineStr">
        <is>
          <t>CU RACC R2 INS400 L2</t>
        </is>
      </c>
      <c r="F11626" t="inlineStr">
        <is>
          <t>COFFRET BYPASS 400A</t>
        </is>
      </c>
      <c r="J11626" t="inlineStr">
        <is>
          <t>MATRION</t>
        </is>
      </c>
      <c r="L11626">
        <f>_xlfn.XLOOKUP(Tableau1[[#This Row],[TYPE DE PIECE]],Tableau4[MATIERE],Tableau4[SHORT TYPE],"",0,1)</f>
        <v/>
      </c>
      <c r="N11626">
        <f>IF(ISERR(FIND("DECOUPE",Tableau1[[#This Row],[DESIGNATION]])),"","NEED REF")</f>
        <v/>
      </c>
    </row>
    <row r="11627">
      <c r="B11627" t="n">
        <v>34402378</v>
      </c>
      <c r="C11627" s="2" t="n">
        <v>40954</v>
      </c>
      <c r="D11627" t="inlineStr">
        <is>
          <t>SPEC</t>
        </is>
      </c>
      <c r="E11627" t="inlineStr">
        <is>
          <t>CU RACC R2 INS400 L1</t>
        </is>
      </c>
      <c r="F11627" t="inlineStr">
        <is>
          <t>COFFRET BYPASS 400A</t>
        </is>
      </c>
      <c r="J11627" t="inlineStr">
        <is>
          <t>MATRION</t>
        </is>
      </c>
      <c r="L11627">
        <f>_xlfn.XLOOKUP(Tableau1[[#This Row],[TYPE DE PIECE]],Tableau4[MATIERE],Tableau4[SHORT TYPE],"",0,1)</f>
        <v/>
      </c>
      <c r="N11627">
        <f>IF(ISERR(FIND("DECOUPE",Tableau1[[#This Row],[DESIGNATION]])),"","NEED REF")</f>
        <v/>
      </c>
    </row>
    <row r="11628">
      <c r="B11628" t="n">
        <v>34402377</v>
      </c>
      <c r="C11628" s="2" t="n">
        <v>40954</v>
      </c>
      <c r="D11628" t="inlineStr">
        <is>
          <t>SPEC</t>
        </is>
      </c>
      <c r="E11628" t="inlineStr">
        <is>
          <t>CU RACC R2 INS400 N</t>
        </is>
      </c>
      <c r="F11628" t="inlineStr">
        <is>
          <t>COFFRET BYPASS 400A</t>
        </is>
      </c>
      <c r="J11628" t="inlineStr">
        <is>
          <t>MATRION</t>
        </is>
      </c>
      <c r="L11628">
        <f>_xlfn.XLOOKUP(Tableau1[[#This Row],[TYPE DE PIECE]],Tableau4[MATIERE],Tableau4[SHORT TYPE],"",0,1)</f>
        <v/>
      </c>
      <c r="N11628">
        <f>IF(ISERR(FIND("DECOUPE",Tableau1[[#This Row],[DESIGNATION]])),"","NEED REF")</f>
        <v/>
      </c>
    </row>
    <row r="11629">
      <c r="B11629" t="n">
        <v>34402376</v>
      </c>
      <c r="C11629" s="2" t="n">
        <v>40954</v>
      </c>
      <c r="D11629" t="inlineStr">
        <is>
          <t>SPEC</t>
        </is>
      </c>
      <c r="E11629" t="inlineStr">
        <is>
          <t>CU AMONT INS400 Q3BP L3</t>
        </is>
      </c>
      <c r="F11629" t="inlineStr">
        <is>
          <t>COFFRET BYPASS 400A</t>
        </is>
      </c>
      <c r="J11629" t="inlineStr">
        <is>
          <t>MATRION</t>
        </is>
      </c>
      <c r="L11629">
        <f>_xlfn.XLOOKUP(Tableau1[[#This Row],[TYPE DE PIECE]],Tableau4[MATIERE],Tableau4[SHORT TYPE],"",0,1)</f>
        <v/>
      </c>
      <c r="N11629">
        <f>IF(ISERR(FIND("DECOUPE",Tableau1[[#This Row],[DESIGNATION]])),"","NEED REF")</f>
        <v/>
      </c>
    </row>
    <row r="11630">
      <c r="B11630" t="n">
        <v>34402375</v>
      </c>
      <c r="C11630" s="2" t="n">
        <v>40954</v>
      </c>
      <c r="D11630" t="inlineStr">
        <is>
          <t>SPEC</t>
        </is>
      </c>
      <c r="E11630" t="inlineStr">
        <is>
          <t>CU AMONT INS400 Q3BP L2</t>
        </is>
      </c>
      <c r="F11630" t="inlineStr">
        <is>
          <t>COFFRET BYPASS 400A</t>
        </is>
      </c>
      <c r="J11630" t="inlineStr">
        <is>
          <t>MATRION</t>
        </is>
      </c>
      <c r="L11630">
        <f>_xlfn.XLOOKUP(Tableau1[[#This Row],[TYPE DE PIECE]],Tableau4[MATIERE],Tableau4[SHORT TYPE],"",0,1)</f>
        <v/>
      </c>
      <c r="N11630">
        <f>IF(ISERR(FIND("DECOUPE",Tableau1[[#This Row],[DESIGNATION]])),"","NEED REF")</f>
        <v/>
      </c>
    </row>
    <row r="11631">
      <c r="B11631" t="n">
        <v>34402374</v>
      </c>
      <c r="C11631" s="2" t="n">
        <v>40954</v>
      </c>
      <c r="D11631" t="inlineStr">
        <is>
          <t>SPEC</t>
        </is>
      </c>
      <c r="E11631" t="inlineStr">
        <is>
          <t>CU AMONT INS400 Q3BP L1</t>
        </is>
      </c>
      <c r="F11631" t="inlineStr">
        <is>
          <t>COFFRET BYPASS 400A</t>
        </is>
      </c>
      <c r="J11631" t="inlineStr">
        <is>
          <t>MATRION</t>
        </is>
      </c>
      <c r="L11631">
        <f>_xlfn.XLOOKUP(Tableau1[[#This Row],[TYPE DE PIECE]],Tableau4[MATIERE],Tableau4[SHORT TYPE],"",0,1)</f>
        <v/>
      </c>
      <c r="N11631">
        <f>IF(ISERR(FIND("DECOUPE",Tableau1[[#This Row],[DESIGNATION]])),"","NEED REF")</f>
        <v/>
      </c>
    </row>
    <row r="11632">
      <c r="B11632" t="n">
        <v>34402373</v>
      </c>
      <c r="C11632" s="2" t="n">
        <v>40954</v>
      </c>
      <c r="D11632" t="inlineStr">
        <is>
          <t>SPEC</t>
        </is>
      </c>
      <c r="E11632" t="inlineStr">
        <is>
          <t>CU AMONT INS400 Q3BP N</t>
        </is>
      </c>
      <c r="F11632" t="inlineStr">
        <is>
          <t>COFFRET BYPASS 400A</t>
        </is>
      </c>
      <c r="J11632" t="inlineStr">
        <is>
          <t>MATRION</t>
        </is>
      </c>
      <c r="L11632">
        <f>_xlfn.XLOOKUP(Tableau1[[#This Row],[TYPE DE PIECE]],Tableau4[MATIERE],Tableau4[SHORT TYPE],"",0,1)</f>
        <v/>
      </c>
      <c r="N11632">
        <f>IF(ISERR(FIND("DECOUPE",Tableau1[[#This Row],[DESIGNATION]])),"","NEED REF")</f>
        <v/>
      </c>
    </row>
    <row r="11633">
      <c r="B11633" t="n">
        <v>34402372</v>
      </c>
      <c r="C11633" s="2" t="n">
        <v>40954</v>
      </c>
      <c r="D11633" t="inlineStr">
        <is>
          <t>SPEC</t>
        </is>
      </c>
      <c r="E11633" t="inlineStr">
        <is>
          <t>CU LIAISON INS400 Q3BP/Q5N L3</t>
        </is>
      </c>
      <c r="F11633" t="inlineStr">
        <is>
          <t>COFFRET BYPASS 400A</t>
        </is>
      </c>
      <c r="J11633" t="inlineStr">
        <is>
          <t>MATRION</t>
        </is>
      </c>
      <c r="L11633">
        <f>_xlfn.XLOOKUP(Tableau1[[#This Row],[TYPE DE PIECE]],Tableau4[MATIERE],Tableau4[SHORT TYPE],"",0,1)</f>
        <v/>
      </c>
      <c r="N11633">
        <f>IF(ISERR(FIND("DECOUPE",Tableau1[[#This Row],[DESIGNATION]])),"","NEED REF")</f>
        <v/>
      </c>
    </row>
    <row r="11634">
      <c r="B11634" t="n">
        <v>34402371</v>
      </c>
      <c r="C11634" s="2" t="n">
        <v>40954</v>
      </c>
      <c r="D11634" t="inlineStr">
        <is>
          <t>SPEC</t>
        </is>
      </c>
      <c r="E11634" t="inlineStr">
        <is>
          <t>CU LIAISON INS400 Q3BP/Q5N L2</t>
        </is>
      </c>
      <c r="F11634" t="inlineStr">
        <is>
          <t>COFFRET BYPASS 400A</t>
        </is>
      </c>
      <c r="J11634" t="inlineStr">
        <is>
          <t>MATRION</t>
        </is>
      </c>
      <c r="L11634">
        <f>_xlfn.XLOOKUP(Tableau1[[#This Row],[TYPE DE PIECE]],Tableau4[MATIERE],Tableau4[SHORT TYPE],"",0,1)</f>
        <v/>
      </c>
      <c r="N11634">
        <f>IF(ISERR(FIND("DECOUPE",Tableau1[[#This Row],[DESIGNATION]])),"","NEED REF")</f>
        <v/>
      </c>
    </row>
    <row r="11635">
      <c r="B11635" t="n">
        <v>34402370</v>
      </c>
      <c r="C11635" s="2" t="n">
        <v>40954</v>
      </c>
      <c r="D11635" t="inlineStr">
        <is>
          <t>SPEC</t>
        </is>
      </c>
      <c r="E11635" t="inlineStr">
        <is>
          <t>CU LIAISON INS400 Q3BP/Q5N L1</t>
        </is>
      </c>
      <c r="F11635" t="inlineStr">
        <is>
          <t>COFFRET BYPASS 400A</t>
        </is>
      </c>
      <c r="J11635" t="inlineStr">
        <is>
          <t>MATRION</t>
        </is>
      </c>
      <c r="L11635">
        <f>_xlfn.XLOOKUP(Tableau1[[#This Row],[TYPE DE PIECE]],Tableau4[MATIERE],Tableau4[SHORT TYPE],"",0,1)</f>
        <v/>
      </c>
      <c r="N11635">
        <f>IF(ISERR(FIND("DECOUPE",Tableau1[[#This Row],[DESIGNATION]])),"","NEED REF")</f>
        <v/>
      </c>
    </row>
    <row r="11636">
      <c r="B11636" t="n">
        <v>34402369</v>
      </c>
      <c r="C11636" s="2" t="n">
        <v>40954</v>
      </c>
      <c r="D11636" t="inlineStr">
        <is>
          <t>SPEC</t>
        </is>
      </c>
      <c r="E11636" t="inlineStr">
        <is>
          <t>CU LIAISON INS400 Q3BP/Q5N N</t>
        </is>
      </c>
      <c r="F11636" t="inlineStr">
        <is>
          <t>COFFRET BYPASS 400A</t>
        </is>
      </c>
      <c r="J11636" t="inlineStr">
        <is>
          <t>MATRION</t>
        </is>
      </c>
      <c r="L11636">
        <f>_xlfn.XLOOKUP(Tableau1[[#This Row],[TYPE DE PIECE]],Tableau4[MATIERE],Tableau4[SHORT TYPE],"",0,1)</f>
        <v/>
      </c>
      <c r="N11636">
        <f>IF(ISERR(FIND("DECOUPE",Tableau1[[#This Row],[DESIGNATION]])),"","NEED REF")</f>
        <v/>
      </c>
    </row>
    <row r="11637">
      <c r="B11637" t="n">
        <v>34402368</v>
      </c>
      <c r="C11637" s="2" t="n">
        <v>40954</v>
      </c>
      <c r="D11637" t="inlineStr">
        <is>
          <t>SPEC</t>
        </is>
      </c>
      <c r="E11637" t="inlineStr">
        <is>
          <t>PLATINE INS400 + INSERT COFFRET BYPASS 400A 800x1000</t>
        </is>
      </c>
      <c r="F11637" t="inlineStr">
        <is>
          <t>COFFRET BYPASS 400A</t>
        </is>
      </c>
      <c r="J11637" t="inlineStr">
        <is>
          <t>MATRION</t>
        </is>
      </c>
      <c r="L11637">
        <f>_xlfn.XLOOKUP(Tableau1[[#This Row],[TYPE DE PIECE]],Tableau4[MATIERE],Tableau4[SHORT TYPE],"",0,1)</f>
        <v/>
      </c>
      <c r="N11637">
        <f>IF(ISERR(FIND("DECOUPE",Tableau1[[#This Row],[DESIGNATION]])),"","NEED REF")</f>
        <v/>
      </c>
    </row>
    <row r="11638">
      <c r="B11638" t="n">
        <v>34402367</v>
      </c>
      <c r="C11638" s="2" t="n">
        <v>40954</v>
      </c>
      <c r="D11638" t="inlineStr">
        <is>
          <t>SPEC</t>
        </is>
      </c>
      <c r="E11638" t="inlineStr">
        <is>
          <t>PLATINE INS400 COFFRET BYPASS 400A 800x1000</t>
        </is>
      </c>
      <c r="F11638" t="inlineStr">
        <is>
          <t>COFFRET BYPASS 400A</t>
        </is>
      </c>
      <c r="J11638" t="inlineStr">
        <is>
          <t>MATRION</t>
        </is>
      </c>
      <c r="L11638">
        <f>_xlfn.XLOOKUP(Tableau1[[#This Row],[TYPE DE PIECE]],Tableau4[MATIERE],Tableau4[SHORT TYPE],"",0,1)</f>
        <v/>
      </c>
      <c r="N11638">
        <f>IF(ISERR(FIND("DECOUPE",Tableau1[[#This Row],[DESIGNATION]])),"","NEED REF")</f>
        <v/>
      </c>
    </row>
    <row r="11639">
      <c r="B11639" t="n">
        <v>34402366</v>
      </c>
      <c r="C11639" s="2" t="n">
        <v>40954</v>
      </c>
      <c r="D11639" t="inlineStr">
        <is>
          <t>SPEC</t>
        </is>
      </c>
      <c r="E11639" t="inlineStr">
        <is>
          <t>PLATINE COFFRET BYPASS 400A 800x1000</t>
        </is>
      </c>
      <c r="F11639" t="inlineStr">
        <is>
          <t>COFFRET BYPASS 400A</t>
        </is>
      </c>
      <c r="J11639" t="inlineStr">
        <is>
          <t>MATRION</t>
        </is>
      </c>
      <c r="L11639">
        <f>_xlfn.XLOOKUP(Tableau1[[#This Row],[TYPE DE PIECE]],Tableau4[MATIERE],Tableau4[SHORT TYPE],"",0,1)</f>
        <v/>
      </c>
      <c r="N11639">
        <f>IF(ISERR(FIND("DECOUPE",Tableau1[[#This Row],[DESIGNATION]])),"","NEED REF")</f>
        <v/>
      </c>
    </row>
    <row r="11640">
      <c r="B11640" t="n">
        <v>34402365</v>
      </c>
      <c r="C11640" s="2" t="n">
        <v>40954</v>
      </c>
      <c r="D11640" t="inlineStr">
        <is>
          <t>NOM</t>
        </is>
      </c>
      <c r="E11640" t="inlineStr">
        <is>
          <t>LG COFFRET BYPASS 2xINS 400A 800x1000x250</t>
        </is>
      </c>
      <c r="F11640" t="inlineStr">
        <is>
          <t>COFFRET BYPASS 400A</t>
        </is>
      </c>
      <c r="J11640" t="inlineStr">
        <is>
          <t>MATRION</t>
        </is>
      </c>
      <c r="L11640">
        <f>_xlfn.XLOOKUP(Tableau1[[#This Row],[TYPE DE PIECE]],Tableau4[MATIERE],Tableau4[SHORT TYPE],"",0,1)</f>
        <v/>
      </c>
      <c r="N11640">
        <f>IF(ISERR(FIND("DECOUPE",Tableau1[[#This Row],[DESIGNATION]])),"","NEED REF")</f>
        <v/>
      </c>
    </row>
    <row r="11641">
      <c r="B11641" t="n">
        <v>34402364</v>
      </c>
      <c r="C11641" s="2" t="n">
        <v>40799</v>
      </c>
      <c r="D11641" t="inlineStr">
        <is>
          <t>SPEC</t>
        </is>
      </c>
      <c r="E11641" t="inlineStr">
        <is>
          <t>ENTRETOISE PIED 140mm GALAXY</t>
        </is>
      </c>
      <c r="F11641" t="inlineStr">
        <is>
          <t>G6000</t>
        </is>
      </c>
      <c r="J11641" t="inlineStr">
        <is>
          <t>MATRION</t>
        </is>
      </c>
      <c r="L11641">
        <f>_xlfn.XLOOKUP(Tableau1[[#This Row],[TYPE DE PIECE]],Tableau4[MATIERE],Tableau4[SHORT TYPE],"",0,1)</f>
        <v/>
      </c>
      <c r="N11641">
        <f>IF(ISERR(FIND("DECOUPE",Tableau1[[#This Row],[DESIGNATION]])),"","NEED REF")</f>
        <v/>
      </c>
    </row>
    <row r="11642">
      <c r="B11642" t="n">
        <v>34402363</v>
      </c>
      <c r="C11642" s="2" t="n">
        <v>40795</v>
      </c>
      <c r="D11642" t="inlineStr">
        <is>
          <t>NOM</t>
        </is>
      </c>
      <c r="E11642" t="inlineStr">
        <is>
          <t>LG CELLULE INTER NS2000 G6K</t>
        </is>
      </c>
      <c r="F11642" t="inlineStr">
        <is>
          <t>G6000</t>
        </is>
      </c>
      <c r="J11642" t="inlineStr">
        <is>
          <t>REVEL</t>
        </is>
      </c>
      <c r="L11642">
        <f>_xlfn.XLOOKUP(Tableau1[[#This Row],[TYPE DE PIECE]],Tableau4[MATIERE],Tableau4[SHORT TYPE],"",0,1)</f>
        <v/>
      </c>
      <c r="N11642">
        <f>IF(ISERR(FIND("DECOUPE",Tableau1[[#This Row],[DESIGNATION]])),"","NEED REF")</f>
        <v/>
      </c>
    </row>
    <row r="11643">
      <c r="B11643" t="n">
        <v>34402362</v>
      </c>
      <c r="C11643" s="2" t="n">
        <v>40786</v>
      </c>
      <c r="D11643" t="inlineStr">
        <is>
          <t>NOM</t>
        </is>
      </c>
      <c r="E11643" t="inlineStr">
        <is>
          <t>LG BY-PASS 360kVA INTER MOTORISE GALAXY 5000</t>
        </is>
      </c>
      <c r="F11643" t="inlineStr">
        <is>
          <t>GALAXY 5000 L=712</t>
        </is>
      </c>
      <c r="L11643">
        <f>_xlfn.XLOOKUP(Tableau1[[#This Row],[TYPE DE PIECE]],Tableau4[MATIERE],Tableau4[SHORT TYPE],"",0,1)</f>
        <v/>
      </c>
      <c r="N11643">
        <f>IF(ISERR(FIND("DECOUPE",Tableau1[[#This Row],[DESIGNATION]])),"","NEED REF")</f>
        <v/>
      </c>
    </row>
    <row r="11644">
      <c r="B11644" t="n">
        <v>34402361</v>
      </c>
      <c r="C11644" s="2" t="n">
        <v>40784</v>
      </c>
      <c r="D11644" t="inlineStr">
        <is>
          <t>SPEC</t>
        </is>
      </c>
      <c r="E11644" t="inlineStr">
        <is>
          <t>CANEVAS CDE NW32NA Q50 3000A POUR G7K NS2000 LIGHT</t>
        </is>
      </c>
      <c r="F11644" t="inlineStr">
        <is>
          <t>G5000</t>
        </is>
      </c>
      <c r="J11644" t="inlineStr">
        <is>
          <t>MATRION</t>
        </is>
      </c>
      <c r="L11644">
        <f>_xlfn.XLOOKUP(Tableau1[[#This Row],[TYPE DE PIECE]],Tableau4[MATIERE],Tableau4[SHORT TYPE],"",0,1)</f>
        <v/>
      </c>
      <c r="N11644">
        <f>IF(ISERR(FIND("DECOUPE",Tableau1[[#This Row],[DESIGNATION]])),"","NEED REF")</f>
        <v/>
      </c>
    </row>
    <row r="11645">
      <c r="B11645" t="n">
        <v>34402360</v>
      </c>
      <c r="C11645" s="2" t="n">
        <v>40777</v>
      </c>
      <c r="D11645" t="inlineStr">
        <is>
          <t>NOM+SPEC</t>
        </is>
      </c>
      <c r="E11645" t="inlineStr">
        <is>
          <t>LG disjoncteur batterie</t>
        </is>
      </c>
      <c r="F11645" t="inlineStr">
        <is>
          <t>G300</t>
        </is>
      </c>
      <c r="J11645" t="inlineStr">
        <is>
          <t>ROBERT</t>
        </is>
      </c>
      <c r="L11645">
        <f>_xlfn.XLOOKUP(Tableau1[[#This Row],[TYPE DE PIECE]],Tableau4[MATIERE],Tableau4[SHORT TYPE],"",0,1)</f>
        <v/>
      </c>
      <c r="N11645">
        <f>IF(ISERR(FIND("DECOUPE",Tableau1[[#This Row],[DESIGNATION]])),"","NEED REF")</f>
        <v/>
      </c>
    </row>
    <row r="11646">
      <c r="B11646" t="n">
        <v>34402359</v>
      </c>
      <c r="C11646" s="2" t="n">
        <v>40772</v>
      </c>
      <c r="D11646" t="inlineStr">
        <is>
          <t>SPEC</t>
        </is>
      </c>
      <c r="E11646" t="inlineStr">
        <is>
          <t>SILENTBLOC PLATE L=1030</t>
        </is>
      </c>
      <c r="F11646" t="inlineStr">
        <is>
          <t>G5000</t>
        </is>
      </c>
      <c r="J11646" t="inlineStr">
        <is>
          <t>DUBOIS</t>
        </is>
      </c>
      <c r="L11646">
        <f>_xlfn.XLOOKUP(Tableau1[[#This Row],[TYPE DE PIECE]],Tableau4[MATIERE],Tableau4[SHORT TYPE],"",0,1)</f>
        <v/>
      </c>
      <c r="N11646">
        <f>IF(ISERR(FIND("DECOUPE",Tableau1[[#This Row],[DESIGNATION]])),"","NEED REF")</f>
        <v/>
      </c>
    </row>
    <row r="11647">
      <c r="B11647" t="n">
        <v>34402358</v>
      </c>
      <c r="C11647" s="2" t="n">
        <v>40772</v>
      </c>
      <c r="D11647" t="inlineStr">
        <is>
          <t>SPEC</t>
        </is>
      </c>
      <c r="E11647" t="inlineStr">
        <is>
          <t>SILENTBLOC PLATE SPACER L=1030</t>
        </is>
      </c>
      <c r="F11647" t="inlineStr">
        <is>
          <t>G5000</t>
        </is>
      </c>
      <c r="J11647" t="inlineStr">
        <is>
          <t>DUBOIS</t>
        </is>
      </c>
      <c r="L11647">
        <f>_xlfn.XLOOKUP(Tableau1[[#This Row],[TYPE DE PIECE]],Tableau4[MATIERE],Tableau4[SHORT TYPE],"",0,1)</f>
        <v/>
      </c>
      <c r="N11647">
        <f>IF(ISERR(FIND("DECOUPE",Tableau1[[#This Row],[DESIGNATION]])),"","NEED REF")</f>
        <v/>
      </c>
    </row>
    <row r="11648">
      <c r="B11648" t="n">
        <v>34402357</v>
      </c>
      <c r="C11648" s="2" t="n">
        <v>40772</v>
      </c>
      <c r="D11648" t="inlineStr">
        <is>
          <t>SPEC</t>
        </is>
      </c>
      <c r="E11648" t="inlineStr">
        <is>
          <t>SILENTBLOC PLATE NAKED L=1030</t>
        </is>
      </c>
      <c r="F11648" t="inlineStr">
        <is>
          <t>G5000</t>
        </is>
      </c>
      <c r="J11648" t="inlineStr">
        <is>
          <t>DUBOIS</t>
        </is>
      </c>
      <c r="L11648">
        <f>_xlfn.XLOOKUP(Tableau1[[#This Row],[TYPE DE PIECE]],Tableau4[MATIERE],Tableau4[SHORT TYPE],"",0,1)</f>
        <v/>
      </c>
      <c r="N11648">
        <f>IF(ISERR(FIND("DECOUPE",Tableau1[[#This Row],[DESIGNATION]])),"","NEED REF")</f>
        <v/>
      </c>
    </row>
    <row r="11649">
      <c r="B11649" t="n">
        <v>34402356</v>
      </c>
      <c r="C11649" s="2" t="n">
        <v>40765</v>
      </c>
      <c r="D11649" t="inlineStr">
        <is>
          <t>SPEC</t>
        </is>
      </c>
      <c r="E11649" t="inlineStr">
        <is>
          <t>TOIT TGAB SIEMENS LX.04..-FA L=600</t>
        </is>
      </c>
      <c r="F11649" t="inlineStr">
        <is>
          <t>G6000</t>
        </is>
      </c>
      <c r="J11649" t="inlineStr">
        <is>
          <t>MATRION</t>
        </is>
      </c>
      <c r="L11649">
        <f>_xlfn.XLOOKUP(Tableau1[[#This Row],[TYPE DE PIECE]],Tableau4[MATIERE],Tableau4[SHORT TYPE],"",0,1)</f>
        <v/>
      </c>
      <c r="N11649">
        <f>IF(ISERR(FIND("DECOUPE",Tableau1[[#This Row],[DESIGNATION]])),"","NEED REF")</f>
        <v/>
      </c>
    </row>
    <row r="11650">
      <c r="B11650" t="n">
        <v>34402355</v>
      </c>
      <c r="C11650" s="2" t="n">
        <v>40765</v>
      </c>
      <c r="D11650" t="inlineStr">
        <is>
          <t>SPEC</t>
        </is>
      </c>
      <c r="E11650" t="inlineStr">
        <is>
          <t>TOIT TGAB SIEMENS LX.04..-FA L=1200</t>
        </is>
      </c>
      <c r="F11650" t="inlineStr">
        <is>
          <t>G6000</t>
        </is>
      </c>
      <c r="J11650" t="inlineStr">
        <is>
          <t>MATRION</t>
        </is>
      </c>
      <c r="L11650">
        <f>_xlfn.XLOOKUP(Tableau1[[#This Row],[TYPE DE PIECE]],Tableau4[MATIERE],Tableau4[SHORT TYPE],"",0,1)</f>
        <v/>
      </c>
      <c r="N11650">
        <f>IF(ISERR(FIND("DECOUPE",Tableau1[[#This Row],[DESIGNATION]])),"","NEED REF")</f>
        <v/>
      </c>
    </row>
    <row r="11651">
      <c r="B11651" t="n">
        <v>34402354</v>
      </c>
      <c r="C11651" s="2" t="n">
        <v>40765</v>
      </c>
      <c r="D11651" t="inlineStr">
        <is>
          <t>NOM</t>
        </is>
      </c>
      <c r="E11651" t="inlineStr">
        <is>
          <t>Bandeau AV/AR L=600 H=200</t>
        </is>
      </c>
      <c r="F11651" t="inlineStr">
        <is>
          <t>G6000</t>
        </is>
      </c>
      <c r="J11651" t="inlineStr">
        <is>
          <t>MATRION</t>
        </is>
      </c>
      <c r="L11651">
        <f>_xlfn.XLOOKUP(Tableau1[[#This Row],[TYPE DE PIECE]],Tableau4[MATIERE],Tableau4[SHORT TYPE],"",0,1)</f>
        <v/>
      </c>
      <c r="N11651">
        <f>IF(ISERR(FIND("DECOUPE",Tableau1[[#This Row],[DESIGNATION]])),"","NEED REF")</f>
        <v/>
      </c>
    </row>
    <row r="11652">
      <c r="B11652" t="n">
        <v>34402353</v>
      </c>
      <c r="C11652" s="2" t="n">
        <v>40765</v>
      </c>
      <c r="D11652" t="inlineStr">
        <is>
          <t>NOM</t>
        </is>
      </c>
      <c r="E11652" t="inlineStr">
        <is>
          <t>LG NAME PORTS NS 2000ARM CONTACTOR</t>
        </is>
      </c>
      <c r="F11652" t="inlineStr">
        <is>
          <t>G6000</t>
        </is>
      </c>
      <c r="J11652" t="inlineStr">
        <is>
          <t>MATRION</t>
        </is>
      </c>
      <c r="L11652">
        <f>_xlfn.XLOOKUP(Tableau1[[#This Row],[TYPE DE PIECE]],Tableau4[MATIERE],Tableau4[SHORT TYPE],"",0,1)</f>
        <v/>
      </c>
      <c r="N11652">
        <f>IF(ISERR(FIND("DECOUPE",Tableau1[[#This Row],[DESIGNATION]])),"","NEED REF")</f>
        <v/>
      </c>
    </row>
    <row r="11653">
      <c r="B11653" t="n">
        <v>34402352</v>
      </c>
      <c r="C11653" s="2" t="n">
        <v>40765</v>
      </c>
      <c r="D11653" t="inlineStr">
        <is>
          <t>NOM</t>
        </is>
      </c>
      <c r="E11653" t="inlineStr">
        <is>
          <t>LG NAME PANEL TO THE CARDS</t>
        </is>
      </c>
      <c r="F11653" t="inlineStr">
        <is>
          <t>G6000</t>
        </is>
      </c>
      <c r="J11653" t="inlineStr">
        <is>
          <t>MATRION</t>
        </is>
      </c>
      <c r="L11653">
        <f>_xlfn.XLOOKUP(Tableau1[[#This Row],[TYPE DE PIECE]],Tableau4[MATIERE],Tableau4[SHORT TYPE],"",0,1)</f>
        <v/>
      </c>
      <c r="N11653">
        <f>IF(ISERR(FIND("DECOUPE",Tableau1[[#This Row],[DESIGNATION]])),"","NEED REF")</f>
        <v/>
      </c>
    </row>
    <row r="11654">
      <c r="B11654" t="n">
        <v>34402351</v>
      </c>
      <c r="C11654" s="2" t="n">
        <v>40765</v>
      </c>
      <c r="D11654" t="inlineStr">
        <is>
          <t>NOM</t>
        </is>
      </c>
      <c r="E11654" t="inlineStr">
        <is>
          <t>LG NAME ELECTRONIC CARDS NS2000</t>
        </is>
      </c>
      <c r="F11654" t="inlineStr">
        <is>
          <t>G6000</t>
        </is>
      </c>
      <c r="J11654" t="inlineStr">
        <is>
          <t>MATRION</t>
        </is>
      </c>
      <c r="L11654">
        <f>_xlfn.XLOOKUP(Tableau1[[#This Row],[TYPE DE PIECE]],Tableau4[MATIERE],Tableau4[SHORT TYPE],"",0,1)</f>
        <v/>
      </c>
      <c r="N11654">
        <f>IF(ISERR(FIND("DECOUPE",Tableau1[[#This Row],[DESIGNATION]])),"","NEED REF")</f>
        <v/>
      </c>
    </row>
    <row r="11655">
      <c r="B11655" t="n">
        <v>34402350</v>
      </c>
      <c r="C11655" s="2" t="n">
        <v>40765</v>
      </c>
      <c r="D11655" t="inlineStr">
        <is>
          <t>NOM</t>
        </is>
      </c>
      <c r="E11655" t="inlineStr">
        <is>
          <t>LG SSENS CS UN 400KVA GALAXY REV A3</t>
        </is>
      </c>
      <c r="F11655" t="inlineStr">
        <is>
          <t>G6000</t>
        </is>
      </c>
      <c r="J11655" t="inlineStr">
        <is>
          <t>MATRION</t>
        </is>
      </c>
      <c r="L11655">
        <f>_xlfn.XLOOKUP(Tableau1[[#This Row],[TYPE DE PIECE]],Tableau4[MATIERE],Tableau4[SHORT TYPE],"",0,1)</f>
        <v/>
      </c>
      <c r="N11655">
        <f>IF(ISERR(FIND("DECOUPE",Tableau1[[#This Row],[DESIGNATION]])),"","NEED REF")</f>
        <v/>
      </c>
    </row>
    <row r="11656">
      <c r="B11656" t="n">
        <v>34402349</v>
      </c>
      <c r="C11656" s="2" t="n">
        <v>40765</v>
      </c>
      <c r="D11656" t="inlineStr">
        <is>
          <t>NOM</t>
        </is>
      </c>
      <c r="E11656" t="inlineStr">
        <is>
          <t>LG SSENS BYPASS 400CA AN 400KVA REV AC</t>
        </is>
      </c>
      <c r="F11656" t="inlineStr">
        <is>
          <t>G6000</t>
        </is>
      </c>
      <c r="J11656" t="inlineStr">
        <is>
          <t>MATRION</t>
        </is>
      </c>
      <c r="L11656">
        <f>_xlfn.XLOOKUP(Tableau1[[#This Row],[TYPE DE PIECE]],Tableau4[MATIERE],Tableau4[SHORT TYPE],"",0,1)</f>
        <v/>
      </c>
      <c r="N11656">
        <f>IF(ISERR(FIND("DECOUPE",Tableau1[[#This Row],[DESIGNATION]])),"","NEED REF")</f>
        <v/>
      </c>
    </row>
    <row r="11657">
      <c r="B11657" t="n">
        <v>34402348</v>
      </c>
      <c r="C11657" s="2" t="n">
        <v>40763</v>
      </c>
      <c r="D11657" t="inlineStr">
        <is>
          <t>NOM</t>
        </is>
      </c>
      <c r="E11657" t="inlineStr">
        <is>
          <t>LG CEL CONTACTOR NS2000 GALAXY 6000</t>
        </is>
      </c>
      <c r="F11657" t="inlineStr">
        <is>
          <t>G6000</t>
        </is>
      </c>
      <c r="J11657" t="inlineStr">
        <is>
          <t>MATRION</t>
        </is>
      </c>
      <c r="L11657">
        <f>_xlfn.XLOOKUP(Tableau1[[#This Row],[TYPE DE PIECE]],Tableau4[MATIERE],Tableau4[SHORT TYPE],"",0,1)</f>
        <v/>
      </c>
      <c r="N11657">
        <f>IF(ISERR(FIND("DECOUPE",Tableau1[[#This Row],[DESIGNATION]])),"","NEED REF")</f>
        <v/>
      </c>
    </row>
    <row r="11658">
      <c r="B11658" t="n">
        <v>34402347</v>
      </c>
      <c r="C11658" s="2" t="n">
        <v>40763</v>
      </c>
      <c r="D11658" t="inlineStr">
        <is>
          <t>NOM</t>
        </is>
      </c>
      <c r="E11658" t="inlineStr">
        <is>
          <t>LG CEL NS2000 GALAXY 6000</t>
        </is>
      </c>
      <c r="F11658" t="inlineStr">
        <is>
          <t>G6000</t>
        </is>
      </c>
      <c r="J11658" t="inlineStr">
        <is>
          <t>MATRION</t>
        </is>
      </c>
      <c r="L11658">
        <f>_xlfn.XLOOKUP(Tableau1[[#This Row],[TYPE DE PIECE]],Tableau4[MATIERE],Tableau4[SHORT TYPE],"",0,1)</f>
        <v/>
      </c>
      <c r="N11658">
        <f>IF(ISERR(FIND("DECOUPE",Tableau1[[#This Row],[DESIGNATION]])),"","NEED REF")</f>
        <v/>
      </c>
    </row>
    <row r="11659">
      <c r="B11659" t="n">
        <v>34402346</v>
      </c>
      <c r="C11659" s="2" t="n">
        <v>40758</v>
      </c>
      <c r="D11659" t="inlineStr">
        <is>
          <t>SPEC</t>
        </is>
      </c>
      <c r="E11659" t="inlineStr">
        <is>
          <t>Plastron L=1412 pour NW20DC sans decoupe</t>
        </is>
      </c>
      <c r="F11659" t="inlineStr">
        <is>
          <t xml:space="preserve">G7K </t>
        </is>
      </c>
      <c r="J11659" t="inlineStr">
        <is>
          <t>REVEL</t>
        </is>
      </c>
      <c r="L11659">
        <f>_xlfn.XLOOKUP(Tableau1[[#This Row],[TYPE DE PIECE]],Tableau4[MATIERE],Tableau4[SHORT TYPE],"",0,1)</f>
        <v/>
      </c>
      <c r="N11659">
        <f>IF(ISERR(FIND("DECOUPE",Tableau1[[#This Row],[DESIGNATION]])),"","NEED REF")</f>
        <v/>
      </c>
    </row>
    <row r="11660">
      <c r="B11660" t="n">
        <v>34402345</v>
      </c>
      <c r="C11660" s="2" t="n">
        <v>40758</v>
      </c>
      <c r="D11660" t="inlineStr">
        <is>
          <t>SPEC</t>
        </is>
      </c>
      <c r="E11660" t="inlineStr">
        <is>
          <t xml:space="preserve">Plastron L=1412 pour NW20DC </t>
        </is>
      </c>
      <c r="F11660" t="inlineStr">
        <is>
          <t xml:space="preserve">G7K </t>
        </is>
      </c>
      <c r="J11660" t="inlineStr">
        <is>
          <t>REVEL</t>
        </is>
      </c>
      <c r="L11660">
        <f>_xlfn.XLOOKUP(Tableau1[[#This Row],[TYPE DE PIECE]],Tableau4[MATIERE],Tableau4[SHORT TYPE],"",0,1)</f>
        <v/>
      </c>
      <c r="N11660">
        <f>IF(ISERR(FIND("DECOUPE",Tableau1[[#This Row],[DESIGNATION]])),"","NEED REF")</f>
        <v/>
      </c>
    </row>
    <row r="11661">
      <c r="B11661" t="n">
        <v>34402344</v>
      </c>
      <c r="C11661" s="2" t="n">
        <v>40758</v>
      </c>
      <c r="D11661" t="inlineStr">
        <is>
          <t>NOM</t>
        </is>
      </c>
      <c r="E11661" t="inlineStr">
        <is>
          <t>Armoire couplage batterie pour G7k 500kVA raccordement haut</t>
        </is>
      </c>
      <c r="F11661" t="inlineStr">
        <is>
          <t xml:space="preserve">G7K </t>
        </is>
      </c>
      <c r="J11661" t="inlineStr">
        <is>
          <t>REVEL</t>
        </is>
      </c>
      <c r="L11661">
        <f>_xlfn.XLOOKUP(Tableau1[[#This Row],[TYPE DE PIECE]],Tableau4[MATIERE],Tableau4[SHORT TYPE],"",0,1)</f>
        <v/>
      </c>
      <c r="N11661">
        <f>IF(ISERR(FIND("DECOUPE",Tableau1[[#This Row],[DESIGNATION]])),"","NEED REF")</f>
        <v/>
      </c>
    </row>
    <row r="11662">
      <c r="B11662" t="n">
        <v>34402343</v>
      </c>
      <c r="C11662" s="2" t="n">
        <v>40757</v>
      </c>
      <c r="D11662" t="inlineStr">
        <is>
          <t>CDC</t>
        </is>
      </c>
      <c r="E11662" t="inlineStr">
        <is>
          <t>NS2000kVA 3000A TGAB R2 et UTIL</t>
        </is>
      </c>
      <c r="F11662" t="inlineStr">
        <is>
          <t>G6000</t>
        </is>
      </c>
      <c r="J11662" t="inlineStr">
        <is>
          <t>MATRION</t>
        </is>
      </c>
      <c r="L11662">
        <f>_xlfn.XLOOKUP(Tableau1[[#This Row],[TYPE DE PIECE]],Tableau4[MATIERE],Tableau4[SHORT TYPE],"",0,1)</f>
        <v/>
      </c>
      <c r="N11662">
        <f>IF(ISERR(FIND("DECOUPE",Tableau1[[#This Row],[DESIGNATION]])),"","NEED REF")</f>
        <v/>
      </c>
    </row>
    <row r="11663">
      <c r="B11663" t="n">
        <v>34402342</v>
      </c>
      <c r="C11663" s="2" t="n">
        <v>40736</v>
      </c>
      <c r="D11663" t="inlineStr">
        <is>
          <t>SPEC</t>
        </is>
      </c>
      <c r="E11663" t="inlineStr">
        <is>
          <t>KIT vague pour structure Birdy carte ICOZ G6K</t>
        </is>
      </c>
      <c r="F11663" t="inlineStr">
        <is>
          <t>G6000</t>
        </is>
      </c>
      <c r="J11663" t="inlineStr">
        <is>
          <t>REVEL</t>
        </is>
      </c>
      <c r="L11663">
        <f>_xlfn.XLOOKUP(Tableau1[[#This Row],[TYPE DE PIECE]],Tableau4[MATIERE],Tableau4[SHORT TYPE],"",0,1)</f>
        <v/>
      </c>
      <c r="N11663">
        <f>IF(ISERR(FIND("DECOUPE",Tableau1[[#This Row],[DESIGNATION]])),"","NEED REF")</f>
        <v/>
      </c>
    </row>
    <row r="11664">
      <c r="B11664" t="n">
        <v>34402341</v>
      </c>
      <c r="C11664" s="2" t="n">
        <v>40735</v>
      </c>
      <c r="D11664" t="inlineStr">
        <is>
          <t>SPEC</t>
        </is>
      </c>
      <c r="E11664" t="inlineStr">
        <is>
          <t>Support TI+cales</t>
        </is>
      </c>
      <c r="F11664" t="inlineStr">
        <is>
          <t>G5000</t>
        </is>
      </c>
      <c r="J11664" t="inlineStr">
        <is>
          <t>ROBERT</t>
        </is>
      </c>
      <c r="L11664">
        <f>_xlfn.XLOOKUP(Tableau1[[#This Row],[TYPE DE PIECE]],Tableau4[MATIERE],Tableau4[SHORT TYPE],"",0,1)</f>
        <v/>
      </c>
      <c r="N11664">
        <f>IF(ISERR(FIND("DECOUPE",Tableau1[[#This Row],[DESIGNATION]])),"","NEED REF")</f>
        <v/>
      </c>
    </row>
    <row r="11665">
      <c r="B11665" t="n">
        <v>34402340</v>
      </c>
      <c r="C11665" s="2" t="n">
        <v>40735</v>
      </c>
      <c r="D11665" t="inlineStr">
        <is>
          <t>SPEC</t>
        </is>
      </c>
      <c r="E11665" t="inlineStr">
        <is>
          <t>Barre verticale INS630</t>
        </is>
      </c>
      <c r="F11665" t="inlineStr">
        <is>
          <t>G5000/G7000</t>
        </is>
      </c>
      <c r="J11665" t="inlineStr">
        <is>
          <t>DUBOIS</t>
        </is>
      </c>
      <c r="L11665">
        <f>_xlfn.XLOOKUP(Tableau1[[#This Row],[TYPE DE PIECE]],Tableau4[MATIERE],Tableau4[SHORT TYPE],"",0,1)</f>
        <v/>
      </c>
      <c r="N11665">
        <f>IF(ISERR(FIND("DECOUPE",Tableau1[[#This Row],[DESIGNATION]])),"","NEED REF")</f>
        <v/>
      </c>
    </row>
    <row r="11666">
      <c r="B11666" t="n">
        <v>34402339</v>
      </c>
      <c r="C11666" s="2" t="n">
        <v>40728</v>
      </c>
      <c r="D11666" t="inlineStr">
        <is>
          <t>SPEC</t>
        </is>
      </c>
      <c r="E11666" t="inlineStr">
        <is>
          <t>Lot de limande ARMOIRE synchro</t>
        </is>
      </c>
      <c r="F11666" t="inlineStr">
        <is>
          <t>Cof synchro</t>
        </is>
      </c>
      <c r="J11666" t="inlineStr">
        <is>
          <t>REVEL</t>
        </is>
      </c>
      <c r="L11666">
        <f>_xlfn.XLOOKUP(Tableau1[[#This Row],[TYPE DE PIECE]],Tableau4[MATIERE],Tableau4[SHORT TYPE],"",0,1)</f>
        <v/>
      </c>
      <c r="N11666">
        <f>IF(ISERR(FIND("DECOUPE",Tableau1[[#This Row],[DESIGNATION]])),"","NEED REF")</f>
        <v/>
      </c>
    </row>
    <row r="11667">
      <c r="B11667" t="n">
        <v>34402338</v>
      </c>
      <c r="C11667" s="2" t="n">
        <v>40711</v>
      </c>
      <c r="D11667" t="inlineStr">
        <is>
          <t>SPEC</t>
        </is>
      </c>
      <c r="E11667" t="inlineStr">
        <is>
          <t>Traverse latérale skid H=80</t>
        </is>
      </c>
      <c r="F11667" t="inlineStr">
        <is>
          <t>G5000</t>
        </is>
      </c>
      <c r="J11667" t="inlineStr">
        <is>
          <t>ROBERT</t>
        </is>
      </c>
      <c r="L11667">
        <f>_xlfn.XLOOKUP(Tableau1[[#This Row],[TYPE DE PIECE]],Tableau4[MATIERE],Tableau4[SHORT TYPE],"",0,1)</f>
        <v/>
      </c>
      <c r="N11667">
        <f>IF(ISERR(FIND("DECOUPE",Tableau1[[#This Row],[DESIGNATION]])),"","NEED REF")</f>
        <v/>
      </c>
    </row>
    <row r="11668">
      <c r="B11668" t="n">
        <v>34402337</v>
      </c>
      <c r="C11668" s="2" t="n">
        <v>40711</v>
      </c>
      <c r="D11668" t="inlineStr">
        <is>
          <t>SPEC</t>
        </is>
      </c>
      <c r="E11668" t="inlineStr">
        <is>
          <t>Traverse AV/AR skid 710 H=80</t>
        </is>
      </c>
      <c r="F11668" t="inlineStr">
        <is>
          <t>G5000</t>
        </is>
      </c>
      <c r="J11668" t="inlineStr">
        <is>
          <t>ROBERT</t>
        </is>
      </c>
      <c r="L11668">
        <f>_xlfn.XLOOKUP(Tableau1[[#This Row],[TYPE DE PIECE]],Tableau4[MATIERE],Tableau4[SHORT TYPE],"",0,1)</f>
        <v/>
      </c>
      <c r="N11668">
        <f>IF(ISERR(FIND("DECOUPE",Tableau1[[#This Row],[DESIGNATION]])),"","NEED REF")</f>
        <v/>
      </c>
    </row>
    <row r="11669">
      <c r="B11669" t="n">
        <v>34402336</v>
      </c>
      <c r="C11669" s="2" t="n">
        <v>40711</v>
      </c>
      <c r="D11669" t="inlineStr">
        <is>
          <t>SPEC</t>
        </is>
      </c>
      <c r="E11669" t="inlineStr">
        <is>
          <t>Equerre de levage skid H=80</t>
        </is>
      </c>
      <c r="F11669" t="inlineStr">
        <is>
          <t>G5000</t>
        </is>
      </c>
      <c r="J11669" t="inlineStr">
        <is>
          <t>ROBERT</t>
        </is>
      </c>
      <c r="L11669">
        <f>_xlfn.XLOOKUP(Tableau1[[#This Row],[TYPE DE PIECE]],Tableau4[MATIERE],Tableau4[SHORT TYPE],"",0,1)</f>
        <v/>
      </c>
      <c r="N11669">
        <f>IF(ISERR(FIND("DECOUPE",Tableau1[[#This Row],[DESIGNATION]])),"","NEED REF")</f>
        <v/>
      </c>
    </row>
    <row r="11670">
      <c r="B11670" t="n">
        <v>34402335</v>
      </c>
      <c r="C11670" s="2" t="n">
        <v>40709</v>
      </c>
      <c r="D11670" t="inlineStr">
        <is>
          <t>SPEC</t>
        </is>
      </c>
      <c r="E11670" t="inlineStr">
        <is>
          <t>Cales support TFO</t>
        </is>
      </c>
      <c r="F11670" t="inlineStr">
        <is>
          <t>G6000  400kVA</t>
        </is>
      </c>
      <c r="J11670" t="inlineStr">
        <is>
          <t>ROBERT</t>
        </is>
      </c>
      <c r="L11670">
        <f>_xlfn.XLOOKUP(Tableau1[[#This Row],[TYPE DE PIECE]],Tableau4[MATIERE],Tableau4[SHORT TYPE],"",0,1)</f>
        <v/>
      </c>
      <c r="N11670">
        <f>IF(ISERR(FIND("DECOUPE",Tableau1[[#This Row],[DESIGNATION]])),"","NEED REF")</f>
        <v/>
      </c>
    </row>
    <row r="11671">
      <c r="B11671" t="n">
        <v>34402334</v>
      </c>
      <c r="C11671" s="2" t="n">
        <v>40709</v>
      </c>
      <c r="D11671" t="inlineStr">
        <is>
          <t>SPEC</t>
        </is>
      </c>
      <c r="E11671" t="inlineStr">
        <is>
          <t>Support silentblocs TFO</t>
        </is>
      </c>
      <c r="F11671" t="inlineStr">
        <is>
          <t>G6000  400kVA</t>
        </is>
      </c>
      <c r="J11671" t="inlineStr">
        <is>
          <t>ROBERT</t>
        </is>
      </c>
      <c r="L11671">
        <f>_xlfn.XLOOKUP(Tableau1[[#This Row],[TYPE DE PIECE]],Tableau4[MATIERE],Tableau4[SHORT TYPE],"",0,1)</f>
        <v/>
      </c>
      <c r="N11671">
        <f>IF(ISERR(FIND("DECOUPE",Tableau1[[#This Row],[DESIGNATION]])),"","NEED REF")</f>
        <v/>
      </c>
    </row>
    <row r="11672">
      <c r="B11672" t="n">
        <v>34402333</v>
      </c>
      <c r="C11672" s="2" t="n">
        <v>40702</v>
      </c>
      <c r="D11672" t="inlineStr">
        <is>
          <t>SPEC</t>
        </is>
      </c>
      <c r="E11672" t="inlineStr">
        <is>
          <t>Tole support Vision</t>
        </is>
      </c>
      <c r="F11672" t="inlineStr">
        <is>
          <t>G5000/G7001</t>
        </is>
      </c>
      <c r="J11672" t="inlineStr">
        <is>
          <t>REVEL</t>
        </is>
      </c>
      <c r="L11672">
        <f>_xlfn.XLOOKUP(Tableau1[[#This Row],[TYPE DE PIECE]],Tableau4[MATIERE],Tableau4[SHORT TYPE],"",0,1)</f>
        <v/>
      </c>
      <c r="N11672">
        <f>IF(ISERR(FIND("DECOUPE",Tableau1[[#This Row],[DESIGNATION]])),"","NEED REF")</f>
        <v/>
      </c>
    </row>
    <row r="11673">
      <c r="B11673" t="n">
        <v>34402332</v>
      </c>
      <c r="C11673" s="2" t="n">
        <v>40701</v>
      </c>
      <c r="D11673" t="inlineStr">
        <is>
          <t>SPEC</t>
        </is>
      </c>
      <c r="E11673" t="inlineStr">
        <is>
          <t>Plastron 915x500 avec 2 découpes INS630</t>
        </is>
      </c>
      <c r="F11673" t="inlineStr">
        <is>
          <t>G5000/G7000</t>
        </is>
      </c>
      <c r="J11673" t="inlineStr">
        <is>
          <t>DUBOIS</t>
        </is>
      </c>
      <c r="L11673">
        <f>_xlfn.XLOOKUP(Tableau1[[#This Row],[TYPE DE PIECE]],Tableau4[MATIERE],Tableau4[SHORT TYPE],"",0,1)</f>
        <v/>
      </c>
      <c r="N11673">
        <f>IF(ISERR(FIND("DECOUPE",Tableau1[[#This Row],[DESIGNATION]])),"","NEED REF")</f>
        <v/>
      </c>
    </row>
    <row r="11674">
      <c r="B11674" t="n">
        <v>34402331</v>
      </c>
      <c r="C11674" s="2" t="n">
        <v>40700</v>
      </c>
      <c r="D11674" t="inlineStr">
        <is>
          <t>SPEC</t>
        </is>
      </c>
      <c r="E11674" t="inlineStr">
        <is>
          <t>Barre phase 3 ( raccordement barre 1600 ) INS630</t>
        </is>
      </c>
      <c r="F11674" t="inlineStr">
        <is>
          <t>G5000/G7000</t>
        </is>
      </c>
      <c r="J11674" t="inlineStr">
        <is>
          <t>DUBOIS</t>
        </is>
      </c>
      <c r="L11674">
        <f>_xlfn.XLOOKUP(Tableau1[[#This Row],[TYPE DE PIECE]],Tableau4[MATIERE],Tableau4[SHORT TYPE],"",0,1)</f>
        <v/>
      </c>
      <c r="N11674">
        <f>IF(ISERR(FIND("DECOUPE",Tableau1[[#This Row],[DESIGNATION]])),"","NEED REF")</f>
        <v/>
      </c>
    </row>
    <row r="11675">
      <c r="B11675" t="n">
        <v>34402330</v>
      </c>
      <c r="C11675" s="2" t="n">
        <v>40700</v>
      </c>
      <c r="D11675" t="inlineStr">
        <is>
          <t>SPEC</t>
        </is>
      </c>
      <c r="E11675" t="inlineStr">
        <is>
          <t>Barre phase 2 ( raccordement barre 1600 ) INS630</t>
        </is>
      </c>
      <c r="F11675" t="inlineStr">
        <is>
          <t>G5000/G7000</t>
        </is>
      </c>
      <c r="J11675" t="inlineStr">
        <is>
          <t>DUBOIS</t>
        </is>
      </c>
      <c r="L11675">
        <f>_xlfn.XLOOKUP(Tableau1[[#This Row],[TYPE DE PIECE]],Tableau4[MATIERE],Tableau4[SHORT TYPE],"",0,1)</f>
        <v/>
      </c>
      <c r="N11675">
        <f>IF(ISERR(FIND("DECOUPE",Tableau1[[#This Row],[DESIGNATION]])),"","NEED REF")</f>
        <v/>
      </c>
    </row>
    <row r="11676">
      <c r="B11676" t="n">
        <v>34402329</v>
      </c>
      <c r="C11676" s="2" t="n">
        <v>40700</v>
      </c>
      <c r="D11676" t="inlineStr">
        <is>
          <t>SPEC</t>
        </is>
      </c>
      <c r="E11676" t="inlineStr">
        <is>
          <t>Barre phase 1 ( raccordement barre 1600 ) INS630</t>
        </is>
      </c>
      <c r="F11676" t="inlineStr">
        <is>
          <t>G5000/G7000</t>
        </is>
      </c>
      <c r="J11676" t="inlineStr">
        <is>
          <t>DUBOIS</t>
        </is>
      </c>
      <c r="L11676">
        <f>_xlfn.XLOOKUP(Tableau1[[#This Row],[TYPE DE PIECE]],Tableau4[MATIERE],Tableau4[SHORT TYPE],"",0,1)</f>
        <v/>
      </c>
      <c r="N11676">
        <f>IF(ISERR(FIND("DECOUPE",Tableau1[[#This Row],[DESIGNATION]])),"","NEED REF")</f>
        <v/>
      </c>
    </row>
    <row r="11677">
      <c r="B11677" t="n">
        <v>34402328</v>
      </c>
      <c r="C11677" s="2" t="n">
        <v>40700</v>
      </c>
      <c r="D11677" t="inlineStr">
        <is>
          <t>NOM</t>
        </is>
      </c>
      <c r="E11677" t="inlineStr">
        <is>
          <t>Lg coffret disj 400-500kVA avec CPI</t>
        </is>
      </c>
      <c r="F11677" t="inlineStr">
        <is>
          <t>G6000</t>
        </is>
      </c>
      <c r="J11677" t="inlineStr">
        <is>
          <t>ROBERT</t>
        </is>
      </c>
      <c r="L11677">
        <f>_xlfn.XLOOKUP(Tableau1[[#This Row],[TYPE DE PIECE]],Tableau4[MATIERE],Tableau4[SHORT TYPE],"",0,1)</f>
        <v/>
      </c>
      <c r="N11677">
        <f>IF(ISERR(FIND("DECOUPE",Tableau1[[#This Row],[DESIGNATION]])),"","NEED REF")</f>
        <v/>
      </c>
    </row>
    <row r="11678">
      <c r="B11678" t="n">
        <v>34402327</v>
      </c>
      <c r="C11678" s="2" t="n">
        <v>40680</v>
      </c>
      <c r="D11678" t="inlineStr">
        <is>
          <t>NOM</t>
        </is>
      </c>
      <c r="E11678" t="inlineStr">
        <is>
          <t>KIT TRANSFORMATION G5K 60kVA U/P</t>
        </is>
      </c>
      <c r="F11678" t="inlineStr">
        <is>
          <t>G7000</t>
        </is>
      </c>
      <c r="J11678" t="inlineStr">
        <is>
          <t>MATRION</t>
        </is>
      </c>
      <c r="L11678">
        <f>_xlfn.XLOOKUP(Tableau1[[#This Row],[TYPE DE PIECE]],Tableau4[MATIERE],Tableau4[SHORT TYPE],"",0,1)</f>
        <v/>
      </c>
      <c r="N11678">
        <f>IF(ISERR(FIND("DECOUPE",Tableau1[[#This Row],[DESIGNATION]])),"","NEED REF")</f>
        <v/>
      </c>
    </row>
    <row r="11679">
      <c r="B11679" t="n">
        <v>34402326</v>
      </c>
      <c r="C11679" s="2" t="n">
        <v>40680</v>
      </c>
      <c r="D11679" t="inlineStr">
        <is>
          <t>NOM</t>
        </is>
      </c>
      <c r="E11679" t="inlineStr">
        <is>
          <t>KIT TRANSFORMATION G5K 60kVA U/P</t>
        </is>
      </c>
      <c r="F11679" t="inlineStr">
        <is>
          <t>G7000</t>
        </is>
      </c>
      <c r="J11679" t="inlineStr">
        <is>
          <t>MATRION</t>
        </is>
      </c>
      <c r="L11679">
        <f>_xlfn.XLOOKUP(Tableau1[[#This Row],[TYPE DE PIECE]],Tableau4[MATIERE],Tableau4[SHORT TYPE],"",0,1)</f>
        <v/>
      </c>
      <c r="N11679">
        <f>IF(ISERR(FIND("DECOUPE",Tableau1[[#This Row],[DESIGNATION]])),"","NEED REF")</f>
        <v/>
      </c>
    </row>
    <row r="11680">
      <c r="B11680" t="n">
        <v>34402325</v>
      </c>
      <c r="C11680" s="2" t="n">
        <v>40679</v>
      </c>
      <c r="D11680" t="inlineStr">
        <is>
          <t>KIT</t>
        </is>
      </c>
      <c r="E11680" t="inlineStr">
        <is>
          <t>KIT CUIVRE RIGHT CUBICLE SCS 2400KVA</t>
        </is>
      </c>
      <c r="F11680" t="inlineStr">
        <is>
          <t>G6000</t>
        </is>
      </c>
      <c r="J11680" t="inlineStr">
        <is>
          <t>Demeure</t>
        </is>
      </c>
      <c r="L11680">
        <f>_xlfn.XLOOKUP(Tableau1[[#This Row],[TYPE DE PIECE]],Tableau4[MATIERE],Tableau4[SHORT TYPE],"",0,1)</f>
        <v/>
      </c>
      <c r="N11680">
        <f>IF(ISERR(FIND("DECOUPE",Tableau1[[#This Row],[DESIGNATION]])),"","NEED REF")</f>
        <v/>
      </c>
    </row>
    <row r="11681">
      <c r="B11681" t="n">
        <v>34402324</v>
      </c>
      <c r="C11681" s="2" t="n">
        <v>40672</v>
      </c>
      <c r="D11681" t="inlineStr">
        <is>
          <t>SPEC</t>
        </is>
      </c>
      <c r="E11681" t="inlineStr">
        <is>
          <t>Barre de liaison (CDJ 600kVA)</t>
        </is>
      </c>
      <c r="F11681" t="inlineStr">
        <is>
          <t>G6000</t>
        </is>
      </c>
      <c r="J11681" t="inlineStr">
        <is>
          <t>ROBERT</t>
        </is>
      </c>
      <c r="L11681">
        <f>_xlfn.XLOOKUP(Tableau1[[#This Row],[TYPE DE PIECE]],Tableau4[MATIERE],Tableau4[SHORT TYPE],"",0,1)</f>
        <v/>
      </c>
      <c r="N11681">
        <f>IF(ISERR(FIND("DECOUPE",Tableau1[[#This Row],[DESIGNATION]])),"","NEED REF")</f>
        <v/>
      </c>
    </row>
    <row r="11682">
      <c r="B11682" t="n">
        <v>34402323</v>
      </c>
      <c r="C11682" s="2" t="n">
        <v>40672</v>
      </c>
      <c r="D11682" t="inlineStr">
        <is>
          <t>SPEC</t>
        </is>
      </c>
      <c r="E11682" t="inlineStr">
        <is>
          <t>Plage de serrage (CDJ 600kVA)</t>
        </is>
      </c>
      <c r="F11682" t="inlineStr">
        <is>
          <t>G6000</t>
        </is>
      </c>
      <c r="J11682" t="inlineStr">
        <is>
          <t>ROBERT</t>
        </is>
      </c>
      <c r="L11682">
        <f>_xlfn.XLOOKUP(Tableau1[[#This Row],[TYPE DE PIECE]],Tableau4[MATIERE],Tableau4[SHORT TYPE],"",0,1)</f>
        <v/>
      </c>
      <c r="N11682">
        <f>IF(ISERR(FIND("DECOUPE",Tableau1[[#This Row],[DESIGNATION]])),"","NEED REF")</f>
        <v/>
      </c>
    </row>
    <row r="11683">
      <c r="B11683" t="n">
        <v>34402322</v>
      </c>
      <c r="C11683" s="2" t="n">
        <v>40672</v>
      </c>
      <c r="D11683" t="inlineStr">
        <is>
          <t>SPEC</t>
        </is>
      </c>
      <c r="E11683" t="inlineStr">
        <is>
          <t>Barre L+/L- (CDJ 600kVA)</t>
        </is>
      </c>
      <c r="F11683" t="inlineStr">
        <is>
          <t>G6000</t>
        </is>
      </c>
      <c r="J11683" t="inlineStr">
        <is>
          <t>ROBERT</t>
        </is>
      </c>
      <c r="L11683">
        <f>_xlfn.XLOOKUP(Tableau1[[#This Row],[TYPE DE PIECE]],Tableau4[MATIERE],Tableau4[SHORT TYPE],"",0,1)</f>
        <v/>
      </c>
      <c r="N11683">
        <f>IF(ISERR(FIND("DECOUPE",Tableau1[[#This Row],[DESIGNATION]])),"","NEED REF")</f>
        <v/>
      </c>
    </row>
    <row r="11684">
      <c r="B11684" t="n">
        <v>34402321</v>
      </c>
      <c r="C11684" s="2" t="n">
        <v>40672</v>
      </c>
      <c r="D11684" t="inlineStr">
        <is>
          <t>SPEC</t>
        </is>
      </c>
      <c r="E11684" t="inlineStr">
        <is>
          <t>Barre B+/B- (CDJ 600kVA)</t>
        </is>
      </c>
      <c r="F11684" t="inlineStr">
        <is>
          <t>G6000</t>
        </is>
      </c>
      <c r="J11684" t="inlineStr">
        <is>
          <t>ROBERT</t>
        </is>
      </c>
      <c r="L11684">
        <f>_xlfn.XLOOKUP(Tableau1[[#This Row],[TYPE DE PIECE]],Tableau4[MATIERE],Tableau4[SHORT TYPE],"",0,1)</f>
        <v/>
      </c>
      <c r="N11684">
        <f>IF(ISERR(FIND("DECOUPE",Tableau1[[#This Row],[DESIGNATION]])),"","NEED REF")</f>
        <v/>
      </c>
    </row>
    <row r="11685">
      <c r="B11685" t="n">
        <v>34402320</v>
      </c>
      <c r="C11685" s="2" t="n">
        <v>40672</v>
      </c>
      <c r="D11685" t="inlineStr">
        <is>
          <t>SPEC</t>
        </is>
      </c>
      <c r="E11685" t="inlineStr">
        <is>
          <t>Liaison haute pont self (CDJ 600kVA)</t>
        </is>
      </c>
      <c r="F11685" t="inlineStr">
        <is>
          <t>G6000</t>
        </is>
      </c>
      <c r="J11685" t="inlineStr">
        <is>
          <t>ROBERT</t>
        </is>
      </c>
      <c r="L11685">
        <f>_xlfn.XLOOKUP(Tableau1[[#This Row],[TYPE DE PIECE]],Tableau4[MATIERE],Tableau4[SHORT TYPE],"",0,1)</f>
        <v/>
      </c>
      <c r="N11685">
        <f>IF(ISERR(FIND("DECOUPE",Tableau1[[#This Row],[DESIGNATION]])),"","NEED REF")</f>
        <v/>
      </c>
    </row>
    <row r="11686">
      <c r="B11686" t="n">
        <v>34402319</v>
      </c>
      <c r="C11686" s="2" t="n">
        <v>40672</v>
      </c>
      <c r="D11686" t="inlineStr">
        <is>
          <t>SPEC</t>
        </is>
      </c>
      <c r="E11686" t="inlineStr">
        <is>
          <t>Liaison basse pont self (CDJ 600kVA)</t>
        </is>
      </c>
      <c r="F11686" t="inlineStr">
        <is>
          <t>G6000</t>
        </is>
      </c>
      <c r="J11686" t="inlineStr">
        <is>
          <t>ROBERT</t>
        </is>
      </c>
      <c r="L11686">
        <f>_xlfn.XLOOKUP(Tableau1[[#This Row],[TYPE DE PIECE]],Tableau4[MATIERE],Tableau4[SHORT TYPE],"",0,1)</f>
        <v/>
      </c>
      <c r="N11686">
        <f>IF(ISERR(FIND("DECOUPE",Tableau1[[#This Row],[DESIGNATION]])),"","NEED REF")</f>
        <v/>
      </c>
    </row>
    <row r="11687">
      <c r="B11687" t="n">
        <v>34402318</v>
      </c>
      <c r="C11687" s="2" t="n">
        <v>40672</v>
      </c>
      <c r="D11687" t="inlineStr">
        <is>
          <t>SPEC</t>
        </is>
      </c>
      <c r="E11687" t="inlineStr">
        <is>
          <t>Raccordement pont self  (CDJ 600kVA)</t>
        </is>
      </c>
      <c r="F11687" t="inlineStr">
        <is>
          <t>G6000</t>
        </is>
      </c>
      <c r="J11687" t="inlineStr">
        <is>
          <t>ROBERT</t>
        </is>
      </c>
      <c r="L11687">
        <f>_xlfn.XLOOKUP(Tableau1[[#This Row],[TYPE DE PIECE]],Tableau4[MATIERE],Tableau4[SHORT TYPE],"",0,1)</f>
        <v/>
      </c>
      <c r="N11687">
        <f>IF(ISERR(FIND("DECOUPE",Tableau1[[#This Row],[DESIGNATION]])),"","NEED REF")</f>
        <v/>
      </c>
    </row>
    <row r="11688">
      <c r="B11688" t="n">
        <v>34402317</v>
      </c>
      <c r="C11688" s="2" t="n">
        <v>40647</v>
      </c>
      <c r="D11688" t="inlineStr">
        <is>
          <t>CDC</t>
        </is>
      </c>
      <c r="E11688" t="inlineStr">
        <is>
          <t>NS 5000A TGAB R2 et UTIL</t>
        </is>
      </c>
      <c r="F11688" t="inlineStr">
        <is>
          <t>G9000</t>
        </is>
      </c>
      <c r="J11688" t="inlineStr">
        <is>
          <t>REVEL</t>
        </is>
      </c>
      <c r="L11688">
        <f>_xlfn.XLOOKUP(Tableau1[[#This Row],[TYPE DE PIECE]],Tableau4[MATIERE],Tableau4[SHORT TYPE],"",0,1)</f>
        <v/>
      </c>
      <c r="N11688">
        <f>IF(ISERR(FIND("DECOUPE",Tableau1[[#This Row],[DESIGNATION]])),"","NEED REF")</f>
        <v/>
      </c>
    </row>
    <row r="11689">
      <c r="B11689" t="n">
        <v>34402316</v>
      </c>
      <c r="C11689" s="2" t="n">
        <v>40630</v>
      </c>
      <c r="D11689" t="inlineStr">
        <is>
          <t>SPEC</t>
        </is>
      </c>
      <c r="E11689" t="inlineStr">
        <is>
          <t>Dossier de montage gaine 20kVA STX</t>
        </is>
      </c>
      <c r="F11689" t="inlineStr">
        <is>
          <t>G5000</t>
        </is>
      </c>
      <c r="J11689" t="inlineStr">
        <is>
          <t>ROBERT</t>
        </is>
      </c>
      <c r="L11689">
        <f>_xlfn.XLOOKUP(Tableau1[[#This Row],[TYPE DE PIECE]],Tableau4[MATIERE],Tableau4[SHORT TYPE],"",0,1)</f>
        <v/>
      </c>
      <c r="N11689">
        <f>IF(ISERR(FIND("DECOUPE",Tableau1[[#This Row],[DESIGNATION]])),"","NEED REF")</f>
        <v/>
      </c>
    </row>
    <row r="11690">
      <c r="B11690" t="n">
        <v>34402315</v>
      </c>
      <c r="C11690" s="2" t="n">
        <v>40626</v>
      </c>
      <c r="D11690" t="inlineStr">
        <is>
          <t>SPEC</t>
        </is>
      </c>
      <c r="E11690" t="inlineStr">
        <is>
          <t>Platine support silentblocs ASI 400kVA</t>
        </is>
      </c>
      <c r="F11690" t="inlineStr">
        <is>
          <t>G6000</t>
        </is>
      </c>
      <c r="J11690" t="inlineStr">
        <is>
          <t>ROBERT</t>
        </is>
      </c>
      <c r="L11690">
        <f>_xlfn.XLOOKUP(Tableau1[[#This Row],[TYPE DE PIECE]],Tableau4[MATIERE],Tableau4[SHORT TYPE],"",0,1)</f>
        <v/>
      </c>
      <c r="N11690">
        <f>IF(ISERR(FIND("DECOUPE",Tableau1[[#This Row],[DESIGNATION]])),"","NEED REF")</f>
        <v/>
      </c>
    </row>
    <row r="11691">
      <c r="B11691" t="n">
        <v>34402314</v>
      </c>
      <c r="C11691" s="2" t="n">
        <v>40626</v>
      </c>
      <c r="D11691" t="inlineStr">
        <is>
          <t>SPEC</t>
        </is>
      </c>
      <c r="E11691" t="inlineStr">
        <is>
          <t>Barre phase 3 ( raccordement client )</t>
        </is>
      </c>
      <c r="F11691" t="inlineStr">
        <is>
          <t>G7000</t>
        </is>
      </c>
      <c r="J11691" t="inlineStr">
        <is>
          <t>DUBOIS</t>
        </is>
      </c>
      <c r="L11691">
        <f>_xlfn.XLOOKUP(Tableau1[[#This Row],[TYPE DE PIECE]],Tableau4[MATIERE],Tableau4[SHORT TYPE],"",0,1)</f>
        <v/>
      </c>
      <c r="N11691">
        <f>IF(ISERR(FIND("DECOUPE",Tableau1[[#This Row],[DESIGNATION]])),"","NEED REF")</f>
        <v/>
      </c>
    </row>
    <row r="11692">
      <c r="B11692" t="n">
        <v>34402313</v>
      </c>
      <c r="C11692" s="2" t="n">
        <v>40626</v>
      </c>
      <c r="D11692" t="inlineStr">
        <is>
          <t>SPEC</t>
        </is>
      </c>
      <c r="E11692" t="inlineStr">
        <is>
          <t>Barre phase 2 ( raccordement client )</t>
        </is>
      </c>
      <c r="F11692" t="inlineStr">
        <is>
          <t>G7000</t>
        </is>
      </c>
      <c r="J11692" t="inlineStr">
        <is>
          <t>DUBOIS</t>
        </is>
      </c>
      <c r="L11692">
        <f>_xlfn.XLOOKUP(Tableau1[[#This Row],[TYPE DE PIECE]],Tableau4[MATIERE],Tableau4[SHORT TYPE],"",0,1)</f>
        <v/>
      </c>
      <c r="N11692">
        <f>IF(ISERR(FIND("DECOUPE",Tableau1[[#This Row],[DESIGNATION]])),"","NEED REF")</f>
        <v/>
      </c>
    </row>
    <row r="11693">
      <c r="B11693" t="n">
        <v>34402312</v>
      </c>
      <c r="C11693" s="2" t="n">
        <v>40626</v>
      </c>
      <c r="D11693" t="inlineStr">
        <is>
          <t>SPEC</t>
        </is>
      </c>
      <c r="E11693" t="inlineStr">
        <is>
          <t>Barre phase 1 ( raccordement client )</t>
        </is>
      </c>
      <c r="F11693" t="inlineStr">
        <is>
          <t>G7000</t>
        </is>
      </c>
      <c r="J11693" t="inlineStr">
        <is>
          <t>DUBOIS</t>
        </is>
      </c>
      <c r="L11693">
        <f>_xlfn.XLOOKUP(Tableau1[[#This Row],[TYPE DE PIECE]],Tableau4[MATIERE],Tableau4[SHORT TYPE],"",0,1)</f>
        <v/>
      </c>
      <c r="N11693">
        <f>IF(ISERR(FIND("DECOUPE",Tableau1[[#This Row],[DESIGNATION]])),"","NEED REF")</f>
        <v/>
      </c>
    </row>
    <row r="11694">
      <c r="B11694" t="n">
        <v>34402311</v>
      </c>
      <c r="C11694" s="2" t="n">
        <v>40626</v>
      </c>
      <c r="D11694" t="inlineStr">
        <is>
          <t>SPEC</t>
        </is>
      </c>
      <c r="E11694" t="inlineStr">
        <is>
          <t>Barre phase 3 ( raccordement barre 1600 ) ABB800</t>
        </is>
      </c>
      <c r="F11694" t="inlineStr">
        <is>
          <t>G7000</t>
        </is>
      </c>
      <c r="J11694" t="inlineStr">
        <is>
          <t>DUBOIS</t>
        </is>
      </c>
      <c r="L11694">
        <f>_xlfn.XLOOKUP(Tableau1[[#This Row],[TYPE DE PIECE]],Tableau4[MATIERE],Tableau4[SHORT TYPE],"",0,1)</f>
        <v/>
      </c>
      <c r="N11694">
        <f>IF(ISERR(FIND("DECOUPE",Tableau1[[#This Row],[DESIGNATION]])),"","NEED REF")</f>
        <v/>
      </c>
    </row>
    <row r="11695">
      <c r="B11695" t="n">
        <v>34402310</v>
      </c>
      <c r="C11695" s="2" t="n">
        <v>40626</v>
      </c>
      <c r="D11695" t="inlineStr">
        <is>
          <t>SPEC</t>
        </is>
      </c>
      <c r="E11695" t="inlineStr">
        <is>
          <t>Barre phase 2 ( raccordement barre 1600 ) ABB800</t>
        </is>
      </c>
      <c r="F11695" t="inlineStr">
        <is>
          <t>G7000</t>
        </is>
      </c>
      <c r="J11695" t="inlineStr">
        <is>
          <t>DUBOIS</t>
        </is>
      </c>
      <c r="L11695">
        <f>_xlfn.XLOOKUP(Tableau1[[#This Row],[TYPE DE PIECE]],Tableau4[MATIERE],Tableau4[SHORT TYPE],"",0,1)</f>
        <v/>
      </c>
      <c r="N11695">
        <f>IF(ISERR(FIND("DECOUPE",Tableau1[[#This Row],[DESIGNATION]])),"","NEED REF")</f>
        <v/>
      </c>
    </row>
    <row r="11696">
      <c r="B11696" t="n">
        <v>34402309</v>
      </c>
      <c r="C11696" s="2" t="n">
        <v>40626</v>
      </c>
      <c r="D11696" t="inlineStr">
        <is>
          <t>SPEC</t>
        </is>
      </c>
      <c r="E11696" t="inlineStr">
        <is>
          <t>Barre phase 1 ( raccordement barre 1600 ) ABB800</t>
        </is>
      </c>
      <c r="F11696" t="inlineStr">
        <is>
          <t>G7000</t>
        </is>
      </c>
      <c r="J11696" t="inlineStr">
        <is>
          <t>DUBOIS</t>
        </is>
      </c>
      <c r="L11696">
        <f>_xlfn.XLOOKUP(Tableau1[[#This Row],[TYPE DE PIECE]],Tableau4[MATIERE],Tableau4[SHORT TYPE],"",0,1)</f>
        <v/>
      </c>
      <c r="N11696">
        <f>IF(ISERR(FIND("DECOUPE",Tableau1[[#This Row],[DESIGNATION]])),"","NEED REF")</f>
        <v/>
      </c>
    </row>
    <row r="11697">
      <c r="B11697" t="n">
        <v>34402308</v>
      </c>
      <c r="C11697" s="2" t="n">
        <v>40626</v>
      </c>
      <c r="D11697" t="inlineStr">
        <is>
          <t>SPEC</t>
        </is>
      </c>
      <c r="E11697" t="inlineStr">
        <is>
          <t>Barre 1600 x 100 x 5</t>
        </is>
      </c>
      <c r="F11697" t="inlineStr">
        <is>
          <t>G7000</t>
        </is>
      </c>
      <c r="J11697" t="inlineStr">
        <is>
          <t>DUBOIS</t>
        </is>
      </c>
      <c r="L11697">
        <f>_xlfn.XLOOKUP(Tableau1[[#This Row],[TYPE DE PIECE]],Tableau4[MATIERE],Tableau4[SHORT TYPE],"",0,1)</f>
        <v/>
      </c>
      <c r="N11697">
        <f>IF(ISERR(FIND("DECOUPE",Tableau1[[#This Row],[DESIGNATION]])),"","NEED REF")</f>
        <v/>
      </c>
    </row>
    <row r="11698">
      <c r="B11698" t="n">
        <v>34402307</v>
      </c>
      <c r="C11698" s="2" t="n">
        <v>40626</v>
      </c>
      <c r="D11698" t="inlineStr">
        <is>
          <t>SPEC</t>
        </is>
      </c>
      <c r="E11698" t="inlineStr">
        <is>
          <t>Cale 100 x 50 x 5</t>
        </is>
      </c>
      <c r="F11698" t="inlineStr">
        <is>
          <t>G7000</t>
        </is>
      </c>
      <c r="J11698" t="inlineStr">
        <is>
          <t>DUBOIS</t>
        </is>
      </c>
      <c r="L11698">
        <f>_xlfn.XLOOKUP(Tableau1[[#This Row],[TYPE DE PIECE]],Tableau4[MATIERE],Tableau4[SHORT TYPE],"",0,1)</f>
        <v/>
      </c>
      <c r="N11698">
        <f>IF(ISERR(FIND("DECOUPE",Tableau1[[#This Row],[DESIGNATION]])),"","NEED REF")</f>
        <v/>
      </c>
    </row>
    <row r="11699">
      <c r="B11699" t="n">
        <v>34402306</v>
      </c>
      <c r="C11699" s="2" t="n">
        <v>40626</v>
      </c>
      <c r="D11699" t="inlineStr">
        <is>
          <t>SPEC</t>
        </is>
      </c>
      <c r="E11699" t="inlineStr">
        <is>
          <t>Cale 100 x 100 x 5</t>
        </is>
      </c>
      <c r="F11699" t="inlineStr">
        <is>
          <t>G7000</t>
        </is>
      </c>
      <c r="J11699" t="inlineStr">
        <is>
          <t>DUBOIS</t>
        </is>
      </c>
      <c r="L11699">
        <f>_xlfn.XLOOKUP(Tableau1[[#This Row],[TYPE DE PIECE]],Tableau4[MATIERE],Tableau4[SHORT TYPE],"",0,1)</f>
        <v/>
      </c>
      <c r="N11699">
        <f>IF(ISERR(FIND("DECOUPE",Tableau1[[#This Row],[DESIGNATION]])),"","NEED REF")</f>
        <v/>
      </c>
    </row>
    <row r="11700">
      <c r="B11700" t="n">
        <v>34402305</v>
      </c>
      <c r="C11700" s="2" t="n">
        <v>40626</v>
      </c>
      <c r="D11700" t="inlineStr">
        <is>
          <t>SPEC</t>
        </is>
      </c>
      <c r="E11700" t="inlineStr">
        <is>
          <t>Barre raccordement NS ( 250 x 100 x 10 )</t>
        </is>
      </c>
      <c r="F11700" t="inlineStr">
        <is>
          <t>G7000</t>
        </is>
      </c>
      <c r="J11700" t="inlineStr">
        <is>
          <t>DUBOIS</t>
        </is>
      </c>
      <c r="L11700">
        <f>_xlfn.XLOOKUP(Tableau1[[#This Row],[TYPE DE PIECE]],Tableau4[MATIERE],Tableau4[SHORT TYPE],"",0,1)</f>
        <v/>
      </c>
      <c r="N11700">
        <f>IF(ISERR(FIND("DECOUPE",Tableau1[[#This Row],[DESIGNATION]])),"","NEED REF")</f>
        <v/>
      </c>
    </row>
    <row r="11701">
      <c r="B11701" t="n">
        <v>34402304</v>
      </c>
      <c r="C11701" s="2" t="n">
        <v>40623</v>
      </c>
      <c r="D11701" t="inlineStr">
        <is>
          <t>NOM</t>
        </is>
      </c>
      <c r="E11701" t="inlineStr">
        <is>
          <t>Armoire couplage aval 6 inter INS 630</t>
        </is>
      </c>
      <c r="F11701" t="inlineStr">
        <is>
          <t>G7000</t>
        </is>
      </c>
      <c r="J11701" t="inlineStr">
        <is>
          <t>REVEL</t>
        </is>
      </c>
      <c r="L11701">
        <f>_xlfn.XLOOKUP(Tableau1[[#This Row],[TYPE DE PIECE]],Tableau4[MATIERE],Tableau4[SHORT TYPE],"",0,1)</f>
        <v/>
      </c>
      <c r="N11701">
        <f>IF(ISERR(FIND("DECOUPE",Tableau1[[#This Row],[DESIGNATION]])),"","NEED REF")</f>
        <v/>
      </c>
    </row>
    <row r="11702">
      <c r="B11702" t="n">
        <v>34402303</v>
      </c>
      <c r="C11702" s="2" t="n">
        <v>40623</v>
      </c>
      <c r="D11702" t="inlineStr">
        <is>
          <t>NOM</t>
        </is>
      </c>
      <c r="E11702" t="inlineStr">
        <is>
          <t>Armoire couplage aval 3 inter ABB 800A</t>
        </is>
      </c>
      <c r="F11702" t="inlineStr">
        <is>
          <t>G7000</t>
        </is>
      </c>
      <c r="J11702" t="inlineStr">
        <is>
          <t>REVEL</t>
        </is>
      </c>
      <c r="L11702">
        <f>_xlfn.XLOOKUP(Tableau1[[#This Row],[TYPE DE PIECE]],Tableau4[MATIERE],Tableau4[SHORT TYPE],"",0,1)</f>
        <v/>
      </c>
      <c r="N11702">
        <f>IF(ISERR(FIND("DECOUPE",Tableau1[[#This Row],[DESIGNATION]])),"","NEED REF")</f>
        <v/>
      </c>
    </row>
    <row r="11703">
      <c r="B11703" t="n">
        <v>34402302</v>
      </c>
      <c r="C11703" s="2" t="n">
        <v>40623</v>
      </c>
      <c r="D11703" t="inlineStr">
        <is>
          <t>SPEC</t>
        </is>
      </c>
      <c r="E11703" t="inlineStr">
        <is>
          <t>Plaque support voyant G3500 SNCF</t>
        </is>
      </c>
      <c r="F11703" t="inlineStr">
        <is>
          <t>G3500</t>
        </is>
      </c>
      <c r="J11703" t="inlineStr">
        <is>
          <t>REVEL</t>
        </is>
      </c>
      <c r="L11703">
        <f>_xlfn.XLOOKUP(Tableau1[[#This Row],[TYPE DE PIECE]],Tableau4[MATIERE],Tableau4[SHORT TYPE],"",0,1)</f>
        <v/>
      </c>
      <c r="N11703">
        <f>IF(ISERR(FIND("DECOUPE",Tableau1[[#This Row],[DESIGNATION]])),"","NEED REF")</f>
        <v/>
      </c>
    </row>
    <row r="11704">
      <c r="B11704" t="n">
        <v>34402301</v>
      </c>
      <c r="C11704" s="2" t="n">
        <v>40619</v>
      </c>
      <c r="D11704" t="inlineStr">
        <is>
          <t>SPEC</t>
        </is>
      </c>
      <c r="E11704" t="inlineStr">
        <is>
          <t>Ecran isolant bas disjoncteur TERASAKI</t>
        </is>
      </c>
      <c r="F11704" t="inlineStr">
        <is>
          <t>G6000</t>
        </is>
      </c>
      <c r="J11704" t="inlineStr">
        <is>
          <t>ROBERT</t>
        </is>
      </c>
      <c r="L11704">
        <f>_xlfn.XLOOKUP(Tableau1[[#This Row],[TYPE DE PIECE]],Tableau4[MATIERE],Tableau4[SHORT TYPE],"",0,1)</f>
        <v/>
      </c>
      <c r="N11704">
        <f>IF(ISERR(FIND("DECOUPE",Tableau1[[#This Row],[DESIGNATION]])),"","NEED REF")</f>
        <v/>
      </c>
    </row>
    <row r="11705">
      <c r="B11705" t="n">
        <v>34402300</v>
      </c>
      <c r="C11705" s="2" t="n">
        <v>40619</v>
      </c>
      <c r="D11705" t="inlineStr">
        <is>
          <t>SPEC</t>
        </is>
      </c>
      <c r="E11705" t="inlineStr">
        <is>
          <t>Ecran isolant haut disjoncteur TERASAKI</t>
        </is>
      </c>
      <c r="F11705" t="inlineStr">
        <is>
          <t>G6000</t>
        </is>
      </c>
      <c r="J11705" t="inlineStr">
        <is>
          <t>ROBERT</t>
        </is>
      </c>
      <c r="L11705">
        <f>_xlfn.XLOOKUP(Tableau1[[#This Row],[TYPE DE PIECE]],Tableau4[MATIERE],Tableau4[SHORT TYPE],"",0,1)</f>
        <v/>
      </c>
      <c r="N11705">
        <f>IF(ISERR(FIND("DECOUPE",Tableau1[[#This Row],[DESIGNATION]])),"","NEED REF")</f>
        <v/>
      </c>
    </row>
    <row r="11706">
      <c r="B11706" t="n">
        <v>34402299</v>
      </c>
      <c r="C11706" s="2" t="n">
        <v>40619</v>
      </c>
      <c r="D11706" t="inlineStr">
        <is>
          <t>SPEC</t>
        </is>
      </c>
      <c r="E11706" t="inlineStr">
        <is>
          <t>Connexion B self</t>
        </is>
      </c>
      <c r="F11706" t="inlineStr">
        <is>
          <t>G6000</t>
        </is>
      </c>
      <c r="J11706" t="inlineStr">
        <is>
          <t>ROBERT</t>
        </is>
      </c>
      <c r="L11706">
        <f>_xlfn.XLOOKUP(Tableau1[[#This Row],[TYPE DE PIECE]],Tableau4[MATIERE],Tableau4[SHORT TYPE],"",0,1)</f>
        <v/>
      </c>
      <c r="N11706">
        <f>IF(ISERR(FIND("DECOUPE",Tableau1[[#This Row],[DESIGNATION]])),"","NEED REF")</f>
        <v/>
      </c>
    </row>
    <row r="11707">
      <c r="B11707" t="n">
        <v>34402298</v>
      </c>
      <c r="C11707" s="2" t="n">
        <v>40619</v>
      </c>
      <c r="D11707" t="inlineStr">
        <is>
          <t>SPEC</t>
        </is>
      </c>
      <c r="E11707" t="inlineStr">
        <is>
          <t>Connexion A self</t>
        </is>
      </c>
      <c r="F11707" t="inlineStr">
        <is>
          <t>G6000</t>
        </is>
      </c>
      <c r="J11707" t="inlineStr">
        <is>
          <t>ROBERT</t>
        </is>
      </c>
      <c r="L11707">
        <f>_xlfn.XLOOKUP(Tableau1[[#This Row],[TYPE DE PIECE]],Tableau4[MATIERE],Tableau4[SHORT TYPE],"",0,1)</f>
        <v/>
      </c>
      <c r="N11707">
        <f>IF(ISERR(FIND("DECOUPE",Tableau1[[#This Row],[DESIGNATION]])),"","NEED REF")</f>
        <v/>
      </c>
    </row>
    <row r="11708">
      <c r="B11708" t="n">
        <v>34402297</v>
      </c>
      <c r="C11708" s="2" t="n">
        <v>40619</v>
      </c>
      <c r="D11708" t="inlineStr">
        <is>
          <t>SPEC</t>
        </is>
      </c>
      <c r="E11708" t="inlineStr">
        <is>
          <t>Liaison basse pont self</t>
        </is>
      </c>
      <c r="F11708" t="inlineStr">
        <is>
          <t>G6000</t>
        </is>
      </c>
      <c r="J11708" t="inlineStr">
        <is>
          <t>ROBERT</t>
        </is>
      </c>
      <c r="L11708">
        <f>_xlfn.XLOOKUP(Tableau1[[#This Row],[TYPE DE PIECE]],Tableau4[MATIERE],Tableau4[SHORT TYPE],"",0,1)</f>
        <v/>
      </c>
      <c r="N11708">
        <f>IF(ISERR(FIND("DECOUPE",Tableau1[[#This Row],[DESIGNATION]])),"","NEED REF")</f>
        <v/>
      </c>
    </row>
    <row r="11709">
      <c r="B11709" t="n">
        <v>34402296</v>
      </c>
      <c r="C11709" s="2" t="n">
        <v>40619</v>
      </c>
      <c r="D11709" t="inlineStr">
        <is>
          <t>SPEC</t>
        </is>
      </c>
      <c r="E11709" t="inlineStr">
        <is>
          <t>Liaison haute pont self</t>
        </is>
      </c>
      <c r="F11709" t="inlineStr">
        <is>
          <t>G6000</t>
        </is>
      </c>
      <c r="J11709" t="inlineStr">
        <is>
          <t>ROBERT</t>
        </is>
      </c>
      <c r="L11709">
        <f>_xlfn.XLOOKUP(Tableau1[[#This Row],[TYPE DE PIECE]],Tableau4[MATIERE],Tableau4[SHORT TYPE],"",0,1)</f>
        <v/>
      </c>
      <c r="N11709">
        <f>IF(ISERR(FIND("DECOUPE",Tableau1[[#This Row],[DESIGNATION]])),"","NEED REF")</f>
        <v/>
      </c>
    </row>
    <row r="11710">
      <c r="B11710" t="n">
        <v>34402295</v>
      </c>
      <c r="C11710" s="2" t="n">
        <v>40619</v>
      </c>
      <c r="D11710" t="inlineStr">
        <is>
          <t>SPEC</t>
        </is>
      </c>
      <c r="E11710" t="inlineStr">
        <is>
          <t>Plaque isolante disjoncteur</t>
        </is>
      </c>
      <c r="F11710" t="inlineStr">
        <is>
          <t>G6000</t>
        </is>
      </c>
      <c r="J11710" t="inlineStr">
        <is>
          <t>ROBERT</t>
        </is>
      </c>
      <c r="L11710">
        <f>_xlfn.XLOOKUP(Tableau1[[#This Row],[TYPE DE PIECE]],Tableau4[MATIERE],Tableau4[SHORT TYPE],"",0,1)</f>
        <v/>
      </c>
      <c r="N11710">
        <f>IF(ISERR(FIND("DECOUPE",Tableau1[[#This Row],[DESIGNATION]])),"","NEED REF")</f>
        <v/>
      </c>
    </row>
    <row r="11711">
      <c r="B11711" t="n">
        <v>34402294</v>
      </c>
      <c r="C11711" s="2" t="n">
        <v>40619</v>
      </c>
      <c r="D11711" t="inlineStr">
        <is>
          <t>SPEC</t>
        </is>
      </c>
      <c r="E11711" t="inlineStr">
        <is>
          <t xml:space="preserve">Raccordement pont self </t>
        </is>
      </c>
      <c r="F11711" t="inlineStr">
        <is>
          <t xml:space="preserve">G6000 </t>
        </is>
      </c>
      <c r="J11711" t="inlineStr">
        <is>
          <t>ROBERT</t>
        </is>
      </c>
      <c r="L11711">
        <f>_xlfn.XLOOKUP(Tableau1[[#This Row],[TYPE DE PIECE]],Tableau4[MATIERE],Tableau4[SHORT TYPE],"",0,1)</f>
        <v/>
      </c>
      <c r="N11711">
        <f>IF(ISERR(FIND("DECOUPE",Tableau1[[#This Row],[DESIGNATION]])),"","NEED REF")</f>
        <v/>
      </c>
    </row>
    <row r="11712">
      <c r="B11712" t="n">
        <v>34402293</v>
      </c>
      <c r="C11712" s="2" t="n">
        <v>40613</v>
      </c>
      <c r="D11712" t="inlineStr">
        <is>
          <t>NOM</t>
        </is>
      </c>
      <c r="E11712" t="inlineStr">
        <is>
          <t>LG SNCF EXRT 3:1 8/11kVA - SANS DISTRIB. - CONTRAT CADRE</t>
        </is>
      </c>
      <c r="F11712" t="inlineStr">
        <is>
          <t>G5000</t>
        </is>
      </c>
      <c r="J11712" t="inlineStr">
        <is>
          <t>MATRION</t>
        </is>
      </c>
      <c r="L11712">
        <f>_xlfn.XLOOKUP(Tableau1[[#This Row],[TYPE DE PIECE]],Tableau4[MATIERE],Tableau4[SHORT TYPE],"",0,1)</f>
        <v/>
      </c>
      <c r="N11712">
        <f>IF(ISERR(FIND("DECOUPE",Tableau1[[#This Row],[DESIGNATION]])),"","NEED REF")</f>
        <v/>
      </c>
    </row>
    <row r="11713">
      <c r="B11713" t="n">
        <v>34402292</v>
      </c>
      <c r="C11713" s="2" t="n">
        <v>40611</v>
      </c>
      <c r="D11713" t="inlineStr">
        <is>
          <t>SPEC</t>
        </is>
      </c>
      <c r="E11713" t="inlineStr">
        <is>
          <t>Traverse  1700 x 250</t>
        </is>
      </c>
      <c r="F11713" t="inlineStr">
        <is>
          <t>G7000</t>
        </is>
      </c>
      <c r="J11713" t="inlineStr">
        <is>
          <t>DUBOIS</t>
        </is>
      </c>
      <c r="L11713">
        <f>_xlfn.XLOOKUP(Tableau1[[#This Row],[TYPE DE PIECE]],Tableau4[MATIERE],Tableau4[SHORT TYPE],"",0,1)</f>
        <v/>
      </c>
      <c r="N11713">
        <f>IF(ISERR(FIND("DECOUPE",Tableau1[[#This Row],[DESIGNATION]])),"","NEED REF")</f>
        <v/>
      </c>
    </row>
    <row r="11714">
      <c r="B11714" t="n">
        <v>34402291</v>
      </c>
      <c r="C11714" s="2" t="n">
        <v>40611</v>
      </c>
      <c r="D11714" t="inlineStr">
        <is>
          <t>SPEC</t>
        </is>
      </c>
      <c r="E11714" t="inlineStr">
        <is>
          <t>Traverse  1700 x 48</t>
        </is>
      </c>
      <c r="F11714" t="inlineStr">
        <is>
          <t>G7000</t>
        </is>
      </c>
      <c r="J11714" t="inlineStr">
        <is>
          <t>DUBOIS</t>
        </is>
      </c>
      <c r="L11714">
        <f>_xlfn.XLOOKUP(Tableau1[[#This Row],[TYPE DE PIECE]],Tableau4[MATIERE],Tableau4[SHORT TYPE],"",0,1)</f>
        <v/>
      </c>
      <c r="N11714">
        <f>IF(ISERR(FIND("DECOUPE",Tableau1[[#This Row],[DESIGNATION]])),"","NEED REF")</f>
        <v/>
      </c>
    </row>
    <row r="11715">
      <c r="B11715" t="n">
        <v>34402290</v>
      </c>
      <c r="C11715" s="2" t="n">
        <v>40611</v>
      </c>
      <c r="D11715" t="inlineStr">
        <is>
          <t>SPEC</t>
        </is>
      </c>
      <c r="E11715" t="inlineStr">
        <is>
          <t>Traverse 600 omega</t>
        </is>
      </c>
      <c r="F11715" t="inlineStr">
        <is>
          <t>G7000</t>
        </is>
      </c>
      <c r="J11715" t="inlineStr">
        <is>
          <t>DUBOIS</t>
        </is>
      </c>
      <c r="L11715">
        <f>_xlfn.XLOOKUP(Tableau1[[#This Row],[TYPE DE PIECE]],Tableau4[MATIERE],Tableau4[SHORT TYPE],"",0,1)</f>
        <v/>
      </c>
      <c r="N11715">
        <f>IF(ISERR(FIND("DECOUPE",Tableau1[[#This Row],[DESIGNATION]])),"","NEED REF")</f>
        <v/>
      </c>
    </row>
    <row r="11716">
      <c r="B11716" t="n">
        <v>34402289</v>
      </c>
      <c r="C11716" s="2" t="n">
        <v>40611</v>
      </c>
      <c r="D11716" t="inlineStr">
        <is>
          <t>SPEC</t>
        </is>
      </c>
      <c r="E11716" t="inlineStr">
        <is>
          <t>Traverse 600 U</t>
        </is>
      </c>
      <c r="F11716" t="inlineStr">
        <is>
          <t>G7000</t>
        </is>
      </c>
      <c r="J11716" t="inlineStr">
        <is>
          <t>DUBOIS</t>
        </is>
      </c>
      <c r="L11716">
        <f>_xlfn.XLOOKUP(Tableau1[[#This Row],[TYPE DE PIECE]],Tableau4[MATIERE],Tableau4[SHORT TYPE],"",0,1)</f>
        <v/>
      </c>
      <c r="N11716">
        <f>IF(ISERR(FIND("DECOUPE",Tableau1[[#This Row],[DESIGNATION]])),"","NEED REF")</f>
        <v/>
      </c>
    </row>
    <row r="11717">
      <c r="B11717" t="n">
        <v>34402288</v>
      </c>
      <c r="C11717" s="2" t="n">
        <v>40611</v>
      </c>
      <c r="D11717" t="inlineStr">
        <is>
          <t>SPEC</t>
        </is>
      </c>
      <c r="E11717" t="inlineStr">
        <is>
          <t>Plastron 915x300 avec découpe inter ABB</t>
        </is>
      </c>
      <c r="F11717" t="inlineStr">
        <is>
          <t>G7000</t>
        </is>
      </c>
      <c r="J11717" t="inlineStr">
        <is>
          <t>DUBOIS</t>
        </is>
      </c>
      <c r="L11717">
        <f>_xlfn.XLOOKUP(Tableau1[[#This Row],[TYPE DE PIECE]],Tableau4[MATIERE],Tableau4[SHORT TYPE],"",0,1)</f>
        <v/>
      </c>
      <c r="N11717">
        <f>IF(ISERR(FIND("DECOUPE",Tableau1[[#This Row],[DESIGNATION]])),"","NEED REF")</f>
        <v/>
      </c>
    </row>
    <row r="11718">
      <c r="B11718" t="n">
        <v>34402287</v>
      </c>
      <c r="C11718" s="2" t="n">
        <v>40609</v>
      </c>
      <c r="D11718" t="inlineStr">
        <is>
          <t>NOM</t>
        </is>
      </c>
      <c r="E11718" t="inlineStr">
        <is>
          <t>LG ADAPTATION MARINE DNV AUX</t>
        </is>
      </c>
      <c r="F11718" t="inlineStr">
        <is>
          <t>G5000</t>
        </is>
      </c>
      <c r="J11718" t="inlineStr">
        <is>
          <t>ROBERT</t>
        </is>
      </c>
      <c r="L11718">
        <f>_xlfn.XLOOKUP(Tableau1[[#This Row],[TYPE DE PIECE]],Tableau4[MATIERE],Tableau4[SHORT TYPE],"",0,1)</f>
        <v/>
      </c>
      <c r="N11718">
        <f>IF(ISERR(FIND("DECOUPE",Tableau1[[#This Row],[DESIGNATION]])),"","NEED REF")</f>
        <v/>
      </c>
    </row>
    <row r="11719">
      <c r="B11719" t="n">
        <v>34402286</v>
      </c>
      <c r="C11719" s="2" t="n">
        <v>40606</v>
      </c>
      <c r="D11719" t="inlineStr">
        <is>
          <t>SPEC</t>
        </is>
      </c>
      <c r="E11719" t="inlineStr">
        <is>
          <t>Platine support silentblocs ASI+GAINE</t>
        </is>
      </c>
      <c r="F11719" t="inlineStr">
        <is>
          <t>G5000</t>
        </is>
      </c>
      <c r="J11719" t="inlineStr">
        <is>
          <t>ROBERT</t>
        </is>
      </c>
      <c r="L11719">
        <f>_xlfn.XLOOKUP(Tableau1[[#This Row],[TYPE DE PIECE]],Tableau4[MATIERE],Tableau4[SHORT TYPE],"",0,1)</f>
        <v/>
      </c>
      <c r="N11719">
        <f>IF(ISERR(FIND("DECOUPE",Tableau1[[#This Row],[DESIGNATION]])),"","NEED REF")</f>
        <v/>
      </c>
    </row>
    <row r="11720">
      <c r="B11720" t="n">
        <v>34402285</v>
      </c>
      <c r="C11720" s="2" t="n">
        <v>40606</v>
      </c>
      <c r="D11720" t="inlineStr">
        <is>
          <t>NOM</t>
        </is>
      </c>
      <c r="E11720" t="inlineStr">
        <is>
          <t>LG PLATINE+SILENTBLOCS 40/60kVA</t>
        </is>
      </c>
      <c r="F11720" t="inlineStr">
        <is>
          <t>G5000</t>
        </is>
      </c>
      <c r="J11720" t="inlineStr">
        <is>
          <t>ROBERT</t>
        </is>
      </c>
      <c r="L11720">
        <f>_xlfn.XLOOKUP(Tableau1[[#This Row],[TYPE DE PIECE]],Tableau4[MATIERE],Tableau4[SHORT TYPE],"",0,1)</f>
        <v/>
      </c>
      <c r="N11720">
        <f>IF(ISERR(FIND("DECOUPE",Tableau1[[#This Row],[DESIGNATION]])),"","NEED REF")</f>
        <v/>
      </c>
    </row>
    <row r="11721">
      <c r="B11721" t="n">
        <v>34402284</v>
      </c>
      <c r="C11721" s="2" t="n">
        <v>40606</v>
      </c>
      <c r="D11721" t="inlineStr">
        <is>
          <t>NOM</t>
        </is>
      </c>
      <c r="E11721" t="inlineStr">
        <is>
          <t>LG ADAPTATION MARINE DNV ASI</t>
        </is>
      </c>
      <c r="F11721" t="inlineStr">
        <is>
          <t>G5000</t>
        </is>
      </c>
      <c r="J11721" t="inlineStr">
        <is>
          <t>ROBERT</t>
        </is>
      </c>
      <c r="L11721">
        <f>_xlfn.XLOOKUP(Tableau1[[#This Row],[TYPE DE PIECE]],Tableau4[MATIERE],Tableau4[SHORT TYPE],"",0,1)</f>
        <v/>
      </c>
      <c r="N11721">
        <f>IF(ISERR(FIND("DECOUPE",Tableau1[[#This Row],[DESIGNATION]])),"","NEED REF")</f>
        <v/>
      </c>
    </row>
    <row r="11722">
      <c r="B11722" t="n">
        <v>34402283</v>
      </c>
      <c r="C11722" s="2" t="n">
        <v>40606</v>
      </c>
      <c r="D11722" t="inlineStr">
        <is>
          <t>CDC</t>
        </is>
      </c>
      <c r="E11722" t="inlineStr">
        <is>
          <t>CDC SKID GALAXY 6000 400kVA MARINE</t>
        </is>
      </c>
      <c r="F11722" t="inlineStr">
        <is>
          <t xml:space="preserve">G6000 </t>
        </is>
      </c>
      <c r="J11722" t="inlineStr">
        <is>
          <t>ROBERT</t>
        </is>
      </c>
      <c r="L11722">
        <f>_xlfn.XLOOKUP(Tableau1[[#This Row],[TYPE DE PIECE]],Tableau4[MATIERE],Tableau4[SHORT TYPE],"",0,1)</f>
        <v/>
      </c>
      <c r="N11722">
        <f>IF(ISERR(FIND("DECOUPE",Tableau1[[#This Row],[DESIGNATION]])),"","NEED REF")</f>
        <v/>
      </c>
    </row>
    <row r="11723">
      <c r="B11723" t="n">
        <v>34402282</v>
      </c>
      <c r="C11723" s="2" t="n">
        <v>40606</v>
      </c>
      <c r="D11723" t="inlineStr">
        <is>
          <t>CDC</t>
        </is>
      </c>
      <c r="E11723" t="inlineStr">
        <is>
          <t>CDC SKID TFO 400kVA MARINE</t>
        </is>
      </c>
      <c r="F11723" t="inlineStr">
        <is>
          <t xml:space="preserve">G6000 </t>
        </is>
      </c>
      <c r="J11723" t="inlineStr">
        <is>
          <t>ROBERT</t>
        </is>
      </c>
      <c r="L11723">
        <f>_xlfn.XLOOKUP(Tableau1[[#This Row],[TYPE DE PIECE]],Tableau4[MATIERE],Tableau4[SHORT TYPE],"",0,1)</f>
        <v/>
      </c>
      <c r="N11723">
        <f>IF(ISERR(FIND("DECOUPE",Tableau1[[#This Row],[DESIGNATION]])),"","NEED REF")</f>
        <v/>
      </c>
    </row>
    <row r="11724">
      <c r="B11724" t="n">
        <v>34402281</v>
      </c>
      <c r="C11724" s="2" t="n">
        <v>40591</v>
      </c>
      <c r="D11724" t="inlineStr">
        <is>
          <t>NOM</t>
        </is>
      </c>
      <c r="E11724" t="inlineStr">
        <is>
          <t>LG COFFRET DISJ G6k 600kVA (terasaki seul)</t>
        </is>
      </c>
      <c r="F11724" t="inlineStr">
        <is>
          <t>COFFRET DISJ G6K</t>
        </is>
      </c>
      <c r="J11724" t="inlineStr">
        <is>
          <t>ROBERT</t>
        </is>
      </c>
      <c r="L11724">
        <f>_xlfn.XLOOKUP(Tableau1[[#This Row],[TYPE DE PIECE]],Tableau4[MATIERE],Tableau4[SHORT TYPE],"",0,1)</f>
        <v/>
      </c>
      <c r="N11724">
        <f>IF(ISERR(FIND("DECOUPE",Tableau1[[#This Row],[DESIGNATION]])),"","NEED REF")</f>
        <v/>
      </c>
    </row>
    <row r="11725">
      <c r="B11725" t="n">
        <v>34402280</v>
      </c>
      <c r="C11725" s="2" t="n">
        <v>40591</v>
      </c>
      <c r="D11725" t="inlineStr">
        <is>
          <t>NOM</t>
        </is>
      </c>
      <c r="E11725" t="inlineStr">
        <is>
          <t>LG COFFRET DISJ G6k 400-500kVA (terasaki avec self)</t>
        </is>
      </c>
      <c r="F11725" t="inlineStr">
        <is>
          <t>COFFRET DISJ G6K</t>
        </is>
      </c>
      <c r="J11725" t="inlineStr">
        <is>
          <t>ROBERT</t>
        </is>
      </c>
      <c r="L11725">
        <f>_xlfn.XLOOKUP(Tableau1[[#This Row],[TYPE DE PIECE]],Tableau4[MATIERE],Tableau4[SHORT TYPE],"",0,1)</f>
        <v/>
      </c>
      <c r="N11725">
        <f>IF(ISERR(FIND("DECOUPE",Tableau1[[#This Row],[DESIGNATION]])),"","NEED REF")</f>
        <v/>
      </c>
    </row>
    <row r="11726">
      <c r="B11726" t="n">
        <v>34402279</v>
      </c>
      <c r="C11726" s="2" t="n">
        <v>40583</v>
      </c>
      <c r="D11726" t="inlineStr">
        <is>
          <t>NOM</t>
        </is>
      </c>
      <c r="E11726" t="inlineStr">
        <is>
          <t>LG NS2400kVA G9K 4000A COMPLET AVEC 2 INTERS/TNC/VISION/TGAB R2/AFFAIRE France Telecom</t>
        </is>
      </c>
      <c r="F11726" t="inlineStr">
        <is>
          <t xml:space="preserve">G9K </t>
        </is>
      </c>
      <c r="J11726" t="inlineStr">
        <is>
          <t>MONGELLI</t>
        </is>
      </c>
      <c r="L11726">
        <f>_xlfn.XLOOKUP(Tableau1[[#This Row],[TYPE DE PIECE]],Tableau4[MATIERE],Tableau4[SHORT TYPE],"",0,1)</f>
        <v/>
      </c>
      <c r="N11726">
        <f>IF(ISERR(FIND("DECOUPE",Tableau1[[#This Row],[DESIGNATION]])),"","NEED REF")</f>
        <v/>
      </c>
    </row>
    <row r="11727">
      <c r="B11727" t="n">
        <v>34402278</v>
      </c>
      <c r="C11727" s="2" t="n">
        <v>40583</v>
      </c>
      <c r="D11727" t="inlineStr">
        <is>
          <t>SPEC</t>
        </is>
      </c>
      <c r="E11727" t="inlineStr">
        <is>
          <t>plage eclissage PH3 externe</t>
        </is>
      </c>
      <c r="F11727" t="inlineStr">
        <is>
          <t>G7K NS2000</t>
        </is>
      </c>
      <c r="J11727" t="inlineStr">
        <is>
          <t>REVEL</t>
        </is>
      </c>
      <c r="L11727">
        <f>_xlfn.XLOOKUP(Tableau1[[#This Row],[TYPE DE PIECE]],Tableau4[MATIERE],Tableau4[SHORT TYPE],"",0,1)</f>
        <v/>
      </c>
      <c r="N11727">
        <f>IF(ISERR(FIND("DECOUPE",Tableau1[[#This Row],[DESIGNATION]])),"","NEED REF")</f>
        <v/>
      </c>
    </row>
    <row r="11728">
      <c r="B11728" t="n">
        <v>34402277</v>
      </c>
      <c r="C11728" s="2" t="n">
        <v>40583</v>
      </c>
      <c r="D11728" t="inlineStr">
        <is>
          <t>SPEC</t>
        </is>
      </c>
      <c r="E11728" t="inlineStr">
        <is>
          <t>plage eclissage PH3 interne</t>
        </is>
      </c>
      <c r="F11728" t="inlineStr">
        <is>
          <t>G7K NS2000</t>
        </is>
      </c>
      <c r="J11728" t="inlineStr">
        <is>
          <t>REVEL</t>
        </is>
      </c>
      <c r="L11728">
        <f>_xlfn.XLOOKUP(Tableau1[[#This Row],[TYPE DE PIECE]],Tableau4[MATIERE],Tableau4[SHORT TYPE],"",0,1)</f>
        <v/>
      </c>
      <c r="N11728">
        <f>IF(ISERR(FIND("DECOUPE",Tableau1[[#This Row],[DESIGNATION]])),"","NEED REF")</f>
        <v/>
      </c>
    </row>
    <row r="11729">
      <c r="B11729" t="n">
        <v>34402276</v>
      </c>
      <c r="C11729" s="2" t="n">
        <v>40583</v>
      </c>
      <c r="D11729" t="inlineStr">
        <is>
          <t>SPEC</t>
        </is>
      </c>
      <c r="E11729" t="inlineStr">
        <is>
          <t>plage eclissage PH2 externe</t>
        </is>
      </c>
      <c r="F11729" t="inlineStr">
        <is>
          <t>G7K NS2000</t>
        </is>
      </c>
      <c r="J11729" t="inlineStr">
        <is>
          <t>REVEL</t>
        </is>
      </c>
      <c r="L11729">
        <f>_xlfn.XLOOKUP(Tableau1[[#This Row],[TYPE DE PIECE]],Tableau4[MATIERE],Tableau4[SHORT TYPE],"",0,1)</f>
        <v/>
      </c>
      <c r="N11729">
        <f>IF(ISERR(FIND("DECOUPE",Tableau1[[#This Row],[DESIGNATION]])),"","NEED REF")</f>
        <v/>
      </c>
    </row>
    <row r="11730">
      <c r="B11730" t="n">
        <v>34402275</v>
      </c>
      <c r="C11730" s="2" t="n">
        <v>40583</v>
      </c>
      <c r="D11730" t="inlineStr">
        <is>
          <t>SPEC</t>
        </is>
      </c>
      <c r="E11730" t="inlineStr">
        <is>
          <t>plage eclissage PH2 interne</t>
        </is>
      </c>
      <c r="F11730" t="inlineStr">
        <is>
          <t>G7K NS2000</t>
        </is>
      </c>
      <c r="J11730" t="inlineStr">
        <is>
          <t>REVEL</t>
        </is>
      </c>
      <c r="L11730">
        <f>_xlfn.XLOOKUP(Tableau1[[#This Row],[TYPE DE PIECE]],Tableau4[MATIERE],Tableau4[SHORT TYPE],"",0,1)</f>
        <v/>
      </c>
      <c r="N11730">
        <f>IF(ISERR(FIND("DECOUPE",Tableau1[[#This Row],[DESIGNATION]])),"","NEED REF")</f>
        <v/>
      </c>
    </row>
    <row r="11731">
      <c r="B11731" t="n">
        <v>34402274</v>
      </c>
      <c r="C11731" s="2" t="n">
        <v>40583</v>
      </c>
      <c r="D11731" t="inlineStr">
        <is>
          <t>SPEC</t>
        </is>
      </c>
      <c r="E11731" t="inlineStr">
        <is>
          <t>plage eclissage PH1 interne</t>
        </is>
      </c>
      <c r="F11731" t="inlineStr">
        <is>
          <t>G7K NS2000</t>
        </is>
      </c>
      <c r="J11731" t="inlineStr">
        <is>
          <t>REVEL</t>
        </is>
      </c>
      <c r="L11731">
        <f>_xlfn.XLOOKUP(Tableau1[[#This Row],[TYPE DE PIECE]],Tableau4[MATIERE],Tableau4[SHORT TYPE],"",0,1)</f>
        <v/>
      </c>
      <c r="N11731">
        <f>IF(ISERR(FIND("DECOUPE",Tableau1[[#This Row],[DESIGNATION]])),"","NEED REF")</f>
        <v/>
      </c>
    </row>
    <row r="11732">
      <c r="B11732" t="n">
        <v>34402273</v>
      </c>
      <c r="C11732" s="2" t="n">
        <v>40583</v>
      </c>
      <c r="D11732" t="inlineStr">
        <is>
          <t>SPEC</t>
        </is>
      </c>
      <c r="E11732" t="inlineStr">
        <is>
          <t>plage eclissage PH1 externe</t>
        </is>
      </c>
      <c r="F11732" t="inlineStr">
        <is>
          <t>G7K NS2000</t>
        </is>
      </c>
      <c r="J11732" t="inlineStr">
        <is>
          <t>REVEL</t>
        </is>
      </c>
      <c r="L11732">
        <f>_xlfn.XLOOKUP(Tableau1[[#This Row],[TYPE DE PIECE]],Tableau4[MATIERE],Tableau4[SHORT TYPE],"",0,1)</f>
        <v/>
      </c>
      <c r="N11732">
        <f>IF(ISERR(FIND("DECOUPE",Tableau1[[#This Row],[DESIGNATION]])),"","NEED REF")</f>
        <v/>
      </c>
    </row>
    <row r="11733">
      <c r="B11733" t="n">
        <v>34402272</v>
      </c>
      <c r="C11733" s="2" t="n">
        <v>40583</v>
      </c>
      <c r="D11733" t="inlineStr">
        <is>
          <t>SPEC</t>
        </is>
      </c>
      <c r="E11733" t="inlineStr">
        <is>
          <t>barre neutre interne</t>
        </is>
      </c>
      <c r="F11733" t="inlineStr">
        <is>
          <t>G7K NS2000</t>
        </is>
      </c>
      <c r="J11733" t="inlineStr">
        <is>
          <t>REVEL</t>
        </is>
      </c>
      <c r="L11733">
        <f>_xlfn.XLOOKUP(Tableau1[[#This Row],[TYPE DE PIECE]],Tableau4[MATIERE],Tableau4[SHORT TYPE],"",0,1)</f>
        <v/>
      </c>
      <c r="N11733">
        <f>IF(ISERR(FIND("DECOUPE",Tableau1[[#This Row],[DESIGNATION]])),"","NEED REF")</f>
        <v/>
      </c>
    </row>
    <row r="11734">
      <c r="B11734" t="n">
        <v>34402271</v>
      </c>
      <c r="C11734" s="2" t="n">
        <v>40583</v>
      </c>
      <c r="D11734" t="inlineStr">
        <is>
          <t>SPEC</t>
        </is>
      </c>
      <c r="E11734" t="inlineStr">
        <is>
          <t>barre neutre externe</t>
        </is>
      </c>
      <c r="F11734" t="inlineStr">
        <is>
          <t>G7K NS2000</t>
        </is>
      </c>
      <c r="J11734" t="inlineStr">
        <is>
          <t>REVEL</t>
        </is>
      </c>
      <c r="L11734">
        <f>_xlfn.XLOOKUP(Tableau1[[#This Row],[TYPE DE PIECE]],Tableau4[MATIERE],Tableau4[SHORT TYPE],"",0,1)</f>
        <v/>
      </c>
      <c r="N11734">
        <f>IF(ISERR(FIND("DECOUPE",Tableau1[[#This Row],[DESIGNATION]])),"","NEED REF")</f>
        <v/>
      </c>
    </row>
    <row r="11735">
      <c r="B11735" t="n">
        <v>34402270</v>
      </c>
      <c r="C11735" s="2" t="n">
        <v>40583</v>
      </c>
      <c r="D11735" t="inlineStr">
        <is>
          <t>SPEC</t>
        </is>
      </c>
      <c r="E11735" t="inlineStr">
        <is>
          <t>plage eclissage neutre interne</t>
        </is>
      </c>
      <c r="F11735" t="inlineStr">
        <is>
          <t>G7K NS2000</t>
        </is>
      </c>
      <c r="J11735" t="inlineStr">
        <is>
          <t>REVEL</t>
        </is>
      </c>
      <c r="L11735">
        <f>_xlfn.XLOOKUP(Tableau1[[#This Row],[TYPE DE PIECE]],Tableau4[MATIERE],Tableau4[SHORT TYPE],"",0,1)</f>
        <v/>
      </c>
      <c r="N11735">
        <f>IF(ISERR(FIND("DECOUPE",Tableau1[[#This Row],[DESIGNATION]])),"","NEED REF")</f>
        <v/>
      </c>
    </row>
    <row r="11736">
      <c r="B11736" t="n">
        <v>34402269</v>
      </c>
      <c r="C11736" s="2" t="n">
        <v>40583</v>
      </c>
      <c r="D11736" t="inlineStr">
        <is>
          <t>SPEC</t>
        </is>
      </c>
      <c r="E11736" t="inlineStr">
        <is>
          <t>plage eclissage neutre externe</t>
        </is>
      </c>
      <c r="F11736" t="inlineStr">
        <is>
          <t>G7K NS2000</t>
        </is>
      </c>
      <c r="J11736" t="inlineStr">
        <is>
          <t>REVEL</t>
        </is>
      </c>
      <c r="L11736">
        <f>_xlfn.XLOOKUP(Tableau1[[#This Row],[TYPE DE PIECE]],Tableau4[MATIERE],Tableau4[SHORT TYPE],"",0,1)</f>
        <v/>
      </c>
      <c r="N11736">
        <f>IF(ISERR(FIND("DECOUPE",Tableau1[[#This Row],[DESIGNATION]])),"","NEED REF")</f>
        <v/>
      </c>
    </row>
    <row r="11737">
      <c r="B11737" t="n">
        <v>34402268</v>
      </c>
      <c r="C11737" s="2" t="n">
        <v>40583</v>
      </c>
      <c r="D11737" t="inlineStr">
        <is>
          <t>SPEC</t>
        </is>
      </c>
      <c r="E11737" t="inlineStr">
        <is>
          <t>Panneau arriere G5K (larg 400) - Pour Peinture Spécial</t>
        </is>
      </c>
      <c r="F11737" t="inlineStr">
        <is>
          <t>G5K</t>
        </is>
      </c>
      <c r="J11737" t="inlineStr">
        <is>
          <t>MATRION</t>
        </is>
      </c>
      <c r="L11737">
        <f>_xlfn.XLOOKUP(Tableau1[[#This Row],[TYPE DE PIECE]],Tableau4[MATIERE],Tableau4[SHORT TYPE],"",0,1)</f>
        <v/>
      </c>
      <c r="N11737">
        <f>IF(ISERR(FIND("DECOUPE",Tableau1[[#This Row],[DESIGNATION]])),"","NEED REF")</f>
        <v/>
      </c>
    </row>
    <row r="11738">
      <c r="B11738" t="n">
        <v>34402267</v>
      </c>
      <c r="C11738" s="2" t="n">
        <v>40583</v>
      </c>
      <c r="D11738" t="inlineStr">
        <is>
          <t>SPEC</t>
        </is>
      </c>
      <c r="E11738" t="inlineStr">
        <is>
          <t>Panneau arriere G5K (larg 1000) - Pour Peinture Spécial</t>
        </is>
      </c>
      <c r="F11738" t="inlineStr">
        <is>
          <t>G5K</t>
        </is>
      </c>
      <c r="J11738" t="inlineStr">
        <is>
          <t>MATRION</t>
        </is>
      </c>
      <c r="L11738">
        <f>_xlfn.XLOOKUP(Tableau1[[#This Row],[TYPE DE PIECE]],Tableau4[MATIERE],Tableau4[SHORT TYPE],"",0,1)</f>
        <v/>
      </c>
      <c r="N11738">
        <f>IF(ISERR(FIND("DECOUPE",Tableau1[[#This Row],[DESIGNATION]])),"","NEED REF")</f>
        <v/>
      </c>
    </row>
    <row r="11739">
      <c r="B11739" t="n">
        <v>34402266</v>
      </c>
      <c r="C11739" s="2" t="n">
        <v>40582</v>
      </c>
      <c r="D11739" t="inlineStr">
        <is>
          <t>CDC</t>
        </is>
      </c>
      <c r="E11739" t="inlineStr">
        <is>
          <t>2xNS2400kVA G9K Complet avec 2 inters + écran vision avec 1 NS avec éclissage à droite Util et 1 NS avec éclissage à gauche Util + TGAB R2</t>
        </is>
      </c>
      <c r="F11739" t="inlineStr">
        <is>
          <t>G9K</t>
        </is>
      </c>
      <c r="J11739" t="inlineStr">
        <is>
          <t>MONGELLI</t>
        </is>
      </c>
      <c r="L11739">
        <f>_xlfn.XLOOKUP(Tableau1[[#This Row],[TYPE DE PIECE]],Tableau4[MATIERE],Tableau4[SHORT TYPE],"",0,1)</f>
        <v/>
      </c>
      <c r="N11739">
        <f>IF(ISERR(FIND("DECOUPE",Tableau1[[#This Row],[DESIGNATION]])),"","NEED REF")</f>
        <v/>
      </c>
    </row>
    <row r="11740">
      <c r="B11740" t="n">
        <v>34402265</v>
      </c>
      <c r="C11740" s="2" t="n">
        <v>40578</v>
      </c>
      <c r="D11740" t="inlineStr">
        <is>
          <t>SPEC</t>
        </is>
      </c>
      <c r="E11740" t="inlineStr">
        <is>
          <t>Support self</t>
        </is>
      </c>
      <c r="F11740" t="inlineStr">
        <is>
          <t>COFFRET DISJ G6K</t>
        </is>
      </c>
      <c r="J11740" t="inlineStr">
        <is>
          <t>ROBERT</t>
        </is>
      </c>
      <c r="L11740">
        <f>_xlfn.XLOOKUP(Tableau1[[#This Row],[TYPE DE PIECE]],Tableau4[MATIERE],Tableau4[SHORT TYPE],"",0,1)</f>
        <v/>
      </c>
      <c r="N11740">
        <f>IF(ISERR(FIND("DECOUPE",Tableau1[[#This Row],[DESIGNATION]])),"","NEED REF")</f>
        <v/>
      </c>
    </row>
    <row r="11741">
      <c r="B11741" t="n">
        <v>34402264</v>
      </c>
      <c r="C11741" s="2" t="n">
        <v>40578</v>
      </c>
      <c r="D11741" t="inlineStr">
        <is>
          <t>SPEC</t>
        </is>
      </c>
      <c r="E11741" t="inlineStr">
        <is>
          <t>Ecran de protection bas</t>
        </is>
      </c>
      <c r="F11741" t="inlineStr">
        <is>
          <t>COFFRET DISJ G6K</t>
        </is>
      </c>
      <c r="J11741" t="inlineStr">
        <is>
          <t>ROBERT</t>
        </is>
      </c>
      <c r="L11741">
        <f>_xlfn.XLOOKUP(Tableau1[[#This Row],[TYPE DE PIECE]],Tableau4[MATIERE],Tableau4[SHORT TYPE],"",0,1)</f>
        <v/>
      </c>
      <c r="N11741">
        <f>IF(ISERR(FIND("DECOUPE",Tableau1[[#This Row],[DESIGNATION]])),"","NEED REF")</f>
        <v/>
      </c>
    </row>
    <row r="11742">
      <c r="B11742" t="n">
        <v>34402263</v>
      </c>
      <c r="C11742" s="2" t="n">
        <v>40578</v>
      </c>
      <c r="D11742" t="inlineStr">
        <is>
          <t>SPEC</t>
        </is>
      </c>
      <c r="E11742" t="inlineStr">
        <is>
          <t>Ecran de protection haut</t>
        </is>
      </c>
      <c r="F11742" t="inlineStr">
        <is>
          <t>COFFRET DISJ G6K</t>
        </is>
      </c>
      <c r="J11742" t="inlineStr">
        <is>
          <t>ROBERT</t>
        </is>
      </c>
      <c r="L11742">
        <f>_xlfn.XLOOKUP(Tableau1[[#This Row],[TYPE DE PIECE]],Tableau4[MATIERE],Tableau4[SHORT TYPE],"",0,1)</f>
        <v/>
      </c>
      <c r="N11742">
        <f>IF(ISERR(FIND("DECOUPE",Tableau1[[#This Row],[DESIGNATION]])),"","NEED REF")</f>
        <v/>
      </c>
    </row>
    <row r="11743">
      <c r="B11743" t="n">
        <v>34402262</v>
      </c>
      <c r="C11743" s="2" t="n">
        <v>40578</v>
      </c>
      <c r="D11743" t="inlineStr">
        <is>
          <t>SPEC</t>
        </is>
      </c>
      <c r="E11743" t="inlineStr">
        <is>
          <t>Raccordement cote ASI (+)</t>
        </is>
      </c>
      <c r="F11743" t="inlineStr">
        <is>
          <t>COFFRET DISJ G6K</t>
        </is>
      </c>
      <c r="J11743" t="inlineStr">
        <is>
          <t>ROBERT</t>
        </is>
      </c>
      <c r="L11743">
        <f>_xlfn.XLOOKUP(Tableau1[[#This Row],[TYPE DE PIECE]],Tableau4[MATIERE],Tableau4[SHORT TYPE],"",0,1)</f>
        <v/>
      </c>
      <c r="N11743">
        <f>IF(ISERR(FIND("DECOUPE",Tableau1[[#This Row],[DESIGNATION]])),"","NEED REF")</f>
        <v/>
      </c>
    </row>
    <row r="11744">
      <c r="B11744" t="n">
        <v>34402261</v>
      </c>
      <c r="C11744" s="2" t="n">
        <v>40578</v>
      </c>
      <c r="D11744" t="inlineStr">
        <is>
          <t>SPEC</t>
        </is>
      </c>
      <c r="E11744" t="inlineStr">
        <is>
          <t>Pièce de jonction self / barre (+)</t>
        </is>
      </c>
      <c r="F11744" t="inlineStr">
        <is>
          <t>COFFRET DISJ G6K</t>
        </is>
      </c>
      <c r="J11744" t="inlineStr">
        <is>
          <t>ROBERT</t>
        </is>
      </c>
      <c r="L11744">
        <f>_xlfn.XLOOKUP(Tableau1[[#This Row],[TYPE DE PIECE]],Tableau4[MATIERE],Tableau4[SHORT TYPE],"",0,1)</f>
        <v/>
      </c>
      <c r="N11744">
        <f>IF(ISERR(FIND("DECOUPE",Tableau1[[#This Row],[DESIGNATION]])),"","NEED REF")</f>
        <v/>
      </c>
    </row>
    <row r="11745">
      <c r="B11745" t="n">
        <v>34402260</v>
      </c>
      <c r="C11745" s="2" t="n">
        <v>40577</v>
      </c>
      <c r="D11745" t="inlineStr">
        <is>
          <t>NOM</t>
        </is>
      </c>
      <c r="E11745" t="inlineStr">
        <is>
          <t>LG coffret dj batterie G6000 3xNS630 400kVA</t>
        </is>
      </c>
      <c r="F11745" t="inlineStr">
        <is>
          <t>COFFRET DISJ G6K</t>
        </is>
      </c>
      <c r="J11745" t="inlineStr">
        <is>
          <t>ROBERT</t>
        </is>
      </c>
      <c r="L11745">
        <f>_xlfn.XLOOKUP(Tableau1[[#This Row],[TYPE DE PIECE]],Tableau4[MATIERE],Tableau4[SHORT TYPE],"",0,1)</f>
        <v/>
      </c>
      <c r="N11745">
        <f>IF(ISERR(FIND("DECOUPE",Tableau1[[#This Row],[DESIGNATION]])),"","NEED REF")</f>
        <v/>
      </c>
    </row>
    <row r="11746">
      <c r="B11746" t="n">
        <v>34402259</v>
      </c>
      <c r="C11746" s="2" t="n">
        <v>40577</v>
      </c>
      <c r="D11746" t="inlineStr">
        <is>
          <t>SPEC</t>
        </is>
      </c>
      <c r="E11746" t="inlineStr">
        <is>
          <t>Pontage cote ASI (+)</t>
        </is>
      </c>
      <c r="F11746" t="inlineStr">
        <is>
          <t>COFFRET DISJ G6K</t>
        </is>
      </c>
      <c r="J11746" t="inlineStr">
        <is>
          <t>ROBERT</t>
        </is>
      </c>
      <c r="L11746">
        <f>_xlfn.XLOOKUP(Tableau1[[#This Row],[TYPE DE PIECE]],Tableau4[MATIERE],Tableau4[SHORT TYPE],"",0,1)</f>
        <v/>
      </c>
      <c r="N11746">
        <f>IF(ISERR(FIND("DECOUPE",Tableau1[[#This Row],[DESIGNATION]])),"","NEED REF")</f>
        <v/>
      </c>
    </row>
    <row r="11747">
      <c r="B11747" t="n">
        <v>34402258</v>
      </c>
      <c r="C11747" s="2" t="n">
        <v>40577</v>
      </c>
      <c r="D11747" t="inlineStr">
        <is>
          <t>SPEC</t>
        </is>
      </c>
      <c r="E11747" t="inlineStr">
        <is>
          <t>PLATINE SUPPORT 3 DISJONCTEURS</t>
        </is>
      </c>
      <c r="F11747" t="inlineStr">
        <is>
          <t>COFFRET DISJ G6K</t>
        </is>
      </c>
      <c r="J11747" t="inlineStr">
        <is>
          <t>ROBERT</t>
        </is>
      </c>
      <c r="L11747">
        <f>_xlfn.XLOOKUP(Tableau1[[#This Row],[TYPE DE PIECE]],Tableau4[MATIERE],Tableau4[SHORT TYPE],"",0,1)</f>
        <v/>
      </c>
      <c r="N11747">
        <f>IF(ISERR(FIND("DECOUPE",Tableau1[[#This Row],[DESIGNATION]])),"","NEED REF")</f>
        <v/>
      </c>
    </row>
    <row r="11748">
      <c r="B11748" t="n">
        <v>34402257</v>
      </c>
      <c r="C11748" s="2" t="n">
        <v>40577</v>
      </c>
      <c r="D11748" t="inlineStr">
        <is>
          <t>NOM</t>
        </is>
      </c>
      <c r="E11748" t="inlineStr">
        <is>
          <t>ISOLATION ACOUSTIQUE ARRIERE G5K 712</t>
        </is>
      </c>
      <c r="F11748" t="inlineStr">
        <is>
          <t>G5000</t>
        </is>
      </c>
      <c r="J11748" t="inlineStr">
        <is>
          <t>MATRION</t>
        </is>
      </c>
      <c r="L11748">
        <f>_xlfn.XLOOKUP(Tableau1[[#This Row],[TYPE DE PIECE]],Tableau4[MATIERE],Tableau4[SHORT TYPE],"",0,1)</f>
        <v/>
      </c>
      <c r="N11748">
        <f>IF(ISERR(FIND("DECOUPE",Tableau1[[#This Row],[DESIGNATION]])),"","NEED REF")</f>
        <v/>
      </c>
    </row>
    <row r="11749">
      <c r="B11749" t="n">
        <v>34402256</v>
      </c>
      <c r="C11749" s="2" t="n">
        <v>40562</v>
      </c>
      <c r="D11749" t="inlineStr">
        <is>
          <t>SPEC</t>
        </is>
      </c>
      <c r="E11749" t="inlineStr">
        <is>
          <t>Test Oracle</t>
        </is>
      </c>
      <c r="J11749" t="inlineStr">
        <is>
          <t>ÇAKIR</t>
        </is>
      </c>
      <c r="L11749">
        <f>_xlfn.XLOOKUP(Tableau1[[#This Row],[TYPE DE PIECE]],Tableau4[MATIERE],Tableau4[SHORT TYPE],"",0,1)</f>
        <v/>
      </c>
      <c r="N11749">
        <f>IF(ISERR(FIND("DECOUPE",Tableau1[[#This Row],[DESIGNATION]])),"","NEED REF")</f>
        <v/>
      </c>
    </row>
    <row r="11750">
      <c r="B11750" t="n">
        <v>34402255</v>
      </c>
      <c r="C11750" s="2" t="n">
        <v>40554</v>
      </c>
      <c r="D11750" t="inlineStr">
        <is>
          <t>SPEC</t>
        </is>
      </c>
      <c r="E11750" t="inlineStr">
        <is>
          <t>TOLE BIRDY L=1012 2 INS 630</t>
        </is>
      </c>
      <c r="F11750" t="inlineStr">
        <is>
          <t>BIRDY</t>
        </is>
      </c>
      <c r="J11750" t="inlineStr">
        <is>
          <t>REVEL</t>
        </is>
      </c>
      <c r="L11750">
        <f>_xlfn.XLOOKUP(Tableau1[[#This Row],[TYPE DE PIECE]],Tableau4[MATIERE],Tableau4[SHORT TYPE],"",0,1)</f>
        <v/>
      </c>
      <c r="N11750">
        <f>IF(ISERR(FIND("DECOUPE",Tableau1[[#This Row],[DESIGNATION]])),"","NEED REF")</f>
        <v/>
      </c>
    </row>
    <row r="11751">
      <c r="B11751" t="n">
        <v>34402254</v>
      </c>
      <c r="C11751" s="2" t="n">
        <v>40547</v>
      </c>
      <c r="D11751" t="inlineStr">
        <is>
          <t>SPEC</t>
        </is>
      </c>
      <c r="E11751" t="inlineStr">
        <is>
          <t>TOLE SEPARATION</t>
        </is>
      </c>
      <c r="F11751" t="inlineStr">
        <is>
          <t xml:space="preserve">NS2000 G7K </t>
        </is>
      </c>
      <c r="J11751" t="inlineStr">
        <is>
          <t>REVEL</t>
        </is>
      </c>
      <c r="L11751">
        <f>_xlfn.XLOOKUP(Tableau1[[#This Row],[TYPE DE PIECE]],Tableau4[MATIERE],Tableau4[SHORT TYPE],"",0,1)</f>
        <v/>
      </c>
      <c r="N11751">
        <f>IF(ISERR(FIND("DECOUPE",Tableau1[[#This Row],[DESIGNATION]])),"","NEED REF")</f>
        <v/>
      </c>
    </row>
    <row r="11752">
      <c r="B11752" t="n">
        <v>34402253</v>
      </c>
      <c r="C11752" s="2" t="n">
        <v>40547</v>
      </c>
      <c r="D11752" t="inlineStr">
        <is>
          <t>SPEC</t>
        </is>
      </c>
      <c r="E11752" t="inlineStr">
        <is>
          <t>BARRE NEUTRE RACCORDEMENT ECLISSAGE UTIL ASI</t>
        </is>
      </c>
      <c r="F11752" t="inlineStr">
        <is>
          <t xml:space="preserve">NS2000 G7K </t>
        </is>
      </c>
      <c r="J11752" t="inlineStr">
        <is>
          <t>REVEL</t>
        </is>
      </c>
      <c r="L11752">
        <f>_xlfn.XLOOKUP(Tableau1[[#This Row],[TYPE DE PIECE]],Tableau4[MATIERE],Tableau4[SHORT TYPE],"",0,1)</f>
        <v/>
      </c>
      <c r="N11752">
        <f>IF(ISERR(FIND("DECOUPE",Tableau1[[#This Row],[DESIGNATION]])),"","NEED REF")</f>
        <v/>
      </c>
    </row>
    <row r="11753">
      <c r="B11753" t="n">
        <v>34402252</v>
      </c>
      <c r="C11753" s="2" t="n">
        <v>40547</v>
      </c>
      <c r="D11753" t="inlineStr">
        <is>
          <t>SPEC</t>
        </is>
      </c>
      <c r="E11753" t="inlineStr">
        <is>
          <t>BARRE NEUTRE RACCORDEMENT ECLISSAGE UTIL ASI</t>
        </is>
      </c>
      <c r="F11753" t="inlineStr">
        <is>
          <t xml:space="preserve">NS2000 G7K </t>
        </is>
      </c>
      <c r="J11753" t="inlineStr">
        <is>
          <t>REVEL</t>
        </is>
      </c>
      <c r="L11753">
        <f>_xlfn.XLOOKUP(Tableau1[[#This Row],[TYPE DE PIECE]],Tableau4[MATIERE],Tableau4[SHORT TYPE],"",0,1)</f>
        <v/>
      </c>
      <c r="N11753">
        <f>IF(ISERR(FIND("DECOUPE",Tableau1[[#This Row],[DESIGNATION]])),"","NEED REF")</f>
        <v/>
      </c>
    </row>
    <row r="11754">
      <c r="B11754" t="n">
        <v>34402251</v>
      </c>
      <c r="C11754" s="2" t="n">
        <v>40546</v>
      </c>
      <c r="D11754" t="inlineStr">
        <is>
          <t>SPEC</t>
        </is>
      </c>
      <c r="E11754" t="inlineStr">
        <is>
          <t>BARRE RACCORDEMENT ECLISSAGE UTIL ASI</t>
        </is>
      </c>
      <c r="F11754" t="inlineStr">
        <is>
          <t xml:space="preserve">NS2000 G7K </t>
        </is>
      </c>
      <c r="J11754" t="inlineStr">
        <is>
          <t>REVEL</t>
        </is>
      </c>
      <c r="L11754">
        <f>_xlfn.XLOOKUP(Tableau1[[#This Row],[TYPE DE PIECE]],Tableau4[MATIERE],Tableau4[SHORT TYPE],"",0,1)</f>
        <v/>
      </c>
      <c r="N11754">
        <f>IF(ISERR(FIND("DECOUPE",Tableau1[[#This Row],[DESIGNATION]])),"","NEED REF")</f>
        <v/>
      </c>
    </row>
    <row r="11755">
      <c r="B11755" t="n">
        <v>34402250</v>
      </c>
      <c r="C11755" s="2" t="n">
        <v>40546</v>
      </c>
      <c r="D11755" t="inlineStr">
        <is>
          <t>SPEC</t>
        </is>
      </c>
      <c r="E11755" t="inlineStr">
        <is>
          <t>BARRE RACCORDEMENT RESEAU 2 TGB LONGUE</t>
        </is>
      </c>
      <c r="F11755" t="inlineStr">
        <is>
          <t xml:space="preserve">NS2000 G7K </t>
        </is>
      </c>
      <c r="J11755" t="inlineStr">
        <is>
          <t>REVEL</t>
        </is>
      </c>
      <c r="L11755">
        <f>_xlfn.XLOOKUP(Tableau1[[#This Row],[TYPE DE PIECE]],Tableau4[MATIERE],Tableau4[SHORT TYPE],"",0,1)</f>
        <v/>
      </c>
      <c r="N11755">
        <f>IF(ISERR(FIND("DECOUPE",Tableau1[[#This Row],[DESIGNATION]])),"","NEED REF")</f>
        <v/>
      </c>
    </row>
    <row r="11756">
      <c r="B11756" t="n">
        <v>34402249</v>
      </c>
      <c r="C11756" s="2" t="n">
        <v>40546</v>
      </c>
      <c r="D11756" t="inlineStr">
        <is>
          <t>SPEC</t>
        </is>
      </c>
      <c r="E11756" t="inlineStr">
        <is>
          <t>BARRE RACCORDEMENT RESEAU 2 TGB COURTE</t>
        </is>
      </c>
      <c r="F11756" t="inlineStr">
        <is>
          <t xml:space="preserve">NS2000 G7K </t>
        </is>
      </c>
      <c r="J11756" t="inlineStr">
        <is>
          <t>REVEL</t>
        </is>
      </c>
      <c r="L11756">
        <f>_xlfn.XLOOKUP(Tableau1[[#This Row],[TYPE DE PIECE]],Tableau4[MATIERE],Tableau4[SHORT TYPE],"",0,1)</f>
        <v/>
      </c>
      <c r="N11756">
        <f>IF(ISERR(FIND("DECOUPE",Tableau1[[#This Row],[DESIGNATION]])),"","NEED REF")</f>
        <v/>
      </c>
    </row>
    <row r="11757">
      <c r="B11757" t="n">
        <v>34402248</v>
      </c>
      <c r="C11757" s="2" t="n">
        <v>40546</v>
      </c>
      <c r="D11757" t="inlineStr">
        <is>
          <t>SPEC</t>
        </is>
      </c>
      <c r="E11757" t="inlineStr">
        <is>
          <t>CALE DE SERRAGE 100X100X10</t>
        </is>
      </c>
      <c r="F11757" t="inlineStr">
        <is>
          <t xml:space="preserve">NS2000 G7K </t>
        </is>
      </c>
      <c r="J11757" t="inlineStr">
        <is>
          <t>REVEL</t>
        </is>
      </c>
      <c r="L11757">
        <f>_xlfn.XLOOKUP(Tableau1[[#This Row],[TYPE DE PIECE]],Tableau4[MATIERE],Tableau4[SHORT TYPE],"",0,1)</f>
        <v/>
      </c>
      <c r="N11757">
        <f>IF(ISERR(FIND("DECOUPE",Tableau1[[#This Row],[DESIGNATION]])),"","NEED REF")</f>
        <v/>
      </c>
    </row>
    <row r="11758">
      <c r="B11758" t="n">
        <v>34402247</v>
      </c>
      <c r="C11758" s="2" t="n">
        <v>40546</v>
      </c>
      <c r="D11758" t="inlineStr">
        <is>
          <t>SPEC</t>
        </is>
      </c>
      <c r="E11758" t="inlineStr">
        <is>
          <t>BARRE ECLISSAGE CELLULE TGBT CLIENT</t>
        </is>
      </c>
      <c r="F11758" t="inlineStr">
        <is>
          <t xml:space="preserve">NS2000 G7K </t>
        </is>
      </c>
      <c r="J11758" t="inlineStr">
        <is>
          <t>REVEL</t>
        </is>
      </c>
      <c r="L11758">
        <f>_xlfn.XLOOKUP(Tableau1[[#This Row],[TYPE DE PIECE]],Tableau4[MATIERE],Tableau4[SHORT TYPE],"",0,1)</f>
        <v/>
      </c>
      <c r="N11758">
        <f>IF(ISERR(FIND("DECOUPE",Tableau1[[#This Row],[DESIGNATION]])),"","NEED REF")</f>
        <v/>
      </c>
    </row>
    <row r="11759">
      <c r="B11759" t="n">
        <v>34402246</v>
      </c>
      <c r="C11759" s="2" t="n">
        <v>40542</v>
      </c>
      <c r="D11759" t="inlineStr">
        <is>
          <t>SPEC</t>
        </is>
      </c>
      <c r="E11759" t="inlineStr">
        <is>
          <t>ECRAN DE PROTECTION 3 DJ</t>
        </is>
      </c>
      <c r="F11759" t="inlineStr">
        <is>
          <t>COFFRET DISJ G7K</t>
        </is>
      </c>
      <c r="J11759" t="inlineStr">
        <is>
          <t>REVEL</t>
        </is>
      </c>
      <c r="L11759">
        <f>_xlfn.XLOOKUP(Tableau1[[#This Row],[TYPE DE PIECE]],Tableau4[MATIERE],Tableau4[SHORT TYPE],"",0,1)</f>
        <v/>
      </c>
      <c r="N11759">
        <f>IF(ISERR(FIND("DECOUPE",Tableau1[[#This Row],[DESIGNATION]])),"","NEED REF")</f>
        <v/>
      </c>
    </row>
    <row r="11760">
      <c r="B11760" t="n">
        <v>34402245</v>
      </c>
      <c r="C11760" s="2" t="n">
        <v>40539</v>
      </c>
      <c r="D11760" t="inlineStr">
        <is>
          <t>DM</t>
        </is>
      </c>
      <c r="E11760" t="inlineStr">
        <is>
          <t>DOSSIER DE MONTAGE KIT ADAPTATION 440V POUR ASI 80kVA</t>
        </is>
      </c>
      <c r="F11760" t="inlineStr">
        <is>
          <t>G5000</t>
        </is>
      </c>
      <c r="J11760" t="inlineStr">
        <is>
          <t>ROGEAT</t>
        </is>
      </c>
      <c r="L11760">
        <f>_xlfn.XLOOKUP(Tableau1[[#This Row],[TYPE DE PIECE]],Tableau4[MATIERE],Tableau4[SHORT TYPE],"",0,1)</f>
        <v/>
      </c>
      <c r="N11760">
        <f>IF(ISERR(FIND("DECOUPE",Tableau1[[#This Row],[DESIGNATION]])),"","NEED REF")</f>
        <v/>
      </c>
    </row>
    <row r="11761">
      <c r="B11761" t="n">
        <v>34402244</v>
      </c>
      <c r="C11761" s="2" t="n">
        <v>40533</v>
      </c>
      <c r="D11761" t="inlineStr">
        <is>
          <t>NOM</t>
        </is>
      </c>
      <c r="E11761" t="inlineStr">
        <is>
          <t>Kit de raccordement cuivre pour NS3150A                                                           (2 kits idem sauf prix) NON UTILE</t>
        </is>
      </c>
      <c r="F11761" t="inlineStr">
        <is>
          <t xml:space="preserve">G6000 </t>
        </is>
      </c>
      <c r="J11761" t="inlineStr">
        <is>
          <t>ROGEAT</t>
        </is>
      </c>
      <c r="L11761">
        <f>_xlfn.XLOOKUP(Tableau1[[#This Row],[TYPE DE PIECE]],Tableau4[MATIERE],Tableau4[SHORT TYPE],"",0,1)</f>
        <v/>
      </c>
      <c r="N11761">
        <f>IF(ISERR(FIND("DECOUPE",Tableau1[[#This Row],[DESIGNATION]])),"","NEED REF")</f>
        <v/>
      </c>
    </row>
    <row r="11762">
      <c r="B11762" t="n">
        <v>34402243</v>
      </c>
      <c r="C11762" s="2" t="n">
        <v>40515</v>
      </c>
      <c r="D11762" t="inlineStr">
        <is>
          <t>SPEC</t>
        </is>
      </c>
      <c r="E11762" t="inlineStr">
        <is>
          <t>Montant 200mm</t>
        </is>
      </c>
      <c r="F11762" t="inlineStr">
        <is>
          <t>CAISSON SUP BIRDY</t>
        </is>
      </c>
      <c r="L11762">
        <f>_xlfn.XLOOKUP(Tableau1[[#This Row],[TYPE DE PIECE]],Tableau4[MATIERE],Tableau4[SHORT TYPE],"",0,1)</f>
        <v/>
      </c>
      <c r="N11762">
        <f>IF(ISERR(FIND("DECOUPE",Tableau1[[#This Row],[DESIGNATION]])),"","NEED REF")</f>
        <v/>
      </c>
    </row>
    <row r="11763">
      <c r="B11763" t="n">
        <v>34402242</v>
      </c>
      <c r="C11763" s="2" t="n">
        <v>40515</v>
      </c>
      <c r="D11763" t="inlineStr">
        <is>
          <t>SPEC</t>
        </is>
      </c>
      <c r="E11763" t="inlineStr">
        <is>
          <t>TOLE SUPPORT COMM STS</t>
        </is>
      </c>
      <c r="F11763" t="inlineStr">
        <is>
          <t>STS G7000</t>
        </is>
      </c>
      <c r="J11763" t="inlineStr">
        <is>
          <t>ROBERT</t>
        </is>
      </c>
      <c r="L11763">
        <f>_xlfn.XLOOKUP(Tableau1[[#This Row],[TYPE DE PIECE]],Tableau4[MATIERE],Tableau4[SHORT TYPE],"",0,1)</f>
        <v/>
      </c>
      <c r="N11763">
        <f>IF(ISERR(FIND("DECOUPE",Tableau1[[#This Row],[DESIGNATION]])),"","NEED REF")</f>
        <v/>
      </c>
    </row>
    <row r="11764">
      <c r="B11764" t="n">
        <v>34402241</v>
      </c>
      <c r="C11764" s="2" t="n">
        <v>40515</v>
      </c>
      <c r="D11764" t="inlineStr">
        <is>
          <t>DM</t>
        </is>
      </c>
      <c r="E11764" t="inlineStr">
        <is>
          <t xml:space="preserve">DOSSIER DE REPRISE CEM - STS1000/1200A </t>
        </is>
      </c>
      <c r="F11764" t="inlineStr">
        <is>
          <t>STS G7000</t>
        </is>
      </c>
      <c r="J11764" t="inlineStr">
        <is>
          <t>ROGEAT</t>
        </is>
      </c>
      <c r="L11764">
        <f>_xlfn.XLOOKUP(Tableau1[[#This Row],[TYPE DE PIECE]],Tableau4[MATIERE],Tableau4[SHORT TYPE],"",0,1)</f>
        <v/>
      </c>
      <c r="N11764">
        <f>IF(ISERR(FIND("DECOUPE",Tableau1[[#This Row],[DESIGNATION]])),"","NEED REF")</f>
        <v/>
      </c>
    </row>
    <row r="11765">
      <c r="B11765" t="n">
        <v>34402240</v>
      </c>
      <c r="C11765" s="2" t="n"/>
      <c r="D11765" t="inlineStr">
        <is>
          <t>NOM</t>
        </is>
      </c>
      <c r="E11765" t="inlineStr">
        <is>
          <t>STS800-1200A - Gaine DROITE - 4P Raccordement HAUT</t>
        </is>
      </c>
      <c r="F11765" t="inlineStr">
        <is>
          <t>STS G7000</t>
        </is>
      </c>
      <c r="J11765" t="inlineStr">
        <is>
          <t>MATRION</t>
        </is>
      </c>
      <c r="L11765">
        <f>_xlfn.XLOOKUP(Tableau1[[#This Row],[TYPE DE PIECE]],Tableau4[MATIERE],Tableau4[SHORT TYPE],"",0,1)</f>
        <v/>
      </c>
      <c r="N11765">
        <f>IF(ISERR(FIND("DECOUPE",Tableau1[[#This Row],[DESIGNATION]])),"","NEED REF")</f>
        <v/>
      </c>
    </row>
    <row r="11766">
      <c r="B11766" t="n">
        <v>34402239</v>
      </c>
      <c r="C11766" s="2" t="n"/>
      <c r="D11766" t="inlineStr">
        <is>
          <t>NOM</t>
        </is>
      </c>
      <c r="E11766" t="inlineStr">
        <is>
          <t>STS800-1200A - Gaine DROITE - 4P Raccordement BAS</t>
        </is>
      </c>
      <c r="F11766" t="inlineStr">
        <is>
          <t>STS G7000</t>
        </is>
      </c>
      <c r="J11766" t="inlineStr">
        <is>
          <t>MATRION</t>
        </is>
      </c>
      <c r="L11766">
        <f>_xlfn.XLOOKUP(Tableau1[[#This Row],[TYPE DE PIECE]],Tableau4[MATIERE],Tableau4[SHORT TYPE],"",0,1)</f>
        <v/>
      </c>
      <c r="N11766">
        <f>IF(ISERR(FIND("DECOUPE",Tableau1[[#This Row],[DESIGNATION]])),"","NEED REF")</f>
        <v/>
      </c>
    </row>
    <row r="11767">
      <c r="B11767" t="n">
        <v>34402238</v>
      </c>
      <c r="C11767" s="2" t="n"/>
      <c r="D11767" t="inlineStr">
        <is>
          <t>NOM</t>
        </is>
      </c>
      <c r="E11767" t="inlineStr">
        <is>
          <t>STS800-1200A - Gaine DROITE - 3P Raccordement HAUT</t>
        </is>
      </c>
      <c r="F11767" t="inlineStr">
        <is>
          <t>STS G7000</t>
        </is>
      </c>
      <c r="J11767" t="inlineStr">
        <is>
          <t>MATRION</t>
        </is>
      </c>
      <c r="L11767">
        <f>_xlfn.XLOOKUP(Tableau1[[#This Row],[TYPE DE PIECE]],Tableau4[MATIERE],Tableau4[SHORT TYPE],"",0,1)</f>
        <v/>
      </c>
      <c r="N11767">
        <f>IF(ISERR(FIND("DECOUPE",Tableau1[[#This Row],[DESIGNATION]])),"","NEED REF")</f>
        <v/>
      </c>
    </row>
    <row r="11768">
      <c r="B11768" t="n">
        <v>34402237</v>
      </c>
      <c r="C11768" s="2" t="n"/>
      <c r="D11768" t="inlineStr">
        <is>
          <t>NOM</t>
        </is>
      </c>
      <c r="E11768" t="inlineStr">
        <is>
          <t>STS800-1200A - Gaine DROITE - 3P Raccordement BAS</t>
        </is>
      </c>
      <c r="F11768" t="inlineStr">
        <is>
          <t>STS G7000</t>
        </is>
      </c>
      <c r="J11768" t="inlineStr">
        <is>
          <t>MATRION</t>
        </is>
      </c>
      <c r="L11768">
        <f>_xlfn.XLOOKUP(Tableau1[[#This Row],[TYPE DE PIECE]],Tableau4[MATIERE],Tableau4[SHORT TYPE],"",0,1)</f>
        <v/>
      </c>
      <c r="N11768">
        <f>IF(ISERR(FIND("DECOUPE",Tableau1[[#This Row],[DESIGNATION]])),"","NEED REF")</f>
        <v/>
      </c>
    </row>
    <row r="11769">
      <c r="B11769" t="n">
        <v>34402236</v>
      </c>
      <c r="C11769" s="2" t="n"/>
      <c r="D11769" t="inlineStr">
        <is>
          <t>NOM</t>
        </is>
      </c>
      <c r="E11769" t="inlineStr">
        <is>
          <t>STS800-1200A - Gaine GAUCHE - 4P Raccordement HAUT</t>
        </is>
      </c>
      <c r="F11769" t="inlineStr">
        <is>
          <t>STS G7000</t>
        </is>
      </c>
      <c r="J11769" t="inlineStr">
        <is>
          <t>MATRION</t>
        </is>
      </c>
      <c r="L11769">
        <f>_xlfn.XLOOKUP(Tableau1[[#This Row],[TYPE DE PIECE]],Tableau4[MATIERE],Tableau4[SHORT TYPE],"",0,1)</f>
        <v/>
      </c>
      <c r="N11769">
        <f>IF(ISERR(FIND("DECOUPE",Tableau1[[#This Row],[DESIGNATION]])),"","NEED REF")</f>
        <v/>
      </c>
    </row>
    <row r="11770">
      <c r="B11770" t="n">
        <v>34402235</v>
      </c>
      <c r="C11770" s="2" t="n"/>
      <c r="D11770" t="inlineStr">
        <is>
          <t>NOM</t>
        </is>
      </c>
      <c r="E11770" t="inlineStr">
        <is>
          <t>STS800-1200A - Gaine GAUCHE - 4P Raccordement BAS</t>
        </is>
      </c>
      <c r="F11770" t="inlineStr">
        <is>
          <t>STS G7000</t>
        </is>
      </c>
      <c r="J11770" t="inlineStr">
        <is>
          <t>MATRION</t>
        </is>
      </c>
      <c r="L11770">
        <f>_xlfn.XLOOKUP(Tableau1[[#This Row],[TYPE DE PIECE]],Tableau4[MATIERE],Tableau4[SHORT TYPE],"",0,1)</f>
        <v/>
      </c>
      <c r="N11770">
        <f>IF(ISERR(FIND("DECOUPE",Tableau1[[#This Row],[DESIGNATION]])),"","NEED REF")</f>
        <v/>
      </c>
    </row>
    <row r="11771">
      <c r="B11771" t="n">
        <v>34402234</v>
      </c>
      <c r="C11771" s="2" t="n"/>
      <c r="D11771" t="inlineStr">
        <is>
          <t>NOM</t>
        </is>
      </c>
      <c r="E11771" t="inlineStr">
        <is>
          <t>STS800-1200A - Gaine GAUCHE - 3P Raccordement HAUT</t>
        </is>
      </c>
      <c r="F11771" t="inlineStr">
        <is>
          <t>STS G7000</t>
        </is>
      </c>
      <c r="J11771" t="inlineStr">
        <is>
          <t>MATRION</t>
        </is>
      </c>
      <c r="L11771">
        <f>_xlfn.XLOOKUP(Tableau1[[#This Row],[TYPE DE PIECE]],Tableau4[MATIERE],Tableau4[SHORT TYPE],"",0,1)</f>
        <v/>
      </c>
      <c r="N11771">
        <f>IF(ISERR(FIND("DECOUPE",Tableau1[[#This Row],[DESIGNATION]])),"","NEED REF")</f>
        <v/>
      </c>
    </row>
    <row r="11772">
      <c r="B11772" t="n">
        <v>34402233</v>
      </c>
      <c r="C11772" s="2" t="n"/>
      <c r="D11772" t="inlineStr">
        <is>
          <t>NOM</t>
        </is>
      </c>
      <c r="E11772" t="inlineStr">
        <is>
          <t>STS800-1200A - Gaine GAUCHE - 3P Raccordement BAS</t>
        </is>
      </c>
      <c r="F11772" t="inlineStr">
        <is>
          <t>STS G7000</t>
        </is>
      </c>
      <c r="J11772" t="inlineStr">
        <is>
          <t>MATRION</t>
        </is>
      </c>
      <c r="L11772">
        <f>_xlfn.XLOOKUP(Tableau1[[#This Row],[TYPE DE PIECE]],Tableau4[MATIERE],Tableau4[SHORT TYPE],"",0,1)</f>
        <v/>
      </c>
      <c r="N11772">
        <f>IF(ISERR(FIND("DECOUPE",Tableau1[[#This Row],[DESIGNATION]])),"","NEED REF")</f>
        <v/>
      </c>
    </row>
    <row r="11773">
      <c r="B11773" t="n">
        <v>34402232</v>
      </c>
      <c r="C11773" s="2" t="n"/>
      <c r="D11773" t="inlineStr">
        <is>
          <t>NOM</t>
        </is>
      </c>
      <c r="E11773" t="inlineStr">
        <is>
          <t>STS800-1200A - Centrale - 4P Raccordement HAUT</t>
        </is>
      </c>
      <c r="F11773" t="inlineStr">
        <is>
          <t>STS G7000</t>
        </is>
      </c>
      <c r="J11773" t="inlineStr">
        <is>
          <t>MATRION</t>
        </is>
      </c>
      <c r="L11773">
        <f>_xlfn.XLOOKUP(Tableau1[[#This Row],[TYPE DE PIECE]],Tableau4[MATIERE],Tableau4[SHORT TYPE],"",0,1)</f>
        <v/>
      </c>
      <c r="N11773">
        <f>IF(ISERR(FIND("DECOUPE",Tableau1[[#This Row],[DESIGNATION]])),"","NEED REF")</f>
        <v/>
      </c>
    </row>
    <row r="11774">
      <c r="B11774" t="n">
        <v>34402231</v>
      </c>
      <c r="C11774" s="2" t="n"/>
      <c r="D11774" t="inlineStr">
        <is>
          <t>NOM</t>
        </is>
      </c>
      <c r="E11774" t="inlineStr">
        <is>
          <t>STS800-1200A - Centrale - 4P Raccordement BAS</t>
        </is>
      </c>
      <c r="F11774" t="inlineStr">
        <is>
          <t>STS G7000</t>
        </is>
      </c>
      <c r="J11774" t="inlineStr">
        <is>
          <t>MATRION</t>
        </is>
      </c>
      <c r="L11774">
        <f>_xlfn.XLOOKUP(Tableau1[[#This Row],[TYPE DE PIECE]],Tableau4[MATIERE],Tableau4[SHORT TYPE],"",0,1)</f>
        <v/>
      </c>
      <c r="N11774">
        <f>IF(ISERR(FIND("DECOUPE",Tableau1[[#This Row],[DESIGNATION]])),"","NEED REF")</f>
        <v/>
      </c>
    </row>
    <row r="11775">
      <c r="B11775" t="n">
        <v>34402230</v>
      </c>
      <c r="C11775" s="2" t="n"/>
      <c r="D11775" t="inlineStr">
        <is>
          <t>NOM</t>
        </is>
      </c>
      <c r="E11775" t="inlineStr">
        <is>
          <t>STS800-1200A - Centrale - 3P Raccordement HAUT</t>
        </is>
      </c>
      <c r="F11775" t="inlineStr">
        <is>
          <t>STS G7000</t>
        </is>
      </c>
      <c r="J11775" t="inlineStr">
        <is>
          <t>MATRION</t>
        </is>
      </c>
      <c r="L11775">
        <f>_xlfn.XLOOKUP(Tableau1[[#This Row],[TYPE DE PIECE]],Tableau4[MATIERE],Tableau4[SHORT TYPE],"",0,1)</f>
        <v/>
      </c>
      <c r="N11775">
        <f>IF(ISERR(FIND("DECOUPE",Tableau1[[#This Row],[DESIGNATION]])),"","NEED REF")</f>
        <v/>
      </c>
    </row>
    <row r="11776">
      <c r="B11776" t="n">
        <v>34402229</v>
      </c>
      <c r="C11776" s="2" t="n"/>
      <c r="D11776" t="inlineStr">
        <is>
          <t>NOM</t>
        </is>
      </c>
      <c r="E11776" t="inlineStr">
        <is>
          <t>STS800-1200A - Centrale - 3P Raccordement BAS</t>
        </is>
      </c>
      <c r="F11776" t="inlineStr">
        <is>
          <t>STS G7000</t>
        </is>
      </c>
      <c r="J11776" t="inlineStr">
        <is>
          <t>MATRION</t>
        </is>
      </c>
      <c r="L11776">
        <f>_xlfn.XLOOKUP(Tableau1[[#This Row],[TYPE DE PIECE]],Tableau4[MATIERE],Tableau4[SHORT TYPE],"",0,1)</f>
        <v/>
      </c>
      <c r="N11776">
        <f>IF(ISERR(FIND("DECOUPE",Tableau1[[#This Row],[DESIGNATION]])),"","NEED REF")</f>
        <v/>
      </c>
    </row>
    <row r="11777">
      <c r="B11777" t="n">
        <v>34402228</v>
      </c>
      <c r="C11777" s="2" t="n">
        <v>40504</v>
      </c>
      <c r="D11777" t="inlineStr">
        <is>
          <t>SPEC</t>
        </is>
      </c>
      <c r="E11777" t="inlineStr">
        <is>
          <t>Caissons armoires birdy toutes largeurs</t>
        </is>
      </c>
      <c r="F11777" t="inlineStr">
        <is>
          <t>G7000</t>
        </is>
      </c>
      <c r="L11777">
        <f>_xlfn.XLOOKUP(Tableau1[[#This Row],[TYPE DE PIECE]],Tableau4[MATIERE],Tableau4[SHORT TYPE],"",0,1)</f>
        <v/>
      </c>
      <c r="N11777">
        <f>IF(ISERR(FIND("DECOUPE",Tableau1[[#This Row],[DESIGNATION]])),"","NEED REF")</f>
        <v/>
      </c>
    </row>
    <row r="11778">
      <c r="B11778" t="n">
        <v>34402227</v>
      </c>
      <c r="C11778" s="2" t="n">
        <v>40501</v>
      </c>
      <c r="D11778" t="inlineStr">
        <is>
          <t>NOM</t>
        </is>
      </c>
      <c r="E11778" t="inlineStr">
        <is>
          <t>LG armoire PDPM277H</t>
        </is>
      </c>
      <c r="F11778" t="inlineStr">
        <is>
          <t>PDPM277H</t>
        </is>
      </c>
      <c r="J11778" t="inlineStr">
        <is>
          <t>REVEL</t>
        </is>
      </c>
      <c r="L11778">
        <f>_xlfn.XLOOKUP(Tableau1[[#This Row],[TYPE DE PIECE]],Tableau4[MATIERE],Tableau4[SHORT TYPE],"",0,1)</f>
        <v/>
      </c>
      <c r="N11778">
        <f>IF(ISERR(FIND("DECOUPE",Tableau1[[#This Row],[DESIGNATION]])),"","NEED REF")</f>
        <v/>
      </c>
    </row>
    <row r="11779">
      <c r="B11779" t="n">
        <v>34402226</v>
      </c>
      <c r="C11779" s="2" t="n">
        <v>40498</v>
      </c>
      <c r="D11779" t="inlineStr">
        <is>
          <t>SPEC</t>
        </is>
      </c>
      <c r="E11779" t="inlineStr">
        <is>
          <t>Capot arriere G5k Antibruit</t>
        </is>
      </c>
      <c r="F11779" t="inlineStr">
        <is>
          <t>G5000</t>
        </is>
      </c>
      <c r="J11779" t="inlineStr">
        <is>
          <t>ROGEAT</t>
        </is>
      </c>
      <c r="L11779">
        <f>_xlfn.XLOOKUP(Tableau1[[#This Row],[TYPE DE PIECE]],Tableau4[MATIERE],Tableau4[SHORT TYPE],"",0,1)</f>
        <v/>
      </c>
      <c r="N11779">
        <f>IF(ISERR(FIND("DECOUPE",Tableau1[[#This Row],[DESIGNATION]])),"","NEED REF")</f>
        <v/>
      </c>
    </row>
    <row r="11780">
      <c r="B11780" t="n">
        <v>34402225</v>
      </c>
      <c r="C11780" s="2" t="n">
        <v>40498</v>
      </c>
      <c r="D11780" t="inlineStr">
        <is>
          <t>SPEC</t>
        </is>
      </c>
      <c r="E11780" t="inlineStr">
        <is>
          <t>Plaque de mousse G5k Antibruit</t>
        </is>
      </c>
      <c r="F11780" t="inlineStr">
        <is>
          <t>G5000</t>
        </is>
      </c>
      <c r="J11780" t="inlineStr">
        <is>
          <t>ROGEAT</t>
        </is>
      </c>
      <c r="L11780">
        <f>_xlfn.XLOOKUP(Tableau1[[#This Row],[TYPE DE PIECE]],Tableau4[MATIERE],Tableau4[SHORT TYPE],"",0,1)</f>
        <v/>
      </c>
      <c r="N11780">
        <f>IF(ISERR(FIND("DECOUPE",Tableau1[[#This Row],[DESIGNATION]])),"","NEED REF")</f>
        <v/>
      </c>
    </row>
    <row r="11781">
      <c r="B11781" t="n">
        <v>34402224</v>
      </c>
      <c r="C11781" s="2" t="n">
        <v>40498</v>
      </c>
      <c r="D11781" t="inlineStr">
        <is>
          <t>SPEC</t>
        </is>
      </c>
      <c r="E11781" t="inlineStr">
        <is>
          <t>Montant vertical G5k Antibruit</t>
        </is>
      </c>
      <c r="F11781" t="inlineStr">
        <is>
          <t>G5000</t>
        </is>
      </c>
      <c r="J11781" t="inlineStr">
        <is>
          <t>ROGEAT</t>
        </is>
      </c>
      <c r="L11781">
        <f>_xlfn.XLOOKUP(Tableau1[[#This Row],[TYPE DE PIECE]],Tableau4[MATIERE],Tableau4[SHORT TYPE],"",0,1)</f>
        <v/>
      </c>
      <c r="N11781">
        <f>IF(ISERR(FIND("DECOUPE",Tableau1[[#This Row],[DESIGNATION]])),"","NEED REF")</f>
        <v/>
      </c>
    </row>
    <row r="11782">
      <c r="B11782" t="n">
        <v>34402223</v>
      </c>
      <c r="C11782" s="2" t="n">
        <v>40497</v>
      </c>
      <c r="D11782" t="inlineStr">
        <is>
          <t>NOM</t>
        </is>
      </c>
      <c r="E11782" t="inlineStr">
        <is>
          <t>LG coffret dj batterie G3500 type SNCF</t>
        </is>
      </c>
      <c r="F11782" t="inlineStr">
        <is>
          <t>G3500</t>
        </is>
      </c>
      <c r="J11782" t="inlineStr">
        <is>
          <t>REVEL</t>
        </is>
      </c>
      <c r="L11782">
        <f>_xlfn.XLOOKUP(Tableau1[[#This Row],[TYPE DE PIECE]],Tableau4[MATIERE],Tableau4[SHORT TYPE],"",0,1)</f>
        <v/>
      </c>
      <c r="N11782">
        <f>IF(ISERR(FIND("DECOUPE",Tableau1[[#This Row],[DESIGNATION]])),"","NEED REF")</f>
        <v/>
      </c>
    </row>
    <row r="11783">
      <c r="B11783" t="n">
        <v>34402222</v>
      </c>
      <c r="C11783" s="2" t="n">
        <v>40492</v>
      </c>
      <c r="D11783" t="inlineStr">
        <is>
          <t>SPEC</t>
        </is>
      </c>
      <c r="E11783" t="inlineStr">
        <is>
          <t>BARRE de raccordement KIT DJ BAT G3500</t>
        </is>
      </c>
      <c r="F11783" t="inlineStr">
        <is>
          <t>G3500</t>
        </is>
      </c>
      <c r="J11783" t="inlineStr">
        <is>
          <t>ROGEAT</t>
        </is>
      </c>
      <c r="L11783">
        <f>_xlfn.XLOOKUP(Tableau1[[#This Row],[TYPE DE PIECE]],Tableau4[MATIERE],Tableau4[SHORT TYPE],"",0,1)</f>
        <v/>
      </c>
      <c r="N11783">
        <f>IF(ISERR(FIND("DECOUPE",Tableau1[[#This Row],[DESIGNATION]])),"","NEED REF")</f>
        <v/>
      </c>
    </row>
    <row r="11784">
      <c r="B11784" t="n">
        <v>34402221</v>
      </c>
      <c r="C11784" s="2" t="n">
        <v>40491</v>
      </c>
      <c r="D11784" t="inlineStr">
        <is>
          <t>SPEC</t>
        </is>
      </c>
      <c r="E11784" t="inlineStr">
        <is>
          <t>ECRAN DE PROTECTION</t>
        </is>
      </c>
      <c r="F11784" t="inlineStr">
        <is>
          <t>COFFRET DISJ G7K</t>
        </is>
      </c>
      <c r="J11784" t="inlineStr">
        <is>
          <t>REVEL</t>
        </is>
      </c>
      <c r="L11784">
        <f>_xlfn.XLOOKUP(Tableau1[[#This Row],[TYPE DE PIECE]],Tableau4[MATIERE],Tableau4[SHORT TYPE],"",0,1)</f>
        <v/>
      </c>
      <c r="N11784">
        <f>IF(ISERR(FIND("DECOUPE",Tableau1[[#This Row],[DESIGNATION]])),"","NEED REF")</f>
        <v/>
      </c>
    </row>
    <row r="11785">
      <c r="B11785" t="n">
        <v>34402220</v>
      </c>
      <c r="C11785" s="2" t="n">
        <v>40490</v>
      </c>
      <c r="D11785" t="inlineStr">
        <is>
          <t>SPEC</t>
        </is>
      </c>
      <c r="E11785" t="inlineStr">
        <is>
          <t>SUPPORT ECRAN PROTECTION</t>
        </is>
      </c>
      <c r="F11785" t="inlineStr">
        <is>
          <t>COFFRET DISJ G7K</t>
        </is>
      </c>
      <c r="J11785" t="inlineStr">
        <is>
          <t>REVEL</t>
        </is>
      </c>
      <c r="L11785">
        <f>_xlfn.XLOOKUP(Tableau1[[#This Row],[TYPE DE PIECE]],Tableau4[MATIERE],Tableau4[SHORT TYPE],"",0,1)</f>
        <v/>
      </c>
      <c r="N11785">
        <f>IF(ISERR(FIND("DECOUPE",Tableau1[[#This Row],[DESIGNATION]])),"","NEED REF")</f>
        <v/>
      </c>
    </row>
    <row r="11786">
      <c r="B11786" t="n">
        <v>34402219</v>
      </c>
      <c r="C11786" s="2" t="n">
        <v>40490</v>
      </c>
      <c r="D11786" t="inlineStr">
        <is>
          <t>SPEC</t>
        </is>
      </c>
      <c r="E11786" t="inlineStr">
        <is>
          <t>PLAGE SUPERIEURE DISJONCTEUR</t>
        </is>
      </c>
      <c r="F11786" t="inlineStr">
        <is>
          <t>COFFRET DISJ G7K</t>
        </is>
      </c>
      <c r="J11786" t="inlineStr">
        <is>
          <t>REVEL</t>
        </is>
      </c>
      <c r="L11786">
        <f>_xlfn.XLOOKUP(Tableau1[[#This Row],[TYPE DE PIECE]],Tableau4[MATIERE],Tableau4[SHORT TYPE],"",0,1)</f>
        <v/>
      </c>
      <c r="N11786">
        <f>IF(ISERR(FIND("DECOUPE",Tableau1[[#This Row],[DESIGNATION]])),"","NEED REF")</f>
        <v/>
      </c>
    </row>
    <row r="11787">
      <c r="B11787" t="n">
        <v>34402218</v>
      </c>
      <c r="C11787" s="2" t="n"/>
      <c r="D11787" t="inlineStr">
        <is>
          <t>SPEC</t>
        </is>
      </c>
      <c r="E11787" t="inlineStr">
        <is>
          <t>RESERVE</t>
        </is>
      </c>
      <c r="F11787" t="inlineStr">
        <is>
          <t>STS G7000</t>
        </is>
      </c>
      <c r="J11787" t="inlineStr">
        <is>
          <t>MATRION</t>
        </is>
      </c>
      <c r="L11787">
        <f>_xlfn.XLOOKUP(Tableau1[[#This Row],[TYPE DE PIECE]],Tableau4[MATIERE],Tableau4[SHORT TYPE],"",0,1)</f>
        <v/>
      </c>
      <c r="N11787">
        <f>IF(ISERR(FIND("DECOUPE",Tableau1[[#This Row],[DESIGNATION]])),"","NEED REF")</f>
        <v/>
      </c>
    </row>
    <row r="11788">
      <c r="B11788" t="n">
        <v>34402217</v>
      </c>
      <c r="C11788" s="2" t="n"/>
      <c r="D11788" t="inlineStr">
        <is>
          <t>SPEC</t>
        </is>
      </c>
      <c r="E11788" t="inlineStr">
        <is>
          <t>RESERVE</t>
        </is>
      </c>
      <c r="F11788" t="inlineStr">
        <is>
          <t>STS G7000</t>
        </is>
      </c>
      <c r="J11788" t="inlineStr">
        <is>
          <t>MATRION</t>
        </is>
      </c>
      <c r="L11788">
        <f>_xlfn.XLOOKUP(Tableau1[[#This Row],[TYPE DE PIECE]],Tableau4[MATIERE],Tableau4[SHORT TYPE],"",0,1)</f>
        <v/>
      </c>
      <c r="N11788">
        <f>IF(ISERR(FIND("DECOUPE",Tableau1[[#This Row],[DESIGNATION]])),"","NEED REF")</f>
        <v/>
      </c>
    </row>
    <row r="11789">
      <c r="B11789" t="n">
        <v>34402216</v>
      </c>
      <c r="C11789" s="2" t="n">
        <v>40487</v>
      </c>
      <c r="D11789" t="inlineStr">
        <is>
          <t>SPEC</t>
        </is>
      </c>
      <c r="E11789" t="inlineStr">
        <is>
          <t>SUPPORT FILS FIN MODULES DROE</t>
        </is>
      </c>
      <c r="F11789" t="inlineStr">
        <is>
          <t>STS G7000</t>
        </is>
      </c>
      <c r="J11789" t="inlineStr">
        <is>
          <t>MATRION</t>
        </is>
      </c>
      <c r="L11789">
        <f>_xlfn.XLOOKUP(Tableau1[[#This Row],[TYPE DE PIECE]],Tableau4[MATIERE],Tableau4[SHORT TYPE],"",0,1)</f>
        <v/>
      </c>
      <c r="N11789">
        <f>IF(ISERR(FIND("DECOUPE",Tableau1[[#This Row],[DESIGNATION]])),"","NEED REF")</f>
        <v/>
      </c>
    </row>
    <row r="11790">
      <c r="B11790" t="n">
        <v>34402215</v>
      </c>
      <c r="C11790" s="2" t="n">
        <v>40487</v>
      </c>
      <c r="D11790" t="inlineStr">
        <is>
          <t>SPEC</t>
        </is>
      </c>
      <c r="E11790" t="inlineStr">
        <is>
          <t>SUPPORT NAPPES CARTES MERE VERS DROE</t>
        </is>
      </c>
      <c r="F11790" t="inlineStr">
        <is>
          <t>STS G7000</t>
        </is>
      </c>
      <c r="J11790" t="inlineStr">
        <is>
          <t>MATRION</t>
        </is>
      </c>
      <c r="L11790">
        <f>_xlfn.XLOOKUP(Tableau1[[#This Row],[TYPE DE PIECE]],Tableau4[MATIERE],Tableau4[SHORT TYPE],"",0,1)</f>
        <v/>
      </c>
      <c r="N11790">
        <f>IF(ISERR(FIND("DECOUPE",Tableau1[[#This Row],[DESIGNATION]])),"","NEED REF")</f>
        <v/>
      </c>
    </row>
    <row r="11791">
      <c r="B11791" t="n">
        <v>34402214</v>
      </c>
      <c r="C11791" s="2" t="n">
        <v>40485</v>
      </c>
      <c r="D11791" t="inlineStr">
        <is>
          <t>SPEC</t>
        </is>
      </c>
      <c r="E11791" t="inlineStr">
        <is>
          <t>TRAVERSE SUPPORT BAS Q3</t>
        </is>
      </c>
      <c r="F11791" t="inlineStr">
        <is>
          <t>STS G7000</t>
        </is>
      </c>
      <c r="J11791" t="inlineStr">
        <is>
          <t>MATRION</t>
        </is>
      </c>
      <c r="L11791">
        <f>_xlfn.XLOOKUP(Tableau1[[#This Row],[TYPE DE PIECE]],Tableau4[MATIERE],Tableau4[SHORT TYPE],"",0,1)</f>
        <v/>
      </c>
      <c r="N11791">
        <f>IF(ISERR(FIND("DECOUPE",Tableau1[[#This Row],[DESIGNATION]])),"","NEED REF")</f>
        <v/>
      </c>
    </row>
    <row r="11792">
      <c r="B11792" t="n">
        <v>34402213</v>
      </c>
      <c r="C11792" s="2" t="n">
        <v>40485</v>
      </c>
      <c r="D11792" t="inlineStr">
        <is>
          <t>SPEC</t>
        </is>
      </c>
      <c r="E11792" t="inlineStr">
        <is>
          <t>SPT JDB UTIL HAUT L1000 2.2</t>
        </is>
      </c>
      <c r="F11792" t="inlineStr">
        <is>
          <t>STS G7000</t>
        </is>
      </c>
      <c r="J11792" t="inlineStr">
        <is>
          <t>MATRION</t>
        </is>
      </c>
      <c r="L11792">
        <f>_xlfn.XLOOKUP(Tableau1[[#This Row],[TYPE DE PIECE]],Tableau4[MATIERE],Tableau4[SHORT TYPE],"",0,1)</f>
        <v/>
      </c>
      <c r="N11792">
        <f>IF(ISERR(FIND("DECOUPE",Tableau1[[#This Row],[DESIGNATION]])),"","NEED REF")</f>
        <v/>
      </c>
    </row>
    <row r="11793">
      <c r="B11793" t="n">
        <v>34402212</v>
      </c>
      <c r="C11793" s="2" t="n">
        <v>40485</v>
      </c>
      <c r="D11793" t="inlineStr">
        <is>
          <t>SPEC</t>
        </is>
      </c>
      <c r="E11793" t="inlineStr">
        <is>
          <t>BARRE LIAISON EQUERRE CS S2</t>
        </is>
      </c>
      <c r="F11793" t="inlineStr">
        <is>
          <t>STS G7000</t>
        </is>
      </c>
      <c r="J11793" t="inlineStr">
        <is>
          <t>MATRION</t>
        </is>
      </c>
      <c r="L11793">
        <f>_xlfn.XLOOKUP(Tableau1[[#This Row],[TYPE DE PIECE]],Tableau4[MATIERE],Tableau4[SHORT TYPE],"",0,1)</f>
        <v/>
      </c>
      <c r="N11793">
        <f>IF(ISERR(FIND("DECOUPE",Tableau1[[#This Row],[DESIGNATION]])),"","NEED REF")</f>
        <v/>
      </c>
    </row>
    <row r="11794">
      <c r="B11794" t="n">
        <v>34402211</v>
      </c>
      <c r="C11794" s="2" t="n">
        <v>40485</v>
      </c>
      <c r="D11794" t="inlineStr">
        <is>
          <t>SPEC</t>
        </is>
      </c>
      <c r="E11794" t="inlineStr">
        <is>
          <t>RESEAU VERTICAL RACC HAUT S1/S2 L1+L3</t>
        </is>
      </c>
      <c r="F11794" t="inlineStr">
        <is>
          <t>STS G7000</t>
        </is>
      </c>
      <c r="J11794" t="inlineStr">
        <is>
          <t>MATRION</t>
        </is>
      </c>
      <c r="L11794">
        <f>_xlfn.XLOOKUP(Tableau1[[#This Row],[TYPE DE PIECE]],Tableau4[MATIERE],Tableau4[SHORT TYPE],"",0,1)</f>
        <v/>
      </c>
      <c r="N11794">
        <f>IF(ISERR(FIND("DECOUPE",Tableau1[[#This Row],[DESIGNATION]])),"","NEED REF")</f>
        <v/>
      </c>
    </row>
    <row r="11795">
      <c r="B11795" t="n">
        <v>34402210</v>
      </c>
      <c r="C11795" s="2" t="n">
        <v>40485</v>
      </c>
      <c r="D11795" t="inlineStr">
        <is>
          <t>SPEC</t>
        </is>
      </c>
      <c r="E11795" t="inlineStr">
        <is>
          <t>RESEAU VERTICAL RACC HAUT S1/S2 N+L2</t>
        </is>
      </c>
      <c r="F11795" t="inlineStr">
        <is>
          <t>STS G7000</t>
        </is>
      </c>
      <c r="J11795" t="inlineStr">
        <is>
          <t>MATRION</t>
        </is>
      </c>
      <c r="L11795">
        <f>_xlfn.XLOOKUP(Tableau1[[#This Row],[TYPE DE PIECE]],Tableau4[MATIERE],Tableau4[SHORT TYPE],"",0,1)</f>
        <v/>
      </c>
      <c r="N11795">
        <f>IF(ISERR(FIND("DECOUPE",Tableau1[[#This Row],[DESIGNATION]])),"","NEED REF")</f>
        <v/>
      </c>
    </row>
    <row r="11796">
      <c r="B11796" t="n">
        <v>34402209</v>
      </c>
      <c r="C11796" s="2" t="n">
        <v>40485</v>
      </c>
      <c r="D11796" t="inlineStr">
        <is>
          <t>SPEC</t>
        </is>
      </c>
      <c r="E11796" t="inlineStr">
        <is>
          <t>BARRE L3 LIAISON QBP - Q3 - RACC HAUT</t>
        </is>
      </c>
      <c r="F11796" t="inlineStr">
        <is>
          <t>STS G7000</t>
        </is>
      </c>
      <c r="J11796" t="inlineStr">
        <is>
          <t>MATRION</t>
        </is>
      </c>
      <c r="L11796">
        <f>_xlfn.XLOOKUP(Tableau1[[#This Row],[TYPE DE PIECE]],Tableau4[MATIERE],Tableau4[SHORT TYPE],"",0,1)</f>
        <v/>
      </c>
      <c r="N11796">
        <f>IF(ISERR(FIND("DECOUPE",Tableau1[[#This Row],[DESIGNATION]])),"","NEED REF")</f>
        <v/>
      </c>
    </row>
    <row r="11797">
      <c r="B11797" t="n">
        <v>34402208</v>
      </c>
      <c r="C11797" s="2" t="n">
        <v>40485</v>
      </c>
      <c r="D11797" t="inlineStr">
        <is>
          <t>SPEC</t>
        </is>
      </c>
      <c r="E11797" t="inlineStr">
        <is>
          <t>BARRE L2 LIAISON QBP - Q3 - RACC HAUT</t>
        </is>
      </c>
      <c r="F11797" t="inlineStr">
        <is>
          <t>STS G7000</t>
        </is>
      </c>
      <c r="J11797" t="inlineStr">
        <is>
          <t>MATRION</t>
        </is>
      </c>
      <c r="L11797">
        <f>_xlfn.XLOOKUP(Tableau1[[#This Row],[TYPE DE PIECE]],Tableau4[MATIERE],Tableau4[SHORT TYPE],"",0,1)</f>
        <v/>
      </c>
      <c r="N11797">
        <f>IF(ISERR(FIND("DECOUPE",Tableau1[[#This Row],[DESIGNATION]])),"","NEED REF")</f>
        <v/>
      </c>
    </row>
    <row r="11798">
      <c r="B11798" t="n">
        <v>34402207</v>
      </c>
      <c r="C11798" s="2" t="n">
        <v>40485</v>
      </c>
      <c r="D11798" t="inlineStr">
        <is>
          <t>SPEC</t>
        </is>
      </c>
      <c r="E11798" t="inlineStr">
        <is>
          <t>BARRE L1 LIAISON QBP - Q3 - RACC HAUT</t>
        </is>
      </c>
      <c r="F11798" t="inlineStr">
        <is>
          <t>STS G7000</t>
        </is>
      </c>
      <c r="J11798" t="inlineStr">
        <is>
          <t>MATRION</t>
        </is>
      </c>
      <c r="L11798">
        <f>_xlfn.XLOOKUP(Tableau1[[#This Row],[TYPE DE PIECE]],Tableau4[MATIERE],Tableau4[SHORT TYPE],"",0,1)</f>
        <v/>
      </c>
      <c r="N11798">
        <f>IF(ISERR(FIND("DECOUPE",Tableau1[[#This Row],[DESIGNATION]])),"","NEED REF")</f>
        <v/>
      </c>
    </row>
    <row r="11799">
      <c r="B11799" t="n">
        <v>34402206</v>
      </c>
      <c r="C11799" s="2" t="n">
        <v>40485</v>
      </c>
      <c r="D11799" t="inlineStr">
        <is>
          <t>SPEC</t>
        </is>
      </c>
      <c r="E11799" t="inlineStr">
        <is>
          <t>BARRE N LIAISON QBP - Q3 - RACC HAUT</t>
        </is>
      </c>
      <c r="F11799" t="inlineStr">
        <is>
          <t>STS G7000</t>
        </is>
      </c>
      <c r="J11799" t="inlineStr">
        <is>
          <t>MATRION</t>
        </is>
      </c>
      <c r="L11799">
        <f>_xlfn.XLOOKUP(Tableau1[[#This Row],[TYPE DE PIECE]],Tableau4[MATIERE],Tableau4[SHORT TYPE],"",0,1)</f>
        <v/>
      </c>
      <c r="N11799">
        <f>IF(ISERR(FIND("DECOUPE",Tableau1[[#This Row],[DESIGNATION]])),"","NEED REF")</f>
        <v/>
      </c>
    </row>
    <row r="11800">
      <c r="B11800" t="n">
        <v>34402205</v>
      </c>
      <c r="C11800" s="2" t="n">
        <v>40479</v>
      </c>
      <c r="D11800" t="inlineStr">
        <is>
          <t>SPEC</t>
        </is>
      </c>
      <c r="E11800" t="inlineStr">
        <is>
          <t>Plage de pontage pour raccord ASI 2 INS 630</t>
        </is>
      </c>
      <c r="F11800" t="inlineStr">
        <is>
          <t>COFFRET DISJ G7K</t>
        </is>
      </c>
      <c r="J11800" t="inlineStr">
        <is>
          <t>REVEL</t>
        </is>
      </c>
      <c r="L11800">
        <f>_xlfn.XLOOKUP(Tableau1[[#This Row],[TYPE DE PIECE]],Tableau4[MATIERE],Tableau4[SHORT TYPE],"",0,1)</f>
        <v/>
      </c>
      <c r="N11800">
        <f>IF(ISERR(FIND("DECOUPE",Tableau1[[#This Row],[DESIGNATION]])),"","NEED REF")</f>
        <v/>
      </c>
    </row>
    <row r="11801">
      <c r="B11801" t="n">
        <v>34402204</v>
      </c>
      <c r="C11801" s="2" t="n">
        <v>40479</v>
      </c>
      <c r="D11801" t="inlineStr">
        <is>
          <t>NOM</t>
        </is>
      </c>
      <c r="E11801" t="inlineStr">
        <is>
          <t>COFFRET DISJ BATTERIES 3 NS630N</t>
        </is>
      </c>
      <c r="F11801" t="inlineStr">
        <is>
          <t>COFFRET DISJ G7K</t>
        </is>
      </c>
      <c r="J11801" t="inlineStr">
        <is>
          <t>REVEL</t>
        </is>
      </c>
      <c r="L11801">
        <f>_xlfn.XLOOKUP(Tableau1[[#This Row],[TYPE DE PIECE]],Tableau4[MATIERE],Tableau4[SHORT TYPE],"",0,1)</f>
        <v/>
      </c>
      <c r="N11801">
        <f>IF(ISERR(FIND("DECOUPE",Tableau1[[#This Row],[DESIGNATION]])),"","NEED REF")</f>
        <v/>
      </c>
    </row>
    <row r="11802">
      <c r="B11802" t="n">
        <v>34402203</v>
      </c>
      <c r="C11802" s="2" t="n">
        <v>40479</v>
      </c>
      <c r="D11802" t="inlineStr">
        <is>
          <t>SPEC</t>
        </is>
      </c>
      <c r="E11802" t="inlineStr">
        <is>
          <t>PLAQUE DE PROTECTION</t>
        </is>
      </c>
      <c r="F11802" t="inlineStr">
        <is>
          <t>PDPM277H</t>
        </is>
      </c>
      <c r="J11802" t="inlineStr">
        <is>
          <t>REVEL</t>
        </is>
      </c>
      <c r="L11802">
        <f>_xlfn.XLOOKUP(Tableau1[[#This Row],[TYPE DE PIECE]],Tableau4[MATIERE],Tableau4[SHORT TYPE],"",0,1)</f>
        <v/>
      </c>
      <c r="N11802">
        <f>IF(ISERR(FIND("DECOUPE",Tableau1[[#This Row],[DESIGNATION]])),"","NEED REF")</f>
        <v/>
      </c>
    </row>
    <row r="11803">
      <c r="B11803" t="n">
        <v>34402202</v>
      </c>
      <c r="C11803" s="2" t="n">
        <v>40471</v>
      </c>
      <c r="D11803" t="inlineStr">
        <is>
          <t>NOM</t>
        </is>
      </c>
      <c r="E11803" t="inlineStr">
        <is>
          <t>COFFRET DISJ BATTERIES 2 NS630N</t>
        </is>
      </c>
      <c r="F11803" t="inlineStr">
        <is>
          <t>COFFRET DISJ G7K</t>
        </is>
      </c>
      <c r="J11803" t="inlineStr">
        <is>
          <t>ROBERT</t>
        </is>
      </c>
      <c r="L11803">
        <f>_xlfn.XLOOKUP(Tableau1[[#This Row],[TYPE DE PIECE]],Tableau4[MATIERE],Tableau4[SHORT TYPE],"",0,1)</f>
        <v/>
      </c>
      <c r="N11803">
        <f>IF(ISERR(FIND("DECOUPE",Tableau1[[#This Row],[DESIGNATION]])),"","NEED REF")</f>
        <v/>
      </c>
    </row>
    <row r="11804">
      <c r="B11804" t="n">
        <v>34402201</v>
      </c>
      <c r="C11804" s="2" t="n">
        <v>40471</v>
      </c>
      <c r="D11804" t="inlineStr">
        <is>
          <t>SPEC</t>
        </is>
      </c>
      <c r="E11804" t="inlineStr">
        <is>
          <t>Plage de pontage pour raccord ASI 2 INS 630</t>
        </is>
      </c>
      <c r="F11804" t="inlineStr">
        <is>
          <t>COFFRET DISJ G7K</t>
        </is>
      </c>
      <c r="J11804" t="inlineStr">
        <is>
          <t>REVEL</t>
        </is>
      </c>
      <c r="L11804">
        <f>_xlfn.XLOOKUP(Tableau1[[#This Row],[TYPE DE PIECE]],Tableau4[MATIERE],Tableau4[SHORT TYPE],"",0,1)</f>
        <v/>
      </c>
      <c r="N11804">
        <f>IF(ISERR(FIND("DECOUPE",Tableau1[[#This Row],[DESIGNATION]])),"","NEED REF")</f>
        <v/>
      </c>
    </row>
    <row r="11805">
      <c r="B11805" t="n">
        <v>34402200</v>
      </c>
      <c r="C11805" s="2" t="n">
        <v>40470</v>
      </c>
      <c r="D11805" t="inlineStr">
        <is>
          <t>SPEC</t>
        </is>
      </c>
      <c r="E11805" t="inlineStr">
        <is>
          <t>PLATINE SUPPORT 3 DISJONCTEURS</t>
        </is>
      </c>
      <c r="F11805" t="inlineStr">
        <is>
          <t>COFFRET DISJ G7K</t>
        </is>
      </c>
      <c r="J11805" t="inlineStr">
        <is>
          <t>ROBERT</t>
        </is>
      </c>
      <c r="L11805">
        <f>_xlfn.XLOOKUP(Tableau1[[#This Row],[TYPE DE PIECE]],Tableau4[MATIERE],Tableau4[SHORT TYPE],"",0,1)</f>
        <v/>
      </c>
      <c r="N11805">
        <f>IF(ISERR(FIND("DECOUPE",Tableau1[[#This Row],[DESIGNATION]])),"","NEED REF")</f>
        <v/>
      </c>
    </row>
    <row r="11806">
      <c r="B11806" t="n">
        <v>34402199</v>
      </c>
      <c r="C11806" s="2" t="n">
        <v>40463</v>
      </c>
      <c r="D11806" t="inlineStr">
        <is>
          <t>SPEC</t>
        </is>
      </c>
      <c r="E11806" t="inlineStr">
        <is>
          <t>PLATINE SUPPORT 2 DISJONCTEURS</t>
        </is>
      </c>
      <c r="F11806" t="inlineStr">
        <is>
          <t>COFFRET DISJ G7K</t>
        </is>
      </c>
      <c r="J11806" t="inlineStr">
        <is>
          <t>ROBERT</t>
        </is>
      </c>
      <c r="L11806">
        <f>_xlfn.XLOOKUP(Tableau1[[#This Row],[TYPE DE PIECE]],Tableau4[MATIERE],Tableau4[SHORT TYPE],"",0,1)</f>
        <v/>
      </c>
      <c r="N11806">
        <f>IF(ISERR(FIND("DECOUPE",Tableau1[[#This Row],[DESIGNATION]])),"","NEED REF")</f>
        <v/>
      </c>
    </row>
    <row r="11807">
      <c r="B11807" t="n">
        <v>34402198</v>
      </c>
      <c r="C11807" s="2" t="n">
        <v>40462</v>
      </c>
      <c r="D11807" t="inlineStr">
        <is>
          <t>SPEC</t>
        </is>
      </c>
      <c r="E11807" t="inlineStr">
        <is>
          <t>COFFRET DJ TERASAKI - Barre n°5b</t>
        </is>
      </c>
      <c r="F11807" t="inlineStr">
        <is>
          <t>COFFRET DISJ</t>
        </is>
      </c>
      <c r="J11807" t="inlineStr">
        <is>
          <t>ROGEAT</t>
        </is>
      </c>
      <c r="L11807">
        <f>_xlfn.XLOOKUP(Tableau1[[#This Row],[TYPE DE PIECE]],Tableau4[MATIERE],Tableau4[SHORT TYPE],"",0,1)</f>
        <v/>
      </c>
      <c r="N11807">
        <f>IF(ISERR(FIND("DECOUPE",Tableau1[[#This Row],[DESIGNATION]])),"","NEED REF")</f>
        <v/>
      </c>
    </row>
    <row r="11808">
      <c r="B11808" t="n">
        <v>34402197</v>
      </c>
      <c r="C11808" s="2" t="n">
        <v>40462</v>
      </c>
      <c r="D11808" t="inlineStr">
        <is>
          <t>SPEC</t>
        </is>
      </c>
      <c r="E11808" t="inlineStr">
        <is>
          <t>COFFRET DJ TERASAKI - Barre n°5a</t>
        </is>
      </c>
      <c r="F11808" t="inlineStr">
        <is>
          <t>COFFRET DISJ</t>
        </is>
      </c>
      <c r="J11808" t="inlineStr">
        <is>
          <t>ROGEAT</t>
        </is>
      </c>
      <c r="L11808">
        <f>_xlfn.XLOOKUP(Tableau1[[#This Row],[TYPE DE PIECE]],Tableau4[MATIERE],Tableau4[SHORT TYPE],"",0,1)</f>
        <v/>
      </c>
      <c r="N11808">
        <f>IF(ISERR(FIND("DECOUPE",Tableau1[[#This Row],[DESIGNATION]])),"","NEED REF")</f>
        <v/>
      </c>
    </row>
    <row r="11809">
      <c r="B11809" t="n">
        <v>34402196</v>
      </c>
      <c r="C11809" s="2" t="n">
        <v>40462</v>
      </c>
      <c r="D11809" t="inlineStr">
        <is>
          <t>SPEC</t>
        </is>
      </c>
      <c r="E11809" t="inlineStr">
        <is>
          <t>COFFRET DJ TERASAKI - Barre n°4</t>
        </is>
      </c>
      <c r="F11809" t="inlineStr">
        <is>
          <t>COFFRET DISJ</t>
        </is>
      </c>
      <c r="J11809" t="inlineStr">
        <is>
          <t>ROGEAT</t>
        </is>
      </c>
      <c r="L11809">
        <f>_xlfn.XLOOKUP(Tableau1[[#This Row],[TYPE DE PIECE]],Tableau4[MATIERE],Tableau4[SHORT TYPE],"",0,1)</f>
        <v/>
      </c>
      <c r="N11809">
        <f>IF(ISERR(FIND("DECOUPE",Tableau1[[#This Row],[DESIGNATION]])),"","NEED REF")</f>
        <v/>
      </c>
    </row>
    <row r="11810">
      <c r="B11810" t="n">
        <v>34402195</v>
      </c>
      <c r="C11810" s="2" t="n">
        <v>40462</v>
      </c>
      <c r="D11810" t="inlineStr">
        <is>
          <t>SPEC</t>
        </is>
      </c>
      <c r="E11810" t="inlineStr">
        <is>
          <t>COFFRET DJ TERASAKI - Barre n°3b</t>
        </is>
      </c>
      <c r="F11810" t="inlineStr">
        <is>
          <t>COFFRET DISJ</t>
        </is>
      </c>
      <c r="J11810" t="inlineStr">
        <is>
          <t>ROGEAT</t>
        </is>
      </c>
      <c r="L11810">
        <f>_xlfn.XLOOKUP(Tableau1[[#This Row],[TYPE DE PIECE]],Tableau4[MATIERE],Tableau4[SHORT TYPE],"",0,1)</f>
        <v/>
      </c>
      <c r="N11810">
        <f>IF(ISERR(FIND("DECOUPE",Tableau1[[#This Row],[DESIGNATION]])),"","NEED REF")</f>
        <v/>
      </c>
    </row>
    <row r="11811">
      <c r="B11811" t="n">
        <v>34402194</v>
      </c>
      <c r="C11811" s="2" t="n">
        <v>40462</v>
      </c>
      <c r="D11811" t="inlineStr">
        <is>
          <t>SPEC</t>
        </is>
      </c>
      <c r="E11811" t="inlineStr">
        <is>
          <t>COFFRET DJ TERASAKI - Barre n°3a</t>
        </is>
      </c>
      <c r="F11811" t="inlineStr">
        <is>
          <t>COFFRET DISJ</t>
        </is>
      </c>
      <c r="J11811" t="inlineStr">
        <is>
          <t>ROGEAT</t>
        </is>
      </c>
      <c r="L11811">
        <f>_xlfn.XLOOKUP(Tableau1[[#This Row],[TYPE DE PIECE]],Tableau4[MATIERE],Tableau4[SHORT TYPE],"",0,1)</f>
        <v/>
      </c>
      <c r="N11811">
        <f>IF(ISERR(FIND("DECOUPE",Tableau1[[#This Row],[DESIGNATION]])),"","NEED REF")</f>
        <v/>
      </c>
    </row>
    <row r="11812">
      <c r="B11812" t="n">
        <v>34402193</v>
      </c>
      <c r="C11812" s="2" t="n">
        <v>40462</v>
      </c>
      <c r="D11812" t="inlineStr">
        <is>
          <t>SPEC</t>
        </is>
      </c>
      <c r="E11812" t="inlineStr">
        <is>
          <t>COFFRET DJ TERASAKI - Barre n°2</t>
        </is>
      </c>
      <c r="F11812" t="inlineStr">
        <is>
          <t>COFFRET DISJ</t>
        </is>
      </c>
      <c r="J11812" t="inlineStr">
        <is>
          <t>ROGEAT</t>
        </is>
      </c>
      <c r="L11812">
        <f>_xlfn.XLOOKUP(Tableau1[[#This Row],[TYPE DE PIECE]],Tableau4[MATIERE],Tableau4[SHORT TYPE],"",0,1)</f>
        <v/>
      </c>
      <c r="N11812">
        <f>IF(ISERR(FIND("DECOUPE",Tableau1[[#This Row],[DESIGNATION]])),"","NEED REF")</f>
        <v/>
      </c>
    </row>
    <row r="11813">
      <c r="B11813" t="n">
        <v>34402192</v>
      </c>
      <c r="C11813" s="2" t="n">
        <v>40462</v>
      </c>
      <c r="D11813" t="inlineStr">
        <is>
          <t>SPEC</t>
        </is>
      </c>
      <c r="E11813" t="inlineStr">
        <is>
          <t>COFFRET DJ TERASAKI - Barre n°1b</t>
        </is>
      </c>
      <c r="F11813" t="inlineStr">
        <is>
          <t>COFFRET DISJ</t>
        </is>
      </c>
      <c r="J11813" t="inlineStr">
        <is>
          <t>ROGEAT</t>
        </is>
      </c>
      <c r="L11813">
        <f>_xlfn.XLOOKUP(Tableau1[[#This Row],[TYPE DE PIECE]],Tableau4[MATIERE],Tableau4[SHORT TYPE],"",0,1)</f>
        <v/>
      </c>
      <c r="N11813">
        <f>IF(ISERR(FIND("DECOUPE",Tableau1[[#This Row],[DESIGNATION]])),"","NEED REF")</f>
        <v/>
      </c>
    </row>
    <row r="11814">
      <c r="B11814" t="n">
        <v>34402191</v>
      </c>
      <c r="C11814" s="2" t="n">
        <v>40462</v>
      </c>
      <c r="D11814" t="inlineStr">
        <is>
          <t>SPEC</t>
        </is>
      </c>
      <c r="E11814" t="inlineStr">
        <is>
          <t>COFFRET DJ TERASAKI - Barre n°1a</t>
        </is>
      </c>
      <c r="F11814" t="inlineStr">
        <is>
          <t>COFFRET DISJ</t>
        </is>
      </c>
      <c r="J11814" t="inlineStr">
        <is>
          <t>ROGEAT</t>
        </is>
      </c>
      <c r="L11814">
        <f>_xlfn.XLOOKUP(Tableau1[[#This Row],[TYPE DE PIECE]],Tableau4[MATIERE],Tableau4[SHORT TYPE],"",0,1)</f>
        <v/>
      </c>
      <c r="N11814">
        <f>IF(ISERR(FIND("DECOUPE",Tableau1[[#This Row],[DESIGNATION]])),"","NEED REF")</f>
        <v/>
      </c>
    </row>
    <row r="11815">
      <c r="B11815" t="n">
        <v>34402190</v>
      </c>
      <c r="C11815" s="2" t="n">
        <v>40462</v>
      </c>
      <c r="D11815" t="inlineStr">
        <is>
          <t>SPEC</t>
        </is>
      </c>
      <c r="E11815" t="inlineStr">
        <is>
          <t>COFFRET DJ TERASAKI</t>
        </is>
      </c>
      <c r="F11815" t="inlineStr">
        <is>
          <t>COFFRET DISJ</t>
        </is>
      </c>
      <c r="J11815" t="inlineStr">
        <is>
          <t>ROGEAT</t>
        </is>
      </c>
      <c r="L11815">
        <f>_xlfn.XLOOKUP(Tableau1[[#This Row],[TYPE DE PIECE]],Tableau4[MATIERE],Tableau4[SHORT TYPE],"",0,1)</f>
        <v/>
      </c>
      <c r="N11815">
        <f>IF(ISERR(FIND("DECOUPE",Tableau1[[#This Row],[DESIGNATION]])),"","NEED REF")</f>
        <v/>
      </c>
    </row>
    <row r="11816">
      <c r="B11816" t="n">
        <v>34402189</v>
      </c>
      <c r="C11816" s="2" t="n"/>
      <c r="D11816" t="inlineStr">
        <is>
          <t>SPEC</t>
        </is>
      </c>
      <c r="E11816" t="inlineStr">
        <is>
          <t>Fixation support disjoncteur</t>
        </is>
      </c>
      <c r="F11816" t="inlineStr">
        <is>
          <t>COFFRET DISJ G7K</t>
        </is>
      </c>
      <c r="J11816" t="inlineStr">
        <is>
          <t>ROBERT</t>
        </is>
      </c>
      <c r="L11816">
        <f>_xlfn.XLOOKUP(Tableau1[[#This Row],[TYPE DE PIECE]],Tableau4[MATIERE],Tableau4[SHORT TYPE],"",0,1)</f>
        <v/>
      </c>
      <c r="N11816">
        <f>IF(ISERR(FIND("DECOUPE",Tableau1[[#This Row],[DESIGNATION]])),"","NEED REF")</f>
        <v/>
      </c>
    </row>
    <row r="11817">
      <c r="B11817" t="n">
        <v>34402188</v>
      </c>
      <c r="C11817" s="2" t="n">
        <v>40458</v>
      </c>
      <c r="D11817" t="inlineStr">
        <is>
          <t>SPEC</t>
        </is>
      </c>
      <c r="E11817" t="inlineStr">
        <is>
          <t>Equerre raccordement sup, bat cof 2 dj NS631</t>
        </is>
      </c>
      <c r="F11817" t="inlineStr">
        <is>
          <t>G7K</t>
        </is>
      </c>
      <c r="J11817" t="inlineStr">
        <is>
          <t>REVEL</t>
        </is>
      </c>
      <c r="L11817">
        <f>_xlfn.XLOOKUP(Tableau1[[#This Row],[TYPE DE PIECE]],Tableau4[MATIERE],Tableau4[SHORT TYPE],"",0,1)</f>
        <v/>
      </c>
      <c r="N11817">
        <f>IF(ISERR(FIND("DECOUPE",Tableau1[[#This Row],[DESIGNATION]])),"","NEED REF")</f>
        <v/>
      </c>
    </row>
    <row r="11818">
      <c r="B11818" t="n">
        <v>34402187</v>
      </c>
      <c r="C11818" s="2" t="n">
        <v>40458</v>
      </c>
      <c r="D11818" t="inlineStr">
        <is>
          <t>SPEC</t>
        </is>
      </c>
      <c r="E11818" t="inlineStr">
        <is>
          <t>Equerre raccordement inf, bat cof 2 dj NS630</t>
        </is>
      </c>
      <c r="F11818" t="inlineStr">
        <is>
          <t>G7K</t>
        </is>
      </c>
      <c r="J11818" t="inlineStr">
        <is>
          <t>REVEL</t>
        </is>
      </c>
      <c r="L11818">
        <f>_xlfn.XLOOKUP(Tableau1[[#This Row],[TYPE DE PIECE]],Tableau4[MATIERE],Tableau4[SHORT TYPE],"",0,1)</f>
        <v/>
      </c>
      <c r="N11818">
        <f>IF(ISERR(FIND("DECOUPE",Tableau1[[#This Row],[DESIGNATION]])),"","NEED REF")</f>
        <v/>
      </c>
    </row>
    <row r="11819">
      <c r="B11819" t="n">
        <v>34402186</v>
      </c>
      <c r="C11819" s="2" t="n">
        <v>40455</v>
      </c>
      <c r="D11819" t="inlineStr">
        <is>
          <t>SPEC</t>
        </is>
      </c>
      <c r="E11819" t="inlineStr">
        <is>
          <t xml:space="preserve">Kit cable de puissance Couplage Batterie 60 à 80kVA </t>
        </is>
      </c>
      <c r="F11819" t="inlineStr">
        <is>
          <t>G5k</t>
        </is>
      </c>
      <c r="J11819" t="inlineStr">
        <is>
          <t>ROGEAT</t>
        </is>
      </c>
      <c r="L11819">
        <f>_xlfn.XLOOKUP(Tableau1[[#This Row],[TYPE DE PIECE]],Tableau4[MATIERE],Tableau4[SHORT TYPE],"",0,1)</f>
        <v/>
      </c>
      <c r="N11819">
        <f>IF(ISERR(FIND("DECOUPE",Tableau1[[#This Row],[DESIGNATION]])),"","NEED REF")</f>
        <v/>
      </c>
    </row>
    <row r="11820">
      <c r="B11820" t="n">
        <v>34402185</v>
      </c>
      <c r="C11820" s="2" t="n">
        <v>40452</v>
      </c>
      <c r="D11820" t="inlineStr">
        <is>
          <t>DM</t>
        </is>
      </c>
      <c r="E11820" t="inlineStr">
        <is>
          <t>Couplage Batterie 20 à 120kVA</t>
        </is>
      </c>
      <c r="F11820" t="inlineStr">
        <is>
          <t>G5k</t>
        </is>
      </c>
      <c r="J11820" t="inlineStr">
        <is>
          <t>ROGEAT</t>
        </is>
      </c>
      <c r="L11820">
        <f>_xlfn.XLOOKUP(Tableau1[[#This Row],[TYPE DE PIECE]],Tableau4[MATIERE],Tableau4[SHORT TYPE],"",0,1)</f>
        <v/>
      </c>
      <c r="N11820">
        <f>IF(ISERR(FIND("DECOUPE",Tableau1[[#This Row],[DESIGNATION]])),"","NEED REF")</f>
        <v/>
      </c>
    </row>
    <row r="11821">
      <c r="B11821" t="n">
        <v>34402184</v>
      </c>
      <c r="C11821" s="2" t="n">
        <v>40451</v>
      </c>
      <c r="D11821" t="inlineStr">
        <is>
          <t>SPEC</t>
        </is>
      </c>
      <c r="E11821" t="inlineStr">
        <is>
          <t>SPT JDB UTILISATION RACCORDEMENT HAUT L=400</t>
        </is>
      </c>
      <c r="F11821" t="inlineStr">
        <is>
          <t>STS G7000</t>
        </is>
      </c>
      <c r="J11821" t="inlineStr">
        <is>
          <t>MATRION</t>
        </is>
      </c>
      <c r="L11821">
        <f>_xlfn.XLOOKUP(Tableau1[[#This Row],[TYPE DE PIECE]],Tableau4[MATIERE],Tableau4[SHORT TYPE],"",0,1)</f>
        <v/>
      </c>
      <c r="N11821">
        <f>IF(ISERR(FIND("DECOUPE",Tableau1[[#This Row],[DESIGNATION]])),"","NEED REF")</f>
        <v/>
      </c>
    </row>
    <row r="11822">
      <c r="B11822" t="n">
        <v>34402183</v>
      </c>
      <c r="C11822" s="2" t="n">
        <v>40451</v>
      </c>
      <c r="D11822" t="inlineStr">
        <is>
          <t>CDC</t>
        </is>
      </c>
      <c r="E11822" t="inlineStr">
        <is>
          <t>CDC reprise des prises armoire PDPM277H</t>
        </is>
      </c>
      <c r="F11822" t="inlineStr">
        <is>
          <t>PDPM277H</t>
        </is>
      </c>
      <c r="J11822" t="inlineStr">
        <is>
          <t>REVEL</t>
        </is>
      </c>
      <c r="L11822">
        <f>_xlfn.XLOOKUP(Tableau1[[#This Row],[TYPE DE PIECE]],Tableau4[MATIERE],Tableau4[SHORT TYPE],"",0,1)</f>
        <v/>
      </c>
      <c r="N11822">
        <f>IF(ISERR(FIND("DECOUPE",Tableau1[[#This Row],[DESIGNATION]])),"","NEED REF")</f>
        <v/>
      </c>
    </row>
    <row r="11823">
      <c r="B11823" t="n">
        <v>34402182</v>
      </c>
      <c r="C11823" s="2" t="n">
        <v>40451</v>
      </c>
      <c r="D11823" t="inlineStr">
        <is>
          <t>CDC</t>
        </is>
      </c>
      <c r="E11823" t="inlineStr">
        <is>
          <t>CDC reprise des armoires PDPM277H</t>
        </is>
      </c>
      <c r="F11823" t="inlineStr">
        <is>
          <t>PDPM277H</t>
        </is>
      </c>
      <c r="J11823" t="inlineStr">
        <is>
          <t>REVEL</t>
        </is>
      </c>
      <c r="L11823">
        <f>_xlfn.XLOOKUP(Tableau1[[#This Row],[TYPE DE PIECE]],Tableau4[MATIERE],Tableau4[SHORT TYPE],"",0,1)</f>
        <v/>
      </c>
      <c r="N11823">
        <f>IF(ISERR(FIND("DECOUPE",Tableau1[[#This Row],[DESIGNATION]])),"","NEED REF")</f>
        <v/>
      </c>
    </row>
    <row r="11824">
      <c r="B11824" t="n">
        <v>34402181</v>
      </c>
      <c r="C11824" s="2" t="n">
        <v>40449</v>
      </c>
      <c r="D11824" t="inlineStr">
        <is>
          <t>SPEC</t>
        </is>
      </c>
      <c r="E11824" t="inlineStr">
        <is>
          <t>DRAPEAU L1 L3 UTIL HAUT</t>
        </is>
      </c>
      <c r="F11824" t="inlineStr">
        <is>
          <t>STS G7000</t>
        </is>
      </c>
      <c r="J11824" t="inlineStr">
        <is>
          <t>MATRION</t>
        </is>
      </c>
      <c r="L11824">
        <f>_xlfn.XLOOKUP(Tableau1[[#This Row],[TYPE DE PIECE]],Tableau4[MATIERE],Tableau4[SHORT TYPE],"",0,1)</f>
        <v/>
      </c>
      <c r="N11824">
        <f>IF(ISERR(FIND("DECOUPE",Tableau1[[#This Row],[DESIGNATION]])),"","NEED REF")</f>
        <v/>
      </c>
    </row>
    <row r="11825">
      <c r="B11825" t="n">
        <v>34402180</v>
      </c>
      <c r="C11825" s="2" t="n">
        <v>40449</v>
      </c>
      <c r="D11825" t="inlineStr">
        <is>
          <t>SPEC</t>
        </is>
      </c>
      <c r="E11825" t="inlineStr">
        <is>
          <t>DRAPEAU N L2 UTIL HAUT</t>
        </is>
      </c>
      <c r="F11825" t="inlineStr">
        <is>
          <t>STS G7000</t>
        </is>
      </c>
      <c r="J11825" t="inlineStr">
        <is>
          <t>MATRION</t>
        </is>
      </c>
      <c r="L11825">
        <f>_xlfn.XLOOKUP(Tableau1[[#This Row],[TYPE DE PIECE]],Tableau4[MATIERE],Tableau4[SHORT TYPE],"",0,1)</f>
        <v/>
      </c>
      <c r="N11825">
        <f>IF(ISERR(FIND("DECOUPE",Tableau1[[#This Row],[DESIGNATION]])),"","NEED REF")</f>
        <v/>
      </c>
    </row>
    <row r="11826">
      <c r="B11826" t="n">
        <v>34402179</v>
      </c>
      <c r="C11826" s="2" t="n">
        <v>40449</v>
      </c>
      <c r="D11826" t="inlineStr">
        <is>
          <t>SPEC</t>
        </is>
      </c>
      <c r="E11826" t="inlineStr">
        <is>
          <t>DISPO</t>
        </is>
      </c>
      <c r="F11826" t="inlineStr">
        <is>
          <t>STS G7000</t>
        </is>
      </c>
      <c r="J11826" t="inlineStr">
        <is>
          <t>MATRION</t>
        </is>
      </c>
      <c r="L11826">
        <f>_xlfn.XLOOKUP(Tableau1[[#This Row],[TYPE DE PIECE]],Tableau4[MATIERE],Tableau4[SHORT TYPE],"",0,1)</f>
        <v/>
      </c>
      <c r="N11826">
        <f>IF(ISERR(FIND("DECOUPE",Tableau1[[#This Row],[DESIGNATION]])),"","NEED REF")</f>
        <v/>
      </c>
    </row>
    <row r="11827">
      <c r="B11827" t="n">
        <v>34402178</v>
      </c>
      <c r="C11827" s="2" t="n">
        <v>40449</v>
      </c>
      <c r="D11827" t="inlineStr">
        <is>
          <t>SPEC</t>
        </is>
      </c>
      <c r="E11827" t="inlineStr">
        <is>
          <t>BARRE UTIL HAUT L1+L2</t>
        </is>
      </c>
      <c r="F11827" t="inlineStr">
        <is>
          <t>STS G7000</t>
        </is>
      </c>
      <c r="J11827" t="inlineStr">
        <is>
          <t>MATRION</t>
        </is>
      </c>
      <c r="L11827">
        <f>_xlfn.XLOOKUP(Tableau1[[#This Row],[TYPE DE PIECE]],Tableau4[MATIERE],Tableau4[SHORT TYPE],"",0,1)</f>
        <v/>
      </c>
      <c r="N11827">
        <f>IF(ISERR(FIND("DECOUPE",Tableau1[[#This Row],[DESIGNATION]])),"","NEED REF")</f>
        <v/>
      </c>
    </row>
    <row r="11828">
      <c r="B11828" t="n">
        <v>34402177</v>
      </c>
      <c r="C11828" s="2" t="n">
        <v>40449</v>
      </c>
      <c r="D11828" t="inlineStr">
        <is>
          <t>SPEC</t>
        </is>
      </c>
      <c r="E11828" t="inlineStr">
        <is>
          <t>BARRE UTIL HAUT N+L3</t>
        </is>
      </c>
      <c r="F11828" t="inlineStr">
        <is>
          <t>STS G7000</t>
        </is>
      </c>
      <c r="J11828" t="inlineStr">
        <is>
          <t>MATRION</t>
        </is>
      </c>
      <c r="L11828">
        <f>_xlfn.XLOOKUP(Tableau1[[#This Row],[TYPE DE PIECE]],Tableau4[MATIERE],Tableau4[SHORT TYPE],"",0,1)</f>
        <v/>
      </c>
      <c r="N11828">
        <f>IF(ISERR(FIND("DECOUPE",Tableau1[[#This Row],[DESIGNATION]])),"","NEED REF")</f>
        <v/>
      </c>
    </row>
    <row r="11829">
      <c r="B11829" t="n">
        <v>34402176</v>
      </c>
      <c r="C11829" s="2" t="n">
        <v>40449</v>
      </c>
      <c r="D11829" t="inlineStr">
        <is>
          <t>SPEC</t>
        </is>
      </c>
      <c r="E11829" t="inlineStr">
        <is>
          <t>BARRE LIAISON HORIZ. UTIL HAUT L3</t>
        </is>
      </c>
      <c r="F11829" t="inlineStr">
        <is>
          <t>STS G7000</t>
        </is>
      </c>
      <c r="J11829" t="inlineStr">
        <is>
          <t>MATRION</t>
        </is>
      </c>
      <c r="L11829">
        <f>_xlfn.XLOOKUP(Tableau1[[#This Row],[TYPE DE PIECE]],Tableau4[MATIERE],Tableau4[SHORT TYPE],"",0,1)</f>
        <v/>
      </c>
      <c r="N11829">
        <f>IF(ISERR(FIND("DECOUPE",Tableau1[[#This Row],[DESIGNATION]])),"","NEED REF")</f>
        <v/>
      </c>
    </row>
    <row r="11830">
      <c r="B11830" t="n">
        <v>34402175</v>
      </c>
      <c r="C11830" s="2" t="n">
        <v>40449</v>
      </c>
      <c r="D11830" t="inlineStr">
        <is>
          <t>SPEC</t>
        </is>
      </c>
      <c r="E11830" t="inlineStr">
        <is>
          <t>BARRE LIAISON HORIZ. UTIL HAUT N+L1+L2</t>
        </is>
      </c>
      <c r="F11830" t="inlineStr">
        <is>
          <t>STS G7000</t>
        </is>
      </c>
      <c r="J11830" t="inlineStr">
        <is>
          <t>MATRION</t>
        </is>
      </c>
      <c r="L11830">
        <f>_xlfn.XLOOKUP(Tableau1[[#This Row],[TYPE DE PIECE]],Tableau4[MATIERE],Tableau4[SHORT TYPE],"",0,1)</f>
        <v/>
      </c>
      <c r="N11830">
        <f>IF(ISERR(FIND("DECOUPE",Tableau1[[#This Row],[DESIGNATION]])),"","NEED REF")</f>
        <v/>
      </c>
    </row>
    <row r="11831">
      <c r="B11831" t="n">
        <v>34402174</v>
      </c>
      <c r="C11831" s="2" t="n">
        <v>40449</v>
      </c>
      <c r="D11831" t="inlineStr">
        <is>
          <t>SPEC</t>
        </is>
      </c>
      <c r="E11831" t="inlineStr">
        <is>
          <t>BARRE SOUPLE L3 UTIL HAUT</t>
        </is>
      </c>
      <c r="F11831" t="inlineStr">
        <is>
          <t>STS G7000</t>
        </is>
      </c>
      <c r="J11831" t="inlineStr">
        <is>
          <t>MATRION</t>
        </is>
      </c>
      <c r="L11831">
        <f>_xlfn.XLOOKUP(Tableau1[[#This Row],[TYPE DE PIECE]],Tableau4[MATIERE],Tableau4[SHORT TYPE],"",0,1)</f>
        <v/>
      </c>
      <c r="N11831">
        <f>IF(ISERR(FIND("DECOUPE",Tableau1[[#This Row],[DESIGNATION]])),"","NEED REF")</f>
        <v/>
      </c>
    </row>
    <row r="11832">
      <c r="B11832" t="n">
        <v>34402173</v>
      </c>
      <c r="C11832" s="2" t="n">
        <v>40449</v>
      </c>
      <c r="D11832" t="inlineStr">
        <is>
          <t>SPEC</t>
        </is>
      </c>
      <c r="E11832" t="inlineStr">
        <is>
          <t>BARRE SOUPLE L2 UTIL HAUT</t>
        </is>
      </c>
      <c r="F11832" t="inlineStr">
        <is>
          <t>STS G7000</t>
        </is>
      </c>
      <c r="J11832" t="inlineStr">
        <is>
          <t>MATRION</t>
        </is>
      </c>
      <c r="L11832">
        <f>_xlfn.XLOOKUP(Tableau1[[#This Row],[TYPE DE PIECE]],Tableau4[MATIERE],Tableau4[SHORT TYPE],"",0,1)</f>
        <v/>
      </c>
      <c r="N11832">
        <f>IF(ISERR(FIND("DECOUPE",Tableau1[[#This Row],[DESIGNATION]])),"","NEED REF")</f>
        <v/>
      </c>
    </row>
    <row r="11833">
      <c r="B11833" t="n">
        <v>34402172</v>
      </c>
      <c r="C11833" s="2" t="n">
        <v>40449</v>
      </c>
      <c r="D11833" t="inlineStr">
        <is>
          <t>SPEC</t>
        </is>
      </c>
      <c r="E11833" t="inlineStr">
        <is>
          <t>BARRE SOUPLE L1 UTIL HAUT</t>
        </is>
      </c>
      <c r="F11833" t="inlineStr">
        <is>
          <t>STS G7000</t>
        </is>
      </c>
      <c r="J11833" t="inlineStr">
        <is>
          <t>MATRION</t>
        </is>
      </c>
      <c r="L11833">
        <f>_xlfn.XLOOKUP(Tableau1[[#This Row],[TYPE DE PIECE]],Tableau4[MATIERE],Tableau4[SHORT TYPE],"",0,1)</f>
        <v/>
      </c>
      <c r="N11833">
        <f>IF(ISERR(FIND("DECOUPE",Tableau1[[#This Row],[DESIGNATION]])),"","NEED REF")</f>
        <v/>
      </c>
    </row>
    <row r="11834">
      <c r="B11834" t="n">
        <v>34402171</v>
      </c>
      <c r="C11834" s="2" t="n">
        <v>40449</v>
      </c>
      <c r="D11834" t="inlineStr">
        <is>
          <t>SPEC</t>
        </is>
      </c>
      <c r="E11834" t="inlineStr">
        <is>
          <t>BARRE SOUPLE N UTIL HAUT</t>
        </is>
      </c>
      <c r="F11834" t="inlineStr">
        <is>
          <t>STS G7000</t>
        </is>
      </c>
      <c r="J11834" t="inlineStr">
        <is>
          <t>MATRION</t>
        </is>
      </c>
      <c r="L11834">
        <f>_xlfn.XLOOKUP(Tableau1[[#This Row],[TYPE DE PIECE]],Tableau4[MATIERE],Tableau4[SHORT TYPE],"",0,1)</f>
        <v/>
      </c>
      <c r="N11834">
        <f>IF(ISERR(FIND("DECOUPE",Tableau1[[#This Row],[DESIGNATION]])),"","NEED REF")</f>
        <v/>
      </c>
    </row>
    <row r="11835">
      <c r="B11835" t="n">
        <v>34402170</v>
      </c>
      <c r="C11835" s="2" t="n">
        <v>40449</v>
      </c>
      <c r="D11835" t="inlineStr">
        <is>
          <t>SPEC</t>
        </is>
      </c>
      <c r="E11835" t="inlineStr">
        <is>
          <t>PLAQUE SERRAGE BARRE SOUPLE UTIL RACC HAUT</t>
        </is>
      </c>
      <c r="F11835" t="inlineStr">
        <is>
          <t>STS G7000</t>
        </is>
      </c>
      <c r="J11835" t="inlineStr">
        <is>
          <t>MATRION</t>
        </is>
      </c>
      <c r="L11835">
        <f>_xlfn.XLOOKUP(Tableau1[[#This Row],[TYPE DE PIECE]],Tableau4[MATIERE],Tableau4[SHORT TYPE],"",0,1)</f>
        <v/>
      </c>
      <c r="N11835">
        <f>IF(ISERR(FIND("DECOUPE",Tableau1[[#This Row],[DESIGNATION]])),"","NEED REF")</f>
        <v/>
      </c>
    </row>
    <row r="11836">
      <c r="B11836" t="n">
        <v>34402169</v>
      </c>
      <c r="C11836" s="2" t="n">
        <v>40445</v>
      </c>
      <c r="D11836" t="inlineStr">
        <is>
          <t>SPEC</t>
        </is>
      </c>
      <c r="E11836" t="inlineStr">
        <is>
          <t>PLAQUE DE FOND BY PASS 360KVA</t>
        </is>
      </c>
      <c r="F11836" t="inlineStr">
        <is>
          <t>BY PASS 360KVA</t>
        </is>
      </c>
      <c r="J11836" t="inlineStr">
        <is>
          <t>REVEL</t>
        </is>
      </c>
      <c r="L11836">
        <f>_xlfn.XLOOKUP(Tableau1[[#This Row],[TYPE DE PIECE]],Tableau4[MATIERE],Tableau4[SHORT TYPE],"",0,1)</f>
        <v/>
      </c>
      <c r="N11836">
        <f>IF(ISERR(FIND("DECOUPE",Tableau1[[#This Row],[DESIGNATION]])),"","NEED REF")</f>
        <v/>
      </c>
    </row>
    <row r="11837">
      <c r="B11837" t="n">
        <v>34402168</v>
      </c>
      <c r="C11837" s="2" t="n">
        <v>40443</v>
      </c>
      <c r="D11837" t="inlineStr">
        <is>
          <t>SPEC</t>
        </is>
      </c>
      <c r="E11837" t="inlineStr">
        <is>
          <t>ASSEMBLAGE ARM G5K CACHE AV/AR + REHAUSSE 200</t>
        </is>
      </c>
      <c r="F11837" t="inlineStr">
        <is>
          <t>STS G7000</t>
        </is>
      </c>
      <c r="J11837" t="inlineStr">
        <is>
          <t>MATRION</t>
        </is>
      </c>
      <c r="L11837">
        <f>_xlfn.XLOOKUP(Tableau1[[#This Row],[TYPE DE PIECE]],Tableau4[MATIERE],Tableau4[SHORT TYPE],"",0,1)</f>
        <v/>
      </c>
      <c r="N11837">
        <f>IF(ISERR(FIND("DECOUPE",Tableau1[[#This Row],[DESIGNATION]])),"","NEED REF")</f>
        <v/>
      </c>
    </row>
    <row r="11838">
      <c r="B11838" t="n">
        <v>34402167</v>
      </c>
      <c r="C11838" s="2" t="n">
        <v>40441</v>
      </c>
      <c r="D11838" t="inlineStr">
        <is>
          <t>SPEC</t>
        </is>
      </c>
      <c r="E11838" t="inlineStr">
        <is>
          <t>SPT JDB UTILISATION RACCORDEMENT HAUT L=1000</t>
        </is>
      </c>
      <c r="F11838" t="inlineStr">
        <is>
          <t>STS G7000</t>
        </is>
      </c>
      <c r="J11838" t="inlineStr">
        <is>
          <t>MATRION</t>
        </is>
      </c>
      <c r="L11838">
        <f>_xlfn.XLOOKUP(Tableau1[[#This Row],[TYPE DE PIECE]],Tableau4[MATIERE],Tableau4[SHORT TYPE],"",0,1)</f>
        <v/>
      </c>
      <c r="N11838">
        <f>IF(ISERR(FIND("DECOUPE",Tableau1[[#This Row],[DESIGNATION]])),"","NEED REF")</f>
        <v/>
      </c>
    </row>
    <row r="11839">
      <c r="B11839" t="n">
        <v>34402166</v>
      </c>
      <c r="C11839" s="2" t="n">
        <v>40441</v>
      </c>
      <c r="D11839" t="inlineStr">
        <is>
          <t>SPEC</t>
        </is>
      </c>
      <c r="E11839" t="inlineStr">
        <is>
          <t>PASSE CABLE CELLULE 1000</t>
        </is>
      </c>
      <c r="F11839" t="inlineStr">
        <is>
          <t>STS G7000</t>
        </is>
      </c>
      <c r="J11839" t="inlineStr">
        <is>
          <t>MATRION</t>
        </is>
      </c>
      <c r="L11839">
        <f>_xlfn.XLOOKUP(Tableau1[[#This Row],[TYPE DE PIECE]],Tableau4[MATIERE],Tableau4[SHORT TYPE],"",0,1)</f>
        <v/>
      </c>
      <c r="N11839">
        <f>IF(ISERR(FIND("DECOUPE",Tableau1[[#This Row],[DESIGNATION]])),"","NEED REF")</f>
        <v/>
      </c>
    </row>
    <row r="11840">
      <c r="B11840" t="n">
        <v>34402165</v>
      </c>
      <c r="C11840" s="2" t="n">
        <v>40441</v>
      </c>
      <c r="D11840" t="inlineStr">
        <is>
          <t>SPEC</t>
        </is>
      </c>
      <c r="E11840" t="inlineStr">
        <is>
          <t>TOIT CELLULE 1000 PASSE CABLE</t>
        </is>
      </c>
      <c r="F11840" t="inlineStr">
        <is>
          <t>STS G7000</t>
        </is>
      </c>
      <c r="J11840" t="inlineStr">
        <is>
          <t>MATRION</t>
        </is>
      </c>
      <c r="L11840">
        <f>_xlfn.XLOOKUP(Tableau1[[#This Row],[TYPE DE PIECE]],Tableau4[MATIERE],Tableau4[SHORT TYPE],"",0,1)</f>
        <v/>
      </c>
      <c r="N11840">
        <f>IF(ISERR(FIND("DECOUPE",Tableau1[[#This Row],[DESIGNATION]])),"","NEED REF")</f>
        <v/>
      </c>
    </row>
    <row r="11841">
      <c r="B11841" t="n">
        <v>34402164</v>
      </c>
      <c r="C11841" s="2" t="n">
        <v>40441</v>
      </c>
      <c r="D11841" t="inlineStr">
        <is>
          <t>SPEC</t>
        </is>
      </c>
      <c r="E11841" t="inlineStr">
        <is>
          <t>TOIT GAINE 400 PASSE CABLE</t>
        </is>
      </c>
      <c r="F11841" t="inlineStr">
        <is>
          <t>STS G7000</t>
        </is>
      </c>
      <c r="J11841" t="inlineStr">
        <is>
          <t>MATRION</t>
        </is>
      </c>
      <c r="L11841">
        <f>_xlfn.XLOOKUP(Tableau1[[#This Row],[TYPE DE PIECE]],Tableau4[MATIERE],Tableau4[SHORT TYPE],"",0,1)</f>
        <v/>
      </c>
      <c r="N11841">
        <f>IF(ISERR(FIND("DECOUPE",Tableau1[[#This Row],[DESIGNATION]])),"","NEED REF")</f>
        <v/>
      </c>
    </row>
    <row r="11842">
      <c r="B11842" t="n">
        <v>34402163</v>
      </c>
      <c r="C11842" s="2" t="n">
        <v>40441</v>
      </c>
      <c r="D11842" t="inlineStr">
        <is>
          <t>SPEC</t>
        </is>
      </c>
      <c r="E11842" t="inlineStr">
        <is>
          <t>PANNEAUX REHAUSSE AV/AR G7K L=400</t>
        </is>
      </c>
      <c r="F11842" t="inlineStr">
        <is>
          <t>CAISSON SUP BIRDY</t>
        </is>
      </c>
      <c r="J11842" t="inlineStr">
        <is>
          <t>MATRION</t>
        </is>
      </c>
      <c r="L11842">
        <f>_xlfn.XLOOKUP(Tableau1[[#This Row],[TYPE DE PIECE]],Tableau4[MATIERE],Tableau4[SHORT TYPE],"",0,1)</f>
        <v/>
      </c>
      <c r="N11842">
        <f>IF(ISERR(FIND("DECOUPE",Tableau1[[#This Row],[DESIGNATION]])),"","NEED REF")</f>
        <v/>
      </c>
    </row>
    <row r="11843">
      <c r="B11843" t="n">
        <v>34402162</v>
      </c>
      <c r="C11843" s="2" t="n">
        <v>40438</v>
      </c>
      <c r="D11843" t="inlineStr">
        <is>
          <t>SPEC</t>
        </is>
      </c>
      <c r="E11843" t="inlineStr">
        <is>
          <t>KIT CABLES DE PUISSANCE</t>
        </is>
      </c>
      <c r="F11843" t="inlineStr">
        <is>
          <t>APC - PDPM</t>
        </is>
      </c>
      <c r="L11843">
        <f>_xlfn.XLOOKUP(Tableau1[[#This Row],[TYPE DE PIECE]],Tableau4[MATIERE],Tableau4[SHORT TYPE],"",0,1)</f>
        <v/>
      </c>
      <c r="N11843">
        <f>IF(ISERR(FIND("DECOUPE",Tableau1[[#This Row],[DESIGNATION]])),"","NEED REF")</f>
        <v/>
      </c>
    </row>
    <row r="11844">
      <c r="B11844" t="n">
        <v>34402161</v>
      </c>
      <c r="C11844" s="2" t="n">
        <v>40437</v>
      </c>
      <c r="D11844" t="inlineStr">
        <is>
          <t>NOM</t>
        </is>
      </c>
      <c r="E11844" t="inlineStr">
        <is>
          <t>Lg DJ C60 UPS G5K pour Alim couplage batterie</t>
        </is>
      </c>
      <c r="F11844" t="inlineStr">
        <is>
          <t>G5K</t>
        </is>
      </c>
      <c r="J11844" t="inlineStr">
        <is>
          <t>MONGELLI</t>
        </is>
      </c>
      <c r="L11844">
        <f>_xlfn.XLOOKUP(Tableau1[[#This Row],[TYPE DE PIECE]],Tableau4[MATIERE],Tableau4[SHORT TYPE],"",0,1)</f>
        <v/>
      </c>
      <c r="N11844">
        <f>IF(ISERR(FIND("DECOUPE",Tableau1[[#This Row],[DESIGNATION]])),"","NEED REF")</f>
        <v/>
      </c>
    </row>
    <row r="11845">
      <c r="B11845" t="n">
        <v>34402160</v>
      </c>
      <c r="C11845" s="2" t="n">
        <v>40436</v>
      </c>
      <c r="D11845" t="inlineStr">
        <is>
          <t>SPEC</t>
        </is>
      </c>
      <c r="E11845" t="inlineStr">
        <is>
          <t>Spt carte electronique by pass G3500</t>
        </is>
      </c>
      <c r="F11845" t="inlineStr">
        <is>
          <t>G3500</t>
        </is>
      </c>
      <c r="J11845" t="inlineStr">
        <is>
          <t>REVEL</t>
        </is>
      </c>
      <c r="L11845">
        <f>_xlfn.XLOOKUP(Tableau1[[#This Row],[TYPE DE PIECE]],Tableau4[MATIERE],Tableau4[SHORT TYPE],"",0,1)</f>
        <v/>
      </c>
      <c r="N11845">
        <f>IF(ISERR(FIND("DECOUPE",Tableau1[[#This Row],[DESIGNATION]])),"","NEED REF")</f>
        <v/>
      </c>
    </row>
    <row r="11846">
      <c r="B11846" t="n">
        <v>34402159</v>
      </c>
      <c r="C11846" s="2" t="n">
        <v>40436</v>
      </c>
      <c r="D11846" t="inlineStr">
        <is>
          <t>SPEC</t>
        </is>
      </c>
      <c r="E11846" t="inlineStr">
        <is>
          <t>Spt DJ C60 dans UPS G5K Alim Couplage Batt</t>
        </is>
      </c>
      <c r="F11846" t="inlineStr">
        <is>
          <t>G5K</t>
        </is>
      </c>
      <c r="J11846" t="inlineStr">
        <is>
          <t>MONGELLI</t>
        </is>
      </c>
      <c r="L11846">
        <f>_xlfn.XLOOKUP(Tableau1[[#This Row],[TYPE DE PIECE]],Tableau4[MATIERE],Tableau4[SHORT TYPE],"",0,1)</f>
        <v/>
      </c>
      <c r="N11846">
        <f>IF(ISERR(FIND("DECOUPE",Tableau1[[#This Row],[DESIGNATION]])),"","NEED REF")</f>
        <v/>
      </c>
    </row>
    <row r="11847">
      <c r="B11847" t="n">
        <v>34402158</v>
      </c>
      <c r="C11847" s="2" t="n">
        <v>40430</v>
      </c>
      <c r="D11847" t="inlineStr">
        <is>
          <t>SPEC</t>
        </is>
      </c>
      <c r="E11847" t="inlineStr">
        <is>
          <t>CAPOT INT INF</t>
        </is>
      </c>
      <c r="J11847" t="inlineStr">
        <is>
          <t>ROGEAT</t>
        </is>
      </c>
      <c r="L11847">
        <f>_xlfn.XLOOKUP(Tableau1[[#This Row],[TYPE DE PIECE]],Tableau4[MATIERE],Tableau4[SHORT TYPE],"",0,1)</f>
        <v/>
      </c>
      <c r="N11847">
        <f>IF(ISERR(FIND("DECOUPE",Tableau1[[#This Row],[DESIGNATION]])),"","NEED REF")</f>
        <v/>
      </c>
    </row>
    <row r="11848">
      <c r="B11848" t="n">
        <v>34402157</v>
      </c>
      <c r="C11848" s="2" t="n">
        <v>40429</v>
      </c>
      <c r="D11848" t="inlineStr">
        <is>
          <t>SPEC</t>
        </is>
      </c>
      <c r="E11848" t="inlineStr">
        <is>
          <t>CAPOT INT SUP</t>
        </is>
      </c>
      <c r="J11848" t="inlineStr">
        <is>
          <t>ROGEAT</t>
        </is>
      </c>
      <c r="L11848">
        <f>_xlfn.XLOOKUP(Tableau1[[#This Row],[TYPE DE PIECE]],Tableau4[MATIERE],Tableau4[SHORT TYPE],"",0,1)</f>
        <v/>
      </c>
      <c r="N11848">
        <f>IF(ISERR(FIND("DECOUPE",Tableau1[[#This Row],[DESIGNATION]])),"","NEED REF")</f>
        <v/>
      </c>
    </row>
    <row r="11849">
      <c r="B11849" t="n">
        <v>34402156</v>
      </c>
      <c r="C11849" s="2" t="n">
        <v>40428</v>
      </c>
      <c r="D11849" t="inlineStr">
        <is>
          <t>SPEC</t>
        </is>
      </c>
      <c r="E11849" t="inlineStr">
        <is>
          <t>Support boite à bouton Couplage Batt G5k 20 à 120kVA L=712</t>
        </is>
      </c>
      <c r="F11849" t="inlineStr">
        <is>
          <t>G5k</t>
        </is>
      </c>
      <c r="J11849" t="inlineStr">
        <is>
          <t>ROGEAT</t>
        </is>
      </c>
      <c r="L11849">
        <f>_xlfn.XLOOKUP(Tableau1[[#This Row],[TYPE DE PIECE]],Tableau4[MATIERE],Tableau4[SHORT TYPE],"",0,1)</f>
        <v/>
      </c>
      <c r="N11849">
        <f>IF(ISERR(FIND("DECOUPE",Tableau1[[#This Row],[DESIGNATION]])),"","NEED REF")</f>
        <v/>
      </c>
    </row>
    <row r="11850">
      <c r="B11850" t="n">
        <v>34402155</v>
      </c>
      <c r="C11850" s="2" t="n">
        <v>40423</v>
      </c>
      <c r="D11850" t="inlineStr">
        <is>
          <t>SPEC</t>
        </is>
      </c>
      <c r="E11850" t="inlineStr">
        <is>
          <t>Plastron H=300 découpe 1 x NS250 Tétra à cde élec + Boite à bouton - Coupl Batt G5K 60-80kVA - Birdy L=712</t>
        </is>
      </c>
      <c r="F11850" t="inlineStr">
        <is>
          <t>G5K</t>
        </is>
      </c>
      <c r="J11850" t="inlineStr">
        <is>
          <t>MONGELLI</t>
        </is>
      </c>
      <c r="L11850">
        <f>_xlfn.XLOOKUP(Tableau1[[#This Row],[TYPE DE PIECE]],Tableau4[MATIERE],Tableau4[SHORT TYPE],"",0,1)</f>
        <v/>
      </c>
      <c r="N11850">
        <f>IF(ISERR(FIND("DECOUPE",Tableau1[[#This Row],[DESIGNATION]])),"","NEED REF")</f>
        <v/>
      </c>
    </row>
    <row r="11851">
      <c r="B11851" t="n">
        <v>34402154</v>
      </c>
      <c r="C11851" s="2" t="n">
        <v>40422</v>
      </c>
      <c r="D11851" t="inlineStr">
        <is>
          <t>SPEC</t>
        </is>
      </c>
      <c r="E11851" t="inlineStr">
        <is>
          <t>Plastron H=300 découpe 2 x NS250 - Coupl Batt G5K 60-80kVA - Birdy L=712</t>
        </is>
      </c>
      <c r="F11851" t="inlineStr">
        <is>
          <t>G5K</t>
        </is>
      </c>
      <c r="J11851" t="inlineStr">
        <is>
          <t>MONGELLI</t>
        </is>
      </c>
      <c r="L11851">
        <f>_xlfn.XLOOKUP(Tableau1[[#This Row],[TYPE DE PIECE]],Tableau4[MATIERE],Tableau4[SHORT TYPE],"",0,1)</f>
        <v/>
      </c>
      <c r="N11851">
        <f>IF(ISERR(FIND("DECOUPE",Tableau1[[#This Row],[DESIGNATION]])),"","NEED REF")</f>
        <v/>
      </c>
    </row>
    <row r="11852">
      <c r="B11852" t="n">
        <v>34402153</v>
      </c>
      <c r="C11852" s="2" t="n">
        <v>40422</v>
      </c>
      <c r="D11852" t="inlineStr">
        <is>
          <t>SPEC</t>
        </is>
      </c>
      <c r="E11852" t="inlineStr">
        <is>
          <t>TORON SYNCHRO SYNI - COFFRET</t>
        </is>
      </c>
      <c r="F11852" t="inlineStr">
        <is>
          <t>GALAXY, GALAXY PW, G7K</t>
        </is>
      </c>
      <c r="J11852" t="inlineStr">
        <is>
          <t>ÇAKIR</t>
        </is>
      </c>
      <c r="L11852">
        <f>_xlfn.XLOOKUP(Tableau1[[#This Row],[TYPE DE PIECE]],Tableau4[MATIERE],Tableau4[SHORT TYPE],"",0,1)</f>
        <v/>
      </c>
      <c r="N11852">
        <f>IF(ISERR(FIND("DECOUPE",Tableau1[[#This Row],[DESIGNATION]])),"","NEED REF")</f>
        <v/>
      </c>
    </row>
    <row r="11853">
      <c r="B11853" t="n">
        <v>34402152</v>
      </c>
      <c r="C11853" s="2" t="n"/>
      <c r="D11853" t="inlineStr">
        <is>
          <t>SPEC</t>
        </is>
      </c>
      <c r="E11853" t="inlineStr">
        <is>
          <t>Plastron H=700 Plein pour Birdy L=712</t>
        </is>
      </c>
      <c r="F11853" t="inlineStr">
        <is>
          <t>G5K</t>
        </is>
      </c>
      <c r="J11853" t="inlineStr">
        <is>
          <t>MONGELLI</t>
        </is>
      </c>
      <c r="L11853">
        <f>_xlfn.XLOOKUP(Tableau1[[#This Row],[TYPE DE PIECE]],Tableau4[MATIERE],Tableau4[SHORT TYPE],"",0,1)</f>
        <v/>
      </c>
      <c r="N11853">
        <f>IF(ISERR(FIND("DECOUPE",Tableau1[[#This Row],[DESIGNATION]])),"","NEED REF")</f>
        <v/>
      </c>
    </row>
    <row r="11854">
      <c r="B11854" t="n">
        <v>34402151</v>
      </c>
      <c r="C11854" s="2" t="n">
        <v>40400</v>
      </c>
      <c r="D11854" t="inlineStr">
        <is>
          <t>ST</t>
        </is>
      </c>
      <c r="E11854" t="inlineStr">
        <is>
          <t>NS 1200 STD (ST REYES)</t>
        </is>
      </c>
      <c r="F11854" t="inlineStr">
        <is>
          <t>G6K</t>
        </is>
      </c>
      <c r="J11854" t="inlineStr">
        <is>
          <t>ÇAKIR</t>
        </is>
      </c>
      <c r="L11854">
        <f>_xlfn.XLOOKUP(Tableau1[[#This Row],[TYPE DE PIECE]],Tableau4[MATIERE],Tableau4[SHORT TYPE],"",0,1)</f>
        <v/>
      </c>
      <c r="N11854">
        <f>IF(ISERR(FIND("DECOUPE",Tableau1[[#This Row],[DESIGNATION]])),"","NEED REF")</f>
        <v/>
      </c>
    </row>
    <row r="11855">
      <c r="B11855" t="n">
        <v>34402150</v>
      </c>
      <c r="C11855" s="2" t="n"/>
      <c r="D11855" t="inlineStr">
        <is>
          <t>NOM</t>
        </is>
      </c>
      <c r="E11855" t="inlineStr">
        <is>
          <t>Adaptation CATERPILLAR pour UPS</t>
        </is>
      </c>
      <c r="F11855" t="inlineStr">
        <is>
          <t>G5K</t>
        </is>
      </c>
      <c r="J11855" t="inlineStr">
        <is>
          <t>MONGELLI</t>
        </is>
      </c>
      <c r="L11855">
        <f>_xlfn.XLOOKUP(Tableau1[[#This Row],[TYPE DE PIECE]],Tableau4[MATIERE],Tableau4[SHORT TYPE],"",0,1)</f>
        <v/>
      </c>
      <c r="N11855">
        <f>IF(ISERR(FIND("DECOUPE",Tableau1[[#This Row],[DESIGNATION]])),"","NEED REF")</f>
        <v/>
      </c>
    </row>
    <row r="11856">
      <c r="B11856" t="n">
        <v>34402149</v>
      </c>
      <c r="C11856" s="2" t="n">
        <v>40381</v>
      </c>
      <c r="D11856" t="inlineStr">
        <is>
          <t>SPEC</t>
        </is>
      </c>
      <c r="E11856" t="inlineStr">
        <is>
          <t>Capot protection porte (profondeur 40)</t>
        </is>
      </c>
      <c r="F11856" t="inlineStr">
        <is>
          <t>G5000</t>
        </is>
      </c>
      <c r="J11856" t="inlineStr">
        <is>
          <t>ROGEAT</t>
        </is>
      </c>
      <c r="L11856">
        <f>_xlfn.XLOOKUP(Tableau1[[#This Row],[TYPE DE PIECE]],Tableau4[MATIERE],Tableau4[SHORT TYPE],"",0,1)</f>
        <v/>
      </c>
      <c r="N11856">
        <f>IF(ISERR(FIND("DECOUPE",Tableau1[[#This Row],[DESIGNATION]])),"","NEED REF")</f>
        <v/>
      </c>
    </row>
    <row r="11857">
      <c r="B11857" t="n">
        <v>34402148</v>
      </c>
      <c r="C11857" s="2" t="n">
        <v>40381</v>
      </c>
      <c r="D11857" t="inlineStr">
        <is>
          <t>Notice</t>
        </is>
      </c>
      <c r="E11857" t="inlineStr">
        <is>
          <t>Dossier de montage armoire back-up 80kVA</t>
        </is>
      </c>
      <c r="F11857" t="inlineStr">
        <is>
          <t>G5000</t>
        </is>
      </c>
      <c r="J11857" t="inlineStr">
        <is>
          <t>ROBERT</t>
        </is>
      </c>
      <c r="L11857">
        <f>_xlfn.XLOOKUP(Tableau1[[#This Row],[TYPE DE PIECE]],Tableau4[MATIERE],Tableau4[SHORT TYPE],"",0,1)</f>
        <v/>
      </c>
      <c r="N11857">
        <f>IF(ISERR(FIND("DECOUPE",Tableau1[[#This Row],[DESIGNATION]])),"","NEED REF")</f>
        <v/>
      </c>
    </row>
    <row r="11858">
      <c r="B11858" t="n">
        <v>34402147</v>
      </c>
      <c r="C11858" s="2" t="n">
        <v>40381</v>
      </c>
      <c r="D11858" t="inlineStr">
        <is>
          <t>SPEC</t>
        </is>
      </c>
      <c r="E11858" t="inlineStr">
        <is>
          <t>Birdy l=1012 - plastron h=300 Decoupe</t>
        </is>
      </c>
      <c r="F11858" t="inlineStr">
        <is>
          <t>G5000</t>
        </is>
      </c>
      <c r="J11858" t="inlineStr">
        <is>
          <t>ROGEAT</t>
        </is>
      </c>
      <c r="L11858">
        <f>_xlfn.XLOOKUP(Tableau1[[#This Row],[TYPE DE PIECE]],Tableau4[MATIERE],Tableau4[SHORT TYPE],"",0,1)</f>
        <v/>
      </c>
      <c r="N11858">
        <f>IF(ISERR(FIND("DECOUPE",Tableau1[[#This Row],[DESIGNATION]])),"","NEED REF")</f>
        <v/>
      </c>
    </row>
    <row r="11859">
      <c r="B11859" t="n">
        <v>34402146</v>
      </c>
      <c r="C11859" s="2" t="n">
        <v>40381</v>
      </c>
      <c r="D11859" t="inlineStr">
        <is>
          <t>SPEC</t>
        </is>
      </c>
      <c r="E11859" t="inlineStr">
        <is>
          <t>Birdy l=1012-Plastron h=100 Voyants</t>
        </is>
      </c>
      <c r="F11859" t="inlineStr">
        <is>
          <t>G5000</t>
        </is>
      </c>
      <c r="J11859" t="inlineStr">
        <is>
          <t>ROGEAT</t>
        </is>
      </c>
      <c r="L11859">
        <f>_xlfn.XLOOKUP(Tableau1[[#This Row],[TYPE DE PIECE]],Tableau4[MATIERE],Tableau4[SHORT TYPE],"",0,1)</f>
        <v/>
      </c>
      <c r="N11859">
        <f>IF(ISERR(FIND("DECOUPE",Tableau1[[#This Row],[DESIGNATION]])),"","NEED REF")</f>
        <v/>
      </c>
    </row>
    <row r="11860">
      <c r="B11860" t="n">
        <v>34402145</v>
      </c>
      <c r="C11860" s="2" t="n">
        <v>40381</v>
      </c>
      <c r="D11860" t="inlineStr">
        <is>
          <t>SPEC</t>
        </is>
      </c>
      <c r="E11860" t="inlineStr">
        <is>
          <t>Capot protection porte (profondeur 80)</t>
        </is>
      </c>
      <c r="F11860" t="inlineStr">
        <is>
          <t>G5000</t>
        </is>
      </c>
      <c r="J11860" t="inlineStr">
        <is>
          <t>ROGEAT</t>
        </is>
      </c>
      <c r="L11860">
        <f>_xlfn.XLOOKUP(Tableau1[[#This Row],[TYPE DE PIECE]],Tableau4[MATIERE],Tableau4[SHORT TYPE],"",0,1)</f>
        <v/>
      </c>
      <c r="N11860">
        <f>IF(ISERR(FIND("DECOUPE",Tableau1[[#This Row],[DESIGNATION]])),"","NEED REF")</f>
        <v/>
      </c>
    </row>
    <row r="11861">
      <c r="B11861" t="n">
        <v>34402144</v>
      </c>
      <c r="C11861" s="2" t="n">
        <v>40380</v>
      </c>
      <c r="D11861" t="inlineStr">
        <is>
          <t>SPEC</t>
        </is>
      </c>
      <c r="E11861" t="inlineStr">
        <is>
          <t>toit caisson supérieur 1400 avec tete de gaine à barres</t>
        </is>
      </c>
      <c r="F11861" t="inlineStr">
        <is>
          <t>G7k</t>
        </is>
      </c>
      <c r="L11861">
        <f>_xlfn.XLOOKUP(Tableau1[[#This Row],[TYPE DE PIECE]],Tableau4[MATIERE],Tableau4[SHORT TYPE],"",0,1)</f>
        <v/>
      </c>
      <c r="N11861">
        <f>IF(ISERR(FIND("DECOUPE",Tableau1[[#This Row],[DESIGNATION]])),"","NEED REF")</f>
        <v/>
      </c>
    </row>
    <row r="11862">
      <c r="B11862" t="n">
        <v>34402143</v>
      </c>
      <c r="C11862" s="2" t="n">
        <v>40380</v>
      </c>
      <c r="D11862" t="inlineStr">
        <is>
          <t>SPEC</t>
        </is>
      </c>
      <c r="E11862" t="inlineStr">
        <is>
          <t>Montant Support Plastrons Galaxy PW et Galaxy 6000/9000 P=150</t>
        </is>
      </c>
      <c r="F11862" t="inlineStr">
        <is>
          <t>GPW G6K G9K</t>
        </is>
      </c>
      <c r="J11862" t="inlineStr">
        <is>
          <t>MATRION</t>
        </is>
      </c>
      <c r="L11862">
        <f>_xlfn.XLOOKUP(Tableau1[[#This Row],[TYPE DE PIECE]],Tableau4[MATIERE],Tableau4[SHORT TYPE],"",0,1)</f>
        <v/>
      </c>
      <c r="N11862">
        <f>IF(ISERR(FIND("DECOUPE",Tableau1[[#This Row],[DESIGNATION]])),"","NEED REF")</f>
        <v/>
      </c>
    </row>
    <row r="11863">
      <c r="B11863" t="n">
        <v>34402142</v>
      </c>
      <c r="C11863" s="2" t="n">
        <v>40379</v>
      </c>
      <c r="D11863" t="inlineStr">
        <is>
          <t>SPEC</t>
        </is>
      </c>
      <c r="E11863" t="inlineStr">
        <is>
          <t>PANNEAUX REHAUSSE AV/AR G7K L=1000</t>
        </is>
      </c>
      <c r="F11863" t="inlineStr">
        <is>
          <t>CAISSON SUP BIRDY</t>
        </is>
      </c>
      <c r="L11863">
        <f>_xlfn.XLOOKUP(Tableau1[[#This Row],[TYPE DE PIECE]],Tableau4[MATIERE],Tableau4[SHORT TYPE],"",0,1)</f>
        <v/>
      </c>
      <c r="N11863">
        <f>IF(ISERR(FIND("DECOUPE",Tableau1[[#This Row],[DESIGNATION]])),"","NEED REF")</f>
        <v/>
      </c>
    </row>
    <row r="11864">
      <c r="B11864" t="n">
        <v>34402141</v>
      </c>
      <c r="C11864" s="2" t="n">
        <v>40375</v>
      </c>
      <c r="D11864" t="inlineStr">
        <is>
          <t>SPEC</t>
        </is>
      </c>
      <c r="E11864" t="inlineStr">
        <is>
          <t>plaque transparente visu fusion fusible</t>
        </is>
      </c>
      <c r="F11864" t="inlineStr">
        <is>
          <t>PDPM277H</t>
        </is>
      </c>
      <c r="J11864" t="inlineStr">
        <is>
          <t>REVEL</t>
        </is>
      </c>
      <c r="L11864">
        <f>_xlfn.XLOOKUP(Tableau1[[#This Row],[TYPE DE PIECE]],Tableau4[MATIERE],Tableau4[SHORT TYPE],"",0,1)</f>
        <v/>
      </c>
      <c r="N11864">
        <f>IF(ISERR(FIND("DECOUPE",Tableau1[[#This Row],[DESIGNATION]])),"","NEED REF")</f>
        <v/>
      </c>
    </row>
    <row r="11865">
      <c r="B11865" t="n">
        <v>34402140</v>
      </c>
      <c r="C11865" s="2" t="n">
        <v>40375</v>
      </c>
      <c r="D11865" t="inlineStr">
        <is>
          <t>SPEC</t>
        </is>
      </c>
      <c r="E11865" t="inlineStr">
        <is>
          <t>plage cuivre</t>
        </is>
      </c>
      <c r="F11865" t="inlineStr">
        <is>
          <t>PDPM277H</t>
        </is>
      </c>
      <c r="J11865" t="inlineStr">
        <is>
          <t>REVEL</t>
        </is>
      </c>
      <c r="L11865">
        <f>_xlfn.XLOOKUP(Tableau1[[#This Row],[TYPE DE PIECE]],Tableau4[MATIERE],Tableau4[SHORT TYPE],"",0,1)</f>
        <v/>
      </c>
      <c r="N11865">
        <f>IF(ISERR(FIND("DECOUPE",Tableau1[[#This Row],[DESIGNATION]])),"","NEED REF")</f>
        <v/>
      </c>
    </row>
    <row r="11866">
      <c r="B11866" t="n">
        <v>34402139</v>
      </c>
      <c r="C11866" s="2" t="n">
        <v>40366</v>
      </c>
      <c r="D11866" t="inlineStr">
        <is>
          <t>CDC</t>
        </is>
      </c>
      <c r="E11866" t="inlineStr">
        <is>
          <t>NS2400 G6K 440V SAMSUNG</t>
        </is>
      </c>
      <c r="F11866" t="inlineStr">
        <is>
          <t>G6K</t>
        </is>
      </c>
      <c r="J11866" t="inlineStr">
        <is>
          <t>ÇAKIR</t>
        </is>
      </c>
      <c r="L11866">
        <f>_xlfn.XLOOKUP(Tableau1[[#This Row],[TYPE DE PIECE]],Tableau4[MATIERE],Tableau4[SHORT TYPE],"",0,1)</f>
        <v/>
      </c>
      <c r="N11866">
        <f>IF(ISERR(FIND("DECOUPE",Tableau1[[#This Row],[DESIGNATION]])),"","NEED REF")</f>
        <v/>
      </c>
    </row>
    <row r="11867">
      <c r="B11867" t="n">
        <v>34402138</v>
      </c>
      <c r="C11867" s="2" t="n"/>
      <c r="D11867" t="inlineStr">
        <is>
          <t>Notice</t>
        </is>
      </c>
      <c r="E11867" t="inlineStr">
        <is>
          <t>Dossier de montage fixation 3 Pts porte G5k marine 1H30min</t>
        </is>
      </c>
      <c r="F11867" t="inlineStr">
        <is>
          <t>G5000</t>
        </is>
      </c>
      <c r="J11867" t="inlineStr">
        <is>
          <t>ROBERT</t>
        </is>
      </c>
      <c r="L11867">
        <f>_xlfn.XLOOKUP(Tableau1[[#This Row],[TYPE DE PIECE]],Tableau4[MATIERE],Tableau4[SHORT TYPE],"",0,1)</f>
        <v/>
      </c>
      <c r="N11867">
        <f>IF(ISERR(FIND("DECOUPE",Tableau1[[#This Row],[DESIGNATION]])),"","NEED REF")</f>
        <v/>
      </c>
    </row>
    <row r="11868">
      <c r="B11868" t="n">
        <v>34402137</v>
      </c>
      <c r="C11868" s="2" t="n"/>
      <c r="D11868" t="inlineStr">
        <is>
          <t>Notice</t>
        </is>
      </c>
      <c r="E11868" t="inlineStr">
        <is>
          <t>Dossier montage durcissement marine G5k 80/120k (BV 1H30)</t>
        </is>
      </c>
      <c r="F11868" t="inlineStr">
        <is>
          <t>G5000</t>
        </is>
      </c>
      <c r="J11868" t="inlineStr">
        <is>
          <t>ROBERT</t>
        </is>
      </c>
      <c r="L11868">
        <f>_xlfn.XLOOKUP(Tableau1[[#This Row],[TYPE DE PIECE]],Tableau4[MATIERE],Tableau4[SHORT TYPE],"",0,1)</f>
        <v/>
      </c>
      <c r="N11868">
        <f>IF(ISERR(FIND("DECOUPE",Tableau1[[#This Row],[DESIGNATION]])),"","NEED REF")</f>
        <v/>
      </c>
    </row>
    <row r="11869">
      <c r="B11869" t="n">
        <v>34402136</v>
      </c>
      <c r="C11869" s="2" t="n"/>
      <c r="D11869" t="inlineStr">
        <is>
          <t>Notice</t>
        </is>
      </c>
      <c r="E11869" t="inlineStr">
        <is>
          <t>Dossier montage durcissement marine G5k 40/60k (BV 1H30)</t>
        </is>
      </c>
      <c r="F11869" t="inlineStr">
        <is>
          <t>G5000</t>
        </is>
      </c>
      <c r="J11869" t="inlineStr">
        <is>
          <t>ROBERT</t>
        </is>
      </c>
      <c r="L11869">
        <f>_xlfn.XLOOKUP(Tableau1[[#This Row],[TYPE DE PIECE]],Tableau4[MATIERE],Tableau4[SHORT TYPE],"",0,1)</f>
        <v/>
      </c>
      <c r="N11869">
        <f>IF(ISERR(FIND("DECOUPE",Tableau1[[#This Row],[DESIGNATION]])),"","NEED REF")</f>
        <v/>
      </c>
    </row>
    <row r="11870">
      <c r="B11870" t="n">
        <v>34402135</v>
      </c>
      <c r="C11870" s="2" t="n"/>
      <c r="D11870" t="inlineStr">
        <is>
          <t>SPEC</t>
        </is>
      </c>
      <c r="E11870" t="inlineStr">
        <is>
          <t>Plastron 3 NW20DC 3P</t>
        </is>
      </c>
      <c r="F11870" t="inlineStr">
        <is>
          <t>armoire couplage G7K</t>
        </is>
      </c>
      <c r="J11870" t="inlineStr">
        <is>
          <t>REVEL</t>
        </is>
      </c>
      <c r="L11870">
        <f>_xlfn.XLOOKUP(Tableau1[[#This Row],[TYPE DE PIECE]],Tableau4[MATIERE],Tableau4[SHORT TYPE],"",0,1)</f>
        <v/>
      </c>
      <c r="N11870">
        <f>IF(ISERR(FIND("DECOUPE",Tableau1[[#This Row],[DESIGNATION]])),"","NEED REF")</f>
        <v/>
      </c>
    </row>
    <row r="11871">
      <c r="B11871" t="n">
        <v>34402134</v>
      </c>
      <c r="C11871" s="2" t="n"/>
      <c r="D11871" t="inlineStr">
        <is>
          <t>Notice</t>
        </is>
      </c>
      <c r="E11871" t="inlineStr">
        <is>
          <t>Notice de test boitier de décharge profonde</t>
        </is>
      </c>
      <c r="J11871" t="inlineStr">
        <is>
          <t>Nogaretto</t>
        </is>
      </c>
      <c r="L11871">
        <f>_xlfn.XLOOKUP(Tableau1[[#This Row],[TYPE DE PIECE]],Tableau4[MATIERE],Tableau4[SHORT TYPE],"",0,1)</f>
        <v/>
      </c>
      <c r="N11871">
        <f>IF(ISERR(FIND("DECOUPE",Tableau1[[#This Row],[DESIGNATION]])),"","NEED REF")</f>
        <v/>
      </c>
    </row>
    <row r="11872">
      <c r="B11872" t="n">
        <v>34402133</v>
      </c>
      <c r="C11872" s="2" t="n"/>
      <c r="D11872" t="inlineStr">
        <is>
          <t>Notice</t>
        </is>
      </c>
      <c r="E11872" t="inlineStr">
        <is>
          <t>Notice de test SNCF Comet EXRT</t>
        </is>
      </c>
      <c r="J11872" t="inlineStr">
        <is>
          <t>Nogaretto</t>
        </is>
      </c>
      <c r="L11872">
        <f>_xlfn.XLOOKUP(Tableau1[[#This Row],[TYPE DE PIECE]],Tableau4[MATIERE],Tableau4[SHORT TYPE],"",0,1)</f>
        <v/>
      </c>
      <c r="N11872">
        <f>IF(ISERR(FIND("DECOUPE",Tableau1[[#This Row],[DESIGNATION]])),"","NEED REF")</f>
        <v/>
      </c>
    </row>
    <row r="11873">
      <c r="B11873" t="n">
        <v>34402132</v>
      </c>
      <c r="C11873" s="2" t="n"/>
      <c r="D11873" t="inlineStr">
        <is>
          <t>SPEC</t>
        </is>
      </c>
      <c r="E11873" t="inlineStr">
        <is>
          <t>Barre neutre pour BP 600kVA</t>
        </is>
      </c>
      <c r="F11873" t="inlineStr">
        <is>
          <t>G5K</t>
        </is>
      </c>
      <c r="J11873" t="inlineStr">
        <is>
          <t>REVEL</t>
        </is>
      </c>
      <c r="L11873">
        <f>_xlfn.XLOOKUP(Tableau1[[#This Row],[TYPE DE PIECE]],Tableau4[MATIERE],Tableau4[SHORT TYPE],"",0,1)</f>
        <v/>
      </c>
      <c r="N11873">
        <f>IF(ISERR(FIND("DECOUPE",Tableau1[[#This Row],[DESIGNATION]])),"","NEED REF")</f>
        <v/>
      </c>
    </row>
    <row r="11874">
      <c r="B11874" t="n">
        <v>34402131</v>
      </c>
      <c r="C11874" s="2" t="n"/>
      <c r="D11874" t="inlineStr">
        <is>
          <t>CDC</t>
        </is>
      </c>
      <c r="E11874" t="inlineStr">
        <is>
          <t>CDC skid ARM SAREL 700x2000+800x2000 H=75</t>
        </is>
      </c>
      <c r="F11874" t="inlineStr">
        <is>
          <t>MEYER WERFT</t>
        </is>
      </c>
      <c r="J11874" t="inlineStr">
        <is>
          <t>ROBERT</t>
        </is>
      </c>
      <c r="L11874">
        <f>_xlfn.XLOOKUP(Tableau1[[#This Row],[TYPE DE PIECE]],Tableau4[MATIERE],Tableau4[SHORT TYPE],"",0,1)</f>
        <v/>
      </c>
      <c r="N11874">
        <f>IF(ISERR(FIND("DECOUPE",Tableau1[[#This Row],[DESIGNATION]])),"","NEED REF")</f>
        <v/>
      </c>
    </row>
    <row r="11875">
      <c r="B11875" t="n">
        <v>34402130</v>
      </c>
      <c r="C11875" s="2" t="n">
        <v>40338</v>
      </c>
      <c r="D11875" t="inlineStr">
        <is>
          <t>SPEC</t>
        </is>
      </c>
      <c r="E11875" t="inlineStr">
        <is>
          <t>SUPPORT RAIL DIN REGLABLE LONGUEUR DOUBLE</t>
        </is>
      </c>
      <c r="F11875" t="inlineStr">
        <is>
          <t>TOUTES</t>
        </is>
      </c>
      <c r="J11875" t="inlineStr">
        <is>
          <t>MATRION</t>
        </is>
      </c>
      <c r="L11875">
        <f>_xlfn.XLOOKUP(Tableau1[[#This Row],[TYPE DE PIECE]],Tableau4[MATIERE],Tableau4[SHORT TYPE],"",0,1)</f>
        <v/>
      </c>
      <c r="N11875">
        <f>IF(ISERR(FIND("DECOUPE",Tableau1[[#This Row],[DESIGNATION]])),"","NEED REF")</f>
        <v/>
      </c>
    </row>
    <row r="11876">
      <c r="B11876" t="n">
        <v>34402129</v>
      </c>
      <c r="C11876" s="2" t="n">
        <v>40338</v>
      </c>
      <c r="D11876" t="inlineStr">
        <is>
          <t>NOM</t>
        </is>
      </c>
      <c r="E11876" t="inlineStr">
        <is>
          <t>Contrôle Ventilation RCI G6000</t>
        </is>
      </c>
      <c r="F11876" t="inlineStr">
        <is>
          <t>G6K</t>
        </is>
      </c>
      <c r="J11876" t="inlineStr">
        <is>
          <t>MATRION</t>
        </is>
      </c>
      <c r="L11876">
        <f>_xlfn.XLOOKUP(Tableau1[[#This Row],[TYPE DE PIECE]],Tableau4[MATIERE],Tableau4[SHORT TYPE],"",0,1)</f>
        <v/>
      </c>
      <c r="N11876">
        <f>IF(ISERR(FIND("DECOUPE",Tableau1[[#This Row],[DESIGNATION]])),"","NEED REF")</f>
        <v/>
      </c>
    </row>
    <row r="11877">
      <c r="B11877" t="n">
        <v>34402128</v>
      </c>
      <c r="C11877" s="2" t="n">
        <v>40338</v>
      </c>
      <c r="D11877" t="inlineStr">
        <is>
          <t>Notice</t>
        </is>
      </c>
      <c r="E11877" t="inlineStr">
        <is>
          <t>Notice de teste Couplage Batt 3ASI automate TWIDO</t>
        </is>
      </c>
      <c r="F11877" t="inlineStr">
        <is>
          <t>G5k</t>
        </is>
      </c>
      <c r="J11877" t="inlineStr">
        <is>
          <t>ROGEAT</t>
        </is>
      </c>
      <c r="L11877">
        <f>_xlfn.XLOOKUP(Tableau1[[#This Row],[TYPE DE PIECE]],Tableau4[MATIERE],Tableau4[SHORT TYPE],"",0,1)</f>
        <v/>
      </c>
      <c r="N11877">
        <f>IF(ISERR(FIND("DECOUPE",Tableau1[[#This Row],[DESIGNATION]])),"","NEED REF")</f>
        <v/>
      </c>
    </row>
    <row r="11878">
      <c r="B11878" t="n">
        <v>34402127</v>
      </c>
      <c r="C11878" s="2" t="n">
        <v>40338</v>
      </c>
      <c r="D11878" t="inlineStr">
        <is>
          <t>XT</t>
        </is>
      </c>
      <c r="E11878" t="inlineStr">
        <is>
          <t xml:space="preserve">Manuel d’utilisation Couplage Batt 3ASI  </t>
        </is>
      </c>
      <c r="F11878" t="inlineStr">
        <is>
          <t>G5k</t>
        </is>
      </c>
      <c r="J11878" t="inlineStr">
        <is>
          <t>ROGEAT</t>
        </is>
      </c>
      <c r="L11878">
        <f>_xlfn.XLOOKUP(Tableau1[[#This Row],[TYPE DE PIECE]],Tableau4[MATIERE],Tableau4[SHORT TYPE],"",0,1)</f>
        <v/>
      </c>
      <c r="N11878">
        <f>IF(ISERR(FIND("DECOUPE",Tableau1[[#This Row],[DESIGNATION]])),"","NEED REF")</f>
        <v/>
      </c>
    </row>
    <row r="11879">
      <c r="B11879" t="n">
        <v>34402126</v>
      </c>
      <c r="C11879" s="2" t="n">
        <v>40338</v>
      </c>
      <c r="D11879" t="inlineStr">
        <is>
          <t>DM</t>
        </is>
      </c>
      <c r="E11879" t="inlineStr">
        <is>
          <t>Dossier de montage Couplage Batterie 3ASI dans armoire l=710</t>
        </is>
      </c>
      <c r="F11879" t="inlineStr">
        <is>
          <t>G5k</t>
        </is>
      </c>
      <c r="J11879" t="inlineStr">
        <is>
          <t>ROGEAT</t>
        </is>
      </c>
      <c r="L11879">
        <f>_xlfn.XLOOKUP(Tableau1[[#This Row],[TYPE DE PIECE]],Tableau4[MATIERE],Tableau4[SHORT TYPE],"",0,1)</f>
        <v/>
      </c>
      <c r="N11879">
        <f>IF(ISERR(FIND("DECOUPE",Tableau1[[#This Row],[DESIGNATION]])),"","NEED REF")</f>
        <v/>
      </c>
    </row>
    <row r="11880">
      <c r="B11880" t="n">
        <v>34402125</v>
      </c>
      <c r="C11880" s="2" t="n">
        <v>40338</v>
      </c>
      <c r="D11880" t="inlineStr">
        <is>
          <t>NOM</t>
        </is>
      </c>
      <c r="E11880" t="inlineStr">
        <is>
          <t>Contrôle Ventilation RCI G9000</t>
        </is>
      </c>
      <c r="F11880" t="inlineStr">
        <is>
          <t>G9K</t>
        </is>
      </c>
      <c r="J11880" t="inlineStr">
        <is>
          <t>MATRION</t>
        </is>
      </c>
      <c r="L11880">
        <f>_xlfn.XLOOKUP(Tableau1[[#This Row],[TYPE DE PIECE]],Tableau4[MATIERE],Tableau4[SHORT TYPE],"",0,1)</f>
        <v/>
      </c>
      <c r="N11880">
        <f>IF(ISERR(FIND("DECOUPE",Tableau1[[#This Row],[DESIGNATION]])),"","NEED REF")</f>
        <v/>
      </c>
    </row>
    <row r="11881">
      <c r="B11881" t="n">
        <v>34402124</v>
      </c>
      <c r="C11881" s="2" t="n">
        <v>40337</v>
      </c>
      <c r="D11881" t="inlineStr">
        <is>
          <t>CDC</t>
        </is>
      </c>
      <c r="E11881" t="inlineStr">
        <is>
          <t>COFFRET DISJ BATTERIES</t>
        </is>
      </c>
      <c r="F11881" t="inlineStr">
        <is>
          <t>G7k G9k</t>
        </is>
      </c>
      <c r="L11881">
        <f>_xlfn.XLOOKUP(Tableau1[[#This Row],[TYPE DE PIECE]],Tableau4[MATIERE],Tableau4[SHORT TYPE],"",0,1)</f>
        <v/>
      </c>
      <c r="N11881">
        <f>IF(ISERR(FIND("DECOUPE",Tableau1[[#This Row],[DESIGNATION]])),"","NEED REF")</f>
        <v/>
      </c>
    </row>
    <row r="11882">
      <c r="B11882" t="n">
        <v>34402123</v>
      </c>
      <c r="C11882" s="2" t="n">
        <v>40330</v>
      </c>
      <c r="D11882" t="inlineStr">
        <is>
          <t>NOM</t>
        </is>
      </c>
      <c r="E11882" t="inlineStr">
        <is>
          <t>LG ARM COUPLAGE BATT 3ASI GAL 5000 20kVA</t>
        </is>
      </c>
      <c r="F11882" t="inlineStr">
        <is>
          <t>G5k 20kVA</t>
        </is>
      </c>
      <c r="J11882" t="inlineStr">
        <is>
          <t>ROGEAT</t>
        </is>
      </c>
      <c r="L11882">
        <f>_xlfn.XLOOKUP(Tableau1[[#This Row],[TYPE DE PIECE]],Tableau4[MATIERE],Tableau4[SHORT TYPE],"",0,1)</f>
        <v/>
      </c>
      <c r="N11882">
        <f>IF(ISERR(FIND("DECOUPE",Tableau1[[#This Row],[DESIGNATION]])),"","NEED REF")</f>
        <v/>
      </c>
    </row>
    <row r="11883">
      <c r="B11883" t="n">
        <v>34402122</v>
      </c>
      <c r="C11883" s="2" t="n">
        <v>40330</v>
      </c>
      <c r="D11883" t="inlineStr">
        <is>
          <t>SPEC</t>
        </is>
      </c>
      <c r="E11883" t="inlineStr">
        <is>
          <t>Plastron h=300 plein pour Birdy l=712-Decoupe 2x NS100/MT100</t>
        </is>
      </c>
      <c r="F11883" t="inlineStr">
        <is>
          <t>BIRDY</t>
        </is>
      </c>
      <c r="J11883" t="inlineStr">
        <is>
          <t>ROGEAT</t>
        </is>
      </c>
      <c r="L11883">
        <f>_xlfn.XLOOKUP(Tableau1[[#This Row],[TYPE DE PIECE]],Tableau4[MATIERE],Tableau4[SHORT TYPE],"",0,1)</f>
        <v/>
      </c>
      <c r="N11883">
        <f>IF(ISERR(FIND("DECOUPE",Tableau1[[#This Row],[DESIGNATION]])),"","NEED REF")</f>
        <v/>
      </c>
    </row>
    <row r="11884">
      <c r="B11884" t="n">
        <v>34402121</v>
      </c>
      <c r="C11884" s="2" t="n">
        <v>40330</v>
      </c>
      <c r="D11884" t="inlineStr">
        <is>
          <t>SPEC</t>
        </is>
      </c>
      <c r="E11884" t="inlineStr">
        <is>
          <t>Plastron h=200 plein pour Birdy l=712 - Decoupe 3x NS100</t>
        </is>
      </c>
      <c r="F11884" t="inlineStr">
        <is>
          <t>BIRDY</t>
        </is>
      </c>
      <c r="J11884" t="inlineStr">
        <is>
          <t>ROGEAT</t>
        </is>
      </c>
      <c r="L11884">
        <f>_xlfn.XLOOKUP(Tableau1[[#This Row],[TYPE DE PIECE]],Tableau4[MATIERE],Tableau4[SHORT TYPE],"",0,1)</f>
        <v/>
      </c>
      <c r="N11884">
        <f>IF(ISERR(FIND("DECOUPE",Tableau1[[#This Row],[DESIGNATION]])),"","NEED REF")</f>
        <v/>
      </c>
    </row>
    <row r="11885">
      <c r="B11885" t="n">
        <v>34402120</v>
      </c>
      <c r="C11885" s="2" t="n"/>
      <c r="E11885" t="inlineStr">
        <is>
          <t>RESERVE POUR ARMOIRE G5K TT</t>
        </is>
      </c>
      <c r="L11885">
        <f>_xlfn.XLOOKUP(Tableau1[[#This Row],[TYPE DE PIECE]],Tableau4[MATIERE],Tableau4[SHORT TYPE],"",0,1)</f>
        <v/>
      </c>
      <c r="N11885">
        <f>IF(ISERR(FIND("DECOUPE",Tableau1[[#This Row],[DESIGNATION]])),"","NEED REF")</f>
        <v/>
      </c>
    </row>
    <row r="11886">
      <c r="B11886" t="n">
        <v>34402119</v>
      </c>
      <c r="C11886" s="2" t="n"/>
      <c r="D11886" t="inlineStr">
        <is>
          <t>NOM</t>
        </is>
      </c>
      <c r="E11886" t="inlineStr">
        <is>
          <t>Coffret DJ bat Galaxy PW Cold start</t>
        </is>
      </c>
      <c r="F11886" t="inlineStr">
        <is>
          <t>GALAXY PW</t>
        </is>
      </c>
      <c r="J11886" t="inlineStr">
        <is>
          <t>REVEL</t>
        </is>
      </c>
      <c r="L11886">
        <f>_xlfn.XLOOKUP(Tableau1[[#This Row],[TYPE DE PIECE]],Tableau4[MATIERE],Tableau4[SHORT TYPE],"",0,1)</f>
        <v/>
      </c>
      <c r="N11886">
        <f>IF(ISERR(FIND("DECOUPE",Tableau1[[#This Row],[DESIGNATION]])),"","NEED REF")</f>
        <v/>
      </c>
    </row>
    <row r="11887">
      <c r="B11887" t="n">
        <v>34402118</v>
      </c>
      <c r="C11887" s="2" t="n"/>
      <c r="D11887" t="inlineStr">
        <is>
          <t>SPEC</t>
        </is>
      </c>
      <c r="E11887" t="inlineStr">
        <is>
          <t>Plastron bas avec aeration armoire G5K 1015 type SNCF</t>
        </is>
      </c>
      <c r="F11887" t="inlineStr">
        <is>
          <t>G3500</t>
        </is>
      </c>
      <c r="J11887" t="inlineStr">
        <is>
          <t>REVEL</t>
        </is>
      </c>
      <c r="L11887">
        <f>_xlfn.XLOOKUP(Tableau1[[#This Row],[TYPE DE PIECE]],Tableau4[MATIERE],Tableau4[SHORT TYPE],"",0,1)</f>
        <v/>
      </c>
      <c r="N11887">
        <f>IF(ISERR(FIND("DECOUPE",Tableau1[[#This Row],[DESIGNATION]])),"","NEED REF")</f>
        <v/>
      </c>
    </row>
    <row r="11888">
      <c r="B11888" t="n">
        <v>34402117</v>
      </c>
      <c r="C11888" s="2" t="n"/>
      <c r="D11888" t="inlineStr">
        <is>
          <t>NOM</t>
        </is>
      </c>
      <c r="E11888" t="inlineStr">
        <is>
          <t>Armoire bypass TFO distrib type SNCF</t>
        </is>
      </c>
      <c r="F11888" t="inlineStr">
        <is>
          <t>G3500</t>
        </is>
      </c>
      <c r="J11888" t="inlineStr">
        <is>
          <t>REVEL</t>
        </is>
      </c>
      <c r="L11888">
        <f>_xlfn.XLOOKUP(Tableau1[[#This Row],[TYPE DE PIECE]],Tableau4[MATIERE],Tableau4[SHORT TYPE],"",0,1)</f>
        <v/>
      </c>
      <c r="N11888">
        <f>IF(ISERR(FIND("DECOUPE",Tableau1[[#This Row],[DESIGNATION]])),"","NEED REF")</f>
        <v/>
      </c>
    </row>
    <row r="11889">
      <c r="B11889" t="n">
        <v>34402116</v>
      </c>
      <c r="C11889" s="2" t="n">
        <v>40305</v>
      </c>
      <c r="D11889" t="inlineStr">
        <is>
          <t>D montage</t>
        </is>
      </c>
      <c r="E11889" t="inlineStr">
        <is>
          <t>Armoire PDPM</t>
        </is>
      </c>
      <c r="F11889" t="inlineStr">
        <is>
          <t>PDPM277H</t>
        </is>
      </c>
      <c r="L11889">
        <f>_xlfn.XLOOKUP(Tableau1[[#This Row],[TYPE DE PIECE]],Tableau4[MATIERE],Tableau4[SHORT TYPE],"",0,1)</f>
        <v/>
      </c>
      <c r="N11889">
        <f>IF(ISERR(FIND("DECOUPE",Tableau1[[#This Row],[DESIGNATION]])),"","NEED REF")</f>
        <v/>
      </c>
    </row>
    <row r="11890">
      <c r="B11890" t="n">
        <v>34402115</v>
      </c>
      <c r="C11890" s="2" t="n"/>
      <c r="D11890" t="inlineStr">
        <is>
          <t>SPEC</t>
        </is>
      </c>
      <c r="E11890" t="inlineStr">
        <is>
          <t>Plastron haut</t>
        </is>
      </c>
      <c r="F11890" t="inlineStr">
        <is>
          <t>PDPM277H</t>
        </is>
      </c>
      <c r="J11890" t="inlineStr">
        <is>
          <t>REVEL</t>
        </is>
      </c>
      <c r="L11890">
        <f>_xlfn.XLOOKUP(Tableau1[[#This Row],[TYPE DE PIECE]],Tableau4[MATIERE],Tableau4[SHORT TYPE],"",0,1)</f>
        <v/>
      </c>
      <c r="N11890">
        <f>IF(ISERR(FIND("DECOUPE",Tableau1[[#This Row],[DESIGNATION]])),"","NEED REF")</f>
        <v/>
      </c>
    </row>
    <row r="11891">
      <c r="B11891" t="n">
        <v>34402114</v>
      </c>
      <c r="C11891" s="2" t="n"/>
      <c r="D11891" t="inlineStr">
        <is>
          <t>SPEC</t>
        </is>
      </c>
      <c r="E11891" t="inlineStr">
        <is>
          <t>Plastron bas</t>
        </is>
      </c>
      <c r="F11891" t="inlineStr">
        <is>
          <t>PDPM277H</t>
        </is>
      </c>
      <c r="J11891" t="inlineStr">
        <is>
          <t>REVEL</t>
        </is>
      </c>
      <c r="L11891">
        <f>_xlfn.XLOOKUP(Tableau1[[#This Row],[TYPE DE PIECE]],Tableau4[MATIERE],Tableau4[SHORT TYPE],"",0,1)</f>
        <v/>
      </c>
      <c r="N11891">
        <f>IF(ISERR(FIND("DECOUPE",Tableau1[[#This Row],[DESIGNATION]])),"","NEED REF")</f>
        <v/>
      </c>
    </row>
    <row r="11892">
      <c r="B11892" t="n">
        <v>34402113</v>
      </c>
      <c r="C11892" s="2" t="n"/>
      <c r="D11892" t="inlineStr">
        <is>
          <t>SPEC</t>
        </is>
      </c>
      <c r="E11892" t="inlineStr">
        <is>
          <t>Jeu de montants lateraux</t>
        </is>
      </c>
      <c r="F11892" t="inlineStr">
        <is>
          <t>PDPM277H</t>
        </is>
      </c>
      <c r="J11892" t="inlineStr">
        <is>
          <t>REVEL</t>
        </is>
      </c>
      <c r="L11892">
        <f>_xlfn.XLOOKUP(Tableau1[[#This Row],[TYPE DE PIECE]],Tableau4[MATIERE],Tableau4[SHORT TYPE],"",0,1)</f>
        <v/>
      </c>
      <c r="N11892">
        <f>IF(ISERR(FIND("DECOUPE",Tableau1[[#This Row],[DESIGNATION]])),"","NEED REF")</f>
        <v/>
      </c>
    </row>
    <row r="11893">
      <c r="B11893" t="n">
        <v>34402112</v>
      </c>
      <c r="C11893" s="2" t="n">
        <v>40282</v>
      </c>
      <c r="D11893" t="inlineStr">
        <is>
          <t>SPEC</t>
        </is>
      </c>
      <c r="E11893" t="inlineStr">
        <is>
          <t>Limande courants d'échange L=15m</t>
        </is>
      </c>
      <c r="F11893" t="inlineStr">
        <is>
          <t>G5K</t>
        </is>
      </c>
      <c r="J11893" t="inlineStr">
        <is>
          <t>MONGELLI</t>
        </is>
      </c>
      <c r="K11893" t="inlineStr">
        <is>
          <t>CABLES</t>
        </is>
      </c>
      <c r="L11893">
        <f>_xlfn.XLOOKUP(Tableau1[[#This Row],[TYPE DE PIECE]],Tableau4[MATIERE],Tableau4[SHORT TYPE],"",0,1)</f>
        <v/>
      </c>
      <c r="N11893">
        <f>IF(ISERR(FIND("DECOUPE",Tableau1[[#This Row],[DESIGNATION]])),"","NEED REF")</f>
        <v/>
      </c>
    </row>
    <row r="11894">
      <c r="B11894" t="n">
        <v>34402111</v>
      </c>
      <c r="C11894" s="2" t="n"/>
      <c r="D11894" t="inlineStr">
        <is>
          <t>SPEC</t>
        </is>
      </c>
      <c r="E11894" t="inlineStr">
        <is>
          <t xml:space="preserve">Limande BUS CAN Externe L=15m </t>
        </is>
      </c>
      <c r="F11894" t="inlineStr">
        <is>
          <t>G5K</t>
        </is>
      </c>
      <c r="J11894" t="inlineStr">
        <is>
          <t>MONGELLI</t>
        </is>
      </c>
      <c r="L11894">
        <f>_xlfn.XLOOKUP(Tableau1[[#This Row],[TYPE DE PIECE]],Tableau4[MATIERE],Tableau4[SHORT TYPE],"",0,1)</f>
        <v/>
      </c>
      <c r="N11894">
        <f>IF(ISERR(FIND("DECOUPE",Tableau1[[#This Row],[DESIGNATION]])),"","NEED REF")</f>
        <v/>
      </c>
    </row>
    <row r="11895">
      <c r="B11895" t="n">
        <v>34402110</v>
      </c>
      <c r="C11895" s="2" t="n"/>
      <c r="D11895" t="inlineStr">
        <is>
          <t>NOM</t>
        </is>
      </c>
      <c r="E11895" t="inlineStr">
        <is>
          <t>Armoire couplage batterie pour G7k 500kVA</t>
        </is>
      </c>
      <c r="F11895" t="inlineStr">
        <is>
          <t xml:space="preserve">G7K </t>
        </is>
      </c>
      <c r="J11895" t="inlineStr">
        <is>
          <t>REVEL</t>
        </is>
      </c>
      <c r="L11895">
        <f>_xlfn.XLOOKUP(Tableau1[[#This Row],[TYPE DE PIECE]],Tableau4[MATIERE],Tableau4[SHORT TYPE],"",0,1)</f>
        <v/>
      </c>
      <c r="N11895">
        <f>IF(ISERR(FIND("DECOUPE",Tableau1[[#This Row],[DESIGNATION]])),"","NEED REF")</f>
        <v/>
      </c>
    </row>
    <row r="11896">
      <c r="B11896" t="n">
        <v>34402109</v>
      </c>
      <c r="C11896" s="2" t="n"/>
      <c r="D11896" t="inlineStr">
        <is>
          <t>SPEC</t>
        </is>
      </c>
      <c r="E11896" t="inlineStr">
        <is>
          <t>Plastron L=1412 pour NW20DC sans decoupe</t>
        </is>
      </c>
      <c r="F11896" t="inlineStr">
        <is>
          <t xml:space="preserve">G7K </t>
        </is>
      </c>
      <c r="J11896" t="inlineStr">
        <is>
          <t>REVEL</t>
        </is>
      </c>
      <c r="L11896">
        <f>_xlfn.XLOOKUP(Tableau1[[#This Row],[TYPE DE PIECE]],Tableau4[MATIERE],Tableau4[SHORT TYPE],"",0,1)</f>
        <v/>
      </c>
      <c r="N11896">
        <f>IF(ISERR(FIND("DECOUPE",Tableau1[[#This Row],[DESIGNATION]])),"","NEED REF")</f>
        <v/>
      </c>
    </row>
    <row r="11897">
      <c r="B11897" t="n">
        <v>34402108</v>
      </c>
      <c r="C11897" s="2" t="n"/>
      <c r="D11897" t="inlineStr">
        <is>
          <t>SPEC</t>
        </is>
      </c>
      <c r="E11897" t="inlineStr">
        <is>
          <t xml:space="preserve">Plastron L=1412 pour NW20DC </t>
        </is>
      </c>
      <c r="F11897" t="inlineStr">
        <is>
          <t xml:space="preserve">G7K </t>
        </is>
      </c>
      <c r="J11897" t="inlineStr">
        <is>
          <t>REVEL</t>
        </is>
      </c>
      <c r="L11897">
        <f>_xlfn.XLOOKUP(Tableau1[[#This Row],[TYPE DE PIECE]],Tableau4[MATIERE],Tableau4[SHORT TYPE],"",0,1)</f>
        <v/>
      </c>
      <c r="N11897">
        <f>IF(ISERR(FIND("DECOUPE",Tableau1[[#This Row],[DESIGNATION]])),"","NEED REF")</f>
        <v/>
      </c>
    </row>
    <row r="11898">
      <c r="B11898" t="n">
        <v>34402107</v>
      </c>
      <c r="C11898" s="2" t="n"/>
      <c r="D11898" t="inlineStr">
        <is>
          <t>SPEC</t>
        </is>
      </c>
      <c r="E11898" t="inlineStr">
        <is>
          <t>Limande courants d'échange L=80m</t>
        </is>
      </c>
      <c r="F11898" t="inlineStr">
        <is>
          <t xml:space="preserve">G7K </t>
        </is>
      </c>
      <c r="J11898" t="inlineStr">
        <is>
          <t>MONGELLI</t>
        </is>
      </c>
      <c r="L11898">
        <f>_xlfn.XLOOKUP(Tableau1[[#This Row],[TYPE DE PIECE]],Tableau4[MATIERE],Tableau4[SHORT TYPE],"",0,1)</f>
        <v/>
      </c>
      <c r="N11898">
        <f>IF(ISERR(FIND("DECOUPE",Tableau1[[#This Row],[DESIGNATION]])),"","NEED REF")</f>
        <v/>
      </c>
    </row>
    <row r="11899">
      <c r="B11899" t="n">
        <v>34402106</v>
      </c>
      <c r="C11899" s="2" t="n"/>
      <c r="D11899" t="inlineStr">
        <is>
          <t>SPEC</t>
        </is>
      </c>
      <c r="E11899" t="inlineStr">
        <is>
          <t xml:space="preserve">Limande BUS CAN Externe L=80m </t>
        </is>
      </c>
      <c r="F11899" t="inlineStr">
        <is>
          <t xml:space="preserve">G7K </t>
        </is>
      </c>
      <c r="J11899" t="inlineStr">
        <is>
          <t>MONGELLI</t>
        </is>
      </c>
      <c r="L11899">
        <f>_xlfn.XLOOKUP(Tableau1[[#This Row],[TYPE DE PIECE]],Tableau4[MATIERE],Tableau4[SHORT TYPE],"",0,1)</f>
        <v/>
      </c>
      <c r="N11899">
        <f>IF(ISERR(FIND("DECOUPE",Tableau1[[#This Row],[DESIGNATION]])),"","NEED REF")</f>
        <v/>
      </c>
    </row>
    <row r="11900">
      <c r="B11900" t="n">
        <v>34402105</v>
      </c>
      <c r="C11900" s="2" t="n"/>
      <c r="D11900" t="inlineStr">
        <is>
          <t>SPEC</t>
        </is>
      </c>
      <c r="E11900" t="inlineStr">
        <is>
          <t>Plastron 2 NS630H + NSX630N telecommande</t>
        </is>
      </c>
      <c r="F11900" t="inlineStr">
        <is>
          <t xml:space="preserve">G7K </t>
        </is>
      </c>
      <c r="J11900" t="inlineStr">
        <is>
          <t>REVEL</t>
        </is>
      </c>
      <c r="L11900">
        <f>_xlfn.XLOOKUP(Tableau1[[#This Row],[TYPE DE PIECE]],Tableau4[MATIERE],Tableau4[SHORT TYPE],"",0,1)</f>
        <v/>
      </c>
      <c r="N11900">
        <f>IF(ISERR(FIND("DECOUPE",Tableau1[[#This Row],[DESIGNATION]])),"","NEED REF")</f>
        <v/>
      </c>
    </row>
    <row r="11901">
      <c r="B11901" t="n">
        <v>34402104</v>
      </c>
      <c r="C11901" s="2" t="n"/>
      <c r="D11901" t="inlineStr">
        <is>
          <t>NOM</t>
        </is>
      </c>
      <c r="E11901" t="inlineStr">
        <is>
          <t>LG CouplaGE BATT G7000 200-250kVA toute autonomie</t>
        </is>
      </c>
      <c r="F11901" t="inlineStr">
        <is>
          <t xml:space="preserve">G7K </t>
        </is>
      </c>
      <c r="J11901" t="inlineStr">
        <is>
          <t>REVEL</t>
        </is>
      </c>
      <c r="L11901">
        <f>_xlfn.XLOOKUP(Tableau1[[#This Row],[TYPE DE PIECE]],Tableau4[MATIERE],Tableau4[SHORT TYPE],"",0,1)</f>
        <v/>
      </c>
      <c r="N11901">
        <f>IF(ISERR(FIND("DECOUPE",Tableau1[[#This Row],[DESIGNATION]])),"","NEED REF")</f>
        <v/>
      </c>
    </row>
    <row r="11902">
      <c r="B11902" t="n">
        <v>34402103</v>
      </c>
      <c r="C11902" s="2" t="n"/>
      <c r="D11902" t="inlineStr">
        <is>
          <t>SPEC</t>
        </is>
      </c>
      <c r="E11902" t="inlineStr">
        <is>
          <t>PLASTRON H300 L712 pour 2 INS400 3P</t>
        </is>
      </c>
      <c r="F11902" t="inlineStr">
        <is>
          <t>BIRDY</t>
        </is>
      </c>
      <c r="J11902" t="inlineStr">
        <is>
          <t>ROBERT</t>
        </is>
      </c>
      <c r="L11902">
        <f>_xlfn.XLOOKUP(Tableau1[[#This Row],[TYPE DE PIECE]],Tableau4[MATIERE],Tableau4[SHORT TYPE],"",0,1)</f>
        <v/>
      </c>
      <c r="N11902">
        <f>IF(ISERR(FIND("DECOUPE",Tableau1[[#This Row],[DESIGNATION]])),"","NEED REF")</f>
        <v/>
      </c>
    </row>
    <row r="11903">
      <c r="B11903" t="n">
        <v>34402102</v>
      </c>
      <c r="C11903" s="2" t="n"/>
      <c r="D11903" t="inlineStr">
        <is>
          <t>SPEC</t>
        </is>
      </c>
      <c r="E11903" t="inlineStr">
        <is>
          <t>Birdy l=1412 - plastron h=100 plein</t>
        </is>
      </c>
      <c r="F11903" t="inlineStr">
        <is>
          <t>BIRDY</t>
        </is>
      </c>
      <c r="J11903" t="inlineStr">
        <is>
          <t>ROBERT</t>
        </is>
      </c>
      <c r="L11903">
        <f>_xlfn.XLOOKUP(Tableau1[[#This Row],[TYPE DE PIECE]],Tableau4[MATIERE],Tableau4[SHORT TYPE],"",0,1)</f>
        <v/>
      </c>
      <c r="N11903">
        <f>IF(ISERR(FIND("DECOUPE",Tableau1[[#This Row],[DESIGNATION]])),"","NEED REF")</f>
        <v/>
      </c>
    </row>
    <row r="11904">
      <c r="B11904" t="n">
        <v>34402101</v>
      </c>
      <c r="C11904" s="2" t="n"/>
      <c r="D11904" t="inlineStr">
        <is>
          <t>NOM</t>
        </is>
      </c>
      <c r="E11904" t="inlineStr">
        <is>
          <t xml:space="preserve">Lg skid G7000 AUX 1412 </t>
        </is>
      </c>
      <c r="F11904" t="inlineStr">
        <is>
          <t xml:space="preserve">G7K </t>
        </is>
      </c>
      <c r="J11904" t="inlineStr">
        <is>
          <t>ROBERT</t>
        </is>
      </c>
      <c r="L11904">
        <f>_xlfn.XLOOKUP(Tableau1[[#This Row],[TYPE DE PIECE]],Tableau4[MATIERE],Tableau4[SHORT TYPE],"",0,1)</f>
        <v/>
      </c>
      <c r="N11904">
        <f>IF(ISERR(FIND("DECOUPE",Tableau1[[#This Row],[DESIGNATION]])),"","NEED REF")</f>
        <v/>
      </c>
    </row>
    <row r="11905">
      <c r="B11905" t="n">
        <v>34402100</v>
      </c>
      <c r="C11905" s="2" t="n"/>
      <c r="D11905" t="inlineStr">
        <is>
          <t>SPEC</t>
        </is>
      </c>
      <c r="E11905" t="inlineStr">
        <is>
          <t>Traverse AV/AR Lg =1010 skid G5k</t>
        </is>
      </c>
      <c r="F11905" t="inlineStr">
        <is>
          <t xml:space="preserve">G7K </t>
        </is>
      </c>
      <c r="J11905" t="inlineStr">
        <is>
          <t>ROBERT</t>
        </is>
      </c>
      <c r="L11905">
        <f>_xlfn.XLOOKUP(Tableau1[[#This Row],[TYPE DE PIECE]],Tableau4[MATIERE],Tableau4[SHORT TYPE],"",0,1)</f>
        <v/>
      </c>
      <c r="N11905">
        <f>IF(ISERR(FIND("DECOUPE",Tableau1[[#This Row],[DESIGNATION]])),"","NEED REF")</f>
        <v/>
      </c>
    </row>
    <row r="11906">
      <c r="B11906" t="n">
        <v>34402099</v>
      </c>
      <c r="C11906" s="2" t="n"/>
      <c r="D11906" t="inlineStr">
        <is>
          <t>NOM</t>
        </is>
      </c>
      <c r="E11906" t="inlineStr">
        <is>
          <t>Lg skid G5000 AUX 1012 nouvelle version BV</t>
        </is>
      </c>
      <c r="F11906" t="inlineStr">
        <is>
          <t>G5k</t>
        </is>
      </c>
      <c r="J11906" t="inlineStr">
        <is>
          <t>ROBERT</t>
        </is>
      </c>
      <c r="L11906">
        <f>_xlfn.XLOOKUP(Tableau1[[#This Row],[TYPE DE PIECE]],Tableau4[MATIERE],Tableau4[SHORT TYPE],"",0,1)</f>
        <v/>
      </c>
      <c r="N11906">
        <f>IF(ISERR(FIND("DECOUPE",Tableau1[[#This Row],[DESIGNATION]])),"","NEED REF")</f>
        <v/>
      </c>
    </row>
    <row r="11907">
      <c r="B11907" t="n">
        <v>34402098</v>
      </c>
      <c r="C11907" s="2" t="n"/>
      <c r="D11907" t="inlineStr">
        <is>
          <t>SPEC</t>
        </is>
      </c>
      <c r="E11907" t="inlineStr">
        <is>
          <t>Traverse AV/AR Lg =1010 skid G5k</t>
        </is>
      </c>
      <c r="F11907" t="inlineStr">
        <is>
          <t>G5k</t>
        </is>
      </c>
      <c r="J11907" t="inlineStr">
        <is>
          <t>ROBERT</t>
        </is>
      </c>
      <c r="L11907">
        <f>_xlfn.XLOOKUP(Tableau1[[#This Row],[TYPE DE PIECE]],Tableau4[MATIERE],Tableau4[SHORT TYPE],"",0,1)</f>
        <v/>
      </c>
      <c r="N11907">
        <f>IF(ISERR(FIND("DECOUPE",Tableau1[[#This Row],[DESIGNATION]])),"","NEED REF")</f>
        <v/>
      </c>
    </row>
    <row r="11908">
      <c r="B11908" t="n">
        <v>34402097</v>
      </c>
      <c r="C11908" s="2" t="n">
        <v>40247</v>
      </c>
      <c r="D11908" t="inlineStr">
        <is>
          <t>SPEC</t>
        </is>
      </c>
      <c r="E11908" t="inlineStr">
        <is>
          <t>Birdy l=1412 - plastron h=300 plein</t>
        </is>
      </c>
      <c r="F11908" t="inlineStr">
        <is>
          <t>BIRDY</t>
        </is>
      </c>
      <c r="J11908" t="inlineStr">
        <is>
          <t>Lepeltier</t>
        </is>
      </c>
      <c r="L11908">
        <f>_xlfn.XLOOKUP(Tableau1[[#This Row],[TYPE DE PIECE]],Tableau4[MATIERE],Tableau4[SHORT TYPE],"",0,1)</f>
        <v/>
      </c>
      <c r="N11908">
        <f>IF(ISERR(FIND("DECOUPE",Tableau1[[#This Row],[DESIGNATION]])),"","NEED REF")</f>
        <v/>
      </c>
    </row>
    <row r="11909">
      <c r="B11909" t="n">
        <v>34402096</v>
      </c>
      <c r="C11909" s="2" t="n">
        <v>40247</v>
      </c>
      <c r="D11909" t="inlineStr">
        <is>
          <t>SPEC</t>
        </is>
      </c>
      <c r="E11909" t="inlineStr">
        <is>
          <t>Birdy l=1412 - plastron h=200 plein</t>
        </is>
      </c>
      <c r="F11909" t="inlineStr">
        <is>
          <t>BIRDY</t>
        </is>
      </c>
      <c r="J11909" t="inlineStr">
        <is>
          <t>Lepeltier</t>
        </is>
      </c>
      <c r="L11909">
        <f>_xlfn.XLOOKUP(Tableau1[[#This Row],[TYPE DE PIECE]],Tableau4[MATIERE],Tableau4[SHORT TYPE],"",0,1)</f>
        <v/>
      </c>
      <c r="N11909">
        <f>IF(ISERR(FIND("DECOUPE",Tableau1[[#This Row],[DESIGNATION]])),"","NEED REF")</f>
        <v/>
      </c>
    </row>
    <row r="11910">
      <c r="B11910" t="n">
        <v>34402095</v>
      </c>
      <c r="C11910" s="2" t="n">
        <v>40247</v>
      </c>
      <c r="D11910" t="inlineStr">
        <is>
          <t>SPEC</t>
        </is>
      </c>
      <c r="E11910" t="inlineStr">
        <is>
          <t>Birdy l=1412 - plastron h=200 pour C60</t>
        </is>
      </c>
      <c r="F11910" t="inlineStr">
        <is>
          <t>BIRDY</t>
        </is>
      </c>
      <c r="J11910" t="inlineStr">
        <is>
          <t>Lepeltier</t>
        </is>
      </c>
      <c r="L11910">
        <f>_xlfn.XLOOKUP(Tableau1[[#This Row],[TYPE DE PIECE]],Tableau4[MATIERE],Tableau4[SHORT TYPE],"",0,1)</f>
        <v/>
      </c>
      <c r="N11910">
        <f>IF(ISERR(FIND("DECOUPE",Tableau1[[#This Row],[DESIGNATION]])),"","NEED REF")</f>
        <v/>
      </c>
    </row>
    <row r="11911">
      <c r="B11911" t="n">
        <v>34402094</v>
      </c>
      <c r="C11911" s="2" t="n">
        <v>40245</v>
      </c>
      <c r="D11911" t="inlineStr">
        <is>
          <t>SPEC</t>
        </is>
      </c>
      <c r="E11911" t="inlineStr">
        <is>
          <t>PLASTRON H300 L712 pour 2 NSX100 à NSX250</t>
        </is>
      </c>
      <c r="F11911" t="inlineStr">
        <is>
          <t>BIRDY</t>
        </is>
      </c>
      <c r="J11911" t="inlineStr">
        <is>
          <t>REVEL</t>
        </is>
      </c>
      <c r="L11911">
        <f>_xlfn.XLOOKUP(Tableau1[[#This Row],[TYPE DE PIECE]],Tableau4[MATIERE],Tableau4[SHORT TYPE],"",0,1)</f>
        <v/>
      </c>
      <c r="N11911">
        <f>IF(ISERR(FIND("DECOUPE",Tableau1[[#This Row],[DESIGNATION]])),"","NEED REF")</f>
        <v/>
      </c>
    </row>
    <row r="11912">
      <c r="B11912" t="n">
        <v>34402093</v>
      </c>
      <c r="C11912" s="2" t="n">
        <v>40242</v>
      </c>
      <c r="D11912" t="inlineStr">
        <is>
          <t>SPEC</t>
        </is>
      </c>
      <c r="E11912" t="inlineStr">
        <is>
          <t>PLASTRON H300 L712 pour 3 NSX100 à NSX250</t>
        </is>
      </c>
      <c r="F11912" t="inlineStr">
        <is>
          <t>BIRDY</t>
        </is>
      </c>
      <c r="J11912" t="inlineStr">
        <is>
          <t>REVEL</t>
        </is>
      </c>
      <c r="L11912">
        <f>_xlfn.XLOOKUP(Tableau1[[#This Row],[TYPE DE PIECE]],Tableau4[MATIERE],Tableau4[SHORT TYPE],"",0,1)</f>
        <v/>
      </c>
      <c r="N11912">
        <f>IF(ISERR(FIND("DECOUPE",Tableau1[[#This Row],[DESIGNATION]])),"","NEED REF")</f>
        <v/>
      </c>
    </row>
    <row r="11913">
      <c r="B11913" t="n">
        <v>34402092</v>
      </c>
      <c r="C11913" s="2" t="n">
        <v>40242</v>
      </c>
      <c r="D11913" t="inlineStr">
        <is>
          <t>SPEC</t>
        </is>
      </c>
      <c r="E11913" t="inlineStr">
        <is>
          <t>PLASTRON H300 L712 pour 3 INS250</t>
        </is>
      </c>
      <c r="F11913" t="inlineStr">
        <is>
          <t>BIRDY</t>
        </is>
      </c>
      <c r="J11913" t="inlineStr">
        <is>
          <t>REVEL</t>
        </is>
      </c>
      <c r="L11913">
        <f>_xlfn.XLOOKUP(Tableau1[[#This Row],[TYPE DE PIECE]],Tableau4[MATIERE],Tableau4[SHORT TYPE],"",0,1)</f>
        <v/>
      </c>
      <c r="N11913">
        <f>IF(ISERR(FIND("DECOUPE",Tableau1[[#This Row],[DESIGNATION]])),"","NEED REF")</f>
        <v/>
      </c>
    </row>
    <row r="11914">
      <c r="B11914" t="n">
        <v>34402091</v>
      </c>
      <c r="C11914" s="2" t="n">
        <v>40241</v>
      </c>
      <c r="D11914" t="inlineStr">
        <is>
          <t>NOM</t>
        </is>
      </c>
      <c r="E11914" t="inlineStr">
        <is>
          <t>KIT DJ BATTERIE GALAXY 3500</t>
        </is>
      </c>
      <c r="F11914" t="inlineStr">
        <is>
          <t>GALAXY 3500</t>
        </is>
      </c>
      <c r="J11914" t="inlineStr">
        <is>
          <t>REVEL</t>
        </is>
      </c>
      <c r="L11914">
        <f>_xlfn.XLOOKUP(Tableau1[[#This Row],[TYPE DE PIECE]],Tableau4[MATIERE],Tableau4[SHORT TYPE],"",0,1)</f>
        <v/>
      </c>
      <c r="N11914">
        <f>IF(ISERR(FIND("DECOUPE",Tableau1[[#This Row],[DESIGNATION]])),"","NEED REF")</f>
        <v/>
      </c>
    </row>
    <row r="11915">
      <c r="B11915" t="n">
        <v>34402090</v>
      </c>
      <c r="C11915" s="2" t="n">
        <v>40234</v>
      </c>
      <c r="D11915" t="inlineStr">
        <is>
          <t>SPEC</t>
        </is>
      </c>
      <c r="F11915" t="inlineStr">
        <is>
          <t>NS 2500kVA LIGHT 4000A</t>
        </is>
      </c>
      <c r="L11915">
        <f>_xlfn.XLOOKUP(Tableau1[[#This Row],[TYPE DE PIECE]],Tableau4[MATIERE],Tableau4[SHORT TYPE],"",0,1)</f>
        <v/>
      </c>
      <c r="N11915">
        <f>IF(ISERR(FIND("DECOUPE",Tableau1[[#This Row],[DESIGNATION]])),"","NEED REF")</f>
        <v/>
      </c>
    </row>
    <row r="11916">
      <c r="B11916" t="n">
        <v>34402089</v>
      </c>
      <c r="C11916" s="2" t="n">
        <v>40234</v>
      </c>
      <c r="D11916" t="inlineStr">
        <is>
          <t>SPEC</t>
        </is>
      </c>
      <c r="E11916" t="inlineStr">
        <is>
          <t>PLAQUE FIXA PROFIL VISSANT COUPE</t>
        </is>
      </c>
      <c r="F11916" t="inlineStr">
        <is>
          <t>NS 2500kVA LIGHT 4000A</t>
        </is>
      </c>
      <c r="J11916" t="inlineStr">
        <is>
          <t>Lepeltier</t>
        </is>
      </c>
      <c r="L11916">
        <f>_xlfn.XLOOKUP(Tableau1[[#This Row],[TYPE DE PIECE]],Tableau4[MATIERE],Tableau4[SHORT TYPE],"",0,1)</f>
        <v/>
      </c>
      <c r="N11916">
        <f>IF(ISERR(FIND("DECOUPE",Tableau1[[#This Row],[DESIGNATION]])),"","NEED REF")</f>
        <v/>
      </c>
    </row>
    <row r="11917">
      <c r="B11917" t="n">
        <v>34402088</v>
      </c>
      <c r="C11917" s="2" t="n">
        <v>40234</v>
      </c>
      <c r="D11917" t="inlineStr">
        <is>
          <t>SPEC</t>
        </is>
      </c>
      <c r="E11917" t="inlineStr">
        <is>
          <t>PROFIL 800 MODIFIE VISSANT COUPE 2/2</t>
        </is>
      </c>
      <c r="F11917" t="inlineStr">
        <is>
          <t>NS 2500kVA LIGHT 4000A</t>
        </is>
      </c>
      <c r="J11917" t="inlineStr">
        <is>
          <t>Lepeltier</t>
        </is>
      </c>
      <c r="L11917">
        <f>_xlfn.XLOOKUP(Tableau1[[#This Row],[TYPE DE PIECE]],Tableau4[MATIERE],Tableau4[SHORT TYPE],"",0,1)</f>
        <v/>
      </c>
      <c r="N11917">
        <f>IF(ISERR(FIND("DECOUPE",Tableau1[[#This Row],[DESIGNATION]])),"","NEED REF")</f>
        <v/>
      </c>
    </row>
    <row r="11918">
      <c r="B11918" t="n">
        <v>34402087</v>
      </c>
      <c r="C11918" s="2" t="n">
        <v>40234</v>
      </c>
      <c r="D11918" t="inlineStr">
        <is>
          <t>SPEC</t>
        </is>
      </c>
      <c r="E11918" t="inlineStr">
        <is>
          <t>PROFIL 800 MODIFIE VISSANT COUPE 1/2</t>
        </is>
      </c>
      <c r="F11918" t="inlineStr">
        <is>
          <t>NS 2500kVA LIGHT 4000A</t>
        </is>
      </c>
      <c r="J11918" t="inlineStr">
        <is>
          <t>Lepeltier</t>
        </is>
      </c>
      <c r="L11918">
        <f>_xlfn.XLOOKUP(Tableau1[[#This Row],[TYPE DE PIECE]],Tableau4[MATIERE],Tableau4[SHORT TYPE],"",0,1)</f>
        <v/>
      </c>
      <c r="N11918">
        <f>IF(ISERR(FIND("DECOUPE",Tableau1[[#This Row],[DESIGNATION]])),"","NEED REF")</f>
        <v/>
      </c>
    </row>
    <row r="11919">
      <c r="B11919" t="n">
        <v>34402086</v>
      </c>
      <c r="C11919" s="2" t="n">
        <v>40234</v>
      </c>
      <c r="D11919" t="inlineStr">
        <is>
          <t>SPEC</t>
        </is>
      </c>
      <c r="E11919" t="inlineStr">
        <is>
          <t>PIECE D'ANGLE T COUPE  2/2</t>
        </is>
      </c>
      <c r="F11919" t="inlineStr">
        <is>
          <t>NS 2500kVA LIGHT 4000A</t>
        </is>
      </c>
      <c r="J11919" t="inlineStr">
        <is>
          <t>Lepeltier</t>
        </is>
      </c>
      <c r="L11919">
        <f>_xlfn.XLOOKUP(Tableau1[[#This Row],[TYPE DE PIECE]],Tableau4[MATIERE],Tableau4[SHORT TYPE],"",0,1)</f>
        <v/>
      </c>
      <c r="N11919">
        <f>IF(ISERR(FIND("DECOUPE",Tableau1[[#This Row],[DESIGNATION]])),"","NEED REF")</f>
        <v/>
      </c>
    </row>
    <row r="11920">
      <c r="B11920" t="n">
        <v>34402085</v>
      </c>
      <c r="C11920" s="2" t="n">
        <v>40234</v>
      </c>
      <c r="D11920" t="inlineStr">
        <is>
          <t>SPEC</t>
        </is>
      </c>
      <c r="E11920" t="inlineStr">
        <is>
          <t>PIECE D'ANGLE T COUPE  1/2</t>
        </is>
      </c>
      <c r="F11920" t="inlineStr">
        <is>
          <t>NS 2500kVA LIGHT 4000A</t>
        </is>
      </c>
      <c r="J11920" t="inlineStr">
        <is>
          <t>Lepeltier</t>
        </is>
      </c>
      <c r="L11920">
        <f>_xlfn.XLOOKUP(Tableau1[[#This Row],[TYPE DE PIECE]],Tableau4[MATIERE],Tableau4[SHORT TYPE],"",0,1)</f>
        <v/>
      </c>
      <c r="N11920">
        <f>IF(ISERR(FIND("DECOUPE",Tableau1[[#This Row],[DESIGNATION]])),"","NEED REF")</f>
        <v/>
      </c>
    </row>
    <row r="11921">
      <c r="B11921" t="n">
        <v>34402084</v>
      </c>
      <c r="C11921" s="2" t="n">
        <v>40234</v>
      </c>
      <c r="D11921" t="inlineStr">
        <is>
          <t>SPEC</t>
        </is>
      </c>
      <c r="E11921" t="inlineStr">
        <is>
          <t>PIECE D'ANGLE V COUPE  2/2</t>
        </is>
      </c>
      <c r="F11921" t="inlineStr">
        <is>
          <t>NS 2500kVA LIGHT 4000A</t>
        </is>
      </c>
      <c r="J11921" t="inlineStr">
        <is>
          <t>Lepeltier</t>
        </is>
      </c>
      <c r="L11921">
        <f>_xlfn.XLOOKUP(Tableau1[[#This Row],[TYPE DE PIECE]],Tableau4[MATIERE],Tableau4[SHORT TYPE],"",0,1)</f>
        <v/>
      </c>
      <c r="N11921">
        <f>IF(ISERR(FIND("DECOUPE",Tableau1[[#This Row],[DESIGNATION]])),"","NEED REF")</f>
        <v/>
      </c>
    </row>
    <row r="11922">
      <c r="B11922" t="n">
        <v>34402083</v>
      </c>
      <c r="C11922" s="2" t="n">
        <v>40234</v>
      </c>
      <c r="D11922" t="inlineStr">
        <is>
          <t>SPEC</t>
        </is>
      </c>
      <c r="E11922" t="inlineStr">
        <is>
          <t>PIECE D'ANGLE V COUPE  1/2</t>
        </is>
      </c>
      <c r="F11922" t="inlineStr">
        <is>
          <t>NS 2500kVA LIGHT 4000A</t>
        </is>
      </c>
      <c r="J11922" t="inlineStr">
        <is>
          <t>Lepeltier</t>
        </is>
      </c>
      <c r="L11922">
        <f>_xlfn.XLOOKUP(Tableau1[[#This Row],[TYPE DE PIECE]],Tableau4[MATIERE],Tableau4[SHORT TYPE],"",0,1)</f>
        <v/>
      </c>
      <c r="N11922">
        <f>IF(ISERR(FIND("DECOUPE",Tableau1[[#This Row],[DESIGNATION]])),"","NEED REF")</f>
        <v/>
      </c>
    </row>
    <row r="11923">
      <c r="B11923" t="n">
        <v>34402082</v>
      </c>
      <c r="C11923" s="2" t="n">
        <v>40234</v>
      </c>
      <c r="D11923" t="inlineStr">
        <is>
          <t>SPEC</t>
        </is>
      </c>
      <c r="E11923" t="inlineStr">
        <is>
          <t>SEPARATEUR MAKROLON 2/2   NS2500L</t>
        </is>
      </c>
      <c r="F11923" t="inlineStr">
        <is>
          <t>NS 2500kVA LIGHT 4000A</t>
        </is>
      </c>
      <c r="J11923" t="inlineStr">
        <is>
          <t>Lepeltier</t>
        </is>
      </c>
      <c r="L11923">
        <f>_xlfn.XLOOKUP(Tableau1[[#This Row],[TYPE DE PIECE]],Tableau4[MATIERE],Tableau4[SHORT TYPE],"",0,1)</f>
        <v/>
      </c>
      <c r="N11923">
        <f>IF(ISERR(FIND("DECOUPE",Tableau1[[#This Row],[DESIGNATION]])),"","NEED REF")</f>
        <v/>
      </c>
    </row>
    <row r="11924">
      <c r="B11924" t="n">
        <v>34402081</v>
      </c>
      <c r="C11924" s="2" t="n">
        <v>40234</v>
      </c>
      <c r="D11924" t="inlineStr">
        <is>
          <t>SPEC</t>
        </is>
      </c>
      <c r="E11924" t="inlineStr">
        <is>
          <t>SEPARATEUR MAKROLON 1/2   NS2500L</t>
        </is>
      </c>
      <c r="F11924" t="inlineStr">
        <is>
          <t>NS 2500kVA LIGHT 4000A</t>
        </is>
      </c>
      <c r="J11924" t="inlineStr">
        <is>
          <t>Lepeltier</t>
        </is>
      </c>
      <c r="L11924">
        <f>_xlfn.XLOOKUP(Tableau1[[#This Row],[TYPE DE PIECE]],Tableau4[MATIERE],Tableau4[SHORT TYPE],"",0,1)</f>
        <v/>
      </c>
      <c r="N11924">
        <f>IF(ISERR(FIND("DECOUPE",Tableau1[[#This Row],[DESIGNATION]])),"","NEED REF")</f>
        <v/>
      </c>
    </row>
    <row r="11925">
      <c r="B11925" t="n">
        <v>34402080</v>
      </c>
      <c r="C11925" s="2" t="n">
        <v>40234</v>
      </c>
      <c r="D11925" t="inlineStr">
        <is>
          <t>SPEC</t>
        </is>
      </c>
      <c r="E11925" t="inlineStr">
        <is>
          <t>CAPOT HAUT DE PROTECTION</t>
        </is>
      </c>
      <c r="F11925" t="inlineStr">
        <is>
          <t>NS 2500kVA LIGHT 4000A</t>
        </is>
      </c>
      <c r="J11925" t="inlineStr">
        <is>
          <t>Lepeltier</t>
        </is>
      </c>
      <c r="L11925">
        <f>_xlfn.XLOOKUP(Tableau1[[#This Row],[TYPE DE PIECE]],Tableau4[MATIERE],Tableau4[SHORT TYPE],"",0,1)</f>
        <v/>
      </c>
      <c r="N11925">
        <f>IF(ISERR(FIND("DECOUPE",Tableau1[[#This Row],[DESIGNATION]])),"","NEED REF")</f>
        <v/>
      </c>
    </row>
    <row r="11926">
      <c r="B11926" t="n">
        <v>34402079</v>
      </c>
      <c r="C11926" s="2" t="n">
        <v>40234</v>
      </c>
      <c r="D11926" t="inlineStr">
        <is>
          <t>SPEC</t>
        </is>
      </c>
      <c r="E11926" t="inlineStr">
        <is>
          <t>EQUERE STRUCTURE MODIFIE</t>
        </is>
      </c>
      <c r="F11926" t="inlineStr">
        <is>
          <t>NS 2500kVA LIGHT 4000A</t>
        </is>
      </c>
      <c r="J11926" t="inlineStr">
        <is>
          <t>Lepeltier</t>
        </is>
      </c>
      <c r="L11926">
        <f>_xlfn.XLOOKUP(Tableau1[[#This Row],[TYPE DE PIECE]],Tableau4[MATIERE],Tableau4[SHORT TYPE],"",0,1)</f>
        <v/>
      </c>
      <c r="N11926">
        <f>IF(ISERR(FIND("DECOUPE",Tableau1[[#This Row],[DESIGNATION]])),"","NEED REF")</f>
        <v/>
      </c>
    </row>
    <row r="11927">
      <c r="B11927" t="n">
        <v>34402078</v>
      </c>
      <c r="C11927" s="2" t="n">
        <v>40235</v>
      </c>
      <c r="D11927" t="inlineStr">
        <is>
          <t>SPEC</t>
        </is>
      </c>
      <c r="E11927" t="inlineStr">
        <is>
          <t>PROFIL VISSANT COUPE LONG</t>
        </is>
      </c>
      <c r="F11927" t="inlineStr">
        <is>
          <t>NS 2500kVA LIGHT 4000A</t>
        </is>
      </c>
      <c r="J11927" t="inlineStr">
        <is>
          <t>Lepeltier</t>
        </is>
      </c>
      <c r="L11927">
        <f>_xlfn.XLOOKUP(Tableau1[[#This Row],[TYPE DE PIECE]],Tableau4[MATIERE],Tableau4[SHORT TYPE],"",0,1)</f>
        <v/>
      </c>
      <c r="N11927">
        <f>IF(ISERR(FIND("DECOUPE",Tableau1[[#This Row],[DESIGNATION]])),"","NEED REF")</f>
        <v/>
      </c>
    </row>
    <row r="11928">
      <c r="B11928" t="n">
        <v>34402077</v>
      </c>
      <c r="C11928" s="2" t="n">
        <v>40234</v>
      </c>
      <c r="D11928" t="inlineStr">
        <is>
          <t>SPEC</t>
        </is>
      </c>
      <c r="E11928" t="inlineStr">
        <is>
          <t>BARRE VERTICALE RACC UTIL L3</t>
        </is>
      </c>
      <c r="F11928" t="inlineStr">
        <is>
          <t>NS 2500kVA LIGHT 4000A</t>
        </is>
      </c>
      <c r="J11928" t="inlineStr">
        <is>
          <t>Lepeltier</t>
        </is>
      </c>
      <c r="L11928">
        <f>_xlfn.XLOOKUP(Tableau1[[#This Row],[TYPE DE PIECE]],Tableau4[MATIERE],Tableau4[SHORT TYPE],"",0,1)</f>
        <v/>
      </c>
      <c r="N11928">
        <f>IF(ISERR(FIND("DECOUPE",Tableau1[[#This Row],[DESIGNATION]])),"","NEED REF")</f>
        <v/>
      </c>
    </row>
    <row r="11929">
      <c r="B11929" t="n">
        <v>34402076</v>
      </c>
      <c r="C11929" s="2" t="n">
        <v>40234</v>
      </c>
      <c r="D11929" t="inlineStr">
        <is>
          <t>SPEC</t>
        </is>
      </c>
      <c r="E11929" t="inlineStr">
        <is>
          <t>BARRE VERTICALE RACC UTIL L2</t>
        </is>
      </c>
      <c r="F11929" t="inlineStr">
        <is>
          <t>NS 2500kVA LIGHT 4000A</t>
        </is>
      </c>
      <c r="J11929" t="inlineStr">
        <is>
          <t>Lepeltier</t>
        </is>
      </c>
      <c r="L11929">
        <f>_xlfn.XLOOKUP(Tableau1[[#This Row],[TYPE DE PIECE]],Tableau4[MATIERE],Tableau4[SHORT TYPE],"",0,1)</f>
        <v/>
      </c>
      <c r="N11929">
        <f>IF(ISERR(FIND("DECOUPE",Tableau1[[#This Row],[DESIGNATION]])),"","NEED REF")</f>
        <v/>
      </c>
    </row>
    <row r="11930">
      <c r="B11930" t="n">
        <v>34402075</v>
      </c>
      <c r="C11930" s="2" t="n">
        <v>40234</v>
      </c>
      <c r="D11930" t="inlineStr">
        <is>
          <t>SPEC</t>
        </is>
      </c>
      <c r="E11930" t="inlineStr">
        <is>
          <t>BARRE VERTICALE RACC UTIL L1</t>
        </is>
      </c>
      <c r="F11930" t="inlineStr">
        <is>
          <t>NS 2500kVA LIGHT 4000A</t>
        </is>
      </c>
      <c r="J11930" t="inlineStr">
        <is>
          <t>Lepeltier</t>
        </is>
      </c>
      <c r="L11930">
        <f>_xlfn.XLOOKUP(Tableau1[[#This Row],[TYPE DE PIECE]],Tableau4[MATIERE],Tableau4[SHORT TYPE],"",0,1)</f>
        <v/>
      </c>
      <c r="N11930">
        <f>IF(ISERR(FIND("DECOUPE",Tableau1[[#This Row],[DESIGNATION]])),"","NEED REF")</f>
        <v/>
      </c>
    </row>
    <row r="11931">
      <c r="B11931" t="n">
        <v>34402074</v>
      </c>
      <c r="C11931" s="2" t="n">
        <v>40234</v>
      </c>
      <c r="D11931" t="inlineStr">
        <is>
          <t>SPEC</t>
        </is>
      </c>
      <c r="E11931" t="inlineStr">
        <is>
          <t>BARRE HORIZONTAL RACC U 3/3</t>
        </is>
      </c>
      <c r="F11931" t="inlineStr">
        <is>
          <t>NS 2500kVA LIGHT 4000A</t>
        </is>
      </c>
      <c r="J11931" t="inlineStr">
        <is>
          <t>Lepeltier</t>
        </is>
      </c>
      <c r="L11931">
        <f>_xlfn.XLOOKUP(Tableau1[[#This Row],[TYPE DE PIECE]],Tableau4[MATIERE],Tableau4[SHORT TYPE],"",0,1)</f>
        <v/>
      </c>
      <c r="N11931">
        <f>IF(ISERR(FIND("DECOUPE",Tableau1[[#This Row],[DESIGNATION]])),"","NEED REF")</f>
        <v/>
      </c>
    </row>
    <row r="11932">
      <c r="B11932" t="n">
        <v>34402073</v>
      </c>
      <c r="C11932" s="2" t="n">
        <v>40234</v>
      </c>
      <c r="D11932" t="inlineStr">
        <is>
          <t>SPEC</t>
        </is>
      </c>
      <c r="E11932" t="inlineStr">
        <is>
          <t>BARRE HORIZONTAL RACC U 2/3</t>
        </is>
      </c>
      <c r="F11932" t="inlineStr">
        <is>
          <t>NS 2500kVA LIGHT 4000A</t>
        </is>
      </c>
      <c r="J11932" t="inlineStr">
        <is>
          <t>Lepeltier</t>
        </is>
      </c>
      <c r="L11932">
        <f>_xlfn.XLOOKUP(Tableau1[[#This Row],[TYPE DE PIECE]],Tableau4[MATIERE],Tableau4[SHORT TYPE],"",0,1)</f>
        <v/>
      </c>
      <c r="N11932">
        <f>IF(ISERR(FIND("DECOUPE",Tableau1[[#This Row],[DESIGNATION]])),"","NEED REF")</f>
        <v/>
      </c>
    </row>
    <row r="11933">
      <c r="B11933" t="n">
        <v>34402072</v>
      </c>
      <c r="C11933" s="2" t="n">
        <v>40234</v>
      </c>
      <c r="D11933" t="inlineStr">
        <is>
          <t>SPEC</t>
        </is>
      </c>
      <c r="E11933" t="inlineStr">
        <is>
          <t>BARRE HORIZONTAL RACC U 1/3</t>
        </is>
      </c>
      <c r="F11933" t="inlineStr">
        <is>
          <t>NS 2500kVA LIGHT 4000A</t>
        </is>
      </c>
      <c r="J11933" t="inlineStr">
        <is>
          <t>Lepeltier</t>
        </is>
      </c>
      <c r="L11933">
        <f>_xlfn.XLOOKUP(Tableau1[[#This Row],[TYPE DE PIECE]],Tableau4[MATIERE],Tableau4[SHORT TYPE],"",0,1)</f>
        <v/>
      </c>
      <c r="N11933">
        <f>IF(ISERR(FIND("DECOUPE",Tableau1[[#This Row],[DESIGNATION]])),"","NEED REF")</f>
        <v/>
      </c>
    </row>
    <row r="11934">
      <c r="B11934" t="n">
        <v>34402071</v>
      </c>
      <c r="C11934" s="2" t="n">
        <v>40234</v>
      </c>
      <c r="D11934" t="inlineStr">
        <is>
          <t>SPEC</t>
        </is>
      </c>
      <c r="E11934" t="inlineStr">
        <is>
          <t>U DE RACC UTIL L3-3/3</t>
        </is>
      </c>
      <c r="F11934" t="inlineStr">
        <is>
          <t>NS 2500kVA LIGHT 4000A</t>
        </is>
      </c>
      <c r="J11934" t="inlineStr">
        <is>
          <t>Lepeltier</t>
        </is>
      </c>
      <c r="L11934">
        <f>_xlfn.XLOOKUP(Tableau1[[#This Row],[TYPE DE PIECE]],Tableau4[MATIERE],Tableau4[SHORT TYPE],"",0,1)</f>
        <v/>
      </c>
      <c r="N11934">
        <f>IF(ISERR(FIND("DECOUPE",Tableau1[[#This Row],[DESIGNATION]])),"","NEED REF")</f>
        <v/>
      </c>
    </row>
    <row r="11935">
      <c r="B11935" t="n">
        <v>34402070</v>
      </c>
      <c r="C11935" s="2" t="n">
        <v>40234</v>
      </c>
      <c r="D11935" t="inlineStr">
        <is>
          <t>SPEC</t>
        </is>
      </c>
      <c r="E11935" t="inlineStr">
        <is>
          <t>U DE RACC UTIL L3-2/3</t>
        </is>
      </c>
      <c r="F11935" t="inlineStr">
        <is>
          <t>NS 2500kVA LIGHT 4000A</t>
        </is>
      </c>
      <c r="J11935" t="inlineStr">
        <is>
          <t>Lepeltier</t>
        </is>
      </c>
      <c r="L11935">
        <f>_xlfn.XLOOKUP(Tableau1[[#This Row],[TYPE DE PIECE]],Tableau4[MATIERE],Tableau4[SHORT TYPE],"",0,1)</f>
        <v/>
      </c>
      <c r="N11935">
        <f>IF(ISERR(FIND("DECOUPE",Tableau1[[#This Row],[DESIGNATION]])),"","NEED REF")</f>
        <v/>
      </c>
    </row>
    <row r="11936">
      <c r="B11936" t="n">
        <v>34402069</v>
      </c>
      <c r="C11936" s="2" t="n">
        <v>40234</v>
      </c>
      <c r="D11936" t="inlineStr">
        <is>
          <t>SPEC</t>
        </is>
      </c>
      <c r="E11936" t="inlineStr">
        <is>
          <t>U DE RACC UTIL L3-1/3</t>
        </is>
      </c>
      <c r="F11936" t="inlineStr">
        <is>
          <t>NS 2500kVA LIGHT 4000A</t>
        </is>
      </c>
      <c r="J11936" t="inlineStr">
        <is>
          <t>Lepeltier</t>
        </is>
      </c>
      <c r="L11936">
        <f>_xlfn.XLOOKUP(Tableau1[[#This Row],[TYPE DE PIECE]],Tableau4[MATIERE],Tableau4[SHORT TYPE],"",0,1)</f>
        <v/>
      </c>
      <c r="N11936">
        <f>IF(ISERR(FIND("DECOUPE",Tableau1[[#This Row],[DESIGNATION]])),"","NEED REF")</f>
        <v/>
      </c>
    </row>
    <row r="11937">
      <c r="B11937" t="n">
        <v>34402068</v>
      </c>
      <c r="C11937" s="2" t="n">
        <v>40234</v>
      </c>
      <c r="D11937" t="inlineStr">
        <is>
          <t>SPEC</t>
        </is>
      </c>
      <c r="E11937" t="inlineStr">
        <is>
          <t>U DE RACC UTIL L2-3/3</t>
        </is>
      </c>
      <c r="F11937" t="inlineStr">
        <is>
          <t>NS 2500kVA LIGHT 4000A</t>
        </is>
      </c>
      <c r="J11937" t="inlineStr">
        <is>
          <t>Lepeltier</t>
        </is>
      </c>
      <c r="L11937">
        <f>_xlfn.XLOOKUP(Tableau1[[#This Row],[TYPE DE PIECE]],Tableau4[MATIERE],Tableau4[SHORT TYPE],"",0,1)</f>
        <v/>
      </c>
      <c r="N11937">
        <f>IF(ISERR(FIND("DECOUPE",Tableau1[[#This Row],[DESIGNATION]])),"","NEED REF")</f>
        <v/>
      </c>
    </row>
    <row r="11938">
      <c r="B11938" t="n">
        <v>34402067</v>
      </c>
      <c r="C11938" s="2" t="n">
        <v>40234</v>
      </c>
      <c r="D11938" t="inlineStr">
        <is>
          <t>SPEC</t>
        </is>
      </c>
      <c r="E11938" t="inlineStr">
        <is>
          <t>U DE RACC UTIL L2-2/3</t>
        </is>
      </c>
      <c r="F11938" t="inlineStr">
        <is>
          <t>NS 2500kVA LIGHT 4000A</t>
        </is>
      </c>
      <c r="J11938" t="inlineStr">
        <is>
          <t>Lepeltier</t>
        </is>
      </c>
      <c r="L11938">
        <f>_xlfn.XLOOKUP(Tableau1[[#This Row],[TYPE DE PIECE]],Tableau4[MATIERE],Tableau4[SHORT TYPE],"",0,1)</f>
        <v/>
      </c>
      <c r="N11938">
        <f>IF(ISERR(FIND("DECOUPE",Tableau1[[#This Row],[DESIGNATION]])),"","NEED REF")</f>
        <v/>
      </c>
    </row>
    <row r="11939">
      <c r="B11939" t="n">
        <v>34402066</v>
      </c>
      <c r="C11939" s="2" t="n">
        <v>40234</v>
      </c>
      <c r="D11939" t="inlineStr">
        <is>
          <t>SPEC</t>
        </is>
      </c>
      <c r="E11939" t="inlineStr">
        <is>
          <t>U DE RACC UTIL L2-1/3</t>
        </is>
      </c>
      <c r="F11939" t="inlineStr">
        <is>
          <t>NS 2500kVA LIGHT 4000A</t>
        </is>
      </c>
      <c r="J11939" t="inlineStr">
        <is>
          <t>Lepeltier</t>
        </is>
      </c>
      <c r="L11939">
        <f>_xlfn.XLOOKUP(Tableau1[[#This Row],[TYPE DE PIECE]],Tableau4[MATIERE],Tableau4[SHORT TYPE],"",0,1)</f>
        <v/>
      </c>
      <c r="N11939">
        <f>IF(ISERR(FIND("DECOUPE",Tableau1[[#This Row],[DESIGNATION]])),"","NEED REF")</f>
        <v/>
      </c>
    </row>
    <row r="11940">
      <c r="B11940" t="n">
        <v>34402065</v>
      </c>
      <c r="C11940" s="2" t="n">
        <v>40234</v>
      </c>
      <c r="D11940" t="inlineStr">
        <is>
          <t>SPEC</t>
        </is>
      </c>
      <c r="E11940" t="inlineStr">
        <is>
          <t>U DE RACC UTIL L1-3/3</t>
        </is>
      </c>
      <c r="F11940" t="inlineStr">
        <is>
          <t>NS 2500kVA LIGHT 4000A</t>
        </is>
      </c>
      <c r="J11940" t="inlineStr">
        <is>
          <t>Lepeltier</t>
        </is>
      </c>
      <c r="L11940">
        <f>_xlfn.XLOOKUP(Tableau1[[#This Row],[TYPE DE PIECE]],Tableau4[MATIERE],Tableau4[SHORT TYPE],"",0,1)</f>
        <v/>
      </c>
      <c r="N11940">
        <f>IF(ISERR(FIND("DECOUPE",Tableau1[[#This Row],[DESIGNATION]])),"","NEED REF")</f>
        <v/>
      </c>
    </row>
    <row r="11941">
      <c r="B11941" t="n">
        <v>34402064</v>
      </c>
      <c r="C11941" s="2" t="n">
        <v>40234</v>
      </c>
      <c r="D11941" t="inlineStr">
        <is>
          <t>SPEC</t>
        </is>
      </c>
      <c r="E11941" t="inlineStr">
        <is>
          <t>U DE RACC UTIL L1-2/3</t>
        </is>
      </c>
      <c r="F11941" t="inlineStr">
        <is>
          <t>NS 2500kVA LIGHT 4000A</t>
        </is>
      </c>
      <c r="J11941" t="inlineStr">
        <is>
          <t>Lepeltier</t>
        </is>
      </c>
      <c r="L11941">
        <f>_xlfn.XLOOKUP(Tableau1[[#This Row],[TYPE DE PIECE]],Tableau4[MATIERE],Tableau4[SHORT TYPE],"",0,1)</f>
        <v/>
      </c>
      <c r="N11941">
        <f>IF(ISERR(FIND("DECOUPE",Tableau1[[#This Row],[DESIGNATION]])),"","NEED REF")</f>
        <v/>
      </c>
    </row>
    <row r="11942">
      <c r="B11942" t="n">
        <v>34402063</v>
      </c>
      <c r="C11942" s="2" t="n">
        <v>40234</v>
      </c>
      <c r="D11942" t="inlineStr">
        <is>
          <t>SPEC</t>
        </is>
      </c>
      <c r="E11942" t="inlineStr">
        <is>
          <t>U DE RACC UTIL L1-1/3</t>
        </is>
      </c>
      <c r="F11942" t="inlineStr">
        <is>
          <t>NS 2500kVA LIGHT 4000A</t>
        </is>
      </c>
      <c r="J11942" t="inlineStr">
        <is>
          <t>Lepeltier</t>
        </is>
      </c>
      <c r="L11942">
        <f>_xlfn.XLOOKUP(Tableau1[[#This Row],[TYPE DE PIECE]],Tableau4[MATIERE],Tableau4[SHORT TYPE],"",0,1)</f>
        <v/>
      </c>
      <c r="N11942">
        <f>IF(ISERR(FIND("DECOUPE",Tableau1[[#This Row],[DESIGNATION]])),"","NEED REF")</f>
        <v/>
      </c>
    </row>
    <row r="11943">
      <c r="B11943" t="n">
        <v>34402062</v>
      </c>
      <c r="C11943" s="2" t="n">
        <v>40234</v>
      </c>
      <c r="D11943" t="inlineStr">
        <is>
          <t>SPEC</t>
        </is>
      </c>
      <c r="E11943" t="inlineStr">
        <is>
          <t>PEN PONTAGE GAB  RACC HAUT 3/3</t>
        </is>
      </c>
      <c r="F11943" t="inlineStr">
        <is>
          <t>NS 2500kVA LIGHT 4000A</t>
        </is>
      </c>
      <c r="J11943" t="inlineStr">
        <is>
          <t>Lepeltier</t>
        </is>
      </c>
      <c r="L11943">
        <f>_xlfn.XLOOKUP(Tableau1[[#This Row],[TYPE DE PIECE]],Tableau4[MATIERE],Tableau4[SHORT TYPE],"",0,1)</f>
        <v/>
      </c>
      <c r="N11943">
        <f>IF(ISERR(FIND("DECOUPE",Tableau1[[#This Row],[DESIGNATION]])),"","NEED REF")</f>
        <v/>
      </c>
    </row>
    <row r="11944">
      <c r="B11944" t="n">
        <v>34402061</v>
      </c>
      <c r="C11944" s="2" t="n">
        <v>40234</v>
      </c>
      <c r="D11944" t="inlineStr">
        <is>
          <t>SPEC</t>
        </is>
      </c>
      <c r="E11944" t="inlineStr">
        <is>
          <t>PEN PONTAGE GAB RACC HAUT 2/3</t>
        </is>
      </c>
      <c r="F11944" t="inlineStr">
        <is>
          <t>NS 2500kVA LIGHT 4000A</t>
        </is>
      </c>
      <c r="J11944" t="inlineStr">
        <is>
          <t>Lepeltier</t>
        </is>
      </c>
      <c r="L11944">
        <f>_xlfn.XLOOKUP(Tableau1[[#This Row],[TYPE DE PIECE]],Tableau4[MATIERE],Tableau4[SHORT TYPE],"",0,1)</f>
        <v/>
      </c>
      <c r="N11944">
        <f>IF(ISERR(FIND("DECOUPE",Tableau1[[#This Row],[DESIGNATION]])),"","NEED REF")</f>
        <v/>
      </c>
    </row>
    <row r="11945">
      <c r="B11945" t="n">
        <v>34402060</v>
      </c>
      <c r="C11945" s="2" t="n">
        <v>40234</v>
      </c>
      <c r="D11945" t="inlineStr">
        <is>
          <t>SPEC</t>
        </is>
      </c>
      <c r="E11945" t="inlineStr">
        <is>
          <t>PEN VERTICAL RACC HAUT  1/3</t>
        </is>
      </c>
      <c r="F11945" t="inlineStr">
        <is>
          <t>NS 2500kVA LIGHT 4000A</t>
        </is>
      </c>
      <c r="J11945" t="inlineStr">
        <is>
          <t>Lepeltier</t>
        </is>
      </c>
      <c r="L11945">
        <f>_xlfn.XLOOKUP(Tableau1[[#This Row],[TYPE DE PIECE]],Tableau4[MATIERE],Tableau4[SHORT TYPE],"",0,1)</f>
        <v/>
      </c>
      <c r="N11945">
        <f>IF(ISERR(FIND("DECOUPE",Tableau1[[#This Row],[DESIGNATION]])),"","NEED REF")</f>
        <v/>
      </c>
    </row>
    <row r="11946">
      <c r="B11946" t="n">
        <v>34402059</v>
      </c>
      <c r="C11946" s="2" t="n">
        <v>40234</v>
      </c>
      <c r="D11946" t="inlineStr">
        <is>
          <t>SPEC</t>
        </is>
      </c>
      <c r="E11946" t="inlineStr">
        <is>
          <t>CX UTIL GAB L3-3/3</t>
        </is>
      </c>
      <c r="F11946" t="inlineStr">
        <is>
          <t>NS 2500kVA LIGHT 4000A</t>
        </is>
      </c>
      <c r="J11946" t="inlineStr">
        <is>
          <t>Lepeltier</t>
        </is>
      </c>
      <c r="L11946">
        <f>_xlfn.XLOOKUP(Tableau1[[#This Row],[TYPE DE PIECE]],Tableau4[MATIERE],Tableau4[SHORT TYPE],"",0,1)</f>
        <v/>
      </c>
      <c r="N11946">
        <f>IF(ISERR(FIND("DECOUPE",Tableau1[[#This Row],[DESIGNATION]])),"","NEED REF")</f>
        <v/>
      </c>
    </row>
    <row r="11947">
      <c r="B11947" t="n">
        <v>34402058</v>
      </c>
      <c r="C11947" s="2" t="n">
        <v>40234</v>
      </c>
      <c r="D11947" t="inlineStr">
        <is>
          <t>SPEC</t>
        </is>
      </c>
      <c r="E11947" t="inlineStr">
        <is>
          <t xml:space="preserve">CX UTIL GAB L3-2/3 </t>
        </is>
      </c>
      <c r="F11947" t="inlineStr">
        <is>
          <t>NS 2500kVA LIGHT 4000A</t>
        </is>
      </c>
      <c r="J11947" t="inlineStr">
        <is>
          <t>Lepeltier</t>
        </is>
      </c>
      <c r="L11947">
        <f>_xlfn.XLOOKUP(Tableau1[[#This Row],[TYPE DE PIECE]],Tableau4[MATIERE],Tableau4[SHORT TYPE],"",0,1)</f>
        <v/>
      </c>
      <c r="N11947">
        <f>IF(ISERR(FIND("DECOUPE",Tableau1[[#This Row],[DESIGNATION]])),"","NEED REF")</f>
        <v/>
      </c>
    </row>
    <row r="11948">
      <c r="B11948" t="n">
        <v>34402057</v>
      </c>
      <c r="C11948" s="2" t="n">
        <v>40234</v>
      </c>
      <c r="D11948" t="inlineStr">
        <is>
          <t>SPEC</t>
        </is>
      </c>
      <c r="E11948" t="inlineStr">
        <is>
          <t>CX UTIL GAB L3-1/3</t>
        </is>
      </c>
      <c r="F11948" t="inlineStr">
        <is>
          <t>NS 2500kVA LIGHT 4000A</t>
        </is>
      </c>
      <c r="J11948" t="inlineStr">
        <is>
          <t>Lepeltier</t>
        </is>
      </c>
      <c r="L11948">
        <f>_xlfn.XLOOKUP(Tableau1[[#This Row],[TYPE DE PIECE]],Tableau4[MATIERE],Tableau4[SHORT TYPE],"",0,1)</f>
        <v/>
      </c>
      <c r="N11948">
        <f>IF(ISERR(FIND("DECOUPE",Tableau1[[#This Row],[DESIGNATION]])),"","NEED REF")</f>
        <v/>
      </c>
    </row>
    <row r="11949">
      <c r="B11949" t="n">
        <v>34402056</v>
      </c>
      <c r="C11949" s="2" t="n">
        <v>40234</v>
      </c>
      <c r="D11949" t="inlineStr">
        <is>
          <t>SPEC</t>
        </is>
      </c>
      <c r="E11949" t="inlineStr">
        <is>
          <t>CX UTIL GAB L2-3/3</t>
        </is>
      </c>
      <c r="F11949" t="inlineStr">
        <is>
          <t>NS 2500kVA LIGHT 4000A</t>
        </is>
      </c>
      <c r="J11949" t="inlineStr">
        <is>
          <t>Lepeltier</t>
        </is>
      </c>
      <c r="L11949">
        <f>_xlfn.XLOOKUP(Tableau1[[#This Row],[TYPE DE PIECE]],Tableau4[MATIERE],Tableau4[SHORT TYPE],"",0,1)</f>
        <v/>
      </c>
      <c r="N11949">
        <f>IF(ISERR(FIND("DECOUPE",Tableau1[[#This Row],[DESIGNATION]])),"","NEED REF")</f>
        <v/>
      </c>
    </row>
    <row r="11950">
      <c r="B11950" t="n">
        <v>34402055</v>
      </c>
      <c r="C11950" s="2" t="n">
        <v>40234</v>
      </c>
      <c r="D11950" t="inlineStr">
        <is>
          <t>SPEC</t>
        </is>
      </c>
      <c r="E11950" t="inlineStr">
        <is>
          <t>CX UTIL GAB L2-2/3</t>
        </is>
      </c>
      <c r="F11950" t="inlineStr">
        <is>
          <t>NS 2500kVA LIGHT 4000A</t>
        </is>
      </c>
      <c r="J11950" t="inlineStr">
        <is>
          <t>Lepeltier</t>
        </is>
      </c>
      <c r="L11950">
        <f>_xlfn.XLOOKUP(Tableau1[[#This Row],[TYPE DE PIECE]],Tableau4[MATIERE],Tableau4[SHORT TYPE],"",0,1)</f>
        <v/>
      </c>
      <c r="N11950">
        <f>IF(ISERR(FIND("DECOUPE",Tableau1[[#This Row],[DESIGNATION]])),"","NEED REF")</f>
        <v/>
      </c>
    </row>
    <row r="11951">
      <c r="B11951" t="n">
        <v>34402054</v>
      </c>
      <c r="C11951" s="2" t="n">
        <v>40234</v>
      </c>
      <c r="D11951" t="inlineStr">
        <is>
          <t>SPEC</t>
        </is>
      </c>
      <c r="E11951" t="inlineStr">
        <is>
          <t>CX UTIL GAB L2-1/3</t>
        </is>
      </c>
      <c r="F11951" t="inlineStr">
        <is>
          <t>NS 2500kVA LIGHT 4000A</t>
        </is>
      </c>
      <c r="J11951" t="inlineStr">
        <is>
          <t>Lepeltier</t>
        </is>
      </c>
      <c r="L11951">
        <f>_xlfn.XLOOKUP(Tableau1[[#This Row],[TYPE DE PIECE]],Tableau4[MATIERE],Tableau4[SHORT TYPE],"",0,1)</f>
        <v/>
      </c>
      <c r="N11951">
        <f>IF(ISERR(FIND("DECOUPE",Tableau1[[#This Row],[DESIGNATION]])),"","NEED REF")</f>
        <v/>
      </c>
    </row>
    <row r="11952">
      <c r="B11952" t="n">
        <v>34402053</v>
      </c>
      <c r="C11952" s="2" t="n">
        <v>40234</v>
      </c>
      <c r="D11952" t="inlineStr">
        <is>
          <t>SPEC</t>
        </is>
      </c>
      <c r="E11952" t="inlineStr">
        <is>
          <t>CX UTIL GAB L1-3/3</t>
        </is>
      </c>
      <c r="F11952" t="inlineStr">
        <is>
          <t>NS 2500kVA LIGHT 4000A</t>
        </is>
      </c>
      <c r="J11952" t="inlineStr">
        <is>
          <t>Lepeltier</t>
        </is>
      </c>
      <c r="L11952">
        <f>_xlfn.XLOOKUP(Tableau1[[#This Row],[TYPE DE PIECE]],Tableau4[MATIERE],Tableau4[SHORT TYPE],"",0,1)</f>
        <v/>
      </c>
      <c r="N11952">
        <f>IF(ISERR(FIND("DECOUPE",Tableau1[[#This Row],[DESIGNATION]])),"","NEED REF")</f>
        <v/>
      </c>
    </row>
    <row r="11953">
      <c r="B11953" t="n">
        <v>34402052</v>
      </c>
      <c r="C11953" s="2" t="n">
        <v>40234</v>
      </c>
      <c r="D11953" t="inlineStr">
        <is>
          <t>SPEC</t>
        </is>
      </c>
      <c r="E11953" t="inlineStr">
        <is>
          <t>CX UTIL GAB L1-2/3</t>
        </is>
      </c>
      <c r="F11953" t="inlineStr">
        <is>
          <t>NS 2500kVA LIGHT 4000A</t>
        </is>
      </c>
      <c r="J11953" t="inlineStr">
        <is>
          <t>Lepeltier</t>
        </is>
      </c>
      <c r="L11953">
        <f>_xlfn.XLOOKUP(Tableau1[[#This Row],[TYPE DE PIECE]],Tableau4[MATIERE],Tableau4[SHORT TYPE],"",0,1)</f>
        <v/>
      </c>
      <c r="N11953">
        <f>IF(ISERR(FIND("DECOUPE",Tableau1[[#This Row],[DESIGNATION]])),"","NEED REF")</f>
        <v/>
      </c>
    </row>
    <row r="11954">
      <c r="B11954" t="n">
        <v>34402051</v>
      </c>
      <c r="C11954" s="2" t="n">
        <v>40234</v>
      </c>
      <c r="D11954" t="inlineStr">
        <is>
          <t>SPEC</t>
        </is>
      </c>
      <c r="E11954" t="inlineStr">
        <is>
          <t>CX UTIL GAB L1-1/3</t>
        </is>
      </c>
      <c r="F11954" t="inlineStr">
        <is>
          <t>NS 2500kVA LIGHT 4000A</t>
        </is>
      </c>
      <c r="J11954" t="inlineStr">
        <is>
          <t>Lepeltier</t>
        </is>
      </c>
      <c r="L11954">
        <f>_xlfn.XLOOKUP(Tableau1[[#This Row],[TYPE DE PIECE]],Tableau4[MATIERE],Tableau4[SHORT TYPE],"",0,1)</f>
        <v/>
      </c>
      <c r="N11954">
        <f>IF(ISERR(FIND("DECOUPE",Tableau1[[#This Row],[DESIGNATION]])),"","NEED REF")</f>
        <v/>
      </c>
    </row>
    <row r="11955">
      <c r="B11955" t="n">
        <v>34402050</v>
      </c>
      <c r="C11955" s="2" t="n">
        <v>40234</v>
      </c>
      <c r="D11955" t="inlineStr">
        <is>
          <t>SPEC</t>
        </is>
      </c>
      <c r="E11955" t="inlineStr">
        <is>
          <t>CX R2 GAB L3 MW</t>
        </is>
      </c>
      <c r="F11955" t="inlineStr">
        <is>
          <t>NS 2500kVA LIGHT 4000A</t>
        </is>
      </c>
      <c r="J11955" t="inlineStr">
        <is>
          <t>Lepeltier</t>
        </is>
      </c>
      <c r="L11955">
        <f>_xlfn.XLOOKUP(Tableau1[[#This Row],[TYPE DE PIECE]],Tableau4[MATIERE],Tableau4[SHORT TYPE],"",0,1)</f>
        <v/>
      </c>
      <c r="N11955">
        <f>IF(ISERR(FIND("DECOUPE",Tableau1[[#This Row],[DESIGNATION]])),"","NEED REF")</f>
        <v/>
      </c>
    </row>
    <row r="11956">
      <c r="B11956" t="n">
        <v>34402049</v>
      </c>
      <c r="C11956" s="2" t="n">
        <v>40234</v>
      </c>
      <c r="D11956" t="inlineStr">
        <is>
          <t>SPEC</t>
        </is>
      </c>
      <c r="E11956" t="inlineStr">
        <is>
          <t>CX R2 GAB L3-3/3</t>
        </is>
      </c>
      <c r="F11956" t="inlineStr">
        <is>
          <t>NS 2500kVA LIGHT 4000A</t>
        </is>
      </c>
      <c r="J11956" t="inlineStr">
        <is>
          <t>Lepeltier</t>
        </is>
      </c>
      <c r="L11956">
        <f>_xlfn.XLOOKUP(Tableau1[[#This Row],[TYPE DE PIECE]],Tableau4[MATIERE],Tableau4[SHORT TYPE],"",0,1)</f>
        <v/>
      </c>
      <c r="N11956">
        <f>IF(ISERR(FIND("DECOUPE",Tableau1[[#This Row],[DESIGNATION]])),"","NEED REF")</f>
        <v/>
      </c>
    </row>
    <row r="11957">
      <c r="B11957" t="n">
        <v>34402048</v>
      </c>
      <c r="C11957" s="2" t="n">
        <v>40234</v>
      </c>
      <c r="D11957" t="inlineStr">
        <is>
          <t>SPEC</t>
        </is>
      </c>
      <c r="E11957" t="inlineStr">
        <is>
          <t>CX R2 GAB L3-2/3</t>
        </is>
      </c>
      <c r="F11957" t="inlineStr">
        <is>
          <t>NS 2500kVA LIGHT 4000A</t>
        </is>
      </c>
      <c r="J11957" t="inlineStr">
        <is>
          <t>Lepeltier</t>
        </is>
      </c>
      <c r="L11957">
        <f>_xlfn.XLOOKUP(Tableau1[[#This Row],[TYPE DE PIECE]],Tableau4[MATIERE],Tableau4[SHORT TYPE],"",0,1)</f>
        <v/>
      </c>
      <c r="N11957">
        <f>IF(ISERR(FIND("DECOUPE",Tableau1[[#This Row],[DESIGNATION]])),"","NEED REF")</f>
        <v/>
      </c>
    </row>
    <row r="11958">
      <c r="B11958" t="n">
        <v>34402047</v>
      </c>
      <c r="C11958" s="2" t="n">
        <v>40234</v>
      </c>
      <c r="D11958" t="inlineStr">
        <is>
          <t>SPEC</t>
        </is>
      </c>
      <c r="E11958" t="inlineStr">
        <is>
          <t>CX R2 GAB L3-1/3</t>
        </is>
      </c>
      <c r="F11958" t="inlineStr">
        <is>
          <t>NS 2500kVA LIGHT 4000A</t>
        </is>
      </c>
      <c r="J11958" t="inlineStr">
        <is>
          <t>Lepeltier</t>
        </is>
      </c>
      <c r="L11958">
        <f>_xlfn.XLOOKUP(Tableau1[[#This Row],[TYPE DE PIECE]],Tableau4[MATIERE],Tableau4[SHORT TYPE],"",0,1)</f>
        <v/>
      </c>
      <c r="N11958">
        <f>IF(ISERR(FIND("DECOUPE",Tableau1[[#This Row],[DESIGNATION]])),"","NEED REF")</f>
        <v/>
      </c>
    </row>
    <row r="11959">
      <c r="B11959" t="n">
        <v>34402046</v>
      </c>
      <c r="C11959" s="2" t="n">
        <v>40234</v>
      </c>
      <c r="D11959" t="inlineStr">
        <is>
          <t>SPEC</t>
        </is>
      </c>
      <c r="E11959" t="inlineStr">
        <is>
          <t>CX R2 GAB L2 CALE</t>
        </is>
      </c>
      <c r="F11959" t="inlineStr">
        <is>
          <t>NS 2500kVA LIGHT 4000A</t>
        </is>
      </c>
      <c r="J11959" t="inlineStr">
        <is>
          <t>Lepeltier</t>
        </is>
      </c>
      <c r="L11959">
        <f>_xlfn.XLOOKUP(Tableau1[[#This Row],[TYPE DE PIECE]],Tableau4[MATIERE],Tableau4[SHORT TYPE],"",0,1)</f>
        <v/>
      </c>
      <c r="N11959">
        <f>IF(ISERR(FIND("DECOUPE",Tableau1[[#This Row],[DESIGNATION]])),"","NEED REF")</f>
        <v/>
      </c>
    </row>
    <row r="11960">
      <c r="B11960" t="n">
        <v>34402045</v>
      </c>
      <c r="C11960" s="2" t="n">
        <v>40234</v>
      </c>
      <c r="D11960" t="inlineStr">
        <is>
          <t>SPEC</t>
        </is>
      </c>
      <c r="E11960" t="inlineStr">
        <is>
          <t>CX R2 GAB L2-3/3</t>
        </is>
      </c>
      <c r="F11960" t="inlineStr">
        <is>
          <t>NS 2500kVA LIGHT 4000A</t>
        </is>
      </c>
      <c r="J11960" t="inlineStr">
        <is>
          <t>Lepeltier</t>
        </is>
      </c>
      <c r="L11960">
        <f>_xlfn.XLOOKUP(Tableau1[[#This Row],[TYPE DE PIECE]],Tableau4[MATIERE],Tableau4[SHORT TYPE],"",0,1)</f>
        <v/>
      </c>
      <c r="N11960">
        <f>IF(ISERR(FIND("DECOUPE",Tableau1[[#This Row],[DESIGNATION]])),"","NEED REF")</f>
        <v/>
      </c>
    </row>
    <row r="11961">
      <c r="B11961" t="n">
        <v>34402044</v>
      </c>
      <c r="C11961" s="2" t="n">
        <v>40234</v>
      </c>
      <c r="D11961" t="inlineStr">
        <is>
          <t>SPEC</t>
        </is>
      </c>
      <c r="E11961" t="inlineStr">
        <is>
          <t>CX R2 GAB L2-2/3</t>
        </is>
      </c>
      <c r="F11961" t="inlineStr">
        <is>
          <t>NS 2500kVA LIGHT 4000A</t>
        </is>
      </c>
      <c r="J11961" t="inlineStr">
        <is>
          <t>Lepeltier</t>
        </is>
      </c>
      <c r="L11961">
        <f>_xlfn.XLOOKUP(Tableau1[[#This Row],[TYPE DE PIECE]],Tableau4[MATIERE],Tableau4[SHORT TYPE],"",0,1)</f>
        <v/>
      </c>
      <c r="N11961">
        <f>IF(ISERR(FIND("DECOUPE",Tableau1[[#This Row],[DESIGNATION]])),"","NEED REF")</f>
        <v/>
      </c>
    </row>
    <row r="11962">
      <c r="B11962" t="n">
        <v>34402043</v>
      </c>
      <c r="C11962" s="2" t="n">
        <v>40234</v>
      </c>
      <c r="D11962" t="inlineStr">
        <is>
          <t>SPEC</t>
        </is>
      </c>
      <c r="E11962" t="inlineStr">
        <is>
          <t>CX R2 GAB L2-1/3</t>
        </is>
      </c>
      <c r="F11962" t="inlineStr">
        <is>
          <t>NS 2500kVA LIGHT 4000A</t>
        </is>
      </c>
      <c r="J11962" t="inlineStr">
        <is>
          <t>Lepeltier</t>
        </is>
      </c>
      <c r="L11962">
        <f>_xlfn.XLOOKUP(Tableau1[[#This Row],[TYPE DE PIECE]],Tableau4[MATIERE],Tableau4[SHORT TYPE],"",0,1)</f>
        <v/>
      </c>
      <c r="N11962">
        <f>IF(ISERR(FIND("DECOUPE",Tableau1[[#This Row],[DESIGNATION]])),"","NEED REF")</f>
        <v/>
      </c>
    </row>
    <row r="11963">
      <c r="B11963" t="n">
        <v>34402042</v>
      </c>
      <c r="C11963" s="2" t="n">
        <v>40234</v>
      </c>
      <c r="D11963" t="inlineStr">
        <is>
          <t>SPEC</t>
        </is>
      </c>
      <c r="E11963" t="inlineStr">
        <is>
          <t>CX R2 GAB L1 MW</t>
        </is>
      </c>
      <c r="F11963" t="inlineStr">
        <is>
          <t>NS 2500kVA LIGHT 4000A</t>
        </is>
      </c>
      <c r="J11963" t="inlineStr">
        <is>
          <t>Lepeltier</t>
        </is>
      </c>
      <c r="L11963">
        <f>_xlfn.XLOOKUP(Tableau1[[#This Row],[TYPE DE PIECE]],Tableau4[MATIERE],Tableau4[SHORT TYPE],"",0,1)</f>
        <v/>
      </c>
      <c r="N11963">
        <f>IF(ISERR(FIND("DECOUPE",Tableau1[[#This Row],[DESIGNATION]])),"","NEED REF")</f>
        <v/>
      </c>
    </row>
    <row r="11964">
      <c r="B11964" t="n">
        <v>34402041</v>
      </c>
      <c r="C11964" s="2" t="n">
        <v>40234</v>
      </c>
      <c r="D11964" t="inlineStr">
        <is>
          <t>SPEC</t>
        </is>
      </c>
      <c r="E11964" t="inlineStr">
        <is>
          <t>CX R2 GAB L1 CALLE</t>
        </is>
      </c>
      <c r="F11964" t="inlineStr">
        <is>
          <t>NS 2500kVA LIGHT 4000A</t>
        </is>
      </c>
      <c r="J11964" t="inlineStr">
        <is>
          <t>Lepeltier</t>
        </is>
      </c>
      <c r="L11964">
        <f>_xlfn.XLOOKUP(Tableau1[[#This Row],[TYPE DE PIECE]],Tableau4[MATIERE],Tableau4[SHORT TYPE],"",0,1)</f>
        <v/>
      </c>
      <c r="N11964">
        <f>IF(ISERR(FIND("DECOUPE",Tableau1[[#This Row],[DESIGNATION]])),"","NEED REF")</f>
        <v/>
      </c>
    </row>
    <row r="11965">
      <c r="B11965" t="n">
        <v>34402040</v>
      </c>
      <c r="C11965" s="2" t="n">
        <v>40234</v>
      </c>
      <c r="D11965" t="inlineStr">
        <is>
          <t>SPEC</t>
        </is>
      </c>
      <c r="E11965" t="inlineStr">
        <is>
          <t>CX R2 GAB L1-3/3</t>
        </is>
      </c>
      <c r="F11965" t="inlineStr">
        <is>
          <t>NS 2500kVA LIGHT 4000A</t>
        </is>
      </c>
      <c r="J11965" t="inlineStr">
        <is>
          <t>Lepeltier</t>
        </is>
      </c>
      <c r="L11965">
        <f>_xlfn.XLOOKUP(Tableau1[[#This Row],[TYPE DE PIECE]],Tableau4[MATIERE],Tableau4[SHORT TYPE],"",0,1)</f>
        <v/>
      </c>
      <c r="N11965">
        <f>IF(ISERR(FIND("DECOUPE",Tableau1[[#This Row],[DESIGNATION]])),"","NEED REF")</f>
        <v/>
      </c>
    </row>
    <row r="11966">
      <c r="B11966" t="n">
        <v>34402039</v>
      </c>
      <c r="C11966" s="2" t="n">
        <v>40234</v>
      </c>
      <c r="D11966" t="inlineStr">
        <is>
          <t>SPEC</t>
        </is>
      </c>
      <c r="E11966" t="inlineStr">
        <is>
          <t>CX R2 GAB L1-2/3</t>
        </is>
      </c>
      <c r="F11966" t="inlineStr">
        <is>
          <t>NS 2500kVA LIGHT 4000A</t>
        </is>
      </c>
      <c r="J11966" t="inlineStr">
        <is>
          <t>Lepeltier</t>
        </is>
      </c>
      <c r="L11966">
        <f>_xlfn.XLOOKUP(Tableau1[[#This Row],[TYPE DE PIECE]],Tableau4[MATIERE],Tableau4[SHORT TYPE],"",0,1)</f>
        <v/>
      </c>
      <c r="N11966">
        <f>IF(ISERR(FIND("DECOUPE",Tableau1[[#This Row],[DESIGNATION]])),"","NEED REF")</f>
        <v/>
      </c>
    </row>
    <row r="11967">
      <c r="B11967" t="n">
        <v>34402038</v>
      </c>
      <c r="C11967" s="2" t="n">
        <v>40234</v>
      </c>
      <c r="D11967" t="inlineStr">
        <is>
          <t>SPEC</t>
        </is>
      </c>
      <c r="E11967" t="inlineStr">
        <is>
          <t>CX R2 GAB L1-1/3</t>
        </is>
      </c>
      <c r="F11967" t="inlineStr">
        <is>
          <t>NS 2500kVA LIGHT 4000A</t>
        </is>
      </c>
      <c r="J11967" t="inlineStr">
        <is>
          <t>Lepeltier</t>
        </is>
      </c>
      <c r="L11967">
        <f>_xlfn.XLOOKUP(Tableau1[[#This Row],[TYPE DE PIECE]],Tableau4[MATIERE],Tableau4[SHORT TYPE],"",0,1)</f>
        <v/>
      </c>
      <c r="N11967">
        <f>IF(ISERR(FIND("DECOUPE",Tableau1[[#This Row],[DESIGNATION]])),"","NEED REF")</f>
        <v/>
      </c>
    </row>
    <row r="11968">
      <c r="B11968" t="n">
        <v>34402037</v>
      </c>
      <c r="C11968" s="2" t="n">
        <v>40214</v>
      </c>
      <c r="D11968" t="inlineStr">
        <is>
          <t>NOM</t>
        </is>
      </c>
      <c r="E11968" t="inlineStr">
        <is>
          <t>NOM EQUERRE REGLABLE SUPPORT RAIL DIN BIRDY</t>
        </is>
      </c>
      <c r="F11968" t="inlineStr">
        <is>
          <t>G5000-G7000</t>
        </is>
      </c>
      <c r="J11968" t="inlineStr">
        <is>
          <t>MATRION</t>
        </is>
      </c>
      <c r="L11968">
        <f>_xlfn.XLOOKUP(Tableau1[[#This Row],[TYPE DE PIECE]],Tableau4[MATIERE],Tableau4[SHORT TYPE],"",0,1)</f>
        <v/>
      </c>
      <c r="N11968">
        <f>IF(ISERR(FIND("DECOUPE",Tableau1[[#This Row],[DESIGNATION]])),"","NEED REF")</f>
        <v/>
      </c>
    </row>
    <row r="11969">
      <c r="B11969" t="n">
        <v>34402036</v>
      </c>
      <c r="C11969" s="2" t="n"/>
      <c r="E11969" t="inlineStr">
        <is>
          <t>Réserve (plastron BIRDY)</t>
        </is>
      </c>
      <c r="F11969" t="inlineStr">
        <is>
          <t>G5000-G7000</t>
        </is>
      </c>
      <c r="J11969" t="inlineStr">
        <is>
          <t>MATRION</t>
        </is>
      </c>
      <c r="L11969">
        <f>_xlfn.XLOOKUP(Tableau1[[#This Row],[TYPE DE PIECE]],Tableau4[MATIERE],Tableau4[SHORT TYPE],"",0,1)</f>
        <v/>
      </c>
      <c r="N11969">
        <f>IF(ISERR(FIND("DECOUPE",Tableau1[[#This Row],[DESIGNATION]])),"","NEED REF")</f>
        <v/>
      </c>
    </row>
    <row r="11970">
      <c r="B11970" t="n">
        <v>34402035</v>
      </c>
      <c r="C11970" s="2" t="n"/>
      <c r="E11970" t="inlineStr">
        <is>
          <t>Réserve (plastron BIRDY)</t>
        </is>
      </c>
      <c r="F11970" t="inlineStr">
        <is>
          <t>G5000-G7000</t>
        </is>
      </c>
      <c r="J11970" t="inlineStr">
        <is>
          <t>MATRION</t>
        </is>
      </c>
      <c r="L11970">
        <f>_xlfn.XLOOKUP(Tableau1[[#This Row],[TYPE DE PIECE]],Tableau4[MATIERE],Tableau4[SHORT TYPE],"",0,1)</f>
        <v/>
      </c>
      <c r="N11970">
        <f>IF(ISERR(FIND("DECOUPE",Tableau1[[#This Row],[DESIGNATION]])),"","NEED REF")</f>
        <v/>
      </c>
    </row>
    <row r="11971">
      <c r="B11971" t="n">
        <v>34402034</v>
      </c>
      <c r="C11971" s="2" t="n">
        <v>40213</v>
      </c>
      <c r="D11971" t="inlineStr">
        <is>
          <t>SPEC</t>
        </is>
      </c>
      <c r="E11971" t="inlineStr">
        <is>
          <t>VERROUILLAGE POUR DOUBLE SW</t>
        </is>
      </c>
      <c r="F11971" t="inlineStr">
        <is>
          <t>GALAXY</t>
        </is>
      </c>
      <c r="J11971" t="inlineStr">
        <is>
          <t>REVEL</t>
        </is>
      </c>
      <c r="L11971">
        <f>_xlfn.XLOOKUP(Tableau1[[#This Row],[TYPE DE PIECE]],Tableau4[MATIERE],Tableau4[SHORT TYPE],"",0,1)</f>
        <v/>
      </c>
      <c r="N11971">
        <f>IF(ISERR(FIND("DECOUPE",Tableau1[[#This Row],[DESIGNATION]])),"","NEED REF")</f>
        <v/>
      </c>
    </row>
    <row r="11972">
      <c r="B11972" t="n">
        <v>34402033</v>
      </c>
      <c r="C11972" s="2" t="n">
        <v>40213</v>
      </c>
      <c r="D11972" t="inlineStr">
        <is>
          <t>SPEC</t>
        </is>
      </c>
      <c r="E11972" t="inlineStr">
        <is>
          <t>TOIT VENTILE ARM G5000 1012 AVEC PASSAGE DE CABLE</t>
        </is>
      </c>
      <c r="F11972" t="inlineStr">
        <is>
          <t>GALAXY5000</t>
        </is>
      </c>
      <c r="J11972" t="inlineStr">
        <is>
          <t>MATRION</t>
        </is>
      </c>
      <c r="L11972">
        <f>_xlfn.XLOOKUP(Tableau1[[#This Row],[TYPE DE PIECE]],Tableau4[MATIERE],Tableau4[SHORT TYPE],"",0,1)</f>
        <v/>
      </c>
      <c r="N11972">
        <f>IF(ISERR(FIND("DECOUPE",Tableau1[[#This Row],[DESIGNATION]])),"","NEED REF")</f>
        <v/>
      </c>
    </row>
    <row r="11973">
      <c r="B11973" t="n">
        <v>34402032</v>
      </c>
      <c r="C11973" s="2" t="n">
        <v>40212</v>
      </c>
      <c r="D11973" t="inlineStr">
        <is>
          <t>CDC</t>
        </is>
      </c>
      <c r="E11973" t="inlineStr">
        <is>
          <t>SKID SPECIFIQUE</t>
        </is>
      </c>
      <c r="F11973" t="inlineStr">
        <is>
          <t>GALAXY5000</t>
        </is>
      </c>
      <c r="J11973" t="inlineStr">
        <is>
          <t>MATRION</t>
        </is>
      </c>
      <c r="L11973">
        <f>_xlfn.XLOOKUP(Tableau1[[#This Row],[TYPE DE PIECE]],Tableau4[MATIERE],Tableau4[SHORT TYPE],"",0,1)</f>
        <v/>
      </c>
      <c r="N11973">
        <f>IF(ISERR(FIND("DECOUPE",Tableau1[[#This Row],[DESIGNATION]])),"","NEED REF")</f>
        <v/>
      </c>
    </row>
    <row r="11974">
      <c r="B11974" t="n">
        <v>34402031</v>
      </c>
      <c r="C11974" s="2" t="n"/>
      <c r="D11974" t="inlineStr">
        <is>
          <t>SPEC</t>
        </is>
      </c>
      <c r="E11974" t="inlineStr">
        <is>
          <t>Trappe passe cable</t>
        </is>
      </c>
      <c r="F11974" t="inlineStr">
        <is>
          <t xml:space="preserve">TFO 130kVA </t>
        </is>
      </c>
      <c r="J11974" t="inlineStr">
        <is>
          <t>ROBERT</t>
        </is>
      </c>
      <c r="L11974">
        <f>_xlfn.XLOOKUP(Tableau1[[#This Row],[TYPE DE PIECE]],Tableau4[MATIERE],Tableau4[SHORT TYPE],"",0,1)</f>
        <v/>
      </c>
      <c r="N11974">
        <f>IF(ISERR(FIND("DECOUPE",Tableau1[[#This Row],[DESIGNATION]])),"","NEED REF")</f>
        <v/>
      </c>
    </row>
    <row r="11975">
      <c r="B11975" t="n">
        <v>34402030</v>
      </c>
      <c r="C11975" s="2" t="n"/>
      <c r="E11975" t="inlineStr">
        <is>
          <t>NS2500</t>
        </is>
      </c>
      <c r="F11975" t="inlineStr">
        <is>
          <t>NS 2500kVA LIGHT 4000A</t>
        </is>
      </c>
      <c r="J11975" t="inlineStr">
        <is>
          <t>ÇAKIR</t>
        </is>
      </c>
      <c r="L11975">
        <f>_xlfn.XLOOKUP(Tableau1[[#This Row],[TYPE DE PIECE]],Tableau4[MATIERE],Tableau4[SHORT TYPE],"",0,1)</f>
        <v/>
      </c>
      <c r="N11975">
        <f>IF(ISERR(FIND("DECOUPE",Tableau1[[#This Row],[DESIGNATION]])),"","NEED REF")</f>
        <v/>
      </c>
    </row>
    <row r="11976">
      <c r="B11976" t="n">
        <v>34402029</v>
      </c>
      <c r="C11976" s="2" t="n"/>
      <c r="E11976" t="inlineStr">
        <is>
          <t>NS2500</t>
        </is>
      </c>
      <c r="F11976" t="inlineStr">
        <is>
          <t>NS 2500kVA LIGHT 4000A</t>
        </is>
      </c>
      <c r="J11976" t="inlineStr">
        <is>
          <t>ÇAKIR</t>
        </is>
      </c>
      <c r="L11976">
        <f>_xlfn.XLOOKUP(Tableau1[[#This Row],[TYPE DE PIECE]],Tableau4[MATIERE],Tableau4[SHORT TYPE],"",0,1)</f>
        <v/>
      </c>
      <c r="N11976">
        <f>IF(ISERR(FIND("DECOUPE",Tableau1[[#This Row],[DESIGNATION]])),"","NEED REF")</f>
        <v/>
      </c>
    </row>
    <row r="11977">
      <c r="B11977" t="n">
        <v>34402028</v>
      </c>
      <c r="C11977" s="2" t="n"/>
      <c r="E11977" t="inlineStr">
        <is>
          <t>NS2500</t>
        </is>
      </c>
      <c r="F11977" t="inlineStr">
        <is>
          <t>NS 2500kVA LIGHT 4000A</t>
        </is>
      </c>
      <c r="J11977" t="inlineStr">
        <is>
          <t>ÇAKIR</t>
        </is>
      </c>
      <c r="L11977">
        <f>_xlfn.XLOOKUP(Tableau1[[#This Row],[TYPE DE PIECE]],Tableau4[MATIERE],Tableau4[SHORT TYPE],"",0,1)</f>
        <v/>
      </c>
      <c r="N11977">
        <f>IF(ISERR(FIND("DECOUPE",Tableau1[[#This Row],[DESIGNATION]])),"","NEED REF")</f>
        <v/>
      </c>
    </row>
    <row r="11978">
      <c r="B11978" t="n">
        <v>34402027</v>
      </c>
      <c r="C11978" s="2" t="n"/>
      <c r="E11978" t="inlineStr">
        <is>
          <t>NS2500</t>
        </is>
      </c>
      <c r="F11978" t="inlineStr">
        <is>
          <t>NS 2500kVA LIGHT 4000A</t>
        </is>
      </c>
      <c r="J11978" t="inlineStr">
        <is>
          <t>ÇAKIR</t>
        </is>
      </c>
      <c r="L11978">
        <f>_xlfn.XLOOKUP(Tableau1[[#This Row],[TYPE DE PIECE]],Tableau4[MATIERE],Tableau4[SHORT TYPE],"",0,1)</f>
        <v/>
      </c>
      <c r="N11978">
        <f>IF(ISERR(FIND("DECOUPE",Tableau1[[#This Row],[DESIGNATION]])),"","NEED REF")</f>
        <v/>
      </c>
    </row>
    <row r="11979">
      <c r="B11979" t="n">
        <v>34402026</v>
      </c>
      <c r="C11979" s="2" t="n"/>
      <c r="E11979" t="inlineStr">
        <is>
          <t>NS2500</t>
        </is>
      </c>
      <c r="F11979" t="inlineStr">
        <is>
          <t>NS 2500kVA LIGHT 4000A</t>
        </is>
      </c>
      <c r="J11979" t="inlineStr">
        <is>
          <t>ÇAKIR</t>
        </is>
      </c>
      <c r="L11979">
        <f>_xlfn.XLOOKUP(Tableau1[[#This Row],[TYPE DE PIECE]],Tableau4[MATIERE],Tableau4[SHORT TYPE],"",0,1)</f>
        <v/>
      </c>
      <c r="N11979">
        <f>IF(ISERR(FIND("DECOUPE",Tableau1[[#This Row],[DESIGNATION]])),"","NEED REF")</f>
        <v/>
      </c>
    </row>
    <row r="11980">
      <c r="B11980" t="n">
        <v>34402025</v>
      </c>
      <c r="C11980" s="2" t="n"/>
      <c r="E11980" t="inlineStr">
        <is>
          <t>NS2500</t>
        </is>
      </c>
      <c r="F11980" t="inlineStr">
        <is>
          <t>NS 2500kVA LIGHT 4000A</t>
        </is>
      </c>
      <c r="J11980" t="inlineStr">
        <is>
          <t>ÇAKIR</t>
        </is>
      </c>
      <c r="L11980">
        <f>_xlfn.XLOOKUP(Tableau1[[#This Row],[TYPE DE PIECE]],Tableau4[MATIERE],Tableau4[SHORT TYPE],"",0,1)</f>
        <v/>
      </c>
      <c r="N11980">
        <f>IF(ISERR(FIND("DECOUPE",Tableau1[[#This Row],[DESIGNATION]])),"","NEED REF")</f>
        <v/>
      </c>
    </row>
    <row r="11981">
      <c r="B11981" t="n">
        <v>34402024</v>
      </c>
      <c r="C11981" s="2" t="n"/>
      <c r="E11981" t="inlineStr">
        <is>
          <t>NS2500</t>
        </is>
      </c>
      <c r="F11981" t="inlineStr">
        <is>
          <t>NS 2500kVA LIGHT 4000A</t>
        </is>
      </c>
      <c r="J11981" t="inlineStr">
        <is>
          <t>ÇAKIR</t>
        </is>
      </c>
      <c r="L11981">
        <f>_xlfn.XLOOKUP(Tableau1[[#This Row],[TYPE DE PIECE]],Tableau4[MATIERE],Tableau4[SHORT TYPE],"",0,1)</f>
        <v/>
      </c>
      <c r="N11981">
        <f>IF(ISERR(FIND("DECOUPE",Tableau1[[#This Row],[DESIGNATION]])),"","NEED REF")</f>
        <v/>
      </c>
    </row>
    <row r="11982">
      <c r="B11982" t="n">
        <v>34402023</v>
      </c>
      <c r="C11982" s="2" t="n"/>
      <c r="E11982" t="inlineStr">
        <is>
          <t>NS2500</t>
        </is>
      </c>
      <c r="F11982" t="inlineStr">
        <is>
          <t>NS 2500kVA LIGHT 4000A</t>
        </is>
      </c>
      <c r="J11982" t="inlineStr">
        <is>
          <t>ÇAKIR</t>
        </is>
      </c>
      <c r="L11982">
        <f>_xlfn.XLOOKUP(Tableau1[[#This Row],[TYPE DE PIECE]],Tableau4[MATIERE],Tableau4[SHORT TYPE],"",0,1)</f>
        <v/>
      </c>
      <c r="N11982">
        <f>IF(ISERR(FIND("DECOUPE",Tableau1[[#This Row],[DESIGNATION]])),"","NEED REF")</f>
        <v/>
      </c>
    </row>
    <row r="11983">
      <c r="B11983" t="n">
        <v>34402022</v>
      </c>
      <c r="C11983" s="2" t="n"/>
      <c r="E11983" t="inlineStr">
        <is>
          <t>NS2500</t>
        </is>
      </c>
      <c r="F11983" t="inlineStr">
        <is>
          <t>NS 2500kVA LIGHT 4000A</t>
        </is>
      </c>
      <c r="J11983" t="inlineStr">
        <is>
          <t>ÇAKIR</t>
        </is>
      </c>
      <c r="L11983">
        <f>_xlfn.XLOOKUP(Tableau1[[#This Row],[TYPE DE PIECE]],Tableau4[MATIERE],Tableau4[SHORT TYPE],"",0,1)</f>
        <v/>
      </c>
      <c r="N11983">
        <f>IF(ISERR(FIND("DECOUPE",Tableau1[[#This Row],[DESIGNATION]])),"","NEED REF")</f>
        <v/>
      </c>
    </row>
    <row r="11984">
      <c r="B11984" t="n">
        <v>34402021</v>
      </c>
      <c r="C11984" s="2" t="n"/>
      <c r="E11984" t="inlineStr">
        <is>
          <t>NS2500</t>
        </is>
      </c>
      <c r="F11984" t="inlineStr">
        <is>
          <t>NS 2500kVA LIGHT 4000A</t>
        </is>
      </c>
      <c r="J11984" t="inlineStr">
        <is>
          <t>ÇAKIR</t>
        </is>
      </c>
      <c r="L11984">
        <f>_xlfn.XLOOKUP(Tableau1[[#This Row],[TYPE DE PIECE]],Tableau4[MATIERE],Tableau4[SHORT TYPE],"",0,1)</f>
        <v/>
      </c>
      <c r="N11984">
        <f>IF(ISERR(FIND("DECOUPE",Tableau1[[#This Row],[DESIGNATION]])),"","NEED REF")</f>
        <v/>
      </c>
    </row>
    <row r="11985">
      <c r="B11985" t="n">
        <v>34402020</v>
      </c>
      <c r="C11985" s="2" t="n"/>
      <c r="D11985" t="inlineStr">
        <is>
          <t>NOM</t>
        </is>
      </c>
      <c r="E11985" t="inlineStr">
        <is>
          <t>LG STRUCTURE COMMUN L=1400 NS 2500 LIGHT</t>
        </is>
      </c>
      <c r="F11985" t="inlineStr">
        <is>
          <t>NS 2500kVA LIGHT 4000A</t>
        </is>
      </c>
      <c r="J11985" t="inlineStr">
        <is>
          <t>ÇAKIR</t>
        </is>
      </c>
      <c r="L11985">
        <f>_xlfn.XLOOKUP(Tableau1[[#This Row],[TYPE DE PIECE]],Tableau4[MATIERE],Tableau4[SHORT TYPE],"",0,1)</f>
        <v/>
      </c>
      <c r="N11985">
        <f>IF(ISERR(FIND("DECOUPE",Tableau1[[#This Row],[DESIGNATION]])),"","NEED REF")</f>
        <v/>
      </c>
    </row>
    <row r="11986">
      <c r="B11986" t="n">
        <v>34402019</v>
      </c>
      <c r="C11986" s="2" t="n">
        <v>40199</v>
      </c>
      <c r="D11986" t="inlineStr">
        <is>
          <t>NOM</t>
        </is>
      </c>
      <c r="E11986" t="inlineStr">
        <is>
          <t>NOM BARRE Cu 160x10 NS 2500 LIGHT</t>
        </is>
      </c>
      <c r="F11986" t="inlineStr">
        <is>
          <t>NS 2500kVA LIGHT 4000A</t>
        </is>
      </c>
      <c r="J11986" t="inlineStr">
        <is>
          <t>ÇAKIR</t>
        </is>
      </c>
      <c r="L11986">
        <f>_xlfn.XLOOKUP(Tableau1[[#This Row],[TYPE DE PIECE]],Tableau4[MATIERE],Tableau4[SHORT TYPE],"",0,1)</f>
        <v/>
      </c>
      <c r="N11986">
        <f>IF(ISERR(FIND("DECOUPE",Tableau1[[#This Row],[DESIGNATION]])),"","NEED REF")</f>
        <v/>
      </c>
    </row>
    <row r="11987">
      <c r="B11987" t="n">
        <v>34402018</v>
      </c>
      <c r="C11987" s="2" t="n">
        <v>40199</v>
      </c>
      <c r="D11987" t="inlineStr">
        <is>
          <t>NOM</t>
        </is>
      </c>
      <c r="E11987" t="inlineStr">
        <is>
          <t xml:space="preserve">NOM 3iem BARRE Cu 100x10  NS 2500 LIGHT </t>
        </is>
      </c>
      <c r="F11987" t="inlineStr">
        <is>
          <t>NS 2500kVA LIGHT 4000A</t>
        </is>
      </c>
      <c r="J11987" t="inlineStr">
        <is>
          <t>ÇAKIR</t>
        </is>
      </c>
      <c r="L11987">
        <f>_xlfn.XLOOKUP(Tableau1[[#This Row],[TYPE DE PIECE]],Tableau4[MATIERE],Tableau4[SHORT TYPE],"",0,1)</f>
        <v/>
      </c>
      <c r="N11987">
        <f>IF(ISERR(FIND("DECOUPE",Tableau1[[#This Row],[DESIGNATION]])),"","NEED REF")</f>
        <v/>
      </c>
    </row>
    <row r="11988">
      <c r="B11988" t="n">
        <v>34402017</v>
      </c>
      <c r="C11988" s="2" t="n">
        <v>40199</v>
      </c>
      <c r="D11988" t="inlineStr">
        <is>
          <t>NOM</t>
        </is>
      </c>
      <c r="E11988" t="inlineStr">
        <is>
          <t>NOM RACC HAUT NS 2500 LIGHT L=1400</t>
        </is>
      </c>
      <c r="F11988" t="inlineStr">
        <is>
          <t>NS 2500kVA LIGHT 4000A</t>
        </is>
      </c>
      <c r="J11988" t="inlineStr">
        <is>
          <t>ÇAKIR</t>
        </is>
      </c>
      <c r="L11988">
        <f>_xlfn.XLOOKUP(Tableau1[[#This Row],[TYPE DE PIECE]],Tableau4[MATIERE],Tableau4[SHORT TYPE],"",0,1)</f>
        <v/>
      </c>
      <c r="N11988">
        <f>IF(ISERR(FIND("DECOUPE",Tableau1[[#This Row],[DESIGNATION]])),"","NEED REF")</f>
        <v/>
      </c>
    </row>
    <row r="11989">
      <c r="B11989" t="n">
        <v>34402016</v>
      </c>
      <c r="C11989" s="2" t="n">
        <v>40199</v>
      </c>
      <c r="D11989" t="inlineStr">
        <is>
          <t>NOM</t>
        </is>
      </c>
      <c r="E11989" t="inlineStr">
        <is>
          <t>NOM MASTER NW40 NS 2500 LIGHT</t>
        </is>
      </c>
      <c r="F11989" t="inlineStr">
        <is>
          <t>NS 2500kVA LIGHT 4000A</t>
        </is>
      </c>
      <c r="J11989" t="inlineStr">
        <is>
          <t>ÇAKIR</t>
        </is>
      </c>
      <c r="L11989">
        <f>_xlfn.XLOOKUP(Tableau1[[#This Row],[TYPE DE PIECE]],Tableau4[MATIERE],Tableau4[SHORT TYPE],"",0,1)</f>
        <v/>
      </c>
      <c r="N11989">
        <f>IF(ISERR(FIND("DECOUPE",Tableau1[[#This Row],[DESIGNATION]])),"","NEED REF")</f>
        <v/>
      </c>
    </row>
    <row r="11990">
      <c r="B11990" t="n">
        <v>34402015</v>
      </c>
      <c r="C11990" s="2" t="n">
        <v>40210</v>
      </c>
      <c r="D11990" t="inlineStr">
        <is>
          <t>SPEC</t>
        </is>
      </c>
      <c r="E11990" t="inlineStr">
        <is>
          <t>PLASTRON DROITE NS 2500L  H=1900 L=316</t>
        </is>
      </c>
      <c r="F11990" t="inlineStr">
        <is>
          <t>NS 2500kVA LIGHT 4000A</t>
        </is>
      </c>
      <c r="J11990" t="inlineStr">
        <is>
          <t>ÇAKIR</t>
        </is>
      </c>
      <c r="L11990">
        <f>_xlfn.XLOOKUP(Tableau1[[#This Row],[TYPE DE PIECE]],Tableau4[MATIERE],Tableau4[SHORT TYPE],"",0,1)</f>
        <v/>
      </c>
      <c r="N11990">
        <f>IF(ISERR(FIND("DECOUPE",Tableau1[[#This Row],[DESIGNATION]])),"","NEED REF")</f>
        <v/>
      </c>
    </row>
    <row r="11991">
      <c r="B11991" t="n">
        <v>34402014</v>
      </c>
      <c r="C11991" s="2" t="n">
        <v>40210</v>
      </c>
      <c r="D11991" t="inlineStr">
        <is>
          <t>SPEC</t>
        </is>
      </c>
      <c r="E11991" t="inlineStr">
        <is>
          <t>CX UTIL EXT SUP 3ieme     100x10 NS2500L</t>
        </is>
      </c>
      <c r="F11991" t="inlineStr">
        <is>
          <t>NS 2500kVA LIGHT 4000A</t>
        </is>
      </c>
      <c r="J11991" t="inlineStr">
        <is>
          <t>ÇAKIR</t>
        </is>
      </c>
      <c r="L11991">
        <f>_xlfn.XLOOKUP(Tableau1[[#This Row],[TYPE DE PIECE]],Tableau4[MATIERE],Tableau4[SHORT TYPE],"",0,1)</f>
        <v/>
      </c>
      <c r="N11991">
        <f>IF(ISERR(FIND("DECOUPE",Tableau1[[#This Row],[DESIGNATION]])),"","NEED REF")</f>
        <v/>
      </c>
    </row>
    <row r="11992">
      <c r="B11992" t="n">
        <v>34402013</v>
      </c>
      <c r="C11992" s="2" t="n">
        <v>40210</v>
      </c>
      <c r="D11992" t="inlineStr">
        <is>
          <t>SPEC</t>
        </is>
      </c>
      <c r="E11992" t="inlineStr">
        <is>
          <t>CX K2S EX M 3ieme 100x10  NS2500L</t>
        </is>
      </c>
      <c r="F11992" t="inlineStr">
        <is>
          <t>NS 2500kVA LIGHT 4000A</t>
        </is>
      </c>
      <c r="J11992" t="inlineStr">
        <is>
          <t>ÇAKIR</t>
        </is>
      </c>
      <c r="L11992">
        <f>_xlfn.XLOOKUP(Tableau1[[#This Row],[TYPE DE PIECE]],Tableau4[MATIERE],Tableau4[SHORT TYPE],"",0,1)</f>
        <v/>
      </c>
      <c r="N11992">
        <f>IF(ISERR(FIND("DECOUPE",Tableau1[[#This Row],[DESIGNATION]])),"","NEED REF")</f>
        <v/>
      </c>
    </row>
    <row r="11993">
      <c r="B11993" t="n">
        <v>34402012</v>
      </c>
      <c r="C11993" s="2" t="n">
        <v>40210</v>
      </c>
      <c r="D11993" t="inlineStr">
        <is>
          <t>SPEC</t>
        </is>
      </c>
      <c r="E11993" t="inlineStr">
        <is>
          <t>CX K2S EXT 3ieme 100x10   NS2500L</t>
        </is>
      </c>
      <c r="F11993" t="inlineStr">
        <is>
          <t>NS 2500kVA LIGHT 4000A</t>
        </is>
      </c>
      <c r="J11993" t="inlineStr">
        <is>
          <t>ÇAKIR</t>
        </is>
      </c>
      <c r="L11993">
        <f>_xlfn.XLOOKUP(Tableau1[[#This Row],[TYPE DE PIECE]],Tableau4[MATIERE],Tableau4[SHORT TYPE],"",0,1)</f>
        <v/>
      </c>
      <c r="N11993">
        <f>IF(ISERR(FIND("DECOUPE",Tableau1[[#This Row],[DESIGNATION]])),"","NEED REF")</f>
        <v/>
      </c>
    </row>
    <row r="11994">
      <c r="B11994" t="n">
        <v>34402011</v>
      </c>
      <c r="C11994" s="2" t="n">
        <v>40210</v>
      </c>
      <c r="D11994" t="inlineStr">
        <is>
          <t>SPEC</t>
        </is>
      </c>
      <c r="E11994" t="inlineStr">
        <is>
          <t>CX UTIL EXT 3ieme 100x10  NS2500L</t>
        </is>
      </c>
      <c r="F11994" t="inlineStr">
        <is>
          <t>NS 2500kVA LIGHT 4000A</t>
        </is>
      </c>
      <c r="J11994" t="inlineStr">
        <is>
          <t>ÇAKIR</t>
        </is>
      </c>
      <c r="L11994">
        <f>_xlfn.XLOOKUP(Tableau1[[#This Row],[TYPE DE PIECE]],Tableau4[MATIERE],Tableau4[SHORT TYPE],"",0,1)</f>
        <v/>
      </c>
      <c r="N11994">
        <f>IF(ISERR(FIND("DECOUPE",Tableau1[[#This Row],[DESIGNATION]])),"","NEED REF")</f>
        <v/>
      </c>
    </row>
    <row r="11995">
      <c r="B11995" t="n">
        <v>34402010</v>
      </c>
      <c r="C11995" s="2" t="n">
        <v>40210</v>
      </c>
      <c r="D11995" t="inlineStr">
        <is>
          <t>SPEC</t>
        </is>
      </c>
      <c r="E11995" t="inlineStr">
        <is>
          <t>CX UTIL 160x10 NS2500L</t>
        </is>
      </c>
      <c r="F11995" t="inlineStr">
        <is>
          <t>NS 2500kVA LIGHT 4000A</t>
        </is>
      </c>
      <c r="J11995" t="inlineStr">
        <is>
          <t>ÇAKIR</t>
        </is>
      </c>
      <c r="L11995">
        <f>_xlfn.XLOOKUP(Tableau1[[#This Row],[TYPE DE PIECE]],Tableau4[MATIERE],Tableau4[SHORT TYPE],"",0,1)</f>
        <v/>
      </c>
      <c r="N11995">
        <f>IF(ISERR(FIND("DECOUPE",Tableau1[[#This Row],[DESIGNATION]])),"","NEED REF")</f>
        <v/>
      </c>
    </row>
    <row r="11996">
      <c r="B11996" t="n">
        <v>34402009</v>
      </c>
      <c r="C11996" s="2" t="n">
        <v>40205</v>
      </c>
      <c r="D11996" t="inlineStr">
        <is>
          <t>SPEC</t>
        </is>
      </c>
      <c r="E11996" t="inlineStr">
        <is>
          <t>TOIT GAB NS 2500kVA LIGHT  Societe Generale</t>
        </is>
      </c>
      <c r="F11996" t="inlineStr">
        <is>
          <t>NS 2500kVA LIGHT 4000A</t>
        </is>
      </c>
      <c r="J11996" t="inlineStr">
        <is>
          <t>ÇAKIR</t>
        </is>
      </c>
      <c r="L11996">
        <f>_xlfn.XLOOKUP(Tableau1[[#This Row],[TYPE DE PIECE]],Tableau4[MATIERE],Tableau4[SHORT TYPE],"",0,1)</f>
        <v/>
      </c>
      <c r="N11996">
        <f>IF(ISERR(FIND("DECOUPE",Tableau1[[#This Row],[DESIGNATION]])),"","NEED REF")</f>
        <v/>
      </c>
    </row>
    <row r="11997">
      <c r="B11997" t="n">
        <v>34402008</v>
      </c>
      <c r="C11997" s="2" t="n">
        <v>40205</v>
      </c>
      <c r="D11997" t="inlineStr">
        <is>
          <t>SPEC</t>
        </is>
      </c>
      <c r="E11997" t="inlineStr">
        <is>
          <t>PANNEAUX REHAUSSE AV/AR G7K L=1400</t>
        </is>
      </c>
      <c r="F11997" t="inlineStr">
        <is>
          <t>NS 2500kVA LIGHT 4000A</t>
        </is>
      </c>
      <c r="J11997" t="inlineStr">
        <is>
          <t>ÇAKIR</t>
        </is>
      </c>
      <c r="L11997">
        <f>_xlfn.XLOOKUP(Tableau1[[#This Row],[TYPE DE PIECE]],Tableau4[MATIERE],Tableau4[SHORT TYPE],"",0,1)</f>
        <v/>
      </c>
      <c r="N11997">
        <f>IF(ISERR(FIND("DECOUPE",Tableau1[[#This Row],[DESIGNATION]])),"","NEED REF")</f>
        <v/>
      </c>
    </row>
    <row r="11998">
      <c r="B11998" t="n">
        <v>34402007</v>
      </c>
      <c r="C11998" s="2" t="n">
        <v>40205</v>
      </c>
      <c r="D11998" t="inlineStr">
        <is>
          <t>SPEC</t>
        </is>
      </c>
      <c r="E11998" t="inlineStr">
        <is>
          <t>PANNEAUX REHAUSSE LATERAL G7K L=800</t>
        </is>
      </c>
      <c r="F11998" t="inlineStr">
        <is>
          <t>NS 2500kVA LIGHT 4000A</t>
        </is>
      </c>
      <c r="J11998" t="inlineStr">
        <is>
          <t>ÇAKIR</t>
        </is>
      </c>
      <c r="L11998">
        <f>_xlfn.XLOOKUP(Tableau1[[#This Row],[TYPE DE PIECE]],Tableau4[MATIERE],Tableau4[SHORT TYPE],"",0,1)</f>
        <v/>
      </c>
      <c r="N11998">
        <f>IF(ISERR(FIND("DECOUPE",Tableau1[[#This Row],[DESIGNATION]])),"","NEED REF")</f>
        <v/>
      </c>
    </row>
    <row r="11999">
      <c r="B11999" t="n">
        <v>34402006</v>
      </c>
      <c r="C11999" s="2" t="n">
        <v>40199</v>
      </c>
      <c r="D11999" t="inlineStr">
        <is>
          <t>SPEC</t>
        </is>
      </c>
      <c r="E11999" t="inlineStr">
        <is>
          <t>REHAUSSE 200 G7K L=1400</t>
        </is>
      </c>
      <c r="F11999" t="inlineStr">
        <is>
          <t>NS 2500kVA LIGHT 4000A</t>
        </is>
      </c>
      <c r="J11999" t="inlineStr">
        <is>
          <t>ÇAKIR</t>
        </is>
      </c>
      <c r="L11999">
        <f>_xlfn.XLOOKUP(Tableau1[[#This Row],[TYPE DE PIECE]],Tableau4[MATIERE],Tableau4[SHORT TYPE],"",0,1)</f>
        <v/>
      </c>
      <c r="N11999">
        <f>IF(ISERR(FIND("DECOUPE",Tableau1[[#This Row],[DESIGNATION]])),"","NEED REF")</f>
        <v/>
      </c>
    </row>
    <row r="12000">
      <c r="B12000" t="n">
        <v>34402005</v>
      </c>
      <c r="C12000" s="2" t="n">
        <v>40199</v>
      </c>
      <c r="D12000" t="inlineStr">
        <is>
          <t>NOM</t>
        </is>
      </c>
      <c r="E12000" t="inlineStr">
        <is>
          <t>LG COMMUNE S/E STD NS 2500 LIGHT (POUR OF)</t>
        </is>
      </c>
      <c r="F12000" t="inlineStr">
        <is>
          <t>NS 2500kVA LIGHT 4000A</t>
        </is>
      </c>
      <c r="J12000" t="inlineStr">
        <is>
          <t>ÇAKIR</t>
        </is>
      </c>
      <c r="L12000">
        <f>_xlfn.XLOOKUP(Tableau1[[#This Row],[TYPE DE PIECE]],Tableau4[MATIERE],Tableau4[SHORT TYPE],"",0,1)</f>
        <v/>
      </c>
      <c r="N12000">
        <f>IF(ISERR(FIND("DECOUPE",Tableau1[[#This Row],[DESIGNATION]])),"","NEED REF")</f>
        <v/>
      </c>
    </row>
    <row r="12001">
      <c r="B12001" t="n">
        <v>34402004</v>
      </c>
      <c r="C12001" s="2" t="n">
        <v>40197</v>
      </c>
      <c r="D12001" t="inlineStr">
        <is>
          <t>SPEC</t>
        </is>
      </c>
      <c r="E12001" t="inlineStr">
        <is>
          <t>CX 2/2 SPT THYRISTOR CS NS 2500kVA LIGHT</t>
        </is>
      </c>
      <c r="F12001" t="inlineStr">
        <is>
          <t>NS 2500kVA LIGHT 4000A</t>
        </is>
      </c>
      <c r="J12001" t="inlineStr">
        <is>
          <t>ÇAKIR</t>
        </is>
      </c>
      <c r="L12001">
        <f>_xlfn.XLOOKUP(Tableau1[[#This Row],[TYPE DE PIECE]],Tableau4[MATIERE],Tableau4[SHORT TYPE],"",0,1)</f>
        <v/>
      </c>
      <c r="N12001">
        <f>IF(ISERR(FIND("DECOUPE",Tableau1[[#This Row],[DESIGNATION]])),"","NEED REF")</f>
        <v/>
      </c>
    </row>
    <row r="12002">
      <c r="B12002" t="n">
        <v>34402003</v>
      </c>
      <c r="C12002" s="2" t="n">
        <v>39824</v>
      </c>
      <c r="D12002" t="inlineStr">
        <is>
          <t>SPEC</t>
        </is>
      </c>
      <c r="E12002" t="inlineStr">
        <is>
          <t xml:space="preserve">CX 1/2 SPT THYRISTOR CS NS 2500kVA LIGHT </t>
        </is>
      </c>
      <c r="F12002" t="inlineStr">
        <is>
          <t>NS 2500kVA LIGHT 4000A</t>
        </is>
      </c>
      <c r="J12002" t="inlineStr">
        <is>
          <t>ÇAKIR</t>
        </is>
      </c>
      <c r="L12002">
        <f>_xlfn.XLOOKUP(Tableau1[[#This Row],[TYPE DE PIECE]],Tableau4[MATIERE],Tableau4[SHORT TYPE],"",0,1)</f>
        <v/>
      </c>
      <c r="N12002">
        <f>IF(ISERR(FIND("DECOUPE",Tableau1[[#This Row],[DESIGNATION]])),"","NEED REF")</f>
        <v/>
      </c>
    </row>
    <row r="12003">
      <c r="B12003" t="n">
        <v>34402002</v>
      </c>
      <c r="C12003" s="2" t="n">
        <v>39824</v>
      </c>
      <c r="D12003" t="inlineStr">
        <is>
          <t>NOM</t>
        </is>
      </c>
      <c r="E12003" t="inlineStr">
        <is>
          <t>NOM PORTE G NS 2500kVA LIGHT</t>
        </is>
      </c>
      <c r="F12003" t="inlineStr">
        <is>
          <t>NS 2500kVA LIGHT 4000A</t>
        </is>
      </c>
      <c r="J12003" t="inlineStr">
        <is>
          <t>ÇAKIR</t>
        </is>
      </c>
      <c r="L12003">
        <f>_xlfn.XLOOKUP(Tableau1[[#This Row],[TYPE DE PIECE]],Tableau4[MATIERE],Tableau4[SHORT TYPE],"",0,1)</f>
        <v/>
      </c>
      <c r="N12003">
        <f>IF(ISERR(FIND("DECOUPE",Tableau1[[#This Row],[DESIGNATION]])),"","NEED REF")</f>
        <v/>
      </c>
    </row>
    <row r="12004">
      <c r="B12004" t="n">
        <v>34402001</v>
      </c>
      <c r="C12004" s="2" t="n">
        <v>39824</v>
      </c>
      <c r="D12004" t="inlineStr">
        <is>
          <t>NOM</t>
        </is>
      </c>
      <c r="E12004" t="inlineStr">
        <is>
          <t>NOM FINITION NS 2500kVA LIGHT</t>
        </is>
      </c>
      <c r="F12004" t="inlineStr">
        <is>
          <t>NS 2500kVA LIGHT 4000A</t>
        </is>
      </c>
      <c r="J12004" t="inlineStr">
        <is>
          <t>ÇAKIR</t>
        </is>
      </c>
      <c r="L12004">
        <f>_xlfn.XLOOKUP(Tableau1[[#This Row],[TYPE DE PIECE]],Tableau4[MATIERE],Tableau4[SHORT TYPE],"",0,1)</f>
        <v/>
      </c>
      <c r="N12004">
        <f>IF(ISERR(FIND("DECOUPE",Tableau1[[#This Row],[DESIGNATION]])),"","NEED REF")</f>
        <v/>
      </c>
    </row>
    <row r="12005">
      <c r="B12005" t="n">
        <v>34402000</v>
      </c>
      <c r="C12005" s="2" t="n">
        <v>39824</v>
      </c>
      <c r="D12005" t="inlineStr">
        <is>
          <t>NOM</t>
        </is>
      </c>
      <c r="E12005" t="inlineStr">
        <is>
          <t>NOM INTEGRATION NS 2500kVA LIGHT</t>
        </is>
      </c>
      <c r="F12005" t="inlineStr">
        <is>
          <t>NS 2500kVA LIGHT 4000A</t>
        </is>
      </c>
      <c r="J12005" t="inlineStr">
        <is>
          <t>ÇAKIR</t>
        </is>
      </c>
      <c r="L12005">
        <f>_xlfn.XLOOKUP(Tableau1[[#This Row],[TYPE DE PIECE]],Tableau4[MATIERE],Tableau4[SHORT TYPE],"",0,1)</f>
        <v/>
      </c>
      <c r="N12005">
        <f>IF(ISERR(FIND("DECOUPE",Tableau1[[#This Row],[DESIGNATION]])),"","NEED REF")</f>
        <v/>
      </c>
    </row>
    <row r="12006">
      <c r="B12006" t="n">
        <v>34401999</v>
      </c>
      <c r="C12006" s="2" t="n">
        <v>39824</v>
      </c>
      <c r="D12006" t="inlineStr">
        <is>
          <t>NOM</t>
        </is>
      </c>
      <c r="E12006" t="inlineStr">
        <is>
          <t xml:space="preserve">NS 2500kVA LIGHT 4000A </t>
        </is>
      </c>
      <c r="F12006" t="inlineStr">
        <is>
          <t>NS 2500kVA LIGHT 4000A</t>
        </is>
      </c>
      <c r="J12006" t="inlineStr">
        <is>
          <t>ÇAKIR</t>
        </is>
      </c>
      <c r="L12006">
        <f>_xlfn.XLOOKUP(Tableau1[[#This Row],[TYPE DE PIECE]],Tableau4[MATIERE],Tableau4[SHORT TYPE],"",0,1)</f>
        <v/>
      </c>
      <c r="N12006">
        <f>IF(ISERR(FIND("DECOUPE",Tableau1[[#This Row],[DESIGNATION]])),"","NEED REF")</f>
        <v/>
      </c>
    </row>
    <row r="12007">
      <c r="B12007" t="n">
        <v>34401998</v>
      </c>
      <c r="C12007" s="2" t="n">
        <v>40189</v>
      </c>
      <c r="D12007" t="inlineStr">
        <is>
          <t>SPEC</t>
        </is>
      </c>
      <c r="E12007" t="inlineStr">
        <is>
          <t>Dossier photos PMM-PDU</t>
        </is>
      </c>
      <c r="F12007" t="inlineStr">
        <is>
          <t>Toutes</t>
        </is>
      </c>
      <c r="J12007" t="inlineStr">
        <is>
          <t>MONGELLI</t>
        </is>
      </c>
      <c r="L12007">
        <f>_xlfn.XLOOKUP(Tableau1[[#This Row],[TYPE DE PIECE]],Tableau4[MATIERE],Tableau4[SHORT TYPE],"",0,1)</f>
        <v/>
      </c>
      <c r="N12007">
        <f>IF(ISERR(FIND("DECOUPE",Tableau1[[#This Row],[DESIGNATION]])),"","NEED REF")</f>
        <v/>
      </c>
    </row>
    <row r="12008">
      <c r="B12008" t="n">
        <v>34401997</v>
      </c>
      <c r="C12008" s="2" t="n">
        <v>40185</v>
      </c>
      <c r="D12008" t="inlineStr">
        <is>
          <t>NOM</t>
        </is>
      </c>
      <c r="E12008" t="inlineStr">
        <is>
          <t xml:space="preserve">Projet Corinne ROGEAT : Couplage batterie 3 ASI </t>
        </is>
      </c>
      <c r="F12008" t="inlineStr">
        <is>
          <t>G5000</t>
        </is>
      </c>
      <c r="J12008" t="inlineStr">
        <is>
          <t>ROGEAT</t>
        </is>
      </c>
      <c r="L12008">
        <f>_xlfn.XLOOKUP(Tableau1[[#This Row],[TYPE DE PIECE]],Tableau4[MATIERE],Tableau4[SHORT TYPE],"",0,1)</f>
        <v/>
      </c>
      <c r="N12008">
        <f>IF(ISERR(FIND("DECOUPE",Tableau1[[#This Row],[DESIGNATION]])),"","NEED REF")</f>
        <v/>
      </c>
    </row>
    <row r="12009">
      <c r="B12009" t="n">
        <v>34401996</v>
      </c>
      <c r="C12009" s="2" t="n">
        <v>40164</v>
      </c>
      <c r="D12009" t="inlineStr">
        <is>
          <t>SPEC</t>
        </is>
      </c>
      <c r="E12009" t="inlineStr">
        <is>
          <t>Plastron de 300 G5 G7 L=1012 avec 1 NSX630</t>
        </is>
      </c>
      <c r="F12009" t="inlineStr">
        <is>
          <t>Toutes</t>
        </is>
      </c>
      <c r="J12009" t="inlineStr">
        <is>
          <t>REVEL</t>
        </is>
      </c>
      <c r="L12009">
        <f>_xlfn.XLOOKUP(Tableau1[[#This Row],[TYPE DE PIECE]],Tableau4[MATIERE],Tableau4[SHORT TYPE],"",0,1)</f>
        <v/>
      </c>
      <c r="N12009">
        <f>IF(ISERR(FIND("DECOUPE",Tableau1[[#This Row],[DESIGNATION]])),"","NEED REF")</f>
        <v/>
      </c>
    </row>
    <row r="12010">
      <c r="B12010" t="n">
        <v>34401995</v>
      </c>
      <c r="C12010" s="2" t="n">
        <v>40163</v>
      </c>
      <c r="D12010" t="inlineStr">
        <is>
          <t>SPEC</t>
        </is>
      </c>
      <c r="E12010" t="inlineStr">
        <is>
          <t>Cache Makolon capas C14-C15 THM G600</t>
        </is>
      </c>
      <c r="F12010" t="inlineStr">
        <is>
          <t>THM G600</t>
        </is>
      </c>
      <c r="J12010" t="inlineStr">
        <is>
          <t>MONGELLI</t>
        </is>
      </c>
      <c r="L12010">
        <f>_xlfn.XLOOKUP(Tableau1[[#This Row],[TYPE DE PIECE]],Tableau4[MATIERE],Tableau4[SHORT TYPE],"",0,1)</f>
        <v/>
      </c>
      <c r="N12010">
        <f>IF(ISERR(FIND("DECOUPE",Tableau1[[#This Row],[DESIGNATION]])),"","NEED REF")</f>
        <v/>
      </c>
    </row>
    <row r="12011">
      <c r="B12011" t="n">
        <v>34401994</v>
      </c>
      <c r="C12011" s="2" t="n">
        <v>40156</v>
      </c>
      <c r="D12011" t="inlineStr">
        <is>
          <t>NOM</t>
        </is>
      </c>
      <c r="E12011" t="inlineStr">
        <is>
          <t>Nom Racc. Haut STS LIGHT</t>
        </is>
      </c>
      <c r="F12011" t="inlineStr">
        <is>
          <t>STS G7000</t>
        </is>
      </c>
      <c r="J12011" t="inlineStr">
        <is>
          <t>MATRION</t>
        </is>
      </c>
      <c r="L12011">
        <f>_xlfn.XLOOKUP(Tableau1[[#This Row],[TYPE DE PIECE]],Tableau4[MATIERE],Tableau4[SHORT TYPE],"",0,1)</f>
        <v/>
      </c>
      <c r="N12011">
        <f>IF(ISERR(FIND("DECOUPE",Tableau1[[#This Row],[DESIGNATION]])),"","NEED REF")</f>
        <v/>
      </c>
    </row>
    <row r="12012">
      <c r="B12012" t="n">
        <v>34401993</v>
      </c>
      <c r="C12012" s="2" t="n">
        <v>40156</v>
      </c>
      <c r="D12012" t="inlineStr">
        <is>
          <t>NOM</t>
        </is>
      </c>
      <c r="E12012" t="inlineStr">
        <is>
          <t>Nom Racc. Bas STS LIGHT</t>
        </is>
      </c>
      <c r="F12012" t="inlineStr">
        <is>
          <t>STS G7000</t>
        </is>
      </c>
      <c r="J12012" t="inlineStr">
        <is>
          <t>MATRION</t>
        </is>
      </c>
      <c r="L12012">
        <f>_xlfn.XLOOKUP(Tableau1[[#This Row],[TYPE DE PIECE]],Tableau4[MATIERE],Tableau4[SHORT TYPE],"",0,1)</f>
        <v/>
      </c>
      <c r="N12012">
        <f>IF(ISERR(FIND("DECOUPE",Tableau1[[#This Row],[DESIGNATION]])),"","NEED REF")</f>
        <v/>
      </c>
    </row>
    <row r="12013">
      <c r="B12013" t="n">
        <v>34401992</v>
      </c>
      <c r="C12013" s="2" t="n">
        <v>40156</v>
      </c>
      <c r="D12013" t="inlineStr">
        <is>
          <t>NOM</t>
        </is>
      </c>
      <c r="E12013" t="inlineStr">
        <is>
          <t>Nom Racc. Haut Gaines STS COMPLET</t>
        </is>
      </c>
      <c r="F12013" t="inlineStr">
        <is>
          <t>STS G7000</t>
        </is>
      </c>
      <c r="J12013" t="inlineStr">
        <is>
          <t>MATRION</t>
        </is>
      </c>
      <c r="L12013">
        <f>_xlfn.XLOOKUP(Tableau1[[#This Row],[TYPE DE PIECE]],Tableau4[MATIERE],Tableau4[SHORT TYPE],"",0,1)</f>
        <v/>
      </c>
      <c r="N12013">
        <f>IF(ISERR(FIND("DECOUPE",Tableau1[[#This Row],[DESIGNATION]])),"","NEED REF")</f>
        <v/>
      </c>
    </row>
    <row r="12014">
      <c r="B12014" t="n">
        <v>34401991</v>
      </c>
      <c r="C12014" s="2" t="n">
        <v>40156</v>
      </c>
      <c r="D12014" t="inlineStr">
        <is>
          <t>NOM</t>
        </is>
      </c>
      <c r="E12014" t="inlineStr">
        <is>
          <t>Nom Racc. Bas Gaines STS COMPLET</t>
        </is>
      </c>
      <c r="F12014" t="inlineStr">
        <is>
          <t>STS G7000</t>
        </is>
      </c>
      <c r="J12014" t="inlineStr">
        <is>
          <t>MATRION</t>
        </is>
      </c>
      <c r="L12014">
        <f>_xlfn.XLOOKUP(Tableau1[[#This Row],[TYPE DE PIECE]],Tableau4[MATIERE],Tableau4[SHORT TYPE],"",0,1)</f>
        <v/>
      </c>
      <c r="N12014">
        <f>IF(ISERR(FIND("DECOUPE",Tableau1[[#This Row],[DESIGNATION]])),"","NEED REF")</f>
        <v/>
      </c>
    </row>
    <row r="12015">
      <c r="B12015" t="n">
        <v>34401990</v>
      </c>
      <c r="C12015" s="2" t="n">
        <v>40156</v>
      </c>
      <c r="D12015" t="inlineStr">
        <is>
          <t>NOM</t>
        </is>
      </c>
      <c r="E12015" t="inlineStr">
        <is>
          <t>Nom Racc. Haut Centrale STS COMPLET</t>
        </is>
      </c>
      <c r="F12015" t="inlineStr">
        <is>
          <t>STS G7000</t>
        </is>
      </c>
      <c r="J12015" t="inlineStr">
        <is>
          <t>MATRION</t>
        </is>
      </c>
      <c r="L12015">
        <f>_xlfn.XLOOKUP(Tableau1[[#This Row],[TYPE DE PIECE]],Tableau4[MATIERE],Tableau4[SHORT TYPE],"",0,1)</f>
        <v/>
      </c>
      <c r="N12015">
        <f>IF(ISERR(FIND("DECOUPE",Tableau1[[#This Row],[DESIGNATION]])),"","NEED REF")</f>
        <v/>
      </c>
    </row>
    <row r="12016">
      <c r="B12016" t="n">
        <v>34401989</v>
      </c>
      <c r="C12016" s="2" t="n">
        <v>40156</v>
      </c>
      <c r="D12016" t="inlineStr">
        <is>
          <t>NOM</t>
        </is>
      </c>
      <c r="E12016" t="inlineStr">
        <is>
          <t>Nom Racc. Bas Centrale STS COMPLET</t>
        </is>
      </c>
      <c r="F12016" t="inlineStr">
        <is>
          <t>STS G7000</t>
        </is>
      </c>
      <c r="J12016" t="inlineStr">
        <is>
          <t>MATRION</t>
        </is>
      </c>
      <c r="L12016">
        <f>_xlfn.XLOOKUP(Tableau1[[#This Row],[TYPE DE PIECE]],Tableau4[MATIERE],Tableau4[SHORT TYPE],"",0,1)</f>
        <v/>
      </c>
      <c r="N12016">
        <f>IF(ISERR(FIND("DECOUPE",Tableau1[[#This Row],[DESIGNATION]])),"","NEED REF")</f>
        <v/>
      </c>
    </row>
    <row r="12017">
      <c r="B12017" t="n">
        <v>34401988</v>
      </c>
      <c r="C12017" s="2" t="n">
        <v>40156</v>
      </c>
      <c r="D12017" t="inlineStr">
        <is>
          <t>NOM/DOC</t>
        </is>
      </c>
      <c r="E12017" t="inlineStr">
        <is>
          <t>Dossier de deplacement Module de Comm. sur Porte</t>
        </is>
      </c>
      <c r="F12017" t="inlineStr">
        <is>
          <t>STS G7000</t>
        </is>
      </c>
      <c r="J12017" t="inlineStr">
        <is>
          <t>MATRION</t>
        </is>
      </c>
      <c r="L12017">
        <f>_xlfn.XLOOKUP(Tableau1[[#This Row],[TYPE DE PIECE]],Tableau4[MATIERE],Tableau4[SHORT TYPE],"",0,1)</f>
        <v/>
      </c>
      <c r="N12017">
        <f>IF(ISERR(FIND("DECOUPE",Tableau1[[#This Row],[DESIGNATION]])),"","NEED REF")</f>
        <v/>
      </c>
    </row>
    <row r="12018">
      <c r="B12018" t="n">
        <v>34401987</v>
      </c>
      <c r="C12018" s="2" t="n">
        <v>40156</v>
      </c>
      <c r="E12018" t="inlineStr">
        <is>
          <t>DISPO</t>
        </is>
      </c>
      <c r="F12018" t="inlineStr">
        <is>
          <t>STS G7000</t>
        </is>
      </c>
      <c r="J12018" t="inlineStr">
        <is>
          <t>MATRION</t>
        </is>
      </c>
      <c r="L12018">
        <f>_xlfn.XLOOKUP(Tableau1[[#This Row],[TYPE DE PIECE]],Tableau4[MATIERE],Tableau4[SHORT TYPE],"",0,1)</f>
        <v/>
      </c>
      <c r="N12018">
        <f>IF(ISERR(FIND("DECOUPE",Tableau1[[#This Row],[DESIGNATION]])),"","NEED REF")</f>
        <v/>
      </c>
    </row>
    <row r="12019">
      <c r="B12019" t="n">
        <v>34401986</v>
      </c>
      <c r="C12019" s="2" t="n">
        <v>40156</v>
      </c>
      <c r="E12019" t="inlineStr">
        <is>
          <t>DISPO</t>
        </is>
      </c>
      <c r="F12019" t="inlineStr">
        <is>
          <t>STS G7000</t>
        </is>
      </c>
      <c r="J12019" t="inlineStr">
        <is>
          <t>MATRION</t>
        </is>
      </c>
      <c r="L12019">
        <f>_xlfn.XLOOKUP(Tableau1[[#This Row],[TYPE DE PIECE]],Tableau4[MATIERE],Tableau4[SHORT TYPE],"",0,1)</f>
        <v/>
      </c>
      <c r="N12019">
        <f>IF(ISERR(FIND("DECOUPE",Tableau1[[#This Row],[DESIGNATION]])),"","NEED REF")</f>
        <v/>
      </c>
    </row>
    <row r="12020">
      <c r="B12020" t="n">
        <v>34401985</v>
      </c>
      <c r="C12020" s="2" t="n">
        <v>40156</v>
      </c>
      <c r="E12020" t="inlineStr">
        <is>
          <t>DISPO</t>
        </is>
      </c>
      <c r="F12020" t="inlineStr">
        <is>
          <t>STS G7000</t>
        </is>
      </c>
      <c r="J12020" t="inlineStr">
        <is>
          <t>MATRION</t>
        </is>
      </c>
      <c r="L12020">
        <f>_xlfn.XLOOKUP(Tableau1[[#This Row],[TYPE DE PIECE]],Tableau4[MATIERE],Tableau4[SHORT TYPE],"",0,1)</f>
        <v/>
      </c>
      <c r="N12020">
        <f>IF(ISERR(FIND("DECOUPE",Tableau1[[#This Row],[DESIGNATION]])),"","NEED REF")</f>
        <v/>
      </c>
    </row>
    <row r="12021">
      <c r="B12021" t="n">
        <v>34401984</v>
      </c>
      <c r="C12021" s="2" t="n">
        <v>40156</v>
      </c>
      <c r="D12021" t="inlineStr">
        <is>
          <t>NOM</t>
        </is>
      </c>
      <c r="E12021" t="inlineStr">
        <is>
          <t>Nom Bypass 1xGaine STS1200A COMPLET</t>
        </is>
      </c>
      <c r="F12021" t="inlineStr">
        <is>
          <t>STS G7000</t>
        </is>
      </c>
      <c r="J12021" t="inlineStr">
        <is>
          <t>MATRION</t>
        </is>
      </c>
      <c r="L12021">
        <f>_xlfn.XLOOKUP(Tableau1[[#This Row],[TYPE DE PIECE]],Tableau4[MATIERE],Tableau4[SHORT TYPE],"",0,1)</f>
        <v/>
      </c>
      <c r="N12021">
        <f>IF(ISERR(FIND("DECOUPE",Tableau1[[#This Row],[DESIGNATION]])),"","NEED REF")</f>
        <v/>
      </c>
    </row>
    <row r="12022">
      <c r="B12022" t="n">
        <v>34401983</v>
      </c>
      <c r="C12022" s="2" t="n">
        <v>40156</v>
      </c>
      <c r="D12022" t="inlineStr">
        <is>
          <t>NOM</t>
        </is>
      </c>
      <c r="E12022" t="inlineStr">
        <is>
          <t>Nom Bypass Centrale STS1200A COMPLET</t>
        </is>
      </c>
      <c r="F12022" t="inlineStr">
        <is>
          <t>STS G7000</t>
        </is>
      </c>
      <c r="J12022" t="inlineStr">
        <is>
          <t>MATRION</t>
        </is>
      </c>
      <c r="L12022">
        <f>_xlfn.XLOOKUP(Tableau1[[#This Row],[TYPE DE PIECE]],Tableau4[MATIERE],Tableau4[SHORT TYPE],"",0,1)</f>
        <v/>
      </c>
      <c r="N12022">
        <f>IF(ISERR(FIND("DECOUPE",Tableau1[[#This Row],[DESIGNATION]])),"","NEED REF")</f>
        <v/>
      </c>
    </row>
    <row r="12023">
      <c r="B12023" t="n">
        <v>34401982</v>
      </c>
      <c r="C12023" s="2" t="n">
        <v>40156</v>
      </c>
      <c r="D12023" t="inlineStr">
        <is>
          <t>NOM</t>
        </is>
      </c>
      <c r="E12023" t="inlineStr">
        <is>
          <t>Nom Bypass 1xGaine STS1000A COMPLET</t>
        </is>
      </c>
      <c r="F12023" t="inlineStr">
        <is>
          <t>STS G7000</t>
        </is>
      </c>
      <c r="J12023" t="inlineStr">
        <is>
          <t>MATRION</t>
        </is>
      </c>
      <c r="L12023">
        <f>_xlfn.XLOOKUP(Tableau1[[#This Row],[TYPE DE PIECE]],Tableau4[MATIERE],Tableau4[SHORT TYPE],"",0,1)</f>
        <v/>
      </c>
      <c r="N12023">
        <f>IF(ISERR(FIND("DECOUPE",Tableau1[[#This Row],[DESIGNATION]])),"","NEED REF")</f>
        <v/>
      </c>
    </row>
    <row r="12024">
      <c r="B12024" t="n">
        <v>34401981</v>
      </c>
      <c r="C12024" s="2" t="n">
        <v>40156</v>
      </c>
      <c r="D12024" t="inlineStr">
        <is>
          <t>NOM</t>
        </is>
      </c>
      <c r="E12024" t="inlineStr">
        <is>
          <t>Nom Bypass Centrale STS1000A COMPLET</t>
        </is>
      </c>
      <c r="F12024" t="inlineStr">
        <is>
          <t>STS G7000</t>
        </is>
      </c>
      <c r="J12024" t="inlineStr">
        <is>
          <t>MATRION</t>
        </is>
      </c>
      <c r="L12024">
        <f>_xlfn.XLOOKUP(Tableau1[[#This Row],[TYPE DE PIECE]],Tableau4[MATIERE],Tableau4[SHORT TYPE],"",0,1)</f>
        <v/>
      </c>
      <c r="N12024">
        <f>IF(ISERR(FIND("DECOUPE",Tableau1[[#This Row],[DESIGNATION]])),"","NEED REF")</f>
        <v/>
      </c>
    </row>
    <row r="12025">
      <c r="B12025" t="n">
        <v>34401980</v>
      </c>
      <c r="C12025" s="2" t="n">
        <v>40156</v>
      </c>
      <c r="D12025" t="inlineStr">
        <is>
          <t>NOM</t>
        </is>
      </c>
      <c r="E12025" t="inlineStr">
        <is>
          <t>Nom Bypass 1xGaine STS800A COMPLET</t>
        </is>
      </c>
      <c r="F12025" t="inlineStr">
        <is>
          <t>STS G7000</t>
        </is>
      </c>
      <c r="J12025" t="inlineStr">
        <is>
          <t>MATRION</t>
        </is>
      </c>
      <c r="L12025">
        <f>_xlfn.XLOOKUP(Tableau1[[#This Row],[TYPE DE PIECE]],Tableau4[MATIERE],Tableau4[SHORT TYPE],"",0,1)</f>
        <v/>
      </c>
      <c r="N12025">
        <f>IF(ISERR(FIND("DECOUPE",Tableau1[[#This Row],[DESIGNATION]])),"","NEED REF")</f>
        <v/>
      </c>
    </row>
    <row r="12026">
      <c r="B12026" t="n">
        <v>34401979</v>
      </c>
      <c r="C12026" s="2" t="n">
        <v>40156</v>
      </c>
      <c r="D12026" t="inlineStr">
        <is>
          <t>NOM</t>
        </is>
      </c>
      <c r="E12026" t="inlineStr">
        <is>
          <t>Nom Bypass Centrale STS800A COMPLET</t>
        </is>
      </c>
      <c r="F12026" t="inlineStr">
        <is>
          <t>STS G7000</t>
        </is>
      </c>
      <c r="J12026" t="inlineStr">
        <is>
          <t>MATRION</t>
        </is>
      </c>
      <c r="L12026">
        <f>_xlfn.XLOOKUP(Tableau1[[#This Row],[TYPE DE PIECE]],Tableau4[MATIERE],Tableau4[SHORT TYPE],"",0,1)</f>
        <v/>
      </c>
      <c r="N12026">
        <f>IF(ISERR(FIND("DECOUPE",Tableau1[[#This Row],[DESIGNATION]])),"","NEED REF")</f>
        <v/>
      </c>
    </row>
    <row r="12027">
      <c r="B12027" t="n">
        <v>34401978</v>
      </c>
      <c r="C12027" s="2" t="n">
        <v>40156</v>
      </c>
      <c r="E12027" t="inlineStr">
        <is>
          <t>DISPO</t>
        </is>
      </c>
      <c r="F12027" t="inlineStr">
        <is>
          <t>STS G7000</t>
        </is>
      </c>
      <c r="J12027" t="inlineStr">
        <is>
          <t>MATRION</t>
        </is>
      </c>
      <c r="L12027">
        <f>_xlfn.XLOOKUP(Tableau1[[#This Row],[TYPE DE PIECE]],Tableau4[MATIERE],Tableau4[SHORT TYPE],"",0,1)</f>
        <v/>
      </c>
      <c r="N12027">
        <f>IF(ISERR(FIND("DECOUPE",Tableau1[[#This Row],[DESIGNATION]])),"","NEED REF")</f>
        <v/>
      </c>
    </row>
    <row r="12028">
      <c r="B12028" t="n">
        <v>34401977</v>
      </c>
      <c r="C12028" s="2" t="n">
        <v>40156</v>
      </c>
      <c r="E12028" t="inlineStr">
        <is>
          <t>DISPO</t>
        </is>
      </c>
      <c r="F12028" t="inlineStr">
        <is>
          <t>STS G7000</t>
        </is>
      </c>
      <c r="J12028" t="inlineStr">
        <is>
          <t>MATRION</t>
        </is>
      </c>
      <c r="L12028">
        <f>_xlfn.XLOOKUP(Tableau1[[#This Row],[TYPE DE PIECE]],Tableau4[MATIERE],Tableau4[SHORT TYPE],"",0,1)</f>
        <v/>
      </c>
      <c r="N12028">
        <f>IF(ISERR(FIND("DECOUPE",Tableau1[[#This Row],[DESIGNATION]])),"","NEED REF")</f>
        <v/>
      </c>
    </row>
    <row r="12029">
      <c r="B12029" t="n">
        <v>34401976</v>
      </c>
      <c r="C12029" s="2" t="n">
        <v>40156</v>
      </c>
      <c r="E12029" t="inlineStr">
        <is>
          <t>DISPO</t>
        </is>
      </c>
      <c r="F12029" t="inlineStr">
        <is>
          <t>STS G7000</t>
        </is>
      </c>
      <c r="J12029" t="inlineStr">
        <is>
          <t>MATRION</t>
        </is>
      </c>
      <c r="L12029">
        <f>_xlfn.XLOOKUP(Tableau1[[#This Row],[TYPE DE PIECE]],Tableau4[MATIERE],Tableau4[SHORT TYPE],"",0,1)</f>
        <v/>
      </c>
      <c r="N12029">
        <f>IF(ISERR(FIND("DECOUPE",Tableau1[[#This Row],[DESIGNATION]])),"","NEED REF")</f>
        <v/>
      </c>
    </row>
    <row r="12030">
      <c r="B12030" t="n">
        <v>34401975</v>
      </c>
      <c r="C12030" s="2" t="n">
        <v>40156</v>
      </c>
      <c r="D12030" t="inlineStr">
        <is>
          <t>NOM</t>
        </is>
      </c>
      <c r="E12030" t="inlineStr">
        <is>
          <t>Nom Option Neutre Coupé 1000A-1200A 415V</t>
        </is>
      </c>
      <c r="F12030" t="inlineStr">
        <is>
          <t>STS G7000</t>
        </is>
      </c>
      <c r="J12030" t="inlineStr">
        <is>
          <t>MATRION</t>
        </is>
      </c>
      <c r="L12030">
        <f>_xlfn.XLOOKUP(Tableau1[[#This Row],[TYPE DE PIECE]],Tableau4[MATIERE],Tableau4[SHORT TYPE],"",0,1)</f>
        <v/>
      </c>
      <c r="N12030">
        <f>IF(ISERR(FIND("DECOUPE",Tableau1[[#This Row],[DESIGNATION]])),"","NEED REF")</f>
        <v/>
      </c>
    </row>
    <row r="12031">
      <c r="B12031" t="n">
        <v>34401974</v>
      </c>
      <c r="C12031" s="2" t="n">
        <v>40156</v>
      </c>
      <c r="D12031" t="inlineStr">
        <is>
          <t>NOM</t>
        </is>
      </c>
      <c r="E12031" t="inlineStr">
        <is>
          <t>Nom Option Neutre Coupé 1000A-1200A 400V</t>
        </is>
      </c>
      <c r="F12031" t="inlineStr">
        <is>
          <t>STS G7000</t>
        </is>
      </c>
      <c r="J12031" t="inlineStr">
        <is>
          <t>MATRION</t>
        </is>
      </c>
      <c r="L12031">
        <f>_xlfn.XLOOKUP(Tableau1[[#This Row],[TYPE DE PIECE]],Tableau4[MATIERE],Tableau4[SHORT TYPE],"",0,1)</f>
        <v/>
      </c>
      <c r="N12031">
        <f>IF(ISERR(FIND("DECOUPE",Tableau1[[#This Row],[DESIGNATION]])),"","NEED REF")</f>
        <v/>
      </c>
    </row>
    <row r="12032">
      <c r="B12032" t="n">
        <v>34401973</v>
      </c>
      <c r="C12032" s="2" t="n">
        <v>40156</v>
      </c>
      <c r="D12032" t="inlineStr">
        <is>
          <t>NOM</t>
        </is>
      </c>
      <c r="E12032" t="inlineStr">
        <is>
          <t>Nom Option Neutre Coupé 1000A-1200A 380V</t>
        </is>
      </c>
      <c r="F12032" t="inlineStr">
        <is>
          <t>STS G7000</t>
        </is>
      </c>
      <c r="J12032" t="inlineStr">
        <is>
          <t>MATRION</t>
        </is>
      </c>
      <c r="L12032">
        <f>_xlfn.XLOOKUP(Tableau1[[#This Row],[TYPE DE PIECE]],Tableau4[MATIERE],Tableau4[SHORT TYPE],"",0,1)</f>
        <v/>
      </c>
      <c r="N12032">
        <f>IF(ISERR(FIND("DECOUPE",Tableau1[[#This Row],[DESIGNATION]])),"","NEED REF")</f>
        <v/>
      </c>
    </row>
    <row r="12033">
      <c r="B12033" t="n">
        <v>34401972</v>
      </c>
      <c r="C12033" s="2" t="n">
        <v>40156</v>
      </c>
      <c r="D12033" t="inlineStr">
        <is>
          <t>NOM</t>
        </is>
      </c>
      <c r="E12033" t="inlineStr">
        <is>
          <t>Nom Option Neutre Coupé 800A 415V</t>
        </is>
      </c>
      <c r="F12033" t="inlineStr">
        <is>
          <t>STS G7000</t>
        </is>
      </c>
      <c r="J12033" t="inlineStr">
        <is>
          <t>MATRION</t>
        </is>
      </c>
      <c r="L12033">
        <f>_xlfn.XLOOKUP(Tableau1[[#This Row],[TYPE DE PIECE]],Tableau4[MATIERE],Tableau4[SHORT TYPE],"",0,1)</f>
        <v/>
      </c>
      <c r="N12033">
        <f>IF(ISERR(FIND("DECOUPE",Tableau1[[#This Row],[DESIGNATION]])),"","NEED REF")</f>
        <v/>
      </c>
    </row>
    <row r="12034">
      <c r="B12034" t="n">
        <v>34401971</v>
      </c>
      <c r="C12034" s="2" t="n">
        <v>40156</v>
      </c>
      <c r="D12034" t="inlineStr">
        <is>
          <t>NOM</t>
        </is>
      </c>
      <c r="E12034" t="inlineStr">
        <is>
          <t>Nom Option Neutre Coupé 800A 400V</t>
        </is>
      </c>
      <c r="F12034" t="inlineStr">
        <is>
          <t>STS G7000</t>
        </is>
      </c>
      <c r="J12034" t="inlineStr">
        <is>
          <t>MATRION</t>
        </is>
      </c>
      <c r="L12034">
        <f>_xlfn.XLOOKUP(Tableau1[[#This Row],[TYPE DE PIECE]],Tableau4[MATIERE],Tableau4[SHORT TYPE],"",0,1)</f>
        <v/>
      </c>
      <c r="N12034">
        <f>IF(ISERR(FIND("DECOUPE",Tableau1[[#This Row],[DESIGNATION]])),"","NEED REF")</f>
        <v/>
      </c>
    </row>
    <row r="12035">
      <c r="B12035" t="n">
        <v>34401970</v>
      </c>
      <c r="C12035" s="2" t="n">
        <v>40156</v>
      </c>
      <c r="D12035" t="inlineStr">
        <is>
          <t>NOM</t>
        </is>
      </c>
      <c r="E12035" t="inlineStr">
        <is>
          <t>Nom Option Neutre Coupé 800A 380V</t>
        </is>
      </c>
      <c r="F12035" t="inlineStr">
        <is>
          <t>STS G7000</t>
        </is>
      </c>
      <c r="J12035" t="inlineStr">
        <is>
          <t>MATRION</t>
        </is>
      </c>
      <c r="L12035">
        <f>_xlfn.XLOOKUP(Tableau1[[#This Row],[TYPE DE PIECE]],Tableau4[MATIERE],Tableau4[SHORT TYPE],"",0,1)</f>
        <v/>
      </c>
      <c r="N12035">
        <f>IF(ISERR(FIND("DECOUPE",Tableau1[[#This Row],[DESIGNATION]])),"","NEED REF")</f>
        <v/>
      </c>
    </row>
    <row r="12036">
      <c r="B12036" t="n">
        <v>34401969</v>
      </c>
      <c r="C12036" s="2" t="n">
        <v>40156</v>
      </c>
      <c r="D12036" t="inlineStr">
        <is>
          <t>NOM</t>
        </is>
      </c>
      <c r="E12036" t="inlineStr">
        <is>
          <t>Nom Modules CS 1000A-1200A</t>
        </is>
      </c>
      <c r="F12036" t="inlineStr">
        <is>
          <t>STS G7000</t>
        </is>
      </c>
      <c r="J12036" t="inlineStr">
        <is>
          <t>MATRION</t>
        </is>
      </c>
      <c r="L12036">
        <f>_xlfn.XLOOKUP(Tableau1[[#This Row],[TYPE DE PIECE]],Tableau4[MATIERE],Tableau4[SHORT TYPE],"",0,1)</f>
        <v/>
      </c>
      <c r="N12036">
        <f>IF(ISERR(FIND("DECOUPE",Tableau1[[#This Row],[DESIGNATION]])),"","NEED REF")</f>
        <v/>
      </c>
    </row>
    <row r="12037">
      <c r="B12037" t="n">
        <v>34401968</v>
      </c>
      <c r="C12037" s="2" t="n">
        <v>40156</v>
      </c>
      <c r="D12037" t="inlineStr">
        <is>
          <t>NOM</t>
        </is>
      </c>
      <c r="E12037" t="inlineStr">
        <is>
          <t>Nom Modules CS 800A</t>
        </is>
      </c>
      <c r="F12037" t="inlineStr">
        <is>
          <t>STS G7000</t>
        </is>
      </c>
      <c r="J12037" t="inlineStr">
        <is>
          <t>MATRION</t>
        </is>
      </c>
      <c r="L12037">
        <f>_xlfn.XLOOKUP(Tableau1[[#This Row],[TYPE DE PIECE]],Tableau4[MATIERE],Tableau4[SHORT TYPE],"",0,1)</f>
        <v/>
      </c>
      <c r="N12037">
        <f>IF(ISERR(FIND("DECOUPE",Tableau1[[#This Row],[DESIGNATION]])),"","NEED REF")</f>
        <v/>
      </c>
    </row>
    <row r="12038">
      <c r="B12038" t="n">
        <v>34401967</v>
      </c>
      <c r="C12038" s="2" t="n">
        <v>40156</v>
      </c>
      <c r="D12038" t="inlineStr">
        <is>
          <t>NOM</t>
        </is>
      </c>
      <c r="E12038" t="inlineStr">
        <is>
          <t>Nom Doc. Commune Pièces à Reprendre</t>
        </is>
      </c>
      <c r="F12038" t="inlineStr">
        <is>
          <t>STS G7000</t>
        </is>
      </c>
      <c r="J12038" t="inlineStr">
        <is>
          <t>MATRION</t>
        </is>
      </c>
      <c r="L12038">
        <f>_xlfn.XLOOKUP(Tableau1[[#This Row],[TYPE DE PIECE]],Tableau4[MATIERE],Tableau4[SHORT TYPE],"",0,1)</f>
        <v/>
      </c>
      <c r="N12038">
        <f>IF(ISERR(FIND("DECOUPE",Tableau1[[#This Row],[DESIGNATION]])),"","NEED REF")</f>
        <v/>
      </c>
    </row>
    <row r="12039">
      <c r="B12039" t="n">
        <v>34401966</v>
      </c>
      <c r="C12039" s="2" t="n">
        <v>40156</v>
      </c>
      <c r="D12039" t="inlineStr">
        <is>
          <t>NOM</t>
        </is>
      </c>
      <c r="E12039" t="inlineStr">
        <is>
          <t>Nom Doc. Commune Cuivres</t>
        </is>
      </c>
      <c r="F12039" t="inlineStr">
        <is>
          <t>STS G7000</t>
        </is>
      </c>
      <c r="J12039" t="inlineStr">
        <is>
          <t>MATRION</t>
        </is>
      </c>
      <c r="L12039">
        <f>_xlfn.XLOOKUP(Tableau1[[#This Row],[TYPE DE PIECE]],Tableau4[MATIERE],Tableau4[SHORT TYPE],"",0,1)</f>
        <v/>
      </c>
      <c r="N12039">
        <f>IF(ISERR(FIND("DECOUPE",Tableau1[[#This Row],[DESIGNATION]])),"","NEED REF")</f>
        <v/>
      </c>
    </row>
    <row r="12040">
      <c r="B12040" t="n">
        <v>34401965</v>
      </c>
      <c r="C12040" s="2" t="n">
        <v>40156</v>
      </c>
      <c r="D12040" t="inlineStr">
        <is>
          <t>NOM</t>
        </is>
      </c>
      <c r="E12040" t="inlineStr">
        <is>
          <t>Nom Commune Filtre RC</t>
        </is>
      </c>
      <c r="F12040" t="inlineStr">
        <is>
          <t>STS G7000</t>
        </is>
      </c>
      <c r="J12040" t="inlineStr">
        <is>
          <t>MATRION</t>
        </is>
      </c>
      <c r="L12040">
        <f>_xlfn.XLOOKUP(Tableau1[[#This Row],[TYPE DE PIECE]],Tableau4[MATIERE],Tableau4[SHORT TYPE],"",0,1)</f>
        <v/>
      </c>
      <c r="N12040">
        <f>IF(ISERR(FIND("DECOUPE",Tableau1[[#This Row],[DESIGNATION]])),"","NEED REF")</f>
        <v/>
      </c>
    </row>
    <row r="12041">
      <c r="B12041" t="n">
        <v>34401964</v>
      </c>
      <c r="C12041" s="2" t="n">
        <v>40156</v>
      </c>
      <c r="D12041" t="inlineStr">
        <is>
          <t>NOM</t>
        </is>
      </c>
      <c r="E12041" t="inlineStr">
        <is>
          <t>Nom Commune Pièces</t>
        </is>
      </c>
      <c r="F12041" t="inlineStr">
        <is>
          <t>STS G7000</t>
        </is>
      </c>
      <c r="J12041" t="inlineStr">
        <is>
          <t>MATRION</t>
        </is>
      </c>
      <c r="L12041">
        <f>_xlfn.XLOOKUP(Tableau1[[#This Row],[TYPE DE PIECE]],Tableau4[MATIERE],Tableau4[SHORT TYPE],"",0,1)</f>
        <v/>
      </c>
      <c r="N12041">
        <f>IF(ISERR(FIND("DECOUPE",Tableau1[[#This Row],[DESIGNATION]])),"","NEED REF")</f>
        <v/>
      </c>
    </row>
    <row r="12042">
      <c r="B12042" t="n">
        <v>34401963</v>
      </c>
      <c r="C12042" s="2" t="n">
        <v>40156</v>
      </c>
      <c r="D12042" t="inlineStr">
        <is>
          <t>NOM</t>
        </is>
      </c>
      <c r="E12042" t="inlineStr">
        <is>
          <t>Nom Commune Chassis STS</t>
        </is>
      </c>
      <c r="F12042" t="inlineStr">
        <is>
          <t>STS G7000</t>
        </is>
      </c>
      <c r="J12042" t="inlineStr">
        <is>
          <t>MATRION</t>
        </is>
      </c>
      <c r="L12042">
        <f>_xlfn.XLOOKUP(Tableau1[[#This Row],[TYPE DE PIECE]],Tableau4[MATIERE],Tableau4[SHORT TYPE],"",0,1)</f>
        <v/>
      </c>
      <c r="N12042">
        <f>IF(ISERR(FIND("DECOUPE",Tableau1[[#This Row],[DESIGNATION]])),"","NEED REF")</f>
        <v/>
      </c>
    </row>
    <row r="12043">
      <c r="B12043" t="n">
        <v>34401962</v>
      </c>
      <c r="C12043" s="2" t="n">
        <v>40156</v>
      </c>
      <c r="D12043" t="inlineStr">
        <is>
          <t>NOM</t>
        </is>
      </c>
      <c r="E12043" t="inlineStr">
        <is>
          <t>Nom Commune S/E Standard STS</t>
        </is>
      </c>
      <c r="F12043" t="inlineStr">
        <is>
          <t>STS G7000</t>
        </is>
      </c>
      <c r="J12043" t="inlineStr">
        <is>
          <t>MATRION</t>
        </is>
      </c>
      <c r="L12043">
        <f>_xlfn.XLOOKUP(Tableau1[[#This Row],[TYPE DE PIECE]],Tableau4[MATIERE],Tableau4[SHORT TYPE],"",0,1)</f>
        <v/>
      </c>
      <c r="N12043">
        <f>IF(ISERR(FIND("DECOUPE",Tableau1[[#This Row],[DESIGNATION]])),"","NEED REF")</f>
        <v/>
      </c>
    </row>
    <row r="12044">
      <c r="B12044" t="n">
        <v>34401961</v>
      </c>
      <c r="C12044" s="2" t="n">
        <v>40156</v>
      </c>
      <c r="D12044" t="inlineStr">
        <is>
          <t>NOM</t>
        </is>
      </c>
      <c r="E12044" t="inlineStr">
        <is>
          <t>Nom Commune STS</t>
        </is>
      </c>
      <c r="F12044" t="inlineStr">
        <is>
          <t>STS G7000</t>
        </is>
      </c>
      <c r="J12044" t="inlineStr">
        <is>
          <t>MATRION</t>
        </is>
      </c>
      <c r="L12044">
        <f>_xlfn.XLOOKUP(Tableau1[[#This Row],[TYPE DE PIECE]],Tableau4[MATIERE],Tableau4[SHORT TYPE],"",0,1)</f>
        <v/>
      </c>
      <c r="N12044">
        <f>IF(ISERR(FIND("DECOUPE",Tableau1[[#This Row],[DESIGNATION]])),"","NEED REF")</f>
        <v/>
      </c>
    </row>
    <row r="12045">
      <c r="B12045" t="n">
        <v>34401960</v>
      </c>
      <c r="C12045" s="2" t="n">
        <v>40156</v>
      </c>
      <c r="D12045" t="inlineStr">
        <is>
          <t>NOM</t>
        </is>
      </c>
      <c r="E12045" t="inlineStr">
        <is>
          <t>Nom Doc. STS1200A LIGHT</t>
        </is>
      </c>
      <c r="F12045" t="inlineStr">
        <is>
          <t>STS G7000</t>
        </is>
      </c>
      <c r="J12045" t="inlineStr">
        <is>
          <t>MATRION</t>
        </is>
      </c>
      <c r="L12045">
        <f>_xlfn.XLOOKUP(Tableau1[[#This Row],[TYPE DE PIECE]],Tableau4[MATIERE],Tableau4[SHORT TYPE],"",0,1)</f>
        <v/>
      </c>
      <c r="N12045">
        <f>IF(ISERR(FIND("DECOUPE",Tableau1[[#This Row],[DESIGNATION]])),"","NEED REF")</f>
        <v/>
      </c>
    </row>
    <row r="12046">
      <c r="B12046" t="n">
        <v>34401959</v>
      </c>
      <c r="C12046" s="2" t="n">
        <v>40156</v>
      </c>
      <c r="D12046" t="inlineStr">
        <is>
          <t>NOM</t>
        </is>
      </c>
      <c r="E12046" t="inlineStr">
        <is>
          <t>Nom Doc. STS1200A COMPLET</t>
        </is>
      </c>
      <c r="F12046" t="inlineStr">
        <is>
          <t>STS G7000</t>
        </is>
      </c>
      <c r="J12046" t="inlineStr">
        <is>
          <t>MATRION</t>
        </is>
      </c>
      <c r="L12046">
        <f>_xlfn.XLOOKUP(Tableau1[[#This Row],[TYPE DE PIECE]],Tableau4[MATIERE],Tableau4[SHORT TYPE],"",0,1)</f>
        <v/>
      </c>
      <c r="N12046">
        <f>IF(ISERR(FIND("DECOUPE",Tableau1[[#This Row],[DESIGNATION]])),"","NEED REF")</f>
        <v/>
      </c>
    </row>
    <row r="12047">
      <c r="B12047" t="n">
        <v>34401958</v>
      </c>
      <c r="C12047" s="2" t="n">
        <v>40156</v>
      </c>
      <c r="D12047" t="inlineStr">
        <is>
          <t>NOM</t>
        </is>
      </c>
      <c r="E12047" t="inlineStr">
        <is>
          <t>Nom Doc. STS1000A LIGHT</t>
        </is>
      </c>
      <c r="F12047" t="inlineStr">
        <is>
          <t>STS G7000</t>
        </is>
      </c>
      <c r="J12047" t="inlineStr">
        <is>
          <t>MATRION</t>
        </is>
      </c>
      <c r="L12047">
        <f>_xlfn.XLOOKUP(Tableau1[[#This Row],[TYPE DE PIECE]],Tableau4[MATIERE],Tableau4[SHORT TYPE],"",0,1)</f>
        <v/>
      </c>
      <c r="N12047">
        <f>IF(ISERR(FIND("DECOUPE",Tableau1[[#This Row],[DESIGNATION]])),"","NEED REF")</f>
        <v/>
      </c>
    </row>
    <row r="12048">
      <c r="B12048" t="n">
        <v>34401957</v>
      </c>
      <c r="C12048" s="2" t="n">
        <v>40156</v>
      </c>
      <c r="D12048" t="inlineStr">
        <is>
          <t>NOM</t>
        </is>
      </c>
      <c r="E12048" t="inlineStr">
        <is>
          <t>Nom Doc. STS1000A COMPLET</t>
        </is>
      </c>
      <c r="F12048" t="inlineStr">
        <is>
          <t>STS G7000</t>
        </is>
      </c>
      <c r="J12048" t="inlineStr">
        <is>
          <t>MATRION</t>
        </is>
      </c>
      <c r="L12048">
        <f>_xlfn.XLOOKUP(Tableau1[[#This Row],[TYPE DE PIECE]],Tableau4[MATIERE],Tableau4[SHORT TYPE],"",0,1)</f>
        <v/>
      </c>
      <c r="N12048">
        <f>IF(ISERR(FIND("DECOUPE",Tableau1[[#This Row],[DESIGNATION]])),"","NEED REF")</f>
        <v/>
      </c>
    </row>
    <row r="12049">
      <c r="B12049" t="n">
        <v>34401956</v>
      </c>
      <c r="C12049" s="2" t="n">
        <v>40156</v>
      </c>
      <c r="D12049" t="inlineStr">
        <is>
          <t>NOM</t>
        </is>
      </c>
      <c r="E12049" t="inlineStr">
        <is>
          <t>Nom Doc. STS800A LIGHT</t>
        </is>
      </c>
      <c r="F12049" t="inlineStr">
        <is>
          <t>STS G7000</t>
        </is>
      </c>
      <c r="J12049" t="inlineStr">
        <is>
          <t>MATRION</t>
        </is>
      </c>
      <c r="L12049">
        <f>_xlfn.XLOOKUP(Tableau1[[#This Row],[TYPE DE PIECE]],Tableau4[MATIERE],Tableau4[SHORT TYPE],"",0,1)</f>
        <v/>
      </c>
      <c r="N12049">
        <f>IF(ISERR(FIND("DECOUPE",Tableau1[[#This Row],[DESIGNATION]])),"","NEED REF")</f>
        <v/>
      </c>
    </row>
    <row r="12050">
      <c r="B12050" t="n">
        <v>34401955</v>
      </c>
      <c r="C12050" s="2" t="n">
        <v>40156</v>
      </c>
      <c r="D12050" t="inlineStr">
        <is>
          <t>NOM</t>
        </is>
      </c>
      <c r="E12050" t="inlineStr">
        <is>
          <t>Nom Doc. STS800A COMPLET</t>
        </is>
      </c>
      <c r="F12050" t="inlineStr">
        <is>
          <t>STS G7000</t>
        </is>
      </c>
      <c r="J12050" t="inlineStr">
        <is>
          <t>MATRION</t>
        </is>
      </c>
      <c r="L12050">
        <f>_xlfn.XLOOKUP(Tableau1[[#This Row],[TYPE DE PIECE]],Tableau4[MATIERE],Tableau4[SHORT TYPE],"",0,1)</f>
        <v/>
      </c>
      <c r="N12050">
        <f>IF(ISERR(FIND("DECOUPE",Tableau1[[#This Row],[DESIGNATION]])),"","NEED REF")</f>
        <v/>
      </c>
    </row>
    <row r="12051">
      <c r="B12051" t="n">
        <v>34401954</v>
      </c>
      <c r="C12051" s="2" t="n">
        <v>40162</v>
      </c>
      <c r="D12051" t="inlineStr">
        <is>
          <t>NOM</t>
        </is>
      </c>
      <c r="E12051" t="inlineStr">
        <is>
          <t>Nom STS LT G7K Peinture à Commission</t>
        </is>
      </c>
      <c r="F12051" t="inlineStr">
        <is>
          <t>STS G7000</t>
        </is>
      </c>
      <c r="J12051" t="inlineStr">
        <is>
          <t>MATRION</t>
        </is>
      </c>
      <c r="L12051">
        <f>_xlfn.XLOOKUP(Tableau1[[#This Row],[TYPE DE PIECE]],Tableau4[MATIERE],Tableau4[SHORT TYPE],"",0,1)</f>
        <v/>
      </c>
      <c r="N12051">
        <f>IF(ISERR(FIND("DECOUPE",Tableau1[[#This Row],[DESIGNATION]])),"","NEED REF")</f>
        <v/>
      </c>
    </row>
    <row r="12052">
      <c r="B12052" t="n">
        <v>34401953</v>
      </c>
      <c r="C12052" s="2" t="n">
        <v>40162</v>
      </c>
      <c r="D12052" t="inlineStr">
        <is>
          <t>NOM</t>
        </is>
      </c>
      <c r="E12052" t="inlineStr">
        <is>
          <t>Nom STS G7K Peinture à Commission</t>
        </is>
      </c>
      <c r="F12052" t="inlineStr">
        <is>
          <t>STS G7000</t>
        </is>
      </c>
      <c r="J12052" t="inlineStr">
        <is>
          <t>MATRION</t>
        </is>
      </c>
      <c r="L12052">
        <f>_xlfn.XLOOKUP(Tableau1[[#This Row],[TYPE DE PIECE]],Tableau4[MATIERE],Tableau4[SHORT TYPE],"",0,1)</f>
        <v/>
      </c>
      <c r="N12052">
        <f>IF(ISERR(FIND("DECOUPE",Tableau1[[#This Row],[DESIGNATION]])),"","NEED REF")</f>
        <v/>
      </c>
    </row>
    <row r="12053">
      <c r="B12053" t="n">
        <v>34401952</v>
      </c>
      <c r="C12053" s="2" t="n">
        <v>40155</v>
      </c>
      <c r="D12053" t="inlineStr">
        <is>
          <t>SPEC</t>
        </is>
      </c>
      <c r="E12053" t="inlineStr">
        <is>
          <t>Pièces d'angle structure Birdy (sans les renforts à 45°)</t>
        </is>
      </c>
      <c r="F12053" t="inlineStr">
        <is>
          <t>G5000-G7000</t>
        </is>
      </c>
      <c r="J12053" t="inlineStr">
        <is>
          <t>MATRION</t>
        </is>
      </c>
      <c r="L12053">
        <f>_xlfn.XLOOKUP(Tableau1[[#This Row],[TYPE DE PIECE]],Tableau4[MATIERE],Tableau4[SHORT TYPE],"",0,1)</f>
        <v/>
      </c>
      <c r="N12053">
        <f>IF(ISERR(FIND("DECOUPE",Tableau1[[#This Row],[DESIGNATION]])),"","NEED REF")</f>
        <v/>
      </c>
    </row>
    <row r="12054">
      <c r="B12054" t="n">
        <v>34401951</v>
      </c>
      <c r="C12054" s="2" t="n">
        <v>40155</v>
      </c>
      <c r="D12054" t="inlineStr">
        <is>
          <t>SPEC</t>
        </is>
      </c>
      <c r="E12054" t="inlineStr">
        <is>
          <t>Support glissière</t>
        </is>
      </c>
      <c r="F12054" t="inlineStr">
        <is>
          <t>G9000</t>
        </is>
      </c>
      <c r="J12054" t="inlineStr">
        <is>
          <t>ROBERT</t>
        </is>
      </c>
      <c r="L12054">
        <f>_xlfn.XLOOKUP(Tableau1[[#This Row],[TYPE DE PIECE]],Tableau4[MATIERE],Tableau4[SHORT TYPE],"",0,1)</f>
        <v/>
      </c>
      <c r="N12054">
        <f>IF(ISERR(FIND("DECOUPE",Tableau1[[#This Row],[DESIGNATION]])),"","NEED REF")</f>
        <v/>
      </c>
    </row>
    <row r="12055">
      <c r="B12055" t="n">
        <v>34401950</v>
      </c>
      <c r="C12055" s="2" t="n">
        <v>40151</v>
      </c>
      <c r="D12055" t="inlineStr">
        <is>
          <t>SPEC</t>
        </is>
      </c>
      <c r="E12055" t="inlineStr">
        <is>
          <t>Détail d'assemblage - Surtoit IP21 - ASI G6000-9000 &gt;= 600kVA</t>
        </is>
      </c>
      <c r="F12055" t="inlineStr">
        <is>
          <t>G6000-G9000</t>
        </is>
      </c>
      <c r="J12055" t="inlineStr">
        <is>
          <t>MATRION</t>
        </is>
      </c>
      <c r="L12055">
        <f>_xlfn.XLOOKUP(Tableau1[[#This Row],[TYPE DE PIECE]],Tableau4[MATIERE],Tableau4[SHORT TYPE],"",0,1)</f>
        <v/>
      </c>
      <c r="N12055">
        <f>IF(ISERR(FIND("DECOUPE",Tableau1[[#This Row],[DESIGNATION]])),"","NEED REF")</f>
        <v/>
      </c>
    </row>
    <row r="12056">
      <c r="B12056" t="n">
        <v>34401949</v>
      </c>
      <c r="C12056" s="2" t="n">
        <v>40151</v>
      </c>
      <c r="D12056" t="inlineStr">
        <is>
          <t>SPEC</t>
        </is>
      </c>
      <c r="E12056" t="inlineStr">
        <is>
          <t>Kit deport TI pour NS G7K</t>
        </is>
      </c>
      <c r="F12056" t="inlineStr">
        <is>
          <t>G7000</t>
        </is>
      </c>
      <c r="J12056" t="inlineStr">
        <is>
          <t>REVEL</t>
        </is>
      </c>
      <c r="L12056">
        <f>_xlfn.XLOOKUP(Tableau1[[#This Row],[TYPE DE PIECE]],Tableau4[MATIERE],Tableau4[SHORT TYPE],"",0,1)</f>
        <v/>
      </c>
      <c r="N12056">
        <f>IF(ISERR(FIND("DECOUPE",Tableau1[[#This Row],[DESIGNATION]])),"","NEED REF")</f>
        <v/>
      </c>
    </row>
    <row r="12057">
      <c r="B12057" t="n">
        <v>34401948</v>
      </c>
      <c r="C12057" s="2" t="n">
        <v>40150</v>
      </c>
      <c r="D12057" t="inlineStr">
        <is>
          <t>SPEC</t>
        </is>
      </c>
      <c r="E12057" t="inlineStr">
        <is>
          <t>Entretoises IP21 (ASI G6K-G9k &gt;= 600kVA) Montage sur réhausse</t>
        </is>
      </c>
      <c r="F12057" t="inlineStr">
        <is>
          <t>G6000-G9000</t>
        </is>
      </c>
      <c r="J12057" t="inlineStr">
        <is>
          <t>MATRION</t>
        </is>
      </c>
      <c r="L12057">
        <f>_xlfn.XLOOKUP(Tableau1[[#This Row],[TYPE DE PIECE]],Tableau4[MATIERE],Tableau4[SHORT TYPE],"",0,1)</f>
        <v/>
      </c>
      <c r="N12057">
        <f>IF(ISERR(FIND("DECOUPE",Tableau1[[#This Row],[DESIGNATION]])),"","NEED REF")</f>
        <v/>
      </c>
    </row>
    <row r="12058">
      <c r="B12058" t="n">
        <v>34401947</v>
      </c>
      <c r="C12058" s="2" t="n">
        <v>40150</v>
      </c>
      <c r="D12058" t="inlineStr">
        <is>
          <t>SPEC</t>
        </is>
      </c>
      <c r="E12058" t="inlineStr">
        <is>
          <t>Jonction de surtoit IP21 (Gaine400 ASI G6K-G9k &gt;= 600kVA)</t>
        </is>
      </c>
      <c r="F12058" t="inlineStr">
        <is>
          <t>G6000-G9000</t>
        </is>
      </c>
      <c r="J12058" t="inlineStr">
        <is>
          <t>MATRION</t>
        </is>
      </c>
      <c r="L12058">
        <f>_xlfn.XLOOKUP(Tableau1[[#This Row],[TYPE DE PIECE]],Tableau4[MATIERE],Tableau4[SHORT TYPE],"",0,1)</f>
        <v/>
      </c>
      <c r="N12058">
        <f>IF(ISERR(FIND("DECOUPE",Tableau1[[#This Row],[DESIGNATION]])),"","NEED REF")</f>
        <v/>
      </c>
    </row>
    <row r="12059">
      <c r="B12059" t="n">
        <v>34401946</v>
      </c>
      <c r="C12059" s="2" t="n">
        <v>40143</v>
      </c>
      <c r="D12059" t="inlineStr">
        <is>
          <t>SPEC</t>
        </is>
      </c>
      <c r="E12059" t="inlineStr">
        <is>
          <t>Kit câbles capas rectiphase THM G600</t>
        </is>
      </c>
      <c r="F12059" t="inlineStr">
        <is>
          <t>THM G600</t>
        </is>
      </c>
      <c r="J12059" t="inlineStr">
        <is>
          <t>MONGELLI</t>
        </is>
      </c>
      <c r="L12059">
        <f>_xlfn.XLOOKUP(Tableau1[[#This Row],[TYPE DE PIECE]],Tableau4[MATIERE],Tableau4[SHORT TYPE],"",0,1)</f>
        <v/>
      </c>
      <c r="N12059">
        <f>IF(ISERR(FIND("DECOUPE",Tableau1[[#This Row],[DESIGNATION]])),"","NEED REF")</f>
        <v/>
      </c>
    </row>
    <row r="12060">
      <c r="B12060" t="n">
        <v>34401945</v>
      </c>
      <c r="C12060" s="2" t="n">
        <v>40143</v>
      </c>
      <c r="D12060" t="inlineStr">
        <is>
          <t>SPEC</t>
        </is>
      </c>
      <c r="E12060" t="inlineStr">
        <is>
          <t>Kit câbles capas rectiphase THM G400</t>
        </is>
      </c>
      <c r="F12060" t="inlineStr">
        <is>
          <t>THM G400</t>
        </is>
      </c>
      <c r="J12060" t="inlineStr">
        <is>
          <t>MONGELLI</t>
        </is>
      </c>
      <c r="L12060">
        <f>_xlfn.XLOOKUP(Tableau1[[#This Row],[TYPE DE PIECE]],Tableau4[MATIERE],Tableau4[SHORT TYPE],"",0,1)</f>
        <v/>
      </c>
      <c r="N12060">
        <f>IF(ISERR(FIND("DECOUPE",Tableau1[[#This Row],[DESIGNATION]])),"","NEED REF")</f>
        <v/>
      </c>
    </row>
    <row r="12061">
      <c r="B12061" t="n">
        <v>34401944</v>
      </c>
      <c r="C12061" s="2" t="n">
        <v>40143</v>
      </c>
      <c r="D12061" t="inlineStr">
        <is>
          <t>SPEC</t>
        </is>
      </c>
      <c r="E12061" t="inlineStr">
        <is>
          <t>Kit câbles capas rectiphase THM G300</t>
        </is>
      </c>
      <c r="F12061" t="inlineStr">
        <is>
          <t>THM G300</t>
        </is>
      </c>
      <c r="J12061" t="inlineStr">
        <is>
          <t>MONGELLI</t>
        </is>
      </c>
      <c r="L12061">
        <f>_xlfn.XLOOKUP(Tableau1[[#This Row],[TYPE DE PIECE]],Tableau4[MATIERE],Tableau4[SHORT TYPE],"",0,1)</f>
        <v/>
      </c>
      <c r="N12061">
        <f>IF(ISERR(FIND("DECOUPE",Tableau1[[#This Row],[DESIGNATION]])),"","NEED REF")</f>
        <v/>
      </c>
    </row>
    <row r="12062">
      <c r="B12062" t="n">
        <v>34401943</v>
      </c>
      <c r="C12062" s="2" t="n">
        <v>40143</v>
      </c>
      <c r="D12062" t="inlineStr">
        <is>
          <t>SPEC</t>
        </is>
      </c>
      <c r="E12062" t="inlineStr">
        <is>
          <t>Kit câbles capas rectiphase THM PW200/THM G200</t>
        </is>
      </c>
      <c r="F12062" t="inlineStr">
        <is>
          <t>THM PW200/THM G200</t>
        </is>
      </c>
      <c r="J12062" t="inlineStr">
        <is>
          <t>MONGELLI</t>
        </is>
      </c>
      <c r="L12062">
        <f>_xlfn.XLOOKUP(Tableau1[[#This Row],[TYPE DE PIECE]],Tableau4[MATIERE],Tableau4[SHORT TYPE],"",0,1)</f>
        <v/>
      </c>
      <c r="N12062">
        <f>IF(ISERR(FIND("DECOUPE",Tableau1[[#This Row],[DESIGNATION]])),"","NEED REF")</f>
        <v/>
      </c>
    </row>
    <row r="12063">
      <c r="B12063" t="n">
        <v>34401942</v>
      </c>
      <c r="C12063" s="2" t="n">
        <v>40140</v>
      </c>
      <c r="D12063" t="inlineStr">
        <is>
          <t>SPEC</t>
        </is>
      </c>
      <c r="E12063" t="inlineStr">
        <is>
          <t>Entretoise fermeture porte</t>
        </is>
      </c>
      <c r="F12063" t="inlineStr">
        <is>
          <t>G5000</t>
        </is>
      </c>
      <c r="J12063" t="inlineStr">
        <is>
          <t>ROBERT</t>
        </is>
      </c>
      <c r="L12063">
        <f>_xlfn.XLOOKUP(Tableau1[[#This Row],[TYPE DE PIECE]],Tableau4[MATIERE],Tableau4[SHORT TYPE],"",0,1)</f>
        <v/>
      </c>
      <c r="N12063">
        <f>IF(ISERR(FIND("DECOUPE",Tableau1[[#This Row],[DESIGNATION]])),"","NEED REF")</f>
        <v/>
      </c>
    </row>
    <row r="12064">
      <c r="B12064" t="n">
        <v>34401941</v>
      </c>
      <c r="C12064" s="2" t="n">
        <v>40140</v>
      </c>
      <c r="D12064" t="inlineStr">
        <is>
          <t>SPEC</t>
        </is>
      </c>
      <c r="E12064" t="inlineStr">
        <is>
          <t>Equerre latérale (vibration)</t>
        </is>
      </c>
      <c r="F12064" t="inlineStr">
        <is>
          <t>G5000</t>
        </is>
      </c>
      <c r="J12064" t="inlineStr">
        <is>
          <t>ROBERT</t>
        </is>
      </c>
      <c r="L12064">
        <f>_xlfn.XLOOKUP(Tableau1[[#This Row],[TYPE DE PIECE]],Tableau4[MATIERE],Tableau4[SHORT TYPE],"",0,1)</f>
        <v/>
      </c>
      <c r="N12064">
        <f>IF(ISERR(FIND("DECOUPE",Tableau1[[#This Row],[DESIGNATION]])),"","NEED REF")</f>
        <v/>
      </c>
    </row>
    <row r="12065">
      <c r="B12065" t="n">
        <v>34401940</v>
      </c>
      <c r="C12065" s="2" t="n">
        <v>40137</v>
      </c>
      <c r="D12065" t="inlineStr">
        <is>
          <t>NOM</t>
        </is>
      </c>
      <c r="E12065" t="inlineStr">
        <is>
          <t>Lg skid G5000 ASI+AUX 712 nouvelle version BV</t>
        </is>
      </c>
      <c r="F12065" t="inlineStr">
        <is>
          <t>G5000</t>
        </is>
      </c>
      <c r="J12065" t="inlineStr">
        <is>
          <t>ROBERT</t>
        </is>
      </c>
      <c r="L12065">
        <f>_xlfn.XLOOKUP(Tableau1[[#This Row],[TYPE DE PIECE]],Tableau4[MATIERE],Tableau4[SHORT TYPE],"",0,1)</f>
        <v/>
      </c>
      <c r="N12065">
        <f>IF(ISERR(FIND("DECOUPE",Tableau1[[#This Row],[DESIGNATION]])),"","NEED REF")</f>
        <v/>
      </c>
    </row>
    <row r="12066">
      <c r="B12066" t="n">
        <v>34401939</v>
      </c>
      <c r="C12066" s="2" t="n">
        <v>40135</v>
      </c>
      <c r="D12066" t="inlineStr">
        <is>
          <t>SPEC</t>
        </is>
      </c>
      <c r="E12066" t="inlineStr">
        <is>
          <t>Barre cuivre 25 x 5 capas THM G400</t>
        </is>
      </c>
      <c r="F12066" t="inlineStr">
        <is>
          <t>THM G400</t>
        </is>
      </c>
      <c r="J12066" t="inlineStr">
        <is>
          <t>MONGELLI</t>
        </is>
      </c>
      <c r="L12066">
        <f>_xlfn.XLOOKUP(Tableau1[[#This Row],[TYPE DE PIECE]],Tableau4[MATIERE],Tableau4[SHORT TYPE],"",0,1)</f>
        <v/>
      </c>
      <c r="N12066">
        <f>IF(ISERR(FIND("DECOUPE",Tableau1[[#This Row],[DESIGNATION]])),"","NEED REF")</f>
        <v/>
      </c>
    </row>
    <row r="12067">
      <c r="B12067" t="n">
        <v>34401938</v>
      </c>
      <c r="C12067" s="2" t="n">
        <v>40134</v>
      </c>
      <c r="D12067" t="inlineStr">
        <is>
          <t>SPEC</t>
        </is>
      </c>
      <c r="E12067" t="inlineStr">
        <is>
          <t>Support document cellule de 400</t>
        </is>
      </c>
      <c r="F12067" t="inlineStr">
        <is>
          <t>gaine g5000</t>
        </is>
      </c>
      <c r="J12067" t="inlineStr">
        <is>
          <t>ROBERT</t>
        </is>
      </c>
      <c r="L12067">
        <f>_xlfn.XLOOKUP(Tableau1[[#This Row],[TYPE DE PIECE]],Tableau4[MATIERE],Tableau4[SHORT TYPE],"",0,1)</f>
        <v/>
      </c>
      <c r="N12067">
        <f>IF(ISERR(FIND("DECOUPE",Tableau1[[#This Row],[DESIGNATION]])),"","NEED REF")</f>
        <v/>
      </c>
    </row>
    <row r="12068">
      <c r="B12068" t="n">
        <v>34401937</v>
      </c>
      <c r="C12068" s="2" t="n">
        <v>40133</v>
      </c>
      <c r="D12068" t="inlineStr">
        <is>
          <t>SPEC</t>
        </is>
      </c>
      <c r="E12068" t="inlineStr">
        <is>
          <t>Support document</t>
        </is>
      </c>
      <c r="F12068" t="inlineStr">
        <is>
          <t>gaine g5000</t>
        </is>
      </c>
      <c r="J12068" t="inlineStr">
        <is>
          <t>ROBERT</t>
        </is>
      </c>
      <c r="L12068">
        <f>_xlfn.XLOOKUP(Tableau1[[#This Row],[TYPE DE PIECE]],Tableau4[MATIERE],Tableau4[SHORT TYPE],"",0,1)</f>
        <v/>
      </c>
      <c r="N12068">
        <f>IF(ISERR(FIND("DECOUPE",Tableau1[[#This Row],[DESIGNATION]])),"","NEED REF")</f>
        <v/>
      </c>
    </row>
    <row r="12069">
      <c r="B12069" t="n">
        <v>34401936</v>
      </c>
      <c r="C12069" s="2" t="n">
        <v>40133</v>
      </c>
      <c r="D12069" t="inlineStr">
        <is>
          <t>SPEC</t>
        </is>
      </c>
      <c r="E12069" t="inlineStr">
        <is>
          <t>Dossier de montage remplacement capas rectiphase THM G400 sur site</t>
        </is>
      </c>
      <c r="F12069" t="inlineStr">
        <is>
          <t xml:space="preserve">THM G400 </t>
        </is>
      </c>
      <c r="J12069" t="inlineStr">
        <is>
          <t>MONGELLI</t>
        </is>
      </c>
      <c r="L12069">
        <f>_xlfn.XLOOKUP(Tableau1[[#This Row],[TYPE DE PIECE]],Tableau4[MATIERE],Tableau4[SHORT TYPE],"",0,1)</f>
        <v/>
      </c>
      <c r="N12069">
        <f>IF(ISERR(FIND("DECOUPE",Tableau1[[#This Row],[DESIGNATION]])),"","NEED REF")</f>
        <v/>
      </c>
    </row>
    <row r="12070">
      <c r="B12070" t="n">
        <v>34401935</v>
      </c>
      <c r="C12070" s="2" t="n">
        <v>40133</v>
      </c>
      <c r="D12070" t="inlineStr">
        <is>
          <t>SPEC</t>
        </is>
      </c>
      <c r="E12070" t="inlineStr">
        <is>
          <t>Dossier de montage remplacement capas rectiphase THM G300 sur site</t>
        </is>
      </c>
      <c r="F12070" t="inlineStr">
        <is>
          <t xml:space="preserve">THM G300  </t>
        </is>
      </c>
      <c r="J12070" t="inlineStr">
        <is>
          <t>MONGELLI</t>
        </is>
      </c>
      <c r="L12070">
        <f>_xlfn.XLOOKUP(Tableau1[[#This Row],[TYPE DE PIECE]],Tableau4[MATIERE],Tableau4[SHORT TYPE],"",0,1)</f>
        <v/>
      </c>
      <c r="N12070">
        <f>IF(ISERR(FIND("DECOUPE",Tableau1[[#This Row],[DESIGNATION]])),"","NEED REF")</f>
        <v/>
      </c>
    </row>
    <row r="12071">
      <c r="B12071" t="n">
        <v>34401934</v>
      </c>
      <c r="C12071" s="2" t="n">
        <v>40133</v>
      </c>
      <c r="D12071" t="inlineStr">
        <is>
          <t>SPEC</t>
        </is>
      </c>
      <c r="E12071" t="inlineStr">
        <is>
          <t>Dossier de montage remplacement capas rectiphase THM G200 sur site</t>
        </is>
      </c>
      <c r="F12071" t="inlineStr">
        <is>
          <t xml:space="preserve">THM G200  </t>
        </is>
      </c>
      <c r="J12071" t="inlineStr">
        <is>
          <t>MONGELLI</t>
        </is>
      </c>
      <c r="L12071">
        <f>_xlfn.XLOOKUP(Tableau1[[#This Row],[TYPE DE PIECE]],Tableau4[MATIERE],Tableau4[SHORT TYPE],"",0,1)</f>
        <v/>
      </c>
      <c r="N12071">
        <f>IF(ISERR(FIND("DECOUPE",Tableau1[[#This Row],[DESIGNATION]])),"","NEED REF")</f>
        <v/>
      </c>
    </row>
    <row r="12072">
      <c r="B12072" t="n">
        <v>34401933</v>
      </c>
      <c r="C12072" s="2" t="n">
        <v>40130</v>
      </c>
      <c r="D12072" t="inlineStr">
        <is>
          <t>SPEC</t>
        </is>
      </c>
      <c r="E12072" t="inlineStr">
        <is>
          <t>Support CAPA Horizontal BAS THM G400</t>
        </is>
      </c>
      <c r="F12072" t="inlineStr">
        <is>
          <t>THM G400</t>
        </is>
      </c>
      <c r="J12072" t="inlineStr">
        <is>
          <t>ROGEAT</t>
        </is>
      </c>
      <c r="L12072">
        <f>_xlfn.XLOOKUP(Tableau1[[#This Row],[TYPE DE PIECE]],Tableau4[MATIERE],Tableau4[SHORT TYPE],"",0,1)</f>
        <v/>
      </c>
      <c r="N12072">
        <f>IF(ISERR(FIND("DECOUPE",Tableau1[[#This Row],[DESIGNATION]])),"","NEED REF")</f>
        <v/>
      </c>
    </row>
    <row r="12073">
      <c r="B12073" t="n">
        <v>34401932</v>
      </c>
      <c r="C12073" s="2" t="n">
        <v>40130</v>
      </c>
      <c r="D12073" t="inlineStr">
        <is>
          <t>SPEC</t>
        </is>
      </c>
      <c r="E12073" t="inlineStr">
        <is>
          <t>Support CAPA Horizontal MILIEU THM G400</t>
        </is>
      </c>
      <c r="F12073" t="inlineStr">
        <is>
          <t>THM G400</t>
        </is>
      </c>
      <c r="J12073" t="inlineStr">
        <is>
          <t>ROGEAT</t>
        </is>
      </c>
      <c r="L12073">
        <f>_xlfn.XLOOKUP(Tableau1[[#This Row],[TYPE DE PIECE]],Tableau4[MATIERE],Tableau4[SHORT TYPE],"",0,1)</f>
        <v/>
      </c>
      <c r="N12073">
        <f>IF(ISERR(FIND("DECOUPE",Tableau1[[#This Row],[DESIGNATION]])),"","NEED REF")</f>
        <v/>
      </c>
    </row>
    <row r="12074">
      <c r="B12074" t="n">
        <v>34401931</v>
      </c>
      <c r="C12074" s="2" t="n">
        <v>40130</v>
      </c>
      <c r="D12074" t="inlineStr">
        <is>
          <t>SPEC</t>
        </is>
      </c>
      <c r="E12074" t="inlineStr">
        <is>
          <t>Support CAPA Horizontal HAUT THM G400</t>
        </is>
      </c>
      <c r="F12074" t="inlineStr">
        <is>
          <t>THM G400</t>
        </is>
      </c>
      <c r="J12074" t="inlineStr">
        <is>
          <t>ROGEAT</t>
        </is>
      </c>
      <c r="L12074">
        <f>_xlfn.XLOOKUP(Tableau1[[#This Row],[TYPE DE PIECE]],Tableau4[MATIERE],Tableau4[SHORT TYPE],"",0,1)</f>
        <v/>
      </c>
      <c r="N12074">
        <f>IF(ISERR(FIND("DECOUPE",Tableau1[[#This Row],[DESIGNATION]])),"","NEED REF")</f>
        <v/>
      </c>
    </row>
    <row r="12075">
      <c r="B12075" t="n">
        <v>34401930</v>
      </c>
      <c r="C12075" s="2" t="n">
        <v>40130</v>
      </c>
      <c r="D12075" t="inlineStr">
        <is>
          <t>SPEC</t>
        </is>
      </c>
      <c r="E12075" t="inlineStr">
        <is>
          <t>Support CAPA Horizontal BAS THM G300/THM G200</t>
        </is>
      </c>
      <c r="F12075" t="inlineStr">
        <is>
          <t>THM G300 et THM G200</t>
        </is>
      </c>
      <c r="J12075" t="inlineStr">
        <is>
          <t>ROGEAT</t>
        </is>
      </c>
      <c r="L12075">
        <f>_xlfn.XLOOKUP(Tableau1[[#This Row],[TYPE DE PIECE]],Tableau4[MATIERE],Tableau4[SHORT TYPE],"",0,1)</f>
        <v/>
      </c>
      <c r="N12075">
        <f>IF(ISERR(FIND("DECOUPE",Tableau1[[#This Row],[DESIGNATION]])),"","NEED REF")</f>
        <v/>
      </c>
    </row>
    <row r="12076">
      <c r="B12076" t="n">
        <v>34401929</v>
      </c>
      <c r="C12076" s="2" t="n">
        <v>40130</v>
      </c>
      <c r="D12076" t="inlineStr">
        <is>
          <t>SPEC</t>
        </is>
      </c>
      <c r="E12076" t="inlineStr">
        <is>
          <t>Support CAPA Horizontal HAUT THM G300/THM G200</t>
        </is>
      </c>
      <c r="F12076" t="inlineStr">
        <is>
          <t>THM G300 et THM G200</t>
        </is>
      </c>
      <c r="J12076" t="inlineStr">
        <is>
          <t>ROGEAT</t>
        </is>
      </c>
      <c r="L12076">
        <f>_xlfn.XLOOKUP(Tableau1[[#This Row],[TYPE DE PIECE]],Tableau4[MATIERE],Tableau4[SHORT TYPE],"",0,1)</f>
        <v/>
      </c>
      <c r="N12076">
        <f>IF(ISERR(FIND("DECOUPE",Tableau1[[#This Row],[DESIGNATION]])),"","NEED REF")</f>
        <v/>
      </c>
    </row>
    <row r="12077">
      <c r="B12077" t="n">
        <v>34401928</v>
      </c>
      <c r="C12077" s="2" t="n">
        <v>40130</v>
      </c>
      <c r="D12077" t="inlineStr">
        <is>
          <t>SPEC</t>
        </is>
      </c>
      <c r="E12077" t="inlineStr">
        <is>
          <t>Support CAPA droit BAS C15 bas+SW bas droite THM G600</t>
        </is>
      </c>
      <c r="F12077" t="inlineStr">
        <is>
          <t>THM G600</t>
        </is>
      </c>
      <c r="J12077" t="inlineStr">
        <is>
          <t>ROGEAT</t>
        </is>
      </c>
      <c r="L12077">
        <f>_xlfn.XLOOKUP(Tableau1[[#This Row],[TYPE DE PIECE]],Tableau4[MATIERE],Tableau4[SHORT TYPE],"",0,1)</f>
        <v/>
      </c>
      <c r="N12077">
        <f>IF(ISERR(FIND("DECOUPE",Tableau1[[#This Row],[DESIGNATION]])),"","NEED REF")</f>
        <v/>
      </c>
    </row>
    <row r="12078">
      <c r="B12078" t="n">
        <v>34401927</v>
      </c>
      <c r="C12078" s="2" t="n">
        <v>40130</v>
      </c>
      <c r="D12078" t="inlineStr">
        <is>
          <t>SPEC</t>
        </is>
      </c>
      <c r="E12078" t="inlineStr">
        <is>
          <t>Support CAPA droit BAS C15 haut THM G600</t>
        </is>
      </c>
      <c r="F12078" t="inlineStr">
        <is>
          <t>THM G600</t>
        </is>
      </c>
      <c r="J12078" t="inlineStr">
        <is>
          <t>ROGEAT</t>
        </is>
      </c>
      <c r="L12078">
        <f>_xlfn.XLOOKUP(Tableau1[[#This Row],[TYPE DE PIECE]],Tableau4[MATIERE],Tableau4[SHORT TYPE],"",0,1)</f>
        <v/>
      </c>
      <c r="N12078">
        <f>IF(ISERR(FIND("DECOUPE",Tableau1[[#This Row],[DESIGNATION]])),"","NEED REF")</f>
        <v/>
      </c>
    </row>
    <row r="12079">
      <c r="B12079" t="n">
        <v>34401926</v>
      </c>
      <c r="C12079" s="2" t="n">
        <v>40130</v>
      </c>
      <c r="D12079" t="inlineStr">
        <is>
          <t>SPEC</t>
        </is>
      </c>
      <c r="E12079" t="inlineStr">
        <is>
          <t>Support CAPA droit HAUT C14 bas THM G600</t>
        </is>
      </c>
      <c r="F12079" t="inlineStr">
        <is>
          <t>THM G600</t>
        </is>
      </c>
      <c r="J12079" t="inlineStr">
        <is>
          <t>ROGEAT</t>
        </is>
      </c>
      <c r="L12079">
        <f>_xlfn.XLOOKUP(Tableau1[[#This Row],[TYPE DE PIECE]],Tableau4[MATIERE],Tableau4[SHORT TYPE],"",0,1)</f>
        <v/>
      </c>
      <c r="N12079">
        <f>IF(ISERR(FIND("DECOUPE",Tableau1[[#This Row],[DESIGNATION]])),"","NEED REF")</f>
        <v/>
      </c>
    </row>
    <row r="12080">
      <c r="B12080" t="n">
        <v>34401925</v>
      </c>
      <c r="C12080" s="2" t="n">
        <v>40130</v>
      </c>
      <c r="D12080" t="inlineStr">
        <is>
          <t>SPEC</t>
        </is>
      </c>
      <c r="E12080" t="inlineStr">
        <is>
          <t>Support CAPA droit HAUT C14 haut THM G600</t>
        </is>
      </c>
      <c r="F12080" t="inlineStr">
        <is>
          <t>THM G600</t>
        </is>
      </c>
      <c r="J12080" t="inlineStr">
        <is>
          <t>ROGEAT</t>
        </is>
      </c>
      <c r="L12080">
        <f>_xlfn.XLOOKUP(Tableau1[[#This Row],[TYPE DE PIECE]],Tableau4[MATIERE],Tableau4[SHORT TYPE],"",0,1)</f>
        <v/>
      </c>
      <c r="N12080">
        <f>IF(ISERR(FIND("DECOUPE",Tableau1[[#This Row],[DESIGNATION]])),"","NEED REF")</f>
        <v/>
      </c>
    </row>
    <row r="12081">
      <c r="B12081" t="n">
        <v>34401924</v>
      </c>
      <c r="C12081" s="2" t="n">
        <v>40130</v>
      </c>
      <c r="D12081" t="inlineStr">
        <is>
          <t>SPEC</t>
        </is>
      </c>
      <c r="E12081" t="inlineStr">
        <is>
          <t>Support CAPA arrière BAS THM G600</t>
        </is>
      </c>
      <c r="F12081" t="inlineStr">
        <is>
          <t>THM G600</t>
        </is>
      </c>
      <c r="J12081" t="inlineStr">
        <is>
          <t>ROGEAT</t>
        </is>
      </c>
      <c r="L12081">
        <f>_xlfn.XLOOKUP(Tableau1[[#This Row],[TYPE DE PIECE]],Tableau4[MATIERE],Tableau4[SHORT TYPE],"",0,1)</f>
        <v/>
      </c>
      <c r="N12081">
        <f>IF(ISERR(FIND("DECOUPE",Tableau1[[#This Row],[DESIGNATION]])),"","NEED REF")</f>
        <v/>
      </c>
    </row>
    <row r="12082">
      <c r="B12082" t="n">
        <v>34401923</v>
      </c>
      <c r="C12082" s="2" t="n">
        <v>40130</v>
      </c>
      <c r="D12082" t="inlineStr">
        <is>
          <t>SPEC</t>
        </is>
      </c>
      <c r="E12082" t="inlineStr">
        <is>
          <t>Support CAPA arrière MILIEU THM G600</t>
        </is>
      </c>
      <c r="F12082" t="inlineStr">
        <is>
          <t>THM G600</t>
        </is>
      </c>
      <c r="J12082" t="inlineStr">
        <is>
          <t>ROGEAT</t>
        </is>
      </c>
      <c r="L12082">
        <f>_xlfn.XLOOKUP(Tableau1[[#This Row],[TYPE DE PIECE]],Tableau4[MATIERE],Tableau4[SHORT TYPE],"",0,1)</f>
        <v/>
      </c>
      <c r="N12082">
        <f>IF(ISERR(FIND("DECOUPE",Tableau1[[#This Row],[DESIGNATION]])),"","NEED REF")</f>
        <v/>
      </c>
    </row>
    <row r="12083">
      <c r="B12083" t="n">
        <v>34401922</v>
      </c>
      <c r="C12083" s="2" t="n">
        <v>40130</v>
      </c>
      <c r="D12083" t="inlineStr">
        <is>
          <t>SPEC</t>
        </is>
      </c>
      <c r="E12083" t="inlineStr">
        <is>
          <t>Support CAPA arrière HAUT THM G600</t>
        </is>
      </c>
      <c r="F12083" t="inlineStr">
        <is>
          <t>THM G600</t>
        </is>
      </c>
      <c r="J12083" t="inlineStr">
        <is>
          <t>ROGEAT</t>
        </is>
      </c>
      <c r="L12083">
        <f>_xlfn.XLOOKUP(Tableau1[[#This Row],[TYPE DE PIECE]],Tableau4[MATIERE],Tableau4[SHORT TYPE],"",0,1)</f>
        <v/>
      </c>
      <c r="N12083">
        <f>IF(ISERR(FIND("DECOUPE",Tableau1[[#This Row],[DESIGNATION]])),"","NEED REF")</f>
        <v/>
      </c>
    </row>
    <row r="12084">
      <c r="B12084" t="n">
        <v>34401921</v>
      </c>
      <c r="C12084" s="2" t="n">
        <v>40130</v>
      </c>
      <c r="D12084" t="inlineStr">
        <is>
          <t>SPEC</t>
        </is>
      </c>
      <c r="E12084" t="inlineStr">
        <is>
          <t>Montant arrière CAPA Vertical THM G600</t>
        </is>
      </c>
      <c r="F12084" t="inlineStr">
        <is>
          <t>THM G600</t>
        </is>
      </c>
      <c r="J12084" t="inlineStr">
        <is>
          <t>ROGEAT</t>
        </is>
      </c>
      <c r="L12084">
        <f>_xlfn.XLOOKUP(Tableau1[[#This Row],[TYPE DE PIECE]],Tableau4[MATIERE],Tableau4[SHORT TYPE],"",0,1)</f>
        <v/>
      </c>
      <c r="N12084">
        <f>IF(ISERR(FIND("DECOUPE",Tableau1[[#This Row],[DESIGNATION]])),"","NEED REF")</f>
        <v/>
      </c>
    </row>
    <row r="12085">
      <c r="B12085" t="n">
        <v>34401920</v>
      </c>
      <c r="C12085" s="2" t="n">
        <v>40130</v>
      </c>
      <c r="D12085" t="inlineStr">
        <is>
          <t>SPEC</t>
        </is>
      </c>
      <c r="E12085" t="inlineStr">
        <is>
          <t>CARTE CVTZ modif pour ventilo Semikron</t>
        </is>
      </c>
      <c r="F12085" t="inlineStr">
        <is>
          <t xml:space="preserve">NS2000 G7K </t>
        </is>
      </c>
      <c r="J12085" t="inlineStr">
        <is>
          <t>REVEL</t>
        </is>
      </c>
      <c r="L12085">
        <f>_xlfn.XLOOKUP(Tableau1[[#This Row],[TYPE DE PIECE]],Tableau4[MATIERE],Tableau4[SHORT TYPE],"",0,1)</f>
        <v/>
      </c>
      <c r="N12085">
        <f>IF(ISERR(FIND("DECOUPE",Tableau1[[#This Row],[DESIGNATION]])),"","NEED REF")</f>
        <v/>
      </c>
    </row>
    <row r="12086">
      <c r="B12086" t="n">
        <v>34401919</v>
      </c>
      <c r="C12086" s="2" t="n">
        <v>40129</v>
      </c>
      <c r="D12086" t="inlineStr">
        <is>
          <t>SPEC</t>
        </is>
      </c>
      <c r="E12086" t="inlineStr">
        <is>
          <t>Support CAPA Horizontal BAS THM PW200</t>
        </is>
      </c>
      <c r="F12086" t="inlineStr">
        <is>
          <t>THM PW200</t>
        </is>
      </c>
      <c r="J12086" t="inlineStr">
        <is>
          <t>ROGEAT</t>
        </is>
      </c>
      <c r="L12086">
        <f>_xlfn.XLOOKUP(Tableau1[[#This Row],[TYPE DE PIECE]],Tableau4[MATIERE],Tableau4[SHORT TYPE],"",0,1)</f>
        <v/>
      </c>
      <c r="N12086">
        <f>IF(ISERR(FIND("DECOUPE",Tableau1[[#This Row],[DESIGNATION]])),"","NEED REF")</f>
        <v/>
      </c>
    </row>
    <row r="12087">
      <c r="B12087" t="n">
        <v>34401918</v>
      </c>
      <c r="C12087" s="2" t="n">
        <v>40129</v>
      </c>
      <c r="D12087" t="inlineStr">
        <is>
          <t>SPEC</t>
        </is>
      </c>
      <c r="E12087" t="inlineStr">
        <is>
          <t>Support CAPA Horizontal HAUT THM PW200</t>
        </is>
      </c>
      <c r="F12087" t="inlineStr">
        <is>
          <t>THM PW200</t>
        </is>
      </c>
      <c r="J12087" t="inlineStr">
        <is>
          <t>ROGEAT</t>
        </is>
      </c>
      <c r="L12087">
        <f>_xlfn.XLOOKUP(Tableau1[[#This Row],[TYPE DE PIECE]],Tableau4[MATIERE],Tableau4[SHORT TYPE],"",0,1)</f>
        <v/>
      </c>
      <c r="N12087">
        <f>IF(ISERR(FIND("DECOUPE",Tableau1[[#This Row],[DESIGNATION]])),"","NEED REF")</f>
        <v/>
      </c>
    </row>
    <row r="12088">
      <c r="B12088" t="n">
        <v>34401917</v>
      </c>
      <c r="C12088" s="2" t="n">
        <v>40129</v>
      </c>
      <c r="D12088" t="inlineStr">
        <is>
          <t>CDC</t>
        </is>
      </c>
      <c r="E12088" t="inlineStr">
        <is>
          <t xml:space="preserve">PMM 120 DT40 32A C + Vigi 30mA </t>
        </is>
      </c>
      <c r="F12088" t="inlineStr">
        <is>
          <t xml:space="preserve">SAREL </t>
        </is>
      </c>
      <c r="J12088" t="inlineStr">
        <is>
          <t>ÇAKIR</t>
        </is>
      </c>
      <c r="L12088">
        <f>_xlfn.XLOOKUP(Tableau1[[#This Row],[TYPE DE PIECE]],Tableau4[MATIERE],Tableau4[SHORT TYPE],"",0,1)</f>
        <v/>
      </c>
      <c r="N12088">
        <f>IF(ISERR(FIND("DECOUPE",Tableau1[[#This Row],[DESIGNATION]])),"","NEED REF")</f>
        <v/>
      </c>
    </row>
    <row r="12089">
      <c r="B12089" t="n">
        <v>34401916</v>
      </c>
      <c r="C12089" s="2" t="n">
        <v>40126</v>
      </c>
      <c r="D12089" t="inlineStr">
        <is>
          <t>SPEC</t>
        </is>
      </c>
      <c r="E12089" t="inlineStr">
        <is>
          <t>Dossier de montage remplacement capas rectiphase THM PW200 sur site</t>
        </is>
      </c>
      <c r="F12089" t="inlineStr">
        <is>
          <t>TMM PW160/200</t>
        </is>
      </c>
      <c r="J12089" t="inlineStr">
        <is>
          <t>MONGELLI</t>
        </is>
      </c>
      <c r="L12089">
        <f>_xlfn.XLOOKUP(Tableau1[[#This Row],[TYPE DE PIECE]],Tableau4[MATIERE],Tableau4[SHORT TYPE],"",0,1)</f>
        <v/>
      </c>
      <c r="N12089">
        <f>IF(ISERR(FIND("DECOUPE",Tableau1[[#This Row],[DESIGNATION]])),"","NEED REF")</f>
        <v/>
      </c>
    </row>
    <row r="12090">
      <c r="B12090" t="n">
        <v>34401915</v>
      </c>
      <c r="C12090" s="2" t="n">
        <v>40121</v>
      </c>
      <c r="D12090" t="inlineStr">
        <is>
          <t>SPEC</t>
        </is>
      </c>
      <c r="E12090" t="inlineStr">
        <is>
          <t>Dossier de montage remplacement capas rectiphase THM G600 sur site</t>
        </is>
      </c>
      <c r="F12090" t="inlineStr">
        <is>
          <t>THM G600</t>
        </is>
      </c>
      <c r="J12090" t="inlineStr">
        <is>
          <t>MONGELLI</t>
        </is>
      </c>
      <c r="L12090">
        <f>_xlfn.XLOOKUP(Tableau1[[#This Row],[TYPE DE PIECE]],Tableau4[MATIERE],Tableau4[SHORT TYPE],"",0,1)</f>
        <v/>
      </c>
      <c r="N12090">
        <f>IF(ISERR(FIND("DECOUPE",Tableau1[[#This Row],[DESIGNATION]])),"","NEED REF")</f>
        <v/>
      </c>
    </row>
    <row r="12091">
      <c r="B12091" t="n">
        <v>34401914</v>
      </c>
      <c r="C12091" s="2" t="n">
        <v>40108</v>
      </c>
      <c r="D12091" t="inlineStr">
        <is>
          <t>CDC</t>
        </is>
      </c>
      <c r="E12091" t="inlineStr">
        <is>
          <t>Armoire couplage pour 3 G7k 300kVA en armoire prisma</t>
        </is>
      </c>
      <c r="F12091" t="inlineStr">
        <is>
          <t xml:space="preserve">G7K </t>
        </is>
      </c>
      <c r="J12091" t="inlineStr">
        <is>
          <t>REVEL</t>
        </is>
      </c>
      <c r="L12091">
        <f>_xlfn.XLOOKUP(Tableau1[[#This Row],[TYPE DE PIECE]],Tableau4[MATIERE],Tableau4[SHORT TYPE],"",0,1)</f>
        <v/>
      </c>
      <c r="N12091">
        <f>IF(ISERR(FIND("DECOUPE",Tableau1[[#This Row],[DESIGNATION]])),"","NEED REF")</f>
        <v/>
      </c>
    </row>
    <row r="12092">
      <c r="B12092" t="n">
        <v>34401913</v>
      </c>
      <c r="C12092" s="2" t="n">
        <v>40107</v>
      </c>
      <c r="D12092" t="inlineStr">
        <is>
          <t>SPEC</t>
        </is>
      </c>
      <c r="E12092" t="inlineStr">
        <is>
          <t>OPTION PROFIBUS PW 1000</t>
        </is>
      </c>
      <c r="F12092" t="inlineStr">
        <is>
          <t>PW 1000</t>
        </is>
      </c>
      <c r="J12092" t="inlineStr">
        <is>
          <t>FOLTZ</t>
        </is>
      </c>
      <c r="L12092">
        <f>_xlfn.XLOOKUP(Tableau1[[#This Row],[TYPE DE PIECE]],Tableau4[MATIERE],Tableau4[SHORT TYPE],"",0,1)</f>
        <v/>
      </c>
      <c r="N12092">
        <f>IF(ISERR(FIND("DECOUPE",Tableau1[[#This Row],[DESIGNATION]])),"","NEED REF")</f>
        <v/>
      </c>
    </row>
    <row r="12093">
      <c r="B12093" t="n">
        <v>34401912</v>
      </c>
      <c r="C12093" s="2" t="n">
        <v>40105</v>
      </c>
      <c r="D12093" t="inlineStr">
        <is>
          <t>CDC</t>
        </is>
      </c>
      <c r="E12093" t="inlineStr">
        <is>
          <t>NS 2000kVA a Contacteur Statique</t>
        </is>
      </c>
      <c r="F12093" t="inlineStr">
        <is>
          <t xml:space="preserve">G7K </t>
        </is>
      </c>
      <c r="J12093" t="inlineStr">
        <is>
          <t>REVEL</t>
        </is>
      </c>
      <c r="L12093">
        <f>_xlfn.XLOOKUP(Tableau1[[#This Row],[TYPE DE PIECE]],Tableau4[MATIERE],Tableau4[SHORT TYPE],"",0,1)</f>
        <v/>
      </c>
      <c r="N12093">
        <f>IF(ISERR(FIND("DECOUPE",Tableau1[[#This Row],[DESIGNATION]])),"","NEED REF")</f>
        <v/>
      </c>
    </row>
    <row r="12094">
      <c r="B12094" t="n">
        <v>34401911</v>
      </c>
      <c r="C12094" s="2" t="n">
        <v>40105</v>
      </c>
      <c r="D12094" t="inlineStr">
        <is>
          <t>NOM</t>
        </is>
      </c>
      <c r="E12094" t="inlineStr">
        <is>
          <t>Lg Arm. Batt. Renfort 1200 5 ETAGERES G6K</t>
        </is>
      </c>
      <c r="F12094" t="inlineStr">
        <is>
          <t>G6K</t>
        </is>
      </c>
      <c r="J12094" t="inlineStr">
        <is>
          <t>ÇAKIR</t>
        </is>
      </c>
      <c r="L12094">
        <f>_xlfn.XLOOKUP(Tableau1[[#This Row],[TYPE DE PIECE]],Tableau4[MATIERE],Tableau4[SHORT TYPE],"",0,1)</f>
        <v/>
      </c>
      <c r="N12094">
        <f>IF(ISERR(FIND("DECOUPE",Tableau1[[#This Row],[DESIGNATION]])),"","NEED REF")</f>
        <v/>
      </c>
    </row>
    <row r="12095">
      <c r="B12095" t="n">
        <v>34401910</v>
      </c>
      <c r="C12095" s="2" t="n">
        <v>40099</v>
      </c>
      <c r="D12095" t="inlineStr">
        <is>
          <t>SPEC</t>
        </is>
      </c>
      <c r="E12095" t="inlineStr">
        <is>
          <t>CALE DE SERRAGE BARRE SOUPLE CS/LEM</t>
        </is>
      </c>
      <c r="F12095" t="inlineStr">
        <is>
          <t>STS G7000</t>
        </is>
      </c>
      <c r="J12095" t="inlineStr">
        <is>
          <t>MATRION</t>
        </is>
      </c>
      <c r="L12095">
        <f>_xlfn.XLOOKUP(Tableau1[[#This Row],[TYPE DE PIECE]],Tableau4[MATIERE],Tableau4[SHORT TYPE],"",0,1)</f>
        <v/>
      </c>
      <c r="N12095">
        <f>IF(ISERR(FIND("DECOUPE",Tableau1[[#This Row],[DESIGNATION]])),"","NEED REF")</f>
        <v/>
      </c>
    </row>
    <row r="12096">
      <c r="B12096" t="n">
        <v>34401909</v>
      </c>
      <c r="C12096" s="2" t="n">
        <v>40099</v>
      </c>
      <c r="D12096" t="inlineStr">
        <is>
          <t>SPEC</t>
        </is>
      </c>
      <c r="E12096" t="inlineStr">
        <is>
          <t>CALE DE SERRAGE BARRE SOUPLE CS/LEM</t>
        </is>
      </c>
      <c r="F12096" t="inlineStr">
        <is>
          <t>STS G7000</t>
        </is>
      </c>
      <c r="J12096" t="inlineStr">
        <is>
          <t>MATRION</t>
        </is>
      </c>
      <c r="L12096">
        <f>_xlfn.XLOOKUP(Tableau1[[#This Row],[TYPE DE PIECE]],Tableau4[MATIERE],Tableau4[SHORT TYPE],"",0,1)</f>
        <v/>
      </c>
      <c r="N12096">
        <f>IF(ISERR(FIND("DECOUPE",Tableau1[[#This Row],[DESIGNATION]])),"","NEED REF")</f>
        <v/>
      </c>
    </row>
    <row r="12097">
      <c r="B12097" t="n">
        <v>34401908</v>
      </c>
      <c r="C12097" s="2" t="n">
        <v>40099</v>
      </c>
      <c r="D12097" t="inlineStr">
        <is>
          <t>SPEC</t>
        </is>
      </c>
      <c r="E12097" t="inlineStr">
        <is>
          <t>TRAVERSE SPT BARRES CS</t>
        </is>
      </c>
      <c r="F12097" t="inlineStr">
        <is>
          <t>STS G7000</t>
        </is>
      </c>
      <c r="J12097" t="inlineStr">
        <is>
          <t>MATRION</t>
        </is>
      </c>
      <c r="L12097">
        <f>_xlfn.XLOOKUP(Tableau1[[#This Row],[TYPE DE PIECE]],Tableau4[MATIERE],Tableau4[SHORT TYPE],"",0,1)</f>
        <v/>
      </c>
      <c r="N12097">
        <f>IF(ISERR(FIND("DECOUPE",Tableau1[[#This Row],[DESIGNATION]])),"","NEED REF")</f>
        <v/>
      </c>
    </row>
    <row r="12098">
      <c r="B12098" t="n">
        <v>34401907</v>
      </c>
      <c r="C12098" s="2" t="n">
        <v>40099</v>
      </c>
      <c r="D12098" t="inlineStr">
        <is>
          <t>SPEC</t>
        </is>
      </c>
      <c r="E12098" t="inlineStr">
        <is>
          <t>RAIL OMEGA</t>
        </is>
      </c>
      <c r="F12098" t="inlineStr">
        <is>
          <t>STS G7000</t>
        </is>
      </c>
      <c r="J12098" t="inlineStr">
        <is>
          <t>MATRION</t>
        </is>
      </c>
      <c r="L12098">
        <f>_xlfn.XLOOKUP(Tableau1[[#This Row],[TYPE DE PIECE]],Tableau4[MATIERE],Tableau4[SHORT TYPE],"",0,1)</f>
        <v/>
      </c>
      <c r="N12098">
        <f>IF(ISERR(FIND("DECOUPE",Tableau1[[#This Row],[DESIGNATION]])),"","NEED REF")</f>
        <v/>
      </c>
    </row>
    <row r="12099">
      <c r="B12099" t="n">
        <v>34401906</v>
      </c>
      <c r="C12099" s="2" t="n">
        <v>40099</v>
      </c>
      <c r="D12099" t="inlineStr">
        <is>
          <t>SPEC</t>
        </is>
      </c>
      <c r="E12099" t="inlineStr">
        <is>
          <t>RAIL APPARAILLAGE</t>
        </is>
      </c>
      <c r="F12099" t="inlineStr">
        <is>
          <t>STS G7000</t>
        </is>
      </c>
      <c r="J12099" t="inlineStr">
        <is>
          <t>MATRION</t>
        </is>
      </c>
      <c r="L12099">
        <f>_xlfn.XLOOKUP(Tableau1[[#This Row],[TYPE DE PIECE]],Tableau4[MATIERE],Tableau4[SHORT TYPE],"",0,1)</f>
        <v/>
      </c>
      <c r="N12099">
        <f>IF(ISERR(FIND("DECOUPE",Tableau1[[#This Row],[DESIGNATION]])),"","NEED REF")</f>
        <v/>
      </c>
    </row>
    <row r="12100">
      <c r="B12100" t="n">
        <v>34401905</v>
      </c>
      <c r="C12100" s="2" t="n">
        <v>40099</v>
      </c>
      <c r="D12100" t="inlineStr">
        <is>
          <t>SPEC</t>
        </is>
      </c>
      <c r="E12100" t="inlineStr">
        <is>
          <t>EQUERRE SUPPORT RACK MODULE DROE</t>
        </is>
      </c>
      <c r="F12100" t="inlineStr">
        <is>
          <t>STS G7000</t>
        </is>
      </c>
      <c r="J12100" t="inlineStr">
        <is>
          <t>MATRION</t>
        </is>
      </c>
      <c r="L12100">
        <f>_xlfn.XLOOKUP(Tableau1[[#This Row],[TYPE DE PIECE]],Tableau4[MATIERE],Tableau4[SHORT TYPE],"",0,1)</f>
        <v/>
      </c>
      <c r="N12100">
        <f>IF(ISERR(FIND("DECOUPE",Tableau1[[#This Row],[DESIGNATION]])),"","NEED REF")</f>
        <v/>
      </c>
    </row>
    <row r="12101">
      <c r="B12101" t="n">
        <v>34401904</v>
      </c>
      <c r="C12101" s="2" t="n">
        <v>40099</v>
      </c>
      <c r="D12101" t="inlineStr">
        <is>
          <t>SPEC</t>
        </is>
      </c>
      <c r="E12101" t="inlineStr">
        <is>
          <t>SUPPORT INS BYPASS</t>
        </is>
      </c>
      <c r="F12101" t="inlineStr">
        <is>
          <t>STS G7000</t>
        </is>
      </c>
      <c r="J12101" t="inlineStr">
        <is>
          <t>MATRION</t>
        </is>
      </c>
      <c r="L12101">
        <f>_xlfn.XLOOKUP(Tableau1[[#This Row],[TYPE DE PIECE]],Tableau4[MATIERE],Tableau4[SHORT TYPE],"",0,1)</f>
        <v/>
      </c>
      <c r="N12101">
        <f>IF(ISERR(FIND("DECOUPE",Tableau1[[#This Row],[DESIGNATION]])),"","NEED REF")</f>
        <v/>
      </c>
    </row>
    <row r="12102">
      <c r="B12102" t="n">
        <v>34401903</v>
      </c>
      <c r="C12102" s="2" t="n">
        <v>40099</v>
      </c>
      <c r="D12102" t="inlineStr">
        <is>
          <t>SPEC</t>
        </is>
      </c>
      <c r="E12102" t="inlineStr">
        <is>
          <t>LIAISON VERTICALE Q1 BP UTILIS - Q3</t>
        </is>
      </c>
      <c r="F12102" t="inlineStr">
        <is>
          <t>STS G7000</t>
        </is>
      </c>
      <c r="J12102" t="inlineStr">
        <is>
          <t>MATRION</t>
        </is>
      </c>
      <c r="L12102">
        <f>_xlfn.XLOOKUP(Tableau1[[#This Row],[TYPE DE PIECE]],Tableau4[MATIERE],Tableau4[SHORT TYPE],"",0,1)</f>
        <v/>
      </c>
      <c r="N12102">
        <f>IF(ISERR(FIND("DECOUPE",Tableau1[[#This Row],[DESIGNATION]])),"","NEED REF")</f>
        <v/>
      </c>
    </row>
    <row r="12103">
      <c r="B12103" t="n">
        <v>34401902</v>
      </c>
      <c r="C12103" s="2" t="n">
        <v>40099</v>
      </c>
      <c r="D12103" t="inlineStr">
        <is>
          <t>SPEC</t>
        </is>
      </c>
      <c r="E12103" t="inlineStr">
        <is>
          <t>BARRE LIAISON INF Q2 BP PH2 UTILIS - Q3</t>
        </is>
      </c>
      <c r="F12103" t="inlineStr">
        <is>
          <t>STS G7000</t>
        </is>
      </c>
      <c r="J12103" t="inlineStr">
        <is>
          <t>MATRION</t>
        </is>
      </c>
      <c r="L12103">
        <f>_xlfn.XLOOKUP(Tableau1[[#This Row],[TYPE DE PIECE]],Tableau4[MATIERE],Tableau4[SHORT TYPE],"",0,1)</f>
        <v/>
      </c>
      <c r="N12103">
        <f>IF(ISERR(FIND("DECOUPE",Tableau1[[#This Row],[DESIGNATION]])),"","NEED REF")</f>
        <v/>
      </c>
    </row>
    <row r="12104">
      <c r="B12104" t="n">
        <v>34401901</v>
      </c>
      <c r="C12104" s="2" t="n">
        <v>40099</v>
      </c>
      <c r="D12104" t="inlineStr">
        <is>
          <t>SPEC</t>
        </is>
      </c>
      <c r="E12104" t="inlineStr">
        <is>
          <t>BARRE LIAISON HORIZ Q2 BP PH2 UTILIS - Q3</t>
        </is>
      </c>
      <c r="F12104" t="inlineStr">
        <is>
          <t>STS G7000</t>
        </is>
      </c>
      <c r="J12104" t="inlineStr">
        <is>
          <t>MATRION</t>
        </is>
      </c>
      <c r="L12104">
        <f>_xlfn.XLOOKUP(Tableau1[[#This Row],[TYPE DE PIECE]],Tableau4[MATIERE],Tableau4[SHORT TYPE],"",0,1)</f>
        <v/>
      </c>
      <c r="N12104">
        <f>IF(ISERR(FIND("DECOUPE",Tableau1[[#This Row],[DESIGNATION]])),"","NEED REF")</f>
        <v/>
      </c>
    </row>
    <row r="12105">
      <c r="B12105" t="n">
        <v>34401900</v>
      </c>
      <c r="C12105" s="2" t="n">
        <v>40099</v>
      </c>
      <c r="D12105" t="inlineStr">
        <is>
          <t>SPEC</t>
        </is>
      </c>
      <c r="E12105" t="inlineStr">
        <is>
          <t>BARRE LIAISON SUP Q2 BP PH2 UTILIS - Q3</t>
        </is>
      </c>
      <c r="F12105" t="inlineStr">
        <is>
          <t>STS G7000</t>
        </is>
      </c>
      <c r="J12105" t="inlineStr">
        <is>
          <t>MATRION</t>
        </is>
      </c>
      <c r="L12105">
        <f>_xlfn.XLOOKUP(Tableau1[[#This Row],[TYPE DE PIECE]],Tableau4[MATIERE],Tableau4[SHORT TYPE],"",0,1)</f>
        <v/>
      </c>
      <c r="N12105">
        <f>IF(ISERR(FIND("DECOUPE",Tableau1[[#This Row],[DESIGNATION]])),"","NEED REF")</f>
        <v/>
      </c>
    </row>
    <row r="12106">
      <c r="B12106" t="n">
        <v>34401899</v>
      </c>
      <c r="C12106" s="2" t="n">
        <v>40099</v>
      </c>
      <c r="D12106" t="inlineStr">
        <is>
          <t>SPEC</t>
        </is>
      </c>
      <c r="E12106" t="inlineStr">
        <is>
          <t>EQUERRE Q2 BP PH3 UTILISATION - Q3</t>
        </is>
      </c>
      <c r="F12106" t="inlineStr">
        <is>
          <t>STS G7000</t>
        </is>
      </c>
      <c r="J12106" t="inlineStr">
        <is>
          <t>MATRION</t>
        </is>
      </c>
      <c r="L12106">
        <f>_xlfn.XLOOKUP(Tableau1[[#This Row],[TYPE DE PIECE]],Tableau4[MATIERE],Tableau4[SHORT TYPE],"",0,1)</f>
        <v/>
      </c>
      <c r="N12106">
        <f>IF(ISERR(FIND("DECOUPE",Tableau1[[#This Row],[DESIGNATION]])),"","NEED REF")</f>
        <v/>
      </c>
    </row>
    <row r="12107">
      <c r="B12107" t="n">
        <v>34401898</v>
      </c>
      <c r="C12107" s="2" t="n">
        <v>40099</v>
      </c>
      <c r="D12107" t="inlineStr">
        <is>
          <t>SPEC</t>
        </is>
      </c>
      <c r="E12107" t="inlineStr">
        <is>
          <t>BARRE VERTICALE Q2 BP PH3 UTILISATION-Q3</t>
        </is>
      </c>
      <c r="F12107" t="inlineStr">
        <is>
          <t>STS G7000</t>
        </is>
      </c>
      <c r="J12107" t="inlineStr">
        <is>
          <t>MATRION</t>
        </is>
      </c>
      <c r="L12107">
        <f>_xlfn.XLOOKUP(Tableau1[[#This Row],[TYPE DE PIECE]],Tableau4[MATIERE],Tableau4[SHORT TYPE],"",0,1)</f>
        <v/>
      </c>
      <c r="N12107">
        <f>IF(ISERR(FIND("DECOUPE",Tableau1[[#This Row],[DESIGNATION]])),"","NEED REF")</f>
        <v/>
      </c>
    </row>
    <row r="12108">
      <c r="B12108" t="n">
        <v>34401897</v>
      </c>
      <c r="C12108" s="2" t="n">
        <v>40099</v>
      </c>
      <c r="D12108" t="inlineStr">
        <is>
          <t>SPEC</t>
        </is>
      </c>
      <c r="E12108" t="inlineStr">
        <is>
          <t>CALE RESEAUX PH2</t>
        </is>
      </c>
      <c r="F12108" t="inlineStr">
        <is>
          <t>STS G7000</t>
        </is>
      </c>
      <c r="J12108" t="inlineStr">
        <is>
          <t>MATRION</t>
        </is>
      </c>
      <c r="L12108">
        <f>_xlfn.XLOOKUP(Tableau1[[#This Row],[TYPE DE PIECE]],Tableau4[MATIERE],Tableau4[SHORT TYPE],"",0,1)</f>
        <v/>
      </c>
      <c r="N12108">
        <f>IF(ISERR(FIND("DECOUPE",Tableau1[[#This Row],[DESIGNATION]])),"","NEED REF")</f>
        <v/>
      </c>
    </row>
    <row r="12109">
      <c r="B12109" t="n">
        <v>34401896</v>
      </c>
      <c r="C12109" s="2" t="n">
        <v>40099</v>
      </c>
      <c r="D12109" t="inlineStr">
        <is>
          <t>SPEC</t>
        </is>
      </c>
      <c r="E12109" t="inlineStr">
        <is>
          <t>RESEAU VERTICAL PH1 ET PH3</t>
        </is>
      </c>
      <c r="F12109" t="inlineStr">
        <is>
          <t>STS G7000</t>
        </is>
      </c>
      <c r="J12109" t="inlineStr">
        <is>
          <t>MATRION</t>
        </is>
      </c>
      <c r="L12109">
        <f>_xlfn.XLOOKUP(Tableau1[[#This Row],[TYPE DE PIECE]],Tableau4[MATIERE],Tableau4[SHORT TYPE],"",0,1)</f>
        <v/>
      </c>
      <c r="N12109">
        <f>IF(ISERR(FIND("DECOUPE",Tableau1[[#This Row],[DESIGNATION]])),"","NEED REF")</f>
        <v/>
      </c>
    </row>
    <row r="12110">
      <c r="B12110" t="n">
        <v>34401895</v>
      </c>
      <c r="C12110" s="2" t="n">
        <v>40099</v>
      </c>
      <c r="D12110" t="inlineStr">
        <is>
          <t>SPEC</t>
        </is>
      </c>
      <c r="E12110" t="inlineStr">
        <is>
          <t>BARRE Q1 BP PH3 UTILISATION - Q3</t>
        </is>
      </c>
      <c r="F12110" t="inlineStr">
        <is>
          <t>STS G7000</t>
        </is>
      </c>
      <c r="J12110" t="inlineStr">
        <is>
          <t>MATRION</t>
        </is>
      </c>
      <c r="L12110">
        <f>_xlfn.XLOOKUP(Tableau1[[#This Row],[TYPE DE PIECE]],Tableau4[MATIERE],Tableau4[SHORT TYPE],"",0,1)</f>
        <v/>
      </c>
      <c r="N12110">
        <f>IF(ISERR(FIND("DECOUPE",Tableau1[[#This Row],[DESIGNATION]])),"","NEED REF")</f>
        <v/>
      </c>
    </row>
    <row r="12111">
      <c r="B12111" t="n">
        <v>34401894</v>
      </c>
      <c r="C12111" s="2" t="n">
        <v>40099</v>
      </c>
      <c r="D12111" t="inlineStr">
        <is>
          <t>SPEC</t>
        </is>
      </c>
      <c r="E12111" t="inlineStr">
        <is>
          <t>BARRE Q1 BP PH2 UTILISATION - Q3</t>
        </is>
      </c>
      <c r="F12111" t="inlineStr">
        <is>
          <t>STS G7000</t>
        </is>
      </c>
      <c r="J12111" t="inlineStr">
        <is>
          <t>MATRION</t>
        </is>
      </c>
      <c r="L12111">
        <f>_xlfn.XLOOKUP(Tableau1[[#This Row],[TYPE DE PIECE]],Tableau4[MATIERE],Tableau4[SHORT TYPE],"",0,1)</f>
        <v/>
      </c>
      <c r="N12111">
        <f>IF(ISERR(FIND("DECOUPE",Tableau1[[#This Row],[DESIGNATION]])),"","NEED REF")</f>
        <v/>
      </c>
    </row>
    <row r="12112">
      <c r="B12112" t="n">
        <v>34401893</v>
      </c>
      <c r="C12112" s="2" t="n">
        <v>40099</v>
      </c>
      <c r="D12112" t="inlineStr">
        <is>
          <t>SPEC</t>
        </is>
      </c>
      <c r="E12112" t="inlineStr">
        <is>
          <t>BARRE Q1 BP PH1 UTILISATION - Q3</t>
        </is>
      </c>
      <c r="F12112" t="inlineStr">
        <is>
          <t>STS G7000</t>
        </is>
      </c>
      <c r="J12112" t="inlineStr">
        <is>
          <t>MATRION</t>
        </is>
      </c>
      <c r="L12112">
        <f>_xlfn.XLOOKUP(Tableau1[[#This Row],[TYPE DE PIECE]],Tableau4[MATIERE],Tableau4[SHORT TYPE],"",0,1)</f>
        <v/>
      </c>
      <c r="N12112">
        <f>IF(ISERR(FIND("DECOUPE",Tableau1[[#This Row],[DESIGNATION]])),"","NEED REF")</f>
        <v/>
      </c>
    </row>
    <row r="12113">
      <c r="B12113" t="n">
        <v>34401892</v>
      </c>
      <c r="C12113" s="2" t="n">
        <v>40099</v>
      </c>
      <c r="D12113" t="inlineStr">
        <is>
          <t>SPEC</t>
        </is>
      </c>
      <c r="E12113" t="inlineStr">
        <is>
          <t>BARRE Q1 BP N UTILISATION - Q3</t>
        </is>
      </c>
      <c r="F12113" t="inlineStr">
        <is>
          <t>STS G7000</t>
        </is>
      </c>
      <c r="J12113" t="inlineStr">
        <is>
          <t>MATRION</t>
        </is>
      </c>
      <c r="L12113">
        <f>_xlfn.XLOOKUP(Tableau1[[#This Row],[TYPE DE PIECE]],Tableau4[MATIERE],Tableau4[SHORT TYPE],"",0,1)</f>
        <v/>
      </c>
      <c r="N12113">
        <f>IF(ISERR(FIND("DECOUPE",Tableau1[[#This Row],[DESIGNATION]])),"","NEED REF")</f>
        <v/>
      </c>
    </row>
    <row r="12114">
      <c r="B12114" t="n">
        <v>34401891</v>
      </c>
      <c r="C12114" s="2" t="n">
        <v>40099</v>
      </c>
      <c r="D12114" t="inlineStr">
        <is>
          <t>SPEC</t>
        </is>
      </c>
      <c r="E12114" t="inlineStr">
        <is>
          <t>LIAISON VERTICALE Q BP UTILIS - Q3</t>
        </is>
      </c>
      <c r="F12114" t="inlineStr">
        <is>
          <t>STS G7000</t>
        </is>
      </c>
      <c r="J12114" t="inlineStr">
        <is>
          <t>MATRION</t>
        </is>
      </c>
      <c r="L12114">
        <f>_xlfn.XLOOKUP(Tableau1[[#This Row],[TYPE DE PIECE]],Tableau4[MATIERE],Tableau4[SHORT TYPE],"",0,1)</f>
        <v/>
      </c>
      <c r="N12114">
        <f>IF(ISERR(FIND("DECOUPE",Tableau1[[#This Row],[DESIGNATION]])),"","NEED REF")</f>
        <v/>
      </c>
    </row>
    <row r="12115">
      <c r="B12115" t="n">
        <v>34401890</v>
      </c>
      <c r="C12115" s="2" t="n">
        <v>40099</v>
      </c>
      <c r="D12115" t="inlineStr">
        <is>
          <t>SPEC</t>
        </is>
      </c>
      <c r="E12115" t="inlineStr">
        <is>
          <t>PLATINE ALIM CS PH1 - Q2</t>
        </is>
      </c>
      <c r="F12115" t="inlineStr">
        <is>
          <t>STS G7000</t>
        </is>
      </c>
      <c r="J12115" t="inlineStr">
        <is>
          <t>MATRION</t>
        </is>
      </c>
      <c r="L12115">
        <f>_xlfn.XLOOKUP(Tableau1[[#This Row],[TYPE DE PIECE]],Tableau4[MATIERE],Tableau4[SHORT TYPE],"",0,1)</f>
        <v/>
      </c>
      <c r="N12115">
        <f>IF(ISERR(FIND("DECOUPE",Tableau1[[#This Row],[DESIGNATION]])),"","NEED REF")</f>
        <v/>
      </c>
    </row>
    <row r="12116">
      <c r="B12116" t="n">
        <v>34401889</v>
      </c>
      <c r="C12116" s="2" t="n">
        <v>40099</v>
      </c>
      <c r="D12116" t="inlineStr">
        <is>
          <t>SPEC</t>
        </is>
      </c>
      <c r="E12116" t="inlineStr">
        <is>
          <t>PLATINE Q2 AMONT PH1-CS</t>
        </is>
      </c>
      <c r="F12116" t="inlineStr">
        <is>
          <t>STS G7000</t>
        </is>
      </c>
      <c r="J12116" t="inlineStr">
        <is>
          <t>MATRION</t>
        </is>
      </c>
      <c r="L12116">
        <f>_xlfn.XLOOKUP(Tableau1[[#This Row],[TYPE DE PIECE]],Tableau4[MATIERE],Tableau4[SHORT TYPE],"",0,1)</f>
        <v/>
      </c>
      <c r="N12116">
        <f>IF(ISERR(FIND("DECOUPE",Tableau1[[#This Row],[DESIGNATION]])),"","NEED REF")</f>
        <v/>
      </c>
    </row>
    <row r="12117">
      <c r="B12117" t="n">
        <v>34401888</v>
      </c>
      <c r="C12117" s="2" t="n">
        <v>40099</v>
      </c>
      <c r="D12117" t="inlineStr">
        <is>
          <t>SPEC</t>
        </is>
      </c>
      <c r="E12117" t="inlineStr">
        <is>
          <t>BARRE Q2 AMONT PH3-CS</t>
        </is>
      </c>
      <c r="F12117" t="inlineStr">
        <is>
          <t>STS G7000</t>
        </is>
      </c>
      <c r="J12117" t="inlineStr">
        <is>
          <t>MATRION</t>
        </is>
      </c>
      <c r="L12117">
        <f>_xlfn.XLOOKUP(Tableau1[[#This Row],[TYPE DE PIECE]],Tableau4[MATIERE],Tableau4[SHORT TYPE],"",0,1)</f>
        <v/>
      </c>
      <c r="N12117">
        <f>IF(ISERR(FIND("DECOUPE",Tableau1[[#This Row],[DESIGNATION]])),"","NEED REF")</f>
        <v/>
      </c>
    </row>
    <row r="12118">
      <c r="B12118" t="n">
        <v>34401887</v>
      </c>
      <c r="C12118" s="2" t="n">
        <v>40099</v>
      </c>
      <c r="D12118" t="inlineStr">
        <is>
          <t>SPEC</t>
        </is>
      </c>
      <c r="E12118" t="inlineStr">
        <is>
          <t>BARRE Q2 AMONT PH2-CS</t>
        </is>
      </c>
      <c r="F12118" t="inlineStr">
        <is>
          <t>STS G7000</t>
        </is>
      </c>
      <c r="J12118" t="inlineStr">
        <is>
          <t>MATRION</t>
        </is>
      </c>
      <c r="L12118">
        <f>_xlfn.XLOOKUP(Tableau1[[#This Row],[TYPE DE PIECE]],Tableau4[MATIERE],Tableau4[SHORT TYPE],"",0,1)</f>
        <v/>
      </c>
      <c r="N12118">
        <f>IF(ISERR(FIND("DECOUPE",Tableau1[[#This Row],[DESIGNATION]])),"","NEED REF")</f>
        <v/>
      </c>
    </row>
    <row r="12119">
      <c r="B12119" t="n">
        <v>34401886</v>
      </c>
      <c r="C12119" s="2" t="n">
        <v>40099</v>
      </c>
      <c r="D12119" t="inlineStr">
        <is>
          <t>SPEC</t>
        </is>
      </c>
      <c r="E12119" t="inlineStr">
        <is>
          <t>BARRE Q2 AMONT PH1-CS</t>
        </is>
      </c>
      <c r="F12119" t="inlineStr">
        <is>
          <t>STS G7000</t>
        </is>
      </c>
      <c r="J12119" t="inlineStr">
        <is>
          <t>MATRION</t>
        </is>
      </c>
      <c r="L12119">
        <f>_xlfn.XLOOKUP(Tableau1[[#This Row],[TYPE DE PIECE]],Tableau4[MATIERE],Tableau4[SHORT TYPE],"",0,1)</f>
        <v/>
      </c>
      <c r="N12119">
        <f>IF(ISERR(FIND("DECOUPE",Tableau1[[#This Row],[DESIGNATION]])),"","NEED REF")</f>
        <v/>
      </c>
    </row>
    <row r="12120">
      <c r="B12120" t="n">
        <v>34401885</v>
      </c>
      <c r="C12120" s="2" t="n">
        <v>40099</v>
      </c>
      <c r="D12120" t="inlineStr">
        <is>
          <t>SPEC</t>
        </is>
      </c>
      <c r="E12120" t="inlineStr">
        <is>
          <t>BARRE Q2 AMONT N-CS</t>
        </is>
      </c>
      <c r="F12120" t="inlineStr">
        <is>
          <t>STS G7000</t>
        </is>
      </c>
      <c r="J12120" t="inlineStr">
        <is>
          <t>MATRION</t>
        </is>
      </c>
      <c r="L12120">
        <f>_xlfn.XLOOKUP(Tableau1[[#This Row],[TYPE DE PIECE]],Tableau4[MATIERE],Tableau4[SHORT TYPE],"",0,1)</f>
        <v/>
      </c>
      <c r="N12120">
        <f>IF(ISERR(FIND("DECOUPE",Tableau1[[#This Row],[DESIGNATION]])),"","NEED REF")</f>
        <v/>
      </c>
    </row>
    <row r="12121">
      <c r="B12121" t="n">
        <v>34401884</v>
      </c>
      <c r="C12121" s="2" t="n">
        <v>40099</v>
      </c>
      <c r="D12121" t="inlineStr">
        <is>
          <t>SPEC</t>
        </is>
      </c>
      <c r="E12121" t="inlineStr">
        <is>
          <t>BARRE Q2 BP PH3 UTILISATION - Q3</t>
        </is>
      </c>
      <c r="F12121" t="inlineStr">
        <is>
          <t>STS G7000</t>
        </is>
      </c>
      <c r="J12121" t="inlineStr">
        <is>
          <t>MATRION</t>
        </is>
      </c>
      <c r="L12121">
        <f>_xlfn.XLOOKUP(Tableau1[[#This Row],[TYPE DE PIECE]],Tableau4[MATIERE],Tableau4[SHORT TYPE],"",0,1)</f>
        <v/>
      </c>
      <c r="N12121">
        <f>IF(ISERR(FIND("DECOUPE",Tableau1[[#This Row],[DESIGNATION]])),"","NEED REF")</f>
        <v/>
      </c>
    </row>
    <row r="12122">
      <c r="B12122" t="n">
        <v>34401883</v>
      </c>
      <c r="C12122" s="2" t="n">
        <v>40099</v>
      </c>
      <c r="D12122" t="inlineStr">
        <is>
          <t>SPEC</t>
        </is>
      </c>
      <c r="E12122" t="inlineStr">
        <is>
          <t>BARRE Q2 BP PH2 UTILISATION - Q3</t>
        </is>
      </c>
      <c r="F12122" t="inlineStr">
        <is>
          <t>STS G7000</t>
        </is>
      </c>
      <c r="J12122" t="inlineStr">
        <is>
          <t>MATRION</t>
        </is>
      </c>
      <c r="L12122">
        <f>_xlfn.XLOOKUP(Tableau1[[#This Row],[TYPE DE PIECE]],Tableau4[MATIERE],Tableau4[SHORT TYPE],"",0,1)</f>
        <v/>
      </c>
      <c r="N12122">
        <f>IF(ISERR(FIND("DECOUPE",Tableau1[[#This Row],[DESIGNATION]])),"","NEED REF")</f>
        <v/>
      </c>
    </row>
    <row r="12123">
      <c r="B12123" t="n">
        <v>34401882</v>
      </c>
      <c r="C12123" s="2" t="n">
        <v>40099</v>
      </c>
      <c r="D12123" t="inlineStr">
        <is>
          <t>SPEC</t>
        </is>
      </c>
      <c r="E12123" t="inlineStr">
        <is>
          <t>BARRE Q2 BP PH1 UTILISATION - Q3</t>
        </is>
      </c>
      <c r="F12123" t="inlineStr">
        <is>
          <t>STS G7000</t>
        </is>
      </c>
      <c r="J12123" t="inlineStr">
        <is>
          <t>MATRION</t>
        </is>
      </c>
      <c r="L12123">
        <f>_xlfn.XLOOKUP(Tableau1[[#This Row],[TYPE DE PIECE]],Tableau4[MATIERE],Tableau4[SHORT TYPE],"",0,1)</f>
        <v/>
      </c>
      <c r="N12123">
        <f>IF(ISERR(FIND("DECOUPE",Tableau1[[#This Row],[DESIGNATION]])),"","NEED REF")</f>
        <v/>
      </c>
    </row>
    <row r="12124">
      <c r="B12124" t="n">
        <v>34401881</v>
      </c>
      <c r="C12124" s="2" t="n">
        <v>40099</v>
      </c>
      <c r="D12124" t="inlineStr">
        <is>
          <t>SPEC</t>
        </is>
      </c>
      <c r="E12124" t="inlineStr">
        <is>
          <t>BARRE Q2 BP N UTILISATION - Q3</t>
        </is>
      </c>
      <c r="F12124" t="inlineStr">
        <is>
          <t>STS G7000</t>
        </is>
      </c>
      <c r="J12124" t="inlineStr">
        <is>
          <t>MATRION</t>
        </is>
      </c>
      <c r="L12124">
        <f>_xlfn.XLOOKUP(Tableau1[[#This Row],[TYPE DE PIECE]],Tableau4[MATIERE],Tableau4[SHORT TYPE],"",0,1)</f>
        <v/>
      </c>
      <c r="N12124">
        <f>IF(ISERR(FIND("DECOUPE",Tableau1[[#This Row],[DESIGNATION]])),"","NEED REF")</f>
        <v/>
      </c>
    </row>
    <row r="12125">
      <c r="B12125" t="n">
        <v>34401880</v>
      </c>
      <c r="C12125" s="2" t="n">
        <v>40099</v>
      </c>
      <c r="D12125" t="inlineStr">
        <is>
          <t>SPEC</t>
        </is>
      </c>
      <c r="E12125" t="inlineStr">
        <is>
          <t>BARRE Q1 AMONT PH3-CS</t>
        </is>
      </c>
      <c r="F12125" t="inlineStr">
        <is>
          <t>STS G7000</t>
        </is>
      </c>
      <c r="J12125" t="inlineStr">
        <is>
          <t>MATRION</t>
        </is>
      </c>
      <c r="L12125">
        <f>_xlfn.XLOOKUP(Tableau1[[#This Row],[TYPE DE PIECE]],Tableau4[MATIERE],Tableau4[SHORT TYPE],"",0,1)</f>
        <v/>
      </c>
      <c r="N12125">
        <f>IF(ISERR(FIND("DECOUPE",Tableau1[[#This Row],[DESIGNATION]])),"","NEED REF")</f>
        <v/>
      </c>
    </row>
    <row r="12126">
      <c r="B12126" t="n">
        <v>34401879</v>
      </c>
      <c r="C12126" s="2" t="n">
        <v>40099</v>
      </c>
      <c r="D12126" t="inlineStr">
        <is>
          <t>SPEC</t>
        </is>
      </c>
      <c r="E12126" t="inlineStr">
        <is>
          <t>BARRE Q1 AMONT PH2-CS</t>
        </is>
      </c>
      <c r="F12126" t="inlineStr">
        <is>
          <t>STS G7000</t>
        </is>
      </c>
      <c r="J12126" t="inlineStr">
        <is>
          <t>MATRION</t>
        </is>
      </c>
      <c r="L12126">
        <f>_xlfn.XLOOKUP(Tableau1[[#This Row],[TYPE DE PIECE]],Tableau4[MATIERE],Tableau4[SHORT TYPE],"",0,1)</f>
        <v/>
      </c>
      <c r="N12126">
        <f>IF(ISERR(FIND("DECOUPE",Tableau1[[#This Row],[DESIGNATION]])),"","NEED REF")</f>
        <v/>
      </c>
    </row>
    <row r="12127">
      <c r="B12127" t="n">
        <v>34401878</v>
      </c>
      <c r="C12127" s="2" t="n">
        <v>40099</v>
      </c>
      <c r="D12127" t="inlineStr">
        <is>
          <t>SPEC</t>
        </is>
      </c>
      <c r="E12127" t="inlineStr">
        <is>
          <t>BARRE Q1 AMONT PH1-CS</t>
        </is>
      </c>
      <c r="F12127" t="inlineStr">
        <is>
          <t>STS G7000</t>
        </is>
      </c>
      <c r="J12127" t="inlineStr">
        <is>
          <t>MATRION</t>
        </is>
      </c>
      <c r="L12127">
        <f>_xlfn.XLOOKUP(Tableau1[[#This Row],[TYPE DE PIECE]],Tableau4[MATIERE],Tableau4[SHORT TYPE],"",0,1)</f>
        <v/>
      </c>
      <c r="N12127">
        <f>IF(ISERR(FIND("DECOUPE",Tableau1[[#This Row],[DESIGNATION]])),"","NEED REF")</f>
        <v/>
      </c>
    </row>
    <row r="12128">
      <c r="B12128" t="n">
        <v>34401877</v>
      </c>
      <c r="C12128" s="2" t="n">
        <v>40099</v>
      </c>
      <c r="D12128" t="inlineStr">
        <is>
          <t>SPEC</t>
        </is>
      </c>
      <c r="E12128" t="inlineStr">
        <is>
          <t>BARRE Q1 AMONT N-CS</t>
        </is>
      </c>
      <c r="F12128" t="inlineStr">
        <is>
          <t>STS G7000</t>
        </is>
      </c>
      <c r="J12128" t="inlineStr">
        <is>
          <t>MATRION</t>
        </is>
      </c>
      <c r="L12128">
        <f>_xlfn.XLOOKUP(Tableau1[[#This Row],[TYPE DE PIECE]],Tableau4[MATIERE],Tableau4[SHORT TYPE],"",0,1)</f>
        <v/>
      </c>
      <c r="N12128">
        <f>IF(ISERR(FIND("DECOUPE",Tableau1[[#This Row],[DESIGNATION]])),"","NEED REF")</f>
        <v/>
      </c>
    </row>
    <row r="12129">
      <c r="B12129" t="n">
        <v>34401876</v>
      </c>
      <c r="C12129" s="2" t="n">
        <v>40099</v>
      </c>
      <c r="D12129" t="inlineStr">
        <is>
          <t>SPEC</t>
        </is>
      </c>
      <c r="E12129" t="inlineStr">
        <is>
          <t>COFFRET CS</t>
        </is>
      </c>
      <c r="F12129" t="inlineStr">
        <is>
          <t>STS G7000</t>
        </is>
      </c>
      <c r="J12129" t="inlineStr">
        <is>
          <t>MATRION</t>
        </is>
      </c>
      <c r="L12129">
        <f>_xlfn.XLOOKUP(Tableau1[[#This Row],[TYPE DE PIECE]],Tableau4[MATIERE],Tableau4[SHORT TYPE],"",0,1)</f>
        <v/>
      </c>
      <c r="N12129">
        <f>IF(ISERR(FIND("DECOUPE",Tableau1[[#This Row],[DESIGNATION]])),"","NEED REF")</f>
        <v/>
      </c>
    </row>
    <row r="12130">
      <c r="B12130" t="n">
        <v>34401875</v>
      </c>
      <c r="C12130" s="2" t="n">
        <v>40099</v>
      </c>
      <c r="D12130" t="inlineStr">
        <is>
          <t>SPEC</t>
        </is>
      </c>
      <c r="E12130" t="inlineStr">
        <is>
          <t>PLATINE SUPPORT FUSIBLES RC</t>
        </is>
      </c>
      <c r="F12130" t="inlineStr">
        <is>
          <t>STS G7000</t>
        </is>
      </c>
      <c r="J12130" t="inlineStr">
        <is>
          <t>MATRION</t>
        </is>
      </c>
      <c r="L12130">
        <f>_xlfn.XLOOKUP(Tableau1[[#This Row],[TYPE DE PIECE]],Tableau4[MATIERE],Tableau4[SHORT TYPE],"",0,1)</f>
        <v/>
      </c>
      <c r="N12130">
        <f>IF(ISERR(FIND("DECOUPE",Tableau1[[#This Row],[DESIGNATION]])),"","NEED REF")</f>
        <v/>
      </c>
    </row>
    <row r="12131">
      <c r="B12131" t="n">
        <v>34401874</v>
      </c>
      <c r="C12131" s="2" t="n">
        <v>40099</v>
      </c>
      <c r="D12131" t="inlineStr">
        <is>
          <t>SPEC</t>
        </is>
      </c>
      <c r="E12131" t="inlineStr">
        <is>
          <t>RENFORT GLISSIERE CS BAS D HAUT G</t>
        </is>
      </c>
      <c r="F12131" t="inlineStr">
        <is>
          <t>STS G7000</t>
        </is>
      </c>
      <c r="J12131" t="inlineStr">
        <is>
          <t>MATRION</t>
        </is>
      </c>
      <c r="L12131">
        <f>_xlfn.XLOOKUP(Tableau1[[#This Row],[TYPE DE PIECE]],Tableau4[MATIERE],Tableau4[SHORT TYPE],"",0,1)</f>
        <v/>
      </c>
      <c r="N12131">
        <f>IF(ISERR(FIND("DECOUPE",Tableau1[[#This Row],[DESIGNATION]])),"","NEED REF")</f>
        <v/>
      </c>
    </row>
    <row r="12132">
      <c r="B12132" t="n">
        <v>34401873</v>
      </c>
      <c r="C12132" s="2" t="n">
        <v>40099</v>
      </c>
      <c r="D12132" t="inlineStr">
        <is>
          <t>SPEC</t>
        </is>
      </c>
      <c r="E12132" t="inlineStr">
        <is>
          <t>RENFORT GLISSIERE CS BAS G HAUT D</t>
        </is>
      </c>
      <c r="F12132" t="inlineStr">
        <is>
          <t>STS G7000</t>
        </is>
      </c>
      <c r="J12132" t="inlineStr">
        <is>
          <t>MATRION</t>
        </is>
      </c>
      <c r="L12132">
        <f>_xlfn.XLOOKUP(Tableau1[[#This Row],[TYPE DE PIECE]],Tableau4[MATIERE],Tableau4[SHORT TYPE],"",0,1)</f>
        <v/>
      </c>
      <c r="N12132">
        <f>IF(ISERR(FIND("DECOUPE",Tableau1[[#This Row],[DESIGNATION]])),"","NEED REF")</f>
        <v/>
      </c>
    </row>
    <row r="12133">
      <c r="B12133" t="n">
        <v>34401872</v>
      </c>
      <c r="C12133" s="2" t="n">
        <v>40099</v>
      </c>
      <c r="D12133" t="inlineStr">
        <is>
          <t>SPEC</t>
        </is>
      </c>
      <c r="E12133" t="inlineStr">
        <is>
          <t>PLAQUE SUPPORT CS_recover</t>
        </is>
      </c>
      <c r="F12133" t="inlineStr">
        <is>
          <t>STS G7000</t>
        </is>
      </c>
      <c r="J12133" t="inlineStr">
        <is>
          <t>MATRION</t>
        </is>
      </c>
      <c r="L12133">
        <f>_xlfn.XLOOKUP(Tableau1[[#This Row],[TYPE DE PIECE]],Tableau4[MATIERE],Tableau4[SHORT TYPE],"",0,1)</f>
        <v/>
      </c>
      <c r="N12133">
        <f>IF(ISERR(FIND("DECOUPE",Tableau1[[#This Row],[DESIGNATION]])),"","NEED REF")</f>
        <v/>
      </c>
    </row>
    <row r="12134">
      <c r="B12134" t="n">
        <v>34401871</v>
      </c>
      <c r="C12134" s="2" t="n">
        <v>40099</v>
      </c>
      <c r="D12134" t="inlineStr">
        <is>
          <t>SPEC</t>
        </is>
      </c>
      <c r="E12134" t="inlineStr">
        <is>
          <t>PLATINE ALIM CS STS COMPLET</t>
        </is>
      </c>
      <c r="F12134" t="inlineStr">
        <is>
          <t>STS G7000</t>
        </is>
      </c>
      <c r="J12134" t="inlineStr">
        <is>
          <t>MATRION</t>
        </is>
      </c>
      <c r="L12134">
        <f>_xlfn.XLOOKUP(Tableau1[[#This Row],[TYPE DE PIECE]],Tableau4[MATIERE],Tableau4[SHORT TYPE],"",0,1)</f>
        <v/>
      </c>
      <c r="N12134">
        <f>IF(ISERR(FIND("DECOUPE",Tableau1[[#This Row],[DESIGNATION]])),"","NEED REF")</f>
        <v/>
      </c>
    </row>
    <row r="12135">
      <c r="B12135" t="n">
        <v>34401870</v>
      </c>
      <c r="C12135" s="2" t="n">
        <v>40099</v>
      </c>
      <c r="D12135" t="inlineStr">
        <is>
          <t>SPEC</t>
        </is>
      </c>
      <c r="E12135" t="inlineStr">
        <is>
          <t>PROFIL MODULE LATERAL DROIT</t>
        </is>
      </c>
      <c r="F12135" t="inlineStr">
        <is>
          <t>STS G7000</t>
        </is>
      </c>
      <c r="J12135" t="inlineStr">
        <is>
          <t>MATRION</t>
        </is>
      </c>
      <c r="L12135">
        <f>_xlfn.XLOOKUP(Tableau1[[#This Row],[TYPE DE PIECE]],Tableau4[MATIERE],Tableau4[SHORT TYPE],"",0,1)</f>
        <v/>
      </c>
      <c r="N12135">
        <f>IF(ISERR(FIND("DECOUPE",Tableau1[[#This Row],[DESIGNATION]])),"","NEED REF")</f>
        <v/>
      </c>
    </row>
    <row r="12136">
      <c r="B12136" t="n">
        <v>34401869</v>
      </c>
      <c r="C12136" s="2" t="n">
        <v>40099</v>
      </c>
      <c r="D12136" t="inlineStr">
        <is>
          <t>SPEC</t>
        </is>
      </c>
      <c r="E12136" t="inlineStr">
        <is>
          <t>PROFIL MODULE LATERAL GAUCHE</t>
        </is>
      </c>
      <c r="F12136" t="inlineStr">
        <is>
          <t>STS G7000</t>
        </is>
      </c>
      <c r="J12136" t="inlineStr">
        <is>
          <t>MATRION</t>
        </is>
      </c>
      <c r="L12136">
        <f>_xlfn.XLOOKUP(Tableau1[[#This Row],[TYPE DE PIECE]],Tableau4[MATIERE],Tableau4[SHORT TYPE],"",0,1)</f>
        <v/>
      </c>
      <c r="N12136">
        <f>IF(ISERR(FIND("DECOUPE",Tableau1[[#This Row],[DESIGNATION]])),"","NEED REF")</f>
        <v/>
      </c>
    </row>
    <row r="12137">
      <c r="B12137" t="n">
        <v>34401868</v>
      </c>
      <c r="C12137" s="2" t="n">
        <v>40099</v>
      </c>
      <c r="D12137" t="inlineStr">
        <is>
          <t>SPEC</t>
        </is>
      </c>
      <c r="E12137" t="inlineStr">
        <is>
          <t>RAIL SUPPORT DISJONCTEUR</t>
        </is>
      </c>
      <c r="F12137" t="inlineStr">
        <is>
          <t>STS G7000</t>
        </is>
      </c>
      <c r="J12137" t="inlineStr">
        <is>
          <t>MATRION</t>
        </is>
      </c>
      <c r="L12137">
        <f>_xlfn.XLOOKUP(Tableau1[[#This Row],[TYPE DE PIECE]],Tableau4[MATIERE],Tableau4[SHORT TYPE],"",0,1)</f>
        <v/>
      </c>
      <c r="N12137">
        <f>IF(ISERR(FIND("DECOUPE",Tableau1[[#This Row],[DESIGNATION]])),"","NEED REF")</f>
        <v/>
      </c>
    </row>
    <row r="12138">
      <c r="B12138" t="n">
        <v>34401867</v>
      </c>
      <c r="C12138" s="2" t="n">
        <v>40099</v>
      </c>
      <c r="D12138" t="inlineStr">
        <is>
          <t>SPEC</t>
        </is>
      </c>
      <c r="E12138" t="inlineStr">
        <is>
          <t>PLATINE SUPPORT CARTE DRUE</t>
        </is>
      </c>
      <c r="F12138" t="inlineStr">
        <is>
          <t>STS G7000</t>
        </is>
      </c>
      <c r="J12138" t="inlineStr">
        <is>
          <t>MATRION</t>
        </is>
      </c>
      <c r="L12138">
        <f>_xlfn.XLOOKUP(Tableau1[[#This Row],[TYPE DE PIECE]],Tableau4[MATIERE],Tableau4[SHORT TYPE],"",0,1)</f>
        <v/>
      </c>
      <c r="N12138">
        <f>IF(ISERR(FIND("DECOUPE",Tableau1[[#This Row],[DESIGNATION]])),"","NEED REF")</f>
        <v/>
      </c>
    </row>
    <row r="12139">
      <c r="B12139" t="n">
        <v>34401866</v>
      </c>
      <c r="C12139" s="2" t="n">
        <v>40099</v>
      </c>
      <c r="D12139" t="inlineStr">
        <is>
          <t>SPEC</t>
        </is>
      </c>
      <c r="E12139" t="inlineStr">
        <is>
          <t>GLISSIERE CS HAUT DROITE</t>
        </is>
      </c>
      <c r="F12139" t="inlineStr">
        <is>
          <t>STS G7000</t>
        </is>
      </c>
      <c r="J12139" t="inlineStr">
        <is>
          <t>MATRION</t>
        </is>
      </c>
      <c r="L12139">
        <f>_xlfn.XLOOKUP(Tableau1[[#This Row],[TYPE DE PIECE]],Tableau4[MATIERE],Tableau4[SHORT TYPE],"",0,1)</f>
        <v/>
      </c>
      <c r="N12139">
        <f>IF(ISERR(FIND("DECOUPE",Tableau1[[#This Row],[DESIGNATION]])),"","NEED REF")</f>
        <v/>
      </c>
    </row>
    <row r="12140">
      <c r="B12140" t="n">
        <v>34401865</v>
      </c>
      <c r="C12140" s="2" t="n">
        <v>40099</v>
      </c>
      <c r="D12140" t="inlineStr">
        <is>
          <t>SPEC</t>
        </is>
      </c>
      <c r="E12140" t="inlineStr">
        <is>
          <t>GLISSIERE CS HAUT GAUCHE</t>
        </is>
      </c>
      <c r="F12140" t="inlineStr">
        <is>
          <t>STS G7000</t>
        </is>
      </c>
      <c r="J12140" t="inlineStr">
        <is>
          <t>MATRION</t>
        </is>
      </c>
      <c r="L12140">
        <f>_xlfn.XLOOKUP(Tableau1[[#This Row],[TYPE DE PIECE]],Tableau4[MATIERE],Tableau4[SHORT TYPE],"",0,1)</f>
        <v/>
      </c>
      <c r="N12140">
        <f>IF(ISERR(FIND("DECOUPE",Tableau1[[#This Row],[DESIGNATION]])),"","NEED REF")</f>
        <v/>
      </c>
    </row>
    <row r="12141">
      <c r="B12141" t="n">
        <v>34401864</v>
      </c>
      <c r="C12141" s="2" t="n">
        <v>40099</v>
      </c>
      <c r="D12141" t="inlineStr">
        <is>
          <t>SPEC</t>
        </is>
      </c>
      <c r="E12141" t="inlineStr">
        <is>
          <t>GLISSIERE CS BAS DROITE</t>
        </is>
      </c>
      <c r="F12141" t="inlineStr">
        <is>
          <t>STS G7000</t>
        </is>
      </c>
      <c r="J12141" t="inlineStr">
        <is>
          <t>MATRION</t>
        </is>
      </c>
      <c r="L12141">
        <f>_xlfn.XLOOKUP(Tableau1[[#This Row],[TYPE DE PIECE]],Tableau4[MATIERE],Tableau4[SHORT TYPE],"",0,1)</f>
        <v/>
      </c>
      <c r="N12141">
        <f>IF(ISERR(FIND("DECOUPE",Tableau1[[#This Row],[DESIGNATION]])),"","NEED REF")</f>
        <v/>
      </c>
    </row>
    <row r="12142">
      <c r="B12142" t="n">
        <v>34401863</v>
      </c>
      <c r="C12142" s="2" t="n">
        <v>40099</v>
      </c>
      <c r="D12142" t="inlineStr">
        <is>
          <t>SPEC</t>
        </is>
      </c>
      <c r="E12142" t="inlineStr">
        <is>
          <t>GLISSIERE CS BAS GAUCHE</t>
        </is>
      </c>
      <c r="F12142" t="inlineStr">
        <is>
          <t>STS G7000</t>
        </is>
      </c>
      <c r="J12142" t="inlineStr">
        <is>
          <t>MATRION</t>
        </is>
      </c>
      <c r="L12142">
        <f>_xlfn.XLOOKUP(Tableau1[[#This Row],[TYPE DE PIECE]],Tableau4[MATIERE],Tableau4[SHORT TYPE],"",0,1)</f>
        <v/>
      </c>
      <c r="N12142">
        <f>IF(ISERR(FIND("DECOUPE",Tableau1[[#This Row],[DESIGNATION]])),"","NEED REF")</f>
        <v/>
      </c>
    </row>
    <row r="12143">
      <c r="B12143" t="n">
        <v>34401862</v>
      </c>
      <c r="C12143" s="2" t="n">
        <v>40099</v>
      </c>
      <c r="D12143" t="inlineStr">
        <is>
          <t>SPEC</t>
        </is>
      </c>
      <c r="E12143" t="inlineStr">
        <is>
          <t>PLATINE CONNEXION CABLE</t>
        </is>
      </c>
      <c r="F12143" t="inlineStr">
        <is>
          <t>STS G7000</t>
        </is>
      </c>
      <c r="J12143" t="inlineStr">
        <is>
          <t>MATRION</t>
        </is>
      </c>
      <c r="L12143">
        <f>_xlfn.XLOOKUP(Tableau1[[#This Row],[TYPE DE PIECE]],Tableau4[MATIERE],Tableau4[SHORT TYPE],"",0,1)</f>
        <v/>
      </c>
      <c r="N12143">
        <f>IF(ISERR(FIND("DECOUPE",Tableau1[[#This Row],[DESIGNATION]])),"","NEED REF")</f>
        <v/>
      </c>
    </row>
    <row r="12144">
      <c r="B12144" t="n">
        <v>34401861</v>
      </c>
      <c r="C12144" s="2" t="n">
        <v>40099</v>
      </c>
      <c r="D12144" t="inlineStr">
        <is>
          <t>SPEC</t>
        </is>
      </c>
      <c r="E12144" t="inlineStr">
        <is>
          <t>BARRE JONCTION PH3-CS</t>
        </is>
      </c>
      <c r="F12144" t="inlineStr">
        <is>
          <t>STS G7000</t>
        </is>
      </c>
      <c r="J12144" t="inlineStr">
        <is>
          <t>MATRION</t>
        </is>
      </c>
      <c r="L12144">
        <f>_xlfn.XLOOKUP(Tableau1[[#This Row],[TYPE DE PIECE]],Tableau4[MATIERE],Tableau4[SHORT TYPE],"",0,1)</f>
        <v/>
      </c>
      <c r="N12144">
        <f>IF(ISERR(FIND("DECOUPE",Tableau1[[#This Row],[DESIGNATION]])),"","NEED REF")</f>
        <v/>
      </c>
    </row>
    <row r="12145">
      <c r="B12145" t="n">
        <v>34401860</v>
      </c>
      <c r="C12145" s="2" t="n">
        <v>40099</v>
      </c>
      <c r="D12145" t="inlineStr">
        <is>
          <t>SPEC</t>
        </is>
      </c>
      <c r="E12145" t="inlineStr">
        <is>
          <t>BARRE JONCTION PH2-CS</t>
        </is>
      </c>
      <c r="F12145" t="inlineStr">
        <is>
          <t>STS G7000</t>
        </is>
      </c>
      <c r="J12145" t="inlineStr">
        <is>
          <t>MATRION</t>
        </is>
      </c>
      <c r="L12145">
        <f>_xlfn.XLOOKUP(Tableau1[[#This Row],[TYPE DE PIECE]],Tableau4[MATIERE],Tableau4[SHORT TYPE],"",0,1)</f>
        <v/>
      </c>
      <c r="N12145">
        <f>IF(ISERR(FIND("DECOUPE",Tableau1[[#This Row],[DESIGNATION]])),"","NEED REF")</f>
        <v/>
      </c>
    </row>
    <row r="12146">
      <c r="B12146" t="n">
        <v>34401859</v>
      </c>
      <c r="C12146" s="2" t="n">
        <v>40099</v>
      </c>
      <c r="D12146" t="inlineStr">
        <is>
          <t>SPEC</t>
        </is>
      </c>
      <c r="E12146" t="inlineStr">
        <is>
          <t>BARRE LIAISON PH3-CS</t>
        </is>
      </c>
      <c r="F12146" t="inlineStr">
        <is>
          <t>STS G7000</t>
        </is>
      </c>
      <c r="J12146" t="inlineStr">
        <is>
          <t>MATRION</t>
        </is>
      </c>
      <c r="L12146">
        <f>_xlfn.XLOOKUP(Tableau1[[#This Row],[TYPE DE PIECE]],Tableau4[MATIERE],Tableau4[SHORT TYPE],"",0,1)</f>
        <v/>
      </c>
      <c r="N12146">
        <f>IF(ISERR(FIND("DECOUPE",Tableau1[[#This Row],[DESIGNATION]])),"","NEED REF")</f>
        <v/>
      </c>
    </row>
    <row r="12147">
      <c r="B12147" t="n">
        <v>34401858</v>
      </c>
      <c r="C12147" s="2" t="n">
        <v>40099</v>
      </c>
      <c r="D12147" t="inlineStr">
        <is>
          <t>SPEC</t>
        </is>
      </c>
      <c r="E12147" t="inlineStr">
        <is>
          <t>BARRE LIAISON PH2-CS</t>
        </is>
      </c>
      <c r="F12147" t="inlineStr">
        <is>
          <t>STS G7000</t>
        </is>
      </c>
      <c r="J12147" t="inlineStr">
        <is>
          <t>MATRION</t>
        </is>
      </c>
      <c r="L12147">
        <f>_xlfn.XLOOKUP(Tableau1[[#This Row],[TYPE DE PIECE]],Tableau4[MATIERE],Tableau4[SHORT TYPE],"",0,1)</f>
        <v/>
      </c>
      <c r="N12147">
        <f>IF(ISERR(FIND("DECOUPE",Tableau1[[#This Row],[DESIGNATION]])),"","NEED REF")</f>
        <v/>
      </c>
    </row>
    <row r="12148">
      <c r="B12148" t="n">
        <v>34401857</v>
      </c>
      <c r="C12148" s="2" t="n">
        <v>40099</v>
      </c>
      <c r="D12148" t="inlineStr">
        <is>
          <t>SPEC</t>
        </is>
      </c>
      <c r="E12148" t="inlineStr">
        <is>
          <t>BARRE LIAISON PH1-CS</t>
        </is>
      </c>
      <c r="F12148" t="inlineStr">
        <is>
          <t>STS G7000</t>
        </is>
      </c>
      <c r="J12148" t="inlineStr">
        <is>
          <t>MATRION</t>
        </is>
      </c>
      <c r="L12148">
        <f>_xlfn.XLOOKUP(Tableau1[[#This Row],[TYPE DE PIECE]],Tableau4[MATIERE],Tableau4[SHORT TYPE],"",0,1)</f>
        <v/>
      </c>
      <c r="N12148">
        <f>IF(ISERR(FIND("DECOUPE",Tableau1[[#This Row],[DESIGNATION]])),"","NEED REF")</f>
        <v/>
      </c>
    </row>
    <row r="12149">
      <c r="B12149" t="n">
        <v>34401856</v>
      </c>
      <c r="C12149" s="2" t="n">
        <v>40099</v>
      </c>
      <c r="D12149" t="inlineStr">
        <is>
          <t>SPEC</t>
        </is>
      </c>
      <c r="E12149" t="inlineStr">
        <is>
          <t>EQUERRE JONCTION PH1-CS</t>
        </is>
      </c>
      <c r="F12149" t="inlineStr">
        <is>
          <t>STS G7000</t>
        </is>
      </c>
      <c r="J12149" t="inlineStr">
        <is>
          <t>MATRION</t>
        </is>
      </c>
      <c r="L12149">
        <f>_xlfn.XLOOKUP(Tableau1[[#This Row],[TYPE DE PIECE]],Tableau4[MATIERE],Tableau4[SHORT TYPE],"",0,1)</f>
        <v/>
      </c>
      <c r="N12149">
        <f>IF(ISERR(FIND("DECOUPE",Tableau1[[#This Row],[DESIGNATION]])),"","NEED REF")</f>
        <v/>
      </c>
    </row>
    <row r="12150">
      <c r="B12150" t="n">
        <v>34401855</v>
      </c>
      <c r="C12150" s="2" t="n">
        <v>40099</v>
      </c>
      <c r="D12150" t="inlineStr">
        <is>
          <t>SPEC</t>
        </is>
      </c>
      <c r="E12150" t="inlineStr">
        <is>
          <t>SUPPORT JDB RACC HAUT</t>
        </is>
      </c>
      <c r="F12150" t="inlineStr">
        <is>
          <t>STS G7000</t>
        </is>
      </c>
      <c r="J12150" t="inlineStr">
        <is>
          <t>MATRION</t>
        </is>
      </c>
      <c r="L12150">
        <f>_xlfn.XLOOKUP(Tableau1[[#This Row],[TYPE DE PIECE]],Tableau4[MATIERE],Tableau4[SHORT TYPE],"",0,1)</f>
        <v/>
      </c>
      <c r="N12150">
        <f>IF(ISERR(FIND("DECOUPE",Tableau1[[#This Row],[DESIGNATION]])),"","NEED REF")</f>
        <v/>
      </c>
    </row>
    <row r="12151">
      <c r="B12151" t="n">
        <v>34401854</v>
      </c>
      <c r="C12151" s="2" t="n">
        <v>40099</v>
      </c>
      <c r="D12151" t="inlineStr">
        <is>
          <t>SPEC</t>
        </is>
      </c>
      <c r="E12151" t="inlineStr">
        <is>
          <t>PLATINE SUPPORT RC275</t>
        </is>
      </c>
      <c r="F12151" t="inlineStr">
        <is>
          <t>STS G7000</t>
        </is>
      </c>
      <c r="J12151" t="inlineStr">
        <is>
          <t>MATRION</t>
        </is>
      </c>
      <c r="L12151">
        <f>_xlfn.XLOOKUP(Tableau1[[#This Row],[TYPE DE PIECE]],Tableau4[MATIERE],Tableau4[SHORT TYPE],"",0,1)</f>
        <v/>
      </c>
      <c r="N12151">
        <f>IF(ISERR(FIND("DECOUPE",Tableau1[[#This Row],[DESIGNATION]])),"","NEED REF")</f>
        <v/>
      </c>
    </row>
    <row r="12152">
      <c r="B12152" t="n">
        <v>34401853</v>
      </c>
      <c r="C12152" s="2" t="n">
        <v>40099</v>
      </c>
      <c r="D12152" t="inlineStr">
        <is>
          <t>SPEC</t>
        </is>
      </c>
      <c r="E12152" t="inlineStr">
        <is>
          <t>BARRE SOUPLE CS UTILISATION BAS</t>
        </is>
      </c>
      <c r="F12152" t="inlineStr">
        <is>
          <t>STS G7000</t>
        </is>
      </c>
      <c r="J12152" t="inlineStr">
        <is>
          <t>MATRION</t>
        </is>
      </c>
      <c r="L12152">
        <f>_xlfn.XLOOKUP(Tableau1[[#This Row],[TYPE DE PIECE]],Tableau4[MATIERE],Tableau4[SHORT TYPE],"",0,1)</f>
        <v/>
      </c>
      <c r="N12152">
        <f>IF(ISERR(FIND("DECOUPE",Tableau1[[#This Row],[DESIGNATION]])),"","NEED REF")</f>
        <v/>
      </c>
    </row>
    <row r="12153">
      <c r="B12153" t="n">
        <v>34401852</v>
      </c>
      <c r="C12153" s="2" t="n">
        <v>40099</v>
      </c>
      <c r="D12153" t="inlineStr">
        <is>
          <t>SPEC</t>
        </is>
      </c>
      <c r="E12153" t="inlineStr">
        <is>
          <t>LIAISON BARRE SOUPLE NEUTRE VERS GAINE DROITE</t>
        </is>
      </c>
      <c r="F12153" t="inlineStr">
        <is>
          <t>STS G7000</t>
        </is>
      </c>
      <c r="J12153" t="inlineStr">
        <is>
          <t>MATRION</t>
        </is>
      </c>
      <c r="L12153">
        <f>_xlfn.XLOOKUP(Tableau1[[#This Row],[TYPE DE PIECE]],Tableau4[MATIERE],Tableau4[SHORT TYPE],"",0,1)</f>
        <v/>
      </c>
      <c r="N12153">
        <f>IF(ISERR(FIND("DECOUPE",Tableau1[[#This Row],[DESIGNATION]])),"","NEED REF")</f>
        <v/>
      </c>
    </row>
    <row r="12154">
      <c r="B12154" t="n">
        <v>34401851</v>
      </c>
      <c r="C12154" s="2" t="n">
        <v>40099</v>
      </c>
      <c r="D12154" t="inlineStr">
        <is>
          <t>SPEC</t>
        </is>
      </c>
      <c r="E12154" t="inlineStr">
        <is>
          <t>LIAISON BARRE SOUPLE NEUTRE VERS GAINE GAUCHE</t>
        </is>
      </c>
      <c r="F12154" t="inlineStr">
        <is>
          <t>STS G7000</t>
        </is>
      </c>
      <c r="J12154" t="inlineStr">
        <is>
          <t>MATRION</t>
        </is>
      </c>
      <c r="L12154">
        <f>_xlfn.XLOOKUP(Tableau1[[#This Row],[TYPE DE PIECE]],Tableau4[MATIERE],Tableau4[SHORT TYPE],"",0,1)</f>
        <v/>
      </c>
      <c r="N12154">
        <f>IF(ISERR(FIND("DECOUPE",Tableau1[[#This Row],[DESIGNATION]])),"","NEED REF")</f>
        <v/>
      </c>
    </row>
    <row r="12155">
      <c r="B12155" t="n">
        <v>34401850</v>
      </c>
      <c r="C12155" s="2" t="n">
        <v>40099</v>
      </c>
      <c r="D12155" t="inlineStr">
        <is>
          <t>SPEC</t>
        </is>
      </c>
      <c r="E12155" t="inlineStr">
        <is>
          <t>BARRE CONTACTEUR NEUTRE AMONT</t>
        </is>
      </c>
      <c r="F12155" t="inlineStr">
        <is>
          <t>STS G7000</t>
        </is>
      </c>
      <c r="J12155" t="inlineStr">
        <is>
          <t>MATRION</t>
        </is>
      </c>
      <c r="L12155">
        <f>_xlfn.XLOOKUP(Tableau1[[#This Row],[TYPE DE PIECE]],Tableau4[MATIERE],Tableau4[SHORT TYPE],"",0,1)</f>
        <v/>
      </c>
      <c r="N12155">
        <f>IF(ISERR(FIND("DECOUPE",Tableau1[[#This Row],[DESIGNATION]])),"","NEED REF")</f>
        <v/>
      </c>
    </row>
    <row r="12156">
      <c r="B12156" t="n">
        <v>34401849</v>
      </c>
      <c r="C12156" s="2" t="n">
        <v>40099</v>
      </c>
      <c r="D12156" t="inlineStr">
        <is>
          <t>SPEC</t>
        </is>
      </c>
      <c r="E12156" t="inlineStr">
        <is>
          <t>BARRE LIAISON EQUERRE CS</t>
        </is>
      </c>
      <c r="F12156" t="inlineStr">
        <is>
          <t>STS G7000</t>
        </is>
      </c>
      <c r="J12156" t="inlineStr">
        <is>
          <t>MATRION</t>
        </is>
      </c>
      <c r="L12156">
        <f>_xlfn.XLOOKUP(Tableau1[[#This Row],[TYPE DE PIECE]],Tableau4[MATIERE],Tableau4[SHORT TYPE],"",0,1)</f>
        <v/>
      </c>
      <c r="N12156">
        <f>IF(ISERR(FIND("DECOUPE",Tableau1[[#This Row],[DESIGNATION]])),"","NEED REF")</f>
        <v/>
      </c>
    </row>
    <row r="12157">
      <c r="B12157" t="n">
        <v>34401848</v>
      </c>
      <c r="C12157" s="2" t="n">
        <v>40099</v>
      </c>
      <c r="D12157" t="inlineStr">
        <is>
          <t>SPEC</t>
        </is>
      </c>
      <c r="E12157" t="inlineStr">
        <is>
          <t>BARRE SOUPLE CS STS 800</t>
        </is>
      </c>
      <c r="F12157" t="inlineStr">
        <is>
          <t>STS G7000</t>
        </is>
      </c>
      <c r="J12157" t="inlineStr">
        <is>
          <t>MATRION</t>
        </is>
      </c>
      <c r="L12157">
        <f>_xlfn.XLOOKUP(Tableau1[[#This Row],[TYPE DE PIECE]],Tableau4[MATIERE],Tableau4[SHORT TYPE],"",0,1)</f>
        <v/>
      </c>
      <c r="N12157">
        <f>IF(ISERR(FIND("DECOUPE",Tableau1[[#This Row],[DESIGNATION]])),"","NEED REF")</f>
        <v/>
      </c>
    </row>
    <row r="12158">
      <c r="B12158" t="n">
        <v>34401847</v>
      </c>
      <c r="C12158" s="2" t="n">
        <v>40099</v>
      </c>
      <c r="D12158" t="inlineStr">
        <is>
          <t>SPEC</t>
        </is>
      </c>
      <c r="E12158" t="inlineStr">
        <is>
          <t>RESEAU HORIZONTAL</t>
        </is>
      </c>
      <c r="F12158" t="inlineStr">
        <is>
          <t>STS G7000</t>
        </is>
      </c>
      <c r="J12158" t="inlineStr">
        <is>
          <t>MATRION</t>
        </is>
      </c>
      <c r="L12158">
        <f>_xlfn.XLOOKUP(Tableau1[[#This Row],[TYPE DE PIECE]],Tableau4[MATIERE],Tableau4[SHORT TYPE],"",0,1)</f>
        <v/>
      </c>
      <c r="N12158">
        <f>IF(ISERR(FIND("DECOUPE",Tableau1[[#This Row],[DESIGNATION]])),"","NEED REF")</f>
        <v/>
      </c>
    </row>
    <row r="12159">
      <c r="B12159" t="n">
        <v>34401846</v>
      </c>
      <c r="C12159" s="2" t="n">
        <v>40099</v>
      </c>
      <c r="D12159" t="inlineStr">
        <is>
          <t>SPEC</t>
        </is>
      </c>
      <c r="E12159" t="inlineStr">
        <is>
          <t>RESEAU VERTICAL</t>
        </is>
      </c>
      <c r="F12159" t="inlineStr">
        <is>
          <t>STS G7000</t>
        </is>
      </c>
      <c r="J12159" t="inlineStr">
        <is>
          <t>MATRION</t>
        </is>
      </c>
      <c r="L12159">
        <f>_xlfn.XLOOKUP(Tableau1[[#This Row],[TYPE DE PIECE]],Tableau4[MATIERE],Tableau4[SHORT TYPE],"",0,1)</f>
        <v/>
      </c>
      <c r="N12159">
        <f>IF(ISERR(FIND("DECOUPE",Tableau1[[#This Row],[DESIGNATION]])),"","NEED REF")</f>
        <v/>
      </c>
    </row>
    <row r="12160">
      <c r="B12160" t="n">
        <v>34401845</v>
      </c>
      <c r="C12160" s="2" t="n">
        <v>40099</v>
      </c>
      <c r="D12160" t="inlineStr">
        <is>
          <t>SPEC</t>
        </is>
      </c>
      <c r="E12160" t="inlineStr">
        <is>
          <t>DRAPEAU</t>
        </is>
      </c>
      <c r="F12160" t="inlineStr">
        <is>
          <t>STS G7000</t>
        </is>
      </c>
      <c r="J12160" t="inlineStr">
        <is>
          <t>MATRION</t>
        </is>
      </c>
      <c r="L12160">
        <f>_xlfn.XLOOKUP(Tableau1[[#This Row],[TYPE DE PIECE]],Tableau4[MATIERE],Tableau4[SHORT TYPE],"",0,1)</f>
        <v/>
      </c>
      <c r="N12160">
        <f>IF(ISERR(FIND("DECOUPE",Tableau1[[#This Row],[DESIGNATION]])),"","NEED REF")</f>
        <v/>
      </c>
    </row>
    <row r="12161">
      <c r="B12161" t="n">
        <v>34401844</v>
      </c>
      <c r="C12161" s="2" t="n">
        <v>40099</v>
      </c>
      <c r="D12161" t="inlineStr">
        <is>
          <t>SPEC</t>
        </is>
      </c>
      <c r="E12161" t="inlineStr">
        <is>
          <t>LIAISON Q-QBP</t>
        </is>
      </c>
      <c r="F12161" t="inlineStr">
        <is>
          <t>STS G7000</t>
        </is>
      </c>
      <c r="J12161" t="inlineStr">
        <is>
          <t>MATRION</t>
        </is>
      </c>
      <c r="L12161">
        <f>_xlfn.XLOOKUP(Tableau1[[#This Row],[TYPE DE PIECE]],Tableau4[MATIERE],Tableau4[SHORT TYPE],"",0,1)</f>
        <v/>
      </c>
      <c r="N12161">
        <f>IF(ISERR(FIND("DECOUPE",Tableau1[[#This Row],[DESIGNATION]])),"","NEED REF")</f>
        <v/>
      </c>
    </row>
    <row r="12162">
      <c r="B12162" t="n">
        <v>34401843</v>
      </c>
      <c r="C12162" s="2" t="n">
        <v>40099</v>
      </c>
      <c r="D12162" t="inlineStr">
        <is>
          <t>SPEC</t>
        </is>
      </c>
      <c r="E12162" t="inlineStr">
        <is>
          <t>PROFIL MODULE TRANSVERSAL</t>
        </is>
      </c>
      <c r="F12162" t="inlineStr">
        <is>
          <t>STS G7000</t>
        </is>
      </c>
      <c r="J12162" t="inlineStr">
        <is>
          <t>MATRION</t>
        </is>
      </c>
      <c r="L12162">
        <f>_xlfn.XLOOKUP(Tableau1[[#This Row],[TYPE DE PIECE]],Tableau4[MATIERE],Tableau4[SHORT TYPE],"",0,1)</f>
        <v/>
      </c>
      <c r="N12162">
        <f>IF(ISERR(FIND("DECOUPE",Tableau1[[#This Row],[DESIGNATION]])),"","NEED REF")</f>
        <v/>
      </c>
    </row>
    <row r="12163">
      <c r="B12163" t="n">
        <v>34401842</v>
      </c>
      <c r="C12163" s="2" t="n">
        <v>40099</v>
      </c>
      <c r="D12163" t="inlineStr">
        <is>
          <t>SPEC</t>
        </is>
      </c>
      <c r="E12163" t="inlineStr">
        <is>
          <t>BARRE PH 3 LIAISON QBP - Q3</t>
        </is>
      </c>
      <c r="F12163" t="inlineStr">
        <is>
          <t>STS G7000</t>
        </is>
      </c>
      <c r="J12163" t="inlineStr">
        <is>
          <t>MATRION</t>
        </is>
      </c>
      <c r="L12163">
        <f>_xlfn.XLOOKUP(Tableau1[[#This Row],[TYPE DE PIECE]],Tableau4[MATIERE],Tableau4[SHORT TYPE],"",0,1)</f>
        <v/>
      </c>
      <c r="N12163">
        <f>IF(ISERR(FIND("DECOUPE",Tableau1[[#This Row],[DESIGNATION]])),"","NEED REF")</f>
        <v/>
      </c>
    </row>
    <row r="12164">
      <c r="B12164" t="n">
        <v>34401841</v>
      </c>
      <c r="C12164" s="2" t="n">
        <v>40099</v>
      </c>
      <c r="D12164" t="inlineStr">
        <is>
          <t>SPEC</t>
        </is>
      </c>
      <c r="E12164" t="inlineStr">
        <is>
          <t>BARRE PH 2 LIAISON QBP - Q3</t>
        </is>
      </c>
      <c r="F12164" t="inlineStr">
        <is>
          <t>STS G7000</t>
        </is>
      </c>
      <c r="J12164" t="inlineStr">
        <is>
          <t>MATRION</t>
        </is>
      </c>
      <c r="L12164">
        <f>_xlfn.XLOOKUP(Tableau1[[#This Row],[TYPE DE PIECE]],Tableau4[MATIERE],Tableau4[SHORT TYPE],"",0,1)</f>
        <v/>
      </c>
      <c r="N12164">
        <f>IF(ISERR(FIND("DECOUPE",Tableau1[[#This Row],[DESIGNATION]])),"","NEED REF")</f>
        <v/>
      </c>
    </row>
    <row r="12165">
      <c r="B12165" t="n">
        <v>34401840</v>
      </c>
      <c r="C12165" s="2" t="n">
        <v>40099</v>
      </c>
      <c r="D12165" t="inlineStr">
        <is>
          <t>SPEC</t>
        </is>
      </c>
      <c r="E12165" t="inlineStr">
        <is>
          <t>BARRE PH 1 LIAISON QBP - Q3</t>
        </is>
      </c>
      <c r="F12165" t="inlineStr">
        <is>
          <t>STS G7000</t>
        </is>
      </c>
      <c r="J12165" t="inlineStr">
        <is>
          <t>MATRION</t>
        </is>
      </c>
      <c r="L12165">
        <f>_xlfn.XLOOKUP(Tableau1[[#This Row],[TYPE DE PIECE]],Tableau4[MATIERE],Tableau4[SHORT TYPE],"",0,1)</f>
        <v/>
      </c>
      <c r="N12165">
        <f>IF(ISERR(FIND("DECOUPE",Tableau1[[#This Row],[DESIGNATION]])),"","NEED REF")</f>
        <v/>
      </c>
    </row>
    <row r="12166">
      <c r="B12166" t="n">
        <v>34401839</v>
      </c>
      <c r="C12166" s="2" t="n">
        <v>40099</v>
      </c>
      <c r="D12166" t="inlineStr">
        <is>
          <t>SPEC</t>
        </is>
      </c>
      <c r="E12166" t="inlineStr">
        <is>
          <t>BARRE N LIAISON QBP - Q3</t>
        </is>
      </c>
      <c r="F12166" t="inlineStr">
        <is>
          <t>STS G7000</t>
        </is>
      </c>
      <c r="J12166" t="inlineStr">
        <is>
          <t>MATRION</t>
        </is>
      </c>
      <c r="L12166">
        <f>_xlfn.XLOOKUP(Tableau1[[#This Row],[TYPE DE PIECE]],Tableau4[MATIERE],Tableau4[SHORT TYPE],"",0,1)</f>
        <v/>
      </c>
      <c r="N12166">
        <f>IF(ISERR(FIND("DECOUPE",Tableau1[[#This Row],[DESIGNATION]])),"","NEED REF")</f>
        <v/>
      </c>
    </row>
    <row r="12167">
      <c r="B12167" t="n">
        <v>34401838</v>
      </c>
      <c r="C12167" s="2" t="n">
        <v>40099</v>
      </c>
      <c r="D12167" t="inlineStr">
        <is>
          <t>SPEC</t>
        </is>
      </c>
      <c r="E12167" t="inlineStr">
        <is>
          <t>BARRE LIAISON N TYRISTOR</t>
        </is>
      </c>
      <c r="F12167" t="inlineStr">
        <is>
          <t>STS G7000</t>
        </is>
      </c>
      <c r="J12167" t="inlineStr">
        <is>
          <t>MATRION</t>
        </is>
      </c>
      <c r="L12167">
        <f>_xlfn.XLOOKUP(Tableau1[[#This Row],[TYPE DE PIECE]],Tableau4[MATIERE],Tableau4[SHORT TYPE],"",0,1)</f>
        <v/>
      </c>
      <c r="N12167">
        <f>IF(ISERR(FIND("DECOUPE",Tableau1[[#This Row],[DESIGNATION]])),"","NEED REF")</f>
        <v/>
      </c>
    </row>
    <row r="12168">
      <c r="B12168" t="n">
        <v>34401837</v>
      </c>
      <c r="C12168" s="2" t="n">
        <v>40099</v>
      </c>
      <c r="D12168" t="inlineStr">
        <is>
          <t>SPEC</t>
        </is>
      </c>
      <c r="E12168" t="inlineStr">
        <is>
          <t>EQUERRE LIAISON N TYRISTOR</t>
        </is>
      </c>
      <c r="F12168" t="inlineStr">
        <is>
          <t>STS G7000</t>
        </is>
      </c>
      <c r="J12168" t="inlineStr">
        <is>
          <t>MATRION</t>
        </is>
      </c>
      <c r="L12168">
        <f>_xlfn.XLOOKUP(Tableau1[[#This Row],[TYPE DE PIECE]],Tableau4[MATIERE],Tableau4[SHORT TYPE],"",0,1)</f>
        <v/>
      </c>
      <c r="N12168">
        <f>IF(ISERR(FIND("DECOUPE",Tableau1[[#This Row],[DESIGNATION]])),"","NEED REF")</f>
        <v/>
      </c>
    </row>
    <row r="12169">
      <c r="B12169" t="n">
        <v>34401836</v>
      </c>
      <c r="C12169" s="2" t="n">
        <v>40099</v>
      </c>
      <c r="D12169" t="inlineStr">
        <is>
          <t>SPEC</t>
        </is>
      </c>
      <c r="E12169" t="inlineStr">
        <is>
          <t>BARRE Q3 AVAL n2</t>
        </is>
      </c>
      <c r="F12169" t="inlineStr">
        <is>
          <t>STS G7000</t>
        </is>
      </c>
      <c r="J12169" t="inlineStr">
        <is>
          <t>MATRION</t>
        </is>
      </c>
      <c r="L12169">
        <f>_xlfn.XLOOKUP(Tableau1[[#This Row],[TYPE DE PIECE]],Tableau4[MATIERE],Tableau4[SHORT TYPE],"",0,1)</f>
        <v/>
      </c>
      <c r="N12169">
        <f>IF(ISERR(FIND("DECOUPE",Tableau1[[#This Row],[DESIGNATION]])),"","NEED REF")</f>
        <v/>
      </c>
    </row>
    <row r="12170">
      <c r="B12170" t="n">
        <v>34401835</v>
      </c>
      <c r="C12170" s="2" t="n">
        <v>40099</v>
      </c>
      <c r="D12170" t="inlineStr">
        <is>
          <t>SPEC</t>
        </is>
      </c>
      <c r="E12170" t="inlineStr">
        <is>
          <t>BARRE Q3 AVAL n1</t>
        </is>
      </c>
      <c r="F12170" t="inlineStr">
        <is>
          <t>STS G7000</t>
        </is>
      </c>
      <c r="J12170" t="inlineStr">
        <is>
          <t>MATRION</t>
        </is>
      </c>
      <c r="L12170">
        <f>_xlfn.XLOOKUP(Tableau1[[#This Row],[TYPE DE PIECE]],Tableau4[MATIERE],Tableau4[SHORT TYPE],"",0,1)</f>
        <v/>
      </c>
      <c r="N12170">
        <f>IF(ISERR(FIND("DECOUPE",Tableau1[[#This Row],[DESIGNATION]])),"","NEED REF")</f>
        <v/>
      </c>
    </row>
    <row r="12171">
      <c r="B12171" t="n">
        <v>34401834</v>
      </c>
      <c r="C12171" s="2" t="n">
        <v>40099</v>
      </c>
      <c r="D12171" t="inlineStr">
        <is>
          <t>SPEC</t>
        </is>
      </c>
      <c r="E12171" t="inlineStr">
        <is>
          <t>BARRE Q3 AVAL ph3.2</t>
        </is>
      </c>
      <c r="F12171" t="inlineStr">
        <is>
          <t>STS G7000</t>
        </is>
      </c>
      <c r="J12171" t="inlineStr">
        <is>
          <t>MATRION</t>
        </is>
      </c>
      <c r="L12171">
        <f>_xlfn.XLOOKUP(Tableau1[[#This Row],[TYPE DE PIECE]],Tableau4[MATIERE],Tableau4[SHORT TYPE],"",0,1)</f>
        <v/>
      </c>
      <c r="N12171">
        <f>IF(ISERR(FIND("DECOUPE",Tableau1[[#This Row],[DESIGNATION]])),"","NEED REF")</f>
        <v/>
      </c>
    </row>
    <row r="12172">
      <c r="B12172" t="n">
        <v>34401833</v>
      </c>
      <c r="C12172" s="2" t="n">
        <v>40099</v>
      </c>
      <c r="D12172" t="inlineStr">
        <is>
          <t>SPEC</t>
        </is>
      </c>
      <c r="E12172" t="inlineStr">
        <is>
          <t>BARRE Q3 AVAL ph3.1</t>
        </is>
      </c>
      <c r="F12172" t="inlineStr">
        <is>
          <t>STS G7000</t>
        </is>
      </c>
      <c r="J12172" t="inlineStr">
        <is>
          <t>MATRION</t>
        </is>
      </c>
      <c r="L12172">
        <f>_xlfn.XLOOKUP(Tableau1[[#This Row],[TYPE DE PIECE]],Tableau4[MATIERE],Tableau4[SHORT TYPE],"",0,1)</f>
        <v/>
      </c>
      <c r="N12172">
        <f>IF(ISERR(FIND("DECOUPE",Tableau1[[#This Row],[DESIGNATION]])),"","NEED REF")</f>
        <v/>
      </c>
    </row>
    <row r="12173">
      <c r="B12173" t="n">
        <v>34401832</v>
      </c>
      <c r="C12173" s="2" t="n">
        <v>40099</v>
      </c>
      <c r="D12173" t="inlineStr">
        <is>
          <t>SPEC</t>
        </is>
      </c>
      <c r="E12173" t="inlineStr">
        <is>
          <t>BARRE Q3 AVAL ph2.2</t>
        </is>
      </c>
      <c r="F12173" t="inlineStr">
        <is>
          <t>STS G7000</t>
        </is>
      </c>
      <c r="J12173" t="inlineStr">
        <is>
          <t>MATRION</t>
        </is>
      </c>
      <c r="L12173">
        <f>_xlfn.XLOOKUP(Tableau1[[#This Row],[TYPE DE PIECE]],Tableau4[MATIERE],Tableau4[SHORT TYPE],"",0,1)</f>
        <v/>
      </c>
      <c r="N12173">
        <f>IF(ISERR(FIND("DECOUPE",Tableau1[[#This Row],[DESIGNATION]])),"","NEED REF")</f>
        <v/>
      </c>
    </row>
    <row r="12174">
      <c r="B12174" t="n">
        <v>34401831</v>
      </c>
      <c r="C12174" s="2" t="n">
        <v>40099</v>
      </c>
      <c r="D12174" t="inlineStr">
        <is>
          <t>SPEC</t>
        </is>
      </c>
      <c r="E12174" t="inlineStr">
        <is>
          <t>BARRE Q3 AVAL ph2.1</t>
        </is>
      </c>
      <c r="F12174" t="inlineStr">
        <is>
          <t>STS G7000</t>
        </is>
      </c>
      <c r="J12174" t="inlineStr">
        <is>
          <t>MATRION</t>
        </is>
      </c>
      <c r="L12174">
        <f>_xlfn.XLOOKUP(Tableau1[[#This Row],[TYPE DE PIECE]],Tableau4[MATIERE],Tableau4[SHORT TYPE],"",0,1)</f>
        <v/>
      </c>
      <c r="N12174">
        <f>IF(ISERR(FIND("DECOUPE",Tableau1[[#This Row],[DESIGNATION]])),"","NEED REF")</f>
        <v/>
      </c>
    </row>
    <row r="12175">
      <c r="B12175" t="n">
        <v>34401830</v>
      </c>
      <c r="C12175" s="2" t="n">
        <v>40099</v>
      </c>
      <c r="D12175" t="inlineStr">
        <is>
          <t>SPEC</t>
        </is>
      </c>
      <c r="E12175" t="inlineStr">
        <is>
          <t>BARRE Q3 AVAL ph1.2</t>
        </is>
      </c>
      <c r="F12175" t="inlineStr">
        <is>
          <t>STS G7000</t>
        </is>
      </c>
      <c r="J12175" t="inlineStr">
        <is>
          <t>MATRION</t>
        </is>
      </c>
      <c r="L12175">
        <f>_xlfn.XLOOKUP(Tableau1[[#This Row],[TYPE DE PIECE]],Tableau4[MATIERE],Tableau4[SHORT TYPE],"",0,1)</f>
        <v/>
      </c>
      <c r="N12175">
        <f>IF(ISERR(FIND("DECOUPE",Tableau1[[#This Row],[DESIGNATION]])),"","NEED REF")</f>
        <v/>
      </c>
    </row>
    <row r="12176">
      <c r="B12176" t="n">
        <v>34401829</v>
      </c>
      <c r="C12176" s="2" t="n">
        <v>40099</v>
      </c>
      <c r="D12176" t="inlineStr">
        <is>
          <t>SPEC</t>
        </is>
      </c>
      <c r="E12176" t="inlineStr">
        <is>
          <t>BARRE Q3 AVAL ph1.1</t>
        </is>
      </c>
      <c r="F12176" t="inlineStr">
        <is>
          <t>STS G7000</t>
        </is>
      </c>
      <c r="J12176" t="inlineStr">
        <is>
          <t>MATRION</t>
        </is>
      </c>
      <c r="L12176">
        <f>_xlfn.XLOOKUP(Tableau1[[#This Row],[TYPE DE PIECE]],Tableau4[MATIERE],Tableau4[SHORT TYPE],"",0,1)</f>
        <v/>
      </c>
      <c r="N12176">
        <f>IF(ISERR(FIND("DECOUPE",Tableau1[[#This Row],[DESIGNATION]])),"","NEED REF")</f>
        <v/>
      </c>
    </row>
    <row r="12177">
      <c r="B12177" t="n">
        <v>34401828</v>
      </c>
      <c r="C12177" s="2" t="n">
        <v>40099</v>
      </c>
      <c r="D12177" t="inlineStr">
        <is>
          <t>SPEC</t>
        </is>
      </c>
      <c r="E12177" t="inlineStr">
        <is>
          <t>TRAVERSE SPT AVAL</t>
        </is>
      </c>
      <c r="F12177" t="inlineStr">
        <is>
          <t>STS G7000</t>
        </is>
      </c>
      <c r="J12177" t="inlineStr">
        <is>
          <t>MATRION</t>
        </is>
      </c>
      <c r="L12177">
        <f>_xlfn.XLOOKUP(Tableau1[[#This Row],[TYPE DE PIECE]],Tableau4[MATIERE],Tableau4[SHORT TYPE],"",0,1)</f>
        <v/>
      </c>
      <c r="N12177">
        <f>IF(ISERR(FIND("DECOUPE",Tableau1[[#This Row],[DESIGNATION]])),"","NEED REF")</f>
        <v/>
      </c>
    </row>
    <row r="12178">
      <c r="B12178" t="n">
        <v>34401827</v>
      </c>
      <c r="C12178" s="2" t="n">
        <v>40099</v>
      </c>
      <c r="D12178" t="inlineStr">
        <is>
          <t>SPEC</t>
        </is>
      </c>
      <c r="E12178" t="inlineStr">
        <is>
          <t>PROFIL LATERAL BAS DROIT SPT INTER Q3</t>
        </is>
      </c>
      <c r="F12178" t="inlineStr">
        <is>
          <t>STS G7000</t>
        </is>
      </c>
      <c r="J12178" t="inlineStr">
        <is>
          <t>MATRION</t>
        </is>
      </c>
      <c r="L12178">
        <f>_xlfn.XLOOKUP(Tableau1[[#This Row],[TYPE DE PIECE]],Tableau4[MATIERE],Tableau4[SHORT TYPE],"",0,1)</f>
        <v/>
      </c>
      <c r="N12178">
        <f>IF(ISERR(FIND("DECOUPE",Tableau1[[#This Row],[DESIGNATION]])),"","NEED REF")</f>
        <v/>
      </c>
    </row>
    <row r="12179">
      <c r="B12179" t="n">
        <v>34401826</v>
      </c>
      <c r="C12179" s="2" t="n">
        <v>40099</v>
      </c>
      <c r="D12179" t="inlineStr">
        <is>
          <t>SPEC</t>
        </is>
      </c>
      <c r="E12179" t="inlineStr">
        <is>
          <t>PROFIL LATERAL HAUT DROIT SPT INTER Q3</t>
        </is>
      </c>
      <c r="F12179" t="inlineStr">
        <is>
          <t>STS G7000</t>
        </is>
      </c>
      <c r="J12179" t="inlineStr">
        <is>
          <t>MATRION</t>
        </is>
      </c>
      <c r="L12179">
        <f>_xlfn.XLOOKUP(Tableau1[[#This Row],[TYPE DE PIECE]],Tableau4[MATIERE],Tableau4[SHORT TYPE],"",0,1)</f>
        <v/>
      </c>
      <c r="N12179">
        <f>IF(ISERR(FIND("DECOUPE",Tableau1[[#This Row],[DESIGNATION]])),"","NEED REF")</f>
        <v/>
      </c>
    </row>
    <row r="12180">
      <c r="B12180" t="n">
        <v>34401825</v>
      </c>
      <c r="C12180" s="2" t="n">
        <v>40099</v>
      </c>
      <c r="D12180" t="inlineStr">
        <is>
          <t>SPEC</t>
        </is>
      </c>
      <c r="E12180" t="inlineStr">
        <is>
          <t>PROFIL LATERAL BAS GAUCHE SPT INTER Q3</t>
        </is>
      </c>
      <c r="F12180" t="inlineStr">
        <is>
          <t>STS G7000</t>
        </is>
      </c>
      <c r="J12180" t="inlineStr">
        <is>
          <t>MATRION</t>
        </is>
      </c>
      <c r="L12180">
        <f>_xlfn.XLOOKUP(Tableau1[[#This Row],[TYPE DE PIECE]],Tableau4[MATIERE],Tableau4[SHORT TYPE],"",0,1)</f>
        <v/>
      </c>
      <c r="N12180">
        <f>IF(ISERR(FIND("DECOUPE",Tableau1[[#This Row],[DESIGNATION]])),"","NEED REF")</f>
        <v/>
      </c>
    </row>
    <row r="12181">
      <c r="B12181" t="n">
        <v>34401824</v>
      </c>
      <c r="C12181" s="2" t="n">
        <v>40099</v>
      </c>
      <c r="D12181" t="inlineStr">
        <is>
          <t>SPEC</t>
        </is>
      </c>
      <c r="E12181" t="inlineStr">
        <is>
          <t>PROFIL LATERAL HAUT GAUCHE SPT INTER Q3</t>
        </is>
      </c>
      <c r="F12181" t="inlineStr">
        <is>
          <t>STS G7000</t>
        </is>
      </c>
      <c r="J12181" t="inlineStr">
        <is>
          <t>MATRION</t>
        </is>
      </c>
      <c r="L12181">
        <f>_xlfn.XLOOKUP(Tableau1[[#This Row],[TYPE DE PIECE]],Tableau4[MATIERE],Tableau4[SHORT TYPE],"",0,1)</f>
        <v/>
      </c>
      <c r="N12181">
        <f>IF(ISERR(FIND("DECOUPE",Tableau1[[#This Row],[DESIGNATION]])),"","NEED REF")</f>
        <v/>
      </c>
    </row>
    <row r="12182">
      <c r="B12182" t="n">
        <v>34401823</v>
      </c>
      <c r="C12182" s="2" t="n">
        <v>40099</v>
      </c>
      <c r="D12182" t="inlineStr">
        <is>
          <t>SPEC</t>
        </is>
      </c>
      <c r="E12182" t="inlineStr">
        <is>
          <t>TRAVERSE 930</t>
        </is>
      </c>
      <c r="F12182" t="inlineStr">
        <is>
          <t>STS G7000</t>
        </is>
      </c>
      <c r="J12182" t="inlineStr">
        <is>
          <t>MATRION</t>
        </is>
      </c>
      <c r="L12182">
        <f>_xlfn.XLOOKUP(Tableau1[[#This Row],[TYPE DE PIECE]],Tableau4[MATIERE],Tableau4[SHORT TYPE],"",0,1)</f>
        <v/>
      </c>
      <c r="N12182">
        <f>IF(ISERR(FIND("DECOUPE",Tableau1[[#This Row],[DESIGNATION]])),"","NEED REF")</f>
        <v/>
      </c>
    </row>
    <row r="12183">
      <c r="B12183" t="n">
        <v>34401822</v>
      </c>
      <c r="C12183" s="2" t="n">
        <v>40099</v>
      </c>
      <c r="D12183" t="inlineStr">
        <is>
          <t>SPEC</t>
        </is>
      </c>
      <c r="E12183" t="inlineStr">
        <is>
          <t>CS Q3 n°2</t>
        </is>
      </c>
      <c r="F12183" t="inlineStr">
        <is>
          <t>STS G7000</t>
        </is>
      </c>
      <c r="J12183" t="inlineStr">
        <is>
          <t>MATRION</t>
        </is>
      </c>
      <c r="L12183">
        <f>_xlfn.XLOOKUP(Tableau1[[#This Row],[TYPE DE PIECE]],Tableau4[MATIERE],Tableau4[SHORT TYPE],"",0,1)</f>
        <v/>
      </c>
      <c r="N12183">
        <f>IF(ISERR(FIND("DECOUPE",Tableau1[[#This Row],[DESIGNATION]])),"","NEED REF")</f>
        <v/>
      </c>
    </row>
    <row r="12184">
      <c r="B12184" t="n">
        <v>34401821</v>
      </c>
      <c r="C12184" s="2" t="n">
        <v>40099</v>
      </c>
      <c r="D12184" t="inlineStr">
        <is>
          <t>SPEC</t>
        </is>
      </c>
      <c r="E12184" t="inlineStr">
        <is>
          <t>CS Q3 n°1</t>
        </is>
      </c>
      <c r="F12184" t="inlineStr">
        <is>
          <t>STS G7000</t>
        </is>
      </c>
      <c r="J12184" t="inlineStr">
        <is>
          <t>MATRION</t>
        </is>
      </c>
      <c r="L12184">
        <f>_xlfn.XLOOKUP(Tableau1[[#This Row],[TYPE DE PIECE]],Tableau4[MATIERE],Tableau4[SHORT TYPE],"",0,1)</f>
        <v/>
      </c>
      <c r="N12184">
        <f>IF(ISERR(FIND("DECOUPE",Tableau1[[#This Row],[DESIGNATION]])),"","NEED REF")</f>
        <v/>
      </c>
    </row>
    <row r="12185">
      <c r="B12185" t="n">
        <v>34401820</v>
      </c>
      <c r="C12185" s="2" t="n">
        <v>40099</v>
      </c>
      <c r="D12185" t="inlineStr">
        <is>
          <t>SPEC</t>
        </is>
      </c>
      <c r="E12185" t="inlineStr">
        <is>
          <t>BARRE CONTACTEUR NEUTRE AMONT AVAL</t>
        </is>
      </c>
      <c r="F12185" t="inlineStr">
        <is>
          <t>STS G7000</t>
        </is>
      </c>
      <c r="J12185" t="inlineStr">
        <is>
          <t>MATRION</t>
        </is>
      </c>
      <c r="L12185">
        <f>_xlfn.XLOOKUP(Tableau1[[#This Row],[TYPE DE PIECE]],Tableau4[MATIERE],Tableau4[SHORT TYPE],"",0,1)</f>
        <v/>
      </c>
      <c r="N12185">
        <f>IF(ISERR(FIND("DECOUPE",Tableau1[[#This Row],[DESIGNATION]])),"","NEED REF")</f>
        <v/>
      </c>
    </row>
    <row r="12186">
      <c r="B12186" t="n">
        <v>34401819</v>
      </c>
      <c r="C12186" s="2" t="n">
        <v>40099</v>
      </c>
      <c r="D12186" t="inlineStr">
        <is>
          <t>SPEC</t>
        </is>
      </c>
      <c r="E12186" t="inlineStr">
        <is>
          <t>STS 1200A 4P Capot 5</t>
        </is>
      </c>
      <c r="F12186" t="inlineStr">
        <is>
          <t>STS G7000</t>
        </is>
      </c>
      <c r="J12186" t="inlineStr">
        <is>
          <t>MATRION</t>
        </is>
      </c>
      <c r="L12186">
        <f>_xlfn.XLOOKUP(Tableau1[[#This Row],[TYPE DE PIECE]],Tableau4[MATIERE],Tableau4[SHORT TYPE],"",0,1)</f>
        <v/>
      </c>
      <c r="N12186">
        <f>IF(ISERR(FIND("DECOUPE",Tableau1[[#This Row],[DESIGNATION]])),"","NEED REF")</f>
        <v/>
      </c>
    </row>
    <row r="12187">
      <c r="B12187" t="n">
        <v>34401818</v>
      </c>
      <c r="C12187" s="2" t="n">
        <v>40099</v>
      </c>
      <c r="D12187" t="inlineStr">
        <is>
          <t>SPEC</t>
        </is>
      </c>
      <c r="E12187" t="inlineStr">
        <is>
          <t>STS 1200A 4P Light Capot 4</t>
        </is>
      </c>
      <c r="F12187" t="inlineStr">
        <is>
          <t>STS G7000</t>
        </is>
      </c>
      <c r="J12187" t="inlineStr">
        <is>
          <t>MATRION</t>
        </is>
      </c>
      <c r="L12187">
        <f>_xlfn.XLOOKUP(Tableau1[[#This Row],[TYPE DE PIECE]],Tableau4[MATIERE],Tableau4[SHORT TYPE],"",0,1)</f>
        <v/>
      </c>
      <c r="N12187">
        <f>IF(ISERR(FIND("DECOUPE",Tableau1[[#This Row],[DESIGNATION]])),"","NEED REF")</f>
        <v/>
      </c>
    </row>
    <row r="12188">
      <c r="B12188" t="n">
        <v>34401817</v>
      </c>
      <c r="C12188" s="2" t="n">
        <v>40099</v>
      </c>
      <c r="D12188" t="inlineStr">
        <is>
          <t>SPEC</t>
        </is>
      </c>
      <c r="E12188" t="inlineStr">
        <is>
          <t>STS 1200A 4P Light Capot 3</t>
        </is>
      </c>
      <c r="F12188" t="inlineStr">
        <is>
          <t>STS G7000</t>
        </is>
      </c>
      <c r="J12188" t="inlineStr">
        <is>
          <t>MATRION</t>
        </is>
      </c>
      <c r="L12188">
        <f>_xlfn.XLOOKUP(Tableau1[[#This Row],[TYPE DE PIECE]],Tableau4[MATIERE],Tableau4[SHORT TYPE],"",0,1)</f>
        <v/>
      </c>
      <c r="N12188">
        <f>IF(ISERR(FIND("DECOUPE",Tableau1[[#This Row],[DESIGNATION]])),"","NEED REF")</f>
        <v/>
      </c>
    </row>
    <row r="12189">
      <c r="B12189" t="n">
        <v>34401816</v>
      </c>
      <c r="C12189" s="2" t="n">
        <v>40099</v>
      </c>
      <c r="D12189" t="inlineStr">
        <is>
          <t>SPEC</t>
        </is>
      </c>
      <c r="E12189" t="inlineStr">
        <is>
          <t>STS 1200A 4P Light Capot 2</t>
        </is>
      </c>
      <c r="F12189" t="inlineStr">
        <is>
          <t>STS G7000</t>
        </is>
      </c>
      <c r="J12189" t="inlineStr">
        <is>
          <t>MATRION</t>
        </is>
      </c>
      <c r="L12189">
        <f>_xlfn.XLOOKUP(Tableau1[[#This Row],[TYPE DE PIECE]],Tableau4[MATIERE],Tableau4[SHORT TYPE],"",0,1)</f>
        <v/>
      </c>
      <c r="N12189">
        <f>IF(ISERR(FIND("DECOUPE",Tableau1[[#This Row],[DESIGNATION]])),"","NEED REF")</f>
        <v/>
      </c>
    </row>
    <row r="12190">
      <c r="B12190" t="n">
        <v>34401815</v>
      </c>
      <c r="C12190" s="2" t="n">
        <v>40099</v>
      </c>
      <c r="D12190" t="inlineStr">
        <is>
          <t>SPEC</t>
        </is>
      </c>
      <c r="E12190" t="inlineStr">
        <is>
          <t>STS 1200A 4P Light Capot 1</t>
        </is>
      </c>
      <c r="F12190" t="inlineStr">
        <is>
          <t>STS G7000</t>
        </is>
      </c>
      <c r="J12190" t="inlineStr">
        <is>
          <t>MATRION</t>
        </is>
      </c>
      <c r="L12190">
        <f>_xlfn.XLOOKUP(Tableau1[[#This Row],[TYPE DE PIECE]],Tableau4[MATIERE],Tableau4[SHORT TYPE],"",0,1)</f>
        <v/>
      </c>
      <c r="N12190">
        <f>IF(ISERR(FIND("DECOUPE",Tableau1[[#This Row],[DESIGNATION]])),"","NEED REF")</f>
        <v/>
      </c>
    </row>
    <row r="12191">
      <c r="B12191" t="n">
        <v>34401814</v>
      </c>
      <c r="C12191" s="2" t="n">
        <v>40099</v>
      </c>
      <c r="D12191" t="inlineStr">
        <is>
          <t>SPEC</t>
        </is>
      </c>
      <c r="E12191" t="inlineStr">
        <is>
          <t>BARRE CONTACTEUR NEUTRE AVAL</t>
        </is>
      </c>
      <c r="F12191" t="inlineStr">
        <is>
          <t>STS G7000</t>
        </is>
      </c>
      <c r="J12191" t="inlineStr">
        <is>
          <t>MATRION</t>
        </is>
      </c>
      <c r="L12191">
        <f>_xlfn.XLOOKUP(Tableau1[[#This Row],[TYPE DE PIECE]],Tableau4[MATIERE],Tableau4[SHORT TYPE],"",0,1)</f>
        <v/>
      </c>
      <c r="N12191">
        <f>IF(ISERR(FIND("DECOUPE",Tableau1[[#This Row],[DESIGNATION]])),"","NEED REF")</f>
        <v/>
      </c>
    </row>
    <row r="12192">
      <c r="B12192" t="n">
        <v>34401813</v>
      </c>
      <c r="C12192" s="2" t="n">
        <v>40099</v>
      </c>
      <c r="D12192" t="inlineStr">
        <is>
          <t>SPEC</t>
        </is>
      </c>
      <c r="E12192" t="inlineStr">
        <is>
          <t>BARRE TYRISTOR</t>
        </is>
      </c>
      <c r="F12192" t="inlineStr">
        <is>
          <t>STS G7000</t>
        </is>
      </c>
      <c r="J12192" t="inlineStr">
        <is>
          <t>MATRION</t>
        </is>
      </c>
      <c r="L12192">
        <f>_xlfn.XLOOKUP(Tableau1[[#This Row],[TYPE DE PIECE]],Tableau4[MATIERE],Tableau4[SHORT TYPE],"",0,1)</f>
        <v/>
      </c>
      <c r="N12192">
        <f>IF(ISERR(FIND("DECOUPE",Tableau1[[#This Row],[DESIGNATION]])),"","NEED REF")</f>
        <v/>
      </c>
    </row>
    <row r="12193">
      <c r="B12193" t="n">
        <v>34401812</v>
      </c>
      <c r="C12193" s="2" t="n">
        <v>40099</v>
      </c>
      <c r="D12193" t="inlineStr">
        <is>
          <t>SPEC</t>
        </is>
      </c>
      <c r="E12193" t="inlineStr">
        <is>
          <t>ECRAN INFERIEUR</t>
        </is>
      </c>
      <c r="F12193" t="inlineStr">
        <is>
          <t>STS G7000</t>
        </is>
      </c>
      <c r="J12193" t="inlineStr">
        <is>
          <t>MATRION</t>
        </is>
      </c>
      <c r="L12193">
        <f>_xlfn.XLOOKUP(Tableau1[[#This Row],[TYPE DE PIECE]],Tableau4[MATIERE],Tableau4[SHORT TYPE],"",0,1)</f>
        <v/>
      </c>
      <c r="N12193">
        <f>IF(ISERR(FIND("DECOUPE",Tableau1[[#This Row],[DESIGNATION]])),"","NEED REF")</f>
        <v/>
      </c>
    </row>
    <row r="12194">
      <c r="B12194" t="n">
        <v>34401811</v>
      </c>
      <c r="C12194" s="2" t="n">
        <v>40099</v>
      </c>
      <c r="D12194" t="inlineStr">
        <is>
          <t>SPEC</t>
        </is>
      </c>
      <c r="E12194" t="inlineStr">
        <is>
          <t>ECRAN INTERMEDIAIRE</t>
        </is>
      </c>
      <c r="F12194" t="inlineStr">
        <is>
          <t>STS G7000</t>
        </is>
      </c>
      <c r="J12194" t="inlineStr">
        <is>
          <t>MATRION</t>
        </is>
      </c>
      <c r="L12194">
        <f>_xlfn.XLOOKUP(Tableau1[[#This Row],[TYPE DE PIECE]],Tableau4[MATIERE],Tableau4[SHORT TYPE],"",0,1)</f>
        <v/>
      </c>
      <c r="N12194">
        <f>IF(ISERR(FIND("DECOUPE",Tableau1[[#This Row],[DESIGNATION]])),"","NEED REF")</f>
        <v/>
      </c>
    </row>
    <row r="12195">
      <c r="B12195" t="n">
        <v>34401810</v>
      </c>
      <c r="C12195" s="2" t="n">
        <v>40099</v>
      </c>
      <c r="D12195" t="inlineStr">
        <is>
          <t>SPEC</t>
        </is>
      </c>
      <c r="E12195" t="inlineStr">
        <is>
          <t>ECRAN SUPERIEUR</t>
        </is>
      </c>
      <c r="F12195" t="inlineStr">
        <is>
          <t>STS G7000</t>
        </is>
      </c>
      <c r="J12195" t="inlineStr">
        <is>
          <t>MATRION</t>
        </is>
      </c>
      <c r="L12195">
        <f>_xlfn.XLOOKUP(Tableau1[[#This Row],[TYPE DE PIECE]],Tableau4[MATIERE],Tableau4[SHORT TYPE],"",0,1)</f>
        <v/>
      </c>
      <c r="N12195">
        <f>IF(ISERR(FIND("DECOUPE",Tableau1[[#This Row],[DESIGNATION]])),"","NEED REF")</f>
        <v/>
      </c>
    </row>
    <row r="12196">
      <c r="B12196" t="n">
        <v>34401809</v>
      </c>
      <c r="C12196" s="2" t="n">
        <v>40136</v>
      </c>
      <c r="D12196" t="inlineStr">
        <is>
          <t>SPEC</t>
        </is>
      </c>
      <c r="E12196" t="inlineStr">
        <is>
          <t>Assemblage Armoire G5K - ENTRETOISE</t>
        </is>
      </c>
      <c r="F12196" t="inlineStr">
        <is>
          <t>G5000</t>
        </is>
      </c>
      <c r="J12196" t="inlineStr">
        <is>
          <t>MATRION</t>
        </is>
      </c>
      <c r="L12196">
        <f>_xlfn.XLOOKUP(Tableau1[[#This Row],[TYPE DE PIECE]],Tableau4[MATIERE],Tableau4[SHORT TYPE],"",0,1)</f>
        <v/>
      </c>
      <c r="N12196">
        <f>IF(ISERR(FIND("DECOUPE",Tableau1[[#This Row],[DESIGNATION]])),"","NEED REF")</f>
        <v/>
      </c>
    </row>
    <row r="12197">
      <c r="B12197" t="n">
        <v>34401808</v>
      </c>
      <c r="C12197" s="2" t="n">
        <v>40136</v>
      </c>
      <c r="D12197" t="inlineStr">
        <is>
          <t>SPEC</t>
        </is>
      </c>
      <c r="E12197" t="inlineStr">
        <is>
          <t>Assemblage Armoire G5K - CACHE AVANT ARRIERE</t>
        </is>
      </c>
      <c r="F12197" t="inlineStr">
        <is>
          <t>G5000</t>
        </is>
      </c>
      <c r="J12197" t="inlineStr">
        <is>
          <t>MATRION</t>
        </is>
      </c>
      <c r="L12197">
        <f>_xlfn.XLOOKUP(Tableau1[[#This Row],[TYPE DE PIECE]],Tableau4[MATIERE],Tableau4[SHORT TYPE],"",0,1)</f>
        <v/>
      </c>
      <c r="N12197">
        <f>IF(ISERR(FIND("DECOUPE",Tableau1[[#This Row],[DESIGNATION]])),"","NEED REF")</f>
        <v/>
      </c>
    </row>
    <row r="12198">
      <c r="B12198" t="n">
        <v>34401807</v>
      </c>
      <c r="C12198" s="2" t="n">
        <v>40136</v>
      </c>
      <c r="D12198" t="inlineStr">
        <is>
          <t>SPEC</t>
        </is>
      </c>
      <c r="E12198" t="inlineStr">
        <is>
          <t>Assemblage Armoire G5K - Jonction de Toit</t>
        </is>
      </c>
      <c r="F12198" t="inlineStr">
        <is>
          <t>G5000</t>
        </is>
      </c>
      <c r="J12198" t="inlineStr">
        <is>
          <t>MATRION</t>
        </is>
      </c>
      <c r="L12198">
        <f>_xlfn.XLOOKUP(Tableau1[[#This Row],[TYPE DE PIECE]],Tableau4[MATIERE],Tableau4[SHORT TYPE],"",0,1)</f>
        <v/>
      </c>
      <c r="N12198">
        <f>IF(ISERR(FIND("DECOUPE",Tableau1[[#This Row],[DESIGNATION]])),"","NEED REF")</f>
        <v/>
      </c>
    </row>
    <row r="12199">
      <c r="B12199" t="n">
        <v>34401806</v>
      </c>
      <c r="C12199" s="2" t="n">
        <v>40136</v>
      </c>
      <c r="D12199" t="inlineStr">
        <is>
          <t>NOM</t>
        </is>
      </c>
      <c r="E12199" t="inlineStr">
        <is>
          <t>NOM Assemblage Armoire G5K - Largeur=20mm</t>
        </is>
      </c>
      <c r="F12199" t="inlineStr">
        <is>
          <t>STS G7000</t>
        </is>
      </c>
      <c r="J12199" t="inlineStr">
        <is>
          <t>MATRION</t>
        </is>
      </c>
      <c r="L12199">
        <f>_xlfn.XLOOKUP(Tableau1[[#This Row],[TYPE DE PIECE]],Tableau4[MATIERE],Tableau4[SHORT TYPE],"",0,1)</f>
        <v/>
      </c>
      <c r="N12199">
        <f>IF(ISERR(FIND("DECOUPE",Tableau1[[#This Row],[DESIGNATION]])),"","NEED REF")</f>
        <v/>
      </c>
    </row>
    <row r="12200">
      <c r="B12200" t="n">
        <v>34401805</v>
      </c>
      <c r="C12200" s="2" t="n">
        <v>40114</v>
      </c>
      <c r="D12200" t="inlineStr">
        <is>
          <t>SPEC</t>
        </is>
      </c>
      <c r="E12200" t="inlineStr">
        <is>
          <t>Plaque Isolante Mylar 1m2 x0,19mm 1face Adhésive</t>
        </is>
      </c>
      <c r="F12200" t="inlineStr">
        <is>
          <t>TOUTE</t>
        </is>
      </c>
      <c r="J12200" t="inlineStr">
        <is>
          <t>MATRION</t>
        </is>
      </c>
      <c r="L12200">
        <f>_xlfn.XLOOKUP(Tableau1[[#This Row],[TYPE DE PIECE]],Tableau4[MATIERE],Tableau4[SHORT TYPE],"",0,1)</f>
        <v/>
      </c>
      <c r="N12200">
        <f>IF(ISERR(FIND("DECOUPE",Tableau1[[#This Row],[DESIGNATION]])),"","NEED REF")</f>
        <v/>
      </c>
    </row>
    <row r="12201">
      <c r="B12201" t="n">
        <v>34401804</v>
      </c>
      <c r="C12201" s="2" t="n">
        <v>40094</v>
      </c>
      <c r="D12201" t="inlineStr">
        <is>
          <t>SPEC</t>
        </is>
      </c>
      <c r="E12201" t="inlineStr">
        <is>
          <t>Plastron de jonction armoire Birdy l=1412mm</t>
        </is>
      </c>
      <c r="F12201" t="inlineStr">
        <is>
          <t>G5000</t>
        </is>
      </c>
      <c r="L12201">
        <f>_xlfn.XLOOKUP(Tableau1[[#This Row],[TYPE DE PIECE]],Tableau4[MATIERE],Tableau4[SHORT TYPE],"",0,1)</f>
        <v/>
      </c>
      <c r="N12201">
        <f>IF(ISERR(FIND("DECOUPE",Tableau1[[#This Row],[DESIGNATION]])),"","NEED REF")</f>
        <v/>
      </c>
    </row>
    <row r="12202">
      <c r="B12202" t="n">
        <v>34401803</v>
      </c>
      <c r="C12202" s="2" t="n">
        <v>40094</v>
      </c>
      <c r="D12202" t="inlineStr">
        <is>
          <t>SPEC</t>
        </is>
      </c>
      <c r="E12202" t="inlineStr">
        <is>
          <t>Plastron de jonction armoire Birdy l=712mm</t>
        </is>
      </c>
      <c r="F12202" t="inlineStr">
        <is>
          <t>G5000</t>
        </is>
      </c>
      <c r="L12202">
        <f>_xlfn.XLOOKUP(Tableau1[[#This Row],[TYPE DE PIECE]],Tableau4[MATIERE],Tableau4[SHORT TYPE],"",0,1)</f>
        <v/>
      </c>
      <c r="N12202">
        <f>IF(ISERR(FIND("DECOUPE",Tableau1[[#This Row],[DESIGNATION]])),"","NEED REF")</f>
        <v/>
      </c>
    </row>
    <row r="12203">
      <c r="B12203" t="n">
        <v>34401802</v>
      </c>
      <c r="C12203" s="2" t="n">
        <v>40073</v>
      </c>
      <c r="D12203" t="inlineStr">
        <is>
          <t>SPEC</t>
        </is>
      </c>
      <c r="E12203" t="inlineStr">
        <is>
          <t>Plastron de jonction armoire Birdy l=1012mm</t>
        </is>
      </c>
      <c r="F12203" t="inlineStr">
        <is>
          <t>G5000</t>
        </is>
      </c>
      <c r="J12203" t="inlineStr">
        <is>
          <t>ROBERT</t>
        </is>
      </c>
      <c r="L12203">
        <f>_xlfn.XLOOKUP(Tableau1[[#This Row],[TYPE DE PIECE]],Tableau4[MATIERE],Tableau4[SHORT TYPE],"",0,1)</f>
        <v/>
      </c>
      <c r="N12203">
        <f>IF(ISERR(FIND("DECOUPE",Tableau1[[#This Row],[DESIGNATION]])),"","NEED REF")</f>
        <v/>
      </c>
    </row>
    <row r="12204">
      <c r="B12204" t="n">
        <v>34401801</v>
      </c>
      <c r="C12204" s="2" t="n">
        <v>40072</v>
      </c>
      <c r="D12204" t="inlineStr">
        <is>
          <t>SPEC</t>
        </is>
      </c>
      <c r="E12204" t="inlineStr">
        <is>
          <t>Plastron découpé N°2 L=915</t>
        </is>
      </c>
      <c r="F12204" t="inlineStr">
        <is>
          <t>G5000</t>
        </is>
      </c>
      <c r="J12204" t="inlineStr">
        <is>
          <t>ROBERT</t>
        </is>
      </c>
      <c r="L12204">
        <f>_xlfn.XLOOKUP(Tableau1[[#This Row],[TYPE DE PIECE]],Tableau4[MATIERE],Tableau4[SHORT TYPE],"",0,1)</f>
        <v/>
      </c>
      <c r="N12204">
        <f>IF(ISERR(FIND("DECOUPE",Tableau1[[#This Row],[DESIGNATION]])),"","NEED REF")</f>
        <v/>
      </c>
    </row>
    <row r="12205">
      <c r="B12205" t="n">
        <v>34401800</v>
      </c>
      <c r="C12205" s="2" t="n">
        <v>40072</v>
      </c>
      <c r="D12205" t="inlineStr">
        <is>
          <t>SPEC</t>
        </is>
      </c>
      <c r="E12205" t="inlineStr">
        <is>
          <t>Plastron découpé N°1 L=915</t>
        </is>
      </c>
      <c r="F12205" t="inlineStr">
        <is>
          <t>G5000</t>
        </is>
      </c>
      <c r="J12205" t="inlineStr">
        <is>
          <t>ROBERT</t>
        </is>
      </c>
      <c r="L12205">
        <f>_xlfn.XLOOKUP(Tableau1[[#This Row],[TYPE DE PIECE]],Tableau4[MATIERE],Tableau4[SHORT TYPE],"",0,1)</f>
        <v/>
      </c>
      <c r="N12205">
        <f>IF(ISERR(FIND("DECOUPE",Tableau1[[#This Row],[DESIGNATION]])),"","NEED REF")</f>
        <v/>
      </c>
    </row>
    <row r="12206">
      <c r="B12206" t="n">
        <v>34401799</v>
      </c>
      <c r="C12206" s="2" t="n">
        <v>40070</v>
      </c>
      <c r="D12206" t="inlineStr">
        <is>
          <t>SPEC</t>
        </is>
      </c>
      <c r="E12206" t="inlineStr">
        <is>
          <t>PLASTRON L=712 pour NS100 + INS100</t>
        </is>
      </c>
      <c r="F12206" t="inlineStr">
        <is>
          <t>G7000</t>
        </is>
      </c>
      <c r="J12206" t="inlineStr">
        <is>
          <t>REVEL</t>
        </is>
      </c>
      <c r="L12206">
        <f>_xlfn.XLOOKUP(Tableau1[[#This Row],[TYPE DE PIECE]],Tableau4[MATIERE],Tableau4[SHORT TYPE],"",0,1)</f>
        <v/>
      </c>
      <c r="N12206">
        <f>IF(ISERR(FIND("DECOUPE",Tableau1[[#This Row],[DESIGNATION]])),"","NEED REF")</f>
        <v/>
      </c>
    </row>
    <row r="12207">
      <c r="B12207" t="n">
        <v>34401798</v>
      </c>
      <c r="C12207" s="2" t="n">
        <v>40067</v>
      </c>
      <c r="D12207" t="inlineStr">
        <is>
          <t>NOM</t>
        </is>
      </c>
      <c r="E12207" t="inlineStr">
        <is>
          <t>NOM STS 1000A-1200A 4P G7K - NEUTRE COUPE</t>
        </is>
      </c>
      <c r="F12207" t="inlineStr">
        <is>
          <t>STS G7000</t>
        </is>
      </c>
      <c r="J12207" t="inlineStr">
        <is>
          <t>MATRION</t>
        </is>
      </c>
      <c r="L12207">
        <f>_xlfn.XLOOKUP(Tableau1[[#This Row],[TYPE DE PIECE]],Tableau4[MATIERE],Tableau4[SHORT TYPE],"",0,1)</f>
        <v/>
      </c>
      <c r="N12207">
        <f>IF(ISERR(FIND("DECOUPE",Tableau1[[#This Row],[DESIGNATION]])),"","NEED REF")</f>
        <v/>
      </c>
    </row>
    <row r="12208">
      <c r="B12208" t="n">
        <v>34401797</v>
      </c>
      <c r="C12208" s="2" t="n">
        <v>40067</v>
      </c>
      <c r="D12208" t="inlineStr">
        <is>
          <t>NOM</t>
        </is>
      </c>
      <c r="E12208" t="inlineStr">
        <is>
          <t>NOM STS 800A             4P G7K - NEUTRE COUPE</t>
        </is>
      </c>
      <c r="F12208" t="inlineStr">
        <is>
          <t>STS G7000</t>
        </is>
      </c>
      <c r="J12208" t="inlineStr">
        <is>
          <t>MATRION</t>
        </is>
      </c>
      <c r="L12208">
        <f>_xlfn.XLOOKUP(Tableau1[[#This Row],[TYPE DE PIECE]],Tableau4[MATIERE],Tableau4[SHORT TYPE],"",0,1)</f>
        <v/>
      </c>
      <c r="N12208">
        <f>IF(ISERR(FIND("DECOUPE",Tableau1[[#This Row],[DESIGNATION]])),"","NEED REF")</f>
        <v/>
      </c>
    </row>
    <row r="12209">
      <c r="B12209" t="n">
        <v>34401796</v>
      </c>
      <c r="C12209" s="2" t="n">
        <v>40066</v>
      </c>
      <c r="D12209" t="inlineStr">
        <is>
          <t>NOM</t>
        </is>
      </c>
      <c r="E12209" t="inlineStr">
        <is>
          <t>NOM STS 1000A 3P G7K Gaine 400 Gauche</t>
        </is>
      </c>
      <c r="F12209" t="inlineStr">
        <is>
          <t>STS G7000</t>
        </is>
      </c>
      <c r="J12209" t="inlineStr">
        <is>
          <t>MATRION</t>
        </is>
      </c>
      <c r="L12209">
        <f>_xlfn.XLOOKUP(Tableau1[[#This Row],[TYPE DE PIECE]],Tableau4[MATIERE],Tableau4[SHORT TYPE],"",0,1)</f>
        <v/>
      </c>
      <c r="N12209">
        <f>IF(ISERR(FIND("DECOUPE",Tableau1[[#This Row],[DESIGNATION]])),"","NEED REF")</f>
        <v/>
      </c>
    </row>
    <row r="12210">
      <c r="B12210" t="n">
        <v>34401795</v>
      </c>
      <c r="C12210" s="2" t="n">
        <v>40066</v>
      </c>
      <c r="D12210" t="inlineStr">
        <is>
          <t>NOM</t>
        </is>
      </c>
      <c r="E12210" t="inlineStr">
        <is>
          <t>NOM STS 1000A 3P G7K Gaine 400 Droite</t>
        </is>
      </c>
      <c r="F12210" t="inlineStr">
        <is>
          <t>STS G7000</t>
        </is>
      </c>
      <c r="J12210" t="inlineStr">
        <is>
          <t>MATRION</t>
        </is>
      </c>
      <c r="L12210">
        <f>_xlfn.XLOOKUP(Tableau1[[#This Row],[TYPE DE PIECE]],Tableau4[MATIERE],Tableau4[SHORT TYPE],"",0,1)</f>
        <v/>
      </c>
      <c r="N12210">
        <f>IF(ISERR(FIND("DECOUPE",Tableau1[[#This Row],[DESIGNATION]])),"","NEED REF")</f>
        <v/>
      </c>
    </row>
    <row r="12211">
      <c r="B12211" t="n">
        <v>34401794</v>
      </c>
      <c r="C12211" s="2" t="n">
        <v>40066</v>
      </c>
      <c r="D12211" t="inlineStr">
        <is>
          <t>NOM</t>
        </is>
      </c>
      <c r="E12211" t="inlineStr">
        <is>
          <t>NOM STS 1000A 3P LT G7K 1012 - Pièces AFF</t>
        </is>
      </c>
      <c r="F12211" t="inlineStr">
        <is>
          <t>STS G7000</t>
        </is>
      </c>
      <c r="J12211" t="inlineStr">
        <is>
          <t>MATRION</t>
        </is>
      </c>
      <c r="L12211">
        <f>_xlfn.XLOOKUP(Tableau1[[#This Row],[TYPE DE PIECE]],Tableau4[MATIERE],Tableau4[SHORT TYPE],"",0,1)</f>
        <v/>
      </c>
      <c r="N12211">
        <f>IF(ISERR(FIND("DECOUPE",Tableau1[[#This Row],[DESIGNATION]])),"","NEED REF")</f>
        <v/>
      </c>
    </row>
    <row r="12212">
      <c r="B12212" t="n">
        <v>34401793</v>
      </c>
      <c r="C12212" s="2" t="n">
        <v>40066</v>
      </c>
      <c r="D12212" t="inlineStr">
        <is>
          <t>NOM</t>
        </is>
      </c>
      <c r="E12212" t="inlineStr">
        <is>
          <t>NOM STS 1000-1200A 3P LT G7K 1012 - CS NEUTRE</t>
        </is>
      </c>
      <c r="F12212" t="inlineStr">
        <is>
          <t>STS G7000</t>
        </is>
      </c>
      <c r="J12212" t="inlineStr">
        <is>
          <t>MATRION</t>
        </is>
      </c>
      <c r="L12212">
        <f>_xlfn.XLOOKUP(Tableau1[[#This Row],[TYPE DE PIECE]],Tableau4[MATIERE],Tableau4[SHORT TYPE],"",0,1)</f>
        <v/>
      </c>
      <c r="N12212">
        <f>IF(ISERR(FIND("DECOUPE",Tableau1[[#This Row],[DESIGNATION]])),"","NEED REF")</f>
        <v/>
      </c>
    </row>
    <row r="12213">
      <c r="B12213" t="n">
        <v>34401792</v>
      </c>
      <c r="C12213" s="2" t="n">
        <v>40066</v>
      </c>
      <c r="D12213" t="inlineStr">
        <is>
          <t>NOM</t>
        </is>
      </c>
      <c r="E12213" t="inlineStr">
        <is>
          <t>NOM STS 1000A 3P LT G7K 1012</t>
        </is>
      </c>
      <c r="F12213" t="inlineStr">
        <is>
          <t>STS G7000</t>
        </is>
      </c>
      <c r="J12213" t="inlineStr">
        <is>
          <t>MATRION</t>
        </is>
      </c>
      <c r="L12213">
        <f>_xlfn.XLOOKUP(Tableau1[[#This Row],[TYPE DE PIECE]],Tableau4[MATIERE],Tableau4[SHORT TYPE],"",0,1)</f>
        <v/>
      </c>
      <c r="N12213">
        <f>IF(ISERR(FIND("DECOUPE",Tableau1[[#This Row],[DESIGNATION]])),"","NEED REF")</f>
        <v/>
      </c>
    </row>
    <row r="12214">
      <c r="B12214" t="n">
        <v>34401791</v>
      </c>
      <c r="C12214" s="2" t="n">
        <v>40066</v>
      </c>
      <c r="D12214" t="inlineStr">
        <is>
          <t>NOM</t>
        </is>
      </c>
      <c r="E12214" t="inlineStr">
        <is>
          <t>NOM STS 1000A 3P G7K 1012</t>
        </is>
      </c>
      <c r="F12214" t="inlineStr">
        <is>
          <t>STS G7000</t>
        </is>
      </c>
      <c r="J12214" t="inlineStr">
        <is>
          <t>MATRION</t>
        </is>
      </c>
      <c r="L12214">
        <f>_xlfn.XLOOKUP(Tableau1[[#This Row],[TYPE DE PIECE]],Tableau4[MATIERE],Tableau4[SHORT TYPE],"",0,1)</f>
        <v/>
      </c>
      <c r="N12214">
        <f>IF(ISERR(FIND("DECOUPE",Tableau1[[#This Row],[DESIGNATION]])),"","NEED REF")</f>
        <v/>
      </c>
    </row>
    <row r="12215">
      <c r="B12215" t="n">
        <v>34401790</v>
      </c>
      <c r="C12215" s="2" t="n">
        <v>40064</v>
      </c>
      <c r="D12215" t="inlineStr">
        <is>
          <t>NOM</t>
        </is>
      </c>
      <c r="E12215" t="inlineStr">
        <is>
          <t xml:space="preserve">KIT BACK FEED PW1000 30-40kVA EN PARTIE HAUTE </t>
        </is>
      </c>
      <c r="F12215" t="inlineStr">
        <is>
          <t>PW1000</t>
        </is>
      </c>
      <c r="J12215" t="inlineStr">
        <is>
          <t>MONGELLI</t>
        </is>
      </c>
      <c r="L12215">
        <f>_xlfn.XLOOKUP(Tableau1[[#This Row],[TYPE DE PIECE]],Tableau4[MATIERE],Tableau4[SHORT TYPE],"",0,1)</f>
        <v/>
      </c>
      <c r="N12215">
        <f>IF(ISERR(FIND("DECOUPE",Tableau1[[#This Row],[DESIGNATION]])),"","NEED REF")</f>
        <v/>
      </c>
    </row>
    <row r="12216">
      <c r="B12216" t="n">
        <v>34401789</v>
      </c>
      <c r="C12216" s="2" t="n">
        <v>40063</v>
      </c>
      <c r="D12216" t="inlineStr">
        <is>
          <t>NOM</t>
        </is>
      </c>
      <c r="E12216" t="inlineStr">
        <is>
          <t>NOM STS 800A 4P LT G7K 1012 - CS NEUTRE</t>
        </is>
      </c>
      <c r="F12216" t="inlineStr">
        <is>
          <t>STS G7000</t>
        </is>
      </c>
      <c r="J12216" t="inlineStr">
        <is>
          <t>MATRION</t>
        </is>
      </c>
      <c r="L12216">
        <f>_xlfn.XLOOKUP(Tableau1[[#This Row],[TYPE DE PIECE]],Tableau4[MATIERE],Tableau4[SHORT TYPE],"",0,1)</f>
        <v/>
      </c>
      <c r="N12216">
        <f>IF(ISERR(FIND("DECOUPE",Tableau1[[#This Row],[DESIGNATION]])),"","NEED REF")</f>
        <v/>
      </c>
    </row>
    <row r="12217">
      <c r="B12217" t="n">
        <v>34401788</v>
      </c>
      <c r="C12217" s="2" t="n">
        <v>40056</v>
      </c>
      <c r="D12217" t="inlineStr">
        <is>
          <t>CDC</t>
        </is>
      </c>
      <c r="E12217" t="inlineStr">
        <is>
          <t>CDC Groupe Froid</t>
        </is>
      </c>
      <c r="F12217" t="inlineStr">
        <is>
          <t>G9000</t>
        </is>
      </c>
      <c r="J12217" t="inlineStr">
        <is>
          <t>ROBERT</t>
        </is>
      </c>
      <c r="L12217">
        <f>_xlfn.XLOOKUP(Tableau1[[#This Row],[TYPE DE PIECE]],Tableau4[MATIERE],Tableau4[SHORT TYPE],"",0,1)</f>
        <v/>
      </c>
      <c r="N12217">
        <f>IF(ISERR(FIND("DECOUPE",Tableau1[[#This Row],[DESIGNATION]])),"","NEED REF")</f>
        <v/>
      </c>
    </row>
    <row r="12218">
      <c r="B12218" t="n">
        <v>34401787</v>
      </c>
      <c r="C12218" s="2" t="n">
        <v>40056</v>
      </c>
      <c r="D12218" t="inlineStr">
        <is>
          <t>CDC</t>
        </is>
      </c>
      <c r="E12218" t="inlineStr">
        <is>
          <t>CDC SW aval</t>
        </is>
      </c>
      <c r="F12218" t="inlineStr">
        <is>
          <t>G9000</t>
        </is>
      </c>
      <c r="J12218" t="inlineStr">
        <is>
          <t>ROBERT</t>
        </is>
      </c>
      <c r="L12218">
        <f>_xlfn.XLOOKUP(Tableau1[[#This Row],[TYPE DE PIECE]],Tableau4[MATIERE],Tableau4[SHORT TYPE],"",0,1)</f>
        <v/>
      </c>
      <c r="N12218">
        <f>IF(ISERR(FIND("DECOUPE",Tableau1[[#This Row],[DESIGNATION]])),"","NEED REF")</f>
        <v/>
      </c>
    </row>
    <row r="12219">
      <c r="B12219" t="n">
        <v>34401786</v>
      </c>
      <c r="C12219" s="2" t="n">
        <v>40056</v>
      </c>
      <c r="D12219" t="inlineStr">
        <is>
          <t>CDC</t>
        </is>
      </c>
      <c r="E12219" t="inlineStr">
        <is>
          <t>CDC THM+capas DC+pontage</t>
        </is>
      </c>
      <c r="F12219" t="inlineStr">
        <is>
          <t>G9000</t>
        </is>
      </c>
      <c r="J12219" t="inlineStr">
        <is>
          <t>ROBERT</t>
        </is>
      </c>
      <c r="L12219">
        <f>_xlfn.XLOOKUP(Tableau1[[#This Row],[TYPE DE PIECE]],Tableau4[MATIERE],Tableau4[SHORT TYPE],"",0,1)</f>
        <v/>
      </c>
      <c r="N12219">
        <f>IF(ISERR(FIND("DECOUPE",Tableau1[[#This Row],[DESIGNATION]])),"","NEED REF")</f>
        <v/>
      </c>
    </row>
    <row r="12220">
      <c r="B12220" t="n">
        <v>34401785</v>
      </c>
      <c r="C12220" s="2" t="n">
        <v>40056</v>
      </c>
      <c r="D12220" t="inlineStr">
        <is>
          <t>NOM</t>
        </is>
      </c>
      <c r="E12220" t="inlineStr">
        <is>
          <t>KIT TRANSFORMATION FAHC EN FAHC-D 200-300KVA</t>
        </is>
      </c>
      <c r="F12220" t="inlineStr">
        <is>
          <t>G6000</t>
        </is>
      </c>
      <c r="J12220" t="inlineStr">
        <is>
          <t>MONGELLI</t>
        </is>
      </c>
      <c r="L12220">
        <f>_xlfn.XLOOKUP(Tableau1[[#This Row],[TYPE DE PIECE]],Tableau4[MATIERE],Tableau4[SHORT TYPE],"",0,1)</f>
        <v/>
      </c>
      <c r="N12220">
        <f>IF(ISERR(FIND("DECOUPE",Tableau1[[#This Row],[DESIGNATION]])),"","NEED REF")</f>
        <v/>
      </c>
    </row>
    <row r="12221">
      <c r="B12221" t="n">
        <v>34401784</v>
      </c>
      <c r="C12221" s="2" t="n">
        <v>40044</v>
      </c>
      <c r="D12221" t="inlineStr">
        <is>
          <t>SPEC</t>
        </is>
      </c>
      <c r="E12221" t="inlineStr">
        <is>
          <t>Pontage par 3 barres souple R1-R2</t>
        </is>
      </c>
      <c r="F12221" t="inlineStr">
        <is>
          <t>G7000</t>
        </is>
      </c>
      <c r="J12221" t="inlineStr">
        <is>
          <t>ROGEAT</t>
        </is>
      </c>
      <c r="L12221">
        <f>_xlfn.XLOOKUP(Tableau1[[#This Row],[TYPE DE PIECE]],Tableau4[MATIERE],Tableau4[SHORT TYPE],"",0,1)</f>
        <v/>
      </c>
      <c r="N12221">
        <f>IF(ISERR(FIND("DECOUPE",Tableau1[[#This Row],[DESIGNATION]])),"","NEED REF")</f>
        <v/>
      </c>
    </row>
    <row r="12222">
      <c r="B12222" t="n">
        <v>34401783</v>
      </c>
      <c r="C12222" s="2" t="n">
        <v>40021</v>
      </c>
      <c r="D12222" t="inlineStr">
        <is>
          <t>SPEC</t>
        </is>
      </c>
      <c r="E12222" t="inlineStr">
        <is>
          <t>Plastron h=300 plein pour Birdy l=1012 - Decoupe 1x INS250 + 1x INV250 Monobloc</t>
        </is>
      </c>
      <c r="F12222" t="inlineStr">
        <is>
          <t>G5000</t>
        </is>
      </c>
      <c r="J12222" t="inlineStr">
        <is>
          <t>MATRION</t>
        </is>
      </c>
      <c r="L12222">
        <f>_xlfn.XLOOKUP(Tableau1[[#This Row],[TYPE DE PIECE]],Tableau4[MATIERE],Tableau4[SHORT TYPE],"",0,1)</f>
        <v/>
      </c>
      <c r="N12222">
        <f>IF(ISERR(FIND("DECOUPE",Tableau1[[#This Row],[DESIGNATION]])),"","NEED REF")</f>
        <v/>
      </c>
    </row>
    <row r="12223">
      <c r="B12223" t="n">
        <v>34401782</v>
      </c>
      <c r="C12223" s="2" t="n">
        <v>40018</v>
      </c>
      <c r="D12223" t="inlineStr">
        <is>
          <t>SPEC</t>
        </is>
      </c>
      <c r="E12223" t="inlineStr">
        <is>
          <t>Plastron pour armoire Birdy l=1412</t>
        </is>
      </c>
      <c r="F12223" t="inlineStr">
        <is>
          <t>G5000</t>
        </is>
      </c>
      <c r="J12223" t="inlineStr">
        <is>
          <t>ROGEAT</t>
        </is>
      </c>
      <c r="L12223">
        <f>_xlfn.XLOOKUP(Tableau1[[#This Row],[TYPE DE PIECE]],Tableau4[MATIERE],Tableau4[SHORT TYPE],"",0,1)</f>
        <v/>
      </c>
      <c r="N12223">
        <f>IF(ISERR(FIND("DECOUPE",Tableau1[[#This Row],[DESIGNATION]])),"","NEED REF")</f>
        <v/>
      </c>
    </row>
    <row r="12224">
      <c r="B12224" t="n">
        <v>34401781</v>
      </c>
      <c r="C12224" s="2" t="n">
        <v>40018</v>
      </c>
      <c r="D12224" t="inlineStr">
        <is>
          <t>SPEC</t>
        </is>
      </c>
      <c r="E12224" t="inlineStr">
        <is>
          <t>Plastron pour armoire Birdy l=1012</t>
        </is>
      </c>
      <c r="F12224" t="inlineStr">
        <is>
          <t>G5000</t>
        </is>
      </c>
      <c r="J12224" t="inlineStr">
        <is>
          <t>ROGEAT</t>
        </is>
      </c>
      <c r="L12224">
        <f>_xlfn.XLOOKUP(Tableau1[[#This Row],[TYPE DE PIECE]],Tableau4[MATIERE],Tableau4[SHORT TYPE],"",0,1)</f>
        <v/>
      </c>
      <c r="N12224">
        <f>IF(ISERR(FIND("DECOUPE",Tableau1[[#This Row],[DESIGNATION]])),"","NEED REF")</f>
        <v/>
      </c>
    </row>
    <row r="12225">
      <c r="B12225" t="n">
        <v>34401780</v>
      </c>
      <c r="C12225" s="2" t="n">
        <v>40017</v>
      </c>
      <c r="D12225" t="inlineStr">
        <is>
          <t>SPEC</t>
        </is>
      </c>
      <c r="E12225" t="inlineStr">
        <is>
          <t>Plastron h=300 plein pour Birdy l=1012 - Decoupe 1x INS250</t>
        </is>
      </c>
      <c r="F12225" t="inlineStr">
        <is>
          <t>G5000</t>
        </is>
      </c>
      <c r="J12225" t="inlineStr">
        <is>
          <t>MATRION</t>
        </is>
      </c>
      <c r="L12225">
        <f>_xlfn.XLOOKUP(Tableau1[[#This Row],[TYPE DE PIECE]],Tableau4[MATIERE],Tableau4[SHORT TYPE],"",0,1)</f>
        <v/>
      </c>
      <c r="N12225">
        <f>IF(ISERR(FIND("DECOUPE",Tableau1[[#This Row],[DESIGNATION]])),"","NEED REF")</f>
        <v/>
      </c>
    </row>
    <row r="12226">
      <c r="B12226" t="n">
        <v>34401779</v>
      </c>
      <c r="C12226" s="2" t="n">
        <v>40017</v>
      </c>
      <c r="D12226" t="inlineStr">
        <is>
          <t>SPEC</t>
        </is>
      </c>
      <c r="E12226" t="inlineStr">
        <is>
          <t>Plastron h=300 plein pour Birdy l=1012 - Decoupe 3x INS250</t>
        </is>
      </c>
      <c r="F12226" t="inlineStr">
        <is>
          <t>G5000</t>
        </is>
      </c>
      <c r="J12226" t="inlineStr">
        <is>
          <t>MATRION</t>
        </is>
      </c>
      <c r="L12226">
        <f>_xlfn.XLOOKUP(Tableau1[[#This Row],[TYPE DE PIECE]],Tableau4[MATIERE],Tableau4[SHORT TYPE],"",0,1)</f>
        <v/>
      </c>
      <c r="N12226">
        <f>IF(ISERR(FIND("DECOUPE",Tableau1[[#This Row],[DESIGNATION]])),"","NEED REF")</f>
        <v/>
      </c>
    </row>
    <row r="12227">
      <c r="B12227" t="n">
        <v>34401778</v>
      </c>
      <c r="C12227" s="2" t="n">
        <v>40015</v>
      </c>
      <c r="D12227" t="inlineStr">
        <is>
          <t>SPEC</t>
        </is>
      </c>
      <c r="E12227" t="inlineStr">
        <is>
          <t>Plastron pour armoire Birdy l=712</t>
        </is>
      </c>
      <c r="F12227" t="inlineStr">
        <is>
          <t>G5000</t>
        </is>
      </c>
      <c r="J12227" t="inlineStr">
        <is>
          <t>ROGEAT</t>
        </is>
      </c>
      <c r="L12227">
        <f>_xlfn.XLOOKUP(Tableau1[[#This Row],[TYPE DE PIECE]],Tableau4[MATIERE],Tableau4[SHORT TYPE],"",0,1)</f>
        <v/>
      </c>
      <c r="N12227">
        <f>IF(ISERR(FIND("DECOUPE",Tableau1[[#This Row],[DESIGNATION]])),"","NEED REF")</f>
        <v/>
      </c>
    </row>
    <row r="12228">
      <c r="B12228" t="n">
        <v>34401777</v>
      </c>
      <c r="C12228" s="2" t="n">
        <v>40010</v>
      </c>
      <c r="D12228" t="inlineStr">
        <is>
          <t>SPEC</t>
        </is>
      </c>
      <c r="E12228" t="inlineStr">
        <is>
          <t>Dossier de montage armoire batterie 20kVA</t>
        </is>
      </c>
      <c r="F12228" t="inlineStr">
        <is>
          <t>G5000</t>
        </is>
      </c>
      <c r="J12228" t="inlineStr">
        <is>
          <t>ROBERT</t>
        </is>
      </c>
      <c r="L12228">
        <f>_xlfn.XLOOKUP(Tableau1[[#This Row],[TYPE DE PIECE]],Tableau4[MATIERE],Tableau4[SHORT TYPE],"",0,1)</f>
        <v/>
      </c>
      <c r="N12228">
        <f>IF(ISERR(FIND("DECOUPE",Tableau1[[#This Row],[DESIGNATION]])),"","NEED REF")</f>
        <v/>
      </c>
    </row>
    <row r="12229">
      <c r="B12229" t="n">
        <v>34401776</v>
      </c>
      <c r="C12229" s="2" t="n">
        <v>40010</v>
      </c>
      <c r="D12229" t="inlineStr">
        <is>
          <t>NOM</t>
        </is>
      </c>
      <c r="E12229" t="inlineStr">
        <is>
          <t>Kit IP41 G5K</t>
        </is>
      </c>
      <c r="F12229" t="inlineStr">
        <is>
          <t>G5000</t>
        </is>
      </c>
      <c r="J12229" t="inlineStr">
        <is>
          <t>REVEL</t>
        </is>
      </c>
      <c r="L12229">
        <f>_xlfn.XLOOKUP(Tableau1[[#This Row],[TYPE DE PIECE]],Tableau4[MATIERE],Tableau4[SHORT TYPE],"",0,1)</f>
        <v/>
      </c>
      <c r="N12229">
        <f>IF(ISERR(FIND("DECOUPE",Tableau1[[#This Row],[DESIGNATION]])),"","NEED REF")</f>
        <v/>
      </c>
    </row>
    <row r="12230">
      <c r="B12230" t="n">
        <v>34401775</v>
      </c>
      <c r="C12230" s="2" t="n">
        <v>40003</v>
      </c>
      <c r="D12230" t="inlineStr">
        <is>
          <t>SPEC</t>
        </is>
      </c>
      <c r="E12230" t="inlineStr">
        <is>
          <t>Dossier de montage gaine de 400 30 et 100kVA</t>
        </is>
      </c>
      <c r="F12230" t="inlineStr">
        <is>
          <t>G5000</t>
        </is>
      </c>
      <c r="J12230" t="inlineStr">
        <is>
          <t>ROBERT</t>
        </is>
      </c>
      <c r="L12230">
        <f>_xlfn.XLOOKUP(Tableau1[[#This Row],[TYPE DE PIECE]],Tableau4[MATIERE],Tableau4[SHORT TYPE],"",0,1)</f>
        <v/>
      </c>
      <c r="N12230">
        <f>IF(ISERR(FIND("DECOUPE",Tableau1[[#This Row],[DESIGNATION]])),"","NEED REF")</f>
        <v/>
      </c>
    </row>
    <row r="12231">
      <c r="B12231" t="n">
        <v>34401774</v>
      </c>
      <c r="C12231" s="2" t="n">
        <v>40003</v>
      </c>
      <c r="D12231" t="inlineStr">
        <is>
          <t>SPEC</t>
        </is>
      </c>
      <c r="E12231" t="inlineStr">
        <is>
          <t>Dossier de montage gaine de 400 30kVA</t>
        </is>
      </c>
      <c r="F12231" t="inlineStr">
        <is>
          <t>G5000</t>
        </is>
      </c>
      <c r="J12231" t="inlineStr">
        <is>
          <t>ROBERT</t>
        </is>
      </c>
      <c r="L12231">
        <f>_xlfn.XLOOKUP(Tableau1[[#This Row],[TYPE DE PIECE]],Tableau4[MATIERE],Tableau4[SHORT TYPE],"",0,1)</f>
        <v/>
      </c>
      <c r="N12231">
        <f>IF(ISERR(FIND("DECOUPE",Tableau1[[#This Row],[DESIGNATION]])),"","NEED REF")</f>
        <v/>
      </c>
    </row>
    <row r="12232">
      <c r="B12232" t="n">
        <v>34401773</v>
      </c>
      <c r="C12232" s="2" t="n">
        <v>40002</v>
      </c>
      <c r="E12232" t="inlineStr">
        <is>
          <t>structure Birdy - ensemble montants centraux</t>
        </is>
      </c>
      <c r="F12232" t="inlineStr">
        <is>
          <t>G5000</t>
        </is>
      </c>
      <c r="J12232" t="inlineStr">
        <is>
          <t>Demeure</t>
        </is>
      </c>
      <c r="L12232">
        <f>_xlfn.XLOOKUP(Tableau1[[#This Row],[TYPE DE PIECE]],Tableau4[MATIERE],Tableau4[SHORT TYPE],"",0,1)</f>
        <v/>
      </c>
      <c r="N12232">
        <f>IF(ISERR(FIND("DECOUPE",Tableau1[[#This Row],[DESIGNATION]])),"","NEED REF")</f>
        <v/>
      </c>
    </row>
    <row r="12233">
      <c r="B12233" t="n">
        <v>34401772</v>
      </c>
      <c r="C12233" s="2" t="n">
        <v>40002</v>
      </c>
      <c r="D12233" t="inlineStr">
        <is>
          <t>CDC</t>
        </is>
      </c>
      <c r="E12233" t="inlineStr">
        <is>
          <t xml:space="preserve">IP40 sur Galaxy 5000 G5K 120kVA </t>
        </is>
      </c>
      <c r="F12233" t="inlineStr">
        <is>
          <t>G5000</t>
        </is>
      </c>
      <c r="J12233" t="inlineStr">
        <is>
          <t>REVEL</t>
        </is>
      </c>
      <c r="L12233">
        <f>_xlfn.XLOOKUP(Tableau1[[#This Row],[TYPE DE PIECE]],Tableau4[MATIERE],Tableau4[SHORT TYPE],"",0,1)</f>
        <v/>
      </c>
      <c r="N12233">
        <f>IF(ISERR(FIND("DECOUPE",Tableau1[[#This Row],[DESIGNATION]])),"","NEED REF")</f>
        <v/>
      </c>
    </row>
    <row r="12234">
      <c r="B12234" t="n">
        <v>34401771</v>
      </c>
      <c r="C12234" s="2" t="n">
        <v>40001</v>
      </c>
      <c r="D12234" t="inlineStr">
        <is>
          <t>SPEC</t>
        </is>
      </c>
      <c r="E12234" t="inlineStr">
        <is>
          <t>Plastron h=600 pour birdy 1012 decoupe C1251</t>
        </is>
      </c>
      <c r="F12234" t="inlineStr">
        <is>
          <t>G5000</t>
        </is>
      </c>
      <c r="J12234" t="inlineStr">
        <is>
          <t>REVEL</t>
        </is>
      </c>
      <c r="L12234">
        <f>_xlfn.XLOOKUP(Tableau1[[#This Row],[TYPE DE PIECE]],Tableau4[MATIERE],Tableau4[SHORT TYPE],"",0,1)</f>
        <v/>
      </c>
      <c r="N12234">
        <f>IF(ISERR(FIND("DECOUPE",Tableau1[[#This Row],[DESIGNATION]])),"","NEED REF")</f>
        <v/>
      </c>
    </row>
    <row r="12235">
      <c r="B12235" t="n">
        <v>34401770</v>
      </c>
      <c r="C12235" s="2" t="n">
        <v>40000</v>
      </c>
      <c r="D12235" t="inlineStr">
        <is>
          <t>SPEC</t>
        </is>
      </c>
      <c r="E12235" t="inlineStr">
        <is>
          <t>TOLE PORTE G5K-G7K SUPPORT AFFICHEUR STS</t>
        </is>
      </c>
      <c r="F12235" t="inlineStr">
        <is>
          <t>STS G7000</t>
        </is>
      </c>
      <c r="J12235" t="inlineStr">
        <is>
          <t>MATRION</t>
        </is>
      </c>
      <c r="L12235">
        <f>_xlfn.XLOOKUP(Tableau1[[#This Row],[TYPE DE PIECE]],Tableau4[MATIERE],Tableau4[SHORT TYPE],"",0,1)</f>
        <v/>
      </c>
      <c r="N12235">
        <f>IF(ISERR(FIND("DECOUPE",Tableau1[[#This Row],[DESIGNATION]])),"","NEED REF")</f>
        <v/>
      </c>
    </row>
    <row r="12236">
      <c r="B12236" t="n">
        <v>34401769</v>
      </c>
      <c r="C12236" s="2" t="n">
        <v>39995</v>
      </c>
      <c r="D12236" t="inlineStr">
        <is>
          <t>SPEC</t>
        </is>
      </c>
      <c r="E12236" t="inlineStr">
        <is>
          <t>Structure Birdy - Capotage de porte</t>
        </is>
      </c>
      <c r="F12236" t="inlineStr">
        <is>
          <t>G5000</t>
        </is>
      </c>
      <c r="J12236" t="inlineStr">
        <is>
          <t>Demeure</t>
        </is>
      </c>
      <c r="L12236">
        <f>_xlfn.XLOOKUP(Tableau1[[#This Row],[TYPE DE PIECE]],Tableau4[MATIERE],Tableau4[SHORT TYPE],"",0,1)</f>
        <v/>
      </c>
      <c r="N12236">
        <f>IF(ISERR(FIND("DECOUPE",Tableau1[[#This Row],[DESIGNATION]])),"","NEED REF")</f>
        <v/>
      </c>
    </row>
    <row r="12237">
      <c r="B12237" t="n">
        <v>34401768</v>
      </c>
      <c r="C12237" s="2" t="n">
        <v>39995</v>
      </c>
      <c r="D12237" t="inlineStr">
        <is>
          <t>SPEC</t>
        </is>
      </c>
      <c r="E12237" t="inlineStr">
        <is>
          <t>Plastron finition h=100  pour Birdy l=1412</t>
        </is>
      </c>
      <c r="F12237" t="inlineStr">
        <is>
          <t>G5000</t>
        </is>
      </c>
      <c r="J12237" t="inlineStr">
        <is>
          <t>Demeure</t>
        </is>
      </c>
      <c r="L12237">
        <f>_xlfn.XLOOKUP(Tableau1[[#This Row],[TYPE DE PIECE]],Tableau4[MATIERE],Tableau4[SHORT TYPE],"",0,1)</f>
        <v/>
      </c>
      <c r="N12237">
        <f>IF(ISERR(FIND("DECOUPE",Tableau1[[#This Row],[DESIGNATION]])),"","NEED REF")</f>
        <v/>
      </c>
    </row>
    <row r="12238">
      <c r="B12238" t="n">
        <v>34401767</v>
      </c>
      <c r="C12238" s="2" t="n">
        <v>39995</v>
      </c>
      <c r="L12238">
        <f>_xlfn.XLOOKUP(Tableau1[[#This Row],[TYPE DE PIECE]],Tableau4[MATIERE],Tableau4[SHORT TYPE],"",0,1)</f>
        <v/>
      </c>
      <c r="N12238">
        <f>IF(ISERR(FIND("DECOUPE",Tableau1[[#This Row],[DESIGNATION]])),"","NEED REF")</f>
        <v/>
      </c>
    </row>
    <row r="12239">
      <c r="B12239" t="n">
        <v>34401766</v>
      </c>
      <c r="C12239" s="2" t="n">
        <v>39995</v>
      </c>
      <c r="D12239" t="inlineStr">
        <is>
          <t>SPEC</t>
        </is>
      </c>
      <c r="E12239" t="inlineStr">
        <is>
          <t>Plastron inférieur perforé  pour Birdy l=1412</t>
        </is>
      </c>
      <c r="F12239" t="inlineStr">
        <is>
          <t>G5000</t>
        </is>
      </c>
      <c r="J12239" t="inlineStr">
        <is>
          <t>Demeure</t>
        </is>
      </c>
      <c r="L12239">
        <f>_xlfn.XLOOKUP(Tableau1[[#This Row],[TYPE DE PIECE]],Tableau4[MATIERE],Tableau4[SHORT TYPE],"",0,1)</f>
        <v/>
      </c>
      <c r="N12239">
        <f>IF(ISERR(FIND("DECOUPE",Tableau1[[#This Row],[DESIGNATION]])),"","NEED REF")</f>
        <v/>
      </c>
    </row>
    <row r="12240">
      <c r="B12240" t="n">
        <v>34401765</v>
      </c>
      <c r="C12240" s="2" t="n">
        <v>39995</v>
      </c>
      <c r="D12240" t="inlineStr">
        <is>
          <t>SPEC</t>
        </is>
      </c>
      <c r="E12240" t="inlineStr">
        <is>
          <t>1/2Plastron finition h=100  pour Birdy l=1012</t>
        </is>
      </c>
      <c r="F12240" t="inlineStr">
        <is>
          <t>G5000</t>
        </is>
      </c>
      <c r="J12240" t="inlineStr">
        <is>
          <t>Demeure</t>
        </is>
      </c>
      <c r="L12240">
        <f>_xlfn.XLOOKUP(Tableau1[[#This Row],[TYPE DE PIECE]],Tableau4[MATIERE],Tableau4[SHORT TYPE],"",0,1)</f>
        <v/>
      </c>
      <c r="N12240">
        <f>IF(ISERR(FIND("DECOUPE",Tableau1[[#This Row],[DESIGNATION]])),"","NEED REF")</f>
        <v/>
      </c>
    </row>
    <row r="12241">
      <c r="B12241" t="n">
        <v>34401764</v>
      </c>
      <c r="C12241" s="2" t="n">
        <v>39995</v>
      </c>
      <c r="D12241" t="inlineStr">
        <is>
          <t>SPEC</t>
        </is>
      </c>
      <c r="E12241" t="inlineStr">
        <is>
          <t>1/2Plastron h=300 plein pour Birdy l=1012</t>
        </is>
      </c>
      <c r="F12241" t="inlineStr">
        <is>
          <t>G5000</t>
        </is>
      </c>
      <c r="J12241" t="inlineStr">
        <is>
          <t>Demeure</t>
        </is>
      </c>
      <c r="L12241">
        <f>_xlfn.XLOOKUP(Tableau1[[#This Row],[TYPE DE PIECE]],Tableau4[MATIERE],Tableau4[SHORT TYPE],"",0,1)</f>
        <v/>
      </c>
      <c r="N12241">
        <f>IF(ISERR(FIND("DECOUPE",Tableau1[[#This Row],[DESIGNATION]])),"","NEED REF")</f>
        <v/>
      </c>
    </row>
    <row r="12242">
      <c r="B12242" t="n">
        <v>34401763</v>
      </c>
      <c r="C12242" s="2" t="n">
        <v>39995</v>
      </c>
      <c r="D12242" t="inlineStr">
        <is>
          <t>SPEC</t>
        </is>
      </c>
      <c r="E12242" t="inlineStr">
        <is>
          <t>1/2Plastron h=200 plein  pour Birdy l=1012</t>
        </is>
      </c>
      <c r="F12242" t="inlineStr">
        <is>
          <t>G5000</t>
        </is>
      </c>
      <c r="J12242" t="inlineStr">
        <is>
          <t>Demeure</t>
        </is>
      </c>
      <c r="L12242">
        <f>_xlfn.XLOOKUP(Tableau1[[#This Row],[TYPE DE PIECE]],Tableau4[MATIERE],Tableau4[SHORT TYPE],"",0,1)</f>
        <v/>
      </c>
      <c r="N12242">
        <f>IF(ISERR(FIND("DECOUPE",Tableau1[[#This Row],[DESIGNATION]])),"","NEED REF")</f>
        <v/>
      </c>
    </row>
    <row r="12243">
      <c r="B12243" t="n">
        <v>34401762</v>
      </c>
      <c r="C12243" s="2" t="n">
        <v>39995</v>
      </c>
      <c r="D12243" t="inlineStr">
        <is>
          <t>SPEC</t>
        </is>
      </c>
      <c r="E12243" t="inlineStr">
        <is>
          <t>1/2 Plastron h=200/C60  pour Birdy l=1012</t>
        </is>
      </c>
      <c r="F12243" t="inlineStr">
        <is>
          <t>G5000</t>
        </is>
      </c>
      <c r="J12243" t="inlineStr">
        <is>
          <t>Demeure</t>
        </is>
      </c>
      <c r="L12243">
        <f>_xlfn.XLOOKUP(Tableau1[[#This Row],[TYPE DE PIECE]],Tableau4[MATIERE],Tableau4[SHORT TYPE],"",0,1)</f>
        <v/>
      </c>
      <c r="N12243">
        <f>IF(ISERR(FIND("DECOUPE",Tableau1[[#This Row],[DESIGNATION]])),"","NEED REF")</f>
        <v/>
      </c>
    </row>
    <row r="12244">
      <c r="B12244" t="n">
        <v>34401761</v>
      </c>
      <c r="C12244" s="2" t="n">
        <v>39995</v>
      </c>
      <c r="L12244">
        <f>_xlfn.XLOOKUP(Tableau1[[#This Row],[TYPE DE PIECE]],Tableau4[MATIERE],Tableau4[SHORT TYPE],"",0,1)</f>
        <v/>
      </c>
      <c r="N12244">
        <f>IF(ISERR(FIND("DECOUPE",Tableau1[[#This Row],[DESIGNATION]])),"","NEED REF")</f>
        <v/>
      </c>
    </row>
    <row r="12245">
      <c r="B12245" t="n">
        <v>34401760</v>
      </c>
      <c r="C12245" s="2" t="n">
        <v>39995</v>
      </c>
      <c r="D12245" t="inlineStr">
        <is>
          <t>SPEC</t>
        </is>
      </c>
      <c r="E12245" t="inlineStr">
        <is>
          <t>Plastron inférieur perforé  pour Birdy l=1012</t>
        </is>
      </c>
      <c r="F12245" t="inlineStr">
        <is>
          <t>G5000</t>
        </is>
      </c>
      <c r="J12245" t="inlineStr">
        <is>
          <t>Demeure</t>
        </is>
      </c>
      <c r="L12245">
        <f>_xlfn.XLOOKUP(Tableau1[[#This Row],[TYPE DE PIECE]],Tableau4[MATIERE],Tableau4[SHORT TYPE],"",0,1)</f>
        <v/>
      </c>
      <c r="N12245">
        <f>IF(ISERR(FIND("DECOUPE",Tableau1[[#This Row],[DESIGNATION]])),"","NEED REF")</f>
        <v/>
      </c>
    </row>
    <row r="12246">
      <c r="B12246" t="n">
        <v>34401759</v>
      </c>
      <c r="C12246" s="2" t="n">
        <v>39995</v>
      </c>
      <c r="D12246" t="inlineStr">
        <is>
          <t>SPEC</t>
        </is>
      </c>
      <c r="E12246" t="inlineStr">
        <is>
          <t>Plastron finition h=100  pour Birdy l=1012</t>
        </is>
      </c>
      <c r="F12246" t="inlineStr">
        <is>
          <t>G5000</t>
        </is>
      </c>
      <c r="J12246" t="inlineStr">
        <is>
          <t>Demeure</t>
        </is>
      </c>
      <c r="L12246">
        <f>_xlfn.XLOOKUP(Tableau1[[#This Row],[TYPE DE PIECE]],Tableau4[MATIERE],Tableau4[SHORT TYPE],"",0,1)</f>
        <v/>
      </c>
      <c r="N12246">
        <f>IF(ISERR(FIND("DECOUPE",Tableau1[[#This Row],[DESIGNATION]])),"","NEED REF")</f>
        <v/>
      </c>
    </row>
    <row r="12247">
      <c r="B12247" t="n">
        <v>34401758</v>
      </c>
      <c r="C12247" s="2" t="n">
        <v>39995</v>
      </c>
      <c r="D12247" t="inlineStr">
        <is>
          <t>SPEC</t>
        </is>
      </c>
      <c r="E12247" t="inlineStr">
        <is>
          <t>Plastron h=300 plein pour Birdy l=1012</t>
        </is>
      </c>
      <c r="F12247" t="inlineStr">
        <is>
          <t>G5000</t>
        </is>
      </c>
      <c r="J12247" t="inlineStr">
        <is>
          <t>Demeure</t>
        </is>
      </c>
      <c r="L12247">
        <f>_xlfn.XLOOKUP(Tableau1[[#This Row],[TYPE DE PIECE]],Tableau4[MATIERE],Tableau4[SHORT TYPE],"",0,1)</f>
        <v/>
      </c>
      <c r="N12247">
        <f>IF(ISERR(FIND("DECOUPE",Tableau1[[#This Row],[DESIGNATION]])),"","NEED REF")</f>
        <v/>
      </c>
    </row>
    <row r="12248">
      <c r="B12248" t="n">
        <v>34401757</v>
      </c>
      <c r="C12248" s="2" t="n">
        <v>39995</v>
      </c>
      <c r="D12248" t="inlineStr">
        <is>
          <t>SPEC</t>
        </is>
      </c>
      <c r="E12248" t="inlineStr">
        <is>
          <t>Plastron h=200 plein  pour Birdy l=1012</t>
        </is>
      </c>
      <c r="F12248" t="inlineStr">
        <is>
          <t>G5000</t>
        </is>
      </c>
      <c r="J12248" t="inlineStr">
        <is>
          <t>Demeure</t>
        </is>
      </c>
      <c r="L12248">
        <f>_xlfn.XLOOKUP(Tableau1[[#This Row],[TYPE DE PIECE]],Tableau4[MATIERE],Tableau4[SHORT TYPE],"",0,1)</f>
        <v/>
      </c>
      <c r="N12248">
        <f>IF(ISERR(FIND("DECOUPE",Tableau1[[#This Row],[DESIGNATION]])),"","NEED REF")</f>
        <v/>
      </c>
    </row>
    <row r="12249">
      <c r="B12249" t="n">
        <v>34401756</v>
      </c>
      <c r="C12249" s="2" t="n">
        <v>39995</v>
      </c>
      <c r="D12249" t="inlineStr">
        <is>
          <t>SPEC</t>
        </is>
      </c>
      <c r="E12249" t="inlineStr">
        <is>
          <t>Plastron h=200/C60  pour Birdy l=1012</t>
        </is>
      </c>
      <c r="F12249" t="inlineStr">
        <is>
          <t>G5000</t>
        </is>
      </c>
      <c r="J12249" t="inlineStr">
        <is>
          <t>Demeure</t>
        </is>
      </c>
      <c r="L12249">
        <f>_xlfn.XLOOKUP(Tableau1[[#This Row],[TYPE DE PIECE]],Tableau4[MATIERE],Tableau4[SHORT TYPE],"",0,1)</f>
        <v/>
      </c>
      <c r="N12249">
        <f>IF(ISERR(FIND("DECOUPE",Tableau1[[#This Row],[DESIGNATION]])),"","NEED REF")</f>
        <v/>
      </c>
    </row>
    <row r="12250">
      <c r="B12250" t="n">
        <v>34401755</v>
      </c>
      <c r="C12250" s="2" t="n">
        <v>39995</v>
      </c>
      <c r="L12250">
        <f>_xlfn.XLOOKUP(Tableau1[[#This Row],[TYPE DE PIECE]],Tableau4[MATIERE],Tableau4[SHORT TYPE],"",0,1)</f>
        <v/>
      </c>
      <c r="N12250">
        <f>IF(ISERR(FIND("DECOUPE",Tableau1[[#This Row],[DESIGNATION]])),"","NEED REF")</f>
        <v/>
      </c>
    </row>
    <row r="12251">
      <c r="B12251" t="n">
        <v>34401754</v>
      </c>
      <c r="C12251" s="2" t="n">
        <v>39995</v>
      </c>
      <c r="D12251" t="inlineStr">
        <is>
          <t>SPEC</t>
        </is>
      </c>
      <c r="E12251" t="inlineStr">
        <is>
          <t>Plastron inférieur perforé  pour Birdy l=712</t>
        </is>
      </c>
      <c r="F12251" t="inlineStr">
        <is>
          <t>G5000</t>
        </is>
      </c>
      <c r="J12251" t="inlineStr">
        <is>
          <t>Demeure</t>
        </is>
      </c>
      <c r="L12251">
        <f>_xlfn.XLOOKUP(Tableau1[[#This Row],[TYPE DE PIECE]],Tableau4[MATIERE],Tableau4[SHORT TYPE],"",0,1)</f>
        <v/>
      </c>
      <c r="N12251">
        <f>IF(ISERR(FIND("DECOUPE",Tableau1[[#This Row],[DESIGNATION]])),"","NEED REF")</f>
        <v/>
      </c>
    </row>
    <row r="12252">
      <c r="B12252" t="n">
        <v>34401753</v>
      </c>
      <c r="C12252" s="2" t="n">
        <v>39995</v>
      </c>
      <c r="D12252" t="inlineStr">
        <is>
          <t>SPEC</t>
        </is>
      </c>
      <c r="E12252" t="inlineStr">
        <is>
          <t>PROTECTION SHIELD 3440175300</t>
        </is>
      </c>
      <c r="F12252" t="inlineStr">
        <is>
          <t>G5000</t>
        </is>
      </c>
      <c r="J12252" t="inlineStr">
        <is>
          <t>Demeure</t>
        </is>
      </c>
      <c r="L12252">
        <f>_xlfn.XLOOKUP(Tableau1[[#This Row],[TYPE DE PIECE]],Tableau4[MATIERE],Tableau4[SHORT TYPE],"",0,1)</f>
        <v/>
      </c>
      <c r="N12252">
        <f>IF(ISERR(FIND("DECOUPE",Tableau1[[#This Row],[DESIGNATION]])),"","NEED REF")</f>
        <v/>
      </c>
    </row>
    <row r="12253">
      <c r="B12253" t="n">
        <v>34401752</v>
      </c>
      <c r="C12253" s="2" t="n">
        <v>39995</v>
      </c>
      <c r="D12253" t="inlineStr">
        <is>
          <t>SPEC</t>
        </is>
      </c>
      <c r="E12253" t="inlineStr">
        <is>
          <t>Plastron h=300 plein pour Birdy l=712</t>
        </is>
      </c>
      <c r="F12253" t="inlineStr">
        <is>
          <t>G5000</t>
        </is>
      </c>
      <c r="J12253" t="inlineStr">
        <is>
          <t>Demeure</t>
        </is>
      </c>
      <c r="K12253" t="inlineStr">
        <is>
          <t>METAL</t>
        </is>
      </c>
      <c r="L12253">
        <f>_xlfn.XLOOKUP(Tableau1[[#This Row],[TYPE DE PIECE]],Tableau4[MATIERE],Tableau4[SHORT TYPE],"",0,1)</f>
        <v/>
      </c>
      <c r="N12253">
        <f>IF(ISERR(FIND("DECOUPE",Tableau1[[#This Row],[DESIGNATION]])),"","NEED REF")</f>
        <v/>
      </c>
    </row>
    <row r="12254">
      <c r="B12254" t="n">
        <v>34401751</v>
      </c>
      <c r="C12254" s="2" t="n">
        <v>39995</v>
      </c>
      <c r="D12254" t="inlineStr">
        <is>
          <t>SPEC</t>
        </is>
      </c>
      <c r="E12254" t="inlineStr">
        <is>
          <t>Plastron h=200 plein  pour Birdy l=712</t>
        </is>
      </c>
      <c r="F12254" t="inlineStr">
        <is>
          <t>G5000</t>
        </is>
      </c>
      <c r="J12254" t="inlineStr">
        <is>
          <t>Demeure</t>
        </is>
      </c>
      <c r="K12254" t="inlineStr">
        <is>
          <t>METAL</t>
        </is>
      </c>
      <c r="L12254">
        <f>_xlfn.XLOOKUP(Tableau1[[#This Row],[TYPE DE PIECE]],Tableau4[MATIERE],Tableau4[SHORT TYPE],"",0,1)</f>
        <v/>
      </c>
      <c r="N12254">
        <f>IF(ISERR(FIND("DECOUPE",Tableau1[[#This Row],[DESIGNATION]])),"","NEED REF")</f>
        <v/>
      </c>
    </row>
    <row r="12255">
      <c r="B12255" t="n">
        <v>34401750</v>
      </c>
      <c r="C12255" s="2" t="n">
        <v>39995</v>
      </c>
      <c r="D12255" t="inlineStr">
        <is>
          <t>SPEC</t>
        </is>
      </c>
      <c r="E12255" t="inlineStr">
        <is>
          <t>Plastron h=200/C60  pour Birdy l=712</t>
        </is>
      </c>
      <c r="F12255" t="inlineStr">
        <is>
          <t>G5000</t>
        </is>
      </c>
      <c r="J12255" t="inlineStr">
        <is>
          <t>Demeure</t>
        </is>
      </c>
      <c r="K12255" t="inlineStr">
        <is>
          <t>METAL</t>
        </is>
      </c>
      <c r="L12255">
        <f>_xlfn.XLOOKUP(Tableau1[[#This Row],[TYPE DE PIECE]],Tableau4[MATIERE],Tableau4[SHORT TYPE],"",0,1)</f>
        <v/>
      </c>
      <c r="N12255">
        <f>IF(ISERR(FIND("DECOUPE",Tableau1[[#This Row],[DESIGNATION]])),"","NEED REF")</f>
        <v/>
      </c>
    </row>
    <row r="12256">
      <c r="B12256" t="n">
        <v>34401749</v>
      </c>
      <c r="C12256" s="2" t="n">
        <v>39989</v>
      </c>
      <c r="D12256" t="inlineStr">
        <is>
          <t>SPEC</t>
        </is>
      </c>
      <c r="E12256" t="inlineStr">
        <is>
          <t>FIXATION RAIL DIN</t>
        </is>
      </c>
      <c r="F12256" t="inlineStr">
        <is>
          <t>TOUTES GAMMES</t>
        </is>
      </c>
      <c r="J12256" t="inlineStr">
        <is>
          <t>ROBERT</t>
        </is>
      </c>
      <c r="L12256">
        <f>_xlfn.XLOOKUP(Tableau1[[#This Row],[TYPE DE PIECE]],Tableau4[MATIERE],Tableau4[SHORT TYPE],"",0,1)</f>
        <v/>
      </c>
      <c r="N12256">
        <f>IF(ISERR(FIND("DECOUPE",Tableau1[[#This Row],[DESIGNATION]])),"","NEED REF")</f>
        <v/>
      </c>
    </row>
    <row r="12257">
      <c r="B12257" t="n">
        <v>34401748</v>
      </c>
      <c r="C12257" s="2" t="n">
        <v>39988</v>
      </c>
      <c r="D12257" t="inlineStr">
        <is>
          <t>NOM</t>
        </is>
      </c>
      <c r="E12257" t="inlineStr">
        <is>
          <t>NOM STS 800A 3P G7K Gaine 400 Gauche</t>
        </is>
      </c>
      <c r="F12257" t="inlineStr">
        <is>
          <t>STS G7000</t>
        </is>
      </c>
      <c r="J12257" t="inlineStr">
        <is>
          <t>MATRION</t>
        </is>
      </c>
      <c r="L12257">
        <f>_xlfn.XLOOKUP(Tableau1[[#This Row],[TYPE DE PIECE]],Tableau4[MATIERE],Tableau4[SHORT TYPE],"",0,1)</f>
        <v/>
      </c>
      <c r="N12257">
        <f>IF(ISERR(FIND("DECOUPE",Tableau1[[#This Row],[DESIGNATION]])),"","NEED REF")</f>
        <v/>
      </c>
    </row>
    <row r="12258">
      <c r="B12258" t="n">
        <v>34401747</v>
      </c>
      <c r="C12258" s="2" t="n">
        <v>39988</v>
      </c>
      <c r="D12258" t="inlineStr">
        <is>
          <t>NOM</t>
        </is>
      </c>
      <c r="E12258" t="inlineStr">
        <is>
          <t>NOM STS 800A 3P G7K Gaine 400 Droite</t>
        </is>
      </c>
      <c r="F12258" t="inlineStr">
        <is>
          <t>STS G7000</t>
        </is>
      </c>
      <c r="J12258" t="inlineStr">
        <is>
          <t>MATRION</t>
        </is>
      </c>
      <c r="L12258">
        <f>_xlfn.XLOOKUP(Tableau1[[#This Row],[TYPE DE PIECE]],Tableau4[MATIERE],Tableau4[SHORT TYPE],"",0,1)</f>
        <v/>
      </c>
      <c r="N12258">
        <f>IF(ISERR(FIND("DECOUPE",Tableau1[[#This Row],[DESIGNATION]])),"","NEED REF")</f>
        <v/>
      </c>
    </row>
    <row r="12259">
      <c r="B12259" t="n">
        <v>34401746</v>
      </c>
      <c r="C12259" s="2" t="n">
        <v>39988</v>
      </c>
      <c r="D12259" t="inlineStr">
        <is>
          <t>NOM</t>
        </is>
      </c>
      <c r="E12259" t="inlineStr">
        <is>
          <t>NOM STS 800A 3P LT G7K 1012 - Pièces AFF</t>
        </is>
      </c>
      <c r="F12259" t="inlineStr">
        <is>
          <t>STS G7000</t>
        </is>
      </c>
      <c r="J12259" t="inlineStr">
        <is>
          <t>MATRION</t>
        </is>
      </c>
      <c r="L12259">
        <f>_xlfn.XLOOKUP(Tableau1[[#This Row],[TYPE DE PIECE]],Tableau4[MATIERE],Tableau4[SHORT TYPE],"",0,1)</f>
        <v/>
      </c>
      <c r="N12259">
        <f>IF(ISERR(FIND("DECOUPE",Tableau1[[#This Row],[DESIGNATION]])),"","NEED REF")</f>
        <v/>
      </c>
    </row>
    <row r="12260">
      <c r="B12260" t="n">
        <v>34401745</v>
      </c>
      <c r="C12260" s="2" t="n">
        <v>39988</v>
      </c>
      <c r="D12260" t="inlineStr">
        <is>
          <t>NOM</t>
        </is>
      </c>
      <c r="E12260" t="inlineStr">
        <is>
          <t>NOM STS 800-1000-1200A 3P LT G7K 1012 - Pièces STD</t>
        </is>
      </c>
      <c r="F12260" t="inlineStr">
        <is>
          <t>STS G7000</t>
        </is>
      </c>
      <c r="J12260" t="inlineStr">
        <is>
          <t>MATRION</t>
        </is>
      </c>
      <c r="L12260">
        <f>_xlfn.XLOOKUP(Tableau1[[#This Row],[TYPE DE PIECE]],Tableau4[MATIERE],Tableau4[SHORT TYPE],"",0,1)</f>
        <v/>
      </c>
      <c r="N12260">
        <f>IF(ISERR(FIND("DECOUPE",Tableau1[[#This Row],[DESIGNATION]])),"","NEED REF")</f>
        <v/>
      </c>
    </row>
    <row r="12261">
      <c r="B12261" t="n">
        <v>34401744</v>
      </c>
      <c r="C12261" s="2" t="n">
        <v>39988</v>
      </c>
      <c r="D12261" t="inlineStr">
        <is>
          <t>NOM</t>
        </is>
      </c>
      <c r="E12261" t="inlineStr">
        <is>
          <t>NOM STS 800A 3P LT G7K 1012</t>
        </is>
      </c>
      <c r="F12261" t="inlineStr">
        <is>
          <t>STS G7000</t>
        </is>
      </c>
      <c r="J12261" t="inlineStr">
        <is>
          <t>MATRION</t>
        </is>
      </c>
      <c r="L12261">
        <f>_xlfn.XLOOKUP(Tableau1[[#This Row],[TYPE DE PIECE]],Tableau4[MATIERE],Tableau4[SHORT TYPE],"",0,1)</f>
        <v/>
      </c>
      <c r="N12261">
        <f>IF(ISERR(FIND("DECOUPE",Tableau1[[#This Row],[DESIGNATION]])),"","NEED REF")</f>
        <v/>
      </c>
    </row>
    <row r="12262">
      <c r="B12262" t="n">
        <v>34401743</v>
      </c>
      <c r="C12262" s="2" t="n">
        <v>39988</v>
      </c>
      <c r="D12262" t="inlineStr">
        <is>
          <t>NOM</t>
        </is>
      </c>
      <c r="E12262" t="inlineStr">
        <is>
          <t>NOM STS 800A 3P G7K 1012</t>
        </is>
      </c>
      <c r="F12262" t="inlineStr">
        <is>
          <t>STS G7000</t>
        </is>
      </c>
      <c r="J12262" t="inlineStr">
        <is>
          <t>MATRION</t>
        </is>
      </c>
      <c r="L12262">
        <f>_xlfn.XLOOKUP(Tableau1[[#This Row],[TYPE DE PIECE]],Tableau4[MATIERE],Tableau4[SHORT TYPE],"",0,1)</f>
        <v/>
      </c>
      <c r="N12262">
        <f>IF(ISERR(FIND("DECOUPE",Tableau1[[#This Row],[DESIGNATION]])),"","NEED REF")</f>
        <v/>
      </c>
    </row>
    <row r="12263">
      <c r="B12263" t="n">
        <v>34401742</v>
      </c>
      <c r="C12263" s="2" t="n"/>
      <c r="D12263" t="inlineStr">
        <is>
          <t>SPEC</t>
        </is>
      </c>
      <c r="E12263" t="inlineStr">
        <is>
          <t>ne pas utiliser</t>
        </is>
      </c>
      <c r="L12263">
        <f>_xlfn.XLOOKUP(Tableau1[[#This Row],[TYPE DE PIECE]],Tableau4[MATIERE],Tableau4[SHORT TYPE],"",0,1)</f>
        <v/>
      </c>
      <c r="N12263">
        <f>IF(ISERR(FIND("DECOUPE",Tableau1[[#This Row],[DESIGNATION]])),"","NEED REF")</f>
        <v/>
      </c>
    </row>
    <row r="12264">
      <c r="B12264" t="n">
        <v>34401741</v>
      </c>
      <c r="C12264" s="2" t="n"/>
      <c r="D12264" t="inlineStr">
        <is>
          <t>SPEC</t>
        </is>
      </c>
      <c r="E12264" t="inlineStr">
        <is>
          <t>ne pas utiliser</t>
        </is>
      </c>
      <c r="F12264" t="inlineStr">
        <is>
          <t>G5000</t>
        </is>
      </c>
      <c r="J12264" t="inlineStr">
        <is>
          <t>ROGEAT</t>
        </is>
      </c>
      <c r="L12264">
        <f>_xlfn.XLOOKUP(Tableau1[[#This Row],[TYPE DE PIECE]],Tableau4[MATIERE],Tableau4[SHORT TYPE],"",0,1)</f>
        <v/>
      </c>
      <c r="N12264">
        <f>IF(ISERR(FIND("DECOUPE",Tableau1[[#This Row],[DESIGNATION]])),"","NEED REF")</f>
        <v/>
      </c>
    </row>
    <row r="12265">
      <c r="B12265" t="n">
        <v>34401740</v>
      </c>
      <c r="C12265" s="2" t="n">
        <v>39987</v>
      </c>
      <c r="D12265" t="inlineStr">
        <is>
          <t>SPEC</t>
        </is>
      </c>
      <c r="E12265" t="inlineStr">
        <is>
          <t>Dispo</t>
        </is>
      </c>
      <c r="F12265" t="inlineStr">
        <is>
          <t>G5000</t>
        </is>
      </c>
      <c r="J12265" t="inlineStr">
        <is>
          <t>Demeure</t>
        </is>
      </c>
      <c r="L12265">
        <f>_xlfn.XLOOKUP(Tableau1[[#This Row],[TYPE DE PIECE]],Tableau4[MATIERE],Tableau4[SHORT TYPE],"",0,1)</f>
        <v/>
      </c>
      <c r="N12265">
        <f>IF(ISERR(FIND("DECOUPE",Tableau1[[#This Row],[DESIGNATION]])),"","NEED REF")</f>
        <v/>
      </c>
    </row>
    <row r="12266">
      <c r="B12266" t="n">
        <v>34401739</v>
      </c>
      <c r="C12266" s="2" t="n">
        <v>39980</v>
      </c>
      <c r="D12266" t="inlineStr">
        <is>
          <t>CDC</t>
        </is>
      </c>
      <c r="E12266" t="inlineStr">
        <is>
          <t>NS 2000kVA raccordement haut cables alu 800mm2</t>
        </is>
      </c>
      <c r="F12266" t="inlineStr">
        <is>
          <t>G7000</t>
        </is>
      </c>
      <c r="J12266" t="inlineStr">
        <is>
          <t>REVEL</t>
        </is>
      </c>
      <c r="L12266">
        <f>_xlfn.XLOOKUP(Tableau1[[#This Row],[TYPE DE PIECE]],Tableau4[MATIERE],Tableau4[SHORT TYPE],"",0,1)</f>
        <v/>
      </c>
      <c r="N12266">
        <f>IF(ISERR(FIND("DECOUPE",Tableau1[[#This Row],[DESIGNATION]])),"","NEED REF")</f>
        <v/>
      </c>
    </row>
    <row r="12267">
      <c r="B12267" t="n">
        <v>34401738</v>
      </c>
      <c r="C12267" s="2" t="n">
        <v>39974</v>
      </c>
      <c r="D12267" t="inlineStr">
        <is>
          <t>SPEC</t>
        </is>
      </c>
      <c r="E12267" t="inlineStr">
        <is>
          <t>Document d'aide au montage Kit transformation ASI PW200 // A.P en U // sur site</t>
        </is>
      </c>
      <c r="F12267" t="inlineStr">
        <is>
          <t>PW</t>
        </is>
      </c>
      <c r="J12267" t="inlineStr">
        <is>
          <t>MONGELLI</t>
        </is>
      </c>
      <c r="L12267">
        <f>_xlfn.XLOOKUP(Tableau1[[#This Row],[TYPE DE PIECE]],Tableau4[MATIERE],Tableau4[SHORT TYPE],"",0,1)</f>
        <v/>
      </c>
      <c r="N12267">
        <f>IF(ISERR(FIND("DECOUPE",Tableau1[[#This Row],[DESIGNATION]])),"","NEED REF")</f>
        <v/>
      </c>
    </row>
    <row r="12268">
      <c r="B12268" t="n">
        <v>34401737</v>
      </c>
      <c r="C12268" s="2" t="n">
        <v>39968</v>
      </c>
      <c r="D12268" t="inlineStr">
        <is>
          <t>SPEC</t>
        </is>
      </c>
      <c r="E12268" t="inlineStr">
        <is>
          <t>Dossier de montage durcissement marine G5k 80/120kVA</t>
        </is>
      </c>
      <c r="F12268" t="inlineStr">
        <is>
          <t>G5000</t>
        </is>
      </c>
      <c r="J12268" t="inlineStr">
        <is>
          <t>ROBERT</t>
        </is>
      </c>
      <c r="L12268">
        <f>_xlfn.XLOOKUP(Tableau1[[#This Row],[TYPE DE PIECE]],Tableau4[MATIERE],Tableau4[SHORT TYPE],"",0,1)</f>
        <v/>
      </c>
      <c r="N12268">
        <f>IF(ISERR(FIND("DECOUPE",Tableau1[[#This Row],[DESIGNATION]])),"","NEED REF")</f>
        <v/>
      </c>
    </row>
    <row r="12269">
      <c r="B12269" t="n">
        <v>34401736</v>
      </c>
      <c r="C12269" s="2" t="n">
        <v>39960</v>
      </c>
      <c r="D12269" t="inlineStr">
        <is>
          <t>SPEC</t>
        </is>
      </c>
      <c r="E12269" t="inlineStr">
        <is>
          <t>Dossier de montage durcissement marine G5k 40/60kVA</t>
        </is>
      </c>
      <c r="F12269" t="inlineStr">
        <is>
          <t>G5000</t>
        </is>
      </c>
      <c r="J12269" t="inlineStr">
        <is>
          <t>ROBERT</t>
        </is>
      </c>
      <c r="L12269">
        <f>_xlfn.XLOOKUP(Tableau1[[#This Row],[TYPE DE PIECE]],Tableau4[MATIERE],Tableau4[SHORT TYPE],"",0,1)</f>
        <v/>
      </c>
      <c r="N12269">
        <f>IF(ISERR(FIND("DECOUPE",Tableau1[[#This Row],[DESIGNATION]])),"","NEED REF")</f>
        <v/>
      </c>
    </row>
    <row r="12270">
      <c r="B12270" t="n">
        <v>34401735</v>
      </c>
      <c r="C12270" s="2" t="n">
        <v>39960</v>
      </c>
      <c r="D12270" t="inlineStr">
        <is>
          <t>SPEC</t>
        </is>
      </c>
      <c r="E12270" t="inlineStr">
        <is>
          <t>CAPOT  HABILLAGE CELLULE 400</t>
        </is>
      </c>
      <c r="F12270" t="inlineStr">
        <is>
          <t>GALAXY</t>
        </is>
      </c>
      <c r="J12270" t="inlineStr">
        <is>
          <t>ROGEAT</t>
        </is>
      </c>
      <c r="L12270">
        <f>_xlfn.XLOOKUP(Tableau1[[#This Row],[TYPE DE PIECE]],Tableau4[MATIERE],Tableau4[SHORT TYPE],"",0,1)</f>
        <v/>
      </c>
      <c r="N12270">
        <f>IF(ISERR(FIND("DECOUPE",Tableau1[[#This Row],[DESIGNATION]])),"","NEED REF")</f>
        <v/>
      </c>
    </row>
    <row r="12271">
      <c r="B12271" t="n">
        <v>34401734</v>
      </c>
      <c r="C12271" s="2" t="n">
        <v>39960</v>
      </c>
      <c r="D12271" t="inlineStr">
        <is>
          <t>SPEC</t>
        </is>
      </c>
      <c r="E12271" t="inlineStr">
        <is>
          <t>PANNEAU HABILLAGE CELLULE 400</t>
        </is>
      </c>
      <c r="F12271" t="inlineStr">
        <is>
          <t>GALAXY</t>
        </is>
      </c>
      <c r="J12271" t="inlineStr">
        <is>
          <t>ROGEAT</t>
        </is>
      </c>
      <c r="L12271">
        <f>_xlfn.XLOOKUP(Tableau1[[#This Row],[TYPE DE PIECE]],Tableau4[MATIERE],Tableau4[SHORT TYPE],"",0,1)</f>
        <v/>
      </c>
      <c r="N12271">
        <f>IF(ISERR(FIND("DECOUPE",Tableau1[[#This Row],[DESIGNATION]])),"","NEED REF")</f>
        <v/>
      </c>
    </row>
    <row r="12272">
      <c r="B12272" t="n">
        <v>34401733</v>
      </c>
      <c r="C12272" s="2" t="n">
        <v>39947</v>
      </c>
      <c r="D12272" t="inlineStr">
        <is>
          <t>SPEC</t>
        </is>
      </c>
      <c r="E12272" t="inlineStr">
        <is>
          <t>Dossier de montage gaine de 400 30 et 100kVA</t>
        </is>
      </c>
      <c r="F12272" t="inlineStr">
        <is>
          <t>G5000</t>
        </is>
      </c>
      <c r="J12272" t="inlineStr">
        <is>
          <t>ROBERT</t>
        </is>
      </c>
      <c r="L12272">
        <f>_xlfn.XLOOKUP(Tableau1[[#This Row],[TYPE DE PIECE]],Tableau4[MATIERE],Tableau4[SHORT TYPE],"",0,1)</f>
        <v/>
      </c>
      <c r="N12272">
        <f>IF(ISERR(FIND("DECOUPE",Tableau1[[#This Row],[DESIGNATION]])),"","NEED REF")</f>
        <v/>
      </c>
    </row>
    <row r="12273">
      <c r="B12273" t="n">
        <v>34401732</v>
      </c>
      <c r="C12273" s="2" t="n">
        <v>39933</v>
      </c>
      <c r="D12273" t="inlineStr">
        <is>
          <t>SPEC</t>
        </is>
      </c>
      <c r="E12273" t="inlineStr">
        <is>
          <t>ETIQUETTE PRODUIT STS UPSILON</t>
        </is>
      </c>
      <c r="F12273" t="inlineStr">
        <is>
          <t>STS UPSILON</t>
        </is>
      </c>
      <c r="L12273">
        <f>_xlfn.XLOOKUP(Tableau1[[#This Row],[TYPE DE PIECE]],Tableau4[MATIERE],Tableau4[SHORT TYPE],"",0,1)</f>
        <v/>
      </c>
      <c r="N12273">
        <f>IF(ISERR(FIND("DECOUPE",Tableau1[[#This Row],[DESIGNATION]])),"","NEED REF")</f>
        <v/>
      </c>
    </row>
    <row r="12274">
      <c r="B12274" t="n">
        <v>34401731</v>
      </c>
      <c r="C12274" s="2" t="n">
        <v>39933</v>
      </c>
      <c r="D12274" t="inlineStr">
        <is>
          <t>SPEC</t>
        </is>
      </c>
      <c r="E12274" t="inlineStr">
        <is>
          <t>TOIT GRILLAGE POUR REHAUSSE G6000-G9000 L=1200</t>
        </is>
      </c>
      <c r="F12274" t="inlineStr">
        <is>
          <t>G6000-G9000</t>
        </is>
      </c>
      <c r="J12274" t="inlineStr">
        <is>
          <t>MATRION</t>
        </is>
      </c>
      <c r="L12274">
        <f>_xlfn.XLOOKUP(Tableau1[[#This Row],[TYPE DE PIECE]],Tableau4[MATIERE],Tableau4[SHORT TYPE],"",0,1)</f>
        <v/>
      </c>
      <c r="N12274">
        <f>IF(ISERR(FIND("DECOUPE",Tableau1[[#This Row],[DESIGNATION]])),"","NEED REF")</f>
        <v/>
      </c>
    </row>
    <row r="12275">
      <c r="B12275" t="n">
        <v>34401730</v>
      </c>
      <c r="C12275" s="2" t="n">
        <v>39931</v>
      </c>
      <c r="D12275" t="inlineStr">
        <is>
          <t>NOM</t>
        </is>
      </c>
      <c r="E12275" t="inlineStr">
        <is>
          <t>LG COUPLAGE BATT G7000 400kVA &gt;10min</t>
        </is>
      </c>
      <c r="F12275" t="inlineStr">
        <is>
          <t>G7000</t>
        </is>
      </c>
      <c r="J12275" t="inlineStr">
        <is>
          <t>ÇAKIR</t>
        </is>
      </c>
      <c r="L12275">
        <f>_xlfn.XLOOKUP(Tableau1[[#This Row],[TYPE DE PIECE]],Tableau4[MATIERE],Tableau4[SHORT TYPE],"",0,1)</f>
        <v/>
      </c>
      <c r="N12275">
        <f>IF(ISERR(FIND("DECOUPE",Tableau1[[#This Row],[DESIGNATION]])),"","NEED REF")</f>
        <v/>
      </c>
    </row>
    <row r="12276">
      <c r="B12276" t="n">
        <v>34401729</v>
      </c>
      <c r="C12276" s="2" t="n">
        <v>39926</v>
      </c>
      <c r="D12276" t="inlineStr">
        <is>
          <t>NOM</t>
        </is>
      </c>
      <c r="E12276" t="inlineStr">
        <is>
          <t>LG SINWAVE SEUL EN ARMOIRE AUX TT G6K L=600 + REHAUSSE / SANS TI</t>
        </is>
      </c>
      <c r="F12276" t="inlineStr">
        <is>
          <t>G6000</t>
        </is>
      </c>
      <c r="J12276" t="inlineStr">
        <is>
          <t>MATRION</t>
        </is>
      </c>
      <c r="L12276">
        <f>_xlfn.XLOOKUP(Tableau1[[#This Row],[TYPE DE PIECE]],Tableau4[MATIERE],Tableau4[SHORT TYPE],"",0,1)</f>
        <v/>
      </c>
      <c r="N12276">
        <f>IF(ISERR(FIND("DECOUPE",Tableau1[[#This Row],[DESIGNATION]])),"","NEED REF")</f>
        <v/>
      </c>
    </row>
    <row r="12277">
      <c r="B12277" t="n">
        <v>34401728</v>
      </c>
      <c r="C12277" s="2" t="n">
        <v>39924</v>
      </c>
      <c r="D12277" t="inlineStr">
        <is>
          <t>CDC</t>
        </is>
      </c>
      <c r="E12277" t="inlineStr">
        <is>
          <t xml:space="preserve">CDC Modif panneau IP32 G5K + IP40 sur PW + IP40 sur G5K batt et aux en soudant une grille de 1mm pour IP40 </t>
        </is>
      </c>
      <c r="F12277" t="inlineStr">
        <is>
          <t>G5K , PW</t>
        </is>
      </c>
      <c r="J12277" t="inlineStr">
        <is>
          <t>MONGELLI</t>
        </is>
      </c>
      <c r="L12277">
        <f>_xlfn.XLOOKUP(Tableau1[[#This Row],[TYPE DE PIECE]],Tableau4[MATIERE],Tableau4[SHORT TYPE],"",0,1)</f>
        <v/>
      </c>
      <c r="N12277">
        <f>IF(ISERR(FIND("DECOUPE",Tableau1[[#This Row],[DESIGNATION]])),"","NEED REF")</f>
        <v/>
      </c>
    </row>
    <row r="12278">
      <c r="B12278" t="n">
        <v>34401727</v>
      </c>
      <c r="C12278" s="2" t="n">
        <v>39923</v>
      </c>
      <c r="D12278" t="inlineStr">
        <is>
          <t>ST+CDC</t>
        </is>
      </c>
      <c r="E12278" t="inlineStr">
        <is>
          <t>Sous traitance montage suivant CDC APPS (Arm by-PASS+tfo)</t>
        </is>
      </c>
      <c r="F12278" t="inlineStr">
        <is>
          <t>PW1000</t>
        </is>
      </c>
      <c r="J12278" t="inlineStr">
        <is>
          <t>ROBERT</t>
        </is>
      </c>
      <c r="L12278">
        <f>_xlfn.XLOOKUP(Tableau1[[#This Row],[TYPE DE PIECE]],Tableau4[MATIERE],Tableau4[SHORT TYPE],"",0,1)</f>
        <v/>
      </c>
      <c r="N12278">
        <f>IF(ISERR(FIND("DECOUPE",Tableau1[[#This Row],[DESIGNATION]])),"","NEED REF")</f>
        <v/>
      </c>
    </row>
    <row r="12279">
      <c r="B12279" t="n">
        <v>34401726</v>
      </c>
      <c r="C12279" s="2" t="n">
        <v>39918</v>
      </c>
      <c r="D12279" t="inlineStr">
        <is>
          <t>NOM</t>
        </is>
      </c>
      <c r="E12279" t="inlineStr">
        <is>
          <t>Nom peinture à commission G5K  IP32 ARM AUX/BATT (L=1010)</t>
        </is>
      </c>
      <c r="F12279" t="inlineStr">
        <is>
          <t>G5000</t>
        </is>
      </c>
      <c r="J12279" t="inlineStr">
        <is>
          <t>ROBERT</t>
        </is>
      </c>
      <c r="L12279">
        <f>_xlfn.XLOOKUP(Tableau1[[#This Row],[TYPE DE PIECE]],Tableau4[MATIERE],Tableau4[SHORT TYPE],"",0,1)</f>
        <v/>
      </c>
      <c r="N12279">
        <f>IF(ISERR(FIND("DECOUPE",Tableau1[[#This Row],[DESIGNATION]])),"","NEED REF")</f>
        <v/>
      </c>
    </row>
    <row r="12280">
      <c r="B12280" t="n">
        <v>34401725</v>
      </c>
      <c r="C12280" s="2" t="n">
        <v>39912</v>
      </c>
      <c r="D12280" t="inlineStr">
        <is>
          <t>NOM</t>
        </is>
      </c>
      <c r="E12280" t="inlineStr">
        <is>
          <t>LG PIECES D'ACCOUPLEMENT CELLULES G5K-G7K</t>
        </is>
      </c>
      <c r="F12280" t="inlineStr">
        <is>
          <t>GALAXY 5000-7000</t>
        </is>
      </c>
      <c r="J12280" t="inlineStr">
        <is>
          <t>MATRION</t>
        </is>
      </c>
      <c r="L12280">
        <f>_xlfn.XLOOKUP(Tableau1[[#This Row],[TYPE DE PIECE]],Tableau4[MATIERE],Tableau4[SHORT TYPE],"",0,1)</f>
        <v/>
      </c>
      <c r="N12280">
        <f>IF(ISERR(FIND("DECOUPE",Tableau1[[#This Row],[DESIGNATION]])),"","NEED REF")</f>
        <v/>
      </c>
    </row>
    <row r="12281">
      <c r="B12281" t="n">
        <v>34401724</v>
      </c>
      <c r="C12281" s="2" t="n">
        <v>39911</v>
      </c>
      <c r="D12281" t="inlineStr">
        <is>
          <t>CDC</t>
        </is>
      </c>
      <c r="E12281" t="inlineStr">
        <is>
          <t>CDC MODIFICATION PANNEAU IP32 (ajout point de soudure sur grille)</t>
        </is>
      </c>
      <c r="F12281" t="inlineStr">
        <is>
          <t>G5000</t>
        </is>
      </c>
      <c r="J12281" t="inlineStr">
        <is>
          <t>ROBERT</t>
        </is>
      </c>
      <c r="L12281">
        <f>_xlfn.XLOOKUP(Tableau1[[#This Row],[TYPE DE PIECE]],Tableau4[MATIERE],Tableau4[SHORT TYPE],"",0,1)</f>
        <v/>
      </c>
      <c r="N12281">
        <f>IF(ISERR(FIND("DECOUPE",Tableau1[[#This Row],[DESIGNATION]])),"","NEED REF")</f>
        <v/>
      </c>
    </row>
    <row r="12282">
      <c r="B12282" t="n">
        <v>34401723</v>
      </c>
      <c r="C12282" s="2" t="n">
        <v>39906</v>
      </c>
      <c r="D12282" t="inlineStr">
        <is>
          <t>NOM</t>
        </is>
      </c>
      <c r="E12282" t="inlineStr">
        <is>
          <t>SUPPORT BOBINAGE DOUBLE ARM G3K L=850</t>
        </is>
      </c>
      <c r="F12282" t="inlineStr">
        <is>
          <t>GALAXY G3K</t>
        </is>
      </c>
      <c r="J12282" t="inlineStr">
        <is>
          <t>MATRION</t>
        </is>
      </c>
      <c r="L12282">
        <f>_xlfn.XLOOKUP(Tableau1[[#This Row],[TYPE DE PIECE]],Tableau4[MATIERE],Tableau4[SHORT TYPE],"",0,1)</f>
        <v/>
      </c>
      <c r="N12282">
        <f>IF(ISERR(FIND("DECOUPE",Tableau1[[#This Row],[DESIGNATION]])),"","NEED REF")</f>
        <v/>
      </c>
    </row>
    <row r="12283">
      <c r="B12283" t="n">
        <v>34401722</v>
      </c>
      <c r="C12283" s="2" t="n">
        <v>39903</v>
      </c>
      <c r="D12283" t="inlineStr">
        <is>
          <t>CDC</t>
        </is>
      </c>
      <c r="E12283" t="inlineStr">
        <is>
          <t>CDC GAINE DE 400mm+SKID</t>
        </is>
      </c>
      <c r="F12283" t="inlineStr">
        <is>
          <t>G5000</t>
        </is>
      </c>
      <c r="J12283" t="inlineStr">
        <is>
          <t>ROBERT</t>
        </is>
      </c>
      <c r="L12283">
        <f>_xlfn.XLOOKUP(Tableau1[[#This Row],[TYPE DE PIECE]],Tableau4[MATIERE],Tableau4[SHORT TYPE],"",0,1)</f>
        <v/>
      </c>
      <c r="N12283">
        <f>IF(ISERR(FIND("DECOUPE",Tableau1[[#This Row],[DESIGNATION]])),"","NEED REF")</f>
        <v/>
      </c>
    </row>
    <row r="12284">
      <c r="B12284" t="n">
        <v>34401721</v>
      </c>
      <c r="C12284" s="2" t="n">
        <v>39898</v>
      </c>
      <c r="D12284" t="inlineStr">
        <is>
          <t>NOM</t>
        </is>
      </c>
      <c r="E12284" t="inlineStr">
        <is>
          <t>LG G6K-G9K GAINE 400 GAUCHE LA</t>
        </is>
      </c>
      <c r="F12284" t="inlineStr">
        <is>
          <t>GALAXY</t>
        </is>
      </c>
      <c r="J12284" t="inlineStr">
        <is>
          <t>MATRION</t>
        </is>
      </c>
      <c r="L12284">
        <f>_xlfn.XLOOKUP(Tableau1[[#This Row],[TYPE DE PIECE]],Tableau4[MATIERE],Tableau4[SHORT TYPE],"",0,1)</f>
        <v/>
      </c>
      <c r="N12284">
        <f>IF(ISERR(FIND("DECOUPE",Tableau1[[#This Row],[DESIGNATION]])),"","NEED REF")</f>
        <v/>
      </c>
    </row>
    <row r="12285">
      <c r="B12285" t="n">
        <v>34401720</v>
      </c>
      <c r="C12285" s="2" t="n">
        <v>39898</v>
      </c>
      <c r="D12285" t="inlineStr">
        <is>
          <t>NOM</t>
        </is>
      </c>
      <c r="E12285" t="inlineStr">
        <is>
          <t>LG G6K-G9K GAINE 400 DROITE LA</t>
        </is>
      </c>
      <c r="F12285" t="inlineStr">
        <is>
          <t>GALAXY</t>
        </is>
      </c>
      <c r="J12285" t="inlineStr">
        <is>
          <t>MATRION</t>
        </is>
      </c>
      <c r="L12285">
        <f>_xlfn.XLOOKUP(Tableau1[[#This Row],[TYPE DE PIECE]],Tableau4[MATIERE],Tableau4[SHORT TYPE],"",0,1)</f>
        <v/>
      </c>
      <c r="N12285">
        <f>IF(ISERR(FIND("DECOUPE",Tableau1[[#This Row],[DESIGNATION]])),"","NEED REF")</f>
        <v/>
      </c>
    </row>
    <row r="12286">
      <c r="B12286" t="n">
        <v>34401719</v>
      </c>
      <c r="C12286" s="2" t="n">
        <v>39898</v>
      </c>
      <c r="D12286" t="inlineStr">
        <is>
          <t>CDC</t>
        </is>
      </c>
      <c r="E12286" t="inlineStr">
        <is>
          <t>CDC + LG NS 1600 LIGHT TNS/TNC AVEC TI, ARM 1200 + GAINE 400</t>
        </is>
      </c>
      <c r="F12286" t="inlineStr">
        <is>
          <t>GALAXY</t>
        </is>
      </c>
      <c r="J12286" t="inlineStr">
        <is>
          <t>MATRION</t>
        </is>
      </c>
      <c r="L12286">
        <f>_xlfn.XLOOKUP(Tableau1[[#This Row],[TYPE DE PIECE]],Tableau4[MATIERE],Tableau4[SHORT TYPE],"",0,1)</f>
        <v/>
      </c>
      <c r="N12286">
        <f>IF(ISERR(FIND("DECOUPE",Tableau1[[#This Row],[DESIGNATION]])),"","NEED REF")</f>
        <v/>
      </c>
    </row>
    <row r="12287">
      <c r="B12287" t="n">
        <v>34401718</v>
      </c>
      <c r="C12287" s="2" t="n">
        <v>39895</v>
      </c>
      <c r="D12287" t="inlineStr">
        <is>
          <t>SPEC</t>
        </is>
      </c>
      <c r="E12287" t="inlineStr">
        <is>
          <t>Dossier de Montage Pack Advance Accolé en Usine</t>
        </is>
      </c>
      <c r="F12287" t="inlineStr">
        <is>
          <t>GALAXY G6K</t>
        </is>
      </c>
      <c r="J12287" t="inlineStr">
        <is>
          <t>MONGELLI</t>
        </is>
      </c>
      <c r="L12287">
        <f>_xlfn.XLOOKUP(Tableau1[[#This Row],[TYPE DE PIECE]],Tableau4[MATIERE],Tableau4[SHORT TYPE],"",0,1)</f>
        <v/>
      </c>
      <c r="N12287">
        <f>IF(ISERR(FIND("DECOUPE",Tableau1[[#This Row],[DESIGNATION]])),"","NEED REF")</f>
        <v/>
      </c>
    </row>
    <row r="12288">
      <c r="B12288" t="n">
        <v>34401717</v>
      </c>
      <c r="C12288" s="2" t="n">
        <v>39891</v>
      </c>
      <c r="D12288" t="inlineStr">
        <is>
          <t>NOM</t>
        </is>
      </c>
      <c r="E12288" t="inlineStr">
        <is>
          <t>LG pack advance 500kVA avec bornier non accollé</t>
        </is>
      </c>
      <c r="F12288" t="inlineStr">
        <is>
          <t>GALAXY G6K</t>
        </is>
      </c>
      <c r="J12288" t="inlineStr">
        <is>
          <t>MONGELLI</t>
        </is>
      </c>
      <c r="L12288">
        <f>_xlfn.XLOOKUP(Tableau1[[#This Row],[TYPE DE PIECE]],Tableau4[MATIERE],Tableau4[SHORT TYPE],"",0,1)</f>
        <v/>
      </c>
      <c r="N12288">
        <f>IF(ISERR(FIND("DECOUPE",Tableau1[[#This Row],[DESIGNATION]])),"","NEED REF")</f>
        <v/>
      </c>
    </row>
    <row r="12289">
      <c r="B12289" t="n">
        <v>34401716</v>
      </c>
      <c r="C12289" s="2" t="n">
        <v>39889</v>
      </c>
      <c r="D12289" t="inlineStr">
        <is>
          <t>NOM</t>
        </is>
      </c>
      <c r="E12289" t="inlineStr">
        <is>
          <t>MONTANTS ET SUPPORT BATTERIE G5000/G7000 L=1010</t>
        </is>
      </c>
      <c r="F12289" t="inlineStr">
        <is>
          <t>GALAXY 5000-7000</t>
        </is>
      </c>
      <c r="J12289" t="inlineStr">
        <is>
          <t>MATRION</t>
        </is>
      </c>
      <c r="L12289">
        <f>_xlfn.XLOOKUP(Tableau1[[#This Row],[TYPE DE PIECE]],Tableau4[MATIERE],Tableau4[SHORT TYPE],"",0,1)</f>
        <v/>
      </c>
      <c r="N12289">
        <f>IF(ISERR(FIND("DECOUPE",Tableau1[[#This Row],[DESIGNATION]])),"","NEED REF")</f>
        <v/>
      </c>
    </row>
    <row r="12290">
      <c r="B12290" t="n">
        <v>34401715</v>
      </c>
      <c r="C12290" s="2" t="n">
        <v>39883</v>
      </c>
      <c r="D12290" t="inlineStr">
        <is>
          <t>ST</t>
        </is>
      </c>
      <c r="E12290" t="inlineStr">
        <is>
          <t>STS 400A / PROTECTION AFFICHEUR</t>
        </is>
      </c>
      <c r="F12290" t="inlineStr">
        <is>
          <t>STS 400A Sarel 500</t>
        </is>
      </c>
      <c r="J12290" t="inlineStr">
        <is>
          <t>MATRION</t>
        </is>
      </c>
      <c r="L12290">
        <f>_xlfn.XLOOKUP(Tableau1[[#This Row],[TYPE DE PIECE]],Tableau4[MATIERE],Tableau4[SHORT TYPE],"",0,1)</f>
        <v/>
      </c>
      <c r="N12290">
        <f>IF(ISERR(FIND("DECOUPE",Tableau1[[#This Row],[DESIGNATION]])),"","NEED REF")</f>
        <v/>
      </c>
    </row>
    <row r="12291">
      <c r="B12291" t="n">
        <v>34401714</v>
      </c>
      <c r="C12291" s="2" t="n">
        <v>39881</v>
      </c>
      <c r="D12291" t="inlineStr">
        <is>
          <t>CDC</t>
        </is>
      </c>
      <c r="E12291" t="inlineStr">
        <is>
          <t>SKID G3000 30kVA IP22</t>
        </is>
      </c>
      <c r="F12291" t="inlineStr">
        <is>
          <t xml:space="preserve">GALAXY 3000 </t>
        </is>
      </c>
      <c r="J12291" t="inlineStr">
        <is>
          <t>ROBERT</t>
        </is>
      </c>
      <c r="L12291">
        <f>_xlfn.XLOOKUP(Tableau1[[#This Row],[TYPE DE PIECE]],Tableau4[MATIERE],Tableau4[SHORT TYPE],"",0,1)</f>
        <v/>
      </c>
      <c r="N12291">
        <f>IF(ISERR(FIND("DECOUPE",Tableau1[[#This Row],[DESIGNATION]])),"","NEED REF")</f>
        <v/>
      </c>
    </row>
    <row r="12292">
      <c r="B12292" t="n">
        <v>34401713</v>
      </c>
      <c r="C12292" s="2" t="n">
        <v>39881</v>
      </c>
      <c r="D12292" t="inlineStr">
        <is>
          <t>CDC</t>
        </is>
      </c>
      <c r="E12292" t="inlineStr">
        <is>
          <t>SKID ARM BATTERIE L=850</t>
        </is>
      </c>
      <c r="F12292" t="inlineStr">
        <is>
          <t>GALAXY 3000</t>
        </is>
      </c>
      <c r="J12292" t="inlineStr">
        <is>
          <t>ROBERT</t>
        </is>
      </c>
      <c r="L12292">
        <f>_xlfn.XLOOKUP(Tableau1[[#This Row],[TYPE DE PIECE]],Tableau4[MATIERE],Tableau4[SHORT TYPE],"",0,1)</f>
        <v/>
      </c>
      <c r="N12292">
        <f>IF(ISERR(FIND("DECOUPE",Tableau1[[#This Row],[DESIGNATION]])),"","NEED REF")</f>
        <v/>
      </c>
    </row>
    <row r="12293">
      <c r="B12293" t="n">
        <v>34401712</v>
      </c>
      <c r="C12293" s="2" t="n">
        <v>39881</v>
      </c>
      <c r="D12293" t="inlineStr">
        <is>
          <t>CDC</t>
        </is>
      </c>
      <c r="E12293" t="inlineStr">
        <is>
          <t>CAILLEBOTIS MARINE G3K AUX  L=850</t>
        </is>
      </c>
      <c r="F12293" t="inlineStr">
        <is>
          <t>GALAXY 3000</t>
        </is>
      </c>
      <c r="J12293" t="inlineStr">
        <is>
          <t>ROBERT</t>
        </is>
      </c>
      <c r="L12293">
        <f>_xlfn.XLOOKUP(Tableau1[[#This Row],[TYPE DE PIECE]],Tableau4[MATIERE],Tableau4[SHORT TYPE],"",0,1)</f>
        <v/>
      </c>
      <c r="N12293">
        <f>IF(ISERR(FIND("DECOUPE",Tableau1[[#This Row],[DESIGNATION]])),"","NEED REF")</f>
        <v/>
      </c>
    </row>
    <row r="12294">
      <c r="B12294" t="n">
        <v>34401711</v>
      </c>
      <c r="C12294" s="2" t="n">
        <v>39857</v>
      </c>
      <c r="D12294" t="inlineStr">
        <is>
          <t>NOM</t>
        </is>
      </c>
      <c r="E12294" t="inlineStr">
        <is>
          <t>NOM TOIT VENTILE ARM G5K-G7K L=1012 3x900m3/h</t>
        </is>
      </c>
      <c r="F12294" t="inlineStr">
        <is>
          <t>GALAXY 5000-7000</t>
        </is>
      </c>
      <c r="J12294" t="inlineStr">
        <is>
          <t>MATRION</t>
        </is>
      </c>
      <c r="L12294">
        <f>_xlfn.XLOOKUP(Tableau1[[#This Row],[TYPE DE PIECE]],Tableau4[MATIERE],Tableau4[SHORT TYPE],"",0,1)</f>
        <v/>
      </c>
      <c r="N12294">
        <f>IF(ISERR(FIND("DECOUPE",Tableau1[[#This Row],[DESIGNATION]])),"","NEED REF")</f>
        <v/>
      </c>
    </row>
    <row r="12295">
      <c r="B12295" t="n">
        <v>34401710</v>
      </c>
      <c r="C12295" s="2" t="n">
        <v>39857</v>
      </c>
      <c r="D12295" t="inlineStr">
        <is>
          <t>NOM</t>
        </is>
      </c>
      <c r="E12295" t="inlineStr">
        <is>
          <t>NOM TOIT VENTILE ARM G5K-G7K L=712 3x900m3/h</t>
        </is>
      </c>
      <c r="F12295" t="inlineStr">
        <is>
          <t>GALAXY 5000-7000</t>
        </is>
      </c>
      <c r="J12295" t="inlineStr">
        <is>
          <t>MATRION</t>
        </is>
      </c>
      <c r="L12295">
        <f>_xlfn.XLOOKUP(Tableau1[[#This Row],[TYPE DE PIECE]],Tableau4[MATIERE],Tableau4[SHORT TYPE],"",0,1)</f>
        <v/>
      </c>
      <c r="N12295">
        <f>IF(ISERR(FIND("DECOUPE",Tableau1[[#This Row],[DESIGNATION]])),"","NEED REF")</f>
        <v/>
      </c>
    </row>
    <row r="12296">
      <c r="B12296" t="n">
        <v>34401709</v>
      </c>
      <c r="C12296" s="2" t="n">
        <v>39856</v>
      </c>
      <c r="D12296" t="inlineStr">
        <is>
          <t>SPEC</t>
        </is>
      </c>
      <c r="E12296" t="inlineStr">
        <is>
          <t>TOIT VENTILE ARM G5K-G7K L=1012</t>
        </is>
      </c>
      <c r="F12296" t="inlineStr">
        <is>
          <t>GALAXY 5000-7000</t>
        </is>
      </c>
      <c r="J12296" t="inlineStr">
        <is>
          <t>MATRION</t>
        </is>
      </c>
      <c r="L12296">
        <f>_xlfn.XLOOKUP(Tableau1[[#This Row],[TYPE DE PIECE]],Tableau4[MATIERE],Tableau4[SHORT TYPE],"",0,1)</f>
        <v/>
      </c>
      <c r="N12296">
        <f>IF(ISERR(FIND("DECOUPE",Tableau1[[#This Row],[DESIGNATION]])),"","NEED REF")</f>
        <v/>
      </c>
    </row>
    <row r="12297">
      <c r="B12297" t="n">
        <v>34401708</v>
      </c>
      <c r="C12297" s="2" t="n">
        <v>39856</v>
      </c>
      <c r="D12297" t="inlineStr">
        <is>
          <t>NOM</t>
        </is>
      </c>
      <c r="E12297" t="inlineStr">
        <is>
          <t>Peint a commission G7K 500kVA</t>
        </is>
      </c>
      <c r="F12297" t="inlineStr">
        <is>
          <t xml:space="preserve">G7K </t>
        </is>
      </c>
      <c r="J12297" t="inlineStr">
        <is>
          <t>REVEL</t>
        </is>
      </c>
      <c r="L12297">
        <f>_xlfn.XLOOKUP(Tableau1[[#This Row],[TYPE DE PIECE]],Tableau4[MATIERE],Tableau4[SHORT TYPE],"",0,1)</f>
        <v/>
      </c>
      <c r="N12297">
        <f>IF(ISERR(FIND("DECOUPE",Tableau1[[#This Row],[DESIGNATION]])),"","NEED REF")</f>
        <v/>
      </c>
    </row>
    <row r="12298">
      <c r="B12298" t="n">
        <v>34401707</v>
      </c>
      <c r="C12298" s="2" t="n">
        <v>39847</v>
      </c>
      <c r="D12298" t="inlineStr">
        <is>
          <t>SPEC</t>
        </is>
      </c>
      <c r="E12298" t="inlineStr">
        <is>
          <t>Etiquette adaptation coffret disjoncteur</t>
        </is>
      </c>
      <c r="F12298" t="inlineStr">
        <is>
          <t>Couplage batterie</t>
        </is>
      </c>
      <c r="J12298" t="inlineStr">
        <is>
          <t>ROBERT</t>
        </is>
      </c>
      <c r="L12298">
        <f>_xlfn.XLOOKUP(Tableau1[[#This Row],[TYPE DE PIECE]],Tableau4[MATIERE],Tableau4[SHORT TYPE],"",0,1)</f>
        <v/>
      </c>
      <c r="N12298">
        <f>IF(ISERR(FIND("DECOUPE",Tableau1[[#This Row],[DESIGNATION]])),"","NEED REF")</f>
        <v/>
      </c>
    </row>
    <row r="12299">
      <c r="B12299" t="n">
        <v>34401706</v>
      </c>
      <c r="C12299" s="2" t="n">
        <v>39836</v>
      </c>
      <c r="D12299" t="inlineStr">
        <is>
          <t>CDC</t>
        </is>
      </c>
      <c r="E12299" t="inlineStr">
        <is>
          <t>Cheminee raccordement haut IP cellule l=715</t>
        </is>
      </c>
      <c r="F12299" t="inlineStr">
        <is>
          <t>GALAXY PW 715</t>
        </is>
      </c>
      <c r="J12299" t="inlineStr">
        <is>
          <t>REVEL</t>
        </is>
      </c>
      <c r="L12299">
        <f>_xlfn.XLOOKUP(Tableau1[[#This Row],[TYPE DE PIECE]],Tableau4[MATIERE],Tableau4[SHORT TYPE],"",0,1)</f>
        <v/>
      </c>
      <c r="N12299">
        <f>IF(ISERR(FIND("DECOUPE",Tableau1[[#This Row],[DESIGNATION]])),"","NEED REF")</f>
        <v/>
      </c>
    </row>
    <row r="12300">
      <c r="B12300" t="n">
        <v>34401705</v>
      </c>
      <c r="C12300" s="2" t="n">
        <v>39827</v>
      </c>
      <c r="D12300" t="inlineStr">
        <is>
          <t>SPEC</t>
        </is>
      </c>
      <c r="E12300" t="inlineStr">
        <is>
          <t>Notice d'aide à la programmation d'EPROM</t>
        </is>
      </c>
      <c r="F12300" t="inlineStr">
        <is>
          <t>TOUTES</t>
        </is>
      </c>
      <c r="J12300" t="inlineStr">
        <is>
          <t>FOLTZ</t>
        </is>
      </c>
      <c r="L12300">
        <f>_xlfn.XLOOKUP(Tableau1[[#This Row],[TYPE DE PIECE]],Tableau4[MATIERE],Tableau4[SHORT TYPE],"",0,1)</f>
        <v/>
      </c>
      <c r="N12300">
        <f>IF(ISERR(FIND("DECOUPE",Tableau1[[#This Row],[DESIGNATION]])),"","NEED REF")</f>
        <v/>
      </c>
    </row>
    <row r="12301">
      <c r="B12301" t="n">
        <v>34401704</v>
      </c>
      <c r="C12301" s="2" t="n">
        <v>39827</v>
      </c>
      <c r="D12301" t="inlineStr">
        <is>
          <t>SPEC</t>
        </is>
      </c>
      <c r="E12301" t="inlineStr">
        <is>
          <t>Notice d'aide à l'utilisation et programmation automta TWIDO</t>
        </is>
      </c>
      <c r="F12301" t="inlineStr">
        <is>
          <t>TOUTES</t>
        </is>
      </c>
      <c r="J12301" t="inlineStr">
        <is>
          <t>FOLTZ</t>
        </is>
      </c>
      <c r="L12301">
        <f>_xlfn.XLOOKUP(Tableau1[[#This Row],[TYPE DE PIECE]],Tableau4[MATIERE],Tableau4[SHORT TYPE],"",0,1)</f>
        <v/>
      </c>
      <c r="N12301">
        <f>IF(ISERR(FIND("DECOUPE",Tableau1[[#This Row],[DESIGNATION]])),"","NEED REF")</f>
        <v/>
      </c>
    </row>
    <row r="12302">
      <c r="B12302" t="n">
        <v>34401703</v>
      </c>
      <c r="C12302" s="2" t="n">
        <v>39826</v>
      </c>
      <c r="D12302" t="inlineStr">
        <is>
          <t>WB</t>
        </is>
      </c>
      <c r="E12302" t="inlineStr">
        <is>
          <t>CAPOT CONNEXION BATT</t>
        </is>
      </c>
      <c r="F12302" t="inlineStr">
        <is>
          <t>G5k 80kVA</t>
        </is>
      </c>
      <c r="J12302" t="inlineStr">
        <is>
          <t>ROBERT</t>
        </is>
      </c>
      <c r="L12302">
        <f>_xlfn.XLOOKUP(Tableau1[[#This Row],[TYPE DE PIECE]],Tableau4[MATIERE],Tableau4[SHORT TYPE],"",0,1)</f>
        <v/>
      </c>
      <c r="N12302">
        <f>IF(ISERR(FIND("DECOUPE",Tableau1[[#This Row],[DESIGNATION]])),"","NEED REF")</f>
        <v/>
      </c>
    </row>
    <row r="12303">
      <c r="B12303" t="n">
        <v>34401702</v>
      </c>
      <c r="C12303" s="2" t="n">
        <v>39825</v>
      </c>
      <c r="D12303" t="inlineStr">
        <is>
          <t>NOM</t>
        </is>
      </c>
      <c r="E12303" t="inlineStr">
        <is>
          <t>KIT TRANSFORMATION U &gt;&gt; UP 800kVA</t>
        </is>
      </c>
      <c r="F12303" t="inlineStr">
        <is>
          <t>G9000</t>
        </is>
      </c>
      <c r="J12303" t="inlineStr">
        <is>
          <t>ÇAKIR</t>
        </is>
      </c>
      <c r="L12303">
        <f>_xlfn.XLOOKUP(Tableau1[[#This Row],[TYPE DE PIECE]],Tableau4[MATIERE],Tableau4[SHORT TYPE],"",0,1)</f>
        <v/>
      </c>
      <c r="N12303">
        <f>IF(ISERR(FIND("DECOUPE",Tableau1[[#This Row],[DESIGNATION]])),"","NEED REF")</f>
        <v/>
      </c>
    </row>
    <row r="12304">
      <c r="B12304" t="n">
        <v>34401701</v>
      </c>
      <c r="C12304" s="2" t="n">
        <v>39819</v>
      </c>
      <c r="D12304" t="inlineStr">
        <is>
          <t>D montage</t>
        </is>
      </c>
      <c r="E12304" t="inlineStr">
        <is>
          <t>Notice ajout dj sur PMM</t>
        </is>
      </c>
      <c r="F12304" t="inlineStr">
        <is>
          <t>PMM</t>
        </is>
      </c>
      <c r="J12304" t="inlineStr">
        <is>
          <t>REVEL</t>
        </is>
      </c>
      <c r="L12304">
        <f>_xlfn.XLOOKUP(Tableau1[[#This Row],[TYPE DE PIECE]],Tableau4[MATIERE],Tableau4[SHORT TYPE],"",0,1)</f>
        <v/>
      </c>
      <c r="N12304">
        <f>IF(ISERR(FIND("DECOUPE",Tableau1[[#This Row],[DESIGNATION]])),"","NEED REF")</f>
        <v/>
      </c>
    </row>
    <row r="12305">
      <c r="B12305" t="n">
        <v>34401700</v>
      </c>
      <c r="C12305" s="2" t="n">
        <v>39806</v>
      </c>
      <c r="D12305" t="inlineStr">
        <is>
          <t>NOM</t>
        </is>
      </c>
      <c r="E12305" t="inlineStr">
        <is>
          <t>KIT TRANSFORMATION FAH 400 en FAHD 400</t>
        </is>
      </c>
      <c r="F12305" t="inlineStr">
        <is>
          <t>GALAXY 6000</t>
        </is>
      </c>
      <c r="J12305" t="inlineStr">
        <is>
          <t>MATRION</t>
        </is>
      </c>
      <c r="L12305">
        <f>_xlfn.XLOOKUP(Tableau1[[#This Row],[TYPE DE PIECE]],Tableau4[MATIERE],Tableau4[SHORT TYPE],"",0,1)</f>
        <v/>
      </c>
      <c r="N12305">
        <f>IF(ISERR(FIND("DECOUPE",Tableau1[[#This Row],[DESIGNATION]])),"","NEED REF")</f>
        <v/>
      </c>
    </row>
    <row r="12306">
      <c r="B12306" t="n">
        <v>34401699</v>
      </c>
      <c r="C12306" s="2" t="n">
        <v>39805</v>
      </c>
      <c r="D12306" t="inlineStr">
        <is>
          <t>CDC</t>
        </is>
      </c>
      <c r="E12306" t="inlineStr">
        <is>
          <t>COMET INDUS S31 20kVA IP32</t>
        </is>
      </c>
      <c r="F12306" t="inlineStr">
        <is>
          <t>COMET S31</t>
        </is>
      </c>
      <c r="J12306" t="inlineStr">
        <is>
          <t>F, ÇAKIR</t>
        </is>
      </c>
      <c r="L12306">
        <f>_xlfn.XLOOKUP(Tableau1[[#This Row],[TYPE DE PIECE]],Tableau4[MATIERE],Tableau4[SHORT TYPE],"",0,1)</f>
        <v/>
      </c>
      <c r="N12306">
        <f>IF(ISERR(FIND("DECOUPE",Tableau1[[#This Row],[DESIGNATION]])),"","NEED REF")</f>
        <v/>
      </c>
    </row>
    <row r="12307">
      <c r="B12307" t="n">
        <v>34401698</v>
      </c>
      <c r="C12307" s="2" t="n">
        <v>39805</v>
      </c>
      <c r="D12307" t="inlineStr">
        <is>
          <t>SPEC</t>
        </is>
      </c>
      <c r="E12307" t="inlineStr">
        <is>
          <t>Etiquettes maintenance SW + Avertissement</t>
        </is>
      </c>
      <c r="F12307" t="inlineStr">
        <is>
          <t>SW en armoire</t>
        </is>
      </c>
      <c r="J12307" t="inlineStr">
        <is>
          <t>ROBERT</t>
        </is>
      </c>
      <c r="L12307">
        <f>_xlfn.XLOOKUP(Tableau1[[#This Row],[TYPE DE PIECE]],Tableau4[MATIERE],Tableau4[SHORT TYPE],"",0,1)</f>
        <v/>
      </c>
      <c r="N12307">
        <f>IF(ISERR(FIND("DECOUPE",Tableau1[[#This Row],[DESIGNATION]])),"","NEED REF")</f>
        <v/>
      </c>
    </row>
    <row r="12308">
      <c r="B12308" t="n">
        <v>34401697</v>
      </c>
      <c r="C12308" s="2" t="n">
        <v>39786</v>
      </c>
      <c r="D12308" t="inlineStr">
        <is>
          <t>CDC</t>
        </is>
      </c>
      <c r="E12308" t="inlineStr">
        <is>
          <t>NS1200kVA raccordement cables alu</t>
        </is>
      </c>
      <c r="F12308" t="inlineStr">
        <is>
          <t>NS1200</t>
        </is>
      </c>
      <c r="J12308" t="inlineStr">
        <is>
          <t>REVEL</t>
        </is>
      </c>
      <c r="L12308">
        <f>_xlfn.XLOOKUP(Tableau1[[#This Row],[TYPE DE PIECE]],Tableau4[MATIERE],Tableau4[SHORT TYPE],"",0,1)</f>
        <v/>
      </c>
      <c r="N12308">
        <f>IF(ISERR(FIND("DECOUPE",Tableau1[[#This Row],[DESIGNATION]])),"","NEED REF")</f>
        <v/>
      </c>
    </row>
    <row r="12309">
      <c r="B12309" t="n">
        <v>34401696</v>
      </c>
      <c r="C12309" s="2" t="n">
        <v>39784</v>
      </c>
      <c r="D12309" t="inlineStr">
        <is>
          <t>NOM</t>
        </is>
      </c>
      <c r="E12309" t="inlineStr">
        <is>
          <t>Double back feed PW 1000 40Kva dans ARM PW L=715</t>
        </is>
      </c>
      <c r="F12309" t="inlineStr">
        <is>
          <t>PW 1000</t>
        </is>
      </c>
      <c r="J12309" t="inlineStr">
        <is>
          <t>FOLTZ</t>
        </is>
      </c>
      <c r="L12309">
        <f>_xlfn.XLOOKUP(Tableau1[[#This Row],[TYPE DE PIECE]],Tableau4[MATIERE],Tableau4[SHORT TYPE],"",0,1)</f>
        <v/>
      </c>
      <c r="N12309">
        <f>IF(ISERR(FIND("DECOUPE",Tableau1[[#This Row],[DESIGNATION]])),"","NEED REF")</f>
        <v/>
      </c>
    </row>
    <row r="12310">
      <c r="B12310" t="n">
        <v>34401695</v>
      </c>
      <c r="C12310" s="2" t="n">
        <v>39784</v>
      </c>
      <c r="D12310" t="inlineStr">
        <is>
          <t>NOM</t>
        </is>
      </c>
      <c r="E12310" t="inlineStr">
        <is>
          <t>Lg reprise apres recette  MEYER WERFT</t>
        </is>
      </c>
      <c r="F12310" t="inlineStr">
        <is>
          <t>G5000</t>
        </is>
      </c>
      <c r="J12310" t="inlineStr">
        <is>
          <t>ROBERT</t>
        </is>
      </c>
      <c r="L12310">
        <f>_xlfn.XLOOKUP(Tableau1[[#This Row],[TYPE DE PIECE]],Tableau4[MATIERE],Tableau4[SHORT TYPE],"",0,1)</f>
        <v/>
      </c>
      <c r="N12310">
        <f>IF(ISERR(FIND("DECOUPE",Tableau1[[#This Row],[DESIGNATION]])),"","NEED REF")</f>
        <v/>
      </c>
    </row>
    <row r="12311">
      <c r="B12311" t="n">
        <v>34401694</v>
      </c>
      <c r="C12311" s="2" t="n">
        <v>39783</v>
      </c>
      <c r="D12311" t="inlineStr">
        <is>
          <t>CDC</t>
        </is>
      </c>
      <c r="E12311" t="inlineStr">
        <is>
          <t>ARMOIRE DISTRIBUTION + PM700 + RCP</t>
        </is>
      </c>
      <c r="F12311" t="inlineStr">
        <is>
          <t>G6000</t>
        </is>
      </c>
      <c r="J12311" t="inlineStr">
        <is>
          <t>MATRION</t>
        </is>
      </c>
      <c r="L12311">
        <f>_xlfn.XLOOKUP(Tableau1[[#This Row],[TYPE DE PIECE]],Tableau4[MATIERE],Tableau4[SHORT TYPE],"",0,1)</f>
        <v/>
      </c>
      <c r="N12311">
        <f>IF(ISERR(FIND("DECOUPE",Tableau1[[#This Row],[DESIGNATION]])),"","NEED REF")</f>
        <v/>
      </c>
    </row>
    <row r="12312">
      <c r="B12312" t="n">
        <v>34401693</v>
      </c>
      <c r="C12312" s="2" t="n">
        <v>39780</v>
      </c>
      <c r="D12312" t="inlineStr">
        <is>
          <t>CDC</t>
        </is>
      </c>
      <c r="E12312" t="inlineStr">
        <is>
          <t>TOLERIE EP 20/10 ARM AUX IP22 PW L=715</t>
        </is>
      </c>
      <c r="F12312" t="inlineStr">
        <is>
          <t>GPW</t>
        </is>
      </c>
      <c r="J12312" t="inlineStr">
        <is>
          <t>REVEL</t>
        </is>
      </c>
      <c r="L12312">
        <f>_xlfn.XLOOKUP(Tableau1[[#This Row],[TYPE DE PIECE]],Tableau4[MATIERE],Tableau4[SHORT TYPE],"",0,1)</f>
        <v/>
      </c>
      <c r="N12312">
        <f>IF(ISERR(FIND("DECOUPE",Tableau1[[#This Row],[DESIGNATION]])),"","NEED REF")</f>
        <v/>
      </c>
    </row>
    <row r="12313">
      <c r="B12313" t="n">
        <v>34401692</v>
      </c>
      <c r="C12313" s="2" t="n">
        <v>39779</v>
      </c>
      <c r="D12313" t="inlineStr">
        <is>
          <t>CDC</t>
        </is>
      </c>
      <c r="E12313" t="inlineStr">
        <is>
          <t>SKID POUR AMOIRE DE COUPLAGE BATTERIE</t>
        </is>
      </c>
      <c r="F12313" t="inlineStr">
        <is>
          <t>GPW 1061</t>
        </is>
      </c>
      <c r="J12313" t="inlineStr">
        <is>
          <t>REVEL</t>
        </is>
      </c>
      <c r="L12313">
        <f>_xlfn.XLOOKUP(Tableau1[[#This Row],[TYPE DE PIECE]],Tableau4[MATIERE],Tableau4[SHORT TYPE],"",0,1)</f>
        <v/>
      </c>
      <c r="N12313">
        <f>IF(ISERR(FIND("DECOUPE",Tableau1[[#This Row],[DESIGNATION]])),"","NEED REF")</f>
        <v/>
      </c>
    </row>
    <row r="12314">
      <c r="B12314" t="n">
        <v>34401691</v>
      </c>
      <c r="C12314" s="2" t="n">
        <v>39779</v>
      </c>
      <c r="D12314" t="inlineStr">
        <is>
          <t>CDC</t>
        </is>
      </c>
      <c r="E12314" t="inlineStr">
        <is>
          <t>SKID POUR TFO CAPOTE</t>
        </is>
      </c>
      <c r="F12314" t="inlineStr">
        <is>
          <t>GPW 1060</t>
        </is>
      </c>
      <c r="J12314" t="inlineStr">
        <is>
          <t>REVEL</t>
        </is>
      </c>
      <c r="L12314">
        <f>_xlfn.XLOOKUP(Tableau1[[#This Row],[TYPE DE PIECE]],Tableau4[MATIERE],Tableau4[SHORT TYPE],"",0,1)</f>
        <v/>
      </c>
      <c r="N12314">
        <f>IF(ISERR(FIND("DECOUPE",Tableau1[[#This Row],[DESIGNATION]])),"","NEED REF")</f>
        <v/>
      </c>
    </row>
    <row r="12315">
      <c r="B12315" t="n">
        <v>34401690</v>
      </c>
      <c r="C12315" s="2" t="n">
        <v>39778</v>
      </c>
      <c r="D12315" t="inlineStr">
        <is>
          <t>CDC</t>
        </is>
      </c>
      <c r="E12315" t="inlineStr">
        <is>
          <t>SKID POUR GALAXY 1000 PW 60KVA</t>
        </is>
      </c>
      <c r="F12315" t="inlineStr">
        <is>
          <t>GPW 1060</t>
        </is>
      </c>
      <c r="J12315" t="inlineStr">
        <is>
          <t>REVEL</t>
        </is>
      </c>
      <c r="L12315">
        <f>_xlfn.XLOOKUP(Tableau1[[#This Row],[TYPE DE PIECE]],Tableau4[MATIERE],Tableau4[SHORT TYPE],"",0,1)</f>
        <v/>
      </c>
      <c r="N12315">
        <f>IF(ISERR(FIND("DECOUPE",Tableau1[[#This Row],[DESIGNATION]])),"","NEED REF")</f>
        <v/>
      </c>
    </row>
    <row r="12316">
      <c r="B12316" t="n">
        <v>34401689</v>
      </c>
      <c r="C12316" s="2" t="n">
        <v>39773</v>
      </c>
      <c r="D12316" t="inlineStr">
        <is>
          <t>CDC</t>
        </is>
      </c>
      <c r="E12316" t="inlineStr">
        <is>
          <t>CDC PMM AIRBUS HORS RACK</t>
        </is>
      </c>
      <c r="F12316" t="inlineStr">
        <is>
          <t>PMM</t>
        </is>
      </c>
      <c r="J12316" t="inlineStr">
        <is>
          <t>PLUET</t>
        </is>
      </c>
      <c r="L12316">
        <f>_xlfn.XLOOKUP(Tableau1[[#This Row],[TYPE DE PIECE]],Tableau4[MATIERE],Tableau4[SHORT TYPE],"",0,1)</f>
        <v/>
      </c>
      <c r="N12316">
        <f>IF(ISERR(FIND("DECOUPE",Tableau1[[#This Row],[DESIGNATION]])),"","NEED REF")</f>
        <v/>
      </c>
    </row>
    <row r="12317">
      <c r="B12317" t="n">
        <v>34401688</v>
      </c>
      <c r="C12317" s="2" t="n">
        <v>39771</v>
      </c>
      <c r="D12317" t="inlineStr">
        <is>
          <t>SPEC</t>
        </is>
      </c>
      <c r="E12317" t="inlineStr">
        <is>
          <t>TOIT ARMOIRE AUX L=400 avec plaque PE</t>
        </is>
      </c>
      <c r="F12317" t="inlineStr">
        <is>
          <t xml:space="preserve">G7K </t>
        </is>
      </c>
      <c r="J12317" t="inlineStr">
        <is>
          <t>REVEL</t>
        </is>
      </c>
      <c r="L12317">
        <f>_xlfn.XLOOKUP(Tableau1[[#This Row],[TYPE DE PIECE]],Tableau4[MATIERE],Tableau4[SHORT TYPE],"",0,1)</f>
        <v/>
      </c>
      <c r="N12317">
        <f>IF(ISERR(FIND("DECOUPE",Tableau1[[#This Row],[DESIGNATION]])),"","NEED REF")</f>
        <v/>
      </c>
    </row>
    <row r="12318">
      <c r="B12318" t="n">
        <v>34401687</v>
      </c>
      <c r="C12318" s="2" t="n">
        <v>39770</v>
      </c>
      <c r="D12318" t="inlineStr">
        <is>
          <t>NOM</t>
        </is>
      </c>
      <c r="E12318" t="inlineStr">
        <is>
          <t>LG ADAPTATION MARINE G5K L=1010</t>
        </is>
      </c>
      <c r="F12318" t="inlineStr">
        <is>
          <t>G5K AUX</t>
        </is>
      </c>
      <c r="J12318" t="inlineStr">
        <is>
          <t>ROBERT</t>
        </is>
      </c>
      <c r="L12318">
        <f>_xlfn.XLOOKUP(Tableau1[[#This Row],[TYPE DE PIECE]],Tableau4[MATIERE],Tableau4[SHORT TYPE],"",0,1)</f>
        <v/>
      </c>
      <c r="N12318">
        <f>IF(ISERR(FIND("DECOUPE",Tableau1[[#This Row],[DESIGNATION]])),"","NEED REF")</f>
        <v/>
      </c>
    </row>
    <row r="12319">
      <c r="B12319" t="n">
        <v>34401686</v>
      </c>
      <c r="C12319" s="2" t="n">
        <v>39770</v>
      </c>
      <c r="D12319" t="inlineStr">
        <is>
          <t>NOM</t>
        </is>
      </c>
      <c r="E12319" t="inlineStr">
        <is>
          <t>LG ADAPTATION MARINE G5K L=710</t>
        </is>
      </c>
      <c r="F12319" t="inlineStr">
        <is>
          <t>G5K ASI+AUX</t>
        </is>
      </c>
      <c r="J12319" t="inlineStr">
        <is>
          <t>ROBERT</t>
        </is>
      </c>
      <c r="L12319">
        <f>_xlfn.XLOOKUP(Tableau1[[#This Row],[TYPE DE PIECE]],Tableau4[MATIERE],Tableau4[SHORT TYPE],"",0,1)</f>
        <v/>
      </c>
      <c r="N12319">
        <f>IF(ISERR(FIND("DECOUPE",Tableau1[[#This Row],[DESIGNATION]])),"","NEED REF")</f>
        <v/>
      </c>
    </row>
    <row r="12320">
      <c r="B12320" t="n">
        <v>34401685</v>
      </c>
      <c r="C12320" s="2" t="n">
        <v>39766</v>
      </c>
      <c r="D12320" t="inlineStr">
        <is>
          <t>SPEC</t>
        </is>
      </c>
      <c r="E12320" t="inlineStr">
        <is>
          <t>SOFT  CARTE DICO GAIE</t>
        </is>
      </c>
      <c r="F12320" t="inlineStr">
        <is>
          <t>STS JAPON</t>
        </is>
      </c>
      <c r="J12320" t="inlineStr">
        <is>
          <t>TROCHAIN</t>
        </is>
      </c>
      <c r="L12320">
        <f>_xlfn.XLOOKUP(Tableau1[[#This Row],[TYPE DE PIECE]],Tableau4[MATIERE],Tableau4[SHORT TYPE],"",0,1)</f>
        <v/>
      </c>
      <c r="N12320">
        <f>IF(ISERR(FIND("DECOUPE",Tableau1[[#This Row],[DESIGNATION]])),"","NEED REF")</f>
        <v/>
      </c>
    </row>
    <row r="12321">
      <c r="B12321" t="n">
        <v>34401684</v>
      </c>
      <c r="C12321" s="2" t="n">
        <v>39766</v>
      </c>
      <c r="D12321" t="inlineStr">
        <is>
          <t>SPEC</t>
        </is>
      </c>
      <c r="E12321" t="inlineStr">
        <is>
          <t>SOFT  CARTE GAIE</t>
        </is>
      </c>
      <c r="F12321" t="inlineStr">
        <is>
          <t>STS JAPON</t>
        </is>
      </c>
      <c r="J12321" t="inlineStr">
        <is>
          <t>TROCHAIN</t>
        </is>
      </c>
      <c r="L12321">
        <f>_xlfn.XLOOKUP(Tableau1[[#This Row],[TYPE DE PIECE]],Tableau4[MATIERE],Tableau4[SHORT TYPE],"",0,1)</f>
        <v/>
      </c>
      <c r="N12321">
        <f>IF(ISERR(FIND("DECOUPE",Tableau1[[#This Row],[DESIGNATION]])),"","NEED REF")</f>
        <v/>
      </c>
    </row>
    <row r="12322">
      <c r="B12322" t="n">
        <v>34401683</v>
      </c>
      <c r="C12322" s="2" t="n">
        <v>39759</v>
      </c>
      <c r="D12322" t="inlineStr">
        <is>
          <t>SPEC</t>
        </is>
      </c>
      <c r="E12322" t="inlineStr">
        <is>
          <t>TOIT ARM AUX L=715 AVEC DECOUPE PLAQUE PE</t>
        </is>
      </c>
      <c r="F12322" t="inlineStr">
        <is>
          <t>G5K et G7K</t>
        </is>
      </c>
      <c r="J12322" t="inlineStr">
        <is>
          <t>REVEL</t>
        </is>
      </c>
      <c r="L12322">
        <f>_xlfn.XLOOKUP(Tableau1[[#This Row],[TYPE DE PIECE]],Tableau4[MATIERE],Tableau4[SHORT TYPE],"",0,1)</f>
        <v/>
      </c>
      <c r="N12322">
        <f>IF(ISERR(FIND("DECOUPE",Tableau1[[#This Row],[DESIGNATION]])),"","NEED REF")</f>
        <v/>
      </c>
    </row>
    <row r="12323">
      <c r="B12323" t="n">
        <v>34401682</v>
      </c>
      <c r="C12323" s="2" t="n">
        <v>39759</v>
      </c>
      <c r="D12323" t="inlineStr">
        <is>
          <t>SPEC</t>
        </is>
      </c>
      <c r="E12323" t="inlineStr">
        <is>
          <t>CARTE GAIE</t>
        </is>
      </c>
      <c r="F12323" t="inlineStr">
        <is>
          <t>STS JAPON</t>
        </is>
      </c>
      <c r="J12323" t="inlineStr">
        <is>
          <t>TROCHAIN</t>
        </is>
      </c>
      <c r="L12323">
        <f>_xlfn.XLOOKUP(Tableau1[[#This Row],[TYPE DE PIECE]],Tableau4[MATIERE],Tableau4[SHORT TYPE],"",0,1)</f>
        <v/>
      </c>
      <c r="N12323">
        <f>IF(ISERR(FIND("DECOUPE",Tableau1[[#This Row],[DESIGNATION]])),"","NEED REF")</f>
        <v/>
      </c>
    </row>
    <row r="12324">
      <c r="B12324" t="n">
        <v>34401681</v>
      </c>
      <c r="C12324" s="2" t="n">
        <v>39759</v>
      </c>
      <c r="D12324" t="inlineStr">
        <is>
          <t>SPEC</t>
        </is>
      </c>
      <c r="E12324" t="inlineStr">
        <is>
          <t xml:space="preserve">CARTE MERE  </t>
        </is>
      </c>
      <c r="F12324" t="inlineStr">
        <is>
          <t>STS JAPON</t>
        </is>
      </c>
      <c r="J12324" t="inlineStr">
        <is>
          <t>TROCHAIN</t>
        </is>
      </c>
      <c r="L12324">
        <f>_xlfn.XLOOKUP(Tableau1[[#This Row],[TYPE DE PIECE]],Tableau4[MATIERE],Tableau4[SHORT TYPE],"",0,1)</f>
        <v/>
      </c>
      <c r="N12324">
        <f>IF(ISERR(FIND("DECOUPE",Tableau1[[#This Row],[DESIGNATION]])),"","NEED REF")</f>
        <v/>
      </c>
    </row>
    <row r="12325">
      <c r="B12325" t="n">
        <v>34401680</v>
      </c>
      <c r="C12325" s="2" t="n">
        <v>39759</v>
      </c>
      <c r="D12325" t="inlineStr">
        <is>
          <t>NOM</t>
        </is>
      </c>
      <c r="E12325" t="inlineStr">
        <is>
          <t>LG ARM RESEAU 2 60kVA SYMETRA</t>
        </is>
      </c>
      <c r="F12325" t="inlineStr">
        <is>
          <t>ESCOTA</t>
        </is>
      </c>
      <c r="J12325" t="inlineStr">
        <is>
          <t>FOLTZ</t>
        </is>
      </c>
      <c r="L12325">
        <f>_xlfn.XLOOKUP(Tableau1[[#This Row],[TYPE DE PIECE]],Tableau4[MATIERE],Tableau4[SHORT TYPE],"",0,1)</f>
        <v/>
      </c>
      <c r="N12325">
        <f>IF(ISERR(FIND("DECOUPE",Tableau1[[#This Row],[DESIGNATION]])),"","NEED REF")</f>
        <v/>
      </c>
    </row>
    <row r="12326">
      <c r="B12326" t="n">
        <v>34401679</v>
      </c>
      <c r="C12326" s="2" t="n">
        <v>39759</v>
      </c>
      <c r="D12326" t="inlineStr">
        <is>
          <t>NOM</t>
        </is>
      </c>
      <c r="E12326" t="inlineStr">
        <is>
          <t>LG ARM RESEAU 1 60kVA SYMETRA</t>
        </is>
      </c>
      <c r="F12326" t="inlineStr">
        <is>
          <t>ESCOTA</t>
        </is>
      </c>
      <c r="J12326" t="inlineStr">
        <is>
          <t>FOLTZ</t>
        </is>
      </c>
      <c r="L12326">
        <f>_xlfn.XLOOKUP(Tableau1[[#This Row],[TYPE DE PIECE]],Tableau4[MATIERE],Tableau4[SHORT TYPE],"",0,1)</f>
        <v/>
      </c>
      <c r="N12326">
        <f>IF(ISERR(FIND("DECOUPE",Tableau1[[#This Row],[DESIGNATION]])),"","NEED REF")</f>
        <v/>
      </c>
    </row>
    <row r="12327">
      <c r="B12327" t="n">
        <v>34401678</v>
      </c>
      <c r="C12327" s="2" t="n">
        <v>39757</v>
      </c>
      <c r="D12327" t="inlineStr">
        <is>
          <t>NOM</t>
        </is>
      </c>
      <c r="E12327" t="inlineStr">
        <is>
          <t>LG RACC PACK ADVANCED DANS ASI 800kVA //</t>
        </is>
      </c>
      <c r="F12327" t="inlineStr">
        <is>
          <t>ASI 800kVA G6K //</t>
        </is>
      </c>
      <c r="J12327" t="inlineStr">
        <is>
          <t>FOLTZ</t>
        </is>
      </c>
      <c r="L12327">
        <f>_xlfn.XLOOKUP(Tableau1[[#This Row],[TYPE DE PIECE]],Tableau4[MATIERE],Tableau4[SHORT TYPE],"",0,1)</f>
        <v/>
      </c>
      <c r="N12327">
        <f>IF(ISERR(FIND("DECOUPE",Tableau1[[#This Row],[DESIGNATION]])),"","NEED REF")</f>
        <v/>
      </c>
    </row>
    <row r="12328">
      <c r="B12328" t="n">
        <v>34401677</v>
      </c>
      <c r="C12328" s="2" t="n">
        <v>39750</v>
      </c>
      <c r="D12328" t="inlineStr">
        <is>
          <t>NOM</t>
        </is>
      </c>
      <c r="E12328" t="inlineStr">
        <is>
          <t>LG TOIT VENTIL G6K L=600mm</t>
        </is>
      </c>
      <c r="F12328" t="inlineStr">
        <is>
          <t>G6K ARM L=600</t>
        </is>
      </c>
      <c r="J12328" t="inlineStr">
        <is>
          <t>FOLTZ</t>
        </is>
      </c>
      <c r="L12328">
        <f>_xlfn.XLOOKUP(Tableau1[[#This Row],[TYPE DE PIECE]],Tableau4[MATIERE],Tableau4[SHORT TYPE],"",0,1)</f>
        <v/>
      </c>
      <c r="N12328">
        <f>IF(ISERR(FIND("DECOUPE",Tableau1[[#This Row],[DESIGNATION]])),"","NEED REF")</f>
        <v/>
      </c>
    </row>
    <row r="12329">
      <c r="B12329" t="n">
        <v>34401676</v>
      </c>
      <c r="C12329" s="2" t="n">
        <v>39748</v>
      </c>
      <c r="D12329" t="inlineStr">
        <is>
          <t>NOM</t>
        </is>
      </c>
      <c r="E12329" t="inlineStr">
        <is>
          <t>LG BAIE APC 25" SURT6000XI BY-PASS BATTERIE</t>
        </is>
      </c>
      <c r="F12329" t="inlineStr">
        <is>
          <t>SURT6000XI</t>
        </is>
      </c>
      <c r="J12329" t="inlineStr">
        <is>
          <t>ÇAKIR</t>
        </is>
      </c>
      <c r="L12329">
        <f>_xlfn.XLOOKUP(Tableau1[[#This Row],[TYPE DE PIECE]],Tableau4[MATIERE],Tableau4[SHORT TYPE],"",0,1)</f>
        <v/>
      </c>
      <c r="N12329">
        <f>IF(ISERR(FIND("DECOUPE",Tableau1[[#This Row],[DESIGNATION]])),"","NEED REF")</f>
        <v/>
      </c>
    </row>
    <row r="12330">
      <c r="B12330" t="n">
        <v>34401675</v>
      </c>
      <c r="C12330" s="2" t="n">
        <v>39741</v>
      </c>
      <c r="D12330" t="inlineStr">
        <is>
          <t>SPEC</t>
        </is>
      </c>
      <c r="E12330" t="inlineStr">
        <is>
          <t>CAPOT BAS  (GAINE DE 300)</t>
        </is>
      </c>
      <c r="F12330" t="inlineStr">
        <is>
          <t>G5k 80kVA</t>
        </is>
      </c>
      <c r="J12330" t="inlineStr">
        <is>
          <t>ROBERT</t>
        </is>
      </c>
      <c r="L12330">
        <f>_xlfn.XLOOKUP(Tableau1[[#This Row],[TYPE DE PIECE]],Tableau4[MATIERE],Tableau4[SHORT TYPE],"",0,1)</f>
        <v/>
      </c>
      <c r="N12330">
        <f>IF(ISERR(FIND("DECOUPE",Tableau1[[#This Row],[DESIGNATION]])),"","NEED REF")</f>
        <v/>
      </c>
    </row>
    <row r="12331">
      <c r="B12331" t="n">
        <v>34401674</v>
      </c>
      <c r="C12331" s="2" t="n">
        <v>39741</v>
      </c>
      <c r="D12331" t="inlineStr">
        <is>
          <t>SPEC</t>
        </is>
      </c>
      <c r="E12331" t="inlineStr">
        <is>
          <t>CAPOT INTERMEDIAIRE  (GAINE DE 300)</t>
        </is>
      </c>
      <c r="F12331" t="inlineStr">
        <is>
          <t>G5k 80kVA</t>
        </is>
      </c>
      <c r="J12331" t="inlineStr">
        <is>
          <t>ROBERT</t>
        </is>
      </c>
      <c r="L12331">
        <f>_xlfn.XLOOKUP(Tableau1[[#This Row],[TYPE DE PIECE]],Tableau4[MATIERE],Tableau4[SHORT TYPE],"",0,1)</f>
        <v/>
      </c>
      <c r="N12331">
        <f>IF(ISERR(FIND("DECOUPE",Tableau1[[#This Row],[DESIGNATION]])),"","NEED REF")</f>
        <v/>
      </c>
    </row>
    <row r="12332">
      <c r="B12332" t="n">
        <v>34401673</v>
      </c>
      <c r="C12332" s="2" t="n">
        <v>39741</v>
      </c>
      <c r="D12332" t="inlineStr">
        <is>
          <t>SPEC</t>
        </is>
      </c>
      <c r="E12332" t="inlineStr">
        <is>
          <t>CAPOT HAUT  (GAINE DE 300)</t>
        </is>
      </c>
      <c r="F12332" t="inlineStr">
        <is>
          <t>G5k 80kVA</t>
        </is>
      </c>
      <c r="J12332" t="inlineStr">
        <is>
          <t>ROBERT</t>
        </is>
      </c>
      <c r="L12332">
        <f>_xlfn.XLOOKUP(Tableau1[[#This Row],[TYPE DE PIECE]],Tableau4[MATIERE],Tableau4[SHORT TYPE],"",0,1)</f>
        <v/>
      </c>
      <c r="N12332">
        <f>IF(ISERR(FIND("DECOUPE",Tableau1[[#This Row],[DESIGNATION]])),"","NEED REF")</f>
        <v/>
      </c>
    </row>
    <row r="12333">
      <c r="B12333" t="n">
        <v>34401672</v>
      </c>
      <c r="C12333" s="2" t="n">
        <v>39738</v>
      </c>
      <c r="D12333" t="inlineStr">
        <is>
          <t>NOM</t>
        </is>
      </c>
      <c r="E12333" t="inlineStr">
        <is>
          <t>LG Pack advanced 800kVA dans ARM G6K L=600 / 1seul self 600Kva</t>
        </is>
      </c>
      <c r="F12333" t="inlineStr">
        <is>
          <t>PACK ADV 800kVA EDS</t>
        </is>
      </c>
      <c r="J12333" t="inlineStr">
        <is>
          <t>FOLTZ</t>
        </is>
      </c>
      <c r="L12333">
        <f>_xlfn.XLOOKUP(Tableau1[[#This Row],[TYPE DE PIECE]],Tableau4[MATIERE],Tableau4[SHORT TYPE],"",0,1)</f>
        <v/>
      </c>
      <c r="N12333">
        <f>IF(ISERR(FIND("DECOUPE",Tableau1[[#This Row],[DESIGNATION]])),"","NEED REF")</f>
        <v/>
      </c>
    </row>
    <row r="12334">
      <c r="B12334" t="n">
        <v>34401671</v>
      </c>
      <c r="C12334" s="2" t="n">
        <v>39738</v>
      </c>
      <c r="D12334" t="inlineStr">
        <is>
          <t>SPEC</t>
        </is>
      </c>
      <c r="E12334" t="inlineStr">
        <is>
          <t>Toit l=600 G6K plein</t>
        </is>
      </c>
      <c r="F12334" t="inlineStr">
        <is>
          <t>PACK ADV 800kVA EDS</t>
        </is>
      </c>
      <c r="J12334" t="inlineStr">
        <is>
          <t>FOLTZ</t>
        </is>
      </c>
      <c r="L12334">
        <f>_xlfn.XLOOKUP(Tableau1[[#This Row],[TYPE DE PIECE]],Tableau4[MATIERE],Tableau4[SHORT TYPE],"",0,1)</f>
        <v/>
      </c>
      <c r="N12334">
        <f>IF(ISERR(FIND("DECOUPE",Tableau1[[#This Row],[DESIGNATION]])),"","NEED REF")</f>
        <v/>
      </c>
    </row>
    <row r="12335">
      <c r="B12335" t="n">
        <v>34401670</v>
      </c>
      <c r="C12335" s="2" t="n">
        <v>39735</v>
      </c>
      <c r="D12335" t="inlineStr">
        <is>
          <t>SPEC</t>
        </is>
      </c>
      <c r="E12335" t="inlineStr">
        <is>
          <t>PLATINE RACCORDEMENT</t>
        </is>
      </c>
      <c r="F12335" t="inlineStr">
        <is>
          <t>G5k 20kVA</t>
        </is>
      </c>
      <c r="J12335" t="inlineStr">
        <is>
          <t>ROBERT</t>
        </is>
      </c>
      <c r="L12335">
        <f>_xlfn.XLOOKUP(Tableau1[[#This Row],[TYPE DE PIECE]],Tableau4[MATIERE],Tableau4[SHORT TYPE],"",0,1)</f>
        <v/>
      </c>
      <c r="N12335">
        <f>IF(ISERR(FIND("DECOUPE",Tableau1[[#This Row],[DESIGNATION]])),"","NEED REF")</f>
        <v/>
      </c>
    </row>
    <row r="12336">
      <c r="B12336" t="n">
        <v>34401669</v>
      </c>
      <c r="C12336" s="2" t="n">
        <v>39735</v>
      </c>
      <c r="D12336" t="inlineStr">
        <is>
          <t>SPEC</t>
        </is>
      </c>
      <c r="E12336" t="inlineStr">
        <is>
          <t>PLATINE DISJ+CONTACTEURS</t>
        </is>
      </c>
      <c r="F12336" t="inlineStr">
        <is>
          <t>G5k 20kVA</t>
        </is>
      </c>
      <c r="J12336" t="inlineStr">
        <is>
          <t>ROBERT</t>
        </is>
      </c>
      <c r="L12336">
        <f>_xlfn.XLOOKUP(Tableau1[[#This Row],[TYPE DE PIECE]],Tableau4[MATIERE],Tableau4[SHORT TYPE],"",0,1)</f>
        <v/>
      </c>
      <c r="N12336">
        <f>IF(ISERR(FIND("DECOUPE",Tableau1[[#This Row],[DESIGNATION]])),"","NEED REF")</f>
        <v/>
      </c>
    </row>
    <row r="12337">
      <c r="B12337" t="n">
        <v>34401668</v>
      </c>
      <c r="C12337" s="2" t="n">
        <v>39735</v>
      </c>
      <c r="D12337" t="inlineStr">
        <is>
          <t>SPEC</t>
        </is>
      </c>
      <c r="E12337" t="inlineStr">
        <is>
          <t>SUPPORT DISJONCTEURS</t>
        </is>
      </c>
      <c r="F12337" t="inlineStr">
        <is>
          <t>G5k 20kVA</t>
        </is>
      </c>
      <c r="J12337" t="inlineStr">
        <is>
          <t>ROBERT</t>
        </is>
      </c>
      <c r="L12337">
        <f>_xlfn.XLOOKUP(Tableau1[[#This Row],[TYPE DE PIECE]],Tableau4[MATIERE],Tableau4[SHORT TYPE],"",0,1)</f>
        <v/>
      </c>
      <c r="N12337">
        <f>IF(ISERR(FIND("DECOUPE",Tableau1[[#This Row],[DESIGNATION]])),"","NEED REF")</f>
        <v/>
      </c>
    </row>
    <row r="12338">
      <c r="B12338" t="n">
        <v>34401667</v>
      </c>
      <c r="C12338" s="2" t="n">
        <v>39457</v>
      </c>
      <c r="D12338" t="inlineStr">
        <is>
          <t>CDC</t>
        </is>
      </c>
      <c r="E12338" t="inlineStr">
        <is>
          <t>CDC PMM AIRBUS RACK</t>
        </is>
      </c>
      <c r="F12338" t="inlineStr">
        <is>
          <t>PMM</t>
        </is>
      </c>
      <c r="J12338" t="inlineStr">
        <is>
          <t>PLUET</t>
        </is>
      </c>
      <c r="L12338">
        <f>_xlfn.XLOOKUP(Tableau1[[#This Row],[TYPE DE PIECE]],Tableau4[MATIERE],Tableau4[SHORT TYPE],"",0,1)</f>
        <v/>
      </c>
      <c r="N12338">
        <f>IF(ISERR(FIND("DECOUPE",Tableau1[[#This Row],[DESIGNATION]])),"","NEED REF")</f>
        <v/>
      </c>
    </row>
    <row r="12339">
      <c r="B12339" t="n">
        <v>34401666</v>
      </c>
      <c r="C12339" s="2" t="n">
        <v>39731</v>
      </c>
      <c r="D12339" t="inlineStr">
        <is>
          <t xml:space="preserve">CDC </t>
        </is>
      </c>
      <c r="E12339" t="inlineStr">
        <is>
          <t xml:space="preserve">CDC GAINE RACCORDEMENT ARRIERE ASI 800kVA G6K </t>
        </is>
      </c>
      <c r="F12339" t="inlineStr">
        <is>
          <t>EDS</t>
        </is>
      </c>
      <c r="J12339" t="inlineStr">
        <is>
          <t>FOLTZ</t>
        </is>
      </c>
      <c r="L12339">
        <f>_xlfn.XLOOKUP(Tableau1[[#This Row],[TYPE DE PIECE]],Tableau4[MATIERE],Tableau4[SHORT TYPE],"",0,1)</f>
        <v/>
      </c>
      <c r="N12339">
        <f>IF(ISERR(FIND("DECOUPE",Tableau1[[#This Row],[DESIGNATION]])),"","NEED REF")</f>
        <v/>
      </c>
    </row>
    <row r="12340">
      <c r="B12340" t="n">
        <v>34401665</v>
      </c>
      <c r="C12340" s="2" t="n">
        <v>39730</v>
      </c>
      <c r="D12340" t="inlineStr">
        <is>
          <t>CDC</t>
        </is>
      </c>
      <c r="E12340" t="inlineStr">
        <is>
          <t>ARMOIRE COUPLAGE NS 1200 kva DOUBLE</t>
        </is>
      </c>
      <c r="F12340" t="inlineStr">
        <is>
          <t>G6K</t>
        </is>
      </c>
      <c r="J12340" t="inlineStr">
        <is>
          <t>REVEL</t>
        </is>
      </c>
      <c r="L12340">
        <f>_xlfn.XLOOKUP(Tableau1[[#This Row],[TYPE DE PIECE]],Tableau4[MATIERE],Tableau4[SHORT TYPE],"",0,1)</f>
        <v/>
      </c>
      <c r="N12340">
        <f>IF(ISERR(FIND("DECOUPE",Tableau1[[#This Row],[DESIGNATION]])),"","NEED REF")</f>
        <v/>
      </c>
    </row>
    <row r="12341">
      <c r="B12341" t="n">
        <v>34401664</v>
      </c>
      <c r="C12341" s="2" t="n">
        <v>39456</v>
      </c>
      <c r="D12341" t="inlineStr">
        <is>
          <t>CDC</t>
        </is>
      </c>
      <c r="E12341" t="inlineStr">
        <is>
          <t>ARMOIRE COUPLAGE BANC DE CHARGE</t>
        </is>
      </c>
      <c r="F12341" t="inlineStr">
        <is>
          <t>G6K</t>
        </is>
      </c>
      <c r="J12341" t="inlineStr">
        <is>
          <t>REVEL</t>
        </is>
      </c>
      <c r="L12341">
        <f>_xlfn.XLOOKUP(Tableau1[[#This Row],[TYPE DE PIECE]],Tableau4[MATIERE],Tableau4[SHORT TYPE],"",0,1)</f>
        <v/>
      </c>
      <c r="N12341">
        <f>IF(ISERR(FIND("DECOUPE",Tableau1[[#This Row],[DESIGNATION]])),"","NEED REF")</f>
        <v/>
      </c>
    </row>
    <row r="12342">
      <c r="B12342" t="n">
        <v>34401663</v>
      </c>
      <c r="C12342" s="2" t="n">
        <v>39728</v>
      </c>
      <c r="D12342" t="inlineStr">
        <is>
          <t>NOM</t>
        </is>
      </c>
      <c r="E12342" t="inlineStr">
        <is>
          <t>LG RACC PACK ADVANCED DANS ASI 800kVA UNITAIRE-MODULAIRE</t>
        </is>
      </c>
      <c r="F12342" t="inlineStr">
        <is>
          <t>ASI 800kVA G6K UNITAIRE-MOD</t>
        </is>
      </c>
      <c r="J12342" t="inlineStr">
        <is>
          <t>FOLTZ</t>
        </is>
      </c>
      <c r="L12342">
        <f>_xlfn.XLOOKUP(Tableau1[[#This Row],[TYPE DE PIECE]],Tableau4[MATIERE],Tableau4[SHORT TYPE],"",0,1)</f>
        <v/>
      </c>
      <c r="N12342">
        <f>IF(ISERR(FIND("DECOUPE",Tableau1[[#This Row],[DESIGNATION]])),"","NEED REF")</f>
        <v/>
      </c>
    </row>
    <row r="12343">
      <c r="B12343" t="n">
        <v>34401662</v>
      </c>
      <c r="C12343" s="2" t="n">
        <v>39728</v>
      </c>
      <c r="D12343" t="inlineStr">
        <is>
          <t>NOM</t>
        </is>
      </c>
      <c r="E12343" t="inlineStr">
        <is>
          <t>LG PACK ADVANCED 800kVA dans ARM G6K L=600</t>
        </is>
      </c>
      <c r="F12343" t="inlineStr">
        <is>
          <t>TOUTES</t>
        </is>
      </c>
      <c r="J12343" t="inlineStr">
        <is>
          <t>FOLTZ</t>
        </is>
      </c>
      <c r="L12343">
        <f>_xlfn.XLOOKUP(Tableau1[[#This Row],[TYPE DE PIECE]],Tableau4[MATIERE],Tableau4[SHORT TYPE],"",0,1)</f>
        <v/>
      </c>
      <c r="N12343">
        <f>IF(ISERR(FIND("DECOUPE",Tableau1[[#This Row],[DESIGNATION]])),"","NEED REF")</f>
        <v/>
      </c>
    </row>
    <row r="12344">
      <c r="B12344" t="n">
        <v>34401661</v>
      </c>
      <c r="C12344" s="2" t="n">
        <v>39716</v>
      </c>
      <c r="D12344" t="inlineStr">
        <is>
          <t>SPEC</t>
        </is>
      </c>
      <c r="E12344" t="inlineStr">
        <is>
          <t>CANEVAS MASTERPACT NW25 NS2000 LIGHT AFFAIRE EDS</t>
        </is>
      </c>
      <c r="F12344" t="inlineStr">
        <is>
          <t>AFFAIRE EDS</t>
        </is>
      </c>
      <c r="J12344" t="inlineStr">
        <is>
          <t>FOLTZ</t>
        </is>
      </c>
      <c r="L12344">
        <f>_xlfn.XLOOKUP(Tableau1[[#This Row],[TYPE DE PIECE]],Tableau4[MATIERE],Tableau4[SHORT TYPE],"",0,1)</f>
        <v/>
      </c>
      <c r="N12344">
        <f>IF(ISERR(FIND("DECOUPE",Tableau1[[#This Row],[DESIGNATION]])),"","NEED REF")</f>
        <v/>
      </c>
    </row>
    <row r="12345">
      <c r="B12345" t="n">
        <v>34401660</v>
      </c>
      <c r="C12345" s="2" t="n">
        <v>39714</v>
      </c>
      <c r="D12345" t="inlineStr">
        <is>
          <t xml:space="preserve">SCHEMA  </t>
        </is>
      </c>
      <c r="E12345" t="inlineStr">
        <is>
          <t>SCHEMA SW 60A + ATFO PS 360kVA 30° EN ARM G6K 1200</t>
        </is>
      </c>
      <c r="F12345" t="inlineStr">
        <is>
          <t>GALAXY G6K</t>
        </is>
      </c>
      <c r="J12345" t="inlineStr">
        <is>
          <t>MONGELLI</t>
        </is>
      </c>
      <c r="L12345">
        <f>_xlfn.XLOOKUP(Tableau1[[#This Row],[TYPE DE PIECE]],Tableau4[MATIERE],Tableau4[SHORT TYPE],"",0,1)</f>
        <v/>
      </c>
      <c r="N12345">
        <f>IF(ISERR(FIND("DECOUPE",Tableau1[[#This Row],[DESIGNATION]])),"","NEED REF")</f>
        <v/>
      </c>
    </row>
    <row r="12346">
      <c r="B12346" t="n">
        <v>34401659</v>
      </c>
      <c r="C12346" s="2" t="n">
        <v>39703</v>
      </c>
      <c r="D12346" t="inlineStr">
        <is>
          <t>NOM</t>
        </is>
      </c>
      <c r="E12346" t="inlineStr">
        <is>
          <t>LG ASI GALAXY PSEUDO CF</t>
        </is>
      </c>
      <c r="F12346" t="inlineStr">
        <is>
          <t>PSEUDO CF</t>
        </is>
      </c>
      <c r="J12346" t="inlineStr">
        <is>
          <t>MATRION</t>
        </is>
      </c>
      <c r="L12346">
        <f>_xlfn.XLOOKUP(Tableau1[[#This Row],[TYPE DE PIECE]],Tableau4[MATIERE],Tableau4[SHORT TYPE],"",0,1)</f>
        <v/>
      </c>
      <c r="N12346">
        <f>IF(ISERR(FIND("DECOUPE",Tableau1[[#This Row],[DESIGNATION]])),"","NEED REF")</f>
        <v/>
      </c>
    </row>
    <row r="12347">
      <c r="B12347" t="n">
        <v>34401658</v>
      </c>
      <c r="C12347" s="2" t="n">
        <v>39703</v>
      </c>
      <c r="D12347" t="inlineStr">
        <is>
          <t>NOM</t>
        </is>
      </c>
      <c r="E12347" t="inlineStr">
        <is>
          <t>LG PSEUDO CF SANS AFFICHEUR</t>
        </is>
      </c>
      <c r="F12347" t="inlineStr">
        <is>
          <t>PSEUDO CF</t>
        </is>
      </c>
      <c r="J12347" t="inlineStr">
        <is>
          <t>MATRION</t>
        </is>
      </c>
      <c r="L12347">
        <f>_xlfn.XLOOKUP(Tableau1[[#This Row],[TYPE DE PIECE]],Tableau4[MATIERE],Tableau4[SHORT TYPE],"",0,1)</f>
        <v/>
      </c>
      <c r="N12347">
        <f>IF(ISERR(FIND("DECOUPE",Tableau1[[#This Row],[DESIGNATION]])),"","NEED REF")</f>
        <v/>
      </c>
    </row>
    <row r="12348">
      <c r="B12348" t="n">
        <v>34401657</v>
      </c>
      <c r="C12348" s="2" t="n">
        <v>39695</v>
      </c>
      <c r="D12348" t="inlineStr">
        <is>
          <t>NOM</t>
        </is>
      </c>
      <c r="E12348" t="inlineStr">
        <is>
          <t>LG pack advance 200kVA accolé livré seul</t>
        </is>
      </c>
      <c r="F12348" t="inlineStr">
        <is>
          <t>GALAXY</t>
        </is>
      </c>
      <c r="J12348" t="inlineStr">
        <is>
          <t>MONGELLI</t>
        </is>
      </c>
      <c r="L12348">
        <f>_xlfn.XLOOKUP(Tableau1[[#This Row],[TYPE DE PIECE]],Tableau4[MATIERE],Tableau4[SHORT TYPE],"",0,1)</f>
        <v/>
      </c>
      <c r="N12348">
        <f>IF(ISERR(FIND("DECOUPE",Tableau1[[#This Row],[DESIGNATION]])),"","NEED REF")</f>
        <v/>
      </c>
    </row>
    <row r="12349">
      <c r="B12349" t="n">
        <v>34401656</v>
      </c>
      <c r="C12349" s="2" t="n">
        <v>39692</v>
      </c>
      <c r="D12349" t="inlineStr">
        <is>
          <t>NOM</t>
        </is>
      </c>
      <c r="E12349" t="inlineStr">
        <is>
          <t>LEGENDE CELLULE DROITE SOURCE 2 STS UPSILON 1200A LT</t>
        </is>
      </c>
      <c r="F12349" t="inlineStr">
        <is>
          <t>STS UPSILON 1200A LT</t>
        </is>
      </c>
      <c r="J12349" t="inlineStr">
        <is>
          <t>ÇAKIR</t>
        </is>
      </c>
      <c r="L12349">
        <f>_xlfn.XLOOKUP(Tableau1[[#This Row],[TYPE DE PIECE]],Tableau4[MATIERE],Tableau4[SHORT TYPE],"",0,1)</f>
        <v/>
      </c>
      <c r="N12349">
        <f>IF(ISERR(FIND("DECOUPE",Tableau1[[#This Row],[DESIGNATION]])),"","NEED REF")</f>
        <v/>
      </c>
    </row>
    <row r="12350">
      <c r="B12350" t="n">
        <v>34401655</v>
      </c>
      <c r="C12350" s="2" t="n">
        <v>39692</v>
      </c>
      <c r="D12350" t="inlineStr">
        <is>
          <t>NOM</t>
        </is>
      </c>
      <c r="E12350" t="inlineStr">
        <is>
          <t>LEGENDE CELLULE GAUCHE SOURCE 1 STS UPSILON 1200A LT</t>
        </is>
      </c>
      <c r="F12350" t="inlineStr">
        <is>
          <t>STS UPSILON 1200A LT</t>
        </is>
      </c>
      <c r="J12350" t="inlineStr">
        <is>
          <t>ÇAKIR</t>
        </is>
      </c>
      <c r="L12350">
        <f>_xlfn.XLOOKUP(Tableau1[[#This Row],[TYPE DE PIECE]],Tableau4[MATIERE],Tableau4[SHORT TYPE],"",0,1)</f>
        <v/>
      </c>
      <c r="N12350">
        <f>IF(ISERR(FIND("DECOUPE",Tableau1[[#This Row],[DESIGNATION]])),"","NEED REF")</f>
        <v/>
      </c>
    </row>
    <row r="12351">
      <c r="B12351" t="n">
        <v>34401654</v>
      </c>
      <c r="C12351" s="2" t="n">
        <v>39692</v>
      </c>
      <c r="D12351" t="inlineStr">
        <is>
          <t>NOM</t>
        </is>
      </c>
      <c r="E12351" t="inlineStr">
        <is>
          <t xml:space="preserve">LEGENDE STS UPSILON 1200A LT </t>
        </is>
      </c>
      <c r="F12351" t="inlineStr">
        <is>
          <t>STS UPSILON 1200A LT</t>
        </is>
      </c>
      <c r="J12351" t="inlineStr">
        <is>
          <t>ÇAKIR</t>
        </is>
      </c>
      <c r="L12351">
        <f>_xlfn.XLOOKUP(Tableau1[[#This Row],[TYPE DE PIECE]],Tableau4[MATIERE],Tableau4[SHORT TYPE],"",0,1)</f>
        <v/>
      </c>
      <c r="N12351">
        <f>IF(ISERR(FIND("DECOUPE",Tableau1[[#This Row],[DESIGNATION]])),"","NEED REF")</f>
        <v/>
      </c>
    </row>
    <row r="12352">
      <c r="B12352" t="n">
        <v>34401653</v>
      </c>
      <c r="C12352" s="2" t="n">
        <v>39692</v>
      </c>
      <c r="D12352" t="inlineStr">
        <is>
          <t>NOM</t>
        </is>
      </c>
      <c r="E12352" t="inlineStr">
        <is>
          <t>Nom peinture à commission G5K  IP32 ARM AUX/BATT (L=715)</t>
        </is>
      </c>
      <c r="F12352" t="inlineStr">
        <is>
          <t>G5K</t>
        </is>
      </c>
      <c r="J12352" t="inlineStr">
        <is>
          <t>ROBERT</t>
        </is>
      </c>
      <c r="L12352">
        <f>_xlfn.XLOOKUP(Tableau1[[#This Row],[TYPE DE PIECE]],Tableau4[MATIERE],Tableau4[SHORT TYPE],"",0,1)</f>
        <v/>
      </c>
      <c r="N12352">
        <f>IF(ISERR(FIND("DECOUPE",Tableau1[[#This Row],[DESIGNATION]])),"","NEED REF")</f>
        <v/>
      </c>
    </row>
    <row r="12353">
      <c r="B12353" t="n">
        <v>34401652</v>
      </c>
      <c r="C12353" s="2" t="n">
        <v>39692</v>
      </c>
      <c r="D12353" t="inlineStr">
        <is>
          <t>CDC</t>
        </is>
      </c>
      <c r="E12353" t="inlineStr">
        <is>
          <t>Remplacement du contacteur par Masterpact</t>
        </is>
      </c>
      <c r="F12353" t="inlineStr">
        <is>
          <t>NS2000</t>
        </is>
      </c>
      <c r="J12353" t="inlineStr">
        <is>
          <t>REVEL</t>
        </is>
      </c>
      <c r="L12353">
        <f>_xlfn.XLOOKUP(Tableau1[[#This Row],[TYPE DE PIECE]],Tableau4[MATIERE],Tableau4[SHORT TYPE],"",0,1)</f>
        <v/>
      </c>
      <c r="N12353">
        <f>IF(ISERR(FIND("DECOUPE",Tableau1[[#This Row],[DESIGNATION]])),"","NEED REF")</f>
        <v/>
      </c>
    </row>
    <row r="12354">
      <c r="B12354" t="n">
        <v>34401651</v>
      </c>
      <c r="C12354" s="2" t="n">
        <v>39692</v>
      </c>
      <c r="D12354" t="inlineStr">
        <is>
          <t>NOM</t>
        </is>
      </c>
      <c r="E12354" t="inlineStr">
        <is>
          <t>Nom peinture à commission G5K  IP32 ASI (L=715)</t>
        </is>
      </c>
      <c r="F12354" t="inlineStr">
        <is>
          <t>G5K</t>
        </is>
      </c>
      <c r="J12354" t="inlineStr">
        <is>
          <t>ROBERT</t>
        </is>
      </c>
      <c r="L12354">
        <f>_xlfn.XLOOKUP(Tableau1[[#This Row],[TYPE DE PIECE]],Tableau4[MATIERE],Tableau4[SHORT TYPE],"",0,1)</f>
        <v/>
      </c>
      <c r="N12354">
        <f>IF(ISERR(FIND("DECOUPE",Tableau1[[#This Row],[DESIGNATION]])),"","NEED REF")</f>
        <v/>
      </c>
    </row>
    <row r="12355">
      <c r="B12355" t="n">
        <v>34401650</v>
      </c>
      <c r="C12355" s="2" t="n">
        <v>39692</v>
      </c>
      <c r="D12355" t="inlineStr">
        <is>
          <t>CDC</t>
        </is>
      </c>
      <c r="E12355" t="inlineStr">
        <is>
          <t>CDC SKID PW 1215 + 3xSKID PW 1015</t>
        </is>
      </c>
      <c r="F12355" t="inlineStr">
        <is>
          <t>PW</t>
        </is>
      </c>
      <c r="J12355" t="inlineStr">
        <is>
          <t>MATRION</t>
        </is>
      </c>
      <c r="L12355">
        <f>_xlfn.XLOOKUP(Tableau1[[#This Row],[TYPE DE PIECE]],Tableau4[MATIERE],Tableau4[SHORT TYPE],"",0,1)</f>
        <v/>
      </c>
      <c r="N12355">
        <f>IF(ISERR(FIND("DECOUPE",Tableau1[[#This Row],[DESIGNATION]])),"","NEED REF")</f>
        <v/>
      </c>
    </row>
    <row r="12356">
      <c r="B12356" t="n">
        <v>34401649</v>
      </c>
      <c r="C12356" s="2" t="n">
        <v>39673</v>
      </c>
      <c r="D12356" t="inlineStr">
        <is>
          <t>CDC</t>
        </is>
      </c>
      <c r="E12356" t="inlineStr">
        <is>
          <t>CDC NS 2000 LIGHT AFFAIRE EDS</t>
        </is>
      </c>
      <c r="F12356" t="inlineStr">
        <is>
          <t>GALAXY</t>
        </is>
      </c>
      <c r="J12356" t="inlineStr">
        <is>
          <t>FOLTZ</t>
        </is>
      </c>
      <c r="L12356">
        <f>_xlfn.XLOOKUP(Tableau1[[#This Row],[TYPE DE PIECE]],Tableau4[MATIERE],Tableau4[SHORT TYPE],"",0,1)</f>
        <v/>
      </c>
      <c r="N12356">
        <f>IF(ISERR(FIND("DECOUPE",Tableau1[[#This Row],[DESIGNATION]])),"","NEED REF")</f>
        <v/>
      </c>
    </row>
    <row r="12357">
      <c r="B12357" t="n">
        <v>34401648</v>
      </c>
      <c r="C12357" s="2" t="n">
        <v>39668</v>
      </c>
      <c r="D12357" t="inlineStr">
        <is>
          <t>NOM</t>
        </is>
      </c>
      <c r="E12357" t="inlineStr">
        <is>
          <t>LG pack advance 200kVA avec bornier non accollé</t>
        </is>
      </c>
      <c r="F12357" t="inlineStr">
        <is>
          <t>GALAXY</t>
        </is>
      </c>
      <c r="J12357" t="inlineStr">
        <is>
          <t>MONGELLI</t>
        </is>
      </c>
      <c r="L12357">
        <f>_xlfn.XLOOKUP(Tableau1[[#This Row],[TYPE DE PIECE]],Tableau4[MATIERE],Tableau4[SHORT TYPE],"",0,1)</f>
        <v/>
      </c>
      <c r="N12357">
        <f>IF(ISERR(FIND("DECOUPE",Tableau1[[#This Row],[DESIGNATION]])),"","NEED REF")</f>
        <v/>
      </c>
    </row>
    <row r="12358">
      <c r="B12358" t="n">
        <v>34401647</v>
      </c>
      <c r="C12358" s="2" t="n">
        <v>39666</v>
      </c>
      <c r="D12358" t="inlineStr">
        <is>
          <t>CDC</t>
        </is>
      </c>
      <c r="E12358" t="inlineStr">
        <is>
          <t>CDC reprise après recette plage de raccordement sans trous</t>
        </is>
      </c>
      <c r="F12358" t="inlineStr">
        <is>
          <t>GALAXY NS1200</t>
        </is>
      </c>
      <c r="J12358" t="inlineStr">
        <is>
          <t>MATRION</t>
        </is>
      </c>
      <c r="L12358">
        <f>_xlfn.XLOOKUP(Tableau1[[#This Row],[TYPE DE PIECE]],Tableau4[MATIERE],Tableau4[SHORT TYPE],"",0,1)</f>
        <v/>
      </c>
      <c r="N12358">
        <f>IF(ISERR(FIND("DECOUPE",Tableau1[[#This Row],[DESIGNATION]])),"","NEED REF")</f>
        <v/>
      </c>
    </row>
    <row r="12359">
      <c r="B12359" t="n">
        <v>34401646</v>
      </c>
      <c r="C12359" s="2" t="n">
        <v>39665</v>
      </c>
      <c r="D12359" t="inlineStr">
        <is>
          <t>SPEC</t>
        </is>
      </c>
      <c r="E12359" t="inlineStr">
        <is>
          <t>Etiquettes Finition STS 400 Extra Plat</t>
        </is>
      </c>
      <c r="F12359" t="inlineStr">
        <is>
          <t>STS 400A Sarel 500</t>
        </is>
      </c>
      <c r="J12359" t="inlineStr">
        <is>
          <t>MATRION</t>
        </is>
      </c>
      <c r="L12359">
        <f>_xlfn.XLOOKUP(Tableau1[[#This Row],[TYPE DE PIECE]],Tableau4[MATIERE],Tableau4[SHORT TYPE],"",0,1)</f>
        <v/>
      </c>
      <c r="N12359">
        <f>IF(ISERR(FIND("DECOUPE",Tableau1[[#This Row],[DESIGNATION]])),"","NEED REF")</f>
        <v/>
      </c>
    </row>
    <row r="12360">
      <c r="B12360" t="n">
        <v>34401645</v>
      </c>
      <c r="C12360" s="2" t="n">
        <v>39665</v>
      </c>
      <c r="D12360" t="inlineStr">
        <is>
          <t>SPEC</t>
        </is>
      </c>
      <c r="E12360" t="inlineStr">
        <is>
          <t xml:space="preserve">REGLE DE CABLAGE STS </t>
        </is>
      </c>
      <c r="F12360" t="inlineStr">
        <is>
          <t>STS 800-1200A</t>
        </is>
      </c>
      <c r="J12360" t="inlineStr">
        <is>
          <t>TROCHAIN-FOLTZ</t>
        </is>
      </c>
      <c r="L12360">
        <f>_xlfn.XLOOKUP(Tableau1[[#This Row],[TYPE DE PIECE]],Tableau4[MATIERE],Tableau4[SHORT TYPE],"",0,1)</f>
        <v/>
      </c>
      <c r="N12360">
        <f>IF(ISERR(FIND("DECOUPE",Tableau1[[#This Row],[DESIGNATION]])),"","NEED REF")</f>
        <v/>
      </c>
    </row>
    <row r="12361">
      <c r="B12361" t="n">
        <v>34401644</v>
      </c>
      <c r="C12361" s="2" t="n">
        <v>39652</v>
      </c>
      <c r="D12361" t="inlineStr">
        <is>
          <t>CDC</t>
        </is>
      </c>
      <c r="E12361" t="inlineStr">
        <is>
          <t>Prestation ST Cuivre/structure EuroCablage 1x(SAREL STS400A) Marccoussi</t>
        </is>
      </c>
      <c r="F12361" t="inlineStr">
        <is>
          <t>STS 400A Sarel 500</t>
        </is>
      </c>
      <c r="J12361" t="inlineStr">
        <is>
          <t>MATRION</t>
        </is>
      </c>
      <c r="L12361">
        <f>_xlfn.XLOOKUP(Tableau1[[#This Row],[TYPE DE PIECE]],Tableau4[MATIERE],Tableau4[SHORT TYPE],"",0,1)</f>
        <v/>
      </c>
      <c r="N12361">
        <f>IF(ISERR(FIND("DECOUPE",Tableau1[[#This Row],[DESIGNATION]])),"","NEED REF")</f>
        <v/>
      </c>
    </row>
    <row r="12362">
      <c r="B12362" t="n">
        <v>34401643</v>
      </c>
      <c r="C12362" s="2" t="n">
        <v>39651</v>
      </c>
      <c r="D12362" t="inlineStr">
        <is>
          <t>CDC</t>
        </is>
      </c>
      <c r="E12362" t="inlineStr">
        <is>
          <t xml:space="preserve">CDC skid + Gaine de 300 </t>
        </is>
      </c>
      <c r="F12362" t="inlineStr">
        <is>
          <t>MEYER WERFT</t>
        </is>
      </c>
      <c r="J12362" t="inlineStr">
        <is>
          <t>ROBERT</t>
        </is>
      </c>
      <c r="L12362">
        <f>_xlfn.XLOOKUP(Tableau1[[#This Row],[TYPE DE PIECE]],Tableau4[MATIERE],Tableau4[SHORT TYPE],"",0,1)</f>
        <v/>
      </c>
      <c r="N12362">
        <f>IF(ISERR(FIND("DECOUPE",Tableau1[[#This Row],[DESIGNATION]])),"","NEED REF")</f>
        <v/>
      </c>
    </row>
    <row r="12363">
      <c r="B12363" t="n">
        <v>34401642</v>
      </c>
      <c r="C12363" s="2" t="n">
        <v>39651</v>
      </c>
      <c r="D12363" t="inlineStr">
        <is>
          <t>CDC</t>
        </is>
      </c>
      <c r="E12363" t="inlineStr">
        <is>
          <t>CDC skid ARM SAREL 700x2000+800x2000</t>
        </is>
      </c>
      <c r="F12363" t="inlineStr">
        <is>
          <t>MEYER WERFT</t>
        </is>
      </c>
      <c r="J12363" t="inlineStr">
        <is>
          <t>ROBERT</t>
        </is>
      </c>
      <c r="L12363">
        <f>_xlfn.XLOOKUP(Tableau1[[#This Row],[TYPE DE PIECE]],Tableau4[MATIERE],Tableau4[SHORT TYPE],"",0,1)</f>
        <v/>
      </c>
      <c r="N12363">
        <f>IF(ISERR(FIND("DECOUPE",Tableau1[[#This Row],[DESIGNATION]])),"","NEED REF")</f>
        <v/>
      </c>
    </row>
    <row r="12364">
      <c r="B12364" t="n">
        <v>34401641</v>
      </c>
      <c r="C12364" s="2" t="n">
        <v>39646</v>
      </c>
      <c r="D12364" t="inlineStr">
        <is>
          <t>CDC</t>
        </is>
      </c>
      <c r="E12364" t="inlineStr">
        <is>
          <t>PMM 250A TETRA 32 DEPARTS BI</t>
        </is>
      </c>
      <c r="F12364" t="inlineStr">
        <is>
          <t>TOUTES</t>
        </is>
      </c>
      <c r="J12364" t="inlineStr">
        <is>
          <t>ÇAKIR</t>
        </is>
      </c>
      <c r="L12364">
        <f>_xlfn.XLOOKUP(Tableau1[[#This Row],[TYPE DE PIECE]],Tableau4[MATIERE],Tableau4[SHORT TYPE],"",0,1)</f>
        <v/>
      </c>
      <c r="N12364">
        <f>IF(ISERR(FIND("DECOUPE",Tableau1[[#This Row],[DESIGNATION]])),"","NEED REF")</f>
        <v/>
      </c>
    </row>
    <row r="12365">
      <c r="B12365" t="n">
        <v>34401640</v>
      </c>
      <c r="C12365" s="2" t="n">
        <v>39645</v>
      </c>
      <c r="D12365" t="inlineStr">
        <is>
          <t>CDC</t>
        </is>
      </c>
      <c r="E12365" t="inlineStr">
        <is>
          <t>CDC adaptation armoIre batterie PW l=1015 en IP31</t>
        </is>
      </c>
      <c r="F12365" t="inlineStr">
        <is>
          <t>GALAXY PW</t>
        </is>
      </c>
      <c r="J12365" t="inlineStr">
        <is>
          <t>REVEL</t>
        </is>
      </c>
      <c r="L12365">
        <f>_xlfn.XLOOKUP(Tableau1[[#This Row],[TYPE DE PIECE]],Tableau4[MATIERE],Tableau4[SHORT TYPE],"",0,1)</f>
        <v/>
      </c>
      <c r="N12365">
        <f>IF(ISERR(FIND("DECOUPE",Tableau1[[#This Row],[DESIGNATION]])),"","NEED REF")</f>
        <v/>
      </c>
    </row>
    <row r="12366">
      <c r="B12366" t="n">
        <v>34401639</v>
      </c>
      <c r="C12366" s="2" t="n">
        <v>39645</v>
      </c>
      <c r="D12366" t="inlineStr">
        <is>
          <t>CDC</t>
        </is>
      </c>
      <c r="E12366" t="inlineStr">
        <is>
          <t>CDC adaptation galaxy pw 200kva en IP31</t>
        </is>
      </c>
      <c r="F12366" t="inlineStr">
        <is>
          <t>GALAXY PW</t>
        </is>
      </c>
      <c r="J12366" t="inlineStr">
        <is>
          <t>REVEL</t>
        </is>
      </c>
      <c r="L12366">
        <f>_xlfn.XLOOKUP(Tableau1[[#This Row],[TYPE DE PIECE]],Tableau4[MATIERE],Tableau4[SHORT TYPE],"",0,1)</f>
        <v/>
      </c>
      <c r="N12366">
        <f>IF(ISERR(FIND("DECOUPE",Tableau1[[#This Row],[DESIGNATION]])),"","NEED REF")</f>
        <v/>
      </c>
    </row>
    <row r="12367">
      <c r="B12367" t="n">
        <v>34401638</v>
      </c>
      <c r="C12367" s="2" t="n">
        <v>39640</v>
      </c>
      <c r="D12367" t="inlineStr">
        <is>
          <t>CDC</t>
        </is>
      </c>
      <c r="E12367" t="inlineStr">
        <is>
          <t>CDC armoire by pass 1200kVA pour Galaxy Modulaire 500kva</t>
        </is>
      </c>
      <c r="F12367" t="inlineStr">
        <is>
          <t>GALAXY MODULAIRE</t>
        </is>
      </c>
      <c r="J12367" t="inlineStr">
        <is>
          <t>REVEL</t>
        </is>
      </c>
      <c r="L12367">
        <f>_xlfn.XLOOKUP(Tableau1[[#This Row],[TYPE DE PIECE]],Tableau4[MATIERE],Tableau4[SHORT TYPE],"",0,1)</f>
        <v/>
      </c>
      <c r="N12367">
        <f>IF(ISERR(FIND("DECOUPE",Tableau1[[#This Row],[DESIGNATION]])),"","NEED REF")</f>
        <v/>
      </c>
    </row>
    <row r="12368">
      <c r="B12368" t="n">
        <v>34401637</v>
      </c>
      <c r="C12368" s="2" t="n">
        <v>39638</v>
      </c>
      <c r="D12368" t="inlineStr">
        <is>
          <t xml:space="preserve">SCHEMA  </t>
        </is>
      </c>
      <c r="E12368" t="inlineStr">
        <is>
          <t>SCHEMA SW 45A EN ARM PW 1015A</t>
        </is>
      </c>
      <c r="F12368" t="inlineStr">
        <is>
          <t>GALAXY PW</t>
        </is>
      </c>
      <c r="J12368" t="inlineStr">
        <is>
          <t>FOLTZ</t>
        </is>
      </c>
      <c r="L12368">
        <f>_xlfn.XLOOKUP(Tableau1[[#This Row],[TYPE DE PIECE]],Tableau4[MATIERE],Tableau4[SHORT TYPE],"",0,1)</f>
        <v/>
      </c>
      <c r="N12368">
        <f>IF(ISERR(FIND("DECOUPE",Tableau1[[#This Row],[DESIGNATION]])),"","NEED REF")</f>
        <v/>
      </c>
    </row>
    <row r="12369">
      <c r="B12369" t="n">
        <v>34401636</v>
      </c>
      <c r="C12369" s="2" t="n">
        <v>39637</v>
      </c>
      <c r="D12369" t="inlineStr">
        <is>
          <t>NOM</t>
        </is>
      </c>
      <c r="E12369" t="inlineStr">
        <is>
          <t>LG Comet EXRT SNCF Tri/Mono 11kVA</t>
        </is>
      </c>
      <c r="F12369" t="inlineStr">
        <is>
          <t>EXRT 11kVA TM SNCF</t>
        </is>
      </c>
      <c r="J12369" t="inlineStr">
        <is>
          <t>ÇAKIR</t>
        </is>
      </c>
      <c r="L12369">
        <f>_xlfn.XLOOKUP(Tableau1[[#This Row],[TYPE DE PIECE]],Tableau4[MATIERE],Tableau4[SHORT TYPE],"",0,1)</f>
        <v/>
      </c>
      <c r="N12369">
        <f>IF(ISERR(FIND("DECOUPE",Tableau1[[#This Row],[DESIGNATION]])),"","NEED REF")</f>
        <v/>
      </c>
    </row>
    <row r="12370">
      <c r="B12370" t="n">
        <v>34401635</v>
      </c>
      <c r="C12370" s="2" t="n">
        <v>39637</v>
      </c>
      <c r="D12370" t="inlineStr">
        <is>
          <t>CDC</t>
        </is>
      </c>
      <c r="E12370" t="inlineStr">
        <is>
          <t>CDC decoupe pour commande rotative prolongée</t>
        </is>
      </c>
      <c r="F12370" t="inlineStr">
        <is>
          <t>GALAXY PW</t>
        </is>
      </c>
      <c r="J12370" t="inlineStr">
        <is>
          <t>REVEL</t>
        </is>
      </c>
      <c r="L12370">
        <f>_xlfn.XLOOKUP(Tableau1[[#This Row],[TYPE DE PIECE]],Tableau4[MATIERE],Tableau4[SHORT TYPE],"",0,1)</f>
        <v/>
      </c>
      <c r="N12370">
        <f>IF(ISERR(FIND("DECOUPE",Tableau1[[#This Row],[DESIGNATION]])),"","NEED REF")</f>
        <v/>
      </c>
    </row>
    <row r="12371">
      <c r="B12371" t="n">
        <v>34401634</v>
      </c>
      <c r="C12371" s="2" t="n">
        <v>39637</v>
      </c>
      <c r="D12371" t="inlineStr">
        <is>
          <t>CDC</t>
        </is>
      </c>
      <c r="E12371" t="inlineStr">
        <is>
          <t>CDC decoupe pour commande rotative prolongée</t>
        </is>
      </c>
      <c r="F12371" t="inlineStr">
        <is>
          <t>GALAXY PW</t>
        </is>
      </c>
      <c r="J12371" t="inlineStr">
        <is>
          <t>REVEL</t>
        </is>
      </c>
      <c r="L12371">
        <f>_xlfn.XLOOKUP(Tableau1[[#This Row],[TYPE DE PIECE]],Tableau4[MATIERE],Tableau4[SHORT TYPE],"",0,1)</f>
        <v/>
      </c>
      <c r="N12371">
        <f>IF(ISERR(FIND("DECOUPE",Tableau1[[#This Row],[DESIGNATION]])),"","NEED REF")</f>
        <v/>
      </c>
    </row>
    <row r="12372">
      <c r="B12372" t="n">
        <v>34401633</v>
      </c>
      <c r="C12372" s="2" t="n">
        <v>39637</v>
      </c>
      <c r="D12372" t="inlineStr">
        <is>
          <t>CDC</t>
        </is>
      </c>
      <c r="E12372" t="inlineStr">
        <is>
          <t>CDC decoupe pour commande rotative prolongée</t>
        </is>
      </c>
      <c r="F12372" t="inlineStr">
        <is>
          <t>GALAXY PW</t>
        </is>
      </c>
      <c r="J12372" t="inlineStr">
        <is>
          <t>REVEL</t>
        </is>
      </c>
      <c r="L12372">
        <f>_xlfn.XLOOKUP(Tableau1[[#This Row],[TYPE DE PIECE]],Tableau4[MATIERE],Tableau4[SHORT TYPE],"",0,1)</f>
        <v/>
      </c>
      <c r="N12372">
        <f>IF(ISERR(FIND("DECOUPE",Tableau1[[#This Row],[DESIGNATION]])),"","NEED REF")</f>
        <v/>
      </c>
    </row>
    <row r="12373">
      <c r="B12373" t="n">
        <v>34401632</v>
      </c>
      <c r="C12373" s="2" t="n">
        <v>39633</v>
      </c>
      <c r="D12373" t="inlineStr">
        <is>
          <t>NOM</t>
        </is>
      </c>
      <c r="E12373" t="inlineStr">
        <is>
          <t>LG IP42 PEINT SPE GALAXY PW 160-200KVA</t>
        </is>
      </c>
      <c r="F12373" t="inlineStr">
        <is>
          <t>GALAXY PW</t>
        </is>
      </c>
      <c r="J12373" t="inlineStr">
        <is>
          <t>REVEL</t>
        </is>
      </c>
      <c r="L12373">
        <f>_xlfn.XLOOKUP(Tableau1[[#This Row],[TYPE DE PIECE]],Tableau4[MATIERE],Tableau4[SHORT TYPE],"",0,1)</f>
        <v/>
      </c>
      <c r="N12373">
        <f>IF(ISERR(FIND("DECOUPE",Tableau1[[#This Row],[DESIGNATION]])),"","NEED REF")</f>
        <v/>
      </c>
    </row>
    <row r="12374">
      <c r="B12374" t="n">
        <v>34401631</v>
      </c>
      <c r="C12374" s="2" t="n">
        <v>39630</v>
      </c>
      <c r="D12374" t="inlineStr">
        <is>
          <t>NOM</t>
        </is>
      </c>
      <c r="E12374" t="inlineStr">
        <is>
          <t>LG SUPPORT BOBINAGE DOUBLE ARM GAL PW L=1015</t>
        </is>
      </c>
      <c r="F12374" t="inlineStr">
        <is>
          <t>GALAXY PW</t>
        </is>
      </c>
      <c r="J12374" t="inlineStr">
        <is>
          <t>MATRION</t>
        </is>
      </c>
      <c r="L12374">
        <f>_xlfn.XLOOKUP(Tableau1[[#This Row],[TYPE DE PIECE]],Tableau4[MATIERE],Tableau4[SHORT TYPE],"",0,1)</f>
        <v/>
      </c>
      <c r="N12374">
        <f>IF(ISERR(FIND("DECOUPE",Tableau1[[#This Row],[DESIGNATION]])),"","NEED REF")</f>
        <v/>
      </c>
    </row>
    <row r="12375">
      <c r="B12375" t="n">
        <v>34401630</v>
      </c>
      <c r="C12375" s="2" t="n">
        <v>39625</v>
      </c>
      <c r="D12375" t="inlineStr">
        <is>
          <t>SPEC</t>
        </is>
      </c>
      <c r="E12375" t="inlineStr">
        <is>
          <t>Blocage SW en armoire monté sur glissières</t>
        </is>
      </c>
      <c r="F12375" t="inlineStr">
        <is>
          <t>SINEWAVE</t>
        </is>
      </c>
      <c r="J12375" t="inlineStr">
        <is>
          <t>ROBERT</t>
        </is>
      </c>
      <c r="L12375">
        <f>_xlfn.XLOOKUP(Tableau1[[#This Row],[TYPE DE PIECE]],Tableau4[MATIERE],Tableau4[SHORT TYPE],"",0,1)</f>
        <v/>
      </c>
      <c r="N12375">
        <f>IF(ISERR(FIND("DECOUPE",Tableau1[[#This Row],[DESIGNATION]])),"","NEED REF")</f>
        <v/>
      </c>
    </row>
    <row r="12376">
      <c r="B12376" t="n">
        <v>34401629</v>
      </c>
      <c r="C12376" s="2" t="n">
        <v>39623</v>
      </c>
      <c r="D12376" t="inlineStr">
        <is>
          <t>CDC</t>
        </is>
      </c>
      <c r="E12376" t="inlineStr">
        <is>
          <t>Toit grillage pour STS 400A type IBM</t>
        </is>
      </c>
      <c r="F12376" t="inlineStr">
        <is>
          <t>STS</t>
        </is>
      </c>
      <c r="J12376" t="inlineStr">
        <is>
          <t>REVEL</t>
        </is>
      </c>
      <c r="L12376">
        <f>_xlfn.XLOOKUP(Tableau1[[#This Row],[TYPE DE PIECE]],Tableau4[MATIERE],Tableau4[SHORT TYPE],"",0,1)</f>
        <v/>
      </c>
      <c r="N12376">
        <f>IF(ISERR(FIND("DECOUPE",Tableau1[[#This Row],[DESIGNATION]])),"","NEED REF")</f>
        <v/>
      </c>
    </row>
    <row r="12377">
      <c r="B12377" t="n">
        <v>34401628</v>
      </c>
      <c r="C12377" s="2" t="n">
        <v>39622</v>
      </c>
      <c r="D12377" t="inlineStr">
        <is>
          <t>SPEC</t>
        </is>
      </c>
      <c r="E12377" t="inlineStr">
        <is>
          <t>TOIT VENTILE ARM G5K-G7K L=712</t>
        </is>
      </c>
      <c r="F12377" t="inlineStr">
        <is>
          <t>GALAXY 5000-7000</t>
        </is>
      </c>
      <c r="J12377" t="inlineStr">
        <is>
          <t>MATRION</t>
        </is>
      </c>
      <c r="L12377">
        <f>_xlfn.XLOOKUP(Tableau1[[#This Row],[TYPE DE PIECE]],Tableau4[MATIERE],Tableau4[SHORT TYPE],"",0,1)</f>
        <v/>
      </c>
      <c r="N12377">
        <f>IF(ISERR(FIND("DECOUPE",Tableau1[[#This Row],[DESIGNATION]])),"","NEED REF")</f>
        <v/>
      </c>
    </row>
    <row r="12378">
      <c r="B12378" t="n">
        <v>34401627</v>
      </c>
      <c r="C12378" s="2" t="n">
        <v>39615</v>
      </c>
      <c r="D12378" t="inlineStr">
        <is>
          <t>SPEC</t>
        </is>
      </c>
      <c r="E12378" t="inlineStr">
        <is>
          <t>Dossier de montage SW 60A // en armoire</t>
        </is>
      </c>
      <c r="F12378" t="inlineStr">
        <is>
          <t>SINEWAVE</t>
        </is>
      </c>
      <c r="J12378" t="inlineStr">
        <is>
          <t>ROBERT</t>
        </is>
      </c>
      <c r="L12378">
        <f>_xlfn.XLOOKUP(Tableau1[[#This Row],[TYPE DE PIECE]],Tableau4[MATIERE],Tableau4[SHORT TYPE],"",0,1)</f>
        <v/>
      </c>
      <c r="N12378">
        <f>IF(ISERR(FIND("DECOUPE",Tableau1[[#This Row],[DESIGNATION]])),"","NEED REF")</f>
        <v/>
      </c>
    </row>
    <row r="12379">
      <c r="B12379" t="n">
        <v>34401626</v>
      </c>
      <c r="C12379" s="2" t="n">
        <v>39615</v>
      </c>
      <c r="D12379" t="inlineStr">
        <is>
          <t>CDC</t>
        </is>
      </c>
      <c r="E12379" t="inlineStr">
        <is>
          <t>ARMOIRE 2 SW 60A // montés sur glissières</t>
        </is>
      </c>
      <c r="F12379" t="inlineStr">
        <is>
          <t>SINEWAVE</t>
        </is>
      </c>
      <c r="J12379" t="inlineStr">
        <is>
          <t>ROBERT</t>
        </is>
      </c>
      <c r="L12379">
        <f>_xlfn.XLOOKUP(Tableau1[[#This Row],[TYPE DE PIECE]],Tableau4[MATIERE],Tableau4[SHORT TYPE],"",0,1)</f>
        <v/>
      </c>
      <c r="N12379">
        <f>IF(ISERR(FIND("DECOUPE",Tableau1[[#This Row],[DESIGNATION]])),"","NEED REF")</f>
        <v/>
      </c>
    </row>
    <row r="12380">
      <c r="B12380" t="n">
        <v>34401625</v>
      </c>
      <c r="C12380" s="2" t="n">
        <v>39615</v>
      </c>
      <c r="D12380" t="inlineStr">
        <is>
          <t>CDC</t>
        </is>
      </c>
      <c r="E12380" t="inlineStr">
        <is>
          <t>ARMOIRE BP 1200KVA + Q5N DISJONCTEUR</t>
        </is>
      </c>
      <c r="F12380" t="inlineStr">
        <is>
          <t>G6K</t>
        </is>
      </c>
      <c r="J12380" t="inlineStr">
        <is>
          <t>REVEL</t>
        </is>
      </c>
      <c r="L12380">
        <f>_xlfn.XLOOKUP(Tableau1[[#This Row],[TYPE DE PIECE]],Tableau4[MATIERE],Tableau4[SHORT TYPE],"",0,1)</f>
        <v/>
      </c>
      <c r="N12380">
        <f>IF(ISERR(FIND("DECOUPE",Tableau1[[#This Row],[DESIGNATION]])),"","NEED REF")</f>
        <v/>
      </c>
    </row>
    <row r="12381">
      <c r="B12381" t="n">
        <v>34401624</v>
      </c>
      <c r="C12381" s="2" t="n">
        <v>39609</v>
      </c>
      <c r="D12381" t="inlineStr">
        <is>
          <t>CDC</t>
        </is>
      </c>
      <c r="E12381" t="inlineStr">
        <is>
          <t>ARMOIRE BP 1200KVA + 2 DJ R2 ASI</t>
        </is>
      </c>
      <c r="F12381" t="inlineStr">
        <is>
          <t>G6K / G7K</t>
        </is>
      </c>
      <c r="J12381" t="inlineStr">
        <is>
          <t>REVEL</t>
        </is>
      </c>
      <c r="L12381">
        <f>_xlfn.XLOOKUP(Tableau1[[#This Row],[TYPE DE PIECE]],Tableau4[MATIERE],Tableau4[SHORT TYPE],"",0,1)</f>
        <v/>
      </c>
      <c r="N12381">
        <f>IF(ISERR(FIND("DECOUPE",Tableau1[[#This Row],[DESIGNATION]])),"","NEED REF")</f>
        <v/>
      </c>
    </row>
    <row r="12382">
      <c r="B12382" t="n">
        <v>34401623</v>
      </c>
      <c r="C12382" s="2" t="n">
        <v>39608</v>
      </c>
      <c r="D12382" t="inlineStr">
        <is>
          <t>CDC</t>
        </is>
      </c>
      <c r="E12382" t="inlineStr">
        <is>
          <t>ARMOIRE BP 1600KVA + 4 DJ R2 ASI</t>
        </is>
      </c>
      <c r="F12382" t="inlineStr">
        <is>
          <t>G6K / G7K</t>
        </is>
      </c>
      <c r="J12382" t="inlineStr">
        <is>
          <t>REVEL</t>
        </is>
      </c>
      <c r="L12382">
        <f>_xlfn.XLOOKUP(Tableau1[[#This Row],[TYPE DE PIECE]],Tableau4[MATIERE],Tableau4[SHORT TYPE],"",0,1)</f>
        <v/>
      </c>
      <c r="N12382">
        <f>IF(ISERR(FIND("DECOUPE",Tableau1[[#This Row],[DESIGNATION]])),"","NEED REF")</f>
        <v/>
      </c>
    </row>
    <row r="12383">
      <c r="B12383" t="n">
        <v>34401622</v>
      </c>
      <c r="C12383" s="2" t="n">
        <v>39605</v>
      </c>
      <c r="D12383" t="inlineStr">
        <is>
          <t>SPEC</t>
        </is>
      </c>
      <c r="E12383" t="inlineStr">
        <is>
          <t>ETIQUETTE REPERAGE SW MGE HOLLANDE AFFAIRE COMMUNE</t>
        </is>
      </c>
      <c r="F12383" t="inlineStr">
        <is>
          <t xml:space="preserve">PW </t>
        </is>
      </c>
      <c r="J12383" t="inlineStr">
        <is>
          <t>FOLTZ</t>
        </is>
      </c>
      <c r="L12383">
        <f>_xlfn.XLOOKUP(Tableau1[[#This Row],[TYPE DE PIECE]],Tableau4[MATIERE],Tableau4[SHORT TYPE],"",0,1)</f>
        <v/>
      </c>
      <c r="N12383">
        <f>IF(ISERR(FIND("DECOUPE",Tableau1[[#This Row],[DESIGNATION]])),"","NEED REF")</f>
        <v/>
      </c>
    </row>
    <row r="12384">
      <c r="B12384" t="n">
        <v>34401621</v>
      </c>
      <c r="C12384" s="2" t="n">
        <v>39604</v>
      </c>
      <c r="D12384" t="inlineStr">
        <is>
          <t>DM</t>
        </is>
      </c>
      <c r="E12384" t="inlineStr">
        <is>
          <t>Dossier de montage d'un Sinewave en arm aux G6K , PW avec ATFO ou TFO</t>
        </is>
      </c>
      <c r="F12384" t="inlineStr">
        <is>
          <t>G6K , PW</t>
        </is>
      </c>
      <c r="J12384" t="inlineStr">
        <is>
          <t>MONGELLI</t>
        </is>
      </c>
      <c r="L12384">
        <f>_xlfn.XLOOKUP(Tableau1[[#This Row],[TYPE DE PIECE]],Tableau4[MATIERE],Tableau4[SHORT TYPE],"",0,1)</f>
        <v/>
      </c>
      <c r="N12384">
        <f>IF(ISERR(FIND("DECOUPE",Tableau1[[#This Row],[DESIGNATION]])),"","NEED REF")</f>
        <v/>
      </c>
    </row>
    <row r="12385">
      <c r="B12385" t="n">
        <v>34401620</v>
      </c>
      <c r="C12385" s="2" t="n">
        <v>39603</v>
      </c>
      <c r="D12385" t="inlineStr">
        <is>
          <t>NOM</t>
        </is>
      </c>
      <c r="E12385" t="inlineStr">
        <is>
          <t>LG SW 2x60 EN ARMOIRE PW 1015 SUR GLISSIERE</t>
        </is>
      </c>
      <c r="F12385" t="inlineStr">
        <is>
          <t>MGE HOLLANDE</t>
        </is>
      </c>
      <c r="J12385" t="inlineStr">
        <is>
          <t>FOLTZ</t>
        </is>
      </c>
      <c r="L12385">
        <f>_xlfn.XLOOKUP(Tableau1[[#This Row],[TYPE DE PIECE]],Tableau4[MATIERE],Tableau4[SHORT TYPE],"",0,1)</f>
        <v/>
      </c>
      <c r="N12385">
        <f>IF(ISERR(FIND("DECOUPE",Tableau1[[#This Row],[DESIGNATION]])),"","NEED REF")</f>
        <v/>
      </c>
    </row>
    <row r="12386">
      <c r="B12386" t="n">
        <v>34401619</v>
      </c>
      <c r="C12386" s="2" t="n">
        <v>39603</v>
      </c>
      <c r="D12386" t="inlineStr">
        <is>
          <t>DOC</t>
        </is>
      </c>
      <c r="E12386" t="inlineStr">
        <is>
          <t>Manuel utilisation boitier chgt frequence</t>
        </is>
      </c>
      <c r="F12386" t="inlineStr">
        <is>
          <t>GALAXY CF</t>
        </is>
      </c>
      <c r="J12386" t="inlineStr">
        <is>
          <t>REVEL</t>
        </is>
      </c>
      <c r="L12386">
        <f>_xlfn.XLOOKUP(Tableau1[[#This Row],[TYPE DE PIECE]],Tableau4[MATIERE],Tableau4[SHORT TYPE],"",0,1)</f>
        <v/>
      </c>
      <c r="N12386">
        <f>IF(ISERR(FIND("DECOUPE",Tableau1[[#This Row],[DESIGNATION]])),"","NEED REF")</f>
        <v/>
      </c>
    </row>
    <row r="12387">
      <c r="B12387" t="n">
        <v>34401618</v>
      </c>
      <c r="C12387" s="2" t="n">
        <v>39603</v>
      </c>
      <c r="D12387" t="inlineStr">
        <is>
          <t>SPEC</t>
        </is>
      </c>
      <c r="E12387" t="inlineStr">
        <is>
          <t>ETIQUETTE CARTE MERY POUR SW MARCOUSSIS</t>
        </is>
      </c>
      <c r="F12387" t="inlineStr">
        <is>
          <t>SINEWAVE</t>
        </is>
      </c>
      <c r="J12387" t="inlineStr">
        <is>
          <t>REVEL</t>
        </is>
      </c>
      <c r="L12387">
        <f>_xlfn.XLOOKUP(Tableau1[[#This Row],[TYPE DE PIECE]],Tableau4[MATIERE],Tableau4[SHORT TYPE],"",0,1)</f>
        <v/>
      </c>
      <c r="N12387">
        <f>IF(ISERR(FIND("DECOUPE",Tableau1[[#This Row],[DESIGNATION]])),"","NEED REF")</f>
        <v/>
      </c>
    </row>
    <row r="12388">
      <c r="B12388" t="n">
        <v>34401617</v>
      </c>
      <c r="C12388" s="2" t="n">
        <v>39602</v>
      </c>
      <c r="D12388" t="inlineStr">
        <is>
          <t>NOM</t>
        </is>
      </c>
      <c r="E12388" t="inlineStr">
        <is>
          <t>LG COMMUNE BOITIER DECHARGE PROFONDE</t>
        </is>
      </c>
      <c r="F12388" t="inlineStr">
        <is>
          <t>TOUTES GAMME (sauf G55K-G7K)</t>
        </is>
      </c>
      <c r="J12388" t="inlineStr">
        <is>
          <t>FOLTZ</t>
        </is>
      </c>
      <c r="L12388">
        <f>_xlfn.XLOOKUP(Tableau1[[#This Row],[TYPE DE PIECE]],Tableau4[MATIERE],Tableau4[SHORT TYPE],"",0,1)</f>
        <v/>
      </c>
      <c r="N12388">
        <f>IF(ISERR(FIND("DECOUPE",Tableau1[[#This Row],[DESIGNATION]])),"","NEED REF")</f>
        <v/>
      </c>
    </row>
    <row r="12389">
      <c r="B12389" t="n">
        <v>34401616</v>
      </c>
      <c r="C12389" s="2" t="n">
        <v>39596</v>
      </c>
      <c r="D12389" t="inlineStr">
        <is>
          <t>CDC</t>
        </is>
      </c>
      <c r="E12389" t="inlineStr">
        <is>
          <t>NS 2000 raccordement gaines a barre ASI UTIL R2</t>
        </is>
      </c>
      <c r="F12389" t="inlineStr">
        <is>
          <t>NS 2000kVA</t>
        </is>
      </c>
      <c r="J12389" t="inlineStr">
        <is>
          <t>REVEL</t>
        </is>
      </c>
      <c r="L12389">
        <f>_xlfn.XLOOKUP(Tableau1[[#This Row],[TYPE DE PIECE]],Tableau4[MATIERE],Tableau4[SHORT TYPE],"",0,1)</f>
        <v/>
      </c>
      <c r="N12389">
        <f>IF(ISERR(FIND("DECOUPE",Tableau1[[#This Row],[DESIGNATION]])),"","NEED REF")</f>
        <v/>
      </c>
    </row>
    <row r="12390">
      <c r="B12390" t="n">
        <v>34401615</v>
      </c>
      <c r="C12390" s="2" t="n">
        <v>39590</v>
      </c>
      <c r="D12390" t="inlineStr">
        <is>
          <t>NOM</t>
        </is>
      </c>
      <c r="E12390" t="inlineStr">
        <is>
          <t>LG CAILLEBOTIS MARINE 1010</t>
        </is>
      </c>
      <c r="F12390" t="inlineStr">
        <is>
          <t>GALAXY 5000</t>
        </is>
      </c>
      <c r="J12390" t="inlineStr">
        <is>
          <t>ROBERT</t>
        </is>
      </c>
      <c r="L12390">
        <f>_xlfn.XLOOKUP(Tableau1[[#This Row],[TYPE DE PIECE]],Tableau4[MATIERE],Tableau4[SHORT TYPE],"",0,1)</f>
        <v/>
      </c>
      <c r="N12390">
        <f>IF(ISERR(FIND("DECOUPE",Tableau1[[#This Row],[DESIGNATION]])),"","NEED REF")</f>
        <v/>
      </c>
    </row>
    <row r="12391">
      <c r="B12391" t="n">
        <v>34401614</v>
      </c>
      <c r="C12391" s="2" t="n">
        <v>39590</v>
      </c>
      <c r="D12391" t="inlineStr">
        <is>
          <t>NOM</t>
        </is>
      </c>
      <c r="E12391" t="inlineStr">
        <is>
          <t>LG CAILLEBOTIS MARINE 710</t>
        </is>
      </c>
      <c r="F12391" t="inlineStr">
        <is>
          <t>GALAXY 5000</t>
        </is>
      </c>
      <c r="J12391" t="inlineStr">
        <is>
          <t>ROBERT</t>
        </is>
      </c>
      <c r="L12391">
        <f>_xlfn.XLOOKUP(Tableau1[[#This Row],[TYPE DE PIECE]],Tableau4[MATIERE],Tableau4[SHORT TYPE],"",0,1)</f>
        <v/>
      </c>
      <c r="N12391">
        <f>IF(ISERR(FIND("DECOUPE",Tableau1[[#This Row],[DESIGNATION]])),"","NEED REF")</f>
        <v/>
      </c>
    </row>
    <row r="12392">
      <c r="B12392" t="n">
        <v>34401613</v>
      </c>
      <c r="C12392" s="2" t="n">
        <v>39589</v>
      </c>
      <c r="D12392" t="inlineStr">
        <is>
          <t>SPEC</t>
        </is>
      </c>
      <c r="E12392" t="inlineStr">
        <is>
          <t>ATFO PHASE SHIFTING 600kVA +24° -24°</t>
        </is>
      </c>
      <c r="F12392" t="inlineStr">
        <is>
          <t>GALAXY</t>
        </is>
      </c>
      <c r="J12392" t="inlineStr">
        <is>
          <t>REVEL</t>
        </is>
      </c>
      <c r="L12392">
        <f>_xlfn.XLOOKUP(Tableau1[[#This Row],[TYPE DE PIECE]],Tableau4[MATIERE],Tableau4[SHORT TYPE],"",0,1)</f>
        <v/>
      </c>
      <c r="N12392">
        <f>IF(ISERR(FIND("DECOUPE",Tableau1[[#This Row],[DESIGNATION]])),"","NEED REF")</f>
        <v/>
      </c>
    </row>
    <row r="12393">
      <c r="B12393" t="n">
        <v>34401612</v>
      </c>
      <c r="C12393" s="2" t="n">
        <v>39589</v>
      </c>
      <c r="D12393" t="inlineStr">
        <is>
          <t>SPEC</t>
        </is>
      </c>
      <c r="E12393" t="inlineStr">
        <is>
          <t>ATFO PHASE SHIFTING 600kVA +12° -12°</t>
        </is>
      </c>
      <c r="F12393" t="inlineStr">
        <is>
          <t>GALAXY</t>
        </is>
      </c>
      <c r="J12393" t="inlineStr">
        <is>
          <t>REVEL</t>
        </is>
      </c>
      <c r="L12393">
        <f>_xlfn.XLOOKUP(Tableau1[[#This Row],[TYPE DE PIECE]],Tableau4[MATIERE],Tableau4[SHORT TYPE],"",0,1)</f>
        <v/>
      </c>
      <c r="N12393">
        <f>IF(ISERR(FIND("DECOUPE",Tableau1[[#This Row],[DESIGNATION]])),"","NEED REF")</f>
        <v/>
      </c>
    </row>
    <row r="12394">
      <c r="B12394" t="n">
        <v>34401611</v>
      </c>
      <c r="C12394" s="2" t="n">
        <v>39588</v>
      </c>
      <c r="D12394" t="inlineStr">
        <is>
          <t>CDC</t>
        </is>
      </c>
      <c r="E12394" t="inlineStr">
        <is>
          <t>CDC caillebotis marine arm batt G3000</t>
        </is>
      </c>
      <c r="F12394" t="inlineStr">
        <is>
          <t>GALAXY 3000</t>
        </is>
      </c>
      <c r="J12394" t="inlineStr">
        <is>
          <t>ROBERT</t>
        </is>
      </c>
      <c r="L12394">
        <f>_xlfn.XLOOKUP(Tableau1[[#This Row],[TYPE DE PIECE]],Tableau4[MATIERE],Tableau4[SHORT TYPE],"",0,1)</f>
        <v/>
      </c>
      <c r="N12394">
        <f>IF(ISERR(FIND("DECOUPE",Tableau1[[#This Row],[DESIGNATION]])),"","NEED REF")</f>
        <v/>
      </c>
    </row>
    <row r="12395">
      <c r="B12395" t="n">
        <v>34401610</v>
      </c>
      <c r="C12395" s="2" t="n">
        <v>39587</v>
      </c>
      <c r="D12395" t="inlineStr">
        <is>
          <t>CDC</t>
        </is>
      </c>
      <c r="E12395" t="inlineStr">
        <is>
          <t>CDC SKID 2 ARM BATT G3000</t>
        </is>
      </c>
      <c r="F12395" t="inlineStr">
        <is>
          <t>GALAXY 3000</t>
        </is>
      </c>
      <c r="J12395" t="inlineStr">
        <is>
          <t>ROBERT</t>
        </is>
      </c>
      <c r="L12395">
        <f>_xlfn.XLOOKUP(Tableau1[[#This Row],[TYPE DE PIECE]],Tableau4[MATIERE],Tableau4[SHORT TYPE],"",0,1)</f>
        <v/>
      </c>
      <c r="N12395">
        <f>IF(ISERR(FIND("DECOUPE",Tableau1[[#This Row],[DESIGNATION]])),"","NEED REF")</f>
        <v/>
      </c>
    </row>
    <row r="12396">
      <c r="B12396" t="n">
        <v>34401609</v>
      </c>
      <c r="C12396" s="2" t="n">
        <v>39587</v>
      </c>
      <c r="D12396" t="inlineStr">
        <is>
          <t>CDC</t>
        </is>
      </c>
      <c r="E12396" t="inlineStr">
        <is>
          <t>CDC SKID G3000 10/15kVA</t>
        </is>
      </c>
      <c r="F12396" t="inlineStr">
        <is>
          <t>GALAXY 3000</t>
        </is>
      </c>
      <c r="J12396" t="inlineStr">
        <is>
          <t>ROBERT</t>
        </is>
      </c>
      <c r="L12396">
        <f>_xlfn.XLOOKUP(Tableau1[[#This Row],[TYPE DE PIECE]],Tableau4[MATIERE],Tableau4[SHORT TYPE],"",0,1)</f>
        <v/>
      </c>
      <c r="N12396">
        <f>IF(ISERR(FIND("DECOUPE",Tableau1[[#This Row],[DESIGNATION]])),"","NEED REF")</f>
        <v/>
      </c>
    </row>
    <row r="12397">
      <c r="B12397" t="n">
        <v>34401608</v>
      </c>
      <c r="C12397" s="2" t="n">
        <v>39584</v>
      </c>
      <c r="D12397" t="inlineStr">
        <is>
          <t>NOM</t>
        </is>
      </c>
      <c r="E12397" t="inlineStr">
        <is>
          <t>LG IP32 ARM AUX G6K L=1200</t>
        </is>
      </c>
      <c r="F12397" t="inlineStr">
        <is>
          <t>GALAXY 6000</t>
        </is>
      </c>
      <c r="J12397" t="inlineStr">
        <is>
          <t>FOLTZ</t>
        </is>
      </c>
      <c r="L12397">
        <f>_xlfn.XLOOKUP(Tableau1[[#This Row],[TYPE DE PIECE]],Tableau4[MATIERE],Tableau4[SHORT TYPE],"",0,1)</f>
        <v/>
      </c>
      <c r="N12397">
        <f>IF(ISERR(FIND("DECOUPE",Tableau1[[#This Row],[DESIGNATION]])),"","NEED REF")</f>
        <v/>
      </c>
    </row>
    <row r="12398">
      <c r="B12398" t="n">
        <v>34401607</v>
      </c>
      <c r="C12398" s="2" t="n">
        <v>39582</v>
      </c>
      <c r="D12398" t="inlineStr">
        <is>
          <t>ST</t>
        </is>
      </c>
      <c r="E12398" t="inlineStr">
        <is>
          <t>Modification NS2000 LIGHT - CHGT ORDRE PHASE TETE GAINE BARRE</t>
        </is>
      </c>
      <c r="F12398" t="inlineStr">
        <is>
          <t>GALAXY 6000-9000</t>
        </is>
      </c>
      <c r="J12398" t="inlineStr">
        <is>
          <t>FOLTZ</t>
        </is>
      </c>
      <c r="L12398">
        <f>_xlfn.XLOOKUP(Tableau1[[#This Row],[TYPE DE PIECE]],Tableau4[MATIERE],Tableau4[SHORT TYPE],"",0,1)</f>
        <v/>
      </c>
      <c r="N12398">
        <f>IF(ISERR(FIND("DECOUPE",Tableau1[[#This Row],[DESIGNATION]])),"","NEED REF")</f>
        <v/>
      </c>
    </row>
    <row r="12399">
      <c r="B12399" t="n">
        <v>34401606</v>
      </c>
      <c r="C12399" s="2" t="n">
        <v>39582</v>
      </c>
      <c r="D12399" t="inlineStr">
        <is>
          <t>CDC</t>
        </is>
      </c>
      <c r="E12399" t="inlineStr">
        <is>
          <t>Prestation ST 16 x (Préparation Cuivre EuroCablage SAREL STS400A Marccoussi)</t>
        </is>
      </c>
      <c r="F12399" t="inlineStr">
        <is>
          <t>STS 400A Sarel 500</t>
        </is>
      </c>
      <c r="J12399" t="inlineStr">
        <is>
          <t>MATRION</t>
        </is>
      </c>
      <c r="L12399">
        <f>_xlfn.XLOOKUP(Tableau1[[#This Row],[TYPE DE PIECE]],Tableau4[MATIERE],Tableau4[SHORT TYPE],"",0,1)</f>
        <v/>
      </c>
      <c r="N12399">
        <f>IF(ISERR(FIND("DECOUPE",Tableau1[[#This Row],[DESIGNATION]])),"","NEED REF")</f>
        <v/>
      </c>
    </row>
    <row r="12400">
      <c r="B12400" t="n">
        <v>34401605</v>
      </c>
      <c r="C12400" s="2" t="n">
        <v>39573</v>
      </c>
      <c r="D12400" t="inlineStr">
        <is>
          <t>NOM</t>
        </is>
      </c>
      <c r="E12400" t="inlineStr">
        <is>
          <t>LG Peint a commission arm bat aux G6K L=1200</t>
        </is>
      </c>
      <c r="F12400" t="inlineStr">
        <is>
          <t>GALAXY 6000 L=1200</t>
        </is>
      </c>
      <c r="J12400" t="inlineStr">
        <is>
          <t>REVEL</t>
        </is>
      </c>
      <c r="L12400">
        <f>_xlfn.XLOOKUP(Tableau1[[#This Row],[TYPE DE PIECE]],Tableau4[MATIERE],Tableau4[SHORT TYPE],"",0,1)</f>
        <v/>
      </c>
      <c r="N12400">
        <f>IF(ISERR(FIND("DECOUPE",Tableau1[[#This Row],[DESIGNATION]])),"","NEED REF")</f>
        <v/>
      </c>
    </row>
    <row r="12401">
      <c r="B12401" t="n">
        <v>34401604</v>
      </c>
      <c r="C12401" s="2" t="n">
        <v>39568</v>
      </c>
      <c r="D12401" t="inlineStr">
        <is>
          <t>NOM</t>
        </is>
      </c>
      <c r="E12401" t="inlineStr">
        <is>
          <t>Peint a commission G6K 600kVA</t>
        </is>
      </c>
      <c r="F12401" t="inlineStr">
        <is>
          <t>GALAXY 6000 600kVA</t>
        </is>
      </c>
      <c r="J12401" t="inlineStr">
        <is>
          <t>REVEL</t>
        </is>
      </c>
      <c r="L12401">
        <f>_xlfn.XLOOKUP(Tableau1[[#This Row],[TYPE DE PIECE]],Tableau4[MATIERE],Tableau4[SHORT TYPE],"",0,1)</f>
        <v/>
      </c>
      <c r="N12401">
        <f>IF(ISERR(FIND("DECOUPE",Tableau1[[#This Row],[DESIGNATION]])),"","NEED REF")</f>
        <v/>
      </c>
    </row>
    <row r="12402">
      <c r="B12402" t="n">
        <v>34401603</v>
      </c>
      <c r="C12402" s="2" t="n">
        <v>39568</v>
      </c>
      <c r="D12402" t="inlineStr">
        <is>
          <t>CDC</t>
        </is>
      </c>
      <c r="E12402" t="inlineStr">
        <is>
          <t>GALAXY 400kVA +  TFO SUR SKID</t>
        </is>
      </c>
      <c r="F12402" t="inlineStr">
        <is>
          <t>GALAXY 6000 400kVA</t>
        </is>
      </c>
      <c r="J12402" t="inlineStr">
        <is>
          <t>ROBERT</t>
        </is>
      </c>
      <c r="L12402">
        <f>_xlfn.XLOOKUP(Tableau1[[#This Row],[TYPE DE PIECE]],Tableau4[MATIERE],Tableau4[SHORT TYPE],"",0,1)</f>
        <v/>
      </c>
      <c r="N12402">
        <f>IF(ISERR(FIND("DECOUPE",Tableau1[[#This Row],[DESIGNATION]])),"","NEED REF")</f>
        <v/>
      </c>
    </row>
    <row r="12403">
      <c r="B12403" t="n">
        <v>34401602</v>
      </c>
      <c r="C12403" s="2" t="n">
        <v>39567</v>
      </c>
      <c r="D12403" t="inlineStr">
        <is>
          <t>NOM</t>
        </is>
      </c>
      <c r="E12403" t="inlineStr">
        <is>
          <t>LG BACK FEED GALAXY 6000 400kVA</t>
        </is>
      </c>
      <c r="F12403" t="inlineStr">
        <is>
          <t>GALAXY 6000-9000</t>
        </is>
      </c>
      <c r="J12403" t="inlineStr">
        <is>
          <t>FOLTZ</t>
        </is>
      </c>
      <c r="L12403">
        <f>_xlfn.XLOOKUP(Tableau1[[#This Row],[TYPE DE PIECE]],Tableau4[MATIERE],Tableau4[SHORT TYPE],"",0,1)</f>
        <v/>
      </c>
      <c r="N12403">
        <f>IF(ISERR(FIND("DECOUPE",Tableau1[[#This Row],[DESIGNATION]])),"","NEED REF")</f>
        <v/>
      </c>
    </row>
    <row r="12404">
      <c r="B12404" t="n">
        <v>34401601</v>
      </c>
      <c r="C12404" s="2" t="n">
        <v>39566</v>
      </c>
      <c r="D12404" t="inlineStr">
        <is>
          <t>SPEC</t>
        </is>
      </c>
      <c r="E12404" t="inlineStr">
        <is>
          <t>CHASSIS 600 STD MODIFIE</t>
        </is>
      </c>
      <c r="F12404" t="inlineStr">
        <is>
          <t>GALAXY 6000-9000</t>
        </is>
      </c>
      <c r="J12404" t="inlineStr">
        <is>
          <t>ÇAKIR</t>
        </is>
      </c>
      <c r="L12404">
        <f>_xlfn.XLOOKUP(Tableau1[[#This Row],[TYPE DE PIECE]],Tableau4[MATIERE],Tableau4[SHORT TYPE],"",0,1)</f>
        <v/>
      </c>
      <c r="N12404">
        <f>IF(ISERR(FIND("DECOUPE",Tableau1[[#This Row],[DESIGNATION]])),"","NEED REF")</f>
        <v/>
      </c>
    </row>
    <row r="12405">
      <c r="B12405" t="n">
        <v>34401600</v>
      </c>
      <c r="C12405" s="2" t="n">
        <v>39566</v>
      </c>
      <c r="D12405" t="inlineStr">
        <is>
          <t>SPEC</t>
        </is>
      </c>
      <c r="E12405" t="inlineStr">
        <is>
          <t>CABLES CHOKE 51uH &gt; Q1</t>
        </is>
      </c>
      <c r="F12405" t="inlineStr">
        <is>
          <t>GALAXY 6000-9000</t>
        </is>
      </c>
      <c r="J12405" t="inlineStr">
        <is>
          <t>ÇAKIR</t>
        </is>
      </c>
      <c r="L12405">
        <f>_xlfn.XLOOKUP(Tableau1[[#This Row],[TYPE DE PIECE]],Tableau4[MATIERE],Tableau4[SHORT TYPE],"",0,1)</f>
        <v/>
      </c>
      <c r="N12405">
        <f>IF(ISERR(FIND("DECOUPE",Tableau1[[#This Row],[DESIGNATION]])),"","NEED REF")</f>
        <v/>
      </c>
    </row>
    <row r="12406">
      <c r="B12406" t="n">
        <v>34401599</v>
      </c>
      <c r="C12406" s="2" t="n">
        <v>39562</v>
      </c>
      <c r="D12406" t="inlineStr">
        <is>
          <t>PREST P</t>
        </is>
      </c>
      <c r="E12406" t="inlineStr">
        <is>
          <t>Reprise peinture sur habillage PMM</t>
        </is>
      </c>
      <c r="F12406" t="inlineStr">
        <is>
          <t>PMM</t>
        </is>
      </c>
      <c r="J12406" t="inlineStr">
        <is>
          <t>ROBERT</t>
        </is>
      </c>
      <c r="L12406">
        <f>_xlfn.XLOOKUP(Tableau1[[#This Row],[TYPE DE PIECE]],Tableau4[MATIERE],Tableau4[SHORT TYPE],"",0,1)</f>
        <v/>
      </c>
      <c r="N12406">
        <f>IF(ISERR(FIND("DECOUPE",Tableau1[[#This Row],[DESIGNATION]])),"","NEED REF")</f>
        <v/>
      </c>
    </row>
    <row r="12407">
      <c r="B12407" t="n">
        <v>34401598</v>
      </c>
      <c r="C12407" s="2" t="n">
        <v>39555</v>
      </c>
      <c r="D12407" t="inlineStr">
        <is>
          <t>CDC</t>
        </is>
      </c>
      <c r="E12407" t="inlineStr">
        <is>
          <t>ARMOIRE BY PASS TRANSFO R2 250KVA</t>
        </is>
      </c>
      <c r="F12407" t="inlineStr">
        <is>
          <t>GALAXY 250KVA</t>
        </is>
      </c>
      <c r="J12407" t="inlineStr">
        <is>
          <t>REVEL</t>
        </is>
      </c>
      <c r="L12407">
        <f>_xlfn.XLOOKUP(Tableau1[[#This Row],[TYPE DE PIECE]],Tableau4[MATIERE],Tableau4[SHORT TYPE],"",0,1)</f>
        <v/>
      </c>
      <c r="N12407">
        <f>IF(ISERR(FIND("DECOUPE",Tableau1[[#This Row],[DESIGNATION]])),"","NEED REF")</f>
        <v/>
      </c>
    </row>
    <row r="12408">
      <c r="B12408" t="n">
        <v>34401597</v>
      </c>
      <c r="C12408" s="2" t="n">
        <v>39552</v>
      </c>
      <c r="D12408" t="inlineStr">
        <is>
          <t>CDC</t>
        </is>
      </c>
      <c r="E12408" t="inlineStr">
        <is>
          <t>ARMOIRE BATTERIE A TIROIR COULISSANT (glissière)</t>
        </is>
      </c>
      <c r="F12408" t="inlineStr">
        <is>
          <t>PW 715x1900</t>
        </is>
      </c>
      <c r="J12408" t="inlineStr">
        <is>
          <t>MATRION</t>
        </is>
      </c>
      <c r="L12408">
        <f>_xlfn.XLOOKUP(Tableau1[[#This Row],[TYPE DE PIECE]],Tableau4[MATIERE],Tableau4[SHORT TYPE],"",0,1)</f>
        <v/>
      </c>
      <c r="N12408">
        <f>IF(ISERR(FIND("DECOUPE",Tableau1[[#This Row],[DESIGNATION]])),"","NEED REF")</f>
        <v/>
      </c>
    </row>
    <row r="12409">
      <c r="B12409" t="n">
        <v>34401596</v>
      </c>
      <c r="C12409" s="2" t="n">
        <v>39548</v>
      </c>
      <c r="D12409" t="inlineStr">
        <is>
          <t>SPEC</t>
        </is>
      </c>
      <c r="E12409" t="inlineStr">
        <is>
          <t>Etiquette signaletique STS JAPON</t>
        </is>
      </c>
      <c r="F12409" t="inlineStr">
        <is>
          <t>STS JAPON</t>
        </is>
      </c>
      <c r="J12409" t="inlineStr">
        <is>
          <t>ROBERT</t>
        </is>
      </c>
      <c r="L12409">
        <f>_xlfn.XLOOKUP(Tableau1[[#This Row],[TYPE DE PIECE]],Tableau4[MATIERE],Tableau4[SHORT TYPE],"",0,1)</f>
        <v/>
      </c>
      <c r="N12409">
        <f>IF(ISERR(FIND("DECOUPE",Tableau1[[#This Row],[DESIGNATION]])),"","NEED REF")</f>
        <v/>
      </c>
    </row>
    <row r="12410">
      <c r="B12410" t="n">
        <v>34401595</v>
      </c>
      <c r="C12410" s="2" t="n">
        <v>39548</v>
      </c>
      <c r="D12410" t="inlineStr">
        <is>
          <t>NOM</t>
        </is>
      </c>
      <c r="E12410" t="inlineStr">
        <is>
          <t>LG Comet EXRT SNCF Mono/Mono 11kVA</t>
        </is>
      </c>
      <c r="F12410" t="inlineStr">
        <is>
          <t>EXRT 11kVA MM SNCF</t>
        </is>
      </c>
      <c r="J12410" t="inlineStr">
        <is>
          <t>ÇAKIR</t>
        </is>
      </c>
      <c r="L12410">
        <f>_xlfn.XLOOKUP(Tableau1[[#This Row],[TYPE DE PIECE]],Tableau4[MATIERE],Tableau4[SHORT TYPE],"",0,1)</f>
        <v/>
      </c>
      <c r="N12410">
        <f>IF(ISERR(FIND("DECOUPE",Tableau1[[#This Row],[DESIGNATION]])),"","NEED REF")</f>
        <v/>
      </c>
    </row>
    <row r="12411">
      <c r="B12411" t="n">
        <v>34401594</v>
      </c>
      <c r="C12411" s="2" t="n">
        <v>39542</v>
      </c>
      <c r="D12411" t="inlineStr">
        <is>
          <t>CDC</t>
        </is>
      </c>
      <c r="E12411" t="inlineStr">
        <is>
          <t xml:space="preserve">ARMOIRE BY PASS + TRANSFO </t>
        </is>
      </c>
      <c r="F12411" t="inlineStr">
        <is>
          <t>Galaxy PW</t>
        </is>
      </c>
      <c r="J12411" t="inlineStr">
        <is>
          <t>REVEL</t>
        </is>
      </c>
      <c r="L12411">
        <f>_xlfn.XLOOKUP(Tableau1[[#This Row],[TYPE DE PIECE]],Tableau4[MATIERE],Tableau4[SHORT TYPE],"",0,1)</f>
        <v/>
      </c>
      <c r="N12411">
        <f>IF(ISERR(FIND("DECOUPE",Tableau1[[#This Row],[DESIGNATION]])),"","NEED REF")</f>
        <v/>
      </c>
    </row>
    <row r="12412">
      <c r="B12412" t="n">
        <v>34401593</v>
      </c>
      <c r="C12412" s="2" t="n">
        <v>39542</v>
      </c>
      <c r="D12412" t="inlineStr">
        <is>
          <t>CDC</t>
        </is>
      </c>
      <c r="E12412" t="inlineStr">
        <is>
          <t>BLOCAGE INTER Q3BP AVEC SERRURE</t>
        </is>
      </c>
      <c r="F12412" t="inlineStr">
        <is>
          <t>GALAXY 5000 60KVA</t>
        </is>
      </c>
      <c r="J12412" t="inlineStr">
        <is>
          <t>REVEL</t>
        </is>
      </c>
      <c r="L12412">
        <f>_xlfn.XLOOKUP(Tableau1[[#This Row],[TYPE DE PIECE]],Tableau4[MATIERE],Tableau4[SHORT TYPE],"",0,1)</f>
        <v/>
      </c>
      <c r="N12412">
        <f>IF(ISERR(FIND("DECOUPE",Tableau1[[#This Row],[DESIGNATION]])),"","NEED REF")</f>
        <v/>
      </c>
    </row>
    <row r="12413">
      <c r="B12413" t="n">
        <v>34401592</v>
      </c>
      <c r="C12413" s="2" t="n">
        <v>39542</v>
      </c>
      <c r="D12413" t="inlineStr">
        <is>
          <t>NOM</t>
        </is>
      </c>
      <c r="E12413" t="inlineStr">
        <is>
          <t>PROJET ALTERNANT MOHAMMED JAMAD</t>
        </is>
      </c>
      <c r="F12413" t="inlineStr">
        <is>
          <t>GALAXY 7000</t>
        </is>
      </c>
      <c r="J12413" t="inlineStr">
        <is>
          <t>JAMAD</t>
        </is>
      </c>
      <c r="L12413">
        <f>_xlfn.XLOOKUP(Tableau1[[#This Row],[TYPE DE PIECE]],Tableau4[MATIERE],Tableau4[SHORT TYPE],"",0,1)</f>
        <v/>
      </c>
      <c r="N12413">
        <f>IF(ISERR(FIND("DECOUPE",Tableau1[[#This Row],[DESIGNATION]])),"","NEED REF")</f>
        <v/>
      </c>
    </row>
    <row r="12414">
      <c r="B12414" t="n">
        <v>34401591</v>
      </c>
      <c r="C12414" s="2" t="n">
        <v>39538</v>
      </c>
      <c r="D12414" t="inlineStr">
        <is>
          <t>CDC</t>
        </is>
      </c>
      <c r="E12414" t="inlineStr">
        <is>
          <t>CDC ARMOIRE TFO R1 EN ARMOIRE APC</t>
        </is>
      </c>
      <c r="F12414" t="inlineStr">
        <is>
          <t>SYMMETRA PX 40kVA</t>
        </is>
      </c>
      <c r="J12414" t="inlineStr">
        <is>
          <t>ROBERT</t>
        </is>
      </c>
      <c r="L12414">
        <f>_xlfn.XLOOKUP(Tableau1[[#This Row],[TYPE DE PIECE]],Tableau4[MATIERE],Tableau4[SHORT TYPE],"",0,1)</f>
        <v/>
      </c>
      <c r="N12414">
        <f>IF(ISERR(FIND("DECOUPE",Tableau1[[#This Row],[DESIGNATION]])),"","NEED REF")</f>
        <v/>
      </c>
    </row>
    <row r="12415">
      <c r="B12415" t="n">
        <v>34401590</v>
      </c>
      <c r="C12415" s="2" t="n"/>
      <c r="L12415">
        <f>_xlfn.XLOOKUP(Tableau1[[#This Row],[TYPE DE PIECE]],Tableau4[MATIERE],Tableau4[SHORT TYPE],"",0,1)</f>
        <v/>
      </c>
      <c r="N12415">
        <f>IF(ISERR(FIND("DECOUPE",Tableau1[[#This Row],[DESIGNATION]])),"","NEED REF")</f>
        <v/>
      </c>
    </row>
    <row r="12416">
      <c r="B12416" t="n">
        <v>34401589</v>
      </c>
      <c r="C12416" s="2" t="n">
        <v>39533</v>
      </c>
      <c r="D12416" t="inlineStr">
        <is>
          <t>CDC</t>
        </is>
      </c>
      <c r="E12416" t="inlineStr">
        <is>
          <t>CDC ARMOIRE TFO R1 EN ARMOIRE APC</t>
        </is>
      </c>
      <c r="F12416" t="inlineStr">
        <is>
          <t>SYMMETRA PX 80kVA</t>
        </is>
      </c>
      <c r="J12416" t="inlineStr">
        <is>
          <t>ROBERT</t>
        </is>
      </c>
      <c r="L12416">
        <f>_xlfn.XLOOKUP(Tableau1[[#This Row],[TYPE DE PIECE]],Tableau4[MATIERE],Tableau4[SHORT TYPE],"",0,1)</f>
        <v/>
      </c>
      <c r="N12416">
        <f>IF(ISERR(FIND("DECOUPE",Tableau1[[#This Row],[DESIGNATION]])),"","NEED REF")</f>
        <v/>
      </c>
    </row>
    <row r="12417">
      <c r="B12417" t="n">
        <v>34401588</v>
      </c>
      <c r="C12417" s="2" t="n">
        <v>39533</v>
      </c>
      <c r="D12417" t="inlineStr">
        <is>
          <t>CDC</t>
        </is>
      </c>
      <c r="E12417" t="inlineStr">
        <is>
          <t>CDC ARMOIRE BY-PASS+TFO R2 EN ARMOIRE APC</t>
        </is>
      </c>
      <c r="F12417" t="inlineStr">
        <is>
          <t xml:space="preserve">SYMMETRA PX 80kVA </t>
        </is>
      </c>
      <c r="J12417" t="inlineStr">
        <is>
          <t>ROBERT</t>
        </is>
      </c>
      <c r="L12417">
        <f>_xlfn.XLOOKUP(Tableau1[[#This Row],[TYPE DE PIECE]],Tableau4[MATIERE],Tableau4[SHORT TYPE],"",0,1)</f>
        <v/>
      </c>
      <c r="N12417">
        <f>IF(ISERR(FIND("DECOUPE",Tableau1[[#This Row],[DESIGNATION]])),"","NEED REF")</f>
        <v/>
      </c>
    </row>
    <row r="12418">
      <c r="B12418" t="n">
        <v>34401587</v>
      </c>
      <c r="C12418" s="2" t="n">
        <v>39532</v>
      </c>
      <c r="D12418" t="inlineStr">
        <is>
          <t>SPEC</t>
        </is>
      </c>
      <c r="E12418" t="inlineStr">
        <is>
          <t>ATFO PHASE SHITFING 539kVA -20°</t>
        </is>
      </c>
      <c r="F12418" t="inlineStr">
        <is>
          <t>MAHMOUDI</t>
        </is>
      </c>
      <c r="J12418" t="inlineStr">
        <is>
          <t>MAHMOUDI</t>
        </is>
      </c>
      <c r="L12418">
        <f>_xlfn.XLOOKUP(Tableau1[[#This Row],[TYPE DE PIECE]],Tableau4[MATIERE],Tableau4[SHORT TYPE],"",0,1)</f>
        <v/>
      </c>
      <c r="N12418">
        <f>IF(ISERR(FIND("DECOUPE",Tableau1[[#This Row],[DESIGNATION]])),"","NEED REF")</f>
        <v/>
      </c>
    </row>
    <row r="12419">
      <c r="B12419" t="n">
        <v>34401586</v>
      </c>
      <c r="C12419" s="2" t="n">
        <v>39532</v>
      </c>
      <c r="D12419" t="inlineStr">
        <is>
          <t>SPEC</t>
        </is>
      </c>
      <c r="E12419" t="inlineStr">
        <is>
          <t>ATFO PHASE SHIFTING 539kVA +20°</t>
        </is>
      </c>
      <c r="F12419" t="inlineStr">
        <is>
          <t>MAHMOUDI</t>
        </is>
      </c>
      <c r="J12419" t="inlineStr">
        <is>
          <t>MAHMOUDI</t>
        </is>
      </c>
      <c r="L12419">
        <f>_xlfn.XLOOKUP(Tableau1[[#This Row],[TYPE DE PIECE]],Tableau4[MATIERE],Tableau4[SHORT TYPE],"",0,1)</f>
        <v/>
      </c>
      <c r="N12419">
        <f>IF(ISERR(FIND("DECOUPE",Tableau1[[#This Row],[DESIGNATION]])),"","NEED REF")</f>
        <v/>
      </c>
    </row>
    <row r="12420">
      <c r="B12420" t="n">
        <v>34401585</v>
      </c>
      <c r="C12420" s="2" t="n">
        <v>39526</v>
      </c>
      <c r="D12420" t="inlineStr">
        <is>
          <t>CDC</t>
        </is>
      </c>
      <c r="E12420" t="inlineStr">
        <is>
          <t>CDC ARMOIRE PMM BOITIER LANCTRONICS - SANS DJ</t>
        </is>
      </c>
      <c r="F12420" t="inlineStr">
        <is>
          <t>PMM</t>
        </is>
      </c>
      <c r="J12420" t="inlineStr">
        <is>
          <t>FOLTZ</t>
        </is>
      </c>
      <c r="L12420">
        <f>_xlfn.XLOOKUP(Tableau1[[#This Row],[TYPE DE PIECE]],Tableau4[MATIERE],Tableau4[SHORT TYPE],"",0,1)</f>
        <v/>
      </c>
      <c r="N12420">
        <f>IF(ISERR(FIND("DECOUPE",Tableau1[[#This Row],[DESIGNATION]])),"","NEED REF")</f>
        <v/>
      </c>
    </row>
    <row r="12421">
      <c r="B12421" t="n">
        <v>34401584</v>
      </c>
      <c r="C12421" s="2" t="n">
        <v>39525</v>
      </c>
      <c r="D12421" t="inlineStr">
        <is>
          <t>CDC</t>
        </is>
      </c>
      <c r="E12421" t="inlineStr">
        <is>
          <t>CDC ARMOIRE BY-PASS+TFO R1/R2 EN ARMOIRE APC</t>
        </is>
      </c>
      <c r="F12421" t="inlineStr">
        <is>
          <t>SYMMETRA PX 30kVA</t>
        </is>
      </c>
      <c r="J12421" t="inlineStr">
        <is>
          <t>ROBERT</t>
        </is>
      </c>
      <c r="L12421">
        <f>_xlfn.XLOOKUP(Tableau1[[#This Row],[TYPE DE PIECE]],Tableau4[MATIERE],Tableau4[SHORT TYPE],"",0,1)</f>
        <v/>
      </c>
      <c r="N12421">
        <f>IF(ISERR(FIND("DECOUPE",Tableau1[[#This Row],[DESIGNATION]])),"","NEED REF")</f>
        <v/>
      </c>
    </row>
    <row r="12422">
      <c r="B12422" t="n">
        <v>34401583</v>
      </c>
      <c r="C12422" s="2" t="n">
        <v>39525</v>
      </c>
      <c r="D12422" t="inlineStr">
        <is>
          <t>CDC</t>
        </is>
      </c>
      <c r="E12422" t="inlineStr">
        <is>
          <t>CDC ARMOIRE BY-PASS+TFO R1/R2 EN ARMOIRE APC</t>
        </is>
      </c>
      <c r="F12422" t="inlineStr">
        <is>
          <t>SYMMETRA PX 20kVA</t>
        </is>
      </c>
      <c r="J12422" t="inlineStr">
        <is>
          <t>ROBERT</t>
        </is>
      </c>
      <c r="L12422">
        <f>_xlfn.XLOOKUP(Tableau1[[#This Row],[TYPE DE PIECE]],Tableau4[MATIERE],Tableau4[SHORT TYPE],"",0,1)</f>
        <v/>
      </c>
      <c r="N12422">
        <f>IF(ISERR(FIND("DECOUPE",Tableau1[[#This Row],[DESIGNATION]])),"","NEED REF")</f>
        <v/>
      </c>
    </row>
    <row r="12423">
      <c r="B12423" t="n">
        <v>34401582</v>
      </c>
      <c r="C12423" s="2" t="n">
        <v>39524</v>
      </c>
      <c r="D12423" t="inlineStr">
        <is>
          <t>SPEC</t>
        </is>
      </c>
      <c r="E12423" t="inlineStr">
        <is>
          <t>RESERVE STS JAPON</t>
        </is>
      </c>
      <c r="J12423" t="inlineStr">
        <is>
          <t>ROBERT</t>
        </is>
      </c>
      <c r="L12423">
        <f>_xlfn.XLOOKUP(Tableau1[[#This Row],[TYPE DE PIECE]],Tableau4[MATIERE],Tableau4[SHORT TYPE],"",0,1)</f>
        <v/>
      </c>
      <c r="N12423">
        <f>IF(ISERR(FIND("DECOUPE",Tableau1[[#This Row],[DESIGNATION]])),"","NEED REF")</f>
        <v/>
      </c>
    </row>
    <row r="12424">
      <c r="B12424" t="n">
        <v>34401581</v>
      </c>
      <c r="C12424" s="2" t="n">
        <v>39524</v>
      </c>
      <c r="D12424" t="inlineStr">
        <is>
          <t>SPEC</t>
        </is>
      </c>
      <c r="E12424" t="inlineStr">
        <is>
          <t>RESERVE STS JAPON</t>
        </is>
      </c>
      <c r="J12424" t="inlineStr">
        <is>
          <t>ROBERT</t>
        </is>
      </c>
      <c r="L12424">
        <f>_xlfn.XLOOKUP(Tableau1[[#This Row],[TYPE DE PIECE]],Tableau4[MATIERE],Tableau4[SHORT TYPE],"",0,1)</f>
        <v/>
      </c>
      <c r="N12424">
        <f>IF(ISERR(FIND("DECOUPE",Tableau1[[#This Row],[DESIGNATION]])),"","NEED REF")</f>
        <v/>
      </c>
    </row>
    <row r="12425">
      <c r="B12425" t="n">
        <v>34401580</v>
      </c>
      <c r="C12425" s="2" t="n">
        <v>39524</v>
      </c>
      <c r="D12425" t="inlineStr">
        <is>
          <t>SPEC</t>
        </is>
      </c>
      <c r="E12425" t="inlineStr">
        <is>
          <t>RESERVE STS JAPON</t>
        </is>
      </c>
      <c r="J12425" t="inlineStr">
        <is>
          <t>ROBERT</t>
        </is>
      </c>
      <c r="L12425">
        <f>_xlfn.XLOOKUP(Tableau1[[#This Row],[TYPE DE PIECE]],Tableau4[MATIERE],Tableau4[SHORT TYPE],"",0,1)</f>
        <v/>
      </c>
      <c r="N12425">
        <f>IF(ISERR(FIND("DECOUPE",Tableau1[[#This Row],[DESIGNATION]])),"","NEED REF")</f>
        <v/>
      </c>
    </row>
    <row r="12426">
      <c r="B12426" t="n">
        <v>34401579</v>
      </c>
      <c r="C12426" s="2" t="n">
        <v>39524</v>
      </c>
      <c r="D12426" t="inlineStr">
        <is>
          <t>SPEC</t>
        </is>
      </c>
      <c r="E12426" t="inlineStr">
        <is>
          <t>RESERVE STS JAPON</t>
        </is>
      </c>
      <c r="J12426" t="inlineStr">
        <is>
          <t>ROBERT</t>
        </is>
      </c>
      <c r="L12426">
        <f>_xlfn.XLOOKUP(Tableau1[[#This Row],[TYPE DE PIECE]],Tableau4[MATIERE],Tableau4[SHORT TYPE],"",0,1)</f>
        <v/>
      </c>
      <c r="N12426">
        <f>IF(ISERR(FIND("DECOUPE",Tableau1[[#This Row],[DESIGNATION]])),"","NEED REF")</f>
        <v/>
      </c>
    </row>
    <row r="12427">
      <c r="B12427" t="n">
        <v>34401578</v>
      </c>
      <c r="C12427" s="2" t="n">
        <v>39524</v>
      </c>
      <c r="D12427" t="inlineStr">
        <is>
          <t>SPEC</t>
        </is>
      </c>
      <c r="E12427" t="inlineStr">
        <is>
          <t>RESERVE STS JAPON</t>
        </is>
      </c>
      <c r="J12427" t="inlineStr">
        <is>
          <t>ROBERT</t>
        </is>
      </c>
      <c r="L12427">
        <f>_xlfn.XLOOKUP(Tableau1[[#This Row],[TYPE DE PIECE]],Tableau4[MATIERE],Tableau4[SHORT TYPE],"",0,1)</f>
        <v/>
      </c>
      <c r="N12427">
        <f>IF(ISERR(FIND("DECOUPE",Tableau1[[#This Row],[DESIGNATION]])),"","NEED REF")</f>
        <v/>
      </c>
    </row>
    <row r="12428">
      <c r="B12428" t="n">
        <v>34401577</v>
      </c>
      <c r="C12428" s="2" t="n">
        <v>39524</v>
      </c>
      <c r="D12428" t="inlineStr">
        <is>
          <t>SPEC</t>
        </is>
      </c>
      <c r="E12428" t="inlineStr">
        <is>
          <t>RESERVE STS JAPON</t>
        </is>
      </c>
      <c r="J12428" t="inlineStr">
        <is>
          <t>ROBERT</t>
        </is>
      </c>
      <c r="L12428">
        <f>_xlfn.XLOOKUP(Tableau1[[#This Row],[TYPE DE PIECE]],Tableau4[MATIERE],Tableau4[SHORT TYPE],"",0,1)</f>
        <v/>
      </c>
      <c r="N12428">
        <f>IF(ISERR(FIND("DECOUPE",Tableau1[[#This Row],[DESIGNATION]])),"","NEED REF")</f>
        <v/>
      </c>
    </row>
    <row r="12429">
      <c r="B12429" t="n">
        <v>34401576</v>
      </c>
      <c r="C12429" s="2" t="n">
        <v>39524</v>
      </c>
      <c r="D12429" t="inlineStr">
        <is>
          <t>SPEC</t>
        </is>
      </c>
      <c r="E12429" t="inlineStr">
        <is>
          <t>RESERVE STS JAPON</t>
        </is>
      </c>
      <c r="J12429" t="inlineStr">
        <is>
          <t>ROBERT</t>
        </is>
      </c>
      <c r="L12429">
        <f>_xlfn.XLOOKUP(Tableau1[[#This Row],[TYPE DE PIECE]],Tableau4[MATIERE],Tableau4[SHORT TYPE],"",0,1)</f>
        <v/>
      </c>
      <c r="N12429">
        <f>IF(ISERR(FIND("DECOUPE",Tableau1[[#This Row],[DESIGNATION]])),"","NEED REF")</f>
        <v/>
      </c>
    </row>
    <row r="12430">
      <c r="B12430" t="n">
        <v>34401575</v>
      </c>
      <c r="C12430" s="2" t="n">
        <v>39524</v>
      </c>
      <c r="D12430" t="inlineStr">
        <is>
          <t>SPEC</t>
        </is>
      </c>
      <c r="E12430" t="inlineStr">
        <is>
          <t>RESERVE STS JAPON</t>
        </is>
      </c>
      <c r="J12430" t="inlineStr">
        <is>
          <t>ROBERT</t>
        </is>
      </c>
      <c r="L12430">
        <f>_xlfn.XLOOKUP(Tableau1[[#This Row],[TYPE DE PIECE]],Tableau4[MATIERE],Tableau4[SHORT TYPE],"",0,1)</f>
        <v/>
      </c>
      <c r="N12430">
        <f>IF(ISERR(FIND("DECOUPE",Tableau1[[#This Row],[DESIGNATION]])),"","NEED REF")</f>
        <v/>
      </c>
    </row>
    <row r="12431">
      <c r="B12431" t="n">
        <v>34401574</v>
      </c>
      <c r="C12431" s="2" t="n">
        <v>39518</v>
      </c>
      <c r="D12431" t="inlineStr">
        <is>
          <t>NOM</t>
        </is>
      </c>
      <c r="E12431" t="inlineStr">
        <is>
          <t xml:space="preserve">LG DOUBLE PONT 300kVA POUR ONDULEUR A ADAPTER </t>
        </is>
      </c>
      <c r="F12431" t="inlineStr">
        <is>
          <t>GALAXY 6000-9000</t>
        </is>
      </c>
      <c r="J12431" t="inlineStr">
        <is>
          <t>FOLTZ</t>
        </is>
      </c>
      <c r="L12431">
        <f>_xlfn.XLOOKUP(Tableau1[[#This Row],[TYPE DE PIECE]],Tableau4[MATIERE],Tableau4[SHORT TYPE],"",0,1)</f>
        <v/>
      </c>
      <c r="N12431">
        <f>IF(ISERR(FIND("DECOUPE",Tableau1[[#This Row],[DESIGNATION]])),"","NEED REF")</f>
        <v/>
      </c>
    </row>
    <row r="12432">
      <c r="B12432" t="n">
        <v>34401573</v>
      </c>
      <c r="C12432" s="2" t="n">
        <v>39518</v>
      </c>
      <c r="D12432" t="inlineStr">
        <is>
          <t>NOM</t>
        </is>
      </c>
      <c r="E12432" t="inlineStr">
        <is>
          <t>LG SERRURE DOUBLE BARRE 3MM RONIS (attention instrution particulière)</t>
        </is>
      </c>
      <c r="F12432" t="inlineStr">
        <is>
          <t>GALAXY 6000-9000</t>
        </is>
      </c>
      <c r="J12432" t="inlineStr">
        <is>
          <t>MATRION</t>
        </is>
      </c>
      <c r="L12432">
        <f>_xlfn.XLOOKUP(Tableau1[[#This Row],[TYPE DE PIECE]],Tableau4[MATIERE],Tableau4[SHORT TYPE],"",0,1)</f>
        <v/>
      </c>
      <c r="N12432">
        <f>IF(ISERR(FIND("DECOUPE",Tableau1[[#This Row],[DESIGNATION]])),"","NEED REF")</f>
        <v/>
      </c>
    </row>
    <row r="12433">
      <c r="B12433" t="n">
        <v>34401572</v>
      </c>
      <c r="C12433" s="2" t="n">
        <v>39517</v>
      </c>
      <c r="D12433" t="inlineStr">
        <is>
          <t>NOM</t>
        </is>
      </c>
      <c r="E12433" t="inlineStr">
        <is>
          <t>THM G900 DOUBLE PONT</t>
        </is>
      </c>
      <c r="F12433" t="inlineStr">
        <is>
          <t>GALAXY 6000-9000</t>
        </is>
      </c>
      <c r="J12433" t="inlineStr">
        <is>
          <t>FOLTZ</t>
        </is>
      </c>
      <c r="L12433">
        <f>_xlfn.XLOOKUP(Tableau1[[#This Row],[TYPE DE PIECE]],Tableau4[MATIERE],Tableau4[SHORT TYPE],"",0,1)</f>
        <v/>
      </c>
      <c r="N12433">
        <f>IF(ISERR(FIND("DECOUPE",Tableau1[[#This Row],[DESIGNATION]])),"","NEED REF")</f>
        <v/>
      </c>
    </row>
    <row r="12434">
      <c r="B12434" t="n">
        <v>34401571</v>
      </c>
      <c r="C12434" s="2" t="n">
        <v>39513</v>
      </c>
      <c r="D12434" t="inlineStr">
        <is>
          <t>CDC</t>
        </is>
      </c>
      <c r="E12434" t="inlineStr">
        <is>
          <t>CDC 3xDJ Batt 500kVA en Armoire PW 1000</t>
        </is>
      </c>
      <c r="F12434" t="inlineStr">
        <is>
          <t>GALAXY PW</t>
        </is>
      </c>
      <c r="J12434" t="inlineStr">
        <is>
          <t>MATRION</t>
        </is>
      </c>
      <c r="L12434">
        <f>_xlfn.XLOOKUP(Tableau1[[#This Row],[TYPE DE PIECE]],Tableau4[MATIERE],Tableau4[SHORT TYPE],"",0,1)</f>
        <v/>
      </c>
      <c r="N12434">
        <f>IF(ISERR(FIND("DECOUPE",Tableau1[[#This Row],[DESIGNATION]])),"","NEED REF")</f>
        <v/>
      </c>
    </row>
    <row r="12435">
      <c r="B12435" t="n">
        <v>34401570</v>
      </c>
      <c r="C12435" s="2" t="n">
        <v>39513</v>
      </c>
      <c r="D12435" t="inlineStr">
        <is>
          <t>CDC</t>
        </is>
      </c>
      <c r="E12435" t="inlineStr">
        <is>
          <t>CDC skid pw 200kVA</t>
        </is>
      </c>
      <c r="F12435" t="inlineStr">
        <is>
          <t>AKER YARD D33</t>
        </is>
      </c>
      <c r="J12435" t="inlineStr">
        <is>
          <t>ROBERT</t>
        </is>
      </c>
      <c r="L12435">
        <f>_xlfn.XLOOKUP(Tableau1[[#This Row],[TYPE DE PIECE]],Tableau4[MATIERE],Tableau4[SHORT TYPE],"",0,1)</f>
        <v/>
      </c>
      <c r="N12435">
        <f>IF(ISERR(FIND("DECOUPE",Tableau1[[#This Row],[DESIGNATION]])),"","NEED REF")</f>
        <v/>
      </c>
    </row>
    <row r="12436">
      <c r="B12436" t="n">
        <v>34401569</v>
      </c>
      <c r="C12436" s="2" t="n">
        <v>39512</v>
      </c>
      <c r="D12436" t="inlineStr">
        <is>
          <t>CDC</t>
        </is>
      </c>
      <c r="E12436" t="inlineStr">
        <is>
          <t>St modification toit arm aux (pas de CDC)</t>
        </is>
      </c>
      <c r="F12436" t="inlineStr">
        <is>
          <t>MGE NORWAY</t>
        </is>
      </c>
      <c r="J12436" t="inlineStr">
        <is>
          <t>ROBERT</t>
        </is>
      </c>
      <c r="L12436">
        <f>_xlfn.XLOOKUP(Tableau1[[#This Row],[TYPE DE PIECE]],Tableau4[MATIERE],Tableau4[SHORT TYPE],"",0,1)</f>
        <v/>
      </c>
      <c r="N12436">
        <f>IF(ISERR(FIND("DECOUPE",Tableau1[[#This Row],[DESIGNATION]])),"","NEED REF")</f>
        <v/>
      </c>
    </row>
    <row r="12437">
      <c r="B12437" t="n">
        <v>34401568</v>
      </c>
      <c r="C12437" s="2" t="n">
        <v>39511</v>
      </c>
      <c r="D12437" t="inlineStr">
        <is>
          <t>SPEC</t>
        </is>
      </c>
      <c r="E12437" t="inlineStr">
        <is>
          <t>Plastron N°3</t>
        </is>
      </c>
      <c r="F12437" t="inlineStr">
        <is>
          <t>SPSE</t>
        </is>
      </c>
      <c r="J12437" t="inlineStr">
        <is>
          <t>ROBERT</t>
        </is>
      </c>
      <c r="L12437">
        <f>_xlfn.XLOOKUP(Tableau1[[#This Row],[TYPE DE PIECE]],Tableau4[MATIERE],Tableau4[SHORT TYPE],"",0,1)</f>
        <v/>
      </c>
      <c r="N12437">
        <f>IF(ISERR(FIND("DECOUPE",Tableau1[[#This Row],[DESIGNATION]])),"","NEED REF")</f>
        <v/>
      </c>
    </row>
    <row r="12438">
      <c r="B12438" t="n">
        <v>34401567</v>
      </c>
      <c r="C12438" s="2" t="n">
        <v>39511</v>
      </c>
      <c r="D12438" t="inlineStr">
        <is>
          <t>SPEC</t>
        </is>
      </c>
      <c r="E12438" t="inlineStr">
        <is>
          <t>Plastron N°2</t>
        </is>
      </c>
      <c r="F12438" t="inlineStr">
        <is>
          <t>SPSE</t>
        </is>
      </c>
      <c r="J12438" t="inlineStr">
        <is>
          <t>ROBERT</t>
        </is>
      </c>
      <c r="L12438">
        <f>_xlfn.XLOOKUP(Tableau1[[#This Row],[TYPE DE PIECE]],Tableau4[MATIERE],Tableau4[SHORT TYPE],"",0,1)</f>
        <v/>
      </c>
      <c r="N12438">
        <f>IF(ISERR(FIND("DECOUPE",Tableau1[[#This Row],[DESIGNATION]])),"","NEED REF")</f>
        <v/>
      </c>
    </row>
    <row r="12439">
      <c r="B12439" t="n">
        <v>34401566</v>
      </c>
      <c r="C12439" s="2" t="n">
        <v>39511</v>
      </c>
      <c r="D12439" t="inlineStr">
        <is>
          <t>SPEC</t>
        </is>
      </c>
      <c r="E12439" t="inlineStr">
        <is>
          <t>Plastron N°1</t>
        </is>
      </c>
      <c r="F12439" t="inlineStr">
        <is>
          <t>SPSE</t>
        </is>
      </c>
      <c r="J12439" t="inlineStr">
        <is>
          <t>ROBERT</t>
        </is>
      </c>
      <c r="L12439">
        <f>_xlfn.XLOOKUP(Tableau1[[#This Row],[TYPE DE PIECE]],Tableau4[MATIERE],Tableau4[SHORT TYPE],"",0,1)</f>
        <v/>
      </c>
      <c r="N12439">
        <f>IF(ISERR(FIND("DECOUPE",Tableau1[[#This Row],[DESIGNATION]])),"","NEED REF")</f>
        <v/>
      </c>
    </row>
    <row r="12440">
      <c r="B12440" t="n">
        <v>34401565</v>
      </c>
      <c r="C12440" s="2" t="n">
        <v>39507</v>
      </c>
      <c r="D12440" t="inlineStr">
        <is>
          <t>NOM</t>
        </is>
      </c>
      <c r="E12440" t="inlineStr">
        <is>
          <t>LG BY-PASS+COUPLAGE BATT 30kVA RACC HAUT ALCATEL G5K</t>
        </is>
      </c>
      <c r="F12440" t="inlineStr">
        <is>
          <t>GALAXY 5000 ALCATEL</t>
        </is>
      </c>
      <c r="J12440" t="inlineStr">
        <is>
          <t>FOLTZ</t>
        </is>
      </c>
      <c r="L12440">
        <f>_xlfn.XLOOKUP(Tableau1[[#This Row],[TYPE DE PIECE]],Tableau4[MATIERE],Tableau4[SHORT TYPE],"",0,1)</f>
        <v/>
      </c>
      <c r="N12440">
        <f>IF(ISERR(FIND("DECOUPE",Tableau1[[#This Row],[DESIGNATION]])),"","NEED REF")</f>
        <v/>
      </c>
    </row>
    <row r="12441">
      <c r="B12441" t="n">
        <v>34401564</v>
      </c>
      <c r="C12441" s="2" t="n">
        <v>39504</v>
      </c>
      <c r="D12441" t="inlineStr">
        <is>
          <t>SPEC</t>
        </is>
      </c>
      <c r="E12441" t="inlineStr">
        <is>
          <t>INVERSEUR DE SOURCE 800A AUTOMATISME UA 230V</t>
        </is>
      </c>
      <c r="F12441" t="inlineStr">
        <is>
          <t>CEGELEC</t>
        </is>
      </c>
      <c r="J12441" t="inlineStr">
        <is>
          <t>FOLTZ</t>
        </is>
      </c>
      <c r="L12441">
        <f>_xlfn.XLOOKUP(Tableau1[[#This Row],[TYPE DE PIECE]],Tableau4[MATIERE],Tableau4[SHORT TYPE],"",0,1)</f>
        <v/>
      </c>
      <c r="N12441">
        <f>IF(ISERR(FIND("DECOUPE",Tableau1[[#This Row],[DESIGNATION]])),"","NEED REF")</f>
        <v/>
      </c>
    </row>
    <row r="12442">
      <c r="B12442" t="n">
        <v>34401563</v>
      </c>
      <c r="C12442" s="2" t="n">
        <v>39504</v>
      </c>
      <c r="D12442" t="inlineStr">
        <is>
          <t>NOTICE</t>
        </is>
      </c>
      <c r="E12442" t="inlineStr">
        <is>
          <t>Notice d'installation et d'utilisation STS JAPON (toutes gammes)</t>
        </is>
      </c>
      <c r="F12442" t="inlineStr">
        <is>
          <t>STS JAPON</t>
        </is>
      </c>
      <c r="J12442" t="inlineStr">
        <is>
          <t>ROBERT</t>
        </is>
      </c>
      <c r="L12442">
        <f>_xlfn.XLOOKUP(Tableau1[[#This Row],[TYPE DE PIECE]],Tableau4[MATIERE],Tableau4[SHORT TYPE],"",0,1)</f>
        <v/>
      </c>
      <c r="N12442">
        <f>IF(ISERR(FIND("DECOUPE",Tableau1[[#This Row],[DESIGNATION]])),"","NEED REF")</f>
        <v/>
      </c>
    </row>
    <row r="12443">
      <c r="B12443" t="n">
        <v>34401562</v>
      </c>
      <c r="C12443" s="2" t="n">
        <v>39504</v>
      </c>
      <c r="D12443" t="inlineStr">
        <is>
          <t>NOTICE</t>
        </is>
      </c>
      <c r="E12443" t="inlineStr">
        <is>
          <t>Notice déballage STS JAPON (toutes gammes)</t>
        </is>
      </c>
      <c r="F12443" t="inlineStr">
        <is>
          <t>STS JAPON</t>
        </is>
      </c>
      <c r="J12443" t="inlineStr">
        <is>
          <t>ROBERT</t>
        </is>
      </c>
      <c r="L12443">
        <f>_xlfn.XLOOKUP(Tableau1[[#This Row],[TYPE DE PIECE]],Tableau4[MATIERE],Tableau4[SHORT TYPE],"",0,1)</f>
        <v/>
      </c>
      <c r="N12443">
        <f>IF(ISERR(FIND("DECOUPE",Tableau1[[#This Row],[DESIGNATION]])),"","NEED REF")</f>
        <v/>
      </c>
    </row>
    <row r="12444">
      <c r="B12444" t="n">
        <v>34401561</v>
      </c>
      <c r="C12444" s="2" t="n">
        <v>39503</v>
      </c>
      <c r="D12444" t="inlineStr">
        <is>
          <t>SPEC</t>
        </is>
      </c>
      <c r="E12444" t="inlineStr">
        <is>
          <t xml:space="preserve">Renfort lateral N°4  </t>
        </is>
      </c>
      <c r="F12444" t="inlineStr">
        <is>
          <t>STS JAPON</t>
        </is>
      </c>
      <c r="J12444" t="inlineStr">
        <is>
          <t>ROBERT</t>
        </is>
      </c>
      <c r="L12444">
        <f>_xlfn.XLOOKUP(Tableau1[[#This Row],[TYPE DE PIECE]],Tableau4[MATIERE],Tableau4[SHORT TYPE],"",0,1)</f>
        <v/>
      </c>
      <c r="N12444">
        <f>IF(ISERR(FIND("DECOUPE",Tableau1[[#This Row],[DESIGNATION]])),"","NEED REF")</f>
        <v/>
      </c>
    </row>
    <row r="12445">
      <c r="B12445" t="n">
        <v>34401560</v>
      </c>
      <c r="C12445" s="2" t="n">
        <v>39503</v>
      </c>
      <c r="D12445" t="inlineStr">
        <is>
          <t>SPEC</t>
        </is>
      </c>
      <c r="E12445" t="inlineStr">
        <is>
          <t>Renfort AR N°3</t>
        </is>
      </c>
      <c r="F12445" t="inlineStr">
        <is>
          <t>STS JAPON</t>
        </is>
      </c>
      <c r="J12445" t="inlineStr">
        <is>
          <t>ROBERT</t>
        </is>
      </c>
      <c r="L12445">
        <f>_xlfn.XLOOKUP(Tableau1[[#This Row],[TYPE DE PIECE]],Tableau4[MATIERE],Tableau4[SHORT TYPE],"",0,1)</f>
        <v/>
      </c>
      <c r="N12445">
        <f>IF(ISERR(FIND("DECOUPE",Tableau1[[#This Row],[DESIGNATION]])),"","NEED REF")</f>
        <v/>
      </c>
    </row>
    <row r="12446">
      <c r="B12446" t="n">
        <v>34401559</v>
      </c>
      <c r="C12446" s="2" t="n">
        <v>39503</v>
      </c>
      <c r="D12446" t="inlineStr">
        <is>
          <t>SPEC</t>
        </is>
      </c>
      <c r="E12446" t="inlineStr">
        <is>
          <t>Renfort bas N°2</t>
        </is>
      </c>
      <c r="F12446" t="inlineStr">
        <is>
          <t>STS JAPON</t>
        </is>
      </c>
      <c r="J12446" t="inlineStr">
        <is>
          <t>ROBERT</t>
        </is>
      </c>
      <c r="L12446">
        <f>_xlfn.XLOOKUP(Tableau1[[#This Row],[TYPE DE PIECE]],Tableau4[MATIERE],Tableau4[SHORT TYPE],"",0,1)</f>
        <v/>
      </c>
      <c r="N12446">
        <f>IF(ISERR(FIND("DECOUPE",Tableau1[[#This Row],[DESIGNATION]])),"","NEED REF")</f>
        <v/>
      </c>
    </row>
    <row r="12447">
      <c r="B12447" t="n">
        <v>34401558</v>
      </c>
      <c r="C12447" s="2" t="n">
        <v>39503</v>
      </c>
      <c r="D12447" t="inlineStr">
        <is>
          <t>SPEC</t>
        </is>
      </c>
      <c r="E12447" t="inlineStr">
        <is>
          <t xml:space="preserve">Renfort lateral N°1  </t>
        </is>
      </c>
      <c r="F12447" t="inlineStr">
        <is>
          <t>STS JAPON</t>
        </is>
      </c>
      <c r="J12447" t="inlineStr">
        <is>
          <t>ROBERT</t>
        </is>
      </c>
      <c r="L12447">
        <f>_xlfn.XLOOKUP(Tableau1[[#This Row],[TYPE DE PIECE]],Tableau4[MATIERE],Tableau4[SHORT TYPE],"",0,1)</f>
        <v/>
      </c>
      <c r="N12447">
        <f>IF(ISERR(FIND("DECOUPE",Tableau1[[#This Row],[DESIGNATION]])),"","NEED REF")</f>
        <v/>
      </c>
    </row>
    <row r="12448">
      <c r="B12448" t="n">
        <v>34401557</v>
      </c>
      <c r="C12448" s="2" t="n">
        <v>39500</v>
      </c>
      <c r="D12448" t="inlineStr">
        <is>
          <t>NOM</t>
        </is>
      </c>
      <c r="E12448" t="inlineStr">
        <is>
          <t>LG BY-PASS 600kVA DOUBLE MODULAIRE</t>
        </is>
      </c>
      <c r="F12448" t="inlineStr">
        <is>
          <t>GALAXY 6000 MODULAIRE</t>
        </is>
      </c>
      <c r="J12448" t="inlineStr">
        <is>
          <t>FOLTZ</t>
        </is>
      </c>
      <c r="L12448">
        <f>_xlfn.XLOOKUP(Tableau1[[#This Row],[TYPE DE PIECE]],Tableau4[MATIERE],Tableau4[SHORT TYPE],"",0,1)</f>
        <v/>
      </c>
      <c r="N12448">
        <f>IF(ISERR(FIND("DECOUPE",Tableau1[[#This Row],[DESIGNATION]])),"","NEED REF")</f>
        <v/>
      </c>
    </row>
    <row r="12449">
      <c r="B12449" t="n">
        <v>34401556</v>
      </c>
      <c r="C12449" s="2" t="n">
        <v>39498</v>
      </c>
      <c r="D12449" t="inlineStr">
        <is>
          <t>SPEC</t>
        </is>
      </c>
      <c r="E12449" t="inlineStr">
        <is>
          <t xml:space="preserve">DECOUPE COFFRET DJ BAT AJOUT PLAQUE PE EN  HAUT </t>
        </is>
      </c>
      <c r="F12449" t="inlineStr">
        <is>
          <t>COF DJ BAT GALAXY</t>
        </is>
      </c>
      <c r="J12449" t="inlineStr">
        <is>
          <t>REVEL</t>
        </is>
      </c>
      <c r="L12449">
        <f>_xlfn.XLOOKUP(Tableau1[[#This Row],[TYPE DE PIECE]],Tableau4[MATIERE],Tableau4[SHORT TYPE],"",0,1)</f>
        <v/>
      </c>
      <c r="N12449">
        <f>IF(ISERR(FIND("DECOUPE",Tableau1[[#This Row],[DESIGNATION]])),"","NEED REF")</f>
        <v/>
      </c>
    </row>
    <row r="12450">
      <c r="B12450" t="n">
        <v>34401555</v>
      </c>
      <c r="C12450" s="2" t="n">
        <v>39497</v>
      </c>
      <c r="D12450" t="inlineStr">
        <is>
          <t>NOM</t>
        </is>
      </c>
      <c r="E12450" t="inlineStr">
        <is>
          <t>LG BYPASS 600kVA option TNC + Schéma</t>
        </is>
      </c>
      <c r="F12450" t="inlineStr">
        <is>
          <t>BYPASS G5000 600kVA</t>
        </is>
      </c>
      <c r="J12450" t="inlineStr">
        <is>
          <t>MATRION</t>
        </is>
      </c>
      <c r="L12450">
        <f>_xlfn.XLOOKUP(Tableau1[[#This Row],[TYPE DE PIECE]],Tableau4[MATIERE],Tableau4[SHORT TYPE],"",0,1)</f>
        <v/>
      </c>
      <c r="N12450">
        <f>IF(ISERR(FIND("DECOUPE",Tableau1[[#This Row],[DESIGNATION]])),"","NEED REF")</f>
        <v/>
      </c>
    </row>
    <row r="12451">
      <c r="B12451" t="n">
        <v>34401554</v>
      </c>
      <c r="C12451" s="2" t="n">
        <v>39497</v>
      </c>
      <c r="D12451" t="inlineStr">
        <is>
          <t>NOM</t>
        </is>
      </c>
      <c r="E12451" t="inlineStr">
        <is>
          <t>LG BYPASS 600kVA TNS + Schéma</t>
        </is>
      </c>
      <c r="F12451" t="inlineStr">
        <is>
          <t>BYPASS G5000 600kVA</t>
        </is>
      </c>
      <c r="J12451" t="inlineStr">
        <is>
          <t>MATRION</t>
        </is>
      </c>
      <c r="L12451">
        <f>_xlfn.XLOOKUP(Tableau1[[#This Row],[TYPE DE PIECE]],Tableau4[MATIERE],Tableau4[SHORT TYPE],"",0,1)</f>
        <v/>
      </c>
      <c r="N12451">
        <f>IF(ISERR(FIND("DECOUPE",Tableau1[[#This Row],[DESIGNATION]])),"","NEED REF")</f>
        <v/>
      </c>
    </row>
    <row r="12452">
      <c r="B12452" t="n">
        <v>34401553</v>
      </c>
      <c r="C12452" s="2" t="n">
        <v>39492</v>
      </c>
      <c r="D12452" t="inlineStr">
        <is>
          <t>ST</t>
        </is>
      </c>
      <c r="E12452" t="inlineStr">
        <is>
          <t>OPTION RACCORDEMENT GAINE A BARRE NS2000LIGHT</t>
        </is>
      </c>
      <c r="F12452" t="inlineStr">
        <is>
          <t>NS2000 LIGHT</t>
        </is>
      </c>
      <c r="J12452" t="inlineStr">
        <is>
          <t>FOLTZ</t>
        </is>
      </c>
      <c r="L12452">
        <f>_xlfn.XLOOKUP(Tableau1[[#This Row],[TYPE DE PIECE]],Tableau4[MATIERE],Tableau4[SHORT TYPE],"",0,1)</f>
        <v/>
      </c>
      <c r="N12452">
        <f>IF(ISERR(FIND("DECOUPE",Tableau1[[#This Row],[DESIGNATION]])),"","NEED REF")</f>
        <v/>
      </c>
    </row>
    <row r="12453">
      <c r="B12453" t="n">
        <v>34401552</v>
      </c>
      <c r="C12453" s="2" t="n">
        <v>39492</v>
      </c>
      <c r="D12453" t="inlineStr">
        <is>
          <t>CDC</t>
        </is>
      </c>
      <c r="E12453" t="inlineStr">
        <is>
          <t>ADAPTATION DP 800KVA POUR ASI 600KVA</t>
        </is>
      </c>
      <c r="F12453" t="inlineStr">
        <is>
          <t>GALAXY 600KVA</t>
        </is>
      </c>
      <c r="J12453" t="inlineStr">
        <is>
          <t>REVEL</t>
        </is>
      </c>
      <c r="L12453">
        <f>_xlfn.XLOOKUP(Tableau1[[#This Row],[TYPE DE PIECE]],Tableau4[MATIERE],Tableau4[SHORT TYPE],"",0,1)</f>
        <v/>
      </c>
      <c r="N12453">
        <f>IF(ISERR(FIND("DECOUPE",Tableau1[[#This Row],[DESIGNATION]])),"","NEED REF")</f>
        <v/>
      </c>
    </row>
    <row r="12454">
      <c r="B12454" t="n">
        <v>34401551</v>
      </c>
      <c r="C12454" s="2" t="n">
        <v>39492</v>
      </c>
      <c r="D12454" t="inlineStr">
        <is>
          <t>NOM</t>
        </is>
      </c>
      <c r="E12454" t="inlineStr">
        <is>
          <t xml:space="preserve">LG NS2000 Light option TNC avec VISION </t>
        </is>
      </c>
      <c r="F12454" t="inlineStr">
        <is>
          <t>NS2000kVA</t>
        </is>
      </c>
      <c r="J12454" t="inlineStr">
        <is>
          <t>FOLTZ</t>
        </is>
      </c>
      <c r="L12454">
        <f>_xlfn.XLOOKUP(Tableau1[[#This Row],[TYPE DE PIECE]],Tableau4[MATIERE],Tableau4[SHORT TYPE],"",0,1)</f>
        <v/>
      </c>
      <c r="N12454">
        <f>IF(ISERR(FIND("DECOUPE",Tableau1[[#This Row],[DESIGNATION]])),"","NEED REF")</f>
        <v/>
      </c>
    </row>
    <row r="12455">
      <c r="B12455" t="n">
        <v>34401550</v>
      </c>
      <c r="C12455" s="2" t="n">
        <v>39492</v>
      </c>
      <c r="D12455" t="inlineStr">
        <is>
          <t>NOM</t>
        </is>
      </c>
      <c r="E12455" t="inlineStr">
        <is>
          <t>LG NS2000 Light avec option TNC</t>
        </is>
      </c>
      <c r="F12455" t="inlineStr">
        <is>
          <t>NS2000kVA</t>
        </is>
      </c>
      <c r="J12455" t="inlineStr">
        <is>
          <t>FOLTZ</t>
        </is>
      </c>
      <c r="L12455">
        <f>_xlfn.XLOOKUP(Tableau1[[#This Row],[TYPE DE PIECE]],Tableau4[MATIERE],Tableau4[SHORT TYPE],"",0,1)</f>
        <v/>
      </c>
      <c r="N12455">
        <f>IF(ISERR(FIND("DECOUPE",Tableau1[[#This Row],[DESIGNATION]])),"","NEED REF")</f>
        <v/>
      </c>
    </row>
    <row r="12456">
      <c r="B12456" t="n">
        <v>34401549</v>
      </c>
      <c r="C12456" s="2" t="n">
        <v>39127</v>
      </c>
      <c r="D12456" t="inlineStr">
        <is>
          <t>NOM</t>
        </is>
      </c>
      <c r="E12456" t="inlineStr">
        <is>
          <t>KIT TRANSFORMATION FAH 80/120 en FAHD 80/120</t>
        </is>
      </c>
      <c r="F12456" t="inlineStr">
        <is>
          <t>GALAXY PW</t>
        </is>
      </c>
      <c r="J12456" t="inlineStr">
        <is>
          <t>MATRION</t>
        </is>
      </c>
      <c r="L12456">
        <f>_xlfn.XLOOKUP(Tableau1[[#This Row],[TYPE DE PIECE]],Tableau4[MATIERE],Tableau4[SHORT TYPE],"",0,1)</f>
        <v/>
      </c>
      <c r="N12456">
        <f>IF(ISERR(FIND("DECOUPE",Tableau1[[#This Row],[DESIGNATION]])),"","NEED REF")</f>
        <v/>
      </c>
    </row>
    <row r="12457">
      <c r="B12457" t="n">
        <v>34401548</v>
      </c>
      <c r="C12457" s="2" t="n">
        <v>39127</v>
      </c>
      <c r="D12457" t="inlineStr">
        <is>
          <t>NOM</t>
        </is>
      </c>
      <c r="E12457" t="inlineStr">
        <is>
          <t>KIT TRANSFORMATION FAH 200 en FAHD 200</t>
        </is>
      </c>
      <c r="F12457" t="inlineStr">
        <is>
          <t>GALAXY PW</t>
        </is>
      </c>
      <c r="J12457" t="inlineStr">
        <is>
          <t>MATRION</t>
        </is>
      </c>
      <c r="L12457">
        <f>_xlfn.XLOOKUP(Tableau1[[#This Row],[TYPE DE PIECE]],Tableau4[MATIERE],Tableau4[SHORT TYPE],"",0,1)</f>
        <v/>
      </c>
      <c r="N12457">
        <f>IF(ISERR(FIND("DECOUPE",Tableau1[[#This Row],[DESIGNATION]])),"","NEED REF")</f>
        <v/>
      </c>
    </row>
    <row r="12458">
      <c r="B12458" t="n">
        <v>34401547</v>
      </c>
      <c r="C12458" s="2" t="n">
        <v>39127</v>
      </c>
      <c r="D12458" t="inlineStr">
        <is>
          <t>NOM</t>
        </is>
      </c>
      <c r="E12458" t="inlineStr">
        <is>
          <t>KIT TRANSFORMATION FAH 300 en FAHD 300</t>
        </is>
      </c>
      <c r="F12458" t="inlineStr">
        <is>
          <t>GALAXY 6000</t>
        </is>
      </c>
      <c r="J12458" t="inlineStr">
        <is>
          <t>MATRION</t>
        </is>
      </c>
      <c r="L12458">
        <f>_xlfn.XLOOKUP(Tableau1[[#This Row],[TYPE DE PIECE]],Tableau4[MATIERE],Tableau4[SHORT TYPE],"",0,1)</f>
        <v/>
      </c>
      <c r="N12458">
        <f>IF(ISERR(FIND("DECOUPE",Tableau1[[#This Row],[DESIGNATION]])),"","NEED REF")</f>
        <v/>
      </c>
    </row>
    <row r="12459">
      <c r="B12459" t="n">
        <v>34401546</v>
      </c>
      <c r="C12459" s="2" t="n">
        <v>39127</v>
      </c>
      <c r="D12459" t="inlineStr">
        <is>
          <t>NOM</t>
        </is>
      </c>
      <c r="E12459" t="inlineStr">
        <is>
          <t>KIT TRANSFORMATION FAH 400 en FAHD 400</t>
        </is>
      </c>
      <c r="F12459" t="inlineStr">
        <is>
          <t>GALAXY 6000</t>
        </is>
      </c>
      <c r="J12459" t="inlineStr">
        <is>
          <t>MATRION</t>
        </is>
      </c>
      <c r="L12459">
        <f>_xlfn.XLOOKUP(Tableau1[[#This Row],[TYPE DE PIECE]],Tableau4[MATIERE],Tableau4[SHORT TYPE],"",0,1)</f>
        <v/>
      </c>
      <c r="N12459">
        <f>IF(ISERR(FIND("DECOUPE",Tableau1[[#This Row],[DESIGNATION]])),"","NEED REF")</f>
        <v/>
      </c>
    </row>
    <row r="12460">
      <c r="B12460" t="n">
        <v>34401545</v>
      </c>
      <c r="C12460" s="2" t="n">
        <v>39127</v>
      </c>
      <c r="D12460" t="inlineStr">
        <is>
          <t>SPEC</t>
        </is>
      </c>
      <c r="E12460" t="inlineStr">
        <is>
          <t>SPECIFICATION NW32 K2S NS2000 LIGHT</t>
        </is>
      </c>
      <c r="F12460" t="inlineStr">
        <is>
          <t>NS 2000kVA</t>
        </is>
      </c>
      <c r="J12460" t="inlineStr">
        <is>
          <t>FOLTZ</t>
        </is>
      </c>
      <c r="L12460">
        <f>_xlfn.XLOOKUP(Tableau1[[#This Row],[TYPE DE PIECE]],Tableau4[MATIERE],Tableau4[SHORT TYPE],"",0,1)</f>
        <v/>
      </c>
      <c r="N12460">
        <f>IF(ISERR(FIND("DECOUPE",Tableau1[[#This Row],[DESIGNATION]])),"","NEED REF")</f>
        <v/>
      </c>
    </row>
    <row r="12461">
      <c r="B12461" t="n">
        <v>34401544</v>
      </c>
      <c r="C12461" s="2" t="n">
        <v>39491</v>
      </c>
      <c r="D12461" t="inlineStr">
        <is>
          <t>CDC</t>
        </is>
      </c>
      <c r="E12461" t="inlineStr">
        <is>
          <t>CDC ARM BY-PASS+TFO R2</t>
        </is>
      </c>
      <c r="F12461" t="inlineStr">
        <is>
          <t>GAL PW 1000</t>
        </is>
      </c>
      <c r="J12461" t="inlineStr">
        <is>
          <t>ROBERT</t>
        </is>
      </c>
      <c r="L12461">
        <f>_xlfn.XLOOKUP(Tableau1[[#This Row],[TYPE DE PIECE]],Tableau4[MATIERE],Tableau4[SHORT TYPE],"",0,1)</f>
        <v/>
      </c>
      <c r="N12461">
        <f>IF(ISERR(FIND("DECOUPE",Tableau1[[#This Row],[DESIGNATION]])),"","NEED REF")</f>
        <v/>
      </c>
    </row>
    <row r="12462">
      <c r="B12462" t="n">
        <v>34401543</v>
      </c>
      <c r="C12462" s="2" t="n">
        <v>39486</v>
      </c>
      <c r="D12462" t="inlineStr">
        <is>
          <t>CDC</t>
        </is>
      </c>
      <c r="E12462" t="inlineStr">
        <is>
          <t>PMM 110 DEPARTS 5 GROUPES</t>
        </is>
      </c>
      <c r="F12462" t="inlineStr">
        <is>
          <t xml:space="preserve">TOUTES </t>
        </is>
      </c>
      <c r="J12462" t="inlineStr">
        <is>
          <t>ÇAKIR</t>
        </is>
      </c>
      <c r="L12462">
        <f>_xlfn.XLOOKUP(Tableau1[[#This Row],[TYPE DE PIECE]],Tableau4[MATIERE],Tableau4[SHORT TYPE],"",0,1)</f>
        <v/>
      </c>
      <c r="N12462">
        <f>IF(ISERR(FIND("DECOUPE",Tableau1[[#This Row],[DESIGNATION]])),"","NEED REF")</f>
        <v/>
      </c>
    </row>
    <row r="12463">
      <c r="B12463" t="n">
        <v>34401542</v>
      </c>
      <c r="C12463" s="2" t="n">
        <v>39485</v>
      </c>
      <c r="D12463" t="inlineStr">
        <is>
          <t>SPEC</t>
        </is>
      </c>
      <c r="E12463" t="inlineStr">
        <is>
          <t>ATFO PHASE SHIFTING 598kVA  BI N2=-20°/-24°</t>
        </is>
      </c>
      <c r="F12463" t="inlineStr">
        <is>
          <t>GALAXY 6000</t>
        </is>
      </c>
      <c r="J12463" t="inlineStr">
        <is>
          <t>MONGELLI</t>
        </is>
      </c>
      <c r="L12463">
        <f>_xlfn.XLOOKUP(Tableau1[[#This Row],[TYPE DE PIECE]],Tableau4[MATIERE],Tableau4[SHORT TYPE],"",0,1)</f>
        <v/>
      </c>
      <c r="N12463">
        <f>IF(ISERR(FIND("DECOUPE",Tableau1[[#This Row],[DESIGNATION]])),"","NEED REF")</f>
        <v/>
      </c>
    </row>
    <row r="12464">
      <c r="B12464" t="n">
        <v>34401541</v>
      </c>
      <c r="C12464" s="2" t="n">
        <v>39485</v>
      </c>
      <c r="D12464" t="inlineStr">
        <is>
          <t>SPEC</t>
        </is>
      </c>
      <c r="E12464" t="inlineStr">
        <is>
          <t>ATFO PHASE SHIFTING 598kVA  BI P2=+20°/+24°</t>
        </is>
      </c>
      <c r="F12464" t="inlineStr">
        <is>
          <t>GALAXY 6000</t>
        </is>
      </c>
      <c r="J12464" t="inlineStr">
        <is>
          <t>MONGELLI</t>
        </is>
      </c>
      <c r="L12464">
        <f>_xlfn.XLOOKUP(Tableau1[[#This Row],[TYPE DE PIECE]],Tableau4[MATIERE],Tableau4[SHORT TYPE],"",0,1)</f>
        <v/>
      </c>
      <c r="N12464">
        <f>IF(ISERR(FIND("DECOUPE",Tableau1[[#This Row],[DESIGNATION]])),"","NEED REF")</f>
        <v/>
      </c>
    </row>
    <row r="12465">
      <c r="B12465" t="n">
        <v>34401540</v>
      </c>
      <c r="C12465" s="2" t="n">
        <v>39485</v>
      </c>
      <c r="D12465" t="inlineStr">
        <is>
          <t>NOM</t>
        </is>
      </c>
      <c r="E12465" t="inlineStr">
        <is>
          <t>LG Modif onduleur 450kva en double pont</t>
        </is>
      </c>
      <c r="F12465" t="inlineStr">
        <is>
          <t>GALAXY</t>
        </is>
      </c>
      <c r="J12465" t="inlineStr">
        <is>
          <t>REVEL</t>
        </is>
      </c>
      <c r="L12465">
        <f>_xlfn.XLOOKUP(Tableau1[[#This Row],[TYPE DE PIECE]],Tableau4[MATIERE],Tableau4[SHORT TYPE],"",0,1)</f>
        <v/>
      </c>
      <c r="N12465">
        <f>IF(ISERR(FIND("DECOUPE",Tableau1[[#This Row],[DESIGNATION]])),"","NEED REF")</f>
        <v/>
      </c>
    </row>
    <row r="12466">
      <c r="B12466" t="n">
        <v>34401539</v>
      </c>
      <c r="C12466" s="2" t="n">
        <v>39476</v>
      </c>
      <c r="D12466" t="inlineStr">
        <is>
          <t>NOM</t>
        </is>
      </c>
      <c r="E12466" t="inlineStr">
        <is>
          <t>LG SUPPORT BOBINAGE DOUBLE ARM GAL PW L=715</t>
        </is>
      </c>
      <c r="F12466" t="inlineStr">
        <is>
          <t>GALAXY PW</t>
        </is>
      </c>
      <c r="J12466" t="inlineStr">
        <is>
          <t>DESPERRIER</t>
        </is>
      </c>
      <c r="L12466">
        <f>_xlfn.XLOOKUP(Tableau1[[#This Row],[TYPE DE PIECE]],Tableau4[MATIERE],Tableau4[SHORT TYPE],"",0,1)</f>
        <v/>
      </c>
      <c r="N12466">
        <f>IF(ISERR(FIND("DECOUPE",Tableau1[[#This Row],[DESIGNATION]])),"","NEED REF")</f>
        <v/>
      </c>
    </row>
    <row r="12467">
      <c r="B12467" t="n">
        <v>34401538</v>
      </c>
      <c r="C12467" s="2" t="n">
        <v>39458</v>
      </c>
      <c r="D12467" t="inlineStr">
        <is>
          <t>DM</t>
        </is>
      </c>
      <c r="E12467" t="inlineStr">
        <is>
          <t>DOSSIER DE MONTAGE BLOCAGE DE PORTE OUVERTE  ASI+ARM.AUX</t>
        </is>
      </c>
      <c r="F12467" t="inlineStr">
        <is>
          <t>GALAXY 5000</t>
        </is>
      </c>
      <c r="J12467" t="inlineStr">
        <is>
          <t>MAHMOUDI</t>
        </is>
      </c>
      <c r="L12467">
        <f>_xlfn.XLOOKUP(Tableau1[[#This Row],[TYPE DE PIECE]],Tableau4[MATIERE],Tableau4[SHORT TYPE],"",0,1)</f>
        <v/>
      </c>
      <c r="N12467">
        <f>IF(ISERR(FIND("DECOUPE",Tableau1[[#This Row],[DESIGNATION]])),"","NEED REF")</f>
        <v/>
      </c>
    </row>
    <row r="12468">
      <c r="B12468" t="n">
        <v>34401537</v>
      </c>
      <c r="C12468" s="2" t="n">
        <v>39456</v>
      </c>
      <c r="D12468" t="inlineStr">
        <is>
          <t>DM</t>
        </is>
      </c>
      <c r="E12468" t="inlineStr">
        <is>
          <t>DOSSIER DE MONTAGE BY PASS 360kVA POUR LA LIGNE AFFAIRE L=715mm</t>
        </is>
      </c>
      <c r="F12468" t="inlineStr">
        <is>
          <t>GALAXY 5000</t>
        </is>
      </c>
      <c r="J12468" t="inlineStr">
        <is>
          <t>MAHMOUDI</t>
        </is>
      </c>
      <c r="L12468">
        <f>_xlfn.XLOOKUP(Tableau1[[#This Row],[TYPE DE PIECE]],Tableau4[MATIERE],Tableau4[SHORT TYPE],"",0,1)</f>
        <v/>
      </c>
      <c r="N12468">
        <f>IF(ISERR(FIND("DECOUPE",Tableau1[[#This Row],[DESIGNATION]])),"","NEED REF")</f>
        <v/>
      </c>
    </row>
    <row r="12469">
      <c r="B12469" t="n">
        <v>34401536</v>
      </c>
      <c r="C12469" s="2" t="n">
        <v>39443</v>
      </c>
      <c r="D12469" t="inlineStr">
        <is>
          <t>NOM</t>
        </is>
      </c>
      <c r="E12469" t="inlineStr">
        <is>
          <t>Platine Bypass STS 600A STD gérer en PDR</t>
        </is>
      </c>
      <c r="F12469" t="inlineStr">
        <is>
          <t>STS 800A IP00</t>
        </is>
      </c>
      <c r="J12469" t="inlineStr">
        <is>
          <t>MATRION</t>
        </is>
      </c>
      <c r="L12469">
        <f>_xlfn.XLOOKUP(Tableau1[[#This Row],[TYPE DE PIECE]],Tableau4[MATIERE],Tableau4[SHORT TYPE],"",0,1)</f>
        <v/>
      </c>
      <c r="N12469">
        <f>IF(ISERR(FIND("DECOUPE",Tableau1[[#This Row],[DESIGNATION]])),"","NEED REF")</f>
        <v/>
      </c>
    </row>
    <row r="12470">
      <c r="B12470" t="n">
        <v>34401535</v>
      </c>
      <c r="C12470" s="2" t="n">
        <v>39443</v>
      </c>
      <c r="D12470" t="inlineStr">
        <is>
          <t>NOM</t>
        </is>
      </c>
      <c r="E12470" t="inlineStr">
        <is>
          <t>LG Lot pièces SAT STS 400A IP00</t>
        </is>
      </c>
      <c r="F12470" t="inlineStr">
        <is>
          <t>STS 400A IP00</t>
        </is>
      </c>
      <c r="J12470" t="inlineStr">
        <is>
          <t>MATRION</t>
        </is>
      </c>
      <c r="L12470">
        <f>_xlfn.XLOOKUP(Tableau1[[#This Row],[TYPE DE PIECE]],Tableau4[MATIERE],Tableau4[SHORT TYPE],"",0,1)</f>
        <v/>
      </c>
      <c r="N12470">
        <f>IF(ISERR(FIND("DECOUPE",Tableau1[[#This Row],[DESIGNATION]])),"","NEED REF")</f>
        <v/>
      </c>
    </row>
    <row r="12471">
      <c r="B12471" t="n">
        <v>34401534</v>
      </c>
      <c r="C12471" s="2" t="n">
        <v>39443</v>
      </c>
      <c r="D12471" t="inlineStr">
        <is>
          <t>NOM</t>
        </is>
      </c>
      <c r="F12471" t="inlineStr">
        <is>
          <t>STS 400A IP00</t>
        </is>
      </c>
      <c r="J12471" t="inlineStr">
        <is>
          <t>MATRION</t>
        </is>
      </c>
      <c r="L12471">
        <f>_xlfn.XLOOKUP(Tableau1[[#This Row],[TYPE DE PIECE]],Tableau4[MATIERE],Tableau4[SHORT TYPE],"",0,1)</f>
        <v/>
      </c>
      <c r="N12471">
        <f>IF(ISERR(FIND("DECOUPE",Tableau1[[#This Row],[DESIGNATION]])),"","NEED REF")</f>
        <v/>
      </c>
    </row>
    <row r="12472">
      <c r="B12472" t="n">
        <v>34401533</v>
      </c>
      <c r="C12472" s="2" t="n">
        <v>39443</v>
      </c>
      <c r="D12472" t="inlineStr">
        <is>
          <t>NOM</t>
        </is>
      </c>
      <c r="E12472" t="inlineStr">
        <is>
          <t>STS 400A IP00 STD gérer en PDR</t>
        </is>
      </c>
      <c r="F12472" t="inlineStr">
        <is>
          <t>STS 400A IP00</t>
        </is>
      </c>
      <c r="J12472" t="inlineStr">
        <is>
          <t>MATRION</t>
        </is>
      </c>
      <c r="L12472">
        <f>_xlfn.XLOOKUP(Tableau1[[#This Row],[TYPE DE PIECE]],Tableau4[MATIERE],Tableau4[SHORT TYPE],"",0,1)</f>
        <v/>
      </c>
      <c r="N12472">
        <f>IF(ISERR(FIND("DECOUPE",Tableau1[[#This Row],[DESIGNATION]])),"","NEED REF")</f>
        <v/>
      </c>
    </row>
    <row r="12473">
      <c r="B12473" t="n">
        <v>34401532</v>
      </c>
      <c r="C12473" s="2" t="n">
        <v>39442</v>
      </c>
      <c r="D12473" t="inlineStr">
        <is>
          <t>CDC</t>
        </is>
      </c>
      <c r="E12473" t="inlineStr">
        <is>
          <t>Prestation ST découpe porte double SAREL STS400A Marccoussi</t>
        </is>
      </c>
      <c r="F12473" t="inlineStr">
        <is>
          <t>STS 400A Sarel 500</t>
        </is>
      </c>
      <c r="J12473" t="inlineStr">
        <is>
          <t>MATRION</t>
        </is>
      </c>
      <c r="L12473">
        <f>_xlfn.XLOOKUP(Tableau1[[#This Row],[TYPE DE PIECE]],Tableau4[MATIERE],Tableau4[SHORT TYPE],"",0,1)</f>
        <v/>
      </c>
      <c r="N12473">
        <f>IF(ISERR(FIND("DECOUPE",Tableau1[[#This Row],[DESIGNATION]])),"","NEED REF")</f>
        <v/>
      </c>
    </row>
    <row r="12474">
      <c r="B12474" t="n">
        <v>34401531</v>
      </c>
      <c r="C12474" s="2" t="n">
        <v>39442</v>
      </c>
      <c r="D12474" t="inlineStr">
        <is>
          <t>NOM</t>
        </is>
      </c>
      <c r="E12474" t="inlineStr">
        <is>
          <t>BY-PASS 400kVA</t>
        </is>
      </c>
      <c r="F12474" t="inlineStr">
        <is>
          <t>GALAXY 6000</t>
        </is>
      </c>
      <c r="J12474" t="inlineStr">
        <is>
          <t>FOLTZ</t>
        </is>
      </c>
      <c r="L12474">
        <f>_xlfn.XLOOKUP(Tableau1[[#This Row],[TYPE DE PIECE]],Tableau4[MATIERE],Tableau4[SHORT TYPE],"",0,1)</f>
        <v/>
      </c>
      <c r="N12474">
        <f>IF(ISERR(FIND("DECOUPE",Tableau1[[#This Row],[DESIGNATION]])),"","NEED REF")</f>
        <v/>
      </c>
    </row>
    <row r="12475">
      <c r="B12475" t="n">
        <v>34401530</v>
      </c>
      <c r="C12475" s="2" t="n">
        <v>39437</v>
      </c>
      <c r="D12475" t="inlineStr">
        <is>
          <t>CDC</t>
        </is>
      </c>
      <c r="E12475" t="inlineStr">
        <is>
          <t>Skid PW 200HC + armoire disjoncteur</t>
        </is>
      </c>
      <c r="F12475" t="inlineStr">
        <is>
          <t>Galaxy PW 200kVA</t>
        </is>
      </c>
      <c r="J12475" t="inlineStr">
        <is>
          <t>ROBERT</t>
        </is>
      </c>
      <c r="L12475">
        <f>_xlfn.XLOOKUP(Tableau1[[#This Row],[TYPE DE PIECE]],Tableau4[MATIERE],Tableau4[SHORT TYPE],"",0,1)</f>
        <v/>
      </c>
      <c r="N12475">
        <f>IF(ISERR(FIND("DECOUPE",Tableau1[[#This Row],[DESIGNATION]])),"","NEED REF")</f>
        <v/>
      </c>
    </row>
    <row r="12476">
      <c r="B12476" t="n">
        <v>34401529</v>
      </c>
      <c r="C12476" s="2" t="n">
        <v>39437</v>
      </c>
      <c r="D12476" t="inlineStr">
        <is>
          <t>CDC</t>
        </is>
      </c>
      <c r="E12476" t="inlineStr">
        <is>
          <t>Prestation sous-traitance pour réalisation cellule MG prisma P avec Masterpact</t>
        </is>
      </c>
      <c r="F12476" t="inlineStr">
        <is>
          <t>Masterpact en Prisma P</t>
        </is>
      </c>
      <c r="J12476" t="inlineStr">
        <is>
          <t>MONGELLI</t>
        </is>
      </c>
      <c r="L12476">
        <f>_xlfn.XLOOKUP(Tableau1[[#This Row],[TYPE DE PIECE]],Tableau4[MATIERE],Tableau4[SHORT TYPE],"",0,1)</f>
        <v/>
      </c>
      <c r="N12476">
        <f>IF(ISERR(FIND("DECOUPE",Tableau1[[#This Row],[DESIGNATION]])),"","NEED REF")</f>
        <v/>
      </c>
    </row>
    <row r="12477">
      <c r="B12477" t="n">
        <v>34401528</v>
      </c>
      <c r="C12477" s="2" t="n">
        <v>39428</v>
      </c>
      <c r="D12477" t="inlineStr">
        <is>
          <t>CDC</t>
        </is>
      </c>
      <c r="E12477" t="inlineStr">
        <is>
          <t>PMM 60départs</t>
        </is>
      </c>
      <c r="F12477" t="inlineStr">
        <is>
          <t>toutes gammes</t>
        </is>
      </c>
      <c r="J12477" t="inlineStr">
        <is>
          <t>ROBERT</t>
        </is>
      </c>
      <c r="L12477">
        <f>_xlfn.XLOOKUP(Tableau1[[#This Row],[TYPE DE PIECE]],Tableau4[MATIERE],Tableau4[SHORT TYPE],"",0,1)</f>
        <v/>
      </c>
      <c r="N12477">
        <f>IF(ISERR(FIND("DECOUPE",Tableau1[[#This Row],[DESIGNATION]])),"","NEED REF")</f>
        <v/>
      </c>
    </row>
    <row r="12478">
      <c r="B12478" t="n">
        <v>34401527</v>
      </c>
      <c r="C12478" s="2" t="n">
        <v>39426</v>
      </c>
      <c r="D12478" t="inlineStr">
        <is>
          <t>NOM</t>
        </is>
      </c>
      <c r="E12478" t="inlineStr">
        <is>
          <t>Legende ventilation pour armoire TFO bobinage double</t>
        </is>
      </c>
      <c r="F12478" t="inlineStr">
        <is>
          <t>Toutes gammes</t>
        </is>
      </c>
      <c r="J12478" t="inlineStr">
        <is>
          <t>DESPERRIER</t>
        </is>
      </c>
      <c r="L12478">
        <f>_xlfn.XLOOKUP(Tableau1[[#This Row],[TYPE DE PIECE]],Tableau4[MATIERE],Tableau4[SHORT TYPE],"",0,1)</f>
        <v/>
      </c>
      <c r="N12478">
        <f>IF(ISERR(FIND("DECOUPE",Tableau1[[#This Row],[DESIGNATION]])),"","NEED REF")</f>
        <v/>
      </c>
    </row>
    <row r="12479">
      <c r="B12479" t="n">
        <v>34401526</v>
      </c>
      <c r="C12479" s="2" t="n">
        <v>39421</v>
      </c>
      <c r="D12479" t="inlineStr">
        <is>
          <t>NOM</t>
        </is>
      </c>
      <c r="E12479" t="inlineStr">
        <is>
          <t>CDC NS 2000kVA montage tete de gaine a barres</t>
        </is>
      </c>
      <c r="F12479" t="inlineStr">
        <is>
          <t>NS 2000kVA</t>
        </is>
      </c>
      <c r="J12479" t="inlineStr">
        <is>
          <t>REVEL</t>
        </is>
      </c>
      <c r="L12479">
        <f>_xlfn.XLOOKUP(Tableau1[[#This Row],[TYPE DE PIECE]],Tableau4[MATIERE],Tableau4[SHORT TYPE],"",0,1)</f>
        <v/>
      </c>
      <c r="N12479">
        <f>IF(ISERR(FIND("DECOUPE",Tableau1[[#This Row],[DESIGNATION]])),"","NEED REF")</f>
        <v/>
      </c>
    </row>
    <row r="12480">
      <c r="B12480" t="n">
        <v>34401525</v>
      </c>
      <c r="C12480" s="2" t="n">
        <v>39421</v>
      </c>
      <c r="D12480" t="inlineStr">
        <is>
          <t>NOM</t>
        </is>
      </c>
      <c r="E12480" t="inlineStr">
        <is>
          <t>CDC NS 2000KVA OPTION VISION DECOUPE ACCOUPL, ARM COUPLAGE</t>
        </is>
      </c>
      <c r="F12480" t="inlineStr">
        <is>
          <t>NS 2000kVA</t>
        </is>
      </c>
      <c r="J12480" t="inlineStr">
        <is>
          <t>REVEL</t>
        </is>
      </c>
      <c r="L12480">
        <f>_xlfn.XLOOKUP(Tableau1[[#This Row],[TYPE DE PIECE]],Tableau4[MATIERE],Tableau4[SHORT TYPE],"",0,1)</f>
        <v/>
      </c>
      <c r="N12480">
        <f>IF(ISERR(FIND("DECOUPE",Tableau1[[#This Row],[DESIGNATION]])),"","NEED REF")</f>
        <v/>
      </c>
    </row>
    <row r="12481">
      <c r="B12481" t="n">
        <v>34401524</v>
      </c>
      <c r="C12481" s="2" t="n">
        <v>39419</v>
      </c>
      <c r="D12481" t="inlineStr">
        <is>
          <t>NOM</t>
        </is>
      </c>
      <c r="E12481" t="inlineStr">
        <is>
          <t>LG COMET EXRT 3:1  5kVA  ECLAIRAGE DE SECURITE</t>
        </is>
      </c>
      <c r="F12481" t="inlineStr">
        <is>
          <t xml:space="preserve">COMET EXRT </t>
        </is>
      </c>
      <c r="J12481" t="inlineStr">
        <is>
          <t>ROBERT</t>
        </is>
      </c>
      <c r="L12481">
        <f>_xlfn.XLOOKUP(Tableau1[[#This Row],[TYPE DE PIECE]],Tableau4[MATIERE],Tableau4[SHORT TYPE],"",0,1)</f>
        <v/>
      </c>
      <c r="N12481">
        <f>IF(ISERR(FIND("DECOUPE",Tableau1[[#This Row],[DESIGNATION]])),"","NEED REF")</f>
        <v/>
      </c>
    </row>
    <row r="12482">
      <c r="B12482" t="n">
        <v>34401523</v>
      </c>
      <c r="C12482" s="2" t="n">
        <v>39414</v>
      </c>
      <c r="D12482" t="inlineStr">
        <is>
          <t xml:space="preserve">SCHEMA  </t>
        </is>
      </c>
      <c r="E12482" t="inlineStr">
        <is>
          <t>Schéma d'implantation + câblage de 2 DJ Batt 400kVA en arm aux G6k L=600</t>
        </is>
      </c>
      <c r="F12482" t="inlineStr">
        <is>
          <t>GALAXY 6000</t>
        </is>
      </c>
      <c r="J12482" t="inlineStr">
        <is>
          <t>MONGELLI</t>
        </is>
      </c>
      <c r="L12482">
        <f>_xlfn.XLOOKUP(Tableau1[[#This Row],[TYPE DE PIECE]],Tableau4[MATIERE],Tableau4[SHORT TYPE],"",0,1)</f>
        <v/>
      </c>
      <c r="N12482">
        <f>IF(ISERR(FIND("DECOUPE",Tableau1[[#This Row],[DESIGNATION]])),"","NEED REF")</f>
        <v/>
      </c>
    </row>
    <row r="12483">
      <c r="B12483" t="n">
        <v>34401522</v>
      </c>
      <c r="C12483" s="2" t="n">
        <v>39409</v>
      </c>
      <c r="D12483" t="inlineStr">
        <is>
          <t>CDC</t>
        </is>
      </c>
      <c r="E12483" t="inlineStr">
        <is>
          <t>CDC Modification plaque de fond pour rajout d'une plaque presse étoupe</t>
        </is>
      </c>
      <c r="F12483" t="inlineStr">
        <is>
          <t>GALAXY 5000</t>
        </is>
      </c>
      <c r="J12483" t="inlineStr">
        <is>
          <t>DESPERRIER</t>
        </is>
      </c>
      <c r="L12483">
        <f>_xlfn.XLOOKUP(Tableau1[[#This Row],[TYPE DE PIECE]],Tableau4[MATIERE],Tableau4[SHORT TYPE],"",0,1)</f>
        <v/>
      </c>
      <c r="N12483">
        <f>IF(ISERR(FIND("DECOUPE",Tableau1[[#This Row],[DESIGNATION]])),"","NEED REF")</f>
        <v/>
      </c>
    </row>
    <row r="12484">
      <c r="B12484" t="n">
        <v>34401521</v>
      </c>
      <c r="C12484" s="2" t="n">
        <v>39409</v>
      </c>
      <c r="D12484" t="inlineStr">
        <is>
          <t>SPEC</t>
        </is>
      </c>
      <c r="E12484" t="inlineStr">
        <is>
          <t>Schéma plaque de fond double presse étoupe G5K auxiliaire l=1010</t>
        </is>
      </c>
      <c r="F12484" t="inlineStr">
        <is>
          <t>GALAXY 5000</t>
        </is>
      </c>
      <c r="J12484" t="inlineStr">
        <is>
          <t>DESPERRIER</t>
        </is>
      </c>
      <c r="L12484">
        <f>_xlfn.XLOOKUP(Tableau1[[#This Row],[TYPE DE PIECE]],Tableau4[MATIERE],Tableau4[SHORT TYPE],"",0,1)</f>
        <v/>
      </c>
      <c r="N12484">
        <f>IF(ISERR(FIND("DECOUPE",Tableau1[[#This Row],[DESIGNATION]])),"","NEED REF")</f>
        <v/>
      </c>
    </row>
    <row r="12485">
      <c r="B12485" t="n">
        <v>34401520</v>
      </c>
      <c r="C12485" s="2" t="n">
        <v>39408</v>
      </c>
      <c r="D12485" t="inlineStr">
        <is>
          <t>NOM</t>
        </is>
      </c>
      <c r="E12485" t="inlineStr">
        <is>
          <t>SINEWAVE 60A + ATFO Phase Sifting 239kVA</t>
        </is>
      </c>
      <c r="F12485" t="inlineStr">
        <is>
          <t>GALAXY PW</t>
        </is>
      </c>
      <c r="J12485" t="inlineStr">
        <is>
          <t>MONGELLI</t>
        </is>
      </c>
      <c r="L12485">
        <f>_xlfn.XLOOKUP(Tableau1[[#This Row],[TYPE DE PIECE]],Tableau4[MATIERE],Tableau4[SHORT TYPE],"",0,1)</f>
        <v/>
      </c>
      <c r="N12485">
        <f>IF(ISERR(FIND("DECOUPE",Tableau1[[#This Row],[DESIGNATION]])),"","NEED REF")</f>
        <v/>
      </c>
    </row>
    <row r="12486">
      <c r="B12486" t="n">
        <v>34401519</v>
      </c>
      <c r="C12486" s="2" t="n">
        <v>39405</v>
      </c>
      <c r="D12486" t="inlineStr">
        <is>
          <t>CDC</t>
        </is>
      </c>
      <c r="E12486" t="inlineStr">
        <is>
          <t>ARMOIRE DE COUPLAGE POUR 3 GALAXY PW SU BY PASS 600KVA</t>
        </is>
      </c>
      <c r="F12486" t="inlineStr">
        <is>
          <t>GALAXY PW</t>
        </is>
      </c>
      <c r="J12486" t="inlineStr">
        <is>
          <t>REVEL</t>
        </is>
      </c>
      <c r="L12486">
        <f>_xlfn.XLOOKUP(Tableau1[[#This Row],[TYPE DE PIECE]],Tableau4[MATIERE],Tableau4[SHORT TYPE],"",0,1)</f>
        <v/>
      </c>
      <c r="N12486">
        <f>IF(ISERR(FIND("DECOUPE",Tableau1[[#This Row],[DESIGNATION]])),"","NEED REF")</f>
        <v/>
      </c>
    </row>
    <row r="12487">
      <c r="B12487" t="n">
        <v>34401518</v>
      </c>
      <c r="C12487" s="2" t="n">
        <v>39398</v>
      </c>
      <c r="D12487" t="inlineStr">
        <is>
          <t xml:space="preserve"> schema</t>
        </is>
      </c>
      <c r="E12487" t="inlineStr">
        <is>
          <t>SCHEMA NS2400 LIGHT SANS TI</t>
        </is>
      </c>
      <c r="F12487" t="inlineStr">
        <is>
          <t>GALAXY 6000</t>
        </is>
      </c>
      <c r="J12487" t="inlineStr">
        <is>
          <t>FOLTZ</t>
        </is>
      </c>
      <c r="L12487">
        <f>_xlfn.XLOOKUP(Tableau1[[#This Row],[TYPE DE PIECE]],Tableau4[MATIERE],Tableau4[SHORT TYPE],"",0,1)</f>
        <v/>
      </c>
      <c r="N12487">
        <f>IF(ISERR(FIND("DECOUPE",Tableau1[[#This Row],[DESIGNATION]])),"","NEED REF")</f>
        <v/>
      </c>
    </row>
    <row r="12488">
      <c r="B12488" t="n">
        <v>34401517</v>
      </c>
      <c r="C12488" s="2" t="n">
        <v>39394</v>
      </c>
      <c r="D12488" t="inlineStr">
        <is>
          <t>CDC</t>
        </is>
      </c>
      <c r="E12488" t="inlineStr">
        <is>
          <t>CDC ARMOIRE BY-PASS+TFO R1/R2 EN ARMOIRE APC</t>
        </is>
      </c>
      <c r="F12488" t="inlineStr">
        <is>
          <t>SYMETRA PX 40 kVA</t>
        </is>
      </c>
      <c r="J12488" t="inlineStr">
        <is>
          <t>ROBERT</t>
        </is>
      </c>
      <c r="L12488">
        <f>_xlfn.XLOOKUP(Tableau1[[#This Row],[TYPE DE PIECE]],Tableau4[MATIERE],Tableau4[SHORT TYPE],"",0,1)</f>
        <v/>
      </c>
      <c r="N12488">
        <f>IF(ISERR(FIND("DECOUPE",Tableau1[[#This Row],[DESIGNATION]])),"","NEED REF")</f>
        <v/>
      </c>
    </row>
    <row r="12489">
      <c r="B12489" t="n">
        <v>34401516</v>
      </c>
      <c r="C12489" s="2" t="n">
        <v>39393</v>
      </c>
      <c r="D12489" t="inlineStr">
        <is>
          <t>Dm</t>
        </is>
      </c>
      <c r="E12489" t="inlineStr">
        <is>
          <t>Dossier de Montage Couplage Batterie toutes puissance dans armoire L=710mm</t>
        </is>
      </c>
      <c r="F12489" t="inlineStr">
        <is>
          <t>Galaxy 5000/PW</t>
        </is>
      </c>
      <c r="J12489" t="inlineStr">
        <is>
          <t>BONACHERA</t>
        </is>
      </c>
      <c r="L12489">
        <f>_xlfn.XLOOKUP(Tableau1[[#This Row],[TYPE DE PIECE]],Tableau4[MATIERE],Tableau4[SHORT TYPE],"",0,1)</f>
        <v/>
      </c>
      <c r="N12489">
        <f>IF(ISERR(FIND("DECOUPE",Tableau1[[#This Row],[DESIGNATION]])),"","NEED REF")</f>
        <v/>
      </c>
    </row>
    <row r="12490">
      <c r="B12490" t="n">
        <v>34401515</v>
      </c>
      <c r="C12490" s="2" t="n">
        <v>39391</v>
      </c>
      <c r="D12490" t="inlineStr">
        <is>
          <t>NOM</t>
        </is>
      </c>
      <c r="E12490" t="inlineStr">
        <is>
          <t>LG DJ BATT 800kVA AVEC CPI</t>
        </is>
      </c>
      <c r="F12490" t="inlineStr">
        <is>
          <t>GALAXY 6000</t>
        </is>
      </c>
      <c r="J12490" t="inlineStr">
        <is>
          <t>FOLTZ</t>
        </is>
      </c>
      <c r="L12490">
        <f>_xlfn.XLOOKUP(Tableau1[[#This Row],[TYPE DE PIECE]],Tableau4[MATIERE],Tableau4[SHORT TYPE],"",0,1)</f>
        <v/>
      </c>
      <c r="N12490">
        <f>IF(ISERR(FIND("DECOUPE",Tableau1[[#This Row],[DESIGNATION]])),"","NEED REF")</f>
        <v/>
      </c>
    </row>
    <row r="12491">
      <c r="B12491" t="n">
        <v>34401514</v>
      </c>
      <c r="C12491" s="2" t="n">
        <v>39391</v>
      </c>
      <c r="D12491" t="inlineStr">
        <is>
          <t>CDC</t>
        </is>
      </c>
      <c r="E12491" t="inlineStr">
        <is>
          <t>CDC ARMOIRE BY-PASS+TFO R1/R2 EN ARMOIRE APC</t>
        </is>
      </c>
      <c r="F12491" t="inlineStr">
        <is>
          <t>SYMETRA PX 10kVA</t>
        </is>
      </c>
      <c r="J12491" t="inlineStr">
        <is>
          <t>ROBERT</t>
        </is>
      </c>
      <c r="L12491">
        <f>_xlfn.XLOOKUP(Tableau1[[#This Row],[TYPE DE PIECE]],Tableau4[MATIERE],Tableau4[SHORT TYPE],"",0,1)</f>
        <v/>
      </c>
      <c r="N12491">
        <f>IF(ISERR(FIND("DECOUPE",Tableau1[[#This Row],[DESIGNATION]])),"","NEED REF")</f>
        <v/>
      </c>
    </row>
    <row r="12492">
      <c r="B12492" t="n">
        <v>34401513</v>
      </c>
      <c r="C12492" s="2" t="n">
        <v>39388</v>
      </c>
      <c r="D12492" t="inlineStr">
        <is>
          <t>NOM</t>
        </is>
      </c>
      <c r="E12492" t="inlineStr">
        <is>
          <t>LG COUPLAGE BATTERIE G5000 40kVA AVEC 2 DJ SUPPLEMENTAIRES</t>
        </is>
      </c>
      <c r="F12492" t="inlineStr">
        <is>
          <t xml:space="preserve">GALAXY 5000 </t>
        </is>
      </c>
      <c r="J12492" t="inlineStr">
        <is>
          <t>FOLTZ</t>
        </is>
      </c>
      <c r="L12492">
        <f>_xlfn.XLOOKUP(Tableau1[[#This Row],[TYPE DE PIECE]],Tableau4[MATIERE],Tableau4[SHORT TYPE],"",0,1)</f>
        <v/>
      </c>
      <c r="N12492">
        <f>IF(ISERR(FIND("DECOUPE",Tableau1[[#This Row],[DESIGNATION]])),"","NEED REF")</f>
        <v/>
      </c>
    </row>
    <row r="12493">
      <c r="B12493" t="n">
        <v>34401512</v>
      </c>
      <c r="C12493" s="2" t="n">
        <v>39384</v>
      </c>
      <c r="D12493" t="inlineStr">
        <is>
          <t>NOM</t>
        </is>
      </c>
      <c r="E12493" t="inlineStr">
        <is>
          <t>LG KIT TVSS GALAXY 5000 20-120kVA</t>
        </is>
      </c>
      <c r="F12493" t="inlineStr">
        <is>
          <t>GALAXY 5000</t>
        </is>
      </c>
      <c r="J12493" t="inlineStr">
        <is>
          <t>DESPERRIER</t>
        </is>
      </c>
      <c r="L12493">
        <f>_xlfn.XLOOKUP(Tableau1[[#This Row],[TYPE DE PIECE]],Tableau4[MATIERE],Tableau4[SHORT TYPE],"",0,1)</f>
        <v/>
      </c>
      <c r="N12493">
        <f>IF(ISERR(FIND("DECOUPE",Tableau1[[#This Row],[DESIGNATION]])),"","NEED REF")</f>
        <v/>
      </c>
    </row>
    <row r="12494">
      <c r="B12494" t="n">
        <v>34401511</v>
      </c>
      <c r="C12494" s="2" t="n">
        <v>39378</v>
      </c>
      <c r="D12494" t="inlineStr">
        <is>
          <t>SPEC</t>
        </is>
      </c>
      <c r="E12494" t="inlineStr">
        <is>
          <t>BOITIER A BOUTON ARMOIRE COUPLAGE BATTERIE</t>
        </is>
      </c>
      <c r="F12494" t="inlineStr">
        <is>
          <t>GALAXY 5000</t>
        </is>
      </c>
      <c r="J12494" t="inlineStr">
        <is>
          <t>BONACHERA</t>
        </is>
      </c>
      <c r="L12494">
        <f>_xlfn.XLOOKUP(Tableau1[[#This Row],[TYPE DE PIECE]],Tableau4[MATIERE],Tableau4[SHORT TYPE],"",0,1)</f>
        <v/>
      </c>
      <c r="N12494">
        <f>IF(ISERR(FIND("DECOUPE",Tableau1[[#This Row],[DESIGNATION]])),"","NEED REF")</f>
        <v/>
      </c>
    </row>
    <row r="12495">
      <c r="B12495" t="n">
        <v>34401510</v>
      </c>
      <c r="C12495" s="2" t="n">
        <v>39373</v>
      </c>
      <c r="D12495" t="inlineStr">
        <is>
          <t>SPEC</t>
        </is>
      </c>
      <c r="E12495" t="inlineStr">
        <is>
          <t>CANEVAS NW40 POUR NS2400 CONTACTEUR K2S 400V</t>
        </is>
      </c>
      <c r="F12495" t="inlineStr">
        <is>
          <t>GALAXY 6000</t>
        </is>
      </c>
      <c r="J12495" t="inlineStr">
        <is>
          <t>FOLTZ</t>
        </is>
      </c>
      <c r="L12495">
        <f>_xlfn.XLOOKUP(Tableau1[[#This Row],[TYPE DE PIECE]],Tableau4[MATIERE],Tableau4[SHORT TYPE],"",0,1)</f>
        <v/>
      </c>
      <c r="N12495">
        <f>IF(ISERR(FIND("DECOUPE",Tableau1[[#This Row],[DESIGNATION]])),"","NEED REF")</f>
        <v/>
      </c>
    </row>
    <row r="12496">
      <c r="B12496" t="n">
        <v>34401509</v>
      </c>
      <c r="C12496" s="2" t="n">
        <v>39372</v>
      </c>
      <c r="D12496" t="inlineStr">
        <is>
          <t>NOM</t>
        </is>
      </c>
      <c r="E12496" t="inlineStr">
        <is>
          <t>LG NS2400 LIGHT OPTIMISE NVLLE ESTHETIQUE AVEC OPTION VISION</t>
        </is>
      </c>
      <c r="F12496" t="inlineStr">
        <is>
          <t>GALAXY 6000</t>
        </is>
      </c>
      <c r="J12496" t="inlineStr">
        <is>
          <t>FOLTZ</t>
        </is>
      </c>
      <c r="L12496">
        <f>_xlfn.XLOOKUP(Tableau1[[#This Row],[TYPE DE PIECE]],Tableau4[MATIERE],Tableau4[SHORT TYPE],"",0,1)</f>
        <v/>
      </c>
      <c r="N12496">
        <f>IF(ISERR(FIND("DECOUPE",Tableau1[[#This Row],[DESIGNATION]])),"","NEED REF")</f>
        <v/>
      </c>
    </row>
    <row r="12497">
      <c r="B12497" t="n">
        <v>34401508</v>
      </c>
      <c r="C12497" s="2" t="n">
        <v>39372</v>
      </c>
      <c r="D12497" t="inlineStr">
        <is>
          <t>NOM</t>
        </is>
      </c>
      <c r="E12497" t="inlineStr">
        <is>
          <t xml:space="preserve">LG COMMUNE NS2400 LIGHT OPTIMISE NVLLE ESTHETIQUE </t>
        </is>
      </c>
      <c r="F12497" t="inlineStr">
        <is>
          <t>GALAXY 6000</t>
        </is>
      </c>
      <c r="J12497" t="inlineStr">
        <is>
          <t>FOLTZ</t>
        </is>
      </c>
      <c r="L12497">
        <f>_xlfn.XLOOKUP(Tableau1[[#This Row],[TYPE DE PIECE]],Tableau4[MATIERE],Tableau4[SHORT TYPE],"",0,1)</f>
        <v/>
      </c>
      <c r="N12497">
        <f>IF(ISERR(FIND("DECOUPE",Tableau1[[#This Row],[DESIGNATION]])),"","NEED REF")</f>
        <v/>
      </c>
    </row>
    <row r="12498">
      <c r="B12498" t="n">
        <v>34401507</v>
      </c>
      <c r="C12498" s="2" t="n">
        <v>39280</v>
      </c>
      <c r="D12498" t="inlineStr">
        <is>
          <t>NOM</t>
        </is>
      </c>
      <c r="E12498" t="inlineStr">
        <is>
          <t>LG KIT ENVIRONNEMENT PERTUBE G5k 60kVA //</t>
        </is>
      </c>
      <c r="F12498" t="inlineStr">
        <is>
          <t>GALAXY 5000</t>
        </is>
      </c>
      <c r="J12498" t="inlineStr">
        <is>
          <t>ROBERT</t>
        </is>
      </c>
      <c r="L12498">
        <f>_xlfn.XLOOKUP(Tableau1[[#This Row],[TYPE DE PIECE]],Tableau4[MATIERE],Tableau4[SHORT TYPE],"",0,1)</f>
        <v/>
      </c>
      <c r="N12498">
        <f>IF(ISERR(FIND("DECOUPE",Tableau1[[#This Row],[DESIGNATION]])),"","NEED REF")</f>
        <v/>
      </c>
    </row>
    <row r="12499">
      <c r="B12499" t="n">
        <v>34401506</v>
      </c>
      <c r="C12499" s="2" t="n">
        <v>39372</v>
      </c>
      <c r="D12499" t="inlineStr">
        <is>
          <t>NOM</t>
        </is>
      </c>
      <c r="E12499" t="inlineStr">
        <is>
          <t>LG KIT ENVIRONNEMENT PERTUBE G5k 60kVA UNIT</t>
        </is>
      </c>
      <c r="F12499" t="inlineStr">
        <is>
          <t>GALAXY 5000</t>
        </is>
      </c>
      <c r="J12499" t="inlineStr">
        <is>
          <t>ROBERT</t>
        </is>
      </c>
      <c r="L12499">
        <f>_xlfn.XLOOKUP(Tableau1[[#This Row],[TYPE DE PIECE]],Tableau4[MATIERE],Tableau4[SHORT TYPE],"",0,1)</f>
        <v/>
      </c>
      <c r="N12499">
        <f>IF(ISERR(FIND("DECOUPE",Tableau1[[#This Row],[DESIGNATION]])),"","NEED REF")</f>
        <v/>
      </c>
    </row>
    <row r="12500">
      <c r="B12500" t="n">
        <v>34401505</v>
      </c>
      <c r="C12500" s="2" t="n">
        <v>39372</v>
      </c>
      <c r="D12500" t="inlineStr">
        <is>
          <t>NOM</t>
        </is>
      </c>
      <c r="E12500" t="inlineStr">
        <is>
          <t>LG KIT ENVIRONNEMENT PERTUBE G5k 120kVA UNIT</t>
        </is>
      </c>
      <c r="F12500" t="inlineStr">
        <is>
          <t>GALAXY 5000</t>
        </is>
      </c>
      <c r="J12500" t="inlineStr">
        <is>
          <t>ROBERT</t>
        </is>
      </c>
      <c r="L12500">
        <f>_xlfn.XLOOKUP(Tableau1[[#This Row],[TYPE DE PIECE]],Tableau4[MATIERE],Tableau4[SHORT TYPE],"",0,1)</f>
        <v/>
      </c>
      <c r="N12500">
        <f>IF(ISERR(FIND("DECOUPE",Tableau1[[#This Row],[DESIGNATION]])),"","NEED REF")</f>
        <v/>
      </c>
    </row>
    <row r="12501">
      <c r="B12501" t="n">
        <v>34401504</v>
      </c>
      <c r="C12501" s="2" t="n">
        <v>39370</v>
      </c>
      <c r="D12501" t="inlineStr">
        <is>
          <t>CDC</t>
        </is>
      </c>
      <c r="E12501" t="inlineStr">
        <is>
          <t>CDC ARMOIRE COMET EXRT 11KVA 3:1</t>
        </is>
      </c>
      <c r="F12501" t="inlineStr">
        <is>
          <t>COMET EXRT 3:1</t>
        </is>
      </c>
      <c r="J12501" t="inlineStr">
        <is>
          <t>MATRION</t>
        </is>
      </c>
      <c r="L12501">
        <f>_xlfn.XLOOKUP(Tableau1[[#This Row],[TYPE DE PIECE]],Tableau4[MATIERE],Tableau4[SHORT TYPE],"",0,1)</f>
        <v/>
      </c>
      <c r="N12501">
        <f>IF(ISERR(FIND("DECOUPE",Tableau1[[#This Row],[DESIGNATION]])),"","NEED REF")</f>
        <v/>
      </c>
    </row>
    <row r="12502">
      <c r="B12502" t="n">
        <v>34401503</v>
      </c>
      <c r="C12502" s="2" t="n">
        <v>39367</v>
      </c>
      <c r="D12502" t="inlineStr">
        <is>
          <t>NOM</t>
        </is>
      </c>
      <c r="E12502" t="inlineStr">
        <is>
          <t>LG KIT ENVIRONNEMENT PERTUBE G5k 120kVA //</t>
        </is>
      </c>
      <c r="F12502" t="inlineStr">
        <is>
          <t>GALAXY 5000</t>
        </is>
      </c>
      <c r="J12502" t="inlineStr">
        <is>
          <t>ROBERT</t>
        </is>
      </c>
      <c r="L12502">
        <f>_xlfn.XLOOKUP(Tableau1[[#This Row],[TYPE DE PIECE]],Tableau4[MATIERE],Tableau4[SHORT TYPE],"",0,1)</f>
        <v/>
      </c>
      <c r="N12502">
        <f>IF(ISERR(FIND("DECOUPE",Tableau1[[#This Row],[DESIGNATION]])),"","NEED REF")</f>
        <v/>
      </c>
    </row>
    <row r="12503">
      <c r="B12503" t="n">
        <v>34401502</v>
      </c>
      <c r="C12503" s="2" t="n">
        <v>39367</v>
      </c>
      <c r="D12503" t="inlineStr">
        <is>
          <t>SPEC</t>
        </is>
      </c>
      <c r="E12503" t="inlineStr">
        <is>
          <t>Kit filerie Fils fins capas environnement pertubé</t>
        </is>
      </c>
      <c r="F12503" t="inlineStr">
        <is>
          <t>GALAXY 5000</t>
        </is>
      </c>
      <c r="J12503" t="inlineStr">
        <is>
          <t>DESPERRIER</t>
        </is>
      </c>
      <c r="L12503">
        <f>_xlfn.XLOOKUP(Tableau1[[#This Row],[TYPE DE PIECE]],Tableau4[MATIERE],Tableau4[SHORT TYPE],"",0,1)</f>
        <v/>
      </c>
      <c r="N12503">
        <f>IF(ISERR(FIND("DECOUPE",Tableau1[[#This Row],[DESIGNATION]])),"","NEED REF")</f>
        <v/>
      </c>
    </row>
    <row r="12504">
      <c r="B12504" t="n">
        <v>34401501</v>
      </c>
      <c r="C12504" s="2" t="n">
        <v>39366</v>
      </c>
      <c r="D12504" t="inlineStr">
        <is>
          <t>SPEC</t>
        </is>
      </c>
      <c r="E12504" t="inlineStr">
        <is>
          <t>FILS FINS TVSS CHINESE TELECOM</t>
        </is>
      </c>
      <c r="F12504" t="inlineStr">
        <is>
          <t>GALAXY 5000</t>
        </is>
      </c>
      <c r="J12504" t="inlineStr">
        <is>
          <t>ÇAKIR</t>
        </is>
      </c>
      <c r="L12504">
        <f>_xlfn.XLOOKUP(Tableau1[[#This Row],[TYPE DE PIECE]],Tableau4[MATIERE],Tableau4[SHORT TYPE],"",0,1)</f>
        <v/>
      </c>
      <c r="N12504">
        <f>IF(ISERR(FIND("DECOUPE",Tableau1[[#This Row],[DESIGNATION]])),"","NEED REF")</f>
        <v/>
      </c>
    </row>
    <row r="12505">
      <c r="B12505" t="n">
        <v>34401500</v>
      </c>
      <c r="C12505" s="2" t="n">
        <v>39366</v>
      </c>
      <c r="D12505" t="inlineStr">
        <is>
          <t>CDC</t>
        </is>
      </c>
      <c r="E12505" t="inlineStr">
        <is>
          <t>Cablage boitier deport by pass Tri</t>
        </is>
      </c>
      <c r="F12505" t="inlineStr">
        <is>
          <t xml:space="preserve">COMET EXRT   </t>
        </is>
      </c>
      <c r="J12505" t="inlineStr">
        <is>
          <t>MATRION</t>
        </is>
      </c>
      <c r="L12505">
        <f>_xlfn.XLOOKUP(Tableau1[[#This Row],[TYPE DE PIECE]],Tableau4[MATIERE],Tableau4[SHORT TYPE],"",0,1)</f>
        <v/>
      </c>
      <c r="N12505">
        <f>IF(ISERR(FIND("DECOUPE",Tableau1[[#This Row],[DESIGNATION]])),"","NEED REF")</f>
        <v/>
      </c>
    </row>
    <row r="12506">
      <c r="B12506" t="n">
        <v>34401499</v>
      </c>
      <c r="C12506" s="2" t="n">
        <v>39365</v>
      </c>
      <c r="D12506" t="inlineStr">
        <is>
          <t>SPEC</t>
        </is>
      </c>
      <c r="E12506" t="inlineStr">
        <is>
          <t>Kit filerie capas environnement pertubé</t>
        </is>
      </c>
      <c r="F12506" t="inlineStr">
        <is>
          <t>GALAXY 5000</t>
        </is>
      </c>
      <c r="J12506" t="inlineStr">
        <is>
          <t>ROBERT</t>
        </is>
      </c>
      <c r="L12506">
        <f>_xlfn.XLOOKUP(Tableau1[[#This Row],[TYPE DE PIECE]],Tableau4[MATIERE],Tableau4[SHORT TYPE],"",0,1)</f>
        <v/>
      </c>
      <c r="N12506">
        <f>IF(ISERR(FIND("DECOUPE",Tableau1[[#This Row],[DESIGNATION]])),"","NEED REF")</f>
        <v/>
      </c>
    </row>
    <row r="12507">
      <c r="B12507" t="n">
        <v>34401498</v>
      </c>
      <c r="C12507" s="2" t="n">
        <v>39365</v>
      </c>
      <c r="D12507" t="inlineStr">
        <is>
          <t>SPEC</t>
        </is>
      </c>
      <c r="E12507" t="inlineStr">
        <is>
          <t>CX CAPAS Kit environnement pertubé</t>
        </is>
      </c>
      <c r="F12507" t="inlineStr">
        <is>
          <t>GALAXY 5000</t>
        </is>
      </c>
      <c r="J12507" t="inlineStr">
        <is>
          <t>ROBERT</t>
        </is>
      </c>
      <c r="L12507">
        <f>_xlfn.XLOOKUP(Tableau1[[#This Row],[TYPE DE PIECE]],Tableau4[MATIERE],Tableau4[SHORT TYPE],"",0,1)</f>
        <v/>
      </c>
      <c r="N12507">
        <f>IF(ISERR(FIND("DECOUPE",Tableau1[[#This Row],[DESIGNATION]])),"","NEED REF")</f>
        <v/>
      </c>
    </row>
    <row r="12508">
      <c r="B12508" t="n">
        <v>34401497</v>
      </c>
      <c r="C12508" s="2" t="n">
        <v>39365</v>
      </c>
      <c r="D12508" t="inlineStr">
        <is>
          <t>cdc</t>
        </is>
      </c>
      <c r="E12508" t="inlineStr">
        <is>
          <t>CDC ARMORIE COUPLAGE AVAL 4xINS630 + 1xINS2000</t>
        </is>
      </c>
      <c r="F12508" t="inlineStr">
        <is>
          <t>GALAXY 6000</t>
        </is>
      </c>
      <c r="J12508" t="inlineStr">
        <is>
          <t>FOLTZ</t>
        </is>
      </c>
      <c r="L12508">
        <f>_xlfn.XLOOKUP(Tableau1[[#This Row],[TYPE DE PIECE]],Tableau4[MATIERE],Tableau4[SHORT TYPE],"",0,1)</f>
        <v/>
      </c>
      <c r="N12508">
        <f>IF(ISERR(FIND("DECOUPE",Tableau1[[#This Row],[DESIGNATION]])),"","NEED REF")</f>
        <v/>
      </c>
    </row>
    <row r="12509">
      <c r="B12509" t="n">
        <v>34401496</v>
      </c>
      <c r="C12509" s="2" t="n">
        <v>39364</v>
      </c>
      <c r="D12509" t="inlineStr">
        <is>
          <t>NOM</t>
        </is>
      </c>
      <c r="E12509" t="inlineStr">
        <is>
          <t>LG BACK FEED GALAXY 6000 250kVA</t>
        </is>
      </c>
      <c r="F12509" t="inlineStr">
        <is>
          <t>GALAXY 6000</t>
        </is>
      </c>
      <c r="J12509" t="inlineStr">
        <is>
          <t>MAHMOUDI</t>
        </is>
      </c>
      <c r="L12509">
        <f>_xlfn.XLOOKUP(Tableau1[[#This Row],[TYPE DE PIECE]],Tableau4[MATIERE],Tableau4[SHORT TYPE],"",0,1)</f>
        <v/>
      </c>
      <c r="N12509">
        <f>IF(ISERR(FIND("DECOUPE",Tableau1[[#This Row],[DESIGNATION]])),"","NEED REF")</f>
        <v/>
      </c>
    </row>
    <row r="12510">
      <c r="B12510" t="n">
        <v>34401495</v>
      </c>
      <c r="C12510" s="2" t="n">
        <v>39353</v>
      </c>
      <c r="D12510" t="inlineStr">
        <is>
          <t>CDC</t>
        </is>
      </c>
      <c r="E12510" t="inlineStr">
        <is>
          <t>SKID G3000 30kVA IP21</t>
        </is>
      </c>
      <c r="F12510" t="inlineStr">
        <is>
          <t>GALAXY 3000</t>
        </is>
      </c>
      <c r="J12510" t="inlineStr">
        <is>
          <t>DESPERRIER</t>
        </is>
      </c>
      <c r="L12510">
        <f>_xlfn.XLOOKUP(Tableau1[[#This Row],[TYPE DE PIECE]],Tableau4[MATIERE],Tableau4[SHORT TYPE],"",0,1)</f>
        <v/>
      </c>
      <c r="N12510">
        <f>IF(ISERR(FIND("DECOUPE",Tableau1[[#This Row],[DESIGNATION]])),"","NEED REF")</f>
        <v/>
      </c>
    </row>
    <row r="12511">
      <c r="B12511" t="n">
        <v>34401494</v>
      </c>
      <c r="C12511" s="2" t="n">
        <v>39352</v>
      </c>
      <c r="D12511" t="inlineStr">
        <is>
          <t>SPEC</t>
        </is>
      </c>
      <c r="E12511" t="inlineStr">
        <is>
          <t>CABLAGE ARMOIRE DJ BAT 800kVA avec la carte ACHET</t>
        </is>
      </c>
      <c r="F12511" t="inlineStr">
        <is>
          <t>GALAXY 6000-9000</t>
        </is>
      </c>
      <c r="J12511" t="inlineStr">
        <is>
          <t>ÇAKIR</t>
        </is>
      </c>
      <c r="L12511">
        <f>_xlfn.XLOOKUP(Tableau1[[#This Row],[TYPE DE PIECE]],Tableau4[MATIERE],Tableau4[SHORT TYPE],"",0,1)</f>
        <v/>
      </c>
      <c r="N12511">
        <f>IF(ISERR(FIND("DECOUPE",Tableau1[[#This Row],[DESIGNATION]])),"","NEED REF")</f>
        <v/>
      </c>
    </row>
    <row r="12512">
      <c r="B12512" t="n">
        <v>34401493</v>
      </c>
      <c r="C12512" s="2" t="n">
        <v>39345</v>
      </c>
      <c r="D12512" t="inlineStr">
        <is>
          <t>NOM</t>
        </is>
      </c>
      <c r="E12512" t="inlineStr">
        <is>
          <t>LG G3K20kVA arm by pass TFO type SNCF</t>
        </is>
      </c>
      <c r="F12512" t="inlineStr">
        <is>
          <t>G3K</t>
        </is>
      </c>
      <c r="J12512" t="inlineStr">
        <is>
          <t>REVEL</t>
        </is>
      </c>
      <c r="L12512">
        <f>_xlfn.XLOOKUP(Tableau1[[#This Row],[TYPE DE PIECE]],Tableau4[MATIERE],Tableau4[SHORT TYPE],"",0,1)</f>
        <v/>
      </c>
      <c r="N12512">
        <f>IF(ISERR(FIND("DECOUPE",Tableau1[[#This Row],[DESIGNATION]])),"","NEED REF")</f>
        <v/>
      </c>
    </row>
    <row r="12513">
      <c r="B12513" t="n">
        <v>34401492</v>
      </c>
      <c r="C12513" s="2" t="n">
        <v>39335</v>
      </c>
      <c r="D12513" t="inlineStr">
        <is>
          <t>PV</t>
        </is>
      </c>
      <c r="E12513" t="inlineStr">
        <is>
          <t>Feuille de contrôle pour Coffret ATOS Climatisé + 1 Pulsar 1500 + Hot swap</t>
        </is>
      </c>
      <c r="F12513" t="inlineStr">
        <is>
          <t>Baie ATOS</t>
        </is>
      </c>
      <c r="J12513" t="inlineStr">
        <is>
          <t>MATRION</t>
        </is>
      </c>
      <c r="L12513">
        <f>_xlfn.XLOOKUP(Tableau1[[#This Row],[TYPE DE PIECE]],Tableau4[MATIERE],Tableau4[SHORT TYPE],"",0,1)</f>
        <v/>
      </c>
      <c r="N12513">
        <f>IF(ISERR(FIND("DECOUPE",Tableau1[[#This Row],[DESIGNATION]])),"","NEED REF")</f>
        <v/>
      </c>
    </row>
    <row r="12514">
      <c r="B12514" t="n">
        <v>34401491</v>
      </c>
      <c r="C12514" s="2" t="n">
        <v>39332</v>
      </c>
      <c r="D12514" t="inlineStr">
        <is>
          <t>SPEC</t>
        </is>
      </c>
      <c r="E12514" t="inlineStr">
        <is>
          <t>SELF DE COMPENSATION 800kVA 60hz COS Phi 0,9</t>
        </is>
      </c>
      <c r="F12514" t="inlineStr">
        <is>
          <t>GALAXY 6000-9000</t>
        </is>
      </c>
      <c r="J12514" t="inlineStr">
        <is>
          <t>FOLTZ</t>
        </is>
      </c>
      <c r="L12514">
        <f>_xlfn.XLOOKUP(Tableau1[[#This Row],[TYPE DE PIECE]],Tableau4[MATIERE],Tableau4[SHORT TYPE],"",0,1)</f>
        <v/>
      </c>
      <c r="N12514">
        <f>IF(ISERR(FIND("DECOUPE",Tableau1[[#This Row],[DESIGNATION]])),"","NEED REF")</f>
        <v/>
      </c>
    </row>
    <row r="12515">
      <c r="B12515" t="n">
        <v>34401490</v>
      </c>
      <c r="C12515" s="2" t="n">
        <v>39332</v>
      </c>
      <c r="D12515" t="inlineStr">
        <is>
          <t>SPEC</t>
        </is>
      </c>
      <c r="E12515" t="inlineStr">
        <is>
          <t>SELF ANTI-HARMONIQUE 800kVA 60HZ COS Phi 0,9</t>
        </is>
      </c>
      <c r="F12515" t="inlineStr">
        <is>
          <t>GALAXY 6000-9000</t>
        </is>
      </c>
      <c r="J12515" t="inlineStr">
        <is>
          <t>FOLTZ</t>
        </is>
      </c>
      <c r="L12515">
        <f>_xlfn.XLOOKUP(Tableau1[[#This Row],[TYPE DE PIECE]],Tableau4[MATIERE],Tableau4[SHORT TYPE],"",0,1)</f>
        <v/>
      </c>
      <c r="N12515">
        <f>IF(ISERR(FIND("DECOUPE",Tableau1[[#This Row],[DESIGNATION]])),"","NEED REF")</f>
        <v/>
      </c>
    </row>
    <row r="12516">
      <c r="B12516" t="n">
        <v>34401489</v>
      </c>
      <c r="C12516" s="2" t="n">
        <v>39329</v>
      </c>
      <c r="D12516" t="inlineStr">
        <is>
          <t>SPEC</t>
        </is>
      </c>
      <c r="E12516" t="inlineStr">
        <is>
          <t>GALAXY 1000 PW UNITAIRE 40KVA 400V 230V 50HZ</t>
        </is>
      </c>
      <c r="F12516" t="inlineStr">
        <is>
          <t>GALAXY 1000 PW</t>
        </is>
      </c>
      <c r="J12516" t="inlineStr">
        <is>
          <t>JAMAD</t>
        </is>
      </c>
      <c r="L12516">
        <f>_xlfn.XLOOKUP(Tableau1[[#This Row],[TYPE DE PIECE]],Tableau4[MATIERE],Tableau4[SHORT TYPE],"",0,1)</f>
        <v/>
      </c>
      <c r="N12516">
        <f>IF(ISERR(FIND("DECOUPE",Tableau1[[#This Row],[DESIGNATION]])),"","NEED REF")</f>
        <v/>
      </c>
    </row>
    <row r="12517">
      <c r="B12517" t="n">
        <v>34401488</v>
      </c>
      <c r="C12517" s="2" t="n">
        <v>39328</v>
      </c>
      <c r="D12517" t="inlineStr">
        <is>
          <t xml:space="preserve">D.montage </t>
        </is>
      </c>
      <c r="E12517" t="inlineStr">
        <is>
          <t>DOSSIER DE MONTAGE DE 2 KIT DJ EN ARMOIRE GALAXY 5000 L=1010mm</t>
        </is>
      </c>
      <c r="F12517" t="inlineStr">
        <is>
          <t>GALAXY 5000</t>
        </is>
      </c>
      <c r="J12517" t="inlineStr">
        <is>
          <t>MAHMOUDI</t>
        </is>
      </c>
      <c r="L12517">
        <f>_xlfn.XLOOKUP(Tableau1[[#This Row],[TYPE DE PIECE]],Tableau4[MATIERE],Tableau4[SHORT TYPE],"",0,1)</f>
        <v/>
      </c>
      <c r="N12517">
        <f>IF(ISERR(FIND("DECOUPE",Tableau1[[#This Row],[DESIGNATION]])),"","NEED REF")</f>
        <v/>
      </c>
    </row>
    <row r="12518">
      <c r="B12518" t="n">
        <v>34401487</v>
      </c>
      <c r="C12518" s="2" t="n">
        <v>39328</v>
      </c>
      <c r="D12518" t="inlineStr">
        <is>
          <t>CDC</t>
        </is>
      </c>
      <c r="E12518" t="inlineStr">
        <is>
          <t>CDC Skid Galaxy 1000PW 60kVA</t>
        </is>
      </c>
      <c r="F12518" t="inlineStr">
        <is>
          <t>GALAXY 1000 PW</t>
        </is>
      </c>
      <c r="J12518" t="inlineStr">
        <is>
          <t>DESPERRIER</t>
        </is>
      </c>
      <c r="L12518">
        <f>_xlfn.XLOOKUP(Tableau1[[#This Row],[TYPE DE PIECE]],Tableau4[MATIERE],Tableau4[SHORT TYPE],"",0,1)</f>
        <v/>
      </c>
      <c r="N12518">
        <f>IF(ISERR(FIND("DECOUPE",Tableau1[[#This Row],[DESIGNATION]])),"","NEED REF")</f>
        <v/>
      </c>
    </row>
    <row r="12519">
      <c r="B12519" t="n">
        <v>34401486</v>
      </c>
      <c r="C12519" s="2" t="n">
        <v>39321</v>
      </c>
      <c r="D12519" t="inlineStr">
        <is>
          <t>CDC</t>
        </is>
      </c>
      <c r="E12519" t="inlineStr">
        <is>
          <t>CDC Montage 2 SW 60A// dans une armoire SAREL 200x1200x800</t>
        </is>
      </c>
      <c r="F12519" t="inlineStr">
        <is>
          <t>SINEWAVE</t>
        </is>
      </c>
      <c r="J12519" t="inlineStr">
        <is>
          <t>ROBERT</t>
        </is>
      </c>
      <c r="L12519">
        <f>_xlfn.XLOOKUP(Tableau1[[#This Row],[TYPE DE PIECE]],Tableau4[MATIERE],Tableau4[SHORT TYPE],"",0,1)</f>
        <v/>
      </c>
      <c r="N12519">
        <f>IF(ISERR(FIND("DECOUPE",Tableau1[[#This Row],[DESIGNATION]])),"","NEED REF")</f>
        <v/>
      </c>
    </row>
    <row r="12520">
      <c r="B12520" t="n">
        <v>34401485</v>
      </c>
      <c r="C12520" s="2" t="n">
        <v>39321</v>
      </c>
      <c r="D12520" t="inlineStr">
        <is>
          <t>NOM</t>
        </is>
      </c>
      <c r="E12520" t="inlineStr">
        <is>
          <t xml:space="preserve">KIT TRANSF G6K 500kVA UNITAIRE EN // </t>
        </is>
      </c>
      <c r="F12520" t="inlineStr">
        <is>
          <t>GALAXY 6000</t>
        </is>
      </c>
      <c r="J12520" t="inlineStr">
        <is>
          <t>MATRION</t>
        </is>
      </c>
      <c r="L12520">
        <f>_xlfn.XLOOKUP(Tableau1[[#This Row],[TYPE DE PIECE]],Tableau4[MATIERE],Tableau4[SHORT TYPE],"",0,1)</f>
        <v/>
      </c>
      <c r="N12520">
        <f>IF(ISERR(FIND("DECOUPE",Tableau1[[#This Row],[DESIGNATION]])),"","NEED REF")</f>
        <v/>
      </c>
    </row>
    <row r="12521">
      <c r="B12521" t="n">
        <v>34401484</v>
      </c>
      <c r="C12521" s="2" t="n">
        <v>39318</v>
      </c>
      <c r="D12521" t="inlineStr">
        <is>
          <t>NOM</t>
        </is>
      </c>
      <c r="E12521" t="inlineStr">
        <is>
          <t>LG IP22 COULEUR SPECIALE ARM AUX&amp;BATT GAL L=800 (tip38)</t>
        </is>
      </c>
      <c r="F12521" t="inlineStr">
        <is>
          <t>GALAXY 6000</t>
        </is>
      </c>
      <c r="J12521" t="inlineStr">
        <is>
          <t>ROBERT</t>
        </is>
      </c>
      <c r="L12521">
        <f>_xlfn.XLOOKUP(Tableau1[[#This Row],[TYPE DE PIECE]],Tableau4[MATIERE],Tableau4[SHORT TYPE],"",0,1)</f>
        <v/>
      </c>
      <c r="N12521">
        <f>IF(ISERR(FIND("DECOUPE",Tableau1[[#This Row],[DESIGNATION]])),"","NEED REF")</f>
        <v/>
      </c>
    </row>
    <row r="12522">
      <c r="B12522" t="n">
        <v>34401483</v>
      </c>
      <c r="C12522" s="2" t="n">
        <v>39318</v>
      </c>
      <c r="D12522" t="inlineStr">
        <is>
          <t>SPEC</t>
        </is>
      </c>
      <c r="E12522" t="inlineStr">
        <is>
          <t>Porte gauche IP 22 decoupe vision L=807 GALAXY 160--&gt;400kVA</t>
        </is>
      </c>
      <c r="F12522" t="inlineStr">
        <is>
          <t>GALAXY 6000</t>
        </is>
      </c>
      <c r="J12522" t="inlineStr">
        <is>
          <t>ROBERT</t>
        </is>
      </c>
      <c r="L12522">
        <f>_xlfn.XLOOKUP(Tableau1[[#This Row],[TYPE DE PIECE]],Tableau4[MATIERE],Tableau4[SHORT TYPE],"",0,1)</f>
        <v/>
      </c>
      <c r="N12522">
        <f>IF(ISERR(FIND("DECOUPE",Tableau1[[#This Row],[DESIGNATION]])),"","NEED REF")</f>
        <v/>
      </c>
    </row>
    <row r="12523">
      <c r="B12523" t="n">
        <v>34401482</v>
      </c>
      <c r="C12523" s="2" t="n">
        <v>39318</v>
      </c>
      <c r="D12523" t="inlineStr">
        <is>
          <t>NOM</t>
        </is>
      </c>
      <c r="E12523" t="inlineStr">
        <is>
          <t>LG IP22 COULEUR SPECIALE ARM AUX&amp;BATT GAL L=1000 (tip38)</t>
        </is>
      </c>
      <c r="F12523" t="inlineStr">
        <is>
          <t>GALAXY 6000</t>
        </is>
      </c>
      <c r="J12523" t="inlineStr">
        <is>
          <t>ROBERT</t>
        </is>
      </c>
      <c r="L12523">
        <f>_xlfn.XLOOKUP(Tableau1[[#This Row],[TYPE DE PIECE]],Tableau4[MATIERE],Tableau4[SHORT TYPE],"",0,1)</f>
        <v/>
      </c>
      <c r="N12523">
        <f>IF(ISERR(FIND("DECOUPE",Tableau1[[#This Row],[DESIGNATION]])),"","NEED REF")</f>
        <v/>
      </c>
    </row>
    <row r="12524">
      <c r="B12524" t="n">
        <v>34401481</v>
      </c>
      <c r="C12524" s="2" t="n">
        <v>39318</v>
      </c>
      <c r="D12524" t="inlineStr">
        <is>
          <t>NOM</t>
        </is>
      </c>
      <c r="E12524" t="inlineStr">
        <is>
          <t>LG IP22 COULEUR SPECIALE ARM AUX&amp;BATT GAL L=1200 (tip38)</t>
        </is>
      </c>
      <c r="F12524" t="inlineStr">
        <is>
          <t>GALAXY 6000</t>
        </is>
      </c>
      <c r="J12524" t="inlineStr">
        <is>
          <t>ROBERT</t>
        </is>
      </c>
      <c r="L12524">
        <f>_xlfn.XLOOKUP(Tableau1[[#This Row],[TYPE DE PIECE]],Tableau4[MATIERE],Tableau4[SHORT TYPE],"",0,1)</f>
        <v/>
      </c>
      <c r="N12524">
        <f>IF(ISERR(FIND("DECOUPE",Tableau1[[#This Row],[DESIGNATION]])),"","NEED REF")</f>
        <v/>
      </c>
    </row>
    <row r="12525">
      <c r="B12525" t="n">
        <v>34401480</v>
      </c>
      <c r="C12525" s="2" t="n">
        <v>39318</v>
      </c>
      <c r="D12525" t="inlineStr">
        <is>
          <t>CDC</t>
        </is>
      </c>
      <c r="E12525" t="inlineStr">
        <is>
          <t>Sous-traitance adaptation caillebotis 1200 en 1000 pour intégration dans arm. SAREL</t>
        </is>
      </c>
      <c r="F12525" t="inlineStr">
        <is>
          <t>GALAXY 6000</t>
        </is>
      </c>
      <c r="J12525" t="inlineStr">
        <is>
          <t>MATRION</t>
        </is>
      </c>
      <c r="L12525">
        <f>_xlfn.XLOOKUP(Tableau1[[#This Row],[TYPE DE PIECE]],Tableau4[MATIERE],Tableau4[SHORT TYPE],"",0,1)</f>
        <v/>
      </c>
      <c r="N12525">
        <f>IF(ISERR(FIND("DECOUPE",Tableau1[[#This Row],[DESIGNATION]])),"","NEED REF")</f>
        <v/>
      </c>
    </row>
    <row r="12526">
      <c r="B12526" t="n">
        <v>34401479</v>
      </c>
      <c r="C12526" s="2" t="n">
        <v>39300</v>
      </c>
      <c r="D12526" t="inlineStr">
        <is>
          <t>NOM</t>
        </is>
      </c>
      <c r="E12526" t="inlineStr">
        <is>
          <t>LG IP32 COULEUR SPECIALE ARM AUX L=800 (tip38)</t>
        </is>
      </c>
      <c r="F12526" t="inlineStr">
        <is>
          <t>GALAXY 6000</t>
        </is>
      </c>
      <c r="J12526" t="inlineStr">
        <is>
          <t>ROBERT</t>
        </is>
      </c>
      <c r="L12526">
        <f>_xlfn.XLOOKUP(Tableau1[[#This Row],[TYPE DE PIECE]],Tableau4[MATIERE],Tableau4[SHORT TYPE],"",0,1)</f>
        <v/>
      </c>
      <c r="N12526">
        <f>IF(ISERR(FIND("DECOUPE",Tableau1[[#This Row],[DESIGNATION]])),"","NEED REF")</f>
        <v/>
      </c>
    </row>
    <row r="12527">
      <c r="B12527" t="n">
        <v>34401478</v>
      </c>
      <c r="C12527" s="2" t="n">
        <v>39300</v>
      </c>
      <c r="D12527" t="inlineStr">
        <is>
          <t>NOM</t>
        </is>
      </c>
      <c r="E12527" t="inlineStr">
        <is>
          <t>LG IP32 COULEUR SPECIALE GAL 160--&gt;400kVA (tip38)</t>
        </is>
      </c>
      <c r="F12527" t="inlineStr">
        <is>
          <t>GALAXY 6000</t>
        </is>
      </c>
      <c r="J12527" t="inlineStr">
        <is>
          <t>ROBERT</t>
        </is>
      </c>
      <c r="L12527">
        <f>_xlfn.XLOOKUP(Tableau1[[#This Row],[TYPE DE PIECE]],Tableau4[MATIERE],Tableau4[SHORT TYPE],"",0,1)</f>
        <v/>
      </c>
      <c r="N12527">
        <f>IF(ISERR(FIND("DECOUPE",Tableau1[[#This Row],[DESIGNATION]])),"","NEED REF")</f>
        <v/>
      </c>
    </row>
    <row r="12528">
      <c r="B12528" t="n">
        <v>34401477</v>
      </c>
      <c r="C12528" s="2" t="n">
        <v>39300</v>
      </c>
      <c r="D12528" t="inlineStr">
        <is>
          <t>NOM</t>
        </is>
      </c>
      <c r="E12528" t="inlineStr">
        <is>
          <t>LG Couplage BATT 300Kva Contact OF 3xDJ C1251N par relais RXM2AB1BD</t>
        </is>
      </c>
      <c r="F12528" t="inlineStr">
        <is>
          <t>GALAXY 6000</t>
        </is>
      </c>
      <c r="J12528" t="inlineStr">
        <is>
          <t>MATRION</t>
        </is>
      </c>
      <c r="L12528">
        <f>_xlfn.XLOOKUP(Tableau1[[#This Row],[TYPE DE PIECE]],Tableau4[MATIERE],Tableau4[SHORT TYPE],"",0,1)</f>
        <v/>
      </c>
      <c r="N12528">
        <f>IF(ISERR(FIND("DECOUPE",Tableau1[[#This Row],[DESIGNATION]])),"","NEED REF")</f>
        <v/>
      </c>
    </row>
    <row r="12529">
      <c r="B12529" t="n">
        <v>34401476</v>
      </c>
      <c r="C12529" s="2" t="n">
        <v>39296</v>
      </c>
      <c r="D12529" t="inlineStr">
        <is>
          <t>NOM</t>
        </is>
      </c>
      <c r="E12529" t="inlineStr">
        <is>
          <t>LG SW 120A EN ARM GAL 6000 L=1010 SUR BORNIERS</t>
        </is>
      </c>
      <c r="F12529" t="inlineStr">
        <is>
          <t>GALAXY 6000</t>
        </is>
      </c>
      <c r="J12529" t="inlineStr">
        <is>
          <t>FOLTZ</t>
        </is>
      </c>
      <c r="L12529">
        <f>_xlfn.XLOOKUP(Tableau1[[#This Row],[TYPE DE PIECE]],Tableau4[MATIERE],Tableau4[SHORT TYPE],"",0,1)</f>
        <v/>
      </c>
      <c r="N12529">
        <f>IF(ISERR(FIND("DECOUPE",Tableau1[[#This Row],[DESIGNATION]])),"","NEED REF")</f>
        <v/>
      </c>
    </row>
    <row r="12530">
      <c r="B12530" t="n">
        <v>34401475</v>
      </c>
      <c r="C12530" s="2" t="n">
        <v>39295</v>
      </c>
      <c r="D12530" t="inlineStr">
        <is>
          <t>NOM</t>
        </is>
      </c>
      <c r="E12530" t="inlineStr">
        <is>
          <t>Selon le CDC Atos + Etude</t>
        </is>
      </c>
      <c r="F12530" t="inlineStr">
        <is>
          <t>Baie ATOS</t>
        </is>
      </c>
      <c r="J12530" t="inlineStr">
        <is>
          <t>MATRION</t>
        </is>
      </c>
      <c r="L12530">
        <f>_xlfn.XLOOKUP(Tableau1[[#This Row],[TYPE DE PIECE]],Tableau4[MATIERE],Tableau4[SHORT TYPE],"",0,1)</f>
        <v/>
      </c>
      <c r="N12530">
        <f>IF(ISERR(FIND("DECOUPE",Tableau1[[#This Row],[DESIGNATION]])),"","NEED REF")</f>
        <v/>
      </c>
    </row>
    <row r="12531">
      <c r="B12531" t="n">
        <v>34401474</v>
      </c>
      <c r="C12531" s="2" t="n">
        <v>39294</v>
      </c>
      <c r="D12531" t="inlineStr">
        <is>
          <t>NOM</t>
        </is>
      </c>
      <c r="F12531" t="inlineStr">
        <is>
          <t>STS 400A Sarel 500</t>
        </is>
      </c>
      <c r="J12531" t="inlineStr">
        <is>
          <t>MATRION</t>
        </is>
      </c>
      <c r="L12531">
        <f>_xlfn.XLOOKUP(Tableau1[[#This Row],[TYPE DE PIECE]],Tableau4[MATIERE],Tableau4[SHORT TYPE],"",0,1)</f>
        <v/>
      </c>
      <c r="N12531">
        <f>IF(ISERR(FIND("DECOUPE",Tableau1[[#This Row],[DESIGNATION]])),"","NEED REF")</f>
        <v/>
      </c>
    </row>
    <row r="12532">
      <c r="B12532" t="n">
        <v>34401473</v>
      </c>
      <c r="C12532" s="2" t="n">
        <v>39294</v>
      </c>
      <c r="D12532" t="inlineStr">
        <is>
          <t>NOM</t>
        </is>
      </c>
      <c r="E12532" t="inlineStr">
        <is>
          <t>Traverse de structure STS 400A en Armoire Sarel 1200x2200x500</t>
        </is>
      </c>
      <c r="F12532" t="inlineStr">
        <is>
          <t>STS 400A Sarel 500</t>
        </is>
      </c>
      <c r="J12532" t="inlineStr">
        <is>
          <t>MATRION</t>
        </is>
      </c>
      <c r="L12532">
        <f>_xlfn.XLOOKUP(Tableau1[[#This Row],[TYPE DE PIECE]],Tableau4[MATIERE],Tableau4[SHORT TYPE],"",0,1)</f>
        <v/>
      </c>
      <c r="N12532">
        <f>IF(ISERR(FIND("DECOUPE",Tableau1[[#This Row],[DESIGNATION]])),"","NEED REF")</f>
        <v/>
      </c>
    </row>
    <row r="12533">
      <c r="B12533" t="n">
        <v>34401472</v>
      </c>
      <c r="C12533" s="2" t="n">
        <v>39290</v>
      </c>
      <c r="D12533" t="inlineStr">
        <is>
          <t>CDC</t>
        </is>
      </c>
      <c r="E12533" t="inlineStr">
        <is>
          <t>CDC CANALIS sur TOIT NS2000 et ARMOIRE AUXILIAIRE</t>
        </is>
      </c>
      <c r="F12533" t="inlineStr">
        <is>
          <t>GALAXY 6000</t>
        </is>
      </c>
      <c r="J12533" t="inlineStr">
        <is>
          <t>ÇAKIR</t>
        </is>
      </c>
      <c r="L12533">
        <f>_xlfn.XLOOKUP(Tableau1[[#This Row],[TYPE DE PIECE]],Tableau4[MATIERE],Tableau4[SHORT TYPE],"",0,1)</f>
        <v/>
      </c>
      <c r="N12533">
        <f>IF(ISERR(FIND("DECOUPE",Tableau1[[#This Row],[DESIGNATION]])),"","NEED REF")</f>
        <v/>
      </c>
    </row>
    <row r="12534">
      <c r="B12534" t="n">
        <v>34401471</v>
      </c>
      <c r="C12534" s="2" t="n">
        <v>39289</v>
      </c>
      <c r="D12534" t="inlineStr">
        <is>
          <t>CDC</t>
        </is>
      </c>
      <c r="E12534" t="inlineStr">
        <is>
          <t>CDC ARMOIRE INVERSEUR DE SOURCE 400KVA</t>
        </is>
      </c>
      <c r="F12534" t="inlineStr">
        <is>
          <t>GALAXY 6000</t>
        </is>
      </c>
      <c r="J12534" t="inlineStr">
        <is>
          <t>MATRION</t>
        </is>
      </c>
      <c r="L12534">
        <f>_xlfn.XLOOKUP(Tableau1[[#This Row],[TYPE DE PIECE]],Tableau4[MATIERE],Tableau4[SHORT TYPE],"",0,1)</f>
        <v/>
      </c>
      <c r="N12534">
        <f>IF(ISERR(FIND("DECOUPE",Tableau1[[#This Row],[DESIGNATION]])),"","NEED REF")</f>
        <v/>
      </c>
    </row>
    <row r="12535">
      <c r="B12535" t="n">
        <v>34401470</v>
      </c>
      <c r="C12535" s="2" t="n">
        <v>39287</v>
      </c>
      <c r="D12535" t="inlineStr">
        <is>
          <t>SPEC</t>
        </is>
      </c>
      <c r="E12535" t="inlineStr">
        <is>
          <t>ATFO PHASE SHIFTING 1000kVA  P1=+15° N1=-15° P3=+30°</t>
        </is>
      </c>
      <c r="F12535" t="inlineStr">
        <is>
          <t>GALAXY</t>
        </is>
      </c>
      <c r="J12535" t="inlineStr">
        <is>
          <t>ÇAKIR</t>
        </is>
      </c>
      <c r="L12535">
        <f>_xlfn.XLOOKUP(Tableau1[[#This Row],[TYPE DE PIECE]],Tableau4[MATIERE],Tableau4[SHORT TYPE],"",0,1)</f>
        <v/>
      </c>
      <c r="N12535">
        <f>IF(ISERR(FIND("DECOUPE",Tableau1[[#This Row],[DESIGNATION]])),"","NEED REF")</f>
        <v/>
      </c>
    </row>
    <row r="12536">
      <c r="B12536" t="n">
        <v>34401469</v>
      </c>
      <c r="C12536" s="2" t="n">
        <v>39287</v>
      </c>
      <c r="D12536" t="inlineStr">
        <is>
          <t>CDC</t>
        </is>
      </c>
      <c r="E12536" t="inlineStr">
        <is>
          <t>CDC ARMOIRE DE COUPLAGE 3 ASI (ECLISSAGE AVEC NS 1200kVA)</t>
        </is>
      </c>
      <c r="F12536" t="inlineStr">
        <is>
          <t>GALAXY</t>
        </is>
      </c>
      <c r="J12536" t="inlineStr">
        <is>
          <t>ROBERT</t>
        </is>
      </c>
      <c r="L12536">
        <f>_xlfn.XLOOKUP(Tableau1[[#This Row],[TYPE DE PIECE]],Tableau4[MATIERE],Tableau4[SHORT TYPE],"",0,1)</f>
        <v/>
      </c>
      <c r="N12536">
        <f>IF(ISERR(FIND("DECOUPE",Tableau1[[#This Row],[DESIGNATION]])),"","NEED REF")</f>
        <v/>
      </c>
    </row>
    <row r="12537">
      <c r="B12537" t="n">
        <v>34401468</v>
      </c>
      <c r="C12537" s="2" t="n">
        <v>39286</v>
      </c>
      <c r="D12537" t="inlineStr">
        <is>
          <t>CDC</t>
        </is>
      </c>
      <c r="E12537" t="inlineStr">
        <is>
          <t>CDC ADAPTATION NS1200 (ECLISSAGE AVEC ARMOIRE DE COUPLAGE)</t>
        </is>
      </c>
      <c r="F12537" t="inlineStr">
        <is>
          <t>GALAXY</t>
        </is>
      </c>
      <c r="J12537" t="inlineStr">
        <is>
          <t>ROBERT</t>
        </is>
      </c>
      <c r="L12537">
        <f>_xlfn.XLOOKUP(Tableau1[[#This Row],[TYPE DE PIECE]],Tableau4[MATIERE],Tableau4[SHORT TYPE],"",0,1)</f>
        <v/>
      </c>
      <c r="N12537">
        <f>IF(ISERR(FIND("DECOUPE",Tableau1[[#This Row],[DESIGNATION]])),"","NEED REF")</f>
        <v/>
      </c>
    </row>
    <row r="12538">
      <c r="B12538" t="n">
        <v>34401467</v>
      </c>
      <c r="C12538" s="2" t="n">
        <v>39286</v>
      </c>
      <c r="D12538" t="inlineStr">
        <is>
          <t>SPEC</t>
        </is>
      </c>
      <c r="E12538" t="inlineStr">
        <is>
          <t>Réhausse latéral pour armoir SAREL 500</t>
        </is>
      </c>
      <c r="F12538" t="inlineStr">
        <is>
          <t>STS 400A Sarel 500</t>
        </is>
      </c>
      <c r="J12538" t="inlineStr">
        <is>
          <t>MATRION</t>
        </is>
      </c>
      <c r="L12538">
        <f>_xlfn.XLOOKUP(Tableau1[[#This Row],[TYPE DE PIECE]],Tableau4[MATIERE],Tableau4[SHORT TYPE],"",0,1)</f>
        <v/>
      </c>
      <c r="N12538">
        <f>IF(ISERR(FIND("DECOUPE",Tableau1[[#This Row],[DESIGNATION]])),"","NEED REF")</f>
        <v/>
      </c>
    </row>
    <row r="12539">
      <c r="B12539" t="n">
        <v>34401466</v>
      </c>
      <c r="C12539" s="2" t="n">
        <v>39286</v>
      </c>
      <c r="D12539" t="inlineStr">
        <is>
          <t>SPEC</t>
        </is>
      </c>
      <c r="E12539" t="inlineStr">
        <is>
          <t>Bandeau latéral pour armoir SAREL 500</t>
        </is>
      </c>
      <c r="F12539" t="inlineStr">
        <is>
          <t>STS 400A Sarel 500</t>
        </is>
      </c>
      <c r="J12539" t="inlineStr">
        <is>
          <t>MATRION</t>
        </is>
      </c>
      <c r="L12539">
        <f>_xlfn.XLOOKUP(Tableau1[[#This Row],[TYPE DE PIECE]],Tableau4[MATIERE],Tableau4[SHORT TYPE],"",0,1)</f>
        <v/>
      </c>
      <c r="N12539">
        <f>IF(ISERR(FIND("DECOUPE",Tableau1[[#This Row],[DESIGNATION]])),"","NEED REF")</f>
        <v/>
      </c>
    </row>
    <row r="12540">
      <c r="B12540" t="n">
        <v>34401465</v>
      </c>
      <c r="C12540" s="2" t="n">
        <v>39283</v>
      </c>
      <c r="D12540" t="inlineStr">
        <is>
          <t>NOM</t>
        </is>
      </c>
      <c r="E12540" t="inlineStr">
        <is>
          <t xml:space="preserve">LG SINEWAVE 60A AVEC NEUTRE EN ARMOIRE GAL 800 </t>
        </is>
      </c>
      <c r="F12540" t="inlineStr">
        <is>
          <t>SINEWAVE</t>
        </is>
      </c>
      <c r="J12540" t="inlineStr">
        <is>
          <t>ROBERT</t>
        </is>
      </c>
      <c r="L12540">
        <f>_xlfn.XLOOKUP(Tableau1[[#This Row],[TYPE DE PIECE]],Tableau4[MATIERE],Tableau4[SHORT TYPE],"",0,1)</f>
        <v/>
      </c>
      <c r="N12540">
        <f>IF(ISERR(FIND("DECOUPE",Tableau1[[#This Row],[DESIGNATION]])),"","NEED REF")</f>
        <v/>
      </c>
    </row>
    <row r="12541">
      <c r="B12541" t="n">
        <v>34401464</v>
      </c>
      <c r="C12541" s="2" t="n">
        <v>39283</v>
      </c>
      <c r="D12541" t="inlineStr">
        <is>
          <t>SPEC</t>
        </is>
      </c>
      <c r="E12541" t="inlineStr">
        <is>
          <t>CAPOT AFFI COULEUR SPE TIGRE</t>
        </is>
      </c>
      <c r="F12541" t="inlineStr">
        <is>
          <t xml:space="preserve">PW </t>
        </is>
      </c>
      <c r="J12541" t="inlineStr">
        <is>
          <t>REVEL</t>
        </is>
      </c>
      <c r="L12541">
        <f>_xlfn.XLOOKUP(Tableau1[[#This Row],[TYPE DE PIECE]],Tableau4[MATIERE],Tableau4[SHORT TYPE],"",0,1)</f>
        <v/>
      </c>
      <c r="N12541">
        <f>IF(ISERR(FIND("DECOUPE",Tableau1[[#This Row],[DESIGNATION]])),"","NEED REF")</f>
        <v/>
      </c>
    </row>
    <row r="12542">
      <c r="B12542" t="n">
        <v>34401463</v>
      </c>
      <c r="C12542" s="2" t="n">
        <v>39283</v>
      </c>
      <c r="D12542" t="inlineStr">
        <is>
          <t>SPEC</t>
        </is>
      </c>
      <c r="E12542" t="inlineStr">
        <is>
          <t>CAPOT COSI COULEUR SPE TIGRE</t>
        </is>
      </c>
      <c r="F12542" t="inlineStr">
        <is>
          <t xml:space="preserve">PW </t>
        </is>
      </c>
      <c r="J12542" t="inlineStr">
        <is>
          <t>REVEL</t>
        </is>
      </c>
      <c r="L12542">
        <f>_xlfn.XLOOKUP(Tableau1[[#This Row],[TYPE DE PIECE]],Tableau4[MATIERE],Tableau4[SHORT TYPE],"",0,1)</f>
        <v/>
      </c>
      <c r="N12542">
        <f>IF(ISERR(FIND("DECOUPE",Tableau1[[#This Row],[DESIGNATION]])),"","NEED REF")</f>
        <v/>
      </c>
    </row>
    <row r="12543">
      <c r="B12543" t="n">
        <v>34401462</v>
      </c>
      <c r="C12543" s="2" t="n">
        <v>39279</v>
      </c>
      <c r="D12543" t="inlineStr">
        <is>
          <t>CDC</t>
        </is>
      </c>
      <c r="E12543" t="inlineStr">
        <is>
          <t>CDC ARMOIRES BATTERIES SELON OFFRES SAREL</t>
        </is>
      </c>
      <c r="F12543" t="inlineStr">
        <is>
          <t>MEYER WERFT</t>
        </is>
      </c>
      <c r="J12543" t="inlineStr">
        <is>
          <t>ROBERT</t>
        </is>
      </c>
      <c r="L12543">
        <f>_xlfn.XLOOKUP(Tableau1[[#This Row],[TYPE DE PIECE]],Tableau4[MATIERE],Tableau4[SHORT TYPE],"",0,1)</f>
        <v/>
      </c>
      <c r="N12543">
        <f>IF(ISERR(FIND("DECOUPE",Tableau1[[#This Row],[DESIGNATION]])),"","NEED REF")</f>
        <v/>
      </c>
    </row>
    <row r="12544">
      <c r="B12544" t="n">
        <v>34401461</v>
      </c>
      <c r="C12544" s="2" t="n">
        <v>39279</v>
      </c>
      <c r="D12544" t="inlineStr">
        <is>
          <t>CDC</t>
        </is>
      </c>
      <c r="E12544" t="inlineStr">
        <is>
          <t>Cahier des charges Plastron afficheur STS400A 4P en Armoire Sarel 1200x2200x500</t>
        </is>
      </c>
      <c r="F12544" t="inlineStr">
        <is>
          <t>STS 400A Sarel 500</t>
        </is>
      </c>
      <c r="J12544" t="inlineStr">
        <is>
          <t>MATRION</t>
        </is>
      </c>
      <c r="L12544">
        <f>_xlfn.XLOOKUP(Tableau1[[#This Row],[TYPE DE PIECE]],Tableau4[MATIERE],Tableau4[SHORT TYPE],"",0,1)</f>
        <v/>
      </c>
      <c r="N12544">
        <f>IF(ISERR(FIND("DECOUPE",Tableau1[[#This Row],[DESIGNATION]])),"","NEED REF")</f>
        <v/>
      </c>
    </row>
    <row r="12545">
      <c r="B12545" t="n">
        <v>34401460</v>
      </c>
      <c r="C12545" s="2" t="n">
        <v>39273</v>
      </c>
      <c r="D12545" t="inlineStr">
        <is>
          <t>NOM</t>
        </is>
      </c>
      <c r="E12545" t="inlineStr">
        <is>
          <t>LG IP32 COULEUR SPECIALE PW 160/200kVA (tip38)</t>
        </is>
      </c>
      <c r="F12545" t="inlineStr">
        <is>
          <t>GAL PW 160/200kVA</t>
        </is>
      </c>
      <c r="J12545" t="inlineStr">
        <is>
          <t>MAHMOUDI</t>
        </is>
      </c>
      <c r="L12545">
        <f>_xlfn.XLOOKUP(Tableau1[[#This Row],[TYPE DE PIECE]],Tableau4[MATIERE],Tableau4[SHORT TYPE],"",0,1)</f>
        <v/>
      </c>
      <c r="N12545">
        <f>IF(ISERR(FIND("DECOUPE",Tableau1[[#This Row],[DESIGNATION]])),"","NEED REF")</f>
        <v/>
      </c>
    </row>
    <row r="12546">
      <c r="B12546" t="n">
        <v>34401459</v>
      </c>
      <c r="C12546" s="2" t="n">
        <v>39269</v>
      </c>
      <c r="D12546" t="inlineStr">
        <is>
          <t>CDC</t>
        </is>
      </c>
      <c r="E12546" t="inlineStr">
        <is>
          <t>Sous-traitance suivant l'offre Atos</t>
        </is>
      </c>
      <c r="F12546" t="inlineStr">
        <is>
          <t>Baie ATOS</t>
        </is>
      </c>
      <c r="J12546" t="inlineStr">
        <is>
          <t>MATRION</t>
        </is>
      </c>
      <c r="L12546">
        <f>_xlfn.XLOOKUP(Tableau1[[#This Row],[TYPE DE PIECE]],Tableau4[MATIERE],Tableau4[SHORT TYPE],"",0,1)</f>
        <v/>
      </c>
      <c r="N12546">
        <f>IF(ISERR(FIND("DECOUPE",Tableau1[[#This Row],[DESIGNATION]])),"","NEED REF")</f>
        <v/>
      </c>
    </row>
    <row r="12547">
      <c r="B12547" t="n">
        <v>34401458</v>
      </c>
      <c r="C12547" s="2" t="n">
        <v>39266</v>
      </c>
      <c r="D12547" t="inlineStr">
        <is>
          <t>NOM</t>
        </is>
      </c>
      <c r="E12547" t="inlineStr">
        <is>
          <t>LG IP32 COULEUR SPECIALE ARM BATT PW 715x1900 (tip38)</t>
        </is>
      </c>
      <c r="F12547" t="inlineStr">
        <is>
          <t xml:space="preserve">GAL PW </t>
        </is>
      </c>
      <c r="J12547" t="inlineStr">
        <is>
          <t>ROBERT</t>
        </is>
      </c>
      <c r="L12547">
        <f>_xlfn.XLOOKUP(Tableau1[[#This Row],[TYPE DE PIECE]],Tableau4[MATIERE],Tableau4[SHORT TYPE],"",0,1)</f>
        <v/>
      </c>
      <c r="N12547">
        <f>IF(ISERR(FIND("DECOUPE",Tableau1[[#This Row],[DESIGNATION]])),"","NEED REF")</f>
        <v/>
      </c>
    </row>
    <row r="12548">
      <c r="B12548" t="n">
        <v>34401457</v>
      </c>
      <c r="C12548" s="2" t="n">
        <v>39262</v>
      </c>
      <c r="D12548" t="inlineStr">
        <is>
          <t>NOM</t>
        </is>
      </c>
      <c r="E12548" t="inlineStr">
        <is>
          <t>LG chgt habillage arm onduleur</t>
        </is>
      </c>
      <c r="F12548" t="inlineStr">
        <is>
          <t xml:space="preserve">Gal PW </t>
        </is>
      </c>
      <c r="J12548" t="inlineStr">
        <is>
          <t>REVEL</t>
        </is>
      </c>
      <c r="L12548">
        <f>_xlfn.XLOOKUP(Tableau1[[#This Row],[TYPE DE PIECE]],Tableau4[MATIERE],Tableau4[SHORT TYPE],"",0,1)</f>
        <v/>
      </c>
      <c r="N12548">
        <f>IF(ISERR(FIND("DECOUPE",Tableau1[[#This Row],[DESIGNATION]])),"","NEED REF")</f>
        <v/>
      </c>
    </row>
    <row r="12549">
      <c r="B12549" t="n">
        <v>34401456</v>
      </c>
      <c r="C12549" s="2" t="n">
        <v>39261</v>
      </c>
      <c r="D12549" t="inlineStr">
        <is>
          <t>NOM</t>
        </is>
      </c>
      <c r="E12549" t="inlineStr">
        <is>
          <t>LG STS 400A en Armoire Sarel 1200x2200x500</t>
        </is>
      </c>
      <c r="F12549" t="inlineStr">
        <is>
          <t>STS 400A Sarel 500</t>
        </is>
      </c>
      <c r="J12549" t="inlineStr">
        <is>
          <t>MATRION</t>
        </is>
      </c>
      <c r="L12549">
        <f>_xlfn.XLOOKUP(Tableau1[[#This Row],[TYPE DE PIECE]],Tableau4[MATIERE],Tableau4[SHORT TYPE],"",0,1)</f>
        <v/>
      </c>
      <c r="N12549">
        <f>IF(ISERR(FIND("DECOUPE",Tableau1[[#This Row],[DESIGNATION]])),"","NEED REF")</f>
        <v/>
      </c>
    </row>
    <row r="12550">
      <c r="B12550" t="n">
        <v>34401455</v>
      </c>
      <c r="C12550" s="2" t="n">
        <v>39261</v>
      </c>
      <c r="D12550" t="inlineStr">
        <is>
          <t>NOM</t>
        </is>
      </c>
      <c r="E12550" t="inlineStr">
        <is>
          <t>LG chgt habillage arm onduleur</t>
        </is>
      </c>
      <c r="F12550" t="inlineStr">
        <is>
          <t xml:space="preserve">Gal PW </t>
        </is>
      </c>
      <c r="J12550" t="inlineStr">
        <is>
          <t>REVEL</t>
        </is>
      </c>
      <c r="L12550">
        <f>_xlfn.XLOOKUP(Tableau1[[#This Row],[TYPE DE PIECE]],Tableau4[MATIERE],Tableau4[SHORT TYPE],"",0,1)</f>
        <v/>
      </c>
      <c r="N12550">
        <f>IF(ISERR(FIND("DECOUPE",Tableau1[[#This Row],[DESIGNATION]])),"","NEED REF")</f>
        <v/>
      </c>
    </row>
    <row r="12551">
      <c r="B12551" t="n">
        <v>34401454</v>
      </c>
      <c r="C12551" s="2" t="n">
        <v>39261</v>
      </c>
      <c r="D12551" t="inlineStr">
        <is>
          <t>NOM</t>
        </is>
      </c>
      <c r="E12551" t="inlineStr">
        <is>
          <t>LG chgt habillage arm bat 715 PW</t>
        </is>
      </c>
      <c r="F12551" t="inlineStr">
        <is>
          <t xml:space="preserve">Gal PW </t>
        </is>
      </c>
      <c r="J12551" t="inlineStr">
        <is>
          <t>REVEL</t>
        </is>
      </c>
      <c r="L12551">
        <f>_xlfn.XLOOKUP(Tableau1[[#This Row],[TYPE DE PIECE]],Tableau4[MATIERE],Tableau4[SHORT TYPE],"",0,1)</f>
        <v/>
      </c>
      <c r="N12551">
        <f>IF(ISERR(FIND("DECOUPE",Tableau1[[#This Row],[DESIGNATION]])),"","NEED REF")</f>
        <v/>
      </c>
    </row>
    <row r="12552">
      <c r="B12552" t="n">
        <v>34401453</v>
      </c>
      <c r="C12552" s="2" t="n">
        <v>39261</v>
      </c>
      <c r="D12552" t="inlineStr">
        <is>
          <t>NOM</t>
        </is>
      </c>
      <c r="E12552" t="inlineStr">
        <is>
          <t>LG chgt habillage arm bat 1015 PW</t>
        </is>
      </c>
      <c r="F12552" t="inlineStr">
        <is>
          <t xml:space="preserve">Gal PW </t>
        </is>
      </c>
      <c r="J12552" t="inlineStr">
        <is>
          <t>REVEL</t>
        </is>
      </c>
      <c r="L12552">
        <f>_xlfn.XLOOKUP(Tableau1[[#This Row],[TYPE DE PIECE]],Tableau4[MATIERE],Tableau4[SHORT TYPE],"",0,1)</f>
        <v/>
      </c>
      <c r="N12552">
        <f>IF(ISERR(FIND("DECOUPE",Tableau1[[#This Row],[DESIGNATION]])),"","NEED REF")</f>
        <v/>
      </c>
    </row>
    <row r="12553">
      <c r="B12553" t="n">
        <v>34401452</v>
      </c>
      <c r="C12553" s="2" t="n">
        <v>39259</v>
      </c>
      <c r="D12553" t="inlineStr">
        <is>
          <t>NOM</t>
        </is>
      </c>
      <c r="E12553" t="inlineStr">
        <is>
          <t>LG COMPLEMENTAIRE HABILLAGE NOUVELLE ESTHETIQUE POUR IP00 L=1600</t>
        </is>
      </c>
      <c r="F12553" t="inlineStr">
        <is>
          <t>GALAXY 6000</t>
        </is>
      </c>
      <c r="J12553" t="inlineStr">
        <is>
          <t>MAHMOUDI</t>
        </is>
      </c>
      <c r="L12553">
        <f>_xlfn.XLOOKUP(Tableau1[[#This Row],[TYPE DE PIECE]],Tableau4[MATIERE],Tableau4[SHORT TYPE],"",0,1)</f>
        <v/>
      </c>
      <c r="N12553">
        <f>IF(ISERR(FIND("DECOUPE",Tableau1[[#This Row],[DESIGNATION]])),"","NEED REF")</f>
        <v/>
      </c>
    </row>
    <row r="12554">
      <c r="B12554" t="n">
        <v>34401451</v>
      </c>
      <c r="C12554" s="2" t="n">
        <v>39247</v>
      </c>
      <c r="D12554" t="inlineStr">
        <is>
          <t>CDC</t>
        </is>
      </c>
      <c r="E12554" t="inlineStr">
        <is>
          <t>Cahier des charges STS400A 4P en Armoire Sarel 1200x2200x500</t>
        </is>
      </c>
      <c r="F12554" t="inlineStr">
        <is>
          <t>STS 400A Sarel 500</t>
        </is>
      </c>
      <c r="J12554" t="inlineStr">
        <is>
          <t>MATRION</t>
        </is>
      </c>
      <c r="L12554">
        <f>_xlfn.XLOOKUP(Tableau1[[#This Row],[TYPE DE PIECE]],Tableau4[MATIERE],Tableau4[SHORT TYPE],"",0,1)</f>
        <v/>
      </c>
      <c r="N12554">
        <f>IF(ISERR(FIND("DECOUPE",Tableau1[[#This Row],[DESIGNATION]])),"","NEED REF")</f>
        <v/>
      </c>
    </row>
    <row r="12555">
      <c r="B12555" t="n">
        <v>34401450</v>
      </c>
      <c r="C12555" s="2" t="n">
        <v>39247</v>
      </c>
      <c r="D12555" t="inlineStr">
        <is>
          <t>NOM</t>
        </is>
      </c>
      <c r="E12555" t="inlineStr">
        <is>
          <t>LG TOIT VENTIL PACK ADVANCE 200/400kVA L=400mm</t>
        </is>
      </c>
      <c r="F12555" t="inlineStr">
        <is>
          <t>GALAXY</t>
        </is>
      </c>
      <c r="J12555" t="inlineStr">
        <is>
          <t>MAHMOUDI</t>
        </is>
      </c>
      <c r="L12555">
        <f>_xlfn.XLOOKUP(Tableau1[[#This Row],[TYPE DE PIECE]],Tableau4[MATIERE],Tableau4[SHORT TYPE],"",0,1)</f>
        <v/>
      </c>
      <c r="N12555">
        <f>IF(ISERR(FIND("DECOUPE",Tableau1[[#This Row],[DESIGNATION]])),"","NEED REF")</f>
        <v/>
      </c>
    </row>
    <row r="12556">
      <c r="B12556" t="n">
        <v>34401449</v>
      </c>
      <c r="C12556" s="2" t="n">
        <v>39246</v>
      </c>
      <c r="D12556" t="inlineStr">
        <is>
          <t>NOM</t>
        </is>
      </c>
      <c r="E12556" t="inlineStr">
        <is>
          <t>LG IP 22 COULEUR SPECIALE  NS 500/800kVA (tip38)</t>
        </is>
      </c>
      <c r="F12556" t="inlineStr">
        <is>
          <t>GALAXY</t>
        </is>
      </c>
      <c r="J12556" t="inlineStr">
        <is>
          <t>ROBERT</t>
        </is>
      </c>
      <c r="L12556">
        <f>_xlfn.XLOOKUP(Tableau1[[#This Row],[TYPE DE PIECE]],Tableau4[MATIERE],Tableau4[SHORT TYPE],"",0,1)</f>
        <v/>
      </c>
      <c r="N12556">
        <f>IF(ISERR(FIND("DECOUPE",Tableau1[[#This Row],[DESIGNATION]])),"","NEED REF")</f>
        <v/>
      </c>
    </row>
    <row r="12557">
      <c r="B12557" t="n">
        <v>34401448</v>
      </c>
      <c r="C12557" s="2" t="n">
        <v>39246</v>
      </c>
      <c r="D12557" t="inlineStr">
        <is>
          <t>NOM</t>
        </is>
      </c>
      <c r="E12557" t="inlineStr">
        <is>
          <t>LG IP 22 COULEUR SPECIALE  GAL 6000 160/400kVA (tip38)</t>
        </is>
      </c>
      <c r="F12557" t="inlineStr">
        <is>
          <t>GALAXY</t>
        </is>
      </c>
      <c r="J12557" t="inlineStr">
        <is>
          <t>ROBERT</t>
        </is>
      </c>
      <c r="L12557">
        <f>_xlfn.XLOOKUP(Tableau1[[#This Row],[TYPE DE PIECE]],Tableau4[MATIERE],Tableau4[SHORT TYPE],"",0,1)</f>
        <v/>
      </c>
      <c r="N12557">
        <f>IF(ISERR(FIND("DECOUPE",Tableau1[[#This Row],[DESIGNATION]])),"","NEED REF")</f>
        <v/>
      </c>
    </row>
    <row r="12558">
      <c r="B12558" t="n">
        <v>34401447</v>
      </c>
      <c r="C12558" s="2" t="n">
        <v>39244</v>
      </c>
      <c r="D12558" t="inlineStr">
        <is>
          <t>NOM</t>
        </is>
      </c>
      <c r="E12558" t="inlineStr">
        <is>
          <t>LG IP 22 COULEUR SPECIALE  PW 1000 30kVA (tip38)</t>
        </is>
      </c>
      <c r="F12558" t="inlineStr">
        <is>
          <t>PW</t>
        </is>
      </c>
      <c r="J12558" t="inlineStr">
        <is>
          <t>ROBERT</t>
        </is>
      </c>
      <c r="L12558">
        <f>_xlfn.XLOOKUP(Tableau1[[#This Row],[TYPE DE PIECE]],Tableau4[MATIERE],Tableau4[SHORT TYPE],"",0,1)</f>
        <v/>
      </c>
      <c r="N12558">
        <f>IF(ISERR(FIND("DECOUPE",Tableau1[[#This Row],[DESIGNATION]])),"","NEED REF")</f>
        <v/>
      </c>
    </row>
    <row r="12559">
      <c r="B12559" t="n">
        <v>34401446</v>
      </c>
      <c r="C12559" s="2" t="n">
        <v>39238</v>
      </c>
      <c r="D12559" t="inlineStr">
        <is>
          <t>CDC</t>
        </is>
      </c>
      <c r="E12559" t="inlineStr">
        <is>
          <t xml:space="preserve">Serrure 3 points </t>
        </is>
      </c>
      <c r="F12559" t="inlineStr">
        <is>
          <t>G5K</t>
        </is>
      </c>
      <c r="J12559" t="inlineStr">
        <is>
          <t>REVEL</t>
        </is>
      </c>
      <c r="L12559">
        <f>_xlfn.XLOOKUP(Tableau1[[#This Row],[TYPE DE PIECE]],Tableau4[MATIERE],Tableau4[SHORT TYPE],"",0,1)</f>
        <v/>
      </c>
      <c r="N12559">
        <f>IF(ISERR(FIND("DECOUPE",Tableau1[[#This Row],[DESIGNATION]])),"","NEED REF")</f>
        <v/>
      </c>
    </row>
    <row r="12560">
      <c r="B12560" t="n">
        <v>34401445</v>
      </c>
      <c r="C12560" s="2" t="n">
        <v>39238</v>
      </c>
      <c r="D12560" t="inlineStr">
        <is>
          <t>CDC</t>
        </is>
      </c>
      <c r="E12560" t="inlineStr">
        <is>
          <t>Coffret 3 disjoncteur batterie</t>
        </is>
      </c>
      <c r="F12560" t="inlineStr">
        <is>
          <t>G5K</t>
        </is>
      </c>
      <c r="J12560" t="inlineStr">
        <is>
          <t>REVEL</t>
        </is>
      </c>
      <c r="L12560">
        <f>_xlfn.XLOOKUP(Tableau1[[#This Row],[TYPE DE PIECE]],Tableau4[MATIERE],Tableau4[SHORT TYPE],"",0,1)</f>
        <v/>
      </c>
      <c r="N12560">
        <f>IF(ISERR(FIND("DECOUPE",Tableau1[[#This Row],[DESIGNATION]])),"","NEED REF")</f>
        <v/>
      </c>
    </row>
    <row r="12561">
      <c r="B12561" t="n">
        <v>34401444</v>
      </c>
      <c r="C12561" s="2" t="n">
        <v>39237</v>
      </c>
      <c r="D12561" t="inlineStr">
        <is>
          <t>SPEC</t>
        </is>
      </c>
      <c r="E12561" t="inlineStr">
        <is>
          <t>Toron bypass-module électronique</t>
        </is>
      </c>
      <c r="F12561" t="inlineStr">
        <is>
          <t>STS 400A Sarel 500</t>
        </is>
      </c>
      <c r="J12561" t="inlineStr">
        <is>
          <t>MATRION</t>
        </is>
      </c>
      <c r="L12561">
        <f>_xlfn.XLOOKUP(Tableau1[[#This Row],[TYPE DE PIECE]],Tableau4[MATIERE],Tableau4[SHORT TYPE],"",0,1)</f>
        <v/>
      </c>
      <c r="N12561">
        <f>IF(ISERR(FIND("DECOUPE",Tableau1[[#This Row],[DESIGNATION]])),"","NEED REF")</f>
        <v/>
      </c>
    </row>
    <row r="12562">
      <c r="B12562" t="n">
        <v>34401443</v>
      </c>
      <c r="C12562" s="2" t="n">
        <v>39237</v>
      </c>
      <c r="D12562" t="inlineStr">
        <is>
          <t>SPEC</t>
        </is>
      </c>
      <c r="E12562" t="inlineStr">
        <is>
          <t>Toron cs-module droe phase 1,2,3</t>
        </is>
      </c>
      <c r="F12562" t="inlineStr">
        <is>
          <t>STS 400A Sarel 500</t>
        </is>
      </c>
      <c r="J12562" t="inlineStr">
        <is>
          <t>MATRION</t>
        </is>
      </c>
      <c r="L12562">
        <f>_xlfn.XLOOKUP(Tableau1[[#This Row],[TYPE DE PIECE]],Tableau4[MATIERE],Tableau4[SHORT TYPE],"",0,1)</f>
        <v/>
      </c>
      <c r="N12562">
        <f>IF(ISERR(FIND("DECOUPE",Tableau1[[#This Row],[DESIGNATION]])),"","NEED REF")</f>
        <v/>
      </c>
    </row>
    <row r="12563">
      <c r="B12563" t="n">
        <v>34401442</v>
      </c>
      <c r="C12563" s="2" t="n">
        <v>39237</v>
      </c>
      <c r="D12563" t="inlineStr">
        <is>
          <t>SPEC</t>
        </is>
      </c>
      <c r="E12563" t="inlineStr">
        <is>
          <t>Toron option neutre alme-drue</t>
        </is>
      </c>
      <c r="F12563" t="inlineStr">
        <is>
          <t>STS 400A Sarel 500</t>
        </is>
      </c>
      <c r="J12563" t="inlineStr">
        <is>
          <t>MATRION</t>
        </is>
      </c>
      <c r="L12563">
        <f>_xlfn.XLOOKUP(Tableau1[[#This Row],[TYPE DE PIECE]],Tableau4[MATIERE],Tableau4[SHORT TYPE],"",0,1)</f>
        <v/>
      </c>
      <c r="N12563">
        <f>IF(ISERR(FIND("DECOUPE",Tableau1[[#This Row],[DESIGNATION]])),"","NEED REF")</f>
        <v/>
      </c>
    </row>
    <row r="12564">
      <c r="B12564" t="n">
        <v>34401441</v>
      </c>
      <c r="C12564" s="2" t="n">
        <v>39237</v>
      </c>
      <c r="D12564" t="inlineStr">
        <is>
          <t>SPEC</t>
        </is>
      </c>
      <c r="E12564" t="inlineStr">
        <is>
          <t>Toron source 1 et 2 - module droe-module électronique</t>
        </is>
      </c>
      <c r="F12564" t="inlineStr">
        <is>
          <t>STS 400A Sarel 500</t>
        </is>
      </c>
      <c r="J12564" t="inlineStr">
        <is>
          <t>MATRION</t>
        </is>
      </c>
      <c r="L12564">
        <f>_xlfn.XLOOKUP(Tableau1[[#This Row],[TYPE DE PIECE]],Tableau4[MATIERE],Tableau4[SHORT TYPE],"",0,1)</f>
        <v/>
      </c>
      <c r="N12564">
        <f>IF(ISERR(FIND("DECOUPE",Tableau1[[#This Row],[DESIGNATION]])),"","NEED REF")</f>
        <v/>
      </c>
    </row>
    <row r="12565">
      <c r="B12565" t="n">
        <v>34401440</v>
      </c>
      <c r="C12565" s="2" t="n">
        <v>39225</v>
      </c>
      <c r="D12565" t="inlineStr">
        <is>
          <t>NOM</t>
        </is>
      </c>
      <c r="E12565" t="inlineStr">
        <is>
          <t>Platine Bypass STS 600A STD gérer en PDR</t>
        </is>
      </c>
      <c r="F12565" t="inlineStr">
        <is>
          <t>STS 800A IP00</t>
        </is>
      </c>
      <c r="J12565" t="inlineStr">
        <is>
          <t>MATRION</t>
        </is>
      </c>
      <c r="L12565">
        <f>_xlfn.XLOOKUP(Tableau1[[#This Row],[TYPE DE PIECE]],Tableau4[MATIERE],Tableau4[SHORT TYPE],"",0,1)</f>
        <v/>
      </c>
      <c r="N12565">
        <f>IF(ISERR(FIND("DECOUPE",Tableau1[[#This Row],[DESIGNATION]])),"","NEED REF")</f>
        <v/>
      </c>
    </row>
    <row r="12566">
      <c r="B12566" t="n">
        <v>34401439</v>
      </c>
      <c r="C12566" s="2" t="n">
        <v>39225</v>
      </c>
      <c r="D12566" t="inlineStr">
        <is>
          <t>NOM</t>
        </is>
      </c>
      <c r="E12566" t="inlineStr">
        <is>
          <t>NS 2000 PEINTURE A COMMISSION</t>
        </is>
      </c>
      <c r="F12566" t="inlineStr">
        <is>
          <t xml:space="preserve">G6K </t>
        </is>
      </c>
      <c r="J12566" t="inlineStr">
        <is>
          <t>IGLESIAS</t>
        </is>
      </c>
      <c r="L12566">
        <f>_xlfn.XLOOKUP(Tableau1[[#This Row],[TYPE DE PIECE]],Tableau4[MATIERE],Tableau4[SHORT TYPE],"",0,1)</f>
        <v/>
      </c>
      <c r="N12566">
        <f>IF(ISERR(FIND("DECOUPE",Tableau1[[#This Row],[DESIGNATION]])),"","NEED REF")</f>
        <v/>
      </c>
    </row>
    <row r="12567">
      <c r="B12567" t="n">
        <v>34401438</v>
      </c>
      <c r="C12567" s="2" t="n">
        <v>39224</v>
      </c>
      <c r="D12567" t="inlineStr">
        <is>
          <t>CDC</t>
        </is>
      </c>
      <c r="E12567" t="inlineStr">
        <is>
          <t>CDC ARM TFO</t>
        </is>
      </c>
      <c r="F12567" t="inlineStr">
        <is>
          <t>G5K</t>
        </is>
      </c>
      <c r="J12567" t="inlineStr">
        <is>
          <t>REVEL</t>
        </is>
      </c>
      <c r="L12567">
        <f>_xlfn.XLOOKUP(Tableau1[[#This Row],[TYPE DE PIECE]],Tableau4[MATIERE],Tableau4[SHORT TYPE],"",0,1)</f>
        <v/>
      </c>
      <c r="N12567">
        <f>IF(ISERR(FIND("DECOUPE",Tableau1[[#This Row],[DESIGNATION]])),"","NEED REF")</f>
        <v/>
      </c>
    </row>
    <row r="12568">
      <c r="B12568" t="n">
        <v>34401437</v>
      </c>
      <c r="C12568" s="2" t="n">
        <v>39224</v>
      </c>
      <c r="D12568" t="inlineStr">
        <is>
          <t>CDC</t>
        </is>
      </c>
      <c r="E12568" t="inlineStr">
        <is>
          <t>CDC ARM BY PASS</t>
        </is>
      </c>
      <c r="F12568" t="inlineStr">
        <is>
          <t>G5K</t>
        </is>
      </c>
      <c r="J12568" t="inlineStr">
        <is>
          <t>REVEL</t>
        </is>
      </c>
      <c r="L12568">
        <f>_xlfn.XLOOKUP(Tableau1[[#This Row],[TYPE DE PIECE]],Tableau4[MATIERE],Tableau4[SHORT TYPE],"",0,1)</f>
        <v/>
      </c>
      <c r="N12568">
        <f>IF(ISERR(FIND("DECOUPE",Tableau1[[#This Row],[DESIGNATION]])),"","NEED REF")</f>
        <v/>
      </c>
    </row>
    <row r="12569">
      <c r="B12569" t="n">
        <v>34401436</v>
      </c>
      <c r="C12569" s="2" t="n">
        <v>39224</v>
      </c>
      <c r="D12569" t="inlineStr">
        <is>
          <t>NOM</t>
        </is>
      </c>
      <c r="E12569" t="inlineStr">
        <is>
          <t>LG TRANSFORMATION 1000PW EN HARMONY</t>
        </is>
      </c>
      <c r="F12569" t="inlineStr">
        <is>
          <t>1000 PW</t>
        </is>
      </c>
      <c r="J12569" t="inlineStr">
        <is>
          <t>REVEL</t>
        </is>
      </c>
      <c r="L12569">
        <f>_xlfn.XLOOKUP(Tableau1[[#This Row],[TYPE DE PIECE]],Tableau4[MATIERE],Tableau4[SHORT TYPE],"",0,1)</f>
        <v/>
      </c>
      <c r="N12569">
        <f>IF(ISERR(FIND("DECOUPE",Tableau1[[#This Row],[DESIGNATION]])),"","NEED REF")</f>
        <v/>
      </c>
    </row>
    <row r="12570">
      <c r="B12570" t="n">
        <v>34401435</v>
      </c>
      <c r="C12570" s="2" t="n">
        <v>39224</v>
      </c>
      <c r="D12570" t="inlineStr">
        <is>
          <t>NOM</t>
        </is>
      </c>
      <c r="E12570" t="inlineStr">
        <is>
          <t>LG TRANSFORMATION SW EN SW HARMONY</t>
        </is>
      </c>
      <c r="F12570" t="inlineStr">
        <is>
          <t>SW</t>
        </is>
      </c>
      <c r="J12570" t="inlineStr">
        <is>
          <t>REVEL</t>
        </is>
      </c>
      <c r="L12570">
        <f>_xlfn.XLOOKUP(Tableau1[[#This Row],[TYPE DE PIECE]],Tableau4[MATIERE],Tableau4[SHORT TYPE],"",0,1)</f>
        <v/>
      </c>
      <c r="N12570">
        <f>IF(ISERR(FIND("DECOUPE",Tableau1[[#This Row],[DESIGNATION]])),"","NEED REF")</f>
        <v/>
      </c>
    </row>
    <row r="12571">
      <c r="B12571" t="n">
        <v>34401434</v>
      </c>
      <c r="C12571" s="2" t="n">
        <v>39218</v>
      </c>
      <c r="D12571" t="inlineStr">
        <is>
          <t>CDC</t>
        </is>
      </c>
      <c r="E12571" t="inlineStr">
        <is>
          <t>CDC ARM BY-PASS+TFO R2</t>
        </is>
      </c>
      <c r="F12571" t="inlineStr">
        <is>
          <t>TOTAL France</t>
        </is>
      </c>
      <c r="J12571" t="inlineStr">
        <is>
          <t>ROBERT</t>
        </is>
      </c>
      <c r="L12571">
        <f>_xlfn.XLOOKUP(Tableau1[[#This Row],[TYPE DE PIECE]],Tableau4[MATIERE],Tableau4[SHORT TYPE],"",0,1)</f>
        <v/>
      </c>
      <c r="N12571">
        <f>IF(ISERR(FIND("DECOUPE",Tableau1[[#This Row],[DESIGNATION]])),"","NEED REF")</f>
        <v/>
      </c>
    </row>
    <row r="12572">
      <c r="B12572" t="n">
        <v>34401433</v>
      </c>
      <c r="C12572" s="2" t="n">
        <v>39213</v>
      </c>
      <c r="D12572" t="inlineStr">
        <is>
          <t>NOM</t>
        </is>
      </c>
      <c r="E12572" t="inlineStr">
        <is>
          <t>LG IP 22 COULEUR SPECIAL ARM PW 715x1900 (tip38)</t>
        </is>
      </c>
      <c r="F12572" t="inlineStr">
        <is>
          <t>PW</t>
        </is>
      </c>
      <c r="J12572" t="inlineStr">
        <is>
          <t>ROBERT</t>
        </is>
      </c>
      <c r="L12572">
        <f>_xlfn.XLOOKUP(Tableau1[[#This Row],[TYPE DE PIECE]],Tableau4[MATIERE],Tableau4[SHORT TYPE],"",0,1)</f>
        <v/>
      </c>
      <c r="N12572">
        <f>IF(ISERR(FIND("DECOUPE",Tableau1[[#This Row],[DESIGNATION]])),"","NEED REF")</f>
        <v/>
      </c>
    </row>
    <row r="12573">
      <c r="B12573" t="n">
        <v>34401432</v>
      </c>
      <c r="C12573" s="2" t="n">
        <v>39212</v>
      </c>
      <c r="D12573" t="inlineStr">
        <is>
          <t>SPEC</t>
        </is>
      </c>
      <c r="E12573" t="inlineStr">
        <is>
          <t>surtoit couleur spe TIGRE</t>
        </is>
      </c>
      <c r="F12573" t="inlineStr">
        <is>
          <t>PW</t>
        </is>
      </c>
      <c r="J12573" t="inlineStr">
        <is>
          <t>REVEL</t>
        </is>
      </c>
      <c r="L12573">
        <f>_xlfn.XLOOKUP(Tableau1[[#This Row],[TYPE DE PIECE]],Tableau4[MATIERE],Tableau4[SHORT TYPE],"",0,1)</f>
        <v/>
      </c>
      <c r="N12573">
        <f>IF(ISERR(FIND("DECOUPE",Tableau1[[#This Row],[DESIGNATION]])),"","NEED REF")</f>
        <v/>
      </c>
    </row>
    <row r="12574">
      <c r="B12574" t="n">
        <v>34401431</v>
      </c>
      <c r="C12574" s="2" t="n">
        <v>39212</v>
      </c>
      <c r="D12574" t="inlineStr">
        <is>
          <t>SPEC</t>
        </is>
      </c>
      <c r="E12574" t="inlineStr">
        <is>
          <t>surtoit couleur spe TIGRE</t>
        </is>
      </c>
      <c r="F12574" t="inlineStr">
        <is>
          <t>PW</t>
        </is>
      </c>
      <c r="J12574" t="inlineStr">
        <is>
          <t>REVEL</t>
        </is>
      </c>
      <c r="L12574">
        <f>_xlfn.XLOOKUP(Tableau1[[#This Row],[TYPE DE PIECE]],Tableau4[MATIERE],Tableau4[SHORT TYPE],"",0,1)</f>
        <v/>
      </c>
      <c r="N12574">
        <f>IF(ISERR(FIND("DECOUPE",Tableau1[[#This Row],[DESIGNATION]])),"","NEED REF")</f>
        <v/>
      </c>
    </row>
    <row r="12575">
      <c r="B12575" t="n">
        <v>34401430</v>
      </c>
      <c r="C12575" s="2" t="n">
        <v>39212</v>
      </c>
      <c r="D12575" t="inlineStr">
        <is>
          <t>SPEC</t>
        </is>
      </c>
      <c r="E12575" t="inlineStr">
        <is>
          <t>protection laterale couleur spe TIGRE</t>
        </is>
      </c>
      <c r="F12575" t="inlineStr">
        <is>
          <t>PW</t>
        </is>
      </c>
      <c r="J12575" t="inlineStr">
        <is>
          <t>REVEL</t>
        </is>
      </c>
      <c r="L12575">
        <f>_xlfn.XLOOKUP(Tableau1[[#This Row],[TYPE DE PIECE]],Tableau4[MATIERE],Tableau4[SHORT TYPE],"",0,1)</f>
        <v/>
      </c>
      <c r="N12575">
        <f>IF(ISERR(FIND("DECOUPE",Tableau1[[#This Row],[DESIGNATION]])),"","NEED REF")</f>
        <v/>
      </c>
    </row>
    <row r="12576">
      <c r="B12576" t="n">
        <v>34401429</v>
      </c>
      <c r="C12576" s="2" t="n">
        <v>39212</v>
      </c>
      <c r="D12576" t="inlineStr">
        <is>
          <t>SPEC</t>
        </is>
      </c>
      <c r="E12576" t="inlineStr">
        <is>
          <t>entretoise couleur spe TIGRE</t>
        </is>
      </c>
      <c r="F12576" t="inlineStr">
        <is>
          <t>PW</t>
        </is>
      </c>
      <c r="J12576" t="inlineStr">
        <is>
          <t>REVEL</t>
        </is>
      </c>
      <c r="L12576">
        <f>_xlfn.XLOOKUP(Tableau1[[#This Row],[TYPE DE PIECE]],Tableau4[MATIERE],Tableau4[SHORT TYPE],"",0,1)</f>
        <v/>
      </c>
      <c r="N12576">
        <f>IF(ISERR(FIND("DECOUPE",Tableau1[[#This Row],[DESIGNATION]])),"","NEED REF")</f>
        <v/>
      </c>
    </row>
    <row r="12577">
      <c r="B12577" t="n">
        <v>34401428</v>
      </c>
      <c r="C12577" s="2" t="n">
        <v>39212</v>
      </c>
      <c r="D12577" t="inlineStr">
        <is>
          <t>SPEC</t>
        </is>
      </c>
      <c r="E12577" t="inlineStr">
        <is>
          <t>panneau AR 1x1,9 couleur spe TIGRE</t>
        </is>
      </c>
      <c r="F12577" t="inlineStr">
        <is>
          <t xml:space="preserve">PW </t>
        </is>
      </c>
      <c r="J12577" t="inlineStr">
        <is>
          <t>REVEL</t>
        </is>
      </c>
      <c r="L12577">
        <f>_xlfn.XLOOKUP(Tableau1[[#This Row],[TYPE DE PIECE]],Tableau4[MATIERE],Tableau4[SHORT TYPE],"",0,1)</f>
        <v/>
      </c>
      <c r="N12577">
        <f>IF(ISERR(FIND("DECOUPE",Tableau1[[#This Row],[DESIGNATION]])),"","NEED REF")</f>
        <v/>
      </c>
    </row>
    <row r="12578">
      <c r="B12578" t="n">
        <v>34401427</v>
      </c>
      <c r="C12578" s="2" t="n">
        <v>39212</v>
      </c>
      <c r="D12578" t="inlineStr">
        <is>
          <t>SPEC</t>
        </is>
      </c>
      <c r="E12578" t="inlineStr">
        <is>
          <t>toit 0,8x1 couleur spe TIGRE</t>
        </is>
      </c>
      <c r="F12578" t="inlineStr">
        <is>
          <t xml:space="preserve">PW </t>
        </is>
      </c>
      <c r="J12578" t="inlineStr">
        <is>
          <t>REVEL</t>
        </is>
      </c>
      <c r="L12578">
        <f>_xlfn.XLOOKUP(Tableau1[[#This Row],[TYPE DE PIECE]],Tableau4[MATIERE],Tableau4[SHORT TYPE],"",0,1)</f>
        <v/>
      </c>
      <c r="N12578">
        <f>IF(ISERR(FIND("DECOUPE",Tableau1[[#This Row],[DESIGNATION]])),"","NEED REF")</f>
        <v/>
      </c>
    </row>
    <row r="12579">
      <c r="B12579" t="n">
        <v>34401426</v>
      </c>
      <c r="C12579" s="2" t="n">
        <v>39212</v>
      </c>
      <c r="D12579" t="inlineStr">
        <is>
          <t>SPEC</t>
        </is>
      </c>
      <c r="E12579" t="inlineStr">
        <is>
          <t>panneau AR 1x1,9 couleur spe TIGRE</t>
        </is>
      </c>
      <c r="F12579" t="inlineStr">
        <is>
          <t xml:space="preserve">PW </t>
        </is>
      </c>
      <c r="J12579" t="inlineStr">
        <is>
          <t>REVEL</t>
        </is>
      </c>
      <c r="L12579">
        <f>_xlfn.XLOOKUP(Tableau1[[#This Row],[TYPE DE PIECE]],Tableau4[MATIERE],Tableau4[SHORT TYPE],"",0,1)</f>
        <v/>
      </c>
      <c r="N12579">
        <f>IF(ISERR(FIND("DECOUPE",Tableau1[[#This Row],[DESIGNATION]])),"","NEED REF")</f>
        <v/>
      </c>
    </row>
    <row r="12580">
      <c r="B12580" t="n">
        <v>34401425</v>
      </c>
      <c r="C12580" s="2" t="n">
        <v>39212</v>
      </c>
      <c r="D12580" t="inlineStr">
        <is>
          <t>SPEC</t>
        </is>
      </c>
      <c r="E12580" t="inlineStr">
        <is>
          <t>panneau AR 0,7x1,9 couleur spe TIGRE</t>
        </is>
      </c>
      <c r="F12580" t="inlineStr">
        <is>
          <t xml:space="preserve">PW </t>
        </is>
      </c>
      <c r="J12580" t="inlineStr">
        <is>
          <t>REVEL</t>
        </is>
      </c>
      <c r="L12580">
        <f>_xlfn.XLOOKUP(Tableau1[[#This Row],[TYPE DE PIECE]],Tableau4[MATIERE],Tableau4[SHORT TYPE],"",0,1)</f>
        <v/>
      </c>
      <c r="N12580">
        <f>IF(ISERR(FIND("DECOUPE",Tableau1[[#This Row],[DESIGNATION]])),"","NEED REF")</f>
        <v/>
      </c>
    </row>
    <row r="12581">
      <c r="B12581" t="n">
        <v>34401424</v>
      </c>
      <c r="C12581" s="2" t="n">
        <v>39212</v>
      </c>
      <c r="D12581" t="inlineStr">
        <is>
          <t>SPEC</t>
        </is>
      </c>
      <c r="E12581" t="inlineStr">
        <is>
          <t>Panneau lateral Ht 1900 couleur spe TIGRE</t>
        </is>
      </c>
      <c r="F12581" t="inlineStr">
        <is>
          <t xml:space="preserve">PW </t>
        </is>
      </c>
      <c r="J12581" t="inlineStr">
        <is>
          <t>REVEL</t>
        </is>
      </c>
      <c r="L12581">
        <f>_xlfn.XLOOKUP(Tableau1[[#This Row],[TYPE DE PIECE]],Tableau4[MATIERE],Tableau4[SHORT TYPE],"",0,1)</f>
        <v/>
      </c>
      <c r="N12581">
        <f>IF(ISERR(FIND("DECOUPE",Tableau1[[#This Row],[DESIGNATION]])),"","NEED REF")</f>
        <v/>
      </c>
    </row>
    <row r="12582">
      <c r="B12582" t="n">
        <v>34401423</v>
      </c>
      <c r="C12582" s="2" t="n">
        <v>39212</v>
      </c>
      <c r="D12582" t="inlineStr">
        <is>
          <t>SPEC</t>
        </is>
      </c>
      <c r="E12582" t="inlineStr">
        <is>
          <t>Bandeau av ar 1 couleur spe TIGRE</t>
        </is>
      </c>
      <c r="F12582" t="inlineStr">
        <is>
          <t xml:space="preserve">PW </t>
        </is>
      </c>
      <c r="J12582" t="inlineStr">
        <is>
          <t>REVEL</t>
        </is>
      </c>
      <c r="L12582">
        <f>_xlfn.XLOOKUP(Tableau1[[#This Row],[TYPE DE PIECE]],Tableau4[MATIERE],Tableau4[SHORT TYPE],"",0,1)</f>
        <v/>
      </c>
      <c r="N12582">
        <f>IF(ISERR(FIND("DECOUPE",Tableau1[[#This Row],[DESIGNATION]])),"","NEED REF")</f>
        <v/>
      </c>
    </row>
    <row r="12583">
      <c r="B12583" t="n">
        <v>34401422</v>
      </c>
      <c r="C12583" s="2" t="n">
        <v>39212</v>
      </c>
      <c r="D12583" t="inlineStr">
        <is>
          <t>SPEC</t>
        </is>
      </c>
      <c r="E12583" t="inlineStr">
        <is>
          <t>Bandeau av ar 0,7 couleur spe TIGRE</t>
        </is>
      </c>
      <c r="F12583" t="inlineStr">
        <is>
          <t xml:space="preserve">PW </t>
        </is>
      </c>
      <c r="J12583" t="inlineStr">
        <is>
          <t>REVEL</t>
        </is>
      </c>
      <c r="L12583">
        <f>_xlfn.XLOOKUP(Tableau1[[#This Row],[TYPE DE PIECE]],Tableau4[MATIERE],Tableau4[SHORT TYPE],"",0,1)</f>
        <v/>
      </c>
      <c r="N12583">
        <f>IF(ISERR(FIND("DECOUPE",Tableau1[[#This Row],[DESIGNATION]])),"","NEED REF")</f>
        <v/>
      </c>
    </row>
    <row r="12584">
      <c r="B12584" t="n">
        <v>34401421</v>
      </c>
      <c r="C12584" s="2" t="n">
        <v>39212</v>
      </c>
      <c r="D12584" t="inlineStr">
        <is>
          <t>SPEC</t>
        </is>
      </c>
      <c r="E12584" t="inlineStr">
        <is>
          <t>Bandeau lat 0,7 couleur spe TIGRE</t>
        </is>
      </c>
      <c r="F12584" t="inlineStr">
        <is>
          <t xml:space="preserve">PW </t>
        </is>
      </c>
      <c r="J12584" t="inlineStr">
        <is>
          <t>REVEL</t>
        </is>
      </c>
      <c r="L12584">
        <f>_xlfn.XLOOKUP(Tableau1[[#This Row],[TYPE DE PIECE]],Tableau4[MATIERE],Tableau4[SHORT TYPE],"",0,1)</f>
        <v/>
      </c>
      <c r="N12584">
        <f>IF(ISERR(FIND("DECOUPE",Tableau1[[#This Row],[DESIGNATION]])),"","NEED REF")</f>
        <v/>
      </c>
    </row>
    <row r="12585">
      <c r="B12585" t="n">
        <v>34401420</v>
      </c>
      <c r="C12585" s="2" t="n">
        <v>39212</v>
      </c>
      <c r="D12585" t="inlineStr">
        <is>
          <t>SPEC</t>
        </is>
      </c>
      <c r="E12585" t="inlineStr">
        <is>
          <t>Toit 0,7X1 IP30 couleur spe TIGRE</t>
        </is>
      </c>
      <c r="F12585" t="inlineStr">
        <is>
          <t xml:space="preserve">PW </t>
        </is>
      </c>
      <c r="J12585" t="inlineStr">
        <is>
          <t>REVEL</t>
        </is>
      </c>
      <c r="L12585">
        <f>_xlfn.XLOOKUP(Tableau1[[#This Row],[TYPE DE PIECE]],Tableau4[MATIERE],Tableau4[SHORT TYPE],"",0,1)</f>
        <v/>
      </c>
      <c r="N12585">
        <f>IF(ISERR(FIND("DECOUPE",Tableau1[[#This Row],[DESIGNATION]])),"","NEED REF")</f>
        <v/>
      </c>
    </row>
    <row r="12586">
      <c r="B12586" t="n">
        <v>34401419</v>
      </c>
      <c r="C12586" s="2" t="n">
        <v>39212</v>
      </c>
      <c r="D12586" t="inlineStr">
        <is>
          <t>SPEC</t>
        </is>
      </c>
      <c r="E12586" t="inlineStr">
        <is>
          <t>Toit 0,7X0,8 IP30 couleur spe TIGRE</t>
        </is>
      </c>
      <c r="F12586" t="inlineStr">
        <is>
          <t xml:space="preserve">PW </t>
        </is>
      </c>
      <c r="J12586" t="inlineStr">
        <is>
          <t>REVEL</t>
        </is>
      </c>
      <c r="L12586">
        <f>_xlfn.XLOOKUP(Tableau1[[#This Row],[TYPE DE PIECE]],Tableau4[MATIERE],Tableau4[SHORT TYPE],"",0,1)</f>
        <v/>
      </c>
      <c r="N12586">
        <f>IF(ISERR(FIND("DECOUPE",Tableau1[[#This Row],[DESIGNATION]])),"","NEED REF")</f>
        <v/>
      </c>
    </row>
    <row r="12587">
      <c r="B12587" t="n">
        <v>34401418</v>
      </c>
      <c r="C12587" s="2" t="n">
        <v>39212</v>
      </c>
      <c r="D12587" t="inlineStr">
        <is>
          <t>SPEC</t>
        </is>
      </c>
      <c r="E12587" t="inlineStr">
        <is>
          <t>Toit 0,7X0,8 IP30 couleur spe TIGRE</t>
        </is>
      </c>
      <c r="F12587" t="inlineStr">
        <is>
          <t xml:space="preserve">PW </t>
        </is>
      </c>
      <c r="J12587" t="inlineStr">
        <is>
          <t>REVEL</t>
        </is>
      </c>
      <c r="L12587">
        <f>_xlfn.XLOOKUP(Tableau1[[#This Row],[TYPE DE PIECE]],Tableau4[MATIERE],Tableau4[SHORT TYPE],"",0,1)</f>
        <v/>
      </c>
      <c r="N12587">
        <f>IF(ISERR(FIND("DECOUPE",Tableau1[[#This Row],[DESIGNATION]])),"","NEED REF")</f>
        <v/>
      </c>
    </row>
    <row r="12588">
      <c r="B12588" t="n">
        <v>34401417</v>
      </c>
      <c r="C12588" s="2" t="n">
        <v>39212</v>
      </c>
      <c r="D12588" t="inlineStr">
        <is>
          <t>SPEC</t>
        </is>
      </c>
      <c r="E12588" t="inlineStr">
        <is>
          <t>porte gauche 1900 IP30 couleur spe TIGRE</t>
        </is>
      </c>
      <c r="F12588" t="inlineStr">
        <is>
          <t xml:space="preserve">PW </t>
        </is>
      </c>
      <c r="J12588" t="inlineStr">
        <is>
          <t>REVEL</t>
        </is>
      </c>
      <c r="L12588">
        <f>_xlfn.XLOOKUP(Tableau1[[#This Row],[TYPE DE PIECE]],Tableau4[MATIERE],Tableau4[SHORT TYPE],"",0,1)</f>
        <v/>
      </c>
      <c r="N12588">
        <f>IF(ISERR(FIND("DECOUPE",Tableau1[[#This Row],[DESIGNATION]])),"","NEED REF")</f>
        <v/>
      </c>
    </row>
    <row r="12589">
      <c r="B12589" t="n">
        <v>34401416</v>
      </c>
      <c r="C12589" s="2" t="n">
        <v>39212</v>
      </c>
      <c r="D12589" t="inlineStr">
        <is>
          <t>SPEC</t>
        </is>
      </c>
      <c r="E12589" t="inlineStr">
        <is>
          <t>porte droite 700x1900 IP30 couleur spe TIGRE</t>
        </is>
      </c>
      <c r="F12589" t="inlineStr">
        <is>
          <t xml:space="preserve">PW </t>
        </is>
      </c>
      <c r="J12589" t="inlineStr">
        <is>
          <t>REVEL</t>
        </is>
      </c>
      <c r="L12589">
        <f>_xlfn.XLOOKUP(Tableau1[[#This Row],[TYPE DE PIECE]],Tableau4[MATIERE],Tableau4[SHORT TYPE],"",0,1)</f>
        <v/>
      </c>
      <c r="N12589">
        <f>IF(ISERR(FIND("DECOUPE",Tableau1[[#This Row],[DESIGNATION]])),"","NEED REF")</f>
        <v/>
      </c>
    </row>
    <row r="12590">
      <c r="B12590" t="n">
        <v>34401415</v>
      </c>
      <c r="C12590" s="2" t="n">
        <v>39212</v>
      </c>
      <c r="D12590" t="inlineStr">
        <is>
          <t>SPEC</t>
        </is>
      </c>
      <c r="E12590" t="inlineStr">
        <is>
          <t>porte droite 700x1900 IP30 couleur spe TIGRE</t>
        </is>
      </c>
      <c r="F12590" t="inlineStr">
        <is>
          <t xml:space="preserve">PW </t>
        </is>
      </c>
      <c r="J12590" t="inlineStr">
        <is>
          <t>REVEL</t>
        </is>
      </c>
      <c r="L12590">
        <f>_xlfn.XLOOKUP(Tableau1[[#This Row],[TYPE DE PIECE]],Tableau4[MATIERE],Tableau4[SHORT TYPE],"",0,1)</f>
        <v/>
      </c>
      <c r="N12590">
        <f>IF(ISERR(FIND("DECOUPE",Tableau1[[#This Row],[DESIGNATION]])),"","NEED REF")</f>
        <v/>
      </c>
    </row>
    <row r="12591">
      <c r="B12591" t="n">
        <v>34401414</v>
      </c>
      <c r="C12591" s="2" t="n">
        <v>39212</v>
      </c>
      <c r="D12591" t="inlineStr">
        <is>
          <t>SPEC</t>
        </is>
      </c>
      <c r="E12591" t="inlineStr">
        <is>
          <t>porte droite pw200 IP30 couleur spe TIGRE</t>
        </is>
      </c>
      <c r="F12591" t="inlineStr">
        <is>
          <t>PW200</t>
        </is>
      </c>
      <c r="J12591" t="inlineStr">
        <is>
          <t>REVEL</t>
        </is>
      </c>
      <c r="L12591">
        <f>_xlfn.XLOOKUP(Tableau1[[#This Row],[TYPE DE PIECE]],Tableau4[MATIERE],Tableau4[SHORT TYPE],"",0,1)</f>
        <v/>
      </c>
      <c r="N12591">
        <f>IF(ISERR(FIND("DECOUPE",Tableau1[[#This Row],[DESIGNATION]])),"","NEED REF")</f>
        <v/>
      </c>
    </row>
    <row r="12592">
      <c r="B12592" t="n">
        <v>34401413</v>
      </c>
      <c r="C12592" s="2" t="n">
        <v>39211</v>
      </c>
      <c r="D12592" t="inlineStr">
        <is>
          <t>NOM</t>
        </is>
      </c>
      <c r="E12592" t="inlineStr">
        <is>
          <t>LG Comet EXRT SNCF Tri/Mono 6kVA</t>
        </is>
      </c>
      <c r="F12592" t="inlineStr">
        <is>
          <t>EXRT 6kVA TM SNCF</t>
        </is>
      </c>
      <c r="J12592" t="inlineStr">
        <is>
          <t>REVEL</t>
        </is>
      </c>
      <c r="L12592">
        <f>_xlfn.XLOOKUP(Tableau1[[#This Row],[TYPE DE PIECE]],Tableau4[MATIERE],Tableau4[SHORT TYPE],"",0,1)</f>
        <v/>
      </c>
      <c r="N12592">
        <f>IF(ISERR(FIND("DECOUPE",Tableau1[[#This Row],[DESIGNATION]])),"","NEED REF")</f>
        <v/>
      </c>
    </row>
    <row r="12593">
      <c r="B12593" t="n">
        <v>34401412</v>
      </c>
      <c r="C12593" s="2" t="n">
        <v>39209</v>
      </c>
      <c r="D12593" t="inlineStr">
        <is>
          <t xml:space="preserve">NOM </t>
        </is>
      </c>
      <c r="E12593" t="inlineStr">
        <is>
          <t>LG Comet EXRT SNCF Tri/Mono 4kVA</t>
        </is>
      </c>
      <c r="F12593" t="inlineStr">
        <is>
          <t>EXRT 4kVA TM SNCF</t>
        </is>
      </c>
      <c r="J12593" t="inlineStr">
        <is>
          <t>REVEL</t>
        </is>
      </c>
      <c r="L12593">
        <f>_xlfn.XLOOKUP(Tableau1[[#This Row],[TYPE DE PIECE]],Tableau4[MATIERE],Tableau4[SHORT TYPE],"",0,1)</f>
        <v/>
      </c>
      <c r="N12593">
        <f>IF(ISERR(FIND("DECOUPE",Tableau1[[#This Row],[DESIGNATION]])),"","NEED REF")</f>
        <v/>
      </c>
    </row>
    <row r="12594">
      <c r="B12594" t="n">
        <v>34401411</v>
      </c>
      <c r="C12594" s="2" t="n">
        <v>39209</v>
      </c>
      <c r="D12594" t="inlineStr">
        <is>
          <t>NOM</t>
        </is>
      </c>
      <c r="E12594" t="inlineStr">
        <is>
          <t>LG Armoire Batterie pour projet cadre SNCF</t>
        </is>
      </c>
      <c r="F12594" t="inlineStr">
        <is>
          <t>Toutes gammes SNCF</t>
        </is>
      </c>
      <c r="J12594" t="inlineStr">
        <is>
          <t>REVEL</t>
        </is>
      </c>
      <c r="L12594">
        <f>_xlfn.XLOOKUP(Tableau1[[#This Row],[TYPE DE PIECE]],Tableau4[MATIERE],Tableau4[SHORT TYPE],"",0,1)</f>
        <v/>
      </c>
      <c r="N12594">
        <f>IF(ISERR(FIND("DECOUPE",Tableau1[[#This Row],[DESIGNATION]])),"","NEED REF")</f>
        <v/>
      </c>
    </row>
    <row r="12595">
      <c r="B12595" t="n">
        <v>34401410</v>
      </c>
      <c r="C12595" s="2" t="n">
        <v>39198</v>
      </c>
      <c r="D12595" t="inlineStr">
        <is>
          <t>CDC</t>
        </is>
      </c>
      <c r="E12595" t="inlineStr">
        <is>
          <t>2 SW 60A // en ARMOIRE 1015</t>
        </is>
      </c>
      <c r="F12595" t="inlineStr">
        <is>
          <t>SW en ARMOIRE</t>
        </is>
      </c>
      <c r="J12595" t="inlineStr">
        <is>
          <t>F,ÇAKIR</t>
        </is>
      </c>
      <c r="L12595">
        <f>_xlfn.XLOOKUP(Tableau1[[#This Row],[TYPE DE PIECE]],Tableau4[MATIERE],Tableau4[SHORT TYPE],"",0,1)</f>
        <v/>
      </c>
      <c r="N12595">
        <f>IF(ISERR(FIND("DECOUPE",Tableau1[[#This Row],[DESIGNATION]])),"","NEED REF")</f>
        <v/>
      </c>
    </row>
    <row r="12596">
      <c r="B12596" t="n">
        <v>34401409</v>
      </c>
      <c r="C12596" s="2" t="n">
        <v>39198</v>
      </c>
      <c r="D12596" t="inlineStr">
        <is>
          <t>NOM</t>
        </is>
      </c>
      <c r="E12596" t="inlineStr">
        <is>
          <t>PEINTURE A COMMISSION GALAXY 5000 ARM AUX L=700 IP32</t>
        </is>
      </c>
      <c r="F12596" t="inlineStr">
        <is>
          <t>G5K ARM AUX</t>
        </is>
      </c>
      <c r="J12596" t="inlineStr">
        <is>
          <t>REVEL</t>
        </is>
      </c>
      <c r="L12596">
        <f>_xlfn.XLOOKUP(Tableau1[[#This Row],[TYPE DE PIECE]],Tableau4[MATIERE],Tableau4[SHORT TYPE],"",0,1)</f>
        <v/>
      </c>
      <c r="N12596">
        <f>IF(ISERR(FIND("DECOUPE",Tableau1[[#This Row],[DESIGNATION]])),"","NEED REF")</f>
        <v/>
      </c>
    </row>
    <row r="12597">
      <c r="B12597" t="n">
        <v>34401408</v>
      </c>
      <c r="C12597" s="2" t="n">
        <v>39198</v>
      </c>
      <c r="D12597" t="inlineStr">
        <is>
          <t xml:space="preserve">NOM </t>
        </is>
      </c>
      <c r="E12597" t="inlineStr">
        <is>
          <t>PEINTURE A COMMISSION GALAXY 5000 L=700 IP32</t>
        </is>
      </c>
      <c r="F12597" t="inlineStr">
        <is>
          <t>G5K ASI</t>
        </is>
      </c>
      <c r="J12597" t="inlineStr">
        <is>
          <t>REVEL</t>
        </is>
      </c>
      <c r="L12597">
        <f>_xlfn.XLOOKUP(Tableau1[[#This Row],[TYPE DE PIECE]],Tableau4[MATIERE],Tableau4[SHORT TYPE],"",0,1)</f>
        <v/>
      </c>
      <c r="N12597">
        <f>IF(ISERR(FIND("DECOUPE",Tableau1[[#This Row],[DESIGNATION]])),"","NEED REF")</f>
        <v/>
      </c>
    </row>
    <row r="12598">
      <c r="B12598" t="n">
        <v>34401407</v>
      </c>
      <c r="C12598" s="2" t="n">
        <v>39182</v>
      </c>
      <c r="D12598" t="inlineStr">
        <is>
          <t>SPEC</t>
        </is>
      </c>
      <c r="E12598" t="inlineStr">
        <is>
          <t>CANEVAS NW20DC ARM BATT 800kVA POUR CARTE ACHET</t>
        </is>
      </c>
      <c r="F12598" t="inlineStr">
        <is>
          <t>GAL 800kVA</t>
        </is>
      </c>
      <c r="J12598" t="inlineStr">
        <is>
          <t>FOLTZ</t>
        </is>
      </c>
      <c r="L12598">
        <f>_xlfn.XLOOKUP(Tableau1[[#This Row],[TYPE DE PIECE]],Tableau4[MATIERE],Tableau4[SHORT TYPE],"",0,1)</f>
        <v/>
      </c>
      <c r="N12598">
        <f>IF(ISERR(FIND("DECOUPE",Tableau1[[#This Row],[DESIGNATION]])),"","NEED REF")</f>
        <v/>
      </c>
    </row>
    <row r="12599">
      <c r="B12599" t="n">
        <v>34401406</v>
      </c>
      <c r="C12599" s="2" t="n">
        <v>39177</v>
      </c>
      <c r="D12599" t="inlineStr">
        <is>
          <t>CDC</t>
        </is>
      </c>
      <c r="E12599" t="inlineStr">
        <is>
          <t>Raccordement haut pour NS1200kva</t>
        </is>
      </c>
      <c r="F12599" t="inlineStr">
        <is>
          <t>NS 1200kVA</t>
        </is>
      </c>
      <c r="J12599" t="inlineStr">
        <is>
          <t>REVEL</t>
        </is>
      </c>
      <c r="L12599">
        <f>_xlfn.XLOOKUP(Tableau1[[#This Row],[TYPE DE PIECE]],Tableau4[MATIERE],Tableau4[SHORT TYPE],"",0,1)</f>
        <v/>
      </c>
      <c r="N12599">
        <f>IF(ISERR(FIND("DECOUPE",Tableau1[[#This Row],[DESIGNATION]])),"","NEED REF")</f>
        <v/>
      </c>
    </row>
    <row r="12600">
      <c r="B12600" t="n">
        <v>34401405</v>
      </c>
      <c r="C12600" s="2" t="n">
        <v>39168</v>
      </c>
      <c r="D12600" t="inlineStr">
        <is>
          <t>NOM</t>
        </is>
      </c>
      <c r="E12600" t="inlineStr">
        <is>
          <t>LG OPTION TNC BY-PASS 360kVA GALAXY 5000</t>
        </is>
      </c>
      <c r="F12600" t="inlineStr">
        <is>
          <t>GALAXY 5000</t>
        </is>
      </c>
      <c r="J12600" t="inlineStr">
        <is>
          <t>FOLTZ</t>
        </is>
      </c>
      <c r="L12600">
        <f>_xlfn.XLOOKUP(Tableau1[[#This Row],[TYPE DE PIECE]],Tableau4[MATIERE],Tableau4[SHORT TYPE],"",0,1)</f>
        <v/>
      </c>
      <c r="N12600">
        <f>IF(ISERR(FIND("DECOUPE",Tableau1[[#This Row],[DESIGNATION]])),"","NEED REF")</f>
        <v/>
      </c>
    </row>
    <row r="12601">
      <c r="B12601" t="n">
        <v>34401404</v>
      </c>
      <c r="C12601" s="2" t="n">
        <v>39168</v>
      </c>
      <c r="D12601" t="inlineStr">
        <is>
          <t>NOM</t>
        </is>
      </c>
      <c r="E12601" t="inlineStr">
        <is>
          <t>LG BY-PASS 360kVA GALAXY 5000</t>
        </is>
      </c>
      <c r="F12601" t="inlineStr">
        <is>
          <t>GALAXY 5000 L=712</t>
        </is>
      </c>
      <c r="J12601" t="inlineStr">
        <is>
          <t>FOLTZ</t>
        </is>
      </c>
      <c r="L12601">
        <f>_xlfn.XLOOKUP(Tableau1[[#This Row],[TYPE DE PIECE]],Tableau4[MATIERE],Tableau4[SHORT TYPE],"",0,1)</f>
        <v/>
      </c>
      <c r="N12601">
        <f>IF(ISERR(FIND("DECOUPE",Tableau1[[#This Row],[DESIGNATION]])),"","NEED REF")</f>
        <v/>
      </c>
    </row>
    <row r="12602">
      <c r="B12602" t="n">
        <v>34401403</v>
      </c>
      <c r="C12602" s="2" t="n">
        <v>39167</v>
      </c>
      <c r="D12602" t="inlineStr">
        <is>
          <t>SPEC</t>
        </is>
      </c>
      <c r="E12602" t="inlineStr">
        <is>
          <t>BARRE SUPPORT TRANSFO EN LARGEUR</t>
        </is>
      </c>
      <c r="F12602" t="inlineStr">
        <is>
          <t>GALAXY 5000 L=1012</t>
        </is>
      </c>
      <c r="J12602" t="inlineStr">
        <is>
          <t>REVEL</t>
        </is>
      </c>
      <c r="L12602">
        <f>_xlfn.XLOOKUP(Tableau1[[#This Row],[TYPE DE PIECE]],Tableau4[MATIERE],Tableau4[SHORT TYPE],"",0,1)</f>
        <v/>
      </c>
      <c r="N12602">
        <f>IF(ISERR(FIND("DECOUPE",Tableau1[[#This Row],[DESIGNATION]])),"","NEED REF")</f>
        <v/>
      </c>
    </row>
    <row r="12603">
      <c r="B12603" t="n">
        <v>34401402</v>
      </c>
      <c r="C12603" s="2" t="n">
        <v>39160</v>
      </c>
      <c r="D12603" t="inlineStr">
        <is>
          <t>SPEC</t>
        </is>
      </c>
      <c r="E12603" t="inlineStr">
        <is>
          <t>Porte gauche IP 22 decoupe vision L=807</t>
        </is>
      </c>
      <c r="F12603" t="inlineStr">
        <is>
          <t>GALAXY</t>
        </is>
      </c>
      <c r="J12603" t="inlineStr">
        <is>
          <t>REVEL</t>
        </is>
      </c>
      <c r="L12603">
        <f>_xlfn.XLOOKUP(Tableau1[[#This Row],[TYPE DE PIECE]],Tableau4[MATIERE],Tableau4[SHORT TYPE],"",0,1)</f>
        <v/>
      </c>
      <c r="N12603">
        <f>IF(ISERR(FIND("DECOUPE",Tableau1[[#This Row],[DESIGNATION]])),"","NEED REF")</f>
        <v/>
      </c>
    </row>
    <row r="12604">
      <c r="B12604" t="n">
        <v>34401401</v>
      </c>
      <c r="C12604" s="2" t="n">
        <v>39160</v>
      </c>
      <c r="D12604" t="inlineStr">
        <is>
          <t>SPEC</t>
        </is>
      </c>
      <c r="E12604" t="inlineStr">
        <is>
          <t>Porte droite IP 22 L=385</t>
        </is>
      </c>
      <c r="F12604" t="inlineStr">
        <is>
          <t>GALAXY</t>
        </is>
      </c>
      <c r="J12604" t="inlineStr">
        <is>
          <t>REVEL</t>
        </is>
      </c>
      <c r="L12604">
        <f>_xlfn.XLOOKUP(Tableau1[[#This Row],[TYPE DE PIECE]],Tableau4[MATIERE],Tableau4[SHORT TYPE],"",0,1)</f>
        <v/>
      </c>
      <c r="N12604">
        <f>IF(ISERR(FIND("DECOUPE",Tableau1[[#This Row],[DESIGNATION]])),"","NEED REF")</f>
        <v/>
      </c>
    </row>
    <row r="12605">
      <c r="B12605" t="n">
        <v>34401400</v>
      </c>
      <c r="C12605" s="2" t="n">
        <v>39160</v>
      </c>
      <c r="D12605" t="inlineStr">
        <is>
          <t>SPEC</t>
        </is>
      </c>
      <c r="E12605" t="inlineStr">
        <is>
          <t>Porte gauche IP 22 L=1200</t>
        </is>
      </c>
      <c r="F12605" t="inlineStr">
        <is>
          <t>GALAXY</t>
        </is>
      </c>
      <c r="J12605" t="inlineStr">
        <is>
          <t>REVEL</t>
        </is>
      </c>
      <c r="L12605">
        <f>_xlfn.XLOOKUP(Tableau1[[#This Row],[TYPE DE PIECE]],Tableau4[MATIERE],Tableau4[SHORT TYPE],"",0,1)</f>
        <v/>
      </c>
      <c r="N12605">
        <f>IF(ISERR(FIND("DECOUPE",Tableau1[[#This Row],[DESIGNATION]])),"","NEED REF")</f>
        <v/>
      </c>
    </row>
    <row r="12606">
      <c r="B12606" t="n">
        <v>34401399</v>
      </c>
      <c r="C12606" s="2" t="n">
        <v>39160</v>
      </c>
      <c r="D12606" t="inlineStr">
        <is>
          <t>SPEC</t>
        </is>
      </c>
      <c r="E12606" t="inlineStr">
        <is>
          <t>Porte gauche IP 22 L=</t>
        </is>
      </c>
      <c r="F12606" t="inlineStr">
        <is>
          <t>GALAXY</t>
        </is>
      </c>
      <c r="J12606" t="inlineStr">
        <is>
          <t>REVEL</t>
        </is>
      </c>
      <c r="L12606">
        <f>_xlfn.XLOOKUP(Tableau1[[#This Row],[TYPE DE PIECE]],Tableau4[MATIERE],Tableau4[SHORT TYPE],"",0,1)</f>
        <v/>
      </c>
      <c r="N12606">
        <f>IF(ISERR(FIND("DECOUPE",Tableau1[[#This Row],[DESIGNATION]])),"","NEED REF")</f>
        <v/>
      </c>
    </row>
    <row r="12607">
      <c r="B12607" t="n">
        <v>34401398</v>
      </c>
      <c r="C12607" s="2" t="n">
        <v>39160</v>
      </c>
      <c r="D12607" t="inlineStr">
        <is>
          <t>SPEC</t>
        </is>
      </c>
      <c r="E12607" t="inlineStr">
        <is>
          <t>Porte droite IP 22 L=385</t>
        </is>
      </c>
      <c r="F12607" t="inlineStr">
        <is>
          <t>GALAXY</t>
        </is>
      </c>
      <c r="J12607" t="inlineStr">
        <is>
          <t>REVEL</t>
        </is>
      </c>
      <c r="L12607">
        <f>_xlfn.XLOOKUP(Tableau1[[#This Row],[TYPE DE PIECE]],Tableau4[MATIERE],Tableau4[SHORT TYPE],"",0,1)</f>
        <v/>
      </c>
      <c r="N12607">
        <f>IF(ISERR(FIND("DECOUPE",Tableau1[[#This Row],[DESIGNATION]])),"","NEED REF")</f>
        <v/>
      </c>
    </row>
    <row r="12608">
      <c r="B12608" t="n">
        <v>34401397</v>
      </c>
      <c r="C12608" s="2" t="n">
        <v>39160</v>
      </c>
      <c r="D12608" t="inlineStr">
        <is>
          <t>SPEC</t>
        </is>
      </c>
      <c r="E12608" t="inlineStr">
        <is>
          <t>Bandeau AV/AR L=1200</t>
        </is>
      </c>
      <c r="F12608" t="inlineStr">
        <is>
          <t>GALAXY</t>
        </is>
      </c>
      <c r="J12608" t="inlineStr">
        <is>
          <t>REVEL</t>
        </is>
      </c>
      <c r="L12608">
        <f>_xlfn.XLOOKUP(Tableau1[[#This Row],[TYPE DE PIECE]],Tableau4[MATIERE],Tableau4[SHORT TYPE],"",0,1)</f>
        <v/>
      </c>
      <c r="N12608">
        <f>IF(ISERR(FIND("DECOUPE",Tableau1[[#This Row],[DESIGNATION]])),"","NEED REF")</f>
        <v/>
      </c>
    </row>
    <row r="12609">
      <c r="B12609" t="n">
        <v>34401396</v>
      </c>
      <c r="C12609" s="2" t="n">
        <v>39160</v>
      </c>
      <c r="D12609" t="inlineStr">
        <is>
          <t>SPEC</t>
        </is>
      </c>
      <c r="E12609" t="inlineStr">
        <is>
          <t>Bandeau AV/AR L=1000</t>
        </is>
      </c>
      <c r="F12609" t="inlineStr">
        <is>
          <t>GALAXY</t>
        </is>
      </c>
      <c r="J12609" t="inlineStr">
        <is>
          <t>REVEL</t>
        </is>
      </c>
      <c r="L12609">
        <f>_xlfn.XLOOKUP(Tableau1[[#This Row],[TYPE DE PIECE]],Tableau4[MATIERE],Tableau4[SHORT TYPE],"",0,1)</f>
        <v/>
      </c>
      <c r="N12609">
        <f>IF(ISERR(FIND("DECOUPE",Tableau1[[#This Row],[DESIGNATION]])),"","NEED REF")</f>
        <v/>
      </c>
    </row>
    <row r="12610">
      <c r="B12610" t="n">
        <v>34401395</v>
      </c>
      <c r="C12610" s="2" t="n">
        <v>39160</v>
      </c>
      <c r="D12610" t="inlineStr">
        <is>
          <t>SPEC</t>
        </is>
      </c>
      <c r="E12610" t="inlineStr">
        <is>
          <t>Bandeau AV/AR L=400</t>
        </is>
      </c>
      <c r="F12610" t="inlineStr">
        <is>
          <t>GALAXY</t>
        </is>
      </c>
      <c r="J12610" t="inlineStr">
        <is>
          <t>REVEL</t>
        </is>
      </c>
      <c r="L12610">
        <f>_xlfn.XLOOKUP(Tableau1[[#This Row],[TYPE DE PIECE]],Tableau4[MATIERE],Tableau4[SHORT TYPE],"",0,1)</f>
        <v/>
      </c>
      <c r="N12610">
        <f>IF(ISERR(FIND("DECOUPE",Tableau1[[#This Row],[DESIGNATION]])),"","NEED REF")</f>
        <v/>
      </c>
    </row>
    <row r="12611">
      <c r="B12611" t="n">
        <v>34401394</v>
      </c>
      <c r="C12611" s="2" t="n">
        <v>39160</v>
      </c>
      <c r="D12611" t="inlineStr">
        <is>
          <t>SPEC</t>
        </is>
      </c>
      <c r="E12611" t="inlineStr">
        <is>
          <t>Porte gauche L=807 Vision IP22</t>
        </is>
      </c>
      <c r="F12611" t="inlineStr">
        <is>
          <t>GALAXY</t>
        </is>
      </c>
      <c r="J12611" t="inlineStr">
        <is>
          <t>REVEL</t>
        </is>
      </c>
      <c r="L12611">
        <f>_xlfn.XLOOKUP(Tableau1[[#This Row],[TYPE DE PIECE]],Tableau4[MATIERE],Tableau4[SHORT TYPE],"",0,1)</f>
        <v/>
      </c>
      <c r="N12611">
        <f>IF(ISERR(FIND("DECOUPE",Tableau1[[#This Row],[DESIGNATION]])),"","NEED REF")</f>
        <v/>
      </c>
    </row>
    <row r="12612">
      <c r="B12612" t="n">
        <v>34401393</v>
      </c>
      <c r="C12612" s="2" t="n">
        <v>39160</v>
      </c>
      <c r="D12612" t="inlineStr">
        <is>
          <t>SPEC</t>
        </is>
      </c>
      <c r="E12612" t="inlineStr">
        <is>
          <t>Bandeau AV/AR L=1600</t>
        </is>
      </c>
      <c r="F12612" t="inlineStr">
        <is>
          <t>GALAXY</t>
        </is>
      </c>
      <c r="J12612" t="inlineStr">
        <is>
          <t>REVEL</t>
        </is>
      </c>
      <c r="L12612">
        <f>_xlfn.XLOOKUP(Tableau1[[#This Row],[TYPE DE PIECE]],Tableau4[MATIERE],Tableau4[SHORT TYPE],"",0,1)</f>
        <v/>
      </c>
      <c r="N12612">
        <f>IF(ISERR(FIND("DECOUPE",Tableau1[[#This Row],[DESIGNATION]])),"","NEED REF")</f>
        <v/>
      </c>
    </row>
    <row r="12613">
      <c r="B12613" t="n">
        <v>34401392</v>
      </c>
      <c r="C12613" s="2" t="n">
        <v>39160</v>
      </c>
      <c r="D12613" t="inlineStr">
        <is>
          <t>SPEC</t>
        </is>
      </c>
      <c r="E12613" t="inlineStr">
        <is>
          <t>Bandeau lateral Galaxy H=200mm</t>
        </is>
      </c>
      <c r="F12613" t="inlineStr">
        <is>
          <t>GALAXY</t>
        </is>
      </c>
      <c r="J12613" t="inlineStr">
        <is>
          <t>REVEL</t>
        </is>
      </c>
      <c r="L12613">
        <f>_xlfn.XLOOKUP(Tableau1[[#This Row],[TYPE DE PIECE]],Tableau4[MATIERE],Tableau4[SHORT TYPE],"",0,1)</f>
        <v/>
      </c>
      <c r="N12613">
        <f>IF(ISERR(FIND("DECOUPE",Tableau1[[#This Row],[DESIGNATION]])),"","NEED REF")</f>
        <v/>
      </c>
    </row>
    <row r="12614">
      <c r="B12614" t="n">
        <v>34401391</v>
      </c>
      <c r="C12614" s="2" t="n">
        <v>39156</v>
      </c>
      <c r="D12614" t="inlineStr">
        <is>
          <t>CDC</t>
        </is>
      </c>
      <c r="E12614" t="inlineStr">
        <is>
          <t>CDC ARM BY-PASS+TFO R2</t>
        </is>
      </c>
      <c r="F12614" t="inlineStr">
        <is>
          <t>TOTAL France</t>
        </is>
      </c>
      <c r="J12614" t="inlineStr">
        <is>
          <t>ROBERT</t>
        </is>
      </c>
      <c r="L12614">
        <f>_xlfn.XLOOKUP(Tableau1[[#This Row],[TYPE DE PIECE]],Tableau4[MATIERE],Tableau4[SHORT TYPE],"",0,1)</f>
        <v/>
      </c>
      <c r="N12614">
        <f>IF(ISERR(FIND("DECOUPE",Tableau1[[#This Row],[DESIGNATION]])),"","NEED REF")</f>
        <v/>
      </c>
    </row>
    <row r="12615">
      <c r="B12615" t="n">
        <v>34401390</v>
      </c>
      <c r="C12615" s="2" t="n">
        <v>39153</v>
      </c>
      <c r="D12615" t="inlineStr">
        <is>
          <t>CDC</t>
        </is>
      </c>
      <c r="E12615" t="inlineStr">
        <is>
          <t>MODIFICATION NS2000 CELLULE INTERS POUR FACILITER RACCORDEMENT</t>
        </is>
      </c>
      <c r="F12615" t="inlineStr">
        <is>
          <t>NS2000 CELLULE INTERS</t>
        </is>
      </c>
      <c r="J12615" t="inlineStr">
        <is>
          <t>FERRIER</t>
        </is>
      </c>
      <c r="K12615" t="inlineStr">
        <is>
          <t>PRESTATION</t>
        </is>
      </c>
      <c r="L12615">
        <f>_xlfn.XLOOKUP(Tableau1[[#This Row],[TYPE DE PIECE]],Tableau4[MATIERE],Tableau4[SHORT TYPE],"",0,1)</f>
        <v/>
      </c>
      <c r="N12615">
        <f>IF(ISERR(FIND("DECOUPE",Tableau1[[#This Row],[DESIGNATION]])),"","NEED REF")</f>
        <v/>
      </c>
    </row>
    <row r="12616">
      <c r="B12616" t="n">
        <v>34401389</v>
      </c>
      <c r="C12616" s="2" t="n">
        <v>39149</v>
      </c>
      <c r="D12616" t="inlineStr">
        <is>
          <t>NOM</t>
        </is>
      </c>
      <c r="E12616" t="inlineStr">
        <is>
          <t>CARTE MODIFIE 66104=3400390200 Management Card Contacts &amp; RS232/Serial</t>
        </is>
      </c>
      <c r="F12616" t="inlineStr">
        <is>
          <t>Toutes</t>
        </is>
      </c>
      <c r="J12616" t="inlineStr">
        <is>
          <t>ÇAKIR</t>
        </is>
      </c>
      <c r="L12616">
        <f>_xlfn.XLOOKUP(Tableau1[[#This Row],[TYPE DE PIECE]],Tableau4[MATIERE],Tableau4[SHORT TYPE],"",0,1)</f>
        <v/>
      </c>
      <c r="N12616">
        <f>IF(ISERR(FIND("DECOUPE",Tableau1[[#This Row],[DESIGNATION]])),"","NEED REF")</f>
        <v/>
      </c>
    </row>
    <row r="12617">
      <c r="B12617" t="n">
        <v>34401388</v>
      </c>
      <c r="C12617" s="2" t="n">
        <v>39143</v>
      </c>
      <c r="D12617" t="inlineStr">
        <is>
          <t>SPEC</t>
        </is>
      </c>
      <c r="E12617" t="inlineStr">
        <is>
          <t>Schéma de principe Pseudo NS avec self pour création de Neutre (Réseau Tri sans neutre)</t>
        </is>
      </c>
      <c r="F12617" t="inlineStr">
        <is>
          <t>PSEUDO NS POUR GAL //</t>
        </is>
      </c>
      <c r="J12617" t="inlineStr">
        <is>
          <t>FERRIER</t>
        </is>
      </c>
      <c r="L12617">
        <f>_xlfn.XLOOKUP(Tableau1[[#This Row],[TYPE DE PIECE]],Tableau4[MATIERE],Tableau4[SHORT TYPE],"",0,1)</f>
        <v/>
      </c>
      <c r="N12617">
        <f>IF(ISERR(FIND("DECOUPE",Tableau1[[#This Row],[DESIGNATION]])),"","NEED REF")</f>
        <v/>
      </c>
    </row>
    <row r="12618">
      <c r="B12618" t="n">
        <v>34401387</v>
      </c>
      <c r="C12618" s="2" t="n">
        <v>39142</v>
      </c>
      <c r="D12618" t="inlineStr">
        <is>
          <t>CDC</t>
        </is>
      </c>
      <c r="E12618" t="inlineStr">
        <is>
          <t>Réalisation et montage Liaison Neutre R2 à la Masse en coroplast</t>
        </is>
      </c>
      <c r="F12618" t="inlineStr">
        <is>
          <t>NS 2000kVA</t>
        </is>
      </c>
      <c r="J12618" t="inlineStr">
        <is>
          <t>FERRIER</t>
        </is>
      </c>
      <c r="L12618">
        <f>_xlfn.XLOOKUP(Tableau1[[#This Row],[TYPE DE PIECE]],Tableau4[MATIERE],Tableau4[SHORT TYPE],"",0,1)</f>
        <v/>
      </c>
      <c r="N12618">
        <f>IF(ISERR(FIND("DECOUPE",Tableau1[[#This Row],[DESIGNATION]])),"","NEED REF")</f>
        <v/>
      </c>
    </row>
    <row r="12619">
      <c r="B12619" t="n">
        <v>34401386</v>
      </c>
      <c r="C12619" s="2" t="n">
        <v>39142</v>
      </c>
      <c r="D12619" t="inlineStr">
        <is>
          <t>CDC</t>
        </is>
      </c>
      <c r="E12619" t="inlineStr">
        <is>
          <t>AJOUT GAINE POUR NS2000</t>
        </is>
      </c>
      <c r="F12619" t="inlineStr">
        <is>
          <t>NS 2000KVA</t>
        </is>
      </c>
      <c r="J12619" t="inlineStr">
        <is>
          <t>REVEL</t>
        </is>
      </c>
      <c r="L12619">
        <f>_xlfn.XLOOKUP(Tableau1[[#This Row],[TYPE DE PIECE]],Tableau4[MATIERE],Tableau4[SHORT TYPE],"",0,1)</f>
        <v/>
      </c>
      <c r="N12619">
        <f>IF(ISERR(FIND("DECOUPE",Tableau1[[#This Row],[DESIGNATION]])),"","NEED REF")</f>
        <v/>
      </c>
    </row>
    <row r="12620">
      <c r="B12620" t="n">
        <v>34401385</v>
      </c>
      <c r="C12620" s="2" t="n">
        <v>39133</v>
      </c>
      <c r="D12620" t="inlineStr">
        <is>
          <t>NOM</t>
        </is>
      </c>
      <c r="E12620" t="inlineStr">
        <is>
          <t>LEG SKID G5000 L= 1010</t>
        </is>
      </c>
      <c r="F12620" t="inlineStr">
        <is>
          <t>G5000</t>
        </is>
      </c>
      <c r="J12620" t="inlineStr">
        <is>
          <t>ROBERT</t>
        </is>
      </c>
      <c r="L12620">
        <f>_xlfn.XLOOKUP(Tableau1[[#This Row],[TYPE DE PIECE]],Tableau4[MATIERE],Tableau4[SHORT TYPE],"",0,1)</f>
        <v/>
      </c>
      <c r="N12620">
        <f>IF(ISERR(FIND("DECOUPE",Tableau1[[#This Row],[DESIGNATION]])),"","NEED REF")</f>
        <v/>
      </c>
    </row>
    <row r="12621">
      <c r="B12621" t="n">
        <v>34401384</v>
      </c>
      <c r="C12621" s="2" t="n">
        <v>39133</v>
      </c>
      <c r="D12621" t="inlineStr">
        <is>
          <t>NOM</t>
        </is>
      </c>
      <c r="E12621" t="inlineStr">
        <is>
          <t>LEG SKID G5000 L= 710</t>
        </is>
      </c>
      <c r="F12621" t="inlineStr">
        <is>
          <t>G5000</t>
        </is>
      </c>
      <c r="J12621" t="inlineStr">
        <is>
          <t>ROBERT</t>
        </is>
      </c>
      <c r="L12621">
        <f>_xlfn.XLOOKUP(Tableau1[[#This Row],[TYPE DE PIECE]],Tableau4[MATIERE],Tableau4[SHORT TYPE],"",0,1)</f>
        <v/>
      </c>
      <c r="N12621">
        <f>IF(ISERR(FIND("DECOUPE",Tableau1[[#This Row],[DESIGNATION]])),"","NEED REF")</f>
        <v/>
      </c>
    </row>
    <row r="12622">
      <c r="B12622" t="n">
        <v>34401383</v>
      </c>
      <c r="C12622" s="2" t="n">
        <v>39132</v>
      </c>
      <c r="D12622" t="inlineStr">
        <is>
          <t>NOM</t>
        </is>
      </c>
      <c r="E12622" t="inlineStr">
        <is>
          <t>LG SAT THMG300 60hZ</t>
        </is>
      </c>
      <c r="F12622" t="inlineStr">
        <is>
          <t>THM</t>
        </is>
      </c>
      <c r="J12622" t="inlineStr">
        <is>
          <t>IGLESIAS</t>
        </is>
      </c>
      <c r="L12622">
        <f>_xlfn.XLOOKUP(Tableau1[[#This Row],[TYPE DE PIECE]],Tableau4[MATIERE],Tableau4[SHORT TYPE],"",0,1)</f>
        <v/>
      </c>
      <c r="N12622">
        <f>IF(ISERR(FIND("DECOUPE",Tableau1[[#This Row],[DESIGNATION]])),"","NEED REF")</f>
        <v/>
      </c>
    </row>
    <row r="12623">
      <c r="B12623" t="n">
        <v>34401382</v>
      </c>
      <c r="C12623" s="2" t="n">
        <v>39129</v>
      </c>
      <c r="D12623" t="inlineStr">
        <is>
          <t>SPEC</t>
        </is>
      </c>
      <c r="E12623" t="inlineStr">
        <is>
          <t>PORTE DROITE COMPLETE IP22</t>
        </is>
      </c>
      <c r="F12623" t="inlineStr">
        <is>
          <t>GALAXY 160-400kVA</t>
        </is>
      </c>
      <c r="J12623" t="inlineStr">
        <is>
          <t>REVEL</t>
        </is>
      </c>
      <c r="L12623">
        <f>_xlfn.XLOOKUP(Tableau1[[#This Row],[TYPE DE PIECE]],Tableau4[MATIERE],Tableau4[SHORT TYPE],"",0,1)</f>
        <v/>
      </c>
      <c r="N12623">
        <f>IF(ISERR(FIND("DECOUPE",Tableau1[[#This Row],[DESIGNATION]])),"","NEED REF")</f>
        <v/>
      </c>
    </row>
    <row r="12624">
      <c r="B12624" t="n">
        <v>34401381</v>
      </c>
      <c r="C12624" s="2" t="n">
        <v>39129</v>
      </c>
      <c r="D12624" t="inlineStr">
        <is>
          <t>SPEC</t>
        </is>
      </c>
      <c r="E12624" t="inlineStr">
        <is>
          <t>PORTE GAUCHE COMPLETE IP22</t>
        </is>
      </c>
      <c r="F12624" t="inlineStr">
        <is>
          <t>GALAXY 160-400kVA</t>
        </is>
      </c>
      <c r="J12624" t="inlineStr">
        <is>
          <t>REVEL</t>
        </is>
      </c>
      <c r="L12624">
        <f>_xlfn.XLOOKUP(Tableau1[[#This Row],[TYPE DE PIECE]],Tableau4[MATIERE],Tableau4[SHORT TYPE],"",0,1)</f>
        <v/>
      </c>
      <c r="N12624">
        <f>IF(ISERR(FIND("DECOUPE",Tableau1[[#This Row],[DESIGNATION]])),"","NEED REF")</f>
        <v/>
      </c>
    </row>
    <row r="12625">
      <c r="B12625" t="n">
        <v>34401380</v>
      </c>
      <c r="C12625" s="2" t="n">
        <v>39118</v>
      </c>
      <c r="D12625" t="inlineStr">
        <is>
          <t>NOM</t>
        </is>
      </c>
      <c r="E12625" t="inlineStr">
        <is>
          <t>LG SAT THMG200</t>
        </is>
      </c>
      <c r="F12625" t="inlineStr">
        <is>
          <t>THM</t>
        </is>
      </c>
      <c r="J12625" t="inlineStr">
        <is>
          <t>IGLESIAS</t>
        </is>
      </c>
      <c r="L12625">
        <f>_xlfn.XLOOKUP(Tableau1[[#This Row],[TYPE DE PIECE]],Tableau4[MATIERE],Tableau4[SHORT TYPE],"",0,1)</f>
        <v/>
      </c>
      <c r="N12625">
        <f>IF(ISERR(FIND("DECOUPE",Tableau1[[#This Row],[DESIGNATION]])),"","NEED REF")</f>
        <v/>
      </c>
    </row>
    <row r="12626">
      <c r="B12626" t="n">
        <v>34401379</v>
      </c>
      <c r="C12626" s="2" t="n">
        <v>39118</v>
      </c>
      <c r="D12626" t="inlineStr">
        <is>
          <t>CDC</t>
        </is>
      </c>
      <c r="E12626" t="inlineStr">
        <is>
          <t>SUPPORT PULSAR M NAVALISE</t>
        </is>
      </c>
      <c r="F12626" t="inlineStr">
        <is>
          <t>PULSAR M</t>
        </is>
      </c>
      <c r="J12626" t="inlineStr">
        <is>
          <t>REVEL</t>
        </is>
      </c>
      <c r="L12626">
        <f>_xlfn.XLOOKUP(Tableau1[[#This Row],[TYPE DE PIECE]],Tableau4[MATIERE],Tableau4[SHORT TYPE],"",0,1)</f>
        <v/>
      </c>
      <c r="N12626">
        <f>IF(ISERR(FIND("DECOUPE",Tableau1[[#This Row],[DESIGNATION]])),"","NEED REF")</f>
        <v/>
      </c>
    </row>
    <row r="12627">
      <c r="B12627" t="n">
        <v>34401378</v>
      </c>
      <c r="C12627" s="2" t="n">
        <v>39118</v>
      </c>
      <c r="D12627" t="inlineStr">
        <is>
          <t>NOM</t>
        </is>
      </c>
      <c r="E12627" t="inlineStr">
        <is>
          <t>LG SAT THMG400 50hZ</t>
        </is>
      </c>
      <c r="F12627" t="inlineStr">
        <is>
          <t>THM</t>
        </is>
      </c>
      <c r="J12627" t="inlineStr">
        <is>
          <t>IGLESIAS</t>
        </is>
      </c>
      <c r="L12627">
        <f>_xlfn.XLOOKUP(Tableau1[[#This Row],[TYPE DE PIECE]],Tableau4[MATIERE],Tableau4[SHORT TYPE],"",0,1)</f>
        <v/>
      </c>
      <c r="N12627">
        <f>IF(ISERR(FIND("DECOUPE",Tableau1[[#This Row],[DESIGNATION]])),"","NEED REF")</f>
        <v/>
      </c>
    </row>
    <row r="12628">
      <c r="B12628" t="n">
        <v>34401377</v>
      </c>
      <c r="C12628" s="2" t="n">
        <v>39105</v>
      </c>
      <c r="D12628" t="inlineStr">
        <is>
          <t>DOC</t>
        </is>
      </c>
      <c r="E12628" t="inlineStr">
        <is>
          <t>Notice de montage 80kVA marine avec inverseur de source</t>
        </is>
      </c>
      <c r="F12628" t="inlineStr">
        <is>
          <t>GALAXY PW</t>
        </is>
      </c>
      <c r="J12628" t="inlineStr">
        <is>
          <t>ROBERT</t>
        </is>
      </c>
      <c r="L12628">
        <f>_xlfn.XLOOKUP(Tableau1[[#This Row],[TYPE DE PIECE]],Tableau4[MATIERE],Tableau4[SHORT TYPE],"",0,1)</f>
        <v/>
      </c>
      <c r="N12628">
        <f>IF(ISERR(FIND("DECOUPE",Tableau1[[#This Row],[DESIGNATION]])),"","NEED REF")</f>
        <v/>
      </c>
    </row>
    <row r="12629">
      <c r="B12629" t="n">
        <v>34401376</v>
      </c>
      <c r="C12629" s="2" t="n">
        <v>39105</v>
      </c>
      <c r="D12629" t="inlineStr">
        <is>
          <t>DOC</t>
        </is>
      </c>
      <c r="E12629" t="inlineStr">
        <is>
          <t>Notice de montage 20kVA marine avec inverseur de source+ tfo</t>
        </is>
      </c>
      <c r="F12629" t="inlineStr">
        <is>
          <t>GALAXY PW</t>
        </is>
      </c>
      <c r="J12629" t="inlineStr">
        <is>
          <t>ROBERT</t>
        </is>
      </c>
      <c r="L12629">
        <f>_xlfn.XLOOKUP(Tableau1[[#This Row],[TYPE DE PIECE]],Tableau4[MATIERE],Tableau4[SHORT TYPE],"",0,1)</f>
        <v/>
      </c>
      <c r="N12629">
        <f>IF(ISERR(FIND("DECOUPE",Tableau1[[#This Row],[DESIGNATION]])),"","NEED REF")</f>
        <v/>
      </c>
    </row>
    <row r="12630">
      <c r="B12630" t="n">
        <v>34401375</v>
      </c>
      <c r="C12630" s="2" t="n">
        <v>39105</v>
      </c>
      <c r="D12630" t="inlineStr">
        <is>
          <t>CDC</t>
        </is>
      </c>
      <c r="E12630" t="inlineStr">
        <is>
          <t>Caillebotis marine 1x68 P6V1700 GPW 200kva 8mn</t>
        </is>
      </c>
      <c r="F12630" t="inlineStr">
        <is>
          <t>Galaxy PW 200kVA</t>
        </is>
      </c>
      <c r="J12630" t="inlineStr">
        <is>
          <t>REVEL</t>
        </is>
      </c>
      <c r="L12630">
        <f>_xlfn.XLOOKUP(Tableau1[[#This Row],[TYPE DE PIECE]],Tableau4[MATIERE],Tableau4[SHORT TYPE],"",0,1)</f>
        <v/>
      </c>
      <c r="N12630">
        <f>IF(ISERR(FIND("DECOUPE",Tableau1[[#This Row],[DESIGNATION]])),"","NEED REF")</f>
        <v/>
      </c>
    </row>
    <row r="12631">
      <c r="B12631" t="n">
        <v>34401374</v>
      </c>
      <c r="C12631" s="2" t="n">
        <v>39101</v>
      </c>
      <c r="D12631" t="inlineStr">
        <is>
          <t>DOC</t>
        </is>
      </c>
      <c r="E12631" t="inlineStr">
        <is>
          <t>Notice transformation FAHC400/450 en FAHDC400/450</t>
        </is>
      </c>
      <c r="F12631" t="inlineStr">
        <is>
          <t>FAHDC 400/450kVA OU FAHCD</t>
        </is>
      </c>
      <c r="J12631" t="inlineStr">
        <is>
          <t>FERRIER</t>
        </is>
      </c>
      <c r="L12631">
        <f>_xlfn.XLOOKUP(Tableau1[[#This Row],[TYPE DE PIECE]],Tableau4[MATIERE],Tableau4[SHORT TYPE],"",0,1)</f>
        <v/>
      </c>
      <c r="N12631">
        <f>IF(ISERR(FIND("DECOUPE",Tableau1[[#This Row],[DESIGNATION]])),"","NEED REF")</f>
        <v/>
      </c>
    </row>
    <row r="12632">
      <c r="B12632" t="n">
        <v>34401373</v>
      </c>
      <c r="C12632" s="2" t="n">
        <v>39101</v>
      </c>
      <c r="D12632" t="inlineStr">
        <is>
          <t>NOM</t>
        </is>
      </c>
      <c r="E12632" t="inlineStr">
        <is>
          <t>LG COMET EXRT 31 7KVA CLA</t>
        </is>
      </c>
      <c r="F12632" t="inlineStr">
        <is>
          <t>COMET EXRT 31 7KVA</t>
        </is>
      </c>
      <c r="J12632" t="inlineStr">
        <is>
          <t>REVEL</t>
        </is>
      </c>
      <c r="L12632">
        <f>_xlfn.XLOOKUP(Tableau1[[#This Row],[TYPE DE PIECE]],Tableau4[MATIERE],Tableau4[SHORT TYPE],"",0,1)</f>
        <v/>
      </c>
      <c r="N12632">
        <f>IF(ISERR(FIND("DECOUPE",Tableau1[[#This Row],[DESIGNATION]])),"","NEED REF")</f>
        <v/>
      </c>
    </row>
    <row r="12633">
      <c r="B12633" t="n">
        <v>34401372</v>
      </c>
      <c r="C12633" s="2" t="n">
        <v>39099</v>
      </c>
      <c r="D12633" t="inlineStr">
        <is>
          <t>SPEC</t>
        </is>
      </c>
      <c r="E12633" t="inlineStr">
        <is>
          <t>PLATINE DIRIS 80kVA</t>
        </is>
      </c>
      <c r="F12633" t="inlineStr">
        <is>
          <t>GALAXY PW</t>
        </is>
      </c>
      <c r="J12633" t="inlineStr">
        <is>
          <t>ROBERT</t>
        </is>
      </c>
      <c r="L12633">
        <f>_xlfn.XLOOKUP(Tableau1[[#This Row],[TYPE DE PIECE]],Tableau4[MATIERE],Tableau4[SHORT TYPE],"",0,1)</f>
        <v/>
      </c>
      <c r="N12633">
        <f>IF(ISERR(FIND("DECOUPE",Tableau1[[#This Row],[DESIGNATION]])),"","NEED REF")</f>
        <v/>
      </c>
    </row>
    <row r="12634">
      <c r="B12634" t="n">
        <v>34401371</v>
      </c>
      <c r="C12634" s="2" t="n">
        <v>39099</v>
      </c>
      <c r="D12634" t="inlineStr">
        <is>
          <t>SPEC</t>
        </is>
      </c>
      <c r="E12634" t="inlineStr">
        <is>
          <t>PLATINE DIRIS 20kVA</t>
        </is>
      </c>
      <c r="F12634" t="inlineStr">
        <is>
          <t xml:space="preserve">GALAXY PW </t>
        </is>
      </c>
      <c r="J12634" t="inlineStr">
        <is>
          <t>ROBERT</t>
        </is>
      </c>
      <c r="L12634">
        <f>_xlfn.XLOOKUP(Tableau1[[#This Row],[TYPE DE PIECE]],Tableau4[MATIERE],Tableau4[SHORT TYPE],"",0,1)</f>
        <v/>
      </c>
      <c r="N12634">
        <f>IF(ISERR(FIND("DECOUPE",Tableau1[[#This Row],[DESIGNATION]])),"","NEED REF")</f>
        <v/>
      </c>
    </row>
    <row r="12635">
      <c r="B12635" t="n">
        <v>34401370</v>
      </c>
      <c r="C12635" s="2" t="n">
        <v>39099</v>
      </c>
      <c r="D12635" t="inlineStr">
        <is>
          <t>NOM</t>
        </is>
      </c>
      <c r="E12635" t="inlineStr">
        <is>
          <t>LG COUPLAGE BATT 800kVA CELLULE DROITE</t>
        </is>
      </c>
      <c r="F12635" t="inlineStr">
        <is>
          <t>GALAXY 800kVA</t>
        </is>
      </c>
      <c r="J12635" t="inlineStr">
        <is>
          <t>FOLTZ</t>
        </is>
      </c>
      <c r="L12635">
        <f>_xlfn.XLOOKUP(Tableau1[[#This Row],[TYPE DE PIECE]],Tableau4[MATIERE],Tableau4[SHORT TYPE],"",0,1)</f>
        <v/>
      </c>
      <c r="N12635">
        <f>IF(ISERR(FIND("DECOUPE",Tableau1[[#This Row],[DESIGNATION]])),"","NEED REF")</f>
        <v/>
      </c>
    </row>
    <row r="12636">
      <c r="B12636" t="n">
        <v>34401369</v>
      </c>
      <c r="C12636" s="2" t="n">
        <v>39099</v>
      </c>
      <c r="D12636" t="inlineStr">
        <is>
          <t>NOM</t>
        </is>
      </c>
      <c r="E12636" t="inlineStr">
        <is>
          <t>LG COUPLAGE BATT 800kVA CELLULE GAUCHE</t>
        </is>
      </c>
      <c r="F12636" t="inlineStr">
        <is>
          <t>GALAXY 800kVA</t>
        </is>
      </c>
      <c r="J12636" t="inlineStr">
        <is>
          <t>FOLTZ</t>
        </is>
      </c>
      <c r="L12636">
        <f>_xlfn.XLOOKUP(Tableau1[[#This Row],[TYPE DE PIECE]],Tableau4[MATIERE],Tableau4[SHORT TYPE],"",0,1)</f>
        <v/>
      </c>
      <c r="N12636">
        <f>IF(ISERR(FIND("DECOUPE",Tableau1[[#This Row],[DESIGNATION]])),"","NEED REF")</f>
        <v/>
      </c>
    </row>
    <row r="12637">
      <c r="B12637" t="n">
        <v>34401368</v>
      </c>
      <c r="C12637" s="2" t="n">
        <v>39098</v>
      </c>
      <c r="D12637" t="inlineStr">
        <is>
          <t>SPEC</t>
        </is>
      </c>
      <c r="E12637" t="inlineStr">
        <is>
          <t>LIMANDE APOZ HE13 HE15 9pts pour détection boucle ouverte</t>
        </is>
      </c>
      <c r="F12637" t="inlineStr">
        <is>
          <t>HSBC</t>
        </is>
      </c>
      <c r="J12637" t="inlineStr">
        <is>
          <t>FERRIER</t>
        </is>
      </c>
      <c r="L12637">
        <f>_xlfn.XLOOKUP(Tableau1[[#This Row],[TYPE DE PIECE]],Tableau4[MATIERE],Tableau4[SHORT TYPE],"",0,1)</f>
        <v/>
      </c>
      <c r="N12637">
        <f>IF(ISERR(FIND("DECOUPE",Tableau1[[#This Row],[DESIGNATION]])),"","NEED REF")</f>
        <v/>
      </c>
    </row>
    <row r="12638">
      <c r="B12638" t="n">
        <v>34401367</v>
      </c>
      <c r="C12638" s="2" t="n">
        <v>39098</v>
      </c>
      <c r="D12638" t="inlineStr">
        <is>
          <t>SPEC</t>
        </is>
      </c>
      <c r="E12638" t="inlineStr">
        <is>
          <t>LIMANDE APOZ APOZ HE15 9pts 25m AVEC FIL SUPPLEMENTAIRE DETECTION BOUCLE OUVERTE</t>
        </is>
      </c>
      <c r="F12638" t="inlineStr">
        <is>
          <t>HSBC</t>
        </is>
      </c>
      <c r="J12638" t="inlineStr">
        <is>
          <t>FERRIER</t>
        </is>
      </c>
      <c r="L12638">
        <f>_xlfn.XLOOKUP(Tableau1[[#This Row],[TYPE DE PIECE]],Tableau4[MATIERE],Tableau4[SHORT TYPE],"",0,1)</f>
        <v/>
      </c>
      <c r="N12638">
        <f>IF(ISERR(FIND("DECOUPE",Tableau1[[#This Row],[DESIGNATION]])),"","NEED REF")</f>
        <v/>
      </c>
    </row>
    <row r="12639">
      <c r="B12639" t="n">
        <v>34401366</v>
      </c>
      <c r="C12639" s="2" t="n">
        <v>39098</v>
      </c>
      <c r="D12639" t="inlineStr">
        <is>
          <t>SPEC</t>
        </is>
      </c>
      <c r="E12639" t="inlineStr">
        <is>
          <t>LIMANDE APOZ APOZ HE15 9pts 15m AVEC FIL SUPPLEMENTAIRE DETECTION BOUCLE OUVERTE</t>
        </is>
      </c>
      <c r="F12639" t="inlineStr">
        <is>
          <t>HSBC</t>
        </is>
      </c>
      <c r="J12639" t="inlineStr">
        <is>
          <t>FERRIER</t>
        </is>
      </c>
      <c r="L12639">
        <f>_xlfn.XLOOKUP(Tableau1[[#This Row],[TYPE DE PIECE]],Tableau4[MATIERE],Tableau4[SHORT TYPE],"",0,1)</f>
        <v/>
      </c>
      <c r="N12639">
        <f>IF(ISERR(FIND("DECOUPE",Tableau1[[#This Row],[DESIGNATION]])),"","NEED REF")</f>
        <v/>
      </c>
    </row>
    <row r="12640">
      <c r="B12640" t="n">
        <v>34401365</v>
      </c>
      <c r="C12640" s="2" t="n">
        <v>39097</v>
      </c>
      <c r="D12640" t="inlineStr">
        <is>
          <t>SPEC</t>
        </is>
      </c>
      <c r="E12640" t="inlineStr">
        <is>
          <t>KIT CABLES TRANSFORMATION FAHC EN FAHDC 400/450kVA</t>
        </is>
      </c>
      <c r="F12640" t="inlineStr">
        <is>
          <t>FAHDC 400/450kVA OU FAHCD</t>
        </is>
      </c>
      <c r="J12640" t="inlineStr">
        <is>
          <t>FERRIER</t>
        </is>
      </c>
      <c r="L12640">
        <f>_xlfn.XLOOKUP(Tableau1[[#This Row],[TYPE DE PIECE]],Tableau4[MATIERE],Tableau4[SHORT TYPE],"",0,1)</f>
        <v/>
      </c>
      <c r="N12640">
        <f>IF(ISERR(FIND("DECOUPE",Tableau1[[#This Row],[DESIGNATION]])),"","NEED REF")</f>
        <v/>
      </c>
    </row>
    <row r="12641">
      <c r="B12641" t="n">
        <v>34401364</v>
      </c>
      <c r="C12641" s="2" t="n">
        <v>39097</v>
      </c>
      <c r="D12641" t="inlineStr">
        <is>
          <t>NOM</t>
        </is>
      </c>
      <c r="E12641" t="inlineStr">
        <is>
          <t>LG CS NEUTRE STS 800A OPTIMISE</t>
        </is>
      </c>
      <c r="F12641" t="inlineStr">
        <is>
          <t>UPSILON STS 800A OPTIMISE</t>
        </is>
      </c>
      <c r="J12641" t="inlineStr">
        <is>
          <t>FOLTZ</t>
        </is>
      </c>
      <c r="L12641">
        <f>_xlfn.XLOOKUP(Tableau1[[#This Row],[TYPE DE PIECE]],Tableau4[MATIERE],Tableau4[SHORT TYPE],"",0,1)</f>
        <v/>
      </c>
      <c r="N12641">
        <f>IF(ISERR(FIND("DECOUPE",Tableau1[[#This Row],[DESIGNATION]])),"","NEED REF")</f>
        <v/>
      </c>
    </row>
    <row r="12642">
      <c r="B12642" t="n">
        <v>34401363</v>
      </c>
      <c r="C12642" s="2" t="n">
        <v>39097</v>
      </c>
      <c r="D12642" t="inlineStr">
        <is>
          <t>NOM</t>
        </is>
      </c>
      <c r="E12642" t="inlineStr">
        <is>
          <t>LG STS 800A OPTIMISE</t>
        </is>
      </c>
      <c r="F12642" t="inlineStr">
        <is>
          <t>UPSILON STS 800A OPTIMISE</t>
        </is>
      </c>
      <c r="J12642" t="inlineStr">
        <is>
          <t>FOLTZ</t>
        </is>
      </c>
      <c r="L12642">
        <f>_xlfn.XLOOKUP(Tableau1[[#This Row],[TYPE DE PIECE]],Tableau4[MATIERE],Tableau4[SHORT TYPE],"",0,1)</f>
        <v/>
      </c>
      <c r="N12642">
        <f>IF(ISERR(FIND("DECOUPE",Tableau1[[#This Row],[DESIGNATION]])),"","NEED REF")</f>
        <v/>
      </c>
    </row>
    <row r="12643">
      <c r="B12643" t="n">
        <v>34401362</v>
      </c>
      <c r="C12643" s="2" t="inlineStr">
        <is>
          <t>15/0107</t>
        </is>
      </c>
      <c r="D12643" t="inlineStr">
        <is>
          <t>NOM</t>
        </is>
      </c>
      <c r="E12643" t="inlineStr">
        <is>
          <t>CDC SW120A // EN ARMOIRE SAREL</t>
        </is>
      </c>
      <c r="F12643" t="inlineStr">
        <is>
          <t>SW120A</t>
        </is>
      </c>
      <c r="J12643" t="inlineStr">
        <is>
          <t>ROBERT</t>
        </is>
      </c>
      <c r="L12643">
        <f>_xlfn.XLOOKUP(Tableau1[[#This Row],[TYPE DE PIECE]],Tableau4[MATIERE],Tableau4[SHORT TYPE],"",0,1)</f>
        <v/>
      </c>
      <c r="N12643">
        <f>IF(ISERR(FIND("DECOUPE",Tableau1[[#This Row],[DESIGNATION]])),"","NEED REF")</f>
        <v/>
      </c>
    </row>
    <row r="12644">
      <c r="B12644" t="n">
        <v>34401361</v>
      </c>
      <c r="C12644" s="2" t="n">
        <v>39092</v>
      </c>
      <c r="D12644" t="inlineStr">
        <is>
          <t>NOM</t>
        </is>
      </c>
      <c r="E12644" t="inlineStr">
        <is>
          <t>LG IP32 ARM AUX PW 1215</t>
        </is>
      </c>
      <c r="F12644" t="inlineStr">
        <is>
          <t>GALAXY PW</t>
        </is>
      </c>
      <c r="J12644" t="inlineStr">
        <is>
          <t>ÇAKIR</t>
        </is>
      </c>
      <c r="L12644">
        <f>_xlfn.XLOOKUP(Tableau1[[#This Row],[TYPE DE PIECE]],Tableau4[MATIERE],Tableau4[SHORT TYPE],"",0,1)</f>
        <v/>
      </c>
      <c r="N12644">
        <f>IF(ISERR(FIND("DECOUPE",Tableau1[[#This Row],[DESIGNATION]])),"","NEED REF")</f>
        <v/>
      </c>
    </row>
    <row r="12645">
      <c r="B12645" t="n">
        <v>34401360</v>
      </c>
      <c r="C12645" s="2" t="n">
        <v>39091</v>
      </c>
      <c r="D12645" t="inlineStr">
        <is>
          <t>NOM</t>
        </is>
      </c>
      <c r="E12645" t="inlineStr">
        <is>
          <t>LG IP 22 PEINT SPECIALE GALAXY 400kVA</t>
        </is>
      </c>
      <c r="F12645" t="inlineStr">
        <is>
          <t>GALAXY 6000</t>
        </is>
      </c>
      <c r="J12645" t="inlineStr">
        <is>
          <t>ROBERT</t>
        </is>
      </c>
      <c r="L12645">
        <f>_xlfn.XLOOKUP(Tableau1[[#This Row],[TYPE DE PIECE]],Tableau4[MATIERE],Tableau4[SHORT TYPE],"",0,1)</f>
        <v/>
      </c>
      <c r="N12645">
        <f>IF(ISERR(FIND("DECOUPE",Tableau1[[#This Row],[DESIGNATION]])),"","NEED REF")</f>
        <v/>
      </c>
    </row>
    <row r="12646">
      <c r="B12646" t="n">
        <v>34401359</v>
      </c>
      <c r="C12646" s="2" t="n">
        <v>39090</v>
      </c>
      <c r="D12646" t="inlineStr">
        <is>
          <t>NOM</t>
        </is>
      </c>
      <c r="E12646" t="inlineStr">
        <is>
          <t>LG SAT THMG300</t>
        </is>
      </c>
      <c r="F12646" t="inlineStr">
        <is>
          <t>THM</t>
        </is>
      </c>
      <c r="J12646" t="inlineStr">
        <is>
          <t>IGLESIAS</t>
        </is>
      </c>
      <c r="L12646">
        <f>_xlfn.XLOOKUP(Tableau1[[#This Row],[TYPE DE PIECE]],Tableau4[MATIERE],Tableau4[SHORT TYPE],"",0,1)</f>
        <v/>
      </c>
      <c r="N12646">
        <f>IF(ISERR(FIND("DECOUPE",Tableau1[[#This Row],[DESIGNATION]])),"","NEED REF")</f>
        <v/>
      </c>
    </row>
    <row r="12647">
      <c r="B12647" t="n">
        <v>34401358</v>
      </c>
      <c r="C12647" s="2" t="n">
        <v>39086</v>
      </c>
      <c r="D12647" t="inlineStr">
        <is>
          <t>NOM</t>
        </is>
      </c>
      <c r="E12647" t="inlineStr">
        <is>
          <t>LG COMPLEMENTAIRE HABILLAGE ANCIENNE ESTHETIQUE POUR IP00 L=1600</t>
        </is>
      </c>
      <c r="F12647" t="inlineStr">
        <is>
          <t>GALAXY 6000</t>
        </is>
      </c>
      <c r="J12647" t="inlineStr">
        <is>
          <t>MAHMOUDI</t>
        </is>
      </c>
      <c r="L12647">
        <f>_xlfn.XLOOKUP(Tableau1[[#This Row],[TYPE DE PIECE]],Tableau4[MATIERE],Tableau4[SHORT TYPE],"",0,1)</f>
        <v/>
      </c>
      <c r="N12647">
        <f>IF(ISERR(FIND("DECOUPE",Tableau1[[#This Row],[DESIGNATION]])),"","NEED REF")</f>
        <v/>
      </c>
    </row>
    <row r="12648">
      <c r="B12648" t="n">
        <v>34401357</v>
      </c>
      <c r="C12648" s="2" t="n">
        <v>39079</v>
      </c>
      <c r="D12648" t="inlineStr">
        <is>
          <t>NOM</t>
        </is>
      </c>
      <c r="E12648" t="inlineStr">
        <is>
          <t>TOIT VENTILE ARM G6K L=1200</t>
        </is>
      </c>
      <c r="F12648" t="inlineStr">
        <is>
          <t>GALAXY 6000</t>
        </is>
      </c>
      <c r="J12648" t="inlineStr">
        <is>
          <t>REVEL</t>
        </is>
      </c>
      <c r="L12648">
        <f>_xlfn.XLOOKUP(Tableau1[[#This Row],[TYPE DE PIECE]],Tableau4[MATIERE],Tableau4[SHORT TYPE],"",0,1)</f>
        <v/>
      </c>
      <c r="N12648">
        <f>IF(ISERR(FIND("DECOUPE",Tableau1[[#This Row],[DESIGNATION]])),"","NEED REF")</f>
        <v/>
      </c>
    </row>
    <row r="12649">
      <c r="B12649" t="n">
        <v>34401356</v>
      </c>
      <c r="C12649" s="2" t="n">
        <v>39079</v>
      </c>
      <c r="D12649" t="inlineStr">
        <is>
          <t>NOM</t>
        </is>
      </c>
      <c r="E12649" t="inlineStr">
        <is>
          <t>TOIT VENTILE ARM G6K L=1000</t>
        </is>
      </c>
      <c r="F12649" t="inlineStr">
        <is>
          <t>GALAXY 6000</t>
        </is>
      </c>
      <c r="J12649" t="inlineStr">
        <is>
          <t>REVEL</t>
        </is>
      </c>
      <c r="L12649">
        <f>_xlfn.XLOOKUP(Tableau1[[#This Row],[TYPE DE PIECE]],Tableau4[MATIERE],Tableau4[SHORT TYPE],"",0,1)</f>
        <v/>
      </c>
      <c r="N12649">
        <f>IF(ISERR(FIND("DECOUPE",Tableau1[[#This Row],[DESIGNATION]])),"","NEED REF")</f>
        <v/>
      </c>
    </row>
    <row r="12650">
      <c r="B12650" t="n">
        <v>34401355</v>
      </c>
      <c r="C12650" s="2" t="n">
        <v>39079</v>
      </c>
      <c r="D12650" t="inlineStr">
        <is>
          <t>NOM</t>
        </is>
      </c>
      <c r="E12650" t="inlineStr">
        <is>
          <t>TOIT VENTILE ARM G6K L=800</t>
        </is>
      </c>
      <c r="F12650" t="inlineStr">
        <is>
          <t>GALAXY 6000</t>
        </is>
      </c>
      <c r="J12650" t="inlineStr">
        <is>
          <t>REVEL</t>
        </is>
      </c>
      <c r="L12650">
        <f>_xlfn.XLOOKUP(Tableau1[[#This Row],[TYPE DE PIECE]],Tableau4[MATIERE],Tableau4[SHORT TYPE],"",0,1)</f>
        <v/>
      </c>
      <c r="N12650">
        <f>IF(ISERR(FIND("DECOUPE",Tableau1[[#This Row],[DESIGNATION]])),"","NEED REF")</f>
        <v/>
      </c>
    </row>
    <row r="12651">
      <c r="B12651" t="n">
        <v>34401354</v>
      </c>
      <c r="C12651" s="2" t="n">
        <v>39079</v>
      </c>
      <c r="D12651" t="inlineStr">
        <is>
          <t>NOM</t>
        </is>
      </c>
      <c r="E12651" t="inlineStr">
        <is>
          <t>SUPPORT BOBINAGE DOUBLE ARM G5K L=1010</t>
        </is>
      </c>
      <c r="F12651" t="inlineStr">
        <is>
          <t>GALAXY G5K</t>
        </is>
      </c>
      <c r="J12651" t="inlineStr">
        <is>
          <t>REVEL</t>
        </is>
      </c>
      <c r="L12651">
        <f>_xlfn.XLOOKUP(Tableau1[[#This Row],[TYPE DE PIECE]],Tableau4[MATIERE],Tableau4[SHORT TYPE],"",0,1)</f>
        <v/>
      </c>
      <c r="N12651">
        <f>IF(ISERR(FIND("DECOUPE",Tableau1[[#This Row],[DESIGNATION]])),"","NEED REF")</f>
        <v/>
      </c>
    </row>
    <row r="12652">
      <c r="B12652" t="n">
        <v>34401353</v>
      </c>
      <c r="C12652" s="2" t="n">
        <v>39079</v>
      </c>
      <c r="D12652" t="inlineStr">
        <is>
          <t>NOM</t>
        </is>
      </c>
      <c r="E12652" t="inlineStr">
        <is>
          <t>SUPPORT BOBINAGE DOUBLE ARM G5K L=710</t>
        </is>
      </c>
      <c r="F12652" t="inlineStr">
        <is>
          <t>GALAXY G5K</t>
        </is>
      </c>
      <c r="J12652" t="inlineStr">
        <is>
          <t>REVEL</t>
        </is>
      </c>
      <c r="L12652">
        <f>_xlfn.XLOOKUP(Tableau1[[#This Row],[TYPE DE PIECE]],Tableau4[MATIERE],Tableau4[SHORT TYPE],"",0,1)</f>
        <v/>
      </c>
      <c r="N12652">
        <f>IF(ISERR(FIND("DECOUPE",Tableau1[[#This Row],[DESIGNATION]])),"","NEED REF")</f>
        <v/>
      </c>
    </row>
    <row r="12653">
      <c r="B12653" t="n">
        <v>34401352</v>
      </c>
      <c r="C12653" s="2" t="n">
        <v>39079</v>
      </c>
      <c r="D12653" t="inlineStr">
        <is>
          <t>NOM</t>
        </is>
      </c>
      <c r="E12653" t="inlineStr">
        <is>
          <t>SUPPORT BOBINAGE DOUBLE ARM G6K L=1200</t>
        </is>
      </c>
      <c r="F12653" t="inlineStr">
        <is>
          <t>GALAXY 6000</t>
        </is>
      </c>
      <c r="J12653" t="inlineStr">
        <is>
          <t>REVEL</t>
        </is>
      </c>
      <c r="L12653">
        <f>_xlfn.XLOOKUP(Tableau1[[#This Row],[TYPE DE PIECE]],Tableau4[MATIERE],Tableau4[SHORT TYPE],"",0,1)</f>
        <v/>
      </c>
      <c r="N12653">
        <f>IF(ISERR(FIND("DECOUPE",Tableau1[[#This Row],[DESIGNATION]])),"","NEED REF")</f>
        <v/>
      </c>
    </row>
    <row r="12654">
      <c r="B12654" t="n">
        <v>34401351</v>
      </c>
      <c r="C12654" s="2" t="n">
        <v>39079</v>
      </c>
      <c r="D12654" t="inlineStr">
        <is>
          <t>NOM</t>
        </is>
      </c>
      <c r="E12654" t="inlineStr">
        <is>
          <t>SUPPORT BOBINAGE DOUBLE ARM G6K L=1000</t>
        </is>
      </c>
      <c r="F12654" t="inlineStr">
        <is>
          <t>GALAXY 6000</t>
        </is>
      </c>
      <c r="J12654" t="inlineStr">
        <is>
          <t>REVEL</t>
        </is>
      </c>
      <c r="L12654">
        <f>_xlfn.XLOOKUP(Tableau1[[#This Row],[TYPE DE PIECE]],Tableau4[MATIERE],Tableau4[SHORT TYPE],"",0,1)</f>
        <v/>
      </c>
      <c r="N12654">
        <f>IF(ISERR(FIND("DECOUPE",Tableau1[[#This Row],[DESIGNATION]])),"","NEED REF")</f>
        <v/>
      </c>
    </row>
    <row r="12655">
      <c r="B12655" t="n">
        <v>34401350</v>
      </c>
      <c r="C12655" s="2" t="n">
        <v>39079</v>
      </c>
      <c r="D12655" t="inlineStr">
        <is>
          <t>NOM</t>
        </is>
      </c>
      <c r="E12655" t="inlineStr">
        <is>
          <t>SUPPORT BOBINAGE DOUBLE ARM G6K L=800</t>
        </is>
      </c>
      <c r="F12655" t="inlineStr">
        <is>
          <t>GALAXY 6000</t>
        </is>
      </c>
      <c r="J12655" t="inlineStr">
        <is>
          <t>REVEL</t>
        </is>
      </c>
      <c r="L12655">
        <f>_xlfn.XLOOKUP(Tableau1[[#This Row],[TYPE DE PIECE]],Tableau4[MATIERE],Tableau4[SHORT TYPE],"",0,1)</f>
        <v/>
      </c>
      <c r="N12655">
        <f>IF(ISERR(FIND("DECOUPE",Tableau1[[#This Row],[DESIGNATION]])),"","NEED REF")</f>
        <v/>
      </c>
    </row>
    <row r="12656">
      <c r="B12656" t="n">
        <v>34401349</v>
      </c>
      <c r="C12656" s="2" t="n">
        <v>39073</v>
      </c>
      <c r="D12656" t="inlineStr">
        <is>
          <t>SPEC</t>
        </is>
      </c>
      <c r="E12656" t="inlineStr">
        <is>
          <t>NW20DC COUPL BATT 800kVA Irm &gt; 2500A(QF1) sans BOBINE</t>
        </is>
      </c>
      <c r="F12656" t="inlineStr">
        <is>
          <t>COUPLAGE BATT 800kVA</t>
        </is>
      </c>
      <c r="J12656" t="inlineStr">
        <is>
          <t>FOLTZ</t>
        </is>
      </c>
      <c r="L12656">
        <f>_xlfn.XLOOKUP(Tableau1[[#This Row],[TYPE DE PIECE]],Tableau4[MATIERE],Tableau4[SHORT TYPE],"",0,1)</f>
        <v/>
      </c>
      <c r="N12656">
        <f>IF(ISERR(FIND("DECOUPE",Tableau1[[#This Row],[DESIGNATION]])),"","NEED REF")</f>
        <v/>
      </c>
    </row>
    <row r="12657">
      <c r="B12657" t="n">
        <v>34401348</v>
      </c>
      <c r="C12657" s="2" t="n">
        <v>39073</v>
      </c>
      <c r="D12657" t="inlineStr">
        <is>
          <t>SPEC</t>
        </is>
      </c>
      <c r="E12657" t="inlineStr">
        <is>
          <t>CANEVAS NW20DC HA (INTER Q10) COUPLAGE BATT 800kVA Irm &gt; 2500A</t>
        </is>
      </c>
      <c r="F12657" t="inlineStr">
        <is>
          <t>COUPLAGE BATT 800kVA</t>
        </is>
      </c>
      <c r="J12657" t="inlineStr">
        <is>
          <t>FOLTZ</t>
        </is>
      </c>
      <c r="L12657">
        <f>_xlfn.XLOOKUP(Tableau1[[#This Row],[TYPE DE PIECE]],Tableau4[MATIERE],Tableau4[SHORT TYPE],"",0,1)</f>
        <v/>
      </c>
      <c r="N12657">
        <f>IF(ISERR(FIND("DECOUPE",Tableau1[[#This Row],[DESIGNATION]])),"","NEED REF")</f>
        <v/>
      </c>
    </row>
    <row r="12658">
      <c r="B12658" t="n">
        <v>34401347</v>
      </c>
      <c r="C12658" s="2" t="n">
        <v>39073</v>
      </c>
      <c r="D12658" t="inlineStr">
        <is>
          <t>SPEC</t>
        </is>
      </c>
      <c r="E12658" t="inlineStr">
        <is>
          <t>NW20DC COUPL BATT 800kVA Irm &gt; 2500A(QF1-1/QF1-2) avec BOBINE</t>
        </is>
      </c>
      <c r="F12658" t="inlineStr">
        <is>
          <t>COUPLAGE BATT 800kVA</t>
        </is>
      </c>
      <c r="J12658" t="inlineStr">
        <is>
          <t>FOLTZ</t>
        </is>
      </c>
      <c r="L12658">
        <f>_xlfn.XLOOKUP(Tableau1[[#This Row],[TYPE DE PIECE]],Tableau4[MATIERE],Tableau4[SHORT TYPE],"",0,1)</f>
        <v/>
      </c>
      <c r="N12658">
        <f>IF(ISERR(FIND("DECOUPE",Tableau1[[#This Row],[DESIGNATION]])),"","NEED REF")</f>
        <v/>
      </c>
    </row>
    <row r="12659">
      <c r="B12659" t="n">
        <v>34401346</v>
      </c>
      <c r="C12659" s="2" t="n">
        <v>39063</v>
      </c>
      <c r="D12659" t="inlineStr">
        <is>
          <t>NOM</t>
        </is>
      </c>
      <c r="E12659" t="inlineStr">
        <is>
          <t>LG IP00 NS 2000</t>
        </is>
      </c>
      <c r="F12659" t="inlineStr">
        <is>
          <t>GALAXY 6000</t>
        </is>
      </c>
      <c r="J12659" t="inlineStr">
        <is>
          <t>IGLESIAS</t>
        </is>
      </c>
      <c r="L12659">
        <f>_xlfn.XLOOKUP(Tableau1[[#This Row],[TYPE DE PIECE]],Tableau4[MATIERE],Tableau4[SHORT TYPE],"",0,1)</f>
        <v/>
      </c>
      <c r="N12659">
        <f>IF(ISERR(FIND("DECOUPE",Tableau1[[#This Row],[DESIGNATION]])),"","NEED REF")</f>
        <v/>
      </c>
    </row>
    <row r="12660">
      <c r="B12660" t="n">
        <v>34401345</v>
      </c>
      <c r="C12660" s="2" t="n">
        <v>39063</v>
      </c>
      <c r="D12660" t="inlineStr">
        <is>
          <t>NOM</t>
        </is>
      </c>
      <c r="E12660" t="inlineStr">
        <is>
          <t>LG IP00 NS 1200</t>
        </is>
      </c>
      <c r="F12660" t="inlineStr">
        <is>
          <t>GALAXY 6000</t>
        </is>
      </c>
      <c r="J12660" t="inlineStr">
        <is>
          <t>IGLESIAS</t>
        </is>
      </c>
      <c r="L12660">
        <f>_xlfn.XLOOKUP(Tableau1[[#This Row],[TYPE DE PIECE]],Tableau4[MATIERE],Tableau4[SHORT TYPE],"",0,1)</f>
        <v/>
      </c>
      <c r="N12660">
        <f>IF(ISERR(FIND("DECOUPE",Tableau1[[#This Row],[DESIGNATION]])),"","NEED REF")</f>
        <v/>
      </c>
    </row>
    <row r="12661">
      <c r="B12661" t="n">
        <v>34401344</v>
      </c>
      <c r="C12661" s="2" t="n">
        <v>39063</v>
      </c>
      <c r="D12661" t="inlineStr">
        <is>
          <t>NOM</t>
        </is>
      </c>
      <c r="E12661" t="inlineStr">
        <is>
          <t>LG IP00 NS 500-800kVA</t>
        </is>
      </c>
      <c r="F12661" t="inlineStr">
        <is>
          <t>GALAXY 6000</t>
        </is>
      </c>
      <c r="J12661" t="inlineStr">
        <is>
          <t>IGLESIAS</t>
        </is>
      </c>
      <c r="L12661">
        <f>_xlfn.XLOOKUP(Tableau1[[#This Row],[TYPE DE PIECE]],Tableau4[MATIERE],Tableau4[SHORT TYPE],"",0,1)</f>
        <v/>
      </c>
      <c r="N12661">
        <f>IF(ISERR(FIND("DECOUPE",Tableau1[[#This Row],[DESIGNATION]])),"","NEED REF")</f>
        <v/>
      </c>
    </row>
    <row r="12662">
      <c r="B12662" t="n">
        <v>34401343</v>
      </c>
      <c r="C12662" s="2" t="n">
        <v>39063</v>
      </c>
      <c r="D12662" t="inlineStr">
        <is>
          <t>NOM</t>
        </is>
      </c>
      <c r="E12662" t="inlineStr">
        <is>
          <t>LG IP00 800kVA</t>
        </is>
      </c>
      <c r="F12662" t="inlineStr">
        <is>
          <t>GALAXY 6000</t>
        </is>
      </c>
      <c r="J12662" t="inlineStr">
        <is>
          <t>IGLESIAS</t>
        </is>
      </c>
      <c r="L12662">
        <f>_xlfn.XLOOKUP(Tableau1[[#This Row],[TYPE DE PIECE]],Tableau4[MATIERE],Tableau4[SHORT TYPE],"",0,1)</f>
        <v/>
      </c>
      <c r="N12662">
        <f>IF(ISERR(FIND("DECOUPE",Tableau1[[#This Row],[DESIGNATION]])),"","NEED REF")</f>
        <v/>
      </c>
    </row>
    <row r="12663">
      <c r="B12663" t="n">
        <v>34401342</v>
      </c>
      <c r="C12663" s="2" t="n">
        <v>39063</v>
      </c>
      <c r="D12663" t="inlineStr">
        <is>
          <t>NOM</t>
        </is>
      </c>
      <c r="E12663" t="inlineStr">
        <is>
          <t>LG IP00 600kVA</t>
        </is>
      </c>
      <c r="F12663" t="inlineStr">
        <is>
          <t>GALAXY 6000</t>
        </is>
      </c>
      <c r="J12663" t="inlineStr">
        <is>
          <t>IGLESIAS</t>
        </is>
      </c>
      <c r="L12663">
        <f>_xlfn.XLOOKUP(Tableau1[[#This Row],[TYPE DE PIECE]],Tableau4[MATIERE],Tableau4[SHORT TYPE],"",0,1)</f>
        <v/>
      </c>
      <c r="N12663">
        <f>IF(ISERR(FIND("DECOUPE",Tableau1[[#This Row],[DESIGNATION]])),"","NEED REF")</f>
        <v/>
      </c>
    </row>
    <row r="12664">
      <c r="B12664" t="n">
        <v>34401341</v>
      </c>
      <c r="C12664" s="2" t="n">
        <v>39063</v>
      </c>
      <c r="D12664" t="inlineStr">
        <is>
          <t>NOM</t>
        </is>
      </c>
      <c r="E12664" t="inlineStr">
        <is>
          <t>LG IP00 450-500kVA</t>
        </is>
      </c>
      <c r="F12664" t="inlineStr">
        <is>
          <t>GALAXY 6000</t>
        </is>
      </c>
      <c r="J12664" t="inlineStr">
        <is>
          <t>IGLESIAS</t>
        </is>
      </c>
      <c r="L12664">
        <f>_xlfn.XLOOKUP(Tableau1[[#This Row],[TYPE DE PIECE]],Tableau4[MATIERE],Tableau4[SHORT TYPE],"",0,1)</f>
        <v/>
      </c>
      <c r="N12664">
        <f>IF(ISERR(FIND("DECOUPE",Tableau1[[#This Row],[DESIGNATION]])),"","NEED REF")</f>
        <v/>
      </c>
    </row>
    <row r="12665">
      <c r="B12665" t="n">
        <v>34401340</v>
      </c>
      <c r="C12665" s="2" t="n">
        <v>39063</v>
      </c>
      <c r="D12665" t="inlineStr">
        <is>
          <t>NOM</t>
        </is>
      </c>
      <c r="E12665" t="inlineStr">
        <is>
          <t>LG IP00 400kVA</t>
        </is>
      </c>
      <c r="F12665" t="inlineStr">
        <is>
          <t>GALAXY 6000</t>
        </is>
      </c>
      <c r="J12665" t="inlineStr">
        <is>
          <t>IGLESIAS</t>
        </is>
      </c>
      <c r="L12665">
        <f>_xlfn.XLOOKUP(Tableau1[[#This Row],[TYPE DE PIECE]],Tableau4[MATIERE],Tableau4[SHORT TYPE],"",0,1)</f>
        <v/>
      </c>
      <c r="N12665">
        <f>IF(ISERR(FIND("DECOUPE",Tableau1[[#This Row],[DESIGNATION]])),"","NEED REF")</f>
        <v/>
      </c>
    </row>
    <row r="12666">
      <c r="B12666" t="n">
        <v>34401339</v>
      </c>
      <c r="C12666" s="2" t="n">
        <v>39063</v>
      </c>
      <c r="D12666" t="inlineStr">
        <is>
          <t>NOM</t>
        </is>
      </c>
      <c r="E12666" t="inlineStr">
        <is>
          <t>LG IP00 200-300kVA</t>
        </is>
      </c>
      <c r="F12666" t="inlineStr">
        <is>
          <t>GALAXY 6000</t>
        </is>
      </c>
      <c r="J12666" t="inlineStr">
        <is>
          <t>IGLESIAS</t>
        </is>
      </c>
      <c r="L12666">
        <f>_xlfn.XLOOKUP(Tableau1[[#This Row],[TYPE DE PIECE]],Tableau4[MATIERE],Tableau4[SHORT TYPE],"",0,1)</f>
        <v/>
      </c>
      <c r="N12666">
        <f>IF(ISERR(FIND("DECOUPE",Tableau1[[#This Row],[DESIGNATION]])),"","NEED REF")</f>
        <v/>
      </c>
    </row>
    <row r="12667">
      <c r="B12667" t="n">
        <v>34401338</v>
      </c>
      <c r="C12667" s="2" t="n">
        <v>39057</v>
      </c>
      <c r="D12667" t="inlineStr">
        <is>
          <t>NOM</t>
        </is>
      </c>
      <c r="E12667" t="inlineStr">
        <is>
          <t>LG SAT DU KIT DJ  15-30MN 200/250kVA</t>
        </is>
      </c>
      <c r="F12667" t="inlineStr">
        <is>
          <t>GALAXY PW</t>
        </is>
      </c>
      <c r="J12667" t="inlineStr">
        <is>
          <t>IGLESIAS</t>
        </is>
      </c>
      <c r="L12667">
        <f>_xlfn.XLOOKUP(Tableau1[[#This Row],[TYPE DE PIECE]],Tableau4[MATIERE],Tableau4[SHORT TYPE],"",0,1)</f>
        <v/>
      </c>
      <c r="N12667">
        <f>IF(ISERR(FIND("DECOUPE",Tableau1[[#This Row],[DESIGNATION]])),"","NEED REF")</f>
        <v/>
      </c>
    </row>
    <row r="12668">
      <c r="B12668" t="n">
        <v>34401337</v>
      </c>
      <c r="C12668" s="2" t="n">
        <v>39057</v>
      </c>
      <c r="D12668" t="inlineStr">
        <is>
          <t>NOM</t>
        </is>
      </c>
      <c r="E12668" t="inlineStr">
        <is>
          <t>LG SAT DU KIT DJ  15-30MN 120/160kVA+LG SAT DU KIT DJ  &lt;=10MN 200/250kVA</t>
        </is>
      </c>
      <c r="F12668" t="inlineStr">
        <is>
          <t>GALAXY PW</t>
        </is>
      </c>
      <c r="J12668" t="inlineStr">
        <is>
          <t>IGLESIAS</t>
        </is>
      </c>
      <c r="L12668">
        <f>_xlfn.XLOOKUP(Tableau1[[#This Row],[TYPE DE PIECE]],Tableau4[MATIERE],Tableau4[SHORT TYPE],"",0,1)</f>
        <v/>
      </c>
      <c r="N12668">
        <f>IF(ISERR(FIND("DECOUPE",Tableau1[[#This Row],[DESIGNATION]])),"","NEED REF")</f>
        <v/>
      </c>
    </row>
    <row r="12669">
      <c r="B12669" t="n">
        <v>34401336</v>
      </c>
      <c r="C12669" s="2" t="n">
        <v>39057</v>
      </c>
      <c r="D12669" t="inlineStr">
        <is>
          <t>NOM</t>
        </is>
      </c>
      <c r="E12669" t="inlineStr">
        <is>
          <t>LG SAT DU KIT DJ  15-30MN 80/100kVA+LG SAT DU KIT DJ &lt;= 10MN 120/160kVA</t>
        </is>
      </c>
      <c r="F12669" t="inlineStr">
        <is>
          <t>GALAXY PW</t>
        </is>
      </c>
      <c r="J12669" t="inlineStr">
        <is>
          <t>IGLESIAS</t>
        </is>
      </c>
      <c r="L12669">
        <f>_xlfn.XLOOKUP(Tableau1[[#This Row],[TYPE DE PIECE]],Tableau4[MATIERE],Tableau4[SHORT TYPE],"",0,1)</f>
        <v/>
      </c>
      <c r="N12669">
        <f>IF(ISERR(FIND("DECOUPE",Tableau1[[#This Row],[DESIGNATION]])),"","NEED REF")</f>
        <v/>
      </c>
    </row>
    <row r="12670">
      <c r="B12670" t="n">
        <v>34401335</v>
      </c>
      <c r="C12670" s="2" t="n">
        <v>39057</v>
      </c>
      <c r="D12670" t="inlineStr">
        <is>
          <t>NOM</t>
        </is>
      </c>
      <c r="E12670" t="inlineStr">
        <is>
          <t>LG SAT DU KIT DJ  15-30MN 50/60kVA+LG SAT DU KIT DJ  &lt;=10MN 80/100kVA</t>
        </is>
      </c>
      <c r="F12670" t="inlineStr">
        <is>
          <t>GALAXY PW</t>
        </is>
      </c>
      <c r="J12670" t="inlineStr">
        <is>
          <t>IGLESIAS</t>
        </is>
      </c>
      <c r="L12670">
        <f>_xlfn.XLOOKUP(Tableau1[[#This Row],[TYPE DE PIECE]],Tableau4[MATIERE],Tableau4[SHORT TYPE],"",0,1)</f>
        <v/>
      </c>
      <c r="N12670">
        <f>IF(ISERR(FIND("DECOUPE",Tableau1[[#This Row],[DESIGNATION]])),"","NEED REF")</f>
        <v/>
      </c>
    </row>
    <row r="12671">
      <c r="B12671" t="n">
        <v>34401334</v>
      </c>
      <c r="C12671" s="2" t="n">
        <v>39057</v>
      </c>
      <c r="D12671" t="inlineStr">
        <is>
          <t>NOM</t>
        </is>
      </c>
      <c r="E12671" t="inlineStr">
        <is>
          <t>LG SAT DU KIT DJ  8-30MN 20/40kVA+LG SAT DU KIT DJ  &lt;=10MN 80/100kVA</t>
        </is>
      </c>
      <c r="F12671" t="inlineStr">
        <is>
          <t>GALAXY PW</t>
        </is>
      </c>
      <c r="J12671" t="inlineStr">
        <is>
          <t>IGLESIAS</t>
        </is>
      </c>
      <c r="L12671">
        <f>_xlfn.XLOOKUP(Tableau1[[#This Row],[TYPE DE PIECE]],Tableau4[MATIERE],Tableau4[SHORT TYPE],"",0,1)</f>
        <v/>
      </c>
      <c r="N12671">
        <f>IF(ISERR(FIND("DECOUPE",Tableau1[[#This Row],[DESIGNATION]])),"","NEED REF")</f>
        <v/>
      </c>
    </row>
    <row r="12672">
      <c r="B12672" t="n">
        <v>34401333</v>
      </c>
      <c r="C12672" s="2" t="n">
        <v>39056</v>
      </c>
      <c r="D12672" t="inlineStr">
        <is>
          <t>NOM</t>
        </is>
      </c>
      <c r="E12672" t="inlineStr">
        <is>
          <t xml:space="preserve">LG SAT DU KIT DJ 20/30kVA   </t>
        </is>
      </c>
      <c r="F12672" t="inlineStr">
        <is>
          <t>GALAXY 3000</t>
        </is>
      </c>
      <c r="J12672" t="inlineStr">
        <is>
          <t>IGLESIAS</t>
        </is>
      </c>
      <c r="L12672">
        <f>_xlfn.XLOOKUP(Tableau1[[#This Row],[TYPE DE PIECE]],Tableau4[MATIERE],Tableau4[SHORT TYPE],"",0,1)</f>
        <v/>
      </c>
      <c r="N12672">
        <f>IF(ISERR(FIND("DECOUPE",Tableau1[[#This Row],[DESIGNATION]])),"","NEED REF")</f>
        <v/>
      </c>
    </row>
    <row r="12673">
      <c r="B12673" t="n">
        <v>34401332</v>
      </c>
      <c r="C12673" s="2" t="n">
        <v>39056</v>
      </c>
      <c r="D12673" t="inlineStr">
        <is>
          <t>NOM</t>
        </is>
      </c>
      <c r="E12673" t="inlineStr">
        <is>
          <t xml:space="preserve">LG SAT DU KIT DJ 10/15kVA   </t>
        </is>
      </c>
      <c r="F12673" t="inlineStr">
        <is>
          <t>GALAXY 3000</t>
        </is>
      </c>
      <c r="J12673" t="inlineStr">
        <is>
          <t>IGLESIAS</t>
        </is>
      </c>
      <c r="L12673">
        <f>_xlfn.XLOOKUP(Tableau1[[#This Row],[TYPE DE PIECE]],Tableau4[MATIERE],Tableau4[SHORT TYPE],"",0,1)</f>
        <v/>
      </c>
      <c r="N12673">
        <f>IF(ISERR(FIND("DECOUPE",Tableau1[[#This Row],[DESIGNATION]])),"","NEED REF")</f>
        <v/>
      </c>
    </row>
    <row r="12674">
      <c r="B12674" t="n">
        <v>34401331</v>
      </c>
      <c r="C12674" s="2" t="n">
        <v>39056</v>
      </c>
      <c r="D12674" t="inlineStr">
        <is>
          <t>CARTE</t>
        </is>
      </c>
      <c r="E12674" t="inlineStr">
        <is>
          <t>CARTE MERE Spécifique STS 800A LEM 1000A</t>
        </is>
      </c>
      <c r="F12674" t="inlineStr">
        <is>
          <t>STS 800A AVEC LEM 1000A</t>
        </is>
      </c>
      <c r="J12674" t="inlineStr">
        <is>
          <t>FOLTZ</t>
        </is>
      </c>
      <c r="L12674">
        <f>_xlfn.XLOOKUP(Tableau1[[#This Row],[TYPE DE PIECE]],Tableau4[MATIERE],Tableau4[SHORT TYPE],"",0,1)</f>
        <v/>
      </c>
      <c r="N12674">
        <f>IF(ISERR(FIND("DECOUPE",Tableau1[[#This Row],[DESIGNATION]])),"","NEED REF")</f>
        <v/>
      </c>
    </row>
    <row r="12675">
      <c r="B12675" t="n">
        <v>34401330</v>
      </c>
      <c r="C12675" s="2" t="n">
        <v>39056</v>
      </c>
      <c r="D12675" t="inlineStr">
        <is>
          <t>EPROM</t>
        </is>
      </c>
      <c r="E12675" t="inlineStr">
        <is>
          <t>EPROM FLASH DI23/DI24 CARTE MERE STS 800A LEM 1000A</t>
        </is>
      </c>
      <c r="F12675" t="inlineStr">
        <is>
          <t>STS 800A AVEC LEM 1000A</t>
        </is>
      </c>
      <c r="J12675" t="inlineStr">
        <is>
          <t>FOLTZ</t>
        </is>
      </c>
      <c r="L12675">
        <f>_xlfn.XLOOKUP(Tableau1[[#This Row],[TYPE DE PIECE]],Tableau4[MATIERE],Tableau4[SHORT TYPE],"",0,1)</f>
        <v/>
      </c>
      <c r="N12675">
        <f>IF(ISERR(FIND("DECOUPE",Tableau1[[#This Row],[DESIGNATION]])),"","NEED REF")</f>
        <v/>
      </c>
    </row>
    <row r="12676">
      <c r="B12676" t="n">
        <v>34401329</v>
      </c>
      <c r="C12676" s="2" t="n">
        <v>39056</v>
      </c>
      <c r="D12676" t="inlineStr">
        <is>
          <t>NOM</t>
        </is>
      </c>
      <c r="E12676" t="inlineStr">
        <is>
          <t>COMET EXRT 31 11kVA ECLAIRAGE DE SECURITE</t>
        </is>
      </c>
      <c r="F12676" t="inlineStr">
        <is>
          <t>COMET EXRT 31 11</t>
        </is>
      </c>
      <c r="J12676" t="inlineStr">
        <is>
          <t>REVEL</t>
        </is>
      </c>
      <c r="L12676">
        <f>_xlfn.XLOOKUP(Tableau1[[#This Row],[TYPE DE PIECE]],Tableau4[MATIERE],Tableau4[SHORT TYPE],"",0,1)</f>
        <v/>
      </c>
      <c r="N12676">
        <f>IF(ISERR(FIND("DECOUPE",Tableau1[[#This Row],[DESIGNATION]])),"","NEED REF")</f>
        <v/>
      </c>
    </row>
    <row r="12677">
      <c r="B12677" t="n">
        <v>34401328</v>
      </c>
      <c r="C12677" s="2" t="n">
        <v>39051</v>
      </c>
      <c r="D12677" t="inlineStr">
        <is>
          <t>CARTE</t>
        </is>
      </c>
      <c r="E12677" t="inlineStr">
        <is>
          <t>CARTE CRIZ - nouveau Double Pont 300/400kVA à ATFO</t>
        </is>
      </c>
      <c r="F12677" t="inlineStr">
        <is>
          <t>G6K NEW DP 500kVA</t>
        </is>
      </c>
      <c r="J12677" t="inlineStr">
        <is>
          <t>FERRIER</t>
        </is>
      </c>
      <c r="L12677">
        <f>_xlfn.XLOOKUP(Tableau1[[#This Row],[TYPE DE PIECE]],Tableau4[MATIERE],Tableau4[SHORT TYPE],"",0,1)</f>
        <v/>
      </c>
      <c r="N12677">
        <f>IF(ISERR(FIND("DECOUPE",Tableau1[[#This Row],[DESIGNATION]])),"","NEED REF")</f>
        <v/>
      </c>
    </row>
    <row r="12678">
      <c r="B12678" t="n">
        <v>34401327</v>
      </c>
      <c r="C12678" s="2" t="n">
        <v>39049</v>
      </c>
      <c r="D12678" t="inlineStr">
        <is>
          <t>NOM</t>
        </is>
      </c>
      <c r="E12678" t="inlineStr">
        <is>
          <t>LG SAT DU KIT DJ NS400 POUR 100/120kVA&gt;10MN</t>
        </is>
      </c>
      <c r="F12678" t="inlineStr">
        <is>
          <t>GALAXY 5000</t>
        </is>
      </c>
      <c r="J12678" t="inlineStr">
        <is>
          <t>IGLESIAS</t>
        </is>
      </c>
      <c r="L12678">
        <f>_xlfn.XLOOKUP(Tableau1[[#This Row],[TYPE DE PIECE]],Tableau4[MATIERE],Tableau4[SHORT TYPE],"",0,1)</f>
        <v/>
      </c>
      <c r="N12678">
        <f>IF(ISERR(FIND("DECOUPE",Tableau1[[#This Row],[DESIGNATION]])),"","NEED REF")</f>
        <v/>
      </c>
    </row>
    <row r="12679">
      <c r="B12679" t="n">
        <v>34401326</v>
      </c>
      <c r="C12679" s="2" t="n">
        <v>39049</v>
      </c>
      <c r="D12679" t="inlineStr">
        <is>
          <t>NOM</t>
        </is>
      </c>
      <c r="E12679" t="inlineStr">
        <is>
          <t>LG SAT DU KIT DJ NS250 POUR 60/80kVA&gt;10MN ET 100/120kVA&lt;15MN</t>
        </is>
      </c>
      <c r="F12679" t="inlineStr">
        <is>
          <t>GALAXY 5000</t>
        </is>
      </c>
      <c r="J12679" t="inlineStr">
        <is>
          <t>IGLESIAS</t>
        </is>
      </c>
      <c r="L12679">
        <f>_xlfn.XLOOKUP(Tableau1[[#This Row],[TYPE DE PIECE]],Tableau4[MATIERE],Tableau4[SHORT TYPE],"",0,1)</f>
        <v/>
      </c>
      <c r="N12679">
        <f>IF(ISERR(FIND("DECOUPE",Tableau1[[#This Row],[DESIGNATION]])),"","NEED REF")</f>
        <v/>
      </c>
    </row>
    <row r="12680">
      <c r="B12680" t="n">
        <v>34401325</v>
      </c>
      <c r="C12680" s="2" t="n">
        <v>39049</v>
      </c>
      <c r="D12680" t="inlineStr">
        <is>
          <t>NOM</t>
        </is>
      </c>
      <c r="E12680" t="inlineStr">
        <is>
          <t>LG SAT DU KIT DJ NS160 POUR 40kVA&gt;10MN ET 60/80kVA&lt;15MN</t>
        </is>
      </c>
      <c r="F12680" t="inlineStr">
        <is>
          <t>GALAXY 5000</t>
        </is>
      </c>
      <c r="J12680" t="inlineStr">
        <is>
          <t>IGLESIAS</t>
        </is>
      </c>
      <c r="L12680">
        <f>_xlfn.XLOOKUP(Tableau1[[#This Row],[TYPE DE PIECE]],Tableau4[MATIERE],Tableau4[SHORT TYPE],"",0,1)</f>
        <v/>
      </c>
      <c r="N12680">
        <f>IF(ISERR(FIND("DECOUPE",Tableau1[[#This Row],[DESIGNATION]])),"","NEED REF")</f>
        <v/>
      </c>
    </row>
    <row r="12681">
      <c r="B12681" t="n">
        <v>34401324</v>
      </c>
      <c r="C12681" s="2" t="n">
        <v>39049</v>
      </c>
      <c r="D12681" t="inlineStr">
        <is>
          <t>NOM</t>
        </is>
      </c>
      <c r="E12681" t="inlineStr">
        <is>
          <t>LG SAT DU KIT DJ G5000 20/30kVA&lt;15MN</t>
        </is>
      </c>
      <c r="F12681" t="inlineStr">
        <is>
          <t>GALAXY 5000</t>
        </is>
      </c>
      <c r="J12681" t="inlineStr">
        <is>
          <t>IGLESIAS</t>
        </is>
      </c>
      <c r="L12681">
        <f>_xlfn.XLOOKUP(Tableau1[[#This Row],[TYPE DE PIECE]],Tableau4[MATIERE],Tableau4[SHORT TYPE],"",0,1)</f>
        <v/>
      </c>
      <c r="N12681">
        <f>IF(ISERR(FIND("DECOUPE",Tableau1[[#This Row],[DESIGNATION]])),"","NEED REF")</f>
        <v/>
      </c>
    </row>
    <row r="12682">
      <c r="B12682" t="n">
        <v>34401323</v>
      </c>
      <c r="C12682" s="2" t="n">
        <v>39049</v>
      </c>
      <c r="D12682" t="inlineStr">
        <is>
          <t>DOC</t>
        </is>
      </c>
      <c r="E12682" t="inlineStr">
        <is>
          <t>DOSSIER DE MONTAGE PULSAR EXRT NAVALISE</t>
        </is>
      </c>
      <c r="F12682" t="inlineStr">
        <is>
          <t>PULSAR EXRT US MARINE</t>
        </is>
      </c>
      <c r="J12682" t="inlineStr">
        <is>
          <t>REVEL</t>
        </is>
      </c>
      <c r="L12682">
        <f>_xlfn.XLOOKUP(Tableau1[[#This Row],[TYPE DE PIECE]],Tableau4[MATIERE],Tableau4[SHORT TYPE],"",0,1)</f>
        <v/>
      </c>
      <c r="N12682">
        <f>IF(ISERR(FIND("DECOUPE",Tableau1[[#This Row],[DESIGNATION]])),"","NEED REF")</f>
        <v/>
      </c>
    </row>
    <row r="12683">
      <c r="B12683" t="n">
        <v>34401322</v>
      </c>
      <c r="C12683" s="2" t="n">
        <v>39048</v>
      </c>
      <c r="D12683" t="inlineStr">
        <is>
          <t>SPEC</t>
        </is>
      </c>
      <c r="E12683" t="inlineStr">
        <is>
          <t xml:space="preserve">PORTE IP32 UPSILON 250A </t>
        </is>
      </c>
      <c r="F12683" t="inlineStr">
        <is>
          <t>UPSILON STS 250A</t>
        </is>
      </c>
      <c r="J12683" t="inlineStr">
        <is>
          <t>ÇAKIR</t>
        </is>
      </c>
      <c r="L12683">
        <f>_xlfn.XLOOKUP(Tableau1[[#This Row],[TYPE DE PIECE]],Tableau4[MATIERE],Tableau4[SHORT TYPE],"",0,1)</f>
        <v/>
      </c>
      <c r="N12683">
        <f>IF(ISERR(FIND("DECOUPE",Tableau1[[#This Row],[DESIGNATION]])),"","NEED REF")</f>
        <v/>
      </c>
    </row>
    <row r="12684">
      <c r="B12684" t="n">
        <v>34401321</v>
      </c>
      <c r="C12684" s="2" t="n">
        <v>39048</v>
      </c>
      <c r="D12684" t="inlineStr">
        <is>
          <t>SPEC</t>
        </is>
      </c>
      <c r="E12684" t="inlineStr">
        <is>
          <t>TOIT IP32 UPSILON 250A</t>
        </is>
      </c>
      <c r="F12684" t="inlineStr">
        <is>
          <t>UPSILON STS 250A</t>
        </is>
      </c>
      <c r="J12684" t="inlineStr">
        <is>
          <t>ÇAKIR</t>
        </is>
      </c>
      <c r="L12684">
        <f>_xlfn.XLOOKUP(Tableau1[[#This Row],[TYPE DE PIECE]],Tableau4[MATIERE],Tableau4[SHORT TYPE],"",0,1)</f>
        <v/>
      </c>
      <c r="N12684">
        <f>IF(ISERR(FIND("DECOUPE",Tableau1[[#This Row],[DESIGNATION]])),"","NEED REF")</f>
        <v/>
      </c>
    </row>
    <row r="12685">
      <c r="B12685" t="n">
        <v>34401320</v>
      </c>
      <c r="C12685" s="2" t="n">
        <v>39045</v>
      </c>
      <c r="D12685" t="inlineStr">
        <is>
          <t xml:space="preserve">SCHEMA  </t>
        </is>
      </c>
      <c r="F12685" t="inlineStr">
        <is>
          <t>THM G800 STANDARD</t>
        </is>
      </c>
      <c r="J12685" t="inlineStr">
        <is>
          <t>FERRIER</t>
        </is>
      </c>
      <c r="L12685">
        <f>_xlfn.XLOOKUP(Tableau1[[#This Row],[TYPE DE PIECE]],Tableau4[MATIERE],Tableau4[SHORT TYPE],"",0,1)</f>
        <v/>
      </c>
      <c r="N12685">
        <f>IF(ISERR(FIND("DECOUPE",Tableau1[[#This Row],[DESIGNATION]])),"","NEED REF")</f>
        <v/>
      </c>
    </row>
    <row r="12686">
      <c r="B12686" t="n">
        <v>34401319</v>
      </c>
      <c r="C12686" s="2" t="n">
        <v>39045</v>
      </c>
      <c r="D12686" t="inlineStr">
        <is>
          <t>CDC</t>
        </is>
      </c>
      <c r="E12686" t="inlineStr">
        <is>
          <t>CDC ARM SAREL PDU(70 départs)+BY-PASS+TFO R2</t>
        </is>
      </c>
      <c r="F12686" t="inlineStr">
        <is>
          <t>TOTAL France</t>
        </is>
      </c>
      <c r="J12686" t="inlineStr">
        <is>
          <t>ROBERT</t>
        </is>
      </c>
      <c r="L12686">
        <f>_xlfn.XLOOKUP(Tableau1[[#This Row],[TYPE DE PIECE]],Tableau4[MATIERE],Tableau4[SHORT TYPE],"",0,1)</f>
        <v/>
      </c>
      <c r="N12686">
        <f>IF(ISERR(FIND("DECOUPE",Tableau1[[#This Row],[DESIGNATION]])),"","NEED REF")</f>
        <v/>
      </c>
    </row>
    <row r="12687">
      <c r="B12687" t="n">
        <v>34401318</v>
      </c>
      <c r="C12687" s="2" t="n">
        <v>39044</v>
      </c>
      <c r="D12687" t="inlineStr">
        <is>
          <t>CARTE</t>
        </is>
      </c>
      <c r="E12687" t="inlineStr">
        <is>
          <t>CARTE CRIZ - nouveau Double Pont 500kVA à ATFO</t>
        </is>
      </c>
      <c r="F12687" t="inlineStr">
        <is>
          <t>G6K NEW DP 500kVA</t>
        </is>
      </c>
      <c r="J12687" t="inlineStr">
        <is>
          <t>FERRIER</t>
        </is>
      </c>
      <c r="L12687">
        <f>_xlfn.XLOOKUP(Tableau1[[#This Row],[TYPE DE PIECE]],Tableau4[MATIERE],Tableau4[SHORT TYPE],"",0,1)</f>
        <v/>
      </c>
      <c r="N12687">
        <f>IF(ISERR(FIND("DECOUPE",Tableau1[[#This Row],[DESIGNATION]])),"","NEED REF")</f>
        <v/>
      </c>
    </row>
    <row r="12688">
      <c r="B12688" t="n">
        <v>34401317</v>
      </c>
      <c r="C12688" s="2" t="n">
        <v>39042</v>
      </c>
      <c r="D12688" t="inlineStr">
        <is>
          <t>CDC</t>
        </is>
      </c>
      <c r="E12688" t="inlineStr">
        <is>
          <t>GAINE DE RACCORDEMENT POUR 6 ASI</t>
        </is>
      </c>
      <c r="F12688" t="inlineStr">
        <is>
          <t>NS 1200kVA</t>
        </is>
      </c>
      <c r="J12688" t="inlineStr">
        <is>
          <t>REVEL</t>
        </is>
      </c>
      <c r="L12688">
        <f>_xlfn.XLOOKUP(Tableau1[[#This Row],[TYPE DE PIECE]],Tableau4[MATIERE],Tableau4[SHORT TYPE],"",0,1)</f>
        <v/>
      </c>
      <c r="N12688">
        <f>IF(ISERR(FIND("DECOUPE",Tableau1[[#This Row],[DESIGNATION]])),"","NEED REF")</f>
        <v/>
      </c>
    </row>
    <row r="12689">
      <c r="B12689" t="n">
        <v>34401316</v>
      </c>
      <c r="C12689" s="2" t="n">
        <v>39041</v>
      </c>
      <c r="D12689" t="inlineStr">
        <is>
          <t>SPEC</t>
        </is>
      </c>
      <c r="E12689" t="inlineStr">
        <is>
          <t>Toit ventilé armoire L=800</t>
        </is>
      </c>
      <c r="F12689" t="inlineStr">
        <is>
          <t>ARM AUX L=800 GALAXY</t>
        </is>
      </c>
      <c r="J12689" t="inlineStr">
        <is>
          <t>REVEL</t>
        </is>
      </c>
      <c r="L12689">
        <f>_xlfn.XLOOKUP(Tableau1[[#This Row],[TYPE DE PIECE]],Tableau4[MATIERE],Tableau4[SHORT TYPE],"",0,1)</f>
        <v/>
      </c>
      <c r="N12689">
        <f>IF(ISERR(FIND("DECOUPE",Tableau1[[#This Row],[DESIGNATION]])),"","NEED REF")</f>
        <v/>
      </c>
    </row>
    <row r="12690">
      <c r="B12690" t="n">
        <v>34401315</v>
      </c>
      <c r="C12690" s="2" t="n">
        <v>39041</v>
      </c>
      <c r="D12690" t="inlineStr">
        <is>
          <t>SPEC</t>
        </is>
      </c>
      <c r="E12690" t="inlineStr">
        <is>
          <t>EQUERRE SUPPORT RACK BY PASS</t>
        </is>
      </c>
      <c r="F12690" t="inlineStr">
        <is>
          <t>HotSwap MBP</t>
        </is>
      </c>
      <c r="J12690" t="inlineStr">
        <is>
          <t>REVEL</t>
        </is>
      </c>
      <c r="L12690">
        <f>_xlfn.XLOOKUP(Tableau1[[#This Row],[TYPE DE PIECE]],Tableau4[MATIERE],Tableau4[SHORT TYPE],"",0,1)</f>
        <v/>
      </c>
      <c r="N12690">
        <f>IF(ISERR(FIND("DECOUPE",Tableau1[[#This Row],[DESIGNATION]])),"","NEED REF")</f>
        <v/>
      </c>
    </row>
    <row r="12691">
      <c r="B12691" t="n">
        <v>34401314</v>
      </c>
      <c r="C12691" s="2" t="n">
        <v>39035</v>
      </c>
      <c r="D12691" t="inlineStr">
        <is>
          <t>CDC</t>
        </is>
      </c>
      <c r="E12691" t="inlineStr">
        <is>
          <t>CDC SW60A // EN ARMOIRE SAREL</t>
        </is>
      </c>
      <c r="F12691" t="inlineStr">
        <is>
          <t>SINAWAVE 60A</t>
        </is>
      </c>
      <c r="J12691" t="inlineStr">
        <is>
          <t>ROBERT</t>
        </is>
      </c>
      <c r="L12691">
        <f>_xlfn.XLOOKUP(Tableau1[[#This Row],[TYPE DE PIECE]],Tableau4[MATIERE],Tableau4[SHORT TYPE],"",0,1)</f>
        <v/>
      </c>
      <c r="N12691">
        <f>IF(ISERR(FIND("DECOUPE",Tableau1[[#This Row],[DESIGNATION]])),"","NEED REF")</f>
        <v/>
      </c>
    </row>
    <row r="12692">
      <c r="B12692" t="n">
        <v>34401313</v>
      </c>
      <c r="C12692" s="2" t="n">
        <v>39035</v>
      </c>
      <c r="D12692" t="inlineStr">
        <is>
          <t>CDC</t>
        </is>
      </c>
      <c r="E12692" t="inlineStr">
        <is>
          <t>CDC 2xSW60A // EN ARMOIRE SAREL</t>
        </is>
      </c>
      <c r="F12692" t="inlineStr">
        <is>
          <t>SINAWAVE 60A</t>
        </is>
      </c>
      <c r="J12692" t="inlineStr">
        <is>
          <t>ROBERT</t>
        </is>
      </c>
      <c r="L12692">
        <f>_xlfn.XLOOKUP(Tableau1[[#This Row],[TYPE DE PIECE]],Tableau4[MATIERE],Tableau4[SHORT TYPE],"",0,1)</f>
        <v/>
      </c>
      <c r="N12692">
        <f>IF(ISERR(FIND("DECOUPE",Tableau1[[#This Row],[DESIGNATION]])),"","NEED REF")</f>
        <v/>
      </c>
    </row>
    <row r="12693">
      <c r="B12693" t="n">
        <v>34401312</v>
      </c>
      <c r="C12693" s="2" t="n">
        <v>39030</v>
      </c>
      <c r="D12693" t="inlineStr">
        <is>
          <t>NOM</t>
        </is>
      </c>
      <c r="E12693" t="inlineStr">
        <is>
          <t>LG PACK ADVANCE 80-120kVA AVEC TOIT VENTILLE</t>
        </is>
      </c>
      <c r="F12693" t="inlineStr">
        <is>
          <t>GALAXY</t>
        </is>
      </c>
      <c r="J12693" t="inlineStr">
        <is>
          <t>MAHMOUDI</t>
        </is>
      </c>
      <c r="L12693">
        <f>_xlfn.XLOOKUP(Tableau1[[#This Row],[TYPE DE PIECE]],Tableau4[MATIERE],Tableau4[SHORT TYPE],"",0,1)</f>
        <v/>
      </c>
      <c r="N12693">
        <f>IF(ISERR(FIND("DECOUPE",Tableau1[[#This Row],[DESIGNATION]])),"","NEED REF")</f>
        <v/>
      </c>
    </row>
    <row r="12694">
      <c r="B12694" t="n">
        <v>34401311</v>
      </c>
      <c r="C12694" s="2" t="n">
        <v>39027</v>
      </c>
      <c r="D12694" t="inlineStr">
        <is>
          <t>NOM</t>
        </is>
      </c>
      <c r="E12694" t="inlineStr">
        <is>
          <t>LG IP22 GAL PW 20-60KVA PEINT SPE DECOUPE EM9</t>
        </is>
      </c>
      <c r="F12694" t="inlineStr">
        <is>
          <t>GALAXY PW</t>
        </is>
      </c>
      <c r="J12694" t="inlineStr">
        <is>
          <t>REVEL</t>
        </is>
      </c>
      <c r="L12694">
        <f>_xlfn.XLOOKUP(Tableau1[[#This Row],[TYPE DE PIECE]],Tableau4[MATIERE],Tableau4[SHORT TYPE],"",0,1)</f>
        <v/>
      </c>
      <c r="N12694">
        <f>IF(ISERR(FIND("DECOUPE",Tableau1[[#This Row],[DESIGNATION]])),"","NEED REF")</f>
        <v/>
      </c>
    </row>
    <row r="12695">
      <c r="B12695" t="n">
        <v>34401310</v>
      </c>
      <c r="C12695" s="2" t="n">
        <v>39027</v>
      </c>
      <c r="D12695" t="inlineStr">
        <is>
          <t>SPEC</t>
        </is>
      </c>
      <c r="E12695" t="inlineStr">
        <is>
          <t>PORTE IP22 GAL PW 120KVA AVEC DECOUPE EM9</t>
        </is>
      </c>
      <c r="F12695" t="inlineStr">
        <is>
          <t>GALAXY PW</t>
        </is>
      </c>
      <c r="J12695" t="inlineStr">
        <is>
          <t>REVEL</t>
        </is>
      </c>
      <c r="L12695">
        <f>_xlfn.XLOOKUP(Tableau1[[#This Row],[TYPE DE PIECE]],Tableau4[MATIERE],Tableau4[SHORT TYPE],"",0,1)</f>
        <v/>
      </c>
      <c r="N12695">
        <f>IF(ISERR(FIND("DECOUPE",Tableau1[[#This Row],[DESIGNATION]])),"","NEED REF")</f>
        <v/>
      </c>
    </row>
    <row r="12696">
      <c r="B12696" t="n">
        <v>34401309</v>
      </c>
      <c r="C12696" s="2" t="n">
        <v>39017</v>
      </c>
      <c r="D12696" t="inlineStr">
        <is>
          <t>CDC</t>
        </is>
      </c>
      <c r="E12696" t="inlineStr">
        <is>
          <t>MONTAGE CABLAGE DE 16 CELLULES 19" COMET EXRT</t>
        </is>
      </c>
      <c r="F12696" t="inlineStr">
        <is>
          <t>COMET EXRT</t>
        </is>
      </c>
      <c r="J12696" t="inlineStr">
        <is>
          <t>REVEL</t>
        </is>
      </c>
      <c r="L12696">
        <f>_xlfn.XLOOKUP(Tableau1[[#This Row],[TYPE DE PIECE]],Tableau4[MATIERE],Tableau4[SHORT TYPE],"",0,1)</f>
        <v/>
      </c>
      <c r="N12696">
        <f>IF(ISERR(FIND("DECOUPE",Tableau1[[#This Row],[DESIGNATION]])),"","NEED REF")</f>
        <v/>
      </c>
    </row>
    <row r="12697">
      <c r="B12697" t="n">
        <v>34401308</v>
      </c>
      <c r="C12697" s="2" t="n">
        <v>39016</v>
      </c>
      <c r="D12697" t="inlineStr">
        <is>
          <t>CDC</t>
        </is>
      </c>
      <c r="E12697" t="inlineStr">
        <is>
          <t>THM G800 CELLULE DROITE: FAHD 800kVA dans ARMOIRE 1200mm</t>
        </is>
      </c>
      <c r="F12697" t="inlineStr">
        <is>
          <t xml:space="preserve">THM G800 POUR ALIGATOR </t>
        </is>
      </c>
      <c r="J12697" t="inlineStr">
        <is>
          <t>FERRIER</t>
        </is>
      </c>
      <c r="L12697">
        <f>_xlfn.XLOOKUP(Tableau1[[#This Row],[TYPE DE PIECE]],Tableau4[MATIERE],Tableau4[SHORT TYPE],"",0,1)</f>
        <v/>
      </c>
      <c r="N12697">
        <f>IF(ISERR(FIND("DECOUPE",Tableau1[[#This Row],[DESIGNATION]])),"","NEED REF")</f>
        <v/>
      </c>
    </row>
    <row r="12698">
      <c r="B12698" t="n">
        <v>34401307</v>
      </c>
      <c r="C12698" s="2" t="n">
        <v>39016</v>
      </c>
      <c r="D12698" t="inlineStr">
        <is>
          <t>CDC+SCHEM</t>
        </is>
      </c>
      <c r="E12698" t="inlineStr">
        <is>
          <t>THM G800 CELLULE GAUCHE SPECIALE AVEC JDB RACC R1 R2</t>
        </is>
      </c>
      <c r="F12698" t="inlineStr">
        <is>
          <t xml:space="preserve">THM G800 POUR ALIGATOR </t>
        </is>
      </c>
      <c r="J12698" t="inlineStr">
        <is>
          <t>FERRIER</t>
        </is>
      </c>
      <c r="L12698">
        <f>_xlfn.XLOOKUP(Tableau1[[#This Row],[TYPE DE PIECE]],Tableau4[MATIERE],Tableau4[SHORT TYPE],"",0,1)</f>
        <v/>
      </c>
      <c r="N12698">
        <f>IF(ISERR(FIND("DECOUPE",Tableau1[[#This Row],[DESIGNATION]])),"","NEED REF")</f>
        <v/>
      </c>
    </row>
    <row r="12699">
      <c r="B12699" t="n">
        <v>34401306</v>
      </c>
      <c r="C12699" s="2" t="n">
        <v>39015</v>
      </c>
      <c r="D12699" t="inlineStr">
        <is>
          <t>SPEC</t>
        </is>
      </c>
      <c r="E12699" t="inlineStr">
        <is>
          <t>DUNGLE EX RT 60min</t>
        </is>
      </c>
      <c r="F12699" t="inlineStr">
        <is>
          <t>MAROC TELECOM</t>
        </is>
      </c>
      <c r="J12699" t="inlineStr">
        <is>
          <t>ÇAKIR</t>
        </is>
      </c>
      <c r="L12699">
        <f>_xlfn.XLOOKUP(Tableau1[[#This Row],[TYPE DE PIECE]],Tableau4[MATIERE],Tableau4[SHORT TYPE],"",0,1)</f>
        <v/>
      </c>
      <c r="N12699">
        <f>IF(ISERR(FIND("DECOUPE",Tableau1[[#This Row],[DESIGNATION]])),"","NEED REF")</f>
        <v/>
      </c>
    </row>
    <row r="12700">
      <c r="B12700" t="n">
        <v>34401305</v>
      </c>
      <c r="C12700" s="2" t="n">
        <v>39015</v>
      </c>
      <c r="D12700" t="inlineStr">
        <is>
          <t>SPEC</t>
        </is>
      </c>
      <c r="E12700" t="inlineStr">
        <is>
          <t>DUNGLE EX RT 30min</t>
        </is>
      </c>
      <c r="F12700" t="inlineStr">
        <is>
          <t>MAROC TELECOM</t>
        </is>
      </c>
      <c r="J12700" t="inlineStr">
        <is>
          <t>ÇAKIR</t>
        </is>
      </c>
      <c r="L12700">
        <f>_xlfn.XLOOKUP(Tableau1[[#This Row],[TYPE DE PIECE]],Tableau4[MATIERE],Tableau4[SHORT TYPE],"",0,1)</f>
        <v/>
      </c>
      <c r="N12700">
        <f>IF(ISERR(FIND("DECOUPE",Tableau1[[#This Row],[DESIGNATION]])),"","NEED REF")</f>
        <v/>
      </c>
    </row>
    <row r="12701">
      <c r="B12701" t="n">
        <v>34401304</v>
      </c>
      <c r="C12701" s="2" t="n">
        <v>39010</v>
      </c>
      <c r="D12701" t="inlineStr">
        <is>
          <t>CDC</t>
        </is>
      </c>
      <c r="E12701" t="inlineStr">
        <is>
          <t>DOUBLEMENT DES TI NS1200kVA (double NS actif)</t>
        </is>
      </c>
      <c r="F12701" t="inlineStr">
        <is>
          <t>NS / DOUBLE NS ACTIF</t>
        </is>
      </c>
      <c r="J12701" t="inlineStr">
        <is>
          <t>FOLTZ</t>
        </is>
      </c>
      <c r="L12701">
        <f>_xlfn.XLOOKUP(Tableau1[[#This Row],[TYPE DE PIECE]],Tableau4[MATIERE],Tableau4[SHORT TYPE],"",0,1)</f>
        <v/>
      </c>
      <c r="N12701">
        <f>IF(ISERR(FIND("DECOUPE",Tableau1[[#This Row],[DESIGNATION]])),"","NEED REF")</f>
        <v/>
      </c>
    </row>
    <row r="12702">
      <c r="B12702" t="n">
        <v>34401303</v>
      </c>
      <c r="C12702" s="2" t="n">
        <v>39009</v>
      </c>
      <c r="D12702" t="inlineStr">
        <is>
          <t>SPEC</t>
        </is>
      </c>
      <c r="E12702" t="inlineStr">
        <is>
          <t>CARTE ACPZ MODIFIEE POUR PSEUDO NS</t>
        </is>
      </c>
      <c r="F12702" t="inlineStr">
        <is>
          <t>PSEUDO NS</t>
        </is>
      </c>
      <c r="J12702" t="inlineStr">
        <is>
          <t>FOLTZ</t>
        </is>
      </c>
      <c r="L12702">
        <f>_xlfn.XLOOKUP(Tableau1[[#This Row],[TYPE DE PIECE]],Tableau4[MATIERE],Tableau4[SHORT TYPE],"",0,1)</f>
        <v/>
      </c>
      <c r="N12702">
        <f>IF(ISERR(FIND("DECOUPE",Tableau1[[#This Row],[DESIGNATION]])),"","NEED REF")</f>
        <v/>
      </c>
    </row>
    <row r="12703">
      <c r="B12703" t="n">
        <v>34401302</v>
      </c>
      <c r="C12703" s="2" t="n">
        <v>39009</v>
      </c>
      <c r="D12703" t="inlineStr">
        <is>
          <t>SPEC</t>
        </is>
      </c>
      <c r="E12703" t="inlineStr">
        <is>
          <t>CARTE DO6Z MODIFIEE POUR GALAXY EN FONCTIONNEMENT AVEC PSEUDO NS</t>
        </is>
      </c>
      <c r="F12703" t="inlineStr">
        <is>
          <t>GALAXY AVEC PSEUDO NS</t>
        </is>
      </c>
      <c r="J12703" t="inlineStr">
        <is>
          <t>FOLTZ</t>
        </is>
      </c>
      <c r="L12703">
        <f>_xlfn.XLOOKUP(Tableau1[[#This Row],[TYPE DE PIECE]],Tableau4[MATIERE],Tableau4[SHORT TYPE],"",0,1)</f>
        <v/>
      </c>
      <c r="N12703">
        <f>IF(ISERR(FIND("DECOUPE",Tableau1[[#This Row],[DESIGNATION]])),"","NEED REF")</f>
        <v/>
      </c>
    </row>
    <row r="12704">
      <c r="B12704" t="n">
        <v>34401301</v>
      </c>
      <c r="C12704" s="2" t="n">
        <v>39006</v>
      </c>
      <c r="D12704" t="inlineStr">
        <is>
          <t>CONTRÔLE</t>
        </is>
      </c>
      <c r="E12704" t="inlineStr">
        <is>
          <t>MAJ DE LA FICHE 34000200XE PMM SUITE A PASSAGE EN AFFAIRE</t>
        </is>
      </c>
      <c r="F12704" t="inlineStr">
        <is>
          <t>PMM</t>
        </is>
      </c>
      <c r="J12704" t="inlineStr">
        <is>
          <t>DUCLOS</t>
        </is>
      </c>
      <c r="L12704">
        <f>_xlfn.XLOOKUP(Tableau1[[#This Row],[TYPE DE PIECE]],Tableau4[MATIERE],Tableau4[SHORT TYPE],"",0,1)</f>
        <v/>
      </c>
      <c r="N12704">
        <f>IF(ISERR(FIND("DECOUPE",Tableau1[[#This Row],[DESIGNATION]])),"","NEED REF")</f>
        <v/>
      </c>
    </row>
    <row r="12705">
      <c r="B12705" t="n">
        <v>34401300</v>
      </c>
      <c r="C12705" s="2" t="n">
        <v>39002</v>
      </c>
      <c r="D12705" t="inlineStr">
        <is>
          <t>CDC</t>
        </is>
      </c>
      <c r="E12705" t="inlineStr">
        <is>
          <t>CDC CAILLEBOTIS MARINE 850</t>
        </is>
      </c>
      <c r="F12705" t="inlineStr">
        <is>
          <t>G3000</t>
        </is>
      </c>
      <c r="J12705" t="inlineStr">
        <is>
          <t>ROBERT</t>
        </is>
      </c>
      <c r="L12705">
        <f>_xlfn.XLOOKUP(Tableau1[[#This Row],[TYPE DE PIECE]],Tableau4[MATIERE],Tableau4[SHORT TYPE],"",0,1)</f>
        <v/>
      </c>
      <c r="N12705">
        <f>IF(ISERR(FIND("DECOUPE",Tableau1[[#This Row],[DESIGNATION]])),"","NEED REF")</f>
        <v/>
      </c>
    </row>
    <row r="12706">
      <c r="B12706" t="n">
        <v>34401299</v>
      </c>
      <c r="C12706" s="2" t="n">
        <v>39002</v>
      </c>
      <c r="D12706" t="inlineStr">
        <is>
          <t>CDC</t>
        </is>
      </c>
      <c r="E12706" t="inlineStr">
        <is>
          <t xml:space="preserve">BOUCHON RESISTIF </t>
        </is>
      </c>
      <c r="F12706" t="inlineStr">
        <is>
          <t>COMET EXTREME</t>
        </is>
      </c>
      <c r="J12706" t="inlineStr">
        <is>
          <t>REVEL</t>
        </is>
      </c>
      <c r="L12706">
        <f>_xlfn.XLOOKUP(Tableau1[[#This Row],[TYPE DE PIECE]],Tableau4[MATIERE],Tableau4[SHORT TYPE],"",0,1)</f>
        <v/>
      </c>
      <c r="N12706">
        <f>IF(ISERR(FIND("DECOUPE",Tableau1[[#This Row],[DESIGNATION]])),"","NEED REF")</f>
        <v/>
      </c>
    </row>
    <row r="12707">
      <c r="B12707" t="n">
        <v>34401298</v>
      </c>
      <c r="C12707" s="2" t="n">
        <v>39002</v>
      </c>
      <c r="D12707" t="inlineStr">
        <is>
          <t>SPEC</t>
        </is>
      </c>
      <c r="E12707" t="inlineStr">
        <is>
          <t>PLAQUE PRESSE ETOUPE POUR COFFRET DJ BATT RACC HAUT</t>
        </is>
      </c>
      <c r="F12707" t="inlineStr">
        <is>
          <t>COFFRET DJ BATT 400kVA</t>
        </is>
      </c>
      <c r="J12707" t="inlineStr">
        <is>
          <t>FERRIER</t>
        </is>
      </c>
      <c r="L12707">
        <f>_xlfn.XLOOKUP(Tableau1[[#This Row],[TYPE DE PIECE]],Tableau4[MATIERE],Tableau4[SHORT TYPE],"",0,1)</f>
        <v/>
      </c>
      <c r="N12707">
        <f>IF(ISERR(FIND("DECOUPE",Tableau1[[#This Row],[DESIGNATION]])),"","NEED REF")</f>
        <v/>
      </c>
    </row>
    <row r="12708">
      <c r="B12708" t="n">
        <v>34401297</v>
      </c>
      <c r="C12708" s="2" t="n">
        <v>39001</v>
      </c>
      <c r="D12708" t="inlineStr">
        <is>
          <t>SPEC</t>
        </is>
      </c>
      <c r="E12708" t="inlineStr">
        <is>
          <t>TOIT PLEIN L=700 G5K</t>
        </is>
      </c>
      <c r="F12708" t="inlineStr">
        <is>
          <t>GALAXY 5000 ARM L=700</t>
        </is>
      </c>
      <c r="J12708" t="inlineStr">
        <is>
          <t>ÇAKIR</t>
        </is>
      </c>
      <c r="L12708">
        <f>_xlfn.XLOOKUP(Tableau1[[#This Row],[TYPE DE PIECE]],Tableau4[MATIERE],Tableau4[SHORT TYPE],"",0,1)</f>
        <v/>
      </c>
      <c r="N12708">
        <f>IF(ISERR(FIND("DECOUPE",Tableau1[[#This Row],[DESIGNATION]])),"","NEED REF")</f>
        <v/>
      </c>
    </row>
    <row r="12709">
      <c r="B12709" t="n">
        <v>34401296</v>
      </c>
      <c r="C12709" s="2" t="n">
        <v>39001</v>
      </c>
      <c r="D12709" t="inlineStr">
        <is>
          <t>CDC + SCH</t>
        </is>
      </c>
      <c r="E12709" t="inlineStr">
        <is>
          <t>NS1000 380V + ARMOIRE COUPLAGE AVEC ECLISSAGE</t>
        </is>
      </c>
      <c r="F12709" t="inlineStr">
        <is>
          <t>NS1000 + ARMOIRE COUPLAGE</t>
        </is>
      </c>
      <c r="J12709" t="inlineStr">
        <is>
          <t>FERRIER</t>
        </is>
      </c>
      <c r="L12709">
        <f>_xlfn.XLOOKUP(Tableau1[[#This Row],[TYPE DE PIECE]],Tableau4[MATIERE],Tableau4[SHORT TYPE],"",0,1)</f>
        <v/>
      </c>
      <c r="N12709">
        <f>IF(ISERR(FIND("DECOUPE",Tableau1[[#This Row],[DESIGNATION]])),"","NEED REF")</f>
        <v/>
      </c>
    </row>
    <row r="12710">
      <c r="B12710" t="n">
        <v>34401295</v>
      </c>
      <c r="C12710" s="2" t="n">
        <v>39001</v>
      </c>
      <c r="D12710" t="inlineStr">
        <is>
          <t>CDC + SCH</t>
        </is>
      </c>
      <c r="E12710" t="inlineStr">
        <is>
          <t>NS2500 LIGHT 380V + ARMOIRE COUPLAGE</t>
        </is>
      </c>
      <c r="F12710" t="inlineStr">
        <is>
          <t>NS2500 LIGHT + ARMOIRE COUPLAGE</t>
        </is>
      </c>
      <c r="J12710" t="inlineStr">
        <is>
          <t>FERRIER</t>
        </is>
      </c>
      <c r="L12710">
        <f>_xlfn.XLOOKUP(Tableau1[[#This Row],[TYPE DE PIECE]],Tableau4[MATIERE],Tableau4[SHORT TYPE],"",0,1)</f>
        <v/>
      </c>
      <c r="N12710">
        <f>IF(ISERR(FIND("DECOUPE",Tableau1[[#This Row],[DESIGNATION]])),"","NEED REF")</f>
        <v/>
      </c>
    </row>
    <row r="12711">
      <c r="B12711" t="n">
        <v>34401294</v>
      </c>
      <c r="C12711" s="2" t="n">
        <v>39000</v>
      </c>
      <c r="D12711" t="inlineStr">
        <is>
          <t>SPEC</t>
        </is>
      </c>
      <c r="E12711" t="inlineStr">
        <is>
          <t>CARTE AQUI ADAPTE POUR PW 120KVA IP32</t>
        </is>
      </c>
      <c r="F12711" t="inlineStr">
        <is>
          <t>GALAXY PW 120KVA</t>
        </is>
      </c>
      <c r="J12711" t="inlineStr">
        <is>
          <t>REVEL</t>
        </is>
      </c>
      <c r="L12711">
        <f>_xlfn.XLOOKUP(Tableau1[[#This Row],[TYPE DE PIECE]],Tableau4[MATIERE],Tableau4[SHORT TYPE],"",0,1)</f>
        <v/>
      </c>
      <c r="N12711">
        <f>IF(ISERR(FIND("DECOUPE",Tableau1[[#This Row],[DESIGNATION]])),"","NEED REF")</f>
        <v/>
      </c>
    </row>
    <row r="12712">
      <c r="B12712" t="n">
        <v>34401293</v>
      </c>
      <c r="C12712" s="2" t="n">
        <v>38996</v>
      </c>
      <c r="D12712" t="inlineStr">
        <is>
          <t>CDC</t>
        </is>
      </c>
      <c r="E12712" t="inlineStr">
        <is>
          <t>CDC BANDEAU LATERAL RALLONGéS AVEC FILTRE POUSSIERE</t>
        </is>
      </c>
      <c r="F12712" t="inlineStr">
        <is>
          <t>GALAXY 6000</t>
        </is>
      </c>
      <c r="J12712" t="inlineStr">
        <is>
          <t>FERRIER</t>
        </is>
      </c>
      <c r="L12712">
        <f>_xlfn.XLOOKUP(Tableau1[[#This Row],[TYPE DE PIECE]],Tableau4[MATIERE],Tableau4[SHORT TYPE],"",0,1)</f>
        <v/>
      </c>
      <c r="N12712">
        <f>IF(ISERR(FIND("DECOUPE",Tableau1[[#This Row],[DESIGNATION]])),"","NEED REF")</f>
        <v/>
      </c>
    </row>
    <row r="12713">
      <c r="B12713" t="n">
        <v>34401292</v>
      </c>
      <c r="C12713" s="2" t="n">
        <v>38996</v>
      </c>
      <c r="D12713" t="inlineStr">
        <is>
          <t>SPEC</t>
        </is>
      </c>
      <c r="E12713" t="inlineStr">
        <is>
          <t xml:space="preserve">P. ARRIERE IP 32 ARM. AUX BAT G3000 20/30kVA </t>
        </is>
      </c>
      <c r="F12713" t="inlineStr">
        <is>
          <t>GALAXY 3000</t>
        </is>
      </c>
      <c r="J12713" t="inlineStr">
        <is>
          <t>ROBERT</t>
        </is>
      </c>
      <c r="L12713">
        <f>_xlfn.XLOOKUP(Tableau1[[#This Row],[TYPE DE PIECE]],Tableau4[MATIERE],Tableau4[SHORT TYPE],"",0,1)</f>
        <v/>
      </c>
      <c r="N12713">
        <f>IF(ISERR(FIND("DECOUPE",Tableau1[[#This Row],[DESIGNATION]])),"","NEED REF")</f>
        <v/>
      </c>
    </row>
    <row r="12714">
      <c r="B12714" t="n">
        <v>34401291</v>
      </c>
      <c r="C12714" s="2" t="n">
        <v>38993</v>
      </c>
      <c r="D12714" t="inlineStr">
        <is>
          <t>CDC</t>
        </is>
      </c>
      <c r="E12714" t="inlineStr">
        <is>
          <t>CDC BANDEAU AV/AR RALLONGéS AVEC FILTRE POUSSIERE</t>
        </is>
      </c>
      <c r="F12714" t="inlineStr">
        <is>
          <t>GALAXY 6000 / ARM L=800</t>
        </is>
      </c>
      <c r="J12714" t="inlineStr">
        <is>
          <t>FERRIER</t>
        </is>
      </c>
      <c r="L12714">
        <f>_xlfn.XLOOKUP(Tableau1[[#This Row],[TYPE DE PIECE]],Tableau4[MATIERE],Tableau4[SHORT TYPE],"",0,1)</f>
        <v/>
      </c>
      <c r="N12714">
        <f>IF(ISERR(FIND("DECOUPE",Tableau1[[#This Row],[DESIGNATION]])),"","NEED REF")</f>
        <v/>
      </c>
    </row>
    <row r="12715">
      <c r="B12715" t="n">
        <v>34401290</v>
      </c>
      <c r="C12715" s="2" t="n">
        <v>38993</v>
      </c>
      <c r="D12715" t="inlineStr">
        <is>
          <t>CDC</t>
        </is>
      </c>
      <c r="E12715" t="inlineStr">
        <is>
          <t>CDC BANDEAU AV/AR RALLONGéS AVEC FILTRE POUSSIERE</t>
        </is>
      </c>
      <c r="F12715" t="inlineStr">
        <is>
          <t>GALAXY 6000 / ONDULEUR</t>
        </is>
      </c>
      <c r="J12715" t="inlineStr">
        <is>
          <t>FERRIER</t>
        </is>
      </c>
      <c r="L12715">
        <f>_xlfn.XLOOKUP(Tableau1[[#This Row],[TYPE DE PIECE]],Tableau4[MATIERE],Tableau4[SHORT TYPE],"",0,1)</f>
        <v/>
      </c>
      <c r="N12715">
        <f>IF(ISERR(FIND("DECOUPE",Tableau1[[#This Row],[DESIGNATION]])),"","NEED REF")</f>
        <v/>
      </c>
    </row>
    <row r="12716">
      <c r="B12716" t="n">
        <v>34401289</v>
      </c>
      <c r="C12716" s="2" t="n">
        <v>38992</v>
      </c>
      <c r="D12716" t="inlineStr">
        <is>
          <t>SPEC</t>
        </is>
      </c>
      <c r="E12716" t="inlineStr">
        <is>
          <t>CDC SKID GALAXY 5000</t>
        </is>
      </c>
      <c r="F12716" t="inlineStr">
        <is>
          <t>GALAXY 5000</t>
        </is>
      </c>
      <c r="J12716" t="inlineStr">
        <is>
          <t>ROBERT</t>
        </is>
      </c>
      <c r="L12716">
        <f>_xlfn.XLOOKUP(Tableau1[[#This Row],[TYPE DE PIECE]],Tableau4[MATIERE],Tableau4[SHORT TYPE],"",0,1)</f>
        <v/>
      </c>
      <c r="N12716">
        <f>IF(ISERR(FIND("DECOUPE",Tableau1[[#This Row],[DESIGNATION]])),"","NEED REF")</f>
        <v/>
      </c>
    </row>
    <row r="12717">
      <c r="B12717" t="n">
        <v>34401288</v>
      </c>
      <c r="C12717" s="2" t="n">
        <v>38989</v>
      </c>
      <c r="D12717" t="inlineStr">
        <is>
          <t>SPEC</t>
        </is>
      </c>
      <c r="E12717" t="inlineStr">
        <is>
          <t>PLAQUE PRESSE ETOUPE IP3* ARM 1015</t>
        </is>
      </c>
      <c r="F12717" t="inlineStr">
        <is>
          <t>GALAXY PW 1015</t>
        </is>
      </c>
      <c r="J12717" t="inlineStr">
        <is>
          <t>ROBERT</t>
        </is>
      </c>
      <c r="L12717">
        <f>_xlfn.XLOOKUP(Tableau1[[#This Row],[TYPE DE PIECE]],Tableau4[MATIERE],Tableau4[SHORT TYPE],"",0,1)</f>
        <v/>
      </c>
      <c r="N12717">
        <f>IF(ISERR(FIND("DECOUPE",Tableau1[[#This Row],[DESIGNATION]])),"","NEED REF")</f>
        <v/>
      </c>
    </row>
    <row r="12718">
      <c r="B12718" t="n">
        <v>34401287</v>
      </c>
      <c r="C12718" s="2" t="n">
        <v>38988</v>
      </c>
      <c r="D12718" t="inlineStr">
        <is>
          <t>SPEC</t>
        </is>
      </c>
      <c r="E12718" t="inlineStr">
        <is>
          <t>PANNEAU ARRIERE IP22 G3000 20/30kVA</t>
        </is>
      </c>
      <c r="F12718" t="inlineStr">
        <is>
          <t>G3000</t>
        </is>
      </c>
      <c r="J12718" t="inlineStr">
        <is>
          <t>ROBERT</t>
        </is>
      </c>
      <c r="L12718">
        <f>_xlfn.XLOOKUP(Tableau1[[#This Row],[TYPE DE PIECE]],Tableau4[MATIERE],Tableau4[SHORT TYPE],"",0,1)</f>
        <v/>
      </c>
      <c r="N12718">
        <f>IF(ISERR(FIND("DECOUPE",Tableau1[[#This Row],[DESIGNATION]])),"","NEED REF")</f>
        <v/>
      </c>
    </row>
    <row r="12719">
      <c r="B12719" t="n">
        <v>34401286</v>
      </c>
      <c r="C12719" s="2" t="n">
        <v>38987</v>
      </c>
      <c r="D12719" t="inlineStr">
        <is>
          <t>SPEC</t>
        </is>
      </c>
      <c r="E12719" t="inlineStr">
        <is>
          <t>TOLE DE FOND IP42 160--&gt;200kVA</t>
        </is>
      </c>
      <c r="F12719" t="inlineStr">
        <is>
          <t>GALAXY PW</t>
        </is>
      </c>
      <c r="J12719" t="inlineStr">
        <is>
          <t>ROBERT</t>
        </is>
      </c>
      <c r="L12719">
        <f>_xlfn.XLOOKUP(Tableau1[[#This Row],[TYPE DE PIECE]],Tableau4[MATIERE],Tableau4[SHORT TYPE],"",0,1)</f>
        <v/>
      </c>
      <c r="N12719">
        <f>IF(ISERR(FIND("DECOUPE",Tableau1[[#This Row],[DESIGNATION]])),"","NEED REF")</f>
        <v/>
      </c>
    </row>
    <row r="12720">
      <c r="B12720" t="n">
        <v>34401285</v>
      </c>
      <c r="C12720" s="2" t="n">
        <v>38987</v>
      </c>
      <c r="D12720" t="inlineStr">
        <is>
          <t>SPEC</t>
        </is>
      </c>
      <c r="E12720" t="inlineStr">
        <is>
          <t>TOIT IP42 160--&gt;200kVA</t>
        </is>
      </c>
      <c r="F12720" t="inlineStr">
        <is>
          <t>GALAXY PW</t>
        </is>
      </c>
      <c r="J12720" t="inlineStr">
        <is>
          <t>ROBERT</t>
        </is>
      </c>
      <c r="L12720">
        <f>_xlfn.XLOOKUP(Tableau1[[#This Row],[TYPE DE PIECE]],Tableau4[MATIERE],Tableau4[SHORT TYPE],"",0,1)</f>
        <v/>
      </c>
      <c r="N12720">
        <f>IF(ISERR(FIND("DECOUPE",Tableau1[[#This Row],[DESIGNATION]])),"","NEED REF")</f>
        <v/>
      </c>
    </row>
    <row r="12721">
      <c r="B12721" t="n">
        <v>34401284</v>
      </c>
      <c r="C12721" s="2" t="n">
        <v>38987</v>
      </c>
      <c r="D12721" t="inlineStr">
        <is>
          <t>SPEC</t>
        </is>
      </c>
      <c r="E12721" t="inlineStr">
        <is>
          <t>PORTE DROITE IP42  160--&gt;200kVA</t>
        </is>
      </c>
      <c r="F12721" t="inlineStr">
        <is>
          <t>GALAXY PW</t>
        </is>
      </c>
      <c r="J12721" t="inlineStr">
        <is>
          <t>ROBERT</t>
        </is>
      </c>
      <c r="L12721">
        <f>_xlfn.XLOOKUP(Tableau1[[#This Row],[TYPE DE PIECE]],Tableau4[MATIERE],Tableau4[SHORT TYPE],"",0,1)</f>
        <v/>
      </c>
      <c r="N12721">
        <f>IF(ISERR(FIND("DECOUPE",Tableau1[[#This Row],[DESIGNATION]])),"","NEED REF")</f>
        <v/>
      </c>
    </row>
    <row r="12722">
      <c r="B12722" t="n">
        <v>34401283</v>
      </c>
      <c r="C12722" s="2" t="n">
        <v>38987</v>
      </c>
      <c r="D12722" t="inlineStr">
        <is>
          <t>SPEC</t>
        </is>
      </c>
      <c r="E12722" t="inlineStr">
        <is>
          <t>PORTE GAUCHE IP42  160--&gt;200kVA</t>
        </is>
      </c>
      <c r="F12722" t="inlineStr">
        <is>
          <t>GALAXY PW</t>
        </is>
      </c>
      <c r="J12722" t="inlineStr">
        <is>
          <t>ROBERT</t>
        </is>
      </c>
      <c r="L12722">
        <f>_xlfn.XLOOKUP(Tableau1[[#This Row],[TYPE DE PIECE]],Tableau4[MATIERE],Tableau4[SHORT TYPE],"",0,1)</f>
        <v/>
      </c>
      <c r="N12722">
        <f>IF(ISERR(FIND("DECOUPE",Tableau1[[#This Row],[DESIGNATION]])),"","NEED REF")</f>
        <v/>
      </c>
    </row>
    <row r="12723">
      <c r="B12723" t="n">
        <v>34401282</v>
      </c>
      <c r="C12723" s="2" t="n">
        <v>38987</v>
      </c>
      <c r="D12723" t="inlineStr">
        <is>
          <t>NOM</t>
        </is>
      </c>
      <c r="E12723" t="inlineStr">
        <is>
          <t>LG IP42 PW 160--&gt;200kVA 1215x1900</t>
        </is>
      </c>
      <c r="F12723" t="inlineStr">
        <is>
          <t>GALAXY PW</t>
        </is>
      </c>
      <c r="J12723" t="inlineStr">
        <is>
          <t>ROBERT</t>
        </is>
      </c>
      <c r="L12723">
        <f>_xlfn.XLOOKUP(Tableau1[[#This Row],[TYPE DE PIECE]],Tableau4[MATIERE],Tableau4[SHORT TYPE],"",0,1)</f>
        <v/>
      </c>
      <c r="N12723">
        <f>IF(ISERR(FIND("DECOUPE",Tableau1[[#This Row],[DESIGNATION]])),"","NEED REF")</f>
        <v/>
      </c>
    </row>
    <row r="12724">
      <c r="B12724" t="n">
        <v>34401281</v>
      </c>
      <c r="C12724" s="2" t="n">
        <v>38987</v>
      </c>
      <c r="D12724" t="inlineStr">
        <is>
          <t>NOM</t>
        </is>
      </c>
      <c r="E12724" t="inlineStr">
        <is>
          <t>LG IP42 ARM BATT 1015x1900</t>
        </is>
      </c>
      <c r="F12724" t="inlineStr">
        <is>
          <t>GALAXY PW</t>
        </is>
      </c>
      <c r="J12724" t="inlineStr">
        <is>
          <t>ROBERT</t>
        </is>
      </c>
      <c r="L12724">
        <f>_xlfn.XLOOKUP(Tableau1[[#This Row],[TYPE DE PIECE]],Tableau4[MATIERE],Tableau4[SHORT TYPE],"",0,1)</f>
        <v/>
      </c>
      <c r="N12724">
        <f>IF(ISERR(FIND("DECOUPE",Tableau1[[#This Row],[DESIGNATION]])),"","NEED REF")</f>
        <v/>
      </c>
    </row>
    <row r="12725">
      <c r="B12725" t="n">
        <v>34401280</v>
      </c>
      <c r="C12725" s="2" t="n">
        <v>38987</v>
      </c>
      <c r="D12725" t="inlineStr">
        <is>
          <t>NOM</t>
        </is>
      </c>
      <c r="E12725" t="inlineStr">
        <is>
          <t>LG BY-PASS+TFO UTIL+COUPLAGE BATT PW 80kVA</t>
        </is>
      </c>
      <c r="F12725" t="inlineStr">
        <is>
          <t>ALCATEL</t>
        </is>
      </c>
      <c r="J12725" t="inlineStr">
        <is>
          <t>FOLTZ</t>
        </is>
      </c>
      <c r="L12725">
        <f>_xlfn.XLOOKUP(Tableau1[[#This Row],[TYPE DE PIECE]],Tableau4[MATIERE],Tableau4[SHORT TYPE],"",0,1)</f>
        <v/>
      </c>
      <c r="N12725">
        <f>IF(ISERR(FIND("DECOUPE",Tableau1[[#This Row],[DESIGNATION]])),"","NEED REF")</f>
        <v/>
      </c>
    </row>
    <row r="12726">
      <c r="B12726" t="n">
        <v>34401279</v>
      </c>
      <c r="C12726" s="2" t="n">
        <v>38987</v>
      </c>
      <c r="D12726" t="inlineStr">
        <is>
          <t>NOM</t>
        </is>
      </c>
      <c r="E12726" t="inlineStr">
        <is>
          <t>LG BY-PASS+TFO UTIL+COUPLAGE BATT PW 40kVA</t>
        </is>
      </c>
      <c r="F12726" t="inlineStr">
        <is>
          <t>ALCATEL</t>
        </is>
      </c>
      <c r="J12726" t="inlineStr">
        <is>
          <t>FOLTZ</t>
        </is>
      </c>
      <c r="L12726">
        <f>_xlfn.XLOOKUP(Tableau1[[#This Row],[TYPE DE PIECE]],Tableau4[MATIERE],Tableau4[SHORT TYPE],"",0,1)</f>
        <v/>
      </c>
      <c r="N12726">
        <f>IF(ISERR(FIND("DECOUPE",Tableau1[[#This Row],[DESIGNATION]])),"","NEED REF")</f>
        <v/>
      </c>
    </row>
    <row r="12727">
      <c r="B12727" t="n">
        <v>34401278</v>
      </c>
      <c r="C12727" s="2" t="n">
        <v>38987</v>
      </c>
      <c r="D12727" t="inlineStr">
        <is>
          <t>NOM</t>
        </is>
      </c>
      <c r="E12727" t="inlineStr">
        <is>
          <t>LG BY-PASS+TFO UTIL+COUPLAGE BATT PW 30kVA</t>
        </is>
      </c>
      <c r="F12727" t="inlineStr">
        <is>
          <t>ALCATEL</t>
        </is>
      </c>
      <c r="J12727" t="inlineStr">
        <is>
          <t>FOLTZ</t>
        </is>
      </c>
      <c r="L12727">
        <f>_xlfn.XLOOKUP(Tableau1[[#This Row],[TYPE DE PIECE]],Tableau4[MATIERE],Tableau4[SHORT TYPE],"",0,1)</f>
        <v/>
      </c>
      <c r="N12727">
        <f>IF(ISERR(FIND("DECOUPE",Tableau1[[#This Row],[DESIGNATION]])),"","NEED REF")</f>
        <v/>
      </c>
    </row>
    <row r="12728">
      <c r="B12728" t="n">
        <v>34401277</v>
      </c>
      <c r="C12728" s="2" t="n">
        <v>38985</v>
      </c>
      <c r="D12728" t="inlineStr">
        <is>
          <t>SPEC</t>
        </is>
      </c>
      <c r="E12728" t="inlineStr">
        <is>
          <t>MODIF TOIT ARM SAREL 1200x800</t>
        </is>
      </c>
      <c r="F12728" t="inlineStr">
        <is>
          <t>ARM SAREL 1200x800</t>
        </is>
      </c>
      <c r="J12728" t="inlineStr">
        <is>
          <t>ROBERT</t>
        </is>
      </c>
      <c r="L12728">
        <f>_xlfn.XLOOKUP(Tableau1[[#This Row],[TYPE DE PIECE]],Tableau4[MATIERE],Tableau4[SHORT TYPE],"",0,1)</f>
        <v/>
      </c>
      <c r="N12728">
        <f>IF(ISERR(FIND("DECOUPE",Tableau1[[#This Row],[DESIGNATION]])),"","NEED REF")</f>
        <v/>
      </c>
    </row>
    <row r="12729">
      <c r="B12729" t="n">
        <v>34401276</v>
      </c>
      <c r="C12729" s="2" t="n">
        <v>38985</v>
      </c>
      <c r="D12729" t="inlineStr">
        <is>
          <t>CDC</t>
        </is>
      </c>
      <c r="E12729" t="inlineStr">
        <is>
          <t>CDC MODIF TOIT ARM SAREL 1200x800</t>
        </is>
      </c>
      <c r="F12729" t="inlineStr">
        <is>
          <t xml:space="preserve">SW 60A </t>
        </is>
      </c>
      <c r="J12729" t="inlineStr">
        <is>
          <t>ROBERT</t>
        </is>
      </c>
      <c r="L12729">
        <f>_xlfn.XLOOKUP(Tableau1[[#This Row],[TYPE DE PIECE]],Tableau4[MATIERE],Tableau4[SHORT TYPE],"",0,1)</f>
        <v/>
      </c>
      <c r="N12729">
        <f>IF(ISERR(FIND("DECOUPE",Tableau1[[#This Row],[DESIGNATION]])),"","NEED REF")</f>
        <v/>
      </c>
    </row>
    <row r="12730">
      <c r="B12730" t="n">
        <v>34401275</v>
      </c>
      <c r="C12730" s="2" t="n">
        <v>38985</v>
      </c>
      <c r="D12730" t="inlineStr">
        <is>
          <t>SPEC</t>
        </is>
      </c>
      <c r="E12730" t="inlineStr">
        <is>
          <t>TORON OPTION OUCOURE NEUTRE ALME-CRUE STS UPSILON 800-1200A CELLULE S1 ET S2</t>
        </is>
      </c>
      <c r="F12730" t="inlineStr">
        <is>
          <t>STS 800-1200A 4P</t>
        </is>
      </c>
      <c r="J12730" t="inlineStr">
        <is>
          <t>FOLTZ</t>
        </is>
      </c>
      <c r="K12730" t="inlineStr">
        <is>
          <t>FILERIE</t>
        </is>
      </c>
      <c r="L12730">
        <f>_xlfn.XLOOKUP(Tableau1[[#This Row],[TYPE DE PIECE]],Tableau4[MATIERE],Tableau4[SHORT TYPE],"",0,1)</f>
        <v/>
      </c>
      <c r="N12730">
        <f>IF(ISERR(FIND("DECOUPE",Tableau1[[#This Row],[DESIGNATION]])),"","NEED REF")</f>
        <v/>
      </c>
    </row>
    <row r="12731">
      <c r="B12731" t="n">
        <v>34401274</v>
      </c>
      <c r="C12731" s="2" t="n">
        <v>38982</v>
      </c>
      <c r="D12731" t="inlineStr">
        <is>
          <t>SPEC</t>
        </is>
      </c>
      <c r="E12731" t="inlineStr">
        <is>
          <t>BANDEAU LATERAL IP32</t>
        </is>
      </c>
      <c r="F12731" t="inlineStr">
        <is>
          <t>PW</t>
        </is>
      </c>
      <c r="J12731" t="inlineStr">
        <is>
          <t>FERRIER</t>
        </is>
      </c>
      <c r="L12731">
        <f>_xlfn.XLOOKUP(Tableau1[[#This Row],[TYPE DE PIECE]],Tableau4[MATIERE],Tableau4[SHORT TYPE],"",0,1)</f>
        <v/>
      </c>
      <c r="N12731">
        <f>IF(ISERR(FIND("DECOUPE",Tableau1[[#This Row],[DESIGNATION]])),"","NEED REF")</f>
        <v/>
      </c>
    </row>
    <row r="12732">
      <c r="B12732" t="n">
        <v>34401273</v>
      </c>
      <c r="C12732" s="2" t="n">
        <v>38982</v>
      </c>
      <c r="D12732" t="inlineStr">
        <is>
          <t>SPEC</t>
        </is>
      </c>
      <c r="E12732" t="inlineStr">
        <is>
          <t>BANDEAU AVant/arrière armoire 1200mm IP32</t>
        </is>
      </c>
      <c r="F12732" t="inlineStr">
        <is>
          <t>PW</t>
        </is>
      </c>
      <c r="J12732" t="inlineStr">
        <is>
          <t>FERRIER</t>
        </is>
      </c>
      <c r="L12732">
        <f>_xlfn.XLOOKUP(Tableau1[[#This Row],[TYPE DE PIECE]],Tableau4[MATIERE],Tableau4[SHORT TYPE],"",0,1)</f>
        <v/>
      </c>
      <c r="N12732">
        <f>IF(ISERR(FIND("DECOUPE",Tableau1[[#This Row],[DESIGNATION]])),"","NEED REF")</f>
        <v/>
      </c>
    </row>
    <row r="12733">
      <c r="B12733" t="n">
        <v>34401272</v>
      </c>
      <c r="C12733" s="2" t="n">
        <v>38981</v>
      </c>
      <c r="D12733" t="inlineStr">
        <is>
          <t>NOM</t>
        </is>
      </c>
      <c r="E12733" t="inlineStr">
        <is>
          <t>LG PEINTURE à COMMISION G6000 CELLULE L=800mm</t>
        </is>
      </c>
      <c r="F12733" t="inlineStr">
        <is>
          <t>G6000</t>
        </is>
      </c>
      <c r="J12733" t="inlineStr">
        <is>
          <t>ÇAKIR</t>
        </is>
      </c>
      <c r="L12733">
        <f>_xlfn.XLOOKUP(Tableau1[[#This Row],[TYPE DE PIECE]],Tableau4[MATIERE],Tableau4[SHORT TYPE],"",0,1)</f>
        <v/>
      </c>
      <c r="N12733">
        <f>IF(ISERR(FIND("DECOUPE",Tableau1[[#This Row],[DESIGNATION]])),"","NEED REF")</f>
        <v/>
      </c>
    </row>
    <row r="12734">
      <c r="B12734" t="n">
        <v>34401271</v>
      </c>
      <c r="C12734" s="2" t="n">
        <v>38975</v>
      </c>
      <c r="E12734" t="inlineStr">
        <is>
          <t>LIBRE  STS 800A</t>
        </is>
      </c>
      <c r="F12734" t="inlineStr">
        <is>
          <t>STS 800A 3-4P</t>
        </is>
      </c>
      <c r="J12734" t="inlineStr">
        <is>
          <t>FOLTZ</t>
        </is>
      </c>
      <c r="L12734">
        <f>_xlfn.XLOOKUP(Tableau1[[#This Row],[TYPE DE PIECE]],Tableau4[MATIERE],Tableau4[SHORT TYPE],"",0,1)</f>
        <v/>
      </c>
      <c r="N12734">
        <f>IF(ISERR(FIND("DECOUPE",Tableau1[[#This Row],[DESIGNATION]])),"","NEED REF")</f>
        <v/>
      </c>
    </row>
    <row r="12735">
      <c r="B12735" t="n">
        <v>34401270</v>
      </c>
      <c r="C12735" s="2" t="n">
        <v>38975</v>
      </c>
      <c r="E12735" t="inlineStr">
        <is>
          <t>LIBRE  STS 800A</t>
        </is>
      </c>
      <c r="F12735" t="inlineStr">
        <is>
          <t>STS 800A 3-4P</t>
        </is>
      </c>
      <c r="J12735" t="inlineStr">
        <is>
          <t>FOLTZ</t>
        </is>
      </c>
      <c r="L12735">
        <f>_xlfn.XLOOKUP(Tableau1[[#This Row],[TYPE DE PIECE]],Tableau4[MATIERE],Tableau4[SHORT TYPE],"",0,1)</f>
        <v/>
      </c>
      <c r="N12735">
        <f>IF(ISERR(FIND("DECOUPE",Tableau1[[#This Row],[DESIGNATION]])),"","NEED REF")</f>
        <v/>
      </c>
    </row>
    <row r="12736">
      <c r="B12736" t="n">
        <v>34401269</v>
      </c>
      <c r="C12736" s="2" t="n">
        <v>38975</v>
      </c>
      <c r="D12736" t="inlineStr">
        <is>
          <t>NOM</t>
        </is>
      </c>
      <c r="E12736" t="inlineStr">
        <is>
          <t>LG CS NEUTRE STS UPSILON 800A 4P</t>
        </is>
      </c>
      <c r="F12736" t="inlineStr">
        <is>
          <t>STS 800A 4P</t>
        </is>
      </c>
      <c r="J12736" t="inlineStr">
        <is>
          <t>FOLTZ</t>
        </is>
      </c>
      <c r="L12736">
        <f>_xlfn.XLOOKUP(Tableau1[[#This Row],[TYPE DE PIECE]],Tableau4[MATIERE],Tableau4[SHORT TYPE],"",0,1)</f>
        <v/>
      </c>
      <c r="N12736">
        <f>IF(ISERR(FIND("DECOUPE",Tableau1[[#This Row],[DESIGNATION]])),"","NEED REF")</f>
        <v/>
      </c>
    </row>
    <row r="12737">
      <c r="B12737" t="n">
        <v>34401268</v>
      </c>
      <c r="C12737" s="2" t="n">
        <v>38975</v>
      </c>
      <c r="E12737" t="inlineStr">
        <is>
          <t>LIBRE  STS 800A</t>
        </is>
      </c>
      <c r="F12737" t="inlineStr">
        <is>
          <t>STS 800A 3-4P</t>
        </is>
      </c>
      <c r="J12737" t="inlineStr">
        <is>
          <t>FOLTZ</t>
        </is>
      </c>
      <c r="L12737">
        <f>_xlfn.XLOOKUP(Tableau1[[#This Row],[TYPE DE PIECE]],Tableau4[MATIERE],Tableau4[SHORT TYPE],"",0,1)</f>
        <v/>
      </c>
      <c r="N12737">
        <f>IF(ISERR(FIND("DECOUPE",Tableau1[[#This Row],[DESIGNATION]])),"","NEED REF")</f>
        <v/>
      </c>
    </row>
    <row r="12738">
      <c r="B12738" t="n">
        <v>34401267</v>
      </c>
      <c r="C12738" s="2" t="n">
        <v>38975</v>
      </c>
      <c r="E12738" t="inlineStr">
        <is>
          <t>LIBRE  STS 800A</t>
        </is>
      </c>
      <c r="F12738" t="inlineStr">
        <is>
          <t>STS 800A 3-4P</t>
        </is>
      </c>
      <c r="J12738" t="inlineStr">
        <is>
          <t>FOLTZ</t>
        </is>
      </c>
      <c r="L12738">
        <f>_xlfn.XLOOKUP(Tableau1[[#This Row],[TYPE DE PIECE]],Tableau4[MATIERE],Tableau4[SHORT TYPE],"",0,1)</f>
        <v/>
      </c>
      <c r="N12738">
        <f>IF(ISERR(FIND("DECOUPE",Tableau1[[#This Row],[DESIGNATION]])),"","NEED REF")</f>
        <v/>
      </c>
    </row>
    <row r="12739">
      <c r="B12739" t="n">
        <v>34401266</v>
      </c>
      <c r="C12739" s="2" t="n">
        <v>38975</v>
      </c>
      <c r="E12739" t="inlineStr">
        <is>
          <t>LIBRE  STS 800A</t>
        </is>
      </c>
      <c r="F12739" t="inlineStr">
        <is>
          <t>STS 800A 3-4P</t>
        </is>
      </c>
      <c r="J12739" t="inlineStr">
        <is>
          <t>FOLTZ</t>
        </is>
      </c>
      <c r="L12739">
        <f>_xlfn.XLOOKUP(Tableau1[[#This Row],[TYPE DE PIECE]],Tableau4[MATIERE],Tableau4[SHORT TYPE],"",0,1)</f>
        <v/>
      </c>
      <c r="N12739">
        <f>IF(ISERR(FIND("DECOUPE",Tableau1[[#This Row],[DESIGNATION]])),"","NEED REF")</f>
        <v/>
      </c>
    </row>
    <row r="12740">
      <c r="B12740" t="n">
        <v>34401265</v>
      </c>
      <c r="C12740" s="2" t="n">
        <v>38975</v>
      </c>
      <c r="D12740" t="inlineStr">
        <is>
          <t>NOM</t>
        </is>
      </c>
      <c r="E12740" t="inlineStr">
        <is>
          <t>LG CS NEUTRE STS UPSILON 1200A 4P</t>
        </is>
      </c>
      <c r="F12740" t="inlineStr">
        <is>
          <t>STS 1200A 4P</t>
        </is>
      </c>
      <c r="J12740" t="inlineStr">
        <is>
          <t>FOLTZ</t>
        </is>
      </c>
      <c r="L12740">
        <f>_xlfn.XLOOKUP(Tableau1[[#This Row],[TYPE DE PIECE]],Tableau4[MATIERE],Tableau4[SHORT TYPE],"",0,1)</f>
        <v/>
      </c>
      <c r="N12740">
        <f>IF(ISERR(FIND("DECOUPE",Tableau1[[#This Row],[DESIGNATION]])),"","NEED REF")</f>
        <v/>
      </c>
    </row>
    <row r="12741">
      <c r="B12741" t="n">
        <v>34401264</v>
      </c>
      <c r="C12741" s="2" t="n">
        <v>38975</v>
      </c>
      <c r="D12741" t="inlineStr">
        <is>
          <t>NOM</t>
        </is>
      </c>
      <c r="E12741" t="inlineStr">
        <is>
          <t>LG CS STS UPSILON 800A 3P</t>
        </is>
      </c>
      <c r="F12741" t="inlineStr">
        <is>
          <t>STS 800A 3-4P</t>
        </is>
      </c>
      <c r="J12741" t="inlineStr">
        <is>
          <t>FOLTZ</t>
        </is>
      </c>
      <c r="L12741">
        <f>_xlfn.XLOOKUP(Tableau1[[#This Row],[TYPE DE PIECE]],Tableau4[MATIERE],Tableau4[SHORT TYPE],"",0,1)</f>
        <v/>
      </c>
      <c r="N12741">
        <f>IF(ISERR(FIND("DECOUPE",Tableau1[[#This Row],[DESIGNATION]])),"","NEED REF")</f>
        <v/>
      </c>
    </row>
    <row r="12742">
      <c r="B12742" t="n">
        <v>34401263</v>
      </c>
      <c r="C12742" s="2" t="n">
        <v>38975</v>
      </c>
      <c r="D12742" t="inlineStr">
        <is>
          <t>NOM</t>
        </is>
      </c>
      <c r="E12742" t="inlineStr">
        <is>
          <t>LEGENDE CELLULE DROITE SOURCE 2 STS UPSILON 800A</t>
        </is>
      </c>
      <c r="F12742" t="inlineStr">
        <is>
          <t>STS 800A 4P</t>
        </is>
      </c>
      <c r="J12742" t="inlineStr">
        <is>
          <t>FOLTZ</t>
        </is>
      </c>
      <c r="L12742">
        <f>_xlfn.XLOOKUP(Tableau1[[#This Row],[TYPE DE PIECE]],Tableau4[MATIERE],Tableau4[SHORT TYPE],"",0,1)</f>
        <v/>
      </c>
      <c r="N12742">
        <f>IF(ISERR(FIND("DECOUPE",Tableau1[[#This Row],[DESIGNATION]])),"","NEED REF")</f>
        <v/>
      </c>
    </row>
    <row r="12743">
      <c r="B12743" t="n">
        <v>34401262</v>
      </c>
      <c r="C12743" s="2" t="n">
        <v>38975</v>
      </c>
      <c r="D12743" t="inlineStr">
        <is>
          <t>NOM</t>
        </is>
      </c>
      <c r="E12743" t="inlineStr">
        <is>
          <t>LEGENDE CELLULE GAUCHE SOURCE 1 STS UPSILON 800A</t>
        </is>
      </c>
      <c r="F12743" t="inlineStr">
        <is>
          <t>STS 800A 4P</t>
        </is>
      </c>
      <c r="J12743" t="inlineStr">
        <is>
          <t>FOLTZ</t>
        </is>
      </c>
      <c r="L12743">
        <f>_xlfn.XLOOKUP(Tableau1[[#This Row],[TYPE DE PIECE]],Tableau4[MATIERE],Tableau4[SHORT TYPE],"",0,1)</f>
        <v/>
      </c>
      <c r="N12743">
        <f>IF(ISERR(FIND("DECOUPE",Tableau1[[#This Row],[DESIGNATION]])),"","NEED REF")</f>
        <v/>
      </c>
    </row>
    <row r="12744">
      <c r="B12744" t="n">
        <v>34401261</v>
      </c>
      <c r="C12744" s="2" t="n">
        <v>38975</v>
      </c>
      <c r="D12744" t="inlineStr">
        <is>
          <t>NOM</t>
        </is>
      </c>
      <c r="E12744" t="inlineStr">
        <is>
          <t>LEGENDE STS UPSILON 800A 3P</t>
        </is>
      </c>
      <c r="F12744" t="inlineStr">
        <is>
          <t>STS 800A 4P</t>
        </is>
      </c>
      <c r="J12744" t="inlineStr">
        <is>
          <t>FOLTZ</t>
        </is>
      </c>
      <c r="L12744">
        <f>_xlfn.XLOOKUP(Tableau1[[#This Row],[TYPE DE PIECE]],Tableau4[MATIERE],Tableau4[SHORT TYPE],"",0,1)</f>
        <v/>
      </c>
      <c r="N12744">
        <f>IF(ISERR(FIND("DECOUPE",Tableau1[[#This Row],[DESIGNATION]])),"","NEED REF")</f>
        <v/>
      </c>
    </row>
    <row r="12745">
      <c r="B12745" t="n">
        <v>34401260</v>
      </c>
      <c r="C12745" s="2" t="n">
        <v>38974</v>
      </c>
      <c r="D12745" t="inlineStr">
        <is>
          <t>CDC</t>
        </is>
      </c>
      <c r="E12745" t="inlineStr">
        <is>
          <t>Découpe panneau latéral NS2000</t>
        </is>
      </c>
      <c r="F12745" t="inlineStr">
        <is>
          <t>NS2000kVA DATA ONE</t>
        </is>
      </c>
      <c r="J12745" t="inlineStr">
        <is>
          <t>FERRIER</t>
        </is>
      </c>
      <c r="L12745">
        <f>_xlfn.XLOOKUP(Tableau1[[#This Row],[TYPE DE PIECE]],Tableau4[MATIERE],Tableau4[SHORT TYPE],"",0,1)</f>
        <v/>
      </c>
      <c r="N12745">
        <f>IF(ISERR(FIND("DECOUPE",Tableau1[[#This Row],[DESIGNATION]])),"","NEED REF")</f>
        <v/>
      </c>
    </row>
    <row r="12746">
      <c r="B12746" t="n">
        <v>34401259</v>
      </c>
      <c r="C12746" s="2" t="n">
        <v>38971</v>
      </c>
      <c r="D12746" t="inlineStr">
        <is>
          <t>CDC</t>
        </is>
      </c>
      <c r="E12746" t="inlineStr">
        <is>
          <t>PMM 126 depart</t>
        </is>
      </c>
      <c r="F12746" t="inlineStr">
        <is>
          <t>PMM</t>
        </is>
      </c>
      <c r="J12746" t="inlineStr">
        <is>
          <t>REVEL</t>
        </is>
      </c>
      <c r="L12746">
        <f>_xlfn.XLOOKUP(Tableau1[[#This Row],[TYPE DE PIECE]],Tableau4[MATIERE],Tableau4[SHORT TYPE],"",0,1)</f>
        <v/>
      </c>
      <c r="N12746">
        <f>IF(ISERR(FIND("DECOUPE",Tableau1[[#This Row],[DESIGNATION]])),"","NEED REF")</f>
        <v/>
      </c>
    </row>
    <row r="12747">
      <c r="B12747" t="n">
        <v>34401258</v>
      </c>
      <c r="C12747" s="2" t="n">
        <v>38968</v>
      </c>
      <c r="D12747" t="inlineStr">
        <is>
          <t>SPEC</t>
        </is>
      </c>
      <c r="E12747" t="inlineStr">
        <is>
          <t xml:space="preserve">CABLE de LIAISON APOZ L = 75m </t>
        </is>
      </c>
      <c r="F12747" t="inlineStr">
        <is>
          <t xml:space="preserve">PW </t>
        </is>
      </c>
      <c r="J12747" t="inlineStr">
        <is>
          <t>IGLESIAS</t>
        </is>
      </c>
      <c r="L12747">
        <f>_xlfn.XLOOKUP(Tableau1[[#This Row],[TYPE DE PIECE]],Tableau4[MATIERE],Tableau4[SHORT TYPE],"",0,1)</f>
        <v/>
      </c>
      <c r="N12747">
        <f>IF(ISERR(FIND("DECOUPE",Tableau1[[#This Row],[DESIGNATION]])),"","NEED REF")</f>
        <v/>
      </c>
    </row>
    <row r="12748">
      <c r="B12748" t="n">
        <v>34401257</v>
      </c>
      <c r="C12748" s="2" t="n">
        <v>38968</v>
      </c>
      <c r="D12748" t="inlineStr">
        <is>
          <t>SPEC</t>
        </is>
      </c>
      <c r="E12748" t="inlineStr">
        <is>
          <t>Sous -traitance IP30 toit G5000 AIOB (soudure grille)</t>
        </is>
      </c>
      <c r="F12748" t="inlineStr">
        <is>
          <t>G5000</t>
        </is>
      </c>
      <c r="J12748" t="inlineStr">
        <is>
          <t>ROBERT</t>
        </is>
      </c>
      <c r="L12748">
        <f>_xlfn.XLOOKUP(Tableau1[[#This Row],[TYPE DE PIECE]],Tableau4[MATIERE],Tableau4[SHORT TYPE],"",0,1)</f>
        <v/>
      </c>
      <c r="N12748">
        <f>IF(ISERR(FIND("DECOUPE",Tableau1[[#This Row],[DESIGNATION]])),"","NEED REF")</f>
        <v/>
      </c>
    </row>
    <row r="12749">
      <c r="B12749" t="n">
        <v>34401256</v>
      </c>
      <c r="C12749" s="2" t="n">
        <v>38966</v>
      </c>
      <c r="D12749" t="inlineStr">
        <is>
          <t>SPEC</t>
        </is>
      </c>
      <c r="E12749" t="inlineStr">
        <is>
          <t>BARRE SUPPORT TRANSFO OU AUTOTRANSFO</t>
        </is>
      </c>
      <c r="J12749" t="inlineStr">
        <is>
          <t>FERRIER</t>
        </is>
      </c>
      <c r="L12749">
        <f>_xlfn.XLOOKUP(Tableau1[[#This Row],[TYPE DE PIECE]],Tableau4[MATIERE],Tableau4[SHORT TYPE],"",0,1)</f>
        <v/>
      </c>
      <c r="N12749">
        <f>IF(ISERR(FIND("DECOUPE",Tableau1[[#This Row],[DESIGNATION]])),"","NEED REF")</f>
        <v/>
      </c>
    </row>
    <row r="12750">
      <c r="B12750" t="n">
        <v>34401255</v>
      </c>
      <c r="C12750" s="2" t="n">
        <v>38959</v>
      </c>
      <c r="D12750" t="inlineStr">
        <is>
          <t>CDC</t>
        </is>
      </c>
      <c r="E12750" t="inlineStr">
        <is>
          <t>CDC Arm 800mm 3 DJ BATT + SELF 600kVA</t>
        </is>
      </c>
      <c r="F12750" t="inlineStr">
        <is>
          <t>ARMOIRE 3 DJ BATT 500kVA + SELF 600kVA</t>
        </is>
      </c>
      <c r="J12750" t="inlineStr">
        <is>
          <t>IGLESIAS</t>
        </is>
      </c>
      <c r="L12750">
        <f>_xlfn.XLOOKUP(Tableau1[[#This Row],[TYPE DE PIECE]],Tableau4[MATIERE],Tableau4[SHORT TYPE],"",0,1)</f>
        <v/>
      </c>
      <c r="N12750">
        <f>IF(ISERR(FIND("DECOUPE",Tableau1[[#This Row],[DESIGNATION]])),"","NEED REF")</f>
        <v/>
      </c>
    </row>
    <row r="12751">
      <c r="B12751" t="n">
        <v>34401254</v>
      </c>
      <c r="C12751" s="2" t="n">
        <v>38945</v>
      </c>
      <c r="D12751" t="inlineStr">
        <is>
          <t>NOM</t>
        </is>
      </c>
      <c r="E12751" t="inlineStr">
        <is>
          <t>CABLE INTER-CELLULE POUR GALAXY 3000 // en 20mètre</t>
        </is>
      </c>
      <c r="F12751" t="inlineStr">
        <is>
          <t>GALAXY 3000 // 10-30kVA</t>
        </is>
      </c>
      <c r="J12751" t="inlineStr">
        <is>
          <t>MAHMOUDI</t>
        </is>
      </c>
      <c r="L12751">
        <f>_xlfn.XLOOKUP(Tableau1[[#This Row],[TYPE DE PIECE]],Tableau4[MATIERE],Tableau4[SHORT TYPE],"",0,1)</f>
        <v/>
      </c>
      <c r="N12751">
        <f>IF(ISERR(FIND("DECOUPE",Tableau1[[#This Row],[DESIGNATION]])),"","NEED REF")</f>
        <v/>
      </c>
    </row>
    <row r="12752">
      <c r="B12752" t="n">
        <v>34401253</v>
      </c>
      <c r="C12752" s="2" t="n">
        <v>38940</v>
      </c>
      <c r="D12752" t="inlineStr">
        <is>
          <t>CDC</t>
        </is>
      </c>
      <c r="E12752" t="inlineStr">
        <is>
          <t>NS 2400KVA 380V +-10% 4P CLASSIQUE</t>
        </is>
      </c>
      <c r="F12752" t="inlineStr">
        <is>
          <t>NS 2400kVA</t>
        </is>
      </c>
      <c r="J12752" t="inlineStr">
        <is>
          <t>REVEL</t>
        </is>
      </c>
      <c r="L12752">
        <f>_xlfn.XLOOKUP(Tableau1[[#This Row],[TYPE DE PIECE]],Tableau4[MATIERE],Tableau4[SHORT TYPE],"",0,1)</f>
        <v/>
      </c>
      <c r="N12752">
        <f>IF(ISERR(FIND("DECOUPE",Tableau1[[#This Row],[DESIGNATION]])),"","NEED REF")</f>
        <v/>
      </c>
    </row>
    <row r="12753">
      <c r="B12753" t="n">
        <v>34401252</v>
      </c>
      <c r="C12753" s="2" t="n">
        <v>38939</v>
      </c>
      <c r="D12753" t="inlineStr">
        <is>
          <t>SPEC</t>
        </is>
      </c>
      <c r="E12753" t="inlineStr">
        <is>
          <t>Cable de liaison DB9 DB25 pour Lantronix</t>
        </is>
      </c>
      <c r="F12753" t="inlineStr">
        <is>
          <t>PMM</t>
        </is>
      </c>
      <c r="J12753" t="inlineStr">
        <is>
          <t>REVEL</t>
        </is>
      </c>
      <c r="L12753">
        <f>_xlfn.XLOOKUP(Tableau1[[#This Row],[TYPE DE PIECE]],Tableau4[MATIERE],Tableau4[SHORT TYPE],"",0,1)</f>
        <v/>
      </c>
      <c r="N12753">
        <f>IF(ISERR(FIND("DECOUPE",Tableau1[[#This Row],[DESIGNATION]])),"","NEED REF")</f>
        <v/>
      </c>
    </row>
    <row r="12754">
      <c r="B12754" t="n">
        <v>34401251</v>
      </c>
      <c r="C12754" s="2" t="n">
        <v>38939</v>
      </c>
      <c r="D12754" t="inlineStr">
        <is>
          <t>CDC</t>
        </is>
      </c>
      <c r="E12754" t="inlineStr">
        <is>
          <t>PMM 126 depart</t>
        </is>
      </c>
      <c r="F12754" t="inlineStr">
        <is>
          <t>PMM</t>
        </is>
      </c>
      <c r="J12754" t="inlineStr">
        <is>
          <t>REVEL</t>
        </is>
      </c>
      <c r="L12754">
        <f>_xlfn.XLOOKUP(Tableau1[[#This Row],[TYPE DE PIECE]],Tableau4[MATIERE],Tableau4[SHORT TYPE],"",0,1)</f>
        <v/>
      </c>
      <c r="N12754">
        <f>IF(ISERR(FIND("DECOUPE",Tableau1[[#This Row],[DESIGNATION]])),"","NEED REF")</f>
        <v/>
      </c>
    </row>
    <row r="12755">
      <c r="B12755" t="n">
        <v>34401250</v>
      </c>
      <c r="C12755" s="2" t="n">
        <v>38938</v>
      </c>
      <c r="D12755" t="inlineStr">
        <is>
          <t>NOM</t>
        </is>
      </c>
      <c r="E12755" t="inlineStr">
        <is>
          <t>LG HAB ARM.BAT ANCIEN ESTHETIQUE L=1200mm</t>
        </is>
      </c>
      <c r="F12755" t="inlineStr">
        <is>
          <t xml:space="preserve">ARMOIRE BATTERIE </t>
        </is>
      </c>
      <c r="J12755" t="inlineStr">
        <is>
          <t>MAHMOUDI</t>
        </is>
      </c>
      <c r="L12755">
        <f>_xlfn.XLOOKUP(Tableau1[[#This Row],[TYPE DE PIECE]],Tableau4[MATIERE],Tableau4[SHORT TYPE],"",0,1)</f>
        <v/>
      </c>
      <c r="N12755">
        <f>IF(ISERR(FIND("DECOUPE",Tableau1[[#This Row],[DESIGNATION]])),"","NEED REF")</f>
        <v/>
      </c>
    </row>
    <row r="12756">
      <c r="B12756" t="n">
        <v>34401249</v>
      </c>
      <c r="C12756" s="2" t="n">
        <v>38937</v>
      </c>
      <c r="D12756" t="inlineStr">
        <is>
          <t>NOM</t>
        </is>
      </c>
      <c r="E12756" t="inlineStr">
        <is>
          <t>SW120A EN ARMOIRE TRAVERSANT AVEC NEUTRE</t>
        </is>
      </c>
      <c r="F12756" t="inlineStr">
        <is>
          <t>GALAXY ANCIENNE ESTHETIQUE</t>
        </is>
      </c>
      <c r="J12756" t="inlineStr">
        <is>
          <t>FOLTZ</t>
        </is>
      </c>
      <c r="L12756">
        <f>_xlfn.XLOOKUP(Tableau1[[#This Row],[TYPE DE PIECE]],Tableau4[MATIERE],Tableau4[SHORT TYPE],"",0,1)</f>
        <v/>
      </c>
      <c r="N12756">
        <f>IF(ISERR(FIND("DECOUPE",Tableau1[[#This Row],[DESIGNATION]])),"","NEED REF")</f>
        <v/>
      </c>
    </row>
    <row r="12757">
      <c r="B12757" t="n">
        <v>34401248</v>
      </c>
      <c r="C12757" s="2" t="n">
        <v>38937</v>
      </c>
      <c r="D12757" t="inlineStr">
        <is>
          <t>CDC</t>
        </is>
      </c>
      <c r="E12757" t="inlineStr">
        <is>
          <t>TOIT avec DOUBLE PLAQUE PE LATERALE</t>
        </is>
      </c>
      <c r="F12757" t="inlineStr">
        <is>
          <t>UPSILON STS 1900</t>
        </is>
      </c>
      <c r="J12757" t="inlineStr">
        <is>
          <t>REVEL</t>
        </is>
      </c>
      <c r="L12757">
        <f>_xlfn.XLOOKUP(Tableau1[[#This Row],[TYPE DE PIECE]],Tableau4[MATIERE],Tableau4[SHORT TYPE],"",0,1)</f>
        <v/>
      </c>
      <c r="N12757">
        <f>IF(ISERR(FIND("DECOUPE",Tableau1[[#This Row],[DESIGNATION]])),"","NEED REF")</f>
        <v/>
      </c>
    </row>
    <row r="12758">
      <c r="B12758" t="n">
        <v>34401247</v>
      </c>
      <c r="C12758" s="2" t="n">
        <v>38930</v>
      </c>
      <c r="D12758" t="inlineStr">
        <is>
          <t>NOM</t>
        </is>
      </c>
      <c r="E12758" t="inlineStr">
        <is>
          <t>CABLE INTERCO 25mm² de 3m</t>
        </is>
      </c>
      <c r="F12758" t="inlineStr">
        <is>
          <t>COMET S31 20kVA</t>
        </is>
      </c>
      <c r="J12758" t="inlineStr">
        <is>
          <t>MAHMOUDI</t>
        </is>
      </c>
      <c r="L12758">
        <f>_xlfn.XLOOKUP(Tableau1[[#This Row],[TYPE DE PIECE]],Tableau4[MATIERE],Tableau4[SHORT TYPE],"",0,1)</f>
        <v/>
      </c>
      <c r="N12758">
        <f>IF(ISERR(FIND("DECOUPE",Tableau1[[#This Row],[DESIGNATION]])),"","NEED REF")</f>
        <v/>
      </c>
    </row>
    <row r="12759">
      <c r="B12759" t="n">
        <v>34401246</v>
      </c>
      <c r="C12759" s="2" t="n">
        <v>38923</v>
      </c>
      <c r="D12759" t="inlineStr">
        <is>
          <t>NOM</t>
        </is>
      </c>
      <c r="E12759" t="inlineStr">
        <is>
          <t>CAILLEBOTIS MARINE 1X30 SWL1850</t>
        </is>
      </c>
      <c r="F12759" t="inlineStr">
        <is>
          <t>G5K L=1010</t>
        </is>
      </c>
      <c r="J12759" t="inlineStr">
        <is>
          <t>REVEL</t>
        </is>
      </c>
      <c r="L12759">
        <f>_xlfn.XLOOKUP(Tableau1[[#This Row],[TYPE DE PIECE]],Tableau4[MATIERE],Tableau4[SHORT TYPE],"",0,1)</f>
        <v/>
      </c>
      <c r="N12759">
        <f>IF(ISERR(FIND("DECOUPE",Tableau1[[#This Row],[DESIGNATION]])),"","NEED REF")</f>
        <v/>
      </c>
    </row>
    <row r="12760">
      <c r="B12760" t="n">
        <v>34401245</v>
      </c>
      <c r="C12760" s="2" t="n">
        <v>38918</v>
      </c>
      <c r="D12760" t="inlineStr">
        <is>
          <t>NOM</t>
        </is>
      </c>
      <c r="E12760" t="inlineStr">
        <is>
          <t>LG BLOC PRISE NEMA + CORDON NEMA</t>
        </is>
      </c>
      <c r="J12760" t="inlineStr">
        <is>
          <t>MAHMOUDI</t>
        </is>
      </c>
      <c r="L12760">
        <f>_xlfn.XLOOKUP(Tableau1[[#This Row],[TYPE DE PIECE]],Tableau4[MATIERE],Tableau4[SHORT TYPE],"",0,1)</f>
        <v/>
      </c>
      <c r="N12760">
        <f>IF(ISERR(FIND("DECOUPE",Tableau1[[#This Row],[DESIGNATION]])),"","NEED REF")</f>
        <v/>
      </c>
    </row>
    <row r="12761">
      <c r="B12761" t="n">
        <v>34401244</v>
      </c>
      <c r="C12761" s="2" t="n">
        <v>38917</v>
      </c>
      <c r="D12761" t="inlineStr">
        <is>
          <t>NOM</t>
        </is>
      </c>
      <c r="E12761" t="inlineStr">
        <is>
          <t>LG HAB GALAXY 600KVA ANCIEN ESTHETIQUE L=3600mm</t>
        </is>
      </c>
      <c r="F12761" t="inlineStr">
        <is>
          <t>GALAXY 600kVA</t>
        </is>
      </c>
      <c r="J12761" t="inlineStr">
        <is>
          <t>REVEL</t>
        </is>
      </c>
      <c r="L12761">
        <f>_xlfn.XLOOKUP(Tableau1[[#This Row],[TYPE DE PIECE]],Tableau4[MATIERE],Tableau4[SHORT TYPE],"",0,1)</f>
        <v/>
      </c>
      <c r="N12761">
        <f>IF(ISERR(FIND("DECOUPE",Tableau1[[#This Row],[DESIGNATION]])),"","NEED REF")</f>
        <v/>
      </c>
    </row>
    <row r="12762">
      <c r="B12762" t="n">
        <v>34401243</v>
      </c>
      <c r="C12762" s="2" t="n">
        <v>38917</v>
      </c>
      <c r="D12762" t="inlineStr">
        <is>
          <t>NOM</t>
        </is>
      </c>
      <c r="E12762" t="inlineStr">
        <is>
          <t>LG HAB FAH 600KVA ANCIEN ESTHETIQUE L=1200mm</t>
        </is>
      </c>
      <c r="F12762" t="inlineStr">
        <is>
          <t>FAH 600kVA</t>
        </is>
      </c>
      <c r="J12762" t="inlineStr">
        <is>
          <t>REVEL</t>
        </is>
      </c>
      <c r="L12762">
        <f>_xlfn.XLOOKUP(Tableau1[[#This Row],[TYPE DE PIECE]],Tableau4[MATIERE],Tableau4[SHORT TYPE],"",0,1)</f>
        <v/>
      </c>
      <c r="N12762">
        <f>IF(ISERR(FIND("DECOUPE",Tableau1[[#This Row],[DESIGNATION]])),"","NEED REF")</f>
        <v/>
      </c>
    </row>
    <row r="12763">
      <c r="B12763" t="n">
        <v>34401242</v>
      </c>
      <c r="C12763" s="2" t="n">
        <v>38909</v>
      </c>
      <c r="D12763" t="inlineStr">
        <is>
          <t>DOC</t>
        </is>
      </c>
      <c r="E12763" t="inlineStr">
        <is>
          <t>NOTICE DE TRANSFORMATION FAH EN FAHD</t>
        </is>
      </c>
      <c r="F12763" t="inlineStr">
        <is>
          <t>FAH 200/300kVA</t>
        </is>
      </c>
      <c r="J12763" t="inlineStr">
        <is>
          <t>FERRIER</t>
        </is>
      </c>
      <c r="L12763">
        <f>_xlfn.XLOOKUP(Tableau1[[#This Row],[TYPE DE PIECE]],Tableau4[MATIERE],Tableau4[SHORT TYPE],"",0,1)</f>
        <v/>
      </c>
      <c r="N12763">
        <f>IF(ISERR(FIND("DECOUPE",Tableau1[[#This Row],[DESIGNATION]])),"","NEED REF")</f>
        <v/>
      </c>
    </row>
    <row r="12764">
      <c r="B12764" t="n">
        <v>34401241</v>
      </c>
      <c r="C12764" s="2" t="n">
        <v>38909</v>
      </c>
      <c r="D12764" t="inlineStr">
        <is>
          <t>CDC</t>
        </is>
      </c>
      <c r="E12764" t="inlineStr">
        <is>
          <t>NS 2400KVA 440V</t>
        </is>
      </c>
      <c r="F12764" t="inlineStr">
        <is>
          <t>GALAXY 6000</t>
        </is>
      </c>
      <c r="J12764" t="inlineStr">
        <is>
          <t>REVEL</t>
        </is>
      </c>
      <c r="L12764">
        <f>_xlfn.XLOOKUP(Tableau1[[#This Row],[TYPE DE PIECE]],Tableau4[MATIERE],Tableau4[SHORT TYPE],"",0,1)</f>
        <v/>
      </c>
      <c r="N12764">
        <f>IF(ISERR(FIND("DECOUPE",Tableau1[[#This Row],[DESIGNATION]])),"","NEED REF")</f>
        <v/>
      </c>
    </row>
    <row r="12765">
      <c r="B12765" t="n">
        <v>34401240</v>
      </c>
      <c r="C12765" s="2" t="n">
        <v>38909</v>
      </c>
      <c r="D12765" t="inlineStr">
        <is>
          <t>SPEC</t>
        </is>
      </c>
      <c r="E12765" t="inlineStr">
        <is>
          <t>TOIT  VENTILE PACK ADVANCE 300/400kVA</t>
        </is>
      </c>
      <c r="F12765" t="inlineStr">
        <is>
          <t>GALAXY 6000</t>
        </is>
      </c>
      <c r="J12765" t="inlineStr">
        <is>
          <t>ROBERT</t>
        </is>
      </c>
      <c r="L12765">
        <f>_xlfn.XLOOKUP(Tableau1[[#This Row],[TYPE DE PIECE]],Tableau4[MATIERE],Tableau4[SHORT TYPE],"",0,1)</f>
        <v/>
      </c>
      <c r="N12765">
        <f>IF(ISERR(FIND("DECOUPE",Tableau1[[#This Row],[DESIGNATION]])),"","NEED REF")</f>
        <v/>
      </c>
    </row>
    <row r="12766">
      <c r="B12766" t="n">
        <v>34401239</v>
      </c>
      <c r="C12766" s="2" t="n">
        <v>38904</v>
      </c>
      <c r="D12766" t="inlineStr">
        <is>
          <t>CDC</t>
        </is>
      </c>
      <c r="E12766" t="inlineStr">
        <is>
          <t>CDC CHASSIS ATFO PHASE SHIFT SIMPLE</t>
        </is>
      </c>
      <c r="F12766" t="inlineStr">
        <is>
          <t>GALAXY L=800</t>
        </is>
      </c>
      <c r="J12766" t="inlineStr">
        <is>
          <t>REVEL</t>
        </is>
      </c>
      <c r="L12766">
        <f>_xlfn.XLOOKUP(Tableau1[[#This Row],[TYPE DE PIECE]],Tableau4[MATIERE],Tableau4[SHORT TYPE],"",0,1)</f>
        <v/>
      </c>
      <c r="N12766">
        <f>IF(ISERR(FIND("DECOUPE",Tableau1[[#This Row],[DESIGNATION]])),"","NEED REF")</f>
        <v/>
      </c>
    </row>
    <row r="12767">
      <c r="B12767" t="n">
        <v>34401238</v>
      </c>
      <c r="C12767" s="2" t="n">
        <v>38901</v>
      </c>
      <c r="D12767" t="inlineStr">
        <is>
          <t>SPEC</t>
        </is>
      </c>
      <c r="E12767" t="inlineStr">
        <is>
          <t>KIT CONNEXIONS COFFRETS DJ BATTERIE</t>
        </is>
      </c>
      <c r="F12767" t="inlineStr">
        <is>
          <t>GALAXY 5000 / GALAXY PW</t>
        </is>
      </c>
      <c r="J12767" t="inlineStr">
        <is>
          <t>FERRIER</t>
        </is>
      </c>
      <c r="L12767">
        <f>_xlfn.XLOOKUP(Tableau1[[#This Row],[TYPE DE PIECE]],Tableau4[MATIERE],Tableau4[SHORT TYPE],"",0,1)</f>
        <v/>
      </c>
      <c r="N12767">
        <f>IF(ISERR(FIND("DECOUPE",Tableau1[[#This Row],[DESIGNATION]])),"","NEED REF")</f>
        <v/>
      </c>
    </row>
    <row r="12768">
      <c r="B12768" t="n">
        <v>34401237</v>
      </c>
      <c r="C12768" s="2" t="n">
        <v>38897</v>
      </c>
      <c r="D12768" t="inlineStr">
        <is>
          <t>NOM</t>
        </is>
      </c>
      <c r="E12768" t="inlineStr">
        <is>
          <t>LG FINITION CELLULE AUXILIAIRE ANCIENNE ESTHETIQUEL=800mm</t>
        </is>
      </c>
      <c r="F12768" t="inlineStr">
        <is>
          <t xml:space="preserve">Armoire auxiliaire Galaxy </t>
        </is>
      </c>
      <c r="J12768" t="inlineStr">
        <is>
          <t>MAHMOUDI</t>
        </is>
      </c>
      <c r="L12768">
        <f>_xlfn.XLOOKUP(Tableau1[[#This Row],[TYPE DE PIECE]],Tableau4[MATIERE],Tableau4[SHORT TYPE],"",0,1)</f>
        <v/>
      </c>
      <c r="N12768">
        <f>IF(ISERR(FIND("DECOUPE",Tableau1[[#This Row],[DESIGNATION]])),"","NEED REF")</f>
        <v/>
      </c>
    </row>
    <row r="12769">
      <c r="B12769" t="n">
        <v>34401236</v>
      </c>
      <c r="C12769" s="2" t="n">
        <v>38897</v>
      </c>
      <c r="D12769" t="inlineStr">
        <is>
          <t>NOM</t>
        </is>
      </c>
      <c r="E12769" t="inlineStr">
        <is>
          <t>LG HABILLAGE GALAXY ANCIEN ESTHETIQUE L=800mm</t>
        </is>
      </c>
      <c r="F12769" t="inlineStr">
        <is>
          <t xml:space="preserve">Armoire auxiliaire Galaxy </t>
        </is>
      </c>
      <c r="J12769" t="inlineStr">
        <is>
          <t>MAHMOUDI</t>
        </is>
      </c>
      <c r="L12769">
        <f>_xlfn.XLOOKUP(Tableau1[[#This Row],[TYPE DE PIECE]],Tableau4[MATIERE],Tableau4[SHORT TYPE],"",0,1)</f>
        <v/>
      </c>
      <c r="N12769">
        <f>IF(ISERR(FIND("DECOUPE",Tableau1[[#This Row],[DESIGNATION]])),"","NEED REF")</f>
        <v/>
      </c>
    </row>
    <row r="12770">
      <c r="B12770" t="n">
        <v>34401235</v>
      </c>
      <c r="C12770" s="2" t="n">
        <v>38895</v>
      </c>
      <c r="D12770" t="inlineStr">
        <is>
          <t>NOM</t>
        </is>
      </c>
      <c r="E12770" t="inlineStr">
        <is>
          <t>SCHEMA PRINCIPE GAL 400kVA AVEC Q8T</t>
        </is>
      </c>
      <c r="F12770" t="inlineStr">
        <is>
          <t>GALAXY 6000 400kVA</t>
        </is>
      </c>
      <c r="J12770" t="inlineStr">
        <is>
          <t>FOLTZ</t>
        </is>
      </c>
      <c r="L12770">
        <f>_xlfn.XLOOKUP(Tableau1[[#This Row],[TYPE DE PIECE]],Tableau4[MATIERE],Tableau4[SHORT TYPE],"",0,1)</f>
        <v/>
      </c>
      <c r="N12770">
        <f>IF(ISERR(FIND("DECOUPE",Tableau1[[#This Row],[DESIGNATION]])),"","NEED REF")</f>
        <v/>
      </c>
    </row>
    <row r="12771">
      <c r="B12771" t="n">
        <v>34401234</v>
      </c>
      <c r="C12771" s="2" t="n">
        <v>38894</v>
      </c>
      <c r="D12771" t="inlineStr">
        <is>
          <t>notice</t>
        </is>
      </c>
      <c r="E12771" t="inlineStr">
        <is>
          <t>NOTICE DE TESTS COUPLAGE BATT AUTOMATE TWIDO</t>
        </is>
      </c>
      <c r="F12771" t="inlineStr">
        <is>
          <t>COUPLAGE BATT TOUTES PUISSANCES</t>
        </is>
      </c>
      <c r="J12771" t="inlineStr">
        <is>
          <t>FOLTZ</t>
        </is>
      </c>
      <c r="L12771">
        <f>_xlfn.XLOOKUP(Tableau1[[#This Row],[TYPE DE PIECE]],Tableau4[MATIERE],Tableau4[SHORT TYPE],"",0,1)</f>
        <v/>
      </c>
      <c r="N12771">
        <f>IF(ISERR(FIND("DECOUPE",Tableau1[[#This Row],[DESIGNATION]])),"","NEED REF")</f>
        <v/>
      </c>
    </row>
    <row r="12772">
      <c r="B12772" t="n">
        <v>34401233</v>
      </c>
      <c r="C12772" s="2" t="n">
        <v>38891</v>
      </c>
      <c r="D12772" t="inlineStr">
        <is>
          <t>NOM</t>
        </is>
      </c>
      <c r="E12772" t="inlineStr">
        <is>
          <t>LG HABILLAGE ANCIEN ESTHETIQUE L=1600mm</t>
        </is>
      </c>
      <c r="F12772" t="inlineStr">
        <is>
          <t>ARMOIRE TT</t>
        </is>
      </c>
      <c r="J12772" t="inlineStr">
        <is>
          <t>MAHMOUDI</t>
        </is>
      </c>
      <c r="L12772">
        <f>_xlfn.XLOOKUP(Tableau1[[#This Row],[TYPE DE PIECE]],Tableau4[MATIERE],Tableau4[SHORT TYPE],"",0,1)</f>
        <v/>
      </c>
      <c r="N12772">
        <f>IF(ISERR(FIND("DECOUPE",Tableau1[[#This Row],[DESIGNATION]])),"","NEED REF")</f>
        <v/>
      </c>
    </row>
    <row r="12773">
      <c r="B12773" t="n">
        <v>34401232</v>
      </c>
      <c r="C12773" s="2" t="n">
        <v>38890</v>
      </c>
      <c r="D12773" t="inlineStr">
        <is>
          <t>NOM</t>
        </is>
      </c>
      <c r="E12773" t="inlineStr">
        <is>
          <t>LG FINITION CELLULE AUXILIAIRE L=1600mm</t>
        </is>
      </c>
      <c r="F12773" t="inlineStr">
        <is>
          <t>ARMOIRE TT</t>
        </is>
      </c>
      <c r="J12773" t="inlineStr">
        <is>
          <t>MAHMOUDI</t>
        </is>
      </c>
      <c r="L12773">
        <f>_xlfn.XLOOKUP(Tableau1[[#This Row],[TYPE DE PIECE]],Tableau4[MATIERE],Tableau4[SHORT TYPE],"",0,1)</f>
        <v/>
      </c>
      <c r="N12773">
        <f>IF(ISERR(FIND("DECOUPE",Tableau1[[#This Row],[DESIGNATION]])),"","NEED REF")</f>
        <v/>
      </c>
    </row>
    <row r="12774">
      <c r="B12774" t="n">
        <v>34401231</v>
      </c>
      <c r="C12774" s="2" t="n">
        <v>38890</v>
      </c>
      <c r="D12774" t="inlineStr">
        <is>
          <t>NOM</t>
        </is>
      </c>
      <c r="E12774" t="inlineStr">
        <is>
          <t>LG HABILLAGE CELLULE AUXILIAIRE L=1600mm</t>
        </is>
      </c>
      <c r="F12774" t="inlineStr">
        <is>
          <t>ARMOIRE TT</t>
        </is>
      </c>
      <c r="J12774" t="inlineStr">
        <is>
          <t>MAHMOUDI</t>
        </is>
      </c>
      <c r="L12774">
        <f>_xlfn.XLOOKUP(Tableau1[[#This Row],[TYPE DE PIECE]],Tableau4[MATIERE],Tableau4[SHORT TYPE],"",0,1)</f>
        <v/>
      </c>
      <c r="N12774">
        <f>IF(ISERR(FIND("DECOUPE",Tableau1[[#This Row],[DESIGNATION]])),"","NEED REF")</f>
        <v/>
      </c>
    </row>
    <row r="12775">
      <c r="B12775" t="n">
        <v>34401230</v>
      </c>
      <c r="C12775" s="2" t="n">
        <v>38890</v>
      </c>
      <c r="D12775" t="inlineStr">
        <is>
          <t>SPEC</t>
        </is>
      </c>
      <c r="E12775" t="inlineStr">
        <is>
          <t>TOIT VENTILE PACK ADVANCE 500kVA</t>
        </is>
      </c>
      <c r="F12775" t="inlineStr">
        <is>
          <t>GALAXY 6000</t>
        </is>
      </c>
      <c r="J12775" t="inlineStr">
        <is>
          <t>MAHMOUDI</t>
        </is>
      </c>
      <c r="L12775">
        <f>_xlfn.XLOOKUP(Tableau1[[#This Row],[TYPE DE PIECE]],Tableau4[MATIERE],Tableau4[SHORT TYPE],"",0,1)</f>
        <v/>
      </c>
      <c r="N12775">
        <f>IF(ISERR(FIND("DECOUPE",Tableau1[[#This Row],[DESIGNATION]])),"","NEED REF")</f>
        <v/>
      </c>
    </row>
    <row r="12776">
      <c r="B12776" t="n">
        <v>34401229</v>
      </c>
      <c r="C12776" s="2" t="n">
        <v>38890</v>
      </c>
      <c r="D12776" t="inlineStr">
        <is>
          <t>NOM</t>
        </is>
      </c>
      <c r="E12776" t="inlineStr">
        <is>
          <t>LG pack advance 500kVA accollé livré seul</t>
        </is>
      </c>
      <c r="F12776" t="inlineStr">
        <is>
          <t>GALAXY 6000</t>
        </is>
      </c>
      <c r="J12776" t="inlineStr">
        <is>
          <t>MAHMOUDI</t>
        </is>
      </c>
      <c r="L12776">
        <f>_xlfn.XLOOKUP(Tableau1[[#This Row],[TYPE DE PIECE]],Tableau4[MATIERE],Tableau4[SHORT TYPE],"",0,1)</f>
        <v/>
      </c>
      <c r="N12776">
        <f>IF(ISERR(FIND("DECOUPE",Tableau1[[#This Row],[DESIGNATION]])),"","NEED REF")</f>
        <v/>
      </c>
    </row>
    <row r="12777">
      <c r="B12777" t="n">
        <v>34401228</v>
      </c>
      <c r="C12777" s="2" t="n">
        <v>38884</v>
      </c>
      <c r="D12777" t="inlineStr">
        <is>
          <t>SPEC</t>
        </is>
      </c>
      <c r="E12777" t="inlineStr">
        <is>
          <t>BOUCHON DE CHARGE</t>
        </is>
      </c>
      <c r="F12777" t="inlineStr">
        <is>
          <t>PULSAR EXTREME C 3200</t>
        </is>
      </c>
      <c r="J12777" t="inlineStr">
        <is>
          <t>ROBERT</t>
        </is>
      </c>
      <c r="L12777">
        <f>_xlfn.XLOOKUP(Tableau1[[#This Row],[TYPE DE PIECE]],Tableau4[MATIERE],Tableau4[SHORT TYPE],"",0,1)</f>
        <v/>
      </c>
      <c r="N12777">
        <f>IF(ISERR(FIND("DECOUPE",Tableau1[[#This Row],[DESIGNATION]])),"","NEED REF")</f>
        <v/>
      </c>
    </row>
    <row r="12778">
      <c r="B12778" t="n">
        <v>34401227</v>
      </c>
      <c r="C12778" s="2" t="n"/>
      <c r="E12778" t="inlineStr">
        <is>
          <t>RESERVE GRT</t>
        </is>
      </c>
      <c r="L12778">
        <f>_xlfn.XLOOKUP(Tableau1[[#This Row],[TYPE DE PIECE]],Tableau4[MATIERE],Tableau4[SHORT TYPE],"",0,1)</f>
        <v/>
      </c>
      <c r="N12778">
        <f>IF(ISERR(FIND("DECOUPE",Tableau1[[#This Row],[DESIGNATION]])),"","NEED REF")</f>
        <v/>
      </c>
    </row>
    <row r="12779">
      <c r="B12779" t="n">
        <v>34401226</v>
      </c>
      <c r="C12779" s="2" t="n">
        <v>38880</v>
      </c>
      <c r="D12779" t="inlineStr">
        <is>
          <t>NOM</t>
        </is>
      </c>
      <c r="E12779" t="inlineStr">
        <is>
          <t xml:space="preserve">Lg peinture speciale GALAXY 400kVA </t>
        </is>
      </c>
      <c r="F12779" t="inlineStr">
        <is>
          <t>GALAXY 6000</t>
        </is>
      </c>
      <c r="J12779" t="inlineStr">
        <is>
          <t>ROBERT</t>
        </is>
      </c>
      <c r="L12779">
        <f>_xlfn.XLOOKUP(Tableau1[[#This Row],[TYPE DE PIECE]],Tableau4[MATIERE],Tableau4[SHORT TYPE],"",0,1)</f>
        <v/>
      </c>
      <c r="N12779">
        <f>IF(ISERR(FIND("DECOUPE",Tableau1[[#This Row],[DESIGNATION]])),"","NEED REF")</f>
        <v/>
      </c>
    </row>
    <row r="12780">
      <c r="B12780" t="n">
        <v>34401225</v>
      </c>
      <c r="C12780" s="2" t="n">
        <v>38877</v>
      </c>
      <c r="D12780" t="inlineStr">
        <is>
          <t>CDC</t>
        </is>
      </c>
      <c r="E12780" t="inlineStr">
        <is>
          <t>IP 32 pour PW 120kVA a PN</t>
        </is>
      </c>
      <c r="F12780" t="inlineStr">
        <is>
          <t>GALAXY PW 120KVA</t>
        </is>
      </c>
      <c r="J12780" t="inlineStr">
        <is>
          <t>REVEL</t>
        </is>
      </c>
      <c r="L12780">
        <f>_xlfn.XLOOKUP(Tableau1[[#This Row],[TYPE DE PIECE]],Tableau4[MATIERE],Tableau4[SHORT TYPE],"",0,1)</f>
        <v/>
      </c>
      <c r="N12780">
        <f>IF(ISERR(FIND("DECOUPE",Tableau1[[#This Row],[DESIGNATION]])),"","NEED REF")</f>
        <v/>
      </c>
    </row>
    <row r="12781">
      <c r="B12781" t="n">
        <v>34401224</v>
      </c>
      <c r="C12781" s="2" t="n">
        <v>38870</v>
      </c>
      <c r="D12781" t="inlineStr">
        <is>
          <t>CDC</t>
        </is>
      </c>
      <c r="E12781" t="inlineStr">
        <is>
          <t>CDC DOUBLEMENT Q3 STS 600A</t>
        </is>
      </c>
      <c r="F12781" t="inlineStr">
        <is>
          <t>STS600A</t>
        </is>
      </c>
      <c r="J12781" t="inlineStr">
        <is>
          <t>REVEL</t>
        </is>
      </c>
      <c r="L12781">
        <f>_xlfn.XLOOKUP(Tableau1[[#This Row],[TYPE DE PIECE]],Tableau4[MATIERE],Tableau4[SHORT TYPE],"",0,1)</f>
        <v/>
      </c>
      <c r="N12781">
        <f>IF(ISERR(FIND("DECOUPE",Tableau1[[#This Row],[DESIGNATION]])),"","NEED REF")</f>
        <v/>
      </c>
    </row>
    <row r="12782">
      <c r="B12782" t="n">
        <v>34401223</v>
      </c>
      <c r="C12782" s="2" t="n">
        <v>38868</v>
      </c>
      <c r="D12782" t="inlineStr">
        <is>
          <t>CDC</t>
        </is>
      </c>
      <c r="E12782" t="inlineStr">
        <is>
          <t xml:space="preserve">CDC Adpatation Double NS Actifs </t>
        </is>
      </c>
      <c r="F12782" t="inlineStr">
        <is>
          <t>NS2000kVA</t>
        </is>
      </c>
      <c r="J12782" t="inlineStr">
        <is>
          <t>FERRIER</t>
        </is>
      </c>
      <c r="L12782">
        <f>_xlfn.XLOOKUP(Tableau1[[#This Row],[TYPE DE PIECE]],Tableau4[MATIERE],Tableau4[SHORT TYPE],"",0,1)</f>
        <v/>
      </c>
      <c r="N12782">
        <f>IF(ISERR(FIND("DECOUPE",Tableau1[[#This Row],[DESIGNATION]])),"","NEED REF")</f>
        <v/>
      </c>
    </row>
    <row r="12783">
      <c r="B12783" t="n">
        <v>34401222</v>
      </c>
      <c r="C12783" s="2" t="n">
        <v>38860</v>
      </c>
      <c r="D12783" t="inlineStr">
        <is>
          <t>CDC</t>
        </is>
      </c>
      <c r="E12783" t="inlineStr">
        <is>
          <t>CDC NS1200kVA a contacteur statique</t>
        </is>
      </c>
      <c r="F12783" t="inlineStr">
        <is>
          <t>NS1200kVA</t>
        </is>
      </c>
      <c r="J12783" t="inlineStr">
        <is>
          <t>REVEL</t>
        </is>
      </c>
      <c r="L12783">
        <f>_xlfn.XLOOKUP(Tableau1[[#This Row],[TYPE DE PIECE]],Tableau4[MATIERE],Tableau4[SHORT TYPE],"",0,1)</f>
        <v/>
      </c>
      <c r="N12783">
        <f>IF(ISERR(FIND("DECOUPE",Tableau1[[#This Row],[DESIGNATION]])),"","NEED REF")</f>
        <v/>
      </c>
    </row>
    <row r="12784">
      <c r="B12784" t="n">
        <v>34401221</v>
      </c>
      <c r="C12784" s="2" t="n">
        <v>38859</v>
      </c>
      <c r="D12784" t="inlineStr">
        <is>
          <t>CDC</t>
        </is>
      </c>
      <c r="E12784" t="inlineStr">
        <is>
          <t>CDC gaine de raccordement</t>
        </is>
      </c>
      <c r="F12784" t="inlineStr">
        <is>
          <t>NS2000kVA</t>
        </is>
      </c>
      <c r="J12784" t="inlineStr">
        <is>
          <t>REVEL</t>
        </is>
      </c>
      <c r="L12784">
        <f>_xlfn.XLOOKUP(Tableau1[[#This Row],[TYPE DE PIECE]],Tableau4[MATIERE],Tableau4[SHORT TYPE],"",0,1)</f>
        <v/>
      </c>
      <c r="N12784">
        <f>IF(ISERR(FIND("DECOUPE",Tableau1[[#This Row],[DESIGNATION]])),"","NEED REF")</f>
        <v/>
      </c>
    </row>
    <row r="12785">
      <c r="B12785" t="n">
        <v>34401220</v>
      </c>
      <c r="C12785" s="2" t="n">
        <v>38854</v>
      </c>
      <c r="D12785" t="inlineStr">
        <is>
          <t>SPEC</t>
        </is>
      </c>
      <c r="E12785" t="inlineStr">
        <is>
          <t>Caillebotis marine arm batt (1x1015)</t>
        </is>
      </c>
      <c r="F12785" t="inlineStr">
        <is>
          <t>GALAXY PW 50kVA</t>
        </is>
      </c>
      <c r="J12785" t="inlineStr">
        <is>
          <t>ROBERT</t>
        </is>
      </c>
      <c r="L12785">
        <f>_xlfn.XLOOKUP(Tableau1[[#This Row],[TYPE DE PIECE]],Tableau4[MATIERE],Tableau4[SHORT TYPE],"",0,1)</f>
        <v/>
      </c>
      <c r="N12785">
        <f>IF(ISERR(FIND("DECOUPE",Tableau1[[#This Row],[DESIGNATION]])),"","NEED REF")</f>
        <v/>
      </c>
    </row>
    <row r="12786">
      <c r="B12786" t="n">
        <v>34401219</v>
      </c>
      <c r="C12786" s="2" t="n">
        <v>38854</v>
      </c>
      <c r="D12786" t="inlineStr">
        <is>
          <t>NOM</t>
        </is>
      </c>
      <c r="E12786" t="inlineStr">
        <is>
          <t>LG kit filtre antipoussiere</t>
        </is>
      </c>
      <c r="F12786" t="inlineStr">
        <is>
          <t>Galaxy PW H=1400</t>
        </is>
      </c>
      <c r="J12786" t="inlineStr">
        <is>
          <t>REVEL</t>
        </is>
      </c>
      <c r="L12786">
        <f>_xlfn.XLOOKUP(Tableau1[[#This Row],[TYPE DE PIECE]],Tableau4[MATIERE],Tableau4[SHORT TYPE],"",0,1)</f>
        <v/>
      </c>
      <c r="N12786">
        <f>IF(ISERR(FIND("DECOUPE",Tableau1[[#This Row],[DESIGNATION]])),"","NEED REF")</f>
        <v/>
      </c>
    </row>
    <row r="12787">
      <c r="B12787" t="n">
        <v>34401218</v>
      </c>
      <c r="C12787" s="2" t="n">
        <v>38848</v>
      </c>
      <c r="D12787" t="inlineStr">
        <is>
          <t>SPEC</t>
        </is>
      </c>
      <c r="E12787" t="inlineStr">
        <is>
          <t>PLAQUE DE TOIT INTERCELLULES</t>
        </is>
      </c>
      <c r="F12787" t="inlineStr">
        <is>
          <t>GALAXY / GALAXY 6000</t>
        </is>
      </c>
      <c r="J12787" t="inlineStr">
        <is>
          <t>FERRIER</t>
        </is>
      </c>
      <c r="L12787">
        <f>_xlfn.XLOOKUP(Tableau1[[#This Row],[TYPE DE PIECE]],Tableau4[MATIERE],Tableau4[SHORT TYPE],"",0,1)</f>
        <v/>
      </c>
      <c r="N12787">
        <f>IF(ISERR(FIND("DECOUPE",Tableau1[[#This Row],[DESIGNATION]])),"","NEED REF")</f>
        <v/>
      </c>
    </row>
    <row r="12788">
      <c r="B12788" t="n">
        <v>34401217</v>
      </c>
      <c r="C12788" s="2" t="n">
        <v>38848</v>
      </c>
      <c r="D12788" t="inlineStr">
        <is>
          <t>SPEC</t>
        </is>
      </c>
      <c r="E12788" t="inlineStr">
        <is>
          <t>Toit ventilé armoire L=1200</t>
        </is>
      </c>
      <c r="F12788" t="inlineStr">
        <is>
          <t xml:space="preserve">Galaxy </t>
        </is>
      </c>
      <c r="J12788" t="inlineStr">
        <is>
          <t>REVEL</t>
        </is>
      </c>
      <c r="L12788">
        <f>_xlfn.XLOOKUP(Tableau1[[#This Row],[TYPE DE PIECE]],Tableau4[MATIERE],Tableau4[SHORT TYPE],"",0,1)</f>
        <v/>
      </c>
      <c r="N12788">
        <f>IF(ISERR(FIND("DECOUPE",Tableau1[[#This Row],[DESIGNATION]])),"","NEED REF")</f>
        <v/>
      </c>
    </row>
    <row r="12789">
      <c r="B12789" t="n">
        <v>34401216</v>
      </c>
      <c r="C12789" s="2" t="n">
        <v>38846</v>
      </c>
      <c r="D12789" t="inlineStr">
        <is>
          <t>NOM</t>
        </is>
      </c>
      <c r="E12789" t="inlineStr">
        <is>
          <t>LG HABILLAGE ANCIEN ESTHETIQUE L=1600mm</t>
        </is>
      </c>
      <c r="F12789" t="inlineStr">
        <is>
          <t xml:space="preserve">GALAXY 6000 </t>
        </is>
      </c>
      <c r="J12789" t="inlineStr">
        <is>
          <t>MAHMOUDI</t>
        </is>
      </c>
      <c r="L12789">
        <f>_xlfn.XLOOKUP(Tableau1[[#This Row],[TYPE DE PIECE]],Tableau4[MATIERE],Tableau4[SHORT TYPE],"",0,1)</f>
        <v/>
      </c>
      <c r="N12789">
        <f>IF(ISERR(FIND("DECOUPE",Tableau1[[#This Row],[DESIGNATION]])),"","NEED REF")</f>
        <v/>
      </c>
    </row>
    <row r="12790">
      <c r="B12790" t="n">
        <v>34401215</v>
      </c>
      <c r="C12790" s="2" t="n">
        <v>38842</v>
      </c>
      <c r="D12790" t="inlineStr">
        <is>
          <t>NOM</t>
        </is>
      </c>
      <c r="E12790" t="inlineStr">
        <is>
          <t xml:space="preserve">LG IP22 couleur standard GN </t>
        </is>
      </c>
      <c r="F12790" t="inlineStr">
        <is>
          <t>Galaxy 6000 160-400kVA</t>
        </is>
      </c>
      <c r="J12790" t="inlineStr">
        <is>
          <t>ROBERT</t>
        </is>
      </c>
      <c r="L12790">
        <f>_xlfn.XLOOKUP(Tableau1[[#This Row],[TYPE DE PIECE]],Tableau4[MATIERE],Tableau4[SHORT TYPE],"",0,1)</f>
        <v/>
      </c>
      <c r="N12790">
        <f>IF(ISERR(FIND("DECOUPE",Tableau1[[#This Row],[DESIGNATION]])),"","NEED REF")</f>
        <v/>
      </c>
    </row>
    <row r="12791">
      <c r="B12791" t="n">
        <v>34401214</v>
      </c>
      <c r="C12791" s="2" t="n">
        <v>38841</v>
      </c>
      <c r="D12791" t="inlineStr">
        <is>
          <t>SPEC</t>
        </is>
      </c>
      <c r="E12791" t="inlineStr">
        <is>
          <t>Grande Plaque presse Etoupe 700</t>
        </is>
      </c>
      <c r="F12791" t="inlineStr">
        <is>
          <t>Galaxy 5000</t>
        </is>
      </c>
      <c r="J12791" t="inlineStr">
        <is>
          <t>FERRIER</t>
        </is>
      </c>
      <c r="L12791">
        <f>_xlfn.XLOOKUP(Tableau1[[#This Row],[TYPE DE PIECE]],Tableau4[MATIERE],Tableau4[SHORT TYPE],"",0,1)</f>
        <v/>
      </c>
      <c r="N12791">
        <f>IF(ISERR(FIND("DECOUPE",Tableau1[[#This Row],[DESIGNATION]])),"","NEED REF")</f>
        <v/>
      </c>
    </row>
    <row r="12792">
      <c r="B12792" t="n">
        <v>34401213</v>
      </c>
      <c r="C12792" s="2" t="n">
        <v>38841</v>
      </c>
      <c r="D12792" t="inlineStr">
        <is>
          <t>SPEC</t>
        </is>
      </c>
      <c r="E12792" t="inlineStr">
        <is>
          <t>Tole de fond 700 IP2* avec grande plaque PE</t>
        </is>
      </c>
      <c r="F12792" t="inlineStr">
        <is>
          <t>Galaxy 5000</t>
        </is>
      </c>
      <c r="J12792" t="inlineStr">
        <is>
          <t>FERRIER</t>
        </is>
      </c>
      <c r="L12792">
        <f>_xlfn.XLOOKUP(Tableau1[[#This Row],[TYPE DE PIECE]],Tableau4[MATIERE],Tableau4[SHORT TYPE],"",0,1)</f>
        <v/>
      </c>
      <c r="N12792">
        <f>IF(ISERR(FIND("DECOUPE",Tableau1[[#This Row],[DESIGNATION]])),"","NEED REF")</f>
        <v/>
      </c>
    </row>
    <row r="12793">
      <c r="B12793" t="n">
        <v>34401212</v>
      </c>
      <c r="C12793" s="2" t="n">
        <v>38841</v>
      </c>
      <c r="D12793" t="inlineStr">
        <is>
          <t>SPEC</t>
        </is>
      </c>
      <c r="E12793" t="inlineStr">
        <is>
          <t>Dossier de montage sur site pack advance</t>
        </is>
      </c>
      <c r="F12793" t="inlineStr">
        <is>
          <t>GALAXY 6000</t>
        </is>
      </c>
      <c r="J12793" t="inlineStr">
        <is>
          <t>ROBERT</t>
        </is>
      </c>
      <c r="L12793">
        <f>_xlfn.XLOOKUP(Tableau1[[#This Row],[TYPE DE PIECE]],Tableau4[MATIERE],Tableau4[SHORT TYPE],"",0,1)</f>
        <v/>
      </c>
      <c r="N12793">
        <f>IF(ISERR(FIND("DECOUPE",Tableau1[[#This Row],[DESIGNATION]])),"","NEED REF")</f>
        <v/>
      </c>
    </row>
    <row r="12794">
      <c r="B12794" t="n">
        <v>34401211</v>
      </c>
      <c r="C12794" s="2" t="n">
        <v>38841</v>
      </c>
      <c r="D12794" t="inlineStr">
        <is>
          <t>SPEC</t>
        </is>
      </c>
      <c r="E12794" t="inlineStr">
        <is>
          <t>KIT CONNEXIONS ATFO PHASE SHIFTING</t>
        </is>
      </c>
      <c r="F12794" t="inlineStr">
        <is>
          <t>SCHNEIDER</t>
        </is>
      </c>
      <c r="J12794" t="inlineStr">
        <is>
          <t>FERRIER</t>
        </is>
      </c>
      <c r="L12794">
        <f>_xlfn.XLOOKUP(Tableau1[[#This Row],[TYPE DE PIECE]],Tableau4[MATIERE],Tableau4[SHORT TYPE],"",0,1)</f>
        <v/>
      </c>
      <c r="N12794">
        <f>IF(ISERR(FIND("DECOUPE",Tableau1[[#This Row],[DESIGNATION]])),"","NEED REF")</f>
        <v/>
      </c>
    </row>
    <row r="12795">
      <c r="B12795" t="n">
        <v>34401210</v>
      </c>
      <c r="C12795" s="2" t="n">
        <v>38840</v>
      </c>
      <c r="D12795" t="inlineStr">
        <is>
          <t>CDC</t>
        </is>
      </c>
      <c r="E12795" t="inlineStr">
        <is>
          <t>CDC Montage FAHC600kVA en armoire 1000mm</t>
        </is>
      </c>
      <c r="F12795" t="inlineStr">
        <is>
          <t xml:space="preserve">GALAXY6000  </t>
        </is>
      </c>
      <c r="J12795" t="inlineStr">
        <is>
          <t>FERRIER</t>
        </is>
      </c>
      <c r="L12795">
        <f>_xlfn.XLOOKUP(Tableau1[[#This Row],[TYPE DE PIECE]],Tableau4[MATIERE],Tableau4[SHORT TYPE],"",0,1)</f>
        <v/>
      </c>
      <c r="N12795">
        <f>IF(ISERR(FIND("DECOUPE",Tableau1[[#This Row],[DESIGNATION]])),"","NEED REF")</f>
        <v/>
      </c>
    </row>
    <row r="12796">
      <c r="B12796" t="n">
        <v>34401209</v>
      </c>
      <c r="C12796" s="2" t="n">
        <v>38832</v>
      </c>
      <c r="D12796" t="inlineStr">
        <is>
          <t>NOM</t>
        </is>
      </c>
      <c r="E12796" t="inlineStr">
        <is>
          <t>LG boitier convertisseur RS vers TCPIP</t>
        </is>
      </c>
      <c r="F12796" t="inlineStr">
        <is>
          <t>GALAXY 5000</t>
        </is>
      </c>
      <c r="J12796" t="inlineStr">
        <is>
          <t>REVEL</t>
        </is>
      </c>
      <c r="L12796">
        <f>_xlfn.XLOOKUP(Tableau1[[#This Row],[TYPE DE PIECE]],Tableau4[MATIERE],Tableau4[SHORT TYPE],"",0,1)</f>
        <v/>
      </c>
      <c r="N12796">
        <f>IF(ISERR(FIND("DECOUPE",Tableau1[[#This Row],[DESIGNATION]])),"","NEED REF")</f>
        <v/>
      </c>
    </row>
    <row r="12797">
      <c r="B12797" t="n">
        <v>34401208</v>
      </c>
      <c r="C12797" s="2" t="n">
        <v>38828</v>
      </c>
      <c r="D12797" t="inlineStr">
        <is>
          <t>SPEC</t>
        </is>
      </c>
      <c r="E12797" t="inlineStr">
        <is>
          <t>Dossier de montage pack advance acollé livré seul</t>
        </is>
      </c>
      <c r="F12797" t="inlineStr">
        <is>
          <t>GALAXY</t>
        </is>
      </c>
      <c r="J12797" t="inlineStr">
        <is>
          <t>ROBERT</t>
        </is>
      </c>
      <c r="L12797">
        <f>_xlfn.XLOOKUP(Tableau1[[#This Row],[TYPE DE PIECE]],Tableau4[MATIERE],Tableau4[SHORT TYPE],"",0,1)</f>
        <v/>
      </c>
      <c r="N12797">
        <f>IF(ISERR(FIND("DECOUPE",Tableau1[[#This Row],[DESIGNATION]])),"","NEED REF")</f>
        <v/>
      </c>
    </row>
    <row r="12798">
      <c r="B12798" t="n">
        <v>34401207</v>
      </c>
      <c r="C12798" s="2" t="n">
        <v>38828</v>
      </c>
      <c r="D12798" t="inlineStr">
        <is>
          <t>NOM</t>
        </is>
      </c>
      <c r="E12798" t="inlineStr">
        <is>
          <t>LG pack advance 300kVA accollé livré seul</t>
        </is>
      </c>
      <c r="F12798" t="inlineStr">
        <is>
          <t>GALAXY</t>
        </is>
      </c>
      <c r="J12798" t="inlineStr">
        <is>
          <t>ROBERT</t>
        </is>
      </c>
      <c r="L12798">
        <f>_xlfn.XLOOKUP(Tableau1[[#This Row],[TYPE DE PIECE]],Tableau4[MATIERE],Tableau4[SHORT TYPE],"",0,1)</f>
        <v/>
      </c>
      <c r="N12798">
        <f>IF(ISERR(FIND("DECOUPE",Tableau1[[#This Row],[DESIGNATION]])),"","NEED REF")</f>
        <v/>
      </c>
    </row>
    <row r="12799">
      <c r="B12799" t="n">
        <v>34401206</v>
      </c>
      <c r="C12799" s="2" t="n">
        <v>38828</v>
      </c>
      <c r="D12799" t="inlineStr">
        <is>
          <t>NOM</t>
        </is>
      </c>
      <c r="E12799" t="inlineStr">
        <is>
          <t>LG pack advance 400kVA accollé livré seul</t>
        </is>
      </c>
      <c r="F12799" t="inlineStr">
        <is>
          <t>GALAXY</t>
        </is>
      </c>
      <c r="J12799" t="inlineStr">
        <is>
          <t>ROBERT</t>
        </is>
      </c>
      <c r="L12799">
        <f>_xlfn.XLOOKUP(Tableau1[[#This Row],[TYPE DE PIECE]],Tableau4[MATIERE],Tableau4[SHORT TYPE],"",0,1)</f>
        <v/>
      </c>
      <c r="N12799">
        <f>IF(ISERR(FIND("DECOUPE",Tableau1[[#This Row],[DESIGNATION]])),"","NEED REF")</f>
        <v/>
      </c>
    </row>
    <row r="12800">
      <c r="B12800" t="n">
        <v>34401205</v>
      </c>
      <c r="C12800" s="2" t="n">
        <v>38828</v>
      </c>
      <c r="E12800" t="inlineStr">
        <is>
          <t>CARTE CRIZ - nouveau Double Pont 300/400kVA à ATFO</t>
        </is>
      </c>
      <c r="F12800" t="inlineStr">
        <is>
          <t>G6K NEW DP 300/400kVA</t>
        </is>
      </c>
      <c r="J12800" t="inlineStr">
        <is>
          <t>FERRIER</t>
        </is>
      </c>
      <c r="L12800">
        <f>_xlfn.XLOOKUP(Tableau1[[#This Row],[TYPE DE PIECE]],Tableau4[MATIERE],Tableau4[SHORT TYPE],"",0,1)</f>
        <v/>
      </c>
      <c r="N12800">
        <f>IF(ISERR(FIND("DECOUPE",Tableau1[[#This Row],[DESIGNATION]])),"","NEED REF")</f>
        <v/>
      </c>
    </row>
    <row r="12801">
      <c r="B12801" t="n">
        <v>34401204</v>
      </c>
      <c r="C12801" s="2" t="n">
        <v>38828</v>
      </c>
      <c r="D12801" t="inlineStr">
        <is>
          <t>CDC</t>
        </is>
      </c>
      <c r="E12801" t="inlineStr">
        <is>
          <t>CHASSIS POUR BOBINAGE SUPERPOSE</t>
        </is>
      </c>
      <c r="F12801" t="inlineStr">
        <is>
          <t>Galaxy PW 715</t>
        </is>
      </c>
      <c r="J12801" t="inlineStr">
        <is>
          <t>REVEL</t>
        </is>
      </c>
      <c r="L12801">
        <f>_xlfn.XLOOKUP(Tableau1[[#This Row],[TYPE DE PIECE]],Tableau4[MATIERE],Tableau4[SHORT TYPE],"",0,1)</f>
        <v/>
      </c>
      <c r="N12801">
        <f>IF(ISERR(FIND("DECOUPE",Tableau1[[#This Row],[DESIGNATION]])),"","NEED REF")</f>
        <v/>
      </c>
    </row>
    <row r="12802">
      <c r="B12802" t="n">
        <v>34401203</v>
      </c>
      <c r="C12802" s="2" t="n">
        <v>38827</v>
      </c>
      <c r="D12802" t="inlineStr">
        <is>
          <t>NOM</t>
        </is>
      </c>
      <c r="E12802" t="inlineStr">
        <is>
          <t>LG PEINTURE SPE ARM AUX L=1000</t>
        </is>
      </c>
      <c r="F12802" t="inlineStr">
        <is>
          <t>GALAXY 5000 AUX</t>
        </is>
      </c>
      <c r="J12802" t="inlineStr">
        <is>
          <t>REVEL</t>
        </is>
      </c>
      <c r="L12802">
        <f>_xlfn.XLOOKUP(Tableau1[[#This Row],[TYPE DE PIECE]],Tableau4[MATIERE],Tableau4[SHORT TYPE],"",0,1)</f>
        <v/>
      </c>
      <c r="N12802">
        <f>IF(ISERR(FIND("DECOUPE",Tableau1[[#This Row],[DESIGNATION]])),"","NEED REF")</f>
        <v/>
      </c>
    </row>
    <row r="12803">
      <c r="B12803" t="n">
        <v>34401202</v>
      </c>
      <c r="C12803" s="2" t="n">
        <v>38827</v>
      </c>
      <c r="D12803" t="inlineStr">
        <is>
          <t>NOM</t>
        </is>
      </c>
      <c r="E12803" t="inlineStr">
        <is>
          <t>LG PEINTURE SPE ARM AUX L=700</t>
        </is>
      </c>
      <c r="F12803" t="inlineStr">
        <is>
          <t>GALAXY 5000 AUX</t>
        </is>
      </c>
      <c r="J12803" t="inlineStr">
        <is>
          <t>REVEL</t>
        </is>
      </c>
      <c r="L12803">
        <f>_xlfn.XLOOKUP(Tableau1[[#This Row],[TYPE DE PIECE]],Tableau4[MATIERE],Tableau4[SHORT TYPE],"",0,1)</f>
        <v/>
      </c>
      <c r="N12803">
        <f>IF(ISERR(FIND("DECOUPE",Tableau1[[#This Row],[DESIGNATION]])),"","NEED REF")</f>
        <v/>
      </c>
    </row>
    <row r="12804">
      <c r="B12804" t="n">
        <v>34401201</v>
      </c>
      <c r="C12804" s="2" t="n">
        <v>38826</v>
      </c>
      <c r="D12804" t="inlineStr">
        <is>
          <t>NOM</t>
        </is>
      </c>
      <c r="E12804" t="inlineStr">
        <is>
          <t>LG PEINTURE SPE ARM BAT L=1000</t>
        </is>
      </c>
      <c r="F12804" t="inlineStr">
        <is>
          <t>GALAXY 5000 BAT</t>
        </is>
      </c>
      <c r="J12804" t="inlineStr">
        <is>
          <t>REVEL</t>
        </is>
      </c>
      <c r="L12804">
        <f>_xlfn.XLOOKUP(Tableau1[[#This Row],[TYPE DE PIECE]],Tableau4[MATIERE],Tableau4[SHORT TYPE],"",0,1)</f>
        <v/>
      </c>
      <c r="N12804">
        <f>IF(ISERR(FIND("DECOUPE",Tableau1[[#This Row],[DESIGNATION]])),"","NEED REF")</f>
        <v/>
      </c>
    </row>
    <row r="12805">
      <c r="B12805" t="n">
        <v>34401200</v>
      </c>
      <c r="C12805" s="2" t="n">
        <v>38826</v>
      </c>
      <c r="D12805" t="inlineStr">
        <is>
          <t>NOM</t>
        </is>
      </c>
      <c r="E12805" t="inlineStr">
        <is>
          <t>LG PEINTURE SPE ARM BAT L=700</t>
        </is>
      </c>
      <c r="F12805" t="inlineStr">
        <is>
          <t>GALAXY 5000 BAT</t>
        </is>
      </c>
      <c r="J12805" t="inlineStr">
        <is>
          <t>REVEL</t>
        </is>
      </c>
      <c r="L12805">
        <f>_xlfn.XLOOKUP(Tableau1[[#This Row],[TYPE DE PIECE]],Tableau4[MATIERE],Tableau4[SHORT TYPE],"",0,1)</f>
        <v/>
      </c>
      <c r="N12805">
        <f>IF(ISERR(FIND("DECOUPE",Tableau1[[#This Row],[DESIGNATION]])),"","NEED REF")</f>
        <v/>
      </c>
    </row>
    <row r="12806">
      <c r="B12806" t="n">
        <v>34401199</v>
      </c>
      <c r="C12806" s="2" t="n">
        <v>38825</v>
      </c>
      <c r="D12806" t="inlineStr">
        <is>
          <t>NOM</t>
        </is>
      </c>
      <c r="E12806" t="inlineStr">
        <is>
          <t xml:space="preserve">KIT TRANSFORMATION ANCIENNE ESTHETIQUE </t>
        </is>
      </c>
      <c r="F12806" t="inlineStr">
        <is>
          <t>GAINE DE 400</t>
        </is>
      </c>
      <c r="J12806" t="inlineStr">
        <is>
          <t>REVEL</t>
        </is>
      </c>
      <c r="L12806">
        <f>_xlfn.XLOOKUP(Tableau1[[#This Row],[TYPE DE PIECE]],Tableau4[MATIERE],Tableau4[SHORT TYPE],"",0,1)</f>
        <v/>
      </c>
      <c r="N12806">
        <f>IF(ISERR(FIND("DECOUPE",Tableau1[[#This Row],[DESIGNATION]])),"","NEED REF")</f>
        <v/>
      </c>
    </row>
    <row r="12807">
      <c r="B12807" t="n">
        <v>34401198</v>
      </c>
      <c r="C12807" s="2" t="n">
        <v>38825</v>
      </c>
      <c r="D12807" t="inlineStr">
        <is>
          <t>CDC</t>
        </is>
      </c>
      <c r="E12807" t="inlineStr">
        <is>
          <t>Caillebotis marine arm batt 1900x715</t>
        </is>
      </c>
      <c r="F12807" t="inlineStr">
        <is>
          <t>ARMOIRE BAT STD</t>
        </is>
      </c>
      <c r="J12807" t="inlineStr">
        <is>
          <t>ROBERT</t>
        </is>
      </c>
      <c r="L12807">
        <f>_xlfn.XLOOKUP(Tableau1[[#This Row],[TYPE DE PIECE]],Tableau4[MATIERE],Tableau4[SHORT TYPE],"",0,1)</f>
        <v/>
      </c>
      <c r="N12807">
        <f>IF(ISERR(FIND("DECOUPE",Tableau1[[#This Row],[DESIGNATION]])),"","NEED REF")</f>
        <v/>
      </c>
    </row>
    <row r="12808">
      <c r="B12808" t="n">
        <v>34401197</v>
      </c>
      <c r="C12808" s="2" t="n">
        <v>38820</v>
      </c>
      <c r="D12808" t="inlineStr">
        <is>
          <t>CDC</t>
        </is>
      </c>
      <c r="E12808" t="inlineStr">
        <is>
          <t>ARMOIRE PDU</t>
        </is>
      </c>
      <c r="F12808" t="inlineStr">
        <is>
          <t>ARMOIRE PDU</t>
        </is>
      </c>
      <c r="J12808" t="inlineStr">
        <is>
          <t>REVEL</t>
        </is>
      </c>
      <c r="L12808">
        <f>_xlfn.XLOOKUP(Tableau1[[#This Row],[TYPE DE PIECE]],Tableau4[MATIERE],Tableau4[SHORT TYPE],"",0,1)</f>
        <v/>
      </c>
      <c r="N12808">
        <f>IF(ISERR(FIND("DECOUPE",Tableau1[[#This Row],[DESIGNATION]])),"","NEED REF")</f>
        <v/>
      </c>
    </row>
    <row r="12809">
      <c r="B12809" t="n">
        <v>34401196</v>
      </c>
      <c r="C12809" s="2" t="n">
        <v>38818</v>
      </c>
      <c r="D12809" t="inlineStr">
        <is>
          <t>SPEC</t>
        </is>
      </c>
      <c r="E12809" t="inlineStr">
        <is>
          <t>BARRE SUPPORT TRANSFO EN LARGEUR</t>
        </is>
      </c>
      <c r="F12809" t="inlineStr">
        <is>
          <t>GALAXY 5000</t>
        </is>
      </c>
      <c r="J12809" t="inlineStr">
        <is>
          <t>FERRIER</t>
        </is>
      </c>
      <c r="K12809" t="inlineStr">
        <is>
          <t>METAL</t>
        </is>
      </c>
      <c r="L12809">
        <f>_xlfn.XLOOKUP(Tableau1[[#This Row],[TYPE DE PIECE]],Tableau4[MATIERE],Tableau4[SHORT TYPE],"",0,1)</f>
        <v/>
      </c>
      <c r="N12809">
        <f>IF(ISERR(FIND("DECOUPE",Tableau1[[#This Row],[DESIGNATION]])),"","NEED REF")</f>
        <v/>
      </c>
    </row>
    <row r="12810">
      <c r="B12810" t="n">
        <v>34401195</v>
      </c>
      <c r="C12810" s="2" t="n">
        <v>38817</v>
      </c>
      <c r="D12810" t="inlineStr">
        <is>
          <t>DOC</t>
        </is>
      </c>
      <c r="E12810" t="inlineStr">
        <is>
          <t>Dossier de montage pack advance non acollé</t>
        </is>
      </c>
      <c r="F12810" t="inlineStr">
        <is>
          <t>GALAXY</t>
        </is>
      </c>
      <c r="J12810" t="inlineStr">
        <is>
          <t>ROBERT</t>
        </is>
      </c>
      <c r="L12810">
        <f>_xlfn.XLOOKUP(Tableau1[[#This Row],[TYPE DE PIECE]],Tableau4[MATIERE],Tableau4[SHORT TYPE],"",0,1)</f>
        <v/>
      </c>
      <c r="N12810">
        <f>IF(ISERR(FIND("DECOUPE",Tableau1[[#This Row],[DESIGNATION]])),"","NEED REF")</f>
        <v/>
      </c>
    </row>
    <row r="12811">
      <c r="B12811" t="n">
        <v>34401194</v>
      </c>
      <c r="C12811" s="2" t="n">
        <v>38817</v>
      </c>
      <c r="D12811" t="inlineStr">
        <is>
          <t>NOM</t>
        </is>
      </c>
      <c r="E12811" t="inlineStr">
        <is>
          <t xml:space="preserve">KIT TRANSFORMATION ANCIENNE ESTHETIQUE </t>
        </is>
      </c>
      <c r="F12811" t="inlineStr">
        <is>
          <t>NS 2000 KVA</t>
        </is>
      </c>
      <c r="J12811" t="inlineStr">
        <is>
          <t>REVEL</t>
        </is>
      </c>
      <c r="L12811">
        <f>_xlfn.XLOOKUP(Tableau1[[#This Row],[TYPE DE PIECE]],Tableau4[MATIERE],Tableau4[SHORT TYPE],"",0,1)</f>
        <v/>
      </c>
      <c r="N12811">
        <f>IF(ISERR(FIND("DECOUPE",Tableau1[[#This Row],[DESIGNATION]])),"","NEED REF")</f>
        <v/>
      </c>
    </row>
    <row r="12812">
      <c r="B12812" t="n">
        <v>34401193</v>
      </c>
      <c r="C12812" s="2" t="n">
        <v>38817</v>
      </c>
      <c r="D12812" t="inlineStr">
        <is>
          <t>CDC</t>
        </is>
      </c>
      <c r="E12812" t="inlineStr">
        <is>
          <t xml:space="preserve">CDC NS 2000 380V </t>
        </is>
      </c>
      <c r="F12812" t="inlineStr">
        <is>
          <t>NS 2000kVA 380V</t>
        </is>
      </c>
      <c r="J12812" t="inlineStr">
        <is>
          <t>REVEL</t>
        </is>
      </c>
      <c r="L12812">
        <f>_xlfn.XLOOKUP(Tableau1[[#This Row],[TYPE DE PIECE]],Tableau4[MATIERE],Tableau4[SHORT TYPE],"",0,1)</f>
        <v/>
      </c>
      <c r="N12812">
        <f>IF(ISERR(FIND("DECOUPE",Tableau1[[#This Row],[DESIGNATION]])),"","NEED REF")</f>
        <v/>
      </c>
    </row>
    <row r="12813">
      <c r="B12813" t="n">
        <v>34401192</v>
      </c>
      <c r="C12813" s="2" t="n">
        <v>38814</v>
      </c>
      <c r="D12813" t="inlineStr">
        <is>
          <t>NOM</t>
        </is>
      </c>
      <c r="E12813" t="inlineStr">
        <is>
          <t xml:space="preserve">KIT TRANSFORMATION ANCIENNE ESTHETIQUE </t>
        </is>
      </c>
      <c r="F12813" t="inlineStr">
        <is>
          <t>GALAXY 160-400kVA</t>
        </is>
      </c>
      <c r="J12813" t="inlineStr">
        <is>
          <t>REVEL</t>
        </is>
      </c>
      <c r="L12813">
        <f>_xlfn.XLOOKUP(Tableau1[[#This Row],[TYPE DE PIECE]],Tableau4[MATIERE],Tableau4[SHORT TYPE],"",0,1)</f>
        <v/>
      </c>
      <c r="N12813">
        <f>IF(ISERR(FIND("DECOUPE",Tableau1[[#This Row],[DESIGNATION]])),"","NEED REF")</f>
        <v/>
      </c>
    </row>
    <row r="12814">
      <c r="B12814" t="n">
        <v>34401191</v>
      </c>
      <c r="C12814" s="2" t="n">
        <v>38806</v>
      </c>
      <c r="D12814" t="inlineStr">
        <is>
          <t>DOC</t>
        </is>
      </c>
      <c r="E12814" t="inlineStr">
        <is>
          <t>SCHEMA FAH H11 400kVA</t>
        </is>
      </c>
      <c r="F12814" t="inlineStr">
        <is>
          <t>GALAXY</t>
        </is>
      </c>
      <c r="J12814" t="inlineStr">
        <is>
          <t>FERRIER</t>
        </is>
      </c>
      <c r="L12814">
        <f>_xlfn.XLOOKUP(Tableau1[[#This Row],[TYPE DE PIECE]],Tableau4[MATIERE],Tableau4[SHORT TYPE],"",0,1)</f>
        <v/>
      </c>
      <c r="N12814">
        <f>IF(ISERR(FIND("DECOUPE",Tableau1[[#This Row],[DESIGNATION]])),"","NEED REF")</f>
        <v/>
      </c>
    </row>
    <row r="12815">
      <c r="B12815" t="n">
        <v>34401190</v>
      </c>
      <c r="C12815" s="2" t="n">
        <v>38805</v>
      </c>
      <c r="D12815" t="inlineStr">
        <is>
          <t>NOM</t>
        </is>
      </c>
      <c r="E12815" t="inlineStr">
        <is>
          <t>LG HABILLAGE ANCIEN ESTHETIQUE PACK ADVANCE</t>
        </is>
      </c>
      <c r="F12815" t="inlineStr">
        <is>
          <t>GALAXY</t>
        </is>
      </c>
      <c r="J12815" t="inlineStr">
        <is>
          <t>ROBERT</t>
        </is>
      </c>
      <c r="L12815">
        <f>_xlfn.XLOOKUP(Tableau1[[#This Row],[TYPE DE PIECE]],Tableau4[MATIERE],Tableau4[SHORT TYPE],"",0,1)</f>
        <v/>
      </c>
      <c r="N12815">
        <f>IF(ISERR(FIND("DECOUPE",Tableau1[[#This Row],[DESIGNATION]])),"","NEED REF")</f>
        <v/>
      </c>
    </row>
    <row r="12816">
      <c r="B12816" t="n">
        <v>34401189</v>
      </c>
      <c r="C12816" s="2" t="n">
        <v>38804</v>
      </c>
      <c r="D12816" t="inlineStr">
        <is>
          <t>NOM</t>
        </is>
      </c>
      <c r="E12816" t="inlineStr">
        <is>
          <t>LG pack advance 400kVA avec bornier non accollé</t>
        </is>
      </c>
      <c r="F12816" t="inlineStr">
        <is>
          <t>GALAXY</t>
        </is>
      </c>
      <c r="J12816" t="inlineStr">
        <is>
          <t>ROBERT</t>
        </is>
      </c>
      <c r="L12816">
        <f>_xlfn.XLOOKUP(Tableau1[[#This Row],[TYPE DE PIECE]],Tableau4[MATIERE],Tableau4[SHORT TYPE],"",0,1)</f>
        <v/>
      </c>
      <c r="N12816">
        <f>IF(ISERR(FIND("DECOUPE",Tableau1[[#This Row],[DESIGNATION]])),"","NEED REF")</f>
        <v/>
      </c>
    </row>
    <row r="12817">
      <c r="B12817" t="n">
        <v>34401188</v>
      </c>
      <c r="C12817" s="2" t="n">
        <v>38804</v>
      </c>
      <c r="D12817" t="inlineStr">
        <is>
          <t>NOM</t>
        </is>
      </c>
      <c r="E12817" t="inlineStr">
        <is>
          <t>LG pack advance 300kVA avec bornier non accollé</t>
        </is>
      </c>
      <c r="F12817" t="inlineStr">
        <is>
          <t>GALAXY</t>
        </is>
      </c>
      <c r="J12817" t="inlineStr">
        <is>
          <t>ROBERT</t>
        </is>
      </c>
      <c r="L12817">
        <f>_xlfn.XLOOKUP(Tableau1[[#This Row],[TYPE DE PIECE]],Tableau4[MATIERE],Tableau4[SHORT TYPE],"",0,1)</f>
        <v/>
      </c>
      <c r="N12817">
        <f>IF(ISERR(FIND("DECOUPE",Tableau1[[#This Row],[DESIGNATION]])),"","NEED REF")</f>
        <v/>
      </c>
    </row>
    <row r="12818">
      <c r="B12818" t="n">
        <v>34401187</v>
      </c>
      <c r="C12818" s="2" t="n">
        <v>38800</v>
      </c>
      <c r="D12818" t="inlineStr">
        <is>
          <t>CDC</t>
        </is>
      </c>
      <c r="E12818" t="inlineStr">
        <is>
          <t>CDC raccordement haut sur GAB</t>
        </is>
      </c>
      <c r="F12818" t="inlineStr">
        <is>
          <t>NS2000kVA</t>
        </is>
      </c>
      <c r="J12818" t="inlineStr">
        <is>
          <t>REVEL</t>
        </is>
      </c>
      <c r="L12818">
        <f>_xlfn.XLOOKUP(Tableau1[[#This Row],[TYPE DE PIECE]],Tableau4[MATIERE],Tableau4[SHORT TYPE],"",0,1)</f>
        <v/>
      </c>
      <c r="N12818">
        <f>IF(ISERR(FIND("DECOUPE",Tableau1[[#This Row],[DESIGNATION]])),"","NEED REF")</f>
        <v/>
      </c>
    </row>
    <row r="12819">
      <c r="B12819" t="n">
        <v>34401186</v>
      </c>
      <c r="C12819" s="2" t="n">
        <v>38800</v>
      </c>
      <c r="D12819" t="inlineStr">
        <is>
          <t>CDC</t>
        </is>
      </c>
      <c r="E12819" t="inlineStr">
        <is>
          <t>CDC arm 1200mm avec ATFO pahse shift double</t>
        </is>
      </c>
      <c r="F12819" t="inlineStr">
        <is>
          <t>Galaxy 450kVA</t>
        </is>
      </c>
      <c r="J12819" t="inlineStr">
        <is>
          <t>REVEL</t>
        </is>
      </c>
      <c r="L12819">
        <f>_xlfn.XLOOKUP(Tableau1[[#This Row],[TYPE DE PIECE]],Tableau4[MATIERE],Tableau4[SHORT TYPE],"",0,1)</f>
        <v/>
      </c>
      <c r="N12819">
        <f>IF(ISERR(FIND("DECOUPE",Tableau1[[#This Row],[DESIGNATION]])),"","NEED REF")</f>
        <v/>
      </c>
    </row>
    <row r="12820">
      <c r="B12820" t="n">
        <v>34401185</v>
      </c>
      <c r="C12820" s="2" t="n">
        <v>38799</v>
      </c>
      <c r="D12820" t="inlineStr">
        <is>
          <t>DOC</t>
        </is>
      </c>
      <c r="E12820" t="inlineStr">
        <is>
          <t>Dossier d'adaptation GAL800P Double NS Actifs Q8T</t>
        </is>
      </c>
      <c r="F12820" t="inlineStr">
        <is>
          <t>CEA GRENOBLE</t>
        </is>
      </c>
      <c r="J12820" t="inlineStr">
        <is>
          <t>FERRIER</t>
        </is>
      </c>
      <c r="L12820">
        <f>_xlfn.XLOOKUP(Tableau1[[#This Row],[TYPE DE PIECE]],Tableau4[MATIERE],Tableau4[SHORT TYPE],"",0,1)</f>
        <v/>
      </c>
      <c r="N12820">
        <f>IF(ISERR(FIND("DECOUPE",Tableau1[[#This Row],[DESIGNATION]])),"","NEED REF")</f>
        <v/>
      </c>
    </row>
    <row r="12821">
      <c r="B12821" t="n">
        <v>34401184</v>
      </c>
      <c r="C12821" s="2" t="n">
        <v>38798</v>
      </c>
      <c r="D12821" t="inlineStr">
        <is>
          <t>CdC</t>
        </is>
      </c>
      <c r="E12821" t="inlineStr">
        <is>
          <t>IP22 avec CHEMINE pour RACC HAUT PW1040</t>
        </is>
      </c>
      <c r="F12821" t="inlineStr">
        <is>
          <t>GALAXY PW 1040</t>
        </is>
      </c>
      <c r="J12821" t="inlineStr">
        <is>
          <t>ÇAKIR</t>
        </is>
      </c>
      <c r="L12821">
        <f>_xlfn.XLOOKUP(Tableau1[[#This Row],[TYPE DE PIECE]],Tableau4[MATIERE],Tableau4[SHORT TYPE],"",0,1)</f>
        <v/>
      </c>
      <c r="N12821">
        <f>IF(ISERR(FIND("DECOUPE",Tableau1[[#This Row],[DESIGNATION]])),"","NEED REF")</f>
        <v/>
      </c>
    </row>
    <row r="12822">
      <c r="B12822" t="n">
        <v>34401183</v>
      </c>
      <c r="C12822" s="2" t="n">
        <v>38790</v>
      </c>
      <c r="D12822" t="inlineStr">
        <is>
          <t>NOM</t>
        </is>
      </c>
      <c r="E12822" t="inlineStr">
        <is>
          <t xml:space="preserve">LG option CT Chinese Telecom </t>
        </is>
      </c>
      <c r="F12822" t="inlineStr">
        <is>
          <t>Galaxy PW 200kVA</t>
        </is>
      </c>
      <c r="J12822" t="inlineStr">
        <is>
          <t>REVEL</t>
        </is>
      </c>
      <c r="L12822">
        <f>_xlfn.XLOOKUP(Tableau1[[#This Row],[TYPE DE PIECE]],Tableau4[MATIERE],Tableau4[SHORT TYPE],"",0,1)</f>
        <v/>
      </c>
      <c r="N12822">
        <f>IF(ISERR(FIND("DECOUPE",Tableau1[[#This Row],[DESIGNATION]])),"","NEED REF")</f>
        <v/>
      </c>
    </row>
    <row r="12823">
      <c r="B12823" t="n">
        <v>34401182</v>
      </c>
      <c r="C12823" s="2" t="n">
        <v>38790</v>
      </c>
      <c r="D12823" t="inlineStr">
        <is>
          <t>NOM</t>
        </is>
      </c>
      <c r="E12823" t="inlineStr">
        <is>
          <t>LG option TVSS galaxy PW 200kVA</t>
        </is>
      </c>
      <c r="F12823" t="inlineStr">
        <is>
          <t>Galaxy PW 200kVA</t>
        </is>
      </c>
      <c r="J12823" t="inlineStr">
        <is>
          <t>REVEL</t>
        </is>
      </c>
      <c r="L12823">
        <f>_xlfn.XLOOKUP(Tableau1[[#This Row],[TYPE DE PIECE]],Tableau4[MATIERE],Tableau4[SHORT TYPE],"",0,1)</f>
        <v/>
      </c>
      <c r="N12823">
        <f>IF(ISERR(FIND("DECOUPE",Tableau1[[#This Row],[DESIGNATION]])),"","NEED REF")</f>
        <v/>
      </c>
    </row>
    <row r="12824">
      <c r="B12824" t="n">
        <v>34401181</v>
      </c>
      <c r="C12824" s="2" t="n">
        <v>38786</v>
      </c>
      <c r="D12824" t="inlineStr">
        <is>
          <t>CDC</t>
        </is>
      </c>
      <c r="E12824" t="inlineStr">
        <is>
          <t>NS 2000 actif armoire de couplage</t>
        </is>
      </c>
      <c r="F12824" t="inlineStr">
        <is>
          <t>NS 2000kVA actif</t>
        </is>
      </c>
      <c r="J12824" t="inlineStr">
        <is>
          <t>REVEL</t>
        </is>
      </c>
      <c r="L12824">
        <f>_xlfn.XLOOKUP(Tableau1[[#This Row],[TYPE DE PIECE]],Tableau4[MATIERE],Tableau4[SHORT TYPE],"",0,1)</f>
        <v/>
      </c>
      <c r="N12824">
        <f>IF(ISERR(FIND("DECOUPE",Tableau1[[#This Row],[DESIGNATION]])),"","NEED REF")</f>
        <v/>
      </c>
    </row>
    <row r="12825">
      <c r="B12825" t="n">
        <v>34401180</v>
      </c>
      <c r="C12825" s="2" t="n">
        <v>38785</v>
      </c>
      <c r="D12825" t="inlineStr">
        <is>
          <t>CDC</t>
        </is>
      </c>
      <c r="E12825" t="inlineStr">
        <is>
          <t>Caillebotis marine arm batt SAREL(1X700+1x800)</t>
        </is>
      </c>
      <c r="F12825" t="inlineStr">
        <is>
          <t>GALAXY PW 80kVA</t>
        </is>
      </c>
      <c r="J12825" t="inlineStr">
        <is>
          <t>ROBERT</t>
        </is>
      </c>
      <c r="L12825">
        <f>_xlfn.XLOOKUP(Tableau1[[#This Row],[TYPE DE PIECE]],Tableau4[MATIERE],Tableau4[SHORT TYPE],"",0,1)</f>
        <v/>
      </c>
      <c r="N12825">
        <f>IF(ISERR(FIND("DECOUPE",Tableau1[[#This Row],[DESIGNATION]])),"","NEED REF")</f>
        <v/>
      </c>
    </row>
    <row r="12826">
      <c r="B12826" t="n">
        <v>34401179</v>
      </c>
      <c r="C12826" s="2" t="n">
        <v>38784</v>
      </c>
      <c r="D12826" t="inlineStr">
        <is>
          <t>NOM</t>
        </is>
      </c>
      <c r="E12826" t="inlineStr">
        <is>
          <t>LG ARM COUPLAGE BATT GAL 5000 40kVA</t>
        </is>
      </c>
      <c r="F12826" t="inlineStr">
        <is>
          <t>GALAXY 5000 40kVA</t>
        </is>
      </c>
      <c r="J12826" t="inlineStr">
        <is>
          <t>FOLTZ</t>
        </is>
      </c>
      <c r="L12826">
        <f>_xlfn.XLOOKUP(Tableau1[[#This Row],[TYPE DE PIECE]],Tableau4[MATIERE],Tableau4[SHORT TYPE],"",0,1)</f>
        <v/>
      </c>
      <c r="N12826">
        <f>IF(ISERR(FIND("DECOUPE",Tableau1[[#This Row],[DESIGNATION]])),"","NEED REF")</f>
        <v/>
      </c>
    </row>
    <row r="12827">
      <c r="B12827" t="n">
        <v>34401178</v>
      </c>
      <c r="C12827" s="2" t="n">
        <v>38784</v>
      </c>
      <c r="D12827" t="inlineStr">
        <is>
          <t>NOM</t>
        </is>
      </c>
      <c r="E12827" t="inlineStr">
        <is>
          <t>LG ARM COUPLAGE BATT GAL 5000 20-30kVA</t>
        </is>
      </c>
      <c r="F12827" t="inlineStr">
        <is>
          <t>GALAXY 5000 20-30kVA</t>
        </is>
      </c>
      <c r="J12827" t="inlineStr">
        <is>
          <t>FOLTZ</t>
        </is>
      </c>
      <c r="L12827">
        <f>_xlfn.XLOOKUP(Tableau1[[#This Row],[TYPE DE PIECE]],Tableau4[MATIERE],Tableau4[SHORT TYPE],"",0,1)</f>
        <v/>
      </c>
      <c r="N12827">
        <f>IF(ISERR(FIND("DECOUPE",Tableau1[[#This Row],[DESIGNATION]])),"","NEED REF")</f>
        <v/>
      </c>
    </row>
    <row r="12828">
      <c r="B12828" t="n">
        <v>34401177</v>
      </c>
      <c r="C12828" s="2" t="n">
        <v>38784</v>
      </c>
      <c r="D12828" t="inlineStr">
        <is>
          <t>CDC</t>
        </is>
      </c>
      <c r="E12828" t="inlineStr">
        <is>
          <t>Sous-traitance Kit de juxtaposition 6000</t>
        </is>
      </c>
      <c r="F12828" t="inlineStr">
        <is>
          <t>GALAXY 80kVA</t>
        </is>
      </c>
      <c r="J12828" t="inlineStr">
        <is>
          <t>ROBERT</t>
        </is>
      </c>
      <c r="L12828">
        <f>_xlfn.XLOOKUP(Tableau1[[#This Row],[TYPE DE PIECE]],Tableau4[MATIERE],Tableau4[SHORT TYPE],"",0,1)</f>
        <v/>
      </c>
      <c r="N12828">
        <f>IF(ISERR(FIND("DECOUPE",Tableau1[[#This Row],[DESIGNATION]])),"","NEED REF")</f>
        <v/>
      </c>
    </row>
    <row r="12829">
      <c r="B12829" t="n">
        <v>34401176</v>
      </c>
      <c r="C12829" s="2" t="n">
        <v>38784</v>
      </c>
      <c r="D12829" t="inlineStr">
        <is>
          <t>CDC</t>
        </is>
      </c>
      <c r="E12829" t="inlineStr">
        <is>
          <t>Sous-traitance arm batt sarel 700x800x2000</t>
        </is>
      </c>
      <c r="F12829" t="inlineStr">
        <is>
          <t>GALAXY 80kVA</t>
        </is>
      </c>
      <c r="J12829" t="inlineStr">
        <is>
          <t>ROBERT</t>
        </is>
      </c>
      <c r="L12829">
        <f>_xlfn.XLOOKUP(Tableau1[[#This Row],[TYPE DE PIECE]],Tableau4[MATIERE],Tableau4[SHORT TYPE],"",0,1)</f>
        <v/>
      </c>
      <c r="N12829">
        <f>IF(ISERR(FIND("DECOUPE",Tableau1[[#This Row],[DESIGNATION]])),"","NEED REF")</f>
        <v/>
      </c>
    </row>
    <row r="12830">
      <c r="B12830" t="n">
        <v>34401175</v>
      </c>
      <c r="C12830" s="2" t="n">
        <v>38784</v>
      </c>
      <c r="D12830" t="inlineStr">
        <is>
          <t>CDC</t>
        </is>
      </c>
      <c r="E12830" t="inlineStr">
        <is>
          <t>Sous-traitance arm batt sarel 800x800x2000</t>
        </is>
      </c>
      <c r="F12830" t="inlineStr">
        <is>
          <t>GALAXY 80kVA</t>
        </is>
      </c>
      <c r="J12830" t="inlineStr">
        <is>
          <t>ROBERT</t>
        </is>
      </c>
      <c r="L12830">
        <f>_xlfn.XLOOKUP(Tableau1[[#This Row],[TYPE DE PIECE]],Tableau4[MATIERE],Tableau4[SHORT TYPE],"",0,1)</f>
        <v/>
      </c>
      <c r="N12830">
        <f>IF(ISERR(FIND("DECOUPE",Tableau1[[#This Row],[DESIGNATION]])),"","NEED REF")</f>
        <v/>
      </c>
    </row>
    <row r="12831">
      <c r="B12831" t="n">
        <v>34401174</v>
      </c>
      <c r="C12831" s="2" t="n">
        <v>38784</v>
      </c>
      <c r="D12831" t="inlineStr">
        <is>
          <t>NOM</t>
        </is>
      </c>
      <c r="E12831" t="inlineStr">
        <is>
          <t>LG ARM COUPLAGE BATT GAL5000 100-120kVA</t>
        </is>
      </c>
      <c r="F12831" t="inlineStr">
        <is>
          <t>GALAXY 5000 100-120kVA</t>
        </is>
      </c>
      <c r="J12831" t="inlineStr">
        <is>
          <t>FOLTZ</t>
        </is>
      </c>
      <c r="L12831">
        <f>_xlfn.XLOOKUP(Tableau1[[#This Row],[TYPE DE PIECE]],Tableau4[MATIERE],Tableau4[SHORT TYPE],"",0,1)</f>
        <v/>
      </c>
      <c r="N12831">
        <f>IF(ISERR(FIND("DECOUPE",Tableau1[[#This Row],[DESIGNATION]])),"","NEED REF")</f>
        <v/>
      </c>
    </row>
    <row r="12832">
      <c r="B12832" t="n">
        <v>34401173</v>
      </c>
      <c r="C12832" s="2" t="n">
        <v>38784</v>
      </c>
      <c r="D12832" t="inlineStr">
        <is>
          <t>CDC</t>
        </is>
      </c>
      <c r="E12832" t="inlineStr">
        <is>
          <t>MODIFICATION FAHD EN FAH</t>
        </is>
      </c>
      <c r="F12832" t="inlineStr">
        <is>
          <t>FAHD800KVA</t>
        </is>
      </c>
      <c r="J12832" t="inlineStr">
        <is>
          <t>REVEL</t>
        </is>
      </c>
      <c r="L12832">
        <f>_xlfn.XLOOKUP(Tableau1[[#This Row],[TYPE DE PIECE]],Tableau4[MATIERE],Tableau4[SHORT TYPE],"",0,1)</f>
        <v/>
      </c>
      <c r="N12832">
        <f>IF(ISERR(FIND("DECOUPE",Tableau1[[#This Row],[DESIGNATION]])),"","NEED REF")</f>
        <v/>
      </c>
    </row>
    <row r="12833">
      <c r="B12833" t="n">
        <v>34401172</v>
      </c>
      <c r="C12833" s="2" t="n">
        <v>38784</v>
      </c>
      <c r="D12833" t="inlineStr">
        <is>
          <t>SPEC</t>
        </is>
      </c>
      <c r="E12833" t="inlineStr">
        <is>
          <t>IP32 TOIT ARM INTERRUPTEUR NS 2000</t>
        </is>
      </c>
      <c r="F12833" t="inlineStr">
        <is>
          <t>GALAXY 6000</t>
        </is>
      </c>
      <c r="J12833" t="inlineStr">
        <is>
          <t>ROBERT</t>
        </is>
      </c>
      <c r="L12833">
        <f>_xlfn.XLOOKUP(Tableau1[[#This Row],[TYPE DE PIECE]],Tableau4[MATIERE],Tableau4[SHORT TYPE],"",0,1)</f>
        <v/>
      </c>
      <c r="N12833">
        <f>IF(ISERR(FIND("DECOUPE",Tableau1[[#This Row],[DESIGNATION]])),"","NEED REF")</f>
        <v/>
      </c>
    </row>
    <row r="12834">
      <c r="B12834" t="n">
        <v>34401171</v>
      </c>
      <c r="C12834" s="2" t="n">
        <v>38783</v>
      </c>
      <c r="D12834" t="inlineStr">
        <is>
          <t>CDC</t>
        </is>
      </c>
      <c r="E12834" t="inlineStr">
        <is>
          <t>GAINE DE RACCORDEMENT POUR 4 ASI</t>
        </is>
      </c>
      <c r="F12834" t="inlineStr">
        <is>
          <t>NS 800kVA</t>
        </is>
      </c>
      <c r="J12834" t="inlineStr">
        <is>
          <t>REVEL</t>
        </is>
      </c>
      <c r="L12834">
        <f>_xlfn.XLOOKUP(Tableau1[[#This Row],[TYPE DE PIECE]],Tableau4[MATIERE],Tableau4[SHORT TYPE],"",0,1)</f>
        <v/>
      </c>
      <c r="N12834">
        <f>IF(ISERR(FIND("DECOUPE",Tableau1[[#This Row],[DESIGNATION]])),"","NEED REF")</f>
        <v/>
      </c>
    </row>
    <row r="12835">
      <c r="B12835" t="n">
        <v>34401170</v>
      </c>
      <c r="C12835" s="2" t="n">
        <v>38783</v>
      </c>
      <c r="D12835" t="inlineStr">
        <is>
          <t>CDC</t>
        </is>
      </c>
      <c r="E12835" t="inlineStr">
        <is>
          <t>ARMOIRE DE COUPLAGE AVAL 6xINS630 + NS2000</t>
        </is>
      </c>
      <c r="F12835" t="inlineStr">
        <is>
          <t xml:space="preserve">Ns 2000kVA </t>
        </is>
      </c>
      <c r="J12835" t="inlineStr">
        <is>
          <t>REVEL</t>
        </is>
      </c>
      <c r="L12835">
        <f>_xlfn.XLOOKUP(Tableau1[[#This Row],[TYPE DE PIECE]],Tableau4[MATIERE],Tableau4[SHORT TYPE],"",0,1)</f>
        <v/>
      </c>
      <c r="N12835">
        <f>IF(ISERR(FIND("DECOUPE",Tableau1[[#This Row],[DESIGNATION]])),"","NEED REF")</f>
        <v/>
      </c>
    </row>
    <row r="12836">
      <c r="B12836" t="n">
        <v>34401169</v>
      </c>
      <c r="C12836" s="2" t="n">
        <v>38782</v>
      </c>
      <c r="D12836" t="inlineStr">
        <is>
          <t>SPEC</t>
        </is>
      </c>
      <c r="E12836" t="inlineStr">
        <is>
          <t>SURTOIT IP NS 2000</t>
        </is>
      </c>
      <c r="F12836" t="inlineStr">
        <is>
          <t>GALAXY 6000</t>
        </is>
      </c>
      <c r="J12836" t="inlineStr">
        <is>
          <t>ROBERT</t>
        </is>
      </c>
      <c r="L12836">
        <f>_xlfn.XLOOKUP(Tableau1[[#This Row],[TYPE DE PIECE]],Tableau4[MATIERE],Tableau4[SHORT TYPE],"",0,1)</f>
        <v/>
      </c>
      <c r="N12836">
        <f>IF(ISERR(FIND("DECOUPE",Tableau1[[#This Row],[DESIGNATION]])),"","NEED REF")</f>
        <v/>
      </c>
    </row>
    <row r="12837">
      <c r="B12837" t="n">
        <v>34401168</v>
      </c>
      <c r="C12837" s="2" t="n">
        <v>38779</v>
      </c>
      <c r="D12837" t="inlineStr">
        <is>
          <t>CDC</t>
        </is>
      </c>
      <c r="E12837" t="inlineStr">
        <is>
          <t>CHASSIS CHAISE POUR PW et Armoire BATT 1015 et Armoire aux 715</t>
        </is>
      </c>
      <c r="F12837" t="inlineStr">
        <is>
          <t>INEO POUR CEA</t>
        </is>
      </c>
      <c r="J12837" t="inlineStr">
        <is>
          <t>FERRIER</t>
        </is>
      </c>
      <c r="L12837">
        <f>_xlfn.XLOOKUP(Tableau1[[#This Row],[TYPE DE PIECE]],Tableau4[MATIERE],Tableau4[SHORT TYPE],"",0,1)</f>
        <v/>
      </c>
      <c r="N12837">
        <f>IF(ISERR(FIND("DECOUPE",Tableau1[[#This Row],[DESIGNATION]])),"","NEED REF")</f>
        <v/>
      </c>
    </row>
    <row r="12838">
      <c r="B12838" t="n">
        <v>34401167</v>
      </c>
      <c r="C12838" s="2" t="n">
        <v>38779</v>
      </c>
      <c r="D12838" t="inlineStr">
        <is>
          <t>NOM</t>
        </is>
      </c>
      <c r="E12838" t="inlineStr">
        <is>
          <t>GALAXY 800kVA U=&gt;PSEUDO MOD+PACK ADVANCED+TI</t>
        </is>
      </c>
      <c r="F12838" t="inlineStr">
        <is>
          <t xml:space="preserve">GALAXY PSEUDO MOD        </t>
        </is>
      </c>
      <c r="J12838" t="inlineStr">
        <is>
          <t>FOLTZ</t>
        </is>
      </c>
      <c r="L12838">
        <f>_xlfn.XLOOKUP(Tableau1[[#This Row],[TYPE DE PIECE]],Tableau4[MATIERE],Tableau4[SHORT TYPE],"",0,1)</f>
        <v/>
      </c>
      <c r="N12838">
        <f>IF(ISERR(FIND("DECOUPE",Tableau1[[#This Row],[DESIGNATION]])),"","NEED REF")</f>
        <v/>
      </c>
    </row>
    <row r="12839">
      <c r="B12839" t="n">
        <v>34401166</v>
      </c>
      <c r="C12839" s="2" t="n">
        <v>38779</v>
      </c>
      <c r="D12839" t="inlineStr">
        <is>
          <t>NOM</t>
        </is>
      </c>
      <c r="E12839" t="inlineStr">
        <is>
          <t>GALAXY 800kVA U=&gt;PSEUDO MOD+PACK ADVANCED</t>
        </is>
      </c>
      <c r="F12839" t="inlineStr">
        <is>
          <t xml:space="preserve">GALAXY PSEUDO MOD        </t>
        </is>
      </c>
      <c r="J12839" t="inlineStr">
        <is>
          <t>FOLTZ</t>
        </is>
      </c>
      <c r="L12839">
        <f>_xlfn.XLOOKUP(Tableau1[[#This Row],[TYPE DE PIECE]],Tableau4[MATIERE],Tableau4[SHORT TYPE],"",0,1)</f>
        <v/>
      </c>
      <c r="N12839">
        <f>IF(ISERR(FIND("DECOUPE",Tableau1[[#This Row],[DESIGNATION]])),"","NEED REF")</f>
        <v/>
      </c>
    </row>
    <row r="12840">
      <c r="B12840" t="n">
        <v>34401165</v>
      </c>
      <c r="C12840" s="2" t="n">
        <v>38778</v>
      </c>
      <c r="D12840" t="inlineStr">
        <is>
          <t>SPEC</t>
        </is>
      </c>
      <c r="E12840" t="inlineStr">
        <is>
          <t>LIMANDE PROLONGATEUR POUR CARTE FHCZ</t>
        </is>
      </c>
      <c r="F12840" t="inlineStr">
        <is>
          <t>GALAXY AVEC FAHD OU THMG</t>
        </is>
      </c>
      <c r="J12840" t="inlineStr">
        <is>
          <t>FERRIER</t>
        </is>
      </c>
      <c r="L12840">
        <f>_xlfn.XLOOKUP(Tableau1[[#This Row],[TYPE DE PIECE]],Tableau4[MATIERE],Tableau4[SHORT TYPE],"",0,1)</f>
        <v/>
      </c>
      <c r="N12840">
        <f>IF(ISERR(FIND("DECOUPE",Tableau1[[#This Row],[DESIGNATION]])),"","NEED REF")</f>
        <v/>
      </c>
    </row>
    <row r="12841">
      <c r="B12841" t="n">
        <v>34401164</v>
      </c>
      <c r="C12841" s="2" t="n">
        <v>38776</v>
      </c>
      <c r="E12841" t="inlineStr">
        <is>
          <t>réservé         EPROM AROC AD v02 DI35</t>
        </is>
      </c>
      <c r="F12841" t="inlineStr">
        <is>
          <t>G6K toutes versions</t>
        </is>
      </c>
      <c r="J12841" t="inlineStr">
        <is>
          <t>FERRIER</t>
        </is>
      </c>
      <c r="L12841">
        <f>_xlfn.XLOOKUP(Tableau1[[#This Row],[TYPE DE PIECE]],Tableau4[MATIERE],Tableau4[SHORT TYPE],"",0,1)</f>
        <v/>
      </c>
      <c r="N12841">
        <f>IF(ISERR(FIND("DECOUPE",Tableau1[[#This Row],[DESIGNATION]])),"","NEED REF")</f>
        <v/>
      </c>
    </row>
    <row r="12842">
      <c r="B12842" t="n">
        <v>34401163</v>
      </c>
      <c r="C12842" s="2" t="n">
        <v>38776</v>
      </c>
      <c r="E12842" t="inlineStr">
        <is>
          <t>réservé        CARTE AROC - G6000</t>
        </is>
      </c>
      <c r="F12842" t="inlineStr">
        <is>
          <t>G6K toutes versions</t>
        </is>
      </c>
      <c r="J12842" t="inlineStr">
        <is>
          <t>FERRIER</t>
        </is>
      </c>
      <c r="L12842">
        <f>_xlfn.XLOOKUP(Tableau1[[#This Row],[TYPE DE PIECE]],Tableau4[MATIERE],Tableau4[SHORT TYPE],"",0,1)</f>
        <v/>
      </c>
      <c r="N12842">
        <f>IF(ISERR(FIND("DECOUPE",Tableau1[[#This Row],[DESIGNATION]])),"","NEED REF")</f>
        <v/>
      </c>
    </row>
    <row r="12843">
      <c r="B12843" t="n">
        <v>34401162</v>
      </c>
      <c r="C12843" s="2" t="n">
        <v>38776</v>
      </c>
      <c r="E12843" t="inlineStr">
        <is>
          <t>EPROM AROZ D5 v02 DI35</t>
        </is>
      </c>
      <c r="F12843" t="inlineStr">
        <is>
          <t>G6K toutes versions</t>
        </is>
      </c>
      <c r="J12843" t="inlineStr">
        <is>
          <t>FERRIER</t>
        </is>
      </c>
      <c r="L12843">
        <f>_xlfn.XLOOKUP(Tableau1[[#This Row],[TYPE DE PIECE]],Tableau4[MATIERE],Tableau4[SHORT TYPE],"",0,1)</f>
        <v/>
      </c>
      <c r="N12843">
        <f>IF(ISERR(FIND("DECOUPE",Tableau1[[#This Row],[DESIGNATION]])),"","NEED REF")</f>
        <v/>
      </c>
    </row>
    <row r="12844">
      <c r="B12844" t="n">
        <v>34401161</v>
      </c>
      <c r="C12844" s="2" t="n">
        <v>38776</v>
      </c>
      <c r="E12844" t="inlineStr">
        <is>
          <t>CARTE AROZ - G6000</t>
        </is>
      </c>
      <c r="F12844" t="inlineStr">
        <is>
          <t>G6K toutes versions</t>
        </is>
      </c>
      <c r="J12844" t="inlineStr">
        <is>
          <t>FERRIER</t>
        </is>
      </c>
      <c r="L12844">
        <f>_xlfn.XLOOKUP(Tableau1[[#This Row],[TYPE DE PIECE]],Tableau4[MATIERE],Tableau4[SHORT TYPE],"",0,1)</f>
        <v/>
      </c>
      <c r="N12844">
        <f>IF(ISERR(FIND("DECOUPE",Tableau1[[#This Row],[DESIGNATION]])),"","NEED REF")</f>
        <v/>
      </c>
    </row>
    <row r="12845">
      <c r="B12845" t="n">
        <v>34401160</v>
      </c>
      <c r="C12845" s="2" t="n">
        <v>38776</v>
      </c>
      <c r="E12845" t="inlineStr">
        <is>
          <t>EPROM CROZ D3 v02 DI48</t>
        </is>
      </c>
      <c r="F12845" t="inlineStr">
        <is>
          <t>G6K toutes versions</t>
        </is>
      </c>
      <c r="J12845" t="inlineStr">
        <is>
          <t>FERRIER</t>
        </is>
      </c>
      <c r="L12845">
        <f>_xlfn.XLOOKUP(Tableau1[[#This Row],[TYPE DE PIECE]],Tableau4[MATIERE],Tableau4[SHORT TYPE],"",0,1)</f>
        <v/>
      </c>
      <c r="N12845">
        <f>IF(ISERR(FIND("DECOUPE",Tableau1[[#This Row],[DESIGNATION]])),"","NEED REF")</f>
        <v/>
      </c>
    </row>
    <row r="12846">
      <c r="B12846" t="n">
        <v>34401159</v>
      </c>
      <c r="C12846" s="2" t="n">
        <v>38776</v>
      </c>
      <c r="E12846" t="inlineStr">
        <is>
          <t>CARTE CROZ - G6000</t>
        </is>
      </c>
      <c r="F12846" t="inlineStr">
        <is>
          <t>G6K toutes versions</t>
        </is>
      </c>
      <c r="J12846" t="inlineStr">
        <is>
          <t>FERRIER</t>
        </is>
      </c>
      <c r="L12846">
        <f>_xlfn.XLOOKUP(Tableau1[[#This Row],[TYPE DE PIECE]],Tableau4[MATIERE],Tableau4[SHORT TYPE],"",0,1)</f>
        <v/>
      </c>
      <c r="N12846">
        <f>IF(ISERR(FIND("DECOUPE",Tableau1[[#This Row],[DESIGNATION]])),"","NEED REF")</f>
        <v/>
      </c>
    </row>
    <row r="12847">
      <c r="B12847" t="n">
        <v>34401158</v>
      </c>
      <c r="C12847" s="2" t="n">
        <v>38776</v>
      </c>
      <c r="E12847" t="inlineStr">
        <is>
          <t>EPROM CRIZ D4 v02 DI50</t>
        </is>
      </c>
      <c r="F12847" t="inlineStr">
        <is>
          <t>G6K toutes versions</t>
        </is>
      </c>
      <c r="J12847" t="inlineStr">
        <is>
          <t>FERRIER</t>
        </is>
      </c>
      <c r="L12847">
        <f>_xlfn.XLOOKUP(Tableau1[[#This Row],[TYPE DE PIECE]],Tableau4[MATIERE],Tableau4[SHORT TYPE],"",0,1)</f>
        <v/>
      </c>
      <c r="N12847">
        <f>IF(ISERR(FIND("DECOUPE",Tableau1[[#This Row],[DESIGNATION]])),"","NEED REF")</f>
        <v/>
      </c>
    </row>
    <row r="12848">
      <c r="B12848" t="n">
        <v>34401157</v>
      </c>
      <c r="C12848" s="2" t="n">
        <v>38776</v>
      </c>
      <c r="E12848" t="inlineStr">
        <is>
          <t>CARTE CRIZ - G6000</t>
        </is>
      </c>
      <c r="F12848" t="inlineStr">
        <is>
          <t>G6K toutes versions</t>
        </is>
      </c>
      <c r="J12848" t="inlineStr">
        <is>
          <t>FERRIER</t>
        </is>
      </c>
      <c r="L12848">
        <f>_xlfn.XLOOKUP(Tableau1[[#This Row],[TYPE DE PIECE]],Tableau4[MATIERE],Tableau4[SHORT TYPE],"",0,1)</f>
        <v/>
      </c>
      <c r="N12848">
        <f>IF(ISERR(FIND("DECOUPE",Tableau1[[#This Row],[DESIGNATION]])),"","NEED REF")</f>
        <v/>
      </c>
    </row>
    <row r="12849">
      <c r="B12849" t="n">
        <v>34401156</v>
      </c>
      <c r="C12849" s="2" t="n">
        <v>38776</v>
      </c>
      <c r="E12849" t="inlineStr">
        <is>
          <t>EPROM GT2Z - G6000 ACQ K1 v03 DI26</t>
        </is>
      </c>
      <c r="F12849" t="inlineStr">
        <is>
          <t>G6K toutes versions</t>
        </is>
      </c>
      <c r="J12849" t="inlineStr">
        <is>
          <t>FERRIER</t>
        </is>
      </c>
      <c r="L12849">
        <f>_xlfn.XLOOKUP(Tableau1[[#This Row],[TYPE DE PIECE]],Tableau4[MATIERE],Tableau4[SHORT TYPE],"",0,1)</f>
        <v/>
      </c>
      <c r="N12849">
        <f>IF(ISERR(FIND("DECOUPE",Tableau1[[#This Row],[DESIGNATION]])),"","NEED REF")</f>
        <v/>
      </c>
    </row>
    <row r="12850">
      <c r="B12850" t="n">
        <v>34401155</v>
      </c>
      <c r="C12850" s="2" t="n">
        <v>38776</v>
      </c>
      <c r="E12850" t="inlineStr">
        <is>
          <t>CARTE GT2Z - G6000</t>
        </is>
      </c>
      <c r="F12850" t="inlineStr">
        <is>
          <t>G6K toutes versions</t>
        </is>
      </c>
      <c r="J12850" t="inlineStr">
        <is>
          <t>FERRIER</t>
        </is>
      </c>
      <c r="L12850">
        <f>_xlfn.XLOOKUP(Tableau1[[#This Row],[TYPE DE PIECE]],Tableau4[MATIERE],Tableau4[SHORT TYPE],"",0,1)</f>
        <v/>
      </c>
      <c r="N12850">
        <f>IF(ISERR(FIND("DECOUPE",Tableau1[[#This Row],[DESIGNATION]])),"","NEED REF")</f>
        <v/>
      </c>
    </row>
    <row r="12851">
      <c r="B12851" t="n">
        <v>34401154</v>
      </c>
      <c r="C12851" s="2" t="n">
        <v>38776</v>
      </c>
      <c r="E12851" t="inlineStr">
        <is>
          <t>EPROM GTCZ/GT2Z COM M2 v02 DI41&amp;42</t>
        </is>
      </c>
      <c r="F12851" t="inlineStr">
        <is>
          <t>G6K toutes versions</t>
        </is>
      </c>
      <c r="J12851" t="inlineStr">
        <is>
          <t>FERRIER</t>
        </is>
      </c>
      <c r="L12851">
        <f>_xlfn.XLOOKUP(Tableau1[[#This Row],[TYPE DE PIECE]],Tableau4[MATIERE],Tableau4[SHORT TYPE],"",0,1)</f>
        <v/>
      </c>
      <c r="N12851">
        <f>IF(ISERR(FIND("DECOUPE",Tableau1[[#This Row],[DESIGNATION]])),"","NEED REF")</f>
        <v/>
      </c>
    </row>
    <row r="12852">
      <c r="B12852" t="n">
        <v>34401153</v>
      </c>
      <c r="C12852" s="2" t="n">
        <v>38776</v>
      </c>
      <c r="E12852" t="inlineStr">
        <is>
          <t>EPROM GTCZ ACQ k1-v03 DI26</t>
        </is>
      </c>
      <c r="F12852" t="inlineStr">
        <is>
          <t>G6K toutes versions</t>
        </is>
      </c>
      <c r="J12852" t="inlineStr">
        <is>
          <t>FERRIER</t>
        </is>
      </c>
      <c r="L12852">
        <f>_xlfn.XLOOKUP(Tableau1[[#This Row],[TYPE DE PIECE]],Tableau4[MATIERE],Tableau4[SHORT TYPE],"",0,1)</f>
        <v/>
      </c>
      <c r="N12852">
        <f>IF(ISERR(FIND("DECOUPE",Tableau1[[#This Row],[DESIGNATION]])),"","NEED REF")</f>
        <v/>
      </c>
    </row>
    <row r="12853">
      <c r="B12853" t="n">
        <v>34401152</v>
      </c>
      <c r="C12853" s="2" t="n">
        <v>38776</v>
      </c>
      <c r="E12853" t="inlineStr">
        <is>
          <t>CARTE GTCZ - G6000</t>
        </is>
      </c>
      <c r="F12853" t="inlineStr">
        <is>
          <t>G6K toutes versions</t>
        </is>
      </c>
      <c r="J12853" t="inlineStr">
        <is>
          <t>FERRIER</t>
        </is>
      </c>
      <c r="L12853">
        <f>_xlfn.XLOOKUP(Tableau1[[#This Row],[TYPE DE PIECE]],Tableau4[MATIERE],Tableau4[SHORT TYPE],"",0,1)</f>
        <v/>
      </c>
      <c r="N12853">
        <f>IF(ISERR(FIND("DECOUPE",Tableau1[[#This Row],[DESIGNATION]])),"","NEED REF")</f>
        <v/>
      </c>
    </row>
    <row r="12854">
      <c r="B12854" t="n">
        <v>34401151</v>
      </c>
      <c r="C12854" s="2" t="n">
        <v>38776</v>
      </c>
      <c r="D12854" t="inlineStr">
        <is>
          <t>SPEC</t>
        </is>
      </c>
      <c r="E12854" t="inlineStr">
        <is>
          <t>SURTOIT IP GAINE PACK ADVANCE (400 mm) 500kVA</t>
        </is>
      </c>
      <c r="F12854" t="inlineStr">
        <is>
          <t>GALAXY 6000</t>
        </is>
      </c>
      <c r="J12854" t="inlineStr">
        <is>
          <t>ROBERT</t>
        </is>
      </c>
      <c r="L12854">
        <f>_xlfn.XLOOKUP(Tableau1[[#This Row],[TYPE DE PIECE]],Tableau4[MATIERE],Tableau4[SHORT TYPE],"",0,1)</f>
        <v/>
      </c>
      <c r="N12854">
        <f>IF(ISERR(FIND("DECOUPE",Tableau1[[#This Row],[DESIGNATION]])),"","NEED REF")</f>
        <v/>
      </c>
    </row>
    <row r="12855">
      <c r="B12855" t="n">
        <v>34401150</v>
      </c>
      <c r="C12855" s="2" t="n">
        <v>38776</v>
      </c>
      <c r="D12855" t="inlineStr">
        <is>
          <t>NOM</t>
        </is>
      </c>
      <c r="E12855" t="inlineStr">
        <is>
          <t>LG ARM COUPLAGE BATT GAL 5000 60-80kVA</t>
        </is>
      </c>
      <c r="F12855" t="inlineStr">
        <is>
          <t>GALAXY 5000 60-80kVA</t>
        </is>
      </c>
      <c r="J12855" t="inlineStr">
        <is>
          <t>FOLTZ</t>
        </is>
      </c>
      <c r="L12855">
        <f>_xlfn.XLOOKUP(Tableau1[[#This Row],[TYPE DE PIECE]],Tableau4[MATIERE],Tableau4[SHORT TYPE],"",0,1)</f>
        <v/>
      </c>
      <c r="N12855">
        <f>IF(ISERR(FIND("DECOUPE",Tableau1[[#This Row],[DESIGNATION]])),"","NEED REF")</f>
        <v/>
      </c>
    </row>
    <row r="12856">
      <c r="B12856" t="n">
        <v>34401149</v>
      </c>
      <c r="C12856" s="2" t="n">
        <v>38772</v>
      </c>
      <c r="D12856" t="inlineStr">
        <is>
          <t>SPEC</t>
        </is>
      </c>
      <c r="E12856" t="inlineStr">
        <is>
          <t>ATFO PHASE SHIFTING 479kVA 400V +/-10°</t>
        </is>
      </c>
      <c r="J12856" t="inlineStr">
        <is>
          <t>REVEL</t>
        </is>
      </c>
      <c r="L12856">
        <f>_xlfn.XLOOKUP(Tableau1[[#This Row],[TYPE DE PIECE]],Tableau4[MATIERE],Tableau4[SHORT TYPE],"",0,1)</f>
        <v/>
      </c>
      <c r="N12856">
        <f>IF(ISERR(FIND("DECOUPE",Tableau1[[#This Row],[DESIGNATION]])),"","NEED REF")</f>
        <v/>
      </c>
    </row>
    <row r="12857">
      <c r="B12857" t="n">
        <v>34401148</v>
      </c>
      <c r="C12857" s="2" t="n">
        <v>38771</v>
      </c>
      <c r="D12857" t="inlineStr">
        <is>
          <t>SPEC</t>
        </is>
      </c>
      <c r="E12857" t="inlineStr">
        <is>
          <t>SURTOIT GAIN &amp; ADVANCE L=400 IP**</t>
        </is>
      </c>
      <c r="F12857" t="inlineStr">
        <is>
          <t xml:space="preserve">GALAXY </t>
        </is>
      </c>
      <c r="J12857" t="inlineStr">
        <is>
          <t>ÇAKIR</t>
        </is>
      </c>
      <c r="L12857">
        <f>_xlfn.XLOOKUP(Tableau1[[#This Row],[TYPE DE PIECE]],Tableau4[MATIERE],Tableau4[SHORT TYPE],"",0,1)</f>
        <v/>
      </c>
      <c r="N12857">
        <f>IF(ISERR(FIND("DECOUPE",Tableau1[[#This Row],[DESIGNATION]])),"","NEED REF")</f>
        <v/>
      </c>
    </row>
    <row r="12858">
      <c r="B12858" t="n">
        <v>34401147</v>
      </c>
      <c r="C12858" s="2" t="n">
        <v>38770</v>
      </c>
      <c r="D12858" t="inlineStr">
        <is>
          <t>CDC</t>
        </is>
      </c>
      <c r="E12858" t="inlineStr">
        <is>
          <t>NS 2000 actif armoire de couplage</t>
        </is>
      </c>
      <c r="F12858" t="inlineStr">
        <is>
          <t>NS 2000kVA actif</t>
        </is>
      </c>
      <c r="J12858" t="inlineStr">
        <is>
          <t>REVEL</t>
        </is>
      </c>
      <c r="L12858">
        <f>_xlfn.XLOOKUP(Tableau1[[#This Row],[TYPE DE PIECE]],Tableau4[MATIERE],Tableau4[SHORT TYPE],"",0,1)</f>
        <v/>
      </c>
      <c r="N12858">
        <f>IF(ISERR(FIND("DECOUPE",Tableau1[[#This Row],[DESIGNATION]])),"","NEED REF")</f>
        <v/>
      </c>
    </row>
    <row r="12859">
      <c r="B12859" t="n">
        <v>34401146</v>
      </c>
      <c r="C12859" s="2" t="n">
        <v>38770</v>
      </c>
      <c r="D12859" t="inlineStr">
        <is>
          <t>SPEC</t>
        </is>
      </c>
      <c r="E12859" t="inlineStr">
        <is>
          <t>LIMANDE G5K COURANT ECHANGE LG 80 METRES</t>
        </is>
      </c>
      <c r="F12859" t="inlineStr">
        <is>
          <t>G5K</t>
        </is>
      </c>
      <c r="J12859" t="inlineStr">
        <is>
          <t>PLUET</t>
        </is>
      </c>
      <c r="L12859">
        <f>_xlfn.XLOOKUP(Tableau1[[#This Row],[TYPE DE PIECE]],Tableau4[MATIERE],Tableau4[SHORT TYPE],"",0,1)</f>
        <v/>
      </c>
      <c r="N12859">
        <f>IF(ISERR(FIND("DECOUPE",Tableau1[[#This Row],[DESIGNATION]])),"","NEED REF")</f>
        <v/>
      </c>
    </row>
    <row r="12860">
      <c r="B12860" t="n">
        <v>34401145</v>
      </c>
      <c r="C12860" s="2" t="n">
        <v>38770</v>
      </c>
      <c r="D12860" t="inlineStr">
        <is>
          <t>SPEC</t>
        </is>
      </c>
      <c r="E12860" t="inlineStr">
        <is>
          <t>LIMANDE G5K COURANT ECHANGE LG 60 METRES</t>
        </is>
      </c>
      <c r="F12860" t="inlineStr">
        <is>
          <t>G5K</t>
        </is>
      </c>
      <c r="J12860" t="inlineStr">
        <is>
          <t>PLUET</t>
        </is>
      </c>
      <c r="L12860">
        <f>_xlfn.XLOOKUP(Tableau1[[#This Row],[TYPE DE PIECE]],Tableau4[MATIERE],Tableau4[SHORT TYPE],"",0,1)</f>
        <v/>
      </c>
      <c r="N12860">
        <f>IF(ISERR(FIND("DECOUPE",Tableau1[[#This Row],[DESIGNATION]])),"","NEED REF")</f>
        <v/>
      </c>
    </row>
    <row r="12861">
      <c r="B12861" t="n">
        <v>34401144</v>
      </c>
      <c r="C12861" s="2" t="n">
        <v>38770</v>
      </c>
      <c r="D12861" t="inlineStr">
        <is>
          <t>SPEC</t>
        </is>
      </c>
      <c r="E12861" t="inlineStr">
        <is>
          <t>LIMANDE G5K COURANT ECHANGE LG 40 METRES</t>
        </is>
      </c>
      <c r="F12861" t="inlineStr">
        <is>
          <t>G5K</t>
        </is>
      </c>
      <c r="J12861" t="inlineStr">
        <is>
          <t>PLUET</t>
        </is>
      </c>
      <c r="L12861">
        <f>_xlfn.XLOOKUP(Tableau1[[#This Row],[TYPE DE PIECE]],Tableau4[MATIERE],Tableau4[SHORT TYPE],"",0,1)</f>
        <v/>
      </c>
      <c r="N12861">
        <f>IF(ISERR(FIND("DECOUPE",Tableau1[[#This Row],[DESIGNATION]])),"","NEED REF")</f>
        <v/>
      </c>
    </row>
    <row r="12862">
      <c r="B12862" t="n">
        <v>34401143</v>
      </c>
      <c r="C12862" s="2" t="n">
        <v>38770</v>
      </c>
      <c r="D12862" t="inlineStr">
        <is>
          <t>SPEC</t>
        </is>
      </c>
      <c r="E12862" t="inlineStr">
        <is>
          <t>LIMANDE G5K COURANT ECHANGE LG 20 METRES</t>
        </is>
      </c>
      <c r="F12862" t="inlineStr">
        <is>
          <t>G5K</t>
        </is>
      </c>
      <c r="J12862" t="inlineStr">
        <is>
          <t>PLUET</t>
        </is>
      </c>
      <c r="L12862">
        <f>_xlfn.XLOOKUP(Tableau1[[#This Row],[TYPE DE PIECE]],Tableau4[MATIERE],Tableau4[SHORT TYPE],"",0,1)</f>
        <v/>
      </c>
      <c r="N12862">
        <f>IF(ISERR(FIND("DECOUPE",Tableau1[[#This Row],[DESIGNATION]])),"","NEED REF")</f>
        <v/>
      </c>
    </row>
    <row r="12863">
      <c r="B12863" t="n">
        <v>34401142</v>
      </c>
      <c r="C12863" s="2" t="n">
        <v>38770</v>
      </c>
      <c r="D12863" t="inlineStr">
        <is>
          <t>SPEC</t>
        </is>
      </c>
      <c r="E12863" t="inlineStr">
        <is>
          <t>LIMANDE G5K BUS CAN LG 80 METRES</t>
        </is>
      </c>
      <c r="F12863" t="inlineStr">
        <is>
          <t>G5K</t>
        </is>
      </c>
      <c r="J12863" t="inlineStr">
        <is>
          <t>PLUET</t>
        </is>
      </c>
      <c r="L12863">
        <f>_xlfn.XLOOKUP(Tableau1[[#This Row],[TYPE DE PIECE]],Tableau4[MATIERE],Tableau4[SHORT TYPE],"",0,1)</f>
        <v/>
      </c>
      <c r="N12863">
        <f>IF(ISERR(FIND("DECOUPE",Tableau1[[#This Row],[DESIGNATION]])),"","NEED REF")</f>
        <v/>
      </c>
    </row>
    <row r="12864">
      <c r="B12864" t="n">
        <v>34401141</v>
      </c>
      <c r="C12864" s="2" t="n">
        <v>38770</v>
      </c>
      <c r="D12864" t="inlineStr">
        <is>
          <t>SPEC</t>
        </is>
      </c>
      <c r="E12864" t="inlineStr">
        <is>
          <t>LIMANDE G5K BUS CAN LG 60 METRES</t>
        </is>
      </c>
      <c r="F12864" t="inlineStr">
        <is>
          <t>G5K</t>
        </is>
      </c>
      <c r="J12864" t="inlineStr">
        <is>
          <t>PLUET</t>
        </is>
      </c>
      <c r="L12864">
        <f>_xlfn.XLOOKUP(Tableau1[[#This Row],[TYPE DE PIECE]],Tableau4[MATIERE],Tableau4[SHORT TYPE],"",0,1)</f>
        <v/>
      </c>
      <c r="N12864">
        <f>IF(ISERR(FIND("DECOUPE",Tableau1[[#This Row],[DESIGNATION]])),"","NEED REF")</f>
        <v/>
      </c>
    </row>
    <row r="12865">
      <c r="B12865" t="n">
        <v>34401140</v>
      </c>
      <c r="C12865" s="2" t="n">
        <v>38770</v>
      </c>
      <c r="D12865" t="inlineStr">
        <is>
          <t>SPEC</t>
        </is>
      </c>
      <c r="E12865" t="inlineStr">
        <is>
          <t>LIMANDE G5K BUS CAN LG 40 METRES</t>
        </is>
      </c>
      <c r="F12865" t="inlineStr">
        <is>
          <t>G5K</t>
        </is>
      </c>
      <c r="J12865" t="inlineStr">
        <is>
          <t>PLUET</t>
        </is>
      </c>
      <c r="L12865">
        <f>_xlfn.XLOOKUP(Tableau1[[#This Row],[TYPE DE PIECE]],Tableau4[MATIERE],Tableau4[SHORT TYPE],"",0,1)</f>
        <v/>
      </c>
      <c r="N12865">
        <f>IF(ISERR(FIND("DECOUPE",Tableau1[[#This Row],[DESIGNATION]])),"","NEED REF")</f>
        <v/>
      </c>
    </row>
    <row r="12866">
      <c r="B12866" t="n">
        <v>34401139</v>
      </c>
      <c r="C12866" s="2" t="n">
        <v>38770</v>
      </c>
      <c r="D12866" t="inlineStr">
        <is>
          <t>SPEC</t>
        </is>
      </c>
      <c r="E12866" t="inlineStr">
        <is>
          <t>LIMANDE G5K BUS CAN LG 20 METRES</t>
        </is>
      </c>
      <c r="F12866" t="inlineStr">
        <is>
          <t>G5K</t>
        </is>
      </c>
      <c r="J12866" t="inlineStr">
        <is>
          <t>PLUET</t>
        </is>
      </c>
      <c r="L12866">
        <f>_xlfn.XLOOKUP(Tableau1[[#This Row],[TYPE DE PIECE]],Tableau4[MATIERE],Tableau4[SHORT TYPE],"",0,1)</f>
        <v/>
      </c>
      <c r="N12866">
        <f>IF(ISERR(FIND("DECOUPE",Tableau1[[#This Row],[DESIGNATION]])),"","NEED REF")</f>
        <v/>
      </c>
    </row>
    <row r="12867">
      <c r="B12867" t="n">
        <v>34401138</v>
      </c>
      <c r="C12867" s="2" t="n">
        <v>38769</v>
      </c>
      <c r="D12867" t="inlineStr">
        <is>
          <t>CDC</t>
        </is>
      </c>
      <c r="E12867" t="inlineStr">
        <is>
          <t>NS2000 Raccordement gaine a barres</t>
        </is>
      </c>
      <c r="F12867" t="inlineStr">
        <is>
          <t>NS 2000kVA actif</t>
        </is>
      </c>
      <c r="J12867" t="inlineStr">
        <is>
          <t>REVEL</t>
        </is>
      </c>
      <c r="L12867">
        <f>_xlfn.XLOOKUP(Tableau1[[#This Row],[TYPE DE PIECE]],Tableau4[MATIERE],Tableau4[SHORT TYPE],"",0,1)</f>
        <v/>
      </c>
      <c r="N12867">
        <f>IF(ISERR(FIND("DECOUPE",Tableau1[[#This Row],[DESIGNATION]])),"","NEED REF")</f>
        <v/>
      </c>
    </row>
    <row r="12868">
      <c r="B12868" t="n">
        <v>34401137</v>
      </c>
      <c r="C12868" s="2" t="n">
        <v>38768</v>
      </c>
      <c r="D12868" t="inlineStr">
        <is>
          <t>CDC</t>
        </is>
      </c>
      <c r="E12868" t="inlineStr">
        <is>
          <t>Galaxy PW 80kVA avec gaine tole 20/10</t>
        </is>
      </c>
      <c r="F12868" t="inlineStr">
        <is>
          <t>Galaxy PW</t>
        </is>
      </c>
      <c r="J12868" t="inlineStr">
        <is>
          <t>REVEL</t>
        </is>
      </c>
      <c r="L12868">
        <f>_xlfn.XLOOKUP(Tableau1[[#This Row],[TYPE DE PIECE]],Tableau4[MATIERE],Tableau4[SHORT TYPE],"",0,1)</f>
        <v/>
      </c>
      <c r="N12868">
        <f>IF(ISERR(FIND("DECOUPE",Tableau1[[#This Row],[DESIGNATION]])),"","NEED REF")</f>
        <v/>
      </c>
    </row>
    <row r="12869">
      <c r="B12869" t="n">
        <v>34401136</v>
      </c>
      <c r="C12869" s="2" t="n">
        <v>38768</v>
      </c>
      <c r="D12869" t="inlineStr">
        <is>
          <t>CDC</t>
        </is>
      </c>
      <c r="E12869" t="inlineStr">
        <is>
          <t>Skid Galaxy PW 80kVA avec gaine</t>
        </is>
      </c>
      <c r="F12869" t="inlineStr">
        <is>
          <t>Galaxy PW</t>
        </is>
      </c>
      <c r="J12869" t="inlineStr">
        <is>
          <t>REVEL</t>
        </is>
      </c>
      <c r="L12869">
        <f>_xlfn.XLOOKUP(Tableau1[[#This Row],[TYPE DE PIECE]],Tableau4[MATIERE],Tableau4[SHORT TYPE],"",0,1)</f>
        <v/>
      </c>
      <c r="N12869">
        <f>IF(ISERR(FIND("DECOUPE",Tableau1[[#This Row],[DESIGNATION]])),"","NEED REF")</f>
        <v/>
      </c>
    </row>
    <row r="12870">
      <c r="B12870" t="n">
        <v>34401135</v>
      </c>
      <c r="C12870" s="2" t="n">
        <v>38765</v>
      </c>
      <c r="D12870" t="inlineStr">
        <is>
          <t>SPEC</t>
        </is>
      </c>
      <c r="E12870" t="inlineStr">
        <is>
          <t>IP32 TOIT ARM CONTACTEUR NS 2000</t>
        </is>
      </c>
      <c r="F12870" t="inlineStr">
        <is>
          <t>GALAXY</t>
        </is>
      </c>
      <c r="J12870" t="inlineStr">
        <is>
          <t>ROBERT</t>
        </is>
      </c>
      <c r="L12870">
        <f>_xlfn.XLOOKUP(Tableau1[[#This Row],[TYPE DE PIECE]],Tableau4[MATIERE],Tableau4[SHORT TYPE],"",0,1)</f>
        <v/>
      </c>
      <c r="N12870">
        <f>IF(ISERR(FIND("DECOUPE",Tableau1[[#This Row],[DESIGNATION]])),"","NEED REF")</f>
        <v/>
      </c>
    </row>
    <row r="12871">
      <c r="B12871" t="n">
        <v>34401134</v>
      </c>
      <c r="C12871" s="2" t="n">
        <v>38765</v>
      </c>
      <c r="D12871" t="inlineStr">
        <is>
          <t>SPEC</t>
        </is>
      </c>
      <c r="E12871" t="inlineStr">
        <is>
          <t>IP32 TOIT ARM INTERRUPTEUR NS 2000</t>
        </is>
      </c>
      <c r="F12871" t="inlineStr">
        <is>
          <t>GALAXY</t>
        </is>
      </c>
      <c r="J12871" t="inlineStr">
        <is>
          <t>ROBERT</t>
        </is>
      </c>
      <c r="L12871">
        <f>_xlfn.XLOOKUP(Tableau1[[#This Row],[TYPE DE PIECE]],Tableau4[MATIERE],Tableau4[SHORT TYPE],"",0,1)</f>
        <v/>
      </c>
      <c r="N12871">
        <f>IF(ISERR(FIND("DECOUPE",Tableau1[[#This Row],[DESIGNATION]])),"","NEED REF")</f>
        <v/>
      </c>
    </row>
    <row r="12872">
      <c r="B12872" t="n">
        <v>34401133</v>
      </c>
      <c r="C12872" s="2" t="n">
        <v>38765</v>
      </c>
      <c r="D12872" t="inlineStr">
        <is>
          <t>NOM</t>
        </is>
      </c>
      <c r="E12872" t="inlineStr">
        <is>
          <t>LG IP 32 NS 2000kVA</t>
        </is>
      </c>
      <c r="F12872" t="inlineStr">
        <is>
          <t>GALAXY</t>
        </is>
      </c>
      <c r="J12872" t="inlineStr">
        <is>
          <t>ROBERT</t>
        </is>
      </c>
      <c r="L12872">
        <f>_xlfn.XLOOKUP(Tableau1[[#This Row],[TYPE DE PIECE]],Tableau4[MATIERE],Tableau4[SHORT TYPE],"",0,1)</f>
        <v/>
      </c>
      <c r="N12872">
        <f>IF(ISERR(FIND("DECOUPE",Tableau1[[#This Row],[DESIGNATION]])),"","NEED REF")</f>
        <v/>
      </c>
    </row>
    <row r="12873">
      <c r="B12873" t="n">
        <v>34401132</v>
      </c>
      <c r="C12873" s="2" t="n">
        <v>38765</v>
      </c>
      <c r="D12873" t="inlineStr">
        <is>
          <t>SCHE</t>
        </is>
      </c>
      <c r="E12873" t="inlineStr">
        <is>
          <t>ARMOIRE 2 DJ 400kVA L=800</t>
        </is>
      </c>
      <c r="F12873" t="inlineStr">
        <is>
          <t>GALAXY</t>
        </is>
      </c>
      <c r="J12873" t="inlineStr">
        <is>
          <t>FOLTZ</t>
        </is>
      </c>
      <c r="L12873">
        <f>_xlfn.XLOOKUP(Tableau1[[#This Row],[TYPE DE PIECE]],Tableau4[MATIERE],Tableau4[SHORT TYPE],"",0,1)</f>
        <v/>
      </c>
      <c r="N12873">
        <f>IF(ISERR(FIND("DECOUPE",Tableau1[[#This Row],[DESIGNATION]])),"","NEED REF")</f>
        <v/>
      </c>
    </row>
    <row r="12874">
      <c r="B12874" t="n">
        <v>34401131</v>
      </c>
      <c r="C12874" s="2" t="n">
        <v>38765</v>
      </c>
      <c r="D12874" t="inlineStr">
        <is>
          <t>CDC</t>
        </is>
      </c>
      <c r="E12874" t="inlineStr">
        <is>
          <t>ARMOIRE de COUPLAGE AVAL 6xINS630 + NS2000</t>
        </is>
      </c>
      <c r="F12874" t="inlineStr">
        <is>
          <t>GALAXY IGBT</t>
        </is>
      </c>
      <c r="J12874" t="inlineStr">
        <is>
          <t>ÇAKIR</t>
        </is>
      </c>
      <c r="L12874">
        <f>_xlfn.XLOOKUP(Tableau1[[#This Row],[TYPE DE PIECE]],Tableau4[MATIERE],Tableau4[SHORT TYPE],"",0,1)</f>
        <v/>
      </c>
      <c r="N12874">
        <f>IF(ISERR(FIND("DECOUPE",Tableau1[[#This Row],[DESIGNATION]])),"","NEED REF")</f>
        <v/>
      </c>
    </row>
    <row r="12875">
      <c r="B12875" t="n">
        <v>34401130</v>
      </c>
      <c r="C12875" s="2" t="n">
        <v>38763</v>
      </c>
      <c r="D12875" t="inlineStr">
        <is>
          <t>SPEC</t>
        </is>
      </c>
      <c r="E12875" t="inlineStr">
        <is>
          <t>TOIT IP GAINE ENTREE (400 mm) 500kVA</t>
        </is>
      </c>
      <c r="F12875" t="inlineStr">
        <is>
          <t>GALAXY 6000</t>
        </is>
      </c>
      <c r="J12875" t="inlineStr">
        <is>
          <t>ROBERT</t>
        </is>
      </c>
      <c r="L12875">
        <f>_xlfn.XLOOKUP(Tableau1[[#This Row],[TYPE DE PIECE]],Tableau4[MATIERE],Tableau4[SHORT TYPE],"",0,1)</f>
        <v/>
      </c>
      <c r="N12875">
        <f>IF(ISERR(FIND("DECOUPE",Tableau1[[#This Row],[DESIGNATION]])),"","NEED REF")</f>
        <v/>
      </c>
    </row>
    <row r="12876">
      <c r="B12876" t="n">
        <v>34401129</v>
      </c>
      <c r="C12876" s="2" t="n">
        <v>38763</v>
      </c>
      <c r="D12876" t="inlineStr">
        <is>
          <t>SPEC</t>
        </is>
      </c>
      <c r="E12876" t="inlineStr">
        <is>
          <t xml:space="preserve">TOIT IP GAINE PACK ADVANCE (400 mm) </t>
        </is>
      </c>
      <c r="F12876" t="inlineStr">
        <is>
          <t>GALAXY 6000</t>
        </is>
      </c>
      <c r="J12876" t="inlineStr">
        <is>
          <t>ROBERT</t>
        </is>
      </c>
      <c r="L12876">
        <f>_xlfn.XLOOKUP(Tableau1[[#This Row],[TYPE DE PIECE]],Tableau4[MATIERE],Tableau4[SHORT TYPE],"",0,1)</f>
        <v/>
      </c>
      <c r="N12876">
        <f>IF(ISERR(FIND("DECOUPE",Tableau1[[#This Row],[DESIGNATION]])),"","NEED REF")</f>
        <v/>
      </c>
    </row>
    <row r="12877">
      <c r="B12877" t="n">
        <v>34401128</v>
      </c>
      <c r="C12877" s="2" t="n">
        <v>38763</v>
      </c>
      <c r="D12877" t="inlineStr">
        <is>
          <t>SPEC</t>
        </is>
      </c>
      <c r="E12877" t="inlineStr">
        <is>
          <t>SURTOIT IP GAINE ENTREE (400 mm) 500kVA</t>
        </is>
      </c>
      <c r="F12877" t="inlineStr">
        <is>
          <t>GALAXY 6000</t>
        </is>
      </c>
      <c r="J12877" t="inlineStr">
        <is>
          <t>ROBERT</t>
        </is>
      </c>
      <c r="L12877">
        <f>_xlfn.XLOOKUP(Tableau1[[#This Row],[TYPE DE PIECE]],Tableau4[MATIERE],Tableau4[SHORT TYPE],"",0,1)</f>
        <v/>
      </c>
      <c r="N12877">
        <f>IF(ISERR(FIND("DECOUPE",Tableau1[[#This Row],[DESIGNATION]])),"","NEED REF")</f>
        <v/>
      </c>
    </row>
    <row r="12878">
      <c r="B12878" t="n">
        <v>34401127</v>
      </c>
      <c r="C12878" s="2" t="n">
        <v>38763</v>
      </c>
      <c r="D12878" t="inlineStr">
        <is>
          <t>SPEC</t>
        </is>
      </c>
      <c r="E12878" t="inlineStr">
        <is>
          <t>SURTOIT IP GALAXY 500kVA</t>
        </is>
      </c>
      <c r="F12878" t="inlineStr">
        <is>
          <t>GALAXY 6000</t>
        </is>
      </c>
      <c r="J12878" t="inlineStr">
        <is>
          <t>ROBERT</t>
        </is>
      </c>
      <c r="L12878">
        <f>_xlfn.XLOOKUP(Tableau1[[#This Row],[TYPE DE PIECE]],Tableau4[MATIERE],Tableau4[SHORT TYPE],"",0,1)</f>
        <v/>
      </c>
      <c r="N12878">
        <f>IF(ISERR(FIND("DECOUPE",Tableau1[[#This Row],[DESIGNATION]])),"","NEED REF")</f>
        <v/>
      </c>
    </row>
    <row r="12879">
      <c r="B12879" t="n">
        <v>34401126</v>
      </c>
      <c r="C12879" s="2" t="n">
        <v>38763</v>
      </c>
      <c r="D12879" t="inlineStr">
        <is>
          <t>NOM</t>
        </is>
      </c>
      <c r="E12879" t="inlineStr">
        <is>
          <t>THM GL AVEC TI+SUR BORNES 3P</t>
        </is>
      </c>
      <c r="F12879" t="inlineStr">
        <is>
          <t>GALAXY</t>
        </is>
      </c>
      <c r="J12879" t="inlineStr">
        <is>
          <t>FOLTZ</t>
        </is>
      </c>
      <c r="L12879">
        <f>_xlfn.XLOOKUP(Tableau1[[#This Row],[TYPE DE PIECE]],Tableau4[MATIERE],Tableau4[SHORT TYPE],"",0,1)</f>
        <v/>
      </c>
      <c r="N12879">
        <f>IF(ISERR(FIND("DECOUPE",Tableau1[[#This Row],[DESIGNATION]])),"","NEED REF")</f>
        <v/>
      </c>
    </row>
    <row r="12880">
      <c r="B12880" t="n">
        <v>34401125</v>
      </c>
      <c r="C12880" s="2" t="n">
        <v>38763</v>
      </c>
      <c r="D12880" t="inlineStr">
        <is>
          <t>SPEC</t>
        </is>
      </c>
      <c r="E12880" t="inlineStr">
        <is>
          <t>ENTRETOISE TOIT IP**</t>
        </is>
      </c>
      <c r="F12880" t="inlineStr">
        <is>
          <t>GALAXY 6000</t>
        </is>
      </c>
      <c r="J12880" t="inlineStr">
        <is>
          <t>ROBERT</t>
        </is>
      </c>
      <c r="L12880">
        <f>_xlfn.XLOOKUP(Tableau1[[#This Row],[TYPE DE PIECE]],Tableau4[MATIERE],Tableau4[SHORT TYPE],"",0,1)</f>
        <v/>
      </c>
      <c r="N12880">
        <f>IF(ISERR(FIND("DECOUPE",Tableau1[[#This Row],[DESIGNATION]])),"","NEED REF")</f>
        <v/>
      </c>
    </row>
    <row r="12881">
      <c r="B12881" t="n">
        <v>34401124</v>
      </c>
      <c r="C12881" s="2" t="n">
        <v>38763</v>
      </c>
      <c r="D12881" t="inlineStr">
        <is>
          <t>SPEC</t>
        </is>
      </c>
      <c r="E12881" t="inlineStr">
        <is>
          <t>IP 32 TOIT CELLULE GAL 500</t>
        </is>
      </c>
      <c r="F12881" t="inlineStr">
        <is>
          <t>GALAXY 6000</t>
        </is>
      </c>
      <c r="J12881" t="inlineStr">
        <is>
          <t>ROBERT</t>
        </is>
      </c>
      <c r="L12881">
        <f>_xlfn.XLOOKUP(Tableau1[[#This Row],[TYPE DE PIECE]],Tableau4[MATIERE],Tableau4[SHORT TYPE],"",0,1)</f>
        <v/>
      </c>
      <c r="N12881">
        <f>IF(ISERR(FIND("DECOUPE",Tableau1[[#This Row],[DESIGNATION]])),"","NEED REF")</f>
        <v/>
      </c>
    </row>
    <row r="12882">
      <c r="B12882" t="n">
        <v>34401123</v>
      </c>
      <c r="C12882" s="2" t="n">
        <v>38762</v>
      </c>
      <c r="D12882" t="inlineStr">
        <is>
          <t>NOM</t>
        </is>
      </c>
      <c r="E12882" t="inlineStr">
        <is>
          <t xml:space="preserve">LG IP32 GALAXY 500kVA COUL SPEC </t>
        </is>
      </c>
      <c r="F12882" t="inlineStr">
        <is>
          <t>GALAXY 6000</t>
        </is>
      </c>
      <c r="J12882" t="inlineStr">
        <is>
          <t>ROBERT</t>
        </is>
      </c>
      <c r="L12882">
        <f>_xlfn.XLOOKUP(Tableau1[[#This Row],[TYPE DE PIECE]],Tableau4[MATIERE],Tableau4[SHORT TYPE],"",0,1)</f>
        <v/>
      </c>
      <c r="N12882">
        <f>IF(ISERR(FIND("DECOUPE",Tableau1[[#This Row],[DESIGNATION]])),"","NEED REF")</f>
        <v/>
      </c>
    </row>
    <row r="12883">
      <c r="B12883" t="n">
        <v>34401122</v>
      </c>
      <c r="C12883" s="2" t="n">
        <v>38757</v>
      </c>
      <c r="D12883" t="inlineStr">
        <is>
          <t>NOM</t>
        </is>
      </c>
      <c r="E12883" t="inlineStr">
        <is>
          <t xml:space="preserve">LG KIT FILERIE COMET EXB 4,5kVA BOITIER EADS </t>
        </is>
      </c>
      <c r="F12883" t="inlineStr">
        <is>
          <t>EADS</t>
        </is>
      </c>
      <c r="J12883" t="inlineStr">
        <is>
          <t>ÇAKIR</t>
        </is>
      </c>
      <c r="L12883">
        <f>_xlfn.XLOOKUP(Tableau1[[#This Row],[TYPE DE PIECE]],Tableau4[MATIERE],Tableau4[SHORT TYPE],"",0,1)</f>
        <v/>
      </c>
      <c r="N12883">
        <f>IF(ISERR(FIND("DECOUPE",Tableau1[[#This Row],[DESIGNATION]])),"","NEED REF")</f>
        <v/>
      </c>
    </row>
    <row r="12884">
      <c r="B12884" t="n">
        <v>34401121</v>
      </c>
      <c r="C12884" s="2" t="n">
        <v>38756</v>
      </c>
      <c r="D12884" t="inlineStr">
        <is>
          <t>SPEC</t>
        </is>
      </c>
      <c r="E12884" t="inlineStr">
        <is>
          <t>KIT CONNEXIONS ATFO PHASE SHIFTING</t>
        </is>
      </c>
      <c r="F12884" t="inlineStr">
        <is>
          <t>NOVARTIS</t>
        </is>
      </c>
      <c r="J12884" t="inlineStr">
        <is>
          <t>FERRIER</t>
        </is>
      </c>
      <c r="L12884">
        <f>_xlfn.XLOOKUP(Tableau1[[#This Row],[TYPE DE PIECE]],Tableau4[MATIERE],Tableau4[SHORT TYPE],"",0,1)</f>
        <v/>
      </c>
      <c r="N12884">
        <f>IF(ISERR(FIND("DECOUPE",Tableau1[[#This Row],[DESIGNATION]])),"","NEED REF")</f>
        <v/>
      </c>
    </row>
    <row r="12885">
      <c r="B12885" t="n">
        <v>34401120</v>
      </c>
      <c r="C12885" s="2" t="n">
        <v>38756</v>
      </c>
      <c r="D12885" t="inlineStr">
        <is>
          <t>SPEC</t>
        </is>
      </c>
      <c r="E12885" t="inlineStr">
        <is>
          <t>JDB GALAXY 600kVA PSEUDO MOD RACC R2 SANS Q3BP</t>
        </is>
      </c>
      <c r="F12885" t="inlineStr">
        <is>
          <t>GALAXY Pseudo mod sans Q3BP</t>
        </is>
      </c>
      <c r="J12885" t="inlineStr">
        <is>
          <t>FOLTZ</t>
        </is>
      </c>
      <c r="L12885">
        <f>_xlfn.XLOOKUP(Tableau1[[#This Row],[TYPE DE PIECE]],Tableau4[MATIERE],Tableau4[SHORT TYPE],"",0,1)</f>
        <v/>
      </c>
      <c r="N12885">
        <f>IF(ISERR(FIND("DECOUPE",Tableau1[[#This Row],[DESIGNATION]])),"","NEED REF")</f>
        <v/>
      </c>
    </row>
    <row r="12886">
      <c r="B12886" t="n">
        <v>34401119</v>
      </c>
      <c r="C12886" s="2" t="n">
        <v>38754</v>
      </c>
      <c r="D12886" t="inlineStr">
        <is>
          <t>NOM</t>
        </is>
      </c>
      <c r="E12886" t="inlineStr">
        <is>
          <t>ATFO PHASE SHIFTING 960kVA 400V +/-20°</t>
        </is>
      </c>
      <c r="F12886" t="inlineStr">
        <is>
          <t xml:space="preserve">GALAXY </t>
        </is>
      </c>
      <c r="J12886" t="inlineStr">
        <is>
          <t>FOLTZ</t>
        </is>
      </c>
      <c r="L12886">
        <f>_xlfn.XLOOKUP(Tableau1[[#This Row],[TYPE DE PIECE]],Tableau4[MATIERE],Tableau4[SHORT TYPE],"",0,1)</f>
        <v/>
      </c>
      <c r="N12886">
        <f>IF(ISERR(FIND("DECOUPE",Tableau1[[#This Row],[DESIGNATION]])),"","NEED REF")</f>
        <v/>
      </c>
    </row>
    <row r="12887">
      <c r="B12887" t="n">
        <v>34401118</v>
      </c>
      <c r="C12887" s="2" t="n">
        <v>38751</v>
      </c>
      <c r="D12887" t="inlineStr">
        <is>
          <t>NOM</t>
        </is>
      </c>
      <c r="E12887" t="inlineStr">
        <is>
          <t>LG Galaxy 5000 20kva couleur spe</t>
        </is>
      </c>
      <c r="F12887" t="inlineStr">
        <is>
          <t>G5000 20kVA</t>
        </is>
      </c>
      <c r="J12887" t="inlineStr">
        <is>
          <t>REVEL</t>
        </is>
      </c>
      <c r="L12887">
        <f>_xlfn.XLOOKUP(Tableau1[[#This Row],[TYPE DE PIECE]],Tableau4[MATIERE],Tableau4[SHORT TYPE],"",0,1)</f>
        <v/>
      </c>
      <c r="N12887">
        <f>IF(ISERR(FIND("DECOUPE",Tableau1[[#This Row],[DESIGNATION]])),"","NEED REF")</f>
        <v/>
      </c>
    </row>
    <row r="12888">
      <c r="B12888" t="n">
        <v>34401117</v>
      </c>
      <c r="C12888" s="2" t="n">
        <v>38750</v>
      </c>
      <c r="D12888" t="inlineStr">
        <is>
          <t>SPEC</t>
        </is>
      </c>
      <c r="E12888" t="inlineStr">
        <is>
          <t>Réhausse avant/arrière 1159mm (armoire 1200mm)</t>
        </is>
      </c>
      <c r="F12888" t="inlineStr">
        <is>
          <t>GALAXY6000 REHAUSSE</t>
        </is>
      </c>
      <c r="J12888" t="inlineStr">
        <is>
          <t>FERRIER</t>
        </is>
      </c>
      <c r="L12888">
        <f>_xlfn.XLOOKUP(Tableau1[[#This Row],[TYPE DE PIECE]],Tableau4[MATIERE],Tableau4[SHORT TYPE],"",0,1)</f>
        <v/>
      </c>
      <c r="N12888">
        <f>IF(ISERR(FIND("DECOUPE",Tableau1[[#This Row],[DESIGNATION]])),"","NEED REF")</f>
        <v/>
      </c>
    </row>
    <row r="12889">
      <c r="B12889" t="n">
        <v>34401116</v>
      </c>
      <c r="C12889" s="2" t="n">
        <v>38750</v>
      </c>
      <c r="D12889" t="inlineStr">
        <is>
          <t>SPEC</t>
        </is>
      </c>
      <c r="E12889" t="inlineStr">
        <is>
          <t>Réhausse avant/arrière 990mm (armoire 1000mm)</t>
        </is>
      </c>
      <c r="F12889" t="inlineStr">
        <is>
          <t>GALAXY6000 REHAUSSE</t>
        </is>
      </c>
      <c r="J12889" t="inlineStr">
        <is>
          <t>FERRIER</t>
        </is>
      </c>
      <c r="L12889">
        <f>_xlfn.XLOOKUP(Tableau1[[#This Row],[TYPE DE PIECE]],Tableau4[MATIERE],Tableau4[SHORT TYPE],"",0,1)</f>
        <v/>
      </c>
      <c r="N12889">
        <f>IF(ISERR(FIND("DECOUPE",Tableau1[[#This Row],[DESIGNATION]])),"","NEED REF")</f>
        <v/>
      </c>
    </row>
    <row r="12890">
      <c r="B12890" t="n">
        <v>34401115</v>
      </c>
      <c r="C12890" s="2" t="n">
        <v>38750</v>
      </c>
      <c r="D12890" t="inlineStr">
        <is>
          <t>SPEC</t>
        </is>
      </c>
      <c r="E12890" t="inlineStr">
        <is>
          <t>Réhausse avant/arrière 790mm (armoire 800mm)</t>
        </is>
      </c>
      <c r="F12890" t="inlineStr">
        <is>
          <t>GALAXY6000 REHAUSSE</t>
        </is>
      </c>
      <c r="J12890" t="inlineStr">
        <is>
          <t>FERRIER</t>
        </is>
      </c>
      <c r="L12890">
        <f>_xlfn.XLOOKUP(Tableau1[[#This Row],[TYPE DE PIECE]],Tableau4[MATIERE],Tableau4[SHORT TYPE],"",0,1)</f>
        <v/>
      </c>
      <c r="N12890">
        <f>IF(ISERR(FIND("DECOUPE",Tableau1[[#This Row],[DESIGNATION]])),"","NEED REF")</f>
        <v/>
      </c>
    </row>
    <row r="12891">
      <c r="B12891" t="n">
        <v>34401114</v>
      </c>
      <c r="C12891" s="2" t="n">
        <v>38750</v>
      </c>
      <c r="D12891" t="inlineStr">
        <is>
          <t>SPEC</t>
        </is>
      </c>
      <c r="E12891" t="inlineStr">
        <is>
          <t>Réhausse avant/arrière 590mm (armoire 600mm)</t>
        </is>
      </c>
      <c r="F12891" t="inlineStr">
        <is>
          <t>GALAXY6000 REHAUSSE</t>
        </is>
      </c>
      <c r="J12891" t="inlineStr">
        <is>
          <t>FERRIER</t>
        </is>
      </c>
      <c r="L12891">
        <f>_xlfn.XLOOKUP(Tableau1[[#This Row],[TYPE DE PIECE]],Tableau4[MATIERE],Tableau4[SHORT TYPE],"",0,1)</f>
        <v/>
      </c>
      <c r="N12891">
        <f>IF(ISERR(FIND("DECOUPE",Tableau1[[#This Row],[DESIGNATION]])),"","NEED REF")</f>
        <v/>
      </c>
    </row>
    <row r="12892">
      <c r="B12892" t="n">
        <v>34401113</v>
      </c>
      <c r="C12892" s="2" t="n">
        <v>38748</v>
      </c>
      <c r="D12892" t="inlineStr">
        <is>
          <t>SPEC</t>
        </is>
      </c>
      <c r="E12892" t="inlineStr">
        <is>
          <t xml:space="preserve">P. ARRIERE IP 22 ARM. AUX BAT G3000 20/30kVA </t>
        </is>
      </c>
      <c r="F12892" t="inlineStr">
        <is>
          <t>GALAXY 3000 20/30kVA</t>
        </is>
      </c>
      <c r="J12892" t="inlineStr">
        <is>
          <t>ÇAKIR</t>
        </is>
      </c>
      <c r="L12892">
        <f>_xlfn.XLOOKUP(Tableau1[[#This Row],[TYPE DE PIECE]],Tableau4[MATIERE],Tableau4[SHORT TYPE],"",0,1)</f>
        <v/>
      </c>
      <c r="N12892">
        <f>IF(ISERR(FIND("DECOUPE",Tableau1[[#This Row],[DESIGNATION]])),"","NEED REF")</f>
        <v/>
      </c>
    </row>
    <row r="12893">
      <c r="B12893" t="n">
        <v>34401112</v>
      </c>
      <c r="C12893" s="2" t="n">
        <v>38747</v>
      </c>
      <c r="D12893" t="inlineStr">
        <is>
          <t>SPEC</t>
        </is>
      </c>
      <c r="E12893" t="inlineStr">
        <is>
          <t>KIT PROTECTION ARRIERE SURTOIT IP23  L=1215</t>
        </is>
      </c>
      <c r="F12893" t="inlineStr">
        <is>
          <t>GAL PW 160-200 kVA</t>
        </is>
      </c>
      <c r="J12893" t="inlineStr">
        <is>
          <t>ÇAKIR</t>
        </is>
      </c>
      <c r="L12893">
        <f>_xlfn.XLOOKUP(Tableau1[[#This Row],[TYPE DE PIECE]],Tableau4[MATIERE],Tableau4[SHORT TYPE],"",0,1)</f>
        <v/>
      </c>
      <c r="N12893">
        <f>IF(ISERR(FIND("DECOUPE",Tableau1[[#This Row],[DESIGNATION]])),"","NEED REF")</f>
        <v/>
      </c>
    </row>
    <row r="12894">
      <c r="B12894" t="n">
        <v>34401111</v>
      </c>
      <c r="C12894" s="2" t="n">
        <v>38747</v>
      </c>
      <c r="D12894" t="inlineStr">
        <is>
          <t>SPEC</t>
        </is>
      </c>
      <c r="E12894" t="inlineStr">
        <is>
          <t>PROTECTION AVANT SURTOIT IP23  L=1215</t>
        </is>
      </c>
      <c r="F12894" t="inlineStr">
        <is>
          <t>GAL PW 160-200 kVA</t>
        </is>
      </c>
      <c r="J12894" t="inlineStr">
        <is>
          <t>ÇAKIR</t>
        </is>
      </c>
      <c r="L12894">
        <f>_xlfn.XLOOKUP(Tableau1[[#This Row],[TYPE DE PIECE]],Tableau4[MATIERE],Tableau4[SHORT TYPE],"",0,1)</f>
        <v/>
      </c>
      <c r="N12894">
        <f>IF(ISERR(FIND("DECOUPE",Tableau1[[#This Row],[DESIGNATION]])),"","NEED REF")</f>
        <v/>
      </c>
    </row>
    <row r="12895">
      <c r="B12895" t="n">
        <v>34401110</v>
      </c>
      <c r="C12895" s="2" t="n">
        <v>38747</v>
      </c>
      <c r="D12895" t="inlineStr">
        <is>
          <t>NOM</t>
        </is>
      </c>
      <c r="E12895" t="inlineStr">
        <is>
          <t>LG IP22GAL PW 160-200 kVA</t>
        </is>
      </c>
      <c r="F12895" t="inlineStr">
        <is>
          <t>GAL PW 160-200 kVA</t>
        </is>
      </c>
      <c r="J12895" t="inlineStr">
        <is>
          <t>ÇAKIR</t>
        </is>
      </c>
      <c r="L12895">
        <f>_xlfn.XLOOKUP(Tableau1[[#This Row],[TYPE DE PIECE]],Tableau4[MATIERE],Tableau4[SHORT TYPE],"",0,1)</f>
        <v/>
      </c>
      <c r="N12895">
        <f>IF(ISERR(FIND("DECOUPE",Tableau1[[#This Row],[DESIGNATION]])),"","NEED REF")</f>
        <v/>
      </c>
    </row>
    <row r="12896">
      <c r="B12896" t="n">
        <v>34401109</v>
      </c>
      <c r="C12896" s="2" t="n">
        <v>38747</v>
      </c>
      <c r="D12896" t="inlineStr">
        <is>
          <t>NOM</t>
        </is>
      </c>
      <c r="E12896" t="inlineStr">
        <is>
          <t>LG Galaxy 5000 arm bat 710 couleur spe</t>
        </is>
      </c>
      <c r="F12896" t="inlineStr">
        <is>
          <t>G5000 arm bat 710</t>
        </is>
      </c>
      <c r="J12896" t="inlineStr">
        <is>
          <t>REVEL</t>
        </is>
      </c>
      <c r="L12896">
        <f>_xlfn.XLOOKUP(Tableau1[[#This Row],[TYPE DE PIECE]],Tableau4[MATIERE],Tableau4[SHORT TYPE],"",0,1)</f>
        <v/>
      </c>
      <c r="N12896">
        <f>IF(ISERR(FIND("DECOUPE",Tableau1[[#This Row],[DESIGNATION]])),"","NEED REF")</f>
        <v/>
      </c>
    </row>
    <row r="12897">
      <c r="B12897" t="n">
        <v>34401108</v>
      </c>
      <c r="C12897" s="2" t="n">
        <v>38747</v>
      </c>
      <c r="D12897" t="inlineStr">
        <is>
          <t>NOM</t>
        </is>
      </c>
      <c r="E12897" t="inlineStr">
        <is>
          <t>LG Galaxy 5000 20kva AIOB couleur spe</t>
        </is>
      </c>
      <c r="F12897" t="inlineStr">
        <is>
          <t>G5000 20kVA</t>
        </is>
      </c>
      <c r="J12897" t="inlineStr">
        <is>
          <t>REVEL</t>
        </is>
      </c>
      <c r="L12897">
        <f>_xlfn.XLOOKUP(Tableau1[[#This Row],[TYPE DE PIECE]],Tableau4[MATIERE],Tableau4[SHORT TYPE],"",0,1)</f>
        <v/>
      </c>
      <c r="N12897">
        <f>IF(ISERR(FIND("DECOUPE",Tableau1[[#This Row],[DESIGNATION]])),"","NEED REF")</f>
        <v/>
      </c>
    </row>
    <row r="12898">
      <c r="B12898" t="n">
        <v>34401107</v>
      </c>
      <c r="C12898" s="2" t="n">
        <v>38743</v>
      </c>
      <c r="D12898" t="inlineStr">
        <is>
          <t>DM</t>
        </is>
      </c>
      <c r="E12898" t="inlineStr">
        <is>
          <t>DOSSIER de MONTAGE COMET EXTREME CLA</t>
        </is>
      </c>
      <c r="F12898" t="inlineStr">
        <is>
          <t>COMET EXTREME</t>
        </is>
      </c>
      <c r="J12898" t="inlineStr">
        <is>
          <t>REZIGUI</t>
        </is>
      </c>
      <c r="L12898">
        <f>_xlfn.XLOOKUP(Tableau1[[#This Row],[TYPE DE PIECE]],Tableau4[MATIERE],Tableau4[SHORT TYPE],"",0,1)</f>
        <v/>
      </c>
      <c r="N12898">
        <f>IF(ISERR(FIND("DECOUPE",Tableau1[[#This Row],[DESIGNATION]])),"","NEED REF")</f>
        <v/>
      </c>
    </row>
    <row r="12899">
      <c r="B12899" t="n">
        <v>34401106</v>
      </c>
      <c r="C12899" s="2" t="n">
        <v>38740</v>
      </c>
      <c r="D12899" t="inlineStr">
        <is>
          <t>NOM</t>
        </is>
      </c>
      <c r="E12899" t="inlineStr">
        <is>
          <t>LG baie distribution Foster Wheeler</t>
        </is>
      </c>
      <c r="F12899" t="inlineStr">
        <is>
          <t>Baie distribution</t>
        </is>
      </c>
      <c r="J12899" t="inlineStr">
        <is>
          <t>REVEL</t>
        </is>
      </c>
      <c r="L12899">
        <f>_xlfn.XLOOKUP(Tableau1[[#This Row],[TYPE DE PIECE]],Tableau4[MATIERE],Tableau4[SHORT TYPE],"",0,1)</f>
        <v/>
      </c>
      <c r="N12899">
        <f>IF(ISERR(FIND("DECOUPE",Tableau1[[#This Row],[DESIGNATION]])),"","NEED REF")</f>
        <v/>
      </c>
    </row>
    <row r="12900">
      <c r="B12900" t="n">
        <v>34401105</v>
      </c>
      <c r="C12900" s="2" t="n">
        <v>38737</v>
      </c>
      <c r="D12900" t="inlineStr">
        <is>
          <t>CDC</t>
        </is>
      </c>
      <c r="E12900" t="inlineStr">
        <is>
          <t xml:space="preserve">CDC Schéma d'installation des </t>
        </is>
      </c>
      <c r="F12900" t="inlineStr">
        <is>
          <t>BATTERY MONITORING</t>
        </is>
      </c>
      <c r="J12900" t="inlineStr">
        <is>
          <t>FERRIER</t>
        </is>
      </c>
      <c r="L12900">
        <f>_xlfn.XLOOKUP(Tableau1[[#This Row],[TYPE DE PIECE]],Tableau4[MATIERE],Tableau4[SHORT TYPE],"",0,1)</f>
        <v/>
      </c>
      <c r="N12900">
        <f>IF(ISERR(FIND("DECOUPE",Tableau1[[#This Row],[DESIGNATION]])),"","NEED REF")</f>
        <v/>
      </c>
    </row>
    <row r="12901">
      <c r="B12901" t="n">
        <v>34401104</v>
      </c>
      <c r="C12901" s="2" t="n">
        <v>38372</v>
      </c>
      <c r="D12901" t="inlineStr">
        <is>
          <t>NOM</t>
        </is>
      </c>
      <c r="E12901" t="inlineStr">
        <is>
          <t>LG filtre brouillard d'huile</t>
        </is>
      </c>
      <c r="F12901" t="inlineStr">
        <is>
          <t>Galaxy PW 160-200</t>
        </is>
      </c>
      <c r="J12901" t="inlineStr">
        <is>
          <t>REVEL</t>
        </is>
      </c>
      <c r="L12901">
        <f>_xlfn.XLOOKUP(Tableau1[[#This Row],[TYPE DE PIECE]],Tableau4[MATIERE],Tableau4[SHORT TYPE],"",0,1)</f>
        <v/>
      </c>
      <c r="N12901">
        <f>IF(ISERR(FIND("DECOUPE",Tableau1[[#This Row],[DESIGNATION]])),"","NEED REF")</f>
        <v/>
      </c>
    </row>
    <row r="12902">
      <c r="B12902" t="n">
        <v>34401103</v>
      </c>
      <c r="C12902" s="2" t="n">
        <v>38372</v>
      </c>
      <c r="D12902" t="inlineStr">
        <is>
          <t>CDC</t>
        </is>
      </c>
      <c r="E12902" t="inlineStr">
        <is>
          <t>Filtre brouillard d'huile</t>
        </is>
      </c>
      <c r="F12902" t="inlineStr">
        <is>
          <t>Galaxy PW 160-200</t>
        </is>
      </c>
      <c r="J12902" t="inlineStr">
        <is>
          <t>REVEL</t>
        </is>
      </c>
      <c r="L12902">
        <f>_xlfn.XLOOKUP(Tableau1[[#This Row],[TYPE DE PIECE]],Tableau4[MATIERE],Tableau4[SHORT TYPE],"",0,1)</f>
        <v/>
      </c>
      <c r="N12902">
        <f>IF(ISERR(FIND("DECOUPE",Tableau1[[#This Row],[DESIGNATION]])),"","NEED REF")</f>
        <v/>
      </c>
    </row>
    <row r="12903">
      <c r="B12903" t="n">
        <v>34401102</v>
      </c>
      <c r="C12903" s="2" t="n">
        <v>38736</v>
      </c>
      <c r="D12903" t="inlineStr">
        <is>
          <t>NOM</t>
        </is>
      </c>
      <c r="E12903" t="inlineStr">
        <is>
          <t>LG GALAXY PSEUDO 600kVA</t>
        </is>
      </c>
      <c r="F12903" t="inlineStr">
        <is>
          <t>Galaxy pseudo modulaire</t>
        </is>
      </c>
      <c r="J12903" t="inlineStr">
        <is>
          <t>FOLTZ</t>
        </is>
      </c>
      <c r="L12903">
        <f>_xlfn.XLOOKUP(Tableau1[[#This Row],[TYPE DE PIECE]],Tableau4[MATIERE],Tableau4[SHORT TYPE],"",0,1)</f>
        <v/>
      </c>
      <c r="N12903">
        <f>IF(ISERR(FIND("DECOUPE",Tableau1[[#This Row],[DESIGNATION]])),"","NEED REF")</f>
        <v/>
      </c>
    </row>
    <row r="12904">
      <c r="B12904" t="n">
        <v>34401101</v>
      </c>
      <c r="C12904" s="2" t="n">
        <v>38735</v>
      </c>
      <c r="D12904" t="inlineStr">
        <is>
          <t>CDC</t>
        </is>
      </c>
      <c r="E12904" t="inlineStr">
        <is>
          <t>Armoire de couplage pour NS2000</t>
        </is>
      </c>
      <c r="F12904" t="inlineStr">
        <is>
          <t>Galaxy</t>
        </is>
      </c>
      <c r="J12904" t="inlineStr">
        <is>
          <t>REVEL</t>
        </is>
      </c>
      <c r="L12904">
        <f>_xlfn.XLOOKUP(Tableau1[[#This Row],[TYPE DE PIECE]],Tableau4[MATIERE],Tableau4[SHORT TYPE],"",0,1)</f>
        <v/>
      </c>
      <c r="N12904">
        <f>IF(ISERR(FIND("DECOUPE",Tableau1[[#This Row],[DESIGNATION]])),"","NEED REF")</f>
        <v/>
      </c>
    </row>
    <row r="12905">
      <c r="B12905" t="n">
        <v>34401100</v>
      </c>
      <c r="C12905" s="2" t="n">
        <v>38735</v>
      </c>
      <c r="D12905" t="inlineStr">
        <is>
          <t>CDC</t>
        </is>
      </c>
      <c r="E12905" t="inlineStr">
        <is>
          <t>NS2000 Raccordement gaine a barres en bas</t>
        </is>
      </c>
      <c r="F12905" t="inlineStr">
        <is>
          <t>NS 2000kVA</t>
        </is>
      </c>
      <c r="J12905" t="inlineStr">
        <is>
          <t>REVEL</t>
        </is>
      </c>
      <c r="L12905">
        <f>_xlfn.XLOOKUP(Tableau1[[#This Row],[TYPE DE PIECE]],Tableau4[MATIERE],Tableau4[SHORT TYPE],"",0,1)</f>
        <v/>
      </c>
      <c r="N12905">
        <f>IF(ISERR(FIND("DECOUPE",Tableau1[[#This Row],[DESIGNATION]])),"","NEED REF")</f>
        <v/>
      </c>
    </row>
    <row r="12906">
      <c r="B12906" t="n">
        <v>34401099</v>
      </c>
      <c r="C12906" s="2" t="n">
        <v>38726</v>
      </c>
      <c r="D12906" t="inlineStr">
        <is>
          <t>SPEC</t>
        </is>
      </c>
      <c r="E12906" t="inlineStr">
        <is>
          <t>SERIGRAPHIE NOIRE NS 1200kVA</t>
        </is>
      </c>
      <c r="F12906" t="inlineStr">
        <is>
          <t>GALAXY NS</t>
        </is>
      </c>
      <c r="J12906" t="inlineStr">
        <is>
          <t>ROBERT</t>
        </is>
      </c>
      <c r="L12906">
        <f>_xlfn.XLOOKUP(Tableau1[[#This Row],[TYPE DE PIECE]],Tableau4[MATIERE],Tableau4[SHORT TYPE],"",0,1)</f>
        <v/>
      </c>
      <c r="N12906">
        <f>IF(ISERR(FIND("DECOUPE",Tableau1[[#This Row],[DESIGNATION]])),"","NEED REF")</f>
        <v/>
      </c>
    </row>
    <row r="12907">
      <c r="B12907" t="n">
        <v>34401098</v>
      </c>
      <c r="C12907" s="2" t="n">
        <v>38726</v>
      </c>
      <c r="D12907" t="inlineStr">
        <is>
          <t>SPEC</t>
        </is>
      </c>
      <c r="E12907" t="inlineStr">
        <is>
          <t>SERIGRAPHIE BLANCHE NS 1200kVA</t>
        </is>
      </c>
      <c r="F12907" t="inlineStr">
        <is>
          <t>GALAXY NS</t>
        </is>
      </c>
      <c r="J12907" t="inlineStr">
        <is>
          <t>ROBERT</t>
        </is>
      </c>
      <c r="L12907">
        <f>_xlfn.XLOOKUP(Tableau1[[#This Row],[TYPE DE PIECE]],Tableau4[MATIERE],Tableau4[SHORT TYPE],"",0,1)</f>
        <v/>
      </c>
      <c r="N12907">
        <f>IF(ISERR(FIND("DECOUPE",Tableau1[[#This Row],[DESIGNATION]])),"","NEED REF")</f>
        <v/>
      </c>
    </row>
    <row r="12908">
      <c r="B12908" t="n">
        <v>34401097</v>
      </c>
      <c r="C12908" s="2" t="n">
        <v>38726</v>
      </c>
      <c r="D12908" t="inlineStr">
        <is>
          <t>SPEC</t>
        </is>
      </c>
      <c r="E12908" t="inlineStr">
        <is>
          <t>TOIT IP32 NS 1200kVA</t>
        </is>
      </c>
      <c r="F12908" t="inlineStr">
        <is>
          <t>GALAXY</t>
        </is>
      </c>
      <c r="J12908" t="inlineStr">
        <is>
          <t>ROBERT</t>
        </is>
      </c>
      <c r="L12908">
        <f>_xlfn.XLOOKUP(Tableau1[[#This Row],[TYPE DE PIECE]],Tableau4[MATIERE],Tableau4[SHORT TYPE],"",0,1)</f>
        <v/>
      </c>
      <c r="N12908">
        <f>IF(ISERR(FIND("DECOUPE",Tableau1[[#This Row],[DESIGNATION]])),"","NEED REF")</f>
        <v/>
      </c>
    </row>
    <row r="12909">
      <c r="B12909" t="n">
        <v>34401096</v>
      </c>
      <c r="C12909" s="2" t="n">
        <v>38726</v>
      </c>
      <c r="D12909" t="inlineStr">
        <is>
          <t>SPEC</t>
        </is>
      </c>
      <c r="E12909" t="inlineStr">
        <is>
          <t>TOLE DE FOND IP32 NS 1200kVA</t>
        </is>
      </c>
      <c r="F12909" t="inlineStr">
        <is>
          <t>GALAXY</t>
        </is>
      </c>
      <c r="J12909" t="inlineStr">
        <is>
          <t>ROBERT</t>
        </is>
      </c>
      <c r="L12909">
        <f>_xlfn.XLOOKUP(Tableau1[[#This Row],[TYPE DE PIECE]],Tableau4[MATIERE],Tableau4[SHORT TYPE],"",0,1)</f>
        <v/>
      </c>
      <c r="N12909">
        <f>IF(ISERR(FIND("DECOUPE",Tableau1[[#This Row],[DESIGNATION]])),"","NEED REF")</f>
        <v/>
      </c>
    </row>
    <row r="12910">
      <c r="B12910" t="n">
        <v>34401095</v>
      </c>
      <c r="C12910" s="2" t="n">
        <v>38726</v>
      </c>
      <c r="D12910" t="inlineStr">
        <is>
          <t>NOM</t>
        </is>
      </c>
      <c r="E12910" t="inlineStr">
        <is>
          <t>LG IP32 NS 1200kVA</t>
        </is>
      </c>
      <c r="F12910" t="inlineStr">
        <is>
          <t xml:space="preserve">GALAXY </t>
        </is>
      </c>
      <c r="J12910" t="inlineStr">
        <is>
          <t>ROBERT</t>
        </is>
      </c>
      <c r="L12910">
        <f>_xlfn.XLOOKUP(Tableau1[[#This Row],[TYPE DE PIECE]],Tableau4[MATIERE],Tableau4[SHORT TYPE],"",0,1)</f>
        <v/>
      </c>
      <c r="N12910">
        <f>IF(ISERR(FIND("DECOUPE",Tableau1[[#This Row],[DESIGNATION]])),"","NEED REF")</f>
        <v/>
      </c>
    </row>
    <row r="12911">
      <c r="B12911" t="n">
        <v>34401094</v>
      </c>
      <c r="C12911" s="2" t="n">
        <v>38723</v>
      </c>
      <c r="D12911" t="inlineStr">
        <is>
          <t>SPEC</t>
        </is>
      </c>
      <c r="E12911" t="inlineStr">
        <is>
          <t>Cable batterie 1,8 metre connecteur coudé</t>
        </is>
      </c>
      <c r="F12911" t="inlineStr">
        <is>
          <t xml:space="preserve">COMET EXRT   </t>
        </is>
      </c>
      <c r="J12911" t="inlineStr">
        <is>
          <t>REVEL</t>
        </is>
      </c>
      <c r="L12911">
        <f>_xlfn.XLOOKUP(Tableau1[[#This Row],[TYPE DE PIECE]],Tableau4[MATIERE],Tableau4[SHORT TYPE],"",0,1)</f>
        <v/>
      </c>
      <c r="N12911">
        <f>IF(ISERR(FIND("DECOUPE",Tableau1[[#This Row],[DESIGNATION]])),"","NEED REF")</f>
        <v/>
      </c>
    </row>
    <row r="12912">
      <c r="B12912" t="n">
        <v>34401093</v>
      </c>
      <c r="C12912" s="2" t="n">
        <v>38723</v>
      </c>
      <c r="D12912" t="inlineStr">
        <is>
          <t>CDC</t>
        </is>
      </c>
      <c r="E12912" t="inlineStr">
        <is>
          <t>Cablage boitier deport by pass Mono</t>
        </is>
      </c>
      <c r="F12912" t="inlineStr">
        <is>
          <t xml:space="preserve">COMET EXRT   </t>
        </is>
      </c>
      <c r="J12912" t="inlineStr">
        <is>
          <t>REVEL</t>
        </is>
      </c>
      <c r="L12912">
        <f>_xlfn.XLOOKUP(Tableau1[[#This Row],[TYPE DE PIECE]],Tableau4[MATIERE],Tableau4[SHORT TYPE],"",0,1)</f>
        <v/>
      </c>
      <c r="N12912">
        <f>IF(ISERR(FIND("DECOUPE",Tableau1[[#This Row],[DESIGNATION]])),"","NEED REF")</f>
        <v/>
      </c>
    </row>
    <row r="12913">
      <c r="B12913" t="n">
        <v>34401092</v>
      </c>
      <c r="C12913" s="2" t="n">
        <v>38721</v>
      </c>
      <c r="D12913" t="inlineStr">
        <is>
          <t>NOM</t>
        </is>
      </c>
      <c r="E12913" t="inlineStr">
        <is>
          <t>LG PSEUDO NS MODULAIRE ARMOIRE 1000mm NEW ESTETHIQUE</t>
        </is>
      </c>
      <c r="F12913" t="inlineStr">
        <is>
          <t>GALAXY 6000</t>
        </is>
      </c>
      <c r="J12913" t="inlineStr">
        <is>
          <t>FERRIER</t>
        </is>
      </c>
      <c r="L12913">
        <f>_xlfn.XLOOKUP(Tableau1[[#This Row],[TYPE DE PIECE]],Tableau4[MATIERE],Tableau4[SHORT TYPE],"",0,1)</f>
        <v/>
      </c>
      <c r="N12913">
        <f>IF(ISERR(FIND("DECOUPE",Tableau1[[#This Row],[DESIGNATION]])),"","NEED REF")</f>
        <v/>
      </c>
    </row>
    <row r="12914">
      <c r="B12914" t="n">
        <v>34401091</v>
      </c>
      <c r="C12914" s="2" t="n">
        <v>38720</v>
      </c>
      <c r="D12914" t="inlineStr">
        <is>
          <t>CDC</t>
        </is>
      </c>
      <c r="E12914" t="inlineStr">
        <is>
          <t>CDC CONFIG. BATTERIES P. ETANCHE EN ARM. COMET 3000</t>
        </is>
      </c>
      <c r="J12914" t="inlineStr">
        <is>
          <t>ÇAKIR</t>
        </is>
      </c>
      <c r="L12914">
        <f>_xlfn.XLOOKUP(Tableau1[[#This Row],[TYPE DE PIECE]],Tableau4[MATIERE],Tableau4[SHORT TYPE],"",0,1)</f>
        <v/>
      </c>
      <c r="N12914">
        <f>IF(ISERR(FIND("DECOUPE",Tableau1[[#This Row],[DESIGNATION]])),"","NEED REF")</f>
        <v/>
      </c>
    </row>
    <row r="12915">
      <c r="B12915" t="n">
        <v>34401090</v>
      </c>
      <c r="C12915" s="2" t="n">
        <v>38714</v>
      </c>
      <c r="D12915" t="inlineStr">
        <is>
          <t>NOM</t>
        </is>
      </c>
      <c r="E12915" t="inlineStr">
        <is>
          <t>LG complémentaire ARM L=1200 nvlle esthétique à rajouter à l'ancienne arm TT</t>
        </is>
      </c>
      <c r="F12915" t="inlineStr">
        <is>
          <t>ARM L=1000 G6000</t>
        </is>
      </c>
      <c r="J12915" t="inlineStr">
        <is>
          <t>ROBERT</t>
        </is>
      </c>
      <c r="L12915">
        <f>_xlfn.XLOOKUP(Tableau1[[#This Row],[TYPE DE PIECE]],Tableau4[MATIERE],Tableau4[SHORT TYPE],"",0,1)</f>
        <v/>
      </c>
      <c r="N12915">
        <f>IF(ISERR(FIND("DECOUPE",Tableau1[[#This Row],[DESIGNATION]])),"","NEED REF")</f>
        <v/>
      </c>
    </row>
    <row r="12916">
      <c r="B12916" t="n">
        <v>34401089</v>
      </c>
      <c r="C12916" s="2" t="n">
        <v>38714</v>
      </c>
      <c r="D12916" t="inlineStr">
        <is>
          <t>NOM</t>
        </is>
      </c>
      <c r="E12916" t="inlineStr">
        <is>
          <t>LG complémentaire ARM L=800 nvlle esthétique à rajouter à l'ancienne arm TT</t>
        </is>
      </c>
      <c r="F12916" t="inlineStr">
        <is>
          <t>ARM L=1000 G6000</t>
        </is>
      </c>
      <c r="J12916" t="inlineStr">
        <is>
          <t>ROBERT</t>
        </is>
      </c>
      <c r="L12916">
        <f>_xlfn.XLOOKUP(Tableau1[[#This Row],[TYPE DE PIECE]],Tableau4[MATIERE],Tableau4[SHORT TYPE],"",0,1)</f>
        <v/>
      </c>
      <c r="N12916">
        <f>IF(ISERR(FIND("DECOUPE",Tableau1[[#This Row],[DESIGNATION]])),"","NEED REF")</f>
        <v/>
      </c>
    </row>
    <row r="12917">
      <c r="B12917" t="n">
        <v>34401088</v>
      </c>
      <c r="C12917" s="2" t="n">
        <v>38714</v>
      </c>
      <c r="D12917" t="inlineStr">
        <is>
          <t>NOM</t>
        </is>
      </c>
      <c r="E12917" t="inlineStr">
        <is>
          <t>LG complémentaire ARM L=600 nvlle esthétique à rajouter à l'ancienne arm TT</t>
        </is>
      </c>
      <c r="F12917" t="inlineStr">
        <is>
          <t>ARM L=1000 G6000</t>
        </is>
      </c>
      <c r="J12917" t="inlineStr">
        <is>
          <t>ROBERT</t>
        </is>
      </c>
      <c r="L12917">
        <f>_xlfn.XLOOKUP(Tableau1[[#This Row],[TYPE DE PIECE]],Tableau4[MATIERE],Tableau4[SHORT TYPE],"",0,1)</f>
        <v/>
      </c>
      <c r="N12917">
        <f>IF(ISERR(FIND("DECOUPE",Tableau1[[#This Row],[DESIGNATION]])),"","NEED REF")</f>
        <v/>
      </c>
    </row>
    <row r="12918">
      <c r="B12918" t="n">
        <v>34401087</v>
      </c>
      <c r="C12918" s="2" t="n">
        <v>37618</v>
      </c>
      <c r="D12918" t="inlineStr">
        <is>
          <t>NOM</t>
        </is>
      </c>
      <c r="E12918" t="inlineStr">
        <is>
          <t>LG KIT CF=&gt;PR PW 160kVA</t>
        </is>
      </c>
      <c r="F12918" t="inlineStr">
        <is>
          <t>GALAXY PW</t>
        </is>
      </c>
      <c r="J12918" t="inlineStr">
        <is>
          <t>FOLTZ</t>
        </is>
      </c>
      <c r="L12918">
        <f>_xlfn.XLOOKUP(Tableau1[[#This Row],[TYPE DE PIECE]],Tableau4[MATIERE],Tableau4[SHORT TYPE],"",0,1)</f>
        <v/>
      </c>
      <c r="N12918">
        <f>IF(ISERR(FIND("DECOUPE",Tableau1[[#This Row],[DESIGNATION]])),"","NEED REF")</f>
        <v/>
      </c>
    </row>
    <row r="12919">
      <c r="B12919" t="n">
        <v>34401086</v>
      </c>
      <c r="C12919" s="2" t="n">
        <v>38714</v>
      </c>
      <c r="D12919" t="inlineStr">
        <is>
          <t>NOM</t>
        </is>
      </c>
      <c r="E12919" t="inlineStr">
        <is>
          <t>LG KIT CF=&gt;PR PW 100kVA</t>
        </is>
      </c>
      <c r="F12919" t="inlineStr">
        <is>
          <t>GALAXY PW</t>
        </is>
      </c>
      <c r="J12919" t="inlineStr">
        <is>
          <t>FOLTZ</t>
        </is>
      </c>
      <c r="L12919">
        <f>_xlfn.XLOOKUP(Tableau1[[#This Row],[TYPE DE PIECE]],Tableau4[MATIERE],Tableau4[SHORT TYPE],"",0,1)</f>
        <v/>
      </c>
      <c r="N12919">
        <f>IF(ISERR(FIND("DECOUPE",Tableau1[[#This Row],[DESIGNATION]])),"","NEED REF")</f>
        <v/>
      </c>
    </row>
    <row r="12920">
      <c r="B12920" t="n">
        <v>34401085</v>
      </c>
      <c r="C12920" s="2" t="n">
        <v>38709</v>
      </c>
      <c r="D12920" t="inlineStr">
        <is>
          <t>CDC</t>
        </is>
      </c>
      <c r="E12920" t="inlineStr">
        <is>
          <t>Skid Galaxy PW 80kVA</t>
        </is>
      </c>
      <c r="F12920" t="inlineStr">
        <is>
          <t>Galaxy PW</t>
        </is>
      </c>
      <c r="J12920" t="inlineStr">
        <is>
          <t>REVEL</t>
        </is>
      </c>
      <c r="L12920">
        <f>_xlfn.XLOOKUP(Tableau1[[#This Row],[TYPE DE PIECE]],Tableau4[MATIERE],Tableau4[SHORT TYPE],"",0,1)</f>
        <v/>
      </c>
      <c r="N12920">
        <f>IF(ISERR(FIND("DECOUPE",Tableau1[[#This Row],[DESIGNATION]])),"","NEED REF")</f>
        <v/>
      </c>
    </row>
    <row r="12921">
      <c r="B12921" t="n">
        <v>34401084</v>
      </c>
      <c r="C12921" s="2" t="n">
        <v>38709</v>
      </c>
      <c r="D12921" t="inlineStr">
        <is>
          <t>CDC</t>
        </is>
      </c>
      <c r="E12921" t="inlineStr">
        <is>
          <t>Skid Galaxy PW 20kVA</t>
        </is>
      </c>
      <c r="F12921" t="inlineStr">
        <is>
          <t>Galaxy PW</t>
        </is>
      </c>
      <c r="J12921" t="inlineStr">
        <is>
          <t>REVEL</t>
        </is>
      </c>
      <c r="L12921">
        <f>_xlfn.XLOOKUP(Tableau1[[#This Row],[TYPE DE PIECE]],Tableau4[MATIERE],Tableau4[SHORT TYPE],"",0,1)</f>
        <v/>
      </c>
      <c r="N12921">
        <f>IF(ISERR(FIND("DECOUPE",Tableau1[[#This Row],[DESIGNATION]])),"","NEED REF")</f>
        <v/>
      </c>
    </row>
    <row r="12922">
      <c r="B12922" t="n">
        <v>34401083</v>
      </c>
      <c r="C12922" s="2" t="n">
        <v>38708</v>
      </c>
      <c r="D12922" t="inlineStr">
        <is>
          <t>CDC</t>
        </is>
      </c>
      <c r="E12922" t="inlineStr">
        <is>
          <t>Armoire batterie IP22 marine ep 20/10</t>
        </is>
      </c>
      <c r="F12922" t="inlineStr">
        <is>
          <t>GALAXY L=800</t>
        </is>
      </c>
      <c r="J12922" t="inlineStr">
        <is>
          <t>REVEL</t>
        </is>
      </c>
      <c r="L12922">
        <f>_xlfn.XLOOKUP(Tableau1[[#This Row],[TYPE DE PIECE]],Tableau4[MATIERE],Tableau4[SHORT TYPE],"",0,1)</f>
        <v/>
      </c>
      <c r="N12922">
        <f>IF(ISERR(FIND("DECOUPE",Tableau1[[#This Row],[DESIGNATION]])),"","NEED REF")</f>
        <v/>
      </c>
    </row>
    <row r="12923">
      <c r="B12923" t="n">
        <v>34401082</v>
      </c>
      <c r="C12923" s="2" t="n">
        <v>38707</v>
      </c>
      <c r="D12923" t="inlineStr">
        <is>
          <t>CDC</t>
        </is>
      </c>
      <c r="E12923" t="inlineStr">
        <is>
          <t>Galaxy PW 80kVA marine ep 20/10</t>
        </is>
      </c>
      <c r="F12923" t="inlineStr">
        <is>
          <t>GAL PW 20kVA</t>
        </is>
      </c>
      <c r="J12923" t="inlineStr">
        <is>
          <t>REVEL</t>
        </is>
      </c>
      <c r="L12923">
        <f>_xlfn.XLOOKUP(Tableau1[[#This Row],[TYPE DE PIECE]],Tableau4[MATIERE],Tableau4[SHORT TYPE],"",0,1)</f>
        <v/>
      </c>
      <c r="N12923">
        <f>IF(ISERR(FIND("DECOUPE",Tableau1[[#This Row],[DESIGNATION]])),"","NEED REF")</f>
        <v/>
      </c>
    </row>
    <row r="12924">
      <c r="B12924" t="n">
        <v>34401081</v>
      </c>
      <c r="C12924" s="2" t="n">
        <v>38707</v>
      </c>
      <c r="D12924" t="inlineStr">
        <is>
          <t>CDC</t>
        </is>
      </c>
      <c r="E12924" t="inlineStr">
        <is>
          <t>Galaxy PW 20kVA marine ep 20/10</t>
        </is>
      </c>
      <c r="F12924" t="inlineStr">
        <is>
          <t>GAL PW 20kVA</t>
        </is>
      </c>
      <c r="J12924" t="inlineStr">
        <is>
          <t>REVEL</t>
        </is>
      </c>
      <c r="L12924">
        <f>_xlfn.XLOOKUP(Tableau1[[#This Row],[TYPE DE PIECE]],Tableau4[MATIERE],Tableau4[SHORT TYPE],"",0,1)</f>
        <v/>
      </c>
      <c r="N12924">
        <f>IF(ISERR(FIND("DECOUPE",Tableau1[[#This Row],[DESIGNATION]])),"","NEED REF")</f>
        <v/>
      </c>
    </row>
    <row r="12925">
      <c r="B12925" t="n">
        <v>34401080</v>
      </c>
      <c r="C12925" s="2" t="n">
        <v>38706</v>
      </c>
      <c r="D12925" t="inlineStr">
        <is>
          <t>CDC</t>
        </is>
      </c>
      <c r="E12925" t="inlineStr">
        <is>
          <t>Armoire batterie IP22 marine ep 20/10</t>
        </is>
      </c>
      <c r="F12925" t="inlineStr">
        <is>
          <t>GAL PW 715</t>
        </is>
      </c>
      <c r="J12925" t="inlineStr">
        <is>
          <t>REVEL</t>
        </is>
      </c>
      <c r="L12925">
        <f>_xlfn.XLOOKUP(Tableau1[[#This Row],[TYPE DE PIECE]],Tableau4[MATIERE],Tableau4[SHORT TYPE],"",0,1)</f>
        <v/>
      </c>
      <c r="N12925">
        <f>IF(ISERR(FIND("DECOUPE",Tableau1[[#This Row],[DESIGNATION]])),"","NEED REF")</f>
        <v/>
      </c>
    </row>
    <row r="12926">
      <c r="B12926" t="n">
        <v>34401079</v>
      </c>
      <c r="C12926" s="2" t="n">
        <v>38701</v>
      </c>
      <c r="D12926" t="inlineStr">
        <is>
          <t>CDC</t>
        </is>
      </c>
      <c r="E12926" t="inlineStr">
        <is>
          <t>THM GL SANS TI+SUR BORNES 3P</t>
        </is>
      </c>
      <c r="F12926" t="inlineStr">
        <is>
          <t>GALAXY</t>
        </is>
      </c>
      <c r="J12926" t="inlineStr">
        <is>
          <t>FOLTZ</t>
        </is>
      </c>
      <c r="L12926">
        <f>_xlfn.XLOOKUP(Tableau1[[#This Row],[TYPE DE PIECE]],Tableau4[MATIERE],Tableau4[SHORT TYPE],"",0,1)</f>
        <v/>
      </c>
      <c r="N12926">
        <f>IF(ISERR(FIND("DECOUPE",Tableau1[[#This Row],[DESIGNATION]])),"","NEED REF")</f>
        <v/>
      </c>
    </row>
    <row r="12927">
      <c r="B12927" t="n">
        <v>34401078</v>
      </c>
      <c r="C12927" s="2" t="n">
        <v>38694</v>
      </c>
      <c r="D12927" t="inlineStr">
        <is>
          <t>CDC</t>
        </is>
      </c>
      <c r="E12927" t="inlineStr">
        <is>
          <t>BOITIER DEPORT BYPASS COMET EXRT(tolerie)</t>
        </is>
      </c>
      <c r="F12927" t="inlineStr">
        <is>
          <t xml:space="preserve">COMET EXRT   </t>
        </is>
      </c>
      <c r="J12927" t="inlineStr">
        <is>
          <t>REVEL</t>
        </is>
      </c>
      <c r="L12927">
        <f>_xlfn.XLOOKUP(Tableau1[[#This Row],[TYPE DE PIECE]],Tableau4[MATIERE],Tableau4[SHORT TYPE],"",0,1)</f>
        <v/>
      </c>
      <c r="N12927">
        <f>IF(ISERR(FIND("DECOUPE",Tableau1[[#This Row],[DESIGNATION]])),"","NEED REF")</f>
        <v/>
      </c>
    </row>
    <row r="12928">
      <c r="B12928" t="n">
        <v>34401077</v>
      </c>
      <c r="C12928" s="2" t="n">
        <v>38692</v>
      </c>
      <c r="D12928" t="inlineStr">
        <is>
          <t>CDC</t>
        </is>
      </c>
      <c r="E12928" t="inlineStr">
        <is>
          <t>Caillebotis marine coulissant</t>
        </is>
      </c>
      <c r="F12928" t="inlineStr">
        <is>
          <t>Arm PW</t>
        </is>
      </c>
      <c r="J12928" t="inlineStr">
        <is>
          <t>REVEL</t>
        </is>
      </c>
      <c r="L12928">
        <f>_xlfn.XLOOKUP(Tableau1[[#This Row],[TYPE DE PIECE]],Tableau4[MATIERE],Tableau4[SHORT TYPE],"",0,1)</f>
        <v/>
      </c>
      <c r="N12928">
        <f>IF(ISERR(FIND("DECOUPE",Tableau1[[#This Row],[DESIGNATION]])),"","NEED REF")</f>
        <v/>
      </c>
    </row>
    <row r="12929">
      <c r="B12929" t="n">
        <v>34401076</v>
      </c>
      <c r="C12929" s="2" t="n">
        <v>38688</v>
      </c>
      <c r="D12929" t="inlineStr">
        <is>
          <t>NOM</t>
        </is>
      </c>
      <c r="E12929" t="inlineStr">
        <is>
          <t>LG complémentaire ARM L=1000 nvlle esthétique à rajouter à l'ancienne arm TT</t>
        </is>
      </c>
      <c r="F12929" t="inlineStr">
        <is>
          <t>ARM L=1000 G6000</t>
        </is>
      </c>
      <c r="J12929" t="inlineStr">
        <is>
          <t>FOLTZ</t>
        </is>
      </c>
      <c r="L12929">
        <f>_xlfn.XLOOKUP(Tableau1[[#This Row],[TYPE DE PIECE]],Tableau4[MATIERE],Tableau4[SHORT TYPE],"",0,1)</f>
        <v/>
      </c>
      <c r="N12929">
        <f>IF(ISERR(FIND("DECOUPE",Tableau1[[#This Row],[DESIGNATION]])),"","NEED REF")</f>
        <v/>
      </c>
    </row>
    <row r="12930">
      <c r="B12930" t="n">
        <v>34401075</v>
      </c>
      <c r="C12930" s="2" t="n">
        <v>38688</v>
      </c>
      <c r="D12930" t="inlineStr">
        <is>
          <t>CDC</t>
        </is>
      </c>
      <c r="E12930" t="inlineStr">
        <is>
          <t xml:space="preserve">Chassis support TFO </t>
        </is>
      </c>
      <c r="F12930" t="inlineStr">
        <is>
          <t>Gal PW 1015</t>
        </is>
      </c>
      <c r="J12930" t="inlineStr">
        <is>
          <t>REVEL</t>
        </is>
      </c>
      <c r="L12930">
        <f>_xlfn.XLOOKUP(Tableau1[[#This Row],[TYPE DE PIECE]],Tableau4[MATIERE],Tableau4[SHORT TYPE],"",0,1)</f>
        <v/>
      </c>
      <c r="N12930">
        <f>IF(ISERR(FIND("DECOUPE",Tableau1[[#This Row],[DESIGNATION]])),"","NEED REF")</f>
        <v/>
      </c>
    </row>
    <row r="12931">
      <c r="B12931" t="n">
        <v>34401074</v>
      </c>
      <c r="C12931" s="2" t="n">
        <v>38687</v>
      </c>
      <c r="D12931" t="inlineStr">
        <is>
          <t>NOM</t>
        </is>
      </c>
      <c r="E12931" t="inlineStr">
        <is>
          <t>LG COUPLAGE BATT 15-30kVA GALAXY 3000</t>
        </is>
      </c>
      <c r="F12931" t="inlineStr">
        <is>
          <t>GALAXY 3000 15/30kVA</t>
        </is>
      </c>
      <c r="J12931" t="inlineStr">
        <is>
          <t>FOLTZ</t>
        </is>
      </c>
      <c r="L12931">
        <f>_xlfn.XLOOKUP(Tableau1[[#This Row],[TYPE DE PIECE]],Tableau4[MATIERE],Tableau4[SHORT TYPE],"",0,1)</f>
        <v/>
      </c>
      <c r="N12931">
        <f>IF(ISERR(FIND("DECOUPE",Tableau1[[#This Row],[DESIGNATION]])),"","NEED REF")</f>
        <v/>
      </c>
    </row>
    <row r="12932">
      <c r="B12932" t="n">
        <v>34401073</v>
      </c>
      <c r="C12932" s="2" t="n">
        <v>38686</v>
      </c>
      <c r="D12932" t="inlineStr">
        <is>
          <t>CDC</t>
        </is>
      </c>
      <c r="E12932" t="inlineStr">
        <is>
          <t>Reprise apres recette sur baie thales</t>
        </is>
      </c>
      <c r="F12932" t="inlineStr">
        <is>
          <t>Baie marine</t>
        </is>
      </c>
      <c r="J12932" t="inlineStr">
        <is>
          <t>REVEL</t>
        </is>
      </c>
      <c r="L12932">
        <f>_xlfn.XLOOKUP(Tableau1[[#This Row],[TYPE DE PIECE]],Tableau4[MATIERE],Tableau4[SHORT TYPE],"",0,1)</f>
        <v/>
      </c>
      <c r="N12932">
        <f>IF(ISERR(FIND("DECOUPE",Tableau1[[#This Row],[DESIGNATION]])),"","NEED REF")</f>
        <v/>
      </c>
    </row>
    <row r="12933">
      <c r="B12933" t="n">
        <v>34401072</v>
      </c>
      <c r="C12933" s="2" t="n">
        <v>38680</v>
      </c>
      <c r="D12933" t="inlineStr">
        <is>
          <t>SCH</t>
        </is>
      </c>
      <c r="E12933" t="inlineStr">
        <is>
          <t>NS2400 LT avec armoire de couplage</t>
        </is>
      </c>
      <c r="F12933" t="inlineStr">
        <is>
          <t>NS2400LT</t>
        </is>
      </c>
      <c r="J12933" t="inlineStr">
        <is>
          <t>REVEL</t>
        </is>
      </c>
      <c r="L12933">
        <f>_xlfn.XLOOKUP(Tableau1[[#This Row],[TYPE DE PIECE]],Tableau4[MATIERE],Tableau4[SHORT TYPE],"",0,1)</f>
        <v/>
      </c>
      <c r="N12933">
        <f>IF(ISERR(FIND("DECOUPE",Tableau1[[#This Row],[DESIGNATION]])),"","NEED REF")</f>
        <v/>
      </c>
    </row>
    <row r="12934">
      <c r="B12934" t="n">
        <v>34401071</v>
      </c>
      <c r="C12934" s="2" t="n">
        <v>38680</v>
      </c>
      <c r="D12934" t="inlineStr">
        <is>
          <t>CDC</t>
        </is>
      </c>
      <c r="E12934" t="inlineStr">
        <is>
          <t>Dossier de montageconnections déportées</t>
        </is>
      </c>
      <c r="F12934" t="inlineStr">
        <is>
          <t>UPSILON STS 250A</t>
        </is>
      </c>
      <c r="J12934" t="inlineStr">
        <is>
          <t>ROBERT</t>
        </is>
      </c>
      <c r="L12934">
        <f>_xlfn.XLOOKUP(Tableau1[[#This Row],[TYPE DE PIECE]],Tableau4[MATIERE],Tableau4[SHORT TYPE],"",0,1)</f>
        <v/>
      </c>
      <c r="N12934">
        <f>IF(ISERR(FIND("DECOUPE",Tableau1[[#This Row],[DESIGNATION]])),"","NEED REF")</f>
        <v/>
      </c>
    </row>
    <row r="12935">
      <c r="B12935" t="n">
        <v>34401070</v>
      </c>
      <c r="C12935" s="2" t="n">
        <v>38679</v>
      </c>
      <c r="D12935" t="inlineStr">
        <is>
          <t>NOM</t>
        </is>
      </c>
      <c r="E12935" t="inlineStr">
        <is>
          <t>LG IP22 ARM BATT 1015 couleur std</t>
        </is>
      </c>
      <c r="F12935" t="inlineStr">
        <is>
          <t xml:space="preserve">GALAXY PW  </t>
        </is>
      </c>
      <c r="J12935" t="inlineStr">
        <is>
          <t>ROBERT</t>
        </is>
      </c>
      <c r="L12935">
        <f>_xlfn.XLOOKUP(Tableau1[[#This Row],[TYPE DE PIECE]],Tableau4[MATIERE],Tableau4[SHORT TYPE],"",0,1)</f>
        <v/>
      </c>
      <c r="N12935">
        <f>IF(ISERR(FIND("DECOUPE",Tableau1[[#This Row],[DESIGNATION]])),"","NEED REF")</f>
        <v/>
      </c>
    </row>
    <row r="12936">
      <c r="B12936" t="n">
        <v>34401069</v>
      </c>
      <c r="C12936" s="2" t="n">
        <v>38678</v>
      </c>
      <c r="D12936" t="inlineStr">
        <is>
          <t>CDC</t>
        </is>
      </c>
      <c r="E12936" t="inlineStr">
        <is>
          <t>CDC CAILLEBOTIS MARINE 715+1015</t>
        </is>
      </c>
      <c r="F12936" t="inlineStr">
        <is>
          <t>GALAXY PW 80kVA</t>
        </is>
      </c>
      <c r="J12936" t="inlineStr">
        <is>
          <t>ROBERT</t>
        </is>
      </c>
      <c r="L12936">
        <f>_xlfn.XLOOKUP(Tableau1[[#This Row],[TYPE DE PIECE]],Tableau4[MATIERE],Tableau4[SHORT TYPE],"",0,1)</f>
        <v/>
      </c>
      <c r="N12936">
        <f>IF(ISERR(FIND("DECOUPE",Tableau1[[#This Row],[DESIGNATION]])),"","NEED REF")</f>
        <v/>
      </c>
    </row>
    <row r="12937">
      <c r="B12937" t="n">
        <v>34401068</v>
      </c>
      <c r="C12937" s="2" t="n">
        <v>38674</v>
      </c>
      <c r="D12937" t="inlineStr">
        <is>
          <t>CDC</t>
        </is>
      </c>
      <c r="E12937" t="inlineStr">
        <is>
          <t>CDC arm 800mm avec ATFO pahse shift double</t>
        </is>
      </c>
      <c r="F12937" t="inlineStr">
        <is>
          <t>Galaxy 450kVA</t>
        </is>
      </c>
      <c r="J12937" t="inlineStr">
        <is>
          <t>REVEL</t>
        </is>
      </c>
      <c r="L12937">
        <f>_xlfn.XLOOKUP(Tableau1[[#This Row],[TYPE DE PIECE]],Tableau4[MATIERE],Tableau4[SHORT TYPE],"",0,1)</f>
        <v/>
      </c>
      <c r="N12937">
        <f>IF(ISERR(FIND("DECOUPE",Tableau1[[#This Row],[DESIGNATION]])),"","NEED REF")</f>
        <v/>
      </c>
    </row>
    <row r="12938">
      <c r="B12938" t="n">
        <v>34401067</v>
      </c>
      <c r="C12938" s="2" t="n">
        <v>38672</v>
      </c>
      <c r="D12938" t="inlineStr">
        <is>
          <t>SPEC</t>
        </is>
      </c>
      <c r="E12938" t="inlineStr">
        <is>
          <t>Schema de principe Q5N et Q8T</t>
        </is>
      </c>
      <c r="F12938" t="inlineStr">
        <is>
          <t>Galaxy 200/300 kVA P</t>
        </is>
      </c>
      <c r="J12938" t="inlineStr">
        <is>
          <t>REVEL</t>
        </is>
      </c>
      <c r="L12938">
        <f>_xlfn.XLOOKUP(Tableau1[[#This Row],[TYPE DE PIECE]],Tableau4[MATIERE],Tableau4[SHORT TYPE],"",0,1)</f>
        <v/>
      </c>
      <c r="N12938">
        <f>IF(ISERR(FIND("DECOUPE",Tableau1[[#This Row],[DESIGNATION]])),"","NEED REF")</f>
        <v/>
      </c>
    </row>
    <row r="12939">
      <c r="B12939" t="n">
        <v>34401066</v>
      </c>
      <c r="C12939" s="2" t="n">
        <v>38671</v>
      </c>
      <c r="D12939" t="inlineStr">
        <is>
          <t>CDC</t>
        </is>
      </c>
      <c r="E12939" t="inlineStr">
        <is>
          <t>CDC Arm 800mm 3 DJ BATT + SELF 600kVA</t>
        </is>
      </c>
      <c r="F12939" t="inlineStr">
        <is>
          <t>ARMOIRE 3 DJ BATT 450kVA + SELF 600kVA</t>
        </is>
      </c>
      <c r="J12939" t="inlineStr">
        <is>
          <t>FERRIER</t>
        </is>
      </c>
      <c r="L12939">
        <f>_xlfn.XLOOKUP(Tableau1[[#This Row],[TYPE DE PIECE]],Tableau4[MATIERE],Tableau4[SHORT TYPE],"",0,1)</f>
        <v/>
      </c>
      <c r="N12939">
        <f>IF(ISERR(FIND("DECOUPE",Tableau1[[#This Row],[DESIGNATION]])),"","NEED REF")</f>
        <v/>
      </c>
    </row>
    <row r="12940">
      <c r="B12940" t="n">
        <v>34401065</v>
      </c>
      <c r="C12940" s="2" t="n">
        <v>38670</v>
      </c>
      <c r="D12940" t="inlineStr">
        <is>
          <t>SPEC</t>
        </is>
      </c>
      <c r="E12940" t="inlineStr">
        <is>
          <t>kit cuivre pontage DJ 400kVA avec self</t>
        </is>
      </c>
      <c r="F12940" t="inlineStr">
        <is>
          <t>KIT DJ BATT 400kVA AVEC SELF</t>
        </is>
      </c>
      <c r="J12940" t="inlineStr">
        <is>
          <t>FERRIER</t>
        </is>
      </c>
      <c r="L12940">
        <f>_xlfn.XLOOKUP(Tableau1[[#This Row],[TYPE DE PIECE]],Tableau4[MATIERE],Tableau4[SHORT TYPE],"",0,1)</f>
        <v/>
      </c>
      <c r="N12940">
        <f>IF(ISERR(FIND("DECOUPE",Tableau1[[#This Row],[DESIGNATION]])),"","NEED REF")</f>
        <v/>
      </c>
    </row>
    <row r="12941">
      <c r="B12941" t="n">
        <v>34401064</v>
      </c>
      <c r="C12941" s="2" t="n">
        <v>38670</v>
      </c>
      <c r="D12941" t="inlineStr">
        <is>
          <t>SPEC</t>
        </is>
      </c>
      <c r="E12941" t="inlineStr">
        <is>
          <t>Kit protection arrière surtoit IP23 L=1015</t>
        </is>
      </c>
      <c r="F12941" t="inlineStr">
        <is>
          <t>Cellule PW L=1016</t>
        </is>
      </c>
      <c r="J12941" t="inlineStr">
        <is>
          <t>FOLTZ</t>
        </is>
      </c>
      <c r="L12941">
        <f>_xlfn.XLOOKUP(Tableau1[[#This Row],[TYPE DE PIECE]],Tableau4[MATIERE],Tableau4[SHORT TYPE],"",0,1)</f>
        <v/>
      </c>
      <c r="N12941">
        <f>IF(ISERR(FIND("DECOUPE",Tableau1[[#This Row],[DESIGNATION]])),"","NEED REF")</f>
        <v/>
      </c>
    </row>
    <row r="12942">
      <c r="B12942" t="n">
        <v>34401063</v>
      </c>
      <c r="C12942" s="2" t="n">
        <v>38670</v>
      </c>
      <c r="D12942" t="inlineStr">
        <is>
          <t>SPEC</t>
        </is>
      </c>
      <c r="E12942" t="inlineStr">
        <is>
          <t>Protection avant surtoit IP23 L=1015</t>
        </is>
      </c>
      <c r="F12942" t="inlineStr">
        <is>
          <t>Cellule PW L=1015</t>
        </is>
      </c>
      <c r="J12942" t="inlineStr">
        <is>
          <t>FOLTZ</t>
        </is>
      </c>
      <c r="L12942">
        <f>_xlfn.XLOOKUP(Tableau1[[#This Row],[TYPE DE PIECE]],Tableau4[MATIERE],Tableau4[SHORT TYPE],"",0,1)</f>
        <v/>
      </c>
      <c r="N12942">
        <f>IF(ISERR(FIND("DECOUPE",Tableau1[[#This Row],[DESIGNATION]])),"","NEED REF")</f>
        <v/>
      </c>
    </row>
    <row r="12943">
      <c r="B12943" t="n">
        <v>34401062</v>
      </c>
      <c r="C12943" s="2" t="n">
        <v>38666</v>
      </c>
      <c r="D12943" t="inlineStr">
        <is>
          <t>CDC</t>
        </is>
      </c>
      <c r="E12943" t="inlineStr">
        <is>
          <t>Bandeau Avant/arrière pour armoire de 800mm</t>
        </is>
      </c>
      <c r="F12943" t="inlineStr">
        <is>
          <t>CELLULE GALAXY 800mm</t>
        </is>
      </c>
      <c r="J12943" t="inlineStr">
        <is>
          <t>FERRIER</t>
        </is>
      </c>
      <c r="L12943">
        <f>_xlfn.XLOOKUP(Tableau1[[#This Row],[TYPE DE PIECE]],Tableau4[MATIERE],Tableau4[SHORT TYPE],"",0,1)</f>
        <v/>
      </c>
      <c r="N12943">
        <f>IF(ISERR(FIND("DECOUPE",Tableau1[[#This Row],[DESIGNATION]])),"","NEED REF")</f>
        <v/>
      </c>
    </row>
    <row r="12944">
      <c r="B12944" t="n">
        <v>34401061</v>
      </c>
      <c r="C12944" s="2" t="n">
        <v>38666</v>
      </c>
      <c r="D12944" t="inlineStr">
        <is>
          <t>CDC</t>
        </is>
      </c>
      <c r="E12944" t="inlineStr">
        <is>
          <t>CDC Prestation Etude + Adaptation méca / GN (nouvelle esthétique)</t>
        </is>
      </c>
      <c r="F12944" t="inlineStr">
        <is>
          <t>CELLULE GALAXY 800mm</t>
        </is>
      </c>
      <c r="J12944" t="inlineStr">
        <is>
          <t>FERRIER</t>
        </is>
      </c>
      <c r="L12944">
        <f>_xlfn.XLOOKUP(Tableau1[[#This Row],[TYPE DE PIECE]],Tableau4[MATIERE],Tableau4[SHORT TYPE],"",0,1)</f>
        <v/>
      </c>
      <c r="N12944">
        <f>IF(ISERR(FIND("DECOUPE",Tableau1[[#This Row],[DESIGNATION]])),"","NEED REF")</f>
        <v/>
      </c>
    </row>
    <row r="12945">
      <c r="B12945" t="n">
        <v>34401060</v>
      </c>
      <c r="C12945" s="2" t="n">
        <v>38666</v>
      </c>
      <c r="D12945" t="inlineStr">
        <is>
          <t>CDC</t>
        </is>
      </c>
      <c r="E12945" t="inlineStr">
        <is>
          <t>CDC Prestation Etude + Adaptation méca / GN (nouvelle esthétique)</t>
        </is>
      </c>
      <c r="F12945" t="inlineStr">
        <is>
          <t>CELLULE GALAXY 1200mm</t>
        </is>
      </c>
      <c r="J12945" t="inlineStr">
        <is>
          <t>FERRIER</t>
        </is>
      </c>
      <c r="L12945">
        <f>_xlfn.XLOOKUP(Tableau1[[#This Row],[TYPE DE PIECE]],Tableau4[MATIERE],Tableau4[SHORT TYPE],"",0,1)</f>
        <v/>
      </c>
      <c r="N12945">
        <f>IF(ISERR(FIND("DECOUPE",Tableau1[[#This Row],[DESIGNATION]])),"","NEED REF")</f>
        <v/>
      </c>
    </row>
    <row r="12946">
      <c r="B12946" t="n">
        <v>34401059</v>
      </c>
      <c r="C12946" s="2" t="n">
        <v>38666</v>
      </c>
      <c r="D12946" t="inlineStr">
        <is>
          <t>CDC</t>
        </is>
      </c>
      <c r="E12946" t="inlineStr">
        <is>
          <t>CDC Prestation Etude + Adaptation méca / GN (nouvelle esthétique)</t>
        </is>
      </c>
      <c r="F12946" t="inlineStr">
        <is>
          <t>GALAXY 450kVA : 1600mm</t>
        </is>
      </c>
      <c r="J12946" t="inlineStr">
        <is>
          <t>FERRIER</t>
        </is>
      </c>
      <c r="L12946">
        <f>_xlfn.XLOOKUP(Tableau1[[#This Row],[TYPE DE PIECE]],Tableau4[MATIERE],Tableau4[SHORT TYPE],"",0,1)</f>
        <v/>
      </c>
      <c r="N12946">
        <f>IF(ISERR(FIND("DECOUPE",Tableau1[[#This Row],[DESIGNATION]])),"","NEED REF")</f>
        <v/>
      </c>
    </row>
    <row r="12947">
      <c r="B12947" t="n">
        <v>34401058</v>
      </c>
      <c r="C12947" s="2" t="n">
        <v>38665</v>
      </c>
      <c r="D12947" t="inlineStr">
        <is>
          <t>SPEC</t>
        </is>
      </c>
      <c r="E12947" t="inlineStr">
        <is>
          <t>ATFO PHASE SHIFTING 539kVA  P1=+12° N1=-12° P2=+24° N2=-24°</t>
        </is>
      </c>
      <c r="F12947" t="inlineStr">
        <is>
          <t>GALAXY 450kVA</t>
        </is>
      </c>
      <c r="J12947" t="inlineStr">
        <is>
          <t>FERRIER</t>
        </is>
      </c>
      <c r="L12947">
        <f>_xlfn.XLOOKUP(Tableau1[[#This Row],[TYPE DE PIECE]],Tableau4[MATIERE],Tableau4[SHORT TYPE],"",0,1)</f>
        <v/>
      </c>
      <c r="N12947">
        <f>IF(ISERR(FIND("DECOUPE",Tableau1[[#This Row],[DESIGNATION]])),"","NEED REF")</f>
        <v/>
      </c>
    </row>
    <row r="12948">
      <c r="B12948" t="n">
        <v>34401057</v>
      </c>
      <c r="C12948" s="2" t="n">
        <v>38659</v>
      </c>
      <c r="D12948" t="inlineStr">
        <is>
          <t>SPEC</t>
        </is>
      </c>
      <c r="E12948" t="inlineStr">
        <is>
          <t xml:space="preserve">LIAISON EPANOUISSEUR </t>
        </is>
      </c>
      <c r="F12948" t="inlineStr">
        <is>
          <t>STS250A</t>
        </is>
      </c>
      <c r="J12948" t="inlineStr">
        <is>
          <t>ROBERT</t>
        </is>
      </c>
      <c r="L12948">
        <f>_xlfn.XLOOKUP(Tableau1[[#This Row],[TYPE DE PIECE]],Tableau4[MATIERE],Tableau4[SHORT TYPE],"",0,1)</f>
        <v/>
      </c>
      <c r="N12948">
        <f>IF(ISERR(FIND("DECOUPE",Tableau1[[#This Row],[DESIGNATION]])),"","NEED REF")</f>
        <v/>
      </c>
    </row>
    <row r="12949">
      <c r="B12949" t="n">
        <v>34401056</v>
      </c>
      <c r="C12949" s="2" t="n">
        <v>38659</v>
      </c>
      <c r="D12949" t="inlineStr">
        <is>
          <t>SPEC</t>
        </is>
      </c>
      <c r="E12949" t="inlineStr">
        <is>
          <t xml:space="preserve">EPANOUISSEUR </t>
        </is>
      </c>
      <c r="F12949" t="inlineStr">
        <is>
          <t>STS250A</t>
        </is>
      </c>
      <c r="J12949" t="inlineStr">
        <is>
          <t>ROBERT</t>
        </is>
      </c>
      <c r="L12949">
        <f>_xlfn.XLOOKUP(Tableau1[[#This Row],[TYPE DE PIECE]],Tableau4[MATIERE],Tableau4[SHORT TYPE],"",0,1)</f>
        <v/>
      </c>
      <c r="N12949">
        <f>IF(ISERR(FIND("DECOUPE",Tableau1[[#This Row],[DESIGNATION]])),"","NEED REF")</f>
        <v/>
      </c>
    </row>
    <row r="12950">
      <c r="B12950" t="n">
        <v>34401055</v>
      </c>
      <c r="C12950" s="2" t="n">
        <v>38652</v>
      </c>
      <c r="D12950" t="inlineStr">
        <is>
          <t>SPEC</t>
        </is>
      </c>
      <c r="E12950" t="inlineStr">
        <is>
          <t>PLATINE SUPPORT ONDULEUR</t>
        </is>
      </c>
      <c r="F12950" t="inlineStr">
        <is>
          <t>PULSAR EXTREME 3000</t>
        </is>
      </c>
      <c r="J12950" t="inlineStr">
        <is>
          <t>ROBERT</t>
        </is>
      </c>
      <c r="L12950">
        <f>_xlfn.XLOOKUP(Tableau1[[#This Row],[TYPE DE PIECE]],Tableau4[MATIERE],Tableau4[SHORT TYPE],"",0,1)</f>
        <v/>
      </c>
      <c r="N12950">
        <f>IF(ISERR(FIND("DECOUPE",Tableau1[[#This Row],[DESIGNATION]])),"","NEED REF")</f>
        <v/>
      </c>
    </row>
    <row r="12951">
      <c r="B12951" t="n">
        <v>34401054</v>
      </c>
      <c r="C12951" s="2" t="n">
        <v>38652</v>
      </c>
      <c r="D12951" t="inlineStr">
        <is>
          <t>SPEC</t>
        </is>
      </c>
      <c r="E12951" t="inlineStr">
        <is>
          <t>BRIDE PULSA REVOLUTION</t>
        </is>
      </c>
      <c r="F12951" t="inlineStr">
        <is>
          <t>PULSAR EXTREME 3000</t>
        </is>
      </c>
      <c r="J12951" t="inlineStr">
        <is>
          <t>ROBERT</t>
        </is>
      </c>
      <c r="L12951">
        <f>_xlfn.XLOOKUP(Tableau1[[#This Row],[TYPE DE PIECE]],Tableau4[MATIERE],Tableau4[SHORT TYPE],"",0,1)</f>
        <v/>
      </c>
      <c r="N12951">
        <f>IF(ISERR(FIND("DECOUPE",Tableau1[[#This Row],[DESIGNATION]])),"","NEED REF")</f>
        <v/>
      </c>
    </row>
    <row r="12952">
      <c r="B12952" t="n">
        <v>34401053</v>
      </c>
      <c r="C12952" s="2" t="n">
        <v>38652</v>
      </c>
      <c r="D12952" t="inlineStr">
        <is>
          <t>SPEC</t>
        </is>
      </c>
      <c r="E12952" t="inlineStr">
        <is>
          <t>EQUERRE VERTICALE</t>
        </is>
      </c>
      <c r="F12952" t="inlineStr">
        <is>
          <t>PULSAR EXTREME 3000</t>
        </is>
      </c>
      <c r="J12952" t="inlineStr">
        <is>
          <t>ROBERT</t>
        </is>
      </c>
      <c r="L12952">
        <f>_xlfn.XLOOKUP(Tableau1[[#This Row],[TYPE DE PIECE]],Tableau4[MATIERE],Tableau4[SHORT TYPE],"",0,1)</f>
        <v/>
      </c>
      <c r="N12952">
        <f>IF(ISERR(FIND("DECOUPE",Tableau1[[#This Row],[DESIGNATION]])),"","NEED REF")</f>
        <v/>
      </c>
    </row>
    <row r="12953">
      <c r="B12953" t="n">
        <v>34401052</v>
      </c>
      <c r="C12953" s="2" t="n">
        <v>38652</v>
      </c>
      <c r="D12953" t="inlineStr">
        <is>
          <t>SPEC</t>
        </is>
      </c>
      <c r="E12953" t="inlineStr">
        <is>
          <t xml:space="preserve">Cable EXB Alim Contacteur </t>
        </is>
      </c>
      <c r="F12953" t="inlineStr">
        <is>
          <t>COMET EXB</t>
        </is>
      </c>
      <c r="J12953" t="inlineStr">
        <is>
          <t>ÇAKIR</t>
        </is>
      </c>
      <c r="L12953">
        <f>_xlfn.XLOOKUP(Tableau1[[#This Row],[TYPE DE PIECE]],Tableau4[MATIERE],Tableau4[SHORT TYPE],"",0,1)</f>
        <v/>
      </c>
      <c r="N12953">
        <f>IF(ISERR(FIND("DECOUPE",Tableau1[[#This Row],[DESIGNATION]])),"","NEED REF")</f>
        <v/>
      </c>
    </row>
    <row r="12954">
      <c r="B12954" t="n">
        <v>34401051</v>
      </c>
      <c r="C12954" s="2" t="n">
        <v>38652</v>
      </c>
      <c r="D12954" t="inlineStr">
        <is>
          <t>SPEC</t>
        </is>
      </c>
      <c r="E12954" t="inlineStr">
        <is>
          <t>Cable EXB 4,5 Batterie STD Modifié</t>
        </is>
      </c>
      <c r="F12954" t="inlineStr">
        <is>
          <t>COMET EXB</t>
        </is>
      </c>
      <c r="J12954" t="inlineStr">
        <is>
          <t>ÇAKIR</t>
        </is>
      </c>
      <c r="L12954">
        <f>_xlfn.XLOOKUP(Tableau1[[#This Row],[TYPE DE PIECE]],Tableau4[MATIERE],Tableau4[SHORT TYPE],"",0,1)</f>
        <v/>
      </c>
      <c r="N12954">
        <f>IF(ISERR(FIND("DECOUPE",Tableau1[[#This Row],[DESIGNATION]])),"","NEED REF")</f>
        <v/>
      </c>
    </row>
    <row r="12955">
      <c r="B12955" t="n">
        <v>34401050</v>
      </c>
      <c r="C12955" s="2" t="n">
        <v>38650</v>
      </c>
      <c r="D12955" t="inlineStr">
        <is>
          <t>CDC</t>
        </is>
      </c>
      <c r="E12955" t="inlineStr">
        <is>
          <t>CDC OUTILLAGE LOGICIEL ET APPROVISIONNEMENT</t>
        </is>
      </c>
      <c r="F12955" t="inlineStr">
        <is>
          <t xml:space="preserve">G6K 500kVA CARTES </t>
        </is>
      </c>
      <c r="J12955" t="inlineStr">
        <is>
          <t>FERRIER</t>
        </is>
      </c>
      <c r="L12955">
        <f>_xlfn.XLOOKUP(Tableau1[[#This Row],[TYPE DE PIECE]],Tableau4[MATIERE],Tableau4[SHORT TYPE],"",0,1)</f>
        <v/>
      </c>
      <c r="N12955">
        <f>IF(ISERR(FIND("DECOUPE",Tableau1[[#This Row],[DESIGNATION]])),"","NEED REF")</f>
        <v/>
      </c>
    </row>
    <row r="12956">
      <c r="B12956" t="n">
        <v>34401049</v>
      </c>
      <c r="C12956" s="2" t="n">
        <v>38650</v>
      </c>
      <c r="D12956" t="inlineStr">
        <is>
          <t>SPEC</t>
        </is>
      </c>
      <c r="E12956" t="inlineStr">
        <is>
          <t>PERCAG AFFICH GRAPHIQUE PORTE GAUCHE</t>
        </is>
      </c>
      <c r="F12956" t="inlineStr">
        <is>
          <t>NS 1200kVA</t>
        </is>
      </c>
      <c r="J12956" t="inlineStr">
        <is>
          <t>ROBERT</t>
        </is>
      </c>
      <c r="L12956">
        <f>_xlfn.XLOOKUP(Tableau1[[#This Row],[TYPE DE PIECE]],Tableau4[MATIERE],Tableau4[SHORT TYPE],"",0,1)</f>
        <v/>
      </c>
      <c r="N12956">
        <f>IF(ISERR(FIND("DECOUPE",Tableau1[[#This Row],[DESIGNATION]])),"","NEED REF")</f>
        <v/>
      </c>
    </row>
    <row r="12957">
      <c r="B12957" t="n">
        <v>34401048</v>
      </c>
      <c r="C12957" s="2" t="n">
        <v>38650</v>
      </c>
      <c r="D12957" t="inlineStr">
        <is>
          <t>NOM</t>
        </is>
      </c>
      <c r="E12957" t="inlineStr">
        <is>
          <t>COFFRET EPO POUR COMET EXRT</t>
        </is>
      </c>
      <c r="F12957" t="inlineStr">
        <is>
          <t>THALES</t>
        </is>
      </c>
      <c r="J12957" t="inlineStr">
        <is>
          <t>REVEL</t>
        </is>
      </c>
      <c r="L12957">
        <f>_xlfn.XLOOKUP(Tableau1[[#This Row],[TYPE DE PIECE]],Tableau4[MATIERE],Tableau4[SHORT TYPE],"",0,1)</f>
        <v/>
      </c>
      <c r="N12957">
        <f>IF(ISERR(FIND("DECOUPE",Tableau1[[#This Row],[DESIGNATION]])),"","NEED REF")</f>
        <v/>
      </c>
    </row>
    <row r="12958">
      <c r="B12958" t="n">
        <v>34401047</v>
      </c>
      <c r="C12958" s="2" t="n">
        <v>38649</v>
      </c>
      <c r="D12958" t="inlineStr">
        <is>
          <t>NOM</t>
        </is>
      </c>
      <c r="E12958" t="inlineStr">
        <is>
          <t>LG BY-PASS PW 80kVA RACC BAS ALCATEL</t>
        </is>
      </c>
      <c r="F12958" t="inlineStr">
        <is>
          <t>ALCATEL</t>
        </is>
      </c>
      <c r="J12958" t="inlineStr">
        <is>
          <t>FOLTZ</t>
        </is>
      </c>
      <c r="L12958">
        <f>_xlfn.XLOOKUP(Tableau1[[#This Row],[TYPE DE PIECE]],Tableau4[MATIERE],Tableau4[SHORT TYPE],"",0,1)</f>
        <v/>
      </c>
      <c r="N12958">
        <f>IF(ISERR(FIND("DECOUPE",Tableau1[[#This Row],[DESIGNATION]])),"","NEED REF")</f>
        <v/>
      </c>
    </row>
    <row r="12959">
      <c r="B12959" t="n">
        <v>34401046</v>
      </c>
      <c r="C12959" s="2" t="n">
        <v>38649</v>
      </c>
      <c r="D12959" t="inlineStr">
        <is>
          <t>NOM</t>
        </is>
      </c>
      <c r="E12959" t="inlineStr">
        <is>
          <t>LG BY-PASS PW 60kVA RACC BAS ALCATEL</t>
        </is>
      </c>
      <c r="F12959" t="inlineStr">
        <is>
          <t>ALCATEL</t>
        </is>
      </c>
      <c r="J12959" t="inlineStr">
        <is>
          <t>FOLTZ</t>
        </is>
      </c>
      <c r="L12959">
        <f>_xlfn.XLOOKUP(Tableau1[[#This Row],[TYPE DE PIECE]],Tableau4[MATIERE],Tableau4[SHORT TYPE],"",0,1)</f>
        <v/>
      </c>
      <c r="N12959">
        <f>IF(ISERR(FIND("DECOUPE",Tableau1[[#This Row],[DESIGNATION]])),"","NEED REF")</f>
        <v/>
      </c>
    </row>
    <row r="12960">
      <c r="B12960" t="n">
        <v>34401045</v>
      </c>
      <c r="C12960" s="2" t="n">
        <v>38649</v>
      </c>
      <c r="D12960" t="inlineStr">
        <is>
          <t>NOM</t>
        </is>
      </c>
      <c r="E12960" t="inlineStr">
        <is>
          <t>LG BY-PASS PW 40kVA RACC BAS ALCATEL</t>
        </is>
      </c>
      <c r="F12960" t="inlineStr">
        <is>
          <t>ALCATEL</t>
        </is>
      </c>
      <c r="J12960" t="inlineStr">
        <is>
          <t>FOLTZ</t>
        </is>
      </c>
      <c r="L12960">
        <f>_xlfn.XLOOKUP(Tableau1[[#This Row],[TYPE DE PIECE]],Tableau4[MATIERE],Tableau4[SHORT TYPE],"",0,1)</f>
        <v/>
      </c>
      <c r="N12960">
        <f>IF(ISERR(FIND("DECOUPE",Tableau1[[#This Row],[DESIGNATION]])),"","NEED REF")</f>
        <v/>
      </c>
    </row>
    <row r="12961">
      <c r="B12961" t="n">
        <v>34401044</v>
      </c>
      <c r="C12961" s="2" t="n">
        <v>38649</v>
      </c>
      <c r="D12961" t="inlineStr">
        <is>
          <t>NOM</t>
        </is>
      </c>
      <c r="E12961" t="inlineStr">
        <is>
          <t>LG BY-PASS PW 30kVA RACC BAS ALCATEL</t>
        </is>
      </c>
      <c r="F12961" t="inlineStr">
        <is>
          <t>ALCATEL</t>
        </is>
      </c>
      <c r="J12961" t="inlineStr">
        <is>
          <t>FOLTZ</t>
        </is>
      </c>
      <c r="L12961">
        <f>_xlfn.XLOOKUP(Tableau1[[#This Row],[TYPE DE PIECE]],Tableau4[MATIERE],Tableau4[SHORT TYPE],"",0,1)</f>
        <v/>
      </c>
      <c r="N12961">
        <f>IF(ISERR(FIND("DECOUPE",Tableau1[[#This Row],[DESIGNATION]])),"","NEED REF")</f>
        <v/>
      </c>
    </row>
    <row r="12962">
      <c r="B12962" t="n">
        <v>34401043</v>
      </c>
      <c r="C12962" s="2" t="n"/>
      <c r="L12962">
        <f>_xlfn.XLOOKUP(Tableau1[[#This Row],[TYPE DE PIECE]],Tableau4[MATIERE],Tableau4[SHORT TYPE],"",0,1)</f>
        <v/>
      </c>
      <c r="N12962">
        <f>IF(ISERR(FIND("DECOUPE",Tableau1[[#This Row],[DESIGNATION]])),"","NEED REF")</f>
        <v/>
      </c>
    </row>
    <row r="12963">
      <c r="B12963" t="n">
        <v>34401042</v>
      </c>
      <c r="C12963" s="2" t="n">
        <v>38645</v>
      </c>
      <c r="D12963" t="inlineStr">
        <is>
          <t>SPEC</t>
        </is>
      </c>
      <c r="E12963" t="inlineStr">
        <is>
          <t>ETIQUETTE DILOPHANE SYNOPTIQUE PW + BYPASS</t>
        </is>
      </c>
      <c r="J12963" t="inlineStr">
        <is>
          <t>FERRIER</t>
        </is>
      </c>
      <c r="L12963">
        <f>_xlfn.XLOOKUP(Tableau1[[#This Row],[TYPE DE PIECE]],Tableau4[MATIERE],Tableau4[SHORT TYPE],"",0,1)</f>
        <v/>
      </c>
      <c r="N12963">
        <f>IF(ISERR(FIND("DECOUPE",Tableau1[[#This Row],[DESIGNATION]])),"","NEED REF")</f>
        <v/>
      </c>
    </row>
    <row r="12964">
      <c r="B12964" t="n">
        <v>34401041</v>
      </c>
      <c r="C12964" s="2" t="n">
        <v>38644</v>
      </c>
      <c r="D12964" t="inlineStr">
        <is>
          <t>CDC</t>
        </is>
      </c>
      <c r="E12964" t="inlineStr">
        <is>
          <t xml:space="preserve">BAIE OUTDOOR </t>
        </is>
      </c>
      <c r="F12964" t="inlineStr">
        <is>
          <t>COMET EXRT 5KVA</t>
        </is>
      </c>
      <c r="J12964" t="inlineStr">
        <is>
          <t>REVEL</t>
        </is>
      </c>
      <c r="L12964">
        <f>_xlfn.XLOOKUP(Tableau1[[#This Row],[TYPE DE PIECE]],Tableau4[MATIERE],Tableau4[SHORT TYPE],"",0,1)</f>
        <v/>
      </c>
      <c r="N12964">
        <f>IF(ISERR(FIND("DECOUPE",Tableau1[[#This Row],[DESIGNATION]])),"","NEED REF")</f>
        <v/>
      </c>
    </row>
    <row r="12965">
      <c r="B12965" t="n">
        <v>34401040</v>
      </c>
      <c r="C12965" s="2" t="n">
        <v>38644</v>
      </c>
      <c r="D12965" t="inlineStr">
        <is>
          <t>CDC</t>
        </is>
      </c>
      <c r="E12965" t="inlineStr">
        <is>
          <t>NS2000 gaine a barres par le haut</t>
        </is>
      </c>
      <c r="F12965" t="inlineStr">
        <is>
          <t>NS 2000kVA</t>
        </is>
      </c>
      <c r="J12965" t="inlineStr">
        <is>
          <t>REVEL</t>
        </is>
      </c>
      <c r="L12965">
        <f>_xlfn.XLOOKUP(Tableau1[[#This Row],[TYPE DE PIECE]],Tableau4[MATIERE],Tableau4[SHORT TYPE],"",0,1)</f>
        <v/>
      </c>
      <c r="N12965">
        <f>IF(ISERR(FIND("DECOUPE",Tableau1[[#This Row],[DESIGNATION]])),"","NEED REF")</f>
        <v/>
      </c>
    </row>
    <row r="12966">
      <c r="B12966" t="n">
        <v>34401039</v>
      </c>
      <c r="C12966" s="2" t="n">
        <v>38642</v>
      </c>
      <c r="E12966" t="inlineStr">
        <is>
          <t>réservé         EPROM AROC 500kVA</t>
        </is>
      </c>
      <c r="F12966" t="inlineStr">
        <is>
          <t>G6K 500kVA</t>
        </is>
      </c>
      <c r="J12966" t="inlineStr">
        <is>
          <t>FERRIER</t>
        </is>
      </c>
      <c r="L12966">
        <f>_xlfn.XLOOKUP(Tableau1[[#This Row],[TYPE DE PIECE]],Tableau4[MATIERE],Tableau4[SHORT TYPE],"",0,1)</f>
        <v/>
      </c>
      <c r="N12966">
        <f>IF(ISERR(FIND("DECOUPE",Tableau1[[#This Row],[DESIGNATION]])),"","NEED REF")</f>
        <v/>
      </c>
    </row>
    <row r="12967">
      <c r="B12967" t="n">
        <v>34401038</v>
      </c>
      <c r="C12967" s="2" t="n">
        <v>38642</v>
      </c>
      <c r="E12967" t="inlineStr">
        <is>
          <t>réservé        CARTE AROC - 500kVA</t>
        </is>
      </c>
      <c r="F12967" t="inlineStr">
        <is>
          <t>G6K 500kVA</t>
        </is>
      </c>
      <c r="J12967" t="inlineStr">
        <is>
          <t>FERRIER</t>
        </is>
      </c>
      <c r="L12967">
        <f>_xlfn.XLOOKUP(Tableau1[[#This Row],[TYPE DE PIECE]],Tableau4[MATIERE],Tableau4[SHORT TYPE],"",0,1)</f>
        <v/>
      </c>
      <c r="N12967">
        <f>IF(ISERR(FIND("DECOUPE",Tableau1[[#This Row],[DESIGNATION]])),"","NEED REF")</f>
        <v/>
      </c>
    </row>
    <row r="12968">
      <c r="B12968" t="n">
        <v>34401037</v>
      </c>
      <c r="C12968" s="2" t="n">
        <v>38642</v>
      </c>
      <c r="E12968" t="inlineStr">
        <is>
          <t>EPROM AROZ D5 500kVA</t>
        </is>
      </c>
      <c r="F12968" t="inlineStr">
        <is>
          <t>G6K 500kVA</t>
        </is>
      </c>
      <c r="J12968" t="inlineStr">
        <is>
          <t>FERRIER</t>
        </is>
      </c>
      <c r="L12968">
        <f>_xlfn.XLOOKUP(Tableau1[[#This Row],[TYPE DE PIECE]],Tableau4[MATIERE],Tableau4[SHORT TYPE],"",0,1)</f>
        <v/>
      </c>
      <c r="N12968">
        <f>IF(ISERR(FIND("DECOUPE",Tableau1[[#This Row],[DESIGNATION]])),"","NEED REF")</f>
        <v/>
      </c>
    </row>
    <row r="12969">
      <c r="B12969" t="n">
        <v>34401036</v>
      </c>
      <c r="C12969" s="2" t="n">
        <v>38642</v>
      </c>
      <c r="E12969" t="inlineStr">
        <is>
          <t>CARTE AROZ - 500kVA</t>
        </is>
      </c>
      <c r="F12969" t="inlineStr">
        <is>
          <t>G6K 500kVA</t>
        </is>
      </c>
      <c r="J12969" t="inlineStr">
        <is>
          <t>FERRIER</t>
        </is>
      </c>
      <c r="L12969">
        <f>_xlfn.XLOOKUP(Tableau1[[#This Row],[TYPE DE PIECE]],Tableau4[MATIERE],Tableau4[SHORT TYPE],"",0,1)</f>
        <v/>
      </c>
      <c r="N12969">
        <f>IF(ISERR(FIND("DECOUPE",Tableau1[[#This Row],[DESIGNATION]])),"","NEED REF")</f>
        <v/>
      </c>
    </row>
    <row r="12970">
      <c r="B12970" t="n">
        <v>34401035</v>
      </c>
      <c r="C12970" s="2" t="n">
        <v>38642</v>
      </c>
      <c r="E12970" t="inlineStr">
        <is>
          <t>EPROM CROZ D3 500kVA</t>
        </is>
      </c>
      <c r="F12970" t="inlineStr">
        <is>
          <t>G6K 500kVA</t>
        </is>
      </c>
      <c r="J12970" t="inlineStr">
        <is>
          <t>FERRIER</t>
        </is>
      </c>
      <c r="L12970">
        <f>_xlfn.XLOOKUP(Tableau1[[#This Row],[TYPE DE PIECE]],Tableau4[MATIERE],Tableau4[SHORT TYPE],"",0,1)</f>
        <v/>
      </c>
      <c r="N12970">
        <f>IF(ISERR(FIND("DECOUPE",Tableau1[[#This Row],[DESIGNATION]])),"","NEED REF")</f>
        <v/>
      </c>
    </row>
    <row r="12971">
      <c r="B12971" t="n">
        <v>34401034</v>
      </c>
      <c r="C12971" s="2" t="n">
        <v>38642</v>
      </c>
      <c r="E12971" t="inlineStr">
        <is>
          <t>CARTE CROZ - 500kVA</t>
        </is>
      </c>
      <c r="F12971" t="inlineStr">
        <is>
          <t>G6K 500kVA</t>
        </is>
      </c>
      <c r="J12971" t="inlineStr">
        <is>
          <t>FERRIER</t>
        </is>
      </c>
      <c r="L12971">
        <f>_xlfn.XLOOKUP(Tableau1[[#This Row],[TYPE DE PIECE]],Tableau4[MATIERE],Tableau4[SHORT TYPE],"",0,1)</f>
        <v/>
      </c>
      <c r="N12971">
        <f>IF(ISERR(FIND("DECOUPE",Tableau1[[#This Row],[DESIGNATION]])),"","NEED REF")</f>
        <v/>
      </c>
    </row>
    <row r="12972">
      <c r="B12972" t="n">
        <v>34401033</v>
      </c>
      <c r="C12972" s="2" t="n">
        <v>38642</v>
      </c>
      <c r="E12972" t="inlineStr">
        <is>
          <t>EPROM CRIZ D4 500kVA</t>
        </is>
      </c>
      <c r="F12972" t="inlineStr">
        <is>
          <t>G6K 500kVA</t>
        </is>
      </c>
      <c r="J12972" t="inlineStr">
        <is>
          <t>FERRIER</t>
        </is>
      </c>
      <c r="L12972">
        <f>_xlfn.XLOOKUP(Tableau1[[#This Row],[TYPE DE PIECE]],Tableau4[MATIERE],Tableau4[SHORT TYPE],"",0,1)</f>
        <v/>
      </c>
      <c r="N12972">
        <f>IF(ISERR(FIND("DECOUPE",Tableau1[[#This Row],[DESIGNATION]])),"","NEED REF")</f>
        <v/>
      </c>
    </row>
    <row r="12973">
      <c r="B12973" t="n">
        <v>34401032</v>
      </c>
      <c r="C12973" s="2" t="n">
        <v>38642</v>
      </c>
      <c r="E12973" t="inlineStr">
        <is>
          <t>CARTE CRIZ - 500kVA</t>
        </is>
      </c>
      <c r="F12973" t="inlineStr">
        <is>
          <t>G6K 500kVA</t>
        </is>
      </c>
      <c r="J12973" t="inlineStr">
        <is>
          <t>FERRIER</t>
        </is>
      </c>
      <c r="L12973">
        <f>_xlfn.XLOOKUP(Tableau1[[#This Row],[TYPE DE PIECE]],Tableau4[MATIERE],Tableau4[SHORT TYPE],"",0,1)</f>
        <v/>
      </c>
      <c r="N12973">
        <f>IF(ISERR(FIND("DECOUPE",Tableau1[[#This Row],[DESIGNATION]])),"","NEED REF")</f>
        <v/>
      </c>
    </row>
    <row r="12974">
      <c r="B12974" t="n">
        <v>34401031</v>
      </c>
      <c r="C12974" s="2" t="n">
        <v>38642</v>
      </c>
      <c r="E12974" t="inlineStr">
        <is>
          <t>EPROM GT2Z ACQ k1-v02 DI26 500kVA</t>
        </is>
      </c>
      <c r="F12974" t="inlineStr">
        <is>
          <t>G6K 500kVA</t>
        </is>
      </c>
      <c r="J12974" t="inlineStr">
        <is>
          <t>FERRIER</t>
        </is>
      </c>
      <c r="L12974">
        <f>_xlfn.XLOOKUP(Tableau1[[#This Row],[TYPE DE PIECE]],Tableau4[MATIERE],Tableau4[SHORT TYPE],"",0,1)</f>
        <v/>
      </c>
      <c r="N12974">
        <f>IF(ISERR(FIND("DECOUPE",Tableau1[[#This Row],[DESIGNATION]])),"","NEED REF")</f>
        <v/>
      </c>
    </row>
    <row r="12975">
      <c r="B12975" t="n">
        <v>34401030</v>
      </c>
      <c r="C12975" s="2" t="n">
        <v>38642</v>
      </c>
      <c r="E12975" t="inlineStr">
        <is>
          <t>CARTE GT2Z - 500kVA</t>
        </is>
      </c>
      <c r="F12975" t="inlineStr">
        <is>
          <t>G6K 500kVA</t>
        </is>
      </c>
      <c r="J12975" t="inlineStr">
        <is>
          <t>FERRIER</t>
        </is>
      </c>
      <c r="L12975">
        <f>_xlfn.XLOOKUP(Tableau1[[#This Row],[TYPE DE PIECE]],Tableau4[MATIERE],Tableau4[SHORT TYPE],"",0,1)</f>
        <v/>
      </c>
      <c r="N12975">
        <f>IF(ISERR(FIND("DECOUPE",Tableau1[[#This Row],[DESIGNATION]])),"","NEED REF")</f>
        <v/>
      </c>
    </row>
    <row r="12976">
      <c r="B12976" t="n">
        <v>34401029</v>
      </c>
      <c r="C12976" s="2" t="n">
        <v>38642</v>
      </c>
      <c r="E12976" t="inlineStr">
        <is>
          <t>EPROM GTCZ/GT2Z COM M1 500kVA</t>
        </is>
      </c>
      <c r="F12976" t="inlineStr">
        <is>
          <t>G6K 500kVA</t>
        </is>
      </c>
      <c r="J12976" t="inlineStr">
        <is>
          <t>FERRIER</t>
        </is>
      </c>
      <c r="L12976">
        <f>_xlfn.XLOOKUP(Tableau1[[#This Row],[TYPE DE PIECE]],Tableau4[MATIERE],Tableau4[SHORT TYPE],"",0,1)</f>
        <v/>
      </c>
      <c r="N12976">
        <f>IF(ISERR(FIND("DECOUPE",Tableau1[[#This Row],[DESIGNATION]])),"","NEED REF")</f>
        <v/>
      </c>
    </row>
    <row r="12977">
      <c r="B12977" t="n">
        <v>34401028</v>
      </c>
      <c r="C12977" s="2" t="n">
        <v>38642</v>
      </c>
      <c r="E12977" t="inlineStr">
        <is>
          <t>EPROM GTCZ ACQ k1-v02 DI26 500kVA</t>
        </is>
      </c>
      <c r="F12977" t="inlineStr">
        <is>
          <t>G6K 500kVA</t>
        </is>
      </c>
      <c r="J12977" t="inlineStr">
        <is>
          <t>FERRIER</t>
        </is>
      </c>
      <c r="L12977">
        <f>_xlfn.XLOOKUP(Tableau1[[#This Row],[TYPE DE PIECE]],Tableau4[MATIERE],Tableau4[SHORT TYPE],"",0,1)</f>
        <v/>
      </c>
      <c r="N12977">
        <f>IF(ISERR(FIND("DECOUPE",Tableau1[[#This Row],[DESIGNATION]])),"","NEED REF")</f>
        <v/>
      </c>
    </row>
    <row r="12978">
      <c r="B12978" t="n">
        <v>34401027</v>
      </c>
      <c r="C12978" s="2" t="n">
        <v>38642</v>
      </c>
      <c r="E12978" t="inlineStr">
        <is>
          <t>CARTE GTCZ - 500kVA</t>
        </is>
      </c>
      <c r="F12978" t="inlineStr">
        <is>
          <t>G6K 500kVA</t>
        </is>
      </c>
      <c r="J12978" t="inlineStr">
        <is>
          <t>FERRIER</t>
        </is>
      </c>
      <c r="L12978">
        <f>_xlfn.XLOOKUP(Tableau1[[#This Row],[TYPE DE PIECE]],Tableau4[MATIERE],Tableau4[SHORT TYPE],"",0,1)</f>
        <v/>
      </c>
      <c r="N12978">
        <f>IF(ISERR(FIND("DECOUPE",Tableau1[[#This Row],[DESIGNATION]])),"","NEED REF")</f>
        <v/>
      </c>
    </row>
    <row r="12979">
      <c r="B12979" t="n">
        <v>34401026</v>
      </c>
      <c r="C12979" s="2" t="n">
        <v>38639</v>
      </c>
      <c r="D12979" t="inlineStr">
        <is>
          <t>SPEC</t>
        </is>
      </c>
      <c r="E12979" t="inlineStr">
        <is>
          <t>RALLONGE CONNECT BORNIER DE TEST</t>
        </is>
      </c>
      <c r="F12979" t="inlineStr">
        <is>
          <t>GALAXY 300kVA</t>
        </is>
      </c>
      <c r="J12979" t="inlineStr">
        <is>
          <t>ROBERT</t>
        </is>
      </c>
      <c r="L12979">
        <f>_xlfn.XLOOKUP(Tableau1[[#This Row],[TYPE DE PIECE]],Tableau4[MATIERE],Tableau4[SHORT TYPE],"",0,1)</f>
        <v/>
      </c>
      <c r="N12979">
        <f>IF(ISERR(FIND("DECOUPE",Tableau1[[#This Row],[DESIGNATION]])),"","NEED REF")</f>
        <v/>
      </c>
    </row>
    <row r="12980">
      <c r="B12980" t="n">
        <v>34401025</v>
      </c>
      <c r="C12980" s="2" t="n">
        <v>38639</v>
      </c>
      <c r="D12980" t="inlineStr">
        <is>
          <t>SCH</t>
        </is>
      </c>
      <c r="E12980" t="inlineStr">
        <is>
          <t>GALAXY 6000 500KVA P</t>
        </is>
      </c>
      <c r="F12980" t="inlineStr">
        <is>
          <t>Galaxy 6000 500kva</t>
        </is>
      </c>
      <c r="J12980" t="inlineStr">
        <is>
          <t>PLUET</t>
        </is>
      </c>
      <c r="L12980">
        <f>_xlfn.XLOOKUP(Tableau1[[#This Row],[TYPE DE PIECE]],Tableau4[MATIERE],Tableau4[SHORT TYPE],"",0,1)</f>
        <v/>
      </c>
      <c r="N12980">
        <f>IF(ISERR(FIND("DECOUPE",Tableau1[[#This Row],[DESIGNATION]])),"","NEED REF")</f>
        <v/>
      </c>
    </row>
    <row r="12981">
      <c r="B12981" t="n">
        <v>34401024</v>
      </c>
      <c r="C12981" s="2" t="n">
        <v>38639</v>
      </c>
      <c r="D12981" t="inlineStr">
        <is>
          <t>SCH</t>
        </is>
      </c>
      <c r="E12981" t="inlineStr">
        <is>
          <t>GALAXY 6000 500KVA UP</t>
        </is>
      </c>
      <c r="F12981" t="inlineStr">
        <is>
          <t>Galaxy 6000 500kva</t>
        </is>
      </c>
      <c r="J12981" t="inlineStr">
        <is>
          <t>PLUET</t>
        </is>
      </c>
      <c r="L12981">
        <f>_xlfn.XLOOKUP(Tableau1[[#This Row],[TYPE DE PIECE]],Tableau4[MATIERE],Tableau4[SHORT TYPE],"",0,1)</f>
        <v/>
      </c>
      <c r="N12981">
        <f>IF(ISERR(FIND("DECOUPE",Tableau1[[#This Row],[DESIGNATION]])),"","NEED REF")</f>
        <v/>
      </c>
    </row>
    <row r="12982">
      <c r="B12982" t="n">
        <v>34401023</v>
      </c>
      <c r="C12982" s="2" t="n">
        <v>38639</v>
      </c>
      <c r="D12982" t="inlineStr">
        <is>
          <t>SCH</t>
        </is>
      </c>
      <c r="E12982" t="inlineStr">
        <is>
          <t>GALAXY 6000 500KVA U</t>
        </is>
      </c>
      <c r="F12982" t="inlineStr">
        <is>
          <t>Galaxy 6000 500kva</t>
        </is>
      </c>
      <c r="J12982" t="inlineStr">
        <is>
          <t>PLUET</t>
        </is>
      </c>
      <c r="L12982">
        <f>_xlfn.XLOOKUP(Tableau1[[#This Row],[TYPE DE PIECE]],Tableau4[MATIERE],Tableau4[SHORT TYPE],"",0,1)</f>
        <v/>
      </c>
      <c r="N12982">
        <f>IF(ISERR(FIND("DECOUPE",Tableau1[[#This Row],[DESIGNATION]])),"","NEED REF")</f>
        <v/>
      </c>
    </row>
    <row r="12983">
      <c r="B12983" t="n">
        <v>34401022</v>
      </c>
      <c r="C12983" s="2" t="n">
        <v>38631</v>
      </c>
      <c r="D12983" t="inlineStr">
        <is>
          <t>SPEC</t>
        </is>
      </c>
      <c r="E12983" t="inlineStr">
        <is>
          <t>BRIDE PULSA REVOLUTION</t>
        </is>
      </c>
      <c r="F12983" t="inlineStr">
        <is>
          <t>PULSAR EVOLUTION</t>
        </is>
      </c>
      <c r="J12983" t="inlineStr">
        <is>
          <t>REVEL</t>
        </is>
      </c>
      <c r="L12983">
        <f>_xlfn.XLOOKUP(Tableau1[[#This Row],[TYPE DE PIECE]],Tableau4[MATIERE],Tableau4[SHORT TYPE],"",0,1)</f>
        <v/>
      </c>
      <c r="N12983">
        <f>IF(ISERR(FIND("DECOUPE",Tableau1[[#This Row],[DESIGNATION]])),"","NEED REF")</f>
        <v/>
      </c>
    </row>
    <row r="12984">
      <c r="B12984" t="n">
        <v>34401021</v>
      </c>
      <c r="C12984" s="2" t="n">
        <v>38440</v>
      </c>
      <c r="D12984" t="inlineStr">
        <is>
          <t>CDC</t>
        </is>
      </c>
      <c r="E12984" t="inlineStr">
        <is>
          <t>CHASSIS CHAISE POUR PW1000 et Armoire BATT 715</t>
        </is>
      </c>
      <c r="F12984" t="inlineStr">
        <is>
          <t>Galaxy1000PW</t>
        </is>
      </c>
      <c r="J12984" t="inlineStr">
        <is>
          <t>FERRIER</t>
        </is>
      </c>
      <c r="L12984">
        <f>_xlfn.XLOOKUP(Tableau1[[#This Row],[TYPE DE PIECE]],Tableau4[MATIERE],Tableau4[SHORT TYPE],"",0,1)</f>
        <v/>
      </c>
      <c r="N12984">
        <f>IF(ISERR(FIND("DECOUPE",Tableau1[[#This Row],[DESIGNATION]])),"","NEED REF")</f>
        <v/>
      </c>
    </row>
    <row r="12985">
      <c r="B12985" t="n">
        <v>34401020</v>
      </c>
      <c r="C12985" s="2" t="n">
        <v>38622</v>
      </c>
      <c r="D12985" t="inlineStr">
        <is>
          <t>CDC</t>
        </is>
      </c>
      <c r="E12985" t="inlineStr">
        <is>
          <t>Montage en baie outdoor Comet EXRT 5kva</t>
        </is>
      </c>
      <c r="F12985" t="inlineStr">
        <is>
          <t>COMET EXRT 5KVA</t>
        </is>
      </c>
      <c r="J12985" t="inlineStr">
        <is>
          <t>REVEL</t>
        </is>
      </c>
      <c r="L12985">
        <f>_xlfn.XLOOKUP(Tableau1[[#This Row],[TYPE DE PIECE]],Tableau4[MATIERE],Tableau4[SHORT TYPE],"",0,1)</f>
        <v/>
      </c>
      <c r="N12985">
        <f>IF(ISERR(FIND("DECOUPE",Tableau1[[#This Row],[DESIGNATION]])),"","NEED REF")</f>
        <v/>
      </c>
    </row>
    <row r="12986">
      <c r="B12986" t="n">
        <v>34401019</v>
      </c>
      <c r="C12986" s="2" t="n">
        <v>38621</v>
      </c>
      <c r="D12986" t="inlineStr">
        <is>
          <t>NOM</t>
        </is>
      </c>
      <c r="E12986" t="inlineStr">
        <is>
          <t>LG IP32 PEINT A COMM AUX BATT H=1400</t>
        </is>
      </c>
      <c r="F12986" t="inlineStr">
        <is>
          <t>GALAXY PW BATT</t>
        </is>
      </c>
      <c r="J12986" t="inlineStr">
        <is>
          <t>ROBERT</t>
        </is>
      </c>
      <c r="L12986">
        <f>_xlfn.XLOOKUP(Tableau1[[#This Row],[TYPE DE PIECE]],Tableau4[MATIERE],Tableau4[SHORT TYPE],"",0,1)</f>
        <v/>
      </c>
      <c r="N12986">
        <f>IF(ISERR(FIND("DECOUPE",Tableau1[[#This Row],[DESIGNATION]])),"","NEED REF")</f>
        <v/>
      </c>
    </row>
    <row r="12987">
      <c r="B12987" t="n">
        <v>34401018</v>
      </c>
      <c r="C12987" s="2" t="n">
        <v>38616</v>
      </c>
      <c r="D12987" t="inlineStr">
        <is>
          <t>CDC</t>
        </is>
      </c>
      <c r="E12987" t="inlineStr">
        <is>
          <t>SINEWAVE 60A + ATFO adapt tension</t>
        </is>
      </c>
      <c r="F12987" t="inlineStr">
        <is>
          <t>MGE USA</t>
        </is>
      </c>
      <c r="J12987" t="inlineStr">
        <is>
          <t>FERRIER</t>
        </is>
      </c>
      <c r="L12987">
        <f>_xlfn.XLOOKUP(Tableau1[[#This Row],[TYPE DE PIECE]],Tableau4[MATIERE],Tableau4[SHORT TYPE],"",0,1)</f>
        <v/>
      </c>
      <c r="N12987">
        <f>IF(ISERR(FIND("DECOUPE",Tableau1[[#This Row],[DESIGNATION]])),"","NEED REF")</f>
        <v/>
      </c>
    </row>
    <row r="12988">
      <c r="B12988" t="n">
        <v>34401017</v>
      </c>
      <c r="C12988" s="2" t="n">
        <v>38611</v>
      </c>
      <c r="D12988" t="inlineStr">
        <is>
          <t>CDC</t>
        </is>
      </c>
      <c r="E12988" t="inlineStr">
        <is>
          <t>SKID COMET 15kVA+ARM PDU+ARM BATT</t>
        </is>
      </c>
      <c r="F12988" t="inlineStr">
        <is>
          <t>COMET S31 15kVA</t>
        </is>
      </c>
      <c r="J12988" t="inlineStr">
        <is>
          <t>ROBERT</t>
        </is>
      </c>
      <c r="L12988">
        <f>_xlfn.XLOOKUP(Tableau1[[#This Row],[TYPE DE PIECE]],Tableau4[MATIERE],Tableau4[SHORT TYPE],"",0,1)</f>
        <v/>
      </c>
      <c r="N12988">
        <f>IF(ISERR(FIND("DECOUPE",Tableau1[[#This Row],[DESIGNATION]])),"","NEED REF")</f>
        <v/>
      </c>
    </row>
    <row r="12989">
      <c r="B12989" t="n">
        <v>34401016</v>
      </c>
      <c r="C12989" s="2" t="n">
        <v>38611</v>
      </c>
      <c r="D12989" t="inlineStr">
        <is>
          <t>SPEC</t>
        </is>
      </c>
      <c r="E12989" t="inlineStr">
        <is>
          <t>Chassis intermedaire armoire Galaxy 800</t>
        </is>
      </c>
      <c r="F12989" t="inlineStr">
        <is>
          <t>Pack Advance double</t>
        </is>
      </c>
      <c r="J12989" t="inlineStr">
        <is>
          <t>REVEL</t>
        </is>
      </c>
      <c r="L12989">
        <f>_xlfn.XLOOKUP(Tableau1[[#This Row],[TYPE DE PIECE]],Tableau4[MATIERE],Tableau4[SHORT TYPE],"",0,1)</f>
        <v/>
      </c>
      <c r="N12989">
        <f>IF(ISERR(FIND("DECOUPE",Tableau1[[#This Row],[DESIGNATION]])),"","NEED REF")</f>
        <v/>
      </c>
    </row>
    <row r="12990">
      <c r="B12990" t="n">
        <v>34401015</v>
      </c>
      <c r="C12990" s="2" t="n">
        <v>38611</v>
      </c>
      <c r="D12990" t="inlineStr">
        <is>
          <t>SPEC</t>
        </is>
      </c>
      <c r="E12990" t="inlineStr">
        <is>
          <t>Traverse  intermediaire</t>
        </is>
      </c>
      <c r="F12990" t="inlineStr">
        <is>
          <t>Pack Advance double</t>
        </is>
      </c>
      <c r="J12990" t="inlineStr">
        <is>
          <t>REVEL</t>
        </is>
      </c>
      <c r="L12990">
        <f>_xlfn.XLOOKUP(Tableau1[[#This Row],[TYPE DE PIECE]],Tableau4[MATIERE],Tableau4[SHORT TYPE],"",0,1)</f>
        <v/>
      </c>
      <c r="N12990">
        <f>IF(ISERR(FIND("DECOUPE",Tableau1[[#This Row],[DESIGNATION]])),"","NEED REF")</f>
        <v/>
      </c>
    </row>
    <row r="12991">
      <c r="B12991" t="n">
        <v>34401014</v>
      </c>
      <c r="C12991" s="2" t="n">
        <v>38611</v>
      </c>
      <c r="D12991" t="inlineStr">
        <is>
          <t>SPEC</t>
        </is>
      </c>
      <c r="E12991" t="inlineStr">
        <is>
          <t>Traverse frontal</t>
        </is>
      </c>
      <c r="F12991" t="inlineStr">
        <is>
          <t>Pack Advance double</t>
        </is>
      </c>
      <c r="J12991" t="inlineStr">
        <is>
          <t>REVEL</t>
        </is>
      </c>
      <c r="L12991">
        <f>_xlfn.XLOOKUP(Tableau1[[#This Row],[TYPE DE PIECE]],Tableau4[MATIERE],Tableau4[SHORT TYPE],"",0,1)</f>
        <v/>
      </c>
      <c r="N12991">
        <f>IF(ISERR(FIND("DECOUPE",Tableau1[[#This Row],[DESIGNATION]])),"","NEED REF")</f>
        <v/>
      </c>
    </row>
    <row r="12992">
      <c r="B12992" t="n">
        <v>34401013</v>
      </c>
      <c r="C12992" s="2" t="n">
        <v>38611</v>
      </c>
      <c r="D12992" t="inlineStr">
        <is>
          <t>SPEC</t>
        </is>
      </c>
      <c r="E12992" t="inlineStr">
        <is>
          <t>Traverse lateral L=700</t>
        </is>
      </c>
      <c r="F12992" t="inlineStr">
        <is>
          <t>Pack Advance double</t>
        </is>
      </c>
      <c r="J12992" t="inlineStr">
        <is>
          <t>REVEL</t>
        </is>
      </c>
      <c r="L12992">
        <f>_xlfn.XLOOKUP(Tableau1[[#This Row],[TYPE DE PIECE]],Tableau4[MATIERE],Tableau4[SHORT TYPE],"",0,1)</f>
        <v/>
      </c>
      <c r="N12992">
        <f>IF(ISERR(FIND("DECOUPE",Tableau1[[#This Row],[DESIGNATION]])),"","NEED REF")</f>
        <v/>
      </c>
    </row>
    <row r="12993">
      <c r="B12993" t="n">
        <v>34401012</v>
      </c>
      <c r="C12993" s="2" t="n">
        <v>38611</v>
      </c>
      <c r="D12993" t="inlineStr">
        <is>
          <t>NOM</t>
        </is>
      </c>
      <c r="E12993" t="inlineStr">
        <is>
          <t>LG armoire double Pack Advance</t>
        </is>
      </c>
      <c r="F12993" t="inlineStr">
        <is>
          <t>Galaxy 300kva</t>
        </is>
      </c>
      <c r="J12993" t="inlineStr">
        <is>
          <t>REVEL</t>
        </is>
      </c>
      <c r="L12993">
        <f>_xlfn.XLOOKUP(Tableau1[[#This Row],[TYPE DE PIECE]],Tableau4[MATIERE],Tableau4[SHORT TYPE],"",0,1)</f>
        <v/>
      </c>
      <c r="N12993">
        <f>IF(ISERR(FIND("DECOUPE",Tableau1[[#This Row],[DESIGNATION]])),"","NEED REF")</f>
        <v/>
      </c>
    </row>
    <row r="12994">
      <c r="B12994" t="n">
        <v>34401011</v>
      </c>
      <c r="C12994" s="2" t="n">
        <v>38604</v>
      </c>
      <c r="D12994" t="inlineStr">
        <is>
          <t>CDC</t>
        </is>
      </c>
      <c r="E12994" t="inlineStr">
        <is>
          <t xml:space="preserve">Serrure 3 points </t>
        </is>
      </c>
      <c r="F12994" t="inlineStr">
        <is>
          <t>Galaxy PW 1015</t>
        </is>
      </c>
      <c r="J12994" t="inlineStr">
        <is>
          <t>REVEL</t>
        </is>
      </c>
      <c r="L12994">
        <f>_xlfn.XLOOKUP(Tableau1[[#This Row],[TYPE DE PIECE]],Tableau4[MATIERE],Tableau4[SHORT TYPE],"",0,1)</f>
        <v/>
      </c>
      <c r="N12994">
        <f>IF(ISERR(FIND("DECOUPE",Tableau1[[#This Row],[DESIGNATION]])),"","NEED REF")</f>
        <v/>
      </c>
    </row>
    <row r="12995">
      <c r="B12995" t="n">
        <v>34401010</v>
      </c>
      <c r="C12995" s="2" t="n">
        <v>38603</v>
      </c>
      <c r="D12995" t="inlineStr">
        <is>
          <t>NOM</t>
        </is>
      </c>
      <c r="E12995" t="inlineStr">
        <is>
          <t>LG BY-PASS 160kVA PW 80kVA</t>
        </is>
      </c>
      <c r="F12995" t="inlineStr">
        <is>
          <t>PW 80kVA</t>
        </is>
      </c>
      <c r="J12995" t="inlineStr">
        <is>
          <t>FOLTZ</t>
        </is>
      </c>
      <c r="L12995">
        <f>_xlfn.XLOOKUP(Tableau1[[#This Row],[TYPE DE PIECE]],Tableau4[MATIERE],Tableau4[SHORT TYPE],"",0,1)</f>
        <v/>
      </c>
      <c r="N12995">
        <f>IF(ISERR(FIND("DECOUPE",Tableau1[[#This Row],[DESIGNATION]])),"","NEED REF")</f>
        <v/>
      </c>
    </row>
    <row r="12996">
      <c r="B12996" t="n">
        <v>34401009</v>
      </c>
      <c r="C12996" s="2" t="n">
        <v>38603</v>
      </c>
      <c r="D12996" t="inlineStr">
        <is>
          <t>NOM</t>
        </is>
      </c>
      <c r="E12996" t="inlineStr">
        <is>
          <t>LG BY-PASS 1200kVA PW 60kVA</t>
        </is>
      </c>
      <c r="F12996" t="inlineStr">
        <is>
          <t>PW 60kVA</t>
        </is>
      </c>
      <c r="J12996" t="inlineStr">
        <is>
          <t>FOLTZ</t>
        </is>
      </c>
      <c r="L12996">
        <f>_xlfn.XLOOKUP(Tableau1[[#This Row],[TYPE DE PIECE]],Tableau4[MATIERE],Tableau4[SHORT TYPE],"",0,1)</f>
        <v/>
      </c>
      <c r="N12996">
        <f>IF(ISERR(FIND("DECOUPE",Tableau1[[#This Row],[DESIGNATION]])),"","NEED REF")</f>
        <v/>
      </c>
    </row>
    <row r="12997">
      <c r="B12997" t="n">
        <v>34401008</v>
      </c>
      <c r="C12997" s="2" t="n">
        <v>38603</v>
      </c>
      <c r="D12997" t="inlineStr">
        <is>
          <t>NOM</t>
        </is>
      </c>
      <c r="E12997" t="inlineStr">
        <is>
          <t>LG BY-PASS 80kVA PW 40kVA</t>
        </is>
      </c>
      <c r="F12997" t="inlineStr">
        <is>
          <t>PW 40kVA</t>
        </is>
      </c>
      <c r="J12997" t="inlineStr">
        <is>
          <t>FOLTZ</t>
        </is>
      </c>
      <c r="L12997">
        <f>_xlfn.XLOOKUP(Tableau1[[#This Row],[TYPE DE PIECE]],Tableau4[MATIERE],Tableau4[SHORT TYPE],"",0,1)</f>
        <v/>
      </c>
      <c r="N12997">
        <f>IF(ISERR(FIND("DECOUPE",Tableau1[[#This Row],[DESIGNATION]])),"","NEED REF")</f>
        <v/>
      </c>
    </row>
    <row r="12998">
      <c r="B12998" t="n">
        <v>34401007</v>
      </c>
      <c r="C12998" s="2" t="n">
        <v>38603</v>
      </c>
      <c r="D12998" t="inlineStr">
        <is>
          <t>NOM</t>
        </is>
      </c>
      <c r="E12998" t="inlineStr">
        <is>
          <t>LG BY-PASS 60kVA PW 30kVA</t>
        </is>
      </c>
      <c r="F12998" t="inlineStr">
        <is>
          <t>PW 30kVA</t>
        </is>
      </c>
      <c r="J12998" t="inlineStr">
        <is>
          <t>FOLTZ</t>
        </is>
      </c>
      <c r="L12998">
        <f>_xlfn.XLOOKUP(Tableau1[[#This Row],[TYPE DE PIECE]],Tableau4[MATIERE],Tableau4[SHORT TYPE],"",0,1)</f>
        <v/>
      </c>
      <c r="N12998">
        <f>IF(ISERR(FIND("DECOUPE",Tableau1[[#This Row],[DESIGNATION]])),"","NEED REF")</f>
        <v/>
      </c>
    </row>
    <row r="12999">
      <c r="B12999" t="n">
        <v>34401006</v>
      </c>
      <c r="C12999" s="2" t="n">
        <v>38602</v>
      </c>
      <c r="D12999" t="inlineStr">
        <is>
          <t>SPEC</t>
        </is>
      </c>
      <c r="E12999" t="inlineStr">
        <is>
          <t>Entretoises specifiques IP21 affaire CERN</t>
        </is>
      </c>
      <c r="F12999" t="inlineStr">
        <is>
          <t>GALAXY</t>
        </is>
      </c>
      <c r="J12999" t="inlineStr">
        <is>
          <t>ROBERT</t>
        </is>
      </c>
      <c r="L12999">
        <f>_xlfn.XLOOKUP(Tableau1[[#This Row],[TYPE DE PIECE]],Tableau4[MATIERE],Tableau4[SHORT TYPE],"",0,1)</f>
        <v/>
      </c>
      <c r="N12999">
        <f>IF(ISERR(FIND("DECOUPE",Tableau1[[#This Row],[DESIGNATION]])),"","NEED REF")</f>
        <v/>
      </c>
    </row>
    <row r="13000">
      <c r="B13000" t="n">
        <v>34401005</v>
      </c>
      <c r="C13000" s="2" t="n">
        <v>38601</v>
      </c>
      <c r="D13000" t="inlineStr">
        <is>
          <t>CDC</t>
        </is>
      </c>
      <c r="E13000" t="inlineStr">
        <is>
          <t>Hublot de porte</t>
        </is>
      </c>
      <c r="F13000" t="inlineStr">
        <is>
          <t>STS100A</t>
        </is>
      </c>
      <c r="J13000" t="inlineStr">
        <is>
          <t>REVEL</t>
        </is>
      </c>
      <c r="L13000">
        <f>_xlfn.XLOOKUP(Tableau1[[#This Row],[TYPE DE PIECE]],Tableau4[MATIERE],Tableau4[SHORT TYPE],"",0,1)</f>
        <v/>
      </c>
      <c r="N13000">
        <f>IF(ISERR(FIND("DECOUPE",Tableau1[[#This Row],[DESIGNATION]])),"","NEED REF")</f>
        <v/>
      </c>
    </row>
    <row r="13001">
      <c r="B13001" t="n">
        <v>34401004</v>
      </c>
      <c r="C13001" s="2" t="n">
        <v>38600</v>
      </c>
      <c r="D13001" t="inlineStr">
        <is>
          <t>SCH</t>
        </is>
      </c>
      <c r="E13001" t="inlineStr">
        <is>
          <t>Schéma Sinewave 90A en armoire 1015x1900</t>
        </is>
      </c>
      <c r="F13001" t="inlineStr">
        <is>
          <t>NEUTRE NON DISTRIBUE</t>
        </is>
      </c>
      <c r="J13001" t="inlineStr">
        <is>
          <t>FERRIER</t>
        </is>
      </c>
      <c r="L13001">
        <f>_xlfn.XLOOKUP(Tableau1[[#This Row],[TYPE DE PIECE]],Tableau4[MATIERE],Tableau4[SHORT TYPE],"",0,1)</f>
        <v/>
      </c>
      <c r="N13001">
        <f>IF(ISERR(FIND("DECOUPE",Tableau1[[#This Row],[DESIGNATION]])),"","NEED REF")</f>
        <v/>
      </c>
    </row>
    <row r="13002">
      <c r="B13002" t="n">
        <v>34401003</v>
      </c>
      <c r="C13002" s="2" t="n">
        <v>38587</v>
      </c>
      <c r="D13002" t="inlineStr">
        <is>
          <t>NOM</t>
        </is>
      </c>
      <c r="E13002" t="inlineStr">
        <is>
          <t>LG COUPLAGE BATT 400kVA&gt;10min</t>
        </is>
      </c>
      <c r="F13002" t="inlineStr">
        <is>
          <t>GALAXY 400kVA</t>
        </is>
      </c>
      <c r="J13002" t="inlineStr">
        <is>
          <t>FOLTZ</t>
        </is>
      </c>
      <c r="L13002">
        <f>_xlfn.XLOOKUP(Tableau1[[#This Row],[TYPE DE PIECE]],Tableau4[MATIERE],Tableau4[SHORT TYPE],"",0,1)</f>
        <v/>
      </c>
      <c r="N13002">
        <f>IF(ISERR(FIND("DECOUPE",Tableau1[[#This Row],[DESIGNATION]])),"","NEED REF")</f>
        <v/>
      </c>
    </row>
    <row r="13003">
      <c r="B13003" t="n">
        <v>34401002</v>
      </c>
      <c r="C13003" s="2" t="n">
        <v>38587</v>
      </c>
      <c r="D13003" t="inlineStr">
        <is>
          <t>NOM</t>
        </is>
      </c>
      <c r="E13003" t="inlineStr">
        <is>
          <t>LG COMET EXRT 11KVA CLA Tri/Mono</t>
        </is>
      </c>
      <c r="F13003" t="inlineStr">
        <is>
          <t>COMET EXRT 11kVA</t>
        </is>
      </c>
      <c r="J13003" t="inlineStr">
        <is>
          <t>ROBERT</t>
        </is>
      </c>
      <c r="L13003">
        <f>_xlfn.XLOOKUP(Tableau1[[#This Row],[TYPE DE PIECE]],Tableau4[MATIERE],Tableau4[SHORT TYPE],"",0,1)</f>
        <v/>
      </c>
      <c r="N13003">
        <f>IF(ISERR(FIND("DECOUPE",Tableau1[[#This Row],[DESIGNATION]])),"","NEED REF")</f>
        <v/>
      </c>
    </row>
    <row r="13004">
      <c r="B13004" t="n">
        <v>34401001</v>
      </c>
      <c r="C13004" s="2" t="n">
        <v>38587</v>
      </c>
      <c r="D13004" t="inlineStr">
        <is>
          <t>CDC</t>
        </is>
      </c>
      <c r="E13004" t="inlineStr">
        <is>
          <t>SW 180A EN ARMOIRE(GLISSIERE) SUR BORNES</t>
        </is>
      </c>
      <c r="F13004" t="inlineStr">
        <is>
          <t>SW180A neutre non distribué</t>
        </is>
      </c>
      <c r="J13004" t="inlineStr">
        <is>
          <t>FERRIER</t>
        </is>
      </c>
      <c r="L13004">
        <f>_xlfn.XLOOKUP(Tableau1[[#This Row],[TYPE DE PIECE]],Tableau4[MATIERE],Tableau4[SHORT TYPE],"",0,1)</f>
        <v/>
      </c>
      <c r="N13004">
        <f>IF(ISERR(FIND("DECOUPE",Tableau1[[#This Row],[DESIGNATION]])),"","NEED REF")</f>
        <v/>
      </c>
    </row>
    <row r="13005">
      <c r="B13005" t="n">
        <v>34401000</v>
      </c>
      <c r="C13005" s="2" t="n">
        <v>38576</v>
      </c>
      <c r="D13005" t="inlineStr">
        <is>
          <t>CDC</t>
        </is>
      </c>
      <c r="E13005" t="inlineStr">
        <is>
          <t>SW 90A EN ARMOIRE(GLISSIERE) SUR BORNES</t>
        </is>
      </c>
      <c r="F13005" t="inlineStr">
        <is>
          <t>SW 90A neutre distribué</t>
        </is>
      </c>
      <c r="J13005" t="inlineStr">
        <is>
          <t>FOLTZ</t>
        </is>
      </c>
      <c r="L13005">
        <f>_xlfn.XLOOKUP(Tableau1[[#This Row],[TYPE DE PIECE]],Tableau4[MATIERE],Tableau4[SHORT TYPE],"",0,1)</f>
        <v/>
      </c>
      <c r="N13005">
        <f>IF(ISERR(FIND("DECOUPE",Tableau1[[#This Row],[DESIGNATION]])),"","NEED REF")</f>
        <v/>
      </c>
    </row>
    <row r="13006">
      <c r="B13006" t="n">
        <v>34400999</v>
      </c>
      <c r="C13006" s="2" t="n">
        <v>38567</v>
      </c>
      <c r="D13006" t="inlineStr">
        <is>
          <t>CDC</t>
        </is>
      </c>
      <c r="E13006" t="inlineStr">
        <is>
          <t>PORTILLON ETANCHE POUR STS100A</t>
        </is>
      </c>
      <c r="F13006" t="inlineStr">
        <is>
          <t>STS 100A</t>
        </is>
      </c>
      <c r="J13006" t="inlineStr">
        <is>
          <t>REVEL</t>
        </is>
      </c>
      <c r="L13006">
        <f>_xlfn.XLOOKUP(Tableau1[[#This Row],[TYPE DE PIECE]],Tableau4[MATIERE],Tableau4[SHORT TYPE],"",0,1)</f>
        <v/>
      </c>
      <c r="N13006">
        <f>IF(ISERR(FIND("DECOUPE",Tableau1[[#This Row],[DESIGNATION]])),"","NEED REF")</f>
        <v/>
      </c>
    </row>
    <row r="13007">
      <c r="B13007" t="n">
        <v>34400998</v>
      </c>
      <c r="C13007" s="2" t="n">
        <v>38567</v>
      </c>
      <c r="D13007" t="inlineStr">
        <is>
          <t>NOM</t>
        </is>
      </c>
      <c r="E13007" t="inlineStr">
        <is>
          <t>LG KIT de TRANSFORMATION PA &gt; PR PW 200kVA</t>
        </is>
      </c>
      <c r="F13007" t="inlineStr">
        <is>
          <t>MGE SUISSE</t>
        </is>
      </c>
      <c r="J13007" t="inlineStr">
        <is>
          <t>ÇAKIR</t>
        </is>
      </c>
      <c r="L13007">
        <f>_xlfn.XLOOKUP(Tableau1[[#This Row],[TYPE DE PIECE]],Tableau4[MATIERE],Tableau4[SHORT TYPE],"",0,1)</f>
        <v/>
      </c>
      <c r="N13007">
        <f>IF(ISERR(FIND("DECOUPE",Tableau1[[#This Row],[DESIGNATION]])),"","NEED REF")</f>
        <v/>
      </c>
    </row>
    <row r="13008">
      <c r="B13008" t="n">
        <v>34400997</v>
      </c>
      <c r="C13008" s="2" t="n">
        <v>38566</v>
      </c>
      <c r="D13008" t="inlineStr">
        <is>
          <t>CDC</t>
        </is>
      </c>
      <c r="E13008" t="inlineStr">
        <is>
          <t>CDC PMM 126DJ C60N 16A Bi</t>
        </is>
      </c>
      <c r="F13008" t="inlineStr">
        <is>
          <t>MGE SUISSE</t>
        </is>
      </c>
      <c r="J13008" t="inlineStr">
        <is>
          <t>FERRIER</t>
        </is>
      </c>
      <c r="L13008">
        <f>_xlfn.XLOOKUP(Tableau1[[#This Row],[TYPE DE PIECE]],Tableau4[MATIERE],Tableau4[SHORT TYPE],"",0,1)</f>
        <v/>
      </c>
      <c r="N13008">
        <f>IF(ISERR(FIND("DECOUPE",Tableau1[[#This Row],[DESIGNATION]])),"","NEED REF")</f>
        <v/>
      </c>
    </row>
    <row r="13009">
      <c r="B13009" t="n">
        <v>34400996</v>
      </c>
      <c r="C13009" s="2" t="n">
        <v>38565</v>
      </c>
      <c r="D13009" t="inlineStr">
        <is>
          <t>CDC</t>
        </is>
      </c>
      <c r="E13009" t="inlineStr">
        <is>
          <t>CDC PMM 60 DJ C60N 16A/C Bi + vigi 300mA</t>
        </is>
      </c>
      <c r="F13009" t="inlineStr">
        <is>
          <t>MGE Portugal</t>
        </is>
      </c>
      <c r="J13009" t="inlineStr">
        <is>
          <t>FERRIER</t>
        </is>
      </c>
      <c r="L13009">
        <f>_xlfn.XLOOKUP(Tableau1[[#This Row],[TYPE DE PIECE]],Tableau4[MATIERE],Tableau4[SHORT TYPE],"",0,1)</f>
        <v/>
      </c>
      <c r="N13009">
        <f>IF(ISERR(FIND("DECOUPE",Tableau1[[#This Row],[DESIGNATION]])),"","NEED REF")</f>
        <v/>
      </c>
    </row>
    <row r="13010">
      <c r="B13010" t="n">
        <v>34400995</v>
      </c>
      <c r="C13010" s="2" t="n">
        <v>38562</v>
      </c>
      <c r="D13010" t="inlineStr">
        <is>
          <t>CDC</t>
        </is>
      </c>
      <c r="E13010" t="inlineStr">
        <is>
          <t>CDC PMM 126DJ C60H 16A Bi</t>
        </is>
      </c>
      <c r="F13010" t="inlineStr">
        <is>
          <t>SHELL NIGERIA</t>
        </is>
      </c>
      <c r="J13010" t="inlineStr">
        <is>
          <t>FERRIER</t>
        </is>
      </c>
      <c r="L13010">
        <f>_xlfn.XLOOKUP(Tableau1[[#This Row],[TYPE DE PIECE]],Tableau4[MATIERE],Tableau4[SHORT TYPE],"",0,1)</f>
        <v/>
      </c>
      <c r="N13010">
        <f>IF(ISERR(FIND("DECOUPE",Tableau1[[#This Row],[DESIGNATION]])),"","NEED REF")</f>
        <v/>
      </c>
    </row>
    <row r="13011">
      <c r="B13011" t="n">
        <v>34400994</v>
      </c>
      <c r="C13011" s="2" t="n">
        <v>38561</v>
      </c>
      <c r="D13011" t="inlineStr">
        <is>
          <t>CDC</t>
        </is>
      </c>
      <c r="E13011" t="inlineStr">
        <is>
          <t>ARMOIRE ATFO Phase shifting 239kVA + SINEWAVE 45A</t>
        </is>
      </c>
      <c r="F13011" t="inlineStr">
        <is>
          <t>2 PW200kVA PR</t>
        </is>
      </c>
      <c r="J13011" t="inlineStr">
        <is>
          <t>FERRIER</t>
        </is>
      </c>
      <c r="L13011">
        <f>_xlfn.XLOOKUP(Tableau1[[#This Row],[TYPE DE PIECE]],Tableau4[MATIERE],Tableau4[SHORT TYPE],"",0,1)</f>
        <v/>
      </c>
      <c r="N13011">
        <f>IF(ISERR(FIND("DECOUPE",Tableau1[[#This Row],[DESIGNATION]])),"","NEED REF")</f>
        <v/>
      </c>
    </row>
    <row r="13012">
      <c r="B13012" t="n">
        <v>34400993</v>
      </c>
      <c r="C13012" s="2" t="n">
        <v>38561</v>
      </c>
      <c r="D13012" t="inlineStr">
        <is>
          <t>CDC</t>
        </is>
      </c>
      <c r="E13012" t="inlineStr">
        <is>
          <t>ARMOIRE ATFO Phase shifting 192kVA + SINEWAVE 45A</t>
        </is>
      </c>
      <c r="F13012" t="inlineStr">
        <is>
          <t>2 PW160kVA PR</t>
        </is>
      </c>
      <c r="J13012" t="inlineStr">
        <is>
          <t>FERRIER</t>
        </is>
      </c>
      <c r="L13012">
        <f>_xlfn.XLOOKUP(Tableau1[[#This Row],[TYPE DE PIECE]],Tableau4[MATIERE],Tableau4[SHORT TYPE],"",0,1)</f>
        <v/>
      </c>
      <c r="N13012">
        <f>IF(ISERR(FIND("DECOUPE",Tableau1[[#This Row],[DESIGNATION]])),"","NEED REF")</f>
        <v/>
      </c>
    </row>
    <row r="13013">
      <c r="B13013" t="n">
        <v>34400992</v>
      </c>
      <c r="C13013" s="2" t="n">
        <v>38561</v>
      </c>
      <c r="D13013" t="inlineStr">
        <is>
          <t>CDC</t>
        </is>
      </c>
      <c r="E13013" t="inlineStr">
        <is>
          <t>ARMOIRE ATFO Phase shifting 96kVA+ SINEWAVE 30A</t>
        </is>
      </c>
      <c r="F13013" t="inlineStr">
        <is>
          <t>2 PW80kVA PR</t>
        </is>
      </c>
      <c r="J13013" t="inlineStr">
        <is>
          <t>FERRIER</t>
        </is>
      </c>
      <c r="L13013">
        <f>_xlfn.XLOOKUP(Tableau1[[#This Row],[TYPE DE PIECE]],Tableau4[MATIERE],Tableau4[SHORT TYPE],"",0,1)</f>
        <v/>
      </c>
      <c r="N13013">
        <f>IF(ISERR(FIND("DECOUPE",Tableau1[[#This Row],[DESIGNATION]])),"","NEED REF")</f>
        <v/>
      </c>
    </row>
    <row r="13014">
      <c r="B13014" t="n">
        <v>34400991</v>
      </c>
      <c r="C13014" s="2" t="n">
        <v>38561</v>
      </c>
      <c r="D13014" t="inlineStr">
        <is>
          <t>SPEC</t>
        </is>
      </c>
      <c r="E13014" t="inlineStr">
        <is>
          <t>LG COMET EXRT 31 5KVA CLA</t>
        </is>
      </c>
      <c r="F13014" t="inlineStr">
        <is>
          <t>Comet EXRT 31 5kVA</t>
        </is>
      </c>
      <c r="J13014" t="inlineStr">
        <is>
          <t>REVEL</t>
        </is>
      </c>
      <c r="L13014">
        <f>_xlfn.XLOOKUP(Tableau1[[#This Row],[TYPE DE PIECE]],Tableau4[MATIERE],Tableau4[SHORT TYPE],"",0,1)</f>
        <v/>
      </c>
      <c r="N13014">
        <f>IF(ISERR(FIND("DECOUPE",Tableau1[[#This Row],[DESIGNATION]])),"","NEED REF")</f>
        <v/>
      </c>
    </row>
    <row r="13015">
      <c r="B13015" t="n">
        <v>34400990</v>
      </c>
      <c r="C13015" s="2" t="n">
        <v>38559</v>
      </c>
      <c r="D13015" t="inlineStr">
        <is>
          <t>SPEC</t>
        </is>
      </c>
      <c r="E13015" t="inlineStr">
        <is>
          <t>Carte GTCZ COM 500kva</t>
        </is>
      </c>
      <c r="F13015" t="inlineStr">
        <is>
          <t>Galaxy 6000 500kva</t>
        </is>
      </c>
      <c r="J13015" t="inlineStr">
        <is>
          <t>REVEL</t>
        </is>
      </c>
      <c r="L13015">
        <f>_xlfn.XLOOKUP(Tableau1[[#This Row],[TYPE DE PIECE]],Tableau4[MATIERE],Tableau4[SHORT TYPE],"",0,1)</f>
        <v/>
      </c>
      <c r="N13015">
        <f>IF(ISERR(FIND("DECOUPE",Tableau1[[#This Row],[DESIGNATION]])),"","NEED REF")</f>
        <v/>
      </c>
    </row>
    <row r="13016">
      <c r="B13016" t="n">
        <v>34400989</v>
      </c>
      <c r="C13016" s="2" t="n">
        <v>38559</v>
      </c>
      <c r="D13016" t="inlineStr">
        <is>
          <t>SPEC</t>
        </is>
      </c>
      <c r="E13016" t="inlineStr">
        <is>
          <t>Carte GTCZ ACQ 500kva</t>
        </is>
      </c>
      <c r="F13016" t="inlineStr">
        <is>
          <t>Galaxy 6000 500kva</t>
        </is>
      </c>
      <c r="J13016" t="inlineStr">
        <is>
          <t>REVEL</t>
        </is>
      </c>
      <c r="L13016">
        <f>_xlfn.XLOOKUP(Tableau1[[#This Row],[TYPE DE PIECE]],Tableau4[MATIERE],Tableau4[SHORT TYPE],"",0,1)</f>
        <v/>
      </c>
      <c r="N13016">
        <f>IF(ISERR(FIND("DECOUPE",Tableau1[[#This Row],[DESIGNATION]])),"","NEED REF")</f>
        <v/>
      </c>
    </row>
    <row r="13017">
      <c r="B13017" t="n">
        <v>34400988</v>
      </c>
      <c r="C13017" s="2" t="n">
        <v>38559</v>
      </c>
      <c r="D13017" t="inlineStr">
        <is>
          <t>SPEC</t>
        </is>
      </c>
      <c r="E13017" t="inlineStr">
        <is>
          <t>Carte CROZ D3 500kva</t>
        </is>
      </c>
      <c r="F13017" t="inlineStr">
        <is>
          <t>Galaxy 6000 500kva</t>
        </is>
      </c>
      <c r="J13017" t="inlineStr">
        <is>
          <t>REVEL</t>
        </is>
      </c>
      <c r="L13017">
        <f>_xlfn.XLOOKUP(Tableau1[[#This Row],[TYPE DE PIECE]],Tableau4[MATIERE],Tableau4[SHORT TYPE],"",0,1)</f>
        <v/>
      </c>
      <c r="N13017">
        <f>IF(ISERR(FIND("DECOUPE",Tableau1[[#This Row],[DESIGNATION]])),"","NEED REF")</f>
        <v/>
      </c>
    </row>
    <row r="13018">
      <c r="B13018" t="n">
        <v>34400987</v>
      </c>
      <c r="C13018" s="2" t="n">
        <v>38559</v>
      </c>
      <c r="D13018" t="inlineStr">
        <is>
          <t>SPEC</t>
        </is>
      </c>
      <c r="E13018" t="inlineStr">
        <is>
          <t>Carte GTCZ COM M1 500kva</t>
        </is>
      </c>
      <c r="F13018" t="inlineStr">
        <is>
          <t>Galaxy 6000 500kva</t>
        </is>
      </c>
      <c r="J13018" t="inlineStr">
        <is>
          <t>REVEL</t>
        </is>
      </c>
      <c r="L13018">
        <f>_xlfn.XLOOKUP(Tableau1[[#This Row],[TYPE DE PIECE]],Tableau4[MATIERE],Tableau4[SHORT TYPE],"",0,1)</f>
        <v/>
      </c>
      <c r="N13018">
        <f>IF(ISERR(FIND("DECOUPE",Tableau1[[#This Row],[DESIGNATION]])),"","NEED REF")</f>
        <v/>
      </c>
    </row>
    <row r="13019">
      <c r="B13019" t="n">
        <v>34400986</v>
      </c>
      <c r="C13019" s="2" t="n">
        <v>38559</v>
      </c>
      <c r="D13019" t="inlineStr">
        <is>
          <t>SPEC</t>
        </is>
      </c>
      <c r="E13019" t="inlineStr">
        <is>
          <t>Carte CRIZ D4 500kva</t>
        </is>
      </c>
      <c r="F13019" t="inlineStr">
        <is>
          <t>Galaxy 6000 500kva</t>
        </is>
      </c>
      <c r="J13019" t="inlineStr">
        <is>
          <t>REVEL</t>
        </is>
      </c>
      <c r="L13019">
        <f>_xlfn.XLOOKUP(Tableau1[[#This Row],[TYPE DE PIECE]],Tableau4[MATIERE],Tableau4[SHORT TYPE],"",0,1)</f>
        <v/>
      </c>
      <c r="N13019">
        <f>IF(ISERR(FIND("DECOUPE",Tableau1[[#This Row],[DESIGNATION]])),"","NEED REF")</f>
        <v/>
      </c>
    </row>
    <row r="13020">
      <c r="B13020" t="n">
        <v>34400985</v>
      </c>
      <c r="C13020" s="2" t="n">
        <v>38559</v>
      </c>
      <c r="D13020" t="inlineStr">
        <is>
          <t>SPEC</t>
        </is>
      </c>
      <c r="E13020" t="inlineStr">
        <is>
          <t>Carte AROZ 500kva</t>
        </is>
      </c>
      <c r="F13020" t="inlineStr">
        <is>
          <t>Galaxy 6000 500kva</t>
        </is>
      </c>
      <c r="J13020" t="inlineStr">
        <is>
          <t>REVEL</t>
        </is>
      </c>
      <c r="L13020">
        <f>_xlfn.XLOOKUP(Tableau1[[#This Row],[TYPE DE PIECE]],Tableau4[MATIERE],Tableau4[SHORT TYPE],"",0,1)</f>
        <v/>
      </c>
      <c r="N13020">
        <f>IF(ISERR(FIND("DECOUPE",Tableau1[[#This Row],[DESIGNATION]])),"","NEED REF")</f>
        <v/>
      </c>
    </row>
    <row r="13021">
      <c r="B13021" t="n">
        <v>34400984</v>
      </c>
      <c r="C13021" s="2" t="n">
        <v>38554</v>
      </c>
      <c r="D13021" t="inlineStr">
        <is>
          <t>SPEC</t>
        </is>
      </c>
      <c r="E13021" t="inlineStr">
        <is>
          <t>Toit renforce ep 3mm</t>
        </is>
      </c>
      <c r="F13021" t="inlineStr">
        <is>
          <t>Gaine 400</t>
        </is>
      </c>
      <c r="J13021" t="inlineStr">
        <is>
          <t>REVEL</t>
        </is>
      </c>
      <c r="L13021">
        <f>_xlfn.XLOOKUP(Tableau1[[#This Row],[TYPE DE PIECE]],Tableau4[MATIERE],Tableau4[SHORT TYPE],"",0,1)</f>
        <v/>
      </c>
      <c r="N13021">
        <f>IF(ISERR(FIND("DECOUPE",Tableau1[[#This Row],[DESIGNATION]])),"","NEED REF")</f>
        <v/>
      </c>
    </row>
    <row r="13022">
      <c r="B13022" t="n">
        <v>34400983</v>
      </c>
      <c r="C13022" s="2" t="n">
        <v>38554</v>
      </c>
      <c r="D13022" t="inlineStr">
        <is>
          <t>SPEC</t>
        </is>
      </c>
      <c r="E13022" t="inlineStr">
        <is>
          <t>Plaque PE ep 5mm</t>
        </is>
      </c>
      <c r="F13022" t="inlineStr">
        <is>
          <t>Gaine 400</t>
        </is>
      </c>
      <c r="J13022" t="inlineStr">
        <is>
          <t>REVEL</t>
        </is>
      </c>
      <c r="L13022">
        <f>_xlfn.XLOOKUP(Tableau1[[#This Row],[TYPE DE PIECE]],Tableau4[MATIERE],Tableau4[SHORT TYPE],"",0,1)</f>
        <v/>
      </c>
      <c r="N13022">
        <f>IF(ISERR(FIND("DECOUPE",Tableau1[[#This Row],[DESIGNATION]])),"","NEED REF")</f>
        <v/>
      </c>
    </row>
    <row r="13023">
      <c r="B13023" t="n">
        <v>34400982</v>
      </c>
      <c r="C13023" s="2" t="n">
        <v>38553</v>
      </c>
      <c r="D13023" t="inlineStr">
        <is>
          <t>SPEC</t>
        </is>
      </c>
      <c r="E13023" t="inlineStr">
        <is>
          <t>Etiquette Eprom</t>
        </is>
      </c>
      <c r="F13023" t="inlineStr">
        <is>
          <t>SINEWAVE 60A</t>
        </is>
      </c>
      <c r="J13023" t="inlineStr">
        <is>
          <t>REVEL</t>
        </is>
      </c>
      <c r="L13023">
        <f>_xlfn.XLOOKUP(Tableau1[[#This Row],[TYPE DE PIECE]],Tableau4[MATIERE],Tableau4[SHORT TYPE],"",0,1)</f>
        <v/>
      </c>
      <c r="N13023">
        <f>IF(ISERR(FIND("DECOUPE",Tableau1[[#This Row],[DESIGNATION]])),"","NEED REF")</f>
        <v/>
      </c>
    </row>
    <row r="13024">
      <c r="B13024" t="n">
        <v>34400981</v>
      </c>
      <c r="C13024" s="2" t="n">
        <v>38553</v>
      </c>
      <c r="D13024" t="inlineStr">
        <is>
          <t>SPEC</t>
        </is>
      </c>
      <c r="E13024" t="inlineStr">
        <is>
          <t>Etiquette Eprom</t>
        </is>
      </c>
      <c r="F13024" t="inlineStr">
        <is>
          <t>SINEWAVE 60A</t>
        </is>
      </c>
      <c r="J13024" t="inlineStr">
        <is>
          <t>REVEL</t>
        </is>
      </c>
      <c r="L13024">
        <f>_xlfn.XLOOKUP(Tableau1[[#This Row],[TYPE DE PIECE]],Tableau4[MATIERE],Tableau4[SHORT TYPE],"",0,1)</f>
        <v/>
      </c>
      <c r="N13024">
        <f>IF(ISERR(FIND("DECOUPE",Tableau1[[#This Row],[DESIGNATION]])),"","NEED REF")</f>
        <v/>
      </c>
    </row>
    <row r="13025">
      <c r="B13025" t="n">
        <v>34400980</v>
      </c>
      <c r="C13025" s="2" t="n">
        <v>38553</v>
      </c>
      <c r="D13025" t="inlineStr">
        <is>
          <t>SPEC</t>
        </is>
      </c>
      <c r="E13025" t="inlineStr">
        <is>
          <t>Etiquette Eprom</t>
        </is>
      </c>
      <c r="F13025" t="inlineStr">
        <is>
          <t>SINEWAVE 60A</t>
        </is>
      </c>
      <c r="J13025" t="inlineStr">
        <is>
          <t>REVEL</t>
        </is>
      </c>
      <c r="L13025">
        <f>_xlfn.XLOOKUP(Tableau1[[#This Row],[TYPE DE PIECE]],Tableau4[MATIERE],Tableau4[SHORT TYPE],"",0,1)</f>
        <v/>
      </c>
      <c r="N13025">
        <f>IF(ISERR(FIND("DECOUPE",Tableau1[[#This Row],[DESIGNATION]])),"","NEED REF")</f>
        <v/>
      </c>
    </row>
    <row r="13026">
      <c r="B13026" t="n">
        <v>34400979</v>
      </c>
      <c r="C13026" s="2" t="n">
        <v>38545</v>
      </c>
      <c r="D13026" t="inlineStr">
        <is>
          <t>NOM</t>
        </is>
      </c>
      <c r="E13026" t="inlineStr">
        <is>
          <t>LG option CEM Niveau A</t>
        </is>
      </c>
      <c r="F13026" t="inlineStr">
        <is>
          <t>Galaxy PW 80-120kva</t>
        </is>
      </c>
      <c r="J13026" t="inlineStr">
        <is>
          <t>REVEL</t>
        </is>
      </c>
      <c r="L13026">
        <f>_xlfn.XLOOKUP(Tableau1[[#This Row],[TYPE DE PIECE]],Tableau4[MATIERE],Tableau4[SHORT TYPE],"",0,1)</f>
        <v/>
      </c>
      <c r="N13026">
        <f>IF(ISERR(FIND("DECOUPE",Tableau1[[#This Row],[DESIGNATION]])),"","NEED REF")</f>
        <v/>
      </c>
    </row>
    <row r="13027">
      <c r="B13027" t="n">
        <v>34400978</v>
      </c>
      <c r="C13027" s="2" t="n">
        <v>38545</v>
      </c>
      <c r="D13027" t="inlineStr">
        <is>
          <t>NOM</t>
        </is>
      </c>
      <c r="E13027" t="inlineStr">
        <is>
          <t>LG Option TVSS parafoudre</t>
        </is>
      </c>
      <c r="F13027" t="inlineStr">
        <is>
          <t>Galaxy PW 80-120kva</t>
        </is>
      </c>
      <c r="J13027" t="inlineStr">
        <is>
          <t>REVEL</t>
        </is>
      </c>
      <c r="L13027">
        <f>_xlfn.XLOOKUP(Tableau1[[#This Row],[TYPE DE PIECE]],Tableau4[MATIERE],Tableau4[SHORT TYPE],"",0,1)</f>
        <v/>
      </c>
      <c r="N13027">
        <f>IF(ISERR(FIND("DECOUPE",Tableau1[[#This Row],[DESIGNATION]])),"","NEED REF")</f>
        <v/>
      </c>
    </row>
    <row r="13028">
      <c r="B13028" t="n">
        <v>34400977</v>
      </c>
      <c r="C13028" s="2" t="n">
        <v>38544</v>
      </c>
      <c r="D13028" t="inlineStr">
        <is>
          <t>NOM</t>
        </is>
      </c>
      <c r="E13028" t="inlineStr">
        <is>
          <t>LG IP22 arm batterie Galaxy L=1200</t>
        </is>
      </c>
      <c r="F13028" t="inlineStr">
        <is>
          <t>Galaxy arm bat L=1200</t>
        </is>
      </c>
      <c r="J13028" t="inlineStr">
        <is>
          <t>REVEL</t>
        </is>
      </c>
      <c r="L13028">
        <f>_xlfn.XLOOKUP(Tableau1[[#This Row],[TYPE DE PIECE]],Tableau4[MATIERE],Tableau4[SHORT TYPE],"",0,1)</f>
        <v/>
      </c>
      <c r="N13028">
        <f>IF(ISERR(FIND("DECOUPE",Tableau1[[#This Row],[DESIGNATION]])),"","NEED REF")</f>
        <v/>
      </c>
    </row>
    <row r="13029">
      <c r="B13029" t="n">
        <v>34400976</v>
      </c>
      <c r="C13029" s="2" t="n">
        <v>38544</v>
      </c>
      <c r="D13029" t="inlineStr">
        <is>
          <t>NOM</t>
        </is>
      </c>
      <c r="E13029" t="inlineStr">
        <is>
          <t>LG option CEM Niveau A</t>
        </is>
      </c>
      <c r="F13029" t="inlineStr">
        <is>
          <t>Galaxy PW 60kva</t>
        </is>
      </c>
      <c r="J13029" t="inlineStr">
        <is>
          <t>REVEL</t>
        </is>
      </c>
      <c r="L13029">
        <f>_xlfn.XLOOKUP(Tableau1[[#This Row],[TYPE DE PIECE]],Tableau4[MATIERE],Tableau4[SHORT TYPE],"",0,1)</f>
        <v/>
      </c>
      <c r="N13029">
        <f>IF(ISERR(FIND("DECOUPE",Tableau1[[#This Row],[DESIGNATION]])),"","NEED REF")</f>
        <v/>
      </c>
    </row>
    <row r="13030">
      <c r="B13030" t="n">
        <v>34400975</v>
      </c>
      <c r="C13030" s="2" t="n">
        <v>38544</v>
      </c>
      <c r="D13030" t="inlineStr">
        <is>
          <t>NOM</t>
        </is>
      </c>
      <c r="E13030" t="inlineStr">
        <is>
          <t>LG option CEM Niveau A</t>
        </is>
      </c>
      <c r="F13030" t="inlineStr">
        <is>
          <t>Galaxy PW 40kva</t>
        </is>
      </c>
      <c r="J13030" t="inlineStr">
        <is>
          <t>REVEL</t>
        </is>
      </c>
      <c r="L13030">
        <f>_xlfn.XLOOKUP(Tableau1[[#This Row],[TYPE DE PIECE]],Tableau4[MATIERE],Tableau4[SHORT TYPE],"",0,1)</f>
        <v/>
      </c>
      <c r="N13030">
        <f>IF(ISERR(FIND("DECOUPE",Tableau1[[#This Row],[DESIGNATION]])),"","NEED REF")</f>
        <v/>
      </c>
    </row>
    <row r="13031">
      <c r="B13031" t="n">
        <v>34400974</v>
      </c>
      <c r="C13031" s="2" t="n">
        <v>38544</v>
      </c>
      <c r="D13031" t="inlineStr">
        <is>
          <t>NOM</t>
        </is>
      </c>
      <c r="E13031" t="inlineStr">
        <is>
          <t>LG Option TVSS parafoudre</t>
        </is>
      </c>
      <c r="F13031" t="inlineStr">
        <is>
          <t>Galaxy PW 40-60kva</t>
        </is>
      </c>
      <c r="J13031" t="inlineStr">
        <is>
          <t>REVEL</t>
        </is>
      </c>
      <c r="L13031">
        <f>_xlfn.XLOOKUP(Tableau1[[#This Row],[TYPE DE PIECE]],Tableau4[MATIERE],Tableau4[SHORT TYPE],"",0,1)</f>
        <v/>
      </c>
      <c r="N13031">
        <f>IF(ISERR(FIND("DECOUPE",Tableau1[[#This Row],[DESIGNATION]])),"","NEED REF")</f>
        <v/>
      </c>
    </row>
    <row r="13032">
      <c r="B13032" t="n">
        <v>34400973</v>
      </c>
      <c r="C13032" s="2" t="n">
        <v>38538</v>
      </c>
      <c r="D13032" t="inlineStr">
        <is>
          <t>SPEC</t>
        </is>
      </c>
      <c r="E13032" t="inlineStr">
        <is>
          <t>Carte MERI MODIFIE SW 60A</t>
        </is>
      </c>
      <c r="F13032" t="inlineStr">
        <is>
          <t>SINEWAVE 60A</t>
        </is>
      </c>
      <c r="J13032" t="inlineStr">
        <is>
          <t>REVEL</t>
        </is>
      </c>
      <c r="L13032">
        <f>_xlfn.XLOOKUP(Tableau1[[#This Row],[TYPE DE PIECE]],Tableau4[MATIERE],Tableau4[SHORT TYPE],"",0,1)</f>
        <v/>
      </c>
      <c r="N13032">
        <f>IF(ISERR(FIND("DECOUPE",Tableau1[[#This Row],[DESIGNATION]])),"","NEED REF")</f>
        <v/>
      </c>
    </row>
    <row r="13033">
      <c r="B13033" t="n">
        <v>34400972</v>
      </c>
      <c r="C13033" s="2" t="n">
        <v>38538</v>
      </c>
      <c r="D13033" t="inlineStr">
        <is>
          <t>NOM</t>
        </is>
      </c>
      <c r="E13033" t="inlineStr">
        <is>
          <t>LG SINEWAVE CHARGE CAPACITIVE</t>
        </is>
      </c>
      <c r="F13033" t="inlineStr">
        <is>
          <t>SINEWAVE 60A</t>
        </is>
      </c>
      <c r="J13033" t="inlineStr">
        <is>
          <t>REVEL</t>
        </is>
      </c>
      <c r="L13033">
        <f>_xlfn.XLOOKUP(Tableau1[[#This Row],[TYPE DE PIECE]],Tableau4[MATIERE],Tableau4[SHORT TYPE],"",0,1)</f>
        <v/>
      </c>
      <c r="N13033">
        <f>IF(ISERR(FIND("DECOUPE",Tableau1[[#This Row],[DESIGNATION]])),"","NEED REF")</f>
        <v/>
      </c>
    </row>
    <row r="13034">
      <c r="B13034" t="n">
        <v>34400971</v>
      </c>
      <c r="C13034" s="2" t="n">
        <v>38533</v>
      </c>
      <c r="D13034" t="inlineStr">
        <is>
          <t>SPEC</t>
        </is>
      </c>
      <c r="E13034" t="inlineStr">
        <is>
          <t>TOLE DE FOND NS IP32</t>
        </is>
      </c>
      <c r="F13034" t="inlineStr">
        <is>
          <t>NS 500/800kVA</t>
        </is>
      </c>
      <c r="J13034" t="inlineStr">
        <is>
          <t>ROBERT</t>
        </is>
      </c>
      <c r="L13034">
        <f>_xlfn.XLOOKUP(Tableau1[[#This Row],[TYPE DE PIECE]],Tableau4[MATIERE],Tableau4[SHORT TYPE],"",0,1)</f>
        <v/>
      </c>
      <c r="N13034">
        <f>IF(ISERR(FIND("DECOUPE",Tableau1[[#This Row],[DESIGNATION]])),"","NEED REF")</f>
        <v/>
      </c>
    </row>
    <row r="13035">
      <c r="B13035" t="n">
        <v>34400970</v>
      </c>
      <c r="C13035" s="2" t="n">
        <v>38533</v>
      </c>
      <c r="D13035" t="inlineStr">
        <is>
          <t>SCH</t>
        </is>
      </c>
      <c r="E13035" t="inlineStr">
        <is>
          <t>Schéma DJ BATT 450kVA dans arm Galaxy 800mm</t>
        </is>
      </c>
      <c r="J13035" t="inlineStr">
        <is>
          <t>FERRIER</t>
        </is>
      </c>
      <c r="L13035">
        <f>_xlfn.XLOOKUP(Tableau1[[#This Row],[TYPE DE PIECE]],Tableau4[MATIERE],Tableau4[SHORT TYPE],"",0,1)</f>
        <v/>
      </c>
      <c r="N13035">
        <f>IF(ISERR(FIND("DECOUPE",Tableau1[[#This Row],[DESIGNATION]])),"","NEED REF")</f>
        <v/>
      </c>
    </row>
    <row r="13036">
      <c r="B13036" t="n">
        <v>34400969</v>
      </c>
      <c r="C13036" s="2" t="n">
        <v>38531</v>
      </c>
      <c r="D13036" t="inlineStr">
        <is>
          <t>NOM</t>
        </is>
      </c>
      <c r="E13036" t="inlineStr">
        <is>
          <t>LG PSEUDO NS SANS AFFICHEUR</t>
        </is>
      </c>
      <c r="F13036" t="inlineStr">
        <is>
          <t>PSEUDO NS</t>
        </is>
      </c>
      <c r="J13036" t="inlineStr">
        <is>
          <t>REVEL</t>
        </is>
      </c>
      <c r="L13036">
        <f>_xlfn.XLOOKUP(Tableau1[[#This Row],[TYPE DE PIECE]],Tableau4[MATIERE],Tableau4[SHORT TYPE],"",0,1)</f>
        <v/>
      </c>
      <c r="N13036">
        <f>IF(ISERR(FIND("DECOUPE",Tableau1[[#This Row],[DESIGNATION]])),"","NEED REF")</f>
        <v/>
      </c>
    </row>
    <row r="13037">
      <c r="B13037" t="n">
        <v>34400968</v>
      </c>
      <c r="C13037" s="2" t="n">
        <v>38530</v>
      </c>
      <c r="D13037" t="inlineStr">
        <is>
          <t>SCH</t>
        </is>
      </c>
      <c r="E13037" t="inlineStr">
        <is>
          <t>ARMOIRE DJ BATT 400kVA (avec self)</t>
        </is>
      </c>
      <c r="F13037" t="inlineStr">
        <is>
          <t>ARMOIRE 600mm</t>
        </is>
      </c>
      <c r="J13037" t="inlineStr">
        <is>
          <t>FERRIER</t>
        </is>
      </c>
      <c r="L13037">
        <f>_xlfn.XLOOKUP(Tableau1[[#This Row],[TYPE DE PIECE]],Tableau4[MATIERE],Tableau4[SHORT TYPE],"",0,1)</f>
        <v/>
      </c>
      <c r="N13037">
        <f>IF(ISERR(FIND("DECOUPE",Tableau1[[#This Row],[DESIGNATION]])),"","NEED REF")</f>
        <v/>
      </c>
    </row>
    <row r="13038">
      <c r="B13038" t="n">
        <v>34400967</v>
      </c>
      <c r="C13038" s="2" t="n">
        <v>38530</v>
      </c>
      <c r="D13038" t="inlineStr">
        <is>
          <t>SPEC</t>
        </is>
      </c>
      <c r="E13038" t="inlineStr">
        <is>
          <t>ATFO PHASE SHIFTING 540kVA  P1=+15° N1=-15° P3=+30°</t>
        </is>
      </c>
      <c r="F13038" t="inlineStr">
        <is>
          <t>GALAXY 450kVA</t>
        </is>
      </c>
      <c r="J13038" t="inlineStr">
        <is>
          <t>FERRIER</t>
        </is>
      </c>
      <c r="L13038">
        <f>_xlfn.XLOOKUP(Tableau1[[#This Row],[TYPE DE PIECE]],Tableau4[MATIERE],Tableau4[SHORT TYPE],"",0,1)</f>
        <v/>
      </c>
      <c r="N13038">
        <f>IF(ISERR(FIND("DECOUPE",Tableau1[[#This Row],[DESIGNATION]])),"","NEED REF")</f>
        <v/>
      </c>
    </row>
    <row r="13039">
      <c r="B13039" t="n">
        <v>34400966</v>
      </c>
      <c r="C13039" s="2" t="n">
        <v>38530</v>
      </c>
      <c r="D13039" t="inlineStr">
        <is>
          <t>NOM</t>
        </is>
      </c>
      <c r="E13039" t="inlineStr">
        <is>
          <t>LG FILTRATION ANTI POUSSIERE</t>
        </is>
      </c>
      <c r="F13039" t="inlineStr">
        <is>
          <t>Galaxy PW 40kVA H=1400</t>
        </is>
      </c>
      <c r="J13039" t="inlineStr">
        <is>
          <t>REVEL</t>
        </is>
      </c>
      <c r="L13039">
        <f>_xlfn.XLOOKUP(Tableau1[[#This Row],[TYPE DE PIECE]],Tableau4[MATIERE],Tableau4[SHORT TYPE],"",0,1)</f>
        <v/>
      </c>
      <c r="N13039">
        <f>IF(ISERR(FIND("DECOUPE",Tableau1[[#This Row],[DESIGNATION]])),"","NEED REF")</f>
        <v/>
      </c>
    </row>
    <row r="13040">
      <c r="B13040" t="n">
        <v>34400965</v>
      </c>
      <c r="C13040" s="2" t="n">
        <v>38527</v>
      </c>
      <c r="D13040" t="inlineStr">
        <is>
          <t>SPEC</t>
        </is>
      </c>
      <c r="E13040" t="inlineStr">
        <is>
          <t>BAIE ATHOS  24U 600x800 IP54</t>
        </is>
      </c>
      <c r="F13040" t="inlineStr">
        <is>
          <t>COMET EXRT+PULSAR EXTR</t>
        </is>
      </c>
      <c r="J13040" t="inlineStr">
        <is>
          <t>ROBERT</t>
        </is>
      </c>
      <c r="L13040">
        <f>_xlfn.XLOOKUP(Tableau1[[#This Row],[TYPE DE PIECE]],Tableau4[MATIERE],Tableau4[SHORT TYPE],"",0,1)</f>
        <v/>
      </c>
      <c r="N13040">
        <f>IF(ISERR(FIND("DECOUPE",Tableau1[[#This Row],[DESIGNATION]])),"","NEED REF")</f>
        <v/>
      </c>
    </row>
    <row r="13041">
      <c r="B13041" t="n">
        <v>34400964</v>
      </c>
      <c r="C13041" s="2" t="n">
        <v>38527</v>
      </c>
      <c r="D13041" t="inlineStr">
        <is>
          <t>SPEC</t>
        </is>
      </c>
      <c r="E13041" t="inlineStr">
        <is>
          <t>TFO DP 600 avec déphasage +15°</t>
        </is>
      </c>
      <c r="F13041" t="inlineStr">
        <is>
          <t>DP 600kVA</t>
        </is>
      </c>
      <c r="J13041" t="inlineStr">
        <is>
          <t>ROBERT</t>
        </is>
      </c>
      <c r="L13041">
        <f>_xlfn.XLOOKUP(Tableau1[[#This Row],[TYPE DE PIECE]],Tableau4[MATIERE],Tableau4[SHORT TYPE],"",0,1)</f>
        <v/>
      </c>
      <c r="N13041">
        <f>IF(ISERR(FIND("DECOUPE",Tableau1[[#This Row],[DESIGNATION]])),"","NEED REF")</f>
        <v/>
      </c>
    </row>
    <row r="13042">
      <c r="B13042" t="n">
        <v>34400963</v>
      </c>
      <c r="C13042" s="2" t="n">
        <v>38518</v>
      </c>
      <c r="D13042" t="inlineStr">
        <is>
          <t>CDC</t>
        </is>
      </c>
      <c r="E13042" t="inlineStr">
        <is>
          <t>FILTRATION ANTI POUSSIERE</t>
        </is>
      </c>
      <c r="F13042" t="inlineStr">
        <is>
          <t>GAL PW 40KVA H=1400</t>
        </is>
      </c>
      <c r="J13042" t="inlineStr">
        <is>
          <t>REVEL</t>
        </is>
      </c>
      <c r="L13042">
        <f>_xlfn.XLOOKUP(Tableau1[[#This Row],[TYPE DE PIECE]],Tableau4[MATIERE],Tableau4[SHORT TYPE],"",0,1)</f>
        <v/>
      </c>
      <c r="N13042">
        <f>IF(ISERR(FIND("DECOUPE",Tableau1[[#This Row],[DESIGNATION]])),"","NEED REF")</f>
        <v/>
      </c>
    </row>
    <row r="13043">
      <c r="B13043" t="n">
        <v>34400962</v>
      </c>
      <c r="C13043" s="2" t="n">
        <v>38518</v>
      </c>
      <c r="D13043" t="inlineStr">
        <is>
          <t>SPEC</t>
        </is>
      </c>
      <c r="E13043" t="inlineStr">
        <is>
          <t>CAME SERRURE CNOMO 2</t>
        </is>
      </c>
      <c r="F13043" t="inlineStr">
        <is>
          <t>GALAXY AUX</t>
        </is>
      </c>
      <c r="J13043" t="inlineStr">
        <is>
          <t>REVEL</t>
        </is>
      </c>
      <c r="L13043">
        <f>_xlfn.XLOOKUP(Tableau1[[#This Row],[TYPE DE PIECE]],Tableau4[MATIERE],Tableau4[SHORT TYPE],"",0,1)</f>
        <v/>
      </c>
      <c r="N13043">
        <f>IF(ISERR(FIND("DECOUPE",Tableau1[[#This Row],[DESIGNATION]])),"","NEED REF")</f>
        <v/>
      </c>
    </row>
    <row r="13044">
      <c r="B13044" t="n">
        <v>34400961</v>
      </c>
      <c r="C13044" s="2" t="n">
        <v>38517</v>
      </c>
      <c r="D13044" t="inlineStr">
        <is>
          <t>SPEC</t>
        </is>
      </c>
      <c r="E13044" t="inlineStr">
        <is>
          <t>ETIQUETTE GESTION D'ENERGIE</t>
        </is>
      </c>
      <c r="F13044" t="inlineStr">
        <is>
          <t>SYSTEME GESTION NRJ</t>
        </is>
      </c>
      <c r="J13044" t="inlineStr">
        <is>
          <t>FOLTZ</t>
        </is>
      </c>
      <c r="L13044">
        <f>_xlfn.XLOOKUP(Tableau1[[#This Row],[TYPE DE PIECE]],Tableau4[MATIERE],Tableau4[SHORT TYPE],"",0,1)</f>
        <v/>
      </c>
      <c r="N13044">
        <f>IF(ISERR(FIND("DECOUPE",Tableau1[[#This Row],[DESIGNATION]])),"","NEED REF")</f>
        <v/>
      </c>
    </row>
    <row r="13045">
      <c r="B13045" t="n">
        <v>34400960</v>
      </c>
      <c r="C13045" s="2" t="n">
        <v>38513</v>
      </c>
      <c r="D13045" t="inlineStr">
        <is>
          <t>SPEC</t>
        </is>
      </c>
      <c r="E13045" t="inlineStr">
        <is>
          <t>TOIT AVEC PLAQUE PE ARRIERE</t>
        </is>
      </c>
      <c r="F13045" t="inlineStr">
        <is>
          <t>GALAXY PW 715</t>
        </is>
      </c>
      <c r="J13045" t="inlineStr">
        <is>
          <t>REVEL</t>
        </is>
      </c>
      <c r="L13045">
        <f>_xlfn.XLOOKUP(Tableau1[[#This Row],[TYPE DE PIECE]],Tableau4[MATIERE],Tableau4[SHORT TYPE],"",0,1)</f>
        <v/>
      </c>
      <c r="N13045">
        <f>IF(ISERR(FIND("DECOUPE",Tableau1[[#This Row],[DESIGNATION]])),"","NEED REF")</f>
        <v/>
      </c>
    </row>
    <row r="13046">
      <c r="B13046" t="n">
        <v>34400959</v>
      </c>
      <c r="C13046" s="2" t="n">
        <v>38512</v>
      </c>
      <c r="D13046" t="inlineStr">
        <is>
          <t>SPEC</t>
        </is>
      </c>
      <c r="E13046" t="inlineStr">
        <is>
          <t xml:space="preserve">MODIFICATION STS 250A </t>
        </is>
      </c>
      <c r="F13046" t="inlineStr">
        <is>
          <t>UPSILON STS</t>
        </is>
      </c>
      <c r="J13046" t="inlineStr">
        <is>
          <t>REVEL</t>
        </is>
      </c>
      <c r="L13046">
        <f>_xlfn.XLOOKUP(Tableau1[[#This Row],[TYPE DE PIECE]],Tableau4[MATIERE],Tableau4[SHORT TYPE],"",0,1)</f>
        <v/>
      </c>
      <c r="N13046">
        <f>IF(ISERR(FIND("DECOUPE",Tableau1[[#This Row],[DESIGNATION]])),"","NEED REF")</f>
        <v/>
      </c>
    </row>
    <row r="13047">
      <c r="B13047" t="n">
        <v>34400958</v>
      </c>
      <c r="C13047" s="2" t="n">
        <v>38510</v>
      </c>
      <c r="D13047" t="inlineStr">
        <is>
          <t>SPEC</t>
        </is>
      </c>
      <c r="E13047" t="inlineStr">
        <is>
          <t>RALLONGE DE SERRURE CNOMO 2</t>
        </is>
      </c>
      <c r="F13047" t="inlineStr">
        <is>
          <t>GALAXY</t>
        </is>
      </c>
      <c r="J13047" t="inlineStr">
        <is>
          <t>ROBERT</t>
        </is>
      </c>
      <c r="L13047">
        <f>_xlfn.XLOOKUP(Tableau1[[#This Row],[TYPE DE PIECE]],Tableau4[MATIERE],Tableau4[SHORT TYPE],"",0,1)</f>
        <v/>
      </c>
      <c r="N13047">
        <f>IF(ISERR(FIND("DECOUPE",Tableau1[[#This Row],[DESIGNATION]])),"","NEED REF")</f>
        <v/>
      </c>
    </row>
    <row r="13048">
      <c r="B13048" t="n">
        <v>34400957</v>
      </c>
      <c r="C13048" s="2" t="n">
        <v>38509</v>
      </c>
      <c r="D13048" t="inlineStr">
        <is>
          <t>NOM</t>
        </is>
      </c>
      <c r="E13048" t="inlineStr">
        <is>
          <t>TOIT IP32  GAINE L=400</t>
        </is>
      </c>
      <c r="F13048" t="inlineStr">
        <is>
          <t>GALAXY 600kVA</t>
        </is>
      </c>
      <c r="J13048" t="inlineStr">
        <is>
          <t>ROBERT</t>
        </is>
      </c>
      <c r="L13048">
        <f>_xlfn.XLOOKUP(Tableau1[[#This Row],[TYPE DE PIECE]],Tableau4[MATIERE],Tableau4[SHORT TYPE],"",0,1)</f>
        <v/>
      </c>
      <c r="N13048">
        <f>IF(ISERR(FIND("DECOUPE",Tableau1[[#This Row],[DESIGNATION]])),"","NEED REF")</f>
        <v/>
      </c>
    </row>
    <row r="13049">
      <c r="B13049" t="n">
        <v>34400956</v>
      </c>
      <c r="C13049" s="2" t="n">
        <v>38504</v>
      </c>
      <c r="D13049" t="inlineStr">
        <is>
          <t>CDC</t>
        </is>
      </c>
      <c r="E13049" t="inlineStr">
        <is>
          <t>DURCISSEMENT SISMIQUE</t>
        </is>
      </c>
      <c r="F13049" t="inlineStr">
        <is>
          <t>Galaxy PW 40kVA</t>
        </is>
      </c>
      <c r="J13049" t="inlineStr">
        <is>
          <t>REVEL</t>
        </is>
      </c>
      <c r="L13049">
        <f>_xlfn.XLOOKUP(Tableau1[[#This Row],[TYPE DE PIECE]],Tableau4[MATIERE],Tableau4[SHORT TYPE],"",0,1)</f>
        <v/>
      </c>
      <c r="N13049">
        <f>IF(ISERR(FIND("DECOUPE",Tableau1[[#This Row],[DESIGNATION]])),"","NEED REF")</f>
        <v/>
      </c>
    </row>
    <row r="13050">
      <c r="B13050" t="n">
        <v>34400955</v>
      </c>
      <c r="C13050" s="2" t="n">
        <v>38497</v>
      </c>
      <c r="D13050" t="inlineStr">
        <is>
          <t>SPEC</t>
        </is>
      </c>
      <c r="E13050" t="inlineStr">
        <is>
          <t>CHASSIS METALLIQUE</t>
        </is>
      </c>
      <c r="F13050" t="inlineStr">
        <is>
          <t>Galaxy PW 40kVA</t>
        </is>
      </c>
      <c r="J13050" t="inlineStr">
        <is>
          <t>REVEL</t>
        </is>
      </c>
      <c r="L13050">
        <f>_xlfn.XLOOKUP(Tableau1[[#This Row],[TYPE DE PIECE]],Tableau4[MATIERE],Tableau4[SHORT TYPE],"",0,1)</f>
        <v/>
      </c>
      <c r="N13050">
        <f>IF(ISERR(FIND("DECOUPE",Tableau1[[#This Row],[DESIGNATION]])),"","NEED REF")</f>
        <v/>
      </c>
    </row>
    <row r="13051">
      <c r="B13051" t="n">
        <v>34400954</v>
      </c>
      <c r="C13051" s="2" t="n">
        <v>38496</v>
      </c>
      <c r="D13051" t="inlineStr">
        <is>
          <t>NOM</t>
        </is>
      </c>
      <c r="E13051" t="inlineStr">
        <is>
          <t>LG IP32 PEINTURE STD</t>
        </is>
      </c>
      <c r="F13051" t="inlineStr">
        <is>
          <t>GALAXY AUX L=800</t>
        </is>
      </c>
      <c r="J13051" t="inlineStr">
        <is>
          <t>ROBERT</t>
        </is>
      </c>
      <c r="L13051">
        <f>_xlfn.XLOOKUP(Tableau1[[#This Row],[TYPE DE PIECE]],Tableau4[MATIERE],Tableau4[SHORT TYPE],"",0,1)</f>
        <v/>
      </c>
      <c r="N13051">
        <f>IF(ISERR(FIND("DECOUPE",Tableau1[[#This Row],[DESIGNATION]])),"","NEED REF")</f>
        <v/>
      </c>
    </row>
    <row r="13052">
      <c r="B13052" t="n">
        <v>34400953</v>
      </c>
      <c r="C13052" s="2" t="n">
        <v>38496</v>
      </c>
      <c r="D13052" t="inlineStr">
        <is>
          <t>SPEC</t>
        </is>
      </c>
      <c r="E13052" t="inlineStr">
        <is>
          <t>IP 32 TOIT CELLULE DP 600kVA</t>
        </is>
      </c>
      <c r="F13052" t="inlineStr">
        <is>
          <t>GALAXY 500/600kVA</t>
        </is>
      </c>
      <c r="J13052" t="inlineStr">
        <is>
          <t>ROBERT</t>
        </is>
      </c>
      <c r="L13052">
        <f>_xlfn.XLOOKUP(Tableau1[[#This Row],[TYPE DE PIECE]],Tableau4[MATIERE],Tableau4[SHORT TYPE],"",0,1)</f>
        <v/>
      </c>
      <c r="N13052">
        <f>IF(ISERR(FIND("DECOUPE",Tableau1[[#This Row],[DESIGNATION]])),"","NEED REF")</f>
        <v/>
      </c>
    </row>
    <row r="13053">
      <c r="B13053" t="n">
        <v>34400952</v>
      </c>
      <c r="C13053" s="2" t="n">
        <v>38496</v>
      </c>
      <c r="D13053" t="inlineStr">
        <is>
          <t>NOM</t>
        </is>
      </c>
      <c r="E13053" t="inlineStr">
        <is>
          <t xml:space="preserve">LG IP32 DP 500/600kVA GAL COUL STD </t>
        </is>
      </c>
      <c r="F13053" t="inlineStr">
        <is>
          <t>GALAXY 500/600kVA</t>
        </is>
      </c>
      <c r="J13053" t="inlineStr">
        <is>
          <t>ROBERT</t>
        </is>
      </c>
      <c r="L13053">
        <f>_xlfn.XLOOKUP(Tableau1[[#This Row],[TYPE DE PIECE]],Tableau4[MATIERE],Tableau4[SHORT TYPE],"",0,1)</f>
        <v/>
      </c>
      <c r="N13053">
        <f>IF(ISERR(FIND("DECOUPE",Tableau1[[#This Row],[DESIGNATION]])),"","NEED REF")</f>
        <v/>
      </c>
    </row>
    <row r="13054">
      <c r="B13054" t="n">
        <v>34400951</v>
      </c>
      <c r="C13054" s="2" t="n">
        <v>38495</v>
      </c>
      <c r="D13054" t="inlineStr">
        <is>
          <t>NOM</t>
        </is>
      </c>
      <c r="E13054" t="inlineStr">
        <is>
          <t xml:space="preserve">LG IP32 GALAXY 500/600kVA COUL STD </t>
        </is>
      </c>
      <c r="F13054" t="inlineStr">
        <is>
          <t>GALAXY 500/600kVA</t>
        </is>
      </c>
      <c r="J13054" t="inlineStr">
        <is>
          <t>ROBERT</t>
        </is>
      </c>
      <c r="L13054">
        <f>_xlfn.XLOOKUP(Tableau1[[#This Row],[TYPE DE PIECE]],Tableau4[MATIERE],Tableau4[SHORT TYPE],"",0,1)</f>
        <v/>
      </c>
      <c r="N13054">
        <f>IF(ISERR(FIND("DECOUPE",Tableau1[[#This Row],[DESIGNATION]])),"","NEED REF")</f>
        <v/>
      </c>
    </row>
    <row r="13055">
      <c r="B13055" t="n">
        <v>34400950</v>
      </c>
      <c r="C13055" s="2" t="n">
        <v>38492</v>
      </c>
      <c r="D13055" t="inlineStr">
        <is>
          <t>NOM</t>
        </is>
      </c>
      <c r="E13055" t="inlineStr">
        <is>
          <t>LG IP32 PEINTURE A COMMISSION</t>
        </is>
      </c>
      <c r="F13055" t="inlineStr">
        <is>
          <t>GALAXY AUX L=800</t>
        </is>
      </c>
      <c r="J13055" t="inlineStr">
        <is>
          <t>ROBERT</t>
        </is>
      </c>
      <c r="L13055">
        <f>_xlfn.XLOOKUP(Tableau1[[#This Row],[TYPE DE PIECE]],Tableau4[MATIERE],Tableau4[SHORT TYPE],"",0,1)</f>
        <v/>
      </c>
      <c r="N13055">
        <f>IF(ISERR(FIND("DECOUPE",Tableau1[[#This Row],[DESIGNATION]])),"","NEED REF")</f>
        <v/>
      </c>
    </row>
    <row r="13056">
      <c r="B13056" t="n">
        <v>34400949</v>
      </c>
      <c r="C13056" s="2" t="n">
        <v>38491</v>
      </c>
      <c r="D13056" t="inlineStr">
        <is>
          <t>SPEC</t>
        </is>
      </c>
      <c r="E13056" t="inlineStr">
        <is>
          <t xml:space="preserve">KIT DE CABLES EXB 4,5kVA </t>
        </is>
      </c>
      <c r="F13056" t="inlineStr">
        <is>
          <t>COMET EXTREME</t>
        </is>
      </c>
      <c r="J13056" t="inlineStr">
        <is>
          <t>ÇAKIR</t>
        </is>
      </c>
      <c r="L13056">
        <f>_xlfn.XLOOKUP(Tableau1[[#This Row],[TYPE DE PIECE]],Tableau4[MATIERE],Tableau4[SHORT TYPE],"",0,1)</f>
        <v/>
      </c>
      <c r="N13056">
        <f>IF(ISERR(FIND("DECOUPE",Tableau1[[#This Row],[DESIGNATION]])),"","NEED REF")</f>
        <v/>
      </c>
    </row>
    <row r="13057">
      <c r="B13057" t="n">
        <v>34400948</v>
      </c>
      <c r="C13057" s="2" t="n">
        <v>38484</v>
      </c>
      <c r="D13057" t="inlineStr">
        <is>
          <t>SPEC</t>
        </is>
      </c>
      <c r="E13057" t="inlineStr">
        <is>
          <t>CAPOT CONTACTEUR EXB 4,5kVA</t>
        </is>
      </c>
      <c r="F13057" t="inlineStr">
        <is>
          <t>COMET EXTREME</t>
        </is>
      </c>
      <c r="J13057" t="inlineStr">
        <is>
          <t>ÇAKIR</t>
        </is>
      </c>
      <c r="L13057">
        <f>_xlfn.XLOOKUP(Tableau1[[#This Row],[TYPE DE PIECE]],Tableau4[MATIERE],Tableau4[SHORT TYPE],"",0,1)</f>
        <v/>
      </c>
      <c r="N13057">
        <f>IF(ISERR(FIND("DECOUPE",Tableau1[[#This Row],[DESIGNATION]])),"","NEED REF")</f>
        <v/>
      </c>
    </row>
    <row r="13058">
      <c r="B13058" t="n">
        <v>34400947</v>
      </c>
      <c r="C13058" s="2" t="n">
        <v>38483</v>
      </c>
      <c r="D13058" t="inlineStr">
        <is>
          <t>SPEC</t>
        </is>
      </c>
      <c r="E13058" t="inlineStr">
        <is>
          <t xml:space="preserve">TOIT IP32 </t>
        </is>
      </c>
      <c r="F13058" t="inlineStr">
        <is>
          <t>CELLULE AUX 1000 GALAXY</t>
        </is>
      </c>
      <c r="J13058" t="inlineStr">
        <is>
          <t>ROBERT</t>
        </is>
      </c>
      <c r="L13058">
        <f>_xlfn.XLOOKUP(Tableau1[[#This Row],[TYPE DE PIECE]],Tableau4[MATIERE],Tableau4[SHORT TYPE],"",0,1)</f>
        <v/>
      </c>
      <c r="N13058">
        <f>IF(ISERR(FIND("DECOUPE",Tableau1[[#This Row],[DESIGNATION]])),"","NEED REF")</f>
        <v/>
      </c>
    </row>
    <row r="13059">
      <c r="B13059" t="n">
        <v>34400946</v>
      </c>
      <c r="C13059" s="2" t="n">
        <v>38483</v>
      </c>
      <c r="D13059" t="inlineStr">
        <is>
          <t>SPEC</t>
        </is>
      </c>
      <c r="E13059" t="inlineStr">
        <is>
          <t>TOLE DE FOND BATT IP32</t>
        </is>
      </c>
      <c r="F13059" t="inlineStr">
        <is>
          <t>CELLULE AUX 1200 GALAXY</t>
        </is>
      </c>
      <c r="J13059" t="inlineStr">
        <is>
          <t>ROBERT</t>
        </is>
      </c>
      <c r="L13059">
        <f>_xlfn.XLOOKUP(Tableau1[[#This Row],[TYPE DE PIECE]],Tableau4[MATIERE],Tableau4[SHORT TYPE],"",0,1)</f>
        <v/>
      </c>
      <c r="N13059">
        <f>IF(ISERR(FIND("DECOUPE",Tableau1[[#This Row],[DESIGNATION]])),"","NEED REF")</f>
        <v/>
      </c>
    </row>
    <row r="13060">
      <c r="B13060" t="n">
        <v>34400945</v>
      </c>
      <c r="C13060" s="2" t="n">
        <v>38481</v>
      </c>
      <c r="D13060" t="inlineStr">
        <is>
          <t>NOM</t>
        </is>
      </c>
      <c r="E13060" t="inlineStr">
        <is>
          <t>LG IP32 PEINTURE A COMMISSION</t>
        </is>
      </c>
      <c r="F13060" t="inlineStr">
        <is>
          <t>GALAXY AUX L=800</t>
        </is>
      </c>
      <c r="J13060" t="inlineStr">
        <is>
          <t>ROBERT</t>
        </is>
      </c>
      <c r="L13060">
        <f>_xlfn.XLOOKUP(Tableau1[[#This Row],[TYPE DE PIECE]],Tableau4[MATIERE],Tableau4[SHORT TYPE],"",0,1)</f>
        <v/>
      </c>
      <c r="N13060">
        <f>IF(ISERR(FIND("DECOUPE",Tableau1[[#This Row],[DESIGNATION]])),"","NEED REF")</f>
        <v/>
      </c>
    </row>
    <row r="13061">
      <c r="B13061" t="n">
        <v>34400944</v>
      </c>
      <c r="C13061" s="2" t="n">
        <v>38481</v>
      </c>
      <c r="D13061" t="inlineStr">
        <is>
          <t>XT</t>
        </is>
      </c>
      <c r="E13061" t="inlineStr">
        <is>
          <t>NOTICE couplage batt réinitialisation automatique</t>
        </is>
      </c>
      <c r="F13061" t="inlineStr">
        <is>
          <t>GALAXY ET PW</t>
        </is>
      </c>
      <c r="J13061" t="inlineStr">
        <is>
          <t>FOLTZ</t>
        </is>
      </c>
      <c r="L13061">
        <f>_xlfn.XLOOKUP(Tableau1[[#This Row],[TYPE DE PIECE]],Tableau4[MATIERE],Tableau4[SHORT TYPE],"",0,1)</f>
        <v/>
      </c>
      <c r="N13061">
        <f>IF(ISERR(FIND("DECOUPE",Tableau1[[#This Row],[DESIGNATION]])),"","NEED REF")</f>
        <v/>
      </c>
    </row>
    <row r="13062">
      <c r="B13062" t="n">
        <v>34400943</v>
      </c>
      <c r="C13062" s="2" t="n">
        <v>38475</v>
      </c>
      <c r="D13062" t="inlineStr">
        <is>
          <t>SPEC</t>
        </is>
      </c>
      <c r="E13062" t="inlineStr">
        <is>
          <t>SEPARATEUR</t>
        </is>
      </c>
      <c r="F13062" t="inlineStr">
        <is>
          <t xml:space="preserve">STS 250A </t>
        </is>
      </c>
      <c r="J13062" t="inlineStr">
        <is>
          <t>REVEL</t>
        </is>
      </c>
      <c r="L13062">
        <f>_xlfn.XLOOKUP(Tableau1[[#This Row],[TYPE DE PIECE]],Tableau4[MATIERE],Tableau4[SHORT TYPE],"",0,1)</f>
        <v/>
      </c>
      <c r="N13062">
        <f>IF(ISERR(FIND("DECOUPE",Tableau1[[#This Row],[DESIGNATION]])),"","NEED REF")</f>
        <v/>
      </c>
    </row>
    <row r="13063">
      <c r="B13063" t="n">
        <v>34400942</v>
      </c>
      <c r="C13063" s="2" t="n">
        <v>38471</v>
      </c>
      <c r="D13063" t="inlineStr">
        <is>
          <t>CDC</t>
        </is>
      </c>
      <c r="E13063" t="inlineStr">
        <is>
          <t xml:space="preserve">Caillebotis marine 1x32 P12V1575 </t>
        </is>
      </c>
      <c r="F13063" t="inlineStr">
        <is>
          <t>Arm bat PW 1015*1900</t>
        </is>
      </c>
      <c r="J13063" t="inlineStr">
        <is>
          <t>ROBERT</t>
        </is>
      </c>
      <c r="L13063">
        <f>_xlfn.XLOOKUP(Tableau1[[#This Row],[TYPE DE PIECE]],Tableau4[MATIERE],Tableau4[SHORT TYPE],"",0,1)</f>
        <v/>
      </c>
      <c r="N13063">
        <f>IF(ISERR(FIND("DECOUPE",Tableau1[[#This Row],[DESIGNATION]])),"","NEED REF")</f>
        <v/>
      </c>
    </row>
    <row r="13064">
      <c r="B13064" t="n">
        <v>34400941</v>
      </c>
      <c r="C13064" s="2" t="n">
        <v>38471</v>
      </c>
      <c r="D13064" t="inlineStr">
        <is>
          <t>CDC</t>
        </is>
      </c>
      <c r="E13064" t="inlineStr">
        <is>
          <t>SKID ARMOIRE PW + GAL 1000 PW</t>
        </is>
      </c>
      <c r="F13064" t="inlineStr">
        <is>
          <t>GALAXY 1000 PW</t>
        </is>
      </c>
      <c r="J13064" t="inlineStr">
        <is>
          <t>ROBERT</t>
        </is>
      </c>
      <c r="L13064">
        <f>_xlfn.XLOOKUP(Tableau1[[#This Row],[TYPE DE PIECE]],Tableau4[MATIERE],Tableau4[SHORT TYPE],"",0,1)</f>
        <v/>
      </c>
      <c r="N13064">
        <f>IF(ISERR(FIND("DECOUPE",Tableau1[[#This Row],[DESIGNATION]])),"","NEED REF")</f>
        <v/>
      </c>
    </row>
    <row r="13065">
      <c r="B13065" t="n">
        <v>34400940</v>
      </c>
      <c r="C13065" s="2" t="n">
        <v>38470</v>
      </c>
      <c r="D13065" t="inlineStr">
        <is>
          <t>CDC</t>
        </is>
      </c>
      <c r="E13065" t="inlineStr">
        <is>
          <t>ARMOIRE ATFO Phase shifting 120kVA + SINEWAVE 30A</t>
        </is>
      </c>
      <c r="F13065" t="inlineStr">
        <is>
          <t>2 PW100kVA PR</t>
        </is>
      </c>
      <c r="J13065" t="inlineStr">
        <is>
          <t>FERRIER</t>
        </is>
      </c>
      <c r="L13065">
        <f>_xlfn.XLOOKUP(Tableau1[[#This Row],[TYPE DE PIECE]],Tableau4[MATIERE],Tableau4[SHORT TYPE],"",0,1)</f>
        <v/>
      </c>
      <c r="N13065">
        <f>IF(ISERR(FIND("DECOUPE",Tableau1[[#This Row],[DESIGNATION]])),"","NEED REF")</f>
        <v/>
      </c>
    </row>
    <row r="13066">
      <c r="B13066" t="n">
        <v>34400939</v>
      </c>
      <c r="C13066" s="2" t="n">
        <v>38464</v>
      </c>
      <c r="D13066" t="inlineStr">
        <is>
          <t>NOM</t>
        </is>
      </c>
      <c r="E13066" t="inlineStr">
        <is>
          <t>LG IP 22 COULEUR SPECIAL PW 80-120kVA</t>
        </is>
      </c>
      <c r="F13066" t="inlineStr">
        <is>
          <t>PW 80-120 et PW 1000</t>
        </is>
      </c>
      <c r="J13066" t="inlineStr">
        <is>
          <t>ÇAKIR</t>
        </is>
      </c>
      <c r="L13066">
        <f>_xlfn.XLOOKUP(Tableau1[[#This Row],[TYPE DE PIECE]],Tableau4[MATIERE],Tableau4[SHORT TYPE],"",0,1)</f>
        <v/>
      </c>
      <c r="N13066">
        <f>IF(ISERR(FIND("DECOUPE",Tableau1[[#This Row],[DESIGNATION]])),"","NEED REF")</f>
        <v/>
      </c>
    </row>
    <row r="13067">
      <c r="B13067" t="n">
        <v>34400938</v>
      </c>
      <c r="C13067" s="2" t="n">
        <v>38464</v>
      </c>
      <c r="D13067" t="inlineStr">
        <is>
          <t>CDC</t>
        </is>
      </c>
      <c r="E13067" t="inlineStr">
        <is>
          <t>Modif PMM existant</t>
        </is>
      </c>
      <c r="F13067" t="inlineStr">
        <is>
          <t>PMM</t>
        </is>
      </c>
      <c r="J13067" t="inlineStr">
        <is>
          <t>REVEL</t>
        </is>
      </c>
      <c r="L13067">
        <f>_xlfn.XLOOKUP(Tableau1[[#This Row],[TYPE DE PIECE]],Tableau4[MATIERE],Tableau4[SHORT TYPE],"",0,1)</f>
        <v/>
      </c>
      <c r="N13067">
        <f>IF(ISERR(FIND("DECOUPE",Tableau1[[#This Row],[DESIGNATION]])),"","NEED REF")</f>
        <v/>
      </c>
    </row>
    <row r="13068">
      <c r="B13068" t="n">
        <v>34400937</v>
      </c>
      <c r="C13068" s="2" t="n">
        <v>38462</v>
      </c>
      <c r="D13068" t="inlineStr">
        <is>
          <t>SPEC</t>
        </is>
      </c>
      <c r="E13068" t="inlineStr">
        <is>
          <t>Carte ICOZ2 modif pseudo NS</t>
        </is>
      </c>
      <c r="F13068" t="inlineStr">
        <is>
          <t>Galaxy</t>
        </is>
      </c>
      <c r="J13068" t="inlineStr">
        <is>
          <t>REVEL</t>
        </is>
      </c>
      <c r="L13068">
        <f>_xlfn.XLOOKUP(Tableau1[[#This Row],[TYPE DE PIECE]],Tableau4[MATIERE],Tableau4[SHORT TYPE],"",0,1)</f>
        <v/>
      </c>
      <c r="N13068">
        <f>IF(ISERR(FIND("DECOUPE",Tableau1[[#This Row],[DESIGNATION]])),"","NEED REF")</f>
        <v/>
      </c>
    </row>
    <row r="13069">
      <c r="B13069" t="n">
        <v>34400936</v>
      </c>
      <c r="C13069" s="2" t="n">
        <v>38460</v>
      </c>
      <c r="D13069" t="inlineStr">
        <is>
          <t>XT</t>
        </is>
      </c>
      <c r="E13069" t="inlineStr">
        <is>
          <t>Notice couplage batt/ouverture Q10 par SB1/233252</t>
        </is>
      </c>
      <c r="F13069" t="inlineStr">
        <is>
          <t>SPECIFIQUE 233252</t>
        </is>
      </c>
      <c r="J13069" t="inlineStr">
        <is>
          <t>FOLTZ</t>
        </is>
      </c>
      <c r="L13069">
        <f>_xlfn.XLOOKUP(Tableau1[[#This Row],[TYPE DE PIECE]],Tableau4[MATIERE],Tableau4[SHORT TYPE],"",0,1)</f>
        <v/>
      </c>
      <c r="N13069">
        <f>IF(ISERR(FIND("DECOUPE",Tableau1[[#This Row],[DESIGNATION]])),"","NEED REF")</f>
        <v/>
      </c>
    </row>
    <row r="13070">
      <c r="B13070" t="n">
        <v>34400935</v>
      </c>
      <c r="C13070" s="2" t="n">
        <v>38455</v>
      </c>
      <c r="D13070" t="inlineStr">
        <is>
          <t>SPEC</t>
        </is>
      </c>
      <c r="E13070" t="inlineStr">
        <is>
          <t>Etiquette kit LONI</t>
        </is>
      </c>
      <c r="F13070" t="inlineStr">
        <is>
          <t>COMMUNICATION</t>
        </is>
      </c>
      <c r="J13070" t="inlineStr">
        <is>
          <t>FERRIER</t>
        </is>
      </c>
      <c r="L13070">
        <f>_xlfn.XLOOKUP(Tableau1[[#This Row],[TYPE DE PIECE]],Tableau4[MATIERE],Tableau4[SHORT TYPE],"",0,1)</f>
        <v/>
      </c>
      <c r="N13070">
        <f>IF(ISERR(FIND("DECOUPE",Tableau1[[#This Row],[DESIGNATION]])),"","NEED REF")</f>
        <v/>
      </c>
    </row>
    <row r="13071">
      <c r="B13071" t="n">
        <v>34400934</v>
      </c>
      <c r="C13071" s="2" t="n">
        <v>38455</v>
      </c>
      <c r="D13071" t="inlineStr">
        <is>
          <t>DOC</t>
        </is>
      </c>
      <c r="E13071" t="inlineStr">
        <is>
          <t>Kit LONI (= carte emballée)</t>
        </is>
      </c>
      <c r="F13071" t="inlineStr">
        <is>
          <t>COMMUNICATION</t>
        </is>
      </c>
      <c r="J13071" t="inlineStr">
        <is>
          <t>FERRIER</t>
        </is>
      </c>
      <c r="L13071">
        <f>_xlfn.XLOOKUP(Tableau1[[#This Row],[TYPE DE PIECE]],Tableau4[MATIERE],Tableau4[SHORT TYPE],"",0,1)</f>
        <v/>
      </c>
      <c r="N13071">
        <f>IF(ISERR(FIND("DECOUPE",Tableau1[[#This Row],[DESIGNATION]])),"","NEED REF")</f>
        <v/>
      </c>
    </row>
    <row r="13072">
      <c r="B13072" t="n">
        <v>34400933</v>
      </c>
      <c r="C13072" s="2" t="n">
        <v>38455</v>
      </c>
      <c r="D13072" t="inlineStr">
        <is>
          <t>SPEC</t>
        </is>
      </c>
      <c r="E13072" t="inlineStr">
        <is>
          <t>IP 32 TOIT NS 500/800</t>
        </is>
      </c>
      <c r="F13072" t="inlineStr">
        <is>
          <t>GALAXY</t>
        </is>
      </c>
      <c r="J13072" t="inlineStr">
        <is>
          <t>ROBERT</t>
        </is>
      </c>
      <c r="L13072">
        <f>_xlfn.XLOOKUP(Tableau1[[#This Row],[TYPE DE PIECE]],Tableau4[MATIERE],Tableau4[SHORT TYPE],"",0,1)</f>
        <v/>
      </c>
      <c r="N13072">
        <f>IF(ISERR(FIND("DECOUPE",Tableau1[[#This Row],[DESIGNATION]])),"","NEED REF")</f>
        <v/>
      </c>
    </row>
    <row r="13073">
      <c r="B13073" t="n">
        <v>34400932</v>
      </c>
      <c r="C13073" s="2" t="n">
        <v>38454</v>
      </c>
      <c r="D13073" t="inlineStr">
        <is>
          <t>XF</t>
        </is>
      </c>
      <c r="E13073" t="inlineStr">
        <is>
          <t>PARAMETRAGE PASSERELLE PROFIBUS</t>
        </is>
      </c>
      <c r="F13073" t="inlineStr">
        <is>
          <t>COMET ET PW</t>
        </is>
      </c>
      <c r="J13073" t="inlineStr">
        <is>
          <t>FOLTZ</t>
        </is>
      </c>
      <c r="L13073">
        <f>_xlfn.XLOOKUP(Tableau1[[#This Row],[TYPE DE PIECE]],Tableau4[MATIERE],Tableau4[SHORT TYPE],"",0,1)</f>
        <v/>
      </c>
      <c r="N13073">
        <f>IF(ISERR(FIND("DECOUPE",Tableau1[[#This Row],[DESIGNATION]])),"","NEED REF")</f>
        <v/>
      </c>
    </row>
    <row r="13074">
      <c r="B13074" t="n">
        <v>34400931</v>
      </c>
      <c r="C13074" s="2" t="n">
        <v>38454</v>
      </c>
      <c r="D13074" t="inlineStr">
        <is>
          <t>NOM</t>
        </is>
      </c>
      <c r="E13074" t="inlineStr">
        <is>
          <t>LG IP32 PEINTURE A COMMISSION</t>
        </is>
      </c>
      <c r="F13074" t="inlineStr">
        <is>
          <t>GALAXY AUX L=1000</t>
        </is>
      </c>
      <c r="J13074" t="inlineStr">
        <is>
          <t>ROBERT</t>
        </is>
      </c>
      <c r="L13074">
        <f>_xlfn.XLOOKUP(Tableau1[[#This Row],[TYPE DE PIECE]],Tableau4[MATIERE],Tableau4[SHORT TYPE],"",0,1)</f>
        <v/>
      </c>
      <c r="N13074">
        <f>IF(ISERR(FIND("DECOUPE",Tableau1[[#This Row],[DESIGNATION]])),"","NEED REF")</f>
        <v/>
      </c>
    </row>
    <row r="13075">
      <c r="B13075" t="n">
        <v>34400930</v>
      </c>
      <c r="C13075" s="2" t="n">
        <v>38454</v>
      </c>
      <c r="D13075" t="inlineStr">
        <is>
          <t>NOM</t>
        </is>
      </c>
      <c r="E13075" t="inlineStr">
        <is>
          <t>LG IP32 PEINTURE A COMMISSION</t>
        </is>
      </c>
      <c r="F13075" t="inlineStr">
        <is>
          <t>GALAXY NS 500</t>
        </is>
      </c>
      <c r="J13075" t="inlineStr">
        <is>
          <t>ROBERT</t>
        </is>
      </c>
      <c r="L13075">
        <f>_xlfn.XLOOKUP(Tableau1[[#This Row],[TYPE DE PIECE]],Tableau4[MATIERE],Tableau4[SHORT TYPE],"",0,1)</f>
        <v/>
      </c>
      <c r="N13075">
        <f>IF(ISERR(FIND("DECOUPE",Tableau1[[#This Row],[DESIGNATION]])),"","NEED REF")</f>
        <v/>
      </c>
    </row>
    <row r="13076">
      <c r="B13076" t="n">
        <v>34400929</v>
      </c>
      <c r="C13076" s="2" t="n">
        <v>38454</v>
      </c>
      <c r="D13076" t="inlineStr">
        <is>
          <t>SPEC</t>
        </is>
      </c>
      <c r="E13076" t="inlineStr">
        <is>
          <t>IP32 PORTE GAUCHE "607"</t>
        </is>
      </c>
      <c r="F13076" t="inlineStr">
        <is>
          <t>GALAXY AUX L=1000</t>
        </is>
      </c>
      <c r="J13076" t="inlineStr">
        <is>
          <t>ROBERT</t>
        </is>
      </c>
      <c r="L13076">
        <f>_xlfn.XLOOKUP(Tableau1[[#This Row],[TYPE DE PIECE]],Tableau4[MATIERE],Tableau4[SHORT TYPE],"",0,1)</f>
        <v/>
      </c>
      <c r="N13076">
        <f>IF(ISERR(FIND("DECOUPE",Tableau1[[#This Row],[DESIGNATION]])),"","NEED REF")</f>
        <v/>
      </c>
    </row>
    <row r="13077">
      <c r="B13077" t="n">
        <v>34400928</v>
      </c>
      <c r="C13077" s="2" t="n">
        <v>38454</v>
      </c>
      <c r="D13077" t="inlineStr">
        <is>
          <t>SPEC</t>
        </is>
      </c>
      <c r="E13077" t="inlineStr">
        <is>
          <t>IP32 PORTE GAUCHE "607"</t>
        </is>
      </c>
      <c r="F13077" t="inlineStr">
        <is>
          <t>GALAXY NS 500</t>
        </is>
      </c>
      <c r="J13077" t="inlineStr">
        <is>
          <t>ROBERT</t>
        </is>
      </c>
      <c r="L13077">
        <f>_xlfn.XLOOKUP(Tableau1[[#This Row],[TYPE DE PIECE]],Tableau4[MATIERE],Tableau4[SHORT TYPE],"",0,1)</f>
        <v/>
      </c>
      <c r="N13077">
        <f>IF(ISERR(FIND("DECOUPE",Tableau1[[#This Row],[DESIGNATION]])),"","NEED REF")</f>
        <v/>
      </c>
    </row>
    <row r="13078">
      <c r="B13078" t="n">
        <v>34400927</v>
      </c>
      <c r="C13078" s="2" t="n">
        <v>38453</v>
      </c>
      <c r="D13078" t="inlineStr">
        <is>
          <t>NOM</t>
        </is>
      </c>
      <c r="E13078" t="inlineStr">
        <is>
          <t>LG COMET EXRT 11KVA CLA</t>
        </is>
      </c>
      <c r="F13078" t="inlineStr">
        <is>
          <t>COMET EXRT 11KVA</t>
        </is>
      </c>
      <c r="J13078" t="inlineStr">
        <is>
          <t>REVEL</t>
        </is>
      </c>
      <c r="L13078">
        <f>_xlfn.XLOOKUP(Tableau1[[#This Row],[TYPE DE PIECE]],Tableau4[MATIERE],Tableau4[SHORT TYPE],"",0,1)</f>
        <v/>
      </c>
      <c r="N13078">
        <f>IF(ISERR(FIND("DECOUPE",Tableau1[[#This Row],[DESIGNATION]])),"","NEED REF")</f>
        <v/>
      </c>
    </row>
    <row r="13079">
      <c r="B13079" t="n">
        <v>34400926</v>
      </c>
      <c r="C13079" s="2" t="n">
        <v>38453</v>
      </c>
      <c r="D13079" t="inlineStr">
        <is>
          <t>NOM</t>
        </is>
      </c>
      <c r="E13079" t="inlineStr">
        <is>
          <t>ARMOIRE LEADING 600kVA</t>
        </is>
      </c>
      <c r="F13079" t="inlineStr">
        <is>
          <t>Galaxy 600kVA Leading (advance)</t>
        </is>
      </c>
      <c r="J13079" t="inlineStr">
        <is>
          <t>FERRIER</t>
        </is>
      </c>
      <c r="L13079">
        <f>_xlfn.XLOOKUP(Tableau1[[#This Row],[TYPE DE PIECE]],Tableau4[MATIERE],Tableau4[SHORT TYPE],"",0,1)</f>
        <v/>
      </c>
      <c r="N13079">
        <f>IF(ISERR(FIND("DECOUPE",Tableau1[[#This Row],[DESIGNATION]])),"","NEED REF")</f>
        <v/>
      </c>
    </row>
    <row r="13080">
      <c r="B13080" t="n">
        <v>34400925</v>
      </c>
      <c r="C13080" s="2" t="n">
        <v>38450</v>
      </c>
      <c r="D13080" t="inlineStr">
        <is>
          <t>CDC</t>
        </is>
      </c>
      <c r="E13080" t="inlineStr">
        <is>
          <t>GALAXY 400kVA +  TFO SUR SKID</t>
        </is>
      </c>
      <c r="F13080" t="inlineStr">
        <is>
          <t>GALAXY 400kVA</t>
        </is>
      </c>
      <c r="J13080" t="inlineStr">
        <is>
          <t>ROBERT</t>
        </is>
      </c>
      <c r="L13080">
        <f>_xlfn.XLOOKUP(Tableau1[[#This Row],[TYPE DE PIECE]],Tableau4[MATIERE],Tableau4[SHORT TYPE],"",0,1)</f>
        <v/>
      </c>
      <c r="N13080">
        <f>IF(ISERR(FIND("DECOUPE",Tableau1[[#This Row],[DESIGNATION]])),"","NEED REF")</f>
        <v/>
      </c>
    </row>
    <row r="13081">
      <c r="B13081" t="n">
        <v>34400924</v>
      </c>
      <c r="C13081" s="2" t="n">
        <v>38447</v>
      </c>
      <c r="D13081" t="inlineStr">
        <is>
          <t>CDC</t>
        </is>
      </c>
      <c r="E13081" t="inlineStr">
        <is>
          <t>ARMOIRE PDU AVEC TRANSFO</t>
        </is>
      </c>
      <c r="F13081" t="inlineStr">
        <is>
          <t>GALAXY PW 60KVA</t>
        </is>
      </c>
      <c r="J13081" t="inlineStr">
        <is>
          <t>ROBERT</t>
        </is>
      </c>
      <c r="L13081">
        <f>_xlfn.XLOOKUP(Tableau1[[#This Row],[TYPE DE PIECE]],Tableau4[MATIERE],Tableau4[SHORT TYPE],"",0,1)</f>
        <v/>
      </c>
      <c r="N13081">
        <f>IF(ISERR(FIND("DECOUPE",Tableau1[[#This Row],[DESIGNATION]])),"","NEED REF")</f>
        <v/>
      </c>
    </row>
    <row r="13082">
      <c r="B13082" t="n">
        <v>34400923</v>
      </c>
      <c r="C13082" s="2" t="n">
        <v>38446</v>
      </c>
      <c r="D13082" t="inlineStr">
        <is>
          <t>NOM</t>
        </is>
      </c>
      <c r="E13082" t="inlineStr">
        <is>
          <t>LG BOITIER DECHARGE PROFONDE</t>
        </is>
      </c>
      <c r="F13082" t="inlineStr">
        <is>
          <t>PULSAR COMET EXTREME</t>
        </is>
      </c>
      <c r="J13082" t="inlineStr">
        <is>
          <t>REVEL</t>
        </is>
      </c>
      <c r="L13082">
        <f>_xlfn.XLOOKUP(Tableau1[[#This Row],[TYPE DE PIECE]],Tableau4[MATIERE],Tableau4[SHORT TYPE],"",0,1)</f>
        <v/>
      </c>
      <c r="N13082">
        <f>IF(ISERR(FIND("DECOUPE",Tableau1[[#This Row],[DESIGNATION]])),"","NEED REF")</f>
        <v/>
      </c>
    </row>
    <row r="13083">
      <c r="B13083" t="n">
        <v>34400922</v>
      </c>
      <c r="C13083" s="2" t="n">
        <v>38446</v>
      </c>
      <c r="D13083" t="inlineStr">
        <is>
          <t>NOM</t>
        </is>
      </c>
      <c r="E13083" t="inlineStr">
        <is>
          <t>LG COUPLAGE BATT 600kVA&lt;10min</t>
        </is>
      </c>
      <c r="F13083" t="inlineStr">
        <is>
          <t>GALAXY 600kVA&lt;10min</t>
        </is>
      </c>
      <c r="J13083" t="inlineStr">
        <is>
          <t>FOLTZ</t>
        </is>
      </c>
      <c r="L13083">
        <f>_xlfn.XLOOKUP(Tableau1[[#This Row],[TYPE DE PIECE]],Tableau4[MATIERE],Tableau4[SHORT TYPE],"",0,1)</f>
        <v/>
      </c>
      <c r="N13083">
        <f>IF(ISERR(FIND("DECOUPE",Tableau1[[#This Row],[DESIGNATION]])),"","NEED REF")</f>
        <v/>
      </c>
    </row>
    <row r="13084">
      <c r="B13084" t="n">
        <v>34400921</v>
      </c>
      <c r="C13084" s="2" t="n">
        <v>38446</v>
      </c>
      <c r="D13084" t="inlineStr">
        <is>
          <t>NOM</t>
        </is>
      </c>
      <c r="E13084" t="inlineStr">
        <is>
          <t>LG COMET EXRT 7KVA  CLA</t>
        </is>
      </c>
      <c r="F13084" t="inlineStr">
        <is>
          <t>COMET EXRT 7KVA</t>
        </is>
      </c>
      <c r="J13084" t="inlineStr">
        <is>
          <t>REVEL</t>
        </is>
      </c>
      <c r="L13084">
        <f>_xlfn.XLOOKUP(Tableau1[[#This Row],[TYPE DE PIECE]],Tableau4[MATIERE],Tableau4[SHORT TYPE],"",0,1)</f>
        <v/>
      </c>
      <c r="N13084">
        <f>IF(ISERR(FIND("DECOUPE",Tableau1[[#This Row],[DESIGNATION]])),"","NEED REF")</f>
        <v/>
      </c>
    </row>
    <row r="13085">
      <c r="B13085" t="n">
        <v>34400920</v>
      </c>
      <c r="C13085" s="2" t="n">
        <v>38443</v>
      </c>
      <c r="E13085" t="inlineStr">
        <is>
          <t>réservé</t>
        </is>
      </c>
      <c r="F13085" t="inlineStr">
        <is>
          <t>NS2000 Light</t>
        </is>
      </c>
      <c r="J13085" t="inlineStr">
        <is>
          <t>FERRIER</t>
        </is>
      </c>
      <c r="L13085">
        <f>_xlfn.XLOOKUP(Tableau1[[#This Row],[TYPE DE PIECE]],Tableau4[MATIERE],Tableau4[SHORT TYPE],"",0,1)</f>
        <v/>
      </c>
      <c r="N13085">
        <f>IF(ISERR(FIND("DECOUPE",Tableau1[[#This Row],[DESIGNATION]])),"","NEED REF")</f>
        <v/>
      </c>
    </row>
    <row r="13086">
      <c r="B13086" t="n">
        <v>34400919</v>
      </c>
      <c r="C13086" s="2" t="n">
        <v>38443</v>
      </c>
      <c r="D13086" t="inlineStr">
        <is>
          <t>NOM</t>
        </is>
      </c>
      <c r="E13086" t="inlineStr">
        <is>
          <t>LG FINITION</t>
        </is>
      </c>
      <c r="F13086" t="inlineStr">
        <is>
          <t>NS2000 Light TNC</t>
        </is>
      </c>
      <c r="J13086" t="inlineStr">
        <is>
          <t>FERRIER</t>
        </is>
      </c>
      <c r="L13086">
        <f>_xlfn.XLOOKUP(Tableau1[[#This Row],[TYPE DE PIECE]],Tableau4[MATIERE],Tableau4[SHORT TYPE],"",0,1)</f>
        <v/>
      </c>
      <c r="N13086">
        <f>IF(ISERR(FIND("DECOUPE",Tableau1[[#This Row],[DESIGNATION]])),"","NEED REF")</f>
        <v/>
      </c>
    </row>
    <row r="13087">
      <c r="B13087" t="n">
        <v>34400918</v>
      </c>
      <c r="C13087" s="2" t="n">
        <v>38443</v>
      </c>
      <c r="D13087" t="inlineStr">
        <is>
          <t>NOM</t>
        </is>
      </c>
      <c r="E13087" t="inlineStr">
        <is>
          <t>LG NS2000 Light avec option TNC</t>
        </is>
      </c>
      <c r="F13087" t="inlineStr">
        <is>
          <t>NS2000 Light TNC</t>
        </is>
      </c>
      <c r="J13087" t="inlineStr">
        <is>
          <t>FERRIER</t>
        </is>
      </c>
      <c r="L13087">
        <f>_xlfn.XLOOKUP(Tableau1[[#This Row],[TYPE DE PIECE]],Tableau4[MATIERE],Tableau4[SHORT TYPE],"",0,1)</f>
        <v/>
      </c>
      <c r="N13087">
        <f>IF(ISERR(FIND("DECOUPE",Tableau1[[#This Row],[DESIGNATION]])),"","NEED REF")</f>
        <v/>
      </c>
    </row>
    <row r="13088">
      <c r="B13088" t="n">
        <v>34400917</v>
      </c>
      <c r="C13088" s="2" t="n">
        <v>38443</v>
      </c>
      <c r="D13088" t="inlineStr">
        <is>
          <t>SPEC</t>
        </is>
      </c>
      <c r="E13088" t="inlineStr">
        <is>
          <t>Etiquette Implantation cellule Contacteur</t>
        </is>
      </c>
      <c r="F13088" t="inlineStr">
        <is>
          <t>NS2000 Light TNC</t>
        </is>
      </c>
      <c r="J13088" t="inlineStr">
        <is>
          <t>FERRIER</t>
        </is>
      </c>
      <c r="L13088">
        <f>_xlfn.XLOOKUP(Tableau1[[#This Row],[TYPE DE PIECE]],Tableau4[MATIERE],Tableau4[SHORT TYPE],"",0,1)</f>
        <v/>
      </c>
      <c r="N13088">
        <f>IF(ISERR(FIND("DECOUPE",Tableau1[[#This Row],[DESIGNATION]])),"","NEED REF")</f>
        <v/>
      </c>
    </row>
    <row r="13089">
      <c r="B13089" t="n">
        <v>34400916</v>
      </c>
      <c r="C13089" s="2" t="n">
        <v>38443</v>
      </c>
      <c r="D13089" t="inlineStr">
        <is>
          <t>SPEC</t>
        </is>
      </c>
      <c r="E13089" t="inlineStr">
        <is>
          <t>Etiquette Synoptique</t>
        </is>
      </c>
      <c r="F13089" t="inlineStr">
        <is>
          <t>NS2000 Light</t>
        </is>
      </c>
      <c r="J13089" t="inlineStr">
        <is>
          <t>FERRIER</t>
        </is>
      </c>
      <c r="L13089">
        <f>_xlfn.XLOOKUP(Tableau1[[#This Row],[TYPE DE PIECE]],Tableau4[MATIERE],Tableau4[SHORT TYPE],"",0,1)</f>
        <v/>
      </c>
      <c r="N13089">
        <f>IF(ISERR(FIND("DECOUPE",Tableau1[[#This Row],[DESIGNATION]])),"","NEED REF")</f>
        <v/>
      </c>
    </row>
    <row r="13090">
      <c r="B13090" t="n">
        <v>34400915</v>
      </c>
      <c r="C13090" s="2" t="n">
        <v>38440</v>
      </c>
      <c r="D13090" t="inlineStr">
        <is>
          <t>CDC</t>
        </is>
      </c>
      <c r="E13090" t="inlineStr">
        <is>
          <t>CHASSIS CHAISE POUR PW40kVA et Armoire BATT 715</t>
        </is>
      </c>
      <c r="F13090" t="inlineStr">
        <is>
          <t>PW</t>
        </is>
      </c>
      <c r="J13090" t="inlineStr">
        <is>
          <t>FERRIER</t>
        </is>
      </c>
      <c r="L13090">
        <f>_xlfn.XLOOKUP(Tableau1[[#This Row],[TYPE DE PIECE]],Tableau4[MATIERE],Tableau4[SHORT TYPE],"",0,1)</f>
        <v/>
      </c>
      <c r="N13090">
        <f>IF(ISERR(FIND("DECOUPE",Tableau1[[#This Row],[DESIGNATION]])),"","NEED REF")</f>
        <v/>
      </c>
    </row>
    <row r="13091">
      <c r="B13091" t="n">
        <v>34400914</v>
      </c>
      <c r="C13091" s="2" t="n">
        <v>38440</v>
      </c>
      <c r="D13091" t="inlineStr">
        <is>
          <t>NOM</t>
        </is>
      </c>
      <c r="E13091" t="inlineStr">
        <is>
          <t>LG IP32 ARM AUX PW 715</t>
        </is>
      </c>
      <c r="F13091" t="inlineStr">
        <is>
          <t>PW 715</t>
        </is>
      </c>
      <c r="J13091" t="inlineStr">
        <is>
          <t>ÇAKIR</t>
        </is>
      </c>
      <c r="L13091">
        <f>_xlfn.XLOOKUP(Tableau1[[#This Row],[TYPE DE PIECE]],Tableau4[MATIERE],Tableau4[SHORT TYPE],"",0,1)</f>
        <v/>
      </c>
      <c r="N13091">
        <f>IF(ISERR(FIND("DECOUPE",Tableau1[[#This Row],[DESIGNATION]])),"","NEED REF")</f>
        <v/>
      </c>
    </row>
    <row r="13092">
      <c r="B13092" t="n">
        <v>34400913</v>
      </c>
      <c r="C13092" s="2" t="n">
        <v>38434</v>
      </c>
      <c r="D13092" t="inlineStr">
        <is>
          <t>SPEC</t>
        </is>
      </c>
      <c r="E13092" t="inlineStr">
        <is>
          <t>CX RACC CLIENT epanouisseur pour Neutre</t>
        </is>
      </c>
      <c r="F13092" t="inlineStr">
        <is>
          <t xml:space="preserve">GALAXY400P  </t>
        </is>
      </c>
      <c r="J13092" t="inlineStr">
        <is>
          <t>FERRIER</t>
        </is>
      </c>
      <c r="L13092">
        <f>_xlfn.XLOOKUP(Tableau1[[#This Row],[TYPE DE PIECE]],Tableau4[MATIERE],Tableau4[SHORT TYPE],"",0,1)</f>
        <v/>
      </c>
      <c r="N13092">
        <f>IF(ISERR(FIND("DECOUPE",Tableau1[[#This Row],[DESIGNATION]])),"","NEED REF")</f>
        <v/>
      </c>
    </row>
    <row r="13093">
      <c r="B13093" t="n">
        <v>34400912</v>
      </c>
      <c r="C13093" s="2" t="n">
        <v>38433</v>
      </c>
      <c r="D13093" t="inlineStr">
        <is>
          <t>SPEC</t>
        </is>
      </c>
      <c r="E13093" t="inlineStr">
        <is>
          <t>Eclisse NEUTRE UTILISATION : 8 trous</t>
        </is>
      </c>
      <c r="F13093" t="inlineStr">
        <is>
          <t>NS800</t>
        </is>
      </c>
      <c r="J13093" t="inlineStr">
        <is>
          <t>FERRIER</t>
        </is>
      </c>
      <c r="L13093">
        <f>_xlfn.XLOOKUP(Tableau1[[#This Row],[TYPE DE PIECE]],Tableau4[MATIERE],Tableau4[SHORT TYPE],"",0,1)</f>
        <v/>
      </c>
      <c r="N13093">
        <f>IF(ISERR(FIND("DECOUPE",Tableau1[[#This Row],[DESIGNATION]])),"","NEED REF")</f>
        <v/>
      </c>
    </row>
    <row r="13094">
      <c r="B13094" t="n">
        <v>34400911</v>
      </c>
      <c r="C13094" s="2" t="n">
        <v>38432</v>
      </c>
      <c r="D13094" t="inlineStr">
        <is>
          <t>CDC</t>
        </is>
      </c>
      <c r="E13094" t="inlineStr">
        <is>
          <t>MONTAGE CABLAGE TFO PHASE SHIFT,</t>
        </is>
      </c>
      <c r="F13094" t="inlineStr">
        <is>
          <t>GALAXY 250KVA</t>
        </is>
      </c>
      <c r="J13094" t="inlineStr">
        <is>
          <t>REVEL</t>
        </is>
      </c>
      <c r="L13094">
        <f>_xlfn.XLOOKUP(Tableau1[[#This Row],[TYPE DE PIECE]],Tableau4[MATIERE],Tableau4[SHORT TYPE],"",0,1)</f>
        <v/>
      </c>
      <c r="N13094">
        <f>IF(ISERR(FIND("DECOUPE",Tableau1[[#This Row],[DESIGNATION]])),"","NEED REF")</f>
        <v/>
      </c>
    </row>
    <row r="13095">
      <c r="B13095" t="n">
        <v>34400910</v>
      </c>
      <c r="C13095" s="2" t="n">
        <v>38432</v>
      </c>
      <c r="D13095" t="inlineStr">
        <is>
          <t>NOM</t>
        </is>
      </c>
      <c r="E13095" t="inlineStr">
        <is>
          <t xml:space="preserve">LG IP32 GALAXY 500/600kVA COUL SPEC </t>
        </is>
      </c>
      <c r="F13095" t="inlineStr">
        <is>
          <t>GALAXY 500/600kVA</t>
        </is>
      </c>
      <c r="J13095" t="inlineStr">
        <is>
          <t>ROBERT</t>
        </is>
      </c>
      <c r="L13095">
        <f>_xlfn.XLOOKUP(Tableau1[[#This Row],[TYPE DE PIECE]],Tableau4[MATIERE],Tableau4[SHORT TYPE],"",0,1)</f>
        <v/>
      </c>
      <c r="N13095">
        <f>IF(ISERR(FIND("DECOUPE",Tableau1[[#This Row],[DESIGNATION]])),"","NEED REF")</f>
        <v/>
      </c>
    </row>
    <row r="13096">
      <c r="B13096" t="n">
        <v>34400909</v>
      </c>
      <c r="C13096" s="2" t="n">
        <v>38432</v>
      </c>
      <c r="D13096" t="inlineStr">
        <is>
          <t>NOM</t>
        </is>
      </c>
      <c r="E13096" t="inlineStr">
        <is>
          <t>LG IP 32 PEINTURE COMMISSION</t>
        </is>
      </c>
      <c r="F13096" t="inlineStr">
        <is>
          <t>GALAXY PW 160/200kVA</t>
        </is>
      </c>
      <c r="J13096" t="inlineStr">
        <is>
          <t>ROBERT</t>
        </is>
      </c>
      <c r="L13096">
        <f>_xlfn.XLOOKUP(Tableau1[[#This Row],[TYPE DE PIECE]],Tableau4[MATIERE],Tableau4[SHORT TYPE],"",0,1)</f>
        <v/>
      </c>
      <c r="N13096">
        <f>IF(ISERR(FIND("DECOUPE",Tableau1[[#This Row],[DESIGNATION]])),"","NEED REF")</f>
        <v/>
      </c>
    </row>
    <row r="13097">
      <c r="B13097" t="n">
        <v>34400908</v>
      </c>
      <c r="C13097" s="2" t="n">
        <v>38429</v>
      </c>
      <c r="D13097" t="inlineStr">
        <is>
          <t>CDC</t>
        </is>
      </c>
      <c r="E13097" t="inlineStr">
        <is>
          <t>SKID GAL PW  60KVA U + ARM DISTRIB</t>
        </is>
      </c>
      <c r="F13097" t="inlineStr">
        <is>
          <t>GALAXY PW 60KVA</t>
        </is>
      </c>
      <c r="J13097" t="inlineStr">
        <is>
          <t>ROBERT</t>
        </is>
      </c>
      <c r="L13097">
        <f>_xlfn.XLOOKUP(Tableau1[[#This Row],[TYPE DE PIECE]],Tableau4[MATIERE],Tableau4[SHORT TYPE],"",0,1)</f>
        <v/>
      </c>
      <c r="N13097">
        <f>IF(ISERR(FIND("DECOUPE",Tableau1[[#This Row],[DESIGNATION]])),"","NEED REF")</f>
        <v/>
      </c>
    </row>
    <row r="13098">
      <c r="B13098" t="n">
        <v>34400907</v>
      </c>
      <c r="C13098" s="2" t="n">
        <v>38428</v>
      </c>
      <c r="D13098" t="inlineStr">
        <is>
          <t>CDC</t>
        </is>
      </c>
      <c r="E13098" t="inlineStr">
        <is>
          <t>PMM TYPE 6</t>
        </is>
      </c>
      <c r="F13098" t="inlineStr">
        <is>
          <t>PMM</t>
        </is>
      </c>
      <c r="J13098" t="inlineStr">
        <is>
          <t>REVEL</t>
        </is>
      </c>
      <c r="L13098">
        <f>_xlfn.XLOOKUP(Tableau1[[#This Row],[TYPE DE PIECE]],Tableau4[MATIERE],Tableau4[SHORT TYPE],"",0,1)</f>
        <v/>
      </c>
      <c r="N13098">
        <f>IF(ISERR(FIND("DECOUPE",Tableau1[[#This Row],[DESIGNATION]])),"","NEED REF")</f>
        <v/>
      </c>
    </row>
    <row r="13099">
      <c r="B13099" t="n">
        <v>34400906</v>
      </c>
      <c r="C13099" s="2" t="n">
        <v>38428</v>
      </c>
      <c r="D13099" t="inlineStr">
        <is>
          <t>CDC</t>
        </is>
      </c>
      <c r="E13099" t="inlineStr">
        <is>
          <t>PMM TYPE 5</t>
        </is>
      </c>
      <c r="F13099" t="inlineStr">
        <is>
          <t>PMM</t>
        </is>
      </c>
      <c r="J13099" t="inlineStr">
        <is>
          <t>REVEL</t>
        </is>
      </c>
      <c r="L13099">
        <f>_xlfn.XLOOKUP(Tableau1[[#This Row],[TYPE DE PIECE]],Tableau4[MATIERE],Tableau4[SHORT TYPE],"",0,1)</f>
        <v/>
      </c>
      <c r="N13099">
        <f>IF(ISERR(FIND("DECOUPE",Tableau1[[#This Row],[DESIGNATION]])),"","NEED REF")</f>
        <v/>
      </c>
    </row>
    <row r="13100">
      <c r="B13100" t="n">
        <v>34400905</v>
      </c>
      <c r="C13100" s="2" t="n">
        <v>38428</v>
      </c>
      <c r="D13100" t="inlineStr">
        <is>
          <t>CDC</t>
        </is>
      </c>
      <c r="E13100" t="inlineStr">
        <is>
          <t>PMM TYPE 4</t>
        </is>
      </c>
      <c r="F13100" t="inlineStr">
        <is>
          <t>PMM</t>
        </is>
      </c>
      <c r="J13100" t="inlineStr">
        <is>
          <t>REVEL</t>
        </is>
      </c>
      <c r="L13100">
        <f>_xlfn.XLOOKUP(Tableau1[[#This Row],[TYPE DE PIECE]],Tableau4[MATIERE],Tableau4[SHORT TYPE],"",0,1)</f>
        <v/>
      </c>
      <c r="N13100">
        <f>IF(ISERR(FIND("DECOUPE",Tableau1[[#This Row],[DESIGNATION]])),"","NEED REF")</f>
        <v/>
      </c>
    </row>
    <row r="13101">
      <c r="B13101" t="n">
        <v>34400904</v>
      </c>
      <c r="C13101" s="2" t="n">
        <v>38428</v>
      </c>
      <c r="D13101" t="inlineStr">
        <is>
          <t>CDC</t>
        </is>
      </c>
      <c r="E13101" t="inlineStr">
        <is>
          <t>PMM TYPE 3</t>
        </is>
      </c>
      <c r="F13101" t="inlineStr">
        <is>
          <t>PMM</t>
        </is>
      </c>
      <c r="J13101" t="inlineStr">
        <is>
          <t>REVEL</t>
        </is>
      </c>
      <c r="L13101">
        <f>_xlfn.XLOOKUP(Tableau1[[#This Row],[TYPE DE PIECE]],Tableau4[MATIERE],Tableau4[SHORT TYPE],"",0,1)</f>
        <v/>
      </c>
      <c r="N13101">
        <f>IF(ISERR(FIND("DECOUPE",Tableau1[[#This Row],[DESIGNATION]])),"","NEED REF")</f>
        <v/>
      </c>
    </row>
    <row r="13102">
      <c r="B13102" t="n">
        <v>34400903</v>
      </c>
      <c r="C13102" s="2" t="n">
        <v>38428</v>
      </c>
      <c r="D13102" t="inlineStr">
        <is>
          <t>CDC</t>
        </is>
      </c>
      <c r="E13102" t="inlineStr">
        <is>
          <t>PMM TYPE 2</t>
        </is>
      </c>
      <c r="F13102" t="inlineStr">
        <is>
          <t>PMM</t>
        </is>
      </c>
      <c r="J13102" t="inlineStr">
        <is>
          <t>REVEL</t>
        </is>
      </c>
      <c r="L13102">
        <f>_xlfn.XLOOKUP(Tableau1[[#This Row],[TYPE DE PIECE]],Tableau4[MATIERE],Tableau4[SHORT TYPE],"",0,1)</f>
        <v/>
      </c>
      <c r="N13102">
        <f>IF(ISERR(FIND("DECOUPE",Tableau1[[#This Row],[DESIGNATION]])),"","NEED REF")</f>
        <v/>
      </c>
    </row>
    <row r="13103">
      <c r="B13103" t="n">
        <v>34400902</v>
      </c>
      <c r="C13103" s="2" t="n">
        <v>38428</v>
      </c>
      <c r="D13103" t="inlineStr">
        <is>
          <t>CDC</t>
        </is>
      </c>
      <c r="E13103" t="inlineStr">
        <is>
          <t>PMM TYPE 1</t>
        </is>
      </c>
      <c r="F13103" t="inlineStr">
        <is>
          <t>PMM</t>
        </is>
      </c>
      <c r="J13103" t="inlineStr">
        <is>
          <t>REVEL</t>
        </is>
      </c>
      <c r="L13103">
        <f>_xlfn.XLOOKUP(Tableau1[[#This Row],[TYPE DE PIECE]],Tableau4[MATIERE],Tableau4[SHORT TYPE],"",0,1)</f>
        <v/>
      </c>
      <c r="N13103">
        <f>IF(ISERR(FIND("DECOUPE",Tableau1[[#This Row],[DESIGNATION]])),"","NEED REF")</f>
        <v/>
      </c>
    </row>
    <row r="13104">
      <c r="B13104" t="n">
        <v>34400901</v>
      </c>
      <c r="C13104" s="2" t="n">
        <v>38425</v>
      </c>
      <c r="D13104" t="inlineStr">
        <is>
          <t>SPEC</t>
        </is>
      </c>
      <c r="E13104" t="inlineStr">
        <is>
          <t xml:space="preserve">P. ARRIERE IP 33 ARM. AUX BAT G3000 20/30kVA </t>
        </is>
      </c>
      <c r="F13104" t="inlineStr">
        <is>
          <t>GALAXY 3000 20/30kVA</t>
        </is>
      </c>
      <c r="J13104" t="inlineStr">
        <is>
          <t>ÇAKIR</t>
        </is>
      </c>
      <c r="L13104">
        <f>_xlfn.XLOOKUP(Tableau1[[#This Row],[TYPE DE PIECE]],Tableau4[MATIERE],Tableau4[SHORT TYPE],"",0,1)</f>
        <v/>
      </c>
      <c r="N13104">
        <f>IF(ISERR(FIND("DECOUPE",Tableau1[[#This Row],[DESIGNATION]])),"","NEED REF")</f>
        <v/>
      </c>
    </row>
    <row r="13105">
      <c r="B13105" t="n">
        <v>34400900</v>
      </c>
      <c r="C13105" s="2" t="n">
        <v>38425</v>
      </c>
      <c r="D13105" t="inlineStr">
        <is>
          <t>NOM</t>
        </is>
      </c>
      <c r="E13105" t="inlineStr">
        <is>
          <t xml:space="preserve">LG IP 33 ARM AUX et BATT G3000 20/30kVA </t>
        </is>
      </c>
      <c r="F13105" t="inlineStr">
        <is>
          <t>GALAXY 3000 20/30kVA</t>
        </is>
      </c>
      <c r="J13105" t="inlineStr">
        <is>
          <t>ÇAKIR</t>
        </is>
      </c>
      <c r="L13105">
        <f>_xlfn.XLOOKUP(Tableau1[[#This Row],[TYPE DE PIECE]],Tableau4[MATIERE],Tableau4[SHORT TYPE],"",0,1)</f>
        <v/>
      </c>
      <c r="N13105">
        <f>IF(ISERR(FIND("DECOUPE",Tableau1[[#This Row],[DESIGNATION]])),"","NEED REF")</f>
        <v/>
      </c>
    </row>
    <row r="13106">
      <c r="B13106" t="n">
        <v>34400899</v>
      </c>
      <c r="C13106" s="2" t="n">
        <v>38425</v>
      </c>
      <c r="D13106" t="inlineStr">
        <is>
          <t>SPEC</t>
        </is>
      </c>
      <c r="E13106" t="inlineStr">
        <is>
          <t xml:space="preserve">PANNEAU ARRIERE IP 33 G3000 20/30kVA </t>
        </is>
      </c>
      <c r="F13106" t="inlineStr">
        <is>
          <t>GALAXY 3000 20/30kVA</t>
        </is>
      </c>
      <c r="J13106" t="inlineStr">
        <is>
          <t>ÇAKIR</t>
        </is>
      </c>
      <c r="L13106">
        <f>_xlfn.XLOOKUP(Tableau1[[#This Row],[TYPE DE PIECE]],Tableau4[MATIERE],Tableau4[SHORT TYPE],"",0,1)</f>
        <v/>
      </c>
      <c r="N13106">
        <f>IF(ISERR(FIND("DECOUPE",Tableau1[[#This Row],[DESIGNATION]])),"","NEED REF")</f>
        <v/>
      </c>
    </row>
    <row r="13107">
      <c r="B13107" t="n">
        <v>34400898</v>
      </c>
      <c r="C13107" s="2" t="n">
        <v>38425</v>
      </c>
      <c r="D13107" t="inlineStr">
        <is>
          <t>NOM</t>
        </is>
      </c>
      <c r="E13107" t="inlineStr">
        <is>
          <t xml:space="preserve">LG IP 33 GALAXY 3000 20/30kVA </t>
        </is>
      </c>
      <c r="F13107" t="inlineStr">
        <is>
          <t>GALAXY 3000 20/30kVA</t>
        </is>
      </c>
      <c r="J13107" t="inlineStr">
        <is>
          <t>ÇAKIR</t>
        </is>
      </c>
      <c r="L13107">
        <f>_xlfn.XLOOKUP(Tableau1[[#This Row],[TYPE DE PIECE]],Tableau4[MATIERE],Tableau4[SHORT TYPE],"",0,1)</f>
        <v/>
      </c>
      <c r="N13107">
        <f>IF(ISERR(FIND("DECOUPE",Tableau1[[#This Row],[DESIGNATION]])),"","NEED REF")</f>
        <v/>
      </c>
    </row>
    <row r="13108">
      <c r="B13108" t="n">
        <v>34400897</v>
      </c>
      <c r="C13108" s="2" t="n">
        <v>38425</v>
      </c>
      <c r="D13108" t="inlineStr">
        <is>
          <t>CDC</t>
        </is>
      </c>
      <c r="E13108" t="inlineStr">
        <is>
          <t>SKID POUR ARMOIRE GALAXY 1000</t>
        </is>
      </c>
      <c r="F13108" t="inlineStr">
        <is>
          <t>GALAXY</t>
        </is>
      </c>
      <c r="J13108" t="inlineStr">
        <is>
          <t>REVEL</t>
        </is>
      </c>
      <c r="L13108">
        <f>_xlfn.XLOOKUP(Tableau1[[#This Row],[TYPE DE PIECE]],Tableau4[MATIERE],Tableau4[SHORT TYPE],"",0,1)</f>
        <v/>
      </c>
      <c r="N13108">
        <f>IF(ISERR(FIND("DECOUPE",Tableau1[[#This Row],[DESIGNATION]])),"","NEED REF")</f>
        <v/>
      </c>
    </row>
    <row r="13109">
      <c r="B13109" t="n">
        <v>34400896</v>
      </c>
      <c r="C13109" s="2" t="n">
        <v>38425</v>
      </c>
      <c r="D13109" t="inlineStr">
        <is>
          <t>CDC</t>
        </is>
      </c>
      <c r="E13109" t="inlineStr">
        <is>
          <t>SKID POUR ARMOIRE GALAXY 1200</t>
        </is>
      </c>
      <c r="F13109" t="inlineStr">
        <is>
          <t>GALAXY</t>
        </is>
      </c>
      <c r="J13109" t="inlineStr">
        <is>
          <t>REVEL</t>
        </is>
      </c>
      <c r="L13109">
        <f>_xlfn.XLOOKUP(Tableau1[[#This Row],[TYPE DE PIECE]],Tableau4[MATIERE],Tableau4[SHORT TYPE],"",0,1)</f>
        <v/>
      </c>
      <c r="N13109">
        <f>IF(ISERR(FIND("DECOUPE",Tableau1[[#This Row],[DESIGNATION]])),"","NEED REF")</f>
        <v/>
      </c>
    </row>
    <row r="13110">
      <c r="B13110" t="n">
        <v>34400895</v>
      </c>
      <c r="C13110" s="2" t="n">
        <v>38425</v>
      </c>
      <c r="D13110" t="inlineStr">
        <is>
          <t>CDC</t>
        </is>
      </c>
      <c r="E13110" t="inlineStr">
        <is>
          <t>SKID POUR ARMOIRE GALAXY 1600</t>
        </is>
      </c>
      <c r="F13110" t="inlineStr">
        <is>
          <t>GALAXY</t>
        </is>
      </c>
      <c r="J13110" t="inlineStr">
        <is>
          <t>REVEL</t>
        </is>
      </c>
      <c r="L13110">
        <f>_xlfn.XLOOKUP(Tableau1[[#This Row],[TYPE DE PIECE]],Tableau4[MATIERE],Tableau4[SHORT TYPE],"",0,1)</f>
        <v/>
      </c>
      <c r="N13110">
        <f>IF(ISERR(FIND("DECOUPE",Tableau1[[#This Row],[DESIGNATION]])),"","NEED REF")</f>
        <v/>
      </c>
    </row>
    <row r="13111">
      <c r="B13111" t="n">
        <v>34400894</v>
      </c>
      <c r="C13111" s="2" t="n">
        <v>38419</v>
      </c>
      <c r="D13111" t="inlineStr">
        <is>
          <t>SPEC</t>
        </is>
      </c>
      <c r="E13111" t="inlineStr">
        <is>
          <t>CAPOT POUR DISJONCTEUR</t>
        </is>
      </c>
      <c r="F13111" t="inlineStr">
        <is>
          <t xml:space="preserve">STS 250A </t>
        </is>
      </c>
      <c r="J13111" t="inlineStr">
        <is>
          <t>REVEL</t>
        </is>
      </c>
      <c r="L13111">
        <f>_xlfn.XLOOKUP(Tableau1[[#This Row],[TYPE DE PIECE]],Tableau4[MATIERE],Tableau4[SHORT TYPE],"",0,1)</f>
        <v/>
      </c>
      <c r="N13111">
        <f>IF(ISERR(FIND("DECOUPE",Tableau1[[#This Row],[DESIGNATION]])),"","NEED REF")</f>
        <v/>
      </c>
    </row>
    <row r="13112">
      <c r="B13112" t="n">
        <v>34400893</v>
      </c>
      <c r="C13112" s="2" t="n">
        <v>38419</v>
      </c>
      <c r="D13112" t="inlineStr">
        <is>
          <t>NOM</t>
        </is>
      </c>
      <c r="E13112" t="inlineStr">
        <is>
          <t xml:space="preserve">LG IP32 COULEUR SPEC GAL PW 160/200 </t>
        </is>
      </c>
      <c r="F13112" t="inlineStr">
        <is>
          <t>GALAXY 160/200kVA</t>
        </is>
      </c>
      <c r="J13112" t="inlineStr">
        <is>
          <t>ROBERT</t>
        </is>
      </c>
      <c r="L13112">
        <f>_xlfn.XLOOKUP(Tableau1[[#This Row],[TYPE DE PIECE]],Tableau4[MATIERE],Tableau4[SHORT TYPE],"",0,1)</f>
        <v/>
      </c>
      <c r="N13112">
        <f>IF(ISERR(FIND("DECOUPE",Tableau1[[#This Row],[DESIGNATION]])),"","NEED REF")</f>
        <v/>
      </c>
    </row>
    <row r="13113">
      <c r="B13113" t="n">
        <v>34400892</v>
      </c>
      <c r="C13113" s="2" t="n">
        <v>38415</v>
      </c>
      <c r="D13113" t="inlineStr">
        <is>
          <t>CDC</t>
        </is>
      </c>
      <c r="E13113" t="inlineStr">
        <is>
          <t>BAIE 19" VERSION MARINE 38U</t>
        </is>
      </c>
      <c r="F13113" t="inlineStr">
        <is>
          <t>EXTREME</t>
        </is>
      </c>
      <c r="J13113" t="inlineStr">
        <is>
          <t>ROBERT</t>
        </is>
      </c>
      <c r="L13113">
        <f>_xlfn.XLOOKUP(Tableau1[[#This Row],[TYPE DE PIECE]],Tableau4[MATIERE],Tableau4[SHORT TYPE],"",0,1)</f>
        <v/>
      </c>
      <c r="N13113">
        <f>IF(ISERR(FIND("DECOUPE",Tableau1[[#This Row],[DESIGNATION]])),"","NEED REF")</f>
        <v/>
      </c>
    </row>
    <row r="13114">
      <c r="B13114" t="n">
        <v>34400891</v>
      </c>
      <c r="C13114" s="2" t="n">
        <v>38415</v>
      </c>
      <c r="D13114" t="inlineStr">
        <is>
          <t>CDC</t>
        </is>
      </c>
      <c r="E13114" t="inlineStr">
        <is>
          <t>BAIE 19" VERSION MARINE 33U</t>
        </is>
      </c>
      <c r="F13114" t="inlineStr">
        <is>
          <t>EXTREME</t>
        </is>
      </c>
      <c r="J13114" t="inlineStr">
        <is>
          <t>ROBERT</t>
        </is>
      </c>
      <c r="L13114">
        <f>_xlfn.XLOOKUP(Tableau1[[#This Row],[TYPE DE PIECE]],Tableau4[MATIERE],Tableau4[SHORT TYPE],"",0,1)</f>
        <v/>
      </c>
      <c r="N13114">
        <f>IF(ISERR(FIND("DECOUPE",Tableau1[[#This Row],[DESIGNATION]])),"","NEED REF")</f>
        <v/>
      </c>
    </row>
    <row r="13115">
      <c r="B13115" t="n">
        <v>34400890</v>
      </c>
      <c r="C13115" s="2" t="n">
        <v>38415</v>
      </c>
      <c r="D13115" t="inlineStr">
        <is>
          <t>CDC</t>
        </is>
      </c>
      <c r="E13115" t="inlineStr">
        <is>
          <t>NS 3200kVA</t>
        </is>
      </c>
      <c r="F13115" t="inlineStr">
        <is>
          <t>NS3200kVA</t>
        </is>
      </c>
      <c r="J13115" t="inlineStr">
        <is>
          <t>REVEL</t>
        </is>
      </c>
      <c r="L13115">
        <f>_xlfn.XLOOKUP(Tableau1[[#This Row],[TYPE DE PIECE]],Tableau4[MATIERE],Tableau4[SHORT TYPE],"",0,1)</f>
        <v/>
      </c>
      <c r="N13115">
        <f>IF(ISERR(FIND("DECOUPE",Tableau1[[#This Row],[DESIGNATION]])),"","NEED REF")</f>
        <v/>
      </c>
    </row>
    <row r="13116">
      <c r="B13116" t="n">
        <v>34400889</v>
      </c>
      <c r="C13116" s="2" t="n">
        <v>38414</v>
      </c>
      <c r="D13116" t="inlineStr">
        <is>
          <t>SCH</t>
        </is>
      </c>
      <c r="E13116" t="inlineStr">
        <is>
          <t>DOSSIER D'INSTALLATION PARALLELE</t>
        </is>
      </c>
      <c r="F13116" t="inlineStr">
        <is>
          <t>PW HARMONY</t>
        </is>
      </c>
      <c r="J13116" t="inlineStr">
        <is>
          <t>PLUET</t>
        </is>
      </c>
      <c r="L13116">
        <f>_xlfn.XLOOKUP(Tableau1[[#This Row],[TYPE DE PIECE]],Tableau4[MATIERE],Tableau4[SHORT TYPE],"",0,1)</f>
        <v/>
      </c>
      <c r="N13116">
        <f>IF(ISERR(FIND("DECOUPE",Tableau1[[#This Row],[DESIGNATION]])),"","NEED REF")</f>
        <v/>
      </c>
    </row>
    <row r="13117">
      <c r="B13117" t="n">
        <v>34400888</v>
      </c>
      <c r="C13117" s="2" t="n">
        <v>38414</v>
      </c>
      <c r="D13117" t="inlineStr">
        <is>
          <t>SCH</t>
        </is>
      </c>
      <c r="E13117" t="inlineStr">
        <is>
          <t>DOSSIER D'INSTALLATION UNITAIRE PARALLELE</t>
        </is>
      </c>
      <c r="F13117" t="inlineStr">
        <is>
          <t>PW HARMONY</t>
        </is>
      </c>
      <c r="J13117" t="inlineStr">
        <is>
          <t>PLUET</t>
        </is>
      </c>
      <c r="L13117">
        <f>_xlfn.XLOOKUP(Tableau1[[#This Row],[TYPE DE PIECE]],Tableau4[MATIERE],Tableau4[SHORT TYPE],"",0,1)</f>
        <v/>
      </c>
      <c r="N13117">
        <f>IF(ISERR(FIND("DECOUPE",Tableau1[[#This Row],[DESIGNATION]])),"","NEED REF")</f>
        <v/>
      </c>
    </row>
    <row r="13118">
      <c r="B13118" t="n">
        <v>34400887</v>
      </c>
      <c r="C13118" s="2" t="n">
        <v>38414</v>
      </c>
      <c r="D13118" t="inlineStr">
        <is>
          <t>SCH</t>
        </is>
      </c>
      <c r="E13118" t="inlineStr">
        <is>
          <t>DOSSIER D'INSTALLATION UNITAIRE</t>
        </is>
      </c>
      <c r="F13118" t="inlineStr">
        <is>
          <t>PW HARMONY</t>
        </is>
      </c>
      <c r="J13118" t="inlineStr">
        <is>
          <t>PLUET</t>
        </is>
      </c>
      <c r="L13118">
        <f>_xlfn.XLOOKUP(Tableau1[[#This Row],[TYPE DE PIECE]],Tableau4[MATIERE],Tableau4[SHORT TYPE],"",0,1)</f>
        <v/>
      </c>
      <c r="N13118">
        <f>IF(ISERR(FIND("DECOUPE",Tableau1[[#This Row],[DESIGNATION]])),"","NEED REF")</f>
        <v/>
      </c>
    </row>
    <row r="13119">
      <c r="B13119" t="n">
        <v>34400886</v>
      </c>
      <c r="C13119" s="2" t="n">
        <v>38413</v>
      </c>
      <c r="D13119" t="inlineStr">
        <is>
          <t>CDC</t>
        </is>
      </c>
      <c r="E13119" t="inlineStr">
        <is>
          <t>ARMOIRE COUPLAGE AVAL 3x300kVA</t>
        </is>
      </c>
      <c r="F13119" t="inlineStr">
        <is>
          <t>GALAXY</t>
        </is>
      </c>
      <c r="J13119" t="inlineStr">
        <is>
          <t>FOLTZ</t>
        </is>
      </c>
      <c r="L13119">
        <f>_xlfn.XLOOKUP(Tableau1[[#This Row],[TYPE DE PIECE]],Tableau4[MATIERE],Tableau4[SHORT TYPE],"",0,1)</f>
        <v/>
      </c>
      <c r="N13119">
        <f>IF(ISERR(FIND("DECOUPE",Tableau1[[#This Row],[DESIGNATION]])),"","NEED REF")</f>
        <v/>
      </c>
    </row>
    <row r="13120">
      <c r="B13120" t="n">
        <v>34400885</v>
      </c>
      <c r="C13120" s="2" t="n">
        <v>38413</v>
      </c>
      <c r="D13120" t="inlineStr">
        <is>
          <t>CDC</t>
        </is>
      </c>
      <c r="E13120" t="inlineStr">
        <is>
          <t>CDC PMM</t>
        </is>
      </c>
      <c r="F13120" t="inlineStr">
        <is>
          <t>PMM</t>
        </is>
      </c>
      <c r="J13120" t="inlineStr">
        <is>
          <t>FERRIER</t>
        </is>
      </c>
      <c r="L13120">
        <f>_xlfn.XLOOKUP(Tableau1[[#This Row],[TYPE DE PIECE]],Tableau4[MATIERE],Tableau4[SHORT TYPE],"",0,1)</f>
        <v/>
      </c>
      <c r="N13120">
        <f>IF(ISERR(FIND("DECOUPE",Tableau1[[#This Row],[DESIGNATION]])),"","NEED REF")</f>
        <v/>
      </c>
    </row>
    <row r="13121">
      <c r="B13121" t="n">
        <v>34400884</v>
      </c>
      <c r="C13121" s="2" t="n">
        <v>38413</v>
      </c>
      <c r="D13121" t="inlineStr">
        <is>
          <t>CDC</t>
        </is>
      </c>
      <c r="E13121" t="inlineStr">
        <is>
          <t>Armoire disjoncteur batterie NW20DC</t>
        </is>
      </c>
      <c r="F13121" t="inlineStr">
        <is>
          <t>Galaxy</t>
        </is>
      </c>
      <c r="J13121" t="inlineStr">
        <is>
          <t>REVEL</t>
        </is>
      </c>
      <c r="L13121">
        <f>_xlfn.XLOOKUP(Tableau1[[#This Row],[TYPE DE PIECE]],Tableau4[MATIERE],Tableau4[SHORT TYPE],"",0,1)</f>
        <v/>
      </c>
      <c r="N13121">
        <f>IF(ISERR(FIND("DECOUPE",Tableau1[[#This Row],[DESIGNATION]])),"","NEED REF")</f>
        <v/>
      </c>
    </row>
    <row r="13122">
      <c r="B13122" t="n">
        <v>34400883</v>
      </c>
      <c r="C13122" s="2" t="n">
        <v>38412</v>
      </c>
      <c r="D13122" t="inlineStr">
        <is>
          <t>SPEC</t>
        </is>
      </c>
      <c r="E13122" t="inlineStr">
        <is>
          <t>LOT LIMANDES RELZ/CIEZ MEPC DC BUS</t>
        </is>
      </c>
      <c r="F13122" t="inlineStr">
        <is>
          <t>GALAXY</t>
        </is>
      </c>
      <c r="J13122" t="inlineStr">
        <is>
          <t>ÇAKIR</t>
        </is>
      </c>
      <c r="L13122">
        <f>_xlfn.XLOOKUP(Tableau1[[#This Row],[TYPE DE PIECE]],Tableau4[MATIERE],Tableau4[SHORT TYPE],"",0,1)</f>
        <v/>
      </c>
      <c r="N13122">
        <f>IF(ISERR(FIND("DECOUPE",Tableau1[[#This Row],[DESIGNATION]])),"","NEED REF")</f>
        <v/>
      </c>
    </row>
    <row r="13123">
      <c r="B13123" t="n">
        <v>34400882</v>
      </c>
      <c r="C13123" s="2" t="n">
        <v>38411</v>
      </c>
      <c r="D13123" t="inlineStr">
        <is>
          <t>CDC</t>
        </is>
      </c>
      <c r="E13123" t="inlineStr">
        <is>
          <t>ARMOIRE PDU AVEC TRANSFO</t>
        </is>
      </c>
      <c r="F13123" t="inlineStr">
        <is>
          <t>Comet S31 15kVA</t>
        </is>
      </c>
      <c r="J13123" t="inlineStr">
        <is>
          <t>ROBERT</t>
        </is>
      </c>
      <c r="L13123">
        <f>_xlfn.XLOOKUP(Tableau1[[#This Row],[TYPE DE PIECE]],Tableau4[MATIERE],Tableau4[SHORT TYPE],"",0,1)</f>
        <v/>
      </c>
      <c r="N13123">
        <f>IF(ISERR(FIND("DECOUPE",Tableau1[[#This Row],[DESIGNATION]])),"","NEED REF")</f>
        <v/>
      </c>
    </row>
    <row r="13124">
      <c r="B13124" t="n">
        <v>34400881</v>
      </c>
      <c r="C13124" s="2" t="n">
        <v>38411</v>
      </c>
      <c r="D13124" t="inlineStr">
        <is>
          <t>CDC</t>
        </is>
      </c>
      <c r="E13124" t="inlineStr">
        <is>
          <t xml:space="preserve">SKID BAIE 19" MARINE </t>
        </is>
      </c>
      <c r="F13124" t="inlineStr">
        <is>
          <t>EXTREME</t>
        </is>
      </c>
      <c r="J13124" t="inlineStr">
        <is>
          <t>ROBERT</t>
        </is>
      </c>
      <c r="L13124">
        <f>_xlfn.XLOOKUP(Tableau1[[#This Row],[TYPE DE PIECE]],Tableau4[MATIERE],Tableau4[SHORT TYPE],"",0,1)</f>
        <v/>
      </c>
      <c r="N13124">
        <f>IF(ISERR(FIND("DECOUPE",Tableau1[[#This Row],[DESIGNATION]])),"","NEED REF")</f>
        <v/>
      </c>
    </row>
    <row r="13125">
      <c r="B13125" t="n">
        <v>34400880</v>
      </c>
      <c r="C13125" s="2" t="n">
        <v>38411</v>
      </c>
      <c r="D13125" t="inlineStr">
        <is>
          <t>CDC</t>
        </is>
      </c>
      <c r="E13125" t="inlineStr">
        <is>
          <t>Caillebotis marine 4x18 SWL750</t>
        </is>
      </c>
      <c r="F13125" t="inlineStr">
        <is>
          <t>Arm bat PW 1015*1900</t>
        </is>
      </c>
      <c r="J13125" t="inlineStr">
        <is>
          <t>ROBERT</t>
        </is>
      </c>
      <c r="L13125">
        <f>_xlfn.XLOOKUP(Tableau1[[#This Row],[TYPE DE PIECE]],Tableau4[MATIERE],Tableau4[SHORT TYPE],"",0,1)</f>
        <v/>
      </c>
      <c r="N13125">
        <f>IF(ISERR(FIND("DECOUPE",Tableau1[[#This Row],[DESIGNATION]])),"","NEED REF")</f>
        <v/>
      </c>
    </row>
    <row r="13126">
      <c r="B13126" t="n">
        <v>34400879</v>
      </c>
      <c r="C13126" s="2" t="n">
        <v>38408</v>
      </c>
      <c r="D13126" t="inlineStr">
        <is>
          <t>NOM</t>
        </is>
      </c>
      <c r="E13126" t="inlineStr">
        <is>
          <t>LG Kit transformation Sinewave esclave (90-120) en Unitaire (45-60)</t>
        </is>
      </c>
      <c r="F13126" t="inlineStr">
        <is>
          <t>SINEWAVE 90-120A</t>
        </is>
      </c>
      <c r="J13126" t="inlineStr">
        <is>
          <t>FERRIER</t>
        </is>
      </c>
      <c r="L13126">
        <f>_xlfn.XLOOKUP(Tableau1[[#This Row],[TYPE DE PIECE]],Tableau4[MATIERE],Tableau4[SHORT TYPE],"",0,1)</f>
        <v/>
      </c>
      <c r="N13126">
        <f>IF(ISERR(FIND("DECOUPE",Tableau1[[#This Row],[DESIGNATION]])),"","NEED REF")</f>
        <v/>
      </c>
    </row>
    <row r="13127">
      <c r="B13127" t="n">
        <v>34400878</v>
      </c>
      <c r="C13127" s="2" t="n">
        <v>38406</v>
      </c>
      <c r="D13127" t="inlineStr">
        <is>
          <t>NOM</t>
        </is>
      </c>
      <c r="E13127" t="inlineStr">
        <is>
          <t>LG Kit limandes de 25m pour mise en // de 3 ASI</t>
        </is>
      </c>
      <c r="F13127" t="inlineStr">
        <is>
          <t>GALAXY PW</t>
        </is>
      </c>
      <c r="J13127" t="inlineStr">
        <is>
          <t>FERRIER</t>
        </is>
      </c>
      <c r="L13127">
        <f>_xlfn.XLOOKUP(Tableau1[[#This Row],[TYPE DE PIECE]],Tableau4[MATIERE],Tableau4[SHORT TYPE],"",0,1)</f>
        <v/>
      </c>
      <c r="N13127">
        <f>IF(ISERR(FIND("DECOUPE",Tableau1[[#This Row],[DESIGNATION]])),"","NEED REF")</f>
        <v/>
      </c>
    </row>
    <row r="13128">
      <c r="B13128" t="n">
        <v>34400877</v>
      </c>
      <c r="C13128" s="2" t="n">
        <v>38400</v>
      </c>
      <c r="D13128" t="inlineStr">
        <is>
          <t>CDC</t>
        </is>
      </c>
      <c r="E13128" t="inlineStr">
        <is>
          <t xml:space="preserve">Coffret demarrage progressif </t>
        </is>
      </c>
      <c r="F13128" t="inlineStr">
        <is>
          <t>STS16A</t>
        </is>
      </c>
      <c r="J13128" t="inlineStr">
        <is>
          <t>REVEL</t>
        </is>
      </c>
      <c r="L13128">
        <f>_xlfn.XLOOKUP(Tableau1[[#This Row],[TYPE DE PIECE]],Tableau4[MATIERE],Tableau4[SHORT TYPE],"",0,1)</f>
        <v/>
      </c>
      <c r="N13128">
        <f>IF(ISERR(FIND("DECOUPE",Tableau1[[#This Row],[DESIGNATION]])),"","NEED REF")</f>
        <v/>
      </c>
    </row>
    <row r="13129">
      <c r="B13129" t="n">
        <v>34400876</v>
      </c>
      <c r="C13129" s="2" t="n">
        <v>38399</v>
      </c>
      <c r="D13129" t="inlineStr">
        <is>
          <t>SCH</t>
        </is>
      </c>
      <c r="E13129" t="inlineStr">
        <is>
          <t>Schéma DJ BATT 400kVA dans arm Galaxy 800mm</t>
        </is>
      </c>
      <c r="F13129" t="inlineStr">
        <is>
          <t>GALAXY 400kVA</t>
        </is>
      </c>
      <c r="J13129" t="inlineStr">
        <is>
          <t>FERRIER</t>
        </is>
      </c>
      <c r="L13129">
        <f>_xlfn.XLOOKUP(Tableau1[[#This Row],[TYPE DE PIECE]],Tableau4[MATIERE],Tableau4[SHORT TYPE],"",0,1)</f>
        <v/>
      </c>
      <c r="N13129">
        <f>IF(ISERR(FIND("DECOUPE",Tableau1[[#This Row],[DESIGNATION]])),"","NEED REF")</f>
        <v/>
      </c>
    </row>
    <row r="13130">
      <c r="B13130" t="n">
        <v>34400875</v>
      </c>
      <c r="C13130" s="2" t="n">
        <v>38392</v>
      </c>
      <c r="D13130" t="inlineStr">
        <is>
          <t>CDC</t>
        </is>
      </c>
      <c r="E13130" t="inlineStr">
        <is>
          <t>Porte arriere transparente pour onduleur</t>
        </is>
      </c>
      <c r="F13130" t="inlineStr">
        <is>
          <t>GALAXY 400kVA</t>
        </is>
      </c>
      <c r="J13130" t="inlineStr">
        <is>
          <t>REVEL</t>
        </is>
      </c>
      <c r="L13130">
        <f>_xlfn.XLOOKUP(Tableau1[[#This Row],[TYPE DE PIECE]],Tableau4[MATIERE],Tableau4[SHORT TYPE],"",0,1)</f>
        <v/>
      </c>
      <c r="N13130">
        <f>IF(ISERR(FIND("DECOUPE",Tableau1[[#This Row],[DESIGNATION]])),"","NEED REF")</f>
        <v/>
      </c>
    </row>
    <row r="13131">
      <c r="B13131" t="n">
        <v>34400874</v>
      </c>
      <c r="C13131" s="2" t="n">
        <v>38391</v>
      </c>
      <c r="D13131" t="inlineStr">
        <is>
          <t>NOM</t>
        </is>
      </c>
      <c r="E13131" t="inlineStr">
        <is>
          <t>ARMOIRE 4xDJ 400kVA L=1200</t>
        </is>
      </c>
      <c r="F13131" t="inlineStr">
        <is>
          <t>GALAXY 400kVA</t>
        </is>
      </c>
      <c r="J13131" t="inlineStr">
        <is>
          <t>FOLTZ</t>
        </is>
      </c>
      <c r="L13131">
        <f>_xlfn.XLOOKUP(Tableau1[[#This Row],[TYPE DE PIECE]],Tableau4[MATIERE],Tableau4[SHORT TYPE],"",0,1)</f>
        <v/>
      </c>
      <c r="N13131">
        <f>IF(ISERR(FIND("DECOUPE",Tableau1[[#This Row],[DESIGNATION]])),"","NEED REF")</f>
        <v/>
      </c>
    </row>
    <row r="13132">
      <c r="B13132" t="n">
        <v>34400873</v>
      </c>
      <c r="C13132" s="2" t="n">
        <v>38385</v>
      </c>
      <c r="D13132" t="inlineStr">
        <is>
          <t>SPEC</t>
        </is>
      </c>
      <c r="E13132" t="inlineStr">
        <is>
          <t>Plaque de fixation STS16 vertical</t>
        </is>
      </c>
      <c r="F13132" t="inlineStr">
        <is>
          <t>STS16A PONY</t>
        </is>
      </c>
      <c r="J13132" t="inlineStr">
        <is>
          <t>REVEL</t>
        </is>
      </c>
      <c r="L13132">
        <f>_xlfn.XLOOKUP(Tableau1[[#This Row],[TYPE DE PIECE]],Tableau4[MATIERE],Tableau4[SHORT TYPE],"",0,1)</f>
        <v/>
      </c>
      <c r="N13132">
        <f>IF(ISERR(FIND("DECOUPE",Tableau1[[#This Row],[DESIGNATION]])),"","NEED REF")</f>
        <v/>
      </c>
    </row>
    <row r="13133">
      <c r="B13133" t="n">
        <v>34400872</v>
      </c>
      <c r="C13133" s="2" t="n">
        <v>38379</v>
      </c>
      <c r="D13133" t="inlineStr">
        <is>
          <t>CDC</t>
        </is>
      </c>
      <c r="E13133" t="inlineStr">
        <is>
          <t>Armoire by pass 2500A</t>
        </is>
      </c>
      <c r="F13133" t="inlineStr">
        <is>
          <t>Galaxy modulaire</t>
        </is>
      </c>
      <c r="J13133" t="inlineStr">
        <is>
          <t>REVEL</t>
        </is>
      </c>
      <c r="L13133">
        <f>_xlfn.XLOOKUP(Tableau1[[#This Row],[TYPE DE PIECE]],Tableau4[MATIERE],Tableau4[SHORT TYPE],"",0,1)</f>
        <v/>
      </c>
      <c r="N13133">
        <f>IF(ISERR(FIND("DECOUPE",Tableau1[[#This Row],[DESIGNATION]])),"","NEED REF")</f>
        <v/>
      </c>
    </row>
    <row r="13134">
      <c r="B13134" t="n">
        <v>34400871</v>
      </c>
      <c r="C13134" s="2" t="n">
        <v>38378</v>
      </c>
      <c r="D13134" t="inlineStr">
        <is>
          <t>SPEC</t>
        </is>
      </c>
      <c r="E13134" t="inlineStr">
        <is>
          <t>Cordon mise en parallele RJ12 25m</t>
        </is>
      </c>
      <c r="F13134" t="inlineStr">
        <is>
          <t>Galaxy 3000</t>
        </is>
      </c>
      <c r="J13134" t="inlineStr">
        <is>
          <t>REVEL</t>
        </is>
      </c>
      <c r="L13134">
        <f>_xlfn.XLOOKUP(Tableau1[[#This Row],[TYPE DE PIECE]],Tableau4[MATIERE],Tableau4[SHORT TYPE],"",0,1)</f>
        <v/>
      </c>
      <c r="N13134">
        <f>IF(ISERR(FIND("DECOUPE",Tableau1[[#This Row],[DESIGNATION]])),"","NEED REF")</f>
        <v/>
      </c>
    </row>
    <row r="13135">
      <c r="B13135" t="n">
        <v>34400870</v>
      </c>
      <c r="C13135" s="2" t="n">
        <v>38378</v>
      </c>
      <c r="D13135" t="inlineStr">
        <is>
          <t>SPEC</t>
        </is>
      </c>
      <c r="E13135" t="inlineStr">
        <is>
          <t>Cordon mise en parallele RJ45 25m</t>
        </is>
      </c>
      <c r="F13135" t="inlineStr">
        <is>
          <t>Galaxy 3000</t>
        </is>
      </c>
      <c r="J13135" t="inlineStr">
        <is>
          <t>REVEL</t>
        </is>
      </c>
      <c r="L13135">
        <f>_xlfn.XLOOKUP(Tableau1[[#This Row],[TYPE DE PIECE]],Tableau4[MATIERE],Tableau4[SHORT TYPE],"",0,1)</f>
        <v/>
      </c>
      <c r="N13135">
        <f>IF(ISERR(FIND("DECOUPE",Tableau1[[#This Row],[DESIGNATION]])),"","NEED REF")</f>
        <v/>
      </c>
    </row>
    <row r="13136">
      <c r="B13136" t="n">
        <v>34400869</v>
      </c>
      <c r="C13136" s="2" t="n">
        <v>38376</v>
      </c>
      <c r="D13136" t="inlineStr">
        <is>
          <t>SCH</t>
        </is>
      </c>
      <c r="E13136" t="inlineStr">
        <is>
          <t>Carte MIZR modifiée (microcoupures Rés 1)</t>
        </is>
      </c>
      <c r="F13136" t="inlineStr">
        <is>
          <t>GALAXY3000</t>
        </is>
      </c>
      <c r="J13136" t="inlineStr">
        <is>
          <t>FERRIER</t>
        </is>
      </c>
      <c r="L13136">
        <f>_xlfn.XLOOKUP(Tableau1[[#This Row],[TYPE DE PIECE]],Tableau4[MATIERE],Tableau4[SHORT TYPE],"",0,1)</f>
        <v/>
      </c>
      <c r="N13136">
        <f>IF(ISERR(FIND("DECOUPE",Tableau1[[#This Row],[DESIGNATION]])),"","NEED REF")</f>
        <v/>
      </c>
    </row>
    <row r="13137">
      <c r="B13137" t="n">
        <v>34400868</v>
      </c>
      <c r="C13137" s="2" t="n">
        <v>38372</v>
      </c>
      <c r="D13137" t="inlineStr">
        <is>
          <t>DOC</t>
        </is>
      </c>
      <c r="E13137" t="inlineStr">
        <is>
          <t>Dossier mtge spécificités intégration SW120 Harmony</t>
        </is>
      </c>
      <c r="F13137" t="inlineStr">
        <is>
          <t>SINEWAVE 120A HARMONY</t>
        </is>
      </c>
      <c r="J13137" t="inlineStr">
        <is>
          <t>FERRIER</t>
        </is>
      </c>
      <c r="L13137">
        <f>_xlfn.XLOOKUP(Tableau1[[#This Row],[TYPE DE PIECE]],Tableau4[MATIERE],Tableau4[SHORT TYPE],"",0,1)</f>
        <v/>
      </c>
      <c r="N13137">
        <f>IF(ISERR(FIND("DECOUPE",Tableau1[[#This Row],[DESIGNATION]])),"","NEED REF")</f>
        <v/>
      </c>
    </row>
    <row r="13138">
      <c r="B13138" t="n">
        <v>34400867</v>
      </c>
      <c r="C13138" s="2" t="n">
        <v>38386</v>
      </c>
      <c r="D13138" t="inlineStr">
        <is>
          <t>SPEC</t>
        </is>
      </c>
      <c r="E13138" t="inlineStr">
        <is>
          <t>Lot de 2 equerres de fixation sts16A Pony</t>
        </is>
      </c>
      <c r="F13138" t="inlineStr">
        <is>
          <t>STS16A PONY</t>
        </is>
      </c>
      <c r="J13138" t="inlineStr">
        <is>
          <t>REVEL</t>
        </is>
      </c>
      <c r="L13138">
        <f>_xlfn.XLOOKUP(Tableau1[[#This Row],[TYPE DE PIECE]],Tableau4[MATIERE],Tableau4[SHORT TYPE],"",0,1)</f>
        <v/>
      </c>
      <c r="N13138">
        <f>IF(ISERR(FIND("DECOUPE",Tableau1[[#This Row],[DESIGNATION]])),"","NEED REF")</f>
        <v/>
      </c>
    </row>
    <row r="13139">
      <c r="B13139" t="n">
        <v>34400866</v>
      </c>
      <c r="C13139" s="2" t="n">
        <v>38372</v>
      </c>
      <c r="D13139" t="inlineStr">
        <is>
          <t>SPEC</t>
        </is>
      </c>
      <c r="E13139" t="inlineStr">
        <is>
          <t>KIT FILERIE ADDITIONNEL</t>
        </is>
      </c>
      <c r="F13139" t="inlineStr">
        <is>
          <t>SINEWAVE 120A HARMONY</t>
        </is>
      </c>
      <c r="J13139" t="inlineStr">
        <is>
          <t>FERRIER</t>
        </is>
      </c>
      <c r="L13139">
        <f>_xlfn.XLOOKUP(Tableau1[[#This Row],[TYPE DE PIECE]],Tableau4[MATIERE],Tableau4[SHORT TYPE],"",0,1)</f>
        <v/>
      </c>
      <c r="N13139">
        <f>IF(ISERR(FIND("DECOUPE",Tableau1[[#This Row],[DESIGNATION]])),"","NEED REF")</f>
        <v/>
      </c>
    </row>
    <row r="13140">
      <c r="B13140" t="n">
        <v>34400865</v>
      </c>
      <c r="C13140" s="2" t="n">
        <v>38372</v>
      </c>
      <c r="D13140" t="inlineStr">
        <is>
          <t>CDC</t>
        </is>
      </c>
      <c r="E13140" t="inlineStr">
        <is>
          <t>Armoire ATFO Phase Shifting + SW120A monté à la mode harmony</t>
        </is>
      </c>
      <c r="F13140" t="inlineStr">
        <is>
          <t>ARMOIRE AUX GALAXY 1200mm</t>
        </is>
      </c>
      <c r="J13140" t="inlineStr">
        <is>
          <t>FERRIER</t>
        </is>
      </c>
      <c r="L13140">
        <f>_xlfn.XLOOKUP(Tableau1[[#This Row],[TYPE DE PIECE]],Tableau4[MATIERE],Tableau4[SHORT TYPE],"",0,1)</f>
        <v/>
      </c>
      <c r="N13140">
        <f>IF(ISERR(FIND("DECOUPE",Tableau1[[#This Row],[DESIGNATION]])),"","NEED REF")</f>
        <v/>
      </c>
    </row>
    <row r="13141">
      <c r="B13141" t="n">
        <v>34400864</v>
      </c>
      <c r="C13141" s="2" t="n">
        <v>38372</v>
      </c>
      <c r="D13141" t="inlineStr">
        <is>
          <t>SPEC</t>
        </is>
      </c>
      <c r="E13141" t="inlineStr">
        <is>
          <t>Grille sortie d'air Sinewave monté harmony</t>
        </is>
      </c>
      <c r="F13141" t="inlineStr">
        <is>
          <t>Armoire auxiliaire Galaxy ou PW</t>
        </is>
      </c>
      <c r="J13141" t="inlineStr">
        <is>
          <t>FERRIER</t>
        </is>
      </c>
      <c r="L13141">
        <f>_xlfn.XLOOKUP(Tableau1[[#This Row],[TYPE DE PIECE]],Tableau4[MATIERE],Tableau4[SHORT TYPE],"",0,1)</f>
        <v/>
      </c>
      <c r="N13141">
        <f>IF(ISERR(FIND("DECOUPE",Tableau1[[#This Row],[DESIGNATION]])),"","NEED REF")</f>
        <v/>
      </c>
    </row>
    <row r="13142">
      <c r="B13142" t="n">
        <v>34400863</v>
      </c>
      <c r="C13142" s="2" t="n">
        <v>38337</v>
      </c>
      <c r="D13142" t="inlineStr">
        <is>
          <t>SPEC</t>
        </is>
      </c>
      <c r="E13142" t="inlineStr">
        <is>
          <t>BOUCHON TERMINATEUR RESISTIF</t>
        </is>
      </c>
      <c r="F13142" t="inlineStr">
        <is>
          <t>Comet EXRT</t>
        </is>
      </c>
      <c r="J13142" t="inlineStr">
        <is>
          <t>REVEL</t>
        </is>
      </c>
      <c r="L13142">
        <f>_xlfn.XLOOKUP(Tableau1[[#This Row],[TYPE DE PIECE]],Tableau4[MATIERE],Tableau4[SHORT TYPE],"",0,1)</f>
        <v/>
      </c>
      <c r="N13142">
        <f>IF(ISERR(FIND("DECOUPE",Tableau1[[#This Row],[DESIGNATION]])),"","NEED REF")</f>
        <v/>
      </c>
    </row>
    <row r="13143">
      <c r="B13143" t="n">
        <v>34400862</v>
      </c>
      <c r="C13143" s="2" t="n">
        <v>38341</v>
      </c>
      <c r="D13143" t="inlineStr">
        <is>
          <t>SPEC</t>
        </is>
      </c>
      <c r="E13143" t="inlineStr">
        <is>
          <t>ETIQUETTE DANGER</t>
        </is>
      </c>
      <c r="F13143" t="inlineStr">
        <is>
          <t>Comet EXRT</t>
        </is>
      </c>
      <c r="J13143" t="inlineStr">
        <is>
          <t>REVEL</t>
        </is>
      </c>
      <c r="L13143">
        <f>_xlfn.XLOOKUP(Tableau1[[#This Row],[TYPE DE PIECE]],Tableau4[MATIERE],Tableau4[SHORT TYPE],"",0,1)</f>
        <v/>
      </c>
      <c r="N13143">
        <f>IF(ISERR(FIND("DECOUPE",Tableau1[[#This Row],[DESIGNATION]])),"","NEED REF")</f>
        <v/>
      </c>
    </row>
    <row r="13144">
      <c r="B13144" t="n">
        <v>34400861</v>
      </c>
      <c r="C13144" s="2" t="n">
        <v>38337</v>
      </c>
      <c r="D13144" t="inlineStr">
        <is>
          <t>DOC</t>
        </is>
      </c>
      <c r="E13144" t="inlineStr">
        <is>
          <t>Dossier de montage plaque fond</t>
        </is>
      </c>
      <c r="F13144" t="inlineStr">
        <is>
          <t>Galaxy et Galaxy PW</t>
        </is>
      </c>
      <c r="J13144" t="inlineStr">
        <is>
          <t>REVEL</t>
        </is>
      </c>
      <c r="L13144">
        <f>_xlfn.XLOOKUP(Tableau1[[#This Row],[TYPE DE PIECE]],Tableau4[MATIERE],Tableau4[SHORT TYPE],"",0,1)</f>
        <v/>
      </c>
      <c r="N13144">
        <f>IF(ISERR(FIND("DECOUPE",Tableau1[[#This Row],[DESIGNATION]])),"","NEED REF")</f>
        <v/>
      </c>
    </row>
    <row r="13145">
      <c r="B13145" t="n">
        <v>34400860</v>
      </c>
      <c r="C13145" s="2" t="n">
        <v>38370</v>
      </c>
      <c r="D13145" t="inlineStr">
        <is>
          <t>NOM</t>
        </is>
      </c>
      <c r="E13145" t="inlineStr">
        <is>
          <t xml:space="preserve">Kit boitier signalisation decharge profonde </t>
        </is>
      </c>
      <c r="F13145" t="inlineStr">
        <is>
          <t>Eclairage securite</t>
        </is>
      </c>
      <c r="J13145" t="inlineStr">
        <is>
          <t>REVEL</t>
        </is>
      </c>
      <c r="L13145">
        <f>_xlfn.XLOOKUP(Tableau1[[#This Row],[TYPE DE PIECE]],Tableau4[MATIERE],Tableau4[SHORT TYPE],"",0,1)</f>
        <v/>
      </c>
      <c r="N13145">
        <f>IF(ISERR(FIND("DECOUPE",Tableau1[[#This Row],[DESIGNATION]])),"","NEED REF")</f>
        <v/>
      </c>
    </row>
    <row r="13146">
      <c r="B13146" t="n">
        <v>34400859</v>
      </c>
      <c r="C13146" s="2" t="n">
        <v>38362</v>
      </c>
      <c r="D13146" t="inlineStr">
        <is>
          <t>NOM</t>
        </is>
      </c>
      <c r="E13146" t="inlineStr">
        <is>
          <t>LG KIT TR5A POUR KIT DJ G5000</t>
        </is>
      </c>
      <c r="F13146" t="inlineStr">
        <is>
          <t>GALAXY G5000</t>
        </is>
      </c>
      <c r="J13146" t="inlineStr">
        <is>
          <t>REVEL</t>
        </is>
      </c>
      <c r="L13146">
        <f>_xlfn.XLOOKUP(Tableau1[[#This Row],[TYPE DE PIECE]],Tableau4[MATIERE],Tableau4[SHORT TYPE],"",0,1)</f>
        <v/>
      </c>
      <c r="N13146">
        <f>IF(ISERR(FIND("DECOUPE",Tableau1[[#This Row],[DESIGNATION]])),"","NEED REF")</f>
        <v/>
      </c>
    </row>
    <row r="13147">
      <c r="B13147" t="n">
        <v>34400858</v>
      </c>
      <c r="C13147" s="2" t="n">
        <v>38362</v>
      </c>
      <c r="D13147" t="inlineStr">
        <is>
          <t>NOM</t>
        </is>
      </c>
      <c r="E13147" t="inlineStr">
        <is>
          <t>LG filtre brouillard d'huile</t>
        </is>
      </c>
      <c r="F13147" t="inlineStr">
        <is>
          <t>GALAXY PW 80-120kVA</t>
        </is>
      </c>
      <c r="J13147" t="inlineStr">
        <is>
          <t>REVEL</t>
        </is>
      </c>
      <c r="L13147">
        <f>_xlfn.XLOOKUP(Tableau1[[#This Row],[TYPE DE PIECE]],Tableau4[MATIERE],Tableau4[SHORT TYPE],"",0,1)</f>
        <v/>
      </c>
      <c r="N13147">
        <f>IF(ISERR(FIND("DECOUPE",Tableau1[[#This Row],[DESIGNATION]])),"","NEED REF")</f>
        <v/>
      </c>
    </row>
    <row r="13148">
      <c r="B13148" t="n">
        <v>34400857</v>
      </c>
      <c r="C13148" s="2" t="n">
        <v>38362</v>
      </c>
      <c r="D13148" t="inlineStr">
        <is>
          <t>CDC</t>
        </is>
      </c>
      <c r="E13148" t="inlineStr">
        <is>
          <t>Transformation PMM</t>
        </is>
      </c>
      <c r="F13148" t="inlineStr">
        <is>
          <t>PMM</t>
        </is>
      </c>
      <c r="J13148" t="inlineStr">
        <is>
          <t>REVEL</t>
        </is>
      </c>
      <c r="L13148">
        <f>_xlfn.XLOOKUP(Tableau1[[#This Row],[TYPE DE PIECE]],Tableau4[MATIERE],Tableau4[SHORT TYPE],"",0,1)</f>
        <v/>
      </c>
      <c r="N13148">
        <f>IF(ISERR(FIND("DECOUPE",Tableau1[[#This Row],[DESIGNATION]])),"","NEED REF")</f>
        <v/>
      </c>
    </row>
    <row r="13149">
      <c r="B13149" t="n">
        <v>34400856</v>
      </c>
      <c r="C13149" s="2" t="n">
        <v>38358</v>
      </c>
      <c r="D13149" t="inlineStr">
        <is>
          <t>NOM</t>
        </is>
      </c>
      <c r="E13149" t="inlineStr">
        <is>
          <t>LG Comet S31 eclairage secu</t>
        </is>
      </c>
      <c r="F13149" t="inlineStr">
        <is>
          <t>COMET S31</t>
        </is>
      </c>
      <c r="J13149" t="inlineStr">
        <is>
          <t>REVEL</t>
        </is>
      </c>
      <c r="L13149">
        <f>_xlfn.XLOOKUP(Tableau1[[#This Row],[TYPE DE PIECE]],Tableau4[MATIERE],Tableau4[SHORT TYPE],"",0,1)</f>
        <v/>
      </c>
      <c r="N13149">
        <f>IF(ISERR(FIND("DECOUPE",Tableau1[[#This Row],[DESIGNATION]])),"","NEED REF")</f>
        <v/>
      </c>
    </row>
    <row r="13150">
      <c r="B13150" t="n">
        <v>34400855</v>
      </c>
      <c r="C13150" s="2" t="n">
        <v>38370</v>
      </c>
      <c r="D13150" t="inlineStr">
        <is>
          <t>NOM</t>
        </is>
      </c>
      <c r="E13150" t="inlineStr">
        <is>
          <t>CARTE AROC MODIFIEE GESTION D'ENERGIE</t>
        </is>
      </c>
      <c r="F13150" t="inlineStr">
        <is>
          <t>MICROSOFT INDES/MODULAIRE</t>
        </is>
      </c>
      <c r="J13150" t="inlineStr">
        <is>
          <t>FOLTZ</t>
        </is>
      </c>
      <c r="L13150">
        <f>_xlfn.XLOOKUP(Tableau1[[#This Row],[TYPE DE PIECE]],Tableau4[MATIERE],Tableau4[SHORT TYPE],"",0,1)</f>
        <v/>
      </c>
      <c r="N13150">
        <f>IF(ISERR(FIND("DECOUPE",Tableau1[[#This Row],[DESIGNATION]])),"","NEED REF")</f>
        <v/>
      </c>
    </row>
    <row r="13151">
      <c r="B13151" t="n">
        <v>34400854</v>
      </c>
      <c r="C13151" s="2" t="n">
        <v>38370</v>
      </c>
      <c r="D13151" t="inlineStr">
        <is>
          <t>NOM</t>
        </is>
      </c>
      <c r="E13151" t="inlineStr">
        <is>
          <t xml:space="preserve">LG IP32 ARM 1200  COUL SPEC </t>
        </is>
      </c>
      <c r="F13151" t="inlineStr">
        <is>
          <t>GALAXY</t>
        </is>
      </c>
      <c r="J13151" t="inlineStr">
        <is>
          <t>ROBERT</t>
        </is>
      </c>
      <c r="L13151">
        <f>_xlfn.XLOOKUP(Tableau1[[#This Row],[TYPE DE PIECE]],Tableau4[MATIERE],Tableau4[SHORT TYPE],"",0,1)</f>
        <v/>
      </c>
      <c r="N13151">
        <f>IF(ISERR(FIND("DECOUPE",Tableau1[[#This Row],[DESIGNATION]])),"","NEED REF")</f>
        <v/>
      </c>
    </row>
    <row r="13152">
      <c r="B13152" t="n">
        <v>34400853</v>
      </c>
      <c r="C13152" s="2" t="n">
        <v>38343</v>
      </c>
      <c r="D13152" t="inlineStr">
        <is>
          <t>NOM</t>
        </is>
      </c>
      <c r="E13152" t="inlineStr">
        <is>
          <t>LG Comet EXRT 11kva eclairage securite</t>
        </is>
      </c>
      <c r="F13152" t="inlineStr">
        <is>
          <t>Comet EXRT 11</t>
        </is>
      </c>
      <c r="J13152" t="inlineStr">
        <is>
          <t>REVEL</t>
        </is>
      </c>
      <c r="L13152">
        <f>_xlfn.XLOOKUP(Tableau1[[#This Row],[TYPE DE PIECE]],Tableau4[MATIERE],Tableau4[SHORT TYPE],"",0,1)</f>
        <v/>
      </c>
      <c r="N13152">
        <f>IF(ISERR(FIND("DECOUPE",Tableau1[[#This Row],[DESIGNATION]])),"","NEED REF")</f>
        <v/>
      </c>
    </row>
    <row r="13153">
      <c r="B13153" t="n">
        <v>34400852</v>
      </c>
      <c r="C13153" s="2" t="n">
        <v>38342</v>
      </c>
      <c r="D13153" t="inlineStr">
        <is>
          <t>NOM</t>
        </is>
      </c>
      <c r="E13153" t="inlineStr">
        <is>
          <t>LG Comet EXRT 7kva eclairage securite</t>
        </is>
      </c>
      <c r="F13153" t="inlineStr">
        <is>
          <t>Comet EXRT 7</t>
        </is>
      </c>
      <c r="J13153" t="inlineStr">
        <is>
          <t>REVEL</t>
        </is>
      </c>
      <c r="L13153">
        <f>_xlfn.XLOOKUP(Tableau1[[#This Row],[TYPE DE PIECE]],Tableau4[MATIERE],Tableau4[SHORT TYPE],"",0,1)</f>
        <v/>
      </c>
      <c r="N13153">
        <f>IF(ISERR(FIND("DECOUPE",Tableau1[[#This Row],[DESIGNATION]])),"","NEED REF")</f>
        <v/>
      </c>
    </row>
    <row r="13154">
      <c r="B13154" t="n">
        <v>34400851</v>
      </c>
      <c r="C13154" s="2" t="n">
        <v>38371</v>
      </c>
      <c r="D13154" t="inlineStr">
        <is>
          <t>SPEC</t>
        </is>
      </c>
      <c r="E13154" t="inlineStr">
        <is>
          <t>Etiquette pour eclairage de securite</t>
        </is>
      </c>
      <c r="F13154" t="inlineStr">
        <is>
          <t>Eclairage securite</t>
        </is>
      </c>
      <c r="J13154" t="inlineStr">
        <is>
          <t>REVEL</t>
        </is>
      </c>
      <c r="L13154">
        <f>_xlfn.XLOOKUP(Tableau1[[#This Row],[TYPE DE PIECE]],Tableau4[MATIERE],Tableau4[SHORT TYPE],"",0,1)</f>
        <v/>
      </c>
      <c r="N13154">
        <f>IF(ISERR(FIND("DECOUPE",Tableau1[[#This Row],[DESIGNATION]])),"","NEED REF")</f>
        <v/>
      </c>
    </row>
    <row r="13155">
      <c r="B13155" t="n">
        <v>34400850</v>
      </c>
      <c r="C13155" s="2" t="n">
        <v>38364</v>
      </c>
      <c r="D13155" t="inlineStr">
        <is>
          <t>NOM</t>
        </is>
      </c>
      <c r="E13155" t="inlineStr">
        <is>
          <t xml:space="preserve">LG IP32 GALAXY 160/400kVA COUL SPEC </t>
        </is>
      </c>
      <c r="F13155" t="inlineStr">
        <is>
          <t>GALAXY</t>
        </is>
      </c>
      <c r="J13155" t="inlineStr">
        <is>
          <t>ROBERT</t>
        </is>
      </c>
      <c r="L13155">
        <f>_xlfn.XLOOKUP(Tableau1[[#This Row],[TYPE DE PIECE]],Tableau4[MATIERE],Tableau4[SHORT TYPE],"",0,1)</f>
        <v/>
      </c>
      <c r="N13155">
        <f>IF(ISERR(FIND("DECOUPE",Tableau1[[#This Row],[DESIGNATION]])),"","NEED REF")</f>
        <v/>
      </c>
    </row>
    <row r="13156">
      <c r="B13156" t="n">
        <v>34400849</v>
      </c>
      <c r="C13156" s="2" t="n">
        <v>38341</v>
      </c>
      <c r="D13156" t="inlineStr">
        <is>
          <t>NOM</t>
        </is>
      </c>
      <c r="E13156" t="inlineStr">
        <is>
          <t>LG FILTRE ANTI POUSSIERE GAL PW 200</t>
        </is>
      </c>
      <c r="F13156" t="inlineStr">
        <is>
          <t>GALAXY</t>
        </is>
      </c>
      <c r="J13156" t="inlineStr">
        <is>
          <t>REVEL</t>
        </is>
      </c>
      <c r="L13156">
        <f>_xlfn.XLOOKUP(Tableau1[[#This Row],[TYPE DE PIECE]],Tableau4[MATIERE],Tableau4[SHORT TYPE],"",0,1)</f>
        <v/>
      </c>
      <c r="N13156">
        <f>IF(ISERR(FIND("DECOUPE",Tableau1[[#This Row],[DESIGNATION]])),"","NEED REF")</f>
        <v/>
      </c>
    </row>
    <row r="13157">
      <c r="B13157" t="n">
        <v>34400848</v>
      </c>
      <c r="C13157" s="2" t="n">
        <v>38341</v>
      </c>
      <c r="D13157" t="inlineStr">
        <is>
          <t>DOC</t>
        </is>
      </c>
      <c r="E13157" t="inlineStr">
        <is>
          <t>CDC THMPWS avec TFO R2 160kVA intégré 1015x1900</t>
        </is>
      </c>
      <c r="F13157" t="inlineStr">
        <is>
          <t>INEO Ministère de la défense</t>
        </is>
      </c>
      <c r="J13157" t="inlineStr">
        <is>
          <t>FERRIER</t>
        </is>
      </c>
      <c r="L13157">
        <f>_xlfn.XLOOKUP(Tableau1[[#This Row],[TYPE DE PIECE]],Tableau4[MATIERE],Tableau4[SHORT TYPE],"",0,1)</f>
        <v/>
      </c>
      <c r="N13157">
        <f>IF(ISERR(FIND("DECOUPE",Tableau1[[#This Row],[DESIGNATION]])),"","NEED REF")</f>
        <v/>
      </c>
    </row>
    <row r="13158">
      <c r="B13158" t="n">
        <v>34400847</v>
      </c>
      <c r="C13158" s="2" t="n">
        <v>38341</v>
      </c>
      <c r="D13158" t="inlineStr">
        <is>
          <t>DOC</t>
        </is>
      </c>
      <c r="E13158" t="inlineStr">
        <is>
          <t>NOTICE STS 1200A</t>
        </is>
      </c>
      <c r="F13158" t="inlineStr">
        <is>
          <t>STS 1200A</t>
        </is>
      </c>
      <c r="J13158" t="inlineStr">
        <is>
          <t>FOLTZ</t>
        </is>
      </c>
      <c r="L13158">
        <f>_xlfn.XLOOKUP(Tableau1[[#This Row],[TYPE DE PIECE]],Tableau4[MATIERE],Tableau4[SHORT TYPE],"",0,1)</f>
        <v/>
      </c>
      <c r="N13158">
        <f>IF(ISERR(FIND("DECOUPE",Tableau1[[#This Row],[DESIGNATION]])),"","NEED REF")</f>
        <v/>
      </c>
    </row>
    <row r="13159">
      <c r="B13159" t="n">
        <v>34400846</v>
      </c>
      <c r="C13159" s="2" t="n">
        <v>38335</v>
      </c>
      <c r="D13159" t="inlineStr">
        <is>
          <t>CDC</t>
        </is>
      </c>
      <c r="E13159" t="inlineStr">
        <is>
          <t>COMET INDUS S31 IP 42</t>
        </is>
      </c>
      <c r="F13159" t="inlineStr">
        <is>
          <t>BCSC</t>
        </is>
      </c>
      <c r="J13159" t="inlineStr">
        <is>
          <t>ROBERT</t>
        </is>
      </c>
      <c r="L13159">
        <f>_xlfn.XLOOKUP(Tableau1[[#This Row],[TYPE DE PIECE]],Tableau4[MATIERE],Tableau4[SHORT TYPE],"",0,1)</f>
        <v/>
      </c>
      <c r="N13159">
        <f>IF(ISERR(FIND("DECOUPE",Tableau1[[#This Row],[DESIGNATION]])),"","NEED REF")</f>
        <v/>
      </c>
    </row>
    <row r="13160">
      <c r="B13160" t="n">
        <v>34400845</v>
      </c>
      <c r="C13160" s="2" t="n">
        <v>38327</v>
      </c>
      <c r="D13160" t="inlineStr">
        <is>
          <t>CDC</t>
        </is>
      </c>
      <c r="E13160" t="inlineStr">
        <is>
          <t>PMM adapte</t>
        </is>
      </c>
      <c r="F13160" t="inlineStr">
        <is>
          <t>MGE Australie</t>
        </is>
      </c>
      <c r="J13160" t="inlineStr">
        <is>
          <t>REVEL</t>
        </is>
      </c>
      <c r="L13160">
        <f>_xlfn.XLOOKUP(Tableau1[[#This Row],[TYPE DE PIECE]],Tableau4[MATIERE],Tableau4[SHORT TYPE],"",0,1)</f>
        <v/>
      </c>
      <c r="N13160">
        <f>IF(ISERR(FIND("DECOUPE",Tableau1[[#This Row],[DESIGNATION]])),"","NEED REF")</f>
        <v/>
      </c>
    </row>
    <row r="13161">
      <c r="B13161" t="n">
        <v>34400844</v>
      </c>
      <c r="C13161" s="2" t="n">
        <v>38324</v>
      </c>
      <c r="D13161" t="inlineStr">
        <is>
          <t>SPEC</t>
        </is>
      </c>
      <c r="E13161" t="inlineStr">
        <is>
          <t>LOGO CLEANWAVE</t>
        </is>
      </c>
      <c r="F13161" t="inlineStr">
        <is>
          <t>Toutes gammes</t>
        </is>
      </c>
      <c r="J13161" t="inlineStr">
        <is>
          <t>REVEL</t>
        </is>
      </c>
      <c r="L13161">
        <f>_xlfn.XLOOKUP(Tableau1[[#This Row],[TYPE DE PIECE]],Tableau4[MATIERE],Tableau4[SHORT TYPE],"",0,1)</f>
        <v/>
      </c>
      <c r="N13161">
        <f>IF(ISERR(FIND("DECOUPE",Tableau1[[#This Row],[DESIGNATION]])),"","NEED REF")</f>
        <v/>
      </c>
    </row>
    <row r="13162">
      <c r="B13162" t="n">
        <v>34400843</v>
      </c>
      <c r="C13162" s="2" t="n">
        <v>38323</v>
      </c>
      <c r="D13162" t="inlineStr">
        <is>
          <t>CDC</t>
        </is>
      </c>
      <c r="E13162" t="inlineStr">
        <is>
          <t>THM PWS + Bypass -sans RC- 150kVA dans 1 armoire</t>
        </is>
      </c>
      <c r="F13162" t="inlineStr">
        <is>
          <t>1015x1900</t>
        </is>
      </c>
      <c r="J13162" t="inlineStr">
        <is>
          <t>FERRIER</t>
        </is>
      </c>
      <c r="L13162">
        <f>_xlfn.XLOOKUP(Tableau1[[#This Row],[TYPE DE PIECE]],Tableau4[MATIERE],Tableau4[SHORT TYPE],"",0,1)</f>
        <v/>
      </c>
      <c r="N13162">
        <f>IF(ISERR(FIND("DECOUPE",Tableau1[[#This Row],[DESIGNATION]])),"","NEED REF")</f>
        <v/>
      </c>
    </row>
    <row r="13163">
      <c r="B13163" t="n">
        <v>34400842</v>
      </c>
      <c r="C13163" s="2" t="n">
        <v>38323</v>
      </c>
      <c r="D13163" t="inlineStr">
        <is>
          <t>CDC</t>
        </is>
      </c>
      <c r="E13163" t="inlineStr">
        <is>
          <t>THM PWM + Bypass-avec RC- 150kVA dans 1 armoire</t>
        </is>
      </c>
      <c r="F13163" t="inlineStr">
        <is>
          <t>1015x1900</t>
        </is>
      </c>
      <c r="J13163" t="inlineStr">
        <is>
          <t>FERRIER</t>
        </is>
      </c>
      <c r="L13163">
        <f>_xlfn.XLOOKUP(Tableau1[[#This Row],[TYPE DE PIECE]],Tableau4[MATIERE],Tableau4[SHORT TYPE],"",0,1)</f>
        <v/>
      </c>
      <c r="N13163">
        <f>IF(ISERR(FIND("DECOUPE",Tableau1[[#This Row],[DESIGNATION]])),"","NEED REF")</f>
        <v/>
      </c>
    </row>
    <row r="13164">
      <c r="B13164" t="n">
        <v>34400841</v>
      </c>
      <c r="C13164" s="2" t="n">
        <v>38321</v>
      </c>
      <c r="D13164" t="inlineStr">
        <is>
          <t>NOM</t>
        </is>
      </c>
      <c r="E13164" t="inlineStr">
        <is>
          <t>LG IP32 GALAXY3000 10-15kVA</t>
        </is>
      </c>
      <c r="F13164" t="inlineStr">
        <is>
          <t>GALAXY 3000 15kVA</t>
        </is>
      </c>
      <c r="J13164" t="inlineStr">
        <is>
          <t>ROBERT</t>
        </is>
      </c>
      <c r="L13164">
        <f>_xlfn.XLOOKUP(Tableau1[[#This Row],[TYPE DE PIECE]],Tableau4[MATIERE],Tableau4[SHORT TYPE],"",0,1)</f>
        <v/>
      </c>
      <c r="N13164">
        <f>IF(ISERR(FIND("DECOUPE",Tableau1[[#This Row],[DESIGNATION]])),"","NEED REF")</f>
        <v/>
      </c>
    </row>
    <row r="13165">
      <c r="B13165" t="n">
        <v>34400840</v>
      </c>
      <c r="C13165" s="2" t="n">
        <v>38317</v>
      </c>
      <c r="D13165" t="inlineStr">
        <is>
          <t>DOC</t>
        </is>
      </c>
      <c r="E13165" t="inlineStr">
        <is>
          <t>DI std</t>
        </is>
      </c>
      <c r="F13165" t="inlineStr">
        <is>
          <t>THM PWS dans 715x1400</t>
        </is>
      </c>
      <c r="J13165" t="inlineStr">
        <is>
          <t>FERRIER</t>
        </is>
      </c>
      <c r="L13165">
        <f>_xlfn.XLOOKUP(Tableau1[[#This Row],[TYPE DE PIECE]],Tableau4[MATIERE],Tableau4[SHORT TYPE],"",0,1)</f>
        <v/>
      </c>
      <c r="N13165">
        <f>IF(ISERR(FIND("DECOUPE",Tableau1[[#This Row],[DESIGNATION]])),"","NEED REF")</f>
        <v/>
      </c>
    </row>
    <row r="13166">
      <c r="B13166" t="n">
        <v>34400839</v>
      </c>
      <c r="C13166" s="2" t="n">
        <v>38315</v>
      </c>
      <c r="D13166" t="inlineStr">
        <is>
          <t>DOC</t>
        </is>
      </c>
      <c r="E13166" t="inlineStr">
        <is>
          <t>Dossier d'adaptation onduleur pour ajout bornier alim AF BOX</t>
        </is>
      </c>
      <c r="F13166" t="inlineStr">
        <is>
          <t>GALAXY400P - AFFAIRE DEUTSCH TELECOM</t>
        </is>
      </c>
      <c r="J13166" t="inlineStr">
        <is>
          <t>FERRIER</t>
        </is>
      </c>
      <c r="L13166">
        <f>_xlfn.XLOOKUP(Tableau1[[#This Row],[TYPE DE PIECE]],Tableau4[MATIERE],Tableau4[SHORT TYPE],"",0,1)</f>
        <v/>
      </c>
      <c r="N13166">
        <f>IF(ISERR(FIND("DECOUPE",Tableau1[[#This Row],[DESIGNATION]])),"","NEED REF")</f>
        <v/>
      </c>
    </row>
    <row r="13167">
      <c r="B13167" t="n">
        <v>34400838</v>
      </c>
      <c r="C13167" s="2" t="n">
        <v>38314</v>
      </c>
      <c r="D13167" t="inlineStr">
        <is>
          <t>SPEC</t>
        </is>
      </c>
      <c r="E13167" t="inlineStr">
        <is>
          <t>PANNEAU ARRIERE IP 31</t>
        </is>
      </c>
      <c r="F13167" t="inlineStr">
        <is>
          <t>G3000 10/15kVA</t>
        </is>
      </c>
      <c r="J13167" t="inlineStr">
        <is>
          <t>ROBERT</t>
        </is>
      </c>
      <c r="L13167">
        <f>_xlfn.XLOOKUP(Tableau1[[#This Row],[TYPE DE PIECE]],Tableau4[MATIERE],Tableau4[SHORT TYPE],"",0,1)</f>
        <v/>
      </c>
      <c r="N13167">
        <f>IF(ISERR(FIND("DECOUPE",Tableau1[[#This Row],[DESIGNATION]])),"","NEED REF")</f>
        <v/>
      </c>
    </row>
    <row r="13168">
      <c r="B13168" t="n">
        <v>34400837</v>
      </c>
      <c r="C13168" s="2" t="n">
        <v>38314</v>
      </c>
      <c r="D13168" t="inlineStr">
        <is>
          <t>SPEC</t>
        </is>
      </c>
      <c r="E13168" t="inlineStr">
        <is>
          <t>SUPPORT LOGO  IP</t>
        </is>
      </c>
      <c r="F13168" t="inlineStr">
        <is>
          <t>G3000 10/15kVA</t>
        </is>
      </c>
      <c r="J13168" t="inlineStr">
        <is>
          <t>ROBERT</t>
        </is>
      </c>
      <c r="L13168">
        <f>_xlfn.XLOOKUP(Tableau1[[#This Row],[TYPE DE PIECE]],Tableau4[MATIERE],Tableau4[SHORT TYPE],"",0,1)</f>
        <v/>
      </c>
      <c r="N13168">
        <f>IF(ISERR(FIND("DECOUPE",Tableau1[[#This Row],[DESIGNATION]])),"","NEED REF")</f>
        <v/>
      </c>
    </row>
    <row r="13169">
      <c r="B13169" t="n">
        <v>34400836</v>
      </c>
      <c r="C13169" s="2" t="n">
        <v>38314</v>
      </c>
      <c r="D13169" t="inlineStr">
        <is>
          <t>CDC</t>
        </is>
      </c>
      <c r="E13169" t="inlineStr">
        <is>
          <t>CDC montage STS16A a bornier PONY</t>
        </is>
      </c>
      <c r="F13169" t="inlineStr">
        <is>
          <t>STS16A PONY</t>
        </is>
      </c>
      <c r="J13169" t="inlineStr">
        <is>
          <t>REVEL</t>
        </is>
      </c>
      <c r="L13169">
        <f>_xlfn.XLOOKUP(Tableau1[[#This Row],[TYPE DE PIECE]],Tableau4[MATIERE],Tableau4[SHORT TYPE],"",0,1)</f>
        <v/>
      </c>
      <c r="N13169">
        <f>IF(ISERR(FIND("DECOUPE",Tableau1[[#This Row],[DESIGNATION]])),"","NEED REF")</f>
        <v/>
      </c>
    </row>
    <row r="13170">
      <c r="B13170" t="n">
        <v>34400835</v>
      </c>
      <c r="C13170" s="2" t="n">
        <v>38313</v>
      </c>
      <c r="D13170" t="inlineStr">
        <is>
          <t>NOM</t>
        </is>
      </c>
      <c r="E13170" t="inlineStr">
        <is>
          <t>LG STS16A a bornier nouvelle version</t>
        </is>
      </c>
      <c r="F13170" t="inlineStr">
        <is>
          <t>STS16A PONY</t>
        </is>
      </c>
      <c r="J13170" t="inlineStr">
        <is>
          <t>REVEL</t>
        </is>
      </c>
      <c r="L13170">
        <f>_xlfn.XLOOKUP(Tableau1[[#This Row],[TYPE DE PIECE]],Tableau4[MATIERE],Tableau4[SHORT TYPE],"",0,1)</f>
        <v/>
      </c>
      <c r="N13170">
        <f>IF(ISERR(FIND("DECOUPE",Tableau1[[#This Row],[DESIGNATION]])),"","NEED REF")</f>
        <v/>
      </c>
    </row>
    <row r="13171">
      <c r="B13171" t="n">
        <v>34400834</v>
      </c>
      <c r="C13171" s="2" t="n">
        <v>38313</v>
      </c>
      <c r="D13171" t="inlineStr">
        <is>
          <t>SPEC</t>
        </is>
      </c>
      <c r="E13171" t="inlineStr">
        <is>
          <t>Kit filerie</t>
        </is>
      </c>
      <c r="F13171" t="inlineStr">
        <is>
          <t>STS16A</t>
        </is>
      </c>
      <c r="J13171" t="inlineStr">
        <is>
          <t>REVEL</t>
        </is>
      </c>
      <c r="L13171">
        <f>_xlfn.XLOOKUP(Tableau1[[#This Row],[TYPE DE PIECE]],Tableau4[MATIERE],Tableau4[SHORT TYPE],"",0,1)</f>
        <v/>
      </c>
      <c r="N13171">
        <f>IF(ISERR(FIND("DECOUPE",Tableau1[[#This Row],[DESIGNATION]])),"","NEED REF")</f>
        <v/>
      </c>
    </row>
    <row r="13172">
      <c r="B13172" t="n">
        <v>34400833</v>
      </c>
      <c r="C13172" s="2" t="n">
        <v>38310</v>
      </c>
      <c r="D13172" t="inlineStr">
        <is>
          <t>SPEC</t>
        </is>
      </c>
      <c r="E13172" t="inlineStr">
        <is>
          <t>Plaque arriere Pony</t>
        </is>
      </c>
      <c r="F13172" t="inlineStr">
        <is>
          <t>STS16A</t>
        </is>
      </c>
      <c r="J13172" t="inlineStr">
        <is>
          <t>REVEL</t>
        </is>
      </c>
      <c r="L13172">
        <f>_xlfn.XLOOKUP(Tableau1[[#This Row],[TYPE DE PIECE]],Tableau4[MATIERE],Tableau4[SHORT TYPE],"",0,1)</f>
        <v/>
      </c>
      <c r="N13172">
        <f>IF(ISERR(FIND("DECOUPE",Tableau1[[#This Row],[DESIGNATION]])),"","NEED REF")</f>
        <v/>
      </c>
    </row>
    <row r="13173">
      <c r="B13173" t="n">
        <v>34400832</v>
      </c>
      <c r="C13173" s="2" t="n">
        <v>38309</v>
      </c>
      <c r="D13173" t="inlineStr">
        <is>
          <t>DOC</t>
        </is>
      </c>
      <c r="E13173" t="inlineStr">
        <is>
          <t>Schéma de principe et d'implantation</t>
        </is>
      </c>
      <c r="F13173" t="inlineStr">
        <is>
          <t>FAHCD 400kVA - DEUTSCH TELECOM</t>
        </is>
      </c>
      <c r="J13173" t="inlineStr">
        <is>
          <t>FERRIER</t>
        </is>
      </c>
      <c r="L13173">
        <f>_xlfn.XLOOKUP(Tableau1[[#This Row],[TYPE DE PIECE]],Tableau4[MATIERE],Tableau4[SHORT TYPE],"",0,1)</f>
        <v/>
      </c>
      <c r="N13173">
        <f>IF(ISERR(FIND("DECOUPE",Tableau1[[#This Row],[DESIGNATION]])),"","NEED REF")</f>
        <v/>
      </c>
    </row>
    <row r="13174">
      <c r="B13174" t="n">
        <v>34400831</v>
      </c>
      <c r="C13174" s="2" t="n">
        <v>38307</v>
      </c>
      <c r="D13174" t="inlineStr">
        <is>
          <t>SPEC</t>
        </is>
      </c>
      <c r="E13174" t="inlineStr">
        <is>
          <t xml:space="preserve">PLAQUE PE </t>
        </is>
      </c>
      <c r="F13174" t="inlineStr">
        <is>
          <t>GALAXY PW</t>
        </is>
      </c>
      <c r="J13174" t="inlineStr">
        <is>
          <t>ROBERT</t>
        </is>
      </c>
      <c r="L13174">
        <f>_xlfn.XLOOKUP(Tableau1[[#This Row],[TYPE DE PIECE]],Tableau4[MATIERE],Tableau4[SHORT TYPE],"",0,1)</f>
        <v/>
      </c>
      <c r="N13174">
        <f>IF(ISERR(FIND("DECOUPE",Tableau1[[#This Row],[DESIGNATION]])),"","NEED REF")</f>
        <v/>
      </c>
    </row>
    <row r="13175">
      <c r="B13175" t="n">
        <v>34400830</v>
      </c>
      <c r="C13175" s="2" t="n">
        <v>38301</v>
      </c>
      <c r="D13175" t="inlineStr">
        <is>
          <t>SPEC</t>
        </is>
      </c>
      <c r="E13175" t="inlineStr">
        <is>
          <t>LOGO CLEANWAVE</t>
        </is>
      </c>
      <c r="F13175" t="inlineStr">
        <is>
          <t>CLEANWAVE</t>
        </is>
      </c>
      <c r="J13175" t="inlineStr">
        <is>
          <t>REVEL</t>
        </is>
      </c>
      <c r="L13175">
        <f>_xlfn.XLOOKUP(Tableau1[[#This Row],[TYPE DE PIECE]],Tableau4[MATIERE],Tableau4[SHORT TYPE],"",0,1)</f>
        <v/>
      </c>
      <c r="N13175">
        <f>IF(ISERR(FIND("DECOUPE",Tableau1[[#This Row],[DESIGNATION]])),"","NEED REF")</f>
        <v/>
      </c>
    </row>
    <row r="13176">
      <c r="B13176" t="n">
        <v>34400829</v>
      </c>
      <c r="C13176" s="2" t="n">
        <v>38301</v>
      </c>
      <c r="D13176" t="inlineStr">
        <is>
          <t>SPEC</t>
        </is>
      </c>
      <c r="E13176" t="inlineStr">
        <is>
          <t>MODIFICATIONS CELLULE CLIMATISEE</t>
        </is>
      </c>
      <c r="F13176" t="inlineStr">
        <is>
          <t>GALAXY 3000 30kVA</t>
        </is>
      </c>
      <c r="J13176" t="inlineStr">
        <is>
          <t>ROBERT</t>
        </is>
      </c>
      <c r="L13176">
        <f>_xlfn.XLOOKUP(Tableau1[[#This Row],[TYPE DE PIECE]],Tableau4[MATIERE],Tableau4[SHORT TYPE],"",0,1)</f>
        <v/>
      </c>
      <c r="N13176">
        <f>IF(ISERR(FIND("DECOUPE",Tableau1[[#This Row],[DESIGNATION]])),"","NEED REF")</f>
        <v/>
      </c>
    </row>
    <row r="13177">
      <c r="B13177" t="n">
        <v>34400828</v>
      </c>
      <c r="C13177" s="2" t="n">
        <v>38301</v>
      </c>
      <c r="D13177" t="inlineStr">
        <is>
          <t>DOC</t>
        </is>
      </c>
      <c r="E13177" t="inlineStr">
        <is>
          <t>TFO R1-R2 COMMUN INTEGRE</t>
        </is>
      </c>
      <c r="F13177" t="inlineStr">
        <is>
          <t>GALAXY PW 20 kVA</t>
        </is>
      </c>
      <c r="J13177" t="inlineStr">
        <is>
          <t>FILSER</t>
        </is>
      </c>
      <c r="L13177">
        <f>_xlfn.XLOOKUP(Tableau1[[#This Row],[TYPE DE PIECE]],Tableau4[MATIERE],Tableau4[SHORT TYPE],"",0,1)</f>
        <v/>
      </c>
      <c r="N13177">
        <f>IF(ISERR(FIND("DECOUPE",Tableau1[[#This Row],[DESIGNATION]])),"","NEED REF")</f>
        <v/>
      </c>
    </row>
    <row r="13178">
      <c r="B13178" t="n">
        <v>34400827</v>
      </c>
      <c r="C13178" s="2" t="n">
        <v>38300</v>
      </c>
      <c r="D13178" t="inlineStr">
        <is>
          <t>SPEC</t>
        </is>
      </c>
      <c r="E13178" t="inlineStr">
        <is>
          <t>TOIT CELLULE BATT DE 1000 (RACC HAUT)</t>
        </is>
      </c>
      <c r="F13178" t="inlineStr">
        <is>
          <t>SINEWAVE 120A en armoire</t>
        </is>
      </c>
      <c r="J13178" t="inlineStr">
        <is>
          <t>ROBERT</t>
        </is>
      </c>
      <c r="L13178">
        <f>_xlfn.XLOOKUP(Tableau1[[#This Row],[TYPE DE PIECE]],Tableau4[MATIERE],Tableau4[SHORT TYPE],"",0,1)</f>
        <v/>
      </c>
      <c r="N13178">
        <f>IF(ISERR(FIND("DECOUPE",Tableau1[[#This Row],[DESIGNATION]])),"","NEED REF")</f>
        <v/>
      </c>
    </row>
    <row r="13179">
      <c r="B13179" t="n">
        <v>34400826</v>
      </c>
      <c r="C13179" s="2" t="n">
        <v>38300</v>
      </c>
      <c r="D13179" t="inlineStr">
        <is>
          <t>SPEC</t>
        </is>
      </c>
      <c r="E13179" t="inlineStr">
        <is>
          <t>TOIT CELLULE DE 1000 (RACC HAUT)</t>
        </is>
      </c>
      <c r="F13179" t="inlineStr">
        <is>
          <t>BY-PASS 360kVA</t>
        </is>
      </c>
      <c r="J13179" t="inlineStr">
        <is>
          <t>ROBERT</t>
        </is>
      </c>
      <c r="L13179">
        <f>_xlfn.XLOOKUP(Tableau1[[#This Row],[TYPE DE PIECE]],Tableau4[MATIERE],Tableau4[SHORT TYPE],"",0,1)</f>
        <v/>
      </c>
      <c r="N13179">
        <f>IF(ISERR(FIND("DECOUPE",Tableau1[[#This Row],[DESIGNATION]])),"","NEED REF")</f>
        <v/>
      </c>
    </row>
    <row r="13180">
      <c r="B13180" t="n">
        <v>34400825</v>
      </c>
      <c r="C13180" s="2" t="n">
        <v>38296</v>
      </c>
      <c r="E13180" t="inlineStr">
        <is>
          <t>LG PHILIPS</t>
        </is>
      </c>
      <c r="J13180" t="inlineStr">
        <is>
          <t>ÇAKIR</t>
        </is>
      </c>
      <c r="L13180">
        <f>_xlfn.XLOOKUP(Tableau1[[#This Row],[TYPE DE PIECE]],Tableau4[MATIERE],Tableau4[SHORT TYPE],"",0,1)</f>
        <v/>
      </c>
      <c r="N13180">
        <f>IF(ISERR(FIND("DECOUPE",Tableau1[[#This Row],[DESIGNATION]])),"","NEED REF")</f>
        <v/>
      </c>
    </row>
    <row r="13181">
      <c r="B13181" t="n">
        <v>34400824</v>
      </c>
      <c r="C13181" s="2" t="n">
        <v>38296</v>
      </c>
      <c r="E13181" t="inlineStr">
        <is>
          <t>LG PHILIPS</t>
        </is>
      </c>
      <c r="J13181" t="inlineStr">
        <is>
          <t>ÇAKIR</t>
        </is>
      </c>
      <c r="L13181">
        <f>_xlfn.XLOOKUP(Tableau1[[#This Row],[TYPE DE PIECE]],Tableau4[MATIERE],Tableau4[SHORT TYPE],"",0,1)</f>
        <v/>
      </c>
      <c r="N13181">
        <f>IF(ISERR(FIND("DECOUPE",Tableau1[[#This Row],[DESIGNATION]])),"","NEED REF")</f>
        <v/>
      </c>
    </row>
    <row r="13182">
      <c r="B13182" t="n">
        <v>34400823</v>
      </c>
      <c r="C13182" s="2" t="n">
        <v>38296</v>
      </c>
      <c r="E13182" t="inlineStr">
        <is>
          <t>LG PHILIPS</t>
        </is>
      </c>
      <c r="F13182" t="inlineStr">
        <is>
          <t>GAL 400kVA</t>
        </is>
      </c>
      <c r="J13182" t="inlineStr">
        <is>
          <t>ÇAKIR</t>
        </is>
      </c>
      <c r="L13182">
        <f>_xlfn.XLOOKUP(Tableau1[[#This Row],[TYPE DE PIECE]],Tableau4[MATIERE],Tableau4[SHORT TYPE],"",0,1)</f>
        <v/>
      </c>
      <c r="N13182">
        <f>IF(ISERR(FIND("DECOUPE",Tableau1[[#This Row],[DESIGNATION]])),"","NEED REF")</f>
        <v/>
      </c>
    </row>
    <row r="13183">
      <c r="B13183" t="n">
        <v>34400822</v>
      </c>
      <c r="C13183" s="2" t="n">
        <v>38296</v>
      </c>
      <c r="D13183" t="inlineStr">
        <is>
          <t>SPEC</t>
        </is>
      </c>
      <c r="E13183" t="inlineStr">
        <is>
          <t xml:space="preserve">LOGO MGE BEI </t>
        </is>
      </c>
      <c r="F13183" t="inlineStr">
        <is>
          <t>TOUTES</t>
        </is>
      </c>
      <c r="J13183" t="inlineStr">
        <is>
          <t>ÇAKIR</t>
        </is>
      </c>
      <c r="L13183">
        <f>_xlfn.XLOOKUP(Tableau1[[#This Row],[TYPE DE PIECE]],Tableau4[MATIERE],Tableau4[SHORT TYPE],"",0,1)</f>
        <v/>
      </c>
      <c r="N13183">
        <f>IF(ISERR(FIND("DECOUPE",Tableau1[[#This Row],[DESIGNATION]])),"","NEED REF")</f>
        <v/>
      </c>
    </row>
    <row r="13184">
      <c r="B13184" t="n">
        <v>34400821</v>
      </c>
      <c r="C13184" s="2" t="n">
        <v>38296</v>
      </c>
      <c r="D13184" t="inlineStr">
        <is>
          <t>NOM</t>
        </is>
      </c>
      <c r="E13184" t="inlineStr">
        <is>
          <t>NOM DOC KIT CAPOT DECOUPE  VAGUE GALAXY LG PHILIPS</t>
        </is>
      </c>
      <c r="F13184" t="inlineStr">
        <is>
          <t>GAL 400kVA</t>
        </is>
      </c>
      <c r="J13184" t="inlineStr">
        <is>
          <t>ÇAKIR</t>
        </is>
      </c>
      <c r="L13184">
        <f>_xlfn.XLOOKUP(Tableau1[[#This Row],[TYPE DE PIECE]],Tableau4[MATIERE],Tableau4[SHORT TYPE],"",0,1)</f>
        <v/>
      </c>
      <c r="N13184">
        <f>IF(ISERR(FIND("DECOUPE",Tableau1[[#This Row],[DESIGNATION]])),"","NEED REF")</f>
        <v/>
      </c>
    </row>
    <row r="13185">
      <c r="B13185" t="n">
        <v>34400820</v>
      </c>
      <c r="C13185" s="2" t="n">
        <v>38289</v>
      </c>
      <c r="D13185" t="inlineStr">
        <is>
          <t>SPEC</t>
        </is>
      </c>
      <c r="E13185" t="inlineStr">
        <is>
          <t>PORTES ARR TRANSPARENTES GAL GAINE 1600</t>
        </is>
      </c>
      <c r="F13185" t="inlineStr">
        <is>
          <t>GAL 400kVA</t>
        </is>
      </c>
      <c r="J13185" t="inlineStr">
        <is>
          <t>ÇAKIR</t>
        </is>
      </c>
      <c r="L13185">
        <f>_xlfn.XLOOKUP(Tableau1[[#This Row],[TYPE DE PIECE]],Tableau4[MATIERE],Tableau4[SHORT TYPE],"",0,1)</f>
        <v/>
      </c>
      <c r="N13185">
        <f>IF(ISERR(FIND("DECOUPE",Tableau1[[#This Row],[DESIGNATION]])),"","NEED REF")</f>
        <v/>
      </c>
    </row>
    <row r="13186">
      <c r="B13186" t="n">
        <v>34400819</v>
      </c>
      <c r="C13186" s="2" t="n">
        <v>38289</v>
      </c>
      <c r="D13186" t="inlineStr">
        <is>
          <t>SPEC</t>
        </is>
      </c>
      <c r="E13186" t="inlineStr">
        <is>
          <t>PLANCHE SUPERIEUR (PATIN)</t>
        </is>
      </c>
      <c r="F13186" t="inlineStr">
        <is>
          <t>GALAXY</t>
        </is>
      </c>
      <c r="J13186" t="inlineStr">
        <is>
          <t>ÇAKIR</t>
        </is>
      </c>
      <c r="L13186">
        <f>_xlfn.XLOOKUP(Tableau1[[#This Row],[TYPE DE PIECE]],Tableau4[MATIERE],Tableau4[SHORT TYPE],"",0,1)</f>
        <v/>
      </c>
      <c r="N13186">
        <f>IF(ISERR(FIND("DECOUPE",Tableau1[[#This Row],[DESIGNATION]])),"","NEED REF")</f>
        <v/>
      </c>
    </row>
    <row r="13187">
      <c r="B13187" t="n">
        <v>34400818</v>
      </c>
      <c r="C13187" s="2" t="n">
        <v>38289</v>
      </c>
      <c r="D13187" t="inlineStr">
        <is>
          <t>SPEC</t>
        </is>
      </c>
      <c r="E13187" t="inlineStr">
        <is>
          <t>PATIN ASSEMBLE</t>
        </is>
      </c>
      <c r="F13187" t="inlineStr">
        <is>
          <t>GALAXY</t>
        </is>
      </c>
      <c r="J13187" t="inlineStr">
        <is>
          <t>ÇAKIR</t>
        </is>
      </c>
      <c r="L13187">
        <f>_xlfn.XLOOKUP(Tableau1[[#This Row],[TYPE DE PIECE]],Tableau4[MATIERE],Tableau4[SHORT TYPE],"",0,1)</f>
        <v/>
      </c>
      <c r="N13187">
        <f>IF(ISERR(FIND("DECOUPE",Tableau1[[#This Row],[DESIGNATION]])),"","NEED REF")</f>
        <v/>
      </c>
    </row>
    <row r="13188">
      <c r="B13188" t="n">
        <v>34400817</v>
      </c>
      <c r="C13188" s="2" t="n">
        <v>38289</v>
      </c>
      <c r="D13188" t="inlineStr">
        <is>
          <t>CDC</t>
        </is>
      </c>
      <c r="E13188" t="inlineStr">
        <is>
          <t>CDC ARMOIRE BATTERIE</t>
        </is>
      </c>
      <c r="F13188" t="inlineStr">
        <is>
          <t>GALAXY 3000 30kVA</t>
        </is>
      </c>
      <c r="J13188" t="inlineStr">
        <is>
          <t>FILSER</t>
        </is>
      </c>
      <c r="L13188">
        <f>_xlfn.XLOOKUP(Tableau1[[#This Row],[TYPE DE PIECE]],Tableau4[MATIERE],Tableau4[SHORT TYPE],"",0,1)</f>
        <v/>
      </c>
      <c r="N13188">
        <f>IF(ISERR(FIND("DECOUPE",Tableau1[[#This Row],[DESIGNATION]])),"","NEED REF")</f>
        <v/>
      </c>
    </row>
    <row r="13189">
      <c r="B13189" t="n">
        <v>34400816</v>
      </c>
      <c r="C13189" s="2" t="n">
        <v>38288</v>
      </c>
      <c r="D13189" t="inlineStr">
        <is>
          <t>CDC</t>
        </is>
      </c>
      <c r="E13189" t="inlineStr">
        <is>
          <t>CDC ARMOIRE BATTERIE</t>
        </is>
      </c>
      <c r="F13189" t="inlineStr">
        <is>
          <t>PW 60KVA</t>
        </is>
      </c>
      <c r="J13189" t="inlineStr">
        <is>
          <t>FILSER</t>
        </is>
      </c>
      <c r="L13189">
        <f>_xlfn.XLOOKUP(Tableau1[[#This Row],[TYPE DE PIECE]],Tableau4[MATIERE],Tableau4[SHORT TYPE],"",0,1)</f>
        <v/>
      </c>
      <c r="N13189">
        <f>IF(ISERR(FIND("DECOUPE",Tableau1[[#This Row],[DESIGNATION]])),"","NEED REF")</f>
        <v/>
      </c>
    </row>
    <row r="13190">
      <c r="B13190" t="n">
        <v>34400815</v>
      </c>
      <c r="C13190" s="2" t="n">
        <v>38287</v>
      </c>
      <c r="D13190" t="inlineStr">
        <is>
          <t>CDC</t>
        </is>
      </c>
      <c r="E13190" t="inlineStr">
        <is>
          <t>CDC THMPWM avec TFO R2 80kVA intégré</t>
        </is>
      </c>
      <c r="F13190" t="inlineStr">
        <is>
          <t>INEO Ministère de la défense</t>
        </is>
      </c>
      <c r="J13190" t="inlineStr">
        <is>
          <t>FERRIER</t>
        </is>
      </c>
      <c r="L13190">
        <f>_xlfn.XLOOKUP(Tableau1[[#This Row],[TYPE DE PIECE]],Tableau4[MATIERE],Tableau4[SHORT TYPE],"",0,1)</f>
        <v/>
      </c>
      <c r="N13190">
        <f>IF(ISERR(FIND("DECOUPE",Tableau1[[#This Row],[DESIGNATION]])),"","NEED REF")</f>
        <v/>
      </c>
    </row>
    <row r="13191">
      <c r="B13191" t="n">
        <v>34400814</v>
      </c>
      <c r="C13191" s="2" t="n">
        <v>38287</v>
      </c>
      <c r="D13191" t="inlineStr">
        <is>
          <t>CDC</t>
        </is>
      </c>
      <c r="E13191" t="inlineStr">
        <is>
          <t xml:space="preserve">CDC PMM </t>
        </is>
      </c>
      <c r="F13191" t="inlineStr">
        <is>
          <t>MGE SUISSE</t>
        </is>
      </c>
      <c r="J13191" t="inlineStr">
        <is>
          <t>FERRIER</t>
        </is>
      </c>
      <c r="L13191">
        <f>_xlfn.XLOOKUP(Tableau1[[#This Row],[TYPE DE PIECE]],Tableau4[MATIERE],Tableau4[SHORT TYPE],"",0,1)</f>
        <v/>
      </c>
      <c r="N13191">
        <f>IF(ISERR(FIND("DECOUPE",Tableau1[[#This Row],[DESIGNATION]])),"","NEED REF")</f>
        <v/>
      </c>
    </row>
    <row r="13192">
      <c r="B13192" t="n">
        <v>34400813</v>
      </c>
      <c r="C13192" s="2" t="n">
        <v>38286</v>
      </c>
      <c r="D13192" t="inlineStr">
        <is>
          <t>NOM</t>
        </is>
      </c>
      <c r="E13192" t="inlineStr">
        <is>
          <t>LG ALIM POUR NW20DC DANS ASI</t>
        </is>
      </c>
      <c r="F13192" t="inlineStr">
        <is>
          <t>GALAXY 800kVA</t>
        </is>
      </c>
      <c r="J13192" t="inlineStr">
        <is>
          <t>FOLTZ</t>
        </is>
      </c>
      <c r="L13192">
        <f>_xlfn.XLOOKUP(Tableau1[[#This Row],[TYPE DE PIECE]],Tableau4[MATIERE],Tableau4[SHORT TYPE],"",0,1)</f>
        <v/>
      </c>
      <c r="N13192">
        <f>IF(ISERR(FIND("DECOUPE",Tableau1[[#This Row],[DESIGNATION]])),"","NEED REF")</f>
        <v/>
      </c>
    </row>
    <row r="13193">
      <c r="B13193" t="n">
        <v>34400812</v>
      </c>
      <c r="C13193" s="2" t="n">
        <v>38286</v>
      </c>
      <c r="D13193" t="inlineStr">
        <is>
          <t>NOM</t>
        </is>
      </c>
      <c r="E13193" t="inlineStr">
        <is>
          <t xml:space="preserve">LG peinture à commission </t>
        </is>
      </c>
      <c r="F13193" t="inlineStr">
        <is>
          <t>Galaxy PW Harmony 40/60</t>
        </is>
      </c>
      <c r="J13193" t="inlineStr">
        <is>
          <t>REVEL</t>
        </is>
      </c>
      <c r="L13193">
        <f>_xlfn.XLOOKUP(Tableau1[[#This Row],[TYPE DE PIECE]],Tableau4[MATIERE],Tableau4[SHORT TYPE],"",0,1)</f>
        <v/>
      </c>
      <c r="N13193">
        <f>IF(ISERR(FIND("DECOUPE",Tableau1[[#This Row],[DESIGNATION]])),"","NEED REF")</f>
        <v/>
      </c>
    </row>
    <row r="13194">
      <c r="B13194" t="n">
        <v>34400811</v>
      </c>
      <c r="C13194" s="2" t="n">
        <v>38280</v>
      </c>
      <c r="D13194" t="inlineStr">
        <is>
          <t>CDC</t>
        </is>
      </c>
      <c r="E13194" t="inlineStr">
        <is>
          <t xml:space="preserve">CDC PMM </t>
        </is>
      </c>
      <c r="F13194" t="inlineStr">
        <is>
          <t>GCSS ADIA</t>
        </is>
      </c>
      <c r="J13194" t="inlineStr">
        <is>
          <t>FERRIER</t>
        </is>
      </c>
      <c r="L13194">
        <f>_xlfn.XLOOKUP(Tableau1[[#This Row],[TYPE DE PIECE]],Tableau4[MATIERE],Tableau4[SHORT TYPE],"",0,1)</f>
        <v/>
      </c>
      <c r="N13194">
        <f>IF(ISERR(FIND("DECOUPE",Tableau1[[#This Row],[DESIGNATION]])),"","NEED REF")</f>
        <v/>
      </c>
    </row>
    <row r="13195">
      <c r="B13195" t="n">
        <v>34400810</v>
      </c>
      <c r="C13195" s="2" t="n">
        <v>38280</v>
      </c>
      <c r="D13195" t="inlineStr">
        <is>
          <t>SPEC</t>
        </is>
      </c>
      <c r="E13195" t="inlineStr">
        <is>
          <t>PLAQUE d'ACCOUPLEMENT ARMOIRE</t>
        </is>
      </c>
      <c r="F13195" t="inlineStr">
        <is>
          <t xml:space="preserve">GALAXY </t>
        </is>
      </c>
      <c r="J13195" t="inlineStr">
        <is>
          <t>ÇAKIR</t>
        </is>
      </c>
      <c r="L13195">
        <f>_xlfn.XLOOKUP(Tableau1[[#This Row],[TYPE DE PIECE]],Tableau4[MATIERE],Tableau4[SHORT TYPE],"",0,1)</f>
        <v/>
      </c>
      <c r="N13195">
        <f>IF(ISERR(FIND("DECOUPE",Tableau1[[#This Row],[DESIGNATION]])),"","NEED REF")</f>
        <v/>
      </c>
    </row>
    <row r="13196">
      <c r="B13196" t="n">
        <v>34400809</v>
      </c>
      <c r="C13196" s="2" t="n">
        <v>38280</v>
      </c>
      <c r="D13196" t="inlineStr">
        <is>
          <t>NOM</t>
        </is>
      </c>
      <c r="E13196" t="inlineStr">
        <is>
          <t>LG GAINE ARRIERE 1000x400x1900</t>
        </is>
      </c>
      <c r="F13196" t="inlineStr">
        <is>
          <t>GAL 400kVA</t>
        </is>
      </c>
      <c r="J13196" t="inlineStr">
        <is>
          <t>ÇAKIR</t>
        </is>
      </c>
      <c r="L13196">
        <f>_xlfn.XLOOKUP(Tableau1[[#This Row],[TYPE DE PIECE]],Tableau4[MATIERE],Tableau4[SHORT TYPE],"",0,1)</f>
        <v/>
      </c>
      <c r="N13196">
        <f>IF(ISERR(FIND("DECOUPE",Tableau1[[#This Row],[DESIGNATION]])),"","NEED REF")</f>
        <v/>
      </c>
    </row>
    <row r="13197">
      <c r="B13197" t="n">
        <v>34400808</v>
      </c>
      <c r="C13197" s="2" t="n">
        <v>38280</v>
      </c>
      <c r="D13197" t="inlineStr">
        <is>
          <t>NOM</t>
        </is>
      </c>
      <c r="E13197" t="inlineStr">
        <is>
          <t>LG GAINE ARRIERE 1200x400x1900</t>
        </is>
      </c>
      <c r="F13197" t="inlineStr">
        <is>
          <t>GAL 400kVA</t>
        </is>
      </c>
      <c r="J13197" t="inlineStr">
        <is>
          <t>ÇAKIR</t>
        </is>
      </c>
      <c r="L13197">
        <f>_xlfn.XLOOKUP(Tableau1[[#This Row],[TYPE DE PIECE]],Tableau4[MATIERE],Tableau4[SHORT TYPE],"",0,1)</f>
        <v/>
      </c>
      <c r="N13197">
        <f>IF(ISERR(FIND("DECOUPE",Tableau1[[#This Row],[DESIGNATION]])),"","NEED REF")</f>
        <v/>
      </c>
    </row>
    <row r="13198">
      <c r="B13198" t="n">
        <v>34400807</v>
      </c>
      <c r="C13198" s="2" t="n">
        <v>38280</v>
      </c>
      <c r="D13198" t="inlineStr">
        <is>
          <t>SPEC</t>
        </is>
      </c>
      <c r="E13198" t="inlineStr">
        <is>
          <t>PANNEAU GAUCHE 410</t>
        </is>
      </c>
      <c r="F13198" t="inlineStr">
        <is>
          <t>GAINE 1600 -1200 - 1000x400</t>
        </is>
      </c>
      <c r="J13198" t="inlineStr">
        <is>
          <t>ÇAKIR</t>
        </is>
      </c>
      <c r="L13198">
        <f>_xlfn.XLOOKUP(Tableau1[[#This Row],[TYPE DE PIECE]],Tableau4[MATIERE],Tableau4[SHORT TYPE],"",0,1)</f>
        <v/>
      </c>
      <c r="N13198">
        <f>IF(ISERR(FIND("DECOUPE",Tableau1[[#This Row],[DESIGNATION]])),"","NEED REF")</f>
        <v/>
      </c>
    </row>
    <row r="13199">
      <c r="B13199" t="n">
        <v>34400806</v>
      </c>
      <c r="C13199" s="2" t="n">
        <v>38280</v>
      </c>
      <c r="D13199" t="inlineStr">
        <is>
          <t>SPEC</t>
        </is>
      </c>
      <c r="E13199" t="inlineStr">
        <is>
          <t>PANNEAU DROIT 410</t>
        </is>
      </c>
      <c r="F13199" t="inlineStr">
        <is>
          <t>GAINE 1600 -1200 - 1000x400</t>
        </is>
      </c>
      <c r="J13199" t="inlineStr">
        <is>
          <t>ÇAKIR</t>
        </is>
      </c>
      <c r="L13199">
        <f>_xlfn.XLOOKUP(Tableau1[[#This Row],[TYPE DE PIECE]],Tableau4[MATIERE],Tableau4[SHORT TYPE],"",0,1)</f>
        <v/>
      </c>
      <c r="N13199">
        <f>IF(ISERR(FIND("DECOUPE",Tableau1[[#This Row],[DESIGNATION]])),"","NEED REF")</f>
        <v/>
      </c>
    </row>
    <row r="13200">
      <c r="B13200" t="n">
        <v>34400805</v>
      </c>
      <c r="C13200" s="2" t="n">
        <v>38280</v>
      </c>
      <c r="D13200" t="inlineStr">
        <is>
          <t>CDC</t>
        </is>
      </c>
      <c r="E13200" t="inlineStr">
        <is>
          <t>NS BI-TROUS avec GAINE ARRIERE</t>
        </is>
      </c>
      <c r="F13200" t="inlineStr">
        <is>
          <t>NS500-800-1200-2000</t>
        </is>
      </c>
      <c r="J13200" t="inlineStr">
        <is>
          <t>ÇAKIR</t>
        </is>
      </c>
      <c r="L13200">
        <f>_xlfn.XLOOKUP(Tableau1[[#This Row],[TYPE DE PIECE]],Tableau4[MATIERE],Tableau4[SHORT TYPE],"",0,1)</f>
        <v/>
      </c>
      <c r="N13200">
        <f>IF(ISERR(FIND("DECOUPE",Tableau1[[#This Row],[DESIGNATION]])),"","NEED REF")</f>
        <v/>
      </c>
    </row>
    <row r="13201">
      <c r="B13201" t="n">
        <v>34400804</v>
      </c>
      <c r="C13201" s="2" t="n">
        <v>38280</v>
      </c>
      <c r="D13201" t="inlineStr">
        <is>
          <t>CDC</t>
        </is>
      </c>
      <c r="E13201" t="inlineStr">
        <is>
          <t>GALAXY 400kVA avec GAINE ARRIERE</t>
        </is>
      </c>
      <c r="F13201" t="inlineStr">
        <is>
          <t>GAL 400kVA</t>
        </is>
      </c>
      <c r="J13201" t="inlineStr">
        <is>
          <t>ÇAKIR</t>
        </is>
      </c>
      <c r="L13201">
        <f>_xlfn.XLOOKUP(Tableau1[[#This Row],[TYPE DE PIECE]],Tableau4[MATIERE],Tableau4[SHORT TYPE],"",0,1)</f>
        <v/>
      </c>
      <c r="N13201">
        <f>IF(ISERR(FIND("DECOUPE",Tableau1[[#This Row],[DESIGNATION]])),"","NEED REF")</f>
        <v/>
      </c>
    </row>
    <row r="13202">
      <c r="B13202" t="n">
        <v>34400803</v>
      </c>
      <c r="C13202" s="2" t="n">
        <v>38280</v>
      </c>
      <c r="D13202" t="inlineStr">
        <is>
          <t>CDC</t>
        </is>
      </c>
      <c r="E13202" t="inlineStr">
        <is>
          <t>Skid pour Galaxy PW 40kva</t>
        </is>
      </c>
      <c r="F13202" t="inlineStr">
        <is>
          <t>PW 40kVA</t>
        </is>
      </c>
      <c r="J13202" t="inlineStr">
        <is>
          <t>REVEL</t>
        </is>
      </c>
      <c r="L13202">
        <f>_xlfn.XLOOKUP(Tableau1[[#This Row],[TYPE DE PIECE]],Tableau4[MATIERE],Tableau4[SHORT TYPE],"",0,1)</f>
        <v/>
      </c>
      <c r="N13202">
        <f>IF(ISERR(FIND("DECOUPE",Tableau1[[#This Row],[DESIGNATION]])),"","NEED REF")</f>
        <v/>
      </c>
    </row>
    <row r="13203">
      <c r="B13203" t="n">
        <v>34400802</v>
      </c>
      <c r="C13203" s="2" t="n">
        <v>38279</v>
      </c>
      <c r="D13203" t="inlineStr">
        <is>
          <t>NOM</t>
        </is>
      </c>
      <c r="E13203" t="inlineStr">
        <is>
          <t>LG COUPLAGE BATT 20-30kVA HAUT PW</t>
        </is>
      </c>
      <c r="F13203" t="inlineStr">
        <is>
          <t>PW 20-30kVA</t>
        </is>
      </c>
      <c r="J13203" t="inlineStr">
        <is>
          <t>FOLTZ</t>
        </is>
      </c>
      <c r="L13203">
        <f>_xlfn.XLOOKUP(Tableau1[[#This Row],[TYPE DE PIECE]],Tableau4[MATIERE],Tableau4[SHORT TYPE],"",0,1)</f>
        <v/>
      </c>
      <c r="N13203">
        <f>IF(ISERR(FIND("DECOUPE",Tableau1[[#This Row],[DESIGNATION]])),"","NEED REF")</f>
        <v/>
      </c>
    </row>
    <row r="13204">
      <c r="B13204" t="n">
        <v>34400801</v>
      </c>
      <c r="C13204" s="2" t="n">
        <v>38278</v>
      </c>
      <c r="D13204" t="inlineStr">
        <is>
          <t>NOM</t>
        </is>
      </c>
      <c r="E13204" t="inlineStr">
        <is>
          <t>BY-PASS TETRA/MONO 91A COMET S31</t>
        </is>
      </c>
      <c r="F13204" t="inlineStr">
        <is>
          <t>COMET 20S31</t>
        </is>
      </c>
      <c r="J13204" t="inlineStr">
        <is>
          <t>FOLTZ</t>
        </is>
      </c>
      <c r="L13204">
        <f>_xlfn.XLOOKUP(Tableau1[[#This Row],[TYPE DE PIECE]],Tableau4[MATIERE],Tableau4[SHORT TYPE],"",0,1)</f>
        <v/>
      </c>
      <c r="N13204">
        <f>IF(ISERR(FIND("DECOUPE",Tableau1[[#This Row],[DESIGNATION]])),"","NEED REF")</f>
        <v/>
      </c>
    </row>
    <row r="13205">
      <c r="B13205" t="n">
        <v>34400800</v>
      </c>
      <c r="C13205" s="2" t="n">
        <v>38271</v>
      </c>
      <c r="D13205" t="inlineStr">
        <is>
          <t>CDC</t>
        </is>
      </c>
      <c r="E13205" t="inlineStr">
        <is>
          <t>ARMOIRE BATTERIE A TIROIR COULISSANT (glissière)</t>
        </is>
      </c>
      <c r="F13205" t="inlineStr">
        <is>
          <t>PW 715x1900</t>
        </is>
      </c>
      <c r="J13205" t="inlineStr">
        <is>
          <t>FERRIER</t>
        </is>
      </c>
      <c r="L13205">
        <f>_xlfn.XLOOKUP(Tableau1[[#This Row],[TYPE DE PIECE]],Tableau4[MATIERE],Tableau4[SHORT TYPE],"",0,1)</f>
        <v/>
      </c>
      <c r="N13205">
        <f>IF(ISERR(FIND("DECOUPE",Tableau1[[#This Row],[DESIGNATION]])),"","NEED REF")</f>
        <v/>
      </c>
    </row>
    <row r="13206">
      <c r="B13206" t="n">
        <v>34400799</v>
      </c>
      <c r="C13206" s="2" t="n">
        <v>38267</v>
      </c>
      <c r="D13206" t="inlineStr">
        <is>
          <t>SPEC</t>
        </is>
      </c>
      <c r="E13206" t="inlineStr">
        <is>
          <t>CAILLEBOTIS ARMOIRE CLIMATISEE</t>
        </is>
      </c>
      <c r="F13206" t="inlineStr">
        <is>
          <t>COMET S31 10kva</t>
        </is>
      </c>
      <c r="J13206" t="inlineStr">
        <is>
          <t>ROBERT</t>
        </is>
      </c>
      <c r="L13206">
        <f>_xlfn.XLOOKUP(Tableau1[[#This Row],[TYPE DE PIECE]],Tableau4[MATIERE],Tableau4[SHORT TYPE],"",0,1)</f>
        <v/>
      </c>
      <c r="N13206">
        <f>IF(ISERR(FIND("DECOUPE",Tableau1[[#This Row],[DESIGNATION]])),"","NEED REF")</f>
        <v/>
      </c>
    </row>
    <row r="13207">
      <c r="B13207" t="n">
        <v>34400798</v>
      </c>
      <c r="C13207" s="2" t="n">
        <v>38265</v>
      </c>
      <c r="D13207" t="inlineStr">
        <is>
          <t>NOM</t>
        </is>
      </c>
      <c r="E13207" t="inlineStr">
        <is>
          <t>LG IP 32 GALAXY 160 A 400KVA</t>
        </is>
      </c>
      <c r="F13207" t="inlineStr">
        <is>
          <t>GALAXY 160 A 400KVA</t>
        </is>
      </c>
      <c r="J13207" t="inlineStr">
        <is>
          <t>REVEL</t>
        </is>
      </c>
      <c r="L13207">
        <f>_xlfn.XLOOKUP(Tableau1[[#This Row],[TYPE DE PIECE]],Tableau4[MATIERE],Tableau4[SHORT TYPE],"",0,1)</f>
        <v/>
      </c>
      <c r="N13207">
        <f>IF(ISERR(FIND("DECOUPE",Tableau1[[#This Row],[DESIGNATION]])),"","NEED REF")</f>
        <v/>
      </c>
    </row>
    <row r="13208">
      <c r="B13208" t="n">
        <v>34400797</v>
      </c>
      <c r="C13208" s="2" t="n">
        <v>38264</v>
      </c>
      <c r="D13208" t="inlineStr">
        <is>
          <t>SPEC</t>
        </is>
      </c>
      <c r="E13208" t="inlineStr">
        <is>
          <t>CABLES INTERCONNEXION CELLULE</t>
        </is>
      </c>
      <c r="F13208" t="inlineStr">
        <is>
          <t>PW 1000 40kVA</t>
        </is>
      </c>
      <c r="J13208" t="inlineStr">
        <is>
          <t>ROBERT</t>
        </is>
      </c>
      <c r="L13208">
        <f>_xlfn.XLOOKUP(Tableau1[[#This Row],[TYPE DE PIECE]],Tableau4[MATIERE],Tableau4[SHORT TYPE],"",0,1)</f>
        <v/>
      </c>
      <c r="N13208">
        <f>IF(ISERR(FIND("DECOUPE",Tableau1[[#This Row],[DESIGNATION]])),"","NEED REF")</f>
        <v/>
      </c>
    </row>
    <row r="13209">
      <c r="B13209" t="n">
        <v>34400796</v>
      </c>
      <c r="C13209" s="2" t="n">
        <v>38265</v>
      </c>
      <c r="D13209" t="inlineStr">
        <is>
          <t>NOM</t>
        </is>
      </c>
      <c r="E13209" t="inlineStr">
        <is>
          <t>MEPC 2 DIODES +CONTACTEUR</t>
        </is>
      </c>
      <c r="F13209" t="inlineStr">
        <is>
          <t>PW MAXI 80kVA</t>
        </is>
      </c>
      <c r="J13209" t="inlineStr">
        <is>
          <t>FOLTZ</t>
        </is>
      </c>
      <c r="L13209">
        <f>_xlfn.XLOOKUP(Tableau1[[#This Row],[TYPE DE PIECE]],Tableau4[MATIERE],Tableau4[SHORT TYPE],"",0,1)</f>
        <v/>
      </c>
      <c r="N13209">
        <f>IF(ISERR(FIND("DECOUPE",Tableau1[[#This Row],[DESIGNATION]])),"","NEED REF")</f>
        <v/>
      </c>
    </row>
    <row r="13210">
      <c r="B13210" t="n">
        <v>34400795</v>
      </c>
      <c r="C13210" s="2" t="n">
        <v>38264</v>
      </c>
      <c r="D13210" t="inlineStr">
        <is>
          <t>SPEC</t>
        </is>
      </c>
      <c r="E13210" t="inlineStr">
        <is>
          <t>TOIT pour montage porte à l'arrière</t>
        </is>
      </c>
      <c r="F13210" t="inlineStr">
        <is>
          <t>Armoire batterie 1015x1900 PW CEGELEC</t>
        </is>
      </c>
      <c r="J13210" t="inlineStr">
        <is>
          <t>FERRIER</t>
        </is>
      </c>
      <c r="L13210">
        <f>_xlfn.XLOOKUP(Tableau1[[#This Row],[TYPE DE PIECE]],Tableau4[MATIERE],Tableau4[SHORT TYPE],"",0,1)</f>
        <v/>
      </c>
      <c r="N13210">
        <f>IF(ISERR(FIND("DECOUPE",Tableau1[[#This Row],[DESIGNATION]])),"","NEED REF")</f>
        <v/>
      </c>
    </row>
    <row r="13211">
      <c r="B13211" t="n">
        <v>34400794</v>
      </c>
      <c r="C13211" s="2" t="n">
        <v>38261</v>
      </c>
      <c r="D13211" t="inlineStr">
        <is>
          <t>NOM</t>
        </is>
      </c>
      <c r="E13211" t="inlineStr">
        <is>
          <t>LG GAINE ARRIERE 1600x400x1900</t>
        </is>
      </c>
      <c r="F13211" t="inlineStr">
        <is>
          <t>GAL 400kVA</t>
        </is>
      </c>
      <c r="J13211" t="inlineStr">
        <is>
          <t>ÇAKIR</t>
        </is>
      </c>
      <c r="L13211">
        <f>_xlfn.XLOOKUP(Tableau1[[#This Row],[TYPE DE PIECE]],Tableau4[MATIERE],Tableau4[SHORT TYPE],"",0,1)</f>
        <v/>
      </c>
      <c r="N13211">
        <f>IF(ISERR(FIND("DECOUPE",Tableau1[[#This Row],[DESIGNATION]])),"","NEED REF")</f>
        <v/>
      </c>
    </row>
    <row r="13212">
      <c r="B13212" t="n">
        <v>34400793</v>
      </c>
      <c r="C13212" s="2" t="n">
        <v>38261</v>
      </c>
      <c r="D13212" t="inlineStr">
        <is>
          <t>CDC</t>
        </is>
      </c>
      <c r="E13212" t="inlineStr">
        <is>
          <t>Pseudo NS avec raccordement Canalis</t>
        </is>
      </c>
      <c r="F13212" t="inlineStr">
        <is>
          <t>ARM AUX L=1000 GALAXY</t>
        </is>
      </c>
      <c r="J13212" t="inlineStr">
        <is>
          <t>REVEL</t>
        </is>
      </c>
      <c r="L13212">
        <f>_xlfn.XLOOKUP(Tableau1[[#This Row],[TYPE DE PIECE]],Tableau4[MATIERE],Tableau4[SHORT TYPE],"",0,1)</f>
        <v/>
      </c>
      <c r="N13212">
        <f>IF(ISERR(FIND("DECOUPE",Tableau1[[#This Row],[DESIGNATION]])),"","NEED REF")</f>
        <v/>
      </c>
    </row>
    <row r="13213">
      <c r="B13213" t="n">
        <v>34400792</v>
      </c>
      <c r="C13213" s="2" t="n">
        <v>38261</v>
      </c>
      <c r="D13213" t="inlineStr">
        <is>
          <t>SPEC</t>
        </is>
      </c>
      <c r="E13213" t="inlineStr">
        <is>
          <t>Toit pour raccordement Canalis</t>
        </is>
      </c>
      <c r="F13213" t="inlineStr">
        <is>
          <t>ARM AUX L=1000 GALAXY</t>
        </is>
      </c>
      <c r="J13213" t="inlineStr">
        <is>
          <t>REVEL</t>
        </is>
      </c>
      <c r="L13213">
        <f>_xlfn.XLOOKUP(Tableau1[[#This Row],[TYPE DE PIECE]],Tableau4[MATIERE],Tableau4[SHORT TYPE],"",0,1)</f>
        <v/>
      </c>
      <c r="N13213">
        <f>IF(ISERR(FIND("DECOUPE",Tableau1[[#This Row],[DESIGNATION]])),"","NEED REF")</f>
        <v/>
      </c>
    </row>
    <row r="13214">
      <c r="B13214" t="n">
        <v>34400791</v>
      </c>
      <c r="C13214" s="2" t="n">
        <v>38260</v>
      </c>
      <c r="D13214" t="inlineStr">
        <is>
          <t>CDC</t>
        </is>
      </c>
      <c r="E13214" t="inlineStr">
        <is>
          <t>ARM CLIM+S31 10kVA+BATT</t>
        </is>
      </c>
      <c r="F13214" t="inlineStr">
        <is>
          <t>COMET S31 10kVA</t>
        </is>
      </c>
      <c r="J13214" t="inlineStr">
        <is>
          <t>ROBERT</t>
        </is>
      </c>
      <c r="L13214">
        <f>_xlfn.XLOOKUP(Tableau1[[#This Row],[TYPE DE PIECE]],Tableau4[MATIERE],Tableau4[SHORT TYPE],"",0,1)</f>
        <v/>
      </c>
      <c r="N13214">
        <f>IF(ISERR(FIND("DECOUPE",Tableau1[[#This Row],[DESIGNATION]])),"","NEED REF")</f>
        <v/>
      </c>
    </row>
    <row r="13215">
      <c r="B13215" t="n">
        <v>34400790</v>
      </c>
      <c r="C13215" s="2" t="n">
        <v>38259</v>
      </c>
      <c r="D13215" t="inlineStr">
        <is>
          <t>SPEC</t>
        </is>
      </c>
      <c r="E13215" t="inlineStr">
        <is>
          <t>ATFO PHASE SHIFTING 400V 400kVA +20/+30</t>
        </is>
      </c>
      <c r="F13215" t="inlineStr">
        <is>
          <t>GAL 400kVA</t>
        </is>
      </c>
      <c r="J13215" t="inlineStr">
        <is>
          <t>ÇAKIR</t>
        </is>
      </c>
      <c r="L13215">
        <f>_xlfn.XLOOKUP(Tableau1[[#This Row],[TYPE DE PIECE]],Tableau4[MATIERE],Tableau4[SHORT TYPE],"",0,1)</f>
        <v/>
      </c>
      <c r="N13215">
        <f>IF(ISERR(FIND("DECOUPE",Tableau1[[#This Row],[DESIGNATION]])),"","NEED REF")</f>
        <v/>
      </c>
    </row>
    <row r="13216">
      <c r="B13216" t="n">
        <v>34400789</v>
      </c>
      <c r="C13216" s="2" t="n">
        <v>38259</v>
      </c>
      <c r="D13216" t="inlineStr">
        <is>
          <t>CDC</t>
        </is>
      </c>
      <c r="E13216" t="inlineStr">
        <is>
          <t>Carte signalisation decharge profonde</t>
        </is>
      </c>
      <c r="F13216" t="inlineStr">
        <is>
          <t>Comet EXRT ecl, securite</t>
        </is>
      </c>
      <c r="J13216" t="inlineStr">
        <is>
          <t>REVEL</t>
        </is>
      </c>
      <c r="L13216">
        <f>_xlfn.XLOOKUP(Tableau1[[#This Row],[TYPE DE PIECE]],Tableau4[MATIERE],Tableau4[SHORT TYPE],"",0,1)</f>
        <v/>
      </c>
      <c r="N13216">
        <f>IF(ISERR(FIND("DECOUPE",Tableau1[[#This Row],[DESIGNATION]])),"","NEED REF")</f>
        <v/>
      </c>
    </row>
    <row r="13217">
      <c r="B13217" t="n">
        <v>34400788</v>
      </c>
      <c r="C13217" s="2" t="n">
        <v>38257</v>
      </c>
      <c r="D13217" t="inlineStr">
        <is>
          <t>NOM</t>
        </is>
      </c>
      <c r="E13217" t="inlineStr">
        <is>
          <t>LG kit bornes pour STS16A en baie/armoire</t>
        </is>
      </c>
      <c r="F13217" t="inlineStr">
        <is>
          <t>STS16 MARINE</t>
        </is>
      </c>
      <c r="J13217" t="inlineStr">
        <is>
          <t>REVEL</t>
        </is>
      </c>
      <c r="L13217">
        <f>_xlfn.XLOOKUP(Tableau1[[#This Row],[TYPE DE PIECE]],Tableau4[MATIERE],Tableau4[SHORT TYPE],"",0,1)</f>
        <v/>
      </c>
      <c r="N13217">
        <f>IF(ISERR(FIND("DECOUPE",Tableau1[[#This Row],[DESIGNATION]])),"","NEED REF")</f>
        <v/>
      </c>
    </row>
    <row r="13218">
      <c r="B13218" t="n">
        <v>34400787</v>
      </c>
      <c r="C13218" s="2" t="n">
        <v>38254</v>
      </c>
      <c r="D13218" t="inlineStr">
        <is>
          <t>CDC</t>
        </is>
      </c>
      <c r="E13218" t="inlineStr">
        <is>
          <t>ARMOIRE PDU AVEC TRANSFO</t>
        </is>
      </c>
      <c r="F13218" t="inlineStr">
        <is>
          <t>Comet S31 15kVA</t>
        </is>
      </c>
      <c r="J13218" t="inlineStr">
        <is>
          <t>REVEL</t>
        </is>
      </c>
      <c r="L13218">
        <f>_xlfn.XLOOKUP(Tableau1[[#This Row],[TYPE DE PIECE]],Tableau4[MATIERE],Tableau4[SHORT TYPE],"",0,1)</f>
        <v/>
      </c>
      <c r="N13218">
        <f>IF(ISERR(FIND("DECOUPE",Tableau1[[#This Row],[DESIGNATION]])),"","NEED REF")</f>
        <v/>
      </c>
    </row>
    <row r="13219">
      <c r="B13219" t="n">
        <v>34400786</v>
      </c>
      <c r="C13219" s="2" t="n">
        <v>38253</v>
      </c>
      <c r="D13219" t="inlineStr">
        <is>
          <t>CARTE</t>
        </is>
      </c>
      <c r="E13219" t="inlineStr">
        <is>
          <t>CARTE SYNI avec tempo d'attente d'émission de pilotage modifié</t>
        </is>
      </c>
      <c r="F13219" t="inlineStr">
        <is>
          <t>SYNCHRO SANS COFFRET</t>
        </is>
      </c>
      <c r="J13219" t="inlineStr">
        <is>
          <t>FERRIER</t>
        </is>
      </c>
      <c r="L13219">
        <f>_xlfn.XLOOKUP(Tableau1[[#This Row],[TYPE DE PIECE]],Tableau4[MATIERE],Tableau4[SHORT TYPE],"",0,1)</f>
        <v/>
      </c>
      <c r="N13219">
        <f>IF(ISERR(FIND("DECOUPE",Tableau1[[#This Row],[DESIGNATION]])),"","NEED REF")</f>
        <v/>
      </c>
    </row>
    <row r="13220">
      <c r="B13220" t="n">
        <v>34400785</v>
      </c>
      <c r="C13220" s="2" t="n">
        <v>38252</v>
      </c>
      <c r="D13220" t="inlineStr">
        <is>
          <t>CDC</t>
        </is>
      </c>
      <c r="E13220" t="inlineStr">
        <is>
          <t>Caillebotis marine 4x18 SWL750</t>
        </is>
      </c>
      <c r="F13220" t="inlineStr">
        <is>
          <t>Arm bat PW 1015*1900</t>
        </is>
      </c>
      <c r="J13220" t="inlineStr">
        <is>
          <t>REVEL</t>
        </is>
      </c>
      <c r="L13220">
        <f>_xlfn.XLOOKUP(Tableau1[[#This Row],[TYPE DE PIECE]],Tableau4[MATIERE],Tableau4[SHORT TYPE],"",0,1)</f>
        <v/>
      </c>
      <c r="N13220">
        <f>IF(ISERR(FIND("DECOUPE",Tableau1[[#This Row],[DESIGNATION]])),"","NEED REF")</f>
        <v/>
      </c>
    </row>
    <row r="13221">
      <c r="B13221" t="n">
        <v>34400784</v>
      </c>
      <c r="C13221" s="2" t="n">
        <v>38250</v>
      </c>
      <c r="D13221" t="inlineStr">
        <is>
          <t>NOM</t>
        </is>
      </c>
      <c r="E13221" t="inlineStr">
        <is>
          <t>LG kit dj bat comet S31 5kVA</t>
        </is>
      </c>
      <c r="F13221" t="inlineStr">
        <is>
          <t>COMET S31 5kVA</t>
        </is>
      </c>
      <c r="J13221" t="inlineStr">
        <is>
          <t>REVEL</t>
        </is>
      </c>
      <c r="L13221">
        <f>_xlfn.XLOOKUP(Tableau1[[#This Row],[TYPE DE PIECE]],Tableau4[MATIERE],Tableau4[SHORT TYPE],"",0,1)</f>
        <v/>
      </c>
      <c r="N13221">
        <f>IF(ISERR(FIND("DECOUPE",Tableau1[[#This Row],[DESIGNATION]])),"","NEED REF")</f>
        <v/>
      </c>
    </row>
    <row r="13222">
      <c r="B13222" t="n">
        <v>34400783</v>
      </c>
      <c r="C13222" s="2" t="n">
        <v>38250</v>
      </c>
      <c r="D13222" t="inlineStr">
        <is>
          <t>NOM</t>
        </is>
      </c>
      <c r="E13222" t="inlineStr">
        <is>
          <t>LG KIT TR5A POUR KIT DJ GALAXY PW</t>
        </is>
      </c>
      <c r="F13222" t="inlineStr">
        <is>
          <t>GALAXY PW</t>
        </is>
      </c>
      <c r="J13222" t="inlineStr">
        <is>
          <t>REVEL</t>
        </is>
      </c>
      <c r="L13222">
        <f>_xlfn.XLOOKUP(Tableau1[[#This Row],[TYPE DE PIECE]],Tableau4[MATIERE],Tableau4[SHORT TYPE],"",0,1)</f>
        <v/>
      </c>
      <c r="N13222">
        <f>IF(ISERR(FIND("DECOUPE",Tableau1[[#This Row],[DESIGNATION]])),"","NEED REF")</f>
        <v/>
      </c>
    </row>
    <row r="13223">
      <c r="B13223" t="n">
        <v>34400782</v>
      </c>
      <c r="C13223" s="2" t="n">
        <v>38247</v>
      </c>
      <c r="D13223" t="inlineStr">
        <is>
          <t>NOM</t>
        </is>
      </c>
      <c r="E13223" t="inlineStr">
        <is>
          <t>LG kit dj bat comet S31 7,5-10kva</t>
        </is>
      </c>
      <c r="F13223" t="inlineStr">
        <is>
          <t>COMET S31 7,5kVA</t>
        </is>
      </c>
      <c r="J13223" t="inlineStr">
        <is>
          <t>REVEL</t>
        </is>
      </c>
      <c r="L13223">
        <f>_xlfn.XLOOKUP(Tableau1[[#This Row],[TYPE DE PIECE]],Tableau4[MATIERE],Tableau4[SHORT TYPE],"",0,1)</f>
        <v/>
      </c>
      <c r="N13223">
        <f>IF(ISERR(FIND("DECOUPE",Tableau1[[#This Row],[DESIGNATION]])),"","NEED REF")</f>
        <v/>
      </c>
    </row>
    <row r="13224">
      <c r="B13224" t="n">
        <v>34400781</v>
      </c>
      <c r="C13224" s="2" t="n">
        <v>38246</v>
      </c>
      <c r="D13224" t="inlineStr">
        <is>
          <t>SPEC</t>
        </is>
      </c>
      <c r="E13224" t="inlineStr">
        <is>
          <t>CABLES INTERCONNEXION CELLULE</t>
        </is>
      </c>
      <c r="F13224" t="inlineStr">
        <is>
          <t>PW 1000 40kVA</t>
        </is>
      </c>
      <c r="J13224" t="inlineStr">
        <is>
          <t>ROBERT</t>
        </is>
      </c>
      <c r="L13224">
        <f>_xlfn.XLOOKUP(Tableau1[[#This Row],[TYPE DE PIECE]],Tableau4[MATIERE],Tableau4[SHORT TYPE],"",0,1)</f>
        <v/>
      </c>
      <c r="N13224">
        <f>IF(ISERR(FIND("DECOUPE",Tableau1[[#This Row],[DESIGNATION]])),"","NEED REF")</f>
        <v/>
      </c>
    </row>
    <row r="13225">
      <c r="B13225" t="n">
        <v>34400780</v>
      </c>
      <c r="C13225" s="2" t="n">
        <v>38246</v>
      </c>
      <c r="D13225" t="inlineStr">
        <is>
          <t>NOM</t>
        </is>
      </c>
      <c r="E13225" t="inlineStr">
        <is>
          <t>LG complément UP GAL800</t>
        </is>
      </c>
      <c r="F13225" t="inlineStr">
        <is>
          <t>GALAXY 800 ( ancien )</t>
        </is>
      </c>
      <c r="J13225" t="inlineStr">
        <is>
          <t>DUCLOS</t>
        </is>
      </c>
      <c r="L13225">
        <f>_xlfn.XLOOKUP(Tableau1[[#This Row],[TYPE DE PIECE]],Tableau4[MATIERE],Tableau4[SHORT TYPE],"",0,1)</f>
        <v/>
      </c>
      <c r="N13225">
        <f>IF(ISERR(FIND("DECOUPE",Tableau1[[#This Row],[DESIGNATION]])),"","NEED REF")</f>
        <v/>
      </c>
    </row>
    <row r="13226">
      <c r="B13226" t="n">
        <v>34400779</v>
      </c>
      <c r="C13226" s="2" t="n">
        <v>38245</v>
      </c>
      <c r="D13226" t="inlineStr">
        <is>
          <t>NOM</t>
        </is>
      </c>
      <c r="E13226" t="inlineStr">
        <is>
          <t xml:space="preserve">LG serrure double barre 3mm </t>
        </is>
      </c>
      <c r="F13226" t="inlineStr">
        <is>
          <t>Comet S31 15/20kVA</t>
        </is>
      </c>
      <c r="J13226" t="inlineStr">
        <is>
          <t>REVEL</t>
        </is>
      </c>
      <c r="L13226">
        <f>_xlfn.XLOOKUP(Tableau1[[#This Row],[TYPE DE PIECE]],Tableau4[MATIERE],Tableau4[SHORT TYPE],"",0,1)</f>
        <v/>
      </c>
      <c r="N13226">
        <f>IF(ISERR(FIND("DECOUPE",Tableau1[[#This Row],[DESIGNATION]])),"","NEED REF")</f>
        <v/>
      </c>
    </row>
    <row r="13227">
      <c r="B13227" t="n">
        <v>34400778</v>
      </c>
      <c r="C13227" s="2" t="n">
        <v>38245</v>
      </c>
      <c r="D13227" t="inlineStr">
        <is>
          <t>NOM</t>
        </is>
      </c>
      <c r="E13227" t="inlineStr">
        <is>
          <t>LG kit dj bat comet S31 15-20kva</t>
        </is>
      </c>
      <c r="F13227" t="inlineStr">
        <is>
          <t>Comet S31 15/20kVA</t>
        </is>
      </c>
      <c r="J13227" t="inlineStr">
        <is>
          <t>REVEL</t>
        </is>
      </c>
      <c r="L13227">
        <f>_xlfn.XLOOKUP(Tableau1[[#This Row],[TYPE DE PIECE]],Tableau4[MATIERE],Tableau4[SHORT TYPE],"",0,1)</f>
        <v/>
      </c>
      <c r="N13227">
        <f>IF(ISERR(FIND("DECOUPE",Tableau1[[#This Row],[DESIGNATION]])),"","NEED REF")</f>
        <v/>
      </c>
    </row>
    <row r="13228">
      <c r="B13228" t="n">
        <v>34400777</v>
      </c>
      <c r="C13228" s="2" t="n">
        <v>38245</v>
      </c>
      <c r="D13228" t="inlineStr">
        <is>
          <t>SPEC</t>
        </is>
      </c>
      <c r="E13228" t="inlineStr">
        <is>
          <t>Crochet de serrure</t>
        </is>
      </c>
      <c r="F13228" t="inlineStr">
        <is>
          <t>arm PW 715</t>
        </is>
      </c>
      <c r="J13228" t="inlineStr">
        <is>
          <t>REVEL</t>
        </is>
      </c>
      <c r="L13228">
        <f>_xlfn.XLOOKUP(Tableau1[[#This Row],[TYPE DE PIECE]],Tableau4[MATIERE],Tableau4[SHORT TYPE],"",0,1)</f>
        <v/>
      </c>
      <c r="N13228">
        <f>IF(ISERR(FIND("DECOUPE",Tableau1[[#This Row],[DESIGNATION]])),"","NEED REF")</f>
        <v/>
      </c>
    </row>
    <row r="13229">
      <c r="B13229" t="n">
        <v>34400776</v>
      </c>
      <c r="C13229" s="2" t="n">
        <v>38245</v>
      </c>
      <c r="D13229" t="inlineStr">
        <is>
          <t>SPEC</t>
        </is>
      </c>
      <c r="E13229" t="inlineStr">
        <is>
          <t xml:space="preserve">Came serrure double barre 3mm </t>
        </is>
      </c>
      <c r="F13229" t="inlineStr">
        <is>
          <t>arm PW 715</t>
        </is>
      </c>
      <c r="J13229" t="inlineStr">
        <is>
          <t>REVEL</t>
        </is>
      </c>
      <c r="L13229">
        <f>_xlfn.XLOOKUP(Tableau1[[#This Row],[TYPE DE PIECE]],Tableau4[MATIERE],Tableau4[SHORT TYPE],"",0,1)</f>
        <v/>
      </c>
      <c r="N13229">
        <f>IF(ISERR(FIND("DECOUPE",Tableau1[[#This Row],[DESIGNATION]])),"","NEED REF")</f>
        <v/>
      </c>
    </row>
    <row r="13230">
      <c r="B13230" t="n">
        <v>34400775</v>
      </c>
      <c r="C13230" s="2" t="n">
        <v>38244</v>
      </c>
      <c r="D13230" t="inlineStr">
        <is>
          <t>CDC</t>
        </is>
      </c>
      <c r="E13230" t="inlineStr">
        <is>
          <t>Surtoit pour onduleur</t>
        </is>
      </c>
      <c r="F13230" t="inlineStr">
        <is>
          <t>GALAXY PW 120KVA</t>
        </is>
      </c>
      <c r="J13230" t="inlineStr">
        <is>
          <t>REVEL</t>
        </is>
      </c>
      <c r="L13230">
        <f>_xlfn.XLOOKUP(Tableau1[[#This Row],[TYPE DE PIECE]],Tableau4[MATIERE],Tableau4[SHORT TYPE],"",0,1)</f>
        <v/>
      </c>
      <c r="N13230">
        <f>IF(ISERR(FIND("DECOUPE",Tableau1[[#This Row],[DESIGNATION]])),"","NEED REF")</f>
        <v/>
      </c>
    </row>
    <row r="13231">
      <c r="B13231" t="n">
        <v>34400774</v>
      </c>
      <c r="C13231" s="2" t="n">
        <v>38244</v>
      </c>
      <c r="D13231" t="inlineStr">
        <is>
          <t>CDC</t>
        </is>
      </c>
      <c r="E13231" t="inlineStr">
        <is>
          <t>Skid pour armoire batterie L=400</t>
        </is>
      </c>
      <c r="F13231" t="inlineStr">
        <is>
          <t>Comet S11 10kva</t>
        </is>
      </c>
      <c r="J13231" t="inlineStr">
        <is>
          <t>REVEL</t>
        </is>
      </c>
      <c r="L13231">
        <f>_xlfn.XLOOKUP(Tableau1[[#This Row],[TYPE DE PIECE]],Tableau4[MATIERE],Tableau4[SHORT TYPE],"",0,1)</f>
        <v/>
      </c>
      <c r="N13231">
        <f>IF(ISERR(FIND("DECOUPE",Tableau1[[#This Row],[DESIGNATION]])),"","NEED REF")</f>
        <v/>
      </c>
    </row>
    <row r="13232">
      <c r="B13232" t="n">
        <v>34400773</v>
      </c>
      <c r="C13232" s="2" t="n">
        <v>38240</v>
      </c>
      <c r="D13232" t="inlineStr">
        <is>
          <t>SPEC</t>
        </is>
      </c>
      <c r="E13232" t="inlineStr">
        <is>
          <t>CABLES INTERCONNEXION CELLULE</t>
        </is>
      </c>
      <c r="F13232" t="inlineStr">
        <is>
          <t>PW 1000 40kVA</t>
        </is>
      </c>
      <c r="J13232" t="inlineStr">
        <is>
          <t>ROBERT</t>
        </is>
      </c>
      <c r="L13232">
        <f>_xlfn.XLOOKUP(Tableau1[[#This Row],[TYPE DE PIECE]],Tableau4[MATIERE],Tableau4[SHORT TYPE],"",0,1)</f>
        <v/>
      </c>
      <c r="N13232">
        <f>IF(ISERR(FIND("DECOUPE",Tableau1[[#This Row],[DESIGNATION]])),"","NEED REF")</f>
        <v/>
      </c>
    </row>
    <row r="13233">
      <c r="B13233" t="n">
        <v>34400772</v>
      </c>
      <c r="C13233" s="2" t="n">
        <v>38240</v>
      </c>
      <c r="D13233" t="inlineStr">
        <is>
          <t>CDC</t>
        </is>
      </c>
      <c r="E13233" t="inlineStr">
        <is>
          <t xml:space="preserve">Filtre anti poussiere </t>
        </is>
      </c>
      <c r="F13233" t="inlineStr">
        <is>
          <t>Galaxy PW 200kva</t>
        </is>
      </c>
      <c r="J13233" t="inlineStr">
        <is>
          <t>REVEL</t>
        </is>
      </c>
      <c r="L13233">
        <f>_xlfn.XLOOKUP(Tableau1[[#This Row],[TYPE DE PIECE]],Tableau4[MATIERE],Tableau4[SHORT TYPE],"",0,1)</f>
        <v/>
      </c>
      <c r="N13233">
        <f>IF(ISERR(FIND("DECOUPE",Tableau1[[#This Row],[DESIGNATION]])),"","NEED REF")</f>
        <v/>
      </c>
    </row>
    <row r="13234">
      <c r="B13234" t="n">
        <v>34400771</v>
      </c>
      <c r="C13234" s="2" t="n">
        <v>38237</v>
      </c>
      <c r="D13234" t="inlineStr">
        <is>
          <t>SPEC</t>
        </is>
      </c>
      <c r="E13234" t="inlineStr">
        <is>
          <t xml:space="preserve">Came serrure double barre 3mm </t>
        </is>
      </c>
      <c r="F13234" t="inlineStr">
        <is>
          <t>Galaxy PW 1015/1215</t>
        </is>
      </c>
      <c r="J13234" t="inlineStr">
        <is>
          <t>REVEL</t>
        </is>
      </c>
      <c r="L13234">
        <f>_xlfn.XLOOKUP(Tableau1[[#This Row],[TYPE DE PIECE]],Tableau4[MATIERE],Tableau4[SHORT TYPE],"",0,1)</f>
        <v/>
      </c>
      <c r="N13234">
        <f>IF(ISERR(FIND("DECOUPE",Tableau1[[#This Row],[DESIGNATION]])),"","NEED REF")</f>
        <v/>
      </c>
    </row>
    <row r="13235">
      <c r="B13235" t="n">
        <v>34400770</v>
      </c>
      <c r="C13235" s="2" t="n">
        <v>38236</v>
      </c>
      <c r="D13235" t="inlineStr">
        <is>
          <t>SPEC</t>
        </is>
      </c>
      <c r="E13235" t="inlineStr">
        <is>
          <t>Plastron de protection arrière</t>
        </is>
      </c>
      <c r="F13235" t="inlineStr">
        <is>
          <t>STS 160A</t>
        </is>
      </c>
      <c r="J13235" t="inlineStr">
        <is>
          <t>ROBERT</t>
        </is>
      </c>
      <c r="L13235">
        <f>_xlfn.XLOOKUP(Tableau1[[#This Row],[TYPE DE PIECE]],Tableau4[MATIERE],Tableau4[SHORT TYPE],"",0,1)</f>
        <v/>
      </c>
      <c r="N13235">
        <f>IF(ISERR(FIND("DECOUPE",Tableau1[[#This Row],[DESIGNATION]])),"","NEED REF")</f>
        <v/>
      </c>
    </row>
    <row r="13236">
      <c r="B13236" t="n">
        <v>34400769</v>
      </c>
      <c r="C13236" s="2" t="n">
        <v>38232</v>
      </c>
      <c r="D13236" t="inlineStr">
        <is>
          <t>DOC</t>
        </is>
      </c>
      <c r="E13236" t="inlineStr">
        <is>
          <t>BATTERY MONITORING</t>
        </is>
      </c>
      <c r="F13236" t="inlineStr">
        <is>
          <t xml:space="preserve">PW </t>
        </is>
      </c>
      <c r="J13236" t="inlineStr">
        <is>
          <t>ÇAKIR</t>
        </is>
      </c>
      <c r="L13236">
        <f>_xlfn.XLOOKUP(Tableau1[[#This Row],[TYPE DE PIECE]],Tableau4[MATIERE],Tableau4[SHORT TYPE],"",0,1)</f>
        <v/>
      </c>
      <c r="N13236">
        <f>IF(ISERR(FIND("DECOUPE",Tableau1[[#This Row],[DESIGNATION]])),"","NEED REF")</f>
        <v/>
      </c>
    </row>
    <row r="13237">
      <c r="B13237" t="n">
        <v>34400768</v>
      </c>
      <c r="C13237" s="2" t="n">
        <v>38230</v>
      </c>
      <c r="D13237" t="inlineStr">
        <is>
          <t>SPEC</t>
        </is>
      </c>
      <c r="E13237" t="inlineStr">
        <is>
          <t>ECLISSE</t>
        </is>
      </c>
      <c r="F13237" t="inlineStr">
        <is>
          <t>STS 1200A</t>
        </is>
      </c>
      <c r="J13237" t="inlineStr">
        <is>
          <t>FERRIER</t>
        </is>
      </c>
      <c r="L13237">
        <f>_xlfn.XLOOKUP(Tableau1[[#This Row],[TYPE DE PIECE]],Tableau4[MATIERE],Tableau4[SHORT TYPE],"",0,1)</f>
        <v/>
      </c>
      <c r="N13237">
        <f>IF(ISERR(FIND("DECOUPE",Tableau1[[#This Row],[DESIGNATION]])),"","NEED REF")</f>
        <v/>
      </c>
    </row>
    <row r="13238">
      <c r="B13238" t="n">
        <v>34400767</v>
      </c>
      <c r="C13238" s="2" t="n">
        <v>38229</v>
      </c>
      <c r="D13238" t="inlineStr">
        <is>
          <t>CDC</t>
        </is>
      </c>
      <c r="E13238" t="inlineStr">
        <is>
          <t>ARMOIRE BATTERIE A TIROIR COULISSANT</t>
        </is>
      </c>
      <c r="F13238" t="inlineStr">
        <is>
          <t>GALAXY PW 1000  40kVA</t>
        </is>
      </c>
      <c r="J13238" t="inlineStr">
        <is>
          <t>ROBERT</t>
        </is>
      </c>
      <c r="L13238">
        <f>_xlfn.XLOOKUP(Tableau1[[#This Row],[TYPE DE PIECE]],Tableau4[MATIERE],Tableau4[SHORT TYPE],"",0,1)</f>
        <v/>
      </c>
      <c r="N13238">
        <f>IF(ISERR(FIND("DECOUPE",Tableau1[[#This Row],[DESIGNATION]])),"","NEED REF")</f>
        <v/>
      </c>
    </row>
    <row r="13239">
      <c r="B13239" t="n">
        <v>34400766</v>
      </c>
      <c r="C13239" s="2" t="n">
        <v>38229</v>
      </c>
      <c r="D13239" t="inlineStr">
        <is>
          <t>NOM</t>
        </is>
      </c>
      <c r="E13239" t="inlineStr">
        <is>
          <t>KIT CDE BOBINE NW20DC ASI</t>
        </is>
      </c>
      <c r="F13239" t="inlineStr">
        <is>
          <t>ARMOIRE DJ BATT MASTERPACT</t>
        </is>
      </c>
      <c r="J13239" t="inlineStr">
        <is>
          <t>FERRIER</t>
        </is>
      </c>
      <c r="L13239">
        <f>_xlfn.XLOOKUP(Tableau1[[#This Row],[TYPE DE PIECE]],Tableau4[MATIERE],Tableau4[SHORT TYPE],"",0,1)</f>
        <v/>
      </c>
      <c r="N13239">
        <f>IF(ISERR(FIND("DECOUPE",Tableau1[[#This Row],[DESIGNATION]])),"","NEED REF")</f>
        <v/>
      </c>
    </row>
    <row r="13240">
      <c r="B13240" t="n">
        <v>34400765</v>
      </c>
      <c r="C13240" s="2" t="n">
        <v>38225</v>
      </c>
      <c r="D13240" t="inlineStr">
        <is>
          <t>CDC</t>
        </is>
      </c>
      <c r="E13240" t="inlineStr">
        <is>
          <t>Sinewave 90A en armoire (delta avec THMPWM)</t>
        </is>
      </c>
      <c r="F13240" t="inlineStr">
        <is>
          <t>Neutre distribué ou non: à préciser à la commande</t>
        </is>
      </c>
      <c r="J13240" t="inlineStr">
        <is>
          <t>FERRIER</t>
        </is>
      </c>
      <c r="L13240">
        <f>_xlfn.XLOOKUP(Tableau1[[#This Row],[TYPE DE PIECE]],Tableau4[MATIERE],Tableau4[SHORT TYPE],"",0,1)</f>
        <v/>
      </c>
      <c r="N13240">
        <f>IF(ISERR(FIND("DECOUPE",Tableau1[[#This Row],[DESIGNATION]])),"","NEED REF")</f>
        <v/>
      </c>
    </row>
    <row r="13241">
      <c r="B13241" t="n">
        <v>34400764</v>
      </c>
      <c r="C13241" s="2" t="n">
        <v>38212</v>
      </c>
      <c r="D13241" t="inlineStr">
        <is>
          <t>CDC</t>
        </is>
      </c>
      <c r="E13241" t="inlineStr">
        <is>
          <t>BAIE 19" VERSION MARINE 38U</t>
        </is>
      </c>
      <c r="F13241" t="inlineStr">
        <is>
          <t>EXTREME</t>
        </is>
      </c>
      <c r="J13241" t="inlineStr">
        <is>
          <t>REVEL</t>
        </is>
      </c>
      <c r="L13241">
        <f>_xlfn.XLOOKUP(Tableau1[[#This Row],[TYPE DE PIECE]],Tableau4[MATIERE],Tableau4[SHORT TYPE],"",0,1)</f>
        <v/>
      </c>
      <c r="N13241">
        <f>IF(ISERR(FIND("DECOUPE",Tableau1[[#This Row],[DESIGNATION]])),"","NEED REF")</f>
        <v/>
      </c>
    </row>
    <row r="13242">
      <c r="B13242" t="n">
        <v>34400763</v>
      </c>
      <c r="C13242" s="2" t="n">
        <v>38209</v>
      </c>
      <c r="D13242" t="inlineStr">
        <is>
          <t>CDC</t>
        </is>
      </c>
      <c r="E13242" t="inlineStr">
        <is>
          <t>PMM ADAPTE</t>
        </is>
      </c>
      <c r="F13242" t="inlineStr">
        <is>
          <t>PMM</t>
        </is>
      </c>
      <c r="J13242" t="inlineStr">
        <is>
          <t>REVEL</t>
        </is>
      </c>
      <c r="L13242">
        <f>_xlfn.XLOOKUP(Tableau1[[#This Row],[TYPE DE PIECE]],Tableau4[MATIERE],Tableau4[SHORT TYPE],"",0,1)</f>
        <v/>
      </c>
      <c r="N13242">
        <f>IF(ISERR(FIND("DECOUPE",Tableau1[[#This Row],[DESIGNATION]])),"","NEED REF")</f>
        <v/>
      </c>
    </row>
    <row r="13243">
      <c r="B13243" t="n">
        <v>34400762</v>
      </c>
      <c r="C13243" s="2" t="n">
        <v>38203</v>
      </c>
      <c r="D13243" t="inlineStr">
        <is>
          <t>CDC</t>
        </is>
      </c>
      <c r="E13243" t="inlineStr">
        <is>
          <t>ARMOIRE BATTERIE CLIMATISE</t>
        </is>
      </c>
      <c r="F13243" t="inlineStr">
        <is>
          <t>*</t>
        </is>
      </c>
      <c r="J13243" t="inlineStr">
        <is>
          <t>REVEL</t>
        </is>
      </c>
      <c r="L13243">
        <f>_xlfn.XLOOKUP(Tableau1[[#This Row],[TYPE DE PIECE]],Tableau4[MATIERE],Tableau4[SHORT TYPE],"",0,1)</f>
        <v/>
      </c>
      <c r="N13243">
        <f>IF(ISERR(FIND("DECOUPE",Tableau1[[#This Row],[DESIGNATION]])),"","NEED REF")</f>
        <v/>
      </c>
    </row>
    <row r="13244">
      <c r="B13244" t="n">
        <v>34400761</v>
      </c>
      <c r="C13244" s="2" t="n">
        <v>38198</v>
      </c>
      <c r="D13244" t="inlineStr">
        <is>
          <t>NOM</t>
        </is>
      </c>
      <c r="E13244" t="inlineStr">
        <is>
          <t>IP42 COULEUR SPECIALE</t>
        </is>
      </c>
      <c r="F13244" t="inlineStr">
        <is>
          <t>GALAXY L=800</t>
        </is>
      </c>
      <c r="J13244" t="inlineStr">
        <is>
          <t>REVEL</t>
        </is>
      </c>
      <c r="L13244">
        <f>_xlfn.XLOOKUP(Tableau1[[#This Row],[TYPE DE PIECE]],Tableau4[MATIERE],Tableau4[SHORT TYPE],"",0,1)</f>
        <v/>
      </c>
      <c r="N13244">
        <f>IF(ISERR(FIND("DECOUPE",Tableau1[[#This Row],[DESIGNATION]])),"","NEED REF")</f>
        <v/>
      </c>
    </row>
    <row r="13245">
      <c r="B13245" t="n">
        <v>34400760</v>
      </c>
      <c r="C13245" s="2" t="n">
        <v>38197</v>
      </c>
      <c r="D13245" t="inlineStr">
        <is>
          <t>CDC</t>
        </is>
      </c>
      <c r="E13245" t="inlineStr">
        <is>
          <t xml:space="preserve">ETUDE COMET INDUS IP42 </t>
        </is>
      </c>
      <c r="F13245" t="inlineStr">
        <is>
          <t>COMET S31 5kVA</t>
        </is>
      </c>
      <c r="J13245" t="inlineStr">
        <is>
          <t>REVEL</t>
        </is>
      </c>
      <c r="L13245">
        <f>_xlfn.XLOOKUP(Tableau1[[#This Row],[TYPE DE PIECE]],Tableau4[MATIERE],Tableau4[SHORT TYPE],"",0,1)</f>
        <v/>
      </c>
      <c r="N13245">
        <f>IF(ISERR(FIND("DECOUPE",Tableau1[[#This Row],[DESIGNATION]])),"","NEED REF")</f>
        <v/>
      </c>
    </row>
    <row r="13246">
      <c r="B13246" t="n">
        <v>34400759</v>
      </c>
      <c r="C13246" s="2" t="n">
        <v>38197</v>
      </c>
      <c r="D13246" t="inlineStr">
        <is>
          <t>NOM</t>
        </is>
      </c>
      <c r="E13246" t="inlineStr">
        <is>
          <t>IP22 COULEUR SPECIALE</t>
        </is>
      </c>
      <c r="F13246" t="inlineStr">
        <is>
          <t>GALAXY L=800</t>
        </is>
      </c>
      <c r="J13246" t="inlineStr">
        <is>
          <t>REVEL</t>
        </is>
      </c>
      <c r="L13246">
        <f>_xlfn.XLOOKUP(Tableau1[[#This Row],[TYPE DE PIECE]],Tableau4[MATIERE],Tableau4[SHORT TYPE],"",0,1)</f>
        <v/>
      </c>
      <c r="N13246">
        <f>IF(ISERR(FIND("DECOUPE",Tableau1[[#This Row],[DESIGNATION]])),"","NEED REF")</f>
        <v/>
      </c>
    </row>
    <row r="13247">
      <c r="B13247" t="n">
        <v>34400758</v>
      </c>
      <c r="C13247" s="2" t="n">
        <v>38196</v>
      </c>
      <c r="D13247" t="inlineStr">
        <is>
          <t>CDC</t>
        </is>
      </c>
      <c r="E13247" t="inlineStr">
        <is>
          <t>SKID BAIE 19" MARINE</t>
        </is>
      </c>
      <c r="F13247" t="inlineStr">
        <is>
          <t>EXTREME</t>
        </is>
      </c>
      <c r="J13247" t="inlineStr">
        <is>
          <t>REVEL</t>
        </is>
      </c>
      <c r="L13247">
        <f>_xlfn.XLOOKUP(Tableau1[[#This Row],[TYPE DE PIECE]],Tableau4[MATIERE],Tableau4[SHORT TYPE],"",0,1)</f>
        <v/>
      </c>
      <c r="N13247">
        <f>IF(ISERR(FIND("DECOUPE",Tableau1[[#This Row],[DESIGNATION]])),"","NEED REF")</f>
        <v/>
      </c>
    </row>
    <row r="13248">
      <c r="B13248" t="n">
        <v>34400757</v>
      </c>
      <c r="C13248" s="2" t="n">
        <v>38196</v>
      </c>
      <c r="D13248" t="inlineStr">
        <is>
          <t>CDC</t>
        </is>
      </c>
      <c r="E13248" t="inlineStr">
        <is>
          <t>BAIE 19" VERSION MARINE 33U</t>
        </is>
      </c>
      <c r="F13248" t="inlineStr">
        <is>
          <t>EXTREME</t>
        </is>
      </c>
      <c r="J13248" t="inlineStr">
        <is>
          <t>REVEL</t>
        </is>
      </c>
      <c r="L13248">
        <f>_xlfn.XLOOKUP(Tableau1[[#This Row],[TYPE DE PIECE]],Tableau4[MATIERE],Tableau4[SHORT TYPE],"",0,1)</f>
        <v/>
      </c>
      <c r="N13248">
        <f>IF(ISERR(FIND("DECOUPE",Tableau1[[#This Row],[DESIGNATION]])),"","NEED REF")</f>
        <v/>
      </c>
    </row>
    <row r="13249">
      <c r="B13249" t="n">
        <v>34400756</v>
      </c>
      <c r="C13249" s="2" t="n">
        <v>38191</v>
      </c>
      <c r="D13249" t="inlineStr">
        <is>
          <t>CDC</t>
        </is>
      </c>
      <c r="E13249" t="inlineStr">
        <is>
          <t>ARMOIRE BATTERIE A TIROIR COULISSANT</t>
        </is>
      </c>
      <c r="F13249" t="inlineStr">
        <is>
          <t>GALAXY PW 715*1900</t>
        </is>
      </c>
      <c r="J13249" t="inlineStr">
        <is>
          <t>REVEL</t>
        </is>
      </c>
      <c r="L13249">
        <f>_xlfn.XLOOKUP(Tableau1[[#This Row],[TYPE DE PIECE]],Tableau4[MATIERE],Tableau4[SHORT TYPE],"",0,1)</f>
        <v/>
      </c>
      <c r="N13249">
        <f>IF(ISERR(FIND("DECOUPE",Tableau1[[#This Row],[DESIGNATION]])),"","NEED REF")</f>
        <v/>
      </c>
    </row>
    <row r="13250">
      <c r="B13250" t="n">
        <v>34400755</v>
      </c>
      <c r="C13250" s="2" t="n">
        <v>38189</v>
      </c>
      <c r="D13250" t="inlineStr">
        <is>
          <t>SPEC</t>
        </is>
      </c>
      <c r="E13250" t="inlineStr">
        <is>
          <t>LISTE DES CABLES POUR LES SKIDS</t>
        </is>
      </c>
      <c r="F13250" t="inlineStr">
        <is>
          <t>TOUTE GAMME</t>
        </is>
      </c>
      <c r="J13250" t="inlineStr">
        <is>
          <t>REVEL</t>
        </is>
      </c>
      <c r="L13250">
        <f>_xlfn.XLOOKUP(Tableau1[[#This Row],[TYPE DE PIECE]],Tableau4[MATIERE],Tableau4[SHORT TYPE],"",0,1)</f>
        <v/>
      </c>
      <c r="N13250">
        <f>IF(ISERR(FIND("DECOUPE",Tableau1[[#This Row],[DESIGNATION]])),"","NEED REF")</f>
        <v/>
      </c>
    </row>
    <row r="13251">
      <c r="B13251" t="n">
        <v>34400754</v>
      </c>
      <c r="C13251" s="2" t="n">
        <v>38189</v>
      </c>
      <c r="D13251" t="inlineStr">
        <is>
          <t>CDC</t>
        </is>
      </c>
      <c r="E13251" t="inlineStr">
        <is>
          <t>AJOUT D'UN Q8T</t>
        </is>
      </c>
      <c r="F13251" t="inlineStr">
        <is>
          <t>GALAXY 250KVA</t>
        </is>
      </c>
      <c r="J13251" t="inlineStr">
        <is>
          <t>REVEL</t>
        </is>
      </c>
      <c r="L13251">
        <f>_xlfn.XLOOKUP(Tableau1[[#This Row],[TYPE DE PIECE]],Tableau4[MATIERE],Tableau4[SHORT TYPE],"",0,1)</f>
        <v/>
      </c>
      <c r="N13251">
        <f>IF(ISERR(FIND("DECOUPE",Tableau1[[#This Row],[DESIGNATION]])),"","NEED REF")</f>
        <v/>
      </c>
    </row>
    <row r="13252">
      <c r="B13252" t="n">
        <v>34400753</v>
      </c>
      <c r="C13252" s="2" t="n">
        <v>38188</v>
      </c>
      <c r="D13252" t="inlineStr">
        <is>
          <t>CDC</t>
        </is>
      </c>
      <c r="E13252" t="inlineStr">
        <is>
          <t>CLIMATISATION POUR COMET S31</t>
        </is>
      </c>
      <c r="F13252" t="inlineStr">
        <is>
          <t>COMET S31 10KVA</t>
        </is>
      </c>
      <c r="J13252" t="inlineStr">
        <is>
          <t>REVEL</t>
        </is>
      </c>
      <c r="L13252">
        <f>_xlfn.XLOOKUP(Tableau1[[#This Row],[TYPE DE PIECE]],Tableau4[MATIERE],Tableau4[SHORT TYPE],"",0,1)</f>
        <v/>
      </c>
      <c r="N13252">
        <f>IF(ISERR(FIND("DECOUPE",Tableau1[[#This Row],[DESIGNATION]])),"","NEED REF")</f>
        <v/>
      </c>
    </row>
    <row r="13253">
      <c r="B13253" t="n">
        <v>34400752</v>
      </c>
      <c r="C13253" s="2" t="n">
        <v>38184</v>
      </c>
      <c r="D13253" t="inlineStr">
        <is>
          <t>CDC</t>
        </is>
      </c>
      <c r="E13253" t="inlineStr">
        <is>
          <t>ARMOIRE PDU AVEC TRANSFO</t>
        </is>
      </c>
      <c r="F13253" t="inlineStr">
        <is>
          <t>GALAXY PW 60KVA</t>
        </is>
      </c>
      <c r="J13253" t="inlineStr">
        <is>
          <t>REVEL</t>
        </is>
      </c>
      <c r="L13253">
        <f>_xlfn.XLOOKUP(Tableau1[[#This Row],[TYPE DE PIECE]],Tableau4[MATIERE],Tableau4[SHORT TYPE],"",0,1)</f>
        <v/>
      </c>
      <c r="N13253">
        <f>IF(ISERR(FIND("DECOUPE",Tableau1[[#This Row],[DESIGNATION]])),"","NEED REF")</f>
        <v/>
      </c>
    </row>
    <row r="13254">
      <c r="B13254" t="n">
        <v>34400751</v>
      </c>
      <c r="C13254" s="2" t="n">
        <v>38183</v>
      </c>
      <c r="D13254" t="inlineStr">
        <is>
          <t>CDC</t>
        </is>
      </c>
      <c r="E13254" t="inlineStr">
        <is>
          <t>SKID GAL PW  60KVA U + ARM DISTRIB</t>
        </is>
      </c>
      <c r="F13254" t="inlineStr">
        <is>
          <t>GALAXY PW 60KVA</t>
        </is>
      </c>
      <c r="J13254" t="inlineStr">
        <is>
          <t>REVEL</t>
        </is>
      </c>
      <c r="L13254">
        <f>_xlfn.XLOOKUP(Tableau1[[#This Row],[TYPE DE PIECE]],Tableau4[MATIERE],Tableau4[SHORT TYPE],"",0,1)</f>
        <v/>
      </c>
      <c r="N13254">
        <f>IF(ISERR(FIND("DECOUPE",Tableau1[[#This Row],[DESIGNATION]])),"","NEED REF")</f>
        <v/>
      </c>
    </row>
    <row r="13255">
      <c r="B13255" t="n">
        <v>34400750</v>
      </c>
      <c r="C13255" s="2" t="n">
        <v>38183</v>
      </c>
      <c r="D13255" t="inlineStr">
        <is>
          <t>DOC</t>
        </is>
      </c>
      <c r="E13255" t="inlineStr">
        <is>
          <t>NOTICE COUPLAGE BATT+MEPC 2 DIODES</t>
        </is>
      </c>
      <c r="F13255" t="inlineStr">
        <is>
          <t>GALAXY-GALAXY PW</t>
        </is>
      </c>
      <c r="J13255" t="inlineStr">
        <is>
          <t>FOLTZ</t>
        </is>
      </c>
      <c r="L13255">
        <f>_xlfn.XLOOKUP(Tableau1[[#This Row],[TYPE DE PIECE]],Tableau4[MATIERE],Tableau4[SHORT TYPE],"",0,1)</f>
        <v/>
      </c>
      <c r="N13255">
        <f>IF(ISERR(FIND("DECOUPE",Tableau1[[#This Row],[DESIGNATION]])),"","NEED REF")</f>
        <v/>
      </c>
    </row>
    <row r="13256">
      <c r="B13256" t="n">
        <v>34400749</v>
      </c>
      <c r="C13256" s="2" t="n">
        <v>38181</v>
      </c>
      <c r="D13256" t="inlineStr">
        <is>
          <t>CDC</t>
        </is>
      </c>
      <c r="E13256" t="inlineStr">
        <is>
          <t xml:space="preserve">ARMOIRE BY PASS  </t>
        </is>
      </c>
      <c r="F13256" t="inlineStr">
        <is>
          <t>GALAXY PW 120KVA</t>
        </is>
      </c>
      <c r="J13256" t="inlineStr">
        <is>
          <t>REVEL</t>
        </is>
      </c>
      <c r="L13256">
        <f>_xlfn.XLOOKUP(Tableau1[[#This Row],[TYPE DE PIECE]],Tableau4[MATIERE],Tableau4[SHORT TYPE],"",0,1)</f>
        <v/>
      </c>
      <c r="N13256">
        <f>IF(ISERR(FIND("DECOUPE",Tableau1[[#This Row],[DESIGNATION]])),"","NEED REF")</f>
        <v/>
      </c>
    </row>
    <row r="13257">
      <c r="B13257" t="n">
        <v>34400748</v>
      </c>
      <c r="C13257" s="2" t="n">
        <v>38180</v>
      </c>
      <c r="D13257" t="inlineStr">
        <is>
          <t>NOM</t>
        </is>
      </c>
      <c r="E13257" t="inlineStr">
        <is>
          <t>NOM COF DISJ AVEC CPI</t>
        </is>
      </c>
      <c r="F13257" t="inlineStr">
        <is>
          <t>COMET S31 7,5kVA</t>
        </is>
      </c>
      <c r="J13257" t="inlineStr">
        <is>
          <t>ROBERT</t>
        </is>
      </c>
      <c r="L13257">
        <f>_xlfn.XLOOKUP(Tableau1[[#This Row],[TYPE DE PIECE]],Tableau4[MATIERE],Tableau4[SHORT TYPE],"",0,1)</f>
        <v/>
      </c>
      <c r="N13257">
        <f>IF(ISERR(FIND("DECOUPE",Tableau1[[#This Row],[DESIGNATION]])),"","NEED REF")</f>
        <v/>
      </c>
    </row>
    <row r="13258">
      <c r="B13258" t="n">
        <v>34400747</v>
      </c>
      <c r="C13258" s="2" t="n">
        <v>38176</v>
      </c>
      <c r="D13258" t="inlineStr">
        <is>
          <t>SPEC</t>
        </is>
      </c>
      <c r="E13258" t="inlineStr">
        <is>
          <t xml:space="preserve">SUPPORT  FIXATION AU SOL </t>
        </is>
      </c>
      <c r="F13258" t="inlineStr">
        <is>
          <t>GALAXY PW 1000  60kVA</t>
        </is>
      </c>
      <c r="J13258" t="inlineStr">
        <is>
          <t>ROBERT</t>
        </is>
      </c>
      <c r="L13258">
        <f>_xlfn.XLOOKUP(Tableau1[[#This Row],[TYPE DE PIECE]],Tableau4[MATIERE],Tableau4[SHORT TYPE],"",0,1)</f>
        <v/>
      </c>
      <c r="N13258">
        <f>IF(ISERR(FIND("DECOUPE",Tableau1[[#This Row],[DESIGNATION]])),"","NEED REF")</f>
        <v/>
      </c>
    </row>
    <row r="13259">
      <c r="B13259" t="n">
        <v>34400746</v>
      </c>
      <c r="C13259" s="2" t="n">
        <v>38168</v>
      </c>
      <c r="D13259" t="inlineStr">
        <is>
          <t>CDC</t>
        </is>
      </c>
      <c r="E13259" t="inlineStr">
        <is>
          <t>ARMOIRE BY PASS AVEC TFO</t>
        </is>
      </c>
      <c r="F13259" t="inlineStr">
        <is>
          <t>ALPES 1000 40KVA</t>
        </is>
      </c>
      <c r="J13259" t="inlineStr">
        <is>
          <t>REVEL</t>
        </is>
      </c>
      <c r="L13259">
        <f>_xlfn.XLOOKUP(Tableau1[[#This Row],[TYPE DE PIECE]],Tableau4[MATIERE],Tableau4[SHORT TYPE],"",0,1)</f>
        <v/>
      </c>
      <c r="N13259">
        <f>IF(ISERR(FIND("DECOUPE",Tableau1[[#This Row],[DESIGNATION]])),"","NEED REF")</f>
        <v/>
      </c>
    </row>
    <row r="13260">
      <c r="B13260" t="n">
        <v>34400745</v>
      </c>
      <c r="C13260" s="2" t="n">
        <v>38167</v>
      </c>
      <c r="D13260" t="inlineStr">
        <is>
          <t>CDC</t>
        </is>
      </c>
      <c r="E13260" t="inlineStr">
        <is>
          <t>DETERMINATION AMORTISSEURS</t>
        </is>
      </c>
      <c r="F13260" t="inlineStr">
        <is>
          <t>PULSAR EXTREME MARINE</t>
        </is>
      </c>
      <c r="J13260" t="inlineStr">
        <is>
          <t>REVEL</t>
        </is>
      </c>
      <c r="L13260">
        <f>_xlfn.XLOOKUP(Tableau1[[#This Row],[TYPE DE PIECE]],Tableau4[MATIERE],Tableau4[SHORT TYPE],"",0,1)</f>
        <v/>
      </c>
      <c r="N13260">
        <f>IF(ISERR(FIND("DECOUPE",Tableau1[[#This Row],[DESIGNATION]])),"","NEED REF")</f>
        <v/>
      </c>
    </row>
    <row r="13261">
      <c r="B13261" t="n">
        <v>34400744</v>
      </c>
      <c r="C13261" s="2" t="n">
        <v>38163</v>
      </c>
      <c r="D13261" t="inlineStr">
        <is>
          <t>NOM</t>
        </is>
      </c>
      <c r="E13261" t="inlineStr">
        <is>
          <t>SYSTEME COUPLAGE BATT+MEPC 2 DIODES</t>
        </is>
      </c>
      <c r="F13261" t="inlineStr">
        <is>
          <t>3 ASI PW 120KVA</t>
        </is>
      </c>
      <c r="J13261" t="inlineStr">
        <is>
          <t>FOLTZ</t>
        </is>
      </c>
      <c r="L13261">
        <f>_xlfn.XLOOKUP(Tableau1[[#This Row],[TYPE DE PIECE]],Tableau4[MATIERE],Tableau4[SHORT TYPE],"",0,1)</f>
        <v/>
      </c>
      <c r="N13261">
        <f>IF(ISERR(FIND("DECOUPE",Tableau1[[#This Row],[DESIGNATION]])),"","NEED REF")</f>
        <v/>
      </c>
    </row>
    <row r="13262">
      <c r="B13262" t="n">
        <v>34400743</v>
      </c>
      <c r="C13262" s="2" t="n">
        <v>38160</v>
      </c>
      <c r="D13262" t="inlineStr">
        <is>
          <t>CDC</t>
        </is>
      </c>
      <c r="E13262" t="inlineStr">
        <is>
          <t>PMM ADAPTE</t>
        </is>
      </c>
      <c r="F13262" t="inlineStr">
        <is>
          <t>PMM</t>
        </is>
      </c>
      <c r="J13262" t="inlineStr">
        <is>
          <t>REVEL</t>
        </is>
      </c>
      <c r="L13262">
        <f>_xlfn.XLOOKUP(Tableau1[[#This Row],[TYPE DE PIECE]],Tableau4[MATIERE],Tableau4[SHORT TYPE],"",0,1)</f>
        <v/>
      </c>
      <c r="N13262">
        <f>IF(ISERR(FIND("DECOUPE",Tableau1[[#This Row],[DESIGNATION]])),"","NEED REF")</f>
        <v/>
      </c>
    </row>
    <row r="13263">
      <c r="B13263" t="n">
        <v>34400742</v>
      </c>
      <c r="C13263" s="2" t="n">
        <v>38160</v>
      </c>
      <c r="D13263" t="inlineStr">
        <is>
          <t>CDC</t>
        </is>
      </c>
      <c r="E13263" t="inlineStr">
        <is>
          <t>PMM ADAPTE</t>
        </is>
      </c>
      <c r="F13263" t="inlineStr">
        <is>
          <t>PMM</t>
        </is>
      </c>
      <c r="J13263" t="inlineStr">
        <is>
          <t>REVEL</t>
        </is>
      </c>
      <c r="L13263">
        <f>_xlfn.XLOOKUP(Tableau1[[#This Row],[TYPE DE PIECE]],Tableau4[MATIERE],Tableau4[SHORT TYPE],"",0,1)</f>
        <v/>
      </c>
      <c r="N13263">
        <f>IF(ISERR(FIND("DECOUPE",Tableau1[[#This Row],[DESIGNATION]])),"","NEED REF")</f>
        <v/>
      </c>
    </row>
    <row r="13264">
      <c r="B13264" t="n">
        <v>34400741</v>
      </c>
      <c r="C13264" s="2" t="n">
        <v>38160</v>
      </c>
      <c r="D13264" t="inlineStr">
        <is>
          <t>CDC</t>
        </is>
      </c>
      <c r="E13264" t="inlineStr">
        <is>
          <t>PMM ADAPTE</t>
        </is>
      </c>
      <c r="F13264" t="inlineStr">
        <is>
          <t>PMM</t>
        </is>
      </c>
      <c r="J13264" t="inlineStr">
        <is>
          <t>REVEL</t>
        </is>
      </c>
      <c r="L13264">
        <f>_xlfn.XLOOKUP(Tableau1[[#This Row],[TYPE DE PIECE]],Tableau4[MATIERE],Tableau4[SHORT TYPE],"",0,1)</f>
        <v/>
      </c>
      <c r="N13264">
        <f>IF(ISERR(FIND("DECOUPE",Tableau1[[#This Row],[DESIGNATION]])),"","NEED REF")</f>
        <v/>
      </c>
    </row>
    <row r="13265">
      <c r="B13265" t="n">
        <v>34400740</v>
      </c>
      <c r="C13265" s="2" t="n">
        <v>38160</v>
      </c>
      <c r="D13265" t="inlineStr">
        <is>
          <t>NOM</t>
        </is>
      </c>
      <c r="E13265" t="inlineStr">
        <is>
          <t>LG GESTION NRJ 4 ASI AVEC AUTOMATE</t>
        </is>
      </c>
      <c r="F13265" t="inlineStr">
        <is>
          <t>GALAXY MODULAIRE 400kVA</t>
        </is>
      </c>
      <c r="J13265" t="inlineStr">
        <is>
          <t>FOLTZ</t>
        </is>
      </c>
      <c r="L13265">
        <f>_xlfn.XLOOKUP(Tableau1[[#This Row],[TYPE DE PIECE]],Tableau4[MATIERE],Tableau4[SHORT TYPE],"",0,1)</f>
        <v/>
      </c>
      <c r="N13265">
        <f>IF(ISERR(FIND("DECOUPE",Tableau1[[#This Row],[DESIGNATION]])),"","NEED REF")</f>
        <v/>
      </c>
    </row>
    <row r="13266">
      <c r="B13266" t="n">
        <v>34400739</v>
      </c>
      <c r="C13266" s="2" t="n">
        <v>38160</v>
      </c>
      <c r="D13266" t="inlineStr">
        <is>
          <t>CDC</t>
        </is>
      </c>
      <c r="E13266" t="inlineStr">
        <is>
          <t>PMM ADAPTE</t>
        </is>
      </c>
      <c r="F13266" t="inlineStr">
        <is>
          <t>PMM</t>
        </is>
      </c>
      <c r="J13266" t="inlineStr">
        <is>
          <t>REVEL</t>
        </is>
      </c>
      <c r="L13266">
        <f>_xlfn.XLOOKUP(Tableau1[[#This Row],[TYPE DE PIECE]],Tableau4[MATIERE],Tableau4[SHORT TYPE],"",0,1)</f>
        <v/>
      </c>
      <c r="N13266">
        <f>IF(ISERR(FIND("DECOUPE",Tableau1[[#This Row],[DESIGNATION]])),"","NEED REF")</f>
        <v/>
      </c>
    </row>
    <row r="13267">
      <c r="B13267" t="n">
        <v>34400738</v>
      </c>
      <c r="C13267" s="2" t="n">
        <v>38160</v>
      </c>
      <c r="D13267" t="inlineStr">
        <is>
          <t>SPEC</t>
        </is>
      </c>
      <c r="E13267" t="inlineStr">
        <is>
          <t>Plaque de fond IP42 armoire batterie</t>
        </is>
      </c>
      <c r="F13267" t="inlineStr">
        <is>
          <t>Armoire batterie 715*1900 PW</t>
        </is>
      </c>
      <c r="J13267" t="inlineStr">
        <is>
          <t>REVEL</t>
        </is>
      </c>
      <c r="L13267">
        <f>_xlfn.XLOOKUP(Tableau1[[#This Row],[TYPE DE PIECE]],Tableau4[MATIERE],Tableau4[SHORT TYPE],"",0,1)</f>
        <v/>
      </c>
      <c r="N13267">
        <f>IF(ISERR(FIND("DECOUPE",Tableau1[[#This Row],[DESIGNATION]])),"","NEED REF")</f>
        <v/>
      </c>
    </row>
    <row r="13268">
      <c r="B13268" t="n">
        <v>34400737</v>
      </c>
      <c r="C13268" s="2" t="n">
        <v>38160</v>
      </c>
      <c r="D13268" t="inlineStr">
        <is>
          <t>NOM</t>
        </is>
      </c>
      <c r="E13268" t="inlineStr">
        <is>
          <t>LG IP42 ARMOIRE BATTERIE L=715 1900</t>
        </is>
      </c>
      <c r="F13268" t="inlineStr">
        <is>
          <t xml:space="preserve">GALAXY PW </t>
        </is>
      </c>
      <c r="J13268" t="inlineStr">
        <is>
          <t>REVEL</t>
        </is>
      </c>
      <c r="L13268">
        <f>_xlfn.XLOOKUP(Tableau1[[#This Row],[TYPE DE PIECE]],Tableau4[MATIERE],Tableau4[SHORT TYPE],"",0,1)</f>
        <v/>
      </c>
      <c r="N13268">
        <f>IF(ISERR(FIND("DECOUPE",Tableau1[[#This Row],[DESIGNATION]])),"","NEED REF")</f>
        <v/>
      </c>
    </row>
    <row r="13269">
      <c r="B13269" t="n">
        <v>34400736</v>
      </c>
      <c r="C13269" s="2" t="n">
        <v>38155</v>
      </c>
      <c r="D13269" t="inlineStr">
        <is>
          <t>CDC</t>
        </is>
      </c>
      <c r="E13269" t="inlineStr">
        <is>
          <t>PMM ADAPTE</t>
        </is>
      </c>
      <c r="F13269" t="inlineStr">
        <is>
          <t>PMM</t>
        </is>
      </c>
      <c r="J13269" t="inlineStr">
        <is>
          <t>REVEL</t>
        </is>
      </c>
      <c r="L13269">
        <f>_xlfn.XLOOKUP(Tableau1[[#This Row],[TYPE DE PIECE]],Tableau4[MATIERE],Tableau4[SHORT TYPE],"",0,1)</f>
        <v/>
      </c>
      <c r="N13269">
        <f>IF(ISERR(FIND("DECOUPE",Tableau1[[#This Row],[DESIGNATION]])),"","NEED REF")</f>
        <v/>
      </c>
    </row>
    <row r="13270">
      <c r="B13270" t="n">
        <v>34400735</v>
      </c>
      <c r="C13270" s="2" t="n">
        <v>38154</v>
      </c>
      <c r="D13270" t="inlineStr">
        <is>
          <t>CDC</t>
        </is>
      </c>
      <c r="E13270" t="inlineStr">
        <is>
          <t>ARMOIRE 800x600x400</t>
        </is>
      </c>
      <c r="F13270" t="inlineStr">
        <is>
          <t>PULSAR EXTREME MARINE</t>
        </is>
      </c>
      <c r="J13270" t="inlineStr">
        <is>
          <t>REVEL</t>
        </is>
      </c>
      <c r="L13270">
        <f>_xlfn.XLOOKUP(Tableau1[[#This Row],[TYPE DE PIECE]],Tableau4[MATIERE],Tableau4[SHORT TYPE],"",0,1)</f>
        <v/>
      </c>
      <c r="N13270">
        <f>IF(ISERR(FIND("DECOUPE",Tableau1[[#This Row],[DESIGNATION]])),"","NEED REF")</f>
        <v/>
      </c>
    </row>
    <row r="13271">
      <c r="B13271" t="n">
        <v>34400734</v>
      </c>
      <c r="C13271" s="2" t="n">
        <v>38153</v>
      </c>
      <c r="D13271" t="inlineStr">
        <is>
          <t>NOM</t>
        </is>
      </c>
      <c r="E13271" t="inlineStr">
        <is>
          <t>LG IP32 COMET S31 5KVA</t>
        </is>
      </c>
      <c r="F13271" t="inlineStr">
        <is>
          <t>COMET S31 5kVA</t>
        </is>
      </c>
      <c r="J13271" t="inlineStr">
        <is>
          <t>REVEL</t>
        </is>
      </c>
      <c r="L13271">
        <f>_xlfn.XLOOKUP(Tableau1[[#This Row],[TYPE DE PIECE]],Tableau4[MATIERE],Tableau4[SHORT TYPE],"",0,1)</f>
        <v/>
      </c>
      <c r="N13271">
        <f>IF(ISERR(FIND("DECOUPE",Tableau1[[#This Row],[DESIGNATION]])),"","NEED REF")</f>
        <v/>
      </c>
    </row>
    <row r="13272">
      <c r="B13272" t="n">
        <v>34400733</v>
      </c>
      <c r="C13272" s="2" t="n">
        <v>38153</v>
      </c>
      <c r="D13272" t="inlineStr">
        <is>
          <t>NOM</t>
        </is>
      </c>
      <c r="E13272" t="inlineStr">
        <is>
          <t>SERRURE DOUBLE BARRE 3MM</t>
        </is>
      </c>
      <c r="F13272" t="inlineStr">
        <is>
          <t>ARM PW L=715</t>
        </is>
      </c>
      <c r="J13272" t="inlineStr">
        <is>
          <t>REVEL</t>
        </is>
      </c>
      <c r="L13272">
        <f>_xlfn.XLOOKUP(Tableau1[[#This Row],[TYPE DE PIECE]],Tableau4[MATIERE],Tableau4[SHORT TYPE],"",0,1)</f>
        <v/>
      </c>
      <c r="N13272">
        <f>IF(ISERR(FIND("DECOUPE",Tableau1[[#This Row],[DESIGNATION]])),"","NEED REF")</f>
        <v/>
      </c>
    </row>
    <row r="13273">
      <c r="B13273" t="n">
        <v>34400732</v>
      </c>
      <c r="C13273" s="2" t="n">
        <v>38153</v>
      </c>
      <c r="D13273" t="inlineStr">
        <is>
          <t>NOM</t>
        </is>
      </c>
      <c r="E13273" t="inlineStr">
        <is>
          <t>SERRURE DOUBLE BARRE 3MM</t>
        </is>
      </c>
      <c r="F13273" t="inlineStr">
        <is>
          <t>ARM PW L=1015/1215</t>
        </is>
      </c>
      <c r="J13273" t="inlineStr">
        <is>
          <t>REVEL</t>
        </is>
      </c>
      <c r="L13273">
        <f>_xlfn.XLOOKUP(Tableau1[[#This Row],[TYPE DE PIECE]],Tableau4[MATIERE],Tableau4[SHORT TYPE],"",0,1)</f>
        <v/>
      </c>
      <c r="N13273">
        <f>IF(ISERR(FIND("DECOUPE",Tableau1[[#This Row],[DESIGNATION]])),"","NEED REF")</f>
        <v/>
      </c>
    </row>
    <row r="13274">
      <c r="B13274" t="n">
        <v>34400731</v>
      </c>
      <c r="C13274" s="2" t="n">
        <v>38153</v>
      </c>
      <c r="D13274" t="inlineStr">
        <is>
          <t>SPEC</t>
        </is>
      </c>
      <c r="E13274" t="inlineStr">
        <is>
          <t>EQUERRE DE RENFORT ARM CLIM SAREL</t>
        </is>
      </c>
      <c r="F13274" t="inlineStr">
        <is>
          <t>GALAXY 3000 30kVA</t>
        </is>
      </c>
      <c r="J13274" t="inlineStr">
        <is>
          <t>ROBERT</t>
        </is>
      </c>
      <c r="L13274">
        <f>_xlfn.XLOOKUP(Tableau1[[#This Row],[TYPE DE PIECE]],Tableau4[MATIERE],Tableau4[SHORT TYPE],"",0,1)</f>
        <v/>
      </c>
      <c r="N13274">
        <f>IF(ISERR(FIND("DECOUPE",Tableau1[[#This Row],[DESIGNATION]])),"","NEED REF")</f>
        <v/>
      </c>
    </row>
    <row r="13275">
      <c r="B13275" t="n">
        <v>34400730</v>
      </c>
      <c r="C13275" s="2" t="n">
        <v>38152</v>
      </c>
      <c r="E13275" t="inlineStr">
        <is>
          <t>RESERVE STS UPSILON 1800A</t>
        </is>
      </c>
      <c r="J13275" t="inlineStr">
        <is>
          <t>FOLTZ</t>
        </is>
      </c>
      <c r="L13275">
        <f>_xlfn.XLOOKUP(Tableau1[[#This Row],[TYPE DE PIECE]],Tableau4[MATIERE],Tableau4[SHORT TYPE],"",0,1)</f>
        <v/>
      </c>
      <c r="N13275">
        <f>IF(ISERR(FIND("DECOUPE",Tableau1[[#This Row],[DESIGNATION]])),"","NEED REF")</f>
        <v/>
      </c>
    </row>
    <row r="13276">
      <c r="B13276" t="n">
        <v>34400729</v>
      </c>
      <c r="C13276" s="2" t="n">
        <v>38152</v>
      </c>
      <c r="E13276" t="inlineStr">
        <is>
          <t>RESERVE STS UPSILON 1800A</t>
        </is>
      </c>
      <c r="J13276" t="inlineStr">
        <is>
          <t>FOLTZ</t>
        </is>
      </c>
      <c r="L13276">
        <f>_xlfn.XLOOKUP(Tableau1[[#This Row],[TYPE DE PIECE]],Tableau4[MATIERE],Tableau4[SHORT TYPE],"",0,1)</f>
        <v/>
      </c>
      <c r="N13276">
        <f>IF(ISERR(FIND("DECOUPE",Tableau1[[#This Row],[DESIGNATION]])),"","NEED REF")</f>
        <v/>
      </c>
    </row>
    <row r="13277">
      <c r="B13277" t="n">
        <v>34400728</v>
      </c>
      <c r="C13277" s="2" t="n">
        <v>38152</v>
      </c>
      <c r="E13277" t="inlineStr">
        <is>
          <t>RESERVE STS UPSILON 1800A</t>
        </is>
      </c>
      <c r="J13277" t="inlineStr">
        <is>
          <t>FOLTZ</t>
        </is>
      </c>
      <c r="L13277">
        <f>_xlfn.XLOOKUP(Tableau1[[#This Row],[TYPE DE PIECE]],Tableau4[MATIERE],Tableau4[SHORT TYPE],"",0,1)</f>
        <v/>
      </c>
      <c r="N13277">
        <f>IF(ISERR(FIND("DECOUPE",Tableau1[[#This Row],[DESIGNATION]])),"","NEED REF")</f>
        <v/>
      </c>
    </row>
    <row r="13278">
      <c r="B13278" t="n">
        <v>34400727</v>
      </c>
      <c r="C13278" s="2" t="n">
        <v>38152</v>
      </c>
      <c r="E13278" t="inlineStr">
        <is>
          <t>RESERVE STS UPSILON 1800A</t>
        </is>
      </c>
      <c r="J13278" t="inlineStr">
        <is>
          <t>FOLTZ</t>
        </is>
      </c>
      <c r="L13278">
        <f>_xlfn.XLOOKUP(Tableau1[[#This Row],[TYPE DE PIECE]],Tableau4[MATIERE],Tableau4[SHORT TYPE],"",0,1)</f>
        <v/>
      </c>
      <c r="N13278">
        <f>IF(ISERR(FIND("DECOUPE",Tableau1[[#This Row],[DESIGNATION]])),"","NEED REF")</f>
        <v/>
      </c>
    </row>
    <row r="13279">
      <c r="B13279" t="n">
        <v>34400726</v>
      </c>
      <c r="C13279" s="2" t="n">
        <v>38152</v>
      </c>
      <c r="E13279" t="inlineStr">
        <is>
          <t>RESERVE STS UPSILON 1800A</t>
        </is>
      </c>
      <c r="J13279" t="inlineStr">
        <is>
          <t>FOLTZ</t>
        </is>
      </c>
      <c r="L13279">
        <f>_xlfn.XLOOKUP(Tableau1[[#This Row],[TYPE DE PIECE]],Tableau4[MATIERE],Tableau4[SHORT TYPE],"",0,1)</f>
        <v/>
      </c>
      <c r="N13279">
        <f>IF(ISERR(FIND("DECOUPE",Tableau1[[#This Row],[DESIGNATION]])),"","NEED REF")</f>
        <v/>
      </c>
    </row>
    <row r="13280">
      <c r="B13280" t="n">
        <v>34400725</v>
      </c>
      <c r="C13280" s="2" t="n">
        <v>38152</v>
      </c>
      <c r="E13280" t="inlineStr">
        <is>
          <t>RESERVE STS UPSILON 1800A</t>
        </is>
      </c>
      <c r="J13280" t="inlineStr">
        <is>
          <t>FOLTZ</t>
        </is>
      </c>
      <c r="L13280">
        <f>_xlfn.XLOOKUP(Tableau1[[#This Row],[TYPE DE PIECE]],Tableau4[MATIERE],Tableau4[SHORT TYPE],"",0,1)</f>
        <v/>
      </c>
      <c r="N13280">
        <f>IF(ISERR(FIND("DECOUPE",Tableau1[[#This Row],[DESIGNATION]])),"","NEED REF")</f>
        <v/>
      </c>
    </row>
    <row r="13281">
      <c r="B13281" t="n">
        <v>34400724</v>
      </c>
      <c r="C13281" s="2" t="n">
        <v>38152</v>
      </c>
      <c r="E13281" t="inlineStr">
        <is>
          <t>RESERVE STS UPSILON 1800A</t>
        </is>
      </c>
      <c r="J13281" t="inlineStr">
        <is>
          <t>FOLTZ</t>
        </is>
      </c>
      <c r="L13281">
        <f>_xlfn.XLOOKUP(Tableau1[[#This Row],[TYPE DE PIECE]],Tableau4[MATIERE],Tableau4[SHORT TYPE],"",0,1)</f>
        <v/>
      </c>
      <c r="N13281">
        <f>IF(ISERR(FIND("DECOUPE",Tableau1[[#This Row],[DESIGNATION]])),"","NEED REF")</f>
        <v/>
      </c>
    </row>
    <row r="13282">
      <c r="B13282" t="n">
        <v>34400723</v>
      </c>
      <c r="C13282" s="2" t="n">
        <v>38152</v>
      </c>
      <c r="E13282" t="inlineStr">
        <is>
          <t>RESERVE STS UPSILON 1800A</t>
        </is>
      </c>
      <c r="J13282" t="inlineStr">
        <is>
          <t>FOLTZ</t>
        </is>
      </c>
      <c r="L13282">
        <f>_xlfn.XLOOKUP(Tableau1[[#This Row],[TYPE DE PIECE]],Tableau4[MATIERE],Tableau4[SHORT TYPE],"",0,1)</f>
        <v/>
      </c>
      <c r="N13282">
        <f>IF(ISERR(FIND("DECOUPE",Tableau1[[#This Row],[DESIGNATION]])),"","NEED REF")</f>
        <v/>
      </c>
    </row>
    <row r="13283">
      <c r="B13283" t="n">
        <v>34400722</v>
      </c>
      <c r="C13283" s="2" t="n">
        <v>38152</v>
      </c>
      <c r="E13283" t="inlineStr">
        <is>
          <t>RESERVE STS UPSILON 1800A</t>
        </is>
      </c>
      <c r="J13283" t="inlineStr">
        <is>
          <t>FOLTZ</t>
        </is>
      </c>
      <c r="L13283">
        <f>_xlfn.XLOOKUP(Tableau1[[#This Row],[TYPE DE PIECE]],Tableau4[MATIERE],Tableau4[SHORT TYPE],"",0,1)</f>
        <v/>
      </c>
      <c r="N13283">
        <f>IF(ISERR(FIND("DECOUPE",Tableau1[[#This Row],[DESIGNATION]])),"","NEED REF")</f>
        <v/>
      </c>
    </row>
    <row r="13284">
      <c r="B13284" t="n">
        <v>34400721</v>
      </c>
      <c r="C13284" s="2" t="n">
        <v>38152</v>
      </c>
      <c r="E13284" t="inlineStr">
        <is>
          <t>RESERVE STS UPSILON 1800A</t>
        </is>
      </c>
      <c r="J13284" t="inlineStr">
        <is>
          <t>FOLTZ</t>
        </is>
      </c>
      <c r="L13284">
        <f>_xlfn.XLOOKUP(Tableau1[[#This Row],[TYPE DE PIECE]],Tableau4[MATIERE],Tableau4[SHORT TYPE],"",0,1)</f>
        <v/>
      </c>
      <c r="N13284">
        <f>IF(ISERR(FIND("DECOUPE",Tableau1[[#This Row],[DESIGNATION]])),"","NEED REF")</f>
        <v/>
      </c>
    </row>
    <row r="13285">
      <c r="B13285" t="n">
        <v>34400720</v>
      </c>
      <c r="C13285" s="2" t="n">
        <v>38152</v>
      </c>
      <c r="E13285" t="inlineStr">
        <is>
          <t>RESERVE STS UPSILON 1800A</t>
        </is>
      </c>
      <c r="J13285" t="inlineStr">
        <is>
          <t>FOLTZ</t>
        </is>
      </c>
      <c r="L13285">
        <f>_xlfn.XLOOKUP(Tableau1[[#This Row],[TYPE DE PIECE]],Tableau4[MATIERE],Tableau4[SHORT TYPE],"",0,1)</f>
        <v/>
      </c>
      <c r="N13285">
        <f>IF(ISERR(FIND("DECOUPE",Tableau1[[#This Row],[DESIGNATION]])),"","NEED REF")</f>
        <v/>
      </c>
    </row>
    <row r="13286">
      <c r="B13286" t="n">
        <v>34400719</v>
      </c>
      <c r="C13286" s="2" t="n">
        <v>38152</v>
      </c>
      <c r="E13286" t="inlineStr">
        <is>
          <t>RESERVE STS UPSILON 1800A</t>
        </is>
      </c>
      <c r="J13286" t="inlineStr">
        <is>
          <t>FOLTZ</t>
        </is>
      </c>
      <c r="L13286">
        <f>_xlfn.XLOOKUP(Tableau1[[#This Row],[TYPE DE PIECE]],Tableau4[MATIERE],Tableau4[SHORT TYPE],"",0,1)</f>
        <v/>
      </c>
      <c r="N13286">
        <f>IF(ISERR(FIND("DECOUPE",Tableau1[[#This Row],[DESIGNATION]])),"","NEED REF")</f>
        <v/>
      </c>
    </row>
    <row r="13287">
      <c r="B13287" t="n">
        <v>34400718</v>
      </c>
      <c r="C13287" s="2" t="n">
        <v>38152</v>
      </c>
      <c r="E13287" t="inlineStr">
        <is>
          <t>RESERVE STS UPSILON 1800A</t>
        </is>
      </c>
      <c r="J13287" t="inlineStr">
        <is>
          <t>FOLTZ</t>
        </is>
      </c>
      <c r="L13287">
        <f>_xlfn.XLOOKUP(Tableau1[[#This Row],[TYPE DE PIECE]],Tableau4[MATIERE],Tableau4[SHORT TYPE],"",0,1)</f>
        <v/>
      </c>
      <c r="N13287">
        <f>IF(ISERR(FIND("DECOUPE",Tableau1[[#This Row],[DESIGNATION]])),"","NEED REF")</f>
        <v/>
      </c>
    </row>
    <row r="13288">
      <c r="B13288" t="n">
        <v>34400717</v>
      </c>
      <c r="C13288" s="2" t="n">
        <v>38152</v>
      </c>
      <c r="E13288" t="inlineStr">
        <is>
          <t>RESERVE STS UPSILON 1800A</t>
        </is>
      </c>
      <c r="J13288" t="inlineStr">
        <is>
          <t>FOLTZ</t>
        </is>
      </c>
      <c r="L13288">
        <f>_xlfn.XLOOKUP(Tableau1[[#This Row],[TYPE DE PIECE]],Tableau4[MATIERE],Tableau4[SHORT TYPE],"",0,1)</f>
        <v/>
      </c>
      <c r="N13288">
        <f>IF(ISERR(FIND("DECOUPE",Tableau1[[#This Row],[DESIGNATION]])),"","NEED REF")</f>
        <v/>
      </c>
    </row>
    <row r="13289">
      <c r="B13289" t="n">
        <v>34400716</v>
      </c>
      <c r="C13289" s="2" t="n">
        <v>38152</v>
      </c>
      <c r="D13289" t="inlineStr">
        <is>
          <t>SPEC</t>
        </is>
      </c>
      <c r="E13289" t="inlineStr">
        <is>
          <t>CAPOT AFFICHEUR PORTE STS 1200A</t>
        </is>
      </c>
      <c r="F13289" t="inlineStr">
        <is>
          <t>STS UPSILON 1200A</t>
        </is>
      </c>
      <c r="J13289" t="inlineStr">
        <is>
          <t>FOLTZ</t>
        </is>
      </c>
      <c r="L13289">
        <f>_xlfn.XLOOKUP(Tableau1[[#This Row],[TYPE DE PIECE]],Tableau4[MATIERE],Tableau4[SHORT TYPE],"",0,1)</f>
        <v/>
      </c>
      <c r="N13289">
        <f>IF(ISERR(FIND("DECOUPE",Tableau1[[#This Row],[DESIGNATION]])),"","NEED REF")</f>
        <v/>
      </c>
    </row>
    <row r="13290">
      <c r="B13290" t="n">
        <v>34400715</v>
      </c>
      <c r="C13290" s="2" t="n">
        <v>38152</v>
      </c>
      <c r="D13290" t="inlineStr">
        <is>
          <t>SPEC</t>
        </is>
      </c>
      <c r="E13290" t="inlineStr">
        <is>
          <t>FILERIE STS 1200A PORTE</t>
        </is>
      </c>
      <c r="F13290" t="inlineStr">
        <is>
          <t>STS UPSILON 1200A</t>
        </is>
      </c>
      <c r="J13290" t="inlineStr">
        <is>
          <t>FOLTZ</t>
        </is>
      </c>
      <c r="L13290">
        <f>_xlfn.XLOOKUP(Tableau1[[#This Row],[TYPE DE PIECE]],Tableau4[MATIERE],Tableau4[SHORT TYPE],"",0,1)</f>
        <v/>
      </c>
      <c r="N13290">
        <f>IF(ISERR(FIND("DECOUPE",Tableau1[[#This Row],[DESIGNATION]])),"","NEED REF")</f>
        <v/>
      </c>
    </row>
    <row r="13291">
      <c r="B13291" t="n">
        <v>34400714</v>
      </c>
      <c r="C13291" s="2" t="n">
        <v>38152</v>
      </c>
      <c r="D13291" t="inlineStr">
        <is>
          <t>SPEC</t>
        </is>
      </c>
      <c r="E13291" t="inlineStr">
        <is>
          <t>FILERIE STS 1200A By-pass-MODULE ELEC</t>
        </is>
      </c>
      <c r="F13291" t="inlineStr">
        <is>
          <t>STS UPSILON 1200A</t>
        </is>
      </c>
      <c r="J13291" t="inlineStr">
        <is>
          <t>FOLTZ</t>
        </is>
      </c>
      <c r="L13291">
        <f>_xlfn.XLOOKUP(Tableau1[[#This Row],[TYPE DE PIECE]],Tableau4[MATIERE],Tableau4[SHORT TYPE],"",0,1)</f>
        <v/>
      </c>
      <c r="N13291">
        <f>IF(ISERR(FIND("DECOUPE",Tableau1[[#This Row],[DESIGNATION]])),"","NEED REF")</f>
        <v/>
      </c>
    </row>
    <row r="13292">
      <c r="B13292" t="n">
        <v>34400713</v>
      </c>
      <c r="C13292" s="2" t="n">
        <v>38152</v>
      </c>
      <c r="D13292" t="inlineStr">
        <is>
          <t>SPEC</t>
        </is>
      </c>
      <c r="E13292" t="inlineStr">
        <is>
          <t>FILERIE STS 1200A pour 1 phase CS-DROE</t>
        </is>
      </c>
      <c r="F13292" t="inlineStr">
        <is>
          <t>STS UPSILON 1200A</t>
        </is>
      </c>
      <c r="J13292" t="inlineStr">
        <is>
          <t>FOLTZ</t>
        </is>
      </c>
      <c r="L13292">
        <f>_xlfn.XLOOKUP(Tableau1[[#This Row],[TYPE DE PIECE]],Tableau4[MATIERE],Tableau4[SHORT TYPE],"",0,1)</f>
        <v/>
      </c>
      <c r="N13292">
        <f>IF(ISERR(FIND("DECOUPE",Tableau1[[#This Row],[DESIGNATION]])),"","NEED REF")</f>
        <v/>
      </c>
    </row>
    <row r="13293">
      <c r="B13293" t="n">
        <v>34400712</v>
      </c>
      <c r="C13293" s="2" t="n">
        <v>38152</v>
      </c>
      <c r="D13293" t="inlineStr">
        <is>
          <t>SPEC</t>
        </is>
      </c>
      <c r="E13293" t="inlineStr">
        <is>
          <t>ENSEMBLE PORTE GAUCHE NUE STS UPSILON 1200A</t>
        </is>
      </c>
      <c r="F13293" t="inlineStr">
        <is>
          <t>STS UPSILON 1200A</t>
        </is>
      </c>
      <c r="J13293" t="inlineStr">
        <is>
          <t>FOLTZ</t>
        </is>
      </c>
      <c r="L13293">
        <f>_xlfn.XLOOKUP(Tableau1[[#This Row],[TYPE DE PIECE]],Tableau4[MATIERE],Tableau4[SHORT TYPE],"",0,1)</f>
        <v/>
      </c>
      <c r="N13293">
        <f>IF(ISERR(FIND("DECOUPE",Tableau1[[#This Row],[DESIGNATION]])),"","NEED REF")</f>
        <v/>
      </c>
    </row>
    <row r="13294">
      <c r="B13294" t="n">
        <v>34400711</v>
      </c>
      <c r="C13294" s="2" t="n">
        <v>38152</v>
      </c>
      <c r="D13294" t="inlineStr">
        <is>
          <t>SPEC</t>
        </is>
      </c>
      <c r="E13294" t="inlineStr">
        <is>
          <t>PORTE GAUCHE NUE STS UPSILON 1200A</t>
        </is>
      </c>
      <c r="F13294" t="inlineStr">
        <is>
          <t>STS UPSILON 1200A</t>
        </is>
      </c>
      <c r="J13294" t="inlineStr">
        <is>
          <t>FOLTZ</t>
        </is>
      </c>
      <c r="L13294">
        <f>_xlfn.XLOOKUP(Tableau1[[#This Row],[TYPE DE PIECE]],Tableau4[MATIERE],Tableau4[SHORT TYPE],"",0,1)</f>
        <v/>
      </c>
      <c r="N13294">
        <f>IF(ISERR(FIND("DECOUPE",Tableau1[[#This Row],[DESIGNATION]])),"","NEED REF")</f>
        <v/>
      </c>
    </row>
    <row r="13295">
      <c r="B13295" t="n">
        <v>34400710</v>
      </c>
      <c r="C13295" s="2" t="n">
        <v>38152</v>
      </c>
      <c r="D13295" t="inlineStr">
        <is>
          <t>SPEC</t>
        </is>
      </c>
      <c r="E13295" t="inlineStr">
        <is>
          <t>ENSEMBLE PORTE GAUCHE AFFICH STS UPSILON 1200A</t>
        </is>
      </c>
      <c r="F13295" t="inlineStr">
        <is>
          <t>STS UPSILON 1200A</t>
        </is>
      </c>
      <c r="J13295" t="inlineStr">
        <is>
          <t>FOLTZ</t>
        </is>
      </c>
      <c r="L13295">
        <f>_xlfn.XLOOKUP(Tableau1[[#This Row],[TYPE DE PIECE]],Tableau4[MATIERE],Tableau4[SHORT TYPE],"",0,1)</f>
        <v/>
      </c>
      <c r="N13295">
        <f>IF(ISERR(FIND("DECOUPE",Tableau1[[#This Row],[DESIGNATION]])),"","NEED REF")</f>
        <v/>
      </c>
    </row>
    <row r="13296">
      <c r="B13296" t="n">
        <v>34400709</v>
      </c>
      <c r="C13296" s="2" t="n">
        <v>38152</v>
      </c>
      <c r="D13296" t="inlineStr">
        <is>
          <t>SPEC</t>
        </is>
      </c>
      <c r="E13296" t="inlineStr">
        <is>
          <t>PORTE GAUCHE AFFICHEUR STS UPSILON 1200A</t>
        </is>
      </c>
      <c r="F13296" t="inlineStr">
        <is>
          <t>STS UPSILON 1200A</t>
        </is>
      </c>
      <c r="J13296" t="inlineStr">
        <is>
          <t>FOLTZ</t>
        </is>
      </c>
      <c r="L13296">
        <f>_xlfn.XLOOKUP(Tableau1[[#This Row],[TYPE DE PIECE]],Tableau4[MATIERE],Tableau4[SHORT TYPE],"",0,1)</f>
        <v/>
      </c>
      <c r="N13296">
        <f>IF(ISERR(FIND("DECOUPE",Tableau1[[#This Row],[DESIGNATION]])),"","NEED REF")</f>
        <v/>
      </c>
    </row>
    <row r="13297">
      <c r="B13297" t="n">
        <v>34400708</v>
      </c>
      <c r="C13297" s="2" t="n">
        <v>38152</v>
      </c>
      <c r="D13297" t="inlineStr">
        <is>
          <t>SPEC</t>
        </is>
      </c>
      <c r="E13297" t="inlineStr">
        <is>
          <t>Ensemble porte DTE STS UPSILON 1200A</t>
        </is>
      </c>
      <c r="F13297" t="inlineStr">
        <is>
          <t>STS UPSILON 1200A</t>
        </is>
      </c>
      <c r="J13297" t="inlineStr">
        <is>
          <t>FOLTZ</t>
        </is>
      </c>
      <c r="L13297">
        <f>_xlfn.XLOOKUP(Tableau1[[#This Row],[TYPE DE PIECE]],Tableau4[MATIERE],Tableau4[SHORT TYPE],"",0,1)</f>
        <v/>
      </c>
      <c r="N13297">
        <f>IF(ISERR(FIND("DECOUPE",Tableau1[[#This Row],[DESIGNATION]])),"","NEED REF")</f>
        <v/>
      </c>
    </row>
    <row r="13298">
      <c r="B13298" t="n">
        <v>34400707</v>
      </c>
      <c r="C13298" s="2" t="n">
        <v>38152</v>
      </c>
      <c r="D13298" t="inlineStr">
        <is>
          <t>SPEC</t>
        </is>
      </c>
      <c r="E13298" t="inlineStr">
        <is>
          <t>Porte dte STS UPSILON 1200A</t>
        </is>
      </c>
      <c r="F13298" t="inlineStr">
        <is>
          <t>STS UPSILON 1200A</t>
        </is>
      </c>
      <c r="J13298" t="inlineStr">
        <is>
          <t>FOLTZ</t>
        </is>
      </c>
      <c r="L13298">
        <f>_xlfn.XLOOKUP(Tableau1[[#This Row],[TYPE DE PIECE]],Tableau4[MATIERE],Tableau4[SHORT TYPE],"",0,1)</f>
        <v/>
      </c>
      <c r="N13298">
        <f>IF(ISERR(FIND("DECOUPE",Tableau1[[#This Row],[DESIGNATION]])),"","NEED REF")</f>
        <v/>
      </c>
    </row>
    <row r="13299">
      <c r="B13299" t="n">
        <v>34400706</v>
      </c>
      <c r="C13299" s="2" t="n">
        <v>38152</v>
      </c>
      <c r="D13299" t="inlineStr">
        <is>
          <t>SPEC</t>
        </is>
      </c>
      <c r="E13299" t="inlineStr">
        <is>
          <t>TORON DROE-MODULE ELEC STS UPSILON 1200A CELLULE DROITE S2</t>
        </is>
      </c>
      <c r="F13299" t="inlineStr">
        <is>
          <t>STS UPSILON 1200A</t>
        </is>
      </c>
      <c r="J13299" t="inlineStr">
        <is>
          <t>FOLTZ</t>
        </is>
      </c>
      <c r="L13299">
        <f>_xlfn.XLOOKUP(Tableau1[[#This Row],[TYPE DE PIECE]],Tableau4[MATIERE],Tableau4[SHORT TYPE],"",0,1)</f>
        <v/>
      </c>
      <c r="N13299">
        <f>IF(ISERR(FIND("DECOUPE",Tableau1[[#This Row],[DESIGNATION]])),"","NEED REF")</f>
        <v/>
      </c>
    </row>
    <row r="13300">
      <c r="B13300" t="n">
        <v>34400705</v>
      </c>
      <c r="C13300" s="2" t="n">
        <v>38152</v>
      </c>
      <c r="D13300" t="inlineStr">
        <is>
          <t>NOM</t>
        </is>
      </c>
      <c r="E13300" t="inlineStr">
        <is>
          <t>LG ETOILE RC</t>
        </is>
      </c>
      <c r="F13300" t="inlineStr">
        <is>
          <t>STS UPSILON 1200A</t>
        </is>
      </c>
      <c r="J13300" t="inlineStr">
        <is>
          <t>FOLTZ</t>
        </is>
      </c>
      <c r="L13300">
        <f>_xlfn.XLOOKUP(Tableau1[[#This Row],[TYPE DE PIECE]],Tableau4[MATIERE],Tableau4[SHORT TYPE],"",0,1)</f>
        <v/>
      </c>
      <c r="N13300">
        <f>IF(ISERR(FIND("DECOUPE",Tableau1[[#This Row],[DESIGNATION]])),"","NEED REF")</f>
        <v/>
      </c>
    </row>
    <row r="13301">
      <c r="B13301" t="n">
        <v>34400704</v>
      </c>
      <c r="C13301" s="2" t="n">
        <v>38152</v>
      </c>
      <c r="D13301" t="inlineStr">
        <is>
          <t>NOM</t>
        </is>
      </c>
      <c r="E13301" t="inlineStr">
        <is>
          <t>LG CS STS UPSILON 1200A</t>
        </is>
      </c>
      <c r="F13301" t="inlineStr">
        <is>
          <t>STS UPSILON 1200A</t>
        </is>
      </c>
      <c r="J13301" t="inlineStr">
        <is>
          <t>FOLTZ</t>
        </is>
      </c>
      <c r="L13301">
        <f>_xlfn.XLOOKUP(Tableau1[[#This Row],[TYPE DE PIECE]],Tableau4[MATIERE],Tableau4[SHORT TYPE],"",0,1)</f>
        <v/>
      </c>
      <c r="N13301">
        <f>IF(ISERR(FIND("DECOUPE",Tableau1[[#This Row],[DESIGNATION]])),"","NEED REF")</f>
        <v/>
      </c>
    </row>
    <row r="13302">
      <c r="B13302" t="n">
        <v>34400703</v>
      </c>
      <c r="C13302" s="2" t="n">
        <v>38152</v>
      </c>
      <c r="D13302" t="inlineStr">
        <is>
          <t>NOM</t>
        </is>
      </c>
      <c r="E13302" t="inlineStr">
        <is>
          <t>LEGENDE CELLULE DROITE SOURCE 2 STS UPSILON 1200A</t>
        </is>
      </c>
      <c r="F13302" t="inlineStr">
        <is>
          <t>STS UPSILON 1200A</t>
        </is>
      </c>
      <c r="J13302" t="inlineStr">
        <is>
          <t>FOLTZ</t>
        </is>
      </c>
      <c r="L13302">
        <f>_xlfn.XLOOKUP(Tableau1[[#This Row],[TYPE DE PIECE]],Tableau4[MATIERE],Tableau4[SHORT TYPE],"",0,1)</f>
        <v/>
      </c>
      <c r="N13302">
        <f>IF(ISERR(FIND("DECOUPE",Tableau1[[#This Row],[DESIGNATION]])),"","NEED REF")</f>
        <v/>
      </c>
    </row>
    <row r="13303">
      <c r="B13303" t="n">
        <v>34400702</v>
      </c>
      <c r="C13303" s="2" t="n">
        <v>38152</v>
      </c>
      <c r="D13303" t="inlineStr">
        <is>
          <t>NOM</t>
        </is>
      </c>
      <c r="E13303" t="inlineStr">
        <is>
          <t>LEGENDE CELLULE GAUCHE SOURCE 1 STS UPSILON 1200A</t>
        </is>
      </c>
      <c r="F13303" t="inlineStr">
        <is>
          <t>STS UPSILON 1200A</t>
        </is>
      </c>
      <c r="J13303" t="inlineStr">
        <is>
          <t>FOLTZ</t>
        </is>
      </c>
      <c r="L13303">
        <f>_xlfn.XLOOKUP(Tableau1[[#This Row],[TYPE DE PIECE]],Tableau4[MATIERE],Tableau4[SHORT TYPE],"",0,1)</f>
        <v/>
      </c>
      <c r="N13303">
        <f>IF(ISERR(FIND("DECOUPE",Tableau1[[#This Row],[DESIGNATION]])),"","NEED REF")</f>
        <v/>
      </c>
    </row>
    <row r="13304">
      <c r="B13304" t="n">
        <v>34400701</v>
      </c>
      <c r="C13304" s="2" t="n">
        <v>38152</v>
      </c>
      <c r="D13304" t="inlineStr">
        <is>
          <t>NOM</t>
        </is>
      </c>
      <c r="E13304" t="inlineStr">
        <is>
          <t>LEGENDE STS UPSILON 1200A</t>
        </is>
      </c>
      <c r="F13304" t="inlineStr">
        <is>
          <t>STS UPSILON 1200A</t>
        </is>
      </c>
      <c r="J13304" t="inlineStr">
        <is>
          <t>FOLTZ</t>
        </is>
      </c>
      <c r="L13304">
        <f>_xlfn.XLOOKUP(Tableau1[[#This Row],[TYPE DE PIECE]],Tableau4[MATIERE],Tableau4[SHORT TYPE],"",0,1)</f>
        <v/>
      </c>
      <c r="N13304">
        <f>IF(ISERR(FIND("DECOUPE",Tableau1[[#This Row],[DESIGNATION]])),"","NEED REF")</f>
        <v/>
      </c>
    </row>
    <row r="13305">
      <c r="B13305" t="n">
        <v>34400700</v>
      </c>
      <c r="C13305" s="2" t="n">
        <v>38152</v>
      </c>
      <c r="D13305" t="inlineStr">
        <is>
          <t>SPEC</t>
        </is>
      </c>
      <c r="E13305" t="inlineStr">
        <is>
          <t>SUPPORT GALAXY PW 30kVA VENTILE</t>
        </is>
      </c>
      <c r="F13305" t="inlineStr">
        <is>
          <t>GALAXY PW 30kVA</t>
        </is>
      </c>
      <c r="J13305" t="inlineStr">
        <is>
          <t>ROBERT</t>
        </is>
      </c>
      <c r="L13305">
        <f>_xlfn.XLOOKUP(Tableau1[[#This Row],[TYPE DE PIECE]],Tableau4[MATIERE],Tableau4[SHORT TYPE],"",0,1)</f>
        <v/>
      </c>
      <c r="N13305">
        <f>IF(ISERR(FIND("DECOUPE",Tableau1[[#This Row],[DESIGNATION]])),"","NEED REF")</f>
        <v/>
      </c>
    </row>
    <row r="13306">
      <c r="B13306" t="n">
        <v>34400699</v>
      </c>
      <c r="C13306" s="2" t="n">
        <v>38149</v>
      </c>
      <c r="D13306" t="inlineStr">
        <is>
          <t>CDC</t>
        </is>
      </c>
      <c r="E13306" t="inlineStr">
        <is>
          <t xml:space="preserve">CDC modif toit armoire climatisée </t>
        </is>
      </c>
      <c r="F13306" t="inlineStr">
        <is>
          <t>G3000 30kVA</t>
        </is>
      </c>
      <c r="J13306" t="inlineStr">
        <is>
          <t>ROBERT</t>
        </is>
      </c>
      <c r="L13306">
        <f>_xlfn.XLOOKUP(Tableau1[[#This Row],[TYPE DE PIECE]],Tableau4[MATIERE],Tableau4[SHORT TYPE],"",0,1)</f>
        <v/>
      </c>
      <c r="N13306">
        <f>IF(ISERR(FIND("DECOUPE",Tableau1[[#This Row],[DESIGNATION]])),"","NEED REF")</f>
        <v/>
      </c>
    </row>
    <row r="13307">
      <c r="B13307" t="n">
        <v>34400698</v>
      </c>
      <c r="C13307" s="2" t="n">
        <v>38148</v>
      </c>
      <c r="D13307" t="inlineStr">
        <is>
          <t>SPEC</t>
        </is>
      </c>
      <c r="E13307" t="inlineStr">
        <is>
          <t>KIT CORDONS PRISE DIN</t>
        </is>
      </c>
      <c r="F13307" t="inlineStr">
        <is>
          <t xml:space="preserve">STS 16A PULSAR </t>
        </is>
      </c>
      <c r="J13307" t="inlineStr">
        <is>
          <t>ÇAKIR</t>
        </is>
      </c>
      <c r="L13307">
        <f>_xlfn.XLOOKUP(Tableau1[[#This Row],[TYPE DE PIECE]],Tableau4[MATIERE],Tableau4[SHORT TYPE],"",0,1)</f>
        <v/>
      </c>
      <c r="N13307">
        <f>IF(ISERR(FIND("DECOUPE",Tableau1[[#This Row],[DESIGNATION]])),"","NEED REF")</f>
        <v/>
      </c>
    </row>
    <row r="13308">
      <c r="B13308" t="n">
        <v>34400697</v>
      </c>
      <c r="C13308" s="2" t="n">
        <v>38146</v>
      </c>
      <c r="D13308" t="inlineStr">
        <is>
          <t>CDC</t>
        </is>
      </c>
      <c r="E13308" t="inlineStr">
        <is>
          <t>PMM ADAPTE</t>
        </is>
      </c>
      <c r="F13308" t="inlineStr">
        <is>
          <t xml:space="preserve">PMM   </t>
        </is>
      </c>
      <c r="J13308" t="inlineStr">
        <is>
          <t>REVEL</t>
        </is>
      </c>
      <c r="L13308">
        <f>_xlfn.XLOOKUP(Tableau1[[#This Row],[TYPE DE PIECE]],Tableau4[MATIERE],Tableau4[SHORT TYPE],"",0,1)</f>
        <v/>
      </c>
      <c r="N13308">
        <f>IF(ISERR(FIND("DECOUPE",Tableau1[[#This Row],[DESIGNATION]])),"","NEED REF")</f>
        <v/>
      </c>
    </row>
    <row r="13309">
      <c r="B13309" t="n">
        <v>34400696</v>
      </c>
      <c r="C13309" s="2" t="n">
        <v>38146</v>
      </c>
      <c r="D13309" t="inlineStr">
        <is>
          <t>CDC</t>
        </is>
      </c>
      <c r="E13309" t="inlineStr">
        <is>
          <t>PMM ADAPTE</t>
        </is>
      </c>
      <c r="F13309" t="inlineStr">
        <is>
          <t xml:space="preserve">PMM   </t>
        </is>
      </c>
      <c r="J13309" t="inlineStr">
        <is>
          <t>REVEL</t>
        </is>
      </c>
      <c r="L13309">
        <f>_xlfn.XLOOKUP(Tableau1[[#This Row],[TYPE DE PIECE]],Tableau4[MATIERE],Tableau4[SHORT TYPE],"",0,1)</f>
        <v/>
      </c>
      <c r="N13309">
        <f>IF(ISERR(FIND("DECOUPE",Tableau1[[#This Row],[DESIGNATION]])),"","NEED REF")</f>
        <v/>
      </c>
    </row>
    <row r="13310">
      <c r="B13310" t="n">
        <v>34400695</v>
      </c>
      <c r="C13310" s="2" t="n">
        <v>38141</v>
      </c>
      <c r="D13310" t="inlineStr">
        <is>
          <t>SPEC</t>
        </is>
      </c>
      <c r="E13310" t="inlineStr">
        <is>
          <t>ATFO PHASE SHIFTING 479kVA  P2=24° N2=-24°</t>
        </is>
      </c>
      <c r="F13310" t="inlineStr">
        <is>
          <t>GALAXY 400kVA</t>
        </is>
      </c>
      <c r="J13310" t="inlineStr">
        <is>
          <t>FERRIER</t>
        </is>
      </c>
      <c r="L13310">
        <f>_xlfn.XLOOKUP(Tableau1[[#This Row],[TYPE DE PIECE]],Tableau4[MATIERE],Tableau4[SHORT TYPE],"",0,1)</f>
        <v/>
      </c>
      <c r="N13310">
        <f>IF(ISERR(FIND("DECOUPE",Tableau1[[#This Row],[DESIGNATION]])),"","NEED REF")</f>
        <v/>
      </c>
    </row>
    <row r="13311">
      <c r="B13311" t="n">
        <v>34400694</v>
      </c>
      <c r="C13311" s="2" t="n">
        <v>38133</v>
      </c>
      <c r="D13311" t="inlineStr">
        <is>
          <t>NOM</t>
        </is>
      </c>
      <c r="E13311" t="inlineStr">
        <is>
          <t>LIBRE</t>
        </is>
      </c>
      <c r="F13311" t="inlineStr">
        <is>
          <t>STS UPSILON 1800A</t>
        </is>
      </c>
      <c r="J13311" t="inlineStr">
        <is>
          <t>FOLTZ</t>
        </is>
      </c>
      <c r="L13311">
        <f>_xlfn.XLOOKUP(Tableau1[[#This Row],[TYPE DE PIECE]],Tableau4[MATIERE],Tableau4[SHORT TYPE],"",0,1)</f>
        <v/>
      </c>
      <c r="N13311">
        <f>IF(ISERR(FIND("DECOUPE",Tableau1[[#This Row],[DESIGNATION]])),"","NEED REF")</f>
        <v/>
      </c>
    </row>
    <row r="13312">
      <c r="B13312" t="n">
        <v>34400693</v>
      </c>
      <c r="C13312" s="2" t="n">
        <v>38133</v>
      </c>
      <c r="D13312" t="inlineStr">
        <is>
          <t>NOM</t>
        </is>
      </c>
      <c r="E13312" t="inlineStr">
        <is>
          <t>LIBRE</t>
        </is>
      </c>
      <c r="F13312" t="inlineStr">
        <is>
          <t>STS UPSILON 1200A</t>
        </is>
      </c>
      <c r="J13312" t="inlineStr">
        <is>
          <t>FOLTZ</t>
        </is>
      </c>
      <c r="L13312">
        <f>_xlfn.XLOOKUP(Tableau1[[#This Row],[TYPE DE PIECE]],Tableau4[MATIERE],Tableau4[SHORT TYPE],"",0,1)</f>
        <v/>
      </c>
      <c r="N13312">
        <f>IF(ISERR(FIND("DECOUPE",Tableau1[[#This Row],[DESIGNATION]])),"","NEED REF")</f>
        <v/>
      </c>
    </row>
    <row r="13313">
      <c r="B13313" t="n">
        <v>34400692</v>
      </c>
      <c r="C13313" s="2" t="n">
        <v>38125</v>
      </c>
      <c r="D13313" t="inlineStr">
        <is>
          <t>SPEC</t>
        </is>
      </c>
      <c r="E13313" t="inlineStr">
        <is>
          <t>CANEVAS COMMANDE NW20DC</t>
        </is>
      </c>
      <c r="F13313" t="inlineStr">
        <is>
          <t>BATT 800kVA</t>
        </is>
      </c>
      <c r="J13313" t="inlineStr">
        <is>
          <t>FOLTZ</t>
        </is>
      </c>
      <c r="L13313">
        <f>_xlfn.XLOOKUP(Tableau1[[#This Row],[TYPE DE PIECE]],Tableau4[MATIERE],Tableau4[SHORT TYPE],"",0,1)</f>
        <v/>
      </c>
      <c r="N13313">
        <f>IF(ISERR(FIND("DECOUPE",Tableau1[[#This Row],[DESIGNATION]])),"","NEED REF")</f>
        <v/>
      </c>
    </row>
    <row r="13314">
      <c r="B13314" t="n">
        <v>34400691</v>
      </c>
      <c r="C13314" s="2" t="n">
        <v>38121</v>
      </c>
      <c r="D13314" t="inlineStr">
        <is>
          <t>CDC</t>
        </is>
      </c>
      <c r="E13314" t="inlineStr">
        <is>
          <t xml:space="preserve">Filtre anti poussiere </t>
        </is>
      </c>
      <c r="F13314" t="inlineStr">
        <is>
          <t>Galaxy PW 60kva</t>
        </is>
      </c>
      <c r="J13314" t="inlineStr">
        <is>
          <t>REVEL</t>
        </is>
      </c>
      <c r="L13314">
        <f>_xlfn.XLOOKUP(Tableau1[[#This Row],[TYPE DE PIECE]],Tableau4[MATIERE],Tableau4[SHORT TYPE],"",0,1)</f>
        <v/>
      </c>
      <c r="N13314">
        <f>IF(ISERR(FIND("DECOUPE",Tableau1[[#This Row],[DESIGNATION]])),"","NEED REF")</f>
        <v/>
      </c>
    </row>
    <row r="13315">
      <c r="B13315" t="n">
        <v>34400690</v>
      </c>
      <c r="C13315" s="2" t="n">
        <v>38121</v>
      </c>
      <c r="D13315" t="inlineStr">
        <is>
          <t>CDC</t>
        </is>
      </c>
      <c r="E13315" t="inlineStr">
        <is>
          <t xml:space="preserve">Filtre anti poussiere </t>
        </is>
      </c>
      <c r="F13315" t="inlineStr">
        <is>
          <t>Galaxy PW 200kva</t>
        </is>
      </c>
      <c r="J13315" t="inlineStr">
        <is>
          <t>REVEL</t>
        </is>
      </c>
      <c r="L13315">
        <f>_xlfn.XLOOKUP(Tableau1[[#This Row],[TYPE DE PIECE]],Tableau4[MATIERE],Tableau4[SHORT TYPE],"",0,1)</f>
        <v/>
      </c>
      <c r="N13315">
        <f>IF(ISERR(FIND("DECOUPE",Tableau1[[#This Row],[DESIGNATION]])),"","NEED REF")</f>
        <v/>
      </c>
    </row>
    <row r="13316">
      <c r="B13316" t="n">
        <v>34400689</v>
      </c>
      <c r="C13316" s="2" t="n">
        <v>38121</v>
      </c>
      <c r="D13316" t="inlineStr">
        <is>
          <t>CDC</t>
        </is>
      </c>
      <c r="E13316" t="inlineStr">
        <is>
          <t>Caillebotis marine 2x24 NPL24-121</t>
        </is>
      </c>
      <c r="F13316" t="inlineStr">
        <is>
          <t>Galaxy 3000</t>
        </is>
      </c>
      <c r="J13316" t="inlineStr">
        <is>
          <t>REVEL</t>
        </is>
      </c>
      <c r="L13316">
        <f>_xlfn.XLOOKUP(Tableau1[[#This Row],[TYPE DE PIECE]],Tableau4[MATIERE],Tableau4[SHORT TYPE],"",0,1)</f>
        <v/>
      </c>
      <c r="N13316">
        <f>IF(ISERR(FIND("DECOUPE",Tableau1[[#This Row],[DESIGNATION]])),"","NEED REF")</f>
        <v/>
      </c>
    </row>
    <row r="13317">
      <c r="B13317" t="n">
        <v>34400688</v>
      </c>
      <c r="C13317" s="2" t="n">
        <v>38121</v>
      </c>
      <c r="D13317" t="inlineStr">
        <is>
          <t>NOM</t>
        </is>
      </c>
      <c r="E13317" t="inlineStr">
        <is>
          <t>Lg peinture a com IP32 arm aux l=560</t>
        </is>
      </c>
      <c r="F13317" t="inlineStr">
        <is>
          <t>Comet arm aux L=560</t>
        </is>
      </c>
      <c r="J13317" t="inlineStr">
        <is>
          <t>REVEL</t>
        </is>
      </c>
      <c r="L13317">
        <f>_xlfn.XLOOKUP(Tableau1[[#This Row],[TYPE DE PIECE]],Tableau4[MATIERE],Tableau4[SHORT TYPE],"",0,1)</f>
        <v/>
      </c>
      <c r="N13317">
        <f>IF(ISERR(FIND("DECOUPE",Tableau1[[#This Row],[DESIGNATION]])),"","NEED REF")</f>
        <v/>
      </c>
    </row>
    <row r="13318">
      <c r="B13318" t="n">
        <v>34400687</v>
      </c>
      <c r="C13318" s="2" t="n">
        <v>38120</v>
      </c>
      <c r="D13318" t="inlineStr">
        <is>
          <t>SPEC</t>
        </is>
      </c>
      <c r="E13318" t="inlineStr">
        <is>
          <t>EPROM carte CRII modifiée pour FLYWHEEL</t>
        </is>
      </c>
      <c r="F13318" t="inlineStr">
        <is>
          <t>Galaxy PW (pour EDF)</t>
        </is>
      </c>
      <c r="J13318" t="inlineStr">
        <is>
          <t>FERRIER</t>
        </is>
      </c>
      <c r="L13318">
        <f>_xlfn.XLOOKUP(Tableau1[[#This Row],[TYPE DE PIECE]],Tableau4[MATIERE],Tableau4[SHORT TYPE],"",0,1)</f>
        <v/>
      </c>
      <c r="N13318">
        <f>IF(ISERR(FIND("DECOUPE",Tableau1[[#This Row],[DESIGNATION]])),"","NEED REF")</f>
        <v/>
      </c>
    </row>
    <row r="13319">
      <c r="B13319" t="n">
        <v>34400686</v>
      </c>
      <c r="C13319" s="2" t="n">
        <v>38120</v>
      </c>
      <c r="D13319" t="inlineStr">
        <is>
          <t>CARTE</t>
        </is>
      </c>
      <c r="E13319" t="inlineStr">
        <is>
          <t>Carte CRII modifiée pour FLYWHEEL</t>
        </is>
      </c>
      <c r="F13319" t="inlineStr">
        <is>
          <t>Galaxy PW (pour EDF)</t>
        </is>
      </c>
      <c r="J13319" t="inlineStr">
        <is>
          <t>FERRIER</t>
        </is>
      </c>
      <c r="L13319">
        <f>_xlfn.XLOOKUP(Tableau1[[#This Row],[TYPE DE PIECE]],Tableau4[MATIERE],Tableau4[SHORT TYPE],"",0,1)</f>
        <v/>
      </c>
      <c r="N13319">
        <f>IF(ISERR(FIND("DECOUPE",Tableau1[[#This Row],[DESIGNATION]])),"","NEED REF")</f>
        <v/>
      </c>
    </row>
    <row r="13320">
      <c r="B13320" t="n">
        <v>34400685</v>
      </c>
      <c r="C13320" s="2" t="n">
        <v>38120</v>
      </c>
      <c r="D13320" t="inlineStr">
        <is>
          <t>NOM</t>
        </is>
      </c>
      <c r="E13320" t="inlineStr">
        <is>
          <t>Lg peinture a com IP22 arm aux l=460</t>
        </is>
      </c>
      <c r="F13320" t="inlineStr">
        <is>
          <t>Comet arm aux L=460</t>
        </is>
      </c>
      <c r="J13320" t="inlineStr">
        <is>
          <t>REVEL</t>
        </is>
      </c>
      <c r="L13320">
        <f>_xlfn.XLOOKUP(Tableau1[[#This Row],[TYPE DE PIECE]],Tableau4[MATIERE],Tableau4[SHORT TYPE],"",0,1)</f>
        <v/>
      </c>
      <c r="N13320">
        <f>IF(ISERR(FIND("DECOUPE",Tableau1[[#This Row],[DESIGNATION]])),"","NEED REF")</f>
        <v/>
      </c>
    </row>
    <row r="13321">
      <c r="B13321" t="n">
        <v>34400684</v>
      </c>
      <c r="C13321" s="2" t="n">
        <v>38120</v>
      </c>
      <c r="D13321" t="inlineStr">
        <is>
          <t>NOM</t>
        </is>
      </c>
      <c r="E13321" t="inlineStr">
        <is>
          <t>Lg peinture a com IP32 Comet S31 15/20</t>
        </is>
      </c>
      <c r="F13321" t="inlineStr">
        <is>
          <t>Comet S31 15/20kVA</t>
        </is>
      </c>
      <c r="J13321" t="inlineStr">
        <is>
          <t>REVEL</t>
        </is>
      </c>
      <c r="L13321">
        <f>_xlfn.XLOOKUP(Tableau1[[#This Row],[TYPE DE PIECE]],Tableau4[MATIERE],Tableau4[SHORT TYPE],"",0,1)</f>
        <v/>
      </c>
      <c r="N13321">
        <f>IF(ISERR(FIND("DECOUPE",Tableau1[[#This Row],[DESIGNATION]])),"","NEED REF")</f>
        <v/>
      </c>
    </row>
    <row r="13322">
      <c r="B13322" t="n">
        <v>34400683</v>
      </c>
      <c r="C13322" s="2" t="n">
        <v>38120</v>
      </c>
      <c r="D13322" t="inlineStr">
        <is>
          <t>NOM</t>
        </is>
      </c>
      <c r="E13322" t="inlineStr">
        <is>
          <t>Lg peinture a com IP32 arm aux l=460</t>
        </is>
      </c>
      <c r="F13322" t="inlineStr">
        <is>
          <t>Comet arm aux L=460</t>
        </is>
      </c>
      <c r="J13322" t="inlineStr">
        <is>
          <t>REVEL</t>
        </is>
      </c>
      <c r="L13322">
        <f>_xlfn.XLOOKUP(Tableau1[[#This Row],[TYPE DE PIECE]],Tableau4[MATIERE],Tableau4[SHORT TYPE],"",0,1)</f>
        <v/>
      </c>
      <c r="N13322">
        <f>IF(ISERR(FIND("DECOUPE",Tableau1[[#This Row],[DESIGNATION]])),"","NEED REF")</f>
        <v/>
      </c>
    </row>
    <row r="13323">
      <c r="B13323" t="n">
        <v>34400682</v>
      </c>
      <c r="C13323" s="2" t="n">
        <v>38120</v>
      </c>
      <c r="D13323" t="inlineStr">
        <is>
          <t>NOM</t>
        </is>
      </c>
      <c r="E13323" t="inlineStr">
        <is>
          <t>Lg peinture a commission arm aux l=360</t>
        </is>
      </c>
      <c r="F13323" t="inlineStr">
        <is>
          <t>COMET 5kVA</t>
        </is>
      </c>
      <c r="J13323" t="inlineStr">
        <is>
          <t>REVEL</t>
        </is>
      </c>
      <c r="L13323">
        <f>_xlfn.XLOOKUP(Tableau1[[#This Row],[TYPE DE PIECE]],Tableau4[MATIERE],Tableau4[SHORT TYPE],"",0,1)</f>
        <v/>
      </c>
      <c r="N13323">
        <f>IF(ISERR(FIND("DECOUPE",Tableau1[[#This Row],[DESIGNATION]])),"","NEED REF")</f>
        <v/>
      </c>
    </row>
    <row r="13324">
      <c r="B13324" t="n">
        <v>34400681</v>
      </c>
      <c r="C13324" s="2" t="n">
        <v>38120</v>
      </c>
      <c r="D13324" t="inlineStr">
        <is>
          <t>CDC</t>
        </is>
      </c>
      <c r="E13324" t="inlineStr">
        <is>
          <t>Caillebotis marine 2x27 NPL24-121</t>
        </is>
      </c>
      <c r="F13324" t="inlineStr">
        <is>
          <t>Galaxy 3000</t>
        </is>
      </c>
      <c r="J13324" t="inlineStr">
        <is>
          <t>REVEL</t>
        </is>
      </c>
      <c r="L13324">
        <f>_xlfn.XLOOKUP(Tableau1[[#This Row],[TYPE DE PIECE]],Tableau4[MATIERE],Tableau4[SHORT TYPE],"",0,1)</f>
        <v/>
      </c>
      <c r="N13324">
        <f>IF(ISERR(FIND("DECOUPE",Tableau1[[#This Row],[DESIGNATION]])),"","NEED REF")</f>
        <v/>
      </c>
    </row>
    <row r="13325">
      <c r="B13325" t="n">
        <v>34400680</v>
      </c>
      <c r="C13325" s="2" t="n">
        <v>38120</v>
      </c>
      <c r="D13325" t="inlineStr">
        <is>
          <t>NOM</t>
        </is>
      </c>
      <c r="E13325" t="inlineStr">
        <is>
          <t>Lg peint à commission arm aux L=400</t>
        </is>
      </c>
      <c r="F13325" t="inlineStr">
        <is>
          <t>COMET 7,5/10kVA</t>
        </is>
      </c>
      <c r="J13325" t="inlineStr">
        <is>
          <t>ROBERT</t>
        </is>
      </c>
      <c r="L13325">
        <f>_xlfn.XLOOKUP(Tableau1[[#This Row],[TYPE DE PIECE]],Tableau4[MATIERE],Tableau4[SHORT TYPE],"",0,1)</f>
        <v/>
      </c>
      <c r="N13325">
        <f>IF(ISERR(FIND("DECOUPE",Tableau1[[#This Row],[DESIGNATION]])),"","NEED REF")</f>
        <v/>
      </c>
    </row>
    <row r="13326">
      <c r="B13326" t="n">
        <v>34400679</v>
      </c>
      <c r="C13326" s="2" t="n">
        <v>38119</v>
      </c>
      <c r="E13326" t="inlineStr">
        <is>
          <t>Rapport d'essai Q10 télécommandé suite REC</t>
        </is>
      </c>
      <c r="F13326" t="inlineStr">
        <is>
          <t>COUPLAGE BATTERIE+NSxxNA télécommandé</t>
        </is>
      </c>
      <c r="J13326" t="inlineStr">
        <is>
          <t>FOLTZ</t>
        </is>
      </c>
      <c r="L13326">
        <f>_xlfn.XLOOKUP(Tableau1[[#This Row],[TYPE DE PIECE]],Tableau4[MATIERE],Tableau4[SHORT TYPE],"",0,1)</f>
        <v/>
      </c>
      <c r="N13326">
        <f>IF(ISERR(FIND("DECOUPE",Tableau1[[#This Row],[DESIGNATION]])),"","NEED REF")</f>
        <v/>
      </c>
    </row>
    <row r="13327">
      <c r="B13327" t="n">
        <v>34400678</v>
      </c>
      <c r="C13327" s="2" t="n">
        <v>38118</v>
      </c>
      <c r="D13327" t="inlineStr">
        <is>
          <t>CDC</t>
        </is>
      </c>
      <c r="E13327" t="inlineStr">
        <is>
          <t>Caillebotis marine 31 P12V2130</t>
        </is>
      </c>
      <c r="F13327" t="inlineStr">
        <is>
          <t>Chantiers de l'Atlantique</t>
        </is>
      </c>
      <c r="J13327" t="inlineStr">
        <is>
          <t>REVEL</t>
        </is>
      </c>
      <c r="L13327">
        <f>_xlfn.XLOOKUP(Tableau1[[#This Row],[TYPE DE PIECE]],Tableau4[MATIERE],Tableau4[SHORT TYPE],"",0,1)</f>
        <v/>
      </c>
      <c r="N13327">
        <f>IF(ISERR(FIND("DECOUPE",Tableau1[[#This Row],[DESIGNATION]])),"","NEED REF")</f>
        <v/>
      </c>
    </row>
    <row r="13328">
      <c r="B13328" t="n">
        <v>34400677</v>
      </c>
      <c r="C13328" s="2" t="n">
        <v>38118</v>
      </c>
      <c r="D13328" t="inlineStr">
        <is>
          <t>CDC</t>
        </is>
      </c>
      <c r="E13328" t="inlineStr">
        <is>
          <t>BATT G3000 20k en armoire IP54 climatisée</t>
        </is>
      </c>
      <c r="F13328" t="inlineStr">
        <is>
          <t>CLEMESSY</t>
        </is>
      </c>
      <c r="J13328" t="inlineStr">
        <is>
          <t>ROBERT</t>
        </is>
      </c>
      <c r="L13328">
        <f>_xlfn.XLOOKUP(Tableau1[[#This Row],[TYPE DE PIECE]],Tableau4[MATIERE],Tableau4[SHORT TYPE],"",0,1)</f>
        <v/>
      </c>
      <c r="N13328">
        <f>IF(ISERR(FIND("DECOUPE",Tableau1[[#This Row],[DESIGNATION]])),"","NEED REF")</f>
        <v/>
      </c>
    </row>
    <row r="13329">
      <c r="B13329" t="n">
        <v>34400676</v>
      </c>
      <c r="C13329" s="2" t="n">
        <v>38117</v>
      </c>
      <c r="D13329" t="inlineStr">
        <is>
          <t>NOM</t>
        </is>
      </c>
      <c r="E13329" t="inlineStr">
        <is>
          <t>Lg coffret by-pass mono 91A  COMET</t>
        </is>
      </c>
      <c r="F13329" t="inlineStr">
        <is>
          <t>COMET</t>
        </is>
      </c>
      <c r="J13329" t="inlineStr">
        <is>
          <t>ROBERT</t>
        </is>
      </c>
      <c r="L13329">
        <f>_xlfn.XLOOKUP(Tableau1[[#This Row],[TYPE DE PIECE]],Tableau4[MATIERE],Tableau4[SHORT TYPE],"",0,1)</f>
        <v/>
      </c>
      <c r="N13329">
        <f>IF(ISERR(FIND("DECOUPE",Tableau1[[#This Row],[DESIGNATION]])),"","NEED REF")</f>
        <v/>
      </c>
    </row>
    <row r="13330">
      <c r="B13330" t="n">
        <v>34400675</v>
      </c>
      <c r="C13330" s="2" t="n">
        <v>38114</v>
      </c>
      <c r="D13330" t="inlineStr">
        <is>
          <t>SPEC</t>
        </is>
      </c>
      <c r="E13330" t="inlineStr">
        <is>
          <t xml:space="preserve">Etiquette boite by pass </t>
        </is>
      </c>
      <c r="F13330" t="inlineStr">
        <is>
          <t>PULSAR COMET EXTREME</t>
        </is>
      </c>
      <c r="J13330" t="inlineStr">
        <is>
          <t>REVEL</t>
        </is>
      </c>
      <c r="L13330">
        <f>_xlfn.XLOOKUP(Tableau1[[#This Row],[TYPE DE PIECE]],Tableau4[MATIERE],Tableau4[SHORT TYPE],"",0,1)</f>
        <v/>
      </c>
      <c r="N13330">
        <f>IF(ISERR(FIND("DECOUPE",Tableau1[[#This Row],[DESIGNATION]])),"","NEED REF")</f>
        <v/>
      </c>
    </row>
    <row r="13331">
      <c r="B13331" t="n">
        <v>34400674</v>
      </c>
      <c r="C13331" s="2" t="n">
        <v>38113</v>
      </c>
      <c r="D13331" t="inlineStr">
        <is>
          <t>CDC</t>
        </is>
      </c>
      <c r="E13331" t="inlineStr">
        <is>
          <t>PMM 3B</t>
        </is>
      </c>
      <c r="F13331" t="inlineStr">
        <is>
          <t>MALAISIE</t>
        </is>
      </c>
      <c r="J13331" t="inlineStr">
        <is>
          <t>FERRIER</t>
        </is>
      </c>
      <c r="L13331">
        <f>_xlfn.XLOOKUP(Tableau1[[#This Row],[TYPE DE PIECE]],Tableau4[MATIERE],Tableau4[SHORT TYPE],"",0,1)</f>
        <v/>
      </c>
      <c r="N13331">
        <f>IF(ISERR(FIND("DECOUPE",Tableau1[[#This Row],[DESIGNATION]])),"","NEED REF")</f>
        <v/>
      </c>
    </row>
    <row r="13332">
      <c r="B13332" t="n">
        <v>34400673</v>
      </c>
      <c r="C13332" s="2" t="n">
        <v>38113</v>
      </c>
      <c r="D13332" t="inlineStr">
        <is>
          <t>CDC</t>
        </is>
      </c>
      <c r="E13332" t="inlineStr">
        <is>
          <t>PMM 3A</t>
        </is>
      </c>
      <c r="F13332" t="inlineStr">
        <is>
          <t>MALAISIE</t>
        </is>
      </c>
      <c r="J13332" t="inlineStr">
        <is>
          <t>FERRIER</t>
        </is>
      </c>
      <c r="L13332">
        <f>_xlfn.XLOOKUP(Tableau1[[#This Row],[TYPE DE PIECE]],Tableau4[MATIERE],Tableau4[SHORT TYPE],"",0,1)</f>
        <v/>
      </c>
      <c r="N13332">
        <f>IF(ISERR(FIND("DECOUPE",Tableau1[[#This Row],[DESIGNATION]])),"","NEED REF")</f>
        <v/>
      </c>
    </row>
    <row r="13333">
      <c r="B13333" t="n">
        <v>34400672</v>
      </c>
      <c r="C13333" s="2" t="n">
        <v>38113</v>
      </c>
      <c r="D13333" t="inlineStr">
        <is>
          <t>CDC</t>
        </is>
      </c>
      <c r="E13333" t="inlineStr">
        <is>
          <t>PMM 2</t>
        </is>
      </c>
      <c r="F13333" t="inlineStr">
        <is>
          <t>MALAISIE</t>
        </is>
      </c>
      <c r="J13333" t="inlineStr">
        <is>
          <t>FERRIER</t>
        </is>
      </c>
      <c r="L13333">
        <f>_xlfn.XLOOKUP(Tableau1[[#This Row],[TYPE DE PIECE]],Tableau4[MATIERE],Tableau4[SHORT TYPE],"",0,1)</f>
        <v/>
      </c>
      <c r="N13333">
        <f>IF(ISERR(FIND("DECOUPE",Tableau1[[#This Row],[DESIGNATION]])),"","NEED REF")</f>
        <v/>
      </c>
    </row>
    <row r="13334">
      <c r="B13334" t="n">
        <v>34400671</v>
      </c>
      <c r="C13334" s="2" t="n">
        <v>38113</v>
      </c>
      <c r="D13334" t="inlineStr">
        <is>
          <t>CDC</t>
        </is>
      </c>
      <c r="E13334" t="inlineStr">
        <is>
          <t xml:space="preserve">PMM 1         </t>
        </is>
      </c>
      <c r="F13334" t="inlineStr">
        <is>
          <t>MALAISIE</t>
        </is>
      </c>
      <c r="J13334" t="inlineStr">
        <is>
          <t>FERRIER</t>
        </is>
      </c>
      <c r="L13334">
        <f>_xlfn.XLOOKUP(Tableau1[[#This Row],[TYPE DE PIECE]],Tableau4[MATIERE],Tableau4[SHORT TYPE],"",0,1)</f>
        <v/>
      </c>
      <c r="N13334">
        <f>IF(ISERR(FIND("DECOUPE",Tableau1[[#This Row],[DESIGNATION]])),"","NEED REF")</f>
        <v/>
      </c>
    </row>
    <row r="13335">
      <c r="B13335" t="n">
        <v>34400670</v>
      </c>
      <c r="C13335" s="2" t="n">
        <v>38112</v>
      </c>
      <c r="D13335" t="inlineStr">
        <is>
          <t>SPEC</t>
        </is>
      </c>
      <c r="E13335" t="inlineStr">
        <is>
          <t>TOLE ARRIERE EXB A Contacteur</t>
        </is>
      </c>
      <c r="F13335" t="inlineStr">
        <is>
          <t>Danemark</t>
        </is>
      </c>
      <c r="J13335" t="inlineStr">
        <is>
          <t>ÇAKIR</t>
        </is>
      </c>
      <c r="L13335">
        <f>_xlfn.XLOOKUP(Tableau1[[#This Row],[TYPE DE PIECE]],Tableau4[MATIERE],Tableau4[SHORT TYPE],"",0,1)</f>
        <v/>
      </c>
      <c r="N13335">
        <f>IF(ISERR(FIND("DECOUPE",Tableau1[[#This Row],[DESIGNATION]])),"","NEED REF")</f>
        <v/>
      </c>
    </row>
    <row r="13336">
      <c r="B13336" t="n">
        <v>34400669</v>
      </c>
      <c r="C13336" s="2" t="n">
        <v>38107</v>
      </c>
      <c r="D13336" t="inlineStr">
        <is>
          <t>CDC</t>
        </is>
      </c>
      <c r="E13336" t="inlineStr">
        <is>
          <t>Armoire PDU 2 175kva</t>
        </is>
      </c>
      <c r="F13336" t="inlineStr">
        <is>
          <t>Proman</t>
        </is>
      </c>
      <c r="J13336" t="inlineStr">
        <is>
          <t>REVEL</t>
        </is>
      </c>
      <c r="L13336">
        <f>_xlfn.XLOOKUP(Tableau1[[#This Row],[TYPE DE PIECE]],Tableau4[MATIERE],Tableau4[SHORT TYPE],"",0,1)</f>
        <v/>
      </c>
      <c r="N13336">
        <f>IF(ISERR(FIND("DECOUPE",Tableau1[[#This Row],[DESIGNATION]])),"","NEED REF")</f>
        <v/>
      </c>
    </row>
    <row r="13337">
      <c r="B13337" t="n">
        <v>34400668</v>
      </c>
      <c r="C13337" s="2" t="n">
        <v>38107</v>
      </c>
      <c r="D13337" t="inlineStr">
        <is>
          <t>CDC</t>
        </is>
      </c>
      <c r="E13337" t="inlineStr">
        <is>
          <t xml:space="preserve">Armoire PDU 1 175kva </t>
        </is>
      </c>
      <c r="F13337" t="inlineStr">
        <is>
          <t>Proman</t>
        </is>
      </c>
      <c r="J13337" t="inlineStr">
        <is>
          <t>REVEL</t>
        </is>
      </c>
      <c r="L13337">
        <f>_xlfn.XLOOKUP(Tableau1[[#This Row],[TYPE DE PIECE]],Tableau4[MATIERE],Tableau4[SHORT TYPE],"",0,1)</f>
        <v/>
      </c>
      <c r="N13337">
        <f>IF(ISERR(FIND("DECOUPE",Tableau1[[#This Row],[DESIGNATION]])),"","NEED REF")</f>
        <v/>
      </c>
    </row>
    <row r="13338">
      <c r="B13338" t="n">
        <v>34400667</v>
      </c>
      <c r="C13338" s="2" t="n">
        <v>38107</v>
      </c>
      <c r="D13338" t="inlineStr">
        <is>
          <t>CDC</t>
        </is>
      </c>
      <c r="E13338" t="inlineStr">
        <is>
          <t>Armoire PDU 100kva</t>
        </is>
      </c>
      <c r="F13338" t="inlineStr">
        <is>
          <t>Proman</t>
        </is>
      </c>
      <c r="J13338" t="inlineStr">
        <is>
          <t>REVEL</t>
        </is>
      </c>
      <c r="L13338">
        <f>_xlfn.XLOOKUP(Tableau1[[#This Row],[TYPE DE PIECE]],Tableau4[MATIERE],Tableau4[SHORT TYPE],"",0,1)</f>
        <v/>
      </c>
      <c r="N13338">
        <f>IF(ISERR(FIND("DECOUPE",Tableau1[[#This Row],[DESIGNATION]])),"","NEED REF")</f>
        <v/>
      </c>
    </row>
    <row r="13339">
      <c r="B13339" t="n">
        <v>34400666</v>
      </c>
      <c r="C13339" s="2" t="n">
        <v>38107</v>
      </c>
      <c r="D13339" t="inlineStr">
        <is>
          <t>CDC</t>
        </is>
      </c>
      <c r="E13339" t="inlineStr">
        <is>
          <t>Armoire TFO reseau 2 et util</t>
        </is>
      </c>
      <c r="F13339" t="inlineStr">
        <is>
          <t>Proman</t>
        </is>
      </c>
      <c r="J13339" t="inlineStr">
        <is>
          <t>REVEL</t>
        </is>
      </c>
      <c r="L13339">
        <f>_xlfn.XLOOKUP(Tableau1[[#This Row],[TYPE DE PIECE]],Tableau4[MATIERE],Tableau4[SHORT TYPE],"",0,1)</f>
        <v/>
      </c>
      <c r="N13339">
        <f>IF(ISERR(FIND("DECOUPE",Tableau1[[#This Row],[DESIGNATION]])),"","NEED REF")</f>
        <v/>
      </c>
    </row>
    <row r="13340">
      <c r="B13340" t="n">
        <v>34400665</v>
      </c>
      <c r="C13340" s="2" t="n">
        <v>38104</v>
      </c>
      <c r="D13340" t="inlineStr">
        <is>
          <t>CDC</t>
        </is>
      </c>
      <c r="E13340" t="inlineStr">
        <is>
          <t>Armoire TFO reseau 1</t>
        </is>
      </c>
      <c r="F13340" t="inlineStr">
        <is>
          <t>Proman</t>
        </is>
      </c>
      <c r="J13340" t="inlineStr">
        <is>
          <t>REVEL</t>
        </is>
      </c>
      <c r="L13340">
        <f>_xlfn.XLOOKUP(Tableau1[[#This Row],[TYPE DE PIECE]],Tableau4[MATIERE],Tableau4[SHORT TYPE],"",0,1)</f>
        <v/>
      </c>
      <c r="N13340">
        <f>IF(ISERR(FIND("DECOUPE",Tableau1[[#This Row],[DESIGNATION]])),"","NEED REF")</f>
        <v/>
      </c>
    </row>
    <row r="13341">
      <c r="B13341" t="n">
        <v>34400664</v>
      </c>
      <c r="C13341" s="2" t="n">
        <v>38104</v>
      </c>
      <c r="D13341" t="inlineStr">
        <is>
          <t>CDC</t>
        </is>
      </c>
      <c r="E13341" t="inlineStr">
        <is>
          <t>Armoire ATFO utilisation</t>
        </is>
      </c>
      <c r="F13341" t="inlineStr">
        <is>
          <t>Proman</t>
        </is>
      </c>
      <c r="J13341" t="inlineStr">
        <is>
          <t>REVEL</t>
        </is>
      </c>
      <c r="L13341">
        <f>_xlfn.XLOOKUP(Tableau1[[#This Row],[TYPE DE PIECE]],Tableau4[MATIERE],Tableau4[SHORT TYPE],"",0,1)</f>
        <v/>
      </c>
      <c r="N13341">
        <f>IF(ISERR(FIND("DECOUPE",Tableau1[[#This Row],[DESIGNATION]])),"","NEED REF")</f>
        <v/>
      </c>
    </row>
    <row r="13342">
      <c r="B13342" t="n">
        <v>34400663</v>
      </c>
      <c r="C13342" s="2" t="n">
        <v>38104</v>
      </c>
      <c r="D13342" t="inlineStr">
        <is>
          <t>SPEC</t>
        </is>
      </c>
      <c r="E13342" t="inlineStr">
        <is>
          <t>Cable EXB Disjoncteur et Contacteur</t>
        </is>
      </c>
      <c r="F13342" t="inlineStr">
        <is>
          <t>Danemark</t>
        </is>
      </c>
      <c r="J13342" t="inlineStr">
        <is>
          <t>ÇAKIR</t>
        </is>
      </c>
      <c r="L13342">
        <f>_xlfn.XLOOKUP(Tableau1[[#This Row],[TYPE DE PIECE]],Tableau4[MATIERE],Tableau4[SHORT TYPE],"",0,1)</f>
        <v/>
      </c>
      <c r="N13342">
        <f>IF(ISERR(FIND("DECOUPE",Tableau1[[#This Row],[DESIGNATION]])),"","NEED REF")</f>
        <v/>
      </c>
    </row>
    <row r="13343">
      <c r="B13343" t="n">
        <v>34400662</v>
      </c>
      <c r="C13343" s="2" t="n">
        <v>38104</v>
      </c>
      <c r="D13343" t="inlineStr">
        <is>
          <t>CDC</t>
        </is>
      </c>
      <c r="E13343" t="inlineStr">
        <is>
          <t>Armoire TFO reseau 2</t>
        </is>
      </c>
      <c r="F13343" t="inlineStr">
        <is>
          <t>Proman</t>
        </is>
      </c>
      <c r="J13343" t="inlineStr">
        <is>
          <t>REVEL</t>
        </is>
      </c>
      <c r="L13343">
        <f>_xlfn.XLOOKUP(Tableau1[[#This Row],[TYPE DE PIECE]],Tableau4[MATIERE],Tableau4[SHORT TYPE],"",0,1)</f>
        <v/>
      </c>
      <c r="N13343">
        <f>IF(ISERR(FIND("DECOUPE",Tableau1[[#This Row],[DESIGNATION]])),"","NEED REF")</f>
        <v/>
      </c>
    </row>
    <row r="13344">
      <c r="B13344" t="n">
        <v>34400661</v>
      </c>
      <c r="C13344" s="2" t="n">
        <v>38104</v>
      </c>
      <c r="D13344" t="inlineStr">
        <is>
          <t>CDC</t>
        </is>
      </c>
      <c r="E13344" t="inlineStr">
        <is>
          <t>Armoire TFO reseau 1</t>
        </is>
      </c>
      <c r="F13344" t="inlineStr">
        <is>
          <t>Proman</t>
        </is>
      </c>
      <c r="J13344" t="inlineStr">
        <is>
          <t>REVEL</t>
        </is>
      </c>
      <c r="L13344">
        <f>_xlfn.XLOOKUP(Tableau1[[#This Row],[TYPE DE PIECE]],Tableau4[MATIERE],Tableau4[SHORT TYPE],"",0,1)</f>
        <v/>
      </c>
      <c r="N13344">
        <f>IF(ISERR(FIND("DECOUPE",Tableau1[[#This Row],[DESIGNATION]])),"","NEED REF")</f>
        <v/>
      </c>
    </row>
    <row r="13345">
      <c r="B13345" t="n">
        <v>34400660</v>
      </c>
      <c r="C13345" s="2" t="n">
        <v>38099</v>
      </c>
      <c r="D13345" t="inlineStr">
        <is>
          <t>CDC</t>
        </is>
      </c>
      <c r="E13345" t="inlineStr">
        <is>
          <t>BATT PW 30k en armoire IP54 climatisée</t>
        </is>
      </c>
      <c r="F13345" t="inlineStr">
        <is>
          <t>MGE Belgique</t>
        </is>
      </c>
      <c r="J13345" t="inlineStr">
        <is>
          <t>ROBERT</t>
        </is>
      </c>
      <c r="L13345">
        <f>_xlfn.XLOOKUP(Tableau1[[#This Row],[TYPE DE PIECE]],Tableau4[MATIERE],Tableau4[SHORT TYPE],"",0,1)</f>
        <v/>
      </c>
      <c r="N13345">
        <f>IF(ISERR(FIND("DECOUPE",Tableau1[[#This Row],[DESIGNATION]])),"","NEED REF")</f>
        <v/>
      </c>
    </row>
    <row r="13346">
      <c r="B13346" t="n">
        <v>34400659</v>
      </c>
      <c r="C13346" s="2" t="n">
        <v>38099</v>
      </c>
      <c r="D13346" t="inlineStr">
        <is>
          <t>CDC</t>
        </is>
      </c>
      <c r="E13346" t="inlineStr">
        <is>
          <t>GALAXY PW 30k en armoire IP54 ventilée</t>
        </is>
      </c>
      <c r="F13346" t="inlineStr">
        <is>
          <t>MGE Belgique</t>
        </is>
      </c>
      <c r="J13346" t="inlineStr">
        <is>
          <t>ROBERT</t>
        </is>
      </c>
      <c r="L13346">
        <f>_xlfn.XLOOKUP(Tableau1[[#This Row],[TYPE DE PIECE]],Tableau4[MATIERE],Tableau4[SHORT TYPE],"",0,1)</f>
        <v/>
      </c>
      <c r="N13346">
        <f>IF(ISERR(FIND("DECOUPE",Tableau1[[#This Row],[DESIGNATION]])),"","NEED REF")</f>
        <v/>
      </c>
    </row>
    <row r="13347">
      <c r="B13347" t="n">
        <v>34400658</v>
      </c>
      <c r="C13347" s="2" t="n">
        <v>38097</v>
      </c>
      <c r="D13347" t="inlineStr">
        <is>
          <t>SPEC</t>
        </is>
      </c>
      <c r="E13347" t="inlineStr">
        <is>
          <t>Cable de mise à la terre UM Link</t>
        </is>
      </c>
      <c r="F13347" t="inlineStr">
        <is>
          <t>Galaxy</t>
        </is>
      </c>
      <c r="J13347" t="inlineStr">
        <is>
          <t>REVEL</t>
        </is>
      </c>
      <c r="L13347">
        <f>_xlfn.XLOOKUP(Tableau1[[#This Row],[TYPE DE PIECE]],Tableau4[MATIERE],Tableau4[SHORT TYPE],"",0,1)</f>
        <v/>
      </c>
      <c r="N13347">
        <f>IF(ISERR(FIND("DECOUPE",Tableau1[[#This Row],[DESIGNATION]])),"","NEED REF")</f>
        <v/>
      </c>
    </row>
    <row r="13348">
      <c r="B13348" t="n">
        <v>34400657</v>
      </c>
      <c r="C13348" s="2" t="n">
        <v>38097</v>
      </c>
      <c r="D13348" t="inlineStr">
        <is>
          <t>CDC</t>
        </is>
      </c>
      <c r="E13348" t="inlineStr">
        <is>
          <t>Skid support Galaxy PW 50kva</t>
        </is>
      </c>
      <c r="F13348" t="inlineStr">
        <is>
          <t>Galaxy PW 50kva</t>
        </is>
      </c>
      <c r="J13348" t="inlineStr">
        <is>
          <t>REVEL</t>
        </is>
      </c>
      <c r="L13348">
        <f>_xlfn.XLOOKUP(Tableau1[[#This Row],[TYPE DE PIECE]],Tableau4[MATIERE],Tableau4[SHORT TYPE],"",0,1)</f>
        <v/>
      </c>
      <c r="N13348">
        <f>IF(ISERR(FIND("DECOUPE",Tableau1[[#This Row],[DESIGNATION]])),"","NEED REF")</f>
        <v/>
      </c>
    </row>
    <row r="13349">
      <c r="B13349" t="n">
        <v>34400656</v>
      </c>
      <c r="C13349" s="2" t="n">
        <v>38096</v>
      </c>
      <c r="D13349" t="inlineStr">
        <is>
          <t>NOM</t>
        </is>
      </c>
      <c r="E13349" t="inlineStr">
        <is>
          <t>Peinture a commission cof dj bat PW 50</t>
        </is>
      </c>
      <c r="F13349" t="inlineStr">
        <is>
          <t>Coffret DJ batterie</t>
        </is>
      </c>
      <c r="J13349" t="inlineStr">
        <is>
          <t>REVEL</t>
        </is>
      </c>
      <c r="L13349">
        <f>_xlfn.XLOOKUP(Tableau1[[#This Row],[TYPE DE PIECE]],Tableau4[MATIERE],Tableau4[SHORT TYPE],"",0,1)</f>
        <v/>
      </c>
      <c r="N13349">
        <f>IF(ISERR(FIND("DECOUPE",Tableau1[[#This Row],[DESIGNATION]])),"","NEED REF")</f>
        <v/>
      </c>
    </row>
    <row r="13350">
      <c r="B13350" t="n">
        <v>34400655</v>
      </c>
      <c r="C13350" s="2" t="n">
        <v>38077</v>
      </c>
      <c r="D13350" t="inlineStr">
        <is>
          <t>NOM</t>
        </is>
      </c>
      <c r="E13350" t="inlineStr">
        <is>
          <t>PMM 126 DJ EN SCHNEIDER</t>
        </is>
      </c>
      <c r="F13350" t="inlineStr">
        <is>
          <t>PMM 126 DJ</t>
        </is>
      </c>
      <c r="J13350" t="inlineStr">
        <is>
          <t>FOLTZ</t>
        </is>
      </c>
      <c r="L13350">
        <f>_xlfn.XLOOKUP(Tableau1[[#This Row],[TYPE DE PIECE]],Tableau4[MATIERE],Tableau4[SHORT TYPE],"",0,1)</f>
        <v/>
      </c>
      <c r="N13350">
        <f>IF(ISERR(FIND("DECOUPE",Tableau1[[#This Row],[DESIGNATION]])),"","NEED REF")</f>
        <v/>
      </c>
    </row>
    <row r="13351">
      <c r="B13351" t="n">
        <v>34400654</v>
      </c>
      <c r="C13351" s="2" t="n">
        <v>38072</v>
      </c>
      <c r="D13351" t="inlineStr">
        <is>
          <t>NOM</t>
        </is>
      </c>
      <c r="E13351" t="inlineStr">
        <is>
          <t>LG COMET EXT BAT. EXB à CONTACTEUR</t>
        </is>
      </c>
      <c r="F13351" t="inlineStr">
        <is>
          <t>COMET EXTREME 4,5kVA</t>
        </is>
      </c>
      <c r="J13351" t="inlineStr">
        <is>
          <t>ÇAKIR</t>
        </is>
      </c>
      <c r="L13351">
        <f>_xlfn.XLOOKUP(Tableau1[[#This Row],[TYPE DE PIECE]],Tableau4[MATIERE],Tableau4[SHORT TYPE],"",0,1)</f>
        <v/>
      </c>
      <c r="N13351">
        <f>IF(ISERR(FIND("DECOUPE",Tableau1[[#This Row],[DESIGNATION]])),"","NEED REF")</f>
        <v/>
      </c>
    </row>
    <row r="13352">
      <c r="B13352" t="n">
        <v>34400653</v>
      </c>
      <c r="C13352" s="2" t="n">
        <v>38070</v>
      </c>
      <c r="D13352" t="inlineStr">
        <is>
          <t>CDC</t>
        </is>
      </c>
      <c r="E13352" t="inlineStr">
        <is>
          <t>Caillebotis marine 36 P6V2030</t>
        </is>
      </c>
      <c r="F13352" t="inlineStr">
        <is>
          <t>Comet S31 15kVA</t>
        </is>
      </c>
      <c r="J13352" t="inlineStr">
        <is>
          <t>REVEL</t>
        </is>
      </c>
      <c r="L13352">
        <f>_xlfn.XLOOKUP(Tableau1[[#This Row],[TYPE DE PIECE]],Tableau4[MATIERE],Tableau4[SHORT TYPE],"",0,1)</f>
        <v/>
      </c>
      <c r="N13352">
        <f>IF(ISERR(FIND("DECOUPE",Tableau1[[#This Row],[DESIGNATION]])),"","NEED REF")</f>
        <v/>
      </c>
    </row>
    <row r="13353">
      <c r="B13353" t="n">
        <v>34400652</v>
      </c>
      <c r="C13353" s="2" t="n">
        <v>38070</v>
      </c>
      <c r="D13353" t="inlineStr">
        <is>
          <t>NOM</t>
        </is>
      </c>
      <c r="E13353" t="inlineStr">
        <is>
          <t>LG selfs mutateur sinewave 60A durcis</t>
        </is>
      </c>
      <c r="F13353" t="inlineStr">
        <is>
          <t>SINEWAVE 60A</t>
        </is>
      </c>
      <c r="J13353" t="inlineStr">
        <is>
          <t>REVEL</t>
        </is>
      </c>
      <c r="L13353">
        <f>_xlfn.XLOOKUP(Tableau1[[#This Row],[TYPE DE PIECE]],Tableau4[MATIERE],Tableau4[SHORT TYPE],"",0,1)</f>
        <v/>
      </c>
      <c r="N13353">
        <f>IF(ISERR(FIND("DECOUPE",Tableau1[[#This Row],[DESIGNATION]])),"","NEED REF")</f>
        <v/>
      </c>
    </row>
    <row r="13354">
      <c r="B13354" t="n">
        <v>34400651</v>
      </c>
      <c r="C13354" s="2" t="n">
        <v>38275</v>
      </c>
      <c r="D13354" t="inlineStr">
        <is>
          <t>NOM</t>
        </is>
      </c>
      <c r="J13354" t="inlineStr">
        <is>
          <t>FERRIER</t>
        </is>
      </c>
      <c r="L13354">
        <f>_xlfn.XLOOKUP(Tableau1[[#This Row],[TYPE DE PIECE]],Tableau4[MATIERE],Tableau4[SHORT TYPE],"",0,1)</f>
        <v/>
      </c>
      <c r="N13354">
        <f>IF(ISERR(FIND("DECOUPE",Tableau1[[#This Row],[DESIGNATION]])),"","NEED REF")</f>
        <v/>
      </c>
    </row>
    <row r="13355">
      <c r="B13355" t="n">
        <v>34400650</v>
      </c>
      <c r="C13355" s="2" t="n">
        <v>38260</v>
      </c>
      <c r="D13355" t="inlineStr">
        <is>
          <t>NOM</t>
        </is>
      </c>
      <c r="J13355" t="inlineStr">
        <is>
          <t>FERRIER</t>
        </is>
      </c>
      <c r="L13355">
        <f>_xlfn.XLOOKUP(Tableau1[[#This Row],[TYPE DE PIECE]],Tableau4[MATIERE],Tableau4[SHORT TYPE],"",0,1)</f>
        <v/>
      </c>
      <c r="N13355">
        <f>IF(ISERR(FIND("DECOUPE",Tableau1[[#This Row],[DESIGNATION]])),"","NEED REF")</f>
        <v/>
      </c>
    </row>
    <row r="13356">
      <c r="B13356" t="n">
        <v>34400649</v>
      </c>
      <c r="C13356" s="2" t="n">
        <v>38260</v>
      </c>
      <c r="D13356" t="inlineStr">
        <is>
          <t>NOM</t>
        </is>
      </c>
      <c r="J13356" t="inlineStr">
        <is>
          <t>FERRIER</t>
        </is>
      </c>
      <c r="L13356">
        <f>_xlfn.XLOOKUP(Tableau1[[#This Row],[TYPE DE PIECE]],Tableau4[MATIERE],Tableau4[SHORT TYPE],"",0,1)</f>
        <v/>
      </c>
      <c r="N13356">
        <f>IF(ISERR(FIND("DECOUPE",Tableau1[[#This Row],[DESIGNATION]])),"","NEED REF")</f>
        <v/>
      </c>
    </row>
    <row r="13357">
      <c r="B13357" t="n">
        <v>34400648</v>
      </c>
      <c r="C13357" s="2" t="n">
        <v>38166</v>
      </c>
      <c r="D13357" t="inlineStr">
        <is>
          <t>NOM</t>
        </is>
      </c>
      <c r="E13357" t="inlineStr">
        <is>
          <t>LG MODULE BRAS MUTATEUR ADAPTE</t>
        </is>
      </c>
      <c r="F13357" t="inlineStr">
        <is>
          <t>GALAXY 450kVA</t>
        </is>
      </c>
      <c r="J13357" t="inlineStr">
        <is>
          <t>FERRIER</t>
        </is>
      </c>
      <c r="L13357">
        <f>_xlfn.XLOOKUP(Tableau1[[#This Row],[TYPE DE PIECE]],Tableau4[MATIERE],Tableau4[SHORT TYPE],"",0,1)</f>
        <v/>
      </c>
      <c r="N13357">
        <f>IF(ISERR(FIND("DECOUPE",Tableau1[[#This Row],[DESIGNATION]])),"","NEED REF")</f>
        <v/>
      </c>
    </row>
    <row r="13358">
      <c r="B13358" t="n">
        <v>34400647</v>
      </c>
      <c r="C13358" s="2" t="n">
        <v>38068</v>
      </c>
      <c r="D13358" t="inlineStr">
        <is>
          <t>SPEC</t>
        </is>
      </c>
      <c r="E13358" t="inlineStr">
        <is>
          <t>EPROM pour carte GT2Z</t>
        </is>
      </c>
      <c r="F13358" t="inlineStr">
        <is>
          <t>GALAXY 450kVA</t>
        </is>
      </c>
      <c r="J13358" t="inlineStr">
        <is>
          <t>FERRIER</t>
        </is>
      </c>
      <c r="L13358">
        <f>_xlfn.XLOOKUP(Tableau1[[#This Row],[TYPE DE PIECE]],Tableau4[MATIERE],Tableau4[SHORT TYPE],"",0,1)</f>
        <v/>
      </c>
      <c r="N13358">
        <f>IF(ISERR(FIND("DECOUPE",Tableau1[[#This Row],[DESIGNATION]])),"","NEED REF")</f>
        <v/>
      </c>
    </row>
    <row r="13359">
      <c r="B13359" t="n">
        <v>34400646</v>
      </c>
      <c r="C13359" s="2" t="n">
        <v>38068</v>
      </c>
      <c r="D13359" t="inlineStr">
        <is>
          <t>CARTE</t>
        </is>
      </c>
      <c r="E13359" t="inlineStr">
        <is>
          <t>Carte GT2Z</t>
        </is>
      </c>
      <c r="F13359" t="inlineStr">
        <is>
          <t>GALAXY 450kVA</t>
        </is>
      </c>
      <c r="J13359" t="inlineStr">
        <is>
          <t>FERRIER</t>
        </is>
      </c>
      <c r="L13359">
        <f>_xlfn.XLOOKUP(Tableau1[[#This Row],[TYPE DE PIECE]],Tableau4[MATIERE],Tableau4[SHORT TYPE],"",0,1)</f>
        <v/>
      </c>
      <c r="N13359">
        <f>IF(ISERR(FIND("DECOUPE",Tableau1[[#This Row],[DESIGNATION]])),"","NEED REF")</f>
        <v/>
      </c>
    </row>
    <row r="13360">
      <c r="B13360" t="n">
        <v>34400645</v>
      </c>
      <c r="C13360" s="2" t="n">
        <v>38068</v>
      </c>
      <c r="D13360" t="inlineStr">
        <is>
          <t>SPEC</t>
        </is>
      </c>
      <c r="E13360" t="inlineStr">
        <is>
          <t>EPROM pour carte GTCZ</t>
        </is>
      </c>
      <c r="F13360" t="inlineStr">
        <is>
          <t>GALAXY 450kVA</t>
        </is>
      </c>
      <c r="J13360" t="inlineStr">
        <is>
          <t>FERRIER</t>
        </is>
      </c>
      <c r="L13360">
        <f>_xlfn.XLOOKUP(Tableau1[[#This Row],[TYPE DE PIECE]],Tableau4[MATIERE],Tableau4[SHORT TYPE],"",0,1)</f>
        <v/>
      </c>
      <c r="N13360">
        <f>IF(ISERR(FIND("DECOUPE",Tableau1[[#This Row],[DESIGNATION]])),"","NEED REF")</f>
        <v/>
      </c>
    </row>
    <row r="13361">
      <c r="B13361" t="n">
        <v>34400644</v>
      </c>
      <c r="C13361" s="2" t="n">
        <v>38068</v>
      </c>
      <c r="D13361" t="inlineStr">
        <is>
          <t>CARTE</t>
        </is>
      </c>
      <c r="E13361" t="inlineStr">
        <is>
          <t>Carte GTCZ</t>
        </is>
      </c>
      <c r="F13361" t="inlineStr">
        <is>
          <t>GALAXY 450kVA</t>
        </is>
      </c>
      <c r="J13361" t="inlineStr">
        <is>
          <t>FERRIER</t>
        </is>
      </c>
      <c r="L13361">
        <f>_xlfn.XLOOKUP(Tableau1[[#This Row],[TYPE DE PIECE]],Tableau4[MATIERE],Tableau4[SHORT TYPE],"",0,1)</f>
        <v/>
      </c>
      <c r="N13361">
        <f>IF(ISERR(FIND("DECOUPE",Tableau1[[#This Row],[DESIGNATION]])),"","NEED REF")</f>
        <v/>
      </c>
    </row>
    <row r="13362">
      <c r="B13362" t="n">
        <v>34400643</v>
      </c>
      <c r="C13362" s="2" t="n">
        <v>38068</v>
      </c>
      <c r="D13362" t="inlineStr">
        <is>
          <t>SPEC</t>
        </is>
      </c>
      <c r="E13362" t="inlineStr">
        <is>
          <t>EPROM pour carte CROZ</t>
        </is>
      </c>
      <c r="F13362" t="inlineStr">
        <is>
          <t>GALAXY 450kVA</t>
        </is>
      </c>
      <c r="J13362" t="inlineStr">
        <is>
          <t>FERRIER</t>
        </is>
      </c>
      <c r="L13362">
        <f>_xlfn.XLOOKUP(Tableau1[[#This Row],[TYPE DE PIECE]],Tableau4[MATIERE],Tableau4[SHORT TYPE],"",0,1)</f>
        <v/>
      </c>
      <c r="N13362">
        <f>IF(ISERR(FIND("DECOUPE",Tableau1[[#This Row],[DESIGNATION]])),"","NEED REF")</f>
        <v/>
      </c>
    </row>
    <row r="13363">
      <c r="B13363" t="n">
        <v>34400642</v>
      </c>
      <c r="C13363" s="2" t="n">
        <v>38068</v>
      </c>
      <c r="D13363" t="inlineStr">
        <is>
          <t>CARTE</t>
        </is>
      </c>
      <c r="E13363" t="inlineStr">
        <is>
          <t>Carte CROZ</t>
        </is>
      </c>
      <c r="F13363" t="inlineStr">
        <is>
          <t>GALAXY 450kVA</t>
        </is>
      </c>
      <c r="J13363" t="inlineStr">
        <is>
          <t>FERRIER</t>
        </is>
      </c>
      <c r="L13363">
        <f>_xlfn.XLOOKUP(Tableau1[[#This Row],[TYPE DE PIECE]],Tableau4[MATIERE],Tableau4[SHORT TYPE],"",0,1)</f>
        <v/>
      </c>
      <c r="N13363">
        <f>IF(ISERR(FIND("DECOUPE",Tableau1[[#This Row],[DESIGNATION]])),"","NEED REF")</f>
        <v/>
      </c>
    </row>
    <row r="13364">
      <c r="B13364" t="n">
        <v>34400641</v>
      </c>
      <c r="C13364" s="2" t="n">
        <v>38068</v>
      </c>
      <c r="D13364" t="inlineStr">
        <is>
          <t>SPEC</t>
        </is>
      </c>
      <c r="E13364" t="inlineStr">
        <is>
          <t>EPROM pour carte CRIZ</t>
        </is>
      </c>
      <c r="F13364" t="inlineStr">
        <is>
          <t>GALAXY 450kVA</t>
        </is>
      </c>
      <c r="J13364" t="inlineStr">
        <is>
          <t>FERRIER</t>
        </is>
      </c>
      <c r="L13364">
        <f>_xlfn.XLOOKUP(Tableau1[[#This Row],[TYPE DE PIECE]],Tableau4[MATIERE],Tableau4[SHORT TYPE],"",0,1)</f>
        <v/>
      </c>
      <c r="N13364">
        <f>IF(ISERR(FIND("DECOUPE",Tableau1[[#This Row],[DESIGNATION]])),"","NEED REF")</f>
        <v/>
      </c>
    </row>
    <row r="13365">
      <c r="B13365" t="n">
        <v>34400640</v>
      </c>
      <c r="C13365" s="2" t="n">
        <v>38068</v>
      </c>
      <c r="D13365" t="inlineStr">
        <is>
          <t>CARTE</t>
        </is>
      </c>
      <c r="E13365" t="inlineStr">
        <is>
          <t>Carte CRIZ</t>
        </is>
      </c>
      <c r="F13365" t="inlineStr">
        <is>
          <t>GALAXY 450kVA</t>
        </is>
      </c>
      <c r="J13365" t="inlineStr">
        <is>
          <t>FERRIER</t>
        </is>
      </c>
      <c r="L13365">
        <f>_xlfn.XLOOKUP(Tableau1[[#This Row],[TYPE DE PIECE]],Tableau4[MATIERE],Tableau4[SHORT TYPE],"",0,1)</f>
        <v/>
      </c>
      <c r="N13365">
        <f>IF(ISERR(FIND("DECOUPE",Tableau1[[#This Row],[DESIGNATION]])),"","NEED REF")</f>
        <v/>
      </c>
    </row>
    <row r="13366">
      <c r="B13366" t="n">
        <v>34400639</v>
      </c>
      <c r="C13366" s="2" t="n">
        <v>38068</v>
      </c>
      <c r="D13366" t="inlineStr">
        <is>
          <t>SPEC</t>
        </is>
      </c>
      <c r="E13366" t="inlineStr">
        <is>
          <t>EPROM pour carte AROZ</t>
        </is>
      </c>
      <c r="F13366" t="inlineStr">
        <is>
          <t>GALAXY 450kVA</t>
        </is>
      </c>
      <c r="J13366" t="inlineStr">
        <is>
          <t>FERRIER</t>
        </is>
      </c>
      <c r="L13366">
        <f>_xlfn.XLOOKUP(Tableau1[[#This Row],[TYPE DE PIECE]],Tableau4[MATIERE],Tableau4[SHORT TYPE],"",0,1)</f>
        <v/>
      </c>
      <c r="N13366">
        <f>IF(ISERR(FIND("DECOUPE",Tableau1[[#This Row],[DESIGNATION]])),"","NEED REF")</f>
        <v/>
      </c>
    </row>
    <row r="13367">
      <c r="B13367" t="n">
        <v>34400638</v>
      </c>
      <c r="C13367" s="2" t="n">
        <v>38068</v>
      </c>
      <c r="D13367" t="inlineStr">
        <is>
          <t>CARTE</t>
        </is>
      </c>
      <c r="E13367" t="inlineStr">
        <is>
          <t>Carte AROZ</t>
        </is>
      </c>
      <c r="F13367" t="inlineStr">
        <is>
          <t>GALAXY 450kVA</t>
        </is>
      </c>
      <c r="J13367" t="inlineStr">
        <is>
          <t>FERRIER</t>
        </is>
      </c>
      <c r="L13367">
        <f>_xlfn.XLOOKUP(Tableau1[[#This Row],[TYPE DE PIECE]],Tableau4[MATIERE],Tableau4[SHORT TYPE],"",0,1)</f>
        <v/>
      </c>
      <c r="N13367">
        <f>IF(ISERR(FIND("DECOUPE",Tableau1[[#This Row],[DESIGNATION]])),"","NEED REF")</f>
        <v/>
      </c>
    </row>
    <row r="13368">
      <c r="B13368" t="n">
        <v>34400637</v>
      </c>
      <c r="C13368" s="2" t="n">
        <v>38068</v>
      </c>
      <c r="D13368" t="inlineStr">
        <is>
          <t>DOC</t>
        </is>
      </c>
      <c r="E13368" t="inlineStr">
        <is>
          <t>Dossier de montage option synchro externe</t>
        </is>
      </c>
      <c r="F13368" t="inlineStr">
        <is>
          <t>GALAXY 120kVA</t>
        </is>
      </c>
      <c r="J13368" t="inlineStr">
        <is>
          <t>FERRIER</t>
        </is>
      </c>
      <c r="L13368">
        <f>_xlfn.XLOOKUP(Tableau1[[#This Row],[TYPE DE PIECE]],Tableau4[MATIERE],Tableau4[SHORT TYPE],"",0,1)</f>
        <v/>
      </c>
      <c r="N13368">
        <f>IF(ISERR(FIND("DECOUPE",Tableau1[[#This Row],[DESIGNATION]])),"","NEED REF")</f>
        <v/>
      </c>
    </row>
    <row r="13369">
      <c r="B13369" t="n">
        <v>34400636</v>
      </c>
      <c r="C13369" s="2" t="n">
        <v>38065</v>
      </c>
      <c r="D13369" t="inlineStr">
        <is>
          <t>SPEC</t>
        </is>
      </c>
      <c r="E13369" t="inlineStr">
        <is>
          <t>Support etiquette carte RNSZ</t>
        </is>
      </c>
      <c r="F13369" t="inlineStr">
        <is>
          <t>Coffret 2NS actif</t>
        </is>
      </c>
      <c r="J13369" t="inlineStr">
        <is>
          <t>REVEL</t>
        </is>
      </c>
      <c r="L13369">
        <f>_xlfn.XLOOKUP(Tableau1[[#This Row],[TYPE DE PIECE]],Tableau4[MATIERE],Tableau4[SHORT TYPE],"",0,1)</f>
        <v/>
      </c>
      <c r="N13369">
        <f>IF(ISERR(FIND("DECOUPE",Tableau1[[#This Row],[DESIGNATION]])),"","NEED REF")</f>
        <v/>
      </c>
    </row>
    <row r="13370">
      <c r="B13370" t="n">
        <v>34400635</v>
      </c>
      <c r="C13370" s="2" t="n">
        <v>38065</v>
      </c>
      <c r="D13370" t="inlineStr">
        <is>
          <t>SPEC</t>
        </is>
      </c>
      <c r="E13370" t="inlineStr">
        <is>
          <t>Platine support kit syni</t>
        </is>
      </c>
      <c r="F13370" t="inlineStr">
        <is>
          <t>GALAXY 120kVA</t>
        </is>
      </c>
      <c r="J13370" t="inlineStr">
        <is>
          <t>FERRIER</t>
        </is>
      </c>
      <c r="L13370">
        <f>_xlfn.XLOOKUP(Tableau1[[#This Row],[TYPE DE PIECE]],Tableau4[MATIERE],Tableau4[SHORT TYPE],"",0,1)</f>
        <v/>
      </c>
      <c r="N13370">
        <f>IF(ISERR(FIND("DECOUPE",Tableau1[[#This Row],[DESIGNATION]])),"","NEED REF")</f>
        <v/>
      </c>
    </row>
    <row r="13371">
      <c r="B13371" t="n">
        <v>34400634</v>
      </c>
      <c r="C13371" s="2" t="n">
        <v>38062</v>
      </c>
      <c r="D13371" t="inlineStr">
        <is>
          <t>NOM</t>
        </is>
      </c>
      <c r="E13371" t="inlineStr">
        <is>
          <t xml:space="preserve">NOM KIT TRANSFORMATION </t>
        </is>
      </c>
      <c r="F13371" t="inlineStr">
        <is>
          <t>GALAXY300 UP -&gt; Modulaire</t>
        </is>
      </c>
      <c r="J13371" t="inlineStr">
        <is>
          <t>FERRIER</t>
        </is>
      </c>
      <c r="L13371">
        <f>_xlfn.XLOOKUP(Tableau1[[#This Row],[TYPE DE PIECE]],Tableau4[MATIERE],Tableau4[SHORT TYPE],"",0,1)</f>
        <v/>
      </c>
      <c r="N13371">
        <f>IF(ISERR(FIND("DECOUPE",Tableau1[[#This Row],[DESIGNATION]])),"","NEED REF")</f>
        <v/>
      </c>
    </row>
    <row r="13372">
      <c r="B13372" t="n">
        <v>34400633</v>
      </c>
      <c r="C13372" s="2" t="n">
        <v>38061</v>
      </c>
      <c r="D13372" t="inlineStr">
        <is>
          <t>CDC</t>
        </is>
      </c>
      <c r="E13372" t="inlineStr">
        <is>
          <t>Skid pour Galaxy PW 40kva + arm bat</t>
        </is>
      </c>
      <c r="F13372" t="inlineStr">
        <is>
          <t>Galaxy PW 50kva</t>
        </is>
      </c>
      <c r="J13372" t="inlineStr">
        <is>
          <t>REVEL</t>
        </is>
      </c>
      <c r="L13372">
        <f>_xlfn.XLOOKUP(Tableau1[[#This Row],[TYPE DE PIECE]],Tableau4[MATIERE],Tableau4[SHORT TYPE],"",0,1)</f>
        <v/>
      </c>
      <c r="N13372">
        <f>IF(ISERR(FIND("DECOUPE",Tableau1[[#This Row],[DESIGNATION]])),"","NEED REF")</f>
        <v/>
      </c>
    </row>
    <row r="13373">
      <c r="B13373" t="n">
        <v>34400632</v>
      </c>
      <c r="C13373" s="2" t="n">
        <v>38057</v>
      </c>
      <c r="D13373" t="inlineStr">
        <is>
          <t>SPEC</t>
        </is>
      </c>
      <c r="E13373" t="inlineStr">
        <is>
          <t>Toron de synchro externe Coffret -Onduleur 165m</t>
        </is>
      </c>
      <c r="F13373" t="inlineStr">
        <is>
          <t>SYNCHRO EXTERNE GALAXY &amp; PW</t>
        </is>
      </c>
      <c r="J13373" t="inlineStr">
        <is>
          <t>FERRIER</t>
        </is>
      </c>
      <c r="L13373">
        <f>_xlfn.XLOOKUP(Tableau1[[#This Row],[TYPE DE PIECE]],Tableau4[MATIERE],Tableau4[SHORT TYPE],"",0,1)</f>
        <v/>
      </c>
      <c r="N13373">
        <f>IF(ISERR(FIND("DECOUPE",Tableau1[[#This Row],[DESIGNATION]])),"","NEED REF")</f>
        <v/>
      </c>
    </row>
    <row r="13374">
      <c r="B13374" t="n">
        <v>34400631</v>
      </c>
      <c r="C13374" s="2" t="n">
        <v>38426</v>
      </c>
      <c r="D13374" t="inlineStr">
        <is>
          <t>SPEC</t>
        </is>
      </c>
      <c r="E13374" t="inlineStr">
        <is>
          <t>Réhausse Avant/Arrière TIGRE</t>
        </is>
      </c>
      <c r="F13374" t="inlineStr">
        <is>
          <t>CELLULE GALAXY 1000mm</t>
        </is>
      </c>
      <c r="J13374" t="inlineStr">
        <is>
          <t>FERRIER</t>
        </is>
      </c>
      <c r="L13374">
        <f>_xlfn.XLOOKUP(Tableau1[[#This Row],[TYPE DE PIECE]],Tableau4[MATIERE],Tableau4[SHORT TYPE],"",0,1)</f>
        <v/>
      </c>
      <c r="N13374">
        <f>IF(ISERR(FIND("DECOUPE",Tableau1[[#This Row],[DESIGNATION]])),"","NEED REF")</f>
        <v/>
      </c>
    </row>
    <row r="13375">
      <c r="B13375" t="n">
        <v>34400630</v>
      </c>
      <c r="C13375" s="2" t="n">
        <v>38426</v>
      </c>
      <c r="D13375" t="inlineStr">
        <is>
          <t>CDC</t>
        </is>
      </c>
      <c r="E13375" t="inlineStr">
        <is>
          <t>CDC Prestation Etude + Adaptation méca</t>
        </is>
      </c>
      <c r="F13375" t="inlineStr">
        <is>
          <t>CELLULE GALAXY 1000mm</t>
        </is>
      </c>
      <c r="J13375" t="inlineStr">
        <is>
          <t>FERRIER</t>
        </is>
      </c>
      <c r="L13375">
        <f>_xlfn.XLOOKUP(Tableau1[[#This Row],[TYPE DE PIECE]],Tableau4[MATIERE],Tableau4[SHORT TYPE],"",0,1)</f>
        <v/>
      </c>
      <c r="N13375">
        <f>IF(ISERR(FIND("DECOUPE",Tableau1[[#This Row],[DESIGNATION]])),"","NEED REF")</f>
        <v/>
      </c>
    </row>
    <row r="13376">
      <c r="B13376" t="n">
        <v>34400629</v>
      </c>
      <c r="C13376" s="2" t="n">
        <v>38120</v>
      </c>
      <c r="D13376" t="inlineStr">
        <is>
          <t>SPEC</t>
        </is>
      </c>
      <c r="E13376" t="inlineStr">
        <is>
          <t>Réhausse Avant/Arrière TIGRE</t>
        </is>
      </c>
      <c r="F13376" t="inlineStr">
        <is>
          <t>CELLULE GALAXY 1200mm</t>
        </is>
      </c>
      <c r="J13376" t="inlineStr">
        <is>
          <t>FERRIER</t>
        </is>
      </c>
      <c r="L13376">
        <f>_xlfn.XLOOKUP(Tableau1[[#This Row],[TYPE DE PIECE]],Tableau4[MATIERE],Tableau4[SHORT TYPE],"",0,1)</f>
        <v/>
      </c>
      <c r="N13376">
        <f>IF(ISERR(FIND("DECOUPE",Tableau1[[#This Row],[DESIGNATION]])),"","NEED REF")</f>
        <v/>
      </c>
    </row>
    <row r="13377">
      <c r="B13377" t="n">
        <v>34400628</v>
      </c>
      <c r="C13377" s="2" t="n">
        <v>38111</v>
      </c>
      <c r="D13377" t="inlineStr">
        <is>
          <t>CDC</t>
        </is>
      </c>
      <c r="E13377" t="inlineStr">
        <is>
          <t>CDC Prestation Etude + Adaptation méca : GC (ancienne esthétique)</t>
        </is>
      </c>
      <c r="F13377" t="inlineStr">
        <is>
          <t>CELLULE GALAXY 1200mm</t>
        </is>
      </c>
      <c r="J13377" t="inlineStr">
        <is>
          <t>FERRIER</t>
        </is>
      </c>
      <c r="L13377">
        <f>_xlfn.XLOOKUP(Tableau1[[#This Row],[TYPE DE PIECE]],Tableau4[MATIERE],Tableau4[SHORT TYPE],"",0,1)</f>
        <v/>
      </c>
      <c r="N13377">
        <f>IF(ISERR(FIND("DECOUPE",Tableau1[[#This Row],[DESIGNATION]])),"","NEED REF")</f>
        <v/>
      </c>
    </row>
    <row r="13378">
      <c r="B13378" t="n">
        <v>34400627</v>
      </c>
      <c r="C13378" s="2" t="n">
        <v>38075</v>
      </c>
      <c r="D13378" t="inlineStr">
        <is>
          <t>DOC</t>
        </is>
      </c>
      <c r="E13378" t="inlineStr">
        <is>
          <t>DI "std" GALAXY 450kVA (400-415-440V)</t>
        </is>
      </c>
      <c r="F13378" t="inlineStr">
        <is>
          <t>GALAXY 450kVA (400-415-440V)</t>
        </is>
      </c>
      <c r="J13378" t="inlineStr">
        <is>
          <t>FERRIER</t>
        </is>
      </c>
      <c r="L13378">
        <f>_xlfn.XLOOKUP(Tableau1[[#This Row],[TYPE DE PIECE]],Tableau4[MATIERE],Tableau4[SHORT TYPE],"",0,1)</f>
        <v/>
      </c>
      <c r="N13378">
        <f>IF(ISERR(FIND("DECOUPE",Tableau1[[#This Row],[DESIGNATION]])),"","NEED REF")</f>
        <v/>
      </c>
    </row>
    <row r="13379">
      <c r="B13379" t="n">
        <v>34400626</v>
      </c>
      <c r="C13379" s="2" t="n">
        <v>38056</v>
      </c>
      <c r="D13379" t="inlineStr">
        <is>
          <t>DOC</t>
        </is>
      </c>
      <c r="E13379" t="inlineStr">
        <is>
          <t>Dossier de montage Module d'adaptation tension pour bobine K2S</t>
        </is>
      </c>
      <c r="J13379" t="inlineStr">
        <is>
          <t>FERRIER</t>
        </is>
      </c>
      <c r="L13379">
        <f>_xlfn.XLOOKUP(Tableau1[[#This Row],[TYPE DE PIECE]],Tableau4[MATIERE],Tableau4[SHORT TYPE],"",0,1)</f>
        <v/>
      </c>
      <c r="N13379">
        <f>IF(ISERR(FIND("DECOUPE",Tableau1[[#This Row],[DESIGNATION]])),"","NEED REF")</f>
        <v/>
      </c>
    </row>
    <row r="13380">
      <c r="B13380" t="n">
        <v>34400625</v>
      </c>
      <c r="C13380" s="2" t="n">
        <v>38056</v>
      </c>
      <c r="D13380" t="inlineStr">
        <is>
          <t>DOC</t>
        </is>
      </c>
      <c r="E13380" t="inlineStr">
        <is>
          <t>Dossier de montage Module d'adaptation tension pour ventilateurs</t>
        </is>
      </c>
      <c r="J13380" t="inlineStr">
        <is>
          <t>FERRIER</t>
        </is>
      </c>
      <c r="L13380">
        <f>_xlfn.XLOOKUP(Tableau1[[#This Row],[TYPE DE PIECE]],Tableau4[MATIERE],Tableau4[SHORT TYPE],"",0,1)</f>
        <v/>
      </c>
      <c r="N13380">
        <f>IF(ISERR(FIND("DECOUPE",Tableau1[[#This Row],[DESIGNATION]])),"","NEED REF")</f>
        <v/>
      </c>
    </row>
    <row r="13381">
      <c r="B13381" t="n">
        <v>34400624</v>
      </c>
      <c r="C13381" s="2" t="n">
        <v>38055</v>
      </c>
      <c r="D13381" t="inlineStr">
        <is>
          <t>DOC</t>
        </is>
      </c>
      <c r="E13381" t="inlineStr">
        <is>
          <t>DOSSIER D'ADAPTATION GALAXY 400-&gt;450kVA</t>
        </is>
      </c>
      <c r="F13381" t="inlineStr">
        <is>
          <t>GALAXY 450kVA</t>
        </is>
      </c>
      <c r="J13381" t="inlineStr">
        <is>
          <t>FERRIER</t>
        </is>
      </c>
      <c r="L13381">
        <f>_xlfn.XLOOKUP(Tableau1[[#This Row],[TYPE DE PIECE]],Tableau4[MATIERE],Tableau4[SHORT TYPE],"",0,1)</f>
        <v/>
      </c>
      <c r="N13381">
        <f>IF(ISERR(FIND("DECOUPE",Tableau1[[#This Row],[DESIGNATION]])),"","NEED REF")</f>
        <v/>
      </c>
    </row>
    <row r="13382">
      <c r="B13382" t="n">
        <v>34400623</v>
      </c>
      <c r="C13382" s="2" t="n">
        <v>38055</v>
      </c>
      <c r="D13382" t="inlineStr">
        <is>
          <t>SPEC</t>
        </is>
      </c>
      <c r="E13382" t="inlineStr">
        <is>
          <t>réservé TIGRE</t>
        </is>
      </c>
      <c r="F13382" t="inlineStr">
        <is>
          <t>GALAXY 450kVA</t>
        </is>
      </c>
      <c r="J13382" t="inlineStr">
        <is>
          <t>TIGRE</t>
        </is>
      </c>
      <c r="L13382">
        <f>_xlfn.XLOOKUP(Tableau1[[#This Row],[TYPE DE PIECE]],Tableau4[MATIERE],Tableau4[SHORT TYPE],"",0,1)</f>
        <v/>
      </c>
      <c r="N13382">
        <f>IF(ISERR(FIND("DECOUPE",Tableau1[[#This Row],[DESIGNATION]])),"","NEED REF")</f>
        <v/>
      </c>
    </row>
    <row r="13383">
      <c r="B13383" t="n">
        <v>34400622</v>
      </c>
      <c r="C13383" s="2" t="n">
        <v>38037</v>
      </c>
      <c r="D13383" t="inlineStr">
        <is>
          <t>SPEC</t>
        </is>
      </c>
      <c r="E13383" t="inlineStr">
        <is>
          <t>KIT FILERIE 6740410 ADAPTEE VENTILO EBM</t>
        </is>
      </c>
      <c r="F13383" t="inlineStr">
        <is>
          <t>GALAXY 450kVA</t>
        </is>
      </c>
      <c r="J13383" t="inlineStr">
        <is>
          <t>FERRIER</t>
        </is>
      </c>
      <c r="L13383">
        <f>_xlfn.XLOOKUP(Tableau1[[#This Row],[TYPE DE PIECE]],Tableau4[MATIERE],Tableau4[SHORT TYPE],"",0,1)</f>
        <v/>
      </c>
      <c r="N13383">
        <f>IF(ISERR(FIND("DECOUPE",Tableau1[[#This Row],[DESIGNATION]])),"","NEED REF")</f>
        <v/>
      </c>
    </row>
    <row r="13384">
      <c r="B13384" t="n">
        <v>34400621</v>
      </c>
      <c r="C13384" s="2" t="n">
        <v>38037</v>
      </c>
      <c r="D13384" t="inlineStr">
        <is>
          <t>CDC</t>
        </is>
      </c>
      <c r="E13384" t="inlineStr">
        <is>
          <t>CDC Etude + réalisation d'un SKID Comet</t>
        </is>
      </c>
      <c r="F13384" t="inlineStr">
        <is>
          <t>Comet S31 15kVA</t>
        </is>
      </c>
      <c r="J13384" t="inlineStr">
        <is>
          <t>SUAU</t>
        </is>
      </c>
      <c r="L13384">
        <f>_xlfn.XLOOKUP(Tableau1[[#This Row],[TYPE DE PIECE]],Tableau4[MATIERE],Tableau4[SHORT TYPE],"",0,1)</f>
        <v/>
      </c>
      <c r="N13384">
        <f>IF(ISERR(FIND("DECOUPE",Tableau1[[#This Row],[DESIGNATION]])),"","NEED REF")</f>
        <v/>
      </c>
    </row>
    <row r="13385">
      <c r="B13385" t="n">
        <v>34400620</v>
      </c>
      <c r="C13385" s="2" t="n">
        <v>38036</v>
      </c>
      <c r="D13385" t="inlineStr">
        <is>
          <t>CDC</t>
        </is>
      </c>
      <c r="E13385" t="inlineStr">
        <is>
          <t>CDC Prestation Etude + Adaptation méca / GC (ancienne esthetique)</t>
        </is>
      </c>
      <c r="F13385" t="inlineStr">
        <is>
          <t>GALAXY 450kVA  : 1600mm</t>
        </is>
      </c>
      <c r="J13385" t="inlineStr">
        <is>
          <t>FERRIER</t>
        </is>
      </c>
      <c r="L13385">
        <f>_xlfn.XLOOKUP(Tableau1[[#This Row],[TYPE DE PIECE]],Tableau4[MATIERE],Tableau4[SHORT TYPE],"",0,1)</f>
        <v/>
      </c>
      <c r="N13385">
        <f>IF(ISERR(FIND("DECOUPE",Tableau1[[#This Row],[DESIGNATION]])),"","NEED REF")</f>
        <v/>
      </c>
    </row>
    <row r="13386">
      <c r="B13386" t="n">
        <v>34400619</v>
      </c>
      <c r="C13386" s="2" t="n">
        <v>38034</v>
      </c>
      <c r="E13386" t="inlineStr">
        <is>
          <t>Carte XR2Y/YR2Y/ZR2Y modifié pour adapt pulsar évolution</t>
        </is>
      </c>
      <c r="F13386" t="inlineStr">
        <is>
          <t>PULSAR STS 16A</t>
        </is>
      </c>
      <c r="J13386" t="inlineStr">
        <is>
          <t>FOLTZ</t>
        </is>
      </c>
      <c r="L13386">
        <f>_xlfn.XLOOKUP(Tableau1[[#This Row],[TYPE DE PIECE]],Tableau4[MATIERE],Tableau4[SHORT TYPE],"",0,1)</f>
        <v/>
      </c>
      <c r="N13386">
        <f>IF(ISERR(FIND("DECOUPE",Tableau1[[#This Row],[DESIGNATION]])),"","NEED REF")</f>
        <v/>
      </c>
    </row>
    <row r="13387">
      <c r="B13387" t="n">
        <v>34400618</v>
      </c>
      <c r="C13387" s="2" t="n">
        <v>38034</v>
      </c>
      <c r="D13387" t="inlineStr">
        <is>
          <t>SPEC</t>
        </is>
      </c>
      <c r="E13387" t="inlineStr">
        <is>
          <t>réservé TIGRE</t>
        </is>
      </c>
      <c r="F13387" t="inlineStr">
        <is>
          <t>GALAXY 450kVA</t>
        </is>
      </c>
      <c r="J13387" t="inlineStr">
        <is>
          <t>TIGRE</t>
        </is>
      </c>
      <c r="L13387">
        <f>_xlfn.XLOOKUP(Tableau1[[#This Row],[TYPE DE PIECE]],Tableau4[MATIERE],Tableau4[SHORT TYPE],"",0,1)</f>
        <v/>
      </c>
      <c r="N13387">
        <f>IF(ISERR(FIND("DECOUPE",Tableau1[[#This Row],[DESIGNATION]])),"","NEED REF")</f>
        <v/>
      </c>
    </row>
    <row r="13388">
      <c r="B13388" t="n">
        <v>34400617</v>
      </c>
      <c r="C13388" s="2" t="n">
        <v>38034</v>
      </c>
      <c r="D13388" t="inlineStr">
        <is>
          <t>SPEC</t>
        </is>
      </c>
      <c r="E13388" t="inlineStr">
        <is>
          <t>réservé TIGRE</t>
        </is>
      </c>
      <c r="F13388" t="inlineStr">
        <is>
          <t>GALAXY 450kVA</t>
        </is>
      </c>
      <c r="J13388" t="inlineStr">
        <is>
          <t>TIGRE</t>
        </is>
      </c>
      <c r="L13388">
        <f>_xlfn.XLOOKUP(Tableau1[[#This Row],[TYPE DE PIECE]],Tableau4[MATIERE],Tableau4[SHORT TYPE],"",0,1)</f>
        <v/>
      </c>
      <c r="N13388">
        <f>IF(ISERR(FIND("DECOUPE",Tableau1[[#This Row],[DESIGNATION]])),"","NEED REF")</f>
        <v/>
      </c>
    </row>
    <row r="13389">
      <c r="B13389" t="n">
        <v>34400616</v>
      </c>
      <c r="C13389" s="2" t="n">
        <v>38034</v>
      </c>
      <c r="D13389" t="inlineStr">
        <is>
          <t>SPEC</t>
        </is>
      </c>
      <c r="E13389" t="inlineStr">
        <is>
          <t>réservé TIGRE</t>
        </is>
      </c>
      <c r="F13389" t="inlineStr">
        <is>
          <t>GALAXY 450kVA</t>
        </is>
      </c>
      <c r="J13389" t="inlineStr">
        <is>
          <t>TIGRE</t>
        </is>
      </c>
      <c r="L13389">
        <f>_xlfn.XLOOKUP(Tableau1[[#This Row],[TYPE DE PIECE]],Tableau4[MATIERE],Tableau4[SHORT TYPE],"",0,1)</f>
        <v/>
      </c>
      <c r="N13389">
        <f>IF(ISERR(FIND("DECOUPE",Tableau1[[#This Row],[DESIGNATION]])),"","NEED REF")</f>
        <v/>
      </c>
    </row>
    <row r="13390">
      <c r="B13390" t="n">
        <v>34400615</v>
      </c>
      <c r="C13390" s="2" t="n">
        <v>38034</v>
      </c>
      <c r="D13390" t="inlineStr">
        <is>
          <t>SPEC</t>
        </is>
      </c>
      <c r="E13390" t="inlineStr">
        <is>
          <t>réservé TIGRE</t>
        </is>
      </c>
      <c r="F13390" t="inlineStr">
        <is>
          <t>GALAXY 450kVA</t>
        </is>
      </c>
      <c r="J13390" t="inlineStr">
        <is>
          <t>TIGRE</t>
        </is>
      </c>
      <c r="L13390">
        <f>_xlfn.XLOOKUP(Tableau1[[#This Row],[TYPE DE PIECE]],Tableau4[MATIERE],Tableau4[SHORT TYPE],"",0,1)</f>
        <v/>
      </c>
      <c r="N13390">
        <f>IF(ISERR(FIND("DECOUPE",Tableau1[[#This Row],[DESIGNATION]])),"","NEED REF")</f>
        <v/>
      </c>
    </row>
    <row r="13391">
      <c r="B13391" t="n">
        <v>34400614</v>
      </c>
      <c r="C13391" s="2" t="n">
        <v>38034</v>
      </c>
      <c r="D13391" t="inlineStr">
        <is>
          <t>SPEC</t>
        </is>
      </c>
      <c r="E13391" t="inlineStr">
        <is>
          <t>réservé TIGRE</t>
        </is>
      </c>
      <c r="F13391" t="inlineStr">
        <is>
          <t>GALAXY 450kVA</t>
        </is>
      </c>
      <c r="J13391" t="inlineStr">
        <is>
          <t>TIGRE</t>
        </is>
      </c>
      <c r="L13391">
        <f>_xlfn.XLOOKUP(Tableau1[[#This Row],[TYPE DE PIECE]],Tableau4[MATIERE],Tableau4[SHORT TYPE],"",0,1)</f>
        <v/>
      </c>
      <c r="N13391">
        <f>IF(ISERR(FIND("DECOUPE",Tableau1[[#This Row],[DESIGNATION]])),"","NEED REF")</f>
        <v/>
      </c>
    </row>
    <row r="13392">
      <c r="B13392" t="n">
        <v>34400613</v>
      </c>
      <c r="C13392" s="2" t="n">
        <v>38034</v>
      </c>
      <c r="D13392" t="inlineStr">
        <is>
          <t>SPEC</t>
        </is>
      </c>
      <c r="E13392" t="inlineStr">
        <is>
          <t>réservé TIGRE</t>
        </is>
      </c>
      <c r="F13392" t="inlineStr">
        <is>
          <t>GALAXY 450kVA</t>
        </is>
      </c>
      <c r="J13392" t="inlineStr">
        <is>
          <t>TIGRE</t>
        </is>
      </c>
      <c r="L13392">
        <f>_xlfn.XLOOKUP(Tableau1[[#This Row],[TYPE DE PIECE]],Tableau4[MATIERE],Tableau4[SHORT TYPE],"",0,1)</f>
        <v/>
      </c>
      <c r="N13392">
        <f>IF(ISERR(FIND("DECOUPE",Tableau1[[#This Row],[DESIGNATION]])),"","NEED REF")</f>
        <v/>
      </c>
    </row>
    <row r="13393">
      <c r="B13393" t="n">
        <v>34400612</v>
      </c>
      <c r="C13393" s="2" t="n">
        <v>38034</v>
      </c>
      <c r="D13393" t="inlineStr">
        <is>
          <t>SPEC</t>
        </is>
      </c>
      <c r="E13393" t="inlineStr">
        <is>
          <t>réservé TIGRE</t>
        </is>
      </c>
      <c r="F13393" t="inlineStr">
        <is>
          <t>GALAXY 450kVA</t>
        </is>
      </c>
      <c r="J13393" t="inlineStr">
        <is>
          <t>TIGRE</t>
        </is>
      </c>
      <c r="L13393">
        <f>_xlfn.XLOOKUP(Tableau1[[#This Row],[TYPE DE PIECE]],Tableau4[MATIERE],Tableau4[SHORT TYPE],"",0,1)</f>
        <v/>
      </c>
      <c r="N13393">
        <f>IF(ISERR(FIND("DECOUPE",Tableau1[[#This Row],[DESIGNATION]])),"","NEED REF")</f>
        <v/>
      </c>
    </row>
    <row r="13394">
      <c r="B13394" t="n">
        <v>34400611</v>
      </c>
      <c r="C13394" s="2" t="n">
        <v>38034</v>
      </c>
      <c r="D13394" t="inlineStr">
        <is>
          <t>SPEC</t>
        </is>
      </c>
      <c r="E13394" t="inlineStr">
        <is>
          <t>réservé TIGRE</t>
        </is>
      </c>
      <c r="F13394" t="inlineStr">
        <is>
          <t>GALAXY 450kVA</t>
        </is>
      </c>
      <c r="J13394" t="inlineStr">
        <is>
          <t>TIGRE</t>
        </is>
      </c>
      <c r="L13394">
        <f>_xlfn.XLOOKUP(Tableau1[[#This Row],[TYPE DE PIECE]],Tableau4[MATIERE],Tableau4[SHORT TYPE],"",0,1)</f>
        <v/>
      </c>
      <c r="N13394">
        <f>IF(ISERR(FIND("DECOUPE",Tableau1[[#This Row],[DESIGNATION]])),"","NEED REF")</f>
        <v/>
      </c>
    </row>
    <row r="13395">
      <c r="B13395" t="n">
        <v>34400610</v>
      </c>
      <c r="C13395" s="2" t="n">
        <v>38034</v>
      </c>
      <c r="D13395" t="inlineStr">
        <is>
          <t>SPEC</t>
        </is>
      </c>
      <c r="E13395" t="inlineStr">
        <is>
          <t>réservé TIGRE</t>
        </is>
      </c>
      <c r="F13395" t="inlineStr">
        <is>
          <t>GALAXY 450kVA</t>
        </is>
      </c>
      <c r="J13395" t="inlineStr">
        <is>
          <t>TIGRE</t>
        </is>
      </c>
      <c r="L13395">
        <f>_xlfn.XLOOKUP(Tableau1[[#This Row],[TYPE DE PIECE]],Tableau4[MATIERE],Tableau4[SHORT TYPE],"",0,1)</f>
        <v/>
      </c>
      <c r="N13395">
        <f>IF(ISERR(FIND("DECOUPE",Tableau1[[#This Row],[DESIGNATION]])),"","NEED REF")</f>
        <v/>
      </c>
    </row>
    <row r="13396">
      <c r="B13396" t="n">
        <v>34400609</v>
      </c>
      <c r="C13396" s="2" t="n">
        <v>38034</v>
      </c>
      <c r="D13396" t="inlineStr">
        <is>
          <t>SPEC</t>
        </is>
      </c>
      <c r="E13396" t="inlineStr">
        <is>
          <t>réservé TIGRE</t>
        </is>
      </c>
      <c r="F13396" t="inlineStr">
        <is>
          <t>GALAXY 450kVA</t>
        </is>
      </c>
      <c r="J13396" t="inlineStr">
        <is>
          <t>TIGRE</t>
        </is>
      </c>
      <c r="L13396">
        <f>_xlfn.XLOOKUP(Tableau1[[#This Row],[TYPE DE PIECE]],Tableau4[MATIERE],Tableau4[SHORT TYPE],"",0,1)</f>
        <v/>
      </c>
      <c r="N13396">
        <f>IF(ISERR(FIND("DECOUPE",Tableau1[[#This Row],[DESIGNATION]])),"","NEED REF")</f>
        <v/>
      </c>
    </row>
    <row r="13397">
      <c r="B13397" t="n">
        <v>34400608</v>
      </c>
      <c r="C13397" s="2" t="n">
        <v>38029</v>
      </c>
      <c r="D13397" t="inlineStr">
        <is>
          <t>CDC</t>
        </is>
      </c>
      <c r="E13397" t="inlineStr">
        <is>
          <t>Skid pour Galaxy PW 50kva + arm bat</t>
        </is>
      </c>
      <c r="F13397" t="inlineStr">
        <is>
          <t>Galaxy PW 50kva</t>
        </is>
      </c>
      <c r="J13397" t="inlineStr">
        <is>
          <t>REVEL</t>
        </is>
      </c>
      <c r="L13397">
        <f>_xlfn.XLOOKUP(Tableau1[[#This Row],[TYPE DE PIECE]],Tableau4[MATIERE],Tableau4[SHORT TYPE],"",0,1)</f>
        <v/>
      </c>
      <c r="N13397">
        <f>IF(ISERR(FIND("DECOUPE",Tableau1[[#This Row],[DESIGNATION]])),"","NEED REF")</f>
        <v/>
      </c>
    </row>
    <row r="13398">
      <c r="B13398" t="n">
        <v>34400607</v>
      </c>
      <c r="C13398" s="2" t="n">
        <v>38028</v>
      </c>
      <c r="D13398" t="inlineStr">
        <is>
          <t>NOM</t>
        </is>
      </c>
      <c r="E13398" t="inlineStr">
        <is>
          <t>By-pass COMET 50A TETRA/MONO</t>
        </is>
      </c>
      <c r="F13398" t="inlineStr">
        <is>
          <t>COMET S31 10kVA</t>
        </is>
      </c>
      <c r="J13398" t="inlineStr">
        <is>
          <t>FOLTZ</t>
        </is>
      </c>
      <c r="L13398">
        <f>_xlfn.XLOOKUP(Tableau1[[#This Row],[TYPE DE PIECE]],Tableau4[MATIERE],Tableau4[SHORT TYPE],"",0,1)</f>
        <v/>
      </c>
      <c r="N13398">
        <f>IF(ISERR(FIND("DECOUPE",Tableau1[[#This Row],[DESIGNATION]])),"","NEED REF")</f>
        <v/>
      </c>
    </row>
    <row r="13399">
      <c r="B13399" t="n">
        <v>34400606</v>
      </c>
      <c r="C13399" s="2" t="n">
        <v>38028</v>
      </c>
      <c r="D13399" t="inlineStr">
        <is>
          <t>CDC</t>
        </is>
      </c>
      <c r="E13399" t="inlineStr">
        <is>
          <t>Pulsar extreme 3kVA CLA</t>
        </is>
      </c>
      <c r="F13399" t="inlineStr">
        <is>
          <t>Extreme 3kva</t>
        </is>
      </c>
      <c r="J13399" t="inlineStr">
        <is>
          <t>REVEL</t>
        </is>
      </c>
      <c r="L13399">
        <f>_xlfn.XLOOKUP(Tableau1[[#This Row],[TYPE DE PIECE]],Tableau4[MATIERE],Tableau4[SHORT TYPE],"",0,1)</f>
        <v/>
      </c>
      <c r="N13399">
        <f>IF(ISERR(FIND("DECOUPE",Tableau1[[#This Row],[DESIGNATION]])),"","NEED REF")</f>
        <v/>
      </c>
    </row>
    <row r="13400">
      <c r="B13400" t="n">
        <v>34400605</v>
      </c>
      <c r="C13400" s="2" t="n">
        <v>38028</v>
      </c>
      <c r="D13400" t="inlineStr">
        <is>
          <t>CDC</t>
        </is>
      </c>
      <c r="E13400" t="inlineStr">
        <is>
          <t>Pulsar extreme 3kVA CLA</t>
        </is>
      </c>
      <c r="F13400" t="inlineStr">
        <is>
          <t>Extreme 3kva</t>
        </is>
      </c>
      <c r="J13400" t="inlineStr">
        <is>
          <t>REVEL</t>
        </is>
      </c>
      <c r="L13400">
        <f>_xlfn.XLOOKUP(Tableau1[[#This Row],[TYPE DE PIECE]],Tableau4[MATIERE],Tableau4[SHORT TYPE],"",0,1)</f>
        <v/>
      </c>
      <c r="N13400">
        <f>IF(ISERR(FIND("DECOUPE",Tableau1[[#This Row],[DESIGNATION]])),"","NEED REF")</f>
        <v/>
      </c>
    </row>
    <row r="13401">
      <c r="B13401" t="n">
        <v>34400604</v>
      </c>
      <c r="C13401" s="2" t="n">
        <v>38021</v>
      </c>
      <c r="D13401" t="inlineStr">
        <is>
          <t>CDC</t>
        </is>
      </c>
      <c r="E13401" t="inlineStr">
        <is>
          <t>Skid support armoire MEPC</t>
        </is>
      </c>
      <c r="F13401" t="inlineStr">
        <is>
          <t>Arm aux 715*1900</t>
        </is>
      </c>
      <c r="J13401" t="inlineStr">
        <is>
          <t>REVEL</t>
        </is>
      </c>
      <c r="L13401">
        <f>_xlfn.XLOOKUP(Tableau1[[#This Row],[TYPE DE PIECE]],Tableau4[MATIERE],Tableau4[SHORT TYPE],"",0,1)</f>
        <v/>
      </c>
      <c r="N13401">
        <f>IF(ISERR(FIND("DECOUPE",Tableau1[[#This Row],[DESIGNATION]])),"","NEED REF")</f>
        <v/>
      </c>
    </row>
    <row r="13402">
      <c r="B13402" t="n">
        <v>34400603</v>
      </c>
      <c r="C13402" s="2" t="n">
        <v>38021</v>
      </c>
      <c r="D13402" t="inlineStr">
        <is>
          <t>CDC</t>
        </is>
      </c>
      <c r="E13402" t="inlineStr">
        <is>
          <t>Skid support Galaxy 1000 PW 80kva</t>
        </is>
      </c>
      <c r="F13402" t="inlineStr">
        <is>
          <t>Galaxy 1080</t>
        </is>
      </c>
      <c r="J13402" t="inlineStr">
        <is>
          <t>REVEL</t>
        </is>
      </c>
      <c r="L13402">
        <f>_xlfn.XLOOKUP(Tableau1[[#This Row],[TYPE DE PIECE]],Tableau4[MATIERE],Tableau4[SHORT TYPE],"",0,1)</f>
        <v/>
      </c>
      <c r="N13402">
        <f>IF(ISERR(FIND("DECOUPE",Tableau1[[#This Row],[DESIGNATION]])),"","NEED REF")</f>
        <v/>
      </c>
    </row>
    <row r="13403">
      <c r="B13403" t="n">
        <v>34400602</v>
      </c>
      <c r="C13403" s="2" t="n">
        <v>38015</v>
      </c>
      <c r="D13403" t="inlineStr">
        <is>
          <t>CDC</t>
        </is>
      </c>
      <c r="E13403" t="inlineStr">
        <is>
          <t>BY-PASS EXTERNE COMET EXTREME LD COM</t>
        </is>
      </c>
      <c r="F13403" t="inlineStr">
        <is>
          <t>PULSAR ET COMET EXTREME</t>
        </is>
      </c>
      <c r="J13403" t="inlineStr">
        <is>
          <t>ÇAKIR</t>
        </is>
      </c>
      <c r="L13403">
        <f>_xlfn.XLOOKUP(Tableau1[[#This Row],[TYPE DE PIECE]],Tableau4[MATIERE],Tableau4[SHORT TYPE],"",0,1)</f>
        <v/>
      </c>
      <c r="N13403">
        <f>IF(ISERR(FIND("DECOUPE",Tableau1[[#This Row],[DESIGNATION]])),"","NEED REF")</f>
        <v/>
      </c>
    </row>
    <row r="13404">
      <c r="B13404" t="n">
        <v>34400601</v>
      </c>
      <c r="C13404" s="2" t="n">
        <v>38015</v>
      </c>
      <c r="D13404" t="inlineStr">
        <is>
          <t>NOM</t>
        </is>
      </c>
      <c r="E13404" t="inlineStr">
        <is>
          <t>Pulsar EX10US V2</t>
        </is>
      </c>
      <c r="F13404" t="inlineStr">
        <is>
          <t>PULSAR EX10 US</t>
        </is>
      </c>
      <c r="J13404" t="inlineStr">
        <is>
          <t>REVEL</t>
        </is>
      </c>
      <c r="L13404">
        <f>_xlfn.XLOOKUP(Tableau1[[#This Row],[TYPE DE PIECE]],Tableau4[MATIERE],Tableau4[SHORT TYPE],"",0,1)</f>
        <v/>
      </c>
      <c r="N13404">
        <f>IF(ISERR(FIND("DECOUPE",Tableau1[[#This Row],[DESIGNATION]])),"","NEED REF")</f>
        <v/>
      </c>
    </row>
    <row r="13405">
      <c r="B13405" t="n">
        <v>34400600</v>
      </c>
      <c r="C13405" s="2" t="n">
        <v>38012</v>
      </c>
      <c r="D13405" t="inlineStr">
        <is>
          <t>DOC</t>
        </is>
      </c>
      <c r="E13405" t="inlineStr">
        <is>
          <t>Renfort de support TFO partie haute</t>
        </is>
      </c>
      <c r="F13405" t="inlineStr">
        <is>
          <t>Galaxy PW 1000</t>
        </is>
      </c>
      <c r="J13405" t="inlineStr">
        <is>
          <t>AGERON</t>
        </is>
      </c>
      <c r="L13405">
        <f>_xlfn.XLOOKUP(Tableau1[[#This Row],[TYPE DE PIECE]],Tableau4[MATIERE],Tableau4[SHORT TYPE],"",0,1)</f>
        <v/>
      </c>
      <c r="N13405">
        <f>IF(ISERR(FIND("DECOUPE",Tableau1[[#This Row],[DESIGNATION]])),"","NEED REF")</f>
        <v/>
      </c>
    </row>
    <row r="13406">
      <c r="B13406" t="n">
        <v>34400599</v>
      </c>
      <c r="C13406" s="2" t="n">
        <v>38009</v>
      </c>
      <c r="D13406" t="inlineStr">
        <is>
          <t>DOC</t>
        </is>
      </c>
      <c r="E13406" t="inlineStr">
        <is>
          <t xml:space="preserve">Tension d'alim batteries 300V </t>
        </is>
      </c>
      <c r="F13406" t="inlineStr">
        <is>
          <t>Galaxy PW 1000</t>
        </is>
      </c>
      <c r="J13406" t="inlineStr">
        <is>
          <t>AGERON</t>
        </is>
      </c>
      <c r="L13406">
        <f>_xlfn.XLOOKUP(Tableau1[[#This Row],[TYPE DE PIECE]],Tableau4[MATIERE],Tableau4[SHORT TYPE],"",0,1)</f>
        <v/>
      </c>
      <c r="N13406">
        <f>IF(ISERR(FIND("DECOUPE",Tableau1[[#This Row],[DESIGNATION]])),"","NEED REF")</f>
        <v/>
      </c>
    </row>
    <row r="13407">
      <c r="B13407" t="n">
        <v>34400598</v>
      </c>
      <c r="C13407" s="2" t="n">
        <v>38009</v>
      </c>
      <c r="D13407" t="inlineStr">
        <is>
          <t>DOC</t>
        </is>
      </c>
      <c r="E13407" t="inlineStr">
        <is>
          <t xml:space="preserve">Tension d'alim batteries 300V </t>
        </is>
      </c>
      <c r="F13407" t="inlineStr">
        <is>
          <t>Galaxy PW 20_60kVA</t>
        </is>
      </c>
      <c r="J13407" t="inlineStr">
        <is>
          <t>AGERON</t>
        </is>
      </c>
      <c r="L13407">
        <f>_xlfn.XLOOKUP(Tableau1[[#This Row],[TYPE DE PIECE]],Tableau4[MATIERE],Tableau4[SHORT TYPE],"",0,1)</f>
        <v/>
      </c>
      <c r="N13407">
        <f>IF(ISERR(FIND("DECOUPE",Tableau1[[#This Row],[DESIGNATION]])),"","NEED REF")</f>
        <v/>
      </c>
    </row>
    <row r="13408">
      <c r="B13408" t="n">
        <v>34400597</v>
      </c>
      <c r="C13408" s="2" t="n">
        <v>38008</v>
      </c>
      <c r="D13408" t="inlineStr">
        <is>
          <t>NOM</t>
        </is>
      </c>
      <c r="E13408" t="inlineStr">
        <is>
          <t>IP 32 Armoire batterie 715*1400</t>
        </is>
      </c>
      <c r="F13408" t="inlineStr">
        <is>
          <t>Galaxy PW</t>
        </is>
      </c>
      <c r="J13408" t="inlineStr">
        <is>
          <t>REVEL</t>
        </is>
      </c>
      <c r="L13408">
        <f>_xlfn.XLOOKUP(Tableau1[[#This Row],[TYPE DE PIECE]],Tableau4[MATIERE],Tableau4[SHORT TYPE],"",0,1)</f>
        <v/>
      </c>
      <c r="N13408">
        <f>IF(ISERR(FIND("DECOUPE",Tableau1[[#This Row],[DESIGNATION]])),"","NEED REF")</f>
        <v/>
      </c>
    </row>
    <row r="13409">
      <c r="B13409" t="n">
        <v>34400596</v>
      </c>
      <c r="C13409" s="2" t="n">
        <v>38008</v>
      </c>
      <c r="D13409" t="inlineStr">
        <is>
          <t>NOM</t>
        </is>
      </c>
      <c r="E13409" t="inlineStr">
        <is>
          <t>IP 32 Galaxy PW 20-60kVA H=1400</t>
        </is>
      </c>
      <c r="F13409" t="inlineStr">
        <is>
          <t>Galaxy PW 20_60kVA</t>
        </is>
      </c>
      <c r="J13409" t="inlineStr">
        <is>
          <t>REVEL</t>
        </is>
      </c>
      <c r="L13409">
        <f>_xlfn.XLOOKUP(Tableau1[[#This Row],[TYPE DE PIECE]],Tableau4[MATIERE],Tableau4[SHORT TYPE],"",0,1)</f>
        <v/>
      </c>
      <c r="N13409">
        <f>IF(ISERR(FIND("DECOUPE",Tableau1[[#This Row],[DESIGNATION]])),"","NEED REF")</f>
        <v/>
      </c>
    </row>
    <row r="13410">
      <c r="B13410" t="n">
        <v>34400595</v>
      </c>
      <c r="C13410" s="2" t="n">
        <v>38006</v>
      </c>
      <c r="D13410" t="inlineStr">
        <is>
          <t>CDC</t>
        </is>
      </c>
      <c r="E13410" t="inlineStr">
        <is>
          <t>Armoire sinewave marine</t>
        </is>
      </c>
      <c r="F13410" t="inlineStr">
        <is>
          <t>SineWave 120A</t>
        </is>
      </c>
      <c r="J13410" t="inlineStr">
        <is>
          <t>REVEL</t>
        </is>
      </c>
      <c r="L13410">
        <f>_xlfn.XLOOKUP(Tableau1[[#This Row],[TYPE DE PIECE]],Tableau4[MATIERE],Tableau4[SHORT TYPE],"",0,1)</f>
        <v/>
      </c>
      <c r="N13410">
        <f>IF(ISERR(FIND("DECOUPE",Tableau1[[#This Row],[DESIGNATION]])),"","NEED REF")</f>
        <v/>
      </c>
    </row>
    <row r="13411">
      <c r="B13411" t="n">
        <v>34400594</v>
      </c>
      <c r="C13411" s="2" t="n">
        <v>37999</v>
      </c>
      <c r="D13411" t="inlineStr">
        <is>
          <t>CDC</t>
        </is>
      </c>
      <c r="E13411" t="inlineStr">
        <is>
          <t xml:space="preserve">Armoire batterie plomb etanche a glissiere </t>
        </is>
      </c>
      <c r="F13411" t="inlineStr">
        <is>
          <t>Galaxy pw  1015*1900</t>
        </is>
      </c>
      <c r="J13411" t="inlineStr">
        <is>
          <t>REVEL</t>
        </is>
      </c>
      <c r="L13411">
        <f>_xlfn.XLOOKUP(Tableau1[[#This Row],[TYPE DE PIECE]],Tableau4[MATIERE],Tableau4[SHORT TYPE],"",0,1)</f>
        <v/>
      </c>
      <c r="N13411">
        <f>IF(ISERR(FIND("DECOUPE",Tableau1[[#This Row],[DESIGNATION]])),"","NEED REF")</f>
        <v/>
      </c>
    </row>
    <row r="13412">
      <c r="B13412" t="n">
        <v>34400593</v>
      </c>
      <c r="C13412" s="2" t="n">
        <v>37998</v>
      </c>
      <c r="D13412" t="inlineStr">
        <is>
          <t>CDC</t>
        </is>
      </c>
      <c r="E13412" t="inlineStr">
        <is>
          <t>Skid support comet s31 20kva + arm TFO</t>
        </is>
      </c>
      <c r="F13412" t="inlineStr">
        <is>
          <t>Comet S31 20kVA</t>
        </is>
      </c>
      <c r="J13412" t="inlineStr">
        <is>
          <t>ROBERT</t>
        </is>
      </c>
      <c r="L13412">
        <f>_xlfn.XLOOKUP(Tableau1[[#This Row],[TYPE DE PIECE]],Tableau4[MATIERE],Tableau4[SHORT TYPE],"",0,1)</f>
        <v/>
      </c>
      <c r="N13412">
        <f>IF(ISERR(FIND("DECOUPE",Tableau1[[#This Row],[DESIGNATION]])),"","NEED REF")</f>
        <v/>
      </c>
    </row>
    <row r="13413">
      <c r="B13413" t="n">
        <v>34400592</v>
      </c>
      <c r="C13413" s="2" t="n">
        <v>37995</v>
      </c>
      <c r="D13413" t="inlineStr">
        <is>
          <t>CDC</t>
        </is>
      </c>
      <c r="E13413" t="inlineStr">
        <is>
          <t>Armoire PDU avec transfo pour Galaxy PW</t>
        </is>
      </c>
      <c r="F13413" t="inlineStr">
        <is>
          <t>PDU</t>
        </is>
      </c>
      <c r="J13413" t="inlineStr">
        <is>
          <t>REVEL</t>
        </is>
      </c>
      <c r="L13413">
        <f>_xlfn.XLOOKUP(Tableau1[[#This Row],[TYPE DE PIECE]],Tableau4[MATIERE],Tableau4[SHORT TYPE],"",0,1)</f>
        <v/>
      </c>
      <c r="N13413">
        <f>IF(ISERR(FIND("DECOUPE",Tableau1[[#This Row],[DESIGNATION]])),"","NEED REF")</f>
        <v/>
      </c>
    </row>
    <row r="13414">
      <c r="B13414" t="n">
        <v>34400591</v>
      </c>
      <c r="C13414" s="2" t="n">
        <v>37995</v>
      </c>
      <c r="D13414" t="inlineStr">
        <is>
          <t>CDC</t>
        </is>
      </c>
      <c r="E13414" t="inlineStr">
        <is>
          <t>Armoire PDU pour continu</t>
        </is>
      </c>
      <c r="F13414" t="inlineStr">
        <is>
          <t>PDU</t>
        </is>
      </c>
      <c r="J13414" t="inlineStr">
        <is>
          <t>REVEL</t>
        </is>
      </c>
      <c r="L13414">
        <f>_xlfn.XLOOKUP(Tableau1[[#This Row],[TYPE DE PIECE]],Tableau4[MATIERE],Tableau4[SHORT TYPE],"",0,1)</f>
        <v/>
      </c>
      <c r="N13414">
        <f>IF(ISERR(FIND("DECOUPE",Tableau1[[#This Row],[DESIGNATION]])),"","NEED REF")</f>
        <v/>
      </c>
    </row>
    <row r="13415">
      <c r="B13415" t="n">
        <v>34400590</v>
      </c>
      <c r="C13415" s="2" t="n">
        <v>37994</v>
      </c>
      <c r="D13415" t="inlineStr">
        <is>
          <t>CDC</t>
        </is>
      </c>
      <c r="E13415" t="inlineStr">
        <is>
          <t>Skid support GALAXY PW 160kVA</t>
        </is>
      </c>
      <c r="F13415" t="inlineStr">
        <is>
          <t>GALAXY PW</t>
        </is>
      </c>
      <c r="J13415" t="inlineStr">
        <is>
          <t>REVEL</t>
        </is>
      </c>
      <c r="L13415">
        <f>_xlfn.XLOOKUP(Tableau1[[#This Row],[TYPE DE PIECE]],Tableau4[MATIERE],Tableau4[SHORT TYPE],"",0,1)</f>
        <v/>
      </c>
      <c r="N13415">
        <f>IF(ISERR(FIND("DECOUPE",Tableau1[[#This Row],[DESIGNATION]])),"","NEED REF")</f>
        <v/>
      </c>
    </row>
    <row r="13416">
      <c r="B13416" t="n">
        <v>34400589</v>
      </c>
      <c r="C13416" s="2" t="n">
        <v>37994</v>
      </c>
      <c r="D13416" t="inlineStr">
        <is>
          <t>CDC</t>
        </is>
      </c>
      <c r="E13416" t="inlineStr">
        <is>
          <t>Skid support GALAXY 3000 20kva + arm bat</t>
        </is>
      </c>
      <c r="F13416" t="inlineStr">
        <is>
          <t>GALAXY 3000</t>
        </is>
      </c>
      <c r="J13416" t="inlineStr">
        <is>
          <t>REVEL</t>
        </is>
      </c>
      <c r="L13416">
        <f>_xlfn.XLOOKUP(Tableau1[[#This Row],[TYPE DE PIECE]],Tableau4[MATIERE],Tableau4[SHORT TYPE],"",0,1)</f>
        <v/>
      </c>
      <c r="N13416">
        <f>IF(ISERR(FIND("DECOUPE",Tableau1[[#This Row],[DESIGNATION]])),"","NEED REF")</f>
        <v/>
      </c>
    </row>
    <row r="13417">
      <c r="B13417" t="n">
        <v>34400588</v>
      </c>
      <c r="C13417" s="2" t="n">
        <v>37994</v>
      </c>
      <c r="D13417" t="inlineStr">
        <is>
          <t>CDC</t>
        </is>
      </c>
      <c r="E13417" t="inlineStr">
        <is>
          <t>Skid support comet s31 20kva + arm bat</t>
        </is>
      </c>
      <c r="F13417" t="inlineStr">
        <is>
          <t>COMET</t>
        </is>
      </c>
      <c r="J13417" t="inlineStr">
        <is>
          <t>REVEL</t>
        </is>
      </c>
      <c r="L13417">
        <f>_xlfn.XLOOKUP(Tableau1[[#This Row],[TYPE DE PIECE]],Tableau4[MATIERE],Tableau4[SHORT TYPE],"",0,1)</f>
        <v/>
      </c>
      <c r="N13417">
        <f>IF(ISERR(FIND("DECOUPE",Tableau1[[#This Row],[DESIGNATION]])),"","NEED REF")</f>
        <v/>
      </c>
    </row>
    <row r="13418">
      <c r="B13418" t="n">
        <v>34400587</v>
      </c>
      <c r="C13418" s="2" t="n">
        <v>37993</v>
      </c>
      <c r="D13418" t="inlineStr">
        <is>
          <t>SPEC</t>
        </is>
      </c>
      <c r="E13418" t="inlineStr">
        <is>
          <t>Equerre support boite a clé</t>
        </is>
      </c>
      <c r="F13418" t="inlineStr">
        <is>
          <t>BY PASS 150kVA PW</t>
        </is>
      </c>
      <c r="J13418" t="inlineStr">
        <is>
          <t>REVEL</t>
        </is>
      </c>
      <c r="L13418">
        <f>_xlfn.XLOOKUP(Tableau1[[#This Row],[TYPE DE PIECE]],Tableau4[MATIERE],Tableau4[SHORT TYPE],"",0,1)</f>
        <v/>
      </c>
      <c r="N13418">
        <f>IF(ISERR(FIND("DECOUPE",Tableau1[[#This Row],[DESIGNATION]])),"","NEED REF")</f>
        <v/>
      </c>
    </row>
    <row r="13419">
      <c r="B13419" t="n">
        <v>34400586</v>
      </c>
      <c r="C13419" s="2" t="n">
        <v>37993</v>
      </c>
      <c r="D13419" t="inlineStr">
        <is>
          <t>NOM</t>
        </is>
      </c>
      <c r="E13419" t="inlineStr">
        <is>
          <t>NOM IP22 peinture special</t>
        </is>
      </c>
      <c r="F13419" t="inlineStr">
        <is>
          <t>GALAXY PW 160/200kVA</t>
        </is>
      </c>
      <c r="J13419" t="inlineStr">
        <is>
          <t>REVEL</t>
        </is>
      </c>
      <c r="L13419">
        <f>_xlfn.XLOOKUP(Tableau1[[#This Row],[TYPE DE PIECE]],Tableau4[MATIERE],Tableau4[SHORT TYPE],"",0,1)</f>
        <v/>
      </c>
      <c r="N13419">
        <f>IF(ISERR(FIND("DECOUPE",Tableau1[[#This Row],[DESIGNATION]])),"","NEED REF")</f>
        <v/>
      </c>
    </row>
    <row r="13420">
      <c r="B13420" t="n">
        <v>34400585</v>
      </c>
      <c r="C13420" s="2" t="n">
        <v>37993</v>
      </c>
      <c r="D13420" t="inlineStr">
        <is>
          <t>SPEC</t>
        </is>
      </c>
      <c r="E13420" t="inlineStr">
        <is>
          <t xml:space="preserve">Porte droite IP22 </t>
        </is>
      </c>
      <c r="F13420" t="inlineStr">
        <is>
          <t>GALAXY PW 160/200kVA</t>
        </is>
      </c>
      <c r="J13420" t="inlineStr">
        <is>
          <t>REVEL</t>
        </is>
      </c>
      <c r="L13420">
        <f>_xlfn.XLOOKUP(Tableau1[[#This Row],[TYPE DE PIECE]],Tableau4[MATIERE],Tableau4[SHORT TYPE],"",0,1)</f>
        <v/>
      </c>
      <c r="N13420">
        <f>IF(ISERR(FIND("DECOUPE",Tableau1[[#This Row],[DESIGNATION]])),"","NEED REF")</f>
        <v/>
      </c>
    </row>
    <row r="13421">
      <c r="B13421" t="n">
        <v>34400584</v>
      </c>
      <c r="C13421" s="2" t="n">
        <v>37993</v>
      </c>
      <c r="D13421" t="inlineStr">
        <is>
          <t>SPEC</t>
        </is>
      </c>
      <c r="E13421" t="inlineStr">
        <is>
          <t xml:space="preserve">Porte gauche IP22 </t>
        </is>
      </c>
      <c r="F13421" t="inlineStr">
        <is>
          <t>GALAXY PW 160/200kVA</t>
        </is>
      </c>
      <c r="J13421" t="inlineStr">
        <is>
          <t>REVEL</t>
        </is>
      </c>
      <c r="L13421">
        <f>_xlfn.XLOOKUP(Tableau1[[#This Row],[TYPE DE PIECE]],Tableau4[MATIERE],Tableau4[SHORT TYPE],"",0,1)</f>
        <v/>
      </c>
      <c r="N13421">
        <f>IF(ISERR(FIND("DECOUPE",Tableau1[[#This Row],[DESIGNATION]])),"","NEED REF")</f>
        <v/>
      </c>
    </row>
    <row r="13422">
      <c r="B13422" t="n">
        <v>34400583</v>
      </c>
      <c r="C13422" s="2" t="n">
        <v>37992</v>
      </c>
      <c r="D13422" t="inlineStr">
        <is>
          <t>NOM</t>
        </is>
      </c>
      <c r="E13422" t="inlineStr">
        <is>
          <t>G3000 arm aux bat l=850 IP22 couleur special</t>
        </is>
      </c>
      <c r="F13422" t="inlineStr">
        <is>
          <t>GALAXY 3000</t>
        </is>
      </c>
      <c r="J13422" t="inlineStr">
        <is>
          <t>REVEL</t>
        </is>
      </c>
      <c r="L13422">
        <f>_xlfn.XLOOKUP(Tableau1[[#This Row],[TYPE DE PIECE]],Tableau4[MATIERE],Tableau4[SHORT TYPE],"",0,1)</f>
        <v/>
      </c>
      <c r="N13422">
        <f>IF(ISERR(FIND("DECOUPE",Tableau1[[#This Row],[DESIGNATION]])),"","NEED REF")</f>
        <v/>
      </c>
    </row>
    <row r="13423">
      <c r="B13423" t="n">
        <v>34400582</v>
      </c>
      <c r="C13423" s="2" t="n">
        <v>37992</v>
      </c>
      <c r="D13423" t="inlineStr">
        <is>
          <t xml:space="preserve">NOM </t>
        </is>
      </c>
      <c r="E13423" t="inlineStr">
        <is>
          <t>G3000 20-30KVA IP22 couleur special</t>
        </is>
      </c>
      <c r="F13423" t="inlineStr">
        <is>
          <t>GALAXY 3000</t>
        </is>
      </c>
      <c r="J13423" t="inlineStr">
        <is>
          <t>REVEL</t>
        </is>
      </c>
      <c r="L13423">
        <f>_xlfn.XLOOKUP(Tableau1[[#This Row],[TYPE DE PIECE]],Tableau4[MATIERE],Tableau4[SHORT TYPE],"",0,1)</f>
        <v/>
      </c>
      <c r="N13423">
        <f>IF(ISERR(FIND("DECOUPE",Tableau1[[#This Row],[DESIGNATION]])),"","NEED REF")</f>
        <v/>
      </c>
    </row>
    <row r="13424">
      <c r="B13424" t="n">
        <v>34400581</v>
      </c>
      <c r="C13424" s="2" t="n">
        <v>37992</v>
      </c>
      <c r="D13424" t="inlineStr">
        <is>
          <t>SPEC</t>
        </is>
      </c>
      <c r="E13424" t="inlineStr">
        <is>
          <t>Support logo IP</t>
        </is>
      </c>
      <c r="F13424" t="inlineStr">
        <is>
          <t>GALAXY 3000</t>
        </is>
      </c>
      <c r="J13424" t="inlineStr">
        <is>
          <t>REVEL</t>
        </is>
      </c>
      <c r="L13424">
        <f>_xlfn.XLOOKUP(Tableau1[[#This Row],[TYPE DE PIECE]],Tableau4[MATIERE],Tableau4[SHORT TYPE],"",0,1)</f>
        <v/>
      </c>
      <c r="N13424">
        <f>IF(ISERR(FIND("DECOUPE",Tableau1[[#This Row],[DESIGNATION]])),"","NEED REF")</f>
        <v/>
      </c>
    </row>
    <row r="13425">
      <c r="B13425" t="n">
        <v>34400580</v>
      </c>
      <c r="C13425" s="2" t="n">
        <v>37988</v>
      </c>
      <c r="D13425" t="inlineStr">
        <is>
          <t>SCH</t>
        </is>
      </c>
      <c r="E13425" t="inlineStr">
        <is>
          <t>ENCOMBREMENT 400Hz 90kVA sur SKID</t>
        </is>
      </c>
      <c r="F13425" t="inlineStr">
        <is>
          <t>AXA - DCN - D.MOREAU</t>
        </is>
      </c>
      <c r="J13425" t="inlineStr">
        <is>
          <t>REVEL</t>
        </is>
      </c>
      <c r="L13425">
        <f>_xlfn.XLOOKUP(Tableau1[[#This Row],[TYPE DE PIECE]],Tableau4[MATIERE],Tableau4[SHORT TYPE],"",0,1)</f>
        <v/>
      </c>
      <c r="N13425">
        <f>IF(ISERR(FIND("DECOUPE",Tableau1[[#This Row],[DESIGNATION]])),"","NEED REF")</f>
        <v/>
      </c>
    </row>
    <row r="13426">
      <c r="B13426" t="n">
        <v>34400579</v>
      </c>
      <c r="C13426" s="2" t="n">
        <v>37986</v>
      </c>
      <c r="D13426" t="inlineStr">
        <is>
          <t>SPEC</t>
        </is>
      </c>
      <c r="E13426" t="inlineStr">
        <is>
          <t>Panneau arriere IP22 cellule aux l=850</t>
        </is>
      </c>
      <c r="F13426" t="inlineStr">
        <is>
          <t>GALAXY 3000</t>
        </is>
      </c>
      <c r="J13426" t="inlineStr">
        <is>
          <t>ROBERT</t>
        </is>
      </c>
      <c r="L13426">
        <f>_xlfn.XLOOKUP(Tableau1[[#This Row],[TYPE DE PIECE]],Tableau4[MATIERE],Tableau4[SHORT TYPE],"",0,1)</f>
        <v/>
      </c>
      <c r="N13426">
        <f>IF(ISERR(FIND("DECOUPE",Tableau1[[#This Row],[DESIGNATION]])),"","NEED REF")</f>
        <v/>
      </c>
    </row>
    <row r="13427">
      <c r="B13427" t="n">
        <v>34400578</v>
      </c>
      <c r="C13427" s="2" t="n">
        <v>37978</v>
      </c>
      <c r="D13427" t="inlineStr">
        <is>
          <t>CDC</t>
        </is>
      </c>
      <c r="E13427" t="inlineStr">
        <is>
          <t>Idem 34400562ZA  DJ-BATT</t>
        </is>
      </c>
      <c r="F13427" t="inlineStr">
        <is>
          <t>CEGELEC</t>
        </is>
      </c>
      <c r="J13427" t="inlineStr">
        <is>
          <t>AGERON</t>
        </is>
      </c>
      <c r="L13427">
        <f>_xlfn.XLOOKUP(Tableau1[[#This Row],[TYPE DE PIECE]],Tableau4[MATIERE],Tableau4[SHORT TYPE],"",0,1)</f>
        <v/>
      </c>
      <c r="N13427">
        <f>IF(ISERR(FIND("DECOUPE",Tableau1[[#This Row],[DESIGNATION]])),"","NEED REF")</f>
        <v/>
      </c>
    </row>
    <row r="13428">
      <c r="B13428" t="n">
        <v>34400577</v>
      </c>
      <c r="C13428" s="2" t="n">
        <v>37978</v>
      </c>
      <c r="D13428" t="inlineStr">
        <is>
          <t>CDC</t>
        </is>
      </c>
      <c r="E13428" t="inlineStr">
        <is>
          <t>Idem 34400562ZA  UPS-DJ</t>
        </is>
      </c>
      <c r="F13428" t="inlineStr">
        <is>
          <t>CEGELEC</t>
        </is>
      </c>
      <c r="J13428" t="inlineStr">
        <is>
          <t>AGERON</t>
        </is>
      </c>
      <c r="L13428">
        <f>_xlfn.XLOOKUP(Tableau1[[#This Row],[TYPE DE PIECE]],Tableau4[MATIERE],Tableau4[SHORT TYPE],"",0,1)</f>
        <v/>
      </c>
      <c r="N13428">
        <f>IF(ISERR(FIND("DECOUPE",Tableau1[[#This Row],[DESIGNATION]])),"","NEED REF")</f>
        <v/>
      </c>
    </row>
    <row r="13429">
      <c r="B13429" t="n">
        <v>34400576</v>
      </c>
      <c r="C13429" s="2" t="n">
        <v>37978</v>
      </c>
      <c r="D13429" t="inlineStr">
        <is>
          <t>NOM</t>
        </is>
      </c>
      <c r="E13429" t="inlineStr">
        <is>
          <t>NOM Pulsar EX10 US V3</t>
        </is>
      </c>
      <c r="F13429" t="inlineStr">
        <is>
          <t>PULSAR EX10 US</t>
        </is>
      </c>
      <c r="J13429" t="inlineStr">
        <is>
          <t>REVEL</t>
        </is>
      </c>
      <c r="L13429">
        <f>_xlfn.XLOOKUP(Tableau1[[#This Row],[TYPE DE PIECE]],Tableau4[MATIERE],Tableau4[SHORT TYPE],"",0,1)</f>
        <v/>
      </c>
      <c r="N13429">
        <f>IF(ISERR(FIND("DECOUPE",Tableau1[[#This Row],[DESIGNATION]])),"","NEED REF")</f>
        <v/>
      </c>
    </row>
    <row r="13430">
      <c r="B13430" t="n">
        <v>34400575</v>
      </c>
      <c r="C13430" s="2" t="n">
        <v>37977</v>
      </c>
      <c r="D13430" t="inlineStr">
        <is>
          <t>SCH</t>
        </is>
      </c>
      <c r="E13430" t="inlineStr">
        <is>
          <t>Schéma de principe 28VDC</t>
        </is>
      </c>
      <c r="F13430" t="inlineStr">
        <is>
          <t>AXA - DCN - D.MOREAU</t>
        </is>
      </c>
      <c r="J13430" t="inlineStr">
        <is>
          <t>FERRIER</t>
        </is>
      </c>
      <c r="L13430">
        <f>_xlfn.XLOOKUP(Tableau1[[#This Row],[TYPE DE PIECE]],Tableau4[MATIERE],Tableau4[SHORT TYPE],"",0,1)</f>
        <v/>
      </c>
      <c r="N13430">
        <f>IF(ISERR(FIND("DECOUPE",Tableau1[[#This Row],[DESIGNATION]])),"","NEED REF")</f>
        <v/>
      </c>
    </row>
    <row r="13431">
      <c r="B13431" t="n">
        <v>34400574</v>
      </c>
      <c r="C13431" s="2" t="n">
        <v>37977</v>
      </c>
      <c r="D13431" t="inlineStr">
        <is>
          <t>DOC</t>
        </is>
      </c>
      <c r="E13431" t="inlineStr">
        <is>
          <t>Manuel d'exploitation 28VDC</t>
        </is>
      </c>
      <c r="F13431" t="inlineStr">
        <is>
          <t>AXA - DCN - D.MOREAU</t>
        </is>
      </c>
      <c r="J13431" t="inlineStr">
        <is>
          <t>FERRIER</t>
        </is>
      </c>
      <c r="L13431">
        <f>_xlfn.XLOOKUP(Tableau1[[#This Row],[TYPE DE PIECE]],Tableau4[MATIERE],Tableau4[SHORT TYPE],"",0,1)</f>
        <v/>
      </c>
      <c r="N13431">
        <f>IF(ISERR(FIND("DECOUPE",Tableau1[[#This Row],[DESIGNATION]])),"","NEED REF")</f>
        <v/>
      </c>
    </row>
    <row r="13432">
      <c r="B13432" t="n">
        <v>34400573</v>
      </c>
      <c r="C13432" s="2" t="n">
        <v>37977</v>
      </c>
      <c r="D13432" t="inlineStr">
        <is>
          <t>SCH</t>
        </is>
      </c>
      <c r="E13432" t="inlineStr">
        <is>
          <t>Schéma d'implantation 400Hz 90kVA 3 sorties</t>
        </is>
      </c>
      <c r="F13432" t="inlineStr">
        <is>
          <t>AXA - DCN - D.MOREAU</t>
        </is>
      </c>
      <c r="J13432" t="inlineStr">
        <is>
          <t>FERRIER</t>
        </is>
      </c>
      <c r="L13432">
        <f>_xlfn.XLOOKUP(Tableau1[[#This Row],[TYPE DE PIECE]],Tableau4[MATIERE],Tableau4[SHORT TYPE],"",0,1)</f>
        <v/>
      </c>
      <c r="N13432">
        <f>IF(ISERR(FIND("DECOUPE",Tableau1[[#This Row],[DESIGNATION]])),"","NEED REF")</f>
        <v/>
      </c>
    </row>
    <row r="13433">
      <c r="B13433" t="n">
        <v>34400572</v>
      </c>
      <c r="C13433" s="2" t="n">
        <v>37977</v>
      </c>
      <c r="D13433" t="inlineStr">
        <is>
          <t>SCH</t>
        </is>
      </c>
      <c r="E13433" t="inlineStr">
        <is>
          <t>Schéma de principe 400Hz 90kVA 3 sorties</t>
        </is>
      </c>
      <c r="F13433" t="inlineStr">
        <is>
          <t>AXA - DCN - D.MOREAU</t>
        </is>
      </c>
      <c r="J13433" t="inlineStr">
        <is>
          <t>FERRIER</t>
        </is>
      </c>
      <c r="L13433">
        <f>_xlfn.XLOOKUP(Tableau1[[#This Row],[TYPE DE PIECE]],Tableau4[MATIERE],Tableau4[SHORT TYPE],"",0,1)</f>
        <v/>
      </c>
      <c r="N13433">
        <f>IF(ISERR(FIND("DECOUPE",Tableau1[[#This Row],[DESIGNATION]])),"","NEED REF")</f>
        <v/>
      </c>
    </row>
    <row r="13434">
      <c r="B13434" t="n">
        <v>34400571</v>
      </c>
      <c r="C13434" s="2" t="n">
        <v>37977</v>
      </c>
      <c r="D13434" t="inlineStr">
        <is>
          <t>DOC</t>
        </is>
      </c>
      <c r="E13434" t="inlineStr">
        <is>
          <t>Manuel d'exploitation 400Hz 90kVA 3 sorties</t>
        </is>
      </c>
      <c r="F13434" t="inlineStr">
        <is>
          <t>AXA - DCN - D.MOREAU</t>
        </is>
      </c>
      <c r="J13434" t="inlineStr">
        <is>
          <t>FERRIER</t>
        </is>
      </c>
      <c r="L13434">
        <f>_xlfn.XLOOKUP(Tableau1[[#This Row],[TYPE DE PIECE]],Tableau4[MATIERE],Tableau4[SHORT TYPE],"",0,1)</f>
        <v/>
      </c>
      <c r="N13434">
        <f>IF(ISERR(FIND("DECOUPE",Tableau1[[#This Row],[DESIGNATION]])),"","NEED REF")</f>
        <v/>
      </c>
    </row>
    <row r="13435">
      <c r="B13435" t="n">
        <v>34400570</v>
      </c>
      <c r="C13435" s="2" t="n">
        <v>37977</v>
      </c>
      <c r="D13435" t="inlineStr">
        <is>
          <t>SCH</t>
        </is>
      </c>
      <c r="E13435" t="inlineStr">
        <is>
          <t>Schéma d'implantation 400Hz 90kVA 2 sorties</t>
        </is>
      </c>
      <c r="F13435" t="inlineStr">
        <is>
          <t>AXA - DCN - D.MOREAU</t>
        </is>
      </c>
      <c r="J13435" t="inlineStr">
        <is>
          <t>FERRIER</t>
        </is>
      </c>
      <c r="L13435">
        <f>_xlfn.XLOOKUP(Tableau1[[#This Row],[TYPE DE PIECE]],Tableau4[MATIERE],Tableau4[SHORT TYPE],"",0,1)</f>
        <v/>
      </c>
      <c r="N13435">
        <f>IF(ISERR(FIND("DECOUPE",Tableau1[[#This Row],[DESIGNATION]])),"","NEED REF")</f>
        <v/>
      </c>
    </row>
    <row r="13436">
      <c r="B13436" t="n">
        <v>34400569</v>
      </c>
      <c r="C13436" s="2" t="n">
        <v>37977</v>
      </c>
      <c r="D13436" t="inlineStr">
        <is>
          <t>SCH</t>
        </is>
      </c>
      <c r="E13436" t="inlineStr">
        <is>
          <t>Schéma de principe 400Hz 90kVA 2 sorties</t>
        </is>
      </c>
      <c r="F13436" t="inlineStr">
        <is>
          <t>AXA - DCN - D.MOREAU</t>
        </is>
      </c>
      <c r="J13436" t="inlineStr">
        <is>
          <t>FERRIER</t>
        </is>
      </c>
      <c r="L13436">
        <f>_xlfn.XLOOKUP(Tableau1[[#This Row],[TYPE DE PIECE]],Tableau4[MATIERE],Tableau4[SHORT TYPE],"",0,1)</f>
        <v/>
      </c>
      <c r="N13436">
        <f>IF(ISERR(FIND("DECOUPE",Tableau1[[#This Row],[DESIGNATION]])),"","NEED REF")</f>
        <v/>
      </c>
    </row>
    <row r="13437">
      <c r="B13437" t="n">
        <v>34400568</v>
      </c>
      <c r="C13437" s="2" t="n">
        <v>37977</v>
      </c>
      <c r="D13437" t="inlineStr">
        <is>
          <t>DOC</t>
        </is>
      </c>
      <c r="E13437" t="inlineStr">
        <is>
          <t>Manuel d'exploitation 400Hz 90kVA 2 sorties</t>
        </is>
      </c>
      <c r="F13437" t="inlineStr">
        <is>
          <t>AXA - DCN - D.MOREAU</t>
        </is>
      </c>
      <c r="J13437" t="inlineStr">
        <is>
          <t>FERRIER</t>
        </is>
      </c>
      <c r="L13437">
        <f>_xlfn.XLOOKUP(Tableau1[[#This Row],[TYPE DE PIECE]],Tableau4[MATIERE],Tableau4[SHORT TYPE],"",0,1)</f>
        <v/>
      </c>
      <c r="N13437">
        <f>IF(ISERR(FIND("DECOUPE",Tableau1[[#This Row],[DESIGNATION]])),"","NEED REF")</f>
        <v/>
      </c>
    </row>
    <row r="13438">
      <c r="B13438" t="n">
        <v>34400567</v>
      </c>
      <c r="C13438" s="2" t="n">
        <v>37977</v>
      </c>
      <c r="D13438" t="inlineStr">
        <is>
          <t>SPEC</t>
        </is>
      </c>
      <c r="E13438" t="inlineStr">
        <is>
          <t xml:space="preserve">Panneau arriere IP22 </t>
        </is>
      </c>
      <c r="F13438" t="inlineStr">
        <is>
          <t>GALAXY 3000 20-30KVA</t>
        </is>
      </c>
      <c r="J13438" t="inlineStr">
        <is>
          <t>REVEL</t>
        </is>
      </c>
      <c r="L13438">
        <f>_xlfn.XLOOKUP(Tableau1[[#This Row],[TYPE DE PIECE]],Tableau4[MATIERE],Tableau4[SHORT TYPE],"",0,1)</f>
        <v/>
      </c>
      <c r="N13438">
        <f>IF(ISERR(FIND("DECOUPE",Tableau1[[#This Row],[DESIGNATION]])),"","NEED REF")</f>
        <v/>
      </c>
    </row>
    <row r="13439">
      <c r="B13439" t="n">
        <v>34400566</v>
      </c>
      <c r="C13439" s="2" t="n">
        <v>37977</v>
      </c>
      <c r="D13439" t="inlineStr">
        <is>
          <t>NOM</t>
        </is>
      </c>
      <c r="E13439" t="inlineStr">
        <is>
          <t>Specification fixation onduleurs sur skid</t>
        </is>
      </c>
      <c r="F13439" t="inlineStr">
        <is>
          <t>TOUS</t>
        </is>
      </c>
      <c r="J13439" t="inlineStr">
        <is>
          <t>REVEL</t>
        </is>
      </c>
      <c r="L13439">
        <f>_xlfn.XLOOKUP(Tableau1[[#This Row],[TYPE DE PIECE]],Tableau4[MATIERE],Tableau4[SHORT TYPE],"",0,1)</f>
        <v/>
      </c>
      <c r="N13439">
        <f>IF(ISERR(FIND("DECOUPE",Tableau1[[#This Row],[DESIGNATION]])),"","NEED REF")</f>
        <v/>
      </c>
    </row>
    <row r="13440">
      <c r="B13440" t="n">
        <v>34400565</v>
      </c>
      <c r="C13440" s="2" t="n">
        <v>37977</v>
      </c>
      <c r="D13440" t="inlineStr">
        <is>
          <t>SPEC</t>
        </is>
      </c>
      <c r="E13440" t="inlineStr">
        <is>
          <t>ATFO phase shifting double connexion +20/+15 -20/-15</t>
        </is>
      </c>
      <c r="F13440" t="inlineStr">
        <is>
          <t>ALTRAM</t>
        </is>
      </c>
      <c r="J13440" t="inlineStr">
        <is>
          <t>ROBERT</t>
        </is>
      </c>
      <c r="L13440">
        <f>_xlfn.XLOOKUP(Tableau1[[#This Row],[TYPE DE PIECE]],Tableau4[MATIERE],Tableau4[SHORT TYPE],"",0,1)</f>
        <v/>
      </c>
      <c r="N13440">
        <f>IF(ISERR(FIND("DECOUPE",Tableau1[[#This Row],[DESIGNATION]])),"","NEED REF")</f>
        <v/>
      </c>
    </row>
    <row r="13441">
      <c r="B13441" t="n">
        <v>34400564</v>
      </c>
      <c r="C13441" s="2" t="n">
        <v>37974</v>
      </c>
      <c r="D13441" t="inlineStr">
        <is>
          <t>NOM</t>
        </is>
      </c>
      <c r="E13441" t="inlineStr">
        <is>
          <t>NOM IP31 COMET ARM BAT L=560 PEINT, SPE</t>
        </is>
      </c>
      <c r="F13441" t="inlineStr">
        <is>
          <t>COMET ARM BAT L=560</t>
        </is>
      </c>
      <c r="J13441" t="inlineStr">
        <is>
          <t>REVEL</t>
        </is>
      </c>
      <c r="L13441">
        <f>_xlfn.XLOOKUP(Tableau1[[#This Row],[TYPE DE PIECE]],Tableau4[MATIERE],Tableau4[SHORT TYPE],"",0,1)</f>
        <v/>
      </c>
      <c r="N13441">
        <f>IF(ISERR(FIND("DECOUPE",Tableau1[[#This Row],[DESIGNATION]])),"","NEED REF")</f>
        <v/>
      </c>
    </row>
    <row r="13442">
      <c r="B13442" t="n">
        <v>34400563</v>
      </c>
      <c r="C13442" s="2" t="n">
        <v>37973</v>
      </c>
      <c r="D13442" t="inlineStr">
        <is>
          <t>CDC</t>
        </is>
      </c>
      <c r="E13442" t="inlineStr">
        <is>
          <t>CDC montage TFO+ATFO</t>
        </is>
      </c>
      <c r="F13442" t="inlineStr">
        <is>
          <t>WOOJIN</t>
        </is>
      </c>
      <c r="J13442" t="inlineStr">
        <is>
          <t>ROBERT</t>
        </is>
      </c>
      <c r="L13442">
        <f>_xlfn.XLOOKUP(Tableau1[[#This Row],[TYPE DE PIECE]],Tableau4[MATIERE],Tableau4[SHORT TYPE],"",0,1)</f>
        <v/>
      </c>
      <c r="N13442">
        <f>IF(ISERR(FIND("DECOUPE",Tableau1[[#This Row],[DESIGNATION]])),"","NEED REF")</f>
        <v/>
      </c>
    </row>
    <row r="13443">
      <c r="B13443" t="n">
        <v>34400562</v>
      </c>
      <c r="C13443" s="2" t="n">
        <v>37972</v>
      </c>
      <c r="D13443" t="inlineStr">
        <is>
          <t>CDC</t>
        </is>
      </c>
      <c r="E13443" t="inlineStr">
        <is>
          <t>Specification des différents cables</t>
        </is>
      </c>
      <c r="F13443" t="inlineStr">
        <is>
          <t>CEGELEC</t>
        </is>
      </c>
      <c r="J13443" t="inlineStr">
        <is>
          <t>AGERON</t>
        </is>
      </c>
      <c r="L13443">
        <f>_xlfn.XLOOKUP(Tableau1[[#This Row],[TYPE DE PIECE]],Tableau4[MATIERE],Tableau4[SHORT TYPE],"",0,1)</f>
        <v/>
      </c>
      <c r="N13443">
        <f>IF(ISERR(FIND("DECOUPE",Tableau1[[#This Row],[DESIGNATION]])),"","NEED REF")</f>
        <v/>
      </c>
    </row>
    <row r="13444">
      <c r="B13444" t="n">
        <v>34400561</v>
      </c>
      <c r="C13444" s="2" t="n">
        <v>37970</v>
      </c>
      <c r="D13444" t="inlineStr">
        <is>
          <t>CDC</t>
        </is>
      </c>
      <c r="E13444" t="inlineStr">
        <is>
          <t>BY-PASS 200kVA en ARM PW 1400</t>
        </is>
      </c>
      <c r="F13444" t="inlineStr">
        <is>
          <t>PW 60kVA</t>
        </is>
      </c>
      <c r="J13444" t="inlineStr">
        <is>
          <t>ÇAKIR</t>
        </is>
      </c>
      <c r="L13444">
        <f>_xlfn.XLOOKUP(Tableau1[[#This Row],[TYPE DE PIECE]],Tableau4[MATIERE],Tableau4[SHORT TYPE],"",0,1)</f>
        <v/>
      </c>
      <c r="N13444">
        <f>IF(ISERR(FIND("DECOUPE",Tableau1[[#This Row],[DESIGNATION]])),"","NEED REF")</f>
        <v/>
      </c>
    </row>
    <row r="13445">
      <c r="B13445" t="n">
        <v>34400560</v>
      </c>
      <c r="C13445" s="2" t="n">
        <v>37967</v>
      </c>
      <c r="D13445" t="inlineStr">
        <is>
          <t>SPEC</t>
        </is>
      </c>
      <c r="E13445" t="inlineStr">
        <is>
          <t>ETIQUETTE MAINTENANCE BY-PASS</t>
        </is>
      </c>
      <c r="F13445" t="inlineStr">
        <is>
          <t>COFFRET BY-PASS COMET</t>
        </is>
      </c>
      <c r="J13445" t="inlineStr">
        <is>
          <t>FOLTZ</t>
        </is>
      </c>
      <c r="L13445">
        <f>_xlfn.XLOOKUP(Tableau1[[#This Row],[TYPE DE PIECE]],Tableau4[MATIERE],Tableau4[SHORT TYPE],"",0,1)</f>
        <v/>
      </c>
      <c r="N13445">
        <f>IF(ISERR(FIND("DECOUPE",Tableau1[[#This Row],[DESIGNATION]])),"","NEED REF")</f>
        <v/>
      </c>
    </row>
    <row r="13446">
      <c r="B13446" t="n">
        <v>34400559</v>
      </c>
      <c r="C13446" s="2" t="n">
        <v>37965</v>
      </c>
      <c r="D13446" t="inlineStr">
        <is>
          <t>NOM</t>
        </is>
      </c>
      <c r="E13446" t="inlineStr">
        <is>
          <t>COFFRET BY-PASS MONO 50A</t>
        </is>
      </c>
      <c r="F13446" t="inlineStr">
        <is>
          <t>COMET</t>
        </is>
      </c>
      <c r="J13446" t="inlineStr">
        <is>
          <t>FOLTZ</t>
        </is>
      </c>
      <c r="L13446">
        <f>_xlfn.XLOOKUP(Tableau1[[#This Row],[TYPE DE PIECE]],Tableau4[MATIERE],Tableau4[SHORT TYPE],"",0,1)</f>
        <v/>
      </c>
      <c r="N13446">
        <f>IF(ISERR(FIND("DECOUPE",Tableau1[[#This Row],[DESIGNATION]])),"","NEED REF")</f>
        <v/>
      </c>
    </row>
    <row r="13447">
      <c r="B13447" t="n">
        <v>34400558</v>
      </c>
      <c r="C13447" s="2" t="n">
        <v>37965</v>
      </c>
      <c r="D13447" t="inlineStr">
        <is>
          <t>NOM</t>
        </is>
      </c>
      <c r="E13447" t="inlineStr">
        <is>
          <t>Carte CROI Seuil arret batterie</t>
        </is>
      </c>
      <c r="F13447" t="inlineStr">
        <is>
          <t>GALAXY PW</t>
        </is>
      </c>
      <c r="J13447" t="inlineStr">
        <is>
          <t>AGERON</t>
        </is>
      </c>
      <c r="L13447">
        <f>_xlfn.XLOOKUP(Tableau1[[#This Row],[TYPE DE PIECE]],Tableau4[MATIERE],Tableau4[SHORT TYPE],"",0,1)</f>
        <v/>
      </c>
      <c r="N13447">
        <f>IF(ISERR(FIND("DECOUPE",Tableau1[[#This Row],[DESIGNATION]])),"","NEED REF")</f>
        <v/>
      </c>
    </row>
    <row r="13448">
      <c r="B13448" t="n">
        <v>34400557</v>
      </c>
      <c r="C13448" s="2" t="n">
        <v>37965</v>
      </c>
      <c r="D13448" t="inlineStr">
        <is>
          <t>SPEC</t>
        </is>
      </c>
      <c r="E13448" t="inlineStr">
        <is>
          <t>Etiquette carte CROI Seuil arret batterie</t>
        </is>
      </c>
      <c r="F13448" t="inlineStr">
        <is>
          <t>GALAXY PW</t>
        </is>
      </c>
      <c r="J13448" t="inlineStr">
        <is>
          <t>AGERON</t>
        </is>
      </c>
      <c r="L13448">
        <f>_xlfn.XLOOKUP(Tableau1[[#This Row],[TYPE DE PIECE]],Tableau4[MATIERE],Tableau4[SHORT TYPE],"",0,1)</f>
        <v/>
      </c>
      <c r="N13448">
        <f>IF(ISERR(FIND("DECOUPE",Tableau1[[#This Row],[DESIGNATION]])),"","NEED REF")</f>
        <v/>
      </c>
    </row>
    <row r="13449">
      <c r="B13449" t="n">
        <v>34400556</v>
      </c>
      <c r="C13449" s="2" t="n">
        <v>37965</v>
      </c>
      <c r="D13449" t="inlineStr">
        <is>
          <t>SPEC</t>
        </is>
      </c>
      <c r="E13449" t="inlineStr">
        <is>
          <t>Etiquette EPROM CROI Seuil arret batterie</t>
        </is>
      </c>
      <c r="F13449" t="inlineStr">
        <is>
          <t>GALAXY PW</t>
        </is>
      </c>
      <c r="J13449" t="inlineStr">
        <is>
          <t>AGERON</t>
        </is>
      </c>
      <c r="L13449">
        <f>_xlfn.XLOOKUP(Tableau1[[#This Row],[TYPE DE PIECE]],Tableau4[MATIERE],Tableau4[SHORT TYPE],"",0,1)</f>
        <v/>
      </c>
      <c r="N13449">
        <f>IF(ISERR(FIND("DECOUPE",Tableau1[[#This Row],[DESIGNATION]])),"","NEED REF")</f>
        <v/>
      </c>
    </row>
    <row r="13450">
      <c r="B13450" t="n">
        <v>34400555</v>
      </c>
      <c r="C13450" s="2" t="n">
        <v>37965</v>
      </c>
      <c r="D13450" t="inlineStr">
        <is>
          <t>NOM</t>
        </is>
      </c>
      <c r="E13450" t="inlineStr">
        <is>
          <t>EPROM CROI Seuil arret batterie</t>
        </is>
      </c>
      <c r="F13450" t="inlineStr">
        <is>
          <t>GALAXY PW</t>
        </is>
      </c>
      <c r="J13450" t="inlineStr">
        <is>
          <t>AGERON</t>
        </is>
      </c>
      <c r="L13450">
        <f>_xlfn.XLOOKUP(Tableau1[[#This Row],[TYPE DE PIECE]],Tableau4[MATIERE],Tableau4[SHORT TYPE],"",0,1)</f>
        <v/>
      </c>
      <c r="N13450">
        <f>IF(ISERR(FIND("DECOUPE",Tableau1[[#This Row],[DESIGNATION]])),"","NEED REF")</f>
        <v/>
      </c>
    </row>
    <row r="13451">
      <c r="B13451" t="n">
        <v>34400554</v>
      </c>
      <c r="C13451" s="2" t="n">
        <v>36869</v>
      </c>
      <c r="D13451" t="inlineStr">
        <is>
          <t>NOM</t>
        </is>
      </c>
      <c r="E13451" t="inlineStr">
        <is>
          <t>NOM IP31 COMET 5S31 PEINTURE SPECIALE</t>
        </is>
      </c>
      <c r="F13451" t="inlineStr">
        <is>
          <t>COMET 5S31</t>
        </is>
      </c>
      <c r="J13451" t="inlineStr">
        <is>
          <t>FOLTZ</t>
        </is>
      </c>
      <c r="L13451">
        <f>_xlfn.XLOOKUP(Tableau1[[#This Row],[TYPE DE PIECE]],Tableau4[MATIERE],Tableau4[SHORT TYPE],"",0,1)</f>
        <v/>
      </c>
      <c r="N13451">
        <f>IF(ISERR(FIND("DECOUPE",Tableau1[[#This Row],[DESIGNATION]])),"","NEED REF")</f>
        <v/>
      </c>
    </row>
    <row r="13452">
      <c r="B13452" t="n">
        <v>34400553</v>
      </c>
      <c r="C13452" s="2" t="n">
        <v>37964</v>
      </c>
      <c r="D13452" t="inlineStr">
        <is>
          <t>CDC</t>
        </is>
      </c>
      <c r="E13452" t="inlineStr">
        <is>
          <t>Adaptation THM G300 : ajout parafoudre + départ Rés 2</t>
        </is>
      </c>
      <c r="F13452" t="inlineStr">
        <is>
          <t>THMG300</t>
        </is>
      </c>
      <c r="J13452" t="inlineStr">
        <is>
          <t>FERRIER</t>
        </is>
      </c>
      <c r="L13452">
        <f>_xlfn.XLOOKUP(Tableau1[[#This Row],[TYPE DE PIECE]],Tableau4[MATIERE],Tableau4[SHORT TYPE],"",0,1)</f>
        <v/>
      </c>
      <c r="N13452">
        <f>IF(ISERR(FIND("DECOUPE",Tableau1[[#This Row],[DESIGNATION]])),"","NEED REF")</f>
        <v/>
      </c>
    </row>
    <row r="13453">
      <c r="B13453" t="n">
        <v>34400552</v>
      </c>
      <c r="C13453" s="2" t="n">
        <v>37963</v>
      </c>
      <c r="D13453" t="inlineStr">
        <is>
          <t>SPEC</t>
        </is>
      </c>
      <c r="E13453" t="inlineStr">
        <is>
          <t>Limande 50pts INTY2</t>
        </is>
      </c>
      <c r="F13453" t="inlineStr">
        <is>
          <t>LTS</t>
        </is>
      </c>
      <c r="J13453" t="inlineStr">
        <is>
          <t>FERRIER</t>
        </is>
      </c>
      <c r="L13453">
        <f>_xlfn.XLOOKUP(Tableau1[[#This Row],[TYPE DE PIECE]],Tableau4[MATIERE],Tableau4[SHORT TYPE],"",0,1)</f>
        <v/>
      </c>
      <c r="N13453">
        <f>IF(ISERR(FIND("DECOUPE",Tableau1[[#This Row],[DESIGNATION]])),"","NEED REF")</f>
        <v/>
      </c>
    </row>
    <row r="13454">
      <c r="B13454" t="n">
        <v>34400551</v>
      </c>
      <c r="C13454" s="2" t="n">
        <v>37963</v>
      </c>
      <c r="D13454" t="inlineStr">
        <is>
          <t>SCH</t>
        </is>
      </c>
      <c r="E13454" t="inlineStr">
        <is>
          <t>Adaptation Galaxy 200 // pour fonctionnement avec Galaxy 120 //</t>
        </is>
      </c>
      <c r="F13454" t="inlineStr">
        <is>
          <t>GALAXY 200 P -&gt; 120 P</t>
        </is>
      </c>
      <c r="J13454" t="inlineStr">
        <is>
          <t>FERRIER</t>
        </is>
      </c>
      <c r="L13454">
        <f>_xlfn.XLOOKUP(Tableau1[[#This Row],[TYPE DE PIECE]],Tableau4[MATIERE],Tableau4[SHORT TYPE],"",0,1)</f>
        <v/>
      </c>
      <c r="N13454">
        <f>IF(ISERR(FIND("DECOUPE",Tableau1[[#This Row],[DESIGNATION]])),"","NEED REF")</f>
        <v/>
      </c>
    </row>
    <row r="13455">
      <c r="B13455" t="n">
        <v>34400550</v>
      </c>
      <c r="C13455" s="2" t="n">
        <v>37963</v>
      </c>
      <c r="D13455" t="inlineStr">
        <is>
          <t>SPEC</t>
        </is>
      </c>
      <c r="E13455" t="inlineStr">
        <is>
          <t>Etiquette EPROM CRIZ Fly wheel</t>
        </is>
      </c>
      <c r="F13455" t="inlineStr">
        <is>
          <t xml:space="preserve">GALAXY </t>
        </is>
      </c>
      <c r="J13455" t="inlineStr">
        <is>
          <t>REVEL</t>
        </is>
      </c>
      <c r="L13455">
        <f>_xlfn.XLOOKUP(Tableau1[[#This Row],[TYPE DE PIECE]],Tableau4[MATIERE],Tableau4[SHORT TYPE],"",0,1)</f>
        <v/>
      </c>
      <c r="N13455">
        <f>IF(ISERR(FIND("DECOUPE",Tableau1[[#This Row],[DESIGNATION]])),"","NEED REF")</f>
        <v/>
      </c>
    </row>
    <row r="13456">
      <c r="B13456" t="n">
        <v>34400549</v>
      </c>
      <c r="C13456" s="2" t="n">
        <v>37963</v>
      </c>
      <c r="D13456" t="inlineStr">
        <is>
          <t>SPEC</t>
        </is>
      </c>
      <c r="E13456" t="inlineStr">
        <is>
          <t>Etiquette carte CRIZ Fly wheel</t>
        </is>
      </c>
      <c r="F13456" t="inlineStr">
        <is>
          <t xml:space="preserve">GALAXY </t>
        </is>
      </c>
      <c r="J13456" t="inlineStr">
        <is>
          <t>REVEL</t>
        </is>
      </c>
      <c r="L13456">
        <f>_xlfn.XLOOKUP(Tableau1[[#This Row],[TYPE DE PIECE]],Tableau4[MATIERE],Tableau4[SHORT TYPE],"",0,1)</f>
        <v/>
      </c>
      <c r="N13456">
        <f>IF(ISERR(FIND("DECOUPE",Tableau1[[#This Row],[DESIGNATION]])),"","NEED REF")</f>
        <v/>
      </c>
    </row>
    <row r="13457">
      <c r="B13457" t="n">
        <v>34400548</v>
      </c>
      <c r="C13457" s="2" t="n">
        <v>37963</v>
      </c>
      <c r="D13457" t="inlineStr">
        <is>
          <t>NOM</t>
        </is>
      </c>
      <c r="E13457" t="inlineStr">
        <is>
          <t>EPROM CRIZ FLYWHEEL</t>
        </is>
      </c>
      <c r="F13457" t="inlineStr">
        <is>
          <t xml:space="preserve">GALAXY </t>
        </is>
      </c>
      <c r="J13457" t="inlineStr">
        <is>
          <t>REVEL</t>
        </is>
      </c>
      <c r="L13457">
        <f>_xlfn.XLOOKUP(Tableau1[[#This Row],[TYPE DE PIECE]],Tableau4[MATIERE],Tableau4[SHORT TYPE],"",0,1)</f>
        <v/>
      </c>
      <c r="N13457">
        <f>IF(ISERR(FIND("DECOUPE",Tableau1[[#This Row],[DESIGNATION]])),"","NEED REF")</f>
        <v/>
      </c>
    </row>
    <row r="13458">
      <c r="B13458" t="n">
        <v>34400547</v>
      </c>
      <c r="C13458" s="2" t="n">
        <v>37960</v>
      </c>
      <c r="D13458" t="inlineStr">
        <is>
          <t>CDC</t>
        </is>
      </c>
      <c r="E13458" t="inlineStr">
        <is>
          <t>LTS1200A</t>
        </is>
      </c>
      <c r="F13458" t="inlineStr">
        <is>
          <t>GCSS ADIA</t>
        </is>
      </c>
      <c r="J13458" t="inlineStr">
        <is>
          <t>FERRIER</t>
        </is>
      </c>
      <c r="L13458">
        <f>_xlfn.XLOOKUP(Tableau1[[#This Row],[TYPE DE PIECE]],Tableau4[MATIERE],Tableau4[SHORT TYPE],"",0,1)</f>
        <v/>
      </c>
      <c r="N13458">
        <f>IF(ISERR(FIND("DECOUPE",Tableau1[[#This Row],[DESIGNATION]])),"","NEED REF")</f>
        <v/>
      </c>
    </row>
    <row r="13459">
      <c r="B13459" t="n">
        <v>34400546</v>
      </c>
      <c r="C13459" s="2" t="n">
        <v>37958</v>
      </c>
      <c r="D13459" t="inlineStr">
        <is>
          <t>NOM</t>
        </is>
      </c>
      <c r="E13459" t="inlineStr">
        <is>
          <t>IP 32 PEINTURE GC</t>
        </is>
      </c>
      <c r="F13459" t="inlineStr">
        <is>
          <t>GALAXY PW 20 à 60kVA H=1900</t>
        </is>
      </c>
      <c r="J13459" t="inlineStr">
        <is>
          <t>ROBERT</t>
        </is>
      </c>
      <c r="L13459">
        <f>_xlfn.XLOOKUP(Tableau1[[#This Row],[TYPE DE PIECE]],Tableau4[MATIERE],Tableau4[SHORT TYPE],"",0,1)</f>
        <v/>
      </c>
      <c r="N13459">
        <f>IF(ISERR(FIND("DECOUPE",Tableau1[[#This Row],[DESIGNATION]])),"","NEED REF")</f>
        <v/>
      </c>
    </row>
    <row r="13460">
      <c r="B13460" t="n">
        <v>34400545</v>
      </c>
      <c r="C13460" s="2" t="n">
        <v>37958</v>
      </c>
      <c r="D13460" t="inlineStr">
        <is>
          <t>CDC</t>
        </is>
      </c>
      <c r="E13460" t="inlineStr">
        <is>
          <t>Montage armoire batterie</t>
        </is>
      </c>
      <c r="F13460" t="inlineStr">
        <is>
          <t>GALAXY PW</t>
        </is>
      </c>
      <c r="J13460" t="inlineStr">
        <is>
          <t>REVEL</t>
        </is>
      </c>
      <c r="L13460">
        <f>_xlfn.XLOOKUP(Tableau1[[#This Row],[TYPE DE PIECE]],Tableau4[MATIERE],Tableau4[SHORT TYPE],"",0,1)</f>
        <v/>
      </c>
      <c r="N13460">
        <f>IF(ISERR(FIND("DECOUPE",Tableau1[[#This Row],[DESIGNATION]])),"","NEED REF")</f>
        <v/>
      </c>
    </row>
    <row r="13461">
      <c r="B13461" t="n">
        <v>34400544</v>
      </c>
      <c r="C13461" s="2" t="n">
        <v>37957</v>
      </c>
      <c r="D13461" t="inlineStr">
        <is>
          <t>CDC+SCHEMA+FC</t>
        </is>
      </c>
      <c r="E13461" t="inlineStr">
        <is>
          <t>Intégration BACK FEED dans gaine 400mm</t>
        </is>
      </c>
      <c r="F13461" t="inlineStr">
        <is>
          <t>GALAXY 300kVA Unitaire</t>
        </is>
      </c>
      <c r="J13461" t="inlineStr">
        <is>
          <t>FERRIER</t>
        </is>
      </c>
      <c r="L13461">
        <f>_xlfn.XLOOKUP(Tableau1[[#This Row],[TYPE DE PIECE]],Tableau4[MATIERE],Tableau4[SHORT TYPE],"",0,1)</f>
        <v/>
      </c>
      <c r="N13461">
        <f>IF(ISERR(FIND("DECOUPE",Tableau1[[#This Row],[DESIGNATION]])),"","NEED REF")</f>
        <v/>
      </c>
    </row>
    <row r="13462">
      <c r="B13462" t="n">
        <v>34400543</v>
      </c>
      <c r="C13462" s="2" t="n">
        <v>37957</v>
      </c>
      <c r="D13462" t="inlineStr">
        <is>
          <t>NOM</t>
        </is>
      </c>
      <c r="E13462" t="inlineStr">
        <is>
          <t>IP 32 PEINTURE A COMMISSION</t>
        </is>
      </c>
      <c r="F13462" t="inlineStr">
        <is>
          <t>GALAXY PW 20 à 60kVA H=1400</t>
        </is>
      </c>
      <c r="J13462" t="inlineStr">
        <is>
          <t>ROBERT</t>
        </is>
      </c>
      <c r="L13462">
        <f>_xlfn.XLOOKUP(Tableau1[[#This Row],[TYPE DE PIECE]],Tableau4[MATIERE],Tableau4[SHORT TYPE],"",0,1)</f>
        <v/>
      </c>
      <c r="N13462">
        <f>IF(ISERR(FIND("DECOUPE",Tableau1[[#This Row],[DESIGNATION]])),"","NEED REF")</f>
        <v/>
      </c>
    </row>
    <row r="13463">
      <c r="B13463" t="n">
        <v>34400542</v>
      </c>
      <c r="C13463" s="2" t="n"/>
      <c r="D13463" t="inlineStr">
        <is>
          <t>CDC</t>
        </is>
      </c>
      <c r="E13463" t="inlineStr">
        <is>
          <t>ARM TFO R2 + BY PASS</t>
        </is>
      </c>
      <c r="F13463" t="inlineStr">
        <is>
          <t>GALAXY PW 100KVA</t>
        </is>
      </c>
      <c r="J13463" t="inlineStr">
        <is>
          <t>REVEL</t>
        </is>
      </c>
      <c r="L13463">
        <f>_xlfn.XLOOKUP(Tableau1[[#This Row],[TYPE DE PIECE]],Tableau4[MATIERE],Tableau4[SHORT TYPE],"",0,1)</f>
        <v/>
      </c>
      <c r="N13463">
        <f>IF(ISERR(FIND("DECOUPE",Tableau1[[#This Row],[DESIGNATION]])),"","NEED REF")</f>
        <v/>
      </c>
    </row>
    <row r="13464">
      <c r="B13464" t="n">
        <v>34400541</v>
      </c>
      <c r="C13464" s="2" t="n"/>
      <c r="D13464" t="inlineStr">
        <is>
          <t>NOM</t>
        </is>
      </c>
      <c r="E13464" t="inlineStr">
        <is>
          <t>LG UP=&gt;P GAL 300kVA</t>
        </is>
      </c>
      <c r="F13464" t="inlineStr">
        <is>
          <t>GAL 300kVA</t>
        </is>
      </c>
      <c r="J13464" t="inlineStr">
        <is>
          <t>FOLTZ</t>
        </is>
      </c>
      <c r="L13464">
        <f>_xlfn.XLOOKUP(Tableau1[[#This Row],[TYPE DE PIECE]],Tableau4[MATIERE],Tableau4[SHORT TYPE],"",0,1)</f>
        <v/>
      </c>
      <c r="N13464">
        <f>IF(ISERR(FIND("DECOUPE",Tableau1[[#This Row],[DESIGNATION]])),"","NEED REF")</f>
        <v/>
      </c>
    </row>
    <row r="13465">
      <c r="B13465" t="n">
        <v>34400540</v>
      </c>
      <c r="C13465" s="2" t="n"/>
      <c r="D13465" t="inlineStr">
        <is>
          <t>NOM</t>
        </is>
      </c>
      <c r="E13465" t="inlineStr">
        <is>
          <t>LG UP GAL 300kVA(=6740814+6740709)</t>
        </is>
      </c>
      <c r="F13465" t="inlineStr">
        <is>
          <t>GAL 300kVA</t>
        </is>
      </c>
      <c r="J13465" t="inlineStr">
        <is>
          <t>FOLTZ</t>
        </is>
      </c>
      <c r="L13465">
        <f>_xlfn.XLOOKUP(Tableau1[[#This Row],[TYPE DE PIECE]],Tableau4[MATIERE],Tableau4[SHORT TYPE],"",0,1)</f>
        <v/>
      </c>
      <c r="N13465">
        <f>IF(ISERR(FIND("DECOUPE",Tableau1[[#This Row],[DESIGNATION]])),"","NEED REF")</f>
        <v/>
      </c>
    </row>
    <row r="13466">
      <c r="B13466" t="n">
        <v>34400539</v>
      </c>
      <c r="C13466" s="2" t="n"/>
      <c r="D13466" t="inlineStr">
        <is>
          <t>SPEC</t>
        </is>
      </c>
      <c r="E13466" t="inlineStr">
        <is>
          <t>SEISME BRACKET</t>
        </is>
      </c>
      <c r="F13466" t="inlineStr">
        <is>
          <t>GALAXY 3000</t>
        </is>
      </c>
      <c r="J13466" t="inlineStr">
        <is>
          <t>REVEL</t>
        </is>
      </c>
      <c r="L13466">
        <f>_xlfn.XLOOKUP(Tableau1[[#This Row],[TYPE DE PIECE]],Tableau4[MATIERE],Tableau4[SHORT TYPE],"",0,1)</f>
        <v/>
      </c>
      <c r="N13466">
        <f>IF(ISERR(FIND("DECOUPE",Tableau1[[#This Row],[DESIGNATION]])),"","NEED REF")</f>
        <v/>
      </c>
    </row>
    <row r="13467">
      <c r="B13467" t="n">
        <v>34400538</v>
      </c>
      <c r="C13467" s="2" t="n"/>
      <c r="D13467" t="inlineStr">
        <is>
          <t>CDC</t>
        </is>
      </c>
      <c r="E13467" t="inlineStr">
        <is>
          <t>Skid support convertisseur 400Hz</t>
        </is>
      </c>
      <c r="F13467" t="inlineStr">
        <is>
          <t>AXA</t>
        </is>
      </c>
      <c r="J13467" t="inlineStr">
        <is>
          <t>REVEL</t>
        </is>
      </c>
      <c r="L13467">
        <f>_xlfn.XLOOKUP(Tableau1[[#This Row],[TYPE DE PIECE]],Tableau4[MATIERE],Tableau4[SHORT TYPE],"",0,1)</f>
        <v/>
      </c>
      <c r="N13467">
        <f>IF(ISERR(FIND("DECOUPE",Tableau1[[#This Row],[DESIGNATION]])),"","NEED REF")</f>
        <v/>
      </c>
    </row>
    <row r="13468">
      <c r="B13468" t="n">
        <v>34400537</v>
      </c>
      <c r="C13468" s="2" t="n">
        <v>37938</v>
      </c>
      <c r="D13468" t="inlineStr">
        <is>
          <t>SCH</t>
        </is>
      </c>
      <c r="E13468" t="inlineStr">
        <is>
          <t>SineWave 120A en armoire 1000x1900</t>
        </is>
      </c>
      <c r="F13468" t="inlineStr">
        <is>
          <t>SineWave 120A</t>
        </is>
      </c>
      <c r="J13468" t="inlineStr">
        <is>
          <t>ROBERT</t>
        </is>
      </c>
      <c r="L13468">
        <f>_xlfn.XLOOKUP(Tableau1[[#This Row],[TYPE DE PIECE]],Tableau4[MATIERE],Tableau4[SHORT TYPE],"",0,1)</f>
        <v/>
      </c>
      <c r="N13468">
        <f>IF(ISERR(FIND("DECOUPE",Tableau1[[#This Row],[DESIGNATION]])),"","NEED REF")</f>
        <v/>
      </c>
    </row>
    <row r="13469">
      <c r="B13469" t="n">
        <v>34400536</v>
      </c>
      <c r="C13469" s="2" t="n">
        <v>37932</v>
      </c>
      <c r="D13469" t="inlineStr">
        <is>
          <t>SPEC</t>
        </is>
      </c>
      <c r="E13469" t="inlineStr">
        <is>
          <t>PLASTRON KIT DJ BATT 500KVA</t>
        </is>
      </c>
      <c r="F13469" t="inlineStr">
        <is>
          <t>GALAXY 500KVA</t>
        </is>
      </c>
      <c r="J13469" t="inlineStr">
        <is>
          <t>REVEL</t>
        </is>
      </c>
      <c r="L13469">
        <f>_xlfn.XLOOKUP(Tableau1[[#This Row],[TYPE DE PIECE]],Tableau4[MATIERE],Tableau4[SHORT TYPE],"",0,1)</f>
        <v/>
      </c>
      <c r="N13469">
        <f>IF(ISERR(FIND("DECOUPE",Tableau1[[#This Row],[DESIGNATION]])),"","NEED REF")</f>
        <v/>
      </c>
    </row>
    <row r="13470">
      <c r="B13470" t="n">
        <v>34400535</v>
      </c>
      <c r="C13470" s="2" t="n">
        <v>37930</v>
      </c>
      <c r="D13470" t="inlineStr">
        <is>
          <t>SPEC</t>
        </is>
      </c>
      <c r="E13470" t="inlineStr">
        <is>
          <t>EQUERRE SUPPORT PLASTRON</t>
        </is>
      </c>
      <c r="F13470" t="inlineStr">
        <is>
          <t>DJ BAT GALAXY</t>
        </is>
      </c>
      <c r="J13470" t="inlineStr">
        <is>
          <t>REVEL</t>
        </is>
      </c>
      <c r="L13470">
        <f>_xlfn.XLOOKUP(Tableau1[[#This Row],[TYPE DE PIECE]],Tableau4[MATIERE],Tableau4[SHORT TYPE],"",0,1)</f>
        <v/>
      </c>
      <c r="N13470">
        <f>IF(ISERR(FIND("DECOUPE",Tableau1[[#This Row],[DESIGNATION]])),"","NEED REF")</f>
        <v/>
      </c>
    </row>
    <row r="13471">
      <c r="B13471" t="n">
        <v>34400534</v>
      </c>
      <c r="C13471" s="2" t="n">
        <v>37928</v>
      </c>
      <c r="D13471" t="inlineStr">
        <is>
          <t>CDC</t>
        </is>
      </c>
      <c r="E13471" t="inlineStr">
        <is>
          <t>ARMOIRE DE DISTRIBUTION 2° TRANCHE</t>
        </is>
      </c>
      <c r="F13471" t="inlineStr">
        <is>
          <t>CEGELEC</t>
        </is>
      </c>
      <c r="J13471" t="inlineStr">
        <is>
          <t>AGERON</t>
        </is>
      </c>
      <c r="L13471">
        <f>_xlfn.XLOOKUP(Tableau1[[#This Row],[TYPE DE PIECE]],Tableau4[MATIERE],Tableau4[SHORT TYPE],"",0,1)</f>
        <v/>
      </c>
      <c r="N13471">
        <f>IF(ISERR(FIND("DECOUPE",Tableau1[[#This Row],[DESIGNATION]])),"","NEED REF")</f>
        <v/>
      </c>
    </row>
    <row r="13472">
      <c r="B13472" t="n">
        <v>34400533</v>
      </c>
      <c r="C13472" s="2" t="n">
        <v>37925</v>
      </c>
      <c r="D13472" t="inlineStr">
        <is>
          <t>SPEC</t>
        </is>
      </c>
      <c r="E13472" t="inlineStr">
        <is>
          <t>SYNOPTIQUE COMET R1/R2 COMMUN</t>
        </is>
      </c>
      <c r="F13472" t="inlineStr">
        <is>
          <t>COMET INDUS</t>
        </is>
      </c>
      <c r="J13472" t="inlineStr">
        <is>
          <t>FOLTZ</t>
        </is>
      </c>
      <c r="L13472">
        <f>_xlfn.XLOOKUP(Tableau1[[#This Row],[TYPE DE PIECE]],Tableau4[MATIERE],Tableau4[SHORT TYPE],"",0,1)</f>
        <v/>
      </c>
      <c r="N13472">
        <f>IF(ISERR(FIND("DECOUPE",Tableau1[[#This Row],[DESIGNATION]])),"","NEED REF")</f>
        <v/>
      </c>
    </row>
    <row r="13473">
      <c r="B13473" t="n">
        <v>34400532</v>
      </c>
      <c r="C13473" s="2" t="n">
        <v>37922</v>
      </c>
      <c r="D13473" t="inlineStr">
        <is>
          <t xml:space="preserve">NOM </t>
        </is>
      </c>
      <c r="E13473" t="inlineStr">
        <is>
          <t>THM PW 200 60HZ</t>
        </is>
      </c>
      <c r="F13473" t="inlineStr">
        <is>
          <t>PW 200kVA</t>
        </is>
      </c>
      <c r="J13473" t="inlineStr">
        <is>
          <t>FOLTZ</t>
        </is>
      </c>
      <c r="L13473">
        <f>_xlfn.XLOOKUP(Tableau1[[#This Row],[TYPE DE PIECE]],Tableau4[MATIERE],Tableau4[SHORT TYPE],"",0,1)</f>
        <v/>
      </c>
      <c r="N13473">
        <f>IF(ISERR(FIND("DECOUPE",Tableau1[[#This Row],[DESIGNATION]])),"","NEED REF")</f>
        <v/>
      </c>
    </row>
    <row r="13474">
      <c r="B13474" t="n">
        <v>34400531</v>
      </c>
      <c r="C13474" s="2" t="n">
        <v>37921</v>
      </c>
      <c r="D13474" t="inlineStr">
        <is>
          <t>NOM</t>
        </is>
      </c>
      <c r="E13474" t="inlineStr">
        <is>
          <t>THM G300 60HZ</t>
        </is>
      </c>
      <c r="F13474" t="inlineStr">
        <is>
          <t>GALAXY</t>
        </is>
      </c>
      <c r="J13474" t="inlineStr">
        <is>
          <t>FOLTZ</t>
        </is>
      </c>
      <c r="L13474">
        <f>_xlfn.XLOOKUP(Tableau1[[#This Row],[TYPE DE PIECE]],Tableau4[MATIERE],Tableau4[SHORT TYPE],"",0,1)</f>
        <v/>
      </c>
      <c r="N13474">
        <f>IF(ISERR(FIND("DECOUPE",Tableau1[[#This Row],[DESIGNATION]])),"","NEED REF")</f>
        <v/>
      </c>
    </row>
    <row r="13475">
      <c r="B13475" t="n">
        <v>34400530</v>
      </c>
      <c r="C13475" s="2" t="n">
        <v>37918</v>
      </c>
      <c r="D13475" t="inlineStr">
        <is>
          <t>SPEC</t>
        </is>
      </c>
      <c r="E13475" t="inlineStr">
        <is>
          <t>TOIT DE 1000 ENTIEREMENT GRILLAGE</t>
        </is>
      </c>
      <c r="F13475" t="inlineStr">
        <is>
          <t>GALAXY</t>
        </is>
      </c>
      <c r="J13475" t="inlineStr">
        <is>
          <t>FERRIER</t>
        </is>
      </c>
      <c r="L13475">
        <f>_xlfn.XLOOKUP(Tableau1[[#This Row],[TYPE DE PIECE]],Tableau4[MATIERE],Tableau4[SHORT TYPE],"",0,1)</f>
        <v/>
      </c>
      <c r="N13475">
        <f>IF(ISERR(FIND("DECOUPE",Tableau1[[#This Row],[DESIGNATION]])),"","NEED REF")</f>
        <v/>
      </c>
    </row>
    <row r="13476">
      <c r="B13476" t="n">
        <v>34400529</v>
      </c>
      <c r="C13476" s="2" t="n">
        <v>37918</v>
      </c>
      <c r="D13476" t="inlineStr">
        <is>
          <t>SPEC</t>
        </is>
      </c>
      <c r="E13476" t="inlineStr">
        <is>
          <t>CAME DE PORTE</t>
        </is>
      </c>
      <c r="F13476" t="inlineStr">
        <is>
          <t>Galaxy PW</t>
        </is>
      </c>
      <c r="J13476" t="inlineStr">
        <is>
          <t>REVEL</t>
        </is>
      </c>
      <c r="L13476">
        <f>_xlfn.XLOOKUP(Tableau1[[#This Row],[TYPE DE PIECE]],Tableau4[MATIERE],Tableau4[SHORT TYPE],"",0,1)</f>
        <v/>
      </c>
      <c r="N13476">
        <f>IF(ISERR(FIND("DECOUPE",Tableau1[[#This Row],[DESIGNATION]])),"","NEED REF")</f>
        <v/>
      </c>
    </row>
    <row r="13477">
      <c r="B13477" t="n">
        <v>34400528</v>
      </c>
      <c r="C13477" s="2" t="n">
        <v>37918</v>
      </c>
      <c r="D13477" t="inlineStr">
        <is>
          <t>SPEC</t>
        </is>
      </c>
      <c r="E13477" t="inlineStr">
        <is>
          <t xml:space="preserve">CORDON SFR </t>
        </is>
      </c>
      <c r="F13477" t="inlineStr">
        <is>
          <t>PULSAR</t>
        </is>
      </c>
      <c r="J13477" t="inlineStr">
        <is>
          <t>ÇAKIR</t>
        </is>
      </c>
      <c r="L13477">
        <f>_xlfn.XLOOKUP(Tableau1[[#This Row],[TYPE DE PIECE]],Tableau4[MATIERE],Tableau4[SHORT TYPE],"",0,1)</f>
        <v/>
      </c>
      <c r="N13477">
        <f>IF(ISERR(FIND("DECOUPE",Tableau1[[#This Row],[DESIGNATION]])),"","NEED REF")</f>
        <v/>
      </c>
    </row>
    <row r="13478">
      <c r="B13478" t="n">
        <v>34400527</v>
      </c>
      <c r="C13478" s="2" t="n">
        <v>37914</v>
      </c>
      <c r="D13478" t="inlineStr">
        <is>
          <t>NOM</t>
        </is>
      </c>
      <c r="E13478" t="inlineStr">
        <is>
          <t>Lg FAH C PW 160/200kVA</t>
        </is>
      </c>
      <c r="F13478" t="inlineStr">
        <is>
          <t>GALAXY PW 160/200kVA</t>
        </is>
      </c>
      <c r="J13478" t="inlineStr">
        <is>
          <t>ROBERT</t>
        </is>
      </c>
      <c r="L13478">
        <f>_xlfn.XLOOKUP(Tableau1[[#This Row],[TYPE DE PIECE]],Tableau4[MATIERE],Tableau4[SHORT TYPE],"",0,1)</f>
        <v/>
      </c>
      <c r="N13478">
        <f>IF(ISERR(FIND("DECOUPE",Tableau1[[#This Row],[DESIGNATION]])),"","NEED REF")</f>
        <v/>
      </c>
    </row>
    <row r="13479">
      <c r="B13479" t="n">
        <v>34400526</v>
      </c>
      <c r="C13479" s="2" t="n">
        <v>37911</v>
      </c>
      <c r="D13479" t="inlineStr">
        <is>
          <t>NOM</t>
        </is>
      </c>
      <c r="E13479" t="inlineStr">
        <is>
          <t xml:space="preserve">Legende serrure triangle </t>
        </is>
      </c>
      <c r="F13479" t="inlineStr">
        <is>
          <t>Comet S31 15-20kVA</t>
        </is>
      </c>
      <c r="J13479" t="inlineStr">
        <is>
          <t>REVEL</t>
        </is>
      </c>
      <c r="L13479">
        <f>_xlfn.XLOOKUP(Tableau1[[#This Row],[TYPE DE PIECE]],Tableau4[MATIERE],Tableau4[SHORT TYPE],"",0,1)</f>
        <v/>
      </c>
      <c r="N13479">
        <f>IF(ISERR(FIND("DECOUPE",Tableau1[[#This Row],[DESIGNATION]])),"","NEED REF")</f>
        <v/>
      </c>
    </row>
    <row r="13480">
      <c r="B13480" t="n">
        <v>34400525</v>
      </c>
      <c r="C13480" s="2" t="n">
        <v>37911</v>
      </c>
      <c r="D13480" t="inlineStr">
        <is>
          <t>NOM</t>
        </is>
      </c>
      <c r="E13480" t="inlineStr">
        <is>
          <t>Legende blocage porte ouverte</t>
        </is>
      </c>
      <c r="F13480" t="inlineStr">
        <is>
          <t>Comet S31 15-20kVA</t>
        </is>
      </c>
      <c r="J13480" t="inlineStr">
        <is>
          <t>REVEL</t>
        </is>
      </c>
      <c r="L13480">
        <f>_xlfn.XLOOKUP(Tableau1[[#This Row],[TYPE DE PIECE]],Tableau4[MATIERE],Tableau4[SHORT TYPE],"",0,1)</f>
        <v/>
      </c>
      <c r="N13480">
        <f>IF(ISERR(FIND("DECOUPE",Tableau1[[#This Row],[DESIGNATION]])),"","NEED REF")</f>
        <v/>
      </c>
    </row>
    <row r="13481">
      <c r="B13481" t="n">
        <v>34400524</v>
      </c>
      <c r="C13481" s="2" t="n">
        <v>37911</v>
      </c>
      <c r="D13481" t="inlineStr">
        <is>
          <t>SPEC</t>
        </is>
      </c>
      <c r="E13481" t="inlineStr">
        <is>
          <t>Support crochet</t>
        </is>
      </c>
      <c r="F13481" t="inlineStr">
        <is>
          <t>Comet S31 15-20kVA</t>
        </is>
      </c>
      <c r="J13481" t="inlineStr">
        <is>
          <t>REVEL</t>
        </is>
      </c>
      <c r="L13481">
        <f>_xlfn.XLOOKUP(Tableau1[[#This Row],[TYPE DE PIECE]],Tableau4[MATIERE],Tableau4[SHORT TYPE],"",0,1)</f>
        <v/>
      </c>
      <c r="N13481">
        <f>IF(ISERR(FIND("DECOUPE",Tableau1[[#This Row],[DESIGNATION]])),"","NEED REF")</f>
        <v/>
      </c>
    </row>
    <row r="13482">
      <c r="B13482" t="n">
        <v>34400523</v>
      </c>
      <c r="C13482" s="2" t="n">
        <v>37909</v>
      </c>
      <c r="D13482" t="inlineStr">
        <is>
          <t>SPEC</t>
        </is>
      </c>
      <c r="E13482" t="inlineStr">
        <is>
          <t>Entretoise de toit</t>
        </is>
      </c>
      <c r="F13482" t="inlineStr">
        <is>
          <t>Galaxy PW Tous</t>
        </is>
      </c>
      <c r="J13482" t="inlineStr">
        <is>
          <t>REVEL</t>
        </is>
      </c>
      <c r="L13482">
        <f>_xlfn.XLOOKUP(Tableau1[[#This Row],[TYPE DE PIECE]],Tableau4[MATIERE],Tableau4[SHORT TYPE],"",0,1)</f>
        <v/>
      </c>
      <c r="N13482">
        <f>IF(ISERR(FIND("DECOUPE",Tableau1[[#This Row],[DESIGNATION]])),"","NEED REF")</f>
        <v/>
      </c>
    </row>
    <row r="13483">
      <c r="B13483" t="n">
        <v>34400522</v>
      </c>
      <c r="C13483" s="2" t="n">
        <v>37909</v>
      </c>
      <c r="D13483" t="inlineStr">
        <is>
          <t>SPEC</t>
        </is>
      </c>
      <c r="E13483" t="inlineStr">
        <is>
          <t>Came pour serrure triangle</t>
        </is>
      </c>
      <c r="F13483" t="inlineStr">
        <is>
          <t>Armoire Gal PW</t>
        </is>
      </c>
      <c r="J13483" t="inlineStr">
        <is>
          <t>REVEL</t>
        </is>
      </c>
      <c r="L13483">
        <f>_xlfn.XLOOKUP(Tableau1[[#This Row],[TYPE DE PIECE]],Tableau4[MATIERE],Tableau4[SHORT TYPE],"",0,1)</f>
        <v/>
      </c>
      <c r="N13483">
        <f>IF(ISERR(FIND("DECOUPE",Tableau1[[#This Row],[DESIGNATION]])),"","NEED REF")</f>
        <v/>
      </c>
    </row>
    <row r="13484">
      <c r="B13484" t="n">
        <v>34400521</v>
      </c>
      <c r="C13484" s="2" t="n">
        <v>37907</v>
      </c>
      <c r="D13484" t="inlineStr">
        <is>
          <t>SPEC</t>
        </is>
      </c>
      <c r="E13484" t="inlineStr">
        <is>
          <t xml:space="preserve">Bandeau bas pour porte arriere </t>
        </is>
      </c>
      <c r="F13484" t="inlineStr">
        <is>
          <t>Galaxy 400kVA</t>
        </is>
      </c>
      <c r="J13484" t="inlineStr">
        <is>
          <t>REVEL</t>
        </is>
      </c>
      <c r="L13484">
        <f>_xlfn.XLOOKUP(Tableau1[[#This Row],[TYPE DE PIECE]],Tableau4[MATIERE],Tableau4[SHORT TYPE],"",0,1)</f>
        <v/>
      </c>
      <c r="N13484">
        <f>IF(ISERR(FIND("DECOUPE",Tableau1[[#This Row],[DESIGNATION]])),"","NEED REF")</f>
        <v/>
      </c>
    </row>
    <row r="13485">
      <c r="B13485" t="n">
        <v>34400520</v>
      </c>
      <c r="C13485" s="2" t="n">
        <v>37907</v>
      </c>
      <c r="D13485" t="inlineStr">
        <is>
          <t>SPEC</t>
        </is>
      </c>
      <c r="E13485" t="inlineStr">
        <is>
          <t xml:space="preserve">Bandeau haut pour porte arriere </t>
        </is>
      </c>
      <c r="F13485" t="inlineStr">
        <is>
          <t>Galaxy 400kVA</t>
        </is>
      </c>
      <c r="J13485" t="inlineStr">
        <is>
          <t>REVEL</t>
        </is>
      </c>
      <c r="L13485">
        <f>_xlfn.XLOOKUP(Tableau1[[#This Row],[TYPE DE PIECE]],Tableau4[MATIERE],Tableau4[SHORT TYPE],"",0,1)</f>
        <v/>
      </c>
      <c r="N13485">
        <f>IF(ISERR(FIND("DECOUPE",Tableau1[[#This Row],[DESIGNATION]])),"","NEED REF")</f>
        <v/>
      </c>
    </row>
    <row r="13486">
      <c r="B13486" t="n">
        <v>34400519</v>
      </c>
      <c r="C13486" s="2" t="n">
        <v>37904</v>
      </c>
      <c r="D13486" t="inlineStr">
        <is>
          <t>PLAN</t>
        </is>
      </c>
      <c r="E13486" t="inlineStr">
        <is>
          <t>Schéma de principe</t>
        </is>
      </c>
      <c r="F13486" t="inlineStr">
        <is>
          <t>SFC400NS Compact 60-90kVA</t>
        </is>
      </c>
      <c r="J13486" t="inlineStr">
        <is>
          <t>FERRIER</t>
        </is>
      </c>
      <c r="L13486">
        <f>_xlfn.XLOOKUP(Tableau1[[#This Row],[TYPE DE PIECE]],Tableau4[MATIERE],Tableau4[SHORT TYPE],"",0,1)</f>
        <v/>
      </c>
      <c r="N13486">
        <f>IF(ISERR(FIND("DECOUPE",Tableau1[[#This Row],[DESIGNATION]])),"","NEED REF")</f>
        <v/>
      </c>
    </row>
    <row r="13487">
      <c r="B13487" t="n">
        <v>34400518</v>
      </c>
      <c r="C13487" s="2" t="n">
        <v>37903</v>
      </c>
      <c r="D13487" t="inlineStr">
        <is>
          <t>CDC</t>
        </is>
      </c>
      <c r="E13487" t="inlineStr">
        <is>
          <t>CDC EXTREME CLA 240mn</t>
        </is>
      </c>
      <c r="F13487" t="inlineStr">
        <is>
          <t>COMET EXTREME 6kVA</t>
        </is>
      </c>
      <c r="J13487" t="inlineStr">
        <is>
          <t>ROBERT</t>
        </is>
      </c>
      <c r="L13487">
        <f>_xlfn.XLOOKUP(Tableau1[[#This Row],[TYPE DE PIECE]],Tableau4[MATIERE],Tableau4[SHORT TYPE],"",0,1)</f>
        <v/>
      </c>
      <c r="N13487">
        <f>IF(ISERR(FIND("DECOUPE",Tableau1[[#This Row],[DESIGNATION]])),"","NEED REF")</f>
        <v/>
      </c>
    </row>
    <row r="13488">
      <c r="B13488" t="n">
        <v>34400517</v>
      </c>
      <c r="C13488" s="2" t="n">
        <v>37902</v>
      </c>
      <c r="D13488" t="inlineStr">
        <is>
          <t>SPEC</t>
        </is>
      </c>
      <c r="E13488" t="inlineStr">
        <is>
          <t>Equerre support Extreme</t>
        </is>
      </c>
      <c r="F13488" t="inlineStr">
        <is>
          <t>Comet Pulsar extreme</t>
        </is>
      </c>
      <c r="J13488" t="inlineStr">
        <is>
          <t>REVEL</t>
        </is>
      </c>
      <c r="L13488">
        <f>_xlfn.XLOOKUP(Tableau1[[#This Row],[TYPE DE PIECE]],Tableau4[MATIERE],Tableau4[SHORT TYPE],"",0,1)</f>
        <v/>
      </c>
      <c r="N13488">
        <f>IF(ISERR(FIND("DECOUPE",Tableau1[[#This Row],[DESIGNATION]])),"","NEED REF")</f>
        <v/>
      </c>
    </row>
    <row r="13489">
      <c r="B13489" t="n">
        <v>34400516</v>
      </c>
      <c r="C13489" s="2" t="n">
        <v>37901</v>
      </c>
      <c r="D13489" t="inlineStr">
        <is>
          <t>CDC</t>
        </is>
      </c>
      <c r="E13489" t="inlineStr">
        <is>
          <t>CDC armoires batteries,</t>
        </is>
      </c>
      <c r="F13489" t="inlineStr">
        <is>
          <t>G3000 15kVA</t>
        </is>
      </c>
      <c r="J13489" t="inlineStr">
        <is>
          <t>ROBERT</t>
        </is>
      </c>
      <c r="L13489">
        <f>_xlfn.XLOOKUP(Tableau1[[#This Row],[TYPE DE PIECE]],Tableau4[MATIERE],Tableau4[SHORT TYPE],"",0,1)</f>
        <v/>
      </c>
      <c r="N13489">
        <f>IF(ISERR(FIND("DECOUPE",Tableau1[[#This Row],[DESIGNATION]])),"","NEED REF")</f>
        <v/>
      </c>
    </row>
    <row r="13490">
      <c r="B13490" t="n">
        <v>34400515</v>
      </c>
      <c r="C13490" s="2" t="n">
        <v>37967</v>
      </c>
      <c r="D13490" t="inlineStr">
        <is>
          <t>SPEC</t>
        </is>
      </c>
      <c r="E13490" t="inlineStr">
        <is>
          <t xml:space="preserve">LIMANDE 26pts double isolation </t>
        </is>
      </c>
      <c r="F13490" t="inlineStr">
        <is>
          <t>BACK FEED GALAXY</t>
        </is>
      </c>
      <c r="J13490" t="inlineStr">
        <is>
          <t>FERRIER</t>
        </is>
      </c>
      <c r="L13490">
        <f>_xlfn.XLOOKUP(Tableau1[[#This Row],[TYPE DE PIECE]],Tableau4[MATIERE],Tableau4[SHORT TYPE],"",0,1)</f>
        <v/>
      </c>
      <c r="N13490">
        <f>IF(ISERR(FIND("DECOUPE",Tableau1[[#This Row],[DESIGNATION]])),"","NEED REF")</f>
        <v/>
      </c>
    </row>
    <row r="13491">
      <c r="B13491" t="n">
        <v>34400514</v>
      </c>
      <c r="C13491" s="2" t="n">
        <v>37971</v>
      </c>
      <c r="D13491" t="inlineStr">
        <is>
          <t>CDC</t>
        </is>
      </c>
      <c r="E13491" t="inlineStr">
        <is>
          <t>Intégration BACK FEED dans armoire aux 600mm</t>
        </is>
      </c>
      <c r="F13491" t="inlineStr">
        <is>
          <t>GALAXY 400kVA Unitaire</t>
        </is>
      </c>
      <c r="J13491" t="inlineStr">
        <is>
          <t>FERRIER</t>
        </is>
      </c>
      <c r="L13491">
        <f>_xlfn.XLOOKUP(Tableau1[[#This Row],[TYPE DE PIECE]],Tableau4[MATIERE],Tableau4[SHORT TYPE],"",0,1)</f>
        <v/>
      </c>
      <c r="N13491">
        <f>IF(ISERR(FIND("DECOUPE",Tableau1[[#This Row],[DESIGNATION]])),"","NEED REF")</f>
        <v/>
      </c>
    </row>
    <row r="13492">
      <c r="B13492" t="n">
        <v>34400513</v>
      </c>
      <c r="C13492" s="2" t="n">
        <v>37994</v>
      </c>
      <c r="D13492" t="inlineStr">
        <is>
          <t>CDC</t>
        </is>
      </c>
      <c r="E13492" t="inlineStr">
        <is>
          <t>Armoire protection et isolement chaînes batterie</t>
        </is>
      </c>
      <c r="F13492" t="inlineStr">
        <is>
          <t>GALAXY 500kVA 30min CANAL+</t>
        </is>
      </c>
      <c r="J13492" t="inlineStr">
        <is>
          <t>FERRIER</t>
        </is>
      </c>
      <c r="L13492">
        <f>_xlfn.XLOOKUP(Tableau1[[#This Row],[TYPE DE PIECE]],Tableau4[MATIERE],Tableau4[SHORT TYPE],"",0,1)</f>
        <v/>
      </c>
      <c r="N13492">
        <f>IF(ISERR(FIND("DECOUPE",Tableau1[[#This Row],[DESIGNATION]])),"","NEED REF")</f>
        <v/>
      </c>
    </row>
    <row r="13493">
      <c r="B13493" t="n">
        <v>34400512</v>
      </c>
      <c r="C13493" s="2" t="n">
        <v>38000</v>
      </c>
      <c r="D13493" t="inlineStr">
        <is>
          <t>NOM</t>
        </is>
      </c>
      <c r="E13493" t="inlineStr">
        <is>
          <t>COFFRET SELF DE NEUTRE</t>
        </is>
      </c>
      <c r="F13493" t="inlineStr">
        <is>
          <t>GALAXY - SYNCHRO EXTERNE</t>
        </is>
      </c>
      <c r="J13493" t="inlineStr">
        <is>
          <t>FERRIER</t>
        </is>
      </c>
      <c r="L13493">
        <f>_xlfn.XLOOKUP(Tableau1[[#This Row],[TYPE DE PIECE]],Tableau4[MATIERE],Tableau4[SHORT TYPE],"",0,1)</f>
        <v/>
      </c>
      <c r="N13493">
        <f>IF(ISERR(FIND("DECOUPE",Tableau1[[#This Row],[DESIGNATION]])),"","NEED REF")</f>
        <v/>
      </c>
    </row>
    <row r="13494">
      <c r="B13494" t="n">
        <v>34400511</v>
      </c>
      <c r="C13494" s="2" t="n">
        <v>38001</v>
      </c>
      <c r="D13494" t="inlineStr">
        <is>
          <t>SCH</t>
        </is>
      </c>
      <c r="E13494" t="inlineStr">
        <is>
          <t>SINEWAVE EN ARMOIRE AVEC ATFO</t>
        </is>
      </c>
      <c r="F13494" t="inlineStr">
        <is>
          <t>SINEWAVE 30A</t>
        </is>
      </c>
      <c r="J13494" t="inlineStr">
        <is>
          <t>FERRIER</t>
        </is>
      </c>
      <c r="L13494">
        <f>_xlfn.XLOOKUP(Tableau1[[#This Row],[TYPE DE PIECE]],Tableau4[MATIERE],Tableau4[SHORT TYPE],"",0,1)</f>
        <v/>
      </c>
      <c r="N13494">
        <f>IF(ISERR(FIND("DECOUPE",Tableau1[[#This Row],[DESIGNATION]])),"","NEED REF")</f>
        <v/>
      </c>
    </row>
    <row r="13495">
      <c r="B13495" t="n">
        <v>34400510</v>
      </c>
      <c r="C13495" s="2" t="n">
        <v>38702</v>
      </c>
      <c r="D13495" t="inlineStr">
        <is>
          <t>NOM</t>
        </is>
      </c>
      <c r="E13495" t="inlineStr">
        <is>
          <t>KIT TRANSF 800kVA UNITAIRE EN // PSEUDO MODULAIRE</t>
        </is>
      </c>
      <c r="F13495" t="inlineStr">
        <is>
          <t>GALAXY ASI PSEUDO-MODULAIRE</t>
        </is>
      </c>
      <c r="J13495" t="inlineStr">
        <is>
          <t>FERRIER</t>
        </is>
      </c>
      <c r="L13495">
        <f>_xlfn.XLOOKUP(Tableau1[[#This Row],[TYPE DE PIECE]],Tableau4[MATIERE],Tableau4[SHORT TYPE],"",0,1)</f>
        <v/>
      </c>
      <c r="N13495">
        <f>IF(ISERR(FIND("DECOUPE",Tableau1[[#This Row],[DESIGNATION]])),"","NEED REF")</f>
        <v/>
      </c>
    </row>
    <row r="13496">
      <c r="B13496" t="n">
        <v>34400509</v>
      </c>
      <c r="C13496" s="2" t="n">
        <v>38691</v>
      </c>
      <c r="E13496" t="inlineStr">
        <is>
          <t>PSEUDO NS MODULAIRE mono source R2</t>
        </is>
      </c>
      <c r="F13496" t="inlineStr">
        <is>
          <t>GALAXY NS PSEUDO-MODULAIRE</t>
        </is>
      </c>
      <c r="J13496" t="inlineStr">
        <is>
          <t>FERRIER</t>
        </is>
      </c>
      <c r="L13496">
        <f>_xlfn.XLOOKUP(Tableau1[[#This Row],[TYPE DE PIECE]],Tableau4[MATIERE],Tableau4[SHORT TYPE],"",0,1)</f>
        <v/>
      </c>
      <c r="N13496">
        <f>IF(ISERR(FIND("DECOUPE",Tableau1[[#This Row],[DESIGNATION]])),"","NEED REF")</f>
        <v/>
      </c>
    </row>
    <row r="13497">
      <c r="B13497" t="n">
        <v>34400508</v>
      </c>
      <c r="C13497" s="2" t="n">
        <v>37909</v>
      </c>
      <c r="D13497" t="inlineStr">
        <is>
          <t>SPEC</t>
        </is>
      </c>
      <c r="E13497" t="inlineStr">
        <is>
          <t>KIT CABLAGE PSEUDO NS MODULAIRE</t>
        </is>
      </c>
      <c r="F13497" t="inlineStr">
        <is>
          <t>GALAXY NS PSEUDO-MODULAIRE</t>
        </is>
      </c>
      <c r="J13497" t="inlineStr">
        <is>
          <t>FERRIER</t>
        </is>
      </c>
      <c r="L13497">
        <f>_xlfn.XLOOKUP(Tableau1[[#This Row],[TYPE DE PIECE]],Tableau4[MATIERE],Tableau4[SHORT TYPE],"",0,1)</f>
        <v/>
      </c>
      <c r="N13497">
        <f>IF(ISERR(FIND("DECOUPE",Tableau1[[#This Row],[DESIGNATION]])),"","NEED REF")</f>
        <v/>
      </c>
    </row>
    <row r="13498">
      <c r="B13498" t="n">
        <v>34400507</v>
      </c>
      <c r="C13498" s="2" t="n">
        <v>37914</v>
      </c>
      <c r="E13498" t="inlineStr">
        <is>
          <t>PSEUDO NS MODULAIRE sélection source R2</t>
        </is>
      </c>
      <c r="F13498" t="inlineStr">
        <is>
          <t>GALAXY NS PSEUDO-MODULAIRE</t>
        </is>
      </c>
      <c r="J13498" t="inlineStr">
        <is>
          <t>FERRIER</t>
        </is>
      </c>
      <c r="L13498">
        <f>_xlfn.XLOOKUP(Tableau1[[#This Row],[TYPE DE PIECE]],Tableau4[MATIERE],Tableau4[SHORT TYPE],"",0,1)</f>
        <v/>
      </c>
      <c r="N13498">
        <f>IF(ISERR(FIND("DECOUPE",Tableau1[[#This Row],[DESIGNATION]])),"","NEED REF")</f>
        <v/>
      </c>
    </row>
    <row r="13499">
      <c r="B13499" t="n">
        <v>34400506</v>
      </c>
      <c r="C13499" s="2" t="n">
        <v>37914</v>
      </c>
      <c r="E13499" t="inlineStr">
        <is>
          <t>KIT TRANSF 800kVA // PSA EN // PSEUDO MODULAIRE</t>
        </is>
      </c>
      <c r="F13499" t="inlineStr">
        <is>
          <t>GALAXY ASI PSEUDO-MODULAIRE</t>
        </is>
      </c>
      <c r="J13499" t="inlineStr">
        <is>
          <t>FERRIER</t>
        </is>
      </c>
      <c r="L13499">
        <f>_xlfn.XLOOKUP(Tableau1[[#This Row],[TYPE DE PIECE]],Tableau4[MATIERE],Tableau4[SHORT TYPE],"",0,1)</f>
        <v/>
      </c>
      <c r="N13499">
        <f>IF(ISERR(FIND("DECOUPE",Tableau1[[#This Row],[DESIGNATION]])),"","NEED REF")</f>
        <v/>
      </c>
    </row>
    <row r="13500">
      <c r="B13500" t="n">
        <v>34400505</v>
      </c>
      <c r="C13500" s="2" t="n">
        <v>37893</v>
      </c>
      <c r="D13500" t="inlineStr">
        <is>
          <t>SPEC</t>
        </is>
      </c>
      <c r="E13500" t="inlineStr">
        <is>
          <t>SUPPORT INOZ-INNZ</t>
        </is>
      </c>
      <c r="F13500" t="inlineStr">
        <is>
          <t>GALAXY NS PSEUDO-MODULAIRE</t>
        </is>
      </c>
      <c r="J13500" t="inlineStr">
        <is>
          <t>FERRIER</t>
        </is>
      </c>
      <c r="L13500">
        <f>_xlfn.XLOOKUP(Tableau1[[#This Row],[TYPE DE PIECE]],Tableau4[MATIERE],Tableau4[SHORT TYPE],"",0,1)</f>
        <v/>
      </c>
      <c r="N13500">
        <f>IF(ISERR(FIND("DECOUPE",Tableau1[[#This Row],[DESIGNATION]])),"","NEED REF")</f>
        <v/>
      </c>
    </row>
    <row r="13501">
      <c r="B13501" t="n">
        <v>34400504</v>
      </c>
      <c r="C13501" s="2" t="n">
        <v>37890</v>
      </c>
      <c r="D13501" t="inlineStr">
        <is>
          <t>SPEC</t>
        </is>
      </c>
      <c r="E13501" t="inlineStr">
        <is>
          <t>ACPZ modifiée</t>
        </is>
      </c>
      <c r="F13501" t="inlineStr">
        <is>
          <t>GALAXY NS PSEUDO-MODULAIRE</t>
        </is>
      </c>
      <c r="J13501" t="inlineStr">
        <is>
          <t>FERRIER</t>
        </is>
      </c>
      <c r="L13501">
        <f>_xlfn.XLOOKUP(Tableau1[[#This Row],[TYPE DE PIECE]],Tableau4[MATIERE],Tableau4[SHORT TYPE],"",0,1)</f>
        <v/>
      </c>
      <c r="N13501">
        <f>IF(ISERR(FIND("DECOUPE",Tableau1[[#This Row],[DESIGNATION]])),"","NEED REF")</f>
        <v/>
      </c>
    </row>
    <row r="13502">
      <c r="B13502" t="n">
        <v>34400503</v>
      </c>
      <c r="C13502" s="2" t="n">
        <v>37876</v>
      </c>
      <c r="D13502" t="inlineStr">
        <is>
          <t>SPEC</t>
        </is>
      </c>
      <c r="E13502" t="inlineStr">
        <is>
          <t>CIM carte INNZ</t>
        </is>
      </c>
      <c r="F13502" t="inlineStr">
        <is>
          <t>GALAXY ASI PSEUDO-MODULAIRE</t>
        </is>
      </c>
      <c r="J13502" t="inlineStr">
        <is>
          <t>FERRIER</t>
        </is>
      </c>
      <c r="L13502">
        <f>_xlfn.XLOOKUP(Tableau1[[#This Row],[TYPE DE PIECE]],Tableau4[MATIERE],Tableau4[SHORT TYPE],"",0,1)</f>
        <v/>
      </c>
      <c r="N13502">
        <f>IF(ISERR(FIND("DECOUPE",Tableau1[[#This Row],[DESIGNATION]])),"","NEED REF")</f>
        <v/>
      </c>
    </row>
    <row r="13503">
      <c r="B13503" t="n">
        <v>34400502</v>
      </c>
      <c r="C13503" s="2" t="n">
        <v>37876</v>
      </c>
      <c r="D13503" t="inlineStr">
        <is>
          <t>SPEC</t>
        </is>
      </c>
      <c r="E13503" t="inlineStr">
        <is>
          <t>CIP carte INNZ</t>
        </is>
      </c>
      <c r="F13503" t="inlineStr">
        <is>
          <t>GALAXY ASI PSEUDO-MODULAIRE</t>
        </is>
      </c>
      <c r="J13503" t="inlineStr">
        <is>
          <t>FERRIER</t>
        </is>
      </c>
      <c r="L13503">
        <f>_xlfn.XLOOKUP(Tableau1[[#This Row],[TYPE DE PIECE]],Tableau4[MATIERE],Tableau4[SHORT TYPE],"",0,1)</f>
        <v/>
      </c>
      <c r="N13503">
        <f>IF(ISERR(FIND("DECOUPE",Tableau1[[#This Row],[DESIGNATION]])),"","NEED REF")</f>
        <v/>
      </c>
    </row>
    <row r="13504">
      <c r="B13504" t="n">
        <v>34400501</v>
      </c>
      <c r="C13504" s="2" t="n">
        <v>37876</v>
      </c>
      <c r="D13504" t="inlineStr">
        <is>
          <t>SPEC</t>
        </is>
      </c>
      <c r="E13504" t="inlineStr">
        <is>
          <t>CIM carte INOZ</t>
        </is>
      </c>
      <c r="F13504" t="inlineStr">
        <is>
          <t>GALAXY ASI PSEUDO-MODULAIRE</t>
        </is>
      </c>
      <c r="J13504" t="inlineStr">
        <is>
          <t>FERRIER</t>
        </is>
      </c>
      <c r="L13504">
        <f>_xlfn.XLOOKUP(Tableau1[[#This Row],[TYPE DE PIECE]],Tableau4[MATIERE],Tableau4[SHORT TYPE],"",0,1)</f>
        <v/>
      </c>
      <c r="N13504">
        <f>IF(ISERR(FIND("DECOUPE",Tableau1[[#This Row],[DESIGNATION]])),"","NEED REF")</f>
        <v/>
      </c>
    </row>
    <row r="13505">
      <c r="B13505" t="n">
        <v>34400500</v>
      </c>
      <c r="C13505" s="2" t="n">
        <v>37876</v>
      </c>
      <c r="D13505" t="inlineStr">
        <is>
          <t>SPEC</t>
        </is>
      </c>
      <c r="E13505" t="inlineStr">
        <is>
          <t>CIP carte INOZ</t>
        </is>
      </c>
      <c r="F13505" t="inlineStr">
        <is>
          <t>GALAXY ASI PSEUDO-MODULAIRE</t>
        </is>
      </c>
      <c r="J13505" t="inlineStr">
        <is>
          <t>FERRIER</t>
        </is>
      </c>
      <c r="L13505">
        <f>_xlfn.XLOOKUP(Tableau1[[#This Row],[TYPE DE PIECE]],Tableau4[MATIERE],Tableau4[SHORT TYPE],"",0,1)</f>
        <v/>
      </c>
      <c r="N13505">
        <f>IF(ISERR(FIND("DECOUPE",Tableau1[[#This Row],[DESIGNATION]])),"","NEED REF")</f>
        <v/>
      </c>
    </row>
    <row r="13506">
      <c r="B13506" t="n">
        <v>34400499</v>
      </c>
      <c r="C13506" s="2" t="n">
        <v>37895</v>
      </c>
      <c r="D13506" t="inlineStr">
        <is>
          <t>SPEC</t>
        </is>
      </c>
      <c r="E13506" t="inlineStr">
        <is>
          <t>Plan de cablage Pseudo NS</t>
        </is>
      </c>
      <c r="F13506" t="inlineStr">
        <is>
          <t>GALAXY CF</t>
        </is>
      </c>
      <c r="J13506" t="inlineStr">
        <is>
          <t>REVEL</t>
        </is>
      </c>
      <c r="L13506">
        <f>_xlfn.XLOOKUP(Tableau1[[#This Row],[TYPE DE PIECE]],Tableau4[MATIERE],Tableau4[SHORT TYPE],"",0,1)</f>
        <v/>
      </c>
      <c r="N13506">
        <f>IF(ISERR(FIND("DECOUPE",Tableau1[[#This Row],[DESIGNATION]])),"","NEED REF")</f>
        <v/>
      </c>
    </row>
    <row r="13507">
      <c r="B13507" t="n">
        <v>34400498</v>
      </c>
      <c r="C13507" s="2" t="n">
        <v>37894</v>
      </c>
      <c r="D13507" t="inlineStr">
        <is>
          <t>SPEC</t>
        </is>
      </c>
      <c r="E13507" t="inlineStr">
        <is>
          <t>Etiquette carte SRIZ modifie pseudo NS</t>
        </is>
      </c>
      <c r="F13507" t="inlineStr">
        <is>
          <t>GALAXY</t>
        </is>
      </c>
      <c r="J13507" t="inlineStr">
        <is>
          <t>REVEL</t>
        </is>
      </c>
      <c r="L13507">
        <f>_xlfn.XLOOKUP(Tableau1[[#This Row],[TYPE DE PIECE]],Tableau4[MATIERE],Tableau4[SHORT TYPE],"",0,1)</f>
        <v/>
      </c>
      <c r="N13507">
        <f>IF(ISERR(FIND("DECOUPE",Tableau1[[#This Row],[DESIGNATION]])),"","NEED REF")</f>
        <v/>
      </c>
    </row>
    <row r="13508">
      <c r="B13508" t="n">
        <v>34400497</v>
      </c>
      <c r="C13508" s="2" t="n">
        <v>37894</v>
      </c>
      <c r="D13508" t="inlineStr">
        <is>
          <t>NOM</t>
        </is>
      </c>
      <c r="E13508" t="inlineStr">
        <is>
          <t>LG PSEUDO NS AVEC AFFICHEUR</t>
        </is>
      </c>
      <c r="F13508" t="inlineStr">
        <is>
          <t>PSEUDO NS</t>
        </is>
      </c>
      <c r="J13508" t="inlineStr">
        <is>
          <t>REVEL</t>
        </is>
      </c>
      <c r="L13508">
        <f>_xlfn.XLOOKUP(Tableau1[[#This Row],[TYPE DE PIECE]],Tableau4[MATIERE],Tableau4[SHORT TYPE],"",0,1)</f>
        <v/>
      </c>
      <c r="N13508">
        <f>IF(ISERR(FIND("DECOUPE",Tableau1[[#This Row],[DESIGNATION]])),"","NEED REF")</f>
        <v/>
      </c>
    </row>
    <row r="13509">
      <c r="B13509" t="n">
        <v>34400496</v>
      </c>
      <c r="C13509" s="2" t="n">
        <v>37894</v>
      </c>
      <c r="D13509" t="inlineStr">
        <is>
          <t>DOC</t>
        </is>
      </c>
      <c r="E13509" t="inlineStr">
        <is>
          <t>Plan de qualification achat revente SFC 400</t>
        </is>
      </c>
      <c r="F13509" t="inlineStr">
        <is>
          <t>DCN</t>
        </is>
      </c>
      <c r="J13509" t="inlineStr">
        <is>
          <t>SUAU</t>
        </is>
      </c>
      <c r="L13509">
        <f>_xlfn.XLOOKUP(Tableau1[[#This Row],[TYPE DE PIECE]],Tableau4[MATIERE],Tableau4[SHORT TYPE],"",0,1)</f>
        <v/>
      </c>
      <c r="N13509">
        <f>IF(ISERR(FIND("DECOUPE",Tableau1[[#This Row],[DESIGNATION]])),"","NEED REF")</f>
        <v/>
      </c>
    </row>
    <row r="13510">
      <c r="B13510" t="n">
        <v>34400495</v>
      </c>
      <c r="C13510" s="2" t="n">
        <v>37881</v>
      </c>
      <c r="D13510" t="inlineStr">
        <is>
          <t>DOC</t>
        </is>
      </c>
      <c r="E13510" t="inlineStr">
        <is>
          <t>Plan de qualification Galaxy 130 kVA</t>
        </is>
      </c>
      <c r="F13510" t="inlineStr">
        <is>
          <t>DCN</t>
        </is>
      </c>
      <c r="J13510" t="inlineStr">
        <is>
          <t>AGERON</t>
        </is>
      </c>
      <c r="L13510">
        <f>_xlfn.XLOOKUP(Tableau1[[#This Row],[TYPE DE PIECE]],Tableau4[MATIERE],Tableau4[SHORT TYPE],"",0,1)</f>
        <v/>
      </c>
      <c r="N13510">
        <f>IF(ISERR(FIND("DECOUPE",Tableau1[[#This Row],[DESIGNATION]])),"","NEED REF")</f>
        <v/>
      </c>
    </row>
    <row r="13511">
      <c r="B13511" t="n">
        <v>34400494</v>
      </c>
      <c r="C13511" s="2" t="n">
        <v>37881</v>
      </c>
      <c r="D13511" t="inlineStr">
        <is>
          <t>NOM</t>
        </is>
      </c>
      <c r="E13511" t="inlineStr">
        <is>
          <t xml:space="preserve">Legende serrure triangle </t>
        </is>
      </c>
      <c r="F13511" t="inlineStr">
        <is>
          <t>Coffret DJ batterie Galaxy et PW</t>
        </is>
      </c>
      <c r="J13511" t="inlineStr">
        <is>
          <t>REVEL</t>
        </is>
      </c>
      <c r="L13511">
        <f>_xlfn.XLOOKUP(Tableau1[[#This Row],[TYPE DE PIECE]],Tableau4[MATIERE],Tableau4[SHORT TYPE],"",0,1)</f>
        <v/>
      </c>
      <c r="N13511">
        <f>IF(ISERR(FIND("DECOUPE",Tableau1[[#This Row],[DESIGNATION]])),"","NEED REF")</f>
        <v/>
      </c>
    </row>
    <row r="13512">
      <c r="B13512" t="n">
        <v>34400493</v>
      </c>
      <c r="C13512" s="2" t="n">
        <v>37881</v>
      </c>
      <c r="D13512" t="inlineStr">
        <is>
          <t>SPEC</t>
        </is>
      </c>
      <c r="E13512" t="inlineStr">
        <is>
          <t>Percage porte PDU 715mm 1 INT</t>
        </is>
      </c>
      <c r="F13512" t="inlineStr">
        <is>
          <t>CEGELEC</t>
        </is>
      </c>
      <c r="J13512" t="inlineStr">
        <is>
          <t>AGERON</t>
        </is>
      </c>
      <c r="L13512">
        <f>_xlfn.XLOOKUP(Tableau1[[#This Row],[TYPE DE PIECE]],Tableau4[MATIERE],Tableau4[SHORT TYPE],"",0,1)</f>
        <v/>
      </c>
      <c r="N13512">
        <f>IF(ISERR(FIND("DECOUPE",Tableau1[[#This Row],[DESIGNATION]])),"","NEED REF")</f>
        <v/>
      </c>
    </row>
    <row r="13513">
      <c r="B13513" t="n">
        <v>34400492</v>
      </c>
      <c r="C13513" s="2" t="n">
        <v>37881</v>
      </c>
      <c r="D13513" t="inlineStr">
        <is>
          <t>SPEC</t>
        </is>
      </c>
      <c r="E13513" t="inlineStr">
        <is>
          <t>Percage porte PDU 1015mm 2INT</t>
        </is>
      </c>
      <c r="F13513" t="inlineStr">
        <is>
          <t>CEGELEC</t>
        </is>
      </c>
      <c r="J13513" t="inlineStr">
        <is>
          <t>AGERON</t>
        </is>
      </c>
      <c r="L13513">
        <f>_xlfn.XLOOKUP(Tableau1[[#This Row],[TYPE DE PIECE]],Tableau4[MATIERE],Tableau4[SHORT TYPE],"",0,1)</f>
        <v/>
      </c>
      <c r="N13513">
        <f>IF(ISERR(FIND("DECOUPE",Tableau1[[#This Row],[DESIGNATION]])),"","NEED REF")</f>
        <v/>
      </c>
    </row>
    <row r="13514">
      <c r="B13514" t="n">
        <v>34400491</v>
      </c>
      <c r="C13514" s="2" t="n">
        <v>37881</v>
      </c>
      <c r="D13514" t="inlineStr">
        <is>
          <t>SPEC</t>
        </is>
      </c>
      <c r="E13514" t="inlineStr">
        <is>
          <t>Percage porte PDU 1015mm 1INT</t>
        </is>
      </c>
      <c r="F13514" t="inlineStr">
        <is>
          <t>CEGELEC</t>
        </is>
      </c>
      <c r="J13514" t="inlineStr">
        <is>
          <t>AGERON</t>
        </is>
      </c>
      <c r="L13514">
        <f>_xlfn.XLOOKUP(Tableau1[[#This Row],[TYPE DE PIECE]],Tableau4[MATIERE],Tableau4[SHORT TYPE],"",0,1)</f>
        <v/>
      </c>
      <c r="N13514">
        <f>IF(ISERR(FIND("DECOUPE",Tableau1[[#This Row],[DESIGNATION]])),"","NEED REF")</f>
        <v/>
      </c>
    </row>
    <row r="13515">
      <c r="B13515" t="n">
        <v>34400490</v>
      </c>
      <c r="C13515" s="2" t="n">
        <v>37879</v>
      </c>
      <c r="D13515" t="inlineStr">
        <is>
          <t>CDC</t>
        </is>
      </c>
      <c r="E13515" t="inlineStr">
        <is>
          <t>Armoires distribution</t>
        </is>
      </c>
      <c r="F13515" t="inlineStr">
        <is>
          <t>CEGELEC</t>
        </is>
      </c>
      <c r="J13515" t="inlineStr">
        <is>
          <t>AGERON</t>
        </is>
      </c>
      <c r="L13515">
        <f>_xlfn.XLOOKUP(Tableau1[[#This Row],[TYPE DE PIECE]],Tableau4[MATIERE],Tableau4[SHORT TYPE],"",0,1)</f>
        <v/>
      </c>
      <c r="N13515">
        <f>IF(ISERR(FIND("DECOUPE",Tableau1[[#This Row],[DESIGNATION]])),"","NEED REF")</f>
        <v/>
      </c>
    </row>
    <row r="13516">
      <c r="B13516" t="n">
        <v>34400489</v>
      </c>
      <c r="C13516" s="2" t="n">
        <v>37879</v>
      </c>
      <c r="D13516" t="inlineStr">
        <is>
          <t>NOM</t>
        </is>
      </c>
      <c r="E13516" t="inlineStr">
        <is>
          <t>Kit disjoncteur batterie 500kva</t>
        </is>
      </c>
      <c r="F13516" t="inlineStr">
        <is>
          <t>Galaxy 500kva</t>
        </is>
      </c>
      <c r="J13516" t="inlineStr">
        <is>
          <t>REVEL</t>
        </is>
      </c>
      <c r="L13516">
        <f>_xlfn.XLOOKUP(Tableau1[[#This Row],[TYPE DE PIECE]],Tableau4[MATIERE],Tableau4[SHORT TYPE],"",0,1)</f>
        <v/>
      </c>
      <c r="N13516">
        <f>IF(ISERR(FIND("DECOUPE",Tableau1[[#This Row],[DESIGNATION]])),"","NEED REF")</f>
        <v/>
      </c>
    </row>
    <row r="13517">
      <c r="B13517" t="n">
        <v>34400488</v>
      </c>
      <c r="C13517" s="2" t="n">
        <v>37879</v>
      </c>
      <c r="D13517" t="inlineStr">
        <is>
          <t>CDC</t>
        </is>
      </c>
      <c r="E13517" t="inlineStr">
        <is>
          <t>Armoire couplage batt+INS</t>
        </is>
      </c>
      <c r="F13517" t="inlineStr">
        <is>
          <t>PW 120kVA</t>
        </is>
      </c>
      <c r="J13517" t="inlineStr">
        <is>
          <t>FOLTZ</t>
        </is>
      </c>
      <c r="L13517">
        <f>_xlfn.XLOOKUP(Tableau1[[#This Row],[TYPE DE PIECE]],Tableau4[MATIERE],Tableau4[SHORT TYPE],"",0,1)</f>
        <v/>
      </c>
      <c r="N13517">
        <f>IF(ISERR(FIND("DECOUPE",Tableau1[[#This Row],[DESIGNATION]])),"","NEED REF")</f>
        <v/>
      </c>
    </row>
    <row r="13518">
      <c r="B13518" t="n">
        <v>34400487</v>
      </c>
      <c r="C13518" s="2" t="n">
        <v>37876</v>
      </c>
      <c r="D13518" t="inlineStr">
        <is>
          <t>NOM</t>
        </is>
      </c>
      <c r="E13518" t="inlineStr">
        <is>
          <t>Legende peinture special</t>
        </is>
      </c>
      <c r="F13518" t="inlineStr">
        <is>
          <t>Galaxy 600kVA</t>
        </is>
      </c>
      <c r="J13518" t="inlineStr">
        <is>
          <t>REVEL</t>
        </is>
      </c>
      <c r="L13518">
        <f>_xlfn.XLOOKUP(Tableau1[[#This Row],[TYPE DE PIECE]],Tableau4[MATIERE],Tableau4[SHORT TYPE],"",0,1)</f>
        <v/>
      </c>
      <c r="N13518">
        <f>IF(ISERR(FIND("DECOUPE",Tableau1[[#This Row],[DESIGNATION]])),"","NEED REF")</f>
        <v/>
      </c>
    </row>
    <row r="13519">
      <c r="B13519" t="n">
        <v>34400486</v>
      </c>
      <c r="C13519" s="2" t="n">
        <v>37876</v>
      </c>
      <c r="D13519" t="inlineStr">
        <is>
          <t>NOM</t>
        </is>
      </c>
      <c r="E13519" t="inlineStr">
        <is>
          <t>Legende peinture special arm aux L=1200</t>
        </is>
      </c>
      <c r="F13519" t="inlineStr">
        <is>
          <t>Galaxy</t>
        </is>
      </c>
      <c r="J13519" t="inlineStr">
        <is>
          <t>REVEL</t>
        </is>
      </c>
      <c r="L13519">
        <f>_xlfn.XLOOKUP(Tableau1[[#This Row],[TYPE DE PIECE]],Tableau4[MATIERE],Tableau4[SHORT TYPE],"",0,1)</f>
        <v/>
      </c>
      <c r="N13519">
        <f>IF(ISERR(FIND("DECOUPE",Tableau1[[#This Row],[DESIGNATION]])),"","NEED REF")</f>
        <v/>
      </c>
    </row>
    <row r="13520">
      <c r="B13520" t="n">
        <v>34400485</v>
      </c>
      <c r="C13520" s="2" t="n">
        <v>37876</v>
      </c>
      <c r="D13520" t="inlineStr">
        <is>
          <t>SPEC</t>
        </is>
      </c>
      <c r="E13520" t="inlineStr">
        <is>
          <t>Came pour serrure triangle</t>
        </is>
      </c>
      <c r="F13520" t="inlineStr">
        <is>
          <t>Coffret DJ batterie</t>
        </is>
      </c>
      <c r="J13520" t="inlineStr">
        <is>
          <t>REVEL</t>
        </is>
      </c>
      <c r="L13520">
        <f>_xlfn.XLOOKUP(Tableau1[[#This Row],[TYPE DE PIECE]],Tableau4[MATIERE],Tableau4[SHORT TYPE],"",0,1)</f>
        <v/>
      </c>
      <c r="N13520">
        <f>IF(ISERR(FIND("DECOUPE",Tableau1[[#This Row],[DESIGNATION]])),"","NEED REF")</f>
        <v/>
      </c>
    </row>
    <row r="13521">
      <c r="B13521" t="n">
        <v>34400484</v>
      </c>
      <c r="C13521" s="2" t="n">
        <v>37876</v>
      </c>
      <c r="D13521" t="inlineStr">
        <is>
          <t>SPEC</t>
        </is>
      </c>
      <c r="E13521" t="inlineStr">
        <is>
          <t>Plaque support serrure triangle</t>
        </is>
      </c>
      <c r="F13521" t="inlineStr">
        <is>
          <t>Coffret DJ batterie</t>
        </is>
      </c>
      <c r="J13521" t="inlineStr">
        <is>
          <t>REVEL</t>
        </is>
      </c>
      <c r="L13521">
        <f>_xlfn.XLOOKUP(Tableau1[[#This Row],[TYPE DE PIECE]],Tableau4[MATIERE],Tableau4[SHORT TYPE],"",0,1)</f>
        <v/>
      </c>
      <c r="N13521">
        <f>IF(ISERR(FIND("DECOUPE",Tableau1[[#This Row],[DESIGNATION]])),"","NEED REF")</f>
        <v/>
      </c>
    </row>
    <row r="13522">
      <c r="B13522" t="n">
        <v>34400483</v>
      </c>
      <c r="C13522" s="2" t="n">
        <v>37874</v>
      </c>
      <c r="D13522" t="inlineStr">
        <is>
          <t>SPEC</t>
        </is>
      </c>
      <c r="E13522" t="inlineStr">
        <is>
          <t>Surtoit IP</t>
        </is>
      </c>
      <c r="F13522" t="inlineStr">
        <is>
          <t>Galaxy PW</t>
        </is>
      </c>
      <c r="J13522" t="inlineStr">
        <is>
          <t>REVEL</t>
        </is>
      </c>
      <c r="L13522">
        <f>_xlfn.XLOOKUP(Tableau1[[#This Row],[TYPE DE PIECE]],Tableau4[MATIERE],Tableau4[SHORT TYPE],"",0,1)</f>
        <v/>
      </c>
      <c r="N13522">
        <f>IF(ISERR(FIND("DECOUPE",Tableau1[[#This Row],[DESIGNATION]])),"","NEED REF")</f>
        <v/>
      </c>
    </row>
    <row r="13523">
      <c r="B13523" t="n">
        <v>34400482</v>
      </c>
      <c r="C13523" s="2" t="n">
        <v>37874</v>
      </c>
      <c r="D13523" t="inlineStr">
        <is>
          <t>SPEC</t>
        </is>
      </c>
      <c r="E13523" t="inlineStr">
        <is>
          <t>Surtoit IP</t>
        </is>
      </c>
      <c r="F13523" t="inlineStr">
        <is>
          <t>Galaxy PW</t>
        </is>
      </c>
      <c r="J13523" t="inlineStr">
        <is>
          <t>REVEL</t>
        </is>
      </c>
      <c r="L13523">
        <f>_xlfn.XLOOKUP(Tableau1[[#This Row],[TYPE DE PIECE]],Tableau4[MATIERE],Tableau4[SHORT TYPE],"",0,1)</f>
        <v/>
      </c>
      <c r="N13523">
        <f>IF(ISERR(FIND("DECOUPE",Tableau1[[#This Row],[DESIGNATION]])),"","NEED REF")</f>
        <v/>
      </c>
    </row>
    <row r="13524">
      <c r="B13524" t="n">
        <v>34400481</v>
      </c>
      <c r="C13524" s="2" t="n">
        <v>37865</v>
      </c>
      <c r="D13524" t="inlineStr">
        <is>
          <t>DOC</t>
        </is>
      </c>
      <c r="E13524" t="inlineStr">
        <is>
          <t xml:space="preserve">Détection de ventilation </t>
        </is>
      </c>
      <c r="F13524" t="inlineStr">
        <is>
          <t>GALAXY1000 PW</t>
        </is>
      </c>
      <c r="J13524" t="inlineStr">
        <is>
          <t>FERRIER</t>
        </is>
      </c>
      <c r="L13524">
        <f>_xlfn.XLOOKUP(Tableau1[[#This Row],[TYPE DE PIECE]],Tableau4[MATIERE],Tableau4[SHORT TYPE],"",0,1)</f>
        <v/>
      </c>
      <c r="N13524">
        <f>IF(ISERR(FIND("DECOUPE",Tableau1[[#This Row],[DESIGNATION]])),"","NEED REF")</f>
        <v/>
      </c>
    </row>
    <row r="13525">
      <c r="B13525" t="n">
        <v>34400480</v>
      </c>
      <c r="C13525" s="2" t="n">
        <v>37860</v>
      </c>
      <c r="D13525" t="inlineStr">
        <is>
          <t>SPEC</t>
        </is>
      </c>
      <c r="E13525" t="inlineStr">
        <is>
          <t>CABLE SNMP UMLINK</t>
        </is>
      </c>
      <c r="F13525" t="inlineStr">
        <is>
          <t>GALAXY</t>
        </is>
      </c>
      <c r="J13525" t="inlineStr">
        <is>
          <t>FERRIER</t>
        </is>
      </c>
      <c r="L13525">
        <f>_xlfn.XLOOKUP(Tableau1[[#This Row],[TYPE DE PIECE]],Tableau4[MATIERE],Tableau4[SHORT TYPE],"",0,1)</f>
        <v/>
      </c>
      <c r="N13525">
        <f>IF(ISERR(FIND("DECOUPE",Tableau1[[#This Row],[DESIGNATION]])),"","NEED REF")</f>
        <v/>
      </c>
    </row>
    <row r="13526">
      <c r="B13526" t="n">
        <v>34400479</v>
      </c>
      <c r="C13526" s="2" t="n">
        <v>37860</v>
      </c>
      <c r="D13526" t="inlineStr">
        <is>
          <t>NOM</t>
        </is>
      </c>
      <c r="E13526" t="inlineStr">
        <is>
          <t>LG peint com IP42 arm aux 1015</t>
        </is>
      </c>
      <c r="F13526" t="inlineStr">
        <is>
          <t>ARM AUX 1015*1900</t>
        </is>
      </c>
      <c r="J13526" t="inlineStr">
        <is>
          <t>AGERON</t>
        </is>
      </c>
      <c r="L13526">
        <f>_xlfn.XLOOKUP(Tableau1[[#This Row],[TYPE DE PIECE]],Tableau4[MATIERE],Tableau4[SHORT TYPE],"",0,1)</f>
        <v/>
      </c>
      <c r="N13526">
        <f>IF(ISERR(FIND("DECOUPE",Tableau1[[#This Row],[DESIGNATION]])),"","NEED REF")</f>
        <v/>
      </c>
    </row>
    <row r="13527">
      <c r="B13527" t="n">
        <v>34400478</v>
      </c>
      <c r="C13527" s="2" t="n">
        <v>37860</v>
      </c>
      <c r="D13527" t="inlineStr">
        <is>
          <t>NOM</t>
        </is>
      </c>
      <c r="E13527" t="inlineStr">
        <is>
          <t>LG peint com IP42 arm bat 1015</t>
        </is>
      </c>
      <c r="F13527" t="inlineStr">
        <is>
          <t>ARM BAT 1015*1900</t>
        </is>
      </c>
      <c r="J13527" t="inlineStr">
        <is>
          <t>AGERON</t>
        </is>
      </c>
      <c r="L13527">
        <f>_xlfn.XLOOKUP(Tableau1[[#This Row],[TYPE DE PIECE]],Tableau4[MATIERE],Tableau4[SHORT TYPE],"",0,1)</f>
        <v/>
      </c>
      <c r="N13527">
        <f>IF(ISERR(FIND("DECOUPE",Tableau1[[#This Row],[DESIGNATION]])),"","NEED REF")</f>
        <v/>
      </c>
    </row>
    <row r="13528">
      <c r="B13528" t="n">
        <v>34400477</v>
      </c>
      <c r="C13528" s="2" t="n">
        <v>37860</v>
      </c>
      <c r="D13528" t="inlineStr">
        <is>
          <t>NOM</t>
        </is>
      </c>
      <c r="E13528" t="inlineStr">
        <is>
          <t>LG peint com IP42 PW 1000 H=1900</t>
        </is>
      </c>
      <c r="F13528" t="inlineStr">
        <is>
          <t>GALAXY PW 1000</t>
        </is>
      </c>
      <c r="J13528" t="inlineStr">
        <is>
          <t>AGERON</t>
        </is>
      </c>
      <c r="L13528">
        <f>_xlfn.XLOOKUP(Tableau1[[#This Row],[TYPE DE PIECE]],Tableau4[MATIERE],Tableau4[SHORT TYPE],"",0,1)</f>
        <v/>
      </c>
      <c r="N13528">
        <f>IF(ISERR(FIND("DECOUPE",Tableau1[[#This Row],[DESIGNATION]])),"","NEED REF")</f>
        <v/>
      </c>
    </row>
    <row r="13529">
      <c r="B13529" t="n">
        <v>34400476</v>
      </c>
      <c r="C13529" s="2" t="n">
        <v>37860</v>
      </c>
      <c r="D13529" t="inlineStr">
        <is>
          <t>NOM</t>
        </is>
      </c>
      <c r="E13529" t="inlineStr">
        <is>
          <t>LG peint com IP42 PW 20-60 kVA H=1900</t>
        </is>
      </c>
      <c r="F13529" t="inlineStr">
        <is>
          <t xml:space="preserve">Galaxy PW 20-60 kVA </t>
        </is>
      </c>
      <c r="J13529" t="inlineStr">
        <is>
          <t>AGERON</t>
        </is>
      </c>
      <c r="L13529">
        <f>_xlfn.XLOOKUP(Tableau1[[#This Row],[TYPE DE PIECE]],Tableau4[MATIERE],Tableau4[SHORT TYPE],"",0,1)</f>
        <v/>
      </c>
      <c r="N13529">
        <f>IF(ISERR(FIND("DECOUPE",Tableau1[[#This Row],[DESIGNATION]])),"","NEED REF")</f>
        <v/>
      </c>
    </row>
    <row r="13530">
      <c r="B13530" t="n">
        <v>34400475</v>
      </c>
      <c r="C13530" s="2" t="n">
        <v>37847</v>
      </c>
      <c r="D13530" t="inlineStr">
        <is>
          <t>CDC</t>
        </is>
      </c>
      <c r="E13530" t="inlineStr">
        <is>
          <t>Skid pour comet s31 15 arm bat et aux</t>
        </is>
      </c>
      <c r="F13530" t="inlineStr">
        <is>
          <t>Comet s31 15kVA</t>
        </is>
      </c>
      <c r="J13530" t="inlineStr">
        <is>
          <t>REVEL</t>
        </is>
      </c>
      <c r="L13530">
        <f>_xlfn.XLOOKUP(Tableau1[[#This Row],[TYPE DE PIECE]],Tableau4[MATIERE],Tableau4[SHORT TYPE],"",0,1)</f>
        <v/>
      </c>
      <c r="N13530">
        <f>IF(ISERR(FIND("DECOUPE",Tableau1[[#This Row],[DESIGNATION]])),"","NEED REF")</f>
        <v/>
      </c>
    </row>
    <row r="13531">
      <c r="B13531" t="n">
        <v>34400474</v>
      </c>
      <c r="C13531" s="2" t="n">
        <v>37846</v>
      </c>
      <c r="D13531" t="inlineStr">
        <is>
          <t>NOM</t>
        </is>
      </c>
      <c r="E13531" t="inlineStr">
        <is>
          <t>Legende IP22 couleur speciale</t>
        </is>
      </c>
      <c r="F13531" t="inlineStr">
        <is>
          <t>Comet s31 15kVA</t>
        </is>
      </c>
      <c r="J13531" t="inlineStr">
        <is>
          <t>REVEL</t>
        </is>
      </c>
      <c r="L13531">
        <f>_xlfn.XLOOKUP(Tableau1[[#This Row],[TYPE DE PIECE]],Tableau4[MATIERE],Tableau4[SHORT TYPE],"",0,1)</f>
        <v/>
      </c>
      <c r="N13531">
        <f>IF(ISERR(FIND("DECOUPE",Tableau1[[#This Row],[DESIGNATION]])),"","NEED REF")</f>
        <v/>
      </c>
    </row>
    <row r="13532">
      <c r="B13532" t="n">
        <v>34400473</v>
      </c>
      <c r="C13532" s="2" t="n">
        <v>37846</v>
      </c>
      <c r="D13532" t="inlineStr">
        <is>
          <t>NOM</t>
        </is>
      </c>
      <c r="E13532" t="inlineStr">
        <is>
          <t>Legende couleur spe</t>
        </is>
      </c>
      <c r="F13532" t="inlineStr">
        <is>
          <t>Comet S31 15kVA</t>
        </is>
      </c>
      <c r="J13532" t="inlineStr">
        <is>
          <t>REVEL</t>
        </is>
      </c>
      <c r="L13532">
        <f>_xlfn.XLOOKUP(Tableau1[[#This Row],[TYPE DE PIECE]],Tableau4[MATIERE],Tableau4[SHORT TYPE],"",0,1)</f>
        <v/>
      </c>
      <c r="N13532">
        <f>IF(ISERR(FIND("DECOUPE",Tableau1[[#This Row],[DESIGNATION]])),"","NEED REF")</f>
        <v/>
      </c>
    </row>
    <row r="13533">
      <c r="B13533" t="n">
        <v>34400472</v>
      </c>
      <c r="C13533" s="2" t="n">
        <v>37845</v>
      </c>
      <c r="D13533" t="inlineStr">
        <is>
          <t>NOM</t>
        </is>
      </c>
      <c r="E13533" t="inlineStr">
        <is>
          <t>SYSTEME COUPLAGE BATT 300KVA</t>
        </is>
      </c>
      <c r="F13533" t="inlineStr">
        <is>
          <t>GALAXY 300kVA</t>
        </is>
      </c>
      <c r="J13533" t="inlineStr">
        <is>
          <t>FOLTZ</t>
        </is>
      </c>
      <c r="L13533">
        <f>_xlfn.XLOOKUP(Tableau1[[#This Row],[TYPE DE PIECE]],Tableau4[MATIERE],Tableau4[SHORT TYPE],"",0,1)</f>
        <v/>
      </c>
      <c r="N13533">
        <f>IF(ISERR(FIND("DECOUPE",Tableau1[[#This Row],[DESIGNATION]])),"","NEED REF")</f>
        <v/>
      </c>
    </row>
    <row r="13534">
      <c r="B13534" t="n">
        <v>34400471</v>
      </c>
      <c r="C13534" s="2" t="n">
        <v>37844</v>
      </c>
      <c r="D13534" t="inlineStr">
        <is>
          <t>CDC</t>
        </is>
      </c>
      <c r="E13534" t="inlineStr">
        <is>
          <t>Comet Extreme 6kVA CLA</t>
        </is>
      </c>
      <c r="F13534" t="inlineStr">
        <is>
          <t>Comet Extreme 6kVA</t>
        </is>
      </c>
      <c r="J13534" t="inlineStr">
        <is>
          <t>REVEL</t>
        </is>
      </c>
      <c r="L13534">
        <f>_xlfn.XLOOKUP(Tableau1[[#This Row],[TYPE DE PIECE]],Tableau4[MATIERE],Tableau4[SHORT TYPE],"",0,1)</f>
        <v/>
      </c>
      <c r="N13534">
        <f>IF(ISERR(FIND("DECOUPE",Tableau1[[#This Row],[DESIGNATION]])),"","NEED REF")</f>
        <v/>
      </c>
    </row>
    <row r="13535">
      <c r="B13535" t="n">
        <v>34400470</v>
      </c>
      <c r="C13535" s="2" t="n">
        <v>37841</v>
      </c>
      <c r="D13535" t="inlineStr">
        <is>
          <t>CDC</t>
        </is>
      </c>
      <c r="E13535" t="inlineStr">
        <is>
          <t>Pulsar Extreme 3kVA CLA</t>
        </is>
      </c>
      <c r="F13535" t="inlineStr">
        <is>
          <t>Pulsar Extreme 3kVA</t>
        </is>
      </c>
      <c r="J13535" t="inlineStr">
        <is>
          <t>REVEL</t>
        </is>
      </c>
      <c r="L13535">
        <f>_xlfn.XLOOKUP(Tableau1[[#This Row],[TYPE DE PIECE]],Tableau4[MATIERE],Tableau4[SHORT TYPE],"",0,1)</f>
        <v/>
      </c>
      <c r="N13535">
        <f>IF(ISERR(FIND("DECOUPE",Tableau1[[#This Row],[DESIGNATION]])),"","NEED REF")</f>
        <v/>
      </c>
    </row>
    <row r="13536">
      <c r="B13536" t="n">
        <v>34400469</v>
      </c>
      <c r="C13536" s="2" t="n">
        <v>37838</v>
      </c>
      <c r="D13536" t="inlineStr">
        <is>
          <t>NOM</t>
        </is>
      </c>
      <c r="E13536" t="inlineStr">
        <is>
          <t>KIT RETARDEMENT MISE EN SCE SW</t>
        </is>
      </c>
      <c r="F13536" t="inlineStr">
        <is>
          <t>MGE Belgique</t>
        </is>
      </c>
      <c r="J13536" t="inlineStr">
        <is>
          <t>FOLTZ</t>
        </is>
      </c>
      <c r="L13536">
        <f>_xlfn.XLOOKUP(Tableau1[[#This Row],[TYPE DE PIECE]],Tableau4[MATIERE],Tableau4[SHORT TYPE],"",0,1)</f>
        <v/>
      </c>
      <c r="N13536">
        <f>IF(ISERR(FIND("DECOUPE",Tableau1[[#This Row],[DESIGNATION]])),"","NEED REF")</f>
        <v/>
      </c>
    </row>
    <row r="13537">
      <c r="B13537" t="n">
        <v>34400468</v>
      </c>
      <c r="C13537" s="2" t="n">
        <v>37838</v>
      </c>
      <c r="D13537" t="inlineStr">
        <is>
          <t>CDC</t>
        </is>
      </c>
      <c r="E13537" t="inlineStr">
        <is>
          <t>NS2000 avec gaine pour 6 ASI</t>
        </is>
      </c>
      <c r="F13537" t="inlineStr">
        <is>
          <t>MGE Belgique</t>
        </is>
      </c>
      <c r="J13537" t="inlineStr">
        <is>
          <t>REVEL</t>
        </is>
      </c>
      <c r="L13537">
        <f>_xlfn.XLOOKUP(Tableau1[[#This Row],[TYPE DE PIECE]],Tableau4[MATIERE],Tableau4[SHORT TYPE],"",0,1)</f>
        <v/>
      </c>
      <c r="N13537">
        <f>IF(ISERR(FIND("DECOUPE",Tableau1[[#This Row],[DESIGNATION]])),"","NEED REF")</f>
        <v/>
      </c>
    </row>
    <row r="13538">
      <c r="B13538" t="n">
        <v>34400467</v>
      </c>
      <c r="C13538" s="2" t="n">
        <v>37838</v>
      </c>
      <c r="D13538" t="inlineStr">
        <is>
          <t>NOM</t>
        </is>
      </c>
      <c r="E13538" t="inlineStr">
        <is>
          <t>THM G600S</t>
        </is>
      </c>
      <c r="F13538" t="inlineStr">
        <is>
          <t>MGE UK</t>
        </is>
      </c>
      <c r="J13538" t="inlineStr">
        <is>
          <t>FOLTZ</t>
        </is>
      </c>
      <c r="L13538">
        <f>_xlfn.XLOOKUP(Tableau1[[#This Row],[TYPE DE PIECE]],Tableau4[MATIERE],Tableau4[SHORT TYPE],"",0,1)</f>
        <v/>
      </c>
      <c r="N13538">
        <f>IF(ISERR(FIND("DECOUPE",Tableau1[[#This Row],[DESIGNATION]])),"","NEED REF")</f>
        <v/>
      </c>
    </row>
    <row r="13539">
      <c r="B13539" t="n">
        <v>34400466</v>
      </c>
      <c r="C13539" s="2" t="n">
        <v>37833</v>
      </c>
      <c r="D13539" t="inlineStr">
        <is>
          <t>SPEC</t>
        </is>
      </c>
      <c r="E13539" t="inlineStr">
        <is>
          <t>Decoupe capot vague</t>
        </is>
      </c>
      <c r="F13539" t="inlineStr">
        <is>
          <t>Galaxy 400kVA</t>
        </is>
      </c>
      <c r="J13539" t="inlineStr">
        <is>
          <t>REVEL</t>
        </is>
      </c>
      <c r="L13539">
        <f>_xlfn.XLOOKUP(Tableau1[[#This Row],[TYPE DE PIECE]],Tableau4[MATIERE],Tableau4[SHORT TYPE],"",0,1)</f>
        <v/>
      </c>
      <c r="N13539">
        <f>IF(ISERR(FIND("DECOUPE",Tableau1[[#This Row],[DESIGNATION]])),"","NEED REF")</f>
        <v/>
      </c>
    </row>
    <row r="13540">
      <c r="B13540" t="n">
        <v>34400465</v>
      </c>
      <c r="C13540" s="2" t="n">
        <v>37833</v>
      </c>
      <c r="D13540" t="inlineStr">
        <is>
          <t>CDC</t>
        </is>
      </c>
      <c r="E13540" t="inlineStr">
        <is>
          <t>Armoire TFO util + distrib</t>
        </is>
      </c>
      <c r="F13540" t="inlineStr">
        <is>
          <t>ALSTOM MARINE</t>
        </is>
      </c>
      <c r="J13540" t="inlineStr">
        <is>
          <t>REVEL</t>
        </is>
      </c>
      <c r="L13540">
        <f>_xlfn.XLOOKUP(Tableau1[[#This Row],[TYPE DE PIECE]],Tableau4[MATIERE],Tableau4[SHORT TYPE],"",0,1)</f>
        <v/>
      </c>
      <c r="N13540">
        <f>IF(ISERR(FIND("DECOUPE",Tableau1[[#This Row],[DESIGNATION]])),"","NEED REF")</f>
        <v/>
      </c>
    </row>
    <row r="13541">
      <c r="B13541" t="n">
        <v>34400464</v>
      </c>
      <c r="C13541" s="2" t="n">
        <v>37833</v>
      </c>
      <c r="D13541" t="inlineStr">
        <is>
          <t>SPEC</t>
        </is>
      </c>
      <c r="E13541" t="inlineStr">
        <is>
          <t>Cable AWG 7 ivoire</t>
        </is>
      </c>
      <c r="F13541" t="inlineStr">
        <is>
          <t>CHINESE TELECOM</t>
        </is>
      </c>
      <c r="J13541" t="inlineStr">
        <is>
          <t>ÇAKIR</t>
        </is>
      </c>
      <c r="L13541">
        <f>_xlfn.XLOOKUP(Tableau1[[#This Row],[TYPE DE PIECE]],Tableau4[MATIERE],Tableau4[SHORT TYPE],"",0,1)</f>
        <v/>
      </c>
      <c r="N13541">
        <f>IF(ISERR(FIND("DECOUPE",Tableau1[[#This Row],[DESIGNATION]])),"","NEED REF")</f>
        <v/>
      </c>
    </row>
    <row r="13542">
      <c r="B13542" t="n">
        <v>34400463</v>
      </c>
      <c r="C13542" s="2" t="n">
        <v>37833</v>
      </c>
      <c r="D13542" t="inlineStr">
        <is>
          <t>SPEC</t>
        </is>
      </c>
      <c r="E13542" t="inlineStr">
        <is>
          <t>Cable AWG 18 blanc</t>
        </is>
      </c>
      <c r="F13542" t="inlineStr">
        <is>
          <t>CHINESE TELECOM</t>
        </is>
      </c>
      <c r="J13542" t="inlineStr">
        <is>
          <t>ÇAKIR</t>
        </is>
      </c>
      <c r="L13542">
        <f>_xlfn.XLOOKUP(Tableau1[[#This Row],[TYPE DE PIECE]],Tableau4[MATIERE],Tableau4[SHORT TYPE],"",0,1)</f>
        <v/>
      </c>
      <c r="N13542">
        <f>IF(ISERR(FIND("DECOUPE",Tableau1[[#This Row],[DESIGNATION]])),"","NEED REF")</f>
        <v/>
      </c>
    </row>
    <row r="13543">
      <c r="B13543" t="n">
        <v>34400462</v>
      </c>
      <c r="C13543" s="2" t="n">
        <v>37833</v>
      </c>
      <c r="D13543" t="inlineStr">
        <is>
          <t>SPEC</t>
        </is>
      </c>
      <c r="E13543" t="inlineStr">
        <is>
          <t>Cable AWG 18 marron</t>
        </is>
      </c>
      <c r="F13543" t="inlineStr">
        <is>
          <t>CHINESE TELECOM</t>
        </is>
      </c>
      <c r="J13543" t="inlineStr">
        <is>
          <t>ÇAKIR</t>
        </is>
      </c>
      <c r="L13543">
        <f>_xlfn.XLOOKUP(Tableau1[[#This Row],[TYPE DE PIECE]],Tableau4[MATIERE],Tableau4[SHORT TYPE],"",0,1)</f>
        <v/>
      </c>
      <c r="N13543">
        <f>IF(ISERR(FIND("DECOUPE",Tableau1[[#This Row],[DESIGNATION]])),"","NEED REF")</f>
        <v/>
      </c>
    </row>
    <row r="13544">
      <c r="B13544" t="n">
        <v>34400461</v>
      </c>
      <c r="C13544" s="2" t="n">
        <v>37833</v>
      </c>
      <c r="D13544" t="inlineStr">
        <is>
          <t>SPEC</t>
        </is>
      </c>
      <c r="E13544" t="inlineStr">
        <is>
          <t>Cable AWG 18 bleu</t>
        </is>
      </c>
      <c r="F13544" t="inlineStr">
        <is>
          <t>CHINESE TELECOM</t>
        </is>
      </c>
      <c r="J13544" t="inlineStr">
        <is>
          <t>ÇAKIR</t>
        </is>
      </c>
      <c r="L13544">
        <f>_xlfn.XLOOKUP(Tableau1[[#This Row],[TYPE DE PIECE]],Tableau4[MATIERE],Tableau4[SHORT TYPE],"",0,1)</f>
        <v/>
      </c>
      <c r="N13544">
        <f>IF(ISERR(FIND("DECOUPE",Tableau1[[#This Row],[DESIGNATION]])),"","NEED REF")</f>
        <v/>
      </c>
    </row>
    <row r="13545">
      <c r="B13545" t="n">
        <v>34400460</v>
      </c>
      <c r="C13545" s="2" t="n">
        <v>37833</v>
      </c>
      <c r="D13545" t="inlineStr">
        <is>
          <t>SPEC</t>
        </is>
      </c>
      <c r="E13545" t="inlineStr">
        <is>
          <t>Cable AWG 18 orange</t>
        </is>
      </c>
      <c r="F13545" t="inlineStr">
        <is>
          <t>CHINESE TELECOM</t>
        </is>
      </c>
      <c r="J13545" t="inlineStr">
        <is>
          <t>ÇAKIR</t>
        </is>
      </c>
      <c r="L13545">
        <f>_xlfn.XLOOKUP(Tableau1[[#This Row],[TYPE DE PIECE]],Tableau4[MATIERE],Tableau4[SHORT TYPE],"",0,1)</f>
        <v/>
      </c>
      <c r="N13545">
        <f>IF(ISERR(FIND("DECOUPE",Tableau1[[#This Row],[DESIGNATION]])),"","NEED REF")</f>
        <v/>
      </c>
    </row>
    <row r="13546">
      <c r="B13546" t="n">
        <v>34400459</v>
      </c>
      <c r="C13546" s="2" t="n">
        <v>37826</v>
      </c>
      <c r="D13546" t="inlineStr">
        <is>
          <t>SPEC</t>
        </is>
      </c>
      <c r="E13546" t="inlineStr">
        <is>
          <t>Epanouisseur conex client</t>
        </is>
      </c>
      <c r="F13546" t="inlineStr">
        <is>
          <t>GALAXY 200 A 400KVA</t>
        </is>
      </c>
      <c r="J13546" t="inlineStr">
        <is>
          <t>REVEL</t>
        </is>
      </c>
      <c r="L13546">
        <f>_xlfn.XLOOKUP(Tableau1[[#This Row],[TYPE DE PIECE]],Tableau4[MATIERE],Tableau4[SHORT TYPE],"",0,1)</f>
        <v/>
      </c>
      <c r="N13546">
        <f>IF(ISERR(FIND("DECOUPE",Tableau1[[#This Row],[DESIGNATION]])),"","NEED REF")</f>
        <v/>
      </c>
    </row>
    <row r="13547">
      <c r="B13547" t="n">
        <v>34400458</v>
      </c>
      <c r="C13547" s="2" t="n">
        <v>37826</v>
      </c>
      <c r="D13547" t="inlineStr">
        <is>
          <t>SPEC</t>
        </is>
      </c>
      <c r="E13547" t="inlineStr">
        <is>
          <t>Epanouisseur conex client</t>
        </is>
      </c>
      <c r="F13547" t="inlineStr">
        <is>
          <t>GALAXY 200 A 400KVA</t>
        </is>
      </c>
      <c r="J13547" t="inlineStr">
        <is>
          <t>REVEL</t>
        </is>
      </c>
      <c r="L13547">
        <f>_xlfn.XLOOKUP(Tableau1[[#This Row],[TYPE DE PIECE]],Tableau4[MATIERE],Tableau4[SHORT TYPE],"",0,1)</f>
        <v/>
      </c>
      <c r="N13547">
        <f>IF(ISERR(FIND("DECOUPE",Tableau1[[#This Row],[DESIGNATION]])),"","NEED REF")</f>
        <v/>
      </c>
    </row>
    <row r="13548">
      <c r="B13548" t="n">
        <v>34400457</v>
      </c>
      <c r="C13548" s="2" t="n">
        <v>37826</v>
      </c>
      <c r="D13548" t="inlineStr">
        <is>
          <t>SPEC</t>
        </is>
      </c>
      <c r="E13548" t="inlineStr">
        <is>
          <t>Epanouisseur conex batterie</t>
        </is>
      </c>
      <c r="F13548" t="inlineStr">
        <is>
          <t>GALAXY 200 A 400KVA</t>
        </is>
      </c>
      <c r="J13548" t="inlineStr">
        <is>
          <t>REVEL</t>
        </is>
      </c>
      <c r="L13548">
        <f>_xlfn.XLOOKUP(Tableau1[[#This Row],[TYPE DE PIECE]],Tableau4[MATIERE],Tableau4[SHORT TYPE],"",0,1)</f>
        <v/>
      </c>
      <c r="N13548">
        <f>IF(ISERR(FIND("DECOUPE",Tableau1[[#This Row],[DESIGNATION]])),"","NEED REF")</f>
        <v/>
      </c>
    </row>
    <row r="13549">
      <c r="B13549" t="n">
        <v>34400456</v>
      </c>
      <c r="C13549" s="2" t="n">
        <v>37826</v>
      </c>
      <c r="D13549" t="inlineStr">
        <is>
          <t>SPEC</t>
        </is>
      </c>
      <c r="E13549" t="inlineStr">
        <is>
          <t>Epanouisseur conex client</t>
        </is>
      </c>
      <c r="F13549" t="inlineStr">
        <is>
          <t>GALAXY 200 A 400KVA</t>
        </is>
      </c>
      <c r="J13549" t="inlineStr">
        <is>
          <t>REVEL</t>
        </is>
      </c>
      <c r="L13549">
        <f>_xlfn.XLOOKUP(Tableau1[[#This Row],[TYPE DE PIECE]],Tableau4[MATIERE],Tableau4[SHORT TYPE],"",0,1)</f>
        <v/>
      </c>
      <c r="N13549">
        <f>IF(ISERR(FIND("DECOUPE",Tableau1[[#This Row],[DESIGNATION]])),"","NEED REF")</f>
        <v/>
      </c>
    </row>
    <row r="13550">
      <c r="B13550" t="n">
        <v>34400455</v>
      </c>
      <c r="C13550" s="2" t="n">
        <v>37826</v>
      </c>
      <c r="D13550" t="inlineStr">
        <is>
          <t>SPEC</t>
        </is>
      </c>
      <c r="E13550" t="inlineStr">
        <is>
          <t>Barre de masse pour cosse 2 trous</t>
        </is>
      </c>
      <c r="F13550" t="inlineStr">
        <is>
          <t>GALAXY 200 A 400KVA</t>
        </is>
      </c>
      <c r="J13550" t="inlineStr">
        <is>
          <t>REVEL</t>
        </is>
      </c>
      <c r="L13550">
        <f>_xlfn.XLOOKUP(Tableau1[[#This Row],[TYPE DE PIECE]],Tableau4[MATIERE],Tableau4[SHORT TYPE],"",0,1)</f>
        <v/>
      </c>
      <c r="N13550">
        <f>IF(ISERR(FIND("DECOUPE",Tableau1[[#This Row],[DESIGNATION]])),"","NEED REF")</f>
        <v/>
      </c>
    </row>
    <row r="13551">
      <c r="B13551" t="n">
        <v>34400454</v>
      </c>
      <c r="C13551" s="2" t="n">
        <v>37826</v>
      </c>
      <c r="D13551" t="inlineStr">
        <is>
          <t>SPEC</t>
        </is>
      </c>
      <c r="E13551" t="inlineStr">
        <is>
          <t>Barre de masse pour cosse 2 trous</t>
        </is>
      </c>
      <c r="F13551" t="inlineStr">
        <is>
          <t>GALAXY NS 2000</t>
        </is>
      </c>
      <c r="J13551" t="inlineStr">
        <is>
          <t>REVEL</t>
        </is>
      </c>
      <c r="L13551">
        <f>_xlfn.XLOOKUP(Tableau1[[#This Row],[TYPE DE PIECE]],Tableau4[MATIERE],Tableau4[SHORT TYPE],"",0,1)</f>
        <v/>
      </c>
      <c r="N13551">
        <f>IF(ISERR(FIND("DECOUPE",Tableau1[[#This Row],[DESIGNATION]])),"","NEED REF")</f>
        <v/>
      </c>
    </row>
    <row r="13552">
      <c r="B13552" t="n">
        <v>34400453</v>
      </c>
      <c r="C13552" s="2" t="n">
        <v>37826</v>
      </c>
      <c r="D13552" t="inlineStr">
        <is>
          <t>SPEC</t>
        </is>
      </c>
      <c r="E13552" t="inlineStr">
        <is>
          <t>Barre de masse pour cosse 2 trous</t>
        </is>
      </c>
      <c r="F13552" t="inlineStr">
        <is>
          <t>GALAXY NS 500 ET 800</t>
        </is>
      </c>
      <c r="J13552" t="inlineStr">
        <is>
          <t>REVEL</t>
        </is>
      </c>
      <c r="L13552">
        <f>_xlfn.XLOOKUP(Tableau1[[#This Row],[TYPE DE PIECE]],Tableau4[MATIERE],Tableau4[SHORT TYPE],"",0,1)</f>
        <v/>
      </c>
      <c r="N13552">
        <f>IF(ISERR(FIND("DECOUPE",Tableau1[[#This Row],[DESIGNATION]])),"","NEED REF")</f>
        <v/>
      </c>
    </row>
    <row r="13553">
      <c r="B13553" t="n">
        <v>34400452</v>
      </c>
      <c r="C13553" s="2" t="n">
        <v>37825</v>
      </c>
      <c r="D13553" t="inlineStr">
        <is>
          <t>CDC</t>
        </is>
      </c>
      <c r="E13553" t="inlineStr">
        <is>
          <t>Skid pour Galaxy 160kva + TFO Capote</t>
        </is>
      </c>
      <c r="F13553" t="inlineStr">
        <is>
          <t>GALAXY 160kVA</t>
        </is>
      </c>
      <c r="J13553" t="inlineStr">
        <is>
          <t>REVEL</t>
        </is>
      </c>
      <c r="L13553">
        <f>_xlfn.XLOOKUP(Tableau1[[#This Row],[TYPE DE PIECE]],Tableau4[MATIERE],Tableau4[SHORT TYPE],"",0,1)</f>
        <v/>
      </c>
      <c r="N13553">
        <f>IF(ISERR(FIND("DECOUPE",Tableau1[[#This Row],[DESIGNATION]])),"","NEED REF")</f>
        <v/>
      </c>
    </row>
    <row r="13554">
      <c r="B13554" t="n">
        <v>34400451</v>
      </c>
      <c r="C13554" s="2" t="n">
        <v>37824</v>
      </c>
      <c r="D13554" t="inlineStr">
        <is>
          <t>NOM</t>
        </is>
      </c>
      <c r="E13554" t="inlineStr">
        <is>
          <t>DJ 400kva &gt; 10mn</t>
        </is>
      </c>
      <c r="F13554" t="inlineStr">
        <is>
          <t>Galaxy</t>
        </is>
      </c>
      <c r="J13554" t="inlineStr">
        <is>
          <t>REVEL</t>
        </is>
      </c>
      <c r="L13554">
        <f>_xlfn.XLOOKUP(Tableau1[[#This Row],[TYPE DE PIECE]],Tableau4[MATIERE],Tableau4[SHORT TYPE],"",0,1)</f>
        <v/>
      </c>
      <c r="N13554">
        <f>IF(ISERR(FIND("DECOUPE",Tableau1[[#This Row],[DESIGNATION]])),"","NEED REF")</f>
        <v/>
      </c>
    </row>
    <row r="13555">
      <c r="B13555" t="n">
        <v>34400450</v>
      </c>
      <c r="C13555" s="2" t="n">
        <v>37823</v>
      </c>
      <c r="D13555" t="inlineStr">
        <is>
          <t>CDC</t>
        </is>
      </c>
      <c r="E13555" t="inlineStr">
        <is>
          <t>Skid support transfo capote 25kva</t>
        </is>
      </c>
      <c r="F13555" t="inlineStr">
        <is>
          <t>G 3000 20kVA</t>
        </is>
      </c>
      <c r="J13555" t="inlineStr">
        <is>
          <t>REVEL</t>
        </is>
      </c>
      <c r="L13555">
        <f>_xlfn.XLOOKUP(Tableau1[[#This Row],[TYPE DE PIECE]],Tableau4[MATIERE],Tableau4[SHORT TYPE],"",0,1)</f>
        <v/>
      </c>
      <c r="N13555">
        <f>IF(ISERR(FIND("DECOUPE",Tableau1[[#This Row],[DESIGNATION]])),"","NEED REF")</f>
        <v/>
      </c>
    </row>
    <row r="13556">
      <c r="B13556" t="n">
        <v>34400449</v>
      </c>
      <c r="C13556" s="2" t="n">
        <v>37819</v>
      </c>
      <c r="D13556" t="inlineStr">
        <is>
          <t>NOM</t>
        </is>
      </c>
      <c r="E13556" t="inlineStr">
        <is>
          <t xml:space="preserve">Deport TI de couplage </t>
        </is>
      </c>
      <c r="F13556" t="inlineStr">
        <is>
          <t>NS toute puissance</t>
        </is>
      </c>
      <c r="J13556" t="inlineStr">
        <is>
          <t>REVEL</t>
        </is>
      </c>
      <c r="L13556">
        <f>_xlfn.XLOOKUP(Tableau1[[#This Row],[TYPE DE PIECE]],Tableau4[MATIERE],Tableau4[SHORT TYPE],"",0,1)</f>
        <v/>
      </c>
      <c r="N13556">
        <f>IF(ISERR(FIND("DECOUPE",Tableau1[[#This Row],[DESIGNATION]])),"","NEED REF")</f>
        <v/>
      </c>
    </row>
    <row r="13557">
      <c r="B13557" t="n">
        <v>34400448</v>
      </c>
      <c r="C13557" s="2" t="n">
        <v>37819</v>
      </c>
      <c r="D13557" t="inlineStr">
        <is>
          <t>NOM</t>
        </is>
      </c>
      <c r="E13557" t="inlineStr">
        <is>
          <t>SYTEME COUPLAGE BATTERIE</t>
        </is>
      </c>
      <c r="F13557" t="inlineStr">
        <is>
          <t>GALAXY PW 200kVA</t>
        </is>
      </c>
      <c r="J13557" t="inlineStr">
        <is>
          <t>FOLTZ</t>
        </is>
      </c>
      <c r="L13557">
        <f>_xlfn.XLOOKUP(Tableau1[[#This Row],[TYPE DE PIECE]],Tableau4[MATIERE],Tableau4[SHORT TYPE],"",0,1)</f>
        <v/>
      </c>
      <c r="N13557">
        <f>IF(ISERR(FIND("DECOUPE",Tableau1[[#This Row],[DESIGNATION]])),"","NEED REF")</f>
        <v/>
      </c>
    </row>
    <row r="13558">
      <c r="B13558" t="n">
        <v>34400447</v>
      </c>
      <c r="C13558" s="2" t="n">
        <v>37819</v>
      </c>
      <c r="D13558" t="inlineStr">
        <is>
          <t>CDC</t>
        </is>
      </c>
      <c r="E13558" t="inlineStr">
        <is>
          <t xml:space="preserve">Tableau de couplage </t>
        </is>
      </c>
      <c r="F13558" t="inlineStr">
        <is>
          <t xml:space="preserve">GALAXY 400KVA </t>
        </is>
      </c>
      <c r="J13558" t="inlineStr">
        <is>
          <t>REVEL</t>
        </is>
      </c>
      <c r="L13558">
        <f>_xlfn.XLOOKUP(Tableau1[[#This Row],[TYPE DE PIECE]],Tableau4[MATIERE],Tableau4[SHORT TYPE],"",0,1)</f>
        <v/>
      </c>
      <c r="N13558">
        <f>IF(ISERR(FIND("DECOUPE",Tableau1[[#This Row],[DESIGNATION]])),"","NEED REF")</f>
        <v/>
      </c>
    </row>
    <row r="13559">
      <c r="B13559" t="n">
        <v>34400446</v>
      </c>
      <c r="C13559" s="2" t="n">
        <v>37817</v>
      </c>
      <c r="D13559" t="inlineStr">
        <is>
          <t>NOM</t>
        </is>
      </c>
      <c r="E13559" t="inlineStr">
        <is>
          <t>Pulsar EX20 US V3</t>
        </is>
      </c>
      <c r="F13559" t="inlineStr">
        <is>
          <t>PULSAR EX20 US</t>
        </is>
      </c>
      <c r="J13559" t="inlineStr">
        <is>
          <t>REVEL</t>
        </is>
      </c>
      <c r="L13559">
        <f>_xlfn.XLOOKUP(Tableau1[[#This Row],[TYPE DE PIECE]],Tableau4[MATIERE],Tableau4[SHORT TYPE],"",0,1)</f>
        <v/>
      </c>
      <c r="N13559">
        <f>IF(ISERR(FIND("DECOUPE",Tableau1[[#This Row],[DESIGNATION]])),"","NEED REF")</f>
        <v/>
      </c>
    </row>
    <row r="13560">
      <c r="B13560" t="n">
        <v>34400445</v>
      </c>
      <c r="C13560" s="2" t="n">
        <v>37813</v>
      </c>
      <c r="D13560" t="inlineStr">
        <is>
          <t>CDC</t>
        </is>
      </c>
      <c r="E13560" t="inlineStr">
        <is>
          <t>Caillebotis marine 31 SWL750</t>
        </is>
      </c>
      <c r="F13560" t="inlineStr">
        <is>
          <t>GALAXY PW</t>
        </is>
      </c>
      <c r="J13560" t="inlineStr">
        <is>
          <t>REVEL</t>
        </is>
      </c>
      <c r="L13560">
        <f>_xlfn.XLOOKUP(Tableau1[[#This Row],[TYPE DE PIECE]],Tableau4[MATIERE],Tableau4[SHORT TYPE],"",0,1)</f>
        <v/>
      </c>
      <c r="N13560">
        <f>IF(ISERR(FIND("DECOUPE",Tableau1[[#This Row],[DESIGNATION]])),"","NEED REF")</f>
        <v/>
      </c>
    </row>
    <row r="13561">
      <c r="B13561" t="n">
        <v>34400444</v>
      </c>
      <c r="C13561" s="2" t="n">
        <v>37813</v>
      </c>
      <c r="D13561" t="inlineStr">
        <is>
          <t>CDC</t>
        </is>
      </c>
      <c r="E13561" t="inlineStr">
        <is>
          <t>2 FAHC 160kVA en armoire 1015</t>
        </is>
      </c>
      <c r="F13561" t="inlineStr">
        <is>
          <t>GALAXY PW</t>
        </is>
      </c>
      <c r="J13561" t="inlineStr">
        <is>
          <t>ROBERT</t>
        </is>
      </c>
      <c r="L13561">
        <f>_xlfn.XLOOKUP(Tableau1[[#This Row],[TYPE DE PIECE]],Tableau4[MATIERE],Tableau4[SHORT TYPE],"",0,1)</f>
        <v/>
      </c>
      <c r="N13561">
        <f>IF(ISERR(FIND("DECOUPE",Tableau1[[#This Row],[DESIGNATION]])),"","NEED REF")</f>
        <v/>
      </c>
    </row>
    <row r="13562">
      <c r="B13562" t="n">
        <v>34400443</v>
      </c>
      <c r="C13562" s="2" t="n">
        <v>37811</v>
      </c>
      <c r="D13562" t="inlineStr">
        <is>
          <t>SPEC</t>
        </is>
      </c>
      <c r="E13562" t="inlineStr">
        <is>
          <t>Limande mise en // SW L=15m</t>
        </is>
      </c>
      <c r="F13562" t="inlineStr">
        <is>
          <t>SW EN //</t>
        </is>
      </c>
      <c r="J13562" t="inlineStr">
        <is>
          <t>FOLTZ</t>
        </is>
      </c>
      <c r="L13562">
        <f>_xlfn.XLOOKUP(Tableau1[[#This Row],[TYPE DE PIECE]],Tableau4[MATIERE],Tableau4[SHORT TYPE],"",0,1)</f>
        <v/>
      </c>
      <c r="N13562">
        <f>IF(ISERR(FIND("DECOUPE",Tableau1[[#This Row],[DESIGNATION]])),"","NEED REF")</f>
        <v/>
      </c>
    </row>
    <row r="13563">
      <c r="B13563" t="n">
        <v>34400442</v>
      </c>
      <c r="C13563" s="2" t="n">
        <v>37811</v>
      </c>
      <c r="D13563" t="inlineStr">
        <is>
          <t>NOM</t>
        </is>
      </c>
      <c r="E13563" t="inlineStr">
        <is>
          <t>LG IP 32 PEINTURE STANDARD</t>
        </is>
      </c>
      <c r="F13563" t="inlineStr">
        <is>
          <t>ARM AUX 1015</t>
        </is>
      </c>
      <c r="J13563" t="inlineStr">
        <is>
          <t>ROBERT</t>
        </is>
      </c>
      <c r="L13563">
        <f>_xlfn.XLOOKUP(Tableau1[[#This Row],[TYPE DE PIECE]],Tableau4[MATIERE],Tableau4[SHORT TYPE],"",0,1)</f>
        <v/>
      </c>
      <c r="N13563">
        <f>IF(ISERR(FIND("DECOUPE",Tableau1[[#This Row],[DESIGNATION]])),"","NEED REF")</f>
        <v/>
      </c>
    </row>
    <row r="13564">
      <c r="B13564" t="n">
        <v>34400441</v>
      </c>
      <c r="C13564" s="2" t="n">
        <v>37811</v>
      </c>
      <c r="D13564" t="inlineStr">
        <is>
          <t>CDC</t>
        </is>
      </c>
      <c r="E13564" t="inlineStr">
        <is>
          <t>PMM non standard (CDC TYPE à copier)</t>
        </is>
      </c>
      <c r="F13564" t="inlineStr">
        <is>
          <t>PMM</t>
        </is>
      </c>
      <c r="J13564" t="inlineStr">
        <is>
          <t>FERRIER</t>
        </is>
      </c>
      <c r="L13564">
        <f>_xlfn.XLOOKUP(Tableau1[[#This Row],[TYPE DE PIECE]],Tableau4[MATIERE],Tableau4[SHORT TYPE],"",0,1)</f>
        <v/>
      </c>
      <c r="N13564">
        <f>IF(ISERR(FIND("DECOUPE",Tableau1[[#This Row],[DESIGNATION]])),"","NEED REF")</f>
        <v/>
      </c>
    </row>
    <row r="13565">
      <c r="B13565" t="n">
        <v>34400440</v>
      </c>
      <c r="C13565" s="2" t="n">
        <v>37810</v>
      </c>
      <c r="D13565" t="inlineStr">
        <is>
          <t>SPEC</t>
        </is>
      </c>
      <c r="E13565" t="inlineStr">
        <is>
          <t>Carte CRII adaptée 50-60Hz</t>
        </is>
      </c>
      <c r="F13565" t="inlineStr">
        <is>
          <t xml:space="preserve">GALAXY PW </t>
        </is>
      </c>
      <c r="J13565" t="inlineStr">
        <is>
          <t>REVEL</t>
        </is>
      </c>
      <c r="L13565">
        <f>_xlfn.XLOOKUP(Tableau1[[#This Row],[TYPE DE PIECE]],Tableau4[MATIERE],Tableau4[SHORT TYPE],"",0,1)</f>
        <v/>
      </c>
      <c r="N13565">
        <f>IF(ISERR(FIND("DECOUPE",Tableau1[[#This Row],[DESIGNATION]])),"","NEED REF")</f>
        <v/>
      </c>
    </row>
    <row r="13566">
      <c r="B13566" t="n">
        <v>34400439</v>
      </c>
      <c r="C13566" s="2" t="n">
        <v>37810</v>
      </c>
      <c r="D13566" t="inlineStr">
        <is>
          <t>SPEC</t>
        </is>
      </c>
      <c r="E13566" t="inlineStr">
        <is>
          <t>Eprom specifique CRII 50-60Hz</t>
        </is>
      </c>
      <c r="F13566" t="inlineStr">
        <is>
          <t>GALAXY PW</t>
        </is>
      </c>
      <c r="J13566" t="inlineStr">
        <is>
          <t>REVEL</t>
        </is>
      </c>
      <c r="L13566">
        <f>_xlfn.XLOOKUP(Tableau1[[#This Row],[TYPE DE PIECE]],Tableau4[MATIERE],Tableau4[SHORT TYPE],"",0,1)</f>
        <v/>
      </c>
      <c r="N13566">
        <f>IF(ISERR(FIND("DECOUPE",Tableau1[[#This Row],[DESIGNATION]])),"","NEED REF")</f>
        <v/>
      </c>
    </row>
    <row r="13567">
      <c r="B13567" t="n">
        <v>34400438</v>
      </c>
      <c r="C13567" s="2" t="n">
        <v>37809</v>
      </c>
      <c r="D13567" t="inlineStr">
        <is>
          <t>CDC</t>
        </is>
      </c>
      <c r="E13567" t="inlineStr">
        <is>
          <t>Armoire TFO R2 + depart sur DJ débro</t>
        </is>
      </c>
      <c r="F13567" t="inlineStr">
        <is>
          <t>GALAXY 250KVA</t>
        </is>
      </c>
      <c r="J13567" t="inlineStr">
        <is>
          <t>REVEL</t>
        </is>
      </c>
      <c r="L13567">
        <f>_xlfn.XLOOKUP(Tableau1[[#This Row],[TYPE DE PIECE]],Tableau4[MATIERE],Tableau4[SHORT TYPE],"",0,1)</f>
        <v/>
      </c>
      <c r="N13567">
        <f>IF(ISERR(FIND("DECOUPE",Tableau1[[#This Row],[DESIGNATION]])),"","NEED REF")</f>
        <v/>
      </c>
    </row>
    <row r="13568">
      <c r="B13568" t="n">
        <v>34400437</v>
      </c>
      <c r="C13568" s="2" t="n">
        <v>37809</v>
      </c>
      <c r="D13568" t="inlineStr">
        <is>
          <t>NOM</t>
        </is>
      </c>
      <c r="E13568" t="inlineStr">
        <is>
          <t>LG DETECTION DE VENTILATION</t>
        </is>
      </c>
      <c r="F13568" t="inlineStr">
        <is>
          <t>PW 160/200kVA</t>
        </is>
      </c>
      <c r="J13568" t="inlineStr">
        <is>
          <t>ROBERT</t>
        </is>
      </c>
      <c r="L13568">
        <f>_xlfn.XLOOKUP(Tableau1[[#This Row],[TYPE DE PIECE]],Tableau4[MATIERE],Tableau4[SHORT TYPE],"",0,1)</f>
        <v/>
      </c>
      <c r="N13568">
        <f>IF(ISERR(FIND("DECOUPE",Tableau1[[#This Row],[DESIGNATION]])),"","NEED REF")</f>
        <v/>
      </c>
    </row>
    <row r="13569">
      <c r="B13569" t="n">
        <v>34400436</v>
      </c>
      <c r="C13569" s="2" t="n">
        <v>37809</v>
      </c>
      <c r="D13569" t="inlineStr">
        <is>
          <t>SPEC</t>
        </is>
      </c>
      <c r="E13569" t="inlineStr">
        <is>
          <t>Plaque presse etoupe IP32</t>
        </is>
      </c>
      <c r="F13569" t="inlineStr">
        <is>
          <t>PW 160/200kVA</t>
        </is>
      </c>
      <c r="J13569" t="inlineStr">
        <is>
          <t>ROBERT</t>
        </is>
      </c>
      <c r="L13569">
        <f>_xlfn.XLOOKUP(Tableau1[[#This Row],[TYPE DE PIECE]],Tableau4[MATIERE],Tableau4[SHORT TYPE],"",0,1)</f>
        <v/>
      </c>
      <c r="N13569">
        <f>IF(ISERR(FIND("DECOUPE",Tableau1[[#This Row],[DESIGNATION]])),"","NEED REF")</f>
        <v/>
      </c>
    </row>
    <row r="13570">
      <c r="B13570" t="n">
        <v>34400435</v>
      </c>
      <c r="C13570" s="2" t="n">
        <v>37806</v>
      </c>
      <c r="D13570" t="inlineStr">
        <is>
          <t>SPEC</t>
        </is>
      </c>
      <c r="E13570" t="inlineStr">
        <is>
          <t>TOLE DE FOND IP32 ASI</t>
        </is>
      </c>
      <c r="F13570" t="inlineStr">
        <is>
          <t>PW 160/200kVA</t>
        </is>
      </c>
      <c r="J13570" t="inlineStr">
        <is>
          <t>ROBERT</t>
        </is>
      </c>
      <c r="L13570">
        <f>_xlfn.XLOOKUP(Tableau1[[#This Row],[TYPE DE PIECE]],Tableau4[MATIERE],Tableau4[SHORT TYPE],"",0,1)</f>
        <v/>
      </c>
      <c r="N13570">
        <f>IF(ISERR(FIND("DECOUPE",Tableau1[[#This Row],[DESIGNATION]])),"","NEED REF")</f>
        <v/>
      </c>
    </row>
    <row r="13571">
      <c r="B13571" t="n">
        <v>34400434</v>
      </c>
      <c r="C13571" s="2" t="n">
        <v>37806</v>
      </c>
      <c r="D13571" t="inlineStr">
        <is>
          <t>NOM</t>
        </is>
      </c>
      <c r="E13571" t="inlineStr">
        <is>
          <t>LG IP 32 PEINTURE STANDARD</t>
        </is>
      </c>
      <c r="F13571" t="inlineStr">
        <is>
          <t>PW 160/200kVA</t>
        </is>
      </c>
      <c r="J13571" t="inlineStr">
        <is>
          <t>ROBERT</t>
        </is>
      </c>
      <c r="L13571">
        <f>_xlfn.XLOOKUP(Tableau1[[#This Row],[TYPE DE PIECE]],Tableau4[MATIERE],Tableau4[SHORT TYPE],"",0,1)</f>
        <v/>
      </c>
      <c r="N13571">
        <f>IF(ISERR(FIND("DECOUPE",Tableau1[[#This Row],[DESIGNATION]])),"","NEED REF")</f>
        <v/>
      </c>
    </row>
    <row r="13572">
      <c r="B13572" t="n">
        <v>34400433</v>
      </c>
      <c r="C13572" s="2" t="n">
        <v>37806</v>
      </c>
      <c r="D13572" t="inlineStr">
        <is>
          <t>SPEC</t>
        </is>
      </c>
      <c r="E13572" t="inlineStr">
        <is>
          <t xml:space="preserve">Porte droite IP32 </t>
        </is>
      </c>
      <c r="F13572" t="inlineStr">
        <is>
          <t>PW 160/200kVA</t>
        </is>
      </c>
      <c r="J13572" t="inlineStr">
        <is>
          <t>ROBERT</t>
        </is>
      </c>
      <c r="L13572">
        <f>_xlfn.XLOOKUP(Tableau1[[#This Row],[TYPE DE PIECE]],Tableau4[MATIERE],Tableau4[SHORT TYPE],"",0,1)</f>
        <v/>
      </c>
      <c r="N13572">
        <f>IF(ISERR(FIND("DECOUPE",Tableau1[[#This Row],[DESIGNATION]])),"","NEED REF")</f>
        <v/>
      </c>
    </row>
    <row r="13573">
      <c r="B13573" t="n">
        <v>34400432</v>
      </c>
      <c r="C13573" s="2" t="n">
        <v>37805</v>
      </c>
      <c r="D13573" t="inlineStr">
        <is>
          <t>SPEC</t>
        </is>
      </c>
      <c r="E13573" t="inlineStr">
        <is>
          <t>Skid support transfo capote 25kva</t>
        </is>
      </c>
      <c r="F13573" t="inlineStr">
        <is>
          <t>G 3000 20kVA</t>
        </is>
      </c>
      <c r="J13573" t="inlineStr">
        <is>
          <t>REVEL</t>
        </is>
      </c>
      <c r="L13573">
        <f>_xlfn.XLOOKUP(Tableau1[[#This Row],[TYPE DE PIECE]],Tableau4[MATIERE],Tableau4[SHORT TYPE],"",0,1)</f>
        <v/>
      </c>
      <c r="N13573">
        <f>IF(ISERR(FIND("DECOUPE",Tableau1[[#This Row],[DESIGNATION]])),"","NEED REF")</f>
        <v/>
      </c>
    </row>
    <row r="13574">
      <c r="B13574" t="n">
        <v>34400431</v>
      </c>
      <c r="C13574" s="2" t="n">
        <v>37803</v>
      </c>
      <c r="D13574" t="inlineStr">
        <is>
          <t>NOM</t>
        </is>
      </c>
      <c r="E13574" t="inlineStr">
        <is>
          <t>THM PW HC 200</t>
        </is>
      </c>
      <c r="F13574" t="inlineStr">
        <is>
          <t>PW 200</t>
        </is>
      </c>
      <c r="J13574" t="inlineStr">
        <is>
          <t>FOLTZ</t>
        </is>
      </c>
      <c r="L13574">
        <f>_xlfn.XLOOKUP(Tableau1[[#This Row],[TYPE DE PIECE]],Tableau4[MATIERE],Tableau4[SHORT TYPE],"",0,1)</f>
        <v/>
      </c>
      <c r="N13574">
        <f>IF(ISERR(FIND("DECOUPE",Tableau1[[#This Row],[DESIGNATION]])),"","NEED REF")</f>
        <v/>
      </c>
    </row>
    <row r="13575">
      <c r="B13575" t="n">
        <v>34400430</v>
      </c>
      <c r="C13575" s="2" t="n"/>
      <c r="L13575">
        <f>_xlfn.XLOOKUP(Tableau1[[#This Row],[TYPE DE PIECE]],Tableau4[MATIERE],Tableau4[SHORT TYPE],"",0,1)</f>
        <v/>
      </c>
      <c r="N13575">
        <f>IF(ISERR(FIND("DECOUPE",Tableau1[[#This Row],[DESIGNATION]])),"","NEED REF")</f>
        <v/>
      </c>
    </row>
    <row r="13576">
      <c r="B13576" t="n">
        <v>34400429</v>
      </c>
      <c r="C13576" s="2" t="n">
        <v>37803</v>
      </c>
      <c r="D13576" t="inlineStr">
        <is>
          <t>CDC</t>
        </is>
      </c>
      <c r="E13576" t="inlineStr">
        <is>
          <t xml:space="preserve">PMM adapté (avec DJ bi et tri) </t>
        </is>
      </c>
      <c r="F13576" t="inlineStr">
        <is>
          <t>PMM</t>
        </is>
      </c>
      <c r="J13576" t="inlineStr">
        <is>
          <t>FERRIER</t>
        </is>
      </c>
      <c r="L13576">
        <f>_xlfn.XLOOKUP(Tableau1[[#This Row],[TYPE DE PIECE]],Tableau4[MATIERE],Tableau4[SHORT TYPE],"",0,1)</f>
        <v/>
      </c>
      <c r="N13576">
        <f>IF(ISERR(FIND("DECOUPE",Tableau1[[#This Row],[DESIGNATION]])),"","NEED REF")</f>
        <v/>
      </c>
    </row>
    <row r="13577">
      <c r="B13577" t="n">
        <v>34400428</v>
      </c>
      <c r="C13577" s="2" t="n">
        <v>37803</v>
      </c>
      <c r="D13577" t="inlineStr">
        <is>
          <t>CDC</t>
        </is>
      </c>
      <c r="E13577" t="inlineStr">
        <is>
          <t>Skid pour Galaxy PW 40kva + 2 arm batterie</t>
        </is>
      </c>
      <c r="F13577" t="inlineStr">
        <is>
          <t>GALAXY PW 04KVA</t>
        </is>
      </c>
      <c r="J13577" t="inlineStr">
        <is>
          <t>REVEL</t>
        </is>
      </c>
      <c r="L13577">
        <f>_xlfn.XLOOKUP(Tableau1[[#This Row],[TYPE DE PIECE]],Tableau4[MATIERE],Tableau4[SHORT TYPE],"",0,1)</f>
        <v/>
      </c>
      <c r="N13577">
        <f>IF(ISERR(FIND("DECOUPE",Tableau1[[#This Row],[DESIGNATION]])),"","NEED REF")</f>
        <v/>
      </c>
    </row>
    <row r="13578">
      <c r="B13578" t="n">
        <v>34400427</v>
      </c>
      <c r="C13578" s="2" t="n">
        <v>37802</v>
      </c>
      <c r="D13578" t="inlineStr">
        <is>
          <t>NOM</t>
        </is>
      </c>
      <c r="E13578" t="inlineStr">
        <is>
          <t>LG IP 32 PEINTURE STANDARD</t>
        </is>
      </c>
      <c r="F13578" t="inlineStr">
        <is>
          <t>GALAXY PW 80-120kVA</t>
        </is>
      </c>
      <c r="J13578" t="inlineStr">
        <is>
          <t>ROBERT</t>
        </is>
      </c>
      <c r="L13578">
        <f>_xlfn.XLOOKUP(Tableau1[[#This Row],[TYPE DE PIECE]],Tableau4[MATIERE],Tableau4[SHORT TYPE],"",0,1)</f>
        <v/>
      </c>
      <c r="N13578">
        <f>IF(ISERR(FIND("DECOUPE",Tableau1[[#This Row],[DESIGNATION]])),"","NEED REF")</f>
        <v/>
      </c>
    </row>
    <row r="13579">
      <c r="B13579" t="n">
        <v>34400426</v>
      </c>
      <c r="C13579" s="2" t="n">
        <v>37799</v>
      </c>
      <c r="D13579" t="inlineStr">
        <is>
          <t>CDC</t>
        </is>
      </c>
      <c r="E13579" t="inlineStr">
        <is>
          <t>Skid pour Galaxy PW 30kva + arm distrib</t>
        </is>
      </c>
      <c r="F13579" t="inlineStr">
        <is>
          <t>GALAXY PW 30KVA</t>
        </is>
      </c>
      <c r="J13579" t="inlineStr">
        <is>
          <t>REVEL</t>
        </is>
      </c>
      <c r="L13579">
        <f>_xlfn.XLOOKUP(Tableau1[[#This Row],[TYPE DE PIECE]],Tableau4[MATIERE],Tableau4[SHORT TYPE],"",0,1)</f>
        <v/>
      </c>
      <c r="N13579">
        <f>IF(ISERR(FIND("DECOUPE",Tableau1[[#This Row],[DESIGNATION]])),"","NEED REF")</f>
        <v/>
      </c>
    </row>
    <row r="13580">
      <c r="B13580" t="n">
        <v>34400425</v>
      </c>
      <c r="C13580" s="2" t="n">
        <v>37799</v>
      </c>
      <c r="D13580" t="inlineStr">
        <is>
          <t>DOC</t>
        </is>
      </c>
      <c r="E13580" t="inlineStr">
        <is>
          <t>Schéma d'installation "standard"</t>
        </is>
      </c>
      <c r="F13580" t="inlineStr">
        <is>
          <t>GALAXY MODULAIRE 300kVA DP Ia&lt;5In</t>
        </is>
      </c>
      <c r="J13580" t="inlineStr">
        <is>
          <t>FERRIER</t>
        </is>
      </c>
      <c r="L13580">
        <f>_xlfn.XLOOKUP(Tableau1[[#This Row],[TYPE DE PIECE]],Tableau4[MATIERE],Tableau4[SHORT TYPE],"",0,1)</f>
        <v/>
      </c>
      <c r="N13580">
        <f>IF(ISERR(FIND("DECOUPE",Tableau1[[#This Row],[DESIGNATION]])),"","NEED REF")</f>
        <v/>
      </c>
    </row>
    <row r="13581">
      <c r="B13581" t="n">
        <v>34400424</v>
      </c>
      <c r="C13581" s="2" t="n">
        <v>37799</v>
      </c>
      <c r="D13581" t="inlineStr">
        <is>
          <t>NOM</t>
        </is>
      </c>
      <c r="E13581" t="inlineStr">
        <is>
          <t xml:space="preserve">CPI EM9 pour arm aux </t>
        </is>
      </c>
      <c r="F13581" t="inlineStr">
        <is>
          <t>Toutes gamme</t>
        </is>
      </c>
      <c r="J13581" t="inlineStr">
        <is>
          <t>REVEL</t>
        </is>
      </c>
      <c r="L13581">
        <f>_xlfn.XLOOKUP(Tableau1[[#This Row],[TYPE DE PIECE]],Tableau4[MATIERE],Tableau4[SHORT TYPE],"",0,1)</f>
        <v/>
      </c>
      <c r="N13581">
        <f>IF(ISERR(FIND("DECOUPE",Tableau1[[#This Row],[DESIGNATION]])),"","NEED REF")</f>
        <v/>
      </c>
    </row>
    <row r="13582">
      <c r="B13582" t="n">
        <v>34400423</v>
      </c>
      <c r="C13582" s="2" t="n">
        <v>37799</v>
      </c>
      <c r="D13582" t="inlineStr">
        <is>
          <t>SPEC</t>
        </is>
      </c>
      <c r="E13582" t="inlineStr">
        <is>
          <t>Porte IP22 avec decoupe EM9</t>
        </is>
      </c>
      <c r="F13582" t="inlineStr">
        <is>
          <t>Arm aux 715*1900</t>
        </is>
      </c>
      <c r="J13582" t="inlineStr">
        <is>
          <t>REVEL</t>
        </is>
      </c>
      <c r="L13582">
        <f>_xlfn.XLOOKUP(Tableau1[[#This Row],[TYPE DE PIECE]],Tableau4[MATIERE],Tableau4[SHORT TYPE],"",0,1)</f>
        <v/>
      </c>
      <c r="N13582">
        <f>IF(ISERR(FIND("DECOUPE",Tableau1[[#This Row],[DESIGNATION]])),"","NEED REF")</f>
        <v/>
      </c>
    </row>
    <row r="13583">
      <c r="B13583" t="n">
        <v>34400422</v>
      </c>
      <c r="C13583" s="2" t="n">
        <v>37799</v>
      </c>
      <c r="D13583" t="inlineStr">
        <is>
          <t>NOM</t>
        </is>
      </c>
      <c r="E13583" t="inlineStr">
        <is>
          <t>IP22 couleur special avec EM9</t>
        </is>
      </c>
      <c r="F13583" t="inlineStr">
        <is>
          <t>Arm aux 715*1900</t>
        </is>
      </c>
      <c r="J13583" t="inlineStr">
        <is>
          <t>REVEL</t>
        </is>
      </c>
      <c r="L13583">
        <f>_xlfn.XLOOKUP(Tableau1[[#This Row],[TYPE DE PIECE]],Tableau4[MATIERE],Tableau4[SHORT TYPE],"",0,1)</f>
        <v/>
      </c>
      <c r="N13583">
        <f>IF(ISERR(FIND("DECOUPE",Tableau1[[#This Row],[DESIGNATION]])),"","NEED REF")</f>
        <v/>
      </c>
    </row>
    <row r="13584">
      <c r="B13584" t="n">
        <v>34400421</v>
      </c>
      <c r="C13584" s="2" t="n">
        <v>37798</v>
      </c>
      <c r="D13584" t="inlineStr">
        <is>
          <t>SPEC</t>
        </is>
      </c>
      <c r="E13584" t="inlineStr">
        <is>
          <t>Remplacement ASI dans cellule</t>
        </is>
      </c>
      <c r="F13584" t="inlineStr">
        <is>
          <t>G 3000 30kVA</t>
        </is>
      </c>
      <c r="J13584" t="inlineStr">
        <is>
          <t>ROBERT</t>
        </is>
      </c>
      <c r="L13584">
        <f>_xlfn.XLOOKUP(Tableau1[[#This Row],[TYPE DE PIECE]],Tableau4[MATIERE],Tableau4[SHORT TYPE],"",0,1)</f>
        <v/>
      </c>
      <c r="N13584">
        <f>IF(ISERR(FIND("DECOUPE",Tableau1[[#This Row],[DESIGNATION]])),"","NEED REF")</f>
        <v/>
      </c>
    </row>
    <row r="13585">
      <c r="B13585" t="n">
        <v>34400420</v>
      </c>
      <c r="C13585" s="2" t="n">
        <v>37797</v>
      </c>
      <c r="D13585" t="inlineStr">
        <is>
          <t>NOM</t>
        </is>
      </c>
      <c r="E13585" t="inlineStr">
        <is>
          <t>IP22 couleur special</t>
        </is>
      </c>
      <c r="F13585" t="inlineStr">
        <is>
          <t>Arm bat PW 715*1900</t>
        </is>
      </c>
      <c r="J13585" t="inlineStr">
        <is>
          <t>REVEL</t>
        </is>
      </c>
      <c r="L13585">
        <f>_xlfn.XLOOKUP(Tableau1[[#This Row],[TYPE DE PIECE]],Tableau4[MATIERE],Tableau4[SHORT TYPE],"",0,1)</f>
        <v/>
      </c>
      <c r="N13585">
        <f>IF(ISERR(FIND("DECOUPE",Tableau1[[#This Row],[DESIGNATION]])),"","NEED REF")</f>
        <v/>
      </c>
    </row>
    <row r="13586">
      <c r="B13586" t="n">
        <v>34400419</v>
      </c>
      <c r="C13586" s="2" t="n">
        <v>37795</v>
      </c>
      <c r="D13586" t="inlineStr">
        <is>
          <t>CDC</t>
        </is>
      </c>
      <c r="E13586" t="inlineStr">
        <is>
          <t>Pulsar Extreme 3kVA CLA</t>
        </is>
      </c>
      <c r="F13586" t="inlineStr">
        <is>
          <t>Pulsar Extreme 3kVA</t>
        </is>
      </c>
      <c r="J13586" t="inlineStr">
        <is>
          <t>REVEL</t>
        </is>
      </c>
      <c r="L13586">
        <f>_xlfn.XLOOKUP(Tableau1[[#This Row],[TYPE DE PIECE]],Tableau4[MATIERE],Tableau4[SHORT TYPE],"",0,1)</f>
        <v/>
      </c>
      <c r="N13586">
        <f>IF(ISERR(FIND("DECOUPE",Tableau1[[#This Row],[DESIGNATION]])),"","NEED REF")</f>
        <v/>
      </c>
    </row>
    <row r="13587">
      <c r="B13587" t="n">
        <v>34400418</v>
      </c>
      <c r="C13587" s="2" t="n">
        <v>37788</v>
      </c>
      <c r="D13587" t="inlineStr">
        <is>
          <t>CDC</t>
        </is>
      </c>
      <c r="E13587" t="inlineStr">
        <is>
          <t>Caillebotis marine 26 P12V1220</t>
        </is>
      </c>
      <c r="F13587" t="inlineStr">
        <is>
          <t xml:space="preserve">Galaxy 3000 </t>
        </is>
      </c>
      <c r="J13587" t="inlineStr">
        <is>
          <t>REVEL</t>
        </is>
      </c>
      <c r="L13587">
        <f>_xlfn.XLOOKUP(Tableau1[[#This Row],[TYPE DE PIECE]],Tableau4[MATIERE],Tableau4[SHORT TYPE],"",0,1)</f>
        <v/>
      </c>
      <c r="N13587">
        <f>IF(ISERR(FIND("DECOUPE",Tableau1[[#This Row],[DESIGNATION]])),"","NEED REF")</f>
        <v/>
      </c>
    </row>
    <row r="13588">
      <c r="B13588" t="n">
        <v>34400417</v>
      </c>
      <c r="C13588" s="2" t="n">
        <v>37785</v>
      </c>
      <c r="D13588" t="inlineStr">
        <is>
          <t>SPEC</t>
        </is>
      </c>
      <c r="E13588" t="inlineStr">
        <is>
          <t>Plan de fixation UPScontrol</t>
        </is>
      </c>
      <c r="F13588" t="inlineStr">
        <is>
          <t>Toutes gamme</t>
        </is>
      </c>
      <c r="J13588" t="inlineStr">
        <is>
          <t>REVEL</t>
        </is>
      </c>
      <c r="L13588">
        <f>_xlfn.XLOOKUP(Tableau1[[#This Row],[TYPE DE PIECE]],Tableau4[MATIERE],Tableau4[SHORT TYPE],"",0,1)</f>
        <v/>
      </c>
      <c r="N13588">
        <f>IF(ISERR(FIND("DECOUPE",Tableau1[[#This Row],[DESIGNATION]])),"","NEED REF")</f>
        <v/>
      </c>
    </row>
    <row r="13589">
      <c r="B13589" t="n">
        <v>34400416</v>
      </c>
      <c r="C13589" s="2" t="n">
        <v>37783</v>
      </c>
      <c r="D13589" t="inlineStr">
        <is>
          <t>SPEC</t>
        </is>
      </c>
      <c r="E13589" t="inlineStr">
        <is>
          <t>Toron synchro coffret-onduleur 50m</t>
        </is>
      </c>
      <c r="F13589" t="inlineStr">
        <is>
          <t>GALAXY / GALAXYPW</t>
        </is>
      </c>
      <c r="J13589" t="inlineStr">
        <is>
          <t>FERRIER</t>
        </is>
      </c>
      <c r="L13589">
        <f>_xlfn.XLOOKUP(Tableau1[[#This Row],[TYPE DE PIECE]],Tableau4[MATIERE],Tableau4[SHORT TYPE],"",0,1)</f>
        <v/>
      </c>
      <c r="N13589">
        <f>IF(ISERR(FIND("DECOUPE",Tableau1[[#This Row],[DESIGNATION]])),"","NEED REF")</f>
        <v/>
      </c>
    </row>
    <row r="13590">
      <c r="B13590" t="n">
        <v>34400415</v>
      </c>
      <c r="C13590" s="2" t="n">
        <v>37783</v>
      </c>
      <c r="D13590" t="inlineStr">
        <is>
          <t>SPEC</t>
        </is>
      </c>
      <c r="E13590" t="inlineStr">
        <is>
          <t>Toron synchro coffret-onduleur 40m</t>
        </is>
      </c>
      <c r="F13590" t="inlineStr">
        <is>
          <t>GALAXY / GALAXYPW</t>
        </is>
      </c>
      <c r="J13590" t="inlineStr">
        <is>
          <t>FERRIER</t>
        </is>
      </c>
      <c r="L13590">
        <f>_xlfn.XLOOKUP(Tableau1[[#This Row],[TYPE DE PIECE]],Tableau4[MATIERE],Tableau4[SHORT TYPE],"",0,1)</f>
        <v/>
      </c>
      <c r="N13590">
        <f>IF(ISERR(FIND("DECOUPE",Tableau1[[#This Row],[DESIGNATION]])),"","NEED REF")</f>
        <v/>
      </c>
    </row>
    <row r="13591">
      <c r="B13591" t="n">
        <v>34400414</v>
      </c>
      <c r="C13591" s="2" t="n">
        <v>37783</v>
      </c>
      <c r="D13591" t="inlineStr">
        <is>
          <t>SPEC</t>
        </is>
      </c>
      <c r="E13591" t="inlineStr">
        <is>
          <t>Toron synchro coffret-onduleur 30m</t>
        </is>
      </c>
      <c r="F13591" t="inlineStr">
        <is>
          <t>GALAXY / GALAXYPW</t>
        </is>
      </c>
      <c r="J13591" t="inlineStr">
        <is>
          <t>FERRIER</t>
        </is>
      </c>
      <c r="L13591">
        <f>_xlfn.XLOOKUP(Tableau1[[#This Row],[TYPE DE PIECE]],Tableau4[MATIERE],Tableau4[SHORT TYPE],"",0,1)</f>
        <v/>
      </c>
      <c r="N13591">
        <f>IF(ISERR(FIND("DECOUPE",Tableau1[[#This Row],[DESIGNATION]])),"","NEED REF")</f>
        <v/>
      </c>
    </row>
    <row r="13592">
      <c r="B13592" t="n">
        <v>34400413</v>
      </c>
      <c r="C13592" s="2" t="n">
        <v>37783</v>
      </c>
      <c r="D13592" t="inlineStr">
        <is>
          <t>SPEC</t>
        </is>
      </c>
      <c r="E13592" t="inlineStr">
        <is>
          <t>Toron synchro coffret-onduleur 20m</t>
        </is>
      </c>
      <c r="F13592" t="inlineStr">
        <is>
          <t>GALAXY / GALAXYPW</t>
        </is>
      </c>
      <c r="J13592" t="inlineStr">
        <is>
          <t>FERRIER</t>
        </is>
      </c>
      <c r="L13592">
        <f>_xlfn.XLOOKUP(Tableau1[[#This Row],[TYPE DE PIECE]],Tableau4[MATIERE],Tableau4[SHORT TYPE],"",0,1)</f>
        <v/>
      </c>
      <c r="N13592">
        <f>IF(ISERR(FIND("DECOUPE",Tableau1[[#This Row],[DESIGNATION]])),"","NEED REF")</f>
        <v/>
      </c>
    </row>
    <row r="13593">
      <c r="B13593" t="n">
        <v>34400412</v>
      </c>
      <c r="C13593" s="2" t="n">
        <v>37782</v>
      </c>
      <c r="D13593" t="inlineStr">
        <is>
          <t>CDC</t>
        </is>
      </c>
      <c r="E13593" t="inlineStr">
        <is>
          <t>Armoire double FAH 400kVA</t>
        </is>
      </c>
      <c r="F13593" t="inlineStr">
        <is>
          <t>Galaxy 400kva</t>
        </is>
      </c>
      <c r="J13593" t="inlineStr">
        <is>
          <t>REVEL</t>
        </is>
      </c>
      <c r="L13593">
        <f>_xlfn.XLOOKUP(Tableau1[[#This Row],[TYPE DE PIECE]],Tableau4[MATIERE],Tableau4[SHORT TYPE],"",0,1)</f>
        <v/>
      </c>
      <c r="N13593">
        <f>IF(ISERR(FIND("DECOUPE",Tableau1[[#This Row],[DESIGNATION]])),"","NEED REF")</f>
        <v/>
      </c>
    </row>
    <row r="13594">
      <c r="B13594" t="n">
        <v>34400411</v>
      </c>
      <c r="C13594" s="2" t="n">
        <v>37776</v>
      </c>
      <c r="D13594" t="inlineStr">
        <is>
          <t>DOC</t>
        </is>
      </c>
      <c r="E13594" t="inlineStr">
        <is>
          <t>Dossier d'adaptation des GALAXY 300kVA P (double NS actifs + ,,,)</t>
        </is>
      </c>
      <c r="F13594" t="inlineStr">
        <is>
          <t>BNP PARIBAS</t>
        </is>
      </c>
      <c r="J13594" t="inlineStr">
        <is>
          <t>FERRIER</t>
        </is>
      </c>
      <c r="L13594">
        <f>_xlfn.XLOOKUP(Tableau1[[#This Row],[TYPE DE PIECE]],Tableau4[MATIERE],Tableau4[SHORT TYPE],"",0,1)</f>
        <v/>
      </c>
      <c r="N13594">
        <f>IF(ISERR(FIND("DECOUPE",Tableau1[[#This Row],[DESIGNATION]])),"","NEED REF")</f>
        <v/>
      </c>
    </row>
    <row r="13595">
      <c r="B13595" t="n">
        <v>34400410</v>
      </c>
      <c r="C13595" s="2" t="n">
        <v>37775</v>
      </c>
      <c r="D13595" t="inlineStr">
        <is>
          <t>CDC</t>
        </is>
      </c>
      <c r="E13595" t="inlineStr">
        <is>
          <t>Skid support ASI</t>
        </is>
      </c>
      <c r="F13595" t="inlineStr">
        <is>
          <t>Galaxy 3000 20kva</t>
        </is>
      </c>
      <c r="J13595" t="inlineStr">
        <is>
          <t>REVEL</t>
        </is>
      </c>
      <c r="L13595">
        <f>_xlfn.XLOOKUP(Tableau1[[#This Row],[TYPE DE PIECE]],Tableau4[MATIERE],Tableau4[SHORT TYPE],"",0,1)</f>
        <v/>
      </c>
      <c r="N13595">
        <f>IF(ISERR(FIND("DECOUPE",Tableau1[[#This Row],[DESIGNATION]])),"","NEED REF")</f>
        <v/>
      </c>
    </row>
    <row r="13596">
      <c r="B13596" t="n">
        <v>34400409</v>
      </c>
      <c r="C13596" s="2" t="n">
        <v>37775</v>
      </c>
      <c r="D13596" t="inlineStr">
        <is>
          <t>NOM</t>
        </is>
      </c>
      <c r="E13596" t="inlineStr">
        <is>
          <t>Legende IP22</t>
        </is>
      </c>
      <c r="F13596" t="inlineStr">
        <is>
          <t>Galaxy 3000 10-15KVA</t>
        </is>
      </c>
      <c r="J13596" t="inlineStr">
        <is>
          <t>REVEL</t>
        </is>
      </c>
      <c r="L13596">
        <f>_xlfn.XLOOKUP(Tableau1[[#This Row],[TYPE DE PIECE]],Tableau4[MATIERE],Tableau4[SHORT TYPE],"",0,1)</f>
        <v/>
      </c>
      <c r="N13596">
        <f>IF(ISERR(FIND("DECOUPE",Tableau1[[#This Row],[DESIGNATION]])),"","NEED REF")</f>
        <v/>
      </c>
    </row>
    <row r="13597">
      <c r="B13597" t="n">
        <v>34400408</v>
      </c>
      <c r="C13597" s="2" t="n">
        <v>37774</v>
      </c>
      <c r="D13597" t="inlineStr">
        <is>
          <t>SPEC</t>
        </is>
      </c>
      <c r="E13597" t="inlineStr">
        <is>
          <t>Kit toron puissance</t>
        </is>
      </c>
      <c r="F13597" t="inlineStr">
        <is>
          <t>GALAXY300 DOUBLE PONT</t>
        </is>
      </c>
      <c r="J13597" t="inlineStr">
        <is>
          <t>FERRIER</t>
        </is>
      </c>
      <c r="L13597">
        <f>_xlfn.XLOOKUP(Tableau1[[#This Row],[TYPE DE PIECE]],Tableau4[MATIERE],Tableau4[SHORT TYPE],"",0,1)</f>
        <v/>
      </c>
      <c r="N13597">
        <f>IF(ISERR(FIND("DECOUPE",Tableau1[[#This Row],[DESIGNATION]])),"","NEED REF")</f>
        <v/>
      </c>
    </row>
    <row r="13598">
      <c r="B13598" t="n">
        <v>34400407</v>
      </c>
      <c r="C13598" s="2" t="n">
        <v>37774</v>
      </c>
      <c r="D13598" t="inlineStr">
        <is>
          <t>NOM</t>
        </is>
      </c>
      <c r="E13598" t="inlineStr">
        <is>
          <t>Legende IP22</t>
        </is>
      </c>
      <c r="F13598" t="inlineStr">
        <is>
          <t>Galaxy 3000 20-30kVA</t>
        </is>
      </c>
      <c r="J13598" t="inlineStr">
        <is>
          <t>REVEL</t>
        </is>
      </c>
      <c r="L13598">
        <f>_xlfn.XLOOKUP(Tableau1[[#This Row],[TYPE DE PIECE]],Tableau4[MATIERE],Tableau4[SHORT TYPE],"",0,1)</f>
        <v/>
      </c>
      <c r="N13598">
        <f>IF(ISERR(FIND("DECOUPE",Tableau1[[#This Row],[DESIGNATION]])),"","NEED REF")</f>
        <v/>
      </c>
    </row>
    <row r="13599">
      <c r="B13599" t="n">
        <v>34400406</v>
      </c>
      <c r="C13599" s="2" t="n">
        <v>37767</v>
      </c>
      <c r="D13599" t="inlineStr">
        <is>
          <t>CDC</t>
        </is>
      </c>
      <c r="E13599" t="inlineStr">
        <is>
          <t>Filtre anti poussiere pour PW 120kva</t>
        </is>
      </c>
      <c r="F13599" t="inlineStr">
        <is>
          <t>Galaxy PW 120kVA</t>
        </is>
      </c>
      <c r="J13599" t="inlineStr">
        <is>
          <t>REVEL</t>
        </is>
      </c>
      <c r="L13599">
        <f>_xlfn.XLOOKUP(Tableau1[[#This Row],[TYPE DE PIECE]],Tableau4[MATIERE],Tableau4[SHORT TYPE],"",0,1)</f>
        <v/>
      </c>
      <c r="N13599">
        <f>IF(ISERR(FIND("DECOUPE",Tableau1[[#This Row],[DESIGNATION]])),"","NEED REF")</f>
        <v/>
      </c>
    </row>
    <row r="13600">
      <c r="B13600" t="n">
        <v>34400405</v>
      </c>
      <c r="C13600" s="2" t="n">
        <v>37764</v>
      </c>
      <c r="D13600" t="inlineStr">
        <is>
          <t>NOM</t>
        </is>
      </c>
      <c r="E13600" t="inlineStr">
        <is>
          <t>SYTEME COUPLAGE BATTERIE</t>
        </is>
      </c>
      <c r="F13600" t="inlineStr">
        <is>
          <t>GALAXY 120-160kVA</t>
        </is>
      </c>
      <c r="J13600" t="inlineStr">
        <is>
          <t>FOLTZ</t>
        </is>
      </c>
      <c r="L13600">
        <f>_xlfn.XLOOKUP(Tableau1[[#This Row],[TYPE DE PIECE]],Tableau4[MATIERE],Tableau4[SHORT TYPE],"",0,1)</f>
        <v/>
      </c>
      <c r="N13600">
        <f>IF(ISERR(FIND("DECOUPE",Tableau1[[#This Row],[DESIGNATION]])),"","NEED REF")</f>
        <v/>
      </c>
    </row>
    <row r="13601">
      <c r="B13601" t="n">
        <v>34400404</v>
      </c>
      <c r="C13601" s="2" t="n">
        <v>37762</v>
      </c>
      <c r="D13601" t="inlineStr">
        <is>
          <t>DOC</t>
        </is>
      </c>
      <c r="E13601" t="inlineStr">
        <is>
          <t>Notice de transformation U/UP</t>
        </is>
      </c>
      <c r="F13601" t="inlineStr">
        <is>
          <t>GALAXY 400kVA IGBT</t>
        </is>
      </c>
      <c r="J13601" t="inlineStr">
        <is>
          <t>FERRIER</t>
        </is>
      </c>
      <c r="L13601">
        <f>_xlfn.XLOOKUP(Tableau1[[#This Row],[TYPE DE PIECE]],Tableau4[MATIERE],Tableau4[SHORT TYPE],"",0,1)</f>
        <v/>
      </c>
      <c r="N13601">
        <f>IF(ISERR(FIND("DECOUPE",Tableau1[[#This Row],[DESIGNATION]])),"","NEED REF")</f>
        <v/>
      </c>
    </row>
    <row r="13602">
      <c r="B13602" t="n">
        <v>34400403</v>
      </c>
      <c r="C13602" s="2" t="n">
        <v>37760</v>
      </c>
      <c r="D13602" t="inlineStr">
        <is>
          <t>SPEC</t>
        </is>
      </c>
      <c r="E13602" t="inlineStr">
        <is>
          <t>ATFO Phase shifting + -12° 400kVA</t>
        </is>
      </c>
      <c r="F13602" t="inlineStr">
        <is>
          <t>GALAXY 400kVA</t>
        </is>
      </c>
      <c r="J13602" t="inlineStr">
        <is>
          <t>ROBERT</t>
        </is>
      </c>
      <c r="L13602">
        <f>_xlfn.XLOOKUP(Tableau1[[#This Row],[TYPE DE PIECE]],Tableau4[MATIERE],Tableau4[SHORT TYPE],"",0,1)</f>
        <v/>
      </c>
      <c r="N13602">
        <f>IF(ISERR(FIND("DECOUPE",Tableau1[[#This Row],[DESIGNATION]])),"","NEED REF")</f>
        <v/>
      </c>
    </row>
    <row r="13603">
      <c r="B13603" t="n">
        <v>34400402</v>
      </c>
      <c r="C13603" s="2" t="n">
        <v>37788</v>
      </c>
      <c r="D13603" t="inlineStr">
        <is>
          <t>NOM</t>
        </is>
      </c>
      <c r="E13603" t="inlineStr">
        <is>
          <t>Legenge IP42 PEINTE SPECIALE ARM AUX 715x1900</t>
        </is>
      </c>
      <c r="F13603" t="inlineStr">
        <is>
          <t>PW - PW1000</t>
        </is>
      </c>
      <c r="J13603" t="inlineStr">
        <is>
          <t>ÇAKIR</t>
        </is>
      </c>
      <c r="L13603">
        <f>_xlfn.XLOOKUP(Tableau1[[#This Row],[TYPE DE PIECE]],Tableau4[MATIERE],Tableau4[SHORT TYPE],"",0,1)</f>
        <v/>
      </c>
      <c r="N13603">
        <f>IF(ISERR(FIND("DECOUPE",Tableau1[[#This Row],[DESIGNATION]])),"","NEED REF")</f>
        <v/>
      </c>
    </row>
    <row r="13604">
      <c r="B13604" t="n">
        <v>34400401</v>
      </c>
      <c r="C13604" s="2" t="n">
        <v>37748</v>
      </c>
      <c r="D13604" t="inlineStr">
        <is>
          <t>DOC</t>
        </is>
      </c>
      <c r="E13604" t="inlineStr">
        <is>
          <t>Kit de TRANSFORMATION GALAXY1000PW U/PR</t>
        </is>
      </c>
      <c r="F13604" t="inlineStr">
        <is>
          <t xml:space="preserve">GALAXY1000PW </t>
        </is>
      </c>
      <c r="J13604" t="inlineStr">
        <is>
          <t>FERRIER</t>
        </is>
      </c>
      <c r="L13604">
        <f>_xlfn.XLOOKUP(Tableau1[[#This Row],[TYPE DE PIECE]],Tableau4[MATIERE],Tableau4[SHORT TYPE],"",0,1)</f>
        <v/>
      </c>
      <c r="N13604">
        <f>IF(ISERR(FIND("DECOUPE",Tableau1[[#This Row],[DESIGNATION]])),"","NEED REF")</f>
        <v/>
      </c>
    </row>
    <row r="13605">
      <c r="B13605" t="n">
        <v>34400400</v>
      </c>
      <c r="C13605" s="2" t="n">
        <v>37747</v>
      </c>
      <c r="D13605" t="inlineStr">
        <is>
          <t>NOM</t>
        </is>
      </c>
      <c r="E13605" t="inlineStr">
        <is>
          <t>Legende Pulsar EX 20 US V4</t>
        </is>
      </c>
      <c r="F13605" t="inlineStr">
        <is>
          <t>Pulsar EX 20 US</t>
        </is>
      </c>
      <c r="J13605" t="inlineStr">
        <is>
          <t>REVEL</t>
        </is>
      </c>
      <c r="L13605">
        <f>_xlfn.XLOOKUP(Tableau1[[#This Row],[TYPE DE PIECE]],Tableau4[MATIERE],Tableau4[SHORT TYPE],"",0,1)</f>
        <v/>
      </c>
      <c r="N13605">
        <f>IF(ISERR(FIND("DECOUPE",Tableau1[[#This Row],[DESIGNATION]])),"","NEED REF")</f>
        <v/>
      </c>
    </row>
    <row r="13606">
      <c r="B13606" t="n">
        <v>34400399</v>
      </c>
      <c r="C13606" s="2" t="n">
        <v>37747</v>
      </c>
      <c r="D13606" t="inlineStr">
        <is>
          <t>SPEC</t>
        </is>
      </c>
      <c r="E13606" t="inlineStr">
        <is>
          <t>Specification de peinture</t>
        </is>
      </c>
      <c r="J13606" t="inlineStr">
        <is>
          <t>REVEL</t>
        </is>
      </c>
      <c r="L13606">
        <f>_xlfn.XLOOKUP(Tableau1[[#This Row],[TYPE DE PIECE]],Tableau4[MATIERE],Tableau4[SHORT TYPE],"",0,1)</f>
        <v/>
      </c>
      <c r="N13606">
        <f>IF(ISERR(FIND("DECOUPE",Tableau1[[#This Row],[DESIGNATION]])),"","NEED REF")</f>
        <v/>
      </c>
    </row>
    <row r="13607">
      <c r="B13607" t="n">
        <v>34400398</v>
      </c>
      <c r="C13607" s="2" t="n">
        <v>37729</v>
      </c>
      <c r="D13607" t="inlineStr">
        <is>
          <t>SPEC</t>
        </is>
      </c>
      <c r="E13607" t="inlineStr">
        <is>
          <t>Rail support G3000 15KVA batterie</t>
        </is>
      </c>
      <c r="F13607" t="inlineStr">
        <is>
          <t>G3000 15kVA</t>
        </is>
      </c>
      <c r="J13607" t="inlineStr">
        <is>
          <t>REVEL</t>
        </is>
      </c>
      <c r="L13607">
        <f>_xlfn.XLOOKUP(Tableau1[[#This Row],[TYPE DE PIECE]],Tableau4[MATIERE],Tableau4[SHORT TYPE],"",0,1)</f>
        <v/>
      </c>
      <c r="N13607">
        <f>IF(ISERR(FIND("DECOUPE",Tableau1[[#This Row],[DESIGNATION]])),"","NEED REF")</f>
        <v/>
      </c>
    </row>
    <row r="13608">
      <c r="B13608" t="n">
        <v>34400397</v>
      </c>
      <c r="C13608" s="2" t="n">
        <v>37729</v>
      </c>
      <c r="D13608" t="inlineStr">
        <is>
          <t>NOM</t>
        </is>
      </c>
      <c r="E13608" t="inlineStr">
        <is>
          <t>Legende IP22 couleur spe</t>
        </is>
      </c>
      <c r="F13608" t="inlineStr">
        <is>
          <t>Arm aux bat G3000 L=600</t>
        </is>
      </c>
      <c r="J13608" t="inlineStr">
        <is>
          <t>REVEL</t>
        </is>
      </c>
      <c r="L13608">
        <f>_xlfn.XLOOKUP(Tableau1[[#This Row],[TYPE DE PIECE]],Tableau4[MATIERE],Tableau4[SHORT TYPE],"",0,1)</f>
        <v/>
      </c>
      <c r="N13608">
        <f>IF(ISERR(FIND("DECOUPE",Tableau1[[#This Row],[DESIGNATION]])),"","NEED REF")</f>
        <v/>
      </c>
    </row>
    <row r="13609">
      <c r="B13609" t="n">
        <v>34400396</v>
      </c>
      <c r="C13609" s="2" t="n">
        <v>37729</v>
      </c>
      <c r="D13609" t="inlineStr">
        <is>
          <t>SPEC</t>
        </is>
      </c>
      <c r="E13609" t="inlineStr">
        <is>
          <t>Panneau arriere IP22</t>
        </is>
      </c>
      <c r="F13609" t="inlineStr">
        <is>
          <t>G3000 arm aux bat 10/15KVA</t>
        </is>
      </c>
      <c r="J13609" t="inlineStr">
        <is>
          <t>REVEL</t>
        </is>
      </c>
      <c r="L13609">
        <f>_xlfn.XLOOKUP(Tableau1[[#This Row],[TYPE DE PIECE]],Tableau4[MATIERE],Tableau4[SHORT TYPE],"",0,1)</f>
        <v/>
      </c>
      <c r="N13609">
        <f>IF(ISERR(FIND("DECOUPE",Tableau1[[#This Row],[DESIGNATION]])),"","NEED REF")</f>
        <v/>
      </c>
    </row>
    <row r="13610">
      <c r="B13610" t="n">
        <v>34400395</v>
      </c>
      <c r="C13610" s="2" t="n">
        <v>37729</v>
      </c>
      <c r="D13610" t="inlineStr">
        <is>
          <t>NOM</t>
        </is>
      </c>
      <c r="E13610" t="inlineStr">
        <is>
          <t>Legende blocage porte ouverte</t>
        </is>
      </c>
      <c r="F13610" t="inlineStr">
        <is>
          <t>Galaxy 3000</t>
        </is>
      </c>
      <c r="J13610" t="inlineStr">
        <is>
          <t>REVEL</t>
        </is>
      </c>
      <c r="L13610">
        <f>_xlfn.XLOOKUP(Tableau1[[#This Row],[TYPE DE PIECE]],Tableau4[MATIERE],Tableau4[SHORT TYPE],"",0,1)</f>
        <v/>
      </c>
      <c r="N13610">
        <f>IF(ISERR(FIND("DECOUPE",Tableau1[[#This Row],[DESIGNATION]])),"","NEED REF")</f>
        <v/>
      </c>
    </row>
    <row r="13611">
      <c r="B13611" t="n">
        <v>34400394</v>
      </c>
      <c r="C13611" s="2" t="n">
        <v>37729</v>
      </c>
      <c r="D13611" t="inlineStr">
        <is>
          <t>SPEC</t>
        </is>
      </c>
      <c r="E13611" t="inlineStr">
        <is>
          <t>Rail support G3000 15KVA</t>
        </is>
      </c>
      <c r="F13611" t="inlineStr">
        <is>
          <t>G3000 15kVA</t>
        </is>
      </c>
      <c r="J13611" t="inlineStr">
        <is>
          <t>REVEL</t>
        </is>
      </c>
      <c r="L13611">
        <f>_xlfn.XLOOKUP(Tableau1[[#This Row],[TYPE DE PIECE]],Tableau4[MATIERE],Tableau4[SHORT TYPE],"",0,1)</f>
        <v/>
      </c>
      <c r="N13611">
        <f>IF(ISERR(FIND("DECOUPE",Tableau1[[#This Row],[DESIGNATION]])),"","NEED REF")</f>
        <v/>
      </c>
    </row>
    <row r="13612">
      <c r="B13612" t="n">
        <v>34400393</v>
      </c>
      <c r="C13612" s="2" t="n">
        <v>37729</v>
      </c>
      <c r="D13612" t="inlineStr">
        <is>
          <t>NOM</t>
        </is>
      </c>
      <c r="E13612" t="inlineStr">
        <is>
          <t>Legende IP22 couleur spe</t>
        </is>
      </c>
      <c r="F13612" t="inlineStr">
        <is>
          <t>G3000 15kVA</t>
        </is>
      </c>
      <c r="J13612" t="inlineStr">
        <is>
          <t>REVEL</t>
        </is>
      </c>
      <c r="L13612">
        <f>_xlfn.XLOOKUP(Tableau1[[#This Row],[TYPE DE PIECE]],Tableau4[MATIERE],Tableau4[SHORT TYPE],"",0,1)</f>
        <v/>
      </c>
      <c r="N13612">
        <f>IF(ISERR(FIND("DECOUPE",Tableau1[[#This Row],[DESIGNATION]])),"","NEED REF")</f>
        <v/>
      </c>
    </row>
    <row r="13613">
      <c r="B13613" t="n">
        <v>34400392</v>
      </c>
      <c r="C13613" s="2" t="n">
        <v>37727</v>
      </c>
      <c r="D13613" t="inlineStr">
        <is>
          <t>SPEC</t>
        </is>
      </c>
      <c r="E13613" t="inlineStr">
        <is>
          <t>Charnière porte SAREL</t>
        </is>
      </c>
      <c r="F13613" t="inlineStr">
        <is>
          <t>Armoire climatisée SAREL</t>
        </is>
      </c>
      <c r="J13613" t="inlineStr">
        <is>
          <t>ROBERT</t>
        </is>
      </c>
      <c r="L13613">
        <f>_xlfn.XLOOKUP(Tableau1[[#This Row],[TYPE DE PIECE]],Tableau4[MATIERE],Tableau4[SHORT TYPE],"",0,1)</f>
        <v/>
      </c>
      <c r="N13613">
        <f>IF(ISERR(FIND("DECOUPE",Tableau1[[#This Row],[DESIGNATION]])),"","NEED REF")</f>
        <v/>
      </c>
    </row>
    <row r="13614">
      <c r="B13614" t="n">
        <v>34400391</v>
      </c>
      <c r="C13614" s="2" t="n">
        <v>37725</v>
      </c>
      <c r="D13614" t="inlineStr">
        <is>
          <t>CDC</t>
        </is>
      </c>
      <c r="E13614" t="inlineStr">
        <is>
          <t>Pontage R1 R2 communs</t>
        </is>
      </c>
      <c r="F13614" t="inlineStr">
        <is>
          <t>Galaxy PW 160-200kVA</t>
        </is>
      </c>
      <c r="J13614" t="inlineStr">
        <is>
          <t>REVEL</t>
        </is>
      </c>
      <c r="L13614">
        <f>_xlfn.XLOOKUP(Tableau1[[#This Row],[TYPE DE PIECE]],Tableau4[MATIERE],Tableau4[SHORT TYPE],"",0,1)</f>
        <v/>
      </c>
      <c r="N13614">
        <f>IF(ISERR(FIND("DECOUPE",Tableau1[[#This Row],[DESIGNATION]])),"","NEED REF")</f>
        <v/>
      </c>
    </row>
    <row r="13615">
      <c r="B13615" t="n">
        <v>34400390</v>
      </c>
      <c r="C13615" s="2" t="n">
        <v>37720</v>
      </c>
      <c r="D13615" t="inlineStr">
        <is>
          <t>NOM</t>
        </is>
      </c>
      <c r="E13615" t="inlineStr">
        <is>
          <t>Legende kit transformation GALAXY400 P/UP (fourniture platine new inter complète)</t>
        </is>
      </c>
      <c r="F13615" t="inlineStr">
        <is>
          <t>GALAXY400kVA IGBT</t>
        </is>
      </c>
      <c r="J13615" t="inlineStr">
        <is>
          <t>FERRIER</t>
        </is>
      </c>
      <c r="L13615">
        <f>_xlfn.XLOOKUP(Tableau1[[#This Row],[TYPE DE PIECE]],Tableau4[MATIERE],Tableau4[SHORT TYPE],"",0,1)</f>
        <v/>
      </c>
      <c r="N13615">
        <f>IF(ISERR(FIND("DECOUPE",Tableau1[[#This Row],[DESIGNATION]])),"","NEED REF")</f>
        <v/>
      </c>
    </row>
    <row r="13616">
      <c r="B13616" t="n">
        <v>34400389</v>
      </c>
      <c r="C13616" s="2" t="n">
        <v>37719</v>
      </c>
      <c r="D13616" t="inlineStr">
        <is>
          <t>NOM</t>
        </is>
      </c>
      <c r="E13616" t="inlineStr">
        <is>
          <t xml:space="preserve">Legende kit habillage avant industriel </t>
        </is>
      </c>
      <c r="F13616" t="inlineStr">
        <is>
          <t>Galaxy 3000 20-30kVA</t>
        </is>
      </c>
      <c r="J13616" t="inlineStr">
        <is>
          <t>REVEL</t>
        </is>
      </c>
      <c r="L13616">
        <f>_xlfn.XLOOKUP(Tableau1[[#This Row],[TYPE DE PIECE]],Tableau4[MATIERE],Tableau4[SHORT TYPE],"",0,1)</f>
        <v/>
      </c>
      <c r="N13616">
        <f>IF(ISERR(FIND("DECOUPE",Tableau1[[#This Row],[DESIGNATION]])),"","NEED REF")</f>
        <v/>
      </c>
    </row>
    <row r="13617">
      <c r="B13617" t="n">
        <v>34400388</v>
      </c>
      <c r="C13617" s="2" t="n">
        <v>37718</v>
      </c>
      <c r="D13617" t="inlineStr">
        <is>
          <t>CDC</t>
        </is>
      </c>
      <c r="E13617" t="inlineStr">
        <is>
          <t>Skid support transfo capote 20kVA</t>
        </is>
      </c>
      <c r="F13617" t="inlineStr">
        <is>
          <t>Galaxy 3000 20kVA</t>
        </is>
      </c>
      <c r="J13617" t="inlineStr">
        <is>
          <t>REVEL</t>
        </is>
      </c>
      <c r="L13617">
        <f>_xlfn.XLOOKUP(Tableau1[[#This Row],[TYPE DE PIECE]],Tableau4[MATIERE],Tableau4[SHORT TYPE],"",0,1)</f>
        <v/>
      </c>
      <c r="N13617">
        <f>IF(ISERR(FIND("DECOUPE",Tableau1[[#This Row],[DESIGNATION]])),"","NEED REF")</f>
        <v/>
      </c>
    </row>
    <row r="13618">
      <c r="B13618" t="n">
        <v>34400387</v>
      </c>
      <c r="C13618" s="2" t="n">
        <v>37714</v>
      </c>
      <c r="D13618" t="inlineStr">
        <is>
          <t>SPEC</t>
        </is>
      </c>
      <c r="E13618" t="inlineStr">
        <is>
          <t xml:space="preserve">Rabat pour sur toit IP22 </t>
        </is>
      </c>
      <c r="F13618" t="inlineStr">
        <is>
          <t>Galaxy PW L=1015</t>
        </is>
      </c>
      <c r="J13618" t="inlineStr">
        <is>
          <t>REVEL</t>
        </is>
      </c>
      <c r="L13618">
        <f>_xlfn.XLOOKUP(Tableau1[[#This Row],[TYPE DE PIECE]],Tableau4[MATIERE],Tableau4[SHORT TYPE],"",0,1)</f>
        <v/>
      </c>
      <c r="N13618">
        <f>IF(ISERR(FIND("DECOUPE",Tableau1[[#This Row],[DESIGNATION]])),"","NEED REF")</f>
        <v/>
      </c>
    </row>
    <row r="13619">
      <c r="B13619" t="n">
        <v>34400386</v>
      </c>
      <c r="C13619" s="2" t="n">
        <v>37714</v>
      </c>
      <c r="D13619" t="inlineStr">
        <is>
          <t>SPEC</t>
        </is>
      </c>
      <c r="E13619" t="inlineStr">
        <is>
          <t xml:space="preserve">Rabat pour sur toit IP22 </t>
        </is>
      </c>
      <c r="F13619" t="inlineStr">
        <is>
          <t>Galaxy PW L=715</t>
        </is>
      </c>
      <c r="J13619" t="inlineStr">
        <is>
          <t>REVEL</t>
        </is>
      </c>
      <c r="L13619">
        <f>_xlfn.XLOOKUP(Tableau1[[#This Row],[TYPE DE PIECE]],Tableau4[MATIERE],Tableau4[SHORT TYPE],"",0,1)</f>
        <v/>
      </c>
      <c r="N13619">
        <f>IF(ISERR(FIND("DECOUPE",Tableau1[[#This Row],[DESIGNATION]])),"","NEED REF")</f>
        <v/>
      </c>
    </row>
    <row r="13620">
      <c r="B13620" t="n">
        <v>34400385</v>
      </c>
      <c r="C13620" s="2" t="n">
        <v>37712</v>
      </c>
      <c r="D13620" t="inlineStr">
        <is>
          <t>NOM</t>
        </is>
      </c>
      <c r="E13620" t="inlineStr">
        <is>
          <t xml:space="preserve">Nomenclature COFFRET DJ COMET 15-20kVA </t>
        </is>
      </c>
      <c r="F13620" t="inlineStr">
        <is>
          <t>COMET 15-20kVA</t>
        </is>
      </c>
      <c r="J13620" t="inlineStr">
        <is>
          <t>ÇAKIR</t>
        </is>
      </c>
      <c r="L13620">
        <f>_xlfn.XLOOKUP(Tableau1[[#This Row],[TYPE DE PIECE]],Tableau4[MATIERE],Tableau4[SHORT TYPE],"",0,1)</f>
        <v/>
      </c>
      <c r="N13620">
        <f>IF(ISERR(FIND("DECOUPE",Tableau1[[#This Row],[DESIGNATION]])),"","NEED REF")</f>
        <v/>
      </c>
    </row>
    <row r="13621">
      <c r="B13621" t="n">
        <v>34400384</v>
      </c>
      <c r="C13621" s="2" t="n">
        <v>37712</v>
      </c>
      <c r="D13621" t="inlineStr">
        <is>
          <t>NOM</t>
        </is>
      </c>
      <c r="E13621" t="inlineStr">
        <is>
          <t xml:space="preserve">Nomenclature COFFRET DJ COMET 5-10kVA </t>
        </is>
      </c>
      <c r="F13621" t="inlineStr">
        <is>
          <t>COMET 5-10kVA</t>
        </is>
      </c>
      <c r="J13621" t="inlineStr">
        <is>
          <t>ÇAKIR</t>
        </is>
      </c>
      <c r="L13621">
        <f>_xlfn.XLOOKUP(Tableau1[[#This Row],[TYPE DE PIECE]],Tableau4[MATIERE],Tableau4[SHORT TYPE],"",0,1)</f>
        <v/>
      </c>
      <c r="N13621">
        <f>IF(ISERR(FIND("DECOUPE",Tableau1[[#This Row],[DESIGNATION]])),"","NEED REF")</f>
        <v/>
      </c>
    </row>
    <row r="13622">
      <c r="B13622" t="n">
        <v>34400383</v>
      </c>
      <c r="C13622" s="2" t="n">
        <v>37711</v>
      </c>
      <c r="D13622" t="inlineStr">
        <is>
          <t>NOM</t>
        </is>
      </c>
      <c r="E13622" t="inlineStr">
        <is>
          <t>Nomenclature IP42 GALAXY PW 20 à 60k</t>
        </is>
      </c>
      <c r="F13622" t="inlineStr">
        <is>
          <t>GALAXY PW</t>
        </is>
      </c>
      <c r="J13622" t="inlineStr">
        <is>
          <t>ROBERT</t>
        </is>
      </c>
      <c r="L13622">
        <f>_xlfn.XLOOKUP(Tableau1[[#This Row],[TYPE DE PIECE]],Tableau4[MATIERE],Tableau4[SHORT TYPE],"",0,1)</f>
        <v/>
      </c>
      <c r="N13622">
        <f>IF(ISERR(FIND("DECOUPE",Tableau1[[#This Row],[DESIGNATION]])),"","NEED REF")</f>
        <v/>
      </c>
    </row>
    <row r="13623">
      <c r="B13623" t="n">
        <v>34400382</v>
      </c>
      <c r="C13623" s="2" t="n">
        <v>37707</v>
      </c>
      <c r="D13623" t="inlineStr">
        <is>
          <t>DOC</t>
        </is>
      </c>
      <c r="E13623" t="inlineStr">
        <is>
          <t>Dossier d'adaptation GALAXY300kVA P</t>
        </is>
      </c>
      <c r="F13623" t="inlineStr">
        <is>
          <t>Affaire ATOS</t>
        </is>
      </c>
      <c r="J13623" t="inlineStr">
        <is>
          <t>FERRIER</t>
        </is>
      </c>
      <c r="L13623">
        <f>_xlfn.XLOOKUP(Tableau1[[#This Row],[TYPE DE PIECE]],Tableau4[MATIERE],Tableau4[SHORT TYPE],"",0,1)</f>
        <v/>
      </c>
      <c r="N13623">
        <f>IF(ISERR(FIND("DECOUPE",Tableau1[[#This Row],[DESIGNATION]])),"","NEED REF")</f>
        <v/>
      </c>
    </row>
    <row r="13624">
      <c r="B13624" t="n">
        <v>34400381</v>
      </c>
      <c r="C13624" s="2" t="n">
        <v>37707</v>
      </c>
      <c r="D13624" t="inlineStr">
        <is>
          <t>SPEC</t>
        </is>
      </c>
      <c r="E13624" t="inlineStr">
        <is>
          <t>Cable de liaison coffret synchro carte SYNI</t>
        </is>
      </c>
      <c r="F13624" t="inlineStr">
        <is>
          <t>Coffret synchro</t>
        </is>
      </c>
      <c r="J13624" t="inlineStr">
        <is>
          <t>REVEL</t>
        </is>
      </c>
      <c r="L13624">
        <f>_xlfn.XLOOKUP(Tableau1[[#This Row],[TYPE DE PIECE]],Tableau4[MATIERE],Tableau4[SHORT TYPE],"",0,1)</f>
        <v/>
      </c>
      <c r="N13624">
        <f>IF(ISERR(FIND("DECOUPE",Tableau1[[#This Row],[DESIGNATION]])),"","NEED REF")</f>
        <v/>
      </c>
    </row>
    <row r="13625">
      <c r="B13625" t="n">
        <v>34400380</v>
      </c>
      <c r="C13625" s="2" t="n">
        <v>37704</v>
      </c>
      <c r="D13625" t="inlineStr">
        <is>
          <t>NOM</t>
        </is>
      </c>
      <c r="E13625" t="inlineStr">
        <is>
          <t>Kit transformation CF en PR</t>
        </is>
      </c>
      <c r="F13625" t="inlineStr">
        <is>
          <t>Galaxy PW 20kVA</t>
        </is>
      </c>
      <c r="J13625" t="inlineStr">
        <is>
          <t>REVEL</t>
        </is>
      </c>
      <c r="L13625">
        <f>_xlfn.XLOOKUP(Tableau1[[#This Row],[TYPE DE PIECE]],Tableau4[MATIERE],Tableau4[SHORT TYPE],"",0,1)</f>
        <v/>
      </c>
      <c r="N13625">
        <f>IF(ISERR(FIND("DECOUPE",Tableau1[[#This Row],[DESIGNATION]])),"","NEED REF")</f>
        <v/>
      </c>
    </row>
    <row r="13626">
      <c r="B13626" t="n">
        <v>34400379</v>
      </c>
      <c r="C13626" s="2" t="n">
        <v>37699</v>
      </c>
      <c r="D13626" t="inlineStr">
        <is>
          <t>SCH</t>
        </is>
      </c>
      <c r="E13626" t="inlineStr">
        <is>
          <t>Schéma unifilaire d'un PW // avec Q8T</t>
        </is>
      </c>
      <c r="F13626" t="inlineStr">
        <is>
          <t>GALAXY PW PARALLELE</t>
        </is>
      </c>
      <c r="J13626" t="inlineStr">
        <is>
          <t>FERRIER</t>
        </is>
      </c>
      <c r="L13626">
        <f>_xlfn.XLOOKUP(Tableau1[[#This Row],[TYPE DE PIECE]],Tableau4[MATIERE],Tableau4[SHORT TYPE],"",0,1)</f>
        <v/>
      </c>
      <c r="N13626">
        <f>IF(ISERR(FIND("DECOUPE",Tableau1[[#This Row],[DESIGNATION]])),"","NEED REF")</f>
        <v/>
      </c>
    </row>
    <row r="13627">
      <c r="B13627" t="n">
        <v>34400378</v>
      </c>
      <c r="C13627" s="2" t="n">
        <v>37698</v>
      </c>
      <c r="D13627" t="inlineStr">
        <is>
          <t>DOC</t>
        </is>
      </c>
      <c r="E13627" t="inlineStr">
        <is>
          <t>Dossier d'adaptation des GALAXY 400kVA P (double NS actifs + ,,,)</t>
        </is>
      </c>
      <c r="F13627" t="inlineStr">
        <is>
          <t>BCP Portugal</t>
        </is>
      </c>
      <c r="J13627" t="inlineStr">
        <is>
          <t>FERRIER</t>
        </is>
      </c>
      <c r="L13627">
        <f>_xlfn.XLOOKUP(Tableau1[[#This Row],[TYPE DE PIECE]],Tableau4[MATIERE],Tableau4[SHORT TYPE],"",0,1)</f>
        <v/>
      </c>
      <c r="N13627">
        <f>IF(ISERR(FIND("DECOUPE",Tableau1[[#This Row],[DESIGNATION]])),"","NEED REF")</f>
        <v/>
      </c>
    </row>
    <row r="13628">
      <c r="B13628" t="n">
        <v>34400377</v>
      </c>
      <c r="C13628" s="2" t="n">
        <v>37697</v>
      </c>
      <c r="D13628" t="inlineStr">
        <is>
          <t>NOM</t>
        </is>
      </c>
      <c r="E13628" t="inlineStr">
        <is>
          <t xml:space="preserve">Peinture a commission IP22 </t>
        </is>
      </c>
      <c r="F13628" t="inlineStr">
        <is>
          <t>GAL PW 20-60KVA 1400</t>
        </is>
      </c>
      <c r="J13628" t="inlineStr">
        <is>
          <t>REVEL</t>
        </is>
      </c>
      <c r="L13628">
        <f>_xlfn.XLOOKUP(Tableau1[[#This Row],[TYPE DE PIECE]],Tableau4[MATIERE],Tableau4[SHORT TYPE],"",0,1)</f>
        <v/>
      </c>
      <c r="N13628">
        <f>IF(ISERR(FIND("DECOUPE",Tableau1[[#This Row],[DESIGNATION]])),"","NEED REF")</f>
        <v/>
      </c>
    </row>
    <row r="13629">
      <c r="B13629" t="n">
        <v>34400376</v>
      </c>
      <c r="C13629" s="2" t="n">
        <v>37694</v>
      </c>
      <c r="D13629" t="inlineStr">
        <is>
          <t>SPEC</t>
        </is>
      </c>
      <c r="E13629" t="inlineStr">
        <is>
          <t>Connexion client FAH cosses bi metal</t>
        </is>
      </c>
      <c r="F13629" t="inlineStr">
        <is>
          <t>FAH 400KVA CROLLES</t>
        </is>
      </c>
      <c r="J13629" t="inlineStr">
        <is>
          <t>REVEL</t>
        </is>
      </c>
      <c r="L13629">
        <f>_xlfn.XLOOKUP(Tableau1[[#This Row],[TYPE DE PIECE]],Tableau4[MATIERE],Tableau4[SHORT TYPE],"",0,1)</f>
        <v/>
      </c>
      <c r="N13629">
        <f>IF(ISERR(FIND("DECOUPE",Tableau1[[#This Row],[DESIGNATION]])),"","NEED REF")</f>
        <v/>
      </c>
    </row>
    <row r="13630">
      <c r="B13630" t="n">
        <v>34400375</v>
      </c>
      <c r="C13630" s="2" t="n">
        <v>37692</v>
      </c>
      <c r="D13630" t="inlineStr">
        <is>
          <t>CDC</t>
        </is>
      </c>
      <c r="E13630" t="inlineStr">
        <is>
          <t>Sous traitance armoire galaxy 3000 ventilé</t>
        </is>
      </c>
      <c r="F13630" t="inlineStr">
        <is>
          <t>ECM</t>
        </is>
      </c>
      <c r="J13630" t="inlineStr">
        <is>
          <t>ROBERT</t>
        </is>
      </c>
      <c r="L13630">
        <f>_xlfn.XLOOKUP(Tableau1[[#This Row],[TYPE DE PIECE]],Tableau4[MATIERE],Tableau4[SHORT TYPE],"",0,1)</f>
        <v/>
      </c>
      <c r="N13630">
        <f>IF(ISERR(FIND("DECOUPE",Tableau1[[#This Row],[DESIGNATION]])),"","NEED REF")</f>
        <v/>
      </c>
    </row>
    <row r="13631">
      <c r="B13631" t="n">
        <v>34400374</v>
      </c>
      <c r="C13631" s="2" t="n">
        <v>37691</v>
      </c>
      <c r="D13631" t="inlineStr">
        <is>
          <t>DOC</t>
        </is>
      </c>
      <c r="E13631" t="inlineStr">
        <is>
          <t>Schéma principe/installation GALAXYNS1200</t>
        </is>
      </c>
      <c r="F13631" t="inlineStr">
        <is>
          <t>KOREAN TELECOM</t>
        </is>
      </c>
      <c r="J13631" t="inlineStr">
        <is>
          <t>FERRIER</t>
        </is>
      </c>
      <c r="L13631">
        <f>_xlfn.XLOOKUP(Tableau1[[#This Row],[TYPE DE PIECE]],Tableau4[MATIERE],Tableau4[SHORT TYPE],"",0,1)</f>
        <v/>
      </c>
      <c r="N13631">
        <f>IF(ISERR(FIND("DECOUPE",Tableau1[[#This Row],[DESIGNATION]])),"","NEED REF")</f>
        <v/>
      </c>
    </row>
    <row r="13632">
      <c r="B13632" t="n">
        <v>34400373</v>
      </c>
      <c r="C13632" s="2" t="n">
        <v>37691</v>
      </c>
      <c r="D13632" t="inlineStr">
        <is>
          <t>DOC</t>
        </is>
      </c>
      <c r="E13632" t="inlineStr">
        <is>
          <t>Schéma principe/installation GALAXY600</t>
        </is>
      </c>
      <c r="F13632" t="inlineStr">
        <is>
          <t>KOREAN TELECOM</t>
        </is>
      </c>
      <c r="J13632" t="inlineStr">
        <is>
          <t>FERRIER</t>
        </is>
      </c>
      <c r="L13632">
        <f>_xlfn.XLOOKUP(Tableau1[[#This Row],[TYPE DE PIECE]],Tableau4[MATIERE],Tableau4[SHORT TYPE],"",0,1)</f>
        <v/>
      </c>
      <c r="N13632">
        <f>IF(ISERR(FIND("DECOUPE",Tableau1[[#This Row],[DESIGNATION]])),"","NEED REF")</f>
        <v/>
      </c>
    </row>
    <row r="13633">
      <c r="B13633" t="n">
        <v>34400372</v>
      </c>
      <c r="C13633" s="2" t="n">
        <v>37684</v>
      </c>
      <c r="D13633" t="inlineStr">
        <is>
          <t>CDC</t>
        </is>
      </c>
      <c r="E13633" t="inlineStr">
        <is>
          <t>CDC armoire aux ventilée GALAXY 3000</t>
        </is>
      </c>
      <c r="F13633" t="inlineStr">
        <is>
          <t>GALAXY 3000</t>
        </is>
      </c>
      <c r="J13633" t="inlineStr">
        <is>
          <t>ROBERT</t>
        </is>
      </c>
      <c r="L13633">
        <f>_xlfn.XLOOKUP(Tableau1[[#This Row],[TYPE DE PIECE]],Tableau4[MATIERE],Tableau4[SHORT TYPE],"",0,1)</f>
        <v/>
      </c>
      <c r="N13633">
        <f>IF(ISERR(FIND("DECOUPE",Tableau1[[#This Row],[DESIGNATION]])),"","NEED REF")</f>
        <v/>
      </c>
    </row>
    <row r="13634">
      <c r="B13634" t="n">
        <v>34400371</v>
      </c>
      <c r="C13634" s="2" t="n">
        <v>37318</v>
      </c>
      <c r="D13634" t="inlineStr">
        <is>
          <t>SPEC</t>
        </is>
      </c>
      <c r="E13634" t="inlineStr">
        <is>
          <t>Etiquette "présence tension batt"</t>
        </is>
      </c>
      <c r="F13634" t="inlineStr">
        <is>
          <t>ARM COUPLAGE BATT+TOUTES</t>
        </is>
      </c>
      <c r="J13634" t="inlineStr">
        <is>
          <t>FOLTZ</t>
        </is>
      </c>
      <c r="L13634">
        <f>_xlfn.XLOOKUP(Tableau1[[#This Row],[TYPE DE PIECE]],Tableau4[MATIERE],Tableau4[SHORT TYPE],"",0,1)</f>
        <v/>
      </c>
      <c r="N13634">
        <f>IF(ISERR(FIND("DECOUPE",Tableau1[[#This Row],[DESIGNATION]])),"","NEED REF")</f>
        <v/>
      </c>
    </row>
    <row r="13635">
      <c r="B13635" t="n">
        <v>34400370</v>
      </c>
      <c r="C13635" s="2" t="n">
        <v>37318</v>
      </c>
      <c r="D13635" t="inlineStr">
        <is>
          <t>SPEC</t>
        </is>
      </c>
      <c r="E13635" t="inlineStr">
        <is>
          <t>Plaque presse etoupe</t>
        </is>
      </c>
      <c r="F13635" t="inlineStr">
        <is>
          <t>GALAXY PW ASI 1015</t>
        </is>
      </c>
      <c r="J13635" t="inlineStr">
        <is>
          <t>REVEL</t>
        </is>
      </c>
      <c r="L13635">
        <f>_xlfn.XLOOKUP(Tableau1[[#This Row],[TYPE DE PIECE]],Tableau4[MATIERE],Tableau4[SHORT TYPE],"",0,1)</f>
        <v/>
      </c>
      <c r="N13635">
        <f>IF(ISERR(FIND("DECOUPE",Tableau1[[#This Row],[DESIGNATION]])),"","NEED REF")</f>
        <v/>
      </c>
    </row>
    <row r="13636">
      <c r="B13636" t="n">
        <v>34400369</v>
      </c>
      <c r="C13636" s="2" t="n">
        <v>37673</v>
      </c>
      <c r="D13636" t="inlineStr">
        <is>
          <t>SPEC</t>
        </is>
      </c>
      <c r="E13636" t="inlineStr">
        <is>
          <t>Etiquette instructions syst, couplage batt</t>
        </is>
      </c>
      <c r="F13636" t="inlineStr">
        <is>
          <t>GALAXY / GALAXY PW</t>
        </is>
      </c>
      <c r="J13636" t="inlineStr">
        <is>
          <t>FOLTZ</t>
        </is>
      </c>
      <c r="L13636">
        <f>_xlfn.XLOOKUP(Tableau1[[#This Row],[TYPE DE PIECE]],Tableau4[MATIERE],Tableau4[SHORT TYPE],"",0,1)</f>
        <v/>
      </c>
      <c r="N13636">
        <f>IF(ISERR(FIND("DECOUPE",Tableau1[[#This Row],[DESIGNATION]])),"","NEED REF")</f>
        <v/>
      </c>
    </row>
    <row r="13637">
      <c r="B13637" t="n">
        <v>34400368</v>
      </c>
      <c r="C13637" s="2" t="n">
        <v>37673</v>
      </c>
      <c r="D13637" t="inlineStr">
        <is>
          <t>SPEC</t>
        </is>
      </c>
      <c r="E13637" t="inlineStr">
        <is>
          <t xml:space="preserve">Dossier de montage FAHC </t>
        </is>
      </c>
      <c r="F13637" t="inlineStr">
        <is>
          <t>GALAXY PW 1000</t>
        </is>
      </c>
      <c r="J13637" t="inlineStr">
        <is>
          <t>ROBERT</t>
        </is>
      </c>
      <c r="L13637">
        <f>_xlfn.XLOOKUP(Tableau1[[#This Row],[TYPE DE PIECE]],Tableau4[MATIERE],Tableau4[SHORT TYPE],"",0,1)</f>
        <v/>
      </c>
      <c r="N13637">
        <f>IF(ISERR(FIND("DECOUPE",Tableau1[[#This Row],[DESIGNATION]])),"","NEED REF")</f>
        <v/>
      </c>
    </row>
    <row r="13638">
      <c r="B13638" t="n">
        <v>34400367</v>
      </c>
      <c r="C13638" s="2" t="n">
        <v>37673</v>
      </c>
      <c r="D13638" t="inlineStr">
        <is>
          <t>CDC</t>
        </is>
      </c>
      <c r="E13638" t="inlineStr">
        <is>
          <t>Cable de liaison fils fins boitier by pass</t>
        </is>
      </c>
      <c r="F13638" t="inlineStr">
        <is>
          <t>EXTREME CLA</t>
        </is>
      </c>
      <c r="J13638" t="inlineStr">
        <is>
          <t>REVEL</t>
        </is>
      </c>
      <c r="L13638">
        <f>_xlfn.XLOOKUP(Tableau1[[#This Row],[TYPE DE PIECE]],Tableau4[MATIERE],Tableau4[SHORT TYPE],"",0,1)</f>
        <v/>
      </c>
      <c r="N13638">
        <f>IF(ISERR(FIND("DECOUPE",Tableau1[[#This Row],[DESIGNATION]])),"","NEED REF")</f>
        <v/>
      </c>
    </row>
    <row r="13639">
      <c r="B13639" t="n">
        <v>34400366</v>
      </c>
      <c r="C13639" s="2" t="n">
        <v>37671</v>
      </c>
      <c r="D13639" t="inlineStr">
        <is>
          <t>NOM</t>
        </is>
      </c>
      <c r="E13639" t="inlineStr">
        <is>
          <t>Legende Pulsar Extreme C 1,5kVA CLA</t>
        </is>
      </c>
      <c r="F13639" t="inlineStr">
        <is>
          <t>PULSAR EXTREME C 1,5KVA</t>
        </is>
      </c>
      <c r="J13639" t="inlineStr">
        <is>
          <t>REVEL</t>
        </is>
      </c>
      <c r="L13639">
        <f>_xlfn.XLOOKUP(Tableau1[[#This Row],[TYPE DE PIECE]],Tableau4[MATIERE],Tableau4[SHORT TYPE],"",0,1)</f>
        <v/>
      </c>
      <c r="N13639">
        <f>IF(ISERR(FIND("DECOUPE",Tableau1[[#This Row],[DESIGNATION]])),"","NEED REF")</f>
        <v/>
      </c>
    </row>
    <row r="13640">
      <c r="B13640" t="n">
        <v>34400365</v>
      </c>
      <c r="C13640" s="2" t="n">
        <v>37671</v>
      </c>
      <c r="D13640" t="inlineStr">
        <is>
          <t>SPEC</t>
        </is>
      </c>
      <c r="E13640" t="inlineStr">
        <is>
          <t xml:space="preserve">EQUERRE SUPPORT GLISSIERE </t>
        </is>
      </c>
      <c r="F13640" t="inlineStr">
        <is>
          <t>PULSAR EXTREME C 1,5KVA</t>
        </is>
      </c>
      <c r="J13640" t="inlineStr">
        <is>
          <t>REVEL</t>
        </is>
      </c>
      <c r="L13640">
        <f>_xlfn.XLOOKUP(Tableau1[[#This Row],[TYPE DE PIECE]],Tableau4[MATIERE],Tableau4[SHORT TYPE],"",0,1)</f>
        <v/>
      </c>
      <c r="N13640">
        <f>IF(ISERR(FIND("DECOUPE",Tableau1[[#This Row],[DESIGNATION]])),"","NEED REF")</f>
        <v/>
      </c>
    </row>
    <row r="13641">
      <c r="B13641" t="n">
        <v>34400364</v>
      </c>
      <c r="C13641" s="2" t="n">
        <v>37669</v>
      </c>
      <c r="D13641" t="inlineStr">
        <is>
          <t>NOM</t>
        </is>
      </c>
      <c r="E13641" t="inlineStr">
        <is>
          <t>SERRURE CNOMO 1</t>
        </is>
      </c>
      <c r="F13641" t="inlineStr">
        <is>
          <t>GAL PW 1015 1215</t>
        </is>
      </c>
      <c r="J13641" t="inlineStr">
        <is>
          <t>REVEL</t>
        </is>
      </c>
      <c r="L13641">
        <f>_xlfn.XLOOKUP(Tableau1[[#This Row],[TYPE DE PIECE]],Tableau4[MATIERE],Tableau4[SHORT TYPE],"",0,1)</f>
        <v/>
      </c>
      <c r="N13641">
        <f>IF(ISERR(FIND("DECOUPE",Tableau1[[#This Row],[DESIGNATION]])),"","NEED REF")</f>
        <v/>
      </c>
    </row>
    <row r="13642">
      <c r="B13642" t="n">
        <v>34400363</v>
      </c>
      <c r="C13642" s="2" t="n">
        <v>37669</v>
      </c>
      <c r="D13642" t="inlineStr">
        <is>
          <t>NOM</t>
        </is>
      </c>
      <c r="E13642" t="inlineStr">
        <is>
          <t>SERRURE CNOMO 1</t>
        </is>
      </c>
      <c r="F13642" t="inlineStr">
        <is>
          <t>GAL PW 715</t>
        </is>
      </c>
      <c r="J13642" t="inlineStr">
        <is>
          <t>REVEL</t>
        </is>
      </c>
      <c r="L13642">
        <f>_xlfn.XLOOKUP(Tableau1[[#This Row],[TYPE DE PIECE]],Tableau4[MATIERE],Tableau4[SHORT TYPE],"",0,1)</f>
        <v/>
      </c>
      <c r="N13642">
        <f>IF(ISERR(FIND("DECOUPE",Tableau1[[#This Row],[DESIGNATION]])),"","NEED REF")</f>
        <v/>
      </c>
    </row>
    <row r="13643">
      <c r="B13643" t="n">
        <v>34400362</v>
      </c>
      <c r="C13643" s="2" t="n">
        <v>37669</v>
      </c>
      <c r="D13643" t="inlineStr">
        <is>
          <t>SPEC</t>
        </is>
      </c>
      <c r="E13643" t="inlineStr">
        <is>
          <t>Percages support selfs FAH</t>
        </is>
      </c>
      <c r="F13643" t="inlineStr">
        <is>
          <t>FAH GALAXY PW 1000</t>
        </is>
      </c>
      <c r="J13643" t="inlineStr">
        <is>
          <t>ROBERT</t>
        </is>
      </c>
      <c r="L13643">
        <f>_xlfn.XLOOKUP(Tableau1[[#This Row],[TYPE DE PIECE]],Tableau4[MATIERE],Tableau4[SHORT TYPE],"",0,1)</f>
        <v/>
      </c>
      <c r="N13643">
        <f>IF(ISERR(FIND("DECOUPE",Tableau1[[#This Row],[DESIGNATION]])),"","NEED REF")</f>
        <v/>
      </c>
    </row>
    <row r="13644">
      <c r="B13644" t="n">
        <v>34400361</v>
      </c>
      <c r="C13644" s="2" t="n">
        <v>37666</v>
      </c>
      <c r="D13644" t="inlineStr">
        <is>
          <t>SPEC</t>
        </is>
      </c>
      <c r="E13644" t="inlineStr">
        <is>
          <t>Support serrure triangle</t>
        </is>
      </c>
      <c r="F13644" t="inlineStr">
        <is>
          <t xml:space="preserve">GALAXY PW </t>
        </is>
      </c>
      <c r="J13644" t="inlineStr">
        <is>
          <t>REVEL</t>
        </is>
      </c>
      <c r="L13644">
        <f>_xlfn.XLOOKUP(Tableau1[[#This Row],[TYPE DE PIECE]],Tableau4[MATIERE],Tableau4[SHORT TYPE],"",0,1)</f>
        <v/>
      </c>
      <c r="N13644">
        <f>IF(ISERR(FIND("DECOUPE",Tableau1[[#This Row],[DESIGNATION]])),"","NEED REF")</f>
        <v/>
      </c>
    </row>
    <row r="13645">
      <c r="B13645" t="n">
        <v>34400360</v>
      </c>
      <c r="C13645" s="2" t="n">
        <v>37664</v>
      </c>
      <c r="D13645" t="inlineStr">
        <is>
          <t>SPEC</t>
        </is>
      </c>
      <c r="E13645" t="inlineStr">
        <is>
          <t>Etiquette Eprom CRIZ MEPC DC BUS</t>
        </is>
      </c>
      <c r="F13645" t="inlineStr">
        <is>
          <t>GALAXY</t>
        </is>
      </c>
      <c r="J13645" t="inlineStr">
        <is>
          <t>REVEL</t>
        </is>
      </c>
      <c r="L13645">
        <f>_xlfn.XLOOKUP(Tableau1[[#This Row],[TYPE DE PIECE]],Tableau4[MATIERE],Tableau4[SHORT TYPE],"",0,1)</f>
        <v/>
      </c>
      <c r="N13645">
        <f>IF(ISERR(FIND("DECOUPE",Tableau1[[#This Row],[DESIGNATION]])),"","NEED REF")</f>
        <v/>
      </c>
    </row>
    <row r="13646">
      <c r="B13646" t="n">
        <v>34400359</v>
      </c>
      <c r="C13646" s="2" t="n">
        <v>37664</v>
      </c>
      <c r="D13646" t="inlineStr">
        <is>
          <t>SPEC</t>
        </is>
      </c>
      <c r="E13646" t="inlineStr">
        <is>
          <t>Etiquette Eprom GTCZ MEPC DC BUS</t>
        </is>
      </c>
      <c r="F13646" t="inlineStr">
        <is>
          <t>GALAXY</t>
        </is>
      </c>
      <c r="J13646" t="inlineStr">
        <is>
          <t>REVEL</t>
        </is>
      </c>
      <c r="L13646">
        <f>_xlfn.XLOOKUP(Tableau1[[#This Row],[TYPE DE PIECE]],Tableau4[MATIERE],Tableau4[SHORT TYPE],"",0,1)</f>
        <v/>
      </c>
      <c r="N13646">
        <f>IF(ISERR(FIND("DECOUPE",Tableau1[[#This Row],[DESIGNATION]])),"","NEED REF")</f>
        <v/>
      </c>
    </row>
    <row r="13647">
      <c r="B13647" t="n">
        <v>34400358</v>
      </c>
      <c r="C13647" s="2" t="n">
        <v>37658</v>
      </c>
      <c r="D13647" t="inlineStr">
        <is>
          <t>CDC</t>
        </is>
      </c>
      <c r="E13647" t="inlineStr">
        <is>
          <t>Panneau lateral support enrouleur</t>
        </is>
      </c>
      <c r="F13647" t="inlineStr">
        <is>
          <t>GAL PW 40kVA + ARM BAT</t>
        </is>
      </c>
      <c r="J13647" t="inlineStr">
        <is>
          <t>REVEL</t>
        </is>
      </c>
      <c r="L13647">
        <f>_xlfn.XLOOKUP(Tableau1[[#This Row],[TYPE DE PIECE]],Tableau4[MATIERE],Tableau4[SHORT TYPE],"",0,1)</f>
        <v/>
      </c>
      <c r="N13647">
        <f>IF(ISERR(FIND("DECOUPE",Tableau1[[#This Row],[DESIGNATION]])),"","NEED REF")</f>
        <v/>
      </c>
    </row>
    <row r="13648">
      <c r="B13648" t="n">
        <v>34400357</v>
      </c>
      <c r="C13648" s="2" t="n">
        <v>37657</v>
      </c>
      <c r="D13648" t="inlineStr">
        <is>
          <t>NOM</t>
        </is>
      </c>
      <c r="E13648" t="inlineStr">
        <is>
          <t>KIT DE TRANSFORMATION GALAXY400 P/U</t>
        </is>
      </c>
      <c r="F13648" t="inlineStr">
        <is>
          <t>GALAXY IGBT 400kVA</t>
        </is>
      </c>
      <c r="J13648" t="inlineStr">
        <is>
          <t>FERRIER</t>
        </is>
      </c>
      <c r="L13648">
        <f>_xlfn.XLOOKUP(Tableau1[[#This Row],[TYPE DE PIECE]],Tableau4[MATIERE],Tableau4[SHORT TYPE],"",0,1)</f>
        <v/>
      </c>
      <c r="N13648">
        <f>IF(ISERR(FIND("DECOUPE",Tableau1[[#This Row],[DESIGNATION]])),"","NEED REF")</f>
        <v/>
      </c>
    </row>
    <row r="13649">
      <c r="B13649" t="n">
        <v>34400356</v>
      </c>
      <c r="C13649" s="2" t="n">
        <v>37652</v>
      </c>
      <c r="D13649" t="inlineStr">
        <is>
          <t>SPEC</t>
        </is>
      </c>
      <c r="E13649" t="inlineStr">
        <is>
          <t>Plan de decoupe pour fixation prise Harting</t>
        </is>
      </c>
      <c r="F13649" t="inlineStr">
        <is>
          <t>Arm bat PW 1015*1400</t>
        </is>
      </c>
      <c r="J13649" t="inlineStr">
        <is>
          <t>REVEL</t>
        </is>
      </c>
      <c r="L13649">
        <f>_xlfn.XLOOKUP(Tableau1[[#This Row],[TYPE DE PIECE]],Tableau4[MATIERE],Tableau4[SHORT TYPE],"",0,1)</f>
        <v/>
      </c>
      <c r="N13649">
        <f>IF(ISERR(FIND("DECOUPE",Tableau1[[#This Row],[DESIGNATION]])),"","NEED REF")</f>
        <v/>
      </c>
    </row>
    <row r="13650">
      <c r="B13650" t="n">
        <v>34400355</v>
      </c>
      <c r="C13650" s="2" t="n">
        <v>37651</v>
      </c>
      <c r="D13650" t="inlineStr">
        <is>
          <t>DOC</t>
        </is>
      </c>
      <c r="E13650" t="inlineStr">
        <is>
          <t xml:space="preserve">Réseau 1 - Réseau 2 comuns + Raccordement Haut </t>
        </is>
      </c>
      <c r="F13650" t="inlineStr">
        <is>
          <t>GAL PW 120kVA</t>
        </is>
      </c>
      <c r="J13650" t="inlineStr">
        <is>
          <t>FERRIER</t>
        </is>
      </c>
      <c r="L13650">
        <f>_xlfn.XLOOKUP(Tableau1[[#This Row],[TYPE DE PIECE]],Tableau4[MATIERE],Tableau4[SHORT TYPE],"",0,1)</f>
        <v/>
      </c>
      <c r="N13650">
        <f>IF(ISERR(FIND("DECOUPE",Tableau1[[#This Row],[DESIGNATION]])),"","NEED REF")</f>
        <v/>
      </c>
    </row>
    <row r="13651">
      <c r="B13651" t="n">
        <v>34400354</v>
      </c>
      <c r="C13651" s="2" t="n">
        <v>37651</v>
      </c>
      <c r="D13651" t="inlineStr">
        <is>
          <t>CDC</t>
        </is>
      </c>
      <c r="E13651" t="inlineStr">
        <is>
          <t>PALETTE METALLIQUE</t>
        </is>
      </c>
      <c r="F13651" t="inlineStr">
        <is>
          <t>GAL PW 40kVA + ARM BAT</t>
        </is>
      </c>
      <c r="J13651" t="inlineStr">
        <is>
          <t>REVEL</t>
        </is>
      </c>
      <c r="L13651">
        <f>_xlfn.XLOOKUP(Tableau1[[#This Row],[TYPE DE PIECE]],Tableau4[MATIERE],Tableau4[SHORT TYPE],"",0,1)</f>
        <v/>
      </c>
      <c r="N13651">
        <f>IF(ISERR(FIND("DECOUPE",Tableau1[[#This Row],[DESIGNATION]])),"","NEED REF")</f>
        <v/>
      </c>
    </row>
    <row r="13652">
      <c r="B13652" t="n">
        <v>34400353</v>
      </c>
      <c r="C13652" s="2" t="n">
        <v>37651</v>
      </c>
      <c r="D13652" t="inlineStr">
        <is>
          <t>NOM</t>
        </is>
      </c>
      <c r="E13652" t="inlineStr">
        <is>
          <t>LG DETECTION DE VENTILATION</t>
        </is>
      </c>
      <c r="F13652" t="inlineStr">
        <is>
          <t>GALAXY PW 80-120kVA</t>
        </is>
      </c>
      <c r="J13652" t="inlineStr">
        <is>
          <t>ROBERT</t>
        </is>
      </c>
      <c r="L13652">
        <f>_xlfn.XLOOKUP(Tableau1[[#This Row],[TYPE DE PIECE]],Tableau4[MATIERE],Tableau4[SHORT TYPE],"",0,1)</f>
        <v/>
      </c>
      <c r="N13652">
        <f>IF(ISERR(FIND("DECOUPE",Tableau1[[#This Row],[DESIGNATION]])),"","NEED REF")</f>
        <v/>
      </c>
    </row>
    <row r="13653">
      <c r="B13653" t="n">
        <v>34400352</v>
      </c>
      <c r="C13653" s="2" t="n">
        <v>37651</v>
      </c>
      <c r="D13653" t="inlineStr">
        <is>
          <t>NOM</t>
        </is>
      </c>
      <c r="E13653" t="inlineStr">
        <is>
          <t>LG DETECTION DE VENTILATION</t>
        </is>
      </c>
      <c r="F13653" t="inlineStr">
        <is>
          <t>GALAXY PW 40-60kVA</t>
        </is>
      </c>
      <c r="J13653" t="inlineStr">
        <is>
          <t>ROBERT</t>
        </is>
      </c>
      <c r="L13653">
        <f>_xlfn.XLOOKUP(Tableau1[[#This Row],[TYPE DE PIECE]],Tableau4[MATIERE],Tableau4[SHORT TYPE],"",0,1)</f>
        <v/>
      </c>
      <c r="N13653">
        <f>IF(ISERR(FIND("DECOUPE",Tableau1[[#This Row],[DESIGNATION]])),"","NEED REF")</f>
        <v/>
      </c>
    </row>
    <row r="13654">
      <c r="B13654" t="n">
        <v>34400351</v>
      </c>
      <c r="C13654" s="2" t="n">
        <v>37651</v>
      </c>
      <c r="D13654" t="inlineStr">
        <is>
          <t>DOC</t>
        </is>
      </c>
      <c r="E13654" t="inlineStr">
        <is>
          <t>Manuel d'utilisation et instal STS 20A (chlor)</t>
        </is>
      </c>
      <c r="F13654" t="inlineStr">
        <is>
          <t>STS 20A CHLORIDE</t>
        </is>
      </c>
      <c r="J13654" t="inlineStr">
        <is>
          <t>ÇAKIR</t>
        </is>
      </c>
      <c r="L13654">
        <f>_xlfn.XLOOKUP(Tableau1[[#This Row],[TYPE DE PIECE]],Tableau4[MATIERE],Tableau4[SHORT TYPE],"",0,1)</f>
        <v/>
      </c>
      <c r="N13654">
        <f>IF(ISERR(FIND("DECOUPE",Tableau1[[#This Row],[DESIGNATION]])),"","NEED REF")</f>
        <v/>
      </c>
    </row>
    <row r="13655">
      <c r="B13655" t="n">
        <v>34400350</v>
      </c>
      <c r="C13655" s="2" t="n">
        <v>37650</v>
      </c>
      <c r="D13655" t="inlineStr">
        <is>
          <t>SPEC</t>
        </is>
      </c>
      <c r="E13655" t="inlineStr">
        <is>
          <t>Limande de boucle ACPZ/ACPZ 100m</t>
        </is>
      </c>
      <c r="F13655" t="inlineStr">
        <is>
          <t>GALAXY</t>
        </is>
      </c>
      <c r="J13655" t="inlineStr">
        <is>
          <t>REVEL</t>
        </is>
      </c>
      <c r="L13655">
        <f>_xlfn.XLOOKUP(Tableau1[[#This Row],[TYPE DE PIECE]],Tableau4[MATIERE],Tableau4[SHORT TYPE],"",0,1)</f>
        <v/>
      </c>
      <c r="N13655">
        <f>IF(ISERR(FIND("DECOUPE",Tableau1[[#This Row],[DESIGNATION]])),"","NEED REF")</f>
        <v/>
      </c>
    </row>
    <row r="13656">
      <c r="B13656" t="n">
        <v>34400349</v>
      </c>
      <c r="C13656" s="2" t="n">
        <v>37650</v>
      </c>
      <c r="D13656" t="inlineStr">
        <is>
          <t>SPEC</t>
        </is>
      </c>
      <c r="E13656" t="inlineStr">
        <is>
          <t>Limande de boucle ACPZ/ACPZ 75m</t>
        </is>
      </c>
      <c r="F13656" t="inlineStr">
        <is>
          <t>GALAXY</t>
        </is>
      </c>
      <c r="J13656" t="inlineStr">
        <is>
          <t>REVEL</t>
        </is>
      </c>
      <c r="L13656">
        <f>_xlfn.XLOOKUP(Tableau1[[#This Row],[TYPE DE PIECE]],Tableau4[MATIERE],Tableau4[SHORT TYPE],"",0,1)</f>
        <v/>
      </c>
      <c r="N13656">
        <f>IF(ISERR(FIND("DECOUPE",Tableau1[[#This Row],[DESIGNATION]])),"","NEED REF")</f>
        <v/>
      </c>
    </row>
    <row r="13657">
      <c r="B13657" t="n">
        <v>34400348</v>
      </c>
      <c r="C13657" s="2" t="n">
        <v>37650</v>
      </c>
      <c r="D13657" t="inlineStr">
        <is>
          <t>SPEC</t>
        </is>
      </c>
      <c r="E13657" t="inlineStr">
        <is>
          <t>Limande de boucle ACPZ/ACPZ 50m</t>
        </is>
      </c>
      <c r="F13657" t="inlineStr">
        <is>
          <t>GALAXY</t>
        </is>
      </c>
      <c r="J13657" t="inlineStr">
        <is>
          <t>REVEL</t>
        </is>
      </c>
      <c r="L13657">
        <f>_xlfn.XLOOKUP(Tableau1[[#This Row],[TYPE DE PIECE]],Tableau4[MATIERE],Tableau4[SHORT TYPE],"",0,1)</f>
        <v/>
      </c>
      <c r="N13657">
        <f>IF(ISERR(FIND("DECOUPE",Tableau1[[#This Row],[DESIGNATION]])),"","NEED REF")</f>
        <v/>
      </c>
    </row>
    <row r="13658">
      <c r="B13658" t="n">
        <v>34400347</v>
      </c>
      <c r="C13658" s="2" t="n">
        <v>37650</v>
      </c>
      <c r="D13658" t="inlineStr">
        <is>
          <t>SPEC</t>
        </is>
      </c>
      <c r="E13658" t="inlineStr">
        <is>
          <t>Limande de boucle MISI/MISI 100m</t>
        </is>
      </c>
      <c r="F13658" t="inlineStr">
        <is>
          <t>GALAXY</t>
        </is>
      </c>
      <c r="J13658" t="inlineStr">
        <is>
          <t>REVEL</t>
        </is>
      </c>
      <c r="L13658">
        <f>_xlfn.XLOOKUP(Tableau1[[#This Row],[TYPE DE PIECE]],Tableau4[MATIERE],Tableau4[SHORT TYPE],"",0,1)</f>
        <v/>
      </c>
      <c r="N13658">
        <f>IF(ISERR(FIND("DECOUPE",Tableau1[[#This Row],[DESIGNATION]])),"","NEED REF")</f>
        <v/>
      </c>
    </row>
    <row r="13659">
      <c r="B13659" t="n">
        <v>34400346</v>
      </c>
      <c r="C13659" s="2" t="n">
        <v>37650</v>
      </c>
      <c r="D13659" t="inlineStr">
        <is>
          <t>SPEC</t>
        </is>
      </c>
      <c r="E13659" t="inlineStr">
        <is>
          <t>Limande de boucle MISI/MISI 75m</t>
        </is>
      </c>
      <c r="F13659" t="inlineStr">
        <is>
          <t>GALAXY</t>
        </is>
      </c>
      <c r="J13659" t="inlineStr">
        <is>
          <t>REVEL</t>
        </is>
      </c>
      <c r="L13659">
        <f>_xlfn.XLOOKUP(Tableau1[[#This Row],[TYPE DE PIECE]],Tableau4[MATIERE],Tableau4[SHORT TYPE],"",0,1)</f>
        <v/>
      </c>
      <c r="N13659">
        <f>IF(ISERR(FIND("DECOUPE",Tableau1[[#This Row],[DESIGNATION]])),"","NEED REF")</f>
        <v/>
      </c>
    </row>
    <row r="13660">
      <c r="B13660" t="n">
        <v>34400345</v>
      </c>
      <c r="C13660" s="2" t="n">
        <v>37650</v>
      </c>
      <c r="D13660" t="inlineStr">
        <is>
          <t>SPEC</t>
        </is>
      </c>
      <c r="E13660" t="inlineStr">
        <is>
          <t>Limande de boucle MISI/MISI 50m</t>
        </is>
      </c>
      <c r="F13660" t="inlineStr">
        <is>
          <t>GALAXY</t>
        </is>
      </c>
      <c r="J13660" t="inlineStr">
        <is>
          <t>REVEL</t>
        </is>
      </c>
      <c r="L13660">
        <f>_xlfn.XLOOKUP(Tableau1[[#This Row],[TYPE DE PIECE]],Tableau4[MATIERE],Tableau4[SHORT TYPE],"",0,1)</f>
        <v/>
      </c>
      <c r="N13660">
        <f>IF(ISERR(FIND("DECOUPE",Tableau1[[#This Row],[DESIGNATION]])),"","NEED REF")</f>
        <v/>
      </c>
    </row>
    <row r="13661">
      <c r="B13661" t="n">
        <v>34400344</v>
      </c>
      <c r="C13661" s="2" t="n">
        <v>37649</v>
      </c>
      <c r="D13661" t="inlineStr">
        <is>
          <t>SPEC</t>
        </is>
      </c>
      <c r="E13661" t="inlineStr">
        <is>
          <t>Découpe Monitor + porte armoire aux 560mm</t>
        </is>
      </c>
      <c r="F13661" t="inlineStr">
        <is>
          <t>COMET ABV ROCK</t>
        </is>
      </c>
      <c r="J13661" t="inlineStr">
        <is>
          <t>FERRIER</t>
        </is>
      </c>
      <c r="L13661">
        <f>_xlfn.XLOOKUP(Tableau1[[#This Row],[TYPE DE PIECE]],Tableau4[MATIERE],Tableau4[SHORT TYPE],"",0,1)</f>
        <v/>
      </c>
      <c r="N13661">
        <f>IF(ISERR(FIND("DECOUPE",Tableau1[[#This Row],[DESIGNATION]])),"","NEED REF")</f>
        <v/>
      </c>
    </row>
    <row r="13662">
      <c r="B13662" t="n">
        <v>34400343</v>
      </c>
      <c r="C13662" s="2" t="n">
        <v>37649</v>
      </c>
      <c r="D13662" t="inlineStr">
        <is>
          <t>SPEC</t>
        </is>
      </c>
      <c r="E13662" t="inlineStr">
        <is>
          <t>Limande de boucle APUZ/APUZ 100m</t>
        </is>
      </c>
      <c r="F13662" t="inlineStr">
        <is>
          <t>GALAXY</t>
        </is>
      </c>
      <c r="J13662" t="inlineStr">
        <is>
          <t>REVEL</t>
        </is>
      </c>
      <c r="L13662">
        <f>_xlfn.XLOOKUP(Tableau1[[#This Row],[TYPE DE PIECE]],Tableau4[MATIERE],Tableau4[SHORT TYPE],"",0,1)</f>
        <v/>
      </c>
      <c r="N13662">
        <f>IF(ISERR(FIND("DECOUPE",Tableau1[[#This Row],[DESIGNATION]])),"","NEED REF")</f>
        <v/>
      </c>
    </row>
    <row r="13663">
      <c r="B13663" t="n">
        <v>34400342</v>
      </c>
      <c r="C13663" s="2" t="n">
        <v>37649</v>
      </c>
      <c r="D13663" t="inlineStr">
        <is>
          <t>SPEC</t>
        </is>
      </c>
      <c r="E13663" t="inlineStr">
        <is>
          <t>Limande de boucle APUZ/APUZ 75m</t>
        </is>
      </c>
      <c r="F13663" t="inlineStr">
        <is>
          <t>GALAXY</t>
        </is>
      </c>
      <c r="J13663" t="inlineStr">
        <is>
          <t>REVEL</t>
        </is>
      </c>
      <c r="L13663">
        <f>_xlfn.XLOOKUP(Tableau1[[#This Row],[TYPE DE PIECE]],Tableau4[MATIERE],Tableau4[SHORT TYPE],"",0,1)</f>
        <v/>
      </c>
      <c r="N13663">
        <f>IF(ISERR(FIND("DECOUPE",Tableau1[[#This Row],[DESIGNATION]])),"","NEED REF")</f>
        <v/>
      </c>
    </row>
    <row r="13664">
      <c r="B13664" t="n">
        <v>34400341</v>
      </c>
      <c r="C13664" s="2" t="n">
        <v>37649</v>
      </c>
      <c r="D13664" t="inlineStr">
        <is>
          <t>SPEC</t>
        </is>
      </c>
      <c r="E13664" t="inlineStr">
        <is>
          <t>Limande de boucle APUZ/APUZ 50m</t>
        </is>
      </c>
      <c r="F13664" t="inlineStr">
        <is>
          <t>GALAXY</t>
        </is>
      </c>
      <c r="J13664" t="inlineStr">
        <is>
          <t>REVEL</t>
        </is>
      </c>
      <c r="L13664">
        <f>_xlfn.XLOOKUP(Tableau1[[#This Row],[TYPE DE PIECE]],Tableau4[MATIERE],Tableau4[SHORT TYPE],"",0,1)</f>
        <v/>
      </c>
      <c r="N13664">
        <f>IF(ISERR(FIND("DECOUPE",Tableau1[[#This Row],[DESIGNATION]])),"","NEED REF")</f>
        <v/>
      </c>
    </row>
    <row r="13665">
      <c r="B13665" t="n">
        <v>34400340</v>
      </c>
      <c r="C13665" s="2" t="n">
        <v>37649</v>
      </c>
      <c r="D13665" t="inlineStr">
        <is>
          <t>SPEC</t>
        </is>
      </c>
      <c r="E13665" t="inlineStr">
        <is>
          <t>Limande de boucle APUZ/APUZ 25m</t>
        </is>
      </c>
      <c r="F13665" t="inlineStr">
        <is>
          <t>GALAXY</t>
        </is>
      </c>
      <c r="J13665" t="inlineStr">
        <is>
          <t>REVEL</t>
        </is>
      </c>
      <c r="L13665">
        <f>_xlfn.XLOOKUP(Tableau1[[#This Row],[TYPE DE PIECE]],Tableau4[MATIERE],Tableau4[SHORT TYPE],"",0,1)</f>
        <v/>
      </c>
      <c r="N13665">
        <f>IF(ISERR(FIND("DECOUPE",Tableau1[[#This Row],[DESIGNATION]])),"","NEED REF")</f>
        <v/>
      </c>
    </row>
    <row r="13666">
      <c r="B13666" t="n">
        <v>34400339</v>
      </c>
      <c r="C13666" s="2" t="n">
        <v>37649</v>
      </c>
      <c r="D13666" t="inlineStr">
        <is>
          <t>SPEC</t>
        </is>
      </c>
      <c r="E13666" t="inlineStr">
        <is>
          <t>Limande de boucle APOZ/APOZ 100m</t>
        </is>
      </c>
      <c r="F13666" t="inlineStr">
        <is>
          <t>GALAXY</t>
        </is>
      </c>
      <c r="J13666" t="inlineStr">
        <is>
          <t>REVEL</t>
        </is>
      </c>
      <c r="L13666">
        <f>_xlfn.XLOOKUP(Tableau1[[#This Row],[TYPE DE PIECE]],Tableau4[MATIERE],Tableau4[SHORT TYPE],"",0,1)</f>
        <v/>
      </c>
      <c r="N13666">
        <f>IF(ISERR(FIND("DECOUPE",Tableau1[[#This Row],[DESIGNATION]])),"","NEED REF")</f>
        <v/>
      </c>
    </row>
    <row r="13667">
      <c r="B13667" t="n">
        <v>34400338</v>
      </c>
      <c r="C13667" s="2" t="n">
        <v>37649</v>
      </c>
      <c r="D13667" t="inlineStr">
        <is>
          <t>SPEC</t>
        </is>
      </c>
      <c r="E13667" t="inlineStr">
        <is>
          <t>Limande de boucle APOZ/APOZ 75m</t>
        </is>
      </c>
      <c r="F13667" t="inlineStr">
        <is>
          <t>GALAXY</t>
        </is>
      </c>
      <c r="J13667" t="inlineStr">
        <is>
          <t>REVEL</t>
        </is>
      </c>
      <c r="L13667">
        <f>_xlfn.XLOOKUP(Tableau1[[#This Row],[TYPE DE PIECE]],Tableau4[MATIERE],Tableau4[SHORT TYPE],"",0,1)</f>
        <v/>
      </c>
      <c r="N13667">
        <f>IF(ISERR(FIND("DECOUPE",Tableau1[[#This Row],[DESIGNATION]])),"","NEED REF")</f>
        <v/>
      </c>
    </row>
    <row r="13668">
      <c r="B13668" t="n">
        <v>34400337</v>
      </c>
      <c r="C13668" s="2" t="n">
        <v>37649</v>
      </c>
      <c r="D13668" t="inlineStr">
        <is>
          <t>SPEC</t>
        </is>
      </c>
      <c r="E13668" t="inlineStr">
        <is>
          <t>Limande de boucle APOZ/APOZ 50m</t>
        </is>
      </c>
      <c r="F13668" t="inlineStr">
        <is>
          <t>GALAXY</t>
        </is>
      </c>
      <c r="J13668" t="inlineStr">
        <is>
          <t>REVEL</t>
        </is>
      </c>
      <c r="L13668">
        <f>_xlfn.XLOOKUP(Tableau1[[#This Row],[TYPE DE PIECE]],Tableau4[MATIERE],Tableau4[SHORT TYPE],"",0,1)</f>
        <v/>
      </c>
      <c r="N13668">
        <f>IF(ISERR(FIND("DECOUPE",Tableau1[[#This Row],[DESIGNATION]])),"","NEED REF")</f>
        <v/>
      </c>
    </row>
    <row r="13669">
      <c r="B13669" t="n">
        <v>34400336</v>
      </c>
      <c r="C13669" s="2" t="n">
        <v>37645</v>
      </c>
      <c r="D13669" t="inlineStr">
        <is>
          <t>CDC</t>
        </is>
      </c>
      <c r="E13669" t="inlineStr">
        <is>
          <t>Skid pour PW 1050 + bat 1015</t>
        </is>
      </c>
      <c r="F13669" t="inlineStr">
        <is>
          <t>GALAXY PW</t>
        </is>
      </c>
      <c r="J13669" t="inlineStr">
        <is>
          <t>REVEL</t>
        </is>
      </c>
      <c r="L13669">
        <f>_xlfn.XLOOKUP(Tableau1[[#This Row],[TYPE DE PIECE]],Tableau4[MATIERE],Tableau4[SHORT TYPE],"",0,1)</f>
        <v/>
      </c>
      <c r="N13669">
        <f>IF(ISERR(FIND("DECOUPE",Tableau1[[#This Row],[DESIGNATION]])),"","NEED REF")</f>
        <v/>
      </c>
    </row>
    <row r="13670">
      <c r="B13670" t="n">
        <v>34400335</v>
      </c>
      <c r="C13670" s="2" t="n">
        <v>37644</v>
      </c>
      <c r="D13670" t="inlineStr">
        <is>
          <t>CDC</t>
        </is>
      </c>
      <c r="E13670" t="inlineStr">
        <is>
          <t>Armoire MEPC DCBUS 400kVA</t>
        </is>
      </c>
      <c r="F13670" t="inlineStr">
        <is>
          <t>GALAXY</t>
        </is>
      </c>
      <c r="J13670" t="inlineStr">
        <is>
          <t>FERRIER</t>
        </is>
      </c>
      <c r="L13670">
        <f>_xlfn.XLOOKUP(Tableau1[[#This Row],[TYPE DE PIECE]],Tableau4[MATIERE],Tableau4[SHORT TYPE],"",0,1)</f>
        <v/>
      </c>
      <c r="N13670">
        <f>IF(ISERR(FIND("DECOUPE",Tableau1[[#This Row],[DESIGNATION]])),"","NEED REF")</f>
        <v/>
      </c>
    </row>
    <row r="13671">
      <c r="B13671" t="n">
        <v>34400334</v>
      </c>
      <c r="C13671" s="2" t="n">
        <v>37643</v>
      </c>
      <c r="D13671" t="inlineStr">
        <is>
          <t>NOM</t>
        </is>
      </c>
      <c r="E13671" t="inlineStr">
        <is>
          <t>CPI EM9 DANS ASI ASSERVI R2</t>
        </is>
      </c>
      <c r="F13671" t="inlineStr">
        <is>
          <t>GALAXY PW</t>
        </is>
      </c>
      <c r="J13671" t="inlineStr">
        <is>
          <t>REVEL</t>
        </is>
      </c>
      <c r="L13671">
        <f>_xlfn.XLOOKUP(Tableau1[[#This Row],[TYPE DE PIECE]],Tableau4[MATIERE],Tableau4[SHORT TYPE],"",0,1)</f>
        <v/>
      </c>
      <c r="N13671">
        <f>IF(ISERR(FIND("DECOUPE",Tableau1[[#This Row],[DESIGNATION]])),"","NEED REF")</f>
        <v/>
      </c>
    </row>
    <row r="13672">
      <c r="B13672" t="n">
        <v>34400333</v>
      </c>
      <c r="C13672" s="2" t="n">
        <v>37642</v>
      </c>
      <c r="D13672" t="inlineStr">
        <is>
          <t>SPEC</t>
        </is>
      </c>
      <c r="E13672" t="inlineStr">
        <is>
          <t>Decoupe porte pour EM9</t>
        </is>
      </c>
      <c r="F13672" t="inlineStr">
        <is>
          <t>Galaxy PW 80-200kVA</t>
        </is>
      </c>
      <c r="J13672" t="inlineStr">
        <is>
          <t>REVEL</t>
        </is>
      </c>
      <c r="L13672">
        <f>_xlfn.XLOOKUP(Tableau1[[#This Row],[TYPE DE PIECE]],Tableau4[MATIERE],Tableau4[SHORT TYPE],"",0,1)</f>
        <v/>
      </c>
      <c r="N13672">
        <f>IF(ISERR(FIND("DECOUPE",Tableau1[[#This Row],[DESIGNATION]])),"","NEED REF")</f>
        <v/>
      </c>
    </row>
    <row r="13673">
      <c r="B13673" t="n">
        <v>34400332</v>
      </c>
      <c r="C13673" s="2" t="n">
        <v>37642</v>
      </c>
      <c r="D13673" t="inlineStr">
        <is>
          <t>CDC</t>
        </is>
      </c>
      <c r="E13673" t="inlineStr">
        <is>
          <t>SKID NAVIRE L32</t>
        </is>
      </c>
      <c r="F13673" t="inlineStr">
        <is>
          <t>GALAXY 200kVA + ATFO 200k</t>
        </is>
      </c>
      <c r="J13673" t="inlineStr">
        <is>
          <t>ROBERT</t>
        </is>
      </c>
      <c r="L13673">
        <f>_xlfn.XLOOKUP(Tableau1[[#This Row],[TYPE DE PIECE]],Tableau4[MATIERE],Tableau4[SHORT TYPE],"",0,1)</f>
        <v/>
      </c>
      <c r="N13673">
        <f>IF(ISERR(FIND("DECOUPE",Tableau1[[#This Row],[DESIGNATION]])),"","NEED REF")</f>
        <v/>
      </c>
    </row>
    <row r="13674">
      <c r="B13674" t="n">
        <v>34400331</v>
      </c>
      <c r="C13674" s="2" t="n">
        <v>37638</v>
      </c>
      <c r="D13674" t="inlineStr">
        <is>
          <t>SPEC</t>
        </is>
      </c>
      <c r="E13674" t="inlineStr">
        <is>
          <t>Specificatoin de surcouchage peinture</t>
        </is>
      </c>
      <c r="F13674" t="inlineStr">
        <is>
          <t>Toute Gamme</t>
        </is>
      </c>
      <c r="J13674" t="inlineStr">
        <is>
          <t>REVEL</t>
        </is>
      </c>
      <c r="L13674">
        <f>_xlfn.XLOOKUP(Tableau1[[#This Row],[TYPE DE PIECE]],Tableau4[MATIERE],Tableau4[SHORT TYPE],"",0,1)</f>
        <v/>
      </c>
      <c r="N13674">
        <f>IF(ISERR(FIND("DECOUPE",Tableau1[[#This Row],[DESIGNATION]])),"","NEED REF")</f>
        <v/>
      </c>
    </row>
    <row r="13675">
      <c r="B13675" t="n">
        <v>34400330</v>
      </c>
      <c r="C13675" s="2" t="n">
        <v>37638</v>
      </c>
      <c r="D13675" t="inlineStr">
        <is>
          <t>NOM</t>
        </is>
      </c>
      <c r="E13675" t="inlineStr">
        <is>
          <t xml:space="preserve">LG Lot de carte PDR </t>
        </is>
      </c>
      <c r="F13675" t="inlineStr">
        <is>
          <t>GALAXY 440V</t>
        </is>
      </c>
      <c r="J13675" t="inlineStr">
        <is>
          <t>REVEL</t>
        </is>
      </c>
      <c r="L13675">
        <f>_xlfn.XLOOKUP(Tableau1[[#This Row],[TYPE DE PIECE]],Tableau4[MATIERE],Tableau4[SHORT TYPE],"",0,1)</f>
        <v/>
      </c>
      <c r="N13675">
        <f>IF(ISERR(FIND("DECOUPE",Tableau1[[#This Row],[DESIGNATION]])),"","NEED REF")</f>
        <v/>
      </c>
    </row>
    <row r="13676">
      <c r="B13676" t="n">
        <v>34400329</v>
      </c>
      <c r="C13676" s="2" t="n">
        <v>37635</v>
      </c>
      <c r="D13676" t="inlineStr">
        <is>
          <t>DOC</t>
        </is>
      </c>
      <c r="E13676" t="inlineStr">
        <is>
          <t>Dossier d'adaptation SETCOM</t>
        </is>
      </c>
      <c r="F13676" t="inlineStr">
        <is>
          <t>COMET</t>
        </is>
      </c>
      <c r="J13676" t="inlineStr">
        <is>
          <t>FERRIER</t>
        </is>
      </c>
      <c r="L13676">
        <f>_xlfn.XLOOKUP(Tableau1[[#This Row],[TYPE DE PIECE]],Tableau4[MATIERE],Tableau4[SHORT TYPE],"",0,1)</f>
        <v/>
      </c>
      <c r="N13676">
        <f>IF(ISERR(FIND("DECOUPE",Tableau1[[#This Row],[DESIGNATION]])),"","NEED REF")</f>
        <v/>
      </c>
    </row>
    <row r="13677">
      <c r="B13677" t="n">
        <v>34400328</v>
      </c>
      <c r="C13677" s="2" t="n">
        <v>37631</v>
      </c>
      <c r="D13677" t="inlineStr">
        <is>
          <t>SPEC</t>
        </is>
      </c>
      <c r="E13677" t="inlineStr">
        <is>
          <t>SERIGRAPHIE STS 20A CHLORIDE</t>
        </is>
      </c>
      <c r="F13677" t="inlineStr">
        <is>
          <t>STS 20A CHLORIDE</t>
        </is>
      </c>
      <c r="J13677" t="inlineStr">
        <is>
          <t>ÇAKIR</t>
        </is>
      </c>
      <c r="L13677">
        <f>_xlfn.XLOOKUP(Tableau1[[#This Row],[TYPE DE PIECE]],Tableau4[MATIERE],Tableau4[SHORT TYPE],"",0,1)</f>
        <v/>
      </c>
      <c r="N13677">
        <f>IF(ISERR(FIND("DECOUPE",Tableau1[[#This Row],[DESIGNATION]])),"","NEED REF")</f>
        <v/>
      </c>
    </row>
    <row r="13678">
      <c r="B13678" t="n">
        <v>34400327</v>
      </c>
      <c r="C13678" s="2" t="n">
        <v>37629</v>
      </c>
      <c r="D13678" t="inlineStr">
        <is>
          <t>SPEC</t>
        </is>
      </c>
      <c r="E13678" t="inlineStr">
        <is>
          <t>Cable blindé de mise en parallele de Sinewave</t>
        </is>
      </c>
      <c r="F13678" t="inlineStr">
        <is>
          <t>SINEWAVE 30-60-120A //</t>
        </is>
      </c>
      <c r="J13678" t="inlineStr">
        <is>
          <t>FERRIER</t>
        </is>
      </c>
      <c r="L13678">
        <f>_xlfn.XLOOKUP(Tableau1[[#This Row],[TYPE DE PIECE]],Tableau4[MATIERE],Tableau4[SHORT TYPE],"",0,1)</f>
        <v/>
      </c>
      <c r="N13678">
        <f>IF(ISERR(FIND("DECOUPE",Tableau1[[#This Row],[DESIGNATION]])),"","NEED REF")</f>
        <v/>
      </c>
    </row>
    <row r="13679">
      <c r="B13679" t="n">
        <v>34400326</v>
      </c>
      <c r="C13679" s="2" t="n">
        <v>37629</v>
      </c>
      <c r="D13679" t="inlineStr">
        <is>
          <t>SPEC</t>
        </is>
      </c>
      <c r="E13679" t="inlineStr">
        <is>
          <t>Plastron autocollant Telemonitor</t>
        </is>
      </c>
      <c r="F13679" t="inlineStr">
        <is>
          <t>GAL PW BY PASS 600KVA</t>
        </is>
      </c>
      <c r="J13679" t="inlineStr">
        <is>
          <t>REVEL</t>
        </is>
      </c>
      <c r="L13679">
        <f>_xlfn.XLOOKUP(Tableau1[[#This Row],[TYPE DE PIECE]],Tableau4[MATIERE],Tableau4[SHORT TYPE],"",0,1)</f>
        <v/>
      </c>
      <c r="N13679">
        <f>IF(ISERR(FIND("DECOUPE",Tableau1[[#This Row],[DESIGNATION]])),"","NEED REF")</f>
        <v/>
      </c>
    </row>
    <row r="13680">
      <c r="B13680" t="n">
        <v>34400325</v>
      </c>
      <c r="C13680" s="2" t="n">
        <v>37629</v>
      </c>
      <c r="D13680" t="inlineStr">
        <is>
          <t>SPEC</t>
        </is>
      </c>
      <c r="E13680" t="inlineStr">
        <is>
          <t>Porte arm by pass decoupe TeleMonitor</t>
        </is>
      </c>
      <c r="F13680" t="inlineStr">
        <is>
          <t>GAL PW BY PASS 600KVA</t>
        </is>
      </c>
      <c r="J13680" t="inlineStr">
        <is>
          <t>REVEL</t>
        </is>
      </c>
      <c r="L13680">
        <f>_xlfn.XLOOKUP(Tableau1[[#This Row],[TYPE DE PIECE]],Tableau4[MATIERE],Tableau4[SHORT TYPE],"",0,1)</f>
        <v/>
      </c>
      <c r="N13680">
        <f>IF(ISERR(FIND("DECOUPE",Tableau1[[#This Row],[DESIGNATION]])),"","NEED REF")</f>
        <v/>
      </c>
    </row>
    <row r="13681">
      <c r="B13681" t="n">
        <v>34400324</v>
      </c>
      <c r="C13681" s="2" t="n">
        <v>37628</v>
      </c>
      <c r="D13681" t="inlineStr">
        <is>
          <t>NOM</t>
        </is>
      </c>
      <c r="E13681" t="inlineStr">
        <is>
          <t>NOM ARM COUPLAGE 200-250kVA</t>
        </is>
      </c>
      <c r="F13681" t="inlineStr">
        <is>
          <t>GALAXY 200-250kVA</t>
        </is>
      </c>
      <c r="J13681" t="inlineStr">
        <is>
          <t>FOLTZ</t>
        </is>
      </c>
      <c r="L13681">
        <f>_xlfn.XLOOKUP(Tableau1[[#This Row],[TYPE DE PIECE]],Tableau4[MATIERE],Tableau4[SHORT TYPE],"",0,1)</f>
        <v/>
      </c>
      <c r="N13681">
        <f>IF(ISERR(FIND("DECOUPE",Tableau1[[#This Row],[DESIGNATION]])),"","NEED REF")</f>
        <v/>
      </c>
    </row>
    <row r="13682">
      <c r="B13682" t="n">
        <v>34400323</v>
      </c>
      <c r="C13682" s="2" t="n">
        <v>37627</v>
      </c>
      <c r="D13682" t="inlineStr">
        <is>
          <t>CDC</t>
        </is>
      </c>
      <c r="E13682" t="inlineStr">
        <is>
          <t>Caillebotis marine 31 P12V2130</t>
        </is>
      </c>
      <c r="F13682" t="inlineStr">
        <is>
          <t>Arm bat PW 1015*1900</t>
        </is>
      </c>
      <c r="J13682" t="inlineStr">
        <is>
          <t>REVEL</t>
        </is>
      </c>
      <c r="L13682">
        <f>_xlfn.XLOOKUP(Tableau1[[#This Row],[TYPE DE PIECE]],Tableau4[MATIERE],Tableau4[SHORT TYPE],"",0,1)</f>
        <v/>
      </c>
      <c r="N13682">
        <f>IF(ISERR(FIND("DECOUPE",Tableau1[[#This Row],[DESIGNATION]])),"","NEED REF")</f>
        <v/>
      </c>
    </row>
    <row r="13683">
      <c r="B13683" t="n">
        <v>34400322</v>
      </c>
      <c r="C13683" s="2" t="n">
        <v>37627</v>
      </c>
      <c r="D13683" t="inlineStr">
        <is>
          <t>NOM</t>
        </is>
      </c>
      <c r="E13683" t="inlineStr">
        <is>
          <t xml:space="preserve">LG IP 22 PEINT A COMMISSION </t>
        </is>
      </c>
      <c r="F13683" t="inlineStr">
        <is>
          <t>ARM BAT 1015*1900</t>
        </is>
      </c>
      <c r="J13683" t="inlineStr">
        <is>
          <t>REVEL</t>
        </is>
      </c>
      <c r="L13683">
        <f>_xlfn.XLOOKUP(Tableau1[[#This Row],[TYPE DE PIECE]],Tableau4[MATIERE],Tableau4[SHORT TYPE],"",0,1)</f>
        <v/>
      </c>
      <c r="N13683">
        <f>IF(ISERR(FIND("DECOUPE",Tableau1[[#This Row],[DESIGNATION]])),"","NEED REF")</f>
        <v/>
      </c>
    </row>
    <row r="13684">
      <c r="B13684" t="n">
        <v>34400321</v>
      </c>
      <c r="C13684" s="2" t="n">
        <v>37624</v>
      </c>
      <c r="D13684" t="inlineStr">
        <is>
          <t>NOM</t>
        </is>
      </c>
      <c r="E13684" t="inlineStr">
        <is>
          <t>LG SERRURE TRIANGLE arm bat aux</t>
        </is>
      </c>
      <c r="F13684" t="inlineStr">
        <is>
          <t>GALAXY PW L=1015/1215</t>
        </is>
      </c>
      <c r="J13684" t="inlineStr">
        <is>
          <t>REVEL</t>
        </is>
      </c>
      <c r="L13684">
        <f>_xlfn.XLOOKUP(Tableau1[[#This Row],[TYPE DE PIECE]],Tableau4[MATIERE],Tableau4[SHORT TYPE],"",0,1)</f>
        <v/>
      </c>
      <c r="N13684">
        <f>IF(ISERR(FIND("DECOUPE",Tableau1[[#This Row],[DESIGNATION]])),"","NEED REF")</f>
        <v/>
      </c>
    </row>
    <row r="13685">
      <c r="B13685" t="n">
        <v>34400320</v>
      </c>
      <c r="C13685" s="2" t="n">
        <v>37624</v>
      </c>
      <c r="D13685" t="inlineStr">
        <is>
          <t>SPEC</t>
        </is>
      </c>
      <c r="E13685" t="inlineStr">
        <is>
          <t xml:space="preserve">PORTE IP22 AVEC EM9 </t>
        </is>
      </c>
      <c r="F13685" t="inlineStr">
        <is>
          <t>GALAXY PW 20-60KVA 1900</t>
        </is>
      </c>
      <c r="J13685" t="inlineStr">
        <is>
          <t>REVEL</t>
        </is>
      </c>
      <c r="L13685">
        <f>_xlfn.XLOOKUP(Tableau1[[#This Row],[TYPE DE PIECE]],Tableau4[MATIERE],Tableau4[SHORT TYPE],"",0,1)</f>
        <v/>
      </c>
      <c r="N13685">
        <f>IF(ISERR(FIND("DECOUPE",Tableau1[[#This Row],[DESIGNATION]])),"","NEED REF")</f>
        <v/>
      </c>
    </row>
    <row r="13686">
      <c r="B13686" t="n">
        <v>34400319</v>
      </c>
      <c r="C13686" s="2" t="n">
        <v>37624</v>
      </c>
      <c r="D13686" t="inlineStr">
        <is>
          <t>NOM</t>
        </is>
      </c>
      <c r="E13686" t="inlineStr">
        <is>
          <t>LG IP 22 PEINT A COM + EM9 PORTE</t>
        </is>
      </c>
      <c r="F13686" t="inlineStr">
        <is>
          <t>GALAXY PW 20-60KVA 1900</t>
        </is>
      </c>
      <c r="J13686" t="inlineStr">
        <is>
          <t>REVEL</t>
        </is>
      </c>
      <c r="L13686">
        <f>_xlfn.XLOOKUP(Tableau1[[#This Row],[TYPE DE PIECE]],Tableau4[MATIERE],Tableau4[SHORT TYPE],"",0,1)</f>
        <v/>
      </c>
      <c r="N13686">
        <f>IF(ISERR(FIND("DECOUPE",Tableau1[[#This Row],[DESIGNATION]])),"","NEED REF")</f>
        <v/>
      </c>
    </row>
    <row r="13687">
      <c r="B13687" t="n">
        <v>34400318</v>
      </c>
      <c r="C13687" s="2" t="n">
        <v>37624</v>
      </c>
      <c r="D13687" t="inlineStr">
        <is>
          <t>NOM</t>
        </is>
      </c>
      <c r="E13687" t="inlineStr">
        <is>
          <t xml:space="preserve">LG IP 22 PEINT A COMMISSION </t>
        </is>
      </c>
      <c r="F13687" t="inlineStr">
        <is>
          <t>GALAXY PW 20-60KVA 1900</t>
        </is>
      </c>
      <c r="J13687" t="inlineStr">
        <is>
          <t>REVEL</t>
        </is>
      </c>
      <c r="L13687">
        <f>_xlfn.XLOOKUP(Tableau1[[#This Row],[TYPE DE PIECE]],Tableau4[MATIERE],Tableau4[SHORT TYPE],"",0,1)</f>
        <v/>
      </c>
      <c r="N13687">
        <f>IF(ISERR(FIND("DECOUPE",Tableau1[[#This Row],[DESIGNATION]])),"","NEED REF")</f>
        <v/>
      </c>
    </row>
    <row r="13688">
      <c r="B13688" t="n">
        <v>34400317</v>
      </c>
      <c r="C13688" s="2" t="n">
        <v>37624</v>
      </c>
      <c r="D13688" t="inlineStr">
        <is>
          <t>NOM</t>
        </is>
      </c>
      <c r="E13688" t="inlineStr">
        <is>
          <t>CPI EM9 DANS ASI</t>
        </is>
      </c>
      <c r="F13688" t="inlineStr">
        <is>
          <t>GALAXY PW</t>
        </is>
      </c>
      <c r="J13688" t="inlineStr">
        <is>
          <t>REVEL</t>
        </is>
      </c>
      <c r="L13688">
        <f>_xlfn.XLOOKUP(Tableau1[[#This Row],[TYPE DE PIECE]],Tableau4[MATIERE],Tableau4[SHORT TYPE],"",0,1)</f>
        <v/>
      </c>
      <c r="N13688">
        <f>IF(ISERR(FIND("DECOUPE",Tableau1[[#This Row],[DESIGNATION]])),"","NEED REF")</f>
        <v/>
      </c>
    </row>
    <row r="13689">
      <c r="B13689" t="n">
        <v>34400316</v>
      </c>
      <c r="C13689" s="2" t="n">
        <v>37621</v>
      </c>
      <c r="E13689" t="inlineStr">
        <is>
          <t>STS 16A A BORNIER</t>
        </is>
      </c>
      <c r="J13689" t="inlineStr">
        <is>
          <t>ÇAKIR</t>
        </is>
      </c>
      <c r="L13689">
        <f>_xlfn.XLOOKUP(Tableau1[[#This Row],[TYPE DE PIECE]],Tableau4[MATIERE],Tableau4[SHORT TYPE],"",0,1)</f>
        <v/>
      </c>
      <c r="N13689">
        <f>IF(ISERR(FIND("DECOUPE",Tableau1[[#This Row],[DESIGNATION]])),"","NEED REF")</f>
        <v/>
      </c>
    </row>
    <row r="13690">
      <c r="B13690" t="n">
        <v>34400315</v>
      </c>
      <c r="C13690" s="2" t="n">
        <v>37621</v>
      </c>
      <c r="E13690" t="inlineStr">
        <is>
          <t>STS 16A A BORNIER</t>
        </is>
      </c>
      <c r="J13690" t="inlineStr">
        <is>
          <t>ÇAKIR</t>
        </is>
      </c>
      <c r="L13690">
        <f>_xlfn.XLOOKUP(Tableau1[[#This Row],[TYPE DE PIECE]],Tableau4[MATIERE],Tableau4[SHORT TYPE],"",0,1)</f>
        <v/>
      </c>
      <c r="N13690">
        <f>IF(ISERR(FIND("DECOUPE",Tableau1[[#This Row],[DESIGNATION]])),"","NEED REF")</f>
        <v/>
      </c>
    </row>
    <row r="13691">
      <c r="B13691" t="n">
        <v>34400314</v>
      </c>
      <c r="C13691" s="2" t="n">
        <v>37621</v>
      </c>
      <c r="D13691" t="inlineStr">
        <is>
          <t>SPEC</t>
        </is>
      </c>
      <c r="E13691" t="inlineStr">
        <is>
          <t>KIT FILERIE STS 16A A BORNIER</t>
        </is>
      </c>
      <c r="F13691" t="inlineStr">
        <is>
          <t>PULSAR</t>
        </is>
      </c>
      <c r="J13691" t="inlineStr">
        <is>
          <t>ÇAKIR</t>
        </is>
      </c>
      <c r="L13691">
        <f>_xlfn.XLOOKUP(Tableau1[[#This Row],[TYPE DE PIECE]],Tableau4[MATIERE],Tableau4[SHORT TYPE],"",0,1)</f>
        <v/>
      </c>
      <c r="N13691">
        <f>IF(ISERR(FIND("DECOUPE",Tableau1[[#This Row],[DESIGNATION]])),"","NEED REF")</f>
        <v/>
      </c>
    </row>
    <row r="13692">
      <c r="B13692" t="n">
        <v>34400313</v>
      </c>
      <c r="C13692" s="2" t="n">
        <v>37621</v>
      </c>
      <c r="D13692" t="inlineStr">
        <is>
          <t>SPEC</t>
        </is>
      </c>
      <c r="E13692" t="inlineStr">
        <is>
          <t>CAPOT PRESSE-ETOUPE STS 16A A BORNIER</t>
        </is>
      </c>
      <c r="F13692" t="inlineStr">
        <is>
          <t>PULSAR</t>
        </is>
      </c>
      <c r="J13692" t="inlineStr">
        <is>
          <t>ÇAKIR</t>
        </is>
      </c>
      <c r="L13692">
        <f>_xlfn.XLOOKUP(Tableau1[[#This Row],[TYPE DE PIECE]],Tableau4[MATIERE],Tableau4[SHORT TYPE],"",0,1)</f>
        <v/>
      </c>
      <c r="N13692">
        <f>IF(ISERR(FIND("DECOUPE",Tableau1[[#This Row],[DESIGNATION]])),"","NEED REF")</f>
        <v/>
      </c>
    </row>
    <row r="13693">
      <c r="B13693" t="n">
        <v>34400312</v>
      </c>
      <c r="C13693" s="2" t="n">
        <v>37621</v>
      </c>
      <c r="D13693" t="inlineStr">
        <is>
          <t>SPEC</t>
        </is>
      </c>
      <c r="E13693" t="inlineStr">
        <is>
          <t>PLAQUE ARRIERE STS 16A A BORNIER</t>
        </is>
      </c>
      <c r="F13693" t="inlineStr">
        <is>
          <t>PULSAR</t>
        </is>
      </c>
      <c r="J13693" t="inlineStr">
        <is>
          <t>ÇAKIR</t>
        </is>
      </c>
      <c r="L13693">
        <f>_xlfn.XLOOKUP(Tableau1[[#This Row],[TYPE DE PIECE]],Tableau4[MATIERE],Tableau4[SHORT TYPE],"",0,1)</f>
        <v/>
      </c>
      <c r="N13693">
        <f>IF(ISERR(FIND("DECOUPE",Tableau1[[#This Row],[DESIGNATION]])),"","NEED REF")</f>
        <v/>
      </c>
    </row>
    <row r="13694">
      <c r="B13694" t="n">
        <v>34400311</v>
      </c>
      <c r="C13694" s="2" t="n">
        <v>37617</v>
      </c>
      <c r="D13694" t="inlineStr">
        <is>
          <t>CDC</t>
        </is>
      </c>
      <c r="E13694" t="inlineStr">
        <is>
          <t>STS 16A A BORNIER</t>
        </is>
      </c>
      <c r="F13694" t="inlineStr">
        <is>
          <t>PULSAR</t>
        </is>
      </c>
      <c r="J13694" t="inlineStr">
        <is>
          <t>ÇAKIR</t>
        </is>
      </c>
      <c r="L13694">
        <f>_xlfn.XLOOKUP(Tableau1[[#This Row],[TYPE DE PIECE]],Tableau4[MATIERE],Tableau4[SHORT TYPE],"",0,1)</f>
        <v/>
      </c>
      <c r="N13694">
        <f>IF(ISERR(FIND("DECOUPE",Tableau1[[#This Row],[DESIGNATION]])),"","NEED REF")</f>
        <v/>
      </c>
    </row>
    <row r="13695">
      <c r="B13695" t="n">
        <v>34400310</v>
      </c>
      <c r="C13695" s="2" t="n">
        <v>37610</v>
      </c>
      <c r="D13695" t="inlineStr">
        <is>
          <t>SPEC</t>
        </is>
      </c>
      <c r="E13695" t="inlineStr">
        <is>
          <t>DURCISSEMENT ROUTE</t>
        </is>
      </c>
      <c r="F13695" t="inlineStr">
        <is>
          <t>GALAXY 800kVA</t>
        </is>
      </c>
      <c r="J13695" t="inlineStr">
        <is>
          <t>ROBERT</t>
        </is>
      </c>
      <c r="L13695">
        <f>_xlfn.XLOOKUP(Tableau1[[#This Row],[TYPE DE PIECE]],Tableau4[MATIERE],Tableau4[SHORT TYPE],"",0,1)</f>
        <v/>
      </c>
      <c r="N13695">
        <f>IF(ISERR(FIND("DECOUPE",Tableau1[[#This Row],[DESIGNATION]])),"","NEED REF")</f>
        <v/>
      </c>
    </row>
    <row r="13696">
      <c r="B13696" t="n">
        <v>34400309</v>
      </c>
      <c r="C13696" s="2" t="n">
        <v>37610</v>
      </c>
      <c r="D13696" t="inlineStr">
        <is>
          <t>NOM</t>
        </is>
      </c>
      <c r="E13696" t="inlineStr">
        <is>
          <t>LEGENDE PEINTURE A COMMISSION</t>
        </is>
      </c>
      <c r="F13696" t="inlineStr">
        <is>
          <t>UPSILON STS 160A 3P</t>
        </is>
      </c>
      <c r="J13696" t="inlineStr">
        <is>
          <t>ROBERT</t>
        </is>
      </c>
      <c r="L13696">
        <f>_xlfn.XLOOKUP(Tableau1[[#This Row],[TYPE DE PIECE]],Tableau4[MATIERE],Tableau4[SHORT TYPE],"",0,1)</f>
        <v/>
      </c>
      <c r="N13696">
        <f>IF(ISERR(FIND("DECOUPE",Tableau1[[#This Row],[DESIGNATION]])),"","NEED REF")</f>
        <v/>
      </c>
    </row>
    <row r="13697">
      <c r="B13697" t="n">
        <v>34400308</v>
      </c>
      <c r="C13697" s="2" t="n">
        <v>37610</v>
      </c>
      <c r="D13697" t="inlineStr">
        <is>
          <t>CDC</t>
        </is>
      </c>
      <c r="E13697" t="inlineStr">
        <is>
          <t>Prise debrochable pour arm, batt</t>
        </is>
      </c>
      <c r="F13697" t="inlineStr">
        <is>
          <t>Galaxy PW 40kVA</t>
        </is>
      </c>
      <c r="J13697" t="inlineStr">
        <is>
          <t>REVEL</t>
        </is>
      </c>
      <c r="L13697">
        <f>_xlfn.XLOOKUP(Tableau1[[#This Row],[TYPE DE PIECE]],Tableau4[MATIERE],Tableau4[SHORT TYPE],"",0,1)</f>
        <v/>
      </c>
      <c r="N13697">
        <f>IF(ISERR(FIND("DECOUPE",Tableau1[[#This Row],[DESIGNATION]])),"","NEED REF")</f>
        <v/>
      </c>
    </row>
    <row r="13698">
      <c r="B13698" t="n">
        <v>34400307</v>
      </c>
      <c r="C13698" s="2" t="n">
        <v>37609</v>
      </c>
      <c r="D13698" t="inlineStr">
        <is>
          <t>CDC</t>
        </is>
      </c>
      <c r="E13698" t="inlineStr">
        <is>
          <t>Chargeur et TFO en Armoire COMET</t>
        </is>
      </c>
      <c r="F13698" t="inlineStr">
        <is>
          <t>Comet S31 10kVA &amp; 20kVA</t>
        </is>
      </c>
      <c r="J13698" t="inlineStr">
        <is>
          <t>SUAU</t>
        </is>
      </c>
      <c r="L13698">
        <f>_xlfn.XLOOKUP(Tableau1[[#This Row],[TYPE DE PIECE]],Tableau4[MATIERE],Tableau4[SHORT TYPE],"",0,1)</f>
        <v/>
      </c>
      <c r="N13698">
        <f>IF(ISERR(FIND("DECOUPE",Tableau1[[#This Row],[DESIGNATION]])),"","NEED REF")</f>
        <v/>
      </c>
    </row>
    <row r="13699">
      <c r="B13699" t="n">
        <v>34400306</v>
      </c>
      <c r="C13699" s="2" t="n">
        <v>37608</v>
      </c>
      <c r="D13699" t="inlineStr">
        <is>
          <t>CDC</t>
        </is>
      </c>
      <c r="E13699" t="inlineStr">
        <is>
          <t>Caillebotis marine 34 P12!V875</t>
        </is>
      </c>
      <c r="F13699" t="inlineStr">
        <is>
          <t>Arm bat Gal PW 1015*1400</t>
        </is>
      </c>
      <c r="J13699" t="inlineStr">
        <is>
          <t>REVEL</t>
        </is>
      </c>
      <c r="L13699">
        <f>_xlfn.XLOOKUP(Tableau1[[#This Row],[TYPE DE PIECE]],Tableau4[MATIERE],Tableau4[SHORT TYPE],"",0,1)</f>
        <v/>
      </c>
      <c r="N13699">
        <f>IF(ISERR(FIND("DECOUPE",Tableau1[[#This Row],[DESIGNATION]])),"","NEED REF")</f>
        <v/>
      </c>
    </row>
    <row r="13700">
      <c r="B13700" t="n">
        <v>34400305</v>
      </c>
      <c r="C13700" s="2" t="n">
        <v>37608</v>
      </c>
      <c r="D13700" t="inlineStr">
        <is>
          <t>NOM</t>
        </is>
      </c>
      <c r="E13700" t="inlineStr">
        <is>
          <t>LEGENDE PEINTURE A COMMISSION</t>
        </is>
      </c>
      <c r="F13700" t="inlineStr">
        <is>
          <t>GAL PW 20-60KVA H=1400</t>
        </is>
      </c>
      <c r="J13700" t="inlineStr">
        <is>
          <t>REVEL</t>
        </is>
      </c>
      <c r="L13700">
        <f>_xlfn.XLOOKUP(Tableau1[[#This Row],[TYPE DE PIECE]],Tableau4[MATIERE],Tableau4[SHORT TYPE],"",0,1)</f>
        <v/>
      </c>
      <c r="N13700">
        <f>IF(ISERR(FIND("DECOUPE",Tableau1[[#This Row],[DESIGNATION]])),"","NEED REF")</f>
        <v/>
      </c>
    </row>
    <row r="13701">
      <c r="B13701" t="n">
        <v>34400304</v>
      </c>
      <c r="C13701" s="2" t="n">
        <v>37608</v>
      </c>
      <c r="D13701" t="inlineStr">
        <is>
          <t>NOM</t>
        </is>
      </c>
      <c r="E13701" t="inlineStr">
        <is>
          <t>LEGENDE PEINTURE A COMMISSION</t>
        </is>
      </c>
      <c r="F13701" t="inlineStr">
        <is>
          <t>GAL PW ARM BAT 1015x1400</t>
        </is>
      </c>
      <c r="J13701" t="inlineStr">
        <is>
          <t>REVEL</t>
        </is>
      </c>
      <c r="L13701">
        <f>_xlfn.XLOOKUP(Tableau1[[#This Row],[TYPE DE PIECE]],Tableau4[MATIERE],Tableau4[SHORT TYPE],"",0,1)</f>
        <v/>
      </c>
      <c r="N13701">
        <f>IF(ISERR(FIND("DECOUPE",Tableau1[[#This Row],[DESIGNATION]])),"","NEED REF")</f>
        <v/>
      </c>
    </row>
    <row r="13702">
      <c r="B13702" t="n">
        <v>34400303</v>
      </c>
      <c r="C13702" s="2" t="n">
        <v>37607</v>
      </c>
      <c r="D13702" t="inlineStr">
        <is>
          <t>NOM</t>
        </is>
      </c>
      <c r="E13702" t="inlineStr">
        <is>
          <t>LEGENDE PEINTURE A COMMISSION</t>
        </is>
      </c>
      <c r="F13702" t="inlineStr">
        <is>
          <t>BY-PASS 600kVA GALAXY PW</t>
        </is>
      </c>
      <c r="J13702" t="inlineStr">
        <is>
          <t>ROBERT</t>
        </is>
      </c>
      <c r="L13702">
        <f>_xlfn.XLOOKUP(Tableau1[[#This Row],[TYPE DE PIECE]],Tableau4[MATIERE],Tableau4[SHORT TYPE],"",0,1)</f>
        <v/>
      </c>
      <c r="N13702">
        <f>IF(ISERR(FIND("DECOUPE",Tableau1[[#This Row],[DESIGNATION]])),"","NEED REF")</f>
        <v/>
      </c>
    </row>
    <row r="13703">
      <c r="B13703" t="n">
        <v>34400302</v>
      </c>
      <c r="C13703" s="2" t="n">
        <v>37607</v>
      </c>
      <c r="D13703" t="inlineStr">
        <is>
          <t>NOM</t>
        </is>
      </c>
      <c r="E13703" t="inlineStr">
        <is>
          <t>LEGENDE PEINTURE A COMMISSION</t>
        </is>
      </c>
      <c r="F13703" t="inlineStr">
        <is>
          <t>UPSILON STS 400A 3P</t>
        </is>
      </c>
      <c r="J13703" t="inlineStr">
        <is>
          <t>ROBERT</t>
        </is>
      </c>
      <c r="L13703">
        <f>_xlfn.XLOOKUP(Tableau1[[#This Row],[TYPE DE PIECE]],Tableau4[MATIERE],Tableau4[SHORT TYPE],"",0,1)</f>
        <v/>
      </c>
      <c r="N13703">
        <f>IF(ISERR(FIND("DECOUPE",Tableau1[[#This Row],[DESIGNATION]])),"","NEED REF")</f>
        <v/>
      </c>
    </row>
    <row r="13704">
      <c r="B13704" t="n">
        <v>34400301</v>
      </c>
      <c r="C13704" s="2" t="n">
        <v>37601</v>
      </c>
      <c r="D13704" t="inlineStr">
        <is>
          <t>SPEC</t>
        </is>
      </c>
      <c r="E13704" t="inlineStr">
        <is>
          <t>SUPPORT 2 DJ BATTERIE</t>
        </is>
      </c>
      <c r="F13704" t="inlineStr">
        <is>
          <t>GAL PW</t>
        </is>
      </c>
      <c r="J13704" t="inlineStr">
        <is>
          <t>FERRIER</t>
        </is>
      </c>
      <c r="L13704">
        <f>_xlfn.XLOOKUP(Tableau1[[#This Row],[TYPE DE PIECE]],Tableau4[MATIERE],Tableau4[SHORT TYPE],"",0,1)</f>
        <v/>
      </c>
      <c r="N13704">
        <f>IF(ISERR(FIND("DECOUPE",Tableau1[[#This Row],[DESIGNATION]])),"","NEED REF")</f>
        <v/>
      </c>
    </row>
    <row r="13705">
      <c r="B13705" t="n">
        <v>34400300</v>
      </c>
      <c r="C13705" s="2" t="n">
        <v>37601</v>
      </c>
      <c r="D13705" t="inlineStr">
        <is>
          <t xml:space="preserve">NOM </t>
        </is>
      </c>
      <c r="E13705" t="inlineStr">
        <is>
          <t>LEGENDE STRUCTURE ARM 1215</t>
        </is>
      </c>
      <c r="F13705" t="inlineStr">
        <is>
          <t>Gal PW arm aux 1215</t>
        </is>
      </c>
      <c r="J13705" t="inlineStr">
        <is>
          <t>REVEL</t>
        </is>
      </c>
      <c r="L13705">
        <f>_xlfn.XLOOKUP(Tableau1[[#This Row],[TYPE DE PIECE]],Tableau4[MATIERE],Tableau4[SHORT TYPE],"",0,1)</f>
        <v/>
      </c>
      <c r="N13705">
        <f>IF(ISERR(FIND("DECOUPE",Tableau1[[#This Row],[DESIGNATION]])),"","NEED REF")</f>
        <v/>
      </c>
    </row>
    <row r="13706">
      <c r="B13706" t="n">
        <v>34400299</v>
      </c>
      <c r="C13706" s="2" t="n">
        <v>37599</v>
      </c>
      <c r="D13706" t="inlineStr">
        <is>
          <t>NOM</t>
        </is>
      </c>
      <c r="E13706" t="inlineStr">
        <is>
          <t>LEGENDE IP32 PEINT A COMMISSION</t>
        </is>
      </c>
      <c r="F13706" t="inlineStr">
        <is>
          <t>Gal PW 200kVA/1215 TT</t>
        </is>
      </c>
      <c r="J13706" t="inlineStr">
        <is>
          <t>REVEL</t>
        </is>
      </c>
      <c r="L13706">
        <f>_xlfn.XLOOKUP(Tableau1[[#This Row],[TYPE DE PIECE]],Tableau4[MATIERE],Tableau4[SHORT TYPE],"",0,1)</f>
        <v/>
      </c>
      <c r="N13706">
        <f>IF(ISERR(FIND("DECOUPE",Tableau1[[#This Row],[DESIGNATION]])),"","NEED REF")</f>
        <v/>
      </c>
    </row>
    <row r="13707">
      <c r="B13707" t="n">
        <v>34400298</v>
      </c>
      <c r="C13707" s="2" t="n">
        <v>37599</v>
      </c>
      <c r="D13707" t="inlineStr">
        <is>
          <t>SPEC</t>
        </is>
      </c>
      <c r="E13707" t="inlineStr">
        <is>
          <t>Toit IP32</t>
        </is>
      </c>
      <c r="F13707" t="inlineStr">
        <is>
          <t>Gal PW 200kVA</t>
        </is>
      </c>
      <c r="J13707" t="inlineStr">
        <is>
          <t>REVEL</t>
        </is>
      </c>
      <c r="L13707">
        <f>_xlfn.XLOOKUP(Tableau1[[#This Row],[TYPE DE PIECE]],Tableau4[MATIERE],Tableau4[SHORT TYPE],"",0,1)</f>
        <v/>
      </c>
      <c r="N13707">
        <f>IF(ISERR(FIND("DECOUPE",Tableau1[[#This Row],[DESIGNATION]])),"","NEED REF")</f>
        <v/>
      </c>
    </row>
    <row r="13708">
      <c r="B13708" t="n">
        <v>34400297</v>
      </c>
      <c r="C13708" s="2" t="n">
        <v>37596</v>
      </c>
      <c r="D13708" t="inlineStr">
        <is>
          <t>SPEC</t>
        </is>
      </c>
      <c r="E13708" t="inlineStr">
        <is>
          <t>Plaque de fond IP32</t>
        </is>
      </c>
      <c r="F13708" t="inlineStr">
        <is>
          <t>Gal PW 200kVA</t>
        </is>
      </c>
      <c r="J13708" t="inlineStr">
        <is>
          <t>REVEL</t>
        </is>
      </c>
      <c r="L13708">
        <f>_xlfn.XLOOKUP(Tableau1[[#This Row],[TYPE DE PIECE]],Tableau4[MATIERE],Tableau4[SHORT TYPE],"",0,1)</f>
        <v/>
      </c>
      <c r="N13708">
        <f>IF(ISERR(FIND("DECOUPE",Tableau1[[#This Row],[DESIGNATION]])),"","NEED REF")</f>
        <v/>
      </c>
    </row>
    <row r="13709">
      <c r="B13709" t="n">
        <v>34400296</v>
      </c>
      <c r="C13709" s="2" t="n">
        <v>37596</v>
      </c>
      <c r="D13709" t="inlineStr">
        <is>
          <t>SPEC</t>
        </is>
      </c>
      <c r="E13709" t="inlineStr">
        <is>
          <t>Surtoit IP*2</t>
        </is>
      </c>
      <c r="F13709" t="inlineStr">
        <is>
          <t>Gal PW 200kVA</t>
        </is>
      </c>
      <c r="J13709" t="inlineStr">
        <is>
          <t>REVEL</t>
        </is>
      </c>
      <c r="L13709">
        <f>_xlfn.XLOOKUP(Tableau1[[#This Row],[TYPE DE PIECE]],Tableau4[MATIERE],Tableau4[SHORT TYPE],"",0,1)</f>
        <v/>
      </c>
      <c r="N13709">
        <f>IF(ISERR(FIND("DECOUPE",Tableau1[[#This Row],[DESIGNATION]])),"","NEED REF")</f>
        <v/>
      </c>
    </row>
    <row r="13710">
      <c r="B13710" t="n">
        <v>34400295</v>
      </c>
      <c r="C13710" s="2" t="n">
        <v>37596</v>
      </c>
      <c r="D13710" t="inlineStr">
        <is>
          <t>SPEC</t>
        </is>
      </c>
      <c r="E13710" t="inlineStr">
        <is>
          <t>Porte gauche IP32</t>
        </is>
      </c>
      <c r="F13710" t="inlineStr">
        <is>
          <t>Gal PW 200kVA</t>
        </is>
      </c>
      <c r="J13710" t="inlineStr">
        <is>
          <t>REVEL</t>
        </is>
      </c>
      <c r="L13710">
        <f>_xlfn.XLOOKUP(Tableau1[[#This Row],[TYPE DE PIECE]],Tableau4[MATIERE],Tableau4[SHORT TYPE],"",0,1)</f>
        <v/>
      </c>
      <c r="N13710">
        <f>IF(ISERR(FIND("DECOUPE",Tableau1[[#This Row],[DESIGNATION]])),"","NEED REF")</f>
        <v/>
      </c>
    </row>
    <row r="13711">
      <c r="B13711" t="n">
        <v>34400294</v>
      </c>
      <c r="C13711" s="2" t="n">
        <v>37595</v>
      </c>
      <c r="D13711" t="inlineStr">
        <is>
          <t>CDC</t>
        </is>
      </c>
      <c r="E13711" t="inlineStr">
        <is>
          <t>BY-PASS 600kva+4 NS400N en partie haut</t>
        </is>
      </c>
      <c r="F13711" t="inlineStr">
        <is>
          <t>GALAXY PW</t>
        </is>
      </c>
      <c r="J13711" t="inlineStr">
        <is>
          <t>ROBERT</t>
        </is>
      </c>
      <c r="L13711">
        <f>_xlfn.XLOOKUP(Tableau1[[#This Row],[TYPE DE PIECE]],Tableau4[MATIERE],Tableau4[SHORT TYPE],"",0,1)</f>
        <v/>
      </c>
      <c r="N13711">
        <f>IF(ISERR(FIND("DECOUPE",Tableau1[[#This Row],[DESIGNATION]])),"","NEED REF")</f>
        <v/>
      </c>
    </row>
    <row r="13712">
      <c r="B13712" t="n">
        <v>34400293</v>
      </c>
      <c r="C13712" s="2" t="n">
        <v>37594</v>
      </c>
      <c r="D13712" t="inlineStr">
        <is>
          <t>SPEC</t>
        </is>
      </c>
      <c r="E13712" t="inlineStr">
        <is>
          <t>limande intégration SYNI sur site</t>
        </is>
      </c>
      <c r="F13712" t="inlineStr">
        <is>
          <t>GALAXY 200 300 400 U</t>
        </is>
      </c>
      <c r="J13712" t="inlineStr">
        <is>
          <t>FERRIER</t>
        </is>
      </c>
      <c r="L13712">
        <f>_xlfn.XLOOKUP(Tableau1[[#This Row],[TYPE DE PIECE]],Tableau4[MATIERE],Tableau4[SHORT TYPE],"",0,1)</f>
        <v/>
      </c>
      <c r="N13712">
        <f>IF(ISERR(FIND("DECOUPE",Tableau1[[#This Row],[DESIGNATION]])),"","NEED REF")</f>
        <v/>
      </c>
    </row>
    <row r="13713">
      <c r="B13713" t="n">
        <v>34400292</v>
      </c>
      <c r="C13713" s="2" t="n">
        <v>38015</v>
      </c>
      <c r="D13713" t="inlineStr">
        <is>
          <t>CDC</t>
        </is>
      </c>
      <c r="E13713" t="inlineStr">
        <is>
          <t xml:space="preserve">Cahier des charges armoire batterie </t>
        </is>
      </c>
      <c r="F13713" t="inlineStr">
        <is>
          <t>MGE MAROC</t>
        </is>
      </c>
      <c r="J13713" t="inlineStr">
        <is>
          <t>FERRIER</t>
        </is>
      </c>
      <c r="L13713">
        <f>_xlfn.XLOOKUP(Tableau1[[#This Row],[TYPE DE PIECE]],Tableau4[MATIERE],Tableau4[SHORT TYPE],"",0,1)</f>
        <v/>
      </c>
      <c r="N13713">
        <f>IF(ISERR(FIND("DECOUPE",Tableau1[[#This Row],[DESIGNATION]])),"","NEED REF")</f>
        <v/>
      </c>
    </row>
    <row r="13714">
      <c r="B13714" t="n">
        <v>34400291</v>
      </c>
      <c r="C13714" s="2" t="n">
        <v>38027</v>
      </c>
      <c r="D13714" t="inlineStr">
        <is>
          <t>CDC</t>
        </is>
      </c>
      <c r="E13714" t="inlineStr">
        <is>
          <t>Armoire BYPASS 360kVA avec DJ R2</t>
        </is>
      </c>
      <c r="F13714" t="inlineStr">
        <is>
          <t>GALAXY PW</t>
        </is>
      </c>
      <c r="J13714" t="inlineStr">
        <is>
          <t>FERRIER</t>
        </is>
      </c>
      <c r="L13714">
        <f>_xlfn.XLOOKUP(Tableau1[[#This Row],[TYPE DE PIECE]],Tableau4[MATIERE],Tableau4[SHORT TYPE],"",0,1)</f>
        <v/>
      </c>
      <c r="N13714">
        <f>IF(ISERR(FIND("DECOUPE",Tableau1[[#This Row],[DESIGNATION]])),"","NEED REF")</f>
        <v/>
      </c>
    </row>
    <row r="13715">
      <c r="B13715" t="n">
        <v>34400290</v>
      </c>
      <c r="C13715" s="2" t="n">
        <v>38029</v>
      </c>
      <c r="D13715" t="inlineStr">
        <is>
          <t>SPEC</t>
        </is>
      </c>
      <c r="E13715" t="inlineStr">
        <is>
          <t>Connexion pontage de neutre (futur ind.std TNC)</t>
        </is>
      </c>
      <c r="F13715" t="inlineStr">
        <is>
          <t>BYPASS PW 360kVA : TNC</t>
        </is>
      </c>
      <c r="J13715" t="inlineStr">
        <is>
          <t>FERRIER</t>
        </is>
      </c>
      <c r="L13715">
        <f>_xlfn.XLOOKUP(Tableau1[[#This Row],[TYPE DE PIECE]],Tableau4[MATIERE],Tableau4[SHORT TYPE],"",0,1)</f>
        <v/>
      </c>
      <c r="N13715">
        <f>IF(ISERR(FIND("DECOUPE",Tableau1[[#This Row],[DESIGNATION]])),"","NEED REF")</f>
        <v/>
      </c>
    </row>
    <row r="13716">
      <c r="B13716" t="n">
        <v>34400289</v>
      </c>
      <c r="C13716" s="2" t="n">
        <v>38029</v>
      </c>
      <c r="D13716" t="inlineStr">
        <is>
          <t>SPEC</t>
        </is>
      </c>
      <c r="E13716" t="inlineStr">
        <is>
          <t>Connexion terre (futur article standard TNC)</t>
        </is>
      </c>
      <c r="F13716" t="inlineStr">
        <is>
          <t>BYPASS PW 360kVA : TNC</t>
        </is>
      </c>
      <c r="J13716" t="inlineStr">
        <is>
          <t>FERRIER</t>
        </is>
      </c>
      <c r="L13716">
        <f>_xlfn.XLOOKUP(Tableau1[[#This Row],[TYPE DE PIECE]],Tableau4[MATIERE],Tableau4[SHORT TYPE],"",0,1)</f>
        <v/>
      </c>
      <c r="N13716">
        <f>IF(ISERR(FIND("DECOUPE",Tableau1[[#This Row],[DESIGNATION]])),"","NEED REF")</f>
        <v/>
      </c>
    </row>
    <row r="13717">
      <c r="B13717" t="n">
        <v>34400288</v>
      </c>
      <c r="C13717" s="2" t="n"/>
      <c r="E13717" t="inlineStr">
        <is>
          <t>réservé MEPC DCBUS</t>
        </is>
      </c>
      <c r="L13717">
        <f>_xlfn.XLOOKUP(Tableau1[[#This Row],[TYPE DE PIECE]],Tableau4[MATIERE],Tableau4[SHORT TYPE],"",0,1)</f>
        <v/>
      </c>
      <c r="N13717">
        <f>IF(ISERR(FIND("DECOUPE",Tableau1[[#This Row],[DESIGNATION]])),"","NEED REF")</f>
        <v/>
      </c>
    </row>
    <row r="13718">
      <c r="B13718" t="n">
        <v>34400287</v>
      </c>
      <c r="C13718" s="2" t="n"/>
      <c r="E13718" t="inlineStr">
        <is>
          <t>réservé MEPC DCBUS</t>
        </is>
      </c>
      <c r="L13718">
        <f>_xlfn.XLOOKUP(Tableau1[[#This Row],[TYPE DE PIECE]],Tableau4[MATIERE],Tableau4[SHORT TYPE],"",0,1)</f>
        <v/>
      </c>
      <c r="N13718">
        <f>IF(ISERR(FIND("DECOUPE",Tableau1[[#This Row],[DESIGNATION]])),"","NEED REF")</f>
        <v/>
      </c>
    </row>
    <row r="13719">
      <c r="B13719" t="n">
        <v>34400286</v>
      </c>
      <c r="C13719" s="2" t="n"/>
      <c r="E13719" t="inlineStr">
        <is>
          <t>réservé MEPC DCBUS</t>
        </is>
      </c>
      <c r="L13719">
        <f>_xlfn.XLOOKUP(Tableau1[[#This Row],[TYPE DE PIECE]],Tableau4[MATIERE],Tableau4[SHORT TYPE],"",0,1)</f>
        <v/>
      </c>
      <c r="N13719">
        <f>IF(ISERR(FIND("DECOUPE",Tableau1[[#This Row],[DESIGNATION]])),"","NEED REF")</f>
        <v/>
      </c>
    </row>
    <row r="13720">
      <c r="B13720" t="n">
        <v>34400285</v>
      </c>
      <c r="C13720" s="2" t="n">
        <v>37671</v>
      </c>
      <c r="D13720" t="inlineStr">
        <is>
          <t>SPEC</t>
        </is>
      </c>
      <c r="E13720" t="inlineStr">
        <is>
          <t xml:space="preserve">Etiquette dilophane valeur du SHUNT </t>
        </is>
      </c>
      <c r="F13720" t="inlineStr">
        <is>
          <t>GALAXY</t>
        </is>
      </c>
      <c r="J13720" t="inlineStr">
        <is>
          <t>FERRIER</t>
        </is>
      </c>
      <c r="L13720">
        <f>_xlfn.XLOOKUP(Tableau1[[#This Row],[TYPE DE PIECE]],Tableau4[MATIERE],Tableau4[SHORT TYPE],"",0,1)</f>
        <v/>
      </c>
      <c r="N13720">
        <f>IF(ISERR(FIND("DECOUPE",Tableau1[[#This Row],[DESIGNATION]])),"","NEED REF")</f>
        <v/>
      </c>
    </row>
    <row r="13721">
      <c r="B13721" t="n">
        <v>34400284</v>
      </c>
      <c r="C13721" s="2" t="n">
        <v>37663</v>
      </c>
      <c r="D13721" t="inlineStr">
        <is>
          <t>DOC</t>
        </is>
      </c>
      <c r="E13721" t="inlineStr">
        <is>
          <t>Dossier de montage kit MEPC DCBUS</t>
        </is>
      </c>
      <c r="F13721" t="inlineStr">
        <is>
          <t>GALAXY400kVA</t>
        </is>
      </c>
      <c r="J13721" t="inlineStr">
        <is>
          <t>FERRIER</t>
        </is>
      </c>
      <c r="L13721">
        <f>_xlfn.XLOOKUP(Tableau1[[#This Row],[TYPE DE PIECE]],Tableau4[MATIERE],Tableau4[SHORT TYPE],"",0,1)</f>
        <v/>
      </c>
      <c r="N13721">
        <f>IF(ISERR(FIND("DECOUPE",Tableau1[[#This Row],[DESIGNATION]])),"","NEED REF")</f>
        <v/>
      </c>
    </row>
    <row r="13722">
      <c r="B13722" t="n">
        <v>34400283</v>
      </c>
      <c r="C13722" s="2" t="n">
        <v>37649</v>
      </c>
      <c r="D13722" t="inlineStr">
        <is>
          <t>SPEC</t>
        </is>
      </c>
      <c r="E13722" t="inlineStr">
        <is>
          <t>Rallonge câble pour carte CIEZ</t>
        </is>
      </c>
      <c r="F13722" t="inlineStr">
        <is>
          <t>GALAXY MEPC DCBUS</t>
        </is>
      </c>
      <c r="J13722" t="inlineStr">
        <is>
          <t>FERRIER</t>
        </is>
      </c>
      <c r="L13722">
        <f>_xlfn.XLOOKUP(Tableau1[[#This Row],[TYPE DE PIECE]],Tableau4[MATIERE],Tableau4[SHORT TYPE],"",0,1)</f>
        <v/>
      </c>
      <c r="N13722">
        <f>IF(ISERR(FIND("DECOUPE",Tableau1[[#This Row],[DESIGNATION]])),"","NEED REF")</f>
        <v/>
      </c>
    </row>
    <row r="13723">
      <c r="B13723" t="n">
        <v>34400282</v>
      </c>
      <c r="C13723" s="2" t="n">
        <v>37587</v>
      </c>
      <c r="D13723" t="inlineStr">
        <is>
          <t>NOM</t>
        </is>
      </c>
      <c r="E13723" t="inlineStr">
        <is>
          <t>LEGENDE IP32 PEINT A COMMISSION</t>
        </is>
      </c>
      <c r="F13723" t="inlineStr">
        <is>
          <t xml:space="preserve">Galaxy 1000PW </t>
        </is>
      </c>
      <c r="J13723" t="inlineStr">
        <is>
          <t>REVEL</t>
        </is>
      </c>
      <c r="L13723">
        <f>_xlfn.XLOOKUP(Tableau1[[#This Row],[TYPE DE PIECE]],Tableau4[MATIERE],Tableau4[SHORT TYPE],"",0,1)</f>
        <v/>
      </c>
      <c r="N13723">
        <f>IF(ISERR(FIND("DECOUPE",Tableau1[[#This Row],[DESIGNATION]])),"","NEED REF")</f>
        <v/>
      </c>
    </row>
    <row r="13724">
      <c r="B13724" t="n">
        <v>34400281</v>
      </c>
      <c r="C13724" s="2" t="n">
        <v>37587</v>
      </c>
      <c r="D13724" t="inlineStr">
        <is>
          <t>SPEC</t>
        </is>
      </c>
      <c r="E13724" t="inlineStr">
        <is>
          <t xml:space="preserve">SUPPORT </t>
        </is>
      </c>
      <c r="F13724" t="inlineStr">
        <is>
          <t>GALXY 3000</t>
        </is>
      </c>
      <c r="J13724" t="inlineStr">
        <is>
          <t>ROBERT</t>
        </is>
      </c>
      <c r="L13724">
        <f>_xlfn.XLOOKUP(Tableau1[[#This Row],[TYPE DE PIECE]],Tableau4[MATIERE],Tableau4[SHORT TYPE],"",0,1)</f>
        <v/>
      </c>
      <c r="N13724">
        <f>IF(ISERR(FIND("DECOUPE",Tableau1[[#This Row],[DESIGNATION]])),"","NEED REF")</f>
        <v/>
      </c>
    </row>
    <row r="13725">
      <c r="B13725" t="n">
        <v>34400280</v>
      </c>
      <c r="C13725" s="2" t="n">
        <v>37581</v>
      </c>
      <c r="D13725" t="inlineStr">
        <is>
          <t>CDC</t>
        </is>
      </c>
      <c r="E13725" t="inlineStr">
        <is>
          <t>SKID SUPPORT TFO R2</t>
        </is>
      </c>
      <c r="F13725" t="inlineStr">
        <is>
          <t>GALAXY 250P + NS 500</t>
        </is>
      </c>
      <c r="J13725" t="inlineStr">
        <is>
          <t>REVEL</t>
        </is>
      </c>
      <c r="L13725">
        <f>_xlfn.XLOOKUP(Tableau1[[#This Row],[TYPE DE PIECE]],Tableau4[MATIERE],Tableau4[SHORT TYPE],"",0,1)</f>
        <v/>
      </c>
      <c r="N13725">
        <f>IF(ISERR(FIND("DECOUPE",Tableau1[[#This Row],[DESIGNATION]])),"","NEED REF")</f>
        <v/>
      </c>
    </row>
    <row r="13726">
      <c r="B13726" t="n">
        <v>34400279</v>
      </c>
      <c r="C13726" s="2" t="n">
        <v>37581</v>
      </c>
      <c r="D13726" t="inlineStr">
        <is>
          <t>NOM</t>
        </is>
      </c>
      <c r="E13726" t="inlineStr">
        <is>
          <t>LEGENDE PEINTURE A COMMISSION</t>
        </is>
      </c>
      <c r="F13726" t="inlineStr">
        <is>
          <t>ARM AUX COMET 560</t>
        </is>
      </c>
      <c r="J13726" t="inlineStr">
        <is>
          <t>REVEL</t>
        </is>
      </c>
      <c r="L13726">
        <f>_xlfn.XLOOKUP(Tableau1[[#This Row],[TYPE DE PIECE]],Tableau4[MATIERE],Tableau4[SHORT TYPE],"",0,1)</f>
        <v/>
      </c>
      <c r="N13726">
        <f>IF(ISERR(FIND("DECOUPE",Tableau1[[#This Row],[DESIGNATION]])),"","NEED REF")</f>
        <v/>
      </c>
    </row>
    <row r="13727">
      <c r="B13727" t="n">
        <v>34400278</v>
      </c>
      <c r="C13727" s="2" t="n">
        <v>37581</v>
      </c>
      <c r="D13727" t="inlineStr">
        <is>
          <t>CDC</t>
        </is>
      </c>
      <c r="E13727" t="inlineStr">
        <is>
          <t>SKID SUPPORT ATFO R1</t>
        </is>
      </c>
      <c r="F13727" t="inlineStr">
        <is>
          <t>GALAXY 250P + NS 500</t>
        </is>
      </c>
      <c r="J13727" t="inlineStr">
        <is>
          <t>REVEL</t>
        </is>
      </c>
      <c r="L13727">
        <f>_xlfn.XLOOKUP(Tableau1[[#This Row],[TYPE DE PIECE]],Tableau4[MATIERE],Tableau4[SHORT TYPE],"",0,1)</f>
        <v/>
      </c>
      <c r="N13727">
        <f>IF(ISERR(FIND("DECOUPE",Tableau1[[#This Row],[DESIGNATION]])),"","NEED REF")</f>
        <v/>
      </c>
    </row>
    <row r="13728">
      <c r="B13728" t="n">
        <v>34400277</v>
      </c>
      <c r="C13728" s="2" t="n">
        <v>37580</v>
      </c>
      <c r="D13728" t="inlineStr">
        <is>
          <t>CDC</t>
        </is>
      </c>
      <c r="E13728" t="inlineStr">
        <is>
          <t>ARM BATT COULISSANT PW 715*1400</t>
        </is>
      </c>
      <c r="F13728" t="inlineStr">
        <is>
          <t>GAL 3010</t>
        </is>
      </c>
      <c r="J13728" t="inlineStr">
        <is>
          <t>ÇAKIR</t>
        </is>
      </c>
      <c r="L13728">
        <f>_xlfn.XLOOKUP(Tableau1[[#This Row],[TYPE DE PIECE]],Tableau4[MATIERE],Tableau4[SHORT TYPE],"",0,1)</f>
        <v/>
      </c>
      <c r="N13728">
        <f>IF(ISERR(FIND("DECOUPE",Tableau1[[#This Row],[DESIGNATION]])),"","NEED REF")</f>
        <v/>
      </c>
    </row>
    <row r="13729">
      <c r="B13729" t="n">
        <v>34400276</v>
      </c>
      <c r="C13729" s="2" t="n">
        <v>37572</v>
      </c>
      <c r="D13729" t="inlineStr">
        <is>
          <t>SPEC</t>
        </is>
      </c>
      <c r="E13729" t="inlineStr">
        <is>
          <t>LEG IP32 COMET S11 S31 7,5 10KVA</t>
        </is>
      </c>
      <c r="F13729" t="inlineStr">
        <is>
          <t>COMET S11 S31 7,5 10KVA</t>
        </is>
      </c>
      <c r="J13729" t="inlineStr">
        <is>
          <t>REVEL</t>
        </is>
      </c>
      <c r="L13729">
        <f>_xlfn.XLOOKUP(Tableau1[[#This Row],[TYPE DE PIECE]],Tableau4[MATIERE],Tableau4[SHORT TYPE],"",0,1)</f>
        <v/>
      </c>
      <c r="N13729">
        <f>IF(ISERR(FIND("DECOUPE",Tableau1[[#This Row],[DESIGNATION]])),"","NEED REF")</f>
        <v/>
      </c>
    </row>
    <row r="13730">
      <c r="B13730" t="n">
        <v>34400275</v>
      </c>
      <c r="C13730" s="2" t="n">
        <v>37572</v>
      </c>
      <c r="D13730" t="inlineStr">
        <is>
          <t>CDC</t>
        </is>
      </c>
      <c r="E13730" t="inlineStr">
        <is>
          <t>SKID 2 GAL 250KVA + NS 500 + BY PASS</t>
        </is>
      </c>
      <c r="F13730" t="inlineStr">
        <is>
          <t>GALAXY</t>
        </is>
      </c>
      <c r="J13730" t="inlineStr">
        <is>
          <t>REVEL</t>
        </is>
      </c>
      <c r="L13730">
        <f>_xlfn.XLOOKUP(Tableau1[[#This Row],[TYPE DE PIECE]],Tableau4[MATIERE],Tableau4[SHORT TYPE],"",0,1)</f>
        <v/>
      </c>
      <c r="N13730">
        <f>IF(ISERR(FIND("DECOUPE",Tableau1[[#This Row],[DESIGNATION]])),"","NEED REF")</f>
        <v/>
      </c>
    </row>
    <row r="13731">
      <c r="B13731" t="n">
        <v>34400274</v>
      </c>
      <c r="C13731" s="2" t="n">
        <v>37572</v>
      </c>
      <c r="D13731" t="inlineStr">
        <is>
          <t>SPEC</t>
        </is>
      </c>
      <c r="E13731" t="inlineStr">
        <is>
          <t>PORTE IP22 SERRURE TRIANGLE</t>
        </is>
      </c>
      <c r="F13731" t="inlineStr">
        <is>
          <t>ARM AUX GAL L=600</t>
        </is>
      </c>
      <c r="J13731" t="inlineStr">
        <is>
          <t>REVEL</t>
        </is>
      </c>
      <c r="L13731">
        <f>_xlfn.XLOOKUP(Tableau1[[#This Row],[TYPE DE PIECE]],Tableau4[MATIERE],Tableau4[SHORT TYPE],"",0,1)</f>
        <v/>
      </c>
      <c r="N13731">
        <f>IF(ISERR(FIND("DECOUPE",Tableau1[[#This Row],[DESIGNATION]])),"","NEED REF")</f>
        <v/>
      </c>
    </row>
    <row r="13732">
      <c r="B13732" t="n">
        <v>34400273</v>
      </c>
      <c r="C13732" s="2" t="n">
        <v>37568</v>
      </c>
      <c r="D13732" t="inlineStr">
        <is>
          <t>NOM</t>
        </is>
      </c>
      <c r="E13732" t="inlineStr">
        <is>
          <t>LEG IP22 SERRURE TRIANGLE PEINT</t>
        </is>
      </c>
      <c r="F13732" t="inlineStr">
        <is>
          <t>GALAXY NS 500KVA</t>
        </is>
      </c>
      <c r="J13732" t="inlineStr">
        <is>
          <t>REVEL</t>
        </is>
      </c>
      <c r="L13732">
        <f>_xlfn.XLOOKUP(Tableau1[[#This Row],[TYPE DE PIECE]],Tableau4[MATIERE],Tableau4[SHORT TYPE],"",0,1)</f>
        <v/>
      </c>
      <c r="N13732">
        <f>IF(ISERR(FIND("DECOUPE",Tableau1[[#This Row],[DESIGNATION]])),"","NEED REF")</f>
        <v/>
      </c>
    </row>
    <row r="13733">
      <c r="B13733" t="n">
        <v>34400272</v>
      </c>
      <c r="C13733" s="2" t="n">
        <v>37568</v>
      </c>
      <c r="D13733" t="inlineStr">
        <is>
          <t>SPEC</t>
        </is>
      </c>
      <c r="E13733" t="inlineStr">
        <is>
          <t>PORTE DROITE IP22 SERRURE TRIANGLE</t>
        </is>
      </c>
      <c r="F13733" t="inlineStr">
        <is>
          <t>GALAXY NS 500KVA</t>
        </is>
      </c>
      <c r="J13733" t="inlineStr">
        <is>
          <t>REVEL</t>
        </is>
      </c>
      <c r="L13733">
        <f>_xlfn.XLOOKUP(Tableau1[[#This Row],[TYPE DE PIECE]],Tableau4[MATIERE],Tableau4[SHORT TYPE],"",0,1)</f>
        <v/>
      </c>
      <c r="N13733">
        <f>IF(ISERR(FIND("DECOUPE",Tableau1[[#This Row],[DESIGNATION]])),"","NEED REF")</f>
        <v/>
      </c>
    </row>
    <row r="13734">
      <c r="B13734" t="n">
        <v>34400271</v>
      </c>
      <c r="C13734" s="2" t="n">
        <v>37568</v>
      </c>
      <c r="D13734" t="inlineStr">
        <is>
          <t>NOM</t>
        </is>
      </c>
      <c r="E13734" t="inlineStr">
        <is>
          <t>LEGENDE BLOC, 1 PORTE OUVERTE</t>
        </is>
      </c>
      <c r="F13734" t="inlineStr">
        <is>
          <t>GALAXY</t>
        </is>
      </c>
      <c r="J13734" t="inlineStr">
        <is>
          <t>REVEL</t>
        </is>
      </c>
      <c r="L13734">
        <f>_xlfn.XLOOKUP(Tableau1[[#This Row],[TYPE DE PIECE]],Tableau4[MATIERE],Tableau4[SHORT TYPE],"",0,1)</f>
        <v/>
      </c>
      <c r="N13734">
        <f>IF(ISERR(FIND("DECOUPE",Tableau1[[#This Row],[DESIGNATION]])),"","NEED REF")</f>
        <v/>
      </c>
    </row>
    <row r="13735">
      <c r="B13735" t="n">
        <v>34400270</v>
      </c>
      <c r="C13735" s="2" t="n">
        <v>37568</v>
      </c>
      <c r="D13735" t="inlineStr">
        <is>
          <t>NOM</t>
        </is>
      </c>
      <c r="E13735" t="inlineStr">
        <is>
          <t xml:space="preserve">LEGENDE SERRURE TRIANGLE </t>
        </is>
      </c>
      <c r="F13735" t="inlineStr">
        <is>
          <t>GALAXY</t>
        </is>
      </c>
      <c r="J13735" t="inlineStr">
        <is>
          <t>REVEL</t>
        </is>
      </c>
      <c r="L13735">
        <f>_xlfn.XLOOKUP(Tableau1[[#This Row],[TYPE DE PIECE]],Tableau4[MATIERE],Tableau4[SHORT TYPE],"",0,1)</f>
        <v/>
      </c>
      <c r="N13735">
        <f>IF(ISERR(FIND("DECOUPE",Tableau1[[#This Row],[DESIGNATION]])),"","NEED REF")</f>
        <v/>
      </c>
    </row>
    <row r="13736">
      <c r="B13736" t="n">
        <v>34400269</v>
      </c>
      <c r="C13736" s="2" t="n">
        <v>37568</v>
      </c>
      <c r="D13736" t="inlineStr">
        <is>
          <t>NOM</t>
        </is>
      </c>
      <c r="E13736" t="inlineStr">
        <is>
          <t>LEGENDE IP22 SERRURE TRIANGLE</t>
        </is>
      </c>
      <c r="F13736" t="inlineStr">
        <is>
          <t>GALAXY 160-400kVA peint, spe</t>
        </is>
      </c>
      <c r="J13736" t="inlineStr">
        <is>
          <t>REVEL</t>
        </is>
      </c>
      <c r="L13736">
        <f>_xlfn.XLOOKUP(Tableau1[[#This Row],[TYPE DE PIECE]],Tableau4[MATIERE],Tableau4[SHORT TYPE],"",0,1)</f>
        <v/>
      </c>
      <c r="N13736">
        <f>IF(ISERR(FIND("DECOUPE",Tableau1[[#This Row],[DESIGNATION]])),"","NEED REF")</f>
        <v/>
      </c>
    </row>
    <row r="13737">
      <c r="B13737" t="n">
        <v>34400268</v>
      </c>
      <c r="C13737" s="2" t="n">
        <v>37568</v>
      </c>
      <c r="D13737" t="inlineStr">
        <is>
          <t>SPEC</t>
        </is>
      </c>
      <c r="E13737" t="inlineStr">
        <is>
          <t>PORTE DROITE IP22 SERRURE TRIANGLE</t>
        </is>
      </c>
      <c r="F13737" t="inlineStr">
        <is>
          <t>GALAXY 160-400kVA</t>
        </is>
      </c>
      <c r="J13737" t="inlineStr">
        <is>
          <t>REVEL</t>
        </is>
      </c>
      <c r="L13737">
        <f>_xlfn.XLOOKUP(Tableau1[[#This Row],[TYPE DE PIECE]],Tableau4[MATIERE],Tableau4[SHORT TYPE],"",0,1)</f>
        <v/>
      </c>
      <c r="N13737">
        <f>IF(ISERR(FIND("DECOUPE",Tableau1[[#This Row],[DESIGNATION]])),"","NEED REF")</f>
        <v/>
      </c>
    </row>
    <row r="13738">
      <c r="B13738" t="n">
        <v>34400267</v>
      </c>
      <c r="C13738" s="2" t="n">
        <v>37567</v>
      </c>
      <c r="D13738" t="inlineStr">
        <is>
          <t>SPEC</t>
        </is>
      </c>
      <c r="E13738" t="inlineStr">
        <is>
          <t>DURCISSEMENT PANIER A CARTES</t>
        </is>
      </c>
      <c r="F13738" t="inlineStr">
        <is>
          <t>Galaxy 200kVA</t>
        </is>
      </c>
      <c r="J13738" t="inlineStr">
        <is>
          <t>REVEL</t>
        </is>
      </c>
      <c r="L13738">
        <f>_xlfn.XLOOKUP(Tableau1[[#This Row],[TYPE DE PIECE]],Tableau4[MATIERE],Tableau4[SHORT TYPE],"",0,1)</f>
        <v/>
      </c>
      <c r="N13738">
        <f>IF(ISERR(FIND("DECOUPE",Tableau1[[#This Row],[DESIGNATION]])),"","NEED REF")</f>
        <v/>
      </c>
    </row>
    <row r="13739">
      <c r="B13739" t="n">
        <v>34400266</v>
      </c>
      <c r="C13739" s="2" t="n">
        <v>37567</v>
      </c>
      <c r="D13739" t="inlineStr">
        <is>
          <t>SPEC</t>
        </is>
      </c>
      <c r="E13739" t="inlineStr">
        <is>
          <t>SKID POUR PW 50KVA + ARM BAT 1015</t>
        </is>
      </c>
      <c r="F13739" t="inlineStr">
        <is>
          <t>Galaxy PW 50-60kVA</t>
        </is>
      </c>
      <c r="J13739" t="inlineStr">
        <is>
          <t>REVEL</t>
        </is>
      </c>
      <c r="L13739">
        <f>_xlfn.XLOOKUP(Tableau1[[#This Row],[TYPE DE PIECE]],Tableau4[MATIERE],Tableau4[SHORT TYPE],"",0,1)</f>
        <v/>
      </c>
      <c r="N13739">
        <f>IF(ISERR(FIND("DECOUPE",Tableau1[[#This Row],[DESIGNATION]])),"","NEED REF")</f>
        <v/>
      </c>
    </row>
    <row r="13740">
      <c r="B13740" t="n">
        <v>34400265</v>
      </c>
      <c r="C13740" s="2" t="n">
        <v>37566</v>
      </c>
      <c r="D13740" t="inlineStr">
        <is>
          <t>NOM</t>
        </is>
      </c>
      <c r="E13740" t="inlineStr">
        <is>
          <t>LEGENDE BLOCAGE PORTE OUVERTE</t>
        </is>
      </c>
      <c r="F13740" t="inlineStr">
        <is>
          <t>Galaxy PW 20-60kVA</t>
        </is>
      </c>
      <c r="J13740" t="inlineStr">
        <is>
          <t>REVEL</t>
        </is>
      </c>
      <c r="L13740">
        <f>_xlfn.XLOOKUP(Tableau1[[#This Row],[TYPE DE PIECE]],Tableau4[MATIERE],Tableau4[SHORT TYPE],"",0,1)</f>
        <v/>
      </c>
      <c r="N13740">
        <f>IF(ISERR(FIND("DECOUPE",Tableau1[[#This Row],[DESIGNATION]])),"","NEED REF")</f>
        <v/>
      </c>
    </row>
    <row r="13741">
      <c r="B13741" t="n">
        <v>34400264</v>
      </c>
      <c r="C13741" s="2" t="n">
        <v>37566</v>
      </c>
      <c r="D13741" t="inlineStr">
        <is>
          <t>SPEC</t>
        </is>
      </c>
      <c r="E13741" t="inlineStr">
        <is>
          <t>SUPPORT CROCHET ET GACHE</t>
        </is>
      </c>
      <c r="F13741" t="inlineStr">
        <is>
          <t>Galaxy PW 20-60kVA</t>
        </is>
      </c>
      <c r="J13741" t="inlineStr">
        <is>
          <t>REVEL</t>
        </is>
      </c>
      <c r="L13741">
        <f>_xlfn.XLOOKUP(Tableau1[[#This Row],[TYPE DE PIECE]],Tableau4[MATIERE],Tableau4[SHORT TYPE],"",0,1)</f>
        <v/>
      </c>
      <c r="N13741">
        <f>IF(ISERR(FIND("DECOUPE",Tableau1[[#This Row],[DESIGNATION]])),"","NEED REF")</f>
        <v/>
      </c>
    </row>
    <row r="13742">
      <c r="B13742" t="n">
        <v>34400263</v>
      </c>
      <c r="C13742" s="2" t="n">
        <v>37566</v>
      </c>
      <c r="D13742" t="inlineStr">
        <is>
          <t>SPEC</t>
        </is>
      </c>
      <c r="E13742" t="inlineStr">
        <is>
          <t>ETRIER SUPPORT DE CROCHET</t>
        </is>
      </c>
      <c r="F13742" t="inlineStr">
        <is>
          <t>Galaxy PW 20-60kVA</t>
        </is>
      </c>
      <c r="J13742" t="inlineStr">
        <is>
          <t>REVEL</t>
        </is>
      </c>
      <c r="L13742">
        <f>_xlfn.XLOOKUP(Tableau1[[#This Row],[TYPE DE PIECE]],Tableau4[MATIERE],Tableau4[SHORT TYPE],"",0,1)</f>
        <v/>
      </c>
      <c r="N13742">
        <f>IF(ISERR(FIND("DECOUPE",Tableau1[[#This Row],[DESIGNATION]])),"","NEED REF")</f>
        <v/>
      </c>
    </row>
    <row r="13743">
      <c r="B13743" t="n">
        <v>34400262</v>
      </c>
      <c r="C13743" s="2" t="n">
        <v>37566</v>
      </c>
      <c r="D13743" t="inlineStr">
        <is>
          <t>SPEC</t>
        </is>
      </c>
      <c r="E13743" t="inlineStr">
        <is>
          <t>PLAQUE DURCISSMENT PANIER CARTES</t>
        </is>
      </c>
      <c r="F13743" t="inlineStr">
        <is>
          <t>Galaxy PW 20-60kVA DNV</t>
        </is>
      </c>
      <c r="J13743" t="inlineStr">
        <is>
          <t>REVEL</t>
        </is>
      </c>
      <c r="L13743">
        <f>_xlfn.XLOOKUP(Tableau1[[#This Row],[TYPE DE PIECE]],Tableau4[MATIERE],Tableau4[SHORT TYPE],"",0,1)</f>
        <v/>
      </c>
      <c r="N13743">
        <f>IF(ISERR(FIND("DECOUPE",Tableau1[[#This Row],[DESIGNATION]])),"","NEED REF")</f>
        <v/>
      </c>
    </row>
    <row r="13744">
      <c r="B13744" t="n">
        <v>34400261</v>
      </c>
      <c r="C13744" s="2" t="n">
        <v>37566</v>
      </c>
      <c r="D13744" t="inlineStr">
        <is>
          <t>SPEC</t>
        </is>
      </c>
      <c r="E13744" t="inlineStr">
        <is>
          <t>PLAQUE DURCISSMENT PLATINE LEM</t>
        </is>
      </c>
      <c r="F13744" t="inlineStr">
        <is>
          <t>Galaxy PW 20-60kVA DNV</t>
        </is>
      </c>
      <c r="J13744" t="inlineStr">
        <is>
          <t>REVEL</t>
        </is>
      </c>
      <c r="L13744">
        <f>_xlfn.XLOOKUP(Tableau1[[#This Row],[TYPE DE PIECE]],Tableau4[MATIERE],Tableau4[SHORT TYPE],"",0,1)</f>
        <v/>
      </c>
      <c r="N13744">
        <f>IF(ISERR(FIND("DECOUPE",Tableau1[[#This Row],[DESIGNATION]])),"","NEED REF")</f>
        <v/>
      </c>
    </row>
    <row r="13745">
      <c r="B13745" t="n">
        <v>34400260</v>
      </c>
      <c r="C13745" s="2" t="n">
        <v>37566</v>
      </c>
      <c r="D13745" t="inlineStr">
        <is>
          <t>NOM</t>
        </is>
      </c>
      <c r="E13745" t="inlineStr">
        <is>
          <t>LEGENDE IP22 ARMOIRE BATTERIE PW</t>
        </is>
      </c>
      <c r="F13745" t="inlineStr">
        <is>
          <t>Arm bat Gal PW 715*1900</t>
        </is>
      </c>
      <c r="J13745" t="inlineStr">
        <is>
          <t>REVEL</t>
        </is>
      </c>
      <c r="L13745">
        <f>_xlfn.XLOOKUP(Tableau1[[#This Row],[TYPE DE PIECE]],Tableau4[MATIERE],Tableau4[SHORT TYPE],"",0,1)</f>
        <v/>
      </c>
      <c r="N13745">
        <f>IF(ISERR(FIND("DECOUPE",Tableau1[[#This Row],[DESIGNATION]])),"","NEED REF")</f>
        <v/>
      </c>
    </row>
    <row r="13746">
      <c r="B13746" t="n">
        <v>34400259</v>
      </c>
      <c r="C13746" s="2" t="n">
        <v>37565</v>
      </c>
      <c r="D13746" t="inlineStr">
        <is>
          <t>SPEC</t>
        </is>
      </c>
      <c r="E13746" t="inlineStr">
        <is>
          <t>DOSSIER DE MONTAGE FAHDC</t>
        </is>
      </c>
      <c r="F13746" t="inlineStr">
        <is>
          <t>GALAXY 600kVA</t>
        </is>
      </c>
      <c r="J13746" t="inlineStr">
        <is>
          <t>ROBERT</t>
        </is>
      </c>
      <c r="L13746">
        <f>_xlfn.XLOOKUP(Tableau1[[#This Row],[TYPE DE PIECE]],Tableau4[MATIERE],Tableau4[SHORT TYPE],"",0,1)</f>
        <v/>
      </c>
      <c r="N13746">
        <f>IF(ISERR(FIND("DECOUPE",Tableau1[[#This Row],[DESIGNATION]])),"","NEED REF")</f>
        <v/>
      </c>
    </row>
    <row r="13747">
      <c r="B13747" t="n">
        <v>34400258</v>
      </c>
      <c r="C13747" s="2" t="n">
        <v>37564</v>
      </c>
      <c r="D13747" t="inlineStr">
        <is>
          <t>CDC</t>
        </is>
      </c>
      <c r="E13747" t="inlineStr">
        <is>
          <t>CDC armoire ventilée GALAXY 3000</t>
        </is>
      </c>
      <c r="F13747" t="inlineStr">
        <is>
          <t>GALAXY 3000 30kVA</t>
        </is>
      </c>
      <c r="J13747" t="inlineStr">
        <is>
          <t>ROBERT</t>
        </is>
      </c>
      <c r="L13747">
        <f>_xlfn.XLOOKUP(Tableau1[[#This Row],[TYPE DE PIECE]],Tableau4[MATIERE],Tableau4[SHORT TYPE],"",0,1)</f>
        <v/>
      </c>
      <c r="N13747">
        <f>IF(ISERR(FIND("DECOUPE",Tableau1[[#This Row],[DESIGNATION]])),"","NEED REF")</f>
        <v/>
      </c>
    </row>
    <row r="13748">
      <c r="B13748" t="n">
        <v>34400257</v>
      </c>
      <c r="C13748" s="2" t="n">
        <v>37559</v>
      </c>
      <c r="D13748" t="inlineStr">
        <is>
          <t>SPEC</t>
        </is>
      </c>
      <c r="E13748" t="inlineStr">
        <is>
          <t xml:space="preserve">PLAQUE SUPPORT BOITIER </t>
        </is>
      </c>
      <c r="F13748" t="inlineStr">
        <is>
          <t>COMET EXTREME 9/12KVA</t>
        </is>
      </c>
      <c r="J13748" t="inlineStr">
        <is>
          <t>REVEL</t>
        </is>
      </c>
      <c r="L13748">
        <f>_xlfn.XLOOKUP(Tableau1[[#This Row],[TYPE DE PIECE]],Tableau4[MATIERE],Tableau4[SHORT TYPE],"",0,1)</f>
        <v/>
      </c>
      <c r="N13748">
        <f>IF(ISERR(FIND("DECOUPE",Tableau1[[#This Row],[DESIGNATION]])),"","NEED REF")</f>
        <v/>
      </c>
    </row>
    <row r="13749">
      <c r="B13749" t="n">
        <v>34400256</v>
      </c>
      <c r="C13749" s="2" t="n">
        <v>37558</v>
      </c>
      <c r="D13749" t="inlineStr">
        <is>
          <t>DOC</t>
        </is>
      </c>
      <c r="E13749" t="inlineStr">
        <is>
          <t>MANUEL MONTAGE SUR SITE BATTERIE</t>
        </is>
      </c>
      <c r="F13749" t="inlineStr">
        <is>
          <t>GALAXY</t>
        </is>
      </c>
      <c r="J13749" t="inlineStr">
        <is>
          <t>REVEL</t>
        </is>
      </c>
      <c r="L13749">
        <f>_xlfn.XLOOKUP(Tableau1[[#This Row],[TYPE DE PIECE]],Tableau4[MATIERE],Tableau4[SHORT TYPE],"",0,1)</f>
        <v/>
      </c>
      <c r="N13749">
        <f>IF(ISERR(FIND("DECOUPE",Tableau1[[#This Row],[DESIGNATION]])),"","NEED REF")</f>
        <v/>
      </c>
    </row>
    <row r="13750">
      <c r="B13750" t="n">
        <v>34400255</v>
      </c>
      <c r="C13750" s="2" t="n">
        <v>37558</v>
      </c>
      <c r="D13750" t="inlineStr">
        <is>
          <t>SPEC</t>
        </is>
      </c>
      <c r="E13750" t="inlineStr">
        <is>
          <t>EPANOUISSEUR  (L11) FAHDC 600kVA</t>
        </is>
      </c>
      <c r="F13750" t="inlineStr">
        <is>
          <t>GALAXY</t>
        </is>
      </c>
      <c r="J13750" t="inlineStr">
        <is>
          <t>ROBERT</t>
        </is>
      </c>
      <c r="L13750">
        <f>_xlfn.XLOOKUP(Tableau1[[#This Row],[TYPE DE PIECE]],Tableau4[MATIERE],Tableau4[SHORT TYPE],"",0,1)</f>
        <v/>
      </c>
      <c r="N13750">
        <f>IF(ISERR(FIND("DECOUPE",Tableau1[[#This Row],[DESIGNATION]])),"","NEED REF")</f>
        <v/>
      </c>
    </row>
    <row r="13751">
      <c r="B13751" t="n">
        <v>34400254</v>
      </c>
      <c r="C13751" s="2" t="n">
        <v>37558</v>
      </c>
      <c r="D13751" t="inlineStr">
        <is>
          <t>SPEC</t>
        </is>
      </c>
      <c r="E13751" t="inlineStr">
        <is>
          <t>CABLAGE FAHDC 600kVA</t>
        </is>
      </c>
      <c r="F13751" t="inlineStr">
        <is>
          <t>GALAXY</t>
        </is>
      </c>
      <c r="J13751" t="inlineStr">
        <is>
          <t>ROBERT</t>
        </is>
      </c>
      <c r="L13751">
        <f>_xlfn.XLOOKUP(Tableau1[[#This Row],[TYPE DE PIECE]],Tableau4[MATIERE],Tableau4[SHORT TYPE],"",0,1)</f>
        <v/>
      </c>
      <c r="N13751">
        <f>IF(ISERR(FIND("DECOUPE",Tableau1[[#This Row],[DESIGNATION]])),"","NEED REF")</f>
        <v/>
      </c>
    </row>
    <row r="13752">
      <c r="B13752" t="n">
        <v>34400253</v>
      </c>
      <c r="C13752" s="2" t="n">
        <v>37552</v>
      </c>
      <c r="D13752" t="inlineStr">
        <is>
          <t>DOC</t>
        </is>
      </c>
      <c r="E13752" t="inlineStr">
        <is>
          <t>KIT pour synchronisation de 2 NS800 EPS5000</t>
        </is>
      </c>
      <c r="F13752" t="inlineStr">
        <is>
          <t>EPS5000</t>
        </is>
      </c>
      <c r="J13752" t="inlineStr">
        <is>
          <t>FERRIER</t>
        </is>
      </c>
      <c r="L13752">
        <f>_xlfn.XLOOKUP(Tableau1[[#This Row],[TYPE DE PIECE]],Tableau4[MATIERE],Tableau4[SHORT TYPE],"",0,1)</f>
        <v/>
      </c>
      <c r="N13752">
        <f>IF(ISERR(FIND("DECOUPE",Tableau1[[#This Row],[DESIGNATION]])),"","NEED REF")</f>
        <v/>
      </c>
    </row>
    <row r="13753">
      <c r="B13753" t="n">
        <v>34400252</v>
      </c>
      <c r="C13753" s="2" t="n">
        <v>37550</v>
      </c>
      <c r="D13753" t="inlineStr">
        <is>
          <t>SPEC</t>
        </is>
      </c>
      <c r="E13753" t="inlineStr">
        <is>
          <t>CABLE INTERCO Boitier Filtre / Batt. 3*2.5 Blinde L=1400</t>
        </is>
      </c>
      <c r="F13753" t="inlineStr">
        <is>
          <t xml:space="preserve">GAMME EXTREME + </t>
        </is>
      </c>
      <c r="J13753" t="inlineStr">
        <is>
          <t>ÇAKIR</t>
        </is>
      </c>
      <c r="L13753">
        <f>_xlfn.XLOOKUP(Tableau1[[#This Row],[TYPE DE PIECE]],Tableau4[MATIERE],Tableau4[SHORT TYPE],"",0,1)</f>
        <v/>
      </c>
      <c r="N13753">
        <f>IF(ISERR(FIND("DECOUPE",Tableau1[[#This Row],[DESIGNATION]])),"","NEED REF")</f>
        <v/>
      </c>
    </row>
    <row r="13754">
      <c r="B13754" t="n">
        <v>34400251</v>
      </c>
      <c r="C13754" s="2" t="n">
        <v>37548</v>
      </c>
      <c r="D13754" t="inlineStr">
        <is>
          <t>CDC</t>
        </is>
      </c>
      <c r="E13754" t="inlineStr">
        <is>
          <t>G3000 15kVA + Bat +PDU sur skid</t>
        </is>
      </c>
      <c r="F13754" t="inlineStr">
        <is>
          <t>Galaxy 3000 15kVA</t>
        </is>
      </c>
      <c r="J13754" t="inlineStr">
        <is>
          <t>REVEL</t>
        </is>
      </c>
      <c r="L13754">
        <f>_xlfn.XLOOKUP(Tableau1[[#This Row],[TYPE DE PIECE]],Tableau4[MATIERE],Tableau4[SHORT TYPE],"",0,1)</f>
        <v/>
      </c>
      <c r="N13754">
        <f>IF(ISERR(FIND("DECOUPE",Tableau1[[#This Row],[DESIGNATION]])),"","NEED REF")</f>
        <v/>
      </c>
    </row>
    <row r="13755">
      <c r="B13755" t="n">
        <v>34400250</v>
      </c>
      <c r="C13755" s="2" t="n">
        <v>37548</v>
      </c>
      <c r="D13755" t="inlineStr">
        <is>
          <t>SPEC</t>
        </is>
      </c>
      <c r="E13755" t="inlineStr">
        <is>
          <t xml:space="preserve"> ETIQUETTE SECURITE BOITIER FILTRE</t>
        </is>
      </c>
      <c r="F13755" t="inlineStr">
        <is>
          <t>PULSAR EXTREME CLA</t>
        </is>
      </c>
      <c r="J13755" t="inlineStr">
        <is>
          <t>ÇAKIR</t>
        </is>
      </c>
      <c r="L13755">
        <f>_xlfn.XLOOKUP(Tableau1[[#This Row],[TYPE DE PIECE]],Tableau4[MATIERE],Tableau4[SHORT TYPE],"",0,1)</f>
        <v/>
      </c>
      <c r="N13755">
        <f>IF(ISERR(FIND("DECOUPE",Tableau1[[#This Row],[DESIGNATION]])),"","NEED REF")</f>
        <v/>
      </c>
    </row>
    <row r="13756">
      <c r="B13756" t="n">
        <v>34400249</v>
      </c>
      <c r="C13756" s="2" t="n">
        <v>37548</v>
      </c>
      <c r="D13756" t="inlineStr">
        <is>
          <t>CDC</t>
        </is>
      </c>
      <c r="E13756" t="inlineStr">
        <is>
          <t>CDC ETIQUETTE EMBLAGE et SIGNALITIQUE BOITIER FILTRE</t>
        </is>
      </c>
      <c r="F13756" t="inlineStr">
        <is>
          <t>PULSAR EXTREME CLA</t>
        </is>
      </c>
      <c r="J13756" t="inlineStr">
        <is>
          <t>ÇAKIR</t>
        </is>
      </c>
      <c r="L13756">
        <f>_xlfn.XLOOKUP(Tableau1[[#This Row],[TYPE DE PIECE]],Tableau4[MATIERE],Tableau4[SHORT TYPE],"",0,1)</f>
        <v/>
      </c>
      <c r="N13756">
        <f>IF(ISERR(FIND("DECOUPE",Tableau1[[#This Row],[DESIGNATION]])),"","NEED REF")</f>
        <v/>
      </c>
    </row>
    <row r="13757">
      <c r="B13757" t="n">
        <v>34400248</v>
      </c>
      <c r="C13757" s="2" t="n">
        <v>37545</v>
      </c>
      <c r="D13757" t="inlineStr">
        <is>
          <t>SPEC</t>
        </is>
      </c>
      <c r="E13757" t="inlineStr">
        <is>
          <t>TORON SYNCHRO SYNI - COFFRET</t>
        </is>
      </c>
      <c r="F13757" t="inlineStr">
        <is>
          <t>GALAXY , GALAXY PW</t>
        </is>
      </c>
      <c r="J13757" t="inlineStr">
        <is>
          <t>FERRIER</t>
        </is>
      </c>
      <c r="L13757">
        <f>_xlfn.XLOOKUP(Tableau1[[#This Row],[TYPE DE PIECE]],Tableau4[MATIERE],Tableau4[SHORT TYPE],"",0,1)</f>
        <v/>
      </c>
      <c r="N13757">
        <f>IF(ISERR(FIND("DECOUPE",Tableau1[[#This Row],[DESIGNATION]])),"","NEED REF")</f>
        <v/>
      </c>
    </row>
    <row r="13758">
      <c r="B13758" t="n">
        <v>34400247</v>
      </c>
      <c r="C13758" s="2" t="n">
        <v>37544</v>
      </c>
      <c r="D13758" t="inlineStr">
        <is>
          <t>SPEC</t>
        </is>
      </c>
      <c r="E13758" t="inlineStr">
        <is>
          <t>TORON COFFRET SYNCHRO - ASIS</t>
        </is>
      </c>
      <c r="F13758" t="inlineStr">
        <is>
          <t>GALAXY, EPS5000 ,,,</t>
        </is>
      </c>
      <c r="J13758" t="inlineStr">
        <is>
          <t>FERRIER</t>
        </is>
      </c>
      <c r="L13758">
        <f>_xlfn.XLOOKUP(Tableau1[[#This Row],[TYPE DE PIECE]],Tableau4[MATIERE],Tableau4[SHORT TYPE],"",0,1)</f>
        <v/>
      </c>
      <c r="N13758">
        <f>IF(ISERR(FIND("DECOUPE",Tableau1[[#This Row],[DESIGNATION]])),"","NEED REF")</f>
        <v/>
      </c>
    </row>
    <row r="13759">
      <c r="B13759" t="n">
        <v>34400246</v>
      </c>
      <c r="C13759" s="2" t="n">
        <v>37543</v>
      </c>
      <c r="D13759" t="inlineStr">
        <is>
          <t>SPEC</t>
        </is>
      </c>
      <c r="E13759" t="inlineStr">
        <is>
          <t>KIT FILERIE INTEGRATION SYNCHRO (ASIS)</t>
        </is>
      </c>
      <c r="F13759" t="inlineStr">
        <is>
          <t>EPS5000 - NS800</t>
        </is>
      </c>
      <c r="J13759" t="inlineStr">
        <is>
          <t>FERRIER</t>
        </is>
      </c>
      <c r="L13759">
        <f>_xlfn.XLOOKUP(Tableau1[[#This Row],[TYPE DE PIECE]],Tableau4[MATIERE],Tableau4[SHORT TYPE],"",0,1)</f>
        <v/>
      </c>
      <c r="N13759">
        <f>IF(ISERR(FIND("DECOUPE",Tableau1[[#This Row],[DESIGNATION]])),"","NEED REF")</f>
        <v/>
      </c>
    </row>
    <row r="13760">
      <c r="B13760" t="n">
        <v>34400245</v>
      </c>
      <c r="C13760" s="2" t="n">
        <v>37538</v>
      </c>
      <c r="D13760" t="inlineStr">
        <is>
          <t>SPEC</t>
        </is>
      </c>
      <c r="E13760" t="inlineStr">
        <is>
          <t>COMET S31 20kVA+ arm bat</t>
        </is>
      </c>
      <c r="F13760" t="inlineStr">
        <is>
          <t>Comet S31 20kVA</t>
        </is>
      </c>
      <c r="J13760" t="inlineStr">
        <is>
          <t>REVEL</t>
        </is>
      </c>
      <c r="L13760">
        <f>_xlfn.XLOOKUP(Tableau1[[#This Row],[TYPE DE PIECE]],Tableau4[MATIERE],Tableau4[SHORT TYPE],"",0,1)</f>
        <v/>
      </c>
      <c r="N13760">
        <f>IF(ISERR(FIND("DECOUPE",Tableau1[[#This Row],[DESIGNATION]])),"","NEED REF")</f>
        <v/>
      </c>
    </row>
    <row r="13761">
      <c r="B13761" t="n">
        <v>34400244</v>
      </c>
      <c r="C13761" s="2" t="n">
        <v>37537</v>
      </c>
      <c r="D13761" t="inlineStr">
        <is>
          <t>CDC</t>
        </is>
      </c>
      <c r="E13761" t="inlineStr">
        <is>
          <t>COMET S31 20KVA + TFO R2 SUR SKID</t>
        </is>
      </c>
      <c r="F13761" t="inlineStr">
        <is>
          <t>Comet S31 20kVA</t>
        </is>
      </c>
      <c r="J13761" t="inlineStr">
        <is>
          <t>REVEL</t>
        </is>
      </c>
      <c r="L13761">
        <f>_xlfn.XLOOKUP(Tableau1[[#This Row],[TYPE DE PIECE]],Tableau4[MATIERE],Tableau4[SHORT TYPE],"",0,1)</f>
        <v/>
      </c>
      <c r="N13761">
        <f>IF(ISERR(FIND("DECOUPE",Tableau1[[#This Row],[DESIGNATION]])),"","NEED REF")</f>
        <v/>
      </c>
    </row>
    <row r="13762">
      <c r="B13762" t="n">
        <v>34400243</v>
      </c>
      <c r="C13762" s="2" t="n">
        <v>37533</v>
      </c>
      <c r="D13762" t="inlineStr">
        <is>
          <t>NOM</t>
        </is>
      </c>
      <c r="E13762" t="inlineStr">
        <is>
          <t>Kit RC 4 TI</t>
        </is>
      </c>
      <c r="F13762" t="inlineStr">
        <is>
          <t>GALAXY</t>
        </is>
      </c>
      <c r="J13762" t="inlineStr">
        <is>
          <t>ROBERT</t>
        </is>
      </c>
      <c r="L13762">
        <f>_xlfn.XLOOKUP(Tableau1[[#This Row],[TYPE DE PIECE]],Tableau4[MATIERE],Tableau4[SHORT TYPE],"",0,1)</f>
        <v/>
      </c>
      <c r="N13762">
        <f>IF(ISERR(FIND("DECOUPE",Tableau1[[#This Row],[DESIGNATION]])),"","NEED REF")</f>
        <v/>
      </c>
    </row>
    <row r="13763">
      <c r="B13763" t="n">
        <v>34400242</v>
      </c>
      <c r="C13763" s="2" t="n">
        <v>37531</v>
      </c>
      <c r="D13763" t="inlineStr">
        <is>
          <t>CDC</t>
        </is>
      </c>
      <c r="E13763" t="inlineStr">
        <is>
          <t>COMET 5S31 couleur spe + skid</t>
        </is>
      </c>
      <c r="F13763" t="inlineStr">
        <is>
          <t>Comet S31 5kVA</t>
        </is>
      </c>
      <c r="J13763" t="inlineStr">
        <is>
          <t>REVEL</t>
        </is>
      </c>
      <c r="L13763">
        <f>_xlfn.XLOOKUP(Tableau1[[#This Row],[TYPE DE PIECE]],Tableau4[MATIERE],Tableau4[SHORT TYPE],"",0,1)</f>
        <v/>
      </c>
      <c r="N13763">
        <f>IF(ISERR(FIND("DECOUPE",Tableau1[[#This Row],[DESIGNATION]])),"","NEED REF")</f>
        <v/>
      </c>
    </row>
    <row r="13764">
      <c r="B13764" t="n">
        <v>34400241</v>
      </c>
      <c r="C13764" s="2" t="n">
        <v>37548</v>
      </c>
      <c r="D13764" t="inlineStr">
        <is>
          <t>CDC</t>
        </is>
      </c>
      <c r="E13764" t="inlineStr">
        <is>
          <t xml:space="preserve">SKID POUR GALAXY PW </t>
        </is>
      </c>
      <c r="F13764" t="inlineStr">
        <is>
          <t>GAL PW 715+1015</t>
        </is>
      </c>
      <c r="J13764" t="inlineStr">
        <is>
          <t>REVEL</t>
        </is>
      </c>
      <c r="L13764">
        <f>_xlfn.XLOOKUP(Tableau1[[#This Row],[TYPE DE PIECE]],Tableau4[MATIERE],Tableau4[SHORT TYPE],"",0,1)</f>
        <v/>
      </c>
      <c r="N13764">
        <f>IF(ISERR(FIND("DECOUPE",Tableau1[[#This Row],[DESIGNATION]])),"","NEED REF")</f>
        <v/>
      </c>
    </row>
    <row r="13765">
      <c r="B13765" t="n">
        <v>34400240</v>
      </c>
      <c r="C13765" s="2" t="n">
        <v>37524</v>
      </c>
      <c r="D13765" t="inlineStr">
        <is>
          <t>SPEC</t>
        </is>
      </c>
      <c r="E13765" t="inlineStr">
        <is>
          <t>Caillebotis marine protype</t>
        </is>
      </c>
      <c r="F13765" t="inlineStr">
        <is>
          <t>Galaxy PW 715*1900</t>
        </is>
      </c>
      <c r="J13765" t="inlineStr">
        <is>
          <t>REVEL</t>
        </is>
      </c>
      <c r="L13765">
        <f>_xlfn.XLOOKUP(Tableau1[[#This Row],[TYPE DE PIECE]],Tableau4[MATIERE],Tableau4[SHORT TYPE],"",0,1)</f>
        <v/>
      </c>
      <c r="N13765">
        <f>IF(ISERR(FIND("DECOUPE",Tableau1[[#This Row],[DESIGNATION]])),"","NEED REF")</f>
        <v/>
      </c>
    </row>
    <row r="13766">
      <c r="B13766" t="n">
        <v>34400239</v>
      </c>
      <c r="C13766" s="2" t="n">
        <v>37524</v>
      </c>
      <c r="D13766" t="inlineStr">
        <is>
          <t>NOM</t>
        </is>
      </c>
      <c r="E13766" t="inlineStr">
        <is>
          <t>LG peinture a commission arm aux, bat,</t>
        </is>
      </c>
      <c r="F13766" t="inlineStr">
        <is>
          <t>Galaxy 3000 L=600</t>
        </is>
      </c>
      <c r="J13766" t="inlineStr">
        <is>
          <t>REVEL</t>
        </is>
      </c>
      <c r="L13766">
        <f>_xlfn.XLOOKUP(Tableau1[[#This Row],[TYPE DE PIECE]],Tableau4[MATIERE],Tableau4[SHORT TYPE],"",0,1)</f>
        <v/>
      </c>
      <c r="N13766">
        <f>IF(ISERR(FIND("DECOUPE",Tableau1[[#This Row],[DESIGNATION]])),"","NEED REF")</f>
        <v/>
      </c>
    </row>
    <row r="13767">
      <c r="B13767" t="n">
        <v>34400238</v>
      </c>
      <c r="C13767" s="2" t="n">
        <v>37523</v>
      </c>
      <c r="D13767" t="inlineStr">
        <is>
          <t>CDC</t>
        </is>
      </c>
      <c r="E13767" t="inlineStr">
        <is>
          <t>Armoire By pass 100kVA Mono</t>
        </is>
      </c>
      <c r="F13767" t="inlineStr">
        <is>
          <t xml:space="preserve">Galaxy 1000PW </t>
        </is>
      </c>
      <c r="J13767" t="inlineStr">
        <is>
          <t>REVEL</t>
        </is>
      </c>
      <c r="L13767">
        <f>_xlfn.XLOOKUP(Tableau1[[#This Row],[TYPE DE PIECE]],Tableau4[MATIERE],Tableau4[SHORT TYPE],"",0,1)</f>
        <v/>
      </c>
      <c r="N13767">
        <f>IF(ISERR(FIND("DECOUPE",Tableau1[[#This Row],[DESIGNATION]])),"","NEED REF")</f>
        <v/>
      </c>
    </row>
    <row r="13768">
      <c r="B13768" t="n">
        <v>34400237</v>
      </c>
      <c r="C13768" s="2" t="n">
        <v>37522</v>
      </c>
      <c r="D13768" t="inlineStr">
        <is>
          <t>NOM</t>
        </is>
      </c>
      <c r="E13768" t="inlineStr">
        <is>
          <t>LG EX15US V2</t>
        </is>
      </c>
      <c r="F13768" t="inlineStr">
        <is>
          <t>Pulsar EX15US</t>
        </is>
      </c>
      <c r="J13768" t="inlineStr">
        <is>
          <t>REVEL</t>
        </is>
      </c>
      <c r="L13768">
        <f>_xlfn.XLOOKUP(Tableau1[[#This Row],[TYPE DE PIECE]],Tableau4[MATIERE],Tableau4[SHORT TYPE],"",0,1)</f>
        <v/>
      </c>
      <c r="N13768">
        <f>IF(ISERR(FIND("DECOUPE",Tableau1[[#This Row],[DESIGNATION]])),"","NEED REF")</f>
        <v/>
      </c>
    </row>
    <row r="13769">
      <c r="B13769" t="n">
        <v>34400236</v>
      </c>
      <c r="C13769" s="2" t="n">
        <v>37522</v>
      </c>
      <c r="D13769" t="inlineStr">
        <is>
          <t>CDC</t>
        </is>
      </c>
      <c r="E13769" t="inlineStr">
        <is>
          <t>Caillebotis marine 62 P6V1700</t>
        </is>
      </c>
      <c r="F13769" t="inlineStr">
        <is>
          <t>2 Arm bat Gal PW 715*1900</t>
        </is>
      </c>
      <c r="J13769" t="inlineStr">
        <is>
          <t>REVEL</t>
        </is>
      </c>
      <c r="L13769">
        <f>_xlfn.XLOOKUP(Tableau1[[#This Row],[TYPE DE PIECE]],Tableau4[MATIERE],Tableau4[SHORT TYPE],"",0,1)</f>
        <v/>
      </c>
      <c r="N13769">
        <f>IF(ISERR(FIND("DECOUPE",Tableau1[[#This Row],[DESIGNATION]])),"","NEED REF")</f>
        <v/>
      </c>
    </row>
    <row r="13770">
      <c r="B13770" t="n">
        <v>34400235</v>
      </c>
      <c r="C13770" s="2" t="n">
        <v>37517</v>
      </c>
      <c r="D13770" t="inlineStr">
        <is>
          <t>CDC</t>
        </is>
      </c>
      <c r="E13770" t="inlineStr">
        <is>
          <t>Caillebotis marine 31 P12V1575</t>
        </is>
      </c>
      <c r="F13770" t="inlineStr">
        <is>
          <t>Arm bat Gal PW 715*1900</t>
        </is>
      </c>
      <c r="J13770" t="inlineStr">
        <is>
          <t>REVEL</t>
        </is>
      </c>
      <c r="L13770">
        <f>_xlfn.XLOOKUP(Tableau1[[#This Row],[TYPE DE PIECE]],Tableau4[MATIERE],Tableau4[SHORT TYPE],"",0,1)</f>
        <v/>
      </c>
      <c r="N13770">
        <f>IF(ISERR(FIND("DECOUPE",Tableau1[[#This Row],[DESIGNATION]])),"","NEED REF")</f>
        <v/>
      </c>
    </row>
    <row r="13771">
      <c r="B13771" t="n">
        <v>34400234</v>
      </c>
      <c r="C13771" s="2" t="n">
        <v>37510</v>
      </c>
      <c r="D13771" t="inlineStr">
        <is>
          <t>NOM</t>
        </is>
      </c>
      <c r="E13771" t="inlineStr">
        <is>
          <t>Peinture a commission IP42</t>
        </is>
      </c>
      <c r="F13771" t="inlineStr">
        <is>
          <t>Galaxy PW 80-120kVA</t>
        </is>
      </c>
      <c r="J13771" t="inlineStr">
        <is>
          <t>REVEL</t>
        </is>
      </c>
      <c r="L13771">
        <f>_xlfn.XLOOKUP(Tableau1[[#This Row],[TYPE DE PIECE]],Tableau4[MATIERE],Tableau4[SHORT TYPE],"",0,1)</f>
        <v/>
      </c>
      <c r="N13771">
        <f>IF(ISERR(FIND("DECOUPE",Tableau1[[#This Row],[DESIGNATION]])),"","NEED REF")</f>
        <v/>
      </c>
    </row>
    <row r="13772">
      <c r="B13772" t="n">
        <v>34400233</v>
      </c>
      <c r="C13772" s="2" t="n">
        <v>37504</v>
      </c>
      <c r="D13772" t="inlineStr">
        <is>
          <t>SPEC</t>
        </is>
      </c>
      <c r="E13772" t="inlineStr">
        <is>
          <t>Limande MISI-MISI  L=20m</t>
        </is>
      </c>
      <c r="F13772" t="inlineStr">
        <is>
          <t>GALAXYPW</t>
        </is>
      </c>
      <c r="J13772" t="inlineStr">
        <is>
          <t>FERRIER</t>
        </is>
      </c>
      <c r="L13772">
        <f>_xlfn.XLOOKUP(Tableau1[[#This Row],[TYPE DE PIECE]],Tableau4[MATIERE],Tableau4[SHORT TYPE],"",0,1)</f>
        <v/>
      </c>
      <c r="N13772">
        <f>IF(ISERR(FIND("DECOUPE",Tableau1[[#This Row],[DESIGNATION]])),"","NEED REF")</f>
        <v/>
      </c>
    </row>
    <row r="13773">
      <c r="B13773" t="n">
        <v>34400232</v>
      </c>
      <c r="C13773" s="2" t="n">
        <v>37504</v>
      </c>
      <c r="D13773" t="inlineStr">
        <is>
          <t>SPEC</t>
        </is>
      </c>
      <c r="E13773" t="inlineStr">
        <is>
          <t>Limande APOZ-APOZ  L=20m</t>
        </is>
      </c>
      <c r="F13773" t="inlineStr">
        <is>
          <t>GALAXYPW</t>
        </is>
      </c>
      <c r="J13773" t="inlineStr">
        <is>
          <t>FERRIER</t>
        </is>
      </c>
      <c r="L13773">
        <f>_xlfn.XLOOKUP(Tableau1[[#This Row],[TYPE DE PIECE]],Tableau4[MATIERE],Tableau4[SHORT TYPE],"",0,1)</f>
        <v/>
      </c>
      <c r="N13773">
        <f>IF(ISERR(FIND("DECOUPE",Tableau1[[#This Row],[DESIGNATION]])),"","NEED REF")</f>
        <v/>
      </c>
    </row>
    <row r="13774">
      <c r="B13774" t="n">
        <v>34400231</v>
      </c>
      <c r="C13774" s="2" t="n">
        <v>37482</v>
      </c>
      <c r="D13774" t="inlineStr">
        <is>
          <t>SPEC</t>
        </is>
      </c>
      <c r="E13774" t="inlineStr">
        <is>
          <t>Etiquette pour EPROM GTC2Z</t>
        </is>
      </c>
      <c r="F13774" t="inlineStr">
        <is>
          <t>Galaxy 440V</t>
        </is>
      </c>
      <c r="J13774" t="inlineStr">
        <is>
          <t>REVEL</t>
        </is>
      </c>
      <c r="L13774">
        <f>_xlfn.XLOOKUP(Tableau1[[#This Row],[TYPE DE PIECE]],Tableau4[MATIERE],Tableau4[SHORT TYPE],"",0,1)</f>
        <v/>
      </c>
      <c r="N13774">
        <f>IF(ISERR(FIND("DECOUPE",Tableau1[[#This Row],[DESIGNATION]])),"","NEED REF")</f>
        <v/>
      </c>
    </row>
    <row r="13775">
      <c r="B13775" t="n">
        <v>34400230</v>
      </c>
      <c r="C13775" s="2" t="n">
        <v>37482</v>
      </c>
      <c r="D13775" t="inlineStr">
        <is>
          <t>SPEC</t>
        </is>
      </c>
      <c r="E13775" t="inlineStr">
        <is>
          <t>Etiquette pour carte GTC2Z</t>
        </is>
      </c>
      <c r="F13775" t="inlineStr">
        <is>
          <t>Galaxy 440V</t>
        </is>
      </c>
      <c r="J13775" t="inlineStr">
        <is>
          <t>REVEL</t>
        </is>
      </c>
      <c r="L13775">
        <f>_xlfn.XLOOKUP(Tableau1[[#This Row],[TYPE DE PIECE]],Tableau4[MATIERE],Tableau4[SHORT TYPE],"",0,1)</f>
        <v/>
      </c>
      <c r="N13775">
        <f>IF(ISERR(FIND("DECOUPE",Tableau1[[#This Row],[DESIGNATION]])),"","NEED REF")</f>
        <v/>
      </c>
    </row>
    <row r="13776">
      <c r="B13776" t="n">
        <v>34400229</v>
      </c>
      <c r="C13776" s="2" t="n">
        <v>37482</v>
      </c>
      <c r="D13776" t="inlineStr">
        <is>
          <t>CDC</t>
        </is>
      </c>
      <c r="E13776" t="inlineStr">
        <is>
          <t>Manta bornier</t>
        </is>
      </c>
      <c r="F13776" t="inlineStr">
        <is>
          <t>Pulsar STS 16A</t>
        </is>
      </c>
      <c r="J13776" t="inlineStr">
        <is>
          <t>REVEL</t>
        </is>
      </c>
      <c r="L13776">
        <f>_xlfn.XLOOKUP(Tableau1[[#This Row],[TYPE DE PIECE]],Tableau4[MATIERE],Tableau4[SHORT TYPE],"",0,1)</f>
        <v/>
      </c>
      <c r="N13776">
        <f>IF(ISERR(FIND("DECOUPE",Tableau1[[#This Row],[DESIGNATION]])),"","NEED REF")</f>
        <v/>
      </c>
    </row>
    <row r="13777">
      <c r="B13777" t="n">
        <v>34400228</v>
      </c>
      <c r="C13777" s="2" t="n">
        <v>37481</v>
      </c>
      <c r="D13777" t="inlineStr">
        <is>
          <t>CDC</t>
        </is>
      </c>
      <c r="E13777" t="inlineStr">
        <is>
          <t>Pulsar Extreme 2 kVA CLA arm 715*1400</t>
        </is>
      </c>
      <c r="F13777" t="inlineStr">
        <is>
          <t>Pulsar Extreme 2000 CLA</t>
        </is>
      </c>
      <c r="J13777" t="inlineStr">
        <is>
          <t>REVEL</t>
        </is>
      </c>
      <c r="L13777">
        <f>_xlfn.XLOOKUP(Tableau1[[#This Row],[TYPE DE PIECE]],Tableau4[MATIERE],Tableau4[SHORT TYPE],"",0,1)</f>
        <v/>
      </c>
      <c r="N13777">
        <f>IF(ISERR(FIND("DECOUPE",Tableau1[[#This Row],[DESIGNATION]])),"","NEED REF")</f>
        <v/>
      </c>
    </row>
    <row r="13778">
      <c r="B13778" t="n">
        <v>34400227</v>
      </c>
      <c r="C13778" s="2" t="n">
        <v>37477</v>
      </c>
      <c r="D13778" t="inlineStr">
        <is>
          <t>SPEC</t>
        </is>
      </c>
      <c r="E13778" t="inlineStr">
        <is>
          <t>Porte gauche IP40</t>
        </is>
      </c>
      <c r="F13778" t="inlineStr">
        <is>
          <t>Gal PW arm bat 1015*1900</t>
        </is>
      </c>
      <c r="J13778" t="inlineStr">
        <is>
          <t>REVEL</t>
        </is>
      </c>
      <c r="L13778">
        <f>_xlfn.XLOOKUP(Tableau1[[#This Row],[TYPE DE PIECE]],Tableau4[MATIERE],Tableau4[SHORT TYPE],"",0,1)</f>
        <v/>
      </c>
      <c r="N13778">
        <f>IF(ISERR(FIND("DECOUPE",Tableau1[[#This Row],[DESIGNATION]])),"","NEED REF")</f>
        <v/>
      </c>
    </row>
    <row r="13779">
      <c r="B13779" t="n">
        <v>34400226</v>
      </c>
      <c r="C13779" s="2" t="n">
        <v>37477</v>
      </c>
      <c r="D13779" t="inlineStr">
        <is>
          <t>SPEC</t>
        </is>
      </c>
      <c r="E13779" t="inlineStr">
        <is>
          <t>Porte droite IP40</t>
        </is>
      </c>
      <c r="F13779" t="inlineStr">
        <is>
          <t>Gal PW arm bat 1015*1900</t>
        </is>
      </c>
      <c r="J13779" t="inlineStr">
        <is>
          <t>REVEL</t>
        </is>
      </c>
      <c r="L13779">
        <f>_xlfn.XLOOKUP(Tableau1[[#This Row],[TYPE DE PIECE]],Tableau4[MATIERE],Tableau4[SHORT TYPE],"",0,1)</f>
        <v/>
      </c>
      <c r="N13779">
        <f>IF(ISERR(FIND("DECOUPE",Tableau1[[#This Row],[DESIGNATION]])),"","NEED REF")</f>
        <v/>
      </c>
    </row>
    <row r="13780">
      <c r="B13780" t="n">
        <v>34400225</v>
      </c>
      <c r="C13780" s="2" t="n">
        <v>37477</v>
      </c>
      <c r="D13780" t="inlineStr">
        <is>
          <t>NOM</t>
        </is>
      </c>
      <c r="E13780" t="inlineStr">
        <is>
          <t>LG IP40 armoire batterie 1015*1900</t>
        </is>
      </c>
      <c r="F13780" t="inlineStr">
        <is>
          <t>Galaxy PW</t>
        </is>
      </c>
      <c r="J13780" t="inlineStr">
        <is>
          <t>REVEL</t>
        </is>
      </c>
      <c r="L13780">
        <f>_xlfn.XLOOKUP(Tableau1[[#This Row],[TYPE DE PIECE]],Tableau4[MATIERE],Tableau4[SHORT TYPE],"",0,1)</f>
        <v/>
      </c>
      <c r="N13780">
        <f>IF(ISERR(FIND("DECOUPE",Tableau1[[#This Row],[DESIGNATION]])),"","NEED REF")</f>
        <v/>
      </c>
    </row>
    <row r="13781">
      <c r="B13781" t="n">
        <v>34400224</v>
      </c>
      <c r="C13781" s="2" t="n">
        <v>37477</v>
      </c>
      <c r="D13781" t="inlineStr">
        <is>
          <t>SPEC</t>
        </is>
      </c>
      <c r="E13781" t="inlineStr">
        <is>
          <t>Panneau arriere IP40</t>
        </is>
      </c>
      <c r="F13781" t="inlineStr">
        <is>
          <t>Galaxy PW 80-120kVA</t>
        </is>
      </c>
      <c r="J13781" t="inlineStr">
        <is>
          <t>REVEL</t>
        </is>
      </c>
      <c r="L13781">
        <f>_xlfn.XLOOKUP(Tableau1[[#This Row],[TYPE DE PIECE]],Tableau4[MATIERE],Tableau4[SHORT TYPE],"",0,1)</f>
        <v/>
      </c>
      <c r="N13781">
        <f>IF(ISERR(FIND("DECOUPE",Tableau1[[#This Row],[DESIGNATION]])),"","NEED REF")</f>
        <v/>
      </c>
    </row>
    <row r="13782">
      <c r="B13782" t="n">
        <v>34400223</v>
      </c>
      <c r="C13782" s="2" t="n">
        <v>37477</v>
      </c>
      <c r="D13782" t="inlineStr">
        <is>
          <t>SPEC</t>
        </is>
      </c>
      <c r="E13782" t="inlineStr">
        <is>
          <t>Porte gauche IP40</t>
        </is>
      </c>
      <c r="F13782" t="inlineStr">
        <is>
          <t>Galaxy PW 80-120kVA</t>
        </is>
      </c>
      <c r="J13782" t="inlineStr">
        <is>
          <t>REVEL</t>
        </is>
      </c>
      <c r="L13782">
        <f>_xlfn.XLOOKUP(Tableau1[[#This Row],[TYPE DE PIECE]],Tableau4[MATIERE],Tableau4[SHORT TYPE],"",0,1)</f>
        <v/>
      </c>
      <c r="N13782">
        <f>IF(ISERR(FIND("DECOUPE",Tableau1[[#This Row],[DESIGNATION]])),"","NEED REF")</f>
        <v/>
      </c>
    </row>
    <row r="13783">
      <c r="B13783" t="n">
        <v>34400222</v>
      </c>
      <c r="C13783" s="2" t="n">
        <v>37477</v>
      </c>
      <c r="D13783" t="inlineStr">
        <is>
          <t>SPEC</t>
        </is>
      </c>
      <c r="E13783" t="inlineStr">
        <is>
          <t>Porte droite IP40</t>
        </is>
      </c>
      <c r="F13783" t="inlineStr">
        <is>
          <t>Galaxy PW 80-120kVA</t>
        </is>
      </c>
      <c r="J13783" t="inlineStr">
        <is>
          <t>REVEL</t>
        </is>
      </c>
      <c r="L13783">
        <f>_xlfn.XLOOKUP(Tableau1[[#This Row],[TYPE DE PIECE]],Tableau4[MATIERE],Tableau4[SHORT TYPE],"",0,1)</f>
        <v/>
      </c>
      <c r="N13783">
        <f>IF(ISERR(FIND("DECOUPE",Tableau1[[#This Row],[DESIGNATION]])),"","NEED REF")</f>
        <v/>
      </c>
    </row>
    <row r="13784">
      <c r="B13784" t="n">
        <v>34400221</v>
      </c>
      <c r="C13784" s="2" t="n">
        <v>37477</v>
      </c>
      <c r="D13784" t="inlineStr">
        <is>
          <t>NOM</t>
        </is>
      </c>
      <c r="E13784" t="inlineStr">
        <is>
          <t>LG IP40 Galaxy PW 80-120kVA</t>
        </is>
      </c>
      <c r="F13784" t="inlineStr">
        <is>
          <t>Galaxy PW 80-120kVA</t>
        </is>
      </c>
      <c r="J13784" t="inlineStr">
        <is>
          <t>REVEL</t>
        </is>
      </c>
      <c r="L13784">
        <f>_xlfn.XLOOKUP(Tableau1[[#This Row],[TYPE DE PIECE]],Tableau4[MATIERE],Tableau4[SHORT TYPE],"",0,1)</f>
        <v/>
      </c>
      <c r="N13784">
        <f>IF(ISERR(FIND("DECOUPE",Tableau1[[#This Row],[DESIGNATION]])),"","NEED REF")</f>
        <v/>
      </c>
    </row>
    <row r="13785">
      <c r="B13785" t="n">
        <v>34400220</v>
      </c>
      <c r="C13785" s="2" t="n">
        <v>37475</v>
      </c>
      <c r="D13785" t="inlineStr">
        <is>
          <t>NOM</t>
        </is>
      </c>
      <c r="E13785" t="inlineStr">
        <is>
          <t>LG protection IP 22 pour arm, bat 800</t>
        </is>
      </c>
      <c r="F13785" t="inlineStr">
        <is>
          <t>Galaxy bat L=800</t>
        </is>
      </c>
      <c r="J13785" t="inlineStr">
        <is>
          <t>REVEL</t>
        </is>
      </c>
      <c r="L13785">
        <f>_xlfn.XLOOKUP(Tableau1[[#This Row],[TYPE DE PIECE]],Tableau4[MATIERE],Tableau4[SHORT TYPE],"",0,1)</f>
        <v/>
      </c>
      <c r="N13785">
        <f>IF(ISERR(FIND("DECOUPE",Tableau1[[#This Row],[DESIGNATION]])),"","NEED REF")</f>
        <v/>
      </c>
    </row>
    <row r="13786">
      <c r="B13786" t="n">
        <v>34400219</v>
      </c>
      <c r="C13786" s="2" t="n">
        <v>37473</v>
      </c>
      <c r="D13786" t="inlineStr">
        <is>
          <t>CDC</t>
        </is>
      </c>
      <c r="E13786" t="inlineStr">
        <is>
          <t>Montage batterie dans armoire</t>
        </is>
      </c>
      <c r="F13786" t="inlineStr">
        <is>
          <t>Galaxy PW 160kva 10mn</t>
        </is>
      </c>
      <c r="J13786" t="inlineStr">
        <is>
          <t>REVEL</t>
        </is>
      </c>
      <c r="L13786">
        <f>_xlfn.XLOOKUP(Tableau1[[#This Row],[TYPE DE PIECE]],Tableau4[MATIERE],Tableau4[SHORT TYPE],"",0,1)</f>
        <v/>
      </c>
      <c r="N13786">
        <f>IF(ISERR(FIND("DECOUPE",Tableau1[[#This Row],[DESIGNATION]])),"","NEED REF")</f>
        <v/>
      </c>
    </row>
    <row r="13787">
      <c r="B13787" t="n">
        <v>34400218</v>
      </c>
      <c r="C13787" s="2" t="n">
        <v>37470</v>
      </c>
      <c r="D13787" t="inlineStr">
        <is>
          <t>NOM</t>
        </is>
      </c>
      <c r="E13787" t="inlineStr">
        <is>
          <t>Armoire Galaxy PW 1215</t>
        </is>
      </c>
      <c r="F13787" t="inlineStr">
        <is>
          <t>Armoire TT</t>
        </is>
      </c>
      <c r="J13787" t="inlineStr">
        <is>
          <t>REVEL</t>
        </is>
      </c>
      <c r="L13787">
        <f>_xlfn.XLOOKUP(Tableau1[[#This Row],[TYPE DE PIECE]],Tableau4[MATIERE],Tableau4[SHORT TYPE],"",0,1)</f>
        <v/>
      </c>
      <c r="N13787">
        <f>IF(ISERR(FIND("DECOUPE",Tableau1[[#This Row],[DESIGNATION]])),"","NEED REF")</f>
        <v/>
      </c>
    </row>
    <row r="13788">
      <c r="B13788" t="n">
        <v>34400217</v>
      </c>
      <c r="C13788" s="2" t="n">
        <v>37469</v>
      </c>
      <c r="D13788" t="inlineStr">
        <is>
          <t>NOM</t>
        </is>
      </c>
      <c r="E13788" t="inlineStr">
        <is>
          <t>Evolution Pedago</t>
        </is>
      </c>
      <c r="F13788" t="inlineStr">
        <is>
          <t>Pulsar Evolution 800 VA</t>
        </is>
      </c>
      <c r="J13788" t="inlineStr">
        <is>
          <t>REVEL</t>
        </is>
      </c>
      <c r="L13788">
        <f>_xlfn.XLOOKUP(Tableau1[[#This Row],[TYPE DE PIECE]],Tableau4[MATIERE],Tableau4[SHORT TYPE],"",0,1)</f>
        <v/>
      </c>
      <c r="N13788">
        <f>IF(ISERR(FIND("DECOUPE",Tableau1[[#This Row],[DESIGNATION]])),"","NEED REF")</f>
        <v/>
      </c>
    </row>
    <row r="13789">
      <c r="B13789" t="n">
        <v>34400216</v>
      </c>
      <c r="C13789" s="2" t="n">
        <v>37467</v>
      </c>
      <c r="D13789" t="inlineStr">
        <is>
          <t>SPEC</t>
        </is>
      </c>
      <c r="E13789" t="inlineStr">
        <is>
          <t>Entretoise pour toit IP</t>
        </is>
      </c>
      <c r="F13789" t="inlineStr">
        <is>
          <t>Armoire aux 1215*1900</t>
        </is>
      </c>
      <c r="J13789" t="inlineStr">
        <is>
          <t>REVEL</t>
        </is>
      </c>
      <c r="L13789">
        <f>_xlfn.XLOOKUP(Tableau1[[#This Row],[TYPE DE PIECE]],Tableau4[MATIERE],Tableau4[SHORT TYPE],"",0,1)</f>
        <v/>
      </c>
      <c r="N13789">
        <f>IF(ISERR(FIND("DECOUPE",Tableau1[[#This Row],[DESIGNATION]])),"","NEED REF")</f>
        <v/>
      </c>
    </row>
    <row r="13790">
      <c r="B13790" t="n">
        <v>34400215</v>
      </c>
      <c r="C13790" s="2" t="n">
        <v>37467</v>
      </c>
      <c r="D13790" t="inlineStr">
        <is>
          <t>SPEC</t>
        </is>
      </c>
      <c r="E13790" t="inlineStr">
        <is>
          <t>Toit IP*1/*2</t>
        </is>
      </c>
      <c r="F13790" t="inlineStr">
        <is>
          <t>Armoire aux 1215*1900</t>
        </is>
      </c>
      <c r="J13790" t="inlineStr">
        <is>
          <t>REVEL</t>
        </is>
      </c>
      <c r="L13790">
        <f>_xlfn.XLOOKUP(Tableau1[[#This Row],[TYPE DE PIECE]],Tableau4[MATIERE],Tableau4[SHORT TYPE],"",0,1)</f>
        <v/>
      </c>
      <c r="N13790">
        <f>IF(ISERR(FIND("DECOUPE",Tableau1[[#This Row],[DESIGNATION]])),"","NEED REF")</f>
        <v/>
      </c>
    </row>
    <row r="13791">
      <c r="B13791" t="n">
        <v>34400214</v>
      </c>
      <c r="C13791" s="2" t="n">
        <v>37467</v>
      </c>
      <c r="D13791" t="inlineStr">
        <is>
          <t>SPEC</t>
        </is>
      </c>
      <c r="E13791" t="inlineStr">
        <is>
          <t>Porte droite IP32</t>
        </is>
      </c>
      <c r="F13791" t="inlineStr">
        <is>
          <t>Armoire aux 1215*1900</t>
        </is>
      </c>
      <c r="J13791" t="inlineStr">
        <is>
          <t>REVEL</t>
        </is>
      </c>
      <c r="L13791">
        <f>_xlfn.XLOOKUP(Tableau1[[#This Row],[TYPE DE PIECE]],Tableau4[MATIERE],Tableau4[SHORT TYPE],"",0,1)</f>
        <v/>
      </c>
      <c r="N13791">
        <f>IF(ISERR(FIND("DECOUPE",Tableau1[[#This Row],[DESIGNATION]])),"","NEED REF")</f>
        <v/>
      </c>
    </row>
    <row r="13792">
      <c r="B13792" t="n">
        <v>34400213</v>
      </c>
      <c r="C13792" s="2" t="n">
        <v>37467</v>
      </c>
      <c r="D13792" t="inlineStr">
        <is>
          <t>SPEC</t>
        </is>
      </c>
      <c r="E13792" t="inlineStr">
        <is>
          <t>Porte gauche IP32</t>
        </is>
      </c>
      <c r="F13792" t="inlineStr">
        <is>
          <t>Armoire aux 1215*1900</t>
        </is>
      </c>
      <c r="J13792" t="inlineStr">
        <is>
          <t>REVEL</t>
        </is>
      </c>
      <c r="L13792">
        <f>_xlfn.XLOOKUP(Tableau1[[#This Row],[TYPE DE PIECE]],Tableau4[MATIERE],Tableau4[SHORT TYPE],"",0,1)</f>
        <v/>
      </c>
      <c r="N13792">
        <f>IF(ISERR(FIND("DECOUPE",Tableau1[[#This Row],[DESIGNATION]])),"","NEED REF")</f>
        <v/>
      </c>
    </row>
    <row r="13793">
      <c r="B13793" t="n">
        <v>34400212</v>
      </c>
      <c r="C13793" s="2" t="n">
        <v>37467</v>
      </c>
      <c r="D13793" t="inlineStr">
        <is>
          <t>CDC</t>
        </is>
      </c>
      <c r="E13793" t="inlineStr">
        <is>
          <t>Armoire PDU 60 departs</t>
        </is>
      </c>
      <c r="J13793" t="inlineStr">
        <is>
          <t>REVEL</t>
        </is>
      </c>
      <c r="L13793">
        <f>_xlfn.XLOOKUP(Tableau1[[#This Row],[TYPE DE PIECE]],Tableau4[MATIERE],Tableau4[SHORT TYPE],"",0,1)</f>
        <v/>
      </c>
      <c r="N13793">
        <f>IF(ISERR(FIND("DECOUPE",Tableau1[[#This Row],[DESIGNATION]])),"","NEED REF")</f>
        <v/>
      </c>
    </row>
    <row r="13794">
      <c r="B13794" t="n">
        <v>34400211</v>
      </c>
      <c r="C13794" s="2" t="n">
        <v>37463</v>
      </c>
      <c r="D13794" t="inlineStr">
        <is>
          <t>SPEC</t>
        </is>
      </c>
      <c r="E13794" t="inlineStr">
        <is>
          <t>Protection basse makrolon</t>
        </is>
      </c>
      <c r="F13794" t="inlineStr">
        <is>
          <t>FAH 400kVA</t>
        </is>
      </c>
      <c r="J13794" t="inlineStr">
        <is>
          <t>REVEL</t>
        </is>
      </c>
      <c r="L13794">
        <f>_xlfn.XLOOKUP(Tableau1[[#This Row],[TYPE DE PIECE]],Tableau4[MATIERE],Tableau4[SHORT TYPE],"",0,1)</f>
        <v/>
      </c>
      <c r="N13794">
        <f>IF(ISERR(FIND("DECOUPE",Tableau1[[#This Row],[DESIGNATION]])),"","NEED REF")</f>
        <v/>
      </c>
    </row>
    <row r="13795">
      <c r="B13795" t="n">
        <v>34400210</v>
      </c>
      <c r="C13795" s="2" t="n">
        <v>37463</v>
      </c>
      <c r="D13795" t="inlineStr">
        <is>
          <t>SPEC</t>
        </is>
      </c>
      <c r="E13795" t="inlineStr">
        <is>
          <t>Protection haute makrolon</t>
        </is>
      </c>
      <c r="F13795" t="inlineStr">
        <is>
          <t>FAH 400kVA</t>
        </is>
      </c>
      <c r="J13795" t="inlineStr">
        <is>
          <t>REVEL</t>
        </is>
      </c>
      <c r="L13795">
        <f>_xlfn.XLOOKUP(Tableau1[[#This Row],[TYPE DE PIECE]],Tableau4[MATIERE],Tableau4[SHORT TYPE],"",0,1)</f>
        <v/>
      </c>
      <c r="N13795">
        <f>IF(ISERR(FIND("DECOUPE",Tableau1[[#This Row],[DESIGNATION]])),"","NEED REF")</f>
        <v/>
      </c>
    </row>
    <row r="13796">
      <c r="B13796" t="n">
        <v>34400209</v>
      </c>
      <c r="C13796" s="2" t="n">
        <v>37462</v>
      </c>
      <c r="D13796" t="inlineStr">
        <is>
          <t>NOM</t>
        </is>
      </c>
      <c r="E13796" t="inlineStr">
        <is>
          <t>LG peinture a commission</t>
        </is>
      </c>
      <c r="F13796" t="inlineStr">
        <is>
          <t>STS 600A</t>
        </is>
      </c>
      <c r="J13796" t="inlineStr">
        <is>
          <t>REVEL</t>
        </is>
      </c>
      <c r="L13796">
        <f>_xlfn.XLOOKUP(Tableau1[[#This Row],[TYPE DE PIECE]],Tableau4[MATIERE],Tableau4[SHORT TYPE],"",0,1)</f>
        <v/>
      </c>
      <c r="N13796">
        <f>IF(ISERR(FIND("DECOUPE",Tableau1[[#This Row],[DESIGNATION]])),"","NEED REF")</f>
        <v/>
      </c>
    </row>
    <row r="13797">
      <c r="B13797" t="n">
        <v>34400208</v>
      </c>
      <c r="C13797" s="2" t="n">
        <v>37461</v>
      </c>
      <c r="D13797" t="inlineStr">
        <is>
          <t>SPEC</t>
        </is>
      </c>
      <c r="E13797" t="inlineStr">
        <is>
          <t>Support THM cellule GALAXY+PW non plié</t>
        </is>
      </c>
      <c r="F13797" t="inlineStr">
        <is>
          <t>THM cellule GALAXY+PW</t>
        </is>
      </c>
      <c r="J13797" t="inlineStr">
        <is>
          <t>FOLTZ</t>
        </is>
      </c>
      <c r="L13797">
        <f>_xlfn.XLOOKUP(Tableau1[[#This Row],[TYPE DE PIECE]],Tableau4[MATIERE],Tableau4[SHORT TYPE],"",0,1)</f>
        <v/>
      </c>
      <c r="N13797">
        <f>IF(ISERR(FIND("DECOUPE",Tableau1[[#This Row],[DESIGNATION]])),"","NEED REF")</f>
        <v/>
      </c>
    </row>
    <row r="13798">
      <c r="B13798" t="n">
        <v>34400207</v>
      </c>
      <c r="C13798" s="2" t="n">
        <v>37460</v>
      </c>
      <c r="D13798" t="inlineStr">
        <is>
          <t>SPEC</t>
        </is>
      </c>
      <c r="E13798" t="inlineStr">
        <is>
          <t>Support THM cellule GALAXY plié</t>
        </is>
      </c>
      <c r="F13798" t="inlineStr">
        <is>
          <t>THM cellule GALAXY</t>
        </is>
      </c>
      <c r="J13798" t="inlineStr">
        <is>
          <t>FOLTZ</t>
        </is>
      </c>
      <c r="L13798">
        <f>_xlfn.XLOOKUP(Tableau1[[#This Row],[TYPE DE PIECE]],Tableau4[MATIERE],Tableau4[SHORT TYPE],"",0,1)</f>
        <v/>
      </c>
      <c r="N13798">
        <f>IF(ISERR(FIND("DECOUPE",Tableau1[[#This Row],[DESIGNATION]])),"","NEED REF")</f>
        <v/>
      </c>
    </row>
    <row r="13799">
      <c r="B13799" t="n">
        <v>34400206</v>
      </c>
      <c r="C13799" s="2" t="n">
        <v>37460</v>
      </c>
      <c r="D13799" t="inlineStr">
        <is>
          <t>SPEC</t>
        </is>
      </c>
      <c r="E13799" t="inlineStr">
        <is>
          <t>Support THM cellule PW plié</t>
        </is>
      </c>
      <c r="F13799" t="inlineStr">
        <is>
          <t>THM cellule PW</t>
        </is>
      </c>
      <c r="J13799" t="inlineStr">
        <is>
          <t>FOLTZ</t>
        </is>
      </c>
      <c r="L13799">
        <f>_xlfn.XLOOKUP(Tableau1[[#This Row],[TYPE DE PIECE]],Tableau4[MATIERE],Tableau4[SHORT TYPE],"",0,1)</f>
        <v/>
      </c>
      <c r="N13799">
        <f>IF(ISERR(FIND("DECOUPE",Tableau1[[#This Row],[DESIGNATION]])),"","NEED REF")</f>
        <v/>
      </c>
    </row>
    <row r="13800">
      <c r="B13800" t="n">
        <v>34400205</v>
      </c>
      <c r="C13800" s="2" t="n">
        <v>37460</v>
      </c>
      <c r="D13800" t="inlineStr">
        <is>
          <t>SPEC</t>
        </is>
      </c>
      <c r="E13800" t="inlineStr">
        <is>
          <t>Panneau bas protection cosse bi metal</t>
        </is>
      </c>
      <c r="F13800" t="inlineStr">
        <is>
          <t>Galaxy 400kva</t>
        </is>
      </c>
      <c r="J13800" t="inlineStr">
        <is>
          <t>REVEL</t>
        </is>
      </c>
      <c r="L13800">
        <f>_xlfn.XLOOKUP(Tableau1[[#This Row],[TYPE DE PIECE]],Tableau4[MATIERE],Tableau4[SHORT TYPE],"",0,1)</f>
        <v/>
      </c>
      <c r="N13800">
        <f>IF(ISERR(FIND("DECOUPE",Tableau1[[#This Row],[DESIGNATION]])),"","NEED REF")</f>
        <v/>
      </c>
    </row>
    <row r="13801">
      <c r="B13801" t="n">
        <v>34400204</v>
      </c>
      <c r="C13801" s="2" t="n">
        <v>37455</v>
      </c>
      <c r="D13801" t="inlineStr">
        <is>
          <t>SPEC</t>
        </is>
      </c>
      <c r="E13801" t="inlineStr">
        <is>
          <t>Panneau galaxy 3000 version marine</t>
        </is>
      </c>
      <c r="J13801" t="inlineStr">
        <is>
          <t>ROBERT</t>
        </is>
      </c>
      <c r="L13801">
        <f>_xlfn.XLOOKUP(Tableau1[[#This Row],[TYPE DE PIECE]],Tableau4[MATIERE],Tableau4[SHORT TYPE],"",0,1)</f>
        <v/>
      </c>
      <c r="N13801">
        <f>IF(ISERR(FIND("DECOUPE",Tableau1[[#This Row],[DESIGNATION]])),"","NEED REF")</f>
        <v/>
      </c>
    </row>
    <row r="13802">
      <c r="B13802" t="n">
        <v>34400203</v>
      </c>
      <c r="C13802" s="2" t="n">
        <v>37455</v>
      </c>
      <c r="D13802" t="inlineStr">
        <is>
          <t>SPEC</t>
        </is>
      </c>
      <c r="E13802" t="inlineStr">
        <is>
          <t>Panneau galaxy 3000 version marine</t>
        </is>
      </c>
      <c r="J13802" t="inlineStr">
        <is>
          <t>ROBERT</t>
        </is>
      </c>
      <c r="L13802">
        <f>_xlfn.XLOOKUP(Tableau1[[#This Row],[TYPE DE PIECE]],Tableau4[MATIERE],Tableau4[SHORT TYPE],"",0,1)</f>
        <v/>
      </c>
      <c r="N13802">
        <f>IF(ISERR(FIND("DECOUPE",Tableau1[[#This Row],[DESIGNATION]])),"","NEED REF")</f>
        <v/>
      </c>
    </row>
    <row r="13803">
      <c r="B13803" t="n">
        <v>34400202</v>
      </c>
      <c r="C13803" s="2" t="n">
        <v>37455</v>
      </c>
      <c r="D13803" t="inlineStr">
        <is>
          <t>SPEC</t>
        </is>
      </c>
      <c r="E13803" t="inlineStr">
        <is>
          <t>Panneau galaxy 3000 version marine</t>
        </is>
      </c>
      <c r="J13803" t="inlineStr">
        <is>
          <t>ROBERT</t>
        </is>
      </c>
      <c r="L13803">
        <f>_xlfn.XLOOKUP(Tableau1[[#This Row],[TYPE DE PIECE]],Tableau4[MATIERE],Tableau4[SHORT TYPE],"",0,1)</f>
        <v/>
      </c>
      <c r="N13803">
        <f>IF(ISERR(FIND("DECOUPE",Tableau1[[#This Row],[DESIGNATION]])),"","NEED REF")</f>
        <v/>
      </c>
    </row>
    <row r="13804">
      <c r="B13804" t="n">
        <v>34400201</v>
      </c>
      <c r="C13804" s="2" t="n">
        <v>37455</v>
      </c>
      <c r="D13804" t="inlineStr">
        <is>
          <t>SPEC</t>
        </is>
      </c>
      <c r="E13804" t="inlineStr">
        <is>
          <t>Panneau galaxy 3000 version marine</t>
        </is>
      </c>
      <c r="J13804" t="inlineStr">
        <is>
          <t>ROBERT</t>
        </is>
      </c>
      <c r="L13804">
        <f>_xlfn.XLOOKUP(Tableau1[[#This Row],[TYPE DE PIECE]],Tableau4[MATIERE],Tableau4[SHORT TYPE],"",0,1)</f>
        <v/>
      </c>
      <c r="N13804">
        <f>IF(ISERR(FIND("DECOUPE",Tableau1[[#This Row],[DESIGNATION]])),"","NEED REF")</f>
        <v/>
      </c>
    </row>
    <row r="13805">
      <c r="B13805" t="n">
        <v>34400200</v>
      </c>
      <c r="C13805" s="2" t="n">
        <v>37455</v>
      </c>
      <c r="D13805" t="inlineStr">
        <is>
          <t>SPEC</t>
        </is>
      </c>
      <c r="E13805" t="inlineStr">
        <is>
          <t>Panneau galaxy 3000 version marine</t>
        </is>
      </c>
      <c r="J13805" t="inlineStr">
        <is>
          <t>ROBERT</t>
        </is>
      </c>
      <c r="L13805">
        <f>_xlfn.XLOOKUP(Tableau1[[#This Row],[TYPE DE PIECE]],Tableau4[MATIERE],Tableau4[SHORT TYPE],"",0,1)</f>
        <v/>
      </c>
      <c r="N13805">
        <f>IF(ISERR(FIND("DECOUPE",Tableau1[[#This Row],[DESIGNATION]])),"","NEED REF")</f>
        <v/>
      </c>
    </row>
    <row r="13806">
      <c r="B13806" t="n">
        <v>34400199</v>
      </c>
      <c r="C13806" s="2" t="n">
        <v>37455</v>
      </c>
      <c r="D13806" t="inlineStr">
        <is>
          <t>SPEC</t>
        </is>
      </c>
      <c r="E13806" t="inlineStr">
        <is>
          <t>Panneau galaxy 3000 version marine</t>
        </is>
      </c>
      <c r="J13806" t="inlineStr">
        <is>
          <t>ROBERT</t>
        </is>
      </c>
      <c r="L13806">
        <f>_xlfn.XLOOKUP(Tableau1[[#This Row],[TYPE DE PIECE]],Tableau4[MATIERE],Tableau4[SHORT TYPE],"",0,1)</f>
        <v/>
      </c>
      <c r="N13806">
        <f>IF(ISERR(FIND("DECOUPE",Tableau1[[#This Row],[DESIGNATION]])),"","NEED REF")</f>
        <v/>
      </c>
    </row>
    <row r="13807">
      <c r="B13807" t="n">
        <v>34400198</v>
      </c>
      <c r="C13807" s="2" t="n">
        <v>37455</v>
      </c>
      <c r="D13807" t="inlineStr">
        <is>
          <t>SPEC</t>
        </is>
      </c>
      <c r="E13807" t="inlineStr">
        <is>
          <t>Panneau galaxy 3000 version marine</t>
        </is>
      </c>
      <c r="J13807" t="inlineStr">
        <is>
          <t>ROBERT</t>
        </is>
      </c>
      <c r="L13807">
        <f>_xlfn.XLOOKUP(Tableau1[[#This Row],[TYPE DE PIECE]],Tableau4[MATIERE],Tableau4[SHORT TYPE],"",0,1)</f>
        <v/>
      </c>
      <c r="N13807">
        <f>IF(ISERR(FIND("DECOUPE",Tableau1[[#This Row],[DESIGNATION]])),"","NEED REF")</f>
        <v/>
      </c>
    </row>
    <row r="13808">
      <c r="B13808" t="n">
        <v>34400197</v>
      </c>
      <c r="C13808" s="2" t="n">
        <v>37455</v>
      </c>
      <c r="D13808" t="inlineStr">
        <is>
          <t>SPEC</t>
        </is>
      </c>
      <c r="E13808" t="inlineStr">
        <is>
          <t>Panneau galaxy 3000 version marine</t>
        </is>
      </c>
      <c r="J13808" t="inlineStr">
        <is>
          <t>ROBERT</t>
        </is>
      </c>
      <c r="L13808">
        <f>_xlfn.XLOOKUP(Tableau1[[#This Row],[TYPE DE PIECE]],Tableau4[MATIERE],Tableau4[SHORT TYPE],"",0,1)</f>
        <v/>
      </c>
      <c r="N13808">
        <f>IF(ISERR(FIND("DECOUPE",Tableau1[[#This Row],[DESIGNATION]])),"","NEED REF")</f>
        <v/>
      </c>
    </row>
    <row r="13809">
      <c r="B13809" t="n">
        <v>34400196</v>
      </c>
      <c r="C13809" s="2" t="n">
        <v>37455</v>
      </c>
      <c r="D13809" t="inlineStr">
        <is>
          <t>SPEC</t>
        </is>
      </c>
      <c r="E13809" t="inlineStr">
        <is>
          <t>Panneau galaxy 3000 version marine</t>
        </is>
      </c>
      <c r="J13809" t="inlineStr">
        <is>
          <t>ROBERT</t>
        </is>
      </c>
      <c r="L13809">
        <f>_xlfn.XLOOKUP(Tableau1[[#This Row],[TYPE DE PIECE]],Tableau4[MATIERE],Tableau4[SHORT TYPE],"",0,1)</f>
        <v/>
      </c>
      <c r="N13809">
        <f>IF(ISERR(FIND("DECOUPE",Tableau1[[#This Row],[DESIGNATION]])),"","NEED REF")</f>
        <v/>
      </c>
    </row>
    <row r="13810">
      <c r="B13810" t="n">
        <v>34400195</v>
      </c>
      <c r="C13810" s="2" t="n">
        <v>37455</v>
      </c>
      <c r="D13810" t="inlineStr">
        <is>
          <t>SPEC</t>
        </is>
      </c>
      <c r="E13810" t="inlineStr">
        <is>
          <t>Panneau galaxy 3000 version marine</t>
        </is>
      </c>
      <c r="J13810" t="inlineStr">
        <is>
          <t>ROBERT</t>
        </is>
      </c>
      <c r="L13810">
        <f>_xlfn.XLOOKUP(Tableau1[[#This Row],[TYPE DE PIECE]],Tableau4[MATIERE],Tableau4[SHORT TYPE],"",0,1)</f>
        <v/>
      </c>
      <c r="N13810">
        <f>IF(ISERR(FIND("DECOUPE",Tableau1[[#This Row],[DESIGNATION]])),"","NEED REF")</f>
        <v/>
      </c>
    </row>
    <row r="13811">
      <c r="B13811" t="n">
        <v>34400194</v>
      </c>
      <c r="C13811" s="2" t="n">
        <v>37454</v>
      </c>
      <c r="D13811" t="inlineStr">
        <is>
          <t>NOM</t>
        </is>
      </c>
      <c r="E13811" t="inlineStr">
        <is>
          <t>LG peinture a commission</t>
        </is>
      </c>
      <c r="F13811" t="inlineStr">
        <is>
          <t>Armoire batterie 1015*1900</t>
        </is>
      </c>
      <c r="J13811" t="inlineStr">
        <is>
          <t>REVEL</t>
        </is>
      </c>
      <c r="L13811">
        <f>_xlfn.XLOOKUP(Tableau1[[#This Row],[TYPE DE PIECE]],Tableau4[MATIERE],Tableau4[SHORT TYPE],"",0,1)</f>
        <v/>
      </c>
      <c r="N13811">
        <f>IF(ISERR(FIND("DECOUPE",Tableau1[[#This Row],[DESIGNATION]])),"","NEED REF")</f>
        <v/>
      </c>
    </row>
    <row r="13812">
      <c r="B13812" t="n">
        <v>34400193</v>
      </c>
      <c r="C13812" s="2" t="n">
        <v>37453</v>
      </c>
      <c r="D13812" t="inlineStr">
        <is>
          <t>NOM</t>
        </is>
      </c>
      <c r="E13812" t="inlineStr">
        <is>
          <t>LG peinture a commission</t>
        </is>
      </c>
      <c r="F13812" t="inlineStr">
        <is>
          <t>Galaxy PW 160-200kVA</t>
        </is>
      </c>
      <c r="J13812" t="inlineStr">
        <is>
          <t>REVEL</t>
        </is>
      </c>
      <c r="L13812">
        <f>_xlfn.XLOOKUP(Tableau1[[#This Row],[TYPE DE PIECE]],Tableau4[MATIERE],Tableau4[SHORT TYPE],"",0,1)</f>
        <v/>
      </c>
      <c r="N13812">
        <f>IF(ISERR(FIND("DECOUPE",Tableau1[[#This Row],[DESIGNATION]])),"","NEED REF")</f>
        <v/>
      </c>
    </row>
    <row r="13813">
      <c r="B13813" t="n">
        <v>34400192</v>
      </c>
      <c r="C13813" s="2" t="n">
        <v>37452</v>
      </c>
      <c r="D13813" t="inlineStr">
        <is>
          <t>SPEC</t>
        </is>
      </c>
      <c r="E13813" t="inlineStr">
        <is>
          <t>Câble MAUI vers CLIENT</t>
        </is>
      </c>
      <c r="F13813" t="inlineStr">
        <is>
          <t>COMMUNICATION TRANSVERS</t>
        </is>
      </c>
      <c r="J13813" t="inlineStr">
        <is>
          <t>FOLTZ</t>
        </is>
      </c>
      <c r="L13813">
        <f>_xlfn.XLOOKUP(Tableau1[[#This Row],[TYPE DE PIECE]],Tableau4[MATIERE],Tableau4[SHORT TYPE],"",0,1)</f>
        <v/>
      </c>
      <c r="N13813">
        <f>IF(ISERR(FIND("DECOUPE",Tableau1[[#This Row],[DESIGNATION]])),"","NEED REF")</f>
        <v/>
      </c>
    </row>
    <row r="13814">
      <c r="B13814" t="n">
        <v>34400191</v>
      </c>
      <c r="C13814" s="2" t="n">
        <v>37452</v>
      </c>
      <c r="D13814" t="inlineStr">
        <is>
          <t>SPEC</t>
        </is>
      </c>
      <c r="E13814" t="inlineStr">
        <is>
          <t>Câble MAUI VERS GAMI</t>
        </is>
      </c>
      <c r="F13814" t="inlineStr">
        <is>
          <t>COMMUNICATION TRANSVERS</t>
        </is>
      </c>
      <c r="J13814" t="inlineStr">
        <is>
          <t>FOLTZ</t>
        </is>
      </c>
      <c r="L13814">
        <f>_xlfn.XLOOKUP(Tableau1[[#This Row],[TYPE DE PIECE]],Tableau4[MATIERE],Tableau4[SHORT TYPE],"",0,1)</f>
        <v/>
      </c>
      <c r="N13814">
        <f>IF(ISERR(FIND("DECOUPE",Tableau1[[#This Row],[DESIGNATION]])),"","NEED REF")</f>
        <v/>
      </c>
    </row>
    <row r="13815">
      <c r="B13815" t="n">
        <v>34400190</v>
      </c>
      <c r="C13815" s="2" t="n">
        <v>37449</v>
      </c>
      <c r="D13815" t="inlineStr">
        <is>
          <t>XE</t>
        </is>
      </c>
      <c r="E13815" t="inlineStr">
        <is>
          <t>Dossier de montage armoire climatisées (KUN15CAB)</t>
        </is>
      </c>
      <c r="F13815" t="inlineStr">
        <is>
          <t>ARMOIRE BATT PW 1015x1900</t>
        </is>
      </c>
      <c r="J13815" t="inlineStr">
        <is>
          <t>FERRIER</t>
        </is>
      </c>
      <c r="L13815">
        <f>_xlfn.XLOOKUP(Tableau1[[#This Row],[TYPE DE PIECE]],Tableau4[MATIERE],Tableau4[SHORT TYPE],"",0,1)</f>
        <v/>
      </c>
      <c r="N13815">
        <f>IF(ISERR(FIND("DECOUPE",Tableau1[[#This Row],[DESIGNATION]])),"","NEED REF")</f>
        <v/>
      </c>
    </row>
    <row r="13816">
      <c r="B13816" t="n">
        <v>34400189</v>
      </c>
      <c r="C13816" s="2" t="n">
        <v>37448</v>
      </c>
      <c r="D13816" t="inlineStr">
        <is>
          <t>SPEC</t>
        </is>
      </c>
      <c r="E13816" t="inlineStr">
        <is>
          <t>GALAXY 40kVA notice de transformation</t>
        </is>
      </c>
      <c r="F13816" t="inlineStr">
        <is>
          <t>KONVEREKS</t>
        </is>
      </c>
      <c r="J13816" t="inlineStr">
        <is>
          <t>ROBERT</t>
        </is>
      </c>
      <c r="L13816">
        <f>_xlfn.XLOOKUP(Tableau1[[#This Row],[TYPE DE PIECE]],Tableau4[MATIERE],Tableau4[SHORT TYPE],"",0,1)</f>
        <v/>
      </c>
      <c r="N13816">
        <f>IF(ISERR(FIND("DECOUPE",Tableau1[[#This Row],[DESIGNATION]])),"","NEED REF")</f>
        <v/>
      </c>
    </row>
    <row r="13817">
      <c r="B13817" t="n">
        <v>34400188</v>
      </c>
      <c r="C13817" s="2" t="n">
        <v>37447</v>
      </c>
      <c r="D13817" t="inlineStr">
        <is>
          <t>CDC</t>
        </is>
      </c>
      <c r="E13817" t="inlineStr">
        <is>
          <t>Comet industriel S31 10kva</t>
        </is>
      </c>
      <c r="F13817" t="inlineStr">
        <is>
          <t>Orange Telecom</t>
        </is>
      </c>
      <c r="J13817" t="inlineStr">
        <is>
          <t>REVEL</t>
        </is>
      </c>
      <c r="L13817">
        <f>_xlfn.XLOOKUP(Tableau1[[#This Row],[TYPE DE PIECE]],Tableau4[MATIERE],Tableau4[SHORT TYPE],"",0,1)</f>
        <v/>
      </c>
      <c r="N13817">
        <f>IF(ISERR(FIND("DECOUPE",Tableau1[[#This Row],[DESIGNATION]])),"","NEED REF")</f>
        <v/>
      </c>
    </row>
    <row r="13818">
      <c r="B13818" t="n">
        <v>34400187</v>
      </c>
      <c r="C13818" s="2" t="n">
        <v>37445</v>
      </c>
      <c r="D13818" t="inlineStr">
        <is>
          <t>DOC</t>
        </is>
      </c>
      <c r="E13818" t="inlineStr">
        <is>
          <t>Dossier d'adaptation pour Q5N externe</t>
        </is>
      </c>
      <c r="F13818" t="inlineStr">
        <is>
          <t>toutes</t>
        </is>
      </c>
      <c r="J13818" t="inlineStr">
        <is>
          <t>FERRIER</t>
        </is>
      </c>
      <c r="L13818">
        <f>_xlfn.XLOOKUP(Tableau1[[#This Row],[TYPE DE PIECE]],Tableau4[MATIERE],Tableau4[SHORT TYPE],"",0,1)</f>
        <v/>
      </c>
      <c r="N13818">
        <f>IF(ISERR(FIND("DECOUPE",Tableau1[[#This Row],[DESIGNATION]])),"","NEED REF")</f>
        <v/>
      </c>
    </row>
    <row r="13819">
      <c r="B13819" t="n">
        <v>34400186</v>
      </c>
      <c r="C13819" s="2" t="n">
        <v>37442</v>
      </c>
      <c r="D13819" t="inlineStr">
        <is>
          <t>SPEC</t>
        </is>
      </c>
      <c r="E13819" t="inlineStr">
        <is>
          <t>Spec étiquette</t>
        </is>
      </c>
      <c r="F13819" t="inlineStr">
        <is>
          <t>BANQUE DE France (extension)</t>
        </is>
      </c>
      <c r="J13819" t="inlineStr">
        <is>
          <t>FERRIER</t>
        </is>
      </c>
      <c r="L13819">
        <f>_xlfn.XLOOKUP(Tableau1[[#This Row],[TYPE DE PIECE]],Tableau4[MATIERE],Tableau4[SHORT TYPE],"",0,1)</f>
        <v/>
      </c>
      <c r="N13819">
        <f>IF(ISERR(FIND("DECOUPE",Tableau1[[#This Row],[DESIGNATION]])),"","NEED REF")</f>
        <v/>
      </c>
    </row>
    <row r="13820">
      <c r="B13820" t="n">
        <v>34400185</v>
      </c>
      <c r="C13820" s="2" t="n">
        <v>37441</v>
      </c>
      <c r="D13820" t="inlineStr">
        <is>
          <t>NOM</t>
        </is>
      </c>
      <c r="E13820" t="inlineStr">
        <is>
          <t>Pulsar EX 30 US V4</t>
        </is>
      </c>
      <c r="F13820" t="inlineStr">
        <is>
          <t>Pulsar EX30 US</t>
        </is>
      </c>
      <c r="J13820" t="inlineStr">
        <is>
          <t>REVEL</t>
        </is>
      </c>
      <c r="L13820">
        <f>_xlfn.XLOOKUP(Tableau1[[#This Row],[TYPE DE PIECE]],Tableau4[MATIERE],Tableau4[SHORT TYPE],"",0,1)</f>
        <v/>
      </c>
      <c r="N13820">
        <f>IF(ISERR(FIND("DECOUPE",Tableau1[[#This Row],[DESIGNATION]])),"","NEED REF")</f>
        <v/>
      </c>
    </row>
    <row r="13821">
      <c r="B13821" t="n">
        <v>34400184</v>
      </c>
      <c r="C13821" s="2" t="n">
        <v>37441</v>
      </c>
      <c r="D13821" t="inlineStr">
        <is>
          <t>CDC</t>
        </is>
      </c>
      <c r="E13821" t="inlineStr">
        <is>
          <t>Rack Comet Extreme 6kVA</t>
        </is>
      </c>
      <c r="F13821" t="inlineStr">
        <is>
          <t>Comet Extreme</t>
        </is>
      </c>
      <c r="J13821" t="inlineStr">
        <is>
          <t>REVEL</t>
        </is>
      </c>
      <c r="L13821">
        <f>_xlfn.XLOOKUP(Tableau1[[#This Row],[TYPE DE PIECE]],Tableau4[MATIERE],Tableau4[SHORT TYPE],"",0,1)</f>
        <v/>
      </c>
      <c r="N13821">
        <f>IF(ISERR(FIND("DECOUPE",Tableau1[[#This Row],[DESIGNATION]])),"","NEED REF")</f>
        <v/>
      </c>
    </row>
    <row r="13822">
      <c r="B13822" t="n">
        <v>34400183</v>
      </c>
      <c r="C13822" s="2" t="n">
        <v>37438</v>
      </c>
      <c r="D13822" t="inlineStr">
        <is>
          <t>CDC</t>
        </is>
      </c>
      <c r="E13822" t="inlineStr">
        <is>
          <t>Skid pour G3000 20kva arm bat</t>
        </is>
      </c>
      <c r="F13822" t="inlineStr">
        <is>
          <t>Galaxy 3000 20kVA r arm bat</t>
        </is>
      </c>
      <c r="J13822" t="inlineStr">
        <is>
          <t>REVEL</t>
        </is>
      </c>
      <c r="L13822">
        <f>_xlfn.XLOOKUP(Tableau1[[#This Row],[TYPE DE PIECE]],Tableau4[MATIERE],Tableau4[SHORT TYPE],"",0,1)</f>
        <v/>
      </c>
      <c r="N13822">
        <f>IF(ISERR(FIND("DECOUPE",Tableau1[[#This Row],[DESIGNATION]])),"","NEED REF")</f>
        <v/>
      </c>
    </row>
    <row r="13823">
      <c r="B13823" t="n">
        <v>34400182</v>
      </c>
      <c r="C13823" s="2" t="n">
        <v>37435</v>
      </c>
      <c r="D13823" t="inlineStr">
        <is>
          <t>NOM</t>
        </is>
      </c>
      <c r="E13823" t="inlineStr">
        <is>
          <t xml:space="preserve">Peinture a commission </t>
        </is>
      </c>
      <c r="F13823" t="inlineStr">
        <is>
          <t>Galaxy 3000 20-30kVA</t>
        </is>
      </c>
      <c r="J13823" t="inlineStr">
        <is>
          <t>REVEL</t>
        </is>
      </c>
      <c r="L13823">
        <f>_xlfn.XLOOKUP(Tableau1[[#This Row],[TYPE DE PIECE]],Tableau4[MATIERE],Tableau4[SHORT TYPE],"",0,1)</f>
        <v/>
      </c>
      <c r="N13823">
        <f>IF(ISERR(FIND("DECOUPE",Tableau1[[#This Row],[DESIGNATION]])),"","NEED REF")</f>
        <v/>
      </c>
    </row>
    <row r="13824">
      <c r="B13824" t="n">
        <v>34400181</v>
      </c>
      <c r="C13824" s="2" t="n">
        <v>37434</v>
      </c>
      <c r="D13824" t="inlineStr">
        <is>
          <t>NOM</t>
        </is>
      </c>
      <c r="E13824" t="inlineStr">
        <is>
          <t xml:space="preserve">Peinture a commission </t>
        </is>
      </c>
      <c r="F13824" t="inlineStr">
        <is>
          <t>arm aux bat Gal 3000 L=800</t>
        </is>
      </c>
      <c r="J13824" t="inlineStr">
        <is>
          <t>REVEL</t>
        </is>
      </c>
      <c r="L13824">
        <f>_xlfn.XLOOKUP(Tableau1[[#This Row],[TYPE DE PIECE]],Tableau4[MATIERE],Tableau4[SHORT TYPE],"",0,1)</f>
        <v/>
      </c>
      <c r="N13824">
        <f>IF(ISERR(FIND("DECOUPE",Tableau1[[#This Row],[DESIGNATION]])),"","NEED REF")</f>
        <v/>
      </c>
    </row>
    <row r="13825">
      <c r="B13825" t="n">
        <v>34400180</v>
      </c>
      <c r="C13825" s="2" t="n">
        <v>37432</v>
      </c>
      <c r="D13825" t="inlineStr">
        <is>
          <t>NOM</t>
        </is>
      </c>
      <c r="E13825" t="inlineStr">
        <is>
          <t>Armoire pour 2 FAH 160/200kVA</t>
        </is>
      </c>
      <c r="F13825" t="inlineStr">
        <is>
          <t>Galaxy PW 160/200 kVA</t>
        </is>
      </c>
      <c r="J13825" t="inlineStr">
        <is>
          <t>REVEL</t>
        </is>
      </c>
      <c r="L13825">
        <f>_xlfn.XLOOKUP(Tableau1[[#This Row],[TYPE DE PIECE]],Tableau4[MATIERE],Tableau4[SHORT TYPE],"",0,1)</f>
        <v/>
      </c>
      <c r="N13825">
        <f>IF(ISERR(FIND("DECOUPE",Tableau1[[#This Row],[DESIGNATION]])),"","NEED REF")</f>
        <v/>
      </c>
    </row>
    <row r="13826">
      <c r="B13826" t="n">
        <v>34400179</v>
      </c>
      <c r="C13826" s="2" t="n">
        <v>37427</v>
      </c>
      <c r="D13826" t="inlineStr">
        <is>
          <t>NOM</t>
        </is>
      </c>
      <c r="E13826" t="inlineStr">
        <is>
          <t xml:space="preserve">Boitier filte </t>
        </is>
      </c>
      <c r="F13826" t="inlineStr">
        <is>
          <t>Pulsar Extreme 3000 0mn</t>
        </is>
      </c>
      <c r="J13826" t="inlineStr">
        <is>
          <t>SUAU/GDS</t>
        </is>
      </c>
      <c r="L13826">
        <f>_xlfn.XLOOKUP(Tableau1[[#This Row],[TYPE DE PIECE]],Tableau4[MATIERE],Tableau4[SHORT TYPE],"",0,1)</f>
        <v/>
      </c>
      <c r="N13826">
        <f>IF(ISERR(FIND("DECOUPE",Tableau1[[#This Row],[DESIGNATION]])),"","NEED REF")</f>
        <v/>
      </c>
    </row>
    <row r="13827">
      <c r="B13827" t="n">
        <v>34400178</v>
      </c>
      <c r="C13827" s="2" t="n">
        <v>37425</v>
      </c>
      <c r="D13827" t="inlineStr">
        <is>
          <t>CDC</t>
        </is>
      </c>
      <c r="E13827" t="inlineStr">
        <is>
          <t>Comet industriel S31 5kva</t>
        </is>
      </c>
      <c r="F13827" t="inlineStr">
        <is>
          <t>Comet S31 5kVA</t>
        </is>
      </c>
      <c r="J13827" t="inlineStr">
        <is>
          <t>REVEL</t>
        </is>
      </c>
      <c r="L13827">
        <f>_xlfn.XLOOKUP(Tableau1[[#This Row],[TYPE DE PIECE]],Tableau4[MATIERE],Tableau4[SHORT TYPE],"",0,1)</f>
        <v/>
      </c>
      <c r="N13827">
        <f>IF(ISERR(FIND("DECOUPE",Tableau1[[#This Row],[DESIGNATION]])),"","NEED REF")</f>
        <v/>
      </c>
    </row>
    <row r="13828">
      <c r="B13828" t="n">
        <v>34400177</v>
      </c>
      <c r="C13828" s="2" t="n">
        <v>37420</v>
      </c>
      <c r="D13828" t="inlineStr">
        <is>
          <t>CDC</t>
        </is>
      </c>
      <c r="E13828" t="inlineStr">
        <is>
          <t>Skid armoire Galaxy pw 2 arm bat 1 arm aux</t>
        </is>
      </c>
      <c r="F13828" t="inlineStr">
        <is>
          <t>Galaxy PW 60kVA</t>
        </is>
      </c>
      <c r="J13828" t="inlineStr">
        <is>
          <t>REVEL</t>
        </is>
      </c>
      <c r="L13828">
        <f>_xlfn.XLOOKUP(Tableau1[[#This Row],[TYPE DE PIECE]],Tableau4[MATIERE],Tableau4[SHORT TYPE],"",0,1)</f>
        <v/>
      </c>
      <c r="N13828">
        <f>IF(ISERR(FIND("DECOUPE",Tableau1[[#This Row],[DESIGNATION]])),"","NEED REF")</f>
        <v/>
      </c>
    </row>
    <row r="13829">
      <c r="B13829" t="n">
        <v>34400176</v>
      </c>
      <c r="C13829" s="2" t="n">
        <v>37418</v>
      </c>
      <c r="D13829" t="inlineStr">
        <is>
          <t>CDC</t>
        </is>
      </c>
      <c r="E13829" t="inlineStr">
        <is>
          <t>Armoire pour 2 FAH 160kVA</t>
        </is>
      </c>
      <c r="F13829" t="inlineStr">
        <is>
          <t>Galaxy PW 160kVA</t>
        </is>
      </c>
      <c r="J13829" t="inlineStr">
        <is>
          <t>REVEL</t>
        </is>
      </c>
      <c r="L13829">
        <f>_xlfn.XLOOKUP(Tableau1[[#This Row],[TYPE DE PIECE]],Tableau4[MATIERE],Tableau4[SHORT TYPE],"",0,1)</f>
        <v/>
      </c>
      <c r="N13829">
        <f>IF(ISERR(FIND("DECOUPE",Tableau1[[#This Row],[DESIGNATION]])),"","NEED REF")</f>
        <v/>
      </c>
    </row>
    <row r="13830">
      <c r="B13830" t="n">
        <v>34400175</v>
      </c>
      <c r="C13830" s="2" t="n">
        <v>37413</v>
      </c>
      <c r="D13830" t="inlineStr">
        <is>
          <t>NOM</t>
        </is>
      </c>
      <c r="E13830" t="inlineStr">
        <is>
          <t>Legende durcissement DNV</t>
        </is>
      </c>
      <c r="F13830" t="inlineStr">
        <is>
          <t>Galaxy 200Kva</t>
        </is>
      </c>
      <c r="J13830" t="inlineStr">
        <is>
          <t>REVEL</t>
        </is>
      </c>
      <c r="L13830">
        <f>_xlfn.XLOOKUP(Tableau1[[#This Row],[TYPE DE PIECE]],Tableau4[MATIERE],Tableau4[SHORT TYPE],"",0,1)</f>
        <v/>
      </c>
      <c r="N13830">
        <f>IF(ISERR(FIND("DECOUPE",Tableau1[[#This Row],[DESIGNATION]])),"","NEED REF")</f>
        <v/>
      </c>
    </row>
    <row r="13831">
      <c r="B13831" t="n">
        <v>34400174</v>
      </c>
      <c r="C13831" s="2" t="n">
        <v>37410</v>
      </c>
      <c r="D13831" t="inlineStr">
        <is>
          <t>SPEC</t>
        </is>
      </c>
      <c r="E13831" t="inlineStr">
        <is>
          <t>Torons liaisons TI double NS actif</t>
        </is>
      </c>
      <c r="F13831" t="inlineStr">
        <is>
          <t>NS 2000kVA</t>
        </is>
      </c>
      <c r="J13831" t="inlineStr">
        <is>
          <t>REVEL</t>
        </is>
      </c>
      <c r="L13831">
        <f>_xlfn.XLOOKUP(Tableau1[[#This Row],[TYPE DE PIECE]],Tableau4[MATIERE],Tableau4[SHORT TYPE],"",0,1)</f>
        <v/>
      </c>
      <c r="N13831">
        <f>IF(ISERR(FIND("DECOUPE",Tableau1[[#This Row],[DESIGNATION]])),"","NEED REF")</f>
        <v/>
      </c>
    </row>
    <row r="13832">
      <c r="B13832" t="n">
        <v>34400173</v>
      </c>
      <c r="C13832" s="2" t="n">
        <v>37406</v>
      </c>
      <c r="D13832" t="inlineStr">
        <is>
          <t>SPEC</t>
        </is>
      </c>
      <c r="E13832" t="inlineStr">
        <is>
          <t>Skid armoire Comet L=460</t>
        </is>
      </c>
      <c r="F13832" t="inlineStr">
        <is>
          <t>Comet arm aux 460</t>
        </is>
      </c>
      <c r="J13832" t="inlineStr">
        <is>
          <t>REVEL</t>
        </is>
      </c>
      <c r="L13832">
        <f>_xlfn.XLOOKUP(Tableau1[[#This Row],[TYPE DE PIECE]],Tableau4[MATIERE],Tableau4[SHORT TYPE],"",0,1)</f>
        <v/>
      </c>
      <c r="N13832">
        <f>IF(ISERR(FIND("DECOUPE",Tableau1[[#This Row],[DESIGNATION]])),"","NEED REF")</f>
        <v/>
      </c>
    </row>
    <row r="13833">
      <c r="B13833" t="n">
        <v>34400172</v>
      </c>
      <c r="C13833" s="2" t="n">
        <v>37406</v>
      </c>
      <c r="D13833" t="inlineStr">
        <is>
          <t>NOM</t>
        </is>
      </c>
      <c r="E13833" t="inlineStr">
        <is>
          <t xml:space="preserve">Peinture a commission </t>
        </is>
      </c>
      <c r="F13833" t="inlineStr">
        <is>
          <t>Comet arm aux 460</t>
        </is>
      </c>
      <c r="J13833" t="inlineStr">
        <is>
          <t>REVEL</t>
        </is>
      </c>
      <c r="L13833">
        <f>_xlfn.XLOOKUP(Tableau1[[#This Row],[TYPE DE PIECE]],Tableau4[MATIERE],Tableau4[SHORT TYPE],"",0,1)</f>
        <v/>
      </c>
      <c r="N13833">
        <f>IF(ISERR(FIND("DECOUPE",Tableau1[[#This Row],[DESIGNATION]])),"","NEED REF")</f>
        <v/>
      </c>
    </row>
    <row r="13834">
      <c r="B13834" t="n">
        <v>34400171</v>
      </c>
      <c r="C13834" s="2" t="n">
        <v>37405</v>
      </c>
      <c r="D13834" t="inlineStr">
        <is>
          <t>XE</t>
        </is>
      </c>
      <c r="E13834" t="inlineStr">
        <is>
          <t>Dossier de montage armoire climatisées (KUN15CAB)</t>
        </is>
      </c>
      <c r="F13834" t="inlineStr">
        <is>
          <t>ARMOIRE BATT PW 715x1900</t>
        </is>
      </c>
      <c r="J13834" t="inlineStr">
        <is>
          <t>FERRIER</t>
        </is>
      </c>
      <c r="L13834">
        <f>_xlfn.XLOOKUP(Tableau1[[#This Row],[TYPE DE PIECE]],Tableau4[MATIERE],Tableau4[SHORT TYPE],"",0,1)</f>
        <v/>
      </c>
      <c r="N13834">
        <f>IF(ISERR(FIND("DECOUPE",Tableau1[[#This Row],[DESIGNATION]])),"","NEED REF")</f>
        <v/>
      </c>
    </row>
    <row r="13835">
      <c r="B13835" t="n">
        <v>34400170</v>
      </c>
      <c r="C13835" s="2" t="n">
        <v>37405</v>
      </c>
      <c r="D13835" t="inlineStr">
        <is>
          <t>XE</t>
        </is>
      </c>
      <c r="E13835" t="inlineStr">
        <is>
          <t>Dossier de montage armoire climatisées (KUR10CAB)</t>
        </is>
      </c>
      <c r="F13835" t="inlineStr">
        <is>
          <t>ARMOIRE BATT PW 715x1400</t>
        </is>
      </c>
      <c r="J13835" t="inlineStr">
        <is>
          <t>FERRIER</t>
        </is>
      </c>
      <c r="L13835">
        <f>_xlfn.XLOOKUP(Tableau1[[#This Row],[TYPE DE PIECE]],Tableau4[MATIERE],Tableau4[SHORT TYPE],"",0,1)</f>
        <v/>
      </c>
      <c r="N13835">
        <f>IF(ISERR(FIND("DECOUPE",Tableau1[[#This Row],[DESIGNATION]])),"","NEED REF")</f>
        <v/>
      </c>
    </row>
    <row r="13836">
      <c r="B13836" t="n">
        <v>34400169</v>
      </c>
      <c r="C13836" s="2" t="n">
        <v>37403</v>
      </c>
      <c r="D13836" t="inlineStr">
        <is>
          <t>SPEC</t>
        </is>
      </c>
      <c r="E13836" t="inlineStr">
        <is>
          <t>ETIQUETTE FILTRE BF PULSAR EXT C</t>
        </is>
      </c>
      <c r="F13836" t="inlineStr">
        <is>
          <t>Pulsar extrême C 1500</t>
        </is>
      </c>
      <c r="J13836" t="inlineStr">
        <is>
          <t>FOLTZ</t>
        </is>
      </c>
      <c r="L13836">
        <f>_xlfn.XLOOKUP(Tableau1[[#This Row],[TYPE DE PIECE]],Tableau4[MATIERE],Tableau4[SHORT TYPE],"",0,1)</f>
        <v/>
      </c>
      <c r="N13836">
        <f>IF(ISERR(FIND("DECOUPE",Tableau1[[#This Row],[DESIGNATION]])),"","NEED REF")</f>
        <v/>
      </c>
    </row>
    <row r="13837">
      <c r="B13837" t="n">
        <v>34400168</v>
      </c>
      <c r="C13837" s="2" t="n">
        <v>37403</v>
      </c>
      <c r="D13837" t="inlineStr">
        <is>
          <t>NOM</t>
        </is>
      </c>
      <c r="E13837" t="inlineStr">
        <is>
          <t>Pulsar EX10USV4</t>
        </is>
      </c>
      <c r="F13837" t="inlineStr">
        <is>
          <t>Pulsar EX10US</t>
        </is>
      </c>
      <c r="J13837" t="inlineStr">
        <is>
          <t>REVEL</t>
        </is>
      </c>
      <c r="L13837">
        <f>_xlfn.XLOOKUP(Tableau1[[#This Row],[TYPE DE PIECE]],Tableau4[MATIERE],Tableau4[SHORT TYPE],"",0,1)</f>
        <v/>
      </c>
      <c r="N13837">
        <f>IF(ISERR(FIND("DECOUPE",Tableau1[[#This Row],[DESIGNATION]])),"","NEED REF")</f>
        <v/>
      </c>
    </row>
    <row r="13838">
      <c r="B13838" t="n">
        <v>34400167</v>
      </c>
      <c r="C13838" s="2" t="n">
        <v>37399</v>
      </c>
      <c r="D13838" t="inlineStr">
        <is>
          <t>CDC</t>
        </is>
      </c>
      <c r="E13838" t="inlineStr">
        <is>
          <t>CDC Galaxy pw 1040 + arm bat sur skid</t>
        </is>
      </c>
      <c r="F13838" t="inlineStr">
        <is>
          <t>Galaxy PW 1040</t>
        </is>
      </c>
      <c r="J13838" t="inlineStr">
        <is>
          <t>REVEL</t>
        </is>
      </c>
      <c r="L13838">
        <f>_xlfn.XLOOKUP(Tableau1[[#This Row],[TYPE DE PIECE]],Tableau4[MATIERE],Tableau4[SHORT TYPE],"",0,1)</f>
        <v/>
      </c>
      <c r="N13838">
        <f>IF(ISERR(FIND("DECOUPE",Tableau1[[#This Row],[DESIGNATION]])),"","NEED REF")</f>
        <v/>
      </c>
    </row>
    <row r="13839">
      <c r="B13839" t="n">
        <v>34400166</v>
      </c>
      <c r="C13839" s="2" t="n">
        <v>37398</v>
      </c>
      <c r="D13839" t="inlineStr">
        <is>
          <t>NOM</t>
        </is>
      </c>
      <c r="E13839" t="inlineStr">
        <is>
          <t>Pulsar EX30USV3</t>
        </is>
      </c>
      <c r="F13839" t="inlineStr">
        <is>
          <t>Pulsar EX30us</t>
        </is>
      </c>
      <c r="J13839" t="inlineStr">
        <is>
          <t>REVEL</t>
        </is>
      </c>
      <c r="L13839">
        <f>_xlfn.XLOOKUP(Tableau1[[#This Row],[TYPE DE PIECE]],Tableau4[MATIERE],Tableau4[SHORT TYPE],"",0,1)</f>
        <v/>
      </c>
      <c r="N13839">
        <f>IF(ISERR(FIND("DECOUPE",Tableau1[[#This Row],[DESIGNATION]])),"","NEED REF")</f>
        <v/>
      </c>
    </row>
    <row r="13840">
      <c r="B13840" t="n">
        <v>34400165</v>
      </c>
      <c r="C13840" s="2" t="n">
        <v>37392</v>
      </c>
      <c r="D13840" t="inlineStr">
        <is>
          <t>NOM</t>
        </is>
      </c>
      <c r="E13840" t="inlineStr">
        <is>
          <t>IP 32 couleur speciale</t>
        </is>
      </c>
      <c r="F13840" t="inlineStr">
        <is>
          <t>Armoire aux 715*1900</t>
        </is>
      </c>
      <c r="J13840" t="inlineStr">
        <is>
          <t>REVEL</t>
        </is>
      </c>
      <c r="L13840">
        <f>_xlfn.XLOOKUP(Tableau1[[#This Row],[TYPE DE PIECE]],Tableau4[MATIERE],Tableau4[SHORT TYPE],"",0,1)</f>
        <v/>
      </c>
      <c r="N13840">
        <f>IF(ISERR(FIND("DECOUPE",Tableau1[[#This Row],[DESIGNATION]])),"","NEED REF")</f>
        <v/>
      </c>
    </row>
    <row r="13841">
      <c r="B13841" t="n">
        <v>34400164</v>
      </c>
      <c r="C13841" s="2" t="n">
        <v>37392</v>
      </c>
      <c r="D13841" t="inlineStr">
        <is>
          <t>NOM</t>
        </is>
      </c>
      <c r="E13841" t="inlineStr">
        <is>
          <t>IP 32 couleur speciale</t>
        </is>
      </c>
      <c r="F13841" t="inlineStr">
        <is>
          <t>Armoire bat 1015*1900</t>
        </is>
      </c>
      <c r="J13841" t="inlineStr">
        <is>
          <t>REVEL</t>
        </is>
      </c>
      <c r="L13841">
        <f>_xlfn.XLOOKUP(Tableau1[[#This Row],[TYPE DE PIECE]],Tableau4[MATIERE],Tableau4[SHORT TYPE],"",0,1)</f>
        <v/>
      </c>
      <c r="N13841">
        <f>IF(ISERR(FIND("DECOUPE",Tableau1[[#This Row],[DESIGNATION]])),"","NEED REF")</f>
        <v/>
      </c>
    </row>
    <row r="13842">
      <c r="B13842" t="n">
        <v>34400163</v>
      </c>
      <c r="C13842" s="2" t="n">
        <v>37392</v>
      </c>
      <c r="D13842" t="inlineStr">
        <is>
          <t>NOM</t>
        </is>
      </c>
      <c r="E13842" t="inlineStr">
        <is>
          <t>IP 32 couleur speciale</t>
        </is>
      </c>
      <c r="F13842" t="inlineStr">
        <is>
          <t>Armoire bat 715*1900</t>
        </is>
      </c>
      <c r="J13842" t="inlineStr">
        <is>
          <t>REVEL</t>
        </is>
      </c>
      <c r="L13842">
        <f>_xlfn.XLOOKUP(Tableau1[[#This Row],[TYPE DE PIECE]],Tableau4[MATIERE],Tableau4[SHORT TYPE],"",0,1)</f>
        <v/>
      </c>
      <c r="N13842">
        <f>IF(ISERR(FIND("DECOUPE",Tableau1[[#This Row],[DESIGNATION]])),"","NEED REF")</f>
        <v/>
      </c>
    </row>
    <row r="13843">
      <c r="B13843" t="n">
        <v>34400162</v>
      </c>
      <c r="C13843" s="2" t="n">
        <v>37392</v>
      </c>
      <c r="D13843" t="inlineStr">
        <is>
          <t>NOM</t>
        </is>
      </c>
      <c r="E13843" t="inlineStr">
        <is>
          <t>IP 32 couleur speciale</t>
        </is>
      </c>
      <c r="F13843" t="inlineStr">
        <is>
          <t>Galaxy PW 20 60 H 1900</t>
        </is>
      </c>
      <c r="J13843" t="inlineStr">
        <is>
          <t>REVEL</t>
        </is>
      </c>
      <c r="L13843">
        <f>_xlfn.XLOOKUP(Tableau1[[#This Row],[TYPE DE PIECE]],Tableau4[MATIERE],Tableau4[SHORT TYPE],"",0,1)</f>
        <v/>
      </c>
      <c r="N13843">
        <f>IF(ISERR(FIND("DECOUPE",Tableau1[[#This Row],[DESIGNATION]])),"","NEED REF")</f>
        <v/>
      </c>
    </row>
    <row r="13844">
      <c r="B13844" t="n">
        <v>34400161</v>
      </c>
      <c r="C13844" s="2" t="n">
        <v>37392</v>
      </c>
      <c r="D13844" t="inlineStr">
        <is>
          <t>NOM</t>
        </is>
      </c>
      <c r="E13844" t="inlineStr">
        <is>
          <t>Pulsar EX15US V3</t>
        </is>
      </c>
      <c r="F13844" t="inlineStr">
        <is>
          <t>Pulsar EX15US</t>
        </is>
      </c>
      <c r="J13844" t="inlineStr">
        <is>
          <t>REVEL</t>
        </is>
      </c>
      <c r="L13844">
        <f>_xlfn.XLOOKUP(Tableau1[[#This Row],[TYPE DE PIECE]],Tableau4[MATIERE],Tableau4[SHORT TYPE],"",0,1)</f>
        <v/>
      </c>
      <c r="N13844">
        <f>IF(ISERR(FIND("DECOUPE",Tableau1[[#This Row],[DESIGNATION]])),"","NEED REF")</f>
        <v/>
      </c>
    </row>
    <row r="13845">
      <c r="B13845" t="n">
        <v>34400160</v>
      </c>
      <c r="C13845" s="2" t="n">
        <v>37392</v>
      </c>
      <c r="D13845" t="inlineStr">
        <is>
          <t>SPEC</t>
        </is>
      </c>
      <c r="E13845" t="inlineStr">
        <is>
          <t>Etiquette de modification 440V</t>
        </is>
      </c>
      <c r="F13845" t="inlineStr">
        <is>
          <t>Galaxy</t>
        </is>
      </c>
      <c r="J13845" t="inlineStr">
        <is>
          <t>REVEL</t>
        </is>
      </c>
      <c r="L13845">
        <f>_xlfn.XLOOKUP(Tableau1[[#This Row],[TYPE DE PIECE]],Tableau4[MATIERE],Tableau4[SHORT TYPE],"",0,1)</f>
        <v/>
      </c>
      <c r="N13845">
        <f>IF(ISERR(FIND("DECOUPE",Tableau1[[#This Row],[DESIGNATION]])),"","NEED REF")</f>
        <v/>
      </c>
    </row>
    <row r="13846">
      <c r="B13846" t="n">
        <v>34400159</v>
      </c>
      <c r="C13846" s="2" t="n">
        <v>37391</v>
      </c>
      <c r="D13846" t="inlineStr">
        <is>
          <t>DOC</t>
        </is>
      </c>
      <c r="E13846" t="inlineStr">
        <is>
          <t>Dossier de modification</t>
        </is>
      </c>
      <c r="F13846" t="inlineStr">
        <is>
          <t>Pulsar EX30US TMS</t>
        </is>
      </c>
      <c r="J13846" t="inlineStr">
        <is>
          <t>REVEL</t>
        </is>
      </c>
      <c r="L13846">
        <f>_xlfn.XLOOKUP(Tableau1[[#This Row],[TYPE DE PIECE]],Tableau4[MATIERE],Tableau4[SHORT TYPE],"",0,1)</f>
        <v/>
      </c>
      <c r="N13846">
        <f>IF(ISERR(FIND("DECOUPE",Tableau1[[#This Row],[DESIGNATION]])),"","NEED REF")</f>
        <v/>
      </c>
    </row>
    <row r="13847">
      <c r="B13847" t="n">
        <v>34400158</v>
      </c>
      <c r="C13847" s="2" t="n">
        <v>37390</v>
      </c>
      <c r="D13847" t="inlineStr">
        <is>
          <t>XE</t>
        </is>
      </c>
      <c r="E13847" t="inlineStr">
        <is>
          <t>Dossier d'adaptation sur site des GALAXY300kVA</t>
        </is>
      </c>
      <c r="F13847" t="inlineStr">
        <is>
          <t>INSTALLATION DOUBLE NS 2NS2000</t>
        </is>
      </c>
      <c r="J13847" t="inlineStr">
        <is>
          <t>FERRIER</t>
        </is>
      </c>
      <c r="L13847">
        <f>_xlfn.XLOOKUP(Tableau1[[#This Row],[TYPE DE PIECE]],Tableau4[MATIERE],Tableau4[SHORT TYPE],"",0,1)</f>
        <v/>
      </c>
      <c r="N13847">
        <f>IF(ISERR(FIND("DECOUPE",Tableau1[[#This Row],[DESIGNATION]])),"","NEED REF")</f>
        <v/>
      </c>
    </row>
    <row r="13848">
      <c r="B13848" t="n">
        <v>34400157</v>
      </c>
      <c r="C13848" s="2" t="n">
        <v>37390</v>
      </c>
      <c r="D13848" t="inlineStr">
        <is>
          <t>XE</t>
        </is>
      </c>
      <c r="E13848" t="inlineStr">
        <is>
          <t>Dossier d'adaptation des GALAXY300kVA//</t>
        </is>
      </c>
      <c r="F13848" t="inlineStr">
        <is>
          <t>INSTALLATION DOUBLE NS 2NS2000</t>
        </is>
      </c>
      <c r="J13848" t="inlineStr">
        <is>
          <t>FERRIER</t>
        </is>
      </c>
      <c r="L13848">
        <f>_xlfn.XLOOKUP(Tableau1[[#This Row],[TYPE DE PIECE]],Tableau4[MATIERE],Tableau4[SHORT TYPE],"",0,1)</f>
        <v/>
      </c>
      <c r="N13848">
        <f>IF(ISERR(FIND("DECOUPE",Tableau1[[#This Row],[DESIGNATION]])),"","NEED REF")</f>
        <v/>
      </c>
    </row>
    <row r="13849">
      <c r="B13849" t="n">
        <v>34400156</v>
      </c>
      <c r="C13849" s="2" t="n">
        <v>37389</v>
      </c>
      <c r="D13849" t="inlineStr">
        <is>
          <t>XE</t>
        </is>
      </c>
      <c r="E13849" t="inlineStr">
        <is>
          <t>Dossier d'adaptation des NS2000</t>
        </is>
      </c>
      <c r="F13849" t="inlineStr">
        <is>
          <t>INSTALLATION DOUBLE NS 2NS2000</t>
        </is>
      </c>
      <c r="J13849" t="inlineStr">
        <is>
          <t>FERRIER</t>
        </is>
      </c>
      <c r="L13849">
        <f>_xlfn.XLOOKUP(Tableau1[[#This Row],[TYPE DE PIECE]],Tableau4[MATIERE],Tableau4[SHORT TYPE],"",0,1)</f>
        <v/>
      </c>
      <c r="N13849">
        <f>IF(ISERR(FIND("DECOUPE",Tableau1[[#This Row],[DESIGNATION]])),"","NEED REF")</f>
        <v/>
      </c>
    </row>
    <row r="13850">
      <c r="B13850" t="n">
        <v>34400155</v>
      </c>
      <c r="C13850" s="2" t="n">
        <v>37389</v>
      </c>
      <c r="D13850" t="inlineStr">
        <is>
          <t>DI STD</t>
        </is>
      </c>
      <c r="E13850" t="inlineStr">
        <is>
          <t>Dossier d'installation standard</t>
        </is>
      </c>
      <c r="F13850" t="inlineStr">
        <is>
          <t>GALAXY1000PW CF</t>
        </is>
      </c>
      <c r="J13850" t="inlineStr">
        <is>
          <t>PKP</t>
        </is>
      </c>
      <c r="L13850">
        <f>_xlfn.XLOOKUP(Tableau1[[#This Row],[TYPE DE PIECE]],Tableau4[MATIERE],Tableau4[SHORT TYPE],"",0,1)</f>
        <v/>
      </c>
      <c r="N13850">
        <f>IF(ISERR(FIND("DECOUPE",Tableau1[[#This Row],[DESIGNATION]])),"","NEED REF")</f>
        <v/>
      </c>
    </row>
    <row r="13851">
      <c r="B13851" t="n">
        <v>34400154</v>
      </c>
      <c r="C13851" s="2" t="n">
        <v>37389</v>
      </c>
      <c r="D13851" t="inlineStr">
        <is>
          <t>DI STD</t>
        </is>
      </c>
      <c r="E13851" t="inlineStr">
        <is>
          <t>Dossier d'installation standard</t>
        </is>
      </c>
      <c r="F13851" t="inlineStr">
        <is>
          <t>GALAXY1000PW P</t>
        </is>
      </c>
      <c r="J13851" t="inlineStr">
        <is>
          <t>PKP</t>
        </is>
      </c>
      <c r="L13851">
        <f>_xlfn.XLOOKUP(Tableau1[[#This Row],[TYPE DE PIECE]],Tableau4[MATIERE],Tableau4[SHORT TYPE],"",0,1)</f>
        <v/>
      </c>
      <c r="N13851">
        <f>IF(ISERR(FIND("DECOUPE",Tableau1[[#This Row],[DESIGNATION]])),"","NEED REF")</f>
        <v/>
      </c>
    </row>
    <row r="13852">
      <c r="B13852" t="n">
        <v>34400153</v>
      </c>
      <c r="C13852" s="2" t="n">
        <v>37389</v>
      </c>
      <c r="D13852" t="inlineStr">
        <is>
          <t>DI STD</t>
        </is>
      </c>
      <c r="E13852" t="inlineStr">
        <is>
          <t>Dossier d'installation standard</t>
        </is>
      </c>
      <c r="F13852" t="inlineStr">
        <is>
          <t>GALAXY1000PW PR</t>
        </is>
      </c>
      <c r="J13852" t="inlineStr">
        <is>
          <t>PKP</t>
        </is>
      </c>
      <c r="L13852">
        <f>_xlfn.XLOOKUP(Tableau1[[#This Row],[TYPE DE PIECE]],Tableau4[MATIERE],Tableau4[SHORT TYPE],"",0,1)</f>
        <v/>
      </c>
      <c r="N13852">
        <f>IF(ISERR(FIND("DECOUPE",Tableau1[[#This Row],[DESIGNATION]])),"","NEED REF")</f>
        <v/>
      </c>
    </row>
    <row r="13853">
      <c r="B13853" t="n">
        <v>34400152</v>
      </c>
      <c r="C13853" s="2" t="n">
        <v>37389</v>
      </c>
      <c r="D13853" t="inlineStr">
        <is>
          <t>DI STD</t>
        </is>
      </c>
      <c r="E13853" t="inlineStr">
        <is>
          <t>Dossier d'installation standard</t>
        </is>
      </c>
      <c r="F13853" t="inlineStr">
        <is>
          <t>GALAXY1000PW U (toutes puissances)</t>
        </is>
      </c>
      <c r="J13853" t="inlineStr">
        <is>
          <t>PKP</t>
        </is>
      </c>
      <c r="L13853">
        <f>_xlfn.XLOOKUP(Tableau1[[#This Row],[TYPE DE PIECE]],Tableau4[MATIERE],Tableau4[SHORT TYPE],"",0,1)</f>
        <v/>
      </c>
      <c r="N13853">
        <f>IF(ISERR(FIND("DECOUPE",Tableau1[[#This Row],[DESIGNATION]])),"","NEED REF")</f>
        <v/>
      </c>
    </row>
    <row r="13854">
      <c r="B13854" t="n">
        <v>34400151</v>
      </c>
      <c r="C13854" s="2" t="n">
        <v>37382</v>
      </c>
      <c r="D13854" t="inlineStr">
        <is>
          <t>NOM</t>
        </is>
      </c>
      <c r="E13854" t="inlineStr">
        <is>
          <t>THM G600S</t>
        </is>
      </c>
      <c r="F13854" t="inlineStr">
        <is>
          <t>GALAXY</t>
        </is>
      </c>
      <c r="J13854" t="inlineStr">
        <is>
          <t>FOLTZ</t>
        </is>
      </c>
      <c r="L13854">
        <f>_xlfn.XLOOKUP(Tableau1[[#This Row],[TYPE DE PIECE]],Tableau4[MATIERE],Tableau4[SHORT TYPE],"",0,1)</f>
        <v/>
      </c>
      <c r="N13854">
        <f>IF(ISERR(FIND("DECOUPE",Tableau1[[#This Row],[DESIGNATION]])),"","NEED REF")</f>
        <v/>
      </c>
    </row>
    <row r="13855">
      <c r="B13855" t="n">
        <v>34400150</v>
      </c>
      <c r="C13855" s="2" t="n"/>
      <c r="E13855" t="inlineStr">
        <is>
          <t>réservé</t>
        </is>
      </c>
      <c r="L13855">
        <f>_xlfn.XLOOKUP(Tableau1[[#This Row],[TYPE DE PIECE]],Tableau4[MATIERE],Tableau4[SHORT TYPE],"",0,1)</f>
        <v/>
      </c>
      <c r="N13855">
        <f>IF(ISERR(FIND("DECOUPE",Tableau1[[#This Row],[DESIGNATION]])),"","NEED REF")</f>
        <v/>
      </c>
    </row>
    <row r="13856">
      <c r="B13856" t="n">
        <v>34400149</v>
      </c>
      <c r="C13856" s="2" t="n"/>
      <c r="E13856" t="inlineStr">
        <is>
          <t>réservé</t>
        </is>
      </c>
      <c r="L13856">
        <f>_xlfn.XLOOKUP(Tableau1[[#This Row],[TYPE DE PIECE]],Tableau4[MATIERE],Tableau4[SHORT TYPE],"",0,1)</f>
        <v/>
      </c>
      <c r="N13856">
        <f>IF(ISERR(FIND("DECOUPE",Tableau1[[#This Row],[DESIGNATION]])),"","NEED REF")</f>
        <v/>
      </c>
    </row>
    <row r="13857">
      <c r="B13857" t="n">
        <v>34400148</v>
      </c>
      <c r="C13857" s="2" t="n">
        <v>37937</v>
      </c>
      <c r="D13857" t="inlineStr">
        <is>
          <t>PLAN</t>
        </is>
      </c>
      <c r="E13857" t="inlineStr">
        <is>
          <t>Plan d'encombrement version extérieur (ad on module)</t>
        </is>
      </c>
      <c r="F13857" t="inlineStr">
        <is>
          <t>SFC400NS Compact 30-90kVA</t>
        </is>
      </c>
      <c r="J13857" t="inlineStr">
        <is>
          <t>FERRIER</t>
        </is>
      </c>
      <c r="L13857">
        <f>_xlfn.XLOOKUP(Tableau1[[#This Row],[TYPE DE PIECE]],Tableau4[MATIERE],Tableau4[SHORT TYPE],"",0,1)</f>
        <v/>
      </c>
      <c r="N13857">
        <f>IF(ISERR(FIND("DECOUPE",Tableau1[[#This Row],[DESIGNATION]])),"","NEED REF")</f>
        <v/>
      </c>
    </row>
    <row r="13858">
      <c r="B13858" t="n">
        <v>34400147</v>
      </c>
      <c r="C13858" s="2" t="n">
        <v>37867</v>
      </c>
      <c r="D13858" t="inlineStr">
        <is>
          <t>PLAN</t>
        </is>
      </c>
      <c r="E13858" t="inlineStr">
        <is>
          <t>Schéma 2 contacteurS sortie supplémentaireS</t>
        </is>
      </c>
      <c r="F13858" t="inlineStr">
        <is>
          <t>SFC400NS options</t>
        </is>
      </c>
      <c r="J13858" t="inlineStr">
        <is>
          <t>FERRIER</t>
        </is>
      </c>
      <c r="L13858">
        <f>_xlfn.XLOOKUP(Tableau1[[#This Row],[TYPE DE PIECE]],Tableau4[MATIERE],Tableau4[SHORT TYPE],"",0,1)</f>
        <v/>
      </c>
      <c r="N13858">
        <f>IF(ISERR(FIND("DECOUPE",Tableau1[[#This Row],[DESIGNATION]])),"","NEED REF")</f>
        <v/>
      </c>
    </row>
    <row r="13859">
      <c r="B13859" t="n">
        <v>34400146</v>
      </c>
      <c r="C13859" s="2" t="n">
        <v>37746</v>
      </c>
      <c r="D13859" t="inlineStr">
        <is>
          <t>PLAN</t>
        </is>
      </c>
      <c r="E13859" t="inlineStr">
        <is>
          <t>Schéma de principe</t>
        </is>
      </c>
      <c r="J13859" t="inlineStr">
        <is>
          <t>FERRIER</t>
        </is>
      </c>
      <c r="L13859">
        <f>_xlfn.XLOOKUP(Tableau1[[#This Row],[TYPE DE PIECE]],Tableau4[MATIERE],Tableau4[SHORT TYPE],"",0,1)</f>
        <v/>
      </c>
      <c r="N13859">
        <f>IF(ISERR(FIND("DECOUPE",Tableau1[[#This Row],[DESIGNATION]])),"","NEED REF")</f>
        <v/>
      </c>
    </row>
    <row r="13860">
      <c r="B13860" t="n">
        <v>34400145</v>
      </c>
      <c r="C13860" s="2" t="n"/>
      <c r="D13860" t="inlineStr">
        <is>
          <t>PLAN</t>
        </is>
      </c>
      <c r="E13860" t="inlineStr">
        <is>
          <t>Plan d'encombrement version extérieur</t>
        </is>
      </c>
      <c r="F13860" t="inlineStr">
        <is>
          <t>SFC400NS 120-180kVA</t>
        </is>
      </c>
      <c r="J13860" t="inlineStr">
        <is>
          <t>FERRIER</t>
        </is>
      </c>
      <c r="L13860">
        <f>_xlfn.XLOOKUP(Tableau1[[#This Row],[TYPE DE PIECE]],Tableau4[MATIERE],Tableau4[SHORT TYPE],"",0,1)</f>
        <v/>
      </c>
      <c r="N13860">
        <f>IF(ISERR(FIND("DECOUPE",Tableau1[[#This Row],[DESIGNATION]])),"","NEED REF")</f>
        <v/>
      </c>
    </row>
    <row r="13861">
      <c r="B13861" t="n">
        <v>34400144</v>
      </c>
      <c r="C13861" s="2" t="n">
        <v>37676</v>
      </c>
      <c r="D13861" t="inlineStr">
        <is>
          <t>PLAN</t>
        </is>
      </c>
      <c r="E13861" t="inlineStr">
        <is>
          <t>Schéma de principe</t>
        </is>
      </c>
      <c r="F13861" t="inlineStr">
        <is>
          <t>SFC400NS 180kVA</t>
        </is>
      </c>
      <c r="J13861" t="inlineStr">
        <is>
          <t>FERRIER</t>
        </is>
      </c>
      <c r="L13861">
        <f>_xlfn.XLOOKUP(Tableau1[[#This Row],[TYPE DE PIECE]],Tableau4[MATIERE],Tableau4[SHORT TYPE],"",0,1)</f>
        <v/>
      </c>
      <c r="N13861">
        <f>IF(ISERR(FIND("DECOUPE",Tableau1[[#This Row],[DESIGNATION]])),"","NEED REF")</f>
        <v/>
      </c>
    </row>
    <row r="13862">
      <c r="B13862" t="n">
        <v>34400143</v>
      </c>
      <c r="C13862" s="2" t="n">
        <v>37649</v>
      </c>
      <c r="D13862" t="inlineStr">
        <is>
          <t>PLAN</t>
        </is>
      </c>
      <c r="E13862" t="inlineStr">
        <is>
          <t>Plan d'encombrement version additionnel (add on module)</t>
        </is>
      </c>
      <c r="F13862" t="inlineStr">
        <is>
          <t>SFC400NS 28/600</t>
        </is>
      </c>
      <c r="J13862" t="inlineStr">
        <is>
          <t>FERRIER</t>
        </is>
      </c>
      <c r="L13862">
        <f>_xlfn.XLOOKUP(Tableau1[[#This Row],[TYPE DE PIECE]],Tableau4[MATIERE],Tableau4[SHORT TYPE],"",0,1)</f>
        <v/>
      </c>
      <c r="N13862">
        <f>IF(ISERR(FIND("DECOUPE",Tableau1[[#This Row],[DESIGNATION]])),"","NEED REF")</f>
        <v/>
      </c>
    </row>
    <row r="13863">
      <c r="B13863" t="n">
        <v>34400142</v>
      </c>
      <c r="C13863" s="2" t="n">
        <v>37649</v>
      </c>
      <c r="D13863" t="inlineStr">
        <is>
          <t>PLAN</t>
        </is>
      </c>
      <c r="E13863" t="inlineStr">
        <is>
          <t>Schéma de principe version autonome</t>
        </is>
      </c>
      <c r="J13863" t="inlineStr">
        <is>
          <t>FERRIER</t>
        </is>
      </c>
      <c r="L13863">
        <f>_xlfn.XLOOKUP(Tableau1[[#This Row],[TYPE DE PIECE]],Tableau4[MATIERE],Tableau4[SHORT TYPE],"",0,1)</f>
        <v/>
      </c>
      <c r="N13863">
        <f>IF(ISERR(FIND("DECOUPE",Tableau1[[#This Row],[DESIGNATION]])),"","NEED REF")</f>
        <v/>
      </c>
    </row>
    <row r="13864">
      <c r="B13864" t="n">
        <v>34400141</v>
      </c>
      <c r="C13864" s="2" t="n">
        <v>37649</v>
      </c>
      <c r="D13864" t="inlineStr">
        <is>
          <t>PLAN</t>
        </is>
      </c>
      <c r="E13864" t="inlineStr">
        <is>
          <t>Schéma de principe version aditionnel</t>
        </is>
      </c>
      <c r="J13864" t="inlineStr">
        <is>
          <t>FERRIER</t>
        </is>
      </c>
      <c r="L13864">
        <f>_xlfn.XLOOKUP(Tableau1[[#This Row],[TYPE DE PIECE]],Tableau4[MATIERE],Tableau4[SHORT TYPE],"",0,1)</f>
        <v/>
      </c>
      <c r="N13864">
        <f>IF(ISERR(FIND("DECOUPE",Tableau1[[#This Row],[DESIGNATION]])),"","NEED REF")</f>
        <v/>
      </c>
    </row>
    <row r="13865">
      <c r="B13865" t="n">
        <v>34400140</v>
      </c>
      <c r="C13865" s="2" t="n">
        <v>37648</v>
      </c>
      <c r="D13865" t="inlineStr">
        <is>
          <t>PLAN</t>
        </is>
      </c>
      <c r="E13865" t="inlineStr">
        <is>
          <t>Plan d'encombrement version mobile</t>
        </is>
      </c>
      <c r="F13865" t="inlineStr">
        <is>
          <t>SFC400NS 28/600</t>
        </is>
      </c>
      <c r="J13865" t="inlineStr">
        <is>
          <t>FERRIER</t>
        </is>
      </c>
      <c r="L13865">
        <f>_xlfn.XLOOKUP(Tableau1[[#This Row],[TYPE DE PIECE]],Tableau4[MATIERE],Tableau4[SHORT TYPE],"",0,1)</f>
        <v/>
      </c>
      <c r="N13865">
        <f>IF(ISERR(FIND("DECOUPE",Tableau1[[#This Row],[DESIGNATION]])),"","NEED REF")</f>
        <v/>
      </c>
    </row>
    <row r="13866">
      <c r="B13866" t="n">
        <v>34400139</v>
      </c>
      <c r="C13866" s="2" t="n">
        <v>37648</v>
      </c>
      <c r="D13866" t="inlineStr">
        <is>
          <t>PLAN</t>
        </is>
      </c>
      <c r="E13866" t="inlineStr">
        <is>
          <t>Plan d'encombrement version extérieur (stand alone)</t>
        </is>
      </c>
      <c r="F13866" t="inlineStr">
        <is>
          <t>SFC400NS 28/600</t>
        </is>
      </c>
      <c r="J13866" t="inlineStr">
        <is>
          <t>FERRIER</t>
        </is>
      </c>
      <c r="L13866">
        <f>_xlfn.XLOOKUP(Tableau1[[#This Row],[TYPE DE PIECE]],Tableau4[MATIERE],Tableau4[SHORT TYPE],"",0,1)</f>
        <v/>
      </c>
      <c r="N13866">
        <f>IF(ISERR(FIND("DECOUPE",Tableau1[[#This Row],[DESIGNATION]])),"","NEED REF")</f>
        <v/>
      </c>
    </row>
    <row r="13867">
      <c r="B13867" t="n">
        <v>34400138</v>
      </c>
      <c r="C13867" s="2" t="n">
        <v>37648</v>
      </c>
      <c r="D13867" t="inlineStr">
        <is>
          <t>PLAN</t>
        </is>
      </c>
      <c r="E13867" t="inlineStr">
        <is>
          <t>Plan d'implantation interne</t>
        </is>
      </c>
      <c r="F13867" t="inlineStr">
        <is>
          <t>SFC400NS 28/600</t>
        </is>
      </c>
      <c r="J13867" t="inlineStr">
        <is>
          <t>FERRIER</t>
        </is>
      </c>
      <c r="L13867">
        <f>_xlfn.XLOOKUP(Tableau1[[#This Row],[TYPE DE PIECE]],Tableau4[MATIERE],Tableau4[SHORT TYPE],"",0,1)</f>
        <v/>
      </c>
      <c r="N13867">
        <f>IF(ISERR(FIND("DECOUPE",Tableau1[[#This Row],[DESIGNATION]])),"","NEED REF")</f>
        <v/>
      </c>
    </row>
    <row r="13868">
      <c r="B13868" t="n">
        <v>34400137</v>
      </c>
      <c r="C13868" s="2" t="n">
        <v>37648</v>
      </c>
      <c r="D13868" t="inlineStr">
        <is>
          <t>PLAN</t>
        </is>
      </c>
      <c r="E13868" t="inlineStr">
        <is>
          <t>Plan d'encombrement version mobile</t>
        </is>
      </c>
      <c r="F13868" t="inlineStr">
        <is>
          <t>SFC400NS 7,5-15kVA</t>
        </is>
      </c>
      <c r="J13868" t="inlineStr">
        <is>
          <t>FERRIER</t>
        </is>
      </c>
      <c r="L13868">
        <f>_xlfn.XLOOKUP(Tableau1[[#This Row],[TYPE DE PIECE]],Tableau4[MATIERE],Tableau4[SHORT TYPE],"",0,1)</f>
        <v/>
      </c>
      <c r="N13868">
        <f>IF(ISERR(FIND("DECOUPE",Tableau1[[#This Row],[DESIGNATION]])),"","NEED REF")</f>
        <v/>
      </c>
    </row>
    <row r="13869">
      <c r="B13869" t="n">
        <v>34400136</v>
      </c>
      <c r="C13869" s="2" t="n">
        <v>37648</v>
      </c>
      <c r="D13869" t="inlineStr">
        <is>
          <t>PLAN</t>
        </is>
      </c>
      <c r="E13869" t="inlineStr">
        <is>
          <t>Plan d'encombrement version extérieur</t>
        </is>
      </c>
      <c r="F13869" t="inlineStr">
        <is>
          <t>SFC400NS 7,5-15kVA</t>
        </is>
      </c>
      <c r="J13869" t="inlineStr">
        <is>
          <t>FERRIER</t>
        </is>
      </c>
      <c r="L13869">
        <f>_xlfn.XLOOKUP(Tableau1[[#This Row],[TYPE DE PIECE]],Tableau4[MATIERE],Tableau4[SHORT TYPE],"",0,1)</f>
        <v/>
      </c>
      <c r="N13869">
        <f>IF(ISERR(FIND("DECOUPE",Tableau1[[#This Row],[DESIGNATION]])),"","NEED REF")</f>
        <v/>
      </c>
    </row>
    <row r="13870">
      <c r="B13870" t="n">
        <v>34400135</v>
      </c>
      <c r="C13870" s="2" t="n">
        <v>37648</v>
      </c>
      <c r="D13870" t="inlineStr">
        <is>
          <t>PLAN</t>
        </is>
      </c>
      <c r="E13870" t="inlineStr">
        <is>
          <t>Schéma de principe</t>
        </is>
      </c>
      <c r="F13870" t="inlineStr">
        <is>
          <t>SFC400NS Compact 7,5-15kVA</t>
        </is>
      </c>
      <c r="J13870" t="inlineStr">
        <is>
          <t>FERRIER</t>
        </is>
      </c>
      <c r="L13870">
        <f>_xlfn.XLOOKUP(Tableau1[[#This Row],[TYPE DE PIECE]],Tableau4[MATIERE],Tableau4[SHORT TYPE],"",0,1)</f>
        <v/>
      </c>
      <c r="N13870">
        <f>IF(ISERR(FIND("DECOUPE",Tableau1[[#This Row],[DESIGNATION]])),"","NEED REF")</f>
        <v/>
      </c>
    </row>
    <row r="13871">
      <c r="B13871" t="n">
        <v>34400134</v>
      </c>
      <c r="C13871" s="2" t="n">
        <v>37567</v>
      </c>
      <c r="D13871" t="inlineStr">
        <is>
          <t>PLAN</t>
        </is>
      </c>
      <c r="E13871" t="inlineStr">
        <is>
          <t>Plan d'implantation interne</t>
        </is>
      </c>
      <c r="F13871" t="inlineStr">
        <is>
          <t>SFC400NS Compact 30-45kVA</t>
        </is>
      </c>
      <c r="J13871" t="inlineStr">
        <is>
          <t>FERRIER</t>
        </is>
      </c>
      <c r="L13871">
        <f>_xlfn.XLOOKUP(Tableau1[[#This Row],[TYPE DE PIECE]],Tableau4[MATIERE],Tableau4[SHORT TYPE],"",0,1)</f>
        <v/>
      </c>
      <c r="N13871">
        <f>IF(ISERR(FIND("DECOUPE",Tableau1[[#This Row],[DESIGNATION]])),"","NEED REF")</f>
        <v/>
      </c>
    </row>
    <row r="13872">
      <c r="B13872" t="n">
        <v>34400133</v>
      </c>
      <c r="C13872" s="2" t="n">
        <v>37566</v>
      </c>
      <c r="D13872" t="inlineStr">
        <is>
          <t>PLAN</t>
        </is>
      </c>
      <c r="E13872" t="inlineStr">
        <is>
          <t>Plan d'implantation interne</t>
        </is>
      </c>
      <c r="F13872" t="inlineStr">
        <is>
          <t>SFC400NS Compact 120-150kVA</t>
        </is>
      </c>
      <c r="J13872" t="inlineStr">
        <is>
          <t>FERRIER</t>
        </is>
      </c>
      <c r="L13872">
        <f>_xlfn.XLOOKUP(Tableau1[[#This Row],[TYPE DE PIECE]],Tableau4[MATIERE],Tableau4[SHORT TYPE],"",0,1)</f>
        <v/>
      </c>
      <c r="N13872">
        <f>IF(ISERR(FIND("DECOUPE",Tableau1[[#This Row],[DESIGNATION]])),"","NEED REF")</f>
        <v/>
      </c>
    </row>
    <row r="13873">
      <c r="B13873" t="n">
        <v>34400132</v>
      </c>
      <c r="C13873" s="2" t="n">
        <v>37566</v>
      </c>
      <c r="D13873" t="inlineStr">
        <is>
          <t>PLAN</t>
        </is>
      </c>
      <c r="E13873" t="inlineStr">
        <is>
          <t>Plan d'encombrement version mobile</t>
        </is>
      </c>
      <c r="F13873" t="inlineStr">
        <is>
          <t>SFC400NS 120-180kVA</t>
        </is>
      </c>
      <c r="J13873" t="inlineStr">
        <is>
          <t>FERRIER</t>
        </is>
      </c>
      <c r="L13873">
        <f>_xlfn.XLOOKUP(Tableau1[[#This Row],[TYPE DE PIECE]],Tableau4[MATIERE],Tableau4[SHORT TYPE],"",0,1)</f>
        <v/>
      </c>
      <c r="N13873">
        <f>IF(ISERR(FIND("DECOUPE",Tableau1[[#This Row],[DESIGNATION]])),"","NEED REF")</f>
        <v/>
      </c>
    </row>
    <row r="13874">
      <c r="B13874" t="n">
        <v>34400131</v>
      </c>
      <c r="C13874" s="2" t="n">
        <v>37435</v>
      </c>
      <c r="D13874" t="inlineStr">
        <is>
          <t>PLAN</t>
        </is>
      </c>
      <c r="E13874" t="inlineStr">
        <is>
          <t>Schéma de principe (fonctionnement en //)</t>
        </is>
      </c>
      <c r="J13874" t="inlineStr">
        <is>
          <t>FERRIER</t>
        </is>
      </c>
      <c r="L13874">
        <f>_xlfn.XLOOKUP(Tableau1[[#This Row],[TYPE DE PIECE]],Tableau4[MATIERE],Tableau4[SHORT TYPE],"",0,1)</f>
        <v/>
      </c>
      <c r="N13874">
        <f>IF(ISERR(FIND("DECOUPE",Tableau1[[#This Row],[DESIGNATION]])),"","NEED REF")</f>
        <v/>
      </c>
    </row>
    <row r="13875">
      <c r="B13875" t="n">
        <v>34400130</v>
      </c>
      <c r="C13875" s="2" t="n">
        <v>37435</v>
      </c>
      <c r="D13875" t="inlineStr">
        <is>
          <t>PLAN</t>
        </is>
      </c>
      <c r="E13875" t="inlineStr">
        <is>
          <t>Fonctionnement en parallele 180kva</t>
        </is>
      </c>
      <c r="J13875" t="inlineStr">
        <is>
          <t>FERRIER</t>
        </is>
      </c>
      <c r="L13875">
        <f>_xlfn.XLOOKUP(Tableau1[[#This Row],[TYPE DE PIECE]],Tableau4[MATIERE],Tableau4[SHORT TYPE],"",0,1)</f>
        <v/>
      </c>
      <c r="N13875">
        <f>IF(ISERR(FIND("DECOUPE",Tableau1[[#This Row],[DESIGNATION]])),"","NEED REF")</f>
        <v/>
      </c>
    </row>
    <row r="13876">
      <c r="B13876" t="n">
        <v>34400129</v>
      </c>
      <c r="C13876" s="2" t="n">
        <v>37435</v>
      </c>
      <c r="D13876" t="inlineStr">
        <is>
          <t>PLAN</t>
        </is>
      </c>
      <c r="E13876" t="inlineStr">
        <is>
          <t>Fonctionnement en parallele</t>
        </is>
      </c>
      <c r="J13876" t="inlineStr">
        <is>
          <t>FERRIER</t>
        </is>
      </c>
      <c r="L13876">
        <f>_xlfn.XLOOKUP(Tableau1[[#This Row],[TYPE DE PIECE]],Tableau4[MATIERE],Tableau4[SHORT TYPE],"",0,1)</f>
        <v/>
      </c>
      <c r="N13876">
        <f>IF(ISERR(FIND("DECOUPE",Tableau1[[#This Row],[DESIGNATION]])),"","NEED REF")</f>
        <v/>
      </c>
    </row>
    <row r="13877">
      <c r="B13877" t="n">
        <v>34400128</v>
      </c>
      <c r="C13877" s="2" t="n">
        <v>37435</v>
      </c>
      <c r="D13877" t="inlineStr">
        <is>
          <t>PLAN</t>
        </is>
      </c>
      <c r="E13877" t="inlineStr">
        <is>
          <t>autotransfo de sortie 200/115V</t>
        </is>
      </c>
      <c r="F13877" t="inlineStr">
        <is>
          <t>SFC400NS options</t>
        </is>
      </c>
      <c r="J13877" t="inlineStr">
        <is>
          <t>FERRIER</t>
        </is>
      </c>
      <c r="L13877">
        <f>_xlfn.XLOOKUP(Tableau1[[#This Row],[TYPE DE PIECE]],Tableau4[MATIERE],Tableau4[SHORT TYPE],"",0,1)</f>
        <v/>
      </c>
      <c r="N13877">
        <f>IF(ISERR(FIND("DECOUPE",Tableau1[[#This Row],[DESIGNATION]])),"","NEED REF")</f>
        <v/>
      </c>
    </row>
    <row r="13878">
      <c r="B13878" t="n">
        <v>34400127</v>
      </c>
      <c r="C13878" s="2" t="n">
        <v>37330</v>
      </c>
      <c r="D13878" t="inlineStr">
        <is>
          <t>PLAN</t>
        </is>
      </c>
      <c r="E13878" t="inlineStr">
        <is>
          <t>boitier d'arret d'urgence externe</t>
        </is>
      </c>
      <c r="F13878" t="inlineStr">
        <is>
          <t>SFC400NS options</t>
        </is>
      </c>
      <c r="J13878" t="inlineStr">
        <is>
          <t>FERRIER</t>
        </is>
      </c>
      <c r="L13878">
        <f>_xlfn.XLOOKUP(Tableau1[[#This Row],[TYPE DE PIECE]],Tableau4[MATIERE],Tableau4[SHORT TYPE],"",0,1)</f>
        <v/>
      </c>
      <c r="N13878">
        <f>IF(ISERR(FIND("DECOUPE",Tableau1[[#This Row],[DESIGNATION]])),"","NEED REF")</f>
        <v/>
      </c>
    </row>
    <row r="13879">
      <c r="B13879" t="n">
        <v>34400126</v>
      </c>
      <c r="C13879" s="2" t="n">
        <v>37330</v>
      </c>
      <c r="D13879" t="inlineStr">
        <is>
          <t>PLAN</t>
        </is>
      </c>
      <c r="E13879" t="inlineStr">
        <is>
          <t>Feedback de tension externe</t>
        </is>
      </c>
      <c r="F13879" t="inlineStr">
        <is>
          <t>SFC400NS options</t>
        </is>
      </c>
      <c r="J13879" t="inlineStr">
        <is>
          <t>FERRIER</t>
        </is>
      </c>
      <c r="L13879">
        <f>_xlfn.XLOOKUP(Tableau1[[#This Row],[TYPE DE PIECE]],Tableau4[MATIERE],Tableau4[SHORT TYPE],"",0,1)</f>
        <v/>
      </c>
      <c r="N13879">
        <f>IF(ISERR(FIND("DECOUPE",Tableau1[[#This Row],[DESIGNATION]])),"","NEED REF")</f>
        <v/>
      </c>
    </row>
    <row r="13880">
      <c r="B13880" t="n">
        <v>34400125</v>
      </c>
      <c r="C13880" s="2" t="n">
        <v>37330</v>
      </c>
      <c r="D13880" t="inlineStr">
        <is>
          <t>PLAN</t>
        </is>
      </c>
      <c r="E13880" t="inlineStr">
        <is>
          <t>Lampe de service portative</t>
        </is>
      </c>
      <c r="F13880" t="inlineStr">
        <is>
          <t>SFC400NS options</t>
        </is>
      </c>
      <c r="J13880" t="inlineStr">
        <is>
          <t>FERRIER</t>
        </is>
      </c>
      <c r="L13880">
        <f>_xlfn.XLOOKUP(Tableau1[[#This Row],[TYPE DE PIECE]],Tableau4[MATIERE],Tableau4[SHORT TYPE],"",0,1)</f>
        <v/>
      </c>
      <c r="N13880">
        <f>IF(ISERR(FIND("DECOUPE",Tableau1[[#This Row],[DESIGNATION]])),"","NEED REF")</f>
        <v/>
      </c>
    </row>
    <row r="13881">
      <c r="B13881" t="n">
        <v>34400124</v>
      </c>
      <c r="C13881" s="2" t="n">
        <v>37330</v>
      </c>
      <c r="D13881" t="inlineStr">
        <is>
          <t>PLAN</t>
        </is>
      </c>
      <c r="E13881" t="inlineStr">
        <is>
          <t>auto-transformateur d'entrée</t>
        </is>
      </c>
      <c r="F13881" t="inlineStr">
        <is>
          <t>SFC400NS options</t>
        </is>
      </c>
      <c r="J13881" t="inlineStr">
        <is>
          <t>FERRIER</t>
        </is>
      </c>
      <c r="L13881">
        <f>_xlfn.XLOOKUP(Tableau1[[#This Row],[TYPE DE PIECE]],Tableau4[MATIERE],Tableau4[SHORT TYPE],"",0,1)</f>
        <v/>
      </c>
      <c r="N13881">
        <f>IF(ISERR(FIND("DECOUPE",Tableau1[[#This Row],[DESIGNATION]])),"","NEED REF")</f>
        <v/>
      </c>
    </row>
    <row r="13882">
      <c r="B13882" t="n">
        <v>34400123</v>
      </c>
      <c r="C13882" s="2" t="n">
        <v>37330</v>
      </c>
      <c r="D13882" t="inlineStr">
        <is>
          <t>PLAN</t>
        </is>
      </c>
      <c r="E13882" t="inlineStr">
        <is>
          <t>transformateur d'isolement d'entrée</t>
        </is>
      </c>
      <c r="F13882" t="inlineStr">
        <is>
          <t>SFC400NS options</t>
        </is>
      </c>
      <c r="J13882" t="inlineStr">
        <is>
          <t>FERRIER</t>
        </is>
      </c>
      <c r="L13882">
        <f>_xlfn.XLOOKUP(Tableau1[[#This Row],[TYPE DE PIECE]],Tableau4[MATIERE],Tableau4[SHORT TYPE],"",0,1)</f>
        <v/>
      </c>
      <c r="N13882">
        <f>IF(ISERR(FIND("DECOUPE",Tableau1[[#This Row],[DESIGNATION]])),"","NEED REF")</f>
        <v/>
      </c>
    </row>
    <row r="13883">
      <c r="B13883" t="n">
        <v>34400122</v>
      </c>
      <c r="C13883" s="2" t="n">
        <v>37330</v>
      </c>
      <c r="D13883" t="inlineStr">
        <is>
          <t>PLAN</t>
        </is>
      </c>
      <c r="E13883" t="inlineStr">
        <is>
          <t>Voyant présence inter-verrouillage anti-flash</t>
        </is>
      </c>
      <c r="F13883" t="inlineStr">
        <is>
          <t>SFC400NS options</t>
        </is>
      </c>
      <c r="J13883" t="inlineStr">
        <is>
          <t>FERRIER</t>
        </is>
      </c>
      <c r="L13883">
        <f>_xlfn.XLOOKUP(Tableau1[[#This Row],[TYPE DE PIECE]],Tableau4[MATIERE],Tableau4[SHORT TYPE],"",0,1)</f>
        <v/>
      </c>
      <c r="N13883">
        <f>IF(ISERR(FIND("DECOUPE",Tableau1[[#This Row],[DESIGNATION]])),"","NEED REF")</f>
        <v/>
      </c>
    </row>
    <row r="13884">
      <c r="B13884" t="n">
        <v>34400121</v>
      </c>
      <c r="C13884" s="2" t="n">
        <v>37330</v>
      </c>
      <c r="D13884" t="inlineStr">
        <is>
          <t>PLAN</t>
        </is>
      </c>
      <c r="E13884" t="inlineStr">
        <is>
          <t>Relais différentiel</t>
        </is>
      </c>
      <c r="F13884" t="inlineStr">
        <is>
          <t>SFC400NS options</t>
        </is>
      </c>
      <c r="J13884" t="inlineStr">
        <is>
          <t>FERRIER</t>
        </is>
      </c>
      <c r="L13884">
        <f>_xlfn.XLOOKUP(Tableau1[[#This Row],[TYPE DE PIECE]],Tableau4[MATIERE],Tableau4[SHORT TYPE],"",0,1)</f>
        <v/>
      </c>
      <c r="N13884">
        <f>IF(ISERR(FIND("DECOUPE",Tableau1[[#This Row],[DESIGNATION]])),"","NEED REF")</f>
        <v/>
      </c>
    </row>
    <row r="13885">
      <c r="B13885" t="n">
        <v>34400120</v>
      </c>
      <c r="C13885" s="2" t="n">
        <v>37330</v>
      </c>
      <c r="D13885" t="inlineStr">
        <is>
          <t>PLAN</t>
        </is>
      </c>
      <c r="E13885" t="inlineStr">
        <is>
          <t>Inter-verrouillage des portes</t>
        </is>
      </c>
      <c r="F13885" t="inlineStr">
        <is>
          <t>SFC400NS options</t>
        </is>
      </c>
      <c r="J13885" t="inlineStr">
        <is>
          <t>FERRIER</t>
        </is>
      </c>
      <c r="L13885">
        <f>_xlfn.XLOOKUP(Tableau1[[#This Row],[TYPE DE PIECE]],Tableau4[MATIERE],Tableau4[SHORT TYPE],"",0,1)</f>
        <v/>
      </c>
      <c r="N13885">
        <f>IF(ISERR(FIND("DECOUPE",Tableau1[[#This Row],[DESIGNATION]])),"","NEED REF")</f>
        <v/>
      </c>
    </row>
    <row r="13886">
      <c r="B13886" t="n">
        <v>34400119</v>
      </c>
      <c r="C13886" s="2" t="n">
        <v>37330</v>
      </c>
      <c r="D13886" t="inlineStr">
        <is>
          <t>PLAN</t>
        </is>
      </c>
      <c r="E13886" t="inlineStr">
        <is>
          <t>Autorisation de fonctionnement</t>
        </is>
      </c>
      <c r="F13886" t="inlineStr">
        <is>
          <t>SFC400NS options</t>
        </is>
      </c>
      <c r="J13886" t="inlineStr">
        <is>
          <t>FERRIER</t>
        </is>
      </c>
      <c r="L13886">
        <f>_xlfn.XLOOKUP(Tableau1[[#This Row],[TYPE DE PIECE]],Tableau4[MATIERE],Tableau4[SHORT TYPE],"",0,1)</f>
        <v/>
      </c>
      <c r="N13886">
        <f>IF(ISERR(FIND("DECOUPE",Tableau1[[#This Row],[DESIGNATION]])),"","NEED REF")</f>
        <v/>
      </c>
    </row>
    <row r="13887">
      <c r="B13887" t="n">
        <v>34400118</v>
      </c>
      <c r="C13887" s="2" t="n">
        <v>37330</v>
      </c>
      <c r="D13887" t="inlineStr">
        <is>
          <t>PLAN</t>
        </is>
      </c>
      <c r="E13887" t="inlineStr">
        <is>
          <t>switch 90% (contrôle de bon embrochage)</t>
        </is>
      </c>
      <c r="F13887" t="inlineStr">
        <is>
          <t>SFC400NS options</t>
        </is>
      </c>
      <c r="J13887" t="inlineStr">
        <is>
          <t>FERRIER</t>
        </is>
      </c>
      <c r="L13887">
        <f>_xlfn.XLOOKUP(Tableau1[[#This Row],[TYPE DE PIECE]],Tableau4[MATIERE],Tableau4[SHORT TYPE],"",0,1)</f>
        <v/>
      </c>
      <c r="N13887">
        <f>IF(ISERR(FIND("DECOUPE",Tableau1[[#This Row],[DESIGNATION]])),"","NEED REF")</f>
        <v/>
      </c>
    </row>
    <row r="13888">
      <c r="B13888" t="n">
        <v>34400117</v>
      </c>
      <c r="C13888" s="2" t="n">
        <v>37330</v>
      </c>
      <c r="D13888" t="inlineStr">
        <is>
          <t>PLAN</t>
        </is>
      </c>
      <c r="E13888" t="inlineStr">
        <is>
          <t>Surveillance de rupture du conducteur de neutre</t>
        </is>
      </c>
      <c r="F13888" t="inlineStr">
        <is>
          <t>SFC400NS options</t>
        </is>
      </c>
      <c r="J13888" t="inlineStr">
        <is>
          <t>FERRIER</t>
        </is>
      </c>
      <c r="L13888">
        <f>_xlfn.XLOOKUP(Tableau1[[#This Row],[TYPE DE PIECE]],Tableau4[MATIERE],Tableau4[SHORT TYPE],"",0,1)</f>
        <v/>
      </c>
      <c r="N13888">
        <f>IF(ISERR(FIND("DECOUPE",Tableau1[[#This Row],[DESIGNATION]])),"","NEED REF")</f>
        <v/>
      </c>
    </row>
    <row r="13889">
      <c r="B13889" t="n">
        <v>34400116</v>
      </c>
      <c r="C13889" s="2" t="n">
        <v>37330</v>
      </c>
      <c r="D13889" t="inlineStr">
        <is>
          <t>PLAN</t>
        </is>
      </c>
      <c r="E13889" t="inlineStr">
        <is>
          <t>Borniers libres de potentiel</t>
        </is>
      </c>
      <c r="F13889" t="inlineStr">
        <is>
          <t>SFC400NS options</t>
        </is>
      </c>
      <c r="J13889" t="inlineStr">
        <is>
          <t>FERRIER</t>
        </is>
      </c>
      <c r="L13889">
        <f>_xlfn.XLOOKUP(Tableau1[[#This Row],[TYPE DE PIECE]],Tableau4[MATIERE],Tableau4[SHORT TYPE],"",0,1)</f>
        <v/>
      </c>
      <c r="N13889">
        <f>IF(ISERR(FIND("DECOUPE",Tableau1[[#This Row],[DESIGNATION]])),"","NEED REF")</f>
        <v/>
      </c>
    </row>
    <row r="13890">
      <c r="B13890" t="n">
        <v>34400115</v>
      </c>
      <c r="C13890" s="2" t="n">
        <v>37330</v>
      </c>
      <c r="D13890" t="inlineStr">
        <is>
          <t>PLAN</t>
        </is>
      </c>
      <c r="E13890" t="inlineStr">
        <is>
          <t>Voyant 400Hz prêt</t>
        </is>
      </c>
      <c r="F13890" t="inlineStr">
        <is>
          <t>SFC400NS options</t>
        </is>
      </c>
      <c r="J13890" t="inlineStr">
        <is>
          <t>FERRIER</t>
        </is>
      </c>
      <c r="L13890">
        <f>_xlfn.XLOOKUP(Tableau1[[#This Row],[TYPE DE PIECE]],Tableau4[MATIERE],Tableau4[SHORT TYPE],"",0,1)</f>
        <v/>
      </c>
      <c r="N13890">
        <f>IF(ISERR(FIND("DECOUPE",Tableau1[[#This Row],[DESIGNATION]])),"","NEED REF")</f>
        <v/>
      </c>
    </row>
    <row r="13891">
      <c r="B13891" t="n">
        <v>34400114</v>
      </c>
      <c r="C13891" s="2" t="n">
        <v>37330</v>
      </c>
      <c r="D13891" t="inlineStr">
        <is>
          <t>PLAN</t>
        </is>
      </c>
      <c r="E13891" t="inlineStr">
        <is>
          <t>Contacteur de sortie supplémentaire</t>
        </is>
      </c>
      <c r="F13891" t="inlineStr">
        <is>
          <t>SFC400NS options (&lt;ou= 90kVA)</t>
        </is>
      </c>
      <c r="J13891" t="inlineStr">
        <is>
          <t>FERRIER</t>
        </is>
      </c>
      <c r="L13891">
        <f>_xlfn.XLOOKUP(Tableau1[[#This Row],[TYPE DE PIECE]],Tableau4[MATIERE],Tableau4[SHORT TYPE],"",0,1)</f>
        <v/>
      </c>
      <c r="N13891">
        <f>IF(ISERR(FIND("DECOUPE",Tableau1[[#This Row],[DESIGNATION]])),"","NEED REF")</f>
        <v/>
      </c>
    </row>
    <row r="13892">
      <c r="B13892" t="n">
        <v>34400113</v>
      </c>
      <c r="C13892" s="2" t="n">
        <v>37330</v>
      </c>
      <c r="D13892" t="inlineStr">
        <is>
          <t>PLAN</t>
        </is>
      </c>
      <c r="E13892" t="inlineStr">
        <is>
          <t>Protection individuelle des sorties contre les surcharges</t>
        </is>
      </c>
      <c r="F13892" t="inlineStr">
        <is>
          <t>SFC400NS options</t>
        </is>
      </c>
      <c r="J13892" t="inlineStr">
        <is>
          <t>FERRIER</t>
        </is>
      </c>
      <c r="L13892">
        <f>_xlfn.XLOOKUP(Tableau1[[#This Row],[TYPE DE PIECE]],Tableau4[MATIERE],Tableau4[SHORT TYPE],"",0,1)</f>
        <v/>
      </c>
      <c r="N13892">
        <f>IF(ISERR(FIND("DECOUPE",Tableau1[[#This Row],[DESIGNATION]])),"","NEED REF")</f>
        <v/>
      </c>
    </row>
    <row r="13893">
      <c r="B13893" t="n">
        <v>34400112</v>
      </c>
      <c r="C13893" s="2" t="n">
        <v>37330</v>
      </c>
      <c r="D13893" t="inlineStr">
        <is>
          <t>PLAN</t>
        </is>
      </c>
      <c r="E13893" t="inlineStr">
        <is>
          <t>Radiateurs anti-condensation</t>
        </is>
      </c>
      <c r="F13893" t="inlineStr">
        <is>
          <t>SFC400NS options</t>
        </is>
      </c>
      <c r="J13893" t="inlineStr">
        <is>
          <t>FERRIER</t>
        </is>
      </c>
      <c r="L13893">
        <f>_xlfn.XLOOKUP(Tableau1[[#This Row],[TYPE DE PIECE]],Tableau4[MATIERE],Tableau4[SHORT TYPE],"",0,1)</f>
        <v/>
      </c>
      <c r="N13893">
        <f>IF(ISERR(FIND("DECOUPE",Tableau1[[#This Row],[DESIGNATION]])),"","NEED REF")</f>
        <v/>
      </c>
    </row>
    <row r="13894">
      <c r="B13894" t="n">
        <v>34400111</v>
      </c>
      <c r="C13894" s="2" t="n">
        <v>37330</v>
      </c>
      <c r="D13894" t="inlineStr">
        <is>
          <t>PLAN</t>
        </is>
      </c>
      <c r="E13894" t="inlineStr">
        <is>
          <t>Boitier de commande à distance</t>
        </is>
      </c>
      <c r="F13894" t="inlineStr">
        <is>
          <t>SFC400NS options (2 sorties)</t>
        </is>
      </c>
      <c r="J13894" t="inlineStr">
        <is>
          <t>FERRIER</t>
        </is>
      </c>
      <c r="L13894">
        <f>_xlfn.XLOOKUP(Tableau1[[#This Row],[TYPE DE PIECE]],Tableau4[MATIERE],Tableau4[SHORT TYPE],"",0,1)</f>
        <v/>
      </c>
      <c r="N13894">
        <f>IF(ISERR(FIND("DECOUPE",Tableau1[[#This Row],[DESIGNATION]])),"","NEED REF")</f>
        <v/>
      </c>
    </row>
    <row r="13895">
      <c r="B13895" t="n">
        <v>34400110</v>
      </c>
      <c r="C13895" s="2" t="n">
        <v>37330</v>
      </c>
      <c r="D13895" t="inlineStr">
        <is>
          <t>PLAN</t>
        </is>
      </c>
      <c r="E13895" t="inlineStr">
        <is>
          <t>Boitier de commande à distance</t>
        </is>
      </c>
      <c r="F13895" t="inlineStr">
        <is>
          <t>SFC400NS options (1 sortie)</t>
        </is>
      </c>
      <c r="J13895" t="inlineStr">
        <is>
          <t>FERRIER</t>
        </is>
      </c>
      <c r="L13895">
        <f>_xlfn.XLOOKUP(Tableau1[[#This Row],[TYPE DE PIECE]],Tableau4[MATIERE],Tableau4[SHORT TYPE],"",0,1)</f>
        <v/>
      </c>
      <c r="N13895">
        <f>IF(ISERR(FIND("DECOUPE",Tableau1[[#This Row],[DESIGNATION]])),"","NEED REF")</f>
        <v/>
      </c>
    </row>
    <row r="13896">
      <c r="B13896" t="n">
        <v>34400109</v>
      </c>
      <c r="C13896" s="2" t="n">
        <v>37330</v>
      </c>
      <c r="D13896" t="inlineStr">
        <is>
          <t>PLAN</t>
        </is>
      </c>
      <c r="E13896" t="inlineStr">
        <is>
          <t>Boitier de commande et afficheur distant</t>
        </is>
      </c>
      <c r="F13896" t="inlineStr">
        <is>
          <t>SFC400NS options (2 sorties)</t>
        </is>
      </c>
      <c r="J13896" t="inlineStr">
        <is>
          <t>FERRIER</t>
        </is>
      </c>
      <c r="L13896">
        <f>_xlfn.XLOOKUP(Tableau1[[#This Row],[TYPE DE PIECE]],Tableau4[MATIERE],Tableau4[SHORT TYPE],"",0,1)</f>
        <v/>
      </c>
      <c r="N13896">
        <f>IF(ISERR(FIND("DECOUPE",Tableau1[[#This Row],[DESIGNATION]])),"","NEED REF")</f>
        <v/>
      </c>
    </row>
    <row r="13897">
      <c r="B13897" t="n">
        <v>34400108</v>
      </c>
      <c r="C13897" s="2" t="n">
        <v>37330</v>
      </c>
      <c r="D13897" t="inlineStr">
        <is>
          <t>PLAN</t>
        </is>
      </c>
      <c r="E13897" t="inlineStr">
        <is>
          <t>Boitier de commande et afficheur distant</t>
        </is>
      </c>
      <c r="F13897" t="inlineStr">
        <is>
          <t>SFC400NS options (1 sortie)</t>
        </is>
      </c>
      <c r="J13897" t="inlineStr">
        <is>
          <t>FERRIER</t>
        </is>
      </c>
      <c r="L13897">
        <f>_xlfn.XLOOKUP(Tableau1[[#This Row],[TYPE DE PIECE]],Tableau4[MATIERE],Tableau4[SHORT TYPE],"",0,1)</f>
        <v/>
      </c>
      <c r="N13897">
        <f>IF(ISERR(FIND("DECOUPE",Tableau1[[#This Row],[DESIGNATION]])),"","NEED REF")</f>
        <v/>
      </c>
    </row>
    <row r="13898">
      <c r="B13898" t="n">
        <v>34400107</v>
      </c>
      <c r="C13898" s="2" t="n">
        <v>37330</v>
      </c>
      <c r="D13898" t="inlineStr">
        <is>
          <t>PLAN</t>
        </is>
      </c>
      <c r="E13898" t="inlineStr">
        <is>
          <t>Plan d'implantation interne</t>
        </is>
      </c>
      <c r="F13898" t="inlineStr">
        <is>
          <t>SFC400NS Compact 60-90kVA</t>
        </is>
      </c>
      <c r="J13898" t="inlineStr">
        <is>
          <t>FERRIER</t>
        </is>
      </c>
      <c r="L13898">
        <f>_xlfn.XLOOKUP(Tableau1[[#This Row],[TYPE DE PIECE]],Tableau4[MATIERE],Tableau4[SHORT TYPE],"",0,1)</f>
        <v/>
      </c>
      <c r="N13898">
        <f>IF(ISERR(FIND("DECOUPE",Tableau1[[#This Row],[DESIGNATION]])),"","NEED REF")</f>
        <v/>
      </c>
    </row>
    <row r="13899">
      <c r="B13899" t="n">
        <v>34400106</v>
      </c>
      <c r="C13899" s="2" t="n">
        <v>37330</v>
      </c>
      <c r="D13899" t="inlineStr">
        <is>
          <t>PLAN</t>
        </is>
      </c>
      <c r="E13899" t="inlineStr">
        <is>
          <t>Plan d'encombrement version mobile</t>
        </is>
      </c>
      <c r="F13899" t="inlineStr">
        <is>
          <t>SFC400NS Compact 30-90kVA</t>
        </is>
      </c>
      <c r="J13899" t="inlineStr">
        <is>
          <t>FERRIER</t>
        </is>
      </c>
      <c r="L13899">
        <f>_xlfn.XLOOKUP(Tableau1[[#This Row],[TYPE DE PIECE]],Tableau4[MATIERE],Tableau4[SHORT TYPE],"",0,1)</f>
        <v/>
      </c>
      <c r="N13899">
        <f>IF(ISERR(FIND("DECOUPE",Tableau1[[#This Row],[DESIGNATION]])),"","NEED REF")</f>
        <v/>
      </c>
    </row>
    <row r="13900">
      <c r="B13900" t="n">
        <v>34400105</v>
      </c>
      <c r="C13900" s="2" t="n">
        <v>37330</v>
      </c>
      <c r="D13900" t="inlineStr">
        <is>
          <t>PLAN</t>
        </is>
      </c>
      <c r="E13900" t="inlineStr">
        <is>
          <t>Plan d'encombrement version passerelle</t>
        </is>
      </c>
      <c r="F13900" t="inlineStr">
        <is>
          <t>SFC400NS Compact 30-90kVA</t>
        </is>
      </c>
      <c r="J13900" t="inlineStr">
        <is>
          <t>FERRIER</t>
        </is>
      </c>
      <c r="L13900">
        <f>_xlfn.XLOOKUP(Tableau1[[#This Row],[TYPE DE PIECE]],Tableau4[MATIERE],Tableau4[SHORT TYPE],"",0,1)</f>
        <v/>
      </c>
      <c r="N13900">
        <f>IF(ISERR(FIND("DECOUPE",Tableau1[[#This Row],[DESIGNATION]])),"","NEED REF")</f>
        <v/>
      </c>
    </row>
    <row r="13901">
      <c r="B13901" t="n">
        <v>34400104</v>
      </c>
      <c r="C13901" s="2" t="n">
        <v>37330</v>
      </c>
      <c r="D13901" t="inlineStr">
        <is>
          <t>PLAN</t>
        </is>
      </c>
      <c r="E13901" t="inlineStr">
        <is>
          <t>Plan d'encombrement version extérieur</t>
        </is>
      </c>
      <c r="F13901" t="inlineStr">
        <is>
          <t>SFC400NS Compact 30-90kVA</t>
        </is>
      </c>
      <c r="J13901" t="inlineStr">
        <is>
          <t>FERRIER</t>
        </is>
      </c>
      <c r="L13901">
        <f>_xlfn.XLOOKUP(Tableau1[[#This Row],[TYPE DE PIECE]],Tableau4[MATIERE],Tableau4[SHORT TYPE],"",0,1)</f>
        <v/>
      </c>
      <c r="N13901">
        <f>IF(ISERR(FIND("DECOUPE",Tableau1[[#This Row],[DESIGNATION]])),"","NEED REF")</f>
        <v/>
      </c>
    </row>
    <row r="13902">
      <c r="B13902" t="n">
        <v>34400103</v>
      </c>
      <c r="C13902" s="2" t="n">
        <v>37330</v>
      </c>
      <c r="D13902" t="inlineStr">
        <is>
          <t>PLAN</t>
        </is>
      </c>
      <c r="E13902" t="inlineStr">
        <is>
          <t>Plan d'encombrement version intérieur</t>
        </is>
      </c>
      <c r="F13902" t="inlineStr">
        <is>
          <t>SFC400NS Compact 30-90kVA</t>
        </is>
      </c>
      <c r="J13902" t="inlineStr">
        <is>
          <t>FERRIER</t>
        </is>
      </c>
      <c r="L13902">
        <f>_xlfn.XLOOKUP(Tableau1[[#This Row],[TYPE DE PIECE]],Tableau4[MATIERE],Tableau4[SHORT TYPE],"",0,1)</f>
        <v/>
      </c>
      <c r="N13902">
        <f>IF(ISERR(FIND("DECOUPE",Tableau1[[#This Row],[DESIGNATION]])),"","NEED REF")</f>
        <v/>
      </c>
    </row>
    <row r="13903">
      <c r="B13903" t="n">
        <v>34400102</v>
      </c>
      <c r="C13903" s="2" t="n">
        <v>37330</v>
      </c>
      <c r="D13903" t="inlineStr">
        <is>
          <t>PLAN</t>
        </is>
      </c>
      <c r="E13903" t="inlineStr">
        <is>
          <t>Schéma de principe</t>
        </is>
      </c>
      <c r="F13903" t="inlineStr">
        <is>
          <t>SFC400NS 120-150kVA</t>
        </is>
      </c>
      <c r="J13903" t="inlineStr">
        <is>
          <t>FERRIER</t>
        </is>
      </c>
      <c r="L13903">
        <f>_xlfn.XLOOKUP(Tableau1[[#This Row],[TYPE DE PIECE]],Tableau4[MATIERE],Tableau4[SHORT TYPE],"",0,1)</f>
        <v/>
      </c>
      <c r="N13903">
        <f>IF(ISERR(FIND("DECOUPE",Tableau1[[#This Row],[DESIGNATION]])),"","NEED REF")</f>
        <v/>
      </c>
    </row>
    <row r="13904">
      <c r="B13904" t="n">
        <v>34400101</v>
      </c>
      <c r="C13904" s="2" t="n">
        <v>37330</v>
      </c>
      <c r="D13904" t="inlineStr">
        <is>
          <t>PLAN</t>
        </is>
      </c>
      <c r="E13904" t="inlineStr">
        <is>
          <t>Schéma de principe</t>
        </is>
      </c>
      <c r="F13904" t="inlineStr">
        <is>
          <t>SFC400NS Compact 60-90kVA</t>
        </is>
      </c>
      <c r="J13904" t="inlineStr">
        <is>
          <t>FERRIER</t>
        </is>
      </c>
      <c r="L13904">
        <f>_xlfn.XLOOKUP(Tableau1[[#This Row],[TYPE DE PIECE]],Tableau4[MATIERE],Tableau4[SHORT TYPE],"",0,1)</f>
        <v/>
      </c>
      <c r="N13904">
        <f>IF(ISERR(FIND("DECOUPE",Tableau1[[#This Row],[DESIGNATION]])),"","NEED REF")</f>
        <v/>
      </c>
    </row>
    <row r="13905">
      <c r="B13905" t="n">
        <v>34400100</v>
      </c>
      <c r="C13905" s="2" t="n">
        <v>37330</v>
      </c>
      <c r="D13905" t="inlineStr">
        <is>
          <t>PLAN</t>
        </is>
      </c>
      <c r="E13905" t="inlineStr">
        <is>
          <t>Schéma de principe</t>
        </is>
      </c>
      <c r="F13905" t="inlineStr">
        <is>
          <t>SFC400NS Compact 30-45kVA</t>
        </is>
      </c>
      <c r="J13905" t="inlineStr">
        <is>
          <t>FERRIER</t>
        </is>
      </c>
      <c r="L13905">
        <f>_xlfn.XLOOKUP(Tableau1[[#This Row],[TYPE DE PIECE]],Tableau4[MATIERE],Tableau4[SHORT TYPE],"",0,1)</f>
        <v/>
      </c>
      <c r="N13905">
        <f>IF(ISERR(FIND("DECOUPE",Tableau1[[#This Row],[DESIGNATION]])),"","NEED REF")</f>
        <v/>
      </c>
    </row>
    <row r="13906">
      <c r="B13906" t="n">
        <v>34400099</v>
      </c>
      <c r="C13906" s="2" t="n">
        <v>37382</v>
      </c>
      <c r="D13906" t="inlineStr">
        <is>
          <t>NOM</t>
        </is>
      </c>
      <c r="E13906" t="inlineStr">
        <is>
          <t>THM PW200S</t>
        </is>
      </c>
      <c r="F13906" t="inlineStr">
        <is>
          <t>Galaxy PW</t>
        </is>
      </c>
      <c r="J13906" t="inlineStr">
        <is>
          <t>FOLTZ</t>
        </is>
      </c>
      <c r="L13906">
        <f>_xlfn.XLOOKUP(Tableau1[[#This Row],[TYPE DE PIECE]],Tableau4[MATIERE],Tableau4[SHORT TYPE],"",0,1)</f>
        <v/>
      </c>
      <c r="N13906">
        <f>IF(ISERR(FIND("DECOUPE",Tableau1[[#This Row],[DESIGNATION]])),"","NEED REF")</f>
        <v/>
      </c>
    </row>
    <row r="13907">
      <c r="B13907" t="n">
        <v>34400098</v>
      </c>
      <c r="C13907" s="2" t="n">
        <v>37382</v>
      </c>
      <c r="D13907" t="inlineStr">
        <is>
          <t>NOM</t>
        </is>
      </c>
      <c r="E13907" t="inlineStr">
        <is>
          <t>THM G200S</t>
        </is>
      </c>
      <c r="F13907" t="inlineStr">
        <is>
          <t>GALAXY</t>
        </is>
      </c>
      <c r="J13907" t="inlineStr">
        <is>
          <t>FOLTZ</t>
        </is>
      </c>
      <c r="L13907">
        <f>_xlfn.XLOOKUP(Tableau1[[#This Row],[TYPE DE PIECE]],Tableau4[MATIERE],Tableau4[SHORT TYPE],"",0,1)</f>
        <v/>
      </c>
      <c r="N13907">
        <f>IF(ISERR(FIND("DECOUPE",Tableau1[[#This Row],[DESIGNATION]])),"","NEED REF")</f>
        <v/>
      </c>
    </row>
    <row r="13908">
      <c r="B13908" t="n">
        <v>34400097</v>
      </c>
      <c r="C13908" s="2" t="n">
        <v>37379</v>
      </c>
      <c r="D13908" t="inlineStr">
        <is>
          <t>NOM</t>
        </is>
      </c>
      <c r="E13908" t="inlineStr">
        <is>
          <t>THM G300S</t>
        </is>
      </c>
      <c r="F13908" t="inlineStr">
        <is>
          <t>GALAXY</t>
        </is>
      </c>
      <c r="J13908" t="inlineStr">
        <is>
          <t>FOLTZ</t>
        </is>
      </c>
      <c r="L13908">
        <f>_xlfn.XLOOKUP(Tableau1[[#This Row],[TYPE DE PIECE]],Tableau4[MATIERE],Tableau4[SHORT TYPE],"",0,1)</f>
        <v/>
      </c>
      <c r="N13908">
        <f>IF(ISERR(FIND("DECOUPE",Tableau1[[#This Row],[DESIGNATION]])),"","NEED REF")</f>
        <v/>
      </c>
    </row>
    <row r="13909">
      <c r="B13909" t="n">
        <v>34400096</v>
      </c>
      <c r="C13909" s="2" t="n">
        <v>37379</v>
      </c>
      <c r="D13909" t="inlineStr">
        <is>
          <t>CDC</t>
        </is>
      </c>
      <c r="E13909" t="inlineStr">
        <is>
          <t>Galaxy 300kva +TFO R2 capote sur skid</t>
        </is>
      </c>
      <c r="F13909" t="inlineStr">
        <is>
          <t>GALAXY</t>
        </is>
      </c>
      <c r="J13909" t="inlineStr">
        <is>
          <t>REVEL</t>
        </is>
      </c>
      <c r="L13909">
        <f>_xlfn.XLOOKUP(Tableau1[[#This Row],[TYPE DE PIECE]],Tableau4[MATIERE],Tableau4[SHORT TYPE],"",0,1)</f>
        <v/>
      </c>
      <c r="N13909">
        <f>IF(ISERR(FIND("DECOUPE",Tableau1[[#This Row],[DESIGNATION]])),"","NEED REF")</f>
        <v/>
      </c>
    </row>
    <row r="13910">
      <c r="B13910" t="n">
        <v>34400095</v>
      </c>
      <c r="C13910" s="2" t="n">
        <v>37379</v>
      </c>
      <c r="D13910" t="inlineStr">
        <is>
          <t>SPEC</t>
        </is>
      </c>
      <c r="E13910" t="inlineStr">
        <is>
          <t>SELF SUPER COMPENSEE 300kVA</t>
        </is>
      </c>
      <c r="F13910" t="inlineStr">
        <is>
          <t>GALAXY</t>
        </is>
      </c>
      <c r="J13910" t="inlineStr">
        <is>
          <t>FOLTZ</t>
        </is>
      </c>
      <c r="L13910">
        <f>_xlfn.XLOOKUP(Tableau1[[#This Row],[TYPE DE PIECE]],Tableau4[MATIERE],Tableau4[SHORT TYPE],"",0,1)</f>
        <v/>
      </c>
      <c r="N13910">
        <f>IF(ISERR(FIND("DECOUPE",Tableau1[[#This Row],[DESIGNATION]])),"","NEED REF")</f>
        <v/>
      </c>
    </row>
    <row r="13911">
      <c r="B13911" t="n">
        <v>34400094</v>
      </c>
      <c r="C13911" s="2" t="n">
        <v>37378</v>
      </c>
      <c r="D13911" t="inlineStr">
        <is>
          <t>NOM</t>
        </is>
      </c>
      <c r="E13911" t="inlineStr">
        <is>
          <t>PULSAR EX30US V2</t>
        </is>
      </c>
      <c r="F13911" t="inlineStr">
        <is>
          <t>PULSAR EX30US</t>
        </is>
      </c>
      <c r="J13911" t="inlineStr">
        <is>
          <t>REVEL</t>
        </is>
      </c>
      <c r="L13911">
        <f>_xlfn.XLOOKUP(Tableau1[[#This Row],[TYPE DE PIECE]],Tableau4[MATIERE],Tableau4[SHORT TYPE],"",0,1)</f>
        <v/>
      </c>
      <c r="N13911">
        <f>IF(ISERR(FIND("DECOUPE",Tableau1[[#This Row],[DESIGNATION]])),"","NEED REF")</f>
        <v/>
      </c>
    </row>
    <row r="13912">
      <c r="B13912" t="n">
        <v>34400093</v>
      </c>
      <c r="C13912" s="2" t="n">
        <v>37378</v>
      </c>
      <c r="D13912" t="inlineStr">
        <is>
          <t>NOM</t>
        </is>
      </c>
      <c r="E13912" t="inlineStr">
        <is>
          <t>PULSAR EX20US V2</t>
        </is>
      </c>
      <c r="F13912" t="inlineStr">
        <is>
          <t>PULSAR EX20US</t>
        </is>
      </c>
      <c r="J13912" t="inlineStr">
        <is>
          <t>REVEL</t>
        </is>
      </c>
      <c r="L13912">
        <f>_xlfn.XLOOKUP(Tableau1[[#This Row],[TYPE DE PIECE]],Tableau4[MATIERE],Tableau4[SHORT TYPE],"",0,1)</f>
        <v/>
      </c>
      <c r="N13912">
        <f>IF(ISERR(FIND("DECOUPE",Tableau1[[#This Row],[DESIGNATION]])),"","NEED REF")</f>
        <v/>
      </c>
    </row>
    <row r="13913">
      <c r="B13913" t="n">
        <v>34400092</v>
      </c>
      <c r="C13913" s="2" t="n">
        <v>37372</v>
      </c>
      <c r="D13913" t="inlineStr">
        <is>
          <t>SPEC</t>
        </is>
      </c>
      <c r="E13913" t="inlineStr">
        <is>
          <t>KIT Traverse support CLIM KUN15CAB (EURODIFROID)</t>
        </is>
      </c>
      <c r="F13913" t="inlineStr">
        <is>
          <t>GALAXY PW</t>
        </is>
      </c>
      <c r="J13913" t="inlineStr">
        <is>
          <t>FERRIER</t>
        </is>
      </c>
      <c r="L13913">
        <f>_xlfn.XLOOKUP(Tableau1[[#This Row],[TYPE DE PIECE]],Tableau4[MATIERE],Tableau4[SHORT TYPE],"",0,1)</f>
        <v/>
      </c>
      <c r="N13913">
        <f>IF(ISERR(FIND("DECOUPE",Tableau1[[#This Row],[DESIGNATION]])),"","NEED REF")</f>
        <v/>
      </c>
    </row>
    <row r="13914">
      <c r="B13914" t="n">
        <v>34400091</v>
      </c>
      <c r="C13914" s="2" t="n">
        <v>37365</v>
      </c>
      <c r="D13914" t="inlineStr">
        <is>
          <t>DOC</t>
        </is>
      </c>
      <c r="E13914" t="inlineStr">
        <is>
          <t>Dossier de montage armoire climatisées (KUR10CAB)</t>
        </is>
      </c>
      <c r="J13914" t="inlineStr">
        <is>
          <t>FERRIER</t>
        </is>
      </c>
      <c r="L13914">
        <f>_xlfn.XLOOKUP(Tableau1[[#This Row],[TYPE DE PIECE]],Tableau4[MATIERE],Tableau4[SHORT TYPE],"",0,1)</f>
        <v/>
      </c>
      <c r="N13914">
        <f>IF(ISERR(FIND("DECOUPE",Tableau1[[#This Row],[DESIGNATION]])),"","NEED REF")</f>
        <v/>
      </c>
    </row>
    <row r="13915">
      <c r="B13915" t="n">
        <v>34400090</v>
      </c>
      <c r="C13915" s="2" t="n">
        <v>37363</v>
      </c>
      <c r="D13915" t="inlineStr">
        <is>
          <t>DOC</t>
        </is>
      </c>
      <c r="E13915" t="inlineStr">
        <is>
          <t>Dossier d'adaptation des GALAXY400kVA//</t>
        </is>
      </c>
      <c r="F13915" t="inlineStr">
        <is>
          <t xml:space="preserve">GALAXY400PARALLELE </t>
        </is>
      </c>
      <c r="J13915" t="inlineStr">
        <is>
          <t>FERRIER</t>
        </is>
      </c>
      <c r="L13915">
        <f>_xlfn.XLOOKUP(Tableau1[[#This Row],[TYPE DE PIECE]],Tableau4[MATIERE],Tableau4[SHORT TYPE],"",0,1)</f>
        <v/>
      </c>
      <c r="N13915">
        <f>IF(ISERR(FIND("DECOUPE",Tableau1[[#This Row],[DESIGNATION]])),"","NEED REF")</f>
        <v/>
      </c>
    </row>
    <row r="13916">
      <c r="B13916" t="n">
        <v>34400089</v>
      </c>
      <c r="C13916" s="2" t="n">
        <v>37362</v>
      </c>
      <c r="D13916" t="inlineStr">
        <is>
          <t>SPEC</t>
        </is>
      </c>
      <c r="E13916" t="inlineStr">
        <is>
          <t>CX SOUPLE NEUTRE-MASSE</t>
        </is>
      </c>
      <c r="F13916" t="inlineStr">
        <is>
          <t>GALAXY400</t>
        </is>
      </c>
      <c r="J13916" t="inlineStr">
        <is>
          <t>FERRIER</t>
        </is>
      </c>
      <c r="L13916">
        <f>_xlfn.XLOOKUP(Tableau1[[#This Row],[TYPE DE PIECE]],Tableau4[MATIERE],Tableau4[SHORT TYPE],"",0,1)</f>
        <v/>
      </c>
      <c r="N13916">
        <f>IF(ISERR(FIND("DECOUPE",Tableau1[[#This Row],[DESIGNATION]])),"","NEED REF")</f>
        <v/>
      </c>
    </row>
    <row r="13917">
      <c r="B13917" t="n">
        <v>34400088</v>
      </c>
      <c r="C13917" s="2" t="n">
        <v>37361</v>
      </c>
      <c r="D13917" t="inlineStr">
        <is>
          <t>SPEC</t>
        </is>
      </c>
      <c r="E13917" t="inlineStr">
        <is>
          <t>Barre de masse cuivre étamée (spec dispo au BEI format papier uniquement)</t>
        </is>
      </c>
      <c r="F13917" t="inlineStr">
        <is>
          <t>GALAXY400</t>
        </is>
      </c>
      <c r="J13917" t="inlineStr">
        <is>
          <t>FERRIER</t>
        </is>
      </c>
      <c r="L13917">
        <f>_xlfn.XLOOKUP(Tableau1[[#This Row],[TYPE DE PIECE]],Tableau4[MATIERE],Tableau4[SHORT TYPE],"",0,1)</f>
        <v/>
      </c>
      <c r="N13917">
        <f>IF(ISERR(FIND("DECOUPE",Tableau1[[#This Row],[DESIGNATION]])),"","NEED REF")</f>
        <v/>
      </c>
    </row>
    <row r="13918">
      <c r="B13918" t="n">
        <v>34400087</v>
      </c>
      <c r="C13918" s="2" t="n">
        <v>37357</v>
      </c>
      <c r="D13918" t="inlineStr">
        <is>
          <t>NOM</t>
        </is>
      </c>
      <c r="E13918" t="inlineStr">
        <is>
          <t>IP 22 peinture a comission</t>
        </is>
      </c>
      <c r="F13918" t="inlineStr">
        <is>
          <t>GALAXY 160-400KVA</t>
        </is>
      </c>
      <c r="J13918" t="inlineStr">
        <is>
          <t>REVEL</t>
        </is>
      </c>
      <c r="L13918">
        <f>_xlfn.XLOOKUP(Tableau1[[#This Row],[TYPE DE PIECE]],Tableau4[MATIERE],Tableau4[SHORT TYPE],"",0,1)</f>
        <v/>
      </c>
      <c r="N13918">
        <f>IF(ISERR(FIND("DECOUPE",Tableau1[[#This Row],[DESIGNATION]])),"","NEED REF")</f>
        <v/>
      </c>
    </row>
    <row r="13919">
      <c r="B13919" t="n">
        <v>34400086</v>
      </c>
      <c r="C13919" s="2" t="n">
        <v>37351</v>
      </c>
      <c r="D13919" t="inlineStr">
        <is>
          <t>SPEC</t>
        </is>
      </c>
      <c r="E13919" t="inlineStr">
        <is>
          <t>KIT Traverse support CLIM KUR10CAB (EURODIFROID)</t>
        </is>
      </c>
      <c r="F13919" t="inlineStr">
        <is>
          <t>GALAXY PW</t>
        </is>
      </c>
      <c r="J13919" t="inlineStr">
        <is>
          <t>FERRIER</t>
        </is>
      </c>
      <c r="L13919">
        <f>_xlfn.XLOOKUP(Tableau1[[#This Row],[TYPE DE PIECE]],Tableau4[MATIERE],Tableau4[SHORT TYPE],"",0,1)</f>
        <v/>
      </c>
      <c r="N13919">
        <f>IF(ISERR(FIND("DECOUPE",Tableau1[[#This Row],[DESIGNATION]])),"","NEED REF")</f>
        <v/>
      </c>
    </row>
    <row r="13920">
      <c r="B13920" t="n">
        <v>34400085</v>
      </c>
      <c r="C13920" s="2" t="n">
        <v>37350</v>
      </c>
      <c r="D13920" t="inlineStr">
        <is>
          <t>NOM</t>
        </is>
      </c>
      <c r="E13920" t="inlineStr">
        <is>
          <t>IP 22 arm auxiliriare Galaxy H=1400</t>
        </is>
      </c>
      <c r="F13920" t="inlineStr">
        <is>
          <t>Galaxy PW</t>
        </is>
      </c>
      <c r="J13920" t="inlineStr">
        <is>
          <t>REVEL</t>
        </is>
      </c>
      <c r="L13920">
        <f>_xlfn.XLOOKUP(Tableau1[[#This Row],[TYPE DE PIECE]],Tableau4[MATIERE],Tableau4[SHORT TYPE],"",0,1)</f>
        <v/>
      </c>
      <c r="N13920">
        <f>IF(ISERR(FIND("DECOUPE",Tableau1[[#This Row],[DESIGNATION]])),"","NEED REF")</f>
        <v/>
      </c>
    </row>
    <row r="13921">
      <c r="B13921" t="n">
        <v>34400084</v>
      </c>
      <c r="C13921" s="2" t="n">
        <v>37350</v>
      </c>
      <c r="D13921" t="inlineStr">
        <is>
          <t>NOM</t>
        </is>
      </c>
      <c r="E13921" t="inlineStr">
        <is>
          <t>IP 22 Galaxy PW 20-60kva H=1400</t>
        </is>
      </c>
      <c r="F13921" t="inlineStr">
        <is>
          <t>Galaxy PW</t>
        </is>
      </c>
      <c r="J13921" t="inlineStr">
        <is>
          <t>REVEL</t>
        </is>
      </c>
      <c r="L13921">
        <f>_xlfn.XLOOKUP(Tableau1[[#This Row],[TYPE DE PIECE]],Tableau4[MATIERE],Tableau4[SHORT TYPE],"",0,1)</f>
        <v/>
      </c>
      <c r="N13921">
        <f>IF(ISERR(FIND("DECOUPE",Tableau1[[#This Row],[DESIGNATION]])),"","NEED REF")</f>
        <v/>
      </c>
    </row>
    <row r="13922">
      <c r="B13922" t="n">
        <v>34400083</v>
      </c>
      <c r="C13922" s="2" t="n">
        <v>37348</v>
      </c>
      <c r="D13922" t="inlineStr">
        <is>
          <t>CDC</t>
        </is>
      </c>
      <c r="E13922" t="inlineStr">
        <is>
          <t>Galaxy PW 40 kva IP22 sur skid</t>
        </is>
      </c>
      <c r="F13922" t="inlineStr">
        <is>
          <t>GALAXY PW</t>
        </is>
      </c>
      <c r="J13922" t="inlineStr">
        <is>
          <t>REVEL</t>
        </is>
      </c>
      <c r="L13922">
        <f>_xlfn.XLOOKUP(Tableau1[[#This Row],[TYPE DE PIECE]],Tableau4[MATIERE],Tableau4[SHORT TYPE],"",0,1)</f>
        <v/>
      </c>
      <c r="N13922">
        <f>IF(ISERR(FIND("DECOUPE",Tableau1[[#This Row],[DESIGNATION]])),"","NEED REF")</f>
        <v/>
      </c>
    </row>
    <row r="13923">
      <c r="B13923" t="n">
        <v>34400082</v>
      </c>
      <c r="C13923" s="2" t="n">
        <v>37348</v>
      </c>
      <c r="D13923" t="inlineStr">
        <is>
          <t>CDC</t>
        </is>
      </c>
      <c r="E13923" t="inlineStr">
        <is>
          <t>Mise a niveau passage en NS actif</t>
        </is>
      </c>
      <c r="F13923" t="inlineStr">
        <is>
          <t>NS2000</t>
        </is>
      </c>
      <c r="J13923" t="inlineStr">
        <is>
          <t>REVEL</t>
        </is>
      </c>
      <c r="L13923">
        <f>_xlfn.XLOOKUP(Tableau1[[#This Row],[TYPE DE PIECE]],Tableau4[MATIERE],Tableau4[SHORT TYPE],"",0,1)</f>
        <v/>
      </c>
      <c r="N13923">
        <f>IF(ISERR(FIND("DECOUPE",Tableau1[[#This Row],[DESIGNATION]])),"","NEED REF")</f>
        <v/>
      </c>
    </row>
    <row r="13924">
      <c r="B13924" t="n">
        <v>34400081</v>
      </c>
      <c r="C13924" s="2" t="n">
        <v>37344</v>
      </c>
      <c r="D13924" t="inlineStr">
        <is>
          <t>CDC</t>
        </is>
      </c>
      <c r="E13924" t="inlineStr">
        <is>
          <t>Adaptation regime TNC NS200 NG</t>
        </is>
      </c>
      <c r="F13924" t="inlineStr">
        <is>
          <t>NS2000</t>
        </is>
      </c>
      <c r="J13924" t="inlineStr">
        <is>
          <t>REVEL</t>
        </is>
      </c>
      <c r="L13924">
        <f>_xlfn.XLOOKUP(Tableau1[[#This Row],[TYPE DE PIECE]],Tableau4[MATIERE],Tableau4[SHORT TYPE],"",0,1)</f>
        <v/>
      </c>
      <c r="N13924">
        <f>IF(ISERR(FIND("DECOUPE",Tableau1[[#This Row],[DESIGNATION]])),"","NEED REF")</f>
        <v/>
      </c>
    </row>
    <row r="13925">
      <c r="B13925" t="n">
        <v>34400080</v>
      </c>
      <c r="C13925" s="2" t="n">
        <v>37344</v>
      </c>
      <c r="D13925" t="inlineStr">
        <is>
          <t>DOC</t>
        </is>
      </c>
      <c r="E13925" t="inlineStr">
        <is>
          <t>Changement self FAHC 60Hz</t>
        </is>
      </c>
      <c r="F13925" t="inlineStr">
        <is>
          <t>GALAXY PW</t>
        </is>
      </c>
      <c r="J13925" t="inlineStr">
        <is>
          <t>ROBERT</t>
        </is>
      </c>
      <c r="L13925">
        <f>_xlfn.XLOOKUP(Tableau1[[#This Row],[TYPE DE PIECE]],Tableau4[MATIERE],Tableau4[SHORT TYPE],"",0,1)</f>
        <v/>
      </c>
      <c r="N13925">
        <f>IF(ISERR(FIND("DECOUPE",Tableau1[[#This Row],[DESIGNATION]])),"","NEED REF")</f>
        <v/>
      </c>
    </row>
    <row r="13926">
      <c r="B13926" t="n">
        <v>34400079</v>
      </c>
      <c r="C13926" s="2" t="n">
        <v>37344</v>
      </c>
      <c r="D13926" t="inlineStr">
        <is>
          <t>SPEC</t>
        </is>
      </c>
      <c r="E13926" t="inlineStr">
        <is>
          <t>Tôle de fond pleine armoire batterie 1015</t>
        </is>
      </c>
      <c r="F13926" t="inlineStr">
        <is>
          <t>GALAXY PW</t>
        </is>
      </c>
      <c r="J13926" t="inlineStr">
        <is>
          <t>FERRIER</t>
        </is>
      </c>
      <c r="L13926">
        <f>_xlfn.XLOOKUP(Tableau1[[#This Row],[TYPE DE PIECE]],Tableau4[MATIERE],Tableau4[SHORT TYPE],"",0,1)</f>
        <v/>
      </c>
      <c r="N13926">
        <f>IF(ISERR(FIND("DECOUPE",Tableau1[[#This Row],[DESIGNATION]])),"","NEED REF")</f>
        <v/>
      </c>
    </row>
    <row r="13927">
      <c r="B13927" t="n">
        <v>34400078</v>
      </c>
      <c r="C13927" s="2" t="n">
        <v>37344</v>
      </c>
      <c r="D13927" t="inlineStr">
        <is>
          <t>SPEC</t>
        </is>
      </c>
      <c r="E13927" t="inlineStr">
        <is>
          <t>Tôle de fond pleine armoire batterie 715</t>
        </is>
      </c>
      <c r="F13927" t="inlineStr">
        <is>
          <t>GALAXY PW</t>
        </is>
      </c>
      <c r="J13927" t="inlineStr">
        <is>
          <t>FERRIER</t>
        </is>
      </c>
      <c r="L13927">
        <f>_xlfn.XLOOKUP(Tableau1[[#This Row],[TYPE DE PIECE]],Tableau4[MATIERE],Tableau4[SHORT TYPE],"",0,1)</f>
        <v/>
      </c>
      <c r="N13927">
        <f>IF(ISERR(FIND("DECOUPE",Tableau1[[#This Row],[DESIGNATION]])),"","NEED REF")</f>
        <v/>
      </c>
    </row>
    <row r="13928">
      <c r="B13928" t="n">
        <v>34400077</v>
      </c>
      <c r="C13928" s="2" t="n">
        <v>37340</v>
      </c>
      <c r="D13928" t="inlineStr">
        <is>
          <t>CDC</t>
        </is>
      </c>
      <c r="E13928" t="inlineStr">
        <is>
          <t>Doublement des TI sur NS2000 NG</t>
        </is>
      </c>
      <c r="F13928" t="inlineStr">
        <is>
          <t>NS2000</t>
        </is>
      </c>
      <c r="J13928" t="inlineStr">
        <is>
          <t>REVEL</t>
        </is>
      </c>
      <c r="L13928">
        <f>_xlfn.XLOOKUP(Tableau1[[#This Row],[TYPE DE PIECE]],Tableau4[MATIERE],Tableau4[SHORT TYPE],"",0,1)</f>
        <v/>
      </c>
      <c r="N13928">
        <f>IF(ISERR(FIND("DECOUPE",Tableau1[[#This Row],[DESIGNATION]])),"","NEED REF")</f>
        <v/>
      </c>
    </row>
    <row r="13929">
      <c r="B13929" t="n">
        <v>34400076</v>
      </c>
      <c r="C13929" s="2" t="n">
        <v>37340</v>
      </c>
      <c r="D13929" t="inlineStr">
        <is>
          <t>NOM</t>
        </is>
      </c>
      <c r="E13929" t="inlineStr">
        <is>
          <t>CARTE AROZ modif 15% RESEAU 2</t>
        </is>
      </c>
      <c r="F13929" t="inlineStr">
        <is>
          <t>Galaxy toutes gammes</t>
        </is>
      </c>
      <c r="J13929" t="inlineStr">
        <is>
          <t>FOLTZ</t>
        </is>
      </c>
      <c r="L13929">
        <f>_xlfn.XLOOKUP(Tableau1[[#This Row],[TYPE DE PIECE]],Tableau4[MATIERE],Tableau4[SHORT TYPE],"",0,1)</f>
        <v/>
      </c>
      <c r="N13929">
        <f>IF(ISERR(FIND("DECOUPE",Tableau1[[#This Row],[DESIGNATION]])),"","NEED REF")</f>
        <v/>
      </c>
    </row>
    <row r="13930">
      <c r="B13930" t="n">
        <v>34400075</v>
      </c>
      <c r="C13930" s="2" t="n">
        <v>37336</v>
      </c>
      <c r="D13930" t="inlineStr">
        <is>
          <t>NOM</t>
        </is>
      </c>
      <c r="E13930" t="inlineStr">
        <is>
          <t>Coffret limande 2NS actif</t>
        </is>
      </c>
      <c r="F13930" t="inlineStr">
        <is>
          <t>Galaxy toutes gammes</t>
        </is>
      </c>
      <c r="J13930" t="inlineStr">
        <is>
          <t>REVEL</t>
        </is>
      </c>
      <c r="L13930">
        <f>_xlfn.XLOOKUP(Tableau1[[#This Row],[TYPE DE PIECE]],Tableau4[MATIERE],Tableau4[SHORT TYPE],"",0,1)</f>
        <v/>
      </c>
      <c r="N13930">
        <f>IF(ISERR(FIND("DECOUPE",Tableau1[[#This Row],[DESIGNATION]])),"","NEED REF")</f>
        <v/>
      </c>
    </row>
    <row r="13931">
      <c r="B13931" t="n">
        <v>34400074</v>
      </c>
      <c r="C13931" s="2" t="n">
        <v>37320</v>
      </c>
      <c r="D13931" t="inlineStr">
        <is>
          <t>NOM</t>
        </is>
      </c>
      <c r="E13931" t="inlineStr">
        <is>
          <t xml:space="preserve">Ajout Q3BP </t>
        </is>
      </c>
      <c r="F13931" t="inlineStr">
        <is>
          <t>Galaxy 400kva CF</t>
        </is>
      </c>
      <c r="J13931" t="inlineStr">
        <is>
          <t>REVEL</t>
        </is>
      </c>
      <c r="L13931">
        <f>_xlfn.XLOOKUP(Tableau1[[#This Row],[TYPE DE PIECE]],Tableau4[MATIERE],Tableau4[SHORT TYPE],"",0,1)</f>
        <v/>
      </c>
      <c r="N13931">
        <f>IF(ISERR(FIND("DECOUPE",Tableau1[[#This Row],[DESIGNATION]])),"","NEED REF")</f>
        <v/>
      </c>
    </row>
    <row r="13932">
      <c r="B13932" t="n">
        <v>34400073</v>
      </c>
      <c r="C13932" s="2" t="n">
        <v>37320</v>
      </c>
      <c r="D13932" t="inlineStr">
        <is>
          <t>SPEC</t>
        </is>
      </c>
      <c r="E13932" t="inlineStr">
        <is>
          <t>Serigraphie bandeau peinture speciale</t>
        </is>
      </c>
      <c r="F13932" t="inlineStr">
        <is>
          <t>Comet</t>
        </is>
      </c>
      <c r="J13932" t="inlineStr">
        <is>
          <t>REVEL</t>
        </is>
      </c>
      <c r="L13932">
        <f>_xlfn.XLOOKUP(Tableau1[[#This Row],[TYPE DE PIECE]],Tableau4[MATIERE],Tableau4[SHORT TYPE],"",0,1)</f>
        <v/>
      </c>
      <c r="N13932">
        <f>IF(ISERR(FIND("DECOUPE",Tableau1[[#This Row],[DESIGNATION]])),"","NEED REF")</f>
        <v/>
      </c>
    </row>
    <row r="13933">
      <c r="B13933" t="n">
        <v>34400072</v>
      </c>
      <c r="C13933" s="2" t="n">
        <v>37320</v>
      </c>
      <c r="D13933" t="inlineStr">
        <is>
          <t>NOM</t>
        </is>
      </c>
      <c r="E13933" t="inlineStr">
        <is>
          <t>Peinture a commission</t>
        </is>
      </c>
      <c r="F13933" t="inlineStr">
        <is>
          <t>COMET S31 10KVA</t>
        </is>
      </c>
      <c r="J13933" t="inlineStr">
        <is>
          <t>REVEL</t>
        </is>
      </c>
      <c r="L13933">
        <f>_xlfn.XLOOKUP(Tableau1[[#This Row],[TYPE DE PIECE]],Tableau4[MATIERE],Tableau4[SHORT TYPE],"",0,1)</f>
        <v/>
      </c>
      <c r="N13933">
        <f>IF(ISERR(FIND("DECOUPE",Tableau1[[#This Row],[DESIGNATION]])),"","NEED REF")</f>
        <v/>
      </c>
    </row>
    <row r="13934">
      <c r="B13934" t="n">
        <v>34400071</v>
      </c>
      <c r="C13934" s="2" t="n"/>
      <c r="D13934" t="inlineStr">
        <is>
          <t>DOC</t>
        </is>
      </c>
      <c r="E13934" t="inlineStr">
        <is>
          <t>Dossier de montage TFO R2 intégré</t>
        </is>
      </c>
      <c r="F13934" t="inlineStr">
        <is>
          <t>GALAXY1000PW</t>
        </is>
      </c>
      <c r="J13934" t="inlineStr">
        <is>
          <t>FERRIER</t>
        </is>
      </c>
      <c r="L13934">
        <f>_xlfn.XLOOKUP(Tableau1[[#This Row],[TYPE DE PIECE]],Tableau4[MATIERE],Tableau4[SHORT TYPE],"",0,1)</f>
        <v/>
      </c>
      <c r="N13934">
        <f>IF(ISERR(FIND("DECOUPE",Tableau1[[#This Row],[DESIGNATION]])),"","NEED REF")</f>
        <v/>
      </c>
    </row>
    <row r="13935">
      <c r="B13935" t="n">
        <v>34400070</v>
      </c>
      <c r="C13935" s="2" t="n"/>
      <c r="D13935" t="inlineStr">
        <is>
          <t>SPEC</t>
        </is>
      </c>
      <c r="E13935" t="inlineStr">
        <is>
          <t>ETIQUETTE "pas de réseau AC BYPASS,,,"</t>
        </is>
      </c>
      <c r="F13935" t="inlineStr">
        <is>
          <t>GALAXY3000 10-30kVA</t>
        </is>
      </c>
      <c r="J13935" t="inlineStr">
        <is>
          <t>FERRIER</t>
        </is>
      </c>
      <c r="L13935">
        <f>_xlfn.XLOOKUP(Tableau1[[#This Row],[TYPE DE PIECE]],Tableau4[MATIERE],Tableau4[SHORT TYPE],"",0,1)</f>
        <v/>
      </c>
      <c r="N13935">
        <f>IF(ISERR(FIND("DECOUPE",Tableau1[[#This Row],[DESIGNATION]])),"","NEED REF")</f>
        <v/>
      </c>
    </row>
    <row r="13936">
      <c r="B13936" t="n">
        <v>34400069</v>
      </c>
      <c r="C13936" s="2" t="n">
        <v>37315</v>
      </c>
      <c r="D13936" t="inlineStr">
        <is>
          <t>DOC</t>
        </is>
      </c>
      <c r="E13936" t="inlineStr">
        <is>
          <t>Dossier de montage extension d'autonomie 2</t>
        </is>
      </c>
      <c r="F13936" t="inlineStr">
        <is>
          <t>GALAXY3000 10-30kVA</t>
        </is>
      </c>
      <c r="J13936" t="inlineStr">
        <is>
          <t>FERRIER</t>
        </is>
      </c>
      <c r="L13936">
        <f>_xlfn.XLOOKUP(Tableau1[[#This Row],[TYPE DE PIECE]],Tableau4[MATIERE],Tableau4[SHORT TYPE],"",0,1)</f>
        <v/>
      </c>
      <c r="N13936">
        <f>IF(ISERR(FIND("DECOUPE",Tableau1[[#This Row],[DESIGNATION]])),"","NEED REF")</f>
        <v/>
      </c>
    </row>
    <row r="13937">
      <c r="B13937" t="n">
        <v>34400068</v>
      </c>
      <c r="C13937" s="2" t="n">
        <v>37315</v>
      </c>
      <c r="D13937" t="inlineStr">
        <is>
          <t>CDC</t>
        </is>
      </c>
      <c r="E13937" t="inlineStr">
        <is>
          <t>Configuration batterie</t>
        </is>
      </c>
      <c r="F13937" t="inlineStr">
        <is>
          <t>Comet Pulsar Extreme</t>
        </is>
      </c>
      <c r="J13937" t="inlineStr">
        <is>
          <t>REVEL</t>
        </is>
      </c>
      <c r="L13937">
        <f>_xlfn.XLOOKUP(Tableau1[[#This Row],[TYPE DE PIECE]],Tableau4[MATIERE],Tableau4[SHORT TYPE],"",0,1)</f>
        <v/>
      </c>
      <c r="N13937">
        <f>IF(ISERR(FIND("DECOUPE",Tableau1[[#This Row],[DESIGNATION]])),"","NEED REF")</f>
        <v/>
      </c>
    </row>
    <row r="13938">
      <c r="B13938" t="n">
        <v>34400067</v>
      </c>
      <c r="C13938" s="2" t="n">
        <v>37314</v>
      </c>
      <c r="D13938" t="inlineStr">
        <is>
          <t>NOM</t>
        </is>
      </c>
      <c r="E13938" t="inlineStr">
        <is>
          <t>Comet navalise S31 15-20kva</t>
        </is>
      </c>
      <c r="F13938" t="inlineStr">
        <is>
          <t>Comet navalisé</t>
        </is>
      </c>
      <c r="J13938" t="inlineStr">
        <is>
          <t>REVEL</t>
        </is>
      </c>
      <c r="L13938">
        <f>_xlfn.XLOOKUP(Tableau1[[#This Row],[TYPE DE PIECE]],Tableau4[MATIERE],Tableau4[SHORT TYPE],"",0,1)</f>
        <v/>
      </c>
      <c r="N13938">
        <f>IF(ISERR(FIND("DECOUPE",Tableau1[[#This Row],[DESIGNATION]])),"","NEED REF")</f>
        <v/>
      </c>
    </row>
    <row r="13939">
      <c r="B13939" t="n">
        <v>34400066</v>
      </c>
      <c r="C13939" s="2" t="n">
        <v>37314</v>
      </c>
      <c r="D13939" t="inlineStr">
        <is>
          <t>DOC</t>
        </is>
      </c>
      <c r="E13939" t="inlineStr">
        <is>
          <t>Dossier de montage batterie ligne affaire</t>
        </is>
      </c>
      <c r="F13939" t="inlineStr">
        <is>
          <t>Tous sauf Comet</t>
        </is>
      </c>
      <c r="J13939" t="inlineStr">
        <is>
          <t>BROUSSET</t>
        </is>
      </c>
      <c r="L13939">
        <f>_xlfn.XLOOKUP(Tableau1[[#This Row],[TYPE DE PIECE]],Tableau4[MATIERE],Tableau4[SHORT TYPE],"",0,1)</f>
        <v/>
      </c>
      <c r="N13939">
        <f>IF(ISERR(FIND("DECOUPE",Tableau1[[#This Row],[DESIGNATION]])),"","NEED REF")</f>
        <v/>
      </c>
    </row>
    <row r="13940">
      <c r="B13940" t="n">
        <v>34400065</v>
      </c>
      <c r="C13940" s="2" t="n">
        <v>37302</v>
      </c>
      <c r="D13940" t="inlineStr">
        <is>
          <t>DOC</t>
        </is>
      </c>
      <c r="E13940" t="inlineStr">
        <is>
          <t>Dossier d'utilisation coffret filtre batterie</t>
        </is>
      </c>
      <c r="F13940" t="inlineStr">
        <is>
          <t>Comet extreme 12 kva</t>
        </is>
      </c>
      <c r="J13940" t="inlineStr">
        <is>
          <t>REVEL</t>
        </is>
      </c>
      <c r="L13940">
        <f>_xlfn.XLOOKUP(Tableau1[[#This Row],[TYPE DE PIECE]],Tableau4[MATIERE],Tableau4[SHORT TYPE],"",0,1)</f>
        <v/>
      </c>
      <c r="N13940">
        <f>IF(ISERR(FIND("DECOUPE",Tableau1[[#This Row],[DESIGNATION]])),"","NEED REF")</f>
        <v/>
      </c>
    </row>
    <row r="13941">
      <c r="B13941" t="n">
        <v>34400064</v>
      </c>
      <c r="C13941" s="2" t="n">
        <v>37301</v>
      </c>
      <c r="D13941" t="inlineStr">
        <is>
          <t>CDC</t>
        </is>
      </c>
      <c r="E13941" t="inlineStr">
        <is>
          <t>Gaine de raccordement par le haut</t>
        </is>
      </c>
      <c r="F13941" t="inlineStr">
        <is>
          <t>Galaxy 300kva</t>
        </is>
      </c>
      <c r="J13941" t="inlineStr">
        <is>
          <t>REVEL</t>
        </is>
      </c>
      <c r="L13941">
        <f>_xlfn.XLOOKUP(Tableau1[[#This Row],[TYPE DE PIECE]],Tableau4[MATIERE],Tableau4[SHORT TYPE],"",0,1)</f>
        <v/>
      </c>
      <c r="N13941">
        <f>IF(ISERR(FIND("DECOUPE",Tableau1[[#This Row],[DESIGNATION]])),"","NEED REF")</f>
        <v/>
      </c>
    </row>
    <row r="13942">
      <c r="B13942" t="n">
        <v>34400063</v>
      </c>
      <c r="C13942" s="2" t="n">
        <v>37301</v>
      </c>
      <c r="D13942" t="inlineStr">
        <is>
          <t>SPEC</t>
        </is>
      </c>
      <c r="E13942" t="inlineStr">
        <is>
          <t>plaque de fond IP42 armoire aux</t>
        </is>
      </c>
      <c r="F13942" t="inlineStr">
        <is>
          <t>Armoire auxilaire 1015*1900</t>
        </is>
      </c>
      <c r="J13942" t="inlineStr">
        <is>
          <t>REVEL</t>
        </is>
      </c>
      <c r="L13942">
        <f>_xlfn.XLOOKUP(Tableau1[[#This Row],[TYPE DE PIECE]],Tableau4[MATIERE],Tableau4[SHORT TYPE],"",0,1)</f>
        <v/>
      </c>
      <c r="N13942">
        <f>IF(ISERR(FIND("DECOUPE",Tableau1[[#This Row],[DESIGNATION]])),"","NEED REF")</f>
        <v/>
      </c>
    </row>
    <row r="13943">
      <c r="B13943" t="n">
        <v>34400062</v>
      </c>
      <c r="C13943" s="2" t="n">
        <v>37301</v>
      </c>
      <c r="D13943" t="inlineStr">
        <is>
          <t>NOM</t>
        </is>
      </c>
      <c r="E13943" t="inlineStr">
        <is>
          <t>IP 42 Galaxy PW arm aux</t>
        </is>
      </c>
      <c r="F13943" t="inlineStr">
        <is>
          <t>Armoire auxilaire 1015*1900</t>
        </is>
      </c>
      <c r="J13943" t="inlineStr">
        <is>
          <t>REVEL</t>
        </is>
      </c>
      <c r="L13943">
        <f>_xlfn.XLOOKUP(Tableau1[[#This Row],[TYPE DE PIECE]],Tableau4[MATIERE],Tableau4[SHORT TYPE],"",0,1)</f>
        <v/>
      </c>
      <c r="N13943">
        <f>IF(ISERR(FIND("DECOUPE",Tableau1[[#This Row],[DESIGNATION]])),"","NEED REF")</f>
        <v/>
      </c>
    </row>
    <row r="13944">
      <c r="B13944" t="n">
        <v>34400061</v>
      </c>
      <c r="C13944" s="2" t="n">
        <v>37301</v>
      </c>
      <c r="D13944" t="inlineStr">
        <is>
          <t>NOM</t>
        </is>
      </c>
      <c r="E13944" t="inlineStr">
        <is>
          <t>IP 42 Galaxy PW 80 a 120kva</t>
        </is>
      </c>
      <c r="F13944" t="inlineStr">
        <is>
          <t>Galaxy PW 80-120kva</t>
        </is>
      </c>
      <c r="J13944" t="inlineStr">
        <is>
          <t>REVEL</t>
        </is>
      </c>
      <c r="L13944">
        <f>_xlfn.XLOOKUP(Tableau1[[#This Row],[TYPE DE PIECE]],Tableau4[MATIERE],Tableau4[SHORT TYPE],"",0,1)</f>
        <v/>
      </c>
      <c r="N13944">
        <f>IF(ISERR(FIND("DECOUPE",Tableau1[[#This Row],[DESIGNATION]])),"","NEED REF")</f>
        <v/>
      </c>
    </row>
    <row r="13945">
      <c r="B13945" t="n">
        <v>34400060</v>
      </c>
      <c r="C13945" s="2" t="n">
        <v>37301</v>
      </c>
      <c r="D13945" t="inlineStr">
        <is>
          <t>NOM</t>
        </is>
      </c>
      <c r="E13945" t="inlineStr">
        <is>
          <t>IP 42 Galaxy PW arm aux</t>
        </is>
      </c>
      <c r="F13945" t="inlineStr">
        <is>
          <t>Armoire auxilaire 715*1900</t>
        </is>
      </c>
      <c r="J13945" t="inlineStr">
        <is>
          <t>REVEL</t>
        </is>
      </c>
      <c r="L13945">
        <f>_xlfn.XLOOKUP(Tableau1[[#This Row],[TYPE DE PIECE]],Tableau4[MATIERE],Tableau4[SHORT TYPE],"",0,1)</f>
        <v/>
      </c>
      <c r="N13945">
        <f>IF(ISERR(FIND("DECOUPE",Tableau1[[#This Row],[DESIGNATION]])),"","NEED REF")</f>
        <v/>
      </c>
    </row>
    <row r="13946">
      <c r="B13946" t="n">
        <v>34400059</v>
      </c>
      <c r="C13946" s="2" t="n">
        <v>37301</v>
      </c>
      <c r="D13946" t="inlineStr">
        <is>
          <t>SPEC</t>
        </is>
      </c>
      <c r="E13946" t="inlineStr">
        <is>
          <t>plaque de fond IP42 armoire aux</t>
        </is>
      </c>
      <c r="F13946" t="inlineStr">
        <is>
          <t>Armoire auxilaire 715*1900</t>
        </is>
      </c>
      <c r="J13946" t="inlineStr">
        <is>
          <t>REVEL</t>
        </is>
      </c>
      <c r="L13946">
        <f>_xlfn.XLOOKUP(Tableau1[[#This Row],[TYPE DE PIECE]],Tableau4[MATIERE],Tableau4[SHORT TYPE],"",0,1)</f>
        <v/>
      </c>
      <c r="N13946">
        <f>IF(ISERR(FIND("DECOUPE",Tableau1[[#This Row],[DESIGNATION]])),"","NEED REF")</f>
        <v/>
      </c>
    </row>
    <row r="13947">
      <c r="B13947" t="n">
        <v>34400058</v>
      </c>
      <c r="C13947" s="2" t="n">
        <v>37301</v>
      </c>
      <c r="D13947" t="inlineStr">
        <is>
          <t>NOM</t>
        </is>
      </c>
      <c r="E13947" t="inlineStr">
        <is>
          <t>IP 42 Galaxy PW 20 a 60kVA</t>
        </is>
      </c>
      <c r="F13947" t="inlineStr">
        <is>
          <t>GALAXY PW 20-60kva H=1900</t>
        </is>
      </c>
      <c r="J13947" t="inlineStr">
        <is>
          <t>REVEL</t>
        </is>
      </c>
      <c r="L13947">
        <f>_xlfn.XLOOKUP(Tableau1[[#This Row],[TYPE DE PIECE]],Tableau4[MATIERE],Tableau4[SHORT TYPE],"",0,1)</f>
        <v/>
      </c>
      <c r="N13947">
        <f>IF(ISERR(FIND("DECOUPE",Tableau1[[#This Row],[DESIGNATION]])),"","NEED REF")</f>
        <v/>
      </c>
    </row>
    <row r="13948">
      <c r="B13948" t="n">
        <v>34400057</v>
      </c>
      <c r="C13948" s="2" t="n">
        <v>37294</v>
      </c>
      <c r="D13948" t="inlineStr">
        <is>
          <t>NOM</t>
        </is>
      </c>
      <c r="E13948" t="inlineStr">
        <is>
          <t>Bridage batterie pour 32 P312/80 715*1900</t>
        </is>
      </c>
      <c r="F13948" t="inlineStr">
        <is>
          <t>GALAXY PW</t>
        </is>
      </c>
      <c r="J13948" t="inlineStr">
        <is>
          <t>REVEL</t>
        </is>
      </c>
      <c r="L13948">
        <f>_xlfn.XLOOKUP(Tableau1[[#This Row],[TYPE DE PIECE]],Tableau4[MATIERE],Tableau4[SHORT TYPE],"",0,1)</f>
        <v/>
      </c>
      <c r="N13948">
        <f>IF(ISERR(FIND("DECOUPE",Tableau1[[#This Row],[DESIGNATION]])),"","NEED REF")</f>
        <v/>
      </c>
    </row>
    <row r="13949">
      <c r="B13949" t="n">
        <v>34400056</v>
      </c>
      <c r="C13949" s="2" t="n">
        <v>37293</v>
      </c>
      <c r="D13949" t="inlineStr">
        <is>
          <t>SPEC</t>
        </is>
      </c>
      <c r="E13949" t="inlineStr">
        <is>
          <t>Etiquette cellule gauche/droite</t>
        </is>
      </c>
      <c r="F13949" t="inlineStr">
        <is>
          <t>THM G800</t>
        </is>
      </c>
      <c r="J13949" t="inlineStr">
        <is>
          <t>FOLTZ</t>
        </is>
      </c>
      <c r="L13949">
        <f>_xlfn.XLOOKUP(Tableau1[[#This Row],[TYPE DE PIECE]],Tableau4[MATIERE],Tableau4[SHORT TYPE],"",0,1)</f>
        <v/>
      </c>
      <c r="N13949">
        <f>IF(ISERR(FIND("DECOUPE",Tableau1[[#This Row],[DESIGNATION]])),"","NEED REF")</f>
        <v/>
      </c>
    </row>
    <row r="13950">
      <c r="B13950" t="n">
        <v>34400055</v>
      </c>
      <c r="C13950" s="2" t="n">
        <v>37292</v>
      </c>
      <c r="D13950" t="inlineStr">
        <is>
          <t>DOC</t>
        </is>
      </c>
      <c r="E13950" t="inlineStr">
        <is>
          <t xml:space="preserve">Note de calcul ventilateurs </t>
        </is>
      </c>
      <c r="F13950" t="inlineStr">
        <is>
          <t>Galaxy 440V Utilisation</t>
        </is>
      </c>
      <c r="J13950" t="inlineStr">
        <is>
          <t>REVEL</t>
        </is>
      </c>
      <c r="L13950">
        <f>_xlfn.XLOOKUP(Tableau1[[#This Row],[TYPE DE PIECE]],Tableau4[MATIERE],Tableau4[SHORT TYPE],"",0,1)</f>
        <v/>
      </c>
      <c r="N13950">
        <f>IF(ISERR(FIND("DECOUPE",Tableau1[[#This Row],[DESIGNATION]])),"","NEED REF")</f>
        <v/>
      </c>
    </row>
    <row r="13951">
      <c r="B13951" t="n">
        <v>34400054</v>
      </c>
      <c r="C13951" s="2" t="n">
        <v>37288</v>
      </c>
      <c r="D13951" t="inlineStr">
        <is>
          <t>SPEC</t>
        </is>
      </c>
      <c r="E13951" t="inlineStr">
        <is>
          <t>Tole fixation connecteur</t>
        </is>
      </c>
      <c r="F13951" t="inlineStr">
        <is>
          <t>Boitier Capas Extrme</t>
        </is>
      </c>
      <c r="J13951" t="inlineStr">
        <is>
          <t>REVEL</t>
        </is>
      </c>
      <c r="L13951">
        <f>_xlfn.XLOOKUP(Tableau1[[#This Row],[TYPE DE PIECE]],Tableau4[MATIERE],Tableau4[SHORT TYPE],"",0,1)</f>
        <v/>
      </c>
      <c r="N13951">
        <f>IF(ISERR(FIND("DECOUPE",Tableau1[[#This Row],[DESIGNATION]])),"","NEED REF")</f>
        <v/>
      </c>
    </row>
    <row r="13952">
      <c r="B13952" t="n">
        <v>34400053</v>
      </c>
      <c r="C13952" s="2" t="n">
        <v>37288</v>
      </c>
      <c r="D13952" t="inlineStr">
        <is>
          <t>SPEC</t>
        </is>
      </c>
      <c r="E13952" t="inlineStr">
        <is>
          <t>Epanouiseur navire C32</t>
        </is>
      </c>
      <c r="F13952" t="inlineStr">
        <is>
          <t>Galaxy 400 kVA</t>
        </is>
      </c>
      <c r="J13952" t="inlineStr">
        <is>
          <t>REVEL</t>
        </is>
      </c>
      <c r="L13952">
        <f>_xlfn.XLOOKUP(Tableau1[[#This Row],[TYPE DE PIECE]],Tableau4[MATIERE],Tableau4[SHORT TYPE],"",0,1)</f>
        <v/>
      </c>
      <c r="N13952">
        <f>IF(ISERR(FIND("DECOUPE",Tableau1[[#This Row],[DESIGNATION]])),"","NEED REF")</f>
        <v/>
      </c>
    </row>
    <row r="13953">
      <c r="B13953" t="n">
        <v>34400052</v>
      </c>
      <c r="C13953" s="2" t="n">
        <v>37288</v>
      </c>
      <c r="D13953" t="inlineStr">
        <is>
          <t>SPEC</t>
        </is>
      </c>
      <c r="E13953" t="inlineStr">
        <is>
          <t>Etiquette boitier filtre batterie</t>
        </is>
      </c>
      <c r="F13953" t="inlineStr">
        <is>
          <t>Comet extreme 12 kva</t>
        </is>
      </c>
      <c r="J13953" t="inlineStr">
        <is>
          <t>REVEL</t>
        </is>
      </c>
      <c r="L13953">
        <f>_xlfn.XLOOKUP(Tableau1[[#This Row],[TYPE DE PIECE]],Tableau4[MATIERE],Tableau4[SHORT TYPE],"",0,1)</f>
        <v/>
      </c>
      <c r="N13953">
        <f>IF(ISERR(FIND("DECOUPE",Tableau1[[#This Row],[DESIGNATION]])),"","NEED REF")</f>
        <v/>
      </c>
    </row>
    <row r="13954">
      <c r="B13954" t="n">
        <v>34400051</v>
      </c>
      <c r="C13954" s="2" t="n">
        <v>37287</v>
      </c>
      <c r="D13954" t="inlineStr">
        <is>
          <t>CDC</t>
        </is>
      </c>
      <c r="E13954" t="inlineStr">
        <is>
          <t>Armoire ATFO OUT</t>
        </is>
      </c>
      <c r="F13954" t="inlineStr">
        <is>
          <t>Galaxy 1000 PW 80Kva</t>
        </is>
      </c>
      <c r="J13954" t="inlineStr">
        <is>
          <t>REVEL</t>
        </is>
      </c>
      <c r="L13954">
        <f>_xlfn.XLOOKUP(Tableau1[[#This Row],[TYPE DE PIECE]],Tableau4[MATIERE],Tableau4[SHORT TYPE],"",0,1)</f>
        <v/>
      </c>
      <c r="N13954">
        <f>IF(ISERR(FIND("DECOUPE",Tableau1[[#This Row],[DESIGNATION]])),"","NEED REF")</f>
        <v/>
      </c>
    </row>
    <row r="13955">
      <c r="B13955" t="n">
        <v>34400050</v>
      </c>
      <c r="C13955" s="2" t="n">
        <v>37287</v>
      </c>
      <c r="D13955" t="inlineStr">
        <is>
          <t>CDC</t>
        </is>
      </c>
      <c r="E13955" t="inlineStr">
        <is>
          <t xml:space="preserve">Armoire ATFO IN </t>
        </is>
      </c>
      <c r="F13955" t="inlineStr">
        <is>
          <t>Galaxy 1000 PW 80Kva</t>
        </is>
      </c>
      <c r="J13955" t="inlineStr">
        <is>
          <t>REVEL</t>
        </is>
      </c>
      <c r="L13955">
        <f>_xlfn.XLOOKUP(Tableau1[[#This Row],[TYPE DE PIECE]],Tableau4[MATIERE],Tableau4[SHORT TYPE],"",0,1)</f>
        <v/>
      </c>
      <c r="N13955">
        <f>IF(ISERR(FIND("DECOUPE",Tableau1[[#This Row],[DESIGNATION]])),"","NEED REF")</f>
        <v/>
      </c>
    </row>
    <row r="13956">
      <c r="B13956" t="n">
        <v>34400049</v>
      </c>
      <c r="C13956" s="2" t="n">
        <v>37286</v>
      </c>
      <c r="D13956" t="inlineStr">
        <is>
          <t>NOM</t>
        </is>
      </c>
      <c r="E13956" t="inlineStr">
        <is>
          <t>Peinture a commission</t>
        </is>
      </c>
      <c r="F13956" t="inlineStr">
        <is>
          <t>Armoire batterie 715x1900</t>
        </is>
      </c>
      <c r="J13956" t="inlineStr">
        <is>
          <t>REVEL</t>
        </is>
      </c>
      <c r="L13956">
        <f>_xlfn.XLOOKUP(Tableau1[[#This Row],[TYPE DE PIECE]],Tableau4[MATIERE],Tableau4[SHORT TYPE],"",0,1)</f>
        <v/>
      </c>
      <c r="N13956">
        <f>IF(ISERR(FIND("DECOUPE",Tableau1[[#This Row],[DESIGNATION]])),"","NEED REF")</f>
        <v/>
      </c>
    </row>
    <row r="13957">
      <c r="B13957" t="n">
        <v>34400048</v>
      </c>
      <c r="C13957" s="2" t="n">
        <v>37286</v>
      </c>
      <c r="D13957" t="inlineStr">
        <is>
          <t>NOM</t>
        </is>
      </c>
      <c r="E13957" t="inlineStr">
        <is>
          <t>Peinture a commission</t>
        </is>
      </c>
      <c r="F13957" t="inlineStr">
        <is>
          <t>Armoire auxilaire 715*1900</t>
        </is>
      </c>
      <c r="J13957" t="inlineStr">
        <is>
          <t>REVEL</t>
        </is>
      </c>
      <c r="L13957">
        <f>_xlfn.XLOOKUP(Tableau1[[#This Row],[TYPE DE PIECE]],Tableau4[MATIERE],Tableau4[SHORT TYPE],"",0,1)</f>
        <v/>
      </c>
      <c r="N13957">
        <f>IF(ISERR(FIND("DECOUPE",Tableau1[[#This Row],[DESIGNATION]])),"","NEED REF")</f>
        <v/>
      </c>
    </row>
    <row r="13958">
      <c r="B13958" t="n">
        <v>34400047</v>
      </c>
      <c r="C13958" s="2" t="n">
        <v>37286</v>
      </c>
      <c r="D13958" t="inlineStr">
        <is>
          <t>NOM</t>
        </is>
      </c>
      <c r="E13958" t="inlineStr">
        <is>
          <t>Peinture a commission</t>
        </is>
      </c>
      <c r="F13958" t="inlineStr">
        <is>
          <t>Galaxy PW 80-120kva</t>
        </is>
      </c>
      <c r="J13958" t="inlineStr">
        <is>
          <t>REVEL</t>
        </is>
      </c>
      <c r="L13958">
        <f>_xlfn.XLOOKUP(Tableau1[[#This Row],[TYPE DE PIECE]],Tableau4[MATIERE],Tableau4[SHORT TYPE],"",0,1)</f>
        <v/>
      </c>
      <c r="N13958">
        <f>IF(ISERR(FIND("DECOUPE",Tableau1[[#This Row],[DESIGNATION]])),"","NEED REF")</f>
        <v/>
      </c>
    </row>
    <row r="13959">
      <c r="B13959" t="n">
        <v>34400046</v>
      </c>
      <c r="C13959" s="2" t="n">
        <v>37284</v>
      </c>
      <c r="D13959" t="inlineStr">
        <is>
          <t>DOC</t>
        </is>
      </c>
      <c r="E13959" t="inlineStr">
        <is>
          <t>Notice de transformation GAL300 P/U</t>
        </is>
      </c>
      <c r="F13959" t="inlineStr">
        <is>
          <t>GALAXY300kVA IGBT</t>
        </is>
      </c>
      <c r="J13959" t="inlineStr">
        <is>
          <t>FERRIER</t>
        </is>
      </c>
      <c r="L13959">
        <f>_xlfn.XLOOKUP(Tableau1[[#This Row],[TYPE DE PIECE]],Tableau4[MATIERE],Tableau4[SHORT TYPE],"",0,1)</f>
        <v/>
      </c>
      <c r="N13959">
        <f>IF(ISERR(FIND("DECOUPE",Tableau1[[#This Row],[DESIGNATION]])),"","NEED REF")</f>
        <v/>
      </c>
    </row>
    <row r="13960">
      <c r="B13960" t="n">
        <v>34400045</v>
      </c>
      <c r="C13960" s="2" t="n">
        <v>37284</v>
      </c>
      <c r="D13960" t="inlineStr">
        <is>
          <t>CDC</t>
        </is>
      </c>
      <c r="E13960" t="inlineStr">
        <is>
          <t>Coffret regroupement info pour SNMP</t>
        </is>
      </c>
      <c r="F13960" t="inlineStr">
        <is>
          <t>Galaxy 400kva P + NS 1200kva</t>
        </is>
      </c>
      <c r="J13960" t="inlineStr">
        <is>
          <t>REVEL</t>
        </is>
      </c>
      <c r="L13960">
        <f>_xlfn.XLOOKUP(Tableau1[[#This Row],[TYPE DE PIECE]],Tableau4[MATIERE],Tableau4[SHORT TYPE],"",0,1)</f>
        <v/>
      </c>
      <c r="N13960">
        <f>IF(ISERR(FIND("DECOUPE",Tableau1[[#This Row],[DESIGNATION]])),"","NEED REF")</f>
        <v/>
      </c>
    </row>
    <row r="13961">
      <c r="B13961" t="n">
        <v>34400044</v>
      </c>
      <c r="C13961" s="2" t="n">
        <v>37281</v>
      </c>
      <c r="D13961" t="inlineStr">
        <is>
          <t>NOM</t>
        </is>
      </c>
      <c r="E13961" t="inlineStr">
        <is>
          <t>Nomenclature kit P U avec platine BYPASS complète</t>
        </is>
      </c>
      <c r="F13961" t="inlineStr">
        <is>
          <t>Galaxy 300kva nouveaux inters</t>
        </is>
      </c>
      <c r="J13961" t="inlineStr">
        <is>
          <t>FERRIER</t>
        </is>
      </c>
      <c r="L13961">
        <f>_xlfn.XLOOKUP(Tableau1[[#This Row],[TYPE DE PIECE]],Tableau4[MATIERE],Tableau4[SHORT TYPE],"",0,1)</f>
        <v/>
      </c>
      <c r="N13961">
        <f>IF(ISERR(FIND("DECOUPE",Tableau1[[#This Row],[DESIGNATION]])),"","NEED REF")</f>
        <v/>
      </c>
    </row>
    <row r="13962">
      <c r="B13962" t="n">
        <v>34400043</v>
      </c>
      <c r="C13962" s="2" t="n">
        <v>37279</v>
      </c>
      <c r="D13962" t="inlineStr">
        <is>
          <t>CDC</t>
        </is>
      </c>
      <c r="E13962" t="inlineStr">
        <is>
          <t>Armoire de couplage</t>
        </is>
      </c>
      <c r="F13962" t="inlineStr">
        <is>
          <t>Galaxy 400 kva  2NS1200kVA</t>
        </is>
      </c>
      <c r="J13962" t="inlineStr">
        <is>
          <t>FERRIER</t>
        </is>
      </c>
      <c r="L13962">
        <f>_xlfn.XLOOKUP(Tableau1[[#This Row],[TYPE DE PIECE]],Tableau4[MATIERE],Tableau4[SHORT TYPE],"",0,1)</f>
        <v/>
      </c>
      <c r="N13962">
        <f>IF(ISERR(FIND("DECOUPE",Tableau1[[#This Row],[DESIGNATION]])),"","NEED REF")</f>
        <v/>
      </c>
    </row>
    <row r="13963">
      <c r="B13963" t="n">
        <v>34400042</v>
      </c>
      <c r="C13963" s="2" t="n">
        <v>37279</v>
      </c>
      <c r="D13963" t="inlineStr">
        <is>
          <t>SPEC</t>
        </is>
      </c>
      <c r="E13963" t="inlineStr">
        <is>
          <t>bride superieure bridage batterie</t>
        </is>
      </c>
      <c r="F13963" t="inlineStr">
        <is>
          <t>Galaxy 400 kva</t>
        </is>
      </c>
      <c r="J13963" t="inlineStr">
        <is>
          <t>REVEL</t>
        </is>
      </c>
      <c r="L13963">
        <f>_xlfn.XLOOKUP(Tableau1[[#This Row],[TYPE DE PIECE]],Tableau4[MATIERE],Tableau4[SHORT TYPE],"",0,1)</f>
        <v/>
      </c>
      <c r="N13963">
        <f>IF(ISERR(FIND("DECOUPE",Tableau1[[#This Row],[DESIGNATION]])),"","NEED REF")</f>
        <v/>
      </c>
    </row>
    <row r="13964">
      <c r="B13964" t="n">
        <v>34400041</v>
      </c>
      <c r="C13964" s="2" t="n">
        <v>37279</v>
      </c>
      <c r="D13964" t="inlineStr">
        <is>
          <t>SPEC</t>
        </is>
      </c>
      <c r="E13964" t="inlineStr">
        <is>
          <t>plaque inferieure bridage batterie</t>
        </is>
      </c>
      <c r="F13964" t="inlineStr">
        <is>
          <t>Galaxy 400 kva</t>
        </is>
      </c>
      <c r="J13964" t="inlineStr">
        <is>
          <t>REVEL</t>
        </is>
      </c>
      <c r="L13964">
        <f>_xlfn.XLOOKUP(Tableau1[[#This Row],[TYPE DE PIECE]],Tableau4[MATIERE],Tableau4[SHORT TYPE],"",0,1)</f>
        <v/>
      </c>
      <c r="N13964">
        <f>IF(ISERR(FIND("DECOUPE",Tableau1[[#This Row],[DESIGNATION]])),"","NEED REF")</f>
        <v/>
      </c>
    </row>
    <row r="13965">
      <c r="B13965" t="n">
        <v>34400040</v>
      </c>
      <c r="C13965" s="2" t="n">
        <v>37278</v>
      </c>
      <c r="D13965" t="inlineStr">
        <is>
          <t>DOC</t>
        </is>
      </c>
      <c r="E13965" t="inlineStr">
        <is>
          <t>Dossier montage armoire dj bat</t>
        </is>
      </c>
      <c r="F13965" t="inlineStr">
        <is>
          <t>Galaxy 800 kva</t>
        </is>
      </c>
      <c r="J13965" t="inlineStr">
        <is>
          <t>REVEL</t>
        </is>
      </c>
      <c r="L13965">
        <f>_xlfn.XLOOKUP(Tableau1[[#This Row],[TYPE DE PIECE]],Tableau4[MATIERE],Tableau4[SHORT TYPE],"",0,1)</f>
        <v/>
      </c>
      <c r="N13965">
        <f>IF(ISERR(FIND("DECOUPE",Tableau1[[#This Row],[DESIGNATION]])),"","NEED REF")</f>
        <v/>
      </c>
    </row>
    <row r="13966">
      <c r="B13966" t="n">
        <v>34400039</v>
      </c>
      <c r="C13966" s="2" t="n">
        <v>37278</v>
      </c>
      <c r="D13966" t="inlineStr">
        <is>
          <t>DOC</t>
        </is>
      </c>
      <c r="E13966" t="inlineStr">
        <is>
          <t xml:space="preserve">Dossier montage serrure </t>
        </is>
      </c>
      <c r="F13966" t="inlineStr">
        <is>
          <t>Galaxy PW</t>
        </is>
      </c>
      <c r="J13966" t="inlineStr">
        <is>
          <t>REVEL</t>
        </is>
      </c>
      <c r="L13966">
        <f>_xlfn.XLOOKUP(Tableau1[[#This Row],[TYPE DE PIECE]],Tableau4[MATIERE],Tableau4[SHORT TYPE],"",0,1)</f>
        <v/>
      </c>
      <c r="N13966">
        <f>IF(ISERR(FIND("DECOUPE",Tableau1[[#This Row],[DESIGNATION]])),"","NEED REF")</f>
        <v/>
      </c>
    </row>
    <row r="13967">
      <c r="B13967" t="n">
        <v>34400038</v>
      </c>
      <c r="C13967" s="2" t="n">
        <v>37273</v>
      </c>
      <c r="D13967" t="inlineStr">
        <is>
          <t>CDC</t>
        </is>
      </c>
      <c r="E13967" t="inlineStr">
        <is>
          <t>Armoire de couplage</t>
        </is>
      </c>
      <c r="F13967" t="inlineStr">
        <is>
          <t>Galaxy 300 kva</t>
        </is>
      </c>
      <c r="J13967" t="inlineStr">
        <is>
          <t>REVEL</t>
        </is>
      </c>
      <c r="L13967">
        <f>_xlfn.XLOOKUP(Tableau1[[#This Row],[TYPE DE PIECE]],Tableau4[MATIERE],Tableau4[SHORT TYPE],"",0,1)</f>
        <v/>
      </c>
      <c r="N13967">
        <f>IF(ISERR(FIND("DECOUPE",Tableau1[[#This Row],[DESIGNATION]])),"","NEED REF")</f>
        <v/>
      </c>
    </row>
    <row r="13968">
      <c r="B13968" t="n">
        <v>34400037</v>
      </c>
      <c r="C13968" s="2" t="n">
        <v>37272</v>
      </c>
      <c r="D13968" t="inlineStr">
        <is>
          <t>CDC</t>
        </is>
      </c>
      <c r="E13968" t="inlineStr">
        <is>
          <t>Armoire de couplage</t>
        </is>
      </c>
      <c r="F13968" t="inlineStr">
        <is>
          <t>Galaxy 400 kva</t>
        </is>
      </c>
      <c r="J13968" t="inlineStr">
        <is>
          <t>REVEL</t>
        </is>
      </c>
      <c r="L13968">
        <f>_xlfn.XLOOKUP(Tableau1[[#This Row],[TYPE DE PIECE]],Tableau4[MATIERE],Tableau4[SHORT TYPE],"",0,1)</f>
        <v/>
      </c>
      <c r="N13968">
        <f>IF(ISERR(FIND("DECOUPE",Tableau1[[#This Row],[DESIGNATION]])),"","NEED REF")</f>
        <v/>
      </c>
    </row>
    <row r="13969">
      <c r="B13969" t="n">
        <v>34400036</v>
      </c>
      <c r="C13969" s="2" t="n">
        <v>37271</v>
      </c>
      <c r="D13969" t="inlineStr">
        <is>
          <t>NOM</t>
        </is>
      </c>
      <c r="E13969" t="inlineStr">
        <is>
          <t>Peinture a commission</t>
        </is>
      </c>
      <c r="F13969" t="inlineStr">
        <is>
          <t>Cof DJ BAT 200/250KVA</t>
        </is>
      </c>
      <c r="J13969" t="inlineStr">
        <is>
          <t>REVEL</t>
        </is>
      </c>
      <c r="L13969">
        <f>_xlfn.XLOOKUP(Tableau1[[#This Row],[TYPE DE PIECE]],Tableau4[MATIERE],Tableau4[SHORT TYPE],"",0,1)</f>
        <v/>
      </c>
      <c r="N13969">
        <f>IF(ISERR(FIND("DECOUPE",Tableau1[[#This Row],[DESIGNATION]])),"","NEED REF")</f>
        <v/>
      </c>
    </row>
    <row r="13970">
      <c r="B13970" t="n">
        <v>34400035</v>
      </c>
      <c r="C13970" s="2" t="n">
        <v>37271</v>
      </c>
      <c r="D13970" t="inlineStr">
        <is>
          <t>NOM</t>
        </is>
      </c>
      <c r="E13970" t="inlineStr">
        <is>
          <t>Peinture a commission</t>
        </is>
      </c>
      <c r="F13970" t="inlineStr">
        <is>
          <t>Galaxy arm aux 800</t>
        </is>
      </c>
      <c r="J13970" t="inlineStr">
        <is>
          <t>REVEL</t>
        </is>
      </c>
      <c r="L13970">
        <f>_xlfn.XLOOKUP(Tableau1[[#This Row],[TYPE DE PIECE]],Tableau4[MATIERE],Tableau4[SHORT TYPE],"",0,1)</f>
        <v/>
      </c>
      <c r="N13970">
        <f>IF(ISERR(FIND("DECOUPE",Tableau1[[#This Row],[DESIGNATION]])),"","NEED REF")</f>
        <v/>
      </c>
    </row>
    <row r="13971">
      <c r="B13971" t="n">
        <v>34400034</v>
      </c>
      <c r="C13971" s="2" t="n">
        <v>37271</v>
      </c>
      <c r="D13971" t="inlineStr">
        <is>
          <t>NOM</t>
        </is>
      </c>
      <c r="E13971" t="inlineStr">
        <is>
          <t>Peinture a commission</t>
        </is>
      </c>
      <c r="F13971" t="inlineStr">
        <is>
          <t>Cof DJ BAT 400KVA</t>
        </is>
      </c>
      <c r="J13971" t="inlineStr">
        <is>
          <t>REVEL</t>
        </is>
      </c>
      <c r="L13971">
        <f>_xlfn.XLOOKUP(Tableau1[[#This Row],[TYPE DE PIECE]],Tableau4[MATIERE],Tableau4[SHORT TYPE],"",0,1)</f>
        <v/>
      </c>
      <c r="N13971">
        <f>IF(ISERR(FIND("DECOUPE",Tableau1[[#This Row],[DESIGNATION]])),"","NEED REF")</f>
        <v/>
      </c>
    </row>
    <row r="13972">
      <c r="B13972" t="n">
        <v>34400033</v>
      </c>
      <c r="C13972" s="2" t="n">
        <v>37270</v>
      </c>
      <c r="D13972" t="inlineStr">
        <is>
          <t>NOM</t>
        </is>
      </c>
      <c r="E13972" t="inlineStr">
        <is>
          <t>Peinture a commission</t>
        </is>
      </c>
      <c r="F13972" t="inlineStr">
        <is>
          <t>Galaxy arm aux 1000</t>
        </is>
      </c>
      <c r="J13972" t="inlineStr">
        <is>
          <t>REVEL</t>
        </is>
      </c>
      <c r="L13972">
        <f>_xlfn.XLOOKUP(Tableau1[[#This Row],[TYPE DE PIECE]],Tableau4[MATIERE],Tableau4[SHORT TYPE],"",0,1)</f>
        <v/>
      </c>
      <c r="N13972">
        <f>IF(ISERR(FIND("DECOUPE",Tableau1[[#This Row],[DESIGNATION]])),"","NEED REF")</f>
        <v/>
      </c>
    </row>
    <row r="13973">
      <c r="B13973" t="n">
        <v>34400032</v>
      </c>
      <c r="C13973" s="2" t="n">
        <v>37270</v>
      </c>
      <c r="D13973" t="inlineStr">
        <is>
          <t>NOM</t>
        </is>
      </c>
      <c r="E13973" t="inlineStr">
        <is>
          <t>Peinture a commission</t>
        </is>
      </c>
      <c r="F13973" t="inlineStr">
        <is>
          <t>Galaxy 160 à 400 kVA</t>
        </is>
      </c>
      <c r="J13973" t="inlineStr">
        <is>
          <t>REVEL</t>
        </is>
      </c>
      <c r="L13973">
        <f>_xlfn.XLOOKUP(Tableau1[[#This Row],[TYPE DE PIECE]],Tableau4[MATIERE],Tableau4[SHORT TYPE],"",0,1)</f>
        <v/>
      </c>
      <c r="N13973">
        <f>IF(ISERR(FIND("DECOUPE",Tableau1[[#This Row],[DESIGNATION]])),"","NEED REF")</f>
        <v/>
      </c>
    </row>
    <row r="13974">
      <c r="B13974" t="n">
        <v>34400031</v>
      </c>
      <c r="C13974" s="2" t="n">
        <v>37264</v>
      </c>
      <c r="D13974" t="inlineStr">
        <is>
          <t>CdC</t>
        </is>
      </c>
      <c r="E13974" t="inlineStr">
        <is>
          <t>Armoire raccordement pour NS 1200kVA</t>
        </is>
      </c>
      <c r="F13974" t="inlineStr">
        <is>
          <t>Galaxy NS 1200kva</t>
        </is>
      </c>
      <c r="J13974" t="inlineStr">
        <is>
          <t>REVEL</t>
        </is>
      </c>
      <c r="L13974">
        <f>_xlfn.XLOOKUP(Tableau1[[#This Row],[TYPE DE PIECE]],Tableau4[MATIERE],Tableau4[SHORT TYPE],"",0,1)</f>
        <v/>
      </c>
      <c r="N13974">
        <f>IF(ISERR(FIND("DECOUPE",Tableau1[[#This Row],[DESIGNATION]])),"","NEED REF")</f>
        <v/>
      </c>
    </row>
    <row r="13975">
      <c r="B13975" t="n">
        <v>34400030</v>
      </c>
      <c r="C13975" s="2" t="n">
        <v>37252</v>
      </c>
      <c r="D13975" t="inlineStr">
        <is>
          <t>NOM</t>
        </is>
      </c>
      <c r="E13975" t="inlineStr">
        <is>
          <t>Nomenclature option Multislot</t>
        </is>
      </c>
      <c r="F13975" t="inlineStr">
        <is>
          <t>Pulsar Extreme</t>
        </is>
      </c>
      <c r="J13975" t="inlineStr">
        <is>
          <t>REVEL</t>
        </is>
      </c>
      <c r="L13975">
        <f>_xlfn.XLOOKUP(Tableau1[[#This Row],[TYPE DE PIECE]],Tableau4[MATIERE],Tableau4[SHORT TYPE],"",0,1)</f>
        <v/>
      </c>
      <c r="N13975">
        <f>IF(ISERR(FIND("DECOUPE",Tableau1[[#This Row],[DESIGNATION]])),"","NEED REF")</f>
        <v/>
      </c>
    </row>
    <row r="13976">
      <c r="B13976" t="n">
        <v>34400029</v>
      </c>
      <c r="C13976" s="2" t="n">
        <v>37251</v>
      </c>
      <c r="D13976" t="inlineStr">
        <is>
          <t xml:space="preserve">NOM </t>
        </is>
      </c>
      <c r="E13976" t="inlineStr">
        <is>
          <t>Nomenclature bridage batterie</t>
        </is>
      </c>
      <c r="F13976" t="inlineStr">
        <is>
          <t>Galaxy PW</t>
        </is>
      </c>
      <c r="J13976" t="inlineStr">
        <is>
          <t>REVEL</t>
        </is>
      </c>
      <c r="L13976">
        <f>_xlfn.XLOOKUP(Tableau1[[#This Row],[TYPE DE PIECE]],Tableau4[MATIERE],Tableau4[SHORT TYPE],"",0,1)</f>
        <v/>
      </c>
      <c r="N13976">
        <f>IF(ISERR(FIND("DECOUPE",Tableau1[[#This Row],[DESIGNATION]])),"","NEED REF")</f>
        <v/>
      </c>
    </row>
    <row r="13977">
      <c r="B13977" t="n">
        <v>34400028</v>
      </c>
      <c r="C13977" s="2" t="n">
        <v>37251</v>
      </c>
      <c r="D13977" t="inlineStr">
        <is>
          <t>CdC</t>
        </is>
      </c>
      <c r="E13977" t="inlineStr">
        <is>
          <t>SKID NAVIRE K32</t>
        </is>
      </c>
      <c r="F13977" t="inlineStr">
        <is>
          <t>GAL 200kVA + AFTO C</t>
        </is>
      </c>
      <c r="J13977" t="inlineStr">
        <is>
          <t>ÇAKIR</t>
        </is>
      </c>
      <c r="L13977">
        <f>_xlfn.XLOOKUP(Tableau1[[#This Row],[TYPE DE PIECE]],Tableau4[MATIERE],Tableau4[SHORT TYPE],"",0,1)</f>
        <v/>
      </c>
      <c r="N13977">
        <f>IF(ISERR(FIND("DECOUPE",Tableau1[[#This Row],[DESIGNATION]])),"","NEED REF")</f>
        <v/>
      </c>
    </row>
    <row r="13978">
      <c r="B13978" t="n">
        <v>34400027</v>
      </c>
      <c r="C13978" s="2" t="n">
        <v>37251</v>
      </c>
      <c r="D13978" t="inlineStr">
        <is>
          <t>SPEC</t>
        </is>
      </c>
      <c r="E13978" t="inlineStr">
        <is>
          <t>Bride superieure</t>
        </is>
      </c>
      <c r="F13978" t="inlineStr">
        <is>
          <t>Galaxy 1000 PW</t>
        </is>
      </c>
      <c r="J13978" t="inlineStr">
        <is>
          <t>REVEL</t>
        </is>
      </c>
      <c r="L13978">
        <f>_xlfn.XLOOKUP(Tableau1[[#This Row],[TYPE DE PIECE]],Tableau4[MATIERE],Tableau4[SHORT TYPE],"",0,1)</f>
        <v/>
      </c>
      <c r="N13978">
        <f>IF(ISERR(FIND("DECOUPE",Tableau1[[#This Row],[DESIGNATION]])),"","NEED REF")</f>
        <v/>
      </c>
    </row>
    <row r="13979">
      <c r="B13979" t="n">
        <v>34400026</v>
      </c>
      <c r="C13979" s="2" t="n">
        <v>37251</v>
      </c>
      <c r="D13979" t="inlineStr">
        <is>
          <t>SPEC</t>
        </is>
      </c>
      <c r="E13979" t="inlineStr">
        <is>
          <t>Bride AV/AR</t>
        </is>
      </c>
      <c r="F13979" t="inlineStr">
        <is>
          <t>Galaxy 1000 PW</t>
        </is>
      </c>
      <c r="J13979" t="inlineStr">
        <is>
          <t>REVEL</t>
        </is>
      </c>
      <c r="L13979">
        <f>_xlfn.XLOOKUP(Tableau1[[#This Row],[TYPE DE PIECE]],Tableau4[MATIERE],Tableau4[SHORT TYPE],"",0,1)</f>
        <v/>
      </c>
      <c r="N13979">
        <f>IF(ISERR(FIND("DECOUPE",Tableau1[[#This Row],[DESIGNATION]])),"","NEED REF")</f>
        <v/>
      </c>
    </row>
    <row r="13980">
      <c r="B13980" t="n">
        <v>34400025</v>
      </c>
      <c r="C13980" s="2" t="n">
        <v>37251</v>
      </c>
      <c r="D13980" t="inlineStr">
        <is>
          <t>SPEC</t>
        </is>
      </c>
      <c r="E13980" t="inlineStr">
        <is>
          <t xml:space="preserve">Bride laterale </t>
        </is>
      </c>
      <c r="F13980" t="inlineStr">
        <is>
          <t>Galaxy 1000 PW</t>
        </is>
      </c>
      <c r="J13980" t="inlineStr">
        <is>
          <t>REVEL</t>
        </is>
      </c>
      <c r="L13980">
        <f>_xlfn.XLOOKUP(Tableau1[[#This Row],[TYPE DE PIECE]],Tableau4[MATIERE],Tableau4[SHORT TYPE],"",0,1)</f>
        <v/>
      </c>
      <c r="N13980">
        <f>IF(ISERR(FIND("DECOUPE",Tableau1[[#This Row],[DESIGNATION]])),"","NEED REF")</f>
        <v/>
      </c>
    </row>
    <row r="13981">
      <c r="B13981" t="n">
        <v>34400024</v>
      </c>
      <c r="C13981" s="2" t="n">
        <v>37215</v>
      </c>
      <c r="D13981" t="inlineStr">
        <is>
          <t>NOM</t>
        </is>
      </c>
      <c r="E13981" t="inlineStr">
        <is>
          <t>Nomenclature dossier de monatge kit P U</t>
        </is>
      </c>
      <c r="F13981" t="inlineStr">
        <is>
          <t>Galaxy 300kva</t>
        </is>
      </c>
      <c r="J13981" t="inlineStr">
        <is>
          <t>FERRIER</t>
        </is>
      </c>
      <c r="L13981">
        <f>_xlfn.XLOOKUP(Tableau1[[#This Row],[TYPE DE PIECE]],Tableau4[MATIERE],Tableau4[SHORT TYPE],"",0,1)</f>
        <v/>
      </c>
      <c r="N13981">
        <f>IF(ISERR(FIND("DECOUPE",Tableau1[[#This Row],[DESIGNATION]])),"","NEED REF")</f>
        <v/>
      </c>
    </row>
    <row r="13982">
      <c r="B13982" t="n">
        <v>34400023</v>
      </c>
      <c r="C13982" s="2" t="n"/>
      <c r="D13982" t="inlineStr">
        <is>
          <t>SPEC</t>
        </is>
      </c>
      <c r="E13982" t="inlineStr">
        <is>
          <t>Limande pour mode ECO</t>
        </is>
      </c>
      <c r="F13982" t="inlineStr">
        <is>
          <t>ASI Galaxy</t>
        </is>
      </c>
      <c r="J13982" t="inlineStr">
        <is>
          <t>FOLTZ</t>
        </is>
      </c>
      <c r="L13982">
        <f>_xlfn.XLOOKUP(Tableau1[[#This Row],[TYPE DE PIECE]],Tableau4[MATIERE],Tableau4[SHORT TYPE],"",0,1)</f>
        <v/>
      </c>
      <c r="N13982">
        <f>IF(ISERR(FIND("DECOUPE",Tableau1[[#This Row],[DESIGNATION]])),"","NEED REF")</f>
        <v/>
      </c>
    </row>
    <row r="13983">
      <c r="B13983" t="n">
        <v>34400022</v>
      </c>
      <c r="C13983" s="2" t="n"/>
      <c r="D13983" t="inlineStr">
        <is>
          <t>NOM</t>
        </is>
      </c>
      <c r="E13983" t="inlineStr">
        <is>
          <t>Legende MEPC à 2 diodes</t>
        </is>
      </c>
      <c r="F13983" t="inlineStr">
        <is>
          <t>Galaxy</t>
        </is>
      </c>
      <c r="J13983" t="inlineStr">
        <is>
          <t>FOLTZ</t>
        </is>
      </c>
      <c r="L13983">
        <f>_xlfn.XLOOKUP(Tableau1[[#This Row],[TYPE DE PIECE]],Tableau4[MATIERE],Tableau4[SHORT TYPE],"",0,1)</f>
        <v/>
      </c>
      <c r="N13983">
        <f>IF(ISERR(FIND("DECOUPE",Tableau1[[#This Row],[DESIGNATION]])),"","NEED REF")</f>
        <v/>
      </c>
    </row>
    <row r="13984">
      <c r="B13984" t="n">
        <v>34400021</v>
      </c>
      <c r="C13984" s="2" t="n"/>
      <c r="D13984" t="inlineStr">
        <is>
          <t>NOM</t>
        </is>
      </c>
      <c r="E13984" t="inlineStr">
        <is>
          <t>Modification onduleur pour mode ECO</t>
        </is>
      </c>
      <c r="F13984" t="inlineStr">
        <is>
          <t>Galaxy mode ECO</t>
        </is>
      </c>
      <c r="J13984" t="inlineStr">
        <is>
          <t>FOLTZ</t>
        </is>
      </c>
      <c r="L13984">
        <f>_xlfn.XLOOKUP(Tableau1[[#This Row],[TYPE DE PIECE]],Tableau4[MATIERE],Tableau4[SHORT TYPE],"",0,1)</f>
        <v/>
      </c>
      <c r="N13984">
        <f>IF(ISERR(FIND("DECOUPE",Tableau1[[#This Row],[DESIGNATION]])),"","NEED REF")</f>
        <v/>
      </c>
    </row>
    <row r="13985">
      <c r="B13985" t="n">
        <v>34400020</v>
      </c>
      <c r="C13985" s="2" t="n"/>
      <c r="D13985" t="inlineStr">
        <is>
          <t>NOM</t>
        </is>
      </c>
      <c r="E13985" t="inlineStr">
        <is>
          <t>Modification carte AROZ</t>
        </is>
      </c>
      <c r="F13985" t="inlineStr">
        <is>
          <t>Galaxy mode ECO</t>
        </is>
      </c>
      <c r="J13985" t="inlineStr">
        <is>
          <t>FOLTZ</t>
        </is>
      </c>
      <c r="L13985">
        <f>_xlfn.XLOOKUP(Tableau1[[#This Row],[TYPE DE PIECE]],Tableau4[MATIERE],Tableau4[SHORT TYPE],"",0,1)</f>
        <v/>
      </c>
      <c r="N13985">
        <f>IF(ISERR(FIND("DECOUPE",Tableau1[[#This Row],[DESIGNATION]])),"","NEED REF")</f>
        <v/>
      </c>
    </row>
    <row r="13986">
      <c r="B13986" t="n">
        <v>34400019</v>
      </c>
      <c r="C13986" s="2" t="n"/>
      <c r="D13986" t="inlineStr">
        <is>
          <t>SPEC</t>
        </is>
      </c>
      <c r="E13986" t="inlineStr">
        <is>
          <t>Etiquette SETCOM</t>
        </is>
      </c>
      <c r="J13986" t="inlineStr">
        <is>
          <t>FERRIER</t>
        </is>
      </c>
      <c r="L13986">
        <f>_xlfn.XLOOKUP(Tableau1[[#This Row],[TYPE DE PIECE]],Tableau4[MATIERE],Tableau4[SHORT TYPE],"",0,1)</f>
        <v/>
      </c>
      <c r="N13986">
        <f>IF(ISERR(FIND("DECOUPE",Tableau1[[#This Row],[DESIGNATION]])),"","NEED REF")</f>
        <v/>
      </c>
    </row>
    <row r="13987">
      <c r="B13987" t="n">
        <v>34400018</v>
      </c>
      <c r="C13987" s="2" t="n"/>
      <c r="D13987" t="inlineStr">
        <is>
          <t>NOM</t>
        </is>
      </c>
      <c r="E13987" t="inlineStr">
        <is>
          <t>Gestion par automate mode éco</t>
        </is>
      </c>
      <c r="F13987" t="inlineStr">
        <is>
          <t>Galaxy</t>
        </is>
      </c>
      <c r="J13987" t="inlineStr">
        <is>
          <t>FOLTZ</t>
        </is>
      </c>
      <c r="L13987">
        <f>_xlfn.XLOOKUP(Tableau1[[#This Row],[TYPE DE PIECE]],Tableau4[MATIERE],Tableau4[SHORT TYPE],"",0,1)</f>
        <v/>
      </c>
      <c r="N13987">
        <f>IF(ISERR(FIND("DECOUPE",Tableau1[[#This Row],[DESIGNATION]])),"","NEED REF")</f>
        <v/>
      </c>
    </row>
    <row r="13988">
      <c r="B13988" t="n">
        <v>34400017</v>
      </c>
      <c r="C13988" s="2" t="n"/>
      <c r="D13988" t="inlineStr">
        <is>
          <t>SPEC</t>
        </is>
      </c>
      <c r="E13988" t="inlineStr">
        <is>
          <t>Specification de test Pulsaaar Extreme C</t>
        </is>
      </c>
      <c r="F13988" t="inlineStr">
        <is>
          <t>Pulsar Extreme C</t>
        </is>
      </c>
      <c r="J13988" t="inlineStr">
        <is>
          <t>REVEL</t>
        </is>
      </c>
      <c r="L13988">
        <f>_xlfn.XLOOKUP(Tableau1[[#This Row],[TYPE DE PIECE]],Tableau4[MATIERE],Tableau4[SHORT TYPE],"",0,1)</f>
        <v/>
      </c>
      <c r="N13988">
        <f>IF(ISERR(FIND("DECOUPE",Tableau1[[#This Row],[DESIGNATION]])),"","NEED REF")</f>
        <v/>
      </c>
    </row>
    <row r="13989">
      <c r="B13989" t="n">
        <v>34400016</v>
      </c>
      <c r="C13989" s="2" t="n"/>
      <c r="D13989" t="inlineStr">
        <is>
          <t>PV</t>
        </is>
      </c>
      <c r="E13989" t="inlineStr">
        <is>
          <t>PV de recette</t>
        </is>
      </c>
      <c r="F13989" t="inlineStr">
        <is>
          <t>Pulsar Extreme C</t>
        </is>
      </c>
      <c r="J13989" t="inlineStr">
        <is>
          <t>REVEL</t>
        </is>
      </c>
      <c r="L13989">
        <f>_xlfn.XLOOKUP(Tableau1[[#This Row],[TYPE DE PIECE]],Tableau4[MATIERE],Tableau4[SHORT TYPE],"",0,1)</f>
        <v/>
      </c>
      <c r="N13989">
        <f>IF(ISERR(FIND("DECOUPE",Tableau1[[#This Row],[DESIGNATION]])),"","NEED REF")</f>
        <v/>
      </c>
    </row>
    <row r="13990">
      <c r="B13990" t="n">
        <v>34400015</v>
      </c>
      <c r="C13990" s="2" t="n"/>
      <c r="D13990" t="inlineStr">
        <is>
          <t>PV</t>
        </is>
      </c>
      <c r="E13990" t="inlineStr">
        <is>
          <t>Feuille de contrôle pour COMET C32/D32</t>
        </is>
      </c>
      <c r="F13990" t="inlineStr">
        <is>
          <t>Comet S31 5 et 10 kva</t>
        </is>
      </c>
      <c r="J13990" t="inlineStr">
        <is>
          <t>REVEL</t>
        </is>
      </c>
      <c r="L13990">
        <f>_xlfn.XLOOKUP(Tableau1[[#This Row],[TYPE DE PIECE]],Tableau4[MATIERE],Tableau4[SHORT TYPE],"",0,1)</f>
        <v/>
      </c>
      <c r="N13990">
        <f>IF(ISERR(FIND("DECOUPE",Tableau1[[#This Row],[DESIGNATION]])),"","NEED REF")</f>
        <v/>
      </c>
    </row>
    <row r="13991">
      <c r="B13991" t="n">
        <v>34400014</v>
      </c>
      <c r="C13991" s="2" t="n"/>
      <c r="E13991" t="inlineStr">
        <is>
          <t>Carte pour filtre basse fréquence</t>
        </is>
      </c>
      <c r="F13991" t="inlineStr">
        <is>
          <t>Pulsar extrême C 1500 VA</t>
        </is>
      </c>
      <c r="J13991" t="inlineStr">
        <is>
          <t>FOLTZ</t>
        </is>
      </c>
      <c r="L13991">
        <f>_xlfn.XLOOKUP(Tableau1[[#This Row],[TYPE DE PIECE]],Tableau4[MATIERE],Tableau4[SHORT TYPE],"",0,1)</f>
        <v/>
      </c>
      <c r="N13991">
        <f>IF(ISERR(FIND("DECOUPE",Tableau1[[#This Row],[DESIGNATION]])),"","NEED REF")</f>
        <v/>
      </c>
    </row>
    <row r="13992">
      <c r="B13992" t="n">
        <v>34400013</v>
      </c>
      <c r="C13992" s="2" t="n"/>
      <c r="D13992" t="inlineStr">
        <is>
          <t>NOM</t>
        </is>
      </c>
      <c r="E13992" t="inlineStr">
        <is>
          <t>Nom MEPC 2 diodes pour PW</t>
        </is>
      </c>
      <c r="F13992" t="inlineStr">
        <is>
          <t>Galaxy PW</t>
        </is>
      </c>
      <c r="J13992" t="inlineStr">
        <is>
          <t>FOLTZ</t>
        </is>
      </c>
      <c r="L13992">
        <f>_xlfn.XLOOKUP(Tableau1[[#This Row],[TYPE DE PIECE]],Tableau4[MATIERE],Tableau4[SHORT TYPE],"",0,1)</f>
        <v/>
      </c>
      <c r="N13992">
        <f>IF(ISERR(FIND("DECOUPE",Tableau1[[#This Row],[DESIGNATION]])),"","NEED REF")</f>
        <v/>
      </c>
    </row>
    <row r="13993">
      <c r="B13993" t="n">
        <v>34400012</v>
      </c>
      <c r="C13993" s="2" t="n"/>
      <c r="D13993" t="inlineStr">
        <is>
          <t>SPEC</t>
        </is>
      </c>
      <c r="E13993" t="inlineStr">
        <is>
          <t>Plaque de fond IP32 armoire batterie</t>
        </is>
      </c>
      <c r="F13993" t="inlineStr">
        <is>
          <t>Armoire batterie 1015*1900 PW</t>
        </is>
      </c>
      <c r="J13993" t="inlineStr">
        <is>
          <t>REVEL</t>
        </is>
      </c>
      <c r="L13993">
        <f>_xlfn.XLOOKUP(Tableau1[[#This Row],[TYPE DE PIECE]],Tableau4[MATIERE],Tableau4[SHORT TYPE],"",0,1)</f>
        <v/>
      </c>
      <c r="N13993">
        <f>IF(ISERR(FIND("DECOUPE",Tableau1[[#This Row],[DESIGNATION]])),"","NEED REF")</f>
        <v/>
      </c>
    </row>
    <row r="13994">
      <c r="B13994" t="n">
        <v>34400011</v>
      </c>
      <c r="C13994" s="2" t="n"/>
      <c r="D13994" t="inlineStr">
        <is>
          <t>SPEC</t>
        </is>
      </c>
      <c r="E13994" t="inlineStr">
        <is>
          <t>Plaque de fond IP32 armoire batterie</t>
        </is>
      </c>
      <c r="F13994" t="inlineStr">
        <is>
          <t>Armoire batterie 715*1900 PW</t>
        </is>
      </c>
      <c r="J13994" t="inlineStr">
        <is>
          <t>REVEL</t>
        </is>
      </c>
      <c r="L13994">
        <f>_xlfn.XLOOKUP(Tableau1[[#This Row],[TYPE DE PIECE]],Tableau4[MATIERE],Tableau4[SHORT TYPE],"",0,1)</f>
        <v/>
      </c>
      <c r="N13994">
        <f>IF(ISERR(FIND("DECOUPE",Tableau1[[#This Row],[DESIGNATION]])),"","NEED REF")</f>
        <v/>
      </c>
    </row>
    <row r="13995">
      <c r="B13995" t="n">
        <v>34400010</v>
      </c>
      <c r="C13995" s="2" t="n"/>
      <c r="D13995" t="inlineStr">
        <is>
          <t>NOM</t>
        </is>
      </c>
      <c r="E13995" t="inlineStr">
        <is>
          <t>Nomenclature IP32 armoire batterie</t>
        </is>
      </c>
      <c r="F13995" t="inlineStr">
        <is>
          <t>Armoire batterie 1015*1900 PW</t>
        </is>
      </c>
      <c r="J13995" t="inlineStr">
        <is>
          <t>REVEL</t>
        </is>
      </c>
      <c r="L13995">
        <f>_xlfn.XLOOKUP(Tableau1[[#This Row],[TYPE DE PIECE]],Tableau4[MATIERE],Tableau4[SHORT TYPE],"",0,1)</f>
        <v/>
      </c>
      <c r="N13995">
        <f>IF(ISERR(FIND("DECOUPE",Tableau1[[#This Row],[DESIGNATION]])),"","NEED REF")</f>
        <v/>
      </c>
    </row>
    <row r="13996">
      <c r="B13996" t="n">
        <v>34400009</v>
      </c>
      <c r="C13996" s="2" t="n"/>
      <c r="D13996" t="inlineStr">
        <is>
          <t>NOM</t>
        </is>
      </c>
      <c r="E13996" t="inlineStr">
        <is>
          <t>Nomenclature IP32 armoire batterie</t>
        </is>
      </c>
      <c r="F13996" t="inlineStr">
        <is>
          <t>Armoire batterie 715*1900 PW</t>
        </is>
      </c>
      <c r="J13996" t="inlineStr">
        <is>
          <t>REVEL</t>
        </is>
      </c>
      <c r="L13996">
        <f>_xlfn.XLOOKUP(Tableau1[[#This Row],[TYPE DE PIECE]],Tableau4[MATIERE],Tableau4[SHORT TYPE],"",0,1)</f>
        <v/>
      </c>
      <c r="N13996">
        <f>IF(ISERR(FIND("DECOUPE",Tableau1[[#This Row],[DESIGNATION]])),"","NEED REF")</f>
        <v/>
      </c>
    </row>
    <row r="13997">
      <c r="B13997" t="n">
        <v>34400008</v>
      </c>
      <c r="C13997" s="2" t="n"/>
      <c r="D13997" t="inlineStr">
        <is>
          <t>SPEC</t>
        </is>
      </c>
      <c r="E13997" t="inlineStr">
        <is>
          <t>Etiquette pour filtre basse fréquence</t>
        </is>
      </c>
      <c r="F13997" t="inlineStr">
        <is>
          <t>Pulsar extrême C 1500 VA</t>
        </is>
      </c>
      <c r="J13997" t="inlineStr">
        <is>
          <t>FOLTZ</t>
        </is>
      </c>
      <c r="L13997">
        <f>_xlfn.XLOOKUP(Tableau1[[#This Row],[TYPE DE PIECE]],Tableau4[MATIERE],Tableau4[SHORT TYPE],"",0,1)</f>
        <v/>
      </c>
      <c r="N13997">
        <f>IF(ISERR(FIND("DECOUPE",Tableau1[[#This Row],[DESIGNATION]])),"","NEED REF")</f>
        <v/>
      </c>
    </row>
    <row r="13998">
      <c r="B13998" t="n">
        <v>34400007</v>
      </c>
      <c r="C13998" s="2" t="n"/>
      <c r="D13998" t="inlineStr">
        <is>
          <t>CdC</t>
        </is>
      </c>
      <c r="E13998" t="inlineStr">
        <is>
          <t>Cahier des charges Comet D32</t>
        </is>
      </c>
      <c r="F13998" t="inlineStr">
        <is>
          <t>Comet S31 5 et 10 kva</t>
        </is>
      </c>
      <c r="J13998" t="inlineStr">
        <is>
          <t>REVEL</t>
        </is>
      </c>
      <c r="L13998">
        <f>_xlfn.XLOOKUP(Tableau1[[#This Row],[TYPE DE PIECE]],Tableau4[MATIERE],Tableau4[SHORT TYPE],"",0,1)</f>
        <v/>
      </c>
      <c r="N13998">
        <f>IF(ISERR(FIND("DECOUPE",Tableau1[[#This Row],[DESIGNATION]])),"","NEED REF")</f>
        <v/>
      </c>
    </row>
    <row r="13999">
      <c r="B13999" t="n">
        <v>34400006</v>
      </c>
      <c r="C13999" s="2" t="n"/>
      <c r="D13999" t="inlineStr">
        <is>
          <t>CdC</t>
        </is>
      </c>
      <c r="E13999" t="inlineStr">
        <is>
          <t>Cahier des charges Comet C32</t>
        </is>
      </c>
      <c r="F13999" t="inlineStr">
        <is>
          <t>Comet S31 5 et 10 kva</t>
        </is>
      </c>
      <c r="J13999" t="inlineStr">
        <is>
          <t>REVEL</t>
        </is>
      </c>
      <c r="L13999">
        <f>_xlfn.XLOOKUP(Tableau1[[#This Row],[TYPE DE PIECE]],Tableau4[MATIERE],Tableau4[SHORT TYPE],"",0,1)</f>
        <v/>
      </c>
      <c r="N13999">
        <f>IF(ISERR(FIND("DECOUPE",Tableau1[[#This Row],[DESIGNATION]])),"","NEED REF")</f>
        <v/>
      </c>
    </row>
    <row r="14000">
      <c r="B14000" t="n">
        <v>34400005</v>
      </c>
      <c r="C14000" s="2" t="n"/>
      <c r="D14000" t="inlineStr">
        <is>
          <t>SPEC</t>
        </is>
      </c>
      <c r="E14000" t="inlineStr">
        <is>
          <t>Etiquette avertissement</t>
        </is>
      </c>
      <c r="F14000" t="inlineStr">
        <is>
          <t>Pulsar/Comet Extreme CLA</t>
        </is>
      </c>
      <c r="J14000" t="inlineStr">
        <is>
          <t>REVEL</t>
        </is>
      </c>
      <c r="L14000">
        <f>_xlfn.XLOOKUP(Tableau1[[#This Row],[TYPE DE PIECE]],Tableau4[MATIERE],Tableau4[SHORT TYPE],"",0,1)</f>
        <v/>
      </c>
      <c r="N14000">
        <f>IF(ISERR(FIND("DECOUPE",Tableau1[[#This Row],[DESIGNATION]])),"","NEED REF")</f>
        <v/>
      </c>
    </row>
    <row r="14001">
      <c r="B14001" t="n">
        <v>34400004</v>
      </c>
      <c r="C14001" s="2" t="n"/>
      <c r="D14001" t="inlineStr">
        <is>
          <t>NOM</t>
        </is>
      </c>
      <c r="E14001" t="inlineStr">
        <is>
          <t>Nomenclature THMG600S super compensé</t>
        </is>
      </c>
      <c r="F14001" t="inlineStr">
        <is>
          <t>Galaxy 600 kva</t>
        </is>
      </c>
      <c r="J14001" t="inlineStr">
        <is>
          <t>FOLTZ</t>
        </is>
      </c>
      <c r="L14001">
        <f>_xlfn.XLOOKUP(Tableau1[[#This Row],[TYPE DE PIECE]],Tableau4[MATIERE],Tableau4[SHORT TYPE],"",0,1)</f>
        <v/>
      </c>
      <c r="N14001">
        <f>IF(ISERR(FIND("DECOUPE",Tableau1[[#This Row],[DESIGNATION]])),"","NEED REF")</f>
        <v/>
      </c>
    </row>
    <row r="14002">
      <c r="B14002" t="n">
        <v>34400003</v>
      </c>
      <c r="C14002" s="2" t="n"/>
      <c r="D14002" t="inlineStr">
        <is>
          <t>NOM</t>
        </is>
      </c>
      <c r="E14002" t="inlineStr">
        <is>
          <t>Nomenclature THMG400S super compensé</t>
        </is>
      </c>
      <c r="F14002" t="inlineStr">
        <is>
          <t>Galaxy 400 kva</t>
        </is>
      </c>
      <c r="J14002" t="inlineStr">
        <is>
          <t>FOLTZ</t>
        </is>
      </c>
      <c r="L14002">
        <f>_xlfn.XLOOKUP(Tableau1[[#This Row],[TYPE DE PIECE]],Tableau4[MATIERE],Tableau4[SHORT TYPE],"",0,1)</f>
        <v/>
      </c>
      <c r="N14002">
        <f>IF(ISERR(FIND("DECOUPE",Tableau1[[#This Row],[DESIGNATION]])),"","NEED REF")</f>
        <v/>
      </c>
    </row>
    <row r="14003">
      <c r="B14003" t="n">
        <v>34400002</v>
      </c>
      <c r="C14003" s="2" t="n"/>
      <c r="D14003" t="inlineStr">
        <is>
          <t>NOM</t>
        </is>
      </c>
      <c r="E14003" t="inlineStr">
        <is>
          <t>Nomenclature THMG300S super compensé</t>
        </is>
      </c>
      <c r="F14003" t="inlineStr">
        <is>
          <t>Galaxy 300 kva</t>
        </is>
      </c>
      <c r="J14003" t="inlineStr">
        <is>
          <t>FOLTZ</t>
        </is>
      </c>
      <c r="L14003">
        <f>_xlfn.XLOOKUP(Tableau1[[#This Row],[TYPE DE PIECE]],Tableau4[MATIERE],Tableau4[SHORT TYPE],"",0,1)</f>
        <v/>
      </c>
      <c r="N14003">
        <f>IF(ISERR(FIND("DECOUPE",Tableau1[[#This Row],[DESIGNATION]])),"","NEED REF")</f>
        <v/>
      </c>
    </row>
    <row r="14004">
      <c r="B14004" t="n">
        <v>34400001</v>
      </c>
      <c r="C14004" s="2" t="n"/>
      <c r="D14004" t="inlineStr">
        <is>
          <t>NOM</t>
        </is>
      </c>
      <c r="E14004" t="inlineStr">
        <is>
          <t>Nomenclature THMG200S super compensé</t>
        </is>
      </c>
      <c r="F14004" t="inlineStr">
        <is>
          <t>Galaxy 200 kva</t>
        </is>
      </c>
      <c r="J14004" t="inlineStr">
        <is>
          <t>FOLTZ</t>
        </is>
      </c>
      <c r="L14004">
        <f>_xlfn.XLOOKUP(Tableau1[[#This Row],[TYPE DE PIECE]],Tableau4[MATIERE],Tableau4[SHORT TYPE],"",0,1)</f>
        <v/>
      </c>
      <c r="N14004">
        <f>IF(ISERR(FIND("DECOUPE",Tableau1[[#This Row],[DESIGNATION]])),"","NEED REF")</f>
        <v/>
      </c>
    </row>
    <row r="14005">
      <c r="B14005" t="n">
        <v>34400000</v>
      </c>
      <c r="C14005" s="2" t="n"/>
      <c r="D14005" t="inlineStr">
        <is>
          <t>SPEC</t>
        </is>
      </c>
      <c r="E14005" t="inlineStr">
        <is>
          <t xml:space="preserve">Etiquette de manœuvre </t>
        </is>
      </c>
      <c r="F14005" t="inlineStr">
        <is>
          <t>Pulsar EX30 US  TMS</t>
        </is>
      </c>
      <c r="J14005" t="inlineStr">
        <is>
          <t>REVEL</t>
        </is>
      </c>
      <c r="L14005">
        <f>_xlfn.XLOOKUP(Tableau1[[#This Row],[TYPE DE PIECE]],Tableau4[MATIERE],Tableau4[SHORT TYPE],"",0,1)</f>
        <v/>
      </c>
      <c r="N14005">
        <f>IF(ISERR(FIND("DECOUPE",Tableau1[[#This Row],[DESIGNATION]])),"","NEED REF")</f>
        <v/>
      </c>
    </row>
    <row r="14006">
      <c r="C14006" s="2" t="n"/>
      <c r="N14006">
        <f>IF(ISERR(FIND("DECOUPE",Tableau1[[#This Row],[DESIGNATION]])),"","NEED REF")</f>
        <v/>
      </c>
    </row>
  </sheetData>
  <dataValidations disablePrompts="1" count="4">
    <dataValidation sqref="G2410:G2411 G4239 G4297 G4378 G4397 G4407 G4472:G4480 G4495 G4503:G4511 G4516 G4524:G4527 G4537:G4540 G4570 G4599:G4612 G4617 G4669 G4706:G4721 G4801:G14006" showDropDown="0" showInputMessage="1" showErrorMessage="1" allowBlank="1" type="list">
      <formula1>"GVE,GVX,GVS,E3L,E3S,G7K,G5K,EAC"</formula1>
    </dataValidation>
    <dataValidation sqref="G4787:G4793 G4797:G4800" showDropDown="0" showInputMessage="1" showErrorMessage="1" allowBlank="1" type="list">
      <formula1>"GVX,GVL,GVS,E3L,E3S,G7K,G5K,EAC"</formula1>
    </dataValidation>
    <dataValidation sqref="H1071:H1072 H1445 H1457:H1459 H2334:H2335 H2410:H2412 H2417:H2419 H2422:H2424 H2431:H2434 H2436:H2438 H2440 H2443 H2445:H3285 H3289:H3341 H3348:H3451 H3453:H3461 H3465:H3645 H3647:H4077 H4079:H4092 H4094:H4098 H4101:H4103 H4107:H4130 H4132:H4141 H4143:H4149 H4151:H4173 H4176:H4182 H4185:H4186 H4188:H4189 H4191:H4192 H4196 H4203:H4208 H4211 H4215:H5144 H5148:H14006" showDropDown="0" showInputMessage="1" showErrorMessage="1" allowBlank="1" type="list">
      <formula1>"UPS,IO,BYPASS,AUX,PMM,BATTERY,STS,REGEN,BACKFEED,AUTRE"</formula1>
    </dataValidation>
    <dataValidation sqref="D1045:D1056 D1058:D14006" showDropDown="0" showInputMessage="1" showErrorMessage="1" allowBlank="1" type="list">
      <formula1>"SPEC,NOM,CDC,-"</formula1>
    </dataValidation>
  </dataValidations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D628"/>
  <sheetViews>
    <sheetView workbookViewId="0">
      <selection activeCell="A1" sqref="A1"/>
    </sheetView>
  </sheetViews>
  <sheetFormatPr baseColWidth="8" defaultColWidth="11.42578125" defaultRowHeight="15"/>
  <cols>
    <col width="33.5703125" bestFit="1" customWidth="1" style="142" min="1" max="1"/>
    <col width="33.5703125" customWidth="1" style="142" min="2" max="2"/>
    <col width="71.140625" bestFit="1" customWidth="1" style="142" min="3" max="3"/>
  </cols>
  <sheetData>
    <row r="1">
      <c r="A1" s="136" t="inlineStr">
        <is>
          <t>n</t>
        </is>
      </c>
      <c r="B1" s="136" t="inlineStr">
        <is>
          <t>Ref</t>
        </is>
      </c>
      <c r="C1" s="136" t="inlineStr">
        <is>
          <t>Name</t>
        </is>
      </c>
      <c r="D1" s="136" t="inlineStr">
        <is>
          <t>Colonne1</t>
        </is>
      </c>
    </row>
    <row r="2">
      <c r="A2" s="136" t="inlineStr">
        <is>
          <t>34412738.PRT</t>
        </is>
      </c>
      <c r="B2" s="137">
        <f>LEFT(Tableau2[[#This Row],[n]],8)</f>
        <v/>
      </c>
      <c r="C2" s="136" t="inlineStr">
        <is>
          <t>SMT 34412738 GVX BBC 4000A</t>
        </is>
      </c>
      <c r="D2" s="136">
        <f>VLOOKUP(Tableau2[[#This Row],[Ref]],Tableau1[],4,FALSE)</f>
        <v/>
      </c>
    </row>
    <row r="3">
      <c r="A3" s="136" t="inlineStr">
        <is>
          <t>34412737.PRT</t>
        </is>
      </c>
      <c r="B3" s="137">
        <f>LEFT(Tableau2[[#This Row],[n]],8)</f>
        <v/>
      </c>
      <c r="C3" s="136" t="inlineStr">
        <is>
          <t>34412737</t>
        </is>
      </c>
      <c r="D3" s="136">
        <f>VLOOKUP(Tableau2[[#This Row],[Ref]],Tableau1[],4,FALSE)</f>
        <v/>
      </c>
    </row>
    <row r="4">
      <c r="A4" s="136" t="inlineStr">
        <is>
          <t>34412730.PRT</t>
        </is>
      </c>
      <c r="B4" s="137">
        <f>LEFT(Tableau2[[#This Row],[n]],8)</f>
        <v/>
      </c>
      <c r="C4" s="136" t="inlineStr">
        <is>
          <t>DECOUPE 34412730 RAIL NSYCNT40 L860MM</t>
        </is>
      </c>
      <c r="D4" s="136">
        <f>VLOOKUP(Tableau2[[#This Row],[Ref]],Tableau1[],4,FALSE)</f>
        <v/>
      </c>
    </row>
    <row r="5">
      <c r="A5" s="136" t="inlineStr">
        <is>
          <t>34412718.PRT</t>
        </is>
      </c>
      <c r="B5" s="137">
        <f>LEFT(Tableau2[[#This Row],[n]],8)</f>
        <v/>
      </c>
      <c r="C5" s="136" t="inlineStr">
        <is>
          <t>SMT PLAQUE DE FOND COFFRET NSYS3D3215</t>
        </is>
      </c>
      <c r="D5" s="136">
        <f>VLOOKUP(Tableau2[[#This Row],[Ref]],Tableau1[],4,FALSE)</f>
        <v/>
      </c>
    </row>
    <row r="6">
      <c r="A6" s="136" t="inlineStr">
        <is>
          <t>34412717.PRT</t>
        </is>
      </c>
      <c r="B6" s="137">
        <f>LEFT(Tableau2[[#This Row],[n]],8)</f>
        <v/>
      </c>
      <c r="C6" s="136" t="inlineStr">
        <is>
          <t>ETQ Interrupteur à came</t>
        </is>
      </c>
      <c r="D6" s="136">
        <f>VLOOKUP(Tableau2[[#This Row],[Ref]],Tableau1[],4,FALSE)</f>
        <v/>
      </c>
    </row>
    <row r="7">
      <c r="A7" s="136" t="inlineStr">
        <is>
          <t>34412716.PRT</t>
        </is>
      </c>
      <c r="B7" s="137">
        <f>LEFT(Tableau2[[#This Row],[n]],8)</f>
        <v/>
      </c>
      <c r="C7" s="136" t="inlineStr">
        <is>
          <t>PLA PROTECTION BORNIER</t>
        </is>
      </c>
      <c r="D7" s="136">
        <f>VLOOKUP(Tableau2[[#This Row],[Ref]],Tableau1[],4,FALSE)</f>
        <v/>
      </c>
    </row>
    <row r="8">
      <c r="A8" s="136" t="inlineStr">
        <is>
          <t>34412715.PRT</t>
        </is>
      </c>
      <c r="B8" s="137">
        <f>LEFT(Tableau2[[#This Row],[n]],8)</f>
        <v/>
      </c>
      <c r="C8" s="136" t="inlineStr">
        <is>
          <t>WIRE KIT CABLES PUISSANCEPOUR PDPM277H</t>
        </is>
      </c>
      <c r="D8" s="136">
        <f>VLOOKUP(Tableau2[[#This Row],[Ref]],Tableau1[],4,FALSE)</f>
        <v/>
      </c>
    </row>
    <row r="9">
      <c r="A9" s="136" t="inlineStr">
        <is>
          <t>34412714.PRT</t>
        </is>
      </c>
      <c r="B9" s="137">
        <f>LEFT(Tableau2[[#This Row],[n]],8)</f>
        <v/>
      </c>
      <c r="C9" s="136" t="inlineStr">
        <is>
          <t>WIRE KIT FILERIE POUR PDPM277H</t>
        </is>
      </c>
      <c r="D9" s="136">
        <f>VLOOKUP(Tableau2[[#This Row],[Ref]],Tableau1[],4,FALSE)</f>
        <v/>
      </c>
    </row>
    <row r="10">
      <c r="A10" s="136" t="inlineStr">
        <is>
          <t>34412713.PRT</t>
        </is>
      </c>
      <c r="B10" s="137">
        <f>LEFT(Tableau2[[#This Row],[n]],8)</f>
        <v/>
      </c>
      <c r="C10" s="136" t="inlineStr">
        <is>
          <t>DECOUPE COFFRET NSYS3D6630T</t>
        </is>
      </c>
      <c r="D10" s="136">
        <f>VLOOKUP(Tableau2[[#This Row],[Ref]],Tableau1[],4,FALSE)</f>
        <v/>
      </c>
    </row>
    <row r="11">
      <c r="A11" s="136" t="inlineStr">
        <is>
          <t>34412712.PRT</t>
        </is>
      </c>
      <c r="B11" s="137">
        <f>LEFT(Tableau2[[#This Row],[n]],8)</f>
        <v/>
      </c>
      <c r="C11" s="136" t="inlineStr">
        <is>
          <t>SMT PLATINE DE FOND COFFRET 600x600</t>
        </is>
      </c>
      <c r="D11" s="136">
        <f>VLOOKUP(Tableau2[[#This Row],[Ref]],Tableau1[],4,FALSE)</f>
        <v/>
      </c>
    </row>
    <row r="12">
      <c r="A12" s="136" t="inlineStr">
        <is>
          <t>34412711.PRT</t>
        </is>
      </c>
      <c r="B12" s="137">
        <f>LEFT(Tableau2[[#This Row],[n]],8)</f>
        <v/>
      </c>
      <c r="C12" s="136" t="inlineStr">
        <is>
          <t>SMT POULIE MOTEUR</t>
        </is>
      </c>
      <c r="D12" s="136">
        <f>VLOOKUP(Tableau2[[#This Row],[Ref]],Tableau1[],4,FALSE)</f>
        <v/>
      </c>
    </row>
    <row r="13">
      <c r="A13" s="136" t="inlineStr">
        <is>
          <t>34412710.PRT</t>
        </is>
      </c>
      <c r="B13" s="137">
        <f>LEFT(Tableau2[[#This Row],[n]],8)</f>
        <v/>
      </c>
      <c r="C13" s="136" t="inlineStr">
        <is>
          <t>34412710</t>
        </is>
      </c>
      <c r="D13" s="136">
        <f>VLOOKUP(Tableau2[[#This Row],[Ref]],Tableau1[],4,FALSE)</f>
        <v/>
      </c>
    </row>
    <row r="14">
      <c r="A14" s="136" t="inlineStr">
        <is>
          <t>34412709.PRT</t>
        </is>
      </c>
      <c r="B14" s="137">
        <f>LEFT(Tableau2[[#This Row],[n]],8)</f>
        <v/>
      </c>
      <c r="C14" s="136" t="inlineStr">
        <is>
          <t>34412709</t>
        </is>
      </c>
      <c r="D14" s="136">
        <f>VLOOKUP(Tableau2[[#This Row],[Ref]],Tableau1[],4,FALSE)</f>
        <v/>
      </c>
    </row>
    <row r="15">
      <c r="A15" s="136" t="inlineStr">
        <is>
          <t>34412708.PRT</t>
        </is>
      </c>
      <c r="B15" s="137">
        <f>LEFT(Tableau2[[#This Row],[n]],8)</f>
        <v/>
      </c>
      <c r="C15" s="136" t="inlineStr">
        <is>
          <t>34412708</t>
        </is>
      </c>
      <c r="D15" s="136">
        <f>VLOOKUP(Tableau2[[#This Row],[Ref]],Tableau1[],4,FALSE)</f>
        <v/>
      </c>
    </row>
    <row r="16">
      <c r="A16" s="136" t="inlineStr">
        <is>
          <t>34412707.PRT</t>
        </is>
      </c>
      <c r="B16" s="137">
        <f>LEFT(Tableau2[[#This Row],[n]],8)</f>
        <v/>
      </c>
      <c r="C16" s="136" t="inlineStr">
        <is>
          <t>SMT 34412707 VOLTADIS OUTPUT AND BATT ROOF 1</t>
        </is>
      </c>
      <c r="D16" s="136">
        <f>VLOOKUP(Tableau2[[#This Row],[Ref]],Tableau1[],4,FALSE)</f>
        <v/>
      </c>
    </row>
    <row r="17">
      <c r="A17" s="136" t="inlineStr">
        <is>
          <t>34412706.PRT</t>
        </is>
      </c>
      <c r="B17" s="137">
        <f>LEFT(Tableau2[[#This Row],[n]],8)</f>
        <v/>
      </c>
      <c r="C17" s="136" t="inlineStr">
        <is>
          <t>SMT 34412706 VOLTADIS INPUT ROOF 2</t>
        </is>
      </c>
      <c r="D17" s="136">
        <f>VLOOKUP(Tableau2[[#This Row],[Ref]],Tableau1[],4,FALSE)</f>
        <v/>
      </c>
    </row>
    <row r="18">
      <c r="A18" s="136" t="inlineStr">
        <is>
          <t>34412705.PRT</t>
        </is>
      </c>
      <c r="B18" s="137">
        <f>LEFT(Tableau2[[#This Row],[n]],8)</f>
        <v/>
      </c>
      <c r="C18" s="136" t="inlineStr">
        <is>
          <t>SMT 34409686 VOLTADIS INPUT ROOF 1</t>
        </is>
      </c>
      <c r="D18" s="136">
        <f>VLOOKUP(Tableau2[[#This Row],[Ref]],Tableau1[],4,FALSE)</f>
        <v/>
      </c>
    </row>
    <row r="19">
      <c r="A19" s="136" t="inlineStr">
        <is>
          <t>34412703.PRT</t>
        </is>
      </c>
      <c r="B19" s="137">
        <f>LEFT(Tableau2[[#This Row],[n]],8)</f>
        <v/>
      </c>
      <c r="C19" s="136" t="inlineStr">
        <is>
          <t>WIR 34412703 GVL UPS 500kVA DUAL MAINS + LOAD</t>
        </is>
      </c>
      <c r="D19" s="136">
        <f>VLOOKUP(Tableau2[[#This Row],[Ref]],Tableau1[],4,FALSE)</f>
        <v/>
      </c>
    </row>
    <row r="20">
      <c r="A20" s="136" t="inlineStr">
        <is>
          <t>34412702.PRT</t>
        </is>
      </c>
      <c r="B20" s="137">
        <f>LEFT(Tableau2[[#This Row],[n]],8)</f>
        <v/>
      </c>
      <c r="C20" s="136" t="inlineStr">
        <is>
          <t>COP 34412702 GVL UPS 500kVA</t>
        </is>
      </c>
      <c r="D20" s="136">
        <f>VLOOKUP(Tableau2[[#This Row],[Ref]],Tableau1[],4,FALSE)</f>
        <v/>
      </c>
    </row>
    <row r="21">
      <c r="A21" s="136" t="inlineStr">
        <is>
          <t>34412701.PRT</t>
        </is>
      </c>
      <c r="B21" s="137">
        <f>LEFT(Tableau2[[#This Row],[n]],8)</f>
        <v/>
      </c>
      <c r="C21" s="136" t="inlineStr">
        <is>
          <t>COP 34412701 GVL UPS 500kVA</t>
        </is>
      </c>
      <c r="D21" s="136">
        <f>VLOOKUP(Tableau2[[#This Row],[Ref]],Tableau1[],4,FALSE)</f>
        <v/>
      </c>
    </row>
    <row r="22">
      <c r="A22" s="136" t="inlineStr">
        <is>
          <t>34412700.PRT</t>
        </is>
      </c>
      <c r="B22" s="137">
        <f>LEFT(Tableau2[[#This Row],[n]],8)</f>
        <v/>
      </c>
      <c r="C22" s="136" t="inlineStr">
        <is>
          <t>COP 34412700 GVL UPS 500kVA</t>
        </is>
      </c>
      <c r="D22" s="136">
        <f>VLOOKUP(Tableau2[[#This Row],[Ref]],Tableau1[],4,FALSE)</f>
        <v/>
      </c>
    </row>
    <row r="23">
      <c r="A23" s="136" t="inlineStr">
        <is>
          <t>34412699.PRT</t>
        </is>
      </c>
      <c r="B23" s="137">
        <f>LEFT(Tableau2[[#This Row],[n]],8)</f>
        <v/>
      </c>
      <c r="C23" s="136" t="inlineStr">
        <is>
          <t>SMT 34412699 GVL UPS 500kVA</t>
        </is>
      </c>
      <c r="D23" s="136">
        <f>VLOOKUP(Tableau2[[#This Row],[Ref]],Tableau1[],4,FALSE)</f>
        <v/>
      </c>
    </row>
    <row r="24">
      <c r="A24" s="136" t="inlineStr">
        <is>
          <t>34412698.PRT</t>
        </is>
      </c>
      <c r="B24" s="137">
        <f>LEFT(Tableau2[[#This Row],[n]],8)</f>
        <v/>
      </c>
      <c r="C24" s="136" t="inlineStr">
        <is>
          <t>SMT 34412698 GVL UPS 500kVA</t>
        </is>
      </c>
      <c r="D24" s="136">
        <f>VLOOKUP(Tableau2[[#This Row],[Ref]],Tableau1[],4,FALSE)</f>
        <v/>
      </c>
    </row>
    <row r="25">
      <c r="A25" s="136" t="inlineStr">
        <is>
          <t>34412697.PRT</t>
        </is>
      </c>
      <c r="B25" s="137">
        <f>LEFT(Tableau2[[#This Row],[n]],8)</f>
        <v/>
      </c>
      <c r="C25" s="136" t="inlineStr">
        <is>
          <t>DECOUPE EN L CABLOFIL CF54300EZ LG 1700</t>
        </is>
      </c>
      <c r="D25" s="136">
        <f>VLOOKUP(Tableau2[[#This Row],[Ref]],Tableau1[],4,FALSE)</f>
        <v/>
      </c>
    </row>
    <row r="26">
      <c r="A26" s="136" t="inlineStr">
        <is>
          <t>34412696.PRT</t>
        </is>
      </c>
      <c r="B26" s="137">
        <f>LEFT(Tableau2[[#This Row],[n]],8)</f>
        <v/>
      </c>
      <c r="C26" s="136" t="inlineStr">
        <is>
          <t>COP CUIVRE NW40DC</t>
        </is>
      </c>
      <c r="D26" s="136">
        <f>VLOOKUP(Tableau2[[#This Row],[Ref]],Tableau1[],4,FALSE)</f>
        <v/>
      </c>
    </row>
    <row r="27">
      <c r="A27" s="136" t="inlineStr">
        <is>
          <t>34412695.PRT</t>
        </is>
      </c>
      <c r="B27" s="137">
        <f>LEFT(Tableau2[[#This Row],[n]],8)</f>
        <v/>
      </c>
      <c r="C27" s="136" t="inlineStr">
        <is>
          <t>SMT PLASTRON NW40DC</t>
        </is>
      </c>
      <c r="D27" s="136">
        <f>VLOOKUP(Tableau2[[#This Row],[Ref]],Tableau1[],4,FALSE)</f>
        <v/>
      </c>
    </row>
    <row r="28">
      <c r="A28" s="136" t="inlineStr">
        <is>
          <t>34412694.PRT</t>
        </is>
      </c>
      <c r="B28" s="137">
        <f>LEFT(Tableau2[[#This Row],[n]],8)</f>
        <v/>
      </c>
      <c r="C28" s="136" t="inlineStr">
        <is>
          <t>SMT 34412694 GVX BBC 4000A</t>
        </is>
      </c>
      <c r="D28" s="136">
        <f>VLOOKUP(Tableau2[[#This Row],[Ref]],Tableau1[],4,FALSE)</f>
        <v/>
      </c>
    </row>
    <row r="29">
      <c r="A29" s="136" t="inlineStr">
        <is>
          <t>34412693.PRT</t>
        </is>
      </c>
      <c r="B29" s="137">
        <f>LEFT(Tableau2[[#This Row],[n]],8)</f>
        <v/>
      </c>
      <c r="C29" s="136" t="inlineStr">
        <is>
          <t>SMT 34412693 GVX BBC 4000A</t>
        </is>
      </c>
      <c r="D29" s="136">
        <f>VLOOKUP(Tableau2[[#This Row],[Ref]],Tableau1[],4,FALSE)</f>
        <v/>
      </c>
    </row>
    <row r="30">
      <c r="A30" s="136" t="inlineStr">
        <is>
          <t>34412692.PRT</t>
        </is>
      </c>
      <c r="B30" s="137">
        <f>LEFT(Tableau2[[#This Row],[n]],8)</f>
        <v/>
      </c>
      <c r="C30" s="136" t="inlineStr">
        <is>
          <t>SMT 34412692 GVX BBC 4000A</t>
        </is>
      </c>
      <c r="D30" s="136">
        <f>VLOOKUP(Tableau2[[#This Row],[Ref]],Tableau1[],4,FALSE)</f>
        <v/>
      </c>
    </row>
    <row r="31">
      <c r="A31" s="136" t="inlineStr">
        <is>
          <t>34412691.PRT</t>
        </is>
      </c>
      <c r="B31" s="137">
        <f>LEFT(Tableau2[[#This Row],[n]],8)</f>
        <v/>
      </c>
      <c r="C31" s="136" t="inlineStr">
        <is>
          <t>COP CUIVRE CALE NW40DC</t>
        </is>
      </c>
      <c r="D31" s="136">
        <f>VLOOKUP(Tableau2[[#This Row],[Ref]],Tableau1[],4,FALSE)</f>
        <v/>
      </c>
    </row>
    <row r="32">
      <c r="A32" s="136" t="inlineStr">
        <is>
          <t>34412690.PRT</t>
        </is>
      </c>
      <c r="B32" s="137">
        <f>LEFT(Tableau2[[#This Row],[n]],8)</f>
        <v/>
      </c>
      <c r="C32" s="136" t="inlineStr">
        <is>
          <t>SMT 34412690 GVX BBC 4000A</t>
        </is>
      </c>
      <c r="D32" s="136">
        <f>VLOOKUP(Tableau2[[#This Row],[Ref]],Tableau1[],4,FALSE)</f>
        <v/>
      </c>
    </row>
    <row r="33">
      <c r="A33" s="136" t="inlineStr">
        <is>
          <t>34412689.PRT</t>
        </is>
      </c>
      <c r="B33" s="137">
        <f>LEFT(Tableau2[[#This Row],[n]],8)</f>
        <v/>
      </c>
      <c r="C33" s="136" t="inlineStr">
        <is>
          <t>DECOUPE LINERGY LVS04568 4000A LG 1695MM</t>
        </is>
      </c>
      <c r="D33" s="136">
        <f>VLOOKUP(Tableau2[[#This Row],[Ref]],Tableau1[],4,FALSE)</f>
        <v/>
      </c>
    </row>
    <row r="34">
      <c r="A34" s="136" t="inlineStr">
        <is>
          <t>34412688.PRT</t>
        </is>
      </c>
      <c r="B34" s="137">
        <f>LEFT(Tableau2[[#This Row],[n]],8)</f>
        <v/>
      </c>
      <c r="C34" s="136" t="inlineStr">
        <is>
          <t>SMT 34412688 GVX BBC 4000A</t>
        </is>
      </c>
      <c r="D34" s="136">
        <f>VLOOKUP(Tableau2[[#This Row],[Ref]],Tableau1[],4,FALSE)</f>
        <v/>
      </c>
    </row>
    <row r="35">
      <c r="A35" s="136" t="inlineStr">
        <is>
          <t>34412687.PRT</t>
        </is>
      </c>
      <c r="B35" s="137">
        <f>LEFT(Tableau2[[#This Row],[n]],8)</f>
        <v/>
      </c>
      <c r="C35" s="136" t="inlineStr">
        <is>
          <t>SMT 34412687 GVX BBC 4000A</t>
        </is>
      </c>
      <c r="D35" s="136">
        <f>VLOOKUP(Tableau2[[#This Row],[Ref]],Tableau1[],4,FALSE)</f>
        <v/>
      </c>
    </row>
    <row r="36">
      <c r="A36" s="136" t="inlineStr">
        <is>
          <t>34412686.PRT</t>
        </is>
      </c>
      <c r="B36" s="137">
        <f>LEFT(Tableau2[[#This Row],[n]],8)</f>
        <v/>
      </c>
      <c r="C36" s="136" t="inlineStr">
        <is>
          <t>COP 34412686 GVX BBC 4000A</t>
        </is>
      </c>
      <c r="D36" s="136">
        <f>VLOOKUP(Tableau2[[#This Row],[Ref]],Tableau1[],4,FALSE)</f>
        <v/>
      </c>
    </row>
    <row r="37">
      <c r="A37" s="136" t="inlineStr">
        <is>
          <t>34412685.PRT</t>
        </is>
      </c>
      <c r="B37" s="137">
        <f>LEFT(Tableau2[[#This Row],[n]],8)</f>
        <v/>
      </c>
      <c r="C37" s="136" t="inlineStr">
        <is>
          <t>COP 34412685 GVX BBC 4000A</t>
        </is>
      </c>
      <c r="D37" s="136">
        <f>VLOOKUP(Tableau2[[#This Row],[Ref]],Tableau1[],4,FALSE)</f>
        <v/>
      </c>
    </row>
    <row r="38">
      <c r="A38" s="136" t="inlineStr">
        <is>
          <t>34412684.PRT</t>
        </is>
      </c>
      <c r="B38" s="137">
        <f>LEFT(Tableau2[[#This Row],[n]],8)</f>
        <v/>
      </c>
      <c r="C38" s="136" t="inlineStr">
        <is>
          <t>PLA 34412684 GVX BBC 4000A</t>
        </is>
      </c>
      <c r="D38" s="136">
        <f>VLOOKUP(Tableau2[[#This Row],[Ref]],Tableau1[],4,FALSE)</f>
        <v/>
      </c>
    </row>
    <row r="39">
      <c r="A39" s="136" t="inlineStr">
        <is>
          <t>34412682.PRT</t>
        </is>
      </c>
      <c r="B39" s="137">
        <f>LEFT(Tableau2[[#This Row],[n]],8)</f>
        <v/>
      </c>
      <c r="C39" s="136" t="inlineStr">
        <is>
          <t>SMT 34412682 GVX BBC 4000A</t>
        </is>
      </c>
      <c r="D39" s="136">
        <f>VLOOKUP(Tableau2[[#This Row],[Ref]],Tableau1[],4,FALSE)</f>
        <v/>
      </c>
    </row>
    <row r="40">
      <c r="A40" s="136" t="inlineStr">
        <is>
          <t>34412678.PRT</t>
        </is>
      </c>
      <c r="B40" s="137">
        <f>LEFT(Tableau2[[#This Row],[n]],8)</f>
        <v/>
      </c>
      <c r="C40" s="136" t="inlineStr">
        <is>
          <t>COP CUIVRE NW40DC</t>
        </is>
      </c>
      <c r="D40" s="136">
        <f>VLOOKUP(Tableau2[[#This Row],[Ref]],Tableau1[],4,FALSE)</f>
        <v/>
      </c>
    </row>
    <row r="41">
      <c r="A41" s="136" t="inlineStr">
        <is>
          <t>34412677.PRT</t>
        </is>
      </c>
      <c r="B41" s="137">
        <f>LEFT(Tableau2[[#This Row],[n]],8)</f>
        <v/>
      </c>
      <c r="C41" s="136" t="inlineStr">
        <is>
          <t>SMT 34412677 GVX BBC 4000A</t>
        </is>
      </c>
      <c r="D41" s="136">
        <f>VLOOKUP(Tableau2[[#This Row],[Ref]],Tableau1[],4,FALSE)</f>
        <v/>
      </c>
    </row>
    <row r="42">
      <c r="A42" s="136" t="inlineStr">
        <is>
          <t>34412676.PRT</t>
        </is>
      </c>
      <c r="B42" s="137">
        <f>LEFT(Tableau2[[#This Row],[n]],8)</f>
        <v/>
      </c>
      <c r="C42" s="136" t="inlineStr">
        <is>
          <t>SMT 34412676 GVX BBC 4000A</t>
        </is>
      </c>
      <c r="D42" s="136">
        <f>VLOOKUP(Tableau2[[#This Row],[Ref]],Tableau1[],4,FALSE)</f>
        <v/>
      </c>
    </row>
    <row r="43">
      <c r="A43" s="136" t="inlineStr">
        <is>
          <t>34412675.PRT</t>
        </is>
      </c>
      <c r="B43" s="137">
        <f>LEFT(Tableau2[[#This Row],[n]],8)</f>
        <v/>
      </c>
      <c r="C43" s="136" t="inlineStr">
        <is>
          <t>cop barre pe 100x10</t>
        </is>
      </c>
      <c r="D43" s="136">
        <f>VLOOKUP(Tableau2[[#This Row],[Ref]],Tableau1[],4,FALSE)</f>
        <v/>
      </c>
    </row>
    <row r="44">
      <c r="A44" s="136" t="inlineStr">
        <is>
          <t>34412674.PRT</t>
        </is>
      </c>
      <c r="B44" s="137">
        <f>LEFT(Tableau2[[#This Row],[n]],8)</f>
        <v/>
      </c>
      <c r="C44" s="136" t="inlineStr">
        <is>
          <t>COP 34412674 GVX BBC 4000A PLATINE 8xNSX630</t>
        </is>
      </c>
      <c r="D44" s="136">
        <f>VLOOKUP(Tableau2[[#This Row],[Ref]],Tableau1[],4,FALSE)</f>
        <v/>
      </c>
    </row>
    <row r="45">
      <c r="A45" s="136" t="inlineStr">
        <is>
          <t>34412673.PRT</t>
        </is>
      </c>
      <c r="B45" s="137">
        <f>LEFT(Tableau2[[#This Row],[n]],8)</f>
        <v/>
      </c>
      <c r="C45" s="136" t="inlineStr">
        <is>
          <t>COP CUIVRE NW40DC</t>
        </is>
      </c>
      <c r="D45" s="136">
        <f>VLOOKUP(Tableau2[[#This Row],[Ref]],Tableau1[],4,FALSE)</f>
        <v/>
      </c>
    </row>
    <row r="46">
      <c r="A46" s="136" t="inlineStr">
        <is>
          <t>34412672.PRT</t>
        </is>
      </c>
      <c r="B46" s="137">
        <f>LEFT(Tableau2[[#This Row],[n]],8)</f>
        <v/>
      </c>
      <c r="C46" s="136" t="inlineStr">
        <is>
          <t>COP CUIVRE BBK</t>
        </is>
      </c>
      <c r="D46" s="136">
        <f>VLOOKUP(Tableau2[[#This Row],[Ref]],Tableau1[],4,FALSE)</f>
        <v/>
      </c>
    </row>
    <row r="47">
      <c r="A47" s="136" t="inlineStr">
        <is>
          <t>34412671.PRT</t>
        </is>
      </c>
      <c r="B47" s="137">
        <f>LEFT(Tableau2[[#This Row],[n]],8)</f>
        <v/>
      </c>
      <c r="C47" s="136" t="inlineStr">
        <is>
          <t>COP CUIVRE BBK</t>
        </is>
      </c>
      <c r="D47" s="136">
        <f>VLOOKUP(Tableau2[[#This Row],[Ref]],Tableau1[],4,FALSE)</f>
        <v/>
      </c>
    </row>
    <row r="48">
      <c r="A48" s="136" t="inlineStr">
        <is>
          <t>34412669.PRT</t>
        </is>
      </c>
      <c r="B48" s="137">
        <f>LEFT(Tableau2[[#This Row],[n]],8)</f>
        <v/>
      </c>
      <c r="C48" s="136" t="inlineStr">
        <is>
          <t>SMT =S= OUTPUT AND BATT ROOT 2</t>
        </is>
      </c>
      <c r="D48" s="136">
        <f>VLOOKUP(Tableau2[[#This Row],[Ref]],Tableau1[],4,FALSE)</f>
        <v/>
      </c>
    </row>
    <row r="49">
      <c r="A49" s="136" t="inlineStr">
        <is>
          <t>34412668.PRT</t>
        </is>
      </c>
      <c r="B49" s="137">
        <f>LEFT(Tableau2[[#This Row],[n]],8)</f>
        <v/>
      </c>
      <c r="C49" s="136" t="inlineStr">
        <is>
          <t>SMT =S= OUTPUT AND BATT ROOT 1</t>
        </is>
      </c>
      <c r="D49" s="136">
        <f>VLOOKUP(Tableau2[[#This Row],[Ref]],Tableau1[],4,FALSE)</f>
        <v/>
      </c>
    </row>
    <row r="50">
      <c r="A50" s="136" t="inlineStr">
        <is>
          <t>34412667.PRT</t>
        </is>
      </c>
      <c r="B50" s="137">
        <f>LEFT(Tableau2[[#This Row],[n]],8)</f>
        <v/>
      </c>
      <c r="C50" s="136" t="inlineStr">
        <is>
          <t>PLA PLASTRON MAKROLON POWER TERMINAL</t>
        </is>
      </c>
      <c r="D50" s="136">
        <f>VLOOKUP(Tableau2[[#This Row],[Ref]],Tableau1[],4,FALSE)</f>
        <v/>
      </c>
    </row>
    <row r="51">
      <c r="A51" s="136" t="inlineStr">
        <is>
          <t>34412666.PRT</t>
        </is>
      </c>
      <c r="B51" s="137">
        <f>LEFT(Tableau2[[#This Row],[n]],8)</f>
        <v/>
      </c>
      <c r="C51" s="136" t="inlineStr">
        <is>
          <t>PLA PLASTRON MAKROLON NSX630 + VIGILOHM</t>
        </is>
      </c>
      <c r="D51" s="136">
        <f>VLOOKUP(Tableau2[[#This Row],[Ref]],Tableau1[],4,FALSE)</f>
        <v/>
      </c>
    </row>
    <row r="52">
      <c r="A52" s="136" t="inlineStr">
        <is>
          <t>34412665.PRT</t>
        </is>
      </c>
      <c r="B52" s="137">
        <f>LEFT(Tableau2[[#This Row],[n]],8)</f>
        <v/>
      </c>
      <c r="C52" s="136" t="inlineStr">
        <is>
          <t>PLA PLASTRON MAKROLON NSX250</t>
        </is>
      </c>
      <c r="D52" s="136">
        <f>VLOOKUP(Tableau2[[#This Row],[Ref]],Tableau1[],4,FALSE)</f>
        <v/>
      </c>
    </row>
    <row r="53">
      <c r="A53" s="136" t="inlineStr">
        <is>
          <t>34412664.PRT</t>
        </is>
      </c>
      <c r="B53" s="137">
        <f>LEFT(Tableau2[[#This Row],[n]],8)</f>
        <v/>
      </c>
      <c r="C53" s="136" t="inlineStr">
        <is>
          <t>PLA PLASTRON MAKROLON MONITORING</t>
        </is>
      </c>
      <c r="D53" s="136">
        <f>VLOOKUP(Tableau2[[#This Row],[Ref]],Tableau1[],4,FALSE)</f>
        <v/>
      </c>
    </row>
    <row r="54">
      <c r="A54" s="136" t="inlineStr">
        <is>
          <t>34412663.PRT</t>
        </is>
      </c>
      <c r="B54" s="137">
        <f>LEFT(Tableau2[[#This Row],[n]],8)</f>
        <v/>
      </c>
      <c r="C54" s="136" t="inlineStr">
        <is>
          <t>DECOUPE 34412663 BARRE CU 32*8 L585 LVS04174</t>
        </is>
      </c>
      <c r="D54" s="136">
        <f>VLOOKUP(Tableau2[[#This Row],[Ref]],Tableau1[],4,FALSE)</f>
        <v/>
      </c>
    </row>
    <row r="55">
      <c r="A55" s="136" t="inlineStr">
        <is>
          <t>34412662.PRT</t>
        </is>
      </c>
      <c r="B55" s="137">
        <f>LEFT(Tableau2[[#This Row],[n]],8)</f>
        <v/>
      </c>
      <c r="C55" s="136" t="inlineStr">
        <is>
          <t>SMT SUPPORT GOULOTTE 1000</t>
        </is>
      </c>
      <c r="D55" s="136">
        <f>VLOOKUP(Tableau2[[#This Row],[Ref]],Tableau1[],4,FALSE)</f>
        <v/>
      </c>
    </row>
    <row r="56">
      <c r="A56" s="136" t="inlineStr">
        <is>
          <t>34412661_BULK.PRT</t>
        </is>
      </c>
      <c r="B56" s="137">
        <f>LEFT(Tableau2[[#This Row],[n]],8)</f>
        <v/>
      </c>
      <c r="C56" s="136" t="inlineStr">
        <is>
          <t>WIR 34412661 GVX BBC 4000A PE 240mm2</t>
        </is>
      </c>
      <c r="D56" s="136">
        <f>VLOOKUP(Tableau2[[#This Row],[Ref]],Tableau1[],4,FALSE)</f>
        <v/>
      </c>
    </row>
    <row r="57">
      <c r="A57" s="136" t="inlineStr">
        <is>
          <t>34412654.PRT</t>
        </is>
      </c>
      <c r="B57" s="137">
        <f>LEFT(Tableau2[[#This Row],[n]],8)</f>
        <v/>
      </c>
      <c r="C57" s="136" t="inlineStr">
        <is>
          <t>SMT SUPPORT IMD-IM400</t>
        </is>
      </c>
      <c r="D57" s="136">
        <f>VLOOKUP(Tableau2[[#This Row],[Ref]],Tableau1[],4,FALSE)</f>
        <v/>
      </c>
    </row>
    <row r="58">
      <c r="A58" s="136" t="inlineStr">
        <is>
          <t>34412653.PRT</t>
        </is>
      </c>
      <c r="B58" s="137">
        <f>LEFT(Tableau2[[#This Row],[n]],8)</f>
        <v/>
      </c>
      <c r="C58" s="136" t="inlineStr">
        <is>
          <t>SMT PLATINE NSX360 + IMD-IM400</t>
        </is>
      </c>
      <c r="D58" s="136">
        <f>VLOOKUP(Tableau2[[#This Row],[Ref]],Tableau1[],4,FALSE)</f>
        <v/>
      </c>
    </row>
    <row r="59">
      <c r="A59" s="136" t="inlineStr">
        <is>
          <t>34412652.PRT</t>
        </is>
      </c>
      <c r="B59" s="137">
        <f>LEFT(Tableau2[[#This Row],[n]],8)</f>
        <v/>
      </c>
      <c r="C59" s="136" t="inlineStr">
        <is>
          <t>SMT EQUERRE BARRE DE TERRE</t>
        </is>
      </c>
      <c r="D59" s="136">
        <f>VLOOKUP(Tableau2[[#This Row],[Ref]],Tableau1[],4,FALSE)</f>
        <v/>
      </c>
    </row>
    <row r="60">
      <c r="A60" s="136" t="inlineStr">
        <is>
          <t>34412651.PRT</t>
        </is>
      </c>
      <c r="B60" s="137">
        <f>LEFT(Tableau2[[#This Row],[n]],8)</f>
        <v/>
      </c>
      <c r="C60" s="136" t="inlineStr">
        <is>
          <t>SMT RENFORT STRUCTURE BIRDY 1000</t>
        </is>
      </c>
      <c r="D60" s="136">
        <f>VLOOKUP(Tableau2[[#This Row],[Ref]],Tableau1[],4,FALSE)</f>
        <v/>
      </c>
    </row>
    <row r="61">
      <c r="A61" s="136" t="inlineStr">
        <is>
          <t>34412650.PRT</t>
        </is>
      </c>
      <c r="B61" s="137">
        <f>LEFT(Tableau2[[#This Row],[n]],8)</f>
        <v/>
      </c>
      <c r="C61" s="136" t="inlineStr">
        <is>
          <t>SMT TRAVERSE 1000 CHASSIS TRANSFO</t>
        </is>
      </c>
      <c r="D61" s="136">
        <f>VLOOKUP(Tableau2[[#This Row],[Ref]],Tableau1[],4,FALSE)</f>
        <v/>
      </c>
    </row>
    <row r="62">
      <c r="A62" s="136" t="inlineStr">
        <is>
          <t>34412649.PRT</t>
        </is>
      </c>
      <c r="B62" s="137">
        <f>LEFT(Tableau2[[#This Row],[n]],8)</f>
        <v/>
      </c>
      <c r="C62" s="136" t="inlineStr">
        <is>
          <t>SMT TRAVERSE 1000 G/D RENFORT CHASSIS</t>
        </is>
      </c>
      <c r="D62" s="136">
        <f>VLOOKUP(Tableau2[[#This Row],[Ref]],Tableau1[],4,FALSE)</f>
        <v/>
      </c>
    </row>
    <row r="63">
      <c r="A63" s="136" t="inlineStr">
        <is>
          <t>34412648.PRT</t>
        </is>
      </c>
      <c r="B63" s="137">
        <f>LEFT(Tableau2[[#This Row],[n]],8)</f>
        <v/>
      </c>
      <c r="C63" s="136" t="inlineStr">
        <is>
          <t>SMT 34412648 GVX BBC 4000A</t>
        </is>
      </c>
      <c r="D63" s="136">
        <f>VLOOKUP(Tableau2[[#This Row],[Ref]],Tableau1[],4,FALSE)</f>
        <v/>
      </c>
    </row>
    <row r="64">
      <c r="A64" s="136" t="inlineStr">
        <is>
          <t>34412647.PRT</t>
        </is>
      </c>
      <c r="B64" s="137">
        <f>LEFT(Tableau2[[#This Row],[n]],8)</f>
        <v/>
      </c>
      <c r="C64" s="136" t="inlineStr">
        <is>
          <t>COP CUIVRE NW40DC</t>
        </is>
      </c>
      <c r="D64" s="136">
        <f>VLOOKUP(Tableau2[[#This Row],[Ref]],Tableau1[],4,FALSE)</f>
        <v/>
      </c>
    </row>
    <row r="65">
      <c r="A65" s="136" t="inlineStr">
        <is>
          <t>34412646.PRT</t>
        </is>
      </c>
      <c r="B65" s="137">
        <f>LEFT(Tableau2[[#This Row],[n]],8)</f>
        <v/>
      </c>
      <c r="C65" s="136" t="inlineStr">
        <is>
          <t>SMT 34412646 GVX BBC 4000A</t>
        </is>
      </c>
      <c r="D65" s="136">
        <f>VLOOKUP(Tableau2[[#This Row],[Ref]],Tableau1[],4,FALSE)</f>
        <v/>
      </c>
    </row>
    <row r="66">
      <c r="A66" s="136" t="inlineStr">
        <is>
          <t>34412645.PRT</t>
        </is>
      </c>
      <c r="B66" s="137">
        <f>LEFT(Tableau2[[#This Row],[n]],8)</f>
        <v/>
      </c>
      <c r="C66" s="136" t="inlineStr">
        <is>
          <t>SMT 34412645 GVX BBC 4000A</t>
        </is>
      </c>
      <c r="D66" s="136">
        <f>VLOOKUP(Tableau2[[#This Row],[Ref]],Tableau1[],4,FALSE)</f>
        <v/>
      </c>
    </row>
    <row r="67">
      <c r="A67" s="136" t="inlineStr">
        <is>
          <t>34412644.PRT</t>
        </is>
      </c>
      <c r="B67" s="137">
        <f>LEFT(Tableau2[[#This Row],[n]],8)</f>
        <v/>
      </c>
      <c r="C67" s="136" t="inlineStr">
        <is>
          <t>SMT 34412644 GVX BBC 4000A</t>
        </is>
      </c>
      <c r="D67" s="136">
        <f>VLOOKUP(Tableau2[[#This Row],[Ref]],Tableau1[],4,FALSE)</f>
        <v/>
      </c>
    </row>
    <row r="68">
      <c r="A68" s="136" t="inlineStr">
        <is>
          <t>34412643.PRT</t>
        </is>
      </c>
      <c r="B68" s="137">
        <f>LEFT(Tableau2[[#This Row],[n]],8)</f>
        <v/>
      </c>
      <c r="C68" s="136" t="inlineStr">
        <is>
          <t>SMT 34412643 GVX BBC 4000A</t>
        </is>
      </c>
      <c r="D68" s="136">
        <f>VLOOKUP(Tableau2[[#This Row],[Ref]],Tableau1[],4,FALSE)</f>
        <v/>
      </c>
    </row>
    <row r="69">
      <c r="A69" s="136" t="inlineStr">
        <is>
          <t>34412642.PRT</t>
        </is>
      </c>
      <c r="B69" s="137">
        <f>LEFT(Tableau2[[#This Row],[n]],8)</f>
        <v/>
      </c>
      <c r="C69" s="136" t="inlineStr">
        <is>
          <t>SMT 34412642 GVX BBC 4000A</t>
        </is>
      </c>
      <c r="D69" s="136">
        <f>VLOOKUP(Tableau2[[#This Row],[Ref]],Tableau1[],4,FALSE)</f>
        <v/>
      </c>
    </row>
    <row r="70">
      <c r="A70" s="136" t="inlineStr">
        <is>
          <t>34412641.PRT</t>
        </is>
      </c>
      <c r="B70" s="137">
        <f>LEFT(Tableau2[[#This Row],[n]],8)</f>
        <v/>
      </c>
      <c r="C70" s="136" t="inlineStr">
        <is>
          <t>TRANSFO TRI 250KVA 400/230V Dyn11 SECURELEC</t>
        </is>
      </c>
      <c r="D70" s="136">
        <f>VLOOKUP(Tableau2[[#This Row],[Ref]],Tableau1[],4,FALSE)</f>
        <v/>
      </c>
    </row>
    <row r="71">
      <c r="A71" s="136" t="inlineStr">
        <is>
          <t>34412640.PRT</t>
        </is>
      </c>
      <c r="B71" s="137">
        <f>LEFT(Tableau2[[#This Row],[n]],8)</f>
        <v/>
      </c>
      <c r="C71" s="136" t="inlineStr">
        <is>
          <t>SMT SUPPORT BBK630</t>
        </is>
      </c>
      <c r="D71" s="136">
        <f>VLOOKUP(Tableau2[[#This Row],[Ref]],Tableau1[],4,FALSE)</f>
        <v/>
      </c>
    </row>
    <row r="72">
      <c r="A72" s="136" t="inlineStr">
        <is>
          <t>34412639.PRT</t>
        </is>
      </c>
      <c r="B72" s="137">
        <f>LEFT(Tableau2[[#This Row],[n]],8)</f>
        <v/>
      </c>
      <c r="C72" s="136" t="inlineStr">
        <is>
          <t>SMT TOIT GVEAC7D8 KTA2500ER41</t>
        </is>
      </c>
      <c r="D72" s="136">
        <f>VLOOKUP(Tableau2[[#This Row],[Ref]],Tableau1[],4,FALSE)</f>
        <v/>
      </c>
    </row>
    <row r="73">
      <c r="A73" s="136" t="inlineStr">
        <is>
          <t>34412638.PRT</t>
        </is>
      </c>
      <c r="B73" s="137">
        <f>LEFT(Tableau2[[#This Row],[n]],8)</f>
        <v/>
      </c>
      <c r="C73" s="136" t="inlineStr">
        <is>
          <t>COP 34412638 GVX BBC 4000A</t>
        </is>
      </c>
      <c r="D73" s="136">
        <f>VLOOKUP(Tableau2[[#This Row],[Ref]],Tableau1[],4,FALSE)</f>
        <v/>
      </c>
    </row>
    <row r="74">
      <c r="A74" s="136" t="inlineStr">
        <is>
          <t>34412637.PRT</t>
        </is>
      </c>
      <c r="B74" s="137">
        <f>LEFT(Tableau2[[#This Row],[n]],8)</f>
        <v/>
      </c>
      <c r="C74" s="136" t="inlineStr">
        <is>
          <t>COP 34412637 GVX BBC 4000A</t>
        </is>
      </c>
      <c r="D74" s="136">
        <f>VLOOKUP(Tableau2[[#This Row],[Ref]],Tableau1[],4,FALSE)</f>
        <v/>
      </c>
    </row>
    <row r="75">
      <c r="A75" s="136" t="inlineStr">
        <is>
          <t>34412636.PRT</t>
        </is>
      </c>
      <c r="B75" s="137">
        <f>LEFT(Tableau2[[#This Row],[n]],8)</f>
        <v/>
      </c>
      <c r="C75" s="136" t="inlineStr">
        <is>
          <t>COP 34412636 GVX BBC 4000A</t>
        </is>
      </c>
      <c r="D75" s="136">
        <f>VLOOKUP(Tableau2[[#This Row],[Ref]],Tableau1[],4,FALSE)</f>
        <v/>
      </c>
    </row>
    <row r="76">
      <c r="A76" s="136" t="inlineStr">
        <is>
          <t>34412635.PRT</t>
        </is>
      </c>
      <c r="B76" s="137">
        <f>LEFT(Tableau2[[#This Row],[n]],8)</f>
        <v/>
      </c>
      <c r="C76" s="136" t="inlineStr">
        <is>
          <t>COP 34412635 GVX BBC 4000A</t>
        </is>
      </c>
      <c r="D76" s="136">
        <f>VLOOKUP(Tableau2[[#This Row],[Ref]],Tableau1[],4,FALSE)</f>
        <v/>
      </c>
    </row>
    <row r="77">
      <c r="A77" s="136" t="inlineStr">
        <is>
          <t>34412634.PRT</t>
        </is>
      </c>
      <c r="B77" s="137">
        <f>LEFT(Tableau2[[#This Row],[n]],8)</f>
        <v/>
      </c>
      <c r="C77" s="136" t="inlineStr">
        <is>
          <t>COP 34412634 GVX BBC 4000A</t>
        </is>
      </c>
      <c r="D77" s="136">
        <f>VLOOKUP(Tableau2[[#This Row],[Ref]],Tableau1[],4,FALSE)</f>
        <v/>
      </c>
    </row>
    <row r="78">
      <c r="A78" s="136" t="inlineStr">
        <is>
          <t>34412633.PRT</t>
        </is>
      </c>
      <c r="B78" s="137">
        <f>LEFT(Tableau2[[#This Row],[n]],8)</f>
        <v/>
      </c>
      <c r="C78" s="136" t="inlineStr">
        <is>
          <t>COP 34412633 GVX BBC 4000A</t>
        </is>
      </c>
      <c r="D78" s="136">
        <f>VLOOKUP(Tableau2[[#This Row],[Ref]],Tableau1[],4,FALSE)</f>
        <v/>
      </c>
    </row>
    <row r="79">
      <c r="A79" s="136" t="inlineStr">
        <is>
          <t>34412632.PRT</t>
        </is>
      </c>
      <c r="B79" s="137">
        <f>LEFT(Tableau2[[#This Row],[n]],8)</f>
        <v/>
      </c>
      <c r="C79" s="136" t="inlineStr">
        <is>
          <t>COP 34412632 GVX BBC 4000A</t>
        </is>
      </c>
      <c r="D79" s="136">
        <f>VLOOKUP(Tableau2[[#This Row],[Ref]],Tableau1[],4,FALSE)</f>
        <v/>
      </c>
    </row>
    <row r="80">
      <c r="A80" s="136" t="inlineStr">
        <is>
          <t>34412631.PRT</t>
        </is>
      </c>
      <c r="B80" s="137">
        <f>LEFT(Tableau2[[#This Row],[n]],8)</f>
        <v/>
      </c>
      <c r="C80" s="136" t="inlineStr">
        <is>
          <t>COP 34412631 GVX BBC 4000A</t>
        </is>
      </c>
      <c r="D80" s="136">
        <f>VLOOKUP(Tableau2[[#This Row],[Ref]],Tableau1[],4,FALSE)</f>
        <v/>
      </c>
    </row>
    <row r="81">
      <c r="A81" s="136" t="inlineStr">
        <is>
          <t>34412630.PRT</t>
        </is>
      </c>
      <c r="B81" s="137">
        <f>LEFT(Tableau2[[#This Row],[n]],8)</f>
        <v/>
      </c>
      <c r="C81" s="136" t="inlineStr">
        <is>
          <t>COP CUIVRE NW40DC</t>
        </is>
      </c>
      <c r="D81" s="136">
        <f>VLOOKUP(Tableau2[[#This Row],[Ref]],Tableau1[],4,FALSE)</f>
        <v/>
      </c>
    </row>
    <row r="82">
      <c r="A82" s="136" t="inlineStr">
        <is>
          <t>34412629.PRT</t>
        </is>
      </c>
      <c r="B82" s="137">
        <f>LEFT(Tableau2[[#This Row],[n]],8)</f>
        <v/>
      </c>
      <c r="C82" s="136" t="inlineStr">
        <is>
          <t>COP CUIVRE NW40DC</t>
        </is>
      </c>
      <c r="D82" s="136">
        <f>VLOOKUP(Tableau2[[#This Row],[Ref]],Tableau1[],4,FALSE)</f>
        <v/>
      </c>
    </row>
    <row r="83">
      <c r="A83" s="136" t="inlineStr">
        <is>
          <t>34412628.PRT</t>
        </is>
      </c>
      <c r="B83" s="137">
        <f>LEFT(Tableau2[[#This Row],[n]],8)</f>
        <v/>
      </c>
      <c r="C83" s="136" t="inlineStr">
        <is>
          <t>COP CUIVRE NW40DC</t>
        </is>
      </c>
      <c r="D83" s="136">
        <f>VLOOKUP(Tableau2[[#This Row],[Ref]],Tableau1[],4,FALSE)</f>
        <v/>
      </c>
    </row>
    <row r="84">
      <c r="A84" s="136" t="inlineStr">
        <is>
          <t>34412627.PRT</t>
        </is>
      </c>
      <c r="B84" s="137">
        <f>LEFT(Tableau2[[#This Row],[n]],8)</f>
        <v/>
      </c>
      <c r="C84" s="136" t="inlineStr">
        <is>
          <t>COP CUIVRE NW40DC</t>
        </is>
      </c>
      <c r="D84" s="136">
        <f>VLOOKUP(Tableau2[[#This Row],[Ref]],Tableau1[],4,FALSE)</f>
        <v/>
      </c>
    </row>
    <row r="85">
      <c r="A85" s="136" t="inlineStr">
        <is>
          <t>34412626.PRT</t>
        </is>
      </c>
      <c r="B85" s="137">
        <f>LEFT(Tableau2[[#This Row],[n]],8)</f>
        <v/>
      </c>
      <c r="C85" s="136" t="inlineStr">
        <is>
          <t>COP CUIVRE NW40DC</t>
        </is>
      </c>
      <c r="D85" s="136">
        <f>VLOOKUP(Tableau2[[#This Row],[Ref]],Tableau1[],4,FALSE)</f>
        <v/>
      </c>
    </row>
    <row r="86">
      <c r="A86" s="136" t="inlineStr">
        <is>
          <t>34412625.PRT</t>
        </is>
      </c>
      <c r="B86" s="137">
        <f>LEFT(Tableau2[[#This Row],[n]],8)</f>
        <v/>
      </c>
      <c r="C86" s="136" t="inlineStr">
        <is>
          <t>COP CUIVRE NW40DC</t>
        </is>
      </c>
      <c r="D86" s="136">
        <f>VLOOKUP(Tableau2[[#This Row],[Ref]],Tableau1[],4,FALSE)</f>
        <v/>
      </c>
    </row>
    <row r="87">
      <c r="A87" s="136" t="inlineStr">
        <is>
          <t>34412624.PRT</t>
        </is>
      </c>
      <c r="B87" s="137">
        <f>LEFT(Tableau2[[#This Row],[n]],8)</f>
        <v/>
      </c>
      <c r="C87" s="136" t="inlineStr">
        <is>
          <t>COP CUIVRE NW40DC</t>
        </is>
      </c>
      <c r="D87" s="136">
        <f>VLOOKUP(Tableau2[[#This Row],[Ref]],Tableau1[],4,FALSE)</f>
        <v/>
      </c>
    </row>
    <row r="88">
      <c r="A88" s="136" t="inlineStr">
        <is>
          <t>34412623.PRT</t>
        </is>
      </c>
      <c r="B88" s="137">
        <f>LEFT(Tableau2[[#This Row],[n]],8)</f>
        <v/>
      </c>
      <c r="C88" s="136" t="inlineStr">
        <is>
          <t>COP CUIVRE NW40DC</t>
        </is>
      </c>
      <c r="D88" s="136">
        <f>VLOOKUP(Tableau2[[#This Row],[Ref]],Tableau1[],4,FALSE)</f>
        <v/>
      </c>
    </row>
    <row r="89">
      <c r="A89" s="136" t="inlineStr">
        <is>
          <t>34412622.PRT</t>
        </is>
      </c>
      <c r="B89" s="137">
        <f>LEFT(Tableau2[[#This Row],[n]],8)</f>
        <v/>
      </c>
      <c r="C89" s="136" t="inlineStr">
        <is>
          <t>SMT 34412622 GVX IO 1250kVA</t>
        </is>
      </c>
      <c r="D89" s="136">
        <f>VLOOKUP(Tableau2[[#This Row],[Ref]],Tableau1[],4,FALSE)</f>
        <v/>
      </c>
    </row>
    <row r="90">
      <c r="A90" s="136" t="inlineStr">
        <is>
          <t>34412620.PRT</t>
        </is>
      </c>
      <c r="B90" s="137">
        <f>LEFT(Tableau2[[#This Row],[n]],8)</f>
        <v/>
      </c>
      <c r="C90" s="136" t="inlineStr">
        <is>
          <t>SMT TOIT ALU 700x1000 TGAB I-LINE</t>
        </is>
      </c>
      <c r="D90" s="136">
        <f>VLOOKUP(Tableau2[[#This Row],[Ref]],Tableau1[],4,FALSE)</f>
        <v/>
      </c>
    </row>
    <row r="91">
      <c r="A91" s="136" t="inlineStr">
        <is>
          <t>34412619.PRT</t>
        </is>
      </c>
      <c r="B91" s="137">
        <f>LEFT(Tableau2[[#This Row],[n]],8)</f>
        <v/>
      </c>
      <c r="C91" s="136" t="inlineStr">
        <is>
          <t>PLA 34412619 GVX IO 1250kVA</t>
        </is>
      </c>
      <c r="D91" s="136">
        <f>VLOOKUP(Tableau2[[#This Row],[Ref]],Tableau1[],4,FALSE)</f>
        <v/>
      </c>
    </row>
    <row r="92">
      <c r="A92" s="136" t="inlineStr">
        <is>
          <t>34412618.PRT</t>
        </is>
      </c>
      <c r="B92" s="137">
        <f>LEFT(Tableau2[[#This Row],[n]],8)</f>
        <v/>
      </c>
      <c r="C92" s="136" t="inlineStr">
        <is>
          <t>SMT 34412618 GVX IO 1250kVA</t>
        </is>
      </c>
      <c r="D92" s="136">
        <f>VLOOKUP(Tableau2[[#This Row],[Ref]],Tableau1[],4,FALSE)</f>
        <v/>
      </c>
    </row>
    <row r="93">
      <c r="A93" s="136" t="inlineStr">
        <is>
          <t>34412617.PRT</t>
        </is>
      </c>
      <c r="B93" s="137">
        <f>LEFT(Tableau2[[#This Row],[n]],8)</f>
        <v/>
      </c>
      <c r="C93" s="136" t="inlineStr">
        <is>
          <t>SMT 34412617 GVX IO 1250kVA</t>
        </is>
      </c>
      <c r="D93" s="136">
        <f>VLOOKUP(Tableau2[[#This Row],[Ref]],Tableau1[],4,FALSE)</f>
        <v/>
      </c>
    </row>
    <row r="94">
      <c r="A94" s="136" t="inlineStr">
        <is>
          <t>34412616.PRT</t>
        </is>
      </c>
      <c r="B94" s="137">
        <f>LEFT(Tableau2[[#This Row],[n]],8)</f>
        <v/>
      </c>
      <c r="C94" s="136" t="inlineStr">
        <is>
          <t>SMT 34412616 GVX IO 1250kVA</t>
        </is>
      </c>
      <c r="D94" s="136">
        <f>VLOOKUP(Tableau2[[#This Row],[Ref]],Tableau1[],4,FALSE)</f>
        <v/>
      </c>
    </row>
    <row r="95">
      <c r="A95" s="136" t="inlineStr">
        <is>
          <t>34412615.PRT</t>
        </is>
      </c>
      <c r="B95" s="137">
        <f>LEFT(Tableau2[[#This Row],[n]],8)</f>
        <v/>
      </c>
      <c r="C95" s="136" t="inlineStr">
        <is>
          <t>SMT 34412615 GVX IO 1250kVA</t>
        </is>
      </c>
      <c r="D95" s="136">
        <f>VLOOKUP(Tableau2[[#This Row],[Ref]],Tableau1[],4,FALSE)</f>
        <v/>
      </c>
    </row>
    <row r="96">
      <c r="A96" s="136" t="inlineStr">
        <is>
          <t>34412614.PRT</t>
        </is>
      </c>
      <c r="B96" s="137">
        <f>LEFT(Tableau2[[#This Row],[n]],8)</f>
        <v/>
      </c>
      <c r="C96" s="136" t="inlineStr">
        <is>
          <t>COP 34412614 GVX IO 1250kVA</t>
        </is>
      </c>
      <c r="D96" s="136">
        <f>VLOOKUP(Tableau2[[#This Row],[Ref]],Tableau1[],4,FALSE)</f>
        <v/>
      </c>
    </row>
    <row r="97">
      <c r="A97" s="136" t="inlineStr">
        <is>
          <t>34412613.PRT</t>
        </is>
      </c>
      <c r="B97" s="137">
        <f>LEFT(Tableau2[[#This Row],[n]],8)</f>
        <v/>
      </c>
      <c r="C97" s="136" t="inlineStr">
        <is>
          <t>COP 34412613 GVX IO 1250kVA</t>
        </is>
      </c>
      <c r="D97" s="136">
        <f>VLOOKUP(Tableau2[[#This Row],[Ref]],Tableau1[],4,FALSE)</f>
        <v/>
      </c>
    </row>
    <row r="98">
      <c r="A98" s="136" t="inlineStr">
        <is>
          <t>34412612.PRT</t>
        </is>
      </c>
      <c r="B98" s="137">
        <f>LEFT(Tableau2[[#This Row],[n]],8)</f>
        <v/>
      </c>
      <c r="C98" s="136" t="inlineStr">
        <is>
          <t>COP 34412612 GVX IO 1250kVA</t>
        </is>
      </c>
      <c r="D98" s="136">
        <f>VLOOKUP(Tableau2[[#This Row],[Ref]],Tableau1[],4,FALSE)</f>
        <v/>
      </c>
    </row>
    <row r="99">
      <c r="A99" s="136" t="inlineStr">
        <is>
          <t>34412611.PRT</t>
        </is>
      </c>
      <c r="B99" s="137">
        <f>LEFT(Tableau2[[#This Row],[n]],8)</f>
        <v/>
      </c>
      <c r="C99" s="136" t="inlineStr">
        <is>
          <t>COP 34412611 GVX IO 1250kVA</t>
        </is>
      </c>
      <c r="D99" s="136">
        <f>VLOOKUP(Tableau2[[#This Row],[Ref]],Tableau1[],4,FALSE)</f>
        <v/>
      </c>
    </row>
    <row r="100">
      <c r="A100" s="136" t="inlineStr">
        <is>
          <t>34412610.PRT</t>
        </is>
      </c>
      <c r="B100" s="137">
        <f>LEFT(Tableau2[[#This Row],[n]],8)</f>
        <v/>
      </c>
      <c r="C100" s="136" t="inlineStr">
        <is>
          <t>COP 34412610 GVX IO 1250kVA</t>
        </is>
      </c>
      <c r="D100" s="136">
        <f>VLOOKUP(Tableau2[[#This Row],[Ref]],Tableau1[],4,FALSE)</f>
        <v/>
      </c>
    </row>
    <row r="101">
      <c r="A101" s="136" t="inlineStr">
        <is>
          <t>34412609.PRT</t>
        </is>
      </c>
      <c r="B101" s="137">
        <f>LEFT(Tableau2[[#This Row],[n]],8)</f>
        <v/>
      </c>
      <c r="C101" s="136" t="inlineStr">
        <is>
          <t>COP 34412609 GVX IO 1250kVA</t>
        </is>
      </c>
      <c r="D101" s="136">
        <f>VLOOKUP(Tableau2[[#This Row],[Ref]],Tableau1[],4,FALSE)</f>
        <v/>
      </c>
    </row>
    <row r="102">
      <c r="A102" s="136" t="inlineStr">
        <is>
          <t>34412608.PRT</t>
        </is>
      </c>
      <c r="B102" s="137">
        <f>LEFT(Tableau2[[#This Row],[n]],8)</f>
        <v/>
      </c>
      <c r="C102" s="136" t="inlineStr">
        <is>
          <t>COP 34412608 GVX IO 1250kVA</t>
        </is>
      </c>
      <c r="D102" s="136">
        <f>VLOOKUP(Tableau2[[#This Row],[Ref]],Tableau1[],4,FALSE)</f>
        <v/>
      </c>
    </row>
    <row r="103">
      <c r="A103" s="136" t="inlineStr">
        <is>
          <t>34412607.PRT</t>
        </is>
      </c>
      <c r="B103" s="137">
        <f>LEFT(Tableau2[[#This Row],[n]],8)</f>
        <v/>
      </c>
      <c r="C103" s="136" t="inlineStr">
        <is>
          <t>COP 34412607 GVX IO 1250kVA</t>
        </is>
      </c>
      <c r="D103" s="136">
        <f>VLOOKUP(Tableau2[[#This Row],[Ref]],Tableau1[],4,FALSE)</f>
        <v/>
      </c>
    </row>
    <row r="104">
      <c r="A104" s="136" t="inlineStr">
        <is>
          <t>34412606.PRT</t>
        </is>
      </c>
      <c r="B104" s="137">
        <f>LEFT(Tableau2[[#This Row],[n]],8)</f>
        <v/>
      </c>
      <c r="C104" s="136" t="inlineStr">
        <is>
          <t>COP 34412606 GVX IO 1250kVA</t>
        </is>
      </c>
      <c r="D104" s="136">
        <f>VLOOKUP(Tableau2[[#This Row],[Ref]],Tableau1[],4,FALSE)</f>
        <v/>
      </c>
    </row>
    <row r="105">
      <c r="A105" s="136" t="inlineStr">
        <is>
          <t>34412605.PRT</t>
        </is>
      </c>
      <c r="B105" s="137">
        <f>LEFT(Tableau2[[#This Row],[n]],8)</f>
        <v/>
      </c>
      <c r="C105" s="136" t="inlineStr">
        <is>
          <t>CANEVAS DJ NS800H 4P</t>
        </is>
      </c>
      <c r="D105" s="136">
        <f>VLOOKUP(Tableau2[[#This Row],[Ref]],Tableau1[],4,FALSE)</f>
        <v/>
      </c>
    </row>
    <row r="106">
      <c r="A106" s="136" t="inlineStr">
        <is>
          <t>34412604.PRT</t>
        </is>
      </c>
      <c r="B106" s="137">
        <f>LEFT(Tableau2[[#This Row],[n]],8)</f>
        <v/>
      </c>
      <c r="C106" s="136" t="inlineStr">
        <is>
          <t>CANEVAS DJ NS1000H</t>
        </is>
      </c>
      <c r="D106" s="136">
        <f>VLOOKUP(Tableau2[[#This Row],[Ref]],Tableau1[],4,FALSE)</f>
        <v/>
      </c>
    </row>
    <row r="107">
      <c r="A107" s="136" t="inlineStr">
        <is>
          <t>34412603.PRT</t>
        </is>
      </c>
      <c r="B107" s="137">
        <f>LEFT(Tableau2[[#This Row],[n]],8)</f>
        <v/>
      </c>
      <c r="C107" s="136" t="inlineStr">
        <is>
          <t>CANEVAS DJ NS800H 4P</t>
        </is>
      </c>
      <c r="D107" s="136">
        <f>VLOOKUP(Tableau2[[#This Row],[Ref]],Tableau1[],4,FALSE)</f>
        <v/>
      </c>
    </row>
    <row r="108">
      <c r="A108" s="136" t="inlineStr">
        <is>
          <t>34412602.PRT</t>
        </is>
      </c>
      <c r="B108" s="137">
        <f>LEFT(Tableau2[[#This Row],[n]],8)</f>
        <v/>
      </c>
      <c r="C108" s="136" t="inlineStr">
        <is>
          <t>SMT PLASTRON HAUT/BAS</t>
        </is>
      </c>
      <c r="D108" s="136">
        <f>VLOOKUP(Tableau2[[#This Row],[Ref]],Tableau1[],4,FALSE)</f>
        <v/>
      </c>
    </row>
    <row r="109">
      <c r="A109" s="136" t="inlineStr">
        <is>
          <t>34412601.PRT</t>
        </is>
      </c>
      <c r="B109" s="137">
        <f>LEFT(Tableau2[[#This Row],[n]],8)</f>
        <v/>
      </c>
      <c r="C109" s="136" t="inlineStr">
        <is>
          <t>SMT PLASTRON CENTRE</t>
        </is>
      </c>
      <c r="D109" s="136">
        <f>VLOOKUP(Tableau2[[#This Row],[Ref]],Tableau1[],4,FALSE)</f>
        <v/>
      </c>
    </row>
    <row r="110">
      <c r="A110" s="136" t="inlineStr">
        <is>
          <t>34412600.PRT</t>
        </is>
      </c>
      <c r="B110" s="137">
        <f>LEFT(Tableau2[[#This Row],[n]],8)</f>
        <v/>
      </c>
      <c r="C110" s="136" t="inlineStr">
        <is>
          <t>SMT PLASTRON NSX630</t>
        </is>
      </c>
      <c r="D110" s="136">
        <f>VLOOKUP(Tableau2[[#This Row],[Ref]],Tableau1[],4,FALSE)</f>
        <v/>
      </c>
    </row>
    <row r="111">
      <c r="A111" s="136" t="inlineStr">
        <is>
          <t>34412599.PRT</t>
        </is>
      </c>
      <c r="B111" s="137">
        <f>LEFT(Tableau2[[#This Row],[n]],8)</f>
        <v/>
      </c>
      <c r="C111" s="136" t="inlineStr">
        <is>
          <t>COP LIAISON UPS/LINERGY N</t>
        </is>
      </c>
      <c r="D111" s="136">
        <f>VLOOKUP(Tableau2[[#This Row],[Ref]],Tableau1[],4,FALSE)</f>
        <v/>
      </c>
    </row>
    <row r="112">
      <c r="A112" s="136" t="inlineStr">
        <is>
          <t>34412598.PRT</t>
        </is>
      </c>
      <c r="B112" s="137">
        <f>LEFT(Tableau2[[#This Row],[n]],8)</f>
        <v/>
      </c>
      <c r="C112" s="136" t="inlineStr">
        <is>
          <t>COP LIAISON NSX630/LINERGY L1</t>
        </is>
      </c>
      <c r="D112" s="136">
        <f>VLOOKUP(Tableau2[[#This Row],[Ref]],Tableau1[],4,FALSE)</f>
        <v/>
      </c>
    </row>
    <row r="113">
      <c r="A113" s="136" t="inlineStr">
        <is>
          <t>34412597.PRT</t>
        </is>
      </c>
      <c r="B113" s="137">
        <f>LEFT(Tableau2[[#This Row],[n]],8)</f>
        <v/>
      </c>
      <c r="C113" s="136" t="inlineStr">
        <is>
          <t>COP LIAISON NSX630/LINERGY N</t>
        </is>
      </c>
      <c r="D113" s="136">
        <f>VLOOKUP(Tableau2[[#This Row],[Ref]],Tableau1[],4,FALSE)</f>
        <v/>
      </c>
    </row>
    <row r="114">
      <c r="A114" s="136" t="inlineStr">
        <is>
          <t>34412596.PRT</t>
        </is>
      </c>
      <c r="B114" s="137">
        <f>LEFT(Tableau2[[#This Row],[n]],8)</f>
        <v/>
      </c>
      <c r="C114" s="136" t="inlineStr">
        <is>
          <t>COP LIAISON NSX630/LINERGY L3</t>
        </is>
      </c>
      <c r="D114" s="136">
        <f>VLOOKUP(Tableau2[[#This Row],[Ref]],Tableau1[],4,FALSE)</f>
        <v/>
      </c>
    </row>
    <row r="115">
      <c r="A115" s="136" t="inlineStr">
        <is>
          <t>34412595.PRT</t>
        </is>
      </c>
      <c r="B115" s="137">
        <f>LEFT(Tableau2[[#This Row],[n]],8)</f>
        <v/>
      </c>
      <c r="C115" s="136" t="inlineStr">
        <is>
          <t>COP LIAISON NSX630/LINERGY L2</t>
        </is>
      </c>
      <c r="D115" s="136">
        <f>VLOOKUP(Tableau2[[#This Row],[Ref]],Tableau1[],4,FALSE)</f>
        <v/>
      </c>
    </row>
    <row r="116">
      <c r="A116" s="136" t="inlineStr">
        <is>
          <t>34412594.PRT</t>
        </is>
      </c>
      <c r="B116" s="137">
        <f>LEFT(Tableau2[[#This Row],[n]],8)</f>
        <v/>
      </c>
      <c r="C116" s="136" t="inlineStr">
        <is>
          <t>SMT PLASTRON HAUT/BAS</t>
        </is>
      </c>
      <c r="D116" s="136">
        <f>VLOOKUP(Tableau2[[#This Row],[Ref]],Tableau1[],4,FALSE)</f>
        <v/>
      </c>
    </row>
    <row r="117">
      <c r="A117" s="136" t="inlineStr">
        <is>
          <t>34412593.PRT</t>
        </is>
      </c>
      <c r="B117" s="137">
        <f>LEFT(Tableau2[[#This Row],[n]],8)</f>
        <v/>
      </c>
      <c r="C117" s="136" t="inlineStr">
        <is>
          <t>DECOUPE 34412593 LINERGY 1600A LG 1740MM LVS04564</t>
        </is>
      </c>
      <c r="D117" s="136">
        <f>VLOOKUP(Tableau2[[#This Row],[Ref]],Tableau1[],4,FALSE)</f>
        <v/>
      </c>
    </row>
    <row r="118">
      <c r="A118" s="136" t="inlineStr">
        <is>
          <t>34412592.PRT</t>
        </is>
      </c>
      <c r="B118" s="137">
        <f>LEFT(Tableau2[[#This Row],[n]],8)</f>
        <v/>
      </c>
      <c r="C118" s="136" t="inlineStr">
        <is>
          <t>SMT PLATINE NSX630 3-4P</t>
        </is>
      </c>
      <c r="D118" s="136">
        <f>VLOOKUP(Tableau2[[#This Row],[Ref]],Tableau1[],4,FALSE)</f>
        <v/>
      </c>
    </row>
    <row r="119">
      <c r="A119" s="136" t="inlineStr">
        <is>
          <t>34412591.PRT</t>
        </is>
      </c>
      <c r="B119" s="137">
        <f>LEFT(Tableau2[[#This Row],[n]],8)</f>
        <v/>
      </c>
      <c r="C119" s="136" t="inlineStr">
        <is>
          <t>SMT SUPPORT JDB 75MM 4 POLES LVS04662</t>
        </is>
      </c>
      <c r="D119" s="136">
        <f>VLOOKUP(Tableau2[[#This Row],[Ref]],Tableau1[],4,FALSE)</f>
        <v/>
      </c>
    </row>
    <row r="120">
      <c r="A120" s="136" t="inlineStr">
        <is>
          <t>34412590.PRT</t>
        </is>
      </c>
      <c r="B120" s="137">
        <f>LEFT(Tableau2[[#This Row],[n]],8)</f>
        <v/>
      </c>
      <c r="C120" s="136" t="inlineStr">
        <is>
          <t>SMT TRAVERSE LATTERALE PLATINE</t>
        </is>
      </c>
      <c r="D120" s="136">
        <f>VLOOKUP(Tableau2[[#This Row],[Ref]],Tableau1[],4,FALSE)</f>
        <v/>
      </c>
    </row>
    <row r="121">
      <c r="A121" s="136" t="inlineStr">
        <is>
          <t>34412589.PRT</t>
        </is>
      </c>
      <c r="B121" s="137">
        <f>LEFT(Tableau2[[#This Row],[n]],8)</f>
        <v/>
      </c>
      <c r="C121" s="136" t="inlineStr">
        <is>
          <t>SMT SUPPORT LYNERGY 1600A</t>
        </is>
      </c>
      <c r="D121" s="136">
        <f>VLOOKUP(Tableau2[[#This Row],[Ref]],Tableau1[],4,FALSE)</f>
        <v/>
      </c>
    </row>
    <row r="122">
      <c r="A122" s="136" t="inlineStr">
        <is>
          <t>34412588.PRT</t>
        </is>
      </c>
      <c r="B122" s="137">
        <f>LEFT(Tableau2[[#This Row],[n]],8)</f>
        <v/>
      </c>
      <c r="C122" s="136" t="inlineStr">
        <is>
          <t>SMT SUPPORT HAUT STRUCTURE BIRDY</t>
        </is>
      </c>
      <c r="D122" s="136">
        <f>VLOOKUP(Tableau2[[#This Row],[Ref]],Tableau1[],4,FALSE)</f>
        <v/>
      </c>
    </row>
    <row r="123">
      <c r="A123" s="136" t="inlineStr">
        <is>
          <t>34412587.PRT</t>
        </is>
      </c>
      <c r="B123" s="137">
        <f>LEFT(Tableau2[[#This Row],[n]],8)</f>
        <v/>
      </c>
      <c r="C123" s="136" t="inlineStr">
        <is>
          <t>COP PLAGE TGAB 1250A</t>
        </is>
      </c>
      <c r="D123" s="136">
        <f>VLOOKUP(Tableau2[[#This Row],[Ref]],Tableau1[],4,FALSE)</f>
        <v/>
      </c>
    </row>
    <row r="124">
      <c r="A124" s="136" t="inlineStr">
        <is>
          <t>34412586.PRT</t>
        </is>
      </c>
      <c r="B124" s="137">
        <f>LEFT(Tableau2[[#This Row],[n]],8)</f>
        <v/>
      </c>
      <c r="C124" s="136" t="inlineStr">
        <is>
          <t>SMT SUPPORT PLATINE</t>
        </is>
      </c>
      <c r="D124" s="136">
        <f>VLOOKUP(Tableau2[[#This Row],[Ref]],Tableau1[],4,FALSE)</f>
        <v/>
      </c>
    </row>
    <row r="125">
      <c r="A125" s="136" t="inlineStr">
        <is>
          <t>34412585.PRT</t>
        </is>
      </c>
      <c r="B125" s="137">
        <f>LEFT(Tableau2[[#This Row],[n]],8)</f>
        <v/>
      </c>
      <c r="C125" s="136" t="inlineStr">
        <is>
          <t>DECOUPE 34412585 LINERGY 1600A LG 940MM LVS04564</t>
        </is>
      </c>
      <c r="D125" s="136">
        <f>VLOOKUP(Tableau2[[#This Row],[Ref]],Tableau1[],4,FALSE)</f>
        <v/>
      </c>
    </row>
    <row r="126">
      <c r="A126" s="136" t="inlineStr">
        <is>
          <t>34412584.PRT</t>
        </is>
      </c>
      <c r="B126" s="137">
        <f>LEFT(Tableau2[[#This Row],[n]],8)</f>
        <v/>
      </c>
      <c r="C126" s="136" t="inlineStr">
        <is>
          <t>SMT SUPPORT PLATINE</t>
        </is>
      </c>
      <c r="D126" s="136">
        <f>VLOOKUP(Tableau2[[#This Row],[Ref]],Tableau1[],4,FALSE)</f>
        <v/>
      </c>
    </row>
    <row r="127">
      <c r="A127" s="136" t="inlineStr">
        <is>
          <t>34412581.PRT</t>
        </is>
      </c>
      <c r="B127" s="137">
        <f>LEFT(Tableau2[[#This Row],[n]],8)</f>
        <v/>
      </c>
      <c r="C127" s="136" t="inlineStr">
        <is>
          <t>SMT SUPPORT RAIL + GOULOTTES ARRIERE L618</t>
        </is>
      </c>
      <c r="D127" s="136">
        <f>VLOOKUP(Tableau2[[#This Row],[Ref]],Tableau1[],4,FALSE)</f>
        <v/>
      </c>
    </row>
    <row r="128">
      <c r="A128" s="136" t="inlineStr">
        <is>
          <t>34412580.PRT</t>
        </is>
      </c>
      <c r="B128" s="137">
        <f>LEFT(Tableau2[[#This Row],[n]],8)</f>
        <v/>
      </c>
      <c r="C128" s="136" t="inlineStr">
        <is>
          <t>SMT PLASTRON 2 GVBBK630EL</t>
        </is>
      </c>
      <c r="D128" s="136">
        <f>VLOOKUP(Tableau2[[#This Row],[Ref]],Tableau1[],4,FALSE)</f>
        <v/>
      </c>
    </row>
    <row r="129">
      <c r="A129" s="136" t="inlineStr">
        <is>
          <t>34412578.PRT</t>
        </is>
      </c>
      <c r="B129" s="137">
        <f>LEFT(Tableau2[[#This Row],[n]],8)</f>
        <v/>
      </c>
      <c r="C129" s="136" t="inlineStr">
        <is>
          <t>TOIT SF/SFN 700x800mm RAL7035 _ 168724/01</t>
        </is>
      </c>
      <c r="D129" s="136">
        <f>VLOOKUP(Tableau2[[#This Row],[Ref]],Tableau1[],4,FALSE)</f>
        <v/>
      </c>
    </row>
    <row r="130">
      <c r="A130" s="136" t="inlineStr">
        <is>
          <t>34412574.PRT</t>
        </is>
      </c>
      <c r="B130" s="137">
        <f>LEFT(Tableau2[[#This Row],[n]],8)</f>
        <v/>
      </c>
      <c r="C130" s="136" t="inlineStr">
        <is>
          <t>SMT PLASTRON AEREE ARMOIRE 700 SAREL</t>
        </is>
      </c>
      <c r="D130" s="136">
        <f>VLOOKUP(Tableau2[[#This Row],[Ref]],Tableau1[],4,FALSE)</f>
        <v/>
      </c>
    </row>
    <row r="131">
      <c r="A131" s="136" t="inlineStr">
        <is>
          <t>34412573.PRT</t>
        </is>
      </c>
      <c r="B131" s="137">
        <f>LEFT(Tableau2[[#This Row],[n]],8)</f>
        <v/>
      </c>
      <c r="C131" s="136" t="inlineStr">
        <is>
          <t>DECOUPE CABLOFIL CF54300EZ LG 1500mm</t>
        </is>
      </c>
      <c r="D131" s="136">
        <f>VLOOKUP(Tableau2[[#This Row],[Ref]],Tableau1[],4,FALSE)</f>
        <v/>
      </c>
    </row>
    <row r="132">
      <c r="A132" s="136" t="inlineStr">
        <is>
          <t>34412569.PRT</t>
        </is>
      </c>
      <c r="B132" s="137">
        <f>LEFT(Tableau2[[#This Row],[n]],8)</f>
        <v/>
      </c>
      <c r="C132" s="136" t="inlineStr">
        <is>
          <t>REHAUSSE 225MM POUR TETE DE GAINE A BARRE</t>
        </is>
      </c>
      <c r="D132" s="136">
        <f>VLOOKUP(Tableau2[[#This Row],[Ref]],Tableau1[],4,FALSE)</f>
        <v/>
      </c>
    </row>
    <row r="133">
      <c r="A133" s="136" t="inlineStr">
        <is>
          <t>34412568.PRT</t>
        </is>
      </c>
      <c r="B133" s="137">
        <f>LEFT(Tableau2[[#This Row],[n]],8)</f>
        <v/>
      </c>
      <c r="C133" s="136" t="inlineStr">
        <is>
          <t>CB NS1000H 4P4D Micro2.0 + 1OF + Padlock</t>
        </is>
      </c>
      <c r="D133" s="136">
        <f>VLOOKUP(Tableau2[[#This Row],[Ref]],Tableau1[],4,FALSE)</f>
        <v/>
      </c>
    </row>
    <row r="134">
      <c r="A134" s="136" t="inlineStr">
        <is>
          <t>34412567.PRT</t>
        </is>
      </c>
      <c r="B134" s="137">
        <f>LEFT(Tableau2[[#This Row],[n]],8)</f>
        <v/>
      </c>
      <c r="C134" s="136" t="inlineStr">
        <is>
          <t>SMT 34411450 JONCTION INTER CELLULE 800 RAL9003</t>
        </is>
      </c>
      <c r="D134" s="136">
        <f>VLOOKUP(Tableau2[[#This Row],[Ref]],Tableau1[],4,FALSE)</f>
        <v/>
      </c>
    </row>
    <row r="135">
      <c r="A135" s="136" t="inlineStr">
        <is>
          <t>34412566.PRT</t>
        </is>
      </c>
      <c r="B135" s="137">
        <f>LEFT(Tableau2[[#This Row],[n]],8)</f>
        <v/>
      </c>
      <c r="C135" s="136" t="inlineStr">
        <is>
          <t>WOOD 34412566 PALETTE 2100x1000 PLANCHER CROISE</t>
        </is>
      </c>
      <c r="D135" s="136">
        <f>VLOOKUP(Tableau2[[#This Row],[Ref]],Tableau1[],4,FALSE)</f>
        <v/>
      </c>
    </row>
    <row r="136">
      <c r="A136" s="136" t="inlineStr">
        <is>
          <t>34412565.PRT</t>
        </is>
      </c>
      <c r="B136" s="137">
        <f>LEFT(Tableau2[[#This Row],[n]],8)</f>
        <v/>
      </c>
      <c r="C136" s="136" t="inlineStr">
        <is>
          <t>ETQ 34412564 STS 1250A EN MIMIQUE Lexan 8B35 125µ Adhesif 3M 467 MP</t>
        </is>
      </c>
      <c r="D136" s="136">
        <f>VLOOKUP(Tableau2[[#This Row],[Ref]],Tableau1[],4,FALSE)</f>
        <v/>
      </c>
    </row>
    <row r="137">
      <c r="A137" s="136" t="inlineStr">
        <is>
          <t>34412564.PRT</t>
        </is>
      </c>
      <c r="B137" s="137">
        <f>LEFT(Tableau2[[#This Row],[n]],8)</f>
        <v/>
      </c>
      <c r="C137" s="136" t="inlineStr">
        <is>
          <t>ETQ 34412564 STS 1250A EN/ES MIMIQUE Lexan 8B35 125µ Adhesif 3M 467 MP</t>
        </is>
      </c>
      <c r="D137" s="136">
        <f>VLOOKUP(Tableau2[[#This Row],[Ref]],Tableau1[],4,FALSE)</f>
        <v/>
      </c>
    </row>
    <row r="138">
      <c r="A138" s="136" t="inlineStr">
        <is>
          <t>34412562.PRT</t>
        </is>
      </c>
      <c r="B138" s="137">
        <f>LEFT(Tableau2[[#This Row],[n]],8)</f>
        <v/>
      </c>
      <c r="C138" s="136" t="inlineStr">
        <is>
          <t>PLA 34412562 GVS BYPASS MONITORING</t>
        </is>
      </c>
      <c r="D138" s="136">
        <f>VLOOKUP(Tableau2[[#This Row],[Ref]],Tableau1[],4,FALSE)</f>
        <v/>
      </c>
    </row>
    <row r="139">
      <c r="A139" s="136" t="inlineStr">
        <is>
          <t>34412561.PRT</t>
        </is>
      </c>
      <c r="B139" s="137">
        <f>LEFT(Tableau2[[#This Row],[n]],8)</f>
        <v/>
      </c>
      <c r="C139" s="136" t="inlineStr">
        <is>
          <t>Symbol A02 - OD745555 - 1xKSUPS-FSB-P-CC6-24D + 2xCL1019-FS +2xFK4-NI</t>
        </is>
      </c>
      <c r="D139" s="136">
        <f>VLOOKUP(Tableau2[[#This Row],[Ref]],Tableau1[],4,FALSE)</f>
        <v/>
      </c>
    </row>
    <row r="140">
      <c r="A140" s="136" t="inlineStr">
        <is>
          <t>34412560.PRT</t>
        </is>
      </c>
      <c r="B140" s="137">
        <f>LEFT(Tableau2[[#This Row],[n]],8)</f>
        <v/>
      </c>
      <c r="C140" s="136" t="inlineStr">
        <is>
          <t>Symbol A01 - OD745554 - 1xKSUPS-FSB-P-CC6-24D + 2xCL1019-FS +2xFK4-NI</t>
        </is>
      </c>
      <c r="D140" s="136">
        <f>VLOOKUP(Tableau2[[#This Row],[Ref]],Tableau1[],4,FALSE)</f>
        <v/>
      </c>
    </row>
    <row r="141">
      <c r="A141" s="136" t="inlineStr">
        <is>
          <t>34412559.PRT</t>
        </is>
      </c>
      <c r="B141" s="137">
        <f>LEFT(Tableau2[[#This Row],[n]],8)</f>
        <v/>
      </c>
      <c r="C141" s="136" t="inlineStr">
        <is>
          <t>34412559.asm</t>
        </is>
      </c>
      <c r="D141" s="136">
        <f>VLOOKUP(Tableau2[[#This Row],[Ref]],Tableau1[],4,FALSE)</f>
        <v/>
      </c>
    </row>
    <row r="142">
      <c r="A142" s="136" t="inlineStr">
        <is>
          <t>34412558.PRT</t>
        </is>
      </c>
      <c r="B142" s="137">
        <f>LEFT(Tableau2[[#This Row],[n]],8)</f>
        <v/>
      </c>
      <c r="C142" s="136" t="inlineStr">
        <is>
          <t>34412558</t>
        </is>
      </c>
      <c r="D142" s="136">
        <f>VLOOKUP(Tableau2[[#This Row],[Ref]],Tableau1[],4,FALSE)</f>
        <v/>
      </c>
    </row>
    <row r="143">
      <c r="A143" s="136" t="inlineStr">
        <is>
          <t>34412557.PRT</t>
        </is>
      </c>
      <c r="B143" s="137">
        <f>LEFT(Tableau2[[#This Row],[n]],8)</f>
        <v/>
      </c>
      <c r="C143" s="136" t="inlineStr">
        <is>
          <t>SMT 34412557 RENFORT DE STRUCTURE BIRDY 1000</t>
        </is>
      </c>
      <c r="D143" s="136">
        <f>VLOOKUP(Tableau2[[#This Row],[Ref]],Tableau1[],4,FALSE)</f>
        <v/>
      </c>
    </row>
    <row r="144">
      <c r="A144" s="136" t="inlineStr">
        <is>
          <t>34412556.PRT</t>
        </is>
      </c>
      <c r="B144" s="137">
        <f>LEFT(Tableau2[[#This Row],[n]],8)</f>
        <v/>
      </c>
      <c r="C144" s="136" t="inlineStr">
        <is>
          <t>SMT PLASTRON POWER DISTRIB</t>
        </is>
      </c>
      <c r="D144" s="136">
        <f>VLOOKUP(Tableau2[[#This Row],[Ref]],Tableau1[],4,FALSE)</f>
        <v/>
      </c>
    </row>
    <row r="145">
      <c r="A145" s="136" t="inlineStr">
        <is>
          <t>34412555.PRT</t>
        </is>
      </c>
      <c r="B145" s="137">
        <f>LEFT(Tableau2[[#This Row],[n]],8)</f>
        <v/>
      </c>
      <c r="C145" s="136" t="inlineStr">
        <is>
          <t>SMT PLASTRON MONITORING</t>
        </is>
      </c>
      <c r="D145" s="136">
        <f>VLOOKUP(Tableau2[[#This Row],[Ref]],Tableau1[],4,FALSE)</f>
        <v/>
      </c>
    </row>
    <row r="146">
      <c r="A146" s="136" t="inlineStr">
        <is>
          <t>34412554.PRT</t>
        </is>
      </c>
      <c r="B146" s="137">
        <f>LEFT(Tableau2[[#This Row],[n]],8)</f>
        <v/>
      </c>
      <c r="C146" s="136" t="inlineStr">
        <is>
          <t>SMT PLASTRON POWER TERMINAL</t>
        </is>
      </c>
      <c r="D146" s="136">
        <f>VLOOKUP(Tableau2[[#This Row],[Ref]],Tableau1[],4,FALSE)</f>
        <v/>
      </c>
    </row>
    <row r="147">
      <c r="A147" s="136" t="inlineStr">
        <is>
          <t>34412553.PRT</t>
        </is>
      </c>
      <c r="B147" s="137">
        <f>LEFT(Tableau2[[#This Row],[n]],8)</f>
        <v/>
      </c>
      <c r="C147" s="136" t="inlineStr">
        <is>
          <t>SMT PLASTRON POWER DISTRIB</t>
        </is>
      </c>
      <c r="D147" s="136">
        <f>VLOOKUP(Tableau2[[#This Row],[Ref]],Tableau1[],4,FALSE)</f>
        <v/>
      </c>
    </row>
    <row r="148">
      <c r="A148" s="136" t="inlineStr">
        <is>
          <t>34412552.PRT</t>
        </is>
      </c>
      <c r="B148" s="137">
        <f>LEFT(Tableau2[[#This Row],[n]],8)</f>
        <v/>
      </c>
      <c r="C148" s="136" t="inlineStr">
        <is>
          <t>SMT PLASTRON IM400 FULL</t>
        </is>
      </c>
      <c r="D148" s="136">
        <f>VLOOKUP(Tableau2[[#This Row],[Ref]],Tableau1[],4,FALSE)</f>
        <v/>
      </c>
    </row>
    <row r="149">
      <c r="A149" s="136" t="inlineStr">
        <is>
          <t>34412551.PRT</t>
        </is>
      </c>
      <c r="B149" s="137">
        <f>LEFT(Tableau2[[#This Row],[n]],8)</f>
        <v/>
      </c>
      <c r="C149" s="136" t="inlineStr">
        <is>
          <t>SMT PLASTRON MONITORING</t>
        </is>
      </c>
      <c r="D149" s="136">
        <f>VLOOKUP(Tableau2[[#This Row],[Ref]],Tableau1[],4,FALSE)</f>
        <v/>
      </c>
    </row>
    <row r="150">
      <c r="A150" s="136" t="inlineStr">
        <is>
          <t>34412550.PRT</t>
        </is>
      </c>
      <c r="B150" s="137">
        <f>LEFT(Tableau2[[#This Row],[n]],8)</f>
        <v/>
      </c>
      <c r="C150" s="136" t="inlineStr">
        <is>
          <t>SMT PLASTRON HAUT / BAS</t>
        </is>
      </c>
      <c r="D150" s="136">
        <f>VLOOKUP(Tableau2[[#This Row],[Ref]],Tableau1[],4,FALSE)</f>
        <v/>
      </c>
    </row>
    <row r="151">
      <c r="A151" s="136" t="inlineStr">
        <is>
          <t>34412549.PRT</t>
        </is>
      </c>
      <c r="B151" s="137">
        <f>LEFT(Tableau2[[#This Row],[n]],8)</f>
        <v/>
      </c>
      <c r="C151" s="136" t="inlineStr">
        <is>
          <t>DECOUPE CABLOFIL CF54300EZ LG 500mm</t>
        </is>
      </c>
      <c r="D151" s="136">
        <f>VLOOKUP(Tableau2[[#This Row],[Ref]],Tableau1[],4,FALSE)</f>
        <v/>
      </c>
    </row>
    <row r="152">
      <c r="A152" s="136" t="inlineStr">
        <is>
          <t>34412548.PRT</t>
        </is>
      </c>
      <c r="B152" s="137">
        <f>LEFT(Tableau2[[#This Row],[n]],8)</f>
        <v/>
      </c>
      <c r="C152" s="136" t="inlineStr">
        <is>
          <t>DECOUPE CABLOFIL CF54300EZ LG 700mm</t>
        </is>
      </c>
      <c r="D152" s="136">
        <f>VLOOKUP(Tableau2[[#This Row],[Ref]],Tableau1[],4,FALSE)</f>
        <v/>
      </c>
    </row>
    <row r="153">
      <c r="A153" s="136" t="inlineStr">
        <is>
          <t>34412547.PRT</t>
        </is>
      </c>
      <c r="B153" s="137">
        <f>LEFT(Tableau2[[#This Row],[n]],8)</f>
        <v/>
      </c>
      <c r="C153" s="136" t="inlineStr">
        <is>
          <t>PLA PLASTRON MAKROLON POWER DISTRIB</t>
        </is>
      </c>
      <c r="D153" s="136">
        <f>VLOOKUP(Tableau2[[#This Row],[Ref]],Tableau1[],4,FALSE)</f>
        <v/>
      </c>
    </row>
    <row r="154">
      <c r="A154" s="136" t="inlineStr">
        <is>
          <t>34412546.PRT</t>
        </is>
      </c>
      <c r="B154" s="137">
        <f>LEFT(Tableau2[[#This Row],[n]],8)</f>
        <v/>
      </c>
      <c r="C154" s="136" t="inlineStr">
        <is>
          <t>PLA PLASTRON MAKROLON MONITORING</t>
        </is>
      </c>
      <c r="D154" s="136">
        <f>VLOOKUP(Tableau2[[#This Row],[Ref]],Tableau1[],4,FALSE)</f>
        <v/>
      </c>
    </row>
    <row r="155">
      <c r="A155" s="136" t="inlineStr">
        <is>
          <t>34412545.PRT</t>
        </is>
      </c>
      <c r="B155" s="137">
        <f>LEFT(Tableau2[[#This Row],[n]],8)</f>
        <v/>
      </c>
      <c r="C155" s="136" t="inlineStr">
        <is>
          <t>SMT 34412545 TOIT GLAVA 1000x800 VENTILE</t>
        </is>
      </c>
      <c r="D155" s="136">
        <f>VLOOKUP(Tableau2[[#This Row],[Ref]],Tableau1[],4,FALSE)</f>
        <v/>
      </c>
    </row>
    <row r="156">
      <c r="A156" s="136" t="inlineStr">
        <is>
          <t>34412544.PRT</t>
        </is>
      </c>
      <c r="B156" s="137">
        <f>LEFT(Tableau2[[#This Row],[n]],8)</f>
        <v/>
      </c>
      <c r="C156" s="136" t="inlineStr">
        <is>
          <t>SMT REHAUSSE 1000MM H70MM AV. PLEIN RAL9003</t>
        </is>
      </c>
      <c r="D156" s="136">
        <f>VLOOKUP(Tableau2[[#This Row],[Ref]],Tableau1[],4,FALSE)</f>
        <v/>
      </c>
    </row>
    <row r="157">
      <c r="A157" s="136" t="inlineStr">
        <is>
          <t>34412543.PRT</t>
        </is>
      </c>
      <c r="B157" s="137">
        <f>LEFT(Tableau2[[#This Row],[n]],8)</f>
        <v/>
      </c>
      <c r="C157" s="136" t="inlineStr">
        <is>
          <t>SMT REHAUSSE 700MM H70MM AV. PLEIN RAL9003</t>
        </is>
      </c>
      <c r="D157" s="136">
        <f>VLOOKUP(Tableau2[[#This Row],[Ref]],Tableau1[],4,FALSE)</f>
        <v/>
      </c>
    </row>
    <row r="158">
      <c r="A158" s="136" t="inlineStr">
        <is>
          <t>34412542.PRT</t>
        </is>
      </c>
      <c r="B158" s="137">
        <f>LEFT(Tableau2[[#This Row],[n]],8)</f>
        <v/>
      </c>
      <c r="C158" s="136" t="inlineStr">
        <is>
          <t>SMT 34412542 SERRAGE SUPPORT TFO</t>
        </is>
      </c>
      <c r="D158" s="136">
        <f>VLOOKUP(Tableau2[[#This Row],[Ref]],Tableau1[],4,FALSE)</f>
        <v/>
      </c>
    </row>
    <row r="159">
      <c r="A159" s="136" t="inlineStr">
        <is>
          <t>34412541.PRT</t>
        </is>
      </c>
      <c r="B159" s="137">
        <f>LEFT(Tableau2[[#This Row],[n]],8)</f>
        <v/>
      </c>
      <c r="C159" s="136" t="inlineStr">
        <is>
          <t>SMT 34412541 SUPPORT TFO 1000 BAS RENFORCE</t>
        </is>
      </c>
      <c r="D159" s="136">
        <f>VLOOKUP(Tableau2[[#This Row],[Ref]],Tableau1[],4,FALSE)</f>
        <v/>
      </c>
    </row>
    <row r="160">
      <c r="A160" s="136" t="inlineStr">
        <is>
          <t>34412540.PRT</t>
        </is>
      </c>
      <c r="B160" s="137">
        <f>LEFT(Tableau2[[#This Row],[n]],8)</f>
        <v/>
      </c>
      <c r="C160" s="136" t="inlineStr">
        <is>
          <t>SMT 34412540 SUPPORT TFO 700 BAS RENFORCE</t>
        </is>
      </c>
      <c r="D160" s="136">
        <f>VLOOKUP(Tableau2[[#This Row],[Ref]],Tableau1[],4,FALSE)</f>
        <v/>
      </c>
    </row>
    <row r="161">
      <c r="A161" s="136" t="inlineStr">
        <is>
          <t>34412539.PRT</t>
        </is>
      </c>
      <c r="B161" s="137">
        <f>LEFT(Tableau2[[#This Row],[n]],8)</f>
        <v/>
      </c>
      <c r="C161" s="136" t="inlineStr">
        <is>
          <t>PLA PLASTRON MAKROLON POWER DISTRIB</t>
        </is>
      </c>
      <c r="D161" s="136">
        <f>VLOOKUP(Tableau2[[#This Row],[Ref]],Tableau1[],4,FALSE)</f>
        <v/>
      </c>
    </row>
    <row r="162">
      <c r="A162" s="136" t="inlineStr">
        <is>
          <t>34412538.PRT</t>
        </is>
      </c>
      <c r="B162" s="137">
        <f>LEFT(Tableau2[[#This Row],[n]],8)</f>
        <v/>
      </c>
      <c r="C162" s="136" t="inlineStr">
        <is>
          <t>PLA PLASTRON MAKROLON MONITORING</t>
        </is>
      </c>
      <c r="D162" s="136">
        <f>VLOOKUP(Tableau2[[#This Row],[Ref]],Tableau1[],4,FALSE)</f>
        <v/>
      </c>
    </row>
    <row r="163">
      <c r="A163" s="136" t="inlineStr">
        <is>
          <t>34412537.PRT</t>
        </is>
      </c>
      <c r="B163" s="137">
        <f>LEFT(Tableau2[[#This Row],[n]],8)</f>
        <v/>
      </c>
      <c r="C163" s="136" t="inlineStr">
        <is>
          <t>SMT 34412537 SUPPORT TFO 1000 BAS/HAUT STD</t>
        </is>
      </c>
      <c r="D163" s="136">
        <f>VLOOKUP(Tableau2[[#This Row],[Ref]],Tableau1[],4,FALSE)</f>
        <v/>
      </c>
    </row>
    <row r="164">
      <c r="A164" s="136" t="inlineStr">
        <is>
          <t>34412536.PRT</t>
        </is>
      </c>
      <c r="B164" s="137">
        <f>LEFT(Tableau2[[#This Row],[n]],8)</f>
        <v/>
      </c>
      <c r="C164" s="136" t="inlineStr">
        <is>
          <t>SMT 34412536 SUPPORT TFO 700 BAS/HAUT STD</t>
        </is>
      </c>
      <c r="D164" s="136">
        <f>VLOOKUP(Tableau2[[#This Row],[Ref]],Tableau1[],4,FALSE)</f>
        <v/>
      </c>
    </row>
    <row r="165">
      <c r="A165" s="136" t="inlineStr">
        <is>
          <t>34412535.PRT</t>
        </is>
      </c>
      <c r="B165" s="137">
        <f>LEFT(Tableau2[[#This Row],[n]],8)</f>
        <v/>
      </c>
      <c r="C165" s="136" t="inlineStr">
        <is>
          <t>PLA PLASTRON IM400</t>
        </is>
      </c>
      <c r="D165" s="136">
        <f>VLOOKUP(Tableau2[[#This Row],[Ref]],Tableau1[],4,FALSE)</f>
        <v/>
      </c>
    </row>
    <row r="166">
      <c r="A166" s="136" t="inlineStr">
        <is>
          <t>34412534.PRT</t>
        </is>
      </c>
      <c r="B166" s="137">
        <f>LEFT(Tableau2[[#This Row],[n]],8)</f>
        <v/>
      </c>
      <c r="C166" s="136" t="inlineStr">
        <is>
          <t>SMT 34412534 SUPPORT GOULOTTE 1000</t>
        </is>
      </c>
      <c r="D166" s="136">
        <f>VLOOKUP(Tableau2[[#This Row],[Ref]],Tableau1[],4,FALSE)</f>
        <v/>
      </c>
    </row>
    <row r="167">
      <c r="A167" s="136" t="inlineStr">
        <is>
          <t>34412533.PRT</t>
        </is>
      </c>
      <c r="B167" s="137">
        <f>LEFT(Tableau2[[#This Row],[n]],8)</f>
        <v/>
      </c>
      <c r="C167" s="136" t="inlineStr">
        <is>
          <t>SMT 34412533 SUPPORT GOULOTTE 700</t>
        </is>
      </c>
      <c r="D167" s="136">
        <f>VLOOKUP(Tableau2[[#This Row],[Ref]],Tableau1[],4,FALSE)</f>
        <v/>
      </c>
    </row>
    <row r="168">
      <c r="A168" s="136" t="inlineStr">
        <is>
          <t>34412531.PRT</t>
        </is>
      </c>
      <c r="B168" s="137">
        <f>LEFT(Tableau2[[#This Row],[n]],8)</f>
        <v/>
      </c>
      <c r="C168" s="136" t="inlineStr">
        <is>
          <t>PLA 34412531 GVS BYPASS POWER DISTRIBUTION</t>
        </is>
      </c>
      <c r="D168" s="136">
        <f>VLOOKUP(Tableau2[[#This Row],[Ref]],Tableau1[],4,FALSE)</f>
        <v/>
      </c>
    </row>
    <row r="169">
      <c r="A169" s="136" t="inlineStr">
        <is>
          <t>34412530.PRT</t>
        </is>
      </c>
      <c r="B169" s="137">
        <f>LEFT(Tableau2[[#This Row],[n]],8)</f>
        <v/>
      </c>
      <c r="C169" s="136" t="inlineStr">
        <is>
          <t>PLA 34412530 GVS BYPASS MONITORING + IC60</t>
        </is>
      </c>
      <c r="D169" s="136">
        <f>VLOOKUP(Tableau2[[#This Row],[Ref]],Tableau1[],4,FALSE)</f>
        <v/>
      </c>
    </row>
    <row r="170">
      <c r="A170" s="136" t="inlineStr">
        <is>
          <t>34412529.PRT</t>
        </is>
      </c>
      <c r="B170" s="137">
        <f>LEFT(Tableau2[[#This Row],[n]],8)</f>
        <v/>
      </c>
      <c r="C170" s="136" t="inlineStr">
        <is>
          <t>PLA 34412529 PLASTRON POWER DISTRIB</t>
        </is>
      </c>
      <c r="D170" s="136">
        <f>VLOOKUP(Tableau2[[#This Row],[Ref]],Tableau1[],4,FALSE)</f>
        <v/>
      </c>
    </row>
    <row r="171">
      <c r="A171" s="136" t="inlineStr">
        <is>
          <t>34412526.PRT</t>
        </is>
      </c>
      <c r="B171" s="137">
        <f>LEFT(Tableau2[[#This Row],[n]],8)</f>
        <v/>
      </c>
      <c r="C171" s="136" t="inlineStr">
        <is>
          <t>WIR 34412526  STS 1250A NNC NEUTRAL FILTERS</t>
        </is>
      </c>
      <c r="D171" s="136">
        <f>VLOOKUP(Tableau2[[#This Row],[Ref]],Tableau1[],4,FALSE)</f>
        <v/>
      </c>
    </row>
    <row r="172">
      <c r="A172" s="136" t="inlineStr">
        <is>
          <t>34412525.PRT</t>
        </is>
      </c>
      <c r="B172" s="137">
        <f>LEFT(Tableau2[[#This Row],[n]],8)</f>
        <v/>
      </c>
      <c r="C172" s="136" t="inlineStr">
        <is>
          <t>PLA 34412525  STS 1250A SUPPORT NEUTRE FILS</t>
        </is>
      </c>
      <c r="D172" s="136">
        <f>VLOOKUP(Tableau2[[#This Row],[Ref]],Tableau1[],4,FALSE)</f>
        <v/>
      </c>
    </row>
    <row r="173">
      <c r="A173" s="136" t="inlineStr">
        <is>
          <t>34412523.PRT</t>
        </is>
      </c>
      <c r="B173" s="137">
        <f>LEFT(Tableau2[[#This Row],[n]],8)</f>
        <v/>
      </c>
      <c r="C173" s="136" t="inlineStr">
        <is>
          <t>PLA PLASTRON HAUT / BAS</t>
        </is>
      </c>
      <c r="D173" s="136">
        <f>VLOOKUP(Tableau2[[#This Row],[Ref]],Tableau1[],4,FALSE)</f>
        <v/>
      </c>
    </row>
    <row r="174">
      <c r="A174" s="136" t="inlineStr">
        <is>
          <t>34412522.PRT</t>
        </is>
      </c>
      <c r="B174" s="137">
        <f>LEFT(Tableau2[[#This Row],[n]],8)</f>
        <v/>
      </c>
      <c r="C174" s="136" t="inlineStr">
        <is>
          <t>PLA PLASTRON MONITORING PLEIN</t>
        </is>
      </c>
      <c r="D174" s="136">
        <f>VLOOKUP(Tableau2[[#This Row],[Ref]],Tableau1[],4,FALSE)</f>
        <v/>
      </c>
    </row>
    <row r="175">
      <c r="A175" s="136" t="inlineStr">
        <is>
          <t>34412521.PRT</t>
        </is>
      </c>
      <c r="B175" s="137">
        <f>LEFT(Tableau2[[#This Row],[n]],8)</f>
        <v/>
      </c>
      <c r="C175" s="136" t="inlineStr">
        <is>
          <t>PLA PLASTRON POWER TERMINAL</t>
        </is>
      </c>
      <c r="D175" s="136">
        <f>VLOOKUP(Tableau2[[#This Row],[Ref]],Tableau1[],4,FALSE)</f>
        <v/>
      </c>
    </row>
    <row r="176">
      <c r="A176" s="136" t="inlineStr">
        <is>
          <t>34412520.PRT</t>
        </is>
      </c>
      <c r="B176" s="137">
        <f>LEFT(Tableau2[[#This Row],[n]],8)</f>
        <v/>
      </c>
      <c r="C176" s="136" t="inlineStr">
        <is>
          <t>PLA PLASTRON POWER DISTRIB</t>
        </is>
      </c>
      <c r="D176" s="136">
        <f>VLOOKUP(Tableau2[[#This Row],[Ref]],Tableau1[],4,FALSE)</f>
        <v/>
      </c>
    </row>
    <row r="177">
      <c r="A177" s="136" t="inlineStr">
        <is>
          <t>34412519.PRT</t>
        </is>
      </c>
      <c r="B177" s="137">
        <f>LEFT(Tableau2[[#This Row],[n]],8)</f>
        <v/>
      </c>
      <c r="C177" s="136" t="inlineStr">
        <is>
          <t>PLA PLASTRON IM400 PLEIN</t>
        </is>
      </c>
      <c r="D177" s="136">
        <f>VLOOKUP(Tableau2[[#This Row],[Ref]],Tableau1[],4,FALSE)</f>
        <v/>
      </c>
    </row>
    <row r="178">
      <c r="A178" s="136" t="inlineStr">
        <is>
          <t>34412518.PRT</t>
        </is>
      </c>
      <c r="B178" s="137">
        <f>LEFT(Tableau2[[#This Row],[n]],8)</f>
        <v/>
      </c>
      <c r="C178" s="136" t="inlineStr">
        <is>
          <t>SMT 34412518  STS 1250A SUPPORT CONNECTEUR NC</t>
        </is>
      </c>
      <c r="D178" s="136">
        <f>VLOOKUP(Tableau2[[#This Row],[Ref]],Tableau1[],4,FALSE)</f>
        <v/>
      </c>
    </row>
    <row r="179">
      <c r="A179" s="136" t="inlineStr">
        <is>
          <t>34412517.PRT</t>
        </is>
      </c>
      <c r="B179" s="137">
        <f>LEFT(Tableau2[[#This Row],[n]],8)</f>
        <v/>
      </c>
      <c r="C179" s="136" t="inlineStr">
        <is>
          <t>34412517</t>
        </is>
      </c>
      <c r="D179" s="136">
        <f>VLOOKUP(Tableau2[[#This Row],[Ref]],Tableau1[],4,FALSE)</f>
        <v/>
      </c>
    </row>
    <row r="180">
      <c r="A180" s="136" t="inlineStr">
        <is>
          <t>34412516.PRT</t>
        </is>
      </c>
      <c r="B180" s="137">
        <f>LEFT(Tableau2[[#This Row],[n]],8)</f>
        <v/>
      </c>
      <c r="C180" s="136" t="inlineStr">
        <is>
          <t>34412516</t>
        </is>
      </c>
      <c r="D180" s="136">
        <f>VLOOKUP(Tableau2[[#This Row],[Ref]],Tableau1[],4,FALSE)</f>
        <v/>
      </c>
    </row>
    <row r="181">
      <c r="A181" s="136" t="inlineStr">
        <is>
          <t>34412515.PRT</t>
        </is>
      </c>
      <c r="B181" s="137">
        <f>LEFT(Tableau2[[#This Row],[n]],8)</f>
        <v/>
      </c>
      <c r="C181" s="136" t="inlineStr">
        <is>
          <t>34412515</t>
        </is>
      </c>
      <c r="D181" s="136">
        <f>VLOOKUP(Tableau2[[#This Row],[Ref]],Tableau1[],4,FALSE)</f>
        <v/>
      </c>
    </row>
    <row r="182">
      <c r="A182" s="136" t="inlineStr">
        <is>
          <t>34412513.PRT</t>
        </is>
      </c>
      <c r="B182" s="137">
        <f>LEFT(Tableau2[[#This Row],[n]],8)</f>
        <v/>
      </c>
      <c r="C182" s="136" t="inlineStr">
        <is>
          <t>COP 34412513  STS 1250A TENSION NEUTRE</t>
        </is>
      </c>
      <c r="D182" s="136">
        <f>VLOOKUP(Tableau2[[#This Row],[Ref]],Tableau1[],4,FALSE)</f>
        <v/>
      </c>
    </row>
    <row r="183">
      <c r="A183" s="136" t="inlineStr">
        <is>
          <t>34412512.PRT</t>
        </is>
      </c>
      <c r="B183" s="137">
        <f>LEFT(Tableau2[[#This Row],[n]],8)</f>
        <v/>
      </c>
      <c r="C183" s="136" t="inlineStr">
        <is>
          <t>DECOUPE CABLOFIL CF54300EZ LG 600mm</t>
        </is>
      </c>
      <c r="D183" s="136">
        <f>VLOOKUP(Tableau2[[#This Row],[Ref]],Tableau1[],4,FALSE)</f>
        <v/>
      </c>
    </row>
    <row r="184">
      <c r="A184" s="136" t="inlineStr">
        <is>
          <t>34412510.PRT</t>
        </is>
      </c>
      <c r="B184" s="137">
        <f>LEFT(Tableau2[[#This Row],[n]],8)</f>
        <v/>
      </c>
      <c r="C184" s="136" t="inlineStr">
        <is>
          <t>DECOUPE 34412510 BARRE CU 32*8 L835 LVS04174</t>
        </is>
      </c>
      <c r="D184" s="136">
        <f>VLOOKUP(Tableau2[[#This Row],[Ref]],Tableau1[],4,FALSE)</f>
        <v/>
      </c>
    </row>
    <row r="185">
      <c r="A185" s="136" t="inlineStr">
        <is>
          <t>34412509.PRT</t>
        </is>
      </c>
      <c r="B185" s="137">
        <f>LEFT(Tableau2[[#This Row],[n]],8)</f>
        <v/>
      </c>
      <c r="C185" s="136" t="inlineStr">
        <is>
          <t>SMT SUPPORT JDB LGY4193</t>
        </is>
      </c>
      <c r="D185" s="136">
        <f>VLOOKUP(Tableau2[[#This Row],[Ref]],Tableau1[],4,FALSE)</f>
        <v/>
      </c>
    </row>
    <row r="186">
      <c r="A186" s="136" t="inlineStr">
        <is>
          <t>34412508.PRT</t>
        </is>
      </c>
      <c r="B186" s="137">
        <f>LEFT(Tableau2[[#This Row],[n]],8)</f>
        <v/>
      </c>
      <c r="C186" s="136" t="inlineStr">
        <is>
          <t>34412508</t>
        </is>
      </c>
      <c r="D186" s="136">
        <f>VLOOKUP(Tableau2[[#This Row],[Ref]],Tableau1[],4,FALSE)</f>
        <v/>
      </c>
    </row>
    <row r="187">
      <c r="A187" s="136" t="inlineStr">
        <is>
          <t>34412507.PRT</t>
        </is>
      </c>
      <c r="B187" s="137">
        <f>LEFT(Tableau2[[#This Row],[n]],8)</f>
        <v/>
      </c>
      <c r="C187" s="136" t="inlineStr">
        <is>
          <t>SMT COPPER BAR CONNEXION</t>
        </is>
      </c>
      <c r="D187" s="136">
        <f>VLOOKUP(Tableau2[[#This Row],[Ref]],Tableau1[],4,FALSE)</f>
        <v/>
      </c>
    </row>
    <row r="188">
      <c r="A188" s="136" t="inlineStr">
        <is>
          <t>34412506.PRT</t>
        </is>
      </c>
      <c r="B188" s="137">
        <f>LEFT(Tableau2[[#This Row],[n]],8)</f>
        <v/>
      </c>
      <c r="C188" s="136" t="inlineStr">
        <is>
          <t>SMT SUPPORT JEU DE BARRE ETAGE L610</t>
        </is>
      </c>
      <c r="D188" s="136">
        <f>VLOOKUP(Tableau2[[#This Row],[Ref]],Tableau1[],4,FALSE)</f>
        <v/>
      </c>
    </row>
    <row r="189">
      <c r="A189" s="136" t="inlineStr">
        <is>
          <t>34412505.PRT</t>
        </is>
      </c>
      <c r="B189" s="137">
        <f>LEFT(Tableau2[[#This Row],[n]],8)</f>
        <v/>
      </c>
      <c r="C189" s="136" t="inlineStr">
        <is>
          <t>SMT PLASTRON 7xNSX100_250 SAREL 700</t>
        </is>
      </c>
      <c r="D189" s="136">
        <f>VLOOKUP(Tableau2[[#This Row],[Ref]],Tableau1[],4,FALSE)</f>
        <v/>
      </c>
    </row>
    <row r="190">
      <c r="A190" s="136" t="inlineStr">
        <is>
          <t>34412504.PRT</t>
        </is>
      </c>
      <c r="B190" s="137">
        <f>LEFT(Tableau2[[#This Row],[n]],8)</f>
        <v/>
      </c>
      <c r="C190" s="136" t="inlineStr">
        <is>
          <t>SMT MONTANT LATERAL</t>
        </is>
      </c>
      <c r="D190" s="136">
        <f>VLOOKUP(Tableau2[[#This Row],[Ref]],Tableau1[],4,FALSE)</f>
        <v/>
      </c>
    </row>
    <row r="191">
      <c r="A191" s="136" t="inlineStr">
        <is>
          <t>34412502.PRT</t>
        </is>
      </c>
      <c r="B191" s="137">
        <f>LEFT(Tableau2[[#This Row],[n]],8)</f>
        <v/>
      </c>
      <c r="C191" s="136" t="inlineStr">
        <is>
          <t>SUPPORT NSX100-250 4P SAREL 700</t>
        </is>
      </c>
      <c r="D191" s="136">
        <f>VLOOKUP(Tableau2[[#This Row],[Ref]],Tableau1[],4,FALSE)</f>
        <v/>
      </c>
    </row>
    <row r="192">
      <c r="A192" s="136" t="inlineStr">
        <is>
          <t>34412501.PRT</t>
        </is>
      </c>
      <c r="B192" s="137">
        <f>LEFT(Tableau2[[#This Row],[n]],8)</f>
        <v/>
      </c>
      <c r="C192" s="136" t="inlineStr">
        <is>
          <t>DECOUPE 34412501 BARRE PE L400 LVS04163</t>
        </is>
      </c>
      <c r="D192" s="136">
        <f>VLOOKUP(Tableau2[[#This Row],[Ref]],Tableau1[],4,FALSE)</f>
        <v/>
      </c>
    </row>
    <row r="193">
      <c r="A193" s="136" t="inlineStr">
        <is>
          <t>34412500.PRT</t>
        </is>
      </c>
      <c r="B193" s="137">
        <f>LEFT(Tableau2[[#This Row],[n]],8)</f>
        <v/>
      </c>
      <c r="C193" s="136" t="inlineStr">
        <is>
          <t>DECOUPE 34412500 BARRE PE L500 LVS04163</t>
        </is>
      </c>
      <c r="D193" s="136">
        <f>VLOOKUP(Tableau2[[#This Row],[Ref]],Tableau1[],4,FALSE)</f>
        <v/>
      </c>
    </row>
    <row r="194">
      <c r="A194" s="136" t="inlineStr">
        <is>
          <t>34412499.PRT</t>
        </is>
      </c>
      <c r="B194" s="137">
        <f>LEFT(Tableau2[[#This Row],[n]],8)</f>
        <v/>
      </c>
      <c r="C194" s="136" t="inlineStr">
        <is>
          <t>DECOUPE 34412499 BARRE PE L700 LVS04163</t>
        </is>
      </c>
      <c r="D194" s="136">
        <f>VLOOKUP(Tableau2[[#This Row],[Ref]],Tableau1[],4,FALSE)</f>
        <v/>
      </c>
    </row>
    <row r="195">
      <c r="A195" s="136" t="inlineStr">
        <is>
          <t>34412498.PRT</t>
        </is>
      </c>
      <c r="B195" s="137">
        <f>LEFT(Tableau2[[#This Row],[n]],8)</f>
        <v/>
      </c>
      <c r="C195" s="136" t="inlineStr">
        <is>
          <t>DECOUPE 34412498 BARRE PE L1000 LVS04163</t>
        </is>
      </c>
      <c r="D195" s="136">
        <f>VLOOKUP(Tableau2[[#This Row],[Ref]],Tableau1[],4,FALSE)</f>
        <v/>
      </c>
    </row>
    <row r="196">
      <c r="A196" s="136" t="inlineStr">
        <is>
          <t>34412497.PRT</t>
        </is>
      </c>
      <c r="B196" s="137">
        <f>LEFT(Tableau2[[#This Row],[n]],8)</f>
        <v/>
      </c>
      <c r="C196" s="136" t="inlineStr">
        <is>
          <t>SMT 34412497 SUPPORT RAIL + GOULOTTES ARRIERE L400</t>
        </is>
      </c>
      <c r="D196" s="136">
        <f>VLOOKUP(Tableau2[[#This Row],[Ref]],Tableau1[],4,FALSE)</f>
        <v/>
      </c>
    </row>
    <row r="197">
      <c r="A197" s="136" t="inlineStr">
        <is>
          <t>34412496.PRT</t>
        </is>
      </c>
      <c r="B197" s="137">
        <f>LEFT(Tableau2[[#This Row],[n]],8)</f>
        <v/>
      </c>
      <c r="C197" s="136" t="inlineStr">
        <is>
          <t>SMT 34412496 SUPPORT RAIL + GOULOTTES ARRIERE L500</t>
        </is>
      </c>
      <c r="D197" s="136">
        <f>VLOOKUP(Tableau2[[#This Row],[Ref]],Tableau1[],4,FALSE)</f>
        <v/>
      </c>
    </row>
    <row r="198">
      <c r="A198" s="136" t="inlineStr">
        <is>
          <t>34412495.PRT</t>
        </is>
      </c>
      <c r="B198" s="137">
        <f>LEFT(Tableau2[[#This Row],[n]],8)</f>
        <v/>
      </c>
      <c r="C198" s="136" t="inlineStr">
        <is>
          <t>SMT 34412495 SUPPORT RAIL + GOULOTTES ARRIERE L700</t>
        </is>
      </c>
      <c r="D198" s="136">
        <f>VLOOKUP(Tableau2[[#This Row],[Ref]],Tableau1[],4,FALSE)</f>
        <v/>
      </c>
    </row>
    <row r="199">
      <c r="A199" s="136" t="inlineStr">
        <is>
          <t>34412494.PRT</t>
        </is>
      </c>
      <c r="B199" s="137">
        <f>LEFT(Tableau2[[#This Row],[n]],8)</f>
        <v/>
      </c>
      <c r="C199" s="136" t="inlineStr">
        <is>
          <t>SMT 34412494 SUPPORT RAIL + GOULOTTES ARRIERE L1000</t>
        </is>
      </c>
      <c r="D199" s="136">
        <f>VLOOKUP(Tableau2[[#This Row],[Ref]],Tableau1[],4,FALSE)</f>
        <v/>
      </c>
    </row>
    <row r="200">
      <c r="A200" s="136" t="inlineStr">
        <is>
          <t>34412493.PRT</t>
        </is>
      </c>
      <c r="B200" s="137">
        <f>LEFT(Tableau2[[#This Row],[n]],8)</f>
        <v/>
      </c>
      <c r="C200" s="136" t="inlineStr">
        <is>
          <t>SE 34412493 GVS BYPASS CUBICLE SAREL 66470/01</t>
        </is>
      </c>
      <c r="D200" s="136">
        <f>VLOOKUP(Tableau2[[#This Row],[Ref]],Tableau1[],4,FALSE)</f>
        <v/>
      </c>
    </row>
    <row r="201">
      <c r="A201" s="136" t="inlineStr">
        <is>
          <t>34412490.PRT</t>
        </is>
      </c>
      <c r="B201" s="137">
        <f>LEFT(Tableau2[[#This Row],[n]],8)</f>
        <v/>
      </c>
      <c r="C201" s="136" t="inlineStr">
        <is>
          <t>SMT 34412490 SUPPORT JDB + CARDEW</t>
        </is>
      </c>
      <c r="D201" s="136">
        <f>VLOOKUP(Tableau2[[#This Row],[Ref]],Tableau1[],4,FALSE)</f>
        <v/>
      </c>
    </row>
    <row r="202">
      <c r="A202" s="136" t="inlineStr">
        <is>
          <t>34412489.PRT</t>
        </is>
      </c>
      <c r="B202" s="137">
        <f>LEFT(Tableau2[[#This Row],[n]],8)</f>
        <v/>
      </c>
      <c r="C202" s="136" t="inlineStr">
        <is>
          <t>SMT 34412489 SUPPORT IMD-IM400</t>
        </is>
      </c>
      <c r="D202" s="136">
        <f>VLOOKUP(Tableau2[[#This Row],[Ref]],Tableau1[],4,FALSE)</f>
        <v/>
      </c>
    </row>
    <row r="203">
      <c r="A203" s="136" t="inlineStr">
        <is>
          <t>34412488.PRT</t>
        </is>
      </c>
      <c r="B203" s="137">
        <f>LEFT(Tableau2[[#This Row],[n]],8)</f>
        <v/>
      </c>
      <c r="C203" s="136" t="inlineStr">
        <is>
          <t>TRAVERSE MAINTIEN CABLE SAREL 700</t>
        </is>
      </c>
      <c r="D203" s="136">
        <f>VLOOKUP(Tableau2[[#This Row],[Ref]],Tableau1[],4,FALSE)</f>
        <v/>
      </c>
    </row>
    <row r="204">
      <c r="A204" s="136" t="inlineStr">
        <is>
          <t>34412487.PRT</t>
        </is>
      </c>
      <c r="B204" s="137">
        <f>LEFT(Tableau2[[#This Row],[n]],8)</f>
        <v/>
      </c>
      <c r="C204" s="136" t="inlineStr">
        <is>
          <t>SMT SUPPORT BARRE PE</t>
        </is>
      </c>
      <c r="D204" s="136">
        <f>VLOOKUP(Tableau2[[#This Row],[Ref]],Tableau1[],4,FALSE)</f>
        <v/>
      </c>
    </row>
    <row r="205">
      <c r="A205" s="136" t="inlineStr">
        <is>
          <t>34412486.PRT</t>
        </is>
      </c>
      <c r="B205" s="137">
        <f>LEFT(Tableau2[[#This Row],[n]],8)</f>
        <v/>
      </c>
      <c r="C205" s="136" t="inlineStr">
        <is>
          <t>SMT SUPPORT BORNES</t>
        </is>
      </c>
      <c r="D205" s="136">
        <f>VLOOKUP(Tableau2[[#This Row],[Ref]],Tableau1[],4,FALSE)</f>
        <v/>
      </c>
    </row>
    <row r="206">
      <c r="A206" s="136" t="inlineStr">
        <is>
          <t>34412485.PRT</t>
        </is>
      </c>
      <c r="B206" s="137">
        <f>LEFT(Tableau2[[#This Row],[n]],8)</f>
        <v/>
      </c>
      <c r="C206" s="136" t="inlineStr">
        <is>
          <t>SE 34412485 GVS BYPASS CUBICLE SAREL F22040008MHZ</t>
        </is>
      </c>
      <c r="D206" s="136">
        <f>VLOOKUP(Tableau2[[#This Row],[Ref]],Tableau1[],4,FALSE)</f>
        <v/>
      </c>
    </row>
    <row r="207">
      <c r="A207" s="136" t="inlineStr">
        <is>
          <t>34412484.PRT</t>
        </is>
      </c>
      <c r="B207" s="137">
        <f>LEFT(Tableau2[[#This Row],[n]],8)</f>
        <v/>
      </c>
      <c r="C207" s="136" t="inlineStr">
        <is>
          <t>SMT SUPPORT BARRE PE</t>
        </is>
      </c>
      <c r="D207" s="136">
        <f>VLOOKUP(Tableau2[[#This Row],[Ref]],Tableau1[],4,FALSE)</f>
        <v/>
      </c>
    </row>
    <row r="208">
      <c r="A208" s="136" t="inlineStr">
        <is>
          <t>34412483.PRT</t>
        </is>
      </c>
      <c r="B208" s="137">
        <f>LEFT(Tableau2[[#This Row],[n]],8)</f>
        <v/>
      </c>
      <c r="C208" s="136" t="inlineStr">
        <is>
          <t>COP 34412483  STS 1250A</t>
        </is>
      </c>
      <c r="D208" s="136">
        <f>VLOOKUP(Tableau2[[#This Row],[Ref]],Tableau1[],4,FALSE)</f>
        <v/>
      </c>
    </row>
    <row r="209">
      <c r="A209" s="136" t="inlineStr">
        <is>
          <t>34412482.PRT</t>
        </is>
      </c>
      <c r="B209" s="137">
        <f>LEFT(Tableau2[[#This Row],[n]],8)</f>
        <v/>
      </c>
      <c r="C209" s="136" t="inlineStr">
        <is>
          <t>COP 34412482  STS 1250A</t>
        </is>
      </c>
      <c r="D209" s="136">
        <f>VLOOKUP(Tableau2[[#This Row],[Ref]],Tableau1[],4,FALSE)</f>
        <v/>
      </c>
    </row>
    <row r="210">
      <c r="A210" s="136" t="inlineStr">
        <is>
          <t>34412481.PRT</t>
        </is>
      </c>
      <c r="B210" s="137">
        <f>LEFT(Tableau2[[#This Row],[n]],8)</f>
        <v/>
      </c>
      <c r="C210" s="136" t="inlineStr">
        <is>
          <t>COP 34412481  STS 1250A</t>
        </is>
      </c>
      <c r="D210" s="136">
        <f>VLOOKUP(Tableau2[[#This Row],[Ref]],Tableau1[],4,FALSE)</f>
        <v/>
      </c>
    </row>
    <row r="211">
      <c r="A211" s="136" t="inlineStr">
        <is>
          <t>34412480.PRT</t>
        </is>
      </c>
      <c r="B211" s="137">
        <f>LEFT(Tableau2[[#This Row],[n]],8)</f>
        <v/>
      </c>
      <c r="C211" s="136" t="inlineStr">
        <is>
          <t>SMT SUPPORT BORNES</t>
        </is>
      </c>
      <c r="D211" s="136">
        <f>VLOOKUP(Tableau2[[#This Row],[Ref]],Tableau1[],4,FALSE)</f>
        <v/>
      </c>
    </row>
    <row r="212">
      <c r="A212" s="136" t="inlineStr">
        <is>
          <t>34412479.PRT</t>
        </is>
      </c>
      <c r="B212" s="137">
        <f>LEFT(Tableau2[[#This Row],[n]],8)</f>
        <v/>
      </c>
      <c r="C212" s="136" t="inlineStr">
        <is>
          <t>smt support bornes</t>
        </is>
      </c>
      <c r="D212" s="136">
        <f>VLOOKUP(Tableau2[[#This Row],[Ref]],Tableau1[],4,FALSE)</f>
        <v/>
      </c>
    </row>
    <row r="213">
      <c r="A213" s="136" t="inlineStr">
        <is>
          <t>34412478.PRT</t>
        </is>
      </c>
      <c r="B213" s="137">
        <f>LEFT(Tableau2[[#This Row],[n]],8)</f>
        <v/>
      </c>
      <c r="C213" s="136" t="inlineStr">
        <is>
          <t>SMT 34412478  STS 1250A</t>
        </is>
      </c>
      <c r="D213" s="136">
        <f>VLOOKUP(Tableau2[[#This Row],[Ref]],Tableau1[],4,FALSE)</f>
        <v/>
      </c>
    </row>
    <row r="214">
      <c r="A214" s="136" t="inlineStr">
        <is>
          <t>34412477.PRT</t>
        </is>
      </c>
      <c r="B214" s="137">
        <f>LEFT(Tableau2[[#This Row],[n]],8)</f>
        <v/>
      </c>
      <c r="C214" s="136" t="inlineStr">
        <is>
          <t>SMT 34412477  STS 1250A</t>
        </is>
      </c>
      <c r="D214" s="136">
        <f>VLOOKUP(Tableau2[[#This Row],[Ref]],Tableau1[],4,FALSE)</f>
        <v/>
      </c>
    </row>
    <row r="215">
      <c r="A215" s="136" t="inlineStr">
        <is>
          <t>34412476.PRT</t>
        </is>
      </c>
      <c r="B215" s="137">
        <f>LEFT(Tableau2[[#This Row],[n]],8)</f>
        <v/>
      </c>
      <c r="C215" s="136" t="inlineStr">
        <is>
          <t>SMT SUPPORT CABLOFIL</t>
        </is>
      </c>
      <c r="D215" s="136">
        <f>VLOOKUP(Tableau2[[#This Row],[Ref]],Tableau1[],4,FALSE)</f>
        <v/>
      </c>
    </row>
    <row r="216">
      <c r="A216" s="136" t="inlineStr">
        <is>
          <t>34412475.PRT</t>
        </is>
      </c>
      <c r="B216" s="137">
        <f>LEFT(Tableau2[[#This Row],[n]],8)</f>
        <v/>
      </c>
      <c r="C216" s="136" t="inlineStr">
        <is>
          <t>SMT TRAVERSE FIX_CABLE LG 606 mm</t>
        </is>
      </c>
      <c r="D216" s="136">
        <f>VLOOKUP(Tableau2[[#This Row],[Ref]],Tableau1[],4,FALSE)</f>
        <v/>
      </c>
    </row>
    <row r="217">
      <c r="A217" s="136" t="inlineStr">
        <is>
          <t>34412474_BULK.PRT</t>
        </is>
      </c>
      <c r="B217" s="137">
        <f>LEFT(Tableau2[[#This Row],[n]],8)</f>
        <v/>
      </c>
      <c r="C217" s="136" t="inlineStr">
        <is>
          <t>KIT FILERIE MODULE NC LC1G500LSEA</t>
        </is>
      </c>
      <c r="D217" s="136">
        <f>VLOOKUP(Tableau2[[#This Row],[Ref]],Tableau1[],4,FALSE)</f>
        <v/>
      </c>
    </row>
    <row r="218">
      <c r="A218" s="136" t="inlineStr">
        <is>
          <t>34412473.PRT</t>
        </is>
      </c>
      <c r="B218" s="137">
        <f>LEFT(Tableau2[[#This Row],[n]],8)</f>
        <v/>
      </c>
      <c r="C218" s="136" t="inlineStr">
        <is>
          <t>SMT PLASTRON PLEIN ARMOIRE 700 SAREL 5xNSX160</t>
        </is>
      </c>
      <c r="D218" s="136">
        <f>VLOOKUP(Tableau2[[#This Row],[Ref]],Tableau1[],4,FALSE)</f>
        <v/>
      </c>
    </row>
    <row r="219">
      <c r="A219" s="136" t="inlineStr">
        <is>
          <t>34412472.PRT</t>
        </is>
      </c>
      <c r="B219" s="137">
        <f>LEFT(Tableau2[[#This Row],[n]],8)</f>
        <v/>
      </c>
      <c r="C219" s="136" t="inlineStr">
        <is>
          <t>WOOD 34412472  STS 1250A PALETTE CELLULE PLANCHER CROISE 2200x1200</t>
        </is>
      </c>
      <c r="D219" s="136">
        <f>VLOOKUP(Tableau2[[#This Row],[Ref]],Tableau1[],4,FALSE)</f>
        <v/>
      </c>
    </row>
    <row r="220">
      <c r="A220" s="136" t="inlineStr">
        <is>
          <t>34412471.PRT</t>
        </is>
      </c>
      <c r="B220" s="137">
        <f>LEFT(Tableau2[[#This Row],[n]],8)</f>
        <v/>
      </c>
      <c r="C220" s="136" t="inlineStr">
        <is>
          <t>COP CUIVRE DE JONCTION NSX</t>
        </is>
      </c>
      <c r="D220" s="136">
        <f>VLOOKUP(Tableau2[[#This Row],[Ref]],Tableau1[],4,FALSE)</f>
        <v/>
      </c>
    </row>
    <row r="221">
      <c r="A221" s="136" t="inlineStr">
        <is>
          <t>34412470.PRT</t>
        </is>
      </c>
      <c r="B221" s="137">
        <f>LEFT(Tableau2[[#This Row],[n]],8)</f>
        <v/>
      </c>
      <c r="C221" s="136" t="inlineStr">
        <is>
          <t>SMT 34412470 MOYEN ATELIER STS SIDE</t>
        </is>
      </c>
      <c r="D221" s="136">
        <f>VLOOKUP(Tableau2[[#This Row],[Ref]],Tableau1[],4,FALSE)</f>
        <v/>
      </c>
    </row>
    <row r="222">
      <c r="A222" s="136" t="inlineStr">
        <is>
          <t>34412469.PRT</t>
        </is>
      </c>
      <c r="B222" s="137">
        <f>LEFT(Tableau2[[#This Row],[n]],8)</f>
        <v/>
      </c>
      <c r="C222" s="136" t="inlineStr">
        <is>
          <t>SMT 34412469 MOYEN ATELIER STS FRONT</t>
        </is>
      </c>
      <c r="D222" s="136">
        <f>VLOOKUP(Tableau2[[#This Row],[Ref]],Tableau1[],4,FALSE)</f>
        <v/>
      </c>
    </row>
    <row r="223">
      <c r="A223" s="136" t="inlineStr">
        <is>
          <t>34412468.PRT</t>
        </is>
      </c>
      <c r="B223" s="137">
        <f>LEFT(Tableau2[[#This Row],[n]],8)</f>
        <v/>
      </c>
      <c r="C223" s="136" t="inlineStr">
        <is>
          <t>SMT 34412468 MOYEN ATELIER STS TOP2</t>
        </is>
      </c>
      <c r="D223" s="136">
        <f>VLOOKUP(Tableau2[[#This Row],[Ref]],Tableau1[],4,FALSE)</f>
        <v/>
      </c>
    </row>
    <row r="224">
      <c r="A224" s="136" t="inlineStr">
        <is>
          <t>34412467.PRT</t>
        </is>
      </c>
      <c r="B224" s="137">
        <f>LEFT(Tableau2[[#This Row],[n]],8)</f>
        <v/>
      </c>
      <c r="C224" s="136" t="inlineStr">
        <is>
          <t>SMT 34412467 MOYEN ATELIER STS TOP1</t>
        </is>
      </c>
      <c r="D224" s="136">
        <f>VLOOKUP(Tableau2[[#This Row],[Ref]],Tableau1[],4,FALSE)</f>
        <v/>
      </c>
    </row>
    <row r="225">
      <c r="A225" s="136" t="inlineStr">
        <is>
          <t>34412466.PRT</t>
        </is>
      </c>
      <c r="B225" s="137">
        <f>LEFT(Tableau2[[#This Row],[n]],8)</f>
        <v/>
      </c>
      <c r="C225" s="136" t="inlineStr">
        <is>
          <t>SMT SUPPORT NSX160</t>
        </is>
      </c>
      <c r="D225" s="136">
        <f>VLOOKUP(Tableau2[[#This Row],[Ref]],Tableau1[],4,FALSE)</f>
        <v/>
      </c>
    </row>
    <row r="226">
      <c r="A226" s="136" t="inlineStr">
        <is>
          <t>34412465.PRT</t>
        </is>
      </c>
      <c r="B226" s="137">
        <f>LEFT(Tableau2[[#This Row],[n]],8)</f>
        <v/>
      </c>
      <c r="C226" s="136" t="inlineStr">
        <is>
          <t>SMT MONTANT LATERAL</t>
        </is>
      </c>
      <c r="D226" s="136">
        <f>VLOOKUP(Tableau2[[#This Row],[Ref]],Tableau1[],4,FALSE)</f>
        <v/>
      </c>
    </row>
    <row r="227">
      <c r="A227" s="136" t="inlineStr">
        <is>
          <t>34412464.PRT</t>
        </is>
      </c>
      <c r="B227" s="137">
        <f>LEFT(Tableau2[[#This Row],[n]],8)</f>
        <v/>
      </c>
      <c r="C227" s="136" t="inlineStr">
        <is>
          <t>ETQ 34412464  STS 1250A PE</t>
        </is>
      </c>
      <c r="D227" s="136">
        <f>VLOOKUP(Tableau2[[#This Row],[Ref]],Tableau1[],4,FALSE)</f>
        <v/>
      </c>
    </row>
    <row r="228">
      <c r="A228" s="136" t="inlineStr">
        <is>
          <t>34412463.PRT</t>
        </is>
      </c>
      <c r="B228" s="137">
        <f>LEFT(Tableau2[[#This Row],[n]],8)</f>
        <v/>
      </c>
      <c r="C228" s="136" t="inlineStr">
        <is>
          <t>ETQ 34412463  STS 1250A LOAD</t>
        </is>
      </c>
      <c r="D228" s="136">
        <f>VLOOKUP(Tableau2[[#This Row],[Ref]],Tableau1[],4,FALSE)</f>
        <v/>
      </c>
    </row>
    <row r="229">
      <c r="A229" s="136" t="inlineStr">
        <is>
          <t>34412462.PRT</t>
        </is>
      </c>
      <c r="B229" s="137">
        <f>LEFT(Tableau2[[#This Row],[n]],8)</f>
        <v/>
      </c>
      <c r="C229" s="136" t="inlineStr">
        <is>
          <t>ETQ 34412462  STS 1250A SOURCE2</t>
        </is>
      </c>
      <c r="D229" s="136">
        <f>VLOOKUP(Tableau2[[#This Row],[Ref]],Tableau1[],4,FALSE)</f>
        <v/>
      </c>
    </row>
    <row r="230">
      <c r="A230" s="136" t="inlineStr">
        <is>
          <t>34412461.PRT</t>
        </is>
      </c>
      <c r="B230" s="137">
        <f>LEFT(Tableau2[[#This Row],[n]],8)</f>
        <v/>
      </c>
      <c r="C230" s="136" t="inlineStr">
        <is>
          <t>ETQ 34412461  STS 1250A SOURCE1</t>
        </is>
      </c>
      <c r="D230" s="136">
        <f>VLOOKUP(Tableau2[[#This Row],[Ref]],Tableau1[],4,FALSE)</f>
        <v/>
      </c>
    </row>
    <row r="231">
      <c r="A231" s="136" t="inlineStr">
        <is>
          <t>34412460.PRT</t>
        </is>
      </c>
      <c r="B231" s="137">
        <f>LEFT(Tableau2[[#This Row],[n]],8)</f>
        <v/>
      </c>
      <c r="C231" s="136" t="inlineStr">
        <is>
          <t>SMT PLASTRON PLEIN ARMOIRE 700 SAREL</t>
        </is>
      </c>
      <c r="D231" s="136">
        <f>VLOOKUP(Tableau2[[#This Row],[Ref]],Tableau1[],4,FALSE)</f>
        <v/>
      </c>
    </row>
    <row r="232">
      <c r="A232" s="136" t="inlineStr">
        <is>
          <t>34412459.PRT</t>
        </is>
      </c>
      <c r="B232" s="137">
        <f>LEFT(Tableau2[[#This Row],[n]],8)</f>
        <v/>
      </c>
      <c r="C232" s="136" t="inlineStr">
        <is>
          <t>SMT PLASTRON PLEIN ARMOIRE 700 SAREL</t>
        </is>
      </c>
      <c r="D232" s="136">
        <f>VLOOKUP(Tableau2[[#This Row],[Ref]],Tableau1[],4,FALSE)</f>
        <v/>
      </c>
    </row>
    <row r="233">
      <c r="A233" s="136" t="inlineStr">
        <is>
          <t>34412458.PRT</t>
        </is>
      </c>
      <c r="B233" s="137">
        <f>LEFT(Tableau2[[#This Row],[n]],8)</f>
        <v/>
      </c>
      <c r="C233" s="136" t="inlineStr">
        <is>
          <t>DECOUPE RAIL NSYCNT40 L660MM</t>
        </is>
      </c>
      <c r="D233" s="136">
        <f>VLOOKUP(Tableau2[[#This Row],[Ref]],Tableau1[],4,FALSE)</f>
        <v/>
      </c>
    </row>
    <row r="234">
      <c r="A234" s="136" t="inlineStr">
        <is>
          <t>34412456.PRT</t>
        </is>
      </c>
      <c r="B234" s="137">
        <f>LEFT(Tableau2[[#This Row],[n]],8)</f>
        <v/>
      </c>
      <c r="C234" s="136" t="inlineStr">
        <is>
          <t>SMT TRAVERSE D7 - FIXATION CABLE</t>
        </is>
      </c>
      <c r="D234" s="136">
        <f>VLOOKUP(Tableau2[[#This Row],[Ref]],Tableau1[],4,FALSE)</f>
        <v/>
      </c>
    </row>
    <row r="235">
      <c r="A235" s="136" t="inlineStr">
        <is>
          <t>34412455.PRT</t>
        </is>
      </c>
      <c r="B235" s="137">
        <f>LEFT(Tableau2[[#This Row],[n]],8)</f>
        <v/>
      </c>
      <c r="C235" s="136" t="inlineStr">
        <is>
          <t>SMT SUPPORT TFO SANS CHASSIS RENFORCE</t>
        </is>
      </c>
      <c r="D235" s="136">
        <f>VLOOKUP(Tableau2[[#This Row],[Ref]],Tableau1[],4,FALSE)</f>
        <v/>
      </c>
    </row>
    <row r="236">
      <c r="A236" s="136" t="inlineStr">
        <is>
          <t>34412454.PRT</t>
        </is>
      </c>
      <c r="B236" s="137">
        <f>LEFT(Tableau2[[#This Row],[n]],8)</f>
        <v/>
      </c>
      <c r="C236" s="136" t="inlineStr">
        <is>
          <t>SMT TRAVERSE D7 - SUPPORT JDB 115MM</t>
        </is>
      </c>
      <c r="D236" s="136">
        <f>VLOOKUP(Tableau2[[#This Row],[Ref]],Tableau1[],4,FALSE)</f>
        <v/>
      </c>
    </row>
    <row r="237">
      <c r="A237" s="136" t="inlineStr">
        <is>
          <t>34412453.PRT</t>
        </is>
      </c>
      <c r="B237" s="137">
        <f>LEFT(Tableau2[[#This Row],[n]],8)</f>
        <v/>
      </c>
      <c r="C237" s="136" t="inlineStr">
        <is>
          <t>SMT TRAVERSE D7 - SUPPORT JDB 115MM</t>
        </is>
      </c>
      <c r="D237" s="136">
        <f>VLOOKUP(Tableau2[[#This Row],[Ref]],Tableau1[],4,FALSE)</f>
        <v/>
      </c>
    </row>
    <row r="238">
      <c r="A238" s="136" t="inlineStr">
        <is>
          <t>34412452.PRT</t>
        </is>
      </c>
      <c r="B238" s="137">
        <f>LEFT(Tableau2[[#This Row],[n]],8)</f>
        <v/>
      </c>
      <c r="C238" s="136" t="inlineStr">
        <is>
          <t>SMT PIECE DE SERRAGE SUPPORT TFO</t>
        </is>
      </c>
      <c r="D238" s="136">
        <f>VLOOKUP(Tableau2[[#This Row],[Ref]],Tableau1[],4,FALSE)</f>
        <v/>
      </c>
    </row>
    <row r="239">
      <c r="A239" s="136" t="inlineStr">
        <is>
          <t>34412451.PRT</t>
        </is>
      </c>
      <c r="B239" s="137">
        <f>LEFT(Tableau2[[#This Row],[n]],8)</f>
        <v/>
      </c>
      <c r="C239" s="136" t="inlineStr">
        <is>
          <t>SMT TRAVERSE D7 - SUPPORT JDB 115MM</t>
        </is>
      </c>
      <c r="D239" s="136">
        <f>VLOOKUP(Tableau2[[#This Row],[Ref]],Tableau1[],4,FALSE)</f>
        <v/>
      </c>
    </row>
    <row r="240">
      <c r="A240" s="136" t="inlineStr">
        <is>
          <t>34412450.PRT</t>
        </is>
      </c>
      <c r="B240" s="137">
        <f>LEFT(Tableau2[[#This Row],[n]],8)</f>
        <v/>
      </c>
      <c r="C240" s="136" t="inlineStr">
        <is>
          <t>SMT DEFLECTEUR ARMOIRE SAREL LG700</t>
        </is>
      </c>
      <c r="D240" s="136">
        <f>VLOOKUP(Tableau2[[#This Row],[Ref]],Tableau1[],4,FALSE)</f>
        <v/>
      </c>
    </row>
    <row r="241">
      <c r="A241" s="136" t="inlineStr">
        <is>
          <t>34412449.PRT</t>
        </is>
      </c>
      <c r="B241" s="137">
        <f>LEFT(Tableau2[[#This Row],[n]],8)</f>
        <v/>
      </c>
      <c r="C241" s="136" t="inlineStr">
        <is>
          <t>COP CONNEXION RACCORD. BATTT</t>
        </is>
      </c>
      <c r="D241" s="136">
        <f>VLOOKUP(Tableau2[[#This Row],[Ref]],Tableau1[],4,FALSE)</f>
        <v/>
      </c>
    </row>
    <row r="242">
      <c r="A242" s="136" t="inlineStr">
        <is>
          <t>34412448.PRT</t>
        </is>
      </c>
      <c r="B242" s="137">
        <f>LEFT(Tableau2[[#This Row],[n]],8)</f>
        <v/>
      </c>
      <c r="C242" s="136" t="inlineStr">
        <is>
          <t>SMT SUPPORT TFO POUR CHASSIS BAS RENFORCE</t>
        </is>
      </c>
      <c r="D242" s="136">
        <f>VLOOKUP(Tableau2[[#This Row],[Ref]],Tableau1[],4,FALSE)</f>
        <v/>
      </c>
    </row>
    <row r="243">
      <c r="A243" s="136" t="inlineStr">
        <is>
          <t>34412447.PRT</t>
        </is>
      </c>
      <c r="B243" s="137">
        <f>LEFT(Tableau2[[#This Row],[n]],8)</f>
        <v/>
      </c>
      <c r="C243" s="136" t="inlineStr">
        <is>
          <t>SMT TRAVERSE D8 - SUPPORT JDB 115MM</t>
        </is>
      </c>
      <c r="D243" s="136">
        <f>VLOOKUP(Tableau2[[#This Row],[Ref]],Tableau1[],4,FALSE)</f>
        <v/>
      </c>
    </row>
    <row r="244">
      <c r="A244" s="136" t="inlineStr">
        <is>
          <t>34412446.PRT</t>
        </is>
      </c>
      <c r="B244" s="137">
        <f>LEFT(Tableau2[[#This Row],[n]],8)</f>
        <v/>
      </c>
      <c r="C244" s="136" t="inlineStr">
        <is>
          <t>SMT TRAVERSE D8 - PLATEAU NW20/40</t>
        </is>
      </c>
      <c r="D244" s="136">
        <f>VLOOKUP(Tableau2[[#This Row],[Ref]],Tableau1[],4,FALSE)</f>
        <v/>
      </c>
    </row>
    <row r="245">
      <c r="A245" s="136" t="inlineStr">
        <is>
          <t>34412445.PRT</t>
        </is>
      </c>
      <c r="B245" s="137">
        <f>LEFT(Tableau2[[#This Row],[n]],8)</f>
        <v/>
      </c>
      <c r="C245" s="136" t="inlineStr">
        <is>
          <t>SMT SUPPORT TFO ARMOIRE SAREL 700</t>
        </is>
      </c>
      <c r="D245" s="136">
        <f>VLOOKUP(Tableau2[[#This Row],[Ref]],Tableau1[],4,FALSE)</f>
        <v/>
      </c>
    </row>
    <row r="246">
      <c r="A246" s="136" t="inlineStr">
        <is>
          <t>34412444.PRT</t>
        </is>
      </c>
      <c r="B246" s="137">
        <f>LEFT(Tableau2[[#This Row],[n]],8)</f>
        <v/>
      </c>
      <c r="C246" s="136" t="inlineStr">
        <is>
          <t>COP 34412444 GVXL UPS 1250kVA</t>
        </is>
      </c>
      <c r="D246" s="136">
        <f>VLOOKUP(Tableau2[[#This Row],[Ref]],Tableau1[],4,FALSE)</f>
        <v/>
      </c>
    </row>
    <row r="247">
      <c r="A247" s="136" t="inlineStr">
        <is>
          <t>34412443.PRT</t>
        </is>
      </c>
      <c r="B247" s="137">
        <f>LEFT(Tableau2[[#This Row],[n]],8)</f>
        <v/>
      </c>
      <c r="C247" s="136" t="inlineStr">
        <is>
          <t>COP 34412443 GVXL UPS 1250kVA</t>
        </is>
      </c>
      <c r="D247" s="136">
        <f>VLOOKUP(Tableau2[[#This Row],[Ref]],Tableau1[],4,FALSE)</f>
        <v/>
      </c>
    </row>
    <row r="248">
      <c r="A248" s="136" t="inlineStr">
        <is>
          <t>34412442.PRT</t>
        </is>
      </c>
      <c r="B248" s="137">
        <f>LEFT(Tableau2[[#This Row],[n]],8)</f>
        <v/>
      </c>
      <c r="C248" s="136" t="inlineStr">
        <is>
          <t>COP 34412442 GVXL UPS 1250kVA</t>
        </is>
      </c>
      <c r="D248" s="136">
        <f>VLOOKUP(Tableau2[[#This Row],[Ref]],Tableau1[],4,FALSE)</f>
        <v/>
      </c>
    </row>
    <row r="249">
      <c r="A249" s="136" t="inlineStr">
        <is>
          <t>34412441.PRT</t>
        </is>
      </c>
      <c r="B249" s="137">
        <f>LEFT(Tableau2[[#This Row],[n]],8)</f>
        <v/>
      </c>
      <c r="C249" s="136" t="inlineStr">
        <is>
          <t>34412441</t>
        </is>
      </c>
      <c r="D249" s="136">
        <f>VLOOKUP(Tableau2[[#This Row],[Ref]],Tableau1[],4,FALSE)</f>
        <v/>
      </c>
    </row>
    <row r="250">
      <c r="A250" s="136" t="inlineStr">
        <is>
          <t>34412438.PRT</t>
        </is>
      </c>
      <c r="B250" s="137">
        <f>LEFT(Tableau2[[#This Row],[n]],8)</f>
        <v/>
      </c>
      <c r="C250" s="136" t="inlineStr">
        <is>
          <t>CANEVAS SWITCH NS800NA 4P</t>
        </is>
      </c>
      <c r="D250" s="136">
        <f>VLOOKUP(Tableau2[[#This Row],[Ref]],Tableau1[],4,FALSE)</f>
        <v/>
      </c>
    </row>
    <row r="251">
      <c r="A251" s="136" t="inlineStr">
        <is>
          <t>34412437.PRT</t>
        </is>
      </c>
      <c r="B251" s="137">
        <f>LEFT(Tableau2[[#This Row],[n]],8)</f>
        <v/>
      </c>
      <c r="C251" s="136" t="inlineStr">
        <is>
          <t>COP 34412437 GVXL UPS 1250kVA</t>
        </is>
      </c>
      <c r="D251" s="136">
        <f>VLOOKUP(Tableau2[[#This Row],[Ref]],Tableau1[],4,FALSE)</f>
        <v/>
      </c>
    </row>
    <row r="252">
      <c r="A252" s="136" t="inlineStr">
        <is>
          <t>34412436.PRT</t>
        </is>
      </c>
      <c r="B252" s="137">
        <f>LEFT(Tableau2[[#This Row],[n]],8)</f>
        <v/>
      </c>
      <c r="C252" s="136" t="inlineStr">
        <is>
          <t>34412436</t>
        </is>
      </c>
      <c r="D252" s="136">
        <f>VLOOKUP(Tableau2[[#This Row],[Ref]],Tableau1[],4,FALSE)</f>
        <v/>
      </c>
    </row>
    <row r="253">
      <c r="A253" s="136" t="inlineStr">
        <is>
          <t>34412435.PRT</t>
        </is>
      </c>
      <c r="B253" s="137">
        <f>LEFT(Tableau2[[#This Row],[n]],8)</f>
        <v/>
      </c>
      <c r="C253" s="136" t="inlineStr">
        <is>
          <t>COP 34412435 GVXL UPS 1250kVA</t>
        </is>
      </c>
      <c r="D253" s="136">
        <f>VLOOKUP(Tableau2[[#This Row],[Ref]],Tableau1[],4,FALSE)</f>
        <v/>
      </c>
    </row>
    <row r="254">
      <c r="A254" s="136" t="inlineStr">
        <is>
          <t>34412433.PRT</t>
        </is>
      </c>
      <c r="B254" s="137">
        <f>LEFT(Tableau2[[#This Row],[n]],8)</f>
        <v/>
      </c>
      <c r="C254" s="136" t="inlineStr">
        <is>
          <t>COP 34412433 GVXL UPS 1250kVA</t>
        </is>
      </c>
      <c r="D254" s="136">
        <f>VLOOKUP(Tableau2[[#This Row],[Ref]],Tableau1[],4,FALSE)</f>
        <v/>
      </c>
    </row>
    <row r="255">
      <c r="A255" s="136" t="inlineStr">
        <is>
          <t>34412432.PRT</t>
        </is>
      </c>
      <c r="B255" s="137">
        <f>LEFT(Tableau2[[#This Row],[n]],8)</f>
        <v/>
      </c>
      <c r="C255" s="136" t="inlineStr">
        <is>
          <t>COP 34412432 GVXL UPS 1250kVA</t>
        </is>
      </c>
      <c r="D255" s="136">
        <f>VLOOKUP(Tableau2[[#This Row],[Ref]],Tableau1[],4,FALSE)</f>
        <v/>
      </c>
    </row>
    <row r="256">
      <c r="A256" s="136" t="inlineStr">
        <is>
          <t>34412431.PRT</t>
        </is>
      </c>
      <c r="B256" s="137">
        <f>LEFT(Tableau2[[#This Row],[n]],8)</f>
        <v/>
      </c>
      <c r="C256" s="136" t="inlineStr">
        <is>
          <t>34412428.prt_INST</t>
        </is>
      </c>
      <c r="D256" s="136">
        <f>VLOOKUP(Tableau2[[#This Row],[Ref]],Tableau1[],4,FALSE)</f>
        <v/>
      </c>
    </row>
    <row r="257">
      <c r="A257" s="136" t="inlineStr">
        <is>
          <t>34412430.PRT</t>
        </is>
      </c>
      <c r="B257" s="137">
        <f>LEFT(Tableau2[[#This Row],[n]],8)</f>
        <v/>
      </c>
      <c r="C257" s="136" t="inlineStr">
        <is>
          <t>COP 34412430 GVXL UPS 1250kVA</t>
        </is>
      </c>
      <c r="D257" s="136">
        <f>VLOOKUP(Tableau2[[#This Row],[Ref]],Tableau1[],4,FALSE)</f>
        <v/>
      </c>
    </row>
    <row r="258">
      <c r="A258" s="136" t="inlineStr">
        <is>
          <t>34412429.PRT</t>
        </is>
      </c>
      <c r="B258" s="137">
        <f>LEFT(Tableau2[[#This Row],[n]],8)</f>
        <v/>
      </c>
      <c r="C258" s="136" t="inlineStr">
        <is>
          <t>34412429</t>
        </is>
      </c>
      <c r="D258" s="136">
        <f>VLOOKUP(Tableau2[[#This Row],[Ref]],Tableau1[],4,FALSE)</f>
        <v/>
      </c>
    </row>
    <row r="259">
      <c r="A259" s="136" t="inlineStr">
        <is>
          <t>34412428.PRT</t>
        </is>
      </c>
      <c r="B259" s="137">
        <f>LEFT(Tableau2[[#This Row],[n]],8)</f>
        <v/>
      </c>
      <c r="C259" s="136" t="inlineStr">
        <is>
          <t>34412428</t>
        </is>
      </c>
      <c r="D259" s="136">
        <f>VLOOKUP(Tableau2[[#This Row],[Ref]],Tableau1[],4,FALSE)</f>
        <v/>
      </c>
    </row>
    <row r="260">
      <c r="A260" s="136" t="inlineStr">
        <is>
          <t>34412427.PRT</t>
        </is>
      </c>
      <c r="B260" s="137">
        <f>LEFT(Tableau2[[#This Row],[n]],8)</f>
        <v/>
      </c>
      <c r="C260" s="136" t="inlineStr">
        <is>
          <t>COP 34412427 GVXL UPS 1250kVA</t>
        </is>
      </c>
      <c r="D260" s="136">
        <f>VLOOKUP(Tableau2[[#This Row],[Ref]],Tableau1[],4,FALSE)</f>
        <v/>
      </c>
    </row>
    <row r="261">
      <c r="A261" s="136" t="inlineStr">
        <is>
          <t>34412426.PRT</t>
        </is>
      </c>
      <c r="B261" s="137">
        <f>LEFT(Tableau2[[#This Row],[n]],8)</f>
        <v/>
      </c>
      <c r="C261" s="136" t="inlineStr">
        <is>
          <t>34412426</t>
        </is>
      </c>
      <c r="D261" s="136">
        <f>VLOOKUP(Tableau2[[#This Row],[Ref]],Tableau1[],4,FALSE)</f>
        <v/>
      </c>
    </row>
    <row r="262">
      <c r="A262" s="136" t="inlineStr">
        <is>
          <t>34412425.PRT</t>
        </is>
      </c>
      <c r="B262" s="137">
        <f>LEFT(Tableau2[[#This Row],[n]],8)</f>
        <v/>
      </c>
      <c r="C262" s="136" t="inlineStr">
        <is>
          <t>34412425</t>
        </is>
      </c>
      <c r="D262" s="136">
        <f>VLOOKUP(Tableau2[[#This Row],[Ref]],Tableau1[],4,FALSE)</f>
        <v/>
      </c>
    </row>
    <row r="263">
      <c r="A263" s="136" t="inlineStr">
        <is>
          <t>34412424.PRT</t>
        </is>
      </c>
      <c r="B263" s="137">
        <f>LEFT(Tableau2[[#This Row],[n]],8)</f>
        <v/>
      </c>
      <c r="C263" s="136" t="inlineStr">
        <is>
          <t>COP 34412424 GVXL UPS 1250kVA</t>
        </is>
      </c>
      <c r="D263" s="136">
        <f>VLOOKUP(Tableau2[[#This Row],[Ref]],Tableau1[],4,FALSE)</f>
        <v/>
      </c>
    </row>
    <row r="264">
      <c r="A264" s="136" t="inlineStr">
        <is>
          <t>34412423.PRT</t>
        </is>
      </c>
      <c r="B264" s="137">
        <f>LEFT(Tableau2[[#This Row],[n]],8)</f>
        <v/>
      </c>
      <c r="C264" s="136" t="inlineStr">
        <is>
          <t>COP 34412424 GVXL UPS 1250kVA</t>
        </is>
      </c>
      <c r="D264" s="136">
        <f>VLOOKUP(Tableau2[[#This Row],[Ref]],Tableau1[],4,FALSE)</f>
        <v/>
      </c>
    </row>
    <row r="265">
      <c r="A265" s="136" t="inlineStr">
        <is>
          <t>34412422.PRT</t>
        </is>
      </c>
      <c r="B265" s="137">
        <f>LEFT(Tableau2[[#This Row],[n]],8)</f>
        <v/>
      </c>
      <c r="C265" s="136" t="inlineStr">
        <is>
          <t>COP 34412422 GVXL UPS 1250kVA</t>
        </is>
      </c>
      <c r="D265" s="136">
        <f>VLOOKUP(Tableau2[[#This Row],[Ref]],Tableau1[],4,FALSE)</f>
        <v/>
      </c>
    </row>
    <row r="266">
      <c r="A266" s="136" t="inlineStr">
        <is>
          <t>34412421.PRT</t>
        </is>
      </c>
      <c r="B266" s="137">
        <f>LEFT(Tableau2[[#This Row],[n]],8)</f>
        <v/>
      </c>
      <c r="C266" s="136" t="inlineStr">
        <is>
          <t>COP 34412421 GVXL UPS 1250kVA</t>
        </is>
      </c>
      <c r="D266" s="136">
        <f>VLOOKUP(Tableau2[[#This Row],[Ref]],Tableau1[],4,FALSE)</f>
        <v/>
      </c>
    </row>
    <row r="267">
      <c r="A267" s="136" t="inlineStr">
        <is>
          <t>34412420.PRT</t>
        </is>
      </c>
      <c r="B267" s="137">
        <f>LEFT(Tableau2[[#This Row],[n]],8)</f>
        <v/>
      </c>
      <c r="C267" s="136" t="inlineStr">
        <is>
          <t>COP 34412420 GVXL UPS 1250kVA</t>
        </is>
      </c>
      <c r="D267" s="136">
        <f>VLOOKUP(Tableau2[[#This Row],[Ref]],Tableau1[],4,FALSE)</f>
        <v/>
      </c>
    </row>
    <row r="268">
      <c r="A268" s="136" t="inlineStr">
        <is>
          <t>34412419.PRT</t>
        </is>
      </c>
      <c r="B268" s="137">
        <f>LEFT(Tableau2[[#This Row],[n]],8)</f>
        <v/>
      </c>
      <c r="C268" s="136" t="inlineStr">
        <is>
          <t>COP 34412419 GVXL UPS 1250kVA</t>
        </is>
      </c>
      <c r="D268" s="136">
        <f>VLOOKUP(Tableau2[[#This Row],[Ref]],Tableau1[],4,FALSE)</f>
        <v/>
      </c>
    </row>
    <row r="269">
      <c r="A269" s="136" t="inlineStr">
        <is>
          <t>34412418.PRT</t>
        </is>
      </c>
      <c r="B269" s="137">
        <f>LEFT(Tableau2[[#This Row],[n]],8)</f>
        <v/>
      </c>
      <c r="C269" s="136" t="inlineStr">
        <is>
          <t>COP 34412418 GVXL UPS 1250kVA</t>
        </is>
      </c>
      <c r="D269" s="136">
        <f>VLOOKUP(Tableau2[[#This Row],[Ref]],Tableau1[],4,FALSE)</f>
        <v/>
      </c>
    </row>
    <row r="270">
      <c r="A270" s="136" t="inlineStr">
        <is>
          <t>34412417.PRT</t>
        </is>
      </c>
      <c r="B270" s="137">
        <f>LEFT(Tableau2[[#This Row],[n]],8)</f>
        <v/>
      </c>
      <c r="C270" s="136" t="inlineStr">
        <is>
          <t>COP 34412417 GVXL UPS 1250kVA</t>
        </is>
      </c>
      <c r="D270" s="136">
        <f>VLOOKUP(Tableau2[[#This Row],[Ref]],Tableau1[],4,FALSE)</f>
        <v/>
      </c>
    </row>
    <row r="271">
      <c r="A271" s="136" t="inlineStr">
        <is>
          <t>34412416.PRT</t>
        </is>
      </c>
      <c r="B271" s="137">
        <f>LEFT(Tableau2[[#This Row],[n]],8)</f>
        <v/>
      </c>
      <c r="C271" s="136" t="inlineStr">
        <is>
          <t>COP 34412416 GVXL UPS 1250kVA</t>
        </is>
      </c>
      <c r="D271" s="136">
        <f>VLOOKUP(Tableau2[[#This Row],[Ref]],Tableau1[],4,FALSE)</f>
        <v/>
      </c>
    </row>
    <row r="272">
      <c r="A272" s="136" t="inlineStr">
        <is>
          <t>34412415.PRT</t>
        </is>
      </c>
      <c r="B272" s="137">
        <f>LEFT(Tableau2[[#This Row],[n]],8)</f>
        <v/>
      </c>
      <c r="C272" s="136" t="inlineStr">
        <is>
          <t>COP 34412415 GVXL UPS 1250kVA</t>
        </is>
      </c>
      <c r="D272" s="136">
        <f>VLOOKUP(Tableau2[[#This Row],[Ref]],Tableau1[],4,FALSE)</f>
        <v/>
      </c>
    </row>
    <row r="273">
      <c r="A273" s="136" t="inlineStr">
        <is>
          <t>34412414.PRT</t>
        </is>
      </c>
      <c r="B273" s="137">
        <f>LEFT(Tableau2[[#This Row],[n]],8)</f>
        <v/>
      </c>
      <c r="C273" s="136" t="inlineStr">
        <is>
          <t>COP 34412414 GVXL UPS 1250kVA</t>
        </is>
      </c>
      <c r="D273" s="136">
        <f>VLOOKUP(Tableau2[[#This Row],[Ref]],Tableau1[],4,FALSE)</f>
        <v/>
      </c>
    </row>
    <row r="274">
      <c r="A274" s="136" t="inlineStr">
        <is>
          <t>34412413.PRT</t>
        </is>
      </c>
      <c r="B274" s="137">
        <f>LEFT(Tableau2[[#This Row],[n]],8)</f>
        <v/>
      </c>
      <c r="C274" s="136" t="inlineStr">
        <is>
          <t>COP 34412413 GVXL UPS 1250kVA</t>
        </is>
      </c>
      <c r="D274" s="136">
        <f>VLOOKUP(Tableau2[[#This Row],[Ref]],Tableau1[],4,FALSE)</f>
        <v/>
      </c>
    </row>
    <row r="275">
      <c r="A275" s="136" t="inlineStr">
        <is>
          <t>34412412.PRT</t>
        </is>
      </c>
      <c r="B275" s="137">
        <f>LEFT(Tableau2[[#This Row],[n]],8)</f>
        <v/>
      </c>
      <c r="C275" s="136" t="inlineStr">
        <is>
          <t>COP 34412412 GVXL UPS 1250kVA</t>
        </is>
      </c>
      <c r="D275" s="136">
        <f>VLOOKUP(Tableau2[[#This Row],[Ref]],Tableau1[],4,FALSE)</f>
        <v/>
      </c>
    </row>
    <row r="276">
      <c r="A276" s="136" t="inlineStr">
        <is>
          <t>34412411.PRT</t>
        </is>
      </c>
      <c r="B276" s="137">
        <f>LEFT(Tableau2[[#This Row],[n]],8)</f>
        <v/>
      </c>
      <c r="C276" s="136" t="inlineStr">
        <is>
          <t>COP 34412411 GVXL UPS 1250kVA</t>
        </is>
      </c>
      <c r="D276" s="136">
        <f>VLOOKUP(Tableau2[[#This Row],[Ref]],Tableau1[],4,FALSE)</f>
        <v/>
      </c>
    </row>
    <row r="277">
      <c r="A277" s="136" t="inlineStr">
        <is>
          <t>34412410.PRT</t>
        </is>
      </c>
      <c r="B277" s="137">
        <f>LEFT(Tableau2[[#This Row],[n]],8)</f>
        <v/>
      </c>
      <c r="C277" s="136" t="inlineStr">
        <is>
          <t>SMT 34412410  STS 1250A BANDEAU LAT. TRANSPORT</t>
        </is>
      </c>
      <c r="D277" s="136">
        <f>VLOOKUP(Tableau2[[#This Row],[Ref]],Tableau1[],4,FALSE)</f>
        <v/>
      </c>
    </row>
    <row r="278">
      <c r="A278" s="136" t="inlineStr">
        <is>
          <t>34412409.PRT</t>
        </is>
      </c>
      <c r="B278" s="137">
        <f>LEFT(Tableau2[[#This Row],[n]],8)</f>
        <v/>
      </c>
      <c r="C278" s="136" t="inlineStr">
        <is>
          <t>COP LIAISON PRISE ARRIERE MBB</t>
        </is>
      </c>
      <c r="D278" s="136">
        <f>VLOOKUP(Tableau2[[#This Row],[Ref]],Tableau1[],4,FALSE)</f>
        <v/>
      </c>
    </row>
    <row r="279">
      <c r="A279" s="136" t="inlineStr">
        <is>
          <t>34412408.PRT</t>
        </is>
      </c>
      <c r="B279" s="137">
        <f>LEFT(Tableau2[[#This Row],[n]],8)</f>
        <v/>
      </c>
      <c r="C279" s="136" t="inlineStr">
        <is>
          <t>COP 34412408 GVXL UPS 1250kVA</t>
        </is>
      </c>
      <c r="D279" s="136">
        <f>VLOOKUP(Tableau2[[#This Row],[Ref]],Tableau1[],4,FALSE)</f>
        <v/>
      </c>
    </row>
    <row r="280">
      <c r="A280" s="136" t="inlineStr">
        <is>
          <t>34412407.PRT</t>
        </is>
      </c>
      <c r="B280" s="137">
        <f>LEFT(Tableau2[[#This Row],[n]],8)</f>
        <v/>
      </c>
      <c r="C280" s="136" t="inlineStr">
        <is>
          <t>SMT SUPPORT VOYANT</t>
        </is>
      </c>
      <c r="D280" s="136">
        <f>VLOOKUP(Tableau2[[#This Row],[Ref]],Tableau1[],4,FALSE)</f>
        <v/>
      </c>
    </row>
    <row r="281">
      <c r="A281" s="136" t="inlineStr">
        <is>
          <t>34412406.PRT</t>
        </is>
      </c>
      <c r="B281" s="137">
        <f>LEFT(Tableau2[[#This Row],[n]],8)</f>
        <v/>
      </c>
      <c r="C281" s="136" t="inlineStr">
        <is>
          <t>COP 34412406 GVXL UPS 1250kVA</t>
        </is>
      </c>
      <c r="D281" s="136">
        <f>VLOOKUP(Tableau2[[#This Row],[Ref]],Tableau1[],4,FALSE)</f>
        <v/>
      </c>
    </row>
    <row r="282">
      <c r="A282" s="136" t="inlineStr">
        <is>
          <t>34412405.PRT</t>
        </is>
      </c>
      <c r="B282" s="137">
        <f>LEFT(Tableau2[[#This Row],[n]],8)</f>
        <v/>
      </c>
      <c r="C282" s="136" t="inlineStr">
        <is>
          <t>COP 34412405 GVXL UPS 1250kVA</t>
        </is>
      </c>
      <c r="D282" s="136">
        <f>VLOOKUP(Tableau2[[#This Row],[Ref]],Tableau1[],4,FALSE)</f>
        <v/>
      </c>
    </row>
    <row r="283">
      <c r="A283" s="136" t="inlineStr">
        <is>
          <t>34412404.PRT</t>
        </is>
      </c>
      <c r="B283" s="137">
        <f>LEFT(Tableau2[[#This Row],[n]],8)</f>
        <v/>
      </c>
      <c r="C283" s="136" t="inlineStr">
        <is>
          <t>COP 34412404 GVXL UPS 1250kVA</t>
        </is>
      </c>
      <c r="D283" s="136">
        <f>VLOOKUP(Tableau2[[#This Row],[Ref]],Tableau1[],4,FALSE)</f>
        <v/>
      </c>
    </row>
    <row r="284">
      <c r="A284" s="136" t="inlineStr">
        <is>
          <t>34412403.PRT</t>
        </is>
      </c>
      <c r="B284" s="137">
        <f>LEFT(Tableau2[[#This Row],[n]],8)</f>
        <v/>
      </c>
      <c r="C284" s="136" t="inlineStr">
        <is>
          <t>COP 34412403 GVXL UPS 1250kVA</t>
        </is>
      </c>
      <c r="D284" s="136">
        <f>VLOOKUP(Tableau2[[#This Row],[Ref]],Tableau1[],4,FALSE)</f>
        <v/>
      </c>
    </row>
    <row r="285">
      <c r="A285" s="136" t="inlineStr">
        <is>
          <t>34412402.PRT</t>
        </is>
      </c>
      <c r="B285" s="137">
        <f>LEFT(Tableau2[[#This Row],[n]],8)</f>
        <v/>
      </c>
      <c r="C285" s="136" t="inlineStr">
        <is>
          <t>COP 34412402 GVXL UPS 1250kVA</t>
        </is>
      </c>
      <c r="D285" s="136">
        <f>VLOOKUP(Tableau2[[#This Row],[Ref]],Tableau1[],4,FALSE)</f>
        <v/>
      </c>
    </row>
    <row r="286">
      <c r="A286" s="136" t="inlineStr">
        <is>
          <t>34412401.PRT</t>
        </is>
      </c>
      <c r="B286" s="137">
        <f>LEFT(Tableau2[[#This Row],[n]],8)</f>
        <v/>
      </c>
      <c r="C286" s="136" t="inlineStr">
        <is>
          <t>COP 34412401 GVXL UPS 1250kVA</t>
        </is>
      </c>
      <c r="D286" s="136">
        <f>VLOOKUP(Tableau2[[#This Row],[Ref]],Tableau1[],4,FALSE)</f>
        <v/>
      </c>
    </row>
    <row r="287">
      <c r="A287" s="136" t="inlineStr">
        <is>
          <t>34412400.PRT</t>
        </is>
      </c>
      <c r="B287" s="137">
        <f>LEFT(Tableau2[[#This Row],[n]],8)</f>
        <v/>
      </c>
      <c r="C287" s="136" t="inlineStr">
        <is>
          <t>COP LIASION MBB UOB</t>
        </is>
      </c>
      <c r="D287" s="136">
        <f>VLOOKUP(Tableau2[[#This Row],[Ref]],Tableau1[],4,FALSE)</f>
        <v/>
      </c>
    </row>
    <row r="288">
      <c r="A288" s="136" t="inlineStr">
        <is>
          <t>34412399.PRT</t>
        </is>
      </c>
      <c r="B288" s="137">
        <f>LEFT(Tableau2[[#This Row],[n]],8)</f>
        <v/>
      </c>
      <c r="C288" s="136" t="inlineStr">
        <is>
          <t>SMT PLASTRON MTZ2 GVEAC7</t>
        </is>
      </c>
      <c r="D288" s="136">
        <f>VLOOKUP(Tableau2[[#This Row],[Ref]],Tableau1[],4,FALSE)</f>
        <v/>
      </c>
    </row>
    <row r="289">
      <c r="A289" s="136" t="inlineStr">
        <is>
          <t>34412398.PRT</t>
        </is>
      </c>
      <c r="B289" s="137">
        <f>LEFT(Tableau2[[#This Row],[n]],8)</f>
        <v/>
      </c>
      <c r="C289" s="136" t="inlineStr">
        <is>
          <t>SMT PLASTRON 2 NS800 GVEAC7</t>
        </is>
      </c>
      <c r="D289" s="136">
        <f>VLOOKUP(Tableau2[[#This Row],[Ref]],Tableau1[],4,FALSE)</f>
        <v/>
      </c>
    </row>
    <row r="290">
      <c r="A290" s="136" t="inlineStr">
        <is>
          <t>34412396.PRT</t>
        </is>
      </c>
      <c r="B290" s="137">
        <f>LEFT(Tableau2[[#This Row],[n]],8)</f>
        <v/>
      </c>
      <c r="C290" s="136" t="inlineStr">
        <is>
          <t>SMT PLASTRON HAUT/DROIT</t>
        </is>
      </c>
      <c r="D290" s="136">
        <f>VLOOKUP(Tableau2[[#This Row],[Ref]],Tableau1[],4,FALSE)</f>
        <v/>
      </c>
    </row>
    <row r="291">
      <c r="A291" s="136" t="inlineStr">
        <is>
          <t>34412395.PRT</t>
        </is>
      </c>
      <c r="B291" s="137">
        <f>LEFT(Tableau2[[#This Row],[n]],8)</f>
        <v/>
      </c>
      <c r="C291" s="136" t="inlineStr">
        <is>
          <t>SMT PLASTRON HAUT/GAUCHE</t>
        </is>
      </c>
      <c r="D291" s="136">
        <f>VLOOKUP(Tableau2[[#This Row],[Ref]],Tableau1[],4,FALSE)</f>
        <v/>
      </c>
    </row>
    <row r="292">
      <c r="A292" s="136" t="inlineStr">
        <is>
          <t>34412394.PRT</t>
        </is>
      </c>
      <c r="B292" s="137">
        <f>LEFT(Tableau2[[#This Row],[n]],8)</f>
        <v/>
      </c>
      <c r="C292" s="136" t="inlineStr">
        <is>
          <t>DECOUPE LINERGY 04567 L1300MM</t>
        </is>
      </c>
      <c r="D292" s="136">
        <f>VLOOKUP(Tableau2[[#This Row],[Ref]],Tableau1[],4,FALSE)</f>
        <v/>
      </c>
    </row>
    <row r="293">
      <c r="A293" s="136" t="inlineStr">
        <is>
          <t>34412393.PRT</t>
        </is>
      </c>
      <c r="B293" s="137">
        <f>LEFT(Tableau2[[#This Row],[n]],8)</f>
        <v/>
      </c>
      <c r="C293" s="136" t="inlineStr">
        <is>
          <t>CANEVAS MTZ2 1600A  SW 4P  +2 NC</t>
        </is>
      </c>
      <c r="D293" s="136">
        <f>VLOOKUP(Tableau2[[#This Row],[Ref]],Tableau1[],4,FALSE)</f>
        <v/>
      </c>
    </row>
    <row r="294">
      <c r="A294" s="136" t="inlineStr">
        <is>
          <t>34412392.PRT</t>
        </is>
      </c>
      <c r="B294" s="137">
        <f>LEFT(Tableau2[[#This Row],[n]],8)</f>
        <v/>
      </c>
      <c r="C294" s="136" t="inlineStr">
        <is>
          <t>CB / NS800H Micro5.0 3P3d + 2NO</t>
        </is>
      </c>
      <c r="D294" s="136">
        <f>VLOOKUP(Tableau2[[#This Row],[Ref]],Tableau1[],4,FALSE)</f>
        <v/>
      </c>
    </row>
    <row r="295">
      <c r="A295" s="136" t="inlineStr">
        <is>
          <t>34412391.PRT</t>
        </is>
      </c>
      <c r="B295" s="137">
        <f>LEFT(Tableau2[[#This Row],[n]],8)</f>
        <v/>
      </c>
      <c r="C295" s="136" t="inlineStr">
        <is>
          <t>34412391</t>
        </is>
      </c>
      <c r="D295" s="136">
        <f>VLOOKUP(Tableau2[[#This Row],[Ref]],Tableau1[],4,FALSE)</f>
        <v/>
      </c>
    </row>
    <row r="296">
      <c r="A296" s="136" t="inlineStr">
        <is>
          <t>34412390.PRT</t>
        </is>
      </c>
      <c r="B296" s="137">
        <f>LEFT(Tableau2[[#This Row],[n]],8)</f>
        <v/>
      </c>
      <c r="C296" s="136" t="inlineStr">
        <is>
          <t>SMT 34412390 GVXL BBC 4000A</t>
        </is>
      </c>
      <c r="D296" s="136">
        <f>VLOOKUP(Tableau2[[#This Row],[Ref]],Tableau1[],4,FALSE)</f>
        <v/>
      </c>
    </row>
    <row r="297">
      <c r="A297" s="136" t="inlineStr">
        <is>
          <t>34412389.PRT</t>
        </is>
      </c>
      <c r="B297" s="137">
        <f>LEFT(Tableau2[[#This Row],[n]],8)</f>
        <v/>
      </c>
      <c r="C297" s="136" t="inlineStr">
        <is>
          <t>SMT 34412389 GVXL BBC 4000A</t>
        </is>
      </c>
      <c r="D297" s="136">
        <f>VLOOKUP(Tableau2[[#This Row],[Ref]],Tableau1[],4,FALSE)</f>
        <v/>
      </c>
    </row>
    <row r="298">
      <c r="A298" s="136" t="inlineStr">
        <is>
          <t>34412388.PRT</t>
        </is>
      </c>
      <c r="B298" s="137">
        <f>LEFT(Tableau2[[#This Row],[n]],8)</f>
        <v/>
      </c>
      <c r="C298" s="136" t="inlineStr">
        <is>
          <t>PLA 34412388 GVXL UPS 850kVA</t>
        </is>
      </c>
      <c r="D298" s="136">
        <f>VLOOKUP(Tableau2[[#This Row],[Ref]],Tableau1[],4,FALSE)</f>
        <v/>
      </c>
    </row>
    <row r="299">
      <c r="A299" s="136" t="inlineStr">
        <is>
          <t>34412387.PRT</t>
        </is>
      </c>
      <c r="B299" s="137">
        <f>LEFT(Tableau2[[#This Row],[n]],8)</f>
        <v/>
      </c>
      <c r="C299" s="136" t="inlineStr">
        <is>
          <t>SMT 34412387 PROTECTION SHIELD NWDC</t>
        </is>
      </c>
      <c r="D299" s="136">
        <f>VLOOKUP(Tableau2[[#This Row],[Ref]],Tableau1[],4,FALSE)</f>
        <v/>
      </c>
    </row>
    <row r="300">
      <c r="A300" s="136" t="inlineStr">
        <is>
          <t>34412386.PRT</t>
        </is>
      </c>
      <c r="B300" s="137">
        <f>LEFT(Tableau2[[#This Row],[n]],8)</f>
        <v/>
      </c>
      <c r="C300" s="136" t="inlineStr">
        <is>
          <t>34412386</t>
        </is>
      </c>
      <c r="D300" s="136">
        <f>VLOOKUP(Tableau2[[#This Row],[Ref]],Tableau1[],4,FALSE)</f>
        <v/>
      </c>
    </row>
    <row r="301">
      <c r="A301" s="136" t="inlineStr">
        <is>
          <t>34412385.PRT</t>
        </is>
      </c>
      <c r="B301" s="137">
        <f>LEFT(Tableau2[[#This Row],[n]],8)</f>
        <v/>
      </c>
      <c r="C301" s="136" t="inlineStr">
        <is>
          <t>PLA 34412385 GVXL UPS 850kVA</t>
        </is>
      </c>
      <c r="D301" s="136">
        <f>VLOOKUP(Tableau2[[#This Row],[Ref]],Tableau1[],4,FALSE)</f>
        <v/>
      </c>
    </row>
    <row r="302">
      <c r="A302" s="136" t="inlineStr">
        <is>
          <t>34412384.PRT</t>
        </is>
      </c>
      <c r="B302" s="137">
        <f>LEFT(Tableau2[[#This Row],[n]],8)</f>
        <v/>
      </c>
      <c r="C302" s="136" t="inlineStr">
        <is>
          <t>34412384</t>
        </is>
      </c>
      <c r="D302" s="136">
        <f>VLOOKUP(Tableau2[[#This Row],[Ref]],Tableau1[],4,FALSE)</f>
        <v/>
      </c>
    </row>
    <row r="303">
      <c r="A303" s="136" t="inlineStr">
        <is>
          <t>34412383.PRT</t>
        </is>
      </c>
      <c r="B303" s="137">
        <f>LEFT(Tableau2[[#This Row],[n]],8)</f>
        <v/>
      </c>
      <c r="C303" s="136" t="inlineStr">
        <is>
          <t>34412383</t>
        </is>
      </c>
      <c r="D303" s="136">
        <f>VLOOKUP(Tableau2[[#This Row],[Ref]],Tableau1[],4,FALSE)</f>
        <v/>
      </c>
    </row>
    <row r="304">
      <c r="A304" s="136" t="inlineStr">
        <is>
          <t>34412382.PRT</t>
        </is>
      </c>
      <c r="B304" s="137">
        <f>LEFT(Tableau2[[#This Row],[n]],8)</f>
        <v/>
      </c>
      <c r="C304" s="136" t="inlineStr">
        <is>
          <t>34412382</t>
        </is>
      </c>
      <c r="D304" s="136">
        <f>VLOOKUP(Tableau2[[#This Row],[Ref]],Tableau1[],4,FALSE)</f>
        <v/>
      </c>
    </row>
    <row r="305">
      <c r="A305" s="136" t="inlineStr">
        <is>
          <t>34412381.PRT</t>
        </is>
      </c>
      <c r="B305" s="137">
        <f>LEFT(Tableau2[[#This Row],[n]],8)</f>
        <v/>
      </c>
      <c r="C305" s="136" t="inlineStr">
        <is>
          <t>34412381</t>
        </is>
      </c>
      <c r="D305" s="136">
        <f>VLOOKUP(Tableau2[[#This Row],[Ref]],Tableau1[],4,FALSE)</f>
        <v/>
      </c>
    </row>
    <row r="306">
      <c r="A306" s="136" t="inlineStr">
        <is>
          <t>34412380.PRT</t>
        </is>
      </c>
      <c r="B306" s="137">
        <f>LEFT(Tableau2[[#This Row],[n]],8)</f>
        <v/>
      </c>
      <c r="C306" s="136" t="inlineStr">
        <is>
          <t>34412380</t>
        </is>
      </c>
      <c r="D306" s="136">
        <f>VLOOKUP(Tableau2[[#This Row],[Ref]],Tableau1[],4,FALSE)</f>
        <v/>
      </c>
    </row>
    <row r="307">
      <c r="A307" s="136" t="inlineStr">
        <is>
          <t>34412379.PRT</t>
        </is>
      </c>
      <c r="B307" s="137">
        <f>LEFT(Tableau2[[#This Row],[n]],8)</f>
        <v/>
      </c>
      <c r="C307" s="136" t="inlineStr">
        <is>
          <t>34412379</t>
        </is>
      </c>
      <c r="D307" s="136">
        <f>VLOOKUP(Tableau2[[#This Row],[Ref]],Tableau1[],4,FALSE)</f>
        <v/>
      </c>
    </row>
    <row r="308">
      <c r="A308" s="136" t="inlineStr">
        <is>
          <t>34412378.PRT</t>
        </is>
      </c>
      <c r="B308" s="137">
        <f>LEFT(Tableau2[[#This Row],[n]],8)</f>
        <v/>
      </c>
      <c r="C308" s="136" t="inlineStr">
        <is>
          <t>34412378</t>
        </is>
      </c>
      <c r="D308" s="136">
        <f>VLOOKUP(Tableau2[[#This Row],[Ref]],Tableau1[],4,FALSE)</f>
        <v/>
      </c>
    </row>
    <row r="309">
      <c r="A309" s="136" t="inlineStr">
        <is>
          <t>34412377.PRT</t>
        </is>
      </c>
      <c r="B309" s="137">
        <f>LEFT(Tableau2[[#This Row],[n]],8)</f>
        <v/>
      </c>
      <c r="C309" s="136" t="inlineStr">
        <is>
          <t>34412377</t>
        </is>
      </c>
      <c r="D309" s="136">
        <f>VLOOKUP(Tableau2[[#This Row],[Ref]],Tableau1[],4,FALSE)</f>
        <v/>
      </c>
    </row>
    <row r="310">
      <c r="A310" s="136" t="inlineStr">
        <is>
          <t>34412376.PRT</t>
        </is>
      </c>
      <c r="B310" s="137">
        <f>LEFT(Tableau2[[#This Row],[n]],8)</f>
        <v/>
      </c>
      <c r="C310" s="136" t="inlineStr">
        <is>
          <t>COP 34412376 GVXL UPS 850kVA</t>
        </is>
      </c>
      <c r="D310" s="136">
        <f>VLOOKUP(Tableau2[[#This Row],[Ref]],Tableau1[],4,FALSE)</f>
        <v/>
      </c>
    </row>
    <row r="311">
      <c r="A311" s="136" t="inlineStr">
        <is>
          <t>34412375.PRT</t>
        </is>
      </c>
      <c r="B311" s="137">
        <f>LEFT(Tableau2[[#This Row],[n]],8)</f>
        <v/>
      </c>
      <c r="C311" s="136" t="inlineStr">
        <is>
          <t>COP 34412375 GVXL UPS 850kVA</t>
        </is>
      </c>
      <c r="D311" s="136">
        <f>VLOOKUP(Tableau2[[#This Row],[Ref]],Tableau1[],4,FALSE)</f>
        <v/>
      </c>
    </row>
    <row r="312">
      <c r="A312" s="136" t="inlineStr">
        <is>
          <t>34412374.PRT</t>
        </is>
      </c>
      <c r="B312" s="137">
        <f>LEFT(Tableau2[[#This Row],[n]],8)</f>
        <v/>
      </c>
      <c r="C312" s="136" t="inlineStr">
        <is>
          <t>COP 34412374 GVXL UPS 850kVA</t>
        </is>
      </c>
      <c r="D312" s="136">
        <f>VLOOKUP(Tableau2[[#This Row],[Ref]],Tableau1[],4,FALSE)</f>
        <v/>
      </c>
    </row>
    <row r="313">
      <c r="A313" s="136" t="inlineStr">
        <is>
          <t>34412373.PRT</t>
        </is>
      </c>
      <c r="B313" s="137">
        <f>LEFT(Tableau2[[#This Row],[n]],8)</f>
        <v/>
      </c>
      <c r="C313" s="136" t="inlineStr">
        <is>
          <t>COP 34412373 GVXL UPS 850kVA</t>
        </is>
      </c>
      <c r="D313" s="136">
        <f>VLOOKUP(Tableau2[[#This Row],[Ref]],Tableau1[],4,FALSE)</f>
        <v/>
      </c>
    </row>
    <row r="314">
      <c r="A314" s="136" t="inlineStr">
        <is>
          <t>34412372.PRT</t>
        </is>
      </c>
      <c r="B314" s="137">
        <f>LEFT(Tableau2[[#This Row],[n]],8)</f>
        <v/>
      </c>
      <c r="C314" s="136" t="inlineStr">
        <is>
          <t>COP 34412372 GVXL UPS 850kVA</t>
        </is>
      </c>
      <c r="D314" s="136">
        <f>VLOOKUP(Tableau2[[#This Row],[Ref]],Tableau1[],4,FALSE)</f>
        <v/>
      </c>
    </row>
    <row r="315">
      <c r="A315" s="136" t="inlineStr">
        <is>
          <t>34412371.PRT</t>
        </is>
      </c>
      <c r="B315" s="137">
        <f>LEFT(Tableau2[[#This Row],[n]],8)</f>
        <v/>
      </c>
      <c r="C315" s="136" t="inlineStr">
        <is>
          <t>COP 34412371 GVXL UPS 850kVA</t>
        </is>
      </c>
      <c r="D315" s="136">
        <f>VLOOKUP(Tableau2[[#This Row],[Ref]],Tableau1[],4,FALSE)</f>
        <v/>
      </c>
    </row>
    <row r="316">
      <c r="A316" s="136" t="inlineStr">
        <is>
          <t>34412370.PRT</t>
        </is>
      </c>
      <c r="B316" s="137">
        <f>LEFT(Tableau2[[#This Row],[n]],8)</f>
        <v/>
      </c>
      <c r="C316" s="136" t="inlineStr">
        <is>
          <t>COP 34412370 GVXL UPS 850kVA</t>
        </is>
      </c>
      <c r="D316" s="136">
        <f>VLOOKUP(Tableau2[[#This Row],[Ref]],Tableau1[],4,FALSE)</f>
        <v/>
      </c>
    </row>
    <row r="317">
      <c r="A317" s="136" t="inlineStr">
        <is>
          <t>34412369.PRT</t>
        </is>
      </c>
      <c r="B317" s="137">
        <f>LEFT(Tableau2[[#This Row],[n]],8)</f>
        <v/>
      </c>
      <c r="C317" s="136" t="inlineStr">
        <is>
          <t>COP 34412369 GVXL UPS 850kVA</t>
        </is>
      </c>
      <c r="D317" s="136">
        <f>VLOOKUP(Tableau2[[#This Row],[Ref]],Tableau1[],4,FALSE)</f>
        <v/>
      </c>
    </row>
    <row r="318">
      <c r="A318" s="136" t="inlineStr">
        <is>
          <t>34412368.PRT</t>
        </is>
      </c>
      <c r="B318" s="137">
        <f>LEFT(Tableau2[[#This Row],[n]],8)</f>
        <v/>
      </c>
      <c r="C318" s="136" t="inlineStr">
        <is>
          <t>COP 34412368 GVXL UPS 850kVA</t>
        </is>
      </c>
      <c r="D318" s="136">
        <f>VLOOKUP(Tableau2[[#This Row],[Ref]],Tableau1[],4,FALSE)</f>
        <v/>
      </c>
    </row>
    <row r="319">
      <c r="A319" s="136" t="inlineStr">
        <is>
          <t>34412367.PRT</t>
        </is>
      </c>
      <c r="B319" s="137">
        <f>LEFT(Tableau2[[#This Row],[n]],8)</f>
        <v/>
      </c>
      <c r="C319" s="136" t="inlineStr">
        <is>
          <t>34412367</t>
        </is>
      </c>
      <c r="D319" s="136">
        <f>VLOOKUP(Tableau2[[#This Row],[Ref]],Tableau1[],4,FALSE)</f>
        <v/>
      </c>
    </row>
    <row r="320">
      <c r="A320" s="136" t="inlineStr">
        <is>
          <t>34412366.PRT</t>
        </is>
      </c>
      <c r="B320" s="137">
        <f>LEFT(Tableau2[[#This Row],[n]],8)</f>
        <v/>
      </c>
      <c r="C320" s="136" t="inlineStr">
        <is>
          <t>34412366</t>
        </is>
      </c>
      <c r="D320" s="136">
        <f>VLOOKUP(Tableau2[[#This Row],[Ref]],Tableau1[],4,FALSE)</f>
        <v/>
      </c>
    </row>
    <row r="321">
      <c r="A321" s="136" t="inlineStr">
        <is>
          <t>34412365.PRT</t>
        </is>
      </c>
      <c r="B321" s="137">
        <f>LEFT(Tableau2[[#This Row],[n]],8)</f>
        <v/>
      </c>
      <c r="C321" s="136" t="inlineStr">
        <is>
          <t>34412365</t>
        </is>
      </c>
      <c r="D321" s="136">
        <f>VLOOKUP(Tableau2[[#This Row],[Ref]],Tableau1[],4,FALSE)</f>
        <v/>
      </c>
    </row>
    <row r="322">
      <c r="A322" s="136" t="inlineStr">
        <is>
          <t>34412364.PRT</t>
        </is>
      </c>
      <c r="B322" s="137">
        <f>LEFT(Tableau2[[#This Row],[n]],8)</f>
        <v/>
      </c>
      <c r="C322" s="136" t="inlineStr">
        <is>
          <t>34412364</t>
        </is>
      </c>
      <c r="D322" s="136">
        <f>VLOOKUP(Tableau2[[#This Row],[Ref]],Tableau1[],4,FALSE)</f>
        <v/>
      </c>
    </row>
    <row r="323">
      <c r="A323" s="136" t="inlineStr">
        <is>
          <t>34412363.PRT</t>
        </is>
      </c>
      <c r="B323" s="137">
        <f>LEFT(Tableau2[[#This Row],[n]],8)</f>
        <v/>
      </c>
      <c r="C323" s="136" t="inlineStr">
        <is>
          <t>COP 34412363 GVXL UPS 850kVA</t>
        </is>
      </c>
      <c r="D323" s="136">
        <f>VLOOKUP(Tableau2[[#This Row],[Ref]],Tableau1[],4,FALSE)</f>
        <v/>
      </c>
    </row>
    <row r="324">
      <c r="A324" s="136" t="inlineStr">
        <is>
          <t>34412362.PRT</t>
        </is>
      </c>
      <c r="B324" s="137">
        <f>LEFT(Tableau2[[#This Row],[n]],8)</f>
        <v/>
      </c>
      <c r="C324" s="136" t="inlineStr">
        <is>
          <t>SMT 34412362 GVXL BBC 4000A</t>
        </is>
      </c>
      <c r="D324" s="136">
        <f>VLOOKUP(Tableau2[[#This Row],[Ref]],Tableau1[],4,FALSE)</f>
        <v/>
      </c>
    </row>
    <row r="325">
      <c r="A325" s="136" t="inlineStr">
        <is>
          <t>34412361.PRT</t>
        </is>
      </c>
      <c r="B325" s="137">
        <f>LEFT(Tableau2[[#This Row],[n]],8)</f>
        <v/>
      </c>
      <c r="C325" s="136" t="inlineStr">
        <is>
          <t>SMT PLASTRON 3 x NS1000 - 3P</t>
        </is>
      </c>
      <c r="D325" s="136">
        <f>VLOOKUP(Tableau2[[#This Row],[Ref]],Tableau1[],4,FALSE)</f>
        <v/>
      </c>
    </row>
    <row r="326">
      <c r="A326" s="136" t="inlineStr">
        <is>
          <t>34412360.PRT</t>
        </is>
      </c>
      <c r="B326" s="137">
        <f>LEFT(Tableau2[[#This Row],[n]],8)</f>
        <v/>
      </c>
      <c r="C326" s="136" t="inlineStr">
        <is>
          <t>SMT PLASTRON HAUT / DROIT</t>
        </is>
      </c>
      <c r="D326" s="136">
        <f>VLOOKUP(Tableau2[[#This Row],[Ref]],Tableau1[],4,FALSE)</f>
        <v/>
      </c>
    </row>
    <row r="327">
      <c r="A327" s="136" t="inlineStr">
        <is>
          <t>34412359.PRT</t>
        </is>
      </c>
      <c r="B327" s="137">
        <f>LEFT(Tableau2[[#This Row],[n]],8)</f>
        <v/>
      </c>
      <c r="C327" s="136" t="inlineStr">
        <is>
          <t>SMT 34412359 GVXL BBC 4000A</t>
        </is>
      </c>
      <c r="D327" s="136">
        <f>VLOOKUP(Tableau2[[#This Row],[Ref]],Tableau1[],4,FALSE)</f>
        <v/>
      </c>
    </row>
    <row r="328">
      <c r="A328" s="136" t="inlineStr">
        <is>
          <t>34412358.PRT</t>
        </is>
      </c>
      <c r="B328" s="137">
        <f>LEFT(Tableau2[[#This Row],[n]],8)</f>
        <v/>
      </c>
      <c r="C328" s="136" t="inlineStr">
        <is>
          <t>SMT 34412358 GVXL BBC 4000A</t>
        </is>
      </c>
      <c r="D328" s="136">
        <f>VLOOKUP(Tableau2[[#This Row],[Ref]],Tableau1[],4,FALSE)</f>
        <v/>
      </c>
    </row>
    <row r="329">
      <c r="A329" s="136" t="inlineStr">
        <is>
          <t>34412357.PRT</t>
        </is>
      </c>
      <c r="B329" s="137">
        <f>LEFT(Tableau2[[#This Row],[n]],8)</f>
        <v/>
      </c>
      <c r="C329" s="136" t="inlineStr">
        <is>
          <t>PLA ECRAN PROTECTION ELECTRIQUE</t>
        </is>
      </c>
      <c r="D329" s="136">
        <f>VLOOKUP(Tableau2[[#This Row],[Ref]],Tableau1[],4,FALSE)</f>
        <v/>
      </c>
    </row>
    <row r="330">
      <c r="A330" s="136" t="inlineStr">
        <is>
          <t>34412356.PRT</t>
        </is>
      </c>
      <c r="B330" s="137">
        <f>LEFT(Tableau2[[#This Row],[n]],8)</f>
        <v/>
      </c>
      <c r="C330" s="136" t="inlineStr">
        <is>
          <t>SMT SUPPORT BORNIER AUXILIAIRE</t>
        </is>
      </c>
      <c r="D330" s="136">
        <f>VLOOKUP(Tableau2[[#This Row],[Ref]],Tableau1[],4,FALSE)</f>
        <v/>
      </c>
    </row>
    <row r="331">
      <c r="A331" s="136" t="inlineStr">
        <is>
          <t>34412355.PRT</t>
        </is>
      </c>
      <c r="B331" s="137">
        <f>LEFT(Tableau2[[#This Row],[n]],8)</f>
        <v/>
      </c>
      <c r="C331" s="136" t="inlineStr">
        <is>
          <t>COP CONNEXION PE(N) LINERGY</t>
        </is>
      </c>
      <c r="D331" s="136">
        <f>VLOOKUP(Tableau2[[#This Row],[Ref]],Tableau1[],4,FALSE)</f>
        <v/>
      </c>
    </row>
    <row r="332">
      <c r="A332" s="136" t="inlineStr">
        <is>
          <t>34412354.PRT</t>
        </is>
      </c>
      <c r="B332" s="137">
        <f>LEFT(Tableau2[[#This Row],[n]],8)</f>
        <v/>
      </c>
      <c r="C332" s="136" t="inlineStr">
        <is>
          <t>COP CONNEXION CLIENT SORTIE MBB</t>
        </is>
      </c>
      <c r="D332" s="136">
        <f>VLOOKUP(Tableau2[[#This Row],[Ref]],Tableau1[],4,FALSE)</f>
        <v/>
      </c>
    </row>
    <row r="333">
      <c r="A333" s="136" t="inlineStr">
        <is>
          <t>34412353.PRT</t>
        </is>
      </c>
      <c r="B333" s="137">
        <f>LEFT(Tableau2[[#This Row],[n]],8)</f>
        <v/>
      </c>
      <c r="C333" s="136" t="inlineStr">
        <is>
          <t>PLA PLAQUE ISOLANTE</t>
        </is>
      </c>
      <c r="D333" s="136">
        <f>VLOOKUP(Tableau2[[#This Row],[Ref]],Tableau1[],4,FALSE)</f>
        <v/>
      </c>
    </row>
    <row r="334">
      <c r="A334" s="136" t="inlineStr">
        <is>
          <t>34412352.PRT</t>
        </is>
      </c>
      <c r="B334" s="137">
        <f>LEFT(Tableau2[[#This Row],[n]],8)</f>
        <v/>
      </c>
      <c r="C334" s="136" t="inlineStr">
        <is>
          <t>COP RACCORDEMENT INPUT / OUTPUT PANEL</t>
        </is>
      </c>
      <c r="D334" s="136">
        <f>VLOOKUP(Tableau2[[#This Row],[Ref]],Tableau1[],4,FALSE)</f>
        <v/>
      </c>
    </row>
    <row r="335">
      <c r="A335" s="136" t="inlineStr">
        <is>
          <t>34412351.PRT</t>
        </is>
      </c>
      <c r="B335" s="137">
        <f>LEFT(Tableau2[[#This Row],[n]],8)</f>
        <v/>
      </c>
      <c r="C335" s="136" t="inlineStr">
        <is>
          <t>SMT SUPPORT 4 ISOLANT LVS04678</t>
        </is>
      </c>
      <c r="D335" s="136">
        <f>VLOOKUP(Tableau2[[#This Row],[Ref]],Tableau1[],4,FALSE)</f>
        <v/>
      </c>
    </row>
    <row r="336">
      <c r="A336" s="136" t="inlineStr">
        <is>
          <t>34412350.PRT</t>
        </is>
      </c>
      <c r="B336" s="137">
        <f>LEFT(Tableau2[[#This Row],[n]],8)</f>
        <v/>
      </c>
      <c r="C336" s="136" t="inlineStr">
        <is>
          <t>SMT SUPPORT 3 ISOLANT LVS04678</t>
        </is>
      </c>
      <c r="D336" s="136">
        <f>VLOOKUP(Tableau2[[#This Row],[Ref]],Tableau1[],4,FALSE)</f>
        <v/>
      </c>
    </row>
    <row r="337">
      <c r="A337" s="136" t="inlineStr">
        <is>
          <t>34412349.PRT</t>
        </is>
      </c>
      <c r="B337" s="137">
        <f>LEFT(Tableau2[[#This Row],[n]],8)</f>
        <v/>
      </c>
      <c r="C337" s="136" t="inlineStr">
        <is>
          <t>SMT SUPPORT 2 ISOLANT LVS04678</t>
        </is>
      </c>
      <c r="D337" s="136">
        <f>VLOOKUP(Tableau2[[#This Row],[Ref]],Tableau1[],4,FALSE)</f>
        <v/>
      </c>
    </row>
    <row r="338">
      <c r="A338" s="136" t="inlineStr">
        <is>
          <t>34412348.PRT</t>
        </is>
      </c>
      <c r="B338" s="137">
        <f>LEFT(Tableau2[[#This Row],[n]],8)</f>
        <v/>
      </c>
      <c r="C338" s="136" t="inlineStr">
        <is>
          <t>SMT SUPPORT 1 ISOLANT LVS04678</t>
        </is>
      </c>
      <c r="D338" s="136">
        <f>VLOOKUP(Tableau2[[#This Row],[Ref]],Tableau1[],4,FALSE)</f>
        <v/>
      </c>
    </row>
    <row r="339">
      <c r="A339" s="136" t="inlineStr">
        <is>
          <t>34412347.PRT</t>
        </is>
      </c>
      <c r="B339" s="137">
        <f>LEFT(Tableau2[[#This Row],[n]],8)</f>
        <v/>
      </c>
      <c r="C339" s="136" t="inlineStr">
        <is>
          <t>PLA PROTECTION CUIVRE MAKROLON</t>
        </is>
      </c>
      <c r="D339" s="136">
        <f>VLOOKUP(Tableau2[[#This Row],[Ref]],Tableau1[],4,FALSE)</f>
        <v/>
      </c>
    </row>
    <row r="340">
      <c r="A340" s="136" t="inlineStr">
        <is>
          <t>34412346.PRT</t>
        </is>
      </c>
      <c r="B340" s="137">
        <f>LEFT(Tableau2[[#This Row],[n]],8)</f>
        <v/>
      </c>
      <c r="C340" s="136" t="inlineStr">
        <is>
          <t>COP PONTAGE TNS-TNC</t>
        </is>
      </c>
      <c r="D340" s="136">
        <f>VLOOKUP(Tableau2[[#This Row],[Ref]],Tableau1[],4,FALSE)</f>
        <v/>
      </c>
    </row>
    <row r="341">
      <c r="A341" s="136" t="inlineStr">
        <is>
          <t>34412345.PRT</t>
        </is>
      </c>
      <c r="B341" s="137">
        <f>LEFT(Tableau2[[#This Row],[n]],8)</f>
        <v/>
      </c>
      <c r="C341" s="136" t="inlineStr">
        <is>
          <t>COP CX / LINERGY - L3</t>
        </is>
      </c>
      <c r="D341" s="136">
        <f>VLOOKUP(Tableau2[[#This Row],[Ref]],Tableau1[],4,FALSE)</f>
        <v/>
      </c>
    </row>
    <row r="342">
      <c r="A342" s="136" t="inlineStr">
        <is>
          <t>34412344.PRT</t>
        </is>
      </c>
      <c r="B342" s="137">
        <f>LEFT(Tableau2[[#This Row],[n]],8)</f>
        <v/>
      </c>
      <c r="C342" s="136" t="inlineStr">
        <is>
          <t>COP CX / LINERGY - L2</t>
        </is>
      </c>
      <c r="D342" s="136">
        <f>VLOOKUP(Tableau2[[#This Row],[Ref]],Tableau1[],4,FALSE)</f>
        <v/>
      </c>
    </row>
    <row r="343">
      <c r="A343" s="136" t="inlineStr">
        <is>
          <t>34412343.PRT</t>
        </is>
      </c>
      <c r="B343" s="137">
        <f>LEFT(Tableau2[[#This Row],[n]],8)</f>
        <v/>
      </c>
      <c r="C343" s="136" t="inlineStr">
        <is>
          <t>COP CX / LINERGY - L1</t>
        </is>
      </c>
      <c r="D343" s="136">
        <f>VLOOKUP(Tableau2[[#This Row],[Ref]],Tableau1[],4,FALSE)</f>
        <v/>
      </c>
    </row>
    <row r="344">
      <c r="A344" s="136" t="inlineStr">
        <is>
          <t>34412342.PRT</t>
        </is>
      </c>
      <c r="B344" s="137">
        <f>LEFT(Tableau2[[#This Row],[n]],8)</f>
        <v/>
      </c>
      <c r="C344" s="136" t="inlineStr">
        <is>
          <t>COP CX / LINERGY - N</t>
        </is>
      </c>
      <c r="D344" s="136">
        <f>VLOOKUP(Tableau2[[#This Row],[Ref]],Tableau1[],4,FALSE)</f>
        <v/>
      </c>
    </row>
    <row r="345">
      <c r="A345" s="136" t="inlineStr">
        <is>
          <t>34412341.PRT</t>
        </is>
      </c>
      <c r="B345" s="137">
        <f>LEFT(Tableau2[[#This Row],[n]],8)</f>
        <v/>
      </c>
      <c r="C345" s="136" t="inlineStr">
        <is>
          <t>SMT SUPPORT LINERGY BAS</t>
        </is>
      </c>
      <c r="D345" s="136">
        <f>VLOOKUP(Tableau2[[#This Row],[Ref]],Tableau1[],4,FALSE)</f>
        <v/>
      </c>
    </row>
    <row r="346">
      <c r="A346" s="136" t="inlineStr">
        <is>
          <t>34412340.PRT</t>
        </is>
      </c>
      <c r="B346" s="137">
        <f>LEFT(Tableau2[[#This Row],[n]],8)</f>
        <v/>
      </c>
      <c r="C346" s="136" t="inlineStr">
        <is>
          <t>NS1000H MICRO5.0 3P3D</t>
        </is>
      </c>
      <c r="D346" s="136">
        <f>VLOOKUP(Tableau2[[#This Row],[Ref]],Tableau1[],4,FALSE)</f>
        <v/>
      </c>
    </row>
    <row r="347">
      <c r="A347" s="136" t="inlineStr">
        <is>
          <t>34412339.PRT</t>
        </is>
      </c>
      <c r="B347" s="137">
        <f>LEFT(Tableau2[[#This Row],[n]],8)</f>
        <v/>
      </c>
      <c r="C347" s="136" t="inlineStr">
        <is>
          <t>34412339</t>
        </is>
      </c>
      <c r="D347" s="136">
        <f>VLOOKUP(Tableau2[[#This Row],[Ref]],Tableau1[],4,FALSE)</f>
        <v/>
      </c>
    </row>
    <row r="348">
      <c r="A348" s="136" t="inlineStr">
        <is>
          <t>34412338.PRT</t>
        </is>
      </c>
      <c r="B348" s="137">
        <f>LEFT(Tableau2[[#This Row],[n]],8)</f>
        <v/>
      </c>
      <c r="C348" s="136" t="inlineStr">
        <is>
          <t>COP CONNEXION NW20-40 DC ARRIERE</t>
        </is>
      </c>
      <c r="D348" s="136">
        <f>VLOOKUP(Tableau2[[#This Row],[Ref]],Tableau1[],4,FALSE)</f>
        <v/>
      </c>
    </row>
    <row r="349">
      <c r="A349" s="136" t="inlineStr">
        <is>
          <t>34412337.PRT</t>
        </is>
      </c>
      <c r="B349" s="137">
        <f>LEFT(Tableau2[[#This Row],[n]],8)</f>
        <v/>
      </c>
      <c r="C349" s="136" t="inlineStr">
        <is>
          <t>COP 34412337 GVXL BBC 4000A</t>
        </is>
      </c>
      <c r="D349" s="136">
        <f>VLOOKUP(Tableau2[[#This Row],[Ref]],Tableau1[],4,FALSE)</f>
        <v/>
      </c>
    </row>
    <row r="350">
      <c r="A350" s="136" t="inlineStr">
        <is>
          <t>34412335.PRT</t>
        </is>
      </c>
      <c r="B350" s="137">
        <f>LEFT(Tableau2[[#This Row],[n]],8)</f>
        <v/>
      </c>
      <c r="C350" s="136" t="inlineStr">
        <is>
          <t>PLA 34412335 GVXL BBC 4000A</t>
        </is>
      </c>
      <c r="D350" s="136">
        <f>VLOOKUP(Tableau2[[#This Row],[Ref]],Tableau1[],4,FALSE)</f>
        <v/>
      </c>
    </row>
    <row r="351">
      <c r="A351" s="136" t="inlineStr">
        <is>
          <t>34412334.PRT</t>
        </is>
      </c>
      <c r="B351" s="137">
        <f>LEFT(Tableau2[[#This Row],[n]],8)</f>
        <v/>
      </c>
      <c r="C351" s="136" t="inlineStr">
        <is>
          <t>SMT 34412334 GVXL BBC 4000A</t>
        </is>
      </c>
      <c r="D351" s="136">
        <f>VLOOKUP(Tableau2[[#This Row],[Ref]],Tableau1[],4,FALSE)</f>
        <v/>
      </c>
    </row>
    <row r="352">
      <c r="A352" s="136" t="inlineStr">
        <is>
          <t>34412331.PRT</t>
        </is>
      </c>
      <c r="B352" s="137">
        <f>LEFT(Tableau2[[#This Row],[n]],8)</f>
        <v/>
      </c>
      <c r="C352" s="136" t="inlineStr">
        <is>
          <t>SE 34412331 NW20HDC-E MN 24Vac/dc GVXL BBC 2000A</t>
        </is>
      </c>
      <c r="D352" s="136">
        <f>VLOOKUP(Tableau2[[#This Row],[Ref]],Tableau1[],4,FALSE)</f>
        <v/>
      </c>
    </row>
    <row r="353">
      <c r="A353" s="136" t="inlineStr">
        <is>
          <t>34412330.PRT</t>
        </is>
      </c>
      <c r="B353" s="137">
        <f>LEFT(Tableau2[[#This Row],[n]],8)</f>
        <v/>
      </c>
      <c r="C353" s="136" t="inlineStr">
        <is>
          <t>SE 34412330 NW40HDC-E MN 24Vac/dc GVXL BBC 4000A</t>
        </is>
      </c>
      <c r="D353" s="136">
        <f>VLOOKUP(Tableau2[[#This Row],[Ref]],Tableau1[],4,FALSE)</f>
        <v/>
      </c>
    </row>
    <row r="354">
      <c r="A354" s="136" t="inlineStr">
        <is>
          <t>34412327.PRT</t>
        </is>
      </c>
      <c r="B354" s="137">
        <f>LEFT(Tableau2[[#This Row],[n]],8)</f>
        <v/>
      </c>
      <c r="C354" s="136" t="inlineStr">
        <is>
          <t>34412327</t>
        </is>
      </c>
      <c r="D354" s="136">
        <f>VLOOKUP(Tableau2[[#This Row],[Ref]],Tableau1[],4,FALSE)</f>
        <v/>
      </c>
    </row>
    <row r="355">
      <c r="A355" s="136" t="inlineStr">
        <is>
          <t>34412326.PRT</t>
        </is>
      </c>
      <c r="B355" s="137">
        <f>LEFT(Tableau2[[#This Row],[n]],8)</f>
        <v/>
      </c>
      <c r="C355" s="136" t="inlineStr">
        <is>
          <t>SMT PLASTRON MTZ2 GVEAC7</t>
        </is>
      </c>
      <c r="D355" s="136">
        <f>VLOOKUP(Tableau2[[#This Row],[Ref]],Tableau1[],4,FALSE)</f>
        <v/>
      </c>
    </row>
    <row r="356">
      <c r="A356" s="136" t="inlineStr">
        <is>
          <t>34412325.PRT</t>
        </is>
      </c>
      <c r="B356" s="137">
        <f>LEFT(Tableau2[[#This Row],[n]],8)</f>
        <v/>
      </c>
      <c r="C356" s="136" t="inlineStr">
        <is>
          <t>SMT PLASTRON 2 NS800 GVEAC7</t>
        </is>
      </c>
      <c r="D356" s="136">
        <f>VLOOKUP(Tableau2[[#This Row],[Ref]],Tableau1[],4,FALSE)</f>
        <v/>
      </c>
    </row>
    <row r="357">
      <c r="A357" s="136" t="inlineStr">
        <is>
          <t>34412324.PRT</t>
        </is>
      </c>
      <c r="B357" s="137">
        <f>LEFT(Tableau2[[#This Row],[n]],8)</f>
        <v/>
      </c>
      <c r="C357" s="136" t="inlineStr">
        <is>
          <t>SMT RAIL CABLE FIXATION</t>
        </is>
      </c>
      <c r="D357" s="136">
        <f>VLOOKUP(Tableau2[[#This Row],[Ref]],Tableau1[],4,FALSE)</f>
        <v/>
      </c>
    </row>
    <row r="358">
      <c r="A358" s="136" t="inlineStr">
        <is>
          <t>34412323.PRT</t>
        </is>
      </c>
      <c r="B358" s="137">
        <f>LEFT(Tableau2[[#This Row],[n]],8)</f>
        <v/>
      </c>
      <c r="C358" s="136" t="inlineStr">
        <is>
          <t>34412323</t>
        </is>
      </c>
      <c r="D358" s="136">
        <f>VLOOKUP(Tableau2[[#This Row],[Ref]],Tableau1[],4,FALSE)</f>
        <v/>
      </c>
    </row>
    <row r="359">
      <c r="A359" s="136" t="inlineStr">
        <is>
          <t>34412322.PRT</t>
        </is>
      </c>
      <c r="B359" s="137">
        <f>LEFT(Tableau2[[#This Row],[n]],8)</f>
        <v/>
      </c>
      <c r="C359" s="136" t="inlineStr">
        <is>
          <t>COP 34412322  STS 1250A</t>
        </is>
      </c>
      <c r="D359" s="136">
        <f>VLOOKUP(Tableau2[[#This Row],[Ref]],Tableau1[],4,FALSE)</f>
        <v/>
      </c>
    </row>
    <row r="360">
      <c r="A360" s="136" t="inlineStr">
        <is>
          <t>34412320-BYPASS_SE07-4P.PRT</t>
        </is>
      </c>
      <c r="B360" s="137">
        <f>LEFT(Tableau2[[#This Row],[n]],8)</f>
        <v/>
      </c>
      <c r="C360" s="136" t="inlineStr">
        <is>
          <t>NE PAS COMMANDER</t>
        </is>
      </c>
      <c r="D360" s="136">
        <f>VLOOKUP(Tableau2[[#This Row],[Ref]],Tableau1[],4,FALSE)</f>
        <v/>
      </c>
    </row>
    <row r="361">
      <c r="A361" s="136" t="inlineStr">
        <is>
          <t>34412319.PRT</t>
        </is>
      </c>
      <c r="B361" s="137">
        <f>LEFT(Tableau2[[#This Row],[n]],8)</f>
        <v/>
      </c>
      <c r="C361" s="136" t="inlineStr">
        <is>
          <t>COP CUIVRE DE JONCTION NSX</t>
        </is>
      </c>
      <c r="D361" s="136">
        <f>VLOOKUP(Tableau2[[#This Row],[Ref]],Tableau1[],4,FALSE)</f>
        <v/>
      </c>
    </row>
    <row r="362">
      <c r="A362" s="136" t="inlineStr">
        <is>
          <t>34412316.PRT</t>
        </is>
      </c>
      <c r="B362" s="137">
        <f>LEFT(Tableau2[[#This Row],[n]],8)</f>
        <v/>
      </c>
      <c r="C362" s="136" t="inlineStr">
        <is>
          <t>SMT 34412316  STS 1250A PLATEAU RC</t>
        </is>
      </c>
      <c r="D362" s="136">
        <f>VLOOKUP(Tableau2[[#This Row],[Ref]],Tableau1[],4,FALSE)</f>
        <v/>
      </c>
    </row>
    <row r="363">
      <c r="A363" s="136" t="inlineStr">
        <is>
          <t>34412314_SE01.PRT</t>
        </is>
      </c>
      <c r="B363" s="137">
        <f>LEFT(Tableau2[[#This Row],[n]],8)</f>
        <v/>
      </c>
      <c r="C363" s="136" t="inlineStr">
        <is>
          <t>34412314_se01</t>
        </is>
      </c>
      <c r="D363" s="136">
        <f>VLOOKUP(Tableau2[[#This Row],[Ref]],Tableau1[],4,FALSE)</f>
        <v/>
      </c>
    </row>
    <row r="364">
      <c r="A364" s="136" t="inlineStr">
        <is>
          <t>34412314.PRT</t>
        </is>
      </c>
      <c r="B364" s="137">
        <f>LEFT(Tableau2[[#This Row],[n]],8)</f>
        <v/>
      </c>
      <c r="C364" s="136" t="inlineStr">
        <is>
          <t>SMT 34412313  STS 1250A PLATINE RC S2</t>
        </is>
      </c>
      <c r="D364" s="136">
        <f>VLOOKUP(Tableau2[[#This Row],[Ref]],Tableau1[],4,FALSE)</f>
        <v/>
      </c>
    </row>
    <row r="365">
      <c r="A365" s="136" t="inlineStr">
        <is>
          <t>34412313_SE01.PRT</t>
        </is>
      </c>
      <c r="B365" s="137">
        <f>LEFT(Tableau2[[#This Row],[n]],8)</f>
        <v/>
      </c>
      <c r="C365" s="136" t="inlineStr">
        <is>
          <t>NE PAS COMMANDER</t>
        </is>
      </c>
      <c r="D365" s="136">
        <f>VLOOKUP(Tableau2[[#This Row],[Ref]],Tableau1[],4,FALSE)</f>
        <v/>
      </c>
    </row>
    <row r="366">
      <c r="A366" s="136" t="inlineStr">
        <is>
          <t>34412313.PRT</t>
        </is>
      </c>
      <c r="B366" s="137">
        <f>LEFT(Tableau2[[#This Row],[n]],8)</f>
        <v/>
      </c>
      <c r="C366" s="136" t="inlineStr">
        <is>
          <t>SMT 34412313  STS 1250A PLATINE RC S1</t>
        </is>
      </c>
      <c r="D366" s="136">
        <f>VLOOKUP(Tableau2[[#This Row],[Ref]],Tableau1[],4,FALSE)</f>
        <v/>
      </c>
    </row>
    <row r="367">
      <c r="A367" s="136" t="inlineStr">
        <is>
          <t>34412312.PRT</t>
        </is>
      </c>
      <c r="B367" s="137">
        <f>LEFT(Tableau2[[#This Row],[n]],8)</f>
        <v/>
      </c>
      <c r="C367" s="136" t="inlineStr">
        <is>
          <t>DECOUPE CABLOFIL CF54300EZ LG 1300mm</t>
        </is>
      </c>
      <c r="D367" s="136">
        <f>VLOOKUP(Tableau2[[#This Row],[Ref]],Tableau1[],4,FALSE)</f>
        <v/>
      </c>
    </row>
    <row r="368">
      <c r="A368" s="136" t="inlineStr">
        <is>
          <t>34412309.PRT</t>
        </is>
      </c>
      <c r="B368" s="137">
        <f>LEFT(Tableau2[[#This Row],[n]],8)</f>
        <v/>
      </c>
      <c r="C368" s="136" t="inlineStr">
        <is>
          <t>SMT PLASTRON NSX GVEAC10</t>
        </is>
      </c>
      <c r="D368" s="136">
        <f>VLOOKUP(Tableau2[[#This Row],[Ref]],Tableau1[],4,FALSE)</f>
        <v/>
      </c>
    </row>
    <row r="369">
      <c r="A369" s="136" t="inlineStr">
        <is>
          <t>34412308.PRT</t>
        </is>
      </c>
      <c r="B369" s="137">
        <f>LEFT(Tableau2[[#This Row],[n]],8)</f>
        <v/>
      </c>
      <c r="C369" s="136" t="inlineStr">
        <is>
          <t>SMT PLASTRON</t>
        </is>
      </c>
      <c r="D369" s="136">
        <f>VLOOKUP(Tableau2[[#This Row],[Ref]],Tableau1[],4,FALSE)</f>
        <v/>
      </c>
    </row>
    <row r="370">
      <c r="A370" s="136" t="inlineStr">
        <is>
          <t>34412307.PRT</t>
        </is>
      </c>
      <c r="B370" s="137">
        <f>LEFT(Tableau2[[#This Row],[n]],8)</f>
        <v/>
      </c>
      <c r="C370" s="136" t="inlineStr">
        <is>
          <t>CB / NS800L 3P MICRO 5.0E PRISE AR H</t>
        </is>
      </c>
      <c r="D370" s="136">
        <f>VLOOKUP(Tableau2[[#This Row],[Ref]],Tableau1[],4,FALSE)</f>
        <v/>
      </c>
    </row>
    <row r="371">
      <c r="A371" s="136" t="inlineStr">
        <is>
          <t>34412306.PRT</t>
        </is>
      </c>
      <c r="B371" s="137">
        <f>LEFT(Tableau2[[#This Row],[n]],8)</f>
        <v/>
      </c>
      <c r="C371" s="136" t="inlineStr">
        <is>
          <t>SMT SUPPORT LATERAL =S= 04662</t>
        </is>
      </c>
      <c r="D371" s="136">
        <f>VLOOKUP(Tableau2[[#This Row],[Ref]],Tableau1[],4,FALSE)</f>
        <v/>
      </c>
    </row>
    <row r="372">
      <c r="A372" s="136" t="inlineStr">
        <is>
          <t>34412305.PRT</t>
        </is>
      </c>
      <c r="B372" s="137">
        <f>LEFT(Tableau2[[#This Row],[n]],8)</f>
        <v/>
      </c>
      <c r="C372" s="136" t="inlineStr">
        <is>
          <t>PLA PLAQUE DE MAINTIEN</t>
        </is>
      </c>
      <c r="D372" s="136">
        <f>VLOOKUP(Tableau2[[#This Row],[Ref]],Tableau1[],4,FALSE)</f>
        <v/>
      </c>
    </row>
    <row r="373">
      <c r="A373" s="136" t="inlineStr">
        <is>
          <t>34412304.PRT</t>
        </is>
      </c>
      <c r="B373" s="137">
        <f>LEFT(Tableau2[[#This Row],[n]],8)</f>
        <v/>
      </c>
      <c r="C373" s="136" t="inlineStr">
        <is>
          <t>SMT PLASTRON MBB SIB GVEAC7</t>
        </is>
      </c>
      <c r="D373" s="136">
        <f>VLOOKUP(Tableau2[[#This Row],[Ref]],Tableau1[],4,FALSE)</f>
        <v/>
      </c>
    </row>
    <row r="374">
      <c r="A374" s="136" t="inlineStr">
        <is>
          <t>34412303.PRT</t>
        </is>
      </c>
      <c r="B374" s="137">
        <f>LEFT(Tableau2[[#This Row],[n]],8)</f>
        <v/>
      </c>
      <c r="C374" s="136" t="inlineStr">
        <is>
          <t>COP CONNEXION SORTIE MBB 5</t>
        </is>
      </c>
      <c r="D374" s="136">
        <f>VLOOKUP(Tableau2[[#This Row],[Ref]],Tableau1[],4,FALSE)</f>
        <v/>
      </c>
    </row>
    <row r="375">
      <c r="A375" s="136" t="inlineStr">
        <is>
          <t>34412302.PRT</t>
        </is>
      </c>
      <c r="B375" s="137">
        <f>LEFT(Tableau2[[#This Row],[n]],8)</f>
        <v/>
      </c>
      <c r="C375" s="136" t="inlineStr">
        <is>
          <t>SMT SUPPORT LATERAL =S= 04662</t>
        </is>
      </c>
      <c r="D375" s="136">
        <f>VLOOKUP(Tableau2[[#This Row],[Ref]],Tableau1[],4,FALSE)</f>
        <v/>
      </c>
    </row>
    <row r="376">
      <c r="A376" s="136" t="inlineStr">
        <is>
          <t>34412301.PRT</t>
        </is>
      </c>
      <c r="B376" s="137">
        <f>LEFT(Tableau2[[#This Row],[n]],8)</f>
        <v/>
      </c>
      <c r="C376" s="136" t="inlineStr">
        <is>
          <t>SMT SUPPORT HAUT =S= 04662</t>
        </is>
      </c>
      <c r="D376" s="136">
        <f>VLOOKUP(Tableau2[[#This Row],[Ref]],Tableau1[],4,FALSE)</f>
        <v/>
      </c>
    </row>
    <row r="377">
      <c r="A377" s="136" t="inlineStr">
        <is>
          <t>34412300.PRT</t>
        </is>
      </c>
      <c r="B377" s="137">
        <f>LEFT(Tableau2[[#This Row],[n]],8)</f>
        <v/>
      </c>
      <c r="C377" s="136" t="inlineStr">
        <is>
          <t>COP CONNEXION SORTIE MBB 1</t>
        </is>
      </c>
      <c r="D377" s="136">
        <f>VLOOKUP(Tableau2[[#This Row],[Ref]],Tableau1[],4,FALSE)</f>
        <v/>
      </c>
    </row>
    <row r="378">
      <c r="A378" s="136" t="inlineStr">
        <is>
          <t>34412299.PRT</t>
        </is>
      </c>
      <c r="B378" s="137">
        <f>LEFT(Tableau2[[#This Row],[n]],8)</f>
        <v/>
      </c>
      <c r="C378" s="136" t="inlineStr">
        <is>
          <t>COP CONNEXION SORTIE MBB 2</t>
        </is>
      </c>
      <c r="D378" s="136">
        <f>VLOOKUP(Tableau2[[#This Row],[Ref]],Tableau1[],4,FALSE)</f>
        <v/>
      </c>
    </row>
    <row r="379">
      <c r="A379" s="136" t="inlineStr">
        <is>
          <t>34412298.PRT</t>
        </is>
      </c>
      <c r="B379" s="137">
        <f>LEFT(Tableau2[[#This Row],[n]],8)</f>
        <v/>
      </c>
      <c r="C379" s="136" t="inlineStr">
        <is>
          <t>COP CONNEXION SORTIE MBB 3</t>
        </is>
      </c>
      <c r="D379" s="136">
        <f>VLOOKUP(Tableau2[[#This Row],[Ref]],Tableau1[],4,FALSE)</f>
        <v/>
      </c>
    </row>
    <row r="380">
      <c r="A380" s="136" t="inlineStr">
        <is>
          <t>34412297.PRT</t>
        </is>
      </c>
      <c r="B380" s="137">
        <f>LEFT(Tableau2[[#This Row],[n]],8)</f>
        <v/>
      </c>
      <c r="C380" s="136" t="inlineStr">
        <is>
          <t>COP CONNEXION SORTIE MBB 4</t>
        </is>
      </c>
      <c r="D380" s="136">
        <f>VLOOKUP(Tableau2[[#This Row],[Ref]],Tableau1[],4,FALSE)</f>
        <v/>
      </c>
    </row>
    <row r="381">
      <c r="A381" s="136" t="inlineStr">
        <is>
          <t>34412296.PRT</t>
        </is>
      </c>
      <c r="B381" s="137">
        <f>LEFT(Tableau2[[#This Row],[n]],8)</f>
        <v/>
      </c>
      <c r="C381" s="136" t="inlineStr">
        <is>
          <t>COP CONNEXION MBB ET SIB 8</t>
        </is>
      </c>
      <c r="D381" s="136">
        <f>VLOOKUP(Tableau2[[#This Row],[Ref]],Tableau1[],4,FALSE)</f>
        <v/>
      </c>
    </row>
    <row r="382">
      <c r="A382" s="136" t="inlineStr">
        <is>
          <t>34412295.PRT</t>
        </is>
      </c>
      <c r="B382" s="137">
        <f>LEFT(Tableau2[[#This Row],[n]],8)</f>
        <v/>
      </c>
      <c r="C382" s="136" t="inlineStr">
        <is>
          <t>COP CONNEXION MBB ET SIB 7</t>
        </is>
      </c>
      <c r="D382" s="136">
        <f>VLOOKUP(Tableau2[[#This Row],[Ref]],Tableau1[],4,FALSE)</f>
        <v/>
      </c>
    </row>
    <row r="383">
      <c r="A383" s="136" t="inlineStr">
        <is>
          <t>34412294.PRT</t>
        </is>
      </c>
      <c r="B383" s="137">
        <f>LEFT(Tableau2[[#This Row],[n]],8)</f>
        <v/>
      </c>
      <c r="C383" s="136" t="inlineStr">
        <is>
          <t>COP CONNEXION MBB ET SIB 6</t>
        </is>
      </c>
      <c r="D383" s="136">
        <f>VLOOKUP(Tableau2[[#This Row],[Ref]],Tableau1[],4,FALSE)</f>
        <v/>
      </c>
    </row>
    <row r="384">
      <c r="A384" s="136" t="inlineStr">
        <is>
          <t>34412293.PRT</t>
        </is>
      </c>
      <c r="B384" s="137">
        <f>LEFT(Tableau2[[#This Row],[n]],8)</f>
        <v/>
      </c>
      <c r="C384" s="136" t="inlineStr">
        <is>
          <t>COP CONNEXION MBB ET SIB 5</t>
        </is>
      </c>
      <c r="D384" s="136">
        <f>VLOOKUP(Tableau2[[#This Row],[Ref]],Tableau1[],4,FALSE)</f>
        <v/>
      </c>
    </row>
    <row r="385">
      <c r="A385" s="136" t="inlineStr">
        <is>
          <t>34412292.PRT</t>
        </is>
      </c>
      <c r="B385" s="137">
        <f>LEFT(Tableau2[[#This Row],[n]],8)</f>
        <v/>
      </c>
      <c r="C385" s="136" t="inlineStr">
        <is>
          <t>COP CONNEXION MBB ET SIB 4</t>
        </is>
      </c>
      <c r="D385" s="136">
        <f>VLOOKUP(Tableau2[[#This Row],[Ref]],Tableau1[],4,FALSE)</f>
        <v/>
      </c>
    </row>
    <row r="386">
      <c r="A386" s="136" t="inlineStr">
        <is>
          <t>34412291.PRT</t>
        </is>
      </c>
      <c r="B386" s="137">
        <f>LEFT(Tableau2[[#This Row],[n]],8)</f>
        <v/>
      </c>
      <c r="C386" s="136" t="inlineStr">
        <is>
          <t>COP CONNEXION MBB ET SIB 3</t>
        </is>
      </c>
      <c r="D386" s="136">
        <f>VLOOKUP(Tableau2[[#This Row],[Ref]],Tableau1[],4,FALSE)</f>
        <v/>
      </c>
    </row>
    <row r="387">
      <c r="A387" s="136" t="inlineStr">
        <is>
          <t>34412290.PRT</t>
        </is>
      </c>
      <c r="B387" s="137">
        <f>LEFT(Tableau2[[#This Row],[n]],8)</f>
        <v/>
      </c>
      <c r="C387" s="136" t="inlineStr">
        <is>
          <t>COP 34412290 GVXL BYPASS</t>
        </is>
      </c>
      <c r="D387" s="136">
        <f>VLOOKUP(Tableau2[[#This Row],[Ref]],Tableau1[],4,FALSE)</f>
        <v/>
      </c>
    </row>
    <row r="388">
      <c r="A388" s="136" t="inlineStr">
        <is>
          <t>34412289.PRT</t>
        </is>
      </c>
      <c r="B388" s="137">
        <f>LEFT(Tableau2[[#This Row],[n]],8)</f>
        <v/>
      </c>
      <c r="C388" s="136" t="inlineStr">
        <is>
          <t>COP 34412289 GVXL BYPASS</t>
        </is>
      </c>
      <c r="D388" s="136">
        <f>VLOOKUP(Tableau2[[#This Row],[Ref]],Tableau1[],4,FALSE)</f>
        <v/>
      </c>
    </row>
    <row r="389">
      <c r="A389" s="136" t="inlineStr">
        <is>
          <t>34412288.PRT</t>
        </is>
      </c>
      <c r="B389" s="137">
        <f>LEFT(Tableau2[[#This Row],[n]],8)</f>
        <v/>
      </c>
      <c r="C389" s="136" t="inlineStr">
        <is>
          <t>COP 34412288 GVXL BYPASS</t>
        </is>
      </c>
      <c r="D389" s="136">
        <f>VLOOKUP(Tableau2[[#This Row],[Ref]],Tableau1[],4,FALSE)</f>
        <v/>
      </c>
    </row>
    <row r="390">
      <c r="A390" s="136" t="inlineStr">
        <is>
          <t>34412287</t>
        </is>
      </c>
      <c r="B390" s="137">
        <f>LEFT(Tableau2[[#This Row],[n]],8)</f>
        <v/>
      </c>
      <c r="C390" s="136" t="inlineStr">
        <is>
          <t>COP 34412287 GVXL BYPASS</t>
        </is>
      </c>
      <c r="D390" s="136">
        <f>VLOOKUP(Tableau2[[#This Row],[Ref]],Tableau1[],4,FALSE)</f>
        <v/>
      </c>
    </row>
    <row r="391">
      <c r="A391" s="136" t="inlineStr">
        <is>
          <t>34412286.PRT</t>
        </is>
      </c>
      <c r="B391" s="137">
        <f>LEFT(Tableau2[[#This Row],[n]],8)</f>
        <v/>
      </c>
      <c r="C391" s="136" t="inlineStr">
        <is>
          <t>COP 34412286 GVXL BYPASS</t>
        </is>
      </c>
      <c r="D391" s="136">
        <f>VLOOKUP(Tableau2[[#This Row],[Ref]],Tableau1[],4,FALSE)</f>
        <v/>
      </c>
    </row>
    <row r="392">
      <c r="A392" s="136" t="inlineStr">
        <is>
          <t>34412285.PRT</t>
        </is>
      </c>
      <c r="B392" s="137">
        <f>LEFT(Tableau2[[#This Row],[n]],8)</f>
        <v/>
      </c>
      <c r="C392" s="136" t="inlineStr">
        <is>
          <t>COP 34412285 GVXL BYPASS</t>
        </is>
      </c>
      <c r="D392" s="136">
        <f>VLOOKUP(Tableau2[[#This Row],[Ref]],Tableau1[],4,FALSE)</f>
        <v/>
      </c>
    </row>
    <row r="393">
      <c r="A393" s="136" t="inlineStr">
        <is>
          <t>34412284.PRT</t>
        </is>
      </c>
      <c r="B393" s="137">
        <f>LEFT(Tableau2[[#This Row],[n]],8)</f>
        <v/>
      </c>
      <c r="C393" s="136" t="inlineStr">
        <is>
          <t>COP 34412284 GVXL BYPASS</t>
        </is>
      </c>
      <c r="D393" s="136">
        <f>VLOOKUP(Tableau2[[#This Row],[Ref]],Tableau1[],4,FALSE)</f>
        <v/>
      </c>
    </row>
    <row r="394">
      <c r="A394" s="136" t="inlineStr">
        <is>
          <t>34412283.PRT</t>
        </is>
      </c>
      <c r="B394" s="137">
        <f>LEFT(Tableau2[[#This Row],[n]],8)</f>
        <v/>
      </c>
      <c r="C394" s="136" t="inlineStr">
        <is>
          <t>COP 34412283 GVXL BYPASS</t>
        </is>
      </c>
      <c r="D394" s="136">
        <f>VLOOKUP(Tableau2[[#This Row],[Ref]],Tableau1[],4,FALSE)</f>
        <v/>
      </c>
    </row>
    <row r="395">
      <c r="A395" s="136" t="inlineStr">
        <is>
          <t>34412282.PRT</t>
        </is>
      </c>
      <c r="B395" s="137">
        <f>LEFT(Tableau2[[#This Row],[n]],8)</f>
        <v/>
      </c>
      <c r="C395" s="136" t="inlineStr">
        <is>
          <t>COP 34412282 GVXL BYPASS</t>
        </is>
      </c>
      <c r="D395" s="136">
        <f>VLOOKUP(Tableau2[[#This Row],[Ref]],Tableau1[],4,FALSE)</f>
        <v/>
      </c>
    </row>
    <row r="396">
      <c r="A396" s="136" t="inlineStr">
        <is>
          <t>34412279.PRT</t>
        </is>
      </c>
      <c r="B396" s="137">
        <f>LEFT(Tableau2[[#This Row],[n]],8)</f>
        <v/>
      </c>
      <c r="C396" s="136" t="inlineStr">
        <is>
          <t>COP CONNEXION MBB ET SIB 2</t>
        </is>
      </c>
      <c r="D396" s="136">
        <f>VLOOKUP(Tableau2[[#This Row],[Ref]],Tableau1[],4,FALSE)</f>
        <v/>
      </c>
    </row>
    <row r="397">
      <c r="A397" s="136" t="inlineStr">
        <is>
          <t>34412278.PRT</t>
        </is>
      </c>
      <c r="B397" s="137">
        <f>LEFT(Tableau2[[#This Row],[n]],8)</f>
        <v/>
      </c>
      <c r="C397" s="136" t="inlineStr">
        <is>
          <t>COP CONNEXION MBB ET SIB 1</t>
        </is>
      </c>
      <c r="D397" s="136">
        <f>VLOOKUP(Tableau2[[#This Row],[Ref]],Tableau1[],4,FALSE)</f>
        <v/>
      </c>
    </row>
    <row r="398">
      <c r="A398" s="136" t="inlineStr">
        <is>
          <t>34412277.PRT</t>
        </is>
      </c>
      <c r="B398" s="137">
        <f>LEFT(Tableau2[[#This Row],[n]],8)</f>
        <v/>
      </c>
      <c r="C398" s="136" t="inlineStr">
        <is>
          <t>COP ENTREE/SORTIE 10x100</t>
        </is>
      </c>
      <c r="D398" s="136">
        <f>VLOOKUP(Tableau2[[#This Row],[Ref]],Tableau1[],4,FALSE)</f>
        <v/>
      </c>
    </row>
    <row r="399">
      <c r="A399" s="136" t="inlineStr">
        <is>
          <t>34412276.PRT</t>
        </is>
      </c>
      <c r="B399" s="137">
        <f>LEFT(Tableau2[[#This Row],[n]],8)</f>
        <v/>
      </c>
      <c r="C399" s="136" t="inlineStr">
        <is>
          <t>COP liaison MBB / SIB 1</t>
        </is>
      </c>
      <c r="D399" s="136">
        <f>VLOOKUP(Tableau2[[#This Row],[Ref]],Tableau1[],4,FALSE)</f>
        <v/>
      </c>
    </row>
    <row r="400">
      <c r="A400" s="136" t="inlineStr">
        <is>
          <t>34412275.PRT</t>
        </is>
      </c>
      <c r="B400" s="137">
        <f>LEFT(Tableau2[[#This Row],[n]],8)</f>
        <v/>
      </c>
      <c r="C400" s="136" t="inlineStr">
        <is>
          <t>COP liaison MBB / SIB 2</t>
        </is>
      </c>
      <c r="D400" s="136">
        <f>VLOOKUP(Tableau2[[#This Row],[Ref]],Tableau1[],4,FALSE)</f>
        <v/>
      </c>
    </row>
    <row r="401">
      <c r="A401" s="136" t="inlineStr">
        <is>
          <t>34412274.PRT</t>
        </is>
      </c>
      <c r="B401" s="137">
        <f>LEFT(Tableau2[[#This Row],[n]],8)</f>
        <v/>
      </c>
      <c r="C401" s="136" t="inlineStr">
        <is>
          <t>COP liaison MBB / SIB 3</t>
        </is>
      </c>
      <c r="D401" s="136">
        <f>VLOOKUP(Tableau2[[#This Row],[Ref]],Tableau1[],4,FALSE)</f>
        <v/>
      </c>
    </row>
    <row r="402">
      <c r="A402" s="136" t="inlineStr">
        <is>
          <t>34412273.PRT</t>
        </is>
      </c>
      <c r="B402" s="137">
        <f>LEFT(Tableau2[[#This Row],[n]],8)</f>
        <v/>
      </c>
      <c r="C402" s="136" t="inlineStr">
        <is>
          <t>COP liaison MBB / SIB 4</t>
        </is>
      </c>
      <c r="D402" s="136">
        <f>VLOOKUP(Tableau2[[#This Row],[Ref]],Tableau1[],4,FALSE)</f>
        <v/>
      </c>
    </row>
    <row r="403">
      <c r="A403" s="136" t="inlineStr">
        <is>
          <t>34412272.PRT</t>
        </is>
      </c>
      <c r="B403" s="137">
        <f>LEFT(Tableau2[[#This Row],[n]],8)</f>
        <v/>
      </c>
      <c r="C403" s="136" t="inlineStr">
        <is>
          <t>COP liaison MBB / SIB 5</t>
        </is>
      </c>
      <c r="D403" s="136">
        <f>VLOOKUP(Tableau2[[#This Row],[Ref]],Tableau1[],4,FALSE)</f>
        <v/>
      </c>
    </row>
    <row r="404">
      <c r="A404" s="136" t="inlineStr">
        <is>
          <t>34412271.PRT</t>
        </is>
      </c>
      <c r="B404" s="137">
        <f>LEFT(Tableau2[[#This Row],[n]],8)</f>
        <v/>
      </c>
      <c r="C404" s="136" t="inlineStr">
        <is>
          <t>COP liaison MBB / SIB 6</t>
        </is>
      </c>
      <c r="D404" s="136">
        <f>VLOOKUP(Tableau2[[#This Row],[Ref]],Tableau1[],4,FALSE)</f>
        <v/>
      </c>
    </row>
    <row r="405">
      <c r="A405" s="136" t="inlineStr">
        <is>
          <t>34412270.PRT</t>
        </is>
      </c>
      <c r="B405" s="137">
        <f>LEFT(Tableau2[[#This Row],[n]],8)</f>
        <v/>
      </c>
      <c r="C405" s="136" t="inlineStr">
        <is>
          <t>COP liaison MBB / SIB 7</t>
        </is>
      </c>
      <c r="D405" s="136">
        <f>VLOOKUP(Tableau2[[#This Row],[Ref]],Tableau1[],4,FALSE)</f>
        <v/>
      </c>
    </row>
    <row r="406">
      <c r="A406" s="136" t="inlineStr">
        <is>
          <t>34412269.PRT</t>
        </is>
      </c>
      <c r="B406" s="137">
        <f>LEFT(Tableau2[[#This Row],[n]],8)</f>
        <v/>
      </c>
      <c r="C406" s="136" t="inlineStr">
        <is>
          <t>COP liaison MBB / SIB 8</t>
        </is>
      </c>
      <c r="D406" s="136">
        <f>VLOOKUP(Tableau2[[#This Row],[Ref]],Tableau1[],4,FALSE)</f>
        <v/>
      </c>
    </row>
    <row r="407">
      <c r="A407" s="136" t="inlineStr">
        <is>
          <t>34412268.PRT</t>
        </is>
      </c>
      <c r="B407" s="137">
        <f>LEFT(Tableau2[[#This Row],[n]],8)</f>
        <v/>
      </c>
      <c r="C407" s="136" t="inlineStr">
        <is>
          <t>ARMOIRE SAREL 1800*1000*800 - 2 socles</t>
        </is>
      </c>
      <c r="D407" s="136">
        <f>VLOOKUP(Tableau2[[#This Row],[Ref]],Tableau1[],4,FALSE)</f>
        <v/>
      </c>
    </row>
    <row r="408">
      <c r="A408" s="136" t="inlineStr">
        <is>
          <t>34412267.PRT</t>
        </is>
      </c>
      <c r="B408" s="137">
        <f>LEFT(Tableau2[[#This Row],[n]],8)</f>
        <v/>
      </c>
      <c r="C408" s="136" t="inlineStr">
        <is>
          <t>COP NEUTRE 2</t>
        </is>
      </c>
      <c r="D408" s="136">
        <f>VLOOKUP(Tableau2[[#This Row],[Ref]],Tableau1[],4,FALSE)</f>
        <v/>
      </c>
    </row>
    <row r="409">
      <c r="A409" s="136" t="inlineStr">
        <is>
          <t>34412266.PRT</t>
        </is>
      </c>
      <c r="B409" s="137">
        <f>LEFT(Tableau2[[#This Row],[n]],8)</f>
        <v/>
      </c>
      <c r="C409" s="136" t="inlineStr">
        <is>
          <t>COP NEUTRE 0</t>
        </is>
      </c>
      <c r="D409" s="136">
        <f>VLOOKUP(Tableau2[[#This Row],[Ref]],Tableau1[],4,FALSE)</f>
        <v/>
      </c>
    </row>
    <row r="410">
      <c r="A410" s="136" t="inlineStr">
        <is>
          <t>34412259.PRT</t>
        </is>
      </c>
      <c r="B410" s="137">
        <f>LEFT(Tableau2[[#This Row],[n]],8)</f>
        <v/>
      </c>
      <c r="C410" s="136" t="inlineStr">
        <is>
          <t>CANEVAS NS1000H 4P4D IUB</t>
        </is>
      </c>
      <c r="D410" s="136">
        <f>VLOOKUP(Tableau2[[#This Row],[Ref]],Tableau1[],4,FALSE)</f>
        <v/>
      </c>
    </row>
    <row r="411">
      <c r="A411" s="136" t="inlineStr">
        <is>
          <t>34412258_BULK.PRT</t>
        </is>
      </c>
      <c r="B411" s="137">
        <f>LEFT(Tableau2[[#This Row],[n]],8)</f>
        <v/>
      </c>
      <c r="C411" s="136" t="inlineStr">
        <is>
          <t>WIR 34412258 CABLE DE MASSE 230mm 6mm2 D6</t>
        </is>
      </c>
      <c r="D411" s="136">
        <f>VLOOKUP(Tableau2[[#This Row],[Ref]],Tableau1[],4,FALSE)</f>
        <v/>
      </c>
    </row>
    <row r="412">
      <c r="A412" s="136" t="inlineStr">
        <is>
          <t>34412255.PRT</t>
        </is>
      </c>
      <c r="B412" s="137">
        <f>LEFT(Tableau2[[#This Row],[n]],8)</f>
        <v/>
      </c>
      <c r="C412" s="136" t="inlineStr">
        <is>
          <t>SMT TOIT ALU 3MM GVEAC7D8</t>
        </is>
      </c>
      <c r="D412" s="136">
        <f>VLOOKUP(Tableau2[[#This Row],[Ref]],Tableau1[],4,FALSE)</f>
        <v/>
      </c>
    </row>
    <row r="413">
      <c r="A413" s="136" t="inlineStr">
        <is>
          <t>34412254.PRT</t>
        </is>
      </c>
      <c r="B413" s="137">
        <f>LEFT(Tableau2[[#This Row],[n]],8)</f>
        <v/>
      </c>
      <c r="C413" s="136" t="inlineStr">
        <is>
          <t>ARMOIRE SAREL 1000*800*2100</t>
        </is>
      </c>
      <c r="D413" s="136">
        <f>VLOOKUP(Tableau2[[#This Row],[Ref]],Tableau1[],4,FALSE)</f>
        <v/>
      </c>
    </row>
    <row r="414">
      <c r="A414" s="136" t="inlineStr">
        <is>
          <t>34412253.PRT</t>
        </is>
      </c>
      <c r="B414" s="137">
        <f>LEFT(Tableau2[[#This Row],[n]],8)</f>
        <v/>
      </c>
      <c r="C414" s="136" t="inlineStr">
        <is>
          <t>ARMOIRE SAREL 1400*600*2100</t>
        </is>
      </c>
      <c r="D414" s="136">
        <f>VLOOKUP(Tableau2[[#This Row],[Ref]],Tableau1[],4,FALSE)</f>
        <v/>
      </c>
    </row>
    <row r="415">
      <c r="A415" s="136" t="inlineStr">
        <is>
          <t>34412252.PRT</t>
        </is>
      </c>
      <c r="B415" s="137">
        <f>LEFT(Tableau2[[#This Row],[n]],8)</f>
        <v/>
      </c>
      <c r="C415" s="136" t="inlineStr">
        <is>
          <t>SMT SUPPORT LEST</t>
        </is>
      </c>
      <c r="D415" s="136">
        <f>VLOOKUP(Tableau2[[#This Row],[Ref]],Tableau1[],4,FALSE)</f>
        <v/>
      </c>
    </row>
    <row r="416">
      <c r="A416" s="136" t="inlineStr">
        <is>
          <t>34412249.PRT</t>
        </is>
      </c>
      <c r="B416" s="137">
        <f>LEFT(Tableau2[[#This Row],[n]],8)</f>
        <v/>
      </c>
      <c r="C416" s="136" t="inlineStr">
        <is>
          <t>SMT 34412249 GVXL BATTERY 5xBBK 630A</t>
        </is>
      </c>
      <c r="D416" s="136">
        <f>VLOOKUP(Tableau2[[#This Row],[Ref]],Tableau1[],4,FALSE)</f>
        <v/>
      </c>
    </row>
    <row r="417">
      <c r="A417" s="136" t="inlineStr">
        <is>
          <t>34412248.PRT</t>
        </is>
      </c>
      <c r="B417" s="137">
        <f>LEFT(Tableau2[[#This Row],[n]],8)</f>
        <v/>
      </c>
      <c r="C417" s="136" t="inlineStr">
        <is>
          <t>SMT 34412248 GVXL BATTERY 5xBBK 630A</t>
        </is>
      </c>
      <c r="D417" s="136">
        <f>VLOOKUP(Tableau2[[#This Row],[Ref]],Tableau1[],4,FALSE)</f>
        <v/>
      </c>
    </row>
    <row r="418">
      <c r="A418" s="136" t="inlineStr">
        <is>
          <t>34412247.PRT</t>
        </is>
      </c>
      <c r="B418" s="137">
        <f>LEFT(Tableau2[[#This Row],[n]],8)</f>
        <v/>
      </c>
      <c r="C418" s="136" t="inlineStr">
        <is>
          <t>SWITCH / MTZ2 1600A HF 3P PRISE AR V-V</t>
        </is>
      </c>
      <c r="D418" s="136">
        <f>VLOOKUP(Tableau2[[#This Row],[Ref]],Tableau1[],4,FALSE)</f>
        <v/>
      </c>
    </row>
    <row r="419">
      <c r="A419" s="136" t="inlineStr">
        <is>
          <t>34412246.PRT</t>
        </is>
      </c>
      <c r="B419" s="137">
        <f>LEFT(Tableau2[[#This Row],[n]],8)</f>
        <v/>
      </c>
      <c r="C419" s="136" t="inlineStr">
        <is>
          <t>SWITCH / MTZ2 1600A HF 3P PRISE AR V-H</t>
        </is>
      </c>
      <c r="D419" s="136">
        <f>VLOOKUP(Tableau2[[#This Row],[Ref]],Tableau1[],4,FALSE)</f>
        <v/>
      </c>
    </row>
    <row r="420">
      <c r="A420" s="136" t="inlineStr">
        <is>
          <t>34412244.PRT</t>
        </is>
      </c>
      <c r="B420" s="137">
        <f>LEFT(Tableau2[[#This Row],[n]],8)</f>
        <v/>
      </c>
      <c r="C420" s="136" t="inlineStr">
        <is>
          <t>SMT FIXATION CABLE</t>
        </is>
      </c>
      <c r="D420" s="136">
        <f>VLOOKUP(Tableau2[[#This Row],[Ref]],Tableau1[],4,FALSE)</f>
        <v/>
      </c>
    </row>
    <row r="421">
      <c r="A421" s="136" t="inlineStr">
        <is>
          <t>34412243.PRT</t>
        </is>
      </c>
      <c r="B421" s="137">
        <f>LEFT(Tableau2[[#This Row],[n]],8)</f>
        <v/>
      </c>
      <c r="C421" s="136" t="inlineStr">
        <is>
          <t>SMT PLATINE DE FOND</t>
        </is>
      </c>
      <c r="D421" s="136">
        <f>VLOOKUP(Tableau2[[#This Row],[Ref]],Tableau1[],4,FALSE)</f>
        <v/>
      </c>
    </row>
    <row r="422">
      <c r="A422" s="136" t="inlineStr">
        <is>
          <t>34412242.PRT</t>
        </is>
      </c>
      <c r="B422" s="137">
        <f>LEFT(Tableau2[[#This Row],[n]],8)</f>
        <v/>
      </c>
      <c r="C422" s="136" t="inlineStr">
        <is>
          <t>SMT DECOUPE COFFRET GVL DISPLAY 1000x600x300</t>
        </is>
      </c>
      <c r="D422" s="136">
        <f>VLOOKUP(Tableau2[[#This Row],[Ref]],Tableau1[],4,FALSE)</f>
        <v/>
      </c>
    </row>
    <row r="423">
      <c r="A423" s="136" t="inlineStr">
        <is>
          <t>34412241.PRT</t>
        </is>
      </c>
      <c r="B423" s="137">
        <f>LEFT(Tableau2[[#This Row],[n]],8)</f>
        <v/>
      </c>
      <c r="C423" s="136" t="inlineStr">
        <is>
          <t>COP PLAGE CONNEXION FUSE 6</t>
        </is>
      </c>
      <c r="D423" s="136">
        <f>VLOOKUP(Tableau2[[#This Row],[Ref]],Tableau1[],4,FALSE)</f>
        <v/>
      </c>
    </row>
    <row r="424">
      <c r="A424" s="136" t="inlineStr">
        <is>
          <t>34412240.PRT</t>
        </is>
      </c>
      <c r="B424" s="137">
        <f>LEFT(Tableau2[[#This Row],[n]],8)</f>
        <v/>
      </c>
      <c r="C424" s="136" t="inlineStr">
        <is>
          <t>COP PLAGE CONNEXION FUSE 5</t>
        </is>
      </c>
      <c r="D424" s="136">
        <f>VLOOKUP(Tableau2[[#This Row],[Ref]],Tableau1[],4,FALSE)</f>
        <v/>
      </c>
    </row>
    <row r="425">
      <c r="A425" s="136" t="inlineStr">
        <is>
          <t>34412239.PRT</t>
        </is>
      </c>
      <c r="B425" s="137">
        <f>LEFT(Tableau2[[#This Row],[n]],8)</f>
        <v/>
      </c>
      <c r="C425" s="136" t="inlineStr">
        <is>
          <t>COP PLAGE CONNEXION FUSE 4</t>
        </is>
      </c>
      <c r="D425" s="136">
        <f>VLOOKUP(Tableau2[[#This Row],[Ref]],Tableau1[],4,FALSE)</f>
        <v/>
      </c>
    </row>
    <row r="426">
      <c r="A426" s="136" t="inlineStr">
        <is>
          <t>34412236.PRT</t>
        </is>
      </c>
      <c r="B426" s="137">
        <f>LEFT(Tableau2[[#This Row],[n]],8)</f>
        <v/>
      </c>
      <c r="C426" s="136" t="inlineStr">
        <is>
          <t>SMT MONTANT LATERAL DROITE</t>
        </is>
      </c>
      <c r="D426" s="136">
        <f>VLOOKUP(Tableau2[[#This Row],[Ref]],Tableau1[],4,FALSE)</f>
        <v/>
      </c>
    </row>
    <row r="427">
      <c r="A427" s="136" t="inlineStr">
        <is>
          <t>34412235.PRT</t>
        </is>
      </c>
      <c r="B427" s="137">
        <f>LEFT(Tableau2[[#This Row],[n]],8)</f>
        <v/>
      </c>
      <c r="C427" s="136" t="inlineStr">
        <is>
          <t>SMT MONTANT LATERAL GAUCHE</t>
        </is>
      </c>
      <c r="D427" s="136">
        <f>VLOOKUP(Tableau2[[#This Row],[Ref]],Tableau1[],4,FALSE)</f>
        <v/>
      </c>
    </row>
    <row r="428">
      <c r="A428" s="136" t="inlineStr">
        <is>
          <t>34412234.PRT</t>
        </is>
      </c>
      <c r="B428" s="137">
        <f>LEFT(Tableau2[[#This Row],[n]],8)</f>
        <v/>
      </c>
      <c r="C428" s="136" t="inlineStr">
        <is>
          <t>SMT SUPPORT PCBA STS 4/600A 4 POLES</t>
        </is>
      </c>
      <c r="D428" s="136">
        <f>VLOOKUP(Tableau2[[#This Row],[Ref]],Tableau1[],4,FALSE)</f>
        <v/>
      </c>
    </row>
    <row r="429">
      <c r="A429" s="136" t="inlineStr">
        <is>
          <t>34412233.PRT</t>
        </is>
      </c>
      <c r="B429" s="137">
        <f>LEFT(Tableau2[[#This Row],[n]],8)</f>
        <v/>
      </c>
      <c r="C429" s="136" t="inlineStr">
        <is>
          <t>ARMOIRE SAREL 700*600*2100</t>
        </is>
      </c>
      <c r="D429" s="136">
        <f>VLOOKUP(Tableau2[[#This Row],[Ref]],Tableau1[],4,FALSE)</f>
        <v/>
      </c>
    </row>
    <row r="430">
      <c r="A430" s="136" t="inlineStr">
        <is>
          <t>34412232.PRT</t>
        </is>
      </c>
      <c r="B430" s="137">
        <f>LEFT(Tableau2[[#This Row],[n]],8)</f>
        <v/>
      </c>
      <c r="C430" s="136" t="inlineStr">
        <is>
          <t>SMT 34412232 GVXL BATTERY 5xBBK 630A</t>
        </is>
      </c>
      <c r="D430" s="136">
        <f>VLOOKUP(Tableau2[[#This Row],[Ref]],Tableau1[],4,FALSE)</f>
        <v/>
      </c>
    </row>
    <row r="431">
      <c r="A431" s="136" t="inlineStr">
        <is>
          <t>34412230.PRT</t>
        </is>
      </c>
      <c r="B431" s="137">
        <f>LEFT(Tableau2[[#This Row],[n]],8)</f>
        <v/>
      </c>
      <c r="C431" s="136" t="inlineStr">
        <is>
          <t>SMT PLASTRON NW DC</t>
        </is>
      </c>
      <c r="D431" s="136">
        <f>VLOOKUP(Tableau2[[#This Row],[Ref]],Tableau1[],4,FALSE)</f>
        <v/>
      </c>
    </row>
    <row r="432">
      <c r="A432" s="136" t="inlineStr">
        <is>
          <t>34412229.PRT</t>
        </is>
      </c>
      <c r="B432" s="137">
        <f>LEFT(Tableau2[[#This Row],[n]],8)</f>
        <v/>
      </c>
      <c r="C432" s="136" t="inlineStr">
        <is>
          <t>CUSTOMER CONECTION COVER_ETO</t>
        </is>
      </c>
      <c r="D432" s="136">
        <f>VLOOKUP(Tableau2[[#This Row],[Ref]],Tableau1[],4,FALSE)</f>
        <v/>
      </c>
    </row>
    <row r="433">
      <c r="A433" s="136" t="inlineStr">
        <is>
          <t>34412228.PRT</t>
        </is>
      </c>
      <c r="B433" s="137">
        <f>LEFT(Tableau2[[#This Row],[n]],8)</f>
        <v/>
      </c>
      <c r="C433" s="136" t="inlineStr">
        <is>
          <t>SMT 34412228  STS 1250A DEMI PLASTRON 400</t>
        </is>
      </c>
      <c r="D433" s="136">
        <f>VLOOKUP(Tableau2[[#This Row],[Ref]],Tableau1[],4,FALSE)</f>
        <v/>
      </c>
    </row>
    <row r="434">
      <c r="A434" s="136" t="inlineStr">
        <is>
          <t>34412227.PRT</t>
        </is>
      </c>
      <c r="B434" s="137">
        <f>LEFT(Tableau2[[#This Row],[n]],8)</f>
        <v/>
      </c>
      <c r="C434" s="136" t="inlineStr">
        <is>
          <t>SMT PLAQUE TOIT GVXL</t>
        </is>
      </c>
      <c r="D434" s="136">
        <f>VLOOKUP(Tableau2[[#This Row],[Ref]],Tableau1[],4,FALSE)</f>
        <v/>
      </c>
    </row>
    <row r="435">
      <c r="A435" s="136" t="inlineStr">
        <is>
          <t>34412226.PRT</t>
        </is>
      </c>
      <c r="B435" s="137">
        <f>LEFT(Tableau2[[#This Row],[n]],8)</f>
        <v/>
      </c>
      <c r="C435" s="136" t="inlineStr">
        <is>
          <t>SMT PASSE CABLE TOIT RAL9003</t>
        </is>
      </c>
      <c r="D435" s="136">
        <f>VLOOKUP(Tableau2[[#This Row],[Ref]],Tableau1[],4,FALSE)</f>
        <v/>
      </c>
    </row>
    <row r="436">
      <c r="A436" s="136" t="inlineStr">
        <is>
          <t>34412225.PRT</t>
        </is>
      </c>
      <c r="B436" s="137">
        <f>LEFT(Tableau2[[#This Row],[n]],8)</f>
        <v/>
      </c>
      <c r="C436" s="136" t="inlineStr">
        <is>
          <t>COP PIECE L LONGUE DC</t>
        </is>
      </c>
      <c r="D436" s="136">
        <f>VLOOKUP(Tableau2[[#This Row],[Ref]],Tableau1[],4,FALSE)</f>
        <v/>
      </c>
    </row>
    <row r="437">
      <c r="A437" s="136" t="inlineStr">
        <is>
          <t>34412224.PRT</t>
        </is>
      </c>
      <c r="B437" s="137">
        <f>LEFT(Tableau2[[#This Row],[n]],8)</f>
        <v/>
      </c>
      <c r="C437" s="136" t="inlineStr">
        <is>
          <t>COP PIECE L COURTE DC</t>
        </is>
      </c>
      <c r="D437" s="136">
        <f>VLOOKUP(Tableau2[[#This Row],[Ref]],Tableau1[],4,FALSE)</f>
        <v/>
      </c>
    </row>
    <row r="438">
      <c r="A438" s="136" t="inlineStr">
        <is>
          <t>34412222.PRT</t>
        </is>
      </c>
      <c r="B438" s="137">
        <f>LEFT(Tableau2[[#This Row],[n]],8)</f>
        <v/>
      </c>
      <c r="C438" s="136" t="inlineStr">
        <is>
          <t>SMT GRILLE AIR BOX TOIT RAL9003</t>
        </is>
      </c>
      <c r="D438" s="136">
        <f>VLOOKUP(Tableau2[[#This Row],[Ref]],Tableau1[],4,FALSE)</f>
        <v/>
      </c>
    </row>
    <row r="439">
      <c r="A439" s="136" t="inlineStr">
        <is>
          <t>34412221.PRT</t>
        </is>
      </c>
      <c r="B439" s="137">
        <f>LEFT(Tableau2[[#This Row],[n]],8)</f>
        <v/>
      </c>
      <c r="C439" s="136" t="inlineStr">
        <is>
          <t>ETQ 34412221  STS 1250A NEUTRE COUPE</t>
        </is>
      </c>
      <c r="D439" s="136">
        <f>VLOOKUP(Tableau2[[#This Row],[Ref]],Tableau1[],4,FALSE)</f>
        <v/>
      </c>
    </row>
    <row r="440">
      <c r="A440" s="136" t="inlineStr">
        <is>
          <t>34412220.PRT</t>
        </is>
      </c>
      <c r="B440" s="137">
        <f>LEFT(Tableau2[[#This Row],[n]],8)</f>
        <v/>
      </c>
      <c r="C440" s="136" t="inlineStr">
        <is>
          <t>SMT GRILLE AIR BOX 2 RAL9003</t>
        </is>
      </c>
      <c r="D440" s="136">
        <f>VLOOKUP(Tableau2[[#This Row],[Ref]],Tableau1[],4,FALSE)</f>
        <v/>
      </c>
    </row>
    <row r="441">
      <c r="A441" s="136" t="inlineStr">
        <is>
          <t>34412219.PRT</t>
        </is>
      </c>
      <c r="B441" s="137">
        <f>LEFT(Tableau2[[#This Row],[n]],8)</f>
        <v/>
      </c>
      <c r="C441" s="136" t="inlineStr">
        <is>
          <t>SMT GRILLE AIR BOX RAL9003</t>
        </is>
      </c>
      <c r="D441" s="136">
        <f>VLOOKUP(Tableau2[[#This Row],[Ref]],Tableau1[],4,FALSE)</f>
        <v/>
      </c>
    </row>
    <row r="442">
      <c r="A442" s="136" t="inlineStr">
        <is>
          <t>34412218.PRT</t>
        </is>
      </c>
      <c r="B442" s="137">
        <f>LEFT(Tableau2[[#This Row],[n]],8)</f>
        <v/>
      </c>
      <c r="C442" s="136" t="inlineStr">
        <is>
          <t>ETQ 34412218 STS 1250A RC</t>
        </is>
      </c>
      <c r="D442" s="136">
        <f>VLOOKUP(Tableau2[[#This Row],[Ref]],Tableau1[],4,FALSE)</f>
        <v/>
      </c>
    </row>
    <row r="443">
      <c r="A443" s="136" t="inlineStr">
        <is>
          <t>34412217.PRT</t>
        </is>
      </c>
      <c r="B443" s="137">
        <f>LEFT(Tableau2[[#This Row],[n]],8)</f>
        <v/>
      </c>
      <c r="C443" s="136" t="inlineStr">
        <is>
          <t>ETQ 34412217  STS 1250A BYPASS</t>
        </is>
      </c>
      <c r="D443" s="136">
        <f>VLOOKUP(Tableau2[[#This Row],[Ref]],Tableau1[],4,FALSE)</f>
        <v/>
      </c>
    </row>
    <row r="444">
      <c r="A444" s="136" t="inlineStr">
        <is>
          <t>34412216.PRT</t>
        </is>
      </c>
      <c r="B444" s="137">
        <f>LEFT(Tableau2[[#This Row],[n]],8)</f>
        <v/>
      </c>
      <c r="C444" s="136" t="inlineStr">
        <is>
          <t>SMT MONTANT SIDE AIR BOX RAL9003</t>
        </is>
      </c>
      <c r="D444" s="136">
        <f>VLOOKUP(Tableau2[[#This Row],[Ref]],Tableau1[],4,FALSE)</f>
        <v/>
      </c>
    </row>
    <row r="445">
      <c r="A445" s="136" t="inlineStr">
        <is>
          <t>34412215.PRT</t>
        </is>
      </c>
      <c r="B445" s="137">
        <f>LEFT(Tableau2[[#This Row],[n]],8)</f>
        <v/>
      </c>
      <c r="C445" s="136" t="inlineStr">
        <is>
          <t>PLA 34412215  STS 1250A</t>
        </is>
      </c>
      <c r="D445" s="136">
        <f>VLOOKUP(Tableau2[[#This Row],[Ref]],Tableau1[],4,FALSE)</f>
        <v/>
      </c>
    </row>
    <row r="446">
      <c r="A446" s="136" t="inlineStr">
        <is>
          <t>34412214.PRT</t>
        </is>
      </c>
      <c r="B446" s="137">
        <f>LEFT(Tableau2[[#This Row],[n]],8)</f>
        <v/>
      </c>
      <c r="C446" s="136" t="inlineStr">
        <is>
          <t>COP L NEUTRE</t>
        </is>
      </c>
      <c r="D446" s="136">
        <f>VLOOKUP(Tableau2[[#This Row],[Ref]],Tableau1[],4,FALSE)</f>
        <v/>
      </c>
    </row>
    <row r="447">
      <c r="A447" s="136" t="inlineStr">
        <is>
          <t>34412213.PRT</t>
        </is>
      </c>
      <c r="B447" s="137">
        <f>LEFT(Tableau2[[#This Row],[n]],8)</f>
        <v/>
      </c>
      <c r="C447" s="136" t="inlineStr">
        <is>
          <t>SMT GRILLE CAISSON 2</t>
        </is>
      </c>
      <c r="D447" s="136">
        <f>VLOOKUP(Tableau2[[#This Row],[Ref]],Tableau1[],4,FALSE)</f>
        <v/>
      </c>
    </row>
    <row r="448">
      <c r="A448" s="136" t="inlineStr">
        <is>
          <t>34412212.PRT</t>
        </is>
      </c>
      <c r="B448" s="137">
        <f>LEFT(Tableau2[[#This Row],[n]],8)</f>
        <v/>
      </c>
      <c r="C448" s="136" t="inlineStr">
        <is>
          <t>SMT GRILLE CAISSON</t>
        </is>
      </c>
      <c r="D448" s="136">
        <f>VLOOKUP(Tableau2[[#This Row],[Ref]],Tableau1[],4,FALSE)</f>
        <v/>
      </c>
    </row>
    <row r="449">
      <c r="A449" s="136" t="inlineStr">
        <is>
          <t>34412211.PRT</t>
        </is>
      </c>
      <c r="B449" s="137">
        <f>LEFT(Tableau2[[#This Row],[n]],8)</f>
        <v/>
      </c>
      <c r="C449" s="136" t="inlineStr">
        <is>
          <t>ASSY SUPPORT PCBA STS 4/600A 4 POLES_ETO</t>
        </is>
      </c>
      <c r="D449" s="136">
        <f>VLOOKUP(Tableau2[[#This Row],[Ref]],Tableau1[],4,FALSE)</f>
        <v/>
      </c>
    </row>
    <row r="450">
      <c r="A450" s="136" t="inlineStr">
        <is>
          <t>34412210.PRT</t>
        </is>
      </c>
      <c r="B450" s="137">
        <f>LEFT(Tableau2[[#This Row],[n]],8)</f>
        <v/>
      </c>
      <c r="C450" s="136" t="inlineStr">
        <is>
          <t>SMT 34412210 GVX BATTERY 2xBBK 630A</t>
        </is>
      </c>
      <c r="D450" s="136">
        <f>VLOOKUP(Tableau2[[#This Row],[Ref]],Tableau1[],4,FALSE)</f>
        <v/>
      </c>
    </row>
    <row r="451">
      <c r="A451" s="136" t="inlineStr">
        <is>
          <t>34412209.PRT</t>
        </is>
      </c>
      <c r="B451" s="137">
        <f>LEFT(Tableau2[[#This Row],[n]],8)</f>
        <v/>
      </c>
      <c r="C451" s="136" t="inlineStr">
        <is>
          <t>SMT TOIT DROIT QPPL40904</t>
        </is>
      </c>
      <c r="D451" s="136">
        <f>VLOOKUP(Tableau2[[#This Row],[Ref]],Tableau1[],4,FALSE)</f>
        <v/>
      </c>
    </row>
    <row r="452">
      <c r="A452" s="136" t="inlineStr">
        <is>
          <t>34412208.PRT</t>
        </is>
      </c>
      <c r="B452" s="137">
        <f>LEFT(Tableau2[[#This Row],[n]],8)</f>
        <v/>
      </c>
      <c r="C452" s="136" t="inlineStr">
        <is>
          <t>SMT TOIT GAUCHE QPPL40904</t>
        </is>
      </c>
      <c r="D452" s="136">
        <f>VLOOKUP(Tableau2[[#This Row],[Ref]],Tableau1[],4,FALSE)</f>
        <v/>
      </c>
    </row>
    <row r="453">
      <c r="A453" s="136" t="inlineStr">
        <is>
          <t>34412207.PRT</t>
        </is>
      </c>
      <c r="B453" s="137">
        <f>LEFT(Tableau2[[#This Row],[n]],8)</f>
        <v/>
      </c>
      <c r="C453" s="136" t="inlineStr">
        <is>
          <t>SMT CORNIERE ISOLATION</t>
        </is>
      </c>
      <c r="D453" s="136">
        <f>VLOOKUP(Tableau2[[#This Row],[Ref]],Tableau1[],4,FALSE)</f>
        <v/>
      </c>
    </row>
    <row r="454">
      <c r="A454" s="136" t="inlineStr">
        <is>
          <t>34412206.PRT</t>
        </is>
      </c>
      <c r="B454" s="137">
        <f>LEFT(Tableau2[[#This Row],[n]],8)</f>
        <v/>
      </c>
      <c r="C454" s="136" t="inlineStr">
        <is>
          <t>SMT TOIT CANALIS 3</t>
        </is>
      </c>
      <c r="D454" s="136">
        <f>VLOOKUP(Tableau2[[#This Row],[Ref]],Tableau1[],4,FALSE)</f>
        <v/>
      </c>
    </row>
    <row r="455">
      <c r="A455" s="136" t="inlineStr">
        <is>
          <t>34412205.PRT</t>
        </is>
      </c>
      <c r="B455" s="137">
        <f>LEFT(Tableau2[[#This Row],[n]],8)</f>
        <v/>
      </c>
      <c r="C455" s="136" t="inlineStr">
        <is>
          <t>SMT TOIT CANALIS 2</t>
        </is>
      </c>
      <c r="D455" s="136">
        <f>VLOOKUP(Tableau2[[#This Row],[Ref]],Tableau1[],4,FALSE)</f>
        <v/>
      </c>
    </row>
    <row r="456">
      <c r="A456" s="136" t="inlineStr">
        <is>
          <t>34412204.PRT</t>
        </is>
      </c>
      <c r="B456" s="137">
        <f>LEFT(Tableau2[[#This Row],[n]],8)</f>
        <v/>
      </c>
      <c r="C456" s="136" t="inlineStr">
        <is>
          <t>ETQ 34412204  STS 1250A MIMIQUE</t>
        </is>
      </c>
      <c r="D456" s="136">
        <f>VLOOKUP(Tableau2[[#This Row],[Ref]],Tableau1[],4,FALSE)</f>
        <v/>
      </c>
    </row>
    <row r="457">
      <c r="A457" s="136" t="inlineStr">
        <is>
          <t>34412203.PRT</t>
        </is>
      </c>
      <c r="B457" s="137">
        <f>LEFT(Tableau2[[#This Row],[n]],8)</f>
        <v/>
      </c>
      <c r="C457" s="136" t="inlineStr">
        <is>
          <t>SMT 34412203 GVX BATTERY BBK 630A - Support PE</t>
        </is>
      </c>
      <c r="D457" s="136">
        <f>VLOOKUP(Tableau2[[#This Row],[Ref]],Tableau1[],4,FALSE)</f>
        <v/>
      </c>
    </row>
    <row r="458">
      <c r="A458" s="136" t="inlineStr">
        <is>
          <t>34412202.PRT</t>
        </is>
      </c>
      <c r="B458" s="137">
        <f>LEFT(Tableau2[[#This Row],[n]],8)</f>
        <v/>
      </c>
      <c r="C458" s="136" t="inlineStr">
        <is>
          <t>SMT 34412202 GVX BATTERY 3xBBK 630A - DECOUPE TOIT 34412030</t>
        </is>
      </c>
      <c r="D458" s="136">
        <f>VLOOKUP(Tableau2[[#This Row],[Ref]],Tableau1[],4,FALSE)</f>
        <v/>
      </c>
    </row>
    <row r="459">
      <c r="A459" s="136" t="inlineStr">
        <is>
          <t>34412201.PRT</t>
        </is>
      </c>
      <c r="B459" s="137">
        <f>LEFT(Tableau2[[#This Row],[n]],8)</f>
        <v/>
      </c>
      <c r="C459" s="136" t="inlineStr">
        <is>
          <t>SMT 34412201 GVX BATTERY 3xBBK 630A - Toit ALU 6mm</t>
        </is>
      </c>
      <c r="D459" s="136">
        <f>VLOOKUP(Tableau2[[#This Row],[Ref]],Tableau1[],4,FALSE)</f>
        <v/>
      </c>
    </row>
    <row r="460">
      <c r="A460" s="136" t="inlineStr">
        <is>
          <t>34412200.PRT</t>
        </is>
      </c>
      <c r="B460" s="137">
        <f>LEFT(Tableau2[[#This Row],[n]],8)</f>
        <v/>
      </c>
      <c r="C460" s="136" t="inlineStr">
        <is>
          <t>COP NEUTRAL COMMON</t>
        </is>
      </c>
      <c r="D460" s="136">
        <f>VLOOKUP(Tableau2[[#This Row],[Ref]],Tableau1[],4,FALSE)</f>
        <v/>
      </c>
    </row>
    <row r="461">
      <c r="A461" s="136" t="inlineStr">
        <is>
          <t>34412199.PRT</t>
        </is>
      </c>
      <c r="B461" s="137">
        <f>LEFT(Tableau2[[#This Row],[n]],8)</f>
        <v/>
      </c>
      <c r="C461" s="136" t="inlineStr">
        <is>
          <t>SMT 34412199 GVX BATTERY 3xBBK 630A - Platron plein 280mm</t>
        </is>
      </c>
      <c r="D461" s="136">
        <f>VLOOKUP(Tableau2[[#This Row],[Ref]],Tableau1[],4,FALSE)</f>
        <v/>
      </c>
    </row>
    <row r="462">
      <c r="A462" s="136" t="inlineStr">
        <is>
          <t>34412198.PRT</t>
        </is>
      </c>
      <c r="B462" s="137">
        <f>LEFT(Tableau2[[#This Row],[n]],8)</f>
        <v/>
      </c>
      <c r="C462" s="136" t="inlineStr">
        <is>
          <t>SMT 34412198 GVX BATTERY 3xBBK 630A - Platron plein 240mm</t>
        </is>
      </c>
      <c r="D462" s="136">
        <f>VLOOKUP(Tableau2[[#This Row],[Ref]],Tableau1[],4,FALSE)</f>
        <v/>
      </c>
    </row>
    <row r="463">
      <c r="A463" s="136" t="inlineStr">
        <is>
          <t>34412194.PRT</t>
        </is>
      </c>
      <c r="B463" s="137">
        <f>LEFT(Tableau2[[#This Row],[n]],8)</f>
        <v/>
      </c>
      <c r="C463" s="136" t="inlineStr">
        <is>
          <t>COP LIAISON NSX</t>
        </is>
      </c>
      <c r="D463" s="136">
        <f>VLOOKUP(Tableau2[[#This Row],[Ref]],Tableau1[],4,FALSE)</f>
        <v/>
      </c>
    </row>
    <row r="464">
      <c r="A464" s="136" t="inlineStr">
        <is>
          <t>34412193.PRT</t>
        </is>
      </c>
      <c r="B464" s="137">
        <f>LEFT(Tableau2[[#This Row],[n]],8)</f>
        <v/>
      </c>
      <c r="C464" s="136" t="inlineStr">
        <is>
          <t>COP LIAISON NSX</t>
        </is>
      </c>
      <c r="D464" s="136">
        <f>VLOOKUP(Tableau2[[#This Row],[Ref]],Tableau1[],4,FALSE)</f>
        <v/>
      </c>
    </row>
    <row r="465">
      <c r="A465" s="136" t="inlineStr">
        <is>
          <t>34412192.PRT</t>
        </is>
      </c>
      <c r="B465" s="137">
        <f>LEFT(Tableau2[[#This Row],[n]],8)</f>
        <v/>
      </c>
      <c r="C465" s="136" t="inlineStr">
        <is>
          <t>PLA PROTECTION IM20</t>
        </is>
      </c>
      <c r="D465" s="136">
        <f>VLOOKUP(Tableau2[[#This Row],[Ref]],Tableau1[],4,FALSE)</f>
        <v/>
      </c>
    </row>
    <row r="466">
      <c r="A466" s="136" t="inlineStr">
        <is>
          <t>34412191.PRT</t>
        </is>
      </c>
      <c r="B466" s="137">
        <f>LEFT(Tableau2[[#This Row],[n]],8)</f>
        <v/>
      </c>
      <c r="C466" s="136" t="inlineStr">
        <is>
          <t>COP LIAISON NSX</t>
        </is>
      </c>
      <c r="D466" s="136">
        <f>VLOOKUP(Tableau2[[#This Row],[Ref]],Tableau1[],4,FALSE)</f>
        <v/>
      </c>
    </row>
    <row r="467">
      <c r="A467" s="136" t="inlineStr">
        <is>
          <t>34412189.PRT</t>
        </is>
      </c>
      <c r="B467" s="137">
        <f>LEFT(Tableau2[[#This Row],[n]],8)</f>
        <v/>
      </c>
      <c r="C467" s="136" t="inlineStr">
        <is>
          <t>DECOUPE PORTE 870-34406977</t>
        </is>
      </c>
      <c r="D467" s="136">
        <f>VLOOKUP(Tableau2[[#This Row],[Ref]],Tableau1[],4,FALSE)</f>
        <v/>
      </c>
    </row>
    <row r="468">
      <c r="A468" s="136" t="inlineStr">
        <is>
          <t>34412188.PRT</t>
        </is>
      </c>
      <c r="B468" s="137">
        <f>LEFT(Tableau2[[#This Row],[n]],8)</f>
        <v/>
      </c>
      <c r="C468" s="136" t="inlineStr">
        <is>
          <t>SMT PLASTRON NSX GVEAC10</t>
        </is>
      </c>
      <c r="D468" s="136">
        <f>VLOOKUP(Tableau2[[#This Row],[Ref]],Tableau1[],4,FALSE)</f>
        <v/>
      </c>
    </row>
    <row r="469">
      <c r="A469" s="136" t="inlineStr">
        <is>
          <t>34412187.PRT</t>
        </is>
      </c>
      <c r="B469" s="137">
        <f>LEFT(Tableau2[[#This Row],[n]],8)</f>
        <v/>
      </c>
      <c r="C469" s="136" t="inlineStr">
        <is>
          <t>SMT PLASTRON IC60 GVEAC10</t>
        </is>
      </c>
      <c r="D469" s="136">
        <f>VLOOKUP(Tableau2[[#This Row],[Ref]],Tableau1[],4,FALSE)</f>
        <v/>
      </c>
    </row>
    <row r="470">
      <c r="A470" s="136" t="inlineStr">
        <is>
          <t>34412185.PRT</t>
        </is>
      </c>
      <c r="B470" s="137">
        <f>LEFT(Tableau2[[#This Row],[n]],8)</f>
        <v/>
      </c>
      <c r="C470" s="136" t="inlineStr">
        <is>
          <t>SMT 34412185 GVX BATTERY 3xBBK 630A</t>
        </is>
      </c>
      <c r="D470" s="136">
        <f>VLOOKUP(Tableau2[[#This Row],[Ref]],Tableau1[],4,FALSE)</f>
        <v/>
      </c>
    </row>
    <row r="471">
      <c r="A471" s="136" t="inlineStr">
        <is>
          <t>34412184.PRT</t>
        </is>
      </c>
      <c r="B471" s="137">
        <f>LEFT(Tableau2[[#This Row],[n]],8)</f>
        <v/>
      </c>
      <c r="C471" s="136" t="inlineStr">
        <is>
          <t>SMT 34412184 GVX BATTERY BBK 630A - JOUE LAT IP20</t>
        </is>
      </c>
      <c r="D471" s="136">
        <f>VLOOKUP(Tableau2[[#This Row],[Ref]],Tableau1[],4,FALSE)</f>
        <v/>
      </c>
    </row>
    <row r="472">
      <c r="A472" s="136" t="inlineStr">
        <is>
          <t>34412183.PRT</t>
        </is>
      </c>
      <c r="B472" s="137">
        <f>LEFT(Tableau2[[#This Row],[n]],8)</f>
        <v/>
      </c>
      <c r="C472" s="136" t="inlineStr">
        <is>
          <t>SMT 34412183 GVX BATTERY 3xBBK 630A</t>
        </is>
      </c>
      <c r="D472" s="136">
        <f>VLOOKUP(Tableau2[[#This Row],[Ref]],Tableau1[],4,FALSE)</f>
        <v/>
      </c>
    </row>
    <row r="473">
      <c r="A473" s="136" t="inlineStr">
        <is>
          <t>34412182.PRT</t>
        </is>
      </c>
      <c r="B473" s="137">
        <f>LEFT(Tableau2[[#This Row],[n]],8)</f>
        <v/>
      </c>
      <c r="C473" s="136" t="inlineStr">
        <is>
          <t>SMT 34412182 GVX BATTERY 3xBBK 630A</t>
        </is>
      </c>
      <c r="D473" s="136">
        <f>VLOOKUP(Tableau2[[#This Row],[Ref]],Tableau1[],4,FALSE)</f>
        <v/>
      </c>
    </row>
    <row r="474">
      <c r="A474" s="136" t="inlineStr">
        <is>
          <t>34412181.PRT</t>
        </is>
      </c>
      <c r="B474" s="137">
        <f>LEFT(Tableau2[[#This Row],[n]],8)</f>
        <v/>
      </c>
      <c r="C474" s="136" t="inlineStr">
        <is>
          <t>SMT REHAUSSE BACK RAL9003</t>
        </is>
      </c>
      <c r="D474" s="136">
        <f>VLOOKUP(Tableau2[[#This Row],[Ref]],Tableau1[],4,FALSE)</f>
        <v/>
      </c>
    </row>
    <row r="475">
      <c r="A475" s="136" t="inlineStr">
        <is>
          <t>34412180.PRT</t>
        </is>
      </c>
      <c r="B475" s="137">
        <f>LEFT(Tableau2[[#This Row],[n]],8)</f>
        <v/>
      </c>
      <c r="C475" s="136" t="inlineStr">
        <is>
          <t>SMT TRAVERSE STS 250 RAL9003</t>
        </is>
      </c>
      <c r="D475" s="136">
        <f>VLOOKUP(Tableau2[[#This Row],[Ref]],Tableau1[],4,FALSE)</f>
        <v/>
      </c>
    </row>
    <row r="476">
      <c r="A476" s="136" t="inlineStr">
        <is>
          <t>34412179.PRT</t>
        </is>
      </c>
      <c r="B476" s="137">
        <f>LEFT(Tableau2[[#This Row],[n]],8)</f>
        <v/>
      </c>
      <c r="C476" s="136" t="inlineStr">
        <is>
          <t>SMT MONTANT STS 250 RAL9003</t>
        </is>
      </c>
      <c r="D476" s="136">
        <f>VLOOKUP(Tableau2[[#This Row],[Ref]],Tableau1[],4,FALSE)</f>
        <v/>
      </c>
    </row>
    <row r="477">
      <c r="A477" s="136" t="inlineStr">
        <is>
          <t>34412178.PRT</t>
        </is>
      </c>
      <c r="B477" s="137">
        <f>LEFT(Tableau2[[#This Row],[n]],8)</f>
        <v/>
      </c>
      <c r="C477" s="136" t="inlineStr">
        <is>
          <t>SMT 34412178 GVS BYPASS PLATINE NSX250 GVEAC10</t>
        </is>
      </c>
      <c r="D477" s="136">
        <f>VLOOKUP(Tableau2[[#This Row],[Ref]],Tableau1[],4,FALSE)</f>
        <v/>
      </c>
    </row>
    <row r="478">
      <c r="A478" s="136" t="inlineStr">
        <is>
          <t>34412171.PRT</t>
        </is>
      </c>
      <c r="B478" s="137">
        <f>LEFT(Tableau2[[#This Row],[n]],8)</f>
        <v/>
      </c>
      <c r="C478" s="136" t="inlineStr">
        <is>
          <t>SMT PLASTRON BAS</t>
        </is>
      </c>
      <c r="D478" s="136">
        <f>VLOOKUP(Tableau2[[#This Row],[Ref]],Tableau1[],4,FALSE)</f>
        <v/>
      </c>
    </row>
    <row r="479">
      <c r="A479" s="136" t="inlineStr">
        <is>
          <t>34412170.PRT</t>
        </is>
      </c>
      <c r="B479" s="137">
        <f>LEFT(Tableau2[[#This Row],[n]],8)</f>
        <v/>
      </c>
      <c r="C479" s="136" t="inlineStr">
        <is>
          <t>SMT PLASTRON HAUT</t>
        </is>
      </c>
      <c r="D479" s="136">
        <f>VLOOKUP(Tableau2[[#This Row],[Ref]],Tableau1[],4,FALSE)</f>
        <v/>
      </c>
    </row>
    <row r="480">
      <c r="A480" s="136" t="inlineStr">
        <is>
          <t>34412169.PRT</t>
        </is>
      </c>
      <c r="B480" s="137">
        <f>LEFT(Tableau2[[#This Row],[n]],8)</f>
        <v/>
      </c>
      <c r="C480" s="136" t="inlineStr">
        <is>
          <t>SMT PLASTRON HAUT/BAS</t>
        </is>
      </c>
      <c r="D480" s="136">
        <f>VLOOKUP(Tableau2[[#This Row],[Ref]],Tableau1[],4,FALSE)</f>
        <v/>
      </c>
    </row>
    <row r="481">
      <c r="A481" s="136" t="inlineStr">
        <is>
          <t>34412168.PRT</t>
        </is>
      </c>
      <c r="B481" s="137">
        <f>LEFT(Tableau2[[#This Row],[n]],8)</f>
        <v/>
      </c>
      <c r="C481" s="136" t="inlineStr">
        <is>
          <t>COP PONTAGE JDB L3</t>
        </is>
      </c>
      <c r="D481" s="136">
        <f>VLOOKUP(Tableau2[[#This Row],[Ref]],Tableau1[],4,FALSE)</f>
        <v/>
      </c>
    </row>
    <row r="482">
      <c r="A482" s="136" t="inlineStr">
        <is>
          <t>34412167.PRT</t>
        </is>
      </c>
      <c r="B482" s="137">
        <f>LEFT(Tableau2[[#This Row],[n]],8)</f>
        <v/>
      </c>
      <c r="C482" s="136" t="inlineStr">
        <is>
          <t>COP PONTAGE JDB L2</t>
        </is>
      </c>
      <c r="D482" s="136">
        <f>VLOOKUP(Tableau2[[#This Row],[Ref]],Tableau1[],4,FALSE)</f>
        <v/>
      </c>
    </row>
    <row r="483">
      <c r="A483" s="136" t="inlineStr">
        <is>
          <t>34412166.PRT</t>
        </is>
      </c>
      <c r="B483" s="137">
        <f>LEFT(Tableau2[[#This Row],[n]],8)</f>
        <v/>
      </c>
      <c r="C483" s="136" t="inlineStr">
        <is>
          <t>COP PONTAGE JDB L1</t>
        </is>
      </c>
      <c r="D483" s="136">
        <f>VLOOKUP(Tableau2[[#This Row],[Ref]],Tableau1[],4,FALSE)</f>
        <v/>
      </c>
    </row>
    <row r="484">
      <c r="A484" s="136" t="inlineStr">
        <is>
          <t>34412165.PRT</t>
        </is>
      </c>
      <c r="B484" s="137">
        <f>LEFT(Tableau2[[#This Row],[n]],8)</f>
        <v/>
      </c>
      <c r="C484" s="136" t="inlineStr">
        <is>
          <t>PLA BARREAU ISOLANT</t>
        </is>
      </c>
      <c r="D484" s="136">
        <f>VLOOKUP(Tableau2[[#This Row],[Ref]],Tableau1[],4,FALSE)</f>
        <v/>
      </c>
    </row>
    <row r="485">
      <c r="A485" s="136" t="inlineStr">
        <is>
          <t>34412164.PRT</t>
        </is>
      </c>
      <c r="B485" s="137">
        <f>LEFT(Tableau2[[#This Row],[n]],8)</f>
        <v/>
      </c>
      <c r="C485" s="136" t="inlineStr">
        <is>
          <t>SMT SUPPORT ISOLATEUR</t>
        </is>
      </c>
      <c r="D485" s="136">
        <f>VLOOKUP(Tableau2[[#This Row],[Ref]],Tableau1[],4,FALSE)</f>
        <v/>
      </c>
    </row>
    <row r="486">
      <c r="A486" s="136" t="inlineStr">
        <is>
          <t>34412162.PRT</t>
        </is>
      </c>
      <c r="B486" s="137">
        <f>LEFT(Tableau2[[#This Row],[n]],8)</f>
        <v/>
      </c>
      <c r="C486" s="136" t="inlineStr">
        <is>
          <t>COP GVXL4 FEEDS CONNEXION</t>
        </is>
      </c>
      <c r="D486" s="136">
        <f>VLOOKUP(Tableau2[[#This Row],[Ref]],Tableau1[],4,FALSE)</f>
        <v/>
      </c>
    </row>
    <row r="487">
      <c r="A487" s="136" t="inlineStr">
        <is>
          <t>34412161.PRT</t>
        </is>
      </c>
      <c r="B487" s="137">
        <f>LEFT(Tableau2[[#This Row],[n]],8)</f>
        <v/>
      </c>
      <c r="C487" s="136" t="inlineStr">
        <is>
          <t>COP GVXL 4 FEEDS BPL3</t>
        </is>
      </c>
      <c r="D487" s="136">
        <f>VLOOKUP(Tableau2[[#This Row],[Ref]],Tableau1[],4,FALSE)</f>
        <v/>
      </c>
    </row>
    <row r="488">
      <c r="A488" s="136" t="inlineStr">
        <is>
          <t>34412160.PRT</t>
        </is>
      </c>
      <c r="B488" s="137">
        <f>LEFT(Tableau2[[#This Row],[n]],8)</f>
        <v/>
      </c>
      <c r="C488" s="136" t="inlineStr">
        <is>
          <t>COP 34412160  STS 1250A</t>
        </is>
      </c>
      <c r="D488" s="136">
        <f>VLOOKUP(Tableau2[[#This Row],[Ref]],Tableau1[],4,FALSE)</f>
        <v/>
      </c>
    </row>
    <row r="489">
      <c r="A489" s="136" t="inlineStr">
        <is>
          <t>34412159.PRT</t>
        </is>
      </c>
      <c r="B489" s="137">
        <f>LEFT(Tableau2[[#This Row],[n]],8)</f>
        <v/>
      </c>
      <c r="C489" s="136" t="inlineStr">
        <is>
          <t>PLA CYLINDRE RENFORT 2</t>
        </is>
      </c>
      <c r="D489" s="136">
        <f>VLOOKUP(Tableau2[[#This Row],[Ref]],Tableau1[],4,FALSE)</f>
        <v/>
      </c>
    </row>
    <row r="490">
      <c r="A490" s="136" t="inlineStr">
        <is>
          <t>34412158.PRT</t>
        </is>
      </c>
      <c r="B490" s="137">
        <f>LEFT(Tableau2[[#This Row],[n]],8)</f>
        <v/>
      </c>
      <c r="C490" s="136" t="inlineStr">
        <is>
          <t>PLA CYLINDRE RENFORT</t>
        </is>
      </c>
      <c r="D490" s="136">
        <f>VLOOKUP(Tableau2[[#This Row],[Ref]],Tableau1[],4,FALSE)</f>
        <v/>
      </c>
    </row>
    <row r="491">
      <c r="A491" s="136" t="inlineStr">
        <is>
          <t>34412157.PRT</t>
        </is>
      </c>
      <c r="B491" s="137">
        <f>LEFT(Tableau2[[#This Row],[n]],8)</f>
        <v/>
      </c>
      <c r="C491" s="136" t="inlineStr">
        <is>
          <t>SMT TRAVERSE LARGEUR 2 REHAUSSE</t>
        </is>
      </c>
      <c r="D491" s="136">
        <f>VLOOKUP(Tableau2[[#This Row],[Ref]],Tableau1[],4,FALSE)</f>
        <v/>
      </c>
    </row>
    <row r="492">
      <c r="A492" s="136" t="inlineStr">
        <is>
          <t>34412156.PRT</t>
        </is>
      </c>
      <c r="B492" s="137">
        <f>LEFT(Tableau2[[#This Row],[n]],8)</f>
        <v/>
      </c>
      <c r="C492" s="136" t="inlineStr">
        <is>
          <t>SMT TRAVERSE LARGEUR REHAUSSE</t>
        </is>
      </c>
      <c r="D492" s="136">
        <f>VLOOKUP(Tableau2[[#This Row],[Ref]],Tableau1[],4,FALSE)</f>
        <v/>
      </c>
    </row>
    <row r="493">
      <c r="A493" s="136" t="inlineStr">
        <is>
          <t>34412155.PRT</t>
        </is>
      </c>
      <c r="B493" s="137">
        <f>LEFT(Tableau2[[#This Row],[n]],8)</f>
        <v/>
      </c>
      <c r="C493" s="136" t="inlineStr">
        <is>
          <t>COP GVXL 4 FEEDS CONNEXION NEUTRE</t>
        </is>
      </c>
      <c r="D493" s="136">
        <f>VLOOKUP(Tableau2[[#This Row],[Ref]],Tableau1[],4,FALSE)</f>
        <v/>
      </c>
    </row>
    <row r="494">
      <c r="A494" s="136" t="inlineStr">
        <is>
          <t>34412154.PRT</t>
        </is>
      </c>
      <c r="B494" s="137">
        <f>LEFT(Tableau2[[#This Row],[n]],8)</f>
        <v/>
      </c>
      <c r="C494" s="136" t="inlineStr">
        <is>
          <t>COP CALE TGAB IN</t>
        </is>
      </c>
      <c r="D494" s="136">
        <f>VLOOKUP(Tableau2[[#This Row],[Ref]],Tableau1[],4,FALSE)</f>
        <v/>
      </c>
    </row>
    <row r="495">
      <c r="A495" s="136" t="inlineStr">
        <is>
          <t>34412153.PRT</t>
        </is>
      </c>
      <c r="B495" s="137">
        <f>LEFT(Tableau2[[#This Row],[n]],8)</f>
        <v/>
      </c>
      <c r="C495" s="136" t="inlineStr">
        <is>
          <t>COP GVXL 4 FEEDS NEUTRAL</t>
        </is>
      </c>
      <c r="D495" s="136">
        <f>VLOOKUP(Tableau2[[#This Row],[Ref]],Tableau1[],4,FALSE)</f>
        <v/>
      </c>
    </row>
    <row r="496">
      <c r="A496" s="136" t="inlineStr">
        <is>
          <t>34412152.PRT</t>
        </is>
      </c>
      <c r="B496" s="137">
        <f>LEFT(Tableau2[[#This Row],[n]],8)</f>
        <v/>
      </c>
      <c r="C496" s="136" t="inlineStr">
        <is>
          <t>COP GVXL 4 FEEDS INL1</t>
        </is>
      </c>
      <c r="D496" s="136">
        <f>VLOOKUP(Tableau2[[#This Row],[Ref]],Tableau1[],4,FALSE)</f>
        <v/>
      </c>
    </row>
    <row r="497">
      <c r="A497" s="136" t="inlineStr">
        <is>
          <t>34412151.PRT</t>
        </is>
      </c>
      <c r="B497" s="137">
        <f>LEFT(Tableau2[[#This Row],[n]],8)</f>
        <v/>
      </c>
      <c r="C497" s="136" t="inlineStr">
        <is>
          <t>COP GVXL 4 FEEDS INL2</t>
        </is>
      </c>
      <c r="D497" s="136">
        <f>VLOOKUP(Tableau2[[#This Row],[Ref]],Tableau1[],4,FALSE)</f>
        <v/>
      </c>
    </row>
    <row r="498">
      <c r="A498" s="136" t="inlineStr">
        <is>
          <t>34412150.PRT</t>
        </is>
      </c>
      <c r="B498" s="137">
        <f>LEFT(Tableau2[[#This Row],[n]],8)</f>
        <v/>
      </c>
      <c r="C498" s="136" t="inlineStr">
        <is>
          <t>COP GVXL 4 FEEDS INL3</t>
        </is>
      </c>
      <c r="D498" s="136">
        <f>VLOOKUP(Tableau2[[#This Row],[Ref]],Tableau1[],4,FALSE)</f>
        <v/>
      </c>
    </row>
    <row r="499">
      <c r="A499" s="136" t="inlineStr">
        <is>
          <t>34412149.PRT</t>
        </is>
      </c>
      <c r="B499" s="137">
        <f>LEFT(Tableau2[[#This Row],[n]],8)</f>
        <v/>
      </c>
      <c r="C499" s="136" t="inlineStr">
        <is>
          <t>COP GVXL 4 FEEDS NEUTRAL OUT</t>
        </is>
      </c>
      <c r="D499" s="136">
        <f>VLOOKUP(Tableau2[[#This Row],[Ref]],Tableau1[],4,FALSE)</f>
        <v/>
      </c>
    </row>
    <row r="500">
      <c r="A500" s="136" t="inlineStr">
        <is>
          <t>34412148.PRT</t>
        </is>
      </c>
      <c r="B500" s="137">
        <f>LEFT(Tableau2[[#This Row],[n]],8)</f>
        <v/>
      </c>
      <c r="C500" s="136" t="inlineStr">
        <is>
          <t>SMT GRILLE ARRIERE</t>
        </is>
      </c>
      <c r="D500" s="136">
        <f>VLOOKUP(Tableau2[[#This Row],[Ref]],Tableau1[],4,FALSE)</f>
        <v/>
      </c>
    </row>
    <row r="501">
      <c r="A501" s="136" t="inlineStr">
        <is>
          <t>34412147.PRT</t>
        </is>
      </c>
      <c r="B501" s="137">
        <f>LEFT(Tableau2[[#This Row],[n]],8)</f>
        <v/>
      </c>
      <c r="C501" s="136" t="inlineStr">
        <is>
          <t>SMT GRILE AVANT</t>
        </is>
      </c>
      <c r="D501" s="136">
        <f>VLOOKUP(Tableau2[[#This Row],[Ref]],Tableau1[],4,FALSE)</f>
        <v/>
      </c>
    </row>
    <row r="502">
      <c r="A502" s="136" t="inlineStr">
        <is>
          <t>34412146.PRT</t>
        </is>
      </c>
      <c r="B502" s="137">
        <f>LEFT(Tableau2[[#This Row],[n]],8)</f>
        <v/>
      </c>
      <c r="C502" s="136" t="inlineStr">
        <is>
          <t>COP GVXL 4 FEEDS RACCORDEMENT</t>
        </is>
      </c>
      <c r="D502" s="136">
        <f>VLOOKUP(Tableau2[[#This Row],[Ref]],Tableau1[],4,FALSE)</f>
        <v/>
      </c>
    </row>
    <row r="503">
      <c r="A503" s="136" t="inlineStr">
        <is>
          <t>34412145.PRT</t>
        </is>
      </c>
      <c r="B503" s="137">
        <f>LEFT(Tableau2[[#This Row],[n]],8)</f>
        <v/>
      </c>
      <c r="C503" s="136" t="inlineStr">
        <is>
          <t>COP GVXL 4 FEEDS BPL1</t>
        </is>
      </c>
      <c r="D503" s="136">
        <f>VLOOKUP(Tableau2[[#This Row],[Ref]],Tableau1[],4,FALSE)</f>
        <v/>
      </c>
    </row>
    <row r="504">
      <c r="A504" s="136" t="inlineStr">
        <is>
          <t>34412144.PRT</t>
        </is>
      </c>
      <c r="B504" s="137">
        <f>LEFT(Tableau2[[#This Row],[n]],8)</f>
        <v/>
      </c>
      <c r="C504" s="136" t="inlineStr">
        <is>
          <t>SMT PLASTRON NS800</t>
        </is>
      </c>
      <c r="D504" s="136">
        <f>VLOOKUP(Tableau2[[#This Row],[Ref]],Tableau1[],4,FALSE)</f>
        <v/>
      </c>
    </row>
    <row r="505">
      <c r="A505" s="136" t="inlineStr">
        <is>
          <t>34412143.PRT</t>
        </is>
      </c>
      <c r="B505" s="137">
        <f>LEFT(Tableau2[[#This Row],[n]],8)</f>
        <v/>
      </c>
      <c r="C505" s="136" t="inlineStr">
        <is>
          <t>PLA PROTECTION CONTACT</t>
        </is>
      </c>
      <c r="D505" s="136">
        <f>VLOOKUP(Tableau2[[#This Row],[Ref]],Tableau1[],4,FALSE)</f>
        <v/>
      </c>
    </row>
    <row r="506">
      <c r="A506" s="136" t="inlineStr">
        <is>
          <t>34412142.PRT</t>
        </is>
      </c>
      <c r="B506" s="137">
        <f>LEFT(Tableau2[[#This Row],[n]],8)</f>
        <v/>
      </c>
      <c r="C506" s="136" t="inlineStr">
        <is>
          <t>COP NS800 AMONT CONNEXION L3</t>
        </is>
      </c>
      <c r="D506" s="136">
        <f>VLOOKUP(Tableau2[[#This Row],[Ref]],Tableau1[],4,FALSE)</f>
        <v/>
      </c>
    </row>
    <row r="507">
      <c r="A507" s="136" t="inlineStr">
        <is>
          <t>34412141.PRT</t>
        </is>
      </c>
      <c r="B507" s="137">
        <f>LEFT(Tableau2[[#This Row],[n]],8)</f>
        <v/>
      </c>
      <c r="C507" s="136" t="inlineStr">
        <is>
          <t>COP NS800 AMONT CONNEXION L2</t>
        </is>
      </c>
      <c r="D507" s="136">
        <f>VLOOKUP(Tableau2[[#This Row],[Ref]],Tableau1[],4,FALSE)</f>
        <v/>
      </c>
    </row>
    <row r="508">
      <c r="A508" s="136" t="inlineStr">
        <is>
          <t>34412140.PRT</t>
        </is>
      </c>
      <c r="B508" s="137">
        <f>LEFT(Tableau2[[#This Row],[n]],8)</f>
        <v/>
      </c>
      <c r="C508" s="136" t="inlineStr">
        <is>
          <t>COP NS800 AMONT CONNEXION L1</t>
        </is>
      </c>
      <c r="D508" s="136">
        <f>VLOOKUP(Tableau2[[#This Row],[Ref]],Tableau1[],4,FALSE)</f>
        <v/>
      </c>
    </row>
    <row r="509">
      <c r="A509" s="136" t="inlineStr">
        <is>
          <t>34412139.PRT</t>
        </is>
      </c>
      <c r="B509" s="137">
        <f>LEFT(Tableau2[[#This Row],[n]],8)</f>
        <v/>
      </c>
      <c r="C509" s="136" t="inlineStr">
        <is>
          <t>COP LIAISON PEN</t>
        </is>
      </c>
      <c r="D509" s="136">
        <f>VLOOKUP(Tableau2[[#This Row],[Ref]],Tableau1[],4,FALSE)</f>
        <v/>
      </c>
    </row>
    <row r="510">
      <c r="A510" s="136" t="inlineStr">
        <is>
          <t>34412138.PRT</t>
        </is>
      </c>
      <c r="B510" s="137">
        <f>LEFT(Tableau2[[#This Row],[n]],8)</f>
        <v/>
      </c>
      <c r="C510" s="136" t="inlineStr">
        <is>
          <t>SMT LIAISON PEN</t>
        </is>
      </c>
      <c r="D510" s="136">
        <f>VLOOKUP(Tableau2[[#This Row],[Ref]],Tableau1[],4,FALSE)</f>
        <v/>
      </c>
    </row>
    <row r="511">
      <c r="A511" s="136" t="inlineStr">
        <is>
          <t>34412137.PRT</t>
        </is>
      </c>
      <c r="B511" s="137">
        <f>LEFT(Tableau2[[#This Row],[n]],8)</f>
        <v/>
      </c>
      <c r="C511" s="136" t="inlineStr">
        <is>
          <t>COP MTZ2 AVAL CONNEXION L3</t>
        </is>
      </c>
      <c r="D511" s="136">
        <f>VLOOKUP(Tableau2[[#This Row],[Ref]],Tableau1[],4,FALSE)</f>
        <v/>
      </c>
    </row>
    <row r="512">
      <c r="A512" s="136" t="inlineStr">
        <is>
          <t>34412136.PRT</t>
        </is>
      </c>
      <c r="B512" s="137">
        <f>LEFT(Tableau2[[#This Row],[n]],8)</f>
        <v/>
      </c>
      <c r="C512" s="136" t="inlineStr">
        <is>
          <t>COP MTZ2 AVAL CONNEXION L2</t>
        </is>
      </c>
      <c r="D512" s="136">
        <f>VLOOKUP(Tableau2[[#This Row],[Ref]],Tableau1[],4,FALSE)</f>
        <v/>
      </c>
    </row>
    <row r="513">
      <c r="A513" s="136" t="inlineStr">
        <is>
          <t>34412135.PRT</t>
        </is>
      </c>
      <c r="B513" s="137">
        <f>LEFT(Tableau2[[#This Row],[n]],8)</f>
        <v/>
      </c>
      <c r="C513" s="136" t="inlineStr">
        <is>
          <t>COP MTZ2 AVAL CONNEXION L1</t>
        </is>
      </c>
      <c r="D513" s="136">
        <f>VLOOKUP(Tableau2[[#This Row],[Ref]],Tableau1[],4,FALSE)</f>
        <v/>
      </c>
    </row>
    <row r="514">
      <c r="A514" s="136" t="inlineStr">
        <is>
          <t>34412134.PRT</t>
        </is>
      </c>
      <c r="B514" s="137">
        <f>LEFT(Tableau2[[#This Row],[n]],8)</f>
        <v/>
      </c>
      <c r="C514" s="136" t="inlineStr">
        <is>
          <t>SE DECOUPE NSYCNT40 1370MM</t>
        </is>
      </c>
      <c r="D514" s="136">
        <f>VLOOKUP(Tableau2[[#This Row],[Ref]],Tableau1[],4,FALSE)</f>
        <v/>
      </c>
    </row>
    <row r="515">
      <c r="A515" s="136" t="inlineStr">
        <is>
          <t>34412133.PRT</t>
        </is>
      </c>
      <c r="B515" s="137">
        <f>LEFT(Tableau2[[#This Row],[n]],8)</f>
        <v/>
      </c>
      <c r="C515" s="136" t="inlineStr">
        <is>
          <t>SMT SUPPORT CABLES CLIENT</t>
        </is>
      </c>
      <c r="D515" s="136">
        <f>VLOOKUP(Tableau2[[#This Row],[Ref]],Tableau1[],4,FALSE)</f>
        <v/>
      </c>
    </row>
    <row r="516">
      <c r="A516" s="136" t="inlineStr">
        <is>
          <t>34412132.PRT</t>
        </is>
      </c>
      <c r="B516" s="137">
        <f>LEFT(Tableau2[[#This Row],[n]],8)</f>
        <v/>
      </c>
      <c r="C516" s="136" t="inlineStr">
        <is>
          <t>SMT TRAVERSE GAUCHE CHASSIS</t>
        </is>
      </c>
      <c r="D516" s="136">
        <f>VLOOKUP(Tableau2[[#This Row],[Ref]],Tableau1[],4,FALSE)</f>
        <v/>
      </c>
    </row>
    <row r="517">
      <c r="A517" s="136" t="inlineStr">
        <is>
          <t>34412131.PRT</t>
        </is>
      </c>
      <c r="B517" s="137">
        <f>LEFT(Tableau2[[#This Row],[n]],8)</f>
        <v/>
      </c>
      <c r="C517" s="136" t="inlineStr">
        <is>
          <t>SMT TRAVERSE GAUCHE CHASSIS</t>
        </is>
      </c>
      <c r="D517" s="136">
        <f>VLOOKUP(Tableau2[[#This Row],[Ref]],Tableau1[],4,FALSE)</f>
        <v/>
      </c>
    </row>
    <row r="518">
      <c r="A518" s="136" t="inlineStr">
        <is>
          <t>34412130.PRT</t>
        </is>
      </c>
      <c r="B518" s="137">
        <f>LEFT(Tableau2[[#This Row],[n]],8)</f>
        <v/>
      </c>
      <c r="C518" s="136" t="inlineStr">
        <is>
          <t>SMT PLASTRON MTZ</t>
        </is>
      </c>
      <c r="D518" s="136">
        <f>VLOOKUP(Tableau2[[#This Row],[Ref]],Tableau1[],4,FALSE)</f>
        <v/>
      </c>
    </row>
    <row r="519">
      <c r="A519" s="136" t="inlineStr">
        <is>
          <t>34412129.PRT</t>
        </is>
      </c>
      <c r="B519" s="137">
        <f>LEFT(Tableau2[[#This Row],[n]],8)</f>
        <v/>
      </c>
      <c r="C519" s="136" t="inlineStr">
        <is>
          <t>COP MTZ2 AMONT CONNEXION</t>
        </is>
      </c>
      <c r="D519" s="136">
        <f>VLOOKUP(Tableau2[[#This Row],[Ref]],Tableau1[],4,FALSE)</f>
        <v/>
      </c>
    </row>
    <row r="520">
      <c r="A520" s="136" t="inlineStr">
        <is>
          <t>34412128.PRT</t>
        </is>
      </c>
      <c r="B520" s="137">
        <f>LEFT(Tableau2[[#This Row],[n]],8)</f>
        <v/>
      </c>
      <c r="C520" s="136" t="inlineStr">
        <is>
          <t>COP PEN CONNEXION</t>
        </is>
      </c>
      <c r="D520" s="136">
        <f>VLOOKUP(Tableau2[[#This Row],[Ref]],Tableau1[],4,FALSE)</f>
        <v/>
      </c>
    </row>
    <row r="521">
      <c r="A521" s="136" t="inlineStr">
        <is>
          <t>34412127.PRT</t>
        </is>
      </c>
      <c r="B521" s="137">
        <f>LEFT(Tableau2[[#This Row],[n]],8)</f>
        <v/>
      </c>
      <c r="C521" s="136" t="inlineStr">
        <is>
          <t>COP PEN CONNEXION</t>
        </is>
      </c>
      <c r="D521" s="136">
        <f>VLOOKUP(Tableau2[[#This Row],[Ref]],Tableau1[],4,FALSE)</f>
        <v/>
      </c>
    </row>
    <row r="522">
      <c r="A522" s="136" t="inlineStr">
        <is>
          <t>34412126</t>
        </is>
      </c>
      <c r="B522" s="137">
        <f>LEFT(Tableau2[[#This Row],[n]],8)</f>
        <v/>
      </c>
      <c r="C522" s="136" t="inlineStr">
        <is>
          <t>COP PEN CONNEXION</t>
        </is>
      </c>
      <c r="D522" s="136">
        <f>VLOOKUP(Tableau2[[#This Row],[Ref]],Tableau1[],4,FALSE)</f>
        <v/>
      </c>
    </row>
    <row r="523">
      <c r="A523" s="136" t="inlineStr">
        <is>
          <t>34412125.PRT</t>
        </is>
      </c>
      <c r="B523" s="137">
        <f>LEFT(Tableau2[[#This Row],[n]],8)</f>
        <v/>
      </c>
      <c r="C523" s="136" t="inlineStr">
        <is>
          <t>SMT SUPPORT BARREAU ISOLANT</t>
        </is>
      </c>
      <c r="D523" s="136">
        <f>VLOOKUP(Tableau2[[#This Row],[Ref]],Tableau1[],4,FALSE)</f>
        <v/>
      </c>
    </row>
    <row r="524">
      <c r="A524" s="136" t="inlineStr">
        <is>
          <t>34412124.PRT</t>
        </is>
      </c>
      <c r="B524" s="137">
        <f>LEFT(Tableau2[[#This Row],[n]],8)</f>
        <v/>
      </c>
      <c r="C524" s="136" t="inlineStr">
        <is>
          <t>COP GVXL 4 FEEDS BPL2</t>
        </is>
      </c>
      <c r="D524" s="136">
        <f>VLOOKUP(Tableau2[[#This Row],[Ref]],Tableau1[],4,FALSE)</f>
        <v/>
      </c>
    </row>
    <row r="525">
      <c r="A525" s="136" t="inlineStr">
        <is>
          <t>34412123.PRT</t>
        </is>
      </c>
      <c r="B525" s="137">
        <f>LEFT(Tableau2[[#This Row],[n]],8)</f>
        <v/>
      </c>
      <c r="C525" s="136" t="inlineStr">
        <is>
          <t>COP DC 4 FEEDERS 3</t>
        </is>
      </c>
      <c r="D525" s="136">
        <f>VLOOKUP(Tableau2[[#This Row],[Ref]],Tableau1[],4,FALSE)</f>
        <v/>
      </c>
    </row>
    <row r="526">
      <c r="A526" s="136" t="inlineStr">
        <is>
          <t>34412122.PRT</t>
        </is>
      </c>
      <c r="B526" s="137">
        <f>LEFT(Tableau2[[#This Row],[n]],8)</f>
        <v/>
      </c>
      <c r="C526" s="136" t="inlineStr">
        <is>
          <t>COP DC 4 FEEDERS 2</t>
        </is>
      </c>
      <c r="D526" s="136">
        <f>VLOOKUP(Tableau2[[#This Row],[Ref]],Tableau1[],4,FALSE)</f>
        <v/>
      </c>
    </row>
    <row r="527">
      <c r="A527" s="136" t="inlineStr">
        <is>
          <t>34412121.PRT</t>
        </is>
      </c>
      <c r="B527" s="137">
        <f>LEFT(Tableau2[[#This Row],[n]],8)</f>
        <v/>
      </c>
      <c r="C527" s="136" t="inlineStr">
        <is>
          <t>COP DC 4 FEEDERS 1</t>
        </is>
      </c>
      <c r="D527" s="136">
        <f>VLOOKUP(Tableau2[[#This Row],[Ref]],Tableau1[],4,FALSE)</f>
        <v/>
      </c>
    </row>
    <row r="528">
      <c r="A528" s="136" t="inlineStr">
        <is>
          <t>34412117.PRT</t>
        </is>
      </c>
      <c r="B528" s="137">
        <f>LEFT(Tableau2[[#This Row],[n]],8)</f>
        <v/>
      </c>
      <c r="C528" s="136" t="inlineStr">
        <is>
          <t>SMT 34412117 STS 1250A 3P RAL3001</t>
        </is>
      </c>
      <c r="D528" s="136">
        <f>VLOOKUP(Tableau2[[#This Row],[Ref]],Tableau1[],4,FALSE)</f>
        <v/>
      </c>
    </row>
    <row r="529">
      <c r="A529" s="136" t="inlineStr">
        <is>
          <t>34412116.PRT</t>
        </is>
      </c>
      <c r="B529" s="137">
        <f>LEFT(Tableau2[[#This Row],[n]],8)</f>
        <v/>
      </c>
      <c r="C529" s="136" t="inlineStr">
        <is>
          <t>WOOD 34412116  PALETTE CELLULE 2300x1200 PLANCHER CROISE ACCES AVANT</t>
        </is>
      </c>
      <c r="D529" s="136">
        <f>VLOOKUP(Tableau2[[#This Row],[Ref]],Tableau1[],4,FALSE)</f>
        <v/>
      </c>
    </row>
    <row r="530">
      <c r="A530" s="136" t="inlineStr">
        <is>
          <t>34412115.PRT</t>
        </is>
      </c>
      <c r="B530" s="137">
        <f>LEFT(Tableau2[[#This Row],[n]],8)</f>
        <v/>
      </c>
      <c r="C530" s="136" t="inlineStr">
        <is>
          <t>SMT BOITE AIR TOIT 3</t>
        </is>
      </c>
      <c r="D530" s="136">
        <f>VLOOKUP(Tableau2[[#This Row],[Ref]],Tableau1[],4,FALSE)</f>
        <v/>
      </c>
    </row>
    <row r="531">
      <c r="A531" s="136" t="inlineStr">
        <is>
          <t>34412114.PRT</t>
        </is>
      </c>
      <c r="B531" s="137">
        <f>LEFT(Tableau2[[#This Row],[n]],8)</f>
        <v/>
      </c>
      <c r="C531" s="136" t="inlineStr">
        <is>
          <t>SMT MONTANT CAISSON 2 RAL9003</t>
        </is>
      </c>
      <c r="D531" s="136">
        <f>VLOOKUP(Tableau2[[#This Row],[Ref]],Tableau1[],4,FALSE)</f>
        <v/>
      </c>
    </row>
    <row r="532">
      <c r="A532" s="136" t="inlineStr">
        <is>
          <t>34412113.PRT</t>
        </is>
      </c>
      <c r="B532" s="137">
        <f>LEFT(Tableau2[[#This Row],[n]],8)</f>
        <v/>
      </c>
      <c r="C532" s="136" t="inlineStr">
        <is>
          <t>SMT MONTANT CAISSON RAL9003</t>
        </is>
      </c>
      <c r="D532" s="136">
        <f>VLOOKUP(Tableau2[[#This Row],[Ref]],Tableau1[],4,FALSE)</f>
        <v/>
      </c>
    </row>
    <row r="533">
      <c r="A533" s="136" t="inlineStr">
        <is>
          <t>34412112.PRT</t>
        </is>
      </c>
      <c r="B533" s="137">
        <f>LEFT(Tableau2[[#This Row],[n]],8)</f>
        <v/>
      </c>
      <c r="C533" s="136" t="inlineStr">
        <is>
          <t>SMT SURFACE AIR2</t>
        </is>
      </c>
      <c r="D533" s="136">
        <f>VLOOKUP(Tableau2[[#This Row],[Ref]],Tableau1[],4,FALSE)</f>
        <v/>
      </c>
    </row>
    <row r="534">
      <c r="A534" s="136" t="inlineStr">
        <is>
          <t>34412111.PRT</t>
        </is>
      </c>
      <c r="B534" s="137">
        <f>LEFT(Tableau2[[#This Row],[n]],8)</f>
        <v/>
      </c>
      <c r="C534" s="136" t="inlineStr">
        <is>
          <t>SMT SURFACE AIR RAL9003</t>
        </is>
      </c>
      <c r="D534" s="136">
        <f>VLOOKUP(Tableau2[[#This Row],[Ref]],Tableau1[],4,FALSE)</f>
        <v/>
      </c>
    </row>
    <row r="535">
      <c r="A535" s="136" t="inlineStr">
        <is>
          <t>34412109.PRT</t>
        </is>
      </c>
      <c r="B535" s="137">
        <f>LEFT(Tableau2[[#This Row],[n]],8)</f>
        <v/>
      </c>
      <c r="C535" s="136" t="inlineStr">
        <is>
          <t>ASSY PLT SPT NEUTRAL STS 4/600A 4 POLES_ETO</t>
        </is>
      </c>
      <c r="D535" s="136">
        <f>VLOOKUP(Tableau2[[#This Row],[Ref]],Tableau1[],4,FALSE)</f>
        <v/>
      </c>
    </row>
    <row r="536">
      <c r="A536" s="136" t="inlineStr">
        <is>
          <t>34412108.PRT</t>
        </is>
      </c>
      <c r="B536" s="137">
        <f>LEFT(Tableau2[[#This Row],[n]],8)</f>
        <v/>
      </c>
      <c r="C536" s="136" t="inlineStr">
        <is>
          <t>PLA PLASTRON PROTECTION PAS600L</t>
        </is>
      </c>
      <c r="D536" s="136">
        <f>VLOOKUP(Tableau2[[#This Row],[Ref]],Tableau1[],4,FALSE)</f>
        <v/>
      </c>
    </row>
    <row r="537">
      <c r="A537" s="136" t="inlineStr">
        <is>
          <t>34412106.PRT</t>
        </is>
      </c>
      <c r="B537" s="137">
        <f>LEFT(Tableau2[[#This Row],[n]],8)</f>
        <v/>
      </c>
      <c r="C537" s="136" t="inlineStr">
        <is>
          <t>SMT TOIT GVXL DOUBLE 2</t>
        </is>
      </c>
      <c r="D537" s="136">
        <f>VLOOKUP(Tableau2[[#This Row],[Ref]],Tableau1[],4,FALSE)</f>
        <v/>
      </c>
    </row>
    <row r="538">
      <c r="A538" s="136" t="inlineStr">
        <is>
          <t>34412105.PRT</t>
        </is>
      </c>
      <c r="B538" s="137">
        <f>LEFT(Tableau2[[#This Row],[n]],8)</f>
        <v/>
      </c>
      <c r="C538" s="136" t="inlineStr">
        <is>
          <t>SMT REHAUSSE CLOISON</t>
        </is>
      </c>
      <c r="D538" s="136">
        <f>VLOOKUP(Tableau2[[#This Row],[Ref]],Tableau1[],4,FALSE)</f>
        <v/>
      </c>
    </row>
    <row r="539">
      <c r="A539" s="136" t="inlineStr">
        <is>
          <t>34412104.PRT</t>
        </is>
      </c>
      <c r="B539" s="137">
        <f>LEFT(Tableau2[[#This Row],[n]],8)</f>
        <v/>
      </c>
      <c r="C539" s="136" t="inlineStr">
        <is>
          <t>SMT REHAUSSE TRAVERSE</t>
        </is>
      </c>
      <c r="D539" s="136">
        <f>VLOOKUP(Tableau2[[#This Row],[Ref]],Tableau1[],4,FALSE)</f>
        <v/>
      </c>
    </row>
    <row r="540">
      <c r="A540" s="136" t="inlineStr">
        <is>
          <t>34412103.PRT</t>
        </is>
      </c>
      <c r="B540" s="137">
        <f>LEFT(Tableau2[[#This Row],[n]],8)</f>
        <v/>
      </c>
      <c r="C540" s="136" t="inlineStr">
        <is>
          <t>SMT REHAUSSE SIDE RAL9003</t>
        </is>
      </c>
      <c r="D540" s="136">
        <f>VLOOKUP(Tableau2[[#This Row],[Ref]],Tableau1[],4,FALSE)</f>
        <v/>
      </c>
    </row>
    <row r="541">
      <c r="A541" s="136" t="inlineStr">
        <is>
          <t>34412102.PRT</t>
        </is>
      </c>
      <c r="B541" s="137">
        <f>LEFT(Tableau2[[#This Row],[n]],8)</f>
        <v/>
      </c>
      <c r="C541" s="136" t="inlineStr">
        <is>
          <t>SMT REHAUSSE FRONT RAL9003</t>
        </is>
      </c>
      <c r="D541" s="136">
        <f>VLOOKUP(Tableau2[[#This Row],[Ref]],Tableau1[],4,FALSE)</f>
        <v/>
      </c>
    </row>
    <row r="542">
      <c r="A542" s="136" t="inlineStr">
        <is>
          <t>34412101.PRT</t>
        </is>
      </c>
      <c r="B542" s="137">
        <f>LEFT(Tableau2[[#This Row],[n]],8)</f>
        <v/>
      </c>
      <c r="C542" s="136" t="inlineStr">
        <is>
          <t>SMT TOIT GVXL 8</t>
        </is>
      </c>
      <c r="D542" s="136">
        <f>VLOOKUP(Tableau2[[#This Row],[Ref]],Tableau1[],4,FALSE)</f>
        <v/>
      </c>
    </row>
    <row r="543">
      <c r="A543" s="136" t="inlineStr">
        <is>
          <t>34412100.PRT</t>
        </is>
      </c>
      <c r="B543" s="137">
        <f>LEFT(Tableau2[[#This Row],[n]],8)</f>
        <v/>
      </c>
      <c r="C543" s="136" t="inlineStr">
        <is>
          <t>SMT TOIT GVXL 7</t>
        </is>
      </c>
      <c r="D543" s="136">
        <f>VLOOKUP(Tableau2[[#This Row],[Ref]],Tableau1[],4,FALSE)</f>
        <v/>
      </c>
    </row>
    <row r="544">
      <c r="A544" s="136" t="inlineStr">
        <is>
          <t>34412099.PRT</t>
        </is>
      </c>
      <c r="B544" s="137">
        <f>LEFT(Tableau2[[#This Row],[n]],8)</f>
        <v/>
      </c>
      <c r="C544" s="136" t="inlineStr">
        <is>
          <t>SMT TOIT GVXL 6</t>
        </is>
      </c>
      <c r="D544" s="136">
        <f>VLOOKUP(Tableau2[[#This Row],[Ref]],Tableau1[],4,FALSE)</f>
        <v/>
      </c>
    </row>
    <row r="545">
      <c r="A545" s="136" t="inlineStr">
        <is>
          <t>34412098.PRT</t>
        </is>
      </c>
      <c r="B545" s="137">
        <f>LEFT(Tableau2[[#This Row],[n]],8)</f>
        <v/>
      </c>
      <c r="C545" s="136" t="inlineStr">
        <is>
          <t>SMT TOIT GVXL 5</t>
        </is>
      </c>
      <c r="D545" s="136">
        <f>VLOOKUP(Tableau2[[#This Row],[Ref]],Tableau1[],4,FALSE)</f>
        <v/>
      </c>
    </row>
    <row r="546">
      <c r="A546" s="136" t="inlineStr">
        <is>
          <t>34412097.PRT</t>
        </is>
      </c>
      <c r="B546" s="137">
        <f>LEFT(Tableau2[[#This Row],[n]],8)</f>
        <v/>
      </c>
      <c r="C546" s="136" t="inlineStr">
        <is>
          <t>COP NEUTRE IN-TGAB</t>
        </is>
      </c>
      <c r="D546" s="136">
        <f>VLOOKUP(Tableau2[[#This Row],[Ref]],Tableau1[],4,FALSE)</f>
        <v/>
      </c>
    </row>
    <row r="547">
      <c r="A547" s="136" t="inlineStr">
        <is>
          <t>34412096.PRT</t>
        </is>
      </c>
      <c r="B547" s="137">
        <f>LEFT(Tableau2[[#This Row],[n]],8)</f>
        <v/>
      </c>
      <c r="C547" s="136" t="inlineStr">
        <is>
          <t>SMT TOIT GVXL DOUBLE</t>
        </is>
      </c>
      <c r="D547" s="136">
        <f>VLOOKUP(Tableau2[[#This Row],[Ref]],Tableau1[],4,FALSE)</f>
        <v/>
      </c>
    </row>
    <row r="548">
      <c r="A548" s="136" t="inlineStr">
        <is>
          <t>34412095.PRT</t>
        </is>
      </c>
      <c r="B548" s="137">
        <f>LEFT(Tableau2[[#This Row],[n]],8)</f>
        <v/>
      </c>
      <c r="C548" s="136" t="inlineStr">
        <is>
          <t>SMT TOIT GVXL 4</t>
        </is>
      </c>
      <c r="D548" s="136">
        <f>VLOOKUP(Tableau2[[#This Row],[Ref]],Tableau1[],4,FALSE)</f>
        <v/>
      </c>
    </row>
    <row r="549">
      <c r="A549" s="136" t="inlineStr">
        <is>
          <t>34412094.PRT</t>
        </is>
      </c>
      <c r="B549" s="137">
        <f>LEFT(Tableau2[[#This Row],[n]],8)</f>
        <v/>
      </c>
      <c r="C549" s="136" t="inlineStr">
        <is>
          <t>SMT TOIT GVXL 3</t>
        </is>
      </c>
      <c r="D549" s="136">
        <f>VLOOKUP(Tableau2[[#This Row],[Ref]],Tableau1[],4,FALSE)</f>
        <v/>
      </c>
    </row>
    <row r="550">
      <c r="A550" s="136" t="inlineStr">
        <is>
          <t>34412093.PRT</t>
        </is>
      </c>
      <c r="B550" s="137">
        <f>LEFT(Tableau2[[#This Row],[n]],8)</f>
        <v/>
      </c>
      <c r="C550" s="136" t="inlineStr">
        <is>
          <t>SMT TOIT GVXL 2</t>
        </is>
      </c>
      <c r="D550" s="136">
        <f>VLOOKUP(Tableau2[[#This Row],[Ref]],Tableau1[],4,FALSE)</f>
        <v/>
      </c>
    </row>
    <row r="551">
      <c r="A551" s="136" t="inlineStr">
        <is>
          <t>34412092.PRT</t>
        </is>
      </c>
      <c r="B551" s="137">
        <f>LEFT(Tableau2[[#This Row],[n]],8)</f>
        <v/>
      </c>
      <c r="C551" s="136" t="inlineStr">
        <is>
          <t>SMT TOIT GVXL 1</t>
        </is>
      </c>
      <c r="D551" s="136">
        <f>VLOOKUP(Tableau2[[#This Row],[Ref]],Tableau1[],4,FALSE)</f>
        <v/>
      </c>
    </row>
    <row r="552">
      <c r="A552" s="136" t="inlineStr">
        <is>
          <t>34412091.PRT</t>
        </is>
      </c>
      <c r="B552" s="137">
        <f>LEFT(Tableau2[[#This Row],[n]],8)</f>
        <v/>
      </c>
      <c r="C552" s="136" t="inlineStr">
        <is>
          <t>SMT PLAQUE DE PROTECTION</t>
        </is>
      </c>
      <c r="D552" s="136">
        <f>VLOOKUP(Tableau2[[#This Row],[Ref]],Tableau1[],4,FALSE)</f>
        <v/>
      </c>
    </row>
    <row r="553">
      <c r="A553" s="136" t="inlineStr">
        <is>
          <t>34412089.PRT</t>
        </is>
      </c>
      <c r="B553" s="137">
        <f>LEFT(Tableau2[[#This Row],[n]],8)</f>
        <v/>
      </c>
      <c r="C553" s="136" t="inlineStr">
        <is>
          <t>COP RACCORDEMENT NEUTRE</t>
        </is>
      </c>
      <c r="D553" s="136">
        <f>VLOOKUP(Tableau2[[#This Row],[Ref]],Tableau1[],4,FALSE)</f>
        <v/>
      </c>
    </row>
    <row r="554">
      <c r="A554" s="136" t="inlineStr">
        <is>
          <t>34412088.PRT</t>
        </is>
      </c>
      <c r="B554" s="137">
        <f>LEFT(Tableau2[[#This Row],[n]],8)</f>
        <v/>
      </c>
      <c r="C554" s="136" t="inlineStr">
        <is>
          <t>COP RACCORDEMENT TGAB OUT</t>
        </is>
      </c>
      <c r="D554" s="136">
        <f>VLOOKUP(Tableau2[[#This Row],[Ref]],Tableau1[],4,FALSE)</f>
        <v/>
      </c>
    </row>
    <row r="555">
      <c r="A555" s="136" t="inlineStr">
        <is>
          <t>34412087</t>
        </is>
      </c>
      <c r="B555" s="137">
        <f>LEFT(Tableau2[[#This Row],[n]],8)</f>
        <v/>
      </c>
      <c r="C555" s="136" t="inlineStr">
        <is>
          <t>COP RACCORDEMENT TGAB IN</t>
        </is>
      </c>
      <c r="D555" s="136">
        <f>VLOOKUP(Tableau2[[#This Row],[Ref]],Tableau1[],4,FALSE)</f>
        <v/>
      </c>
    </row>
    <row r="556">
      <c r="A556" s="136" t="inlineStr">
        <is>
          <t>34412086.PRT</t>
        </is>
      </c>
      <c r="B556" s="137">
        <f>LEFT(Tableau2[[#This Row],[n]],8)</f>
        <v/>
      </c>
      <c r="C556" s="136" t="inlineStr">
        <is>
          <t>COPNEUTRE OUT</t>
        </is>
      </c>
      <c r="D556" s="136">
        <f>VLOOKUP(Tableau2[[#This Row],[Ref]],Tableau1[],4,FALSE)</f>
        <v/>
      </c>
    </row>
    <row r="557">
      <c r="A557" s="136" t="inlineStr">
        <is>
          <t>34412085.PRT</t>
        </is>
      </c>
      <c r="B557" s="137">
        <f>LEFT(Tableau2[[#This Row],[n]],8)</f>
        <v/>
      </c>
      <c r="C557" s="136" t="inlineStr">
        <is>
          <t>COP NEUTRE</t>
        </is>
      </c>
      <c r="D557" s="136">
        <f>VLOOKUP(Tableau2[[#This Row],[Ref]],Tableau1[],4,FALSE)</f>
        <v/>
      </c>
    </row>
    <row r="558">
      <c r="A558" s="136" t="inlineStr">
        <is>
          <t>34412084.PRT</t>
        </is>
      </c>
      <c r="B558" s="137">
        <f>LEFT(Tableau2[[#This Row],[n]],8)</f>
        <v/>
      </c>
      <c r="C558" s="136" t="inlineStr">
        <is>
          <t>COP CONNEXION NEUTRE IN_BP</t>
        </is>
      </c>
      <c r="D558" s="136">
        <f>VLOOKUP(Tableau2[[#This Row],[Ref]],Tableau1[],4,FALSE)</f>
        <v/>
      </c>
    </row>
    <row r="559">
      <c r="A559" s="136" t="inlineStr">
        <is>
          <t>34412083.PRT</t>
        </is>
      </c>
      <c r="B559" s="137">
        <f>LEFT(Tableau2[[#This Row],[n]],8)</f>
        <v/>
      </c>
      <c r="C559" s="136" t="inlineStr">
        <is>
          <t>PLA BARREAU ISOLANT</t>
        </is>
      </c>
      <c r="D559" s="136">
        <f>VLOOKUP(Tableau2[[#This Row],[Ref]],Tableau1[],4,FALSE)</f>
        <v/>
      </c>
    </row>
    <row r="560">
      <c r="A560" s="136" t="inlineStr">
        <is>
          <t>34412082.PRT</t>
        </is>
      </c>
      <c r="B560" s="137">
        <f>LEFT(Tableau2[[#This Row],[n]],8)</f>
        <v/>
      </c>
      <c r="C560" s="136" t="inlineStr">
        <is>
          <t>SMT SUPPORT BAREAU ISOLANT</t>
        </is>
      </c>
      <c r="D560" s="136">
        <f>VLOOKUP(Tableau2[[#This Row],[Ref]],Tableau1[],4,FALSE)</f>
        <v/>
      </c>
    </row>
    <row r="561">
      <c r="A561" s="136" t="inlineStr">
        <is>
          <t>34412081.PRT</t>
        </is>
      </c>
      <c r="B561" s="137">
        <f>LEFT(Tableau2[[#This Row],[n]],8)</f>
        <v/>
      </c>
      <c r="C561" s="136" t="inlineStr">
        <is>
          <t>SMT TRAVERSE DROITE CHASSIS</t>
        </is>
      </c>
      <c r="D561" s="136">
        <f>VLOOKUP(Tableau2[[#This Row],[Ref]],Tableau1[],4,FALSE)</f>
        <v/>
      </c>
    </row>
    <row r="562">
      <c r="A562" s="136" t="inlineStr">
        <is>
          <t>34412080.PRT</t>
        </is>
      </c>
      <c r="B562" s="137">
        <f>LEFT(Tableau2[[#This Row],[n]],8)</f>
        <v/>
      </c>
      <c r="C562" s="136" t="inlineStr">
        <is>
          <t>SMT PLATEAU MTZ2 3P</t>
        </is>
      </c>
      <c r="D562" s="136">
        <f>VLOOKUP(Tableau2[[#This Row],[Ref]],Tableau1[],4,FALSE)</f>
        <v/>
      </c>
    </row>
    <row r="563">
      <c r="A563" s="136" t="inlineStr">
        <is>
          <t>34412079.PRT</t>
        </is>
      </c>
      <c r="B563" s="137">
        <f>LEFT(Tableau2[[#This Row],[n]],8)</f>
        <v/>
      </c>
      <c r="C563" s="136" t="inlineStr">
        <is>
          <t>SMT TRAVERSE DROITE CHASSIS</t>
        </is>
      </c>
      <c r="D563" s="136">
        <f>VLOOKUP(Tableau2[[#This Row],[Ref]],Tableau1[],4,FALSE)</f>
        <v/>
      </c>
    </row>
    <row r="564">
      <c r="A564" s="136" t="inlineStr">
        <is>
          <t>34412078.PRT</t>
        </is>
      </c>
      <c r="B564" s="137">
        <f>LEFT(Tableau2[[#This Row],[n]],8)</f>
        <v/>
      </c>
      <c r="C564" s="136" t="inlineStr">
        <is>
          <t>SMT SUPPORT BARREAU ISOLANT</t>
        </is>
      </c>
      <c r="D564" s="136">
        <f>VLOOKUP(Tableau2[[#This Row],[Ref]],Tableau1[],4,FALSE)</f>
        <v/>
      </c>
    </row>
    <row r="565">
      <c r="A565" s="136" t="inlineStr">
        <is>
          <t>34412077.PRT</t>
        </is>
      </c>
      <c r="B565" s="137">
        <f>LEFT(Tableau2[[#This Row],[n]],8)</f>
        <v/>
      </c>
      <c r="C565" s="136" t="inlineStr">
        <is>
          <t>COP SSIB AVAL CONNEXION</t>
        </is>
      </c>
      <c r="D565" s="136">
        <f>VLOOKUP(Tableau2[[#This Row],[Ref]],Tableau1[],4,FALSE)</f>
        <v/>
      </c>
    </row>
    <row r="566">
      <c r="A566" s="136" t="inlineStr">
        <is>
          <t>34412076.PRT</t>
        </is>
      </c>
      <c r="B566" s="137">
        <f>LEFT(Tableau2[[#This Row],[n]],8)</f>
        <v/>
      </c>
      <c r="C566" s="136" t="inlineStr">
        <is>
          <t>COP BOTTOM CONNEXION</t>
        </is>
      </c>
      <c r="D566" s="136">
        <f>VLOOKUP(Tableau2[[#This Row],[Ref]],Tableau1[],4,FALSE)</f>
        <v/>
      </c>
    </row>
    <row r="567">
      <c r="A567" s="136" t="inlineStr">
        <is>
          <t>34412075.PRT</t>
        </is>
      </c>
      <c r="B567" s="137">
        <f>LEFT(Tableau2[[#This Row],[n]],8)</f>
        <v/>
      </c>
      <c r="C567" s="136" t="inlineStr">
        <is>
          <t>DECOUPE LINERGY 04566 2500A 970MM</t>
        </is>
      </c>
      <c r="D567" s="136">
        <f>VLOOKUP(Tableau2[[#This Row],[Ref]],Tableau1[],4,FALSE)</f>
        <v/>
      </c>
    </row>
    <row r="568">
      <c r="A568" s="136" t="inlineStr">
        <is>
          <t>34412074.PRT</t>
        </is>
      </c>
      <c r="B568" s="137">
        <f>LEFT(Tableau2[[#This Row],[n]],8)</f>
        <v/>
      </c>
      <c r="C568" s="136" t="inlineStr">
        <is>
          <t>SMT SUPPORT BARREAU ISOLANT</t>
        </is>
      </c>
      <c r="D568" s="136">
        <f>VLOOKUP(Tableau2[[#This Row],[Ref]],Tableau1[],4,FALSE)</f>
        <v/>
      </c>
    </row>
    <row r="569">
      <c r="A569" s="136" t="inlineStr">
        <is>
          <t>34412073.PRT</t>
        </is>
      </c>
      <c r="B569" s="137">
        <f>LEFT(Tableau2[[#This Row],[n]],8)</f>
        <v/>
      </c>
      <c r="C569" s="136" t="inlineStr">
        <is>
          <t>SMT PLATINE NS800 3P</t>
        </is>
      </c>
      <c r="D569" s="136">
        <f>VLOOKUP(Tableau2[[#This Row],[Ref]],Tableau1[],4,FALSE)</f>
        <v/>
      </c>
    </row>
    <row r="570">
      <c r="A570" s="136" t="inlineStr">
        <is>
          <t>34412072.PRT</t>
        </is>
      </c>
      <c r="B570" s="137">
        <f>LEFT(Tableau2[[#This Row],[n]],8)</f>
        <v/>
      </c>
      <c r="C570" s="136" t="inlineStr">
        <is>
          <t>COP RACCORDEMENT TRANSVERSE BPL1</t>
        </is>
      </c>
      <c r="D570" s="136">
        <f>VLOOKUP(Tableau2[[#This Row],[Ref]],Tableau1[],4,FALSE)</f>
        <v/>
      </c>
    </row>
    <row r="571">
      <c r="A571" s="136" t="inlineStr">
        <is>
          <t>34412071.PRT</t>
        </is>
      </c>
      <c r="B571" s="137">
        <f>LEFT(Tableau2[[#This Row],[n]],8)</f>
        <v/>
      </c>
      <c r="C571" s="136" t="inlineStr">
        <is>
          <t>COP RACCORDEMENT BPL1</t>
        </is>
      </c>
      <c r="D571" s="136">
        <f>VLOOKUP(Tableau2[[#This Row],[Ref]],Tableau1[],4,FALSE)</f>
        <v/>
      </c>
    </row>
    <row r="572">
      <c r="A572" s="136" t="inlineStr">
        <is>
          <t>34412070.PRT</t>
        </is>
      </c>
      <c r="B572" s="137">
        <f>LEFT(Tableau2[[#This Row],[n]],8)</f>
        <v/>
      </c>
      <c r="C572" s="136" t="inlineStr">
        <is>
          <t>COP RACCORDEMENT BPL3</t>
        </is>
      </c>
      <c r="D572" s="136">
        <f>VLOOKUP(Tableau2[[#This Row],[Ref]],Tableau1[],4,FALSE)</f>
        <v/>
      </c>
    </row>
    <row r="573">
      <c r="A573" s="136" t="inlineStr">
        <is>
          <t>34412069.PRT</t>
        </is>
      </c>
      <c r="B573" s="137">
        <f>LEFT(Tableau2[[#This Row],[n]],8)</f>
        <v/>
      </c>
      <c r="C573" s="136" t="inlineStr">
        <is>
          <t>COP GVXL 3FEEDS OUTL3</t>
        </is>
      </c>
      <c r="D573" s="136">
        <f>VLOOKUP(Tableau2[[#This Row],[Ref]],Tableau1[],4,FALSE)</f>
        <v/>
      </c>
    </row>
    <row r="574">
      <c r="A574" s="136" t="inlineStr">
        <is>
          <t>34412068.PRT</t>
        </is>
      </c>
      <c r="B574" s="137">
        <f>LEFT(Tableau2[[#This Row],[n]],8)</f>
        <v/>
      </c>
      <c r="C574" s="136" t="inlineStr">
        <is>
          <t>COP GVXL 3FEEDS OUTL2</t>
        </is>
      </c>
      <c r="D574" s="136">
        <f>VLOOKUP(Tableau2[[#This Row],[Ref]],Tableau1[],4,FALSE)</f>
        <v/>
      </c>
    </row>
    <row r="575">
      <c r="A575" s="136" t="inlineStr">
        <is>
          <t>34412067.PRT</t>
        </is>
      </c>
      <c r="B575" s="137">
        <f>LEFT(Tableau2[[#This Row],[n]],8)</f>
        <v/>
      </c>
      <c r="C575" s="136" t="inlineStr">
        <is>
          <t>COP GVXL 3FEEDS OUTL1</t>
        </is>
      </c>
      <c r="D575" s="136">
        <f>VLOOKUP(Tableau2[[#This Row],[Ref]],Tableau1[],4,FALSE)</f>
        <v/>
      </c>
    </row>
    <row r="576">
      <c r="A576" s="136" t="inlineStr">
        <is>
          <t>34412066.PRT</t>
        </is>
      </c>
      <c r="B576" s="137">
        <f>LEFT(Tableau2[[#This Row],[n]],8)</f>
        <v/>
      </c>
      <c r="C576" s="136" t="inlineStr">
        <is>
          <t>COP GVXL 3FEEDS BPL3</t>
        </is>
      </c>
      <c r="D576" s="136">
        <f>VLOOKUP(Tableau2[[#This Row],[Ref]],Tableau1[],4,FALSE)</f>
        <v/>
      </c>
    </row>
    <row r="577">
      <c r="A577" s="136" t="inlineStr">
        <is>
          <t>34412065.PRT</t>
        </is>
      </c>
      <c r="B577" s="137">
        <f>LEFT(Tableau2[[#This Row],[n]],8)</f>
        <v/>
      </c>
      <c r="C577" s="136" t="inlineStr">
        <is>
          <t>COP GVXL 3FEEDS BPL2</t>
        </is>
      </c>
      <c r="D577" s="136">
        <f>VLOOKUP(Tableau2[[#This Row],[Ref]],Tableau1[],4,FALSE)</f>
        <v/>
      </c>
    </row>
    <row r="578">
      <c r="A578" s="136" t="inlineStr">
        <is>
          <t>34412064.PRT</t>
        </is>
      </c>
      <c r="B578" s="137">
        <f>LEFT(Tableau2[[#This Row],[n]],8)</f>
        <v/>
      </c>
      <c r="C578" s="136" t="inlineStr">
        <is>
          <t>COP GVXL 3FEEDS BPL1</t>
        </is>
      </c>
      <c r="D578" s="136">
        <f>VLOOKUP(Tableau2[[#This Row],[Ref]],Tableau1[],4,FALSE)</f>
        <v/>
      </c>
    </row>
    <row r="579">
      <c r="A579" s="136" t="inlineStr">
        <is>
          <t>34412063.PRT</t>
        </is>
      </c>
      <c r="B579" s="137">
        <f>LEFT(Tableau2[[#This Row],[n]],8)</f>
        <v/>
      </c>
      <c r="C579" s="136" t="inlineStr">
        <is>
          <t>COP GVXL 3FEEDS INL3</t>
        </is>
      </c>
      <c r="D579" s="136">
        <f>VLOOKUP(Tableau2[[#This Row],[Ref]],Tableau1[],4,FALSE)</f>
        <v/>
      </c>
    </row>
    <row r="580">
      <c r="A580" s="136" t="inlineStr">
        <is>
          <t>34412062.PRT</t>
        </is>
      </c>
      <c r="B580" s="137">
        <f>LEFT(Tableau2[[#This Row],[n]],8)</f>
        <v/>
      </c>
      <c r="C580" s="136" t="inlineStr">
        <is>
          <t>COP GVXL 3FEEDS INL2</t>
        </is>
      </c>
      <c r="D580" s="136">
        <f>VLOOKUP(Tableau2[[#This Row],[Ref]],Tableau1[],4,FALSE)</f>
        <v/>
      </c>
    </row>
    <row r="581">
      <c r="A581" s="136" t="inlineStr">
        <is>
          <t>34412061.PRT</t>
        </is>
      </c>
      <c r="B581" s="137">
        <f>LEFT(Tableau2[[#This Row],[n]],8)</f>
        <v/>
      </c>
      <c r="C581" s="136" t="inlineStr">
        <is>
          <t>COP GVXL 3FEEDS INL1</t>
        </is>
      </c>
      <c r="D581" s="136">
        <f>VLOOKUP(Tableau2[[#This Row],[Ref]],Tableau1[],4,FALSE)</f>
        <v/>
      </c>
    </row>
    <row r="582">
      <c r="A582" s="136" t="inlineStr">
        <is>
          <t>34412060.PRT</t>
        </is>
      </c>
      <c r="B582" s="137">
        <f>LEFT(Tableau2[[#This Row],[n]],8)</f>
        <v/>
      </c>
      <c r="C582" s="136" t="inlineStr">
        <is>
          <t>WOOD PALETTE 2400x1000 PLANCHER  CROISE</t>
        </is>
      </c>
      <c r="D582" s="136">
        <f>VLOOKUP(Tableau2[[#This Row],[Ref]],Tableau1[],4,FALSE)</f>
        <v/>
      </c>
    </row>
    <row r="583">
      <c r="A583" s="136" t="inlineStr">
        <is>
          <t>34412059.PRT</t>
        </is>
      </c>
      <c r="B583" s="137">
        <f>LEFT(Tableau2[[#This Row],[n]],8)</f>
        <v/>
      </c>
      <c r="C583" s="136" t="inlineStr">
        <is>
          <t>SMT 34412059  STS 1250A</t>
        </is>
      </c>
      <c r="D583" s="136">
        <f>VLOOKUP(Tableau2[[#This Row],[Ref]],Tableau1[],4,FALSE)</f>
        <v/>
      </c>
    </row>
    <row r="584">
      <c r="A584" s="136" t="inlineStr">
        <is>
          <t>34412058.PRT</t>
        </is>
      </c>
      <c r="B584" s="137">
        <f>LEFT(Tableau2[[#This Row],[n]],8)</f>
        <v/>
      </c>
      <c r="C584" s="136" t="inlineStr">
        <is>
          <t>SMT 34412058  STS 1250A</t>
        </is>
      </c>
      <c r="D584" s="136">
        <f>VLOOKUP(Tableau2[[#This Row],[Ref]],Tableau1[],4,FALSE)</f>
        <v/>
      </c>
    </row>
    <row r="585">
      <c r="A585" s="136" t="inlineStr">
        <is>
          <t>34412057.PRT</t>
        </is>
      </c>
      <c r="B585" s="137">
        <f>LEFT(Tableau2[[#This Row],[n]],8)</f>
        <v/>
      </c>
      <c r="C585" s="136" t="inlineStr">
        <is>
          <t>PLA RENFORT GPO 4</t>
        </is>
      </c>
      <c r="D585" s="136">
        <f>VLOOKUP(Tableau2[[#This Row],[Ref]],Tableau1[],4,FALSE)</f>
        <v/>
      </c>
    </row>
    <row r="586">
      <c r="A586" s="136" t="inlineStr">
        <is>
          <t>34412056</t>
        </is>
      </c>
      <c r="B586" s="137">
        <f>LEFT(Tableau2[[#This Row],[n]],8)</f>
        <v/>
      </c>
      <c r="C586" s="136" t="inlineStr">
        <is>
          <t>COP OUTPUT GVXL L1</t>
        </is>
      </c>
      <c r="D586" s="136">
        <f>VLOOKUP(Tableau2[[#This Row],[Ref]],Tableau1[],4,FALSE)</f>
        <v/>
      </c>
    </row>
    <row r="587">
      <c r="A587" s="136" t="inlineStr">
        <is>
          <t>34412054.PRT</t>
        </is>
      </c>
      <c r="B587" s="137">
        <f>LEFT(Tableau2[[#This Row],[n]],8)</f>
        <v/>
      </c>
      <c r="C587" s="136" t="inlineStr">
        <is>
          <t>PLA PLAQUE ISOLANTE GVXL</t>
        </is>
      </c>
      <c r="D587" s="136">
        <f>VLOOKUP(Tableau2[[#This Row],[Ref]],Tableau1[],4,FALSE)</f>
        <v/>
      </c>
    </row>
    <row r="588">
      <c r="A588" s="136" t="inlineStr">
        <is>
          <t>34412053.PRT</t>
        </is>
      </c>
      <c r="B588" s="137">
        <f>LEFT(Tableau2[[#This Row],[n]],8)</f>
        <v/>
      </c>
      <c r="C588" s="136" t="inlineStr">
        <is>
          <t>SMT 34412053  STS 1250A MOYEN MONTAGE</t>
        </is>
      </c>
      <c r="D588" s="136">
        <f>VLOOKUP(Tableau2[[#This Row],[Ref]],Tableau1[],4,FALSE)</f>
        <v/>
      </c>
    </row>
    <row r="589">
      <c r="A589" s="136" t="inlineStr">
        <is>
          <t>34412051.PRT</t>
        </is>
      </c>
      <c r="B589" s="137">
        <f>LEFT(Tableau2[[#This Row],[n]],8)</f>
        <v/>
      </c>
      <c r="C589" s="136" t="inlineStr">
        <is>
          <t>COP BRETELLE</t>
        </is>
      </c>
      <c r="D589" s="136">
        <f>VLOOKUP(Tableau2[[#This Row],[Ref]],Tableau1[],4,FALSE)</f>
        <v/>
      </c>
    </row>
    <row r="590">
      <c r="A590" s="136" t="inlineStr">
        <is>
          <t>34412050.PRT</t>
        </is>
      </c>
      <c r="B590" s="137">
        <f>LEFT(Tableau2[[#This Row],[n]],8)</f>
        <v/>
      </c>
      <c r="C590" s="136" t="inlineStr">
        <is>
          <t>COP LIAISON BRETELLE</t>
        </is>
      </c>
      <c r="D590" s="136">
        <f>VLOOKUP(Tableau2[[#This Row],[Ref]],Tableau1[],4,FALSE)</f>
        <v/>
      </c>
    </row>
    <row r="591">
      <c r="A591" s="136" t="inlineStr">
        <is>
          <t>34412048.PRT</t>
        </is>
      </c>
      <c r="B591" s="137">
        <f>LEFT(Tableau2[[#This Row],[n]],8)</f>
        <v/>
      </c>
      <c r="C591" s="136" t="inlineStr">
        <is>
          <t>SMT 34412048  STS 1250A SUPPORT ARR MODULE ELEC 2</t>
        </is>
      </c>
      <c r="D591" s="136">
        <f>VLOOKUP(Tableau2[[#This Row],[Ref]],Tableau1[],4,FALSE)</f>
        <v/>
      </c>
    </row>
    <row r="592">
      <c r="A592" s="136" t="inlineStr">
        <is>
          <t>34412047.PRT</t>
        </is>
      </c>
      <c r="B592" s="137">
        <f>LEFT(Tableau2[[#This Row],[n]],8)</f>
        <v/>
      </c>
      <c r="C592" s="136" t="inlineStr">
        <is>
          <t>SMT 34412047  STS 1250A SUPPORT ARR MODULE ELEC 1</t>
        </is>
      </c>
      <c r="D592" s="136">
        <f>VLOOKUP(Tableau2[[#This Row],[Ref]],Tableau1[],4,FALSE)</f>
        <v/>
      </c>
    </row>
    <row r="593">
      <c r="A593" s="136" t="inlineStr">
        <is>
          <t>34412044.PRT</t>
        </is>
      </c>
      <c r="B593" s="137">
        <f>LEFT(Tableau2[[#This Row],[n]],8)</f>
        <v/>
      </c>
      <c r="C593" s="136" t="inlineStr">
        <is>
          <t>SMT TOIT FEEDERS SE 4</t>
        </is>
      </c>
      <c r="D593" s="136">
        <f>VLOOKUP(Tableau2[[#This Row],[Ref]],Tableau1[],4,FALSE)</f>
        <v/>
      </c>
    </row>
    <row r="594">
      <c r="A594" s="136" t="inlineStr">
        <is>
          <t>34412043.PRT</t>
        </is>
      </c>
      <c r="B594" s="137">
        <f>LEFT(Tableau2[[#This Row],[n]],8)</f>
        <v/>
      </c>
      <c r="C594" s="136" t="inlineStr">
        <is>
          <t>SMT TOIT FEEDERS SE 3</t>
        </is>
      </c>
      <c r="D594" s="136">
        <f>VLOOKUP(Tableau2[[#This Row],[Ref]],Tableau1[],4,FALSE)</f>
        <v/>
      </c>
    </row>
    <row r="595">
      <c r="A595" s="136" t="inlineStr">
        <is>
          <t>34412042.PRT</t>
        </is>
      </c>
      <c r="B595" s="137">
        <f>LEFT(Tableau2[[#This Row],[n]],8)</f>
        <v/>
      </c>
      <c r="C595" s="136" t="inlineStr">
        <is>
          <t>SMT TOIT FEEDERS SE 2</t>
        </is>
      </c>
      <c r="D595" s="136">
        <f>VLOOKUP(Tableau2[[#This Row],[Ref]],Tableau1[],4,FALSE)</f>
        <v/>
      </c>
    </row>
    <row r="596">
      <c r="A596" s="136" t="inlineStr">
        <is>
          <t>34412041.PRT</t>
        </is>
      </c>
      <c r="B596" s="137">
        <f>LEFT(Tableau2[[#This Row],[n]],8)</f>
        <v/>
      </c>
      <c r="C596" s="136" t="inlineStr">
        <is>
          <t>SMT TOIT FEEDERS SE 1</t>
        </is>
      </c>
      <c r="D596" s="136">
        <f>VLOOKUP(Tableau2[[#This Row],[Ref]],Tableau1[],4,FALSE)</f>
        <v/>
      </c>
    </row>
    <row r="597">
      <c r="A597" s="136" t="inlineStr">
        <is>
          <t>34412040.PRT</t>
        </is>
      </c>
      <c r="B597" s="137">
        <f>LEFT(Tableau2[[#This Row],[n]],8)</f>
        <v/>
      </c>
      <c r="C597" s="136" t="inlineStr">
        <is>
          <t>SMT 34412040  STS 1250A PLATINE NEUTRE COUPE</t>
        </is>
      </c>
      <c r="D597" s="136">
        <f>VLOOKUP(Tableau2[[#This Row],[Ref]],Tableau1[],4,FALSE)</f>
        <v/>
      </c>
    </row>
    <row r="598">
      <c r="A598" s="136" t="inlineStr">
        <is>
          <t>34412037.PRT</t>
        </is>
      </c>
      <c r="B598" s="137">
        <f>LEFT(Tableau2[[#This Row],[n]],8)</f>
        <v/>
      </c>
      <c r="C598" s="136" t="inlineStr">
        <is>
          <t>COP 34412037  STS 1250A CONTACTEUR NEUTRE COUPE 1</t>
        </is>
      </c>
      <c r="D598" s="136">
        <f>VLOOKUP(Tableau2[[#This Row],[Ref]],Tableau1[],4,FALSE)</f>
        <v/>
      </c>
    </row>
    <row r="599">
      <c r="A599" s="136" t="inlineStr">
        <is>
          <t>34412036.PRT</t>
        </is>
      </c>
      <c r="B599" s="137">
        <f>LEFT(Tableau2[[#This Row],[n]],8)</f>
        <v/>
      </c>
      <c r="C599" s="136" t="inlineStr">
        <is>
          <t>COP 34412036  STS 1250A TYRISTOR NEUTRE COUPE 1</t>
        </is>
      </c>
      <c r="D599" s="136">
        <f>VLOOKUP(Tableau2[[#This Row],[Ref]],Tableau1[],4,FALSE)</f>
        <v/>
      </c>
    </row>
    <row r="600">
      <c r="A600" s="136" t="inlineStr">
        <is>
          <t>34412035.PRT</t>
        </is>
      </c>
      <c r="B600" s="137">
        <f>LEFT(Tableau2[[#This Row],[n]],8)</f>
        <v/>
      </c>
      <c r="C600" s="136" t="inlineStr">
        <is>
          <t>COP 34412035  STS 1250A CANON NC</t>
        </is>
      </c>
      <c r="D600" s="136">
        <f>VLOOKUP(Tableau2[[#This Row],[Ref]],Tableau1[],4,FALSE)</f>
        <v/>
      </c>
    </row>
    <row r="601">
      <c r="A601" s="136" t="inlineStr">
        <is>
          <t>34412030.PRT</t>
        </is>
      </c>
      <c r="B601" s="137">
        <f>LEFT(Tableau2[[#This Row],[n]],8)</f>
        <v/>
      </c>
      <c r="C601" s="136" t="inlineStr">
        <is>
          <t>SFN H2100xL1000xP600 RAL9003 FAF0005229</t>
        </is>
      </c>
      <c r="D601" s="136">
        <f>VLOOKUP(Tableau2[[#This Row],[Ref]],Tableau1[],4,FALSE)</f>
        <v/>
      </c>
    </row>
    <row r="602">
      <c r="A602" s="136" t="inlineStr">
        <is>
          <t>34412029.PRT</t>
        </is>
      </c>
      <c r="B602" s="137">
        <f>LEFT(Tableau2[[#This Row],[n]],8)</f>
        <v/>
      </c>
      <c r="C602" s="136" t="inlineStr">
        <is>
          <t>COP DC GVXL2</t>
        </is>
      </c>
      <c r="D602" s="136">
        <f>VLOOKUP(Tableau2[[#This Row],[Ref]],Tableau1[],4,FALSE)</f>
        <v/>
      </c>
    </row>
    <row r="603">
      <c r="A603" s="136" t="inlineStr">
        <is>
          <t>34412028.PRT</t>
        </is>
      </c>
      <c r="B603" s="137">
        <f>LEFT(Tableau2[[#This Row],[n]],8)</f>
        <v/>
      </c>
      <c r="C603" s="136" t="inlineStr">
        <is>
          <t>COP 34412028 GVL UPS 500kVA BATTERY TERMINAL 3</t>
        </is>
      </c>
      <c r="D603" s="136">
        <f>VLOOKUP(Tableau2[[#This Row],[Ref]],Tableau1[],4,FALSE)</f>
        <v/>
      </c>
    </row>
    <row r="604">
      <c r="A604" s="136" t="inlineStr">
        <is>
          <t>34412027.PRT</t>
        </is>
      </c>
      <c r="B604" s="137">
        <f>LEFT(Tableau2[[#This Row],[n]],8)</f>
        <v/>
      </c>
      <c r="C604" s="136" t="inlineStr">
        <is>
          <t>COP 34412027 GVL UPS 500kVA BATTERY TERMINAL 2</t>
        </is>
      </c>
      <c r="D604" s="136">
        <f>VLOOKUP(Tableau2[[#This Row],[Ref]],Tableau1[],4,FALSE)</f>
        <v/>
      </c>
    </row>
    <row r="605">
      <c r="A605" s="136" t="inlineStr">
        <is>
          <t>34412026</t>
        </is>
      </c>
      <c r="B605" s="137">
        <f>LEFT(Tableau2[[#This Row],[n]],8)</f>
        <v/>
      </c>
      <c r="C605" s="136" t="inlineStr">
        <is>
          <t>PLA RENFORT GPO 3</t>
        </is>
      </c>
      <c r="D605" s="136">
        <f>VLOOKUP(Tableau2[[#This Row],[Ref]],Tableau1[],4,FALSE)</f>
        <v/>
      </c>
    </row>
    <row r="606">
      <c r="A606" s="136" t="inlineStr">
        <is>
          <t>34412025</t>
        </is>
      </c>
      <c r="B606" s="137">
        <f>LEFT(Tableau2[[#This Row],[n]],8)</f>
        <v/>
      </c>
      <c r="C606" s="136" t="inlineStr">
        <is>
          <t>PLA RENFORT GPO 2</t>
        </is>
      </c>
      <c r="D606" s="136">
        <f>VLOOKUP(Tableau2[[#This Row],[Ref]],Tableau1[],4,FALSE)</f>
        <v/>
      </c>
    </row>
    <row r="607">
      <c r="A607" s="136" t="inlineStr">
        <is>
          <t>34412024.PRT</t>
        </is>
      </c>
      <c r="B607" s="137">
        <f>LEFT(Tableau2[[#This Row],[n]],8)</f>
        <v/>
      </c>
      <c r="C607" s="136" t="inlineStr">
        <is>
          <t>PLA RENFORT GPO 1</t>
        </is>
      </c>
      <c r="D607" s="136">
        <f>VLOOKUP(Tableau2[[#This Row],[Ref]],Tableau1[],4,FALSE)</f>
        <v/>
      </c>
    </row>
    <row r="608">
      <c r="A608" s="136" t="inlineStr">
        <is>
          <t>34412023.PRT</t>
        </is>
      </c>
      <c r="B608" s="137">
        <f>LEFT(Tableau2[[#This Row],[n]],8)</f>
        <v/>
      </c>
      <c r="C608" s="136" t="inlineStr">
        <is>
          <t>SMT EQUERRE GPO</t>
        </is>
      </c>
      <c r="D608" s="136">
        <f>VLOOKUP(Tableau2[[#This Row],[Ref]],Tableau1[],4,FALSE)</f>
        <v/>
      </c>
    </row>
    <row r="609">
      <c r="A609" s="136" t="inlineStr">
        <is>
          <t>34412022.PRT</t>
        </is>
      </c>
      <c r="B609" s="137">
        <f>LEFT(Tableau2[[#This Row],[n]],8)</f>
        <v/>
      </c>
      <c r="C609" s="136" t="inlineStr">
        <is>
          <t>COP OUTPUT N</t>
        </is>
      </c>
      <c r="D609" s="136">
        <f>VLOOKUP(Tableau2[[#This Row],[Ref]],Tableau1[],4,FALSE)</f>
        <v/>
      </c>
    </row>
    <row r="610">
      <c r="A610" s="136" t="inlineStr">
        <is>
          <t>34412021.PRT</t>
        </is>
      </c>
      <c r="B610" s="137">
        <f>LEFT(Tableau2[[#This Row],[n]],8)</f>
        <v/>
      </c>
      <c r="C610" s="136" t="inlineStr">
        <is>
          <t>COP INPUT N</t>
        </is>
      </c>
      <c r="D610" s="136">
        <f>VLOOKUP(Tableau2[[#This Row],[Ref]],Tableau1[],4,FALSE)</f>
        <v/>
      </c>
    </row>
    <row r="611">
      <c r="A611" s="136" t="inlineStr">
        <is>
          <t>34412020.PRT</t>
        </is>
      </c>
      <c r="B611" s="137">
        <f>LEFT(Tableau2[[#This Row],[n]],8)</f>
        <v/>
      </c>
      <c r="C611" s="136" t="inlineStr">
        <is>
          <t>COP INPUT L3 GVXL</t>
        </is>
      </c>
      <c r="D611" s="136">
        <f>VLOOKUP(Tableau2[[#This Row],[Ref]],Tableau1[],4,FALSE)</f>
        <v/>
      </c>
    </row>
    <row r="612">
      <c r="A612" s="136" t="inlineStr">
        <is>
          <t>34412019.PRT</t>
        </is>
      </c>
      <c r="B612" s="137">
        <f>LEFT(Tableau2[[#This Row],[n]],8)</f>
        <v/>
      </c>
      <c r="C612" s="136" t="inlineStr">
        <is>
          <t>COP INPUT L2 GVXL</t>
        </is>
      </c>
      <c r="D612" s="136">
        <f>VLOOKUP(Tableau2[[#This Row],[Ref]],Tableau1[],4,FALSE)</f>
        <v/>
      </c>
    </row>
    <row r="613">
      <c r="A613" s="136" t="inlineStr">
        <is>
          <t>34412018.PRT</t>
        </is>
      </c>
      <c r="B613" s="137">
        <f>LEFT(Tableau2[[#This Row],[n]],8)</f>
        <v/>
      </c>
      <c r="C613" s="136" t="inlineStr">
        <is>
          <t>COP INPUT L1 GVXL</t>
        </is>
      </c>
      <c r="D613" s="136">
        <f>VLOOKUP(Tableau2[[#This Row],[Ref]],Tableau1[],4,FALSE)</f>
        <v/>
      </c>
    </row>
    <row r="614">
      <c r="A614" s="136" t="inlineStr">
        <is>
          <t>34412017.PRT</t>
        </is>
      </c>
      <c r="B614" s="137">
        <f>LEFT(Tableau2[[#This Row],[n]],8)</f>
        <v/>
      </c>
      <c r="C614" s="136" t="inlineStr">
        <is>
          <t>COP OUTPUT L3 GVXL</t>
        </is>
      </c>
      <c r="D614" s="136">
        <f>VLOOKUP(Tableau2[[#This Row],[Ref]],Tableau1[],4,FALSE)</f>
        <v/>
      </c>
    </row>
    <row r="615">
      <c r="A615" s="136" t="inlineStr">
        <is>
          <t>34412016.PRT</t>
        </is>
      </c>
      <c r="B615" s="137">
        <f>LEFT(Tableau2[[#This Row],[n]],8)</f>
        <v/>
      </c>
      <c r="C615" s="136" t="inlineStr">
        <is>
          <t>COP OUTPUT L2 GVXL</t>
        </is>
      </c>
      <c r="D615" s="136">
        <f>VLOOKUP(Tableau2[[#This Row],[Ref]],Tableau1[],4,FALSE)</f>
        <v/>
      </c>
    </row>
    <row r="616">
      <c r="A616" s="136" t="inlineStr">
        <is>
          <t>34412015.PRT</t>
        </is>
      </c>
      <c r="B616" s="137">
        <f>LEFT(Tableau2[[#This Row],[n]],8)</f>
        <v/>
      </c>
      <c r="C616" s="136" t="inlineStr">
        <is>
          <t>COP OUTPUT L1 GVXL</t>
        </is>
      </c>
      <c r="D616" s="136">
        <f>VLOOKUP(Tableau2[[#This Row],[Ref]],Tableau1[],4,FALSE)</f>
        <v/>
      </c>
    </row>
    <row r="617">
      <c r="A617" s="136" t="inlineStr">
        <is>
          <t>34412014.PRT</t>
        </is>
      </c>
      <c r="B617" s="137">
        <f>LEFT(Tableau2[[#This Row],[n]],8)</f>
        <v/>
      </c>
      <c r="C617" s="136" t="inlineStr">
        <is>
          <t>COP 34412014 GVL UPS 500kVA BATTERY TERMINAL 1</t>
        </is>
      </c>
      <c r="D617" s="136">
        <f>VLOOKUP(Tableau2[[#This Row],[Ref]],Tableau1[],4,FALSE)</f>
        <v/>
      </c>
    </row>
    <row r="618">
      <c r="A618" s="136" t="inlineStr">
        <is>
          <t>34412013.PRT</t>
        </is>
      </c>
      <c r="B618" s="137">
        <f>LEFT(Tableau2[[#This Row],[n]],8)</f>
        <v/>
      </c>
      <c r="C618" s="136" t="inlineStr">
        <is>
          <t>RACCORDEMENT OUTPUT MODULAIRE</t>
        </is>
      </c>
      <c r="D618" s="136">
        <f>VLOOKUP(Tableau2[[#This Row],[Ref]],Tableau1[],4,FALSE)</f>
        <v/>
      </c>
    </row>
    <row r="619">
      <c r="A619" s="136" t="inlineStr">
        <is>
          <t>34412009</t>
        </is>
      </c>
      <c r="B619" s="137">
        <f>LEFT(Tableau2[[#This Row],[n]],8)</f>
        <v/>
      </c>
      <c r="C619" s="136" t="inlineStr">
        <is>
          <t>COP PLAGE CUIVRE</t>
        </is>
      </c>
      <c r="D619" s="136">
        <f>VLOOKUP(Tableau2[[#This Row],[Ref]],Tableau1[],4,FALSE)</f>
        <v/>
      </c>
    </row>
    <row r="620">
      <c r="A620" s="136" t="inlineStr">
        <is>
          <t>34412008.PRT</t>
        </is>
      </c>
      <c r="B620" s="137">
        <f>LEFT(Tableau2[[#This Row],[n]],8)</f>
        <v/>
      </c>
      <c r="C620" s="136" t="inlineStr">
        <is>
          <t>COP PLAGE CUIVRE</t>
        </is>
      </c>
      <c r="D620" s="136">
        <f>VLOOKUP(Tableau2[[#This Row],[Ref]],Tableau1[],4,FALSE)</f>
        <v/>
      </c>
    </row>
    <row r="621">
      <c r="A621" s="136" t="inlineStr">
        <is>
          <t>34412007.PRT</t>
        </is>
      </c>
      <c r="B621" s="137">
        <f>LEFT(Tableau2[[#This Row],[n]],8)</f>
        <v/>
      </c>
      <c r="C621" s="136" t="inlineStr">
        <is>
          <t>COP PLAGE CONNEXION FUSE 4</t>
        </is>
      </c>
      <c r="D621" s="136">
        <f>VLOOKUP(Tableau2[[#This Row],[Ref]],Tableau1[],4,FALSE)</f>
        <v/>
      </c>
    </row>
    <row r="622">
      <c r="A622" s="136" t="inlineStr">
        <is>
          <t>34412006.PRT</t>
        </is>
      </c>
      <c r="B622" s="137">
        <f>LEFT(Tableau2[[#This Row],[n]],8)</f>
        <v/>
      </c>
      <c r="C622" s="136" t="inlineStr">
        <is>
          <t>COP PLAGE CONNEXION FUSE 3</t>
        </is>
      </c>
      <c r="D622" s="136">
        <f>VLOOKUP(Tableau2[[#This Row],[Ref]],Tableau1[],4,FALSE)</f>
        <v/>
      </c>
    </row>
    <row r="623">
      <c r="A623" s="136" t="inlineStr">
        <is>
          <t>34412005.PRT</t>
        </is>
      </c>
      <c r="B623" s="137">
        <f>LEFT(Tableau2[[#This Row],[n]],8)</f>
        <v/>
      </c>
      <c r="C623" s="136" t="inlineStr">
        <is>
          <t>COP PLAGE CONNEXION FUSE 2</t>
        </is>
      </c>
      <c r="D623" s="136">
        <f>VLOOKUP(Tableau2[[#This Row],[Ref]],Tableau1[],4,FALSE)</f>
        <v/>
      </c>
    </row>
    <row r="624">
      <c r="A624" s="136" t="inlineStr">
        <is>
          <t>34412004.PRT</t>
        </is>
      </c>
      <c r="B624" s="137">
        <f>LEFT(Tableau2[[#This Row],[n]],8)</f>
        <v/>
      </c>
      <c r="C624" s="136" t="inlineStr">
        <is>
          <t>COP PLAGE CONNEXION FUSE</t>
        </is>
      </c>
      <c r="D624" s="136">
        <f>VLOOKUP(Tableau2[[#This Row],[Ref]],Tableau1[],4,FALSE)</f>
        <v/>
      </c>
    </row>
    <row r="625">
      <c r="A625" s="136" t="inlineStr">
        <is>
          <t>34412003.PRT</t>
        </is>
      </c>
      <c r="B625" s="137">
        <f>LEFT(Tableau2[[#This Row],[n]],8)</f>
        <v/>
      </c>
      <c r="C625" s="136" t="inlineStr">
        <is>
          <t>COP PLAGE NW40DC</t>
        </is>
      </c>
      <c r="D625" s="136">
        <f>VLOOKUP(Tableau2[[#This Row],[Ref]],Tableau1[],4,FALSE)</f>
        <v/>
      </c>
    </row>
    <row r="626">
      <c r="A626" s="136" t="inlineStr">
        <is>
          <t>34412002.PRT</t>
        </is>
      </c>
      <c r="B626" s="137">
        <f>LEFT(Tableau2[[#This Row],[n]],8)</f>
        <v/>
      </c>
      <c r="C626" s="136" t="inlineStr">
        <is>
          <t>COP PLAGE NW40DC</t>
        </is>
      </c>
      <c r="D626" s="136">
        <f>VLOOKUP(Tableau2[[#This Row],[Ref]],Tableau1[],4,FALSE)</f>
        <v/>
      </c>
    </row>
    <row r="627">
      <c r="A627" s="136" t="inlineStr">
        <is>
          <t>34412001.PRT</t>
        </is>
      </c>
      <c r="B627" s="137">
        <f>LEFT(Tableau2[[#This Row],[n]],8)</f>
        <v/>
      </c>
      <c r="C627" s="136" t="inlineStr">
        <is>
          <t>COP RACCORDEMENT TGAB INPUT NEUTRAL</t>
        </is>
      </c>
      <c r="D627" s="136">
        <f>VLOOKUP(Tableau2[[#This Row],[Ref]],Tableau1[],4,FALSE)</f>
        <v/>
      </c>
    </row>
    <row r="628">
      <c r="A628" s="136" t="inlineStr">
        <is>
          <t>34412000.PRT</t>
        </is>
      </c>
      <c r="B628" s="137">
        <f>LEFT(Tableau2[[#This Row],[n]],8)</f>
        <v/>
      </c>
      <c r="C628" s="136" t="inlineStr">
        <is>
          <t>SMT PLASTRON SIB 2 NS VERTICAL GAUCHE</t>
        </is>
      </c>
      <c r="D628" s="136">
        <f>VLOOKUP(Tableau2[[#This Row],[Ref]],Tableau1[],4,FALSE)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Feuil2">
    <outlinePr summaryBelow="1" summaryRight="1"/>
    <pageSetUpPr/>
  </sheetPr>
  <dimension ref="A2:R1592"/>
  <sheetViews>
    <sheetView showZeros="0" zoomScale="83" zoomScaleNormal="83" workbookViewId="0">
      <pane ySplit="2" topLeftCell="A1531" activePane="bottomLeft" state="frozenSplit"/>
      <selection pane="bottomLeft" activeCell="K1576" sqref="K1576"/>
    </sheetView>
  </sheetViews>
  <sheetFormatPr baseColWidth="8" defaultColWidth="60.5703125" defaultRowHeight="15"/>
  <cols>
    <col width="21.5703125" customWidth="1" style="8" min="1" max="1"/>
    <col hidden="1" outlineLevel="1" width="12.42578125" customWidth="1" style="2" min="2" max="2"/>
    <col hidden="1" outlineLevel="1" width="9" customWidth="1" style="142" min="3" max="3"/>
    <col hidden="1" outlineLevel="1" collapsed="1" width="48.5703125" customWidth="1" style="142" min="4" max="4"/>
    <col hidden="1" outlineLevel="1" width="38.5703125" customWidth="1" style="142" min="5" max="5"/>
    <col hidden="1" outlineLevel="1" width="13" customWidth="1" style="142" min="6" max="6"/>
    <col hidden="1" outlineLevel="1" width="15.5703125" customWidth="1" style="142" min="7" max="7"/>
    <col collapsed="1" width="16.5703125" customWidth="1" style="142" min="8" max="8"/>
    <col width="11.5703125" customWidth="1" style="8" min="9" max="9"/>
    <col width="24.5703125" bestFit="1" customWidth="1" style="142" min="10" max="10"/>
    <col width="29.5703125" bestFit="1" customWidth="1" style="142" min="11" max="11"/>
    <col width="14.42578125" bestFit="1" customWidth="1" style="142" min="12" max="12"/>
    <col width="8.42578125" customWidth="1" style="21" min="13" max="13"/>
    <col width="10.5703125" bestFit="1" customWidth="1" style="35" min="14" max="14"/>
    <col width="11.5703125" customWidth="1" style="7" min="15" max="15"/>
    <col width="26.5703125" bestFit="1" customWidth="1" style="142" min="16" max="16"/>
    <col width="25.5703125" customWidth="1" style="142" min="17" max="17"/>
  </cols>
  <sheetData>
    <row r="2" ht="30" customHeight="1" s="142">
      <c r="A2" s="8" t="inlineStr">
        <is>
          <t>REFERENCE</t>
        </is>
      </c>
      <c r="B2" s="3" t="inlineStr">
        <is>
          <t>DATE DE
CREATION</t>
        </is>
      </c>
      <c r="C2" s="129" t="inlineStr">
        <is>
          <t>TYPE</t>
        </is>
      </c>
      <c r="D2" s="129" t="inlineStr">
        <is>
          <t>DESIGNATION</t>
        </is>
      </c>
      <c r="E2" s="129" t="inlineStr">
        <is>
          <t>PRODUIT OU AFFAIRE</t>
        </is>
      </c>
      <c r="F2" s="129" t="inlineStr">
        <is>
          <t xml:space="preserve">CREE PAR </t>
        </is>
      </c>
      <c r="G2" s="129" t="inlineStr">
        <is>
          <t>TYPE DE PIECE</t>
        </is>
      </c>
      <c r="H2" t="inlineStr">
        <is>
          <t>FOURNISSEUR</t>
        </is>
      </c>
      <c r="I2" s="73" t="inlineStr">
        <is>
          <t>consultation géré par</t>
        </is>
      </c>
      <c r="J2" t="inlineStr">
        <is>
          <t>Date envoi Consultation</t>
        </is>
      </c>
      <c r="K2" t="inlineStr">
        <is>
          <t>NON - N ou Date réponse FRS</t>
        </is>
      </c>
      <c r="L2" t="inlineStr">
        <is>
          <t>A relancer le</t>
        </is>
      </c>
      <c r="M2" s="21" t="inlineStr">
        <is>
          <t>Révision</t>
        </is>
      </c>
      <c r="N2" s="39" t="inlineStr">
        <is>
          <t>Quantité
par Tarif</t>
        </is>
      </c>
      <c r="O2" s="7" t="inlineStr">
        <is>
          <t>TARIF</t>
        </is>
      </c>
      <c r="P2" s="92" t="inlineStr">
        <is>
          <t>DELAI
de Livraison</t>
        </is>
      </c>
      <c r="Q2" t="inlineStr">
        <is>
          <t>DEVIS VALABLE JUSQU'AU</t>
        </is>
      </c>
      <c r="R2" t="inlineStr">
        <is>
          <t>COMMENTAIRES</t>
        </is>
      </c>
    </row>
    <row r="3">
      <c r="A3" s="8" t="n">
        <v>34401196</v>
      </c>
      <c r="B3" s="9">
        <f>INDEX(Tableau1[], MATCH(Tableau3[[#This Row],[REFERENCE]], Tableau1[NUMERO], 0), 2)</f>
        <v/>
      </c>
      <c r="C3" s="129">
        <f>INDEX(Tableau1[], MATCH(Tableau3[[#This Row],[REFERENCE]], Tableau1[NUMERO], 0), 3)</f>
        <v/>
      </c>
      <c r="D3" s="129">
        <f>INDEX(Tableau1[], MATCH(Tableau3[[#This Row],[REFERENCE]], Tableau1[NUMERO], 0),4)</f>
        <v/>
      </c>
      <c r="E3" s="129">
        <f>INDEX(Tableau1[], MATCH(Tableau3[[#This Row],[REFERENCE]], Tableau1[NUMERO], 0), 5)</f>
        <v/>
      </c>
      <c r="F3" s="129">
        <f>INDEX(Tableau1[], MATCH(Tableau3[[#This Row],[REFERENCE]], Tableau1[NUMERO], 0), 6)</f>
        <v/>
      </c>
      <c r="G3" s="129">
        <f>INDEX(Tableau1[], MATCH(Tableau3[[#This Row],[REFERENCE]], Tableau1[NUMERO], 0), 7)</f>
        <v/>
      </c>
      <c r="H3" t="inlineStr">
        <is>
          <t>LASER TECHNIQUE</t>
        </is>
      </c>
      <c r="J3" s="2" t="n">
        <v>43584</v>
      </c>
      <c r="K3" s="2" t="n">
        <v>43585</v>
      </c>
      <c r="L3" s="2" t="n"/>
      <c r="O3" s="7" t="n">
        <v>34</v>
      </c>
      <c r="P3" s="8" t="inlineStr">
        <is>
          <t>5 JOURS</t>
        </is>
      </c>
      <c r="Q3" s="2" t="n">
        <v>43676</v>
      </c>
    </row>
    <row r="4">
      <c r="A4" s="8" t="n">
        <v>34401390</v>
      </c>
      <c r="B4" s="9">
        <f>INDEX(Tableau1[], MATCH(Tableau3[[#This Row],[REFERENCE]], Tableau1[NUMERO], 0), 2)</f>
        <v/>
      </c>
      <c r="C4" s="129">
        <f>INDEX(Tableau1[], MATCH(Tableau3[[#This Row],[REFERENCE]], Tableau1[NUMERO], 0), 3)</f>
        <v/>
      </c>
      <c r="D4" s="129">
        <f>INDEX(Tableau1[], MATCH(Tableau3[[#This Row],[REFERENCE]], Tableau1[NUMERO], 0),4)</f>
        <v/>
      </c>
      <c r="E4" s="129">
        <f>INDEX(Tableau1[], MATCH(Tableau3[[#This Row],[REFERENCE]], Tableau1[NUMERO], 0), 5)</f>
        <v/>
      </c>
      <c r="F4" s="129">
        <f>INDEX(Tableau1[], MATCH(Tableau3[[#This Row],[REFERENCE]], Tableau1[NUMERO], 0), 6)</f>
        <v/>
      </c>
      <c r="G4" s="129">
        <f>INDEX(Tableau1[], MATCH(Tableau3[[#This Row],[REFERENCE]], Tableau1[NUMERO], 0), 7)</f>
        <v/>
      </c>
      <c r="H4" t="inlineStr">
        <is>
          <t>FTR</t>
        </is>
      </c>
      <c r="J4" s="2" t="n">
        <v>42128</v>
      </c>
      <c r="K4" s="2" t="inlineStr">
        <is>
          <t>O</t>
        </is>
      </c>
      <c r="L4" s="2" t="n"/>
      <c r="P4" s="8" t="n"/>
      <c r="Q4" s="2" t="n"/>
      <c r="R4" t="inlineStr">
        <is>
          <t>MARCOUSSIS DATA 4 SAS</t>
        </is>
      </c>
    </row>
    <row r="5">
      <c r="A5" s="8" t="n">
        <v>34401750</v>
      </c>
      <c r="B5" s="9">
        <f>INDEX(Tableau1[], MATCH(Tableau3[[#This Row],[REFERENCE]], Tableau1[NUMERO], 0), 2)</f>
        <v/>
      </c>
      <c r="C5" s="129">
        <f>INDEX(Tableau1[], MATCH(Tableau3[[#This Row],[REFERENCE]], Tableau1[NUMERO], 0), 3)</f>
        <v/>
      </c>
      <c r="D5" s="129">
        <f>INDEX(Tableau1[], MATCH(Tableau3[[#This Row],[REFERENCE]], Tableau1[NUMERO], 0),4)</f>
        <v/>
      </c>
      <c r="E5" s="129">
        <f>INDEX(Tableau1[], MATCH(Tableau3[[#This Row],[REFERENCE]], Tableau1[NUMERO], 0), 5)</f>
        <v/>
      </c>
      <c r="F5" s="129">
        <f>INDEX(Tableau1[], MATCH(Tableau3[[#This Row],[REFERENCE]], Tableau1[NUMERO], 0), 6)</f>
        <v/>
      </c>
      <c r="G5" s="129">
        <f>INDEX(Tableau1[], MATCH(Tableau3[[#This Row],[REFERENCE]], Tableau1[NUMERO], 0), 7)</f>
        <v/>
      </c>
      <c r="H5" t="inlineStr">
        <is>
          <t>LASER TECHNIQUE</t>
        </is>
      </c>
      <c r="J5" s="2" t="n">
        <v>43584</v>
      </c>
      <c r="K5" s="2" t="n">
        <v>43585</v>
      </c>
      <c r="L5" s="2" t="n"/>
      <c r="O5" s="7" t="n">
        <v>22</v>
      </c>
      <c r="P5" s="8" t="inlineStr">
        <is>
          <t>5 JOURS</t>
        </is>
      </c>
      <c r="Q5" s="2" t="n">
        <v>43676</v>
      </c>
    </row>
    <row r="6">
      <c r="A6" s="8" t="n">
        <v>34401751</v>
      </c>
      <c r="B6" s="9">
        <f>INDEX(Tableau1[], MATCH(Tableau3[[#This Row],[REFERENCE]], Tableau1[NUMERO], 0), 2)</f>
        <v/>
      </c>
      <c r="C6" s="129">
        <f>INDEX(Tableau1[], MATCH(Tableau3[[#This Row],[REFERENCE]], Tableau1[NUMERO], 0), 3)</f>
        <v/>
      </c>
      <c r="D6" s="129">
        <f>INDEX(Tableau1[], MATCH(Tableau3[[#This Row],[REFERENCE]], Tableau1[NUMERO], 0),4)</f>
        <v/>
      </c>
      <c r="E6" s="129">
        <f>INDEX(Tableau1[], MATCH(Tableau3[[#This Row],[REFERENCE]], Tableau1[NUMERO], 0), 5)</f>
        <v/>
      </c>
      <c r="F6" s="129">
        <f>INDEX(Tableau1[], MATCH(Tableau3[[#This Row],[REFERENCE]], Tableau1[NUMERO], 0), 6)</f>
        <v/>
      </c>
      <c r="G6" s="129">
        <f>INDEX(Tableau1[], MATCH(Tableau3[[#This Row],[REFERENCE]], Tableau1[NUMERO], 0), 7)</f>
        <v/>
      </c>
      <c r="H6" t="inlineStr">
        <is>
          <t>LASER TECHNIQUE</t>
        </is>
      </c>
      <c r="J6" s="2" t="n">
        <v>43584</v>
      </c>
      <c r="K6" s="2" t="n">
        <v>43585</v>
      </c>
      <c r="L6" s="2" t="n"/>
      <c r="O6" s="7" t="n">
        <v>22</v>
      </c>
      <c r="P6" s="8" t="inlineStr">
        <is>
          <t>5 JOURS</t>
        </is>
      </c>
      <c r="Q6" s="2" t="n">
        <v>43676</v>
      </c>
    </row>
    <row r="7">
      <c r="A7" s="8" t="n">
        <v>34401752</v>
      </c>
      <c r="B7" s="9">
        <f>INDEX(Tableau1[], MATCH(Tableau3[[#This Row],[REFERENCE]], Tableau1[NUMERO], 0), 2)</f>
        <v/>
      </c>
      <c r="C7" s="129">
        <f>INDEX(Tableau1[], MATCH(Tableau3[[#This Row],[REFERENCE]], Tableau1[NUMERO], 0), 3)</f>
        <v/>
      </c>
      <c r="D7" s="129">
        <f>INDEX(Tableau1[], MATCH(Tableau3[[#This Row],[REFERENCE]], Tableau1[NUMERO], 0),4)</f>
        <v/>
      </c>
      <c r="E7" s="129">
        <f>INDEX(Tableau1[], MATCH(Tableau3[[#This Row],[REFERENCE]], Tableau1[NUMERO], 0), 5)</f>
        <v/>
      </c>
      <c r="F7" s="129">
        <f>INDEX(Tableau1[], MATCH(Tableau3[[#This Row],[REFERENCE]], Tableau1[NUMERO], 0), 6)</f>
        <v/>
      </c>
      <c r="G7" s="129">
        <f>INDEX(Tableau1[], MATCH(Tableau3[[#This Row],[REFERENCE]], Tableau1[NUMERO], 0), 7)</f>
        <v/>
      </c>
      <c r="H7" t="inlineStr">
        <is>
          <t>LASER TECHNIQUE</t>
        </is>
      </c>
      <c r="J7" s="2" t="n">
        <v>43584</v>
      </c>
      <c r="K7" s="2" t="n">
        <v>43585</v>
      </c>
      <c r="L7" s="2" t="n"/>
      <c r="O7" s="7" t="n">
        <v>45</v>
      </c>
      <c r="P7" s="8" t="inlineStr">
        <is>
          <t>5 JOURS</t>
        </is>
      </c>
      <c r="Q7" s="2" t="n">
        <v>43676</v>
      </c>
    </row>
    <row r="8">
      <c r="A8" s="8" t="n">
        <v>34401753</v>
      </c>
      <c r="B8" s="9">
        <f>INDEX(Tableau1[], MATCH(Tableau3[[#This Row],[REFERENCE]], Tableau1[NUMERO], 0), 2)</f>
        <v/>
      </c>
      <c r="C8" s="129">
        <f>INDEX(Tableau1[], MATCH(Tableau3[[#This Row],[REFERENCE]], Tableau1[NUMERO], 0), 3)</f>
        <v/>
      </c>
      <c r="D8" s="129">
        <f>INDEX(Tableau1[], MATCH(Tableau3[[#This Row],[REFERENCE]], Tableau1[NUMERO], 0),4)</f>
        <v/>
      </c>
      <c r="E8" s="129">
        <f>INDEX(Tableau1[], MATCH(Tableau3[[#This Row],[REFERENCE]], Tableau1[NUMERO], 0), 5)</f>
        <v/>
      </c>
      <c r="F8" s="129">
        <f>INDEX(Tableau1[], MATCH(Tableau3[[#This Row],[REFERENCE]], Tableau1[NUMERO], 0), 6)</f>
        <v/>
      </c>
      <c r="G8" s="129">
        <f>INDEX(Tableau1[], MATCH(Tableau3[[#This Row],[REFERENCE]], Tableau1[NUMERO], 0), 7)</f>
        <v/>
      </c>
      <c r="H8" t="inlineStr">
        <is>
          <t>LASER TECHNIQUE</t>
        </is>
      </c>
      <c r="J8" s="2" t="n">
        <v>43585</v>
      </c>
      <c r="K8" s="2" t="n">
        <v>43585</v>
      </c>
      <c r="L8" s="2" t="n"/>
      <c r="O8" s="7" t="n">
        <v>25</v>
      </c>
      <c r="P8" s="8" t="inlineStr">
        <is>
          <t>5 JOURS</t>
        </is>
      </c>
      <c r="Q8" s="2" t="n">
        <v>43676</v>
      </c>
    </row>
    <row r="9">
      <c r="A9" s="8" t="n">
        <v>34402112</v>
      </c>
      <c r="B9" s="9">
        <f>INDEX(Tableau1[], MATCH(Tableau3[[#This Row],[REFERENCE]], Tableau1[NUMERO], 0), 2)</f>
        <v/>
      </c>
      <c r="C9" s="129">
        <f>INDEX(Tableau1[], MATCH(Tableau3[[#This Row],[REFERENCE]], Tableau1[NUMERO], 0), 3)</f>
        <v/>
      </c>
      <c r="D9" s="129">
        <f>INDEX(Tableau1[], MATCH(Tableau3[[#This Row],[REFERENCE]], Tableau1[NUMERO], 0),4)</f>
        <v/>
      </c>
      <c r="E9" s="129">
        <f>INDEX(Tableau1[], MATCH(Tableau3[[#This Row],[REFERENCE]], Tableau1[NUMERO], 0), 5)</f>
        <v/>
      </c>
      <c r="F9" s="129">
        <f>INDEX(Tableau1[], MATCH(Tableau3[[#This Row],[REFERENCE]], Tableau1[NUMERO], 0), 6)</f>
        <v/>
      </c>
      <c r="G9" s="129">
        <f>INDEX(Tableau1[], MATCH(Tableau3[[#This Row],[REFERENCE]], Tableau1[NUMERO], 0), 7)</f>
        <v/>
      </c>
      <c r="H9" t="inlineStr">
        <is>
          <t>COMATEL</t>
        </is>
      </c>
      <c r="J9" s="2" t="n">
        <v>42102</v>
      </c>
      <c r="K9" s="2" t="inlineStr">
        <is>
          <t>O</t>
        </is>
      </c>
      <c r="L9" s="2" t="n"/>
      <c r="O9" s="7" t="n">
        <v>51.85</v>
      </c>
      <c r="P9" s="8" t="n"/>
      <c r="Q9" s="2" t="n"/>
    </row>
    <row r="10">
      <c r="A10" s="8" t="n">
        <v>34403838</v>
      </c>
      <c r="B10" s="9">
        <f>INDEX(Tableau1[], MATCH(Tableau3[[#This Row],[REFERENCE]], Tableau1[NUMERO], 0), 2)</f>
        <v/>
      </c>
      <c r="C10" s="129">
        <f>INDEX(Tableau1[], MATCH(Tableau3[[#This Row],[REFERENCE]], Tableau1[NUMERO], 0), 3)</f>
        <v/>
      </c>
      <c r="D10" s="129">
        <f>INDEX(Tableau1[], MATCH(Tableau3[[#This Row],[REFERENCE]], Tableau1[NUMERO], 0),4)</f>
        <v/>
      </c>
      <c r="E10" s="129">
        <f>INDEX(Tableau1[], MATCH(Tableau3[[#This Row],[REFERENCE]], Tableau1[NUMERO], 0), 5)</f>
        <v/>
      </c>
      <c r="F10" s="129">
        <f>INDEX(Tableau1[], MATCH(Tableau3[[#This Row],[REFERENCE]], Tableau1[NUMERO], 0), 6)</f>
        <v/>
      </c>
      <c r="G10" s="129">
        <f>INDEX(Tableau1[], MATCH(Tableau3[[#This Row],[REFERENCE]], Tableau1[NUMERO], 0), 7)</f>
        <v/>
      </c>
      <c r="J10" s="2" t="n">
        <v>42027</v>
      </c>
      <c r="K10" s="2" t="inlineStr">
        <is>
          <t>O</t>
        </is>
      </c>
      <c r="L10" s="2" t="inlineStr">
        <is>
          <t>Réponse OK</t>
        </is>
      </c>
      <c r="P10" s="8" t="n"/>
      <c r="Q10" s="2" t="n"/>
    </row>
    <row r="11">
      <c r="A11" s="8" t="n">
        <v>34403843</v>
      </c>
      <c r="B11" s="9">
        <f>INDEX(Tableau1[], MATCH(Tableau3[[#This Row],[REFERENCE]], Tableau1[NUMERO], 0), 2)</f>
        <v/>
      </c>
      <c r="C11" s="129">
        <f>INDEX(Tableau1[], MATCH(Tableau3[[#This Row],[REFERENCE]], Tableau1[NUMERO], 0), 3)</f>
        <v/>
      </c>
      <c r="D11" s="129">
        <f>INDEX(Tableau1[], MATCH(Tableau3[[#This Row],[REFERENCE]], Tableau1[NUMERO], 0),4)</f>
        <v/>
      </c>
      <c r="E11" s="129">
        <f>INDEX(Tableau1[], MATCH(Tableau3[[#This Row],[REFERENCE]], Tableau1[NUMERO], 0), 5)</f>
        <v/>
      </c>
      <c r="F11" s="129">
        <f>INDEX(Tableau1[], MATCH(Tableau3[[#This Row],[REFERENCE]], Tableau1[NUMERO], 0), 6)</f>
        <v/>
      </c>
      <c r="G11" s="129">
        <f>INDEX(Tableau1[], MATCH(Tableau3[[#This Row],[REFERENCE]], Tableau1[NUMERO], 0), 7)</f>
        <v/>
      </c>
      <c r="H11" t="inlineStr">
        <is>
          <t>COMATEL</t>
        </is>
      </c>
      <c r="J11" s="2" t="n">
        <v>42076</v>
      </c>
      <c r="K11" s="2" t="inlineStr">
        <is>
          <t>O</t>
        </is>
      </c>
      <c r="L11" s="2" t="n"/>
      <c r="O11" s="7" t="n">
        <v>4285</v>
      </c>
      <c r="P11" s="8" t="inlineStr">
        <is>
          <t>4 semaines</t>
        </is>
      </c>
      <c r="Q11" s="2" t="n"/>
    </row>
    <row r="12">
      <c r="A12" s="8" t="n">
        <v>34404204</v>
      </c>
      <c r="B12" s="9">
        <f>INDEX(Tableau1[], MATCH(Tableau3[[#This Row],[REFERENCE]], Tableau1[NUMERO], 0), 2)</f>
        <v/>
      </c>
      <c r="C12" s="129">
        <f>INDEX(Tableau1[], MATCH(Tableau3[[#This Row],[REFERENCE]], Tableau1[NUMERO], 0), 3)</f>
        <v/>
      </c>
      <c r="D12" s="129">
        <f>INDEX(Tableau1[], MATCH(Tableau3[[#This Row],[REFERENCE]], Tableau1[NUMERO], 0),4)</f>
        <v/>
      </c>
      <c r="E12" s="129">
        <f>INDEX(Tableau1[], MATCH(Tableau3[[#This Row],[REFERENCE]], Tableau1[NUMERO], 0), 5)</f>
        <v/>
      </c>
      <c r="F12" s="129">
        <f>INDEX(Tableau1[], MATCH(Tableau3[[#This Row],[REFERENCE]], Tableau1[NUMERO], 0), 6)</f>
        <v/>
      </c>
      <c r="G12" s="129">
        <f>INDEX(Tableau1[], MATCH(Tableau3[[#This Row],[REFERENCE]], Tableau1[NUMERO], 0), 7)</f>
        <v/>
      </c>
      <c r="H12" t="inlineStr">
        <is>
          <t>SAREL</t>
        </is>
      </c>
      <c r="J12" s="2" t="inlineStr">
        <is>
          <t>xx</t>
        </is>
      </c>
      <c r="K12" s="2" t="inlineStr">
        <is>
          <t>O</t>
        </is>
      </c>
      <c r="L12" s="2" t="n"/>
      <c r="O12" s="7" t="n">
        <v>325</v>
      </c>
      <c r="P12" s="8" t="inlineStr">
        <is>
          <t>20 jours</t>
        </is>
      </c>
      <c r="Q12" s="2" t="n"/>
      <c r="R12" t="inlineStr">
        <is>
          <t>Qté 1, prix 325.4e; Qté 20, prix 161.74e</t>
        </is>
      </c>
    </row>
    <row r="13">
      <c r="A13" s="8" t="n">
        <v>34404232</v>
      </c>
      <c r="B13" s="9">
        <f>INDEX(Tableau1[], MATCH(Tableau3[[#This Row],[REFERENCE]], Tableau1[NUMERO], 0), 2)</f>
        <v/>
      </c>
      <c r="C13" s="129">
        <f>INDEX(Tableau1[], MATCH(Tableau3[[#This Row],[REFERENCE]], Tableau1[NUMERO], 0), 3)</f>
        <v/>
      </c>
      <c r="D13" s="129">
        <f>INDEX(Tableau1[], MATCH(Tableau3[[#This Row],[REFERENCE]], Tableau1[NUMERO], 0),4)</f>
        <v/>
      </c>
      <c r="E13" s="129">
        <f>INDEX(Tableau1[], MATCH(Tableau3[[#This Row],[REFERENCE]], Tableau1[NUMERO], 0), 5)</f>
        <v/>
      </c>
      <c r="F13" s="129">
        <f>INDEX(Tableau1[], MATCH(Tableau3[[#This Row],[REFERENCE]], Tableau1[NUMERO], 0), 6)</f>
        <v/>
      </c>
      <c r="G13" s="129">
        <f>INDEX(Tableau1[], MATCH(Tableau3[[#This Row],[REFERENCE]], Tableau1[NUMERO], 0), 7)</f>
        <v/>
      </c>
      <c r="J13" s="2" t="n">
        <v>42088</v>
      </c>
      <c r="K13" s="2" t="inlineStr">
        <is>
          <t>Oui</t>
        </is>
      </c>
      <c r="L13" s="2" t="inlineStr">
        <is>
          <t>Réponse OK</t>
        </is>
      </c>
      <c r="P13" s="8" t="n"/>
      <c r="Q13" s="2" t="n"/>
    </row>
    <row r="14">
      <c r="A14" s="8" t="n">
        <v>34404293</v>
      </c>
      <c r="B14" s="9">
        <f>INDEX(Tableau1[], MATCH(Tableau3[[#This Row],[REFERENCE]], Tableau1[NUMERO], 0), 2)</f>
        <v/>
      </c>
      <c r="C14" s="129">
        <f>INDEX(Tableau1[], MATCH(Tableau3[[#This Row],[REFERENCE]], Tableau1[NUMERO], 0), 3)</f>
        <v/>
      </c>
      <c r="D14" s="129">
        <f>INDEX(Tableau1[], MATCH(Tableau3[[#This Row],[REFERENCE]], Tableau1[NUMERO], 0),4)</f>
        <v/>
      </c>
      <c r="E14" s="129">
        <f>INDEX(Tableau1[], MATCH(Tableau3[[#This Row],[REFERENCE]], Tableau1[NUMERO], 0), 5)</f>
        <v/>
      </c>
      <c r="F14" s="129">
        <f>INDEX(Tableau1[], MATCH(Tableau3[[#This Row],[REFERENCE]], Tableau1[NUMERO], 0), 6)</f>
        <v/>
      </c>
      <c r="G14" s="129">
        <f>INDEX(Tableau1[], MATCH(Tableau3[[#This Row],[REFERENCE]], Tableau1[NUMERO], 0), 7)</f>
        <v/>
      </c>
      <c r="J14" s="2" t="n">
        <v>42027</v>
      </c>
      <c r="K14" s="2" t="inlineStr">
        <is>
          <t>Oui</t>
        </is>
      </c>
      <c r="L14" s="2" t="b">
        <v>0</v>
      </c>
      <c r="O14" s="7" t="n">
        <v>39.32</v>
      </c>
      <c r="P14" s="8" t="n"/>
      <c r="Q14" s="2" t="n"/>
    </row>
    <row r="15">
      <c r="A15" s="8" t="n">
        <v>34404294</v>
      </c>
      <c r="B15" s="9">
        <f>INDEX(Tableau1[], MATCH(Tableau3[[#This Row],[REFERENCE]], Tableau1[NUMERO], 0), 2)</f>
        <v/>
      </c>
      <c r="C15" s="129">
        <f>INDEX(Tableau1[], MATCH(Tableau3[[#This Row],[REFERENCE]], Tableau1[NUMERO], 0), 3)</f>
        <v/>
      </c>
      <c r="D15" s="129">
        <f>INDEX(Tableau1[], MATCH(Tableau3[[#This Row],[REFERENCE]], Tableau1[NUMERO], 0),4)</f>
        <v/>
      </c>
      <c r="E15" s="129">
        <f>INDEX(Tableau1[], MATCH(Tableau3[[#This Row],[REFERENCE]], Tableau1[NUMERO], 0), 5)</f>
        <v/>
      </c>
      <c r="F15" s="129">
        <f>INDEX(Tableau1[], MATCH(Tableau3[[#This Row],[REFERENCE]], Tableau1[NUMERO], 0), 6)</f>
        <v/>
      </c>
      <c r="G15" s="129">
        <f>INDEX(Tableau1[], MATCH(Tableau3[[#This Row],[REFERENCE]], Tableau1[NUMERO], 0), 7)</f>
        <v/>
      </c>
      <c r="J15" s="2" t="n">
        <v>42027</v>
      </c>
      <c r="K15" s="2" t="inlineStr">
        <is>
          <t>Oui</t>
        </is>
      </c>
      <c r="L15" s="2" t="b">
        <v>0</v>
      </c>
      <c r="O15" s="7" t="n">
        <v>53.5</v>
      </c>
      <c r="P15" s="8" t="n"/>
      <c r="Q15" s="2" t="n"/>
    </row>
    <row r="16">
      <c r="A16" s="8" t="n">
        <v>34404295</v>
      </c>
      <c r="B16" s="9">
        <f>INDEX(Tableau1[], MATCH(Tableau3[[#This Row],[REFERENCE]], Tableau1[NUMERO], 0), 2)</f>
        <v/>
      </c>
      <c r="C16" s="129">
        <f>INDEX(Tableau1[], MATCH(Tableau3[[#This Row],[REFERENCE]], Tableau1[NUMERO], 0), 3)</f>
        <v/>
      </c>
      <c r="D16" s="129">
        <f>INDEX(Tableau1[], MATCH(Tableau3[[#This Row],[REFERENCE]], Tableau1[NUMERO], 0),4)</f>
        <v/>
      </c>
      <c r="E16" s="129">
        <f>INDEX(Tableau1[], MATCH(Tableau3[[#This Row],[REFERENCE]], Tableau1[NUMERO], 0), 5)</f>
        <v/>
      </c>
      <c r="F16" s="129">
        <f>INDEX(Tableau1[], MATCH(Tableau3[[#This Row],[REFERENCE]], Tableau1[NUMERO], 0), 6)</f>
        <v/>
      </c>
      <c r="G16" s="129">
        <f>INDEX(Tableau1[], MATCH(Tableau3[[#This Row],[REFERENCE]], Tableau1[NUMERO], 0), 7)</f>
        <v/>
      </c>
      <c r="J16" s="2" t="n">
        <v>42027</v>
      </c>
      <c r="K16" s="2" t="inlineStr">
        <is>
          <t>Oui</t>
        </is>
      </c>
      <c r="L16" s="2" t="b">
        <v>0</v>
      </c>
      <c r="O16" s="7" t="n">
        <v>101.4</v>
      </c>
      <c r="P16" s="8" t="n"/>
      <c r="Q16" s="2" t="n"/>
    </row>
    <row r="17">
      <c r="A17" s="8" t="n">
        <v>34404296</v>
      </c>
      <c r="B17" s="9">
        <f>INDEX(Tableau1[], MATCH(Tableau3[[#This Row],[REFERENCE]], Tableau1[NUMERO], 0), 2)</f>
        <v/>
      </c>
      <c r="C17" s="129">
        <f>INDEX(Tableau1[], MATCH(Tableau3[[#This Row],[REFERENCE]], Tableau1[NUMERO], 0), 3)</f>
        <v/>
      </c>
      <c r="D17" s="129">
        <f>INDEX(Tableau1[], MATCH(Tableau3[[#This Row],[REFERENCE]], Tableau1[NUMERO], 0),4)</f>
        <v/>
      </c>
      <c r="E17" s="129">
        <f>INDEX(Tableau1[], MATCH(Tableau3[[#This Row],[REFERENCE]], Tableau1[NUMERO], 0), 5)</f>
        <v/>
      </c>
      <c r="F17" s="129">
        <f>INDEX(Tableau1[], MATCH(Tableau3[[#This Row],[REFERENCE]], Tableau1[NUMERO], 0), 6)</f>
        <v/>
      </c>
      <c r="G17" s="129">
        <f>INDEX(Tableau1[], MATCH(Tableau3[[#This Row],[REFERENCE]], Tableau1[NUMERO], 0), 7)</f>
        <v/>
      </c>
      <c r="J17" s="2" t="n">
        <v>42027</v>
      </c>
      <c r="K17" s="2" t="inlineStr">
        <is>
          <t>Oui</t>
        </is>
      </c>
      <c r="L17" s="2" t="b">
        <v>0</v>
      </c>
      <c r="O17" s="7" t="n">
        <v>75.8</v>
      </c>
      <c r="P17" s="8" t="n"/>
      <c r="Q17" s="2" t="n"/>
    </row>
    <row r="18">
      <c r="A18" s="8" t="n">
        <v>34404300</v>
      </c>
      <c r="B18" s="9">
        <f>INDEX(Tableau1[], MATCH(Tableau3[[#This Row],[REFERENCE]], Tableau1[NUMERO], 0), 2)</f>
        <v/>
      </c>
      <c r="C18" s="129">
        <f>INDEX(Tableau1[], MATCH(Tableau3[[#This Row],[REFERENCE]], Tableau1[NUMERO], 0), 3)</f>
        <v/>
      </c>
      <c r="D18" s="129">
        <f>INDEX(Tableau1[], MATCH(Tableau3[[#This Row],[REFERENCE]], Tableau1[NUMERO], 0),4)</f>
        <v/>
      </c>
      <c r="E18" s="129">
        <f>INDEX(Tableau1[], MATCH(Tableau3[[#This Row],[REFERENCE]], Tableau1[NUMERO], 0), 5)</f>
        <v/>
      </c>
      <c r="F18" s="129">
        <f>INDEX(Tableau1[], MATCH(Tableau3[[#This Row],[REFERENCE]], Tableau1[NUMERO], 0), 6)</f>
        <v/>
      </c>
      <c r="G18" s="129">
        <f>INDEX(Tableau1[], MATCH(Tableau3[[#This Row],[REFERENCE]], Tableau1[NUMERO], 0), 7)</f>
        <v/>
      </c>
      <c r="J18" s="2" t="n">
        <v>42027</v>
      </c>
      <c r="K18" s="2" t="inlineStr">
        <is>
          <t>Oui</t>
        </is>
      </c>
      <c r="L18" s="2" t="b">
        <v>0</v>
      </c>
      <c r="O18" s="7" t="n">
        <v>75.8</v>
      </c>
      <c r="P18" s="8" t="n"/>
      <c r="Q18" s="2" t="n"/>
    </row>
    <row r="19">
      <c r="A19" s="8" t="n">
        <v>34404301</v>
      </c>
      <c r="B19" s="9">
        <f>INDEX(Tableau1[], MATCH(Tableau3[[#This Row],[REFERENCE]], Tableau1[NUMERO], 0), 2)</f>
        <v/>
      </c>
      <c r="C19" s="129">
        <f>INDEX(Tableau1[], MATCH(Tableau3[[#This Row],[REFERENCE]], Tableau1[NUMERO], 0), 3)</f>
        <v/>
      </c>
      <c r="D19" s="129">
        <f>INDEX(Tableau1[], MATCH(Tableau3[[#This Row],[REFERENCE]], Tableau1[NUMERO], 0),4)</f>
        <v/>
      </c>
      <c r="E19" s="129">
        <f>INDEX(Tableau1[], MATCH(Tableau3[[#This Row],[REFERENCE]], Tableau1[NUMERO], 0), 5)</f>
        <v/>
      </c>
      <c r="F19" s="129">
        <f>INDEX(Tableau1[], MATCH(Tableau3[[#This Row],[REFERENCE]], Tableau1[NUMERO], 0), 6)</f>
        <v/>
      </c>
      <c r="G19" s="129">
        <f>INDEX(Tableau1[], MATCH(Tableau3[[#This Row],[REFERENCE]], Tableau1[NUMERO], 0), 7)</f>
        <v/>
      </c>
      <c r="J19" s="2" t="n">
        <v>42027</v>
      </c>
      <c r="K19" s="2" t="inlineStr">
        <is>
          <t>Oui</t>
        </is>
      </c>
      <c r="L19" s="2" t="b">
        <v>0</v>
      </c>
      <c r="O19" s="7" t="n">
        <v>23.44</v>
      </c>
      <c r="P19" s="8" t="n"/>
      <c r="Q19" s="2" t="n"/>
    </row>
    <row r="20">
      <c r="A20" s="8" t="n">
        <v>34404302</v>
      </c>
      <c r="B20" s="9">
        <f>INDEX(Tableau1[], MATCH(Tableau3[[#This Row],[REFERENCE]], Tableau1[NUMERO], 0), 2)</f>
        <v/>
      </c>
      <c r="C20" s="129">
        <f>INDEX(Tableau1[], MATCH(Tableau3[[#This Row],[REFERENCE]], Tableau1[NUMERO], 0), 3)</f>
        <v/>
      </c>
      <c r="D20" s="129">
        <f>INDEX(Tableau1[], MATCH(Tableau3[[#This Row],[REFERENCE]], Tableau1[NUMERO], 0),4)</f>
        <v/>
      </c>
      <c r="E20" s="129">
        <f>INDEX(Tableau1[], MATCH(Tableau3[[#This Row],[REFERENCE]], Tableau1[NUMERO], 0), 5)</f>
        <v/>
      </c>
      <c r="F20" s="129">
        <f>INDEX(Tableau1[], MATCH(Tableau3[[#This Row],[REFERENCE]], Tableau1[NUMERO], 0), 6)</f>
        <v/>
      </c>
      <c r="G20" s="129">
        <f>INDEX(Tableau1[], MATCH(Tableau3[[#This Row],[REFERENCE]], Tableau1[NUMERO], 0), 7)</f>
        <v/>
      </c>
      <c r="J20" s="2" t="n">
        <v>42027</v>
      </c>
      <c r="K20" s="2" t="inlineStr">
        <is>
          <t>Oui</t>
        </is>
      </c>
      <c r="L20" s="2" t="b">
        <v>0</v>
      </c>
      <c r="O20" s="7" t="n">
        <v>13.82</v>
      </c>
      <c r="P20" s="8" t="n"/>
      <c r="Q20" s="2" t="n"/>
    </row>
    <row r="21">
      <c r="A21" s="8" t="n">
        <v>34404303</v>
      </c>
      <c r="B21" s="9">
        <f>INDEX(Tableau1[], MATCH(Tableau3[[#This Row],[REFERENCE]], Tableau1[NUMERO], 0), 2)</f>
        <v/>
      </c>
      <c r="C21" s="129">
        <f>INDEX(Tableau1[], MATCH(Tableau3[[#This Row],[REFERENCE]], Tableau1[NUMERO], 0), 3)</f>
        <v/>
      </c>
      <c r="D21" s="129">
        <f>INDEX(Tableau1[], MATCH(Tableau3[[#This Row],[REFERENCE]], Tableau1[NUMERO], 0),4)</f>
        <v/>
      </c>
      <c r="E21" s="129">
        <f>INDEX(Tableau1[], MATCH(Tableau3[[#This Row],[REFERENCE]], Tableau1[NUMERO], 0), 5)</f>
        <v/>
      </c>
      <c r="F21" s="129">
        <f>INDEX(Tableau1[], MATCH(Tableau3[[#This Row],[REFERENCE]], Tableau1[NUMERO], 0), 6)</f>
        <v/>
      </c>
      <c r="G21" s="129">
        <f>INDEX(Tableau1[], MATCH(Tableau3[[#This Row],[REFERENCE]], Tableau1[NUMERO], 0), 7)</f>
        <v/>
      </c>
      <c r="J21" s="2" t="n">
        <v>42027</v>
      </c>
      <c r="K21" s="2" t="inlineStr">
        <is>
          <t>Oui</t>
        </is>
      </c>
      <c r="L21" s="2" t="b">
        <v>0</v>
      </c>
      <c r="O21" s="7" t="n">
        <v>26.63</v>
      </c>
      <c r="P21" s="8" t="n"/>
      <c r="Q21" s="2" t="n"/>
    </row>
    <row r="22">
      <c r="A22" s="8" t="n">
        <v>34404304</v>
      </c>
      <c r="B22" s="9">
        <f>INDEX(Tableau1[], MATCH(Tableau3[[#This Row],[REFERENCE]], Tableau1[NUMERO], 0), 2)</f>
        <v/>
      </c>
      <c r="C22" s="129">
        <f>INDEX(Tableau1[], MATCH(Tableau3[[#This Row],[REFERENCE]], Tableau1[NUMERO], 0), 3)</f>
        <v/>
      </c>
      <c r="D22" s="129">
        <f>INDEX(Tableau1[], MATCH(Tableau3[[#This Row],[REFERENCE]], Tableau1[NUMERO], 0),4)</f>
        <v/>
      </c>
      <c r="E22" s="129">
        <f>INDEX(Tableau1[], MATCH(Tableau3[[#This Row],[REFERENCE]], Tableau1[NUMERO], 0), 5)</f>
        <v/>
      </c>
      <c r="F22" s="129">
        <f>INDEX(Tableau1[], MATCH(Tableau3[[#This Row],[REFERENCE]], Tableau1[NUMERO], 0), 6)</f>
        <v/>
      </c>
      <c r="G22" s="129">
        <f>INDEX(Tableau1[], MATCH(Tableau3[[#This Row],[REFERENCE]], Tableau1[NUMERO], 0), 7)</f>
        <v/>
      </c>
      <c r="J22" s="2" t="n">
        <v>42027</v>
      </c>
      <c r="K22" s="2" t="inlineStr">
        <is>
          <t>Oui</t>
        </is>
      </c>
      <c r="L22" s="2" t="b">
        <v>0</v>
      </c>
      <c r="O22" s="7" t="n">
        <v>18</v>
      </c>
      <c r="P22" s="8" t="n"/>
      <c r="Q22" s="2" t="n"/>
    </row>
    <row r="23">
      <c r="A23" s="8" t="n">
        <v>34404305</v>
      </c>
      <c r="B23" s="9">
        <f>INDEX(Tableau1[], MATCH(Tableau3[[#This Row],[REFERENCE]], Tableau1[NUMERO], 0), 2)</f>
        <v/>
      </c>
      <c r="C23" s="129">
        <f>INDEX(Tableau1[], MATCH(Tableau3[[#This Row],[REFERENCE]], Tableau1[NUMERO], 0), 3)</f>
        <v/>
      </c>
      <c r="D23" s="129">
        <f>INDEX(Tableau1[], MATCH(Tableau3[[#This Row],[REFERENCE]], Tableau1[NUMERO], 0),4)</f>
        <v/>
      </c>
      <c r="E23" s="129">
        <f>INDEX(Tableau1[], MATCH(Tableau3[[#This Row],[REFERENCE]], Tableau1[NUMERO], 0), 5)</f>
        <v/>
      </c>
      <c r="F23" s="129">
        <f>INDEX(Tableau1[], MATCH(Tableau3[[#This Row],[REFERENCE]], Tableau1[NUMERO], 0), 6)</f>
        <v/>
      </c>
      <c r="G23" s="129">
        <f>INDEX(Tableau1[], MATCH(Tableau3[[#This Row],[REFERENCE]], Tableau1[NUMERO], 0), 7)</f>
        <v/>
      </c>
      <c r="J23" s="2" t="n">
        <v>42027</v>
      </c>
      <c r="K23" s="2" t="inlineStr">
        <is>
          <t>Oui</t>
        </is>
      </c>
      <c r="L23" s="2" t="b">
        <v>0</v>
      </c>
      <c r="O23" s="7" t="n">
        <v>27.68</v>
      </c>
      <c r="P23" s="8" t="n"/>
      <c r="Q23" s="2" t="n"/>
    </row>
    <row r="24">
      <c r="A24" s="8" t="n">
        <v>34404306</v>
      </c>
      <c r="B24" s="9">
        <f>INDEX(Tableau1[], MATCH(Tableau3[[#This Row],[REFERENCE]], Tableau1[NUMERO], 0), 2)</f>
        <v/>
      </c>
      <c r="C24" s="129">
        <f>INDEX(Tableau1[], MATCH(Tableau3[[#This Row],[REFERENCE]], Tableau1[NUMERO], 0), 3)</f>
        <v/>
      </c>
      <c r="D24" s="129">
        <f>INDEX(Tableau1[], MATCH(Tableau3[[#This Row],[REFERENCE]], Tableau1[NUMERO], 0),4)</f>
        <v/>
      </c>
      <c r="E24" s="129">
        <f>INDEX(Tableau1[], MATCH(Tableau3[[#This Row],[REFERENCE]], Tableau1[NUMERO], 0), 5)</f>
        <v/>
      </c>
      <c r="F24" s="129">
        <f>INDEX(Tableau1[], MATCH(Tableau3[[#This Row],[REFERENCE]], Tableau1[NUMERO], 0), 6)</f>
        <v/>
      </c>
      <c r="G24" s="129">
        <f>INDEX(Tableau1[], MATCH(Tableau3[[#This Row],[REFERENCE]], Tableau1[NUMERO], 0), 7)</f>
        <v/>
      </c>
      <c r="J24" s="2" t="n">
        <v>42027</v>
      </c>
      <c r="K24" s="2" t="inlineStr">
        <is>
          <t>Oui</t>
        </is>
      </c>
      <c r="L24" s="2" t="b">
        <v>0</v>
      </c>
      <c r="O24" s="7" t="n">
        <v>27.83</v>
      </c>
      <c r="P24" s="8" t="n"/>
      <c r="Q24" s="2" t="n"/>
    </row>
    <row r="25">
      <c r="A25" s="8" t="n">
        <v>34404313</v>
      </c>
      <c r="B25" s="9">
        <f>INDEX(Tableau1[], MATCH(Tableau3[[#This Row],[REFERENCE]], Tableau1[NUMERO], 0), 2)</f>
        <v/>
      </c>
      <c r="C25" s="129">
        <f>INDEX(Tableau1[], MATCH(Tableau3[[#This Row],[REFERENCE]], Tableau1[NUMERO], 0), 3)</f>
        <v/>
      </c>
      <c r="D25" s="129">
        <f>INDEX(Tableau1[], MATCH(Tableau3[[#This Row],[REFERENCE]], Tableau1[NUMERO], 0),4)</f>
        <v/>
      </c>
      <c r="E25" s="129">
        <f>INDEX(Tableau1[], MATCH(Tableau3[[#This Row],[REFERENCE]], Tableau1[NUMERO], 0), 5)</f>
        <v/>
      </c>
      <c r="F25" s="129">
        <f>INDEX(Tableau1[], MATCH(Tableau3[[#This Row],[REFERENCE]], Tableau1[NUMERO], 0), 6)</f>
        <v/>
      </c>
      <c r="G25" s="129">
        <f>INDEX(Tableau1[], MATCH(Tableau3[[#This Row],[REFERENCE]], Tableau1[NUMERO], 0), 7)</f>
        <v/>
      </c>
      <c r="H25" t="inlineStr">
        <is>
          <t>SAFITE FTR</t>
        </is>
      </c>
      <c r="J25" s="2" t="n">
        <v>42032</v>
      </c>
      <c r="K25" s="2" t="inlineStr">
        <is>
          <t>Oui</t>
        </is>
      </c>
      <c r="L25" s="2" t="n"/>
      <c r="O25" s="7" t="n">
        <v>55</v>
      </c>
      <c r="P25" s="8" t="n"/>
      <c r="Q25" s="2" t="n"/>
    </row>
    <row r="26">
      <c r="A26" s="8" t="n">
        <v>34404314</v>
      </c>
      <c r="B26" s="9">
        <f>INDEX(Tableau1[], MATCH(Tableau3[[#This Row],[REFERENCE]], Tableau1[NUMERO], 0), 2)</f>
        <v/>
      </c>
      <c r="C26" s="129">
        <f>INDEX(Tableau1[], MATCH(Tableau3[[#This Row],[REFERENCE]], Tableau1[NUMERO], 0), 3)</f>
        <v/>
      </c>
      <c r="D26" s="129">
        <f>INDEX(Tableau1[], MATCH(Tableau3[[#This Row],[REFERENCE]], Tableau1[NUMERO], 0),4)</f>
        <v/>
      </c>
      <c r="E26" s="129">
        <f>INDEX(Tableau1[], MATCH(Tableau3[[#This Row],[REFERENCE]], Tableau1[NUMERO], 0), 5)</f>
        <v/>
      </c>
      <c r="F26" s="129">
        <f>INDEX(Tableau1[], MATCH(Tableau3[[#This Row],[REFERENCE]], Tableau1[NUMERO], 0), 6)</f>
        <v/>
      </c>
      <c r="G26" s="129">
        <f>INDEX(Tableau1[], MATCH(Tableau3[[#This Row],[REFERENCE]], Tableau1[NUMERO], 0), 7)</f>
        <v/>
      </c>
      <c r="H26" t="inlineStr">
        <is>
          <t>PPC</t>
        </is>
      </c>
      <c r="J26" s="2" t="inlineStr">
        <is>
          <t>-</t>
        </is>
      </c>
      <c r="K26" s="2" t="inlineStr">
        <is>
          <t>O</t>
        </is>
      </c>
      <c r="L26" s="2" t="inlineStr">
        <is>
          <t>Réponse OK</t>
        </is>
      </c>
      <c r="O26" s="7" t="n">
        <v>10.94</v>
      </c>
      <c r="P26" s="8" t="n"/>
      <c r="Q26" s="2" t="n"/>
      <c r="R26" t="inlineStr">
        <is>
          <t>VMN: IDEM 34404281 et 34404282 pas de reconsulte</t>
        </is>
      </c>
    </row>
    <row r="27">
      <c r="A27" s="8" t="n">
        <v>34404362</v>
      </c>
      <c r="B27" s="9">
        <f>INDEX(Tableau1[], MATCH(Tableau3[[#This Row],[REFERENCE]], Tableau1[NUMERO], 0), 2)</f>
        <v/>
      </c>
      <c r="C27" s="129">
        <f>INDEX(Tableau1[], MATCH(Tableau3[[#This Row],[REFERENCE]], Tableau1[NUMERO], 0), 3)</f>
        <v/>
      </c>
      <c r="D27" s="129">
        <f>INDEX(Tableau1[], MATCH(Tableau3[[#This Row],[REFERENCE]], Tableau1[NUMERO], 0),4)</f>
        <v/>
      </c>
      <c r="E27" s="129">
        <f>INDEX(Tableau1[], MATCH(Tableau3[[#This Row],[REFERENCE]], Tableau1[NUMERO], 0), 5)</f>
        <v/>
      </c>
      <c r="F27" s="129">
        <f>INDEX(Tableau1[], MATCH(Tableau3[[#This Row],[REFERENCE]], Tableau1[NUMERO], 0), 6)</f>
        <v/>
      </c>
      <c r="G27" s="129">
        <f>INDEX(Tableau1[], MATCH(Tableau3[[#This Row],[REFERENCE]], Tableau1[NUMERO], 0), 7)</f>
        <v/>
      </c>
      <c r="H27" t="inlineStr">
        <is>
          <t>laser technique</t>
        </is>
      </c>
      <c r="J27" s="2" t="n">
        <v>43139</v>
      </c>
      <c r="K27" s="2" t="n">
        <v>43139</v>
      </c>
      <c r="L27" s="2" t="inlineStr">
        <is>
          <t>Réponse OK</t>
        </is>
      </c>
      <c r="O27" s="7" t="n">
        <v>35</v>
      </c>
      <c r="P27" s="8" t="n"/>
      <c r="Q27" s="2" t="n"/>
    </row>
    <row r="28">
      <c r="A28" s="8" t="n">
        <v>34404363</v>
      </c>
      <c r="B28" s="9">
        <f>INDEX(Tableau1[], MATCH(Tableau3[[#This Row],[REFERENCE]], Tableau1[NUMERO], 0), 2)</f>
        <v/>
      </c>
      <c r="C28" s="129">
        <f>INDEX(Tableau1[], MATCH(Tableau3[[#This Row],[REFERENCE]], Tableau1[NUMERO], 0), 3)</f>
        <v/>
      </c>
      <c r="D28" s="129">
        <f>INDEX(Tableau1[], MATCH(Tableau3[[#This Row],[REFERENCE]], Tableau1[NUMERO], 0),4)</f>
        <v/>
      </c>
      <c r="E28" s="129">
        <f>INDEX(Tableau1[], MATCH(Tableau3[[#This Row],[REFERENCE]], Tableau1[NUMERO], 0), 5)</f>
        <v/>
      </c>
      <c r="F28" s="129">
        <f>INDEX(Tableau1[], MATCH(Tableau3[[#This Row],[REFERENCE]], Tableau1[NUMERO], 0), 6)</f>
        <v/>
      </c>
      <c r="G28" s="129">
        <f>INDEX(Tableau1[], MATCH(Tableau3[[#This Row],[REFERENCE]], Tableau1[NUMERO], 0), 7)</f>
        <v/>
      </c>
      <c r="H28" t="inlineStr">
        <is>
          <t>FTR</t>
        </is>
      </c>
      <c r="J28" s="2" t="n">
        <v>42058</v>
      </c>
      <c r="K28" s="2" t="inlineStr">
        <is>
          <t>Oui</t>
        </is>
      </c>
      <c r="L28" s="2" t="inlineStr">
        <is>
          <t>Réponse OK</t>
        </is>
      </c>
      <c r="O28" s="7" t="n">
        <v>39</v>
      </c>
      <c r="P28" s="8" t="n"/>
      <c r="Q28" s="2" t="n"/>
    </row>
    <row r="29">
      <c r="A29" s="8" t="n">
        <v>34404405</v>
      </c>
      <c r="B29" s="9">
        <f>INDEX(Tableau1[], MATCH(Tableau3[[#This Row],[REFERENCE]], Tableau1[NUMERO], 0), 2)</f>
        <v/>
      </c>
      <c r="C29" s="129">
        <f>INDEX(Tableau1[], MATCH(Tableau3[[#This Row],[REFERENCE]], Tableau1[NUMERO], 0), 3)</f>
        <v/>
      </c>
      <c r="D29" s="129">
        <f>INDEX(Tableau1[], MATCH(Tableau3[[#This Row],[REFERENCE]], Tableau1[NUMERO], 0),4)</f>
        <v/>
      </c>
      <c r="E29" s="129">
        <f>INDEX(Tableau1[], MATCH(Tableau3[[#This Row],[REFERENCE]], Tableau1[NUMERO], 0), 5)</f>
        <v/>
      </c>
      <c r="F29" s="129">
        <f>INDEX(Tableau1[], MATCH(Tableau3[[#This Row],[REFERENCE]], Tableau1[NUMERO], 0), 6)</f>
        <v/>
      </c>
      <c r="G29" s="129">
        <f>INDEX(Tableau1[], MATCH(Tableau3[[#This Row],[REFERENCE]], Tableau1[NUMERO], 0), 7)</f>
        <v/>
      </c>
      <c r="H29" t="inlineStr">
        <is>
          <t>THYSSEN</t>
        </is>
      </c>
      <c r="J29" s="2" t="n">
        <v>42082</v>
      </c>
      <c r="K29" s="2" t="inlineStr">
        <is>
          <t>Oui</t>
        </is>
      </c>
      <c r="L29" s="2" t="inlineStr">
        <is>
          <t>Réponse OK</t>
        </is>
      </c>
      <c r="O29" s="7" t="n">
        <v>71.5</v>
      </c>
      <c r="P29" s="8" t="n"/>
      <c r="Q29" s="2" t="n"/>
    </row>
    <row r="30">
      <c r="A30" s="8" t="n">
        <v>34404435</v>
      </c>
      <c r="B30" s="9">
        <f>INDEX(Tableau1[], MATCH(Tableau3[[#This Row],[REFERENCE]], Tableau1[NUMERO], 0), 2)</f>
        <v/>
      </c>
      <c r="C30" s="129">
        <f>INDEX(Tableau1[], MATCH(Tableau3[[#This Row],[REFERENCE]], Tableau1[NUMERO], 0), 3)</f>
        <v/>
      </c>
      <c r="D30" s="129">
        <f>INDEX(Tableau1[], MATCH(Tableau3[[#This Row],[REFERENCE]], Tableau1[NUMERO], 0),4)</f>
        <v/>
      </c>
      <c r="E30" s="129">
        <f>INDEX(Tableau1[], MATCH(Tableau3[[#This Row],[REFERENCE]], Tableau1[NUMERO], 0), 5)</f>
        <v/>
      </c>
      <c r="F30" s="129">
        <f>INDEX(Tableau1[], MATCH(Tableau3[[#This Row],[REFERENCE]], Tableau1[NUMERO], 0), 6)</f>
        <v/>
      </c>
      <c r="G30" s="129">
        <f>INDEX(Tableau1[], MATCH(Tableau3[[#This Row],[REFERENCE]], Tableau1[NUMERO], 0), 7)</f>
        <v/>
      </c>
      <c r="J30" s="2" t="n">
        <v>42088</v>
      </c>
      <c r="K30" s="2" t="inlineStr">
        <is>
          <t>Oui</t>
        </is>
      </c>
      <c r="L30" s="2" t="inlineStr">
        <is>
          <t>Réponse OK</t>
        </is>
      </c>
      <c r="O30" s="7" t="n">
        <v>62.9</v>
      </c>
      <c r="P30" s="8" t="n"/>
      <c r="Q30" s="2" t="n"/>
    </row>
    <row r="31">
      <c r="A31" s="8" t="n">
        <v>34404436</v>
      </c>
      <c r="B31" s="9">
        <f>INDEX(Tableau1[], MATCH(Tableau3[[#This Row],[REFERENCE]], Tableau1[NUMERO], 0), 2)</f>
        <v/>
      </c>
      <c r="C31" s="129">
        <f>INDEX(Tableau1[], MATCH(Tableau3[[#This Row],[REFERENCE]], Tableau1[NUMERO], 0), 3)</f>
        <v/>
      </c>
      <c r="D31" s="129">
        <f>INDEX(Tableau1[], MATCH(Tableau3[[#This Row],[REFERENCE]], Tableau1[NUMERO], 0),4)</f>
        <v/>
      </c>
      <c r="E31" s="129">
        <f>INDEX(Tableau1[], MATCH(Tableau3[[#This Row],[REFERENCE]], Tableau1[NUMERO], 0), 5)</f>
        <v/>
      </c>
      <c r="F31" s="129">
        <f>INDEX(Tableau1[], MATCH(Tableau3[[#This Row],[REFERENCE]], Tableau1[NUMERO], 0), 6)</f>
        <v/>
      </c>
      <c r="G31" s="129">
        <f>INDEX(Tableau1[], MATCH(Tableau3[[#This Row],[REFERENCE]], Tableau1[NUMERO], 0), 7)</f>
        <v/>
      </c>
      <c r="J31" s="2" t="n">
        <v>42088</v>
      </c>
      <c r="K31" s="2" t="inlineStr">
        <is>
          <t>Oui</t>
        </is>
      </c>
      <c r="L31" s="2" t="inlineStr">
        <is>
          <t>Réponse OK</t>
        </is>
      </c>
      <c r="O31" s="7" t="n">
        <v>62.9</v>
      </c>
      <c r="P31" s="8" t="n"/>
      <c r="Q31" s="2" t="n"/>
    </row>
    <row r="32">
      <c r="A32" s="8" t="n">
        <v>34404437</v>
      </c>
      <c r="B32" s="9">
        <f>INDEX(Tableau1[], MATCH(Tableau3[[#This Row],[REFERENCE]], Tableau1[NUMERO], 0), 2)</f>
        <v/>
      </c>
      <c r="C32" s="129">
        <f>INDEX(Tableau1[], MATCH(Tableau3[[#This Row],[REFERENCE]], Tableau1[NUMERO], 0), 3)</f>
        <v/>
      </c>
      <c r="D32" s="129">
        <f>INDEX(Tableau1[], MATCH(Tableau3[[#This Row],[REFERENCE]], Tableau1[NUMERO], 0),4)</f>
        <v/>
      </c>
      <c r="E32" s="129">
        <f>INDEX(Tableau1[], MATCH(Tableau3[[#This Row],[REFERENCE]], Tableau1[NUMERO], 0), 5)</f>
        <v/>
      </c>
      <c r="F32" s="129">
        <f>INDEX(Tableau1[], MATCH(Tableau3[[#This Row],[REFERENCE]], Tableau1[NUMERO], 0), 6)</f>
        <v/>
      </c>
      <c r="G32" s="129">
        <f>INDEX(Tableau1[], MATCH(Tableau3[[#This Row],[REFERENCE]], Tableau1[NUMERO], 0), 7)</f>
        <v/>
      </c>
      <c r="J32" s="2" t="n">
        <v>42088</v>
      </c>
      <c r="K32" s="2" t="inlineStr">
        <is>
          <t>Oui</t>
        </is>
      </c>
      <c r="L32" s="2" t="inlineStr">
        <is>
          <t>Réponse OK</t>
        </is>
      </c>
      <c r="O32" s="7" t="n">
        <v>62.9</v>
      </c>
      <c r="P32" s="8" t="n"/>
      <c r="Q32" s="2" t="n"/>
    </row>
    <row r="33">
      <c r="A33" s="8" t="n">
        <v>34404438</v>
      </c>
      <c r="B33" s="9">
        <f>INDEX(Tableau1[], MATCH(Tableau3[[#This Row],[REFERENCE]], Tableau1[NUMERO], 0), 2)</f>
        <v/>
      </c>
      <c r="C33" s="129">
        <f>INDEX(Tableau1[], MATCH(Tableau3[[#This Row],[REFERENCE]], Tableau1[NUMERO], 0), 3)</f>
        <v/>
      </c>
      <c r="D33" s="129">
        <f>INDEX(Tableau1[], MATCH(Tableau3[[#This Row],[REFERENCE]], Tableau1[NUMERO], 0),4)</f>
        <v/>
      </c>
      <c r="E33" s="129">
        <f>INDEX(Tableau1[], MATCH(Tableau3[[#This Row],[REFERENCE]], Tableau1[NUMERO], 0), 5)</f>
        <v/>
      </c>
      <c r="F33" s="129">
        <f>INDEX(Tableau1[], MATCH(Tableau3[[#This Row],[REFERENCE]], Tableau1[NUMERO], 0), 6)</f>
        <v/>
      </c>
      <c r="G33" s="129">
        <f>INDEX(Tableau1[], MATCH(Tableau3[[#This Row],[REFERENCE]], Tableau1[NUMERO], 0), 7)</f>
        <v/>
      </c>
      <c r="J33" s="2" t="n">
        <v>42088</v>
      </c>
      <c r="K33" s="2" t="inlineStr">
        <is>
          <t>Oui</t>
        </is>
      </c>
      <c r="L33" s="2" t="inlineStr">
        <is>
          <t>Réponse OK</t>
        </is>
      </c>
      <c r="O33" s="7" t="n">
        <v>50.3</v>
      </c>
      <c r="P33" s="8" t="n"/>
      <c r="Q33" s="2" t="n"/>
    </row>
    <row r="34">
      <c r="A34" s="8" t="n">
        <v>34404440</v>
      </c>
      <c r="B34" s="9">
        <f>INDEX(Tableau1[], MATCH(Tableau3[[#This Row],[REFERENCE]], Tableau1[NUMERO], 0), 2)</f>
        <v/>
      </c>
      <c r="C34" s="129">
        <f>INDEX(Tableau1[], MATCH(Tableau3[[#This Row],[REFERENCE]], Tableau1[NUMERO], 0), 3)</f>
        <v/>
      </c>
      <c r="D34" s="129">
        <f>INDEX(Tableau1[], MATCH(Tableau3[[#This Row],[REFERENCE]], Tableau1[NUMERO], 0),4)</f>
        <v/>
      </c>
      <c r="E34" s="129">
        <f>INDEX(Tableau1[], MATCH(Tableau3[[#This Row],[REFERENCE]], Tableau1[NUMERO], 0), 5)</f>
        <v/>
      </c>
      <c r="F34" s="129">
        <f>INDEX(Tableau1[], MATCH(Tableau3[[#This Row],[REFERENCE]], Tableau1[NUMERO], 0), 6)</f>
        <v/>
      </c>
      <c r="G34" s="129">
        <f>INDEX(Tableau1[], MATCH(Tableau3[[#This Row],[REFERENCE]], Tableau1[NUMERO], 0), 7)</f>
        <v/>
      </c>
      <c r="H34" t="inlineStr">
        <is>
          <t>THYSSEN</t>
        </is>
      </c>
      <c r="J34" s="2" t="n">
        <v>42082</v>
      </c>
      <c r="K34" s="2" t="inlineStr">
        <is>
          <t>oui</t>
        </is>
      </c>
      <c r="L34" s="2" t="inlineStr">
        <is>
          <t>Réponse OK</t>
        </is>
      </c>
      <c r="O34" s="7" t="n">
        <v>71.5</v>
      </c>
      <c r="P34" s="8" t="n"/>
      <c r="Q34" s="2" t="n"/>
    </row>
    <row r="35">
      <c r="A35" s="8" t="n">
        <v>34404441</v>
      </c>
      <c r="B35" s="9">
        <f>INDEX(Tableau1[], MATCH(Tableau3[[#This Row],[REFERENCE]], Tableau1[NUMERO], 0), 2)</f>
        <v/>
      </c>
      <c r="C35" s="129">
        <f>INDEX(Tableau1[], MATCH(Tableau3[[#This Row],[REFERENCE]], Tableau1[NUMERO], 0), 3)</f>
        <v/>
      </c>
      <c r="D35" s="129">
        <f>INDEX(Tableau1[], MATCH(Tableau3[[#This Row],[REFERENCE]], Tableau1[NUMERO], 0),4)</f>
        <v/>
      </c>
      <c r="E35" s="129">
        <f>INDEX(Tableau1[], MATCH(Tableau3[[#This Row],[REFERENCE]], Tableau1[NUMERO], 0), 5)</f>
        <v/>
      </c>
      <c r="F35" s="129">
        <f>INDEX(Tableau1[], MATCH(Tableau3[[#This Row],[REFERENCE]], Tableau1[NUMERO], 0), 6)</f>
        <v/>
      </c>
      <c r="G35" s="129">
        <f>INDEX(Tableau1[], MATCH(Tableau3[[#This Row],[REFERENCE]], Tableau1[NUMERO], 0), 7)</f>
        <v/>
      </c>
      <c r="H35" t="inlineStr">
        <is>
          <t>THYSSEN</t>
        </is>
      </c>
      <c r="J35" s="2" t="n">
        <v>42082</v>
      </c>
      <c r="K35" s="2" t="inlineStr">
        <is>
          <t>Oui</t>
        </is>
      </c>
      <c r="L35" s="2" t="inlineStr">
        <is>
          <t>Réponse OK</t>
        </is>
      </c>
      <c r="O35" s="7" t="n">
        <v>71.5</v>
      </c>
      <c r="P35" s="8" t="n"/>
      <c r="Q35" s="2" t="n"/>
    </row>
    <row r="36">
      <c r="A36" s="8" t="n">
        <v>34404442</v>
      </c>
      <c r="B36" s="9">
        <f>INDEX(Tableau1[], MATCH(Tableau3[[#This Row],[REFERENCE]], Tableau1[NUMERO], 0), 2)</f>
        <v/>
      </c>
      <c r="C36" s="129">
        <f>INDEX(Tableau1[], MATCH(Tableau3[[#This Row],[REFERENCE]], Tableau1[NUMERO], 0), 3)</f>
        <v/>
      </c>
      <c r="D36" s="129">
        <f>INDEX(Tableau1[], MATCH(Tableau3[[#This Row],[REFERENCE]], Tableau1[NUMERO], 0),4)</f>
        <v/>
      </c>
      <c r="E36" s="129">
        <f>INDEX(Tableau1[], MATCH(Tableau3[[#This Row],[REFERENCE]], Tableau1[NUMERO], 0), 5)</f>
        <v/>
      </c>
      <c r="F36" s="129">
        <f>INDEX(Tableau1[], MATCH(Tableau3[[#This Row],[REFERENCE]], Tableau1[NUMERO], 0), 6)</f>
        <v/>
      </c>
      <c r="G36" s="129">
        <f>INDEX(Tableau1[], MATCH(Tableau3[[#This Row],[REFERENCE]], Tableau1[NUMERO], 0), 7)</f>
        <v/>
      </c>
      <c r="H36" t="inlineStr">
        <is>
          <t>THYSSEN</t>
        </is>
      </c>
      <c r="J36" s="2" t="n">
        <v>42082</v>
      </c>
      <c r="K36" s="2" t="inlineStr">
        <is>
          <t>Oui</t>
        </is>
      </c>
      <c r="L36" s="2" t="inlineStr">
        <is>
          <t>Réponse OK</t>
        </is>
      </c>
      <c r="O36" s="7" t="n">
        <v>71.5</v>
      </c>
      <c r="P36" s="8" t="n"/>
      <c r="Q36" s="2" t="n"/>
    </row>
    <row r="37">
      <c r="A37" s="8" t="n">
        <v>34404443</v>
      </c>
      <c r="B37" s="9">
        <f>INDEX(Tableau1[], MATCH(Tableau3[[#This Row],[REFERENCE]], Tableau1[NUMERO], 0), 2)</f>
        <v/>
      </c>
      <c r="C37" s="129">
        <f>INDEX(Tableau1[], MATCH(Tableau3[[#This Row],[REFERENCE]], Tableau1[NUMERO], 0), 3)</f>
        <v/>
      </c>
      <c r="D37" s="129">
        <f>INDEX(Tableau1[], MATCH(Tableau3[[#This Row],[REFERENCE]], Tableau1[NUMERO], 0),4)</f>
        <v/>
      </c>
      <c r="E37" s="129">
        <f>INDEX(Tableau1[], MATCH(Tableau3[[#This Row],[REFERENCE]], Tableau1[NUMERO], 0), 5)</f>
        <v/>
      </c>
      <c r="F37" s="129">
        <f>INDEX(Tableau1[], MATCH(Tableau3[[#This Row],[REFERENCE]], Tableau1[NUMERO], 0), 6)</f>
        <v/>
      </c>
      <c r="G37" s="129">
        <f>INDEX(Tableau1[], MATCH(Tableau3[[#This Row],[REFERENCE]], Tableau1[NUMERO], 0), 7)</f>
        <v/>
      </c>
      <c r="H37" t="inlineStr">
        <is>
          <t>THYSSEN</t>
        </is>
      </c>
      <c r="J37" s="2" t="n">
        <v>42082</v>
      </c>
      <c r="K37" s="2" t="inlineStr">
        <is>
          <t>Oui</t>
        </is>
      </c>
      <c r="L37" s="2" t="inlineStr">
        <is>
          <t>Réponse OK</t>
        </is>
      </c>
      <c r="O37" s="7" t="n">
        <v>71.5</v>
      </c>
      <c r="P37" s="8" t="n"/>
      <c r="Q37" s="2" t="n"/>
    </row>
    <row r="38">
      <c r="A38" s="8" t="n">
        <v>34404444</v>
      </c>
      <c r="B38" s="9">
        <f>INDEX(Tableau1[], MATCH(Tableau3[[#This Row],[REFERENCE]], Tableau1[NUMERO], 0), 2)</f>
        <v/>
      </c>
      <c r="C38" s="129">
        <f>INDEX(Tableau1[], MATCH(Tableau3[[#This Row],[REFERENCE]], Tableau1[NUMERO], 0), 3)</f>
        <v/>
      </c>
      <c r="D38" s="129">
        <f>INDEX(Tableau1[], MATCH(Tableau3[[#This Row],[REFERENCE]], Tableau1[NUMERO], 0),4)</f>
        <v/>
      </c>
      <c r="E38" s="129">
        <f>INDEX(Tableau1[], MATCH(Tableau3[[#This Row],[REFERENCE]], Tableau1[NUMERO], 0), 5)</f>
        <v/>
      </c>
      <c r="F38" s="129">
        <f>INDEX(Tableau1[], MATCH(Tableau3[[#This Row],[REFERENCE]], Tableau1[NUMERO], 0), 6)</f>
        <v/>
      </c>
      <c r="G38" s="129">
        <f>INDEX(Tableau1[], MATCH(Tableau3[[#This Row],[REFERENCE]], Tableau1[NUMERO], 0), 7)</f>
        <v/>
      </c>
      <c r="H38" t="inlineStr">
        <is>
          <t>THYSSEN</t>
        </is>
      </c>
      <c r="J38" s="2" t="n">
        <v>42082</v>
      </c>
      <c r="K38" s="2" t="inlineStr">
        <is>
          <t>Oui</t>
        </is>
      </c>
      <c r="L38" s="2" t="inlineStr">
        <is>
          <t>Réponse OK</t>
        </is>
      </c>
      <c r="O38" s="7" t="n">
        <v>71.5</v>
      </c>
      <c r="P38" s="8" t="n"/>
      <c r="Q38" s="2" t="n"/>
    </row>
    <row r="39">
      <c r="A39" s="8" t="n">
        <v>34404450</v>
      </c>
      <c r="B39" s="9">
        <f>INDEX(Tableau1[], MATCH(Tableau3[[#This Row],[REFERENCE]], Tableau1[NUMERO], 0), 2)</f>
        <v/>
      </c>
      <c r="C39" s="129">
        <f>INDEX(Tableau1[], MATCH(Tableau3[[#This Row],[REFERENCE]], Tableau1[NUMERO], 0), 3)</f>
        <v/>
      </c>
      <c r="D39" s="129">
        <f>INDEX(Tableau1[], MATCH(Tableau3[[#This Row],[REFERENCE]], Tableau1[NUMERO], 0),4)</f>
        <v/>
      </c>
      <c r="E39" s="129">
        <f>INDEX(Tableau1[], MATCH(Tableau3[[#This Row],[REFERENCE]], Tableau1[NUMERO], 0), 5)</f>
        <v/>
      </c>
      <c r="F39" s="129">
        <f>INDEX(Tableau1[], MATCH(Tableau3[[#This Row],[REFERENCE]], Tableau1[NUMERO], 0), 6)</f>
        <v/>
      </c>
      <c r="G39" s="129">
        <f>INDEX(Tableau1[], MATCH(Tableau3[[#This Row],[REFERENCE]], Tableau1[NUMERO], 0), 7)</f>
        <v/>
      </c>
      <c r="H39" t="inlineStr">
        <is>
          <t>THYSSEN</t>
        </is>
      </c>
      <c r="J39" s="2" t="n">
        <v>42082</v>
      </c>
      <c r="K39" s="2" t="inlineStr">
        <is>
          <t>Oui</t>
        </is>
      </c>
      <c r="L39" s="2" t="inlineStr">
        <is>
          <t>Réponse OK</t>
        </is>
      </c>
      <c r="O39" s="7" t="n">
        <v>71.5</v>
      </c>
      <c r="P39" s="8" t="n"/>
      <c r="Q39" s="2" t="n"/>
    </row>
    <row r="40">
      <c r="A40" s="8" t="n">
        <v>34404552</v>
      </c>
      <c r="B40" s="9">
        <f>INDEX(Tableau1[], MATCH(Tableau3[[#This Row],[REFERENCE]], Tableau1[NUMERO], 0), 2)</f>
        <v/>
      </c>
      <c r="C40" s="129">
        <f>INDEX(Tableau1[], MATCH(Tableau3[[#This Row],[REFERENCE]], Tableau1[NUMERO], 0), 3)</f>
        <v/>
      </c>
      <c r="D40" s="129">
        <f>INDEX(Tableau1[], MATCH(Tableau3[[#This Row],[REFERENCE]], Tableau1[NUMERO], 0),4)</f>
        <v/>
      </c>
      <c r="E40" s="129">
        <f>INDEX(Tableau1[], MATCH(Tableau3[[#This Row],[REFERENCE]], Tableau1[NUMERO], 0), 5)</f>
        <v/>
      </c>
      <c r="F40" s="129">
        <f>INDEX(Tableau1[], MATCH(Tableau3[[#This Row],[REFERENCE]], Tableau1[NUMERO], 0), 6)</f>
        <v/>
      </c>
      <c r="G40" s="129">
        <f>INDEX(Tableau1[], MATCH(Tableau3[[#This Row],[REFERENCE]], Tableau1[NUMERO], 0), 7)</f>
        <v/>
      </c>
      <c r="H40" t="inlineStr">
        <is>
          <t>UFP</t>
        </is>
      </c>
      <c r="J40" s="2" t="n">
        <v>42108</v>
      </c>
      <c r="K40" s="2" t="inlineStr">
        <is>
          <t>Oui</t>
        </is>
      </c>
      <c r="L40" s="2" t="inlineStr">
        <is>
          <t>Réponse OK</t>
        </is>
      </c>
      <c r="O40" s="7" t="n">
        <v>18.3</v>
      </c>
      <c r="P40" s="8" t="n"/>
      <c r="Q40" s="2" t="n"/>
    </row>
    <row r="41">
      <c r="A41" s="8" t="n">
        <v>34405385</v>
      </c>
      <c r="B41" s="9">
        <f>INDEX(Tableau1[], MATCH(Tableau3[[#This Row],[REFERENCE]], Tableau1[NUMERO], 0), 2)</f>
        <v/>
      </c>
      <c r="C41" s="129">
        <f>INDEX(Tableau1[], MATCH(Tableau3[[#This Row],[REFERENCE]], Tableau1[NUMERO], 0), 3)</f>
        <v/>
      </c>
      <c r="D41" s="129">
        <f>INDEX(Tableau1[], MATCH(Tableau3[[#This Row],[REFERENCE]], Tableau1[NUMERO], 0),4)</f>
        <v/>
      </c>
      <c r="E41" s="129">
        <f>INDEX(Tableau1[], MATCH(Tableau3[[#This Row],[REFERENCE]], Tableau1[NUMERO], 0), 5)</f>
        <v/>
      </c>
      <c r="F41" s="129">
        <f>INDEX(Tableau1[], MATCH(Tableau3[[#This Row],[REFERENCE]], Tableau1[NUMERO], 0), 6)</f>
        <v/>
      </c>
      <c r="G41" s="129">
        <f>INDEX(Tableau1[], MATCH(Tableau3[[#This Row],[REFERENCE]], Tableau1[NUMERO], 0), 7)</f>
        <v/>
      </c>
      <c r="H41" t="inlineStr">
        <is>
          <t>lasertechnic</t>
        </is>
      </c>
      <c r="J41" s="2" t="n">
        <v>43808</v>
      </c>
      <c r="K41" s="2" t="n">
        <v>43808</v>
      </c>
      <c r="L41" s="2" t="n"/>
      <c r="O41" s="7" t="n">
        <v>72</v>
      </c>
      <c r="P41" s="8" t="n"/>
      <c r="Q41" s="2" t="n">
        <v>43870</v>
      </c>
    </row>
    <row r="42">
      <c r="A42" s="8" t="n">
        <v>34406109</v>
      </c>
      <c r="B42" s="9">
        <f>INDEX(Tableau1[], MATCH(Tableau3[[#This Row],[REFERENCE]], Tableau1[NUMERO], 0), 2)</f>
        <v/>
      </c>
      <c r="C42" s="129">
        <f>INDEX(Tableau1[], MATCH(Tableau3[[#This Row],[REFERENCE]], Tableau1[NUMERO], 0), 3)</f>
        <v/>
      </c>
      <c r="D42" s="129">
        <f>INDEX(Tableau1[], MATCH(Tableau3[[#This Row],[REFERENCE]], Tableau1[NUMERO], 0),4)</f>
        <v/>
      </c>
      <c r="E42" s="129">
        <f>INDEX(Tableau1[], MATCH(Tableau3[[#This Row],[REFERENCE]], Tableau1[NUMERO], 0), 5)</f>
        <v/>
      </c>
      <c r="F42" s="129">
        <f>INDEX(Tableau1[], MATCH(Tableau3[[#This Row],[REFERENCE]], Tableau1[NUMERO], 0), 6)</f>
        <v/>
      </c>
      <c r="G42" s="129">
        <f>INDEX(Tableau1[], MATCH(Tableau3[[#This Row],[REFERENCE]], Tableau1[NUMERO], 0), 7)</f>
        <v/>
      </c>
      <c r="H42" t="inlineStr">
        <is>
          <t>LASER TECHNIQUE</t>
        </is>
      </c>
      <c r="J42" s="2" t="n">
        <v>43123</v>
      </c>
      <c r="K42" s="2" t="inlineStr">
        <is>
          <t>Oui</t>
        </is>
      </c>
      <c r="L42" s="2" t="inlineStr">
        <is>
          <t>Réponse OK</t>
        </is>
      </c>
      <c r="O42" s="7" t="n">
        <v>12.75</v>
      </c>
      <c r="P42" s="8" t="n"/>
      <c r="Q42" s="2" t="n"/>
      <c r="R42" t="inlineStr">
        <is>
          <t>relancé le 26/01/2018 par olivier</t>
        </is>
      </c>
    </row>
    <row r="43">
      <c r="A43" s="8" t="n">
        <v>34406110</v>
      </c>
      <c r="B43" s="9">
        <f>INDEX(Tableau1[], MATCH(Tableau3[[#This Row],[REFERENCE]], Tableau1[NUMERO], 0), 2)</f>
        <v/>
      </c>
      <c r="C43" s="129">
        <f>INDEX(Tableau1[], MATCH(Tableau3[[#This Row],[REFERENCE]], Tableau1[NUMERO], 0), 3)</f>
        <v/>
      </c>
      <c r="D43" s="129">
        <f>INDEX(Tableau1[], MATCH(Tableau3[[#This Row],[REFERENCE]], Tableau1[NUMERO], 0),4)</f>
        <v/>
      </c>
      <c r="E43" s="129">
        <f>INDEX(Tableau1[], MATCH(Tableau3[[#This Row],[REFERENCE]], Tableau1[NUMERO], 0), 5)</f>
        <v/>
      </c>
      <c r="F43" s="129">
        <f>INDEX(Tableau1[], MATCH(Tableau3[[#This Row],[REFERENCE]], Tableau1[NUMERO], 0), 6)</f>
        <v/>
      </c>
      <c r="G43" s="129">
        <f>INDEX(Tableau1[], MATCH(Tableau3[[#This Row],[REFERENCE]], Tableau1[NUMERO], 0), 7)</f>
        <v/>
      </c>
      <c r="H43" t="inlineStr">
        <is>
          <t>LASER TECHNIQUE</t>
        </is>
      </c>
      <c r="J43" s="2" t="n">
        <v>43123</v>
      </c>
      <c r="K43" s="2" t="inlineStr">
        <is>
          <t>Oui</t>
        </is>
      </c>
      <c r="L43" s="2" t="inlineStr">
        <is>
          <t>Réponse OK</t>
        </is>
      </c>
      <c r="O43" s="7" t="n">
        <v>15.3</v>
      </c>
      <c r="P43" s="8" t="n"/>
      <c r="Q43" s="2" t="n"/>
      <c r="R43" t="inlineStr">
        <is>
          <t>relancé le 26/01/2018 par olivier</t>
        </is>
      </c>
    </row>
    <row r="44">
      <c r="A44" s="8" t="n">
        <v>34406135</v>
      </c>
      <c r="B44" s="9">
        <f>INDEX(Tableau1[], MATCH(Tableau3[[#This Row],[REFERENCE]], Tableau1[NUMERO], 0), 2)</f>
        <v/>
      </c>
      <c r="C44" s="129">
        <f>INDEX(Tableau1[], MATCH(Tableau3[[#This Row],[REFERENCE]], Tableau1[NUMERO], 0), 3)</f>
        <v/>
      </c>
      <c r="D44" s="129">
        <f>INDEX(Tableau1[], MATCH(Tableau3[[#This Row],[REFERENCE]], Tableau1[NUMERO], 0),4)</f>
        <v/>
      </c>
      <c r="E44" s="129">
        <f>INDEX(Tableau1[], MATCH(Tableau3[[#This Row],[REFERENCE]], Tableau1[NUMERO], 0), 5)</f>
        <v/>
      </c>
      <c r="F44" s="129">
        <f>INDEX(Tableau1[], MATCH(Tableau3[[#This Row],[REFERENCE]], Tableau1[NUMERO], 0), 6)</f>
        <v/>
      </c>
      <c r="G44" s="129">
        <f>INDEX(Tableau1[], MATCH(Tableau3[[#This Row],[REFERENCE]], Tableau1[NUMERO], 0), 7)</f>
        <v/>
      </c>
      <c r="H44" t="inlineStr">
        <is>
          <t>LASER TECHNIQUE</t>
        </is>
      </c>
      <c r="J44" s="2" t="n">
        <v>43123</v>
      </c>
      <c r="K44" s="2" t="inlineStr">
        <is>
          <t>Oui</t>
        </is>
      </c>
      <c r="L44" s="2" t="inlineStr">
        <is>
          <t>Réponse OK</t>
        </is>
      </c>
      <c r="O44" s="7" t="n">
        <v>45.05</v>
      </c>
      <c r="P44" s="8" t="n"/>
      <c r="Q44" s="2" t="n"/>
      <c r="R44" t="inlineStr">
        <is>
          <t>relancé le 26/01/2018 par olivier</t>
        </is>
      </c>
    </row>
    <row r="45">
      <c r="A45" s="8" t="n">
        <v>34406161</v>
      </c>
      <c r="B45" s="9">
        <f>INDEX(Tableau1[], MATCH(Tableau3[[#This Row],[REFERENCE]], Tableau1[NUMERO], 0), 2)</f>
        <v/>
      </c>
      <c r="C45" s="129">
        <f>INDEX(Tableau1[], MATCH(Tableau3[[#This Row],[REFERENCE]], Tableau1[NUMERO], 0), 3)</f>
        <v/>
      </c>
      <c r="D45" s="129">
        <f>INDEX(Tableau1[], MATCH(Tableau3[[#This Row],[REFERENCE]], Tableau1[NUMERO], 0),4)</f>
        <v/>
      </c>
      <c r="E45" s="129">
        <f>INDEX(Tableau1[], MATCH(Tableau3[[#This Row],[REFERENCE]], Tableau1[NUMERO], 0), 5)</f>
        <v/>
      </c>
      <c r="F45" s="129">
        <f>INDEX(Tableau1[], MATCH(Tableau3[[#This Row],[REFERENCE]], Tableau1[NUMERO], 0), 6)</f>
        <v/>
      </c>
      <c r="G45" s="129">
        <f>INDEX(Tableau1[], MATCH(Tableau3[[#This Row],[REFERENCE]], Tableau1[NUMERO], 0), 7)</f>
        <v/>
      </c>
      <c r="H45" t="inlineStr">
        <is>
          <t>LASER TECHNIQUE</t>
        </is>
      </c>
      <c r="J45" s="2" t="n">
        <v>43123</v>
      </c>
      <c r="K45" s="2" t="inlineStr">
        <is>
          <t>Oui</t>
        </is>
      </c>
      <c r="L45" s="2" t="inlineStr">
        <is>
          <t>Réponse OK</t>
        </is>
      </c>
      <c r="O45" s="7" t="n">
        <v>64.59999999999999</v>
      </c>
      <c r="P45" s="8" t="n"/>
      <c r="Q45" s="2" t="n"/>
      <c r="R45" t="inlineStr">
        <is>
          <t>relancé le 26/01/2018 par olivier</t>
        </is>
      </c>
    </row>
    <row r="46">
      <c r="A46" s="8" t="n">
        <v>34406164</v>
      </c>
      <c r="B46" s="9">
        <f>INDEX(Tableau1[], MATCH(Tableau3[[#This Row],[REFERENCE]], Tableau1[NUMERO], 0), 2)</f>
        <v/>
      </c>
      <c r="C46" s="129">
        <f>INDEX(Tableau1[], MATCH(Tableau3[[#This Row],[REFERENCE]], Tableau1[NUMERO], 0), 3)</f>
        <v/>
      </c>
      <c r="D46" s="129">
        <f>INDEX(Tableau1[], MATCH(Tableau3[[#This Row],[REFERENCE]], Tableau1[NUMERO], 0),4)</f>
        <v/>
      </c>
      <c r="E46" s="129">
        <f>INDEX(Tableau1[], MATCH(Tableau3[[#This Row],[REFERENCE]], Tableau1[NUMERO], 0), 5)</f>
        <v/>
      </c>
      <c r="F46" s="129">
        <f>INDEX(Tableau1[], MATCH(Tableau3[[#This Row],[REFERENCE]], Tableau1[NUMERO], 0), 6)</f>
        <v/>
      </c>
      <c r="G46" s="129">
        <f>INDEX(Tableau1[], MATCH(Tableau3[[#This Row],[REFERENCE]], Tableau1[NUMERO], 0), 7)</f>
        <v/>
      </c>
      <c r="H46" t="inlineStr">
        <is>
          <t>LASER TECHNIQUE</t>
        </is>
      </c>
      <c r="J46" s="2" t="n">
        <v>43123</v>
      </c>
      <c r="K46" s="2" t="inlineStr">
        <is>
          <t>Oui</t>
        </is>
      </c>
      <c r="L46" s="2" t="inlineStr">
        <is>
          <t>Réponse OK</t>
        </is>
      </c>
      <c r="O46" s="7" t="n">
        <v>34</v>
      </c>
      <c r="P46" s="8" t="n"/>
      <c r="Q46" s="2" t="n"/>
      <c r="R46" t="inlineStr">
        <is>
          <t>relancé le 26/01/2018 par olivier</t>
        </is>
      </c>
    </row>
    <row r="47">
      <c r="A47" s="8" t="n">
        <v>34406184</v>
      </c>
      <c r="B47" s="9">
        <f>INDEX(Tableau1[], MATCH(Tableau3[[#This Row],[REFERENCE]], Tableau1[NUMERO], 0), 2)</f>
        <v/>
      </c>
      <c r="C47" s="129">
        <f>INDEX(Tableau1[], MATCH(Tableau3[[#This Row],[REFERENCE]], Tableau1[NUMERO], 0), 3)</f>
        <v/>
      </c>
      <c r="D47" s="129">
        <f>INDEX(Tableau1[], MATCH(Tableau3[[#This Row],[REFERENCE]], Tableau1[NUMERO], 0),4)</f>
        <v/>
      </c>
      <c r="E47" s="129">
        <f>INDEX(Tableau1[], MATCH(Tableau3[[#This Row],[REFERENCE]], Tableau1[NUMERO], 0), 5)</f>
        <v/>
      </c>
      <c r="F47" s="129">
        <f>INDEX(Tableau1[], MATCH(Tableau3[[#This Row],[REFERENCE]], Tableau1[NUMERO], 0), 6)</f>
        <v/>
      </c>
      <c r="G47" s="129">
        <f>INDEX(Tableau1[], MATCH(Tableau3[[#This Row],[REFERENCE]], Tableau1[NUMERO], 0), 7)</f>
        <v/>
      </c>
      <c r="H47" t="inlineStr">
        <is>
          <t>LASER TECHNIQUE</t>
        </is>
      </c>
      <c r="J47" s="2" t="n">
        <v>43123</v>
      </c>
      <c r="K47" s="2" t="inlineStr">
        <is>
          <t>Oui</t>
        </is>
      </c>
      <c r="L47" s="2" t="inlineStr">
        <is>
          <t>Réponse OK</t>
        </is>
      </c>
      <c r="O47" s="7" t="n">
        <v>29.75</v>
      </c>
      <c r="P47" s="8" t="n"/>
      <c r="Q47" s="2" t="n"/>
      <c r="R47" t="inlineStr">
        <is>
          <t>relancé le 26/01/2018 par olivier</t>
        </is>
      </c>
    </row>
    <row r="48">
      <c r="A48" s="8" t="n">
        <v>34406185</v>
      </c>
      <c r="B48" s="9">
        <f>INDEX(Tableau1[], MATCH(Tableau3[[#This Row],[REFERENCE]], Tableau1[NUMERO], 0), 2)</f>
        <v/>
      </c>
      <c r="C48" s="129">
        <f>INDEX(Tableau1[], MATCH(Tableau3[[#This Row],[REFERENCE]], Tableau1[NUMERO], 0), 3)</f>
        <v/>
      </c>
      <c r="D48" s="129">
        <f>INDEX(Tableau1[], MATCH(Tableau3[[#This Row],[REFERENCE]], Tableau1[NUMERO], 0),4)</f>
        <v/>
      </c>
      <c r="E48" s="129">
        <f>INDEX(Tableau1[], MATCH(Tableau3[[#This Row],[REFERENCE]], Tableau1[NUMERO], 0), 5)</f>
        <v/>
      </c>
      <c r="F48" s="129">
        <f>INDEX(Tableau1[], MATCH(Tableau3[[#This Row],[REFERENCE]], Tableau1[NUMERO], 0), 6)</f>
        <v/>
      </c>
      <c r="G48" s="129">
        <f>INDEX(Tableau1[], MATCH(Tableau3[[#This Row],[REFERENCE]], Tableau1[NUMERO], 0), 7)</f>
        <v/>
      </c>
      <c r="H48" t="inlineStr">
        <is>
          <t>LASER TECHNIQUE</t>
        </is>
      </c>
      <c r="J48" s="2" t="n">
        <v>43123</v>
      </c>
      <c r="K48" s="2" t="inlineStr">
        <is>
          <t>Oui</t>
        </is>
      </c>
      <c r="L48" s="2" t="inlineStr">
        <is>
          <t>Réponse OK</t>
        </is>
      </c>
      <c r="O48" s="7" t="n">
        <v>16.15</v>
      </c>
      <c r="P48" s="8" t="n"/>
      <c r="Q48" s="2" t="n"/>
      <c r="R48" t="inlineStr">
        <is>
          <t>relancé le 26/01/2018 par olivier</t>
        </is>
      </c>
    </row>
    <row r="49">
      <c r="A49" s="8" t="n">
        <v>34406186</v>
      </c>
      <c r="B49" s="9">
        <f>INDEX(Tableau1[], MATCH(Tableau3[[#This Row],[REFERENCE]], Tableau1[NUMERO], 0), 2)</f>
        <v/>
      </c>
      <c r="C49" s="129">
        <f>INDEX(Tableau1[], MATCH(Tableau3[[#This Row],[REFERENCE]], Tableau1[NUMERO], 0), 3)</f>
        <v/>
      </c>
      <c r="D49" s="129">
        <f>INDEX(Tableau1[], MATCH(Tableau3[[#This Row],[REFERENCE]], Tableau1[NUMERO], 0),4)</f>
        <v/>
      </c>
      <c r="E49" s="129">
        <f>INDEX(Tableau1[], MATCH(Tableau3[[#This Row],[REFERENCE]], Tableau1[NUMERO], 0), 5)</f>
        <v/>
      </c>
      <c r="F49" s="129">
        <f>INDEX(Tableau1[], MATCH(Tableau3[[#This Row],[REFERENCE]], Tableau1[NUMERO], 0), 6)</f>
        <v/>
      </c>
      <c r="G49" s="129">
        <f>INDEX(Tableau1[], MATCH(Tableau3[[#This Row],[REFERENCE]], Tableau1[NUMERO], 0), 7)</f>
        <v/>
      </c>
      <c r="H49" t="inlineStr">
        <is>
          <t>LASER TECHNIQUE</t>
        </is>
      </c>
      <c r="J49" s="2" t="n">
        <v>43123</v>
      </c>
      <c r="K49" s="2" t="inlineStr">
        <is>
          <t>Oui</t>
        </is>
      </c>
      <c r="L49" s="2" t="inlineStr">
        <is>
          <t>Réponse OK</t>
        </is>
      </c>
      <c r="O49" s="7" t="n">
        <v>68</v>
      </c>
      <c r="P49" s="8" t="n"/>
      <c r="Q49" s="2" t="n"/>
      <c r="R49" t="inlineStr">
        <is>
          <t>relancé le 26/01/2018 par olivier</t>
        </is>
      </c>
    </row>
    <row r="50">
      <c r="A50" s="8" t="n">
        <v>34406188</v>
      </c>
      <c r="B50" s="9">
        <f>INDEX(Tableau1[], MATCH(Tableau3[[#This Row],[REFERENCE]], Tableau1[NUMERO], 0), 2)</f>
        <v/>
      </c>
      <c r="C50" s="129">
        <f>INDEX(Tableau1[], MATCH(Tableau3[[#This Row],[REFERENCE]], Tableau1[NUMERO], 0), 3)</f>
        <v/>
      </c>
      <c r="D50" s="129">
        <f>INDEX(Tableau1[], MATCH(Tableau3[[#This Row],[REFERENCE]], Tableau1[NUMERO], 0),4)</f>
        <v/>
      </c>
      <c r="E50" s="129">
        <f>INDEX(Tableau1[], MATCH(Tableau3[[#This Row],[REFERENCE]], Tableau1[NUMERO], 0), 5)</f>
        <v/>
      </c>
      <c r="F50" s="129">
        <f>INDEX(Tableau1[], MATCH(Tableau3[[#This Row],[REFERENCE]], Tableau1[NUMERO], 0), 6)</f>
        <v/>
      </c>
      <c r="G50" s="129">
        <f>INDEX(Tableau1[], MATCH(Tableau3[[#This Row],[REFERENCE]], Tableau1[NUMERO], 0), 7)</f>
        <v/>
      </c>
      <c r="H50" t="inlineStr">
        <is>
          <t>LASER TECHNIQUE</t>
        </is>
      </c>
      <c r="J50" s="2" t="n">
        <v>43123</v>
      </c>
      <c r="K50" s="2" t="inlineStr">
        <is>
          <t>Oui</t>
        </is>
      </c>
      <c r="L50" s="2" t="inlineStr">
        <is>
          <t>Réponse OK</t>
        </is>
      </c>
      <c r="O50" s="7" t="n">
        <v>16.15</v>
      </c>
      <c r="P50" s="8" t="n"/>
      <c r="Q50" s="2" t="n"/>
      <c r="R50" t="inlineStr">
        <is>
          <t>relancé le 26/01/2018 par olivier</t>
        </is>
      </c>
    </row>
    <row r="51">
      <c r="A51" s="8" t="n">
        <v>34406196</v>
      </c>
      <c r="B51" s="9">
        <f>INDEX(Tableau1[], MATCH(Tableau3[[#This Row],[REFERENCE]], Tableau1[NUMERO], 0), 2)</f>
        <v/>
      </c>
      <c r="C51" s="129">
        <f>INDEX(Tableau1[], MATCH(Tableau3[[#This Row],[REFERENCE]], Tableau1[NUMERO], 0), 3)</f>
        <v/>
      </c>
      <c r="D51" s="129">
        <f>INDEX(Tableau1[], MATCH(Tableau3[[#This Row],[REFERENCE]], Tableau1[NUMERO], 0),4)</f>
        <v/>
      </c>
      <c r="E51" s="129">
        <f>INDEX(Tableau1[], MATCH(Tableau3[[#This Row],[REFERENCE]], Tableau1[NUMERO], 0), 5)</f>
        <v/>
      </c>
      <c r="F51" s="129">
        <f>INDEX(Tableau1[], MATCH(Tableau3[[#This Row],[REFERENCE]], Tableau1[NUMERO], 0), 6)</f>
        <v/>
      </c>
      <c r="G51" s="129">
        <f>INDEX(Tableau1[], MATCH(Tableau3[[#This Row],[REFERENCE]], Tableau1[NUMERO], 0), 7)</f>
        <v/>
      </c>
      <c r="H51" t="inlineStr">
        <is>
          <t>LASER TECHNIQUE</t>
        </is>
      </c>
      <c r="J51" s="2" t="n">
        <v>43123</v>
      </c>
      <c r="K51" s="2" t="inlineStr">
        <is>
          <t>Oui</t>
        </is>
      </c>
      <c r="L51" s="2" t="inlineStr">
        <is>
          <t>Réponse OK</t>
        </is>
      </c>
      <c r="O51" s="7" t="n">
        <v>25.5</v>
      </c>
      <c r="P51" s="8" t="n"/>
      <c r="Q51" s="2" t="n"/>
      <c r="R51" t="inlineStr">
        <is>
          <t>relancé le 26/01/2018 par olivier</t>
        </is>
      </c>
    </row>
    <row r="52">
      <c r="A52" s="8" t="n">
        <v>34406197</v>
      </c>
      <c r="B52" s="9">
        <f>INDEX(Tableau1[], MATCH(Tableau3[[#This Row],[REFERENCE]], Tableau1[NUMERO], 0), 2)</f>
        <v/>
      </c>
      <c r="C52" s="129">
        <f>INDEX(Tableau1[], MATCH(Tableau3[[#This Row],[REFERENCE]], Tableau1[NUMERO], 0), 3)</f>
        <v/>
      </c>
      <c r="D52" s="129">
        <f>INDEX(Tableau1[], MATCH(Tableau3[[#This Row],[REFERENCE]], Tableau1[NUMERO], 0),4)</f>
        <v/>
      </c>
      <c r="E52" s="129">
        <f>INDEX(Tableau1[], MATCH(Tableau3[[#This Row],[REFERENCE]], Tableau1[NUMERO], 0), 5)</f>
        <v/>
      </c>
      <c r="F52" s="129">
        <f>INDEX(Tableau1[], MATCH(Tableau3[[#This Row],[REFERENCE]], Tableau1[NUMERO], 0), 6)</f>
        <v/>
      </c>
      <c r="G52" s="129">
        <f>INDEX(Tableau1[], MATCH(Tableau3[[#This Row],[REFERENCE]], Tableau1[NUMERO], 0), 7)</f>
        <v/>
      </c>
      <c r="H52" t="inlineStr">
        <is>
          <t>LASER TECHNIQUE</t>
        </is>
      </c>
      <c r="J52" s="2" t="n">
        <v>43123</v>
      </c>
      <c r="K52" s="2" t="inlineStr">
        <is>
          <t>Oui</t>
        </is>
      </c>
      <c r="L52" s="2" t="inlineStr">
        <is>
          <t>Réponse OK</t>
        </is>
      </c>
      <c r="O52" s="7" t="n">
        <v>35.7</v>
      </c>
      <c r="P52" s="8" t="n"/>
      <c r="Q52" s="2" t="n"/>
      <c r="R52" t="inlineStr">
        <is>
          <t>relancé le 26/01/2018 par olivier</t>
        </is>
      </c>
    </row>
    <row r="53">
      <c r="A53" s="8" t="n">
        <v>34406198</v>
      </c>
      <c r="B53" s="9">
        <f>INDEX(Tableau1[], MATCH(Tableau3[[#This Row],[REFERENCE]], Tableau1[NUMERO], 0), 2)</f>
        <v/>
      </c>
      <c r="C53" s="129">
        <f>INDEX(Tableau1[], MATCH(Tableau3[[#This Row],[REFERENCE]], Tableau1[NUMERO], 0), 3)</f>
        <v/>
      </c>
      <c r="D53" s="129">
        <f>INDEX(Tableau1[], MATCH(Tableau3[[#This Row],[REFERENCE]], Tableau1[NUMERO], 0),4)</f>
        <v/>
      </c>
      <c r="E53" s="129">
        <f>INDEX(Tableau1[], MATCH(Tableau3[[#This Row],[REFERENCE]], Tableau1[NUMERO], 0), 5)</f>
        <v/>
      </c>
      <c r="F53" s="129">
        <f>INDEX(Tableau1[], MATCH(Tableau3[[#This Row],[REFERENCE]], Tableau1[NUMERO], 0), 6)</f>
        <v/>
      </c>
      <c r="G53" s="129">
        <f>INDEX(Tableau1[], MATCH(Tableau3[[#This Row],[REFERENCE]], Tableau1[NUMERO], 0), 7)</f>
        <v/>
      </c>
      <c r="H53" t="inlineStr">
        <is>
          <t>LASER TECHNIQUE</t>
        </is>
      </c>
      <c r="J53" s="2" t="n">
        <v>43123</v>
      </c>
      <c r="K53" s="2" t="inlineStr">
        <is>
          <t>Oui</t>
        </is>
      </c>
      <c r="L53" s="2" t="inlineStr">
        <is>
          <t>Réponse OK</t>
        </is>
      </c>
      <c r="O53" s="7" t="n">
        <v>37.4</v>
      </c>
      <c r="P53" s="8" t="n"/>
      <c r="Q53" s="2" t="n"/>
      <c r="R53" t="inlineStr">
        <is>
          <t>relancé le 26/01/2018 par olivier</t>
        </is>
      </c>
    </row>
    <row r="54">
      <c r="A54" s="8" t="n">
        <v>34406199</v>
      </c>
      <c r="B54" s="9">
        <f>INDEX(Tableau1[], MATCH(Tableau3[[#This Row],[REFERENCE]], Tableau1[NUMERO], 0), 2)</f>
        <v/>
      </c>
      <c r="C54" s="129">
        <f>INDEX(Tableau1[], MATCH(Tableau3[[#This Row],[REFERENCE]], Tableau1[NUMERO], 0), 3)</f>
        <v/>
      </c>
      <c r="D54" s="129">
        <f>INDEX(Tableau1[], MATCH(Tableau3[[#This Row],[REFERENCE]], Tableau1[NUMERO], 0),4)</f>
        <v/>
      </c>
      <c r="E54" s="129">
        <f>INDEX(Tableau1[], MATCH(Tableau3[[#This Row],[REFERENCE]], Tableau1[NUMERO], 0), 5)</f>
        <v/>
      </c>
      <c r="F54" s="129">
        <f>INDEX(Tableau1[], MATCH(Tableau3[[#This Row],[REFERENCE]], Tableau1[NUMERO], 0), 6)</f>
        <v/>
      </c>
      <c r="G54" s="129">
        <f>INDEX(Tableau1[], MATCH(Tableau3[[#This Row],[REFERENCE]], Tableau1[NUMERO], 0), 7)</f>
        <v/>
      </c>
      <c r="H54" t="inlineStr">
        <is>
          <t>LASER TECHNIQUE</t>
        </is>
      </c>
      <c r="J54" s="2" t="n">
        <v>43123</v>
      </c>
      <c r="K54" s="2" t="inlineStr">
        <is>
          <t>Oui</t>
        </is>
      </c>
      <c r="L54" s="2" t="inlineStr">
        <is>
          <t>Réponse OK</t>
        </is>
      </c>
      <c r="O54" s="7" t="n">
        <v>63.75</v>
      </c>
      <c r="P54" s="8" t="n"/>
      <c r="Q54" s="2" t="n"/>
      <c r="R54" t="inlineStr">
        <is>
          <t>relancé le 26/01/2018 par olivier</t>
        </is>
      </c>
    </row>
    <row r="55">
      <c r="A55" s="8" t="n">
        <v>34406204</v>
      </c>
      <c r="B55" s="9">
        <f>INDEX(Tableau1[], MATCH(Tableau3[[#This Row],[REFERENCE]], Tableau1[NUMERO], 0), 2)</f>
        <v/>
      </c>
      <c r="C55" s="129">
        <f>INDEX(Tableau1[], MATCH(Tableau3[[#This Row],[REFERENCE]], Tableau1[NUMERO], 0), 3)</f>
        <v/>
      </c>
      <c r="D55" s="129">
        <f>INDEX(Tableau1[], MATCH(Tableau3[[#This Row],[REFERENCE]], Tableau1[NUMERO], 0),4)</f>
        <v/>
      </c>
      <c r="E55" s="129">
        <f>INDEX(Tableau1[], MATCH(Tableau3[[#This Row],[REFERENCE]], Tableau1[NUMERO], 0), 5)</f>
        <v/>
      </c>
      <c r="F55" s="129">
        <f>INDEX(Tableau1[], MATCH(Tableau3[[#This Row],[REFERENCE]], Tableau1[NUMERO], 0), 6)</f>
        <v/>
      </c>
      <c r="G55" s="129">
        <f>INDEX(Tableau1[], MATCH(Tableau3[[#This Row],[REFERENCE]], Tableau1[NUMERO], 0), 7)</f>
        <v/>
      </c>
      <c r="H55" t="inlineStr">
        <is>
          <t>LASER TECHNIQUE</t>
        </is>
      </c>
      <c r="J55" s="2" t="n">
        <v>43123</v>
      </c>
      <c r="K55" s="2" t="inlineStr">
        <is>
          <t>Oui</t>
        </is>
      </c>
      <c r="L55" s="2" t="inlineStr">
        <is>
          <t>Réponse OK</t>
        </is>
      </c>
      <c r="O55" s="7" t="n">
        <v>69.7</v>
      </c>
      <c r="P55" s="8" t="n"/>
      <c r="Q55" s="2" t="n"/>
      <c r="R55" t="inlineStr">
        <is>
          <t>relancé le 26/01/2018 par olivier</t>
        </is>
      </c>
    </row>
    <row r="56">
      <c r="A56" s="8" t="n">
        <v>34406205</v>
      </c>
      <c r="B56" s="9">
        <f>INDEX(Tableau1[], MATCH(Tableau3[[#This Row],[REFERENCE]], Tableau1[NUMERO], 0), 2)</f>
        <v/>
      </c>
      <c r="C56" s="129">
        <f>INDEX(Tableau1[], MATCH(Tableau3[[#This Row],[REFERENCE]], Tableau1[NUMERO], 0), 3)</f>
        <v/>
      </c>
      <c r="D56" s="129">
        <f>INDEX(Tableau1[], MATCH(Tableau3[[#This Row],[REFERENCE]], Tableau1[NUMERO], 0),4)</f>
        <v/>
      </c>
      <c r="E56" s="129">
        <f>INDEX(Tableau1[], MATCH(Tableau3[[#This Row],[REFERENCE]], Tableau1[NUMERO], 0), 5)</f>
        <v/>
      </c>
      <c r="F56" s="129">
        <f>INDEX(Tableau1[], MATCH(Tableau3[[#This Row],[REFERENCE]], Tableau1[NUMERO], 0), 6)</f>
        <v/>
      </c>
      <c r="G56" s="129">
        <f>INDEX(Tableau1[], MATCH(Tableau3[[#This Row],[REFERENCE]], Tableau1[NUMERO], 0), 7)</f>
        <v/>
      </c>
      <c r="H56" t="inlineStr">
        <is>
          <t>LASER TECHNIQUE</t>
        </is>
      </c>
      <c r="J56" s="2" t="n">
        <v>43123</v>
      </c>
      <c r="K56" s="2" t="inlineStr">
        <is>
          <t>Oui</t>
        </is>
      </c>
      <c r="L56" s="2" t="inlineStr">
        <is>
          <t>Réponse OK</t>
        </is>
      </c>
      <c r="O56" s="7" t="n">
        <v>69.7</v>
      </c>
      <c r="P56" s="8" t="n"/>
      <c r="Q56" s="2" t="n"/>
      <c r="R56" t="inlineStr">
        <is>
          <t>relancé le 26/01/2018 par olivier</t>
        </is>
      </c>
    </row>
    <row r="57">
      <c r="A57" s="8" t="n">
        <v>34406207</v>
      </c>
      <c r="B57" s="9">
        <f>INDEX(Tableau1[], MATCH(Tableau3[[#This Row],[REFERENCE]], Tableau1[NUMERO], 0), 2)</f>
        <v/>
      </c>
      <c r="C57" s="129">
        <f>INDEX(Tableau1[], MATCH(Tableau3[[#This Row],[REFERENCE]], Tableau1[NUMERO], 0), 3)</f>
        <v/>
      </c>
      <c r="D57" s="129">
        <f>INDEX(Tableau1[], MATCH(Tableau3[[#This Row],[REFERENCE]], Tableau1[NUMERO], 0),4)</f>
        <v/>
      </c>
      <c r="E57" s="129">
        <f>INDEX(Tableau1[], MATCH(Tableau3[[#This Row],[REFERENCE]], Tableau1[NUMERO], 0), 5)</f>
        <v/>
      </c>
      <c r="F57" s="129">
        <f>INDEX(Tableau1[], MATCH(Tableau3[[#This Row],[REFERENCE]], Tableau1[NUMERO], 0), 6)</f>
        <v/>
      </c>
      <c r="G57" s="129">
        <f>INDEX(Tableau1[], MATCH(Tableau3[[#This Row],[REFERENCE]], Tableau1[NUMERO], 0), 7)</f>
        <v/>
      </c>
      <c r="H57" t="inlineStr">
        <is>
          <t>LASER TECHNIQUE</t>
        </is>
      </c>
      <c r="J57" s="2" t="n">
        <v>43123</v>
      </c>
      <c r="K57" s="2" t="inlineStr">
        <is>
          <t>Oui</t>
        </is>
      </c>
      <c r="L57" s="2" t="inlineStr">
        <is>
          <t>Réponse OK</t>
        </is>
      </c>
      <c r="O57" s="7" t="n">
        <v>29.75</v>
      </c>
      <c r="P57" s="8" t="n"/>
      <c r="Q57" s="2" t="n"/>
      <c r="R57" t="inlineStr">
        <is>
          <t>relancé le 26/01/2018 par olivier</t>
        </is>
      </c>
    </row>
    <row r="58">
      <c r="A58" s="8" t="n">
        <v>34406289</v>
      </c>
      <c r="B58" s="9">
        <f>INDEX(Tableau1[], MATCH(Tableau3[[#This Row],[REFERENCE]], Tableau1[NUMERO], 0), 2)</f>
        <v/>
      </c>
      <c r="C58" s="129">
        <f>INDEX(Tableau1[], MATCH(Tableau3[[#This Row],[REFERENCE]], Tableau1[NUMERO], 0), 3)</f>
        <v/>
      </c>
      <c r="D58" s="129">
        <f>INDEX(Tableau1[], MATCH(Tableau3[[#This Row],[REFERENCE]], Tableau1[NUMERO], 0),4)</f>
        <v/>
      </c>
      <c r="E58" s="129">
        <f>INDEX(Tableau1[], MATCH(Tableau3[[#This Row],[REFERENCE]], Tableau1[NUMERO], 0), 5)</f>
        <v/>
      </c>
      <c r="F58" s="129">
        <f>INDEX(Tableau1[], MATCH(Tableau3[[#This Row],[REFERENCE]], Tableau1[NUMERO], 0), 6)</f>
        <v/>
      </c>
      <c r="G58" s="129">
        <f>INDEX(Tableau1[], MATCH(Tableau3[[#This Row],[REFERENCE]], Tableau1[NUMERO], 0), 7)</f>
        <v/>
      </c>
      <c r="H58" t="inlineStr">
        <is>
          <t>LASER TECHNIQUE</t>
        </is>
      </c>
      <c r="J58" s="2" t="n">
        <v>43123</v>
      </c>
      <c r="K58" s="2" t="inlineStr">
        <is>
          <t>Oui</t>
        </is>
      </c>
      <c r="L58" s="2" t="inlineStr">
        <is>
          <t>Réponse OK</t>
        </is>
      </c>
      <c r="O58" s="7" t="n">
        <v>16.15</v>
      </c>
      <c r="P58" s="8" t="n"/>
      <c r="Q58" s="2" t="n"/>
      <c r="R58" t="inlineStr">
        <is>
          <t>relancé le 26/01/2018 par olivier</t>
        </is>
      </c>
    </row>
    <row r="59">
      <c r="A59" s="8" t="n">
        <v>34406310</v>
      </c>
      <c r="B59" s="9">
        <f>INDEX(Tableau1[], MATCH(Tableau3[[#This Row],[REFERENCE]], Tableau1[NUMERO], 0), 2)</f>
        <v/>
      </c>
      <c r="C59" s="129">
        <f>INDEX(Tableau1[], MATCH(Tableau3[[#This Row],[REFERENCE]], Tableau1[NUMERO], 0), 3)</f>
        <v/>
      </c>
      <c r="D59" s="129">
        <f>INDEX(Tableau1[], MATCH(Tableau3[[#This Row],[REFERENCE]], Tableau1[NUMERO], 0),4)</f>
        <v/>
      </c>
      <c r="E59" s="129">
        <f>INDEX(Tableau1[], MATCH(Tableau3[[#This Row],[REFERENCE]], Tableau1[NUMERO], 0), 5)</f>
        <v/>
      </c>
      <c r="F59" s="129">
        <f>INDEX(Tableau1[], MATCH(Tableau3[[#This Row],[REFERENCE]], Tableau1[NUMERO], 0), 6)</f>
        <v/>
      </c>
      <c r="G59" s="129">
        <f>INDEX(Tableau1[], MATCH(Tableau3[[#This Row],[REFERENCE]], Tableau1[NUMERO], 0), 7)</f>
        <v/>
      </c>
      <c r="H59" t="inlineStr">
        <is>
          <t>trefimetaux</t>
        </is>
      </c>
      <c r="J59" s="2" t="n">
        <v>43123</v>
      </c>
      <c r="K59" s="2" t="n">
        <v>43125</v>
      </c>
      <c r="L59" s="2" t="inlineStr">
        <is>
          <t>Réponse OK</t>
        </is>
      </c>
      <c r="O59" s="7" t="n">
        <v>5.7</v>
      </c>
      <c r="P59" s="8" t="inlineStr">
        <is>
          <t>non précisé</t>
        </is>
      </c>
      <c r="Q59" s="2" t="n"/>
    </row>
    <row r="60">
      <c r="A60" s="8" t="n">
        <v>34406311</v>
      </c>
      <c r="B60" s="9">
        <f>INDEX(Tableau1[], MATCH(Tableau3[[#This Row],[REFERENCE]], Tableau1[NUMERO], 0), 2)</f>
        <v/>
      </c>
      <c r="C60" s="129">
        <f>INDEX(Tableau1[], MATCH(Tableau3[[#This Row],[REFERENCE]], Tableau1[NUMERO], 0), 3)</f>
        <v/>
      </c>
      <c r="D60" s="129">
        <f>INDEX(Tableau1[], MATCH(Tableau3[[#This Row],[REFERENCE]], Tableau1[NUMERO], 0),4)</f>
        <v/>
      </c>
      <c r="E60" s="129">
        <f>INDEX(Tableau1[], MATCH(Tableau3[[#This Row],[REFERENCE]], Tableau1[NUMERO], 0), 5)</f>
        <v/>
      </c>
      <c r="F60" s="129">
        <f>INDEX(Tableau1[], MATCH(Tableau3[[#This Row],[REFERENCE]], Tableau1[NUMERO], 0), 6)</f>
        <v/>
      </c>
      <c r="G60" s="129">
        <f>INDEX(Tableau1[], MATCH(Tableau3[[#This Row],[REFERENCE]], Tableau1[NUMERO], 0), 7)</f>
        <v/>
      </c>
      <c r="H60" t="inlineStr">
        <is>
          <t>trefimetaux</t>
        </is>
      </c>
      <c r="J60" s="2" t="n">
        <v>43123</v>
      </c>
      <c r="K60" s="2" t="n">
        <v>43125</v>
      </c>
      <c r="L60" s="2" t="inlineStr">
        <is>
          <t>Réponse OK</t>
        </is>
      </c>
      <c r="O60" s="7" t="n">
        <v>15</v>
      </c>
      <c r="P60" s="8" t="inlineStr">
        <is>
          <t>non précisé</t>
        </is>
      </c>
      <c r="Q60" s="2" t="n"/>
    </row>
    <row r="61">
      <c r="A61" s="8" t="n">
        <v>34406312</v>
      </c>
      <c r="B61" s="9">
        <f>INDEX(Tableau1[], MATCH(Tableau3[[#This Row],[REFERENCE]], Tableau1[NUMERO], 0), 2)</f>
        <v/>
      </c>
      <c r="C61" s="129">
        <f>INDEX(Tableau1[], MATCH(Tableau3[[#This Row],[REFERENCE]], Tableau1[NUMERO], 0), 3)</f>
        <v/>
      </c>
      <c r="D61" s="129">
        <f>INDEX(Tableau1[], MATCH(Tableau3[[#This Row],[REFERENCE]], Tableau1[NUMERO], 0),4)</f>
        <v/>
      </c>
      <c r="E61" s="129">
        <f>INDEX(Tableau1[], MATCH(Tableau3[[#This Row],[REFERENCE]], Tableau1[NUMERO], 0), 5)</f>
        <v/>
      </c>
      <c r="F61" s="129">
        <f>INDEX(Tableau1[], MATCH(Tableau3[[#This Row],[REFERENCE]], Tableau1[NUMERO], 0), 6)</f>
        <v/>
      </c>
      <c r="G61" s="129">
        <f>INDEX(Tableau1[], MATCH(Tableau3[[#This Row],[REFERENCE]], Tableau1[NUMERO], 0), 7)</f>
        <v/>
      </c>
      <c r="H61" t="inlineStr">
        <is>
          <t>trefimetaux</t>
        </is>
      </c>
      <c r="J61" s="2" t="n">
        <v>43123</v>
      </c>
      <c r="K61" s="2" t="n">
        <v>43125</v>
      </c>
      <c r="L61" s="2" t="inlineStr">
        <is>
          <t>Réponse OK</t>
        </is>
      </c>
      <c r="O61" s="7" t="n">
        <v>15</v>
      </c>
      <c r="P61" s="8" t="inlineStr">
        <is>
          <t>non précisé</t>
        </is>
      </c>
      <c r="Q61" s="2" t="n"/>
    </row>
    <row r="62">
      <c r="A62" s="8" t="n">
        <v>34406326</v>
      </c>
      <c r="B62" s="9">
        <f>INDEX(Tableau1[], MATCH(Tableau3[[#This Row],[REFERENCE]], Tableau1[NUMERO], 0), 2)</f>
        <v/>
      </c>
      <c r="C62" s="129">
        <f>INDEX(Tableau1[], MATCH(Tableau3[[#This Row],[REFERENCE]], Tableau1[NUMERO], 0), 3)</f>
        <v/>
      </c>
      <c r="D62" s="129">
        <f>INDEX(Tableau1[], MATCH(Tableau3[[#This Row],[REFERENCE]], Tableau1[NUMERO], 0),4)</f>
        <v/>
      </c>
      <c r="E62" s="129">
        <f>INDEX(Tableau1[], MATCH(Tableau3[[#This Row],[REFERENCE]], Tableau1[NUMERO], 0), 5)</f>
        <v/>
      </c>
      <c r="F62" s="129">
        <f>INDEX(Tableau1[], MATCH(Tableau3[[#This Row],[REFERENCE]], Tableau1[NUMERO], 0), 6)</f>
        <v/>
      </c>
      <c r="G62" s="129">
        <f>INDEX(Tableau1[], MATCH(Tableau3[[#This Row],[REFERENCE]], Tableau1[NUMERO], 0), 7)</f>
        <v/>
      </c>
      <c r="H62" t="inlineStr">
        <is>
          <t>trefimetaux</t>
        </is>
      </c>
      <c r="J62" s="2" t="n">
        <v>43123</v>
      </c>
      <c r="K62" s="2" t="n">
        <v>43125</v>
      </c>
      <c r="L62" s="2" t="inlineStr">
        <is>
          <t>Réponse OK</t>
        </is>
      </c>
      <c r="O62" s="7" t="n">
        <v>43.1</v>
      </c>
      <c r="P62" s="8" t="inlineStr">
        <is>
          <t>non précisé</t>
        </is>
      </c>
      <c r="Q62" s="2" t="n"/>
    </row>
    <row r="63">
      <c r="A63" s="8" t="n">
        <v>34406336</v>
      </c>
      <c r="B63" s="9">
        <f>INDEX(Tableau1[], MATCH(Tableau3[[#This Row],[REFERENCE]], Tableau1[NUMERO], 0), 2)</f>
        <v/>
      </c>
      <c r="C63" s="129">
        <f>INDEX(Tableau1[], MATCH(Tableau3[[#This Row],[REFERENCE]], Tableau1[NUMERO], 0), 3)</f>
        <v/>
      </c>
      <c r="D63" s="129">
        <f>INDEX(Tableau1[], MATCH(Tableau3[[#This Row],[REFERENCE]], Tableau1[NUMERO], 0),4)</f>
        <v/>
      </c>
      <c r="E63" s="129">
        <f>INDEX(Tableau1[], MATCH(Tableau3[[#This Row],[REFERENCE]], Tableau1[NUMERO], 0), 5)</f>
        <v/>
      </c>
      <c r="F63" s="129">
        <f>INDEX(Tableau1[], MATCH(Tableau3[[#This Row],[REFERENCE]], Tableau1[NUMERO], 0), 6)</f>
        <v/>
      </c>
      <c r="G63" s="129">
        <f>INDEX(Tableau1[], MATCH(Tableau3[[#This Row],[REFERENCE]], Tableau1[NUMERO], 0), 7)</f>
        <v/>
      </c>
      <c r="H63" t="inlineStr">
        <is>
          <t>trefimetaux</t>
        </is>
      </c>
      <c r="J63" s="2" t="n">
        <v>43123</v>
      </c>
      <c r="K63" s="2" t="n">
        <v>43125</v>
      </c>
      <c r="L63" s="2" t="inlineStr">
        <is>
          <t>Réponse OK</t>
        </is>
      </c>
      <c r="O63" s="7" t="n">
        <v>100.5</v>
      </c>
      <c r="P63" s="8" t="inlineStr">
        <is>
          <t>non précisé</t>
        </is>
      </c>
      <c r="Q63" s="2" t="n"/>
    </row>
    <row r="64">
      <c r="A64" s="8" t="n">
        <v>34406337</v>
      </c>
      <c r="B64" s="9">
        <f>INDEX(Tableau1[], MATCH(Tableau3[[#This Row],[REFERENCE]], Tableau1[NUMERO], 0), 2)</f>
        <v/>
      </c>
      <c r="C64" s="129">
        <f>INDEX(Tableau1[], MATCH(Tableau3[[#This Row],[REFERENCE]], Tableau1[NUMERO], 0), 3)</f>
        <v/>
      </c>
      <c r="D64" s="129">
        <f>INDEX(Tableau1[], MATCH(Tableau3[[#This Row],[REFERENCE]], Tableau1[NUMERO], 0),4)</f>
        <v/>
      </c>
      <c r="E64" s="129">
        <f>INDEX(Tableau1[], MATCH(Tableau3[[#This Row],[REFERENCE]], Tableau1[NUMERO], 0), 5)</f>
        <v/>
      </c>
      <c r="F64" s="129">
        <f>INDEX(Tableau1[], MATCH(Tableau3[[#This Row],[REFERENCE]], Tableau1[NUMERO], 0), 6)</f>
        <v/>
      </c>
      <c r="G64" s="129">
        <f>INDEX(Tableau1[], MATCH(Tableau3[[#This Row],[REFERENCE]], Tableau1[NUMERO], 0), 7)</f>
        <v/>
      </c>
      <c r="H64" t="inlineStr">
        <is>
          <t>trefimetaux</t>
        </is>
      </c>
      <c r="J64" s="2" t="n">
        <v>43123</v>
      </c>
      <c r="K64" s="2" t="n">
        <v>43125</v>
      </c>
      <c r="L64" s="2" t="inlineStr">
        <is>
          <t>Réponse OK</t>
        </is>
      </c>
      <c r="O64" s="7" t="n">
        <v>72.2</v>
      </c>
      <c r="P64" s="8" t="inlineStr">
        <is>
          <t>non précisé</t>
        </is>
      </c>
      <c r="Q64" s="2" t="n"/>
    </row>
    <row r="65">
      <c r="A65" s="8" t="n">
        <v>34406338</v>
      </c>
      <c r="B65" s="9">
        <f>INDEX(Tableau1[], MATCH(Tableau3[[#This Row],[REFERENCE]], Tableau1[NUMERO], 0), 2)</f>
        <v/>
      </c>
      <c r="C65" s="129">
        <f>INDEX(Tableau1[], MATCH(Tableau3[[#This Row],[REFERENCE]], Tableau1[NUMERO], 0), 3)</f>
        <v/>
      </c>
      <c r="D65" s="129">
        <f>INDEX(Tableau1[], MATCH(Tableau3[[#This Row],[REFERENCE]], Tableau1[NUMERO], 0),4)</f>
        <v/>
      </c>
      <c r="E65" s="129">
        <f>INDEX(Tableau1[], MATCH(Tableau3[[#This Row],[REFERENCE]], Tableau1[NUMERO], 0), 5)</f>
        <v/>
      </c>
      <c r="F65" s="129">
        <f>INDEX(Tableau1[], MATCH(Tableau3[[#This Row],[REFERENCE]], Tableau1[NUMERO], 0), 6)</f>
        <v/>
      </c>
      <c r="G65" s="129">
        <f>INDEX(Tableau1[], MATCH(Tableau3[[#This Row],[REFERENCE]], Tableau1[NUMERO], 0), 7)</f>
        <v/>
      </c>
      <c r="H65" t="inlineStr">
        <is>
          <t>trefimetaux</t>
        </is>
      </c>
      <c r="J65" s="2" t="n">
        <v>43123</v>
      </c>
      <c r="K65" s="2" t="n">
        <v>43125</v>
      </c>
      <c r="L65" s="2" t="inlineStr">
        <is>
          <t>Réponse OK</t>
        </is>
      </c>
      <c r="O65" s="7" t="n">
        <v>75.3</v>
      </c>
      <c r="P65" s="8" t="inlineStr">
        <is>
          <t>non précisé</t>
        </is>
      </c>
      <c r="Q65" s="2" t="n"/>
    </row>
    <row r="66">
      <c r="A66" s="8" t="n">
        <v>34406339</v>
      </c>
      <c r="B66" s="9">
        <f>INDEX(Tableau1[], MATCH(Tableau3[[#This Row],[REFERENCE]], Tableau1[NUMERO], 0), 2)</f>
        <v/>
      </c>
      <c r="C66" s="129">
        <f>INDEX(Tableau1[], MATCH(Tableau3[[#This Row],[REFERENCE]], Tableau1[NUMERO], 0), 3)</f>
        <v/>
      </c>
      <c r="D66" s="129">
        <f>INDEX(Tableau1[], MATCH(Tableau3[[#This Row],[REFERENCE]], Tableau1[NUMERO], 0),4)</f>
        <v/>
      </c>
      <c r="E66" s="129">
        <f>INDEX(Tableau1[], MATCH(Tableau3[[#This Row],[REFERENCE]], Tableau1[NUMERO], 0), 5)</f>
        <v/>
      </c>
      <c r="F66" s="129">
        <f>INDEX(Tableau1[], MATCH(Tableau3[[#This Row],[REFERENCE]], Tableau1[NUMERO], 0), 6)</f>
        <v/>
      </c>
      <c r="G66" s="129">
        <f>INDEX(Tableau1[], MATCH(Tableau3[[#This Row],[REFERENCE]], Tableau1[NUMERO], 0), 7)</f>
        <v/>
      </c>
      <c r="H66" t="inlineStr">
        <is>
          <t>trefimetaux</t>
        </is>
      </c>
      <c r="J66" s="2" t="n">
        <v>43123</v>
      </c>
      <c r="K66" s="2" t="n">
        <v>43125</v>
      </c>
      <c r="L66" s="2" t="inlineStr">
        <is>
          <t>Réponse OK</t>
        </is>
      </c>
      <c r="O66" s="7" t="n">
        <v>60.9</v>
      </c>
      <c r="P66" s="8" t="inlineStr">
        <is>
          <t>non précisé</t>
        </is>
      </c>
      <c r="Q66" s="2" t="n"/>
    </row>
    <row r="67">
      <c r="A67" s="8" t="n">
        <v>34406346</v>
      </c>
      <c r="B67" s="9">
        <f>INDEX(Tableau1[], MATCH(Tableau3[[#This Row],[REFERENCE]], Tableau1[NUMERO], 0), 2)</f>
        <v/>
      </c>
      <c r="C67" s="129">
        <f>INDEX(Tableau1[], MATCH(Tableau3[[#This Row],[REFERENCE]], Tableau1[NUMERO], 0), 3)</f>
        <v/>
      </c>
      <c r="D67" s="129">
        <f>INDEX(Tableau1[], MATCH(Tableau3[[#This Row],[REFERENCE]], Tableau1[NUMERO], 0),4)</f>
        <v/>
      </c>
      <c r="E67" s="129">
        <f>INDEX(Tableau1[], MATCH(Tableau3[[#This Row],[REFERENCE]], Tableau1[NUMERO], 0), 5)</f>
        <v/>
      </c>
      <c r="F67" s="129">
        <f>INDEX(Tableau1[], MATCH(Tableau3[[#This Row],[REFERENCE]], Tableau1[NUMERO], 0), 6)</f>
        <v/>
      </c>
      <c r="G67" s="129">
        <f>INDEX(Tableau1[], MATCH(Tableau3[[#This Row],[REFERENCE]], Tableau1[NUMERO], 0), 7)</f>
        <v/>
      </c>
      <c r="H67" t="inlineStr">
        <is>
          <t>trefimetaux</t>
        </is>
      </c>
      <c r="J67" s="2" t="n">
        <v>43123</v>
      </c>
      <c r="K67" s="2" t="n">
        <v>43125</v>
      </c>
      <c r="L67" s="2" t="inlineStr">
        <is>
          <t>Réponse OK</t>
        </is>
      </c>
      <c r="O67" s="7" t="n">
        <v>60.9</v>
      </c>
      <c r="P67" s="8" t="inlineStr">
        <is>
          <t>non précisé</t>
        </is>
      </c>
      <c r="Q67" s="2" t="n"/>
    </row>
    <row r="68">
      <c r="A68" s="8" t="n">
        <v>34406347</v>
      </c>
      <c r="B68" s="9">
        <f>INDEX(Tableau1[], MATCH(Tableau3[[#This Row],[REFERENCE]], Tableau1[NUMERO], 0), 2)</f>
        <v/>
      </c>
      <c r="C68" s="129">
        <f>INDEX(Tableau1[], MATCH(Tableau3[[#This Row],[REFERENCE]], Tableau1[NUMERO], 0), 3)</f>
        <v/>
      </c>
      <c r="D68" s="129">
        <f>INDEX(Tableau1[], MATCH(Tableau3[[#This Row],[REFERENCE]], Tableau1[NUMERO], 0),4)</f>
        <v/>
      </c>
      <c r="E68" s="129">
        <f>INDEX(Tableau1[], MATCH(Tableau3[[#This Row],[REFERENCE]], Tableau1[NUMERO], 0), 5)</f>
        <v/>
      </c>
      <c r="F68" s="129">
        <f>INDEX(Tableau1[], MATCH(Tableau3[[#This Row],[REFERENCE]], Tableau1[NUMERO], 0), 6)</f>
        <v/>
      </c>
      <c r="G68" s="129">
        <f>INDEX(Tableau1[], MATCH(Tableau3[[#This Row],[REFERENCE]], Tableau1[NUMERO], 0), 7)</f>
        <v/>
      </c>
      <c r="H68" t="inlineStr">
        <is>
          <t>trefimetaux</t>
        </is>
      </c>
      <c r="J68" s="2" t="n">
        <v>43123</v>
      </c>
      <c r="K68" s="2" t="n">
        <v>43125</v>
      </c>
      <c r="L68" s="2" t="inlineStr">
        <is>
          <t>Réponse OK</t>
        </is>
      </c>
      <c r="O68" s="7" t="n">
        <v>71.7</v>
      </c>
      <c r="P68" s="8" t="inlineStr">
        <is>
          <t>non précisé</t>
        </is>
      </c>
      <c r="Q68" s="2" t="n"/>
    </row>
    <row r="69">
      <c r="A69" s="8" t="n">
        <v>34406348</v>
      </c>
      <c r="B69" s="9">
        <f>INDEX(Tableau1[], MATCH(Tableau3[[#This Row],[REFERENCE]], Tableau1[NUMERO], 0), 2)</f>
        <v/>
      </c>
      <c r="C69" s="129">
        <f>INDEX(Tableau1[], MATCH(Tableau3[[#This Row],[REFERENCE]], Tableau1[NUMERO], 0), 3)</f>
        <v/>
      </c>
      <c r="D69" s="129">
        <f>INDEX(Tableau1[], MATCH(Tableau3[[#This Row],[REFERENCE]], Tableau1[NUMERO], 0),4)</f>
        <v/>
      </c>
      <c r="E69" s="129">
        <f>INDEX(Tableau1[], MATCH(Tableau3[[#This Row],[REFERENCE]], Tableau1[NUMERO], 0), 5)</f>
        <v/>
      </c>
      <c r="F69" s="129">
        <f>INDEX(Tableau1[], MATCH(Tableau3[[#This Row],[REFERENCE]], Tableau1[NUMERO], 0), 6)</f>
        <v/>
      </c>
      <c r="G69" s="129">
        <f>INDEX(Tableau1[], MATCH(Tableau3[[#This Row],[REFERENCE]], Tableau1[NUMERO], 0), 7)</f>
        <v/>
      </c>
      <c r="H69" t="inlineStr">
        <is>
          <t>trefimetaux</t>
        </is>
      </c>
      <c r="J69" s="2" t="n">
        <v>43123</v>
      </c>
      <c r="K69" s="2" t="n">
        <v>43125</v>
      </c>
      <c r="L69" s="2" t="inlineStr">
        <is>
          <t>Réponse OK</t>
        </is>
      </c>
      <c r="O69" s="7" t="n">
        <v>79.59999999999999</v>
      </c>
      <c r="P69" s="8" t="inlineStr">
        <is>
          <t>non précisé</t>
        </is>
      </c>
      <c r="Q69" s="2" t="n"/>
    </row>
    <row r="70">
      <c r="A70" s="8" t="n">
        <v>34406349</v>
      </c>
      <c r="B70" s="9">
        <f>INDEX(Tableau1[], MATCH(Tableau3[[#This Row],[REFERENCE]], Tableau1[NUMERO], 0), 2)</f>
        <v/>
      </c>
      <c r="C70" s="129">
        <f>INDEX(Tableau1[], MATCH(Tableau3[[#This Row],[REFERENCE]], Tableau1[NUMERO], 0), 3)</f>
        <v/>
      </c>
      <c r="D70" s="129">
        <f>INDEX(Tableau1[], MATCH(Tableau3[[#This Row],[REFERENCE]], Tableau1[NUMERO], 0),4)</f>
        <v/>
      </c>
      <c r="E70" s="129">
        <f>INDEX(Tableau1[], MATCH(Tableau3[[#This Row],[REFERENCE]], Tableau1[NUMERO], 0), 5)</f>
        <v/>
      </c>
      <c r="F70" s="129">
        <f>INDEX(Tableau1[], MATCH(Tableau3[[#This Row],[REFERENCE]], Tableau1[NUMERO], 0), 6)</f>
        <v/>
      </c>
      <c r="G70" s="129">
        <f>INDEX(Tableau1[], MATCH(Tableau3[[#This Row],[REFERENCE]], Tableau1[NUMERO], 0), 7)</f>
        <v/>
      </c>
      <c r="H70" t="inlineStr">
        <is>
          <t>trefimetaux</t>
        </is>
      </c>
      <c r="J70" s="2" t="n">
        <v>43123</v>
      </c>
      <c r="K70" s="2" t="n">
        <v>43125</v>
      </c>
      <c r="L70" s="2" t="inlineStr">
        <is>
          <t>Réponse OK</t>
        </is>
      </c>
      <c r="O70" s="7" t="n">
        <v>90.59999999999999</v>
      </c>
      <c r="P70" s="8" t="inlineStr">
        <is>
          <t>non précisé</t>
        </is>
      </c>
      <c r="Q70" s="2" t="n"/>
    </row>
    <row r="71">
      <c r="A71" s="8" t="n">
        <v>34406350</v>
      </c>
      <c r="B71" s="9">
        <f>INDEX(Tableau1[], MATCH(Tableau3[[#This Row],[REFERENCE]], Tableau1[NUMERO], 0), 2)</f>
        <v/>
      </c>
      <c r="C71" s="129">
        <f>INDEX(Tableau1[], MATCH(Tableau3[[#This Row],[REFERENCE]], Tableau1[NUMERO], 0), 3)</f>
        <v/>
      </c>
      <c r="D71" s="129">
        <f>INDEX(Tableau1[], MATCH(Tableau3[[#This Row],[REFERENCE]], Tableau1[NUMERO], 0),4)</f>
        <v/>
      </c>
      <c r="E71" s="129">
        <f>INDEX(Tableau1[], MATCH(Tableau3[[#This Row],[REFERENCE]], Tableau1[NUMERO], 0), 5)</f>
        <v/>
      </c>
      <c r="F71" s="129">
        <f>INDEX(Tableau1[], MATCH(Tableau3[[#This Row],[REFERENCE]], Tableau1[NUMERO], 0), 6)</f>
        <v/>
      </c>
      <c r="G71" s="129">
        <f>INDEX(Tableau1[], MATCH(Tableau3[[#This Row],[REFERENCE]], Tableau1[NUMERO], 0), 7)</f>
        <v/>
      </c>
      <c r="H71" t="inlineStr">
        <is>
          <t>trefimetaux</t>
        </is>
      </c>
      <c r="J71" s="2" t="n">
        <v>43123</v>
      </c>
      <c r="K71" s="2" t="n">
        <v>43125</v>
      </c>
      <c r="L71" s="2" t="inlineStr">
        <is>
          <t>Réponse OK</t>
        </is>
      </c>
      <c r="P71" s="8" t="n"/>
      <c r="Q71" s="2" t="n"/>
    </row>
    <row r="72">
      <c r="A72" s="8" t="n">
        <v>34406425</v>
      </c>
      <c r="B72" s="9">
        <f>INDEX(Tableau1[], MATCH(Tableau3[[#This Row],[REFERENCE]], Tableau1[NUMERO], 0), 2)</f>
        <v/>
      </c>
      <c r="C72" s="129">
        <f>INDEX(Tableau1[], MATCH(Tableau3[[#This Row],[REFERENCE]], Tableau1[NUMERO], 0), 3)</f>
        <v/>
      </c>
      <c r="D72" s="129">
        <f>INDEX(Tableau1[], MATCH(Tableau3[[#This Row],[REFERENCE]], Tableau1[NUMERO], 0),4)</f>
        <v/>
      </c>
      <c r="E72" s="129">
        <f>INDEX(Tableau1[], MATCH(Tableau3[[#This Row],[REFERENCE]], Tableau1[NUMERO], 0), 5)</f>
        <v/>
      </c>
      <c r="F72" s="129">
        <f>INDEX(Tableau1[], MATCH(Tableau3[[#This Row],[REFERENCE]], Tableau1[NUMERO], 0), 6)</f>
        <v/>
      </c>
      <c r="G72" s="129">
        <f>INDEX(Tableau1[], MATCH(Tableau3[[#This Row],[REFERENCE]], Tableau1[NUMERO], 0), 7)</f>
        <v/>
      </c>
      <c r="H72" t="inlineStr">
        <is>
          <t>LASER TECHNIQUE</t>
        </is>
      </c>
      <c r="J72" s="2" t="n">
        <v>43123</v>
      </c>
      <c r="K72" s="2" t="inlineStr">
        <is>
          <t>Oui</t>
        </is>
      </c>
      <c r="L72" s="2" t="inlineStr">
        <is>
          <t>Réponse OK</t>
        </is>
      </c>
      <c r="O72" s="7" t="n">
        <v>71.40000000000001</v>
      </c>
      <c r="P72" s="8" t="n"/>
      <c r="Q72" s="2" t="n"/>
      <c r="R72" t="inlineStr">
        <is>
          <t>relancé le 26/01/2018 par olivier</t>
        </is>
      </c>
    </row>
    <row r="73">
      <c r="A73" s="8" t="n">
        <v>34406426</v>
      </c>
      <c r="B73" s="9">
        <f>INDEX(Tableau1[], MATCH(Tableau3[[#This Row],[REFERENCE]], Tableau1[NUMERO], 0), 2)</f>
        <v/>
      </c>
      <c r="C73" s="129">
        <f>INDEX(Tableau1[], MATCH(Tableau3[[#This Row],[REFERENCE]], Tableau1[NUMERO], 0), 3)</f>
        <v/>
      </c>
      <c r="D73" s="129">
        <f>INDEX(Tableau1[], MATCH(Tableau3[[#This Row],[REFERENCE]], Tableau1[NUMERO], 0),4)</f>
        <v/>
      </c>
      <c r="E73" s="129">
        <f>INDEX(Tableau1[], MATCH(Tableau3[[#This Row],[REFERENCE]], Tableau1[NUMERO], 0), 5)</f>
        <v/>
      </c>
      <c r="F73" s="129">
        <f>INDEX(Tableau1[], MATCH(Tableau3[[#This Row],[REFERENCE]], Tableau1[NUMERO], 0), 6)</f>
        <v/>
      </c>
      <c r="G73" s="129">
        <f>INDEX(Tableau1[], MATCH(Tableau3[[#This Row],[REFERENCE]], Tableau1[NUMERO], 0), 7)</f>
        <v/>
      </c>
      <c r="H73" t="inlineStr">
        <is>
          <t>LASER TECHNIQUE</t>
        </is>
      </c>
      <c r="J73" s="2" t="n">
        <v>43123</v>
      </c>
      <c r="K73" s="2" t="inlineStr">
        <is>
          <t>Oui</t>
        </is>
      </c>
      <c r="L73" s="2" t="inlineStr">
        <is>
          <t>Réponse OK</t>
        </is>
      </c>
      <c r="O73" s="7" t="n">
        <v>50.15</v>
      </c>
      <c r="P73" s="8" t="n"/>
      <c r="Q73" s="2" t="n"/>
      <c r="R73" t="inlineStr">
        <is>
          <t>relancé le 26/01/2018 par olivier</t>
        </is>
      </c>
    </row>
    <row r="74">
      <c r="A74" s="8" t="n">
        <v>34406427</v>
      </c>
      <c r="B74" s="9">
        <f>INDEX(Tableau1[], MATCH(Tableau3[[#This Row],[REFERENCE]], Tableau1[NUMERO], 0), 2)</f>
        <v/>
      </c>
      <c r="C74" s="129">
        <f>INDEX(Tableau1[], MATCH(Tableau3[[#This Row],[REFERENCE]], Tableau1[NUMERO], 0), 3)</f>
        <v/>
      </c>
      <c r="D74" s="129">
        <f>INDEX(Tableau1[], MATCH(Tableau3[[#This Row],[REFERENCE]], Tableau1[NUMERO], 0),4)</f>
        <v/>
      </c>
      <c r="E74" s="129">
        <f>INDEX(Tableau1[], MATCH(Tableau3[[#This Row],[REFERENCE]], Tableau1[NUMERO], 0), 5)</f>
        <v/>
      </c>
      <c r="F74" s="129">
        <f>INDEX(Tableau1[], MATCH(Tableau3[[#This Row],[REFERENCE]], Tableau1[NUMERO], 0), 6)</f>
        <v/>
      </c>
      <c r="G74" s="129">
        <f>INDEX(Tableau1[], MATCH(Tableau3[[#This Row],[REFERENCE]], Tableau1[NUMERO], 0), 7)</f>
        <v/>
      </c>
      <c r="H74" t="inlineStr">
        <is>
          <t>LASER TECHNIQUE</t>
        </is>
      </c>
      <c r="J74" s="2" t="n">
        <v>43123</v>
      </c>
      <c r="K74" s="2" t="inlineStr">
        <is>
          <t>Oui</t>
        </is>
      </c>
      <c r="L74" s="2" t="inlineStr">
        <is>
          <t>Réponse OK</t>
        </is>
      </c>
      <c r="O74" s="7" t="n">
        <v>5.1</v>
      </c>
      <c r="P74" s="8" t="n"/>
      <c r="Q74" s="2" t="n"/>
      <c r="R74" t="inlineStr">
        <is>
          <t>relancé le 26/01/2018 par olivier</t>
        </is>
      </c>
    </row>
    <row r="75">
      <c r="A75" s="8" t="n">
        <v>34406429</v>
      </c>
      <c r="B75" s="9">
        <f>INDEX(Tableau1[], MATCH(Tableau3[[#This Row],[REFERENCE]], Tableau1[NUMERO], 0), 2)</f>
        <v/>
      </c>
      <c r="C75" s="129">
        <f>INDEX(Tableau1[], MATCH(Tableau3[[#This Row],[REFERENCE]], Tableau1[NUMERO], 0), 3)</f>
        <v/>
      </c>
      <c r="D75" s="129">
        <f>INDEX(Tableau1[], MATCH(Tableau3[[#This Row],[REFERENCE]], Tableau1[NUMERO], 0),4)</f>
        <v/>
      </c>
      <c r="E75" s="129">
        <f>INDEX(Tableau1[], MATCH(Tableau3[[#This Row],[REFERENCE]], Tableau1[NUMERO], 0), 5)</f>
        <v/>
      </c>
      <c r="F75" s="129">
        <f>INDEX(Tableau1[], MATCH(Tableau3[[#This Row],[REFERENCE]], Tableau1[NUMERO], 0), 6)</f>
        <v/>
      </c>
      <c r="G75" s="129">
        <f>INDEX(Tableau1[], MATCH(Tableau3[[#This Row],[REFERENCE]], Tableau1[NUMERO], 0), 7)</f>
        <v/>
      </c>
      <c r="H75" t="inlineStr">
        <is>
          <t>LASER TECHNIQUE</t>
        </is>
      </c>
      <c r="J75" s="2" t="n">
        <v>43123</v>
      </c>
      <c r="K75" s="2" t="inlineStr">
        <is>
          <t>Oui</t>
        </is>
      </c>
      <c r="L75" s="2" t="inlineStr">
        <is>
          <t>Réponse OK</t>
        </is>
      </c>
      <c r="O75" s="7" t="n">
        <v>28.5</v>
      </c>
      <c r="P75" s="8" t="n"/>
      <c r="Q75" s="2" t="n"/>
      <c r="R75" t="inlineStr">
        <is>
          <t>relancé le 26/01/2018 par olivier</t>
        </is>
      </c>
    </row>
    <row r="76">
      <c r="A76" s="8" t="n">
        <v>34406436</v>
      </c>
      <c r="B76" s="9">
        <f>INDEX(Tableau1[], MATCH(Tableau3[[#This Row],[REFERENCE]], Tableau1[NUMERO], 0), 2)</f>
        <v/>
      </c>
      <c r="C76" s="129">
        <f>INDEX(Tableau1[], MATCH(Tableau3[[#This Row],[REFERENCE]], Tableau1[NUMERO], 0), 3)</f>
        <v/>
      </c>
      <c r="D76" s="129">
        <f>INDEX(Tableau1[], MATCH(Tableau3[[#This Row],[REFERENCE]], Tableau1[NUMERO], 0),4)</f>
        <v/>
      </c>
      <c r="E76" s="129">
        <f>INDEX(Tableau1[], MATCH(Tableau3[[#This Row],[REFERENCE]], Tableau1[NUMERO], 0), 5)</f>
        <v/>
      </c>
      <c r="F76" s="129">
        <f>INDEX(Tableau1[], MATCH(Tableau3[[#This Row],[REFERENCE]], Tableau1[NUMERO], 0), 6)</f>
        <v/>
      </c>
      <c r="G76" s="129">
        <f>INDEX(Tableau1[], MATCH(Tableau3[[#This Row],[REFERENCE]], Tableau1[NUMERO], 0), 7)</f>
        <v/>
      </c>
      <c r="H76" t="inlineStr">
        <is>
          <t>TREFI METAUX</t>
        </is>
      </c>
      <c r="J76" s="2" t="n">
        <v>43123</v>
      </c>
      <c r="K76" s="2" t="n">
        <v>43125</v>
      </c>
      <c r="L76" s="2" t="inlineStr">
        <is>
          <t>Réponse OK</t>
        </is>
      </c>
      <c r="P76" s="8" t="n"/>
      <c r="Q76" s="2" t="n"/>
    </row>
    <row r="77">
      <c r="A77" s="8" t="n">
        <v>34406437</v>
      </c>
      <c r="B77" s="9">
        <f>INDEX(Tableau1[], MATCH(Tableau3[[#This Row],[REFERENCE]], Tableau1[NUMERO], 0), 2)</f>
        <v/>
      </c>
      <c r="C77" s="129">
        <f>INDEX(Tableau1[], MATCH(Tableau3[[#This Row],[REFERENCE]], Tableau1[NUMERO], 0), 3)</f>
        <v/>
      </c>
      <c r="D77" s="129">
        <f>INDEX(Tableau1[], MATCH(Tableau3[[#This Row],[REFERENCE]], Tableau1[NUMERO], 0),4)</f>
        <v/>
      </c>
      <c r="E77" s="129">
        <f>INDEX(Tableau1[], MATCH(Tableau3[[#This Row],[REFERENCE]], Tableau1[NUMERO], 0), 5)</f>
        <v/>
      </c>
      <c r="F77" s="129">
        <f>INDEX(Tableau1[], MATCH(Tableau3[[#This Row],[REFERENCE]], Tableau1[NUMERO], 0), 6)</f>
        <v/>
      </c>
      <c r="G77" s="129">
        <f>INDEX(Tableau1[], MATCH(Tableau3[[#This Row],[REFERENCE]], Tableau1[NUMERO], 0), 7)</f>
        <v/>
      </c>
      <c r="H77" t="inlineStr">
        <is>
          <t>TREFI METAUX</t>
        </is>
      </c>
      <c r="J77" s="2" t="n">
        <v>43123</v>
      </c>
      <c r="K77" s="2" t="n">
        <v>43125</v>
      </c>
      <c r="L77" s="2" t="inlineStr">
        <is>
          <t>Réponse OK</t>
        </is>
      </c>
      <c r="O77" s="7" t="n">
        <v>66.09999999999999</v>
      </c>
      <c r="P77" s="8" t="inlineStr">
        <is>
          <t>non précisé</t>
        </is>
      </c>
      <c r="Q77" s="2" t="n"/>
    </row>
    <row r="78">
      <c r="A78" s="8" t="n">
        <v>34406440</v>
      </c>
      <c r="B78" s="9">
        <f>INDEX(Tableau1[], MATCH(Tableau3[[#This Row],[REFERENCE]], Tableau1[NUMERO], 0), 2)</f>
        <v/>
      </c>
      <c r="C78" s="129">
        <f>INDEX(Tableau1[], MATCH(Tableau3[[#This Row],[REFERENCE]], Tableau1[NUMERO], 0), 3)</f>
        <v/>
      </c>
      <c r="D78" s="129">
        <f>INDEX(Tableau1[], MATCH(Tableau3[[#This Row],[REFERENCE]], Tableau1[NUMERO], 0),4)</f>
        <v/>
      </c>
      <c r="E78" s="129">
        <f>INDEX(Tableau1[], MATCH(Tableau3[[#This Row],[REFERENCE]], Tableau1[NUMERO], 0), 5)</f>
        <v/>
      </c>
      <c r="F78" s="129">
        <f>INDEX(Tableau1[], MATCH(Tableau3[[#This Row],[REFERENCE]], Tableau1[NUMERO], 0), 6)</f>
        <v/>
      </c>
      <c r="G78" s="129">
        <f>INDEX(Tableau1[], MATCH(Tableau3[[#This Row],[REFERENCE]], Tableau1[NUMERO], 0), 7)</f>
        <v/>
      </c>
      <c r="H78" t="inlineStr">
        <is>
          <t>TREFI METAUX</t>
        </is>
      </c>
      <c r="J78" s="2" t="n">
        <v>43123</v>
      </c>
      <c r="K78" s="2" t="n">
        <v>43125</v>
      </c>
      <c r="L78" s="2" t="inlineStr">
        <is>
          <t>Réponse OK</t>
        </is>
      </c>
      <c r="P78" s="8" t="n"/>
      <c r="Q78" s="2" t="n"/>
    </row>
    <row r="79">
      <c r="A79" s="8" t="n">
        <v>34406441</v>
      </c>
      <c r="B79" s="9">
        <f>INDEX(Tableau1[], MATCH(Tableau3[[#This Row],[REFERENCE]], Tableau1[NUMERO], 0), 2)</f>
        <v/>
      </c>
      <c r="C79" s="129">
        <f>INDEX(Tableau1[], MATCH(Tableau3[[#This Row],[REFERENCE]], Tableau1[NUMERO], 0), 3)</f>
        <v/>
      </c>
      <c r="D79" s="129">
        <f>INDEX(Tableau1[], MATCH(Tableau3[[#This Row],[REFERENCE]], Tableau1[NUMERO], 0),4)</f>
        <v/>
      </c>
      <c r="E79" s="129">
        <f>INDEX(Tableau1[], MATCH(Tableau3[[#This Row],[REFERENCE]], Tableau1[NUMERO], 0), 5)</f>
        <v/>
      </c>
      <c r="F79" s="129">
        <f>INDEX(Tableau1[], MATCH(Tableau3[[#This Row],[REFERENCE]], Tableau1[NUMERO], 0), 6)</f>
        <v/>
      </c>
      <c r="G79" s="129">
        <f>INDEX(Tableau1[], MATCH(Tableau3[[#This Row],[REFERENCE]], Tableau1[NUMERO], 0), 7)</f>
        <v/>
      </c>
      <c r="H79" t="inlineStr">
        <is>
          <t>TREFI METAUX</t>
        </is>
      </c>
      <c r="J79" s="2" t="n">
        <v>43123</v>
      </c>
      <c r="K79" s="2" t="n">
        <v>43125</v>
      </c>
      <c r="L79" s="2" t="inlineStr">
        <is>
          <t>Réponse OK</t>
        </is>
      </c>
      <c r="O79" s="7" t="n">
        <v>268.7</v>
      </c>
      <c r="P79" s="8" t="inlineStr">
        <is>
          <t>non précisé</t>
        </is>
      </c>
      <c r="Q79" s="2" t="n"/>
    </row>
    <row r="80">
      <c r="A80" s="8" t="n">
        <v>34406455</v>
      </c>
      <c r="B80" s="9">
        <f>INDEX(Tableau1[], MATCH(Tableau3[[#This Row],[REFERENCE]], Tableau1[NUMERO], 0), 2)</f>
        <v/>
      </c>
      <c r="C80" s="129">
        <f>INDEX(Tableau1[], MATCH(Tableau3[[#This Row],[REFERENCE]], Tableau1[NUMERO], 0), 3)</f>
        <v/>
      </c>
      <c r="D80" s="129">
        <f>INDEX(Tableau1[], MATCH(Tableau3[[#This Row],[REFERENCE]], Tableau1[NUMERO], 0),4)</f>
        <v/>
      </c>
      <c r="E80" s="129">
        <f>INDEX(Tableau1[], MATCH(Tableau3[[#This Row],[REFERENCE]], Tableau1[NUMERO], 0), 5)</f>
        <v/>
      </c>
      <c r="F80" s="129">
        <f>INDEX(Tableau1[], MATCH(Tableau3[[#This Row],[REFERENCE]], Tableau1[NUMERO], 0), 6)</f>
        <v/>
      </c>
      <c r="G80" s="129">
        <f>INDEX(Tableau1[], MATCH(Tableau3[[#This Row],[REFERENCE]], Tableau1[NUMERO], 0), 7)</f>
        <v/>
      </c>
      <c r="H80" t="inlineStr">
        <is>
          <t>TREFI METAUX</t>
        </is>
      </c>
      <c r="J80" s="2" t="n">
        <v>43123</v>
      </c>
      <c r="K80" s="2" t="n">
        <v>43125</v>
      </c>
      <c r="L80" s="2" t="inlineStr">
        <is>
          <t>Réponse OK</t>
        </is>
      </c>
      <c r="O80" s="7" t="n">
        <v>42.9</v>
      </c>
      <c r="P80" s="8" t="inlineStr">
        <is>
          <t>non précisé</t>
        </is>
      </c>
      <c r="Q80" s="2" t="n"/>
    </row>
    <row r="81">
      <c r="A81" s="8" t="n">
        <v>34406456</v>
      </c>
      <c r="B81" s="9">
        <f>INDEX(Tableau1[], MATCH(Tableau3[[#This Row],[REFERENCE]], Tableau1[NUMERO], 0), 2)</f>
        <v/>
      </c>
      <c r="C81" s="129">
        <f>INDEX(Tableau1[], MATCH(Tableau3[[#This Row],[REFERENCE]], Tableau1[NUMERO], 0), 3)</f>
        <v/>
      </c>
      <c r="D81" s="129">
        <f>INDEX(Tableau1[], MATCH(Tableau3[[#This Row],[REFERENCE]], Tableau1[NUMERO], 0),4)</f>
        <v/>
      </c>
      <c r="E81" s="129">
        <f>INDEX(Tableau1[], MATCH(Tableau3[[#This Row],[REFERENCE]], Tableau1[NUMERO], 0), 5)</f>
        <v/>
      </c>
      <c r="F81" s="129">
        <f>INDEX(Tableau1[], MATCH(Tableau3[[#This Row],[REFERENCE]], Tableau1[NUMERO], 0), 6)</f>
        <v/>
      </c>
      <c r="G81" s="129">
        <f>INDEX(Tableau1[], MATCH(Tableau3[[#This Row],[REFERENCE]], Tableau1[NUMERO], 0), 7)</f>
        <v/>
      </c>
      <c r="H81" t="inlineStr">
        <is>
          <t>TREFI METAUX</t>
        </is>
      </c>
      <c r="J81" s="2" t="n">
        <v>43123</v>
      </c>
      <c r="K81" s="2" t="n">
        <v>43125</v>
      </c>
      <c r="L81" s="2" t="inlineStr">
        <is>
          <t>Réponse OK</t>
        </is>
      </c>
      <c r="O81" s="7" t="n">
        <v>42.9</v>
      </c>
      <c r="P81" s="8" t="inlineStr">
        <is>
          <t>non précisé</t>
        </is>
      </c>
      <c r="Q81" s="2" t="n"/>
    </row>
    <row r="82">
      <c r="A82" s="8" t="n">
        <v>34406457</v>
      </c>
      <c r="B82" s="9">
        <f>INDEX(Tableau1[], MATCH(Tableau3[[#This Row],[REFERENCE]], Tableau1[NUMERO], 0), 2)</f>
        <v/>
      </c>
      <c r="C82" s="129">
        <f>INDEX(Tableau1[], MATCH(Tableau3[[#This Row],[REFERENCE]], Tableau1[NUMERO], 0), 3)</f>
        <v/>
      </c>
      <c r="D82" s="129">
        <f>INDEX(Tableau1[], MATCH(Tableau3[[#This Row],[REFERENCE]], Tableau1[NUMERO], 0),4)</f>
        <v/>
      </c>
      <c r="E82" s="129">
        <f>INDEX(Tableau1[], MATCH(Tableau3[[#This Row],[REFERENCE]], Tableau1[NUMERO], 0), 5)</f>
        <v/>
      </c>
      <c r="F82" s="129">
        <f>INDEX(Tableau1[], MATCH(Tableau3[[#This Row],[REFERENCE]], Tableau1[NUMERO], 0), 6)</f>
        <v/>
      </c>
      <c r="G82" s="129">
        <f>INDEX(Tableau1[], MATCH(Tableau3[[#This Row],[REFERENCE]], Tableau1[NUMERO], 0), 7)</f>
        <v/>
      </c>
      <c r="H82" t="inlineStr">
        <is>
          <t>TREFI METAUX</t>
        </is>
      </c>
      <c r="J82" s="2" t="n">
        <v>43123</v>
      </c>
      <c r="K82" s="2" t="n">
        <v>43125</v>
      </c>
      <c r="L82" s="2" t="inlineStr">
        <is>
          <t>Réponse OK</t>
        </is>
      </c>
      <c r="O82" s="7" t="n">
        <v>42.9</v>
      </c>
      <c r="P82" s="8" t="inlineStr">
        <is>
          <t>non précisé</t>
        </is>
      </c>
      <c r="Q82" s="2" t="n"/>
    </row>
    <row r="83">
      <c r="A83" s="8" t="n">
        <v>34406458</v>
      </c>
      <c r="B83" s="9">
        <f>INDEX(Tableau1[], MATCH(Tableau3[[#This Row],[REFERENCE]], Tableau1[NUMERO], 0), 2)</f>
        <v/>
      </c>
      <c r="C83" s="129">
        <f>INDEX(Tableau1[], MATCH(Tableau3[[#This Row],[REFERENCE]], Tableau1[NUMERO], 0), 3)</f>
        <v/>
      </c>
      <c r="D83" s="129">
        <f>INDEX(Tableau1[], MATCH(Tableau3[[#This Row],[REFERENCE]], Tableau1[NUMERO], 0),4)</f>
        <v/>
      </c>
      <c r="E83" s="129">
        <f>INDEX(Tableau1[], MATCH(Tableau3[[#This Row],[REFERENCE]], Tableau1[NUMERO], 0), 5)</f>
        <v/>
      </c>
      <c r="F83" s="129">
        <f>INDEX(Tableau1[], MATCH(Tableau3[[#This Row],[REFERENCE]], Tableau1[NUMERO], 0), 6)</f>
        <v/>
      </c>
      <c r="G83" s="129">
        <f>INDEX(Tableau1[], MATCH(Tableau3[[#This Row],[REFERENCE]], Tableau1[NUMERO], 0), 7)</f>
        <v/>
      </c>
      <c r="H83" t="inlineStr">
        <is>
          <t>TREFI METAUX</t>
        </is>
      </c>
      <c r="J83" s="2" t="n">
        <v>43123</v>
      </c>
      <c r="K83" s="2" t="n">
        <v>43125</v>
      </c>
      <c r="L83" s="2" t="inlineStr">
        <is>
          <t>Réponse OK</t>
        </is>
      </c>
      <c r="O83" s="7" t="n">
        <v>42.9</v>
      </c>
      <c r="P83" s="8" t="inlineStr">
        <is>
          <t>non précisé</t>
        </is>
      </c>
      <c r="Q83" s="2" t="n"/>
    </row>
    <row r="84">
      <c r="A84" s="8" t="n">
        <v>34406502</v>
      </c>
      <c r="B84" s="9">
        <f>INDEX(Tableau1[], MATCH(Tableau3[[#This Row],[REFERENCE]], Tableau1[NUMERO], 0), 2)</f>
        <v/>
      </c>
      <c r="C84" s="129">
        <f>INDEX(Tableau1[], MATCH(Tableau3[[#This Row],[REFERENCE]], Tableau1[NUMERO], 0), 3)</f>
        <v/>
      </c>
      <c r="D84" s="129">
        <f>INDEX(Tableau1[], MATCH(Tableau3[[#This Row],[REFERENCE]], Tableau1[NUMERO], 0),4)</f>
        <v/>
      </c>
      <c r="E84" s="129">
        <f>INDEX(Tableau1[], MATCH(Tableau3[[#This Row],[REFERENCE]], Tableau1[NUMERO], 0), 5)</f>
        <v/>
      </c>
      <c r="F84" s="129">
        <f>INDEX(Tableau1[], MATCH(Tableau3[[#This Row],[REFERENCE]], Tableau1[NUMERO], 0), 6)</f>
        <v/>
      </c>
      <c r="G84" s="129">
        <f>INDEX(Tableau1[], MATCH(Tableau3[[#This Row],[REFERENCE]], Tableau1[NUMERO], 0), 7)</f>
        <v/>
      </c>
      <c r="H84" t="inlineStr">
        <is>
          <t>LASER TECHNIQUE</t>
        </is>
      </c>
      <c r="J84" s="2" t="n">
        <v>43123</v>
      </c>
      <c r="K84" s="2" t="n">
        <v>43123</v>
      </c>
      <c r="L84" s="2" t="inlineStr">
        <is>
          <t>Réponse OK</t>
        </is>
      </c>
      <c r="O84" s="7" t="n">
        <v>100</v>
      </c>
      <c r="P84" s="8" t="inlineStr">
        <is>
          <t>3 jours</t>
        </is>
      </c>
      <c r="Q84" s="2" t="n"/>
      <c r="R84" t="inlineStr">
        <is>
          <t>consulté par olivier</t>
        </is>
      </c>
    </row>
    <row r="85">
      <c r="A85" s="8" t="n">
        <v>34406525</v>
      </c>
      <c r="B85" s="9">
        <f>INDEX(Tableau1[], MATCH(Tableau3[[#This Row],[REFERENCE]], Tableau1[NUMERO], 0), 2)</f>
        <v/>
      </c>
      <c r="C85" s="129">
        <f>INDEX(Tableau1[], MATCH(Tableau3[[#This Row],[REFERENCE]], Tableau1[NUMERO], 0), 3)</f>
        <v/>
      </c>
      <c r="D85" s="129">
        <f>INDEX(Tableau1[], MATCH(Tableau3[[#This Row],[REFERENCE]], Tableau1[NUMERO], 0),4)</f>
        <v/>
      </c>
      <c r="E85" s="129">
        <f>INDEX(Tableau1[], MATCH(Tableau3[[#This Row],[REFERENCE]], Tableau1[NUMERO], 0), 5)</f>
        <v/>
      </c>
      <c r="F85" s="129">
        <f>INDEX(Tableau1[], MATCH(Tableau3[[#This Row],[REFERENCE]], Tableau1[NUMERO], 0), 6)</f>
        <v/>
      </c>
      <c r="G85" s="129">
        <f>INDEX(Tableau1[], MATCH(Tableau3[[#This Row],[REFERENCE]], Tableau1[NUMERO], 0), 7)</f>
        <v/>
      </c>
      <c r="H85" t="inlineStr">
        <is>
          <t>LASER TECHNIQUE</t>
        </is>
      </c>
      <c r="J85" s="2" t="n">
        <v>43136</v>
      </c>
      <c r="K85" s="2" t="n">
        <v>43138</v>
      </c>
      <c r="L85" s="2" t="inlineStr">
        <is>
          <t>Réponse OK</t>
        </is>
      </c>
      <c r="O85" s="7" t="n">
        <v>40</v>
      </c>
      <c r="P85" s="8" t="inlineStr">
        <is>
          <t>5 jours</t>
        </is>
      </c>
      <c r="Q85" s="2" t="n"/>
      <c r="R85" t="inlineStr">
        <is>
          <t>consulté par olivier</t>
        </is>
      </c>
    </row>
    <row r="86">
      <c r="A86" s="8" t="n">
        <v>34406526</v>
      </c>
      <c r="B86" s="9">
        <f>INDEX(Tableau1[], MATCH(Tableau3[[#This Row],[REFERENCE]], Tableau1[NUMERO], 0), 2)</f>
        <v/>
      </c>
      <c r="C86" s="129">
        <f>INDEX(Tableau1[], MATCH(Tableau3[[#This Row],[REFERENCE]], Tableau1[NUMERO], 0), 3)</f>
        <v/>
      </c>
      <c r="D86" s="129">
        <f>INDEX(Tableau1[], MATCH(Tableau3[[#This Row],[REFERENCE]], Tableau1[NUMERO], 0),4)</f>
        <v/>
      </c>
      <c r="E86" s="129">
        <f>INDEX(Tableau1[], MATCH(Tableau3[[#This Row],[REFERENCE]], Tableau1[NUMERO], 0), 5)</f>
        <v/>
      </c>
      <c r="F86" s="129">
        <f>INDEX(Tableau1[], MATCH(Tableau3[[#This Row],[REFERENCE]], Tableau1[NUMERO], 0), 6)</f>
        <v/>
      </c>
      <c r="G86" s="129">
        <f>INDEX(Tableau1[], MATCH(Tableau3[[#This Row],[REFERENCE]], Tableau1[NUMERO], 0), 7)</f>
        <v/>
      </c>
      <c r="H86" t="inlineStr">
        <is>
          <t>LASER TECHNIQUE</t>
        </is>
      </c>
      <c r="J86" s="2" t="n">
        <v>43136</v>
      </c>
      <c r="K86" s="2" t="n">
        <v>43138</v>
      </c>
      <c r="L86" s="2" t="inlineStr">
        <is>
          <t>Réponse OK</t>
        </is>
      </c>
      <c r="O86" s="7" t="n">
        <v>40</v>
      </c>
      <c r="P86" s="8" t="inlineStr">
        <is>
          <t>5 jours</t>
        </is>
      </c>
      <c r="Q86" s="2" t="n"/>
      <c r="R86" t="inlineStr">
        <is>
          <t>consulté par olivier</t>
        </is>
      </c>
    </row>
    <row r="87">
      <c r="A87" s="8" t="n">
        <v>34406527</v>
      </c>
      <c r="B87" s="9">
        <f>INDEX(Tableau1[], MATCH(Tableau3[[#This Row],[REFERENCE]], Tableau1[NUMERO], 0), 2)</f>
        <v/>
      </c>
      <c r="C87" s="129">
        <f>INDEX(Tableau1[], MATCH(Tableau3[[#This Row],[REFERENCE]], Tableau1[NUMERO], 0), 3)</f>
        <v/>
      </c>
      <c r="D87" s="129">
        <f>INDEX(Tableau1[], MATCH(Tableau3[[#This Row],[REFERENCE]], Tableau1[NUMERO], 0),4)</f>
        <v/>
      </c>
      <c r="E87" s="129">
        <f>INDEX(Tableau1[], MATCH(Tableau3[[#This Row],[REFERENCE]], Tableau1[NUMERO], 0), 5)</f>
        <v/>
      </c>
      <c r="F87" s="129">
        <f>INDEX(Tableau1[], MATCH(Tableau3[[#This Row],[REFERENCE]], Tableau1[NUMERO], 0), 6)</f>
        <v/>
      </c>
      <c r="G87" s="129">
        <f>INDEX(Tableau1[], MATCH(Tableau3[[#This Row],[REFERENCE]], Tableau1[NUMERO], 0), 7)</f>
        <v/>
      </c>
      <c r="H87" t="inlineStr">
        <is>
          <t>LASER TECHNIQUE</t>
        </is>
      </c>
      <c r="J87" s="2" t="n">
        <v>43136</v>
      </c>
      <c r="K87" s="2" t="n">
        <v>43138</v>
      </c>
      <c r="L87" s="2" t="inlineStr">
        <is>
          <t>Réponse OK</t>
        </is>
      </c>
      <c r="O87" s="7" t="n">
        <v>48</v>
      </c>
      <c r="P87" s="8" t="inlineStr">
        <is>
          <t>5 jours</t>
        </is>
      </c>
      <c r="Q87" s="2" t="n"/>
      <c r="R87" t="inlineStr">
        <is>
          <t>consulté par olivier</t>
        </is>
      </c>
    </row>
    <row r="88">
      <c r="A88" s="8" t="n">
        <v>34406528</v>
      </c>
      <c r="B88" s="9">
        <f>INDEX(Tableau1[], MATCH(Tableau3[[#This Row],[REFERENCE]], Tableau1[NUMERO], 0), 2)</f>
        <v/>
      </c>
      <c r="C88" s="129">
        <f>INDEX(Tableau1[], MATCH(Tableau3[[#This Row],[REFERENCE]], Tableau1[NUMERO], 0), 3)</f>
        <v/>
      </c>
      <c r="D88" s="129">
        <f>INDEX(Tableau1[], MATCH(Tableau3[[#This Row],[REFERENCE]], Tableau1[NUMERO], 0),4)</f>
        <v/>
      </c>
      <c r="E88" s="129">
        <f>INDEX(Tableau1[], MATCH(Tableau3[[#This Row],[REFERENCE]], Tableau1[NUMERO], 0), 5)</f>
        <v/>
      </c>
      <c r="F88" s="129">
        <f>INDEX(Tableau1[], MATCH(Tableau3[[#This Row],[REFERENCE]], Tableau1[NUMERO], 0), 6)</f>
        <v/>
      </c>
      <c r="G88" s="129">
        <f>INDEX(Tableau1[], MATCH(Tableau3[[#This Row],[REFERENCE]], Tableau1[NUMERO], 0), 7)</f>
        <v/>
      </c>
      <c r="H88" t="inlineStr">
        <is>
          <t>TREFI METAUX</t>
        </is>
      </c>
      <c r="J88" s="2" t="n">
        <v>43123</v>
      </c>
      <c r="K88" s="2" t="n">
        <v>43123</v>
      </c>
      <c r="L88" s="2" t="inlineStr">
        <is>
          <t>Réponse OK</t>
        </is>
      </c>
      <c r="O88" s="7" t="n">
        <v>250</v>
      </c>
      <c r="P88" s="8" t="inlineStr">
        <is>
          <t>10 jours</t>
        </is>
      </c>
      <c r="Q88" s="2" t="n"/>
      <c r="R88" t="inlineStr">
        <is>
          <t>consulté par olivier</t>
        </is>
      </c>
    </row>
    <row r="89">
      <c r="A89" s="8" t="n">
        <v>34406530</v>
      </c>
      <c r="B89" s="9">
        <f>INDEX(Tableau1[], MATCH(Tableau3[[#This Row],[REFERENCE]], Tableau1[NUMERO], 0), 2)</f>
        <v/>
      </c>
      <c r="C89" s="129">
        <f>INDEX(Tableau1[], MATCH(Tableau3[[#This Row],[REFERENCE]], Tableau1[NUMERO], 0), 3)</f>
        <v/>
      </c>
      <c r="D89" s="129">
        <f>INDEX(Tableau1[], MATCH(Tableau3[[#This Row],[REFERENCE]], Tableau1[NUMERO], 0),4)</f>
        <v/>
      </c>
      <c r="E89" s="129">
        <f>INDEX(Tableau1[], MATCH(Tableau3[[#This Row],[REFERENCE]], Tableau1[NUMERO], 0), 5)</f>
        <v/>
      </c>
      <c r="F89" s="129">
        <f>INDEX(Tableau1[], MATCH(Tableau3[[#This Row],[REFERENCE]], Tableau1[NUMERO], 0), 6)</f>
        <v/>
      </c>
      <c r="G89" s="129">
        <f>INDEX(Tableau1[], MATCH(Tableau3[[#This Row],[REFERENCE]], Tableau1[NUMERO], 0), 7)</f>
        <v/>
      </c>
      <c r="H89" t="inlineStr">
        <is>
          <t>LASER TECHNIQUE</t>
        </is>
      </c>
      <c r="J89" s="2" t="n">
        <v>43136</v>
      </c>
      <c r="K89" s="2" t="n">
        <v>43138</v>
      </c>
      <c r="L89" s="2" t="inlineStr">
        <is>
          <t>Réponse OK</t>
        </is>
      </c>
      <c r="O89" s="7" t="n">
        <v>42</v>
      </c>
      <c r="P89" s="8" t="inlineStr">
        <is>
          <t>5 jours</t>
        </is>
      </c>
      <c r="Q89" s="2" t="n"/>
      <c r="R89" t="inlineStr">
        <is>
          <t>consulté par olivier</t>
        </is>
      </c>
    </row>
    <row r="90">
      <c r="A90" s="8" t="n">
        <v>34406531</v>
      </c>
      <c r="B90" s="9">
        <f>INDEX(Tableau1[], MATCH(Tableau3[[#This Row],[REFERENCE]], Tableau1[NUMERO], 0), 2)</f>
        <v/>
      </c>
      <c r="C90" s="129">
        <f>INDEX(Tableau1[], MATCH(Tableau3[[#This Row],[REFERENCE]], Tableau1[NUMERO], 0), 3)</f>
        <v/>
      </c>
      <c r="D90" s="129">
        <f>INDEX(Tableau1[], MATCH(Tableau3[[#This Row],[REFERENCE]], Tableau1[NUMERO], 0),4)</f>
        <v/>
      </c>
      <c r="E90" s="129">
        <f>INDEX(Tableau1[], MATCH(Tableau3[[#This Row],[REFERENCE]], Tableau1[NUMERO], 0), 5)</f>
        <v/>
      </c>
      <c r="F90" s="129">
        <f>INDEX(Tableau1[], MATCH(Tableau3[[#This Row],[REFERENCE]], Tableau1[NUMERO], 0), 6)</f>
        <v/>
      </c>
      <c r="G90" s="129">
        <f>INDEX(Tableau1[], MATCH(Tableau3[[#This Row],[REFERENCE]], Tableau1[NUMERO], 0), 7)</f>
        <v/>
      </c>
      <c r="H90" t="inlineStr">
        <is>
          <t>LASER TECHNIQUE</t>
        </is>
      </c>
      <c r="J90" s="2" t="n">
        <v>43136</v>
      </c>
      <c r="K90" s="2" t="n">
        <v>43138</v>
      </c>
      <c r="L90" s="2" t="inlineStr">
        <is>
          <t>Réponse OK</t>
        </is>
      </c>
      <c r="O90" s="7" t="n">
        <v>34</v>
      </c>
      <c r="P90" s="8" t="inlineStr">
        <is>
          <t>5 jours</t>
        </is>
      </c>
      <c r="Q90" s="2" t="n"/>
      <c r="R90" t="inlineStr">
        <is>
          <t>consulté par olivier</t>
        </is>
      </c>
    </row>
    <row r="91">
      <c r="A91" s="8" t="n">
        <v>34406532</v>
      </c>
      <c r="B91" s="9">
        <f>INDEX(Tableau1[], MATCH(Tableau3[[#This Row],[REFERENCE]], Tableau1[NUMERO], 0), 2)</f>
        <v/>
      </c>
      <c r="C91" s="129">
        <f>INDEX(Tableau1[], MATCH(Tableau3[[#This Row],[REFERENCE]], Tableau1[NUMERO], 0), 3)</f>
        <v/>
      </c>
      <c r="D91" s="129">
        <f>INDEX(Tableau1[], MATCH(Tableau3[[#This Row],[REFERENCE]], Tableau1[NUMERO], 0),4)</f>
        <v/>
      </c>
      <c r="E91" s="129">
        <f>INDEX(Tableau1[], MATCH(Tableau3[[#This Row],[REFERENCE]], Tableau1[NUMERO], 0), 5)</f>
        <v/>
      </c>
      <c r="F91" s="129">
        <f>INDEX(Tableau1[], MATCH(Tableau3[[#This Row],[REFERENCE]], Tableau1[NUMERO], 0), 6)</f>
        <v/>
      </c>
      <c r="G91" s="129">
        <f>INDEX(Tableau1[], MATCH(Tableau3[[#This Row],[REFERENCE]], Tableau1[NUMERO], 0), 7)</f>
        <v/>
      </c>
      <c r="H91" t="inlineStr">
        <is>
          <t>LASER TECHNIQUE</t>
        </is>
      </c>
      <c r="J91" s="2" t="n">
        <v>43123</v>
      </c>
      <c r="K91" s="2" t="n">
        <v>43123</v>
      </c>
      <c r="L91" s="2" t="inlineStr">
        <is>
          <t>Réponse OK</t>
        </is>
      </c>
      <c r="O91" s="7" t="n">
        <v>24</v>
      </c>
      <c r="P91" s="8" t="inlineStr">
        <is>
          <t>5 jours</t>
        </is>
      </c>
      <c r="Q91" s="2" t="n"/>
      <c r="R91" t="inlineStr">
        <is>
          <t>consulté par olivier</t>
        </is>
      </c>
    </row>
    <row r="92">
      <c r="A92" s="8" t="n">
        <v>34406533</v>
      </c>
      <c r="B92" s="9">
        <f>INDEX(Tableau1[], MATCH(Tableau3[[#This Row],[REFERENCE]], Tableau1[NUMERO], 0), 2)</f>
        <v/>
      </c>
      <c r="C92" s="129">
        <f>INDEX(Tableau1[], MATCH(Tableau3[[#This Row],[REFERENCE]], Tableau1[NUMERO], 0), 3)</f>
        <v/>
      </c>
      <c r="D92" s="129">
        <f>INDEX(Tableau1[], MATCH(Tableau3[[#This Row],[REFERENCE]], Tableau1[NUMERO], 0),4)</f>
        <v/>
      </c>
      <c r="E92" s="129">
        <f>INDEX(Tableau1[], MATCH(Tableau3[[#This Row],[REFERENCE]], Tableau1[NUMERO], 0), 5)</f>
        <v/>
      </c>
      <c r="F92" s="129">
        <f>INDEX(Tableau1[], MATCH(Tableau3[[#This Row],[REFERENCE]], Tableau1[NUMERO], 0), 6)</f>
        <v/>
      </c>
      <c r="G92" s="129">
        <f>INDEX(Tableau1[], MATCH(Tableau3[[#This Row],[REFERENCE]], Tableau1[NUMERO], 0), 7)</f>
        <v/>
      </c>
      <c r="H92" t="inlineStr">
        <is>
          <t>LASER TECHNIQUE</t>
        </is>
      </c>
      <c r="J92" s="2" t="n">
        <v>43123</v>
      </c>
      <c r="K92" s="2" t="n">
        <v>43123</v>
      </c>
      <c r="L92" s="2" t="inlineStr">
        <is>
          <t>Réponse OK</t>
        </is>
      </c>
      <c r="O92" s="7" t="n">
        <v>60</v>
      </c>
      <c r="P92" s="8" t="inlineStr">
        <is>
          <t>5 jours</t>
        </is>
      </c>
      <c r="Q92" s="2" t="n"/>
      <c r="R92" t="inlineStr">
        <is>
          <t>consulté par olivier</t>
        </is>
      </c>
    </row>
    <row r="93">
      <c r="A93" s="8" t="n">
        <v>34406541</v>
      </c>
      <c r="B93" s="9">
        <f>INDEX(Tableau1[], MATCH(Tableau3[[#This Row],[REFERENCE]], Tableau1[NUMERO], 0), 2)</f>
        <v/>
      </c>
      <c r="C93" s="129">
        <f>INDEX(Tableau1[], MATCH(Tableau3[[#This Row],[REFERENCE]], Tableau1[NUMERO], 0), 3)</f>
        <v/>
      </c>
      <c r="D93" s="129">
        <f>INDEX(Tableau1[], MATCH(Tableau3[[#This Row],[REFERENCE]], Tableau1[NUMERO], 0),4)</f>
        <v/>
      </c>
      <c r="E93" s="129">
        <f>INDEX(Tableau1[], MATCH(Tableau3[[#This Row],[REFERENCE]], Tableau1[NUMERO], 0), 5)</f>
        <v/>
      </c>
      <c r="F93" s="129">
        <f>INDEX(Tableau1[], MATCH(Tableau3[[#This Row],[REFERENCE]], Tableau1[NUMERO], 0), 6)</f>
        <v/>
      </c>
      <c r="G93" s="129">
        <f>INDEX(Tableau1[], MATCH(Tableau3[[#This Row],[REFERENCE]], Tableau1[NUMERO], 0), 7)</f>
        <v/>
      </c>
      <c r="H93" t="inlineStr">
        <is>
          <t>FONTAINE INSERTION</t>
        </is>
      </c>
      <c r="J93" s="2" t="n">
        <v>43123</v>
      </c>
      <c r="K93" s="2" t="n">
        <v>43124</v>
      </c>
      <c r="L93" s="2" t="inlineStr">
        <is>
          <t>Réponse OK</t>
        </is>
      </c>
      <c r="O93" s="7" t="n">
        <v>15.8</v>
      </c>
      <c r="P93" s="8" t="inlineStr">
        <is>
          <t>donné a la commande</t>
        </is>
      </c>
      <c r="Q93" s="2" t="n"/>
      <c r="R93" t="inlineStr">
        <is>
          <t>consulté par olivier</t>
        </is>
      </c>
    </row>
    <row r="94">
      <c r="A94" s="8" t="n">
        <v>34406542</v>
      </c>
      <c r="B94" s="9">
        <f>INDEX(Tableau1[], MATCH(Tableau3[[#This Row],[REFERENCE]], Tableau1[NUMERO], 0), 2)</f>
        <v/>
      </c>
      <c r="C94" s="129">
        <f>INDEX(Tableau1[], MATCH(Tableau3[[#This Row],[REFERENCE]], Tableau1[NUMERO], 0), 3)</f>
        <v/>
      </c>
      <c r="D94" s="129">
        <f>INDEX(Tableau1[], MATCH(Tableau3[[#This Row],[REFERENCE]], Tableau1[NUMERO], 0),4)</f>
        <v/>
      </c>
      <c r="E94" s="129">
        <f>INDEX(Tableau1[], MATCH(Tableau3[[#This Row],[REFERENCE]], Tableau1[NUMERO], 0), 5)</f>
        <v/>
      </c>
      <c r="F94" s="129">
        <f>INDEX(Tableau1[], MATCH(Tableau3[[#This Row],[REFERENCE]], Tableau1[NUMERO], 0), 6)</f>
        <v/>
      </c>
      <c r="G94" s="129">
        <f>INDEX(Tableau1[], MATCH(Tableau3[[#This Row],[REFERENCE]], Tableau1[NUMERO], 0), 7)</f>
        <v/>
      </c>
      <c r="H94" t="inlineStr">
        <is>
          <t>FONTAINE INSERTION</t>
        </is>
      </c>
      <c r="J94" s="2" t="n">
        <v>43123</v>
      </c>
      <c r="K94" s="2" t="n">
        <v>43125</v>
      </c>
      <c r="L94" s="2" t="inlineStr">
        <is>
          <t>Réponse OK</t>
        </is>
      </c>
      <c r="O94" s="7" t="n">
        <v>3.16</v>
      </c>
      <c r="P94" s="8" t="inlineStr">
        <is>
          <t>donné a la commande</t>
        </is>
      </c>
      <c r="Q94" s="2" t="n"/>
      <c r="R94" t="inlineStr">
        <is>
          <t>consulté par olivier</t>
        </is>
      </c>
    </row>
    <row r="95">
      <c r="A95" s="8" t="n">
        <v>34406543</v>
      </c>
      <c r="B95" s="9">
        <f>INDEX(Tableau1[], MATCH(Tableau3[[#This Row],[REFERENCE]], Tableau1[NUMERO], 0), 2)</f>
        <v/>
      </c>
      <c r="C95" s="129">
        <f>INDEX(Tableau1[], MATCH(Tableau3[[#This Row],[REFERENCE]], Tableau1[NUMERO], 0), 3)</f>
        <v/>
      </c>
      <c r="D95" s="129">
        <f>INDEX(Tableau1[], MATCH(Tableau3[[#This Row],[REFERENCE]], Tableau1[NUMERO], 0),4)</f>
        <v/>
      </c>
      <c r="E95" s="129">
        <f>INDEX(Tableau1[], MATCH(Tableau3[[#This Row],[REFERENCE]], Tableau1[NUMERO], 0), 5)</f>
        <v/>
      </c>
      <c r="F95" s="129">
        <f>INDEX(Tableau1[], MATCH(Tableau3[[#This Row],[REFERENCE]], Tableau1[NUMERO], 0), 6)</f>
        <v/>
      </c>
      <c r="G95" s="129">
        <f>INDEX(Tableau1[], MATCH(Tableau3[[#This Row],[REFERENCE]], Tableau1[NUMERO], 0), 7)</f>
        <v/>
      </c>
      <c r="H95" t="inlineStr">
        <is>
          <t>LASER TECHNIQUE</t>
        </is>
      </c>
      <c r="J95" s="2" t="n">
        <v>43123</v>
      </c>
      <c r="K95" s="2" t="inlineStr">
        <is>
          <t>Oui</t>
        </is>
      </c>
      <c r="L95" s="2" t="inlineStr">
        <is>
          <t>Réponse OK</t>
        </is>
      </c>
      <c r="O95" s="7" t="n">
        <v>1.87</v>
      </c>
      <c r="P95" s="8" t="n"/>
      <c r="Q95" s="2" t="n"/>
      <c r="R95" t="inlineStr">
        <is>
          <t>relancé le 26/01/2018 par olivier</t>
        </is>
      </c>
    </row>
    <row r="96">
      <c r="A96" s="8" t="n">
        <v>34406545</v>
      </c>
      <c r="B96" s="9">
        <f>INDEX(Tableau1[], MATCH(Tableau3[[#This Row],[REFERENCE]], Tableau1[NUMERO], 0), 2)</f>
        <v/>
      </c>
      <c r="C96" s="129">
        <f>INDEX(Tableau1[], MATCH(Tableau3[[#This Row],[REFERENCE]], Tableau1[NUMERO], 0), 3)</f>
        <v/>
      </c>
      <c r="D96" s="129">
        <f>INDEX(Tableau1[], MATCH(Tableau3[[#This Row],[REFERENCE]], Tableau1[NUMERO], 0),4)</f>
        <v/>
      </c>
      <c r="E96" s="129">
        <f>INDEX(Tableau1[], MATCH(Tableau3[[#This Row],[REFERENCE]], Tableau1[NUMERO], 0), 5)</f>
        <v/>
      </c>
      <c r="F96" s="129">
        <f>INDEX(Tableau1[], MATCH(Tableau3[[#This Row],[REFERENCE]], Tableau1[NUMERO], 0), 6)</f>
        <v/>
      </c>
      <c r="G96" s="129">
        <f>INDEX(Tableau1[], MATCH(Tableau3[[#This Row],[REFERENCE]], Tableau1[NUMERO], 0), 7)</f>
        <v/>
      </c>
      <c r="H96" t="inlineStr">
        <is>
          <t>LASER TECHNIQUE</t>
        </is>
      </c>
      <c r="J96" s="2" t="n">
        <v>43123</v>
      </c>
      <c r="K96" s="2" t="inlineStr">
        <is>
          <t>Oui</t>
        </is>
      </c>
      <c r="L96" s="2" t="inlineStr">
        <is>
          <t>Réponse OK</t>
        </is>
      </c>
      <c r="O96" s="7" t="n">
        <v>1.53</v>
      </c>
      <c r="P96" s="8" t="n"/>
      <c r="Q96" s="2" t="n"/>
      <c r="R96" t="inlineStr">
        <is>
          <t>relancé le 26/01/2018 par olivier</t>
        </is>
      </c>
    </row>
    <row r="97">
      <c r="A97" s="8" t="n">
        <v>34406546</v>
      </c>
      <c r="B97" s="9">
        <f>INDEX(Tableau1[], MATCH(Tableau3[[#This Row],[REFERENCE]], Tableau1[NUMERO], 0), 2)</f>
        <v/>
      </c>
      <c r="C97" s="129">
        <f>INDEX(Tableau1[], MATCH(Tableau3[[#This Row],[REFERENCE]], Tableau1[NUMERO], 0), 3)</f>
        <v/>
      </c>
      <c r="D97" s="129">
        <f>INDEX(Tableau1[], MATCH(Tableau3[[#This Row],[REFERENCE]], Tableau1[NUMERO], 0),4)</f>
        <v/>
      </c>
      <c r="E97" s="129">
        <f>INDEX(Tableau1[], MATCH(Tableau3[[#This Row],[REFERENCE]], Tableau1[NUMERO], 0), 5)</f>
        <v/>
      </c>
      <c r="F97" s="129">
        <f>INDEX(Tableau1[], MATCH(Tableau3[[#This Row],[REFERENCE]], Tableau1[NUMERO], 0), 6)</f>
        <v/>
      </c>
      <c r="G97" s="129">
        <f>INDEX(Tableau1[], MATCH(Tableau3[[#This Row],[REFERENCE]], Tableau1[NUMERO], 0), 7)</f>
        <v/>
      </c>
      <c r="H97" t="inlineStr">
        <is>
          <t>=S= (MANSION)</t>
        </is>
      </c>
      <c r="J97" s="2" t="n">
        <v>43124</v>
      </c>
      <c r="K97" s="2" t="inlineStr">
        <is>
          <t>Oui</t>
        </is>
      </c>
      <c r="L97" s="2" t="inlineStr">
        <is>
          <t>Réponse OK</t>
        </is>
      </c>
      <c r="O97" s="7" t="n">
        <v>979.96</v>
      </c>
      <c r="P97" s="8" t="n"/>
      <c r="Q97" s="2" t="n"/>
      <c r="R97" t="inlineStr">
        <is>
          <t>consulté par vincent</t>
        </is>
      </c>
    </row>
    <row r="98">
      <c r="A98" s="8" t="n">
        <v>34406547</v>
      </c>
      <c r="B98" s="9">
        <f>INDEX(Tableau1[], MATCH(Tableau3[[#This Row],[REFERENCE]], Tableau1[NUMERO], 0), 2)</f>
        <v/>
      </c>
      <c r="C98" s="129">
        <f>INDEX(Tableau1[], MATCH(Tableau3[[#This Row],[REFERENCE]], Tableau1[NUMERO], 0), 3)</f>
        <v/>
      </c>
      <c r="D98" s="129">
        <f>INDEX(Tableau1[], MATCH(Tableau3[[#This Row],[REFERENCE]], Tableau1[NUMERO], 0),4)</f>
        <v/>
      </c>
      <c r="E98" s="129">
        <f>INDEX(Tableau1[], MATCH(Tableau3[[#This Row],[REFERENCE]], Tableau1[NUMERO], 0), 5)</f>
        <v/>
      </c>
      <c r="F98" s="129">
        <f>INDEX(Tableau1[], MATCH(Tableau3[[#This Row],[REFERENCE]], Tableau1[NUMERO], 0), 6)</f>
        <v/>
      </c>
      <c r="G98" s="129">
        <f>INDEX(Tableau1[], MATCH(Tableau3[[#This Row],[REFERENCE]], Tableau1[NUMERO], 0), 7)</f>
        <v/>
      </c>
      <c r="H98" t="inlineStr">
        <is>
          <t>=S= (MANSION)</t>
        </is>
      </c>
      <c r="J98" s="2" t="n">
        <v>43129</v>
      </c>
      <c r="K98" s="2" t="n">
        <v>43131</v>
      </c>
      <c r="L98" s="2" t="inlineStr">
        <is>
          <t>Réponse OK</t>
        </is>
      </c>
      <c r="O98" s="7" t="n">
        <v>2388.09</v>
      </c>
      <c r="P98" s="8" t="inlineStr">
        <is>
          <t>non précisé</t>
        </is>
      </c>
      <c r="Q98" s="2" t="n"/>
    </row>
    <row r="99">
      <c r="A99" s="8" t="n">
        <v>34406548</v>
      </c>
      <c r="B99" s="9">
        <f>INDEX(Tableau1[], MATCH(Tableau3[[#This Row],[REFERENCE]], Tableau1[NUMERO], 0), 2)</f>
        <v/>
      </c>
      <c r="C99" s="129">
        <f>INDEX(Tableau1[], MATCH(Tableau3[[#This Row],[REFERENCE]], Tableau1[NUMERO], 0), 3)</f>
        <v/>
      </c>
      <c r="D99" s="129">
        <f>INDEX(Tableau1[], MATCH(Tableau3[[#This Row],[REFERENCE]], Tableau1[NUMERO], 0),4)</f>
        <v/>
      </c>
      <c r="E99" s="129">
        <f>INDEX(Tableau1[], MATCH(Tableau3[[#This Row],[REFERENCE]], Tableau1[NUMERO], 0), 5)</f>
        <v/>
      </c>
      <c r="F99" s="129">
        <f>INDEX(Tableau1[], MATCH(Tableau3[[#This Row],[REFERENCE]], Tableau1[NUMERO], 0), 6)</f>
        <v/>
      </c>
      <c r="G99" s="129">
        <f>INDEX(Tableau1[], MATCH(Tableau3[[#This Row],[REFERENCE]], Tableau1[NUMERO], 0), 7)</f>
        <v/>
      </c>
      <c r="H99" t="inlineStr">
        <is>
          <t>LASER TECHNIQUE</t>
        </is>
      </c>
      <c r="J99" s="2" t="n">
        <v>43136</v>
      </c>
      <c r="K99" s="2" t="inlineStr">
        <is>
          <t>Oui</t>
        </is>
      </c>
      <c r="L99" s="2" t="inlineStr">
        <is>
          <t>Réponse OK</t>
        </is>
      </c>
      <c r="P99" s="8" t="n"/>
      <c r="Q99" s="2" t="n"/>
      <c r="R99" t="inlineStr">
        <is>
          <t>erreur, il ne fallait pas consulter</t>
        </is>
      </c>
    </row>
    <row r="100">
      <c r="A100" s="8" t="n">
        <v>34406554</v>
      </c>
      <c r="B100" s="9">
        <f>INDEX(Tableau1[], MATCH(Tableau3[[#This Row],[REFERENCE]], Tableau1[NUMERO], 0), 2)</f>
        <v/>
      </c>
      <c r="C100" s="129">
        <f>INDEX(Tableau1[], MATCH(Tableau3[[#This Row],[REFERENCE]], Tableau1[NUMERO], 0), 3)</f>
        <v/>
      </c>
      <c r="D100" s="129">
        <f>INDEX(Tableau1[], MATCH(Tableau3[[#This Row],[REFERENCE]], Tableau1[NUMERO], 0),4)</f>
        <v/>
      </c>
      <c r="E100" s="129">
        <f>INDEX(Tableau1[], MATCH(Tableau3[[#This Row],[REFERENCE]], Tableau1[NUMERO], 0), 5)</f>
        <v/>
      </c>
      <c r="F100" s="129">
        <f>INDEX(Tableau1[], MATCH(Tableau3[[#This Row],[REFERENCE]], Tableau1[NUMERO], 0), 6)</f>
        <v/>
      </c>
      <c r="G100" s="129">
        <f>INDEX(Tableau1[], MATCH(Tableau3[[#This Row],[REFERENCE]], Tableau1[NUMERO], 0), 7)</f>
        <v/>
      </c>
      <c r="H100" t="inlineStr">
        <is>
          <t>ANGELIQUE</t>
        </is>
      </c>
      <c r="J100" s="2" t="n">
        <v>43153</v>
      </c>
      <c r="K100" s="2" t="inlineStr">
        <is>
          <t>N</t>
        </is>
      </c>
      <c r="L100" s="2" t="n">
        <v>43156</v>
      </c>
      <c r="P100" s="8" t="n"/>
      <c r="Q100" s="2" t="n"/>
      <c r="R100" t="inlineStr">
        <is>
          <t>angelique relancé le 27/02/2018 par matthieu</t>
        </is>
      </c>
    </row>
    <row r="101">
      <c r="A101" s="8" t="n">
        <v>34406555</v>
      </c>
      <c r="B101" s="9">
        <f>INDEX(Tableau1[], MATCH(Tableau3[[#This Row],[REFERENCE]], Tableau1[NUMERO], 0), 2)</f>
        <v/>
      </c>
      <c r="C101" s="129">
        <f>INDEX(Tableau1[], MATCH(Tableau3[[#This Row],[REFERENCE]], Tableau1[NUMERO], 0), 3)</f>
        <v/>
      </c>
      <c r="D101" s="129">
        <f>INDEX(Tableau1[], MATCH(Tableau3[[#This Row],[REFERENCE]], Tableau1[NUMERO], 0),4)</f>
        <v/>
      </c>
      <c r="E101" s="129">
        <f>INDEX(Tableau1[], MATCH(Tableau3[[#This Row],[REFERENCE]], Tableau1[NUMERO], 0), 5)</f>
        <v/>
      </c>
      <c r="F101" s="129">
        <f>INDEX(Tableau1[], MATCH(Tableau3[[#This Row],[REFERENCE]], Tableau1[NUMERO], 0), 6)</f>
        <v/>
      </c>
      <c r="G101" s="129">
        <f>INDEX(Tableau1[], MATCH(Tableau3[[#This Row],[REFERENCE]], Tableau1[NUMERO], 0), 7)</f>
        <v/>
      </c>
      <c r="H101" t="inlineStr">
        <is>
          <t>ANGELIQUE</t>
        </is>
      </c>
      <c r="J101" s="2" t="n">
        <v>43153</v>
      </c>
      <c r="K101" s="2" t="inlineStr">
        <is>
          <t>N</t>
        </is>
      </c>
      <c r="L101" s="2" t="n">
        <v>43156</v>
      </c>
      <c r="P101" s="8" t="n"/>
      <c r="Q101" s="2" t="n"/>
      <c r="R101" t="inlineStr">
        <is>
          <t>angelique relancé le 27/02/2018 par matthieu</t>
        </is>
      </c>
    </row>
    <row r="102">
      <c r="A102" s="8" t="n">
        <v>34406556</v>
      </c>
      <c r="B102" s="9">
        <f>INDEX(Tableau1[], MATCH(Tableau3[[#This Row],[REFERENCE]], Tableau1[NUMERO], 0), 2)</f>
        <v/>
      </c>
      <c r="C102" s="129">
        <f>INDEX(Tableau1[], MATCH(Tableau3[[#This Row],[REFERENCE]], Tableau1[NUMERO], 0), 3)</f>
        <v/>
      </c>
      <c r="D102" s="129">
        <f>INDEX(Tableau1[], MATCH(Tableau3[[#This Row],[REFERENCE]], Tableau1[NUMERO], 0),4)</f>
        <v/>
      </c>
      <c r="E102" s="129">
        <f>INDEX(Tableau1[], MATCH(Tableau3[[#This Row],[REFERENCE]], Tableau1[NUMERO], 0), 5)</f>
        <v/>
      </c>
      <c r="F102" s="129">
        <f>INDEX(Tableau1[], MATCH(Tableau3[[#This Row],[REFERENCE]], Tableau1[NUMERO], 0), 6)</f>
        <v/>
      </c>
      <c r="G102" s="129">
        <f>INDEX(Tableau1[], MATCH(Tableau3[[#This Row],[REFERENCE]], Tableau1[NUMERO], 0), 7)</f>
        <v/>
      </c>
      <c r="H102" t="inlineStr">
        <is>
          <t>ANGELIQUE</t>
        </is>
      </c>
      <c r="J102" s="2" t="n">
        <v>43153</v>
      </c>
      <c r="K102" s="2" t="inlineStr">
        <is>
          <t>N</t>
        </is>
      </c>
      <c r="L102" s="2" t="n">
        <v>43156</v>
      </c>
      <c r="P102" s="8" t="n"/>
      <c r="Q102" s="2" t="n"/>
      <c r="R102" t="inlineStr">
        <is>
          <t>angelique relancé le 27/02/2018 par matthieu</t>
        </is>
      </c>
    </row>
    <row r="103">
      <c r="A103" s="8" t="n">
        <v>34406557</v>
      </c>
      <c r="B103" s="9">
        <f>INDEX(Tableau1[], MATCH(Tableau3[[#This Row],[REFERENCE]], Tableau1[NUMERO], 0), 2)</f>
        <v/>
      </c>
      <c r="C103" s="129">
        <f>INDEX(Tableau1[], MATCH(Tableau3[[#This Row],[REFERENCE]], Tableau1[NUMERO], 0), 3)</f>
        <v/>
      </c>
      <c r="D103" s="129">
        <f>INDEX(Tableau1[], MATCH(Tableau3[[#This Row],[REFERENCE]], Tableau1[NUMERO], 0),4)</f>
        <v/>
      </c>
      <c r="E103" s="129">
        <f>INDEX(Tableau1[], MATCH(Tableau3[[#This Row],[REFERENCE]], Tableau1[NUMERO], 0), 5)</f>
        <v/>
      </c>
      <c r="F103" s="129">
        <f>INDEX(Tableau1[], MATCH(Tableau3[[#This Row],[REFERENCE]], Tableau1[NUMERO], 0), 6)</f>
        <v/>
      </c>
      <c r="G103" s="129">
        <f>INDEX(Tableau1[], MATCH(Tableau3[[#This Row],[REFERENCE]], Tableau1[NUMERO], 0), 7)</f>
        <v/>
      </c>
      <c r="H103" t="inlineStr">
        <is>
          <t>ANGELIQUE</t>
        </is>
      </c>
      <c r="J103" s="2" t="n">
        <v>43153</v>
      </c>
      <c r="K103" s="2" t="inlineStr">
        <is>
          <t>N</t>
        </is>
      </c>
      <c r="L103" s="2" t="n">
        <v>43156</v>
      </c>
      <c r="P103" s="8" t="n"/>
      <c r="Q103" s="2" t="n"/>
      <c r="R103" t="inlineStr">
        <is>
          <t>angelique relancé le 27/02/2018 par matthieu</t>
        </is>
      </c>
    </row>
    <row r="104">
      <c r="A104" s="8" t="n">
        <v>34406558</v>
      </c>
      <c r="B104" s="9">
        <f>INDEX(Tableau1[], MATCH(Tableau3[[#This Row],[REFERENCE]], Tableau1[NUMERO], 0), 2)</f>
        <v/>
      </c>
      <c r="C104" s="129">
        <f>INDEX(Tableau1[], MATCH(Tableau3[[#This Row],[REFERENCE]], Tableau1[NUMERO], 0), 3)</f>
        <v/>
      </c>
      <c r="D104" s="129">
        <f>INDEX(Tableau1[], MATCH(Tableau3[[#This Row],[REFERENCE]], Tableau1[NUMERO], 0),4)</f>
        <v/>
      </c>
      <c r="E104" s="129">
        <f>INDEX(Tableau1[], MATCH(Tableau3[[#This Row],[REFERENCE]], Tableau1[NUMERO], 0), 5)</f>
        <v/>
      </c>
      <c r="F104" s="129">
        <f>INDEX(Tableau1[], MATCH(Tableau3[[#This Row],[REFERENCE]], Tableau1[NUMERO], 0), 6)</f>
        <v/>
      </c>
      <c r="G104" s="129">
        <f>INDEX(Tableau1[], MATCH(Tableau3[[#This Row],[REFERENCE]], Tableau1[NUMERO], 0), 7)</f>
        <v/>
      </c>
      <c r="H104" t="inlineStr">
        <is>
          <t>ANGELIQUE</t>
        </is>
      </c>
      <c r="J104" s="2" t="n">
        <v>43153</v>
      </c>
      <c r="K104" s="2" t="inlineStr">
        <is>
          <t>N</t>
        </is>
      </c>
      <c r="L104" s="2" t="n">
        <v>43156</v>
      </c>
      <c r="P104" s="8" t="n"/>
      <c r="Q104" s="2" t="n"/>
      <c r="R104" t="inlineStr">
        <is>
          <t>angelique relancé le 27/02/2018 par matthieu</t>
        </is>
      </c>
    </row>
    <row r="105">
      <c r="A105" s="8" t="n">
        <v>34406560</v>
      </c>
      <c r="B105" s="9">
        <f>INDEX(Tableau1[], MATCH(Tableau3[[#This Row],[REFERENCE]], Tableau1[NUMERO], 0), 2)</f>
        <v/>
      </c>
      <c r="C105" s="129">
        <f>INDEX(Tableau1[], MATCH(Tableau3[[#This Row],[REFERENCE]], Tableau1[NUMERO], 0), 3)</f>
        <v/>
      </c>
      <c r="D105" s="129">
        <f>INDEX(Tableau1[], MATCH(Tableau3[[#This Row],[REFERENCE]], Tableau1[NUMERO], 0),4)</f>
        <v/>
      </c>
      <c r="E105" s="129">
        <f>INDEX(Tableau1[], MATCH(Tableau3[[#This Row],[REFERENCE]], Tableau1[NUMERO], 0), 5)</f>
        <v/>
      </c>
      <c r="F105" s="129">
        <f>INDEX(Tableau1[], MATCH(Tableau3[[#This Row],[REFERENCE]], Tableau1[NUMERO], 0), 6)</f>
        <v/>
      </c>
      <c r="G105" s="129">
        <f>INDEX(Tableau1[], MATCH(Tableau3[[#This Row],[REFERENCE]], Tableau1[NUMERO], 0), 7)</f>
        <v/>
      </c>
      <c r="H105" t="inlineStr">
        <is>
          <t>ANGELIQUE</t>
        </is>
      </c>
      <c r="J105" s="2" t="n">
        <v>43153</v>
      </c>
      <c r="K105" s="2" t="inlineStr">
        <is>
          <t>N</t>
        </is>
      </c>
      <c r="L105" s="2" t="n">
        <v>43156</v>
      </c>
      <c r="P105" s="8" t="n"/>
      <c r="Q105" s="2" t="n"/>
      <c r="R105" t="inlineStr">
        <is>
          <t>angelique relancé le 27/02/2018 par matthieu</t>
        </is>
      </c>
    </row>
    <row r="106">
      <c r="A106" s="8" t="n">
        <v>34406561</v>
      </c>
      <c r="B106" s="9">
        <f>INDEX(Tableau1[], MATCH(Tableau3[[#This Row],[REFERENCE]], Tableau1[NUMERO], 0), 2)</f>
        <v/>
      </c>
      <c r="C106" s="129">
        <f>INDEX(Tableau1[], MATCH(Tableau3[[#This Row],[REFERENCE]], Tableau1[NUMERO], 0), 3)</f>
        <v/>
      </c>
      <c r="D106" s="129">
        <f>INDEX(Tableau1[], MATCH(Tableau3[[#This Row],[REFERENCE]], Tableau1[NUMERO], 0),4)</f>
        <v/>
      </c>
      <c r="E106" s="129">
        <f>INDEX(Tableau1[], MATCH(Tableau3[[#This Row],[REFERENCE]], Tableau1[NUMERO], 0), 5)</f>
        <v/>
      </c>
      <c r="F106" s="129">
        <f>INDEX(Tableau1[], MATCH(Tableau3[[#This Row],[REFERENCE]], Tableau1[NUMERO], 0), 6)</f>
        <v/>
      </c>
      <c r="G106" s="129">
        <f>INDEX(Tableau1[], MATCH(Tableau3[[#This Row],[REFERENCE]], Tableau1[NUMERO], 0), 7)</f>
        <v/>
      </c>
      <c r="H106" t="inlineStr">
        <is>
          <t>ANGELIQUE</t>
        </is>
      </c>
      <c r="J106" s="2" t="n">
        <v>43153</v>
      </c>
      <c r="K106" s="2" t="inlineStr">
        <is>
          <t>N</t>
        </is>
      </c>
      <c r="L106" s="2" t="n">
        <v>43156</v>
      </c>
      <c r="P106" s="8" t="n"/>
      <c r="Q106" s="2" t="n"/>
      <c r="R106" t="inlineStr">
        <is>
          <t>angelique relancé le 27/02/2018 par matthieu</t>
        </is>
      </c>
    </row>
    <row r="107">
      <c r="A107" s="8" t="n">
        <v>34406562</v>
      </c>
      <c r="B107" s="9">
        <f>INDEX(Tableau1[], MATCH(Tableau3[[#This Row],[REFERENCE]], Tableau1[NUMERO], 0), 2)</f>
        <v/>
      </c>
      <c r="C107" s="129">
        <f>INDEX(Tableau1[], MATCH(Tableau3[[#This Row],[REFERENCE]], Tableau1[NUMERO], 0), 3)</f>
        <v/>
      </c>
      <c r="D107" s="129">
        <f>INDEX(Tableau1[], MATCH(Tableau3[[#This Row],[REFERENCE]], Tableau1[NUMERO], 0),4)</f>
        <v/>
      </c>
      <c r="E107" s="129">
        <f>INDEX(Tableau1[], MATCH(Tableau3[[#This Row],[REFERENCE]], Tableau1[NUMERO], 0), 5)</f>
        <v/>
      </c>
      <c r="F107" s="129">
        <f>INDEX(Tableau1[], MATCH(Tableau3[[#This Row],[REFERENCE]], Tableau1[NUMERO], 0), 6)</f>
        <v/>
      </c>
      <c r="G107" s="129">
        <f>INDEX(Tableau1[], MATCH(Tableau3[[#This Row],[REFERENCE]], Tableau1[NUMERO], 0), 7)</f>
        <v/>
      </c>
      <c r="H107" t="inlineStr">
        <is>
          <t>ANGELIQUE</t>
        </is>
      </c>
      <c r="J107" s="2" t="n">
        <v>43153</v>
      </c>
      <c r="K107" s="2" t="inlineStr">
        <is>
          <t>N</t>
        </is>
      </c>
      <c r="L107" s="2" t="n">
        <v>43156</v>
      </c>
      <c r="P107" s="8" t="n"/>
      <c r="Q107" s="2" t="n"/>
      <c r="R107" t="inlineStr">
        <is>
          <t>angelique relancé le 27/02/2018 par matthieu</t>
        </is>
      </c>
    </row>
    <row r="108">
      <c r="A108" s="8" t="n">
        <v>34406563</v>
      </c>
      <c r="B108" s="9">
        <f>INDEX(Tableau1[], MATCH(Tableau3[[#This Row],[REFERENCE]], Tableau1[NUMERO], 0), 2)</f>
        <v/>
      </c>
      <c r="C108" s="129">
        <f>INDEX(Tableau1[], MATCH(Tableau3[[#This Row],[REFERENCE]], Tableau1[NUMERO], 0), 3)</f>
        <v/>
      </c>
      <c r="D108" s="129">
        <f>INDEX(Tableau1[], MATCH(Tableau3[[#This Row],[REFERENCE]], Tableau1[NUMERO], 0),4)</f>
        <v/>
      </c>
      <c r="E108" s="129">
        <f>INDEX(Tableau1[], MATCH(Tableau3[[#This Row],[REFERENCE]], Tableau1[NUMERO], 0), 5)</f>
        <v/>
      </c>
      <c r="F108" s="129">
        <f>INDEX(Tableau1[], MATCH(Tableau3[[#This Row],[REFERENCE]], Tableau1[NUMERO], 0), 6)</f>
        <v/>
      </c>
      <c r="G108" s="129">
        <f>INDEX(Tableau1[], MATCH(Tableau3[[#This Row],[REFERENCE]], Tableau1[NUMERO], 0), 7)</f>
        <v/>
      </c>
      <c r="H108" t="inlineStr">
        <is>
          <t>ANGELIQUE</t>
        </is>
      </c>
      <c r="J108" s="2" t="n">
        <v>43153</v>
      </c>
      <c r="K108" s="2" t="inlineStr">
        <is>
          <t>N</t>
        </is>
      </c>
      <c r="L108" s="2" t="n">
        <v>43156</v>
      </c>
      <c r="P108" s="8" t="n"/>
      <c r="Q108" s="2" t="n"/>
      <c r="R108" t="inlineStr">
        <is>
          <t>angelique relancé le 27/02/2018 par matthieu</t>
        </is>
      </c>
    </row>
    <row r="109">
      <c r="A109" s="8" t="n">
        <v>34406564</v>
      </c>
      <c r="B109" s="9">
        <f>INDEX(Tableau1[], MATCH(Tableau3[[#This Row],[REFERENCE]], Tableau1[NUMERO], 0), 2)</f>
        <v/>
      </c>
      <c r="C109" s="129">
        <f>INDEX(Tableau1[], MATCH(Tableau3[[#This Row],[REFERENCE]], Tableau1[NUMERO], 0), 3)</f>
        <v/>
      </c>
      <c r="D109" s="129">
        <f>INDEX(Tableau1[], MATCH(Tableau3[[#This Row],[REFERENCE]], Tableau1[NUMERO], 0),4)</f>
        <v/>
      </c>
      <c r="E109" s="129">
        <f>INDEX(Tableau1[], MATCH(Tableau3[[#This Row],[REFERENCE]], Tableau1[NUMERO], 0), 5)</f>
        <v/>
      </c>
      <c r="F109" s="129">
        <f>INDEX(Tableau1[], MATCH(Tableau3[[#This Row],[REFERENCE]], Tableau1[NUMERO], 0), 6)</f>
        <v/>
      </c>
      <c r="G109" s="129">
        <f>INDEX(Tableau1[], MATCH(Tableau3[[#This Row],[REFERENCE]], Tableau1[NUMERO], 0), 7)</f>
        <v/>
      </c>
      <c r="H109" t="inlineStr">
        <is>
          <t>ANGELIQUE</t>
        </is>
      </c>
      <c r="J109" s="2" t="n">
        <v>43153</v>
      </c>
      <c r="K109" s="2" t="inlineStr">
        <is>
          <t>N</t>
        </is>
      </c>
      <c r="L109" s="2" t="n">
        <v>43156</v>
      </c>
      <c r="P109" s="8" t="n"/>
      <c r="Q109" s="2" t="n"/>
      <c r="R109" t="inlineStr">
        <is>
          <t>angelique relancé le 27/02/2018 par matthieu</t>
        </is>
      </c>
    </row>
    <row r="110">
      <c r="A110" s="8" t="n">
        <v>34406565</v>
      </c>
      <c r="B110" s="9">
        <f>INDEX(Tableau1[], MATCH(Tableau3[[#This Row],[REFERENCE]], Tableau1[NUMERO], 0), 2)</f>
        <v/>
      </c>
      <c r="C110" s="129">
        <f>INDEX(Tableau1[], MATCH(Tableau3[[#This Row],[REFERENCE]], Tableau1[NUMERO], 0), 3)</f>
        <v/>
      </c>
      <c r="D110" s="129">
        <f>INDEX(Tableau1[], MATCH(Tableau3[[#This Row],[REFERENCE]], Tableau1[NUMERO], 0),4)</f>
        <v/>
      </c>
      <c r="E110" s="129">
        <f>INDEX(Tableau1[], MATCH(Tableau3[[#This Row],[REFERENCE]], Tableau1[NUMERO], 0), 5)</f>
        <v/>
      </c>
      <c r="F110" s="129">
        <f>INDEX(Tableau1[], MATCH(Tableau3[[#This Row],[REFERENCE]], Tableau1[NUMERO], 0), 6)</f>
        <v/>
      </c>
      <c r="G110" s="129">
        <f>INDEX(Tableau1[], MATCH(Tableau3[[#This Row],[REFERENCE]], Tableau1[NUMERO], 0), 7)</f>
        <v/>
      </c>
      <c r="H110" t="inlineStr">
        <is>
          <t>ANGELIQUE</t>
        </is>
      </c>
      <c r="J110" s="2" t="n">
        <v>43153</v>
      </c>
      <c r="K110" s="2" t="inlineStr">
        <is>
          <t>N</t>
        </is>
      </c>
      <c r="L110" s="2" t="n">
        <v>43156</v>
      </c>
      <c r="P110" s="8" t="n"/>
      <c r="Q110" s="2" t="n"/>
      <c r="R110" t="inlineStr">
        <is>
          <t>angelique relancé le 27/02/2018 par matthieu</t>
        </is>
      </c>
    </row>
    <row r="111">
      <c r="A111" s="8" t="n">
        <v>34406592</v>
      </c>
      <c r="B111" s="9">
        <f>INDEX(Tableau1[], MATCH(Tableau3[[#This Row],[REFERENCE]], Tableau1[NUMERO], 0), 2)</f>
        <v/>
      </c>
      <c r="C111" s="129">
        <f>INDEX(Tableau1[], MATCH(Tableau3[[#This Row],[REFERENCE]], Tableau1[NUMERO], 0), 3)</f>
        <v/>
      </c>
      <c r="D111" s="129">
        <f>INDEX(Tableau1[], MATCH(Tableau3[[#This Row],[REFERENCE]], Tableau1[NUMERO], 0),4)</f>
        <v/>
      </c>
      <c r="E111" s="129">
        <f>INDEX(Tableau1[], MATCH(Tableau3[[#This Row],[REFERENCE]], Tableau1[NUMERO], 0), 5)</f>
        <v/>
      </c>
      <c r="F111" s="129">
        <f>INDEX(Tableau1[], MATCH(Tableau3[[#This Row],[REFERENCE]], Tableau1[NUMERO], 0), 6)</f>
        <v/>
      </c>
      <c r="G111" s="129">
        <f>INDEX(Tableau1[], MATCH(Tableau3[[#This Row],[REFERENCE]], Tableau1[NUMERO], 0), 7)</f>
        <v/>
      </c>
      <c r="H111" t="inlineStr">
        <is>
          <t>ANGELIQUE</t>
        </is>
      </c>
      <c r="J111" s="2" t="n">
        <v>43153</v>
      </c>
      <c r="K111" s="2" t="inlineStr">
        <is>
          <t>N</t>
        </is>
      </c>
      <c r="L111" s="2" t="n">
        <v>43156</v>
      </c>
      <c r="P111" s="8" t="n"/>
      <c r="Q111" s="2" t="n"/>
      <c r="R111" t="inlineStr">
        <is>
          <t>angelique relancé le 27/02/2018 par matthieu</t>
        </is>
      </c>
    </row>
    <row r="112">
      <c r="A112" s="8" t="n">
        <v>34406679</v>
      </c>
      <c r="B112" s="9">
        <f>INDEX(Tableau1[], MATCH(Tableau3[[#This Row],[REFERENCE]], Tableau1[NUMERO], 0), 2)</f>
        <v/>
      </c>
      <c r="C112" s="129">
        <f>INDEX(Tableau1[], MATCH(Tableau3[[#This Row],[REFERENCE]], Tableau1[NUMERO], 0), 3)</f>
        <v/>
      </c>
      <c r="D112" s="129">
        <f>INDEX(Tableau1[], MATCH(Tableau3[[#This Row],[REFERENCE]], Tableau1[NUMERO], 0),4)</f>
        <v/>
      </c>
      <c r="E112" s="129">
        <f>INDEX(Tableau1[], MATCH(Tableau3[[#This Row],[REFERENCE]], Tableau1[NUMERO], 0), 5)</f>
        <v/>
      </c>
      <c r="F112" s="129">
        <f>INDEX(Tableau1[], MATCH(Tableau3[[#This Row],[REFERENCE]], Tableau1[NUMERO], 0), 6)</f>
        <v/>
      </c>
      <c r="G112" s="129">
        <f>INDEX(Tableau1[], MATCH(Tableau3[[#This Row],[REFERENCE]], Tableau1[NUMERO], 0), 7)</f>
        <v/>
      </c>
      <c r="H112" t="inlineStr">
        <is>
          <t>comatel</t>
        </is>
      </c>
      <c r="J112" s="2" t="n">
        <v>43279</v>
      </c>
      <c r="K112" s="2" t="n"/>
      <c r="L112" s="2" t="n"/>
      <c r="P112" s="8" t="n"/>
      <c r="Q112" s="2" t="n"/>
      <c r="R112" t="inlineStr">
        <is>
          <t>envoyé par olivier (relancé le 02/07/2018)</t>
        </is>
      </c>
    </row>
    <row r="113">
      <c r="A113" s="8" t="n">
        <v>34406804</v>
      </c>
      <c r="B113" s="9">
        <f>INDEX(Tableau1[], MATCH(Tableau3[[#This Row],[REFERENCE]], Tableau1[NUMERO], 0), 2)</f>
        <v/>
      </c>
      <c r="C113" s="129">
        <f>INDEX(Tableau1[], MATCH(Tableau3[[#This Row],[REFERENCE]], Tableau1[NUMERO], 0), 3)</f>
        <v/>
      </c>
      <c r="D113" s="129">
        <f>INDEX(Tableau1[], MATCH(Tableau3[[#This Row],[REFERENCE]], Tableau1[NUMERO], 0),4)</f>
        <v/>
      </c>
      <c r="E113" s="129">
        <f>INDEX(Tableau1[], MATCH(Tableau3[[#This Row],[REFERENCE]], Tableau1[NUMERO], 0), 5)</f>
        <v/>
      </c>
      <c r="F113" s="129">
        <f>INDEX(Tableau1[], MATCH(Tableau3[[#This Row],[REFERENCE]], Tableau1[NUMERO], 0), 6)</f>
        <v/>
      </c>
      <c r="G113" s="129">
        <f>INDEX(Tableau1[], MATCH(Tableau3[[#This Row],[REFERENCE]], Tableau1[NUMERO], 0), 7)</f>
        <v/>
      </c>
      <c r="H113" t="inlineStr">
        <is>
          <t>SAREL</t>
        </is>
      </c>
      <c r="J113" s="2" t="n">
        <v>43256</v>
      </c>
      <c r="K113" s="2" t="n">
        <v>43257</v>
      </c>
      <c r="L113" s="2" t="n"/>
      <c r="O113" s="7" t="n">
        <v>319.77</v>
      </c>
      <c r="P113" s="8" t="n"/>
      <c r="Q113" s="2" t="n"/>
    </row>
    <row r="114">
      <c r="A114" s="8" t="n">
        <v>34407004</v>
      </c>
      <c r="B114" s="9">
        <f>INDEX(Tableau1[], MATCH(Tableau3[[#This Row],[REFERENCE]], Tableau1[NUMERO], 0), 2)</f>
        <v/>
      </c>
      <c r="C114" s="129">
        <f>INDEX(Tableau1[], MATCH(Tableau3[[#This Row],[REFERENCE]], Tableau1[NUMERO], 0), 3)</f>
        <v/>
      </c>
      <c r="D114" s="129">
        <f>INDEX(Tableau1[], MATCH(Tableau3[[#This Row],[REFERENCE]], Tableau1[NUMERO], 0),4)</f>
        <v/>
      </c>
      <c r="E114" s="129">
        <f>INDEX(Tableau1[], MATCH(Tableau3[[#This Row],[REFERENCE]], Tableau1[NUMERO], 0), 5)</f>
        <v/>
      </c>
      <c r="F114" s="129">
        <f>INDEX(Tableau1[], MATCH(Tableau3[[#This Row],[REFERENCE]], Tableau1[NUMERO], 0), 6)</f>
        <v/>
      </c>
      <c r="G114" s="129">
        <f>INDEX(Tableau1[], MATCH(Tableau3[[#This Row],[REFERENCE]], Tableau1[NUMERO], 0), 7)</f>
        <v/>
      </c>
      <c r="H114" t="inlineStr">
        <is>
          <t>LASER TECHNIQUE</t>
        </is>
      </c>
      <c r="J114" s="2" t="n">
        <v>43549</v>
      </c>
      <c r="K114" s="2" t="n">
        <v>43550</v>
      </c>
      <c r="L114" s="2" t="n"/>
      <c r="O114" s="7" t="n">
        <v>5</v>
      </c>
      <c r="P114" s="8" t="inlineStr">
        <is>
          <t>8 JOURS</t>
        </is>
      </c>
      <c r="Q114" s="2" t="n">
        <v>43642</v>
      </c>
      <c r="R114" t="inlineStr">
        <is>
          <t>mail JP</t>
        </is>
      </c>
    </row>
    <row r="115">
      <c r="A115" s="8" t="n">
        <v>34407005</v>
      </c>
      <c r="B115" s="9">
        <f>INDEX(Tableau1[], MATCH(Tableau3[[#This Row],[REFERENCE]], Tableau1[NUMERO], 0), 2)</f>
        <v/>
      </c>
      <c r="C115" s="129">
        <f>INDEX(Tableau1[], MATCH(Tableau3[[#This Row],[REFERENCE]], Tableau1[NUMERO], 0), 3)</f>
        <v/>
      </c>
      <c r="D115" s="129">
        <f>INDEX(Tableau1[], MATCH(Tableau3[[#This Row],[REFERENCE]], Tableau1[NUMERO], 0),4)</f>
        <v/>
      </c>
      <c r="E115" s="129">
        <f>INDEX(Tableau1[], MATCH(Tableau3[[#This Row],[REFERENCE]], Tableau1[NUMERO], 0), 5)</f>
        <v/>
      </c>
      <c r="F115" s="129">
        <f>INDEX(Tableau1[], MATCH(Tableau3[[#This Row],[REFERENCE]], Tableau1[NUMERO], 0), 6)</f>
        <v/>
      </c>
      <c r="G115" s="129">
        <f>INDEX(Tableau1[], MATCH(Tableau3[[#This Row],[REFERENCE]], Tableau1[NUMERO], 0), 7)</f>
        <v/>
      </c>
      <c r="H115" t="inlineStr">
        <is>
          <t>LASER TECHNIQUE</t>
        </is>
      </c>
      <c r="J115" s="2" t="n">
        <v>43549</v>
      </c>
      <c r="K115" s="2" t="n">
        <v>43550</v>
      </c>
      <c r="L115" s="2" t="n"/>
      <c r="O115" s="7" t="n">
        <v>4.6</v>
      </c>
      <c r="P115" s="8" t="inlineStr">
        <is>
          <t>8 JOURS</t>
        </is>
      </c>
      <c r="Q115" s="2" t="n">
        <v>43642</v>
      </c>
      <c r="R115" t="inlineStr">
        <is>
          <t>mail JP</t>
        </is>
      </c>
    </row>
    <row r="116">
      <c r="A116" s="8" t="n">
        <v>34407075</v>
      </c>
      <c r="B116" s="9">
        <f>INDEX(Tableau1[], MATCH(Tableau3[[#This Row],[REFERENCE]], Tableau1[NUMERO], 0), 2)</f>
        <v/>
      </c>
      <c r="C116" s="129">
        <f>INDEX(Tableau1[], MATCH(Tableau3[[#This Row],[REFERENCE]], Tableau1[NUMERO], 0), 3)</f>
        <v/>
      </c>
      <c r="D116" s="129">
        <f>INDEX(Tableau1[], MATCH(Tableau3[[#This Row],[REFERENCE]], Tableau1[NUMERO], 0),4)</f>
        <v/>
      </c>
      <c r="E116" s="129">
        <f>INDEX(Tableau1[], MATCH(Tableau3[[#This Row],[REFERENCE]], Tableau1[NUMERO], 0), 5)</f>
        <v/>
      </c>
      <c r="F116" s="129">
        <f>INDEX(Tableau1[], MATCH(Tableau3[[#This Row],[REFERENCE]], Tableau1[NUMERO], 0), 6)</f>
        <v/>
      </c>
      <c r="G116" s="129">
        <f>INDEX(Tableau1[], MATCH(Tableau3[[#This Row],[REFERENCE]], Tableau1[NUMERO], 0), 7)</f>
        <v/>
      </c>
      <c r="H116" t="inlineStr">
        <is>
          <t>SAREL</t>
        </is>
      </c>
      <c r="J116" s="2" t="n">
        <v>43634</v>
      </c>
      <c r="K116" s="2" t="n"/>
      <c r="L116" s="2" t="n"/>
      <c r="P116" s="8" t="n"/>
      <c r="Q116" s="2" t="n"/>
    </row>
    <row r="117">
      <c r="A117" s="8" t="n">
        <v>34407126</v>
      </c>
      <c r="B117" s="9">
        <f>INDEX(Tableau1[], MATCH(Tableau3[[#This Row],[REFERENCE]], Tableau1[NUMERO], 0), 2)</f>
        <v/>
      </c>
      <c r="C117" s="129">
        <f>INDEX(Tableau1[], MATCH(Tableau3[[#This Row],[REFERENCE]], Tableau1[NUMERO], 0), 3)</f>
        <v/>
      </c>
      <c r="D117" s="129">
        <f>INDEX(Tableau1[], MATCH(Tableau3[[#This Row],[REFERENCE]], Tableau1[NUMERO], 0),4)</f>
        <v/>
      </c>
      <c r="E117" s="129">
        <f>INDEX(Tableau1[], MATCH(Tableau3[[#This Row],[REFERENCE]], Tableau1[NUMERO], 0), 5)</f>
        <v/>
      </c>
      <c r="F117" s="129">
        <f>INDEX(Tableau1[], MATCH(Tableau3[[#This Row],[REFERENCE]], Tableau1[NUMERO], 0), 6)</f>
        <v/>
      </c>
      <c r="G117" s="129">
        <f>INDEX(Tableau1[], MATCH(Tableau3[[#This Row],[REFERENCE]], Tableau1[NUMERO], 0), 7)</f>
        <v/>
      </c>
      <c r="H117" t="inlineStr">
        <is>
          <t>LASER TECHNIQUE</t>
        </is>
      </c>
      <c r="J117" s="2" t="n">
        <v>43549</v>
      </c>
      <c r="K117" s="2" t="n">
        <v>43550</v>
      </c>
      <c r="L117" s="2" t="n"/>
      <c r="O117" s="7" t="n">
        <v>19</v>
      </c>
      <c r="P117" s="8" t="inlineStr">
        <is>
          <t>8 JOURS</t>
        </is>
      </c>
      <c r="Q117" s="2" t="n">
        <v>43642</v>
      </c>
      <c r="R117" t="inlineStr">
        <is>
          <t>mail JP</t>
        </is>
      </c>
    </row>
    <row r="118">
      <c r="A118" s="8" t="n">
        <v>34407127</v>
      </c>
      <c r="B118" s="9">
        <f>INDEX(Tableau1[], MATCH(Tableau3[[#This Row],[REFERENCE]], Tableau1[NUMERO], 0), 2)</f>
        <v/>
      </c>
      <c r="C118" s="129">
        <f>INDEX(Tableau1[], MATCH(Tableau3[[#This Row],[REFERENCE]], Tableau1[NUMERO], 0), 3)</f>
        <v/>
      </c>
      <c r="D118" s="129">
        <f>INDEX(Tableau1[], MATCH(Tableau3[[#This Row],[REFERENCE]], Tableau1[NUMERO], 0),4)</f>
        <v/>
      </c>
      <c r="E118" s="129">
        <f>INDEX(Tableau1[], MATCH(Tableau3[[#This Row],[REFERENCE]], Tableau1[NUMERO], 0), 5)</f>
        <v/>
      </c>
      <c r="F118" s="129">
        <f>INDEX(Tableau1[], MATCH(Tableau3[[#This Row],[REFERENCE]], Tableau1[NUMERO], 0), 6)</f>
        <v/>
      </c>
      <c r="G118" s="129">
        <f>INDEX(Tableau1[], MATCH(Tableau3[[#This Row],[REFERENCE]], Tableau1[NUMERO], 0), 7)</f>
        <v/>
      </c>
      <c r="H118" t="inlineStr">
        <is>
          <t>LASER TECHNIQUE</t>
        </is>
      </c>
      <c r="J118" s="2" t="n">
        <v>43549</v>
      </c>
      <c r="K118" s="2" t="n">
        <v>43550</v>
      </c>
      <c r="L118" s="2" t="n"/>
      <c r="O118" s="7" t="n">
        <v>19</v>
      </c>
      <c r="P118" s="8" t="inlineStr">
        <is>
          <t>8 JOURS</t>
        </is>
      </c>
      <c r="Q118" s="2" t="n">
        <v>43642</v>
      </c>
      <c r="R118" t="inlineStr">
        <is>
          <t>mail JP</t>
        </is>
      </c>
    </row>
    <row r="119">
      <c r="A119" s="8" t="n">
        <v>34407128</v>
      </c>
      <c r="B119" s="9">
        <f>INDEX(Tableau1[], MATCH(Tableau3[[#This Row],[REFERENCE]], Tableau1[NUMERO], 0), 2)</f>
        <v/>
      </c>
      <c r="C119" s="129">
        <f>INDEX(Tableau1[], MATCH(Tableau3[[#This Row],[REFERENCE]], Tableau1[NUMERO], 0), 3)</f>
        <v/>
      </c>
      <c r="D119" s="129">
        <f>INDEX(Tableau1[], MATCH(Tableau3[[#This Row],[REFERENCE]], Tableau1[NUMERO], 0),4)</f>
        <v/>
      </c>
      <c r="E119" s="129">
        <f>INDEX(Tableau1[], MATCH(Tableau3[[#This Row],[REFERENCE]], Tableau1[NUMERO], 0), 5)</f>
        <v/>
      </c>
      <c r="F119" s="129">
        <f>INDEX(Tableau1[], MATCH(Tableau3[[#This Row],[REFERENCE]], Tableau1[NUMERO], 0), 6)</f>
        <v/>
      </c>
      <c r="G119" s="129">
        <f>INDEX(Tableau1[], MATCH(Tableau3[[#This Row],[REFERENCE]], Tableau1[NUMERO], 0), 7)</f>
        <v/>
      </c>
      <c r="H119" t="inlineStr">
        <is>
          <t>LASER TECHNIQUE</t>
        </is>
      </c>
      <c r="J119" s="2" t="n">
        <v>43549</v>
      </c>
      <c r="K119" s="2" t="n">
        <v>43550</v>
      </c>
      <c r="L119" s="2" t="n"/>
      <c r="O119" s="7" t="n">
        <v>19</v>
      </c>
      <c r="P119" s="8" t="inlineStr">
        <is>
          <t>8 JOURS</t>
        </is>
      </c>
      <c r="Q119" s="2" t="n">
        <v>43642</v>
      </c>
      <c r="R119" t="inlineStr">
        <is>
          <t>mail JP</t>
        </is>
      </c>
    </row>
    <row r="120">
      <c r="A120" s="8" t="n">
        <v>34407177</v>
      </c>
      <c r="B120" s="9">
        <f>INDEX(Tableau1[], MATCH(Tableau3[[#This Row],[REFERENCE]], Tableau1[NUMERO], 0), 2)</f>
        <v/>
      </c>
      <c r="C120" s="129">
        <f>INDEX(Tableau1[], MATCH(Tableau3[[#This Row],[REFERENCE]], Tableau1[NUMERO], 0), 3)</f>
        <v/>
      </c>
      <c r="D120" s="129">
        <f>INDEX(Tableau1[], MATCH(Tableau3[[#This Row],[REFERENCE]], Tableau1[NUMERO], 0),4)</f>
        <v/>
      </c>
      <c r="E120" s="129">
        <f>INDEX(Tableau1[], MATCH(Tableau3[[#This Row],[REFERENCE]], Tableau1[NUMERO], 0), 5)</f>
        <v/>
      </c>
      <c r="F120" s="129">
        <f>INDEX(Tableau1[], MATCH(Tableau3[[#This Row],[REFERENCE]], Tableau1[NUMERO], 0), 6)</f>
        <v/>
      </c>
      <c r="G120" s="129">
        <f>INDEX(Tableau1[], MATCH(Tableau3[[#This Row],[REFERENCE]], Tableau1[NUMERO], 0), 7)</f>
        <v/>
      </c>
      <c r="H120" t="inlineStr">
        <is>
          <t>LASER TECHNIQUE</t>
        </is>
      </c>
      <c r="J120" s="2" t="n">
        <v>43549</v>
      </c>
      <c r="K120" s="2" t="n">
        <v>43550</v>
      </c>
      <c r="L120" s="2" t="n"/>
      <c r="O120" s="7" t="n">
        <v>6</v>
      </c>
      <c r="P120" s="8" t="inlineStr">
        <is>
          <t>8 JOURS</t>
        </is>
      </c>
      <c r="Q120" s="2" t="n">
        <v>43642</v>
      </c>
      <c r="R120" t="inlineStr">
        <is>
          <t>mail JP</t>
        </is>
      </c>
    </row>
    <row r="121">
      <c r="A121" s="8" t="n">
        <v>34407178</v>
      </c>
      <c r="B121" s="9">
        <f>INDEX(Tableau1[], MATCH(Tableau3[[#This Row],[REFERENCE]], Tableau1[NUMERO], 0), 2)</f>
        <v/>
      </c>
      <c r="C121" s="129">
        <f>INDEX(Tableau1[], MATCH(Tableau3[[#This Row],[REFERENCE]], Tableau1[NUMERO], 0), 3)</f>
        <v/>
      </c>
      <c r="D121" s="129">
        <f>INDEX(Tableau1[], MATCH(Tableau3[[#This Row],[REFERENCE]], Tableau1[NUMERO], 0),4)</f>
        <v/>
      </c>
      <c r="E121" s="129">
        <f>INDEX(Tableau1[], MATCH(Tableau3[[#This Row],[REFERENCE]], Tableau1[NUMERO], 0), 5)</f>
        <v/>
      </c>
      <c r="F121" s="129">
        <f>INDEX(Tableau1[], MATCH(Tableau3[[#This Row],[REFERENCE]], Tableau1[NUMERO], 0), 6)</f>
        <v/>
      </c>
      <c r="G121" s="129">
        <f>INDEX(Tableau1[], MATCH(Tableau3[[#This Row],[REFERENCE]], Tableau1[NUMERO], 0), 7)</f>
        <v/>
      </c>
      <c r="H121" t="inlineStr">
        <is>
          <t>LASER TECHNIQUE</t>
        </is>
      </c>
      <c r="J121" s="2" t="n">
        <v>43549</v>
      </c>
      <c r="K121" s="2" t="n">
        <v>43550</v>
      </c>
      <c r="L121" s="2" t="n"/>
      <c r="O121" s="7" t="n">
        <v>4</v>
      </c>
      <c r="P121" s="8" t="inlineStr">
        <is>
          <t>8 JOURS</t>
        </is>
      </c>
      <c r="Q121" s="2" t="n">
        <v>43642</v>
      </c>
      <c r="R121" t="inlineStr">
        <is>
          <t>mail JP</t>
        </is>
      </c>
    </row>
    <row r="122">
      <c r="A122" s="8" t="n">
        <v>34407179</v>
      </c>
      <c r="B122" s="9">
        <f>INDEX(Tableau1[], MATCH(Tableau3[[#This Row],[REFERENCE]], Tableau1[NUMERO], 0), 2)</f>
        <v/>
      </c>
      <c r="C122" s="129">
        <f>INDEX(Tableau1[], MATCH(Tableau3[[#This Row],[REFERENCE]], Tableau1[NUMERO], 0), 3)</f>
        <v/>
      </c>
      <c r="D122" s="129">
        <f>INDEX(Tableau1[], MATCH(Tableau3[[#This Row],[REFERENCE]], Tableau1[NUMERO], 0),4)</f>
        <v/>
      </c>
      <c r="E122" s="129">
        <f>INDEX(Tableau1[], MATCH(Tableau3[[#This Row],[REFERENCE]], Tableau1[NUMERO], 0), 5)</f>
        <v/>
      </c>
      <c r="F122" s="129">
        <f>INDEX(Tableau1[], MATCH(Tableau3[[#This Row],[REFERENCE]], Tableau1[NUMERO], 0), 6)</f>
        <v/>
      </c>
      <c r="G122" s="129">
        <f>INDEX(Tableau1[], MATCH(Tableau3[[#This Row],[REFERENCE]], Tableau1[NUMERO], 0), 7)</f>
        <v/>
      </c>
      <c r="H122" t="inlineStr">
        <is>
          <t>LASER TECHNIQUE</t>
        </is>
      </c>
      <c r="J122" s="2" t="n">
        <v>43549</v>
      </c>
      <c r="K122" s="2" t="n">
        <v>43550</v>
      </c>
      <c r="L122" s="2" t="n"/>
      <c r="O122" s="7" t="n">
        <v>6</v>
      </c>
      <c r="P122" s="8" t="inlineStr">
        <is>
          <t>8 JOURS</t>
        </is>
      </c>
      <c r="Q122" s="2" t="n">
        <v>43642</v>
      </c>
      <c r="R122" t="inlineStr">
        <is>
          <t>mail JP</t>
        </is>
      </c>
    </row>
    <row r="123">
      <c r="A123" s="8" t="n">
        <v>34407207</v>
      </c>
      <c r="B123" s="9">
        <f>INDEX(Tableau1[], MATCH(Tableau3[[#This Row],[REFERENCE]], Tableau1[NUMERO], 0), 2)</f>
        <v/>
      </c>
      <c r="C123" s="129">
        <f>INDEX(Tableau1[], MATCH(Tableau3[[#This Row],[REFERENCE]], Tableau1[NUMERO], 0), 3)</f>
        <v/>
      </c>
      <c r="D123" s="129">
        <f>INDEX(Tableau1[], MATCH(Tableau3[[#This Row],[REFERENCE]], Tableau1[NUMERO], 0),4)</f>
        <v/>
      </c>
      <c r="E123" s="129">
        <f>INDEX(Tableau1[], MATCH(Tableau3[[#This Row],[REFERENCE]], Tableau1[NUMERO], 0), 5)</f>
        <v/>
      </c>
      <c r="F123" s="129">
        <f>INDEX(Tableau1[], MATCH(Tableau3[[#This Row],[REFERENCE]], Tableau1[NUMERO], 0), 6)</f>
        <v/>
      </c>
      <c r="G123" s="129">
        <f>INDEX(Tableau1[], MATCH(Tableau3[[#This Row],[REFERENCE]], Tableau1[NUMERO], 0), 7)</f>
        <v/>
      </c>
      <c r="H123" t="inlineStr">
        <is>
          <t>lasertchnic</t>
        </is>
      </c>
      <c r="J123" s="2" t="n">
        <v>43637</v>
      </c>
      <c r="K123" s="2" t="n">
        <v>43637</v>
      </c>
      <c r="L123" s="2" t="n"/>
      <c r="O123" s="7" t="n">
        <v>32</v>
      </c>
      <c r="P123" s="8" t="inlineStr">
        <is>
          <t>5 JOURS</t>
        </is>
      </c>
      <c r="Q123" s="2" t="n">
        <v>43729</v>
      </c>
    </row>
    <row r="124">
      <c r="A124" s="8" t="n">
        <v>34407209</v>
      </c>
      <c r="B124" s="9">
        <f>INDEX(Tableau1[], MATCH(Tableau3[[#This Row],[REFERENCE]], Tableau1[NUMERO], 0), 2)</f>
        <v/>
      </c>
      <c r="C124" s="129">
        <f>INDEX(Tableau1[], MATCH(Tableau3[[#This Row],[REFERENCE]], Tableau1[NUMERO], 0), 3)</f>
        <v/>
      </c>
      <c r="D124" s="129">
        <f>INDEX(Tableau1[], MATCH(Tableau3[[#This Row],[REFERENCE]], Tableau1[NUMERO], 0),4)</f>
        <v/>
      </c>
      <c r="E124" s="129">
        <f>INDEX(Tableau1[], MATCH(Tableau3[[#This Row],[REFERENCE]], Tableau1[NUMERO], 0), 5)</f>
        <v/>
      </c>
      <c r="F124" s="129">
        <f>INDEX(Tableau1[], MATCH(Tableau3[[#This Row],[REFERENCE]], Tableau1[NUMERO], 0), 6)</f>
        <v/>
      </c>
      <c r="G124" s="129">
        <f>INDEX(Tableau1[], MATCH(Tableau3[[#This Row],[REFERENCE]], Tableau1[NUMERO], 0), 7)</f>
        <v/>
      </c>
      <c r="H124" t="inlineStr">
        <is>
          <t>lasertchnic</t>
        </is>
      </c>
      <c r="J124" s="2" t="n">
        <v>43637</v>
      </c>
      <c r="K124" s="2" t="n">
        <v>43637</v>
      </c>
      <c r="L124" s="2" t="n"/>
      <c r="O124" s="7" t="n">
        <v>32</v>
      </c>
      <c r="P124" s="8" t="inlineStr">
        <is>
          <t>5 JOURS</t>
        </is>
      </c>
      <c r="Q124" s="2" t="n">
        <v>43729</v>
      </c>
    </row>
    <row r="125">
      <c r="A125" s="8" t="n">
        <v>34407212</v>
      </c>
      <c r="B125" s="9">
        <f>INDEX(Tableau1[], MATCH(Tableau3[[#This Row],[REFERENCE]], Tableau1[NUMERO], 0), 2)</f>
        <v/>
      </c>
      <c r="C125" s="129">
        <f>INDEX(Tableau1[], MATCH(Tableau3[[#This Row],[REFERENCE]], Tableau1[NUMERO], 0), 3)</f>
        <v/>
      </c>
      <c r="D125" s="129">
        <f>INDEX(Tableau1[], MATCH(Tableau3[[#This Row],[REFERENCE]], Tableau1[NUMERO], 0),4)</f>
        <v/>
      </c>
      <c r="E125" s="129">
        <f>INDEX(Tableau1[], MATCH(Tableau3[[#This Row],[REFERENCE]], Tableau1[NUMERO], 0), 5)</f>
        <v/>
      </c>
      <c r="F125" s="129">
        <f>INDEX(Tableau1[], MATCH(Tableau3[[#This Row],[REFERENCE]], Tableau1[NUMERO], 0), 6)</f>
        <v/>
      </c>
      <c r="G125" s="129">
        <f>INDEX(Tableau1[], MATCH(Tableau3[[#This Row],[REFERENCE]], Tableau1[NUMERO], 0), 7)</f>
        <v/>
      </c>
      <c r="H125" t="inlineStr">
        <is>
          <t>lasertchnic</t>
        </is>
      </c>
      <c r="J125" s="2" t="n">
        <v>43637</v>
      </c>
      <c r="K125" s="2" t="n">
        <v>43637</v>
      </c>
      <c r="L125" s="2" t="n"/>
      <c r="O125" s="7" t="n">
        <v>12</v>
      </c>
      <c r="P125" s="8" t="inlineStr">
        <is>
          <t>5 JOURS</t>
        </is>
      </c>
      <c r="Q125" s="2" t="n">
        <v>43729</v>
      </c>
    </row>
    <row r="126">
      <c r="A126" s="8" t="n">
        <v>34407444</v>
      </c>
      <c r="B126" s="9">
        <f>INDEX(Tableau1[], MATCH(Tableau3[[#This Row],[REFERENCE]], Tableau1[NUMERO], 0), 2)</f>
        <v/>
      </c>
      <c r="C126" s="129">
        <f>INDEX(Tableau1[], MATCH(Tableau3[[#This Row],[REFERENCE]], Tableau1[NUMERO], 0), 3)</f>
        <v/>
      </c>
      <c r="D126" s="129">
        <f>INDEX(Tableau1[], MATCH(Tableau3[[#This Row],[REFERENCE]], Tableau1[NUMERO], 0),4)</f>
        <v/>
      </c>
      <c r="E126" s="129">
        <f>INDEX(Tableau1[], MATCH(Tableau3[[#This Row],[REFERENCE]], Tableau1[NUMERO], 0), 5)</f>
        <v/>
      </c>
      <c r="F126" s="129">
        <f>INDEX(Tableau1[], MATCH(Tableau3[[#This Row],[REFERENCE]], Tableau1[NUMERO], 0), 6)</f>
        <v/>
      </c>
      <c r="G126" s="129">
        <f>INDEX(Tableau1[], MATCH(Tableau3[[#This Row],[REFERENCE]], Tableau1[NUMERO], 0), 7)</f>
        <v/>
      </c>
      <c r="H126" t="inlineStr">
        <is>
          <t>tréfimétaux</t>
        </is>
      </c>
      <c r="J126" s="2" t="n">
        <v>43509</v>
      </c>
      <c r="K126" s="2" t="n">
        <v>43528</v>
      </c>
      <c r="L126" s="2" t="n"/>
      <c r="O126" s="7" t="inlineStr">
        <is>
          <t>Par 1 pièce 350€P+transport 50€
Par 10 pièce 65€p+transport 100€</t>
        </is>
      </c>
      <c r="P126" s="8" t="inlineStr">
        <is>
          <t>8 jours</t>
        </is>
      </c>
      <c r="Q126" s="2" t="n"/>
    </row>
    <row r="127">
      <c r="A127" s="8" t="n">
        <v>34407445</v>
      </c>
      <c r="B127" s="9">
        <f>INDEX(Tableau1[], MATCH(Tableau3[[#This Row],[REFERENCE]], Tableau1[NUMERO], 0), 2)</f>
        <v/>
      </c>
      <c r="C127" s="129">
        <f>INDEX(Tableau1[], MATCH(Tableau3[[#This Row],[REFERENCE]], Tableau1[NUMERO], 0), 3)</f>
        <v/>
      </c>
      <c r="D127" s="129">
        <f>INDEX(Tableau1[], MATCH(Tableau3[[#This Row],[REFERENCE]], Tableau1[NUMERO], 0),4)</f>
        <v/>
      </c>
      <c r="E127" s="129">
        <f>INDEX(Tableau1[], MATCH(Tableau3[[#This Row],[REFERENCE]], Tableau1[NUMERO], 0), 5)</f>
        <v/>
      </c>
      <c r="F127" s="129">
        <f>INDEX(Tableau1[], MATCH(Tableau3[[#This Row],[REFERENCE]], Tableau1[NUMERO], 0), 6)</f>
        <v/>
      </c>
      <c r="G127" s="129">
        <f>INDEX(Tableau1[], MATCH(Tableau3[[#This Row],[REFERENCE]], Tableau1[NUMERO], 0), 7)</f>
        <v/>
      </c>
      <c r="H127" t="inlineStr">
        <is>
          <t>LASER TECHNIQUE</t>
        </is>
      </c>
      <c r="J127" s="2" t="n">
        <v>43509</v>
      </c>
      <c r="K127" s="2" t="n">
        <v>43514</v>
      </c>
      <c r="L127" s="2" t="n"/>
      <c r="O127" s="7" t="n">
        <v>25</v>
      </c>
      <c r="P127" s="8" t="inlineStr">
        <is>
          <t>48h</t>
        </is>
      </c>
      <c r="Q127" s="2" t="n"/>
    </row>
    <row r="128">
      <c r="A128" s="8" t="n">
        <v>34407446</v>
      </c>
      <c r="B128" s="9">
        <f>INDEX(Tableau1[], MATCH(Tableau3[[#This Row],[REFERENCE]], Tableau1[NUMERO], 0), 2)</f>
        <v/>
      </c>
      <c r="C128" s="129">
        <f>INDEX(Tableau1[], MATCH(Tableau3[[#This Row],[REFERENCE]], Tableau1[NUMERO], 0), 3)</f>
        <v/>
      </c>
      <c r="D128" s="129">
        <f>INDEX(Tableau1[], MATCH(Tableau3[[#This Row],[REFERENCE]], Tableau1[NUMERO], 0),4)</f>
        <v/>
      </c>
      <c r="E128" s="129">
        <f>INDEX(Tableau1[], MATCH(Tableau3[[#This Row],[REFERENCE]], Tableau1[NUMERO], 0), 5)</f>
        <v/>
      </c>
      <c r="F128" s="129">
        <f>INDEX(Tableau1[], MATCH(Tableau3[[#This Row],[REFERENCE]], Tableau1[NUMERO], 0), 6)</f>
        <v/>
      </c>
      <c r="G128" s="129">
        <f>INDEX(Tableau1[], MATCH(Tableau3[[#This Row],[REFERENCE]], Tableau1[NUMERO], 0), 7)</f>
        <v/>
      </c>
      <c r="H128" t="inlineStr">
        <is>
          <t>FONTAINE INSERTION</t>
        </is>
      </c>
      <c r="J128" s="2" t="n">
        <v>43530</v>
      </c>
      <c r="K128" s="2" t="n">
        <v>43531</v>
      </c>
      <c r="L128" s="2" t="n"/>
      <c r="O128" s="7" t="n">
        <v>53.65</v>
      </c>
      <c r="P128" s="8" t="inlineStr">
        <is>
          <t>2 jours</t>
        </is>
      </c>
      <c r="Q128" s="2" t="n"/>
    </row>
    <row r="129">
      <c r="A129" s="8" t="n">
        <v>34407447</v>
      </c>
      <c r="B129" s="9">
        <f>INDEX(Tableau1[], MATCH(Tableau3[[#This Row],[REFERENCE]], Tableau1[NUMERO], 0), 2)</f>
        <v/>
      </c>
      <c r="C129" s="129">
        <f>INDEX(Tableau1[], MATCH(Tableau3[[#This Row],[REFERENCE]], Tableau1[NUMERO], 0), 3)</f>
        <v/>
      </c>
      <c r="D129" s="129">
        <f>INDEX(Tableau1[], MATCH(Tableau3[[#This Row],[REFERENCE]], Tableau1[NUMERO], 0),4)</f>
        <v/>
      </c>
      <c r="E129" s="129">
        <f>INDEX(Tableau1[], MATCH(Tableau3[[#This Row],[REFERENCE]], Tableau1[NUMERO], 0), 5)</f>
        <v/>
      </c>
      <c r="F129" s="129">
        <f>INDEX(Tableau1[], MATCH(Tableau3[[#This Row],[REFERENCE]], Tableau1[NUMERO], 0), 6)</f>
        <v/>
      </c>
      <c r="G129" s="129">
        <f>INDEX(Tableau1[], MATCH(Tableau3[[#This Row],[REFERENCE]], Tableau1[NUMERO], 0), 7)</f>
        <v/>
      </c>
      <c r="H129" t="inlineStr">
        <is>
          <t>comatel</t>
        </is>
      </c>
      <c r="J129" s="2" t="n">
        <v>43539</v>
      </c>
      <c r="K129" s="2" t="n">
        <v>43550</v>
      </c>
      <c r="L129" s="2" t="n"/>
      <c r="O129" s="7" t="n">
        <v>10.92</v>
      </c>
      <c r="P129" s="8" t="inlineStr">
        <is>
          <t>1-2 SEMAINES</t>
        </is>
      </c>
      <c r="Q129" s="2" t="n">
        <v>43642</v>
      </c>
      <c r="R129" t="inlineStr">
        <is>
          <t>consultation faite par Olivier</t>
        </is>
      </c>
    </row>
    <row r="130">
      <c r="A130" s="8" t="n">
        <v>34407448</v>
      </c>
      <c r="B130" s="9">
        <f>INDEX(Tableau1[], MATCH(Tableau3[[#This Row],[REFERENCE]], Tableau1[NUMERO], 0), 2)</f>
        <v/>
      </c>
      <c r="C130" s="129">
        <f>INDEX(Tableau1[], MATCH(Tableau3[[#This Row],[REFERENCE]], Tableau1[NUMERO], 0), 3)</f>
        <v/>
      </c>
      <c r="D130" s="129">
        <f>INDEX(Tableau1[], MATCH(Tableau3[[#This Row],[REFERENCE]], Tableau1[NUMERO], 0),4)</f>
        <v/>
      </c>
      <c r="E130" s="129">
        <f>INDEX(Tableau1[], MATCH(Tableau3[[#This Row],[REFERENCE]], Tableau1[NUMERO], 0), 5)</f>
        <v/>
      </c>
      <c r="F130" s="129">
        <f>INDEX(Tableau1[], MATCH(Tableau3[[#This Row],[REFERENCE]], Tableau1[NUMERO], 0), 6)</f>
        <v/>
      </c>
      <c r="G130" s="129">
        <f>INDEX(Tableau1[], MATCH(Tableau3[[#This Row],[REFERENCE]], Tableau1[NUMERO], 0), 7)</f>
        <v/>
      </c>
      <c r="H130" t="inlineStr">
        <is>
          <t>comatel</t>
        </is>
      </c>
      <c r="J130" s="2" t="n">
        <v>43539</v>
      </c>
      <c r="K130" s="2" t="n">
        <v>43550</v>
      </c>
      <c r="L130" s="2" t="n"/>
      <c r="O130" s="7" t="n">
        <v>54.4</v>
      </c>
      <c r="P130" s="8" t="inlineStr">
        <is>
          <t>2 SEMAINES</t>
        </is>
      </c>
      <c r="Q130" s="2" t="n">
        <v>43642</v>
      </c>
      <c r="R130" t="inlineStr">
        <is>
          <t>consultation faite par Olivier</t>
        </is>
      </c>
    </row>
    <row r="131">
      <c r="A131" s="8" t="n">
        <v>34407449</v>
      </c>
      <c r="B131" s="9">
        <f>INDEX(Tableau1[], MATCH(Tableau3[[#This Row],[REFERENCE]], Tableau1[NUMERO], 0), 2)</f>
        <v/>
      </c>
      <c r="C131" s="129">
        <f>INDEX(Tableau1[], MATCH(Tableau3[[#This Row],[REFERENCE]], Tableau1[NUMERO], 0), 3)</f>
        <v/>
      </c>
      <c r="D131" s="129">
        <f>INDEX(Tableau1[], MATCH(Tableau3[[#This Row],[REFERENCE]], Tableau1[NUMERO], 0),4)</f>
        <v/>
      </c>
      <c r="E131" s="129">
        <f>INDEX(Tableau1[], MATCH(Tableau3[[#This Row],[REFERENCE]], Tableau1[NUMERO], 0), 5)</f>
        <v/>
      </c>
      <c r="F131" s="129">
        <f>INDEX(Tableau1[], MATCH(Tableau3[[#This Row],[REFERENCE]], Tableau1[NUMERO], 0), 6)</f>
        <v/>
      </c>
      <c r="G131" s="129">
        <f>INDEX(Tableau1[], MATCH(Tableau3[[#This Row],[REFERENCE]], Tableau1[NUMERO], 0), 7)</f>
        <v/>
      </c>
      <c r="H131" t="inlineStr">
        <is>
          <t>comatel</t>
        </is>
      </c>
      <c r="J131" s="2" t="n">
        <v>43539</v>
      </c>
      <c r="K131" s="2" t="n">
        <v>43550</v>
      </c>
      <c r="L131" s="2" t="n"/>
      <c r="O131" s="7" t="n">
        <v>95.29000000000001</v>
      </c>
      <c r="P131" s="8" t="inlineStr">
        <is>
          <t>2 SEMAINES</t>
        </is>
      </c>
      <c r="Q131" s="2" t="n">
        <v>43642</v>
      </c>
      <c r="R131" t="inlineStr">
        <is>
          <t>consultation faite par Olivier</t>
        </is>
      </c>
    </row>
    <row r="132">
      <c r="A132" s="8" t="n">
        <v>34407450</v>
      </c>
      <c r="B132" s="9">
        <f>INDEX(Tableau1[], MATCH(Tableau3[[#This Row],[REFERENCE]], Tableau1[NUMERO], 0), 2)</f>
        <v/>
      </c>
      <c r="C132" s="129">
        <f>INDEX(Tableau1[], MATCH(Tableau3[[#This Row],[REFERENCE]], Tableau1[NUMERO], 0), 3)</f>
        <v/>
      </c>
      <c r="D132" s="129">
        <f>INDEX(Tableau1[], MATCH(Tableau3[[#This Row],[REFERENCE]], Tableau1[NUMERO], 0),4)</f>
        <v/>
      </c>
      <c r="E132" s="129">
        <f>INDEX(Tableau1[], MATCH(Tableau3[[#This Row],[REFERENCE]], Tableau1[NUMERO], 0), 5)</f>
        <v/>
      </c>
      <c r="F132" s="129">
        <f>INDEX(Tableau1[], MATCH(Tableau3[[#This Row],[REFERENCE]], Tableau1[NUMERO], 0), 6)</f>
        <v/>
      </c>
      <c r="G132" s="129">
        <f>INDEX(Tableau1[], MATCH(Tableau3[[#This Row],[REFERENCE]], Tableau1[NUMERO], 0), 7)</f>
        <v/>
      </c>
      <c r="H132" t="inlineStr">
        <is>
          <t>comatel</t>
        </is>
      </c>
      <c r="J132" s="2" t="n">
        <v>43539</v>
      </c>
      <c r="K132" s="2" t="n">
        <v>43550</v>
      </c>
      <c r="L132" s="2" t="n"/>
      <c r="O132" s="7" t="n">
        <v>5.35</v>
      </c>
      <c r="P132" s="8" t="inlineStr">
        <is>
          <t>2 SEMAINES</t>
        </is>
      </c>
      <c r="Q132" s="2" t="n">
        <v>43642</v>
      </c>
      <c r="R132" t="inlineStr">
        <is>
          <t>consultation faite par Olivier</t>
        </is>
      </c>
    </row>
    <row r="133">
      <c r="A133" s="8" t="n">
        <v>34407451</v>
      </c>
      <c r="B133" s="9">
        <f>INDEX(Tableau1[], MATCH(Tableau3[[#This Row],[REFERENCE]], Tableau1[NUMERO], 0), 2)</f>
        <v/>
      </c>
      <c r="C133" s="129">
        <f>INDEX(Tableau1[], MATCH(Tableau3[[#This Row],[REFERENCE]], Tableau1[NUMERO], 0), 3)</f>
        <v/>
      </c>
      <c r="D133" s="129">
        <f>INDEX(Tableau1[], MATCH(Tableau3[[#This Row],[REFERENCE]], Tableau1[NUMERO], 0),4)</f>
        <v/>
      </c>
      <c r="E133" s="129">
        <f>INDEX(Tableau1[], MATCH(Tableau3[[#This Row],[REFERENCE]], Tableau1[NUMERO], 0), 5)</f>
        <v/>
      </c>
      <c r="F133" s="129">
        <f>INDEX(Tableau1[], MATCH(Tableau3[[#This Row],[REFERENCE]], Tableau1[NUMERO], 0), 6)</f>
        <v/>
      </c>
      <c r="G133" s="129">
        <f>INDEX(Tableau1[], MATCH(Tableau3[[#This Row],[REFERENCE]], Tableau1[NUMERO], 0), 7)</f>
        <v/>
      </c>
      <c r="H133" t="inlineStr">
        <is>
          <t>comatel</t>
        </is>
      </c>
      <c r="J133" s="2" t="n">
        <v>43539</v>
      </c>
      <c r="K133" s="2" t="n">
        <v>43550</v>
      </c>
      <c r="L133" s="2" t="n"/>
      <c r="O133" s="7" t="n">
        <v>8.18</v>
      </c>
      <c r="P133" s="8" t="inlineStr">
        <is>
          <t>2 SEMAINES</t>
        </is>
      </c>
      <c r="Q133" s="2" t="n">
        <v>43642</v>
      </c>
      <c r="R133" t="inlineStr">
        <is>
          <t>consultation faite par Olivier</t>
        </is>
      </c>
    </row>
    <row r="134">
      <c r="A134" s="8" t="n">
        <v>34407452</v>
      </c>
      <c r="B134" s="9">
        <f>INDEX(Tableau1[], MATCH(Tableau3[[#This Row],[REFERENCE]], Tableau1[NUMERO], 0), 2)</f>
        <v/>
      </c>
      <c r="C134" s="129">
        <f>INDEX(Tableau1[], MATCH(Tableau3[[#This Row],[REFERENCE]], Tableau1[NUMERO], 0), 3)</f>
        <v/>
      </c>
      <c r="D134" s="129">
        <f>INDEX(Tableau1[], MATCH(Tableau3[[#This Row],[REFERENCE]], Tableau1[NUMERO], 0),4)</f>
        <v/>
      </c>
      <c r="E134" s="129">
        <f>INDEX(Tableau1[], MATCH(Tableau3[[#This Row],[REFERENCE]], Tableau1[NUMERO], 0), 5)</f>
        <v/>
      </c>
      <c r="F134" s="129">
        <f>INDEX(Tableau1[], MATCH(Tableau3[[#This Row],[REFERENCE]], Tableau1[NUMERO], 0), 6)</f>
        <v/>
      </c>
      <c r="G134" s="129">
        <f>INDEX(Tableau1[], MATCH(Tableau3[[#This Row],[REFERENCE]], Tableau1[NUMERO], 0), 7)</f>
        <v/>
      </c>
      <c r="H134" t="inlineStr">
        <is>
          <t>comatel</t>
        </is>
      </c>
      <c r="J134" s="2" t="n">
        <v>43539</v>
      </c>
      <c r="K134" s="2" t="n">
        <v>43550</v>
      </c>
      <c r="L134" s="2" t="n"/>
      <c r="O134" s="7" t="n">
        <v>48.53</v>
      </c>
      <c r="P134" s="8" t="inlineStr">
        <is>
          <t>2 SEMAINES</t>
        </is>
      </c>
      <c r="Q134" s="2" t="n">
        <v>43642</v>
      </c>
      <c r="R134" t="inlineStr">
        <is>
          <t>consultation faite par Olivier</t>
        </is>
      </c>
    </row>
    <row r="135">
      <c r="A135" s="8" t="n">
        <v>34407453</v>
      </c>
      <c r="B135" s="9">
        <f>INDEX(Tableau1[], MATCH(Tableau3[[#This Row],[REFERENCE]], Tableau1[NUMERO], 0), 2)</f>
        <v/>
      </c>
      <c r="C135" s="129">
        <f>INDEX(Tableau1[], MATCH(Tableau3[[#This Row],[REFERENCE]], Tableau1[NUMERO], 0), 3)</f>
        <v/>
      </c>
      <c r="D135" s="129">
        <f>INDEX(Tableau1[], MATCH(Tableau3[[#This Row],[REFERENCE]], Tableau1[NUMERO], 0),4)</f>
        <v/>
      </c>
      <c r="E135" s="129">
        <f>INDEX(Tableau1[], MATCH(Tableau3[[#This Row],[REFERENCE]], Tableau1[NUMERO], 0), 5)</f>
        <v/>
      </c>
      <c r="F135" s="129">
        <f>INDEX(Tableau1[], MATCH(Tableau3[[#This Row],[REFERENCE]], Tableau1[NUMERO], 0), 6)</f>
        <v/>
      </c>
      <c r="G135" s="129">
        <f>INDEX(Tableau1[], MATCH(Tableau3[[#This Row],[REFERENCE]], Tableau1[NUMERO], 0), 7)</f>
        <v/>
      </c>
      <c r="H135" t="inlineStr">
        <is>
          <t>sarel</t>
        </is>
      </c>
      <c r="J135" s="2" t="n">
        <v>43725</v>
      </c>
      <c r="K135" s="2" t="n">
        <v>43728</v>
      </c>
      <c r="L135" s="2" t="n"/>
      <c r="O135" s="7" t="n">
        <v>275.26</v>
      </c>
      <c r="P135" s="8" t="inlineStr">
        <is>
          <t>16 jours</t>
        </is>
      </c>
      <c r="Q135" s="2" t="n">
        <v>43819</v>
      </c>
    </row>
    <row r="136">
      <c r="A136" s="8" t="n">
        <v>34407474</v>
      </c>
      <c r="B136" s="9">
        <f>INDEX(Tableau1[], MATCH(Tableau3[[#This Row],[REFERENCE]], Tableau1[NUMERO], 0), 2)</f>
        <v/>
      </c>
      <c r="C136" s="129">
        <f>INDEX(Tableau1[], MATCH(Tableau3[[#This Row],[REFERENCE]], Tableau1[NUMERO], 0), 3)</f>
        <v/>
      </c>
      <c r="D136" s="129">
        <f>INDEX(Tableau1[], MATCH(Tableau3[[#This Row],[REFERENCE]], Tableau1[NUMERO], 0),4)</f>
        <v/>
      </c>
      <c r="E136" s="129">
        <f>INDEX(Tableau1[], MATCH(Tableau3[[#This Row],[REFERENCE]], Tableau1[NUMERO], 0), 5)</f>
        <v/>
      </c>
      <c r="F136" s="129">
        <f>INDEX(Tableau1[], MATCH(Tableau3[[#This Row],[REFERENCE]], Tableau1[NUMERO], 0), 6)</f>
        <v/>
      </c>
      <c r="G136" s="129">
        <f>INDEX(Tableau1[], MATCH(Tableau3[[#This Row],[REFERENCE]], Tableau1[NUMERO], 0), 7)</f>
        <v/>
      </c>
      <c r="H136" t="inlineStr">
        <is>
          <t>tréfimétaux</t>
        </is>
      </c>
      <c r="J136" s="2" t="n">
        <v>43530</v>
      </c>
      <c r="K136" s="2" t="n">
        <v>43531</v>
      </c>
      <c r="L136" s="2" t="n"/>
      <c r="O136" s="7" t="n">
        <v>91.90000000000001</v>
      </c>
      <c r="P136" s="8" t="n"/>
      <c r="Q136" s="2" t="n"/>
      <c r="R136" t="inlineStr">
        <is>
          <t>consultation faite par Vincent</t>
        </is>
      </c>
    </row>
    <row r="137">
      <c r="A137" s="8" t="n">
        <v>34407475</v>
      </c>
      <c r="B137" s="9">
        <f>INDEX(Tableau1[], MATCH(Tableau3[[#This Row],[REFERENCE]], Tableau1[NUMERO], 0), 2)</f>
        <v/>
      </c>
      <c r="C137" s="129">
        <f>INDEX(Tableau1[], MATCH(Tableau3[[#This Row],[REFERENCE]], Tableau1[NUMERO], 0), 3)</f>
        <v/>
      </c>
      <c r="D137" s="129">
        <f>INDEX(Tableau1[], MATCH(Tableau3[[#This Row],[REFERENCE]], Tableau1[NUMERO], 0),4)</f>
        <v/>
      </c>
      <c r="E137" s="129">
        <f>INDEX(Tableau1[], MATCH(Tableau3[[#This Row],[REFERENCE]], Tableau1[NUMERO], 0), 5)</f>
        <v/>
      </c>
      <c r="F137" s="129">
        <f>INDEX(Tableau1[], MATCH(Tableau3[[#This Row],[REFERENCE]], Tableau1[NUMERO], 0), 6)</f>
        <v/>
      </c>
      <c r="G137" s="129">
        <f>INDEX(Tableau1[], MATCH(Tableau3[[#This Row],[REFERENCE]], Tableau1[NUMERO], 0), 7)</f>
        <v/>
      </c>
      <c r="H137" t="inlineStr">
        <is>
          <t>tréfimétaux</t>
        </is>
      </c>
      <c r="J137" s="2" t="n">
        <v>43530</v>
      </c>
      <c r="K137" s="2" t="n">
        <v>43531</v>
      </c>
      <c r="L137" s="2" t="n"/>
      <c r="O137" s="7" t="n">
        <v>92</v>
      </c>
      <c r="P137" s="8" t="n"/>
      <c r="Q137" s="2" t="n"/>
      <c r="R137" t="inlineStr">
        <is>
          <t>consultation faite par Vincent</t>
        </is>
      </c>
    </row>
    <row r="138">
      <c r="A138" s="8" t="n">
        <v>34407476</v>
      </c>
      <c r="B138" s="9">
        <f>INDEX(Tableau1[], MATCH(Tableau3[[#This Row],[REFERENCE]], Tableau1[NUMERO], 0), 2)</f>
        <v/>
      </c>
      <c r="C138" s="129">
        <f>INDEX(Tableau1[], MATCH(Tableau3[[#This Row],[REFERENCE]], Tableau1[NUMERO], 0), 3)</f>
        <v/>
      </c>
      <c r="D138" s="129">
        <f>INDEX(Tableau1[], MATCH(Tableau3[[#This Row],[REFERENCE]], Tableau1[NUMERO], 0),4)</f>
        <v/>
      </c>
      <c r="E138" s="129">
        <f>INDEX(Tableau1[], MATCH(Tableau3[[#This Row],[REFERENCE]], Tableau1[NUMERO], 0), 5)</f>
        <v/>
      </c>
      <c r="F138" s="129">
        <f>INDEX(Tableau1[], MATCH(Tableau3[[#This Row],[REFERENCE]], Tableau1[NUMERO], 0), 6)</f>
        <v/>
      </c>
      <c r="G138" s="129">
        <f>INDEX(Tableau1[], MATCH(Tableau3[[#This Row],[REFERENCE]], Tableau1[NUMERO], 0), 7)</f>
        <v/>
      </c>
      <c r="H138" t="inlineStr">
        <is>
          <t>tréfimétaux</t>
        </is>
      </c>
      <c r="J138" s="2" t="n">
        <v>43530</v>
      </c>
      <c r="K138" s="2" t="n">
        <v>43531</v>
      </c>
      <c r="L138" s="2" t="n"/>
      <c r="O138" s="7" t="n">
        <v>92.7</v>
      </c>
      <c r="P138" s="8" t="n"/>
      <c r="Q138" s="2" t="n"/>
      <c r="R138" t="inlineStr">
        <is>
          <t>consultation faite par Vincent</t>
        </is>
      </c>
    </row>
    <row r="139">
      <c r="A139" s="8" t="n">
        <v>34407477</v>
      </c>
      <c r="B139" s="9">
        <f>INDEX(Tableau1[], MATCH(Tableau3[[#This Row],[REFERENCE]], Tableau1[NUMERO], 0), 2)</f>
        <v/>
      </c>
      <c r="C139" s="129">
        <f>INDEX(Tableau1[], MATCH(Tableau3[[#This Row],[REFERENCE]], Tableau1[NUMERO], 0), 3)</f>
        <v/>
      </c>
      <c r="D139" s="129">
        <f>INDEX(Tableau1[], MATCH(Tableau3[[#This Row],[REFERENCE]], Tableau1[NUMERO], 0),4)</f>
        <v/>
      </c>
      <c r="E139" s="129">
        <f>INDEX(Tableau1[], MATCH(Tableau3[[#This Row],[REFERENCE]], Tableau1[NUMERO], 0), 5)</f>
        <v/>
      </c>
      <c r="F139" s="129">
        <f>INDEX(Tableau1[], MATCH(Tableau3[[#This Row],[REFERENCE]], Tableau1[NUMERO], 0), 6)</f>
        <v/>
      </c>
      <c r="G139" s="129">
        <f>INDEX(Tableau1[], MATCH(Tableau3[[#This Row],[REFERENCE]], Tableau1[NUMERO], 0), 7)</f>
        <v/>
      </c>
      <c r="H139" t="inlineStr">
        <is>
          <t>tréfimétaux</t>
        </is>
      </c>
      <c r="J139" s="2" t="n">
        <v>43530</v>
      </c>
      <c r="K139" s="2" t="n">
        <v>43531</v>
      </c>
      <c r="L139" s="2" t="n"/>
      <c r="O139" s="7" t="n">
        <v>93.09999999999999</v>
      </c>
      <c r="P139" s="8" t="n"/>
      <c r="Q139" s="2" t="n"/>
      <c r="R139" t="inlineStr">
        <is>
          <t>consultation faite par Vincent</t>
        </is>
      </c>
    </row>
    <row r="140">
      <c r="A140" s="8" t="n">
        <v>34407478</v>
      </c>
      <c r="B140" s="9">
        <f>INDEX(Tableau1[], MATCH(Tableau3[[#This Row],[REFERENCE]], Tableau1[NUMERO], 0), 2)</f>
        <v/>
      </c>
      <c r="C140" s="129">
        <f>INDEX(Tableau1[], MATCH(Tableau3[[#This Row],[REFERENCE]], Tableau1[NUMERO], 0), 3)</f>
        <v/>
      </c>
      <c r="D140" s="129">
        <f>INDEX(Tableau1[], MATCH(Tableau3[[#This Row],[REFERENCE]], Tableau1[NUMERO], 0),4)</f>
        <v/>
      </c>
      <c r="E140" s="129">
        <f>INDEX(Tableau1[], MATCH(Tableau3[[#This Row],[REFERENCE]], Tableau1[NUMERO], 0), 5)</f>
        <v/>
      </c>
      <c r="F140" s="129">
        <f>INDEX(Tableau1[], MATCH(Tableau3[[#This Row],[REFERENCE]], Tableau1[NUMERO], 0), 6)</f>
        <v/>
      </c>
      <c r="G140" s="129">
        <f>INDEX(Tableau1[], MATCH(Tableau3[[#This Row],[REFERENCE]], Tableau1[NUMERO], 0), 7)</f>
        <v/>
      </c>
      <c r="H140" t="inlineStr">
        <is>
          <t>tréfimétaux</t>
        </is>
      </c>
      <c r="J140" s="2" t="n">
        <v>43530</v>
      </c>
      <c r="K140" s="2" t="n">
        <v>43531</v>
      </c>
      <c r="L140" s="2" t="n"/>
      <c r="O140" s="7" t="n">
        <v>96.2</v>
      </c>
      <c r="P140" s="8" t="n"/>
      <c r="Q140" s="2" t="n"/>
      <c r="R140" t="inlineStr">
        <is>
          <t>consultation faite par Vincent</t>
        </is>
      </c>
    </row>
    <row r="141">
      <c r="A141" s="8" t="n">
        <v>34407479</v>
      </c>
      <c r="B141" s="9">
        <f>INDEX(Tableau1[], MATCH(Tableau3[[#This Row],[REFERENCE]], Tableau1[NUMERO], 0), 2)</f>
        <v/>
      </c>
      <c r="C141" s="129">
        <f>INDEX(Tableau1[], MATCH(Tableau3[[#This Row],[REFERENCE]], Tableau1[NUMERO], 0), 3)</f>
        <v/>
      </c>
      <c r="D141" s="129">
        <f>INDEX(Tableau1[], MATCH(Tableau3[[#This Row],[REFERENCE]], Tableau1[NUMERO], 0),4)</f>
        <v/>
      </c>
      <c r="E141" s="129">
        <f>INDEX(Tableau1[], MATCH(Tableau3[[#This Row],[REFERENCE]], Tableau1[NUMERO], 0), 5)</f>
        <v/>
      </c>
      <c r="F141" s="129">
        <f>INDEX(Tableau1[], MATCH(Tableau3[[#This Row],[REFERENCE]], Tableau1[NUMERO], 0), 6)</f>
        <v/>
      </c>
      <c r="G141" s="129">
        <f>INDEX(Tableau1[], MATCH(Tableau3[[#This Row],[REFERENCE]], Tableau1[NUMERO], 0), 7)</f>
        <v/>
      </c>
      <c r="H141" t="inlineStr">
        <is>
          <t>lasertechnic</t>
        </is>
      </c>
      <c r="J141" s="2" t="n">
        <v>43530</v>
      </c>
      <c r="K141" s="2" t="n">
        <v>43530</v>
      </c>
      <c r="L141" s="2" t="n"/>
      <c r="O141" s="7" t="n">
        <v>78</v>
      </c>
      <c r="P141" s="8" t="n">
        <v>5</v>
      </c>
      <c r="Q141" s="2" t="n"/>
      <c r="R141" t="inlineStr">
        <is>
          <t>consultation faite par Vincent</t>
        </is>
      </c>
    </row>
    <row r="142">
      <c r="A142" s="8" t="n">
        <v>34407480</v>
      </c>
      <c r="B142" s="9">
        <f>INDEX(Tableau1[], MATCH(Tableau3[[#This Row],[REFERENCE]], Tableau1[NUMERO], 0), 2)</f>
        <v/>
      </c>
      <c r="C142" s="129">
        <f>INDEX(Tableau1[], MATCH(Tableau3[[#This Row],[REFERENCE]], Tableau1[NUMERO], 0), 3)</f>
        <v/>
      </c>
      <c r="D142" s="129">
        <f>INDEX(Tableau1[], MATCH(Tableau3[[#This Row],[REFERENCE]], Tableau1[NUMERO], 0),4)</f>
        <v/>
      </c>
      <c r="E142" s="129">
        <f>INDEX(Tableau1[], MATCH(Tableau3[[#This Row],[REFERENCE]], Tableau1[NUMERO], 0), 5)</f>
        <v/>
      </c>
      <c r="F142" s="129">
        <f>INDEX(Tableau1[], MATCH(Tableau3[[#This Row],[REFERENCE]], Tableau1[NUMERO], 0), 6)</f>
        <v/>
      </c>
      <c r="G142" s="129">
        <f>INDEX(Tableau1[], MATCH(Tableau3[[#This Row],[REFERENCE]], Tableau1[NUMERO], 0), 7)</f>
        <v/>
      </c>
      <c r="H142" t="inlineStr">
        <is>
          <t>sarel</t>
        </is>
      </c>
      <c r="J142" s="2" t="n">
        <v>43529</v>
      </c>
      <c r="K142" s="2" t="n">
        <v>43532</v>
      </c>
      <c r="L142" s="2" t="n"/>
      <c r="O142" s="7" t="n">
        <v>251.15</v>
      </c>
      <c r="P142" s="8" t="inlineStr">
        <is>
          <t>16 jours</t>
        </is>
      </c>
      <c r="Q142" s="2" t="n"/>
      <c r="R142" t="inlineStr">
        <is>
          <t>consultation faite par Vincent</t>
        </is>
      </c>
    </row>
    <row r="143">
      <c r="A143" s="8" t="n">
        <v>34407481</v>
      </c>
      <c r="B143" s="9">
        <f>INDEX(Tableau1[], MATCH(Tableau3[[#This Row],[REFERENCE]], Tableau1[NUMERO], 0), 2)</f>
        <v/>
      </c>
      <c r="C143" s="129">
        <f>INDEX(Tableau1[], MATCH(Tableau3[[#This Row],[REFERENCE]], Tableau1[NUMERO], 0), 3)</f>
        <v/>
      </c>
      <c r="D143" s="129">
        <f>INDEX(Tableau1[], MATCH(Tableau3[[#This Row],[REFERENCE]], Tableau1[NUMERO], 0),4)</f>
        <v/>
      </c>
      <c r="E143" s="129">
        <f>INDEX(Tableau1[], MATCH(Tableau3[[#This Row],[REFERENCE]], Tableau1[NUMERO], 0), 5)</f>
        <v/>
      </c>
      <c r="F143" s="129">
        <f>INDEX(Tableau1[], MATCH(Tableau3[[#This Row],[REFERENCE]], Tableau1[NUMERO], 0), 6)</f>
        <v/>
      </c>
      <c r="G143" s="129">
        <f>INDEX(Tableau1[], MATCH(Tableau3[[#This Row],[REFERENCE]], Tableau1[NUMERO], 0), 7)</f>
        <v/>
      </c>
      <c r="H143" t="inlineStr">
        <is>
          <t>lasertechnic</t>
        </is>
      </c>
      <c r="J143" s="2" t="n">
        <v>43530</v>
      </c>
      <c r="K143" s="2" t="n">
        <v>43530</v>
      </c>
      <c r="L143" s="2" t="n"/>
      <c r="O143" s="7" t="n">
        <v>78</v>
      </c>
      <c r="P143" s="8" t="n">
        <v>5</v>
      </c>
      <c r="Q143" s="2" t="n"/>
      <c r="R143" t="inlineStr">
        <is>
          <t>consultation faite par Vincent</t>
        </is>
      </c>
    </row>
    <row r="144">
      <c r="A144" s="8" t="n">
        <v>34407553</v>
      </c>
      <c r="B144" s="9">
        <f>INDEX(Tableau1[], MATCH(Tableau3[[#This Row],[REFERENCE]], Tableau1[NUMERO], 0), 2)</f>
        <v/>
      </c>
      <c r="C144" s="129">
        <f>INDEX(Tableau1[], MATCH(Tableau3[[#This Row],[REFERENCE]], Tableau1[NUMERO], 0), 3)</f>
        <v/>
      </c>
      <c r="D144" s="129">
        <f>INDEX(Tableau1[], MATCH(Tableau3[[#This Row],[REFERENCE]], Tableau1[NUMERO], 0),4)</f>
        <v/>
      </c>
      <c r="E144" s="129">
        <f>INDEX(Tableau1[], MATCH(Tableau3[[#This Row],[REFERENCE]], Tableau1[NUMERO], 0), 5)</f>
        <v/>
      </c>
      <c r="F144" s="129">
        <f>INDEX(Tableau1[], MATCH(Tableau3[[#This Row],[REFERENCE]], Tableau1[NUMERO], 0), 6)</f>
        <v/>
      </c>
      <c r="G144" s="129">
        <f>INDEX(Tableau1[], MATCH(Tableau3[[#This Row],[REFERENCE]], Tableau1[NUMERO], 0), 7)</f>
        <v/>
      </c>
      <c r="H144" t="inlineStr">
        <is>
          <t>comatel</t>
        </is>
      </c>
      <c r="J144" s="2" t="n">
        <v>43791</v>
      </c>
      <c r="K144" s="2" t="n">
        <v>43791</v>
      </c>
      <c r="L144" s="2" t="n"/>
      <c r="O144" s="7" t="n">
        <v>29.08</v>
      </c>
      <c r="P144" s="8" t="inlineStr">
        <is>
          <t>3 SEMAINES</t>
        </is>
      </c>
      <c r="Q144" s="2" t="n">
        <v>43883</v>
      </c>
    </row>
    <row r="145">
      <c r="A145" s="8" t="n">
        <v>34407652</v>
      </c>
      <c r="B145" s="9">
        <f>INDEX(Tableau1[], MATCH(Tableau3[[#This Row],[REFERENCE]], Tableau1[NUMERO], 0), 2)</f>
        <v/>
      </c>
      <c r="C145" s="129">
        <f>INDEX(Tableau1[], MATCH(Tableau3[[#This Row],[REFERENCE]], Tableau1[NUMERO], 0), 3)</f>
        <v/>
      </c>
      <c r="D145" s="129">
        <f>INDEX(Tableau1[], MATCH(Tableau3[[#This Row],[REFERENCE]], Tableau1[NUMERO], 0),4)</f>
        <v/>
      </c>
      <c r="E145" s="129">
        <f>INDEX(Tableau1[], MATCH(Tableau3[[#This Row],[REFERENCE]], Tableau1[NUMERO], 0), 5)</f>
        <v/>
      </c>
      <c r="F145" s="129">
        <f>INDEX(Tableau1[], MATCH(Tableau3[[#This Row],[REFERENCE]], Tableau1[NUMERO], 0), 6)</f>
        <v/>
      </c>
      <c r="G145" s="129">
        <f>INDEX(Tableau1[], MATCH(Tableau3[[#This Row],[REFERENCE]], Tableau1[NUMERO], 0), 7)</f>
        <v/>
      </c>
      <c r="H145" t="inlineStr">
        <is>
          <t>SAREL</t>
        </is>
      </c>
      <c r="J145" s="2" t="n">
        <v>43536</v>
      </c>
      <c r="K145" s="2" t="n">
        <v>43543</v>
      </c>
      <c r="L145" s="2" t="n"/>
      <c r="O145" s="7" t="n">
        <v>374.71</v>
      </c>
      <c r="P145" s="8" t="n"/>
      <c r="Q145" s="2" t="n"/>
      <c r="R145" t="inlineStr">
        <is>
          <t>consultation faite par JPM</t>
        </is>
      </c>
    </row>
    <row r="146">
      <c r="A146" s="8" t="n">
        <v>34407653</v>
      </c>
      <c r="B146" s="9">
        <f>INDEX(Tableau1[], MATCH(Tableau3[[#This Row],[REFERENCE]], Tableau1[NUMERO], 0), 2)</f>
        <v/>
      </c>
      <c r="C146" s="129">
        <f>INDEX(Tableau1[], MATCH(Tableau3[[#This Row],[REFERENCE]], Tableau1[NUMERO], 0), 3)</f>
        <v/>
      </c>
      <c r="D146" s="129">
        <f>INDEX(Tableau1[], MATCH(Tableau3[[#This Row],[REFERENCE]], Tableau1[NUMERO], 0),4)</f>
        <v/>
      </c>
      <c r="E146" s="129">
        <f>INDEX(Tableau1[], MATCH(Tableau3[[#This Row],[REFERENCE]], Tableau1[NUMERO], 0), 5)</f>
        <v/>
      </c>
      <c r="F146" s="129">
        <f>INDEX(Tableau1[], MATCH(Tableau3[[#This Row],[REFERENCE]], Tableau1[NUMERO], 0), 6)</f>
        <v/>
      </c>
      <c r="G146" s="129">
        <f>INDEX(Tableau1[], MATCH(Tableau3[[#This Row],[REFERENCE]], Tableau1[NUMERO], 0), 7)</f>
        <v/>
      </c>
      <c r="H146" t="inlineStr">
        <is>
          <t>UFP</t>
        </is>
      </c>
      <c r="J146" s="2" t="n">
        <v>43543</v>
      </c>
      <c r="K146" s="2" t="n">
        <v>43543</v>
      </c>
      <c r="L146" s="2" t="n"/>
      <c r="O146" s="7" t="n">
        <v>6.25</v>
      </c>
      <c r="P146" s="8" t="n"/>
      <c r="Q146" s="2" t="n"/>
      <c r="R146" t="inlineStr">
        <is>
          <t>consultation faite par JPM</t>
        </is>
      </c>
    </row>
    <row r="147">
      <c r="A147" s="8" t="n">
        <v>34407673</v>
      </c>
      <c r="B147" s="9">
        <f>INDEX(Tableau1[], MATCH(Tableau3[[#This Row],[REFERENCE]], Tableau1[NUMERO], 0), 2)</f>
        <v/>
      </c>
      <c r="C147" s="129">
        <f>INDEX(Tableau1[], MATCH(Tableau3[[#This Row],[REFERENCE]], Tableau1[NUMERO], 0), 3)</f>
        <v/>
      </c>
      <c r="D147" s="129">
        <f>INDEX(Tableau1[], MATCH(Tableau3[[#This Row],[REFERENCE]], Tableau1[NUMERO], 0),4)</f>
        <v/>
      </c>
      <c r="E147" s="129">
        <f>INDEX(Tableau1[], MATCH(Tableau3[[#This Row],[REFERENCE]], Tableau1[NUMERO], 0), 5)</f>
        <v/>
      </c>
      <c r="F147" s="129">
        <f>INDEX(Tableau1[], MATCH(Tableau3[[#This Row],[REFERENCE]], Tableau1[NUMERO], 0), 6)</f>
        <v/>
      </c>
      <c r="G147" s="129">
        <f>INDEX(Tableau1[], MATCH(Tableau3[[#This Row],[REFERENCE]], Tableau1[NUMERO], 0), 7)</f>
        <v/>
      </c>
      <c r="H147" t="inlineStr">
        <is>
          <t>thyssen</t>
        </is>
      </c>
      <c r="J147" s="2" t="n">
        <v>43563</v>
      </c>
      <c r="K147" s="2" t="n">
        <v>43566</v>
      </c>
      <c r="L147" s="2" t="n"/>
      <c r="O147" s="7" t="n">
        <v>44</v>
      </c>
      <c r="P147" s="8" t="inlineStr">
        <is>
          <t>+/- 3 SEMAINES</t>
        </is>
      </c>
      <c r="Q147" s="2" t="n">
        <v>43574</v>
      </c>
    </row>
    <row r="148">
      <c r="A148" s="8" t="n">
        <v>34407673</v>
      </c>
      <c r="B148" s="9">
        <f>INDEX(Tableau1[], MATCH(Tableau3[[#This Row],[REFERENCE]], Tableau1[NUMERO], 0), 2)</f>
        <v/>
      </c>
      <c r="C148" s="129">
        <f>INDEX(Tableau1[], MATCH(Tableau3[[#This Row],[REFERENCE]], Tableau1[NUMERO], 0), 3)</f>
        <v/>
      </c>
      <c r="D148" s="129">
        <f>INDEX(Tableau1[], MATCH(Tableau3[[#This Row],[REFERENCE]], Tableau1[NUMERO], 0),4)</f>
        <v/>
      </c>
      <c r="E148" s="129">
        <f>INDEX(Tableau1[], MATCH(Tableau3[[#This Row],[REFERENCE]], Tableau1[NUMERO], 0), 5)</f>
        <v/>
      </c>
      <c r="F148" s="129">
        <f>INDEX(Tableau1[], MATCH(Tableau3[[#This Row],[REFERENCE]], Tableau1[NUMERO], 0), 6)</f>
        <v/>
      </c>
      <c r="G148" s="129">
        <f>INDEX(Tableau1[], MATCH(Tableau3[[#This Row],[REFERENCE]], Tableau1[NUMERO], 0), 7)</f>
        <v/>
      </c>
      <c r="H148" t="inlineStr">
        <is>
          <t>trefimetaux</t>
        </is>
      </c>
      <c r="J148" s="2" t="n">
        <v>43563</v>
      </c>
      <c r="K148" s="2" t="n">
        <v>43566</v>
      </c>
      <c r="L148" s="2" t="n"/>
      <c r="O148" s="7" t="n">
        <v>64.7</v>
      </c>
      <c r="P148" s="8" t="inlineStr">
        <is>
          <t>3 SEMAINES</t>
        </is>
      </c>
      <c r="Q148" s="2" t="n">
        <v>43657</v>
      </c>
    </row>
    <row r="149">
      <c r="A149" s="8" t="n">
        <v>34407674</v>
      </c>
      <c r="B149" s="9">
        <f>INDEX(Tableau1[], MATCH(Tableau3[[#This Row],[REFERENCE]], Tableau1[NUMERO], 0), 2)</f>
        <v/>
      </c>
      <c r="C149" s="129">
        <f>INDEX(Tableau1[], MATCH(Tableau3[[#This Row],[REFERENCE]], Tableau1[NUMERO], 0), 3)</f>
        <v/>
      </c>
      <c r="D149" s="129">
        <f>INDEX(Tableau1[], MATCH(Tableau3[[#This Row],[REFERENCE]], Tableau1[NUMERO], 0),4)</f>
        <v/>
      </c>
      <c r="E149" s="129">
        <f>INDEX(Tableau1[], MATCH(Tableau3[[#This Row],[REFERENCE]], Tableau1[NUMERO], 0), 5)</f>
        <v/>
      </c>
      <c r="F149" s="129">
        <f>INDEX(Tableau1[], MATCH(Tableau3[[#This Row],[REFERENCE]], Tableau1[NUMERO], 0), 6)</f>
        <v/>
      </c>
      <c r="G149" s="129">
        <f>INDEX(Tableau1[], MATCH(Tableau3[[#This Row],[REFERENCE]], Tableau1[NUMERO], 0), 7)</f>
        <v/>
      </c>
      <c r="H149" t="inlineStr">
        <is>
          <t>thyssen</t>
        </is>
      </c>
      <c r="J149" s="2" t="n">
        <v>43563</v>
      </c>
      <c r="K149" s="2" t="n">
        <v>43566</v>
      </c>
      <c r="L149" s="2" t="n"/>
      <c r="O149" s="7" t="n">
        <v>47.5</v>
      </c>
      <c r="P149" s="8" t="inlineStr">
        <is>
          <t>+/- 3 SEMAINES</t>
        </is>
      </c>
      <c r="Q149" s="2" t="n">
        <v>43574</v>
      </c>
    </row>
    <row r="150">
      <c r="A150" s="8" t="n">
        <v>34407674</v>
      </c>
      <c r="B150" s="9">
        <f>INDEX(Tableau1[], MATCH(Tableau3[[#This Row],[REFERENCE]], Tableau1[NUMERO], 0), 2)</f>
        <v/>
      </c>
      <c r="C150" s="129">
        <f>INDEX(Tableau1[], MATCH(Tableau3[[#This Row],[REFERENCE]], Tableau1[NUMERO], 0), 3)</f>
        <v/>
      </c>
      <c r="D150" s="129">
        <f>INDEX(Tableau1[], MATCH(Tableau3[[#This Row],[REFERENCE]], Tableau1[NUMERO], 0),4)</f>
        <v/>
      </c>
      <c r="E150" s="129">
        <f>INDEX(Tableau1[], MATCH(Tableau3[[#This Row],[REFERENCE]], Tableau1[NUMERO], 0), 5)</f>
        <v/>
      </c>
      <c r="F150" s="129">
        <f>INDEX(Tableau1[], MATCH(Tableau3[[#This Row],[REFERENCE]], Tableau1[NUMERO], 0), 6)</f>
        <v/>
      </c>
      <c r="G150" s="129">
        <f>INDEX(Tableau1[], MATCH(Tableau3[[#This Row],[REFERENCE]], Tableau1[NUMERO], 0), 7)</f>
        <v/>
      </c>
      <c r="H150" t="inlineStr">
        <is>
          <t>trefimetaux</t>
        </is>
      </c>
      <c r="J150" s="2" t="n">
        <v>43563</v>
      </c>
      <c r="K150" s="2" t="n">
        <v>43566</v>
      </c>
      <c r="L150" s="2" t="n"/>
      <c r="O150" s="7" t="n">
        <v>70.40000000000001</v>
      </c>
      <c r="P150" s="8" t="inlineStr">
        <is>
          <t>3 SEMAINES</t>
        </is>
      </c>
      <c r="Q150" s="2" t="n">
        <v>43657</v>
      </c>
    </row>
    <row r="151">
      <c r="A151" s="8" t="n">
        <v>34407675</v>
      </c>
      <c r="B151" s="9">
        <f>INDEX(Tableau1[], MATCH(Tableau3[[#This Row],[REFERENCE]], Tableau1[NUMERO], 0), 2)</f>
        <v/>
      </c>
      <c r="C151" s="129">
        <f>INDEX(Tableau1[], MATCH(Tableau3[[#This Row],[REFERENCE]], Tableau1[NUMERO], 0), 3)</f>
        <v/>
      </c>
      <c r="D151" s="129">
        <f>INDEX(Tableau1[], MATCH(Tableau3[[#This Row],[REFERENCE]], Tableau1[NUMERO], 0),4)</f>
        <v/>
      </c>
      <c r="E151" s="129">
        <f>INDEX(Tableau1[], MATCH(Tableau3[[#This Row],[REFERENCE]], Tableau1[NUMERO], 0), 5)</f>
        <v/>
      </c>
      <c r="F151" s="129">
        <f>INDEX(Tableau1[], MATCH(Tableau3[[#This Row],[REFERENCE]], Tableau1[NUMERO], 0), 6)</f>
        <v/>
      </c>
      <c r="G151" s="129">
        <f>INDEX(Tableau1[], MATCH(Tableau3[[#This Row],[REFERENCE]], Tableau1[NUMERO], 0), 7)</f>
        <v/>
      </c>
      <c r="H151" t="inlineStr">
        <is>
          <t>thyssen</t>
        </is>
      </c>
      <c r="J151" s="2" t="n">
        <v>43563</v>
      </c>
      <c r="K151" s="2" t="n">
        <v>43566</v>
      </c>
      <c r="L151" s="2" t="n"/>
      <c r="O151" s="7" t="n">
        <v>64.5</v>
      </c>
      <c r="P151" s="8" t="inlineStr">
        <is>
          <t>+/- 3 SEMAINES</t>
        </is>
      </c>
      <c r="Q151" s="2" t="n">
        <v>43574</v>
      </c>
    </row>
    <row r="152">
      <c r="A152" s="8" t="n">
        <v>34407675</v>
      </c>
      <c r="B152" s="9">
        <f>INDEX(Tableau1[], MATCH(Tableau3[[#This Row],[REFERENCE]], Tableau1[NUMERO], 0), 2)</f>
        <v/>
      </c>
      <c r="C152" s="129">
        <f>INDEX(Tableau1[], MATCH(Tableau3[[#This Row],[REFERENCE]], Tableau1[NUMERO], 0), 3)</f>
        <v/>
      </c>
      <c r="D152" s="129">
        <f>INDEX(Tableau1[], MATCH(Tableau3[[#This Row],[REFERENCE]], Tableau1[NUMERO], 0),4)</f>
        <v/>
      </c>
      <c r="E152" s="129">
        <f>INDEX(Tableau1[], MATCH(Tableau3[[#This Row],[REFERENCE]], Tableau1[NUMERO], 0), 5)</f>
        <v/>
      </c>
      <c r="F152" s="129">
        <f>INDEX(Tableau1[], MATCH(Tableau3[[#This Row],[REFERENCE]], Tableau1[NUMERO], 0), 6)</f>
        <v/>
      </c>
      <c r="G152" s="129">
        <f>INDEX(Tableau1[], MATCH(Tableau3[[#This Row],[REFERENCE]], Tableau1[NUMERO], 0), 7)</f>
        <v/>
      </c>
      <c r="H152" t="inlineStr">
        <is>
          <t>trefimetaux</t>
        </is>
      </c>
      <c r="J152" s="2" t="n">
        <v>43563</v>
      </c>
      <c r="K152" s="2" t="n">
        <v>43566</v>
      </c>
      <c r="L152" s="2" t="n"/>
      <c r="O152" s="7" t="n">
        <v>104.3</v>
      </c>
      <c r="P152" s="8" t="inlineStr">
        <is>
          <t>3 SEMAINES</t>
        </is>
      </c>
      <c r="Q152" s="2" t="n">
        <v>43657</v>
      </c>
    </row>
    <row r="153">
      <c r="A153" s="8" t="n">
        <v>34407676</v>
      </c>
      <c r="B153" s="9">
        <f>INDEX(Tableau1[], MATCH(Tableau3[[#This Row],[REFERENCE]], Tableau1[NUMERO], 0), 2)</f>
        <v/>
      </c>
      <c r="C153" s="129">
        <f>INDEX(Tableau1[], MATCH(Tableau3[[#This Row],[REFERENCE]], Tableau1[NUMERO], 0), 3)</f>
        <v/>
      </c>
      <c r="D153" s="129">
        <f>INDEX(Tableau1[], MATCH(Tableau3[[#This Row],[REFERENCE]], Tableau1[NUMERO], 0),4)</f>
        <v/>
      </c>
      <c r="E153" s="129">
        <f>INDEX(Tableau1[], MATCH(Tableau3[[#This Row],[REFERENCE]], Tableau1[NUMERO], 0), 5)</f>
        <v/>
      </c>
      <c r="F153" s="129">
        <f>INDEX(Tableau1[], MATCH(Tableau3[[#This Row],[REFERENCE]], Tableau1[NUMERO], 0), 6)</f>
        <v/>
      </c>
      <c r="G153" s="129">
        <f>INDEX(Tableau1[], MATCH(Tableau3[[#This Row],[REFERENCE]], Tableau1[NUMERO], 0), 7)</f>
        <v/>
      </c>
      <c r="H153" t="inlineStr">
        <is>
          <t>thyssen</t>
        </is>
      </c>
      <c r="J153" s="2" t="n">
        <v>43563</v>
      </c>
      <c r="K153" s="2" t="n">
        <v>43566</v>
      </c>
      <c r="L153" s="2" t="n"/>
      <c r="O153" s="7" t="n">
        <v>48.5</v>
      </c>
      <c r="P153" s="8" t="inlineStr">
        <is>
          <t>+/- 3 SEMAINES</t>
        </is>
      </c>
      <c r="Q153" s="2" t="n">
        <v>43574</v>
      </c>
    </row>
    <row r="154">
      <c r="A154" s="8" t="n">
        <v>34407676</v>
      </c>
      <c r="B154" s="9">
        <f>INDEX(Tableau1[], MATCH(Tableau3[[#This Row],[REFERENCE]], Tableau1[NUMERO], 0), 2)</f>
        <v/>
      </c>
      <c r="C154" s="129">
        <f>INDEX(Tableau1[], MATCH(Tableau3[[#This Row],[REFERENCE]], Tableau1[NUMERO], 0), 3)</f>
        <v/>
      </c>
      <c r="D154" s="129">
        <f>INDEX(Tableau1[], MATCH(Tableau3[[#This Row],[REFERENCE]], Tableau1[NUMERO], 0),4)</f>
        <v/>
      </c>
      <c r="E154" s="129">
        <f>INDEX(Tableau1[], MATCH(Tableau3[[#This Row],[REFERENCE]], Tableau1[NUMERO], 0), 5)</f>
        <v/>
      </c>
      <c r="F154" s="129">
        <f>INDEX(Tableau1[], MATCH(Tableau3[[#This Row],[REFERENCE]], Tableau1[NUMERO], 0), 6)</f>
        <v/>
      </c>
      <c r="G154" s="129">
        <f>INDEX(Tableau1[], MATCH(Tableau3[[#This Row],[REFERENCE]], Tableau1[NUMERO], 0), 7)</f>
        <v/>
      </c>
      <c r="H154" t="inlineStr">
        <is>
          <t>trefimetaux</t>
        </is>
      </c>
      <c r="J154" s="2" t="n">
        <v>43563</v>
      </c>
      <c r="K154" s="2" t="n">
        <v>43566</v>
      </c>
      <c r="L154" s="2" t="n"/>
      <c r="O154" s="7" t="n">
        <v>62.8</v>
      </c>
      <c r="P154" s="8" t="inlineStr">
        <is>
          <t>3 SEMAINES</t>
        </is>
      </c>
      <c r="Q154" s="2" t="n">
        <v>43657</v>
      </c>
    </row>
    <row r="155">
      <c r="A155" s="8" t="n">
        <v>34407677</v>
      </c>
      <c r="B155" s="9">
        <f>INDEX(Tableau1[], MATCH(Tableau3[[#This Row],[REFERENCE]], Tableau1[NUMERO], 0), 2)</f>
        <v/>
      </c>
      <c r="C155" s="129">
        <f>INDEX(Tableau1[], MATCH(Tableau3[[#This Row],[REFERENCE]], Tableau1[NUMERO], 0), 3)</f>
        <v/>
      </c>
      <c r="D155" s="129">
        <f>INDEX(Tableau1[], MATCH(Tableau3[[#This Row],[REFERENCE]], Tableau1[NUMERO], 0),4)</f>
        <v/>
      </c>
      <c r="E155" s="129">
        <f>INDEX(Tableau1[], MATCH(Tableau3[[#This Row],[REFERENCE]], Tableau1[NUMERO], 0), 5)</f>
        <v/>
      </c>
      <c r="F155" s="129">
        <f>INDEX(Tableau1[], MATCH(Tableau3[[#This Row],[REFERENCE]], Tableau1[NUMERO], 0), 6)</f>
        <v/>
      </c>
      <c r="G155" s="129">
        <f>INDEX(Tableau1[], MATCH(Tableau3[[#This Row],[REFERENCE]], Tableau1[NUMERO], 0), 7)</f>
        <v/>
      </c>
      <c r="H155" t="inlineStr">
        <is>
          <t>thyssen</t>
        </is>
      </c>
      <c r="J155" s="2" t="n">
        <v>43563</v>
      </c>
      <c r="K155" s="2" t="n">
        <v>43566</v>
      </c>
      <c r="L155" s="2" t="n"/>
      <c r="O155" s="7" t="n">
        <v>49.35</v>
      </c>
      <c r="P155" s="8" t="inlineStr">
        <is>
          <t>+/- 3 SEMAINES</t>
        </is>
      </c>
      <c r="Q155" s="2" t="n">
        <v>43574</v>
      </c>
    </row>
    <row r="156">
      <c r="A156" s="8" t="n">
        <v>34407677</v>
      </c>
      <c r="B156" s="9">
        <f>INDEX(Tableau1[], MATCH(Tableau3[[#This Row],[REFERENCE]], Tableau1[NUMERO], 0), 2)</f>
        <v/>
      </c>
      <c r="C156" s="129">
        <f>INDEX(Tableau1[], MATCH(Tableau3[[#This Row],[REFERENCE]], Tableau1[NUMERO], 0), 3)</f>
        <v/>
      </c>
      <c r="D156" s="129">
        <f>INDEX(Tableau1[], MATCH(Tableau3[[#This Row],[REFERENCE]], Tableau1[NUMERO], 0),4)</f>
        <v/>
      </c>
      <c r="E156" s="129">
        <f>INDEX(Tableau1[], MATCH(Tableau3[[#This Row],[REFERENCE]], Tableau1[NUMERO], 0), 5)</f>
        <v/>
      </c>
      <c r="F156" s="129">
        <f>INDEX(Tableau1[], MATCH(Tableau3[[#This Row],[REFERENCE]], Tableau1[NUMERO], 0), 6)</f>
        <v/>
      </c>
      <c r="G156" s="129">
        <f>INDEX(Tableau1[], MATCH(Tableau3[[#This Row],[REFERENCE]], Tableau1[NUMERO], 0), 7)</f>
        <v/>
      </c>
      <c r="H156" t="inlineStr">
        <is>
          <t>trefimetaux</t>
        </is>
      </c>
      <c r="J156" s="2" t="n">
        <v>43563</v>
      </c>
      <c r="K156" s="2" t="n">
        <v>43566</v>
      </c>
      <c r="L156" s="2" t="n"/>
      <c r="O156" s="7" t="n">
        <v>72</v>
      </c>
      <c r="P156" s="8" t="inlineStr">
        <is>
          <t>3 SEMAINES</t>
        </is>
      </c>
      <c r="Q156" s="2" t="n">
        <v>43657</v>
      </c>
    </row>
    <row r="157">
      <c r="A157" s="8" t="n">
        <v>34407678</v>
      </c>
      <c r="B157" s="9">
        <f>INDEX(Tableau1[], MATCH(Tableau3[[#This Row],[REFERENCE]], Tableau1[NUMERO], 0), 2)</f>
        <v/>
      </c>
      <c r="C157" s="129">
        <f>INDEX(Tableau1[], MATCH(Tableau3[[#This Row],[REFERENCE]], Tableau1[NUMERO], 0), 3)</f>
        <v/>
      </c>
      <c r="D157" s="129">
        <f>INDEX(Tableau1[], MATCH(Tableau3[[#This Row],[REFERENCE]], Tableau1[NUMERO], 0),4)</f>
        <v/>
      </c>
      <c r="E157" s="129">
        <f>INDEX(Tableau1[], MATCH(Tableau3[[#This Row],[REFERENCE]], Tableau1[NUMERO], 0), 5)</f>
        <v/>
      </c>
      <c r="F157" s="129">
        <f>INDEX(Tableau1[], MATCH(Tableau3[[#This Row],[REFERENCE]], Tableau1[NUMERO], 0), 6)</f>
        <v/>
      </c>
      <c r="G157" s="129">
        <f>INDEX(Tableau1[], MATCH(Tableau3[[#This Row],[REFERENCE]], Tableau1[NUMERO], 0), 7)</f>
        <v/>
      </c>
      <c r="H157" t="inlineStr">
        <is>
          <t>thyssen</t>
        </is>
      </c>
      <c r="J157" s="2" t="n">
        <v>43563</v>
      </c>
      <c r="K157" s="2" t="n">
        <v>43566</v>
      </c>
      <c r="L157" s="2" t="n"/>
      <c r="O157" s="7" t="n">
        <v>58</v>
      </c>
      <c r="P157" s="8" t="inlineStr">
        <is>
          <t>+/- 3 SEMAINES</t>
        </is>
      </c>
      <c r="Q157" s="2" t="n">
        <v>43574</v>
      </c>
    </row>
    <row r="158">
      <c r="A158" s="8" t="n">
        <v>34407678</v>
      </c>
      <c r="B158" s="9">
        <f>INDEX(Tableau1[], MATCH(Tableau3[[#This Row],[REFERENCE]], Tableau1[NUMERO], 0), 2)</f>
        <v/>
      </c>
      <c r="C158" s="129">
        <f>INDEX(Tableau1[], MATCH(Tableau3[[#This Row],[REFERENCE]], Tableau1[NUMERO], 0), 3)</f>
        <v/>
      </c>
      <c r="D158" s="129">
        <f>INDEX(Tableau1[], MATCH(Tableau3[[#This Row],[REFERENCE]], Tableau1[NUMERO], 0),4)</f>
        <v/>
      </c>
      <c r="E158" s="129">
        <f>INDEX(Tableau1[], MATCH(Tableau3[[#This Row],[REFERENCE]], Tableau1[NUMERO], 0), 5)</f>
        <v/>
      </c>
      <c r="F158" s="129">
        <f>INDEX(Tableau1[], MATCH(Tableau3[[#This Row],[REFERENCE]], Tableau1[NUMERO], 0), 6)</f>
        <v/>
      </c>
      <c r="G158" s="129">
        <f>INDEX(Tableau1[], MATCH(Tableau3[[#This Row],[REFERENCE]], Tableau1[NUMERO], 0), 7)</f>
        <v/>
      </c>
      <c r="H158" t="inlineStr">
        <is>
          <t>trefimetaux</t>
        </is>
      </c>
      <c r="J158" s="2" t="n">
        <v>43563</v>
      </c>
      <c r="K158" s="2" t="n">
        <v>43566</v>
      </c>
      <c r="L158" s="2" t="n"/>
      <c r="O158" s="7" t="n">
        <v>111.4</v>
      </c>
      <c r="P158" s="8" t="inlineStr">
        <is>
          <t>3 SEMAINES</t>
        </is>
      </c>
      <c r="Q158" s="2" t="n">
        <v>43657</v>
      </c>
    </row>
    <row r="159">
      <c r="A159" s="8" t="n">
        <v>34407679</v>
      </c>
      <c r="B159" s="9">
        <f>INDEX(Tableau1[], MATCH(Tableau3[[#This Row],[REFERENCE]], Tableau1[NUMERO], 0), 2)</f>
        <v/>
      </c>
      <c r="C159" s="129">
        <f>INDEX(Tableau1[], MATCH(Tableau3[[#This Row],[REFERENCE]], Tableau1[NUMERO], 0), 3)</f>
        <v/>
      </c>
      <c r="D159" s="129">
        <f>INDEX(Tableau1[], MATCH(Tableau3[[#This Row],[REFERENCE]], Tableau1[NUMERO], 0),4)</f>
        <v/>
      </c>
      <c r="E159" s="129">
        <f>INDEX(Tableau1[], MATCH(Tableau3[[#This Row],[REFERENCE]], Tableau1[NUMERO], 0), 5)</f>
        <v/>
      </c>
      <c r="F159" s="129">
        <f>INDEX(Tableau1[], MATCH(Tableau3[[#This Row],[REFERENCE]], Tableau1[NUMERO], 0), 6)</f>
        <v/>
      </c>
      <c r="G159" s="129">
        <f>INDEX(Tableau1[], MATCH(Tableau3[[#This Row],[REFERENCE]], Tableau1[NUMERO], 0), 7)</f>
        <v/>
      </c>
      <c r="H159" t="inlineStr">
        <is>
          <t>thyssen</t>
        </is>
      </c>
      <c r="J159" s="2" t="n">
        <v>43563</v>
      </c>
      <c r="K159" s="2" t="n">
        <v>43566</v>
      </c>
      <c r="L159" s="2" t="n"/>
      <c r="O159" s="7" t="n">
        <v>29.1</v>
      </c>
      <c r="P159" s="8" t="inlineStr">
        <is>
          <t>+/- 3 SEMAINES</t>
        </is>
      </c>
      <c r="Q159" s="2" t="n">
        <v>43574</v>
      </c>
    </row>
    <row r="160">
      <c r="A160" s="8" t="n">
        <v>34407679</v>
      </c>
      <c r="B160" s="9">
        <f>INDEX(Tableau1[], MATCH(Tableau3[[#This Row],[REFERENCE]], Tableau1[NUMERO], 0), 2)</f>
        <v/>
      </c>
      <c r="C160" s="129">
        <f>INDEX(Tableau1[], MATCH(Tableau3[[#This Row],[REFERENCE]], Tableau1[NUMERO], 0), 3)</f>
        <v/>
      </c>
      <c r="D160" s="129">
        <f>INDEX(Tableau1[], MATCH(Tableau3[[#This Row],[REFERENCE]], Tableau1[NUMERO], 0),4)</f>
        <v/>
      </c>
      <c r="E160" s="129">
        <f>INDEX(Tableau1[], MATCH(Tableau3[[#This Row],[REFERENCE]], Tableau1[NUMERO], 0), 5)</f>
        <v/>
      </c>
      <c r="F160" s="129">
        <f>INDEX(Tableau1[], MATCH(Tableau3[[#This Row],[REFERENCE]], Tableau1[NUMERO], 0), 6)</f>
        <v/>
      </c>
      <c r="G160" s="129">
        <f>INDEX(Tableau1[], MATCH(Tableau3[[#This Row],[REFERENCE]], Tableau1[NUMERO], 0), 7)</f>
        <v/>
      </c>
      <c r="H160" t="inlineStr">
        <is>
          <t>trefimetaux</t>
        </is>
      </c>
      <c r="J160" s="2" t="n">
        <v>43563</v>
      </c>
      <c r="K160" s="2" t="n">
        <v>43566</v>
      </c>
      <c r="L160" s="2" t="n"/>
      <c r="O160" s="7" t="n">
        <v>55.3</v>
      </c>
      <c r="P160" s="8" t="inlineStr">
        <is>
          <t>3 SEMAINES</t>
        </is>
      </c>
      <c r="Q160" s="2" t="n">
        <v>43657</v>
      </c>
    </row>
    <row r="161">
      <c r="A161" s="8" t="n">
        <v>34407680</v>
      </c>
      <c r="B161" s="9">
        <f>INDEX(Tableau1[], MATCH(Tableau3[[#This Row],[REFERENCE]], Tableau1[NUMERO], 0), 2)</f>
        <v/>
      </c>
      <c r="C161" s="129">
        <f>INDEX(Tableau1[], MATCH(Tableau3[[#This Row],[REFERENCE]], Tableau1[NUMERO], 0), 3)</f>
        <v/>
      </c>
      <c r="D161" s="129">
        <f>INDEX(Tableau1[], MATCH(Tableau3[[#This Row],[REFERENCE]], Tableau1[NUMERO], 0),4)</f>
        <v/>
      </c>
      <c r="E161" s="129">
        <f>INDEX(Tableau1[], MATCH(Tableau3[[#This Row],[REFERENCE]], Tableau1[NUMERO], 0), 5)</f>
        <v/>
      </c>
      <c r="F161" s="129">
        <f>INDEX(Tableau1[], MATCH(Tableau3[[#This Row],[REFERENCE]], Tableau1[NUMERO], 0), 6)</f>
        <v/>
      </c>
      <c r="G161" s="129">
        <f>INDEX(Tableau1[], MATCH(Tableau3[[#This Row],[REFERENCE]], Tableau1[NUMERO], 0), 7)</f>
        <v/>
      </c>
      <c r="H161" t="inlineStr">
        <is>
          <t>thyssen</t>
        </is>
      </c>
      <c r="J161" s="2" t="n">
        <v>43563</v>
      </c>
      <c r="K161" s="2" t="n">
        <v>43566</v>
      </c>
      <c r="L161" s="2" t="n"/>
      <c r="O161" s="7" t="n">
        <v>51.2</v>
      </c>
      <c r="P161" s="8" t="inlineStr">
        <is>
          <t>+/- 3 SEMAINES</t>
        </is>
      </c>
      <c r="Q161" s="2" t="n">
        <v>43574</v>
      </c>
    </row>
    <row r="162">
      <c r="A162" s="8" t="n">
        <v>34407680</v>
      </c>
      <c r="B162" s="9">
        <f>INDEX(Tableau1[], MATCH(Tableau3[[#This Row],[REFERENCE]], Tableau1[NUMERO], 0), 2)</f>
        <v/>
      </c>
      <c r="C162" s="129">
        <f>INDEX(Tableau1[], MATCH(Tableau3[[#This Row],[REFERENCE]], Tableau1[NUMERO], 0), 3)</f>
        <v/>
      </c>
      <c r="D162" s="129">
        <f>INDEX(Tableau1[], MATCH(Tableau3[[#This Row],[REFERENCE]], Tableau1[NUMERO], 0),4)</f>
        <v/>
      </c>
      <c r="E162" s="129">
        <f>INDEX(Tableau1[], MATCH(Tableau3[[#This Row],[REFERENCE]], Tableau1[NUMERO], 0), 5)</f>
        <v/>
      </c>
      <c r="F162" s="129">
        <f>INDEX(Tableau1[], MATCH(Tableau3[[#This Row],[REFERENCE]], Tableau1[NUMERO], 0), 6)</f>
        <v/>
      </c>
      <c r="G162" s="129">
        <f>INDEX(Tableau1[], MATCH(Tableau3[[#This Row],[REFERENCE]], Tableau1[NUMERO], 0), 7)</f>
        <v/>
      </c>
      <c r="H162" t="inlineStr">
        <is>
          <t>trefimetaux</t>
        </is>
      </c>
      <c r="J162" s="2" t="n">
        <v>43563</v>
      </c>
      <c r="K162" s="2" t="n">
        <v>43566</v>
      </c>
      <c r="L162" s="2" t="n"/>
      <c r="O162" s="7" t="n">
        <v>63.8</v>
      </c>
      <c r="P162" s="8" t="inlineStr">
        <is>
          <t>3 SEMAINES</t>
        </is>
      </c>
      <c r="Q162" s="2" t="n">
        <v>43657</v>
      </c>
    </row>
    <row r="163">
      <c r="A163" s="8" t="n">
        <v>34407681</v>
      </c>
      <c r="B163" s="9">
        <f>INDEX(Tableau1[], MATCH(Tableau3[[#This Row],[REFERENCE]], Tableau1[NUMERO], 0), 2)</f>
        <v/>
      </c>
      <c r="C163" s="129">
        <f>INDEX(Tableau1[], MATCH(Tableau3[[#This Row],[REFERENCE]], Tableau1[NUMERO], 0), 3)</f>
        <v/>
      </c>
      <c r="D163" s="129">
        <f>INDEX(Tableau1[], MATCH(Tableau3[[#This Row],[REFERENCE]], Tableau1[NUMERO], 0),4)</f>
        <v/>
      </c>
      <c r="E163" s="129">
        <f>INDEX(Tableau1[], MATCH(Tableau3[[#This Row],[REFERENCE]], Tableau1[NUMERO], 0), 5)</f>
        <v/>
      </c>
      <c r="F163" s="129">
        <f>INDEX(Tableau1[], MATCH(Tableau3[[#This Row],[REFERENCE]], Tableau1[NUMERO], 0), 6)</f>
        <v/>
      </c>
      <c r="G163" s="129">
        <f>INDEX(Tableau1[], MATCH(Tableau3[[#This Row],[REFERENCE]], Tableau1[NUMERO], 0), 7)</f>
        <v/>
      </c>
      <c r="H163" t="inlineStr">
        <is>
          <t>thyssen</t>
        </is>
      </c>
      <c r="J163" s="2" t="n">
        <v>43563</v>
      </c>
      <c r="K163" s="2" t="n">
        <v>43566</v>
      </c>
      <c r="L163" s="2" t="n"/>
      <c r="O163" s="7" t="n">
        <v>66.8</v>
      </c>
      <c r="P163" s="8" t="inlineStr">
        <is>
          <t>+/- 3 SEMAINES</t>
        </is>
      </c>
      <c r="Q163" s="2" t="n">
        <v>43574</v>
      </c>
    </row>
    <row r="164">
      <c r="A164" s="8" t="n">
        <v>34407681</v>
      </c>
      <c r="B164" s="9">
        <f>INDEX(Tableau1[], MATCH(Tableau3[[#This Row],[REFERENCE]], Tableau1[NUMERO], 0), 2)</f>
        <v/>
      </c>
      <c r="C164" s="129">
        <f>INDEX(Tableau1[], MATCH(Tableau3[[#This Row],[REFERENCE]], Tableau1[NUMERO], 0), 3)</f>
        <v/>
      </c>
      <c r="D164" s="129">
        <f>INDEX(Tableau1[], MATCH(Tableau3[[#This Row],[REFERENCE]], Tableau1[NUMERO], 0),4)</f>
        <v/>
      </c>
      <c r="E164" s="129">
        <f>INDEX(Tableau1[], MATCH(Tableau3[[#This Row],[REFERENCE]], Tableau1[NUMERO], 0), 5)</f>
        <v/>
      </c>
      <c r="F164" s="129">
        <f>INDEX(Tableau1[], MATCH(Tableau3[[#This Row],[REFERENCE]], Tableau1[NUMERO], 0), 6)</f>
        <v/>
      </c>
      <c r="G164" s="129">
        <f>INDEX(Tableau1[], MATCH(Tableau3[[#This Row],[REFERENCE]], Tableau1[NUMERO], 0), 7)</f>
        <v/>
      </c>
      <c r="H164" t="inlineStr">
        <is>
          <t>trefimetaux</t>
        </is>
      </c>
      <c r="J164" s="2" t="n">
        <v>43563</v>
      </c>
      <c r="K164" s="2" t="n">
        <v>43566</v>
      </c>
      <c r="L164" s="2" t="n"/>
      <c r="O164" s="7" t="n">
        <v>122.1</v>
      </c>
      <c r="P164" s="8" t="inlineStr">
        <is>
          <t>3 SEMAINES</t>
        </is>
      </c>
      <c r="Q164" s="2" t="n">
        <v>43657</v>
      </c>
    </row>
    <row r="165">
      <c r="A165" s="8" t="n">
        <v>34407682</v>
      </c>
      <c r="B165" s="9">
        <f>INDEX(Tableau1[], MATCH(Tableau3[[#This Row],[REFERENCE]], Tableau1[NUMERO], 0), 2)</f>
        <v/>
      </c>
      <c r="C165" s="129">
        <f>INDEX(Tableau1[], MATCH(Tableau3[[#This Row],[REFERENCE]], Tableau1[NUMERO], 0), 3)</f>
        <v/>
      </c>
      <c r="D165" s="129">
        <f>INDEX(Tableau1[], MATCH(Tableau3[[#This Row],[REFERENCE]], Tableau1[NUMERO], 0),4)</f>
        <v/>
      </c>
      <c r="E165" s="129">
        <f>INDEX(Tableau1[], MATCH(Tableau3[[#This Row],[REFERENCE]], Tableau1[NUMERO], 0), 5)</f>
        <v/>
      </c>
      <c r="F165" s="129">
        <f>INDEX(Tableau1[], MATCH(Tableau3[[#This Row],[REFERENCE]], Tableau1[NUMERO], 0), 6)</f>
        <v/>
      </c>
      <c r="G165" s="129">
        <f>INDEX(Tableau1[], MATCH(Tableau3[[#This Row],[REFERENCE]], Tableau1[NUMERO], 0), 7)</f>
        <v/>
      </c>
      <c r="H165" t="inlineStr">
        <is>
          <t>thyssen</t>
        </is>
      </c>
      <c r="J165" s="2" t="n">
        <v>43563</v>
      </c>
      <c r="K165" s="2" t="n">
        <v>43566</v>
      </c>
      <c r="L165" s="2" t="n"/>
      <c r="O165" s="7" t="n">
        <v>48.75</v>
      </c>
      <c r="P165" s="8" t="inlineStr">
        <is>
          <t>+/- 3 SEMAINES</t>
        </is>
      </c>
      <c r="Q165" s="2" t="n">
        <v>43574</v>
      </c>
    </row>
    <row r="166">
      <c r="A166" s="8" t="n">
        <v>34407682</v>
      </c>
      <c r="B166" s="9">
        <f>INDEX(Tableau1[], MATCH(Tableau3[[#This Row],[REFERENCE]], Tableau1[NUMERO], 0), 2)</f>
        <v/>
      </c>
      <c r="C166" s="129">
        <f>INDEX(Tableau1[], MATCH(Tableau3[[#This Row],[REFERENCE]], Tableau1[NUMERO], 0), 3)</f>
        <v/>
      </c>
      <c r="D166" s="129">
        <f>INDEX(Tableau1[], MATCH(Tableau3[[#This Row],[REFERENCE]], Tableau1[NUMERO], 0),4)</f>
        <v/>
      </c>
      <c r="E166" s="129">
        <f>INDEX(Tableau1[], MATCH(Tableau3[[#This Row],[REFERENCE]], Tableau1[NUMERO], 0), 5)</f>
        <v/>
      </c>
      <c r="F166" s="129">
        <f>INDEX(Tableau1[], MATCH(Tableau3[[#This Row],[REFERENCE]], Tableau1[NUMERO], 0), 6)</f>
        <v/>
      </c>
      <c r="G166" s="129">
        <f>INDEX(Tableau1[], MATCH(Tableau3[[#This Row],[REFERENCE]], Tableau1[NUMERO], 0), 7)</f>
        <v/>
      </c>
      <c r="H166" t="inlineStr">
        <is>
          <t>trefimetaux</t>
        </is>
      </c>
      <c r="J166" s="2" t="n">
        <v>43563</v>
      </c>
      <c r="K166" s="2" t="n">
        <v>43566</v>
      </c>
      <c r="L166" s="2" t="n"/>
      <c r="O166" s="7" t="n">
        <v>106.6</v>
      </c>
      <c r="P166" s="8" t="inlineStr">
        <is>
          <t>3 SEMAINES</t>
        </is>
      </c>
      <c r="Q166" s="2" t="n">
        <v>43657</v>
      </c>
    </row>
    <row r="167">
      <c r="A167" s="8" t="n">
        <v>34407683</v>
      </c>
      <c r="B167" s="9">
        <f>INDEX(Tableau1[], MATCH(Tableau3[[#This Row],[REFERENCE]], Tableau1[NUMERO], 0), 2)</f>
        <v/>
      </c>
      <c r="C167" s="129">
        <f>INDEX(Tableau1[], MATCH(Tableau3[[#This Row],[REFERENCE]], Tableau1[NUMERO], 0), 3)</f>
        <v/>
      </c>
      <c r="D167" s="129">
        <f>INDEX(Tableau1[], MATCH(Tableau3[[#This Row],[REFERENCE]], Tableau1[NUMERO], 0),4)</f>
        <v/>
      </c>
      <c r="E167" s="129">
        <f>INDEX(Tableau1[], MATCH(Tableau3[[#This Row],[REFERENCE]], Tableau1[NUMERO], 0), 5)</f>
        <v/>
      </c>
      <c r="F167" s="129">
        <f>INDEX(Tableau1[], MATCH(Tableau3[[#This Row],[REFERENCE]], Tableau1[NUMERO], 0), 6)</f>
        <v/>
      </c>
      <c r="G167" s="129">
        <f>INDEX(Tableau1[], MATCH(Tableau3[[#This Row],[REFERENCE]], Tableau1[NUMERO], 0), 7)</f>
        <v/>
      </c>
      <c r="H167" t="inlineStr">
        <is>
          <t>thyssen</t>
        </is>
      </c>
      <c r="J167" s="2" t="n">
        <v>43563</v>
      </c>
      <c r="K167" s="2" t="n">
        <v>43566</v>
      </c>
      <c r="L167" s="2" t="n"/>
      <c r="O167" s="7" t="n">
        <v>50.15</v>
      </c>
      <c r="P167" s="8" t="inlineStr">
        <is>
          <t>+/- 3 SEMAINES</t>
        </is>
      </c>
      <c r="Q167" s="2" t="n">
        <v>43574</v>
      </c>
    </row>
    <row r="168">
      <c r="A168" s="8" t="n">
        <v>34407683</v>
      </c>
      <c r="B168" s="9">
        <f>INDEX(Tableau1[], MATCH(Tableau3[[#This Row],[REFERENCE]], Tableau1[NUMERO], 0), 2)</f>
        <v/>
      </c>
      <c r="C168" s="129">
        <f>INDEX(Tableau1[], MATCH(Tableau3[[#This Row],[REFERENCE]], Tableau1[NUMERO], 0), 3)</f>
        <v/>
      </c>
      <c r="D168" s="129">
        <f>INDEX(Tableau1[], MATCH(Tableau3[[#This Row],[REFERENCE]], Tableau1[NUMERO], 0),4)</f>
        <v/>
      </c>
      <c r="E168" s="129">
        <f>INDEX(Tableau1[], MATCH(Tableau3[[#This Row],[REFERENCE]], Tableau1[NUMERO], 0), 5)</f>
        <v/>
      </c>
      <c r="F168" s="129">
        <f>INDEX(Tableau1[], MATCH(Tableau3[[#This Row],[REFERENCE]], Tableau1[NUMERO], 0), 6)</f>
        <v/>
      </c>
      <c r="G168" s="129">
        <f>INDEX(Tableau1[], MATCH(Tableau3[[#This Row],[REFERENCE]], Tableau1[NUMERO], 0), 7)</f>
        <v/>
      </c>
      <c r="H168" t="inlineStr">
        <is>
          <t>trefimetaux</t>
        </is>
      </c>
      <c r="J168" s="2" t="n">
        <v>43563</v>
      </c>
      <c r="K168" s="2" t="n">
        <v>43566</v>
      </c>
      <c r="L168" s="2" t="n"/>
      <c r="O168" s="7" t="n">
        <v>75.40000000000001</v>
      </c>
      <c r="P168" s="8" t="inlineStr">
        <is>
          <t>3 SEMAINES</t>
        </is>
      </c>
      <c r="Q168" s="2" t="n">
        <v>43657</v>
      </c>
    </row>
    <row r="169">
      <c r="A169" s="8" t="n">
        <v>34407684</v>
      </c>
      <c r="B169" s="9">
        <f>INDEX(Tableau1[], MATCH(Tableau3[[#This Row],[REFERENCE]], Tableau1[NUMERO], 0), 2)</f>
        <v/>
      </c>
      <c r="C169" s="129">
        <f>INDEX(Tableau1[], MATCH(Tableau3[[#This Row],[REFERENCE]], Tableau1[NUMERO], 0), 3)</f>
        <v/>
      </c>
      <c r="D169" s="129">
        <f>INDEX(Tableau1[], MATCH(Tableau3[[#This Row],[REFERENCE]], Tableau1[NUMERO], 0),4)</f>
        <v/>
      </c>
      <c r="E169" s="129">
        <f>INDEX(Tableau1[], MATCH(Tableau3[[#This Row],[REFERENCE]], Tableau1[NUMERO], 0), 5)</f>
        <v/>
      </c>
      <c r="F169" s="129">
        <f>INDEX(Tableau1[], MATCH(Tableau3[[#This Row],[REFERENCE]], Tableau1[NUMERO], 0), 6)</f>
        <v/>
      </c>
      <c r="G169" s="129">
        <f>INDEX(Tableau1[], MATCH(Tableau3[[#This Row],[REFERENCE]], Tableau1[NUMERO], 0), 7)</f>
        <v/>
      </c>
      <c r="H169" t="inlineStr">
        <is>
          <t>thyssen</t>
        </is>
      </c>
      <c r="J169" s="2" t="n">
        <v>43563</v>
      </c>
      <c r="K169" s="2" t="n">
        <v>43566</v>
      </c>
      <c r="L169" s="2" t="n"/>
      <c r="O169" s="7" t="n">
        <v>50.15</v>
      </c>
      <c r="P169" s="8" t="inlineStr">
        <is>
          <t>+/- 3 SEMAINES</t>
        </is>
      </c>
      <c r="Q169" s="2" t="n">
        <v>43574</v>
      </c>
    </row>
    <row r="170">
      <c r="A170" s="8" t="n">
        <v>34407684</v>
      </c>
      <c r="B170" s="9">
        <f>INDEX(Tableau1[], MATCH(Tableau3[[#This Row],[REFERENCE]], Tableau1[NUMERO], 0), 2)</f>
        <v/>
      </c>
      <c r="C170" s="129">
        <f>INDEX(Tableau1[], MATCH(Tableau3[[#This Row],[REFERENCE]], Tableau1[NUMERO], 0), 3)</f>
        <v/>
      </c>
      <c r="D170" s="129">
        <f>INDEX(Tableau1[], MATCH(Tableau3[[#This Row],[REFERENCE]], Tableau1[NUMERO], 0),4)</f>
        <v/>
      </c>
      <c r="E170" s="129">
        <f>INDEX(Tableau1[], MATCH(Tableau3[[#This Row],[REFERENCE]], Tableau1[NUMERO], 0), 5)</f>
        <v/>
      </c>
      <c r="F170" s="129">
        <f>INDEX(Tableau1[], MATCH(Tableau3[[#This Row],[REFERENCE]], Tableau1[NUMERO], 0), 6)</f>
        <v/>
      </c>
      <c r="G170" s="129">
        <f>INDEX(Tableau1[], MATCH(Tableau3[[#This Row],[REFERENCE]], Tableau1[NUMERO], 0), 7)</f>
        <v/>
      </c>
      <c r="H170" t="inlineStr">
        <is>
          <t>trefimetaux</t>
        </is>
      </c>
      <c r="J170" s="2" t="n">
        <v>43563</v>
      </c>
      <c r="K170" s="2" t="n">
        <v>43566</v>
      </c>
      <c r="L170" s="2" t="n"/>
      <c r="O170" s="7" t="n">
        <v>75.40000000000001</v>
      </c>
      <c r="P170" s="8" t="inlineStr">
        <is>
          <t>3 SEMAINES</t>
        </is>
      </c>
      <c r="Q170" s="2" t="n">
        <v>43657</v>
      </c>
    </row>
    <row r="171">
      <c r="A171" s="8" t="n">
        <v>34407685</v>
      </c>
      <c r="B171" s="9">
        <f>INDEX(Tableau1[], MATCH(Tableau3[[#This Row],[REFERENCE]], Tableau1[NUMERO], 0), 2)</f>
        <v/>
      </c>
      <c r="C171" s="129">
        <f>INDEX(Tableau1[], MATCH(Tableau3[[#This Row],[REFERENCE]], Tableau1[NUMERO], 0), 3)</f>
        <v/>
      </c>
      <c r="D171" s="129">
        <f>INDEX(Tableau1[], MATCH(Tableau3[[#This Row],[REFERENCE]], Tableau1[NUMERO], 0),4)</f>
        <v/>
      </c>
      <c r="E171" s="129">
        <f>INDEX(Tableau1[], MATCH(Tableau3[[#This Row],[REFERENCE]], Tableau1[NUMERO], 0), 5)</f>
        <v/>
      </c>
      <c r="F171" s="129">
        <f>INDEX(Tableau1[], MATCH(Tableau3[[#This Row],[REFERENCE]], Tableau1[NUMERO], 0), 6)</f>
        <v/>
      </c>
      <c r="G171" s="129">
        <f>INDEX(Tableau1[], MATCH(Tableau3[[#This Row],[REFERENCE]], Tableau1[NUMERO], 0), 7)</f>
        <v/>
      </c>
      <c r="H171" t="inlineStr">
        <is>
          <t>thyssen</t>
        </is>
      </c>
      <c r="J171" s="2" t="n">
        <v>43563</v>
      </c>
      <c r="K171" s="2" t="n">
        <v>43566</v>
      </c>
      <c r="L171" s="2" t="n"/>
      <c r="O171" s="7" t="n">
        <v>47.6</v>
      </c>
      <c r="P171" s="8" t="inlineStr">
        <is>
          <t>+/- 3 SEMAINES</t>
        </is>
      </c>
      <c r="Q171" s="2" t="n">
        <v>43574</v>
      </c>
    </row>
    <row r="172">
      <c r="A172" s="8" t="n">
        <v>34407685</v>
      </c>
      <c r="B172" s="9">
        <f>INDEX(Tableau1[], MATCH(Tableau3[[#This Row],[REFERENCE]], Tableau1[NUMERO], 0), 2)</f>
        <v/>
      </c>
      <c r="C172" s="129">
        <f>INDEX(Tableau1[], MATCH(Tableau3[[#This Row],[REFERENCE]], Tableau1[NUMERO], 0), 3)</f>
        <v/>
      </c>
      <c r="D172" s="129">
        <f>INDEX(Tableau1[], MATCH(Tableau3[[#This Row],[REFERENCE]], Tableau1[NUMERO], 0),4)</f>
        <v/>
      </c>
      <c r="E172" s="129">
        <f>INDEX(Tableau1[], MATCH(Tableau3[[#This Row],[REFERENCE]], Tableau1[NUMERO], 0), 5)</f>
        <v/>
      </c>
      <c r="F172" s="129">
        <f>INDEX(Tableau1[], MATCH(Tableau3[[#This Row],[REFERENCE]], Tableau1[NUMERO], 0), 6)</f>
        <v/>
      </c>
      <c r="G172" s="129">
        <f>INDEX(Tableau1[], MATCH(Tableau3[[#This Row],[REFERENCE]], Tableau1[NUMERO], 0), 7)</f>
        <v/>
      </c>
      <c r="H172" t="inlineStr">
        <is>
          <t>trefimetaux</t>
        </is>
      </c>
      <c r="J172" s="2" t="n">
        <v>43563</v>
      </c>
      <c r="K172" s="2" t="n">
        <v>43566</v>
      </c>
      <c r="L172" s="2" t="n"/>
      <c r="O172" s="7" t="n">
        <v>87.09999999999999</v>
      </c>
      <c r="P172" s="8" t="inlineStr">
        <is>
          <t>3 SEMAINES</t>
        </is>
      </c>
      <c r="Q172" s="2" t="n">
        <v>43657</v>
      </c>
    </row>
    <row r="173">
      <c r="A173" s="8" t="n">
        <v>34407686</v>
      </c>
      <c r="B173" s="9">
        <f>INDEX(Tableau1[], MATCH(Tableau3[[#This Row],[REFERENCE]], Tableau1[NUMERO], 0), 2)</f>
        <v/>
      </c>
      <c r="C173" s="129">
        <f>INDEX(Tableau1[], MATCH(Tableau3[[#This Row],[REFERENCE]], Tableau1[NUMERO], 0), 3)</f>
        <v/>
      </c>
      <c r="D173" s="129">
        <f>INDEX(Tableau1[], MATCH(Tableau3[[#This Row],[REFERENCE]], Tableau1[NUMERO], 0),4)</f>
        <v/>
      </c>
      <c r="E173" s="129">
        <f>INDEX(Tableau1[], MATCH(Tableau3[[#This Row],[REFERENCE]], Tableau1[NUMERO], 0), 5)</f>
        <v/>
      </c>
      <c r="F173" s="129">
        <f>INDEX(Tableau1[], MATCH(Tableau3[[#This Row],[REFERENCE]], Tableau1[NUMERO], 0), 6)</f>
        <v/>
      </c>
      <c r="G173" s="129">
        <f>INDEX(Tableau1[], MATCH(Tableau3[[#This Row],[REFERENCE]], Tableau1[NUMERO], 0), 7)</f>
        <v/>
      </c>
      <c r="H173" t="inlineStr">
        <is>
          <t>thyssen</t>
        </is>
      </c>
      <c r="J173" s="2" t="n">
        <v>43563</v>
      </c>
      <c r="K173" s="2" t="n">
        <v>43566</v>
      </c>
      <c r="L173" s="2" t="n"/>
      <c r="O173" s="7" t="n">
        <v>46.95</v>
      </c>
      <c r="P173" s="8" t="inlineStr">
        <is>
          <t>+/- 3 SEMAINES</t>
        </is>
      </c>
      <c r="Q173" s="2" t="n">
        <v>43574</v>
      </c>
    </row>
    <row r="174">
      <c r="A174" s="8" t="n">
        <v>34407686</v>
      </c>
      <c r="B174" s="9">
        <f>INDEX(Tableau1[], MATCH(Tableau3[[#This Row],[REFERENCE]], Tableau1[NUMERO], 0), 2)</f>
        <v/>
      </c>
      <c r="C174" s="129">
        <f>INDEX(Tableau1[], MATCH(Tableau3[[#This Row],[REFERENCE]], Tableau1[NUMERO], 0), 3)</f>
        <v/>
      </c>
      <c r="D174" s="129">
        <f>INDEX(Tableau1[], MATCH(Tableau3[[#This Row],[REFERENCE]], Tableau1[NUMERO], 0),4)</f>
        <v/>
      </c>
      <c r="E174" s="129">
        <f>INDEX(Tableau1[], MATCH(Tableau3[[#This Row],[REFERENCE]], Tableau1[NUMERO], 0), 5)</f>
        <v/>
      </c>
      <c r="F174" s="129">
        <f>INDEX(Tableau1[], MATCH(Tableau3[[#This Row],[REFERENCE]], Tableau1[NUMERO], 0), 6)</f>
        <v/>
      </c>
      <c r="G174" s="129">
        <f>INDEX(Tableau1[], MATCH(Tableau3[[#This Row],[REFERENCE]], Tableau1[NUMERO], 0), 7)</f>
        <v/>
      </c>
      <c r="H174" t="inlineStr">
        <is>
          <t>trefimetaux</t>
        </is>
      </c>
      <c r="J174" s="2" t="n">
        <v>43563</v>
      </c>
      <c r="K174" s="2" t="n">
        <v>43566</v>
      </c>
      <c r="L174" s="2" t="n"/>
      <c r="O174" s="7" t="n">
        <v>73.5</v>
      </c>
      <c r="P174" s="8" t="inlineStr">
        <is>
          <t>3 SEMAINES</t>
        </is>
      </c>
      <c r="Q174" s="2" t="n">
        <v>43657</v>
      </c>
    </row>
    <row r="175">
      <c r="A175" s="8" t="n">
        <v>34407687</v>
      </c>
      <c r="B175" s="9">
        <f>INDEX(Tableau1[], MATCH(Tableau3[[#This Row],[REFERENCE]], Tableau1[NUMERO], 0), 2)</f>
        <v/>
      </c>
      <c r="C175" s="129">
        <f>INDEX(Tableau1[], MATCH(Tableau3[[#This Row],[REFERENCE]], Tableau1[NUMERO], 0), 3)</f>
        <v/>
      </c>
      <c r="D175" s="129">
        <f>INDEX(Tableau1[], MATCH(Tableau3[[#This Row],[REFERENCE]], Tableau1[NUMERO], 0),4)</f>
        <v/>
      </c>
      <c r="E175" s="129">
        <f>INDEX(Tableau1[], MATCH(Tableau3[[#This Row],[REFERENCE]], Tableau1[NUMERO], 0), 5)</f>
        <v/>
      </c>
      <c r="F175" s="129">
        <f>INDEX(Tableau1[], MATCH(Tableau3[[#This Row],[REFERENCE]], Tableau1[NUMERO], 0), 6)</f>
        <v/>
      </c>
      <c r="G175" s="129">
        <f>INDEX(Tableau1[], MATCH(Tableau3[[#This Row],[REFERENCE]], Tableau1[NUMERO], 0), 7)</f>
        <v/>
      </c>
      <c r="H175" t="inlineStr">
        <is>
          <t>thyssen</t>
        </is>
      </c>
      <c r="J175" s="2" t="n">
        <v>43563</v>
      </c>
      <c r="K175" s="2" t="n">
        <v>43566</v>
      </c>
      <c r="L175" s="2" t="n"/>
      <c r="O175" s="7" t="n">
        <v>46.35</v>
      </c>
      <c r="P175" s="8" t="inlineStr">
        <is>
          <t>+/- 3 SEMAINES</t>
        </is>
      </c>
      <c r="Q175" s="2" t="n">
        <v>43574</v>
      </c>
    </row>
    <row r="176">
      <c r="A176" s="8" t="n">
        <v>34407687</v>
      </c>
      <c r="B176" s="9">
        <f>INDEX(Tableau1[], MATCH(Tableau3[[#This Row],[REFERENCE]], Tableau1[NUMERO], 0), 2)</f>
        <v/>
      </c>
      <c r="C176" s="129">
        <f>INDEX(Tableau1[], MATCH(Tableau3[[#This Row],[REFERENCE]], Tableau1[NUMERO], 0), 3)</f>
        <v/>
      </c>
      <c r="D176" s="129">
        <f>INDEX(Tableau1[], MATCH(Tableau3[[#This Row],[REFERENCE]], Tableau1[NUMERO], 0),4)</f>
        <v/>
      </c>
      <c r="E176" s="129">
        <f>INDEX(Tableau1[], MATCH(Tableau3[[#This Row],[REFERENCE]], Tableau1[NUMERO], 0), 5)</f>
        <v/>
      </c>
      <c r="F176" s="129">
        <f>INDEX(Tableau1[], MATCH(Tableau3[[#This Row],[REFERENCE]], Tableau1[NUMERO], 0), 6)</f>
        <v/>
      </c>
      <c r="G176" s="129">
        <f>INDEX(Tableau1[], MATCH(Tableau3[[#This Row],[REFERENCE]], Tableau1[NUMERO], 0), 7)</f>
        <v/>
      </c>
      <c r="H176" t="inlineStr">
        <is>
          <t>trefimetaux</t>
        </is>
      </c>
      <c r="J176" s="2" t="n">
        <v>43563</v>
      </c>
      <c r="K176" s="2" t="n">
        <v>43566</v>
      </c>
      <c r="L176" s="2" t="n"/>
      <c r="O176" s="7" t="n">
        <v>73.5</v>
      </c>
      <c r="P176" s="8" t="inlineStr">
        <is>
          <t>3 SEMAINES</t>
        </is>
      </c>
      <c r="Q176" s="2" t="n">
        <v>43657</v>
      </c>
    </row>
    <row r="177">
      <c r="A177" s="8" t="n">
        <v>34407688</v>
      </c>
      <c r="B177" s="9">
        <f>INDEX(Tableau1[], MATCH(Tableau3[[#This Row],[REFERENCE]], Tableau1[NUMERO], 0), 2)</f>
        <v/>
      </c>
      <c r="C177" s="129">
        <f>INDEX(Tableau1[], MATCH(Tableau3[[#This Row],[REFERENCE]], Tableau1[NUMERO], 0), 3)</f>
        <v/>
      </c>
      <c r="D177" s="129">
        <f>INDEX(Tableau1[], MATCH(Tableau3[[#This Row],[REFERENCE]], Tableau1[NUMERO], 0),4)</f>
        <v/>
      </c>
      <c r="E177" s="129">
        <f>INDEX(Tableau1[], MATCH(Tableau3[[#This Row],[REFERENCE]], Tableau1[NUMERO], 0), 5)</f>
        <v/>
      </c>
      <c r="F177" s="129">
        <f>INDEX(Tableau1[], MATCH(Tableau3[[#This Row],[REFERENCE]], Tableau1[NUMERO], 0), 6)</f>
        <v/>
      </c>
      <c r="G177" s="129">
        <f>INDEX(Tableau1[], MATCH(Tableau3[[#This Row],[REFERENCE]], Tableau1[NUMERO], 0), 7)</f>
        <v/>
      </c>
      <c r="H177" t="inlineStr">
        <is>
          <t>thyssen</t>
        </is>
      </c>
      <c r="J177" s="2" t="n">
        <v>43563</v>
      </c>
      <c r="K177" s="2" t="n">
        <v>43566</v>
      </c>
      <c r="L177" s="2" t="n"/>
      <c r="O177" s="7" t="n">
        <v>37.2</v>
      </c>
      <c r="P177" s="8" t="inlineStr">
        <is>
          <t>+/- 3 SEMAINES</t>
        </is>
      </c>
      <c r="Q177" s="2" t="n">
        <v>43574</v>
      </c>
    </row>
    <row r="178">
      <c r="A178" s="8" t="n">
        <v>34407688</v>
      </c>
      <c r="B178" s="9">
        <f>INDEX(Tableau1[], MATCH(Tableau3[[#This Row],[REFERENCE]], Tableau1[NUMERO], 0), 2)</f>
        <v/>
      </c>
      <c r="C178" s="129">
        <f>INDEX(Tableau1[], MATCH(Tableau3[[#This Row],[REFERENCE]], Tableau1[NUMERO], 0), 3)</f>
        <v/>
      </c>
      <c r="D178" s="129">
        <f>INDEX(Tableau1[], MATCH(Tableau3[[#This Row],[REFERENCE]], Tableau1[NUMERO], 0),4)</f>
        <v/>
      </c>
      <c r="E178" s="129">
        <f>INDEX(Tableau1[], MATCH(Tableau3[[#This Row],[REFERENCE]], Tableau1[NUMERO], 0), 5)</f>
        <v/>
      </c>
      <c r="F178" s="129">
        <f>INDEX(Tableau1[], MATCH(Tableau3[[#This Row],[REFERENCE]], Tableau1[NUMERO], 0), 6)</f>
        <v/>
      </c>
      <c r="G178" s="129">
        <f>INDEX(Tableau1[], MATCH(Tableau3[[#This Row],[REFERENCE]], Tableau1[NUMERO], 0), 7)</f>
        <v/>
      </c>
      <c r="H178" t="inlineStr">
        <is>
          <t>trefimetaux</t>
        </is>
      </c>
      <c r="J178" s="2" t="n">
        <v>43563</v>
      </c>
      <c r="K178" s="2" t="n">
        <v>43566</v>
      </c>
      <c r="L178" s="2" t="n"/>
      <c r="O178" s="7" t="n">
        <v>62.7</v>
      </c>
      <c r="P178" s="8" t="inlineStr">
        <is>
          <t>3 SEMAINES</t>
        </is>
      </c>
      <c r="Q178" s="2" t="n">
        <v>43657</v>
      </c>
    </row>
    <row r="179">
      <c r="A179" s="8" t="n">
        <v>34407689</v>
      </c>
      <c r="B179" s="9">
        <f>INDEX(Tableau1[], MATCH(Tableau3[[#This Row],[REFERENCE]], Tableau1[NUMERO], 0), 2)</f>
        <v/>
      </c>
      <c r="C179" s="129">
        <f>INDEX(Tableau1[], MATCH(Tableau3[[#This Row],[REFERENCE]], Tableau1[NUMERO], 0), 3)</f>
        <v/>
      </c>
      <c r="D179" s="129">
        <f>INDEX(Tableau1[], MATCH(Tableau3[[#This Row],[REFERENCE]], Tableau1[NUMERO], 0),4)</f>
        <v/>
      </c>
      <c r="E179" s="129">
        <f>INDEX(Tableau1[], MATCH(Tableau3[[#This Row],[REFERENCE]], Tableau1[NUMERO], 0), 5)</f>
        <v/>
      </c>
      <c r="F179" s="129">
        <f>INDEX(Tableau1[], MATCH(Tableau3[[#This Row],[REFERENCE]], Tableau1[NUMERO], 0), 6)</f>
        <v/>
      </c>
      <c r="G179" s="129">
        <f>INDEX(Tableau1[], MATCH(Tableau3[[#This Row],[REFERENCE]], Tableau1[NUMERO], 0), 7)</f>
        <v/>
      </c>
      <c r="H179" t="inlineStr">
        <is>
          <t>thyssen</t>
        </is>
      </c>
      <c r="J179" s="2" t="n">
        <v>43563</v>
      </c>
      <c r="K179" s="2" t="n">
        <v>43566</v>
      </c>
      <c r="L179" s="2" t="n"/>
      <c r="O179" s="7" t="n">
        <v>38.7</v>
      </c>
      <c r="P179" s="8" t="inlineStr">
        <is>
          <t>+/- 3 SEMAINES</t>
        </is>
      </c>
      <c r="Q179" s="2" t="n">
        <v>43574</v>
      </c>
    </row>
    <row r="180">
      <c r="A180" s="8" t="n">
        <v>34407689</v>
      </c>
      <c r="B180" s="9">
        <f>INDEX(Tableau1[], MATCH(Tableau3[[#This Row],[REFERENCE]], Tableau1[NUMERO], 0), 2)</f>
        <v/>
      </c>
      <c r="C180" s="129">
        <f>INDEX(Tableau1[], MATCH(Tableau3[[#This Row],[REFERENCE]], Tableau1[NUMERO], 0), 3)</f>
        <v/>
      </c>
      <c r="D180" s="129">
        <f>INDEX(Tableau1[], MATCH(Tableau3[[#This Row],[REFERENCE]], Tableau1[NUMERO], 0),4)</f>
        <v/>
      </c>
      <c r="E180" s="129">
        <f>INDEX(Tableau1[], MATCH(Tableau3[[#This Row],[REFERENCE]], Tableau1[NUMERO], 0), 5)</f>
        <v/>
      </c>
      <c r="F180" s="129">
        <f>INDEX(Tableau1[], MATCH(Tableau3[[#This Row],[REFERENCE]], Tableau1[NUMERO], 0), 6)</f>
        <v/>
      </c>
      <c r="G180" s="129">
        <f>INDEX(Tableau1[], MATCH(Tableau3[[#This Row],[REFERENCE]], Tableau1[NUMERO], 0), 7)</f>
        <v/>
      </c>
      <c r="H180" t="inlineStr">
        <is>
          <t>trefimetaux</t>
        </is>
      </c>
      <c r="J180" s="2" t="n">
        <v>43563</v>
      </c>
      <c r="K180" s="2" t="n">
        <v>43566</v>
      </c>
      <c r="L180" s="2" t="n"/>
      <c r="O180" s="7" t="n">
        <v>62.7</v>
      </c>
      <c r="P180" s="8" t="inlineStr">
        <is>
          <t>3 SEMAINES</t>
        </is>
      </c>
      <c r="Q180" s="2" t="n">
        <v>43657</v>
      </c>
    </row>
    <row r="181">
      <c r="A181" s="8" t="n">
        <v>34407701</v>
      </c>
      <c r="B181" s="9">
        <f>INDEX(Tableau1[], MATCH(Tableau3[[#This Row],[REFERENCE]], Tableau1[NUMERO], 0), 2)</f>
        <v/>
      </c>
      <c r="C181" s="129">
        <f>INDEX(Tableau1[], MATCH(Tableau3[[#This Row],[REFERENCE]], Tableau1[NUMERO], 0), 3)</f>
        <v/>
      </c>
      <c r="D181" s="129">
        <f>INDEX(Tableau1[], MATCH(Tableau3[[#This Row],[REFERENCE]], Tableau1[NUMERO], 0),4)</f>
        <v/>
      </c>
      <c r="E181" s="129">
        <f>INDEX(Tableau1[], MATCH(Tableau3[[#This Row],[REFERENCE]], Tableau1[NUMERO], 0), 5)</f>
        <v/>
      </c>
      <c r="F181" s="129">
        <f>INDEX(Tableau1[], MATCH(Tableau3[[#This Row],[REFERENCE]], Tableau1[NUMERO], 0), 6)</f>
        <v/>
      </c>
      <c r="G181" s="129">
        <f>INDEX(Tableau1[], MATCH(Tableau3[[#This Row],[REFERENCE]], Tableau1[NUMERO], 0), 7)</f>
        <v/>
      </c>
      <c r="H181" t="inlineStr">
        <is>
          <t>FONTAINE INSERSION</t>
        </is>
      </c>
      <c r="J181" s="2" t="n">
        <v>43563</v>
      </c>
      <c r="K181" s="2" t="n">
        <v>43566</v>
      </c>
      <c r="L181" s="2" t="n"/>
      <c r="O181" s="7" t="n">
        <v>7.27</v>
      </c>
      <c r="P181" s="8" t="inlineStr">
        <is>
          <t>1 à 2 SEMAINES</t>
        </is>
      </c>
      <c r="Q181" s="2" t="n">
        <v>43596</v>
      </c>
    </row>
    <row r="182">
      <c r="A182" s="8" t="n">
        <v>34407705</v>
      </c>
      <c r="B182" s="9">
        <f>INDEX(Tableau1[], MATCH(Tableau3[[#This Row],[REFERENCE]], Tableau1[NUMERO], 0), 2)</f>
        <v/>
      </c>
      <c r="C182" s="129">
        <f>INDEX(Tableau1[], MATCH(Tableau3[[#This Row],[REFERENCE]], Tableau1[NUMERO], 0), 3)</f>
        <v/>
      </c>
      <c r="D182" s="129">
        <f>INDEX(Tableau1[], MATCH(Tableau3[[#This Row],[REFERENCE]], Tableau1[NUMERO], 0),4)</f>
        <v/>
      </c>
      <c r="E182" s="129">
        <f>INDEX(Tableau1[], MATCH(Tableau3[[#This Row],[REFERENCE]], Tableau1[NUMERO], 0), 5)</f>
        <v/>
      </c>
      <c r="F182" s="129">
        <f>INDEX(Tableau1[], MATCH(Tableau3[[#This Row],[REFERENCE]], Tableau1[NUMERO], 0), 6)</f>
        <v/>
      </c>
      <c r="G182" s="129">
        <f>INDEX(Tableau1[], MATCH(Tableau3[[#This Row],[REFERENCE]], Tableau1[NUMERO], 0), 7)</f>
        <v/>
      </c>
      <c r="H182" t="inlineStr">
        <is>
          <t>LASER TECHNIC</t>
        </is>
      </c>
      <c r="J182" s="2" t="n">
        <v>43566</v>
      </c>
      <c r="K182" s="2" t="n">
        <v>43570</v>
      </c>
      <c r="L182" s="2" t="n"/>
      <c r="O182" s="7" t="n">
        <v>182</v>
      </c>
      <c r="P182" s="8" t="inlineStr">
        <is>
          <t>5 JOURS</t>
        </is>
      </c>
      <c r="Q182" s="2" t="n">
        <v>43661</v>
      </c>
    </row>
    <row r="183">
      <c r="A183" s="8" t="n">
        <v>34407707</v>
      </c>
      <c r="B183" s="9">
        <f>INDEX(Tableau1[], MATCH(Tableau3[[#This Row],[REFERENCE]], Tableau1[NUMERO], 0), 2)</f>
        <v/>
      </c>
      <c r="C183" s="129">
        <f>INDEX(Tableau1[], MATCH(Tableau3[[#This Row],[REFERENCE]], Tableau1[NUMERO], 0), 3)</f>
        <v/>
      </c>
      <c r="D183" s="129">
        <f>INDEX(Tableau1[], MATCH(Tableau3[[#This Row],[REFERENCE]], Tableau1[NUMERO], 0),4)</f>
        <v/>
      </c>
      <c r="E183" s="129">
        <f>INDEX(Tableau1[], MATCH(Tableau3[[#This Row],[REFERENCE]], Tableau1[NUMERO], 0), 5)</f>
        <v/>
      </c>
      <c r="F183" s="129">
        <f>INDEX(Tableau1[], MATCH(Tableau3[[#This Row],[REFERENCE]], Tableau1[NUMERO], 0), 6)</f>
        <v/>
      </c>
      <c r="G183" s="129">
        <f>INDEX(Tableau1[], MATCH(Tableau3[[#This Row],[REFERENCE]], Tableau1[NUMERO], 0), 7)</f>
        <v/>
      </c>
      <c r="H183" t="inlineStr">
        <is>
          <t>UFP</t>
        </is>
      </c>
      <c r="J183" s="2" t="n">
        <v>43566</v>
      </c>
      <c r="K183" s="2" t="n">
        <v>43566</v>
      </c>
      <c r="L183" s="2" t="n"/>
      <c r="O183" s="7" t="n">
        <v>12.95</v>
      </c>
      <c r="P183" s="8" t="inlineStr">
        <is>
          <t>4 à 5 SEMAINES</t>
        </is>
      </c>
      <c r="Q183" s="2" t="n">
        <v>43657</v>
      </c>
    </row>
    <row r="184">
      <c r="A184" s="8" t="n">
        <v>34407750</v>
      </c>
      <c r="B184" s="9">
        <f>INDEX(Tableau1[], MATCH(Tableau3[[#This Row],[REFERENCE]], Tableau1[NUMERO], 0), 2)</f>
        <v/>
      </c>
      <c r="C184" s="129">
        <f>INDEX(Tableau1[], MATCH(Tableau3[[#This Row],[REFERENCE]], Tableau1[NUMERO], 0), 3)</f>
        <v/>
      </c>
      <c r="D184" s="129">
        <f>INDEX(Tableau1[], MATCH(Tableau3[[#This Row],[REFERENCE]], Tableau1[NUMERO], 0),4)</f>
        <v/>
      </c>
      <c r="E184" s="129">
        <f>INDEX(Tableau1[], MATCH(Tableau3[[#This Row],[REFERENCE]], Tableau1[NUMERO], 0), 5)</f>
        <v/>
      </c>
      <c r="F184" s="129">
        <f>INDEX(Tableau1[], MATCH(Tableau3[[#This Row],[REFERENCE]], Tableau1[NUMERO], 0), 6)</f>
        <v/>
      </c>
      <c r="G184" s="129">
        <f>INDEX(Tableau1[], MATCH(Tableau3[[#This Row],[REFERENCE]], Tableau1[NUMERO], 0), 7)</f>
        <v/>
      </c>
      <c r="H184" t="inlineStr">
        <is>
          <t>LASER TECHNIQUE</t>
        </is>
      </c>
      <c r="J184" s="2" t="n">
        <v>43584</v>
      </c>
      <c r="K184" s="2" t="n">
        <v>43585</v>
      </c>
      <c r="L184" s="2" t="n"/>
      <c r="O184" s="7" t="n">
        <v>32</v>
      </c>
      <c r="P184" s="8" t="inlineStr">
        <is>
          <t>5 JOURS</t>
        </is>
      </c>
      <c r="Q184" s="2" t="n">
        <v>43676</v>
      </c>
    </row>
    <row r="185">
      <c r="A185" s="8" t="n">
        <v>34407752</v>
      </c>
      <c r="B185" s="9">
        <f>INDEX(Tableau1[], MATCH(Tableau3[[#This Row],[REFERENCE]], Tableau1[NUMERO], 0), 2)</f>
        <v/>
      </c>
      <c r="C185" s="129">
        <f>INDEX(Tableau1[], MATCH(Tableau3[[#This Row],[REFERENCE]], Tableau1[NUMERO], 0), 3)</f>
        <v/>
      </c>
      <c r="D185" s="129">
        <f>INDEX(Tableau1[], MATCH(Tableau3[[#This Row],[REFERENCE]], Tableau1[NUMERO], 0),4)</f>
        <v/>
      </c>
      <c r="E185" s="129">
        <f>INDEX(Tableau1[], MATCH(Tableau3[[#This Row],[REFERENCE]], Tableau1[NUMERO], 0), 5)</f>
        <v/>
      </c>
      <c r="F185" s="129">
        <f>INDEX(Tableau1[], MATCH(Tableau3[[#This Row],[REFERENCE]], Tableau1[NUMERO], 0), 6)</f>
        <v/>
      </c>
      <c r="G185" s="129">
        <f>INDEX(Tableau1[], MATCH(Tableau3[[#This Row],[REFERENCE]], Tableau1[NUMERO], 0), 7)</f>
        <v/>
      </c>
      <c r="H185" t="inlineStr">
        <is>
          <t>LASER TECHNIQUE</t>
        </is>
      </c>
      <c r="J185" s="2" t="n">
        <v>43584</v>
      </c>
      <c r="K185" s="2" t="n">
        <v>43585</v>
      </c>
      <c r="L185" s="2" t="n"/>
      <c r="O185" s="7" t="n">
        <v>28</v>
      </c>
      <c r="P185" s="8" t="inlineStr">
        <is>
          <t>5 JOURS</t>
        </is>
      </c>
      <c r="Q185" s="2" t="n">
        <v>43676</v>
      </c>
    </row>
    <row r="186">
      <c r="A186" s="8" t="n">
        <v>34407754</v>
      </c>
      <c r="B186" s="9">
        <f>INDEX(Tableau1[], MATCH(Tableau3[[#This Row],[REFERENCE]], Tableau1[NUMERO], 0), 2)</f>
        <v/>
      </c>
      <c r="C186" s="129">
        <f>INDEX(Tableau1[], MATCH(Tableau3[[#This Row],[REFERENCE]], Tableau1[NUMERO], 0), 3)</f>
        <v/>
      </c>
      <c r="D186" s="129">
        <f>INDEX(Tableau1[], MATCH(Tableau3[[#This Row],[REFERENCE]], Tableau1[NUMERO], 0),4)</f>
        <v/>
      </c>
      <c r="E186" s="129">
        <f>INDEX(Tableau1[], MATCH(Tableau3[[#This Row],[REFERENCE]], Tableau1[NUMERO], 0), 5)</f>
        <v/>
      </c>
      <c r="F186" s="129">
        <f>INDEX(Tableau1[], MATCH(Tableau3[[#This Row],[REFERENCE]], Tableau1[NUMERO], 0), 6)</f>
        <v/>
      </c>
      <c r="G186" s="129">
        <f>INDEX(Tableau1[], MATCH(Tableau3[[#This Row],[REFERENCE]], Tableau1[NUMERO], 0), 7)</f>
        <v/>
      </c>
      <c r="H186" t="inlineStr">
        <is>
          <t>LASER TECHNIQUE</t>
        </is>
      </c>
      <c r="J186" s="2" t="n">
        <v>43584</v>
      </c>
      <c r="K186" s="2" t="n">
        <v>43585</v>
      </c>
      <c r="L186" s="2" t="n"/>
      <c r="O186" s="7" t="n">
        <v>25</v>
      </c>
      <c r="P186" s="8" t="inlineStr">
        <is>
          <t>5 JOURS</t>
        </is>
      </c>
      <c r="Q186" s="2" t="n">
        <v>43676</v>
      </c>
    </row>
    <row r="187">
      <c r="A187" s="8" t="n">
        <v>34407755</v>
      </c>
      <c r="B187" s="9">
        <f>INDEX(Tableau1[], MATCH(Tableau3[[#This Row],[REFERENCE]], Tableau1[NUMERO], 0), 2)</f>
        <v/>
      </c>
      <c r="C187" s="129">
        <f>INDEX(Tableau1[], MATCH(Tableau3[[#This Row],[REFERENCE]], Tableau1[NUMERO], 0), 3)</f>
        <v/>
      </c>
      <c r="D187" s="129">
        <f>INDEX(Tableau1[], MATCH(Tableau3[[#This Row],[REFERENCE]], Tableau1[NUMERO], 0),4)</f>
        <v/>
      </c>
      <c r="E187" s="129">
        <f>INDEX(Tableau1[], MATCH(Tableau3[[#This Row],[REFERENCE]], Tableau1[NUMERO], 0), 5)</f>
        <v/>
      </c>
      <c r="F187" s="129">
        <f>INDEX(Tableau1[], MATCH(Tableau3[[#This Row],[REFERENCE]], Tableau1[NUMERO], 0), 6)</f>
        <v/>
      </c>
      <c r="G187" s="129">
        <f>INDEX(Tableau1[], MATCH(Tableau3[[#This Row],[REFERENCE]], Tableau1[NUMERO], 0), 7)</f>
        <v/>
      </c>
      <c r="H187" t="inlineStr">
        <is>
          <t>LASER TECHNIQUE</t>
        </is>
      </c>
      <c r="J187" s="2" t="n">
        <v>43584</v>
      </c>
      <c r="K187" s="2" t="n">
        <v>43585</v>
      </c>
      <c r="L187" s="2" t="n"/>
      <c r="O187" s="7" t="n">
        <v>45</v>
      </c>
      <c r="P187" s="8" t="inlineStr">
        <is>
          <t>5 JOURS</t>
        </is>
      </c>
      <c r="Q187" s="2" t="n">
        <v>43676</v>
      </c>
    </row>
    <row r="188">
      <c r="A188" s="8" t="n">
        <v>34407757</v>
      </c>
      <c r="B188" s="9">
        <f>INDEX(Tableau1[], MATCH(Tableau3[[#This Row],[REFERENCE]], Tableau1[NUMERO], 0), 2)</f>
        <v/>
      </c>
      <c r="C188" s="129">
        <f>INDEX(Tableau1[], MATCH(Tableau3[[#This Row],[REFERENCE]], Tableau1[NUMERO], 0), 3)</f>
        <v/>
      </c>
      <c r="D188" s="129">
        <f>INDEX(Tableau1[], MATCH(Tableau3[[#This Row],[REFERENCE]], Tableau1[NUMERO], 0),4)</f>
        <v/>
      </c>
      <c r="E188" s="129">
        <f>INDEX(Tableau1[], MATCH(Tableau3[[#This Row],[REFERENCE]], Tableau1[NUMERO], 0), 5)</f>
        <v/>
      </c>
      <c r="F188" s="129">
        <f>INDEX(Tableau1[], MATCH(Tableau3[[#This Row],[REFERENCE]], Tableau1[NUMERO], 0), 6)</f>
        <v/>
      </c>
      <c r="G188" s="129">
        <f>INDEX(Tableau1[], MATCH(Tableau3[[#This Row],[REFERENCE]], Tableau1[NUMERO], 0), 7)</f>
        <v/>
      </c>
      <c r="H188" t="inlineStr">
        <is>
          <t>LASER TECHNIQUE</t>
        </is>
      </c>
      <c r="J188" s="2" t="n">
        <v>43584</v>
      </c>
      <c r="K188" s="2" t="n">
        <v>43585</v>
      </c>
      <c r="L188" s="2" t="n"/>
      <c r="O188" s="7" t="n">
        <v>25</v>
      </c>
      <c r="P188" s="8" t="inlineStr">
        <is>
          <t>5 JOURS</t>
        </is>
      </c>
      <c r="Q188" s="2" t="n">
        <v>43676</v>
      </c>
    </row>
    <row r="189">
      <c r="A189" s="8" t="n">
        <v>34407758</v>
      </c>
      <c r="B189" s="9">
        <f>INDEX(Tableau1[], MATCH(Tableau3[[#This Row],[REFERENCE]], Tableau1[NUMERO], 0), 2)</f>
        <v/>
      </c>
      <c r="C189" s="129">
        <f>INDEX(Tableau1[], MATCH(Tableau3[[#This Row],[REFERENCE]], Tableau1[NUMERO], 0), 3)</f>
        <v/>
      </c>
      <c r="D189" s="129">
        <f>INDEX(Tableau1[], MATCH(Tableau3[[#This Row],[REFERENCE]], Tableau1[NUMERO], 0),4)</f>
        <v/>
      </c>
      <c r="E189" s="129">
        <f>INDEX(Tableau1[], MATCH(Tableau3[[#This Row],[REFERENCE]], Tableau1[NUMERO], 0), 5)</f>
        <v/>
      </c>
      <c r="F189" s="129">
        <f>INDEX(Tableau1[], MATCH(Tableau3[[#This Row],[REFERENCE]], Tableau1[NUMERO], 0), 6)</f>
        <v/>
      </c>
      <c r="G189" s="129">
        <f>INDEX(Tableau1[], MATCH(Tableau3[[#This Row],[REFERENCE]], Tableau1[NUMERO], 0), 7)</f>
        <v/>
      </c>
      <c r="H189" t="inlineStr">
        <is>
          <t>LASER TECHNIQUE</t>
        </is>
      </c>
      <c r="J189" s="2" t="n">
        <v>43598</v>
      </c>
      <c r="K189" s="2" t="n">
        <v>43601</v>
      </c>
      <c r="L189" s="2" t="n"/>
      <c r="O189" s="7" t="n">
        <v>7</v>
      </c>
      <c r="P189" s="8" t="inlineStr">
        <is>
          <t>3 JOURS</t>
        </is>
      </c>
      <c r="Q189" s="2" t="n">
        <v>43693</v>
      </c>
    </row>
    <row r="190">
      <c r="A190" s="8" t="n">
        <v>34407759</v>
      </c>
      <c r="B190" s="9">
        <f>INDEX(Tableau1[], MATCH(Tableau3[[#This Row],[REFERENCE]], Tableau1[NUMERO], 0), 2)</f>
        <v/>
      </c>
      <c r="C190" s="129">
        <f>INDEX(Tableau1[], MATCH(Tableau3[[#This Row],[REFERENCE]], Tableau1[NUMERO], 0), 3)</f>
        <v/>
      </c>
      <c r="D190" s="129">
        <f>INDEX(Tableau1[], MATCH(Tableau3[[#This Row],[REFERENCE]], Tableau1[NUMERO], 0),4)</f>
        <v/>
      </c>
      <c r="E190" s="129">
        <f>INDEX(Tableau1[], MATCH(Tableau3[[#This Row],[REFERENCE]], Tableau1[NUMERO], 0), 5)</f>
        <v/>
      </c>
      <c r="F190" s="129">
        <f>INDEX(Tableau1[], MATCH(Tableau3[[#This Row],[REFERENCE]], Tableau1[NUMERO], 0), 6)</f>
        <v/>
      </c>
      <c r="G190" s="129">
        <f>INDEX(Tableau1[], MATCH(Tableau3[[#This Row],[REFERENCE]], Tableau1[NUMERO], 0), 7)</f>
        <v/>
      </c>
      <c r="H190" t="inlineStr">
        <is>
          <t>AGCEI</t>
        </is>
      </c>
      <c r="J190" s="2" t="n">
        <v>43509</v>
      </c>
      <c r="K190" s="2" t="n">
        <v>43509</v>
      </c>
      <c r="L190" s="2" t="n"/>
      <c r="O190" s="7" t="n">
        <v>540</v>
      </c>
      <c r="P190" s="8" t="inlineStr">
        <is>
          <t>7 SEMAINS</t>
        </is>
      </c>
      <c r="Q190" s="2" t="n">
        <v>43598</v>
      </c>
    </row>
    <row r="191">
      <c r="A191" s="8" t="n">
        <v>34407760</v>
      </c>
      <c r="B191" s="9">
        <f>INDEX(Tableau1[], MATCH(Tableau3[[#This Row],[REFERENCE]], Tableau1[NUMERO], 0), 2)</f>
        <v/>
      </c>
      <c r="C191" s="129">
        <f>INDEX(Tableau1[], MATCH(Tableau3[[#This Row],[REFERENCE]], Tableau1[NUMERO], 0), 3)</f>
        <v/>
      </c>
      <c r="D191" s="129">
        <f>INDEX(Tableau1[], MATCH(Tableau3[[#This Row],[REFERENCE]], Tableau1[NUMERO], 0),4)</f>
        <v/>
      </c>
      <c r="E191" s="129">
        <f>INDEX(Tableau1[], MATCH(Tableau3[[#This Row],[REFERENCE]], Tableau1[NUMERO], 0), 5)</f>
        <v/>
      </c>
      <c r="F191" s="129">
        <f>INDEX(Tableau1[], MATCH(Tableau3[[#This Row],[REFERENCE]], Tableau1[NUMERO], 0), 6)</f>
        <v/>
      </c>
      <c r="G191" s="129">
        <f>INDEX(Tableau1[], MATCH(Tableau3[[#This Row],[REFERENCE]], Tableau1[NUMERO], 0), 7)</f>
        <v/>
      </c>
      <c r="H191" t="inlineStr">
        <is>
          <t>FONTAINE INSERSION</t>
        </is>
      </c>
      <c r="J191" s="2" t="n">
        <v>43595</v>
      </c>
      <c r="K191" s="2" t="n">
        <v>43598</v>
      </c>
      <c r="L191" s="2" t="n"/>
      <c r="O191" s="7" t="n">
        <v>3.82</v>
      </c>
      <c r="P191" s="8" t="inlineStr">
        <is>
          <t>1 à 2 SEMAINES</t>
        </is>
      </c>
      <c r="Q191" s="2" t="n">
        <v>43690</v>
      </c>
    </row>
    <row r="192">
      <c r="A192" s="8" t="n">
        <v>34407761</v>
      </c>
      <c r="B192" s="9">
        <f>INDEX(Tableau1[], MATCH(Tableau3[[#This Row],[REFERENCE]], Tableau1[NUMERO], 0), 2)</f>
        <v/>
      </c>
      <c r="C192" s="129">
        <f>INDEX(Tableau1[], MATCH(Tableau3[[#This Row],[REFERENCE]], Tableau1[NUMERO], 0), 3)</f>
        <v/>
      </c>
      <c r="D192" s="129">
        <f>INDEX(Tableau1[], MATCH(Tableau3[[#This Row],[REFERENCE]], Tableau1[NUMERO], 0),4)</f>
        <v/>
      </c>
      <c r="E192" s="129">
        <f>INDEX(Tableau1[], MATCH(Tableau3[[#This Row],[REFERENCE]], Tableau1[NUMERO], 0), 5)</f>
        <v/>
      </c>
      <c r="F192" s="129">
        <f>INDEX(Tableau1[], MATCH(Tableau3[[#This Row],[REFERENCE]], Tableau1[NUMERO], 0), 6)</f>
        <v/>
      </c>
      <c r="G192" s="129">
        <f>INDEX(Tableau1[], MATCH(Tableau3[[#This Row],[REFERENCE]], Tableau1[NUMERO], 0), 7)</f>
        <v/>
      </c>
      <c r="H192" t="inlineStr">
        <is>
          <t>COMATEL</t>
        </is>
      </c>
      <c r="J192" s="2" t="n">
        <v>43609</v>
      </c>
      <c r="K192" s="2" t="n">
        <v>43630</v>
      </c>
      <c r="L192" s="2" t="n"/>
      <c r="O192" s="7" t="inlineStr">
        <is>
          <t xml:space="preserve">(de 1 à 2 = 41,78) (de 3 à 5 = 36,55) (de 6 à 10 = 35,10) </t>
        </is>
      </c>
      <c r="P192" s="8" t="inlineStr">
        <is>
          <t>2 à 3 SEMAINES</t>
        </is>
      </c>
      <c r="Q192" s="2" t="n">
        <v>43722</v>
      </c>
    </row>
    <row r="193">
      <c r="A193" s="8" t="n">
        <v>34407762</v>
      </c>
      <c r="B193" s="9">
        <f>INDEX(Tableau1[], MATCH(Tableau3[[#This Row],[REFERENCE]], Tableau1[NUMERO], 0), 2)</f>
        <v/>
      </c>
      <c r="C193" s="129">
        <f>INDEX(Tableau1[], MATCH(Tableau3[[#This Row],[REFERENCE]], Tableau1[NUMERO], 0), 3)</f>
        <v/>
      </c>
      <c r="D193" s="129">
        <f>INDEX(Tableau1[], MATCH(Tableau3[[#This Row],[REFERENCE]], Tableau1[NUMERO], 0),4)</f>
        <v/>
      </c>
      <c r="E193" s="129">
        <f>INDEX(Tableau1[], MATCH(Tableau3[[#This Row],[REFERENCE]], Tableau1[NUMERO], 0), 5)</f>
        <v/>
      </c>
      <c r="F193" s="129">
        <f>INDEX(Tableau1[], MATCH(Tableau3[[#This Row],[REFERENCE]], Tableau1[NUMERO], 0), 6)</f>
        <v/>
      </c>
      <c r="G193" s="129">
        <f>INDEX(Tableau1[], MATCH(Tableau3[[#This Row],[REFERENCE]], Tableau1[NUMERO], 0), 7)</f>
        <v/>
      </c>
      <c r="H193" t="inlineStr">
        <is>
          <t>COMATEL</t>
        </is>
      </c>
      <c r="J193" s="2" t="n">
        <v>43609</v>
      </c>
      <c r="K193" s="2" t="n">
        <v>43630</v>
      </c>
      <c r="L193" s="2" t="n"/>
      <c r="O193" s="7" t="inlineStr">
        <is>
          <t xml:space="preserve">(de 1 à 2 = 46,74) (de 3 à 5 = 41,95) (de 6 à 10 = 40,69) </t>
        </is>
      </c>
      <c r="P193" s="8" t="inlineStr">
        <is>
          <t>2 à 3 SEMAINES</t>
        </is>
      </c>
      <c r="Q193" s="2" t="n">
        <v>43722</v>
      </c>
    </row>
    <row r="194">
      <c r="A194" s="8" t="n">
        <v>34407765</v>
      </c>
      <c r="B194" s="9">
        <f>INDEX(Tableau1[], MATCH(Tableau3[[#This Row],[REFERENCE]], Tableau1[NUMERO], 0), 2)</f>
        <v/>
      </c>
      <c r="C194" s="129">
        <f>INDEX(Tableau1[], MATCH(Tableau3[[#This Row],[REFERENCE]], Tableau1[NUMERO], 0), 3)</f>
        <v/>
      </c>
      <c r="D194" s="129">
        <f>INDEX(Tableau1[], MATCH(Tableau3[[#This Row],[REFERENCE]], Tableau1[NUMERO], 0),4)</f>
        <v/>
      </c>
      <c r="E194" s="129">
        <f>INDEX(Tableau1[], MATCH(Tableau3[[#This Row],[REFERENCE]], Tableau1[NUMERO], 0), 5)</f>
        <v/>
      </c>
      <c r="F194" s="129">
        <f>INDEX(Tableau1[], MATCH(Tableau3[[#This Row],[REFERENCE]], Tableau1[NUMERO], 0), 6)</f>
        <v/>
      </c>
      <c r="G194" s="129">
        <f>INDEX(Tableau1[], MATCH(Tableau3[[#This Row],[REFERENCE]], Tableau1[NUMERO], 0), 7)</f>
        <v/>
      </c>
      <c r="H194" t="inlineStr">
        <is>
          <t>LASER TECHNIQUE</t>
        </is>
      </c>
      <c r="J194" s="2" t="n">
        <v>43623</v>
      </c>
      <c r="K194" s="2" t="n">
        <v>43627</v>
      </c>
      <c r="L194" s="2" t="n"/>
      <c r="O194" s="7" t="n">
        <v>75</v>
      </c>
      <c r="P194" s="8" t="inlineStr">
        <is>
          <t>5 JOURS</t>
        </is>
      </c>
      <c r="Q194" s="2" t="n">
        <v>43719</v>
      </c>
    </row>
    <row r="195">
      <c r="A195" s="8" t="n">
        <v>34407766</v>
      </c>
      <c r="B195" s="9">
        <f>INDEX(Tableau1[], MATCH(Tableau3[[#This Row],[REFERENCE]], Tableau1[NUMERO], 0), 2)</f>
        <v/>
      </c>
      <c r="C195" s="129">
        <f>INDEX(Tableau1[], MATCH(Tableau3[[#This Row],[REFERENCE]], Tableau1[NUMERO], 0), 3)</f>
        <v/>
      </c>
      <c r="D195" s="129">
        <f>INDEX(Tableau1[], MATCH(Tableau3[[#This Row],[REFERENCE]], Tableau1[NUMERO], 0),4)</f>
        <v/>
      </c>
      <c r="E195" s="129">
        <f>INDEX(Tableau1[], MATCH(Tableau3[[#This Row],[REFERENCE]], Tableau1[NUMERO], 0), 5)</f>
        <v/>
      </c>
      <c r="F195" s="129">
        <f>INDEX(Tableau1[], MATCH(Tableau3[[#This Row],[REFERENCE]], Tableau1[NUMERO], 0), 6)</f>
        <v/>
      </c>
      <c r="G195" s="129">
        <f>INDEX(Tableau1[], MATCH(Tableau3[[#This Row],[REFERENCE]], Tableau1[NUMERO], 0), 7)</f>
        <v/>
      </c>
      <c r="H195" t="inlineStr">
        <is>
          <t>LASER TECHNIQUE</t>
        </is>
      </c>
      <c r="J195" s="2" t="n">
        <v>43623</v>
      </c>
      <c r="K195" s="2" t="n">
        <v>43627</v>
      </c>
      <c r="L195" s="2" t="n"/>
      <c r="O195" s="7" t="n">
        <v>50</v>
      </c>
      <c r="P195" s="8" t="inlineStr">
        <is>
          <t>5 JOURS</t>
        </is>
      </c>
      <c r="Q195" s="2" t="n">
        <v>43719</v>
      </c>
    </row>
    <row r="196">
      <c r="A196" s="8" t="n">
        <v>34407767</v>
      </c>
      <c r="B196" s="9">
        <f>INDEX(Tableau1[], MATCH(Tableau3[[#This Row],[REFERENCE]], Tableau1[NUMERO], 0), 2)</f>
        <v/>
      </c>
      <c r="C196" s="129">
        <f>INDEX(Tableau1[], MATCH(Tableau3[[#This Row],[REFERENCE]], Tableau1[NUMERO], 0), 3)</f>
        <v/>
      </c>
      <c r="D196" s="129">
        <f>INDEX(Tableau1[], MATCH(Tableau3[[#This Row],[REFERENCE]], Tableau1[NUMERO], 0),4)</f>
        <v/>
      </c>
      <c r="E196" s="129">
        <f>INDEX(Tableau1[], MATCH(Tableau3[[#This Row],[REFERENCE]], Tableau1[NUMERO], 0), 5)</f>
        <v/>
      </c>
      <c r="F196" s="129">
        <f>INDEX(Tableau1[], MATCH(Tableau3[[#This Row],[REFERENCE]], Tableau1[NUMERO], 0), 6)</f>
        <v/>
      </c>
      <c r="G196" s="129">
        <f>INDEX(Tableau1[], MATCH(Tableau3[[#This Row],[REFERENCE]], Tableau1[NUMERO], 0), 7)</f>
        <v/>
      </c>
      <c r="H196" t="inlineStr">
        <is>
          <t>LASER TECHNIQUE</t>
        </is>
      </c>
      <c r="J196" s="2" t="n">
        <v>43623</v>
      </c>
      <c r="K196" s="2" t="n">
        <v>43627</v>
      </c>
      <c r="L196" s="2" t="n"/>
      <c r="O196" s="7" t="n">
        <v>45</v>
      </c>
      <c r="P196" s="8" t="inlineStr">
        <is>
          <t>5 JOURS</t>
        </is>
      </c>
      <c r="Q196" s="2" t="n">
        <v>43719</v>
      </c>
    </row>
    <row r="197">
      <c r="A197" s="8" t="n">
        <v>34407768</v>
      </c>
      <c r="B197" s="9">
        <f>INDEX(Tableau1[], MATCH(Tableau3[[#This Row],[REFERENCE]], Tableau1[NUMERO], 0), 2)</f>
        <v/>
      </c>
      <c r="C197" s="129">
        <f>INDEX(Tableau1[], MATCH(Tableau3[[#This Row],[REFERENCE]], Tableau1[NUMERO], 0), 3)</f>
        <v/>
      </c>
      <c r="D197" s="129">
        <f>INDEX(Tableau1[], MATCH(Tableau3[[#This Row],[REFERENCE]], Tableau1[NUMERO], 0),4)</f>
        <v/>
      </c>
      <c r="E197" s="129">
        <f>INDEX(Tableau1[], MATCH(Tableau3[[#This Row],[REFERENCE]], Tableau1[NUMERO], 0), 5)</f>
        <v/>
      </c>
      <c r="F197" s="129">
        <f>INDEX(Tableau1[], MATCH(Tableau3[[#This Row],[REFERENCE]], Tableau1[NUMERO], 0), 6)</f>
        <v/>
      </c>
      <c r="G197" s="129">
        <f>INDEX(Tableau1[], MATCH(Tableau3[[#This Row],[REFERENCE]], Tableau1[NUMERO], 0), 7)</f>
        <v/>
      </c>
      <c r="H197" t="inlineStr">
        <is>
          <t>LASER TECHNIQUE</t>
        </is>
      </c>
      <c r="J197" s="2" t="n">
        <v>43623</v>
      </c>
      <c r="K197" s="2" t="n">
        <v>43627</v>
      </c>
      <c r="L197" s="2" t="n"/>
      <c r="O197" s="7" t="n">
        <v>42</v>
      </c>
      <c r="P197" s="8" t="inlineStr">
        <is>
          <t>5 JOURS</t>
        </is>
      </c>
      <c r="Q197" s="2" t="n">
        <v>43719</v>
      </c>
    </row>
    <row r="198">
      <c r="A198" s="8" t="n">
        <v>34407769</v>
      </c>
      <c r="B198" s="9">
        <f>INDEX(Tableau1[], MATCH(Tableau3[[#This Row],[REFERENCE]], Tableau1[NUMERO], 0), 2)</f>
        <v/>
      </c>
      <c r="C198" s="129">
        <f>INDEX(Tableau1[], MATCH(Tableau3[[#This Row],[REFERENCE]], Tableau1[NUMERO], 0), 3)</f>
        <v/>
      </c>
      <c r="D198" s="129">
        <f>INDEX(Tableau1[], MATCH(Tableau3[[#This Row],[REFERENCE]], Tableau1[NUMERO], 0),4)</f>
        <v/>
      </c>
      <c r="E198" s="129">
        <f>INDEX(Tableau1[], MATCH(Tableau3[[#This Row],[REFERENCE]], Tableau1[NUMERO], 0), 5)</f>
        <v/>
      </c>
      <c r="F198" s="129">
        <f>INDEX(Tableau1[], MATCH(Tableau3[[#This Row],[REFERENCE]], Tableau1[NUMERO], 0), 6)</f>
        <v/>
      </c>
      <c r="G198" s="129">
        <f>INDEX(Tableau1[], MATCH(Tableau3[[#This Row],[REFERENCE]], Tableau1[NUMERO], 0), 7)</f>
        <v/>
      </c>
      <c r="H198" t="inlineStr">
        <is>
          <t>LASER TECHNIQUE</t>
        </is>
      </c>
      <c r="J198" s="2" t="n">
        <v>43623</v>
      </c>
      <c r="K198" s="2" t="n">
        <v>43627</v>
      </c>
      <c r="L198" s="2" t="n"/>
      <c r="O198" s="7" t="n">
        <v>42</v>
      </c>
      <c r="P198" s="8" t="inlineStr">
        <is>
          <t>5 JOURS</t>
        </is>
      </c>
      <c r="Q198" s="2" t="n">
        <v>43719</v>
      </c>
    </row>
    <row r="199">
      <c r="A199" s="8" t="n">
        <v>34407770</v>
      </c>
      <c r="B199" s="9">
        <f>INDEX(Tableau1[], MATCH(Tableau3[[#This Row],[REFERENCE]], Tableau1[NUMERO], 0), 2)</f>
        <v/>
      </c>
      <c r="C199" s="129">
        <f>INDEX(Tableau1[], MATCH(Tableau3[[#This Row],[REFERENCE]], Tableau1[NUMERO], 0), 3)</f>
        <v/>
      </c>
      <c r="D199" s="129">
        <f>INDEX(Tableau1[], MATCH(Tableau3[[#This Row],[REFERENCE]], Tableau1[NUMERO], 0),4)</f>
        <v/>
      </c>
      <c r="E199" s="129">
        <f>INDEX(Tableau1[], MATCH(Tableau3[[#This Row],[REFERENCE]], Tableau1[NUMERO], 0), 5)</f>
        <v/>
      </c>
      <c r="F199" s="129">
        <f>INDEX(Tableau1[], MATCH(Tableau3[[#This Row],[REFERENCE]], Tableau1[NUMERO], 0), 6)</f>
        <v/>
      </c>
      <c r="G199" s="129">
        <f>INDEX(Tableau1[], MATCH(Tableau3[[#This Row],[REFERENCE]], Tableau1[NUMERO], 0), 7)</f>
        <v/>
      </c>
      <c r="H199" t="inlineStr">
        <is>
          <t>LASER TECHNIQUE</t>
        </is>
      </c>
      <c r="J199" s="2" t="n">
        <v>43623</v>
      </c>
      <c r="K199" s="2" t="n">
        <v>43627</v>
      </c>
      <c r="L199" s="2" t="n"/>
      <c r="O199" s="7" t="n">
        <v>19</v>
      </c>
      <c r="P199" s="8" t="inlineStr">
        <is>
          <t>5 JOURS</t>
        </is>
      </c>
      <c r="Q199" s="2" t="n">
        <v>43719</v>
      </c>
    </row>
    <row r="200">
      <c r="A200" s="8" t="n">
        <v>34407771</v>
      </c>
      <c r="B200" s="9">
        <f>INDEX(Tableau1[], MATCH(Tableau3[[#This Row],[REFERENCE]], Tableau1[NUMERO], 0), 2)</f>
        <v/>
      </c>
      <c r="C200" s="129">
        <f>INDEX(Tableau1[], MATCH(Tableau3[[#This Row],[REFERENCE]], Tableau1[NUMERO], 0), 3)</f>
        <v/>
      </c>
      <c r="D200" s="129">
        <f>INDEX(Tableau1[], MATCH(Tableau3[[#This Row],[REFERENCE]], Tableau1[NUMERO], 0),4)</f>
        <v/>
      </c>
      <c r="E200" s="129">
        <f>INDEX(Tableau1[], MATCH(Tableau3[[#This Row],[REFERENCE]], Tableau1[NUMERO], 0), 5)</f>
        <v/>
      </c>
      <c r="F200" s="129">
        <f>INDEX(Tableau1[], MATCH(Tableau3[[#This Row],[REFERENCE]], Tableau1[NUMERO], 0), 6)</f>
        <v/>
      </c>
      <c r="G200" s="129">
        <f>INDEX(Tableau1[], MATCH(Tableau3[[#This Row],[REFERENCE]], Tableau1[NUMERO], 0), 7)</f>
        <v/>
      </c>
      <c r="H200" t="inlineStr">
        <is>
          <t>LASER TECHNIQUE</t>
        </is>
      </c>
      <c r="J200" s="2" t="n">
        <v>43623</v>
      </c>
      <c r="K200" s="2" t="n">
        <v>43627</v>
      </c>
      <c r="L200" s="2" t="n"/>
      <c r="O200" s="7" t="n">
        <v>19</v>
      </c>
      <c r="P200" s="8" t="inlineStr">
        <is>
          <t>5 JOURS</t>
        </is>
      </c>
      <c r="Q200" s="2" t="n">
        <v>43719</v>
      </c>
    </row>
    <row r="201">
      <c r="A201" s="8" t="n">
        <v>34407772</v>
      </c>
      <c r="B201" s="9">
        <f>INDEX(Tableau1[], MATCH(Tableau3[[#This Row],[REFERENCE]], Tableau1[NUMERO], 0), 2)</f>
        <v/>
      </c>
      <c r="C201" s="129">
        <f>INDEX(Tableau1[], MATCH(Tableau3[[#This Row],[REFERENCE]], Tableau1[NUMERO], 0), 3)</f>
        <v/>
      </c>
      <c r="D201" s="129">
        <f>INDEX(Tableau1[], MATCH(Tableau3[[#This Row],[REFERENCE]], Tableau1[NUMERO], 0),4)</f>
        <v/>
      </c>
      <c r="E201" s="129">
        <f>INDEX(Tableau1[], MATCH(Tableau3[[#This Row],[REFERENCE]], Tableau1[NUMERO], 0), 5)</f>
        <v/>
      </c>
      <c r="F201" s="129">
        <f>INDEX(Tableau1[], MATCH(Tableau3[[#This Row],[REFERENCE]], Tableau1[NUMERO], 0), 6)</f>
        <v/>
      </c>
      <c r="G201" s="129">
        <f>INDEX(Tableau1[], MATCH(Tableau3[[#This Row],[REFERENCE]], Tableau1[NUMERO], 0), 7)</f>
        <v/>
      </c>
      <c r="H201" t="inlineStr">
        <is>
          <t>LASER TECHNIQUE</t>
        </is>
      </c>
      <c r="J201" s="2" t="n">
        <v>43623</v>
      </c>
      <c r="K201" s="2" t="n">
        <v>43627</v>
      </c>
      <c r="L201" s="2" t="n"/>
      <c r="O201" s="7" t="n">
        <v>24</v>
      </c>
      <c r="P201" s="8" t="inlineStr">
        <is>
          <t>5 JOURS</t>
        </is>
      </c>
      <c r="Q201" s="2" t="n">
        <v>43719</v>
      </c>
    </row>
    <row r="202">
      <c r="A202" s="8" t="n">
        <v>34407773</v>
      </c>
      <c r="B202" s="9">
        <f>INDEX(Tableau1[], MATCH(Tableau3[[#This Row],[REFERENCE]], Tableau1[NUMERO], 0), 2)</f>
        <v/>
      </c>
      <c r="C202" s="129">
        <f>INDEX(Tableau1[], MATCH(Tableau3[[#This Row],[REFERENCE]], Tableau1[NUMERO], 0), 3)</f>
        <v/>
      </c>
      <c r="D202" s="129">
        <f>INDEX(Tableau1[], MATCH(Tableau3[[#This Row],[REFERENCE]], Tableau1[NUMERO], 0),4)</f>
        <v/>
      </c>
      <c r="E202" s="129">
        <f>INDEX(Tableau1[], MATCH(Tableau3[[#This Row],[REFERENCE]], Tableau1[NUMERO], 0), 5)</f>
        <v/>
      </c>
      <c r="F202" s="129">
        <f>INDEX(Tableau1[], MATCH(Tableau3[[#This Row],[REFERENCE]], Tableau1[NUMERO], 0), 6)</f>
        <v/>
      </c>
      <c r="G202" s="129">
        <f>INDEX(Tableau1[], MATCH(Tableau3[[#This Row],[REFERENCE]], Tableau1[NUMERO], 0), 7)</f>
        <v/>
      </c>
      <c r="H202" t="inlineStr">
        <is>
          <t>COMATEL</t>
        </is>
      </c>
      <c r="J202" s="2" t="n">
        <v>43622</v>
      </c>
      <c r="K202" s="2" t="n">
        <v>43627</v>
      </c>
      <c r="L202" s="2" t="n"/>
      <c r="O202" s="7" t="inlineStr">
        <is>
          <t>(proto = 32,10)     (de 10 à 24 = 28,81) (de 25 à 49 = 26,89) (de 50 à 99 = 22,86)</t>
        </is>
      </c>
      <c r="P202" s="8" t="inlineStr">
        <is>
          <t>2 semaines</t>
        </is>
      </c>
      <c r="Q202" s="2" t="n">
        <v>43719</v>
      </c>
    </row>
    <row r="203">
      <c r="A203" s="8" t="n">
        <v>34407774</v>
      </c>
      <c r="B203" s="9">
        <f>INDEX(Tableau1[], MATCH(Tableau3[[#This Row],[REFERENCE]], Tableau1[NUMERO], 0), 2)</f>
        <v/>
      </c>
      <c r="C203" s="129">
        <f>INDEX(Tableau1[], MATCH(Tableau3[[#This Row],[REFERENCE]], Tableau1[NUMERO], 0), 3)</f>
        <v/>
      </c>
      <c r="D203" s="129">
        <f>INDEX(Tableau1[], MATCH(Tableau3[[#This Row],[REFERENCE]], Tableau1[NUMERO], 0),4)</f>
        <v/>
      </c>
      <c r="E203" s="129">
        <f>INDEX(Tableau1[], MATCH(Tableau3[[#This Row],[REFERENCE]], Tableau1[NUMERO], 0), 5)</f>
        <v/>
      </c>
      <c r="F203" s="129">
        <f>INDEX(Tableau1[], MATCH(Tableau3[[#This Row],[REFERENCE]], Tableau1[NUMERO], 0), 6)</f>
        <v/>
      </c>
      <c r="G203" s="129">
        <f>INDEX(Tableau1[], MATCH(Tableau3[[#This Row],[REFERENCE]], Tableau1[NUMERO], 0), 7)</f>
        <v/>
      </c>
      <c r="H203" t="inlineStr">
        <is>
          <t>trefimetaux</t>
        </is>
      </c>
      <c r="J203" s="2" t="inlineStr">
        <is>
          <t>19/06/2019  relancé le 20/06 par JP</t>
        </is>
      </c>
      <c r="K203" s="2" t="n"/>
      <c r="L203" s="2" t="n"/>
      <c r="P203" s="8" t="n"/>
      <c r="Q203" s="2" t="n"/>
    </row>
    <row r="204">
      <c r="A204" s="8" t="n">
        <v>34407775</v>
      </c>
      <c r="B204" s="9">
        <f>INDEX(Tableau1[], MATCH(Tableau3[[#This Row],[REFERENCE]], Tableau1[NUMERO], 0), 2)</f>
        <v/>
      </c>
      <c r="C204" s="129">
        <f>INDEX(Tableau1[], MATCH(Tableau3[[#This Row],[REFERENCE]], Tableau1[NUMERO], 0), 3)</f>
        <v/>
      </c>
      <c r="D204" s="129">
        <f>INDEX(Tableau1[], MATCH(Tableau3[[#This Row],[REFERENCE]], Tableau1[NUMERO], 0),4)</f>
        <v/>
      </c>
      <c r="E204" s="129">
        <f>INDEX(Tableau1[], MATCH(Tableau3[[#This Row],[REFERENCE]], Tableau1[NUMERO], 0), 5)</f>
        <v/>
      </c>
      <c r="F204" s="129">
        <f>INDEX(Tableau1[], MATCH(Tableau3[[#This Row],[REFERENCE]], Tableau1[NUMERO], 0), 6)</f>
        <v/>
      </c>
      <c r="G204" s="129">
        <f>INDEX(Tableau1[], MATCH(Tableau3[[#This Row],[REFERENCE]], Tableau1[NUMERO], 0), 7)</f>
        <v/>
      </c>
      <c r="H204" t="inlineStr">
        <is>
          <t>lasertchnic</t>
        </is>
      </c>
      <c r="J204" s="2" t="n">
        <v>43637</v>
      </c>
      <c r="K204" s="2" t="n">
        <v>43637</v>
      </c>
      <c r="L204" s="2" t="n"/>
      <c r="O204" s="7" t="n">
        <v>43</v>
      </c>
      <c r="P204" s="8" t="inlineStr">
        <is>
          <t>5 JOURS</t>
        </is>
      </c>
      <c r="Q204" s="2" t="n">
        <v>43729</v>
      </c>
    </row>
    <row r="205">
      <c r="A205" s="8" t="n">
        <v>34407798</v>
      </c>
      <c r="B205" s="9">
        <f>INDEX(Tableau1[], MATCH(Tableau3[[#This Row],[REFERENCE]], Tableau1[NUMERO], 0), 2)</f>
        <v/>
      </c>
      <c r="C205" s="129">
        <f>INDEX(Tableau1[], MATCH(Tableau3[[#This Row],[REFERENCE]], Tableau1[NUMERO], 0), 3)</f>
        <v/>
      </c>
      <c r="D205" s="129">
        <f>INDEX(Tableau1[], MATCH(Tableau3[[#This Row],[REFERENCE]], Tableau1[NUMERO], 0),4)</f>
        <v/>
      </c>
      <c r="E205" s="129">
        <f>INDEX(Tableau1[], MATCH(Tableau3[[#This Row],[REFERENCE]], Tableau1[NUMERO], 0), 5)</f>
        <v/>
      </c>
      <c r="F205" s="129">
        <f>INDEX(Tableau1[], MATCH(Tableau3[[#This Row],[REFERENCE]], Tableau1[NUMERO], 0), 6)</f>
        <v/>
      </c>
      <c r="G205" s="129">
        <f>INDEX(Tableau1[], MATCH(Tableau3[[#This Row],[REFERENCE]], Tableau1[NUMERO], 0), 7)</f>
        <v/>
      </c>
      <c r="H205" t="inlineStr">
        <is>
          <t>UTP via LOGITRADE</t>
        </is>
      </c>
      <c r="J205" s="2" t="n">
        <v>43664</v>
      </c>
      <c r="K205" s="2" t="n">
        <v>43665</v>
      </c>
      <c r="L205" s="2" t="n"/>
      <c r="O205" s="7" t="n">
        <v>56</v>
      </c>
      <c r="P205" s="8" t="n"/>
      <c r="Q205" s="2" t="n"/>
    </row>
    <row r="206">
      <c r="A206" s="8" t="n">
        <v>34407862</v>
      </c>
      <c r="B206" s="9">
        <f>INDEX(Tableau1[], MATCH(Tableau3[[#This Row],[REFERENCE]], Tableau1[NUMERO], 0), 2)</f>
        <v/>
      </c>
      <c r="C206" s="129">
        <f>INDEX(Tableau1[], MATCH(Tableau3[[#This Row],[REFERENCE]], Tableau1[NUMERO], 0), 3)</f>
        <v/>
      </c>
      <c r="D206" s="129">
        <f>INDEX(Tableau1[], MATCH(Tableau3[[#This Row],[REFERENCE]], Tableau1[NUMERO], 0),4)</f>
        <v/>
      </c>
      <c r="E206" s="129">
        <f>INDEX(Tableau1[], MATCH(Tableau3[[#This Row],[REFERENCE]], Tableau1[NUMERO], 0), 5)</f>
        <v/>
      </c>
      <c r="F206" s="129">
        <f>INDEX(Tableau1[], MATCH(Tableau3[[#This Row],[REFERENCE]], Tableau1[NUMERO], 0), 6)</f>
        <v/>
      </c>
      <c r="G206" s="129">
        <f>INDEX(Tableau1[], MATCH(Tableau3[[#This Row],[REFERENCE]], Tableau1[NUMERO], 0), 7)</f>
        <v/>
      </c>
      <c r="H206" t="inlineStr">
        <is>
          <t>lasertechnic</t>
        </is>
      </c>
      <c r="J206" s="2" t="n">
        <v>43700</v>
      </c>
      <c r="K206" s="2" t="n">
        <v>43726</v>
      </c>
      <c r="L206" s="2" t="n"/>
      <c r="O206" s="7" t="n">
        <v>72</v>
      </c>
      <c r="P206" s="8" t="inlineStr">
        <is>
          <t>5 JOURS</t>
        </is>
      </c>
      <c r="Q206" s="2" t="n">
        <v>43817</v>
      </c>
    </row>
    <row r="207">
      <c r="A207" s="8" t="n">
        <v>34407864</v>
      </c>
      <c r="B207" s="9">
        <f>INDEX(Tableau1[], MATCH(Tableau3[[#This Row],[REFERENCE]], Tableau1[NUMERO], 0), 2)</f>
        <v/>
      </c>
      <c r="C207" s="129">
        <f>INDEX(Tableau1[], MATCH(Tableau3[[#This Row],[REFERENCE]], Tableau1[NUMERO], 0), 3)</f>
        <v/>
      </c>
      <c r="D207" s="129">
        <f>INDEX(Tableau1[], MATCH(Tableau3[[#This Row],[REFERENCE]], Tableau1[NUMERO], 0),4)</f>
        <v/>
      </c>
      <c r="E207" s="129">
        <f>INDEX(Tableau1[], MATCH(Tableau3[[#This Row],[REFERENCE]], Tableau1[NUMERO], 0), 5)</f>
        <v/>
      </c>
      <c r="F207" s="129">
        <f>INDEX(Tableau1[], MATCH(Tableau3[[#This Row],[REFERENCE]], Tableau1[NUMERO], 0), 6)</f>
        <v/>
      </c>
      <c r="G207" s="129">
        <f>INDEX(Tableau1[], MATCH(Tableau3[[#This Row],[REFERENCE]], Tableau1[NUMERO], 0), 7)</f>
        <v/>
      </c>
      <c r="H207" t="inlineStr">
        <is>
          <t>lasertechnic</t>
        </is>
      </c>
      <c r="J207" s="2" t="n">
        <v>43700</v>
      </c>
      <c r="K207" s="2" t="n">
        <v>43726</v>
      </c>
      <c r="L207" s="2" t="n"/>
      <c r="O207" s="7" t="n">
        <v>28</v>
      </c>
      <c r="P207" s="8" t="inlineStr">
        <is>
          <t>5 JOURS</t>
        </is>
      </c>
      <c r="Q207" s="2" t="n">
        <v>43817</v>
      </c>
    </row>
    <row r="208">
      <c r="A208" s="8" t="n">
        <v>34407868</v>
      </c>
      <c r="B208" s="9">
        <f>INDEX(Tableau1[], MATCH(Tableau3[[#This Row],[REFERENCE]], Tableau1[NUMERO], 0), 2)</f>
        <v/>
      </c>
      <c r="C208" s="129">
        <f>INDEX(Tableau1[], MATCH(Tableau3[[#This Row],[REFERENCE]], Tableau1[NUMERO], 0), 3)</f>
        <v/>
      </c>
      <c r="D208" s="129">
        <f>INDEX(Tableau1[], MATCH(Tableau3[[#This Row],[REFERENCE]], Tableau1[NUMERO], 0),4)</f>
        <v/>
      </c>
      <c r="E208" s="129">
        <f>INDEX(Tableau1[], MATCH(Tableau3[[#This Row],[REFERENCE]], Tableau1[NUMERO], 0), 5)</f>
        <v/>
      </c>
      <c r="F208" s="129">
        <f>INDEX(Tableau1[], MATCH(Tableau3[[#This Row],[REFERENCE]], Tableau1[NUMERO], 0), 6)</f>
        <v/>
      </c>
      <c r="G208" s="129">
        <f>INDEX(Tableau1[], MATCH(Tableau3[[#This Row],[REFERENCE]], Tableau1[NUMERO], 0), 7)</f>
        <v/>
      </c>
      <c r="H208" t="inlineStr">
        <is>
          <t>lasertechnic</t>
        </is>
      </c>
      <c r="J208" s="2" t="n">
        <v>43700</v>
      </c>
      <c r="K208" s="2" t="n">
        <v>43726</v>
      </c>
      <c r="L208" s="2" t="n"/>
      <c r="O208" s="7" t="n">
        <v>62</v>
      </c>
      <c r="P208" s="8" t="inlineStr">
        <is>
          <t>5 JOURS</t>
        </is>
      </c>
      <c r="Q208" s="2" t="n">
        <v>43817</v>
      </c>
    </row>
    <row r="209">
      <c r="A209" s="8" t="n">
        <v>34407872</v>
      </c>
      <c r="B209" s="9">
        <f>INDEX(Tableau1[], MATCH(Tableau3[[#This Row],[REFERENCE]], Tableau1[NUMERO], 0), 2)</f>
        <v/>
      </c>
      <c r="C209" s="129">
        <f>INDEX(Tableau1[], MATCH(Tableau3[[#This Row],[REFERENCE]], Tableau1[NUMERO], 0), 3)</f>
        <v/>
      </c>
      <c r="D209" s="129">
        <f>INDEX(Tableau1[], MATCH(Tableau3[[#This Row],[REFERENCE]], Tableau1[NUMERO], 0),4)</f>
        <v/>
      </c>
      <c r="E209" s="129">
        <f>INDEX(Tableau1[], MATCH(Tableau3[[#This Row],[REFERENCE]], Tableau1[NUMERO], 0), 5)</f>
        <v/>
      </c>
      <c r="F209" s="129">
        <f>INDEX(Tableau1[], MATCH(Tableau3[[#This Row],[REFERENCE]], Tableau1[NUMERO], 0), 6)</f>
        <v/>
      </c>
      <c r="G209" s="129">
        <f>INDEX(Tableau1[], MATCH(Tableau3[[#This Row],[REFERENCE]], Tableau1[NUMERO], 0), 7)</f>
        <v/>
      </c>
      <c r="H209" t="inlineStr">
        <is>
          <t>lasertechnic</t>
        </is>
      </c>
      <c r="J209" s="2" t="n">
        <v>43700</v>
      </c>
      <c r="K209" s="2" t="n">
        <v>43726</v>
      </c>
      <c r="L209" s="2" t="n"/>
      <c r="O209" s="7" t="n">
        <v>50</v>
      </c>
      <c r="P209" s="8" t="inlineStr">
        <is>
          <t>5 JOURS</t>
        </is>
      </c>
      <c r="Q209" s="2" t="n">
        <v>43817</v>
      </c>
    </row>
    <row r="210">
      <c r="A210" s="8" t="n">
        <v>34407873</v>
      </c>
      <c r="B210" s="9">
        <f>INDEX(Tableau1[], MATCH(Tableau3[[#This Row],[REFERENCE]], Tableau1[NUMERO], 0), 2)</f>
        <v/>
      </c>
      <c r="C210" s="129">
        <f>INDEX(Tableau1[], MATCH(Tableau3[[#This Row],[REFERENCE]], Tableau1[NUMERO], 0), 3)</f>
        <v/>
      </c>
      <c r="D210" s="129">
        <f>INDEX(Tableau1[], MATCH(Tableau3[[#This Row],[REFERENCE]], Tableau1[NUMERO], 0),4)</f>
        <v/>
      </c>
      <c r="E210" s="129">
        <f>INDEX(Tableau1[], MATCH(Tableau3[[#This Row],[REFERENCE]], Tableau1[NUMERO], 0), 5)</f>
        <v/>
      </c>
      <c r="F210" s="129">
        <f>INDEX(Tableau1[], MATCH(Tableau3[[#This Row],[REFERENCE]], Tableau1[NUMERO], 0), 6)</f>
        <v/>
      </c>
      <c r="G210" s="129">
        <f>INDEX(Tableau1[], MATCH(Tableau3[[#This Row],[REFERENCE]], Tableau1[NUMERO], 0), 7)</f>
        <v/>
      </c>
      <c r="H210" t="inlineStr">
        <is>
          <t>lasertechnic</t>
        </is>
      </c>
      <c r="J210" s="2" t="n">
        <v>43700</v>
      </c>
      <c r="K210" s="2" t="n">
        <v>43726</v>
      </c>
      <c r="L210" s="2" t="n"/>
      <c r="O210" s="7" t="n">
        <v>38</v>
      </c>
      <c r="P210" s="8" t="inlineStr">
        <is>
          <t>5 JOURS</t>
        </is>
      </c>
      <c r="Q210" s="2" t="n">
        <v>43817</v>
      </c>
    </row>
    <row r="211">
      <c r="A211" s="8" t="n">
        <v>34407898</v>
      </c>
      <c r="B211" s="9">
        <f>INDEX(Tableau1[], MATCH(Tableau3[[#This Row],[REFERENCE]], Tableau1[NUMERO], 0), 2)</f>
        <v/>
      </c>
      <c r="C211" s="129">
        <f>INDEX(Tableau1[], MATCH(Tableau3[[#This Row],[REFERENCE]], Tableau1[NUMERO], 0), 3)</f>
        <v/>
      </c>
      <c r="D211" s="129">
        <f>INDEX(Tableau1[], MATCH(Tableau3[[#This Row],[REFERENCE]], Tableau1[NUMERO], 0),4)</f>
        <v/>
      </c>
      <c r="E211" s="129">
        <f>INDEX(Tableau1[], MATCH(Tableau3[[#This Row],[REFERENCE]], Tableau1[NUMERO], 0), 5)</f>
        <v/>
      </c>
      <c r="F211" s="129">
        <f>INDEX(Tableau1[], MATCH(Tableau3[[#This Row],[REFERENCE]], Tableau1[NUMERO], 0), 6)</f>
        <v/>
      </c>
      <c r="G211" s="129">
        <f>INDEX(Tableau1[], MATCH(Tableau3[[#This Row],[REFERENCE]], Tableau1[NUMERO], 0), 7)</f>
        <v/>
      </c>
      <c r="H211" t="inlineStr">
        <is>
          <t>trefimetaux</t>
        </is>
      </c>
      <c r="J211" s="2" t="n">
        <v>43720</v>
      </c>
      <c r="K211" s="2" t="inlineStr">
        <is>
          <t>non</t>
        </is>
      </c>
      <c r="L211" s="2" t="n"/>
      <c r="P211" s="8" t="n"/>
      <c r="Q211" s="2" t="n"/>
    </row>
    <row r="212">
      <c r="A212" s="8" t="n">
        <v>34407898</v>
      </c>
      <c r="B212" s="9">
        <f>INDEX(Tableau1[], MATCH(Tableau3[[#This Row],[REFERENCE]], Tableau1[NUMERO], 0), 2)</f>
        <v/>
      </c>
      <c r="C212" s="129">
        <f>INDEX(Tableau1[], MATCH(Tableau3[[#This Row],[REFERENCE]], Tableau1[NUMERO], 0), 3)</f>
        <v/>
      </c>
      <c r="D212" s="129">
        <f>INDEX(Tableau1[], MATCH(Tableau3[[#This Row],[REFERENCE]], Tableau1[NUMERO], 0),4)</f>
        <v/>
      </c>
      <c r="E212" s="129">
        <f>INDEX(Tableau1[], MATCH(Tableau3[[#This Row],[REFERENCE]], Tableau1[NUMERO], 0), 5)</f>
        <v/>
      </c>
      <c r="F212" s="129">
        <f>INDEX(Tableau1[], MATCH(Tableau3[[#This Row],[REFERENCE]], Tableau1[NUMERO], 0), 6)</f>
        <v/>
      </c>
      <c r="G212" s="129">
        <f>INDEX(Tableau1[], MATCH(Tableau3[[#This Row],[REFERENCE]], Tableau1[NUMERO], 0), 7)</f>
        <v/>
      </c>
      <c r="H212" t="inlineStr">
        <is>
          <t>thyssen</t>
        </is>
      </c>
      <c r="J212" s="2" t="n">
        <v>43720</v>
      </c>
      <c r="K212" s="2" t="n">
        <v>43721</v>
      </c>
      <c r="L212" s="2" t="n"/>
      <c r="O212" s="7" t="n">
        <v>56.8</v>
      </c>
      <c r="P212" s="8" t="inlineStr">
        <is>
          <t xml:space="preserve"> 3 semaines</t>
        </is>
      </c>
      <c r="Q212" s="2" t="n"/>
    </row>
    <row r="213">
      <c r="A213" s="8" t="n">
        <v>34407899</v>
      </c>
      <c r="B213" s="9">
        <f>INDEX(Tableau1[], MATCH(Tableau3[[#This Row],[REFERENCE]], Tableau1[NUMERO], 0), 2)</f>
        <v/>
      </c>
      <c r="C213" s="129">
        <f>INDEX(Tableau1[], MATCH(Tableau3[[#This Row],[REFERENCE]], Tableau1[NUMERO], 0), 3)</f>
        <v/>
      </c>
      <c r="D213" s="129">
        <f>INDEX(Tableau1[], MATCH(Tableau3[[#This Row],[REFERENCE]], Tableau1[NUMERO], 0),4)</f>
        <v/>
      </c>
      <c r="E213" s="129">
        <f>INDEX(Tableau1[], MATCH(Tableau3[[#This Row],[REFERENCE]], Tableau1[NUMERO], 0), 5)</f>
        <v/>
      </c>
      <c r="F213" s="129">
        <f>INDEX(Tableau1[], MATCH(Tableau3[[#This Row],[REFERENCE]], Tableau1[NUMERO], 0), 6)</f>
        <v/>
      </c>
      <c r="G213" s="129">
        <f>INDEX(Tableau1[], MATCH(Tableau3[[#This Row],[REFERENCE]], Tableau1[NUMERO], 0), 7)</f>
        <v/>
      </c>
      <c r="H213" t="inlineStr">
        <is>
          <t>trefimetaux</t>
        </is>
      </c>
      <c r="J213" s="2" t="n">
        <v>43720</v>
      </c>
      <c r="K213" s="2" t="inlineStr">
        <is>
          <t>NON</t>
        </is>
      </c>
      <c r="L213" s="2" t="n"/>
      <c r="P213" s="8" t="n"/>
      <c r="Q213" s="2" t="n"/>
    </row>
    <row r="214">
      <c r="A214" s="8" t="n">
        <v>34407899</v>
      </c>
      <c r="B214" s="9">
        <f>INDEX(Tableau1[], MATCH(Tableau3[[#This Row],[REFERENCE]], Tableau1[NUMERO], 0), 2)</f>
        <v/>
      </c>
      <c r="C214" s="129">
        <f>INDEX(Tableau1[], MATCH(Tableau3[[#This Row],[REFERENCE]], Tableau1[NUMERO], 0), 3)</f>
        <v/>
      </c>
      <c r="D214" s="129">
        <f>INDEX(Tableau1[], MATCH(Tableau3[[#This Row],[REFERENCE]], Tableau1[NUMERO], 0),4)</f>
        <v/>
      </c>
      <c r="E214" s="129">
        <f>INDEX(Tableau1[], MATCH(Tableau3[[#This Row],[REFERENCE]], Tableau1[NUMERO], 0), 5)</f>
        <v/>
      </c>
      <c r="F214" s="129">
        <f>INDEX(Tableau1[], MATCH(Tableau3[[#This Row],[REFERENCE]], Tableau1[NUMERO], 0), 6)</f>
        <v/>
      </c>
      <c r="G214" s="129">
        <f>INDEX(Tableau1[], MATCH(Tableau3[[#This Row],[REFERENCE]], Tableau1[NUMERO], 0), 7)</f>
        <v/>
      </c>
      <c r="H214" t="inlineStr">
        <is>
          <t>thyssen</t>
        </is>
      </c>
      <c r="J214" s="2" t="n">
        <v>43720</v>
      </c>
      <c r="K214" s="2" t="n">
        <v>43721</v>
      </c>
      <c r="L214" s="2" t="n"/>
      <c r="O214" s="7" t="n">
        <v>15.7</v>
      </c>
      <c r="P214" s="8" t="inlineStr">
        <is>
          <t xml:space="preserve"> 3 semaines</t>
        </is>
      </c>
      <c r="Q214" s="2" t="n"/>
    </row>
    <row r="215">
      <c r="A215" s="8" t="n">
        <v>34407900</v>
      </c>
      <c r="B215" s="9">
        <f>INDEX(Tableau1[], MATCH(Tableau3[[#This Row],[REFERENCE]], Tableau1[NUMERO], 0), 2)</f>
        <v/>
      </c>
      <c r="C215" s="129">
        <f>INDEX(Tableau1[], MATCH(Tableau3[[#This Row],[REFERENCE]], Tableau1[NUMERO], 0), 3)</f>
        <v/>
      </c>
      <c r="D215" s="129">
        <f>INDEX(Tableau1[], MATCH(Tableau3[[#This Row],[REFERENCE]], Tableau1[NUMERO], 0),4)</f>
        <v/>
      </c>
      <c r="E215" s="129">
        <f>INDEX(Tableau1[], MATCH(Tableau3[[#This Row],[REFERENCE]], Tableau1[NUMERO], 0), 5)</f>
        <v/>
      </c>
      <c r="F215" s="129">
        <f>INDEX(Tableau1[], MATCH(Tableau3[[#This Row],[REFERENCE]], Tableau1[NUMERO], 0), 6)</f>
        <v/>
      </c>
      <c r="G215" s="129">
        <f>INDEX(Tableau1[], MATCH(Tableau3[[#This Row],[REFERENCE]], Tableau1[NUMERO], 0), 7)</f>
        <v/>
      </c>
      <c r="H215" t="inlineStr">
        <is>
          <t>trefimetaux</t>
        </is>
      </c>
      <c r="J215" s="2" t="n">
        <v>43720</v>
      </c>
      <c r="K215" s="2" t="inlineStr">
        <is>
          <t>NON</t>
        </is>
      </c>
      <c r="L215" s="2" t="n"/>
      <c r="P215" s="8" t="n"/>
      <c r="Q215" s="2" t="n"/>
    </row>
    <row r="216">
      <c r="A216" s="8" t="n">
        <v>34407900</v>
      </c>
      <c r="B216" s="9">
        <f>INDEX(Tableau1[], MATCH(Tableau3[[#This Row],[REFERENCE]], Tableau1[NUMERO], 0), 2)</f>
        <v/>
      </c>
      <c r="C216" s="129">
        <f>INDEX(Tableau1[], MATCH(Tableau3[[#This Row],[REFERENCE]], Tableau1[NUMERO], 0), 3)</f>
        <v/>
      </c>
      <c r="D216" s="129">
        <f>INDEX(Tableau1[], MATCH(Tableau3[[#This Row],[REFERENCE]], Tableau1[NUMERO], 0),4)</f>
        <v/>
      </c>
      <c r="E216" s="129">
        <f>INDEX(Tableau1[], MATCH(Tableau3[[#This Row],[REFERENCE]], Tableau1[NUMERO], 0), 5)</f>
        <v/>
      </c>
      <c r="F216" s="129">
        <f>INDEX(Tableau1[], MATCH(Tableau3[[#This Row],[REFERENCE]], Tableau1[NUMERO], 0), 6)</f>
        <v/>
      </c>
      <c r="G216" s="129">
        <f>INDEX(Tableau1[], MATCH(Tableau3[[#This Row],[REFERENCE]], Tableau1[NUMERO], 0), 7)</f>
        <v/>
      </c>
      <c r="H216" t="inlineStr">
        <is>
          <t>thyssen</t>
        </is>
      </c>
      <c r="J216" s="2" t="n">
        <v>43720</v>
      </c>
      <c r="K216" s="2" t="n">
        <v>43721</v>
      </c>
      <c r="L216" s="2" t="n"/>
      <c r="O216" s="7" t="n">
        <v>32.9</v>
      </c>
      <c r="P216" s="8" t="inlineStr">
        <is>
          <t xml:space="preserve"> 3 semaines</t>
        </is>
      </c>
      <c r="Q216" s="2" t="n"/>
    </row>
    <row r="217">
      <c r="A217" s="8" t="n">
        <v>34407901</v>
      </c>
      <c r="B217" s="9">
        <f>INDEX(Tableau1[], MATCH(Tableau3[[#This Row],[REFERENCE]], Tableau1[NUMERO], 0), 2)</f>
        <v/>
      </c>
      <c r="C217" s="129">
        <f>INDEX(Tableau1[], MATCH(Tableau3[[#This Row],[REFERENCE]], Tableau1[NUMERO], 0), 3)</f>
        <v/>
      </c>
      <c r="D217" s="129">
        <f>INDEX(Tableau1[], MATCH(Tableau3[[#This Row],[REFERENCE]], Tableau1[NUMERO], 0),4)</f>
        <v/>
      </c>
      <c r="E217" s="129">
        <f>INDEX(Tableau1[], MATCH(Tableau3[[#This Row],[REFERENCE]], Tableau1[NUMERO], 0), 5)</f>
        <v/>
      </c>
      <c r="F217" s="129">
        <f>INDEX(Tableau1[], MATCH(Tableau3[[#This Row],[REFERENCE]], Tableau1[NUMERO], 0), 6)</f>
        <v/>
      </c>
      <c r="G217" s="129">
        <f>INDEX(Tableau1[], MATCH(Tableau3[[#This Row],[REFERENCE]], Tableau1[NUMERO], 0), 7)</f>
        <v/>
      </c>
      <c r="H217" t="inlineStr">
        <is>
          <t>trefimetaux</t>
        </is>
      </c>
      <c r="J217" s="2" t="n">
        <v>43720</v>
      </c>
      <c r="K217" s="2" t="inlineStr">
        <is>
          <t>NON</t>
        </is>
      </c>
      <c r="L217" s="2" t="n"/>
      <c r="P217" s="8" t="n"/>
      <c r="Q217" s="2" t="n"/>
    </row>
    <row r="218">
      <c r="A218" s="8" t="n">
        <v>34407901</v>
      </c>
      <c r="B218" s="9">
        <f>INDEX(Tableau1[], MATCH(Tableau3[[#This Row],[REFERENCE]], Tableau1[NUMERO], 0), 2)</f>
        <v/>
      </c>
      <c r="C218" s="129">
        <f>INDEX(Tableau1[], MATCH(Tableau3[[#This Row],[REFERENCE]], Tableau1[NUMERO], 0), 3)</f>
        <v/>
      </c>
      <c r="D218" s="129">
        <f>INDEX(Tableau1[], MATCH(Tableau3[[#This Row],[REFERENCE]], Tableau1[NUMERO], 0),4)</f>
        <v/>
      </c>
      <c r="E218" s="129">
        <f>INDEX(Tableau1[], MATCH(Tableau3[[#This Row],[REFERENCE]], Tableau1[NUMERO], 0), 5)</f>
        <v/>
      </c>
      <c r="F218" s="129">
        <f>INDEX(Tableau1[], MATCH(Tableau3[[#This Row],[REFERENCE]], Tableau1[NUMERO], 0), 6)</f>
        <v/>
      </c>
      <c r="G218" s="129">
        <f>INDEX(Tableau1[], MATCH(Tableau3[[#This Row],[REFERENCE]], Tableau1[NUMERO], 0), 7)</f>
        <v/>
      </c>
      <c r="H218" t="inlineStr">
        <is>
          <t>thyssen</t>
        </is>
      </c>
      <c r="J218" s="2" t="n">
        <v>43720</v>
      </c>
      <c r="K218" s="2" t="n">
        <v>43721</v>
      </c>
      <c r="L218" s="2" t="n"/>
      <c r="O218" s="7" t="n">
        <v>34.8</v>
      </c>
      <c r="P218" s="8" t="inlineStr">
        <is>
          <t xml:space="preserve"> 3 semaines</t>
        </is>
      </c>
      <c r="Q218" s="2" t="n"/>
    </row>
    <row r="219">
      <c r="A219" s="8" t="n">
        <v>34407902</v>
      </c>
      <c r="B219" s="9">
        <f>INDEX(Tableau1[], MATCH(Tableau3[[#This Row],[REFERENCE]], Tableau1[NUMERO], 0), 2)</f>
        <v/>
      </c>
      <c r="C219" s="129">
        <f>INDEX(Tableau1[], MATCH(Tableau3[[#This Row],[REFERENCE]], Tableau1[NUMERO], 0), 3)</f>
        <v/>
      </c>
      <c r="D219" s="129">
        <f>INDEX(Tableau1[], MATCH(Tableau3[[#This Row],[REFERENCE]], Tableau1[NUMERO], 0),4)</f>
        <v/>
      </c>
      <c r="E219" s="129">
        <f>INDEX(Tableau1[], MATCH(Tableau3[[#This Row],[REFERENCE]], Tableau1[NUMERO], 0), 5)</f>
        <v/>
      </c>
      <c r="F219" s="129">
        <f>INDEX(Tableau1[], MATCH(Tableau3[[#This Row],[REFERENCE]], Tableau1[NUMERO], 0), 6)</f>
        <v/>
      </c>
      <c r="G219" s="129">
        <f>INDEX(Tableau1[], MATCH(Tableau3[[#This Row],[REFERENCE]], Tableau1[NUMERO], 0), 7)</f>
        <v/>
      </c>
      <c r="H219" t="inlineStr">
        <is>
          <t>trefimetaux</t>
        </is>
      </c>
      <c r="J219" s="2" t="n">
        <v>43720</v>
      </c>
      <c r="K219" s="2" t="inlineStr">
        <is>
          <t>non</t>
        </is>
      </c>
      <c r="L219" s="2" t="n"/>
      <c r="P219" s="8" t="n"/>
      <c r="Q219" s="2" t="n"/>
    </row>
    <row r="220">
      <c r="A220" s="8" t="n">
        <v>34407902</v>
      </c>
      <c r="B220" s="9">
        <f>INDEX(Tableau1[], MATCH(Tableau3[[#This Row],[REFERENCE]], Tableau1[NUMERO], 0), 2)</f>
        <v/>
      </c>
      <c r="C220" s="129">
        <f>INDEX(Tableau1[], MATCH(Tableau3[[#This Row],[REFERENCE]], Tableau1[NUMERO], 0), 3)</f>
        <v/>
      </c>
      <c r="D220" s="129">
        <f>INDEX(Tableau1[], MATCH(Tableau3[[#This Row],[REFERENCE]], Tableau1[NUMERO], 0),4)</f>
        <v/>
      </c>
      <c r="E220" s="129">
        <f>INDEX(Tableau1[], MATCH(Tableau3[[#This Row],[REFERENCE]], Tableau1[NUMERO], 0), 5)</f>
        <v/>
      </c>
      <c r="F220" s="129">
        <f>INDEX(Tableau1[], MATCH(Tableau3[[#This Row],[REFERENCE]], Tableau1[NUMERO], 0), 6)</f>
        <v/>
      </c>
      <c r="G220" s="129">
        <f>INDEX(Tableau1[], MATCH(Tableau3[[#This Row],[REFERENCE]], Tableau1[NUMERO], 0), 7)</f>
        <v/>
      </c>
      <c r="H220" t="inlineStr">
        <is>
          <t>thyssen</t>
        </is>
      </c>
      <c r="J220" s="2" t="n">
        <v>43720</v>
      </c>
      <c r="K220" s="2" t="n">
        <v>43721</v>
      </c>
      <c r="L220" s="2" t="n"/>
      <c r="O220" s="7" t="n">
        <v>97.90000000000001</v>
      </c>
      <c r="P220" s="8" t="inlineStr">
        <is>
          <t xml:space="preserve"> 3 semaines</t>
        </is>
      </c>
      <c r="Q220" s="2" t="n"/>
    </row>
    <row r="221">
      <c r="A221" s="8" t="n">
        <v>34407903</v>
      </c>
      <c r="B221" s="9">
        <f>INDEX(Tableau1[], MATCH(Tableau3[[#This Row],[REFERENCE]], Tableau1[NUMERO], 0), 2)</f>
        <v/>
      </c>
      <c r="C221" s="129">
        <f>INDEX(Tableau1[], MATCH(Tableau3[[#This Row],[REFERENCE]], Tableau1[NUMERO], 0), 3)</f>
        <v/>
      </c>
      <c r="D221" s="129">
        <f>INDEX(Tableau1[], MATCH(Tableau3[[#This Row],[REFERENCE]], Tableau1[NUMERO], 0),4)</f>
        <v/>
      </c>
      <c r="E221" s="129">
        <f>INDEX(Tableau1[], MATCH(Tableau3[[#This Row],[REFERENCE]], Tableau1[NUMERO], 0), 5)</f>
        <v/>
      </c>
      <c r="F221" s="129">
        <f>INDEX(Tableau1[], MATCH(Tableau3[[#This Row],[REFERENCE]], Tableau1[NUMERO], 0), 6)</f>
        <v/>
      </c>
      <c r="G221" s="129">
        <f>INDEX(Tableau1[], MATCH(Tableau3[[#This Row],[REFERENCE]], Tableau1[NUMERO], 0), 7)</f>
        <v/>
      </c>
      <c r="H221" t="inlineStr">
        <is>
          <t>lasertechnic</t>
        </is>
      </c>
      <c r="J221" s="2" t="n">
        <v>43720</v>
      </c>
      <c r="K221" s="2" t="n">
        <v>43727</v>
      </c>
      <c r="L221" s="2" t="n"/>
      <c r="O221" s="7" t="n">
        <v>12</v>
      </c>
      <c r="P221" s="8" t="inlineStr">
        <is>
          <t>5 JOURS</t>
        </is>
      </c>
      <c r="Q221" s="2" t="n">
        <v>43818</v>
      </c>
    </row>
    <row r="222">
      <c r="A222" s="8" t="n">
        <v>34407904</v>
      </c>
      <c r="B222" s="9">
        <f>INDEX(Tableau1[], MATCH(Tableau3[[#This Row],[REFERENCE]], Tableau1[NUMERO], 0), 2)</f>
        <v/>
      </c>
      <c r="C222" s="129">
        <f>INDEX(Tableau1[], MATCH(Tableau3[[#This Row],[REFERENCE]], Tableau1[NUMERO], 0), 3)</f>
        <v/>
      </c>
      <c r="D222" s="129">
        <f>INDEX(Tableau1[], MATCH(Tableau3[[#This Row],[REFERENCE]], Tableau1[NUMERO], 0),4)</f>
        <v/>
      </c>
      <c r="E222" s="129">
        <f>INDEX(Tableau1[], MATCH(Tableau3[[#This Row],[REFERENCE]], Tableau1[NUMERO], 0), 5)</f>
        <v/>
      </c>
      <c r="F222" s="129">
        <f>INDEX(Tableau1[], MATCH(Tableau3[[#This Row],[REFERENCE]], Tableau1[NUMERO], 0), 6)</f>
        <v/>
      </c>
      <c r="G222" s="129">
        <f>INDEX(Tableau1[], MATCH(Tableau3[[#This Row],[REFERENCE]], Tableau1[NUMERO], 0), 7)</f>
        <v/>
      </c>
      <c r="H222" t="inlineStr">
        <is>
          <t>trefimetaux</t>
        </is>
      </c>
      <c r="J222" s="2" t="n">
        <v>43720</v>
      </c>
      <c r="K222" s="2" t="inlineStr">
        <is>
          <t>non</t>
        </is>
      </c>
      <c r="L222" s="2" t="n"/>
      <c r="P222" s="8" t="n"/>
      <c r="Q222" s="2" t="n"/>
    </row>
    <row r="223">
      <c r="A223" s="8" t="n">
        <v>34407904</v>
      </c>
      <c r="B223" s="9">
        <f>INDEX(Tableau1[], MATCH(Tableau3[[#This Row],[REFERENCE]], Tableau1[NUMERO], 0), 2)</f>
        <v/>
      </c>
      <c r="C223" s="129">
        <f>INDEX(Tableau1[], MATCH(Tableau3[[#This Row],[REFERENCE]], Tableau1[NUMERO], 0), 3)</f>
        <v/>
      </c>
      <c r="D223" s="129">
        <f>INDEX(Tableau1[], MATCH(Tableau3[[#This Row],[REFERENCE]], Tableau1[NUMERO], 0),4)</f>
        <v/>
      </c>
      <c r="E223" s="129">
        <f>INDEX(Tableau1[], MATCH(Tableau3[[#This Row],[REFERENCE]], Tableau1[NUMERO], 0), 5)</f>
        <v/>
      </c>
      <c r="F223" s="129">
        <f>INDEX(Tableau1[], MATCH(Tableau3[[#This Row],[REFERENCE]], Tableau1[NUMERO], 0), 6)</f>
        <v/>
      </c>
      <c r="G223" s="129">
        <f>INDEX(Tableau1[], MATCH(Tableau3[[#This Row],[REFERENCE]], Tableau1[NUMERO], 0), 7)</f>
        <v/>
      </c>
      <c r="H223" t="inlineStr">
        <is>
          <t>thyssen</t>
        </is>
      </c>
      <c r="J223" s="2" t="n">
        <v>43720</v>
      </c>
      <c r="K223" s="2" t="n">
        <v>43721</v>
      </c>
      <c r="L223" s="2" t="n"/>
      <c r="O223" s="7" t="n">
        <v>108.5</v>
      </c>
      <c r="P223" s="8" t="inlineStr">
        <is>
          <t xml:space="preserve"> 3 semaines</t>
        </is>
      </c>
      <c r="Q223" s="2" t="n"/>
    </row>
    <row r="224">
      <c r="A224" s="8" t="n">
        <v>34407907</v>
      </c>
      <c r="B224" s="9">
        <f>INDEX(Tableau1[], MATCH(Tableau3[[#This Row],[REFERENCE]], Tableau1[NUMERO], 0), 2)</f>
        <v/>
      </c>
      <c r="C224" s="129">
        <f>INDEX(Tableau1[], MATCH(Tableau3[[#This Row],[REFERENCE]], Tableau1[NUMERO], 0), 3)</f>
        <v/>
      </c>
      <c r="D224" s="129">
        <f>INDEX(Tableau1[], MATCH(Tableau3[[#This Row],[REFERENCE]], Tableau1[NUMERO], 0),4)</f>
        <v/>
      </c>
      <c r="E224" s="129">
        <f>INDEX(Tableau1[], MATCH(Tableau3[[#This Row],[REFERENCE]], Tableau1[NUMERO], 0), 5)</f>
        <v/>
      </c>
      <c r="F224" s="129">
        <f>INDEX(Tableau1[], MATCH(Tableau3[[#This Row],[REFERENCE]], Tableau1[NUMERO], 0), 6)</f>
        <v/>
      </c>
      <c r="G224" s="129">
        <f>INDEX(Tableau1[], MATCH(Tableau3[[#This Row],[REFERENCE]], Tableau1[NUMERO], 0), 7)</f>
        <v/>
      </c>
      <c r="H224" t="inlineStr">
        <is>
          <t>lasertechnic</t>
        </is>
      </c>
      <c r="J224" s="2" t="n">
        <v>43781</v>
      </c>
      <c r="K224" s="2" t="n">
        <v>43782</v>
      </c>
      <c r="L224" s="2" t="n"/>
      <c r="O224" s="7" t="n">
        <v>70</v>
      </c>
      <c r="P224" s="8" t="inlineStr">
        <is>
          <t>5 jours</t>
        </is>
      </c>
      <c r="Q224" s="2" t="n">
        <v>43874</v>
      </c>
    </row>
    <row r="225">
      <c r="A225" s="8" t="n">
        <v>34407908</v>
      </c>
      <c r="B225" s="9">
        <f>INDEX(Tableau1[], MATCH(Tableau3[[#This Row],[REFERENCE]], Tableau1[NUMERO], 0), 2)</f>
        <v/>
      </c>
      <c r="C225" s="129">
        <f>INDEX(Tableau1[], MATCH(Tableau3[[#This Row],[REFERENCE]], Tableau1[NUMERO], 0), 3)</f>
        <v/>
      </c>
      <c r="D225" s="129">
        <f>INDEX(Tableau1[], MATCH(Tableau3[[#This Row],[REFERENCE]], Tableau1[NUMERO], 0),4)</f>
        <v/>
      </c>
      <c r="E225" s="129">
        <f>INDEX(Tableau1[], MATCH(Tableau3[[#This Row],[REFERENCE]], Tableau1[NUMERO], 0), 5)</f>
        <v/>
      </c>
      <c r="F225" s="129">
        <f>INDEX(Tableau1[], MATCH(Tableau3[[#This Row],[REFERENCE]], Tableau1[NUMERO], 0), 6)</f>
        <v/>
      </c>
      <c r="G225" s="129">
        <f>INDEX(Tableau1[], MATCH(Tableau3[[#This Row],[REFERENCE]], Tableau1[NUMERO], 0), 7)</f>
        <v/>
      </c>
      <c r="H225" t="inlineStr">
        <is>
          <t>lasertechnic</t>
        </is>
      </c>
      <c r="J225" s="2" t="n">
        <v>43724</v>
      </c>
      <c r="K225" s="2" t="n">
        <v>43724</v>
      </c>
      <c r="L225" s="2" t="n"/>
      <c r="O225" s="7" t="n">
        <v>40</v>
      </c>
      <c r="P225" s="8" t="inlineStr">
        <is>
          <t>5 jours</t>
        </is>
      </c>
      <c r="Q225" s="2" t="n">
        <v>43815</v>
      </c>
    </row>
    <row r="226">
      <c r="A226" s="8" t="n">
        <v>34407909</v>
      </c>
      <c r="B226" s="9">
        <f>INDEX(Tableau1[], MATCH(Tableau3[[#This Row],[REFERENCE]], Tableau1[NUMERO], 0), 2)</f>
        <v/>
      </c>
      <c r="C226" s="129">
        <f>INDEX(Tableau1[], MATCH(Tableau3[[#This Row],[REFERENCE]], Tableau1[NUMERO], 0), 3)</f>
        <v/>
      </c>
      <c r="D226" s="129">
        <f>INDEX(Tableau1[], MATCH(Tableau3[[#This Row],[REFERENCE]], Tableau1[NUMERO], 0),4)</f>
        <v/>
      </c>
      <c r="E226" s="129">
        <f>INDEX(Tableau1[], MATCH(Tableau3[[#This Row],[REFERENCE]], Tableau1[NUMERO], 0), 5)</f>
        <v/>
      </c>
      <c r="F226" s="129">
        <f>INDEX(Tableau1[], MATCH(Tableau3[[#This Row],[REFERENCE]], Tableau1[NUMERO], 0), 6)</f>
        <v/>
      </c>
      <c r="G226" s="129">
        <f>INDEX(Tableau1[], MATCH(Tableau3[[#This Row],[REFERENCE]], Tableau1[NUMERO], 0), 7)</f>
        <v/>
      </c>
      <c r="H226" t="inlineStr">
        <is>
          <t>lasertechnic</t>
        </is>
      </c>
      <c r="J226" s="2" t="inlineStr">
        <is>
          <t>new 03/12/2019</t>
        </is>
      </c>
      <c r="K226" s="2" t="n">
        <v>43802</v>
      </c>
      <c r="L226" s="2" t="n"/>
      <c r="O226" s="7" t="n">
        <v>40</v>
      </c>
      <c r="P226" s="8" t="inlineStr">
        <is>
          <t>3 jours</t>
        </is>
      </c>
      <c r="Q226" s="2" t="n">
        <v>43864</v>
      </c>
    </row>
    <row r="227">
      <c r="A227" s="8" t="n">
        <v>34407910</v>
      </c>
      <c r="B227" s="9">
        <f>INDEX(Tableau1[], MATCH(Tableau3[[#This Row],[REFERENCE]], Tableau1[NUMERO], 0), 2)</f>
        <v/>
      </c>
      <c r="C227" s="129">
        <f>INDEX(Tableau1[], MATCH(Tableau3[[#This Row],[REFERENCE]], Tableau1[NUMERO], 0), 3)</f>
        <v/>
      </c>
      <c r="D227" s="129">
        <f>INDEX(Tableau1[], MATCH(Tableau3[[#This Row],[REFERENCE]], Tableau1[NUMERO], 0),4)</f>
        <v/>
      </c>
      <c r="E227" s="129">
        <f>INDEX(Tableau1[], MATCH(Tableau3[[#This Row],[REFERENCE]], Tableau1[NUMERO], 0), 5)</f>
        <v/>
      </c>
      <c r="F227" s="129">
        <f>INDEX(Tableau1[], MATCH(Tableau3[[#This Row],[REFERENCE]], Tableau1[NUMERO], 0), 6)</f>
        <v/>
      </c>
      <c r="G227" s="129">
        <f>INDEX(Tableau1[], MATCH(Tableau3[[#This Row],[REFERENCE]], Tableau1[NUMERO], 0), 7)</f>
        <v/>
      </c>
      <c r="H227" t="inlineStr">
        <is>
          <t>lasertechnic</t>
        </is>
      </c>
      <c r="J227" s="2" t="n">
        <v>43724</v>
      </c>
      <c r="K227" s="2" t="n">
        <v>43724</v>
      </c>
      <c r="L227" s="2" t="n"/>
      <c r="O227" s="7" t="n">
        <v>40</v>
      </c>
      <c r="P227" s="8" t="inlineStr">
        <is>
          <t>5 jours</t>
        </is>
      </c>
      <c r="Q227" s="2" t="n">
        <v>43815</v>
      </c>
    </row>
    <row r="228">
      <c r="A228" s="8" t="n">
        <v>34407911</v>
      </c>
      <c r="B228" s="9">
        <f>INDEX(Tableau1[], MATCH(Tableau3[[#This Row],[REFERENCE]], Tableau1[NUMERO], 0), 2)</f>
        <v/>
      </c>
      <c r="C228" s="129">
        <f>INDEX(Tableau1[], MATCH(Tableau3[[#This Row],[REFERENCE]], Tableau1[NUMERO], 0), 3)</f>
        <v/>
      </c>
      <c r="D228" s="129">
        <f>INDEX(Tableau1[], MATCH(Tableau3[[#This Row],[REFERENCE]], Tableau1[NUMERO], 0),4)</f>
        <v/>
      </c>
      <c r="E228" s="129">
        <f>INDEX(Tableau1[], MATCH(Tableau3[[#This Row],[REFERENCE]], Tableau1[NUMERO], 0), 5)</f>
        <v/>
      </c>
      <c r="F228" s="129">
        <f>INDEX(Tableau1[], MATCH(Tableau3[[#This Row],[REFERENCE]], Tableau1[NUMERO], 0), 6)</f>
        <v/>
      </c>
      <c r="G228" s="129">
        <f>INDEX(Tableau1[], MATCH(Tableau3[[#This Row],[REFERENCE]], Tableau1[NUMERO], 0), 7)</f>
        <v/>
      </c>
      <c r="H228" t="inlineStr">
        <is>
          <t>lasertechnic</t>
        </is>
      </c>
      <c r="J228" s="2" t="inlineStr">
        <is>
          <t>new 03/12/2019</t>
        </is>
      </c>
      <c r="K228" s="2" t="n">
        <v>43802</v>
      </c>
      <c r="L228" s="2" t="n"/>
      <c r="O228" s="7" t="n">
        <v>38</v>
      </c>
      <c r="P228" s="8" t="inlineStr">
        <is>
          <t>3 jours</t>
        </is>
      </c>
      <c r="Q228" s="2" t="n">
        <v>43499</v>
      </c>
    </row>
    <row r="229">
      <c r="A229" s="8" t="n">
        <v>34407912</v>
      </c>
      <c r="B229" s="9">
        <f>INDEX(Tableau1[], MATCH(Tableau3[[#This Row],[REFERENCE]], Tableau1[NUMERO], 0), 2)</f>
        <v/>
      </c>
      <c r="C229" s="129">
        <f>INDEX(Tableau1[], MATCH(Tableau3[[#This Row],[REFERENCE]], Tableau1[NUMERO], 0), 3)</f>
        <v/>
      </c>
      <c r="D229" s="129">
        <f>INDEX(Tableau1[], MATCH(Tableau3[[#This Row],[REFERENCE]], Tableau1[NUMERO], 0),4)</f>
        <v/>
      </c>
      <c r="E229" s="129">
        <f>INDEX(Tableau1[], MATCH(Tableau3[[#This Row],[REFERENCE]], Tableau1[NUMERO], 0), 5)</f>
        <v/>
      </c>
      <c r="F229" s="129">
        <f>INDEX(Tableau1[], MATCH(Tableau3[[#This Row],[REFERENCE]], Tableau1[NUMERO], 0), 6)</f>
        <v/>
      </c>
      <c r="G229" s="129">
        <f>INDEX(Tableau1[], MATCH(Tableau3[[#This Row],[REFERENCE]], Tableau1[NUMERO], 0), 7)</f>
        <v/>
      </c>
      <c r="H229" t="inlineStr">
        <is>
          <t>lasertechnic</t>
        </is>
      </c>
      <c r="J229" s="2" t="n">
        <v>43781</v>
      </c>
      <c r="K229" s="2" t="n">
        <v>43782</v>
      </c>
      <c r="L229" s="2" t="n"/>
      <c r="O229" s="7" t="n">
        <v>30</v>
      </c>
      <c r="P229" s="8" t="inlineStr">
        <is>
          <t>5 jours</t>
        </is>
      </c>
      <c r="Q229" s="2" t="n">
        <v>43874</v>
      </c>
    </row>
    <row r="230">
      <c r="A230" s="8" t="n">
        <v>34407913</v>
      </c>
      <c r="B230" s="9">
        <f>INDEX(Tableau1[], MATCH(Tableau3[[#This Row],[REFERENCE]], Tableau1[NUMERO], 0), 2)</f>
        <v/>
      </c>
      <c r="C230" s="129">
        <f>INDEX(Tableau1[], MATCH(Tableau3[[#This Row],[REFERENCE]], Tableau1[NUMERO], 0), 3)</f>
        <v/>
      </c>
      <c r="D230" s="129">
        <f>INDEX(Tableau1[], MATCH(Tableau3[[#This Row],[REFERENCE]], Tableau1[NUMERO], 0),4)</f>
        <v/>
      </c>
      <c r="E230" s="129">
        <f>INDEX(Tableau1[], MATCH(Tableau3[[#This Row],[REFERENCE]], Tableau1[NUMERO], 0), 5)</f>
        <v/>
      </c>
      <c r="F230" s="129">
        <f>INDEX(Tableau1[], MATCH(Tableau3[[#This Row],[REFERENCE]], Tableau1[NUMERO], 0), 6)</f>
        <v/>
      </c>
      <c r="G230" s="129">
        <f>INDEX(Tableau1[], MATCH(Tableau3[[#This Row],[REFERENCE]], Tableau1[NUMERO], 0), 7)</f>
        <v/>
      </c>
      <c r="H230" t="inlineStr">
        <is>
          <t>lasertechnic</t>
        </is>
      </c>
      <c r="J230" s="2" t="n">
        <v>43781</v>
      </c>
      <c r="K230" s="2" t="n">
        <v>43782</v>
      </c>
      <c r="L230" s="2" t="n"/>
      <c r="O230" s="7" t="n">
        <v>30</v>
      </c>
      <c r="P230" s="8" t="inlineStr">
        <is>
          <t>5 jours</t>
        </is>
      </c>
      <c r="Q230" s="2" t="n">
        <v>43874</v>
      </c>
    </row>
    <row r="231">
      <c r="A231" s="8" t="n">
        <v>34407914</v>
      </c>
      <c r="B231" s="9">
        <f>INDEX(Tableau1[], MATCH(Tableau3[[#This Row],[REFERENCE]], Tableau1[NUMERO], 0), 2)</f>
        <v/>
      </c>
      <c r="C231" s="129">
        <f>INDEX(Tableau1[], MATCH(Tableau3[[#This Row],[REFERENCE]], Tableau1[NUMERO], 0), 3)</f>
        <v/>
      </c>
      <c r="D231" s="129">
        <f>INDEX(Tableau1[], MATCH(Tableau3[[#This Row],[REFERENCE]], Tableau1[NUMERO], 0),4)</f>
        <v/>
      </c>
      <c r="E231" s="129">
        <f>INDEX(Tableau1[], MATCH(Tableau3[[#This Row],[REFERENCE]], Tableau1[NUMERO], 0), 5)</f>
        <v/>
      </c>
      <c r="F231" s="129">
        <f>INDEX(Tableau1[], MATCH(Tableau3[[#This Row],[REFERENCE]], Tableau1[NUMERO], 0), 6)</f>
        <v/>
      </c>
      <c r="G231" s="129">
        <f>INDEX(Tableau1[], MATCH(Tableau3[[#This Row],[REFERENCE]], Tableau1[NUMERO], 0), 7)</f>
        <v/>
      </c>
      <c r="H231" t="inlineStr">
        <is>
          <t>lasertechnic</t>
        </is>
      </c>
      <c r="J231" s="2" t="n">
        <v>43724</v>
      </c>
      <c r="K231" s="2" t="n">
        <v>43724</v>
      </c>
      <c r="L231" s="2" t="n"/>
      <c r="O231" s="7" t="n">
        <v>22</v>
      </c>
      <c r="P231" s="8" t="inlineStr">
        <is>
          <t>5 jours</t>
        </is>
      </c>
      <c r="Q231" s="2" t="n">
        <v>43815</v>
      </c>
    </row>
    <row r="232">
      <c r="A232" s="8" t="n">
        <v>34407915</v>
      </c>
      <c r="B232" s="9">
        <f>INDEX(Tableau1[], MATCH(Tableau3[[#This Row],[REFERENCE]], Tableau1[NUMERO], 0), 2)</f>
        <v/>
      </c>
      <c r="C232" s="129">
        <f>INDEX(Tableau1[], MATCH(Tableau3[[#This Row],[REFERENCE]], Tableau1[NUMERO], 0), 3)</f>
        <v/>
      </c>
      <c r="D232" s="129">
        <f>INDEX(Tableau1[], MATCH(Tableau3[[#This Row],[REFERENCE]], Tableau1[NUMERO], 0),4)</f>
        <v/>
      </c>
      <c r="E232" s="129">
        <f>INDEX(Tableau1[], MATCH(Tableau3[[#This Row],[REFERENCE]], Tableau1[NUMERO], 0), 5)</f>
        <v/>
      </c>
      <c r="F232" s="129">
        <f>INDEX(Tableau1[], MATCH(Tableau3[[#This Row],[REFERENCE]], Tableau1[NUMERO], 0), 6)</f>
        <v/>
      </c>
      <c r="G232" s="129">
        <f>INDEX(Tableau1[], MATCH(Tableau3[[#This Row],[REFERENCE]], Tableau1[NUMERO], 0), 7)</f>
        <v/>
      </c>
      <c r="H232" t="inlineStr">
        <is>
          <t>lasertechnic</t>
        </is>
      </c>
      <c r="J232" s="2" t="n">
        <v>43724</v>
      </c>
      <c r="K232" s="2" t="n">
        <v>43724</v>
      </c>
      <c r="L232" s="2" t="n"/>
      <c r="O232" s="7" t="n">
        <v>22</v>
      </c>
      <c r="P232" s="8" t="inlineStr">
        <is>
          <t>5 jours</t>
        </is>
      </c>
      <c r="Q232" s="2" t="n">
        <v>43815</v>
      </c>
    </row>
    <row r="233">
      <c r="A233" s="8" t="n">
        <v>34407916</v>
      </c>
      <c r="B233" s="9">
        <f>INDEX(Tableau1[], MATCH(Tableau3[[#This Row],[REFERENCE]], Tableau1[NUMERO], 0), 2)</f>
        <v/>
      </c>
      <c r="C233" s="129">
        <f>INDEX(Tableau1[], MATCH(Tableau3[[#This Row],[REFERENCE]], Tableau1[NUMERO], 0), 3)</f>
        <v/>
      </c>
      <c r="D233" s="129">
        <f>INDEX(Tableau1[], MATCH(Tableau3[[#This Row],[REFERENCE]], Tableau1[NUMERO], 0),4)</f>
        <v/>
      </c>
      <c r="E233" s="129">
        <f>INDEX(Tableau1[], MATCH(Tableau3[[#This Row],[REFERENCE]], Tableau1[NUMERO], 0), 5)</f>
        <v/>
      </c>
      <c r="F233" s="129">
        <f>INDEX(Tableau1[], MATCH(Tableau3[[#This Row],[REFERENCE]], Tableau1[NUMERO], 0), 6)</f>
        <v/>
      </c>
      <c r="G233" s="129">
        <f>INDEX(Tableau1[], MATCH(Tableau3[[#This Row],[REFERENCE]], Tableau1[NUMERO], 0), 7)</f>
        <v/>
      </c>
      <c r="H233" t="inlineStr">
        <is>
          <t>lasertechnic</t>
        </is>
      </c>
      <c r="J233" s="2" t="n">
        <v>43724</v>
      </c>
      <c r="K233" s="2" t="n">
        <v>43724</v>
      </c>
      <c r="L233" s="2" t="n"/>
      <c r="O233" s="7" t="n">
        <v>22</v>
      </c>
      <c r="P233" s="8" t="inlineStr">
        <is>
          <t>5 jours</t>
        </is>
      </c>
      <c r="Q233" s="2" t="n">
        <v>43815</v>
      </c>
    </row>
    <row r="234">
      <c r="A234" s="8" t="n">
        <v>34407917</v>
      </c>
      <c r="B234" s="9">
        <f>INDEX(Tableau1[], MATCH(Tableau3[[#This Row],[REFERENCE]], Tableau1[NUMERO], 0), 2)</f>
        <v/>
      </c>
      <c r="C234" s="129">
        <f>INDEX(Tableau1[], MATCH(Tableau3[[#This Row],[REFERENCE]], Tableau1[NUMERO], 0), 3)</f>
        <v/>
      </c>
      <c r="D234" s="129">
        <f>INDEX(Tableau1[], MATCH(Tableau3[[#This Row],[REFERENCE]], Tableau1[NUMERO], 0),4)</f>
        <v/>
      </c>
      <c r="E234" s="129">
        <f>INDEX(Tableau1[], MATCH(Tableau3[[#This Row],[REFERENCE]], Tableau1[NUMERO], 0), 5)</f>
        <v/>
      </c>
      <c r="F234" s="129">
        <f>INDEX(Tableau1[], MATCH(Tableau3[[#This Row],[REFERENCE]], Tableau1[NUMERO], 0), 6)</f>
        <v/>
      </c>
      <c r="G234" s="129">
        <f>INDEX(Tableau1[], MATCH(Tableau3[[#This Row],[REFERENCE]], Tableau1[NUMERO], 0), 7)</f>
        <v/>
      </c>
      <c r="H234" t="inlineStr">
        <is>
          <t>lasertechnic</t>
        </is>
      </c>
      <c r="J234" s="2" t="n">
        <v>43724</v>
      </c>
      <c r="K234" s="2" t="n">
        <v>43724</v>
      </c>
      <c r="L234" s="2" t="n"/>
      <c r="O234" s="7" t="n">
        <v>28</v>
      </c>
      <c r="P234" s="8" t="inlineStr">
        <is>
          <t>5 jours</t>
        </is>
      </c>
      <c r="Q234" s="2" t="n">
        <v>43815</v>
      </c>
    </row>
    <row r="235">
      <c r="A235" s="8" t="n">
        <v>34407918</v>
      </c>
      <c r="B235" s="9">
        <f>INDEX(Tableau1[], MATCH(Tableau3[[#This Row],[REFERENCE]], Tableau1[NUMERO], 0), 2)</f>
        <v/>
      </c>
      <c r="C235" s="129">
        <f>INDEX(Tableau1[], MATCH(Tableau3[[#This Row],[REFERENCE]], Tableau1[NUMERO], 0), 3)</f>
        <v/>
      </c>
      <c r="D235" s="129">
        <f>INDEX(Tableau1[], MATCH(Tableau3[[#This Row],[REFERENCE]], Tableau1[NUMERO], 0),4)</f>
        <v/>
      </c>
      <c r="E235" s="129">
        <f>INDEX(Tableau1[], MATCH(Tableau3[[#This Row],[REFERENCE]], Tableau1[NUMERO], 0), 5)</f>
        <v/>
      </c>
      <c r="F235" s="129">
        <f>INDEX(Tableau1[], MATCH(Tableau3[[#This Row],[REFERENCE]], Tableau1[NUMERO], 0), 6)</f>
        <v/>
      </c>
      <c r="G235" s="129">
        <f>INDEX(Tableau1[], MATCH(Tableau3[[#This Row],[REFERENCE]], Tableau1[NUMERO], 0), 7)</f>
        <v/>
      </c>
      <c r="H235" t="inlineStr">
        <is>
          <t>lasertechnic</t>
        </is>
      </c>
      <c r="J235" s="2" t="n">
        <v>43724</v>
      </c>
      <c r="K235" s="2" t="n">
        <v>43724</v>
      </c>
      <c r="L235" s="2" t="n"/>
      <c r="O235" s="7" t="n">
        <v>26</v>
      </c>
      <c r="P235" s="8" t="inlineStr">
        <is>
          <t>5 jours</t>
        </is>
      </c>
      <c r="Q235" s="2" t="n">
        <v>43815</v>
      </c>
    </row>
    <row r="236">
      <c r="A236" s="8" t="n">
        <v>34407919</v>
      </c>
      <c r="B236" s="9">
        <f>INDEX(Tableau1[], MATCH(Tableau3[[#This Row],[REFERENCE]], Tableau1[NUMERO], 0), 2)</f>
        <v/>
      </c>
      <c r="C236" s="129">
        <f>INDEX(Tableau1[], MATCH(Tableau3[[#This Row],[REFERENCE]], Tableau1[NUMERO], 0), 3)</f>
        <v/>
      </c>
      <c r="D236" s="129">
        <f>INDEX(Tableau1[], MATCH(Tableau3[[#This Row],[REFERENCE]], Tableau1[NUMERO], 0),4)</f>
        <v/>
      </c>
      <c r="E236" s="129">
        <f>INDEX(Tableau1[], MATCH(Tableau3[[#This Row],[REFERENCE]], Tableau1[NUMERO], 0), 5)</f>
        <v/>
      </c>
      <c r="F236" s="129">
        <f>INDEX(Tableau1[], MATCH(Tableau3[[#This Row],[REFERENCE]], Tableau1[NUMERO], 0), 6)</f>
        <v/>
      </c>
      <c r="G236" s="129">
        <f>INDEX(Tableau1[], MATCH(Tableau3[[#This Row],[REFERENCE]], Tableau1[NUMERO], 0), 7)</f>
        <v/>
      </c>
      <c r="H236" t="inlineStr">
        <is>
          <t>thyssen</t>
        </is>
      </c>
      <c r="J236" s="2" t="n">
        <v>43724</v>
      </c>
      <c r="K236" s="2" t="n">
        <v>43724</v>
      </c>
      <c r="L236" s="2" t="n"/>
      <c r="O236" s="7" t="n">
        <v>231.9</v>
      </c>
      <c r="P236" s="8" t="inlineStr">
        <is>
          <t>2 semaines</t>
        </is>
      </c>
      <c r="Q236" s="2" t="n">
        <v>43815</v>
      </c>
    </row>
    <row r="237">
      <c r="A237" s="8" t="n">
        <v>34407920</v>
      </c>
      <c r="B237" s="9">
        <f>INDEX(Tableau1[], MATCH(Tableau3[[#This Row],[REFERENCE]], Tableau1[NUMERO], 0), 2)</f>
        <v/>
      </c>
      <c r="C237" s="129">
        <f>INDEX(Tableau1[], MATCH(Tableau3[[#This Row],[REFERENCE]], Tableau1[NUMERO], 0), 3)</f>
        <v/>
      </c>
      <c r="D237" s="129">
        <f>INDEX(Tableau1[], MATCH(Tableau3[[#This Row],[REFERENCE]], Tableau1[NUMERO], 0),4)</f>
        <v/>
      </c>
      <c r="E237" s="129">
        <f>INDEX(Tableau1[], MATCH(Tableau3[[#This Row],[REFERENCE]], Tableau1[NUMERO], 0), 5)</f>
        <v/>
      </c>
      <c r="F237" s="129">
        <f>INDEX(Tableau1[], MATCH(Tableau3[[#This Row],[REFERENCE]], Tableau1[NUMERO], 0), 6)</f>
        <v/>
      </c>
      <c r="G237" s="129">
        <f>INDEX(Tableau1[], MATCH(Tableau3[[#This Row],[REFERENCE]], Tableau1[NUMERO], 0), 7)</f>
        <v/>
      </c>
      <c r="H237" t="inlineStr">
        <is>
          <t>lasertechnic</t>
        </is>
      </c>
      <c r="J237" s="2" t="n">
        <v>43720</v>
      </c>
      <c r="K237" s="2" t="n">
        <v>43727</v>
      </c>
      <c r="L237" s="2" t="n"/>
      <c r="O237" s="7" t="n">
        <v>40</v>
      </c>
      <c r="P237" s="8" t="inlineStr">
        <is>
          <t>5 JOURS</t>
        </is>
      </c>
      <c r="Q237" s="2" t="n">
        <v>43818</v>
      </c>
    </row>
    <row r="238">
      <c r="A238" s="8" t="n">
        <v>34407921</v>
      </c>
      <c r="B238" s="9">
        <f>INDEX(Tableau1[], MATCH(Tableau3[[#This Row],[REFERENCE]], Tableau1[NUMERO], 0), 2)</f>
        <v/>
      </c>
      <c r="C238" s="129">
        <f>INDEX(Tableau1[], MATCH(Tableau3[[#This Row],[REFERENCE]], Tableau1[NUMERO], 0), 3)</f>
        <v/>
      </c>
      <c r="D238" s="129">
        <f>INDEX(Tableau1[], MATCH(Tableau3[[#This Row],[REFERENCE]], Tableau1[NUMERO], 0),4)</f>
        <v/>
      </c>
      <c r="E238" s="129">
        <f>INDEX(Tableau1[], MATCH(Tableau3[[#This Row],[REFERENCE]], Tableau1[NUMERO], 0), 5)</f>
        <v/>
      </c>
      <c r="F238" s="129">
        <f>INDEX(Tableau1[], MATCH(Tableau3[[#This Row],[REFERENCE]], Tableau1[NUMERO], 0), 6)</f>
        <v/>
      </c>
      <c r="G238" s="129">
        <f>INDEX(Tableau1[], MATCH(Tableau3[[#This Row],[REFERENCE]], Tableau1[NUMERO], 0), 7)</f>
        <v/>
      </c>
      <c r="H238" t="inlineStr">
        <is>
          <t>lasertechnic</t>
        </is>
      </c>
      <c r="J238" s="2" t="n">
        <v>43720</v>
      </c>
      <c r="K238" s="2" t="n">
        <v>43727</v>
      </c>
      <c r="L238" s="2" t="n"/>
      <c r="O238" s="7" t="n">
        <v>48</v>
      </c>
      <c r="P238" s="8" t="inlineStr">
        <is>
          <t>5 JOURS</t>
        </is>
      </c>
      <c r="Q238" s="2" t="n">
        <v>43818</v>
      </c>
    </row>
    <row r="239">
      <c r="A239" s="8" t="n">
        <v>34407922</v>
      </c>
      <c r="B239" s="9">
        <f>INDEX(Tableau1[], MATCH(Tableau3[[#This Row],[REFERENCE]], Tableau1[NUMERO], 0), 2)</f>
        <v/>
      </c>
      <c r="C239" s="129">
        <f>INDEX(Tableau1[], MATCH(Tableau3[[#This Row],[REFERENCE]], Tableau1[NUMERO], 0), 3)</f>
        <v/>
      </c>
      <c r="D239" s="129">
        <f>INDEX(Tableau1[], MATCH(Tableau3[[#This Row],[REFERENCE]], Tableau1[NUMERO], 0),4)</f>
        <v/>
      </c>
      <c r="E239" s="129">
        <f>INDEX(Tableau1[], MATCH(Tableau3[[#This Row],[REFERENCE]], Tableau1[NUMERO], 0), 5)</f>
        <v/>
      </c>
      <c r="F239" s="129">
        <f>INDEX(Tableau1[], MATCH(Tableau3[[#This Row],[REFERENCE]], Tableau1[NUMERO], 0), 6)</f>
        <v/>
      </c>
      <c r="G239" s="129">
        <f>INDEX(Tableau1[], MATCH(Tableau3[[#This Row],[REFERENCE]], Tableau1[NUMERO], 0), 7)</f>
        <v/>
      </c>
      <c r="H239" t="inlineStr">
        <is>
          <t>lasertechnic</t>
        </is>
      </c>
      <c r="J239" s="2" t="n">
        <v>43720</v>
      </c>
      <c r="K239" s="2" t="n">
        <v>43727</v>
      </c>
      <c r="L239" s="2" t="n"/>
      <c r="O239" s="7" t="n">
        <v>34</v>
      </c>
      <c r="P239" s="8" t="inlineStr">
        <is>
          <t>5 JOURS</t>
        </is>
      </c>
      <c r="Q239" s="2" t="n">
        <v>43818</v>
      </c>
    </row>
    <row r="240">
      <c r="A240" s="8" t="n">
        <v>34407923</v>
      </c>
      <c r="B240" s="9">
        <f>INDEX(Tableau1[], MATCH(Tableau3[[#This Row],[REFERENCE]], Tableau1[NUMERO], 0), 2)</f>
        <v/>
      </c>
      <c r="C240" s="129">
        <f>INDEX(Tableau1[], MATCH(Tableau3[[#This Row],[REFERENCE]], Tableau1[NUMERO], 0), 3)</f>
        <v/>
      </c>
      <c r="D240" s="129">
        <f>INDEX(Tableau1[], MATCH(Tableau3[[#This Row],[REFERENCE]], Tableau1[NUMERO], 0),4)</f>
        <v/>
      </c>
      <c r="E240" s="129">
        <f>INDEX(Tableau1[], MATCH(Tableau3[[#This Row],[REFERENCE]], Tableau1[NUMERO], 0), 5)</f>
        <v/>
      </c>
      <c r="F240" s="129">
        <f>INDEX(Tableau1[], MATCH(Tableau3[[#This Row],[REFERENCE]], Tableau1[NUMERO], 0), 6)</f>
        <v/>
      </c>
      <c r="G240" s="129">
        <f>INDEX(Tableau1[], MATCH(Tableau3[[#This Row],[REFERENCE]], Tableau1[NUMERO], 0), 7)</f>
        <v/>
      </c>
      <c r="H240" t="inlineStr">
        <is>
          <t>lasertechnic</t>
        </is>
      </c>
      <c r="J240" s="2" t="n">
        <v>43720</v>
      </c>
      <c r="K240" s="2" t="n">
        <v>43727</v>
      </c>
      <c r="L240" s="2" t="n"/>
      <c r="O240" s="7" t="n">
        <v>48</v>
      </c>
      <c r="P240" s="8" t="inlineStr">
        <is>
          <t>5 JOURS</t>
        </is>
      </c>
      <c r="Q240" s="2" t="n">
        <v>43818</v>
      </c>
    </row>
    <row r="241">
      <c r="A241" s="8" t="n">
        <v>34407924</v>
      </c>
      <c r="B241" s="9">
        <f>INDEX(Tableau1[], MATCH(Tableau3[[#This Row],[REFERENCE]], Tableau1[NUMERO], 0), 2)</f>
        <v/>
      </c>
      <c r="C241" s="129">
        <f>INDEX(Tableau1[], MATCH(Tableau3[[#This Row],[REFERENCE]], Tableau1[NUMERO], 0), 3)</f>
        <v/>
      </c>
      <c r="D241" s="129">
        <f>INDEX(Tableau1[], MATCH(Tableau3[[#This Row],[REFERENCE]], Tableau1[NUMERO], 0),4)</f>
        <v/>
      </c>
      <c r="E241" s="129">
        <f>INDEX(Tableau1[], MATCH(Tableau3[[#This Row],[REFERENCE]], Tableau1[NUMERO], 0), 5)</f>
        <v/>
      </c>
      <c r="F241" s="129">
        <f>INDEX(Tableau1[], MATCH(Tableau3[[#This Row],[REFERENCE]], Tableau1[NUMERO], 0), 6)</f>
        <v/>
      </c>
      <c r="G241" s="129">
        <f>INDEX(Tableau1[], MATCH(Tableau3[[#This Row],[REFERENCE]], Tableau1[NUMERO], 0), 7)</f>
        <v/>
      </c>
      <c r="H241" t="inlineStr">
        <is>
          <t>lasertechnic</t>
        </is>
      </c>
      <c r="J241" s="2" t="n">
        <v>43720</v>
      </c>
      <c r="K241" s="2" t="n">
        <v>43727</v>
      </c>
      <c r="L241" s="2" t="n"/>
      <c r="O241" s="7" t="n">
        <v>48</v>
      </c>
      <c r="P241" s="8" t="inlineStr">
        <is>
          <t>5 JOURS</t>
        </is>
      </c>
      <c r="Q241" s="2" t="n">
        <v>43818</v>
      </c>
    </row>
    <row r="242">
      <c r="A242" s="8" t="n">
        <v>34407925</v>
      </c>
      <c r="B242" s="9">
        <f>INDEX(Tableau1[], MATCH(Tableau3[[#This Row],[REFERENCE]], Tableau1[NUMERO], 0), 2)</f>
        <v/>
      </c>
      <c r="C242" s="129">
        <f>INDEX(Tableau1[], MATCH(Tableau3[[#This Row],[REFERENCE]], Tableau1[NUMERO], 0), 3)</f>
        <v/>
      </c>
      <c r="D242" s="129">
        <f>INDEX(Tableau1[], MATCH(Tableau3[[#This Row],[REFERENCE]], Tableau1[NUMERO], 0),4)</f>
        <v/>
      </c>
      <c r="E242" s="129">
        <f>INDEX(Tableau1[], MATCH(Tableau3[[#This Row],[REFERENCE]], Tableau1[NUMERO], 0), 5)</f>
        <v/>
      </c>
      <c r="F242" s="129">
        <f>INDEX(Tableau1[], MATCH(Tableau3[[#This Row],[REFERENCE]], Tableau1[NUMERO], 0), 6)</f>
        <v/>
      </c>
      <c r="G242" s="129">
        <f>INDEX(Tableau1[], MATCH(Tableau3[[#This Row],[REFERENCE]], Tableau1[NUMERO], 0), 7)</f>
        <v/>
      </c>
      <c r="H242" t="inlineStr">
        <is>
          <t>lasertechnic</t>
        </is>
      </c>
      <c r="J242" s="2" t="n">
        <v>43720</v>
      </c>
      <c r="K242" s="2" t="n">
        <v>43727</v>
      </c>
      <c r="L242" s="2" t="n"/>
      <c r="O242" s="7" t="n">
        <v>40</v>
      </c>
      <c r="P242" s="8" t="inlineStr">
        <is>
          <t>5 JOURS</t>
        </is>
      </c>
      <c r="Q242" s="2" t="n">
        <v>43818</v>
      </c>
    </row>
    <row r="243">
      <c r="A243" s="8" t="n">
        <v>34407926</v>
      </c>
      <c r="B243" s="9">
        <f>INDEX(Tableau1[], MATCH(Tableau3[[#This Row],[REFERENCE]], Tableau1[NUMERO], 0), 2)</f>
        <v/>
      </c>
      <c r="C243" s="129">
        <f>INDEX(Tableau1[], MATCH(Tableau3[[#This Row],[REFERENCE]], Tableau1[NUMERO], 0), 3)</f>
        <v/>
      </c>
      <c r="D243" s="129">
        <f>INDEX(Tableau1[], MATCH(Tableau3[[#This Row],[REFERENCE]], Tableau1[NUMERO], 0),4)</f>
        <v/>
      </c>
      <c r="E243" s="129">
        <f>INDEX(Tableau1[], MATCH(Tableau3[[#This Row],[REFERENCE]], Tableau1[NUMERO], 0), 5)</f>
        <v/>
      </c>
      <c r="F243" s="129">
        <f>INDEX(Tableau1[], MATCH(Tableau3[[#This Row],[REFERENCE]], Tableau1[NUMERO], 0), 6)</f>
        <v/>
      </c>
      <c r="G243" s="129">
        <f>INDEX(Tableau1[], MATCH(Tableau3[[#This Row],[REFERENCE]], Tableau1[NUMERO], 0), 7)</f>
        <v/>
      </c>
      <c r="H243" t="inlineStr">
        <is>
          <t>lasertechnic</t>
        </is>
      </c>
      <c r="J243" s="2" t="n">
        <v>43720</v>
      </c>
      <c r="K243" s="2" t="n">
        <v>43727</v>
      </c>
      <c r="L243" s="2" t="n"/>
      <c r="O243" s="7" t="n">
        <v>75</v>
      </c>
      <c r="P243" s="8" t="inlineStr">
        <is>
          <t>5 JOURS</t>
        </is>
      </c>
      <c r="Q243" s="2" t="n">
        <v>43818</v>
      </c>
    </row>
    <row r="244">
      <c r="A244" s="8" t="n">
        <v>34407927</v>
      </c>
      <c r="B244" s="9">
        <f>INDEX(Tableau1[], MATCH(Tableau3[[#This Row],[REFERENCE]], Tableau1[NUMERO], 0), 2)</f>
        <v/>
      </c>
      <c r="C244" s="129">
        <f>INDEX(Tableau1[], MATCH(Tableau3[[#This Row],[REFERENCE]], Tableau1[NUMERO], 0), 3)</f>
        <v/>
      </c>
      <c r="D244" s="129">
        <f>INDEX(Tableau1[], MATCH(Tableau3[[#This Row],[REFERENCE]], Tableau1[NUMERO], 0),4)</f>
        <v/>
      </c>
      <c r="E244" s="129">
        <f>INDEX(Tableau1[], MATCH(Tableau3[[#This Row],[REFERENCE]], Tableau1[NUMERO], 0), 5)</f>
        <v/>
      </c>
      <c r="F244" s="129">
        <f>INDEX(Tableau1[], MATCH(Tableau3[[#This Row],[REFERENCE]], Tableau1[NUMERO], 0), 6)</f>
        <v/>
      </c>
      <c r="G244" s="129">
        <f>INDEX(Tableau1[], MATCH(Tableau3[[#This Row],[REFERENCE]], Tableau1[NUMERO], 0), 7)</f>
        <v/>
      </c>
      <c r="H244" t="inlineStr">
        <is>
          <t>lasertechnic</t>
        </is>
      </c>
      <c r="J244" s="2" t="n">
        <v>43720</v>
      </c>
      <c r="K244" s="2" t="n">
        <v>43727</v>
      </c>
      <c r="L244" s="2" t="n"/>
      <c r="O244" s="7" t="n">
        <v>16</v>
      </c>
      <c r="P244" s="8" t="inlineStr">
        <is>
          <t>5 JOURS</t>
        </is>
      </c>
      <c r="Q244" s="2" t="n">
        <v>43818</v>
      </c>
    </row>
    <row r="245">
      <c r="A245" s="8" t="n">
        <v>34407928</v>
      </c>
      <c r="B245" s="9">
        <f>INDEX(Tableau1[], MATCH(Tableau3[[#This Row],[REFERENCE]], Tableau1[NUMERO], 0), 2)</f>
        <v/>
      </c>
      <c r="C245" s="129">
        <f>INDEX(Tableau1[], MATCH(Tableau3[[#This Row],[REFERENCE]], Tableau1[NUMERO], 0), 3)</f>
        <v/>
      </c>
      <c r="D245" s="129">
        <f>INDEX(Tableau1[], MATCH(Tableau3[[#This Row],[REFERENCE]], Tableau1[NUMERO], 0),4)</f>
        <v/>
      </c>
      <c r="E245" s="129">
        <f>INDEX(Tableau1[], MATCH(Tableau3[[#This Row],[REFERENCE]], Tableau1[NUMERO], 0), 5)</f>
        <v/>
      </c>
      <c r="F245" s="129">
        <f>INDEX(Tableau1[], MATCH(Tableau3[[#This Row],[REFERENCE]], Tableau1[NUMERO], 0), 6)</f>
        <v/>
      </c>
      <c r="G245" s="129">
        <f>INDEX(Tableau1[], MATCH(Tableau3[[#This Row],[REFERENCE]], Tableau1[NUMERO], 0), 7)</f>
        <v/>
      </c>
      <c r="H245" t="inlineStr">
        <is>
          <t>lasertechnic</t>
        </is>
      </c>
      <c r="J245" s="2" t="n">
        <v>43720</v>
      </c>
      <c r="K245" s="2" t="n">
        <v>43727</v>
      </c>
      <c r="L245" s="2" t="n"/>
      <c r="O245" s="7" t="n">
        <v>40</v>
      </c>
      <c r="P245" s="8" t="inlineStr">
        <is>
          <t>5 JOURS</t>
        </is>
      </c>
      <c r="Q245" s="2" t="n">
        <v>43818</v>
      </c>
    </row>
    <row r="246">
      <c r="A246" s="8" t="n">
        <v>34407929</v>
      </c>
      <c r="B246" s="9">
        <f>INDEX(Tableau1[], MATCH(Tableau3[[#This Row],[REFERENCE]], Tableau1[NUMERO], 0), 2)</f>
        <v/>
      </c>
      <c r="C246" s="129">
        <f>INDEX(Tableau1[], MATCH(Tableau3[[#This Row],[REFERENCE]], Tableau1[NUMERO], 0), 3)</f>
        <v/>
      </c>
      <c r="D246" s="129">
        <f>INDEX(Tableau1[], MATCH(Tableau3[[#This Row],[REFERENCE]], Tableau1[NUMERO], 0),4)</f>
        <v/>
      </c>
      <c r="E246" s="129">
        <f>INDEX(Tableau1[], MATCH(Tableau3[[#This Row],[REFERENCE]], Tableau1[NUMERO], 0), 5)</f>
        <v/>
      </c>
      <c r="F246" s="129">
        <f>INDEX(Tableau1[], MATCH(Tableau3[[#This Row],[REFERENCE]], Tableau1[NUMERO], 0), 6)</f>
        <v/>
      </c>
      <c r="G246" s="129">
        <f>INDEX(Tableau1[], MATCH(Tableau3[[#This Row],[REFERENCE]], Tableau1[NUMERO], 0), 7)</f>
        <v/>
      </c>
      <c r="H246" t="inlineStr">
        <is>
          <t>lasertechnic</t>
        </is>
      </c>
      <c r="J246" s="2" t="n">
        <v>43720</v>
      </c>
      <c r="K246" s="2" t="n">
        <v>43727</v>
      </c>
      <c r="L246" s="2" t="n"/>
      <c r="O246" s="7" t="n">
        <v>24</v>
      </c>
      <c r="P246" s="8" t="inlineStr">
        <is>
          <t>5 JOURS</t>
        </is>
      </c>
      <c r="Q246" s="2" t="n">
        <v>43818</v>
      </c>
    </row>
    <row r="247">
      <c r="A247" s="8" t="n">
        <v>34407934</v>
      </c>
      <c r="B247" s="9">
        <f>INDEX(Tableau1[], MATCH(Tableau3[[#This Row],[REFERENCE]], Tableau1[NUMERO], 0), 2)</f>
        <v/>
      </c>
      <c r="C247" s="129">
        <f>INDEX(Tableau1[], MATCH(Tableau3[[#This Row],[REFERENCE]], Tableau1[NUMERO], 0), 3)</f>
        <v/>
      </c>
      <c r="D247" s="129">
        <f>INDEX(Tableau1[], MATCH(Tableau3[[#This Row],[REFERENCE]], Tableau1[NUMERO], 0),4)</f>
        <v/>
      </c>
      <c r="E247" s="129">
        <f>INDEX(Tableau1[], MATCH(Tableau3[[#This Row],[REFERENCE]], Tableau1[NUMERO], 0), 5)</f>
        <v/>
      </c>
      <c r="F247" s="129">
        <f>INDEX(Tableau1[], MATCH(Tableau3[[#This Row],[REFERENCE]], Tableau1[NUMERO], 0), 6)</f>
        <v/>
      </c>
      <c r="G247" s="129">
        <f>INDEX(Tableau1[], MATCH(Tableau3[[#This Row],[REFERENCE]], Tableau1[NUMERO], 0), 7)</f>
        <v/>
      </c>
      <c r="H247" t="inlineStr">
        <is>
          <t>UFP</t>
        </is>
      </c>
      <c r="J247" s="2" t="n">
        <v>43725</v>
      </c>
      <c r="K247" s="2" t="n">
        <v>43725</v>
      </c>
      <c r="L247" s="2" t="n"/>
      <c r="O247" s="7" t="n">
        <v>152</v>
      </c>
      <c r="P247" s="8" t="inlineStr">
        <is>
          <t>4 SEMAINES</t>
        </is>
      </c>
      <c r="Q247" s="2" t="n">
        <v>43816</v>
      </c>
    </row>
    <row r="248">
      <c r="A248" s="8" t="n">
        <v>34407934</v>
      </c>
      <c r="B248" s="9">
        <f>INDEX(Tableau1[], MATCH(Tableau3[[#This Row],[REFERENCE]], Tableau1[NUMERO], 0), 2)</f>
        <v/>
      </c>
      <c r="C248" s="129">
        <f>INDEX(Tableau1[], MATCH(Tableau3[[#This Row],[REFERENCE]], Tableau1[NUMERO], 0), 3)</f>
        <v/>
      </c>
      <c r="D248" s="129">
        <f>INDEX(Tableau1[], MATCH(Tableau3[[#This Row],[REFERENCE]], Tableau1[NUMERO], 0),4)</f>
        <v/>
      </c>
      <c r="E248" s="129">
        <f>INDEX(Tableau1[], MATCH(Tableau3[[#This Row],[REFERENCE]], Tableau1[NUMERO], 0), 5)</f>
        <v/>
      </c>
      <c r="F248" s="129">
        <f>INDEX(Tableau1[], MATCH(Tableau3[[#This Row],[REFERENCE]], Tableau1[NUMERO], 0), 6)</f>
        <v/>
      </c>
      <c r="G248" s="129">
        <f>INDEX(Tableau1[], MATCH(Tableau3[[#This Row],[REFERENCE]], Tableau1[NUMERO], 0), 7)</f>
        <v/>
      </c>
      <c r="H248" t="inlineStr">
        <is>
          <t>PIT</t>
        </is>
      </c>
      <c r="J248" s="2" t="n">
        <v>43725</v>
      </c>
      <c r="K248" s="2" t="n">
        <v>43733</v>
      </c>
      <c r="L248" s="2" t="n"/>
      <c r="O248" s="7" t="n">
        <v>380</v>
      </c>
      <c r="P248" s="8" t="inlineStr">
        <is>
          <t>??</t>
        </is>
      </c>
      <c r="Q248" s="2" t="n">
        <v>43824</v>
      </c>
    </row>
    <row r="249">
      <c r="A249" s="8" t="n">
        <v>34407939</v>
      </c>
      <c r="B249" s="9">
        <f>INDEX(Tableau1[], MATCH(Tableau3[[#This Row],[REFERENCE]], Tableau1[NUMERO], 0), 2)</f>
        <v/>
      </c>
      <c r="C249" s="129">
        <f>INDEX(Tableau1[], MATCH(Tableau3[[#This Row],[REFERENCE]], Tableau1[NUMERO], 0), 3)</f>
        <v/>
      </c>
      <c r="D249" s="129">
        <f>INDEX(Tableau1[], MATCH(Tableau3[[#This Row],[REFERENCE]], Tableau1[NUMERO], 0),4)</f>
        <v/>
      </c>
      <c r="E249" s="129">
        <f>INDEX(Tableau1[], MATCH(Tableau3[[#This Row],[REFERENCE]], Tableau1[NUMERO], 0), 5)</f>
        <v/>
      </c>
      <c r="F249" s="129">
        <f>INDEX(Tableau1[], MATCH(Tableau3[[#This Row],[REFERENCE]], Tableau1[NUMERO], 0), 6)</f>
        <v/>
      </c>
      <c r="G249" s="129">
        <f>INDEX(Tableau1[], MATCH(Tableau3[[#This Row],[REFERENCE]], Tableau1[NUMERO], 0), 7)</f>
        <v/>
      </c>
      <c r="H249" t="inlineStr">
        <is>
          <t>trefimetaux</t>
        </is>
      </c>
      <c r="J249" s="2" t="n">
        <v>43727</v>
      </c>
      <c r="K249" s="2" t="n">
        <v>43729</v>
      </c>
      <c r="L249" s="2" t="n"/>
      <c r="O249" s="7" t="n">
        <v>30</v>
      </c>
      <c r="P249" s="8" t="inlineStr">
        <is>
          <t>4 SEMAINES</t>
        </is>
      </c>
      <c r="Q249" s="2" t="n">
        <v>43820</v>
      </c>
    </row>
    <row r="250">
      <c r="A250" s="8" t="n">
        <v>34407939</v>
      </c>
      <c r="B250" s="9">
        <f>INDEX(Tableau1[], MATCH(Tableau3[[#This Row],[REFERENCE]], Tableau1[NUMERO], 0), 2)</f>
        <v/>
      </c>
      <c r="C250" s="129">
        <f>INDEX(Tableau1[], MATCH(Tableau3[[#This Row],[REFERENCE]], Tableau1[NUMERO], 0), 3)</f>
        <v/>
      </c>
      <c r="D250" s="129">
        <f>INDEX(Tableau1[], MATCH(Tableau3[[#This Row],[REFERENCE]], Tableau1[NUMERO], 0),4)</f>
        <v/>
      </c>
      <c r="E250" s="129">
        <f>INDEX(Tableau1[], MATCH(Tableau3[[#This Row],[REFERENCE]], Tableau1[NUMERO], 0), 5)</f>
        <v/>
      </c>
      <c r="F250" s="129">
        <f>INDEX(Tableau1[], MATCH(Tableau3[[#This Row],[REFERENCE]], Tableau1[NUMERO], 0), 6)</f>
        <v/>
      </c>
      <c r="G250" s="129">
        <f>INDEX(Tableau1[], MATCH(Tableau3[[#This Row],[REFERENCE]], Tableau1[NUMERO], 0), 7)</f>
        <v/>
      </c>
      <c r="H250" t="inlineStr">
        <is>
          <t>thyssen</t>
        </is>
      </c>
      <c r="J250" s="2" t="n">
        <v>43727</v>
      </c>
      <c r="K250" s="2" t="n">
        <v>43728</v>
      </c>
      <c r="L250" s="2" t="n"/>
      <c r="O250" s="7" t="n">
        <v>14.95</v>
      </c>
      <c r="P250" s="8" t="inlineStr">
        <is>
          <t>2 semaines</t>
        </is>
      </c>
      <c r="Q250" s="2" t="n">
        <v>43736</v>
      </c>
      <c r="R250" t="inlineStr">
        <is>
          <t>fait par angélique</t>
        </is>
      </c>
    </row>
    <row r="251">
      <c r="A251" s="8" t="n">
        <v>34407940</v>
      </c>
      <c r="B251" s="9">
        <f>INDEX(Tableau1[], MATCH(Tableau3[[#This Row],[REFERENCE]], Tableau1[NUMERO], 0), 2)</f>
        <v/>
      </c>
      <c r="C251" s="129">
        <f>INDEX(Tableau1[], MATCH(Tableau3[[#This Row],[REFERENCE]], Tableau1[NUMERO], 0), 3)</f>
        <v/>
      </c>
      <c r="D251" s="129">
        <f>INDEX(Tableau1[], MATCH(Tableau3[[#This Row],[REFERENCE]], Tableau1[NUMERO], 0),4)</f>
        <v/>
      </c>
      <c r="E251" s="129">
        <f>INDEX(Tableau1[], MATCH(Tableau3[[#This Row],[REFERENCE]], Tableau1[NUMERO], 0), 5)</f>
        <v/>
      </c>
      <c r="F251" s="129">
        <f>INDEX(Tableau1[], MATCH(Tableau3[[#This Row],[REFERENCE]], Tableau1[NUMERO], 0), 6)</f>
        <v/>
      </c>
      <c r="G251" s="129">
        <f>INDEX(Tableau1[], MATCH(Tableau3[[#This Row],[REFERENCE]], Tableau1[NUMERO], 0), 7)</f>
        <v/>
      </c>
      <c r="H251" t="inlineStr">
        <is>
          <t>trefimetaux</t>
        </is>
      </c>
      <c r="J251" s="2" t="n">
        <v>43727</v>
      </c>
      <c r="K251" s="2" t="n">
        <v>43729</v>
      </c>
      <c r="L251" s="2" t="n"/>
      <c r="O251" s="7" t="n">
        <v>80</v>
      </c>
      <c r="P251" s="8" t="inlineStr">
        <is>
          <t>4 SEMAINES</t>
        </is>
      </c>
      <c r="Q251" s="2" t="n">
        <v>43820</v>
      </c>
    </row>
    <row r="252">
      <c r="A252" s="8" t="n">
        <v>34407940</v>
      </c>
      <c r="B252" s="9">
        <f>INDEX(Tableau1[], MATCH(Tableau3[[#This Row],[REFERENCE]], Tableau1[NUMERO], 0), 2)</f>
        <v/>
      </c>
      <c r="C252" s="129">
        <f>INDEX(Tableau1[], MATCH(Tableau3[[#This Row],[REFERENCE]], Tableau1[NUMERO], 0), 3)</f>
        <v/>
      </c>
      <c r="D252" s="129">
        <f>INDEX(Tableau1[], MATCH(Tableau3[[#This Row],[REFERENCE]], Tableau1[NUMERO], 0),4)</f>
        <v/>
      </c>
      <c r="E252" s="129">
        <f>INDEX(Tableau1[], MATCH(Tableau3[[#This Row],[REFERENCE]], Tableau1[NUMERO], 0), 5)</f>
        <v/>
      </c>
      <c r="F252" s="129">
        <f>INDEX(Tableau1[], MATCH(Tableau3[[#This Row],[REFERENCE]], Tableau1[NUMERO], 0), 6)</f>
        <v/>
      </c>
      <c r="G252" s="129">
        <f>INDEX(Tableau1[], MATCH(Tableau3[[#This Row],[REFERENCE]], Tableau1[NUMERO], 0), 7)</f>
        <v/>
      </c>
      <c r="H252" t="inlineStr">
        <is>
          <t>thyssen</t>
        </is>
      </c>
      <c r="J252" s="2" t="n">
        <v>43727</v>
      </c>
      <c r="K252" s="2" t="n">
        <v>43728</v>
      </c>
      <c r="L252" s="2" t="n"/>
      <c r="O252" s="7" t="n">
        <v>45.25</v>
      </c>
      <c r="P252" s="8" t="inlineStr">
        <is>
          <t>2 semaines</t>
        </is>
      </c>
      <c r="Q252" s="2" t="n">
        <v>43736</v>
      </c>
      <c r="R252" t="inlineStr">
        <is>
          <t>fait par angélique</t>
        </is>
      </c>
    </row>
    <row r="253">
      <c r="A253" s="8" t="n">
        <v>34407941</v>
      </c>
      <c r="B253" s="9">
        <f>INDEX(Tableau1[], MATCH(Tableau3[[#This Row],[REFERENCE]], Tableau1[NUMERO], 0), 2)</f>
        <v/>
      </c>
      <c r="C253" s="129">
        <f>INDEX(Tableau1[], MATCH(Tableau3[[#This Row],[REFERENCE]], Tableau1[NUMERO], 0), 3)</f>
        <v/>
      </c>
      <c r="D253" s="129">
        <f>INDEX(Tableau1[], MATCH(Tableau3[[#This Row],[REFERENCE]], Tableau1[NUMERO], 0),4)</f>
        <v/>
      </c>
      <c r="E253" s="129">
        <f>INDEX(Tableau1[], MATCH(Tableau3[[#This Row],[REFERENCE]], Tableau1[NUMERO], 0), 5)</f>
        <v/>
      </c>
      <c r="F253" s="129">
        <f>INDEX(Tableau1[], MATCH(Tableau3[[#This Row],[REFERENCE]], Tableau1[NUMERO], 0), 6)</f>
        <v/>
      </c>
      <c r="G253" s="129">
        <f>INDEX(Tableau1[], MATCH(Tableau3[[#This Row],[REFERENCE]], Tableau1[NUMERO], 0), 7)</f>
        <v/>
      </c>
      <c r="H253" t="inlineStr">
        <is>
          <t>trefimetaux</t>
        </is>
      </c>
      <c r="J253" s="2" t="n">
        <v>43727</v>
      </c>
      <c r="K253" s="2" t="n">
        <v>43729</v>
      </c>
      <c r="L253" s="2" t="n"/>
      <c r="O253" s="7" t="n">
        <v>80</v>
      </c>
      <c r="P253" s="8" t="inlineStr">
        <is>
          <t>4 SEMAINES</t>
        </is>
      </c>
      <c r="Q253" s="2" t="n">
        <v>43820</v>
      </c>
    </row>
    <row r="254">
      <c r="A254" s="8" t="n">
        <v>34407941</v>
      </c>
      <c r="B254" s="9">
        <f>INDEX(Tableau1[], MATCH(Tableau3[[#This Row],[REFERENCE]], Tableau1[NUMERO], 0), 2)</f>
        <v/>
      </c>
      <c r="C254" s="129">
        <f>INDEX(Tableau1[], MATCH(Tableau3[[#This Row],[REFERENCE]], Tableau1[NUMERO], 0), 3)</f>
        <v/>
      </c>
      <c r="D254" s="129">
        <f>INDEX(Tableau1[], MATCH(Tableau3[[#This Row],[REFERENCE]], Tableau1[NUMERO], 0),4)</f>
        <v/>
      </c>
      <c r="E254" s="129">
        <f>INDEX(Tableau1[], MATCH(Tableau3[[#This Row],[REFERENCE]], Tableau1[NUMERO], 0), 5)</f>
        <v/>
      </c>
      <c r="F254" s="129">
        <f>INDEX(Tableau1[], MATCH(Tableau3[[#This Row],[REFERENCE]], Tableau1[NUMERO], 0), 6)</f>
        <v/>
      </c>
      <c r="G254" s="129">
        <f>INDEX(Tableau1[], MATCH(Tableau3[[#This Row],[REFERENCE]], Tableau1[NUMERO], 0), 7)</f>
        <v/>
      </c>
      <c r="H254" t="inlineStr">
        <is>
          <t>thyssen</t>
        </is>
      </c>
      <c r="J254" s="2" t="n">
        <v>43727</v>
      </c>
      <c r="K254" s="2" t="n">
        <v>43728</v>
      </c>
      <c r="L254" s="2" t="n"/>
      <c r="O254" s="7" t="n">
        <v>41.58</v>
      </c>
      <c r="P254" s="8" t="inlineStr">
        <is>
          <t>2 semaines</t>
        </is>
      </c>
      <c r="Q254" s="2" t="n">
        <v>43736</v>
      </c>
      <c r="R254" t="inlineStr">
        <is>
          <t>fait par angélique</t>
        </is>
      </c>
    </row>
    <row r="255">
      <c r="A255" s="8" t="n">
        <v>34407942</v>
      </c>
      <c r="B255" s="9">
        <f>INDEX(Tableau1[], MATCH(Tableau3[[#This Row],[REFERENCE]], Tableau1[NUMERO], 0), 2)</f>
        <v/>
      </c>
      <c r="C255" s="129">
        <f>INDEX(Tableau1[], MATCH(Tableau3[[#This Row],[REFERENCE]], Tableau1[NUMERO], 0), 3)</f>
        <v/>
      </c>
      <c r="D255" s="129">
        <f>INDEX(Tableau1[], MATCH(Tableau3[[#This Row],[REFERENCE]], Tableau1[NUMERO], 0),4)</f>
        <v/>
      </c>
      <c r="E255" s="129">
        <f>INDEX(Tableau1[], MATCH(Tableau3[[#This Row],[REFERENCE]], Tableau1[NUMERO], 0), 5)</f>
        <v/>
      </c>
      <c r="F255" s="129">
        <f>INDEX(Tableau1[], MATCH(Tableau3[[#This Row],[REFERENCE]], Tableau1[NUMERO], 0), 6)</f>
        <v/>
      </c>
      <c r="G255" s="129">
        <f>INDEX(Tableau1[], MATCH(Tableau3[[#This Row],[REFERENCE]], Tableau1[NUMERO], 0), 7)</f>
        <v/>
      </c>
      <c r="H255" t="inlineStr">
        <is>
          <t>trefimetaux</t>
        </is>
      </c>
      <c r="J255" s="2" t="n">
        <v>43727</v>
      </c>
      <c r="K255" s="2" t="n">
        <v>43729</v>
      </c>
      <c r="L255" s="2" t="n"/>
      <c r="O255" s="7" t="n">
        <v>90</v>
      </c>
      <c r="P255" s="8" t="inlineStr">
        <is>
          <t>4 SEMAINES</t>
        </is>
      </c>
      <c r="Q255" s="2" t="n">
        <v>43820</v>
      </c>
    </row>
    <row r="256">
      <c r="A256" s="8" t="n">
        <v>34407942</v>
      </c>
      <c r="B256" s="9">
        <f>INDEX(Tableau1[], MATCH(Tableau3[[#This Row],[REFERENCE]], Tableau1[NUMERO], 0), 2)</f>
        <v/>
      </c>
      <c r="C256" s="129">
        <f>INDEX(Tableau1[], MATCH(Tableau3[[#This Row],[REFERENCE]], Tableau1[NUMERO], 0), 3)</f>
        <v/>
      </c>
      <c r="D256" s="129">
        <f>INDEX(Tableau1[], MATCH(Tableau3[[#This Row],[REFERENCE]], Tableau1[NUMERO], 0),4)</f>
        <v/>
      </c>
      <c r="E256" s="129">
        <f>INDEX(Tableau1[], MATCH(Tableau3[[#This Row],[REFERENCE]], Tableau1[NUMERO], 0), 5)</f>
        <v/>
      </c>
      <c r="F256" s="129">
        <f>INDEX(Tableau1[], MATCH(Tableau3[[#This Row],[REFERENCE]], Tableau1[NUMERO], 0), 6)</f>
        <v/>
      </c>
      <c r="G256" s="129">
        <f>INDEX(Tableau1[], MATCH(Tableau3[[#This Row],[REFERENCE]], Tableau1[NUMERO], 0), 7)</f>
        <v/>
      </c>
      <c r="H256" t="inlineStr">
        <is>
          <t>thyssen</t>
        </is>
      </c>
      <c r="J256" s="2" t="n">
        <v>43727</v>
      </c>
      <c r="K256" s="2" t="n">
        <v>43728</v>
      </c>
      <c r="L256" s="2" t="n"/>
      <c r="O256" s="7" t="n">
        <v>64.08</v>
      </c>
      <c r="P256" s="8" t="inlineStr">
        <is>
          <t>2 semaines</t>
        </is>
      </c>
      <c r="Q256" s="2" t="n">
        <v>43736</v>
      </c>
      <c r="R256" t="inlineStr">
        <is>
          <t>fait par angélique</t>
        </is>
      </c>
    </row>
    <row r="257">
      <c r="A257" s="8" t="n">
        <v>34407943</v>
      </c>
      <c r="B257" s="9">
        <f>INDEX(Tableau1[], MATCH(Tableau3[[#This Row],[REFERENCE]], Tableau1[NUMERO], 0), 2)</f>
        <v/>
      </c>
      <c r="C257" s="129">
        <f>INDEX(Tableau1[], MATCH(Tableau3[[#This Row],[REFERENCE]], Tableau1[NUMERO], 0), 3)</f>
        <v/>
      </c>
      <c r="D257" s="129">
        <f>INDEX(Tableau1[], MATCH(Tableau3[[#This Row],[REFERENCE]], Tableau1[NUMERO], 0),4)</f>
        <v/>
      </c>
      <c r="E257" s="129">
        <f>INDEX(Tableau1[], MATCH(Tableau3[[#This Row],[REFERENCE]], Tableau1[NUMERO], 0), 5)</f>
        <v/>
      </c>
      <c r="F257" s="129">
        <f>INDEX(Tableau1[], MATCH(Tableau3[[#This Row],[REFERENCE]], Tableau1[NUMERO], 0), 6)</f>
        <v/>
      </c>
      <c r="G257" s="129">
        <f>INDEX(Tableau1[], MATCH(Tableau3[[#This Row],[REFERENCE]], Tableau1[NUMERO], 0), 7)</f>
        <v/>
      </c>
      <c r="H257" t="inlineStr">
        <is>
          <t>trefimetaux</t>
        </is>
      </c>
      <c r="J257" s="2" t="n">
        <v>43727</v>
      </c>
      <c r="K257" s="2" t="n">
        <v>43729</v>
      </c>
      <c r="L257" s="2" t="n"/>
      <c r="O257" s="7" t="n">
        <v>80</v>
      </c>
      <c r="P257" s="8" t="inlineStr">
        <is>
          <t>4 SEMAINES</t>
        </is>
      </c>
      <c r="Q257" s="2" t="n">
        <v>43820</v>
      </c>
    </row>
    <row r="258">
      <c r="A258" s="8" t="n">
        <v>34407943</v>
      </c>
      <c r="B258" s="9">
        <f>INDEX(Tableau1[], MATCH(Tableau3[[#This Row],[REFERENCE]], Tableau1[NUMERO], 0), 2)</f>
        <v/>
      </c>
      <c r="C258" s="129">
        <f>INDEX(Tableau1[], MATCH(Tableau3[[#This Row],[REFERENCE]], Tableau1[NUMERO], 0), 3)</f>
        <v/>
      </c>
      <c r="D258" s="129">
        <f>INDEX(Tableau1[], MATCH(Tableau3[[#This Row],[REFERENCE]], Tableau1[NUMERO], 0),4)</f>
        <v/>
      </c>
      <c r="E258" s="129">
        <f>INDEX(Tableau1[], MATCH(Tableau3[[#This Row],[REFERENCE]], Tableau1[NUMERO], 0), 5)</f>
        <v/>
      </c>
      <c r="F258" s="129">
        <f>INDEX(Tableau1[], MATCH(Tableau3[[#This Row],[REFERENCE]], Tableau1[NUMERO], 0), 6)</f>
        <v/>
      </c>
      <c r="G258" s="129">
        <f>INDEX(Tableau1[], MATCH(Tableau3[[#This Row],[REFERENCE]], Tableau1[NUMERO], 0), 7)</f>
        <v/>
      </c>
      <c r="H258" t="inlineStr">
        <is>
          <t>thyssen</t>
        </is>
      </c>
      <c r="J258" s="2" t="n">
        <v>43727</v>
      </c>
      <c r="K258" s="2" t="n">
        <v>43728</v>
      </c>
      <c r="L258" s="2" t="n"/>
      <c r="O258" s="7" t="n">
        <v>49.83</v>
      </c>
      <c r="P258" s="8" t="inlineStr">
        <is>
          <t>2 semaines</t>
        </is>
      </c>
      <c r="Q258" s="2" t="n">
        <v>43736</v>
      </c>
      <c r="R258" t="inlineStr">
        <is>
          <t>fait par angélique</t>
        </is>
      </c>
    </row>
    <row r="259">
      <c r="A259" s="8" t="n">
        <v>34407946</v>
      </c>
      <c r="B259" s="9">
        <f>INDEX(Tableau1[], MATCH(Tableau3[[#This Row],[REFERENCE]], Tableau1[NUMERO], 0), 2)</f>
        <v/>
      </c>
      <c r="C259" s="129">
        <f>INDEX(Tableau1[], MATCH(Tableau3[[#This Row],[REFERENCE]], Tableau1[NUMERO], 0), 3)</f>
        <v/>
      </c>
      <c r="D259" s="129">
        <f>INDEX(Tableau1[], MATCH(Tableau3[[#This Row],[REFERENCE]], Tableau1[NUMERO], 0),4)</f>
        <v/>
      </c>
      <c r="E259" s="129">
        <f>INDEX(Tableau1[], MATCH(Tableau3[[#This Row],[REFERENCE]], Tableau1[NUMERO], 0), 5)</f>
        <v/>
      </c>
      <c r="F259" s="129">
        <f>INDEX(Tableau1[], MATCH(Tableau3[[#This Row],[REFERENCE]], Tableau1[NUMERO], 0), 6)</f>
        <v/>
      </c>
      <c r="G259" s="129">
        <f>INDEX(Tableau1[], MATCH(Tableau3[[#This Row],[REFERENCE]], Tableau1[NUMERO], 0), 7)</f>
        <v/>
      </c>
      <c r="H259" t="inlineStr">
        <is>
          <t>lasertechnic</t>
        </is>
      </c>
      <c r="J259" s="2" t="n">
        <v>43727</v>
      </c>
      <c r="K259" s="2" t="n">
        <v>43731</v>
      </c>
      <c r="L259" s="2" t="n"/>
      <c r="O259" s="7" t="n">
        <v>64</v>
      </c>
      <c r="P259" s="8" t="inlineStr">
        <is>
          <t>5 JOURS</t>
        </is>
      </c>
      <c r="Q259" s="2" t="n">
        <v>43822</v>
      </c>
    </row>
    <row r="260">
      <c r="A260" s="8" t="n">
        <v>34407946</v>
      </c>
      <c r="B260" s="9">
        <f>INDEX(Tableau1[], MATCH(Tableau3[[#This Row],[REFERENCE]], Tableau1[NUMERO], 0), 2)</f>
        <v/>
      </c>
      <c r="C260" s="129">
        <f>INDEX(Tableau1[], MATCH(Tableau3[[#This Row],[REFERENCE]], Tableau1[NUMERO], 0), 3)</f>
        <v/>
      </c>
      <c r="D260" s="129">
        <f>INDEX(Tableau1[], MATCH(Tableau3[[#This Row],[REFERENCE]], Tableau1[NUMERO], 0),4)</f>
        <v/>
      </c>
      <c r="E260" s="129">
        <f>INDEX(Tableau1[], MATCH(Tableau3[[#This Row],[REFERENCE]], Tableau1[NUMERO], 0), 5)</f>
        <v/>
      </c>
      <c r="F260" s="129">
        <f>INDEX(Tableau1[], MATCH(Tableau3[[#This Row],[REFERENCE]], Tableau1[NUMERO], 0), 6)</f>
        <v/>
      </c>
      <c r="G260" s="129">
        <f>INDEX(Tableau1[], MATCH(Tableau3[[#This Row],[REFERENCE]], Tableau1[NUMERO], 0), 7)</f>
        <v/>
      </c>
      <c r="H260" t="inlineStr">
        <is>
          <t>paillet</t>
        </is>
      </c>
      <c r="J260" s="2" t="n">
        <v>43727</v>
      </c>
      <c r="K260" s="2" t="n">
        <v>43727</v>
      </c>
      <c r="L260" s="2" t="n"/>
      <c r="O260" s="7" t="inlineStr">
        <is>
          <t>refus de prix</t>
        </is>
      </c>
      <c r="P260" s="8" t="n"/>
      <c r="Q260" s="2" t="n"/>
      <c r="R260" t="inlineStr">
        <is>
          <t>fait par angélique</t>
        </is>
      </c>
    </row>
    <row r="261">
      <c r="A261" s="8" t="n">
        <v>34407947</v>
      </c>
      <c r="B261" s="9">
        <f>INDEX(Tableau1[], MATCH(Tableau3[[#This Row],[REFERENCE]], Tableau1[NUMERO], 0), 2)</f>
        <v/>
      </c>
      <c r="C261" s="129">
        <f>INDEX(Tableau1[], MATCH(Tableau3[[#This Row],[REFERENCE]], Tableau1[NUMERO], 0), 3)</f>
        <v/>
      </c>
      <c r="D261" s="129">
        <f>INDEX(Tableau1[], MATCH(Tableau3[[#This Row],[REFERENCE]], Tableau1[NUMERO], 0),4)</f>
        <v/>
      </c>
      <c r="E261" s="129">
        <f>INDEX(Tableau1[], MATCH(Tableau3[[#This Row],[REFERENCE]], Tableau1[NUMERO], 0), 5)</f>
        <v/>
      </c>
      <c r="F261" s="129">
        <f>INDEX(Tableau1[], MATCH(Tableau3[[#This Row],[REFERENCE]], Tableau1[NUMERO], 0), 6)</f>
        <v/>
      </c>
      <c r="G261" s="129">
        <f>INDEX(Tableau1[], MATCH(Tableau3[[#This Row],[REFERENCE]], Tableau1[NUMERO], 0), 7)</f>
        <v/>
      </c>
      <c r="H261" t="inlineStr">
        <is>
          <t>lasertechnic</t>
        </is>
      </c>
      <c r="J261" s="2" t="n">
        <v>43727</v>
      </c>
      <c r="K261" s="2" t="n">
        <v>43731</v>
      </c>
      <c r="L261" s="2" t="n"/>
      <c r="O261" s="7" t="n">
        <v>24</v>
      </c>
      <c r="P261" s="8" t="inlineStr">
        <is>
          <t>5 JOURS</t>
        </is>
      </c>
      <c r="Q261" s="2" t="n">
        <v>43822</v>
      </c>
    </row>
    <row r="262">
      <c r="A262" s="8" t="n">
        <v>34407947</v>
      </c>
      <c r="B262" s="9">
        <f>INDEX(Tableau1[], MATCH(Tableau3[[#This Row],[REFERENCE]], Tableau1[NUMERO], 0), 2)</f>
        <v/>
      </c>
      <c r="C262" s="129">
        <f>INDEX(Tableau1[], MATCH(Tableau3[[#This Row],[REFERENCE]], Tableau1[NUMERO], 0), 3)</f>
        <v/>
      </c>
      <c r="D262" s="129">
        <f>INDEX(Tableau1[], MATCH(Tableau3[[#This Row],[REFERENCE]], Tableau1[NUMERO], 0),4)</f>
        <v/>
      </c>
      <c r="E262" s="129">
        <f>INDEX(Tableau1[], MATCH(Tableau3[[#This Row],[REFERENCE]], Tableau1[NUMERO], 0), 5)</f>
        <v/>
      </c>
      <c r="F262" s="129">
        <f>INDEX(Tableau1[], MATCH(Tableau3[[#This Row],[REFERENCE]], Tableau1[NUMERO], 0), 6)</f>
        <v/>
      </c>
      <c r="G262" s="129">
        <f>INDEX(Tableau1[], MATCH(Tableau3[[#This Row],[REFERENCE]], Tableau1[NUMERO], 0), 7)</f>
        <v/>
      </c>
      <c r="H262" t="inlineStr">
        <is>
          <t>paillet</t>
        </is>
      </c>
      <c r="J262" s="2" t="n">
        <v>43727</v>
      </c>
      <c r="K262" s="2" t="n">
        <v>43727</v>
      </c>
      <c r="L262" s="2" t="n"/>
      <c r="O262" s="7" t="inlineStr">
        <is>
          <t>refus de prix</t>
        </is>
      </c>
      <c r="P262" s="8" t="n"/>
      <c r="Q262" s="2" t="n"/>
      <c r="R262" t="inlineStr">
        <is>
          <t>fait par angélique</t>
        </is>
      </c>
    </row>
    <row r="263">
      <c r="A263" s="8" t="n">
        <v>34407948</v>
      </c>
      <c r="B263" s="9">
        <f>INDEX(Tableau1[], MATCH(Tableau3[[#This Row],[REFERENCE]], Tableau1[NUMERO], 0), 2)</f>
        <v/>
      </c>
      <c r="C263" s="129">
        <f>INDEX(Tableau1[], MATCH(Tableau3[[#This Row],[REFERENCE]], Tableau1[NUMERO], 0), 3)</f>
        <v/>
      </c>
      <c r="D263" s="129">
        <f>INDEX(Tableau1[], MATCH(Tableau3[[#This Row],[REFERENCE]], Tableau1[NUMERO], 0),4)</f>
        <v/>
      </c>
      <c r="E263" s="129">
        <f>INDEX(Tableau1[], MATCH(Tableau3[[#This Row],[REFERENCE]], Tableau1[NUMERO], 0), 5)</f>
        <v/>
      </c>
      <c r="F263" s="129">
        <f>INDEX(Tableau1[], MATCH(Tableau3[[#This Row],[REFERENCE]], Tableau1[NUMERO], 0), 6)</f>
        <v/>
      </c>
      <c r="G263" s="129">
        <f>INDEX(Tableau1[], MATCH(Tableau3[[#This Row],[REFERENCE]], Tableau1[NUMERO], 0), 7)</f>
        <v/>
      </c>
      <c r="H263" t="inlineStr">
        <is>
          <t>lasertechnic</t>
        </is>
      </c>
      <c r="J263" s="2" t="n">
        <v>43724</v>
      </c>
      <c r="K263" s="2" t="n">
        <v>43724</v>
      </c>
      <c r="L263" s="2" t="n"/>
      <c r="O263" s="7" t="n">
        <v>49</v>
      </c>
      <c r="P263" s="8" t="inlineStr">
        <is>
          <t>48H</t>
        </is>
      </c>
      <c r="Q263" s="2" t="n">
        <v>43815</v>
      </c>
    </row>
    <row r="264">
      <c r="A264" s="8" t="n">
        <v>34407949</v>
      </c>
      <c r="B264" s="9">
        <f>INDEX(Tableau1[], MATCH(Tableau3[[#This Row],[REFERENCE]], Tableau1[NUMERO], 0), 2)</f>
        <v/>
      </c>
      <c r="C264" s="129">
        <f>INDEX(Tableau1[], MATCH(Tableau3[[#This Row],[REFERENCE]], Tableau1[NUMERO], 0), 3)</f>
        <v/>
      </c>
      <c r="D264" s="129">
        <f>INDEX(Tableau1[], MATCH(Tableau3[[#This Row],[REFERENCE]], Tableau1[NUMERO], 0),4)</f>
        <v/>
      </c>
      <c r="E264" s="129">
        <f>INDEX(Tableau1[], MATCH(Tableau3[[#This Row],[REFERENCE]], Tableau1[NUMERO], 0), 5)</f>
        <v/>
      </c>
      <c r="F264" s="129">
        <f>INDEX(Tableau1[], MATCH(Tableau3[[#This Row],[REFERENCE]], Tableau1[NUMERO], 0), 6)</f>
        <v/>
      </c>
      <c r="G264" s="129">
        <f>INDEX(Tableau1[], MATCH(Tableau3[[#This Row],[REFERENCE]], Tableau1[NUMERO], 0), 7)</f>
        <v/>
      </c>
      <c r="H264" t="inlineStr">
        <is>
          <t>lasertechnic</t>
        </is>
      </c>
      <c r="J264" s="2" t="n">
        <v>43727</v>
      </c>
      <c r="K264" s="2" t="n">
        <v>43731</v>
      </c>
      <c r="L264" s="2" t="n"/>
      <c r="O264" s="7" t="n">
        <v>18</v>
      </c>
      <c r="P264" s="8" t="inlineStr">
        <is>
          <t>5 JOURS</t>
        </is>
      </c>
      <c r="Q264" s="2" t="n">
        <v>43822</v>
      </c>
    </row>
    <row r="265">
      <c r="A265" s="8" t="n">
        <v>34407949</v>
      </c>
      <c r="B265" s="9">
        <f>INDEX(Tableau1[], MATCH(Tableau3[[#This Row],[REFERENCE]], Tableau1[NUMERO], 0), 2)</f>
        <v/>
      </c>
      <c r="C265" s="129">
        <f>INDEX(Tableau1[], MATCH(Tableau3[[#This Row],[REFERENCE]], Tableau1[NUMERO], 0), 3)</f>
        <v/>
      </c>
      <c r="D265" s="129">
        <f>INDEX(Tableau1[], MATCH(Tableau3[[#This Row],[REFERENCE]], Tableau1[NUMERO], 0),4)</f>
        <v/>
      </c>
      <c r="E265" s="129">
        <f>INDEX(Tableau1[], MATCH(Tableau3[[#This Row],[REFERENCE]], Tableau1[NUMERO], 0), 5)</f>
        <v/>
      </c>
      <c r="F265" s="129">
        <f>INDEX(Tableau1[], MATCH(Tableau3[[#This Row],[REFERENCE]], Tableau1[NUMERO], 0), 6)</f>
        <v/>
      </c>
      <c r="G265" s="129">
        <f>INDEX(Tableau1[], MATCH(Tableau3[[#This Row],[REFERENCE]], Tableau1[NUMERO], 0), 7)</f>
        <v/>
      </c>
      <c r="H265" t="inlineStr">
        <is>
          <t>paillet</t>
        </is>
      </c>
      <c r="J265" s="2" t="n">
        <v>43727</v>
      </c>
      <c r="K265" s="2" t="n">
        <v>43727</v>
      </c>
      <c r="L265" s="2" t="n"/>
      <c r="O265" s="7" t="inlineStr">
        <is>
          <t>refus de prix</t>
        </is>
      </c>
      <c r="P265" s="8" t="n"/>
      <c r="Q265" s="2" t="n"/>
      <c r="R265" t="inlineStr">
        <is>
          <t>fait par angélique</t>
        </is>
      </c>
    </row>
    <row r="266">
      <c r="A266" s="8" t="n">
        <v>34407950</v>
      </c>
      <c r="B266" s="9">
        <f>INDEX(Tableau1[], MATCH(Tableau3[[#This Row],[REFERENCE]], Tableau1[NUMERO], 0), 2)</f>
        <v/>
      </c>
      <c r="C266" s="129">
        <f>INDEX(Tableau1[], MATCH(Tableau3[[#This Row],[REFERENCE]], Tableau1[NUMERO], 0), 3)</f>
        <v/>
      </c>
      <c r="D266" s="129">
        <f>INDEX(Tableau1[], MATCH(Tableau3[[#This Row],[REFERENCE]], Tableau1[NUMERO], 0),4)</f>
        <v/>
      </c>
      <c r="E266" s="129">
        <f>INDEX(Tableau1[], MATCH(Tableau3[[#This Row],[REFERENCE]], Tableau1[NUMERO], 0), 5)</f>
        <v/>
      </c>
      <c r="F266" s="129">
        <f>INDEX(Tableau1[], MATCH(Tableau3[[#This Row],[REFERENCE]], Tableau1[NUMERO], 0), 6)</f>
        <v/>
      </c>
      <c r="G266" s="129">
        <f>INDEX(Tableau1[], MATCH(Tableau3[[#This Row],[REFERENCE]], Tableau1[NUMERO], 0), 7)</f>
        <v/>
      </c>
      <c r="H266" t="inlineStr">
        <is>
          <t>COMATEL</t>
        </is>
      </c>
      <c r="J266" s="2" t="n">
        <v>43725</v>
      </c>
      <c r="K266" s="2" t="n">
        <v>43725</v>
      </c>
      <c r="L266" s="2" t="n"/>
      <c r="O266" s="7" t="n">
        <v>159.73</v>
      </c>
      <c r="P266" s="8" t="inlineStr">
        <is>
          <t>3 SEMAINES</t>
        </is>
      </c>
      <c r="Q266" s="2" t="n">
        <v>43816</v>
      </c>
    </row>
    <row r="267">
      <c r="A267" s="8" t="n">
        <v>34407951</v>
      </c>
      <c r="B267" s="9">
        <f>INDEX(Tableau1[], MATCH(Tableau3[[#This Row],[REFERENCE]], Tableau1[NUMERO], 0), 2)</f>
        <v/>
      </c>
      <c r="C267" s="129">
        <f>INDEX(Tableau1[], MATCH(Tableau3[[#This Row],[REFERENCE]], Tableau1[NUMERO], 0), 3)</f>
        <v/>
      </c>
      <c r="D267" s="129">
        <f>INDEX(Tableau1[], MATCH(Tableau3[[#This Row],[REFERENCE]], Tableau1[NUMERO], 0),4)</f>
        <v/>
      </c>
      <c r="E267" s="129">
        <f>INDEX(Tableau1[], MATCH(Tableau3[[#This Row],[REFERENCE]], Tableau1[NUMERO], 0), 5)</f>
        <v/>
      </c>
      <c r="F267" s="129">
        <f>INDEX(Tableau1[], MATCH(Tableau3[[#This Row],[REFERENCE]], Tableau1[NUMERO], 0), 6)</f>
        <v/>
      </c>
      <c r="G267" s="129">
        <f>INDEX(Tableau1[], MATCH(Tableau3[[#This Row],[REFERENCE]], Tableau1[NUMERO], 0), 7)</f>
        <v/>
      </c>
      <c r="H267" t="inlineStr">
        <is>
          <t>lasertechnic</t>
        </is>
      </c>
      <c r="J267" s="2" t="n">
        <v>43727</v>
      </c>
      <c r="K267" s="2" t="n">
        <v>43731</v>
      </c>
      <c r="L267" s="2" t="n"/>
      <c r="O267" s="7" t="n">
        <v>52</v>
      </c>
      <c r="P267" s="8" t="inlineStr">
        <is>
          <t>5 JOURS</t>
        </is>
      </c>
      <c r="Q267" s="2" t="n">
        <v>43822</v>
      </c>
    </row>
    <row r="268">
      <c r="A268" s="8" t="n">
        <v>34407951</v>
      </c>
      <c r="B268" s="9">
        <f>INDEX(Tableau1[], MATCH(Tableau3[[#This Row],[REFERENCE]], Tableau1[NUMERO], 0), 2)</f>
        <v/>
      </c>
      <c r="C268" s="129">
        <f>INDEX(Tableau1[], MATCH(Tableau3[[#This Row],[REFERENCE]], Tableau1[NUMERO], 0), 3)</f>
        <v/>
      </c>
      <c r="D268" s="129">
        <f>INDEX(Tableau1[], MATCH(Tableau3[[#This Row],[REFERENCE]], Tableau1[NUMERO], 0),4)</f>
        <v/>
      </c>
      <c r="E268" s="129">
        <f>INDEX(Tableau1[], MATCH(Tableau3[[#This Row],[REFERENCE]], Tableau1[NUMERO], 0), 5)</f>
        <v/>
      </c>
      <c r="F268" s="129">
        <f>INDEX(Tableau1[], MATCH(Tableau3[[#This Row],[REFERENCE]], Tableau1[NUMERO], 0), 6)</f>
        <v/>
      </c>
      <c r="G268" s="129">
        <f>INDEX(Tableau1[], MATCH(Tableau3[[#This Row],[REFERENCE]], Tableau1[NUMERO], 0), 7)</f>
        <v/>
      </c>
      <c r="H268" t="inlineStr">
        <is>
          <t>paillet</t>
        </is>
      </c>
      <c r="J268" s="2" t="n">
        <v>43727</v>
      </c>
      <c r="K268" s="2" t="n">
        <v>43727</v>
      </c>
      <c r="L268" s="2" t="n"/>
      <c r="O268" s="7" t="inlineStr">
        <is>
          <t>refus de prix</t>
        </is>
      </c>
      <c r="P268" s="8" t="n"/>
      <c r="Q268" s="2" t="n"/>
      <c r="R268" t="inlineStr">
        <is>
          <t>fait par angélique</t>
        </is>
      </c>
    </row>
    <row r="269">
      <c r="A269" s="8" t="n">
        <v>34407952</v>
      </c>
      <c r="B269" s="9">
        <f>INDEX(Tableau1[], MATCH(Tableau3[[#This Row],[REFERENCE]], Tableau1[NUMERO], 0), 2)</f>
        <v/>
      </c>
      <c r="C269" s="129">
        <f>INDEX(Tableau1[], MATCH(Tableau3[[#This Row],[REFERENCE]], Tableau1[NUMERO], 0), 3)</f>
        <v/>
      </c>
      <c r="D269" s="129">
        <f>INDEX(Tableau1[], MATCH(Tableau3[[#This Row],[REFERENCE]], Tableau1[NUMERO], 0),4)</f>
        <v/>
      </c>
      <c r="E269" s="129">
        <f>INDEX(Tableau1[], MATCH(Tableau3[[#This Row],[REFERENCE]], Tableau1[NUMERO], 0), 5)</f>
        <v/>
      </c>
      <c r="F269" s="129">
        <f>INDEX(Tableau1[], MATCH(Tableau3[[#This Row],[REFERENCE]], Tableau1[NUMERO], 0), 6)</f>
        <v/>
      </c>
      <c r="G269" s="129">
        <f>INDEX(Tableau1[], MATCH(Tableau3[[#This Row],[REFERENCE]], Tableau1[NUMERO], 0), 7)</f>
        <v/>
      </c>
      <c r="H269" t="inlineStr">
        <is>
          <t>lasertechnic</t>
        </is>
      </c>
      <c r="J269" s="2" t="n">
        <v>43727</v>
      </c>
      <c r="K269" s="2" t="n">
        <v>43731</v>
      </c>
      <c r="L269" s="2" t="n"/>
      <c r="O269" s="7" t="n">
        <v>54</v>
      </c>
      <c r="P269" s="8" t="inlineStr">
        <is>
          <t>5 JOURS</t>
        </is>
      </c>
      <c r="Q269" s="2" t="n">
        <v>43822</v>
      </c>
    </row>
    <row r="270">
      <c r="A270" s="8" t="n">
        <v>34407952</v>
      </c>
      <c r="B270" s="9">
        <f>INDEX(Tableau1[], MATCH(Tableau3[[#This Row],[REFERENCE]], Tableau1[NUMERO], 0), 2)</f>
        <v/>
      </c>
      <c r="C270" s="129">
        <f>INDEX(Tableau1[], MATCH(Tableau3[[#This Row],[REFERENCE]], Tableau1[NUMERO], 0), 3)</f>
        <v/>
      </c>
      <c r="D270" s="129">
        <f>INDEX(Tableau1[], MATCH(Tableau3[[#This Row],[REFERENCE]], Tableau1[NUMERO], 0),4)</f>
        <v/>
      </c>
      <c r="E270" s="129">
        <f>INDEX(Tableau1[], MATCH(Tableau3[[#This Row],[REFERENCE]], Tableau1[NUMERO], 0), 5)</f>
        <v/>
      </c>
      <c r="F270" s="129">
        <f>INDEX(Tableau1[], MATCH(Tableau3[[#This Row],[REFERENCE]], Tableau1[NUMERO], 0), 6)</f>
        <v/>
      </c>
      <c r="G270" s="129">
        <f>INDEX(Tableau1[], MATCH(Tableau3[[#This Row],[REFERENCE]], Tableau1[NUMERO], 0), 7)</f>
        <v/>
      </c>
      <c r="H270" t="inlineStr">
        <is>
          <t>paillet</t>
        </is>
      </c>
      <c r="J270" s="2" t="n">
        <v>43727</v>
      </c>
      <c r="K270" s="2" t="n">
        <v>43727</v>
      </c>
      <c r="L270" s="2" t="n"/>
      <c r="O270" s="7" t="inlineStr">
        <is>
          <t>refus de prix</t>
        </is>
      </c>
      <c r="P270" s="8" t="n"/>
      <c r="Q270" s="2" t="n"/>
      <c r="R270" t="inlineStr">
        <is>
          <t>fait par angélique</t>
        </is>
      </c>
    </row>
    <row r="271">
      <c r="A271" s="8" t="n">
        <v>34407953</v>
      </c>
      <c r="B271" s="9">
        <f>INDEX(Tableau1[], MATCH(Tableau3[[#This Row],[REFERENCE]], Tableau1[NUMERO], 0), 2)</f>
        <v/>
      </c>
      <c r="C271" s="129">
        <f>INDEX(Tableau1[], MATCH(Tableau3[[#This Row],[REFERENCE]], Tableau1[NUMERO], 0), 3)</f>
        <v/>
      </c>
      <c r="D271" s="129">
        <f>INDEX(Tableau1[], MATCH(Tableau3[[#This Row],[REFERENCE]], Tableau1[NUMERO], 0),4)</f>
        <v/>
      </c>
      <c r="E271" s="129">
        <f>INDEX(Tableau1[], MATCH(Tableau3[[#This Row],[REFERENCE]], Tableau1[NUMERO], 0), 5)</f>
        <v/>
      </c>
      <c r="F271" s="129">
        <f>INDEX(Tableau1[], MATCH(Tableau3[[#This Row],[REFERENCE]], Tableau1[NUMERO], 0), 6)</f>
        <v/>
      </c>
      <c r="G271" s="129">
        <f>INDEX(Tableau1[], MATCH(Tableau3[[#This Row],[REFERENCE]], Tableau1[NUMERO], 0), 7)</f>
        <v/>
      </c>
      <c r="H271" t="inlineStr">
        <is>
          <t>lasertechnic</t>
        </is>
      </c>
      <c r="J271" s="2" t="n">
        <v>43727</v>
      </c>
      <c r="K271" s="2" t="n">
        <v>43731</v>
      </c>
      <c r="L271" s="2" t="n"/>
      <c r="O271" s="7" t="n">
        <v>81</v>
      </c>
      <c r="P271" s="8" t="inlineStr">
        <is>
          <t>5 JOURS</t>
        </is>
      </c>
      <c r="Q271" s="2" t="n">
        <v>43822</v>
      </c>
    </row>
    <row r="272">
      <c r="A272" s="8" t="n">
        <v>34407953</v>
      </c>
      <c r="B272" s="9">
        <f>INDEX(Tableau1[], MATCH(Tableau3[[#This Row],[REFERENCE]], Tableau1[NUMERO], 0), 2)</f>
        <v/>
      </c>
      <c r="C272" s="129">
        <f>INDEX(Tableau1[], MATCH(Tableau3[[#This Row],[REFERENCE]], Tableau1[NUMERO], 0), 3)</f>
        <v/>
      </c>
      <c r="D272" s="129">
        <f>INDEX(Tableau1[], MATCH(Tableau3[[#This Row],[REFERENCE]], Tableau1[NUMERO], 0),4)</f>
        <v/>
      </c>
      <c r="E272" s="129">
        <f>INDEX(Tableau1[], MATCH(Tableau3[[#This Row],[REFERENCE]], Tableau1[NUMERO], 0), 5)</f>
        <v/>
      </c>
      <c r="F272" s="129">
        <f>INDEX(Tableau1[], MATCH(Tableau3[[#This Row],[REFERENCE]], Tableau1[NUMERO], 0), 6)</f>
        <v/>
      </c>
      <c r="G272" s="129">
        <f>INDEX(Tableau1[], MATCH(Tableau3[[#This Row],[REFERENCE]], Tableau1[NUMERO], 0), 7)</f>
        <v/>
      </c>
      <c r="H272" t="inlineStr">
        <is>
          <t>paillet</t>
        </is>
      </c>
      <c r="J272" s="2" t="n">
        <v>43727</v>
      </c>
      <c r="K272" s="2" t="n">
        <v>43727</v>
      </c>
      <c r="L272" s="2" t="n"/>
      <c r="O272" s="7" t="inlineStr">
        <is>
          <t>refus de prix</t>
        </is>
      </c>
      <c r="P272" s="8" t="n"/>
      <c r="Q272" s="2" t="n"/>
      <c r="R272" t="inlineStr">
        <is>
          <t>fait par angélique</t>
        </is>
      </c>
    </row>
    <row r="273">
      <c r="A273" s="8" t="n">
        <v>34407954</v>
      </c>
      <c r="B273" s="9">
        <f>INDEX(Tableau1[], MATCH(Tableau3[[#This Row],[REFERENCE]], Tableau1[NUMERO], 0), 2)</f>
        <v/>
      </c>
      <c r="C273" s="129">
        <f>INDEX(Tableau1[], MATCH(Tableau3[[#This Row],[REFERENCE]], Tableau1[NUMERO], 0), 3)</f>
        <v/>
      </c>
      <c r="D273" s="129">
        <f>INDEX(Tableau1[], MATCH(Tableau3[[#This Row],[REFERENCE]], Tableau1[NUMERO], 0),4)</f>
        <v/>
      </c>
      <c r="E273" s="129">
        <f>INDEX(Tableau1[], MATCH(Tableau3[[#This Row],[REFERENCE]], Tableau1[NUMERO], 0), 5)</f>
        <v/>
      </c>
      <c r="F273" s="129">
        <f>INDEX(Tableau1[], MATCH(Tableau3[[#This Row],[REFERENCE]], Tableau1[NUMERO], 0), 6)</f>
        <v/>
      </c>
      <c r="G273" s="129">
        <f>INDEX(Tableau1[], MATCH(Tableau3[[#This Row],[REFERENCE]], Tableau1[NUMERO], 0), 7)</f>
        <v/>
      </c>
      <c r="H273" t="inlineStr">
        <is>
          <t>lasertechnic</t>
        </is>
      </c>
      <c r="J273" s="2" t="n">
        <v>43727</v>
      </c>
      <c r="K273" s="2" t="n">
        <v>43731</v>
      </c>
      <c r="L273" s="2" t="n"/>
      <c r="O273" s="7" t="n">
        <v>16</v>
      </c>
      <c r="P273" s="8" t="inlineStr">
        <is>
          <t>5 JOURS</t>
        </is>
      </c>
      <c r="Q273" s="2" t="n">
        <v>43822</v>
      </c>
    </row>
    <row r="274">
      <c r="A274" s="8" t="n">
        <v>34407954</v>
      </c>
      <c r="B274" s="9">
        <f>INDEX(Tableau1[], MATCH(Tableau3[[#This Row],[REFERENCE]], Tableau1[NUMERO], 0), 2)</f>
        <v/>
      </c>
      <c r="C274" s="129">
        <f>INDEX(Tableau1[], MATCH(Tableau3[[#This Row],[REFERENCE]], Tableau1[NUMERO], 0), 3)</f>
        <v/>
      </c>
      <c r="D274" s="129">
        <f>INDEX(Tableau1[], MATCH(Tableau3[[#This Row],[REFERENCE]], Tableau1[NUMERO], 0),4)</f>
        <v/>
      </c>
      <c r="E274" s="129">
        <f>INDEX(Tableau1[], MATCH(Tableau3[[#This Row],[REFERENCE]], Tableau1[NUMERO], 0), 5)</f>
        <v/>
      </c>
      <c r="F274" s="129">
        <f>INDEX(Tableau1[], MATCH(Tableau3[[#This Row],[REFERENCE]], Tableau1[NUMERO], 0), 6)</f>
        <v/>
      </c>
      <c r="G274" s="129">
        <f>INDEX(Tableau1[], MATCH(Tableau3[[#This Row],[REFERENCE]], Tableau1[NUMERO], 0), 7)</f>
        <v/>
      </c>
      <c r="H274" t="inlineStr">
        <is>
          <t>paillet</t>
        </is>
      </c>
      <c r="J274" s="2" t="n">
        <v>43727</v>
      </c>
      <c r="K274" s="2" t="n">
        <v>43727</v>
      </c>
      <c r="L274" s="2" t="n"/>
      <c r="O274" s="7" t="inlineStr">
        <is>
          <t>refus de prix</t>
        </is>
      </c>
      <c r="P274" s="8" t="n"/>
      <c r="Q274" s="2" t="n"/>
      <c r="R274" t="inlineStr">
        <is>
          <t>fait par angélique</t>
        </is>
      </c>
    </row>
    <row r="275">
      <c r="A275" s="8" t="n">
        <v>34407955</v>
      </c>
      <c r="B275" s="9">
        <f>INDEX(Tableau1[], MATCH(Tableau3[[#This Row],[REFERENCE]], Tableau1[NUMERO], 0), 2)</f>
        <v/>
      </c>
      <c r="C275" s="129">
        <f>INDEX(Tableau1[], MATCH(Tableau3[[#This Row],[REFERENCE]], Tableau1[NUMERO], 0), 3)</f>
        <v/>
      </c>
      <c r="D275" s="129">
        <f>INDEX(Tableau1[], MATCH(Tableau3[[#This Row],[REFERENCE]], Tableau1[NUMERO], 0),4)</f>
        <v/>
      </c>
      <c r="E275" s="129">
        <f>INDEX(Tableau1[], MATCH(Tableau3[[#This Row],[REFERENCE]], Tableau1[NUMERO], 0), 5)</f>
        <v/>
      </c>
      <c r="F275" s="129">
        <f>INDEX(Tableau1[], MATCH(Tableau3[[#This Row],[REFERENCE]], Tableau1[NUMERO], 0), 6)</f>
        <v/>
      </c>
      <c r="G275" s="129">
        <f>INDEX(Tableau1[], MATCH(Tableau3[[#This Row],[REFERENCE]], Tableau1[NUMERO], 0), 7)</f>
        <v/>
      </c>
      <c r="H275" t="inlineStr">
        <is>
          <t>lasertechnic</t>
        </is>
      </c>
      <c r="J275" s="2" t="n">
        <v>43726</v>
      </c>
      <c r="K275" s="2" t="n">
        <v>43728</v>
      </c>
      <c r="L275" s="2" t="n"/>
      <c r="O275" s="7" t="n">
        <v>58</v>
      </c>
      <c r="P275" s="8" t="inlineStr">
        <is>
          <t>5 jours</t>
        </is>
      </c>
      <c r="Q275" s="2" t="n">
        <v>43819</v>
      </c>
    </row>
    <row r="276">
      <c r="A276" s="8" t="n">
        <v>34407956</v>
      </c>
      <c r="B276" s="9">
        <f>INDEX(Tableau1[], MATCH(Tableau3[[#This Row],[REFERENCE]], Tableau1[NUMERO], 0), 2)</f>
        <v/>
      </c>
      <c r="C276" s="129">
        <f>INDEX(Tableau1[], MATCH(Tableau3[[#This Row],[REFERENCE]], Tableau1[NUMERO], 0), 3)</f>
        <v/>
      </c>
      <c r="D276" s="129">
        <f>INDEX(Tableau1[], MATCH(Tableau3[[#This Row],[REFERENCE]], Tableau1[NUMERO], 0),4)</f>
        <v/>
      </c>
      <c r="E276" s="129">
        <f>INDEX(Tableau1[], MATCH(Tableau3[[#This Row],[REFERENCE]], Tableau1[NUMERO], 0), 5)</f>
        <v/>
      </c>
      <c r="F276" s="129">
        <f>INDEX(Tableau1[], MATCH(Tableau3[[#This Row],[REFERENCE]], Tableau1[NUMERO], 0), 6)</f>
        <v/>
      </c>
      <c r="G276" s="129">
        <f>INDEX(Tableau1[], MATCH(Tableau3[[#This Row],[REFERENCE]], Tableau1[NUMERO], 0), 7)</f>
        <v/>
      </c>
      <c r="H276" t="inlineStr">
        <is>
          <t>lasertechnic</t>
        </is>
      </c>
      <c r="J276" s="2" t="n">
        <v>43726</v>
      </c>
      <c r="K276" s="2" t="n">
        <v>43728</v>
      </c>
      <c r="L276" s="2" t="n"/>
      <c r="O276" s="7" t="n">
        <v>84</v>
      </c>
      <c r="P276" s="8" t="inlineStr">
        <is>
          <t>5 jours</t>
        </is>
      </c>
      <c r="Q276" s="2" t="n">
        <v>43819</v>
      </c>
    </row>
    <row r="277">
      <c r="A277" s="8" t="n">
        <v>34407960</v>
      </c>
      <c r="B277" s="9">
        <f>INDEX(Tableau1[], MATCH(Tableau3[[#This Row],[REFERENCE]], Tableau1[NUMERO], 0), 2)</f>
        <v/>
      </c>
      <c r="C277" s="129">
        <f>INDEX(Tableau1[], MATCH(Tableau3[[#This Row],[REFERENCE]], Tableau1[NUMERO], 0), 3)</f>
        <v/>
      </c>
      <c r="D277" s="129">
        <f>INDEX(Tableau1[], MATCH(Tableau3[[#This Row],[REFERENCE]], Tableau1[NUMERO], 0),4)</f>
        <v/>
      </c>
      <c r="E277" s="129">
        <f>INDEX(Tableau1[], MATCH(Tableau3[[#This Row],[REFERENCE]], Tableau1[NUMERO], 0), 5)</f>
        <v/>
      </c>
      <c r="F277" s="129">
        <f>INDEX(Tableau1[], MATCH(Tableau3[[#This Row],[REFERENCE]], Tableau1[NUMERO], 0), 6)</f>
        <v/>
      </c>
      <c r="G277" s="129">
        <f>INDEX(Tableau1[], MATCH(Tableau3[[#This Row],[REFERENCE]], Tableau1[NUMERO], 0), 7)</f>
        <v/>
      </c>
      <c r="H277" t="inlineStr">
        <is>
          <t>thyssen</t>
        </is>
      </c>
      <c r="J277" s="2" t="n">
        <v>43754</v>
      </c>
      <c r="K277" s="2" t="n"/>
      <c r="L277" s="2" t="n"/>
      <c r="O277" s="7" t="n">
        <v>14.3</v>
      </c>
      <c r="P277" s="8" t="inlineStr">
        <is>
          <t>3 SEMAINES</t>
        </is>
      </c>
      <c r="Q277" s="2" t="n">
        <v>43773</v>
      </c>
    </row>
    <row r="278">
      <c r="A278" s="8" t="n">
        <v>34407960</v>
      </c>
      <c r="B278" s="9">
        <f>INDEX(Tableau1[], MATCH(Tableau3[[#This Row],[REFERENCE]], Tableau1[NUMERO], 0), 2)</f>
        <v/>
      </c>
      <c r="C278" s="129">
        <f>INDEX(Tableau1[], MATCH(Tableau3[[#This Row],[REFERENCE]], Tableau1[NUMERO], 0), 3)</f>
        <v/>
      </c>
      <c r="D278" s="129">
        <f>INDEX(Tableau1[], MATCH(Tableau3[[#This Row],[REFERENCE]], Tableau1[NUMERO], 0),4)</f>
        <v/>
      </c>
      <c r="E278" s="129">
        <f>INDEX(Tableau1[], MATCH(Tableau3[[#This Row],[REFERENCE]], Tableau1[NUMERO], 0), 5)</f>
        <v/>
      </c>
      <c r="F278" s="129">
        <f>INDEX(Tableau1[], MATCH(Tableau3[[#This Row],[REFERENCE]], Tableau1[NUMERO], 0), 6)</f>
        <v/>
      </c>
      <c r="G278" s="129">
        <f>INDEX(Tableau1[], MATCH(Tableau3[[#This Row],[REFERENCE]], Tableau1[NUMERO], 0), 7)</f>
        <v/>
      </c>
      <c r="H278" t="inlineStr">
        <is>
          <t>trefimetaux</t>
        </is>
      </c>
      <c r="J278" s="2" t="n">
        <v>43754</v>
      </c>
      <c r="K278" s="2" t="n">
        <v>43755</v>
      </c>
      <c r="L278" s="2" t="n"/>
      <c r="O278" s="7" t="n">
        <v>14.1</v>
      </c>
      <c r="P278" s="8" t="inlineStr">
        <is>
          <t>4 SEMAINES</t>
        </is>
      </c>
      <c r="Q278" s="2" t="n">
        <v>43847</v>
      </c>
    </row>
    <row r="279">
      <c r="A279" s="8" t="n">
        <v>34407969</v>
      </c>
      <c r="B279" s="9">
        <f>INDEX(Tableau1[], MATCH(Tableau3[[#This Row],[REFERENCE]], Tableau1[NUMERO], 0), 2)</f>
        <v/>
      </c>
      <c r="C279" s="129">
        <f>INDEX(Tableau1[], MATCH(Tableau3[[#This Row],[REFERENCE]], Tableau1[NUMERO], 0), 3)</f>
        <v/>
      </c>
      <c r="D279" s="129">
        <f>INDEX(Tableau1[], MATCH(Tableau3[[#This Row],[REFERENCE]], Tableau1[NUMERO], 0),4)</f>
        <v/>
      </c>
      <c r="E279" s="129">
        <f>INDEX(Tableau1[], MATCH(Tableau3[[#This Row],[REFERENCE]], Tableau1[NUMERO], 0), 5)</f>
        <v/>
      </c>
      <c r="F279" s="129">
        <f>INDEX(Tableau1[], MATCH(Tableau3[[#This Row],[REFERENCE]], Tableau1[NUMERO], 0), 6)</f>
        <v/>
      </c>
      <c r="G279" s="129">
        <f>INDEX(Tableau1[], MATCH(Tableau3[[#This Row],[REFERENCE]], Tableau1[NUMERO], 0), 7)</f>
        <v/>
      </c>
      <c r="H279" t="inlineStr">
        <is>
          <t>lasertechnic</t>
        </is>
      </c>
      <c r="J279" s="2" t="n">
        <v>43733</v>
      </c>
      <c r="K279" s="2" t="n"/>
      <c r="L279" s="2" t="n"/>
      <c r="P279" s="8" t="n"/>
      <c r="Q279" s="2" t="n"/>
    </row>
    <row r="280">
      <c r="A280" s="8" t="n">
        <v>34407970</v>
      </c>
      <c r="B280" s="9">
        <f>INDEX(Tableau1[], MATCH(Tableau3[[#This Row],[REFERENCE]], Tableau1[NUMERO], 0), 2)</f>
        <v/>
      </c>
      <c r="C280" s="129">
        <f>INDEX(Tableau1[], MATCH(Tableau3[[#This Row],[REFERENCE]], Tableau1[NUMERO], 0), 3)</f>
        <v/>
      </c>
      <c r="D280" s="129">
        <f>INDEX(Tableau1[], MATCH(Tableau3[[#This Row],[REFERENCE]], Tableau1[NUMERO], 0),4)</f>
        <v/>
      </c>
      <c r="E280" s="129">
        <f>INDEX(Tableau1[], MATCH(Tableau3[[#This Row],[REFERENCE]], Tableau1[NUMERO], 0), 5)</f>
        <v/>
      </c>
      <c r="F280" s="129">
        <f>INDEX(Tableau1[], MATCH(Tableau3[[#This Row],[REFERENCE]], Tableau1[NUMERO], 0), 6)</f>
        <v/>
      </c>
      <c r="G280" s="129">
        <f>INDEX(Tableau1[], MATCH(Tableau3[[#This Row],[REFERENCE]], Tableau1[NUMERO], 0), 7)</f>
        <v/>
      </c>
      <c r="H280" t="inlineStr">
        <is>
          <t>lasertechnic</t>
        </is>
      </c>
      <c r="J280" s="2" t="n">
        <v>43735</v>
      </c>
      <c r="K280" s="2" t="n">
        <v>43739</v>
      </c>
      <c r="L280" s="2" t="n"/>
      <c r="O280" s="7" t="n">
        <v>59</v>
      </c>
      <c r="P280" s="8" t="inlineStr">
        <is>
          <t>1 SEMAINE</t>
        </is>
      </c>
      <c r="Q280" s="2" t="n"/>
    </row>
    <row r="281">
      <c r="A281" s="8" t="n">
        <v>34407971</v>
      </c>
      <c r="B281" s="9">
        <f>INDEX(Tableau1[], MATCH(Tableau3[[#This Row],[REFERENCE]], Tableau1[NUMERO], 0), 2)</f>
        <v/>
      </c>
      <c r="C281" s="129">
        <f>INDEX(Tableau1[], MATCH(Tableau3[[#This Row],[REFERENCE]], Tableau1[NUMERO], 0), 3)</f>
        <v/>
      </c>
      <c r="D281" s="129">
        <f>INDEX(Tableau1[], MATCH(Tableau3[[#This Row],[REFERENCE]], Tableau1[NUMERO], 0),4)</f>
        <v/>
      </c>
      <c r="E281" s="129">
        <f>INDEX(Tableau1[], MATCH(Tableau3[[#This Row],[REFERENCE]], Tableau1[NUMERO], 0), 5)</f>
        <v/>
      </c>
      <c r="F281" s="129">
        <f>INDEX(Tableau1[], MATCH(Tableau3[[#This Row],[REFERENCE]], Tableau1[NUMERO], 0), 6)</f>
        <v/>
      </c>
      <c r="G281" s="129">
        <f>INDEX(Tableau1[], MATCH(Tableau3[[#This Row],[REFERENCE]], Tableau1[NUMERO], 0), 7)</f>
        <v/>
      </c>
      <c r="H281" t="inlineStr">
        <is>
          <t>lasertechnic</t>
        </is>
      </c>
      <c r="J281" s="2" t="n">
        <v>43755</v>
      </c>
      <c r="K281" s="2" t="n">
        <v>43756</v>
      </c>
      <c r="L281" s="2" t="n"/>
      <c r="O281" s="7" t="n">
        <v>76</v>
      </c>
      <c r="P281" s="8" t="n"/>
      <c r="Q281" s="2" t="n"/>
    </row>
    <row r="282">
      <c r="A282" s="8" t="n">
        <v>34407974</v>
      </c>
      <c r="B282" s="9">
        <f>INDEX(Tableau1[], MATCH(Tableau3[[#This Row],[REFERENCE]], Tableau1[NUMERO], 0), 2)</f>
        <v/>
      </c>
      <c r="C282" s="129">
        <f>INDEX(Tableau1[], MATCH(Tableau3[[#This Row],[REFERENCE]], Tableau1[NUMERO], 0), 3)</f>
        <v/>
      </c>
      <c r="D282" s="129">
        <f>INDEX(Tableau1[], MATCH(Tableau3[[#This Row],[REFERENCE]], Tableau1[NUMERO], 0),4)</f>
        <v/>
      </c>
      <c r="E282" s="129">
        <f>INDEX(Tableau1[], MATCH(Tableau3[[#This Row],[REFERENCE]], Tableau1[NUMERO], 0), 5)</f>
        <v/>
      </c>
      <c r="F282" s="129">
        <f>INDEX(Tableau1[], MATCH(Tableau3[[#This Row],[REFERENCE]], Tableau1[NUMERO], 0), 6)</f>
        <v/>
      </c>
      <c r="G282" s="129">
        <f>INDEX(Tableau1[], MATCH(Tableau3[[#This Row],[REFERENCE]], Tableau1[NUMERO], 0), 7)</f>
        <v/>
      </c>
      <c r="H282" t="inlineStr">
        <is>
          <t>lasertechnic</t>
        </is>
      </c>
      <c r="J282" s="2" t="n">
        <v>43735</v>
      </c>
      <c r="K282" s="2" t="n">
        <v>43739</v>
      </c>
      <c r="L282" s="2" t="n"/>
      <c r="O282" s="7" t="n">
        <v>25</v>
      </c>
      <c r="P282" s="8" t="inlineStr">
        <is>
          <t>1 SEMAINE</t>
        </is>
      </c>
      <c r="Q282" s="2" t="n"/>
    </row>
    <row r="283">
      <c r="A283" s="8" t="n">
        <v>34407975</v>
      </c>
      <c r="B283" s="9">
        <f>INDEX(Tableau1[], MATCH(Tableau3[[#This Row],[REFERENCE]], Tableau1[NUMERO], 0), 2)</f>
        <v/>
      </c>
      <c r="C283" s="129">
        <f>INDEX(Tableau1[], MATCH(Tableau3[[#This Row],[REFERENCE]], Tableau1[NUMERO], 0), 3)</f>
        <v/>
      </c>
      <c r="D283" s="129">
        <f>INDEX(Tableau1[], MATCH(Tableau3[[#This Row],[REFERENCE]], Tableau1[NUMERO], 0),4)</f>
        <v/>
      </c>
      <c r="E283" s="129">
        <f>INDEX(Tableau1[], MATCH(Tableau3[[#This Row],[REFERENCE]], Tableau1[NUMERO], 0), 5)</f>
        <v/>
      </c>
      <c r="F283" s="129">
        <f>INDEX(Tableau1[], MATCH(Tableau3[[#This Row],[REFERENCE]], Tableau1[NUMERO], 0), 6)</f>
        <v/>
      </c>
      <c r="G283" s="129">
        <f>INDEX(Tableau1[], MATCH(Tableau3[[#This Row],[REFERENCE]], Tableau1[NUMERO], 0), 7)</f>
        <v/>
      </c>
      <c r="H283" t="inlineStr">
        <is>
          <t>lasertechnic</t>
        </is>
      </c>
      <c r="J283" s="2" t="n">
        <v>43755</v>
      </c>
      <c r="K283" s="2" t="n">
        <v>43755</v>
      </c>
      <c r="L283" s="2" t="n"/>
      <c r="O283" s="7" t="n">
        <v>28</v>
      </c>
      <c r="P283" s="8" t="inlineStr">
        <is>
          <t>5 JOURS</t>
        </is>
      </c>
      <c r="Q283" s="2" t="n">
        <v>43847</v>
      </c>
    </row>
    <row r="284">
      <c r="A284" s="8" t="n">
        <v>34407976</v>
      </c>
      <c r="B284" s="9">
        <f>INDEX(Tableau1[], MATCH(Tableau3[[#This Row],[REFERENCE]], Tableau1[NUMERO], 0), 2)</f>
        <v/>
      </c>
      <c r="C284" s="129">
        <f>INDEX(Tableau1[], MATCH(Tableau3[[#This Row],[REFERENCE]], Tableau1[NUMERO], 0), 3)</f>
        <v/>
      </c>
      <c r="D284" s="129">
        <f>INDEX(Tableau1[], MATCH(Tableau3[[#This Row],[REFERENCE]], Tableau1[NUMERO], 0),4)</f>
        <v/>
      </c>
      <c r="E284" s="129">
        <f>INDEX(Tableau1[], MATCH(Tableau3[[#This Row],[REFERENCE]], Tableau1[NUMERO], 0), 5)</f>
        <v/>
      </c>
      <c r="F284" s="129">
        <f>INDEX(Tableau1[], MATCH(Tableau3[[#This Row],[REFERENCE]], Tableau1[NUMERO], 0), 6)</f>
        <v/>
      </c>
      <c r="G284" s="129">
        <f>INDEX(Tableau1[], MATCH(Tableau3[[#This Row],[REFERENCE]], Tableau1[NUMERO], 0), 7)</f>
        <v/>
      </c>
      <c r="H284" t="inlineStr">
        <is>
          <t>lasertechnic</t>
        </is>
      </c>
      <c r="J284" s="2" t="n">
        <v>43755</v>
      </c>
      <c r="K284" s="2" t="n">
        <v>43755</v>
      </c>
      <c r="L284" s="2" t="n"/>
      <c r="O284" s="7" t="n">
        <v>26</v>
      </c>
      <c r="P284" s="8" t="inlineStr">
        <is>
          <t>5 JOURS</t>
        </is>
      </c>
      <c r="Q284" s="2" t="n">
        <v>43847</v>
      </c>
    </row>
    <row r="285">
      <c r="A285" s="8" t="n">
        <v>34407977</v>
      </c>
      <c r="B285" s="9">
        <f>INDEX(Tableau1[], MATCH(Tableau3[[#This Row],[REFERENCE]], Tableau1[NUMERO], 0), 2)</f>
        <v/>
      </c>
      <c r="C285" s="129">
        <f>INDEX(Tableau1[], MATCH(Tableau3[[#This Row],[REFERENCE]], Tableau1[NUMERO], 0), 3)</f>
        <v/>
      </c>
      <c r="D285" s="129">
        <f>INDEX(Tableau1[], MATCH(Tableau3[[#This Row],[REFERENCE]], Tableau1[NUMERO], 0),4)</f>
        <v/>
      </c>
      <c r="E285" s="129">
        <f>INDEX(Tableau1[], MATCH(Tableau3[[#This Row],[REFERENCE]], Tableau1[NUMERO], 0), 5)</f>
        <v/>
      </c>
      <c r="F285" s="129">
        <f>INDEX(Tableau1[], MATCH(Tableau3[[#This Row],[REFERENCE]], Tableau1[NUMERO], 0), 6)</f>
        <v/>
      </c>
      <c r="G285" s="129">
        <f>INDEX(Tableau1[], MATCH(Tableau3[[#This Row],[REFERENCE]], Tableau1[NUMERO], 0), 7)</f>
        <v/>
      </c>
      <c r="H285" t="inlineStr">
        <is>
          <t>lasertechnic</t>
        </is>
      </c>
      <c r="J285" s="2" t="n">
        <v>43755</v>
      </c>
      <c r="K285" s="2" t="n">
        <v>43755</v>
      </c>
      <c r="L285" s="2" t="n"/>
      <c r="O285" s="7" t="n">
        <v>26</v>
      </c>
      <c r="P285" s="8" t="inlineStr">
        <is>
          <t>5 JOURS</t>
        </is>
      </c>
      <c r="Q285" s="2" t="n">
        <v>43847</v>
      </c>
    </row>
    <row r="286">
      <c r="A286" s="8" t="n">
        <v>34407978</v>
      </c>
      <c r="B286" s="9">
        <f>INDEX(Tableau1[], MATCH(Tableau3[[#This Row],[REFERENCE]], Tableau1[NUMERO], 0), 2)</f>
        <v/>
      </c>
      <c r="C286" s="129">
        <f>INDEX(Tableau1[], MATCH(Tableau3[[#This Row],[REFERENCE]], Tableau1[NUMERO], 0), 3)</f>
        <v/>
      </c>
      <c r="D286" s="129">
        <f>INDEX(Tableau1[], MATCH(Tableau3[[#This Row],[REFERENCE]], Tableau1[NUMERO], 0),4)</f>
        <v/>
      </c>
      <c r="E286" s="129">
        <f>INDEX(Tableau1[], MATCH(Tableau3[[#This Row],[REFERENCE]], Tableau1[NUMERO], 0), 5)</f>
        <v/>
      </c>
      <c r="F286" s="129">
        <f>INDEX(Tableau1[], MATCH(Tableau3[[#This Row],[REFERENCE]], Tableau1[NUMERO], 0), 6)</f>
        <v/>
      </c>
      <c r="G286" s="129">
        <f>INDEX(Tableau1[], MATCH(Tableau3[[#This Row],[REFERENCE]], Tableau1[NUMERO], 0), 7)</f>
        <v/>
      </c>
      <c r="H286" t="inlineStr">
        <is>
          <t>lasertechnic</t>
        </is>
      </c>
      <c r="J286" s="2" t="n">
        <v>43755</v>
      </c>
      <c r="K286" s="2" t="n">
        <v>43755</v>
      </c>
      <c r="L286" s="2" t="n"/>
      <c r="O286" s="7" t="n">
        <v>16</v>
      </c>
      <c r="P286" s="8" t="inlineStr">
        <is>
          <t>5 JOURS</t>
        </is>
      </c>
      <c r="Q286" s="2" t="n">
        <v>43847</v>
      </c>
    </row>
    <row r="287">
      <c r="A287" s="8" t="n">
        <v>34407980</v>
      </c>
      <c r="B287" s="9">
        <f>INDEX(Tableau1[], MATCH(Tableau3[[#This Row],[REFERENCE]], Tableau1[NUMERO], 0), 2)</f>
        <v/>
      </c>
      <c r="C287" s="129">
        <f>INDEX(Tableau1[], MATCH(Tableau3[[#This Row],[REFERENCE]], Tableau1[NUMERO], 0), 3)</f>
        <v/>
      </c>
      <c r="D287" s="129">
        <f>INDEX(Tableau1[], MATCH(Tableau3[[#This Row],[REFERENCE]], Tableau1[NUMERO], 0),4)</f>
        <v/>
      </c>
      <c r="E287" s="129">
        <f>INDEX(Tableau1[], MATCH(Tableau3[[#This Row],[REFERENCE]], Tableau1[NUMERO], 0), 5)</f>
        <v/>
      </c>
      <c r="F287" s="129">
        <f>INDEX(Tableau1[], MATCH(Tableau3[[#This Row],[REFERENCE]], Tableau1[NUMERO], 0), 6)</f>
        <v/>
      </c>
      <c r="G287" s="129">
        <f>INDEX(Tableau1[], MATCH(Tableau3[[#This Row],[REFERENCE]], Tableau1[NUMERO], 0), 7)</f>
        <v/>
      </c>
      <c r="H287" t="inlineStr">
        <is>
          <t>thyssen</t>
        </is>
      </c>
      <c r="J287" s="2" t="n">
        <v>43754</v>
      </c>
      <c r="K287" s="2" t="n"/>
      <c r="L287" s="2" t="n"/>
      <c r="O287" s="7" t="n">
        <v>22.75</v>
      </c>
      <c r="P287" s="8" t="inlineStr">
        <is>
          <t>3 SEMAINES</t>
        </is>
      </c>
      <c r="Q287" s="2" t="n">
        <v>43773</v>
      </c>
    </row>
    <row r="288">
      <c r="A288" s="8" t="n">
        <v>34407980</v>
      </c>
      <c r="B288" s="9">
        <f>INDEX(Tableau1[], MATCH(Tableau3[[#This Row],[REFERENCE]], Tableau1[NUMERO], 0), 2)</f>
        <v/>
      </c>
      <c r="C288" s="129">
        <f>INDEX(Tableau1[], MATCH(Tableau3[[#This Row],[REFERENCE]], Tableau1[NUMERO], 0), 3)</f>
        <v/>
      </c>
      <c r="D288" s="129">
        <f>INDEX(Tableau1[], MATCH(Tableau3[[#This Row],[REFERENCE]], Tableau1[NUMERO], 0),4)</f>
        <v/>
      </c>
      <c r="E288" s="129">
        <f>INDEX(Tableau1[], MATCH(Tableau3[[#This Row],[REFERENCE]], Tableau1[NUMERO], 0), 5)</f>
        <v/>
      </c>
      <c r="F288" s="129">
        <f>INDEX(Tableau1[], MATCH(Tableau3[[#This Row],[REFERENCE]], Tableau1[NUMERO], 0), 6)</f>
        <v/>
      </c>
      <c r="G288" s="129">
        <f>INDEX(Tableau1[], MATCH(Tableau3[[#This Row],[REFERENCE]], Tableau1[NUMERO], 0), 7)</f>
        <v/>
      </c>
      <c r="H288" t="inlineStr">
        <is>
          <t>trefimetaux</t>
        </is>
      </c>
      <c r="J288" s="2" t="n">
        <v>43754</v>
      </c>
      <c r="K288" s="2" t="n">
        <v>43755</v>
      </c>
      <c r="L288" s="2" t="n"/>
      <c r="O288" s="7" t="n">
        <v>37.2</v>
      </c>
      <c r="P288" s="8" t="inlineStr">
        <is>
          <t>4 SEMAINES</t>
        </is>
      </c>
      <c r="Q288" s="2" t="n">
        <v>43847</v>
      </c>
    </row>
    <row r="289">
      <c r="A289" s="8" t="n">
        <v>34407981</v>
      </c>
      <c r="B289" s="9">
        <f>INDEX(Tableau1[], MATCH(Tableau3[[#This Row],[REFERENCE]], Tableau1[NUMERO], 0), 2)</f>
        <v/>
      </c>
      <c r="C289" s="129">
        <f>INDEX(Tableau1[], MATCH(Tableau3[[#This Row],[REFERENCE]], Tableau1[NUMERO], 0), 3)</f>
        <v/>
      </c>
      <c r="D289" s="129">
        <f>INDEX(Tableau1[], MATCH(Tableau3[[#This Row],[REFERENCE]], Tableau1[NUMERO], 0),4)</f>
        <v/>
      </c>
      <c r="E289" s="129">
        <f>INDEX(Tableau1[], MATCH(Tableau3[[#This Row],[REFERENCE]], Tableau1[NUMERO], 0), 5)</f>
        <v/>
      </c>
      <c r="F289" s="129">
        <f>INDEX(Tableau1[], MATCH(Tableau3[[#This Row],[REFERENCE]], Tableau1[NUMERO], 0), 6)</f>
        <v/>
      </c>
      <c r="G289" s="129">
        <f>INDEX(Tableau1[], MATCH(Tableau3[[#This Row],[REFERENCE]], Tableau1[NUMERO], 0), 7)</f>
        <v/>
      </c>
      <c r="H289" t="inlineStr">
        <is>
          <t>thyssen</t>
        </is>
      </c>
      <c r="J289" s="2" t="n">
        <v>43754</v>
      </c>
      <c r="K289" s="2" t="n"/>
      <c r="L289" s="2" t="n"/>
      <c r="O289" s="7" t="n">
        <v>20.15</v>
      </c>
      <c r="P289" s="8" t="inlineStr">
        <is>
          <t>3 SEMAINES</t>
        </is>
      </c>
      <c r="Q289" s="2" t="n">
        <v>43773</v>
      </c>
    </row>
    <row r="290">
      <c r="A290" s="8" t="n">
        <v>34407981</v>
      </c>
      <c r="B290" s="9">
        <f>INDEX(Tableau1[], MATCH(Tableau3[[#This Row],[REFERENCE]], Tableau1[NUMERO], 0), 2)</f>
        <v/>
      </c>
      <c r="C290" s="129">
        <f>INDEX(Tableau1[], MATCH(Tableau3[[#This Row],[REFERENCE]], Tableau1[NUMERO], 0), 3)</f>
        <v/>
      </c>
      <c r="D290" s="129">
        <f>INDEX(Tableau1[], MATCH(Tableau3[[#This Row],[REFERENCE]], Tableau1[NUMERO], 0),4)</f>
        <v/>
      </c>
      <c r="E290" s="129">
        <f>INDEX(Tableau1[], MATCH(Tableau3[[#This Row],[REFERENCE]], Tableau1[NUMERO], 0), 5)</f>
        <v/>
      </c>
      <c r="F290" s="129">
        <f>INDEX(Tableau1[], MATCH(Tableau3[[#This Row],[REFERENCE]], Tableau1[NUMERO], 0), 6)</f>
        <v/>
      </c>
      <c r="G290" s="129">
        <f>INDEX(Tableau1[], MATCH(Tableau3[[#This Row],[REFERENCE]], Tableau1[NUMERO], 0), 7)</f>
        <v/>
      </c>
      <c r="H290" t="inlineStr">
        <is>
          <t>trefimetaux</t>
        </is>
      </c>
      <c r="J290" s="2" t="n">
        <v>43754</v>
      </c>
      <c r="K290" s="2" t="n">
        <v>43755</v>
      </c>
      <c r="L290" s="2" t="n"/>
      <c r="O290" s="7" t="n">
        <v>37.1</v>
      </c>
      <c r="P290" s="8" t="inlineStr">
        <is>
          <t>4 SEMAINES</t>
        </is>
      </c>
      <c r="Q290" s="2" t="n">
        <v>43847</v>
      </c>
    </row>
    <row r="291">
      <c r="A291" s="8" t="n">
        <v>34407982</v>
      </c>
      <c r="B291" s="9">
        <f>INDEX(Tableau1[], MATCH(Tableau3[[#This Row],[REFERENCE]], Tableau1[NUMERO], 0), 2)</f>
        <v/>
      </c>
      <c r="C291" s="129">
        <f>INDEX(Tableau1[], MATCH(Tableau3[[#This Row],[REFERENCE]], Tableau1[NUMERO], 0), 3)</f>
        <v/>
      </c>
      <c r="D291" s="129">
        <f>INDEX(Tableau1[], MATCH(Tableau3[[#This Row],[REFERENCE]], Tableau1[NUMERO], 0),4)</f>
        <v/>
      </c>
      <c r="E291" s="129">
        <f>INDEX(Tableau1[], MATCH(Tableau3[[#This Row],[REFERENCE]], Tableau1[NUMERO], 0), 5)</f>
        <v/>
      </c>
      <c r="F291" s="129">
        <f>INDEX(Tableau1[], MATCH(Tableau3[[#This Row],[REFERENCE]], Tableau1[NUMERO], 0), 6)</f>
        <v/>
      </c>
      <c r="G291" s="129">
        <f>INDEX(Tableau1[], MATCH(Tableau3[[#This Row],[REFERENCE]], Tableau1[NUMERO], 0), 7)</f>
        <v/>
      </c>
      <c r="H291" t="inlineStr">
        <is>
          <t>thyssen</t>
        </is>
      </c>
      <c r="J291" s="2" t="n">
        <v>43754</v>
      </c>
      <c r="K291" s="2" t="n"/>
      <c r="L291" s="2" t="n"/>
      <c r="O291" s="7" t="n">
        <v>67.59999999999999</v>
      </c>
      <c r="P291" s="8" t="inlineStr">
        <is>
          <t>3 SEMAINES</t>
        </is>
      </c>
      <c r="Q291" s="2" t="n">
        <v>43773</v>
      </c>
    </row>
    <row r="292">
      <c r="A292" s="8" t="n">
        <v>34407982</v>
      </c>
      <c r="B292" s="9">
        <f>INDEX(Tableau1[], MATCH(Tableau3[[#This Row],[REFERENCE]], Tableau1[NUMERO], 0), 2)</f>
        <v/>
      </c>
      <c r="C292" s="129">
        <f>INDEX(Tableau1[], MATCH(Tableau3[[#This Row],[REFERENCE]], Tableau1[NUMERO], 0), 3)</f>
        <v/>
      </c>
      <c r="D292" s="129">
        <f>INDEX(Tableau1[], MATCH(Tableau3[[#This Row],[REFERENCE]], Tableau1[NUMERO], 0),4)</f>
        <v/>
      </c>
      <c r="E292" s="129">
        <f>INDEX(Tableau1[], MATCH(Tableau3[[#This Row],[REFERENCE]], Tableau1[NUMERO], 0), 5)</f>
        <v/>
      </c>
      <c r="F292" s="129">
        <f>INDEX(Tableau1[], MATCH(Tableau3[[#This Row],[REFERENCE]], Tableau1[NUMERO], 0), 6)</f>
        <v/>
      </c>
      <c r="G292" s="129">
        <f>INDEX(Tableau1[], MATCH(Tableau3[[#This Row],[REFERENCE]], Tableau1[NUMERO], 0), 7)</f>
        <v/>
      </c>
      <c r="H292" t="inlineStr">
        <is>
          <t>trefimetaux</t>
        </is>
      </c>
      <c r="J292" s="2" t="n">
        <v>43754</v>
      </c>
      <c r="K292" s="2" t="n">
        <v>43755</v>
      </c>
      <c r="L292" s="2" t="n"/>
      <c r="O292" s="7" t="n">
        <v>200</v>
      </c>
      <c r="P292" s="8" t="inlineStr">
        <is>
          <t>4 SEMAINES</t>
        </is>
      </c>
      <c r="Q292" s="2" t="n">
        <v>43847</v>
      </c>
    </row>
    <row r="293">
      <c r="A293" s="8" t="n">
        <v>34407987</v>
      </c>
      <c r="B293" s="9">
        <f>INDEX(Tableau1[], MATCH(Tableau3[[#This Row],[REFERENCE]], Tableau1[NUMERO], 0), 2)</f>
        <v/>
      </c>
      <c r="C293" s="129">
        <f>INDEX(Tableau1[], MATCH(Tableau3[[#This Row],[REFERENCE]], Tableau1[NUMERO], 0), 3)</f>
        <v/>
      </c>
      <c r="D293" s="129">
        <f>INDEX(Tableau1[], MATCH(Tableau3[[#This Row],[REFERENCE]], Tableau1[NUMERO], 0),4)</f>
        <v/>
      </c>
      <c r="E293" s="129">
        <f>INDEX(Tableau1[], MATCH(Tableau3[[#This Row],[REFERENCE]], Tableau1[NUMERO], 0), 5)</f>
        <v/>
      </c>
      <c r="F293" s="129">
        <f>INDEX(Tableau1[], MATCH(Tableau3[[#This Row],[REFERENCE]], Tableau1[NUMERO], 0), 6)</f>
        <v/>
      </c>
      <c r="G293" s="129">
        <f>INDEX(Tableau1[], MATCH(Tableau3[[#This Row],[REFERENCE]], Tableau1[NUMERO], 0), 7)</f>
        <v/>
      </c>
      <c r="H293" t="inlineStr">
        <is>
          <t>lasertechnic</t>
        </is>
      </c>
      <c r="J293" s="2" t="n">
        <v>43754</v>
      </c>
      <c r="K293" s="2" t="n">
        <v>43755</v>
      </c>
      <c r="L293" s="2" t="n"/>
      <c r="O293" s="7" t="n">
        <v>68</v>
      </c>
      <c r="P293" s="8" t="inlineStr">
        <is>
          <t>5 JOURS</t>
        </is>
      </c>
      <c r="Q293" s="2" t="n">
        <v>43847</v>
      </c>
    </row>
    <row r="294">
      <c r="A294" s="8" t="n">
        <v>34407991</v>
      </c>
      <c r="B294" s="9">
        <f>INDEX(Tableau1[], MATCH(Tableau3[[#This Row],[REFERENCE]], Tableau1[NUMERO], 0), 2)</f>
        <v/>
      </c>
      <c r="C294" s="129">
        <f>INDEX(Tableau1[], MATCH(Tableau3[[#This Row],[REFERENCE]], Tableau1[NUMERO], 0), 3)</f>
        <v/>
      </c>
      <c r="D294" s="129">
        <f>INDEX(Tableau1[], MATCH(Tableau3[[#This Row],[REFERENCE]], Tableau1[NUMERO], 0),4)</f>
        <v/>
      </c>
      <c r="E294" s="129">
        <f>INDEX(Tableau1[], MATCH(Tableau3[[#This Row],[REFERENCE]], Tableau1[NUMERO], 0), 5)</f>
        <v/>
      </c>
      <c r="F294" s="129">
        <f>INDEX(Tableau1[], MATCH(Tableau3[[#This Row],[REFERENCE]], Tableau1[NUMERO], 0), 6)</f>
        <v/>
      </c>
      <c r="G294" s="129">
        <f>INDEX(Tableau1[], MATCH(Tableau3[[#This Row],[REFERENCE]], Tableau1[NUMERO], 0), 7)</f>
        <v/>
      </c>
      <c r="H294" t="inlineStr">
        <is>
          <t>lasertechnic</t>
        </is>
      </c>
      <c r="J294" s="2" t="n">
        <v>43755</v>
      </c>
      <c r="K294" s="2" t="n">
        <v>43755</v>
      </c>
      <c r="L294" s="2" t="n"/>
      <c r="O294" s="7" t="n">
        <v>16</v>
      </c>
      <c r="P294" s="8" t="inlineStr">
        <is>
          <t>5 JOURS</t>
        </is>
      </c>
      <c r="Q294" s="2" t="n">
        <v>43847</v>
      </c>
    </row>
    <row r="295">
      <c r="A295" s="8" t="n">
        <v>34407992</v>
      </c>
      <c r="B295" s="9">
        <f>INDEX(Tableau1[], MATCH(Tableau3[[#This Row],[REFERENCE]], Tableau1[NUMERO], 0), 2)</f>
        <v/>
      </c>
      <c r="C295" s="129">
        <f>INDEX(Tableau1[], MATCH(Tableau3[[#This Row],[REFERENCE]], Tableau1[NUMERO], 0), 3)</f>
        <v/>
      </c>
      <c r="D295" s="129">
        <f>INDEX(Tableau1[], MATCH(Tableau3[[#This Row],[REFERENCE]], Tableau1[NUMERO], 0),4)</f>
        <v/>
      </c>
      <c r="E295" s="129">
        <f>INDEX(Tableau1[], MATCH(Tableau3[[#This Row],[REFERENCE]], Tableau1[NUMERO], 0), 5)</f>
        <v/>
      </c>
      <c r="F295" s="129">
        <f>INDEX(Tableau1[], MATCH(Tableau3[[#This Row],[REFERENCE]], Tableau1[NUMERO], 0), 6)</f>
        <v/>
      </c>
      <c r="G295" s="129">
        <f>INDEX(Tableau1[], MATCH(Tableau3[[#This Row],[REFERENCE]], Tableau1[NUMERO], 0), 7)</f>
        <v/>
      </c>
      <c r="H295" t="inlineStr">
        <is>
          <t>lasertechnic</t>
        </is>
      </c>
      <c r="J295" s="2" t="n">
        <v>43754</v>
      </c>
      <c r="K295" s="2" t="n">
        <v>43755</v>
      </c>
      <c r="L295" s="2" t="n"/>
      <c r="O295" s="7" t="n">
        <v>72</v>
      </c>
      <c r="P295" s="8" t="inlineStr">
        <is>
          <t>5 JOURS</t>
        </is>
      </c>
      <c r="Q295" s="2" t="n">
        <v>43847</v>
      </c>
    </row>
    <row r="296">
      <c r="A296" s="8" t="n">
        <v>34407993</v>
      </c>
      <c r="B296" s="9">
        <f>INDEX(Tableau1[], MATCH(Tableau3[[#This Row],[REFERENCE]], Tableau1[NUMERO], 0), 2)</f>
        <v/>
      </c>
      <c r="C296" s="129">
        <f>INDEX(Tableau1[], MATCH(Tableau3[[#This Row],[REFERENCE]], Tableau1[NUMERO], 0), 3)</f>
        <v/>
      </c>
      <c r="D296" s="129">
        <f>INDEX(Tableau1[], MATCH(Tableau3[[#This Row],[REFERENCE]], Tableau1[NUMERO], 0),4)</f>
        <v/>
      </c>
      <c r="E296" s="129">
        <f>INDEX(Tableau1[], MATCH(Tableau3[[#This Row],[REFERENCE]], Tableau1[NUMERO], 0), 5)</f>
        <v/>
      </c>
      <c r="F296" s="129">
        <f>INDEX(Tableau1[], MATCH(Tableau3[[#This Row],[REFERENCE]], Tableau1[NUMERO], 0), 6)</f>
        <v/>
      </c>
      <c r="G296" s="129">
        <f>INDEX(Tableau1[], MATCH(Tableau3[[#This Row],[REFERENCE]], Tableau1[NUMERO], 0), 7)</f>
        <v/>
      </c>
      <c r="H296" t="inlineStr">
        <is>
          <t>lasertechnic</t>
        </is>
      </c>
      <c r="J296" s="2" t="n">
        <v>43754</v>
      </c>
      <c r="K296" s="2" t="n">
        <v>43755</v>
      </c>
      <c r="L296" s="2" t="n"/>
      <c r="O296" s="7" t="n">
        <v>48</v>
      </c>
      <c r="P296" s="8" t="inlineStr">
        <is>
          <t>5 JOURS</t>
        </is>
      </c>
      <c r="Q296" s="2" t="n">
        <v>43847</v>
      </c>
    </row>
    <row r="297">
      <c r="A297" s="8" t="n">
        <v>34407994</v>
      </c>
      <c r="B297" s="9">
        <f>INDEX(Tableau1[], MATCH(Tableau3[[#This Row],[REFERENCE]], Tableau1[NUMERO], 0), 2)</f>
        <v/>
      </c>
      <c r="C297" s="129">
        <f>INDEX(Tableau1[], MATCH(Tableau3[[#This Row],[REFERENCE]], Tableau1[NUMERO], 0), 3)</f>
        <v/>
      </c>
      <c r="D297" s="129">
        <f>INDEX(Tableau1[], MATCH(Tableau3[[#This Row],[REFERENCE]], Tableau1[NUMERO], 0),4)</f>
        <v/>
      </c>
      <c r="E297" s="129">
        <f>INDEX(Tableau1[], MATCH(Tableau3[[#This Row],[REFERENCE]], Tableau1[NUMERO], 0), 5)</f>
        <v/>
      </c>
      <c r="F297" s="129">
        <f>INDEX(Tableau1[], MATCH(Tableau3[[#This Row],[REFERENCE]], Tableau1[NUMERO], 0), 6)</f>
        <v/>
      </c>
      <c r="G297" s="129">
        <f>INDEX(Tableau1[], MATCH(Tableau3[[#This Row],[REFERENCE]], Tableau1[NUMERO], 0), 7)</f>
        <v/>
      </c>
      <c r="H297" t="inlineStr">
        <is>
          <t>lasertechnic</t>
        </is>
      </c>
      <c r="J297" s="2" t="n">
        <v>43754</v>
      </c>
      <c r="K297" s="2" t="n">
        <v>43755</v>
      </c>
      <c r="L297" s="2" t="n"/>
      <c r="O297" s="7" t="n">
        <v>20</v>
      </c>
      <c r="P297" s="8" t="inlineStr">
        <is>
          <t>5 JOURS</t>
        </is>
      </c>
      <c r="Q297" s="2" t="n">
        <v>43847</v>
      </c>
    </row>
    <row r="298">
      <c r="A298" s="8" t="n">
        <v>34407995</v>
      </c>
      <c r="B298" s="9">
        <f>INDEX(Tableau1[], MATCH(Tableau3[[#This Row],[REFERENCE]], Tableau1[NUMERO], 0), 2)</f>
        <v/>
      </c>
      <c r="C298" s="129">
        <f>INDEX(Tableau1[], MATCH(Tableau3[[#This Row],[REFERENCE]], Tableau1[NUMERO], 0), 3)</f>
        <v/>
      </c>
      <c r="D298" s="129">
        <f>INDEX(Tableau1[], MATCH(Tableau3[[#This Row],[REFERENCE]], Tableau1[NUMERO], 0),4)</f>
        <v/>
      </c>
      <c r="E298" s="129">
        <f>INDEX(Tableau1[], MATCH(Tableau3[[#This Row],[REFERENCE]], Tableau1[NUMERO], 0), 5)</f>
        <v/>
      </c>
      <c r="F298" s="129">
        <f>INDEX(Tableau1[], MATCH(Tableau3[[#This Row],[REFERENCE]], Tableau1[NUMERO], 0), 6)</f>
        <v/>
      </c>
      <c r="G298" s="129">
        <f>INDEX(Tableau1[], MATCH(Tableau3[[#This Row],[REFERENCE]], Tableau1[NUMERO], 0), 7)</f>
        <v/>
      </c>
      <c r="H298" t="inlineStr">
        <is>
          <t>lasertechnic</t>
        </is>
      </c>
      <c r="J298" s="2" t="n">
        <v>43754</v>
      </c>
      <c r="K298" s="2" t="n">
        <v>43755</v>
      </c>
      <c r="L298" s="2" t="n"/>
      <c r="O298" s="7" t="n">
        <v>18</v>
      </c>
      <c r="P298" s="8" t="inlineStr">
        <is>
          <t>5 JOURS</t>
        </is>
      </c>
      <c r="Q298" s="2" t="n">
        <v>43847</v>
      </c>
    </row>
    <row r="299">
      <c r="A299" s="8" t="n">
        <v>34407996</v>
      </c>
      <c r="B299" s="9">
        <f>INDEX(Tableau1[], MATCH(Tableau3[[#This Row],[REFERENCE]], Tableau1[NUMERO], 0), 2)</f>
        <v/>
      </c>
      <c r="C299" s="129">
        <f>INDEX(Tableau1[], MATCH(Tableau3[[#This Row],[REFERENCE]], Tableau1[NUMERO], 0), 3)</f>
        <v/>
      </c>
      <c r="D299" s="129">
        <f>INDEX(Tableau1[], MATCH(Tableau3[[#This Row],[REFERENCE]], Tableau1[NUMERO], 0),4)</f>
        <v/>
      </c>
      <c r="E299" s="129">
        <f>INDEX(Tableau1[], MATCH(Tableau3[[#This Row],[REFERENCE]], Tableau1[NUMERO], 0), 5)</f>
        <v/>
      </c>
      <c r="F299" s="129">
        <f>INDEX(Tableau1[], MATCH(Tableau3[[#This Row],[REFERENCE]], Tableau1[NUMERO], 0), 6)</f>
        <v/>
      </c>
      <c r="G299" s="129">
        <f>INDEX(Tableau1[], MATCH(Tableau3[[#This Row],[REFERENCE]], Tableau1[NUMERO], 0), 7)</f>
        <v/>
      </c>
      <c r="H299" t="inlineStr">
        <is>
          <t>lasertechnic</t>
        </is>
      </c>
      <c r="J299" s="2" t="n">
        <v>43755</v>
      </c>
      <c r="K299" s="2" t="n">
        <v>43755</v>
      </c>
      <c r="L299" s="2" t="n"/>
      <c r="O299" s="7" t="n">
        <v>54</v>
      </c>
      <c r="P299" s="8" t="inlineStr">
        <is>
          <t>5 JOURS</t>
        </is>
      </c>
      <c r="Q299" s="2" t="n">
        <v>43847</v>
      </c>
    </row>
    <row r="300">
      <c r="A300" s="8" t="n">
        <v>34407997</v>
      </c>
      <c r="B300" s="9">
        <f>INDEX(Tableau1[], MATCH(Tableau3[[#This Row],[REFERENCE]], Tableau1[NUMERO], 0), 2)</f>
        <v/>
      </c>
      <c r="C300" s="129">
        <f>INDEX(Tableau1[], MATCH(Tableau3[[#This Row],[REFERENCE]], Tableau1[NUMERO], 0), 3)</f>
        <v/>
      </c>
      <c r="D300" s="129">
        <f>INDEX(Tableau1[], MATCH(Tableau3[[#This Row],[REFERENCE]], Tableau1[NUMERO], 0),4)</f>
        <v/>
      </c>
      <c r="E300" s="129">
        <f>INDEX(Tableau1[], MATCH(Tableau3[[#This Row],[REFERENCE]], Tableau1[NUMERO], 0), 5)</f>
        <v/>
      </c>
      <c r="F300" s="129">
        <f>INDEX(Tableau1[], MATCH(Tableau3[[#This Row],[REFERENCE]], Tableau1[NUMERO], 0), 6)</f>
        <v/>
      </c>
      <c r="G300" s="129">
        <f>INDEX(Tableau1[], MATCH(Tableau3[[#This Row],[REFERENCE]], Tableau1[NUMERO], 0), 7)</f>
        <v/>
      </c>
      <c r="H300" t="inlineStr">
        <is>
          <t>lasertechnic</t>
        </is>
      </c>
      <c r="J300" s="2" t="n">
        <v>43754</v>
      </c>
      <c r="K300" s="2" t="n">
        <v>43755</v>
      </c>
      <c r="L300" s="2" t="n"/>
      <c r="O300" s="7" t="n">
        <v>18</v>
      </c>
      <c r="P300" s="8" t="inlineStr">
        <is>
          <t>5 JOURS</t>
        </is>
      </c>
      <c r="Q300" s="2" t="n">
        <v>43847</v>
      </c>
    </row>
    <row r="301">
      <c r="A301" s="8" t="n">
        <v>34407998</v>
      </c>
      <c r="B301" s="9">
        <f>INDEX(Tableau1[], MATCH(Tableau3[[#This Row],[REFERENCE]], Tableau1[NUMERO], 0), 2)</f>
        <v/>
      </c>
      <c r="C301" s="129">
        <f>INDEX(Tableau1[], MATCH(Tableau3[[#This Row],[REFERENCE]], Tableau1[NUMERO], 0), 3)</f>
        <v/>
      </c>
      <c r="D301" s="129">
        <f>INDEX(Tableau1[], MATCH(Tableau3[[#This Row],[REFERENCE]], Tableau1[NUMERO], 0),4)</f>
        <v/>
      </c>
      <c r="E301" s="129">
        <f>INDEX(Tableau1[], MATCH(Tableau3[[#This Row],[REFERENCE]], Tableau1[NUMERO], 0), 5)</f>
        <v/>
      </c>
      <c r="F301" s="129">
        <f>INDEX(Tableau1[], MATCH(Tableau3[[#This Row],[REFERENCE]], Tableau1[NUMERO], 0), 6)</f>
        <v/>
      </c>
      <c r="G301" s="129">
        <f>INDEX(Tableau1[], MATCH(Tableau3[[#This Row],[REFERENCE]], Tableau1[NUMERO], 0), 7)</f>
        <v/>
      </c>
      <c r="H301" t="inlineStr">
        <is>
          <t>lasertechnic</t>
        </is>
      </c>
      <c r="J301" s="2" t="n">
        <v>43754</v>
      </c>
      <c r="K301" s="2" t="n">
        <v>43755</v>
      </c>
      <c r="L301" s="2" t="n"/>
      <c r="O301" s="7" t="n">
        <v>32</v>
      </c>
      <c r="P301" s="8" t="inlineStr">
        <is>
          <t>5 JOURS</t>
        </is>
      </c>
      <c r="Q301" s="2" t="n">
        <v>43847</v>
      </c>
    </row>
    <row r="302">
      <c r="A302" s="8" t="n">
        <v>34407999</v>
      </c>
      <c r="B302" s="9">
        <f>INDEX(Tableau1[], MATCH(Tableau3[[#This Row],[REFERENCE]], Tableau1[NUMERO], 0), 2)</f>
        <v/>
      </c>
      <c r="C302" s="129">
        <f>INDEX(Tableau1[], MATCH(Tableau3[[#This Row],[REFERENCE]], Tableau1[NUMERO], 0), 3)</f>
        <v/>
      </c>
      <c r="D302" s="129">
        <f>INDEX(Tableau1[], MATCH(Tableau3[[#This Row],[REFERENCE]], Tableau1[NUMERO], 0),4)</f>
        <v/>
      </c>
      <c r="E302" s="129">
        <f>INDEX(Tableau1[], MATCH(Tableau3[[#This Row],[REFERENCE]], Tableau1[NUMERO], 0), 5)</f>
        <v/>
      </c>
      <c r="F302" s="129">
        <f>INDEX(Tableau1[], MATCH(Tableau3[[#This Row],[REFERENCE]], Tableau1[NUMERO], 0), 6)</f>
        <v/>
      </c>
      <c r="G302" s="129">
        <f>INDEX(Tableau1[], MATCH(Tableau3[[#This Row],[REFERENCE]], Tableau1[NUMERO], 0), 7)</f>
        <v/>
      </c>
      <c r="H302" t="inlineStr">
        <is>
          <t>lasertechnic</t>
        </is>
      </c>
      <c r="J302" s="2" t="n">
        <v>43754</v>
      </c>
      <c r="K302" s="2" t="n">
        <v>43755</v>
      </c>
      <c r="L302" s="2" t="n"/>
      <c r="O302" s="7" t="n">
        <v>23</v>
      </c>
      <c r="P302" s="8" t="inlineStr">
        <is>
          <t>5 JOURS</t>
        </is>
      </c>
      <c r="Q302" s="2" t="n">
        <v>43847</v>
      </c>
    </row>
    <row r="303">
      <c r="A303" s="8" t="n">
        <v>34408000</v>
      </c>
      <c r="B303" s="9">
        <f>INDEX(Tableau1[], MATCH(Tableau3[[#This Row],[REFERENCE]], Tableau1[NUMERO], 0), 2)</f>
        <v/>
      </c>
      <c r="C303" s="129">
        <f>INDEX(Tableau1[], MATCH(Tableau3[[#This Row],[REFERENCE]], Tableau1[NUMERO], 0), 3)</f>
        <v/>
      </c>
      <c r="D303" s="129">
        <f>INDEX(Tableau1[], MATCH(Tableau3[[#This Row],[REFERENCE]], Tableau1[NUMERO], 0),4)</f>
        <v/>
      </c>
      <c r="E303" s="129">
        <f>INDEX(Tableau1[], MATCH(Tableau3[[#This Row],[REFERENCE]], Tableau1[NUMERO], 0), 5)</f>
        <v/>
      </c>
      <c r="F303" s="129">
        <f>INDEX(Tableau1[], MATCH(Tableau3[[#This Row],[REFERENCE]], Tableau1[NUMERO], 0), 6)</f>
        <v/>
      </c>
      <c r="G303" s="129">
        <f>INDEX(Tableau1[], MATCH(Tableau3[[#This Row],[REFERENCE]], Tableau1[NUMERO], 0), 7)</f>
        <v/>
      </c>
      <c r="H303" t="inlineStr">
        <is>
          <t>lasertechnic</t>
        </is>
      </c>
      <c r="J303" s="2" t="n">
        <v>43754</v>
      </c>
      <c r="K303" s="2" t="n">
        <v>43755</v>
      </c>
      <c r="L303" s="2" t="n"/>
      <c r="O303" s="7" t="n">
        <v>78</v>
      </c>
      <c r="P303" s="8" t="inlineStr">
        <is>
          <t>5 JOURS</t>
        </is>
      </c>
      <c r="Q303" s="2" t="n">
        <v>43847</v>
      </c>
    </row>
    <row r="304">
      <c r="A304" s="8" t="n">
        <v>34408001</v>
      </c>
      <c r="B304" s="9">
        <f>INDEX(Tableau1[], MATCH(Tableau3[[#This Row],[REFERENCE]], Tableau1[NUMERO], 0), 2)</f>
        <v/>
      </c>
      <c r="C304" s="129">
        <f>INDEX(Tableau1[], MATCH(Tableau3[[#This Row],[REFERENCE]], Tableau1[NUMERO], 0), 3)</f>
        <v/>
      </c>
      <c r="D304" s="129">
        <f>INDEX(Tableau1[], MATCH(Tableau3[[#This Row],[REFERENCE]], Tableau1[NUMERO], 0),4)</f>
        <v/>
      </c>
      <c r="E304" s="129">
        <f>INDEX(Tableau1[], MATCH(Tableau3[[#This Row],[REFERENCE]], Tableau1[NUMERO], 0), 5)</f>
        <v/>
      </c>
      <c r="F304" s="129">
        <f>INDEX(Tableau1[], MATCH(Tableau3[[#This Row],[REFERENCE]], Tableau1[NUMERO], 0), 6)</f>
        <v/>
      </c>
      <c r="G304" s="129">
        <f>INDEX(Tableau1[], MATCH(Tableau3[[#This Row],[REFERENCE]], Tableau1[NUMERO], 0), 7)</f>
        <v/>
      </c>
      <c r="H304" t="inlineStr">
        <is>
          <t>lasertechnic</t>
        </is>
      </c>
      <c r="J304" s="2" t="n">
        <v>43755</v>
      </c>
      <c r="K304" s="2" t="n">
        <v>43755</v>
      </c>
      <c r="L304" s="2" t="n"/>
      <c r="O304" s="7" t="n">
        <v>122</v>
      </c>
      <c r="P304" s="8" t="inlineStr">
        <is>
          <t>5 JOURS</t>
        </is>
      </c>
      <c r="Q304" s="2" t="n">
        <v>43847</v>
      </c>
    </row>
    <row r="305">
      <c r="A305" s="8" t="n">
        <v>34408003</v>
      </c>
      <c r="B305" s="9">
        <f>INDEX(Tableau1[], MATCH(Tableau3[[#This Row],[REFERENCE]], Tableau1[NUMERO], 0), 2)</f>
        <v/>
      </c>
      <c r="C305" s="129">
        <f>INDEX(Tableau1[], MATCH(Tableau3[[#This Row],[REFERENCE]], Tableau1[NUMERO], 0), 3)</f>
        <v/>
      </c>
      <c r="D305" s="129">
        <f>INDEX(Tableau1[], MATCH(Tableau3[[#This Row],[REFERENCE]], Tableau1[NUMERO], 0),4)</f>
        <v/>
      </c>
      <c r="E305" s="129">
        <f>INDEX(Tableau1[], MATCH(Tableau3[[#This Row],[REFERENCE]], Tableau1[NUMERO], 0), 5)</f>
        <v/>
      </c>
      <c r="F305" s="129">
        <f>INDEX(Tableau1[], MATCH(Tableau3[[#This Row],[REFERENCE]], Tableau1[NUMERO], 0), 6)</f>
        <v/>
      </c>
      <c r="G305" s="129">
        <f>INDEX(Tableau1[], MATCH(Tableau3[[#This Row],[REFERENCE]], Tableau1[NUMERO], 0), 7)</f>
        <v/>
      </c>
      <c r="H305" t="inlineStr">
        <is>
          <t>lasertechnic</t>
        </is>
      </c>
      <c r="J305" s="2" t="n">
        <v>43755</v>
      </c>
      <c r="K305" s="2" t="n">
        <v>43755</v>
      </c>
      <c r="L305" s="2" t="n"/>
      <c r="O305" s="7" t="n">
        <v>76</v>
      </c>
      <c r="P305" s="8" t="inlineStr">
        <is>
          <t>5 JOURS</t>
        </is>
      </c>
      <c r="Q305" s="2" t="n">
        <v>43847</v>
      </c>
    </row>
    <row r="306">
      <c r="A306" s="8" t="n">
        <v>34408004</v>
      </c>
      <c r="B306" s="9">
        <f>INDEX(Tableau1[], MATCH(Tableau3[[#This Row],[REFERENCE]], Tableau1[NUMERO], 0), 2)</f>
        <v/>
      </c>
      <c r="C306" s="129">
        <f>INDEX(Tableau1[], MATCH(Tableau3[[#This Row],[REFERENCE]], Tableau1[NUMERO], 0), 3)</f>
        <v/>
      </c>
      <c r="D306" s="129">
        <f>INDEX(Tableau1[], MATCH(Tableau3[[#This Row],[REFERENCE]], Tableau1[NUMERO], 0),4)</f>
        <v/>
      </c>
      <c r="E306" s="129">
        <f>INDEX(Tableau1[], MATCH(Tableau3[[#This Row],[REFERENCE]], Tableau1[NUMERO], 0), 5)</f>
        <v/>
      </c>
      <c r="F306" s="129">
        <f>INDEX(Tableau1[], MATCH(Tableau3[[#This Row],[REFERENCE]], Tableau1[NUMERO], 0), 6)</f>
        <v/>
      </c>
      <c r="G306" s="129">
        <f>INDEX(Tableau1[], MATCH(Tableau3[[#This Row],[REFERENCE]], Tableau1[NUMERO], 0), 7)</f>
        <v/>
      </c>
      <c r="H306" t="inlineStr">
        <is>
          <t>lasertechnic</t>
        </is>
      </c>
      <c r="J306" s="2" t="n">
        <v>43754</v>
      </c>
      <c r="K306" s="2" t="n">
        <v>43755</v>
      </c>
      <c r="L306" s="2" t="n"/>
      <c r="O306" s="7" t="n">
        <v>42</v>
      </c>
      <c r="P306" s="8" t="inlineStr">
        <is>
          <t>5 JOURS</t>
        </is>
      </c>
      <c r="Q306" s="2" t="n">
        <v>43847</v>
      </c>
    </row>
    <row r="307">
      <c r="A307" s="8" t="n">
        <v>34408005</v>
      </c>
      <c r="B307" s="9">
        <f>INDEX(Tableau1[], MATCH(Tableau3[[#This Row],[REFERENCE]], Tableau1[NUMERO], 0), 2)</f>
        <v/>
      </c>
      <c r="C307" s="129">
        <f>INDEX(Tableau1[], MATCH(Tableau3[[#This Row],[REFERENCE]], Tableau1[NUMERO], 0), 3)</f>
        <v/>
      </c>
      <c r="D307" s="129">
        <f>INDEX(Tableau1[], MATCH(Tableau3[[#This Row],[REFERENCE]], Tableau1[NUMERO], 0),4)</f>
        <v/>
      </c>
      <c r="E307" s="129">
        <f>INDEX(Tableau1[], MATCH(Tableau3[[#This Row],[REFERENCE]], Tableau1[NUMERO], 0), 5)</f>
        <v/>
      </c>
      <c r="F307" s="129">
        <f>INDEX(Tableau1[], MATCH(Tableau3[[#This Row],[REFERENCE]], Tableau1[NUMERO], 0), 6)</f>
        <v/>
      </c>
      <c r="G307" s="129">
        <f>INDEX(Tableau1[], MATCH(Tableau3[[#This Row],[REFERENCE]], Tableau1[NUMERO], 0), 7)</f>
        <v/>
      </c>
      <c r="H307" t="inlineStr">
        <is>
          <t>lasertechnic</t>
        </is>
      </c>
      <c r="J307" s="2" t="n">
        <v>43754</v>
      </c>
      <c r="K307" s="2" t="n">
        <v>43755</v>
      </c>
      <c r="L307" s="2" t="n"/>
      <c r="O307" s="7" t="n">
        <v>145</v>
      </c>
      <c r="P307" s="8" t="inlineStr">
        <is>
          <t>5 JOURS</t>
        </is>
      </c>
      <c r="Q307" s="2" t="n">
        <v>43847</v>
      </c>
    </row>
    <row r="308">
      <c r="A308" s="8" t="n">
        <v>34408008</v>
      </c>
      <c r="B308" s="9">
        <f>INDEX(Tableau1[], MATCH(Tableau3[[#This Row],[REFERENCE]], Tableau1[NUMERO], 0), 2)</f>
        <v/>
      </c>
      <c r="C308" s="129">
        <f>INDEX(Tableau1[], MATCH(Tableau3[[#This Row],[REFERENCE]], Tableau1[NUMERO], 0), 3)</f>
        <v/>
      </c>
      <c r="D308" s="129">
        <f>INDEX(Tableau1[], MATCH(Tableau3[[#This Row],[REFERENCE]], Tableau1[NUMERO], 0),4)</f>
        <v/>
      </c>
      <c r="E308" s="129">
        <f>INDEX(Tableau1[], MATCH(Tableau3[[#This Row],[REFERENCE]], Tableau1[NUMERO], 0), 5)</f>
        <v/>
      </c>
      <c r="F308" s="129">
        <f>INDEX(Tableau1[], MATCH(Tableau3[[#This Row],[REFERENCE]], Tableau1[NUMERO], 0), 6)</f>
        <v/>
      </c>
      <c r="G308" s="129">
        <f>INDEX(Tableau1[], MATCH(Tableau3[[#This Row],[REFERENCE]], Tableau1[NUMERO], 0), 7)</f>
        <v/>
      </c>
      <c r="H308" t="inlineStr">
        <is>
          <t>thyssen</t>
        </is>
      </c>
      <c r="J308" s="2" t="n">
        <v>43754</v>
      </c>
      <c r="K308" s="2" t="n">
        <v>43755</v>
      </c>
      <c r="L308" s="2" t="n"/>
      <c r="O308" s="7" t="n">
        <v>20.15</v>
      </c>
      <c r="P308" s="8" t="inlineStr">
        <is>
          <t>3 SEMAINES</t>
        </is>
      </c>
      <c r="Q308" s="2" t="n">
        <v>43773</v>
      </c>
    </row>
    <row r="309">
      <c r="A309" s="8" t="n">
        <v>34408008</v>
      </c>
      <c r="B309" s="9">
        <f>INDEX(Tableau1[], MATCH(Tableau3[[#This Row],[REFERENCE]], Tableau1[NUMERO], 0), 2)</f>
        <v/>
      </c>
      <c r="C309" s="129">
        <f>INDEX(Tableau1[], MATCH(Tableau3[[#This Row],[REFERENCE]], Tableau1[NUMERO], 0), 3)</f>
        <v/>
      </c>
      <c r="D309" s="129">
        <f>INDEX(Tableau1[], MATCH(Tableau3[[#This Row],[REFERENCE]], Tableau1[NUMERO], 0),4)</f>
        <v/>
      </c>
      <c r="E309" s="129">
        <f>INDEX(Tableau1[], MATCH(Tableau3[[#This Row],[REFERENCE]], Tableau1[NUMERO], 0), 5)</f>
        <v/>
      </c>
      <c r="F309" s="129">
        <f>INDEX(Tableau1[], MATCH(Tableau3[[#This Row],[REFERENCE]], Tableau1[NUMERO], 0), 6)</f>
        <v/>
      </c>
      <c r="G309" s="129">
        <f>INDEX(Tableau1[], MATCH(Tableau3[[#This Row],[REFERENCE]], Tableau1[NUMERO], 0), 7)</f>
        <v/>
      </c>
      <c r="H309" t="inlineStr">
        <is>
          <t>trefimetaux</t>
        </is>
      </c>
      <c r="J309" s="2" t="n">
        <v>43754</v>
      </c>
      <c r="K309" s="2" t="n">
        <v>43755</v>
      </c>
      <c r="L309" s="2" t="n"/>
      <c r="O309" s="7" t="n">
        <v>38.2</v>
      </c>
      <c r="P309" s="8" t="inlineStr">
        <is>
          <t>4 SEMAINES</t>
        </is>
      </c>
      <c r="Q309" s="2" t="n">
        <v>43847</v>
      </c>
    </row>
    <row r="310">
      <c r="A310" s="8" t="n">
        <v>34408009</v>
      </c>
      <c r="B310" s="9">
        <f>INDEX(Tableau1[], MATCH(Tableau3[[#This Row],[REFERENCE]], Tableau1[NUMERO], 0), 2)</f>
        <v/>
      </c>
      <c r="C310" s="129">
        <f>INDEX(Tableau1[], MATCH(Tableau3[[#This Row],[REFERENCE]], Tableau1[NUMERO], 0), 3)</f>
        <v/>
      </c>
      <c r="D310" s="129">
        <f>INDEX(Tableau1[], MATCH(Tableau3[[#This Row],[REFERENCE]], Tableau1[NUMERO], 0),4)</f>
        <v/>
      </c>
      <c r="E310" s="129">
        <f>INDEX(Tableau1[], MATCH(Tableau3[[#This Row],[REFERENCE]], Tableau1[NUMERO], 0), 5)</f>
        <v/>
      </c>
      <c r="F310" s="129">
        <f>INDEX(Tableau1[], MATCH(Tableau3[[#This Row],[REFERENCE]], Tableau1[NUMERO], 0), 6)</f>
        <v/>
      </c>
      <c r="G310" s="129">
        <f>INDEX(Tableau1[], MATCH(Tableau3[[#This Row],[REFERENCE]], Tableau1[NUMERO], 0), 7)</f>
        <v/>
      </c>
      <c r="H310" t="inlineStr">
        <is>
          <t>thyssen</t>
        </is>
      </c>
      <c r="J310" s="2" t="n">
        <v>43754</v>
      </c>
      <c r="K310" s="2" t="n">
        <v>43755</v>
      </c>
      <c r="L310" s="2" t="n"/>
      <c r="O310" s="7" t="n">
        <v>23.3</v>
      </c>
      <c r="P310" s="8" t="inlineStr">
        <is>
          <t>3 SEMAINES</t>
        </is>
      </c>
      <c r="Q310" s="2" t="n">
        <v>43773</v>
      </c>
    </row>
    <row r="311">
      <c r="A311" s="8" t="n">
        <v>34408009</v>
      </c>
      <c r="B311" s="9">
        <f>INDEX(Tableau1[], MATCH(Tableau3[[#This Row],[REFERENCE]], Tableau1[NUMERO], 0), 2)</f>
        <v/>
      </c>
      <c r="C311" s="129">
        <f>INDEX(Tableau1[], MATCH(Tableau3[[#This Row],[REFERENCE]], Tableau1[NUMERO], 0), 3)</f>
        <v/>
      </c>
      <c r="D311" s="129">
        <f>INDEX(Tableau1[], MATCH(Tableau3[[#This Row],[REFERENCE]], Tableau1[NUMERO], 0),4)</f>
        <v/>
      </c>
      <c r="E311" s="129">
        <f>INDEX(Tableau1[], MATCH(Tableau3[[#This Row],[REFERENCE]], Tableau1[NUMERO], 0), 5)</f>
        <v/>
      </c>
      <c r="F311" s="129">
        <f>INDEX(Tableau1[], MATCH(Tableau3[[#This Row],[REFERENCE]], Tableau1[NUMERO], 0), 6)</f>
        <v/>
      </c>
      <c r="G311" s="129">
        <f>INDEX(Tableau1[], MATCH(Tableau3[[#This Row],[REFERENCE]], Tableau1[NUMERO], 0), 7)</f>
        <v/>
      </c>
      <c r="H311" t="inlineStr">
        <is>
          <t>trefimetaux</t>
        </is>
      </c>
      <c r="J311" s="2" t="n">
        <v>43754</v>
      </c>
      <c r="K311" s="2" t="n">
        <v>43755</v>
      </c>
      <c r="L311" s="2" t="n"/>
      <c r="O311" s="7" t="n">
        <v>40.7</v>
      </c>
      <c r="P311" s="8" t="inlineStr">
        <is>
          <t>4 SEMAINES</t>
        </is>
      </c>
      <c r="Q311" s="2" t="n">
        <v>43847</v>
      </c>
    </row>
    <row r="312">
      <c r="A312" s="8" t="n">
        <v>34408010</v>
      </c>
      <c r="B312" s="9">
        <f>INDEX(Tableau1[], MATCH(Tableau3[[#This Row],[REFERENCE]], Tableau1[NUMERO], 0), 2)</f>
        <v/>
      </c>
      <c r="C312" s="129">
        <f>INDEX(Tableau1[], MATCH(Tableau3[[#This Row],[REFERENCE]], Tableau1[NUMERO], 0), 3)</f>
        <v/>
      </c>
      <c r="D312" s="129">
        <f>INDEX(Tableau1[], MATCH(Tableau3[[#This Row],[REFERENCE]], Tableau1[NUMERO], 0),4)</f>
        <v/>
      </c>
      <c r="E312" s="129">
        <f>INDEX(Tableau1[], MATCH(Tableau3[[#This Row],[REFERENCE]], Tableau1[NUMERO], 0), 5)</f>
        <v/>
      </c>
      <c r="F312" s="129">
        <f>INDEX(Tableau1[], MATCH(Tableau3[[#This Row],[REFERENCE]], Tableau1[NUMERO], 0), 6)</f>
        <v/>
      </c>
      <c r="G312" s="129">
        <f>INDEX(Tableau1[], MATCH(Tableau3[[#This Row],[REFERENCE]], Tableau1[NUMERO], 0), 7)</f>
        <v/>
      </c>
      <c r="H312" t="inlineStr">
        <is>
          <t>thyssen</t>
        </is>
      </c>
      <c r="J312" s="2" t="n">
        <v>43754</v>
      </c>
      <c r="K312" s="2" t="n">
        <v>43755</v>
      </c>
      <c r="L312" s="2" t="n"/>
      <c r="O312" s="7" t="n">
        <v>26.75</v>
      </c>
      <c r="P312" s="8" t="inlineStr">
        <is>
          <t>3 SEMAINES</t>
        </is>
      </c>
      <c r="Q312" s="2" t="n">
        <v>43773</v>
      </c>
    </row>
    <row r="313">
      <c r="A313" s="8" t="n">
        <v>34408010</v>
      </c>
      <c r="B313" s="9">
        <f>INDEX(Tableau1[], MATCH(Tableau3[[#This Row],[REFERENCE]], Tableau1[NUMERO], 0), 2)</f>
        <v/>
      </c>
      <c r="C313" s="129">
        <f>INDEX(Tableau1[], MATCH(Tableau3[[#This Row],[REFERENCE]], Tableau1[NUMERO], 0), 3)</f>
        <v/>
      </c>
      <c r="D313" s="129">
        <f>INDEX(Tableau1[], MATCH(Tableau3[[#This Row],[REFERENCE]], Tableau1[NUMERO], 0),4)</f>
        <v/>
      </c>
      <c r="E313" s="129">
        <f>INDEX(Tableau1[], MATCH(Tableau3[[#This Row],[REFERENCE]], Tableau1[NUMERO], 0), 5)</f>
        <v/>
      </c>
      <c r="F313" s="129">
        <f>INDEX(Tableau1[], MATCH(Tableau3[[#This Row],[REFERENCE]], Tableau1[NUMERO], 0), 6)</f>
        <v/>
      </c>
      <c r="G313" s="129">
        <f>INDEX(Tableau1[], MATCH(Tableau3[[#This Row],[REFERENCE]], Tableau1[NUMERO], 0), 7)</f>
        <v/>
      </c>
      <c r="H313" t="inlineStr">
        <is>
          <t>trefimetaux</t>
        </is>
      </c>
      <c r="J313" s="2" t="n">
        <v>43754</v>
      </c>
      <c r="K313" s="2" t="n">
        <v>43755</v>
      </c>
      <c r="L313" s="2" t="n"/>
      <c r="O313" s="7" t="n">
        <v>42.9</v>
      </c>
      <c r="P313" s="8" t="inlineStr">
        <is>
          <t>4 SEMAINES</t>
        </is>
      </c>
      <c r="Q313" s="2" t="n">
        <v>43847</v>
      </c>
    </row>
    <row r="314">
      <c r="A314" s="8" t="n">
        <v>34408011</v>
      </c>
      <c r="B314" s="9">
        <f>INDEX(Tableau1[], MATCH(Tableau3[[#This Row],[REFERENCE]], Tableau1[NUMERO], 0), 2)</f>
        <v/>
      </c>
      <c r="C314" s="129">
        <f>INDEX(Tableau1[], MATCH(Tableau3[[#This Row],[REFERENCE]], Tableau1[NUMERO], 0), 3)</f>
        <v/>
      </c>
      <c r="D314" s="129">
        <f>INDEX(Tableau1[], MATCH(Tableau3[[#This Row],[REFERENCE]], Tableau1[NUMERO], 0),4)</f>
        <v/>
      </c>
      <c r="E314" s="129">
        <f>INDEX(Tableau1[], MATCH(Tableau3[[#This Row],[REFERENCE]], Tableau1[NUMERO], 0), 5)</f>
        <v/>
      </c>
      <c r="F314" s="129">
        <f>INDEX(Tableau1[], MATCH(Tableau3[[#This Row],[REFERENCE]], Tableau1[NUMERO], 0), 6)</f>
        <v/>
      </c>
      <c r="G314" s="129">
        <f>INDEX(Tableau1[], MATCH(Tableau3[[#This Row],[REFERENCE]], Tableau1[NUMERO], 0), 7)</f>
        <v/>
      </c>
      <c r="H314" t="inlineStr">
        <is>
          <t>thyssen</t>
        </is>
      </c>
      <c r="J314" s="2" t="n">
        <v>43754</v>
      </c>
      <c r="K314" s="2" t="n">
        <v>43755</v>
      </c>
      <c r="L314" s="2" t="n"/>
      <c r="O314" s="7" t="n">
        <v>29.95</v>
      </c>
      <c r="P314" s="8" t="inlineStr">
        <is>
          <t>3 SEMAINES</t>
        </is>
      </c>
      <c r="Q314" s="2" t="n">
        <v>43773</v>
      </c>
    </row>
    <row r="315">
      <c r="A315" s="8" t="n">
        <v>34408011</v>
      </c>
      <c r="B315" s="9">
        <f>INDEX(Tableau1[], MATCH(Tableau3[[#This Row],[REFERENCE]], Tableau1[NUMERO], 0), 2)</f>
        <v/>
      </c>
      <c r="C315" s="129">
        <f>INDEX(Tableau1[], MATCH(Tableau3[[#This Row],[REFERENCE]], Tableau1[NUMERO], 0), 3)</f>
        <v/>
      </c>
      <c r="D315" s="129">
        <f>INDEX(Tableau1[], MATCH(Tableau3[[#This Row],[REFERENCE]], Tableau1[NUMERO], 0),4)</f>
        <v/>
      </c>
      <c r="E315" s="129">
        <f>INDEX(Tableau1[], MATCH(Tableau3[[#This Row],[REFERENCE]], Tableau1[NUMERO], 0), 5)</f>
        <v/>
      </c>
      <c r="F315" s="129">
        <f>INDEX(Tableau1[], MATCH(Tableau3[[#This Row],[REFERENCE]], Tableau1[NUMERO], 0), 6)</f>
        <v/>
      </c>
      <c r="G315" s="129">
        <f>INDEX(Tableau1[], MATCH(Tableau3[[#This Row],[REFERENCE]], Tableau1[NUMERO], 0), 7)</f>
        <v/>
      </c>
      <c r="H315" t="inlineStr">
        <is>
          <t>trefimetaux</t>
        </is>
      </c>
      <c r="J315" s="2" t="n">
        <v>43754</v>
      </c>
      <c r="K315" s="2" t="n">
        <v>43755</v>
      </c>
      <c r="L315" s="2" t="n"/>
      <c r="O315" s="7" t="n">
        <v>45.3</v>
      </c>
      <c r="P315" s="8" t="inlineStr">
        <is>
          <t>4 SEMAINES</t>
        </is>
      </c>
      <c r="Q315" s="2" t="n">
        <v>43847</v>
      </c>
    </row>
    <row r="316">
      <c r="A316" s="8" t="n">
        <v>34408019</v>
      </c>
      <c r="B316" s="9">
        <f>INDEX(Tableau1[], MATCH(Tableau3[[#This Row],[REFERENCE]], Tableau1[NUMERO], 0), 2)</f>
        <v/>
      </c>
      <c r="C316" s="129">
        <f>INDEX(Tableau1[], MATCH(Tableau3[[#This Row],[REFERENCE]], Tableau1[NUMERO], 0), 3)</f>
        <v/>
      </c>
      <c r="D316" s="129">
        <f>INDEX(Tableau1[], MATCH(Tableau3[[#This Row],[REFERENCE]], Tableau1[NUMERO], 0),4)</f>
        <v/>
      </c>
      <c r="E316" s="129">
        <f>INDEX(Tableau1[], MATCH(Tableau3[[#This Row],[REFERENCE]], Tableau1[NUMERO], 0), 5)</f>
        <v/>
      </c>
      <c r="F316" s="129">
        <f>INDEX(Tableau1[], MATCH(Tableau3[[#This Row],[REFERENCE]], Tableau1[NUMERO], 0), 6)</f>
        <v/>
      </c>
      <c r="G316" s="129">
        <f>INDEX(Tableau1[], MATCH(Tableau3[[#This Row],[REFERENCE]], Tableau1[NUMERO], 0), 7)</f>
        <v/>
      </c>
      <c r="H316" t="inlineStr">
        <is>
          <t>lasertechnic</t>
        </is>
      </c>
      <c r="J316" s="2" t="n">
        <v>43745</v>
      </c>
      <c r="K316" s="2" t="n">
        <v>43746</v>
      </c>
      <c r="L316" s="2" t="n"/>
      <c r="O316" s="7" t="n">
        <v>32</v>
      </c>
      <c r="P316" s="8" t="inlineStr">
        <is>
          <t>5 JOURS</t>
        </is>
      </c>
      <c r="Q316" s="2" t="n">
        <v>43473</v>
      </c>
      <c r="R316" t="inlineStr">
        <is>
          <t>consultation fait par vincent</t>
        </is>
      </c>
    </row>
    <row r="317">
      <c r="A317" s="8" t="n">
        <v>34408020</v>
      </c>
      <c r="B317" s="9">
        <f>INDEX(Tableau1[], MATCH(Tableau3[[#This Row],[REFERENCE]], Tableau1[NUMERO], 0), 2)</f>
        <v/>
      </c>
      <c r="C317" s="129">
        <f>INDEX(Tableau1[], MATCH(Tableau3[[#This Row],[REFERENCE]], Tableau1[NUMERO], 0), 3)</f>
        <v/>
      </c>
      <c r="D317" s="129">
        <f>INDEX(Tableau1[], MATCH(Tableau3[[#This Row],[REFERENCE]], Tableau1[NUMERO], 0),4)</f>
        <v/>
      </c>
      <c r="E317" s="129">
        <f>INDEX(Tableau1[], MATCH(Tableau3[[#This Row],[REFERENCE]], Tableau1[NUMERO], 0), 5)</f>
        <v/>
      </c>
      <c r="F317" s="129">
        <f>INDEX(Tableau1[], MATCH(Tableau3[[#This Row],[REFERENCE]], Tableau1[NUMERO], 0), 6)</f>
        <v/>
      </c>
      <c r="G317" s="129">
        <f>INDEX(Tableau1[], MATCH(Tableau3[[#This Row],[REFERENCE]], Tableau1[NUMERO], 0), 7)</f>
        <v/>
      </c>
      <c r="H317" t="inlineStr">
        <is>
          <t>lasertechnic</t>
        </is>
      </c>
      <c r="J317" s="2" t="n">
        <v>43754</v>
      </c>
      <c r="K317" s="2" t="n"/>
      <c r="L317" s="2" t="n"/>
      <c r="O317" s="7" t="n">
        <v>22</v>
      </c>
      <c r="P317" s="8" t="inlineStr">
        <is>
          <t>5 JOURS</t>
        </is>
      </c>
      <c r="Q317" s="2" t="n">
        <v>43847</v>
      </c>
    </row>
    <row r="318">
      <c r="A318" s="8" t="n">
        <v>34408021</v>
      </c>
      <c r="B318" s="9">
        <f>INDEX(Tableau1[], MATCH(Tableau3[[#This Row],[REFERENCE]], Tableau1[NUMERO], 0), 2)</f>
        <v/>
      </c>
      <c r="C318" s="129">
        <f>INDEX(Tableau1[], MATCH(Tableau3[[#This Row],[REFERENCE]], Tableau1[NUMERO], 0), 3)</f>
        <v/>
      </c>
      <c r="D318" s="129">
        <f>INDEX(Tableau1[], MATCH(Tableau3[[#This Row],[REFERENCE]], Tableau1[NUMERO], 0),4)</f>
        <v/>
      </c>
      <c r="E318" s="129">
        <f>INDEX(Tableau1[], MATCH(Tableau3[[#This Row],[REFERENCE]], Tableau1[NUMERO], 0), 5)</f>
        <v/>
      </c>
      <c r="F318" s="129">
        <f>INDEX(Tableau1[], MATCH(Tableau3[[#This Row],[REFERENCE]], Tableau1[NUMERO], 0), 6)</f>
        <v/>
      </c>
      <c r="G318" s="129">
        <f>INDEX(Tableau1[], MATCH(Tableau3[[#This Row],[REFERENCE]], Tableau1[NUMERO], 0), 7)</f>
        <v/>
      </c>
      <c r="H318" t="inlineStr">
        <is>
          <t>lasertechnic</t>
        </is>
      </c>
      <c r="J318" s="2" t="n">
        <v>43754</v>
      </c>
      <c r="K318" s="2" t="n"/>
      <c r="L318" s="2" t="n"/>
      <c r="O318" s="7" t="n">
        <v>19</v>
      </c>
      <c r="P318" s="8" t="inlineStr">
        <is>
          <t>5 JOURS</t>
        </is>
      </c>
      <c r="Q318" s="2" t="n">
        <v>43847</v>
      </c>
    </row>
    <row r="319">
      <c r="A319" s="8" t="n">
        <v>34408022</v>
      </c>
      <c r="B319" s="9">
        <f>INDEX(Tableau1[], MATCH(Tableau3[[#This Row],[REFERENCE]], Tableau1[NUMERO], 0), 2)</f>
        <v/>
      </c>
      <c r="C319" s="129">
        <f>INDEX(Tableau1[], MATCH(Tableau3[[#This Row],[REFERENCE]], Tableau1[NUMERO], 0), 3)</f>
        <v/>
      </c>
      <c r="D319" s="129">
        <f>INDEX(Tableau1[], MATCH(Tableau3[[#This Row],[REFERENCE]], Tableau1[NUMERO], 0),4)</f>
        <v/>
      </c>
      <c r="E319" s="129">
        <f>INDEX(Tableau1[], MATCH(Tableau3[[#This Row],[REFERENCE]], Tableau1[NUMERO], 0), 5)</f>
        <v/>
      </c>
      <c r="F319" s="129">
        <f>INDEX(Tableau1[], MATCH(Tableau3[[#This Row],[REFERENCE]], Tableau1[NUMERO], 0), 6)</f>
        <v/>
      </c>
      <c r="G319" s="129">
        <f>INDEX(Tableau1[], MATCH(Tableau3[[#This Row],[REFERENCE]], Tableau1[NUMERO], 0), 7)</f>
        <v/>
      </c>
      <c r="H319" t="inlineStr">
        <is>
          <t>lasertechnic</t>
        </is>
      </c>
      <c r="J319" s="2" t="n">
        <v>43754</v>
      </c>
      <c r="K319" s="2" t="n"/>
      <c r="L319" s="2" t="n"/>
      <c r="O319" s="7" t="n">
        <v>22</v>
      </c>
      <c r="P319" s="8" t="inlineStr">
        <is>
          <t>5 JOURS</t>
        </is>
      </c>
      <c r="Q319" s="2" t="n">
        <v>43847</v>
      </c>
    </row>
    <row r="320">
      <c r="A320" s="8" t="n">
        <v>34408024</v>
      </c>
      <c r="B320" s="9">
        <f>INDEX(Tableau1[], MATCH(Tableau3[[#This Row],[REFERENCE]], Tableau1[NUMERO], 0), 2)</f>
        <v/>
      </c>
      <c r="C320" s="129">
        <f>INDEX(Tableau1[], MATCH(Tableau3[[#This Row],[REFERENCE]], Tableau1[NUMERO], 0), 3)</f>
        <v/>
      </c>
      <c r="D320" s="129">
        <f>INDEX(Tableau1[], MATCH(Tableau3[[#This Row],[REFERENCE]], Tableau1[NUMERO], 0),4)</f>
        <v/>
      </c>
      <c r="E320" s="129">
        <f>INDEX(Tableau1[], MATCH(Tableau3[[#This Row],[REFERENCE]], Tableau1[NUMERO], 0), 5)</f>
        <v/>
      </c>
      <c r="F320" s="129">
        <f>INDEX(Tableau1[], MATCH(Tableau3[[#This Row],[REFERENCE]], Tableau1[NUMERO], 0), 6)</f>
        <v/>
      </c>
      <c r="G320" s="129">
        <f>INDEX(Tableau1[], MATCH(Tableau3[[#This Row],[REFERENCE]], Tableau1[NUMERO], 0), 7)</f>
        <v/>
      </c>
      <c r="H320" t="inlineStr">
        <is>
          <t>lasertechnic</t>
        </is>
      </c>
      <c r="J320" s="2" t="n">
        <v>43754</v>
      </c>
      <c r="K320" s="2" t="n">
        <v>43755</v>
      </c>
      <c r="L320" s="2" t="n"/>
      <c r="O320" s="7" t="n">
        <v>12</v>
      </c>
      <c r="P320" s="8" t="inlineStr">
        <is>
          <t>5 JOURS</t>
        </is>
      </c>
      <c r="Q320" s="2" t="n">
        <v>43847</v>
      </c>
    </row>
    <row r="321">
      <c r="A321" s="8" t="n">
        <v>34408026</v>
      </c>
      <c r="B321" s="9">
        <f>INDEX(Tableau1[], MATCH(Tableau3[[#This Row],[REFERENCE]], Tableau1[NUMERO], 0), 2)</f>
        <v/>
      </c>
      <c r="C321" s="129">
        <f>INDEX(Tableau1[], MATCH(Tableau3[[#This Row],[REFERENCE]], Tableau1[NUMERO], 0), 3)</f>
        <v/>
      </c>
      <c r="D321" s="129">
        <f>INDEX(Tableau1[], MATCH(Tableau3[[#This Row],[REFERENCE]], Tableau1[NUMERO], 0),4)</f>
        <v/>
      </c>
      <c r="E321" s="129">
        <f>INDEX(Tableau1[], MATCH(Tableau3[[#This Row],[REFERENCE]], Tableau1[NUMERO], 0), 5)</f>
        <v/>
      </c>
      <c r="F321" s="129">
        <f>INDEX(Tableau1[], MATCH(Tableau3[[#This Row],[REFERENCE]], Tableau1[NUMERO], 0), 6)</f>
        <v/>
      </c>
      <c r="G321" s="129">
        <f>INDEX(Tableau1[], MATCH(Tableau3[[#This Row],[REFERENCE]], Tableau1[NUMERO], 0), 7)</f>
        <v/>
      </c>
      <c r="H321" t="inlineStr">
        <is>
          <t>lasertechnic</t>
        </is>
      </c>
      <c r="J321" s="2" t="n">
        <v>43754</v>
      </c>
      <c r="K321" s="2" t="n">
        <v>43755</v>
      </c>
      <c r="L321" s="2" t="n"/>
      <c r="O321" s="7" t="n">
        <v>20</v>
      </c>
      <c r="P321" s="8" t="inlineStr">
        <is>
          <t>5 JOURS</t>
        </is>
      </c>
      <c r="Q321" s="2" t="n">
        <v>43847</v>
      </c>
    </row>
    <row r="322">
      <c r="A322" s="8" t="n">
        <v>34408027</v>
      </c>
      <c r="B322" s="9">
        <f>INDEX(Tableau1[], MATCH(Tableau3[[#This Row],[REFERENCE]], Tableau1[NUMERO], 0), 2)</f>
        <v/>
      </c>
      <c r="C322" s="129">
        <f>INDEX(Tableau1[], MATCH(Tableau3[[#This Row],[REFERENCE]], Tableau1[NUMERO], 0), 3)</f>
        <v/>
      </c>
      <c r="D322" s="129">
        <f>INDEX(Tableau1[], MATCH(Tableau3[[#This Row],[REFERENCE]], Tableau1[NUMERO], 0),4)</f>
        <v/>
      </c>
      <c r="E322" s="129">
        <f>INDEX(Tableau1[], MATCH(Tableau3[[#This Row],[REFERENCE]], Tableau1[NUMERO], 0), 5)</f>
        <v/>
      </c>
      <c r="F322" s="129">
        <f>INDEX(Tableau1[], MATCH(Tableau3[[#This Row],[REFERENCE]], Tableau1[NUMERO], 0), 6)</f>
        <v/>
      </c>
      <c r="G322" s="129">
        <f>INDEX(Tableau1[], MATCH(Tableau3[[#This Row],[REFERENCE]], Tableau1[NUMERO], 0), 7)</f>
        <v/>
      </c>
      <c r="H322" t="inlineStr">
        <is>
          <t>lasertechnic</t>
        </is>
      </c>
      <c r="J322" s="2" t="n">
        <v>43754</v>
      </c>
      <c r="K322" s="2" t="n">
        <v>43755</v>
      </c>
      <c r="L322" s="2" t="n"/>
      <c r="O322" s="7" t="n">
        <v>19</v>
      </c>
      <c r="P322" s="8" t="inlineStr">
        <is>
          <t>5 JOURS</t>
        </is>
      </c>
      <c r="Q322" s="2" t="n">
        <v>43847</v>
      </c>
    </row>
    <row r="323">
      <c r="A323" s="8" t="n">
        <v>34408028</v>
      </c>
      <c r="B323" s="9">
        <f>INDEX(Tableau1[], MATCH(Tableau3[[#This Row],[REFERENCE]], Tableau1[NUMERO], 0), 2)</f>
        <v/>
      </c>
      <c r="C323" s="129">
        <f>INDEX(Tableau1[], MATCH(Tableau3[[#This Row],[REFERENCE]], Tableau1[NUMERO], 0), 3)</f>
        <v/>
      </c>
      <c r="D323" s="129">
        <f>INDEX(Tableau1[], MATCH(Tableau3[[#This Row],[REFERENCE]], Tableau1[NUMERO], 0),4)</f>
        <v/>
      </c>
      <c r="E323" s="129">
        <f>INDEX(Tableau1[], MATCH(Tableau3[[#This Row],[REFERENCE]], Tableau1[NUMERO], 0), 5)</f>
        <v/>
      </c>
      <c r="F323" s="129">
        <f>INDEX(Tableau1[], MATCH(Tableau3[[#This Row],[REFERENCE]], Tableau1[NUMERO], 0), 6)</f>
        <v/>
      </c>
      <c r="G323" s="129">
        <f>INDEX(Tableau1[], MATCH(Tableau3[[#This Row],[REFERENCE]], Tableau1[NUMERO], 0), 7)</f>
        <v/>
      </c>
      <c r="H323" t="inlineStr">
        <is>
          <t>lasertechnic</t>
        </is>
      </c>
      <c r="J323" s="2" t="n">
        <v>43754</v>
      </c>
      <c r="K323" s="2" t="n">
        <v>43755</v>
      </c>
      <c r="L323" s="2" t="n"/>
      <c r="O323" s="7" t="n">
        <v>48</v>
      </c>
      <c r="P323" s="8" t="inlineStr">
        <is>
          <t>5 JOURS</t>
        </is>
      </c>
      <c r="Q323" s="2" t="n">
        <v>43847</v>
      </c>
    </row>
    <row r="324">
      <c r="A324" s="8" t="n">
        <v>34408032</v>
      </c>
      <c r="B324" s="9">
        <f>INDEX(Tableau1[], MATCH(Tableau3[[#This Row],[REFERENCE]], Tableau1[NUMERO], 0), 2)</f>
        <v/>
      </c>
      <c r="C324" s="129">
        <f>INDEX(Tableau1[], MATCH(Tableau3[[#This Row],[REFERENCE]], Tableau1[NUMERO], 0), 3)</f>
        <v/>
      </c>
      <c r="D324" s="129">
        <f>INDEX(Tableau1[], MATCH(Tableau3[[#This Row],[REFERENCE]], Tableau1[NUMERO], 0),4)</f>
        <v/>
      </c>
      <c r="E324" s="129">
        <f>INDEX(Tableau1[], MATCH(Tableau3[[#This Row],[REFERENCE]], Tableau1[NUMERO], 0), 5)</f>
        <v/>
      </c>
      <c r="F324" s="129">
        <f>INDEX(Tableau1[], MATCH(Tableau3[[#This Row],[REFERENCE]], Tableau1[NUMERO], 0), 6)</f>
        <v/>
      </c>
      <c r="G324" s="129">
        <f>INDEX(Tableau1[], MATCH(Tableau3[[#This Row],[REFERENCE]], Tableau1[NUMERO], 0), 7)</f>
        <v/>
      </c>
      <c r="H324" t="inlineStr">
        <is>
          <t>lasertechnic</t>
        </is>
      </c>
      <c r="J324" s="2" t="n">
        <v>43755</v>
      </c>
      <c r="K324" s="2" t="n">
        <v>43755</v>
      </c>
      <c r="L324" s="2" t="n"/>
      <c r="O324" s="7" t="n">
        <v>55</v>
      </c>
      <c r="P324" s="8" t="inlineStr">
        <is>
          <t>5 JOURS</t>
        </is>
      </c>
      <c r="Q324" s="2" t="n">
        <v>43847</v>
      </c>
    </row>
    <row r="325">
      <c r="A325" s="8" t="n">
        <v>34408034</v>
      </c>
      <c r="B325" s="9">
        <f>INDEX(Tableau1[], MATCH(Tableau3[[#This Row],[REFERENCE]], Tableau1[NUMERO], 0), 2)</f>
        <v/>
      </c>
      <c r="C325" s="129">
        <f>INDEX(Tableau1[], MATCH(Tableau3[[#This Row],[REFERENCE]], Tableau1[NUMERO], 0), 3)</f>
        <v/>
      </c>
      <c r="D325" s="129">
        <f>INDEX(Tableau1[], MATCH(Tableau3[[#This Row],[REFERENCE]], Tableau1[NUMERO], 0),4)</f>
        <v/>
      </c>
      <c r="E325" s="129">
        <f>INDEX(Tableau1[], MATCH(Tableau3[[#This Row],[REFERENCE]], Tableau1[NUMERO], 0), 5)</f>
        <v/>
      </c>
      <c r="F325" s="129">
        <f>INDEX(Tableau1[], MATCH(Tableau3[[#This Row],[REFERENCE]], Tableau1[NUMERO], 0), 6)</f>
        <v/>
      </c>
      <c r="G325" s="129">
        <f>INDEX(Tableau1[], MATCH(Tableau3[[#This Row],[REFERENCE]], Tableau1[NUMERO], 0), 7)</f>
        <v/>
      </c>
      <c r="H325" t="inlineStr">
        <is>
          <t>lasertechnic</t>
        </is>
      </c>
      <c r="J325" s="2" t="n">
        <v>43755</v>
      </c>
      <c r="K325" s="2" t="n">
        <v>43755</v>
      </c>
      <c r="L325" s="2" t="n"/>
      <c r="O325" s="7" t="n">
        <v>48</v>
      </c>
      <c r="P325" s="8" t="inlineStr">
        <is>
          <t>5 JOURS</t>
        </is>
      </c>
      <c r="Q325" s="2" t="n">
        <v>43847</v>
      </c>
    </row>
    <row r="326">
      <c r="A326" s="8" t="n">
        <v>34408036</v>
      </c>
      <c r="B326" s="9">
        <f>INDEX(Tableau1[], MATCH(Tableau3[[#This Row],[REFERENCE]], Tableau1[NUMERO], 0), 2)</f>
        <v/>
      </c>
      <c r="C326" s="129">
        <f>INDEX(Tableau1[], MATCH(Tableau3[[#This Row],[REFERENCE]], Tableau1[NUMERO], 0), 3)</f>
        <v/>
      </c>
      <c r="D326" s="129">
        <f>INDEX(Tableau1[], MATCH(Tableau3[[#This Row],[REFERENCE]], Tableau1[NUMERO], 0),4)</f>
        <v/>
      </c>
      <c r="E326" s="129">
        <f>INDEX(Tableau1[], MATCH(Tableau3[[#This Row],[REFERENCE]], Tableau1[NUMERO], 0), 5)</f>
        <v/>
      </c>
      <c r="F326" s="129">
        <f>INDEX(Tableau1[], MATCH(Tableau3[[#This Row],[REFERENCE]], Tableau1[NUMERO], 0), 6)</f>
        <v/>
      </c>
      <c r="G326" s="129">
        <f>INDEX(Tableau1[], MATCH(Tableau3[[#This Row],[REFERENCE]], Tableau1[NUMERO], 0), 7)</f>
        <v/>
      </c>
      <c r="H326" t="inlineStr">
        <is>
          <t>lasertechnic</t>
        </is>
      </c>
      <c r="J326" s="2" t="n">
        <v>43754</v>
      </c>
      <c r="K326" s="2" t="n">
        <v>43755</v>
      </c>
      <c r="L326" s="2" t="n"/>
      <c r="O326" s="7" t="n">
        <v>85</v>
      </c>
      <c r="P326" s="8" t="inlineStr">
        <is>
          <t>5 JOURS</t>
        </is>
      </c>
      <c r="Q326" s="2" t="n">
        <v>43847</v>
      </c>
    </row>
    <row r="327">
      <c r="A327" s="8" t="n">
        <v>34408038</v>
      </c>
      <c r="B327" s="9">
        <f>INDEX(Tableau1[], MATCH(Tableau3[[#This Row],[REFERENCE]], Tableau1[NUMERO], 0), 2)</f>
        <v/>
      </c>
      <c r="C327" s="129">
        <f>INDEX(Tableau1[], MATCH(Tableau3[[#This Row],[REFERENCE]], Tableau1[NUMERO], 0), 3)</f>
        <v/>
      </c>
      <c r="D327" s="129">
        <f>INDEX(Tableau1[], MATCH(Tableau3[[#This Row],[REFERENCE]], Tableau1[NUMERO], 0),4)</f>
        <v/>
      </c>
      <c r="E327" s="129">
        <f>INDEX(Tableau1[], MATCH(Tableau3[[#This Row],[REFERENCE]], Tableau1[NUMERO], 0), 5)</f>
        <v/>
      </c>
      <c r="F327" s="129">
        <f>INDEX(Tableau1[], MATCH(Tableau3[[#This Row],[REFERENCE]], Tableau1[NUMERO], 0), 6)</f>
        <v/>
      </c>
      <c r="G327" s="129">
        <f>INDEX(Tableau1[], MATCH(Tableau3[[#This Row],[REFERENCE]], Tableau1[NUMERO], 0), 7)</f>
        <v/>
      </c>
      <c r="H327" t="inlineStr">
        <is>
          <t>lasertechnic</t>
        </is>
      </c>
      <c r="J327" s="2" t="n">
        <v>43759</v>
      </c>
      <c r="K327" s="2" t="n">
        <v>43759</v>
      </c>
      <c r="L327" s="2" t="n"/>
      <c r="O327" s="7" t="n">
        <v>75</v>
      </c>
      <c r="P327" s="8" t="inlineStr">
        <is>
          <t>3 JOURS</t>
        </is>
      </c>
      <c r="Q327" s="2" t="n">
        <v>43851</v>
      </c>
      <c r="R327" t="inlineStr">
        <is>
          <t>consultation fait par vincent</t>
        </is>
      </c>
    </row>
    <row r="328">
      <c r="A328" s="8" t="n">
        <v>34408040</v>
      </c>
      <c r="B328" s="9">
        <f>INDEX(Tableau1[], MATCH(Tableau3[[#This Row],[REFERENCE]], Tableau1[NUMERO], 0), 2)</f>
        <v/>
      </c>
      <c r="C328" s="129">
        <f>INDEX(Tableau1[], MATCH(Tableau3[[#This Row],[REFERENCE]], Tableau1[NUMERO], 0), 3)</f>
        <v/>
      </c>
      <c r="D328" s="129">
        <f>INDEX(Tableau1[], MATCH(Tableau3[[#This Row],[REFERENCE]], Tableau1[NUMERO], 0),4)</f>
        <v/>
      </c>
      <c r="E328" s="129">
        <f>INDEX(Tableau1[], MATCH(Tableau3[[#This Row],[REFERENCE]], Tableau1[NUMERO], 0), 5)</f>
        <v/>
      </c>
      <c r="F328" s="129">
        <f>INDEX(Tableau1[], MATCH(Tableau3[[#This Row],[REFERENCE]], Tableau1[NUMERO], 0), 6)</f>
        <v/>
      </c>
      <c r="G328" s="129">
        <f>INDEX(Tableau1[], MATCH(Tableau3[[#This Row],[REFERENCE]], Tableau1[NUMERO], 0), 7)</f>
        <v/>
      </c>
      <c r="H328" t="inlineStr">
        <is>
          <t>COMATEL</t>
        </is>
      </c>
      <c r="J328" s="2" t="n">
        <v>43752</v>
      </c>
      <c r="K328" s="2" t="n">
        <v>43756</v>
      </c>
      <c r="L328" s="2" t="n"/>
      <c r="O328" s="7" t="inlineStr">
        <is>
          <t>168,86 pour 1 et 144,55 pour 10</t>
        </is>
      </c>
      <c r="P328" s="8" t="inlineStr">
        <is>
          <t>3 Semaines</t>
        </is>
      </c>
      <c r="Q328" s="2" t="n"/>
    </row>
    <row r="329">
      <c r="A329" s="8" t="n">
        <v>34408040</v>
      </c>
      <c r="B329" s="9">
        <f>INDEX(Tableau1[], MATCH(Tableau3[[#This Row],[REFERENCE]], Tableau1[NUMERO], 0), 2)</f>
        <v/>
      </c>
      <c r="C329" s="129">
        <f>INDEX(Tableau1[], MATCH(Tableau3[[#This Row],[REFERENCE]], Tableau1[NUMERO], 0), 3)</f>
        <v/>
      </c>
      <c r="D329" s="129">
        <f>INDEX(Tableau1[], MATCH(Tableau3[[#This Row],[REFERENCE]], Tableau1[NUMERO], 0),4)</f>
        <v/>
      </c>
      <c r="E329" s="129">
        <f>INDEX(Tableau1[], MATCH(Tableau3[[#This Row],[REFERENCE]], Tableau1[NUMERO], 0), 5)</f>
        <v/>
      </c>
      <c r="F329" s="129">
        <f>INDEX(Tableau1[], MATCH(Tableau3[[#This Row],[REFERENCE]], Tableau1[NUMERO], 0), 6)</f>
        <v/>
      </c>
      <c r="G329" s="129">
        <f>INDEX(Tableau1[], MATCH(Tableau3[[#This Row],[REFERENCE]], Tableau1[NUMERO], 0), 7)</f>
        <v/>
      </c>
      <c r="H329" t="inlineStr">
        <is>
          <t>les 3 V</t>
        </is>
      </c>
      <c r="J329" s="2" t="n">
        <v>43752</v>
      </c>
      <c r="K329" s="2" t="n">
        <v>43754</v>
      </c>
      <c r="L329" s="2" t="n"/>
      <c r="O329" s="7" t="inlineStr">
        <is>
          <t>(258,88 pour 1) et (126,94 pour 10)</t>
        </is>
      </c>
      <c r="P329" s="8" t="n"/>
      <c r="Q329" s="2" t="n"/>
    </row>
    <row r="330">
      <c r="A330" s="8" t="n">
        <v>34408040</v>
      </c>
      <c r="B330" s="9">
        <f>INDEX(Tableau1[], MATCH(Tableau3[[#This Row],[REFERENCE]], Tableau1[NUMERO], 0), 2)</f>
        <v/>
      </c>
      <c r="C330" s="129">
        <f>INDEX(Tableau1[], MATCH(Tableau3[[#This Row],[REFERENCE]], Tableau1[NUMERO], 0), 3)</f>
        <v/>
      </c>
      <c r="D330" s="129">
        <f>INDEX(Tableau1[], MATCH(Tableau3[[#This Row],[REFERENCE]], Tableau1[NUMERO], 0),4)</f>
        <v/>
      </c>
      <c r="E330" s="129">
        <f>INDEX(Tableau1[], MATCH(Tableau3[[#This Row],[REFERENCE]], Tableau1[NUMERO], 0), 5)</f>
        <v/>
      </c>
      <c r="F330" s="129">
        <f>INDEX(Tableau1[], MATCH(Tableau3[[#This Row],[REFERENCE]], Tableau1[NUMERO], 0), 6)</f>
        <v/>
      </c>
      <c r="G330" s="129">
        <f>INDEX(Tableau1[], MATCH(Tableau3[[#This Row],[REFERENCE]], Tableau1[NUMERO], 0), 7)</f>
        <v/>
      </c>
      <c r="H330" t="inlineStr">
        <is>
          <t>OTN</t>
        </is>
      </c>
      <c r="J330" s="2" t="n">
        <v>43752</v>
      </c>
      <c r="K330" s="2" t="n"/>
      <c r="L330" s="2" t="n"/>
      <c r="P330" s="8" t="n"/>
      <c r="Q330" s="2" t="n"/>
    </row>
    <row r="331">
      <c r="A331" s="8" t="n">
        <v>34408041</v>
      </c>
      <c r="B331" s="9">
        <f>INDEX(Tableau1[], MATCH(Tableau3[[#This Row],[REFERENCE]], Tableau1[NUMERO], 0), 2)</f>
        <v/>
      </c>
      <c r="C331" s="129">
        <f>INDEX(Tableau1[], MATCH(Tableau3[[#This Row],[REFERENCE]], Tableau1[NUMERO], 0), 3)</f>
        <v/>
      </c>
      <c r="D331" s="129">
        <f>INDEX(Tableau1[], MATCH(Tableau3[[#This Row],[REFERENCE]], Tableau1[NUMERO], 0),4)</f>
        <v/>
      </c>
      <c r="E331" s="129">
        <f>INDEX(Tableau1[], MATCH(Tableau3[[#This Row],[REFERENCE]], Tableau1[NUMERO], 0), 5)</f>
        <v/>
      </c>
      <c r="F331" s="129">
        <f>INDEX(Tableau1[], MATCH(Tableau3[[#This Row],[REFERENCE]], Tableau1[NUMERO], 0), 6)</f>
        <v/>
      </c>
      <c r="G331" s="129">
        <f>INDEX(Tableau1[], MATCH(Tableau3[[#This Row],[REFERENCE]], Tableau1[NUMERO], 0), 7)</f>
        <v/>
      </c>
      <c r="H331" t="inlineStr">
        <is>
          <t>lasertechnic</t>
        </is>
      </c>
      <c r="J331" s="2" t="n">
        <v>43761</v>
      </c>
      <c r="K331" s="2" t="n"/>
      <c r="L331" s="2" t="n"/>
      <c r="O331" s="7" t="n">
        <v>9</v>
      </c>
      <c r="P331" s="8" t="n"/>
      <c r="Q331" s="2" t="n"/>
      <c r="R331" t="inlineStr">
        <is>
          <t>consultation par JPM</t>
        </is>
      </c>
    </row>
    <row r="332">
      <c r="A332" s="8" t="n">
        <v>34408042</v>
      </c>
      <c r="B332" s="9">
        <f>INDEX(Tableau1[], MATCH(Tableau3[[#This Row],[REFERENCE]], Tableau1[NUMERO], 0), 2)</f>
        <v/>
      </c>
      <c r="C332" s="129">
        <f>INDEX(Tableau1[], MATCH(Tableau3[[#This Row],[REFERENCE]], Tableau1[NUMERO], 0), 3)</f>
        <v/>
      </c>
      <c r="D332" s="129">
        <f>INDEX(Tableau1[], MATCH(Tableau3[[#This Row],[REFERENCE]], Tableau1[NUMERO], 0),4)</f>
        <v/>
      </c>
      <c r="E332" s="129">
        <f>INDEX(Tableau1[], MATCH(Tableau3[[#This Row],[REFERENCE]], Tableau1[NUMERO], 0), 5)</f>
        <v/>
      </c>
      <c r="F332" s="129">
        <f>INDEX(Tableau1[], MATCH(Tableau3[[#This Row],[REFERENCE]], Tableau1[NUMERO], 0), 6)</f>
        <v/>
      </c>
      <c r="G332" s="129">
        <f>INDEX(Tableau1[], MATCH(Tableau3[[#This Row],[REFERENCE]], Tableau1[NUMERO], 0), 7)</f>
        <v/>
      </c>
      <c r="H332" t="inlineStr">
        <is>
          <t>lasertechnic</t>
        </is>
      </c>
      <c r="J332" s="2" t="inlineStr">
        <is>
          <t>new  11/12/2019</t>
        </is>
      </c>
      <c r="K332" s="2" t="n">
        <v>43812</v>
      </c>
      <c r="L332" s="2" t="n"/>
      <c r="N332" s="35" t="n">
        <v>5</v>
      </c>
      <c r="O332" s="7" t="n">
        <v>98</v>
      </c>
      <c r="P332" s="8" t="inlineStr">
        <is>
          <t>5 jours</t>
        </is>
      </c>
      <c r="Q332" s="2" t="n">
        <v>43874</v>
      </c>
    </row>
    <row r="333">
      <c r="A333" s="8" t="n">
        <v>34408044</v>
      </c>
      <c r="B333" s="9">
        <f>INDEX(Tableau1[], MATCH(Tableau3[[#This Row],[REFERENCE]], Tableau1[NUMERO], 0), 2)</f>
        <v/>
      </c>
      <c r="C333" s="129">
        <f>INDEX(Tableau1[], MATCH(Tableau3[[#This Row],[REFERENCE]], Tableau1[NUMERO], 0), 3)</f>
        <v/>
      </c>
      <c r="D333" s="129">
        <f>INDEX(Tableau1[], MATCH(Tableau3[[#This Row],[REFERENCE]], Tableau1[NUMERO], 0),4)</f>
        <v/>
      </c>
      <c r="E333" s="129">
        <f>INDEX(Tableau1[], MATCH(Tableau3[[#This Row],[REFERENCE]], Tableau1[NUMERO], 0), 5)</f>
        <v/>
      </c>
      <c r="F333" s="129">
        <f>INDEX(Tableau1[], MATCH(Tableau3[[#This Row],[REFERENCE]], Tableau1[NUMERO], 0), 6)</f>
        <v/>
      </c>
      <c r="G333" s="129">
        <f>INDEX(Tableau1[], MATCH(Tableau3[[#This Row],[REFERENCE]], Tableau1[NUMERO], 0), 7)</f>
        <v/>
      </c>
      <c r="H333" t="inlineStr">
        <is>
          <t>lasertechnic</t>
        </is>
      </c>
      <c r="J333" s="2" t="n">
        <v>43782</v>
      </c>
      <c r="K333" s="2" t="n"/>
      <c r="L333" s="2" t="n"/>
      <c r="O333" s="7" t="n">
        <v>68</v>
      </c>
      <c r="P333" s="8" t="n"/>
      <c r="Q333" s="2" t="n"/>
    </row>
    <row r="334">
      <c r="A334" s="8" t="n">
        <v>34408053</v>
      </c>
      <c r="B334" s="9">
        <f>INDEX(Tableau1[], MATCH(Tableau3[[#This Row],[REFERENCE]], Tableau1[NUMERO], 0), 2)</f>
        <v/>
      </c>
      <c r="C334" s="129">
        <f>INDEX(Tableau1[], MATCH(Tableau3[[#This Row],[REFERENCE]], Tableau1[NUMERO], 0), 3)</f>
        <v/>
      </c>
      <c r="D334" s="129">
        <f>INDEX(Tableau1[], MATCH(Tableau3[[#This Row],[REFERENCE]], Tableau1[NUMERO], 0),4)</f>
        <v/>
      </c>
      <c r="E334" s="129">
        <f>INDEX(Tableau1[], MATCH(Tableau3[[#This Row],[REFERENCE]], Tableau1[NUMERO], 0), 5)</f>
        <v/>
      </c>
      <c r="F334" s="129">
        <f>INDEX(Tableau1[], MATCH(Tableau3[[#This Row],[REFERENCE]], Tableau1[NUMERO], 0), 6)</f>
        <v/>
      </c>
      <c r="G334" s="129">
        <f>INDEX(Tableau1[], MATCH(Tableau3[[#This Row],[REFERENCE]], Tableau1[NUMERO], 0), 7)</f>
        <v/>
      </c>
      <c r="J334" s="2" t="n">
        <v>43781</v>
      </c>
      <c r="K334" s="2" t="n">
        <v>43782</v>
      </c>
      <c r="L334" s="2" t="n"/>
      <c r="O334" s="7" t="n">
        <v>28</v>
      </c>
      <c r="P334" s="8" t="inlineStr">
        <is>
          <t>5 jours</t>
        </is>
      </c>
      <c r="Q334" s="2" t="n">
        <v>43874</v>
      </c>
    </row>
    <row r="335">
      <c r="A335" s="8" t="n">
        <v>34408054</v>
      </c>
      <c r="B335" s="9">
        <f>INDEX(Tableau1[], MATCH(Tableau3[[#This Row],[REFERENCE]], Tableau1[NUMERO], 0), 2)</f>
        <v/>
      </c>
      <c r="C335" s="129">
        <f>INDEX(Tableau1[], MATCH(Tableau3[[#This Row],[REFERENCE]], Tableau1[NUMERO], 0), 3)</f>
        <v/>
      </c>
      <c r="D335" s="129">
        <f>INDEX(Tableau1[], MATCH(Tableau3[[#This Row],[REFERENCE]], Tableau1[NUMERO], 0),4)</f>
        <v/>
      </c>
      <c r="E335" s="129">
        <f>INDEX(Tableau1[], MATCH(Tableau3[[#This Row],[REFERENCE]], Tableau1[NUMERO], 0), 5)</f>
        <v/>
      </c>
      <c r="F335" s="129">
        <f>INDEX(Tableau1[], MATCH(Tableau3[[#This Row],[REFERENCE]], Tableau1[NUMERO], 0), 6)</f>
        <v/>
      </c>
      <c r="G335" s="129">
        <f>INDEX(Tableau1[], MATCH(Tableau3[[#This Row],[REFERENCE]], Tableau1[NUMERO], 0), 7)</f>
        <v/>
      </c>
      <c r="H335" t="inlineStr">
        <is>
          <t>lasertechnic</t>
        </is>
      </c>
      <c r="J335" s="2" t="inlineStr">
        <is>
          <t xml:space="preserve">07/11/2019 par fethi et relancé le 25/11 par olivier </t>
        </is>
      </c>
      <c r="K335" s="2" t="n">
        <v>43796</v>
      </c>
      <c r="L335" s="2" t="n"/>
      <c r="P335" s="8" t="n"/>
      <c r="Q335" s="2" t="n"/>
    </row>
    <row r="336">
      <c r="A336" s="8" t="n">
        <v>34408060</v>
      </c>
      <c r="B336" s="9">
        <f>INDEX(Tableau1[], MATCH(Tableau3[[#This Row],[REFERENCE]], Tableau1[NUMERO], 0), 2)</f>
        <v/>
      </c>
      <c r="C336" s="129">
        <f>INDEX(Tableau1[], MATCH(Tableau3[[#This Row],[REFERENCE]], Tableau1[NUMERO], 0), 3)</f>
        <v/>
      </c>
      <c r="D336" s="129">
        <f>INDEX(Tableau1[], MATCH(Tableau3[[#This Row],[REFERENCE]], Tableau1[NUMERO], 0),4)</f>
        <v/>
      </c>
      <c r="E336" s="129">
        <f>INDEX(Tableau1[], MATCH(Tableau3[[#This Row],[REFERENCE]], Tableau1[NUMERO], 0), 5)</f>
        <v/>
      </c>
      <c r="F336" s="129">
        <f>INDEX(Tableau1[], MATCH(Tableau3[[#This Row],[REFERENCE]], Tableau1[NUMERO], 0), 6)</f>
        <v/>
      </c>
      <c r="G336" s="129">
        <f>INDEX(Tableau1[], MATCH(Tableau3[[#This Row],[REFERENCE]], Tableau1[NUMERO], 0), 7)</f>
        <v/>
      </c>
      <c r="H336" t="inlineStr">
        <is>
          <t>lasertechnic</t>
        </is>
      </c>
      <c r="J336" s="2" t="n">
        <v>43787</v>
      </c>
      <c r="K336" s="2" t="n">
        <v>43788</v>
      </c>
      <c r="L336" s="2" t="n"/>
      <c r="O336" s="7" t="n">
        <v>19</v>
      </c>
      <c r="P336" s="8" t="inlineStr">
        <is>
          <t>5 jours</t>
        </is>
      </c>
      <c r="Q336" s="2" t="n">
        <v>43880</v>
      </c>
    </row>
    <row r="337">
      <c r="A337" s="8" t="n">
        <v>34408061</v>
      </c>
      <c r="B337" s="9">
        <f>INDEX(Tableau1[], MATCH(Tableau3[[#This Row],[REFERENCE]], Tableau1[NUMERO], 0), 2)</f>
        <v/>
      </c>
      <c r="C337" s="129">
        <f>INDEX(Tableau1[], MATCH(Tableau3[[#This Row],[REFERENCE]], Tableau1[NUMERO], 0), 3)</f>
        <v/>
      </c>
      <c r="D337" s="129">
        <f>INDEX(Tableau1[], MATCH(Tableau3[[#This Row],[REFERENCE]], Tableau1[NUMERO], 0),4)</f>
        <v/>
      </c>
      <c r="E337" s="129">
        <f>INDEX(Tableau1[], MATCH(Tableau3[[#This Row],[REFERENCE]], Tableau1[NUMERO], 0), 5)</f>
        <v/>
      </c>
      <c r="F337" s="129">
        <f>INDEX(Tableau1[], MATCH(Tableau3[[#This Row],[REFERENCE]], Tableau1[NUMERO], 0), 6)</f>
        <v/>
      </c>
      <c r="G337" s="129">
        <f>INDEX(Tableau1[], MATCH(Tableau3[[#This Row],[REFERENCE]], Tableau1[NUMERO], 0), 7)</f>
        <v/>
      </c>
      <c r="H337" t="inlineStr">
        <is>
          <t>lasertechnic</t>
        </is>
      </c>
      <c r="J337" s="2" t="n">
        <v>43787</v>
      </c>
      <c r="K337" s="2" t="n">
        <v>43788</v>
      </c>
      <c r="L337" s="2" t="n"/>
      <c r="O337" s="7" t="n">
        <v>19</v>
      </c>
      <c r="P337" s="8" t="inlineStr">
        <is>
          <t>5 jours</t>
        </is>
      </c>
      <c r="Q337" s="2" t="n">
        <v>43880</v>
      </c>
    </row>
    <row r="338">
      <c r="A338" s="8" t="n">
        <v>34408062</v>
      </c>
      <c r="B338" s="9">
        <f>INDEX(Tableau1[], MATCH(Tableau3[[#This Row],[REFERENCE]], Tableau1[NUMERO], 0), 2)</f>
        <v/>
      </c>
      <c r="C338" s="129">
        <f>INDEX(Tableau1[], MATCH(Tableau3[[#This Row],[REFERENCE]], Tableau1[NUMERO], 0), 3)</f>
        <v/>
      </c>
      <c r="D338" s="129">
        <f>INDEX(Tableau1[], MATCH(Tableau3[[#This Row],[REFERENCE]], Tableau1[NUMERO], 0),4)</f>
        <v/>
      </c>
      <c r="E338" s="129">
        <f>INDEX(Tableau1[], MATCH(Tableau3[[#This Row],[REFERENCE]], Tableau1[NUMERO], 0), 5)</f>
        <v/>
      </c>
      <c r="F338" s="129">
        <f>INDEX(Tableau1[], MATCH(Tableau3[[#This Row],[REFERENCE]], Tableau1[NUMERO], 0), 6)</f>
        <v/>
      </c>
      <c r="G338" s="129">
        <f>INDEX(Tableau1[], MATCH(Tableau3[[#This Row],[REFERENCE]], Tableau1[NUMERO], 0), 7)</f>
        <v/>
      </c>
      <c r="H338" t="inlineStr">
        <is>
          <t>lasertechnic</t>
        </is>
      </c>
      <c r="J338" s="2" t="n">
        <v>43787</v>
      </c>
      <c r="K338" s="2" t="n">
        <v>43788</v>
      </c>
      <c r="L338" s="2" t="n"/>
      <c r="O338" s="7" t="n">
        <v>19</v>
      </c>
      <c r="P338" s="8" t="inlineStr">
        <is>
          <t>5 jours</t>
        </is>
      </c>
      <c r="Q338" s="2" t="n">
        <v>43880</v>
      </c>
    </row>
    <row r="339">
      <c r="A339" s="8" t="n">
        <v>34408063</v>
      </c>
      <c r="B339" s="9">
        <f>INDEX(Tableau1[], MATCH(Tableau3[[#This Row],[REFERENCE]], Tableau1[NUMERO], 0), 2)</f>
        <v/>
      </c>
      <c r="C339" s="129">
        <f>INDEX(Tableau1[], MATCH(Tableau3[[#This Row],[REFERENCE]], Tableau1[NUMERO], 0), 3)</f>
        <v/>
      </c>
      <c r="D339" s="129">
        <f>INDEX(Tableau1[], MATCH(Tableau3[[#This Row],[REFERENCE]], Tableau1[NUMERO], 0),4)</f>
        <v/>
      </c>
      <c r="E339" s="129">
        <f>INDEX(Tableau1[], MATCH(Tableau3[[#This Row],[REFERENCE]], Tableau1[NUMERO], 0), 5)</f>
        <v/>
      </c>
      <c r="F339" s="129">
        <f>INDEX(Tableau1[], MATCH(Tableau3[[#This Row],[REFERENCE]], Tableau1[NUMERO], 0), 6)</f>
        <v/>
      </c>
      <c r="G339" s="129">
        <f>INDEX(Tableau1[], MATCH(Tableau3[[#This Row],[REFERENCE]], Tableau1[NUMERO], 0), 7)</f>
        <v/>
      </c>
      <c r="H339" t="inlineStr">
        <is>
          <t>lasertechnic</t>
        </is>
      </c>
      <c r="J339" s="2" t="n">
        <v>43787</v>
      </c>
      <c r="K339" s="2" t="n">
        <v>43788</v>
      </c>
      <c r="L339" s="2" t="n"/>
      <c r="O339" s="7" t="n">
        <v>19</v>
      </c>
      <c r="P339" s="8" t="inlineStr">
        <is>
          <t>5 jours</t>
        </is>
      </c>
      <c r="Q339" s="2" t="n">
        <v>43880</v>
      </c>
    </row>
    <row r="340">
      <c r="A340" s="8" t="n">
        <v>34408064</v>
      </c>
      <c r="B340" s="9">
        <f>INDEX(Tableau1[], MATCH(Tableau3[[#This Row],[REFERENCE]], Tableau1[NUMERO], 0), 2)</f>
        <v/>
      </c>
      <c r="C340" s="129">
        <f>INDEX(Tableau1[], MATCH(Tableau3[[#This Row],[REFERENCE]], Tableau1[NUMERO], 0), 3)</f>
        <v/>
      </c>
      <c r="D340" s="129">
        <f>INDEX(Tableau1[], MATCH(Tableau3[[#This Row],[REFERENCE]], Tableau1[NUMERO], 0),4)</f>
        <v/>
      </c>
      <c r="E340" s="129">
        <f>INDEX(Tableau1[], MATCH(Tableau3[[#This Row],[REFERENCE]], Tableau1[NUMERO], 0), 5)</f>
        <v/>
      </c>
      <c r="F340" s="129">
        <f>INDEX(Tableau1[], MATCH(Tableau3[[#This Row],[REFERENCE]], Tableau1[NUMERO], 0), 6)</f>
        <v/>
      </c>
      <c r="G340" s="129">
        <f>INDEX(Tableau1[], MATCH(Tableau3[[#This Row],[REFERENCE]], Tableau1[NUMERO], 0), 7)</f>
        <v/>
      </c>
      <c r="H340" t="inlineStr">
        <is>
          <t>lasertechnic</t>
        </is>
      </c>
      <c r="J340" s="2" t="n">
        <v>43787</v>
      </c>
      <c r="K340" s="2" t="n">
        <v>43788</v>
      </c>
      <c r="L340" s="2" t="n"/>
      <c r="O340" s="7" t="n">
        <v>19</v>
      </c>
      <c r="P340" s="8" t="inlineStr">
        <is>
          <t>5 jours</t>
        </is>
      </c>
      <c r="Q340" s="2" t="n">
        <v>43880</v>
      </c>
    </row>
    <row r="341">
      <c r="A341" s="8" t="n">
        <v>34408065</v>
      </c>
      <c r="B341" s="9">
        <f>INDEX(Tableau1[], MATCH(Tableau3[[#This Row],[REFERENCE]], Tableau1[NUMERO], 0), 2)</f>
        <v/>
      </c>
      <c r="C341" s="129">
        <f>INDEX(Tableau1[], MATCH(Tableau3[[#This Row],[REFERENCE]], Tableau1[NUMERO], 0), 3)</f>
        <v/>
      </c>
      <c r="D341" s="129">
        <f>INDEX(Tableau1[], MATCH(Tableau3[[#This Row],[REFERENCE]], Tableau1[NUMERO], 0),4)</f>
        <v/>
      </c>
      <c r="E341" s="129">
        <f>INDEX(Tableau1[], MATCH(Tableau3[[#This Row],[REFERENCE]], Tableau1[NUMERO], 0), 5)</f>
        <v/>
      </c>
      <c r="F341" s="129">
        <f>INDEX(Tableau1[], MATCH(Tableau3[[#This Row],[REFERENCE]], Tableau1[NUMERO], 0), 6)</f>
        <v/>
      </c>
      <c r="G341" s="129">
        <f>INDEX(Tableau1[], MATCH(Tableau3[[#This Row],[REFERENCE]], Tableau1[NUMERO], 0), 7)</f>
        <v/>
      </c>
      <c r="H341" t="inlineStr">
        <is>
          <t>lasertechnic</t>
        </is>
      </c>
      <c r="J341" s="2" t="n">
        <v>43787</v>
      </c>
      <c r="K341" s="2" t="n">
        <v>43788</v>
      </c>
      <c r="L341" s="2" t="n"/>
      <c r="O341" s="7" t="n">
        <v>19</v>
      </c>
      <c r="P341" s="8" t="inlineStr">
        <is>
          <t>5 jours</t>
        </is>
      </c>
      <c r="Q341" s="2" t="n">
        <v>43880</v>
      </c>
    </row>
    <row r="342">
      <c r="A342" s="8" t="n">
        <v>34408066</v>
      </c>
      <c r="B342" s="9">
        <f>INDEX(Tableau1[], MATCH(Tableau3[[#This Row],[REFERENCE]], Tableau1[NUMERO], 0), 2)</f>
        <v/>
      </c>
      <c r="C342" s="129">
        <f>INDEX(Tableau1[], MATCH(Tableau3[[#This Row],[REFERENCE]], Tableau1[NUMERO], 0), 3)</f>
        <v/>
      </c>
      <c r="D342" s="129">
        <f>INDEX(Tableau1[], MATCH(Tableau3[[#This Row],[REFERENCE]], Tableau1[NUMERO], 0),4)</f>
        <v/>
      </c>
      <c r="E342" s="129">
        <f>INDEX(Tableau1[], MATCH(Tableau3[[#This Row],[REFERENCE]], Tableau1[NUMERO], 0), 5)</f>
        <v/>
      </c>
      <c r="F342" s="129">
        <f>INDEX(Tableau1[], MATCH(Tableau3[[#This Row],[REFERENCE]], Tableau1[NUMERO], 0), 6)</f>
        <v/>
      </c>
      <c r="G342" s="129">
        <f>INDEX(Tableau1[], MATCH(Tableau3[[#This Row],[REFERENCE]], Tableau1[NUMERO], 0), 7)</f>
        <v/>
      </c>
      <c r="H342" t="inlineStr">
        <is>
          <t>lasertechnic</t>
        </is>
      </c>
      <c r="J342" s="2" t="n">
        <v>43787</v>
      </c>
      <c r="K342" s="2" t="n">
        <v>43788</v>
      </c>
      <c r="L342" s="2" t="n"/>
      <c r="O342" s="7" t="n">
        <v>19</v>
      </c>
      <c r="P342" s="8" t="inlineStr">
        <is>
          <t>5 jours</t>
        </is>
      </c>
      <c r="Q342" s="2" t="n">
        <v>43880</v>
      </c>
    </row>
    <row r="343">
      <c r="A343" s="8" t="n">
        <v>34408067</v>
      </c>
      <c r="B343" s="9">
        <f>INDEX(Tableau1[], MATCH(Tableau3[[#This Row],[REFERENCE]], Tableau1[NUMERO], 0), 2)</f>
        <v/>
      </c>
      <c r="C343" s="129">
        <f>INDEX(Tableau1[], MATCH(Tableau3[[#This Row],[REFERENCE]], Tableau1[NUMERO], 0), 3)</f>
        <v/>
      </c>
      <c r="D343" s="129">
        <f>INDEX(Tableau1[], MATCH(Tableau3[[#This Row],[REFERENCE]], Tableau1[NUMERO], 0),4)</f>
        <v/>
      </c>
      <c r="E343" s="129">
        <f>INDEX(Tableau1[], MATCH(Tableau3[[#This Row],[REFERENCE]], Tableau1[NUMERO], 0), 5)</f>
        <v/>
      </c>
      <c r="F343" s="129">
        <f>INDEX(Tableau1[], MATCH(Tableau3[[#This Row],[REFERENCE]], Tableau1[NUMERO], 0), 6)</f>
        <v/>
      </c>
      <c r="G343" s="129">
        <f>INDEX(Tableau1[], MATCH(Tableau3[[#This Row],[REFERENCE]], Tableau1[NUMERO], 0), 7)</f>
        <v/>
      </c>
      <c r="H343" t="inlineStr">
        <is>
          <t>lasertechnic</t>
        </is>
      </c>
      <c r="J343" s="2" t="n">
        <v>43787</v>
      </c>
      <c r="K343" s="2" t="n">
        <v>43788</v>
      </c>
      <c r="L343" s="2" t="n"/>
      <c r="O343" s="7" t="n">
        <v>19</v>
      </c>
      <c r="P343" s="8" t="inlineStr">
        <is>
          <t>5 jours</t>
        </is>
      </c>
      <c r="Q343" s="2" t="n">
        <v>43880</v>
      </c>
    </row>
    <row r="344">
      <c r="A344" s="8" t="n">
        <v>34408068</v>
      </c>
      <c r="B344" s="9">
        <f>INDEX(Tableau1[], MATCH(Tableau3[[#This Row],[REFERENCE]], Tableau1[NUMERO], 0), 2)</f>
        <v/>
      </c>
      <c r="C344" s="129">
        <f>INDEX(Tableau1[], MATCH(Tableau3[[#This Row],[REFERENCE]], Tableau1[NUMERO], 0), 3)</f>
        <v/>
      </c>
      <c r="D344" s="129">
        <f>INDEX(Tableau1[], MATCH(Tableau3[[#This Row],[REFERENCE]], Tableau1[NUMERO], 0),4)</f>
        <v/>
      </c>
      <c r="E344" s="129">
        <f>INDEX(Tableau1[], MATCH(Tableau3[[#This Row],[REFERENCE]], Tableau1[NUMERO], 0), 5)</f>
        <v/>
      </c>
      <c r="F344" s="129">
        <f>INDEX(Tableau1[], MATCH(Tableau3[[#This Row],[REFERENCE]], Tableau1[NUMERO], 0), 6)</f>
        <v/>
      </c>
      <c r="G344" s="129">
        <f>INDEX(Tableau1[], MATCH(Tableau3[[#This Row],[REFERENCE]], Tableau1[NUMERO], 0), 7)</f>
        <v/>
      </c>
      <c r="H344" t="inlineStr">
        <is>
          <t>lasertechnic</t>
        </is>
      </c>
      <c r="J344" s="2" t="n">
        <v>43787</v>
      </c>
      <c r="K344" s="2" t="n">
        <v>43788</v>
      </c>
      <c r="L344" s="2" t="n"/>
      <c r="O344" s="7" t="n">
        <v>15</v>
      </c>
      <c r="P344" s="8" t="inlineStr">
        <is>
          <t>5 jours</t>
        </is>
      </c>
      <c r="Q344" s="2" t="n">
        <v>43880</v>
      </c>
    </row>
    <row r="345">
      <c r="A345" s="8" t="n">
        <v>34408069</v>
      </c>
      <c r="B345" s="9">
        <f>INDEX(Tableau1[], MATCH(Tableau3[[#This Row],[REFERENCE]], Tableau1[NUMERO], 0), 2)</f>
        <v/>
      </c>
      <c r="C345" s="129">
        <f>INDEX(Tableau1[], MATCH(Tableau3[[#This Row],[REFERENCE]], Tableau1[NUMERO], 0), 3)</f>
        <v/>
      </c>
      <c r="D345" s="129">
        <f>INDEX(Tableau1[], MATCH(Tableau3[[#This Row],[REFERENCE]], Tableau1[NUMERO], 0),4)</f>
        <v/>
      </c>
      <c r="E345" s="129">
        <f>INDEX(Tableau1[], MATCH(Tableau3[[#This Row],[REFERENCE]], Tableau1[NUMERO], 0), 5)</f>
        <v/>
      </c>
      <c r="F345" s="129">
        <f>INDEX(Tableau1[], MATCH(Tableau3[[#This Row],[REFERENCE]], Tableau1[NUMERO], 0), 6)</f>
        <v/>
      </c>
      <c r="G345" s="129">
        <f>INDEX(Tableau1[], MATCH(Tableau3[[#This Row],[REFERENCE]], Tableau1[NUMERO], 0), 7)</f>
        <v/>
      </c>
      <c r="H345" t="inlineStr">
        <is>
          <t>lasertechnic</t>
        </is>
      </c>
      <c r="J345" s="2" t="n">
        <v>43787</v>
      </c>
      <c r="K345" s="2" t="n">
        <v>43788</v>
      </c>
      <c r="L345" s="2" t="n"/>
      <c r="O345" s="7" t="n">
        <v>12</v>
      </c>
      <c r="P345" s="8" t="inlineStr">
        <is>
          <t>5 jours</t>
        </is>
      </c>
      <c r="Q345" s="2" t="n">
        <v>43880</v>
      </c>
    </row>
    <row r="346">
      <c r="A346" s="8" t="n">
        <v>34408073</v>
      </c>
      <c r="B346" s="9">
        <f>INDEX(Tableau1[], MATCH(Tableau3[[#This Row],[REFERENCE]], Tableau1[NUMERO], 0), 2)</f>
        <v/>
      </c>
      <c r="C346" s="129">
        <f>INDEX(Tableau1[], MATCH(Tableau3[[#This Row],[REFERENCE]], Tableau1[NUMERO], 0), 3)</f>
        <v/>
      </c>
      <c r="D346" s="129">
        <f>INDEX(Tableau1[], MATCH(Tableau3[[#This Row],[REFERENCE]], Tableau1[NUMERO], 0),4)</f>
        <v/>
      </c>
      <c r="E346" s="129">
        <f>INDEX(Tableau1[], MATCH(Tableau3[[#This Row],[REFERENCE]], Tableau1[NUMERO], 0), 5)</f>
        <v/>
      </c>
      <c r="F346" s="129">
        <f>INDEX(Tableau1[], MATCH(Tableau3[[#This Row],[REFERENCE]], Tableau1[NUMERO], 0), 6)</f>
        <v/>
      </c>
      <c r="G346" s="129">
        <f>INDEX(Tableau1[], MATCH(Tableau3[[#This Row],[REFERENCE]], Tableau1[NUMERO], 0), 7)</f>
        <v/>
      </c>
      <c r="H346" t="inlineStr">
        <is>
          <t>lasertechnic</t>
        </is>
      </c>
      <c r="J346" s="2" t="n">
        <v>43789</v>
      </c>
      <c r="K346" s="2" t="n">
        <v>43790</v>
      </c>
      <c r="L346" s="2" t="n"/>
      <c r="O346" s="7" t="n">
        <v>29</v>
      </c>
      <c r="P346" s="8" t="inlineStr">
        <is>
          <t>5 JOURS</t>
        </is>
      </c>
      <c r="Q346" s="2" t="n">
        <v>43882</v>
      </c>
    </row>
    <row r="347">
      <c r="A347" s="8" t="n">
        <v>34408076</v>
      </c>
      <c r="B347" s="9">
        <f>INDEX(Tableau1[], MATCH(Tableau3[[#This Row],[REFERENCE]], Tableau1[NUMERO], 0), 2)</f>
        <v/>
      </c>
      <c r="C347" s="129">
        <f>INDEX(Tableau1[], MATCH(Tableau3[[#This Row],[REFERENCE]], Tableau1[NUMERO], 0), 3)</f>
        <v/>
      </c>
      <c r="D347" s="129">
        <f>INDEX(Tableau1[], MATCH(Tableau3[[#This Row],[REFERENCE]], Tableau1[NUMERO], 0),4)</f>
        <v/>
      </c>
      <c r="E347" s="129">
        <f>INDEX(Tableau1[], MATCH(Tableau3[[#This Row],[REFERENCE]], Tableau1[NUMERO], 0), 5)</f>
        <v/>
      </c>
      <c r="F347" s="129">
        <f>INDEX(Tableau1[], MATCH(Tableau3[[#This Row],[REFERENCE]], Tableau1[NUMERO], 0), 6)</f>
        <v/>
      </c>
      <c r="G347" s="129">
        <f>INDEX(Tableau1[], MATCH(Tableau3[[#This Row],[REFERENCE]], Tableau1[NUMERO], 0), 7)</f>
        <v/>
      </c>
      <c r="H347" t="inlineStr">
        <is>
          <t>lasertechnic</t>
        </is>
      </c>
      <c r="J347" s="2" t="n">
        <v>43789</v>
      </c>
      <c r="K347" s="2" t="n">
        <v>43790</v>
      </c>
      <c r="L347" s="2" t="n"/>
      <c r="O347" s="7" t="n">
        <v>34</v>
      </c>
      <c r="P347" s="8" t="inlineStr">
        <is>
          <t>5 JOURS</t>
        </is>
      </c>
      <c r="Q347" s="2" t="n">
        <v>43882</v>
      </c>
    </row>
    <row r="348">
      <c r="A348" s="8" t="n">
        <v>34408077</v>
      </c>
      <c r="B348" s="9">
        <f>INDEX(Tableau1[], MATCH(Tableau3[[#This Row],[REFERENCE]], Tableau1[NUMERO], 0), 2)</f>
        <v/>
      </c>
      <c r="C348" s="129">
        <f>INDEX(Tableau1[], MATCH(Tableau3[[#This Row],[REFERENCE]], Tableau1[NUMERO], 0), 3)</f>
        <v/>
      </c>
      <c r="D348" s="129">
        <f>INDEX(Tableau1[], MATCH(Tableau3[[#This Row],[REFERENCE]], Tableau1[NUMERO], 0),4)</f>
        <v/>
      </c>
      <c r="E348" s="129">
        <f>INDEX(Tableau1[], MATCH(Tableau3[[#This Row],[REFERENCE]], Tableau1[NUMERO], 0), 5)</f>
        <v/>
      </c>
      <c r="F348" s="129">
        <f>INDEX(Tableau1[], MATCH(Tableau3[[#This Row],[REFERENCE]], Tableau1[NUMERO], 0), 6)</f>
        <v/>
      </c>
      <c r="G348" s="129">
        <f>INDEX(Tableau1[], MATCH(Tableau3[[#This Row],[REFERENCE]], Tableau1[NUMERO], 0), 7)</f>
        <v/>
      </c>
      <c r="H348" t="inlineStr">
        <is>
          <t>lasertechnic</t>
        </is>
      </c>
      <c r="J348" s="2" t="n">
        <v>43789</v>
      </c>
      <c r="K348" s="2" t="n">
        <v>43790</v>
      </c>
      <c r="L348" s="2" t="n"/>
      <c r="O348" s="7" t="n">
        <v>36</v>
      </c>
      <c r="P348" s="8" t="inlineStr">
        <is>
          <t>5 JOURS</t>
        </is>
      </c>
      <c r="Q348" s="2" t="n">
        <v>43882</v>
      </c>
    </row>
    <row r="349">
      <c r="A349" s="8" t="n">
        <v>34408078</v>
      </c>
      <c r="B349" s="9">
        <f>INDEX(Tableau1[], MATCH(Tableau3[[#This Row],[REFERENCE]], Tableau1[NUMERO], 0), 2)</f>
        <v/>
      </c>
      <c r="C349" s="129">
        <f>INDEX(Tableau1[], MATCH(Tableau3[[#This Row],[REFERENCE]], Tableau1[NUMERO], 0), 3)</f>
        <v/>
      </c>
      <c r="D349" s="129">
        <f>INDEX(Tableau1[], MATCH(Tableau3[[#This Row],[REFERENCE]], Tableau1[NUMERO], 0),4)</f>
        <v/>
      </c>
      <c r="E349" s="129">
        <f>INDEX(Tableau1[], MATCH(Tableau3[[#This Row],[REFERENCE]], Tableau1[NUMERO], 0), 5)</f>
        <v/>
      </c>
      <c r="F349" s="129">
        <f>INDEX(Tableau1[], MATCH(Tableau3[[#This Row],[REFERENCE]], Tableau1[NUMERO], 0), 6)</f>
        <v/>
      </c>
      <c r="G349" s="129">
        <f>INDEX(Tableau1[], MATCH(Tableau3[[#This Row],[REFERENCE]], Tableau1[NUMERO], 0), 7)</f>
        <v/>
      </c>
      <c r="H349" t="inlineStr">
        <is>
          <t>lasertechnic</t>
        </is>
      </c>
      <c r="J349" s="2" t="n">
        <v>43789</v>
      </c>
      <c r="K349" s="2" t="n">
        <v>43790</v>
      </c>
      <c r="L349" s="2" t="n"/>
      <c r="O349" s="7" t="n">
        <v>18</v>
      </c>
      <c r="P349" s="8" t="inlineStr">
        <is>
          <t>5 JOURS</t>
        </is>
      </c>
      <c r="Q349" s="2" t="n">
        <v>43882</v>
      </c>
    </row>
    <row r="350">
      <c r="A350" s="8" t="n">
        <v>34408079</v>
      </c>
      <c r="B350" s="9">
        <f>INDEX(Tableau1[], MATCH(Tableau3[[#This Row],[REFERENCE]], Tableau1[NUMERO], 0), 2)</f>
        <v/>
      </c>
      <c r="C350" s="129">
        <f>INDEX(Tableau1[], MATCH(Tableau3[[#This Row],[REFERENCE]], Tableau1[NUMERO], 0), 3)</f>
        <v/>
      </c>
      <c r="D350" s="129">
        <f>INDEX(Tableau1[], MATCH(Tableau3[[#This Row],[REFERENCE]], Tableau1[NUMERO], 0),4)</f>
        <v/>
      </c>
      <c r="E350" s="129">
        <f>INDEX(Tableau1[], MATCH(Tableau3[[#This Row],[REFERENCE]], Tableau1[NUMERO], 0), 5)</f>
        <v/>
      </c>
      <c r="F350" s="129">
        <f>INDEX(Tableau1[], MATCH(Tableau3[[#This Row],[REFERENCE]], Tableau1[NUMERO], 0), 6)</f>
        <v/>
      </c>
      <c r="G350" s="129">
        <f>INDEX(Tableau1[], MATCH(Tableau3[[#This Row],[REFERENCE]], Tableau1[NUMERO], 0), 7)</f>
        <v/>
      </c>
      <c r="H350" t="inlineStr">
        <is>
          <t>lasertechnic</t>
        </is>
      </c>
      <c r="J350" s="2" t="n">
        <v>43789</v>
      </c>
      <c r="K350" s="2" t="n">
        <v>43790</v>
      </c>
      <c r="L350" s="2" t="n"/>
      <c r="O350" s="7" t="n">
        <v>18</v>
      </c>
      <c r="P350" s="8" t="inlineStr">
        <is>
          <t>5 JOURS</t>
        </is>
      </c>
      <c r="Q350" s="2" t="n">
        <v>43882</v>
      </c>
    </row>
    <row r="351">
      <c r="A351" s="8" t="n">
        <v>34408080</v>
      </c>
      <c r="B351" s="9">
        <f>INDEX(Tableau1[], MATCH(Tableau3[[#This Row],[REFERENCE]], Tableau1[NUMERO], 0), 2)</f>
        <v/>
      </c>
      <c r="C351" s="129">
        <f>INDEX(Tableau1[], MATCH(Tableau3[[#This Row],[REFERENCE]], Tableau1[NUMERO], 0), 3)</f>
        <v/>
      </c>
      <c r="D351" s="129">
        <f>INDEX(Tableau1[], MATCH(Tableau3[[#This Row],[REFERENCE]], Tableau1[NUMERO], 0),4)</f>
        <v/>
      </c>
      <c r="E351" s="129">
        <f>INDEX(Tableau1[], MATCH(Tableau3[[#This Row],[REFERENCE]], Tableau1[NUMERO], 0), 5)</f>
        <v/>
      </c>
      <c r="F351" s="129">
        <f>INDEX(Tableau1[], MATCH(Tableau3[[#This Row],[REFERENCE]], Tableau1[NUMERO], 0), 6)</f>
        <v/>
      </c>
      <c r="G351" s="129">
        <f>INDEX(Tableau1[], MATCH(Tableau3[[#This Row],[REFERENCE]], Tableau1[NUMERO], 0), 7)</f>
        <v/>
      </c>
      <c r="H351" t="inlineStr">
        <is>
          <t>lasertechnic</t>
        </is>
      </c>
      <c r="J351" s="2" t="n">
        <v>43789</v>
      </c>
      <c r="K351" s="2" t="n">
        <v>43790</v>
      </c>
      <c r="L351" s="2" t="n"/>
      <c r="O351" s="7" t="n">
        <v>18</v>
      </c>
      <c r="P351" s="8" t="inlineStr">
        <is>
          <t>5 JOURS</t>
        </is>
      </c>
      <c r="Q351" s="2" t="n">
        <v>43882</v>
      </c>
    </row>
    <row r="352">
      <c r="A352" s="8" t="n">
        <v>34408081</v>
      </c>
      <c r="B352" s="9">
        <f>INDEX(Tableau1[], MATCH(Tableau3[[#This Row],[REFERENCE]], Tableau1[NUMERO], 0), 2)</f>
        <v/>
      </c>
      <c r="C352" s="129">
        <f>INDEX(Tableau1[], MATCH(Tableau3[[#This Row],[REFERENCE]], Tableau1[NUMERO], 0), 3)</f>
        <v/>
      </c>
      <c r="D352" s="129">
        <f>INDEX(Tableau1[], MATCH(Tableau3[[#This Row],[REFERENCE]], Tableau1[NUMERO], 0),4)</f>
        <v/>
      </c>
      <c r="E352" s="129">
        <f>INDEX(Tableau1[], MATCH(Tableau3[[#This Row],[REFERENCE]], Tableau1[NUMERO], 0), 5)</f>
        <v/>
      </c>
      <c r="F352" s="129">
        <f>INDEX(Tableau1[], MATCH(Tableau3[[#This Row],[REFERENCE]], Tableau1[NUMERO], 0), 6)</f>
        <v/>
      </c>
      <c r="G352" s="129">
        <f>INDEX(Tableau1[], MATCH(Tableau3[[#This Row],[REFERENCE]], Tableau1[NUMERO], 0), 7)</f>
        <v/>
      </c>
      <c r="H352" t="inlineStr">
        <is>
          <t>lasertechnic</t>
        </is>
      </c>
      <c r="J352" s="2" t="n">
        <v>43789</v>
      </c>
      <c r="K352" s="2" t="n">
        <v>43790</v>
      </c>
      <c r="L352" s="2" t="n"/>
      <c r="O352" s="7" t="n">
        <v>18</v>
      </c>
      <c r="P352" s="8" t="inlineStr">
        <is>
          <t>5 JOURS</t>
        </is>
      </c>
      <c r="Q352" s="2" t="n">
        <v>43882</v>
      </c>
    </row>
    <row r="353">
      <c r="A353" s="8" t="n">
        <v>34408099</v>
      </c>
      <c r="B353" s="9">
        <f>INDEX(Tableau1[], MATCH(Tableau3[[#This Row],[REFERENCE]], Tableau1[NUMERO], 0), 2)</f>
        <v/>
      </c>
      <c r="C353" s="129">
        <f>INDEX(Tableau1[], MATCH(Tableau3[[#This Row],[REFERENCE]], Tableau1[NUMERO], 0), 3)</f>
        <v/>
      </c>
      <c r="D353" s="129">
        <f>INDEX(Tableau1[], MATCH(Tableau3[[#This Row],[REFERENCE]], Tableau1[NUMERO], 0),4)</f>
        <v/>
      </c>
      <c r="E353" s="129">
        <f>INDEX(Tableau1[], MATCH(Tableau3[[#This Row],[REFERENCE]], Tableau1[NUMERO], 0), 5)</f>
        <v/>
      </c>
      <c r="F353" s="129">
        <f>INDEX(Tableau1[], MATCH(Tableau3[[#This Row],[REFERENCE]], Tableau1[NUMERO], 0), 6)</f>
        <v/>
      </c>
      <c r="G353" s="129">
        <f>INDEX(Tableau1[], MATCH(Tableau3[[#This Row],[REFERENCE]], Tableau1[NUMERO], 0), 7)</f>
        <v/>
      </c>
      <c r="H353" t="inlineStr">
        <is>
          <t>lasertechnic</t>
        </is>
      </c>
      <c r="J353" s="2" t="n">
        <v>43789</v>
      </c>
      <c r="K353" s="2" t="n">
        <v>43790</v>
      </c>
      <c r="L353" s="2" t="n"/>
      <c r="O353" s="7" t="n">
        <v>22</v>
      </c>
      <c r="P353" s="8" t="inlineStr">
        <is>
          <t>5 JOURS</t>
        </is>
      </c>
      <c r="Q353" s="2" t="n">
        <v>43882</v>
      </c>
    </row>
    <row r="354">
      <c r="A354" s="8" t="n">
        <v>34408100</v>
      </c>
      <c r="B354" s="9">
        <f>INDEX(Tableau1[], MATCH(Tableau3[[#This Row],[REFERENCE]], Tableau1[NUMERO], 0), 2)</f>
        <v/>
      </c>
      <c r="C354" s="129">
        <f>INDEX(Tableau1[], MATCH(Tableau3[[#This Row],[REFERENCE]], Tableau1[NUMERO], 0), 3)</f>
        <v/>
      </c>
      <c r="D354" s="129">
        <f>INDEX(Tableau1[], MATCH(Tableau3[[#This Row],[REFERENCE]], Tableau1[NUMERO], 0),4)</f>
        <v/>
      </c>
      <c r="E354" s="129">
        <f>INDEX(Tableau1[], MATCH(Tableau3[[#This Row],[REFERENCE]], Tableau1[NUMERO], 0), 5)</f>
        <v/>
      </c>
      <c r="F354" s="129">
        <f>INDEX(Tableau1[], MATCH(Tableau3[[#This Row],[REFERENCE]], Tableau1[NUMERO], 0), 6)</f>
        <v/>
      </c>
      <c r="G354" s="129">
        <f>INDEX(Tableau1[], MATCH(Tableau3[[#This Row],[REFERENCE]], Tableau1[NUMERO], 0), 7)</f>
        <v/>
      </c>
      <c r="H354" t="inlineStr">
        <is>
          <t>lasertechnic</t>
        </is>
      </c>
      <c r="J354" s="2" t="n">
        <v>43789</v>
      </c>
      <c r="K354" s="2" t="n">
        <v>43790</v>
      </c>
      <c r="L354" s="2" t="n"/>
      <c r="O354" s="7" t="n">
        <v>26</v>
      </c>
      <c r="P354" s="8" t="inlineStr">
        <is>
          <t>5 JOURS</t>
        </is>
      </c>
      <c r="Q354" s="2" t="n">
        <v>43882</v>
      </c>
    </row>
    <row r="355">
      <c r="A355" s="8" t="n">
        <v>34408103</v>
      </c>
      <c r="B355" s="9">
        <f>INDEX(Tableau1[], MATCH(Tableau3[[#This Row],[REFERENCE]], Tableau1[NUMERO], 0), 2)</f>
        <v/>
      </c>
      <c r="C355" s="129">
        <f>INDEX(Tableau1[], MATCH(Tableau3[[#This Row],[REFERENCE]], Tableau1[NUMERO], 0), 3)</f>
        <v/>
      </c>
      <c r="D355" s="129">
        <f>INDEX(Tableau1[], MATCH(Tableau3[[#This Row],[REFERENCE]], Tableau1[NUMERO], 0),4)</f>
        <v/>
      </c>
      <c r="E355" s="129">
        <f>INDEX(Tableau1[], MATCH(Tableau3[[#This Row],[REFERENCE]], Tableau1[NUMERO], 0), 5)</f>
        <v/>
      </c>
      <c r="F355" s="129">
        <f>INDEX(Tableau1[], MATCH(Tableau3[[#This Row],[REFERENCE]], Tableau1[NUMERO], 0), 6)</f>
        <v/>
      </c>
      <c r="G355" s="129">
        <f>INDEX(Tableau1[], MATCH(Tableau3[[#This Row],[REFERENCE]], Tableau1[NUMERO], 0), 7)</f>
        <v/>
      </c>
      <c r="H355" t="inlineStr">
        <is>
          <t>lasertechnic</t>
        </is>
      </c>
      <c r="J355" s="2" t="n">
        <v>43805</v>
      </c>
      <c r="K355" s="2" t="n">
        <v>43808</v>
      </c>
      <c r="L355" s="2" t="n"/>
      <c r="O355" s="7" t="n">
        <v>23</v>
      </c>
      <c r="P355" s="8" t="inlineStr">
        <is>
          <t>5 JOURS</t>
        </is>
      </c>
      <c r="Q355" s="2" t="n">
        <v>43870</v>
      </c>
    </row>
    <row r="356">
      <c r="A356" s="8" t="n">
        <v>34408103</v>
      </c>
      <c r="B356" s="9">
        <f>INDEX(Tableau1[], MATCH(Tableau3[[#This Row],[REFERENCE]], Tableau1[NUMERO], 0), 2)</f>
        <v/>
      </c>
      <c r="C356" s="129">
        <f>INDEX(Tableau1[], MATCH(Tableau3[[#This Row],[REFERENCE]], Tableau1[NUMERO], 0), 3)</f>
        <v/>
      </c>
      <c r="D356" s="129">
        <f>INDEX(Tableau1[], MATCH(Tableau3[[#This Row],[REFERENCE]], Tableau1[NUMERO], 0),4)</f>
        <v/>
      </c>
      <c r="E356" s="129">
        <f>INDEX(Tableau1[], MATCH(Tableau3[[#This Row],[REFERENCE]], Tableau1[NUMERO], 0), 5)</f>
        <v/>
      </c>
      <c r="F356" s="129">
        <f>INDEX(Tableau1[], MATCH(Tableau3[[#This Row],[REFERENCE]], Tableau1[NUMERO], 0), 6)</f>
        <v/>
      </c>
      <c r="G356" s="129">
        <f>INDEX(Tableau1[], MATCH(Tableau3[[#This Row],[REFERENCE]], Tableau1[NUMERO], 0), 7)</f>
        <v/>
      </c>
      <c r="H356" t="inlineStr">
        <is>
          <t>paillet</t>
        </is>
      </c>
      <c r="J356" s="2" t="n">
        <v>43808</v>
      </c>
      <c r="K356" s="2" t="n">
        <v>43808</v>
      </c>
      <c r="L356" s="2" t="n"/>
      <c r="O356" s="7" t="n">
        <v>54.86</v>
      </c>
      <c r="P356" s="8" t="inlineStr">
        <is>
          <t>15 JOURS</t>
        </is>
      </c>
      <c r="Q356" s="2" t="n">
        <v>43870</v>
      </c>
    </row>
    <row r="357">
      <c r="A357" s="8" t="n">
        <v>34408104</v>
      </c>
      <c r="B357" s="9">
        <f>INDEX(Tableau1[], MATCH(Tableau3[[#This Row],[REFERENCE]], Tableau1[NUMERO], 0), 2)</f>
        <v/>
      </c>
      <c r="C357" s="129">
        <f>INDEX(Tableau1[], MATCH(Tableau3[[#This Row],[REFERENCE]], Tableau1[NUMERO], 0), 3)</f>
        <v/>
      </c>
      <c r="D357" s="129">
        <f>INDEX(Tableau1[], MATCH(Tableau3[[#This Row],[REFERENCE]], Tableau1[NUMERO], 0),4)</f>
        <v/>
      </c>
      <c r="E357" s="129">
        <f>INDEX(Tableau1[], MATCH(Tableau3[[#This Row],[REFERENCE]], Tableau1[NUMERO], 0), 5)</f>
        <v/>
      </c>
      <c r="F357" s="129">
        <f>INDEX(Tableau1[], MATCH(Tableau3[[#This Row],[REFERENCE]], Tableau1[NUMERO], 0), 6)</f>
        <v/>
      </c>
      <c r="G357" s="129">
        <f>INDEX(Tableau1[], MATCH(Tableau3[[#This Row],[REFERENCE]], Tableau1[NUMERO], 0), 7)</f>
        <v/>
      </c>
      <c r="H357" t="inlineStr">
        <is>
          <t>lasertechnic</t>
        </is>
      </c>
      <c r="J357" s="2" t="n">
        <v>43805</v>
      </c>
      <c r="K357" s="2" t="n">
        <v>43808</v>
      </c>
      <c r="L357" s="2" t="n"/>
      <c r="O357" s="7" t="n">
        <v>65</v>
      </c>
      <c r="P357" s="8" t="inlineStr">
        <is>
          <t>5 JOURS</t>
        </is>
      </c>
      <c r="Q357" s="2" t="n">
        <v>43870</v>
      </c>
    </row>
    <row r="358">
      <c r="A358" s="8" t="n">
        <v>34408104</v>
      </c>
      <c r="B358" s="9">
        <f>INDEX(Tableau1[], MATCH(Tableau3[[#This Row],[REFERENCE]], Tableau1[NUMERO], 0), 2)</f>
        <v/>
      </c>
      <c r="C358" s="129">
        <f>INDEX(Tableau1[], MATCH(Tableau3[[#This Row],[REFERENCE]], Tableau1[NUMERO], 0), 3)</f>
        <v/>
      </c>
      <c r="D358" s="129">
        <f>INDEX(Tableau1[], MATCH(Tableau3[[#This Row],[REFERENCE]], Tableau1[NUMERO], 0),4)</f>
        <v/>
      </c>
      <c r="E358" s="129">
        <f>INDEX(Tableau1[], MATCH(Tableau3[[#This Row],[REFERENCE]], Tableau1[NUMERO], 0), 5)</f>
        <v/>
      </c>
      <c r="F358" s="129">
        <f>INDEX(Tableau1[], MATCH(Tableau3[[#This Row],[REFERENCE]], Tableau1[NUMERO], 0), 6)</f>
        <v/>
      </c>
      <c r="G358" s="129">
        <f>INDEX(Tableau1[], MATCH(Tableau3[[#This Row],[REFERENCE]], Tableau1[NUMERO], 0), 7)</f>
        <v/>
      </c>
      <c r="H358" t="inlineStr">
        <is>
          <t>paillet</t>
        </is>
      </c>
      <c r="J358" s="2" t="n">
        <v>43808</v>
      </c>
      <c r="K358" s="2" t="n">
        <v>43808</v>
      </c>
      <c r="L358" s="2" t="n"/>
      <c r="O358" s="7" t="n">
        <v>87.93000000000001</v>
      </c>
      <c r="P358" s="8" t="inlineStr">
        <is>
          <t>15 JOURS</t>
        </is>
      </c>
      <c r="Q358" s="2" t="n">
        <v>43870</v>
      </c>
    </row>
    <row r="359">
      <c r="A359" s="8" t="n">
        <v>34408105</v>
      </c>
      <c r="B359" s="9">
        <f>INDEX(Tableau1[], MATCH(Tableau3[[#This Row],[REFERENCE]], Tableau1[NUMERO], 0), 2)</f>
        <v/>
      </c>
      <c r="C359" s="129">
        <f>INDEX(Tableau1[], MATCH(Tableau3[[#This Row],[REFERENCE]], Tableau1[NUMERO], 0), 3)</f>
        <v/>
      </c>
      <c r="D359" s="129">
        <f>INDEX(Tableau1[], MATCH(Tableau3[[#This Row],[REFERENCE]], Tableau1[NUMERO], 0),4)</f>
        <v/>
      </c>
      <c r="E359" s="129">
        <f>INDEX(Tableau1[], MATCH(Tableau3[[#This Row],[REFERENCE]], Tableau1[NUMERO], 0), 5)</f>
        <v/>
      </c>
      <c r="F359" s="129">
        <f>INDEX(Tableau1[], MATCH(Tableau3[[#This Row],[REFERENCE]], Tableau1[NUMERO], 0), 6)</f>
        <v/>
      </c>
      <c r="G359" s="129">
        <f>INDEX(Tableau1[], MATCH(Tableau3[[#This Row],[REFERENCE]], Tableau1[NUMERO], 0), 7)</f>
        <v/>
      </c>
      <c r="H359" t="inlineStr">
        <is>
          <t>lasertechnic</t>
        </is>
      </c>
      <c r="J359" s="2" t="n">
        <v>43805</v>
      </c>
      <c r="K359" s="2" t="n">
        <v>43808</v>
      </c>
      <c r="L359" s="2" t="n"/>
      <c r="O359" s="7" t="n">
        <v>19</v>
      </c>
      <c r="P359" s="8" t="inlineStr">
        <is>
          <t>5 JOURS</t>
        </is>
      </c>
      <c r="Q359" s="2" t="n">
        <v>43870</v>
      </c>
    </row>
    <row r="360">
      <c r="A360" s="8" t="n">
        <v>34408105</v>
      </c>
      <c r="B360" s="9">
        <f>INDEX(Tableau1[], MATCH(Tableau3[[#This Row],[REFERENCE]], Tableau1[NUMERO], 0), 2)</f>
        <v/>
      </c>
      <c r="C360" s="129">
        <f>INDEX(Tableau1[], MATCH(Tableau3[[#This Row],[REFERENCE]], Tableau1[NUMERO], 0), 3)</f>
        <v/>
      </c>
      <c r="D360" s="129">
        <f>INDEX(Tableau1[], MATCH(Tableau3[[#This Row],[REFERENCE]], Tableau1[NUMERO], 0),4)</f>
        <v/>
      </c>
      <c r="E360" s="129">
        <f>INDEX(Tableau1[], MATCH(Tableau3[[#This Row],[REFERENCE]], Tableau1[NUMERO], 0), 5)</f>
        <v/>
      </c>
      <c r="F360" s="129">
        <f>INDEX(Tableau1[], MATCH(Tableau3[[#This Row],[REFERENCE]], Tableau1[NUMERO], 0), 6)</f>
        <v/>
      </c>
      <c r="G360" s="129">
        <f>INDEX(Tableau1[], MATCH(Tableau3[[#This Row],[REFERENCE]], Tableau1[NUMERO], 0), 7)</f>
        <v/>
      </c>
      <c r="H360" t="inlineStr">
        <is>
          <t>paillet</t>
        </is>
      </c>
      <c r="J360" s="2" t="n">
        <v>43808</v>
      </c>
      <c r="K360" s="2" t="n">
        <v>43808</v>
      </c>
      <c r="L360" s="2" t="n"/>
      <c r="O360" s="7" t="n">
        <v>32.43</v>
      </c>
      <c r="P360" s="8" t="inlineStr">
        <is>
          <t>15 JOURS</t>
        </is>
      </c>
      <c r="Q360" s="2" t="n">
        <v>43870</v>
      </c>
    </row>
    <row r="361">
      <c r="A361" s="8" t="n">
        <v>34408106</v>
      </c>
      <c r="B361" s="9">
        <f>INDEX(Tableau1[], MATCH(Tableau3[[#This Row],[REFERENCE]], Tableau1[NUMERO], 0), 2)</f>
        <v/>
      </c>
      <c r="C361" s="129">
        <f>INDEX(Tableau1[], MATCH(Tableau3[[#This Row],[REFERENCE]], Tableau1[NUMERO], 0), 3)</f>
        <v/>
      </c>
      <c r="D361" s="129">
        <f>INDEX(Tableau1[], MATCH(Tableau3[[#This Row],[REFERENCE]], Tableau1[NUMERO], 0),4)</f>
        <v/>
      </c>
      <c r="E361" s="129">
        <f>INDEX(Tableau1[], MATCH(Tableau3[[#This Row],[REFERENCE]], Tableau1[NUMERO], 0), 5)</f>
        <v/>
      </c>
      <c r="F361" s="129">
        <f>INDEX(Tableau1[], MATCH(Tableau3[[#This Row],[REFERENCE]], Tableau1[NUMERO], 0), 6)</f>
        <v/>
      </c>
      <c r="G361" s="129">
        <f>INDEX(Tableau1[], MATCH(Tableau3[[#This Row],[REFERENCE]], Tableau1[NUMERO], 0), 7)</f>
        <v/>
      </c>
      <c r="H361" t="inlineStr">
        <is>
          <t>lasertechnic</t>
        </is>
      </c>
      <c r="J361" s="2" t="n">
        <v>43805</v>
      </c>
      <c r="K361" s="2" t="n">
        <v>43808</v>
      </c>
      <c r="L361" s="2" t="n"/>
      <c r="O361" s="7" t="n">
        <v>65</v>
      </c>
      <c r="P361" s="8" t="inlineStr">
        <is>
          <t>5 JOURS</t>
        </is>
      </c>
      <c r="Q361" s="2" t="n">
        <v>43870</v>
      </c>
    </row>
    <row r="362">
      <c r="A362" s="8" t="n">
        <v>34408106</v>
      </c>
      <c r="B362" s="9">
        <f>INDEX(Tableau1[], MATCH(Tableau3[[#This Row],[REFERENCE]], Tableau1[NUMERO], 0), 2)</f>
        <v/>
      </c>
      <c r="C362" s="129">
        <f>INDEX(Tableau1[], MATCH(Tableau3[[#This Row],[REFERENCE]], Tableau1[NUMERO], 0), 3)</f>
        <v/>
      </c>
      <c r="D362" s="129">
        <f>INDEX(Tableau1[], MATCH(Tableau3[[#This Row],[REFERENCE]], Tableau1[NUMERO], 0),4)</f>
        <v/>
      </c>
      <c r="E362" s="129">
        <f>INDEX(Tableau1[], MATCH(Tableau3[[#This Row],[REFERENCE]], Tableau1[NUMERO], 0), 5)</f>
        <v/>
      </c>
      <c r="F362" s="129">
        <f>INDEX(Tableau1[], MATCH(Tableau3[[#This Row],[REFERENCE]], Tableau1[NUMERO], 0), 6)</f>
        <v/>
      </c>
      <c r="G362" s="129">
        <f>INDEX(Tableau1[], MATCH(Tableau3[[#This Row],[REFERENCE]], Tableau1[NUMERO], 0), 7)</f>
        <v/>
      </c>
      <c r="H362" t="inlineStr">
        <is>
          <t>paillet</t>
        </is>
      </c>
      <c r="J362" s="2" t="n">
        <v>43808</v>
      </c>
      <c r="K362" s="2" t="n">
        <v>43808</v>
      </c>
      <c r="L362" s="2" t="n"/>
      <c r="O362" s="7" t="n">
        <v>91.79000000000001</v>
      </c>
      <c r="P362" s="8" t="inlineStr">
        <is>
          <t>15 JOURS</t>
        </is>
      </c>
      <c r="Q362" s="2" t="n">
        <v>43870</v>
      </c>
    </row>
    <row r="363">
      <c r="A363" s="8" t="n">
        <v>34408107</v>
      </c>
      <c r="B363" s="9">
        <f>INDEX(Tableau1[], MATCH(Tableau3[[#This Row],[REFERENCE]], Tableau1[NUMERO], 0), 2)</f>
        <v/>
      </c>
      <c r="C363" s="129">
        <f>INDEX(Tableau1[], MATCH(Tableau3[[#This Row],[REFERENCE]], Tableau1[NUMERO], 0), 3)</f>
        <v/>
      </c>
      <c r="D363" s="129">
        <f>INDEX(Tableau1[], MATCH(Tableau3[[#This Row],[REFERENCE]], Tableau1[NUMERO], 0),4)</f>
        <v/>
      </c>
      <c r="E363" s="129">
        <f>INDEX(Tableau1[], MATCH(Tableau3[[#This Row],[REFERENCE]], Tableau1[NUMERO], 0), 5)</f>
        <v/>
      </c>
      <c r="F363" s="129">
        <f>INDEX(Tableau1[], MATCH(Tableau3[[#This Row],[REFERENCE]], Tableau1[NUMERO], 0), 6)</f>
        <v/>
      </c>
      <c r="G363" s="129">
        <f>INDEX(Tableau1[], MATCH(Tableau3[[#This Row],[REFERENCE]], Tableau1[NUMERO], 0), 7)</f>
        <v/>
      </c>
      <c r="H363" t="inlineStr">
        <is>
          <t>lasertechnic</t>
        </is>
      </c>
      <c r="J363" s="2" t="n">
        <v>43805</v>
      </c>
      <c r="K363" s="2" t="n">
        <v>43808</v>
      </c>
      <c r="L363" s="2" t="n"/>
      <c r="O363" s="7" t="n">
        <v>23</v>
      </c>
      <c r="P363" s="8" t="inlineStr">
        <is>
          <t>5 JOURS</t>
        </is>
      </c>
      <c r="Q363" s="2" t="n">
        <v>43870</v>
      </c>
    </row>
    <row r="364">
      <c r="A364" s="8" t="n">
        <v>34408107</v>
      </c>
      <c r="B364" s="9">
        <f>INDEX(Tableau1[], MATCH(Tableau3[[#This Row],[REFERENCE]], Tableau1[NUMERO], 0), 2)</f>
        <v/>
      </c>
      <c r="C364" s="129">
        <f>INDEX(Tableau1[], MATCH(Tableau3[[#This Row],[REFERENCE]], Tableau1[NUMERO], 0), 3)</f>
        <v/>
      </c>
      <c r="D364" s="129">
        <f>INDEX(Tableau1[], MATCH(Tableau3[[#This Row],[REFERENCE]], Tableau1[NUMERO], 0),4)</f>
        <v/>
      </c>
      <c r="E364" s="129">
        <f>INDEX(Tableau1[], MATCH(Tableau3[[#This Row],[REFERENCE]], Tableau1[NUMERO], 0), 5)</f>
        <v/>
      </c>
      <c r="F364" s="129">
        <f>INDEX(Tableau1[], MATCH(Tableau3[[#This Row],[REFERENCE]], Tableau1[NUMERO], 0), 6)</f>
        <v/>
      </c>
      <c r="G364" s="129">
        <f>INDEX(Tableau1[], MATCH(Tableau3[[#This Row],[REFERENCE]], Tableau1[NUMERO], 0), 7)</f>
        <v/>
      </c>
      <c r="H364" t="inlineStr">
        <is>
          <t>paillet</t>
        </is>
      </c>
      <c r="J364" s="2" t="n">
        <v>43808</v>
      </c>
      <c r="K364" s="2" t="n">
        <v>43808</v>
      </c>
      <c r="L364" s="2" t="n"/>
      <c r="O364" s="7" t="n">
        <v>54.03</v>
      </c>
      <c r="P364" s="8" t="inlineStr">
        <is>
          <t>15 JOURS</t>
        </is>
      </c>
      <c r="Q364" s="2" t="n">
        <v>43870</v>
      </c>
    </row>
    <row r="365">
      <c r="A365" s="8" t="n">
        <v>34408108</v>
      </c>
      <c r="B365" s="9">
        <f>INDEX(Tableau1[], MATCH(Tableau3[[#This Row],[REFERENCE]], Tableau1[NUMERO], 0), 2)</f>
        <v/>
      </c>
      <c r="C365" s="129">
        <f>INDEX(Tableau1[], MATCH(Tableau3[[#This Row],[REFERENCE]], Tableau1[NUMERO], 0), 3)</f>
        <v/>
      </c>
      <c r="D365" s="129">
        <f>INDEX(Tableau1[], MATCH(Tableau3[[#This Row],[REFERENCE]], Tableau1[NUMERO], 0),4)</f>
        <v/>
      </c>
      <c r="E365" s="129">
        <f>INDEX(Tableau1[], MATCH(Tableau3[[#This Row],[REFERENCE]], Tableau1[NUMERO], 0), 5)</f>
        <v/>
      </c>
      <c r="F365" s="129">
        <f>INDEX(Tableau1[], MATCH(Tableau3[[#This Row],[REFERENCE]], Tableau1[NUMERO], 0), 6)</f>
        <v/>
      </c>
      <c r="G365" s="129">
        <f>INDEX(Tableau1[], MATCH(Tableau3[[#This Row],[REFERENCE]], Tableau1[NUMERO], 0), 7)</f>
        <v/>
      </c>
      <c r="H365" t="inlineStr">
        <is>
          <t>lasertechnic</t>
        </is>
      </c>
      <c r="J365" s="2" t="n">
        <v>43805</v>
      </c>
      <c r="K365" s="2" t="n">
        <v>43808</v>
      </c>
      <c r="L365" s="2" t="n"/>
      <c r="O365" s="7" t="n">
        <v>19</v>
      </c>
      <c r="P365" s="8" t="inlineStr">
        <is>
          <t>5 JOURS</t>
        </is>
      </c>
      <c r="Q365" s="2" t="n">
        <v>43870</v>
      </c>
    </row>
    <row r="366">
      <c r="A366" s="8" t="n">
        <v>34408108</v>
      </c>
      <c r="B366" s="9">
        <f>INDEX(Tableau1[], MATCH(Tableau3[[#This Row],[REFERENCE]], Tableau1[NUMERO], 0), 2)</f>
        <v/>
      </c>
      <c r="C366" s="129">
        <f>INDEX(Tableau1[], MATCH(Tableau3[[#This Row],[REFERENCE]], Tableau1[NUMERO], 0), 3)</f>
        <v/>
      </c>
      <c r="D366" s="129">
        <f>INDEX(Tableau1[], MATCH(Tableau3[[#This Row],[REFERENCE]], Tableau1[NUMERO], 0),4)</f>
        <v/>
      </c>
      <c r="E366" s="129">
        <f>INDEX(Tableau1[], MATCH(Tableau3[[#This Row],[REFERENCE]], Tableau1[NUMERO], 0), 5)</f>
        <v/>
      </c>
      <c r="F366" s="129">
        <f>INDEX(Tableau1[], MATCH(Tableau3[[#This Row],[REFERENCE]], Tableau1[NUMERO], 0), 6)</f>
        <v/>
      </c>
      <c r="G366" s="129">
        <f>INDEX(Tableau1[], MATCH(Tableau3[[#This Row],[REFERENCE]], Tableau1[NUMERO], 0), 7)</f>
        <v/>
      </c>
      <c r="H366" t="inlineStr">
        <is>
          <t>paillet</t>
        </is>
      </c>
      <c r="J366" s="2" t="n">
        <v>43808</v>
      </c>
      <c r="K366" s="2" t="n">
        <v>43808</v>
      </c>
      <c r="L366" s="2" t="n"/>
      <c r="O366" s="7" t="n">
        <v>58.17</v>
      </c>
      <c r="P366" s="8" t="inlineStr">
        <is>
          <t>15 JOURS</t>
        </is>
      </c>
      <c r="Q366" s="2" t="n">
        <v>43870</v>
      </c>
    </row>
    <row r="367">
      <c r="A367" s="8" t="n">
        <v>34408109</v>
      </c>
      <c r="B367" s="9">
        <f>INDEX(Tableau1[], MATCH(Tableau3[[#This Row],[REFERENCE]], Tableau1[NUMERO], 0), 2)</f>
        <v/>
      </c>
      <c r="C367" s="129">
        <f>INDEX(Tableau1[], MATCH(Tableau3[[#This Row],[REFERENCE]], Tableau1[NUMERO], 0), 3)</f>
        <v/>
      </c>
      <c r="D367" s="129">
        <f>INDEX(Tableau1[], MATCH(Tableau3[[#This Row],[REFERENCE]], Tableau1[NUMERO], 0),4)</f>
        <v/>
      </c>
      <c r="E367" s="129">
        <f>INDEX(Tableau1[], MATCH(Tableau3[[#This Row],[REFERENCE]], Tableau1[NUMERO], 0), 5)</f>
        <v/>
      </c>
      <c r="F367" s="129">
        <f>INDEX(Tableau1[], MATCH(Tableau3[[#This Row],[REFERENCE]], Tableau1[NUMERO], 0), 6)</f>
        <v/>
      </c>
      <c r="G367" s="129">
        <f>INDEX(Tableau1[], MATCH(Tableau3[[#This Row],[REFERENCE]], Tableau1[NUMERO], 0), 7)</f>
        <v/>
      </c>
      <c r="H367" t="inlineStr">
        <is>
          <t>lasertechnic</t>
        </is>
      </c>
      <c r="J367" s="2" t="n">
        <v>43805</v>
      </c>
      <c r="K367" s="2" t="n">
        <v>43808</v>
      </c>
      <c r="L367" s="2" t="n"/>
      <c r="O367" s="7" t="n">
        <v>19</v>
      </c>
      <c r="P367" s="8" t="inlineStr">
        <is>
          <t>5 JOURS</t>
        </is>
      </c>
      <c r="Q367" s="2" t="n">
        <v>43870</v>
      </c>
    </row>
    <row r="368">
      <c r="A368" s="8" t="n">
        <v>34408109</v>
      </c>
      <c r="B368" s="9">
        <f>INDEX(Tableau1[], MATCH(Tableau3[[#This Row],[REFERENCE]], Tableau1[NUMERO], 0), 2)</f>
        <v/>
      </c>
      <c r="C368" s="129">
        <f>INDEX(Tableau1[], MATCH(Tableau3[[#This Row],[REFERENCE]], Tableau1[NUMERO], 0), 3)</f>
        <v/>
      </c>
      <c r="D368" s="129">
        <f>INDEX(Tableau1[], MATCH(Tableau3[[#This Row],[REFERENCE]], Tableau1[NUMERO], 0),4)</f>
        <v/>
      </c>
      <c r="E368" s="129">
        <f>INDEX(Tableau1[], MATCH(Tableau3[[#This Row],[REFERENCE]], Tableau1[NUMERO], 0), 5)</f>
        <v/>
      </c>
      <c r="F368" s="129">
        <f>INDEX(Tableau1[], MATCH(Tableau3[[#This Row],[REFERENCE]], Tableau1[NUMERO], 0), 6)</f>
        <v/>
      </c>
      <c r="G368" s="129">
        <f>INDEX(Tableau1[], MATCH(Tableau3[[#This Row],[REFERENCE]], Tableau1[NUMERO], 0), 7)</f>
        <v/>
      </c>
      <c r="H368" t="inlineStr">
        <is>
          <t>paillet</t>
        </is>
      </c>
      <c r="J368" s="2" t="n">
        <v>43808</v>
      </c>
      <c r="K368" s="2" t="n">
        <v>43808</v>
      </c>
      <c r="L368" s="2" t="n"/>
      <c r="O368" s="7" t="n">
        <v>58.1</v>
      </c>
      <c r="P368" s="8" t="inlineStr">
        <is>
          <t>15 JOURS</t>
        </is>
      </c>
      <c r="Q368" s="2" t="n">
        <v>43870</v>
      </c>
    </row>
    <row r="369">
      <c r="A369" s="8" t="n">
        <v>34408111</v>
      </c>
      <c r="B369" s="9">
        <f>INDEX(Tableau1[], MATCH(Tableau3[[#This Row],[REFERENCE]], Tableau1[NUMERO], 0), 2)</f>
        <v/>
      </c>
      <c r="C369" s="129">
        <f>INDEX(Tableau1[], MATCH(Tableau3[[#This Row],[REFERENCE]], Tableau1[NUMERO], 0), 3)</f>
        <v/>
      </c>
      <c r="D369" s="129">
        <f>INDEX(Tableau1[], MATCH(Tableau3[[#This Row],[REFERENCE]], Tableau1[NUMERO], 0),4)</f>
        <v/>
      </c>
      <c r="E369" s="129">
        <f>INDEX(Tableau1[], MATCH(Tableau3[[#This Row],[REFERENCE]], Tableau1[NUMERO], 0), 5)</f>
        <v/>
      </c>
      <c r="F369" s="129">
        <f>INDEX(Tableau1[], MATCH(Tableau3[[#This Row],[REFERENCE]], Tableau1[NUMERO], 0), 6)</f>
        <v/>
      </c>
      <c r="G369" s="129">
        <f>INDEX(Tableau1[], MATCH(Tableau3[[#This Row],[REFERENCE]], Tableau1[NUMERO], 0), 7)</f>
        <v/>
      </c>
      <c r="H369" t="inlineStr">
        <is>
          <t>lasertechnic</t>
        </is>
      </c>
      <c r="J369" s="2" t="n">
        <v>43805</v>
      </c>
      <c r="K369" s="2" t="n">
        <v>43808</v>
      </c>
      <c r="L369" s="2" t="n"/>
      <c r="O369" s="7" t="n">
        <v>22</v>
      </c>
      <c r="P369" s="8" t="inlineStr">
        <is>
          <t>5 JOURS</t>
        </is>
      </c>
      <c r="Q369" s="2" t="n">
        <v>43870</v>
      </c>
    </row>
    <row r="370">
      <c r="A370" s="8" t="n">
        <v>34408111</v>
      </c>
      <c r="B370" s="9">
        <f>INDEX(Tableau1[], MATCH(Tableau3[[#This Row],[REFERENCE]], Tableau1[NUMERO], 0), 2)</f>
        <v/>
      </c>
      <c r="C370" s="129">
        <f>INDEX(Tableau1[], MATCH(Tableau3[[#This Row],[REFERENCE]], Tableau1[NUMERO], 0), 3)</f>
        <v/>
      </c>
      <c r="D370" s="129">
        <f>INDEX(Tableau1[], MATCH(Tableau3[[#This Row],[REFERENCE]], Tableau1[NUMERO], 0),4)</f>
        <v/>
      </c>
      <c r="E370" s="129">
        <f>INDEX(Tableau1[], MATCH(Tableau3[[#This Row],[REFERENCE]], Tableau1[NUMERO], 0), 5)</f>
        <v/>
      </c>
      <c r="F370" s="129">
        <f>INDEX(Tableau1[], MATCH(Tableau3[[#This Row],[REFERENCE]], Tableau1[NUMERO], 0), 6)</f>
        <v/>
      </c>
      <c r="G370" s="129">
        <f>INDEX(Tableau1[], MATCH(Tableau3[[#This Row],[REFERENCE]], Tableau1[NUMERO], 0), 7)</f>
        <v/>
      </c>
      <c r="H370" t="inlineStr">
        <is>
          <t>paillet</t>
        </is>
      </c>
      <c r="J370" s="2" t="n">
        <v>43808</v>
      </c>
      <c r="K370" s="2" t="n">
        <v>43808</v>
      </c>
      <c r="L370" s="2" t="n"/>
      <c r="O370" s="7" t="n">
        <v>53.76</v>
      </c>
      <c r="P370" s="8" t="inlineStr">
        <is>
          <t>15 JOURS</t>
        </is>
      </c>
      <c r="Q370" s="2" t="n">
        <v>43870</v>
      </c>
    </row>
    <row r="371">
      <c r="A371" s="8" t="n">
        <v>34408112</v>
      </c>
      <c r="B371" s="9">
        <f>INDEX(Tableau1[], MATCH(Tableau3[[#This Row],[REFERENCE]], Tableau1[NUMERO], 0), 2)</f>
        <v/>
      </c>
      <c r="C371" s="129">
        <f>INDEX(Tableau1[], MATCH(Tableau3[[#This Row],[REFERENCE]], Tableau1[NUMERO], 0), 3)</f>
        <v/>
      </c>
      <c r="D371" s="129">
        <f>INDEX(Tableau1[], MATCH(Tableau3[[#This Row],[REFERENCE]], Tableau1[NUMERO], 0),4)</f>
        <v/>
      </c>
      <c r="E371" s="129">
        <f>INDEX(Tableau1[], MATCH(Tableau3[[#This Row],[REFERENCE]], Tableau1[NUMERO], 0), 5)</f>
        <v/>
      </c>
      <c r="F371" s="129">
        <f>INDEX(Tableau1[], MATCH(Tableau3[[#This Row],[REFERENCE]], Tableau1[NUMERO], 0), 6)</f>
        <v/>
      </c>
      <c r="G371" s="129">
        <f>INDEX(Tableau1[], MATCH(Tableau3[[#This Row],[REFERENCE]], Tableau1[NUMERO], 0), 7)</f>
        <v/>
      </c>
      <c r="H371" t="inlineStr">
        <is>
          <t>lasertechnic</t>
        </is>
      </c>
      <c r="J371" s="2" t="n">
        <v>43805</v>
      </c>
      <c r="K371" s="2" t="n">
        <v>43808</v>
      </c>
      <c r="L371" s="2" t="n"/>
      <c r="O371" s="7" t="n">
        <v>20</v>
      </c>
      <c r="P371" s="8" t="inlineStr">
        <is>
          <t>5 JOURS</t>
        </is>
      </c>
      <c r="Q371" s="2" t="n">
        <v>43870</v>
      </c>
    </row>
    <row r="372">
      <c r="A372" s="8" t="n">
        <v>34408112</v>
      </c>
      <c r="B372" s="9">
        <f>INDEX(Tableau1[], MATCH(Tableau3[[#This Row],[REFERENCE]], Tableau1[NUMERO], 0), 2)</f>
        <v/>
      </c>
      <c r="C372" s="129">
        <f>INDEX(Tableau1[], MATCH(Tableau3[[#This Row],[REFERENCE]], Tableau1[NUMERO], 0), 3)</f>
        <v/>
      </c>
      <c r="D372" s="129">
        <f>INDEX(Tableau1[], MATCH(Tableau3[[#This Row],[REFERENCE]], Tableau1[NUMERO], 0),4)</f>
        <v/>
      </c>
      <c r="E372" s="129">
        <f>INDEX(Tableau1[], MATCH(Tableau3[[#This Row],[REFERENCE]], Tableau1[NUMERO], 0), 5)</f>
        <v/>
      </c>
      <c r="F372" s="129">
        <f>INDEX(Tableau1[], MATCH(Tableau3[[#This Row],[REFERENCE]], Tableau1[NUMERO], 0), 6)</f>
        <v/>
      </c>
      <c r="G372" s="129">
        <f>INDEX(Tableau1[], MATCH(Tableau3[[#This Row],[REFERENCE]], Tableau1[NUMERO], 0), 7)</f>
        <v/>
      </c>
      <c r="H372" t="inlineStr">
        <is>
          <t>paillet</t>
        </is>
      </c>
      <c r="J372" s="2" t="n">
        <v>43808</v>
      </c>
      <c r="K372" s="2" t="n">
        <v>43808</v>
      </c>
      <c r="L372" s="2" t="n"/>
      <c r="O372" s="7" t="n">
        <v>31.28</v>
      </c>
      <c r="P372" s="8" t="inlineStr">
        <is>
          <t>15 JOURS</t>
        </is>
      </c>
      <c r="Q372" s="2" t="n">
        <v>43870</v>
      </c>
    </row>
    <row r="373">
      <c r="A373" s="8" t="n">
        <v>34408113</v>
      </c>
      <c r="B373" s="9">
        <f>INDEX(Tableau1[], MATCH(Tableau3[[#This Row],[REFERENCE]], Tableau1[NUMERO], 0), 2)</f>
        <v/>
      </c>
      <c r="C373" s="129">
        <f>INDEX(Tableau1[], MATCH(Tableau3[[#This Row],[REFERENCE]], Tableau1[NUMERO], 0), 3)</f>
        <v/>
      </c>
      <c r="D373" s="129">
        <f>INDEX(Tableau1[], MATCH(Tableau3[[#This Row],[REFERENCE]], Tableau1[NUMERO], 0),4)</f>
        <v/>
      </c>
      <c r="E373" s="129">
        <f>INDEX(Tableau1[], MATCH(Tableau3[[#This Row],[REFERENCE]], Tableau1[NUMERO], 0), 5)</f>
        <v/>
      </c>
      <c r="F373" s="129">
        <f>INDEX(Tableau1[], MATCH(Tableau3[[#This Row],[REFERENCE]], Tableau1[NUMERO], 0), 6)</f>
        <v/>
      </c>
      <c r="G373" s="129">
        <f>INDEX(Tableau1[], MATCH(Tableau3[[#This Row],[REFERENCE]], Tableau1[NUMERO], 0), 7)</f>
        <v/>
      </c>
      <c r="H373" t="inlineStr">
        <is>
          <t>lasertechnic</t>
        </is>
      </c>
      <c r="J373" s="2" t="n">
        <v>43805</v>
      </c>
      <c r="K373" s="2" t="n">
        <v>43808</v>
      </c>
      <c r="L373" s="2" t="n"/>
      <c r="O373" s="7" t="n">
        <v>24</v>
      </c>
      <c r="P373" s="8" t="inlineStr">
        <is>
          <t>5 JOURS</t>
        </is>
      </c>
      <c r="Q373" s="2" t="n">
        <v>43870</v>
      </c>
    </row>
    <row r="374">
      <c r="A374" s="8" t="n">
        <v>34408113</v>
      </c>
      <c r="B374" s="9">
        <f>INDEX(Tableau1[], MATCH(Tableau3[[#This Row],[REFERENCE]], Tableau1[NUMERO], 0), 2)</f>
        <v/>
      </c>
      <c r="C374" s="129">
        <f>INDEX(Tableau1[], MATCH(Tableau3[[#This Row],[REFERENCE]], Tableau1[NUMERO], 0), 3)</f>
        <v/>
      </c>
      <c r="D374" s="129">
        <f>INDEX(Tableau1[], MATCH(Tableau3[[#This Row],[REFERENCE]], Tableau1[NUMERO], 0),4)</f>
        <v/>
      </c>
      <c r="E374" s="129">
        <f>INDEX(Tableau1[], MATCH(Tableau3[[#This Row],[REFERENCE]], Tableau1[NUMERO], 0), 5)</f>
        <v/>
      </c>
      <c r="F374" s="129">
        <f>INDEX(Tableau1[], MATCH(Tableau3[[#This Row],[REFERENCE]], Tableau1[NUMERO], 0), 6)</f>
        <v/>
      </c>
      <c r="G374" s="129">
        <f>INDEX(Tableau1[], MATCH(Tableau3[[#This Row],[REFERENCE]], Tableau1[NUMERO], 0), 7)</f>
        <v/>
      </c>
      <c r="H374" t="inlineStr">
        <is>
          <t>paillet</t>
        </is>
      </c>
      <c r="J374" s="2" t="n">
        <v>43808</v>
      </c>
      <c r="K374" s="2" t="n">
        <v>43808</v>
      </c>
      <c r="L374" s="2" t="n"/>
      <c r="O374" s="7" t="n">
        <v>33.84</v>
      </c>
      <c r="P374" s="8" t="inlineStr">
        <is>
          <t>15 JOURS</t>
        </is>
      </c>
      <c r="Q374" s="2" t="n">
        <v>43870</v>
      </c>
    </row>
    <row r="375">
      <c r="A375" s="8" t="n">
        <v>34408115</v>
      </c>
      <c r="B375" s="9">
        <f>INDEX(Tableau1[], MATCH(Tableau3[[#This Row],[REFERENCE]], Tableau1[NUMERO], 0), 2)</f>
        <v/>
      </c>
      <c r="C375" s="129">
        <f>INDEX(Tableau1[], MATCH(Tableau3[[#This Row],[REFERENCE]], Tableau1[NUMERO], 0), 3)</f>
        <v/>
      </c>
      <c r="D375" s="129">
        <f>INDEX(Tableau1[], MATCH(Tableau3[[#This Row],[REFERENCE]], Tableau1[NUMERO], 0),4)</f>
        <v/>
      </c>
      <c r="E375" s="129">
        <f>INDEX(Tableau1[], MATCH(Tableau3[[#This Row],[REFERENCE]], Tableau1[NUMERO], 0), 5)</f>
        <v/>
      </c>
      <c r="F375" s="129">
        <f>INDEX(Tableau1[], MATCH(Tableau3[[#This Row],[REFERENCE]], Tableau1[NUMERO], 0), 6)</f>
        <v/>
      </c>
      <c r="G375" s="129">
        <f>INDEX(Tableau1[], MATCH(Tableau3[[#This Row],[REFERENCE]], Tableau1[NUMERO], 0), 7)</f>
        <v/>
      </c>
      <c r="H375" t="inlineStr">
        <is>
          <t>lasertechnic</t>
        </is>
      </c>
      <c r="J375" s="2" t="n">
        <v>43805</v>
      </c>
      <c r="K375" s="2" t="n">
        <v>43808</v>
      </c>
      <c r="L375" s="2" t="n"/>
      <c r="O375" s="7" t="n">
        <v>16</v>
      </c>
      <c r="P375" s="8" t="inlineStr">
        <is>
          <t>5 JOURS</t>
        </is>
      </c>
      <c r="Q375" s="2" t="n">
        <v>43870</v>
      </c>
    </row>
    <row r="376">
      <c r="A376" s="8" t="n">
        <v>34408115</v>
      </c>
      <c r="B376" s="9">
        <f>INDEX(Tableau1[], MATCH(Tableau3[[#This Row],[REFERENCE]], Tableau1[NUMERO], 0), 2)</f>
        <v/>
      </c>
      <c r="C376" s="129">
        <f>INDEX(Tableau1[], MATCH(Tableau3[[#This Row],[REFERENCE]], Tableau1[NUMERO], 0), 3)</f>
        <v/>
      </c>
      <c r="D376" s="129">
        <f>INDEX(Tableau1[], MATCH(Tableau3[[#This Row],[REFERENCE]], Tableau1[NUMERO], 0),4)</f>
        <v/>
      </c>
      <c r="E376" s="129">
        <f>INDEX(Tableau1[], MATCH(Tableau3[[#This Row],[REFERENCE]], Tableau1[NUMERO], 0), 5)</f>
        <v/>
      </c>
      <c r="F376" s="129">
        <f>INDEX(Tableau1[], MATCH(Tableau3[[#This Row],[REFERENCE]], Tableau1[NUMERO], 0), 6)</f>
        <v/>
      </c>
      <c r="G376" s="129">
        <f>INDEX(Tableau1[], MATCH(Tableau3[[#This Row],[REFERENCE]], Tableau1[NUMERO], 0), 7)</f>
        <v/>
      </c>
      <c r="H376" t="inlineStr">
        <is>
          <t>paillet</t>
        </is>
      </c>
      <c r="J376" s="2" t="n">
        <v>43808</v>
      </c>
      <c r="K376" s="2" t="n">
        <v>43808</v>
      </c>
      <c r="L376" s="2" t="n"/>
      <c r="O376" s="7" t="n">
        <v>20.39</v>
      </c>
      <c r="P376" s="8" t="inlineStr">
        <is>
          <t>15 JOURS</t>
        </is>
      </c>
      <c r="Q376" s="2" t="n">
        <v>43870</v>
      </c>
    </row>
    <row r="377">
      <c r="A377" s="8" t="n">
        <v>34408118</v>
      </c>
      <c r="B377" s="9">
        <f>INDEX(Tableau1[], MATCH(Tableau3[[#This Row],[REFERENCE]], Tableau1[NUMERO], 0), 2)</f>
        <v/>
      </c>
      <c r="C377" s="129">
        <f>INDEX(Tableau1[], MATCH(Tableau3[[#This Row],[REFERENCE]], Tableau1[NUMERO], 0), 3)</f>
        <v/>
      </c>
      <c r="D377" s="129">
        <f>INDEX(Tableau1[], MATCH(Tableau3[[#This Row],[REFERENCE]], Tableau1[NUMERO], 0),4)</f>
        <v/>
      </c>
      <c r="E377" s="129">
        <f>INDEX(Tableau1[], MATCH(Tableau3[[#This Row],[REFERENCE]], Tableau1[NUMERO], 0), 5)</f>
        <v/>
      </c>
      <c r="F377" s="129">
        <f>INDEX(Tableau1[], MATCH(Tableau3[[#This Row],[REFERENCE]], Tableau1[NUMERO], 0), 6)</f>
        <v/>
      </c>
      <c r="G377" s="129">
        <f>INDEX(Tableau1[], MATCH(Tableau3[[#This Row],[REFERENCE]], Tableau1[NUMERO], 0), 7)</f>
        <v/>
      </c>
      <c r="H377" t="inlineStr">
        <is>
          <t>COMATEL</t>
        </is>
      </c>
      <c r="J377" s="2" t="inlineStr">
        <is>
          <t>02/12/2019 relancé le 03/12/2019</t>
        </is>
      </c>
      <c r="K377" s="2" t="n">
        <v>43804</v>
      </c>
      <c r="L377" s="2" t="n"/>
      <c r="O377" s="7" t="n">
        <v>19.12</v>
      </c>
      <c r="P377" s="8" t="inlineStr">
        <is>
          <t>5 jours</t>
        </is>
      </c>
      <c r="Q377" s="2" t="n">
        <v>43864</v>
      </c>
    </row>
    <row r="378">
      <c r="A378" s="8" t="n">
        <v>34408120</v>
      </c>
      <c r="B378" s="9">
        <f>INDEX(Tableau1[], MATCH(Tableau3[[#This Row],[REFERENCE]], Tableau1[NUMERO], 0), 2)</f>
        <v/>
      </c>
      <c r="C378" s="129">
        <f>INDEX(Tableau1[], MATCH(Tableau3[[#This Row],[REFERENCE]], Tableau1[NUMERO], 0), 3)</f>
        <v/>
      </c>
      <c r="D378" s="129">
        <f>INDEX(Tableau1[], MATCH(Tableau3[[#This Row],[REFERENCE]], Tableau1[NUMERO], 0),4)</f>
        <v/>
      </c>
      <c r="E378" s="129">
        <f>INDEX(Tableau1[], MATCH(Tableau3[[#This Row],[REFERENCE]], Tableau1[NUMERO], 0), 5)</f>
        <v/>
      </c>
      <c r="F378" s="129">
        <f>INDEX(Tableau1[], MATCH(Tableau3[[#This Row],[REFERENCE]], Tableau1[NUMERO], 0), 6)</f>
        <v/>
      </c>
      <c r="G378" s="129">
        <f>INDEX(Tableau1[], MATCH(Tableau3[[#This Row],[REFERENCE]], Tableau1[NUMERO], 0), 7)</f>
        <v/>
      </c>
      <c r="H378" t="inlineStr">
        <is>
          <t>lasertechnic</t>
        </is>
      </c>
      <c r="J378" s="2" t="n">
        <v>43802</v>
      </c>
      <c r="K378" s="2" t="n">
        <v>43802</v>
      </c>
      <c r="L378" s="2" t="n"/>
      <c r="O378" s="7" t="n">
        <v>48</v>
      </c>
      <c r="P378" s="8" t="inlineStr">
        <is>
          <t>3 jours</t>
        </is>
      </c>
      <c r="Q378" s="2" t="n">
        <v>43864</v>
      </c>
    </row>
    <row r="379">
      <c r="A379" s="8" t="n">
        <v>34408128</v>
      </c>
      <c r="B379" s="9">
        <f>INDEX(Tableau1[], MATCH(Tableau3[[#This Row],[REFERENCE]], Tableau1[NUMERO], 0), 2)</f>
        <v/>
      </c>
      <c r="C379" s="129">
        <f>INDEX(Tableau1[], MATCH(Tableau3[[#This Row],[REFERENCE]], Tableau1[NUMERO], 0), 3)</f>
        <v/>
      </c>
      <c r="D379" s="129">
        <f>INDEX(Tableau1[], MATCH(Tableau3[[#This Row],[REFERENCE]], Tableau1[NUMERO], 0),4)</f>
        <v/>
      </c>
      <c r="E379" s="129">
        <f>INDEX(Tableau1[], MATCH(Tableau3[[#This Row],[REFERENCE]], Tableau1[NUMERO], 0), 5)</f>
        <v/>
      </c>
      <c r="F379" s="129">
        <f>INDEX(Tableau1[], MATCH(Tableau3[[#This Row],[REFERENCE]], Tableau1[NUMERO], 0), 6)</f>
        <v/>
      </c>
      <c r="G379" s="129">
        <f>INDEX(Tableau1[], MATCH(Tableau3[[#This Row],[REFERENCE]], Tableau1[NUMERO], 0), 7)</f>
        <v/>
      </c>
      <c r="H379" t="inlineStr">
        <is>
          <t>lasertechnic</t>
        </is>
      </c>
      <c r="J379" s="2" t="n">
        <v>43810</v>
      </c>
      <c r="K379" s="2" t="n">
        <v>43811</v>
      </c>
      <c r="L379" s="2" t="n"/>
      <c r="N379" s="35" t="n">
        <v>1</v>
      </c>
      <c r="O379" s="7" t="n">
        <v>198</v>
      </c>
      <c r="P379" s="8" t="inlineStr">
        <is>
          <t>3 JOURS</t>
        </is>
      </c>
      <c r="Q379" s="2" t="n">
        <v>43873</v>
      </c>
    </row>
    <row r="380">
      <c r="A380" s="8" t="n">
        <v>34408128</v>
      </c>
      <c r="B380" s="9">
        <f>INDEX(Tableau1[], MATCH(Tableau3[[#This Row],[REFERENCE]], Tableau1[NUMERO], 0), 2)</f>
        <v/>
      </c>
      <c r="C380" s="129">
        <f>INDEX(Tableau1[], MATCH(Tableau3[[#This Row],[REFERENCE]], Tableau1[NUMERO], 0), 3)</f>
        <v/>
      </c>
      <c r="D380" s="129">
        <f>INDEX(Tableau1[], MATCH(Tableau3[[#This Row],[REFERENCE]], Tableau1[NUMERO], 0),4)</f>
        <v/>
      </c>
      <c r="E380" s="129">
        <f>INDEX(Tableau1[], MATCH(Tableau3[[#This Row],[REFERENCE]], Tableau1[NUMERO], 0), 5)</f>
        <v/>
      </c>
      <c r="F380" s="129">
        <f>INDEX(Tableau1[], MATCH(Tableau3[[#This Row],[REFERENCE]], Tableau1[NUMERO], 0), 6)</f>
        <v/>
      </c>
      <c r="G380" s="129">
        <f>INDEX(Tableau1[], MATCH(Tableau3[[#This Row],[REFERENCE]], Tableau1[NUMERO], 0), 7)</f>
        <v/>
      </c>
      <c r="H380" t="inlineStr">
        <is>
          <t>lasertechnic</t>
        </is>
      </c>
      <c r="J380" s="2" t="n">
        <v>43810</v>
      </c>
      <c r="K380" s="2" t="n">
        <v>43811</v>
      </c>
      <c r="L380" s="2" t="n"/>
      <c r="N380" s="35" t="n">
        <v>10</v>
      </c>
      <c r="O380" s="7" t="n">
        <v>198</v>
      </c>
      <c r="P380" s="8" t="inlineStr">
        <is>
          <t>6 jours</t>
        </is>
      </c>
      <c r="Q380" s="2" t="n">
        <v>43873</v>
      </c>
    </row>
    <row r="381">
      <c r="A381" s="8" t="n">
        <v>34408130</v>
      </c>
      <c r="B381" s="9">
        <f>INDEX(Tableau1[], MATCH(Tableau3[[#This Row],[REFERENCE]], Tableau1[NUMERO], 0), 2)</f>
        <v/>
      </c>
      <c r="C381" s="129">
        <f>INDEX(Tableau1[], MATCH(Tableau3[[#This Row],[REFERENCE]], Tableau1[NUMERO], 0), 3)</f>
        <v/>
      </c>
      <c r="D381" s="129">
        <f>INDEX(Tableau1[], MATCH(Tableau3[[#This Row],[REFERENCE]], Tableau1[NUMERO], 0),4)</f>
        <v/>
      </c>
      <c r="E381" s="129">
        <f>INDEX(Tableau1[], MATCH(Tableau3[[#This Row],[REFERENCE]], Tableau1[NUMERO], 0), 5)</f>
        <v/>
      </c>
      <c r="F381" s="129">
        <f>INDEX(Tableau1[], MATCH(Tableau3[[#This Row],[REFERENCE]], Tableau1[NUMERO], 0), 6)</f>
        <v/>
      </c>
      <c r="G381" s="129">
        <f>INDEX(Tableau1[], MATCH(Tableau3[[#This Row],[REFERENCE]], Tableau1[NUMERO], 0), 7)</f>
        <v/>
      </c>
      <c r="H381" t="inlineStr">
        <is>
          <t>lasertechnic</t>
        </is>
      </c>
      <c r="J381" s="2" t="n">
        <v>43810</v>
      </c>
      <c r="K381" s="2" t="n">
        <v>43810</v>
      </c>
      <c r="L381" s="2" t="n"/>
      <c r="O381" s="7" t="n">
        <v>40</v>
      </c>
      <c r="P381" s="8" t="inlineStr">
        <is>
          <t>24h</t>
        </is>
      </c>
      <c r="Q381" s="2" t="n">
        <v>43872</v>
      </c>
    </row>
    <row r="382">
      <c r="A382" s="8" t="n">
        <v>34408118</v>
      </c>
      <c r="B382" s="9">
        <f>INDEX(Tableau1[], MATCH(Tableau3[[#This Row],[REFERENCE]], Tableau1[NUMERO], 0), 2)</f>
        <v/>
      </c>
      <c r="C382" s="129">
        <f>INDEX(Tableau1[], MATCH(Tableau3[[#This Row],[REFERENCE]], Tableau1[NUMERO], 0), 3)</f>
        <v/>
      </c>
      <c r="D382" s="129">
        <f>INDEX(Tableau1[], MATCH(Tableau3[[#This Row],[REFERENCE]], Tableau1[NUMERO], 0),4)</f>
        <v/>
      </c>
      <c r="E382" s="129">
        <f>INDEX(Tableau1[], MATCH(Tableau3[[#This Row],[REFERENCE]], Tableau1[NUMERO], 0), 5)</f>
        <v/>
      </c>
      <c r="F382" s="129">
        <f>INDEX(Tableau1[], MATCH(Tableau3[[#This Row],[REFERENCE]], Tableau1[NUMERO], 0), 6)</f>
        <v/>
      </c>
      <c r="G382" s="129">
        <f>INDEX(Tableau1[], MATCH(Tableau3[[#This Row],[REFERENCE]], Tableau1[NUMERO], 0), 7)</f>
        <v/>
      </c>
      <c r="H382" t="inlineStr">
        <is>
          <t>COMATEL</t>
        </is>
      </c>
      <c r="J382" s="2" t="n"/>
      <c r="K382" s="2" t="n">
        <v>43812</v>
      </c>
      <c r="L382" s="2" t="n"/>
      <c r="N382" s="35" t="inlineStr">
        <is>
          <t>5 à 9</t>
        </is>
      </c>
      <c r="O382" s="7" t="n">
        <v>20.11</v>
      </c>
      <c r="P382" s="8" t="inlineStr">
        <is>
          <t>10 jours</t>
        </is>
      </c>
      <c r="Q382" s="2" t="n">
        <v>43874</v>
      </c>
      <c r="R382" t="inlineStr">
        <is>
          <t>prix suite au passage à l'indice 06</t>
        </is>
      </c>
    </row>
    <row r="383">
      <c r="A383" s="8" t="n">
        <v>34408118</v>
      </c>
      <c r="B383" s="9">
        <f>INDEX(Tableau1[], MATCH(Tableau3[[#This Row],[REFERENCE]], Tableau1[NUMERO], 0), 2)</f>
        <v/>
      </c>
      <c r="C383" s="129">
        <f>INDEX(Tableau1[], MATCH(Tableau3[[#This Row],[REFERENCE]], Tableau1[NUMERO], 0), 3)</f>
        <v/>
      </c>
      <c r="D383" s="129">
        <f>INDEX(Tableau1[], MATCH(Tableau3[[#This Row],[REFERENCE]], Tableau1[NUMERO], 0),4)</f>
        <v/>
      </c>
      <c r="E383" s="129">
        <f>INDEX(Tableau1[], MATCH(Tableau3[[#This Row],[REFERENCE]], Tableau1[NUMERO], 0), 5)</f>
        <v/>
      </c>
      <c r="F383" s="129">
        <f>INDEX(Tableau1[], MATCH(Tableau3[[#This Row],[REFERENCE]], Tableau1[NUMERO], 0), 6)</f>
        <v/>
      </c>
      <c r="G383" s="129">
        <f>INDEX(Tableau1[], MATCH(Tableau3[[#This Row],[REFERENCE]], Tableau1[NUMERO], 0), 7)</f>
        <v/>
      </c>
      <c r="H383" t="inlineStr">
        <is>
          <t>COMATEL</t>
        </is>
      </c>
      <c r="J383" s="2" t="n"/>
      <c r="K383" s="2" t="n">
        <v>43812</v>
      </c>
      <c r="L383" s="2" t="n"/>
      <c r="N383" s="35" t="inlineStr">
        <is>
          <t>10 à 24</t>
        </is>
      </c>
      <c r="O383" s="7" t="n">
        <v>19.6</v>
      </c>
      <c r="P383" s="8" t="inlineStr">
        <is>
          <t>10 jours</t>
        </is>
      </c>
      <c r="Q383" s="2" t="n">
        <v>43874</v>
      </c>
      <c r="R383" t="inlineStr">
        <is>
          <t>prix suite au passage à l'indice 06</t>
        </is>
      </c>
    </row>
    <row r="384">
      <c r="A384" s="8" t="n">
        <v>34408118</v>
      </c>
      <c r="B384" s="9">
        <f>INDEX(Tableau1[], MATCH(Tableau3[[#This Row],[REFERENCE]], Tableau1[NUMERO], 0), 2)</f>
        <v/>
      </c>
      <c r="C384" s="129">
        <f>INDEX(Tableau1[], MATCH(Tableau3[[#This Row],[REFERENCE]], Tableau1[NUMERO], 0), 3)</f>
        <v/>
      </c>
      <c r="D384" s="129">
        <f>INDEX(Tableau1[], MATCH(Tableau3[[#This Row],[REFERENCE]], Tableau1[NUMERO], 0),4)</f>
        <v/>
      </c>
      <c r="E384" s="129">
        <f>INDEX(Tableau1[], MATCH(Tableau3[[#This Row],[REFERENCE]], Tableau1[NUMERO], 0), 5)</f>
        <v/>
      </c>
      <c r="F384" s="129">
        <f>INDEX(Tableau1[], MATCH(Tableau3[[#This Row],[REFERENCE]], Tableau1[NUMERO], 0), 6)</f>
        <v/>
      </c>
      <c r="G384" s="129">
        <f>INDEX(Tableau1[], MATCH(Tableau3[[#This Row],[REFERENCE]], Tableau1[NUMERO], 0), 7)</f>
        <v/>
      </c>
      <c r="H384" t="inlineStr">
        <is>
          <t>COMATEL</t>
        </is>
      </c>
      <c r="J384" s="2" t="n"/>
      <c r="K384" s="2" t="n">
        <v>43812</v>
      </c>
      <c r="L384" s="2" t="n"/>
      <c r="N384" s="35" t="inlineStr">
        <is>
          <t>25 à 49</t>
        </is>
      </c>
      <c r="O384" s="7" t="n">
        <v>19.1</v>
      </c>
      <c r="P384" s="8" t="inlineStr">
        <is>
          <t>10 jours</t>
        </is>
      </c>
      <c r="Q384" s="2" t="n">
        <v>43874</v>
      </c>
      <c r="R384" t="inlineStr">
        <is>
          <t>prix suite au passage à l'indice 06</t>
        </is>
      </c>
    </row>
    <row r="385">
      <c r="A385" s="8" t="n">
        <v>34408038</v>
      </c>
      <c r="B385" s="9">
        <f>INDEX(Tableau1[], MATCH(Tableau3[[#This Row],[REFERENCE]], Tableau1[NUMERO], 0), 2)</f>
        <v/>
      </c>
      <c r="C385" s="129">
        <f>INDEX(Tableau1[], MATCH(Tableau3[[#This Row],[REFERENCE]], Tableau1[NUMERO], 0), 3)</f>
        <v/>
      </c>
      <c r="D385" s="129">
        <f>INDEX(Tableau1[], MATCH(Tableau3[[#This Row],[REFERENCE]], Tableau1[NUMERO], 0),4)</f>
        <v/>
      </c>
      <c r="E385" s="129">
        <f>INDEX(Tableau1[], MATCH(Tableau3[[#This Row],[REFERENCE]], Tableau1[NUMERO], 0), 5)</f>
        <v/>
      </c>
      <c r="F385" s="129">
        <f>INDEX(Tableau1[], MATCH(Tableau3[[#This Row],[REFERENCE]], Tableau1[NUMERO], 0), 6)</f>
        <v/>
      </c>
      <c r="G385" s="129">
        <f>INDEX(Tableau1[], MATCH(Tableau3[[#This Row],[REFERENCE]], Tableau1[NUMERO], 0), 7)</f>
        <v/>
      </c>
      <c r="H385" t="inlineStr">
        <is>
          <t>lasertechnic</t>
        </is>
      </c>
      <c r="J385" s="2" t="n">
        <v>43837</v>
      </c>
      <c r="K385" s="2" t="n">
        <v>43838</v>
      </c>
      <c r="L385" s="2" t="n"/>
      <c r="N385" s="35" t="n">
        <v>1</v>
      </c>
      <c r="O385" s="7" t="n">
        <v>75</v>
      </c>
      <c r="P385" s="8" t="inlineStr">
        <is>
          <t>5 JOURS</t>
        </is>
      </c>
      <c r="Q385" s="2" t="n">
        <v>43898</v>
      </c>
    </row>
    <row r="386">
      <c r="A386" s="8" t="n">
        <v>34408124</v>
      </c>
      <c r="B386" s="9">
        <f>INDEX(Tableau1[], MATCH(Tableau3[[#This Row],[REFERENCE]], Tableau1[NUMERO], 0), 2)</f>
        <v/>
      </c>
      <c r="C386" s="129">
        <f>INDEX(Tableau1[], MATCH(Tableau3[[#This Row],[REFERENCE]], Tableau1[NUMERO], 0), 3)</f>
        <v/>
      </c>
      <c r="D386" s="129">
        <f>INDEX(Tableau1[], MATCH(Tableau3[[#This Row],[REFERENCE]], Tableau1[NUMERO], 0),4)</f>
        <v/>
      </c>
      <c r="E386" s="129">
        <f>INDEX(Tableau1[], MATCH(Tableau3[[#This Row],[REFERENCE]], Tableau1[NUMERO], 0), 5)</f>
        <v/>
      </c>
      <c r="F386" s="129">
        <f>INDEX(Tableau1[], MATCH(Tableau3[[#This Row],[REFERENCE]], Tableau1[NUMERO], 0), 6)</f>
        <v/>
      </c>
      <c r="G386" s="129">
        <f>INDEX(Tableau1[], MATCH(Tableau3[[#This Row],[REFERENCE]], Tableau1[NUMERO], 0), 7)</f>
        <v/>
      </c>
      <c r="H386" t="inlineStr">
        <is>
          <t>lasertechnic</t>
        </is>
      </c>
      <c r="J386" s="2" t="n">
        <v>43837</v>
      </c>
      <c r="K386" s="2" t="n">
        <v>43838</v>
      </c>
      <c r="L386" s="2" t="n"/>
      <c r="N386" s="35" t="n">
        <v>2</v>
      </c>
      <c r="O386" s="7" t="n">
        <v>16</v>
      </c>
      <c r="P386" s="8" t="inlineStr">
        <is>
          <t>5 JOURS</t>
        </is>
      </c>
      <c r="Q386" s="2" t="n">
        <v>43898</v>
      </c>
    </row>
    <row r="387">
      <c r="A387" s="8" t="n">
        <v>34408127</v>
      </c>
      <c r="B387" s="9">
        <f>INDEX(Tableau1[], MATCH(Tableau3[[#This Row],[REFERENCE]], Tableau1[NUMERO], 0), 2)</f>
        <v/>
      </c>
      <c r="C387" s="129">
        <f>INDEX(Tableau1[], MATCH(Tableau3[[#This Row],[REFERENCE]], Tableau1[NUMERO], 0), 3)</f>
        <v/>
      </c>
      <c r="D387" s="129">
        <f>INDEX(Tableau1[], MATCH(Tableau3[[#This Row],[REFERENCE]], Tableau1[NUMERO], 0),4)</f>
        <v/>
      </c>
      <c r="E387" s="129">
        <f>INDEX(Tableau1[], MATCH(Tableau3[[#This Row],[REFERENCE]], Tableau1[NUMERO], 0), 5)</f>
        <v/>
      </c>
      <c r="F387" s="129">
        <f>INDEX(Tableau1[], MATCH(Tableau3[[#This Row],[REFERENCE]], Tableau1[NUMERO], 0), 6)</f>
        <v/>
      </c>
      <c r="G387" s="129">
        <f>INDEX(Tableau1[], MATCH(Tableau3[[#This Row],[REFERENCE]], Tableau1[NUMERO], 0), 7)</f>
        <v/>
      </c>
      <c r="H387" t="inlineStr">
        <is>
          <t>lasertechnic</t>
        </is>
      </c>
      <c r="J387" s="2" t="n">
        <v>43837</v>
      </c>
      <c r="K387" s="2" t="n">
        <v>43838</v>
      </c>
      <c r="L387" s="2" t="n"/>
      <c r="N387" s="35" t="n">
        <v>4</v>
      </c>
      <c r="O387" s="7" t="n">
        <v>16</v>
      </c>
      <c r="P387" s="8" t="inlineStr">
        <is>
          <t>5 JOURS</t>
        </is>
      </c>
      <c r="Q387" s="2" t="n">
        <v>43898</v>
      </c>
    </row>
    <row r="388">
      <c r="A388" s="8" t="n">
        <v>34408134</v>
      </c>
      <c r="B388" s="9">
        <f>INDEX(Tableau1[], MATCH(Tableau3[[#This Row],[REFERENCE]], Tableau1[NUMERO], 0), 2)</f>
        <v/>
      </c>
      <c r="C388" s="129">
        <f>INDEX(Tableau1[], MATCH(Tableau3[[#This Row],[REFERENCE]], Tableau1[NUMERO], 0), 3)</f>
        <v/>
      </c>
      <c r="D388" s="129">
        <f>INDEX(Tableau1[], MATCH(Tableau3[[#This Row],[REFERENCE]], Tableau1[NUMERO], 0),4)</f>
        <v/>
      </c>
      <c r="E388" s="129">
        <f>INDEX(Tableau1[], MATCH(Tableau3[[#This Row],[REFERENCE]], Tableau1[NUMERO], 0), 5)</f>
        <v/>
      </c>
      <c r="F388" s="129">
        <f>INDEX(Tableau1[], MATCH(Tableau3[[#This Row],[REFERENCE]], Tableau1[NUMERO], 0), 6)</f>
        <v/>
      </c>
      <c r="G388" s="129">
        <f>INDEX(Tableau1[], MATCH(Tableau3[[#This Row],[REFERENCE]], Tableau1[NUMERO], 0), 7)</f>
        <v/>
      </c>
      <c r="H388" t="inlineStr">
        <is>
          <t>lasertechnic</t>
        </is>
      </c>
      <c r="J388" s="2" t="n">
        <v>43837</v>
      </c>
      <c r="K388" s="2" t="n">
        <v>43838</v>
      </c>
      <c r="L388" s="2" t="n"/>
      <c r="N388" s="35" t="n">
        <v>1</v>
      </c>
      <c r="O388" s="7" t="n">
        <v>60</v>
      </c>
      <c r="P388" s="8" t="inlineStr">
        <is>
          <t>5 JOURS</t>
        </is>
      </c>
      <c r="Q388" s="2" t="n">
        <v>43898</v>
      </c>
    </row>
    <row r="389">
      <c r="A389" s="8" t="n">
        <v>34408121</v>
      </c>
      <c r="B389" s="9">
        <f>INDEX(Tableau1[], MATCH(Tableau3[[#This Row],[REFERENCE]], Tableau1[NUMERO], 0), 2)</f>
        <v/>
      </c>
      <c r="C389" s="129">
        <f>INDEX(Tableau1[], MATCH(Tableau3[[#This Row],[REFERENCE]], Tableau1[NUMERO], 0), 3)</f>
        <v/>
      </c>
      <c r="D389" s="129">
        <f>INDEX(Tableau1[], MATCH(Tableau3[[#This Row],[REFERENCE]], Tableau1[NUMERO], 0),4)</f>
        <v/>
      </c>
      <c r="E389" s="129">
        <f>INDEX(Tableau1[], MATCH(Tableau3[[#This Row],[REFERENCE]], Tableau1[NUMERO], 0), 5)</f>
        <v/>
      </c>
      <c r="F389" s="129">
        <f>INDEX(Tableau1[], MATCH(Tableau3[[#This Row],[REFERENCE]], Tableau1[NUMERO], 0), 6)</f>
        <v/>
      </c>
      <c r="G389" s="129">
        <f>INDEX(Tableau1[], MATCH(Tableau3[[#This Row],[REFERENCE]], Tableau1[NUMERO], 0), 7)</f>
        <v/>
      </c>
      <c r="H389" t="inlineStr">
        <is>
          <t>trefimetaux</t>
        </is>
      </c>
      <c r="J389" s="2" t="n">
        <v>43837</v>
      </c>
      <c r="K389" s="2" t="n">
        <v>43837</v>
      </c>
      <c r="L389" s="2" t="n"/>
      <c r="N389" s="35" t="n">
        <v>2</v>
      </c>
      <c r="O389" s="7" t="n">
        <v>131.34</v>
      </c>
      <c r="P389" s="8" t="inlineStr">
        <is>
          <t>2 semaines</t>
        </is>
      </c>
      <c r="Q389" s="2" t="n">
        <v>43898</v>
      </c>
    </row>
    <row r="390">
      <c r="A390" s="8" t="n">
        <v>34408122</v>
      </c>
      <c r="B390" s="9">
        <f>INDEX(Tableau1[], MATCH(Tableau3[[#This Row],[REFERENCE]], Tableau1[NUMERO], 0), 2)</f>
        <v/>
      </c>
      <c r="C390" s="129">
        <f>INDEX(Tableau1[], MATCH(Tableau3[[#This Row],[REFERENCE]], Tableau1[NUMERO], 0), 3)</f>
        <v/>
      </c>
      <c r="D390" s="129">
        <f>INDEX(Tableau1[], MATCH(Tableau3[[#This Row],[REFERENCE]], Tableau1[NUMERO], 0),4)</f>
        <v/>
      </c>
      <c r="E390" s="129">
        <f>INDEX(Tableau1[], MATCH(Tableau3[[#This Row],[REFERENCE]], Tableau1[NUMERO], 0), 5)</f>
        <v/>
      </c>
      <c r="F390" s="129">
        <f>INDEX(Tableau1[], MATCH(Tableau3[[#This Row],[REFERENCE]], Tableau1[NUMERO], 0), 6)</f>
        <v/>
      </c>
      <c r="G390" s="129">
        <f>INDEX(Tableau1[], MATCH(Tableau3[[#This Row],[REFERENCE]], Tableau1[NUMERO], 0), 7)</f>
        <v/>
      </c>
      <c r="H390" t="inlineStr">
        <is>
          <t>trefimetaux</t>
        </is>
      </c>
      <c r="J390" s="2" t="n">
        <v>43837</v>
      </c>
      <c r="K390" s="2" t="n">
        <v>43837</v>
      </c>
      <c r="L390" s="2" t="n"/>
      <c r="N390" s="35" t="n">
        <v>2</v>
      </c>
      <c r="O390" s="7" t="n">
        <v>135.309</v>
      </c>
      <c r="P390" s="8" t="inlineStr">
        <is>
          <t>2 semaines</t>
        </is>
      </c>
      <c r="Q390" s="2" t="n">
        <v>43898</v>
      </c>
    </row>
    <row r="391">
      <c r="A391" s="8" t="n">
        <v>34408123</v>
      </c>
      <c r="B391" s="9">
        <f>INDEX(Tableau1[], MATCH(Tableau3[[#This Row],[REFERENCE]], Tableau1[NUMERO], 0), 2)</f>
        <v/>
      </c>
      <c r="C391" s="129">
        <f>INDEX(Tableau1[], MATCH(Tableau3[[#This Row],[REFERENCE]], Tableau1[NUMERO], 0), 3)</f>
        <v/>
      </c>
      <c r="D391" s="129">
        <f>INDEX(Tableau1[], MATCH(Tableau3[[#This Row],[REFERENCE]], Tableau1[NUMERO], 0),4)</f>
        <v/>
      </c>
      <c r="E391" s="129">
        <f>INDEX(Tableau1[], MATCH(Tableau3[[#This Row],[REFERENCE]], Tableau1[NUMERO], 0), 5)</f>
        <v/>
      </c>
      <c r="F391" s="129">
        <f>INDEX(Tableau1[], MATCH(Tableau3[[#This Row],[REFERENCE]], Tableau1[NUMERO], 0), 6)</f>
        <v/>
      </c>
      <c r="G391" s="129">
        <f>INDEX(Tableau1[], MATCH(Tableau3[[#This Row],[REFERENCE]], Tableau1[NUMERO], 0), 7)</f>
        <v/>
      </c>
      <c r="H391" t="inlineStr">
        <is>
          <t>trefimetaux</t>
        </is>
      </c>
      <c r="J391" s="2" t="n">
        <v>43837</v>
      </c>
      <c r="K391" s="2" t="n">
        <v>43837</v>
      </c>
      <c r="L391" s="2" t="n"/>
      <c r="N391" s="35" t="n">
        <v>2</v>
      </c>
      <c r="O391" s="7" t="n">
        <v>143.31</v>
      </c>
      <c r="P391" s="8" t="inlineStr">
        <is>
          <t>2 semaines</t>
        </is>
      </c>
      <c r="Q391" s="2" t="n">
        <v>43898</v>
      </c>
    </row>
    <row r="392">
      <c r="A392" s="8" t="n">
        <v>34408125</v>
      </c>
      <c r="B392" s="9">
        <f>INDEX(Tableau1[], MATCH(Tableau3[[#This Row],[REFERENCE]], Tableau1[NUMERO], 0), 2)</f>
        <v/>
      </c>
      <c r="C392" s="129">
        <f>INDEX(Tableau1[], MATCH(Tableau3[[#This Row],[REFERENCE]], Tableau1[NUMERO], 0), 3)</f>
        <v/>
      </c>
      <c r="D392" s="129">
        <f>INDEX(Tableau1[], MATCH(Tableau3[[#This Row],[REFERENCE]], Tableau1[NUMERO], 0),4)</f>
        <v/>
      </c>
      <c r="E392" s="129">
        <f>INDEX(Tableau1[], MATCH(Tableau3[[#This Row],[REFERENCE]], Tableau1[NUMERO], 0), 5)</f>
        <v/>
      </c>
      <c r="F392" s="129">
        <f>INDEX(Tableau1[], MATCH(Tableau3[[#This Row],[REFERENCE]], Tableau1[NUMERO], 0), 6)</f>
        <v/>
      </c>
      <c r="G392" s="129">
        <f>INDEX(Tableau1[], MATCH(Tableau3[[#This Row],[REFERENCE]], Tableau1[NUMERO], 0), 7)</f>
        <v/>
      </c>
      <c r="H392" t="inlineStr">
        <is>
          <t>trefimetaux</t>
        </is>
      </c>
      <c r="J392" s="2" t="n">
        <v>43837</v>
      </c>
      <c r="K392" s="2" t="n">
        <v>43837</v>
      </c>
      <c r="L392" s="2" t="n"/>
      <c r="N392" s="35" t="n">
        <v>2</v>
      </c>
      <c r="O392" s="7" t="n">
        <v>136.065</v>
      </c>
      <c r="P392" s="8" t="inlineStr">
        <is>
          <t>2 semaines</t>
        </is>
      </c>
      <c r="Q392" s="2" t="n">
        <v>43898</v>
      </c>
    </row>
    <row r="393">
      <c r="A393" s="8" t="n">
        <v>34408126</v>
      </c>
      <c r="B393" s="9">
        <f>INDEX(Tableau1[], MATCH(Tableau3[[#This Row],[REFERENCE]], Tableau1[NUMERO], 0), 2)</f>
        <v/>
      </c>
      <c r="C393" s="129">
        <f>INDEX(Tableau1[], MATCH(Tableau3[[#This Row],[REFERENCE]], Tableau1[NUMERO], 0), 3)</f>
        <v/>
      </c>
      <c r="D393" s="129">
        <f>INDEX(Tableau1[], MATCH(Tableau3[[#This Row],[REFERENCE]], Tableau1[NUMERO], 0),4)</f>
        <v/>
      </c>
      <c r="E393" s="129">
        <f>INDEX(Tableau1[], MATCH(Tableau3[[#This Row],[REFERENCE]], Tableau1[NUMERO], 0), 5)</f>
        <v/>
      </c>
      <c r="F393" s="129">
        <f>INDEX(Tableau1[], MATCH(Tableau3[[#This Row],[REFERENCE]], Tableau1[NUMERO], 0), 6)</f>
        <v/>
      </c>
      <c r="G393" s="129">
        <f>INDEX(Tableau1[], MATCH(Tableau3[[#This Row],[REFERENCE]], Tableau1[NUMERO], 0), 7)</f>
        <v/>
      </c>
      <c r="H393" t="inlineStr">
        <is>
          <t>trefimetaux</t>
        </is>
      </c>
      <c r="J393" s="2" t="n">
        <v>43837</v>
      </c>
      <c r="K393" s="2" t="n">
        <v>43837</v>
      </c>
      <c r="L393" s="2" t="n"/>
      <c r="N393" s="35" t="n">
        <v>1</v>
      </c>
      <c r="O393" s="7" t="n">
        <v>215.561</v>
      </c>
      <c r="P393" s="8" t="inlineStr">
        <is>
          <t>2 semaines</t>
        </is>
      </c>
      <c r="Q393" s="2" t="n">
        <v>43898</v>
      </c>
    </row>
    <row r="394">
      <c r="A394" s="8" t="n">
        <v>34408129</v>
      </c>
      <c r="B394" s="9">
        <f>INDEX(Tableau1[], MATCH(Tableau3[[#This Row],[REFERENCE]], Tableau1[NUMERO], 0), 2)</f>
        <v/>
      </c>
      <c r="C394" s="129">
        <f>INDEX(Tableau1[], MATCH(Tableau3[[#This Row],[REFERENCE]], Tableau1[NUMERO], 0), 3)</f>
        <v/>
      </c>
      <c r="D394" s="129">
        <f>INDEX(Tableau1[], MATCH(Tableau3[[#This Row],[REFERENCE]], Tableau1[NUMERO], 0),4)</f>
        <v/>
      </c>
      <c r="E394" s="129">
        <f>INDEX(Tableau1[], MATCH(Tableau3[[#This Row],[REFERENCE]], Tableau1[NUMERO], 0), 5)</f>
        <v/>
      </c>
      <c r="F394" s="129">
        <f>INDEX(Tableau1[], MATCH(Tableau3[[#This Row],[REFERENCE]], Tableau1[NUMERO], 0), 6)</f>
        <v/>
      </c>
      <c r="G394" s="129">
        <f>INDEX(Tableau1[], MATCH(Tableau3[[#This Row],[REFERENCE]], Tableau1[NUMERO], 0), 7)</f>
        <v/>
      </c>
      <c r="H394" t="inlineStr">
        <is>
          <t>trefimetaux</t>
        </is>
      </c>
      <c r="J394" s="2" t="n">
        <v>43837</v>
      </c>
      <c r="K394" s="2" t="n">
        <v>43837</v>
      </c>
      <c r="L394" s="2" t="n"/>
      <c r="N394" s="35" t="n">
        <v>1</v>
      </c>
      <c r="O394" s="7" t="n">
        <v>210.71</v>
      </c>
      <c r="P394" s="8" t="inlineStr">
        <is>
          <t>2 semaines</t>
        </is>
      </c>
      <c r="Q394" s="2" t="n">
        <v>43898</v>
      </c>
    </row>
    <row r="395">
      <c r="A395" s="8" t="n">
        <v>34408121</v>
      </c>
      <c r="B395" s="9">
        <f>INDEX(Tableau1[], MATCH(Tableau3[[#This Row],[REFERENCE]], Tableau1[NUMERO], 0), 2)</f>
        <v/>
      </c>
      <c r="C395" s="129">
        <f>INDEX(Tableau1[], MATCH(Tableau3[[#This Row],[REFERENCE]], Tableau1[NUMERO], 0), 3)</f>
        <v/>
      </c>
      <c r="D395" s="129">
        <f>INDEX(Tableau1[], MATCH(Tableau3[[#This Row],[REFERENCE]], Tableau1[NUMERO], 0),4)</f>
        <v/>
      </c>
      <c r="E395" s="129">
        <f>INDEX(Tableau1[], MATCH(Tableau3[[#This Row],[REFERENCE]], Tableau1[NUMERO], 0), 5)</f>
        <v/>
      </c>
      <c r="F395" s="129">
        <f>INDEX(Tableau1[], MATCH(Tableau3[[#This Row],[REFERENCE]], Tableau1[NUMERO], 0), 6)</f>
        <v/>
      </c>
      <c r="G395" s="129">
        <f>INDEX(Tableau1[], MATCH(Tableau3[[#This Row],[REFERENCE]], Tableau1[NUMERO], 0), 7)</f>
        <v/>
      </c>
      <c r="H395" t="inlineStr">
        <is>
          <t>thyssen</t>
        </is>
      </c>
      <c r="J395" s="2" t="n">
        <v>43837</v>
      </c>
      <c r="K395" s="2" t="n">
        <v>43837</v>
      </c>
      <c r="L395" s="2" t="n"/>
      <c r="N395" s="35" t="n">
        <v>2</v>
      </c>
      <c r="O395" s="7" t="n">
        <v>53.4</v>
      </c>
      <c r="P395" s="8" t="inlineStr">
        <is>
          <t>3 semaines</t>
        </is>
      </c>
      <c r="Q395" s="2" t="n">
        <v>43844</v>
      </c>
    </row>
    <row r="396">
      <c r="A396" s="8" t="n">
        <v>34408122</v>
      </c>
      <c r="B396" s="9">
        <f>INDEX(Tableau1[], MATCH(Tableau3[[#This Row],[REFERENCE]], Tableau1[NUMERO], 0), 2)</f>
        <v/>
      </c>
      <c r="C396" s="129">
        <f>INDEX(Tableau1[], MATCH(Tableau3[[#This Row],[REFERENCE]], Tableau1[NUMERO], 0), 3)</f>
        <v/>
      </c>
      <c r="D396" s="129">
        <f>INDEX(Tableau1[], MATCH(Tableau3[[#This Row],[REFERENCE]], Tableau1[NUMERO], 0),4)</f>
        <v/>
      </c>
      <c r="E396" s="129">
        <f>INDEX(Tableau1[], MATCH(Tableau3[[#This Row],[REFERENCE]], Tableau1[NUMERO], 0), 5)</f>
        <v/>
      </c>
      <c r="F396" s="129">
        <f>INDEX(Tableau1[], MATCH(Tableau3[[#This Row],[REFERENCE]], Tableau1[NUMERO], 0), 6)</f>
        <v/>
      </c>
      <c r="G396" s="129">
        <f>INDEX(Tableau1[], MATCH(Tableau3[[#This Row],[REFERENCE]], Tableau1[NUMERO], 0), 7)</f>
        <v/>
      </c>
      <c r="H396" t="inlineStr">
        <is>
          <t>thyssen</t>
        </is>
      </c>
      <c r="J396" s="2" t="n">
        <v>43837</v>
      </c>
      <c r="K396" s="2" t="n">
        <v>43837</v>
      </c>
      <c r="L396" s="2" t="n"/>
      <c r="N396" s="35" t="n">
        <v>2</v>
      </c>
      <c r="O396" s="7" t="n">
        <v>60</v>
      </c>
      <c r="P396" s="8" t="inlineStr">
        <is>
          <t>3 semaines</t>
        </is>
      </c>
      <c r="Q396" s="2" t="n">
        <v>43844</v>
      </c>
    </row>
    <row r="397">
      <c r="A397" s="8" t="n">
        <v>34408123</v>
      </c>
      <c r="B397" s="9">
        <f>INDEX(Tableau1[], MATCH(Tableau3[[#This Row],[REFERENCE]], Tableau1[NUMERO], 0), 2)</f>
        <v/>
      </c>
      <c r="C397" s="129">
        <f>INDEX(Tableau1[], MATCH(Tableau3[[#This Row],[REFERENCE]], Tableau1[NUMERO], 0), 3)</f>
        <v/>
      </c>
      <c r="D397" s="129">
        <f>INDEX(Tableau1[], MATCH(Tableau3[[#This Row],[REFERENCE]], Tableau1[NUMERO], 0),4)</f>
        <v/>
      </c>
      <c r="E397" s="129">
        <f>INDEX(Tableau1[], MATCH(Tableau3[[#This Row],[REFERENCE]], Tableau1[NUMERO], 0), 5)</f>
        <v/>
      </c>
      <c r="F397" s="129">
        <f>INDEX(Tableau1[], MATCH(Tableau3[[#This Row],[REFERENCE]], Tableau1[NUMERO], 0), 6)</f>
        <v/>
      </c>
      <c r="G397" s="129">
        <f>INDEX(Tableau1[], MATCH(Tableau3[[#This Row],[REFERENCE]], Tableau1[NUMERO], 0), 7)</f>
        <v/>
      </c>
      <c r="H397" t="inlineStr">
        <is>
          <t>thyssen</t>
        </is>
      </c>
      <c r="J397" s="2" t="n">
        <v>43837</v>
      </c>
      <c r="K397" s="2" t="n">
        <v>43837</v>
      </c>
      <c r="L397" s="2" t="n"/>
      <c r="N397" s="35" t="n">
        <v>2</v>
      </c>
      <c r="O397" s="7" t="n">
        <v>61.7</v>
      </c>
      <c r="P397" s="8" t="inlineStr">
        <is>
          <t>3 semaines</t>
        </is>
      </c>
      <c r="Q397" s="2" t="n">
        <v>43844</v>
      </c>
    </row>
    <row r="398">
      <c r="A398" s="8" t="n">
        <v>34408125</v>
      </c>
      <c r="B398" s="9">
        <f>INDEX(Tableau1[], MATCH(Tableau3[[#This Row],[REFERENCE]], Tableau1[NUMERO], 0), 2)</f>
        <v/>
      </c>
      <c r="C398" s="129">
        <f>INDEX(Tableau1[], MATCH(Tableau3[[#This Row],[REFERENCE]], Tableau1[NUMERO], 0), 3)</f>
        <v/>
      </c>
      <c r="D398" s="129">
        <f>INDEX(Tableau1[], MATCH(Tableau3[[#This Row],[REFERENCE]], Tableau1[NUMERO], 0),4)</f>
        <v/>
      </c>
      <c r="E398" s="129">
        <f>INDEX(Tableau1[], MATCH(Tableau3[[#This Row],[REFERENCE]], Tableau1[NUMERO], 0), 5)</f>
        <v/>
      </c>
      <c r="F398" s="129">
        <f>INDEX(Tableau1[], MATCH(Tableau3[[#This Row],[REFERENCE]], Tableau1[NUMERO], 0), 6)</f>
        <v/>
      </c>
      <c r="G398" s="129">
        <f>INDEX(Tableau1[], MATCH(Tableau3[[#This Row],[REFERENCE]], Tableau1[NUMERO], 0), 7)</f>
        <v/>
      </c>
      <c r="H398" t="inlineStr">
        <is>
          <t>thyssen</t>
        </is>
      </c>
      <c r="J398" s="2" t="n">
        <v>43837</v>
      </c>
      <c r="K398" s="2" t="n">
        <v>43837</v>
      </c>
      <c r="L398" s="2" t="n"/>
      <c r="N398" s="35" t="n">
        <v>2</v>
      </c>
      <c r="O398" s="7" t="n">
        <v>56.7</v>
      </c>
      <c r="P398" s="8" t="inlineStr">
        <is>
          <t>3 semaines</t>
        </is>
      </c>
      <c r="Q398" s="2" t="n">
        <v>43844</v>
      </c>
    </row>
    <row r="399">
      <c r="A399" s="8" t="n">
        <v>34408126</v>
      </c>
      <c r="B399" s="9">
        <f>INDEX(Tableau1[], MATCH(Tableau3[[#This Row],[REFERENCE]], Tableau1[NUMERO], 0), 2)</f>
        <v/>
      </c>
      <c r="C399" s="129">
        <f>INDEX(Tableau1[], MATCH(Tableau3[[#This Row],[REFERENCE]], Tableau1[NUMERO], 0), 3)</f>
        <v/>
      </c>
      <c r="D399" s="129">
        <f>INDEX(Tableau1[], MATCH(Tableau3[[#This Row],[REFERENCE]], Tableau1[NUMERO], 0),4)</f>
        <v/>
      </c>
      <c r="E399" s="129">
        <f>INDEX(Tableau1[], MATCH(Tableau3[[#This Row],[REFERENCE]], Tableau1[NUMERO], 0), 5)</f>
        <v/>
      </c>
      <c r="F399" s="129">
        <f>INDEX(Tableau1[], MATCH(Tableau3[[#This Row],[REFERENCE]], Tableau1[NUMERO], 0), 6)</f>
        <v/>
      </c>
      <c r="G399" s="129">
        <f>INDEX(Tableau1[], MATCH(Tableau3[[#This Row],[REFERENCE]], Tableau1[NUMERO], 0), 7)</f>
        <v/>
      </c>
      <c r="H399" t="inlineStr">
        <is>
          <t>thyssen</t>
        </is>
      </c>
      <c r="J399" s="2" t="n">
        <v>43837</v>
      </c>
      <c r="K399" s="2" t="n">
        <v>43837</v>
      </c>
      <c r="L399" s="2" t="n"/>
      <c r="N399" s="35" t="n">
        <v>1</v>
      </c>
      <c r="O399" s="7" t="n">
        <v>41.7</v>
      </c>
      <c r="P399" s="8" t="inlineStr">
        <is>
          <t>3 semaines</t>
        </is>
      </c>
      <c r="Q399" s="2" t="n">
        <v>43844</v>
      </c>
    </row>
    <row r="400">
      <c r="A400" s="8" t="n">
        <v>34408129</v>
      </c>
      <c r="B400" s="9">
        <f>INDEX(Tableau1[], MATCH(Tableau3[[#This Row],[REFERENCE]], Tableau1[NUMERO], 0), 2)</f>
        <v/>
      </c>
      <c r="C400" s="129">
        <f>INDEX(Tableau1[], MATCH(Tableau3[[#This Row],[REFERENCE]], Tableau1[NUMERO], 0), 3)</f>
        <v/>
      </c>
      <c r="D400" s="129">
        <f>INDEX(Tableau1[], MATCH(Tableau3[[#This Row],[REFERENCE]], Tableau1[NUMERO], 0),4)</f>
        <v/>
      </c>
      <c r="E400" s="129">
        <f>INDEX(Tableau1[], MATCH(Tableau3[[#This Row],[REFERENCE]], Tableau1[NUMERO], 0), 5)</f>
        <v/>
      </c>
      <c r="F400" s="129">
        <f>INDEX(Tableau1[], MATCH(Tableau3[[#This Row],[REFERENCE]], Tableau1[NUMERO], 0), 6)</f>
        <v/>
      </c>
      <c r="G400" s="129">
        <f>INDEX(Tableau1[], MATCH(Tableau3[[#This Row],[REFERENCE]], Tableau1[NUMERO], 0), 7)</f>
        <v/>
      </c>
      <c r="H400" t="inlineStr">
        <is>
          <t>thyssen</t>
        </is>
      </c>
      <c r="J400" s="2" t="n">
        <v>43837</v>
      </c>
      <c r="K400" s="2" t="n">
        <v>43837</v>
      </c>
      <c r="L400" s="2" t="n"/>
      <c r="N400" s="35" t="n">
        <v>1</v>
      </c>
      <c r="O400" s="7" t="n">
        <v>37.5</v>
      </c>
      <c r="P400" s="8" t="inlineStr">
        <is>
          <t>3 semaines</t>
        </is>
      </c>
      <c r="Q400" s="2" t="n">
        <v>43844</v>
      </c>
    </row>
    <row r="401">
      <c r="A401" s="8" t="n">
        <v>34408141</v>
      </c>
      <c r="B401" s="9">
        <f>INDEX(Tableau1[], MATCH(Tableau3[[#This Row],[REFERENCE]], Tableau1[NUMERO], 0), 2)</f>
        <v/>
      </c>
      <c r="C401" s="129">
        <f>INDEX(Tableau1[], MATCH(Tableau3[[#This Row],[REFERENCE]], Tableau1[NUMERO], 0), 3)</f>
        <v/>
      </c>
      <c r="D401" s="129">
        <f>INDEX(Tableau1[], MATCH(Tableau3[[#This Row],[REFERENCE]], Tableau1[NUMERO], 0),4)</f>
        <v/>
      </c>
      <c r="E401" s="129">
        <f>INDEX(Tableau1[], MATCH(Tableau3[[#This Row],[REFERENCE]], Tableau1[NUMERO], 0), 5)</f>
        <v/>
      </c>
      <c r="F401" s="129">
        <f>INDEX(Tableau1[], MATCH(Tableau3[[#This Row],[REFERENCE]], Tableau1[NUMERO], 0), 6)</f>
        <v/>
      </c>
      <c r="G401" s="129">
        <f>INDEX(Tableau1[], MATCH(Tableau3[[#This Row],[REFERENCE]], Tableau1[NUMERO], 0), 7)</f>
        <v/>
      </c>
      <c r="H401" t="inlineStr">
        <is>
          <t>COMATEL</t>
        </is>
      </c>
      <c r="J401" s="2" t="n">
        <v>43838</v>
      </c>
      <c r="K401" s="2" t="n">
        <v>43851</v>
      </c>
      <c r="L401" s="2" t="n"/>
      <c r="N401" s="35" t="n">
        <v>64</v>
      </c>
      <c r="O401" s="7" t="n">
        <v>49.11</v>
      </c>
      <c r="P401" s="8" t="inlineStr">
        <is>
          <t>70 jours</t>
        </is>
      </c>
      <c r="Q401" s="2" t="n">
        <v>43942</v>
      </c>
      <c r="R401" t="inlineStr">
        <is>
          <t>relancé par angélique le 14/01/2020</t>
        </is>
      </c>
    </row>
    <row r="402">
      <c r="A402" s="8" t="n">
        <v>34408141</v>
      </c>
      <c r="B402" s="9">
        <f>INDEX(Tableau1[], MATCH(Tableau3[[#This Row],[REFERENCE]], Tableau1[NUMERO], 0), 2)</f>
        <v/>
      </c>
      <c r="C402" s="129">
        <f>INDEX(Tableau1[], MATCH(Tableau3[[#This Row],[REFERENCE]], Tableau1[NUMERO], 0), 3)</f>
        <v/>
      </c>
      <c r="D402" s="129">
        <f>INDEX(Tableau1[], MATCH(Tableau3[[#This Row],[REFERENCE]], Tableau1[NUMERO], 0),4)</f>
        <v/>
      </c>
      <c r="E402" s="129">
        <f>INDEX(Tableau1[], MATCH(Tableau3[[#This Row],[REFERENCE]], Tableau1[NUMERO], 0), 5)</f>
        <v/>
      </c>
      <c r="F402" s="129">
        <f>INDEX(Tableau1[], MATCH(Tableau3[[#This Row],[REFERENCE]], Tableau1[NUMERO], 0), 6)</f>
        <v/>
      </c>
      <c r="G402" s="129">
        <f>INDEX(Tableau1[], MATCH(Tableau3[[#This Row],[REFERENCE]], Tableau1[NUMERO], 0), 7)</f>
        <v/>
      </c>
      <c r="H402" t="inlineStr">
        <is>
          <t>les 3 V</t>
        </is>
      </c>
      <c r="J402" s="2" t="n">
        <v>43840</v>
      </c>
      <c r="K402" s="2" t="n"/>
      <c r="L402" s="11" t="inlineStr">
        <is>
          <t>ANGELIQUE</t>
        </is>
      </c>
      <c r="P402" s="8" t="n"/>
      <c r="Q402" s="2" t="n"/>
    </row>
    <row r="403">
      <c r="A403" s="8" t="n">
        <v>34408141</v>
      </c>
      <c r="B403" s="9">
        <f>INDEX(Tableau1[], MATCH(Tableau3[[#This Row],[REFERENCE]], Tableau1[NUMERO], 0), 2)</f>
        <v/>
      </c>
      <c r="C403" s="129">
        <f>INDEX(Tableau1[], MATCH(Tableau3[[#This Row],[REFERENCE]], Tableau1[NUMERO], 0), 3)</f>
        <v/>
      </c>
      <c r="D403" s="129">
        <f>INDEX(Tableau1[], MATCH(Tableau3[[#This Row],[REFERENCE]], Tableau1[NUMERO], 0),4)</f>
        <v/>
      </c>
      <c r="E403" s="129">
        <f>INDEX(Tableau1[], MATCH(Tableau3[[#This Row],[REFERENCE]], Tableau1[NUMERO], 0), 5)</f>
        <v/>
      </c>
      <c r="F403" s="129">
        <f>INDEX(Tableau1[], MATCH(Tableau3[[#This Row],[REFERENCE]], Tableau1[NUMERO], 0), 6)</f>
        <v/>
      </c>
      <c r="G403" s="129">
        <f>INDEX(Tableau1[], MATCH(Tableau3[[#This Row],[REFERENCE]], Tableau1[NUMERO], 0), 7)</f>
        <v/>
      </c>
      <c r="H403" t="inlineStr">
        <is>
          <t>OTN</t>
        </is>
      </c>
      <c r="J403" s="2" t="n">
        <v>43840</v>
      </c>
      <c r="K403" s="2" t="n"/>
      <c r="L403" s="11" t="inlineStr">
        <is>
          <t>ANGELIQUE</t>
        </is>
      </c>
      <c r="P403" s="8" t="n"/>
      <c r="Q403" s="2" t="n"/>
    </row>
    <row r="404">
      <c r="A404" s="13" t="n">
        <v>34408137</v>
      </c>
      <c r="B404" s="9">
        <f>INDEX(Tableau1[], MATCH(Tableau3[[#This Row],[REFERENCE]], Tableau1[NUMERO], 0), 2)</f>
        <v/>
      </c>
      <c r="C404" s="129">
        <f>INDEX(Tableau1[], MATCH(Tableau3[[#This Row],[REFERENCE]], Tableau1[NUMERO], 0), 3)</f>
        <v/>
      </c>
      <c r="D404" s="129">
        <f>INDEX(Tableau1[], MATCH(Tableau3[[#This Row],[REFERENCE]], Tableau1[NUMERO], 0),4)</f>
        <v/>
      </c>
      <c r="E404" s="129">
        <f>INDEX(Tableau1[], MATCH(Tableau3[[#This Row],[REFERENCE]], Tableau1[NUMERO], 0), 5)</f>
        <v/>
      </c>
      <c r="F404" s="129">
        <f>INDEX(Tableau1[], MATCH(Tableau3[[#This Row],[REFERENCE]], Tableau1[NUMERO], 0), 6)</f>
        <v/>
      </c>
      <c r="G404" s="129">
        <f>INDEX(Tableau1[], MATCH(Tableau3[[#This Row],[REFERENCE]], Tableau1[NUMERO], 0), 7)</f>
        <v/>
      </c>
      <c r="H404" t="inlineStr">
        <is>
          <t>lasertechnic</t>
        </is>
      </c>
      <c r="J404" s="2" t="n">
        <v>43840</v>
      </c>
      <c r="K404" s="2" t="n">
        <v>43843</v>
      </c>
      <c r="L404" s="2" t="n"/>
      <c r="N404" s="35" t="n">
        <v>2</v>
      </c>
      <c r="O404" s="7" t="n">
        <v>74</v>
      </c>
      <c r="P404" s="8" t="inlineStr">
        <is>
          <t>5 JOURS</t>
        </is>
      </c>
      <c r="Q404" s="2" t="n">
        <v>43934</v>
      </c>
    </row>
    <row r="405">
      <c r="A405" s="13" t="n">
        <v>34408138</v>
      </c>
      <c r="B405" s="9">
        <f>INDEX(Tableau1[], MATCH(Tableau3[[#This Row],[REFERENCE]], Tableau1[NUMERO], 0), 2)</f>
        <v/>
      </c>
      <c r="C405" s="129">
        <f>INDEX(Tableau1[], MATCH(Tableau3[[#This Row],[REFERENCE]], Tableau1[NUMERO], 0), 3)</f>
        <v/>
      </c>
      <c r="D405" s="129">
        <f>INDEX(Tableau1[], MATCH(Tableau3[[#This Row],[REFERENCE]], Tableau1[NUMERO], 0),4)</f>
        <v/>
      </c>
      <c r="E405" s="129">
        <f>INDEX(Tableau1[], MATCH(Tableau3[[#This Row],[REFERENCE]], Tableau1[NUMERO], 0), 5)</f>
        <v/>
      </c>
      <c r="F405" s="129">
        <f>INDEX(Tableau1[], MATCH(Tableau3[[#This Row],[REFERENCE]], Tableau1[NUMERO], 0), 6)</f>
        <v/>
      </c>
      <c r="G405" s="129">
        <f>INDEX(Tableau1[], MATCH(Tableau3[[#This Row],[REFERENCE]], Tableau1[NUMERO], 0), 7)</f>
        <v/>
      </c>
      <c r="H405" t="inlineStr">
        <is>
          <t>lasertechnic</t>
        </is>
      </c>
      <c r="J405" s="2" t="n">
        <v>43840</v>
      </c>
      <c r="K405" s="2" t="n">
        <v>43843</v>
      </c>
      <c r="L405" s="2" t="n"/>
      <c r="N405" s="35" t="n">
        <v>2</v>
      </c>
      <c r="O405" s="7" t="n">
        <v>45</v>
      </c>
      <c r="P405" s="8" t="inlineStr">
        <is>
          <t>5 JOURS</t>
        </is>
      </c>
      <c r="Q405" s="2" t="n">
        <v>43934</v>
      </c>
    </row>
    <row r="406">
      <c r="A406" s="13" t="n">
        <v>34408139</v>
      </c>
      <c r="B406" s="9">
        <f>INDEX(Tableau1[], MATCH(Tableau3[[#This Row],[REFERENCE]], Tableau1[NUMERO], 0), 2)</f>
        <v/>
      </c>
      <c r="C406" s="129">
        <f>INDEX(Tableau1[], MATCH(Tableau3[[#This Row],[REFERENCE]], Tableau1[NUMERO], 0), 3)</f>
        <v/>
      </c>
      <c r="D406" s="129">
        <f>INDEX(Tableau1[], MATCH(Tableau3[[#This Row],[REFERENCE]], Tableau1[NUMERO], 0),4)</f>
        <v/>
      </c>
      <c r="E406" s="129">
        <f>INDEX(Tableau1[], MATCH(Tableau3[[#This Row],[REFERENCE]], Tableau1[NUMERO], 0), 5)</f>
        <v/>
      </c>
      <c r="F406" s="129">
        <f>INDEX(Tableau1[], MATCH(Tableau3[[#This Row],[REFERENCE]], Tableau1[NUMERO], 0), 6)</f>
        <v/>
      </c>
      <c r="G406" s="129">
        <f>INDEX(Tableau1[], MATCH(Tableau3[[#This Row],[REFERENCE]], Tableau1[NUMERO], 0), 7)</f>
        <v/>
      </c>
      <c r="H406" t="inlineStr">
        <is>
          <t>lasertechnic</t>
        </is>
      </c>
      <c r="J406" s="2" t="n">
        <v>43840</v>
      </c>
      <c r="K406" s="2" t="n">
        <v>43843</v>
      </c>
      <c r="L406" s="2" t="n"/>
      <c r="N406" s="35" t="n">
        <v>1</v>
      </c>
      <c r="O406" s="7" t="n">
        <v>22</v>
      </c>
      <c r="P406" s="8" t="inlineStr">
        <is>
          <t>5 JOURS</t>
        </is>
      </c>
      <c r="Q406" s="2" t="n">
        <v>43934</v>
      </c>
    </row>
    <row r="407">
      <c r="A407" s="13" t="n">
        <v>34408140</v>
      </c>
      <c r="B407" s="9">
        <f>INDEX(Tableau1[], MATCH(Tableau3[[#This Row],[REFERENCE]], Tableau1[NUMERO], 0), 2)</f>
        <v/>
      </c>
      <c r="C407" s="129">
        <f>INDEX(Tableau1[], MATCH(Tableau3[[#This Row],[REFERENCE]], Tableau1[NUMERO], 0), 3)</f>
        <v/>
      </c>
      <c r="D407" s="129">
        <f>INDEX(Tableau1[], MATCH(Tableau3[[#This Row],[REFERENCE]], Tableau1[NUMERO], 0),4)</f>
        <v/>
      </c>
      <c r="E407" s="129">
        <f>INDEX(Tableau1[], MATCH(Tableau3[[#This Row],[REFERENCE]], Tableau1[NUMERO], 0), 5)</f>
        <v/>
      </c>
      <c r="F407" s="129">
        <f>INDEX(Tableau1[], MATCH(Tableau3[[#This Row],[REFERENCE]], Tableau1[NUMERO], 0), 6)</f>
        <v/>
      </c>
      <c r="G407" s="129">
        <f>INDEX(Tableau1[], MATCH(Tableau3[[#This Row],[REFERENCE]], Tableau1[NUMERO], 0), 7)</f>
        <v/>
      </c>
      <c r="H407" t="inlineStr">
        <is>
          <t>lasertechnic</t>
        </is>
      </c>
      <c r="J407" s="2" t="n">
        <v>43840</v>
      </c>
      <c r="K407" s="2" t="n">
        <v>43843</v>
      </c>
      <c r="L407" s="2" t="n"/>
      <c r="N407" s="35" t="n">
        <v>2</v>
      </c>
      <c r="O407" s="7" t="n">
        <v>55</v>
      </c>
      <c r="P407" s="8" t="inlineStr">
        <is>
          <t>5 JOURS</t>
        </is>
      </c>
      <c r="Q407" s="2" t="n">
        <v>43934</v>
      </c>
    </row>
    <row r="408">
      <c r="A408" s="13" t="n">
        <v>34408142</v>
      </c>
      <c r="B408" s="9">
        <f>INDEX(Tableau1[], MATCH(Tableau3[[#This Row],[REFERENCE]], Tableau1[NUMERO], 0), 2)</f>
        <v/>
      </c>
      <c r="C408" s="129">
        <f>INDEX(Tableau1[], MATCH(Tableau3[[#This Row],[REFERENCE]], Tableau1[NUMERO], 0), 3)</f>
        <v/>
      </c>
      <c r="D408" s="129">
        <f>INDEX(Tableau1[], MATCH(Tableau3[[#This Row],[REFERENCE]], Tableau1[NUMERO], 0),4)</f>
        <v/>
      </c>
      <c r="E408" s="129">
        <f>INDEX(Tableau1[], MATCH(Tableau3[[#This Row],[REFERENCE]], Tableau1[NUMERO], 0), 5)</f>
        <v/>
      </c>
      <c r="F408" s="129">
        <f>INDEX(Tableau1[], MATCH(Tableau3[[#This Row],[REFERENCE]], Tableau1[NUMERO], 0), 6)</f>
        <v/>
      </c>
      <c r="G408" s="129">
        <f>INDEX(Tableau1[], MATCH(Tableau3[[#This Row],[REFERENCE]], Tableau1[NUMERO], 0), 7)</f>
        <v/>
      </c>
      <c r="H408" t="inlineStr">
        <is>
          <t>lasertechnic</t>
        </is>
      </c>
      <c r="J408" s="2" t="n">
        <v>43840</v>
      </c>
      <c r="K408" s="2" t="n">
        <v>43843</v>
      </c>
      <c r="L408" s="2" t="n"/>
      <c r="N408" s="35" t="n">
        <v>1</v>
      </c>
      <c r="O408" s="7" t="n">
        <v>55</v>
      </c>
      <c r="P408" s="8" t="inlineStr">
        <is>
          <t>5 JOURS</t>
        </is>
      </c>
      <c r="Q408" s="2" t="n">
        <v>43934</v>
      </c>
    </row>
    <row r="409">
      <c r="A409" s="13" t="n">
        <v>34408143</v>
      </c>
      <c r="B409" s="9">
        <f>INDEX(Tableau1[], MATCH(Tableau3[[#This Row],[REFERENCE]], Tableau1[NUMERO], 0), 2)</f>
        <v/>
      </c>
      <c r="C409" s="129">
        <f>INDEX(Tableau1[], MATCH(Tableau3[[#This Row],[REFERENCE]], Tableau1[NUMERO], 0), 3)</f>
        <v/>
      </c>
      <c r="D409" s="129">
        <f>INDEX(Tableau1[], MATCH(Tableau3[[#This Row],[REFERENCE]], Tableau1[NUMERO], 0),4)</f>
        <v/>
      </c>
      <c r="E409" s="129">
        <f>INDEX(Tableau1[], MATCH(Tableau3[[#This Row],[REFERENCE]], Tableau1[NUMERO], 0), 5)</f>
        <v/>
      </c>
      <c r="F409" s="129">
        <f>INDEX(Tableau1[], MATCH(Tableau3[[#This Row],[REFERENCE]], Tableau1[NUMERO], 0), 6)</f>
        <v/>
      </c>
      <c r="G409" s="129">
        <f>INDEX(Tableau1[], MATCH(Tableau3[[#This Row],[REFERENCE]], Tableau1[NUMERO], 0), 7)</f>
        <v/>
      </c>
      <c r="H409" t="inlineStr">
        <is>
          <t>lasertechnic</t>
        </is>
      </c>
      <c r="J409" s="2" t="n">
        <v>43840</v>
      </c>
      <c r="K409" s="2" t="n">
        <v>43843</v>
      </c>
      <c r="L409" s="2" t="n"/>
      <c r="N409" s="35" t="n">
        <v>1</v>
      </c>
      <c r="O409" s="7" t="n">
        <v>15</v>
      </c>
      <c r="P409" s="8" t="inlineStr">
        <is>
          <t>5 JOURS</t>
        </is>
      </c>
      <c r="Q409" s="2" t="n">
        <v>43934</v>
      </c>
    </row>
    <row r="410">
      <c r="A410" s="13" t="n">
        <v>34408144</v>
      </c>
      <c r="B410" s="9">
        <f>INDEX(Tableau1[], MATCH(Tableau3[[#This Row],[REFERENCE]], Tableau1[NUMERO], 0), 2)</f>
        <v/>
      </c>
      <c r="C410" s="129">
        <f>INDEX(Tableau1[], MATCH(Tableau3[[#This Row],[REFERENCE]], Tableau1[NUMERO], 0), 3)</f>
        <v/>
      </c>
      <c r="D410" s="129">
        <f>INDEX(Tableau1[], MATCH(Tableau3[[#This Row],[REFERENCE]], Tableau1[NUMERO], 0),4)</f>
        <v/>
      </c>
      <c r="E410" s="129">
        <f>INDEX(Tableau1[], MATCH(Tableau3[[#This Row],[REFERENCE]], Tableau1[NUMERO], 0), 5)</f>
        <v/>
      </c>
      <c r="F410" s="129">
        <f>INDEX(Tableau1[], MATCH(Tableau3[[#This Row],[REFERENCE]], Tableau1[NUMERO], 0), 6)</f>
        <v/>
      </c>
      <c r="G410" s="129">
        <f>INDEX(Tableau1[], MATCH(Tableau3[[#This Row],[REFERENCE]], Tableau1[NUMERO], 0), 7)</f>
        <v/>
      </c>
      <c r="H410" t="inlineStr">
        <is>
          <t>lasertechnic</t>
        </is>
      </c>
      <c r="J410" s="2" t="n">
        <v>43840</v>
      </c>
      <c r="K410" s="2" t="n">
        <v>43843</v>
      </c>
      <c r="L410" s="2" t="n"/>
      <c r="N410" s="35" t="n">
        <v>1</v>
      </c>
      <c r="O410" s="7" t="n">
        <v>65</v>
      </c>
      <c r="P410" s="8" t="inlineStr">
        <is>
          <t>5 JOURS</t>
        </is>
      </c>
      <c r="Q410" s="2" t="n">
        <v>43934</v>
      </c>
    </row>
    <row r="411">
      <c r="A411" s="13" t="n">
        <v>34408145</v>
      </c>
      <c r="B411" s="9">
        <f>INDEX(Tableau1[], MATCH(Tableau3[[#This Row],[REFERENCE]], Tableau1[NUMERO], 0), 2)</f>
        <v/>
      </c>
      <c r="C411" s="129">
        <f>INDEX(Tableau1[], MATCH(Tableau3[[#This Row],[REFERENCE]], Tableau1[NUMERO], 0), 3)</f>
        <v/>
      </c>
      <c r="D411" s="129">
        <f>INDEX(Tableau1[], MATCH(Tableau3[[#This Row],[REFERENCE]], Tableau1[NUMERO], 0),4)</f>
        <v/>
      </c>
      <c r="E411" s="129">
        <f>INDEX(Tableau1[], MATCH(Tableau3[[#This Row],[REFERENCE]], Tableau1[NUMERO], 0), 5)</f>
        <v/>
      </c>
      <c r="F411" s="129">
        <f>INDEX(Tableau1[], MATCH(Tableau3[[#This Row],[REFERENCE]], Tableau1[NUMERO], 0), 6)</f>
        <v/>
      </c>
      <c r="G411" s="129">
        <f>INDEX(Tableau1[], MATCH(Tableau3[[#This Row],[REFERENCE]], Tableau1[NUMERO], 0), 7)</f>
        <v/>
      </c>
      <c r="H411" t="inlineStr">
        <is>
          <t>lasertechnic</t>
        </is>
      </c>
      <c r="J411" s="2" t="n">
        <v>43840</v>
      </c>
      <c r="K411" s="2" t="n">
        <v>43843</v>
      </c>
      <c r="L411" s="2" t="n"/>
      <c r="N411" s="35" t="n">
        <v>1</v>
      </c>
      <c r="O411" s="7" t="n">
        <v>18</v>
      </c>
      <c r="P411" s="8" t="inlineStr">
        <is>
          <t>5 JOURS</t>
        </is>
      </c>
      <c r="Q411" s="2" t="n">
        <v>43934</v>
      </c>
    </row>
    <row r="412">
      <c r="A412" s="13" t="n">
        <v>34408038</v>
      </c>
      <c r="B412" s="9">
        <f>INDEX(Tableau1[], MATCH(Tableau3[[#This Row],[REFERENCE]], Tableau1[NUMERO], 0), 2)</f>
        <v/>
      </c>
      <c r="C412" s="129">
        <f>INDEX(Tableau1[], MATCH(Tableau3[[#This Row],[REFERENCE]], Tableau1[NUMERO], 0), 3)</f>
        <v/>
      </c>
      <c r="D412" s="129">
        <f>INDEX(Tableau1[], MATCH(Tableau3[[#This Row],[REFERENCE]], Tableau1[NUMERO], 0),4)</f>
        <v/>
      </c>
      <c r="E412" s="129">
        <f>INDEX(Tableau1[], MATCH(Tableau3[[#This Row],[REFERENCE]], Tableau1[NUMERO], 0), 5)</f>
        <v/>
      </c>
      <c r="F412" s="129">
        <f>INDEX(Tableau1[], MATCH(Tableau3[[#This Row],[REFERENCE]], Tableau1[NUMERO], 0), 6)</f>
        <v/>
      </c>
      <c r="G412" s="129">
        <f>INDEX(Tableau1[], MATCH(Tableau3[[#This Row],[REFERENCE]], Tableau1[NUMERO], 0), 7)</f>
        <v/>
      </c>
      <c r="H412" t="inlineStr">
        <is>
          <t>Romaire</t>
        </is>
      </c>
      <c r="J412" s="2" t="n">
        <v>43840</v>
      </c>
      <c r="K412" s="2" t="n"/>
      <c r="L412" s="11" t="inlineStr">
        <is>
          <t>ANGELIQUE</t>
        </is>
      </c>
      <c r="P412" s="8" t="n"/>
      <c r="Q412" s="2" t="n"/>
    </row>
    <row r="413">
      <c r="A413" s="13" t="n">
        <v>34408124</v>
      </c>
      <c r="B413" s="9">
        <f>INDEX(Tableau1[], MATCH(Tableau3[[#This Row],[REFERENCE]], Tableau1[NUMERO], 0), 2)</f>
        <v/>
      </c>
      <c r="C413" s="129">
        <f>INDEX(Tableau1[], MATCH(Tableau3[[#This Row],[REFERENCE]], Tableau1[NUMERO], 0), 3)</f>
        <v/>
      </c>
      <c r="D413" s="129">
        <f>INDEX(Tableau1[], MATCH(Tableau3[[#This Row],[REFERENCE]], Tableau1[NUMERO], 0),4)</f>
        <v/>
      </c>
      <c r="E413" s="129">
        <f>INDEX(Tableau1[], MATCH(Tableau3[[#This Row],[REFERENCE]], Tableau1[NUMERO], 0), 5)</f>
        <v/>
      </c>
      <c r="F413" s="129">
        <f>INDEX(Tableau1[], MATCH(Tableau3[[#This Row],[REFERENCE]], Tableau1[NUMERO], 0), 6)</f>
        <v/>
      </c>
      <c r="G413" s="129">
        <f>INDEX(Tableau1[], MATCH(Tableau3[[#This Row],[REFERENCE]], Tableau1[NUMERO], 0), 7)</f>
        <v/>
      </c>
      <c r="H413" t="inlineStr">
        <is>
          <t>Romaire</t>
        </is>
      </c>
      <c r="J413" s="2" t="n">
        <v>43840</v>
      </c>
      <c r="K413" s="2" t="n"/>
      <c r="L413" s="11" t="inlineStr">
        <is>
          <t>ANGELIQUE</t>
        </is>
      </c>
      <c r="P413" s="8" t="n"/>
      <c r="Q413" s="2" t="n"/>
    </row>
    <row r="414">
      <c r="A414" s="13" t="n">
        <v>34408127</v>
      </c>
      <c r="B414" s="9">
        <f>INDEX(Tableau1[], MATCH(Tableau3[[#This Row],[REFERENCE]], Tableau1[NUMERO], 0), 2)</f>
        <v/>
      </c>
      <c r="C414" s="129">
        <f>INDEX(Tableau1[], MATCH(Tableau3[[#This Row],[REFERENCE]], Tableau1[NUMERO], 0), 3)</f>
        <v/>
      </c>
      <c r="D414" s="129">
        <f>INDEX(Tableau1[], MATCH(Tableau3[[#This Row],[REFERENCE]], Tableau1[NUMERO], 0),4)</f>
        <v/>
      </c>
      <c r="E414" s="129">
        <f>INDEX(Tableau1[], MATCH(Tableau3[[#This Row],[REFERENCE]], Tableau1[NUMERO], 0), 5)</f>
        <v/>
      </c>
      <c r="F414" s="129">
        <f>INDEX(Tableau1[], MATCH(Tableau3[[#This Row],[REFERENCE]], Tableau1[NUMERO], 0), 6)</f>
        <v/>
      </c>
      <c r="G414" s="129">
        <f>INDEX(Tableau1[], MATCH(Tableau3[[#This Row],[REFERENCE]], Tableau1[NUMERO], 0), 7)</f>
        <v/>
      </c>
      <c r="H414" t="inlineStr">
        <is>
          <t>Romaire</t>
        </is>
      </c>
      <c r="J414" s="2" t="n">
        <v>43840</v>
      </c>
      <c r="K414" s="2" t="n"/>
      <c r="L414" s="11" t="inlineStr">
        <is>
          <t>ANGELIQUE</t>
        </is>
      </c>
      <c r="P414" s="8" t="n"/>
      <c r="Q414" s="2" t="n"/>
    </row>
    <row r="415">
      <c r="A415" s="13" t="n">
        <v>34408134</v>
      </c>
      <c r="B415" s="9">
        <f>INDEX(Tableau1[], MATCH(Tableau3[[#This Row],[REFERENCE]], Tableau1[NUMERO], 0), 2)</f>
        <v/>
      </c>
      <c r="C415" s="129">
        <f>INDEX(Tableau1[], MATCH(Tableau3[[#This Row],[REFERENCE]], Tableau1[NUMERO], 0), 3)</f>
        <v/>
      </c>
      <c r="D415" s="129">
        <f>INDEX(Tableau1[], MATCH(Tableau3[[#This Row],[REFERENCE]], Tableau1[NUMERO], 0),4)</f>
        <v/>
      </c>
      <c r="E415" s="129">
        <f>INDEX(Tableau1[], MATCH(Tableau3[[#This Row],[REFERENCE]], Tableau1[NUMERO], 0), 5)</f>
        <v/>
      </c>
      <c r="F415" s="129">
        <f>INDEX(Tableau1[], MATCH(Tableau3[[#This Row],[REFERENCE]], Tableau1[NUMERO], 0), 6)</f>
        <v/>
      </c>
      <c r="G415" s="129">
        <f>INDEX(Tableau1[], MATCH(Tableau3[[#This Row],[REFERENCE]], Tableau1[NUMERO], 0), 7)</f>
        <v/>
      </c>
      <c r="H415" t="inlineStr">
        <is>
          <t>Romaire</t>
        </is>
      </c>
      <c r="J415" s="2" t="n">
        <v>43840</v>
      </c>
      <c r="K415" s="2" t="n"/>
      <c r="L415" s="11" t="inlineStr">
        <is>
          <t>ANGELIQUE</t>
        </is>
      </c>
      <c r="P415" s="8" t="n"/>
      <c r="Q415" s="2" t="n"/>
    </row>
    <row r="416">
      <c r="A416" s="13" t="n">
        <v>34408038</v>
      </c>
      <c r="B416" s="9">
        <f>INDEX(Tableau1[], MATCH(Tableau3[[#This Row],[REFERENCE]], Tableau1[NUMERO], 0), 2)</f>
        <v/>
      </c>
      <c r="C416" s="129">
        <f>INDEX(Tableau1[], MATCH(Tableau3[[#This Row],[REFERENCE]], Tableau1[NUMERO], 0), 3)</f>
        <v/>
      </c>
      <c r="D416" s="129">
        <f>INDEX(Tableau1[], MATCH(Tableau3[[#This Row],[REFERENCE]], Tableau1[NUMERO], 0),4)</f>
        <v/>
      </c>
      <c r="E416" s="129">
        <f>INDEX(Tableau1[], MATCH(Tableau3[[#This Row],[REFERENCE]], Tableau1[NUMERO], 0), 5)</f>
        <v/>
      </c>
      <c r="F416" s="129">
        <f>INDEX(Tableau1[], MATCH(Tableau3[[#This Row],[REFERENCE]], Tableau1[NUMERO], 0), 6)</f>
        <v/>
      </c>
      <c r="G416" s="129">
        <f>INDEX(Tableau1[], MATCH(Tableau3[[#This Row],[REFERENCE]], Tableau1[NUMERO], 0), 7)</f>
        <v/>
      </c>
      <c r="H416" t="inlineStr">
        <is>
          <t>Extratole</t>
        </is>
      </c>
      <c r="J416" s="2" t="n">
        <v>43840</v>
      </c>
      <c r="K416" s="2" t="n"/>
      <c r="L416" s="11" t="inlineStr">
        <is>
          <t>ANGELIQUE</t>
        </is>
      </c>
      <c r="P416" s="8" t="n"/>
      <c r="Q416" s="2" t="n"/>
    </row>
    <row r="417">
      <c r="A417" s="13" t="n">
        <v>34408124</v>
      </c>
      <c r="B417" s="9">
        <f>INDEX(Tableau1[], MATCH(Tableau3[[#This Row],[REFERENCE]], Tableau1[NUMERO], 0), 2)</f>
        <v/>
      </c>
      <c r="C417" s="129">
        <f>INDEX(Tableau1[], MATCH(Tableau3[[#This Row],[REFERENCE]], Tableau1[NUMERO], 0), 3)</f>
        <v/>
      </c>
      <c r="D417" s="129">
        <f>INDEX(Tableau1[], MATCH(Tableau3[[#This Row],[REFERENCE]], Tableau1[NUMERO], 0),4)</f>
        <v/>
      </c>
      <c r="E417" s="129">
        <f>INDEX(Tableau1[], MATCH(Tableau3[[#This Row],[REFERENCE]], Tableau1[NUMERO], 0), 5)</f>
        <v/>
      </c>
      <c r="F417" s="129">
        <f>INDEX(Tableau1[], MATCH(Tableau3[[#This Row],[REFERENCE]], Tableau1[NUMERO], 0), 6)</f>
        <v/>
      </c>
      <c r="G417" s="129">
        <f>INDEX(Tableau1[], MATCH(Tableau3[[#This Row],[REFERENCE]], Tableau1[NUMERO], 0), 7)</f>
        <v/>
      </c>
      <c r="H417" t="inlineStr">
        <is>
          <t>Extratole</t>
        </is>
      </c>
      <c r="J417" s="2" t="n">
        <v>43840</v>
      </c>
      <c r="K417" s="2" t="n"/>
      <c r="L417" s="11" t="inlineStr">
        <is>
          <t>ANGELIQUE</t>
        </is>
      </c>
      <c r="P417" s="8" t="n"/>
      <c r="Q417" s="2" t="n"/>
    </row>
    <row r="418">
      <c r="A418" s="13" t="n">
        <v>34408127</v>
      </c>
      <c r="B418" s="9">
        <f>INDEX(Tableau1[], MATCH(Tableau3[[#This Row],[REFERENCE]], Tableau1[NUMERO], 0), 2)</f>
        <v/>
      </c>
      <c r="C418" s="129">
        <f>INDEX(Tableau1[], MATCH(Tableau3[[#This Row],[REFERENCE]], Tableau1[NUMERO], 0), 3)</f>
        <v/>
      </c>
      <c r="D418" s="129">
        <f>INDEX(Tableau1[], MATCH(Tableau3[[#This Row],[REFERENCE]], Tableau1[NUMERO], 0),4)</f>
        <v/>
      </c>
      <c r="E418" s="129">
        <f>INDEX(Tableau1[], MATCH(Tableau3[[#This Row],[REFERENCE]], Tableau1[NUMERO], 0), 5)</f>
        <v/>
      </c>
      <c r="F418" s="129">
        <f>INDEX(Tableau1[], MATCH(Tableau3[[#This Row],[REFERENCE]], Tableau1[NUMERO], 0), 6)</f>
        <v/>
      </c>
      <c r="G418" s="129">
        <f>INDEX(Tableau1[], MATCH(Tableau3[[#This Row],[REFERENCE]], Tableau1[NUMERO], 0), 7)</f>
        <v/>
      </c>
      <c r="H418" t="inlineStr">
        <is>
          <t>Extratole</t>
        </is>
      </c>
      <c r="J418" s="2" t="n">
        <v>43840</v>
      </c>
      <c r="K418" s="2" t="n"/>
      <c r="L418" s="11" t="inlineStr">
        <is>
          <t>ANGELIQUE</t>
        </is>
      </c>
      <c r="P418" s="8" t="n"/>
      <c r="Q418" s="2" t="n"/>
    </row>
    <row r="419">
      <c r="A419" s="13" t="n">
        <v>34408134</v>
      </c>
      <c r="B419" s="9">
        <f>INDEX(Tableau1[], MATCH(Tableau3[[#This Row],[REFERENCE]], Tableau1[NUMERO], 0), 2)</f>
        <v/>
      </c>
      <c r="C419" s="129">
        <f>INDEX(Tableau1[], MATCH(Tableau3[[#This Row],[REFERENCE]], Tableau1[NUMERO], 0), 3)</f>
        <v/>
      </c>
      <c r="D419" s="129">
        <f>INDEX(Tableau1[], MATCH(Tableau3[[#This Row],[REFERENCE]], Tableau1[NUMERO], 0),4)</f>
        <v/>
      </c>
      <c r="E419" s="129">
        <f>INDEX(Tableau1[], MATCH(Tableau3[[#This Row],[REFERENCE]], Tableau1[NUMERO], 0), 5)</f>
        <v/>
      </c>
      <c r="F419" s="129">
        <f>INDEX(Tableau1[], MATCH(Tableau3[[#This Row],[REFERENCE]], Tableau1[NUMERO], 0), 6)</f>
        <v/>
      </c>
      <c r="G419" s="129">
        <f>INDEX(Tableau1[], MATCH(Tableau3[[#This Row],[REFERENCE]], Tableau1[NUMERO], 0), 7)</f>
        <v/>
      </c>
      <c r="H419" t="inlineStr">
        <is>
          <t>Extratole</t>
        </is>
      </c>
      <c r="J419" s="2" t="n">
        <v>43840</v>
      </c>
      <c r="K419" s="2" t="n"/>
      <c r="L419" s="11" t="inlineStr">
        <is>
          <t>ANGELIQUE</t>
        </is>
      </c>
      <c r="P419" s="8" t="n"/>
      <c r="Q419" s="2" t="n"/>
    </row>
    <row r="420">
      <c r="A420" s="13" t="n">
        <v>34408038</v>
      </c>
      <c r="B420" s="9">
        <f>INDEX(Tableau1[], MATCH(Tableau3[[#This Row],[REFERENCE]], Tableau1[NUMERO], 0), 2)</f>
        <v/>
      </c>
      <c r="C420" s="129">
        <f>INDEX(Tableau1[], MATCH(Tableau3[[#This Row],[REFERENCE]], Tableau1[NUMERO], 0), 3)</f>
        <v/>
      </c>
      <c r="D420" s="129">
        <f>INDEX(Tableau1[], MATCH(Tableau3[[#This Row],[REFERENCE]], Tableau1[NUMERO], 0),4)</f>
        <v/>
      </c>
      <c r="E420" s="129">
        <f>INDEX(Tableau1[], MATCH(Tableau3[[#This Row],[REFERENCE]], Tableau1[NUMERO], 0), 5)</f>
        <v/>
      </c>
      <c r="F420" s="129">
        <f>INDEX(Tableau1[], MATCH(Tableau3[[#This Row],[REFERENCE]], Tableau1[NUMERO], 0), 6)</f>
        <v/>
      </c>
      <c r="G420" s="129">
        <f>INDEX(Tableau1[], MATCH(Tableau3[[#This Row],[REFERENCE]], Tableau1[NUMERO], 0), 7)</f>
        <v/>
      </c>
      <c r="H420" t="inlineStr">
        <is>
          <t>Paillet</t>
        </is>
      </c>
      <c r="J420" s="2" t="n">
        <v>43840</v>
      </c>
      <c r="K420" s="2" t="n"/>
      <c r="L420" s="11" t="inlineStr">
        <is>
          <t>ANGELIQUE</t>
        </is>
      </c>
      <c r="P420" s="8" t="n"/>
      <c r="Q420" s="2" t="n"/>
    </row>
    <row r="421">
      <c r="A421" s="13" t="n">
        <v>34408124</v>
      </c>
      <c r="B421" s="9">
        <f>INDEX(Tableau1[], MATCH(Tableau3[[#This Row],[REFERENCE]], Tableau1[NUMERO], 0), 2)</f>
        <v/>
      </c>
      <c r="C421" s="129">
        <f>INDEX(Tableau1[], MATCH(Tableau3[[#This Row],[REFERENCE]], Tableau1[NUMERO], 0), 3)</f>
        <v/>
      </c>
      <c r="D421" s="129">
        <f>INDEX(Tableau1[], MATCH(Tableau3[[#This Row],[REFERENCE]], Tableau1[NUMERO], 0),4)</f>
        <v/>
      </c>
      <c r="E421" s="129">
        <f>INDEX(Tableau1[], MATCH(Tableau3[[#This Row],[REFERENCE]], Tableau1[NUMERO], 0), 5)</f>
        <v/>
      </c>
      <c r="F421" s="129">
        <f>INDEX(Tableau1[], MATCH(Tableau3[[#This Row],[REFERENCE]], Tableau1[NUMERO], 0), 6)</f>
        <v/>
      </c>
      <c r="G421" s="129">
        <f>INDEX(Tableau1[], MATCH(Tableau3[[#This Row],[REFERENCE]], Tableau1[NUMERO], 0), 7)</f>
        <v/>
      </c>
      <c r="H421" t="inlineStr">
        <is>
          <t>Paillet</t>
        </is>
      </c>
      <c r="J421" s="2" t="n">
        <v>43840</v>
      </c>
      <c r="K421" s="2" t="n"/>
      <c r="L421" s="11" t="inlineStr">
        <is>
          <t>ANGELIQUE</t>
        </is>
      </c>
      <c r="P421" s="8" t="n"/>
      <c r="Q421" s="2" t="n"/>
    </row>
    <row r="422">
      <c r="A422" s="13" t="n">
        <v>34408127</v>
      </c>
      <c r="B422" s="9">
        <f>INDEX(Tableau1[], MATCH(Tableau3[[#This Row],[REFERENCE]], Tableau1[NUMERO], 0), 2)</f>
        <v/>
      </c>
      <c r="C422" s="129">
        <f>INDEX(Tableau1[], MATCH(Tableau3[[#This Row],[REFERENCE]], Tableau1[NUMERO], 0), 3)</f>
        <v/>
      </c>
      <c r="D422" s="129">
        <f>INDEX(Tableau1[], MATCH(Tableau3[[#This Row],[REFERENCE]], Tableau1[NUMERO], 0),4)</f>
        <v/>
      </c>
      <c r="E422" s="129">
        <f>INDEX(Tableau1[], MATCH(Tableau3[[#This Row],[REFERENCE]], Tableau1[NUMERO], 0), 5)</f>
        <v/>
      </c>
      <c r="F422" s="129">
        <f>INDEX(Tableau1[], MATCH(Tableau3[[#This Row],[REFERENCE]], Tableau1[NUMERO], 0), 6)</f>
        <v/>
      </c>
      <c r="G422" s="129">
        <f>INDEX(Tableau1[], MATCH(Tableau3[[#This Row],[REFERENCE]], Tableau1[NUMERO], 0), 7)</f>
        <v/>
      </c>
      <c r="H422" t="inlineStr">
        <is>
          <t>Paillet</t>
        </is>
      </c>
      <c r="J422" s="2" t="n">
        <v>43840</v>
      </c>
      <c r="K422" s="2" t="n"/>
      <c r="L422" s="11" t="inlineStr">
        <is>
          <t>ANGELIQUE</t>
        </is>
      </c>
      <c r="P422" s="8" t="n"/>
      <c r="Q422" s="2" t="n"/>
    </row>
    <row r="423">
      <c r="A423" s="13" t="n">
        <v>34408134</v>
      </c>
      <c r="B423" s="9">
        <f>INDEX(Tableau1[], MATCH(Tableau3[[#This Row],[REFERENCE]], Tableau1[NUMERO], 0), 2)</f>
        <v/>
      </c>
      <c r="C423" s="129">
        <f>INDEX(Tableau1[], MATCH(Tableau3[[#This Row],[REFERENCE]], Tableau1[NUMERO], 0), 3)</f>
        <v/>
      </c>
      <c r="D423" s="129">
        <f>INDEX(Tableau1[], MATCH(Tableau3[[#This Row],[REFERENCE]], Tableau1[NUMERO], 0),4)</f>
        <v/>
      </c>
      <c r="E423" s="129">
        <f>INDEX(Tableau1[], MATCH(Tableau3[[#This Row],[REFERENCE]], Tableau1[NUMERO], 0), 5)</f>
        <v/>
      </c>
      <c r="F423" s="129">
        <f>INDEX(Tableau1[], MATCH(Tableau3[[#This Row],[REFERENCE]], Tableau1[NUMERO], 0), 6)</f>
        <v/>
      </c>
      <c r="G423" s="129">
        <f>INDEX(Tableau1[], MATCH(Tableau3[[#This Row],[REFERENCE]], Tableau1[NUMERO], 0), 7)</f>
        <v/>
      </c>
      <c r="H423" t="inlineStr">
        <is>
          <t>Paillet</t>
        </is>
      </c>
      <c r="J423" s="2" t="n">
        <v>43840</v>
      </c>
      <c r="K423" s="2" t="n"/>
      <c r="L423" s="11" t="inlineStr">
        <is>
          <t>ANGELIQUE</t>
        </is>
      </c>
      <c r="P423" s="8" t="n"/>
      <c r="Q423" s="2" t="n"/>
    </row>
    <row r="424">
      <c r="A424" s="13" t="n">
        <v>34408137</v>
      </c>
      <c r="B424" s="9">
        <f>INDEX(Tableau1[], MATCH(Tableau3[[#This Row],[REFERENCE]], Tableau1[NUMERO], 0), 2)</f>
        <v/>
      </c>
      <c r="C424" s="129">
        <f>INDEX(Tableau1[], MATCH(Tableau3[[#This Row],[REFERENCE]], Tableau1[NUMERO], 0), 3)</f>
        <v/>
      </c>
      <c r="D424" s="129">
        <f>INDEX(Tableau1[], MATCH(Tableau3[[#This Row],[REFERENCE]], Tableau1[NUMERO], 0),4)</f>
        <v/>
      </c>
      <c r="E424" s="129">
        <f>INDEX(Tableau1[], MATCH(Tableau3[[#This Row],[REFERENCE]], Tableau1[NUMERO], 0), 5)</f>
        <v/>
      </c>
      <c r="F424" s="129">
        <f>INDEX(Tableau1[], MATCH(Tableau3[[#This Row],[REFERENCE]], Tableau1[NUMERO], 0), 6)</f>
        <v/>
      </c>
      <c r="G424" s="129">
        <f>INDEX(Tableau1[], MATCH(Tableau3[[#This Row],[REFERENCE]], Tableau1[NUMERO], 0), 7)</f>
        <v/>
      </c>
      <c r="H424" t="inlineStr">
        <is>
          <t>Paillet</t>
        </is>
      </c>
      <c r="J424" s="2" t="n">
        <v>43840</v>
      </c>
      <c r="K424" s="2" t="n"/>
      <c r="L424" s="11" t="inlineStr">
        <is>
          <t>ANGELIQUE</t>
        </is>
      </c>
      <c r="P424" s="8" t="n"/>
      <c r="Q424" s="2" t="n"/>
    </row>
    <row r="425">
      <c r="A425" s="13" t="n">
        <v>34408138</v>
      </c>
      <c r="B425" s="9">
        <f>INDEX(Tableau1[], MATCH(Tableau3[[#This Row],[REFERENCE]], Tableau1[NUMERO], 0), 2)</f>
        <v/>
      </c>
      <c r="C425" s="129">
        <f>INDEX(Tableau1[], MATCH(Tableau3[[#This Row],[REFERENCE]], Tableau1[NUMERO], 0), 3)</f>
        <v/>
      </c>
      <c r="D425" s="129">
        <f>INDEX(Tableau1[], MATCH(Tableau3[[#This Row],[REFERENCE]], Tableau1[NUMERO], 0),4)</f>
        <v/>
      </c>
      <c r="E425" s="129">
        <f>INDEX(Tableau1[], MATCH(Tableau3[[#This Row],[REFERENCE]], Tableau1[NUMERO], 0), 5)</f>
        <v/>
      </c>
      <c r="F425" s="129">
        <f>INDEX(Tableau1[], MATCH(Tableau3[[#This Row],[REFERENCE]], Tableau1[NUMERO], 0), 6)</f>
        <v/>
      </c>
      <c r="G425" s="129">
        <f>INDEX(Tableau1[], MATCH(Tableau3[[#This Row],[REFERENCE]], Tableau1[NUMERO], 0), 7)</f>
        <v/>
      </c>
      <c r="H425" t="inlineStr">
        <is>
          <t>Paillet</t>
        </is>
      </c>
      <c r="J425" s="2" t="n">
        <v>43840</v>
      </c>
      <c r="K425" s="2" t="n"/>
      <c r="L425" s="11" t="inlineStr">
        <is>
          <t>ANGELIQUE</t>
        </is>
      </c>
      <c r="P425" s="8" t="n"/>
      <c r="Q425" s="2" t="n"/>
    </row>
    <row r="426">
      <c r="A426" s="13" t="n">
        <v>34408139</v>
      </c>
      <c r="B426" s="9">
        <f>INDEX(Tableau1[], MATCH(Tableau3[[#This Row],[REFERENCE]], Tableau1[NUMERO], 0), 2)</f>
        <v/>
      </c>
      <c r="C426" s="129">
        <f>INDEX(Tableau1[], MATCH(Tableau3[[#This Row],[REFERENCE]], Tableau1[NUMERO], 0), 3)</f>
        <v/>
      </c>
      <c r="D426" s="129">
        <f>INDEX(Tableau1[], MATCH(Tableau3[[#This Row],[REFERENCE]], Tableau1[NUMERO], 0),4)</f>
        <v/>
      </c>
      <c r="E426" s="129">
        <f>INDEX(Tableau1[], MATCH(Tableau3[[#This Row],[REFERENCE]], Tableau1[NUMERO], 0), 5)</f>
        <v/>
      </c>
      <c r="F426" s="129">
        <f>INDEX(Tableau1[], MATCH(Tableau3[[#This Row],[REFERENCE]], Tableau1[NUMERO], 0), 6)</f>
        <v/>
      </c>
      <c r="G426" s="129">
        <f>INDEX(Tableau1[], MATCH(Tableau3[[#This Row],[REFERENCE]], Tableau1[NUMERO], 0), 7)</f>
        <v/>
      </c>
      <c r="H426" t="inlineStr">
        <is>
          <t>Paillet</t>
        </is>
      </c>
      <c r="J426" s="2" t="n">
        <v>43840</v>
      </c>
      <c r="K426" s="2" t="n"/>
      <c r="L426" s="11" t="inlineStr">
        <is>
          <t>ANGELIQUE</t>
        </is>
      </c>
      <c r="P426" s="8" t="n"/>
      <c r="Q426" s="2" t="n"/>
    </row>
    <row r="427">
      <c r="A427" s="13" t="n">
        <v>34408140</v>
      </c>
      <c r="B427" s="9">
        <f>INDEX(Tableau1[], MATCH(Tableau3[[#This Row],[REFERENCE]], Tableau1[NUMERO], 0), 2)</f>
        <v/>
      </c>
      <c r="C427" s="129">
        <f>INDEX(Tableau1[], MATCH(Tableau3[[#This Row],[REFERENCE]], Tableau1[NUMERO], 0), 3)</f>
        <v/>
      </c>
      <c r="D427" s="129">
        <f>INDEX(Tableau1[], MATCH(Tableau3[[#This Row],[REFERENCE]], Tableau1[NUMERO], 0),4)</f>
        <v/>
      </c>
      <c r="E427" s="129">
        <f>INDEX(Tableau1[], MATCH(Tableau3[[#This Row],[REFERENCE]], Tableau1[NUMERO], 0), 5)</f>
        <v/>
      </c>
      <c r="F427" s="129">
        <f>INDEX(Tableau1[], MATCH(Tableau3[[#This Row],[REFERENCE]], Tableau1[NUMERO], 0), 6)</f>
        <v/>
      </c>
      <c r="G427" s="129">
        <f>INDEX(Tableau1[], MATCH(Tableau3[[#This Row],[REFERENCE]], Tableau1[NUMERO], 0), 7)</f>
        <v/>
      </c>
      <c r="H427" t="inlineStr">
        <is>
          <t>Paillet</t>
        </is>
      </c>
      <c r="J427" s="2" t="n">
        <v>43840</v>
      </c>
      <c r="K427" s="2" t="n"/>
      <c r="L427" s="11" t="inlineStr">
        <is>
          <t>ANGELIQUE</t>
        </is>
      </c>
      <c r="P427" s="8" t="n"/>
      <c r="Q427" s="2" t="n"/>
    </row>
    <row r="428">
      <c r="A428" s="13" t="n">
        <v>34408142</v>
      </c>
      <c r="B428" s="9">
        <f>INDEX(Tableau1[], MATCH(Tableau3[[#This Row],[REFERENCE]], Tableau1[NUMERO], 0), 2)</f>
        <v/>
      </c>
      <c r="C428" s="129">
        <f>INDEX(Tableau1[], MATCH(Tableau3[[#This Row],[REFERENCE]], Tableau1[NUMERO], 0), 3)</f>
        <v/>
      </c>
      <c r="D428" s="129">
        <f>INDEX(Tableau1[], MATCH(Tableau3[[#This Row],[REFERENCE]], Tableau1[NUMERO], 0),4)</f>
        <v/>
      </c>
      <c r="E428" s="129">
        <f>INDEX(Tableau1[], MATCH(Tableau3[[#This Row],[REFERENCE]], Tableau1[NUMERO], 0), 5)</f>
        <v/>
      </c>
      <c r="F428" s="129">
        <f>INDEX(Tableau1[], MATCH(Tableau3[[#This Row],[REFERENCE]], Tableau1[NUMERO], 0), 6)</f>
        <v/>
      </c>
      <c r="G428" s="129">
        <f>INDEX(Tableau1[], MATCH(Tableau3[[#This Row],[REFERENCE]], Tableau1[NUMERO], 0), 7)</f>
        <v/>
      </c>
      <c r="H428" t="inlineStr">
        <is>
          <t>Paillet</t>
        </is>
      </c>
      <c r="J428" s="2" t="n">
        <v>43840</v>
      </c>
      <c r="K428" s="2" t="n"/>
      <c r="L428" s="11" t="inlineStr">
        <is>
          <t>ANGELIQUE</t>
        </is>
      </c>
      <c r="P428" s="8" t="n"/>
      <c r="Q428" s="2" t="n"/>
    </row>
    <row r="429">
      <c r="A429" s="13" t="n">
        <v>34408143</v>
      </c>
      <c r="B429" s="9">
        <f>INDEX(Tableau1[], MATCH(Tableau3[[#This Row],[REFERENCE]], Tableau1[NUMERO], 0), 2)</f>
        <v/>
      </c>
      <c r="C429" s="129">
        <f>INDEX(Tableau1[], MATCH(Tableau3[[#This Row],[REFERENCE]], Tableau1[NUMERO], 0), 3)</f>
        <v/>
      </c>
      <c r="D429" s="129">
        <f>INDEX(Tableau1[], MATCH(Tableau3[[#This Row],[REFERENCE]], Tableau1[NUMERO], 0),4)</f>
        <v/>
      </c>
      <c r="E429" s="129">
        <f>INDEX(Tableau1[], MATCH(Tableau3[[#This Row],[REFERENCE]], Tableau1[NUMERO], 0), 5)</f>
        <v/>
      </c>
      <c r="F429" s="129">
        <f>INDEX(Tableau1[], MATCH(Tableau3[[#This Row],[REFERENCE]], Tableau1[NUMERO], 0), 6)</f>
        <v/>
      </c>
      <c r="G429" s="129">
        <f>INDEX(Tableau1[], MATCH(Tableau3[[#This Row],[REFERENCE]], Tableau1[NUMERO], 0), 7)</f>
        <v/>
      </c>
      <c r="H429" t="inlineStr">
        <is>
          <t>Paillet</t>
        </is>
      </c>
      <c r="J429" s="2" t="n">
        <v>43840</v>
      </c>
      <c r="K429" s="2" t="n"/>
      <c r="L429" s="11" t="inlineStr">
        <is>
          <t>ANGELIQUE</t>
        </is>
      </c>
      <c r="P429" s="8" t="n"/>
      <c r="Q429" s="2" t="n"/>
    </row>
    <row r="430">
      <c r="A430" s="13" t="n">
        <v>34408144</v>
      </c>
      <c r="B430" s="9">
        <f>INDEX(Tableau1[], MATCH(Tableau3[[#This Row],[REFERENCE]], Tableau1[NUMERO], 0), 2)</f>
        <v/>
      </c>
      <c r="C430" s="129">
        <f>INDEX(Tableau1[], MATCH(Tableau3[[#This Row],[REFERENCE]], Tableau1[NUMERO], 0), 3)</f>
        <v/>
      </c>
      <c r="D430" s="129">
        <f>INDEX(Tableau1[], MATCH(Tableau3[[#This Row],[REFERENCE]], Tableau1[NUMERO], 0),4)</f>
        <v/>
      </c>
      <c r="E430" s="129">
        <f>INDEX(Tableau1[], MATCH(Tableau3[[#This Row],[REFERENCE]], Tableau1[NUMERO], 0), 5)</f>
        <v/>
      </c>
      <c r="F430" s="129">
        <f>INDEX(Tableau1[], MATCH(Tableau3[[#This Row],[REFERENCE]], Tableau1[NUMERO], 0), 6)</f>
        <v/>
      </c>
      <c r="G430" s="129">
        <f>INDEX(Tableau1[], MATCH(Tableau3[[#This Row],[REFERENCE]], Tableau1[NUMERO], 0), 7)</f>
        <v/>
      </c>
      <c r="H430" t="inlineStr">
        <is>
          <t>Paillet</t>
        </is>
      </c>
      <c r="J430" s="2" t="n">
        <v>43840</v>
      </c>
      <c r="K430" s="2" t="n"/>
      <c r="L430" s="11" t="inlineStr">
        <is>
          <t>ANGELIQUE</t>
        </is>
      </c>
      <c r="P430" s="8" t="n"/>
      <c r="Q430" s="2" t="n"/>
    </row>
    <row r="431">
      <c r="A431" s="13" t="n">
        <v>34408145</v>
      </c>
      <c r="B431" s="9">
        <f>INDEX(Tableau1[], MATCH(Tableau3[[#This Row],[REFERENCE]], Tableau1[NUMERO], 0), 2)</f>
        <v/>
      </c>
      <c r="C431" s="129">
        <f>INDEX(Tableau1[], MATCH(Tableau3[[#This Row],[REFERENCE]], Tableau1[NUMERO], 0), 3)</f>
        <v/>
      </c>
      <c r="D431" s="129">
        <f>INDEX(Tableau1[], MATCH(Tableau3[[#This Row],[REFERENCE]], Tableau1[NUMERO], 0),4)</f>
        <v/>
      </c>
      <c r="E431" s="129">
        <f>INDEX(Tableau1[], MATCH(Tableau3[[#This Row],[REFERENCE]], Tableau1[NUMERO], 0), 5)</f>
        <v/>
      </c>
      <c r="F431" s="129">
        <f>INDEX(Tableau1[], MATCH(Tableau3[[#This Row],[REFERENCE]], Tableau1[NUMERO], 0), 6)</f>
        <v/>
      </c>
      <c r="G431" s="129">
        <f>INDEX(Tableau1[], MATCH(Tableau3[[#This Row],[REFERENCE]], Tableau1[NUMERO], 0), 7)</f>
        <v/>
      </c>
      <c r="H431" t="inlineStr">
        <is>
          <t>Paillet</t>
        </is>
      </c>
      <c r="J431" s="2" t="n">
        <v>43840</v>
      </c>
      <c r="K431" s="2" t="n"/>
      <c r="L431" s="11" t="inlineStr">
        <is>
          <t>ANGELIQUE</t>
        </is>
      </c>
      <c r="P431" s="8" t="n"/>
      <c r="Q431" s="2" t="n"/>
    </row>
    <row r="432">
      <c r="A432" s="13" t="n">
        <v>34408137</v>
      </c>
      <c r="B432" s="9">
        <f>INDEX(Tableau1[], MATCH(Tableau3[[#This Row],[REFERENCE]], Tableau1[NUMERO], 0), 2)</f>
        <v/>
      </c>
      <c r="C432" s="129">
        <f>INDEX(Tableau1[], MATCH(Tableau3[[#This Row],[REFERENCE]], Tableau1[NUMERO], 0), 3)</f>
        <v/>
      </c>
      <c r="D432" s="129">
        <f>INDEX(Tableau1[], MATCH(Tableau3[[#This Row],[REFERENCE]], Tableau1[NUMERO], 0),4)</f>
        <v/>
      </c>
      <c r="E432" s="129">
        <f>INDEX(Tableau1[], MATCH(Tableau3[[#This Row],[REFERENCE]], Tableau1[NUMERO], 0), 5)</f>
        <v/>
      </c>
      <c r="F432" s="129">
        <f>INDEX(Tableau1[], MATCH(Tableau3[[#This Row],[REFERENCE]], Tableau1[NUMERO], 0), 6)</f>
        <v/>
      </c>
      <c r="G432" s="129">
        <f>INDEX(Tableau1[], MATCH(Tableau3[[#This Row],[REFERENCE]], Tableau1[NUMERO], 0), 7)</f>
        <v/>
      </c>
      <c r="H432" t="inlineStr">
        <is>
          <t>Extratole</t>
        </is>
      </c>
      <c r="J432" s="2" t="n">
        <v>43840</v>
      </c>
      <c r="K432" s="2" t="n"/>
      <c r="L432" s="11" t="inlineStr">
        <is>
          <t>ANGELIQUE</t>
        </is>
      </c>
      <c r="P432" s="8" t="n"/>
      <c r="Q432" s="2" t="n"/>
    </row>
    <row r="433">
      <c r="A433" s="13" t="n">
        <v>34408138</v>
      </c>
      <c r="B433" s="9">
        <f>INDEX(Tableau1[], MATCH(Tableau3[[#This Row],[REFERENCE]], Tableau1[NUMERO], 0), 2)</f>
        <v/>
      </c>
      <c r="C433" s="129">
        <f>INDEX(Tableau1[], MATCH(Tableau3[[#This Row],[REFERENCE]], Tableau1[NUMERO], 0), 3)</f>
        <v/>
      </c>
      <c r="D433" s="129">
        <f>INDEX(Tableau1[], MATCH(Tableau3[[#This Row],[REFERENCE]], Tableau1[NUMERO], 0),4)</f>
        <v/>
      </c>
      <c r="E433" s="129">
        <f>INDEX(Tableau1[], MATCH(Tableau3[[#This Row],[REFERENCE]], Tableau1[NUMERO], 0), 5)</f>
        <v/>
      </c>
      <c r="F433" s="129">
        <f>INDEX(Tableau1[], MATCH(Tableau3[[#This Row],[REFERENCE]], Tableau1[NUMERO], 0), 6)</f>
        <v/>
      </c>
      <c r="G433" s="129">
        <f>INDEX(Tableau1[], MATCH(Tableau3[[#This Row],[REFERENCE]], Tableau1[NUMERO], 0), 7)</f>
        <v/>
      </c>
      <c r="H433" t="inlineStr">
        <is>
          <t>Extratole</t>
        </is>
      </c>
      <c r="J433" s="2" t="n">
        <v>43840</v>
      </c>
      <c r="K433" s="2" t="n"/>
      <c r="L433" s="11" t="inlineStr">
        <is>
          <t>ANGELIQUE</t>
        </is>
      </c>
      <c r="P433" s="8" t="n"/>
      <c r="Q433" s="2" t="n"/>
    </row>
    <row r="434">
      <c r="A434" s="13" t="n">
        <v>34408139</v>
      </c>
      <c r="B434" s="9">
        <f>INDEX(Tableau1[], MATCH(Tableau3[[#This Row],[REFERENCE]], Tableau1[NUMERO], 0), 2)</f>
        <v/>
      </c>
      <c r="C434" s="129">
        <f>INDEX(Tableau1[], MATCH(Tableau3[[#This Row],[REFERENCE]], Tableau1[NUMERO], 0), 3)</f>
        <v/>
      </c>
      <c r="D434" s="129">
        <f>INDEX(Tableau1[], MATCH(Tableau3[[#This Row],[REFERENCE]], Tableau1[NUMERO], 0),4)</f>
        <v/>
      </c>
      <c r="E434" s="129">
        <f>INDEX(Tableau1[], MATCH(Tableau3[[#This Row],[REFERENCE]], Tableau1[NUMERO], 0), 5)</f>
        <v/>
      </c>
      <c r="F434" s="129">
        <f>INDEX(Tableau1[], MATCH(Tableau3[[#This Row],[REFERENCE]], Tableau1[NUMERO], 0), 6)</f>
        <v/>
      </c>
      <c r="G434" s="129">
        <f>INDEX(Tableau1[], MATCH(Tableau3[[#This Row],[REFERENCE]], Tableau1[NUMERO], 0), 7)</f>
        <v/>
      </c>
      <c r="H434" t="inlineStr">
        <is>
          <t>Extratole</t>
        </is>
      </c>
      <c r="J434" s="2" t="n">
        <v>43840</v>
      </c>
      <c r="K434" s="2" t="n"/>
      <c r="L434" s="11" t="inlineStr">
        <is>
          <t>ANGELIQUE</t>
        </is>
      </c>
      <c r="P434" s="8" t="n"/>
      <c r="Q434" s="2" t="n"/>
    </row>
    <row r="435">
      <c r="A435" s="13" t="n">
        <v>34408140</v>
      </c>
      <c r="B435" s="9">
        <f>INDEX(Tableau1[], MATCH(Tableau3[[#This Row],[REFERENCE]], Tableau1[NUMERO], 0), 2)</f>
        <v/>
      </c>
      <c r="C435" s="129">
        <f>INDEX(Tableau1[], MATCH(Tableau3[[#This Row],[REFERENCE]], Tableau1[NUMERO], 0), 3)</f>
        <v/>
      </c>
      <c r="D435" s="129">
        <f>INDEX(Tableau1[], MATCH(Tableau3[[#This Row],[REFERENCE]], Tableau1[NUMERO], 0),4)</f>
        <v/>
      </c>
      <c r="E435" s="129">
        <f>INDEX(Tableau1[], MATCH(Tableau3[[#This Row],[REFERENCE]], Tableau1[NUMERO], 0), 5)</f>
        <v/>
      </c>
      <c r="F435" s="129">
        <f>INDEX(Tableau1[], MATCH(Tableau3[[#This Row],[REFERENCE]], Tableau1[NUMERO], 0), 6)</f>
        <v/>
      </c>
      <c r="G435" s="129">
        <f>INDEX(Tableau1[], MATCH(Tableau3[[#This Row],[REFERENCE]], Tableau1[NUMERO], 0), 7)</f>
        <v/>
      </c>
      <c r="H435" t="inlineStr">
        <is>
          <t>Extratole</t>
        </is>
      </c>
      <c r="J435" s="2" t="n">
        <v>43840</v>
      </c>
      <c r="K435" s="2" t="n"/>
      <c r="L435" s="11" t="inlineStr">
        <is>
          <t>ANGELIQUE</t>
        </is>
      </c>
      <c r="P435" s="8" t="n"/>
      <c r="Q435" s="2" t="n"/>
    </row>
    <row r="436">
      <c r="A436" s="13" t="n">
        <v>34408142</v>
      </c>
      <c r="B436" s="9">
        <f>INDEX(Tableau1[], MATCH(Tableau3[[#This Row],[REFERENCE]], Tableau1[NUMERO], 0), 2)</f>
        <v/>
      </c>
      <c r="C436" s="129">
        <f>INDEX(Tableau1[], MATCH(Tableau3[[#This Row],[REFERENCE]], Tableau1[NUMERO], 0), 3)</f>
        <v/>
      </c>
      <c r="D436" s="129">
        <f>INDEX(Tableau1[], MATCH(Tableau3[[#This Row],[REFERENCE]], Tableau1[NUMERO], 0),4)</f>
        <v/>
      </c>
      <c r="E436" s="129">
        <f>INDEX(Tableau1[], MATCH(Tableau3[[#This Row],[REFERENCE]], Tableau1[NUMERO], 0), 5)</f>
        <v/>
      </c>
      <c r="F436" s="129">
        <f>INDEX(Tableau1[], MATCH(Tableau3[[#This Row],[REFERENCE]], Tableau1[NUMERO], 0), 6)</f>
        <v/>
      </c>
      <c r="G436" s="129">
        <f>INDEX(Tableau1[], MATCH(Tableau3[[#This Row],[REFERENCE]], Tableau1[NUMERO], 0), 7)</f>
        <v/>
      </c>
      <c r="H436" t="inlineStr">
        <is>
          <t>Extratole</t>
        </is>
      </c>
      <c r="J436" s="2" t="n">
        <v>43840</v>
      </c>
      <c r="K436" s="2" t="n"/>
      <c r="L436" s="11" t="inlineStr">
        <is>
          <t>ANGELIQUE</t>
        </is>
      </c>
      <c r="P436" s="8" t="n"/>
      <c r="Q436" s="2" t="n"/>
    </row>
    <row r="437">
      <c r="A437" s="13" t="n">
        <v>34408143</v>
      </c>
      <c r="B437" s="9">
        <f>INDEX(Tableau1[], MATCH(Tableau3[[#This Row],[REFERENCE]], Tableau1[NUMERO], 0), 2)</f>
        <v/>
      </c>
      <c r="C437" s="129">
        <f>INDEX(Tableau1[], MATCH(Tableau3[[#This Row],[REFERENCE]], Tableau1[NUMERO], 0), 3)</f>
        <v/>
      </c>
      <c r="D437" s="129">
        <f>INDEX(Tableau1[], MATCH(Tableau3[[#This Row],[REFERENCE]], Tableau1[NUMERO], 0),4)</f>
        <v/>
      </c>
      <c r="E437" s="129">
        <f>INDEX(Tableau1[], MATCH(Tableau3[[#This Row],[REFERENCE]], Tableau1[NUMERO], 0), 5)</f>
        <v/>
      </c>
      <c r="F437" s="129">
        <f>INDEX(Tableau1[], MATCH(Tableau3[[#This Row],[REFERENCE]], Tableau1[NUMERO], 0), 6)</f>
        <v/>
      </c>
      <c r="G437" s="129">
        <f>INDEX(Tableau1[], MATCH(Tableau3[[#This Row],[REFERENCE]], Tableau1[NUMERO], 0), 7)</f>
        <v/>
      </c>
      <c r="H437" t="inlineStr">
        <is>
          <t>Extratole</t>
        </is>
      </c>
      <c r="J437" s="2" t="n">
        <v>43840</v>
      </c>
      <c r="K437" s="2" t="n"/>
      <c r="L437" s="11" t="inlineStr">
        <is>
          <t>ANGELIQUE</t>
        </is>
      </c>
      <c r="P437" s="8" t="n"/>
      <c r="Q437" s="2" t="n"/>
    </row>
    <row r="438">
      <c r="A438" s="13" t="n">
        <v>34408144</v>
      </c>
      <c r="B438" s="9">
        <f>INDEX(Tableau1[], MATCH(Tableau3[[#This Row],[REFERENCE]], Tableau1[NUMERO], 0), 2)</f>
        <v/>
      </c>
      <c r="C438" s="129">
        <f>INDEX(Tableau1[], MATCH(Tableau3[[#This Row],[REFERENCE]], Tableau1[NUMERO], 0), 3)</f>
        <v/>
      </c>
      <c r="D438" s="129">
        <f>INDEX(Tableau1[], MATCH(Tableau3[[#This Row],[REFERENCE]], Tableau1[NUMERO], 0),4)</f>
        <v/>
      </c>
      <c r="E438" s="129">
        <f>INDEX(Tableau1[], MATCH(Tableau3[[#This Row],[REFERENCE]], Tableau1[NUMERO], 0), 5)</f>
        <v/>
      </c>
      <c r="F438" s="129">
        <f>INDEX(Tableau1[], MATCH(Tableau3[[#This Row],[REFERENCE]], Tableau1[NUMERO], 0), 6)</f>
        <v/>
      </c>
      <c r="G438" s="129">
        <f>INDEX(Tableau1[], MATCH(Tableau3[[#This Row],[REFERENCE]], Tableau1[NUMERO], 0), 7)</f>
        <v/>
      </c>
      <c r="H438" t="inlineStr">
        <is>
          <t>Extratole</t>
        </is>
      </c>
      <c r="J438" s="2" t="n">
        <v>43840</v>
      </c>
      <c r="K438" s="2" t="n"/>
      <c r="L438" s="11" t="inlineStr">
        <is>
          <t>ANGELIQUE</t>
        </is>
      </c>
      <c r="P438" s="8" t="n"/>
      <c r="Q438" s="2" t="n"/>
    </row>
    <row r="439">
      <c r="A439" s="13" t="n">
        <v>34408145</v>
      </c>
      <c r="B439" s="9">
        <f>INDEX(Tableau1[], MATCH(Tableau3[[#This Row],[REFERENCE]], Tableau1[NUMERO], 0), 2)</f>
        <v/>
      </c>
      <c r="C439" s="129">
        <f>INDEX(Tableau1[], MATCH(Tableau3[[#This Row],[REFERENCE]], Tableau1[NUMERO], 0), 3)</f>
        <v/>
      </c>
      <c r="D439" s="129">
        <f>INDEX(Tableau1[], MATCH(Tableau3[[#This Row],[REFERENCE]], Tableau1[NUMERO], 0),4)</f>
        <v/>
      </c>
      <c r="E439" s="129">
        <f>INDEX(Tableau1[], MATCH(Tableau3[[#This Row],[REFERENCE]], Tableau1[NUMERO], 0), 5)</f>
        <v/>
      </c>
      <c r="F439" s="129">
        <f>INDEX(Tableau1[], MATCH(Tableau3[[#This Row],[REFERENCE]], Tableau1[NUMERO], 0), 6)</f>
        <v/>
      </c>
      <c r="G439" s="129">
        <f>INDEX(Tableau1[], MATCH(Tableau3[[#This Row],[REFERENCE]], Tableau1[NUMERO], 0), 7)</f>
        <v/>
      </c>
      <c r="H439" t="inlineStr">
        <is>
          <t>Extratole</t>
        </is>
      </c>
      <c r="J439" s="2" t="n">
        <v>43840</v>
      </c>
      <c r="K439" s="2" t="n"/>
      <c r="L439" s="11" t="inlineStr">
        <is>
          <t>ANGELIQUE</t>
        </is>
      </c>
      <c r="P439" s="8" t="n"/>
      <c r="Q439" s="2" t="n"/>
    </row>
    <row r="440">
      <c r="A440" s="13" t="n">
        <v>34408137</v>
      </c>
      <c r="B440" s="9">
        <f>INDEX(Tableau1[], MATCH(Tableau3[[#This Row],[REFERENCE]], Tableau1[NUMERO], 0), 2)</f>
        <v/>
      </c>
      <c r="C440" s="129">
        <f>INDEX(Tableau1[], MATCH(Tableau3[[#This Row],[REFERENCE]], Tableau1[NUMERO], 0), 3)</f>
        <v/>
      </c>
      <c r="D440" s="129">
        <f>INDEX(Tableau1[], MATCH(Tableau3[[#This Row],[REFERENCE]], Tableau1[NUMERO], 0),4)</f>
        <v/>
      </c>
      <c r="E440" s="129">
        <f>INDEX(Tableau1[], MATCH(Tableau3[[#This Row],[REFERENCE]], Tableau1[NUMERO], 0), 5)</f>
        <v/>
      </c>
      <c r="F440" s="129">
        <f>INDEX(Tableau1[], MATCH(Tableau3[[#This Row],[REFERENCE]], Tableau1[NUMERO], 0), 6)</f>
        <v/>
      </c>
      <c r="G440" s="129">
        <f>INDEX(Tableau1[], MATCH(Tableau3[[#This Row],[REFERENCE]], Tableau1[NUMERO], 0), 7)</f>
        <v/>
      </c>
      <c r="H440" t="inlineStr">
        <is>
          <t>Romaire</t>
        </is>
      </c>
      <c r="J440" s="2" t="n">
        <v>43840</v>
      </c>
      <c r="K440" s="2" t="n"/>
      <c r="L440" s="11" t="inlineStr">
        <is>
          <t>ANGELIQUE</t>
        </is>
      </c>
      <c r="P440" s="8" t="n"/>
      <c r="Q440" s="2" t="n"/>
    </row>
    <row r="441">
      <c r="A441" s="13" t="n">
        <v>34408138</v>
      </c>
      <c r="B441" s="9">
        <f>INDEX(Tableau1[], MATCH(Tableau3[[#This Row],[REFERENCE]], Tableau1[NUMERO], 0), 2)</f>
        <v/>
      </c>
      <c r="C441" s="129">
        <f>INDEX(Tableau1[], MATCH(Tableau3[[#This Row],[REFERENCE]], Tableau1[NUMERO], 0), 3)</f>
        <v/>
      </c>
      <c r="D441" s="129">
        <f>INDEX(Tableau1[], MATCH(Tableau3[[#This Row],[REFERENCE]], Tableau1[NUMERO], 0),4)</f>
        <v/>
      </c>
      <c r="E441" s="129">
        <f>INDEX(Tableau1[], MATCH(Tableau3[[#This Row],[REFERENCE]], Tableau1[NUMERO], 0), 5)</f>
        <v/>
      </c>
      <c r="F441" s="129">
        <f>INDEX(Tableau1[], MATCH(Tableau3[[#This Row],[REFERENCE]], Tableau1[NUMERO], 0), 6)</f>
        <v/>
      </c>
      <c r="G441" s="129">
        <f>INDEX(Tableau1[], MATCH(Tableau3[[#This Row],[REFERENCE]], Tableau1[NUMERO], 0), 7)</f>
        <v/>
      </c>
      <c r="H441" t="inlineStr">
        <is>
          <t>Romaire</t>
        </is>
      </c>
      <c r="J441" s="2" t="n">
        <v>43840</v>
      </c>
      <c r="K441" s="2" t="n"/>
      <c r="L441" s="11" t="inlineStr">
        <is>
          <t>ANGELIQUE</t>
        </is>
      </c>
      <c r="P441" s="8" t="n"/>
      <c r="Q441" s="2" t="n"/>
    </row>
    <row r="442">
      <c r="A442" s="13" t="n">
        <v>34408139</v>
      </c>
      <c r="B442" s="9">
        <f>INDEX(Tableau1[], MATCH(Tableau3[[#This Row],[REFERENCE]], Tableau1[NUMERO], 0), 2)</f>
        <v/>
      </c>
      <c r="C442" s="129">
        <f>INDEX(Tableau1[], MATCH(Tableau3[[#This Row],[REFERENCE]], Tableau1[NUMERO], 0), 3)</f>
        <v/>
      </c>
      <c r="D442" s="129">
        <f>INDEX(Tableau1[], MATCH(Tableau3[[#This Row],[REFERENCE]], Tableau1[NUMERO], 0),4)</f>
        <v/>
      </c>
      <c r="E442" s="129">
        <f>INDEX(Tableau1[], MATCH(Tableau3[[#This Row],[REFERENCE]], Tableau1[NUMERO], 0), 5)</f>
        <v/>
      </c>
      <c r="F442" s="129">
        <f>INDEX(Tableau1[], MATCH(Tableau3[[#This Row],[REFERENCE]], Tableau1[NUMERO], 0), 6)</f>
        <v/>
      </c>
      <c r="G442" s="129">
        <f>INDEX(Tableau1[], MATCH(Tableau3[[#This Row],[REFERENCE]], Tableau1[NUMERO], 0), 7)</f>
        <v/>
      </c>
      <c r="H442" t="inlineStr">
        <is>
          <t>Romaire</t>
        </is>
      </c>
      <c r="J442" s="2" t="n">
        <v>43840</v>
      </c>
      <c r="K442" s="2" t="n"/>
      <c r="L442" s="11" t="inlineStr">
        <is>
          <t>ANGELIQUE</t>
        </is>
      </c>
      <c r="P442" s="8" t="n"/>
      <c r="Q442" s="2" t="n"/>
    </row>
    <row r="443">
      <c r="A443" s="13" t="n">
        <v>34408140</v>
      </c>
      <c r="B443" s="9">
        <f>INDEX(Tableau1[], MATCH(Tableau3[[#This Row],[REFERENCE]], Tableau1[NUMERO], 0), 2)</f>
        <v/>
      </c>
      <c r="C443" s="129">
        <f>INDEX(Tableau1[], MATCH(Tableau3[[#This Row],[REFERENCE]], Tableau1[NUMERO], 0), 3)</f>
        <v/>
      </c>
      <c r="D443" s="129">
        <f>INDEX(Tableau1[], MATCH(Tableau3[[#This Row],[REFERENCE]], Tableau1[NUMERO], 0),4)</f>
        <v/>
      </c>
      <c r="E443" s="129">
        <f>INDEX(Tableau1[], MATCH(Tableau3[[#This Row],[REFERENCE]], Tableau1[NUMERO], 0), 5)</f>
        <v/>
      </c>
      <c r="F443" s="129">
        <f>INDEX(Tableau1[], MATCH(Tableau3[[#This Row],[REFERENCE]], Tableau1[NUMERO], 0), 6)</f>
        <v/>
      </c>
      <c r="G443" s="129">
        <f>INDEX(Tableau1[], MATCH(Tableau3[[#This Row],[REFERENCE]], Tableau1[NUMERO], 0), 7)</f>
        <v/>
      </c>
      <c r="H443" t="inlineStr">
        <is>
          <t>Romaire</t>
        </is>
      </c>
      <c r="J443" s="2" t="n">
        <v>43840</v>
      </c>
      <c r="K443" s="2" t="n"/>
      <c r="L443" s="11" t="inlineStr">
        <is>
          <t>ANGELIQUE</t>
        </is>
      </c>
      <c r="P443" s="8" t="n"/>
      <c r="Q443" s="2" t="n"/>
    </row>
    <row r="444">
      <c r="A444" s="13" t="n">
        <v>34408142</v>
      </c>
      <c r="B444" s="9">
        <f>INDEX(Tableau1[], MATCH(Tableau3[[#This Row],[REFERENCE]], Tableau1[NUMERO], 0), 2)</f>
        <v/>
      </c>
      <c r="C444" s="129">
        <f>INDEX(Tableau1[], MATCH(Tableau3[[#This Row],[REFERENCE]], Tableau1[NUMERO], 0), 3)</f>
        <v/>
      </c>
      <c r="D444" s="129">
        <f>INDEX(Tableau1[], MATCH(Tableau3[[#This Row],[REFERENCE]], Tableau1[NUMERO], 0),4)</f>
        <v/>
      </c>
      <c r="E444" s="129">
        <f>INDEX(Tableau1[], MATCH(Tableau3[[#This Row],[REFERENCE]], Tableau1[NUMERO], 0), 5)</f>
        <v/>
      </c>
      <c r="F444" s="129">
        <f>INDEX(Tableau1[], MATCH(Tableau3[[#This Row],[REFERENCE]], Tableau1[NUMERO], 0), 6)</f>
        <v/>
      </c>
      <c r="G444" s="129">
        <f>INDEX(Tableau1[], MATCH(Tableau3[[#This Row],[REFERENCE]], Tableau1[NUMERO], 0), 7)</f>
        <v/>
      </c>
      <c r="H444" t="inlineStr">
        <is>
          <t>Romaire</t>
        </is>
      </c>
      <c r="J444" s="2" t="n">
        <v>43840</v>
      </c>
      <c r="K444" s="2" t="n"/>
      <c r="L444" s="11" t="inlineStr">
        <is>
          <t>ANGELIQUE</t>
        </is>
      </c>
      <c r="P444" s="8" t="n"/>
      <c r="Q444" s="2" t="n"/>
    </row>
    <row r="445">
      <c r="A445" s="13" t="n">
        <v>34408143</v>
      </c>
      <c r="B445" s="9">
        <f>INDEX(Tableau1[], MATCH(Tableau3[[#This Row],[REFERENCE]], Tableau1[NUMERO], 0), 2)</f>
        <v/>
      </c>
      <c r="C445" s="129">
        <f>INDEX(Tableau1[], MATCH(Tableau3[[#This Row],[REFERENCE]], Tableau1[NUMERO], 0), 3)</f>
        <v/>
      </c>
      <c r="D445" s="129">
        <f>INDEX(Tableau1[], MATCH(Tableau3[[#This Row],[REFERENCE]], Tableau1[NUMERO], 0),4)</f>
        <v/>
      </c>
      <c r="E445" s="129">
        <f>INDEX(Tableau1[], MATCH(Tableau3[[#This Row],[REFERENCE]], Tableau1[NUMERO], 0), 5)</f>
        <v/>
      </c>
      <c r="F445" s="129">
        <f>INDEX(Tableau1[], MATCH(Tableau3[[#This Row],[REFERENCE]], Tableau1[NUMERO], 0), 6)</f>
        <v/>
      </c>
      <c r="G445" s="129">
        <f>INDEX(Tableau1[], MATCH(Tableau3[[#This Row],[REFERENCE]], Tableau1[NUMERO], 0), 7)</f>
        <v/>
      </c>
      <c r="H445" t="inlineStr">
        <is>
          <t>Romaire</t>
        </is>
      </c>
      <c r="J445" s="2" t="n">
        <v>43840</v>
      </c>
      <c r="K445" s="2" t="n"/>
      <c r="L445" s="11" t="inlineStr">
        <is>
          <t>ANGELIQUE</t>
        </is>
      </c>
      <c r="P445" s="8" t="n"/>
      <c r="Q445" s="2" t="n"/>
    </row>
    <row r="446">
      <c r="A446" s="13" t="n">
        <v>34408144</v>
      </c>
      <c r="B446" s="9">
        <f>INDEX(Tableau1[], MATCH(Tableau3[[#This Row],[REFERENCE]], Tableau1[NUMERO], 0), 2)</f>
        <v/>
      </c>
      <c r="C446" s="129">
        <f>INDEX(Tableau1[], MATCH(Tableau3[[#This Row],[REFERENCE]], Tableau1[NUMERO], 0), 3)</f>
        <v/>
      </c>
      <c r="D446" s="129">
        <f>INDEX(Tableau1[], MATCH(Tableau3[[#This Row],[REFERENCE]], Tableau1[NUMERO], 0),4)</f>
        <v/>
      </c>
      <c r="E446" s="129">
        <f>INDEX(Tableau1[], MATCH(Tableau3[[#This Row],[REFERENCE]], Tableau1[NUMERO], 0), 5)</f>
        <v/>
      </c>
      <c r="F446" s="129">
        <f>INDEX(Tableau1[], MATCH(Tableau3[[#This Row],[REFERENCE]], Tableau1[NUMERO], 0), 6)</f>
        <v/>
      </c>
      <c r="G446" s="129">
        <f>INDEX(Tableau1[], MATCH(Tableau3[[#This Row],[REFERENCE]], Tableau1[NUMERO], 0), 7)</f>
        <v/>
      </c>
      <c r="H446" t="inlineStr">
        <is>
          <t>Romaire</t>
        </is>
      </c>
      <c r="J446" s="2" t="n">
        <v>43840</v>
      </c>
      <c r="K446" s="2" t="n"/>
      <c r="L446" s="11" t="inlineStr">
        <is>
          <t>ANGELIQUE</t>
        </is>
      </c>
      <c r="P446" s="8" t="n"/>
      <c r="Q446" s="2" t="n"/>
    </row>
    <row r="447">
      <c r="A447" s="13" t="n">
        <v>34408145</v>
      </c>
      <c r="B447" s="9">
        <f>INDEX(Tableau1[], MATCH(Tableau3[[#This Row],[REFERENCE]], Tableau1[NUMERO], 0), 2)</f>
        <v/>
      </c>
      <c r="C447" s="129">
        <f>INDEX(Tableau1[], MATCH(Tableau3[[#This Row],[REFERENCE]], Tableau1[NUMERO], 0), 3)</f>
        <v/>
      </c>
      <c r="D447" s="129">
        <f>INDEX(Tableau1[], MATCH(Tableau3[[#This Row],[REFERENCE]], Tableau1[NUMERO], 0),4)</f>
        <v/>
      </c>
      <c r="E447" s="129">
        <f>INDEX(Tableau1[], MATCH(Tableau3[[#This Row],[REFERENCE]], Tableau1[NUMERO], 0), 5)</f>
        <v/>
      </c>
      <c r="F447" s="129">
        <f>INDEX(Tableau1[], MATCH(Tableau3[[#This Row],[REFERENCE]], Tableau1[NUMERO], 0), 6)</f>
        <v/>
      </c>
      <c r="G447" s="129">
        <f>INDEX(Tableau1[], MATCH(Tableau3[[#This Row],[REFERENCE]], Tableau1[NUMERO], 0), 7)</f>
        <v/>
      </c>
      <c r="H447" t="inlineStr">
        <is>
          <t>Romaire</t>
        </is>
      </c>
      <c r="J447" s="2" t="n">
        <v>43840</v>
      </c>
      <c r="K447" s="2" t="n"/>
      <c r="L447" s="11" t="inlineStr">
        <is>
          <t>ANGELIQUE</t>
        </is>
      </c>
      <c r="P447" s="8" t="n"/>
      <c r="Q447" s="2" t="n"/>
    </row>
    <row r="448">
      <c r="A448" s="8" t="n">
        <v>34407751</v>
      </c>
      <c r="B448" s="9">
        <f>INDEX(Tableau1[], MATCH(Tableau3[[#This Row],[REFERENCE]], Tableau1[NUMERO], 0), 2)</f>
        <v/>
      </c>
      <c r="C448" s="129">
        <f>INDEX(Tableau1[], MATCH(Tableau3[[#This Row],[REFERENCE]], Tableau1[NUMERO], 0), 3)</f>
        <v/>
      </c>
      <c r="D448" s="129">
        <f>INDEX(Tableau1[], MATCH(Tableau3[[#This Row],[REFERENCE]], Tableau1[NUMERO], 0),4)</f>
        <v/>
      </c>
      <c r="E448" s="129">
        <f>INDEX(Tableau1[], MATCH(Tableau3[[#This Row],[REFERENCE]], Tableau1[NUMERO], 0), 5)</f>
        <v/>
      </c>
      <c r="F448" s="129">
        <f>INDEX(Tableau1[], MATCH(Tableau3[[#This Row],[REFERENCE]], Tableau1[NUMERO], 0), 6)</f>
        <v/>
      </c>
      <c r="G448" s="129">
        <f>INDEX(Tableau1[], MATCH(Tableau3[[#This Row],[REFERENCE]], Tableau1[NUMERO], 0), 7)</f>
        <v/>
      </c>
      <c r="H448" t="inlineStr">
        <is>
          <t>lasertechnic</t>
        </is>
      </c>
      <c r="J448" s="2" t="n">
        <v>43843</v>
      </c>
      <c r="K448" s="2" t="n">
        <v>43843</v>
      </c>
      <c r="L448" s="2" t="n"/>
      <c r="N448" s="35" t="n">
        <v>1</v>
      </c>
      <c r="O448" s="7" t="n">
        <v>70</v>
      </c>
      <c r="P448" s="8" t="inlineStr">
        <is>
          <t>3 jours</t>
        </is>
      </c>
      <c r="Q448" s="2" t="n">
        <v>43934</v>
      </c>
    </row>
    <row r="449">
      <c r="A449" s="8" t="n">
        <v>34401754</v>
      </c>
      <c r="B449" s="2">
        <f>INDEX(Tableau1[], MATCH(Tableau3[[#This Row],[REFERENCE]], Tableau1[NUMERO], 0), 2)</f>
        <v/>
      </c>
      <c r="C449">
        <f>INDEX(Tableau1[], MATCH(Tableau3[[#This Row],[REFERENCE]], Tableau1[NUMERO], 0), 3)</f>
        <v/>
      </c>
      <c r="D449">
        <f>INDEX(Tableau1[], MATCH(Tableau3[[#This Row],[REFERENCE]], Tableau1[NUMERO], 0),4)</f>
        <v/>
      </c>
      <c r="E449">
        <f>INDEX(Tableau1[], MATCH(Tableau3[[#This Row],[REFERENCE]], Tableau1[NUMERO], 0), 5)</f>
        <v/>
      </c>
      <c r="F449">
        <f>INDEX(Tableau1[], MATCH(Tableau3[[#This Row],[REFERENCE]], Tableau1[NUMERO], 0), 6)</f>
        <v/>
      </c>
      <c r="G449">
        <f>INDEX(Tableau1[], MATCH(Tableau3[[#This Row],[REFERENCE]], Tableau1[NUMERO], 0), 7)</f>
        <v/>
      </c>
      <c r="H449" t="inlineStr">
        <is>
          <t>lasertechnic</t>
        </is>
      </c>
      <c r="J449" s="2" t="n">
        <v>43846</v>
      </c>
      <c r="K449" s="2" t="n">
        <v>17</v>
      </c>
      <c r="L449" s="2" t="n"/>
      <c r="N449" s="35" t="n">
        <v>1</v>
      </c>
      <c r="O449" s="7" t="n">
        <v>122</v>
      </c>
      <c r="P449" s="8" t="inlineStr">
        <is>
          <t>3 jours</t>
        </is>
      </c>
      <c r="Q449" s="2" t="n">
        <v>43938</v>
      </c>
    </row>
    <row r="450">
      <c r="A450" s="8" t="n">
        <v>34401754</v>
      </c>
      <c r="B450" s="2">
        <f>INDEX(Tableau1[], MATCH(Tableau3[[#This Row],[REFERENCE]], Tableau1[NUMERO], 0), 2)</f>
        <v/>
      </c>
      <c r="C450">
        <f>INDEX(Tableau1[], MATCH(Tableau3[[#This Row],[REFERENCE]], Tableau1[NUMERO], 0), 3)</f>
        <v/>
      </c>
      <c r="D450">
        <f>INDEX(Tableau1[], MATCH(Tableau3[[#This Row],[REFERENCE]], Tableau1[NUMERO], 0),4)</f>
        <v/>
      </c>
      <c r="E450">
        <f>INDEX(Tableau1[], MATCH(Tableau3[[#This Row],[REFERENCE]], Tableau1[NUMERO], 0), 5)</f>
        <v/>
      </c>
      <c r="F450">
        <f>INDEX(Tableau1[], MATCH(Tableau3[[#This Row],[REFERENCE]], Tableau1[NUMERO], 0), 6)</f>
        <v/>
      </c>
      <c r="G450">
        <f>INDEX(Tableau1[], MATCH(Tableau3[[#This Row],[REFERENCE]], Tableau1[NUMERO], 0), 7)</f>
        <v/>
      </c>
      <c r="H450" t="inlineStr">
        <is>
          <t>lasertechnic</t>
        </is>
      </c>
      <c r="J450" s="2" t="n">
        <v>43846</v>
      </c>
      <c r="K450" s="2" t="n">
        <v>17</v>
      </c>
      <c r="L450" s="2" t="n"/>
      <c r="N450" s="35" t="n">
        <v>3</v>
      </c>
      <c r="O450" s="7" t="n">
        <v>98</v>
      </c>
      <c r="P450" s="8" t="inlineStr">
        <is>
          <t>3 jours</t>
        </is>
      </c>
      <c r="Q450" s="2" t="n">
        <v>43938</v>
      </c>
    </row>
    <row r="451">
      <c r="A451" s="8" t="n">
        <v>34407750</v>
      </c>
      <c r="B451" s="2">
        <f>INDEX(Tableau1[], MATCH(Tableau3[[#This Row],[REFERENCE]], Tableau1[NUMERO], 0), 2)</f>
        <v/>
      </c>
      <c r="C451">
        <f>INDEX(Tableau1[], MATCH(Tableau3[[#This Row],[REFERENCE]], Tableau1[NUMERO], 0), 3)</f>
        <v/>
      </c>
      <c r="D451">
        <f>INDEX(Tableau1[], MATCH(Tableau3[[#This Row],[REFERENCE]], Tableau1[NUMERO], 0),4)</f>
        <v/>
      </c>
      <c r="E451">
        <f>INDEX(Tableau1[], MATCH(Tableau3[[#This Row],[REFERENCE]], Tableau1[NUMERO], 0), 5)</f>
        <v/>
      </c>
      <c r="F451">
        <f>INDEX(Tableau1[], MATCH(Tableau3[[#This Row],[REFERENCE]], Tableau1[NUMERO], 0), 6)</f>
        <v/>
      </c>
      <c r="G451">
        <f>INDEX(Tableau1[], MATCH(Tableau3[[#This Row],[REFERENCE]], Tableau1[NUMERO], 0), 7)</f>
        <v/>
      </c>
      <c r="H451" t="inlineStr">
        <is>
          <t>lasertechnic</t>
        </is>
      </c>
      <c r="J451" s="2" t="n">
        <v>43846</v>
      </c>
      <c r="K451" s="2" t="n">
        <v>17</v>
      </c>
      <c r="L451" s="2" t="n"/>
      <c r="N451" s="35" t="n">
        <v>1</v>
      </c>
      <c r="O451" s="7" t="n">
        <v>40</v>
      </c>
      <c r="P451" s="8" t="inlineStr">
        <is>
          <t>3 jours</t>
        </is>
      </c>
      <c r="Q451" s="2" t="n">
        <v>43938</v>
      </c>
    </row>
    <row r="452">
      <c r="A452" s="8" t="n">
        <v>34407750</v>
      </c>
      <c r="B452" s="2">
        <f>INDEX(Tableau1[], MATCH(Tableau3[[#This Row],[REFERENCE]], Tableau1[NUMERO], 0), 2)</f>
        <v/>
      </c>
      <c r="C452">
        <f>INDEX(Tableau1[], MATCH(Tableau3[[#This Row],[REFERENCE]], Tableau1[NUMERO], 0), 3)</f>
        <v/>
      </c>
      <c r="D452">
        <f>INDEX(Tableau1[], MATCH(Tableau3[[#This Row],[REFERENCE]], Tableau1[NUMERO], 0),4)</f>
        <v/>
      </c>
      <c r="E452">
        <f>INDEX(Tableau1[], MATCH(Tableau3[[#This Row],[REFERENCE]], Tableau1[NUMERO], 0), 5)</f>
        <v/>
      </c>
      <c r="F452">
        <f>INDEX(Tableau1[], MATCH(Tableau3[[#This Row],[REFERENCE]], Tableau1[NUMERO], 0), 6)</f>
        <v/>
      </c>
      <c r="G452">
        <f>INDEX(Tableau1[], MATCH(Tableau3[[#This Row],[REFERENCE]], Tableau1[NUMERO], 0), 7)</f>
        <v/>
      </c>
      <c r="H452" t="inlineStr">
        <is>
          <t>lasertechnic</t>
        </is>
      </c>
      <c r="J452" s="2" t="n">
        <v>43846</v>
      </c>
      <c r="K452" s="2" t="n">
        <v>17</v>
      </c>
      <c r="L452" s="2" t="n"/>
      <c r="N452" s="35" t="n">
        <v>3</v>
      </c>
      <c r="O452" s="7" t="n">
        <v>32</v>
      </c>
      <c r="P452" s="8" t="inlineStr">
        <is>
          <t>3 jours</t>
        </is>
      </c>
      <c r="Q452" s="2" t="n">
        <v>43938</v>
      </c>
    </row>
    <row r="453">
      <c r="A453" s="8" t="n">
        <v>34407344</v>
      </c>
      <c r="B453" s="2">
        <f>INDEX(Tableau1[], MATCH(Tableau3[[#This Row],[REFERENCE]], Tableau1[NUMERO], 0), 2)</f>
        <v/>
      </c>
      <c r="C453">
        <f>INDEX(Tableau1[], MATCH(Tableau3[[#This Row],[REFERENCE]], Tableau1[NUMERO], 0), 3)</f>
        <v/>
      </c>
      <c r="D453">
        <f>INDEX(Tableau1[], MATCH(Tableau3[[#This Row],[REFERENCE]], Tableau1[NUMERO], 0),4)</f>
        <v/>
      </c>
      <c r="E453">
        <f>INDEX(Tableau1[], MATCH(Tableau3[[#This Row],[REFERENCE]], Tableau1[NUMERO], 0), 5)</f>
        <v/>
      </c>
      <c r="F453">
        <f>INDEX(Tableau1[], MATCH(Tableau3[[#This Row],[REFERENCE]], Tableau1[NUMERO], 0), 6)</f>
        <v/>
      </c>
      <c r="G453">
        <f>INDEX(Tableau1[], MATCH(Tableau3[[#This Row],[REFERENCE]], Tableau1[NUMERO], 0), 7)</f>
        <v/>
      </c>
      <c r="H453" t="inlineStr">
        <is>
          <t>lasertechnic</t>
        </is>
      </c>
      <c r="J453" s="2" t="n">
        <v>43847</v>
      </c>
      <c r="K453" s="2" t="n">
        <v>43851</v>
      </c>
      <c r="L453" s="2" t="n"/>
      <c r="N453" s="35" t="n">
        <v>4</v>
      </c>
      <c r="O453" s="7" t="n">
        <v>19</v>
      </c>
      <c r="P453" s="8" t="inlineStr">
        <is>
          <t>5 JOURS</t>
        </is>
      </c>
      <c r="Q453" s="2" t="n">
        <v>43942</v>
      </c>
    </row>
    <row r="454">
      <c r="A454" s="8" t="n">
        <v>34407344</v>
      </c>
      <c r="B454" s="2">
        <f>INDEX(Tableau1[], MATCH(Tableau3[[#This Row],[REFERENCE]], Tableau1[NUMERO], 0), 2)</f>
        <v/>
      </c>
      <c r="C454">
        <f>INDEX(Tableau1[], MATCH(Tableau3[[#This Row],[REFERENCE]], Tableau1[NUMERO], 0), 3)</f>
        <v/>
      </c>
      <c r="D454">
        <f>INDEX(Tableau1[], MATCH(Tableau3[[#This Row],[REFERENCE]], Tableau1[NUMERO], 0),4)</f>
        <v/>
      </c>
      <c r="E454">
        <f>INDEX(Tableau1[], MATCH(Tableau3[[#This Row],[REFERENCE]], Tableau1[NUMERO], 0), 5)</f>
        <v/>
      </c>
      <c r="F454">
        <f>INDEX(Tableau1[], MATCH(Tableau3[[#This Row],[REFERENCE]], Tableau1[NUMERO], 0), 6)</f>
        <v/>
      </c>
      <c r="G454">
        <f>INDEX(Tableau1[], MATCH(Tableau3[[#This Row],[REFERENCE]], Tableau1[NUMERO], 0), 7)</f>
        <v/>
      </c>
      <c r="H454" t="inlineStr">
        <is>
          <t>lasertechnic</t>
        </is>
      </c>
      <c r="J454" s="2" t="n">
        <v>43847</v>
      </c>
      <c r="K454" s="2" t="n">
        <v>43851</v>
      </c>
      <c r="L454" s="2" t="n"/>
      <c r="N454" s="35" t="n">
        <v>12</v>
      </c>
      <c r="O454" s="7" t="n">
        <v>12</v>
      </c>
      <c r="P454" s="8" t="inlineStr">
        <is>
          <t>5 JOURS</t>
        </is>
      </c>
      <c r="Q454" s="2" t="n">
        <v>43942</v>
      </c>
    </row>
    <row r="455">
      <c r="A455" s="8" t="n">
        <v>34407345</v>
      </c>
      <c r="B455" s="2">
        <f>INDEX(Tableau1[], MATCH(Tableau3[[#This Row],[REFERENCE]], Tableau1[NUMERO], 0), 2)</f>
        <v/>
      </c>
      <c r="C455">
        <f>INDEX(Tableau1[], MATCH(Tableau3[[#This Row],[REFERENCE]], Tableau1[NUMERO], 0), 3)</f>
        <v/>
      </c>
      <c r="D455">
        <f>INDEX(Tableau1[], MATCH(Tableau3[[#This Row],[REFERENCE]], Tableau1[NUMERO], 0),4)</f>
        <v/>
      </c>
      <c r="E455">
        <f>INDEX(Tableau1[], MATCH(Tableau3[[#This Row],[REFERENCE]], Tableau1[NUMERO], 0), 5)</f>
        <v/>
      </c>
      <c r="F455">
        <f>INDEX(Tableau1[], MATCH(Tableau3[[#This Row],[REFERENCE]], Tableau1[NUMERO], 0), 6)</f>
        <v/>
      </c>
      <c r="G455">
        <f>INDEX(Tableau1[], MATCH(Tableau3[[#This Row],[REFERENCE]], Tableau1[NUMERO], 0), 7)</f>
        <v/>
      </c>
      <c r="H455" t="inlineStr">
        <is>
          <t>lasertechnic</t>
        </is>
      </c>
      <c r="J455" s="2" t="n">
        <v>43847</v>
      </c>
      <c r="K455" s="2" t="n">
        <v>43851</v>
      </c>
      <c r="L455" s="2" t="n"/>
      <c r="N455" s="35" t="n">
        <v>1</v>
      </c>
      <c r="O455" s="7" t="n">
        <v>60</v>
      </c>
      <c r="P455" s="8" t="inlineStr">
        <is>
          <t>5 JOURS</t>
        </is>
      </c>
      <c r="Q455" s="2" t="n">
        <v>43942</v>
      </c>
    </row>
    <row r="456">
      <c r="A456" s="8" t="n">
        <v>34407345</v>
      </c>
      <c r="B456" s="2">
        <f>INDEX(Tableau1[], MATCH(Tableau3[[#This Row],[REFERENCE]], Tableau1[NUMERO], 0), 2)</f>
        <v/>
      </c>
      <c r="C456">
        <f>INDEX(Tableau1[], MATCH(Tableau3[[#This Row],[REFERENCE]], Tableau1[NUMERO], 0), 3)</f>
        <v/>
      </c>
      <c r="D456">
        <f>INDEX(Tableau1[], MATCH(Tableau3[[#This Row],[REFERENCE]], Tableau1[NUMERO], 0),4)</f>
        <v/>
      </c>
      <c r="E456">
        <f>INDEX(Tableau1[], MATCH(Tableau3[[#This Row],[REFERENCE]], Tableau1[NUMERO], 0), 5)</f>
        <v/>
      </c>
      <c r="F456">
        <f>INDEX(Tableau1[], MATCH(Tableau3[[#This Row],[REFERENCE]], Tableau1[NUMERO], 0), 6)</f>
        <v/>
      </c>
      <c r="G456">
        <f>INDEX(Tableau1[], MATCH(Tableau3[[#This Row],[REFERENCE]], Tableau1[NUMERO], 0), 7)</f>
        <v/>
      </c>
      <c r="H456" t="inlineStr">
        <is>
          <t>lasertechnic</t>
        </is>
      </c>
      <c r="J456" s="2" t="n">
        <v>43847</v>
      </c>
      <c r="K456" s="2" t="n">
        <v>43851</v>
      </c>
      <c r="L456" s="2" t="n"/>
      <c r="N456" s="35" t="n">
        <v>3</v>
      </c>
      <c r="O456" s="7" t="n">
        <v>49</v>
      </c>
      <c r="P456" s="8" t="inlineStr">
        <is>
          <t>5 JOURS</t>
        </is>
      </c>
      <c r="Q456" s="2" t="n">
        <v>43942</v>
      </c>
    </row>
    <row r="457">
      <c r="A457" s="8" t="n">
        <v>34407349</v>
      </c>
      <c r="B457" s="2">
        <f>INDEX(Tableau1[], MATCH(Tableau3[[#This Row],[REFERENCE]], Tableau1[NUMERO], 0), 2)</f>
        <v/>
      </c>
      <c r="C457">
        <f>INDEX(Tableau1[], MATCH(Tableau3[[#This Row],[REFERENCE]], Tableau1[NUMERO], 0), 3)</f>
        <v/>
      </c>
      <c r="D457">
        <f>INDEX(Tableau1[], MATCH(Tableau3[[#This Row],[REFERENCE]], Tableau1[NUMERO], 0),4)</f>
        <v/>
      </c>
      <c r="E457">
        <f>INDEX(Tableau1[], MATCH(Tableau3[[#This Row],[REFERENCE]], Tableau1[NUMERO], 0), 5)</f>
        <v/>
      </c>
      <c r="F457">
        <f>INDEX(Tableau1[], MATCH(Tableau3[[#This Row],[REFERENCE]], Tableau1[NUMERO], 0), 6)</f>
        <v/>
      </c>
      <c r="G457">
        <f>INDEX(Tableau1[], MATCH(Tableau3[[#This Row],[REFERENCE]], Tableau1[NUMERO], 0), 7)</f>
        <v/>
      </c>
      <c r="H457" t="inlineStr">
        <is>
          <t>lasertechnic</t>
        </is>
      </c>
      <c r="J457" s="2" t="n">
        <v>43847</v>
      </c>
      <c r="K457" s="2" t="n">
        <v>43851</v>
      </c>
      <c r="L457" s="2" t="n"/>
      <c r="N457" s="35" t="n">
        <v>1</v>
      </c>
      <c r="O457" s="7" t="n">
        <v>28</v>
      </c>
      <c r="P457" s="8" t="inlineStr">
        <is>
          <t>5 JOURS</t>
        </is>
      </c>
      <c r="Q457" s="2" t="n">
        <v>43942</v>
      </c>
    </row>
    <row r="458">
      <c r="A458" s="8" t="n">
        <v>34407349</v>
      </c>
      <c r="B458" s="2">
        <f>INDEX(Tableau1[], MATCH(Tableau3[[#This Row],[REFERENCE]], Tableau1[NUMERO], 0), 2)</f>
        <v/>
      </c>
      <c r="C458">
        <f>INDEX(Tableau1[], MATCH(Tableau3[[#This Row],[REFERENCE]], Tableau1[NUMERO], 0), 3)</f>
        <v/>
      </c>
      <c r="D458">
        <f>INDEX(Tableau1[], MATCH(Tableau3[[#This Row],[REFERENCE]], Tableau1[NUMERO], 0),4)</f>
        <v/>
      </c>
      <c r="E458">
        <f>INDEX(Tableau1[], MATCH(Tableau3[[#This Row],[REFERENCE]], Tableau1[NUMERO], 0), 5)</f>
        <v/>
      </c>
      <c r="F458">
        <f>INDEX(Tableau1[], MATCH(Tableau3[[#This Row],[REFERENCE]], Tableau1[NUMERO], 0), 6)</f>
        <v/>
      </c>
      <c r="G458">
        <f>INDEX(Tableau1[], MATCH(Tableau3[[#This Row],[REFERENCE]], Tableau1[NUMERO], 0), 7)</f>
        <v/>
      </c>
      <c r="H458" t="inlineStr">
        <is>
          <t>lasertechnic</t>
        </is>
      </c>
      <c r="J458" s="2" t="n">
        <v>43847</v>
      </c>
      <c r="K458" s="2" t="n">
        <v>43851</v>
      </c>
      <c r="L458" s="2" t="n"/>
      <c r="N458" s="35" t="n">
        <v>3</v>
      </c>
      <c r="O458" s="7" t="n">
        <v>24</v>
      </c>
      <c r="P458" s="8" t="inlineStr">
        <is>
          <t>5 JOURS</t>
        </is>
      </c>
      <c r="Q458" s="2" t="n">
        <v>43942</v>
      </c>
    </row>
    <row r="459">
      <c r="A459" s="8" t="n">
        <v>34407350</v>
      </c>
      <c r="B459" s="2">
        <f>INDEX(Tableau1[], MATCH(Tableau3[[#This Row],[REFERENCE]], Tableau1[NUMERO], 0), 2)</f>
        <v/>
      </c>
      <c r="C459">
        <f>INDEX(Tableau1[], MATCH(Tableau3[[#This Row],[REFERENCE]], Tableau1[NUMERO], 0), 3)</f>
        <v/>
      </c>
      <c r="D459">
        <f>INDEX(Tableau1[], MATCH(Tableau3[[#This Row],[REFERENCE]], Tableau1[NUMERO], 0),4)</f>
        <v/>
      </c>
      <c r="E459">
        <f>INDEX(Tableau1[], MATCH(Tableau3[[#This Row],[REFERENCE]], Tableau1[NUMERO], 0), 5)</f>
        <v/>
      </c>
      <c r="F459">
        <f>INDEX(Tableau1[], MATCH(Tableau3[[#This Row],[REFERENCE]], Tableau1[NUMERO], 0), 6)</f>
        <v/>
      </c>
      <c r="G459">
        <f>INDEX(Tableau1[], MATCH(Tableau3[[#This Row],[REFERENCE]], Tableau1[NUMERO], 0), 7)</f>
        <v/>
      </c>
      <c r="H459" t="inlineStr">
        <is>
          <t>lasertechnic</t>
        </is>
      </c>
      <c r="J459" s="2" t="n">
        <v>43847</v>
      </c>
      <c r="K459" s="2" t="n">
        <v>43851</v>
      </c>
      <c r="L459" s="2" t="n"/>
      <c r="N459" s="35" t="n">
        <v>1</v>
      </c>
      <c r="O459" s="7" t="n">
        <v>30</v>
      </c>
      <c r="P459" s="8" t="inlineStr">
        <is>
          <t>5 JOURS</t>
        </is>
      </c>
      <c r="Q459" s="2" t="n">
        <v>43942</v>
      </c>
    </row>
    <row r="460">
      <c r="A460" s="8" t="n">
        <v>34407350</v>
      </c>
      <c r="B460" s="2">
        <f>INDEX(Tableau1[], MATCH(Tableau3[[#This Row],[REFERENCE]], Tableau1[NUMERO], 0), 2)</f>
        <v/>
      </c>
      <c r="C460">
        <f>INDEX(Tableau1[], MATCH(Tableau3[[#This Row],[REFERENCE]], Tableau1[NUMERO], 0), 3)</f>
        <v/>
      </c>
      <c r="D460">
        <f>INDEX(Tableau1[], MATCH(Tableau3[[#This Row],[REFERENCE]], Tableau1[NUMERO], 0),4)</f>
        <v/>
      </c>
      <c r="E460">
        <f>INDEX(Tableau1[], MATCH(Tableau3[[#This Row],[REFERENCE]], Tableau1[NUMERO], 0), 5)</f>
        <v/>
      </c>
      <c r="F460">
        <f>INDEX(Tableau1[], MATCH(Tableau3[[#This Row],[REFERENCE]], Tableau1[NUMERO], 0), 6)</f>
        <v/>
      </c>
      <c r="G460">
        <f>INDEX(Tableau1[], MATCH(Tableau3[[#This Row],[REFERENCE]], Tableau1[NUMERO], 0), 7)</f>
        <v/>
      </c>
      <c r="H460" t="inlineStr">
        <is>
          <t>lasertechnic</t>
        </is>
      </c>
      <c r="J460" s="2" t="n">
        <v>43847</v>
      </c>
      <c r="K460" s="2" t="n">
        <v>43851</v>
      </c>
      <c r="L460" s="2" t="n"/>
      <c r="N460" s="35" t="n">
        <v>3</v>
      </c>
      <c r="O460" s="7" t="n">
        <v>26</v>
      </c>
      <c r="P460" s="8" t="inlineStr">
        <is>
          <t>5 JOURS</t>
        </is>
      </c>
      <c r="Q460" s="2" t="n">
        <v>43942</v>
      </c>
    </row>
    <row r="461">
      <c r="A461" s="8" t="n">
        <v>34407351</v>
      </c>
      <c r="B461" s="2">
        <f>INDEX(Tableau1[], MATCH(Tableau3[[#This Row],[REFERENCE]], Tableau1[NUMERO], 0), 2)</f>
        <v/>
      </c>
      <c r="C461">
        <f>INDEX(Tableau1[], MATCH(Tableau3[[#This Row],[REFERENCE]], Tableau1[NUMERO], 0), 3)</f>
        <v/>
      </c>
      <c r="D461">
        <f>INDEX(Tableau1[], MATCH(Tableau3[[#This Row],[REFERENCE]], Tableau1[NUMERO], 0),4)</f>
        <v/>
      </c>
      <c r="E461">
        <f>INDEX(Tableau1[], MATCH(Tableau3[[#This Row],[REFERENCE]], Tableau1[NUMERO], 0), 5)</f>
        <v/>
      </c>
      <c r="F461">
        <f>INDEX(Tableau1[], MATCH(Tableau3[[#This Row],[REFERENCE]], Tableau1[NUMERO], 0), 6)</f>
        <v/>
      </c>
      <c r="G461">
        <f>INDEX(Tableau1[], MATCH(Tableau3[[#This Row],[REFERENCE]], Tableau1[NUMERO], 0), 7)</f>
        <v/>
      </c>
      <c r="H461" t="inlineStr">
        <is>
          <t>lasertechnic</t>
        </is>
      </c>
      <c r="J461" s="2" t="n">
        <v>43847</v>
      </c>
      <c r="K461" s="2" t="n">
        <v>43851</v>
      </c>
      <c r="L461" s="2" t="n"/>
      <c r="N461" s="35" t="n">
        <v>1</v>
      </c>
      <c r="O461" s="7" t="n">
        <v>28</v>
      </c>
      <c r="P461" s="8" t="inlineStr">
        <is>
          <t>5 JOURS</t>
        </is>
      </c>
      <c r="Q461" s="2" t="n">
        <v>43942</v>
      </c>
    </row>
    <row r="462">
      <c r="A462" s="8" t="n">
        <v>34407351</v>
      </c>
      <c r="B462" s="2">
        <f>INDEX(Tableau1[], MATCH(Tableau3[[#This Row],[REFERENCE]], Tableau1[NUMERO], 0), 2)</f>
        <v/>
      </c>
      <c r="C462">
        <f>INDEX(Tableau1[], MATCH(Tableau3[[#This Row],[REFERENCE]], Tableau1[NUMERO], 0), 3)</f>
        <v/>
      </c>
      <c r="D462">
        <f>INDEX(Tableau1[], MATCH(Tableau3[[#This Row],[REFERENCE]], Tableau1[NUMERO], 0),4)</f>
        <v/>
      </c>
      <c r="E462">
        <f>INDEX(Tableau1[], MATCH(Tableau3[[#This Row],[REFERENCE]], Tableau1[NUMERO], 0), 5)</f>
        <v/>
      </c>
      <c r="F462">
        <f>INDEX(Tableau1[], MATCH(Tableau3[[#This Row],[REFERENCE]], Tableau1[NUMERO], 0), 6)</f>
        <v/>
      </c>
      <c r="G462">
        <f>INDEX(Tableau1[], MATCH(Tableau3[[#This Row],[REFERENCE]], Tableau1[NUMERO], 0), 7)</f>
        <v/>
      </c>
      <c r="H462" t="inlineStr">
        <is>
          <t>lasertechnic</t>
        </is>
      </c>
      <c r="J462" s="2" t="n">
        <v>43847</v>
      </c>
      <c r="K462" s="2" t="n">
        <v>43851</v>
      </c>
      <c r="L462" s="2" t="n"/>
      <c r="N462" s="35" t="n">
        <v>3</v>
      </c>
      <c r="O462" s="7" t="n">
        <v>24</v>
      </c>
      <c r="P462" s="8" t="inlineStr">
        <is>
          <t>5 JOURS</t>
        </is>
      </c>
      <c r="Q462" s="2" t="n">
        <v>43942</v>
      </c>
    </row>
    <row r="463">
      <c r="A463" s="8" t="n">
        <v>34407356</v>
      </c>
      <c r="B463" s="2">
        <f>INDEX(Tableau1[], MATCH(Tableau3[[#This Row],[REFERENCE]], Tableau1[NUMERO], 0), 2)</f>
        <v/>
      </c>
      <c r="C463">
        <f>INDEX(Tableau1[], MATCH(Tableau3[[#This Row],[REFERENCE]], Tableau1[NUMERO], 0), 3)</f>
        <v/>
      </c>
      <c r="D463">
        <f>INDEX(Tableau1[], MATCH(Tableau3[[#This Row],[REFERENCE]], Tableau1[NUMERO], 0),4)</f>
        <v/>
      </c>
      <c r="E463">
        <f>INDEX(Tableau1[], MATCH(Tableau3[[#This Row],[REFERENCE]], Tableau1[NUMERO], 0), 5)</f>
        <v/>
      </c>
      <c r="F463">
        <f>INDEX(Tableau1[], MATCH(Tableau3[[#This Row],[REFERENCE]], Tableau1[NUMERO], 0), 6)</f>
        <v/>
      </c>
      <c r="G463">
        <f>INDEX(Tableau1[], MATCH(Tableau3[[#This Row],[REFERENCE]], Tableau1[NUMERO], 0), 7)</f>
        <v/>
      </c>
      <c r="H463" t="inlineStr">
        <is>
          <t>lasertechnic</t>
        </is>
      </c>
      <c r="J463" s="2" t="n">
        <v>43847</v>
      </c>
      <c r="K463" s="2" t="n">
        <v>43851</v>
      </c>
      <c r="L463" s="2" t="n"/>
      <c r="N463" s="35" t="n">
        <v>1</v>
      </c>
      <c r="O463" s="7" t="n">
        <v>22</v>
      </c>
      <c r="P463" s="8" t="inlineStr">
        <is>
          <t>5 JOURS</t>
        </is>
      </c>
      <c r="Q463" s="2" t="n">
        <v>43942</v>
      </c>
    </row>
    <row r="464">
      <c r="A464" s="8" t="n">
        <v>34407356</v>
      </c>
      <c r="B464" s="2">
        <f>INDEX(Tableau1[], MATCH(Tableau3[[#This Row],[REFERENCE]], Tableau1[NUMERO], 0), 2)</f>
        <v/>
      </c>
      <c r="C464">
        <f>INDEX(Tableau1[], MATCH(Tableau3[[#This Row],[REFERENCE]], Tableau1[NUMERO], 0), 3)</f>
        <v/>
      </c>
      <c r="D464">
        <f>INDEX(Tableau1[], MATCH(Tableau3[[#This Row],[REFERENCE]], Tableau1[NUMERO], 0),4)</f>
        <v/>
      </c>
      <c r="E464">
        <f>INDEX(Tableau1[], MATCH(Tableau3[[#This Row],[REFERENCE]], Tableau1[NUMERO], 0), 5)</f>
        <v/>
      </c>
      <c r="F464">
        <f>INDEX(Tableau1[], MATCH(Tableau3[[#This Row],[REFERENCE]], Tableau1[NUMERO], 0), 6)</f>
        <v/>
      </c>
      <c r="G464">
        <f>INDEX(Tableau1[], MATCH(Tableau3[[#This Row],[REFERENCE]], Tableau1[NUMERO], 0), 7)</f>
        <v/>
      </c>
      <c r="H464" t="inlineStr">
        <is>
          <t>lasertechnic</t>
        </is>
      </c>
      <c r="J464" s="2" t="n">
        <v>43847</v>
      </c>
      <c r="K464" s="2" t="n">
        <v>43851</v>
      </c>
      <c r="L464" s="2" t="n"/>
      <c r="N464" s="35" t="n">
        <v>9</v>
      </c>
      <c r="O464" s="7" t="n">
        <v>19</v>
      </c>
      <c r="P464" s="8" t="inlineStr">
        <is>
          <t>5 JOURS</t>
        </is>
      </c>
      <c r="Q464" s="2" t="n">
        <v>43942</v>
      </c>
    </row>
    <row r="465" ht="30" customHeight="1" s="142">
      <c r="A465" s="8" t="n">
        <v>34408147</v>
      </c>
      <c r="B465" s="2">
        <f>INDEX(Tableau1[], MATCH(Tableau3[[#This Row],[REFERENCE]], Tableau1[NUMERO], 0), 2)</f>
        <v/>
      </c>
      <c r="C465">
        <f>INDEX(Tableau1[], MATCH(Tableau3[[#This Row],[REFERENCE]], Tableau1[NUMERO], 0), 3)</f>
        <v/>
      </c>
      <c r="D465">
        <f>INDEX(Tableau1[], MATCH(Tableau3[[#This Row],[REFERENCE]], Tableau1[NUMERO], 0),4)</f>
        <v/>
      </c>
      <c r="E465">
        <f>INDEX(Tableau1[], MATCH(Tableau3[[#This Row],[REFERENCE]], Tableau1[NUMERO], 0), 5)</f>
        <v/>
      </c>
      <c r="F465">
        <f>INDEX(Tableau1[], MATCH(Tableau3[[#This Row],[REFERENCE]], Tableau1[NUMERO], 0), 6)</f>
        <v/>
      </c>
      <c r="G465">
        <f>INDEX(Tableau1[], MATCH(Tableau3[[#This Row],[REFERENCE]], Tableau1[NUMERO], 0), 7)</f>
        <v/>
      </c>
      <c r="H465" t="inlineStr">
        <is>
          <t>lasertechnic</t>
        </is>
      </c>
      <c r="J465" s="12" t="inlineStr">
        <is>
          <t>17/01/2020 et relancer le 24/01/2020</t>
        </is>
      </c>
      <c r="K465" s="2" t="n"/>
      <c r="L465" s="2" t="n"/>
      <c r="N465" s="35" t="n">
        <v>1</v>
      </c>
      <c r="O465" s="7" t="n">
        <v>128</v>
      </c>
      <c r="P465" s="8" t="inlineStr">
        <is>
          <t>5 JOURS</t>
        </is>
      </c>
      <c r="Q465" s="2" t="n">
        <v>43891</v>
      </c>
    </row>
    <row r="466" ht="30" customHeight="1" s="142">
      <c r="A466" s="8" t="n">
        <v>34401946</v>
      </c>
      <c r="B466" s="2">
        <f>INDEX(Tableau1[], MATCH(Tableau3[[#This Row],[REFERENCE]], Tableau1[NUMERO], 0), 2)</f>
        <v/>
      </c>
      <c r="C466">
        <f>INDEX(Tableau1[], MATCH(Tableau3[[#This Row],[REFERENCE]], Tableau1[NUMERO], 0), 3)</f>
        <v/>
      </c>
      <c r="D466">
        <f>INDEX(Tableau1[], MATCH(Tableau3[[#This Row],[REFERENCE]], Tableau1[NUMERO], 0),4)</f>
        <v/>
      </c>
      <c r="E466">
        <f>INDEX(Tableau1[], MATCH(Tableau3[[#This Row],[REFERENCE]], Tableau1[NUMERO], 0), 5)</f>
        <v/>
      </c>
      <c r="F466">
        <f>INDEX(Tableau1[], MATCH(Tableau3[[#This Row],[REFERENCE]], Tableau1[NUMERO], 0), 6)</f>
        <v/>
      </c>
      <c r="G466">
        <f>INDEX(Tableau1[], MATCH(Tableau3[[#This Row],[REFERENCE]], Tableau1[NUMERO], 0), 7)</f>
        <v/>
      </c>
      <c r="H466" t="inlineStr">
        <is>
          <t>COMATEL</t>
        </is>
      </c>
      <c r="J466" s="12" t="inlineStr">
        <is>
          <t>20/01/2020 et relancer le 24/01/2020</t>
        </is>
      </c>
      <c r="K466" s="2" t="n">
        <v>43854</v>
      </c>
      <c r="L466" s="2" t="n"/>
      <c r="N466" s="35" t="inlineStr">
        <is>
          <t>5 à 9</t>
        </is>
      </c>
      <c r="O466" s="7" t="n">
        <v>145.86</v>
      </c>
      <c r="P466" s="8" t="inlineStr">
        <is>
          <t>10 jours</t>
        </is>
      </c>
      <c r="Q466" s="2" t="n">
        <v>43945</v>
      </c>
    </row>
    <row r="467" ht="30" customHeight="1" s="142">
      <c r="A467" s="8" t="n">
        <v>34401946</v>
      </c>
      <c r="B467" s="2">
        <f>INDEX(Tableau1[], MATCH(Tableau3[[#This Row],[REFERENCE]], Tableau1[NUMERO], 0), 2)</f>
        <v/>
      </c>
      <c r="C467">
        <f>INDEX(Tableau1[], MATCH(Tableau3[[#This Row],[REFERENCE]], Tableau1[NUMERO], 0), 3)</f>
        <v/>
      </c>
      <c r="D467">
        <f>INDEX(Tableau1[], MATCH(Tableau3[[#This Row],[REFERENCE]], Tableau1[NUMERO], 0),4)</f>
        <v/>
      </c>
      <c r="E467">
        <f>INDEX(Tableau1[], MATCH(Tableau3[[#This Row],[REFERENCE]], Tableau1[NUMERO], 0), 5)</f>
        <v/>
      </c>
      <c r="F467">
        <f>INDEX(Tableau1[], MATCH(Tableau3[[#This Row],[REFERENCE]], Tableau1[NUMERO], 0), 6)</f>
        <v/>
      </c>
      <c r="G467">
        <f>INDEX(Tableau1[], MATCH(Tableau3[[#This Row],[REFERENCE]], Tableau1[NUMERO], 0), 7)</f>
        <v/>
      </c>
      <c r="H467" t="inlineStr">
        <is>
          <t>COMATEL</t>
        </is>
      </c>
      <c r="J467" s="12" t="inlineStr">
        <is>
          <t>20/01/2020 et relancer le 24/01/2020</t>
        </is>
      </c>
      <c r="K467" s="2" t="n">
        <v>43854</v>
      </c>
      <c r="L467" s="2" t="n"/>
      <c r="N467" s="35" t="inlineStr">
        <is>
          <t>10 à 24</t>
        </is>
      </c>
      <c r="O467" s="7" t="n">
        <v>141.78</v>
      </c>
      <c r="P467" s="8" t="inlineStr">
        <is>
          <t>10 jours</t>
        </is>
      </c>
      <c r="Q467" s="2" t="n">
        <v>43945</v>
      </c>
    </row>
    <row r="468">
      <c r="A468" s="8" t="n">
        <v>34407344</v>
      </c>
      <c r="B468" s="2">
        <f>INDEX(Tableau1[], MATCH(Tableau3[[#This Row],[REFERENCE]], Tableau1[NUMERO], 0), 2)</f>
        <v/>
      </c>
      <c r="C468">
        <f>INDEX(Tableau1[], MATCH(Tableau3[[#This Row],[REFERENCE]], Tableau1[NUMERO], 0), 3)</f>
        <v/>
      </c>
      <c r="D468">
        <f>INDEX(Tableau1[], MATCH(Tableau3[[#This Row],[REFERENCE]], Tableau1[NUMERO], 0),4)</f>
        <v/>
      </c>
      <c r="E468">
        <f>INDEX(Tableau1[], MATCH(Tableau3[[#This Row],[REFERENCE]], Tableau1[NUMERO], 0), 5)</f>
        <v/>
      </c>
      <c r="F468">
        <f>INDEX(Tableau1[], MATCH(Tableau3[[#This Row],[REFERENCE]], Tableau1[NUMERO], 0), 6)</f>
        <v/>
      </c>
      <c r="G468">
        <f>INDEX(Tableau1[], MATCH(Tableau3[[#This Row],[REFERENCE]], Tableau1[NUMERO], 0), 7)</f>
        <v/>
      </c>
      <c r="H468" t="inlineStr">
        <is>
          <t>Romaire</t>
        </is>
      </c>
      <c r="J468" s="2" t="n">
        <v>43851</v>
      </c>
      <c r="K468" s="2" t="n">
        <v>43853</v>
      </c>
      <c r="L468" s="2" t="n"/>
      <c r="N468" s="35" t="n">
        <v>4</v>
      </c>
      <c r="O468" s="7" t="n">
        <v>25.8</v>
      </c>
      <c r="P468" s="8" t="inlineStr">
        <is>
          <t>2 à 3 SEMAINES</t>
        </is>
      </c>
      <c r="Q468" s="2" t="n">
        <v>43884</v>
      </c>
    </row>
    <row r="469">
      <c r="A469" s="8" t="n">
        <v>34407344</v>
      </c>
      <c r="B469" s="2">
        <f>INDEX(Tableau1[], MATCH(Tableau3[[#This Row],[REFERENCE]], Tableau1[NUMERO], 0), 2)</f>
        <v/>
      </c>
      <c r="C469">
        <f>INDEX(Tableau1[], MATCH(Tableau3[[#This Row],[REFERENCE]], Tableau1[NUMERO], 0), 3)</f>
        <v/>
      </c>
      <c r="D469">
        <f>INDEX(Tableau1[], MATCH(Tableau3[[#This Row],[REFERENCE]], Tableau1[NUMERO], 0),4)</f>
        <v/>
      </c>
      <c r="E469">
        <f>INDEX(Tableau1[], MATCH(Tableau3[[#This Row],[REFERENCE]], Tableau1[NUMERO], 0), 5)</f>
        <v/>
      </c>
      <c r="F469">
        <f>INDEX(Tableau1[], MATCH(Tableau3[[#This Row],[REFERENCE]], Tableau1[NUMERO], 0), 6)</f>
        <v/>
      </c>
      <c r="G469">
        <f>INDEX(Tableau1[], MATCH(Tableau3[[#This Row],[REFERENCE]], Tableau1[NUMERO], 0), 7)</f>
        <v/>
      </c>
      <c r="H469" t="inlineStr">
        <is>
          <t>Romaire</t>
        </is>
      </c>
      <c r="J469" s="2" t="n">
        <v>43851</v>
      </c>
      <c r="K469" s="2" t="n">
        <v>43853</v>
      </c>
      <c r="L469" s="2" t="n"/>
      <c r="N469" s="35" t="n">
        <v>12</v>
      </c>
      <c r="O469" s="7" t="n">
        <v>12.35</v>
      </c>
      <c r="P469" s="8" t="inlineStr">
        <is>
          <t>2 à 3 SEMAINES</t>
        </is>
      </c>
      <c r="Q469" s="2" t="n">
        <v>43884</v>
      </c>
    </row>
    <row r="470">
      <c r="A470" s="8" t="n">
        <v>34407345</v>
      </c>
      <c r="B470" s="2">
        <f>INDEX(Tableau1[], MATCH(Tableau3[[#This Row],[REFERENCE]], Tableau1[NUMERO], 0), 2)</f>
        <v/>
      </c>
      <c r="C470">
        <f>INDEX(Tableau1[], MATCH(Tableau3[[#This Row],[REFERENCE]], Tableau1[NUMERO], 0), 3)</f>
        <v/>
      </c>
      <c r="D470">
        <f>INDEX(Tableau1[], MATCH(Tableau3[[#This Row],[REFERENCE]], Tableau1[NUMERO], 0),4)</f>
        <v/>
      </c>
      <c r="E470">
        <f>INDEX(Tableau1[], MATCH(Tableau3[[#This Row],[REFERENCE]], Tableau1[NUMERO], 0), 5)</f>
        <v/>
      </c>
      <c r="F470">
        <f>INDEX(Tableau1[], MATCH(Tableau3[[#This Row],[REFERENCE]], Tableau1[NUMERO], 0), 6)</f>
        <v/>
      </c>
      <c r="G470">
        <f>INDEX(Tableau1[], MATCH(Tableau3[[#This Row],[REFERENCE]], Tableau1[NUMERO], 0), 7)</f>
        <v/>
      </c>
      <c r="H470" t="inlineStr">
        <is>
          <t>Romaire</t>
        </is>
      </c>
      <c r="J470" s="2" t="n">
        <v>43851</v>
      </c>
      <c r="K470" s="2" t="n">
        <v>43853</v>
      </c>
      <c r="L470" s="2" t="n"/>
      <c r="N470" s="35" t="n">
        <v>1</v>
      </c>
      <c r="O470" s="7" t="n">
        <v>125</v>
      </c>
      <c r="P470" s="8" t="inlineStr">
        <is>
          <t>2 à 3 SEMAINES</t>
        </is>
      </c>
      <c r="Q470" s="2" t="n">
        <v>43884</v>
      </c>
    </row>
    <row r="471">
      <c r="A471" s="8" t="n">
        <v>34407345</v>
      </c>
      <c r="B471" s="2">
        <f>INDEX(Tableau1[], MATCH(Tableau3[[#This Row],[REFERENCE]], Tableau1[NUMERO], 0), 2)</f>
        <v/>
      </c>
      <c r="C471">
        <f>INDEX(Tableau1[], MATCH(Tableau3[[#This Row],[REFERENCE]], Tableau1[NUMERO], 0), 3)</f>
        <v/>
      </c>
      <c r="D471">
        <f>INDEX(Tableau1[], MATCH(Tableau3[[#This Row],[REFERENCE]], Tableau1[NUMERO], 0),4)</f>
        <v/>
      </c>
      <c r="E471">
        <f>INDEX(Tableau1[], MATCH(Tableau3[[#This Row],[REFERENCE]], Tableau1[NUMERO], 0), 5)</f>
        <v/>
      </c>
      <c r="F471">
        <f>INDEX(Tableau1[], MATCH(Tableau3[[#This Row],[REFERENCE]], Tableau1[NUMERO], 0), 6)</f>
        <v/>
      </c>
      <c r="G471">
        <f>INDEX(Tableau1[], MATCH(Tableau3[[#This Row],[REFERENCE]], Tableau1[NUMERO], 0), 7)</f>
        <v/>
      </c>
      <c r="H471" t="inlineStr">
        <is>
          <t>Romaire</t>
        </is>
      </c>
      <c r="J471" s="2" t="n">
        <v>43851</v>
      </c>
      <c r="K471" s="2" t="n">
        <v>43853</v>
      </c>
      <c r="L471" s="2" t="n"/>
      <c r="N471" s="35" t="n">
        <v>3</v>
      </c>
      <c r="O471" s="7" t="n">
        <v>49</v>
      </c>
      <c r="P471" s="8" t="inlineStr">
        <is>
          <t>2 à 3 SEMAINES</t>
        </is>
      </c>
      <c r="Q471" s="2" t="n">
        <v>43884</v>
      </c>
    </row>
    <row r="472">
      <c r="A472" s="8" t="n">
        <v>34407349</v>
      </c>
      <c r="B472" s="2">
        <f>INDEX(Tableau1[], MATCH(Tableau3[[#This Row],[REFERENCE]], Tableau1[NUMERO], 0), 2)</f>
        <v/>
      </c>
      <c r="C472">
        <f>INDEX(Tableau1[], MATCH(Tableau3[[#This Row],[REFERENCE]], Tableau1[NUMERO], 0), 3)</f>
        <v/>
      </c>
      <c r="D472">
        <f>INDEX(Tableau1[], MATCH(Tableau3[[#This Row],[REFERENCE]], Tableau1[NUMERO], 0),4)</f>
        <v/>
      </c>
      <c r="E472">
        <f>INDEX(Tableau1[], MATCH(Tableau3[[#This Row],[REFERENCE]], Tableau1[NUMERO], 0), 5)</f>
        <v/>
      </c>
      <c r="F472">
        <f>INDEX(Tableau1[], MATCH(Tableau3[[#This Row],[REFERENCE]], Tableau1[NUMERO], 0), 6)</f>
        <v/>
      </c>
      <c r="G472">
        <f>INDEX(Tableau1[], MATCH(Tableau3[[#This Row],[REFERENCE]], Tableau1[NUMERO], 0), 7)</f>
        <v/>
      </c>
      <c r="H472" t="inlineStr">
        <is>
          <t>Romaire</t>
        </is>
      </c>
      <c r="J472" s="2" t="n">
        <v>43851</v>
      </c>
      <c r="K472" s="2" t="n">
        <v>43853</v>
      </c>
      <c r="L472" s="2" t="n"/>
      <c r="N472" s="35" t="n">
        <v>1</v>
      </c>
      <c r="O472" s="7" t="n">
        <v>90</v>
      </c>
      <c r="P472" s="8" t="inlineStr">
        <is>
          <t>2 à 3 SEMAINES</t>
        </is>
      </c>
      <c r="Q472" s="2" t="n">
        <v>43884</v>
      </c>
    </row>
    <row r="473">
      <c r="A473" s="8" t="n">
        <v>34407349</v>
      </c>
      <c r="B473" s="2">
        <f>INDEX(Tableau1[], MATCH(Tableau3[[#This Row],[REFERENCE]], Tableau1[NUMERO], 0), 2)</f>
        <v/>
      </c>
      <c r="C473">
        <f>INDEX(Tableau1[], MATCH(Tableau3[[#This Row],[REFERENCE]], Tableau1[NUMERO], 0), 3)</f>
        <v/>
      </c>
      <c r="D473">
        <f>INDEX(Tableau1[], MATCH(Tableau3[[#This Row],[REFERENCE]], Tableau1[NUMERO], 0),4)</f>
        <v/>
      </c>
      <c r="E473">
        <f>INDEX(Tableau1[], MATCH(Tableau3[[#This Row],[REFERENCE]], Tableau1[NUMERO], 0), 5)</f>
        <v/>
      </c>
      <c r="F473">
        <f>INDEX(Tableau1[], MATCH(Tableau3[[#This Row],[REFERENCE]], Tableau1[NUMERO], 0), 6)</f>
        <v/>
      </c>
      <c r="G473">
        <f>INDEX(Tableau1[], MATCH(Tableau3[[#This Row],[REFERENCE]], Tableau1[NUMERO], 0), 7)</f>
        <v/>
      </c>
      <c r="H473" t="inlineStr">
        <is>
          <t>Romaire</t>
        </is>
      </c>
      <c r="J473" s="2" t="n">
        <v>43851</v>
      </c>
      <c r="K473" s="2" t="n">
        <v>43853</v>
      </c>
      <c r="L473" s="2" t="n"/>
      <c r="N473" s="35" t="n">
        <v>3</v>
      </c>
      <c r="O473" s="7" t="n">
        <v>34.5</v>
      </c>
      <c r="P473" s="8" t="inlineStr">
        <is>
          <t>2 à 3 SEMAINES</t>
        </is>
      </c>
      <c r="Q473" s="2" t="n">
        <v>43884</v>
      </c>
    </row>
    <row r="474">
      <c r="A474" s="8" t="n">
        <v>34407350</v>
      </c>
      <c r="B474" s="2">
        <f>INDEX(Tableau1[], MATCH(Tableau3[[#This Row],[REFERENCE]], Tableau1[NUMERO], 0), 2)</f>
        <v/>
      </c>
      <c r="C474">
        <f>INDEX(Tableau1[], MATCH(Tableau3[[#This Row],[REFERENCE]], Tableau1[NUMERO], 0), 3)</f>
        <v/>
      </c>
      <c r="D474">
        <f>INDEX(Tableau1[], MATCH(Tableau3[[#This Row],[REFERENCE]], Tableau1[NUMERO], 0),4)</f>
        <v/>
      </c>
      <c r="E474">
        <f>INDEX(Tableau1[], MATCH(Tableau3[[#This Row],[REFERENCE]], Tableau1[NUMERO], 0), 5)</f>
        <v/>
      </c>
      <c r="F474">
        <f>INDEX(Tableau1[], MATCH(Tableau3[[#This Row],[REFERENCE]], Tableau1[NUMERO], 0), 6)</f>
        <v/>
      </c>
      <c r="G474">
        <f>INDEX(Tableau1[], MATCH(Tableau3[[#This Row],[REFERENCE]], Tableau1[NUMERO], 0), 7)</f>
        <v/>
      </c>
      <c r="H474" t="inlineStr">
        <is>
          <t>Romaire</t>
        </is>
      </c>
      <c r="J474" s="2" t="n">
        <v>43851</v>
      </c>
      <c r="K474" s="2" t="n">
        <v>43853</v>
      </c>
      <c r="L474" s="2" t="n"/>
      <c r="N474" s="35" t="n">
        <v>1</v>
      </c>
      <c r="O474" s="7" t="n">
        <v>100</v>
      </c>
      <c r="P474" s="8" t="inlineStr">
        <is>
          <t>2 à 3 SEMAINES</t>
        </is>
      </c>
      <c r="Q474" s="2" t="n">
        <v>43884</v>
      </c>
    </row>
    <row r="475">
      <c r="A475" s="8" t="n">
        <v>34407350</v>
      </c>
      <c r="B475" s="2">
        <f>INDEX(Tableau1[], MATCH(Tableau3[[#This Row],[REFERENCE]], Tableau1[NUMERO], 0), 2)</f>
        <v/>
      </c>
      <c r="C475">
        <f>INDEX(Tableau1[], MATCH(Tableau3[[#This Row],[REFERENCE]], Tableau1[NUMERO], 0), 3)</f>
        <v/>
      </c>
      <c r="D475">
        <f>INDEX(Tableau1[], MATCH(Tableau3[[#This Row],[REFERENCE]], Tableau1[NUMERO], 0),4)</f>
        <v/>
      </c>
      <c r="E475">
        <f>INDEX(Tableau1[], MATCH(Tableau3[[#This Row],[REFERENCE]], Tableau1[NUMERO], 0), 5)</f>
        <v/>
      </c>
      <c r="F475">
        <f>INDEX(Tableau1[], MATCH(Tableau3[[#This Row],[REFERENCE]], Tableau1[NUMERO], 0), 6)</f>
        <v/>
      </c>
      <c r="G475">
        <f>INDEX(Tableau1[], MATCH(Tableau3[[#This Row],[REFERENCE]], Tableau1[NUMERO], 0), 7)</f>
        <v/>
      </c>
      <c r="H475" t="inlineStr">
        <is>
          <t>Romaire</t>
        </is>
      </c>
      <c r="J475" s="2" t="n">
        <v>43851</v>
      </c>
      <c r="K475" s="2" t="n">
        <v>43853</v>
      </c>
      <c r="L475" s="2" t="n"/>
      <c r="N475" s="35" t="n">
        <v>3</v>
      </c>
      <c r="O475" s="7" t="n">
        <v>38.7</v>
      </c>
      <c r="P475" s="8" t="inlineStr">
        <is>
          <t>2 à 3 SEMAINES</t>
        </is>
      </c>
      <c r="Q475" s="2" t="n">
        <v>43884</v>
      </c>
    </row>
    <row r="476">
      <c r="A476" s="8" t="n">
        <v>34407351</v>
      </c>
      <c r="B476" s="2">
        <f>INDEX(Tableau1[], MATCH(Tableau3[[#This Row],[REFERENCE]], Tableau1[NUMERO], 0), 2)</f>
        <v/>
      </c>
      <c r="C476">
        <f>INDEX(Tableau1[], MATCH(Tableau3[[#This Row],[REFERENCE]], Tableau1[NUMERO], 0), 3)</f>
        <v/>
      </c>
      <c r="D476">
        <f>INDEX(Tableau1[], MATCH(Tableau3[[#This Row],[REFERENCE]], Tableau1[NUMERO], 0),4)</f>
        <v/>
      </c>
      <c r="E476">
        <f>INDEX(Tableau1[], MATCH(Tableau3[[#This Row],[REFERENCE]], Tableau1[NUMERO], 0), 5)</f>
        <v/>
      </c>
      <c r="F476">
        <f>INDEX(Tableau1[], MATCH(Tableau3[[#This Row],[REFERENCE]], Tableau1[NUMERO], 0), 6)</f>
        <v/>
      </c>
      <c r="G476">
        <f>INDEX(Tableau1[], MATCH(Tableau3[[#This Row],[REFERENCE]], Tableau1[NUMERO], 0), 7)</f>
        <v/>
      </c>
      <c r="H476" t="inlineStr">
        <is>
          <t>Romaire</t>
        </is>
      </c>
      <c r="J476" s="2" t="n">
        <v>43851</v>
      </c>
      <c r="K476" s="2" t="n">
        <v>43853</v>
      </c>
      <c r="L476" s="2" t="n"/>
      <c r="N476" s="35" t="n">
        <v>1</v>
      </c>
      <c r="O476" s="7" t="n">
        <v>95</v>
      </c>
      <c r="P476" s="8" t="inlineStr">
        <is>
          <t>2 à 3 SEMAINES</t>
        </is>
      </c>
      <c r="Q476" s="2" t="n">
        <v>43884</v>
      </c>
    </row>
    <row r="477">
      <c r="A477" s="8" t="n">
        <v>34407351</v>
      </c>
      <c r="B477" s="2">
        <f>INDEX(Tableau1[], MATCH(Tableau3[[#This Row],[REFERENCE]], Tableau1[NUMERO], 0), 2)</f>
        <v/>
      </c>
      <c r="C477">
        <f>INDEX(Tableau1[], MATCH(Tableau3[[#This Row],[REFERENCE]], Tableau1[NUMERO], 0), 3)</f>
        <v/>
      </c>
      <c r="D477">
        <f>INDEX(Tableau1[], MATCH(Tableau3[[#This Row],[REFERENCE]], Tableau1[NUMERO], 0),4)</f>
        <v/>
      </c>
      <c r="E477">
        <f>INDEX(Tableau1[], MATCH(Tableau3[[#This Row],[REFERENCE]], Tableau1[NUMERO], 0), 5)</f>
        <v/>
      </c>
      <c r="F477">
        <f>INDEX(Tableau1[], MATCH(Tableau3[[#This Row],[REFERENCE]], Tableau1[NUMERO], 0), 6)</f>
        <v/>
      </c>
      <c r="G477">
        <f>INDEX(Tableau1[], MATCH(Tableau3[[#This Row],[REFERENCE]], Tableau1[NUMERO], 0), 7)</f>
        <v/>
      </c>
      <c r="H477" t="inlineStr">
        <is>
          <t>Romaire</t>
        </is>
      </c>
      <c r="J477" s="2" t="n">
        <v>43851</v>
      </c>
      <c r="K477" s="2" t="n">
        <v>43853</v>
      </c>
      <c r="L477" s="2" t="n"/>
      <c r="N477" s="35" t="n">
        <v>3</v>
      </c>
      <c r="O477" s="7" t="n">
        <v>36.9</v>
      </c>
      <c r="P477" s="8" t="inlineStr">
        <is>
          <t>2 à 3 SEMAINES</t>
        </is>
      </c>
      <c r="Q477" s="2" t="n">
        <v>43884</v>
      </c>
    </row>
    <row r="478">
      <c r="A478" s="8" t="n">
        <v>34407356</v>
      </c>
      <c r="B478" s="2">
        <f>INDEX(Tableau1[], MATCH(Tableau3[[#This Row],[REFERENCE]], Tableau1[NUMERO], 0), 2)</f>
        <v/>
      </c>
      <c r="C478">
        <f>INDEX(Tableau1[], MATCH(Tableau3[[#This Row],[REFERENCE]], Tableau1[NUMERO], 0), 3)</f>
        <v/>
      </c>
      <c r="D478">
        <f>INDEX(Tableau1[], MATCH(Tableau3[[#This Row],[REFERENCE]], Tableau1[NUMERO], 0),4)</f>
        <v/>
      </c>
      <c r="E478">
        <f>INDEX(Tableau1[], MATCH(Tableau3[[#This Row],[REFERENCE]], Tableau1[NUMERO], 0), 5)</f>
        <v/>
      </c>
      <c r="F478">
        <f>INDEX(Tableau1[], MATCH(Tableau3[[#This Row],[REFERENCE]], Tableau1[NUMERO], 0), 6)</f>
        <v/>
      </c>
      <c r="G478">
        <f>INDEX(Tableau1[], MATCH(Tableau3[[#This Row],[REFERENCE]], Tableau1[NUMERO], 0), 7)</f>
        <v/>
      </c>
      <c r="H478" t="inlineStr">
        <is>
          <t>Romaire</t>
        </is>
      </c>
      <c r="J478" s="2" t="n">
        <v>43851</v>
      </c>
      <c r="K478" s="2" t="n">
        <v>43853</v>
      </c>
      <c r="L478" s="2" t="n"/>
      <c r="N478" s="35" t="n">
        <v>3</v>
      </c>
      <c r="O478" s="7" t="n">
        <v>36.5</v>
      </c>
      <c r="P478" s="8" t="inlineStr">
        <is>
          <t>2 à 3 SEMAINES</t>
        </is>
      </c>
      <c r="Q478" s="2" t="n">
        <v>43884</v>
      </c>
    </row>
    <row r="479">
      <c r="A479" s="8" t="n">
        <v>34407356</v>
      </c>
      <c r="B479" s="2">
        <f>INDEX(Tableau1[], MATCH(Tableau3[[#This Row],[REFERENCE]], Tableau1[NUMERO], 0), 2)</f>
        <v/>
      </c>
      <c r="C479">
        <f>INDEX(Tableau1[], MATCH(Tableau3[[#This Row],[REFERENCE]], Tableau1[NUMERO], 0), 3)</f>
        <v/>
      </c>
      <c r="D479">
        <f>INDEX(Tableau1[], MATCH(Tableau3[[#This Row],[REFERENCE]], Tableau1[NUMERO], 0),4)</f>
        <v/>
      </c>
      <c r="E479">
        <f>INDEX(Tableau1[], MATCH(Tableau3[[#This Row],[REFERENCE]], Tableau1[NUMERO], 0), 5)</f>
        <v/>
      </c>
      <c r="F479">
        <f>INDEX(Tableau1[], MATCH(Tableau3[[#This Row],[REFERENCE]], Tableau1[NUMERO], 0), 6)</f>
        <v/>
      </c>
      <c r="G479">
        <f>INDEX(Tableau1[], MATCH(Tableau3[[#This Row],[REFERENCE]], Tableau1[NUMERO], 0), 7)</f>
        <v/>
      </c>
      <c r="H479" t="inlineStr">
        <is>
          <t>Romaire</t>
        </is>
      </c>
      <c r="J479" s="2" t="n">
        <v>43851</v>
      </c>
      <c r="K479" s="2" t="n">
        <v>43853</v>
      </c>
      <c r="L479" s="2" t="n"/>
      <c r="N479" s="35" t="n">
        <v>9</v>
      </c>
      <c r="O479" s="7" t="n">
        <v>17.3</v>
      </c>
      <c r="P479" s="8" t="inlineStr">
        <is>
          <t>2 à 3 SEMAINES</t>
        </is>
      </c>
      <c r="Q479" s="2" t="n">
        <v>43884</v>
      </c>
    </row>
    <row r="480">
      <c r="A480" s="8" t="n">
        <v>34407344</v>
      </c>
      <c r="B480" s="2">
        <f>INDEX(Tableau1[], MATCH(Tableau3[[#This Row],[REFERENCE]], Tableau1[NUMERO], 0), 2)</f>
        <v/>
      </c>
      <c r="C480">
        <f>INDEX(Tableau1[], MATCH(Tableau3[[#This Row],[REFERENCE]], Tableau1[NUMERO], 0), 3)</f>
        <v/>
      </c>
      <c r="D480">
        <f>INDEX(Tableau1[], MATCH(Tableau3[[#This Row],[REFERENCE]], Tableau1[NUMERO], 0),4)</f>
        <v/>
      </c>
      <c r="E480">
        <f>INDEX(Tableau1[], MATCH(Tableau3[[#This Row],[REFERENCE]], Tableau1[NUMERO], 0), 5)</f>
        <v/>
      </c>
      <c r="F480">
        <f>INDEX(Tableau1[], MATCH(Tableau3[[#This Row],[REFERENCE]], Tableau1[NUMERO], 0), 6)</f>
        <v/>
      </c>
      <c r="G480">
        <f>INDEX(Tableau1[], MATCH(Tableau3[[#This Row],[REFERENCE]], Tableau1[NUMERO], 0), 7)</f>
        <v/>
      </c>
      <c r="H480" t="inlineStr">
        <is>
          <t>Paillet</t>
        </is>
      </c>
      <c r="J480" s="2" t="n">
        <v>43850</v>
      </c>
      <c r="K480" s="2" t="n">
        <v>43851</v>
      </c>
      <c r="L480" s="2" t="n"/>
      <c r="N480" s="35" t="n">
        <v>4</v>
      </c>
      <c r="O480" s="7" t="n">
        <v>24.37</v>
      </c>
      <c r="P480" s="8" t="inlineStr">
        <is>
          <t>15 JOURS</t>
        </is>
      </c>
      <c r="Q480" s="2" t="n">
        <v>43942</v>
      </c>
    </row>
    <row r="481">
      <c r="A481" s="8" t="n">
        <v>34407344</v>
      </c>
      <c r="B481" s="2">
        <f>INDEX(Tableau1[], MATCH(Tableau3[[#This Row],[REFERENCE]], Tableau1[NUMERO], 0), 2)</f>
        <v/>
      </c>
      <c r="C481">
        <f>INDEX(Tableau1[], MATCH(Tableau3[[#This Row],[REFERENCE]], Tableau1[NUMERO], 0), 3)</f>
        <v/>
      </c>
      <c r="D481">
        <f>INDEX(Tableau1[], MATCH(Tableau3[[#This Row],[REFERENCE]], Tableau1[NUMERO], 0),4)</f>
        <v/>
      </c>
      <c r="E481">
        <f>INDEX(Tableau1[], MATCH(Tableau3[[#This Row],[REFERENCE]], Tableau1[NUMERO], 0), 5)</f>
        <v/>
      </c>
      <c r="F481">
        <f>INDEX(Tableau1[], MATCH(Tableau3[[#This Row],[REFERENCE]], Tableau1[NUMERO], 0), 6)</f>
        <v/>
      </c>
      <c r="G481">
        <f>INDEX(Tableau1[], MATCH(Tableau3[[#This Row],[REFERENCE]], Tableau1[NUMERO], 0), 7)</f>
        <v/>
      </c>
      <c r="H481" t="inlineStr">
        <is>
          <t>Paillet</t>
        </is>
      </c>
      <c r="J481" s="2" t="n">
        <v>43850</v>
      </c>
      <c r="K481" s="2" t="n">
        <v>43851</v>
      </c>
      <c r="L481" s="2" t="n"/>
      <c r="N481" s="35" t="n">
        <v>12</v>
      </c>
      <c r="O481" s="7" t="n">
        <v>10.93</v>
      </c>
      <c r="P481" s="8" t="inlineStr">
        <is>
          <t>15 JOURS</t>
        </is>
      </c>
      <c r="Q481" s="2" t="n">
        <v>43942</v>
      </c>
    </row>
    <row r="482">
      <c r="A482" s="8" t="n">
        <v>34407345</v>
      </c>
      <c r="B482" s="2">
        <f>INDEX(Tableau1[], MATCH(Tableau3[[#This Row],[REFERENCE]], Tableau1[NUMERO], 0), 2)</f>
        <v/>
      </c>
      <c r="C482">
        <f>INDEX(Tableau1[], MATCH(Tableau3[[#This Row],[REFERENCE]], Tableau1[NUMERO], 0), 3)</f>
        <v/>
      </c>
      <c r="D482">
        <f>INDEX(Tableau1[], MATCH(Tableau3[[#This Row],[REFERENCE]], Tableau1[NUMERO], 0),4)</f>
        <v/>
      </c>
      <c r="E482">
        <f>INDEX(Tableau1[], MATCH(Tableau3[[#This Row],[REFERENCE]], Tableau1[NUMERO], 0), 5)</f>
        <v/>
      </c>
      <c r="F482">
        <f>INDEX(Tableau1[], MATCH(Tableau3[[#This Row],[REFERENCE]], Tableau1[NUMERO], 0), 6)</f>
        <v/>
      </c>
      <c r="G482">
        <f>INDEX(Tableau1[], MATCH(Tableau3[[#This Row],[REFERENCE]], Tableau1[NUMERO], 0), 7)</f>
        <v/>
      </c>
      <c r="H482" t="inlineStr">
        <is>
          <t>Paillet</t>
        </is>
      </c>
      <c r="J482" s="2" t="n">
        <v>43850</v>
      </c>
      <c r="K482" s="2" t="n">
        <v>43851</v>
      </c>
      <c r="L482" s="2" t="n"/>
      <c r="N482" s="35" t="n">
        <v>1</v>
      </c>
      <c r="O482" s="7" t="n">
        <v>80.29000000000001</v>
      </c>
      <c r="P482" s="8" t="inlineStr">
        <is>
          <t>15 JOURS</t>
        </is>
      </c>
      <c r="Q482" s="2" t="n">
        <v>43942</v>
      </c>
    </row>
    <row r="483">
      <c r="A483" s="8" t="n">
        <v>34407345</v>
      </c>
      <c r="B483" s="2">
        <f>INDEX(Tableau1[], MATCH(Tableau3[[#This Row],[REFERENCE]], Tableau1[NUMERO], 0), 2)</f>
        <v/>
      </c>
      <c r="C483">
        <f>INDEX(Tableau1[], MATCH(Tableau3[[#This Row],[REFERENCE]], Tableau1[NUMERO], 0), 3)</f>
        <v/>
      </c>
      <c r="D483">
        <f>INDEX(Tableau1[], MATCH(Tableau3[[#This Row],[REFERENCE]], Tableau1[NUMERO], 0),4)</f>
        <v/>
      </c>
      <c r="E483">
        <f>INDEX(Tableau1[], MATCH(Tableau3[[#This Row],[REFERENCE]], Tableau1[NUMERO], 0), 5)</f>
        <v/>
      </c>
      <c r="F483">
        <f>INDEX(Tableau1[], MATCH(Tableau3[[#This Row],[REFERENCE]], Tableau1[NUMERO], 0), 6)</f>
        <v/>
      </c>
      <c r="G483">
        <f>INDEX(Tableau1[], MATCH(Tableau3[[#This Row],[REFERENCE]], Tableau1[NUMERO], 0), 7)</f>
        <v/>
      </c>
      <c r="H483" t="inlineStr">
        <is>
          <t>Paillet</t>
        </is>
      </c>
      <c r="J483" s="2" t="n">
        <v>43850</v>
      </c>
      <c r="K483" s="2" t="n">
        <v>43851</v>
      </c>
      <c r="L483" s="2" t="n"/>
      <c r="N483" s="35" t="n">
        <v>3</v>
      </c>
      <c r="O483" s="7" t="n">
        <v>33.73</v>
      </c>
      <c r="P483" s="8" t="inlineStr">
        <is>
          <t>15 JOURS</t>
        </is>
      </c>
      <c r="Q483" s="2" t="n">
        <v>43942</v>
      </c>
    </row>
    <row r="484">
      <c r="A484" s="8" t="n">
        <v>34407349</v>
      </c>
      <c r="B484" s="2">
        <f>INDEX(Tableau1[], MATCH(Tableau3[[#This Row],[REFERENCE]], Tableau1[NUMERO], 0), 2)</f>
        <v/>
      </c>
      <c r="C484">
        <f>INDEX(Tableau1[], MATCH(Tableau3[[#This Row],[REFERENCE]], Tableau1[NUMERO], 0), 3)</f>
        <v/>
      </c>
      <c r="D484">
        <f>INDEX(Tableau1[], MATCH(Tableau3[[#This Row],[REFERENCE]], Tableau1[NUMERO], 0),4)</f>
        <v/>
      </c>
      <c r="E484">
        <f>INDEX(Tableau1[], MATCH(Tableau3[[#This Row],[REFERENCE]], Tableau1[NUMERO], 0), 5)</f>
        <v/>
      </c>
      <c r="F484">
        <f>INDEX(Tableau1[], MATCH(Tableau3[[#This Row],[REFERENCE]], Tableau1[NUMERO], 0), 6)</f>
        <v/>
      </c>
      <c r="G484">
        <f>INDEX(Tableau1[], MATCH(Tableau3[[#This Row],[REFERENCE]], Tableau1[NUMERO], 0), 7)</f>
        <v/>
      </c>
      <c r="H484" t="inlineStr">
        <is>
          <t>Paillet</t>
        </is>
      </c>
      <c r="J484" s="2" t="n">
        <v>43850</v>
      </c>
      <c r="K484" s="2" t="n">
        <v>43851</v>
      </c>
      <c r="L484" s="2" t="n"/>
      <c r="N484" s="35" t="n">
        <v>1</v>
      </c>
      <c r="O484" s="7" t="n">
        <v>76.09999999999999</v>
      </c>
      <c r="P484" s="8" t="inlineStr">
        <is>
          <t>15 JOURS</t>
        </is>
      </c>
      <c r="Q484" s="2" t="n">
        <v>43942</v>
      </c>
    </row>
    <row r="485">
      <c r="A485" s="8" t="n">
        <v>34407349</v>
      </c>
      <c r="B485" s="2">
        <f>INDEX(Tableau1[], MATCH(Tableau3[[#This Row],[REFERENCE]], Tableau1[NUMERO], 0), 2)</f>
        <v/>
      </c>
      <c r="C485">
        <f>INDEX(Tableau1[], MATCH(Tableau3[[#This Row],[REFERENCE]], Tableau1[NUMERO], 0), 3)</f>
        <v/>
      </c>
      <c r="D485">
        <f>INDEX(Tableau1[], MATCH(Tableau3[[#This Row],[REFERENCE]], Tableau1[NUMERO], 0),4)</f>
        <v/>
      </c>
      <c r="E485">
        <f>INDEX(Tableau1[], MATCH(Tableau3[[#This Row],[REFERENCE]], Tableau1[NUMERO], 0), 5)</f>
        <v/>
      </c>
      <c r="F485">
        <f>INDEX(Tableau1[], MATCH(Tableau3[[#This Row],[REFERENCE]], Tableau1[NUMERO], 0), 6)</f>
        <v/>
      </c>
      <c r="G485">
        <f>INDEX(Tableau1[], MATCH(Tableau3[[#This Row],[REFERENCE]], Tableau1[NUMERO], 0), 7)</f>
        <v/>
      </c>
      <c r="H485" t="inlineStr">
        <is>
          <t>Paillet</t>
        </is>
      </c>
      <c r="J485" s="2" t="n">
        <v>43850</v>
      </c>
      <c r="K485" s="2" t="n">
        <v>43851</v>
      </c>
      <c r="L485" s="2" t="n"/>
      <c r="N485" s="35" t="n">
        <v>3</v>
      </c>
      <c r="O485" s="7" t="n">
        <v>29.55</v>
      </c>
      <c r="P485" s="8" t="inlineStr">
        <is>
          <t>15 JOURS</t>
        </is>
      </c>
      <c r="Q485" s="2" t="n">
        <v>43942</v>
      </c>
    </row>
    <row r="486">
      <c r="A486" s="8" t="n">
        <v>34407350</v>
      </c>
      <c r="B486" s="2">
        <f>INDEX(Tableau1[], MATCH(Tableau3[[#This Row],[REFERENCE]], Tableau1[NUMERO], 0), 2)</f>
        <v/>
      </c>
      <c r="C486">
        <f>INDEX(Tableau1[], MATCH(Tableau3[[#This Row],[REFERENCE]], Tableau1[NUMERO], 0), 3)</f>
        <v/>
      </c>
      <c r="D486">
        <f>INDEX(Tableau1[], MATCH(Tableau3[[#This Row],[REFERENCE]], Tableau1[NUMERO], 0),4)</f>
        <v/>
      </c>
      <c r="E486">
        <f>INDEX(Tableau1[], MATCH(Tableau3[[#This Row],[REFERENCE]], Tableau1[NUMERO], 0), 5)</f>
        <v/>
      </c>
      <c r="F486">
        <f>INDEX(Tableau1[], MATCH(Tableau3[[#This Row],[REFERENCE]], Tableau1[NUMERO], 0), 6)</f>
        <v/>
      </c>
      <c r="G486">
        <f>INDEX(Tableau1[], MATCH(Tableau3[[#This Row],[REFERENCE]], Tableau1[NUMERO], 0), 7)</f>
        <v/>
      </c>
      <c r="H486" t="inlineStr">
        <is>
          <t>Paillet</t>
        </is>
      </c>
      <c r="J486" s="2" t="n">
        <v>43850</v>
      </c>
      <c r="K486" s="2" t="n">
        <v>43851</v>
      </c>
      <c r="L486" s="2" t="n"/>
      <c r="N486" s="35" t="n">
        <v>1</v>
      </c>
      <c r="O486" s="7" t="n">
        <v>85.92</v>
      </c>
      <c r="P486" s="8" t="inlineStr">
        <is>
          <t>15 JOURS</t>
        </is>
      </c>
      <c r="Q486" s="2" t="n">
        <v>43942</v>
      </c>
    </row>
    <row r="487">
      <c r="A487" s="8" t="n">
        <v>34407350</v>
      </c>
      <c r="B487" s="2">
        <f>INDEX(Tableau1[], MATCH(Tableau3[[#This Row],[REFERENCE]], Tableau1[NUMERO], 0), 2)</f>
        <v/>
      </c>
      <c r="C487">
        <f>INDEX(Tableau1[], MATCH(Tableau3[[#This Row],[REFERENCE]], Tableau1[NUMERO], 0), 3)</f>
        <v/>
      </c>
      <c r="D487">
        <f>INDEX(Tableau1[], MATCH(Tableau3[[#This Row],[REFERENCE]], Tableau1[NUMERO], 0),4)</f>
        <v/>
      </c>
      <c r="E487">
        <f>INDEX(Tableau1[], MATCH(Tableau3[[#This Row],[REFERENCE]], Tableau1[NUMERO], 0), 5)</f>
        <v/>
      </c>
      <c r="F487">
        <f>INDEX(Tableau1[], MATCH(Tableau3[[#This Row],[REFERENCE]], Tableau1[NUMERO], 0), 6)</f>
        <v/>
      </c>
      <c r="G487">
        <f>INDEX(Tableau1[], MATCH(Tableau3[[#This Row],[REFERENCE]], Tableau1[NUMERO], 0), 7)</f>
        <v/>
      </c>
      <c r="H487" t="inlineStr">
        <is>
          <t>Paillet</t>
        </is>
      </c>
      <c r="J487" s="2" t="n">
        <v>43850</v>
      </c>
      <c r="K487" s="2" t="n">
        <v>43851</v>
      </c>
      <c r="L487" s="2" t="n"/>
      <c r="N487" s="35" t="n">
        <v>3</v>
      </c>
      <c r="O487" s="7" t="n">
        <v>33.53</v>
      </c>
      <c r="P487" s="8" t="inlineStr">
        <is>
          <t>15 JOURS</t>
        </is>
      </c>
      <c r="Q487" s="2" t="n">
        <v>43942</v>
      </c>
    </row>
    <row r="488">
      <c r="A488" s="8" t="n">
        <v>34407351</v>
      </c>
      <c r="B488" s="2">
        <f>INDEX(Tableau1[], MATCH(Tableau3[[#This Row],[REFERENCE]], Tableau1[NUMERO], 0), 2)</f>
        <v/>
      </c>
      <c r="C488">
        <f>INDEX(Tableau1[], MATCH(Tableau3[[#This Row],[REFERENCE]], Tableau1[NUMERO], 0), 3)</f>
        <v/>
      </c>
      <c r="D488">
        <f>INDEX(Tableau1[], MATCH(Tableau3[[#This Row],[REFERENCE]], Tableau1[NUMERO], 0),4)</f>
        <v/>
      </c>
      <c r="E488">
        <f>INDEX(Tableau1[], MATCH(Tableau3[[#This Row],[REFERENCE]], Tableau1[NUMERO], 0), 5)</f>
        <v/>
      </c>
      <c r="F488">
        <f>INDEX(Tableau1[], MATCH(Tableau3[[#This Row],[REFERENCE]], Tableau1[NUMERO], 0), 6)</f>
        <v/>
      </c>
      <c r="G488">
        <f>INDEX(Tableau1[], MATCH(Tableau3[[#This Row],[REFERENCE]], Tableau1[NUMERO], 0), 7)</f>
        <v/>
      </c>
      <c r="H488" t="inlineStr">
        <is>
          <t>Paillet</t>
        </is>
      </c>
      <c r="J488" s="2" t="n">
        <v>43850</v>
      </c>
      <c r="K488" s="2" t="n">
        <v>43851</v>
      </c>
      <c r="L488" s="2" t="n"/>
      <c r="N488" s="35" t="n">
        <v>1</v>
      </c>
      <c r="O488" s="7" t="n">
        <v>76.81999999999999</v>
      </c>
      <c r="P488" s="8" t="inlineStr">
        <is>
          <t>15 JOURS</t>
        </is>
      </c>
      <c r="Q488" s="2" t="n">
        <v>43942</v>
      </c>
    </row>
    <row r="489">
      <c r="A489" s="8" t="n">
        <v>34407351</v>
      </c>
      <c r="B489" s="2">
        <f>INDEX(Tableau1[], MATCH(Tableau3[[#This Row],[REFERENCE]], Tableau1[NUMERO], 0), 2)</f>
        <v/>
      </c>
      <c r="C489">
        <f>INDEX(Tableau1[], MATCH(Tableau3[[#This Row],[REFERENCE]], Tableau1[NUMERO], 0), 3)</f>
        <v/>
      </c>
      <c r="D489">
        <f>INDEX(Tableau1[], MATCH(Tableau3[[#This Row],[REFERENCE]], Tableau1[NUMERO], 0),4)</f>
        <v/>
      </c>
      <c r="E489">
        <f>INDEX(Tableau1[], MATCH(Tableau3[[#This Row],[REFERENCE]], Tableau1[NUMERO], 0), 5)</f>
        <v/>
      </c>
      <c r="F489">
        <f>INDEX(Tableau1[], MATCH(Tableau3[[#This Row],[REFERENCE]], Tableau1[NUMERO], 0), 6)</f>
        <v/>
      </c>
      <c r="G489">
        <f>INDEX(Tableau1[], MATCH(Tableau3[[#This Row],[REFERENCE]], Tableau1[NUMERO], 0), 7)</f>
        <v/>
      </c>
      <c r="H489" t="inlineStr">
        <is>
          <t>Paillet</t>
        </is>
      </c>
      <c r="J489" s="2" t="n">
        <v>43850</v>
      </c>
      <c r="K489" s="2" t="n">
        <v>43851</v>
      </c>
      <c r="L489" s="2" t="n"/>
      <c r="N489" s="35" t="n">
        <v>3</v>
      </c>
      <c r="O489" s="7" t="n">
        <v>30.26</v>
      </c>
      <c r="P489" s="8" t="inlineStr">
        <is>
          <t>15 JOURS</t>
        </is>
      </c>
      <c r="Q489" s="2" t="n">
        <v>43942</v>
      </c>
    </row>
    <row r="490">
      <c r="A490" s="8" t="n">
        <v>34407356</v>
      </c>
      <c r="B490" s="2">
        <f>INDEX(Tableau1[], MATCH(Tableau3[[#This Row],[REFERENCE]], Tableau1[NUMERO], 0), 2)</f>
        <v/>
      </c>
      <c r="C490">
        <f>INDEX(Tableau1[], MATCH(Tableau3[[#This Row],[REFERENCE]], Tableau1[NUMERO], 0), 3)</f>
        <v/>
      </c>
      <c r="D490">
        <f>INDEX(Tableau1[], MATCH(Tableau3[[#This Row],[REFERENCE]], Tableau1[NUMERO], 0),4)</f>
        <v/>
      </c>
      <c r="E490">
        <f>INDEX(Tableau1[], MATCH(Tableau3[[#This Row],[REFERENCE]], Tableau1[NUMERO], 0), 5)</f>
        <v/>
      </c>
      <c r="F490">
        <f>INDEX(Tableau1[], MATCH(Tableau3[[#This Row],[REFERENCE]], Tableau1[NUMERO], 0), 6)</f>
        <v/>
      </c>
      <c r="G490">
        <f>INDEX(Tableau1[], MATCH(Tableau3[[#This Row],[REFERENCE]], Tableau1[NUMERO], 0), 7)</f>
        <v/>
      </c>
      <c r="H490" t="inlineStr">
        <is>
          <t>Paillet</t>
        </is>
      </c>
      <c r="J490" s="2" t="n">
        <v>43850</v>
      </c>
      <c r="K490" s="2" t="n">
        <v>43851</v>
      </c>
      <c r="L490" s="2" t="n"/>
      <c r="N490" s="35" t="n">
        <v>3</v>
      </c>
      <c r="O490" s="7" t="n">
        <v>32.17</v>
      </c>
      <c r="P490" s="8" t="inlineStr">
        <is>
          <t>15 JOURS</t>
        </is>
      </c>
      <c r="Q490" s="2" t="n">
        <v>43942</v>
      </c>
    </row>
    <row r="491">
      <c r="A491" s="8" t="n">
        <v>34407356</v>
      </c>
      <c r="B491" s="2">
        <f>INDEX(Tableau1[], MATCH(Tableau3[[#This Row],[REFERENCE]], Tableau1[NUMERO], 0), 2)</f>
        <v/>
      </c>
      <c r="C491">
        <f>INDEX(Tableau1[], MATCH(Tableau3[[#This Row],[REFERENCE]], Tableau1[NUMERO], 0), 3)</f>
        <v/>
      </c>
      <c r="D491">
        <f>INDEX(Tableau1[], MATCH(Tableau3[[#This Row],[REFERENCE]], Tableau1[NUMERO], 0),4)</f>
        <v/>
      </c>
      <c r="E491">
        <f>INDEX(Tableau1[], MATCH(Tableau3[[#This Row],[REFERENCE]], Tableau1[NUMERO], 0), 5)</f>
        <v/>
      </c>
      <c r="F491">
        <f>INDEX(Tableau1[], MATCH(Tableau3[[#This Row],[REFERENCE]], Tableau1[NUMERO], 0), 6)</f>
        <v/>
      </c>
      <c r="G491">
        <f>INDEX(Tableau1[], MATCH(Tableau3[[#This Row],[REFERENCE]], Tableau1[NUMERO], 0), 7)</f>
        <v/>
      </c>
      <c r="H491" t="inlineStr">
        <is>
          <t>Paillet</t>
        </is>
      </c>
      <c r="J491" s="2" t="n">
        <v>43850</v>
      </c>
      <c r="K491" s="2" t="n">
        <v>43851</v>
      </c>
      <c r="L491" s="2" t="n"/>
      <c r="N491" s="35" t="n">
        <v>9</v>
      </c>
      <c r="O491" s="7" t="n">
        <v>15.06</v>
      </c>
      <c r="P491" s="8" t="inlineStr">
        <is>
          <t>15 JOURS</t>
        </is>
      </c>
      <c r="Q491" s="2" t="n">
        <v>43942</v>
      </c>
    </row>
    <row r="492">
      <c r="A492" s="8" t="n">
        <v>34407344</v>
      </c>
      <c r="B492" s="2">
        <f>INDEX(Tableau1[], MATCH(Tableau3[[#This Row],[REFERENCE]], Tableau1[NUMERO], 0), 2)</f>
        <v/>
      </c>
      <c r="C492">
        <f>INDEX(Tableau1[], MATCH(Tableau3[[#This Row],[REFERENCE]], Tableau1[NUMERO], 0), 3)</f>
        <v/>
      </c>
      <c r="D492">
        <f>INDEX(Tableau1[], MATCH(Tableau3[[#This Row],[REFERENCE]], Tableau1[NUMERO], 0),4)</f>
        <v/>
      </c>
      <c r="E492">
        <f>INDEX(Tableau1[], MATCH(Tableau3[[#This Row],[REFERENCE]], Tableau1[NUMERO], 0), 5)</f>
        <v/>
      </c>
      <c r="F492">
        <f>INDEX(Tableau1[], MATCH(Tableau3[[#This Row],[REFERENCE]], Tableau1[NUMERO], 0), 6)</f>
        <v/>
      </c>
      <c r="G492">
        <f>INDEX(Tableau1[], MATCH(Tableau3[[#This Row],[REFERENCE]], Tableau1[NUMERO], 0), 7)</f>
        <v/>
      </c>
      <c r="H492" t="inlineStr">
        <is>
          <t>Dker</t>
        </is>
      </c>
      <c r="J492" s="2" t="n">
        <v>43851</v>
      </c>
      <c r="K492" s="2" t="n">
        <v>43853</v>
      </c>
      <c r="L492" s="2" t="n"/>
      <c r="O492" s="7" t="inlineStr">
        <is>
          <t>refus de prix</t>
        </is>
      </c>
      <c r="P492" s="8" t="n"/>
      <c r="Q492" s="2" t="n"/>
    </row>
    <row r="493">
      <c r="A493" s="8" t="n">
        <v>34407345</v>
      </c>
      <c r="B493" s="2">
        <f>INDEX(Tableau1[], MATCH(Tableau3[[#This Row],[REFERENCE]], Tableau1[NUMERO], 0), 2)</f>
        <v/>
      </c>
      <c r="C493">
        <f>INDEX(Tableau1[], MATCH(Tableau3[[#This Row],[REFERENCE]], Tableau1[NUMERO], 0), 3)</f>
        <v/>
      </c>
      <c r="D493">
        <f>INDEX(Tableau1[], MATCH(Tableau3[[#This Row],[REFERENCE]], Tableau1[NUMERO], 0),4)</f>
        <v/>
      </c>
      <c r="E493">
        <f>INDEX(Tableau1[], MATCH(Tableau3[[#This Row],[REFERENCE]], Tableau1[NUMERO], 0), 5)</f>
        <v/>
      </c>
      <c r="F493">
        <f>INDEX(Tableau1[], MATCH(Tableau3[[#This Row],[REFERENCE]], Tableau1[NUMERO], 0), 6)</f>
        <v/>
      </c>
      <c r="G493">
        <f>INDEX(Tableau1[], MATCH(Tableau3[[#This Row],[REFERENCE]], Tableau1[NUMERO], 0), 7)</f>
        <v/>
      </c>
      <c r="H493" t="inlineStr">
        <is>
          <t>Dker</t>
        </is>
      </c>
      <c r="J493" s="2" t="n">
        <v>43851</v>
      </c>
      <c r="K493" s="2" t="n">
        <v>43853</v>
      </c>
      <c r="L493" s="2" t="n"/>
      <c r="O493" s="7" t="inlineStr">
        <is>
          <t>refus de prix</t>
        </is>
      </c>
      <c r="P493" s="8" t="n"/>
      <c r="Q493" s="2" t="n"/>
    </row>
    <row r="494">
      <c r="A494" s="8" t="n">
        <v>34407349</v>
      </c>
      <c r="B494" s="2">
        <f>INDEX(Tableau1[], MATCH(Tableau3[[#This Row],[REFERENCE]], Tableau1[NUMERO], 0), 2)</f>
        <v/>
      </c>
      <c r="C494">
        <f>INDEX(Tableau1[], MATCH(Tableau3[[#This Row],[REFERENCE]], Tableau1[NUMERO], 0), 3)</f>
        <v/>
      </c>
      <c r="D494">
        <f>INDEX(Tableau1[], MATCH(Tableau3[[#This Row],[REFERENCE]], Tableau1[NUMERO], 0),4)</f>
        <v/>
      </c>
      <c r="E494">
        <f>INDEX(Tableau1[], MATCH(Tableau3[[#This Row],[REFERENCE]], Tableau1[NUMERO], 0), 5)</f>
        <v/>
      </c>
      <c r="F494">
        <f>INDEX(Tableau1[], MATCH(Tableau3[[#This Row],[REFERENCE]], Tableau1[NUMERO], 0), 6)</f>
        <v/>
      </c>
      <c r="G494">
        <f>INDEX(Tableau1[], MATCH(Tableau3[[#This Row],[REFERENCE]], Tableau1[NUMERO], 0), 7)</f>
        <v/>
      </c>
      <c r="H494" t="inlineStr">
        <is>
          <t>Dker</t>
        </is>
      </c>
      <c r="J494" s="2" t="n">
        <v>43851</v>
      </c>
      <c r="K494" s="2" t="n">
        <v>43853</v>
      </c>
      <c r="L494" s="2" t="n"/>
      <c r="O494" s="7" t="inlineStr">
        <is>
          <t>refus de prix</t>
        </is>
      </c>
      <c r="P494" s="8" t="n"/>
      <c r="Q494" s="2" t="n"/>
    </row>
    <row r="495">
      <c r="A495" s="8" t="n">
        <v>34407350</v>
      </c>
      <c r="B495" s="2">
        <f>INDEX(Tableau1[], MATCH(Tableau3[[#This Row],[REFERENCE]], Tableau1[NUMERO], 0), 2)</f>
        <v/>
      </c>
      <c r="C495">
        <f>INDEX(Tableau1[], MATCH(Tableau3[[#This Row],[REFERENCE]], Tableau1[NUMERO], 0), 3)</f>
        <v/>
      </c>
      <c r="D495">
        <f>INDEX(Tableau1[], MATCH(Tableau3[[#This Row],[REFERENCE]], Tableau1[NUMERO], 0),4)</f>
        <v/>
      </c>
      <c r="E495">
        <f>INDEX(Tableau1[], MATCH(Tableau3[[#This Row],[REFERENCE]], Tableau1[NUMERO], 0), 5)</f>
        <v/>
      </c>
      <c r="F495">
        <f>INDEX(Tableau1[], MATCH(Tableau3[[#This Row],[REFERENCE]], Tableau1[NUMERO], 0), 6)</f>
        <v/>
      </c>
      <c r="G495">
        <f>INDEX(Tableau1[], MATCH(Tableau3[[#This Row],[REFERENCE]], Tableau1[NUMERO], 0), 7)</f>
        <v/>
      </c>
      <c r="H495" t="inlineStr">
        <is>
          <t>Dker</t>
        </is>
      </c>
      <c r="J495" s="2" t="n">
        <v>43851</v>
      </c>
      <c r="K495" s="2" t="n">
        <v>43853</v>
      </c>
      <c r="L495" s="2" t="n"/>
      <c r="O495" s="7" t="inlineStr">
        <is>
          <t>refus de prix</t>
        </is>
      </c>
      <c r="P495" s="8" t="n"/>
      <c r="Q495" s="2" t="n"/>
    </row>
    <row r="496">
      <c r="A496" s="8" t="n">
        <v>34407351</v>
      </c>
      <c r="B496" s="2">
        <f>INDEX(Tableau1[], MATCH(Tableau3[[#This Row],[REFERENCE]], Tableau1[NUMERO], 0), 2)</f>
        <v/>
      </c>
      <c r="C496">
        <f>INDEX(Tableau1[], MATCH(Tableau3[[#This Row],[REFERENCE]], Tableau1[NUMERO], 0), 3)</f>
        <v/>
      </c>
      <c r="D496">
        <f>INDEX(Tableau1[], MATCH(Tableau3[[#This Row],[REFERENCE]], Tableau1[NUMERO], 0),4)</f>
        <v/>
      </c>
      <c r="E496">
        <f>INDEX(Tableau1[], MATCH(Tableau3[[#This Row],[REFERENCE]], Tableau1[NUMERO], 0), 5)</f>
        <v/>
      </c>
      <c r="F496">
        <f>INDEX(Tableau1[], MATCH(Tableau3[[#This Row],[REFERENCE]], Tableau1[NUMERO], 0), 6)</f>
        <v/>
      </c>
      <c r="G496">
        <f>INDEX(Tableau1[], MATCH(Tableau3[[#This Row],[REFERENCE]], Tableau1[NUMERO], 0), 7)</f>
        <v/>
      </c>
      <c r="H496" t="inlineStr">
        <is>
          <t>Dker</t>
        </is>
      </c>
      <c r="J496" s="2" t="n">
        <v>43851</v>
      </c>
      <c r="K496" s="2" t="n">
        <v>43853</v>
      </c>
      <c r="L496" s="2" t="n"/>
      <c r="O496" s="7" t="inlineStr">
        <is>
          <t>refus de prix</t>
        </is>
      </c>
      <c r="P496" s="8" t="n"/>
      <c r="Q496" s="2" t="n"/>
    </row>
    <row r="497">
      <c r="A497" s="8" t="n">
        <v>34407356</v>
      </c>
      <c r="B497" s="2">
        <f>INDEX(Tableau1[], MATCH(Tableau3[[#This Row],[REFERENCE]], Tableau1[NUMERO], 0), 2)</f>
        <v/>
      </c>
      <c r="C497">
        <f>INDEX(Tableau1[], MATCH(Tableau3[[#This Row],[REFERENCE]], Tableau1[NUMERO], 0), 3)</f>
        <v/>
      </c>
      <c r="D497">
        <f>INDEX(Tableau1[], MATCH(Tableau3[[#This Row],[REFERENCE]], Tableau1[NUMERO], 0),4)</f>
        <v/>
      </c>
      <c r="E497">
        <f>INDEX(Tableau1[], MATCH(Tableau3[[#This Row],[REFERENCE]], Tableau1[NUMERO], 0), 5)</f>
        <v/>
      </c>
      <c r="F497">
        <f>INDEX(Tableau1[], MATCH(Tableau3[[#This Row],[REFERENCE]], Tableau1[NUMERO], 0), 6)</f>
        <v/>
      </c>
      <c r="G497">
        <f>INDEX(Tableau1[], MATCH(Tableau3[[#This Row],[REFERENCE]], Tableau1[NUMERO], 0), 7)</f>
        <v/>
      </c>
      <c r="H497" t="inlineStr">
        <is>
          <t>Dker</t>
        </is>
      </c>
      <c r="J497" s="2" t="n">
        <v>43851</v>
      </c>
      <c r="K497" s="2" t="n">
        <v>43853</v>
      </c>
      <c r="L497" s="2" t="n"/>
      <c r="O497" s="7" t="inlineStr">
        <is>
          <t>refus de prix</t>
        </is>
      </c>
      <c r="P497" s="8" t="n"/>
      <c r="Q497" s="2" t="n"/>
    </row>
    <row r="498">
      <c r="A498" s="8" t="n">
        <v>34401946</v>
      </c>
      <c r="B498" s="2">
        <f>INDEX(Tableau1[], MATCH(Tableau3[[#This Row],[REFERENCE]], Tableau1[NUMERO], 0), 2)</f>
        <v/>
      </c>
      <c r="C498">
        <f>INDEX(Tableau1[], MATCH(Tableau3[[#This Row],[REFERENCE]], Tableau1[NUMERO], 0), 3)</f>
        <v/>
      </c>
      <c r="D498">
        <f>INDEX(Tableau1[], MATCH(Tableau3[[#This Row],[REFERENCE]], Tableau1[NUMERO], 0),4)</f>
        <v/>
      </c>
      <c r="E498">
        <f>INDEX(Tableau1[], MATCH(Tableau3[[#This Row],[REFERENCE]], Tableau1[NUMERO], 0), 5)</f>
        <v/>
      </c>
      <c r="F498">
        <f>INDEX(Tableau1[], MATCH(Tableau3[[#This Row],[REFERENCE]], Tableau1[NUMERO], 0), 6)</f>
        <v/>
      </c>
      <c r="G498">
        <f>INDEX(Tableau1[], MATCH(Tableau3[[#This Row],[REFERENCE]], Tableau1[NUMERO], 0), 7)</f>
        <v/>
      </c>
      <c r="H498" t="inlineStr">
        <is>
          <t>les 3 V</t>
        </is>
      </c>
      <c r="J498" s="2" t="n">
        <v>43850</v>
      </c>
      <c r="K498" s="2" t="n">
        <v>43853</v>
      </c>
      <c r="L498" s="2" t="n"/>
      <c r="N498" s="35" t="n">
        <v>5</v>
      </c>
      <c r="O498" s="7" t="n">
        <v>183.83</v>
      </c>
      <c r="P498" s="8" t="inlineStr">
        <is>
          <t>5 semaines</t>
        </is>
      </c>
      <c r="Q498" s="2" t="n">
        <v>43944</v>
      </c>
    </row>
    <row r="499">
      <c r="A499" s="8" t="n">
        <v>34401946</v>
      </c>
      <c r="B499" s="2">
        <f>INDEX(Tableau1[], MATCH(Tableau3[[#This Row],[REFERENCE]], Tableau1[NUMERO], 0), 2)</f>
        <v/>
      </c>
      <c r="C499">
        <f>INDEX(Tableau1[], MATCH(Tableau3[[#This Row],[REFERENCE]], Tableau1[NUMERO], 0), 3)</f>
        <v/>
      </c>
      <c r="D499">
        <f>INDEX(Tableau1[], MATCH(Tableau3[[#This Row],[REFERENCE]], Tableau1[NUMERO], 0),4)</f>
        <v/>
      </c>
      <c r="E499">
        <f>INDEX(Tableau1[], MATCH(Tableau3[[#This Row],[REFERENCE]], Tableau1[NUMERO], 0), 5)</f>
        <v/>
      </c>
      <c r="F499">
        <f>INDEX(Tableau1[], MATCH(Tableau3[[#This Row],[REFERENCE]], Tableau1[NUMERO], 0), 6)</f>
        <v/>
      </c>
      <c r="G499">
        <f>INDEX(Tableau1[], MATCH(Tableau3[[#This Row],[REFERENCE]], Tableau1[NUMERO], 0), 7)</f>
        <v/>
      </c>
      <c r="H499" t="inlineStr">
        <is>
          <t>les 3 V</t>
        </is>
      </c>
      <c r="J499" s="2" t="n">
        <v>43850</v>
      </c>
      <c r="K499" s="2" t="n">
        <v>43853</v>
      </c>
      <c r="L499" s="2" t="n"/>
      <c r="N499" s="35" t="n">
        <v>10</v>
      </c>
      <c r="O499" s="7" t="n">
        <v>126.54</v>
      </c>
      <c r="P499" s="8" t="inlineStr">
        <is>
          <t>5 semaines</t>
        </is>
      </c>
      <c r="Q499" s="2" t="n">
        <v>43944</v>
      </c>
    </row>
    <row r="500">
      <c r="A500" s="8" t="n">
        <v>34406992</v>
      </c>
      <c r="B500" s="2">
        <f>INDEX(Tableau1[], MATCH(Tableau3[[#This Row],[REFERENCE]], Tableau1[NUMERO], 0), 2)</f>
        <v/>
      </c>
      <c r="C500">
        <f>INDEX(Tableau1[], MATCH(Tableau3[[#This Row],[REFERENCE]], Tableau1[NUMERO], 0), 3)</f>
        <v/>
      </c>
      <c r="D500">
        <f>INDEX(Tableau1[], MATCH(Tableau3[[#This Row],[REFERENCE]], Tableau1[NUMERO], 0),4)</f>
        <v/>
      </c>
      <c r="E500">
        <f>INDEX(Tableau1[], MATCH(Tableau3[[#This Row],[REFERENCE]], Tableau1[NUMERO], 0), 5)</f>
        <v/>
      </c>
      <c r="F500">
        <f>INDEX(Tableau1[], MATCH(Tableau3[[#This Row],[REFERENCE]], Tableau1[NUMERO], 0), 6)</f>
        <v/>
      </c>
      <c r="G500">
        <f>INDEX(Tableau1[], MATCH(Tableau3[[#This Row],[REFERENCE]], Tableau1[NUMERO], 0), 7)</f>
        <v/>
      </c>
      <c r="H500" t="inlineStr">
        <is>
          <t>thyssen</t>
        </is>
      </c>
      <c r="J500" s="2" t="n">
        <v>43850</v>
      </c>
      <c r="K500" s="2" t="n">
        <v>43851</v>
      </c>
      <c r="L500" s="2" t="n"/>
      <c r="N500" s="35" t="n">
        <v>18</v>
      </c>
      <c r="O500" s="7" t="n">
        <v>21.1</v>
      </c>
      <c r="P500" s="8" t="inlineStr">
        <is>
          <t>2 SEMAINES</t>
        </is>
      </c>
      <c r="Q500" s="2" t="n">
        <v>43942</v>
      </c>
    </row>
    <row r="501">
      <c r="A501" s="8" t="n">
        <v>34405779</v>
      </c>
      <c r="B501" s="2">
        <f>INDEX(Tableau1[], MATCH(Tableau3[[#This Row],[REFERENCE]], Tableau1[NUMERO], 0), 2)</f>
        <v/>
      </c>
      <c r="C501">
        <f>INDEX(Tableau1[], MATCH(Tableau3[[#This Row],[REFERENCE]], Tableau1[NUMERO], 0), 3)</f>
        <v/>
      </c>
      <c r="D501">
        <f>INDEX(Tableau1[], MATCH(Tableau3[[#This Row],[REFERENCE]], Tableau1[NUMERO], 0),4)</f>
        <v/>
      </c>
      <c r="E501">
        <f>INDEX(Tableau1[], MATCH(Tableau3[[#This Row],[REFERENCE]], Tableau1[NUMERO], 0), 5)</f>
        <v/>
      </c>
      <c r="F501">
        <f>INDEX(Tableau1[], MATCH(Tableau3[[#This Row],[REFERENCE]], Tableau1[NUMERO], 0), 6)</f>
        <v/>
      </c>
      <c r="G501">
        <f>INDEX(Tableau1[], MATCH(Tableau3[[#This Row],[REFERENCE]], Tableau1[NUMERO], 0), 7)</f>
        <v/>
      </c>
      <c r="H501" t="inlineStr">
        <is>
          <t>lasertechnic</t>
        </is>
      </c>
      <c r="J501" s="11" t="n">
        <v>43854</v>
      </c>
      <c r="K501" s="2" t="n">
        <v>43857</v>
      </c>
      <c r="L501" s="2" t="n"/>
      <c r="N501" s="35" t="n">
        <v>1</v>
      </c>
      <c r="O501" s="7" t="n">
        <v>95</v>
      </c>
      <c r="P501" s="8" t="inlineStr">
        <is>
          <t>5 JOURS</t>
        </is>
      </c>
      <c r="Q501" s="2" t="n">
        <v>43948</v>
      </c>
    </row>
    <row r="502">
      <c r="A502" s="8" t="n">
        <v>34405780</v>
      </c>
      <c r="B502" s="2">
        <f>INDEX(Tableau1[], MATCH(Tableau3[[#This Row],[REFERENCE]], Tableau1[NUMERO], 0), 2)</f>
        <v/>
      </c>
      <c r="C502">
        <f>INDEX(Tableau1[], MATCH(Tableau3[[#This Row],[REFERENCE]], Tableau1[NUMERO], 0), 3)</f>
        <v/>
      </c>
      <c r="D502">
        <f>INDEX(Tableau1[], MATCH(Tableau3[[#This Row],[REFERENCE]], Tableau1[NUMERO], 0),4)</f>
        <v/>
      </c>
      <c r="E502">
        <f>INDEX(Tableau1[], MATCH(Tableau3[[#This Row],[REFERENCE]], Tableau1[NUMERO], 0), 5)</f>
        <v/>
      </c>
      <c r="F502">
        <f>INDEX(Tableau1[], MATCH(Tableau3[[#This Row],[REFERENCE]], Tableau1[NUMERO], 0), 6)</f>
        <v/>
      </c>
      <c r="G502">
        <f>INDEX(Tableau1[], MATCH(Tableau3[[#This Row],[REFERENCE]], Tableau1[NUMERO], 0), 7)</f>
        <v/>
      </c>
      <c r="H502" t="inlineStr">
        <is>
          <t>lasertechnic</t>
        </is>
      </c>
      <c r="J502" s="11" t="n">
        <v>43854</v>
      </c>
      <c r="K502" s="2" t="n">
        <v>43857</v>
      </c>
      <c r="L502" s="2" t="n"/>
      <c r="N502" s="35" t="n">
        <v>1</v>
      </c>
      <c r="O502" s="7" t="n">
        <v>34</v>
      </c>
      <c r="P502" s="8" t="inlineStr">
        <is>
          <t>5 JOURS</t>
        </is>
      </c>
      <c r="Q502" s="2" t="n">
        <v>43948</v>
      </c>
    </row>
    <row r="503">
      <c r="A503" s="8" t="n">
        <v>34405606</v>
      </c>
      <c r="B503" s="2">
        <f>INDEX(Tableau1[], MATCH(Tableau3[[#This Row],[REFERENCE]], Tableau1[NUMERO], 0), 2)</f>
        <v/>
      </c>
      <c r="C503">
        <f>INDEX(Tableau1[], MATCH(Tableau3[[#This Row],[REFERENCE]], Tableau1[NUMERO], 0), 3)</f>
        <v/>
      </c>
      <c r="D503">
        <f>INDEX(Tableau1[], MATCH(Tableau3[[#This Row],[REFERENCE]], Tableau1[NUMERO], 0),4)</f>
        <v/>
      </c>
      <c r="E503">
        <f>INDEX(Tableau1[], MATCH(Tableau3[[#This Row],[REFERENCE]], Tableau1[NUMERO], 0), 5)</f>
        <v/>
      </c>
      <c r="F503">
        <f>INDEX(Tableau1[], MATCH(Tableau3[[#This Row],[REFERENCE]], Tableau1[NUMERO], 0), 6)</f>
        <v/>
      </c>
      <c r="G503">
        <f>INDEX(Tableau1[], MATCH(Tableau3[[#This Row],[REFERENCE]], Tableau1[NUMERO], 0), 7)</f>
        <v/>
      </c>
      <c r="H503" t="inlineStr">
        <is>
          <t>lasertechnic</t>
        </is>
      </c>
      <c r="J503" s="11" t="n">
        <v>43854</v>
      </c>
      <c r="K503" s="2" t="n">
        <v>43857</v>
      </c>
      <c r="L503" s="2" t="n"/>
      <c r="N503" s="35" t="n">
        <v>1</v>
      </c>
      <c r="O503" s="7" t="n">
        <v>10</v>
      </c>
      <c r="P503" s="8" t="inlineStr">
        <is>
          <t>5 JOURS</t>
        </is>
      </c>
      <c r="Q503" s="2" t="n">
        <v>43948</v>
      </c>
    </row>
    <row r="504">
      <c r="A504" s="8" t="n">
        <v>34408305</v>
      </c>
      <c r="B504" s="2">
        <f>INDEX(Tableau1[], MATCH(Tableau3[[#This Row],[REFERENCE]], Tableau1[NUMERO], 0), 2)</f>
        <v/>
      </c>
      <c r="C504">
        <f>INDEX(Tableau1[], MATCH(Tableau3[[#This Row],[REFERENCE]], Tableau1[NUMERO], 0), 3)</f>
        <v/>
      </c>
      <c r="D504">
        <f>INDEX(Tableau1[], MATCH(Tableau3[[#This Row],[REFERENCE]], Tableau1[NUMERO], 0),4)</f>
        <v/>
      </c>
      <c r="E504">
        <f>INDEX(Tableau1[], MATCH(Tableau3[[#This Row],[REFERENCE]], Tableau1[NUMERO], 0), 5)</f>
        <v/>
      </c>
      <c r="F504" t="inlineStr">
        <is>
          <t>GVX</t>
        </is>
      </c>
      <c r="G504">
        <f>INDEX(Tableau1[], MATCH(Tableau3[[#This Row],[REFERENCE]], Tableau1[NUMERO], 0), 7)</f>
        <v/>
      </c>
      <c r="H504" t="inlineStr">
        <is>
          <t>lasertechnic</t>
        </is>
      </c>
      <c r="J504" s="2" t="n">
        <v>43853</v>
      </c>
      <c r="K504" s="2" t="n">
        <v>43886</v>
      </c>
      <c r="L504" s="2" t="n"/>
      <c r="N504" s="35" t="n">
        <v>1</v>
      </c>
      <c r="O504" s="7" t="n">
        <v>23</v>
      </c>
      <c r="P504" s="8" t="inlineStr">
        <is>
          <t>3 JOURS</t>
        </is>
      </c>
      <c r="Q504" s="2" t="n"/>
    </row>
    <row r="505">
      <c r="A505" s="8" t="n">
        <v>34408305</v>
      </c>
      <c r="B505" s="2">
        <f>INDEX(Tableau1[], MATCH(Tableau3[[#This Row],[REFERENCE]], Tableau1[NUMERO], 0), 2)</f>
        <v/>
      </c>
      <c r="C505">
        <f>INDEX(Tableau1[], MATCH(Tableau3[[#This Row],[REFERENCE]], Tableau1[NUMERO], 0), 3)</f>
        <v/>
      </c>
      <c r="D505">
        <f>INDEX(Tableau1[], MATCH(Tableau3[[#This Row],[REFERENCE]], Tableau1[NUMERO], 0),4)</f>
        <v/>
      </c>
      <c r="E505">
        <f>INDEX(Tableau1[], MATCH(Tableau3[[#This Row],[REFERENCE]], Tableau1[NUMERO], 0), 5)</f>
        <v/>
      </c>
      <c r="F505">
        <f>INDEX(Tableau1[], MATCH(Tableau3[[#This Row],[REFERENCE]], Tableau1[NUMERO], 0), 6)</f>
        <v/>
      </c>
      <c r="G505">
        <f>INDEX(Tableau1[], MATCH(Tableau3[[#This Row],[REFERENCE]], Tableau1[NUMERO], 0), 7)</f>
        <v/>
      </c>
      <c r="H505" t="inlineStr">
        <is>
          <t>lasertechnic</t>
        </is>
      </c>
      <c r="J505" s="2" t="n">
        <v>43853</v>
      </c>
      <c r="K505" s="2" t="n">
        <v>43886</v>
      </c>
      <c r="L505" s="2" t="n"/>
      <c r="N505" s="35" t="n">
        <v>5</v>
      </c>
      <c r="O505" s="7" t="n">
        <v>18</v>
      </c>
      <c r="P505" s="8" t="inlineStr">
        <is>
          <t>3 JOURS</t>
        </is>
      </c>
      <c r="Q505" s="2" t="n"/>
    </row>
    <row r="506">
      <c r="A506" s="8" t="n">
        <v>34408299</v>
      </c>
      <c r="B506" s="2">
        <f>INDEX(Tableau1[], MATCH(Tableau3[[#This Row],[REFERENCE]], Tableau1[NUMERO], 0), 2)</f>
        <v/>
      </c>
      <c r="C506">
        <f>INDEX(Tableau1[], MATCH(Tableau3[[#This Row],[REFERENCE]], Tableau1[NUMERO], 0), 3)</f>
        <v/>
      </c>
      <c r="D506">
        <f>INDEX(Tableau1[], MATCH(Tableau3[[#This Row],[REFERENCE]], Tableau1[NUMERO], 0),4)</f>
        <v/>
      </c>
      <c r="E506">
        <f>INDEX(Tableau1[], MATCH(Tableau3[[#This Row],[REFERENCE]], Tableau1[NUMERO], 0), 5)</f>
        <v/>
      </c>
      <c r="F506">
        <f>INDEX(Tableau1[], MATCH(Tableau3[[#This Row],[REFERENCE]], Tableau1[NUMERO], 0), 6)</f>
        <v/>
      </c>
      <c r="G506">
        <f>INDEX(Tableau1[], MATCH(Tableau3[[#This Row],[REFERENCE]], Tableau1[NUMERO], 0), 7)</f>
        <v/>
      </c>
      <c r="H506" t="inlineStr">
        <is>
          <t>lasertechnic</t>
        </is>
      </c>
      <c r="J506" s="2" t="n">
        <v>43853</v>
      </c>
      <c r="K506" s="2" t="n">
        <v>43886</v>
      </c>
      <c r="L506" s="2" t="n"/>
      <c r="N506" s="35" t="n">
        <v>1</v>
      </c>
      <c r="O506" s="7" t="n">
        <v>82</v>
      </c>
      <c r="P506" s="8" t="inlineStr">
        <is>
          <t>3 JOURS</t>
        </is>
      </c>
      <c r="Q506" s="2" t="n"/>
    </row>
    <row r="507">
      <c r="A507" s="8" t="n">
        <v>34408299</v>
      </c>
      <c r="B507" s="2">
        <f>INDEX(Tableau1[], MATCH(Tableau3[[#This Row],[REFERENCE]], Tableau1[NUMERO], 0), 2)</f>
        <v/>
      </c>
      <c r="C507">
        <f>INDEX(Tableau1[], MATCH(Tableau3[[#This Row],[REFERENCE]], Tableau1[NUMERO], 0), 3)</f>
        <v/>
      </c>
      <c r="D507">
        <f>INDEX(Tableau1[], MATCH(Tableau3[[#This Row],[REFERENCE]], Tableau1[NUMERO], 0),4)</f>
        <v/>
      </c>
      <c r="E507">
        <f>INDEX(Tableau1[], MATCH(Tableau3[[#This Row],[REFERENCE]], Tableau1[NUMERO], 0), 5)</f>
        <v/>
      </c>
      <c r="F507">
        <f>INDEX(Tableau1[], MATCH(Tableau3[[#This Row],[REFERENCE]], Tableau1[NUMERO], 0), 6)</f>
        <v/>
      </c>
      <c r="G507">
        <f>INDEX(Tableau1[], MATCH(Tableau3[[#This Row],[REFERENCE]], Tableau1[NUMERO], 0), 7)</f>
        <v/>
      </c>
      <c r="H507" t="inlineStr">
        <is>
          <t>lasertechnic</t>
        </is>
      </c>
      <c r="J507" s="2" t="n">
        <v>43853</v>
      </c>
      <c r="K507" s="2" t="n">
        <v>43886</v>
      </c>
      <c r="L507" s="2" t="n"/>
      <c r="N507" s="35" t="n">
        <v>23</v>
      </c>
      <c r="O507" s="7" t="n">
        <v>58</v>
      </c>
      <c r="P507" s="8" t="inlineStr">
        <is>
          <t>3 JOURS</t>
        </is>
      </c>
      <c r="Q507" s="2" t="n"/>
    </row>
    <row r="508">
      <c r="A508" s="8" t="n">
        <v>34408302</v>
      </c>
      <c r="B508" s="2">
        <f>INDEX(Tableau1[], MATCH(Tableau3[[#This Row],[REFERENCE]], Tableau1[NUMERO], 0), 2)</f>
        <v/>
      </c>
      <c r="C508">
        <f>INDEX(Tableau1[], MATCH(Tableau3[[#This Row],[REFERENCE]], Tableau1[NUMERO], 0), 3)</f>
        <v/>
      </c>
      <c r="D508">
        <f>INDEX(Tableau1[], MATCH(Tableau3[[#This Row],[REFERENCE]], Tableau1[NUMERO], 0),4)</f>
        <v/>
      </c>
      <c r="E508">
        <f>INDEX(Tableau1[], MATCH(Tableau3[[#This Row],[REFERENCE]], Tableau1[NUMERO], 0), 5)</f>
        <v/>
      </c>
      <c r="F508">
        <f>INDEX(Tableau1[], MATCH(Tableau3[[#This Row],[REFERENCE]], Tableau1[NUMERO], 0), 6)</f>
        <v/>
      </c>
      <c r="G508">
        <f>INDEX(Tableau1[], MATCH(Tableau3[[#This Row],[REFERENCE]], Tableau1[NUMERO], 0), 7)</f>
        <v/>
      </c>
      <c r="H508" t="inlineStr">
        <is>
          <t>lasertechnic</t>
        </is>
      </c>
      <c r="J508" s="2" t="n">
        <v>43853</v>
      </c>
      <c r="K508" s="2" t="n">
        <v>43886</v>
      </c>
      <c r="L508" s="2" t="n"/>
      <c r="N508" s="35" t="n">
        <v>1</v>
      </c>
      <c r="O508" s="7" t="n">
        <v>21</v>
      </c>
      <c r="P508" s="8" t="inlineStr">
        <is>
          <t>3 JOURS</t>
        </is>
      </c>
      <c r="Q508" s="2" t="n"/>
    </row>
    <row r="509">
      <c r="A509" s="8" t="n">
        <v>34408302</v>
      </c>
      <c r="B509" s="2">
        <f>INDEX(Tableau1[], MATCH(Tableau3[[#This Row],[REFERENCE]], Tableau1[NUMERO], 0), 2)</f>
        <v/>
      </c>
      <c r="C509">
        <f>INDEX(Tableau1[], MATCH(Tableau3[[#This Row],[REFERENCE]], Tableau1[NUMERO], 0), 3)</f>
        <v/>
      </c>
      <c r="D509">
        <f>INDEX(Tableau1[], MATCH(Tableau3[[#This Row],[REFERENCE]], Tableau1[NUMERO], 0),4)</f>
        <v/>
      </c>
      <c r="E509">
        <f>INDEX(Tableau1[], MATCH(Tableau3[[#This Row],[REFERENCE]], Tableau1[NUMERO], 0), 5)</f>
        <v/>
      </c>
      <c r="F509">
        <f>INDEX(Tableau1[], MATCH(Tableau3[[#This Row],[REFERENCE]], Tableau1[NUMERO], 0), 6)</f>
        <v/>
      </c>
      <c r="G509">
        <f>INDEX(Tableau1[], MATCH(Tableau3[[#This Row],[REFERENCE]], Tableau1[NUMERO], 0), 7)</f>
        <v/>
      </c>
      <c r="H509" t="inlineStr">
        <is>
          <t>lasertechnic</t>
        </is>
      </c>
      <c r="J509" s="2" t="n">
        <v>43853</v>
      </c>
      <c r="K509" s="2" t="n">
        <v>43886</v>
      </c>
      <c r="L509" s="2" t="n"/>
      <c r="N509" s="35" t="n">
        <v>23</v>
      </c>
      <c r="O509" s="7" t="n">
        <v>15</v>
      </c>
      <c r="P509" s="8" t="inlineStr">
        <is>
          <t>3 JOURS</t>
        </is>
      </c>
      <c r="Q509" s="2" t="n"/>
    </row>
    <row r="510">
      <c r="A510" s="8" t="n">
        <v>34408303</v>
      </c>
      <c r="B510" s="2">
        <f>INDEX(Tableau1[], MATCH(Tableau3[[#This Row],[REFERENCE]], Tableau1[NUMERO], 0), 2)</f>
        <v/>
      </c>
      <c r="C510">
        <f>INDEX(Tableau1[], MATCH(Tableau3[[#This Row],[REFERENCE]], Tableau1[NUMERO], 0), 3)</f>
        <v/>
      </c>
      <c r="D510">
        <f>INDEX(Tableau1[], MATCH(Tableau3[[#This Row],[REFERENCE]], Tableau1[NUMERO], 0),4)</f>
        <v/>
      </c>
      <c r="E510">
        <f>INDEX(Tableau1[], MATCH(Tableau3[[#This Row],[REFERENCE]], Tableau1[NUMERO], 0), 5)</f>
        <v/>
      </c>
      <c r="F510">
        <f>INDEX(Tableau1[], MATCH(Tableau3[[#This Row],[REFERENCE]], Tableau1[NUMERO], 0), 6)</f>
        <v/>
      </c>
      <c r="G510">
        <f>INDEX(Tableau1[], MATCH(Tableau3[[#This Row],[REFERENCE]], Tableau1[NUMERO], 0), 7)</f>
        <v/>
      </c>
      <c r="H510" t="inlineStr">
        <is>
          <t>lasertechnic</t>
        </is>
      </c>
      <c r="J510" s="2" t="n">
        <v>43853</v>
      </c>
      <c r="K510" s="2" t="n">
        <v>43886</v>
      </c>
      <c r="L510" s="2" t="n"/>
      <c r="N510" s="35" t="n">
        <v>1</v>
      </c>
      <c r="O510" s="7" t="n">
        <v>22</v>
      </c>
      <c r="P510" s="8" t="inlineStr">
        <is>
          <t>3 JOURS</t>
        </is>
      </c>
      <c r="Q510" s="2" t="n"/>
    </row>
    <row r="511">
      <c r="A511" s="8" t="n">
        <v>34408303</v>
      </c>
      <c r="B511" s="2">
        <f>INDEX(Tableau1[], MATCH(Tableau3[[#This Row],[REFERENCE]], Tableau1[NUMERO], 0), 2)</f>
        <v/>
      </c>
      <c r="C511">
        <f>INDEX(Tableau1[], MATCH(Tableau3[[#This Row],[REFERENCE]], Tableau1[NUMERO], 0), 3)</f>
        <v/>
      </c>
      <c r="D511">
        <f>INDEX(Tableau1[], MATCH(Tableau3[[#This Row],[REFERENCE]], Tableau1[NUMERO], 0),4)</f>
        <v/>
      </c>
      <c r="E511">
        <f>INDEX(Tableau1[], MATCH(Tableau3[[#This Row],[REFERENCE]], Tableau1[NUMERO], 0), 5)</f>
        <v/>
      </c>
      <c r="F511">
        <f>INDEX(Tableau1[], MATCH(Tableau3[[#This Row],[REFERENCE]], Tableau1[NUMERO], 0), 6)</f>
        <v/>
      </c>
      <c r="G511">
        <f>INDEX(Tableau1[], MATCH(Tableau3[[#This Row],[REFERENCE]], Tableau1[NUMERO], 0), 7)</f>
        <v/>
      </c>
      <c r="H511" t="inlineStr">
        <is>
          <t>lasertechnic</t>
        </is>
      </c>
      <c r="J511" s="2" t="n">
        <v>43853</v>
      </c>
      <c r="K511" s="2" t="n">
        <v>43886</v>
      </c>
      <c r="L511" s="2" t="n"/>
      <c r="N511" s="35" t="n">
        <v>47</v>
      </c>
      <c r="O511" s="7" t="n">
        <v>14</v>
      </c>
      <c r="P511" s="8" t="inlineStr">
        <is>
          <t>3 JOURS</t>
        </is>
      </c>
      <c r="Q511" s="2" t="n"/>
    </row>
    <row r="512">
      <c r="A512" s="8" t="n">
        <v>34408304</v>
      </c>
      <c r="B512" s="2">
        <f>INDEX(Tableau1[], MATCH(Tableau3[[#This Row],[REFERENCE]], Tableau1[NUMERO], 0), 2)</f>
        <v/>
      </c>
      <c r="C512">
        <f>INDEX(Tableau1[], MATCH(Tableau3[[#This Row],[REFERENCE]], Tableau1[NUMERO], 0), 3)</f>
        <v/>
      </c>
      <c r="D512">
        <f>INDEX(Tableau1[], MATCH(Tableau3[[#This Row],[REFERENCE]], Tableau1[NUMERO], 0),4)</f>
        <v/>
      </c>
      <c r="E512">
        <f>INDEX(Tableau1[], MATCH(Tableau3[[#This Row],[REFERENCE]], Tableau1[NUMERO], 0), 5)</f>
        <v/>
      </c>
      <c r="F512">
        <f>INDEX(Tableau1[], MATCH(Tableau3[[#This Row],[REFERENCE]], Tableau1[NUMERO], 0), 6)</f>
        <v/>
      </c>
      <c r="G512">
        <f>INDEX(Tableau1[], MATCH(Tableau3[[#This Row],[REFERENCE]], Tableau1[NUMERO], 0), 7)</f>
        <v/>
      </c>
      <c r="H512" t="inlineStr">
        <is>
          <t>lasertechnic</t>
        </is>
      </c>
      <c r="J512" s="2" t="n">
        <v>43853</v>
      </c>
      <c r="K512" s="2" t="n">
        <v>43886</v>
      </c>
      <c r="L512" s="2" t="n"/>
      <c r="N512" s="35" t="n">
        <v>1</v>
      </c>
      <c r="O512" s="7" t="n">
        <v>29</v>
      </c>
      <c r="P512" s="8" t="inlineStr">
        <is>
          <t>3 JOURS</t>
        </is>
      </c>
      <c r="Q512" s="2" t="n"/>
    </row>
    <row r="513">
      <c r="A513" s="8" t="n">
        <v>34408304</v>
      </c>
      <c r="B513" s="2">
        <f>INDEX(Tableau1[], MATCH(Tableau3[[#This Row],[REFERENCE]], Tableau1[NUMERO], 0), 2)</f>
        <v/>
      </c>
      <c r="C513">
        <f>INDEX(Tableau1[], MATCH(Tableau3[[#This Row],[REFERENCE]], Tableau1[NUMERO], 0), 3)</f>
        <v/>
      </c>
      <c r="D513">
        <f>INDEX(Tableau1[], MATCH(Tableau3[[#This Row],[REFERENCE]], Tableau1[NUMERO], 0),4)</f>
        <v/>
      </c>
      <c r="E513">
        <f>INDEX(Tableau1[], MATCH(Tableau3[[#This Row],[REFERENCE]], Tableau1[NUMERO], 0), 5)</f>
        <v/>
      </c>
      <c r="F513">
        <f>INDEX(Tableau1[], MATCH(Tableau3[[#This Row],[REFERENCE]], Tableau1[NUMERO], 0), 6)</f>
        <v/>
      </c>
      <c r="G513">
        <f>INDEX(Tableau1[], MATCH(Tableau3[[#This Row],[REFERENCE]], Tableau1[NUMERO], 0), 7)</f>
        <v/>
      </c>
      <c r="H513" t="inlineStr">
        <is>
          <t>lasertechnic</t>
        </is>
      </c>
      <c r="J513" s="2" t="n">
        <v>43853</v>
      </c>
      <c r="K513" s="2" t="n">
        <v>43886</v>
      </c>
      <c r="L513" s="2" t="n"/>
      <c r="N513" s="35" t="n">
        <v>23</v>
      </c>
      <c r="O513" s="7" t="n">
        <v>21</v>
      </c>
      <c r="P513" s="8" t="inlineStr">
        <is>
          <t>3 JOURS</t>
        </is>
      </c>
      <c r="Q513" s="2" t="n"/>
    </row>
    <row r="514">
      <c r="A514" s="8" t="n">
        <v>34408306</v>
      </c>
      <c r="B514" s="2">
        <f>INDEX(Tableau1[], MATCH(Tableau3[[#This Row],[REFERENCE]], Tableau1[NUMERO], 0), 2)</f>
        <v/>
      </c>
      <c r="C514">
        <f>INDEX(Tableau1[], MATCH(Tableau3[[#This Row],[REFERENCE]], Tableau1[NUMERO], 0), 3)</f>
        <v/>
      </c>
      <c r="D514">
        <f>INDEX(Tableau1[], MATCH(Tableau3[[#This Row],[REFERENCE]], Tableau1[NUMERO], 0),4)</f>
        <v/>
      </c>
      <c r="E514">
        <f>INDEX(Tableau1[], MATCH(Tableau3[[#This Row],[REFERENCE]], Tableau1[NUMERO], 0), 5)</f>
        <v/>
      </c>
      <c r="F514">
        <f>INDEX(Tableau1[], MATCH(Tableau3[[#This Row],[REFERENCE]], Tableau1[NUMERO], 0), 6)</f>
        <v/>
      </c>
      <c r="G514">
        <f>INDEX(Tableau1[], MATCH(Tableau3[[#This Row],[REFERENCE]], Tableau1[NUMERO], 0), 7)</f>
        <v/>
      </c>
      <c r="H514" t="inlineStr">
        <is>
          <t>lasertechnic</t>
        </is>
      </c>
      <c r="J514" s="2" t="n">
        <v>43853</v>
      </c>
      <c r="K514" s="2" t="n">
        <v>43886</v>
      </c>
      <c r="L514" s="2" t="n"/>
      <c r="N514" s="35" t="n">
        <v>1</v>
      </c>
      <c r="O514" s="7" t="n">
        <v>21</v>
      </c>
      <c r="P514" s="8" t="inlineStr">
        <is>
          <t>3 JOURS</t>
        </is>
      </c>
      <c r="Q514" s="2" t="n"/>
    </row>
    <row r="515">
      <c r="A515" s="8" t="n">
        <v>34408306</v>
      </c>
      <c r="B515" s="2">
        <f>INDEX(Tableau1[], MATCH(Tableau3[[#This Row],[REFERENCE]], Tableau1[NUMERO], 0), 2)</f>
        <v/>
      </c>
      <c r="C515">
        <f>INDEX(Tableau1[], MATCH(Tableau3[[#This Row],[REFERENCE]], Tableau1[NUMERO], 0), 3)</f>
        <v/>
      </c>
      <c r="D515">
        <f>INDEX(Tableau1[], MATCH(Tableau3[[#This Row],[REFERENCE]], Tableau1[NUMERO], 0),4)</f>
        <v/>
      </c>
      <c r="E515">
        <f>INDEX(Tableau1[], MATCH(Tableau3[[#This Row],[REFERENCE]], Tableau1[NUMERO], 0), 5)</f>
        <v/>
      </c>
      <c r="F515">
        <f>INDEX(Tableau1[], MATCH(Tableau3[[#This Row],[REFERENCE]], Tableau1[NUMERO], 0), 6)</f>
        <v/>
      </c>
      <c r="G515">
        <f>INDEX(Tableau1[], MATCH(Tableau3[[#This Row],[REFERENCE]], Tableau1[NUMERO], 0), 7)</f>
        <v/>
      </c>
      <c r="H515" t="inlineStr">
        <is>
          <t>lasertechnic</t>
        </is>
      </c>
      <c r="J515" s="2" t="n">
        <v>43853</v>
      </c>
      <c r="K515" s="2" t="n">
        <v>43886</v>
      </c>
      <c r="L515" s="2" t="n"/>
      <c r="N515" s="35" t="n">
        <v>23</v>
      </c>
      <c r="O515" s="7" t="n">
        <v>12</v>
      </c>
      <c r="P515" s="8" t="inlineStr">
        <is>
          <t>3 JOURS</t>
        </is>
      </c>
      <c r="Q515" s="2" t="n"/>
    </row>
    <row r="516">
      <c r="A516" s="8" t="n">
        <v>34408334</v>
      </c>
      <c r="B516" s="2">
        <f>INDEX(Tableau1[], MATCH(Tableau3[[#This Row],[REFERENCE]], Tableau1[NUMERO], 0), 2)</f>
        <v/>
      </c>
      <c r="C516">
        <f>INDEX(Tableau1[], MATCH(Tableau3[[#This Row],[REFERENCE]], Tableau1[NUMERO], 0), 3)</f>
        <v/>
      </c>
      <c r="D516">
        <f>INDEX(Tableau1[], MATCH(Tableau3[[#This Row],[REFERENCE]], Tableau1[NUMERO], 0),4)</f>
        <v/>
      </c>
      <c r="E516">
        <f>INDEX(Tableau1[], MATCH(Tableau3[[#This Row],[REFERENCE]], Tableau1[NUMERO], 0), 5)</f>
        <v/>
      </c>
      <c r="F516">
        <f>INDEX(Tableau1[], MATCH(Tableau3[[#This Row],[REFERENCE]], Tableau1[NUMERO], 0), 6)</f>
        <v/>
      </c>
      <c r="G516">
        <f>INDEX(Tableau1[], MATCH(Tableau3[[#This Row],[REFERENCE]], Tableau1[NUMERO], 0), 7)</f>
        <v/>
      </c>
      <c r="H516" t="inlineStr">
        <is>
          <t>UFP</t>
        </is>
      </c>
      <c r="J516" s="2" t="n">
        <v>43888</v>
      </c>
      <c r="K516" s="2" t="n"/>
      <c r="L516" s="2" t="n"/>
      <c r="P516" s="8" t="n"/>
      <c r="Q516" s="2" t="n"/>
    </row>
    <row r="517">
      <c r="A517" s="8" t="n">
        <v>34407208</v>
      </c>
      <c r="B517" s="2">
        <f>INDEX(Tableau1[], MATCH(Tableau3[[#This Row],[REFERENCE]], Tableau1[NUMERO], 0), 2)</f>
        <v/>
      </c>
      <c r="C517">
        <f>INDEX(Tableau1[], MATCH(Tableau3[[#This Row],[REFERENCE]], Tableau1[NUMERO], 0), 3)</f>
        <v/>
      </c>
      <c r="D517">
        <f>INDEX(Tableau1[], MATCH(Tableau3[[#This Row],[REFERENCE]], Tableau1[NUMERO], 0),4)</f>
        <v/>
      </c>
      <c r="E517">
        <f>INDEX(Tableau1[], MATCH(Tableau3[[#This Row],[REFERENCE]], Tableau1[NUMERO], 0), 5)</f>
        <v/>
      </c>
      <c r="F517">
        <f>INDEX(Tableau1[], MATCH(Tableau3[[#This Row],[REFERENCE]], Tableau1[NUMERO], 0), 6)</f>
        <v/>
      </c>
      <c r="G517">
        <f>INDEX(Tableau1[], MATCH(Tableau3[[#This Row],[REFERENCE]], Tableau1[NUMERO], 0), 7)</f>
        <v/>
      </c>
      <c r="H517" t="inlineStr">
        <is>
          <t>Romaire</t>
        </is>
      </c>
      <c r="J517" s="2" t="n">
        <v>43881</v>
      </c>
      <c r="K517" s="2" t="n">
        <v>43885</v>
      </c>
      <c r="L517" s="2" t="n"/>
      <c r="N517" s="35" t="n">
        <v>8</v>
      </c>
      <c r="O517" s="7" t="n">
        <v>22.75</v>
      </c>
      <c r="P517" s="8" t="inlineStr">
        <is>
          <t>2 SEMAINES</t>
        </is>
      </c>
      <c r="Q517" s="2" t="n">
        <v>43974</v>
      </c>
    </row>
    <row r="518">
      <c r="A518" s="8" t="n">
        <v>34407206</v>
      </c>
      <c r="B518" s="2">
        <f>INDEX(Tableau1[], MATCH(Tableau3[[#This Row],[REFERENCE]], Tableau1[NUMERO], 0), 2)</f>
        <v/>
      </c>
      <c r="C518">
        <f>INDEX(Tableau1[], MATCH(Tableau3[[#This Row],[REFERENCE]], Tableau1[NUMERO], 0), 3)</f>
        <v/>
      </c>
      <c r="D518">
        <f>INDEX(Tableau1[], MATCH(Tableau3[[#This Row],[REFERENCE]], Tableau1[NUMERO], 0),4)</f>
        <v/>
      </c>
      <c r="E518">
        <f>INDEX(Tableau1[], MATCH(Tableau3[[#This Row],[REFERENCE]], Tableau1[NUMERO], 0), 5)</f>
        <v/>
      </c>
      <c r="F518">
        <f>INDEX(Tableau1[], MATCH(Tableau3[[#This Row],[REFERENCE]], Tableau1[NUMERO], 0), 6)</f>
        <v/>
      </c>
      <c r="G518">
        <f>INDEX(Tableau1[], MATCH(Tableau3[[#This Row],[REFERENCE]], Tableau1[NUMERO], 0), 7)</f>
        <v/>
      </c>
      <c r="H518" t="inlineStr">
        <is>
          <t>Romaire</t>
        </is>
      </c>
      <c r="J518" s="2" t="n">
        <v>43881</v>
      </c>
      <c r="K518" s="2" t="n">
        <v>43885</v>
      </c>
      <c r="L518" s="2" t="n"/>
      <c r="N518" s="35" t="n">
        <v>8</v>
      </c>
      <c r="O518" s="7" t="n">
        <v>22.9</v>
      </c>
      <c r="P518" s="8" t="inlineStr">
        <is>
          <t>2 SEMAINES</t>
        </is>
      </c>
      <c r="Q518" s="2" t="n">
        <v>43974</v>
      </c>
    </row>
    <row r="519">
      <c r="A519" s="8" t="n">
        <v>34407212</v>
      </c>
      <c r="B519" s="2">
        <f>INDEX(Tableau1[], MATCH(Tableau3[[#This Row],[REFERENCE]], Tableau1[NUMERO], 0), 2)</f>
        <v/>
      </c>
      <c r="C519">
        <f>INDEX(Tableau1[], MATCH(Tableau3[[#This Row],[REFERENCE]], Tableau1[NUMERO], 0), 3)</f>
        <v/>
      </c>
      <c r="D519">
        <f>INDEX(Tableau1[], MATCH(Tableau3[[#This Row],[REFERENCE]], Tableau1[NUMERO], 0),4)</f>
        <v/>
      </c>
      <c r="E519">
        <f>INDEX(Tableau1[], MATCH(Tableau3[[#This Row],[REFERENCE]], Tableau1[NUMERO], 0), 5)</f>
        <v/>
      </c>
      <c r="F519">
        <f>INDEX(Tableau1[], MATCH(Tableau3[[#This Row],[REFERENCE]], Tableau1[NUMERO], 0), 6)</f>
        <v/>
      </c>
      <c r="G519">
        <f>INDEX(Tableau1[], MATCH(Tableau3[[#This Row],[REFERENCE]], Tableau1[NUMERO], 0), 7)</f>
        <v/>
      </c>
      <c r="H519" t="inlineStr">
        <is>
          <t>Romaire</t>
        </is>
      </c>
      <c r="J519" s="2" t="n">
        <v>43881</v>
      </c>
      <c r="K519" s="2" t="n">
        <v>43885</v>
      </c>
      <c r="L519" s="2" t="n"/>
      <c r="N519" s="35" t="n">
        <v>16</v>
      </c>
      <c r="O519" s="7" t="n">
        <v>11.2</v>
      </c>
      <c r="P519" s="8" t="inlineStr">
        <is>
          <t>2 SEMAINES</t>
        </is>
      </c>
      <c r="Q519" s="2" t="n">
        <v>43974</v>
      </c>
    </row>
    <row r="520">
      <c r="A520" s="8" t="n">
        <v>34407775</v>
      </c>
      <c r="B520" s="2">
        <f>INDEX(Tableau1[], MATCH(Tableau3[[#This Row],[REFERENCE]], Tableau1[NUMERO], 0), 2)</f>
        <v/>
      </c>
      <c r="C520">
        <f>INDEX(Tableau1[], MATCH(Tableau3[[#This Row],[REFERENCE]], Tableau1[NUMERO], 0), 3)</f>
        <v/>
      </c>
      <c r="D520">
        <f>INDEX(Tableau1[], MATCH(Tableau3[[#This Row],[REFERENCE]], Tableau1[NUMERO], 0),4)</f>
        <v/>
      </c>
      <c r="E520">
        <f>INDEX(Tableau1[], MATCH(Tableau3[[#This Row],[REFERENCE]], Tableau1[NUMERO], 0), 5)</f>
        <v/>
      </c>
      <c r="F520">
        <f>INDEX(Tableau1[], MATCH(Tableau3[[#This Row],[REFERENCE]], Tableau1[NUMERO], 0), 6)</f>
        <v/>
      </c>
      <c r="G520">
        <f>INDEX(Tableau1[], MATCH(Tableau3[[#This Row],[REFERENCE]], Tableau1[NUMERO], 0), 7)</f>
        <v/>
      </c>
      <c r="H520" t="inlineStr">
        <is>
          <t>Romaire</t>
        </is>
      </c>
      <c r="J520" s="2" t="n">
        <v>43881</v>
      </c>
      <c r="K520" s="2" t="n">
        <v>43885</v>
      </c>
      <c r="L520" s="2" t="n"/>
      <c r="N520" s="35" t="n">
        <v>8</v>
      </c>
      <c r="O520" s="7" t="n">
        <v>25</v>
      </c>
      <c r="P520" s="8" t="inlineStr">
        <is>
          <t>2 SEMAINES</t>
        </is>
      </c>
      <c r="Q520" s="2" t="n">
        <v>43974</v>
      </c>
    </row>
    <row r="521">
      <c r="A521" s="8" t="n">
        <v>34407204</v>
      </c>
      <c r="B521" s="2">
        <f>INDEX(Tableau1[], MATCH(Tableau3[[#This Row],[REFERENCE]], Tableau1[NUMERO], 0), 2)</f>
        <v/>
      </c>
      <c r="C521">
        <f>INDEX(Tableau1[], MATCH(Tableau3[[#This Row],[REFERENCE]], Tableau1[NUMERO], 0), 3)</f>
        <v/>
      </c>
      <c r="D521">
        <f>INDEX(Tableau1[], MATCH(Tableau3[[#This Row],[REFERENCE]], Tableau1[NUMERO], 0),4)</f>
        <v/>
      </c>
      <c r="E521">
        <f>INDEX(Tableau1[], MATCH(Tableau3[[#This Row],[REFERENCE]], Tableau1[NUMERO], 0), 5)</f>
        <v/>
      </c>
      <c r="F521">
        <f>INDEX(Tableau1[], MATCH(Tableau3[[#This Row],[REFERENCE]], Tableau1[NUMERO], 0), 6)</f>
        <v/>
      </c>
      <c r="G521">
        <f>INDEX(Tableau1[], MATCH(Tableau3[[#This Row],[REFERENCE]], Tableau1[NUMERO], 0), 7)</f>
        <v/>
      </c>
      <c r="H521" t="inlineStr">
        <is>
          <t>Romaire</t>
        </is>
      </c>
      <c r="J521" s="2" t="n">
        <v>43881</v>
      </c>
      <c r="K521" s="2" t="n">
        <v>43885</v>
      </c>
      <c r="L521" s="2" t="n"/>
      <c r="N521" s="35" t="n">
        <v>16</v>
      </c>
      <c r="O521" s="7" t="n">
        <v>13.9</v>
      </c>
      <c r="P521" s="8" t="inlineStr">
        <is>
          <t>2 SEMAINES</t>
        </is>
      </c>
      <c r="Q521" s="2" t="n">
        <v>43974</v>
      </c>
    </row>
    <row r="522">
      <c r="A522" s="8" t="n">
        <v>34401753</v>
      </c>
      <c r="B522" s="2">
        <f>INDEX(Tableau1[], MATCH(Tableau3[[#This Row],[REFERENCE]], Tableau1[NUMERO], 0), 2)</f>
        <v/>
      </c>
      <c r="C522">
        <f>INDEX(Tableau1[], MATCH(Tableau3[[#This Row],[REFERENCE]], Tableau1[NUMERO], 0), 3)</f>
        <v/>
      </c>
      <c r="D522">
        <f>INDEX(Tableau1[], MATCH(Tableau3[[#This Row],[REFERENCE]], Tableau1[NUMERO], 0),4)</f>
        <v/>
      </c>
      <c r="E522">
        <f>INDEX(Tableau1[], MATCH(Tableau3[[#This Row],[REFERENCE]], Tableau1[NUMERO], 0), 5)</f>
        <v/>
      </c>
      <c r="F522">
        <f>INDEX(Tableau1[], MATCH(Tableau3[[#This Row],[REFERENCE]], Tableau1[NUMERO], 0), 6)</f>
        <v/>
      </c>
      <c r="G522">
        <f>INDEX(Tableau1[], MATCH(Tableau3[[#This Row],[REFERENCE]], Tableau1[NUMERO], 0), 7)</f>
        <v/>
      </c>
      <c r="H522" t="inlineStr">
        <is>
          <t>Romaire</t>
        </is>
      </c>
      <c r="J522" s="2" t="n">
        <v>43881</v>
      </c>
      <c r="K522" s="2" t="n">
        <v>43885</v>
      </c>
      <c r="L522" s="2" t="n"/>
      <c r="N522" s="35" t="n">
        <v>16</v>
      </c>
      <c r="O522" s="7" t="n">
        <v>6.7</v>
      </c>
      <c r="P522" s="8" t="inlineStr">
        <is>
          <t>2 SEMAINES</t>
        </is>
      </c>
      <c r="Q522" s="2" t="n">
        <v>43974</v>
      </c>
    </row>
    <row r="523">
      <c r="A523" s="8" t="n">
        <v>34407209</v>
      </c>
      <c r="B523" s="2">
        <f>INDEX(Tableau1[], MATCH(Tableau3[[#This Row],[REFERENCE]], Tableau1[NUMERO], 0), 2)</f>
        <v/>
      </c>
      <c r="C523">
        <f>INDEX(Tableau1[], MATCH(Tableau3[[#This Row],[REFERENCE]], Tableau1[NUMERO], 0), 3)</f>
        <v/>
      </c>
      <c r="D523">
        <f>INDEX(Tableau1[], MATCH(Tableau3[[#This Row],[REFERENCE]], Tableau1[NUMERO], 0),4)</f>
        <v/>
      </c>
      <c r="E523">
        <f>INDEX(Tableau1[], MATCH(Tableau3[[#This Row],[REFERENCE]], Tableau1[NUMERO], 0), 5)</f>
        <v/>
      </c>
      <c r="F523">
        <f>INDEX(Tableau1[], MATCH(Tableau3[[#This Row],[REFERENCE]], Tableau1[NUMERO], 0), 6)</f>
        <v/>
      </c>
      <c r="G523">
        <f>INDEX(Tableau1[], MATCH(Tableau3[[#This Row],[REFERENCE]], Tableau1[NUMERO], 0), 7)</f>
        <v/>
      </c>
      <c r="H523" t="inlineStr">
        <is>
          <t>Romaire</t>
        </is>
      </c>
      <c r="J523" s="2" t="n">
        <v>43881</v>
      </c>
      <c r="K523" s="2" t="n">
        <v>43885</v>
      </c>
      <c r="L523" s="2" t="n"/>
      <c r="N523" s="35" t="n">
        <v>6</v>
      </c>
      <c r="O523" s="7" t="n">
        <v>25.55</v>
      </c>
      <c r="P523" s="8" t="inlineStr">
        <is>
          <t>2 SEMAINES</t>
        </is>
      </c>
      <c r="Q523" s="2" t="n">
        <v>43974</v>
      </c>
    </row>
    <row r="524">
      <c r="A524" s="8" t="n">
        <v>34407210</v>
      </c>
      <c r="B524" s="2">
        <f>INDEX(Tableau1[], MATCH(Tableau3[[#This Row],[REFERENCE]], Tableau1[NUMERO], 0), 2)</f>
        <v/>
      </c>
      <c r="C524">
        <f>INDEX(Tableau1[], MATCH(Tableau3[[#This Row],[REFERENCE]], Tableau1[NUMERO], 0), 3)</f>
        <v/>
      </c>
      <c r="D524">
        <f>INDEX(Tableau1[], MATCH(Tableau3[[#This Row],[REFERENCE]], Tableau1[NUMERO], 0),4)</f>
        <v/>
      </c>
      <c r="E524">
        <f>INDEX(Tableau1[], MATCH(Tableau3[[#This Row],[REFERENCE]], Tableau1[NUMERO], 0), 5)</f>
        <v/>
      </c>
      <c r="F524">
        <f>INDEX(Tableau1[], MATCH(Tableau3[[#This Row],[REFERENCE]], Tableau1[NUMERO], 0), 6)</f>
        <v/>
      </c>
      <c r="G524">
        <f>INDEX(Tableau1[], MATCH(Tableau3[[#This Row],[REFERENCE]], Tableau1[NUMERO], 0), 7)</f>
        <v/>
      </c>
      <c r="H524" t="inlineStr">
        <is>
          <t>Romaire</t>
        </is>
      </c>
      <c r="J524" s="2" t="n">
        <v>43881</v>
      </c>
      <c r="K524" s="2" t="n">
        <v>43885</v>
      </c>
      <c r="L524" s="2" t="n"/>
      <c r="N524" s="35" t="n">
        <v>16</v>
      </c>
      <c r="O524" s="7" t="n">
        <v>12.7</v>
      </c>
      <c r="P524" s="8" t="inlineStr">
        <is>
          <t>2 SEMAINES</t>
        </is>
      </c>
      <c r="Q524" s="2" t="n">
        <v>43974</v>
      </c>
    </row>
    <row r="525">
      <c r="A525" s="8" t="n">
        <v>34407211</v>
      </c>
      <c r="B525" s="2">
        <f>INDEX(Tableau1[], MATCH(Tableau3[[#This Row],[REFERENCE]], Tableau1[NUMERO], 0), 2)</f>
        <v/>
      </c>
      <c r="C525">
        <f>INDEX(Tableau1[], MATCH(Tableau3[[#This Row],[REFERENCE]], Tableau1[NUMERO], 0), 3)</f>
        <v/>
      </c>
      <c r="D525">
        <f>INDEX(Tableau1[], MATCH(Tableau3[[#This Row],[REFERENCE]], Tableau1[NUMERO], 0),4)</f>
        <v/>
      </c>
      <c r="E525">
        <f>INDEX(Tableau1[], MATCH(Tableau3[[#This Row],[REFERENCE]], Tableau1[NUMERO], 0), 5)</f>
        <v/>
      </c>
      <c r="F525">
        <f>INDEX(Tableau1[], MATCH(Tableau3[[#This Row],[REFERENCE]], Tableau1[NUMERO], 0), 6)</f>
        <v/>
      </c>
      <c r="G525">
        <f>INDEX(Tableau1[], MATCH(Tableau3[[#This Row],[REFERENCE]], Tableau1[NUMERO], 0), 7)</f>
        <v/>
      </c>
      <c r="H525" t="inlineStr">
        <is>
          <t>Romaire</t>
        </is>
      </c>
      <c r="J525" s="2" t="n">
        <v>43881</v>
      </c>
      <c r="K525" s="2" t="n">
        <v>43885</v>
      </c>
      <c r="L525" s="2" t="n"/>
      <c r="N525" s="35" t="n">
        <v>16</v>
      </c>
      <c r="O525" s="7" t="n">
        <v>25</v>
      </c>
      <c r="P525" s="8" t="inlineStr">
        <is>
          <t>2 SEMAINES</t>
        </is>
      </c>
      <c r="Q525" s="2" t="n">
        <v>43974</v>
      </c>
    </row>
    <row r="526">
      <c r="A526" s="8" t="n">
        <v>34407205</v>
      </c>
      <c r="B526" s="2">
        <f>INDEX(Tableau1[], MATCH(Tableau3[[#This Row],[REFERENCE]], Tableau1[NUMERO], 0), 2)</f>
        <v/>
      </c>
      <c r="C526">
        <f>INDEX(Tableau1[], MATCH(Tableau3[[#This Row],[REFERENCE]], Tableau1[NUMERO], 0), 3)</f>
        <v/>
      </c>
      <c r="D526">
        <f>INDEX(Tableau1[], MATCH(Tableau3[[#This Row],[REFERENCE]], Tableau1[NUMERO], 0),4)</f>
        <v/>
      </c>
      <c r="E526">
        <f>INDEX(Tableau1[], MATCH(Tableau3[[#This Row],[REFERENCE]], Tableau1[NUMERO], 0), 5)</f>
        <v/>
      </c>
      <c r="F526">
        <f>INDEX(Tableau1[], MATCH(Tableau3[[#This Row],[REFERENCE]], Tableau1[NUMERO], 0), 6)</f>
        <v/>
      </c>
      <c r="G526">
        <f>INDEX(Tableau1[], MATCH(Tableau3[[#This Row],[REFERENCE]], Tableau1[NUMERO], 0), 7)</f>
        <v/>
      </c>
      <c r="H526" t="inlineStr">
        <is>
          <t>Romaire</t>
        </is>
      </c>
      <c r="J526" s="2" t="n">
        <v>43881</v>
      </c>
      <c r="K526" s="2" t="n">
        <v>43885</v>
      </c>
      <c r="L526" s="2" t="n"/>
      <c r="N526" s="35" t="n">
        <v>8</v>
      </c>
      <c r="O526" s="7" t="n">
        <v>23.75</v>
      </c>
      <c r="P526" s="8" t="inlineStr">
        <is>
          <t>2 SEMAINES</t>
        </is>
      </c>
      <c r="Q526" s="2" t="n">
        <v>43974</v>
      </c>
    </row>
    <row r="527">
      <c r="A527" s="8" t="n">
        <v>34408204</v>
      </c>
      <c r="B527" s="2">
        <f>INDEX(Tableau1[], MATCH(Tableau3[[#This Row],[REFERENCE]], Tableau1[NUMERO], 0), 2)</f>
        <v/>
      </c>
      <c r="C527">
        <f>INDEX(Tableau1[], MATCH(Tableau3[[#This Row],[REFERENCE]], Tableau1[NUMERO], 0), 3)</f>
        <v/>
      </c>
      <c r="D527">
        <f>INDEX(Tableau1[], MATCH(Tableau3[[#This Row],[REFERENCE]], Tableau1[NUMERO], 0),4)</f>
        <v/>
      </c>
      <c r="E527">
        <f>INDEX(Tableau1[], MATCH(Tableau3[[#This Row],[REFERENCE]], Tableau1[NUMERO], 0), 5)</f>
        <v/>
      </c>
      <c r="F527">
        <f>INDEX(Tableau1[], MATCH(Tableau3[[#This Row],[REFERENCE]], Tableau1[NUMERO], 0), 6)</f>
        <v/>
      </c>
      <c r="G527">
        <f>INDEX(Tableau1[], MATCH(Tableau3[[#This Row],[REFERENCE]], Tableau1[NUMERO], 0), 7)</f>
        <v/>
      </c>
      <c r="H527" t="inlineStr">
        <is>
          <t>lasertechnic</t>
        </is>
      </c>
      <c r="J527" s="2" t="n"/>
      <c r="K527" s="2" t="n">
        <v>43875</v>
      </c>
      <c r="L527" s="2" t="n"/>
      <c r="N527" s="35" t="n">
        <v>1</v>
      </c>
      <c r="O527" s="7" t="n">
        <v>50</v>
      </c>
      <c r="P527" s="8" t="n"/>
      <c r="Q527" s="2" t="n">
        <v>43964</v>
      </c>
    </row>
    <row r="528">
      <c r="A528" s="8" t="n">
        <v>34408204</v>
      </c>
      <c r="B528" s="2">
        <f>INDEX(Tableau1[], MATCH(Tableau3[[#This Row],[REFERENCE]], Tableau1[NUMERO], 0), 2)</f>
        <v/>
      </c>
      <c r="C528">
        <f>INDEX(Tableau1[], MATCH(Tableau3[[#This Row],[REFERENCE]], Tableau1[NUMERO], 0), 3)</f>
        <v/>
      </c>
      <c r="D528">
        <f>INDEX(Tableau1[], MATCH(Tableau3[[#This Row],[REFERENCE]], Tableau1[NUMERO], 0),4)</f>
        <v/>
      </c>
      <c r="E528">
        <f>INDEX(Tableau1[], MATCH(Tableau3[[#This Row],[REFERENCE]], Tableau1[NUMERO], 0), 5)</f>
        <v/>
      </c>
      <c r="F528">
        <f>INDEX(Tableau1[], MATCH(Tableau3[[#This Row],[REFERENCE]], Tableau1[NUMERO], 0), 6)</f>
        <v/>
      </c>
      <c r="G528">
        <f>INDEX(Tableau1[], MATCH(Tableau3[[#This Row],[REFERENCE]], Tableau1[NUMERO], 0), 7)</f>
        <v/>
      </c>
      <c r="H528" t="inlineStr">
        <is>
          <t>lasertechnic</t>
        </is>
      </c>
      <c r="J528" s="2" t="n"/>
      <c r="K528" s="2" t="n">
        <v>43875</v>
      </c>
      <c r="L528" s="2" t="n"/>
      <c r="N528" s="35" t="n">
        <v>6</v>
      </c>
      <c r="O528" s="7" t="n">
        <v>30</v>
      </c>
      <c r="P528" s="8" t="n"/>
      <c r="Q528" s="2" t="n">
        <v>43964</v>
      </c>
    </row>
    <row r="529">
      <c r="A529" s="8" t="n">
        <v>34408205</v>
      </c>
      <c r="B529" s="2">
        <f>INDEX(Tableau1[], MATCH(Tableau3[[#This Row],[REFERENCE]], Tableau1[NUMERO], 0), 2)</f>
        <v/>
      </c>
      <c r="C529">
        <f>INDEX(Tableau1[], MATCH(Tableau3[[#This Row],[REFERENCE]], Tableau1[NUMERO], 0), 3)</f>
        <v/>
      </c>
      <c r="D529">
        <f>INDEX(Tableau1[], MATCH(Tableau3[[#This Row],[REFERENCE]], Tableau1[NUMERO], 0),4)</f>
        <v/>
      </c>
      <c r="E529">
        <f>INDEX(Tableau1[], MATCH(Tableau3[[#This Row],[REFERENCE]], Tableau1[NUMERO], 0), 5)</f>
        <v/>
      </c>
      <c r="F529">
        <f>INDEX(Tableau1[], MATCH(Tableau3[[#This Row],[REFERENCE]], Tableau1[NUMERO], 0), 6)</f>
        <v/>
      </c>
      <c r="G529">
        <f>INDEX(Tableau1[], MATCH(Tableau3[[#This Row],[REFERENCE]], Tableau1[NUMERO], 0), 7)</f>
        <v/>
      </c>
      <c r="H529" t="inlineStr">
        <is>
          <t>lasertechnic</t>
        </is>
      </c>
      <c r="J529" s="2" t="n"/>
      <c r="K529" s="2" t="n">
        <v>43875</v>
      </c>
      <c r="L529" s="2" t="n"/>
      <c r="N529" s="35" t="n">
        <v>1</v>
      </c>
      <c r="O529" s="7" t="n">
        <v>260</v>
      </c>
      <c r="P529" s="8" t="n"/>
      <c r="Q529" s="2" t="n">
        <v>43964</v>
      </c>
    </row>
    <row r="530">
      <c r="A530" s="8" t="n">
        <v>34408205</v>
      </c>
      <c r="B530" s="2">
        <f>INDEX(Tableau1[], MATCH(Tableau3[[#This Row],[REFERENCE]], Tableau1[NUMERO], 0), 2)</f>
        <v/>
      </c>
      <c r="C530">
        <f>INDEX(Tableau1[], MATCH(Tableau3[[#This Row],[REFERENCE]], Tableau1[NUMERO], 0), 3)</f>
        <v/>
      </c>
      <c r="D530">
        <f>INDEX(Tableau1[], MATCH(Tableau3[[#This Row],[REFERENCE]], Tableau1[NUMERO], 0),4)</f>
        <v/>
      </c>
      <c r="E530">
        <f>INDEX(Tableau1[], MATCH(Tableau3[[#This Row],[REFERENCE]], Tableau1[NUMERO], 0), 5)</f>
        <v/>
      </c>
      <c r="F530">
        <f>INDEX(Tableau1[], MATCH(Tableau3[[#This Row],[REFERENCE]], Tableau1[NUMERO], 0), 6)</f>
        <v/>
      </c>
      <c r="G530">
        <f>INDEX(Tableau1[], MATCH(Tableau3[[#This Row],[REFERENCE]], Tableau1[NUMERO], 0), 7)</f>
        <v/>
      </c>
      <c r="H530" t="inlineStr">
        <is>
          <t>lasertechnic</t>
        </is>
      </c>
      <c r="J530" s="2" t="n"/>
      <c r="K530" s="2" t="n">
        <v>43875</v>
      </c>
      <c r="L530" s="2" t="n"/>
      <c r="N530" s="35" t="n">
        <v>6</v>
      </c>
      <c r="O530" s="7" t="n">
        <v>245</v>
      </c>
      <c r="P530" s="8" t="n"/>
      <c r="Q530" s="2" t="n">
        <v>43964</v>
      </c>
    </row>
    <row r="531">
      <c r="A531" s="8" t="n">
        <v>34408316</v>
      </c>
      <c r="B531" s="2">
        <f>INDEX(Tableau1[], MATCH(Tableau3[[#This Row],[REFERENCE]], Tableau1[NUMERO], 0), 2)</f>
        <v/>
      </c>
      <c r="C531">
        <f>INDEX(Tableau1[], MATCH(Tableau3[[#This Row],[REFERENCE]], Tableau1[NUMERO], 0), 3)</f>
        <v/>
      </c>
      <c r="D531">
        <f>INDEX(Tableau1[], MATCH(Tableau3[[#This Row],[REFERENCE]], Tableau1[NUMERO], 0),4)</f>
        <v/>
      </c>
      <c r="E531">
        <f>INDEX(Tableau1[], MATCH(Tableau3[[#This Row],[REFERENCE]], Tableau1[NUMERO], 0), 5)</f>
        <v/>
      </c>
      <c r="F531">
        <f>INDEX(Tableau1[], MATCH(Tableau3[[#This Row],[REFERENCE]], Tableau1[NUMERO], 0), 6)</f>
        <v/>
      </c>
      <c r="G531">
        <f>INDEX(Tableau1[], MATCH(Tableau3[[#This Row],[REFERENCE]], Tableau1[NUMERO], 0), 7)</f>
        <v/>
      </c>
      <c r="H531" t="inlineStr">
        <is>
          <t>lasertechnic</t>
        </is>
      </c>
      <c r="J531" s="2" t="n">
        <v>43888</v>
      </c>
      <c r="K531" s="2" t="n">
        <v>43889</v>
      </c>
      <c r="L531" s="2" t="n"/>
      <c r="N531" s="35" t="n">
        <v>1</v>
      </c>
      <c r="O531" s="7" t="n">
        <v>232</v>
      </c>
      <c r="P531" s="8" t="inlineStr">
        <is>
          <t>4 JOURS</t>
        </is>
      </c>
      <c r="Q531" s="2" t="n">
        <v>43978</v>
      </c>
    </row>
    <row r="532">
      <c r="A532" s="8" t="n">
        <v>34408316</v>
      </c>
      <c r="B532" s="2">
        <f>INDEX(Tableau1[], MATCH(Tableau3[[#This Row],[REFERENCE]], Tableau1[NUMERO], 0), 2)</f>
        <v/>
      </c>
      <c r="C532">
        <f>INDEX(Tableau1[], MATCH(Tableau3[[#This Row],[REFERENCE]], Tableau1[NUMERO], 0), 3)</f>
        <v/>
      </c>
      <c r="D532">
        <f>INDEX(Tableau1[], MATCH(Tableau3[[#This Row],[REFERENCE]], Tableau1[NUMERO], 0),4)</f>
        <v/>
      </c>
      <c r="E532">
        <f>INDEX(Tableau1[], MATCH(Tableau3[[#This Row],[REFERENCE]], Tableau1[NUMERO], 0), 5)</f>
        <v/>
      </c>
      <c r="F532">
        <f>INDEX(Tableau1[], MATCH(Tableau3[[#This Row],[REFERENCE]], Tableau1[NUMERO], 0), 6)</f>
        <v/>
      </c>
      <c r="G532">
        <f>INDEX(Tableau1[], MATCH(Tableau3[[#This Row],[REFERENCE]], Tableau1[NUMERO], 0), 7)</f>
        <v/>
      </c>
      <c r="H532" t="inlineStr">
        <is>
          <t>lasertechnic</t>
        </is>
      </c>
      <c r="J532" s="2" t="n">
        <v>43888</v>
      </c>
      <c r="K532" s="2" t="n">
        <v>43889</v>
      </c>
      <c r="L532" s="2" t="n"/>
      <c r="N532" s="35" t="n">
        <v>2</v>
      </c>
      <c r="O532" s="7" t="n">
        <v>148</v>
      </c>
      <c r="P532" s="8" t="inlineStr">
        <is>
          <t>4 JOURS</t>
        </is>
      </c>
      <c r="Q532" s="2" t="n">
        <v>43978</v>
      </c>
    </row>
    <row r="533">
      <c r="A533" s="8" t="n">
        <v>34408317</v>
      </c>
      <c r="B533" s="2">
        <f>INDEX(Tableau1[], MATCH(Tableau3[[#This Row],[REFERENCE]], Tableau1[NUMERO], 0), 2)</f>
        <v/>
      </c>
      <c r="C533">
        <f>INDEX(Tableau1[], MATCH(Tableau3[[#This Row],[REFERENCE]], Tableau1[NUMERO], 0), 3)</f>
        <v/>
      </c>
      <c r="D533">
        <f>INDEX(Tableau1[], MATCH(Tableau3[[#This Row],[REFERENCE]], Tableau1[NUMERO], 0),4)</f>
        <v/>
      </c>
      <c r="E533">
        <f>INDEX(Tableau1[], MATCH(Tableau3[[#This Row],[REFERENCE]], Tableau1[NUMERO], 0), 5)</f>
        <v/>
      </c>
      <c r="F533">
        <f>INDEX(Tableau1[], MATCH(Tableau3[[#This Row],[REFERENCE]], Tableau1[NUMERO], 0), 6)</f>
        <v/>
      </c>
      <c r="G533">
        <f>INDEX(Tableau1[], MATCH(Tableau3[[#This Row],[REFERENCE]], Tableau1[NUMERO], 0), 7)</f>
        <v/>
      </c>
      <c r="H533" t="inlineStr">
        <is>
          <t>lasertechnic</t>
        </is>
      </c>
      <c r="J533" s="2" t="n">
        <v>43888</v>
      </c>
      <c r="K533" s="2" t="n">
        <v>43889</v>
      </c>
      <c r="L533" s="2" t="n"/>
      <c r="N533" s="35" t="n">
        <v>1</v>
      </c>
      <c r="O533" s="7" t="n">
        <v>38</v>
      </c>
      <c r="P533" s="8" t="inlineStr">
        <is>
          <t>4 JOURS</t>
        </is>
      </c>
      <c r="Q533" s="2" t="n">
        <v>43978</v>
      </c>
    </row>
    <row r="534">
      <c r="A534" s="8" t="n">
        <v>34408317</v>
      </c>
      <c r="B534" s="2">
        <f>INDEX(Tableau1[], MATCH(Tableau3[[#This Row],[REFERENCE]], Tableau1[NUMERO], 0), 2)</f>
        <v/>
      </c>
      <c r="C534">
        <f>INDEX(Tableau1[], MATCH(Tableau3[[#This Row],[REFERENCE]], Tableau1[NUMERO], 0), 3)</f>
        <v/>
      </c>
      <c r="D534">
        <f>INDEX(Tableau1[], MATCH(Tableau3[[#This Row],[REFERENCE]], Tableau1[NUMERO], 0),4)</f>
        <v/>
      </c>
      <c r="E534">
        <f>INDEX(Tableau1[], MATCH(Tableau3[[#This Row],[REFERENCE]], Tableau1[NUMERO], 0), 5)</f>
        <v/>
      </c>
      <c r="F534">
        <f>INDEX(Tableau1[], MATCH(Tableau3[[#This Row],[REFERENCE]], Tableau1[NUMERO], 0), 6)</f>
        <v/>
      </c>
      <c r="G534">
        <f>INDEX(Tableau1[], MATCH(Tableau3[[#This Row],[REFERENCE]], Tableau1[NUMERO], 0), 7)</f>
        <v/>
      </c>
      <c r="H534" t="inlineStr">
        <is>
          <t>lasertechnic</t>
        </is>
      </c>
      <c r="J534" s="2" t="n">
        <v>43888</v>
      </c>
      <c r="K534" s="2" t="n">
        <v>43889</v>
      </c>
      <c r="L534" s="2" t="n"/>
      <c r="N534" s="35" t="n">
        <v>2</v>
      </c>
      <c r="O534" s="7" t="n">
        <v>28</v>
      </c>
      <c r="P534" s="8" t="inlineStr">
        <is>
          <t>4 JOURS</t>
        </is>
      </c>
      <c r="Q534" s="2" t="n">
        <v>43978</v>
      </c>
    </row>
    <row r="535">
      <c r="A535" s="8" t="n">
        <v>34408318</v>
      </c>
      <c r="B535" s="2">
        <f>INDEX(Tableau1[], MATCH(Tableau3[[#This Row],[REFERENCE]], Tableau1[NUMERO], 0), 2)</f>
        <v/>
      </c>
      <c r="C535">
        <f>INDEX(Tableau1[], MATCH(Tableau3[[#This Row],[REFERENCE]], Tableau1[NUMERO], 0), 3)</f>
        <v/>
      </c>
      <c r="D535">
        <f>INDEX(Tableau1[], MATCH(Tableau3[[#This Row],[REFERENCE]], Tableau1[NUMERO], 0),4)</f>
        <v/>
      </c>
      <c r="E535">
        <f>INDEX(Tableau1[], MATCH(Tableau3[[#This Row],[REFERENCE]], Tableau1[NUMERO], 0), 5)</f>
        <v/>
      </c>
      <c r="F535">
        <f>INDEX(Tableau1[], MATCH(Tableau3[[#This Row],[REFERENCE]], Tableau1[NUMERO], 0), 6)</f>
        <v/>
      </c>
      <c r="G535">
        <f>INDEX(Tableau1[], MATCH(Tableau3[[#This Row],[REFERENCE]], Tableau1[NUMERO], 0), 7)</f>
        <v/>
      </c>
      <c r="H535" t="inlineStr">
        <is>
          <t>lasertechnic</t>
        </is>
      </c>
      <c r="J535" s="2" t="n">
        <v>43888</v>
      </c>
      <c r="K535" s="2" t="n">
        <v>43889</v>
      </c>
      <c r="L535" s="2" t="n"/>
      <c r="N535" s="35" t="n">
        <v>1</v>
      </c>
      <c r="O535" s="7" t="n">
        <v>28</v>
      </c>
      <c r="P535" s="8" t="inlineStr">
        <is>
          <t>4 JOURS</t>
        </is>
      </c>
      <c r="Q535" s="2" t="n">
        <v>43978</v>
      </c>
    </row>
    <row r="536">
      <c r="A536" s="8" t="n">
        <v>34408318</v>
      </c>
      <c r="B536" s="2">
        <f>INDEX(Tableau1[], MATCH(Tableau3[[#This Row],[REFERENCE]], Tableau1[NUMERO], 0), 2)</f>
        <v/>
      </c>
      <c r="C536">
        <f>INDEX(Tableau1[], MATCH(Tableau3[[#This Row],[REFERENCE]], Tableau1[NUMERO], 0), 3)</f>
        <v/>
      </c>
      <c r="D536">
        <f>INDEX(Tableau1[], MATCH(Tableau3[[#This Row],[REFERENCE]], Tableau1[NUMERO], 0),4)</f>
        <v/>
      </c>
      <c r="E536">
        <f>INDEX(Tableau1[], MATCH(Tableau3[[#This Row],[REFERENCE]], Tableau1[NUMERO], 0), 5)</f>
        <v/>
      </c>
      <c r="F536">
        <f>INDEX(Tableau1[], MATCH(Tableau3[[#This Row],[REFERENCE]], Tableau1[NUMERO], 0), 6)</f>
        <v/>
      </c>
      <c r="G536">
        <f>INDEX(Tableau1[], MATCH(Tableau3[[#This Row],[REFERENCE]], Tableau1[NUMERO], 0), 7)</f>
        <v/>
      </c>
      <c r="H536" t="inlineStr">
        <is>
          <t>lasertechnic</t>
        </is>
      </c>
      <c r="J536" s="2" t="n">
        <v>43888</v>
      </c>
      <c r="K536" s="2" t="n">
        <v>43889</v>
      </c>
      <c r="L536" s="2" t="n"/>
      <c r="N536" s="35" t="n">
        <v>2</v>
      </c>
      <c r="O536" s="7" t="n">
        <v>19</v>
      </c>
      <c r="P536" s="8" t="inlineStr">
        <is>
          <t>4 JOURS</t>
        </is>
      </c>
      <c r="Q536" s="2" t="n">
        <v>43978</v>
      </c>
    </row>
    <row r="537">
      <c r="A537" s="8" t="n">
        <v>34408319</v>
      </c>
      <c r="B537" s="2">
        <f>INDEX(Tableau1[], MATCH(Tableau3[[#This Row],[REFERENCE]], Tableau1[NUMERO], 0), 2)</f>
        <v/>
      </c>
      <c r="C537">
        <f>INDEX(Tableau1[], MATCH(Tableau3[[#This Row],[REFERENCE]], Tableau1[NUMERO], 0), 3)</f>
        <v/>
      </c>
      <c r="D537">
        <f>INDEX(Tableau1[], MATCH(Tableau3[[#This Row],[REFERENCE]], Tableau1[NUMERO], 0),4)</f>
        <v/>
      </c>
      <c r="E537">
        <f>INDEX(Tableau1[], MATCH(Tableau3[[#This Row],[REFERENCE]], Tableau1[NUMERO], 0), 5)</f>
        <v/>
      </c>
      <c r="F537">
        <f>INDEX(Tableau1[], MATCH(Tableau3[[#This Row],[REFERENCE]], Tableau1[NUMERO], 0), 6)</f>
        <v/>
      </c>
      <c r="G537">
        <f>INDEX(Tableau1[], MATCH(Tableau3[[#This Row],[REFERENCE]], Tableau1[NUMERO], 0), 7)</f>
        <v/>
      </c>
      <c r="H537" t="inlineStr">
        <is>
          <t>lasertechnic</t>
        </is>
      </c>
      <c r="J537" s="2" t="n">
        <v>43888</v>
      </c>
      <c r="K537" s="2" t="n">
        <v>43889</v>
      </c>
      <c r="L537" s="2" t="n"/>
      <c r="N537" s="35" t="n">
        <v>2</v>
      </c>
      <c r="O537" s="7" t="n">
        <v>28</v>
      </c>
      <c r="P537" s="8" t="inlineStr">
        <is>
          <t>4 JOURS</t>
        </is>
      </c>
      <c r="Q537" s="2" t="n">
        <v>43978</v>
      </c>
    </row>
    <row r="538">
      <c r="A538" s="8" t="n">
        <v>34408319</v>
      </c>
      <c r="B538" s="2">
        <f>INDEX(Tableau1[], MATCH(Tableau3[[#This Row],[REFERENCE]], Tableau1[NUMERO], 0), 2)</f>
        <v/>
      </c>
      <c r="C538">
        <f>INDEX(Tableau1[], MATCH(Tableau3[[#This Row],[REFERENCE]], Tableau1[NUMERO], 0), 3)</f>
        <v/>
      </c>
      <c r="D538">
        <f>INDEX(Tableau1[], MATCH(Tableau3[[#This Row],[REFERENCE]], Tableau1[NUMERO], 0),4)</f>
        <v/>
      </c>
      <c r="E538">
        <f>INDEX(Tableau1[], MATCH(Tableau3[[#This Row],[REFERENCE]], Tableau1[NUMERO], 0), 5)</f>
        <v/>
      </c>
      <c r="F538">
        <f>INDEX(Tableau1[], MATCH(Tableau3[[#This Row],[REFERENCE]], Tableau1[NUMERO], 0), 6)</f>
        <v/>
      </c>
      <c r="G538">
        <f>INDEX(Tableau1[], MATCH(Tableau3[[#This Row],[REFERENCE]], Tableau1[NUMERO], 0), 7)</f>
        <v/>
      </c>
      <c r="H538" t="inlineStr">
        <is>
          <t>lasertechnic</t>
        </is>
      </c>
      <c r="J538" s="2" t="n">
        <v>43888</v>
      </c>
      <c r="K538" s="2" t="n">
        <v>43889</v>
      </c>
      <c r="L538" s="2" t="n"/>
      <c r="N538" s="35" t="n">
        <v>4</v>
      </c>
      <c r="O538" s="7" t="n">
        <v>34</v>
      </c>
      <c r="P538" s="8" t="inlineStr">
        <is>
          <t>4 JOURS</t>
        </is>
      </c>
      <c r="Q538" s="2" t="n">
        <v>43978</v>
      </c>
    </row>
    <row r="539">
      <c r="A539" s="8" t="n">
        <v>34408321</v>
      </c>
      <c r="B539" s="2">
        <f>INDEX(Tableau1[], MATCH(Tableau3[[#This Row],[REFERENCE]], Tableau1[NUMERO], 0), 2)</f>
        <v/>
      </c>
      <c r="C539">
        <f>INDEX(Tableau1[], MATCH(Tableau3[[#This Row],[REFERENCE]], Tableau1[NUMERO], 0), 3)</f>
        <v/>
      </c>
      <c r="D539">
        <f>INDEX(Tableau1[], MATCH(Tableau3[[#This Row],[REFERENCE]], Tableau1[NUMERO], 0),4)</f>
        <v/>
      </c>
      <c r="E539">
        <f>INDEX(Tableau1[], MATCH(Tableau3[[#This Row],[REFERENCE]], Tableau1[NUMERO], 0), 5)</f>
        <v/>
      </c>
      <c r="F539">
        <f>INDEX(Tableau1[], MATCH(Tableau3[[#This Row],[REFERENCE]], Tableau1[NUMERO], 0), 6)</f>
        <v/>
      </c>
      <c r="G539">
        <f>INDEX(Tableau1[], MATCH(Tableau3[[#This Row],[REFERENCE]], Tableau1[NUMERO], 0), 7)</f>
        <v/>
      </c>
      <c r="H539" t="inlineStr">
        <is>
          <t>lasertechnic</t>
        </is>
      </c>
      <c r="J539" s="2" t="n">
        <v>43888</v>
      </c>
      <c r="K539" s="2" t="n">
        <v>43889</v>
      </c>
      <c r="L539" s="2" t="n"/>
      <c r="N539" s="35" t="n">
        <v>2</v>
      </c>
      <c r="O539" s="7" t="n">
        <v>71</v>
      </c>
      <c r="P539" s="8" t="inlineStr">
        <is>
          <t>4 JOURS</t>
        </is>
      </c>
      <c r="Q539" s="2" t="n">
        <v>43978</v>
      </c>
    </row>
    <row r="540">
      <c r="A540" s="8" t="n">
        <v>34408321</v>
      </c>
      <c r="B540" s="2">
        <f>INDEX(Tableau1[], MATCH(Tableau3[[#This Row],[REFERENCE]], Tableau1[NUMERO], 0), 2)</f>
        <v/>
      </c>
      <c r="C540">
        <f>INDEX(Tableau1[], MATCH(Tableau3[[#This Row],[REFERENCE]], Tableau1[NUMERO], 0), 3)</f>
        <v/>
      </c>
      <c r="D540">
        <f>INDEX(Tableau1[], MATCH(Tableau3[[#This Row],[REFERENCE]], Tableau1[NUMERO], 0),4)</f>
        <v/>
      </c>
      <c r="E540">
        <f>INDEX(Tableau1[], MATCH(Tableau3[[#This Row],[REFERENCE]], Tableau1[NUMERO], 0), 5)</f>
        <v/>
      </c>
      <c r="F540">
        <f>INDEX(Tableau1[], MATCH(Tableau3[[#This Row],[REFERENCE]], Tableau1[NUMERO], 0), 6)</f>
        <v/>
      </c>
      <c r="G540">
        <f>INDEX(Tableau1[], MATCH(Tableau3[[#This Row],[REFERENCE]], Tableau1[NUMERO], 0), 7)</f>
        <v/>
      </c>
      <c r="H540" t="inlineStr">
        <is>
          <t>lasertechnic</t>
        </is>
      </c>
      <c r="J540" s="2" t="n">
        <v>43888</v>
      </c>
      <c r="K540" s="2" t="n">
        <v>43889</v>
      </c>
      <c r="L540" s="2" t="n"/>
      <c r="N540" s="35" t="n">
        <v>4</v>
      </c>
      <c r="O540" s="7" t="n">
        <v>39</v>
      </c>
      <c r="P540" s="8" t="inlineStr">
        <is>
          <t>4 JOURS</t>
        </is>
      </c>
      <c r="Q540" s="2" t="n">
        <v>43978</v>
      </c>
    </row>
    <row r="541">
      <c r="A541" s="8" t="n">
        <v>34408322</v>
      </c>
      <c r="B541" s="2">
        <f>INDEX(Tableau1[], MATCH(Tableau3[[#This Row],[REFERENCE]], Tableau1[NUMERO], 0), 2)</f>
        <v/>
      </c>
      <c r="C541">
        <f>INDEX(Tableau1[], MATCH(Tableau3[[#This Row],[REFERENCE]], Tableau1[NUMERO], 0), 3)</f>
        <v/>
      </c>
      <c r="D541">
        <f>INDEX(Tableau1[], MATCH(Tableau3[[#This Row],[REFERENCE]], Tableau1[NUMERO], 0),4)</f>
        <v/>
      </c>
      <c r="E541">
        <f>INDEX(Tableau1[], MATCH(Tableau3[[#This Row],[REFERENCE]], Tableau1[NUMERO], 0), 5)</f>
        <v/>
      </c>
      <c r="F541">
        <f>INDEX(Tableau1[], MATCH(Tableau3[[#This Row],[REFERENCE]], Tableau1[NUMERO], 0), 6)</f>
        <v/>
      </c>
      <c r="G541">
        <f>INDEX(Tableau1[], MATCH(Tableau3[[#This Row],[REFERENCE]], Tableau1[NUMERO], 0), 7)</f>
        <v/>
      </c>
      <c r="H541" t="inlineStr">
        <is>
          <t>lasertechnic</t>
        </is>
      </c>
      <c r="J541" s="2" t="n">
        <v>43888</v>
      </c>
      <c r="K541" s="2" t="n">
        <v>43889</v>
      </c>
      <c r="L541" s="2" t="n"/>
      <c r="N541" s="35" t="n">
        <v>2</v>
      </c>
      <c r="O541" s="7" t="n">
        <v>31</v>
      </c>
      <c r="P541" s="8" t="inlineStr">
        <is>
          <t>4 JOURS</t>
        </is>
      </c>
      <c r="Q541" s="2" t="n">
        <v>43978</v>
      </c>
    </row>
    <row r="542">
      <c r="A542" s="8" t="n">
        <v>34408322</v>
      </c>
      <c r="B542" s="2">
        <f>INDEX(Tableau1[], MATCH(Tableau3[[#This Row],[REFERENCE]], Tableau1[NUMERO], 0), 2)</f>
        <v/>
      </c>
      <c r="C542">
        <f>INDEX(Tableau1[], MATCH(Tableau3[[#This Row],[REFERENCE]], Tableau1[NUMERO], 0), 3)</f>
        <v/>
      </c>
      <c r="D542">
        <f>INDEX(Tableau1[], MATCH(Tableau3[[#This Row],[REFERENCE]], Tableau1[NUMERO], 0),4)</f>
        <v/>
      </c>
      <c r="E542">
        <f>INDEX(Tableau1[], MATCH(Tableau3[[#This Row],[REFERENCE]], Tableau1[NUMERO], 0), 5)</f>
        <v/>
      </c>
      <c r="F542">
        <f>INDEX(Tableau1[], MATCH(Tableau3[[#This Row],[REFERENCE]], Tableau1[NUMERO], 0), 6)</f>
        <v/>
      </c>
      <c r="G542">
        <f>INDEX(Tableau1[], MATCH(Tableau3[[#This Row],[REFERENCE]], Tableau1[NUMERO], 0), 7)</f>
        <v/>
      </c>
      <c r="H542" t="inlineStr">
        <is>
          <t>lasertechnic</t>
        </is>
      </c>
      <c r="J542" s="2" t="n">
        <v>43888</v>
      </c>
      <c r="K542" s="2" t="n">
        <v>43889</v>
      </c>
      <c r="L542" s="2" t="n"/>
      <c r="N542" s="35" t="n">
        <v>4</v>
      </c>
      <c r="O542" s="7" t="n">
        <v>20</v>
      </c>
      <c r="P542" s="8" t="inlineStr">
        <is>
          <t>4 JOURS</t>
        </is>
      </c>
      <c r="Q542" s="2" t="n">
        <v>43978</v>
      </c>
    </row>
    <row r="543">
      <c r="A543" s="8" t="n">
        <v>34408323</v>
      </c>
      <c r="B543" s="2">
        <f>INDEX(Tableau1[], MATCH(Tableau3[[#This Row],[REFERENCE]], Tableau1[NUMERO], 0), 2)</f>
        <v/>
      </c>
      <c r="C543">
        <f>INDEX(Tableau1[], MATCH(Tableau3[[#This Row],[REFERENCE]], Tableau1[NUMERO], 0), 3)</f>
        <v/>
      </c>
      <c r="D543">
        <f>INDEX(Tableau1[], MATCH(Tableau3[[#This Row],[REFERENCE]], Tableau1[NUMERO], 0),4)</f>
        <v/>
      </c>
      <c r="E543">
        <f>INDEX(Tableau1[], MATCH(Tableau3[[#This Row],[REFERENCE]], Tableau1[NUMERO], 0), 5)</f>
        <v/>
      </c>
      <c r="F543">
        <f>INDEX(Tableau1[], MATCH(Tableau3[[#This Row],[REFERENCE]], Tableau1[NUMERO], 0), 6)</f>
        <v/>
      </c>
      <c r="G543">
        <f>INDEX(Tableau1[], MATCH(Tableau3[[#This Row],[REFERENCE]], Tableau1[NUMERO], 0), 7)</f>
        <v/>
      </c>
      <c r="H543" t="inlineStr">
        <is>
          <t>lasertechnic</t>
        </is>
      </c>
      <c r="J543" s="2" t="n">
        <v>43888</v>
      </c>
      <c r="K543" s="2" t="n">
        <v>43889</v>
      </c>
      <c r="L543" s="2" t="n"/>
      <c r="N543" s="35" t="n">
        <v>2</v>
      </c>
      <c r="O543" s="7" t="n">
        <v>31</v>
      </c>
      <c r="P543" s="8" t="inlineStr">
        <is>
          <t>4 JOURS</t>
        </is>
      </c>
      <c r="Q543" s="2" t="n">
        <v>43978</v>
      </c>
    </row>
    <row r="544">
      <c r="A544" s="8" t="n">
        <v>34408323</v>
      </c>
      <c r="B544" s="2">
        <f>INDEX(Tableau1[], MATCH(Tableau3[[#This Row],[REFERENCE]], Tableau1[NUMERO], 0), 2)</f>
        <v/>
      </c>
      <c r="C544">
        <f>INDEX(Tableau1[], MATCH(Tableau3[[#This Row],[REFERENCE]], Tableau1[NUMERO], 0), 3)</f>
        <v/>
      </c>
      <c r="D544">
        <f>INDEX(Tableau1[], MATCH(Tableau3[[#This Row],[REFERENCE]], Tableau1[NUMERO], 0),4)</f>
        <v/>
      </c>
      <c r="E544">
        <f>INDEX(Tableau1[], MATCH(Tableau3[[#This Row],[REFERENCE]], Tableau1[NUMERO], 0), 5)</f>
        <v/>
      </c>
      <c r="F544">
        <f>INDEX(Tableau1[], MATCH(Tableau3[[#This Row],[REFERENCE]], Tableau1[NUMERO], 0), 6)</f>
        <v/>
      </c>
      <c r="G544">
        <f>INDEX(Tableau1[], MATCH(Tableau3[[#This Row],[REFERENCE]], Tableau1[NUMERO], 0), 7)</f>
        <v/>
      </c>
      <c r="H544" t="inlineStr">
        <is>
          <t>lasertechnic</t>
        </is>
      </c>
      <c r="J544" s="2" t="n">
        <v>43888</v>
      </c>
      <c r="K544" s="2" t="n">
        <v>43889</v>
      </c>
      <c r="L544" s="2" t="n"/>
      <c r="N544" s="35" t="n">
        <v>4</v>
      </c>
      <c r="O544" s="7" t="n">
        <v>21</v>
      </c>
      <c r="P544" s="8" t="inlineStr">
        <is>
          <t>4 JOURS</t>
        </is>
      </c>
      <c r="Q544" s="2" t="n">
        <v>43978</v>
      </c>
    </row>
    <row r="545">
      <c r="A545" s="8" t="n">
        <v>34408330</v>
      </c>
      <c r="B545" s="2">
        <f>INDEX(Tableau1[], MATCH(Tableau3[[#This Row],[REFERENCE]], Tableau1[NUMERO], 0), 2)</f>
        <v/>
      </c>
      <c r="C545">
        <f>INDEX(Tableau1[], MATCH(Tableau3[[#This Row],[REFERENCE]], Tableau1[NUMERO], 0), 3)</f>
        <v/>
      </c>
      <c r="D545">
        <f>INDEX(Tableau1[], MATCH(Tableau3[[#This Row],[REFERENCE]], Tableau1[NUMERO], 0),4)</f>
        <v/>
      </c>
      <c r="E545">
        <f>INDEX(Tableau1[], MATCH(Tableau3[[#This Row],[REFERENCE]], Tableau1[NUMERO], 0), 5)</f>
        <v/>
      </c>
      <c r="F545">
        <f>INDEX(Tableau1[], MATCH(Tableau3[[#This Row],[REFERENCE]], Tableau1[NUMERO], 0), 6)</f>
        <v/>
      </c>
      <c r="G545">
        <f>INDEX(Tableau1[], MATCH(Tableau3[[#This Row],[REFERENCE]], Tableau1[NUMERO], 0), 7)</f>
        <v/>
      </c>
      <c r="H545" t="inlineStr">
        <is>
          <t>lasertechnic</t>
        </is>
      </c>
      <c r="J545" s="2" t="n">
        <v>43888</v>
      </c>
      <c r="K545" s="2" t="n">
        <v>43889</v>
      </c>
      <c r="L545" s="2" t="n"/>
      <c r="N545" s="35" t="n">
        <v>2</v>
      </c>
      <c r="O545" s="7" t="n">
        <v>62</v>
      </c>
      <c r="P545" s="8" t="inlineStr">
        <is>
          <t>4 JOURS</t>
        </is>
      </c>
      <c r="Q545" s="2" t="n">
        <v>43978</v>
      </c>
    </row>
    <row r="546">
      <c r="A546" s="8" t="n">
        <v>34408330</v>
      </c>
      <c r="B546" s="2">
        <f>INDEX(Tableau1[], MATCH(Tableau3[[#This Row],[REFERENCE]], Tableau1[NUMERO], 0), 2)</f>
        <v/>
      </c>
      <c r="C546">
        <f>INDEX(Tableau1[], MATCH(Tableau3[[#This Row],[REFERENCE]], Tableau1[NUMERO], 0), 3)</f>
        <v/>
      </c>
      <c r="D546">
        <f>INDEX(Tableau1[], MATCH(Tableau3[[#This Row],[REFERENCE]], Tableau1[NUMERO], 0),4)</f>
        <v/>
      </c>
      <c r="E546">
        <f>INDEX(Tableau1[], MATCH(Tableau3[[#This Row],[REFERENCE]], Tableau1[NUMERO], 0), 5)</f>
        <v/>
      </c>
      <c r="F546">
        <f>INDEX(Tableau1[], MATCH(Tableau3[[#This Row],[REFERENCE]], Tableau1[NUMERO], 0), 6)</f>
        <v/>
      </c>
      <c r="G546">
        <f>INDEX(Tableau1[], MATCH(Tableau3[[#This Row],[REFERENCE]], Tableau1[NUMERO], 0), 7)</f>
        <v/>
      </c>
      <c r="H546" t="inlineStr">
        <is>
          <t>lasertechnic</t>
        </is>
      </c>
      <c r="J546" s="2" t="n">
        <v>43888</v>
      </c>
      <c r="K546" s="2" t="n">
        <v>43889</v>
      </c>
      <c r="L546" s="2" t="n"/>
      <c r="N546" s="35" t="n">
        <v>2</v>
      </c>
      <c r="O546" s="7" t="n">
        <v>58</v>
      </c>
      <c r="P546" s="8" t="inlineStr">
        <is>
          <t>4 JOURS</t>
        </is>
      </c>
      <c r="Q546" s="2" t="n">
        <v>43978</v>
      </c>
    </row>
    <row r="547">
      <c r="A547" s="8" t="n">
        <v>34408334</v>
      </c>
      <c r="B547" s="2">
        <f>INDEX(Tableau1[], MATCH(Tableau3[[#This Row],[REFERENCE]], Tableau1[NUMERO], 0), 2)</f>
        <v/>
      </c>
      <c r="C547">
        <f>INDEX(Tableau1[], MATCH(Tableau3[[#This Row],[REFERENCE]], Tableau1[NUMERO], 0), 3)</f>
        <v/>
      </c>
      <c r="D547">
        <f>INDEX(Tableau1[], MATCH(Tableau3[[#This Row],[REFERENCE]], Tableau1[NUMERO], 0),4)</f>
        <v/>
      </c>
      <c r="E547">
        <f>INDEX(Tableau1[], MATCH(Tableau3[[#This Row],[REFERENCE]], Tableau1[NUMERO], 0), 5)</f>
        <v/>
      </c>
      <c r="F547">
        <f>INDEX(Tableau1[], MATCH(Tableau3[[#This Row],[REFERENCE]], Tableau1[NUMERO], 0), 6)</f>
        <v/>
      </c>
      <c r="G547">
        <f>INDEX(Tableau1[], MATCH(Tableau3[[#This Row],[REFERENCE]], Tableau1[NUMERO], 0), 7)</f>
        <v/>
      </c>
      <c r="H547" t="inlineStr">
        <is>
          <t>UFP</t>
        </is>
      </c>
      <c r="J547" s="2" t="n">
        <v>43888</v>
      </c>
      <c r="K547" s="2" t="n">
        <v>43888</v>
      </c>
      <c r="L547" s="2" t="n"/>
      <c r="N547" s="35" t="n">
        <v>1</v>
      </c>
      <c r="O547" s="7" t="n">
        <v>135</v>
      </c>
      <c r="P547" s="20" t="n">
        <v>43900</v>
      </c>
      <c r="Q547" s="2" t="n">
        <v>43977</v>
      </c>
    </row>
    <row r="548">
      <c r="A548" s="8" t="n">
        <v>34408334</v>
      </c>
      <c r="B548" s="2">
        <f>INDEX(Tableau1[], MATCH(Tableau3[[#This Row],[REFERENCE]], Tableau1[NUMERO], 0), 2)</f>
        <v/>
      </c>
      <c r="C548">
        <f>INDEX(Tableau1[], MATCH(Tableau3[[#This Row],[REFERENCE]], Tableau1[NUMERO], 0), 3)</f>
        <v/>
      </c>
      <c r="D548">
        <f>INDEX(Tableau1[], MATCH(Tableau3[[#This Row],[REFERENCE]], Tableau1[NUMERO], 0),4)</f>
        <v/>
      </c>
      <c r="E548">
        <f>INDEX(Tableau1[], MATCH(Tableau3[[#This Row],[REFERENCE]], Tableau1[NUMERO], 0), 5)</f>
        <v/>
      </c>
      <c r="F548">
        <f>INDEX(Tableau1[], MATCH(Tableau3[[#This Row],[REFERENCE]], Tableau1[NUMERO], 0), 6)</f>
        <v/>
      </c>
      <c r="G548">
        <f>INDEX(Tableau1[], MATCH(Tableau3[[#This Row],[REFERENCE]], Tableau1[NUMERO], 0), 7)</f>
        <v/>
      </c>
      <c r="H548" t="inlineStr">
        <is>
          <t>UFP</t>
        </is>
      </c>
      <c r="J548" s="2" t="n">
        <v>43888</v>
      </c>
      <c r="K548" s="2" t="n">
        <v>43888</v>
      </c>
      <c r="L548" s="2" t="n"/>
      <c r="N548" s="35" t="n">
        <v>23</v>
      </c>
      <c r="O548" s="7" t="n">
        <v>27</v>
      </c>
      <c r="P548" s="20" t="inlineStr">
        <is>
          <t>2 SEMAINES</t>
        </is>
      </c>
      <c r="Q548" s="2" t="n">
        <v>43977</v>
      </c>
    </row>
    <row r="549">
      <c r="A549" s="8" t="n">
        <v>34408339</v>
      </c>
      <c r="B549" s="2">
        <f>INDEX(Tableau1[], MATCH(Tableau3[[#This Row],[REFERENCE]], Tableau1[NUMERO], 0), 2)</f>
        <v/>
      </c>
      <c r="C549">
        <f>INDEX(Tableau1[], MATCH(Tableau3[[#This Row],[REFERENCE]], Tableau1[NUMERO], 0), 3)</f>
        <v/>
      </c>
      <c r="D549">
        <f>INDEX(Tableau1[], MATCH(Tableau3[[#This Row],[REFERENCE]], Tableau1[NUMERO], 0),4)</f>
        <v/>
      </c>
      <c r="E549">
        <f>INDEX(Tableau1[], MATCH(Tableau3[[#This Row],[REFERENCE]], Tableau1[NUMERO], 0), 5)</f>
        <v/>
      </c>
      <c r="F549">
        <f>INDEX(Tableau1[], MATCH(Tableau3[[#This Row],[REFERENCE]], Tableau1[NUMERO], 0), 6)</f>
        <v/>
      </c>
      <c r="G549">
        <f>INDEX(Tableau1[], MATCH(Tableau3[[#This Row],[REFERENCE]], Tableau1[NUMERO], 0), 7)</f>
        <v/>
      </c>
      <c r="H549" t="inlineStr">
        <is>
          <t>trefimetaux</t>
        </is>
      </c>
      <c r="J549" s="2" t="n">
        <v>43889</v>
      </c>
      <c r="K549" s="2" t="n">
        <v>43893</v>
      </c>
      <c r="L549" s="17" t="n"/>
      <c r="M549" s="22" t="n"/>
      <c r="N549" s="40" t="n">
        <v>1</v>
      </c>
      <c r="O549" s="18" t="n">
        <v>250</v>
      </c>
      <c r="P549" s="19" t="inlineStr">
        <is>
          <t>3 semaines</t>
        </is>
      </c>
      <c r="Q549" s="2" t="n">
        <v>43983</v>
      </c>
    </row>
    <row r="550">
      <c r="A550" s="8" t="n">
        <v>34408339</v>
      </c>
      <c r="B550" s="2">
        <f>INDEX(Tableau1[], MATCH(Tableau3[[#This Row],[REFERENCE]], Tableau1[NUMERO], 0), 2)</f>
        <v/>
      </c>
      <c r="C550">
        <f>INDEX(Tableau1[], MATCH(Tableau3[[#This Row],[REFERENCE]], Tableau1[NUMERO], 0), 3)</f>
        <v/>
      </c>
      <c r="D550">
        <f>INDEX(Tableau1[], MATCH(Tableau3[[#This Row],[REFERENCE]], Tableau1[NUMERO], 0),4)</f>
        <v/>
      </c>
      <c r="E550">
        <f>INDEX(Tableau1[], MATCH(Tableau3[[#This Row],[REFERENCE]], Tableau1[NUMERO], 0), 5)</f>
        <v/>
      </c>
      <c r="F550">
        <f>INDEX(Tableau1[], MATCH(Tableau3[[#This Row],[REFERENCE]], Tableau1[NUMERO], 0), 6)</f>
        <v/>
      </c>
      <c r="G550">
        <f>INDEX(Tableau1[], MATCH(Tableau3[[#This Row],[REFERENCE]], Tableau1[NUMERO], 0), 7)</f>
        <v/>
      </c>
      <c r="H550" t="inlineStr">
        <is>
          <t>trefimetaux</t>
        </is>
      </c>
      <c r="J550" s="2" t="n">
        <v>43889</v>
      </c>
      <c r="K550" s="2" t="n">
        <v>43893</v>
      </c>
      <c r="L550" s="14" t="n"/>
      <c r="M550" s="23" t="n"/>
      <c r="N550" s="41" t="n">
        <v>2</v>
      </c>
      <c r="O550" s="15" t="n">
        <v>135</v>
      </c>
      <c r="P550" s="16" t="inlineStr">
        <is>
          <t>3 semaines</t>
        </is>
      </c>
      <c r="Q550" s="2" t="n">
        <v>43983</v>
      </c>
    </row>
    <row r="551">
      <c r="A551" s="8" t="n">
        <v>34408326</v>
      </c>
      <c r="B551" s="2">
        <f>INDEX(Tableau1[], MATCH(Tableau3[[#This Row],[REFERENCE]], Tableau1[NUMERO], 0), 2)</f>
        <v/>
      </c>
      <c r="C551">
        <f>INDEX(Tableau1[], MATCH(Tableau3[[#This Row],[REFERENCE]], Tableau1[NUMERO], 0), 3)</f>
        <v/>
      </c>
      <c r="D551">
        <f>INDEX(Tableau1[], MATCH(Tableau3[[#This Row],[REFERENCE]], Tableau1[NUMERO], 0),4)</f>
        <v/>
      </c>
      <c r="E551">
        <f>INDEX(Tableau1[], MATCH(Tableau3[[#This Row],[REFERENCE]], Tableau1[NUMERO], 0), 5)</f>
        <v/>
      </c>
      <c r="F551">
        <f>INDEX(Tableau1[], MATCH(Tableau3[[#This Row],[REFERENCE]], Tableau1[NUMERO], 0), 6)</f>
        <v/>
      </c>
      <c r="G551">
        <f>INDEX(Tableau1[], MATCH(Tableau3[[#This Row],[REFERENCE]], Tableau1[NUMERO], 0), 7)</f>
        <v/>
      </c>
      <c r="H551" t="inlineStr">
        <is>
          <t>trefimetaux</t>
        </is>
      </c>
      <c r="J551" s="2" t="n">
        <v>43889</v>
      </c>
      <c r="K551" s="2" t="n">
        <v>43893</v>
      </c>
      <c r="L551" s="17" t="n"/>
      <c r="M551" s="22" t="n"/>
      <c r="N551" s="40" t="n">
        <v>8</v>
      </c>
      <c r="O551" s="18" t="n">
        <v>100.8</v>
      </c>
      <c r="P551" s="19" t="inlineStr">
        <is>
          <t>3 semaines</t>
        </is>
      </c>
      <c r="Q551" s="2" t="n">
        <v>43983</v>
      </c>
    </row>
    <row r="552">
      <c r="A552" s="8" t="n">
        <v>34408326</v>
      </c>
      <c r="B552" s="2">
        <f>INDEX(Tableau1[], MATCH(Tableau3[[#This Row],[REFERENCE]], Tableau1[NUMERO], 0), 2)</f>
        <v/>
      </c>
      <c r="C552">
        <f>INDEX(Tableau1[], MATCH(Tableau3[[#This Row],[REFERENCE]], Tableau1[NUMERO], 0), 3)</f>
        <v/>
      </c>
      <c r="D552">
        <f>INDEX(Tableau1[], MATCH(Tableau3[[#This Row],[REFERENCE]], Tableau1[NUMERO], 0),4)</f>
        <v/>
      </c>
      <c r="E552">
        <f>INDEX(Tableau1[], MATCH(Tableau3[[#This Row],[REFERENCE]], Tableau1[NUMERO], 0), 5)</f>
        <v/>
      </c>
      <c r="F552">
        <f>INDEX(Tableau1[], MATCH(Tableau3[[#This Row],[REFERENCE]], Tableau1[NUMERO], 0), 6)</f>
        <v/>
      </c>
      <c r="G552">
        <f>INDEX(Tableau1[], MATCH(Tableau3[[#This Row],[REFERENCE]], Tableau1[NUMERO], 0), 7)</f>
        <v/>
      </c>
      <c r="H552" t="inlineStr">
        <is>
          <t>trefimetaux</t>
        </is>
      </c>
      <c r="J552" s="2" t="n">
        <v>43889</v>
      </c>
      <c r="K552" s="2" t="n">
        <v>43893</v>
      </c>
      <c r="L552" s="14" t="n"/>
      <c r="M552" s="23" t="n"/>
      <c r="N552" s="41" t="n">
        <v>16</v>
      </c>
      <c r="O552" s="15" t="n">
        <v>65</v>
      </c>
      <c r="P552" s="16" t="inlineStr">
        <is>
          <t>3 semaines</t>
        </is>
      </c>
      <c r="Q552" s="2" t="n">
        <v>43983</v>
      </c>
    </row>
    <row r="553">
      <c r="A553" s="8" t="n">
        <v>34408325</v>
      </c>
      <c r="B553" s="2">
        <f>INDEX(Tableau1[], MATCH(Tableau3[[#This Row],[REFERENCE]], Tableau1[NUMERO], 0), 2)</f>
        <v/>
      </c>
      <c r="C553">
        <f>INDEX(Tableau1[], MATCH(Tableau3[[#This Row],[REFERENCE]], Tableau1[NUMERO], 0), 3)</f>
        <v/>
      </c>
      <c r="D553">
        <f>INDEX(Tableau1[], MATCH(Tableau3[[#This Row],[REFERENCE]], Tableau1[NUMERO], 0),4)</f>
        <v/>
      </c>
      <c r="E553">
        <f>INDEX(Tableau1[], MATCH(Tableau3[[#This Row],[REFERENCE]], Tableau1[NUMERO], 0), 5)</f>
        <v/>
      </c>
      <c r="F553">
        <f>INDEX(Tableau1[], MATCH(Tableau3[[#This Row],[REFERENCE]], Tableau1[NUMERO], 0), 6)</f>
        <v/>
      </c>
      <c r="G553">
        <f>INDEX(Tableau1[], MATCH(Tableau3[[#This Row],[REFERENCE]], Tableau1[NUMERO], 0), 7)</f>
        <v/>
      </c>
      <c r="H553" t="inlineStr">
        <is>
          <t>trefimetaux</t>
        </is>
      </c>
      <c r="J553" s="2" t="n">
        <v>43889</v>
      </c>
      <c r="K553" s="2" t="n">
        <v>43893</v>
      </c>
      <c r="L553" s="17" t="n"/>
      <c r="M553" s="22" t="n"/>
      <c r="N553" s="40" t="n">
        <v>4</v>
      </c>
      <c r="O553" s="18" t="n">
        <v>60.5</v>
      </c>
      <c r="P553" s="19" t="inlineStr">
        <is>
          <t>3 semaines</t>
        </is>
      </c>
      <c r="Q553" s="2" t="n">
        <v>43983</v>
      </c>
    </row>
    <row r="554">
      <c r="A554" s="8" t="n">
        <v>34408325</v>
      </c>
      <c r="B554" s="2">
        <f>INDEX(Tableau1[], MATCH(Tableau3[[#This Row],[REFERENCE]], Tableau1[NUMERO], 0), 2)</f>
        <v/>
      </c>
      <c r="C554">
        <f>INDEX(Tableau1[], MATCH(Tableau3[[#This Row],[REFERENCE]], Tableau1[NUMERO], 0), 3)</f>
        <v/>
      </c>
      <c r="D554">
        <f>INDEX(Tableau1[], MATCH(Tableau3[[#This Row],[REFERENCE]], Tableau1[NUMERO], 0),4)</f>
        <v/>
      </c>
      <c r="E554">
        <f>INDEX(Tableau1[], MATCH(Tableau3[[#This Row],[REFERENCE]], Tableau1[NUMERO], 0), 5)</f>
        <v/>
      </c>
      <c r="F554">
        <f>INDEX(Tableau1[], MATCH(Tableau3[[#This Row],[REFERENCE]], Tableau1[NUMERO], 0), 6)</f>
        <v/>
      </c>
      <c r="G554">
        <f>INDEX(Tableau1[], MATCH(Tableau3[[#This Row],[REFERENCE]], Tableau1[NUMERO], 0), 7)</f>
        <v/>
      </c>
      <c r="H554" t="inlineStr">
        <is>
          <t>trefimetaux</t>
        </is>
      </c>
      <c r="J554" s="2" t="n">
        <v>43889</v>
      </c>
      <c r="K554" s="2" t="n">
        <v>43893</v>
      </c>
      <c r="L554" s="14" t="n"/>
      <c r="M554" s="23" t="n"/>
      <c r="N554" s="41" t="n">
        <v>8</v>
      </c>
      <c r="O554" s="15" t="n">
        <v>39</v>
      </c>
      <c r="P554" s="16" t="inlineStr">
        <is>
          <t>3 semaines</t>
        </is>
      </c>
      <c r="Q554" s="2" t="n">
        <v>43983</v>
      </c>
    </row>
    <row r="555">
      <c r="A555" s="8" t="n">
        <v>34408324</v>
      </c>
      <c r="B555" s="2">
        <f>INDEX(Tableau1[], MATCH(Tableau3[[#This Row],[REFERENCE]], Tableau1[NUMERO], 0), 2)</f>
        <v/>
      </c>
      <c r="C555">
        <f>INDEX(Tableau1[], MATCH(Tableau3[[#This Row],[REFERENCE]], Tableau1[NUMERO], 0), 3)</f>
        <v/>
      </c>
      <c r="D555">
        <f>INDEX(Tableau1[], MATCH(Tableau3[[#This Row],[REFERENCE]], Tableau1[NUMERO], 0),4)</f>
        <v/>
      </c>
      <c r="E555">
        <f>INDEX(Tableau1[], MATCH(Tableau3[[#This Row],[REFERENCE]], Tableau1[NUMERO], 0), 5)</f>
        <v/>
      </c>
      <c r="F555">
        <f>INDEX(Tableau1[], MATCH(Tableau3[[#This Row],[REFERENCE]], Tableau1[NUMERO], 0), 6)</f>
        <v/>
      </c>
      <c r="G555">
        <f>INDEX(Tableau1[], MATCH(Tableau3[[#This Row],[REFERENCE]], Tableau1[NUMERO], 0), 7)</f>
        <v/>
      </c>
      <c r="H555" t="inlineStr">
        <is>
          <t>trefimetaux</t>
        </is>
      </c>
      <c r="J555" s="2" t="n">
        <v>43889</v>
      </c>
      <c r="K555" s="2" t="n">
        <v>43893</v>
      </c>
      <c r="L555" s="17" t="n"/>
      <c r="M555" s="22" t="n"/>
      <c r="N555" s="40" t="n">
        <v>4</v>
      </c>
      <c r="O555" s="18" t="n">
        <v>91.7</v>
      </c>
      <c r="P555" s="19" t="inlineStr">
        <is>
          <t>3 semaines</t>
        </is>
      </c>
      <c r="Q555" s="2" t="n">
        <v>43983</v>
      </c>
    </row>
    <row r="556">
      <c r="A556" s="8" t="n">
        <v>34408324</v>
      </c>
      <c r="B556" s="2">
        <f>INDEX(Tableau1[], MATCH(Tableau3[[#This Row],[REFERENCE]], Tableau1[NUMERO], 0), 2)</f>
        <v/>
      </c>
      <c r="C556">
        <f>INDEX(Tableau1[], MATCH(Tableau3[[#This Row],[REFERENCE]], Tableau1[NUMERO], 0), 3)</f>
        <v/>
      </c>
      <c r="D556">
        <f>INDEX(Tableau1[], MATCH(Tableau3[[#This Row],[REFERENCE]], Tableau1[NUMERO], 0),4)</f>
        <v/>
      </c>
      <c r="E556">
        <f>INDEX(Tableau1[], MATCH(Tableau3[[#This Row],[REFERENCE]], Tableau1[NUMERO], 0), 5)</f>
        <v/>
      </c>
      <c r="F556">
        <f>INDEX(Tableau1[], MATCH(Tableau3[[#This Row],[REFERENCE]], Tableau1[NUMERO], 0), 6)</f>
        <v/>
      </c>
      <c r="G556">
        <f>INDEX(Tableau1[], MATCH(Tableau3[[#This Row],[REFERENCE]], Tableau1[NUMERO], 0), 7)</f>
        <v/>
      </c>
      <c r="H556" t="inlineStr">
        <is>
          <t>trefimetaux</t>
        </is>
      </c>
      <c r="J556" s="2" t="n">
        <v>43889</v>
      </c>
      <c r="K556" s="2" t="n">
        <v>43893</v>
      </c>
      <c r="L556" s="14" t="n"/>
      <c r="M556" s="23" t="n"/>
      <c r="N556" s="41" t="n">
        <v>8</v>
      </c>
      <c r="O556" s="15" t="n">
        <v>59</v>
      </c>
      <c r="P556" s="16" t="inlineStr">
        <is>
          <t>3 semaines</t>
        </is>
      </c>
      <c r="Q556" s="2" t="n">
        <v>43983</v>
      </c>
    </row>
    <row r="557">
      <c r="A557" s="8" t="n">
        <v>34408310</v>
      </c>
      <c r="B557" s="2">
        <f>INDEX(Tableau1[], MATCH(Tableau3[[#This Row],[REFERENCE]], Tableau1[NUMERO], 0), 2)</f>
        <v/>
      </c>
      <c r="C557">
        <f>INDEX(Tableau1[], MATCH(Tableau3[[#This Row],[REFERENCE]], Tableau1[NUMERO], 0), 3)</f>
        <v/>
      </c>
      <c r="D557">
        <f>INDEX(Tableau1[], MATCH(Tableau3[[#This Row],[REFERENCE]], Tableau1[NUMERO], 0),4)</f>
        <v/>
      </c>
      <c r="E557">
        <f>INDEX(Tableau1[], MATCH(Tableau3[[#This Row],[REFERENCE]], Tableau1[NUMERO], 0), 5)</f>
        <v/>
      </c>
      <c r="F557">
        <f>INDEX(Tableau1[], MATCH(Tableau3[[#This Row],[REFERENCE]], Tableau1[NUMERO], 0), 6)</f>
        <v/>
      </c>
      <c r="G557">
        <f>INDEX(Tableau1[], MATCH(Tableau3[[#This Row],[REFERENCE]], Tableau1[NUMERO], 0), 7)</f>
        <v/>
      </c>
      <c r="H557" t="inlineStr">
        <is>
          <t>trefimetaux</t>
        </is>
      </c>
      <c r="J557" s="2" t="n">
        <v>43889</v>
      </c>
      <c r="K557" s="2" t="n">
        <v>43893</v>
      </c>
      <c r="L557" s="17" t="n"/>
      <c r="M557" s="22" t="n"/>
      <c r="N557" s="40" t="n">
        <v>2</v>
      </c>
      <c r="O557" s="18" t="n">
        <v>200</v>
      </c>
      <c r="P557" s="19" t="inlineStr">
        <is>
          <t>3 semaines</t>
        </is>
      </c>
      <c r="Q557" s="2" t="n">
        <v>43983</v>
      </c>
    </row>
    <row r="558">
      <c r="A558" s="8" t="n">
        <v>34408310</v>
      </c>
      <c r="B558" s="2">
        <f>INDEX(Tableau1[], MATCH(Tableau3[[#This Row],[REFERENCE]], Tableau1[NUMERO], 0), 2)</f>
        <v/>
      </c>
      <c r="C558">
        <f>INDEX(Tableau1[], MATCH(Tableau3[[#This Row],[REFERENCE]], Tableau1[NUMERO], 0), 3)</f>
        <v/>
      </c>
      <c r="D558">
        <f>INDEX(Tableau1[], MATCH(Tableau3[[#This Row],[REFERENCE]], Tableau1[NUMERO], 0),4)</f>
        <v/>
      </c>
      <c r="E558">
        <f>INDEX(Tableau1[], MATCH(Tableau3[[#This Row],[REFERENCE]], Tableau1[NUMERO], 0), 5)</f>
        <v/>
      </c>
      <c r="F558">
        <f>INDEX(Tableau1[], MATCH(Tableau3[[#This Row],[REFERENCE]], Tableau1[NUMERO], 0), 6)</f>
        <v/>
      </c>
      <c r="G558">
        <f>INDEX(Tableau1[], MATCH(Tableau3[[#This Row],[REFERENCE]], Tableau1[NUMERO], 0), 7)</f>
        <v/>
      </c>
      <c r="H558" t="inlineStr">
        <is>
          <t>trefimetaux</t>
        </is>
      </c>
      <c r="J558" s="2" t="n">
        <v>43889</v>
      </c>
      <c r="K558" s="2" t="n">
        <v>43893</v>
      </c>
      <c r="L558" s="14" t="n"/>
      <c r="M558" s="23" t="n"/>
      <c r="N558" s="41" t="n">
        <v>46</v>
      </c>
      <c r="O558" s="15" t="n">
        <v>45</v>
      </c>
      <c r="P558" s="16" t="inlineStr">
        <is>
          <t>3 semaines</t>
        </is>
      </c>
      <c r="Q558" s="2" t="n">
        <v>43983</v>
      </c>
    </row>
    <row r="559">
      <c r="A559" s="8" t="n">
        <v>34408339</v>
      </c>
      <c r="B559" s="2">
        <f>INDEX(Tableau1[], MATCH(Tableau3[[#This Row],[REFERENCE]], Tableau1[NUMERO], 0), 2)</f>
        <v/>
      </c>
      <c r="C559">
        <f>INDEX(Tableau1[], MATCH(Tableau3[[#This Row],[REFERENCE]], Tableau1[NUMERO], 0), 3)</f>
        <v/>
      </c>
      <c r="D559">
        <f>INDEX(Tableau1[], MATCH(Tableau3[[#This Row],[REFERENCE]], Tableau1[NUMERO], 0),4)</f>
        <v/>
      </c>
      <c r="E559">
        <f>INDEX(Tableau1[], MATCH(Tableau3[[#This Row],[REFERENCE]], Tableau1[NUMERO], 0), 5)</f>
        <v/>
      </c>
      <c r="F559">
        <f>INDEX(Tableau1[], MATCH(Tableau3[[#This Row],[REFERENCE]], Tableau1[NUMERO], 0), 6)</f>
        <v/>
      </c>
      <c r="G559">
        <f>INDEX(Tableau1[], MATCH(Tableau3[[#This Row],[REFERENCE]], Tableau1[NUMERO], 0), 7)</f>
        <v/>
      </c>
      <c r="H559" t="inlineStr">
        <is>
          <t>thyssen</t>
        </is>
      </c>
      <c r="J559" s="2" t="n">
        <v>43889</v>
      </c>
      <c r="K559" s="2" t="n">
        <v>43893</v>
      </c>
      <c r="L559" s="2" t="n"/>
      <c r="N559" s="40" t="n">
        <v>1</v>
      </c>
      <c r="O559" s="7" t="n">
        <v>194</v>
      </c>
      <c r="P559" s="8" t="inlineStr">
        <is>
          <t>10 à 15 jours</t>
        </is>
      </c>
      <c r="Q559" s="2" t="n">
        <v>43900</v>
      </c>
    </row>
    <row r="560">
      <c r="A560" s="8" t="n">
        <v>34408339</v>
      </c>
      <c r="B560" s="2">
        <f>INDEX(Tableau1[], MATCH(Tableau3[[#This Row],[REFERENCE]], Tableau1[NUMERO], 0), 2)</f>
        <v/>
      </c>
      <c r="C560">
        <f>INDEX(Tableau1[], MATCH(Tableau3[[#This Row],[REFERENCE]], Tableau1[NUMERO], 0), 3)</f>
        <v/>
      </c>
      <c r="D560">
        <f>INDEX(Tableau1[], MATCH(Tableau3[[#This Row],[REFERENCE]], Tableau1[NUMERO], 0),4)</f>
        <v/>
      </c>
      <c r="E560">
        <f>INDEX(Tableau1[], MATCH(Tableau3[[#This Row],[REFERENCE]], Tableau1[NUMERO], 0), 5)</f>
        <v/>
      </c>
      <c r="F560">
        <f>INDEX(Tableau1[], MATCH(Tableau3[[#This Row],[REFERENCE]], Tableau1[NUMERO], 0), 6)</f>
        <v/>
      </c>
      <c r="G560">
        <f>INDEX(Tableau1[], MATCH(Tableau3[[#This Row],[REFERENCE]], Tableau1[NUMERO], 0), 7)</f>
        <v/>
      </c>
      <c r="H560" t="inlineStr">
        <is>
          <t>thyssen</t>
        </is>
      </c>
      <c r="J560" s="2" t="n">
        <v>43889</v>
      </c>
      <c r="K560" s="2" t="n"/>
      <c r="L560" s="2" t="n"/>
      <c r="N560" s="41" t="n">
        <v>2</v>
      </c>
      <c r="P560" s="8" t="n"/>
      <c r="Q560" s="2" t="n"/>
    </row>
    <row r="561">
      <c r="A561" s="8" t="n">
        <v>34408326</v>
      </c>
      <c r="B561" s="2">
        <f>INDEX(Tableau1[], MATCH(Tableau3[[#This Row],[REFERENCE]], Tableau1[NUMERO], 0), 2)</f>
        <v/>
      </c>
      <c r="C561">
        <f>INDEX(Tableau1[], MATCH(Tableau3[[#This Row],[REFERENCE]], Tableau1[NUMERO], 0), 3)</f>
        <v/>
      </c>
      <c r="D561">
        <f>INDEX(Tableau1[], MATCH(Tableau3[[#This Row],[REFERENCE]], Tableau1[NUMERO], 0),4)</f>
        <v/>
      </c>
      <c r="E561">
        <f>INDEX(Tableau1[], MATCH(Tableau3[[#This Row],[REFERENCE]], Tableau1[NUMERO], 0), 5)</f>
        <v/>
      </c>
      <c r="F561">
        <f>INDEX(Tableau1[], MATCH(Tableau3[[#This Row],[REFERENCE]], Tableau1[NUMERO], 0), 6)</f>
        <v/>
      </c>
      <c r="G561">
        <f>INDEX(Tableau1[], MATCH(Tableau3[[#This Row],[REFERENCE]], Tableau1[NUMERO], 0), 7)</f>
        <v/>
      </c>
      <c r="H561" t="inlineStr">
        <is>
          <t>thyssen</t>
        </is>
      </c>
      <c r="J561" s="2" t="n">
        <v>43889</v>
      </c>
      <c r="K561" s="2" t="n">
        <v>43893</v>
      </c>
      <c r="L561" s="2" t="n"/>
      <c r="N561" s="40" t="n">
        <v>8</v>
      </c>
      <c r="O561" s="7" t="n">
        <v>116</v>
      </c>
      <c r="P561" s="8" t="inlineStr">
        <is>
          <t>10 à 15 jours</t>
        </is>
      </c>
      <c r="Q561" s="2" t="n">
        <v>43900</v>
      </c>
    </row>
    <row r="562">
      <c r="A562" s="8" t="n">
        <v>34408326</v>
      </c>
      <c r="B562" s="2">
        <f>INDEX(Tableau1[], MATCH(Tableau3[[#This Row],[REFERENCE]], Tableau1[NUMERO], 0), 2)</f>
        <v/>
      </c>
      <c r="C562">
        <f>INDEX(Tableau1[], MATCH(Tableau3[[#This Row],[REFERENCE]], Tableau1[NUMERO], 0), 3)</f>
        <v/>
      </c>
      <c r="D562">
        <f>INDEX(Tableau1[], MATCH(Tableau3[[#This Row],[REFERENCE]], Tableau1[NUMERO], 0),4)</f>
        <v/>
      </c>
      <c r="E562">
        <f>INDEX(Tableau1[], MATCH(Tableau3[[#This Row],[REFERENCE]], Tableau1[NUMERO], 0), 5)</f>
        <v/>
      </c>
      <c r="F562">
        <f>INDEX(Tableau1[], MATCH(Tableau3[[#This Row],[REFERENCE]], Tableau1[NUMERO], 0), 6)</f>
        <v/>
      </c>
      <c r="G562">
        <f>INDEX(Tableau1[], MATCH(Tableau3[[#This Row],[REFERENCE]], Tableau1[NUMERO], 0), 7)</f>
        <v/>
      </c>
      <c r="H562" t="inlineStr">
        <is>
          <t>thyssen</t>
        </is>
      </c>
      <c r="J562" s="2" t="n">
        <v>43889</v>
      </c>
      <c r="K562" s="2" t="n"/>
      <c r="L562" s="2" t="n"/>
      <c r="N562" s="41" t="n">
        <v>16</v>
      </c>
      <c r="P562" s="8" t="n"/>
      <c r="Q562" s="2" t="n"/>
    </row>
    <row r="563">
      <c r="A563" s="8" t="n">
        <v>34408325</v>
      </c>
      <c r="B563" s="2">
        <f>INDEX(Tableau1[], MATCH(Tableau3[[#This Row],[REFERENCE]], Tableau1[NUMERO], 0), 2)</f>
        <v/>
      </c>
      <c r="C563">
        <f>INDEX(Tableau1[], MATCH(Tableau3[[#This Row],[REFERENCE]], Tableau1[NUMERO], 0), 3)</f>
        <v/>
      </c>
      <c r="D563">
        <f>INDEX(Tableau1[], MATCH(Tableau3[[#This Row],[REFERENCE]], Tableau1[NUMERO], 0),4)</f>
        <v/>
      </c>
      <c r="E563">
        <f>INDEX(Tableau1[], MATCH(Tableau3[[#This Row],[REFERENCE]], Tableau1[NUMERO], 0), 5)</f>
        <v/>
      </c>
      <c r="F563">
        <f>INDEX(Tableau1[], MATCH(Tableau3[[#This Row],[REFERENCE]], Tableau1[NUMERO], 0), 6)</f>
        <v/>
      </c>
      <c r="G563">
        <f>INDEX(Tableau1[], MATCH(Tableau3[[#This Row],[REFERENCE]], Tableau1[NUMERO], 0), 7)</f>
        <v/>
      </c>
      <c r="H563" t="inlineStr">
        <is>
          <t>thyssen</t>
        </is>
      </c>
      <c r="J563" s="2" t="n">
        <v>43889</v>
      </c>
      <c r="K563" s="2" t="n">
        <v>43893</v>
      </c>
      <c r="L563" s="2" t="n"/>
      <c r="N563" s="40" t="n">
        <v>4</v>
      </c>
      <c r="O563" s="7" t="n">
        <v>67</v>
      </c>
      <c r="P563" s="8" t="inlineStr">
        <is>
          <t>10 à 15 jours</t>
        </is>
      </c>
      <c r="Q563" s="2" t="n">
        <v>43900</v>
      </c>
    </row>
    <row r="564">
      <c r="A564" s="8" t="n">
        <v>34408325</v>
      </c>
      <c r="B564" s="2">
        <f>INDEX(Tableau1[], MATCH(Tableau3[[#This Row],[REFERENCE]], Tableau1[NUMERO], 0), 2)</f>
        <v/>
      </c>
      <c r="C564">
        <f>INDEX(Tableau1[], MATCH(Tableau3[[#This Row],[REFERENCE]], Tableau1[NUMERO], 0), 3)</f>
        <v/>
      </c>
      <c r="D564">
        <f>INDEX(Tableau1[], MATCH(Tableau3[[#This Row],[REFERENCE]], Tableau1[NUMERO], 0),4)</f>
        <v/>
      </c>
      <c r="E564">
        <f>INDEX(Tableau1[], MATCH(Tableau3[[#This Row],[REFERENCE]], Tableau1[NUMERO], 0), 5)</f>
        <v/>
      </c>
      <c r="F564">
        <f>INDEX(Tableau1[], MATCH(Tableau3[[#This Row],[REFERENCE]], Tableau1[NUMERO], 0), 6)</f>
        <v/>
      </c>
      <c r="G564">
        <f>INDEX(Tableau1[], MATCH(Tableau3[[#This Row],[REFERENCE]], Tableau1[NUMERO], 0), 7)</f>
        <v/>
      </c>
      <c r="H564" t="inlineStr">
        <is>
          <t>thyssen</t>
        </is>
      </c>
      <c r="J564" s="2" t="n">
        <v>43889</v>
      </c>
      <c r="K564" s="2" t="n"/>
      <c r="L564" s="2" t="n"/>
      <c r="N564" s="41" t="n">
        <v>8</v>
      </c>
      <c r="P564" s="8" t="n"/>
      <c r="Q564" s="2" t="n"/>
    </row>
    <row r="565">
      <c r="A565" s="8" t="n">
        <v>34408324</v>
      </c>
      <c r="B565" s="2">
        <f>INDEX(Tableau1[], MATCH(Tableau3[[#This Row],[REFERENCE]], Tableau1[NUMERO], 0), 2)</f>
        <v/>
      </c>
      <c r="C565">
        <f>INDEX(Tableau1[], MATCH(Tableau3[[#This Row],[REFERENCE]], Tableau1[NUMERO], 0), 3)</f>
        <v/>
      </c>
      <c r="D565">
        <f>INDEX(Tableau1[], MATCH(Tableau3[[#This Row],[REFERENCE]], Tableau1[NUMERO], 0),4)</f>
        <v/>
      </c>
      <c r="E565">
        <f>INDEX(Tableau1[], MATCH(Tableau3[[#This Row],[REFERENCE]], Tableau1[NUMERO], 0), 5)</f>
        <v/>
      </c>
      <c r="F565">
        <f>INDEX(Tableau1[], MATCH(Tableau3[[#This Row],[REFERENCE]], Tableau1[NUMERO], 0), 6)</f>
        <v/>
      </c>
      <c r="G565">
        <f>INDEX(Tableau1[], MATCH(Tableau3[[#This Row],[REFERENCE]], Tableau1[NUMERO], 0), 7)</f>
        <v/>
      </c>
      <c r="H565" t="inlineStr">
        <is>
          <t>thyssen</t>
        </is>
      </c>
      <c r="J565" s="2" t="n">
        <v>43889</v>
      </c>
      <c r="K565" s="2" t="n">
        <v>43893</v>
      </c>
      <c r="L565" s="2" t="n"/>
      <c r="N565" s="40" t="n">
        <v>4</v>
      </c>
      <c r="O565" s="7" t="n">
        <v>98.5</v>
      </c>
      <c r="P565" s="8" t="inlineStr">
        <is>
          <t>10 à 15 jours</t>
        </is>
      </c>
      <c r="Q565" s="2" t="n">
        <v>43900</v>
      </c>
    </row>
    <row r="566">
      <c r="A566" s="8" t="n">
        <v>34408324</v>
      </c>
      <c r="B566" s="2">
        <f>INDEX(Tableau1[], MATCH(Tableau3[[#This Row],[REFERENCE]], Tableau1[NUMERO], 0), 2)</f>
        <v/>
      </c>
      <c r="C566">
        <f>INDEX(Tableau1[], MATCH(Tableau3[[#This Row],[REFERENCE]], Tableau1[NUMERO], 0), 3)</f>
        <v/>
      </c>
      <c r="D566">
        <f>INDEX(Tableau1[], MATCH(Tableau3[[#This Row],[REFERENCE]], Tableau1[NUMERO], 0),4)</f>
        <v/>
      </c>
      <c r="E566">
        <f>INDEX(Tableau1[], MATCH(Tableau3[[#This Row],[REFERENCE]], Tableau1[NUMERO], 0), 5)</f>
        <v/>
      </c>
      <c r="F566">
        <f>INDEX(Tableau1[], MATCH(Tableau3[[#This Row],[REFERENCE]], Tableau1[NUMERO], 0), 6)</f>
        <v/>
      </c>
      <c r="G566">
        <f>INDEX(Tableau1[], MATCH(Tableau3[[#This Row],[REFERENCE]], Tableau1[NUMERO], 0), 7)</f>
        <v/>
      </c>
      <c r="H566" t="inlineStr">
        <is>
          <t>thyssen</t>
        </is>
      </c>
      <c r="J566" s="2" t="n">
        <v>43889</v>
      </c>
      <c r="K566" s="2" t="n"/>
      <c r="L566" s="2" t="n"/>
      <c r="N566" s="41" t="n">
        <v>8</v>
      </c>
      <c r="P566" s="8" t="n"/>
      <c r="Q566" s="2" t="n"/>
    </row>
    <row r="567">
      <c r="A567" s="8" t="n">
        <v>34408310</v>
      </c>
      <c r="B567" s="2">
        <f>INDEX(Tableau1[], MATCH(Tableau3[[#This Row],[REFERENCE]], Tableau1[NUMERO], 0), 2)</f>
        <v/>
      </c>
      <c r="C567">
        <f>INDEX(Tableau1[], MATCH(Tableau3[[#This Row],[REFERENCE]], Tableau1[NUMERO], 0), 3)</f>
        <v/>
      </c>
      <c r="D567">
        <f>INDEX(Tableau1[], MATCH(Tableau3[[#This Row],[REFERENCE]], Tableau1[NUMERO], 0),4)</f>
        <v/>
      </c>
      <c r="E567">
        <f>INDEX(Tableau1[], MATCH(Tableau3[[#This Row],[REFERENCE]], Tableau1[NUMERO], 0), 5)</f>
        <v/>
      </c>
      <c r="F567">
        <f>INDEX(Tableau1[], MATCH(Tableau3[[#This Row],[REFERENCE]], Tableau1[NUMERO], 0), 6)</f>
        <v/>
      </c>
      <c r="G567">
        <f>INDEX(Tableau1[], MATCH(Tableau3[[#This Row],[REFERENCE]], Tableau1[NUMERO], 0), 7)</f>
        <v/>
      </c>
      <c r="H567" t="inlineStr">
        <is>
          <t>thyssen</t>
        </is>
      </c>
      <c r="J567" s="2" t="n">
        <v>43889</v>
      </c>
      <c r="K567" s="2" t="n">
        <v>43893</v>
      </c>
      <c r="L567" s="2" t="n"/>
      <c r="N567" s="40" t="n">
        <v>2</v>
      </c>
      <c r="O567" s="7" t="n">
        <v>91</v>
      </c>
      <c r="P567" s="8" t="inlineStr">
        <is>
          <t>10 à 15 jours</t>
        </is>
      </c>
      <c r="Q567" s="2" t="n">
        <v>43900</v>
      </c>
    </row>
    <row r="568">
      <c r="A568" s="8" t="n">
        <v>34408310</v>
      </c>
      <c r="B568" s="2">
        <f>INDEX(Tableau1[], MATCH(Tableau3[[#This Row],[REFERENCE]], Tableau1[NUMERO], 0), 2)</f>
        <v/>
      </c>
      <c r="C568">
        <f>INDEX(Tableau1[], MATCH(Tableau3[[#This Row],[REFERENCE]], Tableau1[NUMERO], 0), 3)</f>
        <v/>
      </c>
      <c r="D568">
        <f>INDEX(Tableau1[], MATCH(Tableau3[[#This Row],[REFERENCE]], Tableau1[NUMERO], 0),4)</f>
        <v/>
      </c>
      <c r="E568">
        <f>INDEX(Tableau1[], MATCH(Tableau3[[#This Row],[REFERENCE]], Tableau1[NUMERO], 0), 5)</f>
        <v/>
      </c>
      <c r="F568">
        <f>INDEX(Tableau1[], MATCH(Tableau3[[#This Row],[REFERENCE]], Tableau1[NUMERO], 0), 6)</f>
        <v/>
      </c>
      <c r="G568">
        <f>INDEX(Tableau1[], MATCH(Tableau3[[#This Row],[REFERENCE]], Tableau1[NUMERO], 0), 7)</f>
        <v/>
      </c>
      <c r="H568" t="inlineStr">
        <is>
          <t>thyssen</t>
        </is>
      </c>
      <c r="J568" s="2" t="n">
        <v>43889</v>
      </c>
      <c r="K568" s="2" t="n"/>
      <c r="L568" s="2" t="n"/>
      <c r="N568" s="41" t="n">
        <v>46</v>
      </c>
      <c r="P568" s="8" t="n"/>
      <c r="Q568" s="2" t="n"/>
    </row>
    <row r="569">
      <c r="A569" s="8" t="n">
        <v>34406343</v>
      </c>
      <c r="B569" s="2">
        <f>INDEX(Tableau1[], MATCH(Tableau3[[#This Row],[REFERENCE]], Tableau1[NUMERO], 0), 2)</f>
        <v/>
      </c>
      <c r="C569">
        <f>INDEX(Tableau1[], MATCH(Tableau3[[#This Row],[REFERENCE]], Tableau1[NUMERO], 0), 3)</f>
        <v/>
      </c>
      <c r="D569">
        <f>INDEX(Tableau1[], MATCH(Tableau3[[#This Row],[REFERENCE]], Tableau1[NUMERO], 0),4)</f>
        <v/>
      </c>
      <c r="E569">
        <f>INDEX(Tableau1[], MATCH(Tableau3[[#This Row],[REFERENCE]], Tableau1[NUMERO], 0), 5)</f>
        <v/>
      </c>
      <c r="F569" t="inlineStr">
        <is>
          <t>GVX</t>
        </is>
      </c>
      <c r="G569" t="inlineStr">
        <is>
          <t>AUX</t>
        </is>
      </c>
      <c r="H569" t="inlineStr">
        <is>
          <t>lasertechnic</t>
        </is>
      </c>
      <c r="J569" s="2" t="n">
        <v>43886</v>
      </c>
      <c r="K569" s="2" t="n">
        <v>43892</v>
      </c>
      <c r="L569" s="2" t="n"/>
      <c r="N569" s="35" t="n">
        <v>1</v>
      </c>
      <c r="O569" s="7" t="n">
        <v>32</v>
      </c>
      <c r="P569" s="8" t="inlineStr">
        <is>
          <t>2 JOURS</t>
        </is>
      </c>
      <c r="Q569" s="2" t="n">
        <v>43983</v>
      </c>
    </row>
    <row r="570">
      <c r="A570" s="8" t="n">
        <v>34406344</v>
      </c>
      <c r="B570" s="2">
        <f>INDEX(Tableau1[], MATCH(Tableau3[[#This Row],[REFERENCE]], Tableau1[NUMERO], 0), 2)</f>
        <v/>
      </c>
      <c r="C570">
        <f>INDEX(Tableau1[], MATCH(Tableau3[[#This Row],[REFERENCE]], Tableau1[NUMERO], 0), 3)</f>
        <v/>
      </c>
      <c r="D570">
        <f>INDEX(Tableau1[], MATCH(Tableau3[[#This Row],[REFERENCE]], Tableau1[NUMERO], 0),4)</f>
        <v/>
      </c>
      <c r="E570">
        <f>INDEX(Tableau1[], MATCH(Tableau3[[#This Row],[REFERENCE]], Tableau1[NUMERO], 0), 5)</f>
        <v/>
      </c>
      <c r="F570" t="inlineStr">
        <is>
          <t>GVX</t>
        </is>
      </c>
      <c r="G570" t="inlineStr">
        <is>
          <t>AUX</t>
        </is>
      </c>
      <c r="H570" t="inlineStr">
        <is>
          <t>lasertechnic</t>
        </is>
      </c>
      <c r="J570" s="2" t="n">
        <v>43886</v>
      </c>
      <c r="K570" s="2" t="n">
        <v>43892</v>
      </c>
      <c r="L570" s="2" t="n"/>
      <c r="N570" s="35" t="n">
        <v>1</v>
      </c>
      <c r="O570" s="7" t="n">
        <v>32</v>
      </c>
      <c r="P570" s="8" t="inlineStr">
        <is>
          <t>2 JOURS</t>
        </is>
      </c>
      <c r="Q570" s="2" t="n">
        <v>43983</v>
      </c>
    </row>
    <row r="571">
      <c r="A571" s="8" t="n">
        <v>34406345</v>
      </c>
      <c r="B571" s="2">
        <f>INDEX(Tableau1[], MATCH(Tableau3[[#This Row],[REFERENCE]], Tableau1[NUMERO], 0), 2)</f>
        <v/>
      </c>
      <c r="C571">
        <f>INDEX(Tableau1[], MATCH(Tableau3[[#This Row],[REFERENCE]], Tableau1[NUMERO], 0), 3)</f>
        <v/>
      </c>
      <c r="D571">
        <f>INDEX(Tableau1[], MATCH(Tableau3[[#This Row],[REFERENCE]], Tableau1[NUMERO], 0),4)</f>
        <v/>
      </c>
      <c r="E571">
        <f>INDEX(Tableau1[], MATCH(Tableau3[[#This Row],[REFERENCE]], Tableau1[NUMERO], 0), 5)</f>
        <v/>
      </c>
      <c r="F571" t="inlineStr">
        <is>
          <t>GVX</t>
        </is>
      </c>
      <c r="G571" t="inlineStr">
        <is>
          <t>AUX</t>
        </is>
      </c>
      <c r="H571" t="inlineStr">
        <is>
          <t>lasertechnic</t>
        </is>
      </c>
      <c r="J571" s="2" t="n">
        <v>43886</v>
      </c>
      <c r="K571" s="2" t="n">
        <v>43892</v>
      </c>
      <c r="L571" s="2" t="n"/>
      <c r="N571" s="35" t="n">
        <v>1</v>
      </c>
      <c r="O571" s="7" t="n">
        <v>32</v>
      </c>
      <c r="P571" s="8" t="inlineStr">
        <is>
          <t>2 JOURS</t>
        </is>
      </c>
      <c r="Q571" s="2" t="n">
        <v>43983</v>
      </c>
    </row>
    <row r="572">
      <c r="A572" s="8" t="n">
        <v>34408343</v>
      </c>
      <c r="B572" s="2">
        <f>INDEX(Tableau1[], MATCH(Tableau3[[#This Row],[REFERENCE]], Tableau1[NUMERO], 0), 2)</f>
        <v/>
      </c>
      <c r="C572">
        <f>INDEX(Tableau1[], MATCH(Tableau3[[#This Row],[REFERENCE]], Tableau1[NUMERO], 0), 3)</f>
        <v/>
      </c>
      <c r="D572">
        <f>INDEX(Tableau1[], MATCH(Tableau3[[#This Row],[REFERENCE]], Tableau1[NUMERO], 0),4)</f>
        <v/>
      </c>
      <c r="E572">
        <f>INDEX(Tableau1[], MATCH(Tableau3[[#This Row],[REFERENCE]], Tableau1[NUMERO], 0), 5)</f>
        <v/>
      </c>
      <c r="F572">
        <f>INDEX(Tableau1[], MATCH(Tableau3[[#This Row],[REFERENCE]], Tableau1[NUMERO], 0), 6)</f>
        <v/>
      </c>
      <c r="G572">
        <f>INDEX(Tableau1[], MATCH(Tableau3[[#This Row],[REFERENCE]], Tableau1[NUMERO], 0), 7)</f>
        <v/>
      </c>
      <c r="H572" t="inlineStr">
        <is>
          <t>UFP</t>
        </is>
      </c>
      <c r="J572" s="2" t="n">
        <v>43892</v>
      </c>
      <c r="K572" s="2" t="n">
        <v>43893</v>
      </c>
      <c r="L572" s="2" t="n"/>
      <c r="N572" s="35" t="n">
        <v>1</v>
      </c>
      <c r="O572" s="7" t="n">
        <v>143.5</v>
      </c>
      <c r="P572" s="20" t="n">
        <v>43908</v>
      </c>
      <c r="Q572" s="2" t="n">
        <v>43984</v>
      </c>
    </row>
    <row r="573">
      <c r="A573" s="8" t="n">
        <v>34408343</v>
      </c>
      <c r="B573" s="2">
        <f>INDEX(Tableau1[], MATCH(Tableau3[[#This Row],[REFERENCE]], Tableau1[NUMERO], 0), 2)</f>
        <v/>
      </c>
      <c r="C573">
        <f>INDEX(Tableau1[], MATCH(Tableau3[[#This Row],[REFERENCE]], Tableau1[NUMERO], 0), 3)</f>
        <v/>
      </c>
      <c r="D573">
        <f>INDEX(Tableau1[], MATCH(Tableau3[[#This Row],[REFERENCE]], Tableau1[NUMERO], 0),4)</f>
        <v/>
      </c>
      <c r="E573">
        <f>INDEX(Tableau1[], MATCH(Tableau3[[#This Row],[REFERENCE]], Tableau1[NUMERO], 0), 5)</f>
        <v/>
      </c>
      <c r="F573">
        <f>INDEX(Tableau1[], MATCH(Tableau3[[#This Row],[REFERENCE]], Tableau1[NUMERO], 0), 6)</f>
        <v/>
      </c>
      <c r="G573">
        <f>INDEX(Tableau1[], MATCH(Tableau3[[#This Row],[REFERENCE]], Tableau1[NUMERO], 0), 7)</f>
        <v/>
      </c>
      <c r="H573" t="inlineStr">
        <is>
          <t>UFP</t>
        </is>
      </c>
      <c r="J573" s="2" t="n">
        <v>43892</v>
      </c>
      <c r="K573" s="2" t="n">
        <v>43893</v>
      </c>
      <c r="L573" s="2" t="n"/>
      <c r="N573" s="35" t="n">
        <v>2</v>
      </c>
      <c r="O573" s="7" t="n">
        <v>91</v>
      </c>
      <c r="P573" s="20" t="n">
        <v>43908</v>
      </c>
      <c r="Q573" s="2" t="n">
        <v>43984</v>
      </c>
    </row>
    <row r="574">
      <c r="A574" s="8" t="n">
        <v>34408344</v>
      </c>
      <c r="B574" s="2">
        <f>INDEX(Tableau1[], MATCH(Tableau3[[#This Row],[REFERENCE]], Tableau1[NUMERO], 0), 2)</f>
        <v/>
      </c>
      <c r="C574">
        <f>INDEX(Tableau1[], MATCH(Tableau3[[#This Row],[REFERENCE]], Tableau1[NUMERO], 0), 3)</f>
        <v/>
      </c>
      <c r="D574">
        <f>INDEX(Tableau1[], MATCH(Tableau3[[#This Row],[REFERENCE]], Tableau1[NUMERO], 0),4)</f>
        <v/>
      </c>
      <c r="E574">
        <f>INDEX(Tableau1[], MATCH(Tableau3[[#This Row],[REFERENCE]], Tableau1[NUMERO], 0), 5)</f>
        <v/>
      </c>
      <c r="F574">
        <f>INDEX(Tableau1[], MATCH(Tableau3[[#This Row],[REFERENCE]], Tableau1[NUMERO], 0), 6)</f>
        <v/>
      </c>
      <c r="G574">
        <f>INDEX(Tableau1[], MATCH(Tableau3[[#This Row],[REFERENCE]], Tableau1[NUMERO], 0), 7)</f>
        <v/>
      </c>
      <c r="H574" t="inlineStr">
        <is>
          <t>UFP</t>
        </is>
      </c>
      <c r="J574" s="2" t="n">
        <v>43892</v>
      </c>
      <c r="K574" s="2" t="n">
        <v>43893</v>
      </c>
      <c r="L574" s="2" t="n"/>
      <c r="N574" s="35" t="n">
        <v>1</v>
      </c>
      <c r="O574" s="7" t="n">
        <v>160.25</v>
      </c>
      <c r="P574" s="20" t="n">
        <v>43908</v>
      </c>
      <c r="Q574" s="2" t="n">
        <v>43984</v>
      </c>
    </row>
    <row r="575">
      <c r="A575" s="8" t="n">
        <v>34408344</v>
      </c>
      <c r="B575" s="2">
        <f>INDEX(Tableau1[], MATCH(Tableau3[[#This Row],[REFERENCE]], Tableau1[NUMERO], 0), 2)</f>
        <v/>
      </c>
      <c r="C575">
        <f>INDEX(Tableau1[], MATCH(Tableau3[[#This Row],[REFERENCE]], Tableau1[NUMERO], 0), 3)</f>
        <v/>
      </c>
      <c r="D575">
        <f>INDEX(Tableau1[], MATCH(Tableau3[[#This Row],[REFERENCE]], Tableau1[NUMERO], 0),4)</f>
        <v/>
      </c>
      <c r="E575">
        <f>INDEX(Tableau1[], MATCH(Tableau3[[#This Row],[REFERENCE]], Tableau1[NUMERO], 0), 5)</f>
        <v/>
      </c>
      <c r="F575">
        <f>INDEX(Tableau1[], MATCH(Tableau3[[#This Row],[REFERENCE]], Tableau1[NUMERO], 0), 6)</f>
        <v/>
      </c>
      <c r="G575">
        <f>INDEX(Tableau1[], MATCH(Tableau3[[#This Row],[REFERENCE]], Tableau1[NUMERO], 0), 7)</f>
        <v/>
      </c>
      <c r="H575" t="inlineStr">
        <is>
          <t>UFP</t>
        </is>
      </c>
      <c r="J575" s="2" t="n">
        <v>43892</v>
      </c>
      <c r="K575" s="2" t="n">
        <v>43893</v>
      </c>
      <c r="L575" s="2" t="n"/>
      <c r="N575" s="35" t="n">
        <v>2</v>
      </c>
      <c r="O575" s="7" t="n">
        <v>99.5</v>
      </c>
      <c r="P575" s="20" t="n">
        <v>43908</v>
      </c>
      <c r="Q575" s="2" t="n">
        <v>43984</v>
      </c>
    </row>
    <row r="576">
      <c r="A576" s="8" t="n">
        <v>34408345</v>
      </c>
      <c r="B576" s="2">
        <f>INDEX(Tableau1[], MATCH(Tableau3[[#This Row],[REFERENCE]], Tableau1[NUMERO], 0), 2)</f>
        <v/>
      </c>
      <c r="C576">
        <f>INDEX(Tableau1[], MATCH(Tableau3[[#This Row],[REFERENCE]], Tableau1[NUMERO], 0), 3)</f>
        <v/>
      </c>
      <c r="D576">
        <f>INDEX(Tableau1[], MATCH(Tableau3[[#This Row],[REFERENCE]], Tableau1[NUMERO], 0),4)</f>
        <v/>
      </c>
      <c r="E576">
        <f>INDEX(Tableau1[], MATCH(Tableau3[[#This Row],[REFERENCE]], Tableau1[NUMERO], 0), 5)</f>
        <v/>
      </c>
      <c r="F576">
        <f>INDEX(Tableau1[], MATCH(Tableau3[[#This Row],[REFERENCE]], Tableau1[NUMERO], 0), 6)</f>
        <v/>
      </c>
      <c r="G576">
        <f>INDEX(Tableau1[], MATCH(Tableau3[[#This Row],[REFERENCE]], Tableau1[NUMERO], 0), 7)</f>
        <v/>
      </c>
      <c r="H576" t="inlineStr">
        <is>
          <t>UFP</t>
        </is>
      </c>
      <c r="J576" s="2" t="n">
        <v>43892</v>
      </c>
      <c r="K576" s="2" t="n">
        <v>43893</v>
      </c>
      <c r="L576" s="2" t="n"/>
      <c r="N576" s="35" t="n">
        <v>1</v>
      </c>
      <c r="O576" s="7" t="n">
        <v>145</v>
      </c>
      <c r="P576" s="20" t="n">
        <v>43908</v>
      </c>
      <c r="Q576" s="2" t="n">
        <v>43984</v>
      </c>
    </row>
    <row r="577">
      <c r="A577" s="8" t="n">
        <v>34408345</v>
      </c>
      <c r="B577" s="2">
        <f>INDEX(Tableau1[], MATCH(Tableau3[[#This Row],[REFERENCE]], Tableau1[NUMERO], 0), 2)</f>
        <v/>
      </c>
      <c r="C577">
        <f>INDEX(Tableau1[], MATCH(Tableau3[[#This Row],[REFERENCE]], Tableau1[NUMERO], 0), 3)</f>
        <v/>
      </c>
      <c r="D577">
        <f>INDEX(Tableau1[], MATCH(Tableau3[[#This Row],[REFERENCE]], Tableau1[NUMERO], 0),4)</f>
        <v/>
      </c>
      <c r="E577">
        <f>INDEX(Tableau1[], MATCH(Tableau3[[#This Row],[REFERENCE]], Tableau1[NUMERO], 0), 5)</f>
        <v/>
      </c>
      <c r="F577">
        <f>INDEX(Tableau1[], MATCH(Tableau3[[#This Row],[REFERENCE]], Tableau1[NUMERO], 0), 6)</f>
        <v/>
      </c>
      <c r="G577">
        <f>INDEX(Tableau1[], MATCH(Tableau3[[#This Row],[REFERENCE]], Tableau1[NUMERO], 0), 7)</f>
        <v/>
      </c>
      <c r="H577" t="inlineStr">
        <is>
          <t>UFP</t>
        </is>
      </c>
      <c r="J577" s="2" t="n">
        <v>43892</v>
      </c>
      <c r="K577" s="2" t="n">
        <v>43893</v>
      </c>
      <c r="L577" s="2" t="n"/>
      <c r="N577" s="35" t="n">
        <v>2</v>
      </c>
      <c r="O577" s="7" t="n">
        <v>88.8</v>
      </c>
      <c r="P577" s="20" t="n">
        <v>43908</v>
      </c>
      <c r="Q577" s="2" t="n">
        <v>43984</v>
      </c>
    </row>
    <row r="578">
      <c r="A578" s="8" t="n">
        <v>34408349</v>
      </c>
      <c r="B578" s="2">
        <f>INDEX(Tableau1[], MATCH(Tableau3[[#This Row],[REFERENCE]], Tableau1[NUMERO], 0), 2)</f>
        <v/>
      </c>
      <c r="C578">
        <f>INDEX(Tableau1[], MATCH(Tableau3[[#This Row],[REFERENCE]], Tableau1[NUMERO], 0), 3)</f>
        <v/>
      </c>
      <c r="D578">
        <f>INDEX(Tableau1[], MATCH(Tableau3[[#This Row],[REFERENCE]], Tableau1[NUMERO], 0),4)</f>
        <v/>
      </c>
      <c r="E578">
        <f>INDEX(Tableau1[], MATCH(Tableau3[[#This Row],[REFERENCE]], Tableau1[NUMERO], 0), 5)</f>
        <v/>
      </c>
      <c r="F578">
        <f>INDEX(Tableau1[], MATCH(Tableau3[[#This Row],[REFERENCE]], Tableau1[NUMERO], 0), 6)</f>
        <v/>
      </c>
      <c r="G578">
        <f>INDEX(Tableau1[], MATCH(Tableau3[[#This Row],[REFERENCE]], Tableau1[NUMERO], 0), 7)</f>
        <v/>
      </c>
      <c r="H578" t="inlineStr">
        <is>
          <t>lasertechnic</t>
        </is>
      </c>
      <c r="J578" s="2" t="n">
        <v>43895</v>
      </c>
      <c r="K578" s="2" t="n">
        <v>43895</v>
      </c>
      <c r="L578" s="2" t="n"/>
      <c r="N578" s="35" t="n">
        <v>1</v>
      </c>
      <c r="O578" s="7" t="n">
        <v>30</v>
      </c>
      <c r="P578" s="8" t="inlineStr">
        <is>
          <t>5 JOURS</t>
        </is>
      </c>
      <c r="Q578" s="2" t="n">
        <v>43986</v>
      </c>
    </row>
    <row r="579">
      <c r="A579" s="8" t="n">
        <v>34408349</v>
      </c>
      <c r="B579" s="2">
        <f>INDEX(Tableau1[], MATCH(Tableau3[[#This Row],[REFERENCE]], Tableau1[NUMERO], 0), 2)</f>
        <v/>
      </c>
      <c r="C579">
        <f>INDEX(Tableau1[], MATCH(Tableau3[[#This Row],[REFERENCE]], Tableau1[NUMERO], 0), 3)</f>
        <v/>
      </c>
      <c r="D579">
        <f>INDEX(Tableau1[], MATCH(Tableau3[[#This Row],[REFERENCE]], Tableau1[NUMERO], 0),4)</f>
        <v/>
      </c>
      <c r="E579">
        <f>INDEX(Tableau1[], MATCH(Tableau3[[#This Row],[REFERENCE]], Tableau1[NUMERO], 0), 5)</f>
        <v/>
      </c>
      <c r="F579">
        <f>INDEX(Tableau1[], MATCH(Tableau3[[#This Row],[REFERENCE]], Tableau1[NUMERO], 0), 6)</f>
        <v/>
      </c>
      <c r="G579">
        <f>INDEX(Tableau1[], MATCH(Tableau3[[#This Row],[REFERENCE]], Tableau1[NUMERO], 0), 7)</f>
        <v/>
      </c>
      <c r="H579" t="inlineStr">
        <is>
          <t>lasertechnic</t>
        </is>
      </c>
      <c r="J579" s="2" t="n">
        <v>43895</v>
      </c>
      <c r="K579" s="2" t="n">
        <v>43895</v>
      </c>
      <c r="L579" s="2" t="n"/>
      <c r="N579" s="35" t="n">
        <v>3</v>
      </c>
      <c r="O579" s="7" t="n">
        <v>25</v>
      </c>
      <c r="P579" s="8" t="inlineStr">
        <is>
          <t>5 JOURS</t>
        </is>
      </c>
      <c r="Q579" s="2" t="n">
        <v>43986</v>
      </c>
    </row>
    <row r="580" ht="15.75" customFormat="1" customHeight="1" s="25" thickBot="1">
      <c r="A580" s="8" t="n">
        <v>34407345</v>
      </c>
      <c r="B580" s="2">
        <f>INDEX(Tableau1[], MATCH(Tableau3[[#This Row],[REFERENCE]], Tableau1[NUMERO], 0), 2)</f>
        <v/>
      </c>
      <c r="C580">
        <f>INDEX(Tableau1[], MATCH(Tableau3[[#This Row],[REFERENCE]], Tableau1[NUMERO], 0), 3)</f>
        <v/>
      </c>
      <c r="D580">
        <f>INDEX(Tableau1[], MATCH(Tableau3[[#This Row],[REFERENCE]], Tableau1[NUMERO], 0),4)</f>
        <v/>
      </c>
      <c r="E580">
        <f>INDEX(Tableau1[], MATCH(Tableau3[[#This Row],[REFERENCE]], Tableau1[NUMERO], 0), 5)</f>
        <v/>
      </c>
      <c r="F580">
        <f>INDEX(Tableau1[], MATCH(Tableau3[[#This Row],[REFERENCE]], Tableau1[NUMERO], 0), 6)</f>
        <v/>
      </c>
      <c r="G580">
        <f>INDEX(Tableau1[], MATCH(Tableau3[[#This Row],[REFERENCE]], Tableau1[NUMERO], 0), 7)</f>
        <v/>
      </c>
      <c r="H580" t="inlineStr">
        <is>
          <t>lasertechnic</t>
        </is>
      </c>
      <c r="I580" s="8" t="n"/>
      <c r="J580" s="2" t="n">
        <v>43895</v>
      </c>
      <c r="K580" s="2" t="n">
        <v>43895</v>
      </c>
      <c r="L580" s="2" t="n"/>
      <c r="M580" s="21" t="n"/>
      <c r="N580" s="35" t="n">
        <v>1</v>
      </c>
      <c r="O580" s="7" t="n">
        <v>60</v>
      </c>
      <c r="P580" s="8" t="inlineStr">
        <is>
          <t>5 JOURS</t>
        </is>
      </c>
      <c r="Q580" s="2" t="n">
        <v>43986</v>
      </c>
    </row>
    <row r="581" ht="15.75" customHeight="1" s="142" thickBot="1">
      <c r="A581" s="28" t="n">
        <v>34407345</v>
      </c>
      <c r="B581" s="24">
        <f>INDEX(Tableau1[], MATCH(Tableau3[[#This Row],[REFERENCE]], Tableau1[NUMERO], 0), 2)</f>
        <v/>
      </c>
      <c r="C581" s="25">
        <f>INDEX(Tableau1[], MATCH(Tableau3[[#This Row],[REFERENCE]], Tableau1[NUMERO], 0), 3)</f>
        <v/>
      </c>
      <c r="D581" s="25">
        <f>INDEX(Tableau1[], MATCH(Tableau3[[#This Row],[REFERENCE]], Tableau1[NUMERO], 0),4)</f>
        <v/>
      </c>
      <c r="E581" s="25">
        <f>INDEX(Tableau1[], MATCH(Tableau3[[#This Row],[REFERENCE]], Tableau1[NUMERO], 0), 5)</f>
        <v/>
      </c>
      <c r="F581" s="25">
        <f>INDEX(Tableau1[], MATCH(Tableau3[[#This Row],[REFERENCE]], Tableau1[NUMERO], 0), 6)</f>
        <v/>
      </c>
      <c r="G581" s="25">
        <f>INDEX(Tableau1[], MATCH(Tableau3[[#This Row],[REFERENCE]], Tableau1[NUMERO], 0), 7)</f>
        <v/>
      </c>
      <c r="H581" s="25" t="inlineStr">
        <is>
          <t>lasertechnic</t>
        </is>
      </c>
      <c r="I581" s="28" t="n"/>
      <c r="J581" s="24" t="n">
        <v>43895</v>
      </c>
      <c r="K581" s="24" t="n">
        <v>43895</v>
      </c>
      <c r="L581" s="24" t="n"/>
      <c r="M581" s="26" t="n"/>
      <c r="N581" s="36" t="n">
        <v>3</v>
      </c>
      <c r="O581" s="27" t="n">
        <v>49</v>
      </c>
      <c r="P581" s="28" t="inlineStr">
        <is>
          <t>5 JOURS</t>
        </is>
      </c>
      <c r="Q581" s="24" t="n">
        <v>43986</v>
      </c>
      <c r="R581" s="25" t="n"/>
    </row>
    <row r="582">
      <c r="A582" s="13" t="n">
        <v>34408366</v>
      </c>
      <c r="B582" s="2">
        <f>INDEX(Tableau1[], MATCH(Tableau3[[#This Row],[REFERENCE]], Tableau1[NUMERO], 0), 2)</f>
        <v/>
      </c>
      <c r="C582">
        <f>INDEX(Tableau1[], MATCH(Tableau3[[#This Row],[REFERENCE]], Tableau1[NUMERO], 0), 3)</f>
        <v/>
      </c>
      <c r="D582">
        <f>INDEX(Tableau1[], MATCH(Tableau3[[#This Row],[REFERENCE]], Tableau1[NUMERO], 0),4)</f>
        <v/>
      </c>
      <c r="E582">
        <f>INDEX(Tableau1[], MATCH(Tableau3[[#This Row],[REFERENCE]], Tableau1[NUMERO], 0), 5)</f>
        <v/>
      </c>
      <c r="F582">
        <f>INDEX(Tableau1[], MATCH(Tableau3[[#This Row],[REFERENCE]], Tableau1[NUMERO], 0), 6)</f>
        <v/>
      </c>
      <c r="G582">
        <f>INDEX(Tableau1[], MATCH(Tableau3[[#This Row],[REFERENCE]], Tableau1[NUMERO], 0), 7)</f>
        <v/>
      </c>
      <c r="H582" t="inlineStr">
        <is>
          <t>lasertechnic</t>
        </is>
      </c>
      <c r="J582" s="2" t="n">
        <v>43900</v>
      </c>
      <c r="K582" s="2" t="n">
        <v>43900</v>
      </c>
      <c r="L582" s="2" t="n"/>
      <c r="M582" s="21" t="inlineStr">
        <is>
          <t>01</t>
        </is>
      </c>
      <c r="N582" s="35" t="n">
        <v>1</v>
      </c>
      <c r="O582" s="7" t="n">
        <v>118</v>
      </c>
      <c r="P582" s="8" t="inlineStr">
        <is>
          <t>5 JOURS</t>
        </is>
      </c>
      <c r="Q582" s="2" t="n">
        <v>43992</v>
      </c>
    </row>
    <row r="583">
      <c r="A583" s="13" t="n">
        <v>34408350</v>
      </c>
      <c r="B583" s="2">
        <f>INDEX(Tableau1[], MATCH(Tableau3[[#This Row],[REFERENCE]], Tableau1[NUMERO], 0), 2)</f>
        <v/>
      </c>
      <c r="C583">
        <f>INDEX(Tableau1[], MATCH(Tableau3[[#This Row],[REFERENCE]], Tableau1[NUMERO], 0), 3)</f>
        <v/>
      </c>
      <c r="D583">
        <f>INDEX(Tableau1[], MATCH(Tableau3[[#This Row],[REFERENCE]], Tableau1[NUMERO], 0),4)</f>
        <v/>
      </c>
      <c r="E583">
        <f>INDEX(Tableau1[], MATCH(Tableau3[[#This Row],[REFERENCE]], Tableau1[NUMERO], 0), 5)</f>
        <v/>
      </c>
      <c r="F583">
        <f>INDEX(Tableau1[], MATCH(Tableau3[[#This Row],[REFERENCE]], Tableau1[NUMERO], 0), 6)</f>
        <v/>
      </c>
      <c r="G583">
        <f>INDEX(Tableau1[], MATCH(Tableau3[[#This Row],[REFERENCE]], Tableau1[NUMERO], 0), 7)</f>
        <v/>
      </c>
      <c r="H583" t="inlineStr">
        <is>
          <t>lasertechnic</t>
        </is>
      </c>
      <c r="J583" s="2" t="n">
        <v>43900</v>
      </c>
      <c r="K583" s="2" t="n">
        <v>43900</v>
      </c>
      <c r="L583" s="2" t="n"/>
      <c r="M583" s="21" t="inlineStr">
        <is>
          <t>01</t>
        </is>
      </c>
      <c r="N583" s="35" t="n">
        <v>2</v>
      </c>
      <c r="O583" s="7" t="n">
        <v>18</v>
      </c>
      <c r="P583" s="8" t="inlineStr">
        <is>
          <t>5 JOURS</t>
        </is>
      </c>
      <c r="Q583" s="2" t="n">
        <v>43992</v>
      </c>
    </row>
    <row r="584">
      <c r="A584" s="13" t="n">
        <v>34408352</v>
      </c>
      <c r="B584" s="2">
        <f>INDEX(Tableau1[], MATCH(Tableau3[[#This Row],[REFERENCE]], Tableau1[NUMERO], 0), 2)</f>
        <v/>
      </c>
      <c r="C584">
        <f>INDEX(Tableau1[], MATCH(Tableau3[[#This Row],[REFERENCE]], Tableau1[NUMERO], 0), 3)</f>
        <v/>
      </c>
      <c r="D584">
        <f>INDEX(Tableau1[], MATCH(Tableau3[[#This Row],[REFERENCE]], Tableau1[NUMERO], 0),4)</f>
        <v/>
      </c>
      <c r="E584">
        <f>INDEX(Tableau1[], MATCH(Tableau3[[#This Row],[REFERENCE]], Tableau1[NUMERO], 0), 5)</f>
        <v/>
      </c>
      <c r="F584">
        <f>INDEX(Tableau1[], MATCH(Tableau3[[#This Row],[REFERENCE]], Tableau1[NUMERO], 0), 6)</f>
        <v/>
      </c>
      <c r="G584">
        <f>INDEX(Tableau1[], MATCH(Tableau3[[#This Row],[REFERENCE]], Tableau1[NUMERO], 0), 7)</f>
        <v/>
      </c>
      <c r="H584" t="inlineStr">
        <is>
          <t>lasertechnic</t>
        </is>
      </c>
      <c r="J584" s="2" t="n">
        <v>43900</v>
      </c>
      <c r="K584" s="2" t="n">
        <v>43900</v>
      </c>
      <c r="L584" s="2" t="n"/>
      <c r="M584" s="21" t="inlineStr">
        <is>
          <t>01</t>
        </is>
      </c>
      <c r="N584" s="35" t="n">
        <v>3</v>
      </c>
      <c r="O584" s="7" t="n">
        <v>28</v>
      </c>
      <c r="P584" s="8" t="inlineStr">
        <is>
          <t>5 JOURS</t>
        </is>
      </c>
      <c r="Q584" s="2" t="n">
        <v>43992</v>
      </c>
    </row>
    <row r="585">
      <c r="A585" s="13" t="n">
        <v>34408379</v>
      </c>
      <c r="B585" s="2">
        <f>INDEX(Tableau1[], MATCH(Tableau3[[#This Row],[REFERENCE]], Tableau1[NUMERO], 0), 2)</f>
        <v/>
      </c>
      <c r="C585">
        <f>INDEX(Tableau1[], MATCH(Tableau3[[#This Row],[REFERENCE]], Tableau1[NUMERO], 0), 3)</f>
        <v/>
      </c>
      <c r="D585">
        <f>INDEX(Tableau1[], MATCH(Tableau3[[#This Row],[REFERENCE]], Tableau1[NUMERO], 0),4)</f>
        <v/>
      </c>
      <c r="E585">
        <f>INDEX(Tableau1[], MATCH(Tableau3[[#This Row],[REFERENCE]], Tableau1[NUMERO], 0), 5)</f>
        <v/>
      </c>
      <c r="F585">
        <f>INDEX(Tableau1[], MATCH(Tableau3[[#This Row],[REFERENCE]], Tableau1[NUMERO], 0), 6)</f>
        <v/>
      </c>
      <c r="G585">
        <f>INDEX(Tableau1[], MATCH(Tableau3[[#This Row],[REFERENCE]], Tableau1[NUMERO], 0), 7)</f>
        <v/>
      </c>
      <c r="H585" t="inlineStr">
        <is>
          <t>lasertechnic</t>
        </is>
      </c>
      <c r="J585" s="2" t="n">
        <v>43900</v>
      </c>
      <c r="K585" s="2" t="n">
        <v>43900</v>
      </c>
      <c r="L585" s="2" t="n"/>
      <c r="M585" s="21" t="inlineStr">
        <is>
          <t>01</t>
        </is>
      </c>
      <c r="N585" s="35" t="n">
        <v>2</v>
      </c>
      <c r="O585" s="7" t="n">
        <v>28</v>
      </c>
      <c r="P585" s="8" t="inlineStr">
        <is>
          <t>5 JOURS</t>
        </is>
      </c>
      <c r="Q585" s="2" t="n">
        <v>43992</v>
      </c>
    </row>
    <row r="586">
      <c r="A586" s="13" t="n">
        <v>34408359</v>
      </c>
      <c r="B586" s="2">
        <f>INDEX(Tableau1[], MATCH(Tableau3[[#This Row],[REFERENCE]], Tableau1[NUMERO], 0), 2)</f>
        <v/>
      </c>
      <c r="C586">
        <f>INDEX(Tableau1[], MATCH(Tableau3[[#This Row],[REFERENCE]], Tableau1[NUMERO], 0), 3)</f>
        <v/>
      </c>
      <c r="D586">
        <f>INDEX(Tableau1[], MATCH(Tableau3[[#This Row],[REFERENCE]], Tableau1[NUMERO], 0),4)</f>
        <v/>
      </c>
      <c r="E586">
        <f>INDEX(Tableau1[], MATCH(Tableau3[[#This Row],[REFERENCE]], Tableau1[NUMERO], 0), 5)</f>
        <v/>
      </c>
      <c r="F586">
        <f>INDEX(Tableau1[], MATCH(Tableau3[[#This Row],[REFERENCE]], Tableau1[NUMERO], 0), 6)</f>
        <v/>
      </c>
      <c r="G586">
        <f>INDEX(Tableau1[], MATCH(Tableau3[[#This Row],[REFERENCE]], Tableau1[NUMERO], 0), 7)</f>
        <v/>
      </c>
      <c r="H586" t="inlineStr">
        <is>
          <t>lasertechnic</t>
        </is>
      </c>
      <c r="J586" s="2" t="n">
        <v>43900</v>
      </c>
      <c r="K586" s="2" t="n">
        <v>43900</v>
      </c>
      <c r="L586" s="2" t="n"/>
      <c r="M586" s="21" t="inlineStr">
        <is>
          <t>01</t>
        </is>
      </c>
      <c r="N586" s="35" t="n">
        <v>1</v>
      </c>
      <c r="O586" s="7" t="n">
        <v>28</v>
      </c>
      <c r="P586" s="8" t="inlineStr">
        <is>
          <t>5 JOURS</t>
        </is>
      </c>
      <c r="Q586" s="2" t="n">
        <v>43992</v>
      </c>
    </row>
    <row r="587">
      <c r="A587" s="13" t="n">
        <v>34408361</v>
      </c>
      <c r="B587" s="2">
        <f>INDEX(Tableau1[], MATCH(Tableau3[[#This Row],[REFERENCE]], Tableau1[NUMERO], 0), 2)</f>
        <v/>
      </c>
      <c r="C587">
        <f>INDEX(Tableau1[], MATCH(Tableau3[[#This Row],[REFERENCE]], Tableau1[NUMERO], 0), 3)</f>
        <v/>
      </c>
      <c r="D587">
        <f>INDEX(Tableau1[], MATCH(Tableau3[[#This Row],[REFERENCE]], Tableau1[NUMERO], 0),4)</f>
        <v/>
      </c>
      <c r="E587">
        <f>INDEX(Tableau1[], MATCH(Tableau3[[#This Row],[REFERENCE]], Tableau1[NUMERO], 0), 5)</f>
        <v/>
      </c>
      <c r="F587">
        <f>INDEX(Tableau1[], MATCH(Tableau3[[#This Row],[REFERENCE]], Tableau1[NUMERO], 0), 6)</f>
        <v/>
      </c>
      <c r="G587">
        <f>INDEX(Tableau1[], MATCH(Tableau3[[#This Row],[REFERENCE]], Tableau1[NUMERO], 0), 7)</f>
        <v/>
      </c>
      <c r="H587" t="inlineStr">
        <is>
          <t>lasertechnic</t>
        </is>
      </c>
      <c r="J587" s="2" t="n">
        <v>43900</v>
      </c>
      <c r="K587" s="2" t="n">
        <v>43900</v>
      </c>
      <c r="L587" s="2" t="n"/>
      <c r="M587" s="21" t="inlineStr">
        <is>
          <t>01</t>
        </is>
      </c>
      <c r="N587" s="35" t="n">
        <v>2</v>
      </c>
      <c r="O587" s="7" t="n">
        <v>16</v>
      </c>
      <c r="P587" s="8" t="inlineStr">
        <is>
          <t>5 JOURS</t>
        </is>
      </c>
      <c r="Q587" s="2" t="n">
        <v>43992</v>
      </c>
    </row>
    <row r="588">
      <c r="A588" s="13" t="n">
        <v>34403305</v>
      </c>
      <c r="B588" s="2">
        <f>INDEX(Tableau1[], MATCH(Tableau3[[#This Row],[REFERENCE]], Tableau1[NUMERO], 0), 2)</f>
        <v/>
      </c>
      <c r="C588">
        <f>INDEX(Tableau1[], MATCH(Tableau3[[#This Row],[REFERENCE]], Tableau1[NUMERO], 0), 3)</f>
        <v/>
      </c>
      <c r="D588">
        <f>INDEX(Tableau1[], MATCH(Tableau3[[#This Row],[REFERENCE]], Tableau1[NUMERO], 0),4)</f>
        <v/>
      </c>
      <c r="E588">
        <f>INDEX(Tableau1[], MATCH(Tableau3[[#This Row],[REFERENCE]], Tableau1[NUMERO], 0), 5)</f>
        <v/>
      </c>
      <c r="F588">
        <f>INDEX(Tableau1[], MATCH(Tableau3[[#This Row],[REFERENCE]], Tableau1[NUMERO], 0), 6)</f>
        <v/>
      </c>
      <c r="G588">
        <f>INDEX(Tableau1[], MATCH(Tableau3[[#This Row],[REFERENCE]], Tableau1[NUMERO], 0), 7)</f>
        <v/>
      </c>
      <c r="H588" t="inlineStr">
        <is>
          <t>lasertechnic</t>
        </is>
      </c>
      <c r="J588" s="2" t="n">
        <v>43900</v>
      </c>
      <c r="K588" s="2" t="n">
        <v>43900</v>
      </c>
      <c r="L588" s="2" t="n"/>
      <c r="M588" s="21" t="inlineStr">
        <is>
          <t>AA</t>
        </is>
      </c>
      <c r="N588" s="35" t="n">
        <v>2</v>
      </c>
      <c r="O588" s="7" t="n">
        <v>19</v>
      </c>
      <c r="P588" s="8" t="inlineStr">
        <is>
          <t>5 JOURS</t>
        </is>
      </c>
      <c r="Q588" s="2" t="n">
        <v>43992</v>
      </c>
    </row>
    <row r="589">
      <c r="A589" s="13" t="n">
        <v>34403304</v>
      </c>
      <c r="B589" s="2">
        <f>INDEX(Tableau1[], MATCH(Tableau3[[#This Row],[REFERENCE]], Tableau1[NUMERO], 0), 2)</f>
        <v/>
      </c>
      <c r="C589">
        <f>INDEX(Tableau1[], MATCH(Tableau3[[#This Row],[REFERENCE]], Tableau1[NUMERO], 0), 3)</f>
        <v/>
      </c>
      <c r="D589">
        <f>INDEX(Tableau1[], MATCH(Tableau3[[#This Row],[REFERENCE]], Tableau1[NUMERO], 0),4)</f>
        <v/>
      </c>
      <c r="E589">
        <f>INDEX(Tableau1[], MATCH(Tableau3[[#This Row],[REFERENCE]], Tableau1[NUMERO], 0), 5)</f>
        <v/>
      </c>
      <c r="F589">
        <f>INDEX(Tableau1[], MATCH(Tableau3[[#This Row],[REFERENCE]], Tableau1[NUMERO], 0), 6)</f>
        <v/>
      </c>
      <c r="G589">
        <f>INDEX(Tableau1[], MATCH(Tableau3[[#This Row],[REFERENCE]], Tableau1[NUMERO], 0), 7)</f>
        <v/>
      </c>
      <c r="H589" t="inlineStr">
        <is>
          <t>lasertechnic</t>
        </is>
      </c>
      <c r="J589" s="2" t="n">
        <v>43900</v>
      </c>
      <c r="K589" s="2" t="n">
        <v>43900</v>
      </c>
      <c r="L589" s="2" t="n"/>
      <c r="M589" s="21" t="inlineStr">
        <is>
          <t>02</t>
        </is>
      </c>
      <c r="N589" s="35" t="n">
        <v>2</v>
      </c>
      <c r="O589" s="7" t="n">
        <v>8</v>
      </c>
      <c r="P589" s="8" t="inlineStr">
        <is>
          <t>5 JOURS</t>
        </is>
      </c>
      <c r="Q589" s="2" t="n">
        <v>43992</v>
      </c>
    </row>
    <row r="590">
      <c r="A590" s="13" t="n">
        <v>34408371</v>
      </c>
      <c r="B590" s="2">
        <f>INDEX(Tableau1[], MATCH(Tableau3[[#This Row],[REFERENCE]], Tableau1[NUMERO], 0), 2)</f>
        <v/>
      </c>
      <c r="C590">
        <f>INDEX(Tableau1[], MATCH(Tableau3[[#This Row],[REFERENCE]], Tableau1[NUMERO], 0), 3)</f>
        <v/>
      </c>
      <c r="D590">
        <f>INDEX(Tableau1[], MATCH(Tableau3[[#This Row],[REFERENCE]], Tableau1[NUMERO], 0),4)</f>
        <v/>
      </c>
      <c r="E590">
        <f>INDEX(Tableau1[], MATCH(Tableau3[[#This Row],[REFERENCE]], Tableau1[NUMERO], 0), 5)</f>
        <v/>
      </c>
      <c r="F590">
        <f>INDEX(Tableau1[], MATCH(Tableau3[[#This Row],[REFERENCE]], Tableau1[NUMERO], 0), 6)</f>
        <v/>
      </c>
      <c r="G590">
        <f>INDEX(Tableau1[], MATCH(Tableau3[[#This Row],[REFERENCE]], Tableau1[NUMERO], 0), 7)</f>
        <v/>
      </c>
      <c r="H590" t="inlineStr">
        <is>
          <t>lasertechnic</t>
        </is>
      </c>
      <c r="J590" s="2" t="n">
        <v>43900</v>
      </c>
      <c r="K590" s="2" t="n">
        <v>43900</v>
      </c>
      <c r="L590" s="2" t="n"/>
      <c r="M590" s="21" t="inlineStr">
        <is>
          <t>01</t>
        </is>
      </c>
      <c r="N590" s="35" t="n">
        <v>1</v>
      </c>
      <c r="O590" s="7" t="n">
        <v>30</v>
      </c>
      <c r="P590" s="8" t="inlineStr">
        <is>
          <t>5 JOURS</t>
        </is>
      </c>
      <c r="Q590" s="2" t="n">
        <v>43992</v>
      </c>
    </row>
    <row r="591">
      <c r="A591" s="13" t="n">
        <v>34408377</v>
      </c>
      <c r="B591" s="2">
        <f>INDEX(Tableau1[], MATCH(Tableau3[[#This Row],[REFERENCE]], Tableau1[NUMERO], 0), 2)</f>
        <v/>
      </c>
      <c r="C591">
        <f>INDEX(Tableau1[], MATCH(Tableau3[[#This Row],[REFERENCE]], Tableau1[NUMERO], 0), 3)</f>
        <v/>
      </c>
      <c r="D591">
        <f>INDEX(Tableau1[], MATCH(Tableau3[[#This Row],[REFERENCE]], Tableau1[NUMERO], 0),4)</f>
        <v/>
      </c>
      <c r="E591">
        <f>INDEX(Tableau1[], MATCH(Tableau3[[#This Row],[REFERENCE]], Tableau1[NUMERO], 0), 5)</f>
        <v/>
      </c>
      <c r="F591">
        <f>INDEX(Tableau1[], MATCH(Tableau3[[#This Row],[REFERENCE]], Tableau1[NUMERO], 0), 6)</f>
        <v/>
      </c>
      <c r="G591">
        <f>INDEX(Tableau1[], MATCH(Tableau3[[#This Row],[REFERENCE]], Tableau1[NUMERO], 0), 7)</f>
        <v/>
      </c>
      <c r="H591" t="inlineStr">
        <is>
          <t>lasertechnic</t>
        </is>
      </c>
      <c r="J591" s="2" t="n">
        <v>43900</v>
      </c>
      <c r="K591" s="2" t="n">
        <v>43900</v>
      </c>
      <c r="L591" s="2" t="n"/>
      <c r="M591" s="21" t="inlineStr">
        <is>
          <t>01</t>
        </is>
      </c>
      <c r="N591" s="35" t="n">
        <v>1</v>
      </c>
      <c r="O591" s="7" t="n">
        <v>30</v>
      </c>
      <c r="P591" s="8" t="inlineStr">
        <is>
          <t>5 JOURS</t>
        </is>
      </c>
      <c r="Q591" s="2" t="n">
        <v>43992</v>
      </c>
    </row>
    <row r="592" ht="15.75" customFormat="1" customHeight="1" s="25" thickBot="1">
      <c r="A592" s="13" t="n">
        <v>34408372</v>
      </c>
      <c r="B592" s="2">
        <f>INDEX(Tableau1[], MATCH(Tableau3[[#This Row],[REFERENCE]], Tableau1[NUMERO], 0), 2)</f>
        <v/>
      </c>
      <c r="C592">
        <f>INDEX(Tableau1[], MATCH(Tableau3[[#This Row],[REFERENCE]], Tableau1[NUMERO], 0), 3)</f>
        <v/>
      </c>
      <c r="D592">
        <f>INDEX(Tableau1[], MATCH(Tableau3[[#This Row],[REFERENCE]], Tableau1[NUMERO], 0),4)</f>
        <v/>
      </c>
      <c r="E592">
        <f>INDEX(Tableau1[], MATCH(Tableau3[[#This Row],[REFERENCE]], Tableau1[NUMERO], 0), 5)</f>
        <v/>
      </c>
      <c r="F592">
        <f>INDEX(Tableau1[], MATCH(Tableau3[[#This Row],[REFERENCE]], Tableau1[NUMERO], 0), 6)</f>
        <v/>
      </c>
      <c r="G592">
        <f>INDEX(Tableau1[], MATCH(Tableau3[[#This Row],[REFERENCE]], Tableau1[NUMERO], 0), 7)</f>
        <v/>
      </c>
      <c r="H592" t="inlineStr">
        <is>
          <t>lasertechnic</t>
        </is>
      </c>
      <c r="I592" s="8" t="n"/>
      <c r="J592" s="2" t="n">
        <v>43900</v>
      </c>
      <c r="K592" s="2" t="n">
        <v>43900</v>
      </c>
      <c r="L592" s="2" t="n"/>
      <c r="M592" s="21" t="inlineStr">
        <is>
          <t>01</t>
        </is>
      </c>
      <c r="N592" s="35" t="n">
        <v>1</v>
      </c>
      <c r="O592" s="7" t="n">
        <v>68</v>
      </c>
      <c r="P592" s="8" t="inlineStr">
        <is>
          <t>5 JOURS</t>
        </is>
      </c>
      <c r="Q592" s="2" t="n">
        <v>43992</v>
      </c>
    </row>
    <row r="593" ht="15.75" customHeight="1" s="142" thickBot="1">
      <c r="A593" s="44" t="n">
        <v>34408364</v>
      </c>
      <c r="B593" s="24">
        <f>INDEX(Tableau1[], MATCH(Tableau3[[#This Row],[REFERENCE]], Tableau1[NUMERO], 0), 2)</f>
        <v/>
      </c>
      <c r="C593" s="25">
        <f>INDEX(Tableau1[], MATCH(Tableau3[[#This Row],[REFERENCE]], Tableau1[NUMERO], 0), 3)</f>
        <v/>
      </c>
      <c r="D593" s="25">
        <f>INDEX(Tableau1[], MATCH(Tableau3[[#This Row],[REFERENCE]], Tableau1[NUMERO], 0),4)</f>
        <v/>
      </c>
      <c r="E593" s="25">
        <f>INDEX(Tableau1[], MATCH(Tableau3[[#This Row],[REFERENCE]], Tableau1[NUMERO], 0), 5)</f>
        <v/>
      </c>
      <c r="F593" s="25">
        <f>INDEX(Tableau1[], MATCH(Tableau3[[#This Row],[REFERENCE]], Tableau1[NUMERO], 0), 6)</f>
        <v/>
      </c>
      <c r="G593" s="25">
        <f>INDEX(Tableau1[], MATCH(Tableau3[[#This Row],[REFERENCE]], Tableau1[NUMERO], 0), 7)</f>
        <v/>
      </c>
      <c r="H593" s="25" t="inlineStr">
        <is>
          <t>lasertechnic</t>
        </is>
      </c>
      <c r="I593" s="28" t="n"/>
      <c r="J593" s="24" t="n">
        <v>43900</v>
      </c>
      <c r="K593" s="24" t="n">
        <v>43900</v>
      </c>
      <c r="L593" s="24" t="n"/>
      <c r="M593" s="26" t="inlineStr">
        <is>
          <t>01</t>
        </is>
      </c>
      <c r="N593" s="36" t="n">
        <v>4</v>
      </c>
      <c r="O593" s="27" t="n">
        <v>8</v>
      </c>
      <c r="P593" s="28" t="inlineStr">
        <is>
          <t>5 JOURS</t>
        </is>
      </c>
      <c r="Q593" s="24" t="n">
        <v>43992</v>
      </c>
      <c r="R593" s="25" t="n"/>
    </row>
    <row r="594">
      <c r="A594" s="13" t="n">
        <v>34408366</v>
      </c>
      <c r="B594" s="2">
        <f>INDEX(Tableau1[], MATCH(Tableau3[[#This Row],[REFERENCE]], Tableau1[NUMERO], 0), 2)</f>
        <v/>
      </c>
      <c r="C594">
        <f>INDEX(Tableau1[], MATCH(Tableau3[[#This Row],[REFERENCE]], Tableau1[NUMERO], 0), 3)</f>
        <v/>
      </c>
      <c r="D594">
        <f>INDEX(Tableau1[], MATCH(Tableau3[[#This Row],[REFERENCE]], Tableau1[NUMERO], 0),4)</f>
        <v/>
      </c>
      <c r="E594">
        <f>INDEX(Tableau1[], MATCH(Tableau3[[#This Row],[REFERENCE]], Tableau1[NUMERO], 0), 5)</f>
        <v/>
      </c>
      <c r="F594">
        <f>INDEX(Tableau1[], MATCH(Tableau3[[#This Row],[REFERENCE]], Tableau1[NUMERO], 0), 6)</f>
        <v/>
      </c>
      <c r="G594">
        <f>INDEX(Tableau1[], MATCH(Tableau3[[#This Row],[REFERENCE]], Tableau1[NUMERO], 0), 7)</f>
        <v/>
      </c>
      <c r="H594" t="inlineStr">
        <is>
          <t>Paillet</t>
        </is>
      </c>
      <c r="J594" s="2" t="n">
        <v>43901</v>
      </c>
      <c r="K594" s="2" t="n">
        <v>43902</v>
      </c>
      <c r="L594" s="2" t="n"/>
      <c r="M594" s="21" t="inlineStr">
        <is>
          <t>01</t>
        </is>
      </c>
      <c r="N594" s="35" t="n">
        <v>1</v>
      </c>
      <c r="O594" s="7" t="n">
        <v>128.22</v>
      </c>
      <c r="P594" s="8" t="inlineStr">
        <is>
          <t>15 JOURS</t>
        </is>
      </c>
      <c r="Q594" s="2" t="n">
        <v>43994</v>
      </c>
    </row>
    <row r="595">
      <c r="A595" s="13" t="n">
        <v>34408350</v>
      </c>
      <c r="B595" s="2">
        <f>INDEX(Tableau1[], MATCH(Tableau3[[#This Row],[REFERENCE]], Tableau1[NUMERO], 0), 2)</f>
        <v/>
      </c>
      <c r="C595">
        <f>INDEX(Tableau1[], MATCH(Tableau3[[#This Row],[REFERENCE]], Tableau1[NUMERO], 0), 3)</f>
        <v/>
      </c>
      <c r="D595">
        <f>INDEX(Tableau1[], MATCH(Tableau3[[#This Row],[REFERENCE]], Tableau1[NUMERO], 0),4)</f>
        <v/>
      </c>
      <c r="E595">
        <f>INDEX(Tableau1[], MATCH(Tableau3[[#This Row],[REFERENCE]], Tableau1[NUMERO], 0), 5)</f>
        <v/>
      </c>
      <c r="F595">
        <f>INDEX(Tableau1[], MATCH(Tableau3[[#This Row],[REFERENCE]], Tableau1[NUMERO], 0), 6)</f>
        <v/>
      </c>
      <c r="G595">
        <f>INDEX(Tableau1[], MATCH(Tableau3[[#This Row],[REFERENCE]], Tableau1[NUMERO], 0), 7)</f>
        <v/>
      </c>
      <c r="H595" t="inlineStr">
        <is>
          <t>Paillet</t>
        </is>
      </c>
      <c r="J595" s="2" t="n">
        <v>43901</v>
      </c>
      <c r="K595" s="2" t="n">
        <v>43902</v>
      </c>
      <c r="L595" s="2" t="n"/>
      <c r="M595" s="21" t="inlineStr">
        <is>
          <t>01</t>
        </is>
      </c>
      <c r="N595" s="35" t="n">
        <v>2</v>
      </c>
      <c r="O595" s="7" t="n">
        <v>32.18</v>
      </c>
      <c r="P595" s="8" t="inlineStr">
        <is>
          <t>15 JOURS</t>
        </is>
      </c>
      <c r="Q595" s="2" t="n">
        <v>43994</v>
      </c>
    </row>
    <row r="596">
      <c r="A596" s="13" t="n">
        <v>34408352</v>
      </c>
      <c r="B596" s="2">
        <f>INDEX(Tableau1[], MATCH(Tableau3[[#This Row],[REFERENCE]], Tableau1[NUMERO], 0), 2)</f>
        <v/>
      </c>
      <c r="C596">
        <f>INDEX(Tableau1[], MATCH(Tableau3[[#This Row],[REFERENCE]], Tableau1[NUMERO], 0), 3)</f>
        <v/>
      </c>
      <c r="D596">
        <f>INDEX(Tableau1[], MATCH(Tableau3[[#This Row],[REFERENCE]], Tableau1[NUMERO], 0),4)</f>
        <v/>
      </c>
      <c r="E596">
        <f>INDEX(Tableau1[], MATCH(Tableau3[[#This Row],[REFERENCE]], Tableau1[NUMERO], 0), 5)</f>
        <v/>
      </c>
      <c r="F596">
        <f>INDEX(Tableau1[], MATCH(Tableau3[[#This Row],[REFERENCE]], Tableau1[NUMERO], 0), 6)</f>
        <v/>
      </c>
      <c r="G596">
        <f>INDEX(Tableau1[], MATCH(Tableau3[[#This Row],[REFERENCE]], Tableau1[NUMERO], 0), 7)</f>
        <v/>
      </c>
      <c r="H596" t="inlineStr">
        <is>
          <t>Paillet</t>
        </is>
      </c>
      <c r="J596" s="2" t="n">
        <v>43901</v>
      </c>
      <c r="K596" s="2" t="n">
        <v>43902</v>
      </c>
      <c r="L596" s="2" t="n"/>
      <c r="M596" s="21" t="inlineStr">
        <is>
          <t>01</t>
        </is>
      </c>
      <c r="N596" s="35" t="n">
        <v>3</v>
      </c>
      <c r="O596" s="7" t="n">
        <v>37.69</v>
      </c>
      <c r="P596" s="8" t="inlineStr">
        <is>
          <t>15 JOURS</t>
        </is>
      </c>
      <c r="Q596" s="2" t="n">
        <v>43994</v>
      </c>
    </row>
    <row r="597">
      <c r="A597" s="13" t="n">
        <v>34408379</v>
      </c>
      <c r="B597" s="2">
        <f>INDEX(Tableau1[], MATCH(Tableau3[[#This Row],[REFERENCE]], Tableau1[NUMERO], 0), 2)</f>
        <v/>
      </c>
      <c r="C597">
        <f>INDEX(Tableau1[], MATCH(Tableau3[[#This Row],[REFERENCE]], Tableau1[NUMERO], 0), 3)</f>
        <v/>
      </c>
      <c r="D597">
        <f>INDEX(Tableau1[], MATCH(Tableau3[[#This Row],[REFERENCE]], Tableau1[NUMERO], 0),4)</f>
        <v/>
      </c>
      <c r="E597">
        <f>INDEX(Tableau1[], MATCH(Tableau3[[#This Row],[REFERENCE]], Tableau1[NUMERO], 0), 5)</f>
        <v/>
      </c>
      <c r="F597">
        <f>INDEX(Tableau1[], MATCH(Tableau3[[#This Row],[REFERENCE]], Tableau1[NUMERO], 0), 6)</f>
        <v/>
      </c>
      <c r="G597">
        <f>INDEX(Tableau1[], MATCH(Tableau3[[#This Row],[REFERENCE]], Tableau1[NUMERO], 0), 7)</f>
        <v/>
      </c>
      <c r="H597" t="inlineStr">
        <is>
          <t>Paillet</t>
        </is>
      </c>
      <c r="J597" s="2" t="n">
        <v>43901</v>
      </c>
      <c r="K597" s="2" t="n">
        <v>43902</v>
      </c>
      <c r="L597" s="2" t="n"/>
      <c r="M597" s="21" t="inlineStr">
        <is>
          <t>01</t>
        </is>
      </c>
      <c r="N597" s="35" t="n">
        <v>2</v>
      </c>
      <c r="O597" s="7" t="n">
        <v>47.74</v>
      </c>
      <c r="P597" s="8" t="inlineStr">
        <is>
          <t>15 JOURS</t>
        </is>
      </c>
      <c r="Q597" s="2" t="n">
        <v>43994</v>
      </c>
    </row>
    <row r="598">
      <c r="A598" s="13" t="n">
        <v>34408359</v>
      </c>
      <c r="B598" s="2">
        <f>INDEX(Tableau1[], MATCH(Tableau3[[#This Row],[REFERENCE]], Tableau1[NUMERO], 0), 2)</f>
        <v/>
      </c>
      <c r="C598">
        <f>INDEX(Tableau1[], MATCH(Tableau3[[#This Row],[REFERENCE]], Tableau1[NUMERO], 0), 3)</f>
        <v/>
      </c>
      <c r="D598">
        <f>INDEX(Tableau1[], MATCH(Tableau3[[#This Row],[REFERENCE]], Tableau1[NUMERO], 0),4)</f>
        <v/>
      </c>
      <c r="E598">
        <f>INDEX(Tableau1[], MATCH(Tableau3[[#This Row],[REFERENCE]], Tableau1[NUMERO], 0), 5)</f>
        <v/>
      </c>
      <c r="F598">
        <f>INDEX(Tableau1[], MATCH(Tableau3[[#This Row],[REFERENCE]], Tableau1[NUMERO], 0), 6)</f>
        <v/>
      </c>
      <c r="G598">
        <f>INDEX(Tableau1[], MATCH(Tableau3[[#This Row],[REFERENCE]], Tableau1[NUMERO], 0), 7)</f>
        <v/>
      </c>
      <c r="H598" t="inlineStr">
        <is>
          <t>Paillet</t>
        </is>
      </c>
      <c r="J598" s="2" t="n">
        <v>43901</v>
      </c>
      <c r="K598" s="2" t="n">
        <v>43902</v>
      </c>
      <c r="L598" s="2" t="n"/>
      <c r="M598" s="21" t="inlineStr">
        <is>
          <t>01</t>
        </is>
      </c>
      <c r="N598" s="35" t="n">
        <v>1</v>
      </c>
      <c r="O598" s="7" t="n">
        <v>79.25</v>
      </c>
      <c r="P598" s="8" t="inlineStr">
        <is>
          <t>15 JOURS</t>
        </is>
      </c>
      <c r="Q598" s="2" t="n">
        <v>43994</v>
      </c>
    </row>
    <row r="599">
      <c r="A599" s="13" t="n">
        <v>34408361</v>
      </c>
      <c r="B599" s="2">
        <f>INDEX(Tableau1[], MATCH(Tableau3[[#This Row],[REFERENCE]], Tableau1[NUMERO], 0), 2)</f>
        <v/>
      </c>
      <c r="C599">
        <f>INDEX(Tableau1[], MATCH(Tableau3[[#This Row],[REFERENCE]], Tableau1[NUMERO], 0), 3)</f>
        <v/>
      </c>
      <c r="D599">
        <f>INDEX(Tableau1[], MATCH(Tableau3[[#This Row],[REFERENCE]], Tableau1[NUMERO], 0),4)</f>
        <v/>
      </c>
      <c r="E599">
        <f>INDEX(Tableau1[], MATCH(Tableau3[[#This Row],[REFERENCE]], Tableau1[NUMERO], 0), 5)</f>
        <v/>
      </c>
      <c r="F599">
        <f>INDEX(Tableau1[], MATCH(Tableau3[[#This Row],[REFERENCE]], Tableau1[NUMERO], 0), 6)</f>
        <v/>
      </c>
      <c r="G599">
        <f>INDEX(Tableau1[], MATCH(Tableau3[[#This Row],[REFERENCE]], Tableau1[NUMERO], 0), 7)</f>
        <v/>
      </c>
      <c r="H599" t="inlineStr">
        <is>
          <t>Paillet</t>
        </is>
      </c>
      <c r="J599" s="2" t="n">
        <v>43901</v>
      </c>
      <c r="K599" s="2" t="n">
        <v>43902</v>
      </c>
      <c r="L599" s="2" t="n"/>
      <c r="M599" s="21" t="inlineStr">
        <is>
          <t>01</t>
        </is>
      </c>
      <c r="N599" s="35" t="n">
        <v>2</v>
      </c>
      <c r="O599" s="7" t="n">
        <v>39.55</v>
      </c>
      <c r="P599" s="8" t="inlineStr">
        <is>
          <t>15 JOURS</t>
        </is>
      </c>
      <c r="Q599" s="2" t="n">
        <v>43994</v>
      </c>
    </row>
    <row r="600">
      <c r="A600" s="13" t="n">
        <v>34403305</v>
      </c>
      <c r="B600" s="2">
        <f>INDEX(Tableau1[], MATCH(Tableau3[[#This Row],[REFERENCE]], Tableau1[NUMERO], 0), 2)</f>
        <v/>
      </c>
      <c r="C600">
        <f>INDEX(Tableau1[], MATCH(Tableau3[[#This Row],[REFERENCE]], Tableau1[NUMERO], 0), 3)</f>
        <v/>
      </c>
      <c r="D600">
        <f>INDEX(Tableau1[], MATCH(Tableau3[[#This Row],[REFERENCE]], Tableau1[NUMERO], 0),4)</f>
        <v/>
      </c>
      <c r="E600">
        <f>INDEX(Tableau1[], MATCH(Tableau3[[#This Row],[REFERENCE]], Tableau1[NUMERO], 0), 5)</f>
        <v/>
      </c>
      <c r="F600">
        <f>INDEX(Tableau1[], MATCH(Tableau3[[#This Row],[REFERENCE]], Tableau1[NUMERO], 0), 6)</f>
        <v/>
      </c>
      <c r="G600">
        <f>INDEX(Tableau1[], MATCH(Tableau3[[#This Row],[REFERENCE]], Tableau1[NUMERO], 0), 7)</f>
        <v/>
      </c>
      <c r="H600" t="inlineStr">
        <is>
          <t>Paillet</t>
        </is>
      </c>
      <c r="J600" s="2" t="n">
        <v>43901</v>
      </c>
      <c r="K600" s="2" t="n">
        <v>43902</v>
      </c>
      <c r="L600" s="2" t="n"/>
      <c r="M600" s="21" t="inlineStr">
        <is>
          <t>AA</t>
        </is>
      </c>
      <c r="N600" s="35" t="n">
        <v>2</v>
      </c>
      <c r="O600" s="7" t="n">
        <v>31.83</v>
      </c>
      <c r="P600" s="8" t="inlineStr">
        <is>
          <t>15 JOURS</t>
        </is>
      </c>
      <c r="Q600" s="2" t="n">
        <v>43994</v>
      </c>
    </row>
    <row r="601">
      <c r="A601" s="13" t="n">
        <v>34403304</v>
      </c>
      <c r="B601" s="2">
        <f>INDEX(Tableau1[], MATCH(Tableau3[[#This Row],[REFERENCE]], Tableau1[NUMERO], 0), 2)</f>
        <v/>
      </c>
      <c r="C601">
        <f>INDEX(Tableau1[], MATCH(Tableau3[[#This Row],[REFERENCE]], Tableau1[NUMERO], 0), 3)</f>
        <v/>
      </c>
      <c r="D601">
        <f>INDEX(Tableau1[], MATCH(Tableau3[[#This Row],[REFERENCE]], Tableau1[NUMERO], 0),4)</f>
        <v/>
      </c>
      <c r="E601">
        <f>INDEX(Tableau1[], MATCH(Tableau3[[#This Row],[REFERENCE]], Tableau1[NUMERO], 0), 5)</f>
        <v/>
      </c>
      <c r="F601">
        <f>INDEX(Tableau1[], MATCH(Tableau3[[#This Row],[REFERENCE]], Tableau1[NUMERO], 0), 6)</f>
        <v/>
      </c>
      <c r="G601">
        <f>INDEX(Tableau1[], MATCH(Tableau3[[#This Row],[REFERENCE]], Tableau1[NUMERO], 0), 7)</f>
        <v/>
      </c>
      <c r="H601" t="inlineStr">
        <is>
          <t>Paillet</t>
        </is>
      </c>
      <c r="J601" s="2" t="n">
        <v>43901</v>
      </c>
      <c r="K601" s="2" t="n">
        <v>43902</v>
      </c>
      <c r="L601" s="2" t="n"/>
      <c r="M601" s="21" t="inlineStr">
        <is>
          <t>02</t>
        </is>
      </c>
      <c r="N601" s="35" t="n">
        <v>2</v>
      </c>
      <c r="O601" s="7" t="n">
        <v>38.98</v>
      </c>
      <c r="P601" s="8" t="inlineStr">
        <is>
          <t>15 JOURS</t>
        </is>
      </c>
      <c r="Q601" s="2" t="n">
        <v>43994</v>
      </c>
    </row>
    <row r="602">
      <c r="A602" s="13" t="n">
        <v>34408371</v>
      </c>
      <c r="B602" s="2">
        <f>INDEX(Tableau1[], MATCH(Tableau3[[#This Row],[REFERENCE]], Tableau1[NUMERO], 0), 2)</f>
        <v/>
      </c>
      <c r="C602">
        <f>INDEX(Tableau1[], MATCH(Tableau3[[#This Row],[REFERENCE]], Tableau1[NUMERO], 0), 3)</f>
        <v/>
      </c>
      <c r="D602">
        <f>INDEX(Tableau1[], MATCH(Tableau3[[#This Row],[REFERENCE]], Tableau1[NUMERO], 0),4)</f>
        <v/>
      </c>
      <c r="E602">
        <f>INDEX(Tableau1[], MATCH(Tableau3[[#This Row],[REFERENCE]], Tableau1[NUMERO], 0), 5)</f>
        <v/>
      </c>
      <c r="F602">
        <f>INDEX(Tableau1[], MATCH(Tableau3[[#This Row],[REFERENCE]], Tableau1[NUMERO], 0), 6)</f>
        <v/>
      </c>
      <c r="G602">
        <f>INDEX(Tableau1[], MATCH(Tableau3[[#This Row],[REFERENCE]], Tableau1[NUMERO], 0), 7)</f>
        <v/>
      </c>
      <c r="H602" t="inlineStr">
        <is>
          <t>Paillet</t>
        </is>
      </c>
      <c r="J602" s="2" t="n">
        <v>43901</v>
      </c>
      <c r="K602" s="2" t="n">
        <v>43902</v>
      </c>
      <c r="L602" s="2" t="n"/>
      <c r="M602" s="21" t="inlineStr">
        <is>
          <t>01</t>
        </is>
      </c>
      <c r="N602" s="35" t="n">
        <v>1</v>
      </c>
      <c r="O602" s="7" t="n">
        <v>78.59</v>
      </c>
      <c r="P602" s="8" t="inlineStr">
        <is>
          <t>15 JOURS</t>
        </is>
      </c>
      <c r="Q602" s="2" t="n">
        <v>43994</v>
      </c>
    </row>
    <row r="603">
      <c r="A603" s="13" t="n">
        <v>34408377</v>
      </c>
      <c r="B603" s="2">
        <f>INDEX(Tableau1[], MATCH(Tableau3[[#This Row],[REFERENCE]], Tableau1[NUMERO], 0), 2)</f>
        <v/>
      </c>
      <c r="C603">
        <f>INDEX(Tableau1[], MATCH(Tableau3[[#This Row],[REFERENCE]], Tableau1[NUMERO], 0), 3)</f>
        <v/>
      </c>
      <c r="D603">
        <f>INDEX(Tableau1[], MATCH(Tableau3[[#This Row],[REFERENCE]], Tableau1[NUMERO], 0),4)</f>
        <v/>
      </c>
      <c r="E603">
        <f>INDEX(Tableau1[], MATCH(Tableau3[[#This Row],[REFERENCE]], Tableau1[NUMERO], 0), 5)</f>
        <v/>
      </c>
      <c r="F603">
        <f>INDEX(Tableau1[], MATCH(Tableau3[[#This Row],[REFERENCE]], Tableau1[NUMERO], 0), 6)</f>
        <v/>
      </c>
      <c r="G603">
        <f>INDEX(Tableau1[], MATCH(Tableau3[[#This Row],[REFERENCE]], Tableau1[NUMERO], 0), 7)</f>
        <v/>
      </c>
      <c r="H603" t="inlineStr">
        <is>
          <t>Paillet</t>
        </is>
      </c>
      <c r="J603" s="2" t="n">
        <v>43901</v>
      </c>
      <c r="K603" s="2" t="n">
        <v>43902</v>
      </c>
      <c r="L603" s="2" t="n"/>
      <c r="M603" s="21" t="inlineStr">
        <is>
          <t>01</t>
        </is>
      </c>
      <c r="N603" s="35" t="n">
        <v>1</v>
      </c>
      <c r="O603" s="7" t="n">
        <v>79.95999999999999</v>
      </c>
      <c r="P603" s="8" t="inlineStr">
        <is>
          <t>15 JOURS</t>
        </is>
      </c>
      <c r="Q603" s="2" t="n">
        <v>43994</v>
      </c>
    </row>
    <row r="604" ht="15.75" customFormat="1" customHeight="1" s="25" thickBot="1">
      <c r="A604" s="13" t="n">
        <v>34408372</v>
      </c>
      <c r="B604" s="2">
        <f>INDEX(Tableau1[], MATCH(Tableau3[[#This Row],[REFERENCE]], Tableau1[NUMERO], 0), 2)</f>
        <v/>
      </c>
      <c r="C604">
        <f>INDEX(Tableau1[], MATCH(Tableau3[[#This Row],[REFERENCE]], Tableau1[NUMERO], 0), 3)</f>
        <v/>
      </c>
      <c r="D604">
        <f>INDEX(Tableau1[], MATCH(Tableau3[[#This Row],[REFERENCE]], Tableau1[NUMERO], 0),4)</f>
        <v/>
      </c>
      <c r="E604">
        <f>INDEX(Tableau1[], MATCH(Tableau3[[#This Row],[REFERENCE]], Tableau1[NUMERO], 0), 5)</f>
        <v/>
      </c>
      <c r="F604">
        <f>INDEX(Tableau1[], MATCH(Tableau3[[#This Row],[REFERENCE]], Tableau1[NUMERO], 0), 6)</f>
        <v/>
      </c>
      <c r="G604">
        <f>INDEX(Tableau1[], MATCH(Tableau3[[#This Row],[REFERENCE]], Tableau1[NUMERO], 0), 7)</f>
        <v/>
      </c>
      <c r="H604" t="inlineStr">
        <is>
          <t>Paillet</t>
        </is>
      </c>
      <c r="I604" s="8" t="n"/>
      <c r="J604" s="2" t="n">
        <v>43901</v>
      </c>
      <c r="K604" s="2" t="n">
        <v>43902</v>
      </c>
      <c r="L604" s="2" t="n"/>
      <c r="M604" s="21" t="inlineStr">
        <is>
          <t>01</t>
        </is>
      </c>
      <c r="N604" s="35" t="n">
        <v>1</v>
      </c>
      <c r="O604" s="7" t="n">
        <v>130.4</v>
      </c>
      <c r="P604" s="8" t="inlineStr">
        <is>
          <t>15 JOURS</t>
        </is>
      </c>
      <c r="Q604" s="2" t="n">
        <v>43994</v>
      </c>
    </row>
    <row r="605" ht="15.75" customHeight="1" s="142" thickBot="1">
      <c r="A605" s="44" t="n">
        <v>34408364</v>
      </c>
      <c r="B605" s="24">
        <f>INDEX(Tableau1[], MATCH(Tableau3[[#This Row],[REFERENCE]], Tableau1[NUMERO], 0), 2)</f>
        <v/>
      </c>
      <c r="C605" s="25">
        <f>INDEX(Tableau1[], MATCH(Tableau3[[#This Row],[REFERENCE]], Tableau1[NUMERO], 0), 3)</f>
        <v/>
      </c>
      <c r="D605" s="25">
        <f>INDEX(Tableau1[], MATCH(Tableau3[[#This Row],[REFERENCE]], Tableau1[NUMERO], 0),4)</f>
        <v/>
      </c>
      <c r="E605" s="25">
        <f>INDEX(Tableau1[], MATCH(Tableau3[[#This Row],[REFERENCE]], Tableau1[NUMERO], 0), 5)</f>
        <v/>
      </c>
      <c r="F605" s="25">
        <f>INDEX(Tableau1[], MATCH(Tableau3[[#This Row],[REFERENCE]], Tableau1[NUMERO], 0), 6)</f>
        <v/>
      </c>
      <c r="G605" s="25">
        <f>INDEX(Tableau1[], MATCH(Tableau3[[#This Row],[REFERENCE]], Tableau1[NUMERO], 0), 7)</f>
        <v/>
      </c>
      <c r="H605" s="25" t="inlineStr">
        <is>
          <t>Paillet</t>
        </is>
      </c>
      <c r="I605" s="28" t="n"/>
      <c r="J605" s="24" t="n">
        <v>43901</v>
      </c>
      <c r="K605" s="24" t="n">
        <v>43902</v>
      </c>
      <c r="L605" s="24" t="n"/>
      <c r="M605" s="26" t="inlineStr">
        <is>
          <t>01</t>
        </is>
      </c>
      <c r="N605" s="36" t="n">
        <v>4</v>
      </c>
      <c r="O605" s="27" t="n">
        <v>19.21</v>
      </c>
      <c r="P605" s="28" t="inlineStr">
        <is>
          <t>15 JOURS</t>
        </is>
      </c>
      <c r="Q605" s="24" t="n">
        <v>43994</v>
      </c>
      <c r="R605" s="25" t="n"/>
    </row>
    <row r="606">
      <c r="A606" s="13" t="n">
        <v>34408353</v>
      </c>
      <c r="B606" s="2">
        <f>INDEX(Tableau1[], MATCH(Tableau3[[#This Row],[REFERENCE]], Tableau1[NUMERO], 0), 2)</f>
        <v/>
      </c>
      <c r="C606">
        <f>INDEX(Tableau1[], MATCH(Tableau3[[#This Row],[REFERENCE]], Tableau1[NUMERO], 0), 3)</f>
        <v/>
      </c>
      <c r="D606">
        <f>INDEX(Tableau1[], MATCH(Tableau3[[#This Row],[REFERENCE]], Tableau1[NUMERO], 0),4)</f>
        <v/>
      </c>
      <c r="E606">
        <f>INDEX(Tableau1[], MATCH(Tableau3[[#This Row],[REFERENCE]], Tableau1[NUMERO], 0), 5)</f>
        <v/>
      </c>
      <c r="F606">
        <f>INDEX(Tableau1[], MATCH(Tableau3[[#This Row],[REFERENCE]], Tableau1[NUMERO], 0), 6)</f>
        <v/>
      </c>
      <c r="G606">
        <f>INDEX(Tableau1[], MATCH(Tableau3[[#This Row],[REFERENCE]], Tableau1[NUMERO], 0), 7)</f>
        <v/>
      </c>
      <c r="H606" t="inlineStr">
        <is>
          <t>trefimetaux</t>
        </is>
      </c>
      <c r="J606" s="2" t="n">
        <v>43900</v>
      </c>
      <c r="K606" s="2" t="n">
        <v>43902</v>
      </c>
      <c r="L606" s="2" t="n"/>
      <c r="M606" s="21" t="inlineStr">
        <is>
          <t>01</t>
        </is>
      </c>
      <c r="N606" s="35" t="n">
        <v>16</v>
      </c>
      <c r="O606" s="7" t="n">
        <v>20</v>
      </c>
      <c r="P606" s="8" t="inlineStr">
        <is>
          <t>3 semaines</t>
        </is>
      </c>
      <c r="Q606" s="2" t="n">
        <v>43994</v>
      </c>
    </row>
    <row r="607">
      <c r="A607" s="13" t="n">
        <v>34408354</v>
      </c>
      <c r="B607" s="2">
        <f>INDEX(Tableau1[], MATCH(Tableau3[[#This Row],[REFERENCE]], Tableau1[NUMERO], 0), 2)</f>
        <v/>
      </c>
      <c r="C607">
        <f>INDEX(Tableau1[], MATCH(Tableau3[[#This Row],[REFERENCE]], Tableau1[NUMERO], 0), 3)</f>
        <v/>
      </c>
      <c r="D607">
        <f>INDEX(Tableau1[], MATCH(Tableau3[[#This Row],[REFERENCE]], Tableau1[NUMERO], 0),4)</f>
        <v/>
      </c>
      <c r="E607">
        <f>INDEX(Tableau1[], MATCH(Tableau3[[#This Row],[REFERENCE]], Tableau1[NUMERO], 0), 5)</f>
        <v/>
      </c>
      <c r="F607">
        <f>INDEX(Tableau1[], MATCH(Tableau3[[#This Row],[REFERENCE]], Tableau1[NUMERO], 0), 6)</f>
        <v/>
      </c>
      <c r="G607">
        <f>INDEX(Tableau1[], MATCH(Tableau3[[#This Row],[REFERENCE]], Tableau1[NUMERO], 0), 7)</f>
        <v/>
      </c>
      <c r="H607" t="inlineStr">
        <is>
          <t>trefimetaux</t>
        </is>
      </c>
      <c r="J607" s="2" t="n">
        <v>43900</v>
      </c>
      <c r="K607" s="2" t="n">
        <v>43902</v>
      </c>
      <c r="L607" s="2" t="n"/>
      <c r="M607" s="21" t="inlineStr">
        <is>
          <t>01</t>
        </is>
      </c>
      <c r="N607" s="35" t="n">
        <v>4</v>
      </c>
      <c r="O607" s="7" t="n">
        <v>50</v>
      </c>
      <c r="P607" s="8" t="inlineStr">
        <is>
          <t>3 semaines</t>
        </is>
      </c>
      <c r="Q607" s="2" t="n">
        <v>43994</v>
      </c>
    </row>
    <row r="608">
      <c r="A608" s="13" t="n">
        <v>34408355</v>
      </c>
      <c r="B608" s="2">
        <f>INDEX(Tableau1[], MATCH(Tableau3[[#This Row],[REFERENCE]], Tableau1[NUMERO], 0), 2)</f>
        <v/>
      </c>
      <c r="C608">
        <f>INDEX(Tableau1[], MATCH(Tableau3[[#This Row],[REFERENCE]], Tableau1[NUMERO], 0), 3)</f>
        <v/>
      </c>
      <c r="D608">
        <f>INDEX(Tableau1[], MATCH(Tableau3[[#This Row],[REFERENCE]], Tableau1[NUMERO], 0),4)</f>
        <v/>
      </c>
      <c r="E608">
        <f>INDEX(Tableau1[], MATCH(Tableau3[[#This Row],[REFERENCE]], Tableau1[NUMERO], 0), 5)</f>
        <v/>
      </c>
      <c r="F608">
        <f>INDEX(Tableau1[], MATCH(Tableau3[[#This Row],[REFERENCE]], Tableau1[NUMERO], 0), 6)</f>
        <v/>
      </c>
      <c r="G608">
        <f>INDEX(Tableau1[], MATCH(Tableau3[[#This Row],[REFERENCE]], Tableau1[NUMERO], 0), 7)</f>
        <v/>
      </c>
      <c r="H608" t="inlineStr">
        <is>
          <t>trefimetaux</t>
        </is>
      </c>
      <c r="J608" s="2" t="n">
        <v>43900</v>
      </c>
      <c r="K608" s="2" t="n">
        <v>43902</v>
      </c>
      <c r="L608" s="2" t="n"/>
      <c r="M608" s="21" t="inlineStr">
        <is>
          <t>01</t>
        </is>
      </c>
      <c r="N608" s="35" t="n">
        <v>4</v>
      </c>
      <c r="O608" s="7" t="n">
        <v>50</v>
      </c>
      <c r="P608" s="8" t="inlineStr">
        <is>
          <t>3 semaines</t>
        </is>
      </c>
      <c r="Q608" s="2" t="n">
        <v>43994</v>
      </c>
    </row>
    <row r="609">
      <c r="A609" s="13" t="n">
        <v>34408356</v>
      </c>
      <c r="B609" s="2">
        <f>INDEX(Tableau1[], MATCH(Tableau3[[#This Row],[REFERENCE]], Tableau1[NUMERO], 0), 2)</f>
        <v/>
      </c>
      <c r="C609">
        <f>INDEX(Tableau1[], MATCH(Tableau3[[#This Row],[REFERENCE]], Tableau1[NUMERO], 0), 3)</f>
        <v/>
      </c>
      <c r="D609">
        <f>INDEX(Tableau1[], MATCH(Tableau3[[#This Row],[REFERENCE]], Tableau1[NUMERO], 0),4)</f>
        <v/>
      </c>
      <c r="E609">
        <f>INDEX(Tableau1[], MATCH(Tableau3[[#This Row],[REFERENCE]], Tableau1[NUMERO], 0), 5)</f>
        <v/>
      </c>
      <c r="F609">
        <f>INDEX(Tableau1[], MATCH(Tableau3[[#This Row],[REFERENCE]], Tableau1[NUMERO], 0), 6)</f>
        <v/>
      </c>
      <c r="G609">
        <f>INDEX(Tableau1[], MATCH(Tableau3[[#This Row],[REFERENCE]], Tableau1[NUMERO], 0), 7)</f>
        <v/>
      </c>
      <c r="H609" t="inlineStr">
        <is>
          <t>trefimetaux</t>
        </is>
      </c>
      <c r="J609" s="2" t="n">
        <v>43900</v>
      </c>
      <c r="K609" s="2" t="n">
        <v>43902</v>
      </c>
      <c r="L609" s="2" t="n"/>
      <c r="M609" s="21" t="inlineStr">
        <is>
          <t>01</t>
        </is>
      </c>
      <c r="N609" s="35" t="n">
        <v>4</v>
      </c>
      <c r="O609" s="7" t="n">
        <v>50</v>
      </c>
      <c r="P609" s="8" t="inlineStr">
        <is>
          <t>3 semaines</t>
        </is>
      </c>
      <c r="Q609" s="2" t="n">
        <v>43994</v>
      </c>
    </row>
    <row r="610" ht="15.75" customFormat="1" customHeight="1" s="25" thickBot="1">
      <c r="A610" s="13" t="n">
        <v>34408357</v>
      </c>
      <c r="B610" s="2">
        <f>INDEX(Tableau1[], MATCH(Tableau3[[#This Row],[REFERENCE]], Tableau1[NUMERO], 0), 2)</f>
        <v/>
      </c>
      <c r="C610">
        <f>INDEX(Tableau1[], MATCH(Tableau3[[#This Row],[REFERENCE]], Tableau1[NUMERO], 0), 3)</f>
        <v/>
      </c>
      <c r="D610">
        <f>INDEX(Tableau1[], MATCH(Tableau3[[#This Row],[REFERENCE]], Tableau1[NUMERO], 0),4)</f>
        <v/>
      </c>
      <c r="E610">
        <f>INDEX(Tableau1[], MATCH(Tableau3[[#This Row],[REFERENCE]], Tableau1[NUMERO], 0), 5)</f>
        <v/>
      </c>
      <c r="F610">
        <f>INDEX(Tableau1[], MATCH(Tableau3[[#This Row],[REFERENCE]], Tableau1[NUMERO], 0), 6)</f>
        <v/>
      </c>
      <c r="G610">
        <f>INDEX(Tableau1[], MATCH(Tableau3[[#This Row],[REFERENCE]], Tableau1[NUMERO], 0), 7)</f>
        <v/>
      </c>
      <c r="H610" t="inlineStr">
        <is>
          <t>trefimetaux</t>
        </is>
      </c>
      <c r="I610" s="8" t="n"/>
      <c r="J610" s="2" t="n">
        <v>43900</v>
      </c>
      <c r="K610" s="2" t="n">
        <v>43902</v>
      </c>
      <c r="L610" s="2" t="n"/>
      <c r="M610" s="21" t="inlineStr">
        <is>
          <t>01</t>
        </is>
      </c>
      <c r="N610" s="35" t="n">
        <v>4</v>
      </c>
      <c r="O610" s="7" t="n">
        <v>50</v>
      </c>
      <c r="P610" s="8" t="inlineStr">
        <is>
          <t>3 semaines</t>
        </is>
      </c>
      <c r="Q610" s="2" t="n">
        <v>43994</v>
      </c>
    </row>
    <row r="611" ht="15.75" customHeight="1" s="142" thickBot="1">
      <c r="A611" s="44" t="n">
        <v>34408380</v>
      </c>
      <c r="B611" s="24">
        <f>INDEX(Tableau1[], MATCH(Tableau3[[#This Row],[REFERENCE]], Tableau1[NUMERO], 0), 2)</f>
        <v/>
      </c>
      <c r="C611" s="25">
        <f>INDEX(Tableau1[], MATCH(Tableau3[[#This Row],[REFERENCE]], Tableau1[NUMERO], 0), 3)</f>
        <v/>
      </c>
      <c r="D611" s="25">
        <f>INDEX(Tableau1[], MATCH(Tableau3[[#This Row],[REFERENCE]], Tableau1[NUMERO], 0),4)</f>
        <v/>
      </c>
      <c r="E611" s="25">
        <f>INDEX(Tableau1[], MATCH(Tableau3[[#This Row],[REFERENCE]], Tableau1[NUMERO], 0), 5)</f>
        <v/>
      </c>
      <c r="F611" s="25">
        <f>INDEX(Tableau1[], MATCH(Tableau3[[#This Row],[REFERENCE]], Tableau1[NUMERO], 0), 6)</f>
        <v/>
      </c>
      <c r="G611" s="25">
        <f>INDEX(Tableau1[], MATCH(Tableau3[[#This Row],[REFERENCE]], Tableau1[NUMERO], 0), 7)</f>
        <v/>
      </c>
      <c r="H611" s="25" t="inlineStr">
        <is>
          <t>trefimetaux</t>
        </is>
      </c>
      <c r="I611" s="28" t="n"/>
      <c r="J611" s="24" t="n">
        <v>43900</v>
      </c>
      <c r="K611" s="24" t="n">
        <v>43902</v>
      </c>
      <c r="L611" s="24" t="n"/>
      <c r="M611" s="26" t="inlineStr">
        <is>
          <t>01</t>
        </is>
      </c>
      <c r="N611" s="36" t="n">
        <v>1</v>
      </c>
      <c r="O611" s="27" t="n">
        <v>150</v>
      </c>
      <c r="P611" s="28" t="inlineStr">
        <is>
          <t>3 semaines</t>
        </is>
      </c>
      <c r="Q611" s="24" t="n">
        <v>43994</v>
      </c>
      <c r="R611" s="25" t="n"/>
    </row>
    <row r="612">
      <c r="A612" s="13" t="n">
        <v>34408353</v>
      </c>
      <c r="B612" s="2">
        <f>INDEX(Tableau1[], MATCH(Tableau3[[#This Row],[REFERENCE]], Tableau1[NUMERO], 0), 2)</f>
        <v/>
      </c>
      <c r="C612">
        <f>INDEX(Tableau1[], MATCH(Tableau3[[#This Row],[REFERENCE]], Tableau1[NUMERO], 0), 3)</f>
        <v/>
      </c>
      <c r="D612">
        <f>INDEX(Tableau1[], MATCH(Tableau3[[#This Row],[REFERENCE]], Tableau1[NUMERO], 0),4)</f>
        <v/>
      </c>
      <c r="E612">
        <f>INDEX(Tableau1[], MATCH(Tableau3[[#This Row],[REFERENCE]], Tableau1[NUMERO], 0), 5)</f>
        <v/>
      </c>
      <c r="F612">
        <f>INDEX(Tableau1[], MATCH(Tableau3[[#This Row],[REFERENCE]], Tableau1[NUMERO], 0), 6)</f>
        <v/>
      </c>
      <c r="G612">
        <f>INDEX(Tableau1[], MATCH(Tableau3[[#This Row],[REFERENCE]], Tableau1[NUMERO], 0), 7)</f>
        <v/>
      </c>
      <c r="H612" t="inlineStr">
        <is>
          <t>thyssen</t>
        </is>
      </c>
      <c r="J612" s="2" t="n">
        <v>43900</v>
      </c>
      <c r="K612" s="2" t="n">
        <v>43901</v>
      </c>
      <c r="L612" s="2" t="n"/>
      <c r="M612" s="21" t="inlineStr">
        <is>
          <t>01</t>
        </is>
      </c>
      <c r="N612" s="35" t="n">
        <v>16</v>
      </c>
      <c r="O612" s="7" t="n">
        <v>9.6</v>
      </c>
      <c r="P612" s="8" t="inlineStr">
        <is>
          <t>10 à 15 jours</t>
        </is>
      </c>
      <c r="Q612" s="2" t="n">
        <v>43908</v>
      </c>
    </row>
    <row r="613">
      <c r="A613" s="13" t="n">
        <v>34408354</v>
      </c>
      <c r="B613" s="2">
        <f>INDEX(Tableau1[], MATCH(Tableau3[[#This Row],[REFERENCE]], Tableau1[NUMERO], 0), 2)</f>
        <v/>
      </c>
      <c r="C613">
        <f>INDEX(Tableau1[], MATCH(Tableau3[[#This Row],[REFERENCE]], Tableau1[NUMERO], 0), 3)</f>
        <v/>
      </c>
      <c r="D613">
        <f>INDEX(Tableau1[], MATCH(Tableau3[[#This Row],[REFERENCE]], Tableau1[NUMERO], 0),4)</f>
        <v/>
      </c>
      <c r="E613">
        <f>INDEX(Tableau1[], MATCH(Tableau3[[#This Row],[REFERENCE]], Tableau1[NUMERO], 0), 5)</f>
        <v/>
      </c>
      <c r="F613">
        <f>INDEX(Tableau1[], MATCH(Tableau3[[#This Row],[REFERENCE]], Tableau1[NUMERO], 0), 6)</f>
        <v/>
      </c>
      <c r="G613">
        <f>INDEX(Tableau1[], MATCH(Tableau3[[#This Row],[REFERENCE]], Tableau1[NUMERO], 0), 7)</f>
        <v/>
      </c>
      <c r="H613" t="inlineStr">
        <is>
          <t>thyssen</t>
        </is>
      </c>
      <c r="J613" s="2" t="n">
        <v>43900</v>
      </c>
      <c r="K613" s="2" t="n">
        <v>43901</v>
      </c>
      <c r="L613" s="2" t="n"/>
      <c r="M613" s="21" t="inlineStr">
        <is>
          <t>01</t>
        </is>
      </c>
      <c r="N613" s="35" t="n">
        <v>4</v>
      </c>
      <c r="O613" s="7" t="n">
        <v>19.2</v>
      </c>
      <c r="P613" s="8" t="inlineStr">
        <is>
          <t>10 à 15 jours</t>
        </is>
      </c>
      <c r="Q613" s="2" t="n">
        <v>43908</v>
      </c>
    </row>
    <row r="614">
      <c r="A614" s="13" t="n">
        <v>34408355</v>
      </c>
      <c r="B614" s="2">
        <f>INDEX(Tableau1[], MATCH(Tableau3[[#This Row],[REFERENCE]], Tableau1[NUMERO], 0), 2)</f>
        <v/>
      </c>
      <c r="C614">
        <f>INDEX(Tableau1[], MATCH(Tableau3[[#This Row],[REFERENCE]], Tableau1[NUMERO], 0), 3)</f>
        <v/>
      </c>
      <c r="D614">
        <f>INDEX(Tableau1[], MATCH(Tableau3[[#This Row],[REFERENCE]], Tableau1[NUMERO], 0),4)</f>
        <v/>
      </c>
      <c r="E614">
        <f>INDEX(Tableau1[], MATCH(Tableau3[[#This Row],[REFERENCE]], Tableau1[NUMERO], 0), 5)</f>
        <v/>
      </c>
      <c r="F614">
        <f>INDEX(Tableau1[], MATCH(Tableau3[[#This Row],[REFERENCE]], Tableau1[NUMERO], 0), 6)</f>
        <v/>
      </c>
      <c r="G614">
        <f>INDEX(Tableau1[], MATCH(Tableau3[[#This Row],[REFERENCE]], Tableau1[NUMERO], 0), 7)</f>
        <v/>
      </c>
      <c r="H614" t="inlineStr">
        <is>
          <t>thyssen</t>
        </is>
      </c>
      <c r="J614" s="2" t="n">
        <v>43900</v>
      </c>
      <c r="K614" s="2" t="n">
        <v>43901</v>
      </c>
      <c r="L614" s="2" t="n"/>
      <c r="M614" s="21" t="inlineStr">
        <is>
          <t>01</t>
        </is>
      </c>
      <c r="N614" s="35" t="n">
        <v>4</v>
      </c>
      <c r="O614" s="7" t="n">
        <v>24.85</v>
      </c>
      <c r="P614" s="8" t="inlineStr">
        <is>
          <t>10 à 15 jours</t>
        </is>
      </c>
      <c r="Q614" s="2" t="n">
        <v>43908</v>
      </c>
    </row>
    <row r="615">
      <c r="A615" s="13" t="n">
        <v>34408356</v>
      </c>
      <c r="B615" s="2">
        <f>INDEX(Tableau1[], MATCH(Tableau3[[#This Row],[REFERENCE]], Tableau1[NUMERO], 0), 2)</f>
        <v/>
      </c>
      <c r="C615">
        <f>INDEX(Tableau1[], MATCH(Tableau3[[#This Row],[REFERENCE]], Tableau1[NUMERO], 0), 3)</f>
        <v/>
      </c>
      <c r="D615">
        <f>INDEX(Tableau1[], MATCH(Tableau3[[#This Row],[REFERENCE]], Tableau1[NUMERO], 0),4)</f>
        <v/>
      </c>
      <c r="E615">
        <f>INDEX(Tableau1[], MATCH(Tableau3[[#This Row],[REFERENCE]], Tableau1[NUMERO], 0), 5)</f>
        <v/>
      </c>
      <c r="F615">
        <f>INDEX(Tableau1[], MATCH(Tableau3[[#This Row],[REFERENCE]], Tableau1[NUMERO], 0), 6)</f>
        <v/>
      </c>
      <c r="G615">
        <f>INDEX(Tableau1[], MATCH(Tableau3[[#This Row],[REFERENCE]], Tableau1[NUMERO], 0), 7)</f>
        <v/>
      </c>
      <c r="H615" t="inlineStr">
        <is>
          <t>thyssen</t>
        </is>
      </c>
      <c r="J615" s="2" t="n">
        <v>43900</v>
      </c>
      <c r="K615" s="2" t="n">
        <v>43901</v>
      </c>
      <c r="L615" s="2" t="n"/>
      <c r="M615" s="21" t="inlineStr">
        <is>
          <t>01</t>
        </is>
      </c>
      <c r="N615" s="35" t="n">
        <v>4</v>
      </c>
      <c r="O615" s="7" t="n">
        <v>25.8</v>
      </c>
      <c r="P615" s="8" t="inlineStr">
        <is>
          <t>10 à 15 jours</t>
        </is>
      </c>
      <c r="Q615" s="2" t="n">
        <v>43908</v>
      </c>
    </row>
    <row r="616" ht="15.75" customFormat="1" customHeight="1" s="25" thickBot="1">
      <c r="A616" s="13" t="n">
        <v>34408357</v>
      </c>
      <c r="B616" s="2">
        <f>INDEX(Tableau1[], MATCH(Tableau3[[#This Row],[REFERENCE]], Tableau1[NUMERO], 0), 2)</f>
        <v/>
      </c>
      <c r="C616">
        <f>INDEX(Tableau1[], MATCH(Tableau3[[#This Row],[REFERENCE]], Tableau1[NUMERO], 0), 3)</f>
        <v/>
      </c>
      <c r="D616">
        <f>INDEX(Tableau1[], MATCH(Tableau3[[#This Row],[REFERENCE]], Tableau1[NUMERO], 0),4)</f>
        <v/>
      </c>
      <c r="E616">
        <f>INDEX(Tableau1[], MATCH(Tableau3[[#This Row],[REFERENCE]], Tableau1[NUMERO], 0), 5)</f>
        <v/>
      </c>
      <c r="F616">
        <f>INDEX(Tableau1[], MATCH(Tableau3[[#This Row],[REFERENCE]], Tableau1[NUMERO], 0), 6)</f>
        <v/>
      </c>
      <c r="G616">
        <f>INDEX(Tableau1[], MATCH(Tableau3[[#This Row],[REFERENCE]], Tableau1[NUMERO], 0), 7)</f>
        <v/>
      </c>
      <c r="H616" t="inlineStr">
        <is>
          <t>thyssen</t>
        </is>
      </c>
      <c r="I616" s="8" t="n"/>
      <c r="J616" s="2" t="n">
        <v>43900</v>
      </c>
      <c r="K616" s="2" t="n">
        <v>43901</v>
      </c>
      <c r="L616" s="2" t="n"/>
      <c r="M616" s="21" t="inlineStr">
        <is>
          <t>01</t>
        </is>
      </c>
      <c r="N616" s="35" t="n">
        <v>4</v>
      </c>
      <c r="O616" s="7" t="n">
        <v>26.15</v>
      </c>
      <c r="P616" s="8" t="inlineStr">
        <is>
          <t>10 à 15 jours</t>
        </is>
      </c>
      <c r="Q616" s="2" t="n">
        <v>43908</v>
      </c>
    </row>
    <row r="617" ht="15.75" customFormat="1" customHeight="1" s="29" thickBot="1">
      <c r="A617" s="44" t="n">
        <v>34408380</v>
      </c>
      <c r="B617" s="24">
        <f>INDEX(Tableau1[], MATCH(Tableau3[[#This Row],[REFERENCE]], Tableau1[NUMERO], 0), 2)</f>
        <v/>
      </c>
      <c r="C617" s="25">
        <f>INDEX(Tableau1[], MATCH(Tableau3[[#This Row],[REFERENCE]], Tableau1[NUMERO], 0), 3)</f>
        <v/>
      </c>
      <c r="D617" s="25">
        <f>INDEX(Tableau1[], MATCH(Tableau3[[#This Row],[REFERENCE]], Tableau1[NUMERO], 0),4)</f>
        <v/>
      </c>
      <c r="E617" s="25">
        <f>INDEX(Tableau1[], MATCH(Tableau3[[#This Row],[REFERENCE]], Tableau1[NUMERO], 0), 5)</f>
        <v/>
      </c>
      <c r="F617" s="25">
        <f>INDEX(Tableau1[], MATCH(Tableau3[[#This Row],[REFERENCE]], Tableau1[NUMERO], 0), 6)</f>
        <v/>
      </c>
      <c r="G617" s="25">
        <f>INDEX(Tableau1[], MATCH(Tableau3[[#This Row],[REFERENCE]], Tableau1[NUMERO], 0), 7)</f>
        <v/>
      </c>
      <c r="H617" s="25" t="inlineStr">
        <is>
          <t>thyssen</t>
        </is>
      </c>
      <c r="I617" s="28" t="n"/>
      <c r="J617" s="24" t="n">
        <v>43900</v>
      </c>
      <c r="K617" s="24" t="n">
        <v>43901</v>
      </c>
      <c r="L617" s="24" t="n"/>
      <c r="M617" s="26" t="inlineStr">
        <is>
          <t>01</t>
        </is>
      </c>
      <c r="N617" s="36" t="n">
        <v>1</v>
      </c>
      <c r="O617" s="27" t="n">
        <v>53.7</v>
      </c>
      <c r="P617" s="28" t="inlineStr">
        <is>
          <t>10 à 15 jours</t>
        </is>
      </c>
      <c r="Q617" s="24" t="n">
        <v>43908</v>
      </c>
      <c r="R617" s="25" t="n"/>
    </row>
    <row r="618" ht="15.75" customHeight="1" s="142" thickBot="1">
      <c r="A618" s="33" t="n">
        <v>34408381</v>
      </c>
      <c r="B618" s="30">
        <f>INDEX(Tableau1[], MATCH(Tableau3[[#This Row],[REFERENCE]], Tableau1[NUMERO], 0), 2)</f>
        <v/>
      </c>
      <c r="C618" s="29">
        <f>INDEX(Tableau1[], MATCH(Tableau3[[#This Row],[REFERENCE]], Tableau1[NUMERO], 0), 3)</f>
        <v/>
      </c>
      <c r="D618" s="29">
        <f>INDEX(Tableau1[], MATCH(Tableau3[[#This Row],[REFERENCE]], Tableau1[NUMERO], 0),4)</f>
        <v/>
      </c>
      <c r="E618" s="29">
        <f>INDEX(Tableau1[], MATCH(Tableau3[[#This Row],[REFERENCE]], Tableau1[NUMERO], 0), 5)</f>
        <v/>
      </c>
      <c r="F618" s="29">
        <f>INDEX(Tableau1[], MATCH(Tableau3[[#This Row],[REFERENCE]], Tableau1[NUMERO], 0), 6)</f>
        <v/>
      </c>
      <c r="G618" s="29">
        <f>INDEX(Tableau1[], MATCH(Tableau3[[#This Row],[REFERENCE]], Tableau1[NUMERO], 0), 7)</f>
        <v/>
      </c>
      <c r="H618" s="29" t="inlineStr">
        <is>
          <t>lasertechnic</t>
        </is>
      </c>
      <c r="I618" s="33" t="n"/>
      <c r="J618" s="30" t="n">
        <v>43902</v>
      </c>
      <c r="K618" s="30" t="n">
        <v>43903</v>
      </c>
      <c r="L618" s="30" t="n"/>
      <c r="M618" s="31" t="inlineStr">
        <is>
          <t>01</t>
        </is>
      </c>
      <c r="N618" s="42" t="n">
        <v>1</v>
      </c>
      <c r="O618" s="32" t="n">
        <v>138</v>
      </c>
      <c r="P618" s="33" t="inlineStr">
        <is>
          <t>5 JOURS</t>
        </is>
      </c>
      <c r="Q618" s="30" t="n">
        <v>43995</v>
      </c>
      <c r="R618" s="29" t="n"/>
    </row>
    <row r="619">
      <c r="A619" s="8" t="n">
        <v>34408382</v>
      </c>
      <c r="B619" s="2">
        <f>INDEX(Tableau1[], MATCH(Tableau3[[#This Row],[REFERENCE]], Tableau1[NUMERO], 0), 2)</f>
        <v/>
      </c>
      <c r="C619">
        <f>INDEX(Tableau1[], MATCH(Tableau3[[#This Row],[REFERENCE]], Tableau1[NUMERO], 0), 3)</f>
        <v/>
      </c>
      <c r="D619">
        <f>INDEX(Tableau1[], MATCH(Tableau3[[#This Row],[REFERENCE]], Tableau1[NUMERO], 0),4)</f>
        <v/>
      </c>
      <c r="E619">
        <f>INDEX(Tableau1[], MATCH(Tableau3[[#This Row],[REFERENCE]], Tableau1[NUMERO], 0), 5)</f>
        <v/>
      </c>
      <c r="F619">
        <f>INDEX(Tableau1[], MATCH(Tableau3[[#This Row],[REFERENCE]], Tableau1[NUMERO], 0), 6)</f>
        <v/>
      </c>
      <c r="G619">
        <f>INDEX(Tableau1[], MATCH(Tableau3[[#This Row],[REFERENCE]], Tableau1[NUMERO], 0), 7)</f>
        <v/>
      </c>
      <c r="H619" t="inlineStr">
        <is>
          <t>lasertechnic</t>
        </is>
      </c>
      <c r="J619" s="2" t="n">
        <v>43903</v>
      </c>
      <c r="K619" s="2" t="n">
        <v>43903</v>
      </c>
      <c r="L619" s="2" t="n"/>
      <c r="M619" s="21" t="inlineStr">
        <is>
          <t>01</t>
        </is>
      </c>
      <c r="N619" s="35" t="n">
        <v>1</v>
      </c>
      <c r="O619" s="7" t="n">
        <v>26</v>
      </c>
      <c r="P619" s="8" t="n"/>
      <c r="Q619" s="2" t="n">
        <v>43995</v>
      </c>
    </row>
    <row r="620">
      <c r="A620" s="8" t="n">
        <v>34408383</v>
      </c>
      <c r="B620" s="2">
        <f>INDEX(Tableau1[], MATCH(Tableau3[[#This Row],[REFERENCE]], Tableau1[NUMERO], 0), 2)</f>
        <v/>
      </c>
      <c r="C620">
        <f>INDEX(Tableau1[], MATCH(Tableau3[[#This Row],[REFERENCE]], Tableau1[NUMERO], 0), 3)</f>
        <v/>
      </c>
      <c r="D620">
        <f>INDEX(Tableau1[], MATCH(Tableau3[[#This Row],[REFERENCE]], Tableau1[NUMERO], 0),4)</f>
        <v/>
      </c>
      <c r="E620">
        <f>INDEX(Tableau1[], MATCH(Tableau3[[#This Row],[REFERENCE]], Tableau1[NUMERO], 0), 5)</f>
        <v/>
      </c>
      <c r="F620">
        <f>INDEX(Tableau1[], MATCH(Tableau3[[#This Row],[REFERENCE]], Tableau1[NUMERO], 0), 6)</f>
        <v/>
      </c>
      <c r="G620">
        <f>INDEX(Tableau1[], MATCH(Tableau3[[#This Row],[REFERENCE]], Tableau1[NUMERO], 0), 7)</f>
        <v/>
      </c>
      <c r="H620" t="inlineStr">
        <is>
          <t>lasertechnic</t>
        </is>
      </c>
      <c r="J620" s="2" t="n">
        <v>43903</v>
      </c>
      <c r="K620" s="2" t="n">
        <v>43903</v>
      </c>
      <c r="L620" s="2" t="n"/>
      <c r="M620" s="21" t="inlineStr">
        <is>
          <t>01</t>
        </is>
      </c>
      <c r="N620" s="35" t="n">
        <v>1</v>
      </c>
      <c r="O620" s="7" t="n">
        <v>26</v>
      </c>
      <c r="P620" s="8" t="n"/>
      <c r="Q620" s="2" t="n">
        <v>43995</v>
      </c>
    </row>
    <row r="621" ht="15.75" customFormat="1" customHeight="1" s="25" thickBot="1">
      <c r="A621" s="8" t="n">
        <v>34408384</v>
      </c>
      <c r="B621" s="2">
        <f>INDEX(Tableau1[], MATCH(Tableau3[[#This Row],[REFERENCE]], Tableau1[NUMERO], 0), 2)</f>
        <v/>
      </c>
      <c r="C621">
        <f>INDEX(Tableau1[], MATCH(Tableau3[[#This Row],[REFERENCE]], Tableau1[NUMERO], 0), 3)</f>
        <v/>
      </c>
      <c r="D621">
        <f>INDEX(Tableau1[], MATCH(Tableau3[[#This Row],[REFERENCE]], Tableau1[NUMERO], 0),4)</f>
        <v/>
      </c>
      <c r="E621">
        <f>INDEX(Tableau1[], MATCH(Tableau3[[#This Row],[REFERENCE]], Tableau1[NUMERO], 0), 5)</f>
        <v/>
      </c>
      <c r="F621">
        <f>INDEX(Tableau1[], MATCH(Tableau3[[#This Row],[REFERENCE]], Tableau1[NUMERO], 0), 6)</f>
        <v/>
      </c>
      <c r="G621">
        <f>INDEX(Tableau1[], MATCH(Tableau3[[#This Row],[REFERENCE]], Tableau1[NUMERO], 0), 7)</f>
        <v/>
      </c>
      <c r="H621" t="inlineStr">
        <is>
          <t>lasertechnic</t>
        </is>
      </c>
      <c r="I621" s="8" t="n"/>
      <c r="J621" s="2" t="n">
        <v>43903</v>
      </c>
      <c r="K621" s="2" t="n">
        <v>43903</v>
      </c>
      <c r="L621" s="2" t="n"/>
      <c r="M621" s="21" t="inlineStr">
        <is>
          <t>01</t>
        </is>
      </c>
      <c r="N621" s="35" t="n">
        <v>1</v>
      </c>
      <c r="O621" s="7" t="n">
        <v>26</v>
      </c>
      <c r="P621" s="8" t="n"/>
      <c r="Q621" s="2" t="n">
        <v>43995</v>
      </c>
    </row>
    <row r="622" ht="15.75" customHeight="1" s="142" thickBot="1">
      <c r="A622" s="28" t="n">
        <v>34408385</v>
      </c>
      <c r="B622" s="24">
        <f>INDEX(Tableau1[], MATCH(Tableau3[[#This Row],[REFERENCE]], Tableau1[NUMERO], 0), 2)</f>
        <v/>
      </c>
      <c r="C622" s="25">
        <f>INDEX(Tableau1[], MATCH(Tableau3[[#This Row],[REFERENCE]], Tableau1[NUMERO], 0), 3)</f>
        <v/>
      </c>
      <c r="D622" s="25">
        <f>INDEX(Tableau1[], MATCH(Tableau3[[#This Row],[REFERENCE]], Tableau1[NUMERO], 0),4)</f>
        <v/>
      </c>
      <c r="E622" s="25">
        <f>INDEX(Tableau1[], MATCH(Tableau3[[#This Row],[REFERENCE]], Tableau1[NUMERO], 0), 5)</f>
        <v/>
      </c>
      <c r="F622" s="25">
        <f>INDEX(Tableau1[], MATCH(Tableau3[[#This Row],[REFERENCE]], Tableau1[NUMERO], 0), 6)</f>
        <v/>
      </c>
      <c r="G622" s="25">
        <f>INDEX(Tableau1[], MATCH(Tableau3[[#This Row],[REFERENCE]], Tableau1[NUMERO], 0), 7)</f>
        <v/>
      </c>
      <c r="H622" s="25" t="inlineStr">
        <is>
          <t>lasertechnic</t>
        </is>
      </c>
      <c r="I622" s="28" t="n"/>
      <c r="J622" s="24" t="n">
        <v>43903</v>
      </c>
      <c r="K622" s="24" t="n">
        <v>43903</v>
      </c>
      <c r="L622" s="24" t="n"/>
      <c r="M622" s="26" t="inlineStr">
        <is>
          <t>01</t>
        </is>
      </c>
      <c r="N622" s="36" t="n">
        <v>1</v>
      </c>
      <c r="O622" s="27" t="n">
        <v>26</v>
      </c>
      <c r="P622" s="28" t="n"/>
      <c r="Q622" s="24" t="n">
        <v>43995</v>
      </c>
      <c r="R622" s="25" t="n"/>
    </row>
    <row r="623" ht="15.75" customFormat="1" customHeight="1" s="25" thickBot="1">
      <c r="A623" s="8" t="n">
        <v>34408382</v>
      </c>
      <c r="B623" s="2">
        <f>INDEX(Tableau1[], MATCH(Tableau3[[#This Row],[REFERENCE]], Tableau1[NUMERO], 0), 2)</f>
        <v/>
      </c>
      <c r="C623">
        <f>INDEX(Tableau1[], MATCH(Tableau3[[#This Row],[REFERENCE]], Tableau1[NUMERO], 0), 3)</f>
        <v/>
      </c>
      <c r="D623">
        <f>INDEX(Tableau1[], MATCH(Tableau3[[#This Row],[REFERENCE]], Tableau1[NUMERO], 0),4)</f>
        <v/>
      </c>
      <c r="E623">
        <f>INDEX(Tableau1[], MATCH(Tableau3[[#This Row],[REFERENCE]], Tableau1[NUMERO], 0), 5)</f>
        <v/>
      </c>
      <c r="F623">
        <f>INDEX(Tableau1[], MATCH(Tableau3[[#This Row],[REFERENCE]], Tableau1[NUMERO], 0), 6)</f>
        <v/>
      </c>
      <c r="G623">
        <f>INDEX(Tableau1[], MATCH(Tableau3[[#This Row],[REFERENCE]], Tableau1[NUMERO], 0), 7)</f>
        <v/>
      </c>
      <c r="H623" t="inlineStr">
        <is>
          <t>lasertechnic</t>
        </is>
      </c>
      <c r="I623" s="8" t="n"/>
      <c r="J623" s="2" t="n">
        <v>43903</v>
      </c>
      <c r="K623" s="2" t="n">
        <v>43903</v>
      </c>
      <c r="L623" s="2" t="n"/>
      <c r="M623" s="21" t="inlineStr">
        <is>
          <t>01</t>
        </is>
      </c>
      <c r="N623" s="35" t="n">
        <v>10</v>
      </c>
      <c r="O623" s="7" t="n">
        <v>20</v>
      </c>
      <c r="P623" s="8" t="n"/>
      <c r="Q623" s="2" t="n">
        <v>43995</v>
      </c>
    </row>
    <row r="624" ht="15.75" customHeight="1" s="142" thickBot="1">
      <c r="A624" s="28" t="n">
        <v>34408383</v>
      </c>
      <c r="B624" s="24">
        <f>INDEX(Tableau1[], MATCH(Tableau3[[#This Row],[REFERENCE]], Tableau1[NUMERO], 0), 2)</f>
        <v/>
      </c>
      <c r="C624" s="25">
        <f>INDEX(Tableau1[], MATCH(Tableau3[[#This Row],[REFERENCE]], Tableau1[NUMERO], 0), 3)</f>
        <v/>
      </c>
      <c r="D624" s="25">
        <f>INDEX(Tableau1[], MATCH(Tableau3[[#This Row],[REFERENCE]], Tableau1[NUMERO], 0),4)</f>
        <v/>
      </c>
      <c r="E624" s="25">
        <f>INDEX(Tableau1[], MATCH(Tableau3[[#This Row],[REFERENCE]], Tableau1[NUMERO], 0), 5)</f>
        <v/>
      </c>
      <c r="F624" s="25">
        <f>INDEX(Tableau1[], MATCH(Tableau3[[#This Row],[REFERENCE]], Tableau1[NUMERO], 0), 6)</f>
        <v/>
      </c>
      <c r="G624" s="25">
        <f>INDEX(Tableau1[], MATCH(Tableau3[[#This Row],[REFERENCE]], Tableau1[NUMERO], 0), 7)</f>
        <v/>
      </c>
      <c r="H624" s="25" t="inlineStr">
        <is>
          <t>lasertechnic</t>
        </is>
      </c>
      <c r="I624" s="28" t="n"/>
      <c r="J624" s="24" t="n">
        <v>43903</v>
      </c>
      <c r="K624" s="24" t="n">
        <v>43903</v>
      </c>
      <c r="L624" s="24" t="n"/>
      <c r="M624" s="26" t="inlineStr">
        <is>
          <t>01</t>
        </is>
      </c>
      <c r="N624" s="36" t="n">
        <v>10</v>
      </c>
      <c r="O624" s="27" t="n">
        <v>20</v>
      </c>
      <c r="P624" s="28" t="n"/>
      <c r="Q624" s="24" t="n">
        <v>43995</v>
      </c>
      <c r="R624" s="25" t="n"/>
    </row>
    <row r="625" ht="15.75" customFormat="1" customHeight="1" s="25" thickBot="1">
      <c r="A625" s="8" t="n">
        <v>34408384</v>
      </c>
      <c r="B625" s="2">
        <f>INDEX(Tableau1[], MATCH(Tableau3[[#This Row],[REFERENCE]], Tableau1[NUMERO], 0), 2)</f>
        <v/>
      </c>
      <c r="C625">
        <f>INDEX(Tableau1[], MATCH(Tableau3[[#This Row],[REFERENCE]], Tableau1[NUMERO], 0), 3)</f>
        <v/>
      </c>
      <c r="D625">
        <f>INDEX(Tableau1[], MATCH(Tableau3[[#This Row],[REFERENCE]], Tableau1[NUMERO], 0),4)</f>
        <v/>
      </c>
      <c r="E625">
        <f>INDEX(Tableau1[], MATCH(Tableau3[[#This Row],[REFERENCE]], Tableau1[NUMERO], 0), 5)</f>
        <v/>
      </c>
      <c r="F625">
        <f>INDEX(Tableau1[], MATCH(Tableau3[[#This Row],[REFERENCE]], Tableau1[NUMERO], 0), 6)</f>
        <v/>
      </c>
      <c r="G625">
        <f>INDEX(Tableau1[], MATCH(Tableau3[[#This Row],[REFERENCE]], Tableau1[NUMERO], 0), 7)</f>
        <v/>
      </c>
      <c r="H625" t="inlineStr">
        <is>
          <t>lasertechnic</t>
        </is>
      </c>
      <c r="I625" s="8" t="n"/>
      <c r="J625" s="2" t="n">
        <v>43903</v>
      </c>
      <c r="K625" s="2" t="n">
        <v>43903</v>
      </c>
      <c r="L625" s="2" t="n"/>
      <c r="M625" s="21" t="inlineStr">
        <is>
          <t>01</t>
        </is>
      </c>
      <c r="N625" s="35" t="n">
        <v>20</v>
      </c>
      <c r="O625" s="7" t="n">
        <v>18</v>
      </c>
      <c r="P625" s="8" t="n"/>
      <c r="Q625" s="2" t="n">
        <v>43995</v>
      </c>
    </row>
    <row r="626" ht="15.75" customHeight="1" s="142" thickBot="1">
      <c r="A626" s="28" t="n">
        <v>34408385</v>
      </c>
      <c r="B626" s="24">
        <f>INDEX(Tableau1[], MATCH(Tableau3[[#This Row],[REFERENCE]], Tableau1[NUMERO], 0), 2)</f>
        <v/>
      </c>
      <c r="C626" s="25">
        <f>INDEX(Tableau1[], MATCH(Tableau3[[#This Row],[REFERENCE]], Tableau1[NUMERO], 0), 3)</f>
        <v/>
      </c>
      <c r="D626" s="25">
        <f>INDEX(Tableau1[], MATCH(Tableau3[[#This Row],[REFERENCE]], Tableau1[NUMERO], 0),4)</f>
        <v/>
      </c>
      <c r="E626" s="25">
        <f>INDEX(Tableau1[], MATCH(Tableau3[[#This Row],[REFERENCE]], Tableau1[NUMERO], 0), 5)</f>
        <v/>
      </c>
      <c r="F626" s="25">
        <f>INDEX(Tableau1[], MATCH(Tableau3[[#This Row],[REFERENCE]], Tableau1[NUMERO], 0), 6)</f>
        <v/>
      </c>
      <c r="G626" s="25">
        <f>INDEX(Tableau1[], MATCH(Tableau3[[#This Row],[REFERENCE]], Tableau1[NUMERO], 0), 7)</f>
        <v/>
      </c>
      <c r="H626" s="25" t="inlineStr">
        <is>
          <t>lasertechnic</t>
        </is>
      </c>
      <c r="I626" s="28" t="n"/>
      <c r="J626" s="24" t="n">
        <v>43903</v>
      </c>
      <c r="K626" s="24" t="n">
        <v>43903</v>
      </c>
      <c r="L626" s="24" t="n"/>
      <c r="M626" s="26" t="inlineStr">
        <is>
          <t>01</t>
        </is>
      </c>
      <c r="N626" s="36" t="n">
        <v>20</v>
      </c>
      <c r="O626" s="27" t="n">
        <v>18</v>
      </c>
      <c r="P626" s="28" t="n"/>
      <c r="Q626" s="24" t="n">
        <v>43995</v>
      </c>
      <c r="R626" s="25" t="n"/>
    </row>
    <row r="627">
      <c r="A627" s="13" t="n">
        <v>34408366</v>
      </c>
      <c r="B627" s="2">
        <f>INDEX(Tableau1[], MATCH(Tableau3[[#This Row],[REFERENCE]], Tableau1[NUMERO], 0), 2)</f>
        <v/>
      </c>
      <c r="C627">
        <f>INDEX(Tableau1[], MATCH(Tableau3[[#This Row],[REFERENCE]], Tableau1[NUMERO], 0), 3)</f>
        <v/>
      </c>
      <c r="D627">
        <f>INDEX(Tableau1[], MATCH(Tableau3[[#This Row],[REFERENCE]], Tableau1[NUMERO], 0),4)</f>
        <v/>
      </c>
      <c r="E627">
        <f>INDEX(Tableau1[], MATCH(Tableau3[[#This Row],[REFERENCE]], Tableau1[NUMERO], 0), 5)</f>
        <v/>
      </c>
      <c r="F627">
        <f>INDEX(Tableau1[], MATCH(Tableau3[[#This Row],[REFERENCE]], Tableau1[NUMERO], 0), 6)</f>
        <v/>
      </c>
      <c r="G627">
        <f>INDEX(Tableau1[], MATCH(Tableau3[[#This Row],[REFERENCE]], Tableau1[NUMERO], 0), 7)</f>
        <v/>
      </c>
      <c r="H627" t="inlineStr">
        <is>
          <t>TCS tolerie</t>
        </is>
      </c>
      <c r="J627" s="2" t="n">
        <v>43903</v>
      </c>
      <c r="K627" s="2" t="n">
        <v>43906</v>
      </c>
      <c r="L627" s="2" t="n"/>
      <c r="M627" s="21" t="inlineStr">
        <is>
          <t>01</t>
        </is>
      </c>
      <c r="N627" s="35" t="n">
        <v>1</v>
      </c>
      <c r="O627" s="7" t="n">
        <v>125</v>
      </c>
      <c r="P627" s="8" t="inlineStr">
        <is>
          <t>1 semaine</t>
        </is>
      </c>
      <c r="Q627" s="2" t="n">
        <v>44012</v>
      </c>
    </row>
    <row r="628">
      <c r="A628" s="13" t="n">
        <v>34408350</v>
      </c>
      <c r="B628" s="2">
        <f>INDEX(Tableau1[], MATCH(Tableau3[[#This Row],[REFERENCE]], Tableau1[NUMERO], 0), 2)</f>
        <v/>
      </c>
      <c r="C628">
        <f>INDEX(Tableau1[], MATCH(Tableau3[[#This Row],[REFERENCE]], Tableau1[NUMERO], 0), 3)</f>
        <v/>
      </c>
      <c r="D628">
        <f>INDEX(Tableau1[], MATCH(Tableau3[[#This Row],[REFERENCE]], Tableau1[NUMERO], 0),4)</f>
        <v/>
      </c>
      <c r="E628">
        <f>INDEX(Tableau1[], MATCH(Tableau3[[#This Row],[REFERENCE]], Tableau1[NUMERO], 0), 5)</f>
        <v/>
      </c>
      <c r="F628">
        <f>INDEX(Tableau1[], MATCH(Tableau3[[#This Row],[REFERENCE]], Tableau1[NUMERO], 0), 6)</f>
        <v/>
      </c>
      <c r="G628">
        <f>INDEX(Tableau1[], MATCH(Tableau3[[#This Row],[REFERENCE]], Tableau1[NUMERO], 0), 7)</f>
        <v/>
      </c>
      <c r="H628" t="inlineStr">
        <is>
          <t>TCS tolerie</t>
        </is>
      </c>
      <c r="J628" s="2" t="n">
        <v>43903</v>
      </c>
      <c r="K628" s="2" t="n">
        <v>43906</v>
      </c>
      <c r="L628" s="2" t="n"/>
      <c r="M628" s="21" t="inlineStr">
        <is>
          <t>01</t>
        </is>
      </c>
      <c r="N628" s="35" t="n">
        <v>2</v>
      </c>
      <c r="O628" s="7" t="n">
        <v>29</v>
      </c>
      <c r="P628" s="8" t="inlineStr">
        <is>
          <t>1 semaine</t>
        </is>
      </c>
      <c r="Q628" s="2" t="n">
        <v>44012</v>
      </c>
    </row>
    <row r="629">
      <c r="A629" s="13" t="n">
        <v>34408352</v>
      </c>
      <c r="B629" s="2">
        <f>INDEX(Tableau1[], MATCH(Tableau3[[#This Row],[REFERENCE]], Tableau1[NUMERO], 0), 2)</f>
        <v/>
      </c>
      <c r="C629">
        <f>INDEX(Tableau1[], MATCH(Tableau3[[#This Row],[REFERENCE]], Tableau1[NUMERO], 0), 3)</f>
        <v/>
      </c>
      <c r="D629">
        <f>INDEX(Tableau1[], MATCH(Tableau3[[#This Row],[REFERENCE]], Tableau1[NUMERO], 0),4)</f>
        <v/>
      </c>
      <c r="E629">
        <f>INDEX(Tableau1[], MATCH(Tableau3[[#This Row],[REFERENCE]], Tableau1[NUMERO], 0), 5)</f>
        <v/>
      </c>
      <c r="F629">
        <f>INDEX(Tableau1[], MATCH(Tableau3[[#This Row],[REFERENCE]], Tableau1[NUMERO], 0), 6)</f>
        <v/>
      </c>
      <c r="G629">
        <f>INDEX(Tableau1[], MATCH(Tableau3[[#This Row],[REFERENCE]], Tableau1[NUMERO], 0), 7)</f>
        <v/>
      </c>
      <c r="H629" t="inlineStr">
        <is>
          <t>TCS tolerie</t>
        </is>
      </c>
      <c r="J629" s="2" t="n">
        <v>43903</v>
      </c>
      <c r="K629" s="2" t="n">
        <v>43906</v>
      </c>
      <c r="L629" s="2" t="n"/>
      <c r="M629" s="21" t="inlineStr">
        <is>
          <t>01</t>
        </is>
      </c>
      <c r="N629" s="35" t="n">
        <v>3</v>
      </c>
      <c r="O629" s="7" t="n">
        <v>31</v>
      </c>
      <c r="P629" s="8" t="inlineStr">
        <is>
          <t>1 semaine</t>
        </is>
      </c>
      <c r="Q629" s="2" t="n">
        <v>44012</v>
      </c>
    </row>
    <row r="630">
      <c r="A630" s="13" t="n">
        <v>34408379</v>
      </c>
      <c r="B630" s="2">
        <f>INDEX(Tableau1[], MATCH(Tableau3[[#This Row],[REFERENCE]], Tableau1[NUMERO], 0), 2)</f>
        <v/>
      </c>
      <c r="C630">
        <f>INDEX(Tableau1[], MATCH(Tableau3[[#This Row],[REFERENCE]], Tableau1[NUMERO], 0), 3)</f>
        <v/>
      </c>
      <c r="D630">
        <f>INDEX(Tableau1[], MATCH(Tableau3[[#This Row],[REFERENCE]], Tableau1[NUMERO], 0),4)</f>
        <v/>
      </c>
      <c r="E630">
        <f>INDEX(Tableau1[], MATCH(Tableau3[[#This Row],[REFERENCE]], Tableau1[NUMERO], 0), 5)</f>
        <v/>
      </c>
      <c r="F630">
        <f>INDEX(Tableau1[], MATCH(Tableau3[[#This Row],[REFERENCE]], Tableau1[NUMERO], 0), 6)</f>
        <v/>
      </c>
      <c r="G630">
        <f>INDEX(Tableau1[], MATCH(Tableau3[[#This Row],[REFERENCE]], Tableau1[NUMERO], 0), 7)</f>
        <v/>
      </c>
      <c r="H630" t="inlineStr">
        <is>
          <t>TCS tolerie</t>
        </is>
      </c>
      <c r="J630" s="2" t="n">
        <v>43903</v>
      </c>
      <c r="K630" s="2" t="n">
        <v>43906</v>
      </c>
      <c r="L630" s="2" t="n"/>
      <c r="M630" s="21" t="inlineStr">
        <is>
          <t>01</t>
        </is>
      </c>
      <c r="N630" s="35" t="n">
        <v>2</v>
      </c>
      <c r="O630" s="7" t="n">
        <v>33</v>
      </c>
      <c r="P630" s="8" t="inlineStr">
        <is>
          <t>1 semaine</t>
        </is>
      </c>
      <c r="Q630" s="2" t="n">
        <v>44012</v>
      </c>
    </row>
    <row r="631">
      <c r="A631" s="13" t="n">
        <v>34408359</v>
      </c>
      <c r="B631" s="2">
        <f>INDEX(Tableau1[], MATCH(Tableau3[[#This Row],[REFERENCE]], Tableau1[NUMERO], 0), 2)</f>
        <v/>
      </c>
      <c r="C631">
        <f>INDEX(Tableau1[], MATCH(Tableau3[[#This Row],[REFERENCE]], Tableau1[NUMERO], 0), 3)</f>
        <v/>
      </c>
      <c r="D631">
        <f>INDEX(Tableau1[], MATCH(Tableau3[[#This Row],[REFERENCE]], Tableau1[NUMERO], 0),4)</f>
        <v/>
      </c>
      <c r="E631">
        <f>INDEX(Tableau1[], MATCH(Tableau3[[#This Row],[REFERENCE]], Tableau1[NUMERO], 0), 5)</f>
        <v/>
      </c>
      <c r="F631">
        <f>INDEX(Tableau1[], MATCH(Tableau3[[#This Row],[REFERENCE]], Tableau1[NUMERO], 0), 6)</f>
        <v/>
      </c>
      <c r="G631">
        <f>INDEX(Tableau1[], MATCH(Tableau3[[#This Row],[REFERENCE]], Tableau1[NUMERO], 0), 7)</f>
        <v/>
      </c>
      <c r="H631" t="inlineStr">
        <is>
          <t>TCS tolerie</t>
        </is>
      </c>
      <c r="J631" s="2" t="n">
        <v>43903</v>
      </c>
      <c r="K631" s="2" t="n">
        <v>43906</v>
      </c>
      <c r="L631" s="2" t="n"/>
      <c r="M631" s="21" t="inlineStr">
        <is>
          <t>01</t>
        </is>
      </c>
      <c r="N631" s="35" t="n">
        <v>1</v>
      </c>
      <c r="O631" s="7" t="n">
        <v>62</v>
      </c>
      <c r="P631" s="8" t="inlineStr">
        <is>
          <t>1 semaine</t>
        </is>
      </c>
      <c r="Q631" s="2" t="n">
        <v>44012</v>
      </c>
    </row>
    <row r="632">
      <c r="A632" s="13" t="n">
        <v>34408361</v>
      </c>
      <c r="B632" s="2">
        <f>INDEX(Tableau1[], MATCH(Tableau3[[#This Row],[REFERENCE]], Tableau1[NUMERO], 0), 2)</f>
        <v/>
      </c>
      <c r="C632">
        <f>INDEX(Tableau1[], MATCH(Tableau3[[#This Row],[REFERENCE]], Tableau1[NUMERO], 0), 3)</f>
        <v/>
      </c>
      <c r="D632">
        <f>INDEX(Tableau1[], MATCH(Tableau3[[#This Row],[REFERENCE]], Tableau1[NUMERO], 0),4)</f>
        <v/>
      </c>
      <c r="E632">
        <f>INDEX(Tableau1[], MATCH(Tableau3[[#This Row],[REFERENCE]], Tableau1[NUMERO], 0), 5)</f>
        <v/>
      </c>
      <c r="F632">
        <f>INDEX(Tableau1[], MATCH(Tableau3[[#This Row],[REFERENCE]], Tableau1[NUMERO], 0), 6)</f>
        <v/>
      </c>
      <c r="G632">
        <f>INDEX(Tableau1[], MATCH(Tableau3[[#This Row],[REFERENCE]], Tableau1[NUMERO], 0), 7)</f>
        <v/>
      </c>
      <c r="H632" t="inlineStr">
        <is>
          <t>TCS tolerie</t>
        </is>
      </c>
      <c r="J632" s="2" t="n">
        <v>43903</v>
      </c>
      <c r="K632" s="2" t="n">
        <v>43906</v>
      </c>
      <c r="L632" s="2" t="n"/>
      <c r="M632" s="21" t="inlineStr">
        <is>
          <t>01</t>
        </is>
      </c>
      <c r="N632" s="35" t="n">
        <v>2</v>
      </c>
      <c r="O632" s="7" t="n">
        <v>29.8</v>
      </c>
      <c r="P632" s="8" t="inlineStr">
        <is>
          <t>1 semaine</t>
        </is>
      </c>
      <c r="Q632" s="2" t="n">
        <v>44012</v>
      </c>
    </row>
    <row r="633">
      <c r="A633" s="13" t="n">
        <v>34403305</v>
      </c>
      <c r="B633" s="2">
        <f>INDEX(Tableau1[], MATCH(Tableau3[[#This Row],[REFERENCE]], Tableau1[NUMERO], 0), 2)</f>
        <v/>
      </c>
      <c r="C633">
        <f>INDEX(Tableau1[], MATCH(Tableau3[[#This Row],[REFERENCE]], Tableau1[NUMERO], 0), 3)</f>
        <v/>
      </c>
      <c r="D633">
        <f>INDEX(Tableau1[], MATCH(Tableau3[[#This Row],[REFERENCE]], Tableau1[NUMERO], 0),4)</f>
        <v/>
      </c>
      <c r="E633">
        <f>INDEX(Tableau1[], MATCH(Tableau3[[#This Row],[REFERENCE]], Tableau1[NUMERO], 0), 5)</f>
        <v/>
      </c>
      <c r="F633">
        <f>INDEX(Tableau1[], MATCH(Tableau3[[#This Row],[REFERENCE]], Tableau1[NUMERO], 0), 6)</f>
        <v/>
      </c>
      <c r="G633">
        <f>INDEX(Tableau1[], MATCH(Tableau3[[#This Row],[REFERENCE]], Tableau1[NUMERO], 0), 7)</f>
        <v/>
      </c>
      <c r="H633" t="inlineStr">
        <is>
          <t>TCS tolerie</t>
        </is>
      </c>
      <c r="J633" s="2" t="n">
        <v>43903</v>
      </c>
      <c r="K633" s="2" t="n">
        <v>43906</v>
      </c>
      <c r="L633" s="2" t="n"/>
      <c r="M633" s="21" t="inlineStr">
        <is>
          <t>AA</t>
        </is>
      </c>
      <c r="N633" s="35" t="n">
        <v>2</v>
      </c>
      <c r="O633" s="7" t="n">
        <v>28.5</v>
      </c>
      <c r="P633" s="8" t="inlineStr">
        <is>
          <t>1 semaine</t>
        </is>
      </c>
      <c r="Q633" s="2" t="n">
        <v>44012</v>
      </c>
    </row>
    <row r="634">
      <c r="A634" s="13" t="n">
        <v>34403304</v>
      </c>
      <c r="B634" s="2">
        <f>INDEX(Tableau1[], MATCH(Tableau3[[#This Row],[REFERENCE]], Tableau1[NUMERO], 0), 2)</f>
        <v/>
      </c>
      <c r="C634">
        <f>INDEX(Tableau1[], MATCH(Tableau3[[#This Row],[REFERENCE]], Tableau1[NUMERO], 0), 3)</f>
        <v/>
      </c>
      <c r="D634">
        <f>INDEX(Tableau1[], MATCH(Tableau3[[#This Row],[REFERENCE]], Tableau1[NUMERO], 0),4)</f>
        <v/>
      </c>
      <c r="E634">
        <f>INDEX(Tableau1[], MATCH(Tableau3[[#This Row],[REFERENCE]], Tableau1[NUMERO], 0), 5)</f>
        <v/>
      </c>
      <c r="F634">
        <f>INDEX(Tableau1[], MATCH(Tableau3[[#This Row],[REFERENCE]], Tableau1[NUMERO], 0), 6)</f>
        <v/>
      </c>
      <c r="G634">
        <f>INDEX(Tableau1[], MATCH(Tableau3[[#This Row],[REFERENCE]], Tableau1[NUMERO], 0), 7)</f>
        <v/>
      </c>
      <c r="H634" t="inlineStr">
        <is>
          <t>TCS tolerie</t>
        </is>
      </c>
      <c r="J634" s="2" t="n">
        <v>43903</v>
      </c>
      <c r="K634" s="2" t="n">
        <v>43906</v>
      </c>
      <c r="L634" s="2" t="n"/>
      <c r="M634" s="21" t="inlineStr">
        <is>
          <t>02</t>
        </is>
      </c>
      <c r="N634" s="35" t="n">
        <v>2</v>
      </c>
      <c r="O634" s="7" t="n">
        <v>54</v>
      </c>
      <c r="P634" s="8" t="inlineStr">
        <is>
          <t>1 semaine</t>
        </is>
      </c>
      <c r="Q634" s="2" t="n">
        <v>44012</v>
      </c>
    </row>
    <row r="635">
      <c r="A635" s="13" t="n">
        <v>34408371</v>
      </c>
      <c r="B635" s="2">
        <f>INDEX(Tableau1[], MATCH(Tableau3[[#This Row],[REFERENCE]], Tableau1[NUMERO], 0), 2)</f>
        <v/>
      </c>
      <c r="C635">
        <f>INDEX(Tableau1[], MATCH(Tableau3[[#This Row],[REFERENCE]], Tableau1[NUMERO], 0), 3)</f>
        <v/>
      </c>
      <c r="D635">
        <f>INDEX(Tableau1[], MATCH(Tableau3[[#This Row],[REFERENCE]], Tableau1[NUMERO], 0),4)</f>
        <v/>
      </c>
      <c r="E635">
        <f>INDEX(Tableau1[], MATCH(Tableau3[[#This Row],[REFERENCE]], Tableau1[NUMERO], 0), 5)</f>
        <v/>
      </c>
      <c r="F635">
        <f>INDEX(Tableau1[], MATCH(Tableau3[[#This Row],[REFERENCE]], Tableau1[NUMERO], 0), 6)</f>
        <v/>
      </c>
      <c r="G635">
        <f>INDEX(Tableau1[], MATCH(Tableau3[[#This Row],[REFERENCE]], Tableau1[NUMERO], 0), 7)</f>
        <v/>
      </c>
      <c r="H635" t="inlineStr">
        <is>
          <t>TCS tolerie</t>
        </is>
      </c>
      <c r="J635" s="2" t="n">
        <v>43903</v>
      </c>
      <c r="K635" s="2" t="n">
        <v>43906</v>
      </c>
      <c r="L635" s="2" t="n"/>
      <c r="M635" s="21" t="inlineStr">
        <is>
          <t>01</t>
        </is>
      </c>
      <c r="N635" s="35" t="n">
        <v>1</v>
      </c>
      <c r="O635" s="7" t="n">
        <v>63</v>
      </c>
      <c r="P635" s="8" t="inlineStr">
        <is>
          <t>1 semaine</t>
        </is>
      </c>
      <c r="Q635" s="2" t="n">
        <v>44012</v>
      </c>
    </row>
    <row r="636">
      <c r="A636" s="13" t="n">
        <v>34408377</v>
      </c>
      <c r="B636" s="2">
        <f>INDEX(Tableau1[], MATCH(Tableau3[[#This Row],[REFERENCE]], Tableau1[NUMERO], 0), 2)</f>
        <v/>
      </c>
      <c r="C636">
        <f>INDEX(Tableau1[], MATCH(Tableau3[[#This Row],[REFERENCE]], Tableau1[NUMERO], 0), 3)</f>
        <v/>
      </c>
      <c r="D636">
        <f>INDEX(Tableau1[], MATCH(Tableau3[[#This Row],[REFERENCE]], Tableau1[NUMERO], 0),4)</f>
        <v/>
      </c>
      <c r="E636">
        <f>INDEX(Tableau1[], MATCH(Tableau3[[#This Row],[REFERENCE]], Tableau1[NUMERO], 0), 5)</f>
        <v/>
      </c>
      <c r="F636">
        <f>INDEX(Tableau1[], MATCH(Tableau3[[#This Row],[REFERENCE]], Tableau1[NUMERO], 0), 6)</f>
        <v/>
      </c>
      <c r="G636">
        <f>INDEX(Tableau1[], MATCH(Tableau3[[#This Row],[REFERENCE]], Tableau1[NUMERO], 0), 7)</f>
        <v/>
      </c>
      <c r="H636" t="inlineStr">
        <is>
          <t>TCS tolerie</t>
        </is>
      </c>
      <c r="J636" s="2" t="n">
        <v>43903</v>
      </c>
      <c r="K636" s="2" t="n">
        <v>43906</v>
      </c>
      <c r="L636" s="2" t="n"/>
      <c r="M636" s="21" t="inlineStr">
        <is>
          <t>01</t>
        </is>
      </c>
      <c r="N636" s="35" t="n">
        <v>1</v>
      </c>
      <c r="O636" s="7" t="n">
        <v>63</v>
      </c>
      <c r="P636" s="8" t="inlineStr">
        <is>
          <t>1 semaine</t>
        </is>
      </c>
      <c r="Q636" s="2" t="n">
        <v>44012</v>
      </c>
    </row>
    <row r="637" ht="15.75" customFormat="1" customHeight="1" s="25" thickBot="1">
      <c r="A637" s="13" t="n">
        <v>34408372</v>
      </c>
      <c r="B637" s="2">
        <f>INDEX(Tableau1[], MATCH(Tableau3[[#This Row],[REFERENCE]], Tableau1[NUMERO], 0), 2)</f>
        <v/>
      </c>
      <c r="C637">
        <f>INDEX(Tableau1[], MATCH(Tableau3[[#This Row],[REFERENCE]], Tableau1[NUMERO], 0), 3)</f>
        <v/>
      </c>
      <c r="D637">
        <f>INDEX(Tableau1[], MATCH(Tableau3[[#This Row],[REFERENCE]], Tableau1[NUMERO], 0),4)</f>
        <v/>
      </c>
      <c r="E637">
        <f>INDEX(Tableau1[], MATCH(Tableau3[[#This Row],[REFERENCE]], Tableau1[NUMERO], 0), 5)</f>
        <v/>
      </c>
      <c r="F637">
        <f>INDEX(Tableau1[], MATCH(Tableau3[[#This Row],[REFERENCE]], Tableau1[NUMERO], 0), 6)</f>
        <v/>
      </c>
      <c r="G637">
        <f>INDEX(Tableau1[], MATCH(Tableau3[[#This Row],[REFERENCE]], Tableau1[NUMERO], 0), 7)</f>
        <v/>
      </c>
      <c r="H637" t="inlineStr">
        <is>
          <t>TCS tolerie</t>
        </is>
      </c>
      <c r="I637" s="8" t="n"/>
      <c r="J637" s="2" t="n">
        <v>43903</v>
      </c>
      <c r="K637" s="2" t="n">
        <v>43906</v>
      </c>
      <c r="L637" s="2" t="n"/>
      <c r="M637" s="21" t="inlineStr">
        <is>
          <t>01</t>
        </is>
      </c>
      <c r="N637" s="35" t="n">
        <v>1</v>
      </c>
      <c r="O637" s="7" t="n">
        <v>72</v>
      </c>
      <c r="P637" s="8" t="inlineStr">
        <is>
          <t>1 semaine</t>
        </is>
      </c>
      <c r="Q637" s="2" t="n">
        <v>44012</v>
      </c>
    </row>
    <row r="638" ht="15.75" customHeight="1" s="142" thickBot="1">
      <c r="A638" s="44" t="n">
        <v>34408364</v>
      </c>
      <c r="B638" s="24">
        <f>INDEX(Tableau1[], MATCH(Tableau3[[#This Row],[REFERENCE]], Tableau1[NUMERO], 0), 2)</f>
        <v/>
      </c>
      <c r="C638" s="25">
        <f>INDEX(Tableau1[], MATCH(Tableau3[[#This Row],[REFERENCE]], Tableau1[NUMERO], 0), 3)</f>
        <v/>
      </c>
      <c r="D638" s="25">
        <f>INDEX(Tableau1[], MATCH(Tableau3[[#This Row],[REFERENCE]], Tableau1[NUMERO], 0),4)</f>
        <v/>
      </c>
      <c r="E638" s="25">
        <f>INDEX(Tableau1[], MATCH(Tableau3[[#This Row],[REFERENCE]], Tableau1[NUMERO], 0), 5)</f>
        <v/>
      </c>
      <c r="F638" s="25">
        <f>INDEX(Tableau1[], MATCH(Tableau3[[#This Row],[REFERENCE]], Tableau1[NUMERO], 0), 6)</f>
        <v/>
      </c>
      <c r="G638" s="25">
        <f>INDEX(Tableau1[], MATCH(Tableau3[[#This Row],[REFERENCE]], Tableau1[NUMERO], 0), 7)</f>
        <v/>
      </c>
      <c r="H638" s="25" t="inlineStr">
        <is>
          <t>TCS tolerie</t>
        </is>
      </c>
      <c r="I638" s="28" t="n"/>
      <c r="J638" s="24" t="n">
        <v>43903</v>
      </c>
      <c r="K638" s="24" t="n">
        <v>43906</v>
      </c>
      <c r="L638" s="24" t="n"/>
      <c r="M638" s="26" t="inlineStr">
        <is>
          <t>01</t>
        </is>
      </c>
      <c r="N638" s="36" t="n">
        <v>4</v>
      </c>
      <c r="O638" s="27" t="n">
        <v>19.2</v>
      </c>
      <c r="P638" s="28" t="inlineStr">
        <is>
          <t>1 semaine</t>
        </is>
      </c>
      <c r="Q638" s="24" t="n">
        <v>44012</v>
      </c>
      <c r="R638" s="25" t="n"/>
    </row>
    <row r="639">
      <c r="A639" s="8" t="n">
        <v>34408382</v>
      </c>
      <c r="B639" s="2">
        <f>INDEX(Tableau1[], MATCH(Tableau3[[#This Row],[REFERENCE]], Tableau1[NUMERO], 0), 2)</f>
        <v/>
      </c>
      <c r="C639">
        <f>INDEX(Tableau1[], MATCH(Tableau3[[#This Row],[REFERENCE]], Tableau1[NUMERO], 0), 3)</f>
        <v/>
      </c>
      <c r="D639">
        <f>INDEX(Tableau1[], MATCH(Tableau3[[#This Row],[REFERENCE]], Tableau1[NUMERO], 0),4)</f>
        <v/>
      </c>
      <c r="E639">
        <f>INDEX(Tableau1[], MATCH(Tableau3[[#This Row],[REFERENCE]], Tableau1[NUMERO], 0), 5)</f>
        <v/>
      </c>
      <c r="F639">
        <f>INDEX(Tableau1[], MATCH(Tableau3[[#This Row],[REFERENCE]], Tableau1[NUMERO], 0), 6)</f>
        <v/>
      </c>
      <c r="G639">
        <f>INDEX(Tableau1[], MATCH(Tableau3[[#This Row],[REFERENCE]], Tableau1[NUMERO], 0), 7)</f>
        <v/>
      </c>
      <c r="H639" t="inlineStr">
        <is>
          <t>Paillet</t>
        </is>
      </c>
      <c r="J639" s="2" t="n">
        <v>43906</v>
      </c>
      <c r="K639" s="2" t="n">
        <v>43906</v>
      </c>
      <c r="L639" s="2" t="n"/>
      <c r="M639" s="21" t="inlineStr">
        <is>
          <t>01</t>
        </is>
      </c>
      <c r="N639" s="35" t="n">
        <v>1</v>
      </c>
      <c r="O639" s="7" t="n">
        <v>81.15000000000001</v>
      </c>
      <c r="P639" s="8" t="inlineStr">
        <is>
          <t>15 JOURS</t>
        </is>
      </c>
      <c r="Q639" s="2" t="n">
        <v>43998</v>
      </c>
    </row>
    <row r="640">
      <c r="A640" s="8" t="n">
        <v>34408383</v>
      </c>
      <c r="B640" s="2">
        <f>INDEX(Tableau1[], MATCH(Tableau3[[#This Row],[REFERENCE]], Tableau1[NUMERO], 0), 2)</f>
        <v/>
      </c>
      <c r="C640">
        <f>INDEX(Tableau1[], MATCH(Tableau3[[#This Row],[REFERENCE]], Tableau1[NUMERO], 0), 3)</f>
        <v/>
      </c>
      <c r="D640">
        <f>INDEX(Tableau1[], MATCH(Tableau3[[#This Row],[REFERENCE]], Tableau1[NUMERO], 0),4)</f>
        <v/>
      </c>
      <c r="E640">
        <f>INDEX(Tableau1[], MATCH(Tableau3[[#This Row],[REFERENCE]], Tableau1[NUMERO], 0), 5)</f>
        <v/>
      </c>
      <c r="F640">
        <f>INDEX(Tableau1[], MATCH(Tableau3[[#This Row],[REFERENCE]], Tableau1[NUMERO], 0), 6)</f>
        <v/>
      </c>
      <c r="G640">
        <f>INDEX(Tableau1[], MATCH(Tableau3[[#This Row],[REFERENCE]], Tableau1[NUMERO], 0), 7)</f>
        <v/>
      </c>
      <c r="H640" t="inlineStr">
        <is>
          <t>Paillet</t>
        </is>
      </c>
      <c r="J640" s="2" t="n">
        <v>43906</v>
      </c>
      <c r="K640" s="2" t="n">
        <v>43906</v>
      </c>
      <c r="L640" s="2" t="n"/>
      <c r="M640" s="21" t="inlineStr">
        <is>
          <t>01</t>
        </is>
      </c>
      <c r="N640" s="35" t="n">
        <v>1</v>
      </c>
      <c r="O640" s="7" t="n">
        <v>81</v>
      </c>
      <c r="P640" s="8" t="inlineStr">
        <is>
          <t>15 JOURS</t>
        </is>
      </c>
      <c r="Q640" s="2" t="n">
        <v>43998</v>
      </c>
    </row>
    <row r="641" ht="15.75" customFormat="1" customHeight="1" s="25" thickBot="1">
      <c r="A641" s="8" t="n">
        <v>34408384</v>
      </c>
      <c r="B641" s="2">
        <f>INDEX(Tableau1[], MATCH(Tableau3[[#This Row],[REFERENCE]], Tableau1[NUMERO], 0), 2)</f>
        <v/>
      </c>
      <c r="C641">
        <f>INDEX(Tableau1[], MATCH(Tableau3[[#This Row],[REFERENCE]], Tableau1[NUMERO], 0), 3)</f>
        <v/>
      </c>
      <c r="D641">
        <f>INDEX(Tableau1[], MATCH(Tableau3[[#This Row],[REFERENCE]], Tableau1[NUMERO], 0),4)</f>
        <v/>
      </c>
      <c r="E641">
        <f>INDEX(Tableau1[], MATCH(Tableau3[[#This Row],[REFERENCE]], Tableau1[NUMERO], 0), 5)</f>
        <v/>
      </c>
      <c r="F641">
        <f>INDEX(Tableau1[], MATCH(Tableau3[[#This Row],[REFERENCE]], Tableau1[NUMERO], 0), 6)</f>
        <v/>
      </c>
      <c r="G641">
        <f>INDEX(Tableau1[], MATCH(Tableau3[[#This Row],[REFERENCE]], Tableau1[NUMERO], 0), 7)</f>
        <v/>
      </c>
      <c r="H641" t="inlineStr">
        <is>
          <t>Paillet</t>
        </is>
      </c>
      <c r="I641" s="8" t="n"/>
      <c r="J641" s="2" t="n">
        <v>43906</v>
      </c>
      <c r="K641" s="2" t="n">
        <v>43906</v>
      </c>
      <c r="L641" s="2" t="n"/>
      <c r="M641" s="21" t="inlineStr">
        <is>
          <t>01</t>
        </is>
      </c>
      <c r="N641" s="35" t="n">
        <v>1</v>
      </c>
      <c r="O641" s="7" t="n">
        <v>82.31999999999999</v>
      </c>
      <c r="P641" s="8" t="inlineStr">
        <is>
          <t>15 JOURS</t>
        </is>
      </c>
      <c r="Q641" s="2" t="n">
        <v>43998</v>
      </c>
    </row>
    <row r="642" ht="15.75" customHeight="1" s="142" thickBot="1">
      <c r="A642" s="28" t="n">
        <v>34408385</v>
      </c>
      <c r="B642" s="24">
        <f>INDEX(Tableau1[], MATCH(Tableau3[[#This Row],[REFERENCE]], Tableau1[NUMERO], 0), 2)</f>
        <v/>
      </c>
      <c r="C642" s="25">
        <f>INDEX(Tableau1[], MATCH(Tableau3[[#This Row],[REFERENCE]], Tableau1[NUMERO], 0), 3)</f>
        <v/>
      </c>
      <c r="D642" s="25">
        <f>INDEX(Tableau1[], MATCH(Tableau3[[#This Row],[REFERENCE]], Tableau1[NUMERO], 0),4)</f>
        <v/>
      </c>
      <c r="E642" s="25">
        <f>INDEX(Tableau1[], MATCH(Tableau3[[#This Row],[REFERENCE]], Tableau1[NUMERO], 0), 5)</f>
        <v/>
      </c>
      <c r="F642" s="25">
        <f>INDEX(Tableau1[], MATCH(Tableau3[[#This Row],[REFERENCE]], Tableau1[NUMERO], 0), 6)</f>
        <v/>
      </c>
      <c r="G642" s="25">
        <f>INDEX(Tableau1[], MATCH(Tableau3[[#This Row],[REFERENCE]], Tableau1[NUMERO], 0), 7)</f>
        <v/>
      </c>
      <c r="H642" s="25" t="inlineStr">
        <is>
          <t>Paillet</t>
        </is>
      </c>
      <c r="I642" s="28" t="n"/>
      <c r="J642" s="24" t="n">
        <v>43906</v>
      </c>
      <c r="K642" s="24" t="n">
        <v>43906</v>
      </c>
      <c r="L642" s="24" t="n"/>
      <c r="M642" s="26" t="inlineStr">
        <is>
          <t>01</t>
        </is>
      </c>
      <c r="N642" s="36" t="n">
        <v>1</v>
      </c>
      <c r="O642" s="27" t="n">
        <v>82.16</v>
      </c>
      <c r="P642" s="28" t="inlineStr">
        <is>
          <t>15 JOURS</t>
        </is>
      </c>
      <c r="Q642" s="24" t="n">
        <v>43998</v>
      </c>
      <c r="R642" s="25" t="n"/>
    </row>
    <row r="643" ht="15.75" customFormat="1" customHeight="1" s="25" thickBot="1">
      <c r="A643" s="8" t="n">
        <v>34408382</v>
      </c>
      <c r="B643" s="2">
        <f>INDEX(Tableau1[], MATCH(Tableau3[[#This Row],[REFERENCE]], Tableau1[NUMERO], 0), 2)</f>
        <v/>
      </c>
      <c r="C643">
        <f>INDEX(Tableau1[], MATCH(Tableau3[[#This Row],[REFERENCE]], Tableau1[NUMERO], 0), 3)</f>
        <v/>
      </c>
      <c r="D643">
        <f>INDEX(Tableau1[], MATCH(Tableau3[[#This Row],[REFERENCE]], Tableau1[NUMERO], 0),4)</f>
        <v/>
      </c>
      <c r="E643">
        <f>INDEX(Tableau1[], MATCH(Tableau3[[#This Row],[REFERENCE]], Tableau1[NUMERO], 0), 5)</f>
        <v/>
      </c>
      <c r="F643">
        <f>INDEX(Tableau1[], MATCH(Tableau3[[#This Row],[REFERENCE]], Tableau1[NUMERO], 0), 6)</f>
        <v/>
      </c>
      <c r="G643">
        <f>INDEX(Tableau1[], MATCH(Tableau3[[#This Row],[REFERENCE]], Tableau1[NUMERO], 0), 7)</f>
        <v/>
      </c>
      <c r="H643" t="inlineStr">
        <is>
          <t>Paillet</t>
        </is>
      </c>
      <c r="I643" s="8" t="n"/>
      <c r="J643" s="2" t="n">
        <v>43906</v>
      </c>
      <c r="K643" s="2" t="n">
        <v>43906</v>
      </c>
      <c r="L643" s="2" t="n"/>
      <c r="M643" s="21" t="inlineStr">
        <is>
          <t>01</t>
        </is>
      </c>
      <c r="N643" s="35" t="n">
        <v>10</v>
      </c>
      <c r="O643" s="7" t="n">
        <v>17.31</v>
      </c>
      <c r="P643" s="8" t="inlineStr">
        <is>
          <t>15 JOURS</t>
        </is>
      </c>
      <c r="Q643" s="2" t="n">
        <v>43998</v>
      </c>
    </row>
    <row r="644" ht="15.75" customHeight="1" s="142" thickBot="1">
      <c r="A644" s="28" t="n">
        <v>34408383</v>
      </c>
      <c r="B644" s="24">
        <f>INDEX(Tableau1[], MATCH(Tableau3[[#This Row],[REFERENCE]], Tableau1[NUMERO], 0), 2)</f>
        <v/>
      </c>
      <c r="C644" s="25">
        <f>INDEX(Tableau1[], MATCH(Tableau3[[#This Row],[REFERENCE]], Tableau1[NUMERO], 0), 3)</f>
        <v/>
      </c>
      <c r="D644" s="25">
        <f>INDEX(Tableau1[], MATCH(Tableau3[[#This Row],[REFERENCE]], Tableau1[NUMERO], 0),4)</f>
        <v/>
      </c>
      <c r="E644" s="25">
        <f>INDEX(Tableau1[], MATCH(Tableau3[[#This Row],[REFERENCE]], Tableau1[NUMERO], 0), 5)</f>
        <v/>
      </c>
      <c r="F644" s="25">
        <f>INDEX(Tableau1[], MATCH(Tableau3[[#This Row],[REFERENCE]], Tableau1[NUMERO], 0), 6)</f>
        <v/>
      </c>
      <c r="G644" s="25">
        <f>INDEX(Tableau1[], MATCH(Tableau3[[#This Row],[REFERENCE]], Tableau1[NUMERO], 0), 7)</f>
        <v/>
      </c>
      <c r="H644" s="25" t="inlineStr">
        <is>
          <t>Paillet</t>
        </is>
      </c>
      <c r="I644" s="28" t="n"/>
      <c r="J644" s="24" t="n">
        <v>43906</v>
      </c>
      <c r="K644" s="24" t="n">
        <v>43906</v>
      </c>
      <c r="L644" s="24" t="n"/>
      <c r="M644" s="26" t="inlineStr">
        <is>
          <t>01</t>
        </is>
      </c>
      <c r="N644" s="36" t="n">
        <v>10</v>
      </c>
      <c r="O644" s="27" t="n">
        <v>17.16</v>
      </c>
      <c r="P644" s="28" t="inlineStr">
        <is>
          <t>15 JOURS</t>
        </is>
      </c>
      <c r="Q644" s="24" t="n">
        <v>43998</v>
      </c>
      <c r="R644" s="25" t="n"/>
    </row>
    <row r="645" ht="15.75" customFormat="1" customHeight="1" s="25" thickBot="1">
      <c r="A645" s="8" t="n">
        <v>34408384</v>
      </c>
      <c r="B645" s="2">
        <f>INDEX(Tableau1[], MATCH(Tableau3[[#This Row],[REFERENCE]], Tableau1[NUMERO], 0), 2)</f>
        <v/>
      </c>
      <c r="C645">
        <f>INDEX(Tableau1[], MATCH(Tableau3[[#This Row],[REFERENCE]], Tableau1[NUMERO], 0), 3)</f>
        <v/>
      </c>
      <c r="D645">
        <f>INDEX(Tableau1[], MATCH(Tableau3[[#This Row],[REFERENCE]], Tableau1[NUMERO], 0),4)</f>
        <v/>
      </c>
      <c r="E645">
        <f>INDEX(Tableau1[], MATCH(Tableau3[[#This Row],[REFERENCE]], Tableau1[NUMERO], 0), 5)</f>
        <v/>
      </c>
      <c r="F645">
        <f>INDEX(Tableau1[], MATCH(Tableau3[[#This Row],[REFERENCE]], Tableau1[NUMERO], 0), 6)</f>
        <v/>
      </c>
      <c r="G645">
        <f>INDEX(Tableau1[], MATCH(Tableau3[[#This Row],[REFERENCE]], Tableau1[NUMERO], 0), 7)</f>
        <v/>
      </c>
      <c r="H645" t="inlineStr">
        <is>
          <t>Paillet</t>
        </is>
      </c>
      <c r="I645" s="8" t="n"/>
      <c r="J645" s="2" t="n">
        <v>43906</v>
      </c>
      <c r="K645" s="2" t="n">
        <v>43906</v>
      </c>
      <c r="L645" s="2" t="n"/>
      <c r="M645" s="21" t="inlineStr">
        <is>
          <t>01</t>
        </is>
      </c>
      <c r="N645" s="35" t="n">
        <v>20</v>
      </c>
      <c r="O645" s="7" t="n">
        <v>13.86</v>
      </c>
      <c r="P645" s="8" t="inlineStr">
        <is>
          <t>15 JOURS</t>
        </is>
      </c>
      <c r="Q645" s="2" t="n">
        <v>43998</v>
      </c>
    </row>
    <row r="646" ht="15.75" customHeight="1" s="142" thickBot="1">
      <c r="A646" s="28" t="n">
        <v>34408385</v>
      </c>
      <c r="B646" s="24">
        <f>INDEX(Tableau1[], MATCH(Tableau3[[#This Row],[REFERENCE]], Tableau1[NUMERO], 0), 2)</f>
        <v/>
      </c>
      <c r="C646" s="25">
        <f>INDEX(Tableau1[], MATCH(Tableau3[[#This Row],[REFERENCE]], Tableau1[NUMERO], 0), 3)</f>
        <v/>
      </c>
      <c r="D646" s="25">
        <f>INDEX(Tableau1[], MATCH(Tableau3[[#This Row],[REFERENCE]], Tableau1[NUMERO], 0),4)</f>
        <v/>
      </c>
      <c r="E646" s="25">
        <f>INDEX(Tableau1[], MATCH(Tableau3[[#This Row],[REFERENCE]], Tableau1[NUMERO], 0), 5)</f>
        <v/>
      </c>
      <c r="F646" s="25">
        <f>INDEX(Tableau1[], MATCH(Tableau3[[#This Row],[REFERENCE]], Tableau1[NUMERO], 0), 6)</f>
        <v/>
      </c>
      <c r="G646" s="25">
        <f>INDEX(Tableau1[], MATCH(Tableau3[[#This Row],[REFERENCE]], Tableau1[NUMERO], 0), 7)</f>
        <v/>
      </c>
      <c r="H646" s="25" t="inlineStr">
        <is>
          <t>Paillet</t>
        </is>
      </c>
      <c r="I646" s="28" t="n"/>
      <c r="J646" s="24" t="n">
        <v>43906</v>
      </c>
      <c r="K646" s="24" t="n">
        <v>43906</v>
      </c>
      <c r="L646" s="24" t="n"/>
      <c r="M646" s="26" t="inlineStr">
        <is>
          <t>01</t>
        </is>
      </c>
      <c r="N646" s="36" t="n">
        <v>20</v>
      </c>
      <c r="O646" s="27" t="n">
        <v>13.7</v>
      </c>
      <c r="P646" s="28" t="inlineStr">
        <is>
          <t>15 JOURS</t>
        </is>
      </c>
      <c r="Q646" s="24" t="n">
        <v>43998</v>
      </c>
      <c r="R646" s="25" t="n"/>
    </row>
    <row r="647">
      <c r="A647" s="8" t="n">
        <v>34408382</v>
      </c>
      <c r="B647" s="2">
        <f>INDEX(Tableau1[], MATCH(Tableau3[[#This Row],[REFERENCE]], Tableau1[NUMERO], 0), 2)</f>
        <v/>
      </c>
      <c r="C647">
        <f>INDEX(Tableau1[], MATCH(Tableau3[[#This Row],[REFERENCE]], Tableau1[NUMERO], 0), 3)</f>
        <v/>
      </c>
      <c r="D647">
        <f>INDEX(Tableau1[], MATCH(Tableau3[[#This Row],[REFERENCE]], Tableau1[NUMERO], 0),4)</f>
        <v/>
      </c>
      <c r="E647">
        <f>INDEX(Tableau1[], MATCH(Tableau3[[#This Row],[REFERENCE]], Tableau1[NUMERO], 0), 5)</f>
        <v/>
      </c>
      <c r="F647">
        <f>INDEX(Tableau1[], MATCH(Tableau3[[#This Row],[REFERENCE]], Tableau1[NUMERO], 0), 6)</f>
        <v/>
      </c>
      <c r="G647">
        <f>INDEX(Tableau1[], MATCH(Tableau3[[#This Row],[REFERENCE]], Tableau1[NUMERO], 0), 7)</f>
        <v/>
      </c>
      <c r="H647" t="inlineStr">
        <is>
          <t>Romaire</t>
        </is>
      </c>
      <c r="J647" s="2" t="n">
        <v>43906</v>
      </c>
      <c r="K647" s="2" t="n">
        <v>43907</v>
      </c>
      <c r="L647" s="2" t="n"/>
      <c r="M647" s="21" t="inlineStr">
        <is>
          <t>01</t>
        </is>
      </c>
      <c r="N647" s="35" t="n">
        <v>1</v>
      </c>
      <c r="O647" s="7" t="n">
        <v>115</v>
      </c>
      <c r="P647" s="8" t="inlineStr">
        <is>
          <t>1 à 2 SEMAINES</t>
        </is>
      </c>
      <c r="Q647" s="2" t="n">
        <v>43938</v>
      </c>
    </row>
    <row r="648">
      <c r="A648" s="8" t="n">
        <v>34408383</v>
      </c>
      <c r="B648" s="2">
        <f>INDEX(Tableau1[], MATCH(Tableau3[[#This Row],[REFERENCE]], Tableau1[NUMERO], 0), 2)</f>
        <v/>
      </c>
      <c r="C648">
        <f>INDEX(Tableau1[], MATCH(Tableau3[[#This Row],[REFERENCE]], Tableau1[NUMERO], 0), 3)</f>
        <v/>
      </c>
      <c r="D648">
        <f>INDEX(Tableau1[], MATCH(Tableau3[[#This Row],[REFERENCE]], Tableau1[NUMERO], 0),4)</f>
        <v/>
      </c>
      <c r="E648">
        <f>INDEX(Tableau1[], MATCH(Tableau3[[#This Row],[REFERENCE]], Tableau1[NUMERO], 0), 5)</f>
        <v/>
      </c>
      <c r="F648">
        <f>INDEX(Tableau1[], MATCH(Tableau3[[#This Row],[REFERENCE]], Tableau1[NUMERO], 0), 6)</f>
        <v/>
      </c>
      <c r="G648">
        <f>INDEX(Tableau1[], MATCH(Tableau3[[#This Row],[REFERENCE]], Tableau1[NUMERO], 0), 7)</f>
        <v/>
      </c>
      <c r="H648" t="inlineStr">
        <is>
          <t>Romaire</t>
        </is>
      </c>
      <c r="J648" s="2" t="n">
        <v>43906</v>
      </c>
      <c r="K648" s="2" t="n">
        <v>43907</v>
      </c>
      <c r="L648" s="2" t="n"/>
      <c r="M648" s="21" t="inlineStr">
        <is>
          <t>01</t>
        </is>
      </c>
      <c r="N648" s="35" t="n">
        <v>1</v>
      </c>
      <c r="O648" s="7" t="n">
        <v>115</v>
      </c>
      <c r="P648" s="8" t="inlineStr">
        <is>
          <t>1 à 2 SEMAINES</t>
        </is>
      </c>
      <c r="Q648" s="2" t="n">
        <v>43938</v>
      </c>
    </row>
    <row r="649" ht="15.75" customFormat="1" customHeight="1" s="25" thickBot="1">
      <c r="A649" s="8" t="n">
        <v>34408384</v>
      </c>
      <c r="B649" s="2">
        <f>INDEX(Tableau1[], MATCH(Tableau3[[#This Row],[REFERENCE]], Tableau1[NUMERO], 0), 2)</f>
        <v/>
      </c>
      <c r="C649">
        <f>INDEX(Tableau1[], MATCH(Tableau3[[#This Row],[REFERENCE]], Tableau1[NUMERO], 0), 3)</f>
        <v/>
      </c>
      <c r="D649">
        <f>INDEX(Tableau1[], MATCH(Tableau3[[#This Row],[REFERENCE]], Tableau1[NUMERO], 0),4)</f>
        <v/>
      </c>
      <c r="E649">
        <f>INDEX(Tableau1[], MATCH(Tableau3[[#This Row],[REFERENCE]], Tableau1[NUMERO], 0), 5)</f>
        <v/>
      </c>
      <c r="F649">
        <f>INDEX(Tableau1[], MATCH(Tableau3[[#This Row],[REFERENCE]], Tableau1[NUMERO], 0), 6)</f>
        <v/>
      </c>
      <c r="G649">
        <f>INDEX(Tableau1[], MATCH(Tableau3[[#This Row],[REFERENCE]], Tableau1[NUMERO], 0), 7)</f>
        <v/>
      </c>
      <c r="H649" t="inlineStr">
        <is>
          <t>Romaire</t>
        </is>
      </c>
      <c r="I649" s="8" t="n"/>
      <c r="J649" s="2" t="n">
        <v>43906</v>
      </c>
      <c r="K649" s="2" t="n">
        <v>43907</v>
      </c>
      <c r="L649" s="2" t="n"/>
      <c r="M649" s="21" t="inlineStr">
        <is>
          <t>01</t>
        </is>
      </c>
      <c r="N649" s="35" t="n">
        <v>1</v>
      </c>
      <c r="O649" s="7" t="n">
        <v>115.9</v>
      </c>
      <c r="P649" s="8" t="inlineStr">
        <is>
          <t>1 à 2 SEMAINES</t>
        </is>
      </c>
      <c r="Q649" s="2" t="n">
        <v>43938</v>
      </c>
    </row>
    <row r="650" ht="15.75" customHeight="1" s="142" thickBot="1">
      <c r="A650" s="28" t="n">
        <v>34408385</v>
      </c>
      <c r="B650" s="24">
        <f>INDEX(Tableau1[], MATCH(Tableau3[[#This Row],[REFERENCE]], Tableau1[NUMERO], 0), 2)</f>
        <v/>
      </c>
      <c r="C650" s="25">
        <f>INDEX(Tableau1[], MATCH(Tableau3[[#This Row],[REFERENCE]], Tableau1[NUMERO], 0), 3)</f>
        <v/>
      </c>
      <c r="D650" s="25">
        <f>INDEX(Tableau1[], MATCH(Tableau3[[#This Row],[REFERENCE]], Tableau1[NUMERO], 0),4)</f>
        <v/>
      </c>
      <c r="E650" s="25">
        <f>INDEX(Tableau1[], MATCH(Tableau3[[#This Row],[REFERENCE]], Tableau1[NUMERO], 0), 5)</f>
        <v/>
      </c>
      <c r="F650" s="25">
        <f>INDEX(Tableau1[], MATCH(Tableau3[[#This Row],[REFERENCE]], Tableau1[NUMERO], 0), 6)</f>
        <v/>
      </c>
      <c r="G650" s="25">
        <f>INDEX(Tableau1[], MATCH(Tableau3[[#This Row],[REFERENCE]], Tableau1[NUMERO], 0), 7)</f>
        <v/>
      </c>
      <c r="H650" s="25" t="inlineStr">
        <is>
          <t>Romaire</t>
        </is>
      </c>
      <c r="I650" s="28" t="n"/>
      <c r="J650" s="24" t="n">
        <v>43906</v>
      </c>
      <c r="K650" s="24" t="n">
        <v>43907</v>
      </c>
      <c r="L650" s="24" t="n"/>
      <c r="M650" s="26" t="inlineStr">
        <is>
          <t>01</t>
        </is>
      </c>
      <c r="N650" s="36" t="n">
        <v>1</v>
      </c>
      <c r="O650" s="27" t="n">
        <v>115.9</v>
      </c>
      <c r="P650" s="28" t="inlineStr">
        <is>
          <t>1 à 2 SEMAINES</t>
        </is>
      </c>
      <c r="Q650" s="24" t="n">
        <v>43938</v>
      </c>
      <c r="R650" s="25" t="n"/>
    </row>
    <row r="651" ht="15.75" customFormat="1" customHeight="1" s="25" thickBot="1">
      <c r="A651" s="8" t="n">
        <v>34408382</v>
      </c>
      <c r="B651" s="2">
        <f>INDEX(Tableau1[], MATCH(Tableau3[[#This Row],[REFERENCE]], Tableau1[NUMERO], 0), 2)</f>
        <v/>
      </c>
      <c r="C651">
        <f>INDEX(Tableau1[], MATCH(Tableau3[[#This Row],[REFERENCE]], Tableau1[NUMERO], 0), 3)</f>
        <v/>
      </c>
      <c r="D651">
        <f>INDEX(Tableau1[], MATCH(Tableau3[[#This Row],[REFERENCE]], Tableau1[NUMERO], 0),4)</f>
        <v/>
      </c>
      <c r="E651">
        <f>INDEX(Tableau1[], MATCH(Tableau3[[#This Row],[REFERENCE]], Tableau1[NUMERO], 0), 5)</f>
        <v/>
      </c>
      <c r="F651">
        <f>INDEX(Tableau1[], MATCH(Tableau3[[#This Row],[REFERENCE]], Tableau1[NUMERO], 0), 6)</f>
        <v/>
      </c>
      <c r="G651">
        <f>INDEX(Tableau1[], MATCH(Tableau3[[#This Row],[REFERENCE]], Tableau1[NUMERO], 0), 7)</f>
        <v/>
      </c>
      <c r="H651" t="inlineStr">
        <is>
          <t>Romaire</t>
        </is>
      </c>
      <c r="I651" s="8" t="n"/>
      <c r="J651" s="2" t="n">
        <v>43906</v>
      </c>
      <c r="K651" s="2" t="n">
        <v>43907</v>
      </c>
      <c r="L651" s="2" t="n"/>
      <c r="M651" s="21" t="inlineStr">
        <is>
          <t>01</t>
        </is>
      </c>
      <c r="N651" s="35" t="n">
        <v>10</v>
      </c>
      <c r="O651" s="7" t="n">
        <v>19</v>
      </c>
      <c r="P651" s="8" t="inlineStr">
        <is>
          <t>1 à 2 SEMAINES</t>
        </is>
      </c>
      <c r="Q651" s="2" t="n">
        <v>43938</v>
      </c>
    </row>
    <row r="652" ht="15.75" customHeight="1" s="142" thickBot="1">
      <c r="A652" s="28" t="n">
        <v>34408383</v>
      </c>
      <c r="B652" s="24">
        <f>INDEX(Tableau1[], MATCH(Tableau3[[#This Row],[REFERENCE]], Tableau1[NUMERO], 0), 2)</f>
        <v/>
      </c>
      <c r="C652" s="25">
        <f>INDEX(Tableau1[], MATCH(Tableau3[[#This Row],[REFERENCE]], Tableau1[NUMERO], 0), 3)</f>
        <v/>
      </c>
      <c r="D652" s="25">
        <f>INDEX(Tableau1[], MATCH(Tableau3[[#This Row],[REFERENCE]], Tableau1[NUMERO], 0),4)</f>
        <v/>
      </c>
      <c r="E652" s="25">
        <f>INDEX(Tableau1[], MATCH(Tableau3[[#This Row],[REFERENCE]], Tableau1[NUMERO], 0), 5)</f>
        <v/>
      </c>
      <c r="F652" s="25">
        <f>INDEX(Tableau1[], MATCH(Tableau3[[#This Row],[REFERENCE]], Tableau1[NUMERO], 0), 6)</f>
        <v/>
      </c>
      <c r="G652" s="25">
        <f>INDEX(Tableau1[], MATCH(Tableau3[[#This Row],[REFERENCE]], Tableau1[NUMERO], 0), 7)</f>
        <v/>
      </c>
      <c r="H652" s="25" t="inlineStr">
        <is>
          <t>Romaire</t>
        </is>
      </c>
      <c r="I652" s="28" t="n"/>
      <c r="J652" s="24" t="n">
        <v>43906</v>
      </c>
      <c r="K652" s="24" t="n">
        <v>43907</v>
      </c>
      <c r="L652" s="24" t="n"/>
      <c r="M652" s="26" t="inlineStr">
        <is>
          <t>01</t>
        </is>
      </c>
      <c r="N652" s="36" t="n">
        <v>10</v>
      </c>
      <c r="O652" s="27" t="n">
        <v>19</v>
      </c>
      <c r="P652" s="28" t="inlineStr">
        <is>
          <t>1 à 2 SEMAINES</t>
        </is>
      </c>
      <c r="Q652" s="24" t="n">
        <v>43938</v>
      </c>
      <c r="R652" s="25" t="n"/>
    </row>
    <row r="653" ht="15.75" customFormat="1" customHeight="1" s="25" thickBot="1">
      <c r="A653" s="8" t="n">
        <v>34408384</v>
      </c>
      <c r="B653" s="2">
        <f>INDEX(Tableau1[], MATCH(Tableau3[[#This Row],[REFERENCE]], Tableau1[NUMERO], 0), 2)</f>
        <v/>
      </c>
      <c r="C653">
        <f>INDEX(Tableau1[], MATCH(Tableau3[[#This Row],[REFERENCE]], Tableau1[NUMERO], 0), 3)</f>
        <v/>
      </c>
      <c r="D653">
        <f>INDEX(Tableau1[], MATCH(Tableau3[[#This Row],[REFERENCE]], Tableau1[NUMERO], 0),4)</f>
        <v/>
      </c>
      <c r="E653">
        <f>INDEX(Tableau1[], MATCH(Tableau3[[#This Row],[REFERENCE]], Tableau1[NUMERO], 0), 5)</f>
        <v/>
      </c>
      <c r="F653">
        <f>INDEX(Tableau1[], MATCH(Tableau3[[#This Row],[REFERENCE]], Tableau1[NUMERO], 0), 6)</f>
        <v/>
      </c>
      <c r="G653">
        <f>INDEX(Tableau1[], MATCH(Tableau3[[#This Row],[REFERENCE]], Tableau1[NUMERO], 0), 7)</f>
        <v/>
      </c>
      <c r="H653" t="inlineStr">
        <is>
          <t>Romaire</t>
        </is>
      </c>
      <c r="I653" s="8" t="n"/>
      <c r="J653" s="2" t="n">
        <v>43906</v>
      </c>
      <c r="K653" s="2" t="n">
        <v>43907</v>
      </c>
      <c r="L653" s="2" t="n"/>
      <c r="M653" s="21" t="inlineStr">
        <is>
          <t>01</t>
        </is>
      </c>
      <c r="N653" s="35" t="n">
        <v>20</v>
      </c>
      <c r="O653" s="7" t="n">
        <v>14.65</v>
      </c>
      <c r="P653" s="8" t="inlineStr">
        <is>
          <t>1 à 2 SEMAINES</t>
        </is>
      </c>
      <c r="Q653" s="2" t="n">
        <v>43938</v>
      </c>
    </row>
    <row r="654" ht="15.75" customHeight="1" s="142" thickBot="1">
      <c r="A654" s="28" t="n">
        <v>34408385</v>
      </c>
      <c r="B654" s="24">
        <f>INDEX(Tableau1[], MATCH(Tableau3[[#This Row],[REFERENCE]], Tableau1[NUMERO], 0), 2)</f>
        <v/>
      </c>
      <c r="C654" s="25">
        <f>INDEX(Tableau1[], MATCH(Tableau3[[#This Row],[REFERENCE]], Tableau1[NUMERO], 0), 3)</f>
        <v/>
      </c>
      <c r="D654" s="25">
        <f>INDEX(Tableau1[], MATCH(Tableau3[[#This Row],[REFERENCE]], Tableau1[NUMERO], 0),4)</f>
        <v/>
      </c>
      <c r="E654" s="25">
        <f>INDEX(Tableau1[], MATCH(Tableau3[[#This Row],[REFERENCE]], Tableau1[NUMERO], 0), 5)</f>
        <v/>
      </c>
      <c r="F654" s="25">
        <f>INDEX(Tableau1[], MATCH(Tableau3[[#This Row],[REFERENCE]], Tableau1[NUMERO], 0), 6)</f>
        <v/>
      </c>
      <c r="G654" s="25">
        <f>INDEX(Tableau1[], MATCH(Tableau3[[#This Row],[REFERENCE]], Tableau1[NUMERO], 0), 7)</f>
        <v/>
      </c>
      <c r="H654" s="25" t="inlineStr">
        <is>
          <t>Romaire</t>
        </is>
      </c>
      <c r="I654" s="28" t="n"/>
      <c r="J654" s="24" t="n">
        <v>43906</v>
      </c>
      <c r="K654" s="24" t="n">
        <v>43907</v>
      </c>
      <c r="L654" s="24" t="n"/>
      <c r="M654" s="26" t="inlineStr">
        <is>
          <t>01</t>
        </is>
      </c>
      <c r="N654" s="36" t="n">
        <v>20</v>
      </c>
      <c r="O654" s="27" t="n">
        <v>14.65</v>
      </c>
      <c r="P654" s="28" t="inlineStr">
        <is>
          <t>1 à 2 SEMAINES</t>
        </is>
      </c>
      <c r="Q654" s="24" t="n">
        <v>43938</v>
      </c>
      <c r="R654" s="25" t="n"/>
    </row>
    <row r="655">
      <c r="A655" s="8" t="n">
        <v>34408382</v>
      </c>
      <c r="B655" s="2">
        <f>INDEX(Tableau1[], MATCH(Tableau3[[#This Row],[REFERENCE]], Tableau1[NUMERO], 0), 2)</f>
        <v/>
      </c>
      <c r="C655">
        <f>INDEX(Tableau1[], MATCH(Tableau3[[#This Row],[REFERENCE]], Tableau1[NUMERO], 0), 3)</f>
        <v/>
      </c>
      <c r="D655">
        <f>INDEX(Tableau1[], MATCH(Tableau3[[#This Row],[REFERENCE]], Tableau1[NUMERO], 0),4)</f>
        <v/>
      </c>
      <c r="E655">
        <f>INDEX(Tableau1[], MATCH(Tableau3[[#This Row],[REFERENCE]], Tableau1[NUMERO], 0), 5)</f>
        <v/>
      </c>
      <c r="F655">
        <f>INDEX(Tableau1[], MATCH(Tableau3[[#This Row],[REFERENCE]], Tableau1[NUMERO], 0), 6)</f>
        <v/>
      </c>
      <c r="G655">
        <f>INDEX(Tableau1[], MATCH(Tableau3[[#This Row],[REFERENCE]], Tableau1[NUMERO], 0), 7)</f>
        <v/>
      </c>
      <c r="H655" t="inlineStr">
        <is>
          <t>TCS tolerie</t>
        </is>
      </c>
      <c r="J655" s="2" t="n">
        <v>43906</v>
      </c>
      <c r="K655" s="2" t="n">
        <v>43906</v>
      </c>
      <c r="L655" s="2" t="n"/>
      <c r="M655" s="21" t="inlineStr">
        <is>
          <t>01</t>
        </is>
      </c>
      <c r="N655" s="35" t="n">
        <v>1</v>
      </c>
      <c r="O655" s="7" t="n">
        <v>59</v>
      </c>
      <c r="P655" s="8" t="inlineStr">
        <is>
          <t>2 semaines</t>
        </is>
      </c>
      <c r="Q655" s="2" t="n">
        <v>44012</v>
      </c>
    </row>
    <row r="656">
      <c r="A656" s="8" t="n">
        <v>34408383</v>
      </c>
      <c r="B656" s="2">
        <f>INDEX(Tableau1[], MATCH(Tableau3[[#This Row],[REFERENCE]], Tableau1[NUMERO], 0), 2)</f>
        <v/>
      </c>
      <c r="C656">
        <f>INDEX(Tableau1[], MATCH(Tableau3[[#This Row],[REFERENCE]], Tableau1[NUMERO], 0), 3)</f>
        <v/>
      </c>
      <c r="D656">
        <f>INDEX(Tableau1[], MATCH(Tableau3[[#This Row],[REFERENCE]], Tableau1[NUMERO], 0),4)</f>
        <v/>
      </c>
      <c r="E656">
        <f>INDEX(Tableau1[], MATCH(Tableau3[[#This Row],[REFERENCE]], Tableau1[NUMERO], 0), 5)</f>
        <v/>
      </c>
      <c r="F656">
        <f>INDEX(Tableau1[], MATCH(Tableau3[[#This Row],[REFERENCE]], Tableau1[NUMERO], 0), 6)</f>
        <v/>
      </c>
      <c r="G656">
        <f>INDEX(Tableau1[], MATCH(Tableau3[[#This Row],[REFERENCE]], Tableau1[NUMERO], 0), 7)</f>
        <v/>
      </c>
      <c r="H656" t="inlineStr">
        <is>
          <t>TCS tolerie</t>
        </is>
      </c>
      <c r="J656" s="2" t="n">
        <v>43906</v>
      </c>
      <c r="K656" s="2" t="n">
        <v>43906</v>
      </c>
      <c r="L656" s="2" t="n"/>
      <c r="M656" s="21" t="inlineStr">
        <is>
          <t>01</t>
        </is>
      </c>
      <c r="N656" s="35" t="n">
        <v>1</v>
      </c>
      <c r="O656" s="7" t="n">
        <v>57</v>
      </c>
      <c r="P656" s="8" t="inlineStr">
        <is>
          <t>2 semaines</t>
        </is>
      </c>
      <c r="Q656" s="2" t="n">
        <v>44012</v>
      </c>
    </row>
    <row r="657" ht="15.75" customFormat="1" customHeight="1" s="25" thickBot="1">
      <c r="A657" s="8" t="n">
        <v>34408384</v>
      </c>
      <c r="B657" s="2">
        <f>INDEX(Tableau1[], MATCH(Tableau3[[#This Row],[REFERENCE]], Tableau1[NUMERO], 0), 2)</f>
        <v/>
      </c>
      <c r="C657">
        <f>INDEX(Tableau1[], MATCH(Tableau3[[#This Row],[REFERENCE]], Tableau1[NUMERO], 0), 3)</f>
        <v/>
      </c>
      <c r="D657">
        <f>INDEX(Tableau1[], MATCH(Tableau3[[#This Row],[REFERENCE]], Tableau1[NUMERO], 0),4)</f>
        <v/>
      </c>
      <c r="E657">
        <f>INDEX(Tableau1[], MATCH(Tableau3[[#This Row],[REFERENCE]], Tableau1[NUMERO], 0), 5)</f>
        <v/>
      </c>
      <c r="F657">
        <f>INDEX(Tableau1[], MATCH(Tableau3[[#This Row],[REFERENCE]], Tableau1[NUMERO], 0), 6)</f>
        <v/>
      </c>
      <c r="G657">
        <f>INDEX(Tableau1[], MATCH(Tableau3[[#This Row],[REFERENCE]], Tableau1[NUMERO], 0), 7)</f>
        <v/>
      </c>
      <c r="H657" t="inlineStr">
        <is>
          <t>TCS tolerie</t>
        </is>
      </c>
      <c r="I657" s="8" t="n"/>
      <c r="J657" s="2" t="n">
        <v>43906</v>
      </c>
      <c r="K657" s="2" t="n">
        <v>43906</v>
      </c>
      <c r="L657" s="2" t="n"/>
      <c r="M657" s="21" t="inlineStr">
        <is>
          <t>01</t>
        </is>
      </c>
      <c r="N657" s="35" t="n">
        <v>1</v>
      </c>
      <c r="O657" s="7" t="n">
        <v>62</v>
      </c>
      <c r="P657" s="8" t="inlineStr">
        <is>
          <t>2 semaines</t>
        </is>
      </c>
      <c r="Q657" s="2" t="n">
        <v>44012</v>
      </c>
    </row>
    <row r="658" ht="15.75" customHeight="1" s="142" thickBot="1">
      <c r="A658" s="28" t="n">
        <v>34408385</v>
      </c>
      <c r="B658" s="24">
        <f>INDEX(Tableau1[], MATCH(Tableau3[[#This Row],[REFERENCE]], Tableau1[NUMERO], 0), 2)</f>
        <v/>
      </c>
      <c r="C658" s="25">
        <f>INDEX(Tableau1[], MATCH(Tableau3[[#This Row],[REFERENCE]], Tableau1[NUMERO], 0), 3)</f>
        <v/>
      </c>
      <c r="D658" s="25">
        <f>INDEX(Tableau1[], MATCH(Tableau3[[#This Row],[REFERENCE]], Tableau1[NUMERO], 0),4)</f>
        <v/>
      </c>
      <c r="E658" s="25">
        <f>INDEX(Tableau1[], MATCH(Tableau3[[#This Row],[REFERENCE]], Tableau1[NUMERO], 0), 5)</f>
        <v/>
      </c>
      <c r="F658" s="25">
        <f>INDEX(Tableau1[], MATCH(Tableau3[[#This Row],[REFERENCE]], Tableau1[NUMERO], 0), 6)</f>
        <v/>
      </c>
      <c r="G658" s="25">
        <f>INDEX(Tableau1[], MATCH(Tableau3[[#This Row],[REFERENCE]], Tableau1[NUMERO], 0), 7)</f>
        <v/>
      </c>
      <c r="H658" s="25" t="inlineStr">
        <is>
          <t>TCS tolerie</t>
        </is>
      </c>
      <c r="I658" s="28" t="n"/>
      <c r="J658" s="24" t="n">
        <v>43906</v>
      </c>
      <c r="K658" s="24" t="n">
        <v>43906</v>
      </c>
      <c r="L658" s="24" t="n"/>
      <c r="M658" s="26" t="inlineStr">
        <is>
          <t>01</t>
        </is>
      </c>
      <c r="N658" s="36" t="n">
        <v>1</v>
      </c>
      <c r="O658" s="27" t="n">
        <v>64</v>
      </c>
      <c r="P658" s="28" t="inlineStr">
        <is>
          <t>2 semaines</t>
        </is>
      </c>
      <c r="Q658" s="24" t="n">
        <v>44012</v>
      </c>
      <c r="R658" s="25" t="n"/>
    </row>
    <row r="659" ht="15.75" customFormat="1" customHeight="1" s="25" thickBot="1">
      <c r="A659" s="8" t="n">
        <v>34408382</v>
      </c>
      <c r="B659" s="2">
        <f>INDEX(Tableau1[], MATCH(Tableau3[[#This Row],[REFERENCE]], Tableau1[NUMERO], 0), 2)</f>
        <v/>
      </c>
      <c r="C659">
        <f>INDEX(Tableau1[], MATCH(Tableau3[[#This Row],[REFERENCE]], Tableau1[NUMERO], 0), 3)</f>
        <v/>
      </c>
      <c r="D659">
        <f>INDEX(Tableau1[], MATCH(Tableau3[[#This Row],[REFERENCE]], Tableau1[NUMERO], 0),4)</f>
        <v/>
      </c>
      <c r="E659">
        <f>INDEX(Tableau1[], MATCH(Tableau3[[#This Row],[REFERENCE]], Tableau1[NUMERO], 0), 5)</f>
        <v/>
      </c>
      <c r="F659">
        <f>INDEX(Tableau1[], MATCH(Tableau3[[#This Row],[REFERENCE]], Tableau1[NUMERO], 0), 6)</f>
        <v/>
      </c>
      <c r="G659">
        <f>INDEX(Tableau1[], MATCH(Tableau3[[#This Row],[REFERENCE]], Tableau1[NUMERO], 0), 7)</f>
        <v/>
      </c>
      <c r="H659" t="inlineStr">
        <is>
          <t>TCS tolerie</t>
        </is>
      </c>
      <c r="I659" s="8" t="n"/>
      <c r="J659" s="2" t="n">
        <v>43906</v>
      </c>
      <c r="K659" s="2" t="n">
        <v>43906</v>
      </c>
      <c r="L659" s="2" t="n"/>
      <c r="M659" s="21" t="inlineStr">
        <is>
          <t>01</t>
        </is>
      </c>
      <c r="N659" s="35" t="n">
        <v>10</v>
      </c>
      <c r="O659" s="7" t="n">
        <v>16.5</v>
      </c>
      <c r="P659" s="8" t="inlineStr">
        <is>
          <t>3 semaines</t>
        </is>
      </c>
      <c r="Q659" s="2" t="n">
        <v>44012</v>
      </c>
    </row>
    <row r="660" ht="15.75" customHeight="1" s="142" thickBot="1">
      <c r="A660" s="28" t="n">
        <v>34408383</v>
      </c>
      <c r="B660" s="24">
        <f>INDEX(Tableau1[], MATCH(Tableau3[[#This Row],[REFERENCE]], Tableau1[NUMERO], 0), 2)</f>
        <v/>
      </c>
      <c r="C660" s="25">
        <f>INDEX(Tableau1[], MATCH(Tableau3[[#This Row],[REFERENCE]], Tableau1[NUMERO], 0), 3)</f>
        <v/>
      </c>
      <c r="D660" s="25">
        <f>INDEX(Tableau1[], MATCH(Tableau3[[#This Row],[REFERENCE]], Tableau1[NUMERO], 0),4)</f>
        <v/>
      </c>
      <c r="E660" s="25">
        <f>INDEX(Tableau1[], MATCH(Tableau3[[#This Row],[REFERENCE]], Tableau1[NUMERO], 0), 5)</f>
        <v/>
      </c>
      <c r="F660" s="25">
        <f>INDEX(Tableau1[], MATCH(Tableau3[[#This Row],[REFERENCE]], Tableau1[NUMERO], 0), 6)</f>
        <v/>
      </c>
      <c r="G660" s="25">
        <f>INDEX(Tableau1[], MATCH(Tableau3[[#This Row],[REFERENCE]], Tableau1[NUMERO], 0), 7)</f>
        <v/>
      </c>
      <c r="H660" s="25" t="inlineStr">
        <is>
          <t>TCS tolerie</t>
        </is>
      </c>
      <c r="I660" s="28" t="n"/>
      <c r="J660" s="24" t="n">
        <v>43906</v>
      </c>
      <c r="K660" s="24" t="n">
        <v>43906</v>
      </c>
      <c r="L660" s="24" t="n"/>
      <c r="M660" s="26" t="inlineStr">
        <is>
          <t>01</t>
        </is>
      </c>
      <c r="N660" s="36" t="n">
        <v>10</v>
      </c>
      <c r="O660" s="27" t="n">
        <v>15.5</v>
      </c>
      <c r="P660" s="28" t="inlineStr">
        <is>
          <t>3 semaines</t>
        </is>
      </c>
      <c r="Q660" s="24" t="n">
        <v>44012</v>
      </c>
      <c r="R660" s="25" t="n"/>
    </row>
    <row r="661" ht="15.75" customFormat="1" customHeight="1" s="25" thickBot="1">
      <c r="A661" s="8" t="n">
        <v>34408384</v>
      </c>
      <c r="B661" s="2">
        <f>INDEX(Tableau1[], MATCH(Tableau3[[#This Row],[REFERENCE]], Tableau1[NUMERO], 0), 2)</f>
        <v/>
      </c>
      <c r="C661">
        <f>INDEX(Tableau1[], MATCH(Tableau3[[#This Row],[REFERENCE]], Tableau1[NUMERO], 0), 3)</f>
        <v/>
      </c>
      <c r="D661">
        <f>INDEX(Tableau1[], MATCH(Tableau3[[#This Row],[REFERENCE]], Tableau1[NUMERO], 0),4)</f>
        <v/>
      </c>
      <c r="E661">
        <f>INDEX(Tableau1[], MATCH(Tableau3[[#This Row],[REFERENCE]], Tableau1[NUMERO], 0), 5)</f>
        <v/>
      </c>
      <c r="F661">
        <f>INDEX(Tableau1[], MATCH(Tableau3[[#This Row],[REFERENCE]], Tableau1[NUMERO], 0), 6)</f>
        <v/>
      </c>
      <c r="G661">
        <f>INDEX(Tableau1[], MATCH(Tableau3[[#This Row],[REFERENCE]], Tableau1[NUMERO], 0), 7)</f>
        <v/>
      </c>
      <c r="H661" t="inlineStr">
        <is>
          <t>TCS tolerie</t>
        </is>
      </c>
      <c r="I661" s="8" t="n"/>
      <c r="J661" s="2" t="n">
        <v>43906</v>
      </c>
      <c r="K661" s="2" t="n">
        <v>43906</v>
      </c>
      <c r="L661" s="2" t="n"/>
      <c r="M661" s="21" t="inlineStr">
        <is>
          <t>01</t>
        </is>
      </c>
      <c r="N661" s="35" t="n">
        <v>20</v>
      </c>
      <c r="O661" s="7" t="n">
        <v>13.8</v>
      </c>
      <c r="P661" s="8" t="inlineStr">
        <is>
          <t>3 semaines</t>
        </is>
      </c>
      <c r="Q661" s="2" t="n">
        <v>44012</v>
      </c>
    </row>
    <row r="662" ht="15.75" customHeight="1" s="142" thickBot="1">
      <c r="A662" s="28" t="n">
        <v>34408385</v>
      </c>
      <c r="B662" s="24">
        <f>INDEX(Tableau1[], MATCH(Tableau3[[#This Row],[REFERENCE]], Tableau1[NUMERO], 0), 2)</f>
        <v/>
      </c>
      <c r="C662" s="25">
        <f>INDEX(Tableau1[], MATCH(Tableau3[[#This Row],[REFERENCE]], Tableau1[NUMERO], 0), 3)</f>
        <v/>
      </c>
      <c r="D662" s="25">
        <f>INDEX(Tableau1[], MATCH(Tableau3[[#This Row],[REFERENCE]], Tableau1[NUMERO], 0),4)</f>
        <v/>
      </c>
      <c r="E662" s="25">
        <f>INDEX(Tableau1[], MATCH(Tableau3[[#This Row],[REFERENCE]], Tableau1[NUMERO], 0), 5)</f>
        <v/>
      </c>
      <c r="F662" s="25">
        <f>INDEX(Tableau1[], MATCH(Tableau3[[#This Row],[REFERENCE]], Tableau1[NUMERO], 0), 6)</f>
        <v/>
      </c>
      <c r="G662" s="25">
        <f>INDEX(Tableau1[], MATCH(Tableau3[[#This Row],[REFERENCE]], Tableau1[NUMERO], 0), 7)</f>
        <v/>
      </c>
      <c r="H662" s="25" t="inlineStr">
        <is>
          <t>TCS tolerie</t>
        </is>
      </c>
      <c r="I662" s="28" t="n"/>
      <c r="J662" s="24" t="n">
        <v>43906</v>
      </c>
      <c r="K662" s="24" t="n">
        <v>43906</v>
      </c>
      <c r="L662" s="24" t="n"/>
      <c r="M662" s="26" t="inlineStr">
        <is>
          <t>01</t>
        </is>
      </c>
      <c r="N662" s="36" t="n">
        <v>20</v>
      </c>
      <c r="O662" s="27" t="n">
        <v>16</v>
      </c>
      <c r="P662" s="28" t="inlineStr">
        <is>
          <t>3 semaines</t>
        </is>
      </c>
      <c r="Q662" s="24" t="n">
        <v>44012</v>
      </c>
      <c r="R662" s="25" t="n"/>
    </row>
    <row r="663" ht="15.75" customFormat="1" customHeight="1" s="25" thickBot="1">
      <c r="A663" s="126" t="n">
        <v>34408239</v>
      </c>
      <c r="B663" s="2">
        <f>INDEX(Tableau1[], MATCH(Tableau3[[#This Row],[REFERENCE]], Tableau1[NUMERO], 0), 2)</f>
        <v/>
      </c>
      <c r="C663">
        <f>INDEX(Tableau1[], MATCH(Tableau3[[#This Row],[REFERENCE]], Tableau1[NUMERO], 0), 3)</f>
        <v/>
      </c>
      <c r="D663">
        <f>INDEX(Tableau1[], MATCH(Tableau3[[#This Row],[REFERENCE]], Tableau1[NUMERO], 0),4)</f>
        <v/>
      </c>
      <c r="E663">
        <f>INDEX(Tableau1[], MATCH(Tableau3[[#This Row],[REFERENCE]], Tableau1[NUMERO], 0), 5)</f>
        <v/>
      </c>
      <c r="F663">
        <f>INDEX(Tableau1[], MATCH(Tableau3[[#This Row],[REFERENCE]], Tableau1[NUMERO], 0), 6)</f>
        <v/>
      </c>
      <c r="G663">
        <f>INDEX(Tableau1[], MATCH(Tableau3[[#This Row],[REFERENCE]], Tableau1[NUMERO], 0), 7)</f>
        <v/>
      </c>
      <c r="H663" t="inlineStr">
        <is>
          <t>lasertechnic</t>
        </is>
      </c>
      <c r="I663" s="8" t="n"/>
      <c r="J663" s="11" t="inlineStr">
        <is>
          <t>???</t>
        </is>
      </c>
      <c r="K663" s="2" t="n">
        <v>43872</v>
      </c>
      <c r="L663" s="2" t="n"/>
      <c r="M663" s="21" t="inlineStr">
        <is>
          <t>02</t>
        </is>
      </c>
      <c r="N663" s="35" t="n">
        <v>2</v>
      </c>
      <c r="O663" s="7" t="n">
        <v>18.05</v>
      </c>
      <c r="P663" s="8" t="inlineStr">
        <is>
          <t>5 JOURS</t>
        </is>
      </c>
      <c r="Q663" s="2" t="n">
        <v>43962</v>
      </c>
      <c r="R663" t="inlineStr">
        <is>
          <t>pas fait par olivier</t>
        </is>
      </c>
    </row>
    <row r="664" ht="15.75" customHeight="1" s="142" thickBot="1">
      <c r="A664" s="45" t="n">
        <v>34408221</v>
      </c>
      <c r="B664" s="24">
        <f>INDEX(Tableau1[], MATCH(Tableau3[[#This Row],[REFERENCE]], Tableau1[NUMERO], 0), 2)</f>
        <v/>
      </c>
      <c r="C664" s="25">
        <f>INDEX(Tableau1[], MATCH(Tableau3[[#This Row],[REFERENCE]], Tableau1[NUMERO], 0), 3)</f>
        <v/>
      </c>
      <c r="D664" s="25">
        <f>INDEX(Tableau1[], MATCH(Tableau3[[#This Row],[REFERENCE]], Tableau1[NUMERO], 0),4)</f>
        <v/>
      </c>
      <c r="E664" s="25">
        <f>INDEX(Tableau1[], MATCH(Tableau3[[#This Row],[REFERENCE]], Tableau1[NUMERO], 0), 5)</f>
        <v/>
      </c>
      <c r="F664" s="25">
        <f>INDEX(Tableau1[], MATCH(Tableau3[[#This Row],[REFERENCE]], Tableau1[NUMERO], 0), 6)</f>
        <v/>
      </c>
      <c r="G664" s="25">
        <f>INDEX(Tableau1[], MATCH(Tableau3[[#This Row],[REFERENCE]], Tableau1[NUMERO], 0), 7)</f>
        <v/>
      </c>
      <c r="H664" s="25" t="inlineStr">
        <is>
          <t>lasertechnic</t>
        </is>
      </c>
      <c r="I664" s="28" t="n"/>
      <c r="J664" s="34" t="inlineStr">
        <is>
          <t>???</t>
        </is>
      </c>
      <c r="K664" s="24" t="n">
        <v>43872</v>
      </c>
      <c r="L664" s="24" t="n"/>
      <c r="M664" s="26" t="inlineStr">
        <is>
          <t>02</t>
        </is>
      </c>
      <c r="N664" s="36" t="n">
        <v>2</v>
      </c>
      <c r="O664" s="27" t="n">
        <v>18.05</v>
      </c>
      <c r="P664" s="28" t="inlineStr">
        <is>
          <t>5 JOURS</t>
        </is>
      </c>
      <c r="Q664" s="24" t="n">
        <v>43962</v>
      </c>
      <c r="R664" s="25" t="inlineStr">
        <is>
          <t>pas fait par olivier</t>
        </is>
      </c>
    </row>
    <row r="665">
      <c r="A665" s="8" t="n">
        <v>34408402</v>
      </c>
      <c r="B665" s="2">
        <f>INDEX(Tableau1[], MATCH(Tableau3[[#This Row],[REFERENCE]], Tableau1[NUMERO], 0), 2)</f>
        <v/>
      </c>
      <c r="C665">
        <f>INDEX(Tableau1[], MATCH(Tableau3[[#This Row],[REFERENCE]], Tableau1[NUMERO], 0), 3)</f>
        <v/>
      </c>
      <c r="D665">
        <f>INDEX(Tableau1[], MATCH(Tableau3[[#This Row],[REFERENCE]], Tableau1[NUMERO], 0),4)</f>
        <v/>
      </c>
      <c r="E665">
        <f>INDEX(Tableau1[], MATCH(Tableau3[[#This Row],[REFERENCE]], Tableau1[NUMERO], 0), 5)</f>
        <v/>
      </c>
      <c r="F665">
        <f>INDEX(Tableau1[], MATCH(Tableau3[[#This Row],[REFERENCE]], Tableau1[NUMERO], 0), 6)</f>
        <v/>
      </c>
      <c r="G665">
        <f>INDEX(Tableau1[], MATCH(Tableau3[[#This Row],[REFERENCE]], Tableau1[NUMERO], 0), 7)</f>
        <v/>
      </c>
      <c r="H665" t="inlineStr">
        <is>
          <t>thyssen</t>
        </is>
      </c>
      <c r="J665" s="2" t="n">
        <v>43917</v>
      </c>
      <c r="K665" s="2" t="n">
        <v>43922</v>
      </c>
      <c r="L665" s="2" t="n"/>
      <c r="M665" s="21" t="inlineStr">
        <is>
          <t>01</t>
        </is>
      </c>
      <c r="N665" s="8" t="n">
        <v>2</v>
      </c>
      <c r="O665" s="7" t="n">
        <v>20.1</v>
      </c>
      <c r="P665" s="8" t="inlineStr">
        <is>
          <t>2 semaines</t>
        </is>
      </c>
      <c r="Q665" s="2" t="n">
        <v>43929</v>
      </c>
    </row>
    <row r="666">
      <c r="A666" s="8" t="n">
        <v>34408401</v>
      </c>
      <c r="B666" s="2">
        <f>INDEX(Tableau1[], MATCH(Tableau3[[#This Row],[REFERENCE]], Tableau1[NUMERO], 0), 2)</f>
        <v/>
      </c>
      <c r="C666">
        <f>INDEX(Tableau1[], MATCH(Tableau3[[#This Row],[REFERENCE]], Tableau1[NUMERO], 0), 3)</f>
        <v/>
      </c>
      <c r="D666">
        <f>INDEX(Tableau1[], MATCH(Tableau3[[#This Row],[REFERENCE]], Tableau1[NUMERO], 0),4)</f>
        <v/>
      </c>
      <c r="E666">
        <f>INDEX(Tableau1[], MATCH(Tableau3[[#This Row],[REFERENCE]], Tableau1[NUMERO], 0), 5)</f>
        <v/>
      </c>
      <c r="F666">
        <f>INDEX(Tableau1[], MATCH(Tableau3[[#This Row],[REFERENCE]], Tableau1[NUMERO], 0), 6)</f>
        <v/>
      </c>
      <c r="G666">
        <f>INDEX(Tableau1[], MATCH(Tableau3[[#This Row],[REFERENCE]], Tableau1[NUMERO], 0), 7)</f>
        <v/>
      </c>
      <c r="H666" t="inlineStr">
        <is>
          <t>thyssen</t>
        </is>
      </c>
      <c r="J666" s="2" t="n">
        <v>43917</v>
      </c>
      <c r="K666" s="2" t="n">
        <v>43922</v>
      </c>
      <c r="L666" s="2" t="n"/>
      <c r="M666" s="21" t="inlineStr">
        <is>
          <t>01</t>
        </is>
      </c>
      <c r="N666" s="8" t="n">
        <v>2</v>
      </c>
      <c r="O666" s="7" t="n">
        <v>19.95</v>
      </c>
      <c r="P666" s="8" t="inlineStr">
        <is>
          <t>2 semaines</t>
        </is>
      </c>
      <c r="Q666" s="2" t="n">
        <v>43929</v>
      </c>
    </row>
    <row r="667">
      <c r="A667" s="8" t="n">
        <v>34408399</v>
      </c>
      <c r="B667" s="2">
        <f>INDEX(Tableau1[], MATCH(Tableau3[[#This Row],[REFERENCE]], Tableau1[NUMERO], 0), 2)</f>
        <v/>
      </c>
      <c r="C667">
        <f>INDEX(Tableau1[], MATCH(Tableau3[[#This Row],[REFERENCE]], Tableau1[NUMERO], 0), 3)</f>
        <v/>
      </c>
      <c r="D667">
        <f>INDEX(Tableau1[], MATCH(Tableau3[[#This Row],[REFERENCE]], Tableau1[NUMERO], 0),4)</f>
        <v/>
      </c>
      <c r="E667">
        <f>INDEX(Tableau1[], MATCH(Tableau3[[#This Row],[REFERENCE]], Tableau1[NUMERO], 0), 5)</f>
        <v/>
      </c>
      <c r="F667">
        <f>INDEX(Tableau1[], MATCH(Tableau3[[#This Row],[REFERENCE]], Tableau1[NUMERO], 0), 6)</f>
        <v/>
      </c>
      <c r="G667">
        <f>INDEX(Tableau1[], MATCH(Tableau3[[#This Row],[REFERENCE]], Tableau1[NUMERO], 0), 7)</f>
        <v/>
      </c>
      <c r="H667" t="inlineStr">
        <is>
          <t>thyssen</t>
        </is>
      </c>
      <c r="J667" s="2" t="n">
        <v>43917</v>
      </c>
      <c r="K667" s="2" t="n">
        <v>43922</v>
      </c>
      <c r="L667" s="2" t="n"/>
      <c r="M667" s="21" t="inlineStr">
        <is>
          <t>01</t>
        </is>
      </c>
      <c r="N667" s="8" t="n">
        <v>2</v>
      </c>
      <c r="O667" s="7" t="n">
        <v>50.7</v>
      </c>
      <c r="P667" s="8" t="inlineStr">
        <is>
          <t>2 semaines</t>
        </is>
      </c>
      <c r="Q667" s="2" t="n">
        <v>43929</v>
      </c>
    </row>
    <row r="668">
      <c r="A668" s="8" t="n">
        <v>34408398</v>
      </c>
      <c r="B668" s="2">
        <f>INDEX(Tableau1[], MATCH(Tableau3[[#This Row],[REFERENCE]], Tableau1[NUMERO], 0), 2)</f>
        <v/>
      </c>
      <c r="C668">
        <f>INDEX(Tableau1[], MATCH(Tableau3[[#This Row],[REFERENCE]], Tableau1[NUMERO], 0), 3)</f>
        <v/>
      </c>
      <c r="D668">
        <f>INDEX(Tableau1[], MATCH(Tableau3[[#This Row],[REFERENCE]], Tableau1[NUMERO], 0),4)</f>
        <v/>
      </c>
      <c r="E668">
        <f>INDEX(Tableau1[], MATCH(Tableau3[[#This Row],[REFERENCE]], Tableau1[NUMERO], 0), 5)</f>
        <v/>
      </c>
      <c r="F668">
        <f>INDEX(Tableau1[], MATCH(Tableau3[[#This Row],[REFERENCE]], Tableau1[NUMERO], 0), 6)</f>
        <v/>
      </c>
      <c r="G668">
        <f>INDEX(Tableau1[], MATCH(Tableau3[[#This Row],[REFERENCE]], Tableau1[NUMERO], 0), 7)</f>
        <v/>
      </c>
      <c r="H668" t="inlineStr">
        <is>
          <t>thyssen</t>
        </is>
      </c>
      <c r="J668" s="2" t="n">
        <v>43917</v>
      </c>
      <c r="K668" s="2" t="n">
        <v>43922</v>
      </c>
      <c r="L668" s="2" t="n"/>
      <c r="M668" s="21" t="inlineStr">
        <is>
          <t>01</t>
        </is>
      </c>
      <c r="N668" s="8" t="n">
        <v>2</v>
      </c>
      <c r="O668" s="7" t="n">
        <v>50.7</v>
      </c>
      <c r="P668" s="8" t="inlineStr">
        <is>
          <t>2 semaines</t>
        </is>
      </c>
      <c r="Q668" s="2" t="n">
        <v>43929</v>
      </c>
    </row>
    <row r="669">
      <c r="A669" s="8" t="n">
        <v>34408397</v>
      </c>
      <c r="B669" s="2">
        <f>INDEX(Tableau1[], MATCH(Tableau3[[#This Row],[REFERENCE]], Tableau1[NUMERO], 0), 2)</f>
        <v/>
      </c>
      <c r="C669">
        <f>INDEX(Tableau1[], MATCH(Tableau3[[#This Row],[REFERENCE]], Tableau1[NUMERO], 0), 3)</f>
        <v/>
      </c>
      <c r="D669">
        <f>INDEX(Tableau1[], MATCH(Tableau3[[#This Row],[REFERENCE]], Tableau1[NUMERO], 0),4)</f>
        <v/>
      </c>
      <c r="E669">
        <f>INDEX(Tableau1[], MATCH(Tableau3[[#This Row],[REFERENCE]], Tableau1[NUMERO], 0), 5)</f>
        <v/>
      </c>
      <c r="F669">
        <f>INDEX(Tableau1[], MATCH(Tableau3[[#This Row],[REFERENCE]], Tableau1[NUMERO], 0), 6)</f>
        <v/>
      </c>
      <c r="G669">
        <f>INDEX(Tableau1[], MATCH(Tableau3[[#This Row],[REFERENCE]], Tableau1[NUMERO], 0), 7)</f>
        <v/>
      </c>
      <c r="H669" t="inlineStr">
        <is>
          <t>thyssen</t>
        </is>
      </c>
      <c r="J669" s="2" t="n">
        <v>43917</v>
      </c>
      <c r="K669" s="2" t="n">
        <v>43922</v>
      </c>
      <c r="L669" s="2" t="n"/>
      <c r="M669" s="21" t="inlineStr">
        <is>
          <t>01</t>
        </is>
      </c>
      <c r="N669" s="8" t="n">
        <v>2</v>
      </c>
      <c r="O669" s="7" t="n">
        <v>26.15</v>
      </c>
      <c r="P669" s="8" t="inlineStr">
        <is>
          <t>2 semaines</t>
        </is>
      </c>
      <c r="Q669" s="2" t="n">
        <v>43929</v>
      </c>
    </row>
    <row r="670">
      <c r="A670" s="8" t="n">
        <v>34408396</v>
      </c>
      <c r="B670" s="2">
        <f>INDEX(Tableau1[], MATCH(Tableau3[[#This Row],[REFERENCE]], Tableau1[NUMERO], 0), 2)</f>
        <v/>
      </c>
      <c r="C670">
        <f>INDEX(Tableau1[], MATCH(Tableau3[[#This Row],[REFERENCE]], Tableau1[NUMERO], 0), 3)</f>
        <v/>
      </c>
      <c r="D670">
        <f>INDEX(Tableau1[], MATCH(Tableau3[[#This Row],[REFERENCE]], Tableau1[NUMERO], 0),4)</f>
        <v/>
      </c>
      <c r="E670">
        <f>INDEX(Tableau1[], MATCH(Tableau3[[#This Row],[REFERENCE]], Tableau1[NUMERO], 0), 5)</f>
        <v/>
      </c>
      <c r="F670">
        <f>INDEX(Tableau1[], MATCH(Tableau3[[#This Row],[REFERENCE]], Tableau1[NUMERO], 0), 6)</f>
        <v/>
      </c>
      <c r="G670">
        <f>INDEX(Tableau1[], MATCH(Tableau3[[#This Row],[REFERENCE]], Tableau1[NUMERO], 0), 7)</f>
        <v/>
      </c>
      <c r="H670" t="inlineStr">
        <is>
          <t>thyssen</t>
        </is>
      </c>
      <c r="J670" s="2" t="n">
        <v>43917</v>
      </c>
      <c r="K670" s="2" t="n">
        <v>43922</v>
      </c>
      <c r="L670" s="2" t="n"/>
      <c r="M670" s="21" t="inlineStr">
        <is>
          <t>01</t>
        </is>
      </c>
      <c r="N670" s="8" t="n">
        <v>2</v>
      </c>
      <c r="O670" s="7" t="n">
        <v>22.6</v>
      </c>
      <c r="P670" s="8" t="inlineStr">
        <is>
          <t>2 semaines</t>
        </is>
      </c>
      <c r="Q670" s="2" t="n">
        <v>43929</v>
      </c>
    </row>
    <row r="671">
      <c r="A671" s="8" t="n">
        <v>34408395</v>
      </c>
      <c r="B671" s="2">
        <f>INDEX(Tableau1[], MATCH(Tableau3[[#This Row],[REFERENCE]], Tableau1[NUMERO], 0), 2)</f>
        <v/>
      </c>
      <c r="C671">
        <f>INDEX(Tableau1[], MATCH(Tableau3[[#This Row],[REFERENCE]], Tableau1[NUMERO], 0), 3)</f>
        <v/>
      </c>
      <c r="D671">
        <f>INDEX(Tableau1[], MATCH(Tableau3[[#This Row],[REFERENCE]], Tableau1[NUMERO], 0),4)</f>
        <v/>
      </c>
      <c r="E671">
        <f>INDEX(Tableau1[], MATCH(Tableau3[[#This Row],[REFERENCE]], Tableau1[NUMERO], 0), 5)</f>
        <v/>
      </c>
      <c r="F671">
        <f>INDEX(Tableau1[], MATCH(Tableau3[[#This Row],[REFERENCE]], Tableau1[NUMERO], 0), 6)</f>
        <v/>
      </c>
      <c r="G671">
        <f>INDEX(Tableau1[], MATCH(Tableau3[[#This Row],[REFERENCE]], Tableau1[NUMERO], 0), 7)</f>
        <v/>
      </c>
      <c r="H671" t="inlineStr">
        <is>
          <t>thyssen</t>
        </is>
      </c>
      <c r="J671" s="2" t="n">
        <v>43917</v>
      </c>
      <c r="K671" s="2" t="n">
        <v>43922</v>
      </c>
      <c r="L671" s="2" t="n"/>
      <c r="M671" s="21" t="inlineStr">
        <is>
          <t>01</t>
        </is>
      </c>
      <c r="N671" s="8" t="n">
        <v>2</v>
      </c>
      <c r="O671" s="7" t="n">
        <v>22.15</v>
      </c>
      <c r="P671" s="8" t="inlineStr">
        <is>
          <t>2 semaines</t>
        </is>
      </c>
      <c r="Q671" s="2" t="n">
        <v>43929</v>
      </c>
    </row>
    <row r="672">
      <c r="A672" s="8" t="n">
        <v>34408394</v>
      </c>
      <c r="B672" s="2">
        <f>INDEX(Tableau1[], MATCH(Tableau3[[#This Row],[REFERENCE]], Tableau1[NUMERO], 0), 2)</f>
        <v/>
      </c>
      <c r="C672">
        <f>INDEX(Tableau1[], MATCH(Tableau3[[#This Row],[REFERENCE]], Tableau1[NUMERO], 0), 3)</f>
        <v/>
      </c>
      <c r="D672">
        <f>INDEX(Tableau1[], MATCH(Tableau3[[#This Row],[REFERENCE]], Tableau1[NUMERO], 0),4)</f>
        <v/>
      </c>
      <c r="E672">
        <f>INDEX(Tableau1[], MATCH(Tableau3[[#This Row],[REFERENCE]], Tableau1[NUMERO], 0), 5)</f>
        <v/>
      </c>
      <c r="F672">
        <f>INDEX(Tableau1[], MATCH(Tableau3[[#This Row],[REFERENCE]], Tableau1[NUMERO], 0), 6)</f>
        <v/>
      </c>
      <c r="G672">
        <f>INDEX(Tableau1[], MATCH(Tableau3[[#This Row],[REFERENCE]], Tableau1[NUMERO], 0), 7)</f>
        <v/>
      </c>
      <c r="H672" t="inlineStr">
        <is>
          <t>thyssen</t>
        </is>
      </c>
      <c r="J672" s="2" t="n">
        <v>43917</v>
      </c>
      <c r="K672" s="2" t="n">
        <v>43922</v>
      </c>
      <c r="L672" s="2" t="n"/>
      <c r="M672" s="21" t="inlineStr">
        <is>
          <t>01</t>
        </is>
      </c>
      <c r="N672" s="8" t="n">
        <v>2</v>
      </c>
      <c r="O672" s="7" t="n">
        <v>26.85</v>
      </c>
      <c r="P672" s="8" t="inlineStr">
        <is>
          <t>2 semaines</t>
        </is>
      </c>
      <c r="Q672" s="2" t="n">
        <v>43929</v>
      </c>
    </row>
    <row r="673" ht="15.75" customFormat="1" customHeight="1" s="25" thickBot="1">
      <c r="A673" s="8" t="n">
        <v>34408393</v>
      </c>
      <c r="B673" s="2">
        <f>INDEX(Tableau1[], MATCH(Tableau3[[#This Row],[REFERENCE]], Tableau1[NUMERO], 0), 2)</f>
        <v/>
      </c>
      <c r="C673">
        <f>INDEX(Tableau1[], MATCH(Tableau3[[#This Row],[REFERENCE]], Tableau1[NUMERO], 0), 3)</f>
        <v/>
      </c>
      <c r="D673">
        <f>INDEX(Tableau1[], MATCH(Tableau3[[#This Row],[REFERENCE]], Tableau1[NUMERO], 0),4)</f>
        <v/>
      </c>
      <c r="E673">
        <f>INDEX(Tableau1[], MATCH(Tableau3[[#This Row],[REFERENCE]], Tableau1[NUMERO], 0), 5)</f>
        <v/>
      </c>
      <c r="F673">
        <f>INDEX(Tableau1[], MATCH(Tableau3[[#This Row],[REFERENCE]], Tableau1[NUMERO], 0), 6)</f>
        <v/>
      </c>
      <c r="G673">
        <f>INDEX(Tableau1[], MATCH(Tableau3[[#This Row],[REFERENCE]], Tableau1[NUMERO], 0), 7)</f>
        <v/>
      </c>
      <c r="H673" t="inlineStr">
        <is>
          <t>thyssen</t>
        </is>
      </c>
      <c r="I673" s="8" t="n"/>
      <c r="J673" s="2" t="n">
        <v>43917</v>
      </c>
      <c r="K673" s="2" t="n">
        <v>43922</v>
      </c>
      <c r="L673" s="2" t="n"/>
      <c r="M673" s="21" t="inlineStr">
        <is>
          <t>01</t>
        </is>
      </c>
      <c r="N673" s="8" t="n">
        <v>4</v>
      </c>
      <c r="O673" s="7" t="n">
        <v>46.45</v>
      </c>
      <c r="P673" s="8" t="inlineStr">
        <is>
          <t>2 semaines</t>
        </is>
      </c>
      <c r="Q673" s="2" t="n">
        <v>43929</v>
      </c>
    </row>
    <row r="674" ht="15.75" customHeight="1" s="142" thickBot="1">
      <c r="A674" s="26" t="inlineStr">
        <is>
          <t>34403504</t>
        </is>
      </c>
      <c r="B674" s="24">
        <f>INDEX(Tableau1[], MATCH(Tableau3[[#This Row],[REFERENCE]], Tableau1[NUMERO], 0), 2)</f>
        <v/>
      </c>
      <c r="C674" s="25">
        <f>INDEX(Tableau1[], MATCH(Tableau3[[#This Row],[REFERENCE]], Tableau1[NUMERO], 0), 3)</f>
        <v/>
      </c>
      <c r="D674" s="25">
        <f>INDEX(Tableau1[], MATCH(Tableau3[[#This Row],[REFERENCE]], Tableau1[NUMERO], 0),4)</f>
        <v/>
      </c>
      <c r="E674" s="25">
        <f>INDEX(Tableau1[], MATCH(Tableau3[[#This Row],[REFERENCE]], Tableau1[NUMERO], 0), 5)</f>
        <v/>
      </c>
      <c r="F674" s="25">
        <f>INDEX(Tableau1[], MATCH(Tableau3[[#This Row],[REFERENCE]], Tableau1[NUMERO], 0), 6)</f>
        <v/>
      </c>
      <c r="G674" s="25">
        <f>INDEX(Tableau1[], MATCH(Tableau3[[#This Row],[REFERENCE]], Tableau1[NUMERO], 0), 7)</f>
        <v/>
      </c>
      <c r="H674" s="25" t="inlineStr">
        <is>
          <t>thyssen</t>
        </is>
      </c>
      <c r="I674" s="28" t="n"/>
      <c r="J674" s="24" t="n">
        <v>43917</v>
      </c>
      <c r="K674" s="24" t="n">
        <v>43922</v>
      </c>
      <c r="L674" s="24" t="n"/>
      <c r="M674" s="26" t="inlineStr">
        <is>
          <t>01</t>
        </is>
      </c>
      <c r="N674" s="28" t="n">
        <v>1</v>
      </c>
      <c r="O674" s="27" t="n">
        <v>35.7</v>
      </c>
      <c r="P674" s="28" t="inlineStr">
        <is>
          <t>2 semaines</t>
        </is>
      </c>
      <c r="Q674" s="24" t="n">
        <v>43929</v>
      </c>
      <c r="R674" s="25" t="n"/>
    </row>
    <row r="675">
      <c r="A675" s="8" t="n">
        <v>34408400</v>
      </c>
      <c r="B675" s="2">
        <f>INDEX(Tableau1[], MATCH(Tableau3[[#This Row],[REFERENCE]], Tableau1[NUMERO], 0), 2)</f>
        <v/>
      </c>
      <c r="C675">
        <f>INDEX(Tableau1[], MATCH(Tableau3[[#This Row],[REFERENCE]], Tableau1[NUMERO], 0), 3)</f>
        <v/>
      </c>
      <c r="D675">
        <f>INDEX(Tableau1[], MATCH(Tableau3[[#This Row],[REFERENCE]], Tableau1[NUMERO], 0),4)</f>
        <v/>
      </c>
      <c r="E675">
        <f>INDEX(Tableau1[], MATCH(Tableau3[[#This Row],[REFERENCE]], Tableau1[NUMERO], 0), 5)</f>
        <v/>
      </c>
      <c r="F675">
        <f>INDEX(Tableau1[], MATCH(Tableau3[[#This Row],[REFERENCE]], Tableau1[NUMERO], 0), 6)</f>
        <v/>
      </c>
      <c r="G675">
        <f>INDEX(Tableau1[], MATCH(Tableau3[[#This Row],[REFERENCE]], Tableau1[NUMERO], 0), 7)</f>
        <v/>
      </c>
      <c r="H675" t="inlineStr">
        <is>
          <t>lasertechnic</t>
        </is>
      </c>
      <c r="J675" s="2" t="n">
        <v>43917</v>
      </c>
      <c r="K675" s="2" t="n">
        <v>43920</v>
      </c>
      <c r="L675" s="2" t="n"/>
      <c r="M675" s="21" t="inlineStr">
        <is>
          <t>01</t>
        </is>
      </c>
      <c r="N675" s="8" t="n">
        <v>2</v>
      </c>
      <c r="O675" s="7" t="n">
        <v>15</v>
      </c>
      <c r="P675" s="8" t="inlineStr">
        <is>
          <t>5 JOURS</t>
        </is>
      </c>
      <c r="Q675" s="2" t="n">
        <v>44012</v>
      </c>
    </row>
    <row r="676">
      <c r="A676" s="8" t="n">
        <v>34408392</v>
      </c>
      <c r="B676" s="2">
        <f>INDEX(Tableau1[], MATCH(Tableau3[[#This Row],[REFERENCE]], Tableau1[NUMERO], 0), 2)</f>
        <v/>
      </c>
      <c r="C676">
        <f>INDEX(Tableau1[], MATCH(Tableau3[[#This Row],[REFERENCE]], Tableau1[NUMERO], 0), 3)</f>
        <v/>
      </c>
      <c r="D676">
        <f>INDEX(Tableau1[], MATCH(Tableau3[[#This Row],[REFERENCE]], Tableau1[NUMERO], 0),4)</f>
        <v/>
      </c>
      <c r="E676">
        <f>INDEX(Tableau1[], MATCH(Tableau3[[#This Row],[REFERENCE]], Tableau1[NUMERO], 0), 5)</f>
        <v/>
      </c>
      <c r="F676">
        <f>INDEX(Tableau1[], MATCH(Tableau3[[#This Row],[REFERENCE]], Tableau1[NUMERO], 0), 6)</f>
        <v/>
      </c>
      <c r="G676">
        <f>INDEX(Tableau1[], MATCH(Tableau3[[#This Row],[REFERENCE]], Tableau1[NUMERO], 0), 7)</f>
        <v/>
      </c>
      <c r="H676" t="inlineStr">
        <is>
          <t>lasertechnic</t>
        </is>
      </c>
      <c r="J676" s="2" t="n">
        <v>43917</v>
      </c>
      <c r="K676" s="2" t="n">
        <v>43920</v>
      </c>
      <c r="L676" s="2" t="n"/>
      <c r="M676" s="21" t="inlineStr">
        <is>
          <t>01</t>
        </is>
      </c>
      <c r="N676" s="8" t="n">
        <v>2</v>
      </c>
      <c r="O676" s="7" t="n">
        <v>19</v>
      </c>
      <c r="P676" s="8" t="inlineStr">
        <is>
          <t>5 JOURS</t>
        </is>
      </c>
      <c r="Q676" s="2" t="n">
        <v>44012</v>
      </c>
    </row>
    <row r="677">
      <c r="A677" s="8" t="n">
        <v>34408391</v>
      </c>
      <c r="B677" s="2">
        <f>INDEX(Tableau1[], MATCH(Tableau3[[#This Row],[REFERENCE]], Tableau1[NUMERO], 0), 2)</f>
        <v/>
      </c>
      <c r="C677">
        <f>INDEX(Tableau1[], MATCH(Tableau3[[#This Row],[REFERENCE]], Tableau1[NUMERO], 0), 3)</f>
        <v/>
      </c>
      <c r="D677">
        <f>INDEX(Tableau1[], MATCH(Tableau3[[#This Row],[REFERENCE]], Tableau1[NUMERO], 0),4)</f>
        <v/>
      </c>
      <c r="E677">
        <f>INDEX(Tableau1[], MATCH(Tableau3[[#This Row],[REFERENCE]], Tableau1[NUMERO], 0), 5)</f>
        <v/>
      </c>
      <c r="F677">
        <f>INDEX(Tableau1[], MATCH(Tableau3[[#This Row],[REFERENCE]], Tableau1[NUMERO], 0), 6)</f>
        <v/>
      </c>
      <c r="G677">
        <f>INDEX(Tableau1[], MATCH(Tableau3[[#This Row],[REFERENCE]], Tableau1[NUMERO], 0), 7)</f>
        <v/>
      </c>
      <c r="H677" t="inlineStr">
        <is>
          <t>lasertechnic</t>
        </is>
      </c>
      <c r="J677" s="2" t="n">
        <v>43917</v>
      </c>
      <c r="K677" s="2" t="n">
        <v>43920</v>
      </c>
      <c r="L677" s="2" t="n"/>
      <c r="M677" s="21" t="inlineStr">
        <is>
          <t>01</t>
        </is>
      </c>
      <c r="N677" s="8" t="n">
        <v>1</v>
      </c>
      <c r="O677" s="7" t="n">
        <v>55</v>
      </c>
      <c r="P677" s="8" t="inlineStr">
        <is>
          <t>5 JOURS</t>
        </is>
      </c>
      <c r="Q677" s="2" t="n">
        <v>44012</v>
      </c>
    </row>
    <row r="678">
      <c r="A678" s="8" t="n">
        <v>34408390</v>
      </c>
      <c r="B678" s="2">
        <f>INDEX(Tableau1[], MATCH(Tableau3[[#This Row],[REFERENCE]], Tableau1[NUMERO], 0), 2)</f>
        <v/>
      </c>
      <c r="C678">
        <f>INDEX(Tableau1[], MATCH(Tableau3[[#This Row],[REFERENCE]], Tableau1[NUMERO], 0), 3)</f>
        <v/>
      </c>
      <c r="D678">
        <f>INDEX(Tableau1[], MATCH(Tableau3[[#This Row],[REFERENCE]], Tableau1[NUMERO], 0),4)</f>
        <v/>
      </c>
      <c r="E678">
        <f>INDEX(Tableau1[], MATCH(Tableau3[[#This Row],[REFERENCE]], Tableau1[NUMERO], 0), 5)</f>
        <v/>
      </c>
      <c r="F678">
        <f>INDEX(Tableau1[], MATCH(Tableau3[[#This Row],[REFERENCE]], Tableau1[NUMERO], 0), 6)</f>
        <v/>
      </c>
      <c r="G678">
        <f>INDEX(Tableau1[], MATCH(Tableau3[[#This Row],[REFERENCE]], Tableau1[NUMERO], 0), 7)</f>
        <v/>
      </c>
      <c r="H678" t="inlineStr">
        <is>
          <t>lasertechnic</t>
        </is>
      </c>
      <c r="J678" s="2" t="n">
        <v>43917</v>
      </c>
      <c r="K678" s="2" t="n">
        <v>43920</v>
      </c>
      <c r="L678" s="2" t="n"/>
      <c r="M678" s="21" t="inlineStr">
        <is>
          <t>01</t>
        </is>
      </c>
      <c r="N678" s="8" t="n">
        <v>1</v>
      </c>
      <c r="O678" s="7" t="n">
        <v>38</v>
      </c>
      <c r="P678" s="8" t="inlineStr">
        <is>
          <t>5 JOURS</t>
        </is>
      </c>
      <c r="Q678" s="2" t="n">
        <v>44012</v>
      </c>
    </row>
    <row r="679" ht="15.75" customFormat="1" customHeight="1" s="25" thickBot="1">
      <c r="A679" s="8" t="n">
        <v>34408389</v>
      </c>
      <c r="B679" s="2">
        <f>INDEX(Tableau1[], MATCH(Tableau3[[#This Row],[REFERENCE]], Tableau1[NUMERO], 0), 2)</f>
        <v/>
      </c>
      <c r="C679">
        <f>INDEX(Tableau1[], MATCH(Tableau3[[#This Row],[REFERENCE]], Tableau1[NUMERO], 0), 3)</f>
        <v/>
      </c>
      <c r="D679">
        <f>INDEX(Tableau1[], MATCH(Tableau3[[#This Row],[REFERENCE]], Tableau1[NUMERO], 0),4)</f>
        <v/>
      </c>
      <c r="E679">
        <f>INDEX(Tableau1[], MATCH(Tableau3[[#This Row],[REFERENCE]], Tableau1[NUMERO], 0), 5)</f>
        <v/>
      </c>
      <c r="F679">
        <f>INDEX(Tableau1[], MATCH(Tableau3[[#This Row],[REFERENCE]], Tableau1[NUMERO], 0), 6)</f>
        <v/>
      </c>
      <c r="G679">
        <f>INDEX(Tableau1[], MATCH(Tableau3[[#This Row],[REFERENCE]], Tableau1[NUMERO], 0), 7)</f>
        <v/>
      </c>
      <c r="H679" t="inlineStr">
        <is>
          <t>lasertechnic</t>
        </is>
      </c>
      <c r="I679" s="8" t="n"/>
      <c r="J679" s="2" t="n">
        <v>43917</v>
      </c>
      <c r="K679" s="2" t="n">
        <v>43920</v>
      </c>
      <c r="L679" s="2" t="n"/>
      <c r="M679" s="21" t="inlineStr">
        <is>
          <t>01</t>
        </is>
      </c>
      <c r="N679" s="8" t="n">
        <v>1</v>
      </c>
      <c r="O679" s="7" t="n">
        <v>58</v>
      </c>
      <c r="P679" s="8" t="inlineStr">
        <is>
          <t>5 JOURS</t>
        </is>
      </c>
      <c r="Q679" s="2" t="n">
        <v>44012</v>
      </c>
    </row>
    <row r="680" ht="15.75" customHeight="1" s="142" thickBot="1">
      <c r="A680" s="28" t="n">
        <v>34408387</v>
      </c>
      <c r="B680" s="24">
        <f>INDEX(Tableau1[], MATCH(Tableau3[[#This Row],[REFERENCE]], Tableau1[NUMERO], 0), 2)</f>
        <v/>
      </c>
      <c r="C680" s="25">
        <f>INDEX(Tableau1[], MATCH(Tableau3[[#This Row],[REFERENCE]], Tableau1[NUMERO], 0), 3)</f>
        <v/>
      </c>
      <c r="D680" s="25">
        <f>INDEX(Tableau1[], MATCH(Tableau3[[#This Row],[REFERENCE]], Tableau1[NUMERO], 0),4)</f>
        <v/>
      </c>
      <c r="E680" s="25">
        <f>INDEX(Tableau1[], MATCH(Tableau3[[#This Row],[REFERENCE]], Tableau1[NUMERO], 0), 5)</f>
        <v/>
      </c>
      <c r="F680" s="25">
        <f>INDEX(Tableau1[], MATCH(Tableau3[[#This Row],[REFERENCE]], Tableau1[NUMERO], 0), 6)</f>
        <v/>
      </c>
      <c r="G680" s="25">
        <f>INDEX(Tableau1[], MATCH(Tableau3[[#This Row],[REFERENCE]], Tableau1[NUMERO], 0), 7)</f>
        <v/>
      </c>
      <c r="H680" s="25" t="inlineStr">
        <is>
          <t>lasertechnic</t>
        </is>
      </c>
      <c r="I680" s="28" t="n"/>
      <c r="J680" s="24" t="n">
        <v>43917</v>
      </c>
      <c r="K680" s="24" t="n">
        <v>43920</v>
      </c>
      <c r="L680" s="24" t="n"/>
      <c r="M680" s="26" t="inlineStr">
        <is>
          <t>01</t>
        </is>
      </c>
      <c r="N680" s="28" t="n">
        <v>1</v>
      </c>
      <c r="O680" s="27" t="n">
        <v>58</v>
      </c>
      <c r="P680" s="28" t="inlineStr">
        <is>
          <t>5 JOURS</t>
        </is>
      </c>
      <c r="Q680" s="24" t="n">
        <v>44012</v>
      </c>
      <c r="R680" s="25" t="n"/>
    </row>
    <row r="681" ht="15.75" customFormat="1" customHeight="1" s="25" thickBot="1">
      <c r="A681" s="21" t="inlineStr">
        <is>
          <t>34408403</t>
        </is>
      </c>
      <c r="B681" s="2">
        <f>INDEX(Tableau1[], MATCH(Tableau3[[#This Row],[REFERENCE]], Tableau1[NUMERO], 0), 2)</f>
        <v/>
      </c>
      <c r="C681">
        <f>INDEX(Tableau1[], MATCH(Tableau3[[#This Row],[REFERENCE]], Tableau1[NUMERO], 0), 3)</f>
        <v/>
      </c>
      <c r="D681">
        <f>INDEX(Tableau1[], MATCH(Tableau3[[#This Row],[REFERENCE]], Tableau1[NUMERO], 0),4)</f>
        <v/>
      </c>
      <c r="E681">
        <f>INDEX(Tableau1[], MATCH(Tableau3[[#This Row],[REFERENCE]], Tableau1[NUMERO], 0), 5)</f>
        <v/>
      </c>
      <c r="F681">
        <f>INDEX(Tableau1[], MATCH(Tableau3[[#This Row],[REFERENCE]], Tableau1[NUMERO], 0), 6)</f>
        <v/>
      </c>
      <c r="G681">
        <f>INDEX(Tableau1[], MATCH(Tableau3[[#This Row],[REFERENCE]], Tableau1[NUMERO], 0), 7)</f>
        <v/>
      </c>
      <c r="H681" t="inlineStr">
        <is>
          <t>lasertechnic</t>
        </is>
      </c>
      <c r="I681" s="8" t="n"/>
      <c r="J681" s="2" t="inlineStr">
        <is>
          <t>31/03/2020 relancé le 03/04</t>
        </is>
      </c>
      <c r="K681" s="2" t="n"/>
      <c r="L681" s="2" t="n"/>
      <c r="M681" s="21" t="inlineStr">
        <is>
          <t>01</t>
        </is>
      </c>
      <c r="N681" s="35" t="n">
        <v>1</v>
      </c>
      <c r="O681" s="7" t="n"/>
      <c r="P681" s="8" t="n"/>
      <c r="Q681" s="2" t="n"/>
      <c r="R681" t="inlineStr">
        <is>
          <t>demande fait par JP</t>
        </is>
      </c>
    </row>
    <row r="682" ht="15.75" customHeight="1" s="142" thickBot="1">
      <c r="A682" s="26" t="inlineStr">
        <is>
          <t>34408405</t>
        </is>
      </c>
      <c r="B682" s="24">
        <f>INDEX(Tableau1[], MATCH(Tableau3[[#This Row],[REFERENCE]], Tableau1[NUMERO], 0), 2)</f>
        <v/>
      </c>
      <c r="C682" s="25">
        <f>INDEX(Tableau1[], MATCH(Tableau3[[#This Row],[REFERENCE]], Tableau1[NUMERO], 0), 3)</f>
        <v/>
      </c>
      <c r="D682" s="25">
        <f>INDEX(Tableau1[], MATCH(Tableau3[[#This Row],[REFERENCE]], Tableau1[NUMERO], 0),4)</f>
        <v/>
      </c>
      <c r="E682" s="25">
        <f>INDEX(Tableau1[], MATCH(Tableau3[[#This Row],[REFERENCE]], Tableau1[NUMERO], 0), 5)</f>
        <v/>
      </c>
      <c r="F682" s="25">
        <f>INDEX(Tableau1[], MATCH(Tableau3[[#This Row],[REFERENCE]], Tableau1[NUMERO], 0), 6)</f>
        <v/>
      </c>
      <c r="G682" s="25">
        <f>INDEX(Tableau1[], MATCH(Tableau3[[#This Row],[REFERENCE]], Tableau1[NUMERO], 0), 7)</f>
        <v/>
      </c>
      <c r="H682" s="25" t="inlineStr">
        <is>
          <t>lasertechnic</t>
        </is>
      </c>
      <c r="I682" s="28" t="n"/>
      <c r="J682" s="24" t="inlineStr">
        <is>
          <t>31/03/2020 relancé le 03/04</t>
        </is>
      </c>
      <c r="K682" s="24" t="n"/>
      <c r="L682" s="24" t="n"/>
      <c r="M682" s="26" t="inlineStr">
        <is>
          <t>01</t>
        </is>
      </c>
      <c r="N682" s="36" t="n">
        <v>1</v>
      </c>
      <c r="O682" s="27" t="n"/>
      <c r="P682" s="28" t="n"/>
      <c r="Q682" s="24" t="n"/>
      <c r="R682" s="25" t="inlineStr">
        <is>
          <t>demande fait par JP</t>
        </is>
      </c>
    </row>
    <row r="683">
      <c r="A683" s="8" t="n">
        <v>34408442</v>
      </c>
      <c r="B683" s="2">
        <f>INDEX(Tableau1[], MATCH(Tableau3[[#This Row],[REFERENCE]], Tableau1[NUMERO], 0), 2)</f>
        <v/>
      </c>
      <c r="C683">
        <f>INDEX(Tableau1[], MATCH(Tableau3[[#This Row],[REFERENCE]], Tableau1[NUMERO], 0), 3)</f>
        <v/>
      </c>
      <c r="D683">
        <f>INDEX(Tableau1[], MATCH(Tableau3[[#This Row],[REFERENCE]], Tableau1[NUMERO], 0),4)</f>
        <v/>
      </c>
      <c r="E683">
        <f>INDEX(Tableau1[], MATCH(Tableau3[[#This Row],[REFERENCE]], Tableau1[NUMERO], 0), 5)</f>
        <v/>
      </c>
      <c r="F683">
        <f>INDEX(Tableau1[], MATCH(Tableau3[[#This Row],[REFERENCE]], Tableau1[NUMERO], 0), 6)</f>
        <v/>
      </c>
      <c r="G683">
        <f>INDEX(Tableau1[], MATCH(Tableau3[[#This Row],[REFERENCE]], Tableau1[NUMERO], 0), 7)</f>
        <v/>
      </c>
      <c r="H683" t="inlineStr">
        <is>
          <t>thyssen</t>
        </is>
      </c>
      <c r="J683" s="2" t="n">
        <v>43935</v>
      </c>
      <c r="K683" s="2" t="n">
        <v>43938</v>
      </c>
      <c r="L683" s="2" t="n"/>
      <c r="M683" s="21" t="inlineStr">
        <is>
          <t>01</t>
        </is>
      </c>
      <c r="N683" s="35" t="n">
        <v>11</v>
      </c>
      <c r="O683" s="37" t="inlineStr">
        <is>
          <t>29.85 €</t>
        </is>
      </c>
      <c r="P683" s="8" t="inlineStr">
        <is>
          <t>2 SEMAINES</t>
        </is>
      </c>
      <c r="Q683" s="2" t="n">
        <v>43945</v>
      </c>
    </row>
    <row r="684">
      <c r="A684" s="8" t="n">
        <v>34408454</v>
      </c>
      <c r="B684" s="2">
        <f>INDEX(Tableau1[], MATCH(Tableau3[[#This Row],[REFERENCE]], Tableau1[NUMERO], 0), 2)</f>
        <v/>
      </c>
      <c r="C684">
        <f>INDEX(Tableau1[], MATCH(Tableau3[[#This Row],[REFERENCE]], Tableau1[NUMERO], 0), 3)</f>
        <v/>
      </c>
      <c r="D684">
        <f>INDEX(Tableau1[], MATCH(Tableau3[[#This Row],[REFERENCE]], Tableau1[NUMERO], 0),4)</f>
        <v/>
      </c>
      <c r="E684">
        <f>INDEX(Tableau1[], MATCH(Tableau3[[#This Row],[REFERENCE]], Tableau1[NUMERO], 0), 5)</f>
        <v/>
      </c>
      <c r="F684">
        <f>INDEX(Tableau1[], MATCH(Tableau3[[#This Row],[REFERENCE]], Tableau1[NUMERO], 0), 6)</f>
        <v/>
      </c>
      <c r="G684">
        <f>INDEX(Tableau1[], MATCH(Tableau3[[#This Row],[REFERENCE]], Tableau1[NUMERO], 0), 7)</f>
        <v/>
      </c>
      <c r="H684" t="inlineStr">
        <is>
          <t>thyssen</t>
        </is>
      </c>
      <c r="J684" s="2" t="n">
        <v>43935</v>
      </c>
      <c r="K684" s="2" t="n">
        <v>43938</v>
      </c>
      <c r="L684" s="2" t="n"/>
      <c r="M684" s="21" t="inlineStr">
        <is>
          <t>01</t>
        </is>
      </c>
      <c r="N684" s="35" t="n">
        <v>1</v>
      </c>
      <c r="O684" s="37" t="inlineStr">
        <is>
          <t>119.85 €</t>
        </is>
      </c>
      <c r="P684" s="8" t="inlineStr">
        <is>
          <t>2 SEMAINES</t>
        </is>
      </c>
      <c r="Q684" s="2" t="n">
        <v>43945</v>
      </c>
    </row>
    <row r="685">
      <c r="A685" s="8" t="n">
        <v>34408442</v>
      </c>
      <c r="B685" s="2">
        <f>INDEX(Tableau1[], MATCH(Tableau3[[#This Row],[REFERENCE]], Tableau1[NUMERO], 0), 2)</f>
        <v/>
      </c>
      <c r="C685">
        <f>INDEX(Tableau1[], MATCH(Tableau3[[#This Row],[REFERENCE]], Tableau1[NUMERO], 0), 3)</f>
        <v/>
      </c>
      <c r="D685">
        <f>INDEX(Tableau1[], MATCH(Tableau3[[#This Row],[REFERENCE]], Tableau1[NUMERO], 0),4)</f>
        <v/>
      </c>
      <c r="E685">
        <f>INDEX(Tableau1[], MATCH(Tableau3[[#This Row],[REFERENCE]], Tableau1[NUMERO], 0), 5)</f>
        <v/>
      </c>
      <c r="F685">
        <f>INDEX(Tableau1[], MATCH(Tableau3[[#This Row],[REFERENCE]], Tableau1[NUMERO], 0), 6)</f>
        <v/>
      </c>
      <c r="G685">
        <f>INDEX(Tableau1[], MATCH(Tableau3[[#This Row],[REFERENCE]], Tableau1[NUMERO], 0), 7)</f>
        <v/>
      </c>
      <c r="H685" t="inlineStr">
        <is>
          <t>trefimetaux</t>
        </is>
      </c>
      <c r="J685" s="2" t="n">
        <v>43935</v>
      </c>
      <c r="K685" s="2" t="n">
        <v>43936</v>
      </c>
      <c r="L685" s="2" t="n"/>
      <c r="M685" s="21" t="inlineStr">
        <is>
          <t>01</t>
        </is>
      </c>
      <c r="N685" s="35" t="n">
        <v>11</v>
      </c>
      <c r="O685" s="7" t="n">
        <v>30</v>
      </c>
      <c r="P685" s="8" t="inlineStr">
        <is>
          <t>5 JOURS</t>
        </is>
      </c>
      <c r="Q685" s="2" t="n">
        <v>44026</v>
      </c>
    </row>
    <row r="686">
      <c r="A686" s="8" t="n">
        <v>34408454</v>
      </c>
      <c r="B686" s="2">
        <f>INDEX(Tableau1[], MATCH(Tableau3[[#This Row],[REFERENCE]], Tableau1[NUMERO], 0), 2)</f>
        <v/>
      </c>
      <c r="C686">
        <f>INDEX(Tableau1[], MATCH(Tableau3[[#This Row],[REFERENCE]], Tableau1[NUMERO], 0), 3)</f>
        <v/>
      </c>
      <c r="D686">
        <f>INDEX(Tableau1[], MATCH(Tableau3[[#This Row],[REFERENCE]], Tableau1[NUMERO], 0),4)</f>
        <v/>
      </c>
      <c r="E686">
        <f>INDEX(Tableau1[], MATCH(Tableau3[[#This Row],[REFERENCE]], Tableau1[NUMERO], 0), 5)</f>
        <v/>
      </c>
      <c r="F686">
        <f>INDEX(Tableau1[], MATCH(Tableau3[[#This Row],[REFERENCE]], Tableau1[NUMERO], 0), 6)</f>
        <v/>
      </c>
      <c r="G686">
        <f>INDEX(Tableau1[], MATCH(Tableau3[[#This Row],[REFERENCE]], Tableau1[NUMERO], 0), 7)</f>
        <v/>
      </c>
      <c r="H686" t="inlineStr">
        <is>
          <t>trefimetaux</t>
        </is>
      </c>
      <c r="J686" s="2" t="n">
        <v>43935</v>
      </c>
      <c r="K686" s="2" t="n">
        <v>43936</v>
      </c>
      <c r="L686" s="2" t="n"/>
      <c r="M686" s="21" t="inlineStr">
        <is>
          <t>01</t>
        </is>
      </c>
      <c r="N686" s="35" t="n">
        <v>1</v>
      </c>
      <c r="O686" s="7" t="n">
        <v>200</v>
      </c>
      <c r="P686" s="8" t="inlineStr">
        <is>
          <t>5 JOURS</t>
        </is>
      </c>
      <c r="Q686" s="2" t="n">
        <v>44026</v>
      </c>
    </row>
    <row r="687">
      <c r="A687" s="8" t="n">
        <v>34408459</v>
      </c>
      <c r="B687" s="2">
        <f>INDEX(Tableau1[], MATCH(Tableau3[[#This Row],[REFERENCE]], Tableau1[NUMERO], 0), 2)</f>
        <v/>
      </c>
      <c r="C687">
        <f>INDEX(Tableau1[], MATCH(Tableau3[[#This Row],[REFERENCE]], Tableau1[NUMERO], 0), 3)</f>
        <v/>
      </c>
      <c r="D687">
        <f>INDEX(Tableau1[], MATCH(Tableau3[[#This Row],[REFERENCE]], Tableau1[NUMERO], 0),4)</f>
        <v/>
      </c>
      <c r="E687">
        <f>INDEX(Tableau1[], MATCH(Tableau3[[#This Row],[REFERENCE]], Tableau1[NUMERO], 0), 5)</f>
        <v/>
      </c>
      <c r="H687" t="inlineStr">
        <is>
          <t>UFP</t>
        </is>
      </c>
      <c r="J687" s="2" t="n">
        <v>43941</v>
      </c>
      <c r="K687" s="2" t="n">
        <v>43942</v>
      </c>
      <c r="L687" s="2" t="n"/>
      <c r="M687" s="21" t="inlineStr">
        <is>
          <t>01</t>
        </is>
      </c>
      <c r="N687" s="35" t="n">
        <v>4</v>
      </c>
      <c r="O687" s="7" t="n">
        <v>45</v>
      </c>
      <c r="P687" s="8" t="inlineStr">
        <is>
          <t>4 SEMAINES</t>
        </is>
      </c>
      <c r="Q687" s="2" t="n">
        <v>44032</v>
      </c>
    </row>
    <row r="688">
      <c r="A688" s="8" t="n">
        <v>34408463</v>
      </c>
      <c r="B688" s="2">
        <f>INDEX(Tableau1[], MATCH(Tableau3[[#This Row],[REFERENCE]], Tableau1[NUMERO], 0), 2)</f>
        <v/>
      </c>
      <c r="C688">
        <f>INDEX(Tableau1[], MATCH(Tableau3[[#This Row],[REFERENCE]], Tableau1[NUMERO], 0), 3)</f>
        <v/>
      </c>
      <c r="D688">
        <f>INDEX(Tableau1[], MATCH(Tableau3[[#This Row],[REFERENCE]], Tableau1[NUMERO], 0),4)</f>
        <v/>
      </c>
      <c r="E688">
        <f>INDEX(Tableau1[], MATCH(Tableau3[[#This Row],[REFERENCE]], Tableau1[NUMERO], 0), 5)</f>
        <v/>
      </c>
      <c r="H688" t="inlineStr">
        <is>
          <t>lasertechnic</t>
        </is>
      </c>
      <c r="J688" s="2" t="n">
        <v>43941</v>
      </c>
      <c r="K688" s="2" t="n">
        <v>43942</v>
      </c>
      <c r="L688" s="2" t="n"/>
      <c r="M688" s="21" t="inlineStr">
        <is>
          <t>01</t>
        </is>
      </c>
      <c r="N688" s="35" t="n">
        <v>2</v>
      </c>
      <c r="O688" s="7" t="n">
        <v>66</v>
      </c>
      <c r="P688" s="8" t="inlineStr">
        <is>
          <t>5 JOURS</t>
        </is>
      </c>
      <c r="Q688" s="2" t="n">
        <v>44032</v>
      </c>
    </row>
    <row r="689">
      <c r="A689" s="8" t="n">
        <v>34408465</v>
      </c>
      <c r="B689" s="2">
        <f>INDEX(Tableau1[], MATCH(Tableau3[[#This Row],[REFERENCE]], Tableau1[NUMERO], 0), 2)</f>
        <v/>
      </c>
      <c r="C689">
        <f>INDEX(Tableau1[], MATCH(Tableau3[[#This Row],[REFERENCE]], Tableau1[NUMERO], 0), 3)</f>
        <v/>
      </c>
      <c r="D689">
        <f>INDEX(Tableau1[], MATCH(Tableau3[[#This Row],[REFERENCE]], Tableau1[NUMERO], 0),4)</f>
        <v/>
      </c>
      <c r="E689">
        <f>INDEX(Tableau1[], MATCH(Tableau3[[#This Row],[REFERENCE]], Tableau1[NUMERO], 0), 5)</f>
        <v/>
      </c>
      <c r="H689" t="inlineStr">
        <is>
          <t>lasertechnic</t>
        </is>
      </c>
      <c r="J689" s="2" t="n">
        <v>43941</v>
      </c>
      <c r="K689" s="2" t="n">
        <v>43942</v>
      </c>
      <c r="L689" s="2" t="n"/>
      <c r="M689" s="21" t="inlineStr">
        <is>
          <t>01</t>
        </is>
      </c>
      <c r="N689" s="35" t="n">
        <v>12</v>
      </c>
      <c r="O689" s="7" t="n">
        <v>29</v>
      </c>
      <c r="P689" s="8" t="inlineStr">
        <is>
          <t>5 JOURS</t>
        </is>
      </c>
      <c r="Q689" s="2" t="n">
        <v>44032</v>
      </c>
    </row>
    <row r="690">
      <c r="A690" s="8" t="n">
        <v>34408466</v>
      </c>
      <c r="B690" s="2">
        <f>INDEX(Tableau1[], MATCH(Tableau3[[#This Row],[REFERENCE]], Tableau1[NUMERO], 0), 2)</f>
        <v/>
      </c>
      <c r="C690">
        <f>INDEX(Tableau1[], MATCH(Tableau3[[#This Row],[REFERENCE]], Tableau1[NUMERO], 0), 3)</f>
        <v/>
      </c>
      <c r="D690">
        <f>INDEX(Tableau1[], MATCH(Tableau3[[#This Row],[REFERENCE]], Tableau1[NUMERO], 0),4)</f>
        <v/>
      </c>
      <c r="E690">
        <f>INDEX(Tableau1[], MATCH(Tableau3[[#This Row],[REFERENCE]], Tableau1[NUMERO], 0), 5)</f>
        <v/>
      </c>
      <c r="H690" t="inlineStr">
        <is>
          <t>lasertechnic</t>
        </is>
      </c>
      <c r="J690" s="2" t="n">
        <v>43941</v>
      </c>
      <c r="K690" s="2" t="n">
        <v>43942</v>
      </c>
      <c r="L690" s="2" t="n"/>
      <c r="M690" s="21" t="inlineStr">
        <is>
          <t>01</t>
        </is>
      </c>
      <c r="N690" s="35" t="n">
        <v>12</v>
      </c>
      <c r="O690" s="7" t="n">
        <v>11</v>
      </c>
      <c r="P690" s="8" t="inlineStr">
        <is>
          <t>5 JOURS</t>
        </is>
      </c>
      <c r="Q690" s="2" t="n">
        <v>44032</v>
      </c>
    </row>
    <row r="691">
      <c r="A691" s="8" t="n">
        <v>34408467</v>
      </c>
      <c r="B691" s="2">
        <f>INDEX(Tableau1[], MATCH(Tableau3[[#This Row],[REFERENCE]], Tableau1[NUMERO], 0), 2)</f>
        <v/>
      </c>
      <c r="C691">
        <f>INDEX(Tableau1[], MATCH(Tableau3[[#This Row],[REFERENCE]], Tableau1[NUMERO], 0), 3)</f>
        <v/>
      </c>
      <c r="D691">
        <f>INDEX(Tableau1[], MATCH(Tableau3[[#This Row],[REFERENCE]], Tableau1[NUMERO], 0),4)</f>
        <v/>
      </c>
      <c r="E691">
        <f>INDEX(Tableau1[], MATCH(Tableau3[[#This Row],[REFERENCE]], Tableau1[NUMERO], 0), 5)</f>
        <v/>
      </c>
      <c r="H691" t="inlineStr">
        <is>
          <t>lasertechnic</t>
        </is>
      </c>
      <c r="J691" s="2" t="n">
        <v>43941</v>
      </c>
      <c r="K691" s="2" t="n">
        <v>43942</v>
      </c>
      <c r="L691" s="2" t="n"/>
      <c r="M691" s="21" t="inlineStr">
        <is>
          <t>01</t>
        </is>
      </c>
      <c r="N691" s="35" t="n">
        <v>4</v>
      </c>
      <c r="O691" s="7" t="n">
        <v>10</v>
      </c>
      <c r="P691" s="8" t="inlineStr">
        <is>
          <t>5 JOURS</t>
        </is>
      </c>
      <c r="Q691" s="2" t="n">
        <v>44032</v>
      </c>
    </row>
    <row r="692">
      <c r="A692" s="8" t="n">
        <v>34407047</v>
      </c>
      <c r="B692" s="2">
        <f>INDEX(Tableau1[], MATCH(Tableau3[[#This Row],[REFERENCE]], Tableau1[NUMERO], 0), 2)</f>
        <v/>
      </c>
      <c r="C692">
        <f>INDEX(Tableau1[], MATCH(Tableau3[[#This Row],[REFERENCE]], Tableau1[NUMERO], 0), 3)</f>
        <v/>
      </c>
      <c r="D692">
        <f>INDEX(Tableau1[], MATCH(Tableau3[[#This Row],[REFERENCE]], Tableau1[NUMERO], 0),4)</f>
        <v/>
      </c>
      <c r="E692">
        <f>INDEX(Tableau1[], MATCH(Tableau3[[#This Row],[REFERENCE]], Tableau1[NUMERO], 0), 5)</f>
        <v/>
      </c>
      <c r="H692" t="inlineStr">
        <is>
          <t>lasertechnic</t>
        </is>
      </c>
      <c r="J692" s="2" t="n">
        <v>43943</v>
      </c>
      <c r="K692" s="2" t="n">
        <v>43943</v>
      </c>
      <c r="L692" s="2" t="n"/>
      <c r="M692" s="21" t="inlineStr">
        <is>
          <t>01</t>
        </is>
      </c>
      <c r="N692" s="35" t="n">
        <v>4</v>
      </c>
      <c r="O692" s="7" t="n">
        <v>66</v>
      </c>
      <c r="P692" s="8" t="inlineStr">
        <is>
          <t>5 JOURS</t>
        </is>
      </c>
      <c r="Q692" s="2" t="n">
        <v>44033</v>
      </c>
    </row>
    <row r="693">
      <c r="A693" s="8" t="n">
        <v>34407048</v>
      </c>
      <c r="B693" s="2">
        <f>INDEX(Tableau1[], MATCH(Tableau3[[#This Row],[REFERENCE]], Tableau1[NUMERO], 0), 2)</f>
        <v/>
      </c>
      <c r="C693">
        <f>INDEX(Tableau1[], MATCH(Tableau3[[#This Row],[REFERENCE]], Tableau1[NUMERO], 0), 3)</f>
        <v/>
      </c>
      <c r="D693">
        <f>INDEX(Tableau1[], MATCH(Tableau3[[#This Row],[REFERENCE]], Tableau1[NUMERO], 0),4)</f>
        <v/>
      </c>
      <c r="E693">
        <f>INDEX(Tableau1[], MATCH(Tableau3[[#This Row],[REFERENCE]], Tableau1[NUMERO], 0), 5)</f>
        <v/>
      </c>
      <c r="H693" t="inlineStr">
        <is>
          <t>lasertechnic</t>
        </is>
      </c>
      <c r="J693" s="2" t="n">
        <v>43943</v>
      </c>
      <c r="K693" s="2" t="n">
        <v>43943</v>
      </c>
      <c r="L693" s="2" t="n"/>
      <c r="M693" s="21" t="inlineStr">
        <is>
          <t>01</t>
        </is>
      </c>
      <c r="N693" s="35" t="n">
        <v>4</v>
      </c>
      <c r="O693" s="7" t="n">
        <v>62</v>
      </c>
      <c r="P693" s="8" t="inlineStr">
        <is>
          <t>5 JOURS</t>
        </is>
      </c>
      <c r="Q693" s="2" t="n">
        <v>44033</v>
      </c>
    </row>
    <row r="694">
      <c r="A694" s="8" t="n">
        <v>34408474</v>
      </c>
      <c r="B694" s="2">
        <f>INDEX(Tableau1[], MATCH(Tableau3[[#This Row],[REFERENCE]], Tableau1[NUMERO], 0), 2)</f>
        <v/>
      </c>
      <c r="C694">
        <f>INDEX(Tableau1[], MATCH(Tableau3[[#This Row],[REFERENCE]], Tableau1[NUMERO], 0), 3)</f>
        <v/>
      </c>
      <c r="D694">
        <f>INDEX(Tableau1[], MATCH(Tableau3[[#This Row],[REFERENCE]], Tableau1[NUMERO], 0),4)</f>
        <v/>
      </c>
      <c r="E694">
        <f>INDEX(Tableau1[], MATCH(Tableau3[[#This Row],[REFERENCE]], Tableau1[NUMERO], 0), 5)</f>
        <v/>
      </c>
      <c r="H694" t="inlineStr">
        <is>
          <t>lasertechnic</t>
        </is>
      </c>
      <c r="J694" s="2" t="n">
        <v>43944</v>
      </c>
      <c r="K694" s="2" t="n">
        <v>43945</v>
      </c>
      <c r="L694" s="2" t="n"/>
      <c r="M694" s="21" t="inlineStr">
        <is>
          <t>01</t>
        </is>
      </c>
      <c r="N694" s="35" t="n">
        <v>4</v>
      </c>
      <c r="O694" s="7" t="n">
        <v>15</v>
      </c>
      <c r="P694" s="8" t="inlineStr">
        <is>
          <t>3 JOURS</t>
        </is>
      </c>
      <c r="Q694" s="11" t="n">
        <v>44035</v>
      </c>
    </row>
    <row r="695">
      <c r="A695" s="8" t="n">
        <v>34401995</v>
      </c>
      <c r="B695" s="2">
        <f>INDEX(Tableau1[], MATCH(Tableau3[[#This Row],[REFERENCE]], Tableau1[NUMERO], 0), 2)</f>
        <v/>
      </c>
      <c r="C695">
        <f>INDEX(Tableau1[], MATCH(Tableau3[[#This Row],[REFERENCE]], Tableau1[NUMERO], 0), 3)</f>
        <v/>
      </c>
      <c r="D695">
        <f>INDEX(Tableau1[], MATCH(Tableau3[[#This Row],[REFERENCE]], Tableau1[NUMERO], 0),4)</f>
        <v/>
      </c>
      <c r="E695">
        <f>INDEX(Tableau1[], MATCH(Tableau3[[#This Row],[REFERENCE]], Tableau1[NUMERO], 0), 5)</f>
        <v/>
      </c>
      <c r="H695" t="inlineStr">
        <is>
          <t>UFP</t>
        </is>
      </c>
      <c r="J695" s="2" t="n">
        <v>43943</v>
      </c>
      <c r="K695" s="2" t="n"/>
      <c r="L695" s="2" t="n"/>
      <c r="P695" s="8" t="n"/>
      <c r="Q695" s="2" t="n"/>
    </row>
    <row r="696">
      <c r="A696" s="8" t="n">
        <v>34408473</v>
      </c>
      <c r="B696" s="2">
        <f>INDEX(Tableau1[], MATCH(Tableau3[[#This Row],[REFERENCE]], Tableau1[NUMERO], 0), 2)</f>
        <v/>
      </c>
      <c r="C696">
        <f>INDEX(Tableau1[], MATCH(Tableau3[[#This Row],[REFERENCE]], Tableau1[NUMERO], 0), 3)</f>
        <v/>
      </c>
      <c r="D696">
        <f>INDEX(Tableau1[], MATCH(Tableau3[[#This Row],[REFERENCE]], Tableau1[NUMERO], 0),4)</f>
        <v/>
      </c>
      <c r="E696">
        <f>INDEX(Tableau1[], MATCH(Tableau3[[#This Row],[REFERENCE]], Tableau1[NUMERO], 0), 5)</f>
        <v/>
      </c>
      <c r="H696" t="inlineStr">
        <is>
          <t>COMATEL</t>
        </is>
      </c>
      <c r="J696" s="2" t="n">
        <v>43949</v>
      </c>
      <c r="K696" s="2" t="n"/>
      <c r="L696" s="2" t="n"/>
      <c r="P696" s="8" t="n"/>
      <c r="Q696" s="2" t="n"/>
    </row>
    <row r="697">
      <c r="A697" s="8" t="n">
        <v>34408476</v>
      </c>
      <c r="B697" s="2">
        <f>INDEX(Tableau1[], MATCH(Tableau3[[#This Row],[REFERENCE]], Tableau1[NUMERO], 0), 2)</f>
        <v/>
      </c>
      <c r="C697">
        <f>INDEX(Tableau1[], MATCH(Tableau3[[#This Row],[REFERENCE]], Tableau1[NUMERO], 0), 3)</f>
        <v/>
      </c>
      <c r="D697">
        <f>INDEX(Tableau1[], MATCH(Tableau3[[#This Row],[REFERENCE]], Tableau1[NUMERO], 0),4)</f>
        <v/>
      </c>
      <c r="E697">
        <f>INDEX(Tableau1[], MATCH(Tableau3[[#This Row],[REFERENCE]], Tableau1[NUMERO], 0), 5)</f>
        <v/>
      </c>
      <c r="H697" t="inlineStr">
        <is>
          <t>lasertechnic</t>
        </is>
      </c>
      <c r="J697" s="2" t="n">
        <v>43950</v>
      </c>
      <c r="K697" s="2" t="n"/>
      <c r="L697" s="2" t="n"/>
      <c r="M697" s="21" t="inlineStr">
        <is>
          <t>01</t>
        </is>
      </c>
      <c r="N697" s="35" t="n">
        <v>2</v>
      </c>
      <c r="P697" s="8" t="n"/>
      <c r="Q697" s="2" t="n"/>
    </row>
    <row r="698">
      <c r="A698" s="43" t="n">
        <v>34408478</v>
      </c>
      <c r="B698" s="2">
        <f>INDEX(Tableau1[], MATCH(Tableau3[[#This Row],[REFERENCE]], Tableau1[NUMERO], 0), 2)</f>
        <v/>
      </c>
      <c r="C698">
        <f>INDEX(Tableau1[], MATCH(Tableau3[[#This Row],[REFERENCE]], Tableau1[NUMERO], 0), 3)</f>
        <v/>
      </c>
      <c r="D698">
        <f>INDEX(Tableau1[], MATCH(Tableau3[[#This Row],[REFERENCE]], Tableau1[NUMERO], 0),4)</f>
        <v/>
      </c>
      <c r="E698">
        <f>INDEX(Tableau1[], MATCH(Tableau3[[#This Row],[REFERENCE]], Tableau1[NUMERO], 0), 5)</f>
        <v/>
      </c>
      <c r="H698" t="inlineStr">
        <is>
          <t>trefimetaux</t>
        </is>
      </c>
      <c r="J698" s="2" t="n">
        <v>43962</v>
      </c>
      <c r="K698" s="2" t="n">
        <v>43962</v>
      </c>
      <c r="L698" s="2" t="n"/>
      <c r="N698" s="35" t="n">
        <v>4</v>
      </c>
      <c r="O698" s="7" t="n">
        <v>46.7</v>
      </c>
      <c r="P698" s="8" t="n"/>
      <c r="Q698" s="2" t="n">
        <v>44053</v>
      </c>
    </row>
    <row r="699">
      <c r="A699" s="43" t="n">
        <v>34408479</v>
      </c>
      <c r="B699" s="2">
        <f>INDEX(Tableau1[], MATCH(Tableau3[[#This Row],[REFERENCE]], Tableau1[NUMERO], 0), 2)</f>
        <v/>
      </c>
      <c r="C699">
        <f>INDEX(Tableau1[], MATCH(Tableau3[[#This Row],[REFERENCE]], Tableau1[NUMERO], 0), 3)</f>
        <v/>
      </c>
      <c r="D699">
        <f>INDEX(Tableau1[], MATCH(Tableau3[[#This Row],[REFERENCE]], Tableau1[NUMERO], 0),4)</f>
        <v/>
      </c>
      <c r="E699">
        <f>INDEX(Tableau1[], MATCH(Tableau3[[#This Row],[REFERENCE]], Tableau1[NUMERO], 0), 5)</f>
        <v/>
      </c>
      <c r="H699" t="inlineStr">
        <is>
          <t>trefimetaux</t>
        </is>
      </c>
      <c r="J699" s="2" t="n">
        <v>43962</v>
      </c>
      <c r="K699" s="2" t="n">
        <v>43962</v>
      </c>
      <c r="L699" s="2" t="n"/>
      <c r="N699" s="35" t="n">
        <v>5</v>
      </c>
      <c r="O699" s="7" t="n">
        <v>141.1</v>
      </c>
      <c r="P699" s="8" t="n"/>
      <c r="Q699" s="2" t="n">
        <v>44053</v>
      </c>
    </row>
    <row r="700">
      <c r="A700" s="43" t="n">
        <v>34408480</v>
      </c>
      <c r="B700" s="2">
        <f>INDEX(Tableau1[], MATCH(Tableau3[[#This Row],[REFERENCE]], Tableau1[NUMERO], 0), 2)</f>
        <v/>
      </c>
      <c r="C700">
        <f>INDEX(Tableau1[], MATCH(Tableau3[[#This Row],[REFERENCE]], Tableau1[NUMERO], 0), 3)</f>
        <v/>
      </c>
      <c r="D700">
        <f>INDEX(Tableau1[], MATCH(Tableau3[[#This Row],[REFERENCE]], Tableau1[NUMERO], 0),4)</f>
        <v/>
      </c>
      <c r="E700">
        <f>INDEX(Tableau1[], MATCH(Tableau3[[#This Row],[REFERENCE]], Tableau1[NUMERO], 0), 5)</f>
        <v/>
      </c>
      <c r="H700" t="inlineStr">
        <is>
          <t>trefimetaux</t>
        </is>
      </c>
      <c r="J700" s="2" t="n">
        <v>43962</v>
      </c>
      <c r="K700" s="2" t="n">
        <v>43962</v>
      </c>
      <c r="L700" s="2" t="n"/>
      <c r="N700" s="35" t="n">
        <v>1</v>
      </c>
      <c r="O700" s="7" t="n">
        <v>117.8</v>
      </c>
      <c r="P700" s="8" t="n"/>
      <c r="Q700" s="2" t="n">
        <v>44053</v>
      </c>
    </row>
    <row r="701">
      <c r="A701" s="43" t="n">
        <v>34408481</v>
      </c>
      <c r="B701" s="2">
        <f>INDEX(Tableau1[], MATCH(Tableau3[[#This Row],[REFERENCE]], Tableau1[NUMERO], 0), 2)</f>
        <v/>
      </c>
      <c r="C701">
        <f>INDEX(Tableau1[], MATCH(Tableau3[[#This Row],[REFERENCE]], Tableau1[NUMERO], 0), 3)</f>
        <v/>
      </c>
      <c r="D701">
        <f>INDEX(Tableau1[], MATCH(Tableau3[[#This Row],[REFERENCE]], Tableau1[NUMERO], 0),4)</f>
        <v/>
      </c>
      <c r="E701">
        <f>INDEX(Tableau1[], MATCH(Tableau3[[#This Row],[REFERENCE]], Tableau1[NUMERO], 0), 5)</f>
        <v/>
      </c>
      <c r="H701" t="inlineStr">
        <is>
          <t>trefimetaux</t>
        </is>
      </c>
      <c r="J701" s="2" t="n">
        <v>43962</v>
      </c>
      <c r="K701" s="2" t="n">
        <v>43962</v>
      </c>
      <c r="L701" s="2" t="n"/>
      <c r="N701" s="35" t="n">
        <v>1</v>
      </c>
      <c r="O701" s="7" t="n">
        <v>117.8</v>
      </c>
      <c r="P701" s="8" t="n"/>
      <c r="Q701" s="2" t="n">
        <v>44053</v>
      </c>
    </row>
    <row r="702">
      <c r="A702" s="43" t="n">
        <v>34408482</v>
      </c>
      <c r="B702" s="2">
        <f>INDEX(Tableau1[], MATCH(Tableau3[[#This Row],[REFERENCE]], Tableau1[NUMERO], 0), 2)</f>
        <v/>
      </c>
      <c r="C702">
        <f>INDEX(Tableau1[], MATCH(Tableau3[[#This Row],[REFERENCE]], Tableau1[NUMERO], 0), 3)</f>
        <v/>
      </c>
      <c r="D702">
        <f>INDEX(Tableau1[], MATCH(Tableau3[[#This Row],[REFERENCE]], Tableau1[NUMERO], 0),4)</f>
        <v/>
      </c>
      <c r="E702">
        <f>INDEX(Tableau1[], MATCH(Tableau3[[#This Row],[REFERENCE]], Tableau1[NUMERO], 0), 5)</f>
        <v/>
      </c>
      <c r="H702" t="inlineStr">
        <is>
          <t>trefimetaux</t>
        </is>
      </c>
      <c r="J702" s="2" t="n">
        <v>43962</v>
      </c>
      <c r="K702" s="2" t="n">
        <v>43962</v>
      </c>
      <c r="L702" s="2" t="n"/>
      <c r="N702" s="35" t="n">
        <v>1</v>
      </c>
      <c r="O702" s="7" t="n">
        <v>116</v>
      </c>
      <c r="P702" s="8" t="n"/>
      <c r="Q702" s="2" t="n">
        <v>44053</v>
      </c>
    </row>
    <row r="703">
      <c r="A703" s="43" t="n">
        <v>34408483</v>
      </c>
      <c r="B703" s="2">
        <f>INDEX(Tableau1[], MATCH(Tableau3[[#This Row],[REFERENCE]], Tableau1[NUMERO], 0), 2)</f>
        <v/>
      </c>
      <c r="C703">
        <f>INDEX(Tableau1[], MATCH(Tableau3[[#This Row],[REFERENCE]], Tableau1[NUMERO], 0), 3)</f>
        <v/>
      </c>
      <c r="D703">
        <f>INDEX(Tableau1[], MATCH(Tableau3[[#This Row],[REFERENCE]], Tableau1[NUMERO], 0),4)</f>
        <v/>
      </c>
      <c r="E703">
        <f>INDEX(Tableau1[], MATCH(Tableau3[[#This Row],[REFERENCE]], Tableau1[NUMERO], 0), 5)</f>
        <v/>
      </c>
      <c r="H703" t="inlineStr">
        <is>
          <t>trefimetaux</t>
        </is>
      </c>
      <c r="J703" s="2" t="n">
        <v>43962</v>
      </c>
      <c r="K703" s="2" t="n">
        <v>43962</v>
      </c>
      <c r="L703" s="2" t="n"/>
      <c r="N703" s="35" t="n">
        <v>1</v>
      </c>
      <c r="O703" s="7" t="n">
        <v>116</v>
      </c>
      <c r="P703" s="8" t="n"/>
      <c r="Q703" s="2" t="n">
        <v>44053</v>
      </c>
    </row>
    <row r="704">
      <c r="A704" s="43" t="n">
        <v>34408484</v>
      </c>
      <c r="B704" s="2">
        <f>INDEX(Tableau1[], MATCH(Tableau3[[#This Row],[REFERENCE]], Tableau1[NUMERO], 0), 2)</f>
        <v/>
      </c>
      <c r="C704">
        <f>INDEX(Tableau1[], MATCH(Tableau3[[#This Row],[REFERENCE]], Tableau1[NUMERO], 0), 3)</f>
        <v/>
      </c>
      <c r="D704">
        <f>INDEX(Tableau1[], MATCH(Tableau3[[#This Row],[REFERENCE]], Tableau1[NUMERO], 0),4)</f>
        <v/>
      </c>
      <c r="E704">
        <f>INDEX(Tableau1[], MATCH(Tableau3[[#This Row],[REFERENCE]], Tableau1[NUMERO], 0), 5)</f>
        <v/>
      </c>
      <c r="H704" t="inlineStr">
        <is>
          <t>trefimetaux</t>
        </is>
      </c>
      <c r="J704" s="2" t="n">
        <v>43962</v>
      </c>
      <c r="K704" s="2" t="n">
        <v>43962</v>
      </c>
      <c r="L704" s="2" t="n"/>
      <c r="N704" s="35" t="n">
        <v>2</v>
      </c>
      <c r="O704" s="7" t="n">
        <v>72.3</v>
      </c>
      <c r="P704" s="8" t="n"/>
      <c r="Q704" s="2" t="n">
        <v>44053</v>
      </c>
    </row>
    <row r="705">
      <c r="A705" s="43" t="n">
        <v>34408485</v>
      </c>
      <c r="B705" s="2">
        <f>INDEX(Tableau1[], MATCH(Tableau3[[#This Row],[REFERENCE]], Tableau1[NUMERO], 0), 2)</f>
        <v/>
      </c>
      <c r="C705">
        <f>INDEX(Tableau1[], MATCH(Tableau3[[#This Row],[REFERENCE]], Tableau1[NUMERO], 0), 3)</f>
        <v/>
      </c>
      <c r="D705">
        <f>INDEX(Tableau1[], MATCH(Tableau3[[#This Row],[REFERENCE]], Tableau1[NUMERO], 0),4)</f>
        <v/>
      </c>
      <c r="E705">
        <f>INDEX(Tableau1[], MATCH(Tableau3[[#This Row],[REFERENCE]], Tableau1[NUMERO], 0), 5)</f>
        <v/>
      </c>
      <c r="H705" t="inlineStr">
        <is>
          <t>trefimetaux</t>
        </is>
      </c>
      <c r="J705" s="2" t="n">
        <v>43962</v>
      </c>
      <c r="K705" s="2" t="n">
        <v>43962</v>
      </c>
      <c r="L705" s="2" t="n"/>
      <c r="N705" s="35" t="n">
        <v>1</v>
      </c>
      <c r="O705" s="7" t="n">
        <v>74.5</v>
      </c>
      <c r="P705" s="8" t="n"/>
      <c r="Q705" s="2" t="n">
        <v>44053</v>
      </c>
    </row>
    <row r="706">
      <c r="A706" s="43" t="n">
        <v>34408486</v>
      </c>
      <c r="B706" s="2">
        <f>INDEX(Tableau1[], MATCH(Tableau3[[#This Row],[REFERENCE]], Tableau1[NUMERO], 0), 2)</f>
        <v/>
      </c>
      <c r="C706">
        <f>INDEX(Tableau1[], MATCH(Tableau3[[#This Row],[REFERENCE]], Tableau1[NUMERO], 0), 3)</f>
        <v/>
      </c>
      <c r="D706">
        <f>INDEX(Tableau1[], MATCH(Tableau3[[#This Row],[REFERENCE]], Tableau1[NUMERO], 0),4)</f>
        <v/>
      </c>
      <c r="E706">
        <f>INDEX(Tableau1[], MATCH(Tableau3[[#This Row],[REFERENCE]], Tableau1[NUMERO], 0), 5)</f>
        <v/>
      </c>
      <c r="H706" t="inlineStr">
        <is>
          <t>trefimetaux</t>
        </is>
      </c>
      <c r="J706" s="2" t="n">
        <v>43962</v>
      </c>
      <c r="K706" s="2" t="n">
        <v>43962</v>
      </c>
      <c r="L706" s="2" t="n"/>
      <c r="N706" s="35" t="n">
        <v>1</v>
      </c>
      <c r="O706" s="7" t="n">
        <v>72.5</v>
      </c>
      <c r="P706" s="8" t="n"/>
      <c r="Q706" s="2" t="n">
        <v>44053</v>
      </c>
    </row>
    <row r="707">
      <c r="A707" s="43" t="n">
        <v>34408478</v>
      </c>
      <c r="B707" s="2">
        <f>INDEX(Tableau1[], MATCH(Tableau3[[#This Row],[REFERENCE]], Tableau1[NUMERO], 0), 2)</f>
        <v/>
      </c>
      <c r="C707">
        <f>INDEX(Tableau1[], MATCH(Tableau3[[#This Row],[REFERENCE]], Tableau1[NUMERO], 0), 3)</f>
        <v/>
      </c>
      <c r="D707">
        <f>INDEX(Tableau1[], MATCH(Tableau3[[#This Row],[REFERENCE]], Tableau1[NUMERO], 0),4)</f>
        <v/>
      </c>
      <c r="E707">
        <f>INDEX(Tableau1[], MATCH(Tableau3[[#This Row],[REFERENCE]], Tableau1[NUMERO], 0), 5)</f>
        <v/>
      </c>
      <c r="H707" t="inlineStr">
        <is>
          <t>thyssen</t>
        </is>
      </c>
      <c r="J707" s="2" t="n">
        <v>43962</v>
      </c>
      <c r="K707" s="2" t="n">
        <v>43963</v>
      </c>
      <c r="L707" s="2" t="n"/>
      <c r="N707" s="35" t="n">
        <v>4</v>
      </c>
      <c r="O707" s="7" t="n">
        <v>30.6</v>
      </c>
      <c r="P707" s="8" t="inlineStr">
        <is>
          <t>8 à 10 JOURS</t>
        </is>
      </c>
      <c r="Q707" s="2" t="n">
        <v>44054</v>
      </c>
    </row>
    <row r="708">
      <c r="A708" s="43" t="n">
        <v>34408479</v>
      </c>
      <c r="B708" s="2">
        <f>INDEX(Tableau1[], MATCH(Tableau3[[#This Row],[REFERENCE]], Tableau1[NUMERO], 0), 2)</f>
        <v/>
      </c>
      <c r="C708">
        <f>INDEX(Tableau1[], MATCH(Tableau3[[#This Row],[REFERENCE]], Tableau1[NUMERO], 0), 3)</f>
        <v/>
      </c>
      <c r="D708">
        <f>INDEX(Tableau1[], MATCH(Tableau3[[#This Row],[REFERENCE]], Tableau1[NUMERO], 0),4)</f>
        <v/>
      </c>
      <c r="E708">
        <f>INDEX(Tableau1[], MATCH(Tableau3[[#This Row],[REFERENCE]], Tableau1[NUMERO], 0), 5)</f>
        <v/>
      </c>
      <c r="H708" t="inlineStr">
        <is>
          <t>thyssen</t>
        </is>
      </c>
      <c r="J708" s="2" t="n">
        <v>43962</v>
      </c>
      <c r="K708" s="2" t="n">
        <v>43963</v>
      </c>
      <c r="L708" s="2" t="n"/>
      <c r="N708" s="35" t="n">
        <v>5</v>
      </c>
      <c r="O708" s="7" t="n">
        <v>108.8</v>
      </c>
      <c r="P708" s="8" t="inlineStr">
        <is>
          <t>8 à 10 JOURS</t>
        </is>
      </c>
      <c r="Q708" s="2" t="n">
        <v>44054</v>
      </c>
    </row>
    <row r="709">
      <c r="A709" s="43" t="n">
        <v>34408480</v>
      </c>
      <c r="B709" s="2">
        <f>INDEX(Tableau1[], MATCH(Tableau3[[#This Row],[REFERENCE]], Tableau1[NUMERO], 0), 2)</f>
        <v/>
      </c>
      <c r="C709">
        <f>INDEX(Tableau1[], MATCH(Tableau3[[#This Row],[REFERENCE]], Tableau1[NUMERO], 0), 3)</f>
        <v/>
      </c>
      <c r="D709">
        <f>INDEX(Tableau1[], MATCH(Tableau3[[#This Row],[REFERENCE]], Tableau1[NUMERO], 0),4)</f>
        <v/>
      </c>
      <c r="E709">
        <f>INDEX(Tableau1[], MATCH(Tableau3[[#This Row],[REFERENCE]], Tableau1[NUMERO], 0), 5)</f>
        <v/>
      </c>
      <c r="H709" t="inlineStr">
        <is>
          <t>thyssen</t>
        </is>
      </c>
      <c r="J709" s="2" t="n">
        <v>43962</v>
      </c>
      <c r="K709" s="2" t="n">
        <v>43963</v>
      </c>
      <c r="L709" s="2" t="n"/>
      <c r="N709" s="35" t="n">
        <v>1</v>
      </c>
      <c r="O709" s="7" t="n">
        <v>79.7</v>
      </c>
      <c r="P709" s="8" t="inlineStr">
        <is>
          <t>8 à 10 JOURS</t>
        </is>
      </c>
      <c r="Q709" s="2" t="n">
        <v>44054</v>
      </c>
    </row>
    <row r="710">
      <c r="A710" s="43" t="n">
        <v>34408481</v>
      </c>
      <c r="B710" s="2">
        <f>INDEX(Tableau1[], MATCH(Tableau3[[#This Row],[REFERENCE]], Tableau1[NUMERO], 0), 2)</f>
        <v/>
      </c>
      <c r="C710">
        <f>INDEX(Tableau1[], MATCH(Tableau3[[#This Row],[REFERENCE]], Tableau1[NUMERO], 0), 3)</f>
        <v/>
      </c>
      <c r="D710">
        <f>INDEX(Tableau1[], MATCH(Tableau3[[#This Row],[REFERENCE]], Tableau1[NUMERO], 0),4)</f>
        <v/>
      </c>
      <c r="E710">
        <f>INDEX(Tableau1[], MATCH(Tableau3[[#This Row],[REFERENCE]], Tableau1[NUMERO], 0), 5)</f>
        <v/>
      </c>
      <c r="H710" t="inlineStr">
        <is>
          <t>thyssen</t>
        </is>
      </c>
      <c r="J710" s="2" t="n">
        <v>43962</v>
      </c>
      <c r="K710" s="2" t="n">
        <v>43963</v>
      </c>
      <c r="L710" s="2" t="n"/>
      <c r="N710" s="35" t="n">
        <v>1</v>
      </c>
      <c r="O710" s="7" t="n">
        <v>79.7</v>
      </c>
      <c r="P710" s="8" t="inlineStr">
        <is>
          <t>8 à 10 JOURS</t>
        </is>
      </c>
      <c r="Q710" s="2" t="n">
        <v>44054</v>
      </c>
    </row>
    <row r="711">
      <c r="A711" s="43" t="n">
        <v>34408482</v>
      </c>
      <c r="B711" s="2">
        <f>INDEX(Tableau1[], MATCH(Tableau3[[#This Row],[REFERENCE]], Tableau1[NUMERO], 0), 2)</f>
        <v/>
      </c>
      <c r="C711">
        <f>INDEX(Tableau1[], MATCH(Tableau3[[#This Row],[REFERENCE]], Tableau1[NUMERO], 0), 3)</f>
        <v/>
      </c>
      <c r="D711">
        <f>INDEX(Tableau1[], MATCH(Tableau3[[#This Row],[REFERENCE]], Tableau1[NUMERO], 0),4)</f>
        <v/>
      </c>
      <c r="E711">
        <f>INDEX(Tableau1[], MATCH(Tableau3[[#This Row],[REFERENCE]], Tableau1[NUMERO], 0), 5)</f>
        <v/>
      </c>
      <c r="H711" t="inlineStr">
        <is>
          <t>thyssen</t>
        </is>
      </c>
      <c r="J711" s="2" t="n">
        <v>43962</v>
      </c>
      <c r="K711" s="2" t="n">
        <v>43963</v>
      </c>
      <c r="L711" s="2" t="n"/>
      <c r="N711" s="35" t="n">
        <v>1</v>
      </c>
      <c r="O711" s="7" t="n">
        <v>79.7</v>
      </c>
      <c r="P711" s="8" t="inlineStr">
        <is>
          <t>8 à 10 JOURS</t>
        </is>
      </c>
      <c r="Q711" s="2" t="n">
        <v>44054</v>
      </c>
    </row>
    <row r="712">
      <c r="A712" s="43" t="n">
        <v>34408483</v>
      </c>
      <c r="B712" s="2">
        <f>INDEX(Tableau1[], MATCH(Tableau3[[#This Row],[REFERENCE]], Tableau1[NUMERO], 0), 2)</f>
        <v/>
      </c>
      <c r="C712">
        <f>INDEX(Tableau1[], MATCH(Tableau3[[#This Row],[REFERENCE]], Tableau1[NUMERO], 0), 3)</f>
        <v/>
      </c>
      <c r="D712">
        <f>INDEX(Tableau1[], MATCH(Tableau3[[#This Row],[REFERENCE]], Tableau1[NUMERO], 0),4)</f>
        <v/>
      </c>
      <c r="E712">
        <f>INDEX(Tableau1[], MATCH(Tableau3[[#This Row],[REFERENCE]], Tableau1[NUMERO], 0), 5)</f>
        <v/>
      </c>
      <c r="H712" t="inlineStr">
        <is>
          <t>thyssen</t>
        </is>
      </c>
      <c r="J712" s="2" t="n">
        <v>43962</v>
      </c>
      <c r="K712" s="2" t="n">
        <v>43963</v>
      </c>
      <c r="L712" s="2" t="n"/>
      <c r="N712" s="35" t="n">
        <v>1</v>
      </c>
      <c r="O712" s="7" t="n">
        <v>79.7</v>
      </c>
      <c r="P712" s="8" t="inlineStr">
        <is>
          <t>8 à 10 JOURS</t>
        </is>
      </c>
      <c r="Q712" s="2" t="n">
        <v>44054</v>
      </c>
    </row>
    <row r="713">
      <c r="A713" s="43" t="n">
        <v>34408484</v>
      </c>
      <c r="B713" s="2">
        <f>INDEX(Tableau1[], MATCH(Tableau3[[#This Row],[REFERENCE]], Tableau1[NUMERO], 0), 2)</f>
        <v/>
      </c>
      <c r="C713">
        <f>INDEX(Tableau1[], MATCH(Tableau3[[#This Row],[REFERENCE]], Tableau1[NUMERO], 0), 3)</f>
        <v/>
      </c>
      <c r="D713">
        <f>INDEX(Tableau1[], MATCH(Tableau3[[#This Row],[REFERENCE]], Tableau1[NUMERO], 0),4)</f>
        <v/>
      </c>
      <c r="E713">
        <f>INDEX(Tableau1[], MATCH(Tableau3[[#This Row],[REFERENCE]], Tableau1[NUMERO], 0), 5)</f>
        <v/>
      </c>
      <c r="H713" t="inlineStr">
        <is>
          <t>thyssen</t>
        </is>
      </c>
      <c r="J713" s="2" t="n">
        <v>43962</v>
      </c>
      <c r="K713" s="2" t="n">
        <v>43963</v>
      </c>
      <c r="L713" s="2" t="n"/>
      <c r="N713" s="35" t="n">
        <v>2</v>
      </c>
      <c r="O713" s="7" t="n">
        <v>43.5</v>
      </c>
      <c r="P713" s="8" t="inlineStr">
        <is>
          <t>8 à 10 JOURS</t>
        </is>
      </c>
      <c r="Q713" s="2" t="n">
        <v>44054</v>
      </c>
    </row>
    <row r="714">
      <c r="A714" s="43" t="n">
        <v>34408485</v>
      </c>
      <c r="B714" s="2">
        <f>INDEX(Tableau1[], MATCH(Tableau3[[#This Row],[REFERENCE]], Tableau1[NUMERO], 0), 2)</f>
        <v/>
      </c>
      <c r="C714">
        <f>INDEX(Tableau1[], MATCH(Tableau3[[#This Row],[REFERENCE]], Tableau1[NUMERO], 0), 3)</f>
        <v/>
      </c>
      <c r="D714">
        <f>INDEX(Tableau1[], MATCH(Tableau3[[#This Row],[REFERENCE]], Tableau1[NUMERO], 0),4)</f>
        <v/>
      </c>
      <c r="E714">
        <f>INDEX(Tableau1[], MATCH(Tableau3[[#This Row],[REFERENCE]], Tableau1[NUMERO], 0), 5)</f>
        <v/>
      </c>
      <c r="H714" t="inlineStr">
        <is>
          <t>thyssen</t>
        </is>
      </c>
      <c r="J714" s="2" t="n">
        <v>43962</v>
      </c>
      <c r="K714" s="2" t="n">
        <v>43963</v>
      </c>
      <c r="L714" s="2" t="n"/>
      <c r="N714" s="35" t="n">
        <v>1</v>
      </c>
      <c r="O714" s="7" t="n">
        <v>42.1</v>
      </c>
      <c r="P714" s="8" t="inlineStr">
        <is>
          <t>8 à 10 JOURS</t>
        </is>
      </c>
      <c r="Q714" s="2" t="n">
        <v>44054</v>
      </c>
    </row>
    <row r="715">
      <c r="A715" s="43" t="n">
        <v>34408486</v>
      </c>
      <c r="B715" s="2">
        <f>INDEX(Tableau1[], MATCH(Tableau3[[#This Row],[REFERENCE]], Tableau1[NUMERO], 0), 2)</f>
        <v/>
      </c>
      <c r="C715">
        <f>INDEX(Tableau1[], MATCH(Tableau3[[#This Row],[REFERENCE]], Tableau1[NUMERO], 0), 3)</f>
        <v/>
      </c>
      <c r="D715">
        <f>INDEX(Tableau1[], MATCH(Tableau3[[#This Row],[REFERENCE]], Tableau1[NUMERO], 0),4)</f>
        <v/>
      </c>
      <c r="E715">
        <f>INDEX(Tableau1[], MATCH(Tableau3[[#This Row],[REFERENCE]], Tableau1[NUMERO], 0), 5)</f>
        <v/>
      </c>
      <c r="H715" t="inlineStr">
        <is>
          <t>thyssen</t>
        </is>
      </c>
      <c r="J715" s="2" t="n">
        <v>43962</v>
      </c>
      <c r="K715" s="2" t="n">
        <v>43963</v>
      </c>
      <c r="L715" s="2" t="n"/>
      <c r="N715" s="35" t="n">
        <v>1</v>
      </c>
      <c r="O715" s="7" t="n">
        <v>42.1</v>
      </c>
      <c r="P715" s="8" t="inlineStr">
        <is>
          <t>8 à 10 JOURS</t>
        </is>
      </c>
      <c r="Q715" s="2" t="n">
        <v>44054</v>
      </c>
    </row>
    <row r="716">
      <c r="A716" s="8" t="n">
        <v>34407206</v>
      </c>
      <c r="B716" s="2">
        <f>INDEX(Tableau1[], MATCH(Tableau3[[#This Row],[REFERENCE]], Tableau1[NUMERO], 0), 2)</f>
        <v/>
      </c>
      <c r="C716">
        <f>INDEX(Tableau1[], MATCH(Tableau3[[#This Row],[REFERENCE]], Tableau1[NUMERO], 0), 3)</f>
        <v/>
      </c>
      <c r="D716">
        <f>INDEX(Tableau1[], MATCH(Tableau3[[#This Row],[REFERENCE]], Tableau1[NUMERO], 0),4)</f>
        <v/>
      </c>
      <c r="E716">
        <f>INDEX(Tableau1[], MATCH(Tableau3[[#This Row],[REFERENCE]], Tableau1[NUMERO], 0), 5)</f>
        <v/>
      </c>
      <c r="H716" t="inlineStr">
        <is>
          <t>lasertechnic</t>
        </is>
      </c>
      <c r="J716" s="2" t="n">
        <v>43962</v>
      </c>
      <c r="K716" s="2" t="n">
        <v>43963</v>
      </c>
      <c r="L716" s="2" t="n"/>
      <c r="N716" s="35" t="n">
        <v>2</v>
      </c>
      <c r="O716" s="7" t="n">
        <v>32.3</v>
      </c>
      <c r="P716" s="8" t="inlineStr">
        <is>
          <t>5 JOURS</t>
        </is>
      </c>
      <c r="Q716" s="2" t="n">
        <v>44054</v>
      </c>
    </row>
    <row r="717">
      <c r="A717" s="8" t="n">
        <v>34407207</v>
      </c>
      <c r="B717" s="2">
        <f>INDEX(Tableau1[], MATCH(Tableau3[[#This Row],[REFERENCE]], Tableau1[NUMERO], 0), 2)</f>
        <v/>
      </c>
      <c r="C717">
        <f>INDEX(Tableau1[], MATCH(Tableau3[[#This Row],[REFERENCE]], Tableau1[NUMERO], 0), 3)</f>
        <v/>
      </c>
      <c r="D717">
        <f>INDEX(Tableau1[], MATCH(Tableau3[[#This Row],[REFERENCE]], Tableau1[NUMERO], 0),4)</f>
        <v/>
      </c>
      <c r="E717">
        <f>INDEX(Tableau1[], MATCH(Tableau3[[#This Row],[REFERENCE]], Tableau1[NUMERO], 0), 5)</f>
        <v/>
      </c>
      <c r="H717" t="inlineStr">
        <is>
          <t>lasertechnic</t>
        </is>
      </c>
      <c r="J717" s="2" t="n">
        <v>43962</v>
      </c>
      <c r="K717" s="2" t="n">
        <v>43963</v>
      </c>
      <c r="L717" s="2" t="n"/>
      <c r="N717" s="35" t="n">
        <v>2</v>
      </c>
      <c r="O717" s="7" t="n">
        <v>60.8</v>
      </c>
      <c r="P717" s="8" t="inlineStr">
        <is>
          <t>5 JOURS</t>
        </is>
      </c>
      <c r="Q717" s="2" t="n">
        <v>44054</v>
      </c>
    </row>
    <row r="718">
      <c r="A718" s="8" t="n">
        <v>34407308</v>
      </c>
      <c r="B718" s="2">
        <f>INDEX(Tableau1[], MATCH(Tableau3[[#This Row],[REFERENCE]], Tableau1[NUMERO], 0), 2)</f>
        <v/>
      </c>
      <c r="C718">
        <f>INDEX(Tableau1[], MATCH(Tableau3[[#This Row],[REFERENCE]], Tableau1[NUMERO], 0), 3)</f>
        <v/>
      </c>
      <c r="D718">
        <f>INDEX(Tableau1[], MATCH(Tableau3[[#This Row],[REFERENCE]], Tableau1[NUMERO], 0),4)</f>
        <v/>
      </c>
      <c r="E718">
        <f>INDEX(Tableau1[], MATCH(Tableau3[[#This Row],[REFERENCE]], Tableau1[NUMERO], 0), 5)</f>
        <v/>
      </c>
      <c r="H718" t="inlineStr">
        <is>
          <t>lasertechnic</t>
        </is>
      </c>
      <c r="J718" s="2" t="n">
        <v>43962</v>
      </c>
      <c r="K718" s="2" t="n">
        <v>43963</v>
      </c>
      <c r="L718" s="2" t="n"/>
      <c r="N718" s="35" t="n">
        <v>4</v>
      </c>
      <c r="O718" s="7" t="n">
        <v>18.05</v>
      </c>
      <c r="P718" s="8" t="inlineStr">
        <is>
          <t>5 JOURS</t>
        </is>
      </c>
      <c r="Q718" s="2" t="n">
        <v>44054</v>
      </c>
    </row>
    <row r="719">
      <c r="A719" s="8" t="n">
        <v>34407312</v>
      </c>
      <c r="B719" s="2">
        <f>INDEX(Tableau1[], MATCH(Tableau3[[#This Row],[REFERENCE]], Tableau1[NUMERO], 0), 2)</f>
        <v/>
      </c>
      <c r="C719">
        <f>INDEX(Tableau1[], MATCH(Tableau3[[#This Row],[REFERENCE]], Tableau1[NUMERO], 0), 3)</f>
        <v/>
      </c>
      <c r="D719">
        <f>INDEX(Tableau1[], MATCH(Tableau3[[#This Row],[REFERENCE]], Tableau1[NUMERO], 0),4)</f>
        <v/>
      </c>
      <c r="E719">
        <f>INDEX(Tableau1[], MATCH(Tableau3[[#This Row],[REFERENCE]], Tableau1[NUMERO], 0), 5)</f>
        <v/>
      </c>
      <c r="H719" t="inlineStr">
        <is>
          <t>lasertechnic</t>
        </is>
      </c>
      <c r="J719" s="2" t="n">
        <v>43962</v>
      </c>
      <c r="K719" s="2" t="n">
        <v>43963</v>
      </c>
      <c r="L719" s="2" t="n"/>
      <c r="N719" s="35" t="n">
        <v>4</v>
      </c>
      <c r="O719" s="7" t="n">
        <v>22.8</v>
      </c>
      <c r="P719" s="8" t="inlineStr">
        <is>
          <t>5 JOURS</t>
        </is>
      </c>
      <c r="Q719" s="2" t="n">
        <v>44054</v>
      </c>
    </row>
    <row r="720">
      <c r="A720" s="8" t="n">
        <v>34407313</v>
      </c>
      <c r="B720" s="2">
        <f>INDEX(Tableau1[], MATCH(Tableau3[[#This Row],[REFERENCE]], Tableau1[NUMERO], 0), 2)</f>
        <v/>
      </c>
      <c r="C720">
        <f>INDEX(Tableau1[], MATCH(Tableau3[[#This Row],[REFERENCE]], Tableau1[NUMERO], 0), 3)</f>
        <v/>
      </c>
      <c r="D720">
        <f>INDEX(Tableau1[], MATCH(Tableau3[[#This Row],[REFERENCE]], Tableau1[NUMERO], 0),4)</f>
        <v/>
      </c>
      <c r="E720">
        <f>INDEX(Tableau1[], MATCH(Tableau3[[#This Row],[REFERENCE]], Tableau1[NUMERO], 0), 5)</f>
        <v/>
      </c>
      <c r="H720" t="inlineStr">
        <is>
          <t>lasertechnic</t>
        </is>
      </c>
      <c r="J720" s="2" t="n">
        <v>43962</v>
      </c>
      <c r="K720" s="2" t="n">
        <v>43963</v>
      </c>
      <c r="L720" s="2" t="n"/>
      <c r="N720" s="35" t="n">
        <v>2</v>
      </c>
      <c r="O720" s="7" t="n">
        <v>19</v>
      </c>
      <c r="P720" s="8" t="inlineStr">
        <is>
          <t>5 JOURS</t>
        </is>
      </c>
      <c r="Q720" s="2" t="n">
        <v>44054</v>
      </c>
    </row>
    <row r="721">
      <c r="A721" s="8" t="n">
        <v>34407439</v>
      </c>
      <c r="B721" s="2">
        <f>INDEX(Tableau1[], MATCH(Tableau3[[#This Row],[REFERENCE]], Tableau1[NUMERO], 0), 2)</f>
        <v/>
      </c>
      <c r="C721">
        <f>INDEX(Tableau1[], MATCH(Tableau3[[#This Row],[REFERENCE]], Tableau1[NUMERO], 0), 3)</f>
        <v/>
      </c>
      <c r="D721">
        <f>INDEX(Tableau1[], MATCH(Tableau3[[#This Row],[REFERENCE]], Tableau1[NUMERO], 0),4)</f>
        <v/>
      </c>
      <c r="E721">
        <f>INDEX(Tableau1[], MATCH(Tableau3[[#This Row],[REFERENCE]], Tableau1[NUMERO], 0), 5)</f>
        <v/>
      </c>
      <c r="H721" t="inlineStr">
        <is>
          <t>lasertechnic</t>
        </is>
      </c>
      <c r="J721" s="2" t="n">
        <v>43962</v>
      </c>
      <c r="K721" s="2" t="n">
        <v>43963</v>
      </c>
      <c r="L721" s="2" t="n"/>
      <c r="N721" s="35" t="n">
        <v>2</v>
      </c>
      <c r="O721" s="7" t="n">
        <v>20.9</v>
      </c>
      <c r="P721" s="8" t="inlineStr">
        <is>
          <t>5 JOURS</t>
        </is>
      </c>
      <c r="Q721" s="2" t="n">
        <v>44054</v>
      </c>
    </row>
    <row r="722">
      <c r="A722" s="8" t="n">
        <v>34407442</v>
      </c>
      <c r="B722" s="2">
        <f>INDEX(Tableau1[], MATCH(Tableau3[[#This Row],[REFERENCE]], Tableau1[NUMERO], 0), 2)</f>
        <v/>
      </c>
      <c r="C722">
        <f>INDEX(Tableau1[], MATCH(Tableau3[[#This Row],[REFERENCE]], Tableau1[NUMERO], 0), 3)</f>
        <v/>
      </c>
      <c r="D722">
        <f>INDEX(Tableau1[], MATCH(Tableau3[[#This Row],[REFERENCE]], Tableau1[NUMERO], 0),4)</f>
        <v/>
      </c>
      <c r="E722">
        <f>INDEX(Tableau1[], MATCH(Tableau3[[#This Row],[REFERENCE]], Tableau1[NUMERO], 0), 5)</f>
        <v/>
      </c>
      <c r="H722" t="inlineStr">
        <is>
          <t>lasertechnic</t>
        </is>
      </c>
      <c r="J722" s="2" t="n">
        <v>43962</v>
      </c>
      <c r="K722" s="2" t="n">
        <v>43963</v>
      </c>
      <c r="L722" s="2" t="n"/>
      <c r="N722" s="35" t="n">
        <v>2</v>
      </c>
      <c r="O722" s="7" t="n">
        <v>33.25</v>
      </c>
      <c r="P722" s="8" t="inlineStr">
        <is>
          <t>5 JOURS</t>
        </is>
      </c>
      <c r="Q722" s="2" t="n">
        <v>44054</v>
      </c>
    </row>
    <row r="723">
      <c r="A723" s="8" t="n">
        <v>34407484</v>
      </c>
      <c r="B723" s="2">
        <f>INDEX(Tableau1[], MATCH(Tableau3[[#This Row],[REFERENCE]], Tableau1[NUMERO], 0), 2)</f>
        <v/>
      </c>
      <c r="C723">
        <f>INDEX(Tableau1[], MATCH(Tableau3[[#This Row],[REFERENCE]], Tableau1[NUMERO], 0), 3)</f>
        <v/>
      </c>
      <c r="D723">
        <f>INDEX(Tableau1[], MATCH(Tableau3[[#This Row],[REFERENCE]], Tableau1[NUMERO], 0),4)</f>
        <v/>
      </c>
      <c r="E723">
        <f>INDEX(Tableau1[], MATCH(Tableau3[[#This Row],[REFERENCE]], Tableau1[NUMERO], 0), 5)</f>
        <v/>
      </c>
      <c r="H723" t="inlineStr">
        <is>
          <t>lasertechnic</t>
        </is>
      </c>
      <c r="J723" s="2" t="n">
        <v>43962</v>
      </c>
      <c r="K723" s="2" t="n">
        <v>43963</v>
      </c>
      <c r="L723" s="2" t="n"/>
      <c r="N723" s="35" t="n">
        <v>2</v>
      </c>
      <c r="O723" s="7" t="n">
        <v>20.9</v>
      </c>
      <c r="P723" s="8" t="inlineStr">
        <is>
          <t>5 JOURS</t>
        </is>
      </c>
      <c r="Q723" s="2" t="n">
        <v>44054</v>
      </c>
    </row>
    <row r="724">
      <c r="A724" s="8" t="n">
        <v>34408455</v>
      </c>
      <c r="B724" s="2">
        <f>INDEX(Tableau1[], MATCH(Tableau3[[#This Row],[REFERENCE]], Tableau1[NUMERO], 0), 2)</f>
        <v/>
      </c>
      <c r="C724">
        <f>INDEX(Tableau1[], MATCH(Tableau3[[#This Row],[REFERENCE]], Tableau1[NUMERO], 0), 3)</f>
        <v/>
      </c>
      <c r="D724">
        <f>INDEX(Tableau1[], MATCH(Tableau3[[#This Row],[REFERENCE]], Tableau1[NUMERO], 0),4)</f>
        <v/>
      </c>
      <c r="E724">
        <f>INDEX(Tableau1[], MATCH(Tableau3[[#This Row],[REFERENCE]], Tableau1[NUMERO], 0), 5)</f>
        <v/>
      </c>
      <c r="H724" t="inlineStr">
        <is>
          <t>lasertechnic</t>
        </is>
      </c>
      <c r="J724" s="2" t="n">
        <v>43962</v>
      </c>
      <c r="K724" s="2" t="n">
        <v>43963</v>
      </c>
      <c r="L724" s="2" t="n"/>
      <c r="N724" s="35" t="n">
        <v>16</v>
      </c>
      <c r="O724" s="7" t="n">
        <v>16.15</v>
      </c>
      <c r="P724" s="8" t="inlineStr">
        <is>
          <t>5 JOURS</t>
        </is>
      </c>
      <c r="Q724" s="2" t="n">
        <v>44054</v>
      </c>
    </row>
    <row r="725">
      <c r="A725" s="8" t="n">
        <v>34408487</v>
      </c>
      <c r="B725" s="2">
        <f>INDEX(Tableau1[], MATCH(Tableau3[[#This Row],[REFERENCE]], Tableau1[NUMERO], 0), 2)</f>
        <v/>
      </c>
      <c r="C725">
        <f>INDEX(Tableau1[], MATCH(Tableau3[[#This Row],[REFERENCE]], Tableau1[NUMERO], 0), 3)</f>
        <v/>
      </c>
      <c r="D725">
        <f>INDEX(Tableau1[], MATCH(Tableau3[[#This Row],[REFERENCE]], Tableau1[NUMERO], 0),4)</f>
        <v/>
      </c>
      <c r="E725">
        <f>INDEX(Tableau1[], MATCH(Tableau3[[#This Row],[REFERENCE]], Tableau1[NUMERO], 0), 5)</f>
        <v/>
      </c>
      <c r="H725" t="inlineStr">
        <is>
          <t>lasertechnic</t>
        </is>
      </c>
      <c r="J725" s="2" t="n">
        <v>43962</v>
      </c>
      <c r="K725" s="2" t="n">
        <v>43963</v>
      </c>
      <c r="L725" s="2" t="n"/>
      <c r="N725" s="35" t="n">
        <v>2</v>
      </c>
      <c r="O725" s="7" t="n">
        <v>66.5</v>
      </c>
      <c r="P725" s="8" t="inlineStr">
        <is>
          <t>5 JOURS</t>
        </is>
      </c>
      <c r="Q725" s="2" t="n">
        <v>44054</v>
      </c>
    </row>
    <row r="726">
      <c r="A726" s="8" t="n">
        <v>34408488</v>
      </c>
      <c r="B726" s="2">
        <f>INDEX(Tableau1[], MATCH(Tableau3[[#This Row],[REFERENCE]], Tableau1[NUMERO], 0), 2)</f>
        <v/>
      </c>
      <c r="C726">
        <f>INDEX(Tableau1[], MATCH(Tableau3[[#This Row],[REFERENCE]], Tableau1[NUMERO], 0), 3)</f>
        <v/>
      </c>
      <c r="D726">
        <f>INDEX(Tableau1[], MATCH(Tableau3[[#This Row],[REFERENCE]], Tableau1[NUMERO], 0),4)</f>
        <v/>
      </c>
      <c r="E726">
        <f>INDEX(Tableau1[], MATCH(Tableau3[[#This Row],[REFERENCE]], Tableau1[NUMERO], 0), 5)</f>
        <v/>
      </c>
      <c r="H726" t="inlineStr">
        <is>
          <t>lasertechnic</t>
        </is>
      </c>
      <c r="J726" s="2" t="n">
        <v>43962</v>
      </c>
      <c r="K726" s="2" t="n">
        <v>43963</v>
      </c>
      <c r="L726" s="2" t="n"/>
      <c r="N726" s="35" t="n">
        <v>2</v>
      </c>
      <c r="O726" s="7" t="n">
        <v>18.05</v>
      </c>
      <c r="P726" s="8" t="inlineStr">
        <is>
          <t>5 JOURS</t>
        </is>
      </c>
      <c r="Q726" s="2" t="n">
        <v>44054</v>
      </c>
    </row>
    <row r="727">
      <c r="A727" s="8" t="n">
        <v>34408489</v>
      </c>
      <c r="B727" s="2">
        <f>INDEX(Tableau1[], MATCH(Tableau3[[#This Row],[REFERENCE]], Tableau1[NUMERO], 0), 2)</f>
        <v/>
      </c>
      <c r="C727">
        <f>INDEX(Tableau1[], MATCH(Tableau3[[#This Row],[REFERENCE]], Tableau1[NUMERO], 0), 3)</f>
        <v/>
      </c>
      <c r="D727">
        <f>INDEX(Tableau1[], MATCH(Tableau3[[#This Row],[REFERENCE]], Tableau1[NUMERO], 0),4)</f>
        <v/>
      </c>
      <c r="E727">
        <f>INDEX(Tableau1[], MATCH(Tableau3[[#This Row],[REFERENCE]], Tableau1[NUMERO], 0), 5)</f>
        <v/>
      </c>
      <c r="H727" t="inlineStr">
        <is>
          <t>lasertechnic</t>
        </is>
      </c>
      <c r="J727" s="2" t="n">
        <v>43962</v>
      </c>
      <c r="K727" s="2" t="n">
        <v>43963</v>
      </c>
      <c r="L727" s="2" t="n"/>
      <c r="N727" s="35" t="n">
        <v>2</v>
      </c>
      <c r="O727" s="7" t="n">
        <v>27.55</v>
      </c>
      <c r="P727" s="8" t="inlineStr">
        <is>
          <t>5 JOURS</t>
        </is>
      </c>
      <c r="Q727" s="2" t="n">
        <v>44054</v>
      </c>
    </row>
    <row r="728">
      <c r="A728" s="8" t="n">
        <v>34408490</v>
      </c>
      <c r="B728" s="2">
        <f>INDEX(Tableau1[], MATCH(Tableau3[[#This Row],[REFERENCE]], Tableau1[NUMERO], 0), 2)</f>
        <v/>
      </c>
      <c r="C728">
        <f>INDEX(Tableau1[], MATCH(Tableau3[[#This Row],[REFERENCE]], Tableau1[NUMERO], 0), 3)</f>
        <v/>
      </c>
      <c r="D728">
        <f>INDEX(Tableau1[], MATCH(Tableau3[[#This Row],[REFERENCE]], Tableau1[NUMERO], 0),4)</f>
        <v/>
      </c>
      <c r="E728">
        <f>INDEX(Tableau1[], MATCH(Tableau3[[#This Row],[REFERENCE]], Tableau1[NUMERO], 0), 5)</f>
        <v/>
      </c>
      <c r="H728" t="inlineStr">
        <is>
          <t>lasertechnic</t>
        </is>
      </c>
      <c r="J728" s="2" t="n">
        <v>43962</v>
      </c>
      <c r="K728" s="2" t="n">
        <v>43963</v>
      </c>
      <c r="L728" s="2" t="n"/>
      <c r="N728" s="35" t="n">
        <v>2</v>
      </c>
      <c r="O728" s="7" t="n">
        <v>20.9</v>
      </c>
      <c r="P728" s="8" t="inlineStr">
        <is>
          <t>5 JOURS</t>
        </is>
      </c>
      <c r="Q728" s="2" t="n">
        <v>44054</v>
      </c>
    </row>
    <row r="729">
      <c r="A729" s="8" t="n">
        <v>34408491</v>
      </c>
      <c r="B729" s="2">
        <f>INDEX(Tableau1[], MATCH(Tableau3[[#This Row],[REFERENCE]], Tableau1[NUMERO], 0), 2)</f>
        <v/>
      </c>
      <c r="C729">
        <f>INDEX(Tableau1[], MATCH(Tableau3[[#This Row],[REFERENCE]], Tableau1[NUMERO], 0), 3)</f>
        <v/>
      </c>
      <c r="D729">
        <f>INDEX(Tableau1[], MATCH(Tableau3[[#This Row],[REFERENCE]], Tableau1[NUMERO], 0),4)</f>
        <v/>
      </c>
      <c r="E729">
        <f>INDEX(Tableau1[], MATCH(Tableau3[[#This Row],[REFERENCE]], Tableau1[NUMERO], 0), 5)</f>
        <v/>
      </c>
      <c r="H729" t="inlineStr">
        <is>
          <t>lasertechnic</t>
        </is>
      </c>
      <c r="J729" s="2" t="n">
        <v>43962</v>
      </c>
      <c r="K729" s="2" t="n">
        <v>43963</v>
      </c>
      <c r="L729" s="2" t="n"/>
      <c r="N729" s="35" t="n">
        <v>2</v>
      </c>
      <c r="O729" s="7" t="n">
        <v>56.05</v>
      </c>
      <c r="P729" s="8" t="inlineStr">
        <is>
          <t>5 JOURS</t>
        </is>
      </c>
      <c r="Q729" s="2" t="n">
        <v>44054</v>
      </c>
    </row>
    <row r="730">
      <c r="A730" s="8" t="n">
        <v>34408492</v>
      </c>
      <c r="B730" s="2">
        <f>INDEX(Tableau1[], MATCH(Tableau3[[#This Row],[REFERENCE]], Tableau1[NUMERO], 0), 2)</f>
        <v/>
      </c>
      <c r="C730">
        <f>INDEX(Tableau1[], MATCH(Tableau3[[#This Row],[REFERENCE]], Tableau1[NUMERO], 0), 3)</f>
        <v/>
      </c>
      <c r="D730">
        <f>INDEX(Tableau1[], MATCH(Tableau3[[#This Row],[REFERENCE]], Tableau1[NUMERO], 0),4)</f>
        <v/>
      </c>
      <c r="E730">
        <f>INDEX(Tableau1[], MATCH(Tableau3[[#This Row],[REFERENCE]], Tableau1[NUMERO], 0), 5)</f>
        <v/>
      </c>
      <c r="H730" t="inlineStr">
        <is>
          <t>lasertechnic</t>
        </is>
      </c>
      <c r="J730" s="2" t="n">
        <v>43962</v>
      </c>
      <c r="K730" s="2" t="n">
        <v>43963</v>
      </c>
      <c r="L730" s="2" t="n"/>
      <c r="N730" s="35" t="n">
        <v>30</v>
      </c>
      <c r="O730" s="7" t="n">
        <v>14.25</v>
      </c>
      <c r="P730" s="8" t="inlineStr">
        <is>
          <t>5 JOURS</t>
        </is>
      </c>
      <c r="Q730" s="2" t="n">
        <v>44054</v>
      </c>
    </row>
    <row r="731">
      <c r="A731" s="8" t="n">
        <v>34408493</v>
      </c>
      <c r="B731" s="2">
        <f>INDEX(Tableau1[], MATCH(Tableau3[[#This Row],[REFERENCE]], Tableau1[NUMERO], 0), 2)</f>
        <v/>
      </c>
      <c r="C731">
        <f>INDEX(Tableau1[], MATCH(Tableau3[[#This Row],[REFERENCE]], Tableau1[NUMERO], 0), 3)</f>
        <v/>
      </c>
      <c r="D731">
        <f>INDEX(Tableau1[], MATCH(Tableau3[[#This Row],[REFERENCE]], Tableau1[NUMERO], 0),4)</f>
        <v/>
      </c>
      <c r="E731">
        <f>INDEX(Tableau1[], MATCH(Tableau3[[#This Row],[REFERENCE]], Tableau1[NUMERO], 0), 5)</f>
        <v/>
      </c>
      <c r="H731" t="inlineStr">
        <is>
          <t>lasertechnic</t>
        </is>
      </c>
      <c r="J731" s="2" t="n">
        <v>43962</v>
      </c>
      <c r="K731" s="2" t="n">
        <v>43963</v>
      </c>
      <c r="L731" s="2" t="n"/>
      <c r="N731" s="35" t="n">
        <v>10</v>
      </c>
      <c r="O731" s="7" t="n">
        <v>22.8</v>
      </c>
      <c r="P731" s="8" t="inlineStr">
        <is>
          <t>5 JOURS</t>
        </is>
      </c>
      <c r="Q731" s="2" t="n">
        <v>44054</v>
      </c>
    </row>
    <row r="732">
      <c r="A732" s="8" t="n">
        <v>34408494</v>
      </c>
      <c r="B732" s="2">
        <f>INDEX(Tableau1[], MATCH(Tableau3[[#This Row],[REFERENCE]], Tableau1[NUMERO], 0), 2)</f>
        <v/>
      </c>
      <c r="C732">
        <f>INDEX(Tableau1[], MATCH(Tableau3[[#This Row],[REFERENCE]], Tableau1[NUMERO], 0), 3)</f>
        <v/>
      </c>
      <c r="D732">
        <f>INDEX(Tableau1[], MATCH(Tableau3[[#This Row],[REFERENCE]], Tableau1[NUMERO], 0),4)</f>
        <v/>
      </c>
      <c r="E732">
        <f>INDEX(Tableau1[], MATCH(Tableau3[[#This Row],[REFERENCE]], Tableau1[NUMERO], 0), 5)</f>
        <v/>
      </c>
      <c r="H732" t="inlineStr">
        <is>
          <t>lasertechnic</t>
        </is>
      </c>
      <c r="J732" s="2" t="n">
        <v>43962</v>
      </c>
      <c r="K732" s="2" t="n">
        <v>43963</v>
      </c>
      <c r="L732" s="2" t="n"/>
      <c r="N732" s="35" t="n">
        <v>6</v>
      </c>
      <c r="O732" s="7" t="n">
        <v>11.4</v>
      </c>
      <c r="P732" s="8" t="inlineStr">
        <is>
          <t>5 JOURS</t>
        </is>
      </c>
      <c r="Q732" s="2" t="n">
        <v>44054</v>
      </c>
    </row>
    <row r="733">
      <c r="A733" s="8" t="n">
        <v>34408409</v>
      </c>
      <c r="B733" s="2">
        <f>INDEX(Tableau1[], MATCH(Tableau3[[#This Row],[REFERENCE]], Tableau1[NUMERO], 0), 2)</f>
        <v/>
      </c>
      <c r="C733">
        <f>INDEX(Tableau1[], MATCH(Tableau3[[#This Row],[REFERENCE]], Tableau1[NUMERO], 0), 3)</f>
        <v/>
      </c>
      <c r="D733">
        <f>INDEX(Tableau1[], MATCH(Tableau3[[#This Row],[REFERENCE]], Tableau1[NUMERO], 0),4)</f>
        <v/>
      </c>
      <c r="E733">
        <f>INDEX(Tableau1[], MATCH(Tableau3[[#This Row],[REFERENCE]], Tableau1[NUMERO], 0), 5)</f>
        <v/>
      </c>
      <c r="H733" t="inlineStr">
        <is>
          <t>Eriks</t>
        </is>
      </c>
      <c r="J733" s="2" t="n">
        <v>43965</v>
      </c>
      <c r="K733" s="2" t="n">
        <v>43965</v>
      </c>
      <c r="L733" s="2" t="n"/>
      <c r="N733" s="35" t="n">
        <v>1</v>
      </c>
      <c r="O733" s="7" t="n">
        <v>125</v>
      </c>
      <c r="P733" s="8" t="inlineStr">
        <is>
          <t>3 semaines</t>
        </is>
      </c>
      <c r="Q733" s="2" t="n">
        <v>44026</v>
      </c>
    </row>
    <row r="734">
      <c r="A734" s="46" t="inlineStr">
        <is>
          <t>34408562_RAL9003</t>
        </is>
      </c>
      <c r="B734" s="2">
        <f>INDEX(Tableau1[], MATCH(Tableau3[[#This Row],[REFERENCE]], Tableau1[NUMERO], 0), 2)</f>
        <v/>
      </c>
      <c r="C734">
        <f>INDEX(Tableau1[], MATCH(Tableau3[[#This Row],[REFERENCE]], Tableau1[NUMERO], 0), 3)</f>
        <v/>
      </c>
      <c r="D734">
        <f>INDEX(Tableau1[], MATCH(Tableau3[[#This Row],[REFERENCE]], Tableau1[NUMERO], 0),4)</f>
        <v/>
      </c>
      <c r="E734">
        <f>INDEX(Tableau1[], MATCH(Tableau3[[#This Row],[REFERENCE]], Tableau1[NUMERO], 0), 5)</f>
        <v/>
      </c>
      <c r="H734" t="inlineStr">
        <is>
          <t>lasertechnic</t>
        </is>
      </c>
      <c r="J734" s="2" t="n">
        <v>43987</v>
      </c>
      <c r="K734" s="2" t="n">
        <v>43987</v>
      </c>
      <c r="L734" s="2" t="n"/>
      <c r="N734" s="35" t="n">
        <v>16</v>
      </c>
      <c r="O734" s="7" t="n">
        <v>46</v>
      </c>
      <c r="P734" s="8" t="inlineStr">
        <is>
          <t>48 Heures</t>
        </is>
      </c>
      <c r="Q734" s="2" t="n">
        <v>44078</v>
      </c>
    </row>
    <row r="735">
      <c r="A735" s="8" t="n">
        <v>34405654</v>
      </c>
      <c r="B735" s="2">
        <f>INDEX(Tableau1[], MATCH(Tableau3[[#This Row],[REFERENCE]], Tableau1[NUMERO], 0), 2)</f>
        <v/>
      </c>
      <c r="C735">
        <f>INDEX(Tableau1[], MATCH(Tableau3[[#This Row],[REFERENCE]], Tableau1[NUMERO], 0), 3)</f>
        <v/>
      </c>
      <c r="D735">
        <f>INDEX(Tableau1[], MATCH(Tableau3[[#This Row],[REFERENCE]], Tableau1[NUMERO], 0),4)</f>
        <v/>
      </c>
      <c r="E735">
        <f>INDEX(Tableau1[], MATCH(Tableau3[[#This Row],[REFERENCE]], Tableau1[NUMERO], 0), 5)</f>
        <v/>
      </c>
      <c r="H735" t="inlineStr">
        <is>
          <t>lasertechnic</t>
        </is>
      </c>
      <c r="J735" s="2" t="n">
        <v>43987</v>
      </c>
      <c r="K735" s="2" t="n">
        <v>43987</v>
      </c>
      <c r="L735" s="2" t="n"/>
      <c r="N735" s="35" t="n">
        <v>32</v>
      </c>
      <c r="O735" s="7" t="n">
        <v>12</v>
      </c>
      <c r="P735" s="8" t="inlineStr">
        <is>
          <t>48 Heures</t>
        </is>
      </c>
      <c r="Q735" s="2" t="n">
        <v>44078</v>
      </c>
    </row>
    <row r="736">
      <c r="A736" s="46" t="inlineStr">
        <is>
          <t>34408561_RAL9003</t>
        </is>
      </c>
      <c r="B736" s="2">
        <f>INDEX(Tableau1[], MATCH(Tableau3[[#This Row],[REFERENCE]], Tableau1[NUMERO], 0), 2)</f>
        <v/>
      </c>
      <c r="C736">
        <f>INDEX(Tableau1[], MATCH(Tableau3[[#This Row],[REFERENCE]], Tableau1[NUMERO], 0), 3)</f>
        <v/>
      </c>
      <c r="D736">
        <f>INDEX(Tableau1[], MATCH(Tableau3[[#This Row],[REFERENCE]], Tableau1[NUMERO], 0),4)</f>
        <v/>
      </c>
      <c r="E736">
        <f>INDEX(Tableau1[], MATCH(Tableau3[[#This Row],[REFERENCE]], Tableau1[NUMERO], 0), 5)</f>
        <v/>
      </c>
      <c r="H736" t="inlineStr">
        <is>
          <t>lasertechnic</t>
        </is>
      </c>
      <c r="J736" s="2" t="n">
        <v>43987</v>
      </c>
      <c r="K736" s="2" t="n">
        <v>43990</v>
      </c>
      <c r="L736" s="2" t="n"/>
      <c r="N736" s="35" t="n">
        <v>1</v>
      </c>
      <c r="O736" s="7" t="n">
        <v>110</v>
      </c>
      <c r="P736" s="8" t="inlineStr">
        <is>
          <t>5 JOURS</t>
        </is>
      </c>
      <c r="Q736" s="2" t="n">
        <v>44081</v>
      </c>
    </row>
    <row r="737">
      <c r="A737" s="46" t="inlineStr">
        <is>
          <t>34408557_RAL9003</t>
        </is>
      </c>
      <c r="B737" s="2">
        <f>INDEX(Tableau1[], MATCH(Tableau3[[#This Row],[REFERENCE]], Tableau1[NUMERO], 0), 2)</f>
        <v/>
      </c>
      <c r="C737">
        <f>INDEX(Tableau1[], MATCH(Tableau3[[#This Row],[REFERENCE]], Tableau1[NUMERO], 0), 3)</f>
        <v/>
      </c>
      <c r="D737">
        <f>INDEX(Tableau1[], MATCH(Tableau3[[#This Row],[REFERENCE]], Tableau1[NUMERO], 0),4)</f>
        <v/>
      </c>
      <c r="E737">
        <f>INDEX(Tableau1[], MATCH(Tableau3[[#This Row],[REFERENCE]], Tableau1[NUMERO], 0), 5)</f>
        <v/>
      </c>
      <c r="H737" t="inlineStr">
        <is>
          <t>lasertechnic</t>
        </is>
      </c>
      <c r="J737" s="2" t="n">
        <v>43987</v>
      </c>
      <c r="K737" s="2" t="n">
        <v>43990</v>
      </c>
      <c r="L737" s="2" t="n"/>
      <c r="N737" s="35" t="n">
        <v>5</v>
      </c>
      <c r="O737" s="7" t="n">
        <v>105</v>
      </c>
      <c r="P737" s="8" t="inlineStr">
        <is>
          <t>5 JOURS</t>
        </is>
      </c>
      <c r="Q737" s="2" t="n">
        <v>44081</v>
      </c>
    </row>
    <row r="738">
      <c r="A738" s="46" t="inlineStr">
        <is>
          <t>34408564_RAL9003</t>
        </is>
      </c>
      <c r="B738" s="2">
        <f>INDEX(Tableau1[], MATCH(Tableau3[[#This Row],[REFERENCE]], Tableau1[NUMERO], 0), 2)</f>
        <v/>
      </c>
      <c r="C738">
        <f>INDEX(Tableau1[], MATCH(Tableau3[[#This Row],[REFERENCE]], Tableau1[NUMERO], 0), 3)</f>
        <v/>
      </c>
      <c r="D738">
        <f>INDEX(Tableau1[], MATCH(Tableau3[[#This Row],[REFERENCE]], Tableau1[NUMERO], 0),4)</f>
        <v/>
      </c>
      <c r="E738">
        <f>INDEX(Tableau1[], MATCH(Tableau3[[#This Row],[REFERENCE]], Tableau1[NUMERO], 0), 5)</f>
        <v/>
      </c>
      <c r="H738" t="inlineStr">
        <is>
          <t>lasertechnic</t>
        </is>
      </c>
      <c r="J738" s="2" t="n">
        <v>43987</v>
      </c>
      <c r="K738" s="2" t="n">
        <v>43990</v>
      </c>
      <c r="L738" s="2" t="n"/>
      <c r="N738" s="35" t="n">
        <v>12</v>
      </c>
      <c r="O738" s="7" t="n">
        <v>18</v>
      </c>
      <c r="P738" s="8" t="inlineStr">
        <is>
          <t>5 JOURS</t>
        </is>
      </c>
      <c r="Q738" s="2" t="n">
        <v>44081</v>
      </c>
    </row>
    <row r="739">
      <c r="A739" s="8" t="n">
        <v>34408566</v>
      </c>
      <c r="B739" s="2">
        <f>INDEX(Tableau1[], MATCH(Tableau3[[#This Row],[REFERENCE]], Tableau1[NUMERO], 0), 2)</f>
        <v/>
      </c>
      <c r="C739">
        <f>INDEX(Tableau1[], MATCH(Tableau3[[#This Row],[REFERENCE]], Tableau1[NUMERO], 0), 3)</f>
        <v/>
      </c>
      <c r="D739">
        <f>INDEX(Tableau1[], MATCH(Tableau3[[#This Row],[REFERENCE]], Tableau1[NUMERO], 0),4)</f>
        <v/>
      </c>
      <c r="E739">
        <f>INDEX(Tableau1[], MATCH(Tableau3[[#This Row],[REFERENCE]], Tableau1[NUMERO], 0), 5)</f>
        <v/>
      </c>
      <c r="H739" t="inlineStr">
        <is>
          <t>lasertechnic</t>
        </is>
      </c>
      <c r="J739" s="2" t="n">
        <v>43993</v>
      </c>
      <c r="K739" s="2" t="n">
        <v>43994</v>
      </c>
      <c r="L739" s="2" t="n"/>
      <c r="N739" s="35" t="n">
        <v>1</v>
      </c>
      <c r="O739" s="7" t="n">
        <v>75</v>
      </c>
      <c r="P739" s="8" t="inlineStr">
        <is>
          <t>5 JOURS</t>
        </is>
      </c>
      <c r="Q739" s="2" t="n">
        <v>44085</v>
      </c>
    </row>
    <row r="740">
      <c r="A740" s="8" t="n">
        <v>34408567</v>
      </c>
      <c r="B740" s="2">
        <f>INDEX(Tableau1[], MATCH(Tableau3[[#This Row],[REFERENCE]], Tableau1[NUMERO], 0), 2)</f>
        <v/>
      </c>
      <c r="C740">
        <f>INDEX(Tableau1[], MATCH(Tableau3[[#This Row],[REFERENCE]], Tableau1[NUMERO], 0), 3)</f>
        <v/>
      </c>
      <c r="D740">
        <f>INDEX(Tableau1[], MATCH(Tableau3[[#This Row],[REFERENCE]], Tableau1[NUMERO], 0),4)</f>
        <v/>
      </c>
      <c r="E740">
        <f>INDEX(Tableau1[], MATCH(Tableau3[[#This Row],[REFERENCE]], Tableau1[NUMERO], 0), 5)</f>
        <v/>
      </c>
      <c r="H740" t="inlineStr">
        <is>
          <t>lasertechnic</t>
        </is>
      </c>
      <c r="J740" s="2" t="n">
        <v>43993</v>
      </c>
      <c r="K740" s="2" t="n">
        <v>43994</v>
      </c>
      <c r="L740" s="2" t="n"/>
      <c r="N740" s="35" t="n">
        <v>1</v>
      </c>
      <c r="O740" s="7" t="n">
        <v>68</v>
      </c>
      <c r="P740" s="8" t="inlineStr">
        <is>
          <t>5 JOURS</t>
        </is>
      </c>
      <c r="Q740" s="2" t="n">
        <v>44085</v>
      </c>
    </row>
    <row r="741">
      <c r="A741" s="8" t="n">
        <v>34408575</v>
      </c>
      <c r="B741" s="2">
        <f>INDEX(Tableau1[], MATCH(Tableau3[[#This Row],[REFERENCE]], Tableau1[NUMERO], 0), 2)</f>
        <v/>
      </c>
      <c r="C741">
        <f>INDEX(Tableau1[], MATCH(Tableau3[[#This Row],[REFERENCE]], Tableau1[NUMERO], 0), 3)</f>
        <v/>
      </c>
      <c r="D741">
        <f>INDEX(Tableau1[], MATCH(Tableau3[[#This Row],[REFERENCE]], Tableau1[NUMERO], 0),4)</f>
        <v/>
      </c>
      <c r="E741">
        <f>INDEX(Tableau1[], MATCH(Tableau3[[#This Row],[REFERENCE]], Tableau1[NUMERO], 0), 5)</f>
        <v/>
      </c>
      <c r="H741" t="inlineStr">
        <is>
          <t>lasertechnic</t>
        </is>
      </c>
      <c r="J741" s="2" t="n">
        <v>43993</v>
      </c>
      <c r="K741" s="2" t="n">
        <v>43994</v>
      </c>
      <c r="L741" s="2" t="n"/>
      <c r="N741" s="35" t="n">
        <v>1</v>
      </c>
      <c r="O741" s="7" t="n">
        <v>52</v>
      </c>
      <c r="P741" s="8" t="inlineStr">
        <is>
          <t>5 JOURS</t>
        </is>
      </c>
      <c r="Q741" s="2" t="n">
        <v>44085</v>
      </c>
    </row>
    <row r="742">
      <c r="A742" s="8" t="n">
        <v>34408580</v>
      </c>
      <c r="B742" s="2">
        <f>INDEX(Tableau1[], MATCH(Tableau3[[#This Row],[REFERENCE]], Tableau1[NUMERO], 0), 2)</f>
        <v/>
      </c>
      <c r="C742">
        <f>INDEX(Tableau1[], MATCH(Tableau3[[#This Row],[REFERENCE]], Tableau1[NUMERO], 0), 3)</f>
        <v/>
      </c>
      <c r="D742">
        <f>INDEX(Tableau1[], MATCH(Tableau3[[#This Row],[REFERENCE]], Tableau1[NUMERO], 0),4)</f>
        <v/>
      </c>
      <c r="E742">
        <f>INDEX(Tableau1[], MATCH(Tableau3[[#This Row],[REFERENCE]], Tableau1[NUMERO], 0), 5)</f>
        <v/>
      </c>
      <c r="H742" t="inlineStr">
        <is>
          <t>lasertechnic</t>
        </is>
      </c>
      <c r="J742" s="2" t="n">
        <v>43994</v>
      </c>
      <c r="K742" s="2" t="n">
        <v>43994</v>
      </c>
      <c r="L742" s="2" t="n"/>
      <c r="N742" s="35" t="n">
        <v>1</v>
      </c>
      <c r="O742" s="7" t="n">
        <v>78</v>
      </c>
      <c r="P742" s="8" t="inlineStr">
        <is>
          <t>5 JOURS</t>
        </is>
      </c>
      <c r="Q742" s="2" t="n">
        <v>44085</v>
      </c>
    </row>
    <row r="743" ht="15.75" customFormat="1" customHeight="1" s="65" thickBot="1">
      <c r="A743" s="63" t="n">
        <v>34408581</v>
      </c>
      <c r="B743" s="64">
        <f>INDEX(Tableau1[], MATCH(Tableau3[[#This Row],[REFERENCE]], Tableau1[NUMERO], 0), 2)</f>
        <v/>
      </c>
      <c r="C743" s="65">
        <f>INDEX(Tableau1[], MATCH(Tableau3[[#This Row],[REFERENCE]], Tableau1[NUMERO], 0), 3)</f>
        <v/>
      </c>
      <c r="D743" s="65">
        <f>INDEX(Tableau1[], MATCH(Tableau3[[#This Row],[REFERENCE]], Tableau1[NUMERO], 0),4)</f>
        <v/>
      </c>
      <c r="E743" s="65">
        <f>INDEX(Tableau1[], MATCH(Tableau3[[#This Row],[REFERENCE]], Tableau1[NUMERO], 0), 5)</f>
        <v/>
      </c>
      <c r="H743" s="65" t="inlineStr">
        <is>
          <t>lasertechnic</t>
        </is>
      </c>
      <c r="I743" s="63" t="n"/>
      <c r="J743" s="64" t="n">
        <v>43994</v>
      </c>
      <c r="K743" s="64" t="n">
        <v>43994</v>
      </c>
      <c r="L743" s="64" t="n"/>
      <c r="M743" s="66" t="n"/>
      <c r="N743" s="67" t="n">
        <v>1</v>
      </c>
      <c r="O743" s="68" t="n">
        <v>19</v>
      </c>
      <c r="P743" s="63" t="inlineStr">
        <is>
          <t>5 JOURS</t>
        </is>
      </c>
      <c r="Q743" s="64" t="n">
        <v>44085</v>
      </c>
    </row>
    <row r="744">
      <c r="A744" s="46" t="inlineStr">
        <is>
          <t>34408577RAL9003</t>
        </is>
      </c>
      <c r="B744" s="47">
        <f>INDEX(Tableau1[], MATCH(Tableau3[[#This Row],[REFERENCE]], Tableau1[NUMERO], 0), 2)</f>
        <v/>
      </c>
      <c r="C744" s="48">
        <f>INDEX(Tableau1[], MATCH(Tableau3[[#This Row],[REFERENCE]], Tableau1[NUMERO], 0), 3)</f>
        <v/>
      </c>
      <c r="D744" s="48">
        <f>INDEX(Tableau1[], MATCH(Tableau3[[#This Row],[REFERENCE]], Tableau1[NUMERO], 0),4)</f>
        <v/>
      </c>
      <c r="E744" s="48">
        <f>INDEX(Tableau1[], MATCH(Tableau3[[#This Row],[REFERENCE]], Tableau1[NUMERO], 0), 5)</f>
        <v/>
      </c>
      <c r="F744" s="48" t="n"/>
      <c r="G744" s="48" t="n"/>
      <c r="H744" s="48" t="inlineStr">
        <is>
          <t>TCS</t>
        </is>
      </c>
      <c r="J744" s="11" t="n">
        <v>43999</v>
      </c>
      <c r="K744" s="62" t="n">
        <v>44001</v>
      </c>
      <c r="L744" s="47" t="n"/>
      <c r="M744" s="49" t="n"/>
      <c r="N744" s="35" t="n">
        <v>4</v>
      </c>
      <c r="O744" s="37" t="n">
        <v>28</v>
      </c>
      <c r="P744" s="8" t="inlineStr">
        <is>
          <t>10 jours</t>
        </is>
      </c>
      <c r="Q744" s="11" t="n">
        <v>44092</v>
      </c>
      <c r="R744" s="48" t="n"/>
    </row>
    <row r="745">
      <c r="A745" s="46" t="inlineStr">
        <is>
          <t>34408578RAL9003</t>
        </is>
      </c>
      <c r="B745" s="47">
        <f>INDEX(Tableau1[], MATCH(Tableau3[[#This Row],[REFERENCE]], Tableau1[NUMERO], 0), 2)</f>
        <v/>
      </c>
      <c r="C745" s="48">
        <f>INDEX(Tableau1[], MATCH(Tableau3[[#This Row],[REFERENCE]], Tableau1[NUMERO], 0), 3)</f>
        <v/>
      </c>
      <c r="D745" s="48">
        <f>INDEX(Tableau1[], MATCH(Tableau3[[#This Row],[REFERENCE]], Tableau1[NUMERO], 0),4)</f>
        <v/>
      </c>
      <c r="E745" s="48">
        <f>INDEX(Tableau1[], MATCH(Tableau3[[#This Row],[REFERENCE]], Tableau1[NUMERO], 0), 5)</f>
        <v/>
      </c>
      <c r="F745" s="48" t="n"/>
      <c r="G745" s="48" t="n"/>
      <c r="H745" s="48" t="inlineStr">
        <is>
          <t>TCS</t>
        </is>
      </c>
      <c r="J745" s="11" t="n">
        <v>43999</v>
      </c>
      <c r="K745" s="62" t="n">
        <v>44001</v>
      </c>
      <c r="L745" s="47" t="n"/>
      <c r="M745" s="49" t="n"/>
      <c r="N745" s="35" t="n">
        <v>6</v>
      </c>
      <c r="O745" s="37" t="n">
        <v>28</v>
      </c>
      <c r="P745" s="8" t="inlineStr">
        <is>
          <t>10 jours</t>
        </is>
      </c>
      <c r="Q745" s="11" t="n">
        <v>44092</v>
      </c>
      <c r="R745" s="48" t="n"/>
    </row>
    <row r="746" ht="15.75" customHeight="1" s="142" thickBot="1">
      <c r="A746" s="46" t="inlineStr">
        <is>
          <t>34408579RAL9003</t>
        </is>
      </c>
      <c r="B746" s="47">
        <f>INDEX(Tableau1[], MATCH(Tableau3[[#This Row],[REFERENCE]], Tableau1[NUMERO], 0), 2)</f>
        <v/>
      </c>
      <c r="C746" s="48">
        <f>INDEX(Tableau1[], MATCH(Tableau3[[#This Row],[REFERENCE]], Tableau1[NUMERO], 0), 3)</f>
        <v/>
      </c>
      <c r="D746" s="48">
        <f>INDEX(Tableau1[], MATCH(Tableau3[[#This Row],[REFERENCE]], Tableau1[NUMERO], 0),4)</f>
        <v/>
      </c>
      <c r="E746" s="48">
        <f>INDEX(Tableau1[], MATCH(Tableau3[[#This Row],[REFERENCE]], Tableau1[NUMERO], 0), 5)</f>
        <v/>
      </c>
      <c r="F746" s="48" t="n"/>
      <c r="G746" s="48" t="n"/>
      <c r="H746" s="48" t="inlineStr">
        <is>
          <t>TCS</t>
        </is>
      </c>
      <c r="J746" s="11" t="n">
        <v>43999</v>
      </c>
      <c r="K746" s="62" t="n">
        <v>44001</v>
      </c>
      <c r="L746" s="47" t="n"/>
      <c r="M746" s="49" t="n"/>
      <c r="N746" s="35" t="n">
        <v>6</v>
      </c>
      <c r="O746" s="37" t="n">
        <v>28</v>
      </c>
      <c r="P746" s="8" t="inlineStr">
        <is>
          <t>10 jours</t>
        </is>
      </c>
      <c r="Q746" s="11" t="n">
        <v>44092</v>
      </c>
      <c r="R746" s="48" t="n"/>
    </row>
    <row r="747" ht="15.75" customFormat="1" customHeight="1" s="52" thickTop="1">
      <c r="A747" s="50" t="n">
        <v>34408568</v>
      </c>
      <c r="B747" s="51">
        <f>INDEX(Tableau1[], MATCH(Tableau3[[#This Row],[REFERENCE]], Tableau1[NUMERO], 0), 2)</f>
        <v/>
      </c>
      <c r="C747" s="52">
        <f>INDEX(Tableau1[], MATCH(Tableau3[[#This Row],[REFERENCE]], Tableau1[NUMERO], 0), 3)</f>
        <v/>
      </c>
      <c r="D747" s="52">
        <f>INDEX(Tableau1[], MATCH(Tableau3[[#This Row],[REFERENCE]], Tableau1[NUMERO], 0),4)</f>
        <v/>
      </c>
      <c r="E747" s="52">
        <f>INDEX(Tableau1[], MATCH(Tableau3[[#This Row],[REFERENCE]], Tableau1[NUMERO], 0), 5)</f>
        <v/>
      </c>
      <c r="H747" s="52" t="inlineStr">
        <is>
          <t>trefimetaux</t>
        </is>
      </c>
      <c r="I747" s="50" t="n"/>
      <c r="J747" s="51" t="n">
        <v>43998</v>
      </c>
      <c r="K747" s="51" t="n">
        <v>43999</v>
      </c>
      <c r="L747" s="51" t="n"/>
      <c r="M747" s="53" t="inlineStr">
        <is>
          <t>01</t>
        </is>
      </c>
      <c r="N747" s="54" t="n">
        <v>8</v>
      </c>
      <c r="O747" s="55" t="n">
        <v>10</v>
      </c>
      <c r="P747" s="50" t="inlineStr">
        <is>
          <t>10 jours</t>
        </is>
      </c>
      <c r="Q747" s="51" t="n">
        <v>44091</v>
      </c>
    </row>
    <row r="748">
      <c r="A748" s="8" t="n">
        <v>34408569</v>
      </c>
      <c r="B748" s="2">
        <f>INDEX(Tableau1[], MATCH(Tableau3[[#This Row],[REFERENCE]], Tableau1[NUMERO], 0), 2)</f>
        <v/>
      </c>
      <c r="C748">
        <f>INDEX(Tableau1[], MATCH(Tableau3[[#This Row],[REFERENCE]], Tableau1[NUMERO], 0), 3)</f>
        <v/>
      </c>
      <c r="D748">
        <f>INDEX(Tableau1[], MATCH(Tableau3[[#This Row],[REFERENCE]], Tableau1[NUMERO], 0),4)</f>
        <v/>
      </c>
      <c r="E748">
        <f>INDEX(Tableau1[], MATCH(Tableau3[[#This Row],[REFERENCE]], Tableau1[NUMERO], 0), 5)</f>
        <v/>
      </c>
      <c r="H748" t="inlineStr">
        <is>
          <t>trefimetaux</t>
        </is>
      </c>
      <c r="J748" s="2" t="n">
        <v>43998</v>
      </c>
      <c r="K748" s="2" t="n">
        <v>43999</v>
      </c>
      <c r="L748" s="2" t="n"/>
      <c r="M748" s="21" t="inlineStr">
        <is>
          <t>01</t>
        </is>
      </c>
      <c r="N748" s="35" t="n">
        <v>2</v>
      </c>
      <c r="O748" s="7" t="n">
        <v>80</v>
      </c>
      <c r="P748" s="8" t="inlineStr">
        <is>
          <t>10 jours</t>
        </is>
      </c>
      <c r="Q748" s="2" t="n">
        <v>44091</v>
      </c>
    </row>
    <row r="749">
      <c r="A749" s="8" t="n">
        <v>34408570</v>
      </c>
      <c r="B749" s="2">
        <f>INDEX(Tableau1[], MATCH(Tableau3[[#This Row],[REFERENCE]], Tableau1[NUMERO], 0), 2)</f>
        <v/>
      </c>
      <c r="C749">
        <f>INDEX(Tableau1[], MATCH(Tableau3[[#This Row],[REFERENCE]], Tableau1[NUMERO], 0), 3)</f>
        <v/>
      </c>
      <c r="D749">
        <f>INDEX(Tableau1[], MATCH(Tableau3[[#This Row],[REFERENCE]], Tableau1[NUMERO], 0),4)</f>
        <v/>
      </c>
      <c r="E749">
        <f>INDEX(Tableau1[], MATCH(Tableau3[[#This Row],[REFERENCE]], Tableau1[NUMERO], 0), 5)</f>
        <v/>
      </c>
      <c r="H749" t="inlineStr">
        <is>
          <t>trefimetaux</t>
        </is>
      </c>
      <c r="J749" s="2" t="n">
        <v>43998</v>
      </c>
      <c r="K749" s="2" t="n">
        <v>43999</v>
      </c>
      <c r="L749" s="2" t="n"/>
      <c r="M749" s="21" t="inlineStr">
        <is>
          <t>01</t>
        </is>
      </c>
      <c r="N749" s="35" t="n">
        <v>2</v>
      </c>
      <c r="O749" s="7" t="n">
        <v>80</v>
      </c>
      <c r="P749" s="8" t="inlineStr">
        <is>
          <t>10 jours</t>
        </is>
      </c>
      <c r="Q749" s="2" t="n">
        <v>44091</v>
      </c>
    </row>
    <row r="750">
      <c r="A750" s="8" t="n">
        <v>34408571</v>
      </c>
      <c r="B750" s="2">
        <f>INDEX(Tableau1[], MATCH(Tableau3[[#This Row],[REFERENCE]], Tableau1[NUMERO], 0), 2)</f>
        <v/>
      </c>
      <c r="C750">
        <f>INDEX(Tableau1[], MATCH(Tableau3[[#This Row],[REFERENCE]], Tableau1[NUMERO], 0), 3)</f>
        <v/>
      </c>
      <c r="D750">
        <f>INDEX(Tableau1[], MATCH(Tableau3[[#This Row],[REFERENCE]], Tableau1[NUMERO], 0),4)</f>
        <v/>
      </c>
      <c r="E750">
        <f>INDEX(Tableau1[], MATCH(Tableau3[[#This Row],[REFERENCE]], Tableau1[NUMERO], 0), 5)</f>
        <v/>
      </c>
      <c r="H750" t="inlineStr">
        <is>
          <t>trefimetaux</t>
        </is>
      </c>
      <c r="J750" s="2" t="n">
        <v>43998</v>
      </c>
      <c r="K750" s="2" t="n">
        <v>43999</v>
      </c>
      <c r="L750" s="2" t="n"/>
      <c r="M750" s="21" t="inlineStr">
        <is>
          <t>01</t>
        </is>
      </c>
      <c r="N750" s="35" t="n">
        <v>2</v>
      </c>
      <c r="O750" s="7" t="n">
        <v>80</v>
      </c>
      <c r="P750" s="8" t="inlineStr">
        <is>
          <t>10 jours</t>
        </is>
      </c>
      <c r="Q750" s="2" t="n">
        <v>44091</v>
      </c>
    </row>
    <row r="751" ht="15.75" customFormat="1" customHeight="1" s="58" thickBot="1">
      <c r="A751" s="56" t="n">
        <v>34408572</v>
      </c>
      <c r="B751" s="57">
        <f>INDEX(Tableau1[], MATCH(Tableau3[[#This Row],[REFERENCE]], Tableau1[NUMERO], 0), 2)</f>
        <v/>
      </c>
      <c r="C751" s="58">
        <f>INDEX(Tableau1[], MATCH(Tableau3[[#This Row],[REFERENCE]], Tableau1[NUMERO], 0), 3)</f>
        <v/>
      </c>
      <c r="D751" s="58">
        <f>INDEX(Tableau1[], MATCH(Tableau3[[#This Row],[REFERENCE]], Tableau1[NUMERO], 0),4)</f>
        <v/>
      </c>
      <c r="E751" s="58">
        <f>INDEX(Tableau1[], MATCH(Tableau3[[#This Row],[REFERENCE]], Tableau1[NUMERO], 0), 5)</f>
        <v/>
      </c>
      <c r="H751" s="58" t="inlineStr">
        <is>
          <t>trefimetaux</t>
        </is>
      </c>
      <c r="I751" s="56" t="n"/>
      <c r="J751" s="57" t="n">
        <v>43998</v>
      </c>
      <c r="K751" s="57" t="n">
        <v>43999</v>
      </c>
      <c r="L751" s="57" t="n"/>
      <c r="M751" s="59" t="inlineStr">
        <is>
          <t>01</t>
        </is>
      </c>
      <c r="N751" s="60" t="n">
        <v>2</v>
      </c>
      <c r="O751" s="61" t="n">
        <v>80</v>
      </c>
      <c r="P751" s="56" t="inlineStr">
        <is>
          <t>10 jours</t>
        </is>
      </c>
      <c r="Q751" s="57" t="n">
        <v>44091</v>
      </c>
    </row>
    <row r="752" ht="15.75" customFormat="1" customHeight="1" s="52" thickTop="1">
      <c r="A752" s="50" t="n">
        <v>34408568</v>
      </c>
      <c r="B752" s="51">
        <f>INDEX(Tableau1[], MATCH(Tableau3[[#This Row],[REFERENCE]], Tableau1[NUMERO], 0), 2)</f>
        <v/>
      </c>
      <c r="C752" s="52">
        <f>INDEX(Tableau1[], MATCH(Tableau3[[#This Row],[REFERENCE]], Tableau1[NUMERO], 0), 3)</f>
        <v/>
      </c>
      <c r="D752" s="52">
        <f>INDEX(Tableau1[], MATCH(Tableau3[[#This Row],[REFERENCE]], Tableau1[NUMERO], 0),4)</f>
        <v/>
      </c>
      <c r="E752" s="52">
        <f>INDEX(Tableau1[], MATCH(Tableau3[[#This Row],[REFERENCE]], Tableau1[NUMERO], 0), 5)</f>
        <v/>
      </c>
      <c r="H752" s="52" t="inlineStr">
        <is>
          <t>thyssen</t>
        </is>
      </c>
      <c r="I752" s="50" t="n"/>
      <c r="J752" s="51" t="n">
        <v>43998</v>
      </c>
      <c r="K752" s="51" t="n">
        <v>43999</v>
      </c>
      <c r="L752" s="51" t="n"/>
      <c r="M752" s="53" t="inlineStr">
        <is>
          <t>01</t>
        </is>
      </c>
      <c r="N752" s="54" t="n">
        <v>8</v>
      </c>
      <c r="O752" s="55" t="n">
        <v>7.4</v>
      </c>
      <c r="P752" s="50" t="inlineStr">
        <is>
          <t>2 à 3 semaines</t>
        </is>
      </c>
      <c r="Q752" s="51" t="n">
        <v>44005</v>
      </c>
    </row>
    <row r="753">
      <c r="A753" s="8" t="n">
        <v>34408569</v>
      </c>
      <c r="B753" s="2">
        <f>INDEX(Tableau1[], MATCH(Tableau3[[#This Row],[REFERENCE]], Tableau1[NUMERO], 0), 2)</f>
        <v/>
      </c>
      <c r="C753">
        <f>INDEX(Tableau1[], MATCH(Tableau3[[#This Row],[REFERENCE]], Tableau1[NUMERO], 0), 3)</f>
        <v/>
      </c>
      <c r="D753">
        <f>INDEX(Tableau1[], MATCH(Tableau3[[#This Row],[REFERENCE]], Tableau1[NUMERO], 0),4)</f>
        <v/>
      </c>
      <c r="E753">
        <f>INDEX(Tableau1[], MATCH(Tableau3[[#This Row],[REFERENCE]], Tableau1[NUMERO], 0), 5)</f>
        <v/>
      </c>
      <c r="H753" t="inlineStr">
        <is>
          <t>thyssen</t>
        </is>
      </c>
      <c r="J753" s="2" t="n">
        <v>43998</v>
      </c>
      <c r="K753" s="2" t="n">
        <v>43999</v>
      </c>
      <c r="L753" s="2" t="n"/>
      <c r="M753" s="21" t="inlineStr">
        <is>
          <t>01</t>
        </is>
      </c>
      <c r="N753" s="35" t="n">
        <v>2</v>
      </c>
      <c r="O753" s="7" t="n">
        <v>64.65000000000001</v>
      </c>
      <c r="P753" s="8" t="inlineStr">
        <is>
          <t>2 à 3 semaines</t>
        </is>
      </c>
      <c r="Q753" s="2" t="n">
        <v>44005</v>
      </c>
    </row>
    <row r="754">
      <c r="A754" s="8" t="n">
        <v>34408570</v>
      </c>
      <c r="B754" s="2">
        <f>INDEX(Tableau1[], MATCH(Tableau3[[#This Row],[REFERENCE]], Tableau1[NUMERO], 0), 2)</f>
        <v/>
      </c>
      <c r="C754">
        <f>INDEX(Tableau1[], MATCH(Tableau3[[#This Row],[REFERENCE]], Tableau1[NUMERO], 0), 3)</f>
        <v/>
      </c>
      <c r="D754">
        <f>INDEX(Tableau1[], MATCH(Tableau3[[#This Row],[REFERENCE]], Tableau1[NUMERO], 0),4)</f>
        <v/>
      </c>
      <c r="E754">
        <f>INDEX(Tableau1[], MATCH(Tableau3[[#This Row],[REFERENCE]], Tableau1[NUMERO], 0), 5)</f>
        <v/>
      </c>
      <c r="H754" t="inlineStr">
        <is>
          <t>thyssen</t>
        </is>
      </c>
      <c r="J754" s="2" t="n">
        <v>43998</v>
      </c>
      <c r="K754" s="2" t="n">
        <v>43999</v>
      </c>
      <c r="L754" s="2" t="n"/>
      <c r="M754" s="21" t="inlineStr">
        <is>
          <t>01</t>
        </is>
      </c>
      <c r="N754" s="35" t="n">
        <v>2</v>
      </c>
      <c r="O754" s="7" t="n">
        <v>64.65000000000001</v>
      </c>
      <c r="P754" s="8" t="inlineStr">
        <is>
          <t>2 à 3 semaines</t>
        </is>
      </c>
      <c r="Q754" s="2" t="n">
        <v>44005</v>
      </c>
    </row>
    <row r="755">
      <c r="A755" s="8" t="n">
        <v>34408571</v>
      </c>
      <c r="B755" s="2">
        <f>INDEX(Tableau1[], MATCH(Tableau3[[#This Row],[REFERENCE]], Tableau1[NUMERO], 0), 2)</f>
        <v/>
      </c>
      <c r="C755">
        <f>INDEX(Tableau1[], MATCH(Tableau3[[#This Row],[REFERENCE]], Tableau1[NUMERO], 0), 3)</f>
        <v/>
      </c>
      <c r="D755">
        <f>INDEX(Tableau1[], MATCH(Tableau3[[#This Row],[REFERENCE]], Tableau1[NUMERO], 0),4)</f>
        <v/>
      </c>
      <c r="E755">
        <f>INDEX(Tableau1[], MATCH(Tableau3[[#This Row],[REFERENCE]], Tableau1[NUMERO], 0), 5)</f>
        <v/>
      </c>
      <c r="H755" t="inlineStr">
        <is>
          <t>thyssen</t>
        </is>
      </c>
      <c r="J755" s="2" t="n">
        <v>43998</v>
      </c>
      <c r="K755" s="2" t="n">
        <v>43999</v>
      </c>
      <c r="L755" s="2" t="n"/>
      <c r="M755" s="21" t="inlineStr">
        <is>
          <t>01</t>
        </is>
      </c>
      <c r="N755" s="35" t="n">
        <v>2</v>
      </c>
      <c r="O755" s="7" t="n">
        <v>64.65000000000001</v>
      </c>
      <c r="P755" s="8" t="inlineStr">
        <is>
          <t>2 à 3 semaines</t>
        </is>
      </c>
      <c r="Q755" s="2" t="n">
        <v>44005</v>
      </c>
    </row>
    <row r="756" ht="15.75" customFormat="1" customHeight="1" s="58" thickBot="1">
      <c r="A756" s="56" t="n">
        <v>34408572</v>
      </c>
      <c r="B756" s="57">
        <f>INDEX(Tableau1[], MATCH(Tableau3[[#This Row],[REFERENCE]], Tableau1[NUMERO], 0), 2)</f>
        <v/>
      </c>
      <c r="C756" s="58">
        <f>INDEX(Tableau1[], MATCH(Tableau3[[#This Row],[REFERENCE]], Tableau1[NUMERO], 0), 3)</f>
        <v/>
      </c>
      <c r="D756" s="58">
        <f>INDEX(Tableau1[], MATCH(Tableau3[[#This Row],[REFERENCE]], Tableau1[NUMERO], 0),4)</f>
        <v/>
      </c>
      <c r="E756" s="58">
        <f>INDEX(Tableau1[], MATCH(Tableau3[[#This Row],[REFERENCE]], Tableau1[NUMERO], 0), 5)</f>
        <v/>
      </c>
      <c r="H756" s="58" t="inlineStr">
        <is>
          <t>thyssen</t>
        </is>
      </c>
      <c r="I756" s="56" t="n"/>
      <c r="J756" s="57" t="n">
        <v>43998</v>
      </c>
      <c r="K756" s="57" t="n">
        <v>43999</v>
      </c>
      <c r="L756" s="57" t="n"/>
      <c r="M756" s="59" t="inlineStr">
        <is>
          <t>01</t>
        </is>
      </c>
      <c r="N756" s="60" t="n">
        <v>2</v>
      </c>
      <c r="O756" s="61" t="n">
        <v>75.40000000000001</v>
      </c>
      <c r="P756" s="56" t="inlineStr">
        <is>
          <t>2 à 3 semaines</t>
        </is>
      </c>
      <c r="Q756" s="57" t="n">
        <v>44005</v>
      </c>
    </row>
    <row r="757" ht="15.75" customFormat="1" customHeight="1" s="52" thickTop="1">
      <c r="A757" s="50" t="n">
        <v>34408573</v>
      </c>
      <c r="B757" s="51">
        <f>INDEX(Tableau1[], MATCH(Tableau3[[#This Row],[REFERENCE]], Tableau1[NUMERO], 0), 2)</f>
        <v/>
      </c>
      <c r="C757" s="52">
        <f>INDEX(Tableau1[], MATCH(Tableau3[[#This Row],[REFERENCE]], Tableau1[NUMERO], 0), 3)</f>
        <v/>
      </c>
      <c r="D757" s="52">
        <f>INDEX(Tableau1[], MATCH(Tableau3[[#This Row],[REFERENCE]], Tableau1[NUMERO], 0),4)</f>
        <v/>
      </c>
      <c r="E757" s="52">
        <f>INDEX(Tableau1[], MATCH(Tableau3[[#This Row],[REFERENCE]], Tableau1[NUMERO], 0), 5)</f>
        <v/>
      </c>
      <c r="H757" s="52" t="inlineStr">
        <is>
          <t>lasertechnic</t>
        </is>
      </c>
      <c r="I757" s="50" t="n"/>
      <c r="J757" s="51" t="n">
        <v>43998</v>
      </c>
      <c r="K757" s="51" t="n">
        <v>43999</v>
      </c>
      <c r="L757" s="51" t="n"/>
      <c r="M757" s="53" t="inlineStr">
        <is>
          <t>01</t>
        </is>
      </c>
      <c r="N757" s="54" t="n">
        <v>2</v>
      </c>
      <c r="O757" s="55" t="n">
        <v>52</v>
      </c>
      <c r="P757" s="50" t="inlineStr">
        <is>
          <t>5 JOURS</t>
        </is>
      </c>
      <c r="Q757" s="51" t="n">
        <v>44091</v>
      </c>
    </row>
    <row r="758">
      <c r="A758" s="8" t="n">
        <v>34408574</v>
      </c>
      <c r="B758" s="2">
        <f>INDEX(Tableau1[], MATCH(Tableau3[[#This Row],[REFERENCE]], Tableau1[NUMERO], 0), 2)</f>
        <v/>
      </c>
      <c r="C758">
        <f>INDEX(Tableau1[], MATCH(Tableau3[[#This Row],[REFERENCE]], Tableau1[NUMERO], 0), 3)</f>
        <v/>
      </c>
      <c r="D758">
        <f>INDEX(Tableau1[], MATCH(Tableau3[[#This Row],[REFERENCE]], Tableau1[NUMERO], 0),4)</f>
        <v/>
      </c>
      <c r="E758">
        <f>INDEX(Tableau1[], MATCH(Tableau3[[#This Row],[REFERENCE]], Tableau1[NUMERO], 0), 5)</f>
        <v/>
      </c>
      <c r="H758" t="inlineStr">
        <is>
          <t>lasertechnic</t>
        </is>
      </c>
      <c r="J758" s="2" t="n">
        <v>43998</v>
      </c>
      <c r="K758" s="2" t="n">
        <v>43999</v>
      </c>
      <c r="L758" s="2" t="n"/>
      <c r="M758" s="21" t="inlineStr">
        <is>
          <t>01</t>
        </is>
      </c>
      <c r="N758" s="35" t="n">
        <v>2</v>
      </c>
      <c r="O758" s="7" t="n">
        <v>48</v>
      </c>
      <c r="P758" s="8" t="inlineStr">
        <is>
          <t>5 JOURS</t>
        </is>
      </c>
      <c r="Q758" s="2" t="n">
        <v>44091</v>
      </c>
    </row>
    <row r="759" ht="15.75" customFormat="1" customHeight="1" s="58" thickBot="1">
      <c r="A759" s="56" t="n">
        <v>34408582</v>
      </c>
      <c r="B759" s="57">
        <f>INDEX(Tableau1[], MATCH(Tableau3[[#This Row],[REFERENCE]], Tableau1[NUMERO], 0), 2)</f>
        <v/>
      </c>
      <c r="C759" s="58">
        <f>INDEX(Tableau1[], MATCH(Tableau3[[#This Row],[REFERENCE]], Tableau1[NUMERO], 0), 3)</f>
        <v/>
      </c>
      <c r="D759" s="58">
        <f>INDEX(Tableau1[], MATCH(Tableau3[[#This Row],[REFERENCE]], Tableau1[NUMERO], 0),4)</f>
        <v/>
      </c>
      <c r="E759" s="58">
        <f>INDEX(Tableau1[], MATCH(Tableau3[[#This Row],[REFERENCE]], Tableau1[NUMERO], 0), 5)</f>
        <v/>
      </c>
      <c r="H759" s="58" t="inlineStr">
        <is>
          <t>lasertechnic</t>
        </is>
      </c>
      <c r="I759" s="56" t="n"/>
      <c r="J759" s="57" t="n">
        <v>43998</v>
      </c>
      <c r="K759" s="57" t="n">
        <v>43999</v>
      </c>
      <c r="L759" s="57" t="n"/>
      <c r="M759" s="59" t="inlineStr">
        <is>
          <t>01</t>
        </is>
      </c>
      <c r="N759" s="60" t="n">
        <v>2</v>
      </c>
      <c r="O759" s="61" t="n">
        <v>89</v>
      </c>
      <c r="P759" s="56" t="inlineStr">
        <is>
          <t>5 JOURS</t>
        </is>
      </c>
      <c r="Q759" s="57" t="n">
        <v>44091</v>
      </c>
    </row>
    <row r="760" ht="15.75" customHeight="1" s="142" thickTop="1">
      <c r="A760" s="8" t="n">
        <v>34408585</v>
      </c>
      <c r="B760" s="2">
        <f>INDEX(Tableau1[], MATCH(Tableau3[[#This Row],[REFERENCE]], Tableau1[NUMERO], 0), 2)</f>
        <v/>
      </c>
      <c r="C760">
        <f>INDEX(Tableau1[], MATCH(Tableau3[[#This Row],[REFERENCE]], Tableau1[NUMERO], 0), 3)</f>
        <v/>
      </c>
      <c r="D760">
        <f>INDEX(Tableau1[], MATCH(Tableau3[[#This Row],[REFERENCE]], Tableau1[NUMERO], 0),4)</f>
        <v/>
      </c>
      <c r="E760">
        <f>INDEX(Tableau1[], MATCH(Tableau3[[#This Row],[REFERENCE]], Tableau1[NUMERO], 0), 5)</f>
        <v/>
      </c>
      <c r="H760" t="inlineStr">
        <is>
          <t>lasertechnic</t>
        </is>
      </c>
      <c r="J760" s="2" t="n">
        <v>44000</v>
      </c>
      <c r="K760" s="2" t="n"/>
      <c r="L760" s="2" t="n"/>
      <c r="M760" s="21" t="inlineStr">
        <is>
          <t>01</t>
        </is>
      </c>
      <c r="N760" s="35" t="n">
        <v>2</v>
      </c>
      <c r="O760" s="7" t="n">
        <v>48</v>
      </c>
      <c r="P760" s="8" t="inlineStr">
        <is>
          <t>5 JOURS</t>
        </is>
      </c>
      <c r="Q760" s="2" t="n">
        <v>44095</v>
      </c>
    </row>
    <row r="761">
      <c r="A761" s="8" t="n">
        <v>34408586</v>
      </c>
      <c r="B761" s="2">
        <f>INDEX(Tableau1[], MATCH(Tableau3[[#This Row],[REFERENCE]], Tableau1[NUMERO], 0), 2)</f>
        <v/>
      </c>
      <c r="C761">
        <f>INDEX(Tableau1[], MATCH(Tableau3[[#This Row],[REFERENCE]], Tableau1[NUMERO], 0), 3)</f>
        <v/>
      </c>
      <c r="D761">
        <f>INDEX(Tableau1[], MATCH(Tableau3[[#This Row],[REFERENCE]], Tableau1[NUMERO], 0),4)</f>
        <v/>
      </c>
      <c r="E761">
        <f>INDEX(Tableau1[], MATCH(Tableau3[[#This Row],[REFERENCE]], Tableau1[NUMERO], 0), 5)</f>
        <v/>
      </c>
      <c r="H761" t="inlineStr">
        <is>
          <t>lasertechnic</t>
        </is>
      </c>
      <c r="J761" s="2" t="n">
        <v>44000</v>
      </c>
      <c r="K761" s="2" t="n"/>
      <c r="L761" s="2" t="n"/>
      <c r="M761" s="21" t="inlineStr">
        <is>
          <t>01</t>
        </is>
      </c>
      <c r="N761" s="35" t="n">
        <v>2</v>
      </c>
      <c r="O761" s="7" t="n">
        <v>48</v>
      </c>
      <c r="P761" s="8" t="inlineStr">
        <is>
          <t>5 JOURS</t>
        </is>
      </c>
      <c r="Q761" s="2" t="n">
        <v>44095</v>
      </c>
    </row>
    <row r="762">
      <c r="A762" s="8" t="n">
        <v>34408587</v>
      </c>
      <c r="B762" s="2">
        <f>INDEX(Tableau1[], MATCH(Tableau3[[#This Row],[REFERENCE]], Tableau1[NUMERO], 0), 2)</f>
        <v/>
      </c>
      <c r="C762">
        <f>INDEX(Tableau1[], MATCH(Tableau3[[#This Row],[REFERENCE]], Tableau1[NUMERO], 0), 3)</f>
        <v/>
      </c>
      <c r="D762">
        <f>INDEX(Tableau1[], MATCH(Tableau3[[#This Row],[REFERENCE]], Tableau1[NUMERO], 0),4)</f>
        <v/>
      </c>
      <c r="E762">
        <f>INDEX(Tableau1[], MATCH(Tableau3[[#This Row],[REFERENCE]], Tableau1[NUMERO], 0), 5)</f>
        <v/>
      </c>
      <c r="H762" t="inlineStr">
        <is>
          <t>lasertechnic</t>
        </is>
      </c>
      <c r="J762" s="2" t="n">
        <v>44000</v>
      </c>
      <c r="K762" s="2" t="n"/>
      <c r="L762" s="2" t="n"/>
      <c r="M762" s="21" t="inlineStr">
        <is>
          <t>01</t>
        </is>
      </c>
      <c r="N762" s="35" t="n">
        <v>2</v>
      </c>
      <c r="O762" s="7" t="n">
        <v>29</v>
      </c>
      <c r="P762" s="8" t="inlineStr">
        <is>
          <t>5 JOURS</t>
        </is>
      </c>
      <c r="Q762" s="2" t="n">
        <v>44095</v>
      </c>
    </row>
    <row r="763" ht="15.75" customFormat="1" customHeight="1" s="65" thickBot="1">
      <c r="A763" s="63" t="n">
        <v>34408582</v>
      </c>
      <c r="B763" s="64">
        <f>INDEX(Tableau1[], MATCH(Tableau3[[#This Row],[REFERENCE]], Tableau1[NUMERO], 0), 2)</f>
        <v/>
      </c>
      <c r="C763" s="65">
        <f>INDEX(Tableau1[], MATCH(Tableau3[[#This Row],[REFERENCE]], Tableau1[NUMERO], 0), 3)</f>
        <v/>
      </c>
      <c r="D763" s="65">
        <f>INDEX(Tableau1[], MATCH(Tableau3[[#This Row],[REFERENCE]], Tableau1[NUMERO], 0),4)</f>
        <v/>
      </c>
      <c r="E763" s="65">
        <f>INDEX(Tableau1[], MATCH(Tableau3[[#This Row],[REFERENCE]], Tableau1[NUMERO], 0), 5)</f>
        <v/>
      </c>
      <c r="H763" s="65" t="inlineStr">
        <is>
          <t>lasertechnic</t>
        </is>
      </c>
      <c r="I763" s="63" t="n"/>
      <c r="J763" s="64" t="n">
        <v>44000</v>
      </c>
      <c r="K763" s="64" t="n"/>
      <c r="L763" s="64" t="n"/>
      <c r="M763" s="66" t="inlineStr">
        <is>
          <t>02</t>
        </is>
      </c>
      <c r="N763" s="67" t="n">
        <v>2</v>
      </c>
      <c r="O763" s="68" t="n">
        <v>46</v>
      </c>
      <c r="P763" s="63" t="inlineStr">
        <is>
          <t>5 JOURS</t>
        </is>
      </c>
      <c r="Q763" s="2" t="n">
        <v>44095</v>
      </c>
    </row>
    <row r="764" ht="15.75" customFormat="1" customHeight="1" s="65" thickBot="1">
      <c r="A764" s="63" t="inlineStr">
        <is>
          <t>CF54200EZ</t>
        </is>
      </c>
      <c r="B764" s="64" t="inlineStr">
        <is>
          <t>CF54200EZ</t>
        </is>
      </c>
      <c r="C764" s="65">
        <f>INDEX(Tableau1[], MATCH(Tableau3[[#This Row],[REFERENCE]], Tableau1[NUMERO], 0), 3)</f>
        <v/>
      </c>
      <c r="D764" s="65">
        <f>INDEX(Tableau1[], MATCH(Tableau3[[#This Row],[REFERENCE]], Tableau1[NUMERO], 0),4)</f>
        <v/>
      </c>
      <c r="E764" s="65">
        <f>INDEX(Tableau1[], MATCH(Tableau3[[#This Row],[REFERENCE]], Tableau1[NUMERO], 0), 5)</f>
        <v/>
      </c>
      <c r="H764" s="65" t="inlineStr">
        <is>
          <t>REXEL</t>
        </is>
      </c>
      <c r="I764" s="63" t="n"/>
      <c r="J764" s="64" t="n">
        <v>44001</v>
      </c>
      <c r="K764" s="64" t="n">
        <v>44001</v>
      </c>
      <c r="L764" s="64" t="n"/>
      <c r="M764" s="66" t="inlineStr">
        <is>
          <t>01</t>
        </is>
      </c>
      <c r="N764" s="67" t="n">
        <v>2</v>
      </c>
      <c r="O764" s="68" t="n">
        <v>12.75</v>
      </c>
      <c r="P764" s="63" t="inlineStr">
        <is>
          <t>1 JOUR</t>
        </is>
      </c>
      <c r="Q764" s="64" t="n">
        <v>44030</v>
      </c>
    </row>
    <row r="765" ht="15.75" customHeight="1" s="142" thickBot="1">
      <c r="A765" s="8" t="n">
        <v>34408584</v>
      </c>
      <c r="B765" s="2">
        <f>INDEX(Tableau1[], MATCH(Tableau3[[#This Row],[REFERENCE]], Tableau1[NUMERO], 0), 2)</f>
        <v/>
      </c>
      <c r="C765">
        <f>INDEX(Tableau1[], MATCH(Tableau3[[#This Row],[REFERENCE]], Tableau1[NUMERO], 0), 3)</f>
        <v/>
      </c>
      <c r="D765">
        <f>INDEX(Tableau1[], MATCH(Tableau3[[#This Row],[REFERENCE]], Tableau1[NUMERO], 0),4)</f>
        <v/>
      </c>
      <c r="E765">
        <f>INDEX(Tableau1[], MATCH(Tableau3[[#This Row],[REFERENCE]], Tableau1[NUMERO], 0), 5)</f>
        <v/>
      </c>
      <c r="H765" t="inlineStr">
        <is>
          <t>lasertechnic</t>
        </is>
      </c>
      <c r="J765" s="2" t="n">
        <v>44000</v>
      </c>
      <c r="K765" s="2" t="n">
        <v>44000</v>
      </c>
      <c r="L765" s="2" t="n"/>
      <c r="M765" s="21" t="inlineStr">
        <is>
          <t>01</t>
        </is>
      </c>
      <c r="N765" s="35" t="n">
        <v>1</v>
      </c>
      <c r="O765" s="7" t="n">
        <v>68</v>
      </c>
      <c r="P765" s="8" t="inlineStr">
        <is>
          <t>48 Heures</t>
        </is>
      </c>
      <c r="Q765" s="2" t="n">
        <v>44091</v>
      </c>
    </row>
    <row r="766" ht="30.75" customFormat="1" customHeight="1" s="52" thickTop="1">
      <c r="A766" s="50" t="inlineStr">
        <is>
          <t>0W12393</t>
        </is>
      </c>
      <c r="B766" s="51">
        <f>INDEX(Tableau1[], MATCH(Tableau3[[#This Row],[REFERENCE]], Tableau1[NUMERO], 0), 2)</f>
        <v/>
      </c>
      <c r="C766" s="52">
        <f>INDEX(Tableau1[], MATCH(Tableau3[[#This Row],[REFERENCE]], Tableau1[NUMERO], 0), 3)</f>
        <v/>
      </c>
      <c r="D766" s="52">
        <f>INDEX(Tableau1[], MATCH(Tableau3[[#This Row],[REFERENCE]], Tableau1[NUMERO], 0),4)</f>
        <v/>
      </c>
      <c r="E766" s="52">
        <f>INDEX(Tableau1[], MATCH(Tableau3[[#This Row],[REFERENCE]], Tableau1[NUMERO], 0), 5)</f>
        <v/>
      </c>
      <c r="H766" s="52" t="inlineStr">
        <is>
          <t>COMATEL</t>
        </is>
      </c>
      <c r="I766" s="50" t="n"/>
      <c r="J766" s="74" t="inlineStr">
        <is>
          <t>01/07/2020 relancé le 03/07 par angélique</t>
        </is>
      </c>
      <c r="K766" s="51" t="n">
        <v>44018</v>
      </c>
      <c r="L766" s="51" t="n"/>
      <c r="M766" s="53" t="inlineStr">
        <is>
          <t>02</t>
        </is>
      </c>
      <c r="N766" s="54" t="n">
        <v>64</v>
      </c>
      <c r="O766" s="55" t="n">
        <v>4.95</v>
      </c>
      <c r="P766" s="50" t="inlineStr">
        <is>
          <t>2 SEMAINES</t>
        </is>
      </c>
      <c r="Q766" s="51" t="n">
        <v>44110</v>
      </c>
    </row>
    <row r="767" ht="30" customHeight="1" s="142">
      <c r="A767" s="8" t="inlineStr">
        <is>
          <t>0W12394</t>
        </is>
      </c>
      <c r="B767" s="2">
        <f>INDEX(Tableau1[], MATCH(Tableau3[[#This Row],[REFERENCE]], Tableau1[NUMERO], 0), 2)</f>
        <v/>
      </c>
      <c r="C767">
        <f>INDEX(Tableau1[], MATCH(Tableau3[[#This Row],[REFERENCE]], Tableau1[NUMERO], 0), 3)</f>
        <v/>
      </c>
      <c r="D767">
        <f>INDEX(Tableau1[], MATCH(Tableau3[[#This Row],[REFERENCE]], Tableau1[NUMERO], 0),4)</f>
        <v/>
      </c>
      <c r="E767">
        <f>INDEX(Tableau1[], MATCH(Tableau3[[#This Row],[REFERENCE]], Tableau1[NUMERO], 0), 5)</f>
        <v/>
      </c>
      <c r="H767" t="inlineStr">
        <is>
          <t>COMATEL</t>
        </is>
      </c>
      <c r="J767" s="12" t="inlineStr">
        <is>
          <t>01/07/2020 relancé le 03/07 par angélique</t>
        </is>
      </c>
      <c r="K767" s="2" t="n">
        <v>44018</v>
      </c>
      <c r="L767" s="2" t="n"/>
      <c r="M767" s="21" t="inlineStr">
        <is>
          <t>02</t>
        </is>
      </c>
      <c r="N767" s="35" t="n">
        <v>64</v>
      </c>
      <c r="O767" s="7" t="n">
        <v>9.300000000000001</v>
      </c>
      <c r="P767" s="8" t="inlineStr">
        <is>
          <t>2 SEMAINES</t>
        </is>
      </c>
      <c r="Q767" s="2" t="n">
        <v>44110</v>
      </c>
    </row>
    <row r="768" ht="30.75" customFormat="1" customHeight="1" s="58" thickBot="1">
      <c r="A768" s="56" t="inlineStr">
        <is>
          <t>0W12395</t>
        </is>
      </c>
      <c r="B768" s="57">
        <f>INDEX(Tableau1[], MATCH(Tableau3[[#This Row],[REFERENCE]], Tableau1[NUMERO], 0), 2)</f>
        <v/>
      </c>
      <c r="C768" s="58">
        <f>INDEX(Tableau1[], MATCH(Tableau3[[#This Row],[REFERENCE]], Tableau1[NUMERO], 0), 3)</f>
        <v/>
      </c>
      <c r="D768" s="58">
        <f>INDEX(Tableau1[], MATCH(Tableau3[[#This Row],[REFERENCE]], Tableau1[NUMERO], 0),4)</f>
        <v/>
      </c>
      <c r="E768" s="58">
        <f>INDEX(Tableau1[], MATCH(Tableau3[[#This Row],[REFERENCE]], Tableau1[NUMERO], 0), 5)</f>
        <v/>
      </c>
      <c r="H768" s="58" t="inlineStr">
        <is>
          <t>COMATEL</t>
        </is>
      </c>
      <c r="I768" s="56" t="n"/>
      <c r="J768" s="75" t="inlineStr">
        <is>
          <t>01/07/2020 relancé le 03/07 par angélique</t>
        </is>
      </c>
      <c r="K768" s="57" t="n">
        <v>44018</v>
      </c>
      <c r="L768" s="57" t="n"/>
      <c r="M768" s="59" t="inlineStr">
        <is>
          <t>02</t>
        </is>
      </c>
      <c r="N768" s="60" t="n">
        <v>64</v>
      </c>
      <c r="O768" s="61" t="n">
        <v>5.81</v>
      </c>
      <c r="P768" s="56" t="inlineStr">
        <is>
          <t>2 SEMAINES</t>
        </is>
      </c>
      <c r="Q768" s="57" t="n">
        <v>44110</v>
      </c>
    </row>
    <row r="769" ht="15.75" customHeight="1" s="142" thickTop="1">
      <c r="A769" s="8" t="inlineStr">
        <is>
          <t>0W12393</t>
        </is>
      </c>
      <c r="B769" s="2">
        <f>INDEX(Tableau1[], MATCH(Tableau3[[#This Row],[REFERENCE]], Tableau1[NUMERO], 0), 2)</f>
        <v/>
      </c>
      <c r="C769">
        <f>INDEX(Tableau1[], MATCH(Tableau3[[#This Row],[REFERENCE]], Tableau1[NUMERO], 0), 3)</f>
        <v/>
      </c>
      <c r="D769">
        <f>INDEX(Tableau1[], MATCH(Tableau3[[#This Row],[REFERENCE]], Tableau1[NUMERO], 0),4)</f>
        <v/>
      </c>
      <c r="E769">
        <f>INDEX(Tableau1[], MATCH(Tableau3[[#This Row],[REFERENCE]], Tableau1[NUMERO], 0), 5)</f>
        <v/>
      </c>
      <c r="H769" t="inlineStr">
        <is>
          <t>les 3 V</t>
        </is>
      </c>
      <c r="J769" s="2" t="n">
        <v>44013</v>
      </c>
      <c r="K769" s="2" t="n">
        <v>44015</v>
      </c>
      <c r="L769" s="2" t="n"/>
      <c r="M769" s="21" t="inlineStr">
        <is>
          <t>02</t>
        </is>
      </c>
      <c r="N769" s="35" t="n">
        <v>64</v>
      </c>
      <c r="O769" s="7" t="n">
        <v>7.34</v>
      </c>
      <c r="P769" s="8" t="inlineStr">
        <is>
          <t>de 1 à 6 semaines</t>
        </is>
      </c>
      <c r="Q769" s="2" t="n">
        <v>44107</v>
      </c>
    </row>
    <row r="770">
      <c r="A770" s="8" t="inlineStr">
        <is>
          <t>0W12394</t>
        </is>
      </c>
      <c r="B770" s="2">
        <f>INDEX(Tableau1[], MATCH(Tableau3[[#This Row],[REFERENCE]], Tableau1[NUMERO], 0), 2)</f>
        <v/>
      </c>
      <c r="C770">
        <f>INDEX(Tableau1[], MATCH(Tableau3[[#This Row],[REFERENCE]], Tableau1[NUMERO], 0), 3)</f>
        <v/>
      </c>
      <c r="D770">
        <f>INDEX(Tableau1[], MATCH(Tableau3[[#This Row],[REFERENCE]], Tableau1[NUMERO], 0),4)</f>
        <v/>
      </c>
      <c r="E770">
        <f>INDEX(Tableau1[], MATCH(Tableau3[[#This Row],[REFERENCE]], Tableau1[NUMERO], 0), 5)</f>
        <v/>
      </c>
      <c r="H770" t="inlineStr">
        <is>
          <t>les 3 V</t>
        </is>
      </c>
      <c r="J770" s="2" t="n">
        <v>44013</v>
      </c>
      <c r="K770" s="2" t="n">
        <v>44015</v>
      </c>
      <c r="L770" s="2" t="n"/>
      <c r="M770" s="21" t="inlineStr">
        <is>
          <t>02</t>
        </is>
      </c>
      <c r="N770" s="35" t="n">
        <v>64</v>
      </c>
      <c r="O770" s="7" t="n">
        <v>11.61</v>
      </c>
      <c r="P770" s="8" t="inlineStr">
        <is>
          <t>de 1 à 6 semaines</t>
        </is>
      </c>
      <c r="Q770" s="2" t="n">
        <v>44107</v>
      </c>
    </row>
    <row r="771" ht="15.75" customHeight="1" s="142" thickBot="1">
      <c r="A771" s="8" t="inlineStr">
        <is>
          <t>0W12395</t>
        </is>
      </c>
      <c r="B771" s="2">
        <f>INDEX(Tableau1[], MATCH(Tableau3[[#This Row],[REFERENCE]], Tableau1[NUMERO], 0), 2)</f>
        <v/>
      </c>
      <c r="C771">
        <f>INDEX(Tableau1[], MATCH(Tableau3[[#This Row],[REFERENCE]], Tableau1[NUMERO], 0), 3)</f>
        <v/>
      </c>
      <c r="D771">
        <f>INDEX(Tableau1[], MATCH(Tableau3[[#This Row],[REFERENCE]], Tableau1[NUMERO], 0),4)</f>
        <v/>
      </c>
      <c r="E771">
        <f>INDEX(Tableau1[], MATCH(Tableau3[[#This Row],[REFERENCE]], Tableau1[NUMERO], 0), 5)</f>
        <v/>
      </c>
      <c r="H771" t="inlineStr">
        <is>
          <t>les 3 V</t>
        </is>
      </c>
      <c r="J771" s="2" t="n">
        <v>44013</v>
      </c>
      <c r="K771" s="2" t="n">
        <v>44015</v>
      </c>
      <c r="L771" s="2" t="n"/>
      <c r="M771" s="21" t="inlineStr">
        <is>
          <t>02</t>
        </is>
      </c>
      <c r="N771" s="35" t="n">
        <v>64</v>
      </c>
      <c r="O771" s="7" t="n">
        <v>6.96</v>
      </c>
      <c r="P771" s="8" t="inlineStr">
        <is>
          <t>de 1 à 6 semaines</t>
        </is>
      </c>
      <c r="Q771" s="2" t="n">
        <v>44107</v>
      </c>
    </row>
    <row r="772" ht="30.75" customFormat="1" customHeight="1" s="52" thickTop="1">
      <c r="A772" s="50" t="inlineStr">
        <is>
          <t>0W12393</t>
        </is>
      </c>
      <c r="B772" s="51">
        <f>INDEX(Tableau1[], MATCH(Tableau3[[#This Row],[REFERENCE]], Tableau1[NUMERO], 0), 2)</f>
        <v/>
      </c>
      <c r="C772" s="52">
        <f>INDEX(Tableau1[], MATCH(Tableau3[[#This Row],[REFERENCE]], Tableau1[NUMERO], 0), 3)</f>
        <v/>
      </c>
      <c r="D772" s="52">
        <f>INDEX(Tableau1[], MATCH(Tableau3[[#This Row],[REFERENCE]], Tableau1[NUMERO], 0),4)</f>
        <v/>
      </c>
      <c r="E772" s="52">
        <f>INDEX(Tableau1[], MATCH(Tableau3[[#This Row],[REFERENCE]], Tableau1[NUMERO], 0), 5)</f>
        <v/>
      </c>
      <c r="H772" s="52" t="inlineStr">
        <is>
          <t>OTN</t>
        </is>
      </c>
      <c r="I772" s="50" t="n"/>
      <c r="J772" s="74" t="inlineStr">
        <is>
          <t>01/07/2020 relancé le 03/07 par angélique</t>
        </is>
      </c>
      <c r="K772" s="74" t="inlineStr">
        <is>
          <t>pas de réponse mais choix sur comatel par angélique</t>
        </is>
      </c>
      <c r="L772" s="51" t="n"/>
      <c r="M772" s="53" t="inlineStr">
        <is>
          <t>02</t>
        </is>
      </c>
      <c r="N772" s="54" t="n">
        <v>64</v>
      </c>
      <c r="O772" s="55" t="n"/>
      <c r="P772" s="50" t="n"/>
      <c r="Q772" s="51" t="n"/>
    </row>
    <row r="773" ht="30" customHeight="1" s="142">
      <c r="A773" s="8" t="inlineStr">
        <is>
          <t>0W12394</t>
        </is>
      </c>
      <c r="B773" s="2">
        <f>INDEX(Tableau1[], MATCH(Tableau3[[#This Row],[REFERENCE]], Tableau1[NUMERO], 0), 2)</f>
        <v/>
      </c>
      <c r="C773">
        <f>INDEX(Tableau1[], MATCH(Tableau3[[#This Row],[REFERENCE]], Tableau1[NUMERO], 0), 3)</f>
        <v/>
      </c>
      <c r="D773">
        <f>INDEX(Tableau1[], MATCH(Tableau3[[#This Row],[REFERENCE]], Tableau1[NUMERO], 0),4)</f>
        <v/>
      </c>
      <c r="E773">
        <f>INDEX(Tableau1[], MATCH(Tableau3[[#This Row],[REFERENCE]], Tableau1[NUMERO], 0), 5)</f>
        <v/>
      </c>
      <c r="H773" t="inlineStr">
        <is>
          <t>OTN</t>
        </is>
      </c>
      <c r="J773" s="12" t="inlineStr">
        <is>
          <t>01/07/2020 relancé le 03/07 par angélique</t>
        </is>
      </c>
      <c r="K773" s="12" t="inlineStr">
        <is>
          <t>pas de réponse mais choix sur comatel par angélique</t>
        </is>
      </c>
      <c r="L773" s="2" t="n"/>
      <c r="M773" s="21" t="inlineStr">
        <is>
          <t>02</t>
        </is>
      </c>
      <c r="N773" s="35" t="n">
        <v>64</v>
      </c>
      <c r="P773" s="8" t="n"/>
      <c r="Q773" s="2" t="n"/>
    </row>
    <row r="774" ht="30.75" customFormat="1" customHeight="1" s="58" thickBot="1">
      <c r="A774" s="56" t="inlineStr">
        <is>
          <t>0W12395</t>
        </is>
      </c>
      <c r="B774" s="57">
        <f>INDEX(Tableau1[], MATCH(Tableau3[[#This Row],[REFERENCE]], Tableau1[NUMERO], 0), 2)</f>
        <v/>
      </c>
      <c r="C774" s="58">
        <f>INDEX(Tableau1[], MATCH(Tableau3[[#This Row],[REFERENCE]], Tableau1[NUMERO], 0), 3)</f>
        <v/>
      </c>
      <c r="D774" s="58">
        <f>INDEX(Tableau1[], MATCH(Tableau3[[#This Row],[REFERENCE]], Tableau1[NUMERO], 0),4)</f>
        <v/>
      </c>
      <c r="E774" s="58">
        <f>INDEX(Tableau1[], MATCH(Tableau3[[#This Row],[REFERENCE]], Tableau1[NUMERO], 0), 5)</f>
        <v/>
      </c>
      <c r="H774" s="58" t="inlineStr">
        <is>
          <t>OTN</t>
        </is>
      </c>
      <c r="I774" s="56" t="n"/>
      <c r="J774" s="75" t="inlineStr">
        <is>
          <t>01/07/2020 relancé le 03/07 par angélique</t>
        </is>
      </c>
      <c r="K774" s="75" t="inlineStr">
        <is>
          <t>pas de réponse mais choix sur comatel par angélique</t>
        </is>
      </c>
      <c r="L774" s="57" t="n"/>
      <c r="M774" s="59" t="inlineStr">
        <is>
          <t>02</t>
        </is>
      </c>
      <c r="N774" s="60" t="n">
        <v>64</v>
      </c>
      <c r="O774" s="61" t="n"/>
      <c r="P774" s="56" t="n"/>
      <c r="Q774" s="57" t="n"/>
    </row>
    <row r="775" ht="45.75" customHeight="1" s="142" thickTop="1">
      <c r="A775" s="8" t="n">
        <v>34408608</v>
      </c>
      <c r="B775" s="2">
        <f>INDEX(Tableau1[], MATCH(Tableau3[[#This Row],[REFERENCE]], Tableau1[NUMERO], 0), 2)</f>
        <v/>
      </c>
      <c r="C775">
        <f>INDEX(Tableau1[], MATCH(Tableau3[[#This Row],[REFERENCE]], Tableau1[NUMERO], 0), 3)</f>
        <v/>
      </c>
      <c r="D775">
        <f>INDEX(Tableau1[], MATCH(Tableau3[[#This Row],[REFERENCE]], Tableau1[NUMERO], 0),4)</f>
        <v/>
      </c>
      <c r="E775">
        <f>INDEX(Tableau1[], MATCH(Tableau3[[#This Row],[REFERENCE]], Tableau1[NUMERO], 0), 5)</f>
        <v/>
      </c>
      <c r="H775" t="inlineStr">
        <is>
          <t>lasertechnic</t>
        </is>
      </c>
      <c r="J775" s="12" t="inlineStr">
        <is>
          <t>02/07/2020 relancé la 06/07 par olivier et Angélique</t>
        </is>
      </c>
      <c r="K775" s="2" t="n">
        <v>44018</v>
      </c>
      <c r="L775" s="2" t="n"/>
      <c r="M775" s="21" t="inlineStr">
        <is>
          <t>01</t>
        </is>
      </c>
      <c r="N775" s="35" t="n">
        <v>3</v>
      </c>
      <c r="O775" s="7" t="n">
        <v>6</v>
      </c>
      <c r="P775" s="8" t="inlineStr">
        <is>
          <t>5 JOURS</t>
        </is>
      </c>
      <c r="Q775" s="2" t="n">
        <v>44110</v>
      </c>
    </row>
    <row r="776" ht="45" customHeight="1" s="142">
      <c r="A776" s="8" t="n">
        <v>34408609</v>
      </c>
      <c r="B776" s="2">
        <f>INDEX(Tableau1[], MATCH(Tableau3[[#This Row],[REFERENCE]], Tableau1[NUMERO], 0), 2)</f>
        <v/>
      </c>
      <c r="C776">
        <f>INDEX(Tableau1[], MATCH(Tableau3[[#This Row],[REFERENCE]], Tableau1[NUMERO], 0), 3)</f>
        <v/>
      </c>
      <c r="D776">
        <f>INDEX(Tableau1[], MATCH(Tableau3[[#This Row],[REFERENCE]], Tableau1[NUMERO], 0),4)</f>
        <v/>
      </c>
      <c r="E776">
        <f>INDEX(Tableau1[], MATCH(Tableau3[[#This Row],[REFERENCE]], Tableau1[NUMERO], 0), 5)</f>
        <v/>
      </c>
      <c r="H776" t="inlineStr">
        <is>
          <t>lasertechnic</t>
        </is>
      </c>
      <c r="J776" s="12" t="inlineStr">
        <is>
          <t>02/07/2020 relancé la 06/07 par olivier et Angélique</t>
        </is>
      </c>
      <c r="K776" s="2" t="n">
        <v>44018</v>
      </c>
      <c r="L776" s="2" t="n"/>
      <c r="M776" s="21" t="inlineStr">
        <is>
          <t>01</t>
        </is>
      </c>
      <c r="N776" s="35" t="n">
        <v>1</v>
      </c>
      <c r="O776" s="7" t="n">
        <v>45</v>
      </c>
      <c r="P776" s="8" t="inlineStr">
        <is>
          <t>5 JOURS</t>
        </is>
      </c>
      <c r="Q776" s="2" t="n">
        <v>44110</v>
      </c>
    </row>
    <row r="777" ht="45" customHeight="1" s="142">
      <c r="A777" s="8" t="n">
        <v>34408610</v>
      </c>
      <c r="B777" s="2">
        <f>INDEX(Tableau1[], MATCH(Tableau3[[#This Row],[REFERENCE]], Tableau1[NUMERO], 0), 2)</f>
        <v/>
      </c>
      <c r="C777">
        <f>INDEX(Tableau1[], MATCH(Tableau3[[#This Row],[REFERENCE]], Tableau1[NUMERO], 0), 3)</f>
        <v/>
      </c>
      <c r="D777">
        <f>INDEX(Tableau1[], MATCH(Tableau3[[#This Row],[REFERENCE]], Tableau1[NUMERO], 0),4)</f>
        <v/>
      </c>
      <c r="E777">
        <f>INDEX(Tableau1[], MATCH(Tableau3[[#This Row],[REFERENCE]], Tableau1[NUMERO], 0), 5)</f>
        <v/>
      </c>
      <c r="H777" t="inlineStr">
        <is>
          <t>lasertechnic</t>
        </is>
      </c>
      <c r="J777" s="12" t="inlineStr">
        <is>
          <t>02/07/2020 relancé la 06/07 par olivier et Angélique</t>
        </is>
      </c>
      <c r="K777" s="2" t="n">
        <v>44018</v>
      </c>
      <c r="L777" s="2" t="n"/>
      <c r="M777" s="21" t="inlineStr">
        <is>
          <t>01</t>
        </is>
      </c>
      <c r="N777" s="35" t="n">
        <v>1</v>
      </c>
      <c r="O777" s="7" t="n">
        <v>62</v>
      </c>
      <c r="P777" s="8" t="inlineStr">
        <is>
          <t>5 JOURS</t>
        </is>
      </c>
      <c r="Q777" s="2" t="n">
        <v>44110</v>
      </c>
    </row>
    <row r="778" ht="45" customHeight="1" s="142">
      <c r="A778" s="8" t="n">
        <v>34408612</v>
      </c>
      <c r="B778" s="2">
        <f>INDEX(Tableau1[], MATCH(Tableau3[[#This Row],[REFERENCE]], Tableau1[NUMERO], 0), 2)</f>
        <v/>
      </c>
      <c r="C778">
        <f>INDEX(Tableau1[], MATCH(Tableau3[[#This Row],[REFERENCE]], Tableau1[NUMERO], 0), 3)</f>
        <v/>
      </c>
      <c r="D778">
        <f>INDEX(Tableau1[], MATCH(Tableau3[[#This Row],[REFERENCE]], Tableau1[NUMERO], 0),4)</f>
        <v/>
      </c>
      <c r="E778">
        <f>INDEX(Tableau1[], MATCH(Tableau3[[#This Row],[REFERENCE]], Tableau1[NUMERO], 0), 5)</f>
        <v/>
      </c>
      <c r="H778" t="inlineStr">
        <is>
          <t>lasertechnic</t>
        </is>
      </c>
      <c r="J778" s="12" t="inlineStr">
        <is>
          <t>02/07/2020 relancé la 06/07 par olivier et Angélique</t>
        </is>
      </c>
      <c r="K778" s="2" t="n">
        <v>44018</v>
      </c>
      <c r="L778" s="2" t="n"/>
      <c r="M778" s="21" t="inlineStr">
        <is>
          <t>01</t>
        </is>
      </c>
      <c r="N778" s="35" t="n">
        <v>1</v>
      </c>
      <c r="O778" s="7" t="n">
        <v>67</v>
      </c>
      <c r="P778" s="8" t="inlineStr">
        <is>
          <t>5 JOURS</t>
        </is>
      </c>
      <c r="Q778" s="2" t="n">
        <v>44110</v>
      </c>
    </row>
    <row r="779" ht="45" customHeight="1" s="142">
      <c r="A779" s="8" t="n">
        <v>34408613</v>
      </c>
      <c r="B779" s="2">
        <f>INDEX(Tableau1[], MATCH(Tableau3[[#This Row],[REFERENCE]], Tableau1[NUMERO], 0), 2)</f>
        <v/>
      </c>
      <c r="C779">
        <f>INDEX(Tableau1[], MATCH(Tableau3[[#This Row],[REFERENCE]], Tableau1[NUMERO], 0), 3)</f>
        <v/>
      </c>
      <c r="D779">
        <f>INDEX(Tableau1[], MATCH(Tableau3[[#This Row],[REFERENCE]], Tableau1[NUMERO], 0),4)</f>
        <v/>
      </c>
      <c r="E779">
        <f>INDEX(Tableau1[], MATCH(Tableau3[[#This Row],[REFERENCE]], Tableau1[NUMERO], 0), 5)</f>
        <v/>
      </c>
      <c r="H779" t="inlineStr">
        <is>
          <t>lasertechnic</t>
        </is>
      </c>
      <c r="J779" s="12" t="inlineStr">
        <is>
          <t>02/07/2020 relancé la 06/07 par olivier et Angélique</t>
        </is>
      </c>
      <c r="K779" s="2" t="n">
        <v>44018</v>
      </c>
      <c r="L779" s="2" t="n"/>
      <c r="M779" s="21" t="inlineStr">
        <is>
          <t>01</t>
        </is>
      </c>
      <c r="N779" s="35" t="n">
        <v>4</v>
      </c>
      <c r="O779" s="7" t="n">
        <v>19</v>
      </c>
      <c r="P779" s="8" t="inlineStr">
        <is>
          <t>5 JOURS</t>
        </is>
      </c>
      <c r="Q779" s="2" t="n">
        <v>44110</v>
      </c>
    </row>
    <row r="780" ht="45" customHeight="1" s="142">
      <c r="A780" s="8" t="n">
        <v>34408631</v>
      </c>
      <c r="B780" s="2">
        <f>INDEX(Tableau1[], MATCH(Tableau3[[#This Row],[REFERENCE]], Tableau1[NUMERO], 0), 2)</f>
        <v/>
      </c>
      <c r="C780">
        <f>INDEX(Tableau1[], MATCH(Tableau3[[#This Row],[REFERENCE]], Tableau1[NUMERO], 0), 3)</f>
        <v/>
      </c>
      <c r="D780">
        <f>INDEX(Tableau1[], MATCH(Tableau3[[#This Row],[REFERENCE]], Tableau1[NUMERO], 0),4)</f>
        <v/>
      </c>
      <c r="E780">
        <f>INDEX(Tableau1[], MATCH(Tableau3[[#This Row],[REFERENCE]], Tableau1[NUMERO], 0), 5)</f>
        <v/>
      </c>
      <c r="H780" t="inlineStr">
        <is>
          <t>lasertechnic</t>
        </is>
      </c>
      <c r="J780" s="12" t="inlineStr">
        <is>
          <t>02/07/2020 relancé la 06/07 par olivier et Angélique</t>
        </is>
      </c>
      <c r="K780" s="2" t="n">
        <v>44018</v>
      </c>
      <c r="L780" s="2" t="n"/>
      <c r="M780" s="21" t="inlineStr">
        <is>
          <t>01</t>
        </is>
      </c>
      <c r="N780" s="35" t="n">
        <v>1</v>
      </c>
      <c r="O780" s="7" t="n">
        <v>26</v>
      </c>
      <c r="P780" s="8" t="inlineStr">
        <is>
          <t>5 JOURS</t>
        </is>
      </c>
      <c r="Q780" s="2" t="n">
        <v>44110</v>
      </c>
    </row>
    <row r="781" ht="45" customHeight="1" s="142">
      <c r="A781" s="8" t="n">
        <v>34408632</v>
      </c>
      <c r="B781" s="2">
        <f>INDEX(Tableau1[], MATCH(Tableau3[[#This Row],[REFERENCE]], Tableau1[NUMERO], 0), 2)</f>
        <v/>
      </c>
      <c r="C781">
        <f>INDEX(Tableau1[], MATCH(Tableau3[[#This Row],[REFERENCE]], Tableau1[NUMERO], 0), 3)</f>
        <v/>
      </c>
      <c r="D781">
        <f>INDEX(Tableau1[], MATCH(Tableau3[[#This Row],[REFERENCE]], Tableau1[NUMERO], 0),4)</f>
        <v/>
      </c>
      <c r="E781">
        <f>INDEX(Tableau1[], MATCH(Tableau3[[#This Row],[REFERENCE]], Tableau1[NUMERO], 0), 5)</f>
        <v/>
      </c>
      <c r="H781" t="inlineStr">
        <is>
          <t>lasertechnic</t>
        </is>
      </c>
      <c r="J781" s="12" t="inlineStr">
        <is>
          <t>02/07/2020 relancé la 06/07 par olivier et Angélique</t>
        </is>
      </c>
      <c r="K781" s="2" t="n">
        <v>44018</v>
      </c>
      <c r="L781" s="2" t="n"/>
      <c r="M781" s="21" t="inlineStr">
        <is>
          <t>01</t>
        </is>
      </c>
      <c r="N781" s="35" t="n">
        <v>1</v>
      </c>
      <c r="O781" s="7" t="n">
        <v>19</v>
      </c>
      <c r="P781" s="8" t="inlineStr">
        <is>
          <t>5 JOURS</t>
        </is>
      </c>
      <c r="Q781" s="2" t="n">
        <v>44110</v>
      </c>
    </row>
    <row r="782" ht="45" customHeight="1" s="142">
      <c r="A782" s="8" t="n">
        <v>34408633</v>
      </c>
      <c r="B782" s="2">
        <f>INDEX(Tableau1[], MATCH(Tableau3[[#This Row],[REFERENCE]], Tableau1[NUMERO], 0), 2)</f>
        <v/>
      </c>
      <c r="C782">
        <f>INDEX(Tableau1[], MATCH(Tableau3[[#This Row],[REFERENCE]], Tableau1[NUMERO], 0), 3)</f>
        <v/>
      </c>
      <c r="D782">
        <f>INDEX(Tableau1[], MATCH(Tableau3[[#This Row],[REFERENCE]], Tableau1[NUMERO], 0),4)</f>
        <v/>
      </c>
      <c r="E782">
        <f>INDEX(Tableau1[], MATCH(Tableau3[[#This Row],[REFERENCE]], Tableau1[NUMERO], 0), 5)</f>
        <v/>
      </c>
      <c r="H782" t="inlineStr">
        <is>
          <t>lasertechnic</t>
        </is>
      </c>
      <c r="J782" s="12" t="inlineStr">
        <is>
          <t>02/07/2020 relancé la 06/07 par olivier et Angélique</t>
        </is>
      </c>
      <c r="K782" s="2" t="n">
        <v>44018</v>
      </c>
      <c r="L782" s="2" t="n"/>
      <c r="M782" s="21" t="inlineStr">
        <is>
          <t>01</t>
        </is>
      </c>
      <c r="N782" s="35" t="n">
        <v>1</v>
      </c>
      <c r="O782" s="7" t="n">
        <v>17</v>
      </c>
      <c r="P782" s="8" t="inlineStr">
        <is>
          <t>5 JOURS</t>
        </is>
      </c>
      <c r="Q782" s="2" t="n">
        <v>44110</v>
      </c>
    </row>
    <row r="783" ht="45" customHeight="1" s="142">
      <c r="A783" s="8" t="n">
        <v>34408634</v>
      </c>
      <c r="B783" s="2">
        <f>INDEX(Tableau1[], MATCH(Tableau3[[#This Row],[REFERENCE]], Tableau1[NUMERO], 0), 2)</f>
        <v/>
      </c>
      <c r="C783">
        <f>INDEX(Tableau1[], MATCH(Tableau3[[#This Row],[REFERENCE]], Tableau1[NUMERO], 0), 3)</f>
        <v/>
      </c>
      <c r="D783">
        <f>INDEX(Tableau1[], MATCH(Tableau3[[#This Row],[REFERENCE]], Tableau1[NUMERO], 0),4)</f>
        <v/>
      </c>
      <c r="E783">
        <f>INDEX(Tableau1[], MATCH(Tableau3[[#This Row],[REFERENCE]], Tableau1[NUMERO], 0), 5)</f>
        <v/>
      </c>
      <c r="H783" t="inlineStr">
        <is>
          <t>lasertechnic</t>
        </is>
      </c>
      <c r="J783" s="12" t="inlineStr">
        <is>
          <t>02/07/2020 relancé la 06/07 par olivier et Angélique</t>
        </is>
      </c>
      <c r="K783" s="2" t="n">
        <v>44018</v>
      </c>
      <c r="L783" s="2" t="n"/>
      <c r="M783" s="21" t="inlineStr">
        <is>
          <t>02</t>
        </is>
      </c>
      <c r="N783" s="35" t="n">
        <v>1</v>
      </c>
      <c r="O783" s="7" t="n">
        <v>96</v>
      </c>
      <c r="P783" s="8" t="inlineStr">
        <is>
          <t>5 JOURS</t>
        </is>
      </c>
      <c r="Q783" s="2" t="n">
        <v>44110</v>
      </c>
      <c r="R783" t="inlineStr">
        <is>
          <t>géré par Angélique</t>
        </is>
      </c>
    </row>
    <row r="784" ht="45" customHeight="1" s="142">
      <c r="A784" s="8" t="n">
        <v>34408635</v>
      </c>
      <c r="B784" s="2">
        <f>INDEX(Tableau1[], MATCH(Tableau3[[#This Row],[REFERENCE]], Tableau1[NUMERO], 0), 2)</f>
        <v/>
      </c>
      <c r="C784">
        <f>INDEX(Tableau1[], MATCH(Tableau3[[#This Row],[REFERENCE]], Tableau1[NUMERO], 0), 3)</f>
        <v/>
      </c>
      <c r="D784">
        <f>INDEX(Tableau1[], MATCH(Tableau3[[#This Row],[REFERENCE]], Tableau1[NUMERO], 0),4)</f>
        <v/>
      </c>
      <c r="E784">
        <f>INDEX(Tableau1[], MATCH(Tableau3[[#This Row],[REFERENCE]], Tableau1[NUMERO], 0), 5)</f>
        <v/>
      </c>
      <c r="H784" t="inlineStr">
        <is>
          <t>lasertechnic</t>
        </is>
      </c>
      <c r="J784" s="12" t="inlineStr">
        <is>
          <t>02/07/2020 relancé la 06/07 par olivier et Angélique</t>
        </is>
      </c>
      <c r="K784" s="2" t="n">
        <v>44018</v>
      </c>
      <c r="L784" s="2" t="n"/>
      <c r="M784" s="21" t="inlineStr">
        <is>
          <t>01</t>
        </is>
      </c>
      <c r="N784" s="35" t="n">
        <v>1</v>
      </c>
      <c r="O784" s="7" t="n">
        <v>19</v>
      </c>
      <c r="P784" s="8" t="inlineStr">
        <is>
          <t>5 JOURS</t>
        </is>
      </c>
      <c r="Q784" s="2" t="n">
        <v>44110</v>
      </c>
    </row>
    <row r="785" ht="45" customHeight="1" s="142">
      <c r="A785" s="8" t="n">
        <v>34408636</v>
      </c>
      <c r="B785" s="2">
        <f>INDEX(Tableau1[], MATCH(Tableau3[[#This Row],[REFERENCE]], Tableau1[NUMERO], 0), 2)</f>
        <v/>
      </c>
      <c r="C785">
        <f>INDEX(Tableau1[], MATCH(Tableau3[[#This Row],[REFERENCE]], Tableau1[NUMERO], 0), 3)</f>
        <v/>
      </c>
      <c r="D785">
        <f>INDEX(Tableau1[], MATCH(Tableau3[[#This Row],[REFERENCE]], Tableau1[NUMERO], 0),4)</f>
        <v/>
      </c>
      <c r="E785">
        <f>INDEX(Tableau1[], MATCH(Tableau3[[#This Row],[REFERENCE]], Tableau1[NUMERO], 0), 5)</f>
        <v/>
      </c>
      <c r="H785" t="inlineStr">
        <is>
          <t>lasertechnic</t>
        </is>
      </c>
      <c r="J785" s="12" t="inlineStr">
        <is>
          <t>02/07/2020 relancé la 06/07 par olivier et Angélique</t>
        </is>
      </c>
      <c r="K785" s="2" t="n">
        <v>44018</v>
      </c>
      <c r="L785" s="2" t="n"/>
      <c r="M785" s="21" t="inlineStr">
        <is>
          <t>01</t>
        </is>
      </c>
      <c r="N785" s="35" t="n">
        <v>1</v>
      </c>
      <c r="O785" s="7" t="n">
        <v>19</v>
      </c>
      <c r="P785" s="8" t="inlineStr">
        <is>
          <t>5 JOURS</t>
        </is>
      </c>
      <c r="Q785" s="2" t="n">
        <v>44110</v>
      </c>
    </row>
    <row r="786" ht="45" customHeight="1" s="142">
      <c r="A786" s="8" t="n">
        <v>34408637</v>
      </c>
      <c r="B786" s="2">
        <f>INDEX(Tableau1[], MATCH(Tableau3[[#This Row],[REFERENCE]], Tableau1[NUMERO], 0), 2)</f>
        <v/>
      </c>
      <c r="C786">
        <f>INDEX(Tableau1[], MATCH(Tableau3[[#This Row],[REFERENCE]], Tableau1[NUMERO], 0), 3)</f>
        <v/>
      </c>
      <c r="D786">
        <f>INDEX(Tableau1[], MATCH(Tableau3[[#This Row],[REFERENCE]], Tableau1[NUMERO], 0),4)</f>
        <v/>
      </c>
      <c r="E786">
        <f>INDEX(Tableau1[], MATCH(Tableau3[[#This Row],[REFERENCE]], Tableau1[NUMERO], 0), 5)</f>
        <v/>
      </c>
      <c r="H786" t="inlineStr">
        <is>
          <t>lasertechnic</t>
        </is>
      </c>
      <c r="J786" s="12" t="inlineStr">
        <is>
          <t>02/07/2020 relancé la 06/07 par olivier et Angélique</t>
        </is>
      </c>
      <c r="K786" s="2" t="n">
        <v>44018</v>
      </c>
      <c r="L786" s="2" t="n"/>
      <c r="M786" s="21" t="inlineStr">
        <is>
          <t>01</t>
        </is>
      </c>
      <c r="N786" s="35" t="n">
        <v>2</v>
      </c>
      <c r="O786" s="7" t="n">
        <v>6</v>
      </c>
      <c r="P786" s="8" t="inlineStr">
        <is>
          <t>5 JOURS</t>
        </is>
      </c>
      <c r="Q786" s="2" t="n">
        <v>44110</v>
      </c>
    </row>
    <row r="787" ht="45" customHeight="1" s="142">
      <c r="A787" s="8" t="n">
        <v>34408638</v>
      </c>
      <c r="B787" s="2">
        <f>INDEX(Tableau1[], MATCH(Tableau3[[#This Row],[REFERENCE]], Tableau1[NUMERO], 0), 2)</f>
        <v/>
      </c>
      <c r="C787">
        <f>INDEX(Tableau1[], MATCH(Tableau3[[#This Row],[REFERENCE]], Tableau1[NUMERO], 0), 3)</f>
        <v/>
      </c>
      <c r="D787">
        <f>INDEX(Tableau1[], MATCH(Tableau3[[#This Row],[REFERENCE]], Tableau1[NUMERO], 0),4)</f>
        <v/>
      </c>
      <c r="E787">
        <f>INDEX(Tableau1[], MATCH(Tableau3[[#This Row],[REFERENCE]], Tableau1[NUMERO], 0), 5)</f>
        <v/>
      </c>
      <c r="H787" t="inlineStr">
        <is>
          <t>lasertechnic</t>
        </is>
      </c>
      <c r="J787" s="12" t="inlineStr">
        <is>
          <t>02/07/2020 relancé la 06/07 par olivier et Angélique</t>
        </is>
      </c>
      <c r="K787" s="2" t="n">
        <v>44018</v>
      </c>
      <c r="L787" s="2" t="n"/>
      <c r="M787" s="21" t="inlineStr">
        <is>
          <t>01</t>
        </is>
      </c>
      <c r="N787" s="35" t="n">
        <v>2</v>
      </c>
      <c r="O787" s="7" t="n">
        <v>15</v>
      </c>
      <c r="P787" s="8" t="inlineStr">
        <is>
          <t>5 JOURS</t>
        </is>
      </c>
      <c r="Q787" s="2" t="n">
        <v>44110</v>
      </c>
    </row>
    <row r="788" ht="45" customHeight="1" s="142">
      <c r="A788" s="8" t="n">
        <v>34408639</v>
      </c>
      <c r="B788" s="2">
        <f>INDEX(Tableau1[], MATCH(Tableau3[[#This Row],[REFERENCE]], Tableau1[NUMERO], 0), 2)</f>
        <v/>
      </c>
      <c r="C788">
        <f>INDEX(Tableau1[], MATCH(Tableau3[[#This Row],[REFERENCE]], Tableau1[NUMERO], 0), 3)</f>
        <v/>
      </c>
      <c r="D788">
        <f>INDEX(Tableau1[], MATCH(Tableau3[[#This Row],[REFERENCE]], Tableau1[NUMERO], 0),4)</f>
        <v/>
      </c>
      <c r="E788">
        <f>INDEX(Tableau1[], MATCH(Tableau3[[#This Row],[REFERENCE]], Tableau1[NUMERO], 0), 5)</f>
        <v/>
      </c>
      <c r="H788" t="inlineStr">
        <is>
          <t>lasertechnic</t>
        </is>
      </c>
      <c r="J788" s="12" t="inlineStr">
        <is>
          <t>02/07/2020 relancé la 06/07 par olivier et Angélique</t>
        </is>
      </c>
      <c r="K788" s="2" t="n">
        <v>44018</v>
      </c>
      <c r="L788" s="2" t="n"/>
      <c r="M788" s="21" t="inlineStr">
        <is>
          <t>02</t>
        </is>
      </c>
      <c r="N788" s="35" t="n">
        <v>2</v>
      </c>
      <c r="O788" s="7" t="n">
        <v>48</v>
      </c>
      <c r="P788" s="8" t="inlineStr">
        <is>
          <t>5 JOURS</t>
        </is>
      </c>
      <c r="Q788" s="2" t="n">
        <v>44110</v>
      </c>
      <c r="R788" t="inlineStr">
        <is>
          <t>géré par Angélique</t>
        </is>
      </c>
    </row>
    <row r="789" ht="45" customHeight="1" s="142">
      <c r="A789" s="8" t="n">
        <v>34408640</v>
      </c>
      <c r="B789" s="2">
        <f>INDEX(Tableau1[], MATCH(Tableau3[[#This Row],[REFERENCE]], Tableau1[NUMERO], 0), 2)</f>
        <v/>
      </c>
      <c r="C789">
        <f>INDEX(Tableau1[], MATCH(Tableau3[[#This Row],[REFERENCE]], Tableau1[NUMERO], 0), 3)</f>
        <v/>
      </c>
      <c r="D789">
        <f>INDEX(Tableau1[], MATCH(Tableau3[[#This Row],[REFERENCE]], Tableau1[NUMERO], 0),4)</f>
        <v/>
      </c>
      <c r="E789">
        <f>INDEX(Tableau1[], MATCH(Tableau3[[#This Row],[REFERENCE]], Tableau1[NUMERO], 0), 5)</f>
        <v/>
      </c>
      <c r="H789" t="inlineStr">
        <is>
          <t>lasertechnic</t>
        </is>
      </c>
      <c r="J789" s="12" t="inlineStr">
        <is>
          <t>02/07/2020 relancé la 06/07 par olivier et Angélique</t>
        </is>
      </c>
      <c r="K789" s="2" t="n">
        <v>44018</v>
      </c>
      <c r="L789" s="2" t="n"/>
      <c r="M789" s="21" t="inlineStr">
        <is>
          <t>01</t>
        </is>
      </c>
      <c r="N789" s="35" t="n">
        <v>2</v>
      </c>
      <c r="O789" s="7" t="n">
        <v>24</v>
      </c>
      <c r="P789" s="8" t="inlineStr">
        <is>
          <t>5 JOURS</t>
        </is>
      </c>
      <c r="Q789" s="2" t="n">
        <v>44110</v>
      </c>
    </row>
    <row r="790" ht="45" customHeight="1" s="142">
      <c r="A790" s="8" t="n">
        <v>34408642</v>
      </c>
      <c r="B790" s="2">
        <f>INDEX(Tableau1[], MATCH(Tableau3[[#This Row],[REFERENCE]], Tableau1[NUMERO], 0), 2)</f>
        <v/>
      </c>
      <c r="C790">
        <f>INDEX(Tableau1[], MATCH(Tableau3[[#This Row],[REFERENCE]], Tableau1[NUMERO], 0), 3)</f>
        <v/>
      </c>
      <c r="D790">
        <f>INDEX(Tableau1[], MATCH(Tableau3[[#This Row],[REFERENCE]], Tableau1[NUMERO], 0),4)</f>
        <v/>
      </c>
      <c r="E790">
        <f>INDEX(Tableau1[], MATCH(Tableau3[[#This Row],[REFERENCE]], Tableau1[NUMERO], 0), 5)</f>
        <v/>
      </c>
      <c r="H790" t="inlineStr">
        <is>
          <t>lasertechnic</t>
        </is>
      </c>
      <c r="J790" s="12" t="inlineStr">
        <is>
          <t>02/07/2020 relancé la 06/07 par olivier et Angélique</t>
        </is>
      </c>
      <c r="K790" s="2" t="n">
        <v>44018</v>
      </c>
      <c r="L790" s="2" t="n"/>
      <c r="M790" s="21" t="inlineStr">
        <is>
          <t>01</t>
        </is>
      </c>
      <c r="N790" s="35" t="n">
        <v>1</v>
      </c>
      <c r="O790" s="7" t="n">
        <v>42</v>
      </c>
      <c r="P790" s="8" t="inlineStr">
        <is>
          <t>5 JOURS</t>
        </is>
      </c>
      <c r="Q790" s="2" t="n">
        <v>44110</v>
      </c>
      <c r="R790" t="inlineStr">
        <is>
          <t>géré par Angélique</t>
        </is>
      </c>
    </row>
    <row r="791" ht="45" customHeight="1" s="142">
      <c r="A791" s="8" t="n">
        <v>34408643</v>
      </c>
      <c r="B791" s="2">
        <f>INDEX(Tableau1[], MATCH(Tableau3[[#This Row],[REFERENCE]], Tableau1[NUMERO], 0), 2)</f>
        <v/>
      </c>
      <c r="C791">
        <f>INDEX(Tableau1[], MATCH(Tableau3[[#This Row],[REFERENCE]], Tableau1[NUMERO], 0), 3)</f>
        <v/>
      </c>
      <c r="D791">
        <f>INDEX(Tableau1[], MATCH(Tableau3[[#This Row],[REFERENCE]], Tableau1[NUMERO], 0),4)</f>
        <v/>
      </c>
      <c r="E791">
        <f>INDEX(Tableau1[], MATCH(Tableau3[[#This Row],[REFERENCE]], Tableau1[NUMERO], 0), 5)</f>
        <v/>
      </c>
      <c r="H791" t="inlineStr">
        <is>
          <t>lasertechnic</t>
        </is>
      </c>
      <c r="J791" s="12" t="inlineStr">
        <is>
          <t>02/07/2020 relancé la 06/07 par olivier et Angélique</t>
        </is>
      </c>
      <c r="K791" s="2" t="n">
        <v>44018</v>
      </c>
      <c r="L791" s="2" t="n"/>
      <c r="M791" s="21" t="inlineStr">
        <is>
          <t>01</t>
        </is>
      </c>
      <c r="N791" s="35" t="n">
        <v>7</v>
      </c>
      <c r="O791" s="7" t="n">
        <v>10</v>
      </c>
      <c r="P791" s="8" t="inlineStr">
        <is>
          <t>5 JOURS</t>
        </is>
      </c>
      <c r="Q791" s="2" t="n">
        <v>44110</v>
      </c>
    </row>
    <row r="792" ht="45" customHeight="1" s="142">
      <c r="A792" s="8" t="n">
        <v>34408644</v>
      </c>
      <c r="B792" s="2">
        <f>INDEX(Tableau1[], MATCH(Tableau3[[#This Row],[REFERENCE]], Tableau1[NUMERO], 0), 2)</f>
        <v/>
      </c>
      <c r="C792">
        <f>INDEX(Tableau1[], MATCH(Tableau3[[#This Row],[REFERENCE]], Tableau1[NUMERO], 0), 3)</f>
        <v/>
      </c>
      <c r="D792">
        <f>INDEX(Tableau1[], MATCH(Tableau3[[#This Row],[REFERENCE]], Tableau1[NUMERO], 0),4)</f>
        <v/>
      </c>
      <c r="E792">
        <f>INDEX(Tableau1[], MATCH(Tableau3[[#This Row],[REFERENCE]], Tableau1[NUMERO], 0), 5)</f>
        <v/>
      </c>
      <c r="H792" t="inlineStr">
        <is>
          <t>lasertechnic</t>
        </is>
      </c>
      <c r="J792" s="12" t="inlineStr">
        <is>
          <t>02/07/2020 relancé la 06/07 par olivier et Angélique</t>
        </is>
      </c>
      <c r="K792" s="2" t="n">
        <v>44018</v>
      </c>
      <c r="L792" s="2" t="n"/>
      <c r="M792" s="21" t="inlineStr">
        <is>
          <t>01</t>
        </is>
      </c>
      <c r="N792" s="35" t="n">
        <v>1</v>
      </c>
      <c r="O792" s="7" t="n">
        <v>62</v>
      </c>
      <c r="P792" s="8" t="inlineStr">
        <is>
          <t>5 JOURS</t>
        </is>
      </c>
      <c r="Q792" s="2" t="n">
        <v>44110</v>
      </c>
    </row>
    <row r="793" ht="45" customHeight="1" s="142">
      <c r="A793" s="8" t="n">
        <v>34408645</v>
      </c>
      <c r="B793" s="2">
        <f>INDEX(Tableau1[], MATCH(Tableau3[[#This Row],[REFERENCE]], Tableau1[NUMERO], 0), 2)</f>
        <v/>
      </c>
      <c r="C793">
        <f>INDEX(Tableau1[], MATCH(Tableau3[[#This Row],[REFERENCE]], Tableau1[NUMERO], 0), 3)</f>
        <v/>
      </c>
      <c r="D793">
        <f>INDEX(Tableau1[], MATCH(Tableau3[[#This Row],[REFERENCE]], Tableau1[NUMERO], 0),4)</f>
        <v/>
      </c>
      <c r="E793">
        <f>INDEX(Tableau1[], MATCH(Tableau3[[#This Row],[REFERENCE]], Tableau1[NUMERO], 0), 5)</f>
        <v/>
      </c>
      <c r="H793" t="inlineStr">
        <is>
          <t>lasertechnic</t>
        </is>
      </c>
      <c r="J793" s="12" t="inlineStr">
        <is>
          <t>02/07/2020 relancé la 06/07 par olivier et Angélique</t>
        </is>
      </c>
      <c r="K793" s="2" t="n">
        <v>44018</v>
      </c>
      <c r="L793" s="2" t="n"/>
      <c r="M793" s="21" t="inlineStr">
        <is>
          <t>01</t>
        </is>
      </c>
      <c r="N793" s="35" t="n">
        <v>1</v>
      </c>
      <c r="O793" s="7" t="n">
        <v>35</v>
      </c>
      <c r="P793" s="8" t="inlineStr">
        <is>
          <t>5 JOURS</t>
        </is>
      </c>
      <c r="Q793" s="2" t="n">
        <v>44110</v>
      </c>
    </row>
    <row r="794" ht="45.75" customHeight="1" s="142" thickBot="1">
      <c r="A794" s="8" t="n">
        <v>34408647</v>
      </c>
      <c r="B794" s="2">
        <f>INDEX(Tableau1[], MATCH(Tableau3[[#This Row],[REFERENCE]], Tableau1[NUMERO], 0), 2)</f>
        <v/>
      </c>
      <c r="C794">
        <f>INDEX(Tableau1[], MATCH(Tableau3[[#This Row],[REFERENCE]], Tableau1[NUMERO], 0), 3)</f>
        <v/>
      </c>
      <c r="D794">
        <f>INDEX(Tableau1[], MATCH(Tableau3[[#This Row],[REFERENCE]], Tableau1[NUMERO], 0),4)</f>
        <v/>
      </c>
      <c r="E794">
        <f>INDEX(Tableau1[], MATCH(Tableau3[[#This Row],[REFERENCE]], Tableau1[NUMERO], 0), 5)</f>
        <v/>
      </c>
      <c r="H794" t="inlineStr">
        <is>
          <t>lasertechnic</t>
        </is>
      </c>
      <c r="J794" s="12" t="inlineStr">
        <is>
          <t>02/07/2020 relancé la 06/07 par olivier et Angélique</t>
        </is>
      </c>
      <c r="K794" s="2" t="n">
        <v>44018</v>
      </c>
      <c r="L794" s="2" t="n"/>
      <c r="M794" s="21" t="inlineStr">
        <is>
          <t>02</t>
        </is>
      </c>
      <c r="N794" s="35" t="n">
        <v>2</v>
      </c>
      <c r="O794" s="7" t="n">
        <v>19</v>
      </c>
      <c r="P794" s="8" t="inlineStr">
        <is>
          <t>5 JOURS</t>
        </is>
      </c>
      <c r="Q794" s="2" t="n">
        <v>44110</v>
      </c>
      <c r="R794" t="inlineStr">
        <is>
          <t>géré par Angélique</t>
        </is>
      </c>
    </row>
    <row r="795" ht="15.75" customFormat="1" customHeight="1" s="52" thickTop="1">
      <c r="A795" s="50" t="n">
        <v>34408608</v>
      </c>
      <c r="B795" s="51">
        <f>INDEX(Tableau1[], MATCH(Tableau3[[#This Row],[REFERENCE]], Tableau1[NUMERO], 0), 2)</f>
        <v/>
      </c>
      <c r="C795" s="52">
        <f>INDEX(Tableau1[], MATCH(Tableau3[[#This Row],[REFERENCE]], Tableau1[NUMERO], 0), 3)</f>
        <v/>
      </c>
      <c r="D795" s="52">
        <f>INDEX(Tableau1[], MATCH(Tableau3[[#This Row],[REFERENCE]], Tableau1[NUMERO], 0),4)</f>
        <v/>
      </c>
      <c r="E795" s="52">
        <f>INDEX(Tableau1[], MATCH(Tableau3[[#This Row],[REFERENCE]], Tableau1[NUMERO], 0), 5)</f>
        <v/>
      </c>
      <c r="H795" s="52" t="inlineStr">
        <is>
          <t>Paillet</t>
        </is>
      </c>
      <c r="I795" s="50" t="n"/>
      <c r="J795" s="51" t="n">
        <v>44014</v>
      </c>
      <c r="K795" s="51" t="n">
        <v>44015</v>
      </c>
      <c r="L795" s="51" t="n"/>
      <c r="M795" s="53" t="inlineStr">
        <is>
          <t>01</t>
        </is>
      </c>
      <c r="N795" s="54" t="n">
        <v>3</v>
      </c>
      <c r="O795" s="55" t="n">
        <v>22.86</v>
      </c>
      <c r="P795" s="50" t="inlineStr">
        <is>
          <t>20 jours</t>
        </is>
      </c>
      <c r="Q795" s="51" t="n">
        <v>44107</v>
      </c>
    </row>
    <row r="796" ht="60" customFormat="1" customHeight="1" s="8">
      <c r="A796" s="8" t="n">
        <v>34408609</v>
      </c>
      <c r="B796" s="20">
        <f>INDEX(Tableau1[], MATCH(Tableau3[[#This Row],[REFERENCE]], Tableau1[NUMERO], 0), 2)</f>
        <v/>
      </c>
      <c r="C796" s="8">
        <f>INDEX(Tableau1[], MATCH(Tableau3[[#This Row],[REFERENCE]], Tableau1[NUMERO], 0), 3)</f>
        <v/>
      </c>
      <c r="D796" s="8">
        <f>INDEX(Tableau1[], MATCH(Tableau3[[#This Row],[REFERENCE]], Tableau1[NUMERO], 0),4)</f>
        <v/>
      </c>
      <c r="E796" s="8">
        <f>INDEX(Tableau1[], MATCH(Tableau3[[#This Row],[REFERENCE]], Tableau1[NUMERO], 0), 5)</f>
        <v/>
      </c>
      <c r="H796" s="46" t="inlineStr">
        <is>
          <t>Paillet</t>
        </is>
      </c>
      <c r="J796" s="76" t="n">
        <v>44014</v>
      </c>
      <c r="K796" s="76" t="n">
        <v>44015</v>
      </c>
      <c r="L796" s="20" t="n"/>
      <c r="M796" s="21" t="inlineStr">
        <is>
          <t>01</t>
        </is>
      </c>
      <c r="N796" s="8" t="n">
        <v>1</v>
      </c>
      <c r="O796" s="72" t="inlineStr">
        <is>
          <t>Référence déclinée en l'état : plan incomplet</t>
        </is>
      </c>
      <c r="Q796" s="20" t="n"/>
    </row>
    <row r="797">
      <c r="A797" s="8" t="n">
        <v>34408610</v>
      </c>
      <c r="B797" s="2">
        <f>INDEX(Tableau1[], MATCH(Tableau3[[#This Row],[REFERENCE]], Tableau1[NUMERO], 0), 2)</f>
        <v/>
      </c>
      <c r="C797">
        <f>INDEX(Tableau1[], MATCH(Tableau3[[#This Row],[REFERENCE]], Tableau1[NUMERO], 0), 3)</f>
        <v/>
      </c>
      <c r="D797">
        <f>INDEX(Tableau1[], MATCH(Tableau3[[#This Row],[REFERENCE]], Tableau1[NUMERO], 0),4)</f>
        <v/>
      </c>
      <c r="E797">
        <f>INDEX(Tableau1[], MATCH(Tableau3[[#This Row],[REFERENCE]], Tableau1[NUMERO], 0), 5)</f>
        <v/>
      </c>
      <c r="H797" t="inlineStr">
        <is>
          <t>Paillet</t>
        </is>
      </c>
      <c r="J797" s="2" t="n">
        <v>44014</v>
      </c>
      <c r="K797" s="2" t="n">
        <v>44015</v>
      </c>
      <c r="L797" s="2" t="n"/>
      <c r="M797" s="21" t="inlineStr">
        <is>
          <t>01</t>
        </is>
      </c>
      <c r="N797" s="35" t="n">
        <v>1</v>
      </c>
      <c r="O797" s="7" t="n">
        <v>96.33</v>
      </c>
      <c r="P797" s="8" t="inlineStr">
        <is>
          <t>20 jours</t>
        </is>
      </c>
      <c r="Q797" s="2" t="n">
        <v>44107</v>
      </c>
    </row>
    <row r="798">
      <c r="A798" s="8" t="n">
        <v>34408612</v>
      </c>
      <c r="B798" s="2">
        <f>INDEX(Tableau1[], MATCH(Tableau3[[#This Row],[REFERENCE]], Tableau1[NUMERO], 0), 2)</f>
        <v/>
      </c>
      <c r="C798">
        <f>INDEX(Tableau1[], MATCH(Tableau3[[#This Row],[REFERENCE]], Tableau1[NUMERO], 0), 3)</f>
        <v/>
      </c>
      <c r="D798">
        <f>INDEX(Tableau1[], MATCH(Tableau3[[#This Row],[REFERENCE]], Tableau1[NUMERO], 0),4)</f>
        <v/>
      </c>
      <c r="E798">
        <f>INDEX(Tableau1[], MATCH(Tableau3[[#This Row],[REFERENCE]], Tableau1[NUMERO], 0), 5)</f>
        <v/>
      </c>
      <c r="H798" t="inlineStr">
        <is>
          <t>Paillet</t>
        </is>
      </c>
      <c r="J798" s="2" t="n">
        <v>44014</v>
      </c>
      <c r="K798" s="2" t="n">
        <v>44015</v>
      </c>
      <c r="L798" s="2" t="n"/>
      <c r="M798" s="21" t="inlineStr">
        <is>
          <t>01</t>
        </is>
      </c>
      <c r="N798" s="35" t="n">
        <v>1</v>
      </c>
      <c r="O798" s="7" t="n">
        <v>95.73999999999999</v>
      </c>
      <c r="P798" s="8" t="inlineStr">
        <is>
          <t>20 jours</t>
        </is>
      </c>
      <c r="Q798" s="2" t="n">
        <v>44107</v>
      </c>
    </row>
    <row r="799">
      <c r="A799" s="8" t="n">
        <v>34408613</v>
      </c>
      <c r="B799" s="2">
        <f>INDEX(Tableau1[], MATCH(Tableau3[[#This Row],[REFERENCE]], Tableau1[NUMERO], 0), 2)</f>
        <v/>
      </c>
      <c r="C799">
        <f>INDEX(Tableau1[], MATCH(Tableau3[[#This Row],[REFERENCE]], Tableau1[NUMERO], 0), 3)</f>
        <v/>
      </c>
      <c r="D799">
        <f>INDEX(Tableau1[], MATCH(Tableau3[[#This Row],[REFERENCE]], Tableau1[NUMERO], 0),4)</f>
        <v/>
      </c>
      <c r="E799">
        <f>INDEX(Tableau1[], MATCH(Tableau3[[#This Row],[REFERENCE]], Tableau1[NUMERO], 0), 5)</f>
        <v/>
      </c>
      <c r="H799" t="inlineStr">
        <is>
          <t>Paillet</t>
        </is>
      </c>
      <c r="J799" s="2" t="n">
        <v>44014</v>
      </c>
      <c r="K799" s="2" t="n">
        <v>44015</v>
      </c>
      <c r="L799" s="2" t="n"/>
      <c r="M799" s="21" t="inlineStr">
        <is>
          <t>01</t>
        </is>
      </c>
      <c r="N799" s="35" t="n">
        <v>4</v>
      </c>
      <c r="O799" s="7" t="n">
        <v>25.2</v>
      </c>
      <c r="P799" s="8" t="inlineStr">
        <is>
          <t>20 jours</t>
        </is>
      </c>
      <c r="Q799" s="2" t="n">
        <v>44107</v>
      </c>
    </row>
    <row r="800">
      <c r="A800" s="8" t="n">
        <v>34408631</v>
      </c>
      <c r="B800" s="2">
        <f>INDEX(Tableau1[], MATCH(Tableau3[[#This Row],[REFERENCE]], Tableau1[NUMERO], 0), 2)</f>
        <v/>
      </c>
      <c r="C800">
        <f>INDEX(Tableau1[], MATCH(Tableau3[[#This Row],[REFERENCE]], Tableau1[NUMERO], 0), 3)</f>
        <v/>
      </c>
      <c r="D800">
        <f>INDEX(Tableau1[], MATCH(Tableau3[[#This Row],[REFERENCE]], Tableau1[NUMERO], 0),4)</f>
        <v/>
      </c>
      <c r="E800">
        <f>INDEX(Tableau1[], MATCH(Tableau3[[#This Row],[REFERENCE]], Tableau1[NUMERO], 0), 5)</f>
        <v/>
      </c>
      <c r="H800" t="inlineStr">
        <is>
          <t>Paillet</t>
        </is>
      </c>
      <c r="J800" s="2" t="n">
        <v>44014</v>
      </c>
      <c r="K800" s="2" t="n">
        <v>44015</v>
      </c>
      <c r="L800" s="2" t="n"/>
      <c r="M800" s="21" t="inlineStr">
        <is>
          <t>01</t>
        </is>
      </c>
      <c r="N800" s="35" t="n">
        <v>1</v>
      </c>
      <c r="O800" s="7" t="n">
        <v>80.67</v>
      </c>
      <c r="P800" s="8" t="inlineStr">
        <is>
          <t>20 jours</t>
        </is>
      </c>
      <c r="Q800" s="2" t="n">
        <v>44107</v>
      </c>
    </row>
    <row r="801">
      <c r="A801" s="8" t="n">
        <v>34408632</v>
      </c>
      <c r="B801" s="2">
        <f>INDEX(Tableau1[], MATCH(Tableau3[[#This Row],[REFERENCE]], Tableau1[NUMERO], 0), 2)</f>
        <v/>
      </c>
      <c r="C801">
        <f>INDEX(Tableau1[], MATCH(Tableau3[[#This Row],[REFERENCE]], Tableau1[NUMERO], 0), 3)</f>
        <v/>
      </c>
      <c r="D801">
        <f>INDEX(Tableau1[], MATCH(Tableau3[[#This Row],[REFERENCE]], Tableau1[NUMERO], 0),4)</f>
        <v/>
      </c>
      <c r="E801">
        <f>INDEX(Tableau1[], MATCH(Tableau3[[#This Row],[REFERENCE]], Tableau1[NUMERO], 0), 5)</f>
        <v/>
      </c>
      <c r="H801" t="inlineStr">
        <is>
          <t>Paillet</t>
        </is>
      </c>
      <c r="J801" s="2" t="n">
        <v>44014</v>
      </c>
      <c r="K801" s="2" t="n">
        <v>44015</v>
      </c>
      <c r="L801" s="2" t="n"/>
      <c r="M801" s="21" t="inlineStr">
        <is>
          <t>01</t>
        </is>
      </c>
      <c r="N801" s="35" t="n">
        <v>1</v>
      </c>
      <c r="O801" s="7" t="n">
        <v>73.92</v>
      </c>
      <c r="P801" s="8" t="inlineStr">
        <is>
          <t>20 jours</t>
        </is>
      </c>
      <c r="Q801" s="2" t="n">
        <v>44107</v>
      </c>
    </row>
    <row r="802">
      <c r="A802" s="8" t="n">
        <v>34408633</v>
      </c>
      <c r="B802" s="2">
        <f>INDEX(Tableau1[], MATCH(Tableau3[[#This Row],[REFERENCE]], Tableau1[NUMERO], 0), 2)</f>
        <v/>
      </c>
      <c r="C802">
        <f>INDEX(Tableau1[], MATCH(Tableau3[[#This Row],[REFERENCE]], Tableau1[NUMERO], 0), 3)</f>
        <v/>
      </c>
      <c r="D802">
        <f>INDEX(Tableau1[], MATCH(Tableau3[[#This Row],[REFERENCE]], Tableau1[NUMERO], 0),4)</f>
        <v/>
      </c>
      <c r="E802">
        <f>INDEX(Tableau1[], MATCH(Tableau3[[#This Row],[REFERENCE]], Tableau1[NUMERO], 0), 5)</f>
        <v/>
      </c>
      <c r="H802" t="inlineStr">
        <is>
          <t>Paillet</t>
        </is>
      </c>
      <c r="J802" s="2" t="n">
        <v>44014</v>
      </c>
      <c r="K802" s="2" t="n">
        <v>44015</v>
      </c>
      <c r="L802" s="2" t="n"/>
      <c r="M802" s="21" t="inlineStr">
        <is>
          <t>01</t>
        </is>
      </c>
      <c r="N802" s="35" t="n">
        <v>1</v>
      </c>
      <c r="O802" s="69" t="n">
        <v>61.5819</v>
      </c>
      <c r="P802" s="8" t="inlineStr">
        <is>
          <t>20 jours</t>
        </is>
      </c>
      <c r="Q802" s="2" t="n">
        <v>44107</v>
      </c>
    </row>
    <row r="803">
      <c r="A803" s="8" t="n">
        <v>34408634</v>
      </c>
      <c r="B803" s="2">
        <f>INDEX(Tableau1[], MATCH(Tableau3[[#This Row],[REFERENCE]], Tableau1[NUMERO], 0), 2)</f>
        <v/>
      </c>
      <c r="C803">
        <f>INDEX(Tableau1[], MATCH(Tableau3[[#This Row],[REFERENCE]], Tableau1[NUMERO], 0), 3)</f>
        <v/>
      </c>
      <c r="D803">
        <f>INDEX(Tableau1[], MATCH(Tableau3[[#This Row],[REFERENCE]], Tableau1[NUMERO], 0),4)</f>
        <v/>
      </c>
      <c r="E803">
        <f>INDEX(Tableau1[], MATCH(Tableau3[[#This Row],[REFERENCE]], Tableau1[NUMERO], 0), 5)</f>
        <v/>
      </c>
      <c r="H803" t="inlineStr">
        <is>
          <t>Paillet</t>
        </is>
      </c>
      <c r="J803" s="2" t="n">
        <v>44014</v>
      </c>
      <c r="K803" s="2" t="n">
        <v>44015</v>
      </c>
      <c r="L803" s="2" t="n"/>
      <c r="M803" s="21" t="inlineStr">
        <is>
          <t>01</t>
        </is>
      </c>
      <c r="N803" s="35" t="n">
        <v>1</v>
      </c>
      <c r="O803" s="69" t="n">
        <v>74.6190912</v>
      </c>
      <c r="P803" s="8" t="inlineStr">
        <is>
          <t>20 jours</t>
        </is>
      </c>
      <c r="Q803" s="2" t="n">
        <v>44107</v>
      </c>
    </row>
    <row r="804">
      <c r="A804" s="8" t="n">
        <v>34408635</v>
      </c>
      <c r="B804" s="2">
        <f>INDEX(Tableau1[], MATCH(Tableau3[[#This Row],[REFERENCE]], Tableau1[NUMERO], 0), 2)</f>
        <v/>
      </c>
      <c r="C804">
        <f>INDEX(Tableau1[], MATCH(Tableau3[[#This Row],[REFERENCE]], Tableau1[NUMERO], 0), 3)</f>
        <v/>
      </c>
      <c r="D804">
        <f>INDEX(Tableau1[], MATCH(Tableau3[[#This Row],[REFERENCE]], Tableau1[NUMERO], 0),4)</f>
        <v/>
      </c>
      <c r="E804">
        <f>INDEX(Tableau1[], MATCH(Tableau3[[#This Row],[REFERENCE]], Tableau1[NUMERO], 0), 5)</f>
        <v/>
      </c>
      <c r="H804" t="inlineStr">
        <is>
          <t>Paillet</t>
        </is>
      </c>
      <c r="J804" s="2" t="n">
        <v>44014</v>
      </c>
      <c r="K804" s="2" t="n">
        <v>44015</v>
      </c>
      <c r="L804" s="2" t="n"/>
      <c r="M804" s="21" t="inlineStr">
        <is>
          <t>01</t>
        </is>
      </c>
      <c r="N804" s="35" t="n">
        <v>1</v>
      </c>
      <c r="O804" s="69" t="n">
        <v>71.91557896</v>
      </c>
      <c r="P804" s="8" t="inlineStr">
        <is>
          <t>20 jours</t>
        </is>
      </c>
      <c r="Q804" s="2" t="n">
        <v>44107</v>
      </c>
    </row>
    <row r="805">
      <c r="A805" s="8" t="n">
        <v>34408636</v>
      </c>
      <c r="B805" s="2">
        <f>INDEX(Tableau1[], MATCH(Tableau3[[#This Row],[REFERENCE]], Tableau1[NUMERO], 0), 2)</f>
        <v/>
      </c>
      <c r="C805">
        <f>INDEX(Tableau1[], MATCH(Tableau3[[#This Row],[REFERENCE]], Tableau1[NUMERO], 0), 3)</f>
        <v/>
      </c>
      <c r="D805">
        <f>INDEX(Tableau1[], MATCH(Tableau3[[#This Row],[REFERENCE]], Tableau1[NUMERO], 0),4)</f>
        <v/>
      </c>
      <c r="E805">
        <f>INDEX(Tableau1[], MATCH(Tableau3[[#This Row],[REFERENCE]], Tableau1[NUMERO], 0), 5)</f>
        <v/>
      </c>
      <c r="H805" t="inlineStr">
        <is>
          <t>Paillet</t>
        </is>
      </c>
      <c r="J805" s="2" t="n">
        <v>44014</v>
      </c>
      <c r="K805" s="2" t="n">
        <v>44015</v>
      </c>
      <c r="L805" s="2" t="n"/>
      <c r="M805" s="21" t="inlineStr">
        <is>
          <t>01</t>
        </is>
      </c>
      <c r="N805" s="35" t="n">
        <v>1</v>
      </c>
      <c r="O805" s="69" t="n">
        <v>70.251569472</v>
      </c>
      <c r="P805" s="8" t="inlineStr">
        <is>
          <t>20 jours</t>
        </is>
      </c>
      <c r="Q805" s="2" t="n">
        <v>44107</v>
      </c>
    </row>
    <row r="806">
      <c r="A806" s="8" t="n">
        <v>34408637</v>
      </c>
      <c r="B806" s="2">
        <f>INDEX(Tableau1[], MATCH(Tableau3[[#This Row],[REFERENCE]], Tableau1[NUMERO], 0), 2)</f>
        <v/>
      </c>
      <c r="C806">
        <f>INDEX(Tableau1[], MATCH(Tableau3[[#This Row],[REFERENCE]], Tableau1[NUMERO], 0), 3)</f>
        <v/>
      </c>
      <c r="D806">
        <f>INDEX(Tableau1[], MATCH(Tableau3[[#This Row],[REFERENCE]], Tableau1[NUMERO], 0),4)</f>
        <v/>
      </c>
      <c r="E806">
        <f>INDEX(Tableau1[], MATCH(Tableau3[[#This Row],[REFERENCE]], Tableau1[NUMERO], 0), 5)</f>
        <v/>
      </c>
      <c r="H806" t="inlineStr">
        <is>
          <t>Paillet</t>
        </is>
      </c>
      <c r="J806" s="2" t="n">
        <v>44014</v>
      </c>
      <c r="K806" s="2" t="n">
        <v>44015</v>
      </c>
      <c r="L806" s="2" t="n"/>
      <c r="M806" s="21" t="inlineStr">
        <is>
          <t>01</t>
        </is>
      </c>
      <c r="N806" s="35" t="n">
        <v>2</v>
      </c>
      <c r="O806" s="69" t="n">
        <v>30.14299144</v>
      </c>
      <c r="P806" s="8" t="inlineStr">
        <is>
          <t>20 jours</t>
        </is>
      </c>
      <c r="Q806" s="2" t="n">
        <v>44107</v>
      </c>
    </row>
    <row r="807">
      <c r="A807" s="8" t="n">
        <v>34408638</v>
      </c>
      <c r="B807" s="2">
        <f>INDEX(Tableau1[], MATCH(Tableau3[[#This Row],[REFERENCE]], Tableau1[NUMERO], 0), 2)</f>
        <v/>
      </c>
      <c r="C807">
        <f>INDEX(Tableau1[], MATCH(Tableau3[[#This Row],[REFERENCE]], Tableau1[NUMERO], 0), 3)</f>
        <v/>
      </c>
      <c r="D807">
        <f>INDEX(Tableau1[], MATCH(Tableau3[[#This Row],[REFERENCE]], Tableau1[NUMERO], 0),4)</f>
        <v/>
      </c>
      <c r="E807">
        <f>INDEX(Tableau1[], MATCH(Tableau3[[#This Row],[REFERENCE]], Tableau1[NUMERO], 0), 5)</f>
        <v/>
      </c>
      <c r="H807" t="inlineStr">
        <is>
          <t>Paillet</t>
        </is>
      </c>
      <c r="J807" s="2" t="n">
        <v>44014</v>
      </c>
      <c r="K807" s="2" t="n">
        <v>44015</v>
      </c>
      <c r="L807" s="2" t="n"/>
      <c r="M807" s="21" t="inlineStr">
        <is>
          <t>01</t>
        </is>
      </c>
      <c r="N807" s="35" t="n">
        <v>2</v>
      </c>
      <c r="O807" s="69" t="n">
        <v>36.382476</v>
      </c>
      <c r="P807" s="8" t="inlineStr">
        <is>
          <t>20 jours</t>
        </is>
      </c>
      <c r="Q807" s="2" t="n">
        <v>44107</v>
      </c>
    </row>
    <row r="808">
      <c r="A808" s="8" t="n">
        <v>34408639</v>
      </c>
      <c r="B808" s="2">
        <f>INDEX(Tableau1[], MATCH(Tableau3[[#This Row],[REFERENCE]], Tableau1[NUMERO], 0), 2)</f>
        <v/>
      </c>
      <c r="C808">
        <f>INDEX(Tableau1[], MATCH(Tableau3[[#This Row],[REFERENCE]], Tableau1[NUMERO], 0), 3)</f>
        <v/>
      </c>
      <c r="D808">
        <f>INDEX(Tableau1[], MATCH(Tableau3[[#This Row],[REFERENCE]], Tableau1[NUMERO], 0),4)</f>
        <v/>
      </c>
      <c r="E808">
        <f>INDEX(Tableau1[], MATCH(Tableau3[[#This Row],[REFERENCE]], Tableau1[NUMERO], 0), 5)</f>
        <v/>
      </c>
      <c r="H808" t="inlineStr">
        <is>
          <t>Paillet</t>
        </is>
      </c>
      <c r="J808" s="2" t="n">
        <v>44014</v>
      </c>
      <c r="K808" s="2" t="n">
        <v>44015</v>
      </c>
      <c r="L808" s="2" t="n"/>
      <c r="M808" s="21" t="inlineStr">
        <is>
          <t>01</t>
        </is>
      </c>
      <c r="N808" s="35" t="n">
        <v>2</v>
      </c>
      <c r="O808" s="69" t="n">
        <v>44.66666799999999</v>
      </c>
      <c r="P808" s="8" t="inlineStr">
        <is>
          <t>20 jours</t>
        </is>
      </c>
      <c r="Q808" s="2" t="n">
        <v>44107</v>
      </c>
    </row>
    <row r="809">
      <c r="A809" s="8" t="n">
        <v>34408640</v>
      </c>
      <c r="B809" s="2">
        <f>INDEX(Tableau1[], MATCH(Tableau3[[#This Row],[REFERENCE]], Tableau1[NUMERO], 0), 2)</f>
        <v/>
      </c>
      <c r="C809">
        <f>INDEX(Tableau1[], MATCH(Tableau3[[#This Row],[REFERENCE]], Tableau1[NUMERO], 0), 3)</f>
        <v/>
      </c>
      <c r="D809">
        <f>INDEX(Tableau1[], MATCH(Tableau3[[#This Row],[REFERENCE]], Tableau1[NUMERO], 0),4)</f>
        <v/>
      </c>
      <c r="E809">
        <f>INDEX(Tableau1[], MATCH(Tableau3[[#This Row],[REFERENCE]], Tableau1[NUMERO], 0), 5)</f>
        <v/>
      </c>
      <c r="H809" t="inlineStr">
        <is>
          <t>Paillet</t>
        </is>
      </c>
      <c r="J809" s="2" t="n">
        <v>44014</v>
      </c>
      <c r="K809" s="2" t="n">
        <v>44015</v>
      </c>
      <c r="L809" s="2" t="n"/>
      <c r="M809" s="21" t="inlineStr">
        <is>
          <t>01</t>
        </is>
      </c>
      <c r="N809" s="35" t="n">
        <v>2</v>
      </c>
      <c r="O809" s="69" t="n">
        <v>33.3691368</v>
      </c>
      <c r="P809" s="8" t="inlineStr">
        <is>
          <t>20 jours</t>
        </is>
      </c>
      <c r="Q809" s="2" t="n">
        <v>44107</v>
      </c>
    </row>
    <row r="810">
      <c r="A810" s="8" t="n">
        <v>34408642</v>
      </c>
      <c r="B810" s="2">
        <f>INDEX(Tableau1[], MATCH(Tableau3[[#This Row],[REFERENCE]], Tableau1[NUMERO], 0), 2)</f>
        <v/>
      </c>
      <c r="C810">
        <f>INDEX(Tableau1[], MATCH(Tableau3[[#This Row],[REFERENCE]], Tableau1[NUMERO], 0), 3)</f>
        <v/>
      </c>
      <c r="D810">
        <f>INDEX(Tableau1[], MATCH(Tableau3[[#This Row],[REFERENCE]], Tableau1[NUMERO], 0),4)</f>
        <v/>
      </c>
      <c r="E810">
        <f>INDEX(Tableau1[], MATCH(Tableau3[[#This Row],[REFERENCE]], Tableau1[NUMERO], 0), 5)</f>
        <v/>
      </c>
      <c r="H810" t="inlineStr">
        <is>
          <t>Paillet</t>
        </is>
      </c>
      <c r="J810" s="2" t="n">
        <v>44014</v>
      </c>
      <c r="K810" s="2" t="n">
        <v>44015</v>
      </c>
      <c r="L810" s="2" t="n"/>
      <c r="M810" s="21" t="inlineStr">
        <is>
          <t>01</t>
        </is>
      </c>
      <c r="N810" s="35" t="n">
        <v>1</v>
      </c>
      <c r="O810" s="69" t="n">
        <v>71.21751816</v>
      </c>
      <c r="P810" s="8" t="inlineStr">
        <is>
          <t>20 jours</t>
        </is>
      </c>
      <c r="Q810" s="2" t="n">
        <v>44107</v>
      </c>
    </row>
    <row r="811">
      <c r="A811" s="8" t="n">
        <v>34408643</v>
      </c>
      <c r="B811" s="2">
        <f>INDEX(Tableau1[], MATCH(Tableau3[[#This Row],[REFERENCE]], Tableau1[NUMERO], 0), 2)</f>
        <v/>
      </c>
      <c r="C811">
        <f>INDEX(Tableau1[], MATCH(Tableau3[[#This Row],[REFERENCE]], Tableau1[NUMERO], 0), 3)</f>
        <v/>
      </c>
      <c r="D811">
        <f>INDEX(Tableau1[], MATCH(Tableau3[[#This Row],[REFERENCE]], Tableau1[NUMERO], 0),4)</f>
        <v/>
      </c>
      <c r="E811">
        <f>INDEX(Tableau1[], MATCH(Tableau3[[#This Row],[REFERENCE]], Tableau1[NUMERO], 0), 5)</f>
        <v/>
      </c>
      <c r="H811" t="inlineStr">
        <is>
          <t>Paillet</t>
        </is>
      </c>
      <c r="J811" s="2" t="n">
        <v>44014</v>
      </c>
      <c r="K811" s="2" t="n">
        <v>44015</v>
      </c>
      <c r="L811" s="2" t="n"/>
      <c r="M811" s="21" t="inlineStr">
        <is>
          <t>01</t>
        </is>
      </c>
      <c r="N811" s="35" t="n">
        <v>7</v>
      </c>
      <c r="O811" s="69" t="n">
        <v>16.38239285714286</v>
      </c>
      <c r="P811" s="8" t="inlineStr">
        <is>
          <t>20 jours</t>
        </is>
      </c>
      <c r="Q811" s="2" t="n">
        <v>44107</v>
      </c>
    </row>
    <row r="812">
      <c r="A812" s="8" t="n">
        <v>34408644</v>
      </c>
      <c r="B812" s="2">
        <f>INDEX(Tableau1[], MATCH(Tableau3[[#This Row],[REFERENCE]], Tableau1[NUMERO], 0), 2)</f>
        <v/>
      </c>
      <c r="C812">
        <f>INDEX(Tableau1[], MATCH(Tableau3[[#This Row],[REFERENCE]], Tableau1[NUMERO], 0), 3)</f>
        <v/>
      </c>
      <c r="D812">
        <f>INDEX(Tableau1[], MATCH(Tableau3[[#This Row],[REFERENCE]], Tableau1[NUMERO], 0),4)</f>
        <v/>
      </c>
      <c r="E812">
        <f>INDEX(Tableau1[], MATCH(Tableau3[[#This Row],[REFERENCE]], Tableau1[NUMERO], 0), 5)</f>
        <v/>
      </c>
      <c r="H812" t="inlineStr">
        <is>
          <t>Paillet</t>
        </is>
      </c>
      <c r="J812" s="2" t="n">
        <v>44014</v>
      </c>
      <c r="K812" s="2" t="n">
        <v>44015</v>
      </c>
      <c r="L812" s="2" t="n"/>
      <c r="M812" s="21" t="inlineStr">
        <is>
          <t>01</t>
        </is>
      </c>
      <c r="N812" s="35" t="n">
        <v>1</v>
      </c>
      <c r="O812" s="69" t="n">
        <v>57.249520115</v>
      </c>
      <c r="P812" s="8" t="inlineStr">
        <is>
          <t>20 jours</t>
        </is>
      </c>
      <c r="Q812" s="2" t="n">
        <v>44107</v>
      </c>
    </row>
    <row r="813">
      <c r="A813" s="8" t="n">
        <v>34408645</v>
      </c>
      <c r="B813" s="2">
        <f>INDEX(Tableau1[], MATCH(Tableau3[[#This Row],[REFERENCE]], Tableau1[NUMERO], 0), 2)</f>
        <v/>
      </c>
      <c r="C813">
        <f>INDEX(Tableau1[], MATCH(Tableau3[[#This Row],[REFERENCE]], Tableau1[NUMERO], 0), 3)</f>
        <v/>
      </c>
      <c r="D813">
        <f>INDEX(Tableau1[], MATCH(Tableau3[[#This Row],[REFERENCE]], Tableau1[NUMERO], 0),4)</f>
        <v/>
      </c>
      <c r="E813">
        <f>INDEX(Tableau1[], MATCH(Tableau3[[#This Row],[REFERENCE]], Tableau1[NUMERO], 0), 5)</f>
        <v/>
      </c>
      <c r="H813" t="inlineStr">
        <is>
          <t>Paillet</t>
        </is>
      </c>
      <c r="J813" s="2" t="n">
        <v>44014</v>
      </c>
      <c r="K813" s="2" t="n">
        <v>44015</v>
      </c>
      <c r="L813" s="2" t="n"/>
      <c r="M813" s="21" t="inlineStr">
        <is>
          <t>01</t>
        </is>
      </c>
      <c r="N813" s="35" t="n">
        <v>1</v>
      </c>
      <c r="O813" s="69" t="n">
        <v>39.474271615</v>
      </c>
      <c r="P813" s="8" t="n"/>
      <c r="Q813" s="2" t="n">
        <v>44107</v>
      </c>
    </row>
    <row r="814" ht="150.75" customFormat="1" customHeight="1" s="56" thickBot="1">
      <c r="A814" s="56" t="n">
        <v>34408647</v>
      </c>
      <c r="B814" s="70">
        <f>INDEX(Tableau1[], MATCH(Tableau3[[#This Row],[REFERENCE]], Tableau1[NUMERO], 0), 2)</f>
        <v/>
      </c>
      <c r="C814" s="56">
        <f>INDEX(Tableau1[], MATCH(Tableau3[[#This Row],[REFERENCE]], Tableau1[NUMERO], 0), 3)</f>
        <v/>
      </c>
      <c r="D814" s="56">
        <f>INDEX(Tableau1[], MATCH(Tableau3[[#This Row],[REFERENCE]], Tableau1[NUMERO], 0),4)</f>
        <v/>
      </c>
      <c r="E814" s="56">
        <f>INDEX(Tableau1[], MATCH(Tableau3[[#This Row],[REFERENCE]], Tableau1[NUMERO], 0), 5)</f>
        <v/>
      </c>
      <c r="H814" s="56" t="inlineStr">
        <is>
          <t>Paillet</t>
        </is>
      </c>
      <c r="J814" s="70" t="n">
        <v>44014</v>
      </c>
      <c r="K814" s="77" t="n">
        <v>44015</v>
      </c>
      <c r="L814" s="70" t="n"/>
      <c r="M814" s="59" t="inlineStr">
        <is>
          <t>01</t>
        </is>
      </c>
      <c r="N814" s="56" t="n">
        <v>2</v>
      </c>
      <c r="O814" s="71" t="inlineStr">
        <is>
          <t>Référence déclinée : il n'existe pas de tôle galva en 10 mm et trous trops petits par rapport à l'épaisseur.</t>
        </is>
      </c>
      <c r="Q814" s="70" t="n"/>
    </row>
    <row r="815" ht="31.5" customFormat="1" customHeight="1" s="8" thickBot="1" thickTop="1">
      <c r="A815" s="73" t="inlineStr">
        <is>
          <t>IMPLANTATION PALETTE</t>
        </is>
      </c>
      <c r="B815" s="20">
        <f>INDEX(Tableau1[], MATCH(Tableau3[[#This Row],[REFERENCE]], Tableau1[NUMERO], 0), 2)</f>
        <v/>
      </c>
      <c r="C815" s="8">
        <f>INDEX(Tableau1[], MATCH(Tableau3[[#This Row],[REFERENCE]], Tableau1[NUMERO], 0), 3)</f>
        <v/>
      </c>
      <c r="D815" s="8">
        <f>INDEX(Tableau1[], MATCH(Tableau3[[#This Row],[REFERENCE]], Tableau1[NUMERO], 0),4)</f>
        <v/>
      </c>
      <c r="E815" s="8">
        <f>INDEX(Tableau1[], MATCH(Tableau3[[#This Row],[REFERENCE]], Tableau1[NUMERO], 0), 5)</f>
        <v/>
      </c>
      <c r="H815" s="8" t="inlineStr">
        <is>
          <t>DPF</t>
        </is>
      </c>
      <c r="J815" s="127" t="inlineStr">
        <is>
          <t>30/06/2020 relancé le 06/07/2020</t>
        </is>
      </c>
      <c r="K815" s="76" t="n">
        <v>44019</v>
      </c>
      <c r="L815" s="20" t="n"/>
      <c r="M815" s="21" t="n"/>
      <c r="N815" s="8" t="n">
        <v>1</v>
      </c>
      <c r="O815" s="128" t="n">
        <v>282</v>
      </c>
      <c r="P815" s="8" t="inlineStr">
        <is>
          <t>2 à 3 semaines</t>
        </is>
      </c>
      <c r="Q815" s="20" t="n">
        <v>44081</v>
      </c>
      <c r="R815" s="8" t="inlineStr">
        <is>
          <t>fait et géré par JP</t>
        </is>
      </c>
    </row>
    <row r="816" ht="15.75" customFormat="1" customHeight="1" s="52" thickTop="1">
      <c r="A816" s="50" t="n">
        <v>34408573</v>
      </c>
      <c r="B816" s="51">
        <f>INDEX(Tableau1[], MATCH(Tableau3[[#This Row],[REFERENCE]], Tableau1[NUMERO], 0), 2)</f>
        <v/>
      </c>
      <c r="C816" s="52">
        <f>INDEX(Tableau1[], MATCH(Tableau3[[#This Row],[REFERENCE]], Tableau1[NUMERO], 0), 3)</f>
        <v/>
      </c>
      <c r="D816" s="52">
        <f>INDEX(Tableau1[], MATCH(Tableau3[[#This Row],[REFERENCE]], Tableau1[NUMERO], 0),4)</f>
        <v/>
      </c>
      <c r="E816" s="52">
        <f>INDEX(Tableau1[], MATCH(Tableau3[[#This Row],[REFERENCE]], Tableau1[NUMERO], 0), 5)</f>
        <v/>
      </c>
      <c r="H816" s="52" t="inlineStr">
        <is>
          <t>lasertechnic</t>
        </is>
      </c>
      <c r="I816" s="50" t="n"/>
      <c r="J816" s="51" t="inlineStr">
        <is>
          <t>fait par angélique</t>
        </is>
      </c>
      <c r="K816" s="51" t="n">
        <v>44018</v>
      </c>
      <c r="L816" s="51" t="n"/>
      <c r="M816" s="53" t="n"/>
      <c r="N816" s="54" t="n">
        <v>1</v>
      </c>
      <c r="O816" s="55" t="n">
        <v>52</v>
      </c>
      <c r="P816" s="50" t="inlineStr">
        <is>
          <t>5 JOURS</t>
        </is>
      </c>
      <c r="Q816" s="51" t="n"/>
      <c r="R816" s="51" t="inlineStr">
        <is>
          <t>fait par angélique</t>
        </is>
      </c>
    </row>
    <row r="817">
      <c r="A817" s="8" t="n">
        <v>34408574</v>
      </c>
      <c r="B817" s="2">
        <f>INDEX(Tableau1[], MATCH(Tableau3[[#This Row],[REFERENCE]], Tableau1[NUMERO], 0), 2)</f>
        <v/>
      </c>
      <c r="C817">
        <f>INDEX(Tableau1[], MATCH(Tableau3[[#This Row],[REFERENCE]], Tableau1[NUMERO], 0), 3)</f>
        <v/>
      </c>
      <c r="D817">
        <f>INDEX(Tableau1[], MATCH(Tableau3[[#This Row],[REFERENCE]], Tableau1[NUMERO], 0),4)</f>
        <v/>
      </c>
      <c r="E817">
        <f>INDEX(Tableau1[], MATCH(Tableau3[[#This Row],[REFERENCE]], Tableau1[NUMERO], 0), 5)</f>
        <v/>
      </c>
      <c r="H817" t="inlineStr">
        <is>
          <t>lasertechnic</t>
        </is>
      </c>
      <c r="J817" s="2" t="inlineStr">
        <is>
          <t>fait par angélique</t>
        </is>
      </c>
      <c r="K817" s="2" t="n">
        <v>44018</v>
      </c>
      <c r="L817" s="2" t="n"/>
      <c r="N817" s="35" t="n">
        <v>1</v>
      </c>
      <c r="O817" s="7" t="n">
        <v>40</v>
      </c>
      <c r="P817" s="8" t="inlineStr">
        <is>
          <t>5 JOURS</t>
        </is>
      </c>
      <c r="Q817" s="2" t="n"/>
      <c r="R817" s="2" t="inlineStr">
        <is>
          <t>fait par angélique</t>
        </is>
      </c>
    </row>
    <row r="818" ht="15.75" customFormat="1" customHeight="1" s="58" thickBot="1">
      <c r="A818" s="56" t="n">
        <v>34408582</v>
      </c>
      <c r="B818" s="57">
        <f>INDEX(Tableau1[], MATCH(Tableau3[[#This Row],[REFERENCE]], Tableau1[NUMERO], 0), 2)</f>
        <v/>
      </c>
      <c r="C818" s="58">
        <f>INDEX(Tableau1[], MATCH(Tableau3[[#This Row],[REFERENCE]], Tableau1[NUMERO], 0), 3)</f>
        <v/>
      </c>
      <c r="D818" s="58">
        <f>INDEX(Tableau1[], MATCH(Tableau3[[#This Row],[REFERENCE]], Tableau1[NUMERO], 0),4)</f>
        <v/>
      </c>
      <c r="E818" s="58">
        <f>INDEX(Tableau1[], MATCH(Tableau3[[#This Row],[REFERENCE]], Tableau1[NUMERO], 0), 5)</f>
        <v/>
      </c>
      <c r="H818" s="58" t="inlineStr">
        <is>
          <t>lasertechnic</t>
        </is>
      </c>
      <c r="I818" s="56" t="n"/>
      <c r="J818" s="57" t="inlineStr">
        <is>
          <t>fait par angélique</t>
        </is>
      </c>
      <c r="K818" s="57" t="n">
        <v>44018</v>
      </c>
      <c r="L818" s="57" t="n"/>
      <c r="M818" s="59" t="n"/>
      <c r="N818" s="60" t="n">
        <v>1</v>
      </c>
      <c r="O818" s="61" t="n">
        <v>45</v>
      </c>
      <c r="P818" s="56" t="inlineStr">
        <is>
          <t>5 JOURS</t>
        </is>
      </c>
      <c r="Q818" s="57" t="n"/>
      <c r="R818" s="57" t="inlineStr">
        <is>
          <t>fait par angélique</t>
        </is>
      </c>
    </row>
    <row r="819" ht="15.75" customFormat="1" customHeight="1" s="52" thickTop="1">
      <c r="A819" s="50" t="n">
        <v>34408608</v>
      </c>
      <c r="B819" s="51">
        <f>INDEX(Tableau1[], MATCH(Tableau3[[#This Row],[REFERENCE]], Tableau1[NUMERO], 0), 2)</f>
        <v/>
      </c>
      <c r="C819" s="52">
        <f>INDEX(Tableau1[], MATCH(Tableau3[[#This Row],[REFERENCE]], Tableau1[NUMERO], 0), 3)</f>
        <v/>
      </c>
      <c r="D819" s="52">
        <f>INDEX(Tableau1[], MATCH(Tableau3[[#This Row],[REFERENCE]], Tableau1[NUMERO], 0),4)</f>
        <v/>
      </c>
      <c r="E819" s="52">
        <f>INDEX(Tableau1[], MATCH(Tableau3[[#This Row],[REFERENCE]], Tableau1[NUMERO], 0), 5)</f>
        <v/>
      </c>
      <c r="H819" s="52" t="inlineStr">
        <is>
          <t>TCS</t>
        </is>
      </c>
      <c r="I819" s="50" t="n"/>
      <c r="J819" s="51" t="inlineStr">
        <is>
          <t>fait par angélique</t>
        </is>
      </c>
      <c r="K819" s="51" t="n">
        <v>44015</v>
      </c>
      <c r="L819" s="51" t="n"/>
      <c r="M819" s="21" t="inlineStr">
        <is>
          <t>01</t>
        </is>
      </c>
      <c r="N819" s="35" t="n">
        <v>3</v>
      </c>
      <c r="O819" s="55" t="n">
        <v>21</v>
      </c>
      <c r="P819" s="50" t="inlineStr">
        <is>
          <t>2 SEMAINES</t>
        </is>
      </c>
      <c r="Q819" s="51" t="n">
        <v>44104</v>
      </c>
      <c r="R819" s="51" t="inlineStr">
        <is>
          <t>fait par angélique</t>
        </is>
      </c>
    </row>
    <row r="820">
      <c r="A820" s="8" t="n">
        <v>34408609</v>
      </c>
      <c r="B820" s="2">
        <f>INDEX(Tableau1[], MATCH(Tableau3[[#This Row],[REFERENCE]], Tableau1[NUMERO], 0), 2)</f>
        <v/>
      </c>
      <c r="C820">
        <f>INDEX(Tableau1[], MATCH(Tableau3[[#This Row],[REFERENCE]], Tableau1[NUMERO], 0), 3)</f>
        <v/>
      </c>
      <c r="D820">
        <f>INDEX(Tableau1[], MATCH(Tableau3[[#This Row],[REFERENCE]], Tableau1[NUMERO], 0),4)</f>
        <v/>
      </c>
      <c r="E820">
        <f>INDEX(Tableau1[], MATCH(Tableau3[[#This Row],[REFERENCE]], Tableau1[NUMERO], 0), 5)</f>
        <v/>
      </c>
      <c r="H820" t="inlineStr">
        <is>
          <t>TCS</t>
        </is>
      </c>
      <c r="J820" s="2" t="inlineStr">
        <is>
          <t>fait par angélique</t>
        </is>
      </c>
      <c r="K820" s="2" t="n">
        <v>44015</v>
      </c>
      <c r="L820" s="2" t="n"/>
      <c r="M820" s="21" t="inlineStr">
        <is>
          <t>01</t>
        </is>
      </c>
      <c r="N820" s="35" t="n">
        <v>1</v>
      </c>
      <c r="O820" s="7" t="n">
        <v>230</v>
      </c>
      <c r="P820" s="8" t="inlineStr">
        <is>
          <t>2 SEMAINES</t>
        </is>
      </c>
      <c r="Q820" s="2" t="n">
        <v>44104</v>
      </c>
      <c r="R820" s="2" t="inlineStr">
        <is>
          <t>fait par angélique</t>
        </is>
      </c>
    </row>
    <row r="821">
      <c r="A821" s="8" t="n">
        <v>34408610</v>
      </c>
      <c r="B821" s="2">
        <f>INDEX(Tableau1[], MATCH(Tableau3[[#This Row],[REFERENCE]], Tableau1[NUMERO], 0), 2)</f>
        <v/>
      </c>
      <c r="C821">
        <f>INDEX(Tableau1[], MATCH(Tableau3[[#This Row],[REFERENCE]], Tableau1[NUMERO], 0), 3)</f>
        <v/>
      </c>
      <c r="D821">
        <f>INDEX(Tableau1[], MATCH(Tableau3[[#This Row],[REFERENCE]], Tableau1[NUMERO], 0),4)</f>
        <v/>
      </c>
      <c r="E821">
        <f>INDEX(Tableau1[], MATCH(Tableau3[[#This Row],[REFERENCE]], Tableau1[NUMERO], 0), 5)</f>
        <v/>
      </c>
      <c r="H821" t="inlineStr">
        <is>
          <t>TCS</t>
        </is>
      </c>
      <c r="J821" s="2" t="inlineStr">
        <is>
          <t>fait par angélique</t>
        </is>
      </c>
      <c r="K821" s="2" t="n">
        <v>44015</v>
      </c>
      <c r="L821" s="2" t="n"/>
      <c r="M821" s="21" t="inlineStr">
        <is>
          <t>01</t>
        </is>
      </c>
      <c r="N821" s="35" t="n">
        <v>1</v>
      </c>
      <c r="O821" s="7" t="n">
        <v>140</v>
      </c>
      <c r="P821" s="8" t="inlineStr">
        <is>
          <t>2 SEMAINES</t>
        </is>
      </c>
      <c r="Q821" s="2" t="n">
        <v>44104</v>
      </c>
      <c r="R821" s="2" t="inlineStr">
        <is>
          <t>fait par angélique</t>
        </is>
      </c>
    </row>
    <row r="822">
      <c r="A822" s="8" t="n">
        <v>34408612</v>
      </c>
      <c r="B822" s="2">
        <f>INDEX(Tableau1[], MATCH(Tableau3[[#This Row],[REFERENCE]], Tableau1[NUMERO], 0), 2)</f>
        <v/>
      </c>
      <c r="C822">
        <f>INDEX(Tableau1[], MATCH(Tableau3[[#This Row],[REFERENCE]], Tableau1[NUMERO], 0), 3)</f>
        <v/>
      </c>
      <c r="D822">
        <f>INDEX(Tableau1[], MATCH(Tableau3[[#This Row],[REFERENCE]], Tableau1[NUMERO], 0),4)</f>
        <v/>
      </c>
      <c r="E822">
        <f>INDEX(Tableau1[], MATCH(Tableau3[[#This Row],[REFERENCE]], Tableau1[NUMERO], 0), 5)</f>
        <v/>
      </c>
      <c r="H822" t="inlineStr">
        <is>
          <t>TCS</t>
        </is>
      </c>
      <c r="J822" s="2" t="inlineStr">
        <is>
          <t>fait par angélique</t>
        </is>
      </c>
      <c r="K822" s="2" t="n">
        <v>44015</v>
      </c>
      <c r="L822" s="2" t="n"/>
      <c r="M822" s="21" t="inlineStr">
        <is>
          <t>01</t>
        </is>
      </c>
      <c r="N822" s="35" t="n">
        <v>1</v>
      </c>
      <c r="O822" s="7" t="n">
        <v>125</v>
      </c>
      <c r="P822" s="8" t="inlineStr">
        <is>
          <t>2 SEMAINES</t>
        </is>
      </c>
      <c r="Q822" s="2" t="n">
        <v>44104</v>
      </c>
      <c r="R822" s="2" t="inlineStr">
        <is>
          <t>fait par angélique</t>
        </is>
      </c>
    </row>
    <row r="823">
      <c r="A823" s="8" t="n">
        <v>34408613</v>
      </c>
      <c r="B823" s="2">
        <f>INDEX(Tableau1[], MATCH(Tableau3[[#This Row],[REFERENCE]], Tableau1[NUMERO], 0), 2)</f>
        <v/>
      </c>
      <c r="C823">
        <f>INDEX(Tableau1[], MATCH(Tableau3[[#This Row],[REFERENCE]], Tableau1[NUMERO], 0), 3)</f>
        <v/>
      </c>
      <c r="D823">
        <f>INDEX(Tableau1[], MATCH(Tableau3[[#This Row],[REFERENCE]], Tableau1[NUMERO], 0),4)</f>
        <v/>
      </c>
      <c r="E823">
        <f>INDEX(Tableau1[], MATCH(Tableau3[[#This Row],[REFERENCE]], Tableau1[NUMERO], 0), 5)</f>
        <v/>
      </c>
      <c r="H823" t="inlineStr">
        <is>
          <t>TCS</t>
        </is>
      </c>
      <c r="J823" s="2" t="inlineStr">
        <is>
          <t>fait par angélique</t>
        </is>
      </c>
      <c r="K823" s="2" t="n">
        <v>44015</v>
      </c>
      <c r="L823" s="2" t="n"/>
      <c r="M823" s="21" t="inlineStr">
        <is>
          <t>01</t>
        </is>
      </c>
      <c r="N823" s="35" t="n">
        <v>4</v>
      </c>
      <c r="O823" s="7" t="n">
        <v>32</v>
      </c>
      <c r="P823" s="8" t="inlineStr">
        <is>
          <t>2 SEMAINES</t>
        </is>
      </c>
      <c r="Q823" s="2" t="n">
        <v>44104</v>
      </c>
      <c r="R823" s="2" t="inlineStr">
        <is>
          <t>fait par angélique</t>
        </is>
      </c>
    </row>
    <row r="824">
      <c r="A824" s="8" t="n">
        <v>34408631</v>
      </c>
      <c r="B824" s="2">
        <f>INDEX(Tableau1[], MATCH(Tableau3[[#This Row],[REFERENCE]], Tableau1[NUMERO], 0), 2)</f>
        <v/>
      </c>
      <c r="C824">
        <f>INDEX(Tableau1[], MATCH(Tableau3[[#This Row],[REFERENCE]], Tableau1[NUMERO], 0), 3)</f>
        <v/>
      </c>
      <c r="D824">
        <f>INDEX(Tableau1[], MATCH(Tableau3[[#This Row],[REFERENCE]], Tableau1[NUMERO], 0),4)</f>
        <v/>
      </c>
      <c r="E824">
        <f>INDEX(Tableau1[], MATCH(Tableau3[[#This Row],[REFERENCE]], Tableau1[NUMERO], 0), 5)</f>
        <v/>
      </c>
      <c r="H824" t="inlineStr">
        <is>
          <t>TCS</t>
        </is>
      </c>
      <c r="J824" s="2" t="inlineStr">
        <is>
          <t>fait par angélique</t>
        </is>
      </c>
      <c r="K824" s="2" t="n">
        <v>44015</v>
      </c>
      <c r="L824" s="2" t="n"/>
      <c r="M824" s="21" t="inlineStr">
        <is>
          <t>01</t>
        </is>
      </c>
      <c r="N824" s="35" t="n">
        <v>1</v>
      </c>
      <c r="O824" s="7" t="n">
        <v>92</v>
      </c>
      <c r="P824" s="8" t="inlineStr">
        <is>
          <t>2 SEMAINES</t>
        </is>
      </c>
      <c r="Q824" s="2" t="n">
        <v>44104</v>
      </c>
      <c r="R824" s="2" t="inlineStr">
        <is>
          <t>fait par angélique</t>
        </is>
      </c>
    </row>
    <row r="825">
      <c r="A825" s="8" t="n">
        <v>34408632</v>
      </c>
      <c r="B825" s="2">
        <f>INDEX(Tableau1[], MATCH(Tableau3[[#This Row],[REFERENCE]], Tableau1[NUMERO], 0), 2)</f>
        <v/>
      </c>
      <c r="C825">
        <f>INDEX(Tableau1[], MATCH(Tableau3[[#This Row],[REFERENCE]], Tableau1[NUMERO], 0), 3)</f>
        <v/>
      </c>
      <c r="D825">
        <f>INDEX(Tableau1[], MATCH(Tableau3[[#This Row],[REFERENCE]], Tableau1[NUMERO], 0),4)</f>
        <v/>
      </c>
      <c r="E825">
        <f>INDEX(Tableau1[], MATCH(Tableau3[[#This Row],[REFERENCE]], Tableau1[NUMERO], 0), 5)</f>
        <v/>
      </c>
      <c r="H825" t="inlineStr">
        <is>
          <t>TCS</t>
        </is>
      </c>
      <c r="J825" s="2" t="inlineStr">
        <is>
          <t>fait par angélique</t>
        </is>
      </c>
      <c r="K825" s="2" t="n">
        <v>44015</v>
      </c>
      <c r="L825" s="2" t="n"/>
      <c r="M825" s="21" t="inlineStr">
        <is>
          <t>01</t>
        </is>
      </c>
      <c r="N825" s="35" t="n">
        <v>1</v>
      </c>
      <c r="O825" s="7" t="n">
        <v>87</v>
      </c>
      <c r="P825" s="8" t="inlineStr">
        <is>
          <t>2 SEMAINES</t>
        </is>
      </c>
      <c r="Q825" s="2" t="n">
        <v>44104</v>
      </c>
      <c r="R825" s="2" t="inlineStr">
        <is>
          <t>fait par angélique</t>
        </is>
      </c>
    </row>
    <row r="826">
      <c r="A826" s="8" t="n">
        <v>34408633</v>
      </c>
      <c r="B826" s="2">
        <f>INDEX(Tableau1[], MATCH(Tableau3[[#This Row],[REFERENCE]], Tableau1[NUMERO], 0), 2)</f>
        <v/>
      </c>
      <c r="C826">
        <f>INDEX(Tableau1[], MATCH(Tableau3[[#This Row],[REFERENCE]], Tableau1[NUMERO], 0), 3)</f>
        <v/>
      </c>
      <c r="D826">
        <f>INDEX(Tableau1[], MATCH(Tableau3[[#This Row],[REFERENCE]], Tableau1[NUMERO], 0),4)</f>
        <v/>
      </c>
      <c r="E826">
        <f>INDEX(Tableau1[], MATCH(Tableau3[[#This Row],[REFERENCE]], Tableau1[NUMERO], 0), 5)</f>
        <v/>
      </c>
      <c r="H826" t="inlineStr">
        <is>
          <t>TCS</t>
        </is>
      </c>
      <c r="J826" s="2" t="inlineStr">
        <is>
          <t>fait par angélique</t>
        </is>
      </c>
      <c r="K826" s="2" t="n">
        <v>44015</v>
      </c>
      <c r="L826" s="2" t="n"/>
      <c r="M826" s="21" t="inlineStr">
        <is>
          <t>01</t>
        </is>
      </c>
      <c r="N826" s="35" t="n">
        <v>1</v>
      </c>
      <c r="O826" s="7" t="n">
        <v>75</v>
      </c>
      <c r="P826" s="8" t="inlineStr">
        <is>
          <t>2 SEMAINES</t>
        </is>
      </c>
      <c r="Q826" s="2" t="n">
        <v>44104</v>
      </c>
      <c r="R826" s="2" t="inlineStr">
        <is>
          <t>fait par angélique</t>
        </is>
      </c>
    </row>
    <row r="827">
      <c r="A827" s="8" t="n">
        <v>34408634</v>
      </c>
      <c r="B827" s="2">
        <f>INDEX(Tableau1[], MATCH(Tableau3[[#This Row],[REFERENCE]], Tableau1[NUMERO], 0), 2)</f>
        <v/>
      </c>
      <c r="C827">
        <f>INDEX(Tableau1[], MATCH(Tableau3[[#This Row],[REFERENCE]], Tableau1[NUMERO], 0), 3)</f>
        <v/>
      </c>
      <c r="D827">
        <f>INDEX(Tableau1[], MATCH(Tableau3[[#This Row],[REFERENCE]], Tableau1[NUMERO], 0),4)</f>
        <v/>
      </c>
      <c r="E827">
        <f>INDEX(Tableau1[], MATCH(Tableau3[[#This Row],[REFERENCE]], Tableau1[NUMERO], 0), 5)</f>
        <v/>
      </c>
      <c r="H827" t="inlineStr">
        <is>
          <t>TCS</t>
        </is>
      </c>
      <c r="J827" s="2" t="inlineStr">
        <is>
          <t>fait par angélique</t>
        </is>
      </c>
      <c r="K827" s="2" t="n">
        <v>44015</v>
      </c>
      <c r="L827" s="2" t="n"/>
      <c r="M827" s="21" t="inlineStr">
        <is>
          <t>02</t>
        </is>
      </c>
      <c r="N827" s="35" t="n">
        <v>1</v>
      </c>
      <c r="O827" s="7" t="n">
        <v>103</v>
      </c>
      <c r="P827" s="8" t="inlineStr">
        <is>
          <t>2 SEMAINES</t>
        </is>
      </c>
      <c r="Q827" s="2" t="n">
        <v>44104</v>
      </c>
      <c r="R827" s="2" t="inlineStr">
        <is>
          <t>fait par angélique</t>
        </is>
      </c>
    </row>
    <row r="828">
      <c r="A828" s="8" t="n">
        <v>34408635</v>
      </c>
      <c r="B828" s="2">
        <f>INDEX(Tableau1[], MATCH(Tableau3[[#This Row],[REFERENCE]], Tableau1[NUMERO], 0), 2)</f>
        <v/>
      </c>
      <c r="C828">
        <f>INDEX(Tableau1[], MATCH(Tableau3[[#This Row],[REFERENCE]], Tableau1[NUMERO], 0), 3)</f>
        <v/>
      </c>
      <c r="D828">
        <f>INDEX(Tableau1[], MATCH(Tableau3[[#This Row],[REFERENCE]], Tableau1[NUMERO], 0),4)</f>
        <v/>
      </c>
      <c r="E828">
        <f>INDEX(Tableau1[], MATCH(Tableau3[[#This Row],[REFERENCE]], Tableau1[NUMERO], 0), 5)</f>
        <v/>
      </c>
      <c r="H828" t="inlineStr">
        <is>
          <t>TCS</t>
        </is>
      </c>
      <c r="J828" s="2" t="inlineStr">
        <is>
          <t>fait par angélique</t>
        </is>
      </c>
      <c r="K828" s="2" t="n">
        <v>44015</v>
      </c>
      <c r="L828" s="2" t="n"/>
      <c r="M828" s="21" t="inlineStr">
        <is>
          <t>01</t>
        </is>
      </c>
      <c r="N828" s="35" t="n">
        <v>1</v>
      </c>
      <c r="O828" s="7" t="n">
        <v>87</v>
      </c>
      <c r="P828" s="8" t="inlineStr">
        <is>
          <t>2 SEMAINES</t>
        </is>
      </c>
      <c r="Q828" s="2" t="n">
        <v>44104</v>
      </c>
      <c r="R828" s="2" t="inlineStr">
        <is>
          <t>fait par angélique</t>
        </is>
      </c>
    </row>
    <row r="829">
      <c r="A829" s="8" t="n">
        <v>34408636</v>
      </c>
      <c r="B829" s="2">
        <f>INDEX(Tableau1[], MATCH(Tableau3[[#This Row],[REFERENCE]], Tableau1[NUMERO], 0), 2)</f>
        <v/>
      </c>
      <c r="C829">
        <f>INDEX(Tableau1[], MATCH(Tableau3[[#This Row],[REFERENCE]], Tableau1[NUMERO], 0), 3)</f>
        <v/>
      </c>
      <c r="D829">
        <f>INDEX(Tableau1[], MATCH(Tableau3[[#This Row],[REFERENCE]], Tableau1[NUMERO], 0),4)</f>
        <v/>
      </c>
      <c r="E829">
        <f>INDEX(Tableau1[], MATCH(Tableau3[[#This Row],[REFERENCE]], Tableau1[NUMERO], 0), 5)</f>
        <v/>
      </c>
      <c r="H829" t="inlineStr">
        <is>
          <t>TCS</t>
        </is>
      </c>
      <c r="J829" s="2" t="inlineStr">
        <is>
          <t>fait par angélique</t>
        </is>
      </c>
      <c r="K829" s="2" t="n">
        <v>44015</v>
      </c>
      <c r="L829" s="2" t="n"/>
      <c r="M829" s="21" t="inlineStr">
        <is>
          <t>01</t>
        </is>
      </c>
      <c r="N829" s="35" t="n">
        <v>1</v>
      </c>
      <c r="O829" s="7" t="n">
        <v>80</v>
      </c>
      <c r="P829" s="8" t="inlineStr">
        <is>
          <t>2 SEMAINES</t>
        </is>
      </c>
      <c r="Q829" s="2" t="n">
        <v>44104</v>
      </c>
      <c r="R829" s="2" t="inlineStr">
        <is>
          <t>fait par angélique</t>
        </is>
      </c>
    </row>
    <row r="830">
      <c r="A830" s="8" t="n">
        <v>34408637</v>
      </c>
      <c r="B830" s="2">
        <f>INDEX(Tableau1[], MATCH(Tableau3[[#This Row],[REFERENCE]], Tableau1[NUMERO], 0), 2)</f>
        <v/>
      </c>
      <c r="C830">
        <f>INDEX(Tableau1[], MATCH(Tableau3[[#This Row],[REFERENCE]], Tableau1[NUMERO], 0), 3)</f>
        <v/>
      </c>
      <c r="D830">
        <f>INDEX(Tableau1[], MATCH(Tableau3[[#This Row],[REFERENCE]], Tableau1[NUMERO], 0),4)</f>
        <v/>
      </c>
      <c r="E830">
        <f>INDEX(Tableau1[], MATCH(Tableau3[[#This Row],[REFERENCE]], Tableau1[NUMERO], 0), 5)</f>
        <v/>
      </c>
      <c r="H830" t="inlineStr">
        <is>
          <t>TCS</t>
        </is>
      </c>
      <c r="J830" s="2" t="inlineStr">
        <is>
          <t>fait par angélique</t>
        </is>
      </c>
      <c r="K830" s="2" t="n">
        <v>44015</v>
      </c>
      <c r="L830" s="2" t="n"/>
      <c r="M830" s="21" t="inlineStr">
        <is>
          <t>01</t>
        </is>
      </c>
      <c r="N830" s="35" t="n">
        <v>2</v>
      </c>
      <c r="O830" s="7" t="n">
        <v>25</v>
      </c>
      <c r="P830" s="8" t="inlineStr">
        <is>
          <t>2 SEMAINES</t>
        </is>
      </c>
      <c r="Q830" s="2" t="n">
        <v>44104</v>
      </c>
      <c r="R830" s="2" t="inlineStr">
        <is>
          <t>fait par angélique</t>
        </is>
      </c>
    </row>
    <row r="831">
      <c r="A831" s="8" t="n">
        <v>34408638</v>
      </c>
      <c r="B831" s="2">
        <f>INDEX(Tableau1[], MATCH(Tableau3[[#This Row],[REFERENCE]], Tableau1[NUMERO], 0), 2)</f>
        <v/>
      </c>
      <c r="C831">
        <f>INDEX(Tableau1[], MATCH(Tableau3[[#This Row],[REFERENCE]], Tableau1[NUMERO], 0), 3)</f>
        <v/>
      </c>
      <c r="D831">
        <f>INDEX(Tableau1[], MATCH(Tableau3[[#This Row],[REFERENCE]], Tableau1[NUMERO], 0),4)</f>
        <v/>
      </c>
      <c r="E831">
        <f>INDEX(Tableau1[], MATCH(Tableau3[[#This Row],[REFERENCE]], Tableau1[NUMERO], 0), 5)</f>
        <v/>
      </c>
      <c r="H831" t="inlineStr">
        <is>
          <t>TCS</t>
        </is>
      </c>
      <c r="J831" s="2" t="inlineStr">
        <is>
          <t>fait par angélique</t>
        </is>
      </c>
      <c r="K831" s="2" t="n">
        <v>44015</v>
      </c>
      <c r="L831" s="2" t="n"/>
      <c r="M831" s="21" t="inlineStr">
        <is>
          <t>01</t>
        </is>
      </c>
      <c r="N831" s="35" t="n">
        <v>2</v>
      </c>
      <c r="O831" s="7" t="n">
        <v>37</v>
      </c>
      <c r="P831" s="8" t="inlineStr">
        <is>
          <t>2 SEMAINES</t>
        </is>
      </c>
      <c r="Q831" s="2" t="n">
        <v>44104</v>
      </c>
      <c r="R831" s="2" t="inlineStr">
        <is>
          <t>fait par angélique</t>
        </is>
      </c>
    </row>
    <row r="832">
      <c r="A832" s="8" t="n">
        <v>34408639</v>
      </c>
      <c r="B832" s="2">
        <f>INDEX(Tableau1[], MATCH(Tableau3[[#This Row],[REFERENCE]], Tableau1[NUMERO], 0), 2)</f>
        <v/>
      </c>
      <c r="C832">
        <f>INDEX(Tableau1[], MATCH(Tableau3[[#This Row],[REFERENCE]], Tableau1[NUMERO], 0), 3)</f>
        <v/>
      </c>
      <c r="D832">
        <f>INDEX(Tableau1[], MATCH(Tableau3[[#This Row],[REFERENCE]], Tableau1[NUMERO], 0),4)</f>
        <v/>
      </c>
      <c r="E832">
        <f>INDEX(Tableau1[], MATCH(Tableau3[[#This Row],[REFERENCE]], Tableau1[NUMERO], 0), 5)</f>
        <v/>
      </c>
      <c r="H832" t="inlineStr">
        <is>
          <t>TCS</t>
        </is>
      </c>
      <c r="J832" s="2" t="inlineStr">
        <is>
          <t>fait par angélique</t>
        </is>
      </c>
      <c r="K832" s="2" t="n">
        <v>44015</v>
      </c>
      <c r="L832" s="2" t="n"/>
      <c r="M832" s="21" t="inlineStr">
        <is>
          <t>02</t>
        </is>
      </c>
      <c r="N832" s="35" t="n">
        <v>2</v>
      </c>
      <c r="O832" s="7" t="n">
        <v>65</v>
      </c>
      <c r="P832" s="8" t="inlineStr">
        <is>
          <t>2 SEMAINES</t>
        </is>
      </c>
      <c r="Q832" s="2" t="n">
        <v>44104</v>
      </c>
      <c r="R832" s="2" t="inlineStr">
        <is>
          <t>fait par angélique</t>
        </is>
      </c>
    </row>
    <row r="833">
      <c r="A833" s="8" t="n">
        <v>34408640</v>
      </c>
      <c r="B833" s="2">
        <f>INDEX(Tableau1[], MATCH(Tableau3[[#This Row],[REFERENCE]], Tableau1[NUMERO], 0), 2)</f>
        <v/>
      </c>
      <c r="C833">
        <f>INDEX(Tableau1[], MATCH(Tableau3[[#This Row],[REFERENCE]], Tableau1[NUMERO], 0), 3)</f>
        <v/>
      </c>
      <c r="D833">
        <f>INDEX(Tableau1[], MATCH(Tableau3[[#This Row],[REFERENCE]], Tableau1[NUMERO], 0),4)</f>
        <v/>
      </c>
      <c r="E833">
        <f>INDEX(Tableau1[], MATCH(Tableau3[[#This Row],[REFERENCE]], Tableau1[NUMERO], 0), 5)</f>
        <v/>
      </c>
      <c r="H833" t="inlineStr">
        <is>
          <t>TCS</t>
        </is>
      </c>
      <c r="J833" s="2" t="inlineStr">
        <is>
          <t>fait par angélique</t>
        </is>
      </c>
      <c r="K833" s="2" t="n">
        <v>44015</v>
      </c>
      <c r="L833" s="2" t="n"/>
      <c r="M833" s="21" t="inlineStr">
        <is>
          <t>01</t>
        </is>
      </c>
      <c r="N833" s="35" t="n">
        <v>2</v>
      </c>
      <c r="O833" s="7" t="n">
        <v>50</v>
      </c>
      <c r="P833" s="8" t="inlineStr">
        <is>
          <t>2 SEMAINES</t>
        </is>
      </c>
      <c r="Q833" s="2" t="n">
        <v>44104</v>
      </c>
      <c r="R833" s="2" t="inlineStr">
        <is>
          <t>fait par angélique</t>
        </is>
      </c>
    </row>
    <row r="834">
      <c r="A834" s="8" t="n">
        <v>34408642</v>
      </c>
      <c r="B834" s="2">
        <f>INDEX(Tableau1[], MATCH(Tableau3[[#This Row],[REFERENCE]], Tableau1[NUMERO], 0), 2)</f>
        <v/>
      </c>
      <c r="C834">
        <f>INDEX(Tableau1[], MATCH(Tableau3[[#This Row],[REFERENCE]], Tableau1[NUMERO], 0), 3)</f>
        <v/>
      </c>
      <c r="D834">
        <f>INDEX(Tableau1[], MATCH(Tableau3[[#This Row],[REFERENCE]], Tableau1[NUMERO], 0),4)</f>
        <v/>
      </c>
      <c r="E834">
        <f>INDEX(Tableau1[], MATCH(Tableau3[[#This Row],[REFERENCE]], Tableau1[NUMERO], 0), 5)</f>
        <v/>
      </c>
      <c r="H834" t="inlineStr">
        <is>
          <t>TCS</t>
        </is>
      </c>
      <c r="J834" s="2" t="inlineStr">
        <is>
          <t>fait par angélique</t>
        </is>
      </c>
      <c r="K834" s="2" t="n">
        <v>44015</v>
      </c>
      <c r="L834" s="2" t="n"/>
      <c r="M834" s="21" t="inlineStr">
        <is>
          <t>01</t>
        </is>
      </c>
      <c r="N834" s="35" t="n">
        <v>1</v>
      </c>
      <c r="O834" s="7" t="n">
        <v>65</v>
      </c>
      <c r="P834" s="8" t="inlineStr">
        <is>
          <t>2 SEMAINES</t>
        </is>
      </c>
      <c r="Q834" s="2" t="n">
        <v>44104</v>
      </c>
      <c r="R834" s="2" t="inlineStr">
        <is>
          <t>fait par angélique</t>
        </is>
      </c>
    </row>
    <row r="835">
      <c r="A835" s="8" t="n">
        <v>34408643</v>
      </c>
      <c r="B835" s="2">
        <f>INDEX(Tableau1[], MATCH(Tableau3[[#This Row],[REFERENCE]], Tableau1[NUMERO], 0), 2)</f>
        <v/>
      </c>
      <c r="C835">
        <f>INDEX(Tableau1[], MATCH(Tableau3[[#This Row],[REFERENCE]], Tableau1[NUMERO], 0), 3)</f>
        <v/>
      </c>
      <c r="D835">
        <f>INDEX(Tableau1[], MATCH(Tableau3[[#This Row],[REFERENCE]], Tableau1[NUMERO], 0),4)</f>
        <v/>
      </c>
      <c r="E835">
        <f>INDEX(Tableau1[], MATCH(Tableau3[[#This Row],[REFERENCE]], Tableau1[NUMERO], 0), 5)</f>
        <v/>
      </c>
      <c r="H835" t="inlineStr">
        <is>
          <t>TCS</t>
        </is>
      </c>
      <c r="J835" s="2" t="inlineStr">
        <is>
          <t>fait par angélique</t>
        </is>
      </c>
      <c r="K835" s="2" t="n">
        <v>44015</v>
      </c>
      <c r="L835" s="2" t="n"/>
      <c r="M835" s="21" t="inlineStr">
        <is>
          <t>01</t>
        </is>
      </c>
      <c r="N835" s="35" t="n">
        <v>7</v>
      </c>
      <c r="O835" s="7" t="n">
        <v>17</v>
      </c>
      <c r="P835" s="8" t="inlineStr">
        <is>
          <t>2 SEMAINES</t>
        </is>
      </c>
      <c r="Q835" s="2" t="n">
        <v>44104</v>
      </c>
      <c r="R835" s="2" t="inlineStr">
        <is>
          <t>fait par angélique</t>
        </is>
      </c>
    </row>
    <row r="836">
      <c r="A836" s="8" t="n">
        <v>34408644</v>
      </c>
      <c r="B836" s="2">
        <f>INDEX(Tableau1[], MATCH(Tableau3[[#This Row],[REFERENCE]], Tableau1[NUMERO], 0), 2)</f>
        <v/>
      </c>
      <c r="C836">
        <f>INDEX(Tableau1[], MATCH(Tableau3[[#This Row],[REFERENCE]], Tableau1[NUMERO], 0), 3)</f>
        <v/>
      </c>
      <c r="D836">
        <f>INDEX(Tableau1[], MATCH(Tableau3[[#This Row],[REFERENCE]], Tableau1[NUMERO], 0),4)</f>
        <v/>
      </c>
      <c r="E836">
        <f>INDEX(Tableau1[], MATCH(Tableau3[[#This Row],[REFERENCE]], Tableau1[NUMERO], 0), 5)</f>
        <v/>
      </c>
      <c r="H836" t="inlineStr">
        <is>
          <t>TCS</t>
        </is>
      </c>
      <c r="J836" s="2" t="inlineStr">
        <is>
          <t>fait par angélique</t>
        </is>
      </c>
      <c r="K836" s="2" t="n">
        <v>44015</v>
      </c>
      <c r="L836" s="2" t="n"/>
      <c r="M836" s="21" t="inlineStr">
        <is>
          <t>01</t>
        </is>
      </c>
      <c r="N836" s="35" t="n">
        <v>1</v>
      </c>
      <c r="O836" s="7" t="n">
        <v>65</v>
      </c>
      <c r="P836" s="8" t="inlineStr">
        <is>
          <t>2 SEMAINES</t>
        </is>
      </c>
      <c r="Q836" s="2" t="n">
        <v>44104</v>
      </c>
      <c r="R836" s="2" t="inlineStr">
        <is>
          <t>fait par angélique</t>
        </is>
      </c>
    </row>
    <row r="837">
      <c r="A837" s="8" t="n">
        <v>34408645</v>
      </c>
      <c r="B837" s="2">
        <f>INDEX(Tableau1[], MATCH(Tableau3[[#This Row],[REFERENCE]], Tableau1[NUMERO], 0), 2)</f>
        <v/>
      </c>
      <c r="C837">
        <f>INDEX(Tableau1[], MATCH(Tableau3[[#This Row],[REFERENCE]], Tableau1[NUMERO], 0), 3)</f>
        <v/>
      </c>
      <c r="D837">
        <f>INDEX(Tableau1[], MATCH(Tableau3[[#This Row],[REFERENCE]], Tableau1[NUMERO], 0),4)</f>
        <v/>
      </c>
      <c r="E837">
        <f>INDEX(Tableau1[], MATCH(Tableau3[[#This Row],[REFERENCE]], Tableau1[NUMERO], 0), 5)</f>
        <v/>
      </c>
      <c r="H837" t="inlineStr">
        <is>
          <t>TCS</t>
        </is>
      </c>
      <c r="J837" s="2" t="inlineStr">
        <is>
          <t>fait par angélique</t>
        </is>
      </c>
      <c r="K837" s="2" t="n">
        <v>44015</v>
      </c>
      <c r="L837" s="2" t="n"/>
      <c r="M837" s="21" t="inlineStr">
        <is>
          <t>01</t>
        </is>
      </c>
      <c r="N837" s="35" t="n">
        <v>1</v>
      </c>
      <c r="O837" s="7" t="n">
        <v>45</v>
      </c>
      <c r="P837" s="8" t="inlineStr">
        <is>
          <t>2 SEMAINES</t>
        </is>
      </c>
      <c r="Q837" s="2" t="n">
        <v>44104</v>
      </c>
      <c r="R837" s="2" t="inlineStr">
        <is>
          <t>fait par angélique</t>
        </is>
      </c>
    </row>
    <row r="838" ht="15.75" customFormat="1" customHeight="1" s="58" thickBot="1">
      <c r="A838" s="56" t="n">
        <v>34408647</v>
      </c>
      <c r="B838" s="57">
        <f>INDEX(Tableau1[], MATCH(Tableau3[[#This Row],[REFERENCE]], Tableau1[NUMERO], 0), 2)</f>
        <v/>
      </c>
      <c r="C838" s="58">
        <f>INDEX(Tableau1[], MATCH(Tableau3[[#This Row],[REFERENCE]], Tableau1[NUMERO], 0), 3)</f>
        <v/>
      </c>
      <c r="D838" s="58">
        <f>INDEX(Tableau1[], MATCH(Tableau3[[#This Row],[REFERENCE]], Tableau1[NUMERO], 0),4)</f>
        <v/>
      </c>
      <c r="E838" s="58">
        <f>INDEX(Tableau1[], MATCH(Tableau3[[#This Row],[REFERENCE]], Tableau1[NUMERO], 0), 5)</f>
        <v/>
      </c>
      <c r="H838" s="58" t="inlineStr">
        <is>
          <t>TCS</t>
        </is>
      </c>
      <c r="I838" s="56" t="n"/>
      <c r="J838" s="57" t="inlineStr">
        <is>
          <t>fait par angélique</t>
        </is>
      </c>
      <c r="K838" s="57" t="n">
        <v>44015</v>
      </c>
      <c r="L838" s="57" t="n"/>
      <c r="M838" s="59" t="inlineStr">
        <is>
          <t>02</t>
        </is>
      </c>
      <c r="N838" s="60" t="n">
        <v>2</v>
      </c>
      <c r="O838" s="61" t="n">
        <v>45</v>
      </c>
      <c r="P838" s="56" t="inlineStr">
        <is>
          <t>2 SEMAINES</t>
        </is>
      </c>
      <c r="Q838" s="57" t="n">
        <v>44104</v>
      </c>
      <c r="R838" s="57" t="inlineStr">
        <is>
          <t>fait par angélique</t>
        </is>
      </c>
    </row>
    <row r="839" ht="16.5" customHeight="1" s="142" thickBot="1" thickTop="1">
      <c r="A839" s="8" t="n">
        <v>34408666</v>
      </c>
      <c r="B839" s="2">
        <f>INDEX(Tableau1[], MATCH(Tableau3[[#This Row],[REFERENCE]], Tableau1[NUMERO], 0), 2)</f>
        <v/>
      </c>
      <c r="C839">
        <f>INDEX(Tableau1[], MATCH(Tableau3[[#This Row],[REFERENCE]], Tableau1[NUMERO], 0), 3)</f>
        <v/>
      </c>
      <c r="D839">
        <f>INDEX(Tableau1[], MATCH(Tableau3[[#This Row],[REFERENCE]], Tableau1[NUMERO], 0),4)</f>
        <v/>
      </c>
      <c r="E839">
        <f>INDEX(Tableau1[], MATCH(Tableau3[[#This Row],[REFERENCE]], Tableau1[NUMERO], 0), 5)</f>
        <v/>
      </c>
      <c r="H839" t="inlineStr">
        <is>
          <t>lasertechnic</t>
        </is>
      </c>
      <c r="J839" s="2" t="n">
        <v>44028</v>
      </c>
      <c r="K839" s="2" t="n">
        <v>44028</v>
      </c>
      <c r="L839" s="2" t="n"/>
      <c r="M839" s="21" t="inlineStr">
        <is>
          <t>01</t>
        </is>
      </c>
      <c r="N839" s="35" t="n">
        <v>2</v>
      </c>
      <c r="O839" s="7" t="n">
        <v>19</v>
      </c>
      <c r="P839" s="8" t="inlineStr">
        <is>
          <t>3 jours</t>
        </is>
      </c>
      <c r="Q839" s="2" t="n">
        <v>44120</v>
      </c>
    </row>
    <row r="840" ht="15.75" customFormat="1" customHeight="1" s="52" thickTop="1">
      <c r="A840" s="50" t="n">
        <v>34408655</v>
      </c>
      <c r="B840" s="51">
        <f>INDEX(Tableau1[], MATCH(Tableau3[[#This Row],[REFERENCE]], Tableau1[NUMERO], 0), 2)</f>
        <v/>
      </c>
      <c r="C840" s="52">
        <f>INDEX(Tableau1[], MATCH(Tableau3[[#This Row],[REFERENCE]], Tableau1[NUMERO], 0), 3)</f>
        <v/>
      </c>
      <c r="D840" s="52">
        <f>INDEX(Tableau1[], MATCH(Tableau3[[#This Row],[REFERENCE]], Tableau1[NUMERO], 0),4)</f>
        <v/>
      </c>
      <c r="E840" s="52">
        <f>INDEX(Tableau1[], MATCH(Tableau3[[#This Row],[REFERENCE]], Tableau1[NUMERO], 0), 5)</f>
        <v/>
      </c>
      <c r="H840" s="52" t="inlineStr">
        <is>
          <t>lasertechnic</t>
        </is>
      </c>
      <c r="I840" s="50" t="n"/>
      <c r="J840" s="51" t="n">
        <v>44035</v>
      </c>
      <c r="K840" s="51" t="n">
        <v>44036</v>
      </c>
      <c r="L840" s="51" t="n"/>
      <c r="M840" s="53" t="inlineStr">
        <is>
          <t>01</t>
        </is>
      </c>
      <c r="N840" s="50" t="n">
        <v>12</v>
      </c>
      <c r="O840" s="55" t="n">
        <v>8</v>
      </c>
      <c r="P840" s="50" t="inlineStr">
        <is>
          <t>8 jours</t>
        </is>
      </c>
      <c r="Q840" s="51" t="n">
        <v>44128</v>
      </c>
    </row>
    <row r="841">
      <c r="A841" s="8" t="n">
        <v>34408656</v>
      </c>
      <c r="B841" s="2">
        <f>INDEX(Tableau1[], MATCH(Tableau3[[#This Row],[REFERENCE]], Tableau1[NUMERO], 0), 2)</f>
        <v/>
      </c>
      <c r="C841">
        <f>INDEX(Tableau1[], MATCH(Tableau3[[#This Row],[REFERENCE]], Tableau1[NUMERO], 0), 3)</f>
        <v/>
      </c>
      <c r="D841">
        <f>INDEX(Tableau1[], MATCH(Tableau3[[#This Row],[REFERENCE]], Tableau1[NUMERO], 0),4)</f>
        <v/>
      </c>
      <c r="E841">
        <f>INDEX(Tableau1[], MATCH(Tableau3[[#This Row],[REFERENCE]], Tableau1[NUMERO], 0), 5)</f>
        <v/>
      </c>
      <c r="H841" t="inlineStr">
        <is>
          <t>lasertechnic</t>
        </is>
      </c>
      <c r="J841" s="2" t="n">
        <v>44035</v>
      </c>
      <c r="K841" s="2" t="n">
        <v>44036</v>
      </c>
      <c r="L841" s="2" t="n"/>
      <c r="M841" s="21" t="inlineStr">
        <is>
          <t>01</t>
        </is>
      </c>
      <c r="N841" s="8" t="n">
        <v>4</v>
      </c>
      <c r="O841" s="7" t="n">
        <v>10</v>
      </c>
      <c r="P841" s="8" t="inlineStr">
        <is>
          <t>8 jours</t>
        </is>
      </c>
      <c r="Q841" s="2" t="n">
        <v>44128</v>
      </c>
    </row>
    <row r="842">
      <c r="A842" s="8" t="n">
        <v>34408657</v>
      </c>
      <c r="B842" s="2">
        <f>INDEX(Tableau1[], MATCH(Tableau3[[#This Row],[REFERENCE]], Tableau1[NUMERO], 0), 2)</f>
        <v/>
      </c>
      <c r="C842">
        <f>INDEX(Tableau1[], MATCH(Tableau3[[#This Row],[REFERENCE]], Tableau1[NUMERO], 0), 3)</f>
        <v/>
      </c>
      <c r="D842">
        <f>INDEX(Tableau1[], MATCH(Tableau3[[#This Row],[REFERENCE]], Tableau1[NUMERO], 0),4)</f>
        <v/>
      </c>
      <c r="E842">
        <f>INDEX(Tableau1[], MATCH(Tableau3[[#This Row],[REFERENCE]], Tableau1[NUMERO], 0), 5)</f>
        <v/>
      </c>
      <c r="H842" t="inlineStr">
        <is>
          <t>lasertechnic</t>
        </is>
      </c>
      <c r="J842" s="2" t="n">
        <v>44035</v>
      </c>
      <c r="K842" s="2" t="n">
        <v>44036</v>
      </c>
      <c r="L842" s="2" t="n"/>
      <c r="M842" s="21" t="inlineStr">
        <is>
          <t>01</t>
        </is>
      </c>
      <c r="N842" s="8" t="n">
        <v>4</v>
      </c>
      <c r="O842" s="7" t="n">
        <v>58</v>
      </c>
      <c r="P842" s="8" t="inlineStr">
        <is>
          <t>8 jours</t>
        </is>
      </c>
      <c r="Q842" s="2" t="n">
        <v>44128</v>
      </c>
    </row>
    <row r="843">
      <c r="A843" s="8" t="n">
        <v>34408658</v>
      </c>
      <c r="B843" s="2">
        <f>INDEX(Tableau1[], MATCH(Tableau3[[#This Row],[REFERENCE]], Tableau1[NUMERO], 0), 2)</f>
        <v/>
      </c>
      <c r="C843">
        <f>INDEX(Tableau1[], MATCH(Tableau3[[#This Row],[REFERENCE]], Tableau1[NUMERO], 0), 3)</f>
        <v/>
      </c>
      <c r="D843">
        <f>INDEX(Tableau1[], MATCH(Tableau3[[#This Row],[REFERENCE]], Tableau1[NUMERO], 0),4)</f>
        <v/>
      </c>
      <c r="E843">
        <f>INDEX(Tableau1[], MATCH(Tableau3[[#This Row],[REFERENCE]], Tableau1[NUMERO], 0), 5)</f>
        <v/>
      </c>
      <c r="H843" t="inlineStr">
        <is>
          <t>lasertechnic</t>
        </is>
      </c>
      <c r="J843" s="2" t="n">
        <v>44035</v>
      </c>
      <c r="K843" s="2" t="n">
        <v>44036</v>
      </c>
      <c r="L843" s="2" t="n"/>
      <c r="M843" s="21" t="inlineStr">
        <is>
          <t>01</t>
        </is>
      </c>
      <c r="N843" s="8" t="n">
        <v>4</v>
      </c>
      <c r="O843" s="7" t="n">
        <v>36</v>
      </c>
      <c r="P843" s="8" t="inlineStr">
        <is>
          <t>8 jours</t>
        </is>
      </c>
      <c r="Q843" s="2" t="n">
        <v>44128</v>
      </c>
    </row>
    <row r="844">
      <c r="A844" s="8" t="n">
        <v>34408669</v>
      </c>
      <c r="B844" s="2">
        <f>INDEX(Tableau1[], MATCH(Tableau3[[#This Row],[REFERENCE]], Tableau1[NUMERO], 0), 2)</f>
        <v/>
      </c>
      <c r="C844">
        <f>INDEX(Tableau1[], MATCH(Tableau3[[#This Row],[REFERENCE]], Tableau1[NUMERO], 0), 3)</f>
        <v/>
      </c>
      <c r="D844">
        <f>INDEX(Tableau1[], MATCH(Tableau3[[#This Row],[REFERENCE]], Tableau1[NUMERO], 0),4)</f>
        <v/>
      </c>
      <c r="E844">
        <f>INDEX(Tableau1[], MATCH(Tableau3[[#This Row],[REFERENCE]], Tableau1[NUMERO], 0), 5)</f>
        <v/>
      </c>
      <c r="H844" t="inlineStr">
        <is>
          <t>lasertechnic</t>
        </is>
      </c>
      <c r="J844" s="2" t="n">
        <v>44035</v>
      </c>
      <c r="K844" s="2" t="n">
        <v>44036</v>
      </c>
      <c r="L844" s="2" t="n"/>
      <c r="M844" s="21" t="inlineStr">
        <is>
          <t>01</t>
        </is>
      </c>
      <c r="N844" s="8" t="n">
        <v>2</v>
      </c>
      <c r="O844" s="7" t="n">
        <v>17</v>
      </c>
      <c r="P844" s="8" t="inlineStr">
        <is>
          <t>8 jours</t>
        </is>
      </c>
      <c r="Q844" s="2" t="n">
        <v>44128</v>
      </c>
    </row>
    <row r="845">
      <c r="A845" s="8" t="n">
        <v>34408670</v>
      </c>
      <c r="B845" s="2">
        <f>INDEX(Tableau1[], MATCH(Tableau3[[#This Row],[REFERENCE]], Tableau1[NUMERO], 0), 2)</f>
        <v/>
      </c>
      <c r="C845">
        <f>INDEX(Tableau1[], MATCH(Tableau3[[#This Row],[REFERENCE]], Tableau1[NUMERO], 0), 3)</f>
        <v/>
      </c>
      <c r="D845">
        <f>INDEX(Tableau1[], MATCH(Tableau3[[#This Row],[REFERENCE]], Tableau1[NUMERO], 0),4)</f>
        <v/>
      </c>
      <c r="E845">
        <f>INDEX(Tableau1[], MATCH(Tableau3[[#This Row],[REFERENCE]], Tableau1[NUMERO], 0), 5)</f>
        <v/>
      </c>
      <c r="H845" t="inlineStr">
        <is>
          <t>lasertechnic</t>
        </is>
      </c>
      <c r="J845" s="2" t="n">
        <v>44035</v>
      </c>
      <c r="K845" s="2" t="n">
        <v>44036</v>
      </c>
      <c r="L845" s="2" t="n"/>
      <c r="M845" s="21" t="inlineStr">
        <is>
          <t>01</t>
        </is>
      </c>
      <c r="N845" s="8" t="n">
        <v>4</v>
      </c>
      <c r="O845" s="7" t="n">
        <v>22</v>
      </c>
      <c r="P845" s="8" t="inlineStr">
        <is>
          <t>8 jours</t>
        </is>
      </c>
      <c r="Q845" s="2" t="n">
        <v>44128</v>
      </c>
    </row>
    <row r="846">
      <c r="A846" s="8" t="n">
        <v>34408671</v>
      </c>
      <c r="B846" s="2">
        <f>INDEX(Tableau1[], MATCH(Tableau3[[#This Row],[REFERENCE]], Tableau1[NUMERO], 0), 2)</f>
        <v/>
      </c>
      <c r="C846">
        <f>INDEX(Tableau1[], MATCH(Tableau3[[#This Row],[REFERENCE]], Tableau1[NUMERO], 0), 3)</f>
        <v/>
      </c>
      <c r="D846">
        <f>INDEX(Tableau1[], MATCH(Tableau3[[#This Row],[REFERENCE]], Tableau1[NUMERO], 0),4)</f>
        <v/>
      </c>
      <c r="E846">
        <f>INDEX(Tableau1[], MATCH(Tableau3[[#This Row],[REFERENCE]], Tableau1[NUMERO], 0), 5)</f>
        <v/>
      </c>
      <c r="H846" t="inlineStr">
        <is>
          <t>lasertechnic</t>
        </is>
      </c>
      <c r="J846" s="2" t="n">
        <v>44035</v>
      </c>
      <c r="K846" s="2" t="n">
        <v>44036</v>
      </c>
      <c r="L846" s="2" t="n"/>
      <c r="M846" s="21" t="inlineStr">
        <is>
          <t>01</t>
        </is>
      </c>
      <c r="N846" s="8" t="n">
        <v>8</v>
      </c>
      <c r="O846" s="7" t="n">
        <v>15</v>
      </c>
      <c r="P846" s="8" t="inlineStr">
        <is>
          <t>8 jours</t>
        </is>
      </c>
      <c r="Q846" s="2" t="n">
        <v>44128</v>
      </c>
    </row>
    <row r="847">
      <c r="A847" s="8" t="n">
        <v>34408675</v>
      </c>
      <c r="B847" s="2">
        <f>INDEX(Tableau1[], MATCH(Tableau3[[#This Row],[REFERENCE]], Tableau1[NUMERO], 0), 2)</f>
        <v/>
      </c>
      <c r="C847">
        <f>INDEX(Tableau1[], MATCH(Tableau3[[#This Row],[REFERENCE]], Tableau1[NUMERO], 0), 3)</f>
        <v/>
      </c>
      <c r="D847">
        <f>INDEX(Tableau1[], MATCH(Tableau3[[#This Row],[REFERENCE]], Tableau1[NUMERO], 0),4)</f>
        <v/>
      </c>
      <c r="E847">
        <f>INDEX(Tableau1[], MATCH(Tableau3[[#This Row],[REFERENCE]], Tableau1[NUMERO], 0), 5)</f>
        <v/>
      </c>
      <c r="H847" t="inlineStr">
        <is>
          <t>lasertechnic</t>
        </is>
      </c>
      <c r="J847" s="2" t="n">
        <v>44035</v>
      </c>
      <c r="K847" s="2" t="n">
        <v>44036</v>
      </c>
      <c r="L847" s="2" t="n"/>
      <c r="M847" s="21" t="inlineStr">
        <is>
          <t>01</t>
        </is>
      </c>
      <c r="N847" s="8" t="n">
        <v>2</v>
      </c>
      <c r="O847" s="7" t="n">
        <v>46</v>
      </c>
      <c r="P847" s="8" t="inlineStr">
        <is>
          <t>8 jours</t>
        </is>
      </c>
      <c r="Q847" s="2" t="n">
        <v>44128</v>
      </c>
    </row>
    <row r="848">
      <c r="A848" s="8" t="n">
        <v>34408676</v>
      </c>
      <c r="B848" s="2">
        <f>INDEX(Tableau1[], MATCH(Tableau3[[#This Row],[REFERENCE]], Tableau1[NUMERO], 0), 2)</f>
        <v/>
      </c>
      <c r="C848">
        <f>INDEX(Tableau1[], MATCH(Tableau3[[#This Row],[REFERENCE]], Tableau1[NUMERO], 0), 3)</f>
        <v/>
      </c>
      <c r="D848">
        <f>INDEX(Tableau1[], MATCH(Tableau3[[#This Row],[REFERENCE]], Tableau1[NUMERO], 0),4)</f>
        <v/>
      </c>
      <c r="E848">
        <f>INDEX(Tableau1[], MATCH(Tableau3[[#This Row],[REFERENCE]], Tableau1[NUMERO], 0), 5)</f>
        <v/>
      </c>
      <c r="H848" t="inlineStr">
        <is>
          <t>lasertechnic</t>
        </is>
      </c>
      <c r="J848" s="2" t="n">
        <v>44035</v>
      </c>
      <c r="K848" s="2" t="n">
        <v>44036</v>
      </c>
      <c r="L848" s="2" t="n"/>
      <c r="M848" s="21" t="inlineStr">
        <is>
          <t>01</t>
        </is>
      </c>
      <c r="N848" s="8" t="n">
        <v>2</v>
      </c>
      <c r="O848" s="7" t="n">
        <v>42</v>
      </c>
      <c r="P848" s="8" t="inlineStr">
        <is>
          <t>8 jours</t>
        </is>
      </c>
      <c r="Q848" s="2" t="n">
        <v>44128</v>
      </c>
    </row>
    <row r="849">
      <c r="A849" s="8" t="n">
        <v>34408677</v>
      </c>
      <c r="B849" s="2">
        <f>INDEX(Tableau1[], MATCH(Tableau3[[#This Row],[REFERENCE]], Tableau1[NUMERO], 0), 2)</f>
        <v/>
      </c>
      <c r="C849">
        <f>INDEX(Tableau1[], MATCH(Tableau3[[#This Row],[REFERENCE]], Tableau1[NUMERO], 0), 3)</f>
        <v/>
      </c>
      <c r="D849">
        <f>INDEX(Tableau1[], MATCH(Tableau3[[#This Row],[REFERENCE]], Tableau1[NUMERO], 0),4)</f>
        <v/>
      </c>
      <c r="E849">
        <f>INDEX(Tableau1[], MATCH(Tableau3[[#This Row],[REFERENCE]], Tableau1[NUMERO], 0), 5)</f>
        <v/>
      </c>
      <c r="H849" t="inlineStr">
        <is>
          <t>lasertechnic</t>
        </is>
      </c>
      <c r="J849" s="2" t="n">
        <v>44035</v>
      </c>
      <c r="K849" s="2" t="n">
        <v>44036</v>
      </c>
      <c r="L849" s="2" t="n"/>
      <c r="M849" s="21" t="inlineStr">
        <is>
          <t>02</t>
        </is>
      </c>
      <c r="N849" s="8" t="n">
        <v>2</v>
      </c>
      <c r="O849" s="7" t="n">
        <v>112</v>
      </c>
      <c r="P849" s="8" t="inlineStr">
        <is>
          <t>8 jours</t>
        </is>
      </c>
      <c r="Q849" s="2" t="n">
        <v>44128</v>
      </c>
    </row>
    <row r="850">
      <c r="A850" s="8" t="n">
        <v>34408678</v>
      </c>
      <c r="B850" s="2">
        <f>INDEX(Tableau1[], MATCH(Tableau3[[#This Row],[REFERENCE]], Tableau1[NUMERO], 0), 2)</f>
        <v/>
      </c>
      <c r="C850">
        <f>INDEX(Tableau1[], MATCH(Tableau3[[#This Row],[REFERENCE]], Tableau1[NUMERO], 0), 3)</f>
        <v/>
      </c>
      <c r="D850">
        <f>INDEX(Tableau1[], MATCH(Tableau3[[#This Row],[REFERENCE]], Tableau1[NUMERO], 0),4)</f>
        <v/>
      </c>
      <c r="E850">
        <f>INDEX(Tableau1[], MATCH(Tableau3[[#This Row],[REFERENCE]], Tableau1[NUMERO], 0), 5)</f>
        <v/>
      </c>
      <c r="H850" t="inlineStr">
        <is>
          <t>lasertechnic</t>
        </is>
      </c>
      <c r="J850" s="2" t="n">
        <v>44035</v>
      </c>
      <c r="K850" s="2" t="n">
        <v>44036</v>
      </c>
      <c r="L850" s="2" t="n"/>
      <c r="M850" s="21" t="inlineStr">
        <is>
          <t>01</t>
        </is>
      </c>
      <c r="N850" s="8" t="n">
        <v>2</v>
      </c>
      <c r="O850" s="7" t="n">
        <v>50</v>
      </c>
      <c r="P850" s="8" t="inlineStr">
        <is>
          <t>8 jours</t>
        </is>
      </c>
      <c r="Q850" s="2" t="n">
        <v>44128</v>
      </c>
    </row>
    <row r="851">
      <c r="A851" s="8" t="n">
        <v>34408679</v>
      </c>
      <c r="B851" s="2">
        <f>INDEX(Tableau1[], MATCH(Tableau3[[#This Row],[REFERENCE]], Tableau1[NUMERO], 0), 2)</f>
        <v/>
      </c>
      <c r="C851">
        <f>INDEX(Tableau1[], MATCH(Tableau3[[#This Row],[REFERENCE]], Tableau1[NUMERO], 0), 3)</f>
        <v/>
      </c>
      <c r="D851">
        <f>INDEX(Tableau1[], MATCH(Tableau3[[#This Row],[REFERENCE]], Tableau1[NUMERO], 0),4)</f>
        <v/>
      </c>
      <c r="E851">
        <f>INDEX(Tableau1[], MATCH(Tableau3[[#This Row],[REFERENCE]], Tableau1[NUMERO], 0), 5)</f>
        <v/>
      </c>
      <c r="H851" t="inlineStr">
        <is>
          <t>lasertechnic</t>
        </is>
      </c>
      <c r="J851" s="2" t="n">
        <v>44035</v>
      </c>
      <c r="K851" s="2" t="n">
        <v>44036</v>
      </c>
      <c r="L851" s="2" t="n"/>
      <c r="M851" s="21" t="inlineStr">
        <is>
          <t>01</t>
        </is>
      </c>
      <c r="N851" s="8" t="n">
        <v>2</v>
      </c>
      <c r="O851" s="7" t="n">
        <v>22</v>
      </c>
      <c r="P851" s="8" t="inlineStr">
        <is>
          <t>8 jours</t>
        </is>
      </c>
      <c r="Q851" s="2" t="n">
        <v>44128</v>
      </c>
    </row>
    <row r="852" ht="15.75" customFormat="1" customHeight="1" s="58" thickBot="1">
      <c r="A852" s="56" t="n">
        <v>34408681</v>
      </c>
      <c r="B852" s="57">
        <f>INDEX(Tableau1[], MATCH(Tableau3[[#This Row],[REFERENCE]], Tableau1[NUMERO], 0), 2)</f>
        <v/>
      </c>
      <c r="C852" s="58">
        <f>INDEX(Tableau1[], MATCH(Tableau3[[#This Row],[REFERENCE]], Tableau1[NUMERO], 0), 3)</f>
        <v/>
      </c>
      <c r="D852" s="58">
        <f>INDEX(Tableau1[], MATCH(Tableau3[[#This Row],[REFERENCE]], Tableau1[NUMERO], 0),4)</f>
        <v/>
      </c>
      <c r="E852" s="58">
        <f>INDEX(Tableau1[], MATCH(Tableau3[[#This Row],[REFERENCE]], Tableau1[NUMERO], 0), 5)</f>
        <v/>
      </c>
      <c r="H852" s="58" t="inlineStr">
        <is>
          <t>lasertechnic</t>
        </is>
      </c>
      <c r="I852" s="56" t="n"/>
      <c r="J852" s="57" t="n">
        <v>44035</v>
      </c>
      <c r="K852" s="57" t="n">
        <v>44036</v>
      </c>
      <c r="L852" s="57" t="n"/>
      <c r="M852" s="59" t="inlineStr">
        <is>
          <t>01</t>
        </is>
      </c>
      <c r="N852" s="56" t="n">
        <v>4</v>
      </c>
      <c r="O852" s="61" t="n">
        <v>12</v>
      </c>
      <c r="P852" s="56" t="inlineStr">
        <is>
          <t>8 jours</t>
        </is>
      </c>
      <c r="Q852" s="57" t="n">
        <v>44128</v>
      </c>
    </row>
    <row r="853" ht="15.75" customFormat="1" customHeight="1" s="52" thickTop="1">
      <c r="A853" s="50" t="n">
        <v>34408655</v>
      </c>
      <c r="B853" s="51">
        <f>INDEX(Tableau1[], MATCH(Tableau3[[#This Row],[REFERENCE]], Tableau1[NUMERO], 0), 2)</f>
        <v/>
      </c>
      <c r="C853" s="52">
        <f>INDEX(Tableau1[], MATCH(Tableau3[[#This Row],[REFERENCE]], Tableau1[NUMERO], 0), 3)</f>
        <v/>
      </c>
      <c r="D853" s="52">
        <f>INDEX(Tableau1[], MATCH(Tableau3[[#This Row],[REFERENCE]], Tableau1[NUMERO], 0),4)</f>
        <v/>
      </c>
      <c r="E853" s="52">
        <f>INDEX(Tableau1[], MATCH(Tableau3[[#This Row],[REFERENCE]], Tableau1[NUMERO], 0), 5)</f>
        <v/>
      </c>
      <c r="H853" s="52" t="inlineStr">
        <is>
          <t>Romaire</t>
        </is>
      </c>
      <c r="I853" s="50" t="n"/>
      <c r="J853" s="51" t="inlineStr">
        <is>
          <t>23/07/2020 relancé le 27/07</t>
        </is>
      </c>
      <c r="K853" s="51" t="n">
        <v>44039</v>
      </c>
      <c r="L853" s="51" t="n"/>
      <c r="M853" s="53" t="inlineStr">
        <is>
          <t>01</t>
        </is>
      </c>
      <c r="N853" s="50" t="n">
        <v>12</v>
      </c>
      <c r="O853" s="55" t="n">
        <v>9.75</v>
      </c>
      <c r="P853" s="50" t="inlineStr">
        <is>
          <t>4 SEMAINES</t>
        </is>
      </c>
      <c r="Q853" s="51" t="n"/>
    </row>
    <row r="854">
      <c r="A854" s="8" t="n">
        <v>34408656</v>
      </c>
      <c r="B854" s="2">
        <f>INDEX(Tableau1[], MATCH(Tableau3[[#This Row],[REFERENCE]], Tableau1[NUMERO], 0), 2)</f>
        <v/>
      </c>
      <c r="C854">
        <f>INDEX(Tableau1[], MATCH(Tableau3[[#This Row],[REFERENCE]], Tableau1[NUMERO], 0), 3)</f>
        <v/>
      </c>
      <c r="D854">
        <f>INDEX(Tableau1[], MATCH(Tableau3[[#This Row],[REFERENCE]], Tableau1[NUMERO], 0),4)</f>
        <v/>
      </c>
      <c r="E854">
        <f>INDEX(Tableau1[], MATCH(Tableau3[[#This Row],[REFERENCE]], Tableau1[NUMERO], 0), 5)</f>
        <v/>
      </c>
      <c r="H854" t="inlineStr">
        <is>
          <t>Romaire</t>
        </is>
      </c>
      <c r="J854" s="2" t="inlineStr">
        <is>
          <t>23/07/2020 relancé le 27/07</t>
        </is>
      </c>
      <c r="K854" s="2" t="n">
        <v>44039</v>
      </c>
      <c r="L854" s="2" t="n"/>
      <c r="M854" s="21" t="inlineStr">
        <is>
          <t>01</t>
        </is>
      </c>
      <c r="N854" s="8" t="n">
        <v>4</v>
      </c>
      <c r="O854" s="7" t="n">
        <v>24.7</v>
      </c>
      <c r="P854" s="8" t="inlineStr">
        <is>
          <t>4 SEMAINES</t>
        </is>
      </c>
      <c r="Q854" s="2" t="n"/>
    </row>
    <row r="855">
      <c r="A855" s="8" t="n">
        <v>34408657</v>
      </c>
      <c r="B855" s="2">
        <f>INDEX(Tableau1[], MATCH(Tableau3[[#This Row],[REFERENCE]], Tableau1[NUMERO], 0), 2)</f>
        <v/>
      </c>
      <c r="C855">
        <f>INDEX(Tableau1[], MATCH(Tableau3[[#This Row],[REFERENCE]], Tableau1[NUMERO], 0), 3)</f>
        <v/>
      </c>
      <c r="D855">
        <f>INDEX(Tableau1[], MATCH(Tableau3[[#This Row],[REFERENCE]], Tableau1[NUMERO], 0),4)</f>
        <v/>
      </c>
      <c r="E855">
        <f>INDEX(Tableau1[], MATCH(Tableau3[[#This Row],[REFERENCE]], Tableau1[NUMERO], 0), 5)</f>
        <v/>
      </c>
      <c r="H855" t="inlineStr">
        <is>
          <t>Romaire</t>
        </is>
      </c>
      <c r="J855" s="2" t="inlineStr">
        <is>
          <t>23/07/2020 relancé le 27/07</t>
        </is>
      </c>
      <c r="K855" s="2" t="n">
        <v>44039</v>
      </c>
      <c r="L855" s="2" t="n"/>
      <c r="M855" s="21" t="inlineStr">
        <is>
          <t>01</t>
        </is>
      </c>
      <c r="N855" s="8" t="n">
        <v>4</v>
      </c>
      <c r="O855" s="7" t="n">
        <v>60.3</v>
      </c>
      <c r="P855" s="8" t="inlineStr">
        <is>
          <t>4 SEMAINES</t>
        </is>
      </c>
      <c r="Q855" s="2" t="n"/>
    </row>
    <row r="856">
      <c r="A856" s="8" t="n">
        <v>34408658</v>
      </c>
      <c r="B856" s="2">
        <f>INDEX(Tableau1[], MATCH(Tableau3[[#This Row],[REFERENCE]], Tableau1[NUMERO], 0), 2)</f>
        <v/>
      </c>
      <c r="C856">
        <f>INDEX(Tableau1[], MATCH(Tableau3[[#This Row],[REFERENCE]], Tableau1[NUMERO], 0), 3)</f>
        <v/>
      </c>
      <c r="D856">
        <f>INDEX(Tableau1[], MATCH(Tableau3[[#This Row],[REFERENCE]], Tableau1[NUMERO], 0),4)</f>
        <v/>
      </c>
      <c r="E856">
        <f>INDEX(Tableau1[], MATCH(Tableau3[[#This Row],[REFERENCE]], Tableau1[NUMERO], 0), 5)</f>
        <v/>
      </c>
      <c r="H856" t="inlineStr">
        <is>
          <t>Romaire</t>
        </is>
      </c>
      <c r="J856" s="2" t="inlineStr">
        <is>
          <t>23/07/2020 relancé le 27/07</t>
        </is>
      </c>
      <c r="K856" s="2" t="n">
        <v>44039</v>
      </c>
      <c r="L856" s="2" t="n"/>
      <c r="M856" s="21" t="inlineStr">
        <is>
          <t>01</t>
        </is>
      </c>
      <c r="N856" s="8" t="n">
        <v>4</v>
      </c>
      <c r="O856" s="7" t="n">
        <v>65.84999999999999</v>
      </c>
      <c r="P856" s="8" t="inlineStr">
        <is>
          <t>4 SEMAINES</t>
        </is>
      </c>
      <c r="Q856" s="2" t="n"/>
    </row>
    <row r="857">
      <c r="A857" s="8" t="n">
        <v>34408669</v>
      </c>
      <c r="B857" s="2">
        <f>INDEX(Tableau1[], MATCH(Tableau3[[#This Row],[REFERENCE]], Tableau1[NUMERO], 0), 2)</f>
        <v/>
      </c>
      <c r="C857">
        <f>INDEX(Tableau1[], MATCH(Tableau3[[#This Row],[REFERENCE]], Tableau1[NUMERO], 0), 3)</f>
        <v/>
      </c>
      <c r="D857">
        <f>INDEX(Tableau1[], MATCH(Tableau3[[#This Row],[REFERENCE]], Tableau1[NUMERO], 0),4)</f>
        <v/>
      </c>
      <c r="E857">
        <f>INDEX(Tableau1[], MATCH(Tableau3[[#This Row],[REFERENCE]], Tableau1[NUMERO], 0), 5)</f>
        <v/>
      </c>
      <c r="H857" t="inlineStr">
        <is>
          <t>Romaire</t>
        </is>
      </c>
      <c r="J857" s="2" t="inlineStr">
        <is>
          <t>23/07/2020 relancé le 27/07</t>
        </is>
      </c>
      <c r="K857" s="2" t="n">
        <v>44039</v>
      </c>
      <c r="L857" s="2" t="n"/>
      <c r="M857" s="21" t="inlineStr">
        <is>
          <t>01</t>
        </is>
      </c>
      <c r="N857" s="8" t="n">
        <v>2</v>
      </c>
      <c r="O857" s="7" t="n">
        <v>62.65</v>
      </c>
      <c r="P857" s="8" t="inlineStr">
        <is>
          <t>4 SEMAINES</t>
        </is>
      </c>
      <c r="Q857" s="2" t="n"/>
    </row>
    <row r="858">
      <c r="A858" s="8" t="n">
        <v>34408670</v>
      </c>
      <c r="B858" s="2">
        <f>INDEX(Tableau1[], MATCH(Tableau3[[#This Row],[REFERENCE]], Tableau1[NUMERO], 0), 2)</f>
        <v/>
      </c>
      <c r="C858">
        <f>INDEX(Tableau1[], MATCH(Tableau3[[#This Row],[REFERENCE]], Tableau1[NUMERO], 0), 3)</f>
        <v/>
      </c>
      <c r="D858">
        <f>INDEX(Tableau1[], MATCH(Tableau3[[#This Row],[REFERENCE]], Tableau1[NUMERO], 0),4)</f>
        <v/>
      </c>
      <c r="E858">
        <f>INDEX(Tableau1[], MATCH(Tableau3[[#This Row],[REFERENCE]], Tableau1[NUMERO], 0), 5)</f>
        <v/>
      </c>
      <c r="H858" t="inlineStr">
        <is>
          <t>Romaire</t>
        </is>
      </c>
      <c r="J858" s="2" t="inlineStr">
        <is>
          <t>23/07/2020 relancé le 27/07</t>
        </is>
      </c>
      <c r="K858" s="2" t="n">
        <v>44039</v>
      </c>
      <c r="L858" s="2" t="n"/>
      <c r="M858" s="21" t="inlineStr">
        <is>
          <t>01</t>
        </is>
      </c>
      <c r="N858" s="8" t="n">
        <v>4</v>
      </c>
      <c r="O858" s="7" t="n">
        <v>41.35</v>
      </c>
      <c r="P858" s="8" t="inlineStr">
        <is>
          <t>4 SEMAINES</t>
        </is>
      </c>
      <c r="Q858" s="2" t="n"/>
    </row>
    <row r="859">
      <c r="A859" s="8" t="n">
        <v>34408671</v>
      </c>
      <c r="B859" s="2">
        <f>INDEX(Tableau1[], MATCH(Tableau3[[#This Row],[REFERENCE]], Tableau1[NUMERO], 0), 2)</f>
        <v/>
      </c>
      <c r="C859">
        <f>INDEX(Tableau1[], MATCH(Tableau3[[#This Row],[REFERENCE]], Tableau1[NUMERO], 0), 3)</f>
        <v/>
      </c>
      <c r="D859">
        <f>INDEX(Tableau1[], MATCH(Tableau3[[#This Row],[REFERENCE]], Tableau1[NUMERO], 0),4)</f>
        <v/>
      </c>
      <c r="E859">
        <f>INDEX(Tableau1[], MATCH(Tableau3[[#This Row],[REFERENCE]], Tableau1[NUMERO], 0), 5)</f>
        <v/>
      </c>
      <c r="H859" t="inlineStr">
        <is>
          <t>Romaire</t>
        </is>
      </c>
      <c r="J859" s="2" t="inlineStr">
        <is>
          <t>23/07/2020 relancé le 27/07</t>
        </is>
      </c>
      <c r="K859" s="2" t="n">
        <v>44039</v>
      </c>
      <c r="L859" s="2" t="n"/>
      <c r="M859" s="21" t="inlineStr">
        <is>
          <t>01</t>
        </is>
      </c>
      <c r="N859" s="8" t="n">
        <v>8</v>
      </c>
      <c r="O859" s="7" t="n">
        <v>21.35</v>
      </c>
      <c r="P859" s="8" t="inlineStr">
        <is>
          <t>4 SEMAINES</t>
        </is>
      </c>
      <c r="Q859" s="2" t="n"/>
    </row>
    <row r="860">
      <c r="A860" s="8" t="n">
        <v>34408675</v>
      </c>
      <c r="B860" s="2">
        <f>INDEX(Tableau1[], MATCH(Tableau3[[#This Row],[REFERENCE]], Tableau1[NUMERO], 0), 2)</f>
        <v/>
      </c>
      <c r="C860">
        <f>INDEX(Tableau1[], MATCH(Tableau3[[#This Row],[REFERENCE]], Tableau1[NUMERO], 0), 3)</f>
        <v/>
      </c>
      <c r="D860">
        <f>INDEX(Tableau1[], MATCH(Tableau3[[#This Row],[REFERENCE]], Tableau1[NUMERO], 0),4)</f>
        <v/>
      </c>
      <c r="E860">
        <f>INDEX(Tableau1[], MATCH(Tableau3[[#This Row],[REFERENCE]], Tableau1[NUMERO], 0), 5)</f>
        <v/>
      </c>
      <c r="H860" t="inlineStr">
        <is>
          <t>Romaire</t>
        </is>
      </c>
      <c r="J860" s="2" t="inlineStr">
        <is>
          <t>23/07/2020 relancé le 27/07</t>
        </is>
      </c>
      <c r="K860" s="2" t="n">
        <v>44039</v>
      </c>
      <c r="L860" s="2" t="n"/>
      <c r="M860" s="21" t="inlineStr">
        <is>
          <t>01</t>
        </is>
      </c>
      <c r="N860" s="8" t="n">
        <v>2</v>
      </c>
      <c r="O860" s="7" t="n">
        <v>100</v>
      </c>
      <c r="P860" s="8" t="inlineStr">
        <is>
          <t>4 SEMAINES</t>
        </is>
      </c>
      <c r="Q860" s="2" t="n"/>
    </row>
    <row r="861">
      <c r="A861" s="8" t="n">
        <v>34408676</v>
      </c>
      <c r="B861" s="2">
        <f>INDEX(Tableau1[], MATCH(Tableau3[[#This Row],[REFERENCE]], Tableau1[NUMERO], 0), 2)</f>
        <v/>
      </c>
      <c r="C861">
        <f>INDEX(Tableau1[], MATCH(Tableau3[[#This Row],[REFERENCE]], Tableau1[NUMERO], 0), 3)</f>
        <v/>
      </c>
      <c r="D861">
        <f>INDEX(Tableau1[], MATCH(Tableau3[[#This Row],[REFERENCE]], Tableau1[NUMERO], 0),4)</f>
        <v/>
      </c>
      <c r="E861">
        <f>INDEX(Tableau1[], MATCH(Tableau3[[#This Row],[REFERENCE]], Tableau1[NUMERO], 0), 5)</f>
        <v/>
      </c>
      <c r="H861" t="inlineStr">
        <is>
          <t>Romaire</t>
        </is>
      </c>
      <c r="J861" s="2" t="inlineStr">
        <is>
          <t>23/07/2020 relancé le 27/07</t>
        </is>
      </c>
      <c r="K861" s="2" t="n">
        <v>44039</v>
      </c>
      <c r="L861" s="2" t="n"/>
      <c r="M861" s="21" t="inlineStr">
        <is>
          <t>01</t>
        </is>
      </c>
      <c r="N861" s="8" t="n">
        <v>2</v>
      </c>
      <c r="O861" s="7" t="n">
        <v>103.8</v>
      </c>
      <c r="P861" s="8" t="inlineStr">
        <is>
          <t>4 SEMAINES</t>
        </is>
      </c>
      <c r="Q861" s="2" t="n"/>
    </row>
    <row r="862">
      <c r="A862" s="8" t="n">
        <v>34408677</v>
      </c>
      <c r="B862" s="2">
        <f>INDEX(Tableau1[], MATCH(Tableau3[[#This Row],[REFERENCE]], Tableau1[NUMERO], 0), 2)</f>
        <v/>
      </c>
      <c r="C862">
        <f>INDEX(Tableau1[], MATCH(Tableau3[[#This Row],[REFERENCE]], Tableau1[NUMERO], 0), 3)</f>
        <v/>
      </c>
      <c r="D862">
        <f>INDEX(Tableau1[], MATCH(Tableau3[[#This Row],[REFERENCE]], Tableau1[NUMERO], 0),4)</f>
        <v/>
      </c>
      <c r="E862">
        <f>INDEX(Tableau1[], MATCH(Tableau3[[#This Row],[REFERENCE]], Tableau1[NUMERO], 0), 5)</f>
        <v/>
      </c>
      <c r="H862" t="inlineStr">
        <is>
          <t>Romaire</t>
        </is>
      </c>
      <c r="J862" s="2" t="inlineStr">
        <is>
          <t>23/07/2020 relancé le 27/07</t>
        </is>
      </c>
      <c r="K862" s="2" t="n">
        <v>44039</v>
      </c>
      <c r="L862" s="2" t="n"/>
      <c r="M862" s="21" t="inlineStr">
        <is>
          <t>02</t>
        </is>
      </c>
      <c r="N862" s="8" t="n">
        <v>2</v>
      </c>
      <c r="O862" s="7" t="n">
        <v>360</v>
      </c>
      <c r="P862" s="8" t="inlineStr">
        <is>
          <t>4 SEMAINES</t>
        </is>
      </c>
      <c r="Q862" s="2" t="n"/>
    </row>
    <row r="863">
      <c r="A863" s="8" t="n">
        <v>34408678</v>
      </c>
      <c r="B863" s="2">
        <f>INDEX(Tableau1[], MATCH(Tableau3[[#This Row],[REFERENCE]], Tableau1[NUMERO], 0), 2)</f>
        <v/>
      </c>
      <c r="C863">
        <f>INDEX(Tableau1[], MATCH(Tableau3[[#This Row],[REFERENCE]], Tableau1[NUMERO], 0), 3)</f>
        <v/>
      </c>
      <c r="D863">
        <f>INDEX(Tableau1[], MATCH(Tableau3[[#This Row],[REFERENCE]], Tableau1[NUMERO], 0),4)</f>
        <v/>
      </c>
      <c r="E863">
        <f>INDEX(Tableau1[], MATCH(Tableau3[[#This Row],[REFERENCE]], Tableau1[NUMERO], 0), 5)</f>
        <v/>
      </c>
      <c r="H863" t="inlineStr">
        <is>
          <t>Romaire</t>
        </is>
      </c>
      <c r="J863" s="2" t="inlineStr">
        <is>
          <t>23/07/2020 relancé le 27/07</t>
        </is>
      </c>
      <c r="K863" s="2" t="n">
        <v>44039</v>
      </c>
      <c r="L863" s="2" t="n"/>
      <c r="M863" s="21" t="inlineStr">
        <is>
          <t>01</t>
        </is>
      </c>
      <c r="N863" s="8" t="n">
        <v>2</v>
      </c>
      <c r="O863" s="7" t="n">
        <v>136.85</v>
      </c>
      <c r="P863" s="8" t="inlineStr">
        <is>
          <t>4 SEMAINES</t>
        </is>
      </c>
      <c r="Q863" s="2" t="n"/>
    </row>
    <row r="864">
      <c r="A864" s="8" t="n">
        <v>34408679</v>
      </c>
      <c r="B864" s="2">
        <f>INDEX(Tableau1[], MATCH(Tableau3[[#This Row],[REFERENCE]], Tableau1[NUMERO], 0), 2)</f>
        <v/>
      </c>
      <c r="C864">
        <f>INDEX(Tableau1[], MATCH(Tableau3[[#This Row],[REFERENCE]], Tableau1[NUMERO], 0), 3)</f>
        <v/>
      </c>
      <c r="D864">
        <f>INDEX(Tableau1[], MATCH(Tableau3[[#This Row],[REFERENCE]], Tableau1[NUMERO], 0),4)</f>
        <v/>
      </c>
      <c r="E864">
        <f>INDEX(Tableau1[], MATCH(Tableau3[[#This Row],[REFERENCE]], Tableau1[NUMERO], 0), 5)</f>
        <v/>
      </c>
      <c r="H864" t="inlineStr">
        <is>
          <t>Romaire</t>
        </is>
      </c>
      <c r="J864" s="2" t="inlineStr">
        <is>
          <t>23/07/2020 relancé le 27/07</t>
        </is>
      </c>
      <c r="K864" s="2" t="n">
        <v>44039</v>
      </c>
      <c r="L864" s="2" t="n"/>
      <c r="M864" s="21" t="inlineStr">
        <is>
          <t>01</t>
        </is>
      </c>
      <c r="N864" s="8" t="n">
        <v>2</v>
      </c>
      <c r="O864" s="7" t="n">
        <v>42.1</v>
      </c>
      <c r="P864" s="8" t="inlineStr">
        <is>
          <t>4 SEMAINES</t>
        </is>
      </c>
      <c r="Q864" s="2" t="n"/>
    </row>
    <row r="865" ht="15.75" customFormat="1" customHeight="1" s="58" thickBot="1">
      <c r="A865" s="56" t="n">
        <v>34408681</v>
      </c>
      <c r="B865" s="57">
        <f>INDEX(Tableau1[], MATCH(Tableau3[[#This Row],[REFERENCE]], Tableau1[NUMERO], 0), 2)</f>
        <v/>
      </c>
      <c r="C865" s="58">
        <f>INDEX(Tableau1[], MATCH(Tableau3[[#This Row],[REFERENCE]], Tableau1[NUMERO], 0), 3)</f>
        <v/>
      </c>
      <c r="D865" s="58">
        <f>INDEX(Tableau1[], MATCH(Tableau3[[#This Row],[REFERENCE]], Tableau1[NUMERO], 0),4)</f>
        <v/>
      </c>
      <c r="E865" s="58">
        <f>INDEX(Tableau1[], MATCH(Tableau3[[#This Row],[REFERENCE]], Tableau1[NUMERO], 0), 5)</f>
        <v/>
      </c>
      <c r="H865" s="58" t="inlineStr">
        <is>
          <t>Romaire</t>
        </is>
      </c>
      <c r="I865" s="56" t="n"/>
      <c r="J865" s="57" t="inlineStr">
        <is>
          <t>23/07/2020 relancé le 27/07</t>
        </is>
      </c>
      <c r="K865" s="57" t="n">
        <v>44039</v>
      </c>
      <c r="L865" s="57" t="n"/>
      <c r="M865" s="59" t="inlineStr">
        <is>
          <t>01</t>
        </is>
      </c>
      <c r="N865" s="56" t="n">
        <v>4</v>
      </c>
      <c r="O865" s="61" t="n">
        <v>28.7</v>
      </c>
      <c r="P865" s="56" t="inlineStr">
        <is>
          <t>4 SEMAINES</t>
        </is>
      </c>
      <c r="Q865" s="57" t="n"/>
    </row>
    <row r="866" ht="15.75" customFormat="1" customHeight="1" s="52" thickTop="1">
      <c r="A866" s="50" t="n">
        <v>34408655</v>
      </c>
      <c r="B866" s="51">
        <f>INDEX(Tableau1[], MATCH(Tableau3[[#This Row],[REFERENCE]], Tableau1[NUMERO], 0), 2)</f>
        <v/>
      </c>
      <c r="C866" s="52">
        <f>INDEX(Tableau1[], MATCH(Tableau3[[#This Row],[REFERENCE]], Tableau1[NUMERO], 0), 3)</f>
        <v/>
      </c>
      <c r="D866" s="52">
        <f>INDEX(Tableau1[], MATCH(Tableau3[[#This Row],[REFERENCE]], Tableau1[NUMERO], 0),4)</f>
        <v/>
      </c>
      <c r="E866" s="52">
        <f>INDEX(Tableau1[], MATCH(Tableau3[[#This Row],[REFERENCE]], Tableau1[NUMERO], 0), 5)</f>
        <v/>
      </c>
      <c r="H866" s="52" t="inlineStr">
        <is>
          <t>TCS</t>
        </is>
      </c>
      <c r="I866" s="50" t="n"/>
      <c r="J866" s="51" t="n">
        <v>44035</v>
      </c>
      <c r="K866" s="51" t="n">
        <v>44036</v>
      </c>
      <c r="L866" s="51" t="n"/>
      <c r="M866" s="53" t="inlineStr">
        <is>
          <t>01</t>
        </is>
      </c>
      <c r="N866" s="50" t="n">
        <v>12</v>
      </c>
      <c r="O866" s="55" t="n">
        <v>5.6</v>
      </c>
      <c r="P866" s="50" t="inlineStr">
        <is>
          <t>2 SEMAINES</t>
        </is>
      </c>
      <c r="Q866" s="51" t="n">
        <v>44104</v>
      </c>
    </row>
    <row r="867">
      <c r="A867" s="8" t="n">
        <v>34408656</v>
      </c>
      <c r="B867" s="2">
        <f>INDEX(Tableau1[], MATCH(Tableau3[[#This Row],[REFERENCE]], Tableau1[NUMERO], 0), 2)</f>
        <v/>
      </c>
      <c r="C867">
        <f>INDEX(Tableau1[], MATCH(Tableau3[[#This Row],[REFERENCE]], Tableau1[NUMERO], 0), 3)</f>
        <v/>
      </c>
      <c r="D867">
        <f>INDEX(Tableau1[], MATCH(Tableau3[[#This Row],[REFERENCE]], Tableau1[NUMERO], 0),4)</f>
        <v/>
      </c>
      <c r="E867">
        <f>INDEX(Tableau1[], MATCH(Tableau3[[#This Row],[REFERENCE]], Tableau1[NUMERO], 0), 5)</f>
        <v/>
      </c>
      <c r="H867" t="inlineStr">
        <is>
          <t>TCS</t>
        </is>
      </c>
      <c r="J867" s="2" t="n">
        <v>44035</v>
      </c>
      <c r="K867" s="2" t="n">
        <v>44036</v>
      </c>
      <c r="L867" s="2" t="n"/>
      <c r="M867" s="21" t="inlineStr">
        <is>
          <t>01</t>
        </is>
      </c>
      <c r="N867" s="8" t="n">
        <v>4</v>
      </c>
      <c r="O867" s="7" t="n">
        <v>11.5</v>
      </c>
      <c r="P867" s="8" t="inlineStr">
        <is>
          <t>2 SEMAINES</t>
        </is>
      </c>
      <c r="Q867" s="2" t="n">
        <v>44104</v>
      </c>
    </row>
    <row r="868">
      <c r="A868" s="8" t="n">
        <v>34408657</v>
      </c>
      <c r="B868" s="2">
        <f>INDEX(Tableau1[], MATCH(Tableau3[[#This Row],[REFERENCE]], Tableau1[NUMERO], 0), 2)</f>
        <v/>
      </c>
      <c r="C868">
        <f>INDEX(Tableau1[], MATCH(Tableau3[[#This Row],[REFERENCE]], Tableau1[NUMERO], 0), 3)</f>
        <v/>
      </c>
      <c r="D868">
        <f>INDEX(Tableau1[], MATCH(Tableau3[[#This Row],[REFERENCE]], Tableau1[NUMERO], 0),4)</f>
        <v/>
      </c>
      <c r="E868">
        <f>INDEX(Tableau1[], MATCH(Tableau3[[#This Row],[REFERENCE]], Tableau1[NUMERO], 0), 5)</f>
        <v/>
      </c>
      <c r="H868" t="inlineStr">
        <is>
          <t>TCS</t>
        </is>
      </c>
      <c r="J868" s="2" t="n">
        <v>44035</v>
      </c>
      <c r="K868" s="2" t="n">
        <v>44036</v>
      </c>
      <c r="L868" s="2" t="n"/>
      <c r="M868" s="21" t="inlineStr">
        <is>
          <t>01</t>
        </is>
      </c>
      <c r="N868" s="8" t="n">
        <v>4</v>
      </c>
      <c r="O868" s="7" t="n">
        <v>27</v>
      </c>
      <c r="P868" s="8" t="inlineStr">
        <is>
          <t>2 SEMAINES</t>
        </is>
      </c>
      <c r="Q868" s="2" t="n">
        <v>44104</v>
      </c>
    </row>
    <row r="869">
      <c r="A869" s="8" t="n">
        <v>34408658</v>
      </c>
      <c r="B869" s="2">
        <f>INDEX(Tableau1[], MATCH(Tableau3[[#This Row],[REFERENCE]], Tableau1[NUMERO], 0), 2)</f>
        <v/>
      </c>
      <c r="C869">
        <f>INDEX(Tableau1[], MATCH(Tableau3[[#This Row],[REFERENCE]], Tableau1[NUMERO], 0), 3)</f>
        <v/>
      </c>
      <c r="D869">
        <f>INDEX(Tableau1[], MATCH(Tableau3[[#This Row],[REFERENCE]], Tableau1[NUMERO], 0),4)</f>
        <v/>
      </c>
      <c r="E869">
        <f>INDEX(Tableau1[], MATCH(Tableau3[[#This Row],[REFERENCE]], Tableau1[NUMERO], 0), 5)</f>
        <v/>
      </c>
      <c r="H869" t="inlineStr">
        <is>
          <t>TCS</t>
        </is>
      </c>
      <c r="J869" s="2" t="n">
        <v>44035</v>
      </c>
      <c r="K869" s="2" t="n">
        <v>44036</v>
      </c>
      <c r="L869" s="2" t="n"/>
      <c r="M869" s="21" t="inlineStr">
        <is>
          <t>01</t>
        </is>
      </c>
      <c r="N869" s="8" t="n">
        <v>4</v>
      </c>
      <c r="O869" s="7" t="n">
        <v>29</v>
      </c>
      <c r="P869" s="8" t="inlineStr">
        <is>
          <t>2 SEMAINES</t>
        </is>
      </c>
      <c r="Q869" s="2" t="n">
        <v>44104</v>
      </c>
    </row>
    <row r="870">
      <c r="A870" s="8" t="n">
        <v>34408669</v>
      </c>
      <c r="B870" s="2">
        <f>INDEX(Tableau1[], MATCH(Tableau3[[#This Row],[REFERENCE]], Tableau1[NUMERO], 0), 2)</f>
        <v/>
      </c>
      <c r="C870">
        <f>INDEX(Tableau1[], MATCH(Tableau3[[#This Row],[REFERENCE]], Tableau1[NUMERO], 0), 3)</f>
        <v/>
      </c>
      <c r="D870">
        <f>INDEX(Tableau1[], MATCH(Tableau3[[#This Row],[REFERENCE]], Tableau1[NUMERO], 0),4)</f>
        <v/>
      </c>
      <c r="E870">
        <f>INDEX(Tableau1[], MATCH(Tableau3[[#This Row],[REFERENCE]], Tableau1[NUMERO], 0), 5)</f>
        <v/>
      </c>
      <c r="H870" t="inlineStr">
        <is>
          <t>TCS</t>
        </is>
      </c>
      <c r="J870" s="2" t="n">
        <v>44035</v>
      </c>
      <c r="K870" s="2" t="n">
        <v>44036</v>
      </c>
      <c r="L870" s="2" t="n"/>
      <c r="M870" s="21" t="inlineStr">
        <is>
          <t>01</t>
        </is>
      </c>
      <c r="N870" s="8" t="n">
        <v>2</v>
      </c>
      <c r="O870" s="7" t="n">
        <v>28</v>
      </c>
      <c r="P870" s="8" t="inlineStr">
        <is>
          <t>2 SEMAINES</t>
        </is>
      </c>
      <c r="Q870" s="2" t="n">
        <v>44104</v>
      </c>
    </row>
    <row r="871">
      <c r="A871" s="8" t="n">
        <v>34408670</v>
      </c>
      <c r="B871" s="2">
        <f>INDEX(Tableau1[], MATCH(Tableau3[[#This Row],[REFERENCE]], Tableau1[NUMERO], 0), 2)</f>
        <v/>
      </c>
      <c r="C871">
        <f>INDEX(Tableau1[], MATCH(Tableau3[[#This Row],[REFERENCE]], Tableau1[NUMERO], 0), 3)</f>
        <v/>
      </c>
      <c r="D871">
        <f>INDEX(Tableau1[], MATCH(Tableau3[[#This Row],[REFERENCE]], Tableau1[NUMERO], 0),4)</f>
        <v/>
      </c>
      <c r="E871">
        <f>INDEX(Tableau1[], MATCH(Tableau3[[#This Row],[REFERENCE]], Tableau1[NUMERO], 0), 5)</f>
        <v/>
      </c>
      <c r="H871" t="inlineStr">
        <is>
          <t>TCS</t>
        </is>
      </c>
      <c r="J871" s="2" t="n">
        <v>44035</v>
      </c>
      <c r="K871" s="2" t="n">
        <v>44036</v>
      </c>
      <c r="L871" s="2" t="n"/>
      <c r="M871" s="21" t="inlineStr">
        <is>
          <t>01</t>
        </is>
      </c>
      <c r="N871" s="8" t="n">
        <v>4</v>
      </c>
      <c r="O871" s="7" t="n">
        <v>21.8</v>
      </c>
      <c r="P871" s="8" t="inlineStr">
        <is>
          <t>2 SEMAINES</t>
        </is>
      </c>
      <c r="Q871" s="2" t="n">
        <v>44104</v>
      </c>
    </row>
    <row r="872">
      <c r="A872" s="8" t="n">
        <v>34408671</v>
      </c>
      <c r="B872" s="2">
        <f>INDEX(Tableau1[], MATCH(Tableau3[[#This Row],[REFERENCE]], Tableau1[NUMERO], 0), 2)</f>
        <v/>
      </c>
      <c r="C872">
        <f>INDEX(Tableau1[], MATCH(Tableau3[[#This Row],[REFERENCE]], Tableau1[NUMERO], 0), 3)</f>
        <v/>
      </c>
      <c r="D872">
        <f>INDEX(Tableau1[], MATCH(Tableau3[[#This Row],[REFERENCE]], Tableau1[NUMERO], 0),4)</f>
        <v/>
      </c>
      <c r="E872">
        <f>INDEX(Tableau1[], MATCH(Tableau3[[#This Row],[REFERENCE]], Tableau1[NUMERO], 0), 5)</f>
        <v/>
      </c>
      <c r="H872" t="inlineStr">
        <is>
          <t>TCS</t>
        </is>
      </c>
      <c r="J872" s="2" t="n">
        <v>44035</v>
      </c>
      <c r="K872" s="2" t="n">
        <v>44036</v>
      </c>
      <c r="L872" s="2" t="n"/>
      <c r="M872" s="21" t="inlineStr">
        <is>
          <t>01</t>
        </is>
      </c>
      <c r="N872" s="8" t="n">
        <v>8</v>
      </c>
      <c r="O872" s="7" t="n">
        <v>11.8</v>
      </c>
      <c r="P872" s="8" t="inlineStr">
        <is>
          <t>2 SEMAINES</t>
        </is>
      </c>
      <c r="Q872" s="2" t="n">
        <v>44104</v>
      </c>
    </row>
    <row r="873">
      <c r="A873" s="8" t="n">
        <v>34408675</v>
      </c>
      <c r="B873" s="2">
        <f>INDEX(Tableau1[], MATCH(Tableau3[[#This Row],[REFERENCE]], Tableau1[NUMERO], 0), 2)</f>
        <v/>
      </c>
      <c r="C873">
        <f>INDEX(Tableau1[], MATCH(Tableau3[[#This Row],[REFERENCE]], Tableau1[NUMERO], 0), 3)</f>
        <v/>
      </c>
      <c r="D873">
        <f>INDEX(Tableau1[], MATCH(Tableau3[[#This Row],[REFERENCE]], Tableau1[NUMERO], 0),4)</f>
        <v/>
      </c>
      <c r="E873">
        <f>INDEX(Tableau1[], MATCH(Tableau3[[#This Row],[REFERENCE]], Tableau1[NUMERO], 0), 5)</f>
        <v/>
      </c>
      <c r="H873" t="inlineStr">
        <is>
          <t>TCS</t>
        </is>
      </c>
      <c r="J873" s="2" t="n">
        <v>44035</v>
      </c>
      <c r="K873" s="2" t="n">
        <v>44036</v>
      </c>
      <c r="L873" s="2" t="n"/>
      <c r="M873" s="21" t="inlineStr">
        <is>
          <t>01</t>
        </is>
      </c>
      <c r="N873" s="8" t="n">
        <v>2</v>
      </c>
      <c r="O873" s="7" t="n">
        <v>26</v>
      </c>
      <c r="P873" s="8" t="inlineStr">
        <is>
          <t>2 SEMAINES</t>
        </is>
      </c>
      <c r="Q873" s="2" t="n">
        <v>44104</v>
      </c>
    </row>
    <row r="874">
      <c r="A874" s="8" t="n">
        <v>34408676</v>
      </c>
      <c r="B874" s="2">
        <f>INDEX(Tableau1[], MATCH(Tableau3[[#This Row],[REFERENCE]], Tableau1[NUMERO], 0), 2)</f>
        <v/>
      </c>
      <c r="C874">
        <f>INDEX(Tableau1[], MATCH(Tableau3[[#This Row],[REFERENCE]], Tableau1[NUMERO], 0), 3)</f>
        <v/>
      </c>
      <c r="D874">
        <f>INDEX(Tableau1[], MATCH(Tableau3[[#This Row],[REFERENCE]], Tableau1[NUMERO], 0),4)</f>
        <v/>
      </c>
      <c r="E874">
        <f>INDEX(Tableau1[], MATCH(Tableau3[[#This Row],[REFERENCE]], Tableau1[NUMERO], 0), 5)</f>
        <v/>
      </c>
      <c r="H874" t="inlineStr">
        <is>
          <t>TCS</t>
        </is>
      </c>
      <c r="J874" s="2" t="n">
        <v>44035</v>
      </c>
      <c r="K874" s="2" t="n">
        <v>44036</v>
      </c>
      <c r="L874" s="2" t="n"/>
      <c r="M874" s="21" t="inlineStr">
        <is>
          <t>01</t>
        </is>
      </c>
      <c r="N874" s="8" t="n">
        <v>2</v>
      </c>
      <c r="O874" s="7" t="n">
        <v>27</v>
      </c>
      <c r="P874" s="8" t="inlineStr">
        <is>
          <t>2 SEMAINES</t>
        </is>
      </c>
      <c r="Q874" s="2" t="n">
        <v>44104</v>
      </c>
    </row>
    <row r="875">
      <c r="A875" s="8" t="n">
        <v>34408677</v>
      </c>
      <c r="B875" s="2">
        <f>INDEX(Tableau1[], MATCH(Tableau3[[#This Row],[REFERENCE]], Tableau1[NUMERO], 0), 2)</f>
        <v/>
      </c>
      <c r="C875">
        <f>INDEX(Tableau1[], MATCH(Tableau3[[#This Row],[REFERENCE]], Tableau1[NUMERO], 0), 3)</f>
        <v/>
      </c>
      <c r="D875">
        <f>INDEX(Tableau1[], MATCH(Tableau3[[#This Row],[REFERENCE]], Tableau1[NUMERO], 0),4)</f>
        <v/>
      </c>
      <c r="E875">
        <f>INDEX(Tableau1[], MATCH(Tableau3[[#This Row],[REFERENCE]], Tableau1[NUMERO], 0), 5)</f>
        <v/>
      </c>
      <c r="H875" t="inlineStr">
        <is>
          <t>TCS</t>
        </is>
      </c>
      <c r="J875" s="2" t="n">
        <v>44035</v>
      </c>
      <c r="K875" s="2" t="n">
        <v>44036</v>
      </c>
      <c r="L875" s="2" t="n"/>
      <c r="M875" s="21" t="inlineStr">
        <is>
          <t>02</t>
        </is>
      </c>
      <c r="N875" s="8" t="n">
        <v>2</v>
      </c>
      <c r="O875" s="7" t="n">
        <v>66</v>
      </c>
      <c r="P875" s="8" t="inlineStr">
        <is>
          <t>2 SEMAINES</t>
        </is>
      </c>
      <c r="Q875" s="2" t="n">
        <v>44104</v>
      </c>
    </row>
    <row r="876">
      <c r="A876" s="8" t="n">
        <v>34408678</v>
      </c>
      <c r="B876" s="2">
        <f>INDEX(Tableau1[], MATCH(Tableau3[[#This Row],[REFERENCE]], Tableau1[NUMERO], 0), 2)</f>
        <v/>
      </c>
      <c r="C876">
        <f>INDEX(Tableau1[], MATCH(Tableau3[[#This Row],[REFERENCE]], Tableau1[NUMERO], 0), 3)</f>
        <v/>
      </c>
      <c r="D876">
        <f>INDEX(Tableau1[], MATCH(Tableau3[[#This Row],[REFERENCE]], Tableau1[NUMERO], 0),4)</f>
        <v/>
      </c>
      <c r="E876">
        <f>INDEX(Tableau1[], MATCH(Tableau3[[#This Row],[REFERENCE]], Tableau1[NUMERO], 0), 5)</f>
        <v/>
      </c>
      <c r="H876" t="inlineStr">
        <is>
          <t>TCS</t>
        </is>
      </c>
      <c r="J876" s="2" t="n">
        <v>44035</v>
      </c>
      <c r="K876" s="2" t="n">
        <v>44036</v>
      </c>
      <c r="L876" s="2" t="n"/>
      <c r="M876" s="21" t="inlineStr">
        <is>
          <t>01</t>
        </is>
      </c>
      <c r="N876" s="8" t="n">
        <v>2</v>
      </c>
      <c r="O876" s="7" t="n">
        <v>52</v>
      </c>
      <c r="P876" s="8" t="inlineStr">
        <is>
          <t>2 SEMAINES</t>
        </is>
      </c>
      <c r="Q876" s="2" t="n">
        <v>44104</v>
      </c>
    </row>
    <row r="877">
      <c r="A877" s="8" t="n">
        <v>34408679</v>
      </c>
      <c r="B877" s="2">
        <f>INDEX(Tableau1[], MATCH(Tableau3[[#This Row],[REFERENCE]], Tableau1[NUMERO], 0), 2)</f>
        <v/>
      </c>
      <c r="C877">
        <f>INDEX(Tableau1[], MATCH(Tableau3[[#This Row],[REFERENCE]], Tableau1[NUMERO], 0), 3)</f>
        <v/>
      </c>
      <c r="D877">
        <f>INDEX(Tableau1[], MATCH(Tableau3[[#This Row],[REFERENCE]], Tableau1[NUMERO], 0),4)</f>
        <v/>
      </c>
      <c r="E877">
        <f>INDEX(Tableau1[], MATCH(Tableau3[[#This Row],[REFERENCE]], Tableau1[NUMERO], 0), 5)</f>
        <v/>
      </c>
      <c r="H877" t="inlineStr">
        <is>
          <t>TCS</t>
        </is>
      </c>
      <c r="J877" s="2" t="n">
        <v>44035</v>
      </c>
      <c r="K877" s="2" t="n">
        <v>44036</v>
      </c>
      <c r="L877" s="2" t="n"/>
      <c r="M877" s="21" t="inlineStr">
        <is>
          <t>01</t>
        </is>
      </c>
      <c r="N877" s="8" t="n">
        <v>2</v>
      </c>
      <c r="O877" s="7" t="n">
        <v>31</v>
      </c>
      <c r="P877" s="8" t="inlineStr">
        <is>
          <t>2 SEMAINES</t>
        </is>
      </c>
      <c r="Q877" s="2" t="n">
        <v>44104</v>
      </c>
    </row>
    <row r="878" ht="15.75" customFormat="1" customHeight="1" s="58" thickBot="1">
      <c r="A878" s="56" t="n">
        <v>34408681</v>
      </c>
      <c r="B878" s="57">
        <f>INDEX(Tableau1[], MATCH(Tableau3[[#This Row],[REFERENCE]], Tableau1[NUMERO], 0), 2)</f>
        <v/>
      </c>
      <c r="C878" s="58">
        <f>INDEX(Tableau1[], MATCH(Tableau3[[#This Row],[REFERENCE]], Tableau1[NUMERO], 0), 3)</f>
        <v/>
      </c>
      <c r="D878" s="58">
        <f>INDEX(Tableau1[], MATCH(Tableau3[[#This Row],[REFERENCE]], Tableau1[NUMERO], 0),4)</f>
        <v/>
      </c>
      <c r="E878" s="58">
        <f>INDEX(Tableau1[], MATCH(Tableau3[[#This Row],[REFERENCE]], Tableau1[NUMERO], 0), 5)</f>
        <v/>
      </c>
      <c r="H878" s="58" t="inlineStr">
        <is>
          <t>TCS</t>
        </is>
      </c>
      <c r="I878" s="56" t="n"/>
      <c r="J878" s="57" t="n">
        <v>44035</v>
      </c>
      <c r="K878" s="57" t="n">
        <v>44036</v>
      </c>
      <c r="L878" s="57" t="n"/>
      <c r="M878" s="59" t="inlineStr">
        <is>
          <t>01</t>
        </is>
      </c>
      <c r="N878" s="56" t="n">
        <v>4</v>
      </c>
      <c r="O878" s="61" t="n">
        <v>13</v>
      </c>
      <c r="P878" s="56" t="inlineStr">
        <is>
          <t>2 SEMAINES</t>
        </is>
      </c>
      <c r="Q878" s="57" t="n">
        <v>44104</v>
      </c>
    </row>
    <row r="879" ht="16.5" customHeight="1" s="142" thickBot="1" thickTop="1">
      <c r="A879" s="8" t="n">
        <v>34408653</v>
      </c>
      <c r="B879" s="2">
        <f>INDEX(Tableau1[], MATCH(Tableau3[[#This Row],[REFERENCE]], Tableau1[NUMERO], 0), 2)</f>
        <v/>
      </c>
      <c r="C879">
        <f>INDEX(Tableau1[], MATCH(Tableau3[[#This Row],[REFERENCE]], Tableau1[NUMERO], 0), 3)</f>
        <v/>
      </c>
      <c r="D879">
        <f>INDEX(Tableau1[], MATCH(Tableau3[[#This Row],[REFERENCE]], Tableau1[NUMERO], 0),4)</f>
        <v/>
      </c>
      <c r="E879">
        <f>INDEX(Tableau1[], MATCH(Tableau3[[#This Row],[REFERENCE]], Tableau1[NUMERO], 0), 5)</f>
        <v/>
      </c>
      <c r="H879" t="inlineStr">
        <is>
          <t>COMATEL</t>
        </is>
      </c>
      <c r="J879" s="2" t="n">
        <v>44040</v>
      </c>
      <c r="K879" s="2" t="n">
        <v>44041</v>
      </c>
      <c r="L879" s="2" t="n"/>
      <c r="M879" s="21" t="inlineStr">
        <is>
          <t>01</t>
        </is>
      </c>
      <c r="N879" s="35" t="n">
        <v>1</v>
      </c>
      <c r="O879" s="7" t="n">
        <v>6.4</v>
      </c>
      <c r="P879" s="8" t="inlineStr">
        <is>
          <t>10 JOURS</t>
        </is>
      </c>
      <c r="Q879" s="2" t="n">
        <v>44133</v>
      </c>
    </row>
    <row r="880" ht="15.75" customFormat="1" customHeight="1" s="52" thickTop="1">
      <c r="A880" s="50" t="n">
        <v>34408709</v>
      </c>
      <c r="B880" s="51">
        <f>INDEX(Tableau1[], MATCH(Tableau3[[#This Row],[REFERENCE]], Tableau1[NUMERO], 0), 2)</f>
        <v/>
      </c>
      <c r="C880" s="52">
        <f>INDEX(Tableau1[], MATCH(Tableau3[[#This Row],[REFERENCE]], Tableau1[NUMERO], 0), 3)</f>
        <v/>
      </c>
      <c r="D880" s="52">
        <f>INDEX(Tableau1[], MATCH(Tableau3[[#This Row],[REFERENCE]], Tableau1[NUMERO], 0),4)</f>
        <v/>
      </c>
      <c r="E880" s="52">
        <f>INDEX(Tableau1[], MATCH(Tableau3[[#This Row],[REFERENCE]], Tableau1[NUMERO], 0), 5)</f>
        <v/>
      </c>
      <c r="H880" s="52" t="inlineStr">
        <is>
          <t>lasertechnic</t>
        </is>
      </c>
      <c r="I880" s="50" t="n"/>
      <c r="J880" s="51" t="n">
        <v>44043</v>
      </c>
      <c r="K880" s="51" t="n">
        <v>44046</v>
      </c>
      <c r="L880" s="51" t="n"/>
      <c r="M880" s="53" t="inlineStr">
        <is>
          <t>01</t>
        </is>
      </c>
      <c r="N880" s="54" t="n">
        <v>4</v>
      </c>
      <c r="O880" s="55" t="n">
        <v>25</v>
      </c>
      <c r="P880" s="50" t="inlineStr">
        <is>
          <t>10 JOURS</t>
        </is>
      </c>
      <c r="Q880" s="51" t="n">
        <v>44138</v>
      </c>
    </row>
    <row r="881">
      <c r="A881" s="8" t="n">
        <v>34408710</v>
      </c>
      <c r="B881" s="2">
        <f>INDEX(Tableau1[], MATCH(Tableau3[[#This Row],[REFERENCE]], Tableau1[NUMERO], 0), 2)</f>
        <v/>
      </c>
      <c r="C881">
        <f>INDEX(Tableau1[], MATCH(Tableau3[[#This Row],[REFERENCE]], Tableau1[NUMERO], 0), 3)</f>
        <v/>
      </c>
      <c r="D881">
        <f>INDEX(Tableau1[], MATCH(Tableau3[[#This Row],[REFERENCE]], Tableau1[NUMERO], 0),4)</f>
        <v/>
      </c>
      <c r="E881">
        <f>INDEX(Tableau1[], MATCH(Tableau3[[#This Row],[REFERENCE]], Tableau1[NUMERO], 0), 5)</f>
        <v/>
      </c>
      <c r="H881" t="inlineStr">
        <is>
          <t>lasertechnic</t>
        </is>
      </c>
      <c r="J881" s="2" t="n">
        <v>44043</v>
      </c>
      <c r="K881" s="2" t="n">
        <v>44046</v>
      </c>
      <c r="L881" s="2" t="n"/>
      <c r="M881" s="21" t="inlineStr">
        <is>
          <t>01</t>
        </is>
      </c>
      <c r="N881" s="35" t="n">
        <v>2</v>
      </c>
      <c r="O881" s="7" t="n">
        <v>385</v>
      </c>
      <c r="P881" s="8" t="inlineStr">
        <is>
          <t>10 JOURS</t>
        </is>
      </c>
      <c r="Q881" s="2" t="n">
        <v>44138</v>
      </c>
    </row>
    <row r="882" ht="15.75" customFormat="1" customHeight="1" s="58" thickBot="1">
      <c r="A882" s="56" t="n">
        <v>34408711</v>
      </c>
      <c r="B882" s="57">
        <f>INDEX(Tableau1[], MATCH(Tableau3[[#This Row],[REFERENCE]], Tableau1[NUMERO], 0), 2)</f>
        <v/>
      </c>
      <c r="C882" s="58">
        <f>INDEX(Tableau1[], MATCH(Tableau3[[#This Row],[REFERENCE]], Tableau1[NUMERO], 0), 3)</f>
        <v/>
      </c>
      <c r="D882" s="58">
        <f>INDEX(Tableau1[], MATCH(Tableau3[[#This Row],[REFERENCE]], Tableau1[NUMERO], 0),4)</f>
        <v/>
      </c>
      <c r="E882" s="58">
        <f>INDEX(Tableau1[], MATCH(Tableau3[[#This Row],[REFERENCE]], Tableau1[NUMERO], 0), 5)</f>
        <v/>
      </c>
      <c r="H882" s="58" t="inlineStr">
        <is>
          <t>lasertechnic</t>
        </is>
      </c>
      <c r="I882" s="56" t="n"/>
      <c r="J882" s="57" t="n">
        <v>44043</v>
      </c>
      <c r="K882" s="57" t="n">
        <v>44046</v>
      </c>
      <c r="L882" s="57" t="n"/>
      <c r="M882" s="59" t="inlineStr">
        <is>
          <t>01</t>
        </is>
      </c>
      <c r="N882" s="60" t="n">
        <v>4</v>
      </c>
      <c r="O882" s="61" t="n">
        <v>92</v>
      </c>
      <c r="P882" s="56" t="inlineStr">
        <is>
          <t>10 JOURS</t>
        </is>
      </c>
      <c r="Q882" s="57" t="n">
        <v>44138</v>
      </c>
    </row>
    <row r="883" ht="15.75" customHeight="1" s="142" thickTop="1">
      <c r="A883" s="8" t="n">
        <v>34408633</v>
      </c>
      <c r="B883" s="2">
        <f>INDEX(Tableau1[], MATCH(Tableau3[[#This Row],[REFERENCE]], Tableau1[NUMERO], 0), 2)</f>
        <v/>
      </c>
      <c r="C883">
        <f>INDEX(Tableau1[], MATCH(Tableau3[[#This Row],[REFERENCE]], Tableau1[NUMERO], 0), 3)</f>
        <v/>
      </c>
      <c r="D883">
        <f>INDEX(Tableau1[], MATCH(Tableau3[[#This Row],[REFERENCE]], Tableau1[NUMERO], 0),4)</f>
        <v/>
      </c>
      <c r="E883">
        <f>INDEX(Tableau1[], MATCH(Tableau3[[#This Row],[REFERENCE]], Tableau1[NUMERO], 0), 5)</f>
        <v/>
      </c>
      <c r="H883" t="inlineStr">
        <is>
          <t>lasertechnic</t>
        </is>
      </c>
      <c r="J883" s="2" t="inlineStr">
        <is>
          <t>31/07/2020 relancé le 06/08</t>
        </is>
      </c>
      <c r="K883" s="2" t="n">
        <v>44046</v>
      </c>
      <c r="L883" s="2" t="n"/>
      <c r="M883" s="21" t="inlineStr">
        <is>
          <t>2</t>
        </is>
      </c>
      <c r="N883" s="35" t="n">
        <v>1</v>
      </c>
      <c r="O883" s="7" t="n">
        <v>92</v>
      </c>
      <c r="P883" s="8" t="inlineStr">
        <is>
          <t>48h</t>
        </is>
      </c>
      <c r="Q883" s="2" t="n">
        <v>44138</v>
      </c>
      <c r="R883" t="inlineStr">
        <is>
          <t>lancé par JP</t>
        </is>
      </c>
    </row>
    <row r="884" ht="15.75" customHeight="1" s="142" thickBot="1">
      <c r="A884" s="8" t="n">
        <v>34408634</v>
      </c>
      <c r="B884" s="2">
        <f>INDEX(Tableau1[], MATCH(Tableau3[[#This Row],[REFERENCE]], Tableau1[NUMERO], 0), 2)</f>
        <v/>
      </c>
      <c r="C884">
        <f>INDEX(Tableau1[], MATCH(Tableau3[[#This Row],[REFERENCE]], Tableau1[NUMERO], 0), 3)</f>
        <v/>
      </c>
      <c r="D884">
        <f>INDEX(Tableau1[], MATCH(Tableau3[[#This Row],[REFERENCE]], Tableau1[NUMERO], 0),4)</f>
        <v/>
      </c>
      <c r="E884">
        <f>INDEX(Tableau1[], MATCH(Tableau3[[#This Row],[REFERENCE]], Tableau1[NUMERO], 0), 5)</f>
        <v/>
      </c>
      <c r="H884" t="inlineStr">
        <is>
          <t>lasertechnic</t>
        </is>
      </c>
      <c r="J884" s="2" t="inlineStr">
        <is>
          <t>31/07/2020 relancé le 06/08</t>
        </is>
      </c>
      <c r="K884" s="2" t="n">
        <v>44046</v>
      </c>
      <c r="L884" s="2" t="n"/>
      <c r="M884" s="21" t="inlineStr">
        <is>
          <t>3</t>
        </is>
      </c>
      <c r="N884" s="35" t="n">
        <v>1</v>
      </c>
      <c r="O884" s="7" t="n">
        <v>148</v>
      </c>
      <c r="P884" s="8" t="inlineStr">
        <is>
          <t>48h</t>
        </is>
      </c>
      <c r="Q884" s="2" t="n">
        <v>44138</v>
      </c>
      <c r="R884" t="inlineStr">
        <is>
          <t>lancé par JP</t>
        </is>
      </c>
    </row>
    <row r="885" ht="15.75" customFormat="1" customHeight="1" s="52" thickTop="1">
      <c r="A885" s="50" t="n">
        <v>34408633</v>
      </c>
      <c r="B885" s="51">
        <f>INDEX(Tableau1[], MATCH(Tableau3[[#This Row],[REFERENCE]], Tableau1[NUMERO], 0), 2)</f>
        <v/>
      </c>
      <c r="C885" s="52">
        <f>INDEX(Tableau1[], MATCH(Tableau3[[#This Row],[REFERENCE]], Tableau1[NUMERO], 0), 3)</f>
        <v/>
      </c>
      <c r="D885" s="52">
        <f>INDEX(Tableau1[], MATCH(Tableau3[[#This Row],[REFERENCE]], Tableau1[NUMERO], 0),4)</f>
        <v/>
      </c>
      <c r="E885" s="52">
        <f>INDEX(Tableau1[], MATCH(Tableau3[[#This Row],[REFERENCE]], Tableau1[NUMERO], 0), 5)</f>
        <v/>
      </c>
      <c r="H885" s="52" t="inlineStr">
        <is>
          <t>TCS</t>
        </is>
      </c>
      <c r="I885" s="50" t="n"/>
      <c r="J885" s="51" t="inlineStr">
        <is>
          <t>31/07/2020 relancé le 06/08</t>
        </is>
      </c>
      <c r="K885" s="51" t="n">
        <v>44049</v>
      </c>
      <c r="L885" s="51" t="n"/>
      <c r="M885" s="53" t="inlineStr">
        <is>
          <t>2</t>
        </is>
      </c>
      <c r="N885" s="54" t="n">
        <v>1</v>
      </c>
      <c r="O885" s="55" t="n">
        <v>73</v>
      </c>
      <c r="P885" s="50" t="inlineStr">
        <is>
          <t>1 semaine</t>
        </is>
      </c>
      <c r="Q885" s="51" t="n">
        <v>44104</v>
      </c>
      <c r="R885" s="52" t="inlineStr">
        <is>
          <t>lancé par JP</t>
        </is>
      </c>
    </row>
    <row r="886" ht="15.75" customFormat="1" customHeight="1" s="58" thickBot="1">
      <c r="A886" s="56" t="n">
        <v>34408634</v>
      </c>
      <c r="B886" s="57">
        <f>INDEX(Tableau1[], MATCH(Tableau3[[#This Row],[REFERENCE]], Tableau1[NUMERO], 0), 2)</f>
        <v/>
      </c>
      <c r="C886" s="58">
        <f>INDEX(Tableau1[], MATCH(Tableau3[[#This Row],[REFERENCE]], Tableau1[NUMERO], 0), 3)</f>
        <v/>
      </c>
      <c r="D886" s="58">
        <f>INDEX(Tableau1[], MATCH(Tableau3[[#This Row],[REFERENCE]], Tableau1[NUMERO], 0),4)</f>
        <v/>
      </c>
      <c r="E886" s="58">
        <f>INDEX(Tableau1[], MATCH(Tableau3[[#This Row],[REFERENCE]], Tableau1[NUMERO], 0), 5)</f>
        <v/>
      </c>
      <c r="H886" s="58" t="inlineStr">
        <is>
          <t>TCS</t>
        </is>
      </c>
      <c r="I886" s="56" t="n"/>
      <c r="J886" s="57" t="inlineStr">
        <is>
          <t>31/07/2020 relancé le 06/08</t>
        </is>
      </c>
      <c r="K886" s="57" t="n">
        <v>44049</v>
      </c>
      <c r="L886" s="57" t="n"/>
      <c r="M886" s="59" t="inlineStr">
        <is>
          <t>3</t>
        </is>
      </c>
      <c r="N886" s="60" t="n">
        <v>1</v>
      </c>
      <c r="O886" s="61" t="n">
        <v>93</v>
      </c>
      <c r="P886" s="56" t="inlineStr">
        <is>
          <t>1 semaine</t>
        </is>
      </c>
      <c r="Q886" s="57" t="n">
        <v>44104</v>
      </c>
      <c r="R886" s="58" t="inlineStr">
        <is>
          <t>lancé par JP</t>
        </is>
      </c>
    </row>
    <row r="887" ht="16.5" customHeight="1" s="142" thickBot="1" thickTop="1">
      <c r="A887" s="8" t="n">
        <v>34408595</v>
      </c>
      <c r="B887" s="2">
        <f>INDEX(Tableau1[], MATCH(Tableau3[[#This Row],[REFERENCE]], Tableau1[NUMERO], 0), 2)</f>
        <v/>
      </c>
      <c r="C887">
        <f>INDEX(Tableau1[], MATCH(Tableau3[[#This Row],[REFERENCE]], Tableau1[NUMERO], 0), 3)</f>
        <v/>
      </c>
      <c r="D887">
        <f>INDEX(Tableau1[], MATCH(Tableau3[[#This Row],[REFERENCE]], Tableau1[NUMERO], 0),4)</f>
        <v/>
      </c>
      <c r="E887">
        <f>INDEX(Tableau1[], MATCH(Tableau3[[#This Row],[REFERENCE]], Tableau1[NUMERO], 0), 5)</f>
        <v/>
      </c>
      <c r="H887" t="inlineStr">
        <is>
          <t>TCS</t>
        </is>
      </c>
      <c r="J887" s="2" t="n">
        <v>44049</v>
      </c>
      <c r="K887" s="2" t="n">
        <v>44049</v>
      </c>
      <c r="L887" s="2" t="n"/>
      <c r="M887" s="21" t="inlineStr">
        <is>
          <t>01</t>
        </is>
      </c>
      <c r="N887" s="35" t="n">
        <v>15</v>
      </c>
      <c r="O887" s="7" t="n">
        <v>28.5</v>
      </c>
      <c r="P887" s="8" t="inlineStr">
        <is>
          <t>2 SEMAINES</t>
        </is>
      </c>
      <c r="Q887" s="2" t="n">
        <v>44104</v>
      </c>
    </row>
    <row r="888" ht="15.75" customFormat="1" customHeight="1" s="52" thickTop="1">
      <c r="A888" s="50" t="inlineStr">
        <is>
          <t>34001328RAL2012</t>
        </is>
      </c>
      <c r="B888" s="51">
        <f>INDEX(Tableau1[], MATCH(Tableau3[[#This Row],[REFERENCE]], Tableau1[NUMERO], 0), 2)</f>
        <v/>
      </c>
      <c r="C888" s="52">
        <f>INDEX(Tableau1[], MATCH(Tableau3[[#This Row],[REFERENCE]], Tableau1[NUMERO], 0), 3)</f>
        <v/>
      </c>
      <c r="D888" s="52">
        <f>INDEX(Tableau1[], MATCH(Tableau3[[#This Row],[REFERENCE]], Tableau1[NUMERO], 0),4)</f>
        <v/>
      </c>
      <c r="E888" s="52">
        <f>INDEX(Tableau1[], MATCH(Tableau3[[#This Row],[REFERENCE]], Tableau1[NUMERO], 0), 5)</f>
        <v/>
      </c>
      <c r="H888" s="52" t="inlineStr">
        <is>
          <t>saunier</t>
        </is>
      </c>
      <c r="I888" s="50" t="n"/>
      <c r="J888" s="51" t="inlineStr">
        <is>
          <t>01/09/2020 relancé le 07/09</t>
        </is>
      </c>
      <c r="K888" s="51" t="n">
        <v>44081</v>
      </c>
      <c r="L888" s="51" t="n"/>
      <c r="M888" s="53" t="inlineStr">
        <is>
          <t>01</t>
        </is>
      </c>
      <c r="N888" s="54" t="n">
        <v>6</v>
      </c>
      <c r="O888" s="84" t="n"/>
      <c r="P888" s="50" t="n"/>
      <c r="Q888" s="51" t="n">
        <v>44142</v>
      </c>
    </row>
    <row r="889">
      <c r="A889" s="8" t="inlineStr">
        <is>
          <t>34001729RAL2012</t>
        </is>
      </c>
      <c r="B889" s="2">
        <f>INDEX(Tableau1[], MATCH(Tableau3[[#This Row],[REFERENCE]], Tableau1[NUMERO], 0), 2)</f>
        <v/>
      </c>
      <c r="C889">
        <f>INDEX(Tableau1[], MATCH(Tableau3[[#This Row],[REFERENCE]], Tableau1[NUMERO], 0), 3)</f>
        <v/>
      </c>
      <c r="D889">
        <f>INDEX(Tableau1[], MATCH(Tableau3[[#This Row],[REFERENCE]], Tableau1[NUMERO], 0),4)</f>
        <v/>
      </c>
      <c r="E889">
        <f>INDEX(Tableau1[], MATCH(Tableau3[[#This Row],[REFERENCE]], Tableau1[NUMERO], 0), 5)</f>
        <v/>
      </c>
      <c r="H889" t="inlineStr">
        <is>
          <t>saunier</t>
        </is>
      </c>
      <c r="J889" s="2" t="inlineStr">
        <is>
          <t>01/09/2020 relancé le 07/09</t>
        </is>
      </c>
      <c r="K889" s="2" t="n">
        <v>44081</v>
      </c>
      <c r="L889" s="2" t="n"/>
      <c r="M889" s="21" t="inlineStr">
        <is>
          <t>02</t>
        </is>
      </c>
      <c r="N889" s="35" t="n">
        <v>3</v>
      </c>
      <c r="O889" s="85" t="n"/>
      <c r="P889" s="8" t="n"/>
      <c r="Q889" s="2" t="n">
        <v>44142</v>
      </c>
    </row>
    <row r="890">
      <c r="A890" s="8" t="inlineStr">
        <is>
          <t>34001736RAL2012</t>
        </is>
      </c>
      <c r="B890" s="2">
        <f>INDEX(Tableau1[], MATCH(Tableau3[[#This Row],[REFERENCE]], Tableau1[NUMERO], 0), 2)</f>
        <v/>
      </c>
      <c r="C890">
        <f>INDEX(Tableau1[], MATCH(Tableau3[[#This Row],[REFERENCE]], Tableau1[NUMERO], 0), 3)</f>
        <v/>
      </c>
      <c r="D890">
        <f>INDEX(Tableau1[], MATCH(Tableau3[[#This Row],[REFERENCE]], Tableau1[NUMERO], 0),4)</f>
        <v/>
      </c>
      <c r="E890">
        <f>INDEX(Tableau1[], MATCH(Tableau3[[#This Row],[REFERENCE]], Tableau1[NUMERO], 0), 5)</f>
        <v/>
      </c>
      <c r="H890" t="inlineStr">
        <is>
          <t>saunier</t>
        </is>
      </c>
      <c r="J890" s="2" t="inlineStr">
        <is>
          <t>01/09/2020 relancé le 07/09</t>
        </is>
      </c>
      <c r="K890" s="2" t="n">
        <v>44081</v>
      </c>
      <c r="L890" s="2" t="n"/>
      <c r="M890" s="21" t="inlineStr">
        <is>
          <t>02</t>
        </is>
      </c>
      <c r="N890" s="35" t="n">
        <v>3</v>
      </c>
      <c r="O890" s="85" t="n"/>
      <c r="P890" s="8" t="n"/>
      <c r="Q890" s="2" t="n">
        <v>44142</v>
      </c>
    </row>
    <row r="891">
      <c r="A891" s="8" t="inlineStr">
        <is>
          <t>34001851RAL2012</t>
        </is>
      </c>
      <c r="B891" s="2">
        <f>INDEX(Tableau1[], MATCH(Tableau3[[#This Row],[REFERENCE]], Tableau1[NUMERO], 0), 2)</f>
        <v/>
      </c>
      <c r="C891">
        <f>INDEX(Tableau1[], MATCH(Tableau3[[#This Row],[REFERENCE]], Tableau1[NUMERO], 0), 3)</f>
        <v/>
      </c>
      <c r="D891">
        <f>INDEX(Tableau1[], MATCH(Tableau3[[#This Row],[REFERENCE]], Tableau1[NUMERO], 0),4)</f>
        <v/>
      </c>
      <c r="E891">
        <f>INDEX(Tableau1[], MATCH(Tableau3[[#This Row],[REFERENCE]], Tableau1[NUMERO], 0), 5)</f>
        <v/>
      </c>
      <c r="H891" t="inlineStr">
        <is>
          <t>saunier</t>
        </is>
      </c>
      <c r="J891" s="2" t="inlineStr">
        <is>
          <t>01/09/2020 relancé le 07/09</t>
        </is>
      </c>
      <c r="K891" s="2" t="n">
        <v>44081</v>
      </c>
      <c r="L891" s="2" t="n"/>
      <c r="M891" s="21" t="inlineStr">
        <is>
          <t>01</t>
        </is>
      </c>
      <c r="N891" s="35" t="n">
        <v>3</v>
      </c>
      <c r="O891" s="85" t="inlineStr">
        <is>
          <t>1904,4 PRIX GLOBAL</t>
        </is>
      </c>
      <c r="P891" s="8" t="n"/>
      <c r="Q891" s="2" t="n">
        <v>44142</v>
      </c>
    </row>
    <row r="892">
      <c r="A892" s="8" t="inlineStr">
        <is>
          <t>34001506RAL2012</t>
        </is>
      </c>
      <c r="B892" s="2">
        <f>INDEX(Tableau1[], MATCH(Tableau3[[#This Row],[REFERENCE]], Tableau1[NUMERO], 0), 2)</f>
        <v/>
      </c>
      <c r="C892">
        <f>INDEX(Tableau1[], MATCH(Tableau3[[#This Row],[REFERENCE]], Tableau1[NUMERO], 0), 3)</f>
        <v/>
      </c>
      <c r="D892">
        <f>INDEX(Tableau1[], MATCH(Tableau3[[#This Row],[REFERENCE]], Tableau1[NUMERO], 0),4)</f>
        <v/>
      </c>
      <c r="E892">
        <f>INDEX(Tableau1[], MATCH(Tableau3[[#This Row],[REFERENCE]], Tableau1[NUMERO], 0), 5)</f>
        <v/>
      </c>
      <c r="H892" t="inlineStr">
        <is>
          <t>saunier</t>
        </is>
      </c>
      <c r="J892" s="2" t="inlineStr">
        <is>
          <t>01/09/2020 relancé le 07/09</t>
        </is>
      </c>
      <c r="K892" s="2" t="n">
        <v>44081</v>
      </c>
      <c r="L892" s="2" t="n"/>
      <c r="M892" s="21" t="inlineStr">
        <is>
          <t>01</t>
        </is>
      </c>
      <c r="N892" s="35" t="n">
        <v>57</v>
      </c>
      <c r="O892" s="85" t="n"/>
      <c r="P892" s="8" t="n"/>
      <c r="Q892" s="2" t="n">
        <v>44142</v>
      </c>
    </row>
    <row r="893">
      <c r="A893" s="8" t="inlineStr">
        <is>
          <t>34001658RAL2012</t>
        </is>
      </c>
      <c r="B893" s="2">
        <f>INDEX(Tableau1[], MATCH(Tableau3[[#This Row],[REFERENCE]], Tableau1[NUMERO], 0), 2)</f>
        <v/>
      </c>
      <c r="C893">
        <f>INDEX(Tableau1[], MATCH(Tableau3[[#This Row],[REFERENCE]], Tableau1[NUMERO], 0), 3)</f>
        <v/>
      </c>
      <c r="D893">
        <f>INDEX(Tableau1[], MATCH(Tableau3[[#This Row],[REFERENCE]], Tableau1[NUMERO], 0),4)</f>
        <v/>
      </c>
      <c r="E893">
        <f>INDEX(Tableau1[], MATCH(Tableau3[[#This Row],[REFERENCE]], Tableau1[NUMERO], 0), 5)</f>
        <v/>
      </c>
      <c r="H893" t="inlineStr">
        <is>
          <t>saunier</t>
        </is>
      </c>
      <c r="J893" s="2" t="inlineStr">
        <is>
          <t>01/09/2020 relancé le 07/09</t>
        </is>
      </c>
      <c r="K893" s="2" t="n">
        <v>44081</v>
      </c>
      <c r="L893" s="2" t="n"/>
      <c r="M893" s="21" t="inlineStr">
        <is>
          <t>01</t>
        </is>
      </c>
      <c r="N893" s="35" t="n">
        <v>6</v>
      </c>
      <c r="O893" s="85" t="n"/>
      <c r="P893" s="8" t="n"/>
      <c r="Q893" s="2" t="n">
        <v>44142</v>
      </c>
    </row>
    <row r="894">
      <c r="A894" s="8" t="inlineStr">
        <is>
          <t>34001992RAL2012</t>
        </is>
      </c>
      <c r="B894" s="2">
        <f>INDEX(Tableau1[], MATCH(Tableau3[[#This Row],[REFERENCE]], Tableau1[NUMERO], 0), 2)</f>
        <v/>
      </c>
      <c r="C894">
        <f>INDEX(Tableau1[], MATCH(Tableau3[[#This Row],[REFERENCE]], Tableau1[NUMERO], 0), 3)</f>
        <v/>
      </c>
      <c r="D894">
        <f>INDEX(Tableau1[], MATCH(Tableau3[[#This Row],[REFERENCE]], Tableau1[NUMERO], 0),4)</f>
        <v/>
      </c>
      <c r="E894">
        <f>INDEX(Tableau1[], MATCH(Tableau3[[#This Row],[REFERENCE]], Tableau1[NUMERO], 0), 5)</f>
        <v/>
      </c>
      <c r="H894" t="inlineStr">
        <is>
          <t>saunier</t>
        </is>
      </c>
      <c r="J894" s="2" t="inlineStr">
        <is>
          <t>01/09/2020 relancé le 07/09</t>
        </is>
      </c>
      <c r="K894" s="2" t="n">
        <v>44081</v>
      </c>
      <c r="L894" s="2" t="n"/>
      <c r="M894" s="21" t="inlineStr">
        <is>
          <t>01</t>
        </is>
      </c>
      <c r="N894" s="35" t="n">
        <v>12</v>
      </c>
      <c r="O894" s="86" t="n"/>
      <c r="P894" s="8" t="n"/>
      <c r="Q894" s="2" t="n">
        <v>44142</v>
      </c>
    </row>
    <row r="895">
      <c r="A895" s="8" t="inlineStr">
        <is>
          <t>34001328RAL3020</t>
        </is>
      </c>
      <c r="B895" s="2">
        <f>INDEX(Tableau1[], MATCH(Tableau3[[#This Row],[REFERENCE]], Tableau1[NUMERO], 0), 2)</f>
        <v/>
      </c>
      <c r="C895">
        <f>INDEX(Tableau1[], MATCH(Tableau3[[#This Row],[REFERENCE]], Tableau1[NUMERO], 0), 3)</f>
        <v/>
      </c>
      <c r="D895">
        <f>INDEX(Tableau1[], MATCH(Tableau3[[#This Row],[REFERENCE]], Tableau1[NUMERO], 0),4)</f>
        <v/>
      </c>
      <c r="E895">
        <f>INDEX(Tableau1[], MATCH(Tableau3[[#This Row],[REFERENCE]], Tableau1[NUMERO], 0), 5)</f>
        <v/>
      </c>
      <c r="H895" t="inlineStr">
        <is>
          <t>saunier</t>
        </is>
      </c>
      <c r="J895" s="2" t="inlineStr">
        <is>
          <t>01/09/2020 relancé le 07/09</t>
        </is>
      </c>
      <c r="K895" s="2" t="n">
        <v>44081</v>
      </c>
      <c r="L895" s="2" t="n"/>
      <c r="M895" s="21" t="inlineStr">
        <is>
          <t>01</t>
        </is>
      </c>
      <c r="N895" s="35" t="n">
        <v>6</v>
      </c>
      <c r="O895" s="87" t="n"/>
      <c r="P895" s="8" t="n"/>
      <c r="Q895" s="2" t="n">
        <v>44142</v>
      </c>
    </row>
    <row r="896">
      <c r="A896" s="8" t="inlineStr">
        <is>
          <t>34001729RAL3020</t>
        </is>
      </c>
      <c r="B896" s="2">
        <f>INDEX(Tableau1[], MATCH(Tableau3[[#This Row],[REFERENCE]], Tableau1[NUMERO], 0), 2)</f>
        <v/>
      </c>
      <c r="C896">
        <f>INDEX(Tableau1[], MATCH(Tableau3[[#This Row],[REFERENCE]], Tableau1[NUMERO], 0), 3)</f>
        <v/>
      </c>
      <c r="D896">
        <f>INDEX(Tableau1[], MATCH(Tableau3[[#This Row],[REFERENCE]], Tableau1[NUMERO], 0),4)</f>
        <v/>
      </c>
      <c r="E896">
        <f>INDEX(Tableau1[], MATCH(Tableau3[[#This Row],[REFERENCE]], Tableau1[NUMERO], 0), 5)</f>
        <v/>
      </c>
      <c r="H896" t="inlineStr">
        <is>
          <t>saunier</t>
        </is>
      </c>
      <c r="J896" s="2" t="inlineStr">
        <is>
          <t>01/09/2020 relancé le 07/09</t>
        </is>
      </c>
      <c r="K896" s="2" t="n">
        <v>44081</v>
      </c>
      <c r="L896" s="2" t="n"/>
      <c r="M896" s="21" t="inlineStr">
        <is>
          <t>02</t>
        </is>
      </c>
      <c r="N896" s="35" t="n">
        <v>3</v>
      </c>
      <c r="O896" s="85" t="n"/>
      <c r="P896" s="8" t="n"/>
      <c r="Q896" s="2" t="n">
        <v>44142</v>
      </c>
    </row>
    <row r="897">
      <c r="A897" s="8" t="inlineStr">
        <is>
          <t>34001736RAL3020</t>
        </is>
      </c>
      <c r="B897" s="2">
        <f>INDEX(Tableau1[], MATCH(Tableau3[[#This Row],[REFERENCE]], Tableau1[NUMERO], 0), 2)</f>
        <v/>
      </c>
      <c r="C897">
        <f>INDEX(Tableau1[], MATCH(Tableau3[[#This Row],[REFERENCE]], Tableau1[NUMERO], 0), 3)</f>
        <v/>
      </c>
      <c r="D897">
        <f>INDEX(Tableau1[], MATCH(Tableau3[[#This Row],[REFERENCE]], Tableau1[NUMERO], 0),4)</f>
        <v/>
      </c>
      <c r="E897">
        <f>INDEX(Tableau1[], MATCH(Tableau3[[#This Row],[REFERENCE]], Tableau1[NUMERO], 0), 5)</f>
        <v/>
      </c>
      <c r="H897" t="inlineStr">
        <is>
          <t>saunier</t>
        </is>
      </c>
      <c r="J897" s="2" t="inlineStr">
        <is>
          <t>01/09/2020 relancé le 07/09</t>
        </is>
      </c>
      <c r="K897" s="2" t="n">
        <v>44081</v>
      </c>
      <c r="L897" s="2" t="n"/>
      <c r="M897" s="21" t="inlineStr">
        <is>
          <t>02</t>
        </is>
      </c>
      <c r="N897" s="35" t="n">
        <v>3</v>
      </c>
      <c r="O897" s="85" t="inlineStr">
        <is>
          <t>1904,4 PRIX GLOBAL</t>
        </is>
      </c>
      <c r="P897" s="8" t="n"/>
      <c r="Q897" s="2" t="n">
        <v>44142</v>
      </c>
    </row>
    <row r="898">
      <c r="A898" s="8" t="inlineStr">
        <is>
          <t>34001851RAL3020</t>
        </is>
      </c>
      <c r="B898" s="2">
        <f>INDEX(Tableau1[], MATCH(Tableau3[[#This Row],[REFERENCE]], Tableau1[NUMERO], 0), 2)</f>
        <v/>
      </c>
      <c r="C898">
        <f>INDEX(Tableau1[], MATCH(Tableau3[[#This Row],[REFERENCE]], Tableau1[NUMERO], 0), 3)</f>
        <v/>
      </c>
      <c r="D898">
        <f>INDEX(Tableau1[], MATCH(Tableau3[[#This Row],[REFERENCE]], Tableau1[NUMERO], 0),4)</f>
        <v/>
      </c>
      <c r="E898">
        <f>INDEX(Tableau1[], MATCH(Tableau3[[#This Row],[REFERENCE]], Tableau1[NUMERO], 0), 5)</f>
        <v/>
      </c>
      <c r="H898" t="inlineStr">
        <is>
          <t>saunier</t>
        </is>
      </c>
      <c r="J898" s="2" t="inlineStr">
        <is>
          <t>01/09/2020 relancé le 07/09</t>
        </is>
      </c>
      <c r="K898" s="2" t="n">
        <v>44081</v>
      </c>
      <c r="L898" s="2" t="n"/>
      <c r="M898" s="21" t="inlineStr">
        <is>
          <t>01</t>
        </is>
      </c>
      <c r="N898" s="35" t="n">
        <v>3</v>
      </c>
      <c r="O898" s="85" t="n"/>
      <c r="P898" s="8" t="n"/>
      <c r="Q898" s="2" t="n">
        <v>44142</v>
      </c>
    </row>
    <row r="899">
      <c r="A899" s="8" t="inlineStr">
        <is>
          <t>34001506RAL3020</t>
        </is>
      </c>
      <c r="B899" s="2">
        <f>INDEX(Tableau1[], MATCH(Tableau3[[#This Row],[REFERENCE]], Tableau1[NUMERO], 0), 2)</f>
        <v/>
      </c>
      <c r="C899">
        <f>INDEX(Tableau1[], MATCH(Tableau3[[#This Row],[REFERENCE]], Tableau1[NUMERO], 0), 3)</f>
        <v/>
      </c>
      <c r="D899">
        <f>INDEX(Tableau1[], MATCH(Tableau3[[#This Row],[REFERENCE]], Tableau1[NUMERO], 0),4)</f>
        <v/>
      </c>
      <c r="E899">
        <f>INDEX(Tableau1[], MATCH(Tableau3[[#This Row],[REFERENCE]], Tableau1[NUMERO], 0), 5)</f>
        <v/>
      </c>
      <c r="H899" t="inlineStr">
        <is>
          <t>saunier</t>
        </is>
      </c>
      <c r="J899" s="2" t="inlineStr">
        <is>
          <t>01/09/2020 relancé le 07/09</t>
        </is>
      </c>
      <c r="K899" s="2" t="n">
        <v>44081</v>
      </c>
      <c r="L899" s="2" t="n"/>
      <c r="M899" s="21" t="inlineStr">
        <is>
          <t>01</t>
        </is>
      </c>
      <c r="N899" s="35" t="n">
        <v>57</v>
      </c>
      <c r="O899" s="85" t="n"/>
      <c r="P899" s="8" t="n"/>
      <c r="Q899" s="2" t="n">
        <v>44142</v>
      </c>
    </row>
    <row r="900">
      <c r="A900" s="8" t="inlineStr">
        <is>
          <t>34001658RAL3020</t>
        </is>
      </c>
      <c r="B900" s="2">
        <f>INDEX(Tableau1[], MATCH(Tableau3[[#This Row],[REFERENCE]], Tableau1[NUMERO], 0), 2)</f>
        <v/>
      </c>
      <c r="C900">
        <f>INDEX(Tableau1[], MATCH(Tableau3[[#This Row],[REFERENCE]], Tableau1[NUMERO], 0), 3)</f>
        <v/>
      </c>
      <c r="D900">
        <f>INDEX(Tableau1[], MATCH(Tableau3[[#This Row],[REFERENCE]], Tableau1[NUMERO], 0),4)</f>
        <v/>
      </c>
      <c r="E900">
        <f>INDEX(Tableau1[], MATCH(Tableau3[[#This Row],[REFERENCE]], Tableau1[NUMERO], 0), 5)</f>
        <v/>
      </c>
      <c r="H900" t="inlineStr">
        <is>
          <t>saunier</t>
        </is>
      </c>
      <c r="J900" s="2" t="inlineStr">
        <is>
          <t>01/09/2020 relancé le 07/09</t>
        </is>
      </c>
      <c r="K900" s="2" t="n">
        <v>44081</v>
      </c>
      <c r="L900" s="2" t="n"/>
      <c r="M900" s="21" t="inlineStr">
        <is>
          <t>01</t>
        </is>
      </c>
      <c r="N900" s="35" t="n">
        <v>6</v>
      </c>
      <c r="O900" s="85" t="n"/>
      <c r="P900" s="8" t="n"/>
      <c r="Q900" s="2" t="n">
        <v>44142</v>
      </c>
    </row>
    <row r="901" ht="15.75" customFormat="1" customHeight="1" s="58" thickBot="1">
      <c r="A901" s="56" t="inlineStr">
        <is>
          <t>34001992RAL3020</t>
        </is>
      </c>
      <c r="B901" s="57">
        <f>INDEX(Tableau1[], MATCH(Tableau3[[#This Row],[REFERENCE]], Tableau1[NUMERO], 0), 2)</f>
        <v/>
      </c>
      <c r="C901" s="58">
        <f>INDEX(Tableau1[], MATCH(Tableau3[[#This Row],[REFERENCE]], Tableau1[NUMERO], 0), 3)</f>
        <v/>
      </c>
      <c r="D901" s="58">
        <f>INDEX(Tableau1[], MATCH(Tableau3[[#This Row],[REFERENCE]], Tableau1[NUMERO], 0),4)</f>
        <v/>
      </c>
      <c r="E901" s="58">
        <f>INDEX(Tableau1[], MATCH(Tableau3[[#This Row],[REFERENCE]], Tableau1[NUMERO], 0), 5)</f>
        <v/>
      </c>
      <c r="H901" s="58" t="inlineStr">
        <is>
          <t>saunier</t>
        </is>
      </c>
      <c r="I901" s="56" t="n"/>
      <c r="J901" s="57" t="inlineStr">
        <is>
          <t>01/09/2020 relancé le 07/09</t>
        </is>
      </c>
      <c r="K901" s="57" t="n">
        <v>44081</v>
      </c>
      <c r="L901" s="57" t="n"/>
      <c r="M901" s="59" t="inlineStr">
        <is>
          <t>01</t>
        </is>
      </c>
      <c r="N901" s="60" t="n">
        <v>12</v>
      </c>
      <c r="O901" s="88" t="n"/>
      <c r="P901" s="56" t="n"/>
      <c r="Q901" s="57" t="n">
        <v>44142</v>
      </c>
    </row>
    <row r="902" ht="16.5" customHeight="1" s="142" thickBot="1" thickTop="1">
      <c r="A902" s="8" t="n">
        <v>34408757</v>
      </c>
      <c r="B902" s="2">
        <f>INDEX(Tableau1[], MATCH(Tableau3[[#This Row],[REFERENCE]], Tableau1[NUMERO], 0), 2)</f>
        <v/>
      </c>
      <c r="C902">
        <f>INDEX(Tableau1[], MATCH(Tableau3[[#This Row],[REFERENCE]], Tableau1[NUMERO], 0), 3)</f>
        <v/>
      </c>
      <c r="D902">
        <f>INDEX(Tableau1[], MATCH(Tableau3[[#This Row],[REFERENCE]], Tableau1[NUMERO], 0),4)</f>
        <v/>
      </c>
      <c r="E902">
        <f>INDEX(Tableau1[], MATCH(Tableau3[[#This Row],[REFERENCE]], Tableau1[NUMERO], 0), 5)</f>
        <v/>
      </c>
      <c r="H902" t="inlineStr">
        <is>
          <t>lasertechnic</t>
        </is>
      </c>
      <c r="J902" s="2" t="n">
        <v>44081</v>
      </c>
      <c r="K902" s="2" t="n">
        <v>44083</v>
      </c>
      <c r="L902" s="2" t="n"/>
      <c r="M902" s="21" t="inlineStr">
        <is>
          <t>01</t>
        </is>
      </c>
      <c r="N902" s="35" t="n">
        <v>2</v>
      </c>
      <c r="O902" s="7" t="n">
        <v>248</v>
      </c>
      <c r="P902" s="8" t="inlineStr">
        <is>
          <t>5 JOURS</t>
        </is>
      </c>
      <c r="Q902" s="2" t="n">
        <v>44174</v>
      </c>
    </row>
    <row r="903" ht="16.5" customFormat="1" customHeight="1" s="80" thickBot="1" thickTop="1">
      <c r="A903" s="78" t="inlineStr">
        <is>
          <t>885-91289B</t>
        </is>
      </c>
      <c r="B903" s="79">
        <f>INDEX(Tableau1[], MATCH(Tableau3[[#This Row],[REFERENCE]], Tableau1[NUMERO], 0), 2)</f>
        <v/>
      </c>
      <c r="C903" s="80">
        <f>INDEX(Tableau1[], MATCH(Tableau3[[#This Row],[REFERENCE]], Tableau1[NUMERO], 0), 3)</f>
        <v/>
      </c>
      <c r="D903" s="80">
        <f>INDEX(Tableau1[], MATCH(Tableau3[[#This Row],[REFERENCE]], Tableau1[NUMERO], 0),4)</f>
        <v/>
      </c>
      <c r="E903" s="80">
        <f>INDEX(Tableau1[], MATCH(Tableau3[[#This Row],[REFERENCE]], Tableau1[NUMERO], 0), 5)</f>
        <v/>
      </c>
      <c r="H903" s="80" t="inlineStr">
        <is>
          <t>gravic</t>
        </is>
      </c>
      <c r="I903" s="78" t="n"/>
      <c r="J903" s="79" t="n">
        <v>44081</v>
      </c>
      <c r="K903" s="79" t="n">
        <v>44082</v>
      </c>
      <c r="L903" s="79" t="n"/>
      <c r="M903" s="81" t="inlineStr">
        <is>
          <t>04</t>
        </is>
      </c>
      <c r="N903" s="82" t="n">
        <v>18</v>
      </c>
      <c r="O903" s="83" t="n">
        <v>11.07</v>
      </c>
      <c r="P903" s="78" t="inlineStr">
        <is>
          <t>3 SEMAINES</t>
        </is>
      </c>
      <c r="Q903" s="79" t="n">
        <v>44143</v>
      </c>
    </row>
    <row r="904" ht="16.5" customHeight="1" s="142" thickBot="1" thickTop="1">
      <c r="A904" s="8" t="inlineStr">
        <is>
          <t>885-91289B</t>
        </is>
      </c>
      <c r="B904" s="2">
        <f>INDEX(Tableau1[], MATCH(Tableau3[[#This Row],[REFERENCE]], Tableau1[NUMERO], 0), 2)</f>
        <v/>
      </c>
      <c r="C904">
        <f>INDEX(Tableau1[], MATCH(Tableau3[[#This Row],[REFERENCE]], Tableau1[NUMERO], 0), 3)</f>
        <v/>
      </c>
      <c r="D904">
        <f>INDEX(Tableau1[], MATCH(Tableau3[[#This Row],[REFERENCE]], Tableau1[NUMERO], 0),4)</f>
        <v/>
      </c>
      <c r="E904">
        <f>INDEX(Tableau1[], MATCH(Tableau3[[#This Row],[REFERENCE]], Tableau1[NUMERO], 0), 5)</f>
        <v/>
      </c>
      <c r="H904" t="inlineStr">
        <is>
          <t>DS SMITH</t>
        </is>
      </c>
      <c r="J904" s="2" t="n">
        <v>44082</v>
      </c>
      <c r="K904" s="2" t="n">
        <v>44089</v>
      </c>
      <c r="L904" s="2" t="n"/>
      <c r="M904" s="21" t="inlineStr">
        <is>
          <t>04</t>
        </is>
      </c>
      <c r="N904" s="35" t="n">
        <v>18</v>
      </c>
      <c r="O904" s="7" t="n">
        <v>5.51</v>
      </c>
      <c r="P904" s="8" t="n"/>
      <c r="Q904" s="2" t="n">
        <v>44180</v>
      </c>
    </row>
    <row r="905" ht="15.75" customFormat="1" customHeight="1" s="52" thickTop="1">
      <c r="A905" s="89" t="n">
        <v>34404945</v>
      </c>
      <c r="B905" s="51">
        <f>INDEX(Tableau1[], MATCH(Tableau3[[#This Row],[REFERENCE]], Tableau1[NUMERO], 0), 2)</f>
        <v/>
      </c>
      <c r="C905" s="52">
        <f>INDEX(Tableau1[], MATCH(Tableau3[[#This Row],[REFERENCE]], Tableau1[NUMERO], 0), 3)</f>
        <v/>
      </c>
      <c r="D905" s="52">
        <f>INDEX(Tableau1[], MATCH(Tableau3[[#This Row],[REFERENCE]], Tableau1[NUMERO], 0),4)</f>
        <v/>
      </c>
      <c r="E905" s="52">
        <f>INDEX(Tableau1[], MATCH(Tableau3[[#This Row],[REFERENCE]], Tableau1[NUMERO], 0), 5)</f>
        <v/>
      </c>
      <c r="H905" s="52" t="inlineStr">
        <is>
          <t>lasertechnic</t>
        </is>
      </c>
      <c r="I905" s="50" t="n"/>
      <c r="J905" s="51" t="n">
        <v>44084</v>
      </c>
      <c r="K905" s="51" t="n">
        <v>44089</v>
      </c>
      <c r="L905" s="51" t="n"/>
      <c r="M905" s="54" t="n">
        <v>2</v>
      </c>
      <c r="N905" s="54" t="n">
        <v>2</v>
      </c>
      <c r="O905" s="55" t="n">
        <v>25</v>
      </c>
      <c r="P905" s="50" t="inlineStr">
        <is>
          <t>8 jours</t>
        </is>
      </c>
      <c r="Q905" s="51" t="n">
        <v>44180</v>
      </c>
    </row>
    <row r="906">
      <c r="A906" s="90" t="n">
        <v>34404923</v>
      </c>
      <c r="B906" s="2">
        <f>INDEX(Tableau1[], MATCH(Tableau3[[#This Row],[REFERENCE]], Tableau1[NUMERO], 0), 2)</f>
        <v/>
      </c>
      <c r="C906">
        <f>INDEX(Tableau1[], MATCH(Tableau3[[#This Row],[REFERENCE]], Tableau1[NUMERO], 0), 3)</f>
        <v/>
      </c>
      <c r="D906">
        <f>INDEX(Tableau1[], MATCH(Tableau3[[#This Row],[REFERENCE]], Tableau1[NUMERO], 0),4)</f>
        <v/>
      </c>
      <c r="E906">
        <f>INDEX(Tableau1[], MATCH(Tableau3[[#This Row],[REFERENCE]], Tableau1[NUMERO], 0), 5)</f>
        <v/>
      </c>
      <c r="H906" t="inlineStr">
        <is>
          <t>lasertechnic</t>
        </is>
      </c>
      <c r="J906" s="2" t="n">
        <v>44084</v>
      </c>
      <c r="K906" s="2" t="n">
        <v>44089</v>
      </c>
      <c r="L906" s="2" t="n"/>
      <c r="M906" s="35" t="n">
        <v>3</v>
      </c>
      <c r="N906" s="35" t="n">
        <v>2</v>
      </c>
      <c r="O906" s="7" t="n">
        <v>50</v>
      </c>
      <c r="P906" s="8" t="inlineStr">
        <is>
          <t>8 jours</t>
        </is>
      </c>
      <c r="Q906" s="2" t="n">
        <v>44180</v>
      </c>
    </row>
    <row r="907">
      <c r="A907" s="90" t="n">
        <v>34404924</v>
      </c>
      <c r="B907" s="2">
        <f>INDEX(Tableau1[], MATCH(Tableau3[[#This Row],[REFERENCE]], Tableau1[NUMERO], 0), 2)</f>
        <v/>
      </c>
      <c r="C907">
        <f>INDEX(Tableau1[], MATCH(Tableau3[[#This Row],[REFERENCE]], Tableau1[NUMERO], 0), 3)</f>
        <v/>
      </c>
      <c r="D907">
        <f>INDEX(Tableau1[], MATCH(Tableau3[[#This Row],[REFERENCE]], Tableau1[NUMERO], 0),4)</f>
        <v/>
      </c>
      <c r="E907">
        <f>INDEX(Tableau1[], MATCH(Tableau3[[#This Row],[REFERENCE]], Tableau1[NUMERO], 0), 5)</f>
        <v/>
      </c>
      <c r="H907" t="inlineStr">
        <is>
          <t>lasertechnic</t>
        </is>
      </c>
      <c r="J907" s="2" t="n">
        <v>44084</v>
      </c>
      <c r="K907" s="2" t="n">
        <v>44089</v>
      </c>
      <c r="L907" s="2" t="n"/>
      <c r="M907" s="35" t="n">
        <v>3</v>
      </c>
      <c r="N907" s="35" t="n">
        <v>2</v>
      </c>
      <c r="O907" s="7" t="n">
        <v>40</v>
      </c>
      <c r="P907" s="8" t="inlineStr">
        <is>
          <t>8 jours</t>
        </is>
      </c>
      <c r="Q907" s="2" t="n">
        <v>44180</v>
      </c>
    </row>
    <row r="908">
      <c r="A908" s="90" t="n">
        <v>34404933</v>
      </c>
      <c r="B908" s="2">
        <f>INDEX(Tableau1[], MATCH(Tableau3[[#This Row],[REFERENCE]], Tableau1[NUMERO], 0), 2)</f>
        <v/>
      </c>
      <c r="C908">
        <f>INDEX(Tableau1[], MATCH(Tableau3[[#This Row],[REFERENCE]], Tableau1[NUMERO], 0), 3)</f>
        <v/>
      </c>
      <c r="D908">
        <f>INDEX(Tableau1[], MATCH(Tableau3[[#This Row],[REFERENCE]], Tableau1[NUMERO], 0),4)</f>
        <v/>
      </c>
      <c r="E908">
        <f>INDEX(Tableau1[], MATCH(Tableau3[[#This Row],[REFERENCE]], Tableau1[NUMERO], 0), 5)</f>
        <v/>
      </c>
      <c r="H908" t="inlineStr">
        <is>
          <t>lasertechnic</t>
        </is>
      </c>
      <c r="J908" s="2" t="n">
        <v>44084</v>
      </c>
      <c r="K908" s="2" t="n">
        <v>44089</v>
      </c>
      <c r="L908" s="2" t="n"/>
      <c r="M908" s="35" t="n">
        <v>2</v>
      </c>
      <c r="N908" s="35" t="n">
        <v>2</v>
      </c>
      <c r="O908" s="7" t="n">
        <v>68</v>
      </c>
      <c r="P908" s="8" t="inlineStr">
        <is>
          <t>8 jours</t>
        </is>
      </c>
      <c r="Q908" s="2" t="n">
        <v>44180</v>
      </c>
    </row>
    <row r="909">
      <c r="A909" s="90" t="n">
        <v>34404952</v>
      </c>
      <c r="B909" s="2">
        <f>INDEX(Tableau1[], MATCH(Tableau3[[#This Row],[REFERENCE]], Tableau1[NUMERO], 0), 2)</f>
        <v/>
      </c>
      <c r="C909">
        <f>INDEX(Tableau1[], MATCH(Tableau3[[#This Row],[REFERENCE]], Tableau1[NUMERO], 0), 3)</f>
        <v/>
      </c>
      <c r="D909">
        <f>INDEX(Tableau1[], MATCH(Tableau3[[#This Row],[REFERENCE]], Tableau1[NUMERO], 0),4)</f>
        <v/>
      </c>
      <c r="E909">
        <f>INDEX(Tableau1[], MATCH(Tableau3[[#This Row],[REFERENCE]], Tableau1[NUMERO], 0), 5)</f>
        <v/>
      </c>
      <c r="H909" t="inlineStr">
        <is>
          <t>lasertechnic</t>
        </is>
      </c>
      <c r="J909" s="2" t="n">
        <v>44084</v>
      </c>
      <c r="K909" s="2" t="n">
        <v>44089</v>
      </c>
      <c r="L909" s="2" t="n"/>
      <c r="M909" s="35" t="n">
        <v>2</v>
      </c>
      <c r="N909" s="35" t="n">
        <v>1</v>
      </c>
      <c r="O909" s="7" t="n">
        <v>42</v>
      </c>
      <c r="P909" s="8" t="inlineStr">
        <is>
          <t>8 jours</t>
        </is>
      </c>
      <c r="Q909" s="2" t="n">
        <v>44180</v>
      </c>
    </row>
    <row r="910">
      <c r="A910" s="90" t="n">
        <v>34404957</v>
      </c>
      <c r="B910" s="2">
        <f>INDEX(Tableau1[], MATCH(Tableau3[[#This Row],[REFERENCE]], Tableau1[NUMERO], 0), 2)</f>
        <v/>
      </c>
      <c r="C910">
        <f>INDEX(Tableau1[], MATCH(Tableau3[[#This Row],[REFERENCE]], Tableau1[NUMERO], 0), 3)</f>
        <v/>
      </c>
      <c r="D910">
        <f>INDEX(Tableau1[], MATCH(Tableau3[[#This Row],[REFERENCE]], Tableau1[NUMERO], 0),4)</f>
        <v/>
      </c>
      <c r="E910">
        <f>INDEX(Tableau1[], MATCH(Tableau3[[#This Row],[REFERENCE]], Tableau1[NUMERO], 0), 5)</f>
        <v/>
      </c>
      <c r="H910" t="inlineStr">
        <is>
          <t>lasertechnic</t>
        </is>
      </c>
      <c r="J910" s="2" t="n">
        <v>44084</v>
      </c>
      <c r="K910" s="2" t="n">
        <v>44089</v>
      </c>
      <c r="L910" s="2" t="n"/>
      <c r="M910" s="35" t="n">
        <v>1</v>
      </c>
      <c r="N910" s="35" t="n">
        <v>5</v>
      </c>
      <c r="O910" s="7" t="n">
        <v>40</v>
      </c>
      <c r="P910" s="8" t="inlineStr">
        <is>
          <t>8 jours</t>
        </is>
      </c>
      <c r="Q910" s="2" t="n">
        <v>44180</v>
      </c>
    </row>
    <row r="911">
      <c r="A911" s="90" t="inlineStr">
        <is>
          <t>34404988_RAL9005</t>
        </is>
      </c>
      <c r="B911" s="2">
        <f>INDEX(Tableau1[], MATCH(Tableau3[[#This Row],[REFERENCE]], Tableau1[NUMERO], 0), 2)</f>
        <v/>
      </c>
      <c r="C911">
        <f>INDEX(Tableau1[], MATCH(Tableau3[[#This Row],[REFERENCE]], Tableau1[NUMERO], 0), 3)</f>
        <v/>
      </c>
      <c r="D911">
        <f>INDEX(Tableau1[], MATCH(Tableau3[[#This Row],[REFERENCE]], Tableau1[NUMERO], 0),4)</f>
        <v/>
      </c>
      <c r="E911">
        <f>INDEX(Tableau1[], MATCH(Tableau3[[#This Row],[REFERENCE]], Tableau1[NUMERO], 0), 5)</f>
        <v/>
      </c>
      <c r="H911" t="inlineStr">
        <is>
          <t>lasertechnic</t>
        </is>
      </c>
      <c r="J911" s="2" t="n">
        <v>44084</v>
      </c>
      <c r="K911" s="2" t="n">
        <v>44089</v>
      </c>
      <c r="L911" s="2" t="n"/>
      <c r="M911" s="35" t="n">
        <v>2</v>
      </c>
      <c r="N911" s="35" t="n">
        <v>2</v>
      </c>
      <c r="O911" s="7" t="n">
        <v>48</v>
      </c>
      <c r="P911" s="8" t="inlineStr">
        <is>
          <t>8 jours</t>
        </is>
      </c>
      <c r="Q911" s="2" t="n">
        <v>44180</v>
      </c>
    </row>
    <row r="912">
      <c r="A912" s="90" t="n">
        <v>34404989</v>
      </c>
      <c r="B912" s="2">
        <f>INDEX(Tableau1[], MATCH(Tableau3[[#This Row],[REFERENCE]], Tableau1[NUMERO], 0), 2)</f>
        <v/>
      </c>
      <c r="C912">
        <f>INDEX(Tableau1[], MATCH(Tableau3[[#This Row],[REFERENCE]], Tableau1[NUMERO], 0), 3)</f>
        <v/>
      </c>
      <c r="D912">
        <f>INDEX(Tableau1[], MATCH(Tableau3[[#This Row],[REFERENCE]], Tableau1[NUMERO], 0),4)</f>
        <v/>
      </c>
      <c r="E912">
        <f>INDEX(Tableau1[], MATCH(Tableau3[[#This Row],[REFERENCE]], Tableau1[NUMERO], 0), 5)</f>
        <v/>
      </c>
      <c r="H912" t="inlineStr">
        <is>
          <t>lasertechnic</t>
        </is>
      </c>
      <c r="J912" s="2" t="n">
        <v>44084</v>
      </c>
      <c r="K912" s="2" t="n">
        <v>44089</v>
      </c>
      <c r="L912" s="2" t="n"/>
      <c r="M912" s="35" t="n">
        <v>2</v>
      </c>
      <c r="N912" s="35" t="n">
        <v>1</v>
      </c>
      <c r="O912" s="7" t="n">
        <v>19</v>
      </c>
      <c r="P912" s="8" t="inlineStr">
        <is>
          <t>8 jours</t>
        </is>
      </c>
      <c r="Q912" s="2" t="n">
        <v>44180</v>
      </c>
    </row>
    <row r="913">
      <c r="A913" s="90" t="inlineStr">
        <is>
          <t>34404991_RAL7035</t>
        </is>
      </c>
      <c r="B913" s="2">
        <f>INDEX(Tableau1[], MATCH(Tableau3[[#This Row],[REFERENCE]], Tableau1[NUMERO], 0), 2)</f>
        <v/>
      </c>
      <c r="C913">
        <f>INDEX(Tableau1[], MATCH(Tableau3[[#This Row],[REFERENCE]], Tableau1[NUMERO], 0), 3)</f>
        <v/>
      </c>
      <c r="D913">
        <f>INDEX(Tableau1[], MATCH(Tableau3[[#This Row],[REFERENCE]], Tableau1[NUMERO], 0),4)</f>
        <v/>
      </c>
      <c r="E913">
        <f>INDEX(Tableau1[], MATCH(Tableau3[[#This Row],[REFERENCE]], Tableau1[NUMERO], 0), 5)</f>
        <v/>
      </c>
      <c r="H913" t="inlineStr">
        <is>
          <t>lasertechnic</t>
        </is>
      </c>
      <c r="J913" s="2" t="n">
        <v>44084</v>
      </c>
      <c r="K913" s="2" t="n">
        <v>44089</v>
      </c>
      <c r="L913" s="2" t="n"/>
      <c r="M913" s="35" t="n">
        <v>2</v>
      </c>
      <c r="N913" s="35" t="n">
        <v>2</v>
      </c>
      <c r="O913" s="7" t="n">
        <v>98</v>
      </c>
      <c r="P913" s="8" t="inlineStr">
        <is>
          <t>8 jours</t>
        </is>
      </c>
      <c r="Q913" s="2" t="n">
        <v>44180</v>
      </c>
    </row>
    <row r="914">
      <c r="A914" s="90" t="inlineStr">
        <is>
          <t>34404992_RAL7035</t>
        </is>
      </c>
      <c r="B914" s="2">
        <f>INDEX(Tableau1[], MATCH(Tableau3[[#This Row],[REFERENCE]], Tableau1[NUMERO], 0), 2)</f>
        <v/>
      </c>
      <c r="C914">
        <f>INDEX(Tableau1[], MATCH(Tableau3[[#This Row],[REFERENCE]], Tableau1[NUMERO], 0), 3)</f>
        <v/>
      </c>
      <c r="D914">
        <f>INDEX(Tableau1[], MATCH(Tableau3[[#This Row],[REFERENCE]], Tableau1[NUMERO], 0),4)</f>
        <v/>
      </c>
      <c r="E914">
        <f>INDEX(Tableau1[], MATCH(Tableau3[[#This Row],[REFERENCE]], Tableau1[NUMERO], 0), 5)</f>
        <v/>
      </c>
      <c r="H914" t="inlineStr">
        <is>
          <t>lasertechnic</t>
        </is>
      </c>
      <c r="J914" s="2" t="n">
        <v>44084</v>
      </c>
      <c r="K914" s="2" t="n">
        <v>44089</v>
      </c>
      <c r="L914" s="2" t="n"/>
      <c r="M914" s="35" t="n">
        <v>4</v>
      </c>
      <c r="N914" s="35" t="n">
        <v>2</v>
      </c>
      <c r="O914" s="7" t="n">
        <v>50</v>
      </c>
      <c r="P914" s="8" t="inlineStr">
        <is>
          <t>8 jours</t>
        </is>
      </c>
      <c r="Q914" s="2" t="n">
        <v>44180</v>
      </c>
    </row>
    <row r="915">
      <c r="A915" s="90" t="inlineStr">
        <is>
          <t>34406407_RAL7035</t>
        </is>
      </c>
      <c r="B915" s="2">
        <f>INDEX(Tableau1[], MATCH(Tableau3[[#This Row],[REFERENCE]], Tableau1[NUMERO], 0), 2)</f>
        <v/>
      </c>
      <c r="C915">
        <f>INDEX(Tableau1[], MATCH(Tableau3[[#This Row],[REFERENCE]], Tableau1[NUMERO], 0), 3)</f>
        <v/>
      </c>
      <c r="D915">
        <f>INDEX(Tableau1[], MATCH(Tableau3[[#This Row],[REFERENCE]], Tableau1[NUMERO], 0),4)</f>
        <v/>
      </c>
      <c r="E915">
        <f>INDEX(Tableau1[], MATCH(Tableau3[[#This Row],[REFERENCE]], Tableau1[NUMERO], 0), 5)</f>
        <v/>
      </c>
      <c r="H915" t="inlineStr">
        <is>
          <t>lasertechnic</t>
        </is>
      </c>
      <c r="J915" s="2" t="n">
        <v>44084</v>
      </c>
      <c r="K915" s="2" t="n">
        <v>44089</v>
      </c>
      <c r="L915" s="2" t="n"/>
      <c r="M915" s="35" t="n">
        <v>1</v>
      </c>
      <c r="N915" s="35" t="n">
        <v>2</v>
      </c>
      <c r="O915" s="7" t="n">
        <v>38</v>
      </c>
      <c r="P915" s="8" t="inlineStr">
        <is>
          <t>8 jours</t>
        </is>
      </c>
      <c r="Q915" s="2" t="n">
        <v>44180</v>
      </c>
    </row>
    <row r="916">
      <c r="A916" s="90" t="inlineStr">
        <is>
          <t>34406408_RAL7035</t>
        </is>
      </c>
      <c r="B916" s="2">
        <f>INDEX(Tableau1[], MATCH(Tableau3[[#This Row],[REFERENCE]], Tableau1[NUMERO], 0), 2)</f>
        <v/>
      </c>
      <c r="C916">
        <f>INDEX(Tableau1[], MATCH(Tableau3[[#This Row],[REFERENCE]], Tableau1[NUMERO], 0), 3)</f>
        <v/>
      </c>
      <c r="D916">
        <f>INDEX(Tableau1[], MATCH(Tableau3[[#This Row],[REFERENCE]], Tableau1[NUMERO], 0),4)</f>
        <v/>
      </c>
      <c r="E916">
        <f>INDEX(Tableau1[], MATCH(Tableau3[[#This Row],[REFERENCE]], Tableau1[NUMERO], 0), 5)</f>
        <v/>
      </c>
      <c r="H916" t="inlineStr">
        <is>
          <t>lasertechnic</t>
        </is>
      </c>
      <c r="J916" s="2" t="n">
        <v>44084</v>
      </c>
      <c r="K916" s="2" t="n">
        <v>44089</v>
      </c>
      <c r="L916" s="2" t="n"/>
      <c r="M916" s="35" t="n">
        <v>1</v>
      </c>
      <c r="N916" s="35" t="n">
        <v>2</v>
      </c>
      <c r="O916" s="7" t="n">
        <v>38</v>
      </c>
      <c r="P916" s="8" t="inlineStr">
        <is>
          <t>8 jours</t>
        </is>
      </c>
      <c r="Q916" s="2" t="n">
        <v>44180</v>
      </c>
    </row>
    <row r="917">
      <c r="A917" s="90" t="inlineStr">
        <is>
          <t>34406409_RAL7035</t>
        </is>
      </c>
      <c r="B917" s="2">
        <f>INDEX(Tableau1[], MATCH(Tableau3[[#This Row],[REFERENCE]], Tableau1[NUMERO], 0), 2)</f>
        <v/>
      </c>
      <c r="C917">
        <f>INDEX(Tableau1[], MATCH(Tableau3[[#This Row],[REFERENCE]], Tableau1[NUMERO], 0), 3)</f>
        <v/>
      </c>
      <c r="D917">
        <f>INDEX(Tableau1[], MATCH(Tableau3[[#This Row],[REFERENCE]], Tableau1[NUMERO], 0),4)</f>
        <v/>
      </c>
      <c r="E917">
        <f>INDEX(Tableau1[], MATCH(Tableau3[[#This Row],[REFERENCE]], Tableau1[NUMERO], 0), 5)</f>
        <v/>
      </c>
      <c r="H917" t="inlineStr">
        <is>
          <t>lasertechnic</t>
        </is>
      </c>
      <c r="J917" s="2" t="n">
        <v>44084</v>
      </c>
      <c r="K917" s="2" t="n">
        <v>44089</v>
      </c>
      <c r="L917" s="2" t="n"/>
      <c r="M917" s="35" t="n">
        <v>2</v>
      </c>
      <c r="N917" s="35" t="n">
        <v>1</v>
      </c>
      <c r="O917" s="7" t="n">
        <v>38</v>
      </c>
      <c r="P917" s="8" t="inlineStr">
        <is>
          <t>8 jours</t>
        </is>
      </c>
      <c r="Q917" s="2" t="n">
        <v>44180</v>
      </c>
    </row>
    <row r="918">
      <c r="A918" s="90" t="inlineStr">
        <is>
          <t>34406410_RAL7035</t>
        </is>
      </c>
      <c r="B918" s="2">
        <f>INDEX(Tableau1[], MATCH(Tableau3[[#This Row],[REFERENCE]], Tableau1[NUMERO], 0), 2)</f>
        <v/>
      </c>
      <c r="C918">
        <f>INDEX(Tableau1[], MATCH(Tableau3[[#This Row],[REFERENCE]], Tableau1[NUMERO], 0), 3)</f>
        <v/>
      </c>
      <c r="D918">
        <f>INDEX(Tableau1[], MATCH(Tableau3[[#This Row],[REFERENCE]], Tableau1[NUMERO], 0),4)</f>
        <v/>
      </c>
      <c r="E918">
        <f>INDEX(Tableau1[], MATCH(Tableau3[[#This Row],[REFERENCE]], Tableau1[NUMERO], 0), 5)</f>
        <v/>
      </c>
      <c r="H918" t="inlineStr">
        <is>
          <t>lasertechnic</t>
        </is>
      </c>
      <c r="J918" s="2" t="n">
        <v>44084</v>
      </c>
      <c r="K918" s="2" t="n">
        <v>44089</v>
      </c>
      <c r="L918" s="2" t="n"/>
      <c r="M918" s="35" t="n">
        <v>1</v>
      </c>
      <c r="N918" s="35" t="n">
        <v>1</v>
      </c>
      <c r="O918" s="7" t="n">
        <v>38</v>
      </c>
      <c r="P918" s="8" t="inlineStr">
        <is>
          <t>8 jours</t>
        </is>
      </c>
      <c r="Q918" s="2" t="n">
        <v>44180</v>
      </c>
    </row>
    <row r="919">
      <c r="A919" s="90" t="inlineStr">
        <is>
          <t>34406411_RAL7035</t>
        </is>
      </c>
      <c r="B919" s="2">
        <f>INDEX(Tableau1[], MATCH(Tableau3[[#This Row],[REFERENCE]], Tableau1[NUMERO], 0), 2)</f>
        <v/>
      </c>
      <c r="C919">
        <f>INDEX(Tableau1[], MATCH(Tableau3[[#This Row],[REFERENCE]], Tableau1[NUMERO], 0), 3)</f>
        <v/>
      </c>
      <c r="D919">
        <f>INDEX(Tableau1[], MATCH(Tableau3[[#This Row],[REFERENCE]], Tableau1[NUMERO], 0),4)</f>
        <v/>
      </c>
      <c r="E919">
        <f>INDEX(Tableau1[], MATCH(Tableau3[[#This Row],[REFERENCE]], Tableau1[NUMERO], 0), 5)</f>
        <v/>
      </c>
      <c r="H919" t="inlineStr">
        <is>
          <t>lasertechnic</t>
        </is>
      </c>
      <c r="J919" s="2" t="n">
        <v>44084</v>
      </c>
      <c r="K919" s="2" t="n">
        <v>44089</v>
      </c>
      <c r="L919" s="2" t="n"/>
      <c r="M919" s="35" t="n">
        <v>2</v>
      </c>
      <c r="N919" s="35" t="n">
        <v>1</v>
      </c>
      <c r="O919" s="7" t="n">
        <v>74</v>
      </c>
      <c r="P919" s="8" t="inlineStr">
        <is>
          <t>8 jours</t>
        </is>
      </c>
      <c r="Q919" s="2" t="n">
        <v>44180</v>
      </c>
    </row>
    <row r="920">
      <c r="A920" s="90" t="inlineStr">
        <is>
          <t>34406412_RAL7035</t>
        </is>
      </c>
      <c r="B920" s="2">
        <f>INDEX(Tableau1[], MATCH(Tableau3[[#This Row],[REFERENCE]], Tableau1[NUMERO], 0), 2)</f>
        <v/>
      </c>
      <c r="C920">
        <f>INDEX(Tableau1[], MATCH(Tableau3[[#This Row],[REFERENCE]], Tableau1[NUMERO], 0), 3)</f>
        <v/>
      </c>
      <c r="D920">
        <f>INDEX(Tableau1[], MATCH(Tableau3[[#This Row],[REFERENCE]], Tableau1[NUMERO], 0),4)</f>
        <v/>
      </c>
      <c r="E920">
        <f>INDEX(Tableau1[], MATCH(Tableau3[[#This Row],[REFERENCE]], Tableau1[NUMERO], 0), 5)</f>
        <v/>
      </c>
      <c r="H920" t="inlineStr">
        <is>
          <t>lasertechnic</t>
        </is>
      </c>
      <c r="J920" s="2" t="n">
        <v>44084</v>
      </c>
      <c r="K920" s="2" t="n">
        <v>44089</v>
      </c>
      <c r="L920" s="2" t="n"/>
      <c r="M920" s="35" t="n">
        <v>2</v>
      </c>
      <c r="N920" s="35" t="n">
        <v>1</v>
      </c>
      <c r="O920" s="7" t="n">
        <v>75</v>
      </c>
      <c r="P920" s="8" t="inlineStr">
        <is>
          <t>8 jours</t>
        </is>
      </c>
      <c r="Q920" s="2" t="n">
        <v>44180</v>
      </c>
    </row>
    <row r="921">
      <c r="A921" s="90" t="inlineStr">
        <is>
          <t>34406413_RAL7035</t>
        </is>
      </c>
      <c r="B921" s="2">
        <f>INDEX(Tableau1[], MATCH(Tableau3[[#This Row],[REFERENCE]], Tableau1[NUMERO], 0), 2)</f>
        <v/>
      </c>
      <c r="C921">
        <f>INDEX(Tableau1[], MATCH(Tableau3[[#This Row],[REFERENCE]], Tableau1[NUMERO], 0), 3)</f>
        <v/>
      </c>
      <c r="D921">
        <f>INDEX(Tableau1[], MATCH(Tableau3[[#This Row],[REFERENCE]], Tableau1[NUMERO], 0),4)</f>
        <v/>
      </c>
      <c r="E921">
        <f>INDEX(Tableau1[], MATCH(Tableau3[[#This Row],[REFERENCE]], Tableau1[NUMERO], 0), 5)</f>
        <v/>
      </c>
      <c r="H921" t="inlineStr">
        <is>
          <t>lasertechnic</t>
        </is>
      </c>
      <c r="J921" s="2" t="n">
        <v>44084</v>
      </c>
      <c r="K921" s="2" t="n">
        <v>44089</v>
      </c>
      <c r="L921" s="2" t="n"/>
      <c r="M921" s="35" t="n">
        <v>1</v>
      </c>
      <c r="N921" s="35" t="n">
        <v>1</v>
      </c>
      <c r="O921" s="7" t="n">
        <v>56</v>
      </c>
      <c r="P921" s="8" t="inlineStr">
        <is>
          <t>8 jours</t>
        </is>
      </c>
      <c r="Q921" s="2" t="n">
        <v>44180</v>
      </c>
    </row>
    <row r="922">
      <c r="A922" s="90" t="inlineStr">
        <is>
          <t>34406414_RAL7035</t>
        </is>
      </c>
      <c r="B922" s="2">
        <f>INDEX(Tableau1[], MATCH(Tableau3[[#This Row],[REFERENCE]], Tableau1[NUMERO], 0), 2)</f>
        <v/>
      </c>
      <c r="C922">
        <f>INDEX(Tableau1[], MATCH(Tableau3[[#This Row],[REFERENCE]], Tableau1[NUMERO], 0), 3)</f>
        <v/>
      </c>
      <c r="D922">
        <f>INDEX(Tableau1[], MATCH(Tableau3[[#This Row],[REFERENCE]], Tableau1[NUMERO], 0),4)</f>
        <v/>
      </c>
      <c r="E922">
        <f>INDEX(Tableau1[], MATCH(Tableau3[[#This Row],[REFERENCE]], Tableau1[NUMERO], 0), 5)</f>
        <v/>
      </c>
      <c r="H922" t="inlineStr">
        <is>
          <t>lasertechnic</t>
        </is>
      </c>
      <c r="J922" s="2" t="n">
        <v>44084</v>
      </c>
      <c r="K922" s="2" t="n">
        <v>44089</v>
      </c>
      <c r="L922" s="2" t="n"/>
      <c r="M922" s="35" t="n">
        <v>1</v>
      </c>
      <c r="N922" s="35" t="n">
        <v>1</v>
      </c>
      <c r="O922" s="7" t="n">
        <v>56</v>
      </c>
      <c r="P922" s="8" t="inlineStr">
        <is>
          <t>8 jours</t>
        </is>
      </c>
      <c r="Q922" s="2" t="n">
        <v>44180</v>
      </c>
    </row>
    <row r="923">
      <c r="A923" s="90" t="inlineStr">
        <is>
          <t>34406415_RAL7035</t>
        </is>
      </c>
      <c r="B923" s="2">
        <f>INDEX(Tableau1[], MATCH(Tableau3[[#This Row],[REFERENCE]], Tableau1[NUMERO], 0), 2)</f>
        <v/>
      </c>
      <c r="C923">
        <f>INDEX(Tableau1[], MATCH(Tableau3[[#This Row],[REFERENCE]], Tableau1[NUMERO], 0), 3)</f>
        <v/>
      </c>
      <c r="D923">
        <f>INDEX(Tableau1[], MATCH(Tableau3[[#This Row],[REFERENCE]], Tableau1[NUMERO], 0),4)</f>
        <v/>
      </c>
      <c r="E923">
        <f>INDEX(Tableau1[], MATCH(Tableau3[[#This Row],[REFERENCE]], Tableau1[NUMERO], 0), 5)</f>
        <v/>
      </c>
      <c r="H923" t="inlineStr">
        <is>
          <t>lasertechnic</t>
        </is>
      </c>
      <c r="J923" s="2" t="n">
        <v>44084</v>
      </c>
      <c r="K923" s="2" t="n">
        <v>44089</v>
      </c>
      <c r="L923" s="2" t="n"/>
      <c r="M923" s="35" t="n">
        <v>1</v>
      </c>
      <c r="N923" s="35" t="n">
        <v>1</v>
      </c>
      <c r="O923" s="7" t="n">
        <v>56</v>
      </c>
      <c r="P923" s="8" t="inlineStr">
        <is>
          <t>8 jours</t>
        </is>
      </c>
      <c r="Q923" s="2" t="n">
        <v>44180</v>
      </c>
    </row>
    <row r="924">
      <c r="A924" s="90" t="inlineStr">
        <is>
          <t>34406416_RAL7035</t>
        </is>
      </c>
      <c r="B924" s="2">
        <f>INDEX(Tableau1[], MATCH(Tableau3[[#This Row],[REFERENCE]], Tableau1[NUMERO], 0), 2)</f>
        <v/>
      </c>
      <c r="C924">
        <f>INDEX(Tableau1[], MATCH(Tableau3[[#This Row],[REFERENCE]], Tableau1[NUMERO], 0), 3)</f>
        <v/>
      </c>
      <c r="D924">
        <f>INDEX(Tableau1[], MATCH(Tableau3[[#This Row],[REFERENCE]], Tableau1[NUMERO], 0),4)</f>
        <v/>
      </c>
      <c r="E924">
        <f>INDEX(Tableau1[], MATCH(Tableau3[[#This Row],[REFERENCE]], Tableau1[NUMERO], 0), 5)</f>
        <v/>
      </c>
      <c r="H924" t="inlineStr">
        <is>
          <t>lasertechnic</t>
        </is>
      </c>
      <c r="J924" s="2" t="n">
        <v>44084</v>
      </c>
      <c r="K924" s="2" t="n">
        <v>44089</v>
      </c>
      <c r="L924" s="2" t="n"/>
      <c r="M924" s="35" t="n">
        <v>1</v>
      </c>
      <c r="N924" s="35" t="n">
        <v>1</v>
      </c>
      <c r="O924" s="7" t="n">
        <v>60</v>
      </c>
      <c r="P924" s="8" t="inlineStr">
        <is>
          <t>8 jours</t>
        </is>
      </c>
      <c r="Q924" s="2" t="n">
        <v>44180</v>
      </c>
    </row>
    <row r="925">
      <c r="A925" s="90" t="inlineStr">
        <is>
          <t>34406417_RAL7035</t>
        </is>
      </c>
      <c r="B925" s="2">
        <f>INDEX(Tableau1[], MATCH(Tableau3[[#This Row],[REFERENCE]], Tableau1[NUMERO], 0), 2)</f>
        <v/>
      </c>
      <c r="C925">
        <f>INDEX(Tableau1[], MATCH(Tableau3[[#This Row],[REFERENCE]], Tableau1[NUMERO], 0), 3)</f>
        <v/>
      </c>
      <c r="D925">
        <f>INDEX(Tableau1[], MATCH(Tableau3[[#This Row],[REFERENCE]], Tableau1[NUMERO], 0),4)</f>
        <v/>
      </c>
      <c r="E925">
        <f>INDEX(Tableau1[], MATCH(Tableau3[[#This Row],[REFERENCE]], Tableau1[NUMERO], 0), 5)</f>
        <v/>
      </c>
      <c r="H925" t="inlineStr">
        <is>
          <t>lasertechnic</t>
        </is>
      </c>
      <c r="J925" s="2" t="n">
        <v>44084</v>
      </c>
      <c r="K925" s="2" t="n">
        <v>44089</v>
      </c>
      <c r="L925" s="2" t="n"/>
      <c r="M925" s="35" t="n">
        <v>1</v>
      </c>
      <c r="N925" s="35" t="n">
        <v>1</v>
      </c>
      <c r="O925" s="7" t="n">
        <v>56</v>
      </c>
      <c r="P925" s="8" t="inlineStr">
        <is>
          <t>8 jours</t>
        </is>
      </c>
      <c r="Q925" s="2" t="n">
        <v>44180</v>
      </c>
    </row>
    <row r="926">
      <c r="A926" s="90" t="inlineStr">
        <is>
          <t>34406418_RAL7035</t>
        </is>
      </c>
      <c r="B926" s="2">
        <f>INDEX(Tableau1[], MATCH(Tableau3[[#This Row],[REFERENCE]], Tableau1[NUMERO], 0), 2)</f>
        <v/>
      </c>
      <c r="C926">
        <f>INDEX(Tableau1[], MATCH(Tableau3[[#This Row],[REFERENCE]], Tableau1[NUMERO], 0), 3)</f>
        <v/>
      </c>
      <c r="D926">
        <f>INDEX(Tableau1[], MATCH(Tableau3[[#This Row],[REFERENCE]], Tableau1[NUMERO], 0),4)</f>
        <v/>
      </c>
      <c r="E926">
        <f>INDEX(Tableau1[], MATCH(Tableau3[[#This Row],[REFERENCE]], Tableau1[NUMERO], 0), 5)</f>
        <v/>
      </c>
      <c r="H926" t="inlineStr">
        <is>
          <t>lasertechnic</t>
        </is>
      </c>
      <c r="J926" s="2" t="n">
        <v>44084</v>
      </c>
      <c r="K926" s="2" t="n">
        <v>44089</v>
      </c>
      <c r="L926" s="2" t="n"/>
      <c r="M926" s="35" t="n">
        <v>2</v>
      </c>
      <c r="N926" s="35" t="n">
        <v>1</v>
      </c>
      <c r="O926" s="7" t="n">
        <v>64</v>
      </c>
      <c r="P926" s="8" t="inlineStr">
        <is>
          <t>8 jours</t>
        </is>
      </c>
      <c r="Q926" s="2" t="n">
        <v>44180</v>
      </c>
    </row>
    <row r="927">
      <c r="A927" s="90" t="n">
        <v>34406420</v>
      </c>
      <c r="B927" s="2">
        <f>INDEX(Tableau1[], MATCH(Tableau3[[#This Row],[REFERENCE]], Tableau1[NUMERO], 0), 2)</f>
        <v/>
      </c>
      <c r="C927">
        <f>INDEX(Tableau1[], MATCH(Tableau3[[#This Row],[REFERENCE]], Tableau1[NUMERO], 0), 3)</f>
        <v/>
      </c>
      <c r="D927">
        <f>INDEX(Tableau1[], MATCH(Tableau3[[#This Row],[REFERENCE]], Tableau1[NUMERO], 0),4)</f>
        <v/>
      </c>
      <c r="E927">
        <f>INDEX(Tableau1[], MATCH(Tableau3[[#This Row],[REFERENCE]], Tableau1[NUMERO], 0), 5)</f>
        <v/>
      </c>
      <c r="H927" t="inlineStr">
        <is>
          <t>lasertechnic</t>
        </is>
      </c>
      <c r="J927" s="2" t="n">
        <v>44084</v>
      </c>
      <c r="K927" s="2" t="n">
        <v>44089</v>
      </c>
      <c r="L927" s="2" t="n"/>
      <c r="M927" s="35" t="n">
        <v>2</v>
      </c>
      <c r="N927" s="35" t="n">
        <v>1</v>
      </c>
      <c r="O927" s="7" t="n">
        <v>15</v>
      </c>
      <c r="P927" s="8" t="inlineStr">
        <is>
          <t>8 jours</t>
        </is>
      </c>
      <c r="Q927" s="2" t="n">
        <v>44180</v>
      </c>
    </row>
    <row r="928">
      <c r="A928" s="90" t="n">
        <v>34406421</v>
      </c>
      <c r="B928" s="2">
        <f>INDEX(Tableau1[], MATCH(Tableau3[[#This Row],[REFERENCE]], Tableau1[NUMERO], 0), 2)</f>
        <v/>
      </c>
      <c r="C928">
        <f>INDEX(Tableau1[], MATCH(Tableau3[[#This Row],[REFERENCE]], Tableau1[NUMERO], 0), 3)</f>
        <v/>
      </c>
      <c r="D928">
        <f>INDEX(Tableau1[], MATCH(Tableau3[[#This Row],[REFERENCE]], Tableau1[NUMERO], 0),4)</f>
        <v/>
      </c>
      <c r="E928">
        <f>INDEX(Tableau1[], MATCH(Tableau3[[#This Row],[REFERENCE]], Tableau1[NUMERO], 0), 5)</f>
        <v/>
      </c>
      <c r="H928" t="inlineStr">
        <is>
          <t>lasertechnic</t>
        </is>
      </c>
      <c r="J928" s="2" t="n">
        <v>44084</v>
      </c>
      <c r="K928" s="2" t="n">
        <v>44089</v>
      </c>
      <c r="L928" s="2" t="n"/>
      <c r="M928" s="35" t="n">
        <v>2</v>
      </c>
      <c r="N928" s="35" t="n">
        <v>1</v>
      </c>
      <c r="O928" s="7" t="n">
        <v>58</v>
      </c>
      <c r="P928" s="8" t="inlineStr">
        <is>
          <t>8 jours</t>
        </is>
      </c>
      <c r="Q928" s="2" t="n">
        <v>44180</v>
      </c>
    </row>
    <row r="929">
      <c r="A929" s="90" t="n">
        <v>34406454</v>
      </c>
      <c r="B929" s="2">
        <f>INDEX(Tableau1[], MATCH(Tableau3[[#This Row],[REFERENCE]], Tableau1[NUMERO], 0), 2)</f>
        <v/>
      </c>
      <c r="C929">
        <f>INDEX(Tableau1[], MATCH(Tableau3[[#This Row],[REFERENCE]], Tableau1[NUMERO], 0), 3)</f>
        <v/>
      </c>
      <c r="D929">
        <f>INDEX(Tableau1[], MATCH(Tableau3[[#This Row],[REFERENCE]], Tableau1[NUMERO], 0),4)</f>
        <v/>
      </c>
      <c r="E929">
        <f>INDEX(Tableau1[], MATCH(Tableau3[[#This Row],[REFERENCE]], Tableau1[NUMERO], 0), 5)</f>
        <v/>
      </c>
      <c r="H929" t="inlineStr">
        <is>
          <t>lasertechnic</t>
        </is>
      </c>
      <c r="J929" s="2" t="n">
        <v>44084</v>
      </c>
      <c r="K929" s="2" t="n">
        <v>44089</v>
      </c>
      <c r="L929" s="2" t="n"/>
      <c r="M929" s="35" t="n">
        <v>1</v>
      </c>
      <c r="N929" s="35" t="n">
        <v>1</v>
      </c>
      <c r="O929" s="7" t="n">
        <v>20</v>
      </c>
      <c r="P929" s="8" t="inlineStr">
        <is>
          <t>8 jours</t>
        </is>
      </c>
      <c r="Q929" s="2" t="n">
        <v>44180</v>
      </c>
    </row>
    <row r="930" ht="15.75" customFormat="1" customHeight="1" s="58" thickBot="1">
      <c r="A930" s="91" t="n">
        <v>34404932</v>
      </c>
      <c r="B930" s="57">
        <f>INDEX(Tableau1[], MATCH(Tableau3[[#This Row],[REFERENCE]], Tableau1[NUMERO], 0), 2)</f>
        <v/>
      </c>
      <c r="C930" s="58">
        <f>INDEX(Tableau1[], MATCH(Tableau3[[#This Row],[REFERENCE]], Tableau1[NUMERO], 0), 3)</f>
        <v/>
      </c>
      <c r="D930" s="58">
        <f>INDEX(Tableau1[], MATCH(Tableau3[[#This Row],[REFERENCE]], Tableau1[NUMERO], 0),4)</f>
        <v/>
      </c>
      <c r="E930" s="58">
        <f>INDEX(Tableau1[], MATCH(Tableau3[[#This Row],[REFERENCE]], Tableau1[NUMERO], 0), 5)</f>
        <v/>
      </c>
      <c r="H930" s="58" t="inlineStr">
        <is>
          <t>lasertechnic</t>
        </is>
      </c>
      <c r="I930" s="56" t="n"/>
      <c r="J930" s="57" t="n">
        <v>44084</v>
      </c>
      <c r="K930" s="57" t="n">
        <v>44089</v>
      </c>
      <c r="L930" s="57" t="n"/>
      <c r="M930" s="60" t="n">
        <v>1</v>
      </c>
      <c r="N930" s="60" t="n">
        <v>8</v>
      </c>
      <c r="O930" s="61" t="n">
        <v>12</v>
      </c>
      <c r="P930" s="56" t="inlineStr">
        <is>
          <t>8 jours</t>
        </is>
      </c>
      <c r="Q930" s="57" t="n">
        <v>44180</v>
      </c>
    </row>
    <row r="931" ht="15.75" customHeight="1" s="142" thickTop="1">
      <c r="A931" s="89" t="n">
        <v>34404945</v>
      </c>
      <c r="B931" s="2">
        <f>INDEX(Tableau1[], MATCH(Tableau3[[#This Row],[REFERENCE]], Tableau1[NUMERO], 0), 2)</f>
        <v/>
      </c>
      <c r="C931">
        <f>INDEX(Tableau1[], MATCH(Tableau3[[#This Row],[REFERENCE]], Tableau1[NUMERO], 0), 3)</f>
        <v/>
      </c>
      <c r="D931">
        <f>INDEX(Tableau1[], MATCH(Tableau3[[#This Row],[REFERENCE]], Tableau1[NUMERO], 0),4)</f>
        <v/>
      </c>
      <c r="E931">
        <f>INDEX(Tableau1[], MATCH(Tableau3[[#This Row],[REFERENCE]], Tableau1[NUMERO], 0), 5)</f>
        <v/>
      </c>
      <c r="H931" t="inlineStr">
        <is>
          <t>TCS</t>
        </is>
      </c>
      <c r="J931" s="100" t="inlineStr">
        <is>
          <t>10/09 - 18/09 - 28/09</t>
        </is>
      </c>
      <c r="K931" s="101" t="n">
        <v>44104</v>
      </c>
      <c r="L931" s="51" t="n"/>
      <c r="M931" s="54" t="n">
        <v>2</v>
      </c>
      <c r="N931" s="54" t="n">
        <v>2</v>
      </c>
      <c r="O931" s="7" t="n">
        <v>44</v>
      </c>
      <c r="P931" s="8" t="inlineStr">
        <is>
          <t>6 semaines</t>
        </is>
      </c>
      <c r="Q931" s="2" t="n">
        <v>44196</v>
      </c>
    </row>
    <row r="932">
      <c r="A932" s="90" t="n">
        <v>34404923</v>
      </c>
      <c r="B932" s="2">
        <f>INDEX(Tableau1[], MATCH(Tableau3[[#This Row],[REFERENCE]], Tableau1[NUMERO], 0), 2)</f>
        <v/>
      </c>
      <c r="C932">
        <f>INDEX(Tableau1[], MATCH(Tableau3[[#This Row],[REFERENCE]], Tableau1[NUMERO], 0), 3)</f>
        <v/>
      </c>
      <c r="D932">
        <f>INDEX(Tableau1[], MATCH(Tableau3[[#This Row],[REFERENCE]], Tableau1[NUMERO], 0),4)</f>
        <v/>
      </c>
      <c r="E932">
        <f>INDEX(Tableau1[], MATCH(Tableau3[[#This Row],[REFERENCE]], Tableau1[NUMERO], 0), 5)</f>
        <v/>
      </c>
      <c r="H932" t="inlineStr">
        <is>
          <t>TCS</t>
        </is>
      </c>
      <c r="J932" s="11" t="inlineStr">
        <is>
          <t>10/09 - 18/09 - 28/09</t>
        </is>
      </c>
      <c r="K932" s="76" t="n">
        <v>44104</v>
      </c>
      <c r="L932" s="2" t="n"/>
      <c r="M932" s="35" t="n">
        <v>3</v>
      </c>
      <c r="N932" s="35" t="n">
        <v>2</v>
      </c>
      <c r="O932" s="7" t="n">
        <v>47</v>
      </c>
      <c r="P932" s="8" t="inlineStr">
        <is>
          <t>6 semaines</t>
        </is>
      </c>
      <c r="Q932" s="2" t="n">
        <v>44196</v>
      </c>
    </row>
    <row r="933">
      <c r="A933" s="90" t="n">
        <v>34404924</v>
      </c>
      <c r="B933" s="2">
        <f>INDEX(Tableau1[], MATCH(Tableau3[[#This Row],[REFERENCE]], Tableau1[NUMERO], 0), 2)</f>
        <v/>
      </c>
      <c r="C933">
        <f>INDEX(Tableau1[], MATCH(Tableau3[[#This Row],[REFERENCE]], Tableau1[NUMERO], 0), 3)</f>
        <v/>
      </c>
      <c r="D933">
        <f>INDEX(Tableau1[], MATCH(Tableau3[[#This Row],[REFERENCE]], Tableau1[NUMERO], 0),4)</f>
        <v/>
      </c>
      <c r="E933">
        <f>INDEX(Tableau1[], MATCH(Tableau3[[#This Row],[REFERENCE]], Tableau1[NUMERO], 0), 5)</f>
        <v/>
      </c>
      <c r="H933" t="inlineStr">
        <is>
          <t>TCS</t>
        </is>
      </c>
      <c r="J933" s="11" t="inlineStr">
        <is>
          <t>10/09 - 18/09 - 28/09</t>
        </is>
      </c>
      <c r="K933" s="76" t="n">
        <v>44104</v>
      </c>
      <c r="L933" s="2" t="n"/>
      <c r="M933" s="35" t="n">
        <v>3</v>
      </c>
      <c r="N933" s="35" t="n">
        <v>2</v>
      </c>
      <c r="O933" s="7" t="n">
        <v>46</v>
      </c>
      <c r="P933" s="8" t="inlineStr">
        <is>
          <t>6 semaines</t>
        </is>
      </c>
      <c r="Q933" s="2" t="n">
        <v>44196</v>
      </c>
    </row>
    <row r="934">
      <c r="A934" s="90" t="n">
        <v>34404933</v>
      </c>
      <c r="B934" s="2">
        <f>INDEX(Tableau1[], MATCH(Tableau3[[#This Row],[REFERENCE]], Tableau1[NUMERO], 0), 2)</f>
        <v/>
      </c>
      <c r="C934">
        <f>INDEX(Tableau1[], MATCH(Tableau3[[#This Row],[REFERENCE]], Tableau1[NUMERO], 0), 3)</f>
        <v/>
      </c>
      <c r="D934">
        <f>INDEX(Tableau1[], MATCH(Tableau3[[#This Row],[REFERENCE]], Tableau1[NUMERO], 0),4)</f>
        <v/>
      </c>
      <c r="E934">
        <f>INDEX(Tableau1[], MATCH(Tableau3[[#This Row],[REFERENCE]], Tableau1[NUMERO], 0), 5)</f>
        <v/>
      </c>
      <c r="H934" t="inlineStr">
        <is>
          <t>TCS</t>
        </is>
      </c>
      <c r="J934" s="11" t="inlineStr">
        <is>
          <t>10/09 - 18/09 - 28/09</t>
        </is>
      </c>
      <c r="K934" s="76" t="n">
        <v>44104</v>
      </c>
      <c r="L934" s="2" t="n"/>
      <c r="M934" s="35" t="n">
        <v>2</v>
      </c>
      <c r="N934" s="35" t="n">
        <v>2</v>
      </c>
      <c r="O934" s="7" t="n">
        <v>53</v>
      </c>
      <c r="P934" s="8" t="inlineStr">
        <is>
          <t>6 semaines</t>
        </is>
      </c>
      <c r="Q934" s="2" t="n">
        <v>44196</v>
      </c>
    </row>
    <row r="935">
      <c r="A935" s="90" t="n">
        <v>34404952</v>
      </c>
      <c r="B935" s="2">
        <f>INDEX(Tableau1[], MATCH(Tableau3[[#This Row],[REFERENCE]], Tableau1[NUMERO], 0), 2)</f>
        <v/>
      </c>
      <c r="C935">
        <f>INDEX(Tableau1[], MATCH(Tableau3[[#This Row],[REFERENCE]], Tableau1[NUMERO], 0), 3)</f>
        <v/>
      </c>
      <c r="D935">
        <f>INDEX(Tableau1[], MATCH(Tableau3[[#This Row],[REFERENCE]], Tableau1[NUMERO], 0),4)</f>
        <v/>
      </c>
      <c r="E935">
        <f>INDEX(Tableau1[], MATCH(Tableau3[[#This Row],[REFERENCE]], Tableau1[NUMERO], 0), 5)</f>
        <v/>
      </c>
      <c r="H935" t="inlineStr">
        <is>
          <t>TCS</t>
        </is>
      </c>
      <c r="J935" s="11" t="inlineStr">
        <is>
          <t>10/09 - 18/09 - 28/09</t>
        </is>
      </c>
      <c r="K935" s="76" t="n">
        <v>44104</v>
      </c>
      <c r="L935" s="2" t="n"/>
      <c r="M935" s="35" t="n">
        <v>2</v>
      </c>
      <c r="N935" s="35" t="n">
        <v>1</v>
      </c>
      <c r="O935" s="7" t="n">
        <v>58</v>
      </c>
      <c r="P935" s="8" t="inlineStr">
        <is>
          <t>6 semaines</t>
        </is>
      </c>
      <c r="Q935" s="2" t="n">
        <v>44196</v>
      </c>
    </row>
    <row r="936">
      <c r="A936" s="90" t="n">
        <v>34404957</v>
      </c>
      <c r="B936" s="2">
        <f>INDEX(Tableau1[], MATCH(Tableau3[[#This Row],[REFERENCE]], Tableau1[NUMERO], 0), 2)</f>
        <v/>
      </c>
      <c r="C936">
        <f>INDEX(Tableau1[], MATCH(Tableau3[[#This Row],[REFERENCE]], Tableau1[NUMERO], 0), 3)</f>
        <v/>
      </c>
      <c r="D936">
        <f>INDEX(Tableau1[], MATCH(Tableau3[[#This Row],[REFERENCE]], Tableau1[NUMERO], 0),4)</f>
        <v/>
      </c>
      <c r="E936">
        <f>INDEX(Tableau1[], MATCH(Tableau3[[#This Row],[REFERENCE]], Tableau1[NUMERO], 0), 5)</f>
        <v/>
      </c>
      <c r="H936" t="inlineStr">
        <is>
          <t>TCS</t>
        </is>
      </c>
      <c r="J936" s="11" t="inlineStr">
        <is>
          <t>10/09 - 18/09 - 28/09</t>
        </is>
      </c>
      <c r="K936" s="76" t="n">
        <v>44104</v>
      </c>
      <c r="L936" s="2" t="n"/>
      <c r="M936" s="35" t="n">
        <v>1</v>
      </c>
      <c r="N936" s="35" t="n">
        <v>5</v>
      </c>
      <c r="O936" s="7" t="n">
        <v>29</v>
      </c>
      <c r="P936" s="8" t="inlineStr">
        <is>
          <t>6 semaines</t>
        </is>
      </c>
      <c r="Q936" s="2" t="n">
        <v>44196</v>
      </c>
    </row>
    <row r="937">
      <c r="A937" s="90" t="inlineStr">
        <is>
          <t>34404988_RAL9005</t>
        </is>
      </c>
      <c r="B937" s="2">
        <f>INDEX(Tableau1[], MATCH(Tableau3[[#This Row],[REFERENCE]], Tableau1[NUMERO], 0), 2)</f>
        <v/>
      </c>
      <c r="C937">
        <f>INDEX(Tableau1[], MATCH(Tableau3[[#This Row],[REFERENCE]], Tableau1[NUMERO], 0), 3)</f>
        <v/>
      </c>
      <c r="D937">
        <f>INDEX(Tableau1[], MATCH(Tableau3[[#This Row],[REFERENCE]], Tableau1[NUMERO], 0),4)</f>
        <v/>
      </c>
      <c r="E937">
        <f>INDEX(Tableau1[], MATCH(Tableau3[[#This Row],[REFERENCE]], Tableau1[NUMERO], 0), 5)</f>
        <v/>
      </c>
      <c r="H937" t="inlineStr">
        <is>
          <t>TCS</t>
        </is>
      </c>
      <c r="J937" s="11" t="inlineStr">
        <is>
          <t>10/09 - 18/09 - 28/09</t>
        </is>
      </c>
      <c r="K937" s="76" t="n">
        <v>44104</v>
      </c>
      <c r="L937" s="2" t="n"/>
      <c r="M937" s="35" t="n">
        <v>2</v>
      </c>
      <c r="N937" s="35" t="n">
        <v>2</v>
      </c>
      <c r="O937" s="7" t="n">
        <v>65</v>
      </c>
      <c r="P937" s="8" t="inlineStr">
        <is>
          <t>6 semaines</t>
        </is>
      </c>
      <c r="Q937" s="2" t="n">
        <v>44196</v>
      </c>
    </row>
    <row r="938">
      <c r="A938" s="90" t="n">
        <v>34404989</v>
      </c>
      <c r="B938" s="2">
        <f>INDEX(Tableau1[], MATCH(Tableau3[[#This Row],[REFERENCE]], Tableau1[NUMERO], 0), 2)</f>
        <v/>
      </c>
      <c r="C938">
        <f>INDEX(Tableau1[], MATCH(Tableau3[[#This Row],[REFERENCE]], Tableau1[NUMERO], 0), 3)</f>
        <v/>
      </c>
      <c r="D938">
        <f>INDEX(Tableau1[], MATCH(Tableau3[[#This Row],[REFERENCE]], Tableau1[NUMERO], 0),4)</f>
        <v/>
      </c>
      <c r="E938">
        <f>INDEX(Tableau1[], MATCH(Tableau3[[#This Row],[REFERENCE]], Tableau1[NUMERO], 0), 5)</f>
        <v/>
      </c>
      <c r="H938" t="inlineStr">
        <is>
          <t>TCS</t>
        </is>
      </c>
      <c r="J938" s="11" t="inlineStr">
        <is>
          <t>10/09 - 18/09 - 28/09</t>
        </is>
      </c>
      <c r="K938" s="76" t="n">
        <v>44104</v>
      </c>
      <c r="L938" s="2" t="n"/>
      <c r="M938" s="35" t="n">
        <v>2</v>
      </c>
      <c r="N938" s="35" t="n">
        <v>1</v>
      </c>
      <c r="O938" s="7" t="n">
        <v>52</v>
      </c>
      <c r="P938" s="8" t="inlineStr">
        <is>
          <t>6 semaines</t>
        </is>
      </c>
      <c r="Q938" s="2" t="n">
        <v>44196</v>
      </c>
    </row>
    <row r="939">
      <c r="A939" s="90" t="inlineStr">
        <is>
          <t>34404991_RAL7035</t>
        </is>
      </c>
      <c r="B939" s="2">
        <f>INDEX(Tableau1[], MATCH(Tableau3[[#This Row],[REFERENCE]], Tableau1[NUMERO], 0), 2)</f>
        <v/>
      </c>
      <c r="C939">
        <f>INDEX(Tableau1[], MATCH(Tableau3[[#This Row],[REFERENCE]], Tableau1[NUMERO], 0), 3)</f>
        <v/>
      </c>
      <c r="D939">
        <f>INDEX(Tableau1[], MATCH(Tableau3[[#This Row],[REFERENCE]], Tableau1[NUMERO], 0),4)</f>
        <v/>
      </c>
      <c r="E939">
        <f>INDEX(Tableau1[], MATCH(Tableau3[[#This Row],[REFERENCE]], Tableau1[NUMERO], 0), 5)</f>
        <v/>
      </c>
      <c r="H939" t="inlineStr">
        <is>
          <t>TCS</t>
        </is>
      </c>
      <c r="J939" s="11" t="inlineStr">
        <is>
          <t>10/09 - 18/09 - 28/09</t>
        </is>
      </c>
      <c r="K939" s="76" t="n">
        <v>44104</v>
      </c>
      <c r="L939" s="2" t="n"/>
      <c r="M939" s="35" t="n">
        <v>2</v>
      </c>
      <c r="N939" s="35" t="n">
        <v>2</v>
      </c>
      <c r="O939" s="7" t="n">
        <v>44</v>
      </c>
      <c r="P939" s="8" t="inlineStr">
        <is>
          <t>6 semaines</t>
        </is>
      </c>
      <c r="Q939" s="2" t="n">
        <v>44196</v>
      </c>
    </row>
    <row r="940">
      <c r="A940" s="90" t="inlineStr">
        <is>
          <t>34404992_RAL7035</t>
        </is>
      </c>
      <c r="B940" s="2">
        <f>INDEX(Tableau1[], MATCH(Tableau3[[#This Row],[REFERENCE]], Tableau1[NUMERO], 0), 2)</f>
        <v/>
      </c>
      <c r="C940">
        <f>INDEX(Tableau1[], MATCH(Tableau3[[#This Row],[REFERENCE]], Tableau1[NUMERO], 0), 3)</f>
        <v/>
      </c>
      <c r="D940">
        <f>INDEX(Tableau1[], MATCH(Tableau3[[#This Row],[REFERENCE]], Tableau1[NUMERO], 0),4)</f>
        <v/>
      </c>
      <c r="E940">
        <f>INDEX(Tableau1[], MATCH(Tableau3[[#This Row],[REFERENCE]], Tableau1[NUMERO], 0), 5)</f>
        <v/>
      </c>
      <c r="H940" t="inlineStr">
        <is>
          <t>TCS</t>
        </is>
      </c>
      <c r="J940" s="11" t="inlineStr">
        <is>
          <t>10/09 - 18/09 - 28/09</t>
        </is>
      </c>
      <c r="K940" s="76" t="n">
        <v>44104</v>
      </c>
      <c r="L940" s="2" t="n"/>
      <c r="M940" s="35" t="n">
        <v>4</v>
      </c>
      <c r="N940" s="35" t="n">
        <v>2</v>
      </c>
      <c r="O940" s="7" t="n">
        <v>35</v>
      </c>
      <c r="P940" s="8" t="inlineStr">
        <is>
          <t>6 semaines</t>
        </is>
      </c>
      <c r="Q940" s="2" t="n">
        <v>44196</v>
      </c>
    </row>
    <row r="941">
      <c r="A941" s="90" t="inlineStr">
        <is>
          <t>34406407_RAL7035</t>
        </is>
      </c>
      <c r="B941" s="2">
        <f>INDEX(Tableau1[], MATCH(Tableau3[[#This Row],[REFERENCE]], Tableau1[NUMERO], 0), 2)</f>
        <v/>
      </c>
      <c r="C941">
        <f>INDEX(Tableau1[], MATCH(Tableau3[[#This Row],[REFERENCE]], Tableau1[NUMERO], 0), 3)</f>
        <v/>
      </c>
      <c r="D941">
        <f>INDEX(Tableau1[], MATCH(Tableau3[[#This Row],[REFERENCE]], Tableau1[NUMERO], 0),4)</f>
        <v/>
      </c>
      <c r="E941">
        <f>INDEX(Tableau1[], MATCH(Tableau3[[#This Row],[REFERENCE]], Tableau1[NUMERO], 0), 5)</f>
        <v/>
      </c>
      <c r="H941" t="inlineStr">
        <is>
          <t>TCS</t>
        </is>
      </c>
      <c r="J941" s="11" t="inlineStr">
        <is>
          <t>10/09 - 18/09 - 28/09</t>
        </is>
      </c>
      <c r="K941" s="76" t="n">
        <v>44104</v>
      </c>
      <c r="L941" s="2" t="n"/>
      <c r="M941" s="35" t="n">
        <v>1</v>
      </c>
      <c r="N941" s="35" t="n">
        <v>2</v>
      </c>
      <c r="O941" s="7" t="n">
        <v>34</v>
      </c>
      <c r="P941" s="8" t="inlineStr">
        <is>
          <t>6 semaines</t>
        </is>
      </c>
      <c r="Q941" s="2" t="n">
        <v>44196</v>
      </c>
    </row>
    <row r="942">
      <c r="A942" s="90" t="inlineStr">
        <is>
          <t>34406408_RAL7035</t>
        </is>
      </c>
      <c r="B942" s="2">
        <f>INDEX(Tableau1[], MATCH(Tableau3[[#This Row],[REFERENCE]], Tableau1[NUMERO], 0), 2)</f>
        <v/>
      </c>
      <c r="C942">
        <f>INDEX(Tableau1[], MATCH(Tableau3[[#This Row],[REFERENCE]], Tableau1[NUMERO], 0), 3)</f>
        <v/>
      </c>
      <c r="D942">
        <f>INDEX(Tableau1[], MATCH(Tableau3[[#This Row],[REFERENCE]], Tableau1[NUMERO], 0),4)</f>
        <v/>
      </c>
      <c r="E942">
        <f>INDEX(Tableau1[], MATCH(Tableau3[[#This Row],[REFERENCE]], Tableau1[NUMERO], 0), 5)</f>
        <v/>
      </c>
      <c r="H942" t="inlineStr">
        <is>
          <t>TCS</t>
        </is>
      </c>
      <c r="J942" s="11" t="inlineStr">
        <is>
          <t>10/09 - 18/09 - 28/09</t>
        </is>
      </c>
      <c r="K942" s="76" t="n">
        <v>44104</v>
      </c>
      <c r="L942" s="2" t="n"/>
      <c r="M942" s="35" t="n">
        <v>1</v>
      </c>
      <c r="N942" s="35" t="n">
        <v>2</v>
      </c>
      <c r="O942" s="7" t="n">
        <v>34</v>
      </c>
      <c r="P942" s="8" t="inlineStr">
        <is>
          <t>6 semaines</t>
        </is>
      </c>
      <c r="Q942" s="2" t="n">
        <v>44196</v>
      </c>
    </row>
    <row r="943">
      <c r="A943" s="90" t="inlineStr">
        <is>
          <t>34406409_RAL7035</t>
        </is>
      </c>
      <c r="B943" s="2">
        <f>INDEX(Tableau1[], MATCH(Tableau3[[#This Row],[REFERENCE]], Tableau1[NUMERO], 0), 2)</f>
        <v/>
      </c>
      <c r="C943">
        <f>INDEX(Tableau1[], MATCH(Tableau3[[#This Row],[REFERENCE]], Tableau1[NUMERO], 0), 3)</f>
        <v/>
      </c>
      <c r="D943">
        <f>INDEX(Tableau1[], MATCH(Tableau3[[#This Row],[REFERENCE]], Tableau1[NUMERO], 0),4)</f>
        <v/>
      </c>
      <c r="E943">
        <f>INDEX(Tableau1[], MATCH(Tableau3[[#This Row],[REFERENCE]], Tableau1[NUMERO], 0), 5)</f>
        <v/>
      </c>
      <c r="H943" t="inlineStr">
        <is>
          <t>TCS</t>
        </is>
      </c>
      <c r="J943" s="11" t="inlineStr">
        <is>
          <t>10/09 - 18/09 - 28/09</t>
        </is>
      </c>
      <c r="K943" s="76" t="n">
        <v>44104</v>
      </c>
      <c r="L943" s="2" t="n"/>
      <c r="M943" s="35" t="n">
        <v>2</v>
      </c>
      <c r="N943" s="35" t="n">
        <v>1</v>
      </c>
      <c r="O943" s="7" t="n">
        <v>41</v>
      </c>
      <c r="P943" s="8" t="inlineStr">
        <is>
          <t>6 semaines</t>
        </is>
      </c>
      <c r="Q943" s="2" t="n">
        <v>44196</v>
      </c>
    </row>
    <row r="944">
      <c r="A944" s="90" t="inlineStr">
        <is>
          <t>34406410_RAL7035</t>
        </is>
      </c>
      <c r="B944" s="2">
        <f>INDEX(Tableau1[], MATCH(Tableau3[[#This Row],[REFERENCE]], Tableau1[NUMERO], 0), 2)</f>
        <v/>
      </c>
      <c r="C944">
        <f>INDEX(Tableau1[], MATCH(Tableau3[[#This Row],[REFERENCE]], Tableau1[NUMERO], 0), 3)</f>
        <v/>
      </c>
      <c r="D944">
        <f>INDEX(Tableau1[], MATCH(Tableau3[[#This Row],[REFERENCE]], Tableau1[NUMERO], 0),4)</f>
        <v/>
      </c>
      <c r="E944">
        <f>INDEX(Tableau1[], MATCH(Tableau3[[#This Row],[REFERENCE]], Tableau1[NUMERO], 0), 5)</f>
        <v/>
      </c>
      <c r="H944" t="inlineStr">
        <is>
          <t>TCS</t>
        </is>
      </c>
      <c r="J944" s="11" t="inlineStr">
        <is>
          <t>10/09 - 18/09 - 28/09</t>
        </is>
      </c>
      <c r="K944" s="76" t="n">
        <v>44104</v>
      </c>
      <c r="L944" s="2" t="n"/>
      <c r="M944" s="35" t="n">
        <v>1</v>
      </c>
      <c r="N944" s="35" t="n">
        <v>1</v>
      </c>
      <c r="O944" s="7" t="n">
        <v>41</v>
      </c>
      <c r="P944" s="8" t="inlineStr">
        <is>
          <t>6 semaines</t>
        </is>
      </c>
      <c r="Q944" s="2" t="n">
        <v>44196</v>
      </c>
    </row>
    <row r="945">
      <c r="A945" s="90" t="inlineStr">
        <is>
          <t>34406411_RAL7035</t>
        </is>
      </c>
      <c r="B945" s="2">
        <f>INDEX(Tableau1[], MATCH(Tableau3[[#This Row],[REFERENCE]], Tableau1[NUMERO], 0), 2)</f>
        <v/>
      </c>
      <c r="C945">
        <f>INDEX(Tableau1[], MATCH(Tableau3[[#This Row],[REFERENCE]], Tableau1[NUMERO], 0), 3)</f>
        <v/>
      </c>
      <c r="D945">
        <f>INDEX(Tableau1[], MATCH(Tableau3[[#This Row],[REFERENCE]], Tableau1[NUMERO], 0),4)</f>
        <v/>
      </c>
      <c r="E945">
        <f>INDEX(Tableau1[], MATCH(Tableau3[[#This Row],[REFERENCE]], Tableau1[NUMERO], 0), 5)</f>
        <v/>
      </c>
      <c r="H945" t="inlineStr">
        <is>
          <t>TCS</t>
        </is>
      </c>
      <c r="J945" s="11" t="inlineStr">
        <is>
          <t>10/09 - 18/09 - 28/09</t>
        </is>
      </c>
      <c r="K945" s="76" t="n">
        <v>44104</v>
      </c>
      <c r="L945" s="2" t="n"/>
      <c r="M945" s="35" t="n">
        <v>2</v>
      </c>
      <c r="N945" s="35" t="n">
        <v>1</v>
      </c>
      <c r="O945" s="7" t="n">
        <v>61</v>
      </c>
      <c r="P945" s="8" t="inlineStr">
        <is>
          <t>6 semaines</t>
        </is>
      </c>
      <c r="Q945" s="2" t="n">
        <v>44196</v>
      </c>
    </row>
    <row r="946">
      <c r="A946" s="90" t="inlineStr">
        <is>
          <t>34406412_RAL7035</t>
        </is>
      </c>
      <c r="B946" s="2">
        <f>INDEX(Tableau1[], MATCH(Tableau3[[#This Row],[REFERENCE]], Tableau1[NUMERO], 0), 2)</f>
        <v/>
      </c>
      <c r="C946">
        <f>INDEX(Tableau1[], MATCH(Tableau3[[#This Row],[REFERENCE]], Tableau1[NUMERO], 0), 3)</f>
        <v/>
      </c>
      <c r="D946">
        <f>INDEX(Tableau1[], MATCH(Tableau3[[#This Row],[REFERENCE]], Tableau1[NUMERO], 0),4)</f>
        <v/>
      </c>
      <c r="E946">
        <f>INDEX(Tableau1[], MATCH(Tableau3[[#This Row],[REFERENCE]], Tableau1[NUMERO], 0), 5)</f>
        <v/>
      </c>
      <c r="H946" t="inlineStr">
        <is>
          <t>TCS</t>
        </is>
      </c>
      <c r="J946" s="11" t="inlineStr">
        <is>
          <t>10/09 - 18/09 - 28/09</t>
        </is>
      </c>
      <c r="K946" s="76" t="n">
        <v>44104</v>
      </c>
      <c r="L946" s="2" t="n"/>
      <c r="M946" s="35" t="n">
        <v>2</v>
      </c>
      <c r="N946" s="35" t="n">
        <v>1</v>
      </c>
      <c r="O946" s="7" t="n">
        <v>61</v>
      </c>
      <c r="P946" s="8" t="inlineStr">
        <is>
          <t>6 semaines</t>
        </is>
      </c>
      <c r="Q946" s="2" t="n">
        <v>44196</v>
      </c>
    </row>
    <row r="947">
      <c r="A947" s="90" t="inlineStr">
        <is>
          <t>34406413_RAL7035</t>
        </is>
      </c>
      <c r="B947" s="2">
        <f>INDEX(Tableau1[], MATCH(Tableau3[[#This Row],[REFERENCE]], Tableau1[NUMERO], 0), 2)</f>
        <v/>
      </c>
      <c r="C947">
        <f>INDEX(Tableau1[], MATCH(Tableau3[[#This Row],[REFERENCE]], Tableau1[NUMERO], 0), 3)</f>
        <v/>
      </c>
      <c r="D947">
        <f>INDEX(Tableau1[], MATCH(Tableau3[[#This Row],[REFERENCE]], Tableau1[NUMERO], 0),4)</f>
        <v/>
      </c>
      <c r="E947">
        <f>INDEX(Tableau1[], MATCH(Tableau3[[#This Row],[REFERENCE]], Tableau1[NUMERO], 0), 5)</f>
        <v/>
      </c>
      <c r="H947" t="inlineStr">
        <is>
          <t>TCS</t>
        </is>
      </c>
      <c r="J947" s="11" t="inlineStr">
        <is>
          <t>10/09 - 18/09 - 28/09</t>
        </is>
      </c>
      <c r="K947" s="76" t="n">
        <v>44104</v>
      </c>
      <c r="L947" s="2" t="n"/>
      <c r="M947" s="35" t="n">
        <v>1</v>
      </c>
      <c r="N947" s="35" t="n">
        <v>1</v>
      </c>
      <c r="O947" s="7" t="n">
        <v>43</v>
      </c>
      <c r="P947" s="8" t="inlineStr">
        <is>
          <t>6 semaines</t>
        </is>
      </c>
      <c r="Q947" s="2" t="n">
        <v>44196</v>
      </c>
    </row>
    <row r="948">
      <c r="A948" s="90" t="inlineStr">
        <is>
          <t>34406414_RAL7035</t>
        </is>
      </c>
      <c r="B948" s="2">
        <f>INDEX(Tableau1[], MATCH(Tableau3[[#This Row],[REFERENCE]], Tableau1[NUMERO], 0), 2)</f>
        <v/>
      </c>
      <c r="C948">
        <f>INDEX(Tableau1[], MATCH(Tableau3[[#This Row],[REFERENCE]], Tableau1[NUMERO], 0), 3)</f>
        <v/>
      </c>
      <c r="D948">
        <f>INDEX(Tableau1[], MATCH(Tableau3[[#This Row],[REFERENCE]], Tableau1[NUMERO], 0),4)</f>
        <v/>
      </c>
      <c r="E948">
        <f>INDEX(Tableau1[], MATCH(Tableau3[[#This Row],[REFERENCE]], Tableau1[NUMERO], 0), 5)</f>
        <v/>
      </c>
      <c r="H948" t="inlineStr">
        <is>
          <t>TCS</t>
        </is>
      </c>
      <c r="J948" s="11" t="inlineStr">
        <is>
          <t>10/09 - 18/09 - 28/09</t>
        </is>
      </c>
      <c r="K948" s="76" t="n">
        <v>44104</v>
      </c>
      <c r="L948" s="2" t="n"/>
      <c r="M948" s="35" t="n">
        <v>1</v>
      </c>
      <c r="N948" s="35" t="n">
        <v>1</v>
      </c>
      <c r="O948" s="7" t="n">
        <v>44</v>
      </c>
      <c r="P948" s="8" t="inlineStr">
        <is>
          <t>6 semaines</t>
        </is>
      </c>
      <c r="Q948" s="2" t="n">
        <v>44196</v>
      </c>
    </row>
    <row r="949">
      <c r="A949" s="90" t="inlineStr">
        <is>
          <t>34406415_RAL7035</t>
        </is>
      </c>
      <c r="B949" s="2">
        <f>INDEX(Tableau1[], MATCH(Tableau3[[#This Row],[REFERENCE]], Tableau1[NUMERO], 0), 2)</f>
        <v/>
      </c>
      <c r="C949">
        <f>INDEX(Tableau1[], MATCH(Tableau3[[#This Row],[REFERENCE]], Tableau1[NUMERO], 0), 3)</f>
        <v/>
      </c>
      <c r="D949">
        <f>INDEX(Tableau1[], MATCH(Tableau3[[#This Row],[REFERENCE]], Tableau1[NUMERO], 0),4)</f>
        <v/>
      </c>
      <c r="E949">
        <f>INDEX(Tableau1[], MATCH(Tableau3[[#This Row],[REFERENCE]], Tableau1[NUMERO], 0), 5)</f>
        <v/>
      </c>
      <c r="H949" t="inlineStr">
        <is>
          <t>TCS</t>
        </is>
      </c>
      <c r="J949" s="11" t="inlineStr">
        <is>
          <t>10/09 - 18/09 - 28/09</t>
        </is>
      </c>
      <c r="K949" s="76" t="n">
        <v>44104</v>
      </c>
      <c r="L949" s="2" t="n"/>
      <c r="M949" s="35" t="n">
        <v>1</v>
      </c>
      <c r="N949" s="35" t="n">
        <v>1</v>
      </c>
      <c r="O949" s="7" t="n">
        <v>43</v>
      </c>
      <c r="P949" s="8" t="inlineStr">
        <is>
          <t>6 semaines</t>
        </is>
      </c>
      <c r="Q949" s="2" t="n">
        <v>44196</v>
      </c>
    </row>
    <row r="950">
      <c r="A950" s="90" t="inlineStr">
        <is>
          <t>34406416_RAL7035</t>
        </is>
      </c>
      <c r="B950" s="2">
        <f>INDEX(Tableau1[], MATCH(Tableau3[[#This Row],[REFERENCE]], Tableau1[NUMERO], 0), 2)</f>
        <v/>
      </c>
      <c r="C950">
        <f>INDEX(Tableau1[], MATCH(Tableau3[[#This Row],[REFERENCE]], Tableau1[NUMERO], 0), 3)</f>
        <v/>
      </c>
      <c r="D950">
        <f>INDEX(Tableau1[], MATCH(Tableau3[[#This Row],[REFERENCE]], Tableau1[NUMERO], 0),4)</f>
        <v/>
      </c>
      <c r="E950">
        <f>INDEX(Tableau1[], MATCH(Tableau3[[#This Row],[REFERENCE]], Tableau1[NUMERO], 0), 5)</f>
        <v/>
      </c>
      <c r="H950" t="inlineStr">
        <is>
          <t>TCS</t>
        </is>
      </c>
      <c r="J950" s="11" t="inlineStr">
        <is>
          <t>10/09 - 18/09 - 28/09</t>
        </is>
      </c>
      <c r="K950" s="76" t="n">
        <v>44104</v>
      </c>
      <c r="L950" s="2" t="n"/>
      <c r="M950" s="35" t="n">
        <v>1</v>
      </c>
      <c r="N950" s="35" t="n">
        <v>1</v>
      </c>
      <c r="O950" s="7" t="n">
        <v>41</v>
      </c>
      <c r="P950" s="8" t="inlineStr">
        <is>
          <t>6 semaines</t>
        </is>
      </c>
      <c r="Q950" s="2" t="n">
        <v>44196</v>
      </c>
    </row>
    <row r="951">
      <c r="A951" s="90" t="inlineStr">
        <is>
          <t>34406417_RAL7035</t>
        </is>
      </c>
      <c r="B951" s="2">
        <f>INDEX(Tableau1[], MATCH(Tableau3[[#This Row],[REFERENCE]], Tableau1[NUMERO], 0), 2)</f>
        <v/>
      </c>
      <c r="C951">
        <f>INDEX(Tableau1[], MATCH(Tableau3[[#This Row],[REFERENCE]], Tableau1[NUMERO], 0), 3)</f>
        <v/>
      </c>
      <c r="D951">
        <f>INDEX(Tableau1[], MATCH(Tableau3[[#This Row],[REFERENCE]], Tableau1[NUMERO], 0),4)</f>
        <v/>
      </c>
      <c r="E951">
        <f>INDEX(Tableau1[], MATCH(Tableau3[[#This Row],[REFERENCE]], Tableau1[NUMERO], 0), 5)</f>
        <v/>
      </c>
      <c r="H951" t="inlineStr">
        <is>
          <t>TCS</t>
        </is>
      </c>
      <c r="J951" s="11" t="inlineStr">
        <is>
          <t>10/09 - 18/09 - 28/09</t>
        </is>
      </c>
      <c r="K951" s="76" t="n">
        <v>44104</v>
      </c>
      <c r="L951" s="2" t="n"/>
      <c r="M951" s="35" t="n">
        <v>1</v>
      </c>
      <c r="N951" s="35" t="n">
        <v>1</v>
      </c>
      <c r="O951" s="7" t="n">
        <v>47</v>
      </c>
      <c r="P951" s="8" t="inlineStr">
        <is>
          <t>6 semaines</t>
        </is>
      </c>
      <c r="Q951" s="2" t="n">
        <v>44196</v>
      </c>
    </row>
    <row r="952">
      <c r="A952" s="90" t="inlineStr">
        <is>
          <t>34406418_RAL7035</t>
        </is>
      </c>
      <c r="B952" s="2">
        <f>INDEX(Tableau1[], MATCH(Tableau3[[#This Row],[REFERENCE]], Tableau1[NUMERO], 0), 2)</f>
        <v/>
      </c>
      <c r="C952">
        <f>INDEX(Tableau1[], MATCH(Tableau3[[#This Row],[REFERENCE]], Tableau1[NUMERO], 0), 3)</f>
        <v/>
      </c>
      <c r="D952">
        <f>INDEX(Tableau1[], MATCH(Tableau3[[#This Row],[REFERENCE]], Tableau1[NUMERO], 0),4)</f>
        <v/>
      </c>
      <c r="E952">
        <f>INDEX(Tableau1[], MATCH(Tableau3[[#This Row],[REFERENCE]], Tableau1[NUMERO], 0), 5)</f>
        <v/>
      </c>
      <c r="H952" t="inlineStr">
        <is>
          <t>TCS</t>
        </is>
      </c>
      <c r="J952" s="11" t="inlineStr">
        <is>
          <t>10/09 - 18/09 - 28/09</t>
        </is>
      </c>
      <c r="K952" s="76" t="n">
        <v>44104</v>
      </c>
      <c r="L952" s="2" t="n"/>
      <c r="M952" s="35" t="n">
        <v>2</v>
      </c>
      <c r="N952" s="35" t="n">
        <v>1</v>
      </c>
      <c r="O952" s="7" t="n">
        <v>35</v>
      </c>
      <c r="P952" s="8" t="inlineStr">
        <is>
          <t>6 semaines</t>
        </is>
      </c>
      <c r="Q952" s="2" t="n">
        <v>44196</v>
      </c>
    </row>
    <row r="953">
      <c r="A953" s="90" t="n">
        <v>34406420</v>
      </c>
      <c r="B953" s="2">
        <f>INDEX(Tableau1[], MATCH(Tableau3[[#This Row],[REFERENCE]], Tableau1[NUMERO], 0), 2)</f>
        <v/>
      </c>
      <c r="C953">
        <f>INDEX(Tableau1[], MATCH(Tableau3[[#This Row],[REFERENCE]], Tableau1[NUMERO], 0), 3)</f>
        <v/>
      </c>
      <c r="D953">
        <f>INDEX(Tableau1[], MATCH(Tableau3[[#This Row],[REFERENCE]], Tableau1[NUMERO], 0),4)</f>
        <v/>
      </c>
      <c r="E953">
        <f>INDEX(Tableau1[], MATCH(Tableau3[[#This Row],[REFERENCE]], Tableau1[NUMERO], 0), 5)</f>
        <v/>
      </c>
      <c r="H953" t="inlineStr">
        <is>
          <t>TCS</t>
        </is>
      </c>
      <c r="J953" s="11" t="inlineStr">
        <is>
          <t>10/09 - 18/09 - 28/09</t>
        </is>
      </c>
      <c r="K953" s="76" t="n">
        <v>44104</v>
      </c>
      <c r="L953" s="2" t="n"/>
      <c r="M953" s="35" t="n">
        <v>2</v>
      </c>
      <c r="N953" s="35" t="n">
        <v>1</v>
      </c>
      <c r="O953" s="7" t="n">
        <v>51</v>
      </c>
      <c r="P953" s="8" t="inlineStr">
        <is>
          <t>6 semaines</t>
        </is>
      </c>
      <c r="Q953" s="2" t="n">
        <v>44196</v>
      </c>
    </row>
    <row r="954">
      <c r="A954" s="90" t="n">
        <v>34406421</v>
      </c>
      <c r="B954" s="2">
        <f>INDEX(Tableau1[], MATCH(Tableau3[[#This Row],[REFERENCE]], Tableau1[NUMERO], 0), 2)</f>
        <v/>
      </c>
      <c r="C954">
        <f>INDEX(Tableau1[], MATCH(Tableau3[[#This Row],[REFERENCE]], Tableau1[NUMERO], 0), 3)</f>
        <v/>
      </c>
      <c r="D954">
        <f>INDEX(Tableau1[], MATCH(Tableau3[[#This Row],[REFERENCE]], Tableau1[NUMERO], 0),4)</f>
        <v/>
      </c>
      <c r="E954">
        <f>INDEX(Tableau1[], MATCH(Tableau3[[#This Row],[REFERENCE]], Tableau1[NUMERO], 0), 5)</f>
        <v/>
      </c>
      <c r="H954" t="inlineStr">
        <is>
          <t>TCS</t>
        </is>
      </c>
      <c r="J954" s="11" t="inlineStr">
        <is>
          <t>10/09 - 18/09 - 28/09</t>
        </is>
      </c>
      <c r="K954" s="76" t="n">
        <v>44104</v>
      </c>
      <c r="L954" s="2" t="n"/>
      <c r="M954" s="35" t="n">
        <v>2</v>
      </c>
      <c r="N954" s="35" t="n">
        <v>1</v>
      </c>
      <c r="O954" s="7" t="n">
        <v>48</v>
      </c>
      <c r="P954" s="8" t="inlineStr">
        <is>
          <t>6 semaines</t>
        </is>
      </c>
      <c r="Q954" s="2" t="n">
        <v>44196</v>
      </c>
    </row>
    <row r="955">
      <c r="A955" s="90" t="n">
        <v>34406454</v>
      </c>
      <c r="B955" s="2">
        <f>INDEX(Tableau1[], MATCH(Tableau3[[#This Row],[REFERENCE]], Tableau1[NUMERO], 0), 2)</f>
        <v/>
      </c>
      <c r="C955">
        <f>INDEX(Tableau1[], MATCH(Tableau3[[#This Row],[REFERENCE]], Tableau1[NUMERO], 0), 3)</f>
        <v/>
      </c>
      <c r="D955">
        <f>INDEX(Tableau1[], MATCH(Tableau3[[#This Row],[REFERENCE]], Tableau1[NUMERO], 0),4)</f>
        <v/>
      </c>
      <c r="E955">
        <f>INDEX(Tableau1[], MATCH(Tableau3[[#This Row],[REFERENCE]], Tableau1[NUMERO], 0), 5)</f>
        <v/>
      </c>
      <c r="H955" t="inlineStr">
        <is>
          <t>TCS</t>
        </is>
      </c>
      <c r="J955" s="11" t="inlineStr">
        <is>
          <t>10/09 - 18/09 - 28/09</t>
        </is>
      </c>
      <c r="K955" s="76" t="n">
        <v>44104</v>
      </c>
      <c r="L955" s="2" t="n"/>
      <c r="M955" s="35" t="n">
        <v>1</v>
      </c>
      <c r="N955" s="35" t="n">
        <v>1</v>
      </c>
      <c r="O955" s="7" t="n">
        <v>22</v>
      </c>
      <c r="P955" s="8" t="inlineStr">
        <is>
          <t>6 semaines</t>
        </is>
      </c>
      <c r="Q955" s="2" t="n">
        <v>44196</v>
      </c>
    </row>
    <row r="956" ht="15.75" customHeight="1" s="142" thickBot="1">
      <c r="A956" s="90" t="n">
        <v>34404932</v>
      </c>
      <c r="B956" s="2">
        <f>INDEX(Tableau1[], MATCH(Tableau3[[#This Row],[REFERENCE]], Tableau1[NUMERO], 0), 2)</f>
        <v/>
      </c>
      <c r="C956">
        <f>INDEX(Tableau1[], MATCH(Tableau3[[#This Row],[REFERENCE]], Tableau1[NUMERO], 0), 3)</f>
        <v/>
      </c>
      <c r="D956">
        <f>INDEX(Tableau1[], MATCH(Tableau3[[#This Row],[REFERENCE]], Tableau1[NUMERO], 0),4)</f>
        <v/>
      </c>
      <c r="E956">
        <f>INDEX(Tableau1[], MATCH(Tableau3[[#This Row],[REFERENCE]], Tableau1[NUMERO], 0), 5)</f>
        <v/>
      </c>
      <c r="H956" t="inlineStr">
        <is>
          <t>TCS</t>
        </is>
      </c>
      <c r="J956" s="11" t="inlineStr">
        <is>
          <t>10/09 - 18/09 - 28/09</t>
        </is>
      </c>
      <c r="K956" s="76" t="n">
        <v>44104</v>
      </c>
      <c r="L956" s="2" t="n"/>
      <c r="M956" s="35" t="n">
        <v>1</v>
      </c>
      <c r="N956" s="35" t="n">
        <v>8</v>
      </c>
      <c r="O956" s="7" t="n">
        <v>45</v>
      </c>
      <c r="P956" s="8" t="inlineStr">
        <is>
          <t>6 semaines</t>
        </is>
      </c>
      <c r="Q956" s="2" t="n">
        <v>44196</v>
      </c>
    </row>
    <row r="957" ht="15.75" customFormat="1" customHeight="1" s="52" thickTop="1">
      <c r="A957" s="50" t="n">
        <v>34404945</v>
      </c>
      <c r="B957" s="51">
        <f>INDEX(Tableau1[], MATCH(Tableau3[[#This Row],[REFERENCE]], Tableau1[NUMERO], 0), 2)</f>
        <v/>
      </c>
      <c r="C957" s="52">
        <f>INDEX(Tableau1[], MATCH(Tableau3[[#This Row],[REFERENCE]], Tableau1[NUMERO], 0), 3)</f>
        <v/>
      </c>
      <c r="D957" s="52">
        <f>INDEX(Tableau1[], MATCH(Tableau3[[#This Row],[REFERENCE]], Tableau1[NUMERO], 0),4)</f>
        <v/>
      </c>
      <c r="E957" s="52">
        <f>INDEX(Tableau1[], MATCH(Tableau3[[#This Row],[REFERENCE]], Tableau1[NUMERO], 0), 5)</f>
        <v/>
      </c>
      <c r="H957" s="52" t="inlineStr">
        <is>
          <t>Romaire</t>
        </is>
      </c>
      <c r="I957" s="50" t="n"/>
      <c r="J957" s="51" t="n">
        <v>44084</v>
      </c>
      <c r="K957" s="51" t="n">
        <v>44089</v>
      </c>
      <c r="L957" s="51" t="n"/>
      <c r="M957" s="54" t="n">
        <v>2</v>
      </c>
      <c r="N957" s="54" t="n">
        <v>2</v>
      </c>
      <c r="O957" s="121" t="n">
        <v>88.5</v>
      </c>
      <c r="P957" s="50" t="inlineStr">
        <is>
          <t>6 semaines</t>
        </is>
      </c>
      <c r="Q957" s="51" t="n">
        <v>44180</v>
      </c>
    </row>
    <row r="958">
      <c r="A958" s="8" t="n">
        <v>34404923</v>
      </c>
      <c r="B958" s="2">
        <f>INDEX(Tableau1[], MATCH(Tableau3[[#This Row],[REFERENCE]], Tableau1[NUMERO], 0), 2)</f>
        <v/>
      </c>
      <c r="C958">
        <f>INDEX(Tableau1[], MATCH(Tableau3[[#This Row],[REFERENCE]], Tableau1[NUMERO], 0), 3)</f>
        <v/>
      </c>
      <c r="D958">
        <f>INDEX(Tableau1[], MATCH(Tableau3[[#This Row],[REFERENCE]], Tableau1[NUMERO], 0),4)</f>
        <v/>
      </c>
      <c r="E958">
        <f>INDEX(Tableau1[], MATCH(Tableau3[[#This Row],[REFERENCE]], Tableau1[NUMERO], 0), 5)</f>
        <v/>
      </c>
      <c r="H958" t="inlineStr">
        <is>
          <t>Romaire</t>
        </is>
      </c>
      <c r="J958" s="2" t="n">
        <v>44084</v>
      </c>
      <c r="K958" s="2" t="n">
        <v>44089</v>
      </c>
      <c r="L958" s="2" t="n"/>
      <c r="M958" s="35" t="n">
        <v>3</v>
      </c>
      <c r="N958" s="35" t="n">
        <v>2</v>
      </c>
      <c r="O958" s="122" t="n">
        <v>106.5</v>
      </c>
      <c r="P958" s="8" t="inlineStr">
        <is>
          <t>3 SEMAINES</t>
        </is>
      </c>
      <c r="Q958" s="2" t="n">
        <v>44180</v>
      </c>
    </row>
    <row r="959">
      <c r="A959" s="8" t="n">
        <v>34404924</v>
      </c>
      <c r="B959" s="2">
        <f>INDEX(Tableau1[], MATCH(Tableau3[[#This Row],[REFERENCE]], Tableau1[NUMERO], 0), 2)</f>
        <v/>
      </c>
      <c r="C959">
        <f>INDEX(Tableau1[], MATCH(Tableau3[[#This Row],[REFERENCE]], Tableau1[NUMERO], 0), 3)</f>
        <v/>
      </c>
      <c r="D959">
        <f>INDEX(Tableau1[], MATCH(Tableau3[[#This Row],[REFERENCE]], Tableau1[NUMERO], 0),4)</f>
        <v/>
      </c>
      <c r="E959">
        <f>INDEX(Tableau1[], MATCH(Tableau3[[#This Row],[REFERENCE]], Tableau1[NUMERO], 0), 5)</f>
        <v/>
      </c>
      <c r="H959" t="inlineStr">
        <is>
          <t>Romaire</t>
        </is>
      </c>
      <c r="J959" s="2" t="n">
        <v>44084</v>
      </c>
      <c r="K959" s="2" t="n">
        <v>44089</v>
      </c>
      <c r="L959" s="2" t="n"/>
      <c r="M959" s="35" t="n">
        <v>3</v>
      </c>
      <c r="N959" s="35" t="n">
        <v>2</v>
      </c>
      <c r="O959" s="122" t="n">
        <v>82.59999999999999</v>
      </c>
      <c r="P959" s="8" t="inlineStr">
        <is>
          <t>3 SEMAINES</t>
        </is>
      </c>
      <c r="Q959" s="2" t="n">
        <v>44180</v>
      </c>
    </row>
    <row r="960">
      <c r="A960" s="8" t="n">
        <v>34404933</v>
      </c>
      <c r="B960" s="2">
        <f>INDEX(Tableau1[], MATCH(Tableau3[[#This Row],[REFERENCE]], Tableau1[NUMERO], 0), 2)</f>
        <v/>
      </c>
      <c r="C960">
        <f>INDEX(Tableau1[], MATCH(Tableau3[[#This Row],[REFERENCE]], Tableau1[NUMERO], 0), 3)</f>
        <v/>
      </c>
      <c r="D960">
        <f>INDEX(Tableau1[], MATCH(Tableau3[[#This Row],[REFERENCE]], Tableau1[NUMERO], 0),4)</f>
        <v/>
      </c>
      <c r="E960">
        <f>INDEX(Tableau1[], MATCH(Tableau3[[#This Row],[REFERENCE]], Tableau1[NUMERO], 0), 5)</f>
        <v/>
      </c>
      <c r="H960" t="inlineStr">
        <is>
          <t>Romaire</t>
        </is>
      </c>
      <c r="J960" s="2" t="n">
        <v>44084</v>
      </c>
      <c r="K960" s="2" t="n">
        <v>44089</v>
      </c>
      <c r="L960" s="2" t="n"/>
      <c r="M960" s="35" t="n">
        <v>2</v>
      </c>
      <c r="N960" s="35" t="n">
        <v>2</v>
      </c>
      <c r="O960" s="122" t="n">
        <v>1111</v>
      </c>
      <c r="P960" s="8" t="inlineStr">
        <is>
          <t>3 SEMAINES</t>
        </is>
      </c>
      <c r="Q960" s="2" t="n">
        <v>44180</v>
      </c>
    </row>
    <row r="961">
      <c r="A961" s="8" t="n">
        <v>34404952</v>
      </c>
      <c r="B961" s="2">
        <f>INDEX(Tableau1[], MATCH(Tableau3[[#This Row],[REFERENCE]], Tableau1[NUMERO], 0), 2)</f>
        <v/>
      </c>
      <c r="C961">
        <f>INDEX(Tableau1[], MATCH(Tableau3[[#This Row],[REFERENCE]], Tableau1[NUMERO], 0), 3)</f>
        <v/>
      </c>
      <c r="D961">
        <f>INDEX(Tableau1[], MATCH(Tableau3[[#This Row],[REFERENCE]], Tableau1[NUMERO], 0),4)</f>
        <v/>
      </c>
      <c r="E961">
        <f>INDEX(Tableau1[], MATCH(Tableau3[[#This Row],[REFERENCE]], Tableau1[NUMERO], 0), 5)</f>
        <v/>
      </c>
      <c r="H961" t="inlineStr">
        <is>
          <t>Romaire</t>
        </is>
      </c>
      <c r="J961" s="2" t="n">
        <v>44084</v>
      </c>
      <c r="K961" s="2" t="n">
        <v>44089</v>
      </c>
      <c r="L961" s="2" t="n"/>
      <c r="M961" s="35" t="n">
        <v>2</v>
      </c>
      <c r="N961" s="35" t="n">
        <v>1</v>
      </c>
      <c r="O961" s="122" t="n">
        <v>142</v>
      </c>
      <c r="P961" s="8" t="inlineStr">
        <is>
          <t>3 SEMAINES</t>
        </is>
      </c>
      <c r="Q961" s="2" t="n">
        <v>44180</v>
      </c>
    </row>
    <row r="962">
      <c r="A962" s="8" t="n">
        <v>34404957</v>
      </c>
      <c r="B962" s="2">
        <f>INDEX(Tableau1[], MATCH(Tableau3[[#This Row],[REFERENCE]], Tableau1[NUMERO], 0), 2)</f>
        <v/>
      </c>
      <c r="C962">
        <f>INDEX(Tableau1[], MATCH(Tableau3[[#This Row],[REFERENCE]], Tableau1[NUMERO], 0), 3)</f>
        <v/>
      </c>
      <c r="D962">
        <f>INDEX(Tableau1[], MATCH(Tableau3[[#This Row],[REFERENCE]], Tableau1[NUMERO], 0),4)</f>
        <v/>
      </c>
      <c r="E962">
        <f>INDEX(Tableau1[], MATCH(Tableau3[[#This Row],[REFERENCE]], Tableau1[NUMERO], 0), 5)</f>
        <v/>
      </c>
      <c r="H962" t="inlineStr">
        <is>
          <t>Romaire</t>
        </is>
      </c>
      <c r="J962" s="2" t="n">
        <v>44084</v>
      </c>
      <c r="K962" s="2" t="n">
        <v>44089</v>
      </c>
      <c r="L962" s="2" t="n"/>
      <c r="M962" s="35" t="n">
        <v>1</v>
      </c>
      <c r="N962" s="35" t="n">
        <v>5</v>
      </c>
      <c r="O962" s="122" t="n">
        <v>45</v>
      </c>
      <c r="P962" s="8" t="inlineStr">
        <is>
          <t>3 SEMAINES</t>
        </is>
      </c>
      <c r="Q962" s="2" t="n">
        <v>44180</v>
      </c>
    </row>
    <row r="963">
      <c r="A963" s="8" t="inlineStr">
        <is>
          <t>34404988_RAL9005</t>
        </is>
      </c>
      <c r="B963" s="2">
        <f>INDEX(Tableau1[], MATCH(Tableau3[[#This Row],[REFERENCE]], Tableau1[NUMERO], 0), 2)</f>
        <v/>
      </c>
      <c r="C963">
        <f>INDEX(Tableau1[], MATCH(Tableau3[[#This Row],[REFERENCE]], Tableau1[NUMERO], 0), 3)</f>
        <v/>
      </c>
      <c r="D963">
        <f>INDEX(Tableau1[], MATCH(Tableau3[[#This Row],[REFERENCE]], Tableau1[NUMERO], 0),4)</f>
        <v/>
      </c>
      <c r="E963">
        <f>INDEX(Tableau1[], MATCH(Tableau3[[#This Row],[REFERENCE]], Tableau1[NUMERO], 0), 5)</f>
        <v/>
      </c>
      <c r="H963" t="inlineStr">
        <is>
          <t>Romaire</t>
        </is>
      </c>
      <c r="J963" s="2" t="n">
        <v>44084</v>
      </c>
      <c r="K963" s="2" t="n">
        <v>44089</v>
      </c>
      <c r="L963" s="2" t="n"/>
      <c r="M963" s="35" t="n">
        <v>2</v>
      </c>
      <c r="N963" s="35" t="n">
        <v>2</v>
      </c>
      <c r="O963" s="122" t="n">
        <v>77</v>
      </c>
      <c r="P963" s="8" t="inlineStr">
        <is>
          <t>3 SEMAINES</t>
        </is>
      </c>
      <c r="Q963" s="2" t="n">
        <v>44180</v>
      </c>
    </row>
    <row r="964">
      <c r="A964" s="8" t="n">
        <v>34404989</v>
      </c>
      <c r="B964" s="2">
        <f>INDEX(Tableau1[], MATCH(Tableau3[[#This Row],[REFERENCE]], Tableau1[NUMERO], 0), 2)</f>
        <v/>
      </c>
      <c r="C964">
        <f>INDEX(Tableau1[], MATCH(Tableau3[[#This Row],[REFERENCE]], Tableau1[NUMERO], 0), 3)</f>
        <v/>
      </c>
      <c r="D964">
        <f>INDEX(Tableau1[], MATCH(Tableau3[[#This Row],[REFERENCE]], Tableau1[NUMERO], 0),4)</f>
        <v/>
      </c>
      <c r="E964">
        <f>INDEX(Tableau1[], MATCH(Tableau3[[#This Row],[REFERENCE]], Tableau1[NUMERO], 0), 5)</f>
        <v/>
      </c>
      <c r="H964" t="inlineStr">
        <is>
          <t>Romaire</t>
        </is>
      </c>
      <c r="J964" s="2" t="n">
        <v>44084</v>
      </c>
      <c r="K964" s="2" t="n">
        <v>44089</v>
      </c>
      <c r="L964" s="2" t="n"/>
      <c r="M964" s="35" t="n">
        <v>2</v>
      </c>
      <c r="N964" s="35" t="n">
        <v>1</v>
      </c>
      <c r="O964" s="122" t="n">
        <v>56</v>
      </c>
      <c r="P964" s="8" t="inlineStr">
        <is>
          <t>3 SEMAINES</t>
        </is>
      </c>
      <c r="Q964" s="2" t="n">
        <v>44180</v>
      </c>
    </row>
    <row r="965">
      <c r="A965" s="8" t="inlineStr">
        <is>
          <t>34404991_RAL7035</t>
        </is>
      </c>
      <c r="B965" s="2">
        <f>INDEX(Tableau1[], MATCH(Tableau3[[#This Row],[REFERENCE]], Tableau1[NUMERO], 0), 2)</f>
        <v/>
      </c>
      <c r="C965">
        <f>INDEX(Tableau1[], MATCH(Tableau3[[#This Row],[REFERENCE]], Tableau1[NUMERO], 0), 3)</f>
        <v/>
      </c>
      <c r="D965">
        <f>INDEX(Tableau1[], MATCH(Tableau3[[#This Row],[REFERENCE]], Tableau1[NUMERO], 0),4)</f>
        <v/>
      </c>
      <c r="E965">
        <f>INDEX(Tableau1[], MATCH(Tableau3[[#This Row],[REFERENCE]], Tableau1[NUMERO], 0), 5)</f>
        <v/>
      </c>
      <c r="H965" t="inlineStr">
        <is>
          <t>Romaire</t>
        </is>
      </c>
      <c r="J965" s="2" t="n">
        <v>44084</v>
      </c>
      <c r="K965" s="2" t="n">
        <v>44089</v>
      </c>
      <c r="L965" s="2" t="n"/>
      <c r="M965" s="35" t="n">
        <v>2</v>
      </c>
      <c r="N965" s="35" t="n">
        <v>2</v>
      </c>
      <c r="O965" s="122" t="n">
        <v>56</v>
      </c>
      <c r="P965" s="8" t="inlineStr">
        <is>
          <t>3 SEMAINES</t>
        </is>
      </c>
      <c r="Q965" s="2" t="n">
        <v>44180</v>
      </c>
    </row>
    <row r="966">
      <c r="A966" s="8" t="inlineStr">
        <is>
          <t>34404992_RAL7035</t>
        </is>
      </c>
      <c r="B966" s="2">
        <f>INDEX(Tableau1[], MATCH(Tableau3[[#This Row],[REFERENCE]], Tableau1[NUMERO], 0), 2)</f>
        <v/>
      </c>
      <c r="C966">
        <f>INDEX(Tableau1[], MATCH(Tableau3[[#This Row],[REFERENCE]], Tableau1[NUMERO], 0), 3)</f>
        <v/>
      </c>
      <c r="D966">
        <f>INDEX(Tableau1[], MATCH(Tableau3[[#This Row],[REFERENCE]], Tableau1[NUMERO], 0),4)</f>
        <v/>
      </c>
      <c r="E966">
        <f>INDEX(Tableau1[], MATCH(Tableau3[[#This Row],[REFERENCE]], Tableau1[NUMERO], 0), 5)</f>
        <v/>
      </c>
      <c r="H966" t="inlineStr">
        <is>
          <t>Romaire</t>
        </is>
      </c>
      <c r="J966" s="2" t="n">
        <v>44084</v>
      </c>
      <c r="K966" s="2" t="n">
        <v>44089</v>
      </c>
      <c r="L966" s="2" t="n"/>
      <c r="M966" s="35" t="n">
        <v>4</v>
      </c>
      <c r="N966" s="35" t="n">
        <v>2</v>
      </c>
      <c r="O966" s="122" t="n">
        <v>48</v>
      </c>
      <c r="P966" s="8" t="inlineStr">
        <is>
          <t>3 SEMAINES</t>
        </is>
      </c>
      <c r="Q966" s="2" t="n">
        <v>44180</v>
      </c>
    </row>
    <row r="967">
      <c r="A967" s="8" t="inlineStr">
        <is>
          <t>34406407_RAL7035</t>
        </is>
      </c>
      <c r="B967" s="2">
        <f>INDEX(Tableau1[], MATCH(Tableau3[[#This Row],[REFERENCE]], Tableau1[NUMERO], 0), 2)</f>
        <v/>
      </c>
      <c r="C967">
        <f>INDEX(Tableau1[], MATCH(Tableau3[[#This Row],[REFERENCE]], Tableau1[NUMERO], 0), 3)</f>
        <v/>
      </c>
      <c r="D967">
        <f>INDEX(Tableau1[], MATCH(Tableau3[[#This Row],[REFERENCE]], Tableau1[NUMERO], 0),4)</f>
        <v/>
      </c>
      <c r="E967">
        <f>INDEX(Tableau1[], MATCH(Tableau3[[#This Row],[REFERENCE]], Tableau1[NUMERO], 0), 5)</f>
        <v/>
      </c>
      <c r="H967" t="inlineStr">
        <is>
          <t>Romaire</t>
        </is>
      </c>
      <c r="J967" s="2" t="n">
        <v>44084</v>
      </c>
      <c r="K967" s="2" t="n">
        <v>44089</v>
      </c>
      <c r="L967" s="2" t="n"/>
      <c r="M967" s="35" t="n">
        <v>1</v>
      </c>
      <c r="N967" s="35" t="n">
        <v>2</v>
      </c>
      <c r="O967" s="122" t="n">
        <v>54</v>
      </c>
      <c r="P967" s="8" t="inlineStr">
        <is>
          <t>3 SEMAINES</t>
        </is>
      </c>
      <c r="Q967" s="2" t="n">
        <v>44180</v>
      </c>
    </row>
    <row r="968">
      <c r="A968" s="8" t="inlineStr">
        <is>
          <t>34406408_RAL7035</t>
        </is>
      </c>
      <c r="B968" s="2">
        <f>INDEX(Tableau1[], MATCH(Tableau3[[#This Row],[REFERENCE]], Tableau1[NUMERO], 0), 2)</f>
        <v/>
      </c>
      <c r="C968">
        <f>INDEX(Tableau1[], MATCH(Tableau3[[#This Row],[REFERENCE]], Tableau1[NUMERO], 0), 3)</f>
        <v/>
      </c>
      <c r="D968">
        <f>INDEX(Tableau1[], MATCH(Tableau3[[#This Row],[REFERENCE]], Tableau1[NUMERO], 0),4)</f>
        <v/>
      </c>
      <c r="E968">
        <f>INDEX(Tableau1[], MATCH(Tableau3[[#This Row],[REFERENCE]], Tableau1[NUMERO], 0), 5)</f>
        <v/>
      </c>
      <c r="H968" t="inlineStr">
        <is>
          <t>Romaire</t>
        </is>
      </c>
      <c r="J968" s="2" t="n">
        <v>44084</v>
      </c>
      <c r="K968" s="2" t="n">
        <v>44089</v>
      </c>
      <c r="L968" s="2" t="n"/>
      <c r="M968" s="35" t="n">
        <v>1</v>
      </c>
      <c r="N968" s="35" t="n">
        <v>2</v>
      </c>
      <c r="O968" s="122" t="n">
        <v>54</v>
      </c>
      <c r="P968" s="8" t="inlineStr">
        <is>
          <t>3 SEMAINES</t>
        </is>
      </c>
      <c r="Q968" s="2" t="n">
        <v>44180</v>
      </c>
    </row>
    <row r="969">
      <c r="A969" s="8" t="inlineStr">
        <is>
          <t>34406409_RAL7035</t>
        </is>
      </c>
      <c r="B969" s="2">
        <f>INDEX(Tableau1[], MATCH(Tableau3[[#This Row],[REFERENCE]], Tableau1[NUMERO], 0), 2)</f>
        <v/>
      </c>
      <c r="C969">
        <f>INDEX(Tableau1[], MATCH(Tableau3[[#This Row],[REFERENCE]], Tableau1[NUMERO], 0), 3)</f>
        <v/>
      </c>
      <c r="D969">
        <f>INDEX(Tableau1[], MATCH(Tableau3[[#This Row],[REFERENCE]], Tableau1[NUMERO], 0),4)</f>
        <v/>
      </c>
      <c r="E969">
        <f>INDEX(Tableau1[], MATCH(Tableau3[[#This Row],[REFERENCE]], Tableau1[NUMERO], 0), 5)</f>
        <v/>
      </c>
      <c r="H969" t="inlineStr">
        <is>
          <t>Romaire</t>
        </is>
      </c>
      <c r="J969" s="2" t="n">
        <v>44084</v>
      </c>
      <c r="K969" s="2" t="n">
        <v>44089</v>
      </c>
      <c r="L969" s="2" t="n"/>
      <c r="M969" s="35" t="n">
        <v>2</v>
      </c>
      <c r="N969" s="35" t="n">
        <v>1</v>
      </c>
      <c r="O969" s="122" t="n">
        <v>48.5</v>
      </c>
      <c r="P969" s="8" t="inlineStr">
        <is>
          <t>3 SEMAINES</t>
        </is>
      </c>
      <c r="Q969" s="2" t="n">
        <v>44180</v>
      </c>
    </row>
    <row r="970">
      <c r="A970" s="8" t="inlineStr">
        <is>
          <t>34406410_RAL7035</t>
        </is>
      </c>
      <c r="B970" s="2">
        <f>INDEX(Tableau1[], MATCH(Tableau3[[#This Row],[REFERENCE]], Tableau1[NUMERO], 0), 2)</f>
        <v/>
      </c>
      <c r="C970">
        <f>INDEX(Tableau1[], MATCH(Tableau3[[#This Row],[REFERENCE]], Tableau1[NUMERO], 0), 3)</f>
        <v/>
      </c>
      <c r="D970">
        <f>INDEX(Tableau1[], MATCH(Tableau3[[#This Row],[REFERENCE]], Tableau1[NUMERO], 0),4)</f>
        <v/>
      </c>
      <c r="E970">
        <f>INDEX(Tableau1[], MATCH(Tableau3[[#This Row],[REFERENCE]], Tableau1[NUMERO], 0), 5)</f>
        <v/>
      </c>
      <c r="H970" t="inlineStr">
        <is>
          <t>Romaire</t>
        </is>
      </c>
      <c r="J970" s="2" t="n">
        <v>44084</v>
      </c>
      <c r="K970" s="2" t="n">
        <v>44089</v>
      </c>
      <c r="L970" s="2" t="n"/>
      <c r="M970" s="35" t="n">
        <v>1</v>
      </c>
      <c r="N970" s="35" t="n">
        <v>1</v>
      </c>
      <c r="O970" s="122" t="n">
        <v>60</v>
      </c>
      <c r="P970" s="8" t="inlineStr">
        <is>
          <t>3 SEMAINES</t>
        </is>
      </c>
      <c r="Q970" s="2" t="n">
        <v>44180</v>
      </c>
    </row>
    <row r="971">
      <c r="A971" s="8" t="inlineStr">
        <is>
          <t>34406411_RAL7035</t>
        </is>
      </c>
      <c r="B971" s="2">
        <f>INDEX(Tableau1[], MATCH(Tableau3[[#This Row],[REFERENCE]], Tableau1[NUMERO], 0), 2)</f>
        <v/>
      </c>
      <c r="C971">
        <f>INDEX(Tableau1[], MATCH(Tableau3[[#This Row],[REFERENCE]], Tableau1[NUMERO], 0), 3)</f>
        <v/>
      </c>
      <c r="D971">
        <f>INDEX(Tableau1[], MATCH(Tableau3[[#This Row],[REFERENCE]], Tableau1[NUMERO], 0),4)</f>
        <v/>
      </c>
      <c r="E971">
        <f>INDEX(Tableau1[], MATCH(Tableau3[[#This Row],[REFERENCE]], Tableau1[NUMERO], 0), 5)</f>
        <v/>
      </c>
      <c r="H971" t="inlineStr">
        <is>
          <t>Romaire</t>
        </is>
      </c>
      <c r="J971" s="2" t="n">
        <v>44084</v>
      </c>
      <c r="K971" s="2" t="n">
        <v>44089</v>
      </c>
      <c r="L971" s="2" t="n"/>
      <c r="M971" s="35" t="n">
        <v>2</v>
      </c>
      <c r="N971" s="35" t="n">
        <v>1</v>
      </c>
      <c r="O971" s="122" t="n">
        <v>56</v>
      </c>
      <c r="P971" s="8" t="inlineStr">
        <is>
          <t>3 SEMAINES</t>
        </is>
      </c>
      <c r="Q971" s="2" t="n">
        <v>44180</v>
      </c>
    </row>
    <row r="972">
      <c r="A972" s="8" t="inlineStr">
        <is>
          <t>34406412_RAL7035</t>
        </is>
      </c>
      <c r="B972" s="2">
        <f>INDEX(Tableau1[], MATCH(Tableau3[[#This Row],[REFERENCE]], Tableau1[NUMERO], 0), 2)</f>
        <v/>
      </c>
      <c r="C972">
        <f>INDEX(Tableau1[], MATCH(Tableau3[[#This Row],[REFERENCE]], Tableau1[NUMERO], 0), 3)</f>
        <v/>
      </c>
      <c r="D972">
        <f>INDEX(Tableau1[], MATCH(Tableau3[[#This Row],[REFERENCE]], Tableau1[NUMERO], 0),4)</f>
        <v/>
      </c>
      <c r="E972">
        <f>INDEX(Tableau1[], MATCH(Tableau3[[#This Row],[REFERENCE]], Tableau1[NUMERO], 0), 5)</f>
        <v/>
      </c>
      <c r="H972" t="inlineStr">
        <is>
          <t>Romaire</t>
        </is>
      </c>
      <c r="J972" s="2" t="n">
        <v>44084</v>
      </c>
      <c r="K972" s="2" t="n">
        <v>44089</v>
      </c>
      <c r="L972" s="2" t="n"/>
      <c r="M972" s="35" t="n">
        <v>2</v>
      </c>
      <c r="N972" s="35" t="n">
        <v>1</v>
      </c>
      <c r="O972" s="122" t="n">
        <v>56</v>
      </c>
      <c r="P972" s="8" t="inlineStr">
        <is>
          <t>3 SEMAINES</t>
        </is>
      </c>
      <c r="Q972" s="2" t="n">
        <v>44180</v>
      </c>
    </row>
    <row r="973">
      <c r="A973" s="8" t="inlineStr">
        <is>
          <t>34406413_RAL7035</t>
        </is>
      </c>
      <c r="B973" s="2">
        <f>INDEX(Tableau1[], MATCH(Tableau3[[#This Row],[REFERENCE]], Tableau1[NUMERO], 0), 2)</f>
        <v/>
      </c>
      <c r="C973">
        <f>INDEX(Tableau1[], MATCH(Tableau3[[#This Row],[REFERENCE]], Tableau1[NUMERO], 0), 3)</f>
        <v/>
      </c>
      <c r="D973">
        <f>INDEX(Tableau1[], MATCH(Tableau3[[#This Row],[REFERENCE]], Tableau1[NUMERO], 0),4)</f>
        <v/>
      </c>
      <c r="E973">
        <f>INDEX(Tableau1[], MATCH(Tableau3[[#This Row],[REFERENCE]], Tableau1[NUMERO], 0), 5)</f>
        <v/>
      </c>
      <c r="H973" t="inlineStr">
        <is>
          <t>Romaire</t>
        </is>
      </c>
      <c r="J973" s="2" t="n">
        <v>44084</v>
      </c>
      <c r="K973" s="2" t="n">
        <v>44089</v>
      </c>
      <c r="L973" s="2" t="n"/>
      <c r="M973" s="35" t="n">
        <v>1</v>
      </c>
      <c r="N973" s="35" t="n">
        <v>1</v>
      </c>
      <c r="O973" s="122" t="n">
        <v>67</v>
      </c>
      <c r="P973" s="8" t="inlineStr">
        <is>
          <t>3 SEMAINES</t>
        </is>
      </c>
      <c r="Q973" s="2" t="n">
        <v>44180</v>
      </c>
    </row>
    <row r="974">
      <c r="A974" s="8" t="inlineStr">
        <is>
          <t>34406414_RAL7035</t>
        </is>
      </c>
      <c r="B974" s="2">
        <f>INDEX(Tableau1[], MATCH(Tableau3[[#This Row],[REFERENCE]], Tableau1[NUMERO], 0), 2)</f>
        <v/>
      </c>
      <c r="C974">
        <f>INDEX(Tableau1[], MATCH(Tableau3[[#This Row],[REFERENCE]], Tableau1[NUMERO], 0), 3)</f>
        <v/>
      </c>
      <c r="D974">
        <f>INDEX(Tableau1[], MATCH(Tableau3[[#This Row],[REFERENCE]], Tableau1[NUMERO], 0),4)</f>
        <v/>
      </c>
      <c r="E974">
        <f>INDEX(Tableau1[], MATCH(Tableau3[[#This Row],[REFERENCE]], Tableau1[NUMERO], 0), 5)</f>
        <v/>
      </c>
      <c r="H974" t="inlineStr">
        <is>
          <t>Romaire</t>
        </is>
      </c>
      <c r="J974" s="2" t="n">
        <v>44084</v>
      </c>
      <c r="K974" s="2" t="n">
        <v>44089</v>
      </c>
      <c r="L974" s="2" t="n"/>
      <c r="M974" s="35" t="n">
        <v>1</v>
      </c>
      <c r="N974" s="35" t="n">
        <v>1</v>
      </c>
      <c r="O974" s="122" t="n">
        <v>64</v>
      </c>
      <c r="P974" s="8" t="inlineStr">
        <is>
          <t>3 SEMAINES</t>
        </is>
      </c>
      <c r="Q974" s="2" t="n">
        <v>44180</v>
      </c>
    </row>
    <row r="975">
      <c r="A975" s="8" t="inlineStr">
        <is>
          <t>34406415_RAL7035</t>
        </is>
      </c>
      <c r="B975" s="2">
        <f>INDEX(Tableau1[], MATCH(Tableau3[[#This Row],[REFERENCE]], Tableau1[NUMERO], 0), 2)</f>
        <v/>
      </c>
      <c r="C975">
        <f>INDEX(Tableau1[], MATCH(Tableau3[[#This Row],[REFERENCE]], Tableau1[NUMERO], 0), 3)</f>
        <v/>
      </c>
      <c r="D975">
        <f>INDEX(Tableau1[], MATCH(Tableau3[[#This Row],[REFERENCE]], Tableau1[NUMERO], 0),4)</f>
        <v/>
      </c>
      <c r="E975">
        <f>INDEX(Tableau1[], MATCH(Tableau3[[#This Row],[REFERENCE]], Tableau1[NUMERO], 0), 5)</f>
        <v/>
      </c>
      <c r="H975" t="inlineStr">
        <is>
          <t>Romaire</t>
        </is>
      </c>
      <c r="J975" s="2" t="n">
        <v>44084</v>
      </c>
      <c r="K975" s="2" t="n">
        <v>44089</v>
      </c>
      <c r="L975" s="2" t="n"/>
      <c r="M975" s="35" t="n">
        <v>1</v>
      </c>
      <c r="N975" s="35" t="n">
        <v>1</v>
      </c>
      <c r="O975" s="122" t="n">
        <v>64</v>
      </c>
      <c r="P975" s="8" t="inlineStr">
        <is>
          <t>3 SEMAINES</t>
        </is>
      </c>
      <c r="Q975" s="2" t="n">
        <v>44180</v>
      </c>
    </row>
    <row r="976">
      <c r="A976" s="8" t="inlineStr">
        <is>
          <t>34406416_RAL7035</t>
        </is>
      </c>
      <c r="B976" s="2">
        <f>INDEX(Tableau1[], MATCH(Tableau3[[#This Row],[REFERENCE]], Tableau1[NUMERO], 0), 2)</f>
        <v/>
      </c>
      <c r="C976">
        <f>INDEX(Tableau1[], MATCH(Tableau3[[#This Row],[REFERENCE]], Tableau1[NUMERO], 0), 3)</f>
        <v/>
      </c>
      <c r="D976">
        <f>INDEX(Tableau1[], MATCH(Tableau3[[#This Row],[REFERENCE]], Tableau1[NUMERO], 0),4)</f>
        <v/>
      </c>
      <c r="E976">
        <f>INDEX(Tableau1[], MATCH(Tableau3[[#This Row],[REFERENCE]], Tableau1[NUMERO], 0), 5)</f>
        <v/>
      </c>
      <c r="H976" t="inlineStr">
        <is>
          <t>Romaire</t>
        </is>
      </c>
      <c r="J976" s="2" t="n">
        <v>44084</v>
      </c>
      <c r="K976" s="2" t="n">
        <v>44089</v>
      </c>
      <c r="L976" s="2" t="n"/>
      <c r="M976" s="35" t="n">
        <v>1</v>
      </c>
      <c r="N976" s="35" t="n">
        <v>1</v>
      </c>
      <c r="O976" s="122" t="n">
        <v>77</v>
      </c>
      <c r="P976" s="8" t="inlineStr">
        <is>
          <t>3 SEMAINES</t>
        </is>
      </c>
      <c r="Q976" s="2" t="n">
        <v>44180</v>
      </c>
    </row>
    <row r="977">
      <c r="A977" s="8" t="inlineStr">
        <is>
          <t>34406417_RAL7035</t>
        </is>
      </c>
      <c r="B977" s="2">
        <f>INDEX(Tableau1[], MATCH(Tableau3[[#This Row],[REFERENCE]], Tableau1[NUMERO], 0), 2)</f>
        <v/>
      </c>
      <c r="C977">
        <f>INDEX(Tableau1[], MATCH(Tableau3[[#This Row],[REFERENCE]], Tableau1[NUMERO], 0), 3)</f>
        <v/>
      </c>
      <c r="D977">
        <f>INDEX(Tableau1[], MATCH(Tableau3[[#This Row],[REFERENCE]], Tableau1[NUMERO], 0),4)</f>
        <v/>
      </c>
      <c r="E977">
        <f>INDEX(Tableau1[], MATCH(Tableau3[[#This Row],[REFERENCE]], Tableau1[NUMERO], 0), 5)</f>
        <v/>
      </c>
      <c r="H977" t="inlineStr">
        <is>
          <t>Romaire</t>
        </is>
      </c>
      <c r="J977" s="2" t="n">
        <v>44084</v>
      </c>
      <c r="K977" s="2" t="n">
        <v>44089</v>
      </c>
      <c r="L977" s="2" t="n"/>
      <c r="M977" s="35" t="n">
        <v>1</v>
      </c>
      <c r="N977" s="35" t="n">
        <v>1</v>
      </c>
      <c r="O977" s="122" t="n">
        <v>75</v>
      </c>
      <c r="P977" s="8" t="inlineStr">
        <is>
          <t>3 SEMAINES</t>
        </is>
      </c>
      <c r="Q977" s="2" t="n">
        <v>44180</v>
      </c>
    </row>
    <row r="978">
      <c r="A978" s="8" t="inlineStr">
        <is>
          <t>34406418_RAL7035</t>
        </is>
      </c>
      <c r="B978" s="2">
        <f>INDEX(Tableau1[], MATCH(Tableau3[[#This Row],[REFERENCE]], Tableau1[NUMERO], 0), 2)</f>
        <v/>
      </c>
      <c r="C978">
        <f>INDEX(Tableau1[], MATCH(Tableau3[[#This Row],[REFERENCE]], Tableau1[NUMERO], 0), 3)</f>
        <v/>
      </c>
      <c r="D978">
        <f>INDEX(Tableau1[], MATCH(Tableau3[[#This Row],[REFERENCE]], Tableau1[NUMERO], 0),4)</f>
        <v/>
      </c>
      <c r="E978">
        <f>INDEX(Tableau1[], MATCH(Tableau3[[#This Row],[REFERENCE]], Tableau1[NUMERO], 0), 5)</f>
        <v/>
      </c>
      <c r="H978" t="inlineStr">
        <is>
          <t>Romaire</t>
        </is>
      </c>
      <c r="J978" s="2" t="n">
        <v>44084</v>
      </c>
      <c r="K978" s="2" t="n">
        <v>44089</v>
      </c>
      <c r="L978" s="2" t="n"/>
      <c r="M978" s="35" t="n">
        <v>2</v>
      </c>
      <c r="N978" s="35" t="n">
        <v>1</v>
      </c>
      <c r="O978" s="122" t="n">
        <v>60</v>
      </c>
      <c r="P978" s="8" t="inlineStr">
        <is>
          <t>3 SEMAINES</t>
        </is>
      </c>
      <c r="Q978" s="2" t="n">
        <v>44180</v>
      </c>
    </row>
    <row r="979">
      <c r="A979" s="8" t="n">
        <v>34406420</v>
      </c>
      <c r="B979" s="2">
        <f>INDEX(Tableau1[], MATCH(Tableau3[[#This Row],[REFERENCE]], Tableau1[NUMERO], 0), 2)</f>
        <v/>
      </c>
      <c r="C979">
        <f>INDEX(Tableau1[], MATCH(Tableau3[[#This Row],[REFERENCE]], Tableau1[NUMERO], 0), 3)</f>
        <v/>
      </c>
      <c r="D979">
        <f>INDEX(Tableau1[], MATCH(Tableau3[[#This Row],[REFERENCE]], Tableau1[NUMERO], 0),4)</f>
        <v/>
      </c>
      <c r="E979">
        <f>INDEX(Tableau1[], MATCH(Tableau3[[#This Row],[REFERENCE]], Tableau1[NUMERO], 0), 5)</f>
        <v/>
      </c>
      <c r="H979" t="inlineStr">
        <is>
          <t>Romaire</t>
        </is>
      </c>
      <c r="J979" s="2" t="n">
        <v>44084</v>
      </c>
      <c r="K979" s="2" t="n">
        <v>44089</v>
      </c>
      <c r="L979" s="2" t="n"/>
      <c r="M979" s="35" t="n">
        <v>2</v>
      </c>
      <c r="N979" s="35" t="n">
        <v>1</v>
      </c>
      <c r="O979" s="122" t="n">
        <v>47.6</v>
      </c>
      <c r="P979" s="8" t="inlineStr">
        <is>
          <t>3 SEMAINES</t>
        </is>
      </c>
      <c r="Q979" s="2" t="n">
        <v>44180</v>
      </c>
    </row>
    <row r="980">
      <c r="A980" s="8" t="n">
        <v>34406421</v>
      </c>
      <c r="B980" s="2">
        <f>INDEX(Tableau1[], MATCH(Tableau3[[#This Row],[REFERENCE]], Tableau1[NUMERO], 0), 2)</f>
        <v/>
      </c>
      <c r="C980">
        <f>INDEX(Tableau1[], MATCH(Tableau3[[#This Row],[REFERENCE]], Tableau1[NUMERO], 0), 3)</f>
        <v/>
      </c>
      <c r="D980">
        <f>INDEX(Tableau1[], MATCH(Tableau3[[#This Row],[REFERENCE]], Tableau1[NUMERO], 0),4)</f>
        <v/>
      </c>
      <c r="E980">
        <f>INDEX(Tableau1[], MATCH(Tableau3[[#This Row],[REFERENCE]], Tableau1[NUMERO], 0), 5)</f>
        <v/>
      </c>
      <c r="H980" t="inlineStr">
        <is>
          <t>Romaire</t>
        </is>
      </c>
      <c r="J980" s="2" t="n">
        <v>44084</v>
      </c>
      <c r="K980" s="2" t="n">
        <v>44089</v>
      </c>
      <c r="L980" s="2" t="n"/>
      <c r="M980" s="35" t="n">
        <v>2</v>
      </c>
      <c r="N980" s="35" t="n">
        <v>1</v>
      </c>
      <c r="O980" s="122" t="n">
        <v>11.5</v>
      </c>
      <c r="P980" s="8" t="inlineStr">
        <is>
          <t>3 SEMAINES</t>
        </is>
      </c>
      <c r="Q980" s="2" t="n">
        <v>44180</v>
      </c>
    </row>
    <row r="981">
      <c r="A981" s="8" t="n">
        <v>34406454</v>
      </c>
      <c r="B981" s="2">
        <f>INDEX(Tableau1[], MATCH(Tableau3[[#This Row],[REFERENCE]], Tableau1[NUMERO], 0), 2)</f>
        <v/>
      </c>
      <c r="C981">
        <f>INDEX(Tableau1[], MATCH(Tableau3[[#This Row],[REFERENCE]], Tableau1[NUMERO], 0), 3)</f>
        <v/>
      </c>
      <c r="D981">
        <f>INDEX(Tableau1[], MATCH(Tableau3[[#This Row],[REFERENCE]], Tableau1[NUMERO], 0),4)</f>
        <v/>
      </c>
      <c r="E981">
        <f>INDEX(Tableau1[], MATCH(Tableau3[[#This Row],[REFERENCE]], Tableau1[NUMERO], 0), 5)</f>
        <v/>
      </c>
      <c r="H981" t="inlineStr">
        <is>
          <t>Romaire</t>
        </is>
      </c>
      <c r="J981" s="2" t="n">
        <v>44084</v>
      </c>
      <c r="K981" s="2" t="n">
        <v>44089</v>
      </c>
      <c r="L981" s="2" t="n"/>
      <c r="M981" s="35" t="n">
        <v>1</v>
      </c>
      <c r="N981" s="35" t="n">
        <v>1</v>
      </c>
      <c r="O981" s="122" t="n">
        <v>51</v>
      </c>
      <c r="P981" s="8" t="inlineStr">
        <is>
          <t>3 SEMAINES</t>
        </is>
      </c>
      <c r="Q981" s="2" t="n">
        <v>44180</v>
      </c>
    </row>
    <row r="982" ht="15.75" customFormat="1" customHeight="1" s="58" thickBot="1">
      <c r="A982" s="56" t="n">
        <v>34404932</v>
      </c>
      <c r="B982" s="57">
        <f>INDEX(Tableau1[], MATCH(Tableau3[[#This Row],[REFERENCE]], Tableau1[NUMERO], 0), 2)</f>
        <v/>
      </c>
      <c r="C982" s="58">
        <f>INDEX(Tableau1[], MATCH(Tableau3[[#This Row],[REFERENCE]], Tableau1[NUMERO], 0), 3)</f>
        <v/>
      </c>
      <c r="D982" s="58">
        <f>INDEX(Tableau1[], MATCH(Tableau3[[#This Row],[REFERENCE]], Tableau1[NUMERO], 0),4)</f>
        <v/>
      </c>
      <c r="E982" s="58">
        <f>INDEX(Tableau1[], MATCH(Tableau3[[#This Row],[REFERENCE]], Tableau1[NUMERO], 0), 5)</f>
        <v/>
      </c>
      <c r="H982" s="58" t="inlineStr">
        <is>
          <t>Romaire</t>
        </is>
      </c>
      <c r="I982" s="56" t="n"/>
      <c r="J982" s="57" t="n">
        <v>44084</v>
      </c>
      <c r="K982" s="57" t="n">
        <v>44089</v>
      </c>
      <c r="L982" s="57" t="n"/>
      <c r="M982" s="60" t="n">
        <v>1</v>
      </c>
      <c r="N982" s="60" t="n">
        <v>8</v>
      </c>
      <c r="O982" s="123" t="inlineStr">
        <is>
          <t>décliné</t>
        </is>
      </c>
      <c r="P982" s="56" t="n"/>
      <c r="Q982" s="57" t="n"/>
    </row>
    <row r="983" ht="15.75" customFormat="1" customHeight="1" s="52" thickTop="1">
      <c r="A983" s="50" t="n">
        <v>34404945</v>
      </c>
      <c r="B983" s="51">
        <f>INDEX(Tableau1[], MATCH(Tableau3[[#This Row],[REFERENCE]], Tableau1[NUMERO], 0), 2)</f>
        <v/>
      </c>
      <c r="C983" s="52">
        <f>INDEX(Tableau1[], MATCH(Tableau3[[#This Row],[REFERENCE]], Tableau1[NUMERO], 0), 3)</f>
        <v/>
      </c>
      <c r="D983" s="52">
        <f>INDEX(Tableau1[], MATCH(Tableau3[[#This Row],[REFERENCE]], Tableau1[NUMERO], 0),4)</f>
        <v/>
      </c>
      <c r="E983" s="52">
        <f>INDEX(Tableau1[], MATCH(Tableau3[[#This Row],[REFERENCE]], Tableau1[NUMERO], 0), 5)</f>
        <v/>
      </c>
      <c r="H983" s="52" t="inlineStr">
        <is>
          <t>PAILLET</t>
        </is>
      </c>
      <c r="I983" s="50" t="n"/>
      <c r="J983" s="51" t="n">
        <v>44084</v>
      </c>
      <c r="K983" s="51" t="n">
        <v>44085</v>
      </c>
      <c r="L983" s="51" t="n"/>
      <c r="M983" s="54" t="n">
        <v>2</v>
      </c>
      <c r="N983" s="54" t="n">
        <v>2</v>
      </c>
      <c r="O983" s="55" t="n">
        <v>49.38</v>
      </c>
      <c r="P983" s="50" t="inlineStr">
        <is>
          <t>3 SEMAINES</t>
        </is>
      </c>
      <c r="Q983" s="51" t="n"/>
    </row>
    <row r="984">
      <c r="A984" s="8" t="n">
        <v>34404923</v>
      </c>
      <c r="B984" s="2">
        <f>INDEX(Tableau1[], MATCH(Tableau3[[#This Row],[REFERENCE]], Tableau1[NUMERO], 0), 2)</f>
        <v/>
      </c>
      <c r="C984">
        <f>INDEX(Tableau1[], MATCH(Tableau3[[#This Row],[REFERENCE]], Tableau1[NUMERO], 0), 3)</f>
        <v/>
      </c>
      <c r="D984">
        <f>INDEX(Tableau1[], MATCH(Tableau3[[#This Row],[REFERENCE]], Tableau1[NUMERO], 0),4)</f>
        <v/>
      </c>
      <c r="E984">
        <f>INDEX(Tableau1[], MATCH(Tableau3[[#This Row],[REFERENCE]], Tableau1[NUMERO], 0), 5)</f>
        <v/>
      </c>
      <c r="H984" t="inlineStr">
        <is>
          <t>PAILLET</t>
        </is>
      </c>
      <c r="J984" s="2" t="n">
        <v>44084</v>
      </c>
      <c r="K984" s="2" t="n">
        <v>44085</v>
      </c>
      <c r="L984" s="2" t="n"/>
      <c r="M984" s="35" t="n">
        <v>3</v>
      </c>
      <c r="N984" s="35" t="n">
        <v>2</v>
      </c>
      <c r="O984" s="7" t="n">
        <v>58.56</v>
      </c>
      <c r="P984" s="8" t="inlineStr">
        <is>
          <t>3 SEMAINES</t>
        </is>
      </c>
      <c r="Q984" s="2" t="n"/>
    </row>
    <row r="985">
      <c r="A985" s="8" t="n">
        <v>34404924</v>
      </c>
      <c r="B985" s="2">
        <f>INDEX(Tableau1[], MATCH(Tableau3[[#This Row],[REFERENCE]], Tableau1[NUMERO], 0), 2)</f>
        <v/>
      </c>
      <c r="C985">
        <f>INDEX(Tableau1[], MATCH(Tableau3[[#This Row],[REFERENCE]], Tableau1[NUMERO], 0), 3)</f>
        <v/>
      </c>
      <c r="D985">
        <f>INDEX(Tableau1[], MATCH(Tableau3[[#This Row],[REFERENCE]], Tableau1[NUMERO], 0),4)</f>
        <v/>
      </c>
      <c r="E985">
        <f>INDEX(Tableau1[], MATCH(Tableau3[[#This Row],[REFERENCE]], Tableau1[NUMERO], 0), 5)</f>
        <v/>
      </c>
      <c r="H985" t="inlineStr">
        <is>
          <t>PAILLET</t>
        </is>
      </c>
      <c r="J985" s="2" t="n">
        <v>44084</v>
      </c>
      <c r="K985" s="2" t="n">
        <v>44085</v>
      </c>
      <c r="L985" s="2" t="n"/>
      <c r="M985" s="35" t="n">
        <v>3</v>
      </c>
      <c r="N985" s="35" t="n">
        <v>2</v>
      </c>
      <c r="O985" s="7" t="n">
        <v>44.27</v>
      </c>
      <c r="P985" s="8" t="inlineStr">
        <is>
          <t>3 SEMAINES</t>
        </is>
      </c>
      <c r="Q985" s="2" t="n"/>
    </row>
    <row r="986">
      <c r="A986" s="8" t="n">
        <v>34404933</v>
      </c>
      <c r="B986" s="2">
        <f>INDEX(Tableau1[], MATCH(Tableau3[[#This Row],[REFERENCE]], Tableau1[NUMERO], 0), 2)</f>
        <v/>
      </c>
      <c r="C986">
        <f>INDEX(Tableau1[], MATCH(Tableau3[[#This Row],[REFERENCE]], Tableau1[NUMERO], 0), 3)</f>
        <v/>
      </c>
      <c r="D986">
        <f>INDEX(Tableau1[], MATCH(Tableau3[[#This Row],[REFERENCE]], Tableau1[NUMERO], 0),4)</f>
        <v/>
      </c>
      <c r="E986">
        <f>INDEX(Tableau1[], MATCH(Tableau3[[#This Row],[REFERENCE]], Tableau1[NUMERO], 0), 5)</f>
        <v/>
      </c>
      <c r="H986" t="inlineStr">
        <is>
          <t>PAILLET</t>
        </is>
      </c>
      <c r="J986" s="2" t="n">
        <v>44084</v>
      </c>
      <c r="K986" s="2" t="n">
        <v>44085</v>
      </c>
      <c r="L986" s="2" t="n"/>
      <c r="M986" s="35" t="n">
        <v>2</v>
      </c>
      <c r="N986" s="35" t="n">
        <v>2</v>
      </c>
      <c r="O986" s="7" t="n">
        <v>55.78</v>
      </c>
      <c r="P986" s="8" t="inlineStr">
        <is>
          <t>3 SEMAINES</t>
        </is>
      </c>
      <c r="Q986" s="2" t="n"/>
    </row>
    <row r="987">
      <c r="A987" s="8" t="n">
        <v>34404952</v>
      </c>
      <c r="B987" s="2">
        <f>INDEX(Tableau1[], MATCH(Tableau3[[#This Row],[REFERENCE]], Tableau1[NUMERO], 0), 2)</f>
        <v/>
      </c>
      <c r="C987">
        <f>INDEX(Tableau1[], MATCH(Tableau3[[#This Row],[REFERENCE]], Tableau1[NUMERO], 0), 3)</f>
        <v/>
      </c>
      <c r="D987">
        <f>INDEX(Tableau1[], MATCH(Tableau3[[#This Row],[REFERENCE]], Tableau1[NUMERO], 0),4)</f>
        <v/>
      </c>
      <c r="E987">
        <f>INDEX(Tableau1[], MATCH(Tableau3[[#This Row],[REFERENCE]], Tableau1[NUMERO], 0), 5)</f>
        <v/>
      </c>
      <c r="H987" t="inlineStr">
        <is>
          <t>PAILLET</t>
        </is>
      </c>
      <c r="J987" s="2" t="n">
        <v>44084</v>
      </c>
      <c r="K987" s="2" t="n">
        <v>44085</v>
      </c>
      <c r="L987" s="2" t="n"/>
      <c r="M987" s="35" t="n">
        <v>2</v>
      </c>
      <c r="N987" s="35" t="n">
        <v>1</v>
      </c>
      <c r="O987" s="7" t="n">
        <v>83.17</v>
      </c>
      <c r="P987" s="8" t="inlineStr">
        <is>
          <t>3 SEMAINES</t>
        </is>
      </c>
      <c r="Q987" s="2" t="n"/>
    </row>
    <row r="988">
      <c r="A988" s="8" t="n">
        <v>34404957</v>
      </c>
      <c r="B988" s="2">
        <f>INDEX(Tableau1[], MATCH(Tableau3[[#This Row],[REFERENCE]], Tableau1[NUMERO], 0), 2)</f>
        <v/>
      </c>
      <c r="C988">
        <f>INDEX(Tableau1[], MATCH(Tableau3[[#This Row],[REFERENCE]], Tableau1[NUMERO], 0), 3)</f>
        <v/>
      </c>
      <c r="D988">
        <f>INDEX(Tableau1[], MATCH(Tableau3[[#This Row],[REFERENCE]], Tableau1[NUMERO], 0),4)</f>
        <v/>
      </c>
      <c r="E988">
        <f>INDEX(Tableau1[], MATCH(Tableau3[[#This Row],[REFERENCE]], Tableau1[NUMERO], 0), 5)</f>
        <v/>
      </c>
      <c r="H988" t="inlineStr">
        <is>
          <t>PAILLET</t>
        </is>
      </c>
      <c r="J988" s="2" t="n">
        <v>44084</v>
      </c>
      <c r="K988" s="2" t="n">
        <v>44085</v>
      </c>
      <c r="L988" s="2" t="n"/>
      <c r="M988" s="35" t="n">
        <v>1</v>
      </c>
      <c r="N988" s="35" t="n">
        <v>5</v>
      </c>
      <c r="O988" s="7" t="n">
        <v>26.68</v>
      </c>
      <c r="P988" s="8" t="inlineStr">
        <is>
          <t>3 SEMAINES</t>
        </is>
      </c>
      <c r="Q988" s="2" t="n"/>
    </row>
    <row r="989">
      <c r="A989" s="8" t="inlineStr">
        <is>
          <t>34404988_RAL9005</t>
        </is>
      </c>
      <c r="B989" s="2">
        <f>INDEX(Tableau1[], MATCH(Tableau3[[#This Row],[REFERENCE]], Tableau1[NUMERO], 0), 2)</f>
        <v/>
      </c>
      <c r="C989">
        <f>INDEX(Tableau1[], MATCH(Tableau3[[#This Row],[REFERENCE]], Tableau1[NUMERO], 0), 3)</f>
        <v/>
      </c>
      <c r="D989">
        <f>INDEX(Tableau1[], MATCH(Tableau3[[#This Row],[REFERENCE]], Tableau1[NUMERO], 0),4)</f>
        <v/>
      </c>
      <c r="E989">
        <f>INDEX(Tableau1[], MATCH(Tableau3[[#This Row],[REFERENCE]], Tableau1[NUMERO], 0), 5)</f>
        <v/>
      </c>
      <c r="H989" t="inlineStr">
        <is>
          <t>PAILLET</t>
        </is>
      </c>
      <c r="J989" s="2" t="n">
        <v>44084</v>
      </c>
      <c r="K989" s="2" t="n">
        <v>44085</v>
      </c>
      <c r="L989" s="2" t="n"/>
      <c r="M989" s="35" t="n">
        <v>2</v>
      </c>
      <c r="N989" s="35" t="n">
        <v>2</v>
      </c>
      <c r="O989" s="37" t="inlineStr">
        <is>
          <t>impossible</t>
        </is>
      </c>
      <c r="P989" s="8" t="n"/>
      <c r="Q989" s="2" t="n"/>
    </row>
    <row r="990">
      <c r="A990" s="8" t="n">
        <v>34404989</v>
      </c>
      <c r="B990" s="2">
        <f>INDEX(Tableau1[], MATCH(Tableau3[[#This Row],[REFERENCE]], Tableau1[NUMERO], 0), 2)</f>
        <v/>
      </c>
      <c r="C990">
        <f>INDEX(Tableau1[], MATCH(Tableau3[[#This Row],[REFERENCE]], Tableau1[NUMERO], 0), 3)</f>
        <v/>
      </c>
      <c r="D990">
        <f>INDEX(Tableau1[], MATCH(Tableau3[[#This Row],[REFERENCE]], Tableau1[NUMERO], 0),4)</f>
        <v/>
      </c>
      <c r="E990">
        <f>INDEX(Tableau1[], MATCH(Tableau3[[#This Row],[REFERENCE]], Tableau1[NUMERO], 0), 5)</f>
        <v/>
      </c>
      <c r="H990" t="inlineStr">
        <is>
          <t>PAILLET</t>
        </is>
      </c>
      <c r="J990" s="2" t="n">
        <v>44084</v>
      </c>
      <c r="K990" s="2" t="n">
        <v>44085</v>
      </c>
      <c r="L990" s="2" t="n"/>
      <c r="M990" s="35" t="n">
        <v>2</v>
      </c>
      <c r="N990" s="35" t="n">
        <v>1</v>
      </c>
      <c r="O990" s="7" t="n">
        <v>66.18000000000001</v>
      </c>
      <c r="P990" s="8" t="inlineStr">
        <is>
          <t>3 SEMAINES</t>
        </is>
      </c>
      <c r="Q990" s="2" t="n"/>
    </row>
    <row r="991">
      <c r="A991" s="8" t="inlineStr">
        <is>
          <t>34404991_RAL7035</t>
        </is>
      </c>
      <c r="B991" s="2">
        <f>INDEX(Tableau1[], MATCH(Tableau3[[#This Row],[REFERENCE]], Tableau1[NUMERO], 0), 2)</f>
        <v/>
      </c>
      <c r="C991">
        <f>INDEX(Tableau1[], MATCH(Tableau3[[#This Row],[REFERENCE]], Tableau1[NUMERO], 0), 3)</f>
        <v/>
      </c>
      <c r="D991">
        <f>INDEX(Tableau1[], MATCH(Tableau3[[#This Row],[REFERENCE]], Tableau1[NUMERO], 0),4)</f>
        <v/>
      </c>
      <c r="E991">
        <f>INDEX(Tableau1[], MATCH(Tableau3[[#This Row],[REFERENCE]], Tableau1[NUMERO], 0), 5)</f>
        <v/>
      </c>
      <c r="H991" t="inlineStr">
        <is>
          <t>PAILLET</t>
        </is>
      </c>
      <c r="J991" s="2" t="n">
        <v>44084</v>
      </c>
      <c r="K991" s="2" t="n">
        <v>44085</v>
      </c>
      <c r="L991" s="2" t="n"/>
      <c r="M991" s="35" t="n">
        <v>2</v>
      </c>
      <c r="N991" s="35" t="n">
        <v>2</v>
      </c>
      <c r="O991" s="7" t="n">
        <v>64.70999999999999</v>
      </c>
      <c r="P991" s="8" t="inlineStr">
        <is>
          <t>3 SEMAINES</t>
        </is>
      </c>
      <c r="Q991" s="2" t="n"/>
    </row>
    <row r="992">
      <c r="A992" s="8" t="inlineStr">
        <is>
          <t>34404992_RAL7035</t>
        </is>
      </c>
      <c r="B992" s="2">
        <f>INDEX(Tableau1[], MATCH(Tableau3[[#This Row],[REFERENCE]], Tableau1[NUMERO], 0), 2)</f>
        <v/>
      </c>
      <c r="C992">
        <f>INDEX(Tableau1[], MATCH(Tableau3[[#This Row],[REFERENCE]], Tableau1[NUMERO], 0), 3)</f>
        <v/>
      </c>
      <c r="D992">
        <f>INDEX(Tableau1[], MATCH(Tableau3[[#This Row],[REFERENCE]], Tableau1[NUMERO], 0),4)</f>
        <v/>
      </c>
      <c r="E992">
        <f>INDEX(Tableau1[], MATCH(Tableau3[[#This Row],[REFERENCE]], Tableau1[NUMERO], 0), 5)</f>
        <v/>
      </c>
      <c r="H992" t="inlineStr">
        <is>
          <t>PAILLET</t>
        </is>
      </c>
      <c r="J992" s="2" t="n">
        <v>44084</v>
      </c>
      <c r="K992" s="2" t="n">
        <v>44085</v>
      </c>
      <c r="L992" s="2" t="n"/>
      <c r="M992" s="35" t="n">
        <v>4</v>
      </c>
      <c r="N992" s="35" t="n">
        <v>2</v>
      </c>
      <c r="O992" s="7" t="n">
        <v>45.54</v>
      </c>
      <c r="P992" s="8" t="inlineStr">
        <is>
          <t>3 SEMAINES</t>
        </is>
      </c>
      <c r="Q992" s="2" t="n"/>
    </row>
    <row r="993">
      <c r="A993" s="8" t="inlineStr">
        <is>
          <t>34406407_RAL7035</t>
        </is>
      </c>
      <c r="B993" s="2">
        <f>INDEX(Tableau1[], MATCH(Tableau3[[#This Row],[REFERENCE]], Tableau1[NUMERO], 0), 2)</f>
        <v/>
      </c>
      <c r="C993">
        <f>INDEX(Tableau1[], MATCH(Tableau3[[#This Row],[REFERENCE]], Tableau1[NUMERO], 0), 3)</f>
        <v/>
      </c>
      <c r="D993">
        <f>INDEX(Tableau1[], MATCH(Tableau3[[#This Row],[REFERENCE]], Tableau1[NUMERO], 0),4)</f>
        <v/>
      </c>
      <c r="E993">
        <f>INDEX(Tableau1[], MATCH(Tableau3[[#This Row],[REFERENCE]], Tableau1[NUMERO], 0), 5)</f>
        <v/>
      </c>
      <c r="H993" t="inlineStr">
        <is>
          <t>PAILLET</t>
        </is>
      </c>
      <c r="J993" s="2" t="n">
        <v>44084</v>
      </c>
      <c r="K993" s="2" t="n">
        <v>44085</v>
      </c>
      <c r="L993" s="2" t="n"/>
      <c r="M993" s="35" t="n">
        <v>1</v>
      </c>
      <c r="N993" s="35" t="n">
        <v>2</v>
      </c>
      <c r="O993" s="7" t="n">
        <v>46.1</v>
      </c>
      <c r="P993" s="8" t="inlineStr">
        <is>
          <t>3 SEMAINES</t>
        </is>
      </c>
      <c r="Q993" s="2" t="n"/>
    </row>
    <row r="994">
      <c r="A994" s="8" t="inlineStr">
        <is>
          <t>34406408_RAL7035</t>
        </is>
      </c>
      <c r="B994" s="2">
        <f>INDEX(Tableau1[], MATCH(Tableau3[[#This Row],[REFERENCE]], Tableau1[NUMERO], 0), 2)</f>
        <v/>
      </c>
      <c r="C994">
        <f>INDEX(Tableau1[], MATCH(Tableau3[[#This Row],[REFERENCE]], Tableau1[NUMERO], 0), 3)</f>
        <v/>
      </c>
      <c r="D994">
        <f>INDEX(Tableau1[], MATCH(Tableau3[[#This Row],[REFERENCE]], Tableau1[NUMERO], 0),4)</f>
        <v/>
      </c>
      <c r="E994">
        <f>INDEX(Tableau1[], MATCH(Tableau3[[#This Row],[REFERENCE]], Tableau1[NUMERO], 0), 5)</f>
        <v/>
      </c>
      <c r="H994" t="inlineStr">
        <is>
          <t>PAILLET</t>
        </is>
      </c>
      <c r="J994" s="2" t="n">
        <v>44084</v>
      </c>
      <c r="K994" s="2" t="n">
        <v>44085</v>
      </c>
      <c r="L994" s="2" t="n"/>
      <c r="M994" s="35" t="n">
        <v>1</v>
      </c>
      <c r="N994" s="35" t="n">
        <v>2</v>
      </c>
      <c r="O994" s="7" t="n">
        <v>46.1</v>
      </c>
      <c r="P994" s="8" t="inlineStr">
        <is>
          <t>3 SEMAINES</t>
        </is>
      </c>
      <c r="Q994" s="2" t="n"/>
    </row>
    <row r="995">
      <c r="A995" s="8" t="inlineStr">
        <is>
          <t>34406409_RAL7035</t>
        </is>
      </c>
      <c r="B995" s="2">
        <f>INDEX(Tableau1[], MATCH(Tableau3[[#This Row],[REFERENCE]], Tableau1[NUMERO], 0), 2)</f>
        <v/>
      </c>
      <c r="C995">
        <f>INDEX(Tableau1[], MATCH(Tableau3[[#This Row],[REFERENCE]], Tableau1[NUMERO], 0), 3)</f>
        <v/>
      </c>
      <c r="D995">
        <f>INDEX(Tableau1[], MATCH(Tableau3[[#This Row],[REFERENCE]], Tableau1[NUMERO], 0),4)</f>
        <v/>
      </c>
      <c r="E995">
        <f>INDEX(Tableau1[], MATCH(Tableau3[[#This Row],[REFERENCE]], Tableau1[NUMERO], 0), 5)</f>
        <v/>
      </c>
      <c r="H995" t="inlineStr">
        <is>
          <t>PAILLET</t>
        </is>
      </c>
      <c r="J995" s="2" t="n">
        <v>44084</v>
      </c>
      <c r="K995" s="2" t="n">
        <v>44085</v>
      </c>
      <c r="L995" s="2" t="n"/>
      <c r="M995" s="35" t="n">
        <v>2</v>
      </c>
      <c r="N995" s="35" t="n">
        <v>1</v>
      </c>
      <c r="O995" s="7" t="n">
        <v>86.98999999999999</v>
      </c>
      <c r="P995" s="8" t="inlineStr">
        <is>
          <t>3 SEMAINES</t>
        </is>
      </c>
      <c r="Q995" s="2" t="n"/>
    </row>
    <row r="996">
      <c r="A996" s="8" t="inlineStr">
        <is>
          <t>34406410_RAL7035</t>
        </is>
      </c>
      <c r="B996" s="2">
        <f>INDEX(Tableau1[], MATCH(Tableau3[[#This Row],[REFERENCE]], Tableau1[NUMERO], 0), 2)</f>
        <v/>
      </c>
      <c r="C996">
        <f>INDEX(Tableau1[], MATCH(Tableau3[[#This Row],[REFERENCE]], Tableau1[NUMERO], 0), 3)</f>
        <v/>
      </c>
      <c r="D996">
        <f>INDEX(Tableau1[], MATCH(Tableau3[[#This Row],[REFERENCE]], Tableau1[NUMERO], 0),4)</f>
        <v/>
      </c>
      <c r="E996">
        <f>INDEX(Tableau1[], MATCH(Tableau3[[#This Row],[REFERENCE]], Tableau1[NUMERO], 0), 5)</f>
        <v/>
      </c>
      <c r="H996" t="inlineStr">
        <is>
          <t>PAILLET</t>
        </is>
      </c>
      <c r="J996" s="2" t="n">
        <v>44084</v>
      </c>
      <c r="K996" s="2" t="n">
        <v>44085</v>
      </c>
      <c r="L996" s="2" t="n"/>
      <c r="M996" s="35" t="n">
        <v>1</v>
      </c>
      <c r="N996" s="35" t="n">
        <v>1</v>
      </c>
      <c r="O996" s="7" t="n">
        <v>97.84999999999999</v>
      </c>
      <c r="P996" s="8" t="inlineStr">
        <is>
          <t>3 SEMAINES</t>
        </is>
      </c>
      <c r="Q996" s="2" t="n"/>
    </row>
    <row r="997">
      <c r="A997" s="8" t="inlineStr">
        <is>
          <t>34406411_RAL7035</t>
        </is>
      </c>
      <c r="B997" s="2">
        <f>INDEX(Tableau1[], MATCH(Tableau3[[#This Row],[REFERENCE]], Tableau1[NUMERO], 0), 2)</f>
        <v/>
      </c>
      <c r="C997">
        <f>INDEX(Tableau1[], MATCH(Tableau3[[#This Row],[REFERENCE]], Tableau1[NUMERO], 0), 3)</f>
        <v/>
      </c>
      <c r="D997">
        <f>INDEX(Tableau1[], MATCH(Tableau3[[#This Row],[REFERENCE]], Tableau1[NUMERO], 0),4)</f>
        <v/>
      </c>
      <c r="E997">
        <f>INDEX(Tableau1[], MATCH(Tableau3[[#This Row],[REFERENCE]], Tableau1[NUMERO], 0), 5)</f>
        <v/>
      </c>
      <c r="H997" t="inlineStr">
        <is>
          <t>PAILLET</t>
        </is>
      </c>
      <c r="J997" s="2" t="n">
        <v>44084</v>
      </c>
      <c r="K997" s="2" t="n">
        <v>44085</v>
      </c>
      <c r="L997" s="2" t="n"/>
      <c r="M997" s="35" t="n">
        <v>2</v>
      </c>
      <c r="N997" s="35" t="n">
        <v>1</v>
      </c>
      <c r="O997" s="7" t="n">
        <v>87.06</v>
      </c>
      <c r="P997" s="8" t="inlineStr">
        <is>
          <t>3 SEMAINES</t>
        </is>
      </c>
      <c r="Q997" s="2" t="n"/>
    </row>
    <row r="998">
      <c r="A998" s="8" t="inlineStr">
        <is>
          <t>34406412_RAL7035</t>
        </is>
      </c>
      <c r="B998" s="2">
        <f>INDEX(Tableau1[], MATCH(Tableau3[[#This Row],[REFERENCE]], Tableau1[NUMERO], 0), 2)</f>
        <v/>
      </c>
      <c r="C998">
        <f>INDEX(Tableau1[], MATCH(Tableau3[[#This Row],[REFERENCE]], Tableau1[NUMERO], 0), 3)</f>
        <v/>
      </c>
      <c r="D998">
        <f>INDEX(Tableau1[], MATCH(Tableau3[[#This Row],[REFERENCE]], Tableau1[NUMERO], 0),4)</f>
        <v/>
      </c>
      <c r="E998">
        <f>INDEX(Tableau1[], MATCH(Tableau3[[#This Row],[REFERENCE]], Tableau1[NUMERO], 0), 5)</f>
        <v/>
      </c>
      <c r="H998" t="inlineStr">
        <is>
          <t>PAILLET</t>
        </is>
      </c>
      <c r="J998" s="2" t="n">
        <v>44084</v>
      </c>
      <c r="K998" s="2" t="n">
        <v>44085</v>
      </c>
      <c r="L998" s="2" t="n"/>
      <c r="M998" s="35" t="n">
        <v>2</v>
      </c>
      <c r="N998" s="35" t="n">
        <v>1</v>
      </c>
      <c r="O998" s="7" t="n">
        <v>87.06</v>
      </c>
      <c r="P998" s="8" t="inlineStr">
        <is>
          <t>3 SEMAINES</t>
        </is>
      </c>
      <c r="Q998" s="2" t="n"/>
    </row>
    <row r="999">
      <c r="A999" s="8" t="inlineStr">
        <is>
          <t>34406413_RAL7035</t>
        </is>
      </c>
      <c r="B999" s="2">
        <f>INDEX(Tableau1[], MATCH(Tableau3[[#This Row],[REFERENCE]], Tableau1[NUMERO], 0), 2)</f>
        <v/>
      </c>
      <c r="C999">
        <f>INDEX(Tableau1[], MATCH(Tableau3[[#This Row],[REFERENCE]], Tableau1[NUMERO], 0), 3)</f>
        <v/>
      </c>
      <c r="D999">
        <f>INDEX(Tableau1[], MATCH(Tableau3[[#This Row],[REFERENCE]], Tableau1[NUMERO], 0),4)</f>
        <v/>
      </c>
      <c r="E999">
        <f>INDEX(Tableau1[], MATCH(Tableau3[[#This Row],[REFERENCE]], Tableau1[NUMERO], 0), 5)</f>
        <v/>
      </c>
      <c r="H999" t="inlineStr">
        <is>
          <t>PAILLET</t>
        </is>
      </c>
      <c r="J999" s="2" t="n">
        <v>44084</v>
      </c>
      <c r="K999" s="2" t="n">
        <v>44085</v>
      </c>
      <c r="L999" s="2" t="n"/>
      <c r="M999" s="35" t="n">
        <v>1</v>
      </c>
      <c r="N999" s="35" t="n">
        <v>1</v>
      </c>
      <c r="O999" s="7" t="n">
        <v>86.73</v>
      </c>
      <c r="P999" s="8" t="inlineStr">
        <is>
          <t>3 SEMAINES</t>
        </is>
      </c>
      <c r="Q999" s="2" t="n"/>
    </row>
    <row r="1000">
      <c r="A1000" s="8" t="inlineStr">
        <is>
          <t>34406414_RAL7035</t>
        </is>
      </c>
      <c r="B1000" s="2">
        <f>INDEX(Tableau1[], MATCH(Tableau3[[#This Row],[REFERENCE]], Tableau1[NUMERO], 0), 2)</f>
        <v/>
      </c>
      <c r="C1000">
        <f>INDEX(Tableau1[], MATCH(Tableau3[[#This Row],[REFERENCE]], Tableau1[NUMERO], 0), 3)</f>
        <v/>
      </c>
      <c r="D1000">
        <f>INDEX(Tableau1[], MATCH(Tableau3[[#This Row],[REFERENCE]], Tableau1[NUMERO], 0),4)</f>
        <v/>
      </c>
      <c r="E1000">
        <f>INDEX(Tableau1[], MATCH(Tableau3[[#This Row],[REFERENCE]], Tableau1[NUMERO], 0), 5)</f>
        <v/>
      </c>
      <c r="H1000" t="inlineStr">
        <is>
          <t>PAILLET</t>
        </is>
      </c>
      <c r="J1000" s="2" t="n">
        <v>44084</v>
      </c>
      <c r="K1000" s="2" t="n">
        <v>44085</v>
      </c>
      <c r="L1000" s="2" t="n"/>
      <c r="M1000" s="35" t="n">
        <v>1</v>
      </c>
      <c r="N1000" s="35" t="n">
        <v>1</v>
      </c>
      <c r="O1000" s="7" t="n">
        <v>90.09999999999999</v>
      </c>
      <c r="P1000" s="8" t="inlineStr">
        <is>
          <t>3 SEMAINES</t>
        </is>
      </c>
      <c r="Q1000" s="2" t="n"/>
    </row>
    <row r="1001">
      <c r="A1001" s="8" t="inlineStr">
        <is>
          <t>34406415_RAL7035</t>
        </is>
      </c>
      <c r="B1001" s="2">
        <f>INDEX(Tableau1[], MATCH(Tableau3[[#This Row],[REFERENCE]], Tableau1[NUMERO], 0), 2)</f>
        <v/>
      </c>
      <c r="C1001">
        <f>INDEX(Tableau1[], MATCH(Tableau3[[#This Row],[REFERENCE]], Tableau1[NUMERO], 0), 3)</f>
        <v/>
      </c>
      <c r="D1001">
        <f>INDEX(Tableau1[], MATCH(Tableau3[[#This Row],[REFERENCE]], Tableau1[NUMERO], 0),4)</f>
        <v/>
      </c>
      <c r="E1001">
        <f>INDEX(Tableau1[], MATCH(Tableau3[[#This Row],[REFERENCE]], Tableau1[NUMERO], 0), 5)</f>
        <v/>
      </c>
      <c r="H1001" t="inlineStr">
        <is>
          <t>PAILLET</t>
        </is>
      </c>
      <c r="J1001" s="2" t="n">
        <v>44084</v>
      </c>
      <c r="K1001" s="2" t="n">
        <v>44085</v>
      </c>
      <c r="L1001" s="2" t="n"/>
      <c r="M1001" s="35" t="n">
        <v>1</v>
      </c>
      <c r="N1001" s="35" t="n">
        <v>1</v>
      </c>
      <c r="O1001" s="7" t="n">
        <v>89.64</v>
      </c>
      <c r="P1001" s="8" t="inlineStr">
        <is>
          <t>3 SEMAINES</t>
        </is>
      </c>
      <c r="Q1001" s="2" t="n"/>
    </row>
    <row r="1002">
      <c r="A1002" s="8" t="inlineStr">
        <is>
          <t>34406416_RAL7035</t>
        </is>
      </c>
      <c r="B1002" s="2">
        <f>INDEX(Tableau1[], MATCH(Tableau3[[#This Row],[REFERENCE]], Tableau1[NUMERO], 0), 2)</f>
        <v/>
      </c>
      <c r="C1002">
        <f>INDEX(Tableau1[], MATCH(Tableau3[[#This Row],[REFERENCE]], Tableau1[NUMERO], 0), 3)</f>
        <v/>
      </c>
      <c r="D1002">
        <f>INDEX(Tableau1[], MATCH(Tableau3[[#This Row],[REFERENCE]], Tableau1[NUMERO], 0),4)</f>
        <v/>
      </c>
      <c r="E1002">
        <f>INDEX(Tableau1[], MATCH(Tableau3[[#This Row],[REFERENCE]], Tableau1[NUMERO], 0), 5)</f>
        <v/>
      </c>
      <c r="H1002" t="inlineStr">
        <is>
          <t>PAILLET</t>
        </is>
      </c>
      <c r="J1002" s="2" t="n">
        <v>44084</v>
      </c>
      <c r="K1002" s="2" t="n">
        <v>44085</v>
      </c>
      <c r="L1002" s="2" t="n"/>
      <c r="M1002" s="35" t="n">
        <v>1</v>
      </c>
      <c r="N1002" s="35" t="n">
        <v>1</v>
      </c>
      <c r="O1002" s="7" t="n">
        <v>91.62</v>
      </c>
      <c r="P1002" s="8" t="inlineStr">
        <is>
          <t>3 SEMAINES</t>
        </is>
      </c>
      <c r="Q1002" s="2" t="n"/>
    </row>
    <row r="1003">
      <c r="A1003" s="8" t="inlineStr">
        <is>
          <t>34406417_RAL7035</t>
        </is>
      </c>
      <c r="B1003" s="2">
        <f>INDEX(Tableau1[], MATCH(Tableau3[[#This Row],[REFERENCE]], Tableau1[NUMERO], 0), 2)</f>
        <v/>
      </c>
      <c r="C1003">
        <f>INDEX(Tableau1[], MATCH(Tableau3[[#This Row],[REFERENCE]], Tableau1[NUMERO], 0), 3)</f>
        <v/>
      </c>
      <c r="D1003">
        <f>INDEX(Tableau1[], MATCH(Tableau3[[#This Row],[REFERENCE]], Tableau1[NUMERO], 0),4)</f>
        <v/>
      </c>
      <c r="E1003">
        <f>INDEX(Tableau1[], MATCH(Tableau3[[#This Row],[REFERENCE]], Tableau1[NUMERO], 0), 5)</f>
        <v/>
      </c>
      <c r="H1003" t="inlineStr">
        <is>
          <t>PAILLET</t>
        </is>
      </c>
      <c r="J1003" s="2" t="n">
        <v>44084</v>
      </c>
      <c r="K1003" s="2" t="n">
        <v>44085</v>
      </c>
      <c r="L1003" s="2" t="n"/>
      <c r="M1003" s="35" t="n">
        <v>1</v>
      </c>
      <c r="N1003" s="35" t="n">
        <v>1</v>
      </c>
      <c r="O1003" s="7" t="n">
        <v>82.98</v>
      </c>
      <c r="P1003" s="8" t="inlineStr">
        <is>
          <t>3 SEMAINES</t>
        </is>
      </c>
      <c r="Q1003" s="2" t="n"/>
    </row>
    <row r="1004">
      <c r="A1004" s="8" t="inlineStr">
        <is>
          <t>34406418_RAL7035</t>
        </is>
      </c>
      <c r="B1004" s="2">
        <f>INDEX(Tableau1[], MATCH(Tableau3[[#This Row],[REFERENCE]], Tableau1[NUMERO], 0), 2)</f>
        <v/>
      </c>
      <c r="C1004">
        <f>INDEX(Tableau1[], MATCH(Tableau3[[#This Row],[REFERENCE]], Tableau1[NUMERO], 0), 3)</f>
        <v/>
      </c>
      <c r="D1004">
        <f>INDEX(Tableau1[], MATCH(Tableau3[[#This Row],[REFERENCE]], Tableau1[NUMERO], 0),4)</f>
        <v/>
      </c>
      <c r="E1004">
        <f>INDEX(Tableau1[], MATCH(Tableau3[[#This Row],[REFERENCE]], Tableau1[NUMERO], 0), 5)</f>
        <v/>
      </c>
      <c r="H1004" t="inlineStr">
        <is>
          <t>PAILLET</t>
        </is>
      </c>
      <c r="J1004" s="2" t="n">
        <v>44084</v>
      </c>
      <c r="K1004" s="2" t="n">
        <v>44085</v>
      </c>
      <c r="L1004" s="2" t="n"/>
      <c r="M1004" s="35" t="n">
        <v>2</v>
      </c>
      <c r="N1004" s="35" t="n">
        <v>1</v>
      </c>
      <c r="O1004" s="7" t="n">
        <v>81.62</v>
      </c>
      <c r="P1004" s="8" t="inlineStr">
        <is>
          <t>3 SEMAINES</t>
        </is>
      </c>
      <c r="Q1004" s="2" t="n"/>
    </row>
    <row r="1005">
      <c r="A1005" s="8" t="n">
        <v>34406420</v>
      </c>
      <c r="B1005" s="2">
        <f>INDEX(Tableau1[], MATCH(Tableau3[[#This Row],[REFERENCE]], Tableau1[NUMERO], 0), 2)</f>
        <v/>
      </c>
      <c r="C1005">
        <f>INDEX(Tableau1[], MATCH(Tableau3[[#This Row],[REFERENCE]], Tableau1[NUMERO], 0), 3)</f>
        <v/>
      </c>
      <c r="D1005">
        <f>INDEX(Tableau1[], MATCH(Tableau3[[#This Row],[REFERENCE]], Tableau1[NUMERO], 0),4)</f>
        <v/>
      </c>
      <c r="E1005">
        <f>INDEX(Tableau1[], MATCH(Tableau3[[#This Row],[REFERENCE]], Tableau1[NUMERO], 0), 5)</f>
        <v/>
      </c>
      <c r="H1005" t="inlineStr">
        <is>
          <t>PAILLET</t>
        </is>
      </c>
      <c r="J1005" s="2" t="n">
        <v>44084</v>
      </c>
      <c r="K1005" s="2" t="n">
        <v>44085</v>
      </c>
      <c r="L1005" s="2" t="n"/>
      <c r="M1005" s="35" t="n">
        <v>2</v>
      </c>
      <c r="N1005" s="35" t="n">
        <v>1</v>
      </c>
      <c r="O1005" s="7" t="n">
        <v>41.98</v>
      </c>
      <c r="P1005" s="8" t="inlineStr">
        <is>
          <t>3 SEMAINES</t>
        </is>
      </c>
      <c r="Q1005" s="2" t="n"/>
    </row>
    <row r="1006">
      <c r="A1006" s="8" t="n">
        <v>34406421</v>
      </c>
      <c r="B1006" s="2">
        <f>INDEX(Tableau1[], MATCH(Tableau3[[#This Row],[REFERENCE]], Tableau1[NUMERO], 0), 2)</f>
        <v/>
      </c>
      <c r="C1006">
        <f>INDEX(Tableau1[], MATCH(Tableau3[[#This Row],[REFERENCE]], Tableau1[NUMERO], 0), 3)</f>
        <v/>
      </c>
      <c r="D1006">
        <f>INDEX(Tableau1[], MATCH(Tableau3[[#This Row],[REFERENCE]], Tableau1[NUMERO], 0),4)</f>
        <v/>
      </c>
      <c r="E1006">
        <f>INDEX(Tableau1[], MATCH(Tableau3[[#This Row],[REFERENCE]], Tableau1[NUMERO], 0), 5)</f>
        <v/>
      </c>
      <c r="H1006" t="inlineStr">
        <is>
          <t>PAILLET</t>
        </is>
      </c>
      <c r="J1006" s="2" t="n">
        <v>44084</v>
      </c>
      <c r="K1006" s="2" t="n">
        <v>44085</v>
      </c>
      <c r="L1006" s="2" t="n"/>
      <c r="M1006" s="35" t="n">
        <v>2</v>
      </c>
      <c r="N1006" s="35" t="n">
        <v>1</v>
      </c>
      <c r="O1006" s="7" t="n">
        <v>86.79000000000001</v>
      </c>
      <c r="P1006" s="8" t="inlineStr">
        <is>
          <t>3 SEMAINES</t>
        </is>
      </c>
      <c r="Q1006" s="2" t="n"/>
    </row>
    <row r="1007">
      <c r="A1007" s="8" t="n">
        <v>34406454</v>
      </c>
      <c r="B1007" s="2">
        <f>INDEX(Tableau1[], MATCH(Tableau3[[#This Row],[REFERENCE]], Tableau1[NUMERO], 0), 2)</f>
        <v/>
      </c>
      <c r="C1007">
        <f>INDEX(Tableau1[], MATCH(Tableau3[[#This Row],[REFERENCE]], Tableau1[NUMERO], 0), 3)</f>
        <v/>
      </c>
      <c r="D1007">
        <f>INDEX(Tableau1[], MATCH(Tableau3[[#This Row],[REFERENCE]], Tableau1[NUMERO], 0),4)</f>
        <v/>
      </c>
      <c r="E1007">
        <f>INDEX(Tableau1[], MATCH(Tableau3[[#This Row],[REFERENCE]], Tableau1[NUMERO], 0), 5)</f>
        <v/>
      </c>
      <c r="H1007" t="inlineStr">
        <is>
          <t>PAILLET</t>
        </is>
      </c>
      <c r="J1007" s="2" t="n">
        <v>44084</v>
      </c>
      <c r="K1007" s="2" t="n">
        <v>44085</v>
      </c>
      <c r="L1007" s="2" t="n"/>
      <c r="M1007" s="35" t="n">
        <v>1</v>
      </c>
      <c r="N1007" s="35" t="n">
        <v>1</v>
      </c>
      <c r="O1007" s="7" t="n">
        <v>70.69</v>
      </c>
      <c r="P1007" s="8" t="inlineStr">
        <is>
          <t>3 SEMAINES</t>
        </is>
      </c>
      <c r="Q1007" s="2" t="n"/>
    </row>
    <row r="1008" ht="15.75" customFormat="1" customHeight="1" s="58" thickBot="1">
      <c r="A1008" s="56" t="n">
        <v>34404932</v>
      </c>
      <c r="B1008" s="57">
        <f>INDEX(Tableau1[], MATCH(Tableau3[[#This Row],[REFERENCE]], Tableau1[NUMERO], 0), 2)</f>
        <v/>
      </c>
      <c r="C1008" s="58">
        <f>INDEX(Tableau1[], MATCH(Tableau3[[#This Row],[REFERENCE]], Tableau1[NUMERO], 0), 3)</f>
        <v/>
      </c>
      <c r="D1008" s="58">
        <f>INDEX(Tableau1[], MATCH(Tableau3[[#This Row],[REFERENCE]], Tableau1[NUMERO], 0),4)</f>
        <v/>
      </c>
      <c r="E1008" s="58">
        <f>INDEX(Tableau1[], MATCH(Tableau3[[#This Row],[REFERENCE]], Tableau1[NUMERO], 0), 5)</f>
        <v/>
      </c>
      <c r="H1008" s="58" t="inlineStr">
        <is>
          <t>PAILLET</t>
        </is>
      </c>
      <c r="I1008" s="56" t="n"/>
      <c r="J1008" s="57" t="n">
        <v>44084</v>
      </c>
      <c r="K1008" s="57" t="n">
        <v>44085</v>
      </c>
      <c r="L1008" s="57" t="n"/>
      <c r="M1008" s="60" t="n">
        <v>1</v>
      </c>
      <c r="N1008" s="60" t="n">
        <v>8</v>
      </c>
      <c r="O1008" s="97" t="inlineStr">
        <is>
          <t>impossible</t>
        </is>
      </c>
      <c r="P1008" s="56" t="n"/>
      <c r="Q1008" s="57" t="n"/>
    </row>
    <row r="1009" ht="15.75" customHeight="1" s="142" thickTop="1">
      <c r="A1009" s="8" t="n">
        <v>34404934</v>
      </c>
      <c r="B1009" s="2">
        <f>INDEX(Tableau1[], MATCH(Tableau3[[#This Row],[REFERENCE]], Tableau1[NUMERO], 0), 2)</f>
        <v/>
      </c>
      <c r="C1009">
        <f>INDEX(Tableau1[], MATCH(Tableau3[[#This Row],[REFERENCE]], Tableau1[NUMERO], 0), 3)</f>
        <v/>
      </c>
      <c r="D1009">
        <f>INDEX(Tableau1[], MATCH(Tableau3[[#This Row],[REFERENCE]], Tableau1[NUMERO], 0),4)</f>
        <v/>
      </c>
      <c r="E1009">
        <f>INDEX(Tableau1[], MATCH(Tableau3[[#This Row],[REFERENCE]], Tableau1[NUMERO], 0), 5)</f>
        <v/>
      </c>
      <c r="H1009" t="inlineStr">
        <is>
          <t>thyssen</t>
        </is>
      </c>
      <c r="J1009" s="51" t="inlineStr">
        <is>
          <t>10/09 et relancé le 18/09</t>
        </is>
      </c>
      <c r="K1009" s="51" t="n">
        <v>44095</v>
      </c>
      <c r="L1009" s="51" t="n"/>
      <c r="M1009" s="8" t="n">
        <v>2</v>
      </c>
      <c r="N1009" s="8" t="n">
        <v>1</v>
      </c>
      <c r="O1009" s="7" t="n">
        <v>59.95</v>
      </c>
      <c r="P1009" s="8" t="inlineStr">
        <is>
          <t>3 SEMAINES</t>
        </is>
      </c>
      <c r="Q1009" s="2" t="n">
        <v>44102</v>
      </c>
    </row>
    <row r="1010">
      <c r="A1010" s="8" t="n">
        <v>34404935</v>
      </c>
      <c r="B1010" s="2">
        <f>INDEX(Tableau1[], MATCH(Tableau3[[#This Row],[REFERENCE]], Tableau1[NUMERO], 0), 2)</f>
        <v/>
      </c>
      <c r="C1010">
        <f>INDEX(Tableau1[], MATCH(Tableau3[[#This Row],[REFERENCE]], Tableau1[NUMERO], 0), 3)</f>
        <v/>
      </c>
      <c r="D1010">
        <f>INDEX(Tableau1[], MATCH(Tableau3[[#This Row],[REFERENCE]], Tableau1[NUMERO], 0),4)</f>
        <v/>
      </c>
      <c r="E1010">
        <f>INDEX(Tableau1[], MATCH(Tableau3[[#This Row],[REFERENCE]], Tableau1[NUMERO], 0), 5)</f>
        <v/>
      </c>
      <c r="H1010" t="inlineStr">
        <is>
          <t>thyssen</t>
        </is>
      </c>
      <c r="J1010" s="2" t="inlineStr">
        <is>
          <t>10/09 et relancé le 18/09</t>
        </is>
      </c>
      <c r="K1010" s="2" t="n">
        <v>44095</v>
      </c>
      <c r="L1010" s="2" t="n"/>
      <c r="M1010" s="8" t="n">
        <v>2</v>
      </c>
      <c r="N1010" s="8" t="n">
        <v>1</v>
      </c>
      <c r="O1010" s="7" t="n">
        <v>59.95</v>
      </c>
      <c r="P1010" s="8" t="inlineStr">
        <is>
          <t>3 SEMAINES</t>
        </is>
      </c>
      <c r="Q1010" s="2" t="n">
        <v>44102</v>
      </c>
    </row>
    <row r="1011">
      <c r="A1011" s="8" t="n">
        <v>34404936</v>
      </c>
      <c r="B1011" s="2">
        <f>INDEX(Tableau1[], MATCH(Tableau3[[#This Row],[REFERENCE]], Tableau1[NUMERO], 0), 2)</f>
        <v/>
      </c>
      <c r="C1011">
        <f>INDEX(Tableau1[], MATCH(Tableau3[[#This Row],[REFERENCE]], Tableau1[NUMERO], 0), 3)</f>
        <v/>
      </c>
      <c r="D1011">
        <f>INDEX(Tableau1[], MATCH(Tableau3[[#This Row],[REFERENCE]], Tableau1[NUMERO], 0),4)</f>
        <v/>
      </c>
      <c r="E1011">
        <f>INDEX(Tableau1[], MATCH(Tableau3[[#This Row],[REFERENCE]], Tableau1[NUMERO], 0), 5)</f>
        <v/>
      </c>
      <c r="H1011" t="inlineStr">
        <is>
          <t>thyssen</t>
        </is>
      </c>
      <c r="J1011" s="2" t="inlineStr">
        <is>
          <t>10/09 et relancé le 18/09</t>
        </is>
      </c>
      <c r="K1011" s="2" t="n">
        <v>44095</v>
      </c>
      <c r="L1011" s="2" t="n"/>
      <c r="M1011" s="8" t="n">
        <v>2</v>
      </c>
      <c r="N1011" s="8" t="n">
        <v>1</v>
      </c>
      <c r="O1011" s="7" t="n">
        <v>59.95</v>
      </c>
      <c r="P1011" s="8" t="inlineStr">
        <is>
          <t>3 SEMAINES</t>
        </is>
      </c>
      <c r="Q1011" s="2" t="n">
        <v>44102</v>
      </c>
    </row>
    <row r="1012">
      <c r="A1012" s="8" t="n">
        <v>34404937</v>
      </c>
      <c r="B1012" s="2">
        <f>INDEX(Tableau1[], MATCH(Tableau3[[#This Row],[REFERENCE]], Tableau1[NUMERO], 0), 2)</f>
        <v/>
      </c>
      <c r="C1012">
        <f>INDEX(Tableau1[], MATCH(Tableau3[[#This Row],[REFERENCE]], Tableau1[NUMERO], 0), 3)</f>
        <v/>
      </c>
      <c r="D1012">
        <f>INDEX(Tableau1[], MATCH(Tableau3[[#This Row],[REFERENCE]], Tableau1[NUMERO], 0),4)</f>
        <v/>
      </c>
      <c r="E1012">
        <f>INDEX(Tableau1[], MATCH(Tableau3[[#This Row],[REFERENCE]], Tableau1[NUMERO], 0), 5)</f>
        <v/>
      </c>
      <c r="H1012" t="inlineStr">
        <is>
          <t>thyssen</t>
        </is>
      </c>
      <c r="J1012" s="2" t="inlineStr">
        <is>
          <t>10/09 et relancé le 18/09</t>
        </is>
      </c>
      <c r="K1012" s="2" t="n">
        <v>44095</v>
      </c>
      <c r="L1012" s="2" t="n"/>
      <c r="M1012" s="8" t="n">
        <v>2</v>
      </c>
      <c r="N1012" s="8" t="n">
        <v>1</v>
      </c>
      <c r="O1012" s="7" t="n">
        <v>59.95</v>
      </c>
      <c r="P1012" s="8" t="inlineStr">
        <is>
          <t>3 SEMAINES</t>
        </is>
      </c>
      <c r="Q1012" s="2" t="n">
        <v>44102</v>
      </c>
    </row>
    <row r="1013">
      <c r="A1013" s="8" t="n">
        <v>34404943</v>
      </c>
      <c r="B1013" s="2">
        <f>INDEX(Tableau1[], MATCH(Tableau3[[#This Row],[REFERENCE]], Tableau1[NUMERO], 0), 2)</f>
        <v/>
      </c>
      <c r="C1013">
        <f>INDEX(Tableau1[], MATCH(Tableau3[[#This Row],[REFERENCE]], Tableau1[NUMERO], 0), 3)</f>
        <v/>
      </c>
      <c r="D1013">
        <f>INDEX(Tableau1[], MATCH(Tableau3[[#This Row],[REFERENCE]], Tableau1[NUMERO], 0),4)</f>
        <v/>
      </c>
      <c r="E1013">
        <f>INDEX(Tableau1[], MATCH(Tableau3[[#This Row],[REFERENCE]], Tableau1[NUMERO], 0), 5)</f>
        <v/>
      </c>
      <c r="H1013" t="inlineStr">
        <is>
          <t>thyssen</t>
        </is>
      </c>
      <c r="J1013" s="2" t="inlineStr">
        <is>
          <t>10/09 et relancé le 18/09</t>
        </is>
      </c>
      <c r="K1013" s="2" t="n">
        <v>44095</v>
      </c>
      <c r="L1013" s="2" t="n"/>
      <c r="M1013" s="8" t="n">
        <v>1</v>
      </c>
      <c r="N1013" s="8" t="n">
        <v>4</v>
      </c>
      <c r="O1013" s="7" t="n">
        <v>18.45</v>
      </c>
      <c r="P1013" s="8" t="inlineStr">
        <is>
          <t>3 SEMAINES</t>
        </is>
      </c>
      <c r="Q1013" s="2" t="n">
        <v>44102</v>
      </c>
    </row>
    <row r="1014">
      <c r="A1014" s="8" t="n">
        <v>34404944</v>
      </c>
      <c r="B1014" s="2">
        <f>INDEX(Tableau1[], MATCH(Tableau3[[#This Row],[REFERENCE]], Tableau1[NUMERO], 0), 2)</f>
        <v/>
      </c>
      <c r="C1014">
        <f>INDEX(Tableau1[], MATCH(Tableau3[[#This Row],[REFERENCE]], Tableau1[NUMERO], 0), 3)</f>
        <v/>
      </c>
      <c r="D1014">
        <f>INDEX(Tableau1[], MATCH(Tableau3[[#This Row],[REFERENCE]], Tableau1[NUMERO], 0),4)</f>
        <v/>
      </c>
      <c r="E1014">
        <f>INDEX(Tableau1[], MATCH(Tableau3[[#This Row],[REFERENCE]], Tableau1[NUMERO], 0), 5)</f>
        <v/>
      </c>
      <c r="H1014" t="inlineStr">
        <is>
          <t>thyssen</t>
        </is>
      </c>
      <c r="J1014" s="2" t="inlineStr">
        <is>
          <t>10/09 et relancé le 18/09</t>
        </is>
      </c>
      <c r="K1014" s="2" t="n">
        <v>44095</v>
      </c>
      <c r="L1014" s="2" t="n"/>
      <c r="M1014" s="8" t="n">
        <v>2</v>
      </c>
      <c r="N1014" s="8" t="n">
        <v>1</v>
      </c>
      <c r="O1014" s="7" t="n">
        <v>52.4</v>
      </c>
      <c r="P1014" s="8" t="inlineStr">
        <is>
          <t>3 SEMAINES</t>
        </is>
      </c>
      <c r="Q1014" s="2" t="n">
        <v>44102</v>
      </c>
    </row>
    <row r="1015">
      <c r="A1015" s="8" t="n">
        <v>34404946</v>
      </c>
      <c r="B1015" s="2">
        <f>INDEX(Tableau1[], MATCH(Tableau3[[#This Row],[REFERENCE]], Tableau1[NUMERO], 0), 2)</f>
        <v/>
      </c>
      <c r="C1015">
        <f>INDEX(Tableau1[], MATCH(Tableau3[[#This Row],[REFERENCE]], Tableau1[NUMERO], 0), 3)</f>
        <v/>
      </c>
      <c r="D1015">
        <f>INDEX(Tableau1[], MATCH(Tableau3[[#This Row],[REFERENCE]], Tableau1[NUMERO], 0),4)</f>
        <v/>
      </c>
      <c r="E1015">
        <f>INDEX(Tableau1[], MATCH(Tableau3[[#This Row],[REFERENCE]], Tableau1[NUMERO], 0), 5)</f>
        <v/>
      </c>
      <c r="H1015" t="inlineStr">
        <is>
          <t>thyssen</t>
        </is>
      </c>
      <c r="J1015" s="2" t="inlineStr">
        <is>
          <t>10/09 et relancé le 18/09</t>
        </is>
      </c>
      <c r="K1015" s="2" t="n">
        <v>44095</v>
      </c>
      <c r="L1015" s="2" t="n"/>
      <c r="M1015" s="8" t="n">
        <v>2</v>
      </c>
      <c r="N1015" s="8" t="n">
        <v>1</v>
      </c>
      <c r="O1015" s="7" t="n">
        <v>55.75</v>
      </c>
      <c r="P1015" s="8" t="inlineStr">
        <is>
          <t>3 SEMAINES</t>
        </is>
      </c>
      <c r="Q1015" s="2" t="n">
        <v>44102</v>
      </c>
    </row>
    <row r="1016">
      <c r="A1016" s="8" t="n">
        <v>34404947</v>
      </c>
      <c r="B1016" s="2">
        <f>INDEX(Tableau1[], MATCH(Tableau3[[#This Row],[REFERENCE]], Tableau1[NUMERO], 0), 2)</f>
        <v/>
      </c>
      <c r="C1016">
        <f>INDEX(Tableau1[], MATCH(Tableau3[[#This Row],[REFERENCE]], Tableau1[NUMERO], 0), 3)</f>
        <v/>
      </c>
      <c r="D1016">
        <f>INDEX(Tableau1[], MATCH(Tableau3[[#This Row],[REFERENCE]], Tableau1[NUMERO], 0),4)</f>
        <v/>
      </c>
      <c r="E1016">
        <f>INDEX(Tableau1[], MATCH(Tableau3[[#This Row],[REFERENCE]], Tableau1[NUMERO], 0), 5)</f>
        <v/>
      </c>
      <c r="H1016" t="inlineStr">
        <is>
          <t>thyssen</t>
        </is>
      </c>
      <c r="J1016" s="2" t="inlineStr">
        <is>
          <t>10/09 et relancé le 18/09</t>
        </is>
      </c>
      <c r="K1016" s="2" t="n">
        <v>44095</v>
      </c>
      <c r="L1016" s="2" t="n"/>
      <c r="M1016" s="8" t="n">
        <v>2</v>
      </c>
      <c r="N1016" s="8" t="n">
        <v>1</v>
      </c>
      <c r="O1016" s="7" t="n">
        <v>51.4</v>
      </c>
      <c r="P1016" s="8" t="inlineStr">
        <is>
          <t>3 SEMAINES</t>
        </is>
      </c>
      <c r="Q1016" s="2" t="n">
        <v>44102</v>
      </c>
    </row>
    <row r="1017">
      <c r="A1017" s="8" t="n">
        <v>34404948</v>
      </c>
      <c r="B1017" s="2">
        <f>INDEX(Tableau1[], MATCH(Tableau3[[#This Row],[REFERENCE]], Tableau1[NUMERO], 0), 2)</f>
        <v/>
      </c>
      <c r="C1017">
        <f>INDEX(Tableau1[], MATCH(Tableau3[[#This Row],[REFERENCE]], Tableau1[NUMERO], 0), 3)</f>
        <v/>
      </c>
      <c r="D1017">
        <f>INDEX(Tableau1[], MATCH(Tableau3[[#This Row],[REFERENCE]], Tableau1[NUMERO], 0),4)</f>
        <v/>
      </c>
      <c r="E1017">
        <f>INDEX(Tableau1[], MATCH(Tableau3[[#This Row],[REFERENCE]], Tableau1[NUMERO], 0), 5)</f>
        <v/>
      </c>
      <c r="H1017" t="inlineStr">
        <is>
          <t>thyssen</t>
        </is>
      </c>
      <c r="J1017" s="2" t="inlineStr">
        <is>
          <t>10/09 et relancé le 18/09</t>
        </is>
      </c>
      <c r="K1017" s="2" t="n">
        <v>44095</v>
      </c>
      <c r="L1017" s="2" t="n"/>
      <c r="M1017" s="8" t="n">
        <v>2</v>
      </c>
      <c r="N1017" s="8" t="n">
        <v>1</v>
      </c>
      <c r="O1017" s="7" t="n">
        <v>51.4</v>
      </c>
      <c r="P1017" s="8" t="inlineStr">
        <is>
          <t>3 SEMAINES</t>
        </is>
      </c>
      <c r="Q1017" s="2" t="n">
        <v>44102</v>
      </c>
    </row>
    <row r="1018">
      <c r="A1018" s="8" t="n">
        <v>34404950</v>
      </c>
      <c r="B1018" s="2">
        <f>INDEX(Tableau1[], MATCH(Tableau3[[#This Row],[REFERENCE]], Tableau1[NUMERO], 0), 2)</f>
        <v/>
      </c>
      <c r="C1018">
        <f>INDEX(Tableau1[], MATCH(Tableau3[[#This Row],[REFERENCE]], Tableau1[NUMERO], 0), 3)</f>
        <v/>
      </c>
      <c r="D1018">
        <f>INDEX(Tableau1[], MATCH(Tableau3[[#This Row],[REFERENCE]], Tableau1[NUMERO], 0),4)</f>
        <v/>
      </c>
      <c r="E1018">
        <f>INDEX(Tableau1[], MATCH(Tableau3[[#This Row],[REFERENCE]], Tableau1[NUMERO], 0), 5)</f>
        <v/>
      </c>
      <c r="H1018" t="inlineStr">
        <is>
          <t>thyssen</t>
        </is>
      </c>
      <c r="J1018" s="2" t="inlineStr">
        <is>
          <t>10/09 et relancé le 18/09</t>
        </is>
      </c>
      <c r="K1018" s="2" t="n">
        <v>44095</v>
      </c>
      <c r="L1018" s="2" t="n"/>
      <c r="M1018" s="8" t="n">
        <v>1</v>
      </c>
      <c r="N1018" s="8" t="n">
        <v>8</v>
      </c>
      <c r="O1018" s="7" t="n">
        <v>15.9</v>
      </c>
      <c r="P1018" s="8" t="inlineStr">
        <is>
          <t>3 SEMAINES</t>
        </is>
      </c>
      <c r="Q1018" s="2" t="n">
        <v>44102</v>
      </c>
    </row>
    <row r="1019" ht="15.75" customHeight="1" s="142" thickBot="1">
      <c r="A1019" s="8" t="n">
        <v>34406419</v>
      </c>
      <c r="B1019" s="2">
        <f>INDEX(Tableau1[], MATCH(Tableau3[[#This Row],[REFERENCE]], Tableau1[NUMERO], 0), 2)</f>
        <v/>
      </c>
      <c r="C1019">
        <f>INDEX(Tableau1[], MATCH(Tableau3[[#This Row],[REFERENCE]], Tableau1[NUMERO], 0), 3)</f>
        <v/>
      </c>
      <c r="D1019">
        <f>INDEX(Tableau1[], MATCH(Tableau3[[#This Row],[REFERENCE]], Tableau1[NUMERO], 0),4)</f>
        <v/>
      </c>
      <c r="E1019">
        <f>INDEX(Tableau1[], MATCH(Tableau3[[#This Row],[REFERENCE]], Tableau1[NUMERO], 0), 5)</f>
        <v/>
      </c>
      <c r="H1019" t="inlineStr">
        <is>
          <t>thyssen</t>
        </is>
      </c>
      <c r="J1019" s="2" t="inlineStr">
        <is>
          <t>10/09 et relancé le 18/09</t>
        </is>
      </c>
      <c r="K1019" s="2" t="n">
        <v>44095</v>
      </c>
      <c r="L1019" s="2" t="n"/>
      <c r="M1019" s="8" t="n">
        <v>1</v>
      </c>
      <c r="N1019" s="8" t="n">
        <v>4</v>
      </c>
      <c r="O1019" s="7" t="n">
        <v>65.59999999999999</v>
      </c>
      <c r="P1019" s="8" t="inlineStr">
        <is>
          <t>3 SEMAINES</t>
        </is>
      </c>
      <c r="Q1019" s="2" t="n"/>
    </row>
    <row r="1020" ht="15.75" customFormat="1" customHeight="1" s="52" thickTop="1">
      <c r="A1020" s="50" t="n">
        <v>34404934</v>
      </c>
      <c r="B1020" s="51">
        <f>INDEX(Tableau1[], MATCH(Tableau3[[#This Row],[REFERENCE]], Tableau1[NUMERO], 0), 2)</f>
        <v/>
      </c>
      <c r="C1020" s="52">
        <f>INDEX(Tableau1[], MATCH(Tableau3[[#This Row],[REFERENCE]], Tableau1[NUMERO], 0), 3)</f>
        <v/>
      </c>
      <c r="D1020" s="52">
        <f>INDEX(Tableau1[], MATCH(Tableau3[[#This Row],[REFERENCE]], Tableau1[NUMERO], 0),4)</f>
        <v/>
      </c>
      <c r="E1020" s="52">
        <f>INDEX(Tableau1[], MATCH(Tableau3[[#This Row],[REFERENCE]], Tableau1[NUMERO], 0), 5)</f>
        <v/>
      </c>
      <c r="H1020" s="52" t="inlineStr">
        <is>
          <t>trefimetaux</t>
        </is>
      </c>
      <c r="I1020" s="50" t="n"/>
      <c r="J1020" s="51" t="n">
        <v>44084</v>
      </c>
      <c r="K1020" s="51" t="n">
        <v>44085</v>
      </c>
      <c r="L1020" s="51" t="n"/>
      <c r="M1020" s="50" t="n">
        <v>2</v>
      </c>
      <c r="N1020" s="50" t="n">
        <v>1</v>
      </c>
      <c r="O1020" s="55" t="n">
        <v>25</v>
      </c>
      <c r="P1020" s="94" t="inlineStr">
        <is>
          <t>Délai a confirmer avec  Mr THIAM</t>
        </is>
      </c>
      <c r="Q1020" s="51" t="n">
        <v>44176</v>
      </c>
    </row>
    <row r="1021">
      <c r="A1021" s="8" t="n">
        <v>34404935</v>
      </c>
      <c r="B1021" s="2">
        <f>INDEX(Tableau1[], MATCH(Tableau3[[#This Row],[REFERENCE]], Tableau1[NUMERO], 0), 2)</f>
        <v/>
      </c>
      <c r="C1021">
        <f>INDEX(Tableau1[], MATCH(Tableau3[[#This Row],[REFERENCE]], Tableau1[NUMERO], 0), 3)</f>
        <v/>
      </c>
      <c r="D1021">
        <f>INDEX(Tableau1[], MATCH(Tableau3[[#This Row],[REFERENCE]], Tableau1[NUMERO], 0),4)</f>
        <v/>
      </c>
      <c r="E1021">
        <f>INDEX(Tableau1[], MATCH(Tableau3[[#This Row],[REFERENCE]], Tableau1[NUMERO], 0), 5)</f>
        <v/>
      </c>
      <c r="H1021" t="inlineStr">
        <is>
          <t>trefimetaux</t>
        </is>
      </c>
      <c r="J1021" s="2" t="n">
        <v>44084</v>
      </c>
      <c r="K1021" s="2" t="n">
        <v>44085</v>
      </c>
      <c r="L1021" s="2" t="n"/>
      <c r="M1021" s="8" t="n">
        <v>2</v>
      </c>
      <c r="N1021" s="8" t="n">
        <v>1</v>
      </c>
      <c r="O1021" s="7" t="n">
        <v>25</v>
      </c>
      <c r="P1021" s="95" t="inlineStr">
        <is>
          <t>Délai a confirmer avec  Mr THIAM</t>
        </is>
      </c>
      <c r="Q1021" s="2" t="n">
        <v>44176</v>
      </c>
    </row>
    <row r="1022">
      <c r="A1022" s="8" t="n">
        <v>34404936</v>
      </c>
      <c r="B1022" s="2">
        <f>INDEX(Tableau1[], MATCH(Tableau3[[#This Row],[REFERENCE]], Tableau1[NUMERO], 0), 2)</f>
        <v/>
      </c>
      <c r="C1022">
        <f>INDEX(Tableau1[], MATCH(Tableau3[[#This Row],[REFERENCE]], Tableau1[NUMERO], 0), 3)</f>
        <v/>
      </c>
      <c r="D1022">
        <f>INDEX(Tableau1[], MATCH(Tableau3[[#This Row],[REFERENCE]], Tableau1[NUMERO], 0),4)</f>
        <v/>
      </c>
      <c r="E1022">
        <f>INDEX(Tableau1[], MATCH(Tableau3[[#This Row],[REFERENCE]], Tableau1[NUMERO], 0), 5)</f>
        <v/>
      </c>
      <c r="H1022" t="inlineStr">
        <is>
          <t>trefimetaux</t>
        </is>
      </c>
      <c r="J1022" s="2" t="n">
        <v>44084</v>
      </c>
      <c r="K1022" s="2" t="n">
        <v>44085</v>
      </c>
      <c r="L1022" s="2" t="n"/>
      <c r="M1022" s="8" t="n">
        <v>2</v>
      </c>
      <c r="N1022" s="8" t="n">
        <v>1</v>
      </c>
      <c r="O1022" s="7" t="n">
        <v>25</v>
      </c>
      <c r="P1022" s="95" t="inlineStr">
        <is>
          <t>Délai a confirmer avec  Mr THIAM</t>
        </is>
      </c>
      <c r="Q1022" s="2" t="n">
        <v>44176</v>
      </c>
    </row>
    <row r="1023">
      <c r="A1023" s="8" t="n">
        <v>34404937</v>
      </c>
      <c r="B1023" s="2">
        <f>INDEX(Tableau1[], MATCH(Tableau3[[#This Row],[REFERENCE]], Tableau1[NUMERO], 0), 2)</f>
        <v/>
      </c>
      <c r="C1023">
        <f>INDEX(Tableau1[], MATCH(Tableau3[[#This Row],[REFERENCE]], Tableau1[NUMERO], 0), 3)</f>
        <v/>
      </c>
      <c r="D1023">
        <f>INDEX(Tableau1[], MATCH(Tableau3[[#This Row],[REFERENCE]], Tableau1[NUMERO], 0),4)</f>
        <v/>
      </c>
      <c r="E1023">
        <f>INDEX(Tableau1[], MATCH(Tableau3[[#This Row],[REFERENCE]], Tableau1[NUMERO], 0), 5)</f>
        <v/>
      </c>
      <c r="H1023" t="inlineStr">
        <is>
          <t>trefimetaux</t>
        </is>
      </c>
      <c r="J1023" s="2" t="n">
        <v>44084</v>
      </c>
      <c r="K1023" s="2" t="n">
        <v>44085</v>
      </c>
      <c r="L1023" s="2" t="n"/>
      <c r="M1023" s="8" t="n">
        <v>2</v>
      </c>
      <c r="N1023" s="8" t="n">
        <v>1</v>
      </c>
      <c r="O1023" s="7" t="n">
        <v>25</v>
      </c>
      <c r="P1023" s="95" t="inlineStr">
        <is>
          <t>Délai a confirmer avec  Mr THIAM</t>
        </is>
      </c>
      <c r="Q1023" s="2" t="n">
        <v>44176</v>
      </c>
    </row>
    <row r="1024">
      <c r="A1024" s="8" t="n">
        <v>34404943</v>
      </c>
      <c r="B1024" s="2">
        <f>INDEX(Tableau1[], MATCH(Tableau3[[#This Row],[REFERENCE]], Tableau1[NUMERO], 0), 2)</f>
        <v/>
      </c>
      <c r="C1024">
        <f>INDEX(Tableau1[], MATCH(Tableau3[[#This Row],[REFERENCE]], Tableau1[NUMERO], 0), 3)</f>
        <v/>
      </c>
      <c r="D1024">
        <f>INDEX(Tableau1[], MATCH(Tableau3[[#This Row],[REFERENCE]], Tableau1[NUMERO], 0),4)</f>
        <v/>
      </c>
      <c r="E1024">
        <f>INDEX(Tableau1[], MATCH(Tableau3[[#This Row],[REFERENCE]], Tableau1[NUMERO], 0), 5)</f>
        <v/>
      </c>
      <c r="H1024" t="inlineStr">
        <is>
          <t>trefimetaux</t>
        </is>
      </c>
      <c r="J1024" s="2" t="n">
        <v>44084</v>
      </c>
      <c r="K1024" s="2" t="n">
        <v>44085</v>
      </c>
      <c r="L1024" s="2" t="n"/>
      <c r="M1024" s="8" t="n">
        <v>1</v>
      </c>
      <c r="N1024" s="8" t="n">
        <v>4</v>
      </c>
      <c r="O1024" s="7" t="n">
        <v>7</v>
      </c>
      <c r="P1024" s="95" t="inlineStr">
        <is>
          <t>Délai a confirmer avec  Mr THIAM</t>
        </is>
      </c>
      <c r="Q1024" s="2" t="n">
        <v>44176</v>
      </c>
    </row>
    <row r="1025">
      <c r="A1025" s="8" t="n">
        <v>34404944</v>
      </c>
      <c r="B1025" s="2">
        <f>INDEX(Tableau1[], MATCH(Tableau3[[#This Row],[REFERENCE]], Tableau1[NUMERO], 0), 2)</f>
        <v/>
      </c>
      <c r="C1025">
        <f>INDEX(Tableau1[], MATCH(Tableau3[[#This Row],[REFERENCE]], Tableau1[NUMERO], 0), 3)</f>
        <v/>
      </c>
      <c r="D1025">
        <f>INDEX(Tableau1[], MATCH(Tableau3[[#This Row],[REFERENCE]], Tableau1[NUMERO], 0),4)</f>
        <v/>
      </c>
      <c r="E1025">
        <f>INDEX(Tableau1[], MATCH(Tableau3[[#This Row],[REFERENCE]], Tableau1[NUMERO], 0), 5)</f>
        <v/>
      </c>
      <c r="H1025" t="inlineStr">
        <is>
          <t>trefimetaux</t>
        </is>
      </c>
      <c r="J1025" s="2" t="n">
        <v>44084</v>
      </c>
      <c r="K1025" s="2" t="n">
        <v>44085</v>
      </c>
      <c r="L1025" s="2" t="n"/>
      <c r="M1025" s="8" t="n">
        <v>2</v>
      </c>
      <c r="N1025" s="8" t="n">
        <v>1</v>
      </c>
      <c r="O1025" s="7" t="n">
        <v>14.5</v>
      </c>
      <c r="P1025" s="95" t="inlineStr">
        <is>
          <t>Délai a confirmer avec  Mr THIAM</t>
        </is>
      </c>
      <c r="Q1025" s="2" t="n">
        <v>44176</v>
      </c>
    </row>
    <row r="1026">
      <c r="A1026" s="8" t="n">
        <v>34404946</v>
      </c>
      <c r="B1026" s="2">
        <f>INDEX(Tableau1[], MATCH(Tableau3[[#This Row],[REFERENCE]], Tableau1[NUMERO], 0), 2)</f>
        <v/>
      </c>
      <c r="C1026">
        <f>INDEX(Tableau1[], MATCH(Tableau3[[#This Row],[REFERENCE]], Tableau1[NUMERO], 0), 3)</f>
        <v/>
      </c>
      <c r="D1026">
        <f>INDEX(Tableau1[], MATCH(Tableau3[[#This Row],[REFERENCE]], Tableau1[NUMERO], 0),4)</f>
        <v/>
      </c>
      <c r="E1026">
        <f>INDEX(Tableau1[], MATCH(Tableau3[[#This Row],[REFERENCE]], Tableau1[NUMERO], 0), 5)</f>
        <v/>
      </c>
      <c r="H1026" t="inlineStr">
        <is>
          <t>trefimetaux</t>
        </is>
      </c>
      <c r="J1026" s="2" t="n">
        <v>44084</v>
      </c>
      <c r="K1026" s="2" t="n">
        <v>44085</v>
      </c>
      <c r="L1026" s="2" t="n"/>
      <c r="M1026" s="8" t="n">
        <v>2</v>
      </c>
      <c r="N1026" s="8" t="n">
        <v>1</v>
      </c>
      <c r="O1026" s="7" t="n">
        <v>14</v>
      </c>
      <c r="P1026" s="95" t="inlineStr">
        <is>
          <t>Délai a confirmer avec  Mr THIAM</t>
        </is>
      </c>
      <c r="Q1026" s="2" t="n">
        <v>44176</v>
      </c>
    </row>
    <row r="1027">
      <c r="A1027" s="8" t="n">
        <v>34404947</v>
      </c>
      <c r="B1027" s="2">
        <f>INDEX(Tableau1[], MATCH(Tableau3[[#This Row],[REFERENCE]], Tableau1[NUMERO], 0), 2)</f>
        <v/>
      </c>
      <c r="C1027">
        <f>INDEX(Tableau1[], MATCH(Tableau3[[#This Row],[REFERENCE]], Tableau1[NUMERO], 0), 3)</f>
        <v/>
      </c>
      <c r="D1027">
        <f>INDEX(Tableau1[], MATCH(Tableau3[[#This Row],[REFERENCE]], Tableau1[NUMERO], 0),4)</f>
        <v/>
      </c>
      <c r="E1027">
        <f>INDEX(Tableau1[], MATCH(Tableau3[[#This Row],[REFERENCE]], Tableau1[NUMERO], 0), 5)</f>
        <v/>
      </c>
      <c r="H1027" t="inlineStr">
        <is>
          <t>trefimetaux</t>
        </is>
      </c>
      <c r="J1027" s="2" t="n">
        <v>44084</v>
      </c>
      <c r="K1027" s="2" t="n">
        <v>44085</v>
      </c>
      <c r="L1027" s="2" t="n"/>
      <c r="M1027" s="8" t="n">
        <v>2</v>
      </c>
      <c r="N1027" s="8" t="n">
        <v>1</v>
      </c>
      <c r="O1027" s="7" t="n">
        <v>14</v>
      </c>
      <c r="P1027" s="95" t="inlineStr">
        <is>
          <t>Délai a confirmer avec  Mr THIAM</t>
        </is>
      </c>
      <c r="Q1027" s="2" t="n">
        <v>44176</v>
      </c>
    </row>
    <row r="1028">
      <c r="A1028" s="8" t="n">
        <v>34404948</v>
      </c>
      <c r="B1028" s="2">
        <f>INDEX(Tableau1[], MATCH(Tableau3[[#This Row],[REFERENCE]], Tableau1[NUMERO], 0), 2)</f>
        <v/>
      </c>
      <c r="C1028">
        <f>INDEX(Tableau1[], MATCH(Tableau3[[#This Row],[REFERENCE]], Tableau1[NUMERO], 0), 3)</f>
        <v/>
      </c>
      <c r="D1028">
        <f>INDEX(Tableau1[], MATCH(Tableau3[[#This Row],[REFERENCE]], Tableau1[NUMERO], 0),4)</f>
        <v/>
      </c>
      <c r="E1028">
        <f>INDEX(Tableau1[], MATCH(Tableau3[[#This Row],[REFERENCE]], Tableau1[NUMERO], 0), 5)</f>
        <v/>
      </c>
      <c r="H1028" t="inlineStr">
        <is>
          <t>trefimetaux</t>
        </is>
      </c>
      <c r="J1028" s="2" t="n">
        <v>44084</v>
      </c>
      <c r="K1028" s="2" t="n">
        <v>44085</v>
      </c>
      <c r="L1028" s="2" t="n"/>
      <c r="M1028" s="8" t="n">
        <v>2</v>
      </c>
      <c r="N1028" s="8" t="n">
        <v>1</v>
      </c>
      <c r="O1028" s="7" t="n">
        <v>14</v>
      </c>
      <c r="P1028" s="95" t="inlineStr">
        <is>
          <t>Délai a confirmer avec  Mr THIAM</t>
        </is>
      </c>
      <c r="Q1028" s="2" t="n">
        <v>44176</v>
      </c>
    </row>
    <row r="1029">
      <c r="A1029" s="8" t="n">
        <v>34404950</v>
      </c>
      <c r="B1029" s="2">
        <f>INDEX(Tableau1[], MATCH(Tableau3[[#This Row],[REFERENCE]], Tableau1[NUMERO], 0), 2)</f>
        <v/>
      </c>
      <c r="C1029">
        <f>INDEX(Tableau1[], MATCH(Tableau3[[#This Row],[REFERENCE]], Tableau1[NUMERO], 0), 3)</f>
        <v/>
      </c>
      <c r="D1029">
        <f>INDEX(Tableau1[], MATCH(Tableau3[[#This Row],[REFERENCE]], Tableau1[NUMERO], 0),4)</f>
        <v/>
      </c>
      <c r="E1029">
        <f>INDEX(Tableau1[], MATCH(Tableau3[[#This Row],[REFERENCE]], Tableau1[NUMERO], 0), 5)</f>
        <v/>
      </c>
      <c r="H1029" t="inlineStr">
        <is>
          <t>trefimetaux</t>
        </is>
      </c>
      <c r="J1029" s="2" t="n">
        <v>44084</v>
      </c>
      <c r="K1029" s="2" t="n">
        <v>44085</v>
      </c>
      <c r="L1029" s="2" t="n"/>
      <c r="M1029" s="8" t="n">
        <v>1</v>
      </c>
      <c r="N1029" s="8" t="n">
        <v>8</v>
      </c>
      <c r="O1029" s="7" t="n">
        <v>9</v>
      </c>
      <c r="P1029" s="95" t="inlineStr">
        <is>
          <t>Délai a confirmer avec  Mr THIAM</t>
        </is>
      </c>
      <c r="Q1029" s="2" t="n">
        <v>44176</v>
      </c>
    </row>
    <row r="1030" ht="15.75" customFormat="1" customHeight="1" s="58" thickBot="1">
      <c r="A1030" s="56" t="n">
        <v>34406419</v>
      </c>
      <c r="B1030" s="57">
        <f>INDEX(Tableau1[], MATCH(Tableau3[[#This Row],[REFERENCE]], Tableau1[NUMERO], 0), 2)</f>
        <v/>
      </c>
      <c r="C1030" s="58">
        <f>INDEX(Tableau1[], MATCH(Tableau3[[#This Row],[REFERENCE]], Tableau1[NUMERO], 0), 3)</f>
        <v/>
      </c>
      <c r="D1030" s="58">
        <f>INDEX(Tableau1[], MATCH(Tableau3[[#This Row],[REFERENCE]], Tableau1[NUMERO], 0),4)</f>
        <v/>
      </c>
      <c r="E1030" s="58">
        <f>INDEX(Tableau1[], MATCH(Tableau3[[#This Row],[REFERENCE]], Tableau1[NUMERO], 0), 5)</f>
        <v/>
      </c>
      <c r="H1030" s="58" t="inlineStr">
        <is>
          <t>trefimetaux</t>
        </is>
      </c>
      <c r="I1030" s="56" t="n"/>
      <c r="J1030" s="57" t="n">
        <v>44084</v>
      </c>
      <c r="K1030" s="57" t="n">
        <v>44085</v>
      </c>
      <c r="L1030" s="57" t="n"/>
      <c r="M1030" s="56" t="n">
        <v>1</v>
      </c>
      <c r="N1030" s="56" t="n">
        <v>4</v>
      </c>
      <c r="O1030" s="61" t="n">
        <v>24</v>
      </c>
      <c r="P1030" s="96" t="inlineStr">
        <is>
          <t>Délai a confirmer avec  Mr THIAM</t>
        </is>
      </c>
      <c r="Q1030" s="57" t="n">
        <v>44176</v>
      </c>
    </row>
    <row r="1031" ht="16.5" customHeight="1" s="142" thickBot="1" thickTop="1">
      <c r="A1031" s="8" t="n">
        <v>34406541</v>
      </c>
      <c r="B1031" s="2">
        <f>INDEX(Tableau1[], MATCH(Tableau3[[#This Row],[REFERENCE]], Tableau1[NUMERO], 0), 2)</f>
        <v/>
      </c>
      <c r="C1031">
        <f>INDEX(Tableau1[], MATCH(Tableau3[[#This Row],[REFERENCE]], Tableau1[NUMERO], 0), 3)</f>
        <v/>
      </c>
      <c r="D1031">
        <f>INDEX(Tableau1[], MATCH(Tableau3[[#This Row],[REFERENCE]], Tableau1[NUMERO], 0),4)</f>
        <v/>
      </c>
      <c r="E1031">
        <f>INDEX(Tableau1[], MATCH(Tableau3[[#This Row],[REFERENCE]], Tableau1[NUMERO], 0), 5)</f>
        <v/>
      </c>
      <c r="H1031" t="inlineStr">
        <is>
          <t>fontaine insertion</t>
        </is>
      </c>
      <c r="J1031" s="51" t="n">
        <v>44084</v>
      </c>
      <c r="K1031" s="51" t="n">
        <v>44085</v>
      </c>
      <c r="L1031" s="51" t="n"/>
      <c r="N1031" s="35" t="n">
        <v>1</v>
      </c>
      <c r="O1031" s="7" t="n">
        <v>16.3</v>
      </c>
      <c r="P1031" s="8" t="inlineStr">
        <is>
          <t>a convenir</t>
        </is>
      </c>
      <c r="Q1031" s="2" t="n">
        <v>44115</v>
      </c>
    </row>
    <row r="1032" ht="16.5" customFormat="1" customHeight="1" s="80" thickBot="1" thickTop="1">
      <c r="A1032" s="78" t="n">
        <v>34406541</v>
      </c>
      <c r="B1032" s="79">
        <f>INDEX(Tableau1[], MATCH(Tableau3[[#This Row],[REFERENCE]], Tableau1[NUMERO], 0), 2)</f>
        <v/>
      </c>
      <c r="C1032" s="80">
        <f>INDEX(Tableau1[], MATCH(Tableau3[[#This Row],[REFERENCE]], Tableau1[NUMERO], 0), 3)</f>
        <v/>
      </c>
      <c r="D1032" s="80">
        <f>INDEX(Tableau1[], MATCH(Tableau3[[#This Row],[REFERENCE]], Tableau1[NUMERO], 0),4)</f>
        <v/>
      </c>
      <c r="E1032" s="80">
        <f>INDEX(Tableau1[], MATCH(Tableau3[[#This Row],[REFERENCE]], Tableau1[NUMERO], 0), 5)</f>
        <v/>
      </c>
      <c r="H1032" s="80" t="inlineStr">
        <is>
          <t>gravic</t>
        </is>
      </c>
      <c r="I1032" s="78" t="n"/>
      <c r="J1032" s="79" t="n">
        <v>44084</v>
      </c>
      <c r="K1032" s="79" t="n">
        <v>44085</v>
      </c>
      <c r="L1032" s="79" t="n"/>
      <c r="M1032" s="81" t="n"/>
      <c r="N1032" s="82" t="n">
        <v>1</v>
      </c>
      <c r="O1032" s="83" t="n">
        <v>72</v>
      </c>
      <c r="P1032" s="78" t="inlineStr">
        <is>
          <t>3 SEMAINES</t>
        </is>
      </c>
      <c r="Q1032" s="79" t="n">
        <v>44146</v>
      </c>
    </row>
    <row r="1033" ht="16.5" customHeight="1" s="142" thickBot="1" thickTop="1">
      <c r="A1033" s="8" t="n">
        <v>34406541</v>
      </c>
      <c r="B1033" s="2">
        <f>INDEX(Tableau1[], MATCH(Tableau3[[#This Row],[REFERENCE]], Tableau1[NUMERO], 0), 2)</f>
        <v/>
      </c>
      <c r="C1033">
        <f>INDEX(Tableau1[], MATCH(Tableau3[[#This Row],[REFERENCE]], Tableau1[NUMERO], 0), 3)</f>
        <v/>
      </c>
      <c r="D1033">
        <f>INDEX(Tableau1[], MATCH(Tableau3[[#This Row],[REFERENCE]], Tableau1[NUMERO], 0),4)</f>
        <v/>
      </c>
      <c r="E1033">
        <f>INDEX(Tableau1[], MATCH(Tableau3[[#This Row],[REFERENCE]], Tableau1[NUMERO], 0), 5)</f>
        <v/>
      </c>
      <c r="H1033" t="inlineStr">
        <is>
          <t>DS SMITH</t>
        </is>
      </c>
      <c r="J1033" s="11" t="inlineStr">
        <is>
          <t>10/09 - 18/09 - 28/09</t>
        </is>
      </c>
      <c r="K1033" s="2" t="n">
        <v>44102</v>
      </c>
      <c r="L1033" s="2" t="n"/>
      <c r="N1033" s="35" t="n">
        <v>5</v>
      </c>
      <c r="O1033" s="7" t="n">
        <v>14.3</v>
      </c>
      <c r="P1033" s="8" t="inlineStr">
        <is>
          <t>?</t>
        </is>
      </c>
      <c r="Q1033" s="2" t="n">
        <v>44193</v>
      </c>
      <c r="R1033" t="inlineStr">
        <is>
          <t>quantité demandé 1 mais le frs veux 5 mini</t>
        </is>
      </c>
    </row>
    <row r="1034" ht="46.5" customFormat="1" customHeight="1" s="80" thickBot="1" thickTop="1">
      <c r="A1034" s="78" t="n">
        <v>34403524</v>
      </c>
      <c r="B1034" s="79">
        <f>INDEX(Tableau1[], MATCH(Tableau3[[#This Row],[REFERENCE]], Tableau1[NUMERO], 0), 2)</f>
        <v/>
      </c>
      <c r="C1034" s="80">
        <f>INDEX(Tableau1[], MATCH(Tableau3[[#This Row],[REFERENCE]], Tableau1[NUMERO], 0), 3)</f>
        <v/>
      </c>
      <c r="D1034" s="80">
        <f>INDEX(Tableau1[], MATCH(Tableau3[[#This Row],[REFERENCE]], Tableau1[NUMERO], 0),4)</f>
        <v/>
      </c>
      <c r="E1034" s="80">
        <f>INDEX(Tableau1[], MATCH(Tableau3[[#This Row],[REFERENCE]], Tableau1[NUMERO], 0), 5)</f>
        <v/>
      </c>
      <c r="H1034" s="80" t="inlineStr">
        <is>
          <t>DS SMITH</t>
        </is>
      </c>
      <c r="I1034" s="78" t="n"/>
      <c r="J1034" s="98" t="inlineStr">
        <is>
          <t>10/09 - 18/09 - 28/09</t>
        </is>
      </c>
      <c r="K1034" s="99" t="inlineStr">
        <is>
          <t>question du frs le 28/09 fait suivre a vincent (relance vincent le 07/10)</t>
        </is>
      </c>
      <c r="L1034" s="99" t="inlineStr">
        <is>
          <t>attente réponse vincent</t>
        </is>
      </c>
      <c r="M1034" s="81" t="n"/>
      <c r="N1034" s="82" t="n">
        <v>1</v>
      </c>
      <c r="O1034" s="83" t="n"/>
      <c r="P1034" s="78" t="n"/>
      <c r="Q1034" s="79" t="n"/>
    </row>
    <row r="1035" ht="15.75" customHeight="1" s="142" thickTop="1">
      <c r="A1035" s="8" t="n">
        <v>34404985</v>
      </c>
      <c r="B1035" s="2">
        <f>INDEX(Tableau1[], MATCH(Tableau3[[#This Row],[REFERENCE]], Tableau1[NUMERO], 0), 2)</f>
        <v/>
      </c>
      <c r="C1035">
        <f>INDEX(Tableau1[], MATCH(Tableau3[[#This Row],[REFERENCE]], Tableau1[NUMERO], 0), 3)</f>
        <v/>
      </c>
      <c r="D1035">
        <f>INDEX(Tableau1[], MATCH(Tableau3[[#This Row],[REFERENCE]], Tableau1[NUMERO], 0),4)</f>
        <v/>
      </c>
      <c r="E1035">
        <f>INDEX(Tableau1[], MATCH(Tableau3[[#This Row],[REFERENCE]], Tableau1[NUMERO], 0), 5)</f>
        <v/>
      </c>
      <c r="H1035" t="inlineStr">
        <is>
          <t>sarel</t>
        </is>
      </c>
      <c r="J1035" s="2" t="n">
        <v>44085</v>
      </c>
      <c r="K1035" s="2" t="n">
        <v>44085</v>
      </c>
      <c r="L1035" s="2" t="n"/>
      <c r="N1035" s="35" t="n">
        <v>1</v>
      </c>
      <c r="O1035" s="7" t="n">
        <v>726.65</v>
      </c>
      <c r="P1035" s="8" t="inlineStr">
        <is>
          <t>15 JOURS</t>
        </is>
      </c>
      <c r="Q1035" s="2" t="n">
        <v>44176</v>
      </c>
    </row>
    <row r="1036">
      <c r="A1036" s="8" t="n">
        <v>34404994</v>
      </c>
      <c r="B1036" s="2">
        <f>INDEX(Tableau1[], MATCH(Tableau3[[#This Row],[REFERENCE]], Tableau1[NUMERO], 0), 2)</f>
        <v/>
      </c>
      <c r="C1036">
        <f>INDEX(Tableau1[], MATCH(Tableau3[[#This Row],[REFERENCE]], Tableau1[NUMERO], 0), 3)</f>
        <v/>
      </c>
      <c r="D1036">
        <f>INDEX(Tableau1[], MATCH(Tableau3[[#This Row],[REFERENCE]], Tableau1[NUMERO], 0),4)</f>
        <v/>
      </c>
      <c r="E1036">
        <f>INDEX(Tableau1[], MATCH(Tableau3[[#This Row],[REFERENCE]], Tableau1[NUMERO], 0), 5)</f>
        <v/>
      </c>
      <c r="H1036" t="inlineStr">
        <is>
          <t>sarel</t>
        </is>
      </c>
      <c r="J1036" s="2" t="n">
        <v>44085</v>
      </c>
      <c r="K1036" s="2" t="n">
        <v>44085</v>
      </c>
      <c r="L1036" s="2" t="n"/>
      <c r="N1036" s="35" t="n">
        <v>1</v>
      </c>
      <c r="O1036" s="7" t="n">
        <v>207.14</v>
      </c>
      <c r="P1036" s="8" t="inlineStr">
        <is>
          <t>15 JOURS</t>
        </is>
      </c>
      <c r="Q1036" s="2" t="n">
        <v>44176</v>
      </c>
    </row>
    <row r="1037" ht="15.75" customHeight="1" s="142" thickBot="1">
      <c r="A1037" s="8" t="n">
        <v>34406529</v>
      </c>
      <c r="B1037" s="2">
        <f>INDEX(Tableau1[], MATCH(Tableau3[[#This Row],[REFERENCE]], Tableau1[NUMERO], 0), 2)</f>
        <v/>
      </c>
      <c r="C1037">
        <f>INDEX(Tableau1[], MATCH(Tableau3[[#This Row],[REFERENCE]], Tableau1[NUMERO], 0), 3)</f>
        <v/>
      </c>
      <c r="D1037">
        <f>INDEX(Tableau1[], MATCH(Tableau3[[#This Row],[REFERENCE]], Tableau1[NUMERO], 0),4)</f>
        <v/>
      </c>
      <c r="E1037">
        <f>INDEX(Tableau1[], MATCH(Tableau3[[#This Row],[REFERENCE]], Tableau1[NUMERO], 0), 5)</f>
        <v/>
      </c>
      <c r="H1037" t="inlineStr">
        <is>
          <t>sarel</t>
        </is>
      </c>
      <c r="J1037" s="2" t="n">
        <v>44085</v>
      </c>
      <c r="K1037" s="2" t="n">
        <v>44085</v>
      </c>
      <c r="L1037" s="2" t="n"/>
      <c r="N1037" s="35" t="n">
        <v>1</v>
      </c>
      <c r="O1037" s="7" t="n">
        <v>1002.69</v>
      </c>
      <c r="P1037" s="8" t="inlineStr">
        <is>
          <t>20 jours</t>
        </is>
      </c>
      <c r="Q1037" s="2" t="n">
        <v>44176</v>
      </c>
    </row>
    <row r="1038" ht="16.5" customFormat="1" customHeight="1" s="80" thickBot="1" thickTop="1">
      <c r="A1038" s="78" t="n">
        <v>34406528</v>
      </c>
      <c r="B1038" s="79">
        <f>INDEX(Tableau1[], MATCH(Tableau3[[#This Row],[REFERENCE]], Tableau1[NUMERO], 0), 2)</f>
        <v/>
      </c>
      <c r="C1038" s="80">
        <f>INDEX(Tableau1[], MATCH(Tableau3[[#This Row],[REFERENCE]], Tableau1[NUMERO], 0), 3)</f>
        <v/>
      </c>
      <c r="D1038" s="80">
        <f>INDEX(Tableau1[], MATCH(Tableau3[[#This Row],[REFERENCE]], Tableau1[NUMERO], 0),4)</f>
        <v/>
      </c>
      <c r="E1038" s="80">
        <f>INDEX(Tableau1[], MATCH(Tableau3[[#This Row],[REFERENCE]], Tableau1[NUMERO], 0), 5)</f>
        <v/>
      </c>
      <c r="H1038" s="80" t="inlineStr">
        <is>
          <t>trefimetaux</t>
        </is>
      </c>
      <c r="I1038" s="78" t="n"/>
      <c r="J1038" s="98" t="inlineStr">
        <is>
          <t>11/09 - 18/09 - 23/09</t>
        </is>
      </c>
      <c r="K1038" s="79" t="n">
        <v>44097</v>
      </c>
      <c r="L1038" s="79" t="n"/>
      <c r="M1038" s="81" t="inlineStr">
        <is>
          <t>01</t>
        </is>
      </c>
      <c r="N1038" s="82" t="n">
        <v>1</v>
      </c>
      <c r="O1038" s="83" t="n">
        <v>350</v>
      </c>
      <c r="P1038" s="78" t="inlineStr">
        <is>
          <t>10 jours</t>
        </is>
      </c>
      <c r="Q1038" s="79" t="n">
        <v>44188</v>
      </c>
    </row>
    <row r="1039" ht="16.5" customHeight="1" s="142" thickBot="1" thickTop="1">
      <c r="A1039" s="8" t="n">
        <v>34406528</v>
      </c>
      <c r="B1039" s="2">
        <f>INDEX(Tableau1[], MATCH(Tableau3[[#This Row],[REFERENCE]], Tableau1[NUMERO], 0), 2)</f>
        <v/>
      </c>
      <c r="C1039">
        <f>INDEX(Tableau1[], MATCH(Tableau3[[#This Row],[REFERENCE]], Tableau1[NUMERO], 0), 3)</f>
        <v/>
      </c>
      <c r="D1039">
        <f>INDEX(Tableau1[], MATCH(Tableau3[[#This Row],[REFERENCE]], Tableau1[NUMERO], 0),4)</f>
        <v/>
      </c>
      <c r="E1039">
        <f>INDEX(Tableau1[], MATCH(Tableau3[[#This Row],[REFERENCE]], Tableau1[NUMERO], 0), 5)</f>
        <v/>
      </c>
      <c r="H1039" t="inlineStr">
        <is>
          <t>thyssen</t>
        </is>
      </c>
      <c r="J1039" s="2" t="n">
        <v>44085</v>
      </c>
      <c r="K1039" s="2" t="n">
        <v>44088</v>
      </c>
      <c r="L1039" s="2" t="n"/>
      <c r="M1039" s="21" t="inlineStr">
        <is>
          <t>01</t>
        </is>
      </c>
      <c r="N1039" s="35" t="n">
        <v>1</v>
      </c>
      <c r="O1039" s="7" t="n">
        <v>29.8</v>
      </c>
      <c r="P1039" s="8" t="inlineStr">
        <is>
          <t>3 à 4 semaines</t>
        </is>
      </c>
      <c r="Q1039" s="2" t="n">
        <v>44095</v>
      </c>
      <c r="R1039" t="inlineStr">
        <is>
          <t>attention mini de commande de 10</t>
        </is>
      </c>
    </row>
    <row r="1040" ht="15.75" customFormat="1" customHeight="1" s="52" thickTop="1">
      <c r="A1040" s="50" t="n">
        <v>34406502</v>
      </c>
      <c r="B1040" s="51">
        <f>INDEX(Tableau1[], MATCH(Tableau3[[#This Row],[REFERENCE]], Tableau1[NUMERO], 0), 2)</f>
        <v/>
      </c>
      <c r="C1040" s="52">
        <f>INDEX(Tableau1[], MATCH(Tableau3[[#This Row],[REFERENCE]], Tableau1[NUMERO], 0), 3)</f>
        <v/>
      </c>
      <c r="D1040" s="52">
        <f>INDEX(Tableau1[], MATCH(Tableau3[[#This Row],[REFERENCE]], Tableau1[NUMERO], 0),4)</f>
        <v/>
      </c>
      <c r="E1040" s="52">
        <f>INDEX(Tableau1[], MATCH(Tableau3[[#This Row],[REFERENCE]], Tableau1[NUMERO], 0), 5)</f>
        <v/>
      </c>
      <c r="H1040" s="52" t="inlineStr">
        <is>
          <t>lasertechnic</t>
        </is>
      </c>
      <c r="I1040" s="50" t="n"/>
      <c r="J1040" s="51" t="n">
        <v>44085</v>
      </c>
      <c r="K1040" s="51" t="n">
        <v>44089</v>
      </c>
      <c r="L1040" s="51" t="n"/>
      <c r="M1040" s="53" t="inlineStr">
        <is>
          <t>02</t>
        </is>
      </c>
      <c r="N1040" s="50" t="n">
        <v>1</v>
      </c>
      <c r="O1040" s="55" t="n">
        <v>87</v>
      </c>
      <c r="P1040" s="50" t="inlineStr">
        <is>
          <t>5 JOURS</t>
        </is>
      </c>
      <c r="Q1040" s="51" t="n">
        <v>44180</v>
      </c>
    </row>
    <row r="1041">
      <c r="A1041" s="8" t="n">
        <v>34406532</v>
      </c>
      <c r="B1041" s="2">
        <f>INDEX(Tableau1[], MATCH(Tableau3[[#This Row],[REFERENCE]], Tableau1[NUMERO], 0), 2)</f>
        <v/>
      </c>
      <c r="C1041">
        <f>INDEX(Tableau1[], MATCH(Tableau3[[#This Row],[REFERENCE]], Tableau1[NUMERO], 0), 3)</f>
        <v/>
      </c>
      <c r="D1041">
        <f>INDEX(Tableau1[], MATCH(Tableau3[[#This Row],[REFERENCE]], Tableau1[NUMERO], 0),4)</f>
        <v/>
      </c>
      <c r="E1041">
        <f>INDEX(Tableau1[], MATCH(Tableau3[[#This Row],[REFERENCE]], Tableau1[NUMERO], 0), 5)</f>
        <v/>
      </c>
      <c r="H1041" t="inlineStr">
        <is>
          <t>lasertechnic</t>
        </is>
      </c>
      <c r="J1041" s="2" t="n">
        <v>44085</v>
      </c>
      <c r="K1041" s="2" t="n">
        <v>44089</v>
      </c>
      <c r="L1041" s="2" t="n"/>
      <c r="M1041" s="21" t="inlineStr">
        <is>
          <t>02</t>
        </is>
      </c>
      <c r="N1041" s="8" t="n">
        <v>2</v>
      </c>
      <c r="O1041" s="7" t="n">
        <v>24</v>
      </c>
      <c r="P1041" s="8" t="inlineStr">
        <is>
          <t>5 JOURS</t>
        </is>
      </c>
      <c r="Q1041" s="2" t="n">
        <v>44180</v>
      </c>
    </row>
    <row r="1042">
      <c r="A1042" s="8" t="n">
        <v>34406533</v>
      </c>
      <c r="B1042" s="2">
        <f>INDEX(Tableau1[], MATCH(Tableau3[[#This Row],[REFERENCE]], Tableau1[NUMERO], 0), 2)</f>
        <v/>
      </c>
      <c r="C1042">
        <f>INDEX(Tableau1[], MATCH(Tableau3[[#This Row],[REFERENCE]], Tableau1[NUMERO], 0), 3)</f>
        <v/>
      </c>
      <c r="D1042">
        <f>INDEX(Tableau1[], MATCH(Tableau3[[#This Row],[REFERENCE]], Tableau1[NUMERO], 0),4)</f>
        <v/>
      </c>
      <c r="E1042">
        <f>INDEX(Tableau1[], MATCH(Tableau3[[#This Row],[REFERENCE]], Tableau1[NUMERO], 0), 5)</f>
        <v/>
      </c>
      <c r="H1042" t="inlineStr">
        <is>
          <t>lasertechnic</t>
        </is>
      </c>
      <c r="J1042" s="2" t="n">
        <v>44085</v>
      </c>
      <c r="K1042" s="2" t="n">
        <v>44089</v>
      </c>
      <c r="L1042" s="2" t="n"/>
      <c r="M1042" s="21" t="inlineStr">
        <is>
          <t>04</t>
        </is>
      </c>
      <c r="N1042" s="8" t="n">
        <v>1</v>
      </c>
      <c r="O1042" s="7" t="n">
        <v>40</v>
      </c>
      <c r="P1042" s="8" t="inlineStr">
        <is>
          <t>5 JOURS</t>
        </is>
      </c>
      <c r="Q1042" s="2" t="n">
        <v>44180</v>
      </c>
    </row>
    <row r="1043" ht="15.75" customFormat="1" customHeight="1" s="58" thickBot="1">
      <c r="A1043" s="56" t="n">
        <v>34406548</v>
      </c>
      <c r="B1043" s="57">
        <f>INDEX(Tableau1[], MATCH(Tableau3[[#This Row],[REFERENCE]], Tableau1[NUMERO], 0), 2)</f>
        <v/>
      </c>
      <c r="C1043" s="58">
        <f>INDEX(Tableau1[], MATCH(Tableau3[[#This Row],[REFERENCE]], Tableau1[NUMERO], 0), 3)</f>
        <v/>
      </c>
      <c r="D1043" s="58">
        <f>INDEX(Tableau1[], MATCH(Tableau3[[#This Row],[REFERENCE]], Tableau1[NUMERO], 0),4)</f>
        <v/>
      </c>
      <c r="E1043" s="58">
        <f>INDEX(Tableau1[], MATCH(Tableau3[[#This Row],[REFERENCE]], Tableau1[NUMERO], 0), 5)</f>
        <v/>
      </c>
      <c r="H1043" s="58" t="inlineStr">
        <is>
          <t>lasertechnic</t>
        </is>
      </c>
      <c r="I1043" s="56" t="n"/>
      <c r="J1043" s="57" t="n">
        <v>44085</v>
      </c>
      <c r="K1043" s="57" t="n">
        <v>44089</v>
      </c>
      <c r="L1043" s="57" t="n"/>
      <c r="M1043" s="59" t="inlineStr">
        <is>
          <t>01</t>
        </is>
      </c>
      <c r="N1043" s="56" t="n">
        <v>1</v>
      </c>
      <c r="O1043" s="61" t="n">
        <v>26</v>
      </c>
      <c r="P1043" s="56" t="inlineStr">
        <is>
          <t>5 JOURS</t>
        </is>
      </c>
      <c r="Q1043" s="57" t="n">
        <v>44180</v>
      </c>
    </row>
    <row r="1044" ht="15.75" customHeight="1" s="142" thickTop="1">
      <c r="A1044" s="8" t="n">
        <v>34406502</v>
      </c>
      <c r="B1044" s="2">
        <f>INDEX(Tableau1[], MATCH(Tableau3[[#This Row],[REFERENCE]], Tableau1[NUMERO], 0), 2)</f>
        <v/>
      </c>
      <c r="C1044">
        <f>INDEX(Tableau1[], MATCH(Tableau3[[#This Row],[REFERENCE]], Tableau1[NUMERO], 0), 3)</f>
        <v/>
      </c>
      <c r="D1044">
        <f>INDEX(Tableau1[], MATCH(Tableau3[[#This Row],[REFERENCE]], Tableau1[NUMERO], 0),4)</f>
        <v/>
      </c>
      <c r="E1044">
        <f>INDEX(Tableau1[], MATCH(Tableau3[[#This Row],[REFERENCE]], Tableau1[NUMERO], 0), 5)</f>
        <v/>
      </c>
      <c r="H1044" t="inlineStr">
        <is>
          <t>PAILLET</t>
        </is>
      </c>
      <c r="J1044" s="2" t="n">
        <v>44085</v>
      </c>
      <c r="K1044" s="2" t="n">
        <v>44085</v>
      </c>
      <c r="L1044" s="2" t="n"/>
      <c r="M1044" s="21" t="inlineStr">
        <is>
          <t>02</t>
        </is>
      </c>
      <c r="N1044" s="8" t="n">
        <v>1</v>
      </c>
      <c r="O1044" s="7" t="n">
        <v>167.2</v>
      </c>
      <c r="P1044" s="8" t="inlineStr">
        <is>
          <t>20 jours</t>
        </is>
      </c>
      <c r="Q1044" s="2" t="n">
        <v>44176</v>
      </c>
    </row>
    <row r="1045">
      <c r="A1045" s="8" t="n">
        <v>34406532</v>
      </c>
      <c r="B1045" s="2">
        <f>INDEX(Tableau1[], MATCH(Tableau3[[#This Row],[REFERENCE]], Tableau1[NUMERO], 0), 2)</f>
        <v/>
      </c>
      <c r="C1045">
        <f>INDEX(Tableau1[], MATCH(Tableau3[[#This Row],[REFERENCE]], Tableau1[NUMERO], 0), 3)</f>
        <v/>
      </c>
      <c r="D1045">
        <f>INDEX(Tableau1[], MATCH(Tableau3[[#This Row],[REFERENCE]], Tableau1[NUMERO], 0),4)</f>
        <v/>
      </c>
      <c r="E1045">
        <f>INDEX(Tableau1[], MATCH(Tableau3[[#This Row],[REFERENCE]], Tableau1[NUMERO], 0), 5)</f>
        <v/>
      </c>
      <c r="H1045" t="inlineStr">
        <is>
          <t>PAILLET</t>
        </is>
      </c>
      <c r="J1045" s="2" t="n">
        <v>44085</v>
      </c>
      <c r="K1045" s="2" t="n">
        <v>44085</v>
      </c>
      <c r="L1045" s="2" t="n"/>
      <c r="M1045" s="21" t="inlineStr">
        <is>
          <t>02</t>
        </is>
      </c>
      <c r="N1045" s="8" t="n">
        <v>2</v>
      </c>
      <c r="O1045" s="7" t="n">
        <v>24.74</v>
      </c>
      <c r="P1045" s="8" t="inlineStr">
        <is>
          <t>15 JOURS</t>
        </is>
      </c>
      <c r="Q1045" s="2" t="n">
        <v>44176</v>
      </c>
    </row>
    <row r="1046">
      <c r="A1046" s="8" t="n">
        <v>34406533</v>
      </c>
      <c r="B1046" s="2">
        <f>INDEX(Tableau1[], MATCH(Tableau3[[#This Row],[REFERENCE]], Tableau1[NUMERO], 0), 2)</f>
        <v/>
      </c>
      <c r="C1046">
        <f>INDEX(Tableau1[], MATCH(Tableau3[[#This Row],[REFERENCE]], Tableau1[NUMERO], 0), 3)</f>
        <v/>
      </c>
      <c r="D1046">
        <f>INDEX(Tableau1[], MATCH(Tableau3[[#This Row],[REFERENCE]], Tableau1[NUMERO], 0),4)</f>
        <v/>
      </c>
      <c r="E1046">
        <f>INDEX(Tableau1[], MATCH(Tableau3[[#This Row],[REFERENCE]], Tableau1[NUMERO], 0), 5)</f>
        <v/>
      </c>
      <c r="H1046" t="inlineStr">
        <is>
          <t>PAILLET</t>
        </is>
      </c>
      <c r="J1046" s="2" t="n">
        <v>44085</v>
      </c>
      <c r="K1046" s="2" t="n">
        <v>44085</v>
      </c>
      <c r="L1046" s="2" t="n"/>
      <c r="M1046" s="21" t="inlineStr">
        <is>
          <t>04</t>
        </is>
      </c>
      <c r="N1046" s="8" t="n">
        <v>1</v>
      </c>
      <c r="O1046" s="7" t="n">
        <v>45.02</v>
      </c>
      <c r="P1046" s="8" t="inlineStr">
        <is>
          <t>15 JOURS</t>
        </is>
      </c>
      <c r="Q1046" s="2" t="n">
        <v>44176</v>
      </c>
    </row>
    <row r="1047" ht="60.75" customHeight="1" s="142" thickBot="1">
      <c r="A1047" s="8" t="n">
        <v>34406548</v>
      </c>
      <c r="B1047" s="2">
        <f>INDEX(Tableau1[], MATCH(Tableau3[[#This Row],[REFERENCE]], Tableau1[NUMERO], 0), 2)</f>
        <v/>
      </c>
      <c r="C1047">
        <f>INDEX(Tableau1[], MATCH(Tableau3[[#This Row],[REFERENCE]], Tableau1[NUMERO], 0), 3)</f>
        <v/>
      </c>
      <c r="D1047">
        <f>INDEX(Tableau1[], MATCH(Tableau3[[#This Row],[REFERENCE]], Tableau1[NUMERO], 0),4)</f>
        <v/>
      </c>
      <c r="E1047">
        <f>INDEX(Tableau1[], MATCH(Tableau3[[#This Row],[REFERENCE]], Tableau1[NUMERO], 0), 5)</f>
        <v/>
      </c>
      <c r="H1047" t="inlineStr">
        <is>
          <t>PAILLET</t>
        </is>
      </c>
      <c r="J1047" s="2" t="n">
        <v>44085</v>
      </c>
      <c r="K1047" s="2" t="n">
        <v>44085</v>
      </c>
      <c r="L1047" s="2" t="n"/>
      <c r="M1047" s="21" t="inlineStr">
        <is>
          <t>01</t>
        </is>
      </c>
      <c r="N1047" s="8" t="n">
        <v>1</v>
      </c>
      <c r="O1047" s="93" t="inlineStr">
        <is>
          <t>Référence déclinée : profil non géré</t>
        </is>
      </c>
      <c r="P1047" s="8" t="n"/>
      <c r="Q1047" s="2" t="n"/>
    </row>
    <row r="1048" ht="15.75" customFormat="1" customHeight="1" s="52" thickTop="1">
      <c r="A1048" s="50" t="n">
        <v>34406502</v>
      </c>
      <c r="B1048" s="51">
        <f>INDEX(Tableau1[], MATCH(Tableau3[[#This Row],[REFERENCE]], Tableau1[NUMERO], 0), 2)</f>
        <v/>
      </c>
      <c r="C1048" s="52">
        <f>INDEX(Tableau1[], MATCH(Tableau3[[#This Row],[REFERENCE]], Tableau1[NUMERO], 0), 3)</f>
        <v/>
      </c>
      <c r="D1048" s="52">
        <f>INDEX(Tableau1[], MATCH(Tableau3[[#This Row],[REFERENCE]], Tableau1[NUMERO], 0),4)</f>
        <v/>
      </c>
      <c r="E1048" s="52">
        <f>INDEX(Tableau1[], MATCH(Tableau3[[#This Row],[REFERENCE]], Tableau1[NUMERO], 0), 5)</f>
        <v/>
      </c>
      <c r="H1048" s="52" t="inlineStr">
        <is>
          <t>TCS</t>
        </is>
      </c>
      <c r="I1048" s="50" t="n"/>
      <c r="J1048" s="51" t="n">
        <v>44085</v>
      </c>
      <c r="K1048" s="51" t="n">
        <v>44088</v>
      </c>
      <c r="L1048" s="51" t="n"/>
      <c r="M1048" s="53" t="inlineStr">
        <is>
          <t>02</t>
        </is>
      </c>
      <c r="N1048" s="50" t="n">
        <v>1</v>
      </c>
      <c r="O1048" s="55" t="n">
        <v>115</v>
      </c>
      <c r="P1048" s="50" t="inlineStr">
        <is>
          <t>2 SEMAINES ET DEMI</t>
        </is>
      </c>
      <c r="Q1048" s="51" t="n">
        <v>44179</v>
      </c>
    </row>
    <row r="1049">
      <c r="A1049" s="8" t="n">
        <v>34406532</v>
      </c>
      <c r="B1049" s="2">
        <f>INDEX(Tableau1[], MATCH(Tableau3[[#This Row],[REFERENCE]], Tableau1[NUMERO], 0), 2)</f>
        <v/>
      </c>
      <c r="C1049">
        <f>INDEX(Tableau1[], MATCH(Tableau3[[#This Row],[REFERENCE]], Tableau1[NUMERO], 0), 3)</f>
        <v/>
      </c>
      <c r="D1049">
        <f>INDEX(Tableau1[], MATCH(Tableau3[[#This Row],[REFERENCE]], Tableau1[NUMERO], 0),4)</f>
        <v/>
      </c>
      <c r="E1049">
        <f>INDEX(Tableau1[], MATCH(Tableau3[[#This Row],[REFERENCE]], Tableau1[NUMERO], 0), 5)</f>
        <v/>
      </c>
      <c r="H1049" t="inlineStr">
        <is>
          <t>TCS</t>
        </is>
      </c>
      <c r="J1049" s="2" t="n">
        <v>44085</v>
      </c>
      <c r="K1049" s="2" t="n">
        <v>44088</v>
      </c>
      <c r="L1049" s="2" t="n"/>
      <c r="M1049" s="21" t="inlineStr">
        <is>
          <t>02</t>
        </is>
      </c>
      <c r="N1049" s="8" t="n">
        <v>2</v>
      </c>
      <c r="O1049" s="7" t="n">
        <v>19</v>
      </c>
      <c r="P1049" s="8" t="inlineStr">
        <is>
          <t>2 SEMAINES ET DEMI</t>
        </is>
      </c>
      <c r="Q1049" s="2" t="n">
        <v>44179</v>
      </c>
    </row>
    <row r="1050">
      <c r="A1050" s="8" t="n">
        <v>34406533</v>
      </c>
      <c r="B1050" s="2">
        <f>INDEX(Tableau1[], MATCH(Tableau3[[#This Row],[REFERENCE]], Tableau1[NUMERO], 0), 2)</f>
        <v/>
      </c>
      <c r="C1050">
        <f>INDEX(Tableau1[], MATCH(Tableau3[[#This Row],[REFERENCE]], Tableau1[NUMERO], 0), 3)</f>
        <v/>
      </c>
      <c r="D1050">
        <f>INDEX(Tableau1[], MATCH(Tableau3[[#This Row],[REFERENCE]], Tableau1[NUMERO], 0),4)</f>
        <v/>
      </c>
      <c r="E1050">
        <f>INDEX(Tableau1[], MATCH(Tableau3[[#This Row],[REFERENCE]], Tableau1[NUMERO], 0), 5)</f>
        <v/>
      </c>
      <c r="H1050" t="inlineStr">
        <is>
          <t>TCS</t>
        </is>
      </c>
      <c r="J1050" s="2" t="n">
        <v>44085</v>
      </c>
      <c r="K1050" s="2" t="n">
        <v>44088</v>
      </c>
      <c r="L1050" s="2" t="n"/>
      <c r="M1050" s="21" t="inlineStr">
        <is>
          <t>04</t>
        </is>
      </c>
      <c r="N1050" s="8" t="n">
        <v>1</v>
      </c>
      <c r="O1050" s="7" t="n">
        <v>53</v>
      </c>
      <c r="P1050" s="8" t="inlineStr">
        <is>
          <t>2 SEMAINES ET DEMI</t>
        </is>
      </c>
      <c r="Q1050" s="2" t="n">
        <v>44179</v>
      </c>
    </row>
    <row r="1051" ht="15.75" customFormat="1" customHeight="1" s="58" thickBot="1">
      <c r="A1051" s="56" t="n">
        <v>34406548</v>
      </c>
      <c r="B1051" s="57">
        <f>INDEX(Tableau1[], MATCH(Tableau3[[#This Row],[REFERENCE]], Tableau1[NUMERO], 0), 2)</f>
        <v/>
      </c>
      <c r="C1051" s="58">
        <f>INDEX(Tableau1[], MATCH(Tableau3[[#This Row],[REFERENCE]], Tableau1[NUMERO], 0), 3)</f>
        <v/>
      </c>
      <c r="D1051" s="58">
        <f>INDEX(Tableau1[], MATCH(Tableau3[[#This Row],[REFERENCE]], Tableau1[NUMERO], 0),4)</f>
        <v/>
      </c>
      <c r="E1051" s="58">
        <f>INDEX(Tableau1[], MATCH(Tableau3[[#This Row],[REFERENCE]], Tableau1[NUMERO], 0), 5)</f>
        <v/>
      </c>
      <c r="H1051" s="58" t="inlineStr">
        <is>
          <t>TCS</t>
        </is>
      </c>
      <c r="I1051" s="56" t="n"/>
      <c r="J1051" s="57" t="n">
        <v>44085</v>
      </c>
      <c r="K1051" s="57" t="n">
        <v>44088</v>
      </c>
      <c r="L1051" s="57" t="n"/>
      <c r="M1051" s="59" t="inlineStr">
        <is>
          <t>01</t>
        </is>
      </c>
      <c r="N1051" s="56" t="n">
        <v>1</v>
      </c>
      <c r="O1051" s="61" t="n">
        <v>34</v>
      </c>
      <c r="P1051" s="56" t="inlineStr">
        <is>
          <t>2 SEMAINES ET DEMI</t>
        </is>
      </c>
      <c r="Q1051" s="57" t="n">
        <v>44179</v>
      </c>
    </row>
    <row r="1052" ht="15.75" customHeight="1" s="142" thickTop="1">
      <c r="A1052" s="8" t="n">
        <v>34406502</v>
      </c>
      <c r="B1052" s="2">
        <f>INDEX(Tableau1[], MATCH(Tableau3[[#This Row],[REFERENCE]], Tableau1[NUMERO], 0), 2)</f>
        <v/>
      </c>
      <c r="C1052">
        <f>INDEX(Tableau1[], MATCH(Tableau3[[#This Row],[REFERENCE]], Tableau1[NUMERO], 0), 3)</f>
        <v/>
      </c>
      <c r="D1052">
        <f>INDEX(Tableau1[], MATCH(Tableau3[[#This Row],[REFERENCE]], Tableau1[NUMERO], 0),4)</f>
        <v/>
      </c>
      <c r="E1052">
        <f>INDEX(Tableau1[], MATCH(Tableau3[[#This Row],[REFERENCE]], Tableau1[NUMERO], 0), 5)</f>
        <v/>
      </c>
      <c r="H1052" t="inlineStr">
        <is>
          <t>Romaire</t>
        </is>
      </c>
      <c r="J1052" s="2" t="n">
        <v>44085</v>
      </c>
      <c r="K1052" s="2" t="n">
        <v>44089</v>
      </c>
      <c r="L1052" s="2" t="n"/>
      <c r="M1052" s="21" t="inlineStr">
        <is>
          <t>02</t>
        </is>
      </c>
      <c r="N1052" s="8" t="n">
        <v>1</v>
      </c>
      <c r="O1052" s="7" t="n">
        <v>205</v>
      </c>
      <c r="P1052" s="8" t="inlineStr">
        <is>
          <t>3 SEMAINES</t>
        </is>
      </c>
      <c r="Q1052" s="2" t="n">
        <v>44180</v>
      </c>
    </row>
    <row r="1053">
      <c r="A1053" s="8" t="n">
        <v>34406532</v>
      </c>
      <c r="B1053" s="2">
        <f>INDEX(Tableau1[], MATCH(Tableau3[[#This Row],[REFERENCE]], Tableau1[NUMERO], 0), 2)</f>
        <v/>
      </c>
      <c r="C1053">
        <f>INDEX(Tableau1[], MATCH(Tableau3[[#This Row],[REFERENCE]], Tableau1[NUMERO], 0), 3)</f>
        <v/>
      </c>
      <c r="D1053">
        <f>INDEX(Tableau1[], MATCH(Tableau3[[#This Row],[REFERENCE]], Tableau1[NUMERO], 0),4)</f>
        <v/>
      </c>
      <c r="E1053">
        <f>INDEX(Tableau1[], MATCH(Tableau3[[#This Row],[REFERENCE]], Tableau1[NUMERO], 0), 5)</f>
        <v/>
      </c>
      <c r="H1053" t="inlineStr">
        <is>
          <t>Romaire</t>
        </is>
      </c>
      <c r="J1053" s="2" t="n">
        <v>44085</v>
      </c>
      <c r="K1053" s="2" t="n">
        <v>44089</v>
      </c>
      <c r="L1053" s="2" t="n"/>
      <c r="M1053" s="21" t="inlineStr">
        <is>
          <t>02</t>
        </is>
      </c>
      <c r="N1053" s="8" t="n">
        <v>2</v>
      </c>
      <c r="O1053" s="7" t="n">
        <v>25</v>
      </c>
      <c r="P1053" s="8" t="inlineStr">
        <is>
          <t>3 SEMAINES</t>
        </is>
      </c>
      <c r="Q1053" s="2" t="n">
        <v>44180</v>
      </c>
    </row>
    <row r="1054">
      <c r="A1054" s="8" t="n">
        <v>34406533</v>
      </c>
      <c r="B1054" s="2">
        <f>INDEX(Tableau1[], MATCH(Tableau3[[#This Row],[REFERENCE]], Tableau1[NUMERO], 0), 2)</f>
        <v/>
      </c>
      <c r="C1054">
        <f>INDEX(Tableau1[], MATCH(Tableau3[[#This Row],[REFERENCE]], Tableau1[NUMERO], 0), 3)</f>
        <v/>
      </c>
      <c r="D1054">
        <f>INDEX(Tableau1[], MATCH(Tableau3[[#This Row],[REFERENCE]], Tableau1[NUMERO], 0),4)</f>
        <v/>
      </c>
      <c r="E1054">
        <f>INDEX(Tableau1[], MATCH(Tableau3[[#This Row],[REFERENCE]], Tableau1[NUMERO], 0), 5)</f>
        <v/>
      </c>
      <c r="H1054" t="inlineStr">
        <is>
          <t>Romaire</t>
        </is>
      </c>
      <c r="J1054" s="2" t="n">
        <v>44085</v>
      </c>
      <c r="K1054" s="2" t="n">
        <v>44089</v>
      </c>
      <c r="L1054" s="2" t="n"/>
      <c r="M1054" s="21" t="inlineStr">
        <is>
          <t>04</t>
        </is>
      </c>
      <c r="N1054" s="8" t="n">
        <v>1</v>
      </c>
      <c r="O1054" s="7" t="n">
        <v>50</v>
      </c>
      <c r="P1054" s="8" t="inlineStr">
        <is>
          <t>3 SEMAINES</t>
        </is>
      </c>
      <c r="Q1054" s="2" t="n">
        <v>44180</v>
      </c>
    </row>
    <row r="1055" ht="15.75" customHeight="1" s="142" thickBot="1">
      <c r="A1055" s="8" t="n">
        <v>34406548</v>
      </c>
      <c r="B1055" s="2">
        <f>INDEX(Tableau1[], MATCH(Tableau3[[#This Row],[REFERENCE]], Tableau1[NUMERO], 0), 2)</f>
        <v/>
      </c>
      <c r="C1055">
        <f>INDEX(Tableau1[], MATCH(Tableau3[[#This Row],[REFERENCE]], Tableau1[NUMERO], 0), 3)</f>
        <v/>
      </c>
      <c r="D1055">
        <f>INDEX(Tableau1[], MATCH(Tableau3[[#This Row],[REFERENCE]], Tableau1[NUMERO], 0),4)</f>
        <v/>
      </c>
      <c r="E1055">
        <f>INDEX(Tableau1[], MATCH(Tableau3[[#This Row],[REFERENCE]], Tableau1[NUMERO], 0), 5)</f>
        <v/>
      </c>
      <c r="H1055" t="inlineStr">
        <is>
          <t>Romaire</t>
        </is>
      </c>
      <c r="J1055" s="2" t="n">
        <v>44085</v>
      </c>
      <c r="K1055" s="2" t="n">
        <v>44089</v>
      </c>
      <c r="L1055" s="2" t="n"/>
      <c r="M1055" s="21" t="inlineStr">
        <is>
          <t>01</t>
        </is>
      </c>
      <c r="N1055" s="8" t="n">
        <v>1</v>
      </c>
      <c r="O1055" s="7" t="n">
        <v>40</v>
      </c>
      <c r="P1055" s="8" t="inlineStr">
        <is>
          <t>3 SEMAINES</t>
        </is>
      </c>
      <c r="Q1055" s="2" t="n">
        <v>44180</v>
      </c>
    </row>
    <row r="1056" ht="16.5" customFormat="1" customHeight="1" s="80" thickBot="1" thickTop="1">
      <c r="A1056" s="78" t="n">
        <v>34406542</v>
      </c>
      <c r="B1056" s="79">
        <f>INDEX(Tableau1[], MATCH(Tableau3[[#This Row],[REFERENCE]], Tableau1[NUMERO], 0), 2)</f>
        <v/>
      </c>
      <c r="C1056" s="80">
        <f>INDEX(Tableau1[], MATCH(Tableau3[[#This Row],[REFERENCE]], Tableau1[NUMERO], 0), 3)</f>
        <v/>
      </c>
      <c r="D1056" s="80">
        <f>INDEX(Tableau1[], MATCH(Tableau3[[#This Row],[REFERENCE]], Tableau1[NUMERO], 0),4)</f>
        <v/>
      </c>
      <c r="E1056" s="80">
        <f>INDEX(Tableau1[], MATCH(Tableau3[[#This Row],[REFERENCE]], Tableau1[NUMERO], 0), 5)</f>
        <v/>
      </c>
      <c r="H1056" s="80" t="inlineStr">
        <is>
          <t>DS SMITH</t>
        </is>
      </c>
      <c r="I1056" s="78" t="n"/>
      <c r="J1056" s="98" t="inlineStr">
        <is>
          <t>11/09 - 18/09 - 28/09</t>
        </is>
      </c>
      <c r="K1056" s="79" t="n">
        <v>44102</v>
      </c>
      <c r="L1056" s="79" t="n"/>
      <c r="M1056" s="81" t="n"/>
      <c r="N1056" s="82" t="n">
        <v>1</v>
      </c>
      <c r="O1056" s="83" t="n">
        <v>33</v>
      </c>
      <c r="P1056" s="78" t="inlineStr">
        <is>
          <t>?</t>
        </is>
      </c>
      <c r="Q1056" s="79" t="n">
        <v>44193</v>
      </c>
    </row>
    <row r="1057" ht="15.75" customHeight="1" s="142" thickTop="1">
      <c r="A1057" s="8" t="inlineStr">
        <is>
          <t>140086RAL3013</t>
        </is>
      </c>
      <c r="B1057" s="2">
        <f>INDEX(Tableau1[], MATCH(Tableau3[[#This Row],[REFERENCE]], Tableau1[NUMERO], 0), 2)</f>
        <v/>
      </c>
      <c r="C1057">
        <f>INDEX(Tableau1[], MATCH(Tableau3[[#This Row],[REFERENCE]], Tableau1[NUMERO], 0), 3)</f>
        <v/>
      </c>
      <c r="D1057">
        <f>INDEX(Tableau1[], MATCH(Tableau3[[#This Row],[REFERENCE]], Tableau1[NUMERO], 0),4)</f>
        <v/>
      </c>
      <c r="E1057">
        <f>INDEX(Tableau1[], MATCH(Tableau3[[#This Row],[REFERENCE]], Tableau1[NUMERO], 0), 5)</f>
        <v/>
      </c>
      <c r="H1057" t="inlineStr">
        <is>
          <t>saunier</t>
        </is>
      </c>
      <c r="J1057" s="2" t="n">
        <v>44085</v>
      </c>
      <c r="K1057" s="2" t="n">
        <v>44089</v>
      </c>
      <c r="L1057" s="2" t="n"/>
      <c r="N1057" s="35" t="n">
        <v>1</v>
      </c>
      <c r="O1057" s="7" t="n">
        <v>57.4</v>
      </c>
      <c r="P1057" s="8" t="n"/>
      <c r="Q1057" s="2" t="n">
        <v>44150</v>
      </c>
    </row>
    <row r="1058">
      <c r="A1058" s="8" t="inlineStr">
        <is>
          <t>96624RAL3013</t>
        </is>
      </c>
      <c r="B1058" s="2">
        <f>INDEX(Tableau1[], MATCH(Tableau3[[#This Row],[REFERENCE]], Tableau1[NUMERO], 0), 2)</f>
        <v/>
      </c>
      <c r="C1058">
        <f>INDEX(Tableau1[], MATCH(Tableau3[[#This Row],[REFERENCE]], Tableau1[NUMERO], 0), 3)</f>
        <v/>
      </c>
      <c r="D1058">
        <f>INDEX(Tableau1[], MATCH(Tableau3[[#This Row],[REFERENCE]], Tableau1[NUMERO], 0),4)</f>
        <v/>
      </c>
      <c r="E1058">
        <f>INDEX(Tableau1[], MATCH(Tableau3[[#This Row],[REFERENCE]], Tableau1[NUMERO], 0), 5)</f>
        <v/>
      </c>
      <c r="H1058" t="inlineStr">
        <is>
          <t>saunier</t>
        </is>
      </c>
      <c r="J1058" s="2" t="n">
        <v>44085</v>
      </c>
      <c r="K1058" s="2" t="n">
        <v>44089</v>
      </c>
      <c r="L1058" s="2" t="n"/>
      <c r="N1058" s="35" t="n">
        <v>1</v>
      </c>
      <c r="O1058" s="7" t="n">
        <v>57.4</v>
      </c>
      <c r="P1058" s="8" t="n"/>
      <c r="Q1058" s="2" t="n">
        <v>44150</v>
      </c>
    </row>
    <row r="1059">
      <c r="A1059" s="8" t="inlineStr">
        <is>
          <t>77651RAL3013</t>
        </is>
      </c>
      <c r="B1059" s="2">
        <f>INDEX(Tableau1[], MATCH(Tableau3[[#This Row],[REFERENCE]], Tableau1[NUMERO], 0), 2)</f>
        <v/>
      </c>
      <c r="C1059">
        <f>INDEX(Tableau1[], MATCH(Tableau3[[#This Row],[REFERENCE]], Tableau1[NUMERO], 0), 3)</f>
        <v/>
      </c>
      <c r="D1059">
        <f>INDEX(Tableau1[], MATCH(Tableau3[[#This Row],[REFERENCE]], Tableau1[NUMERO], 0),4)</f>
        <v/>
      </c>
      <c r="E1059">
        <f>INDEX(Tableau1[], MATCH(Tableau3[[#This Row],[REFERENCE]], Tableau1[NUMERO], 0), 5)</f>
        <v/>
      </c>
      <c r="H1059" t="inlineStr">
        <is>
          <t>saunier</t>
        </is>
      </c>
      <c r="J1059" s="2" t="n">
        <v>44085</v>
      </c>
      <c r="K1059" s="2" t="n">
        <v>44089</v>
      </c>
      <c r="L1059" s="2" t="n"/>
      <c r="M1059" s="21" t="inlineStr">
        <is>
          <t>06</t>
        </is>
      </c>
      <c r="N1059" s="35" t="n">
        <v>4</v>
      </c>
      <c r="O1059" s="7" t="n">
        <v>14.5</v>
      </c>
      <c r="P1059" s="8" t="n"/>
      <c r="Q1059" s="2" t="n">
        <v>44150</v>
      </c>
    </row>
    <row r="1060">
      <c r="A1060" s="8" t="inlineStr">
        <is>
          <t>28093RAL3013</t>
        </is>
      </c>
      <c r="B1060" s="2">
        <f>INDEX(Tableau1[], MATCH(Tableau3[[#This Row],[REFERENCE]], Tableau1[NUMERO], 0), 2)</f>
        <v/>
      </c>
      <c r="C1060">
        <f>INDEX(Tableau1[], MATCH(Tableau3[[#This Row],[REFERENCE]], Tableau1[NUMERO], 0), 3)</f>
        <v/>
      </c>
      <c r="D1060">
        <f>INDEX(Tableau1[], MATCH(Tableau3[[#This Row],[REFERENCE]], Tableau1[NUMERO], 0),4)</f>
        <v/>
      </c>
      <c r="E1060">
        <f>INDEX(Tableau1[], MATCH(Tableau3[[#This Row],[REFERENCE]], Tableau1[NUMERO], 0), 5)</f>
        <v/>
      </c>
      <c r="H1060" t="inlineStr">
        <is>
          <t>saunier</t>
        </is>
      </c>
      <c r="J1060" s="2" t="n">
        <v>44085</v>
      </c>
      <c r="K1060" s="2" t="n">
        <v>44089</v>
      </c>
      <c r="L1060" s="2" t="n"/>
      <c r="M1060" s="21" t="inlineStr">
        <is>
          <t>05</t>
        </is>
      </c>
      <c r="N1060" s="35" t="n">
        <v>2</v>
      </c>
      <c r="O1060" s="7" t="n">
        <v>28.7</v>
      </c>
      <c r="P1060" s="8" t="n"/>
      <c r="Q1060" s="2" t="n">
        <v>44150</v>
      </c>
    </row>
    <row r="1061">
      <c r="A1061" s="8" t="inlineStr">
        <is>
          <t>28092RAL3013</t>
        </is>
      </c>
      <c r="B1061" s="2">
        <f>INDEX(Tableau1[], MATCH(Tableau3[[#This Row],[REFERENCE]], Tableau1[NUMERO], 0), 2)</f>
        <v/>
      </c>
      <c r="C1061">
        <f>INDEX(Tableau1[], MATCH(Tableau3[[#This Row],[REFERENCE]], Tableau1[NUMERO], 0), 3)</f>
        <v/>
      </c>
      <c r="D1061">
        <f>INDEX(Tableau1[], MATCH(Tableau3[[#This Row],[REFERENCE]], Tableau1[NUMERO], 0),4)</f>
        <v/>
      </c>
      <c r="E1061">
        <f>INDEX(Tableau1[], MATCH(Tableau3[[#This Row],[REFERENCE]], Tableau1[NUMERO], 0), 5)</f>
        <v/>
      </c>
      <c r="H1061" t="inlineStr">
        <is>
          <t>saunier</t>
        </is>
      </c>
      <c r="J1061" s="2" t="n">
        <v>44085</v>
      </c>
      <c r="K1061" s="2" t="n">
        <v>44089</v>
      </c>
      <c r="L1061" s="2" t="n"/>
      <c r="M1061" s="21" t="inlineStr">
        <is>
          <t>04</t>
        </is>
      </c>
      <c r="N1061" s="35" t="n">
        <v>2</v>
      </c>
      <c r="O1061" s="7" t="n">
        <v>28.7</v>
      </c>
      <c r="P1061" s="8" t="n"/>
      <c r="Q1061" s="2" t="n">
        <v>44150</v>
      </c>
    </row>
    <row r="1062">
      <c r="A1062" s="8" t="inlineStr">
        <is>
          <t>0475RAL3013</t>
        </is>
      </c>
      <c r="B1062" s="2">
        <f>INDEX(Tableau1[], MATCH(Tableau3[[#This Row],[REFERENCE]], Tableau1[NUMERO], 0), 2)</f>
        <v/>
      </c>
      <c r="C1062">
        <f>INDEX(Tableau1[], MATCH(Tableau3[[#This Row],[REFERENCE]], Tableau1[NUMERO], 0), 3)</f>
        <v/>
      </c>
      <c r="D1062">
        <f>INDEX(Tableau1[], MATCH(Tableau3[[#This Row],[REFERENCE]], Tableau1[NUMERO], 0),4)</f>
        <v/>
      </c>
      <c r="E1062">
        <f>INDEX(Tableau1[], MATCH(Tableau3[[#This Row],[REFERENCE]], Tableau1[NUMERO], 0), 5)</f>
        <v/>
      </c>
      <c r="H1062" t="inlineStr">
        <is>
          <t>saunier</t>
        </is>
      </c>
      <c r="J1062" s="2" t="n">
        <v>44085</v>
      </c>
      <c r="K1062" s="2" t="n">
        <v>44089</v>
      </c>
      <c r="L1062" s="2" t="n"/>
      <c r="M1062" s="21" t="inlineStr">
        <is>
          <t>03</t>
        </is>
      </c>
      <c r="N1062" s="35" t="n">
        <v>1</v>
      </c>
      <c r="O1062" s="7" t="n">
        <v>57.4</v>
      </c>
      <c r="P1062" s="8" t="n"/>
      <c r="Q1062" s="2" t="n">
        <v>44150</v>
      </c>
    </row>
    <row r="1063" ht="15.75" customHeight="1" s="142" thickBot="1">
      <c r="A1063" s="8" t="inlineStr">
        <is>
          <t>816684RAL3013</t>
        </is>
      </c>
      <c r="B1063" s="2">
        <f>INDEX(Tableau1[], MATCH(Tableau3[[#This Row],[REFERENCE]], Tableau1[NUMERO], 0), 2)</f>
        <v/>
      </c>
      <c r="C1063">
        <f>INDEX(Tableau1[], MATCH(Tableau3[[#This Row],[REFERENCE]], Tableau1[NUMERO], 0), 3)</f>
        <v/>
      </c>
      <c r="D1063">
        <f>INDEX(Tableau1[], MATCH(Tableau3[[#This Row],[REFERENCE]], Tableau1[NUMERO], 0),4)</f>
        <v/>
      </c>
      <c r="E1063">
        <f>INDEX(Tableau1[], MATCH(Tableau3[[#This Row],[REFERENCE]], Tableau1[NUMERO], 0), 5)</f>
        <v/>
      </c>
      <c r="H1063" t="inlineStr">
        <is>
          <t>saunier</t>
        </is>
      </c>
      <c r="J1063" s="2" t="n">
        <v>44085</v>
      </c>
      <c r="K1063" s="2" t="n">
        <v>44089</v>
      </c>
      <c r="L1063" s="2" t="n"/>
      <c r="M1063" s="21" t="inlineStr">
        <is>
          <t>02</t>
        </is>
      </c>
      <c r="N1063" s="35" t="n">
        <v>4</v>
      </c>
      <c r="O1063" s="7" t="n">
        <v>14.35</v>
      </c>
      <c r="P1063" s="8" t="n"/>
      <c r="Q1063" s="2" t="n">
        <v>44150</v>
      </c>
    </row>
    <row r="1064" ht="15.75" customFormat="1" customHeight="1" s="52" thickTop="1">
      <c r="A1064" s="50" t="inlineStr">
        <is>
          <t>140086RAL4008</t>
        </is>
      </c>
      <c r="B1064" s="51">
        <f>INDEX(Tableau1[], MATCH(Tableau3[[#This Row],[REFERENCE]], Tableau1[NUMERO], 0), 2)</f>
        <v/>
      </c>
      <c r="C1064" s="52">
        <f>INDEX(Tableau1[], MATCH(Tableau3[[#This Row],[REFERENCE]], Tableau1[NUMERO], 0), 3)</f>
        <v/>
      </c>
      <c r="D1064" s="52">
        <f>INDEX(Tableau1[], MATCH(Tableau3[[#This Row],[REFERENCE]], Tableau1[NUMERO], 0),4)</f>
        <v/>
      </c>
      <c r="E1064" s="52">
        <f>INDEX(Tableau1[], MATCH(Tableau3[[#This Row],[REFERENCE]], Tableau1[NUMERO], 0), 5)</f>
        <v/>
      </c>
      <c r="H1064" s="52" t="inlineStr">
        <is>
          <t>saunier</t>
        </is>
      </c>
      <c r="I1064" s="50" t="n"/>
      <c r="J1064" s="51" t="n">
        <v>44088</v>
      </c>
      <c r="K1064" s="51" t="n">
        <v>44089</v>
      </c>
      <c r="L1064" s="51" t="n"/>
      <c r="M1064" s="53" t="n"/>
      <c r="N1064" s="54" t="n">
        <v>1</v>
      </c>
      <c r="O1064" s="55" t="n">
        <v>51.17</v>
      </c>
      <c r="P1064" s="50" t="n"/>
      <c r="Q1064" s="51" t="n">
        <v>44150</v>
      </c>
    </row>
    <row r="1065">
      <c r="A1065" s="8" t="inlineStr">
        <is>
          <t>96624RAL4008</t>
        </is>
      </c>
      <c r="B1065" s="2">
        <f>INDEX(Tableau1[], MATCH(Tableau3[[#This Row],[REFERENCE]], Tableau1[NUMERO], 0), 2)</f>
        <v/>
      </c>
      <c r="C1065">
        <f>INDEX(Tableau1[], MATCH(Tableau3[[#This Row],[REFERENCE]], Tableau1[NUMERO], 0), 3)</f>
        <v/>
      </c>
      <c r="D1065">
        <f>INDEX(Tableau1[], MATCH(Tableau3[[#This Row],[REFERENCE]], Tableau1[NUMERO], 0),4)</f>
        <v/>
      </c>
      <c r="E1065">
        <f>INDEX(Tableau1[], MATCH(Tableau3[[#This Row],[REFERENCE]], Tableau1[NUMERO], 0), 5)</f>
        <v/>
      </c>
      <c r="H1065" t="inlineStr">
        <is>
          <t>saunier</t>
        </is>
      </c>
      <c r="J1065" s="2" t="n">
        <v>44088</v>
      </c>
      <c r="K1065" s="2" t="n">
        <v>44089</v>
      </c>
      <c r="L1065" s="2" t="n"/>
      <c r="N1065" s="35" t="n">
        <v>1</v>
      </c>
      <c r="O1065" s="7" t="n">
        <v>51.17</v>
      </c>
      <c r="P1065" s="8" t="n"/>
      <c r="Q1065" s="2" t="n">
        <v>44150</v>
      </c>
    </row>
    <row r="1066">
      <c r="A1066" s="8" t="inlineStr">
        <is>
          <t>77651RAL4008</t>
        </is>
      </c>
      <c r="B1066" s="2">
        <f>INDEX(Tableau1[], MATCH(Tableau3[[#This Row],[REFERENCE]], Tableau1[NUMERO], 0), 2)</f>
        <v/>
      </c>
      <c r="C1066">
        <f>INDEX(Tableau1[], MATCH(Tableau3[[#This Row],[REFERENCE]], Tableau1[NUMERO], 0), 3)</f>
        <v/>
      </c>
      <c r="D1066">
        <f>INDEX(Tableau1[], MATCH(Tableau3[[#This Row],[REFERENCE]], Tableau1[NUMERO], 0),4)</f>
        <v/>
      </c>
      <c r="E1066">
        <f>INDEX(Tableau1[], MATCH(Tableau3[[#This Row],[REFERENCE]], Tableau1[NUMERO], 0), 5)</f>
        <v/>
      </c>
      <c r="H1066" t="inlineStr">
        <is>
          <t>saunier</t>
        </is>
      </c>
      <c r="J1066" s="2" t="n">
        <v>44088</v>
      </c>
      <c r="K1066" s="2" t="n">
        <v>44089</v>
      </c>
      <c r="L1066" s="2" t="n"/>
      <c r="M1066" s="21" t="inlineStr">
        <is>
          <t>06</t>
        </is>
      </c>
      <c r="N1066" s="35" t="n">
        <v>4</v>
      </c>
      <c r="O1066" s="7" t="n">
        <v>12.8</v>
      </c>
      <c r="P1066" s="8" t="n"/>
      <c r="Q1066" s="2" t="n">
        <v>44150</v>
      </c>
    </row>
    <row r="1067">
      <c r="A1067" s="8" t="inlineStr">
        <is>
          <t>28093RAL4008</t>
        </is>
      </c>
      <c r="B1067" s="2">
        <f>INDEX(Tableau1[], MATCH(Tableau3[[#This Row],[REFERENCE]], Tableau1[NUMERO], 0), 2)</f>
        <v/>
      </c>
      <c r="C1067">
        <f>INDEX(Tableau1[], MATCH(Tableau3[[#This Row],[REFERENCE]], Tableau1[NUMERO], 0), 3)</f>
        <v/>
      </c>
      <c r="D1067">
        <f>INDEX(Tableau1[], MATCH(Tableau3[[#This Row],[REFERENCE]], Tableau1[NUMERO], 0),4)</f>
        <v/>
      </c>
      <c r="E1067">
        <f>INDEX(Tableau1[], MATCH(Tableau3[[#This Row],[REFERENCE]], Tableau1[NUMERO], 0), 5)</f>
        <v/>
      </c>
      <c r="H1067" t="inlineStr">
        <is>
          <t>saunier</t>
        </is>
      </c>
      <c r="J1067" s="2" t="n">
        <v>44088</v>
      </c>
      <c r="K1067" s="2" t="n">
        <v>44089</v>
      </c>
      <c r="L1067" s="2" t="n"/>
      <c r="M1067" s="21" t="inlineStr">
        <is>
          <t>05</t>
        </is>
      </c>
      <c r="N1067" s="35" t="n">
        <v>2</v>
      </c>
      <c r="O1067" s="7" t="n">
        <v>25.59</v>
      </c>
      <c r="P1067" s="8" t="n"/>
      <c r="Q1067" s="2" t="n">
        <v>44150</v>
      </c>
    </row>
    <row r="1068">
      <c r="A1068" s="8" t="inlineStr">
        <is>
          <t>28092RAL4008</t>
        </is>
      </c>
      <c r="B1068" s="2">
        <f>INDEX(Tableau1[], MATCH(Tableau3[[#This Row],[REFERENCE]], Tableau1[NUMERO], 0), 2)</f>
        <v/>
      </c>
      <c r="C1068">
        <f>INDEX(Tableau1[], MATCH(Tableau3[[#This Row],[REFERENCE]], Tableau1[NUMERO], 0), 3)</f>
        <v/>
      </c>
      <c r="D1068">
        <f>INDEX(Tableau1[], MATCH(Tableau3[[#This Row],[REFERENCE]], Tableau1[NUMERO], 0),4)</f>
        <v/>
      </c>
      <c r="E1068">
        <f>INDEX(Tableau1[], MATCH(Tableau3[[#This Row],[REFERENCE]], Tableau1[NUMERO], 0), 5)</f>
        <v/>
      </c>
      <c r="H1068" t="inlineStr">
        <is>
          <t>saunier</t>
        </is>
      </c>
      <c r="J1068" s="2" t="n">
        <v>44088</v>
      </c>
      <c r="K1068" s="2" t="n">
        <v>44089</v>
      </c>
      <c r="L1068" s="2" t="n"/>
      <c r="M1068" s="21" t="inlineStr">
        <is>
          <t>04</t>
        </is>
      </c>
      <c r="N1068" s="35" t="n">
        <v>2</v>
      </c>
      <c r="O1068" s="7" t="n">
        <v>25.59</v>
      </c>
      <c r="P1068" s="8" t="n"/>
      <c r="Q1068" s="2" t="n">
        <v>44150</v>
      </c>
    </row>
    <row r="1069">
      <c r="A1069" s="8" t="inlineStr">
        <is>
          <t>0475RAL4008</t>
        </is>
      </c>
      <c r="B1069" s="2">
        <f>INDEX(Tableau1[], MATCH(Tableau3[[#This Row],[REFERENCE]], Tableau1[NUMERO], 0), 2)</f>
        <v/>
      </c>
      <c r="C1069">
        <f>INDEX(Tableau1[], MATCH(Tableau3[[#This Row],[REFERENCE]], Tableau1[NUMERO], 0), 3)</f>
        <v/>
      </c>
      <c r="D1069">
        <f>INDEX(Tableau1[], MATCH(Tableau3[[#This Row],[REFERENCE]], Tableau1[NUMERO], 0),4)</f>
        <v/>
      </c>
      <c r="E1069">
        <f>INDEX(Tableau1[], MATCH(Tableau3[[#This Row],[REFERENCE]], Tableau1[NUMERO], 0), 5)</f>
        <v/>
      </c>
      <c r="H1069" t="inlineStr">
        <is>
          <t>saunier</t>
        </is>
      </c>
      <c r="J1069" s="2" t="n">
        <v>44088</v>
      </c>
      <c r="K1069" s="2" t="n">
        <v>44089</v>
      </c>
      <c r="L1069" s="2" t="n"/>
      <c r="M1069" s="21" t="inlineStr">
        <is>
          <t>03</t>
        </is>
      </c>
      <c r="N1069" s="35" t="n">
        <v>1</v>
      </c>
      <c r="O1069" s="7" t="n">
        <v>51.17</v>
      </c>
      <c r="P1069" s="8" t="n"/>
      <c r="Q1069" s="2" t="n">
        <v>44150</v>
      </c>
    </row>
    <row r="1070" ht="15.75" customFormat="1" customHeight="1" s="58" thickBot="1">
      <c r="A1070" s="56" t="inlineStr">
        <is>
          <t>816684RAL4008</t>
        </is>
      </c>
      <c r="B1070" s="57">
        <f>INDEX(Tableau1[], MATCH(Tableau3[[#This Row],[REFERENCE]], Tableau1[NUMERO], 0), 2)</f>
        <v/>
      </c>
      <c r="C1070" s="58">
        <f>INDEX(Tableau1[], MATCH(Tableau3[[#This Row],[REFERENCE]], Tableau1[NUMERO], 0), 3)</f>
        <v/>
      </c>
      <c r="D1070" s="58">
        <f>INDEX(Tableau1[], MATCH(Tableau3[[#This Row],[REFERENCE]], Tableau1[NUMERO], 0),4)</f>
        <v/>
      </c>
      <c r="E1070" s="58">
        <f>INDEX(Tableau1[], MATCH(Tableau3[[#This Row],[REFERENCE]], Tableau1[NUMERO], 0), 5)</f>
        <v/>
      </c>
      <c r="H1070" s="58" t="inlineStr">
        <is>
          <t>saunier</t>
        </is>
      </c>
      <c r="I1070" s="56" t="n"/>
      <c r="J1070" s="57" t="n">
        <v>44088</v>
      </c>
      <c r="K1070" s="57" t="n">
        <v>44089</v>
      </c>
      <c r="L1070" s="57" t="n"/>
      <c r="M1070" s="59" t="inlineStr">
        <is>
          <t>02</t>
        </is>
      </c>
      <c r="N1070" s="60" t="n">
        <v>4</v>
      </c>
      <c r="O1070" s="61" t="n">
        <v>12.8</v>
      </c>
      <c r="P1070" s="56" t="n"/>
      <c r="Q1070" s="57" t="n">
        <v>44150</v>
      </c>
    </row>
    <row r="1071" ht="15.75" customHeight="1" s="142" thickTop="1">
      <c r="A1071" s="8" t="n">
        <v>34408701</v>
      </c>
      <c r="B1071" s="2">
        <f>INDEX(Tableau1[], MATCH(Tableau3[[#This Row],[REFERENCE]], Tableau1[NUMERO], 0), 2)</f>
        <v/>
      </c>
      <c r="C1071">
        <f>INDEX(Tableau1[], MATCH(Tableau3[[#This Row],[REFERENCE]], Tableau1[NUMERO], 0), 3)</f>
        <v/>
      </c>
      <c r="D1071">
        <f>INDEX(Tableau1[], MATCH(Tableau3[[#This Row],[REFERENCE]], Tableau1[NUMERO], 0),4)</f>
        <v/>
      </c>
      <c r="E1071">
        <f>INDEX(Tableau1[], MATCH(Tableau3[[#This Row],[REFERENCE]], Tableau1[NUMERO], 0), 5)</f>
        <v/>
      </c>
      <c r="H1071" t="inlineStr">
        <is>
          <t>lasertechnic</t>
        </is>
      </c>
      <c r="J1071" s="2" t="n">
        <v>44092</v>
      </c>
      <c r="K1071" s="2" t="n">
        <v>44097</v>
      </c>
      <c r="L1071" s="2" t="n"/>
      <c r="M1071" s="21" t="inlineStr">
        <is>
          <t>01</t>
        </is>
      </c>
      <c r="N1071" s="35" t="n">
        <v>4</v>
      </c>
      <c r="O1071" s="7" t="n">
        <v>19</v>
      </c>
      <c r="P1071" s="8" t="inlineStr">
        <is>
          <t>5 JOURS</t>
        </is>
      </c>
      <c r="Q1071" s="2" t="n">
        <v>44188</v>
      </c>
    </row>
    <row r="1072" ht="15.75" customHeight="1" s="142" thickBot="1">
      <c r="A1072" s="8" t="n">
        <v>34408701</v>
      </c>
      <c r="B1072" s="2">
        <f>INDEX(Tableau1[], MATCH(Tableau3[[#This Row],[REFERENCE]], Tableau1[NUMERO], 0), 2)</f>
        <v/>
      </c>
      <c r="C1072">
        <f>INDEX(Tableau1[], MATCH(Tableau3[[#This Row],[REFERENCE]], Tableau1[NUMERO], 0), 3)</f>
        <v/>
      </c>
      <c r="D1072">
        <f>INDEX(Tableau1[], MATCH(Tableau3[[#This Row],[REFERENCE]], Tableau1[NUMERO], 0),4)</f>
        <v/>
      </c>
      <c r="E1072">
        <f>INDEX(Tableau1[], MATCH(Tableau3[[#This Row],[REFERENCE]], Tableau1[NUMERO], 0), 5)</f>
        <v/>
      </c>
      <c r="H1072" t="inlineStr">
        <is>
          <t>lasertechnic</t>
        </is>
      </c>
      <c r="J1072" s="2" t="n">
        <v>44092</v>
      </c>
      <c r="K1072" s="2" t="n">
        <v>44097</v>
      </c>
      <c r="L1072" s="2" t="n"/>
      <c r="M1072" s="21" t="inlineStr">
        <is>
          <t>01</t>
        </is>
      </c>
      <c r="N1072" s="35" t="n">
        <v>16</v>
      </c>
      <c r="O1072" s="7" t="n">
        <v>9</v>
      </c>
      <c r="P1072" s="8" t="inlineStr">
        <is>
          <t>5 JOURS</t>
        </is>
      </c>
      <c r="Q1072" s="2" t="n">
        <v>44188</v>
      </c>
    </row>
    <row r="1073" ht="16.5" customFormat="1" customHeight="1" s="80" thickBot="1" thickTop="1">
      <c r="A1073" s="78" t="n">
        <v>34408772</v>
      </c>
      <c r="B1073" s="79">
        <f>INDEX(Tableau1[], MATCH(Tableau3[[#This Row],[REFERENCE]], Tableau1[NUMERO], 0), 2)</f>
        <v/>
      </c>
      <c r="C1073" s="80">
        <f>INDEX(Tableau1[], MATCH(Tableau3[[#This Row],[REFERENCE]], Tableau1[NUMERO], 0), 3)</f>
        <v/>
      </c>
      <c r="D1073" s="80">
        <f>INDEX(Tableau1[], MATCH(Tableau3[[#This Row],[REFERENCE]], Tableau1[NUMERO], 0),4)</f>
        <v/>
      </c>
      <c r="E1073" s="80">
        <f>INDEX(Tableau1[], MATCH(Tableau3[[#This Row],[REFERENCE]], Tableau1[NUMERO], 0), 5)</f>
        <v/>
      </c>
      <c r="H1073" s="80" t="inlineStr">
        <is>
          <t>comatel</t>
        </is>
      </c>
      <c r="I1073" s="78" t="n"/>
      <c r="J1073" s="98" t="inlineStr">
        <is>
          <t>24/09 - 28/09</t>
        </is>
      </c>
      <c r="K1073" s="79" t="n">
        <v>44102</v>
      </c>
      <c r="L1073" s="79" t="n"/>
      <c r="M1073" s="81" t="n"/>
      <c r="N1073" s="82" t="n">
        <v>1</v>
      </c>
      <c r="O1073" s="83" t="n">
        <v>11.5</v>
      </c>
      <c r="P1073" s="78" t="inlineStr">
        <is>
          <t>8 jours</t>
        </is>
      </c>
      <c r="Q1073" s="79" t="n">
        <v>44193</v>
      </c>
    </row>
    <row r="1074" ht="15.75" customFormat="1" customHeight="1" s="52" thickTop="1">
      <c r="A1074" s="50" t="inlineStr">
        <is>
          <t>140086RAL4008</t>
        </is>
      </c>
      <c r="B1074" s="51">
        <f>INDEX(Tableau1[], MATCH(Tableau3[[#This Row],[REFERENCE]], Tableau1[NUMERO], 0), 2)</f>
        <v/>
      </c>
      <c r="C1074" s="52">
        <f>INDEX(Tableau1[], MATCH(Tableau3[[#This Row],[REFERENCE]], Tableau1[NUMERO], 0), 3)</f>
        <v/>
      </c>
      <c r="D1074" s="52">
        <f>INDEX(Tableau1[], MATCH(Tableau3[[#This Row],[REFERENCE]], Tableau1[NUMERO], 0),4)</f>
        <v/>
      </c>
      <c r="E1074" s="52">
        <f>INDEX(Tableau1[], MATCH(Tableau3[[#This Row],[REFERENCE]], Tableau1[NUMERO], 0), 5)</f>
        <v/>
      </c>
      <c r="H1074" s="52" t="inlineStr">
        <is>
          <t>saunier</t>
        </is>
      </c>
      <c r="I1074" s="50" t="n"/>
      <c r="J1074" s="51" t="inlineStr">
        <is>
          <t>30/09/2020 par Ivan</t>
        </is>
      </c>
      <c r="K1074" s="51" t="n">
        <v>44106</v>
      </c>
      <c r="L1074" s="51" t="n"/>
      <c r="M1074" s="53" t="n"/>
      <c r="N1074" s="54" t="n">
        <v>1</v>
      </c>
      <c r="O1074" s="55" t="n">
        <v>86.43000000000001</v>
      </c>
      <c r="P1074" s="50" t="n"/>
      <c r="Q1074" s="51" t="n">
        <v>44167</v>
      </c>
    </row>
    <row r="1075">
      <c r="A1075" s="8" t="inlineStr">
        <is>
          <t>96624RAL4008</t>
        </is>
      </c>
      <c r="B1075" s="2">
        <f>INDEX(Tableau1[], MATCH(Tableau3[[#This Row],[REFERENCE]], Tableau1[NUMERO], 0), 2)</f>
        <v/>
      </c>
      <c r="C1075">
        <f>INDEX(Tableau1[], MATCH(Tableau3[[#This Row],[REFERENCE]], Tableau1[NUMERO], 0), 3)</f>
        <v/>
      </c>
      <c r="D1075">
        <f>INDEX(Tableau1[], MATCH(Tableau3[[#This Row],[REFERENCE]], Tableau1[NUMERO], 0),4)</f>
        <v/>
      </c>
      <c r="E1075">
        <f>INDEX(Tableau1[], MATCH(Tableau3[[#This Row],[REFERENCE]], Tableau1[NUMERO], 0), 5)</f>
        <v/>
      </c>
      <c r="H1075" t="inlineStr">
        <is>
          <t>saunier</t>
        </is>
      </c>
      <c r="J1075" s="2" t="inlineStr">
        <is>
          <t>30/09/2020 par Ivan</t>
        </is>
      </c>
      <c r="K1075" s="2" t="n">
        <v>44106</v>
      </c>
      <c r="L1075" s="2" t="n"/>
      <c r="N1075" s="35" t="n">
        <v>1</v>
      </c>
      <c r="O1075" s="7" t="n">
        <v>86.43000000000001</v>
      </c>
      <c r="P1075" s="8" t="n"/>
      <c r="Q1075" s="2" t="n">
        <v>44167</v>
      </c>
    </row>
    <row r="1076">
      <c r="A1076" s="8" t="inlineStr">
        <is>
          <t>77651RAL4008</t>
        </is>
      </c>
      <c r="B1076" s="2">
        <f>INDEX(Tableau1[], MATCH(Tableau3[[#This Row],[REFERENCE]], Tableau1[NUMERO], 0), 2)</f>
        <v/>
      </c>
      <c r="C1076">
        <f>INDEX(Tableau1[], MATCH(Tableau3[[#This Row],[REFERENCE]], Tableau1[NUMERO], 0), 3)</f>
        <v/>
      </c>
      <c r="D1076">
        <f>INDEX(Tableau1[], MATCH(Tableau3[[#This Row],[REFERENCE]], Tableau1[NUMERO], 0),4)</f>
        <v/>
      </c>
      <c r="E1076">
        <f>INDEX(Tableau1[], MATCH(Tableau3[[#This Row],[REFERENCE]], Tableau1[NUMERO], 0), 5)</f>
        <v/>
      </c>
      <c r="H1076" t="inlineStr">
        <is>
          <t>saunier</t>
        </is>
      </c>
      <c r="J1076" s="2" t="inlineStr">
        <is>
          <t>30/09/2020 par Ivan</t>
        </is>
      </c>
      <c r="K1076" s="2" t="n">
        <v>44106</v>
      </c>
      <c r="L1076" s="2" t="n"/>
      <c r="M1076" s="21" t="inlineStr">
        <is>
          <t>06</t>
        </is>
      </c>
      <c r="N1076" s="35" t="n">
        <v>4</v>
      </c>
      <c r="O1076" s="7" t="n">
        <v>21.6</v>
      </c>
      <c r="P1076" s="8" t="n"/>
      <c r="Q1076" s="2" t="n">
        <v>44167</v>
      </c>
    </row>
    <row r="1077">
      <c r="A1077" s="8" t="inlineStr">
        <is>
          <t>77651RAL4008</t>
        </is>
      </c>
      <c r="B1077" s="2">
        <f>INDEX(Tableau1[], MATCH(Tableau3[[#This Row],[REFERENCE]], Tableau1[NUMERO], 0), 2)</f>
        <v/>
      </c>
      <c r="C1077">
        <f>INDEX(Tableau1[], MATCH(Tableau3[[#This Row],[REFERENCE]], Tableau1[NUMERO], 0), 3)</f>
        <v/>
      </c>
      <c r="D1077">
        <f>INDEX(Tableau1[], MATCH(Tableau3[[#This Row],[REFERENCE]], Tableau1[NUMERO], 0),4)</f>
        <v/>
      </c>
      <c r="E1077">
        <f>INDEX(Tableau1[], MATCH(Tableau3[[#This Row],[REFERENCE]], Tableau1[NUMERO], 0), 5)</f>
        <v/>
      </c>
      <c r="H1077" t="inlineStr">
        <is>
          <t>saunier</t>
        </is>
      </c>
      <c r="J1077" s="2" t="inlineStr">
        <is>
          <t>30/09/2020 par Ivan</t>
        </is>
      </c>
      <c r="K1077" s="2" t="n">
        <v>44106</v>
      </c>
      <c r="L1077" s="2" t="n"/>
      <c r="M1077" s="21" t="inlineStr">
        <is>
          <t>06</t>
        </is>
      </c>
      <c r="N1077" s="35" t="n">
        <v>3</v>
      </c>
      <c r="O1077" s="7" t="n">
        <v>28.81</v>
      </c>
      <c r="P1077" s="8" t="n"/>
      <c r="Q1077" s="2" t="n">
        <v>44167</v>
      </c>
    </row>
    <row r="1078">
      <c r="A1078" s="8" t="inlineStr">
        <is>
          <t>28093RAL4008</t>
        </is>
      </c>
      <c r="B1078" s="2">
        <f>INDEX(Tableau1[], MATCH(Tableau3[[#This Row],[REFERENCE]], Tableau1[NUMERO], 0), 2)</f>
        <v/>
      </c>
      <c r="C1078">
        <f>INDEX(Tableau1[], MATCH(Tableau3[[#This Row],[REFERENCE]], Tableau1[NUMERO], 0), 3)</f>
        <v/>
      </c>
      <c r="D1078">
        <f>INDEX(Tableau1[], MATCH(Tableau3[[#This Row],[REFERENCE]], Tableau1[NUMERO], 0),4)</f>
        <v/>
      </c>
      <c r="E1078">
        <f>INDEX(Tableau1[], MATCH(Tableau3[[#This Row],[REFERENCE]], Tableau1[NUMERO], 0), 5)</f>
        <v/>
      </c>
      <c r="H1078" t="inlineStr">
        <is>
          <t>saunier</t>
        </is>
      </c>
      <c r="J1078" s="2" t="inlineStr">
        <is>
          <t>30/09/2020 par Ivan</t>
        </is>
      </c>
      <c r="K1078" s="2" t="n">
        <v>44106</v>
      </c>
      <c r="L1078" s="2" t="n"/>
      <c r="M1078" s="21" t="inlineStr">
        <is>
          <t>05</t>
        </is>
      </c>
      <c r="N1078" s="35" t="n">
        <v>2</v>
      </c>
      <c r="O1078" s="7" t="n">
        <v>43.22</v>
      </c>
      <c r="P1078" s="8" t="n"/>
      <c r="Q1078" s="2" t="n">
        <v>44167</v>
      </c>
    </row>
    <row r="1079">
      <c r="A1079" s="8" t="inlineStr">
        <is>
          <t>28092RAL4008</t>
        </is>
      </c>
      <c r="B1079" s="2">
        <f>INDEX(Tableau1[], MATCH(Tableau3[[#This Row],[REFERENCE]], Tableau1[NUMERO], 0), 2)</f>
        <v/>
      </c>
      <c r="C1079">
        <f>INDEX(Tableau1[], MATCH(Tableau3[[#This Row],[REFERENCE]], Tableau1[NUMERO], 0), 3)</f>
        <v/>
      </c>
      <c r="D1079">
        <f>INDEX(Tableau1[], MATCH(Tableau3[[#This Row],[REFERENCE]], Tableau1[NUMERO], 0),4)</f>
        <v/>
      </c>
      <c r="E1079">
        <f>INDEX(Tableau1[], MATCH(Tableau3[[#This Row],[REFERENCE]], Tableau1[NUMERO], 0), 5)</f>
        <v/>
      </c>
      <c r="H1079" t="inlineStr">
        <is>
          <t>saunier</t>
        </is>
      </c>
      <c r="J1079" s="2" t="inlineStr">
        <is>
          <t>30/09/2020 par Ivan</t>
        </is>
      </c>
      <c r="K1079" s="2" t="n">
        <v>44106</v>
      </c>
      <c r="L1079" s="2" t="n"/>
      <c r="M1079" s="21" t="inlineStr">
        <is>
          <t>04</t>
        </is>
      </c>
      <c r="N1079" s="35" t="n">
        <v>2</v>
      </c>
      <c r="O1079" s="7" t="n">
        <v>43.22</v>
      </c>
      <c r="P1079" s="8" t="n"/>
      <c r="Q1079" s="2" t="n">
        <v>44167</v>
      </c>
    </row>
    <row r="1080">
      <c r="A1080" s="8" t="inlineStr">
        <is>
          <t>21699RAL3014</t>
        </is>
      </c>
      <c r="B1080" s="2">
        <f>INDEX(Tableau1[], MATCH(Tableau3[[#This Row],[REFERENCE]], Tableau1[NUMERO], 0), 2)</f>
        <v/>
      </c>
      <c r="C1080">
        <f>INDEX(Tableau1[], MATCH(Tableau3[[#This Row],[REFERENCE]], Tableau1[NUMERO], 0), 3)</f>
        <v/>
      </c>
      <c r="D1080">
        <f>INDEX(Tableau1[], MATCH(Tableau3[[#This Row],[REFERENCE]], Tableau1[NUMERO], 0),4)</f>
        <v/>
      </c>
      <c r="E1080">
        <f>INDEX(Tableau1[], MATCH(Tableau3[[#This Row],[REFERENCE]], Tableau1[NUMERO], 0), 5)</f>
        <v/>
      </c>
      <c r="H1080" t="inlineStr">
        <is>
          <t>saunier</t>
        </is>
      </c>
      <c r="J1080" s="2" t="inlineStr">
        <is>
          <t>30/09/2020 par Ivan</t>
        </is>
      </c>
      <c r="K1080" s="2" t="n">
        <v>44106</v>
      </c>
      <c r="L1080" s="2" t="n"/>
      <c r="N1080" s="35" t="n">
        <v>16</v>
      </c>
      <c r="O1080" s="7" t="n">
        <v>5.4</v>
      </c>
      <c r="P1080" s="8" t="n"/>
      <c r="Q1080" s="2" t="n">
        <v>44167</v>
      </c>
    </row>
    <row r="1081">
      <c r="A1081" s="8" t="inlineStr">
        <is>
          <t>21699RAL3014</t>
        </is>
      </c>
      <c r="B1081" s="2">
        <f>INDEX(Tableau1[], MATCH(Tableau3[[#This Row],[REFERENCE]], Tableau1[NUMERO], 0), 2)</f>
        <v/>
      </c>
      <c r="C1081">
        <f>INDEX(Tableau1[], MATCH(Tableau3[[#This Row],[REFERENCE]], Tableau1[NUMERO], 0), 3)</f>
        <v/>
      </c>
      <c r="D1081">
        <f>INDEX(Tableau1[], MATCH(Tableau3[[#This Row],[REFERENCE]], Tableau1[NUMERO], 0),4)</f>
        <v/>
      </c>
      <c r="E1081">
        <f>INDEX(Tableau1[], MATCH(Tableau3[[#This Row],[REFERENCE]], Tableau1[NUMERO], 0), 5)</f>
        <v/>
      </c>
      <c r="H1081" t="inlineStr">
        <is>
          <t>saunier</t>
        </is>
      </c>
      <c r="J1081" s="2" t="inlineStr">
        <is>
          <t>30/09/2020 par Ivan</t>
        </is>
      </c>
      <c r="K1081" s="2" t="n">
        <v>44106</v>
      </c>
      <c r="L1081" s="2" t="n"/>
      <c r="N1081" s="35" t="n">
        <v>20</v>
      </c>
      <c r="O1081" s="7" t="n">
        <v>4.32</v>
      </c>
      <c r="P1081" s="8" t="n"/>
      <c r="Q1081" s="2" t="n">
        <v>44167</v>
      </c>
    </row>
    <row r="1082" ht="15.75" customFormat="1" customHeight="1" s="58" thickBot="1">
      <c r="A1082" s="56" t="inlineStr">
        <is>
          <t>22375RAL3014</t>
        </is>
      </c>
      <c r="B1082" s="57">
        <f>INDEX(Tableau1[], MATCH(Tableau3[[#This Row],[REFERENCE]], Tableau1[NUMERO], 0), 2)</f>
        <v/>
      </c>
      <c r="C1082" s="58">
        <f>INDEX(Tableau1[], MATCH(Tableau3[[#This Row],[REFERENCE]], Tableau1[NUMERO], 0), 3)</f>
        <v/>
      </c>
      <c r="D1082" s="58">
        <f>INDEX(Tableau1[], MATCH(Tableau3[[#This Row],[REFERENCE]], Tableau1[NUMERO], 0),4)</f>
        <v/>
      </c>
      <c r="E1082" s="58">
        <f>INDEX(Tableau1[], MATCH(Tableau3[[#This Row],[REFERENCE]], Tableau1[NUMERO], 0), 5)</f>
        <v/>
      </c>
      <c r="H1082" s="58" t="inlineStr">
        <is>
          <t>saunier</t>
        </is>
      </c>
      <c r="I1082" s="56" t="n"/>
      <c r="J1082" s="57" t="inlineStr">
        <is>
          <t>30/09/2020 par Ivan</t>
        </is>
      </c>
      <c r="K1082" s="57" t="n">
        <v>44106</v>
      </c>
      <c r="L1082" s="57" t="n"/>
      <c r="M1082" s="59" t="n"/>
      <c r="N1082" s="60" t="n">
        <v>4</v>
      </c>
      <c r="O1082" s="61" t="n">
        <v>21.6</v>
      </c>
      <c r="P1082" s="56" t="n"/>
      <c r="Q1082" s="57" t="n">
        <v>44167</v>
      </c>
    </row>
    <row r="1083" ht="16.5" customFormat="1" customHeight="1" s="80" thickBot="1" thickTop="1">
      <c r="A1083" s="78" t="n">
        <v>34408800</v>
      </c>
      <c r="B1083" s="79">
        <f>INDEX(Tableau1[], MATCH(Tableau3[[#This Row],[REFERENCE]], Tableau1[NUMERO], 0), 2)</f>
        <v/>
      </c>
      <c r="C1083" s="80">
        <f>INDEX(Tableau1[], MATCH(Tableau3[[#This Row],[REFERENCE]], Tableau1[NUMERO], 0), 3)</f>
        <v/>
      </c>
      <c r="D1083" s="80">
        <f>INDEX(Tableau1[], MATCH(Tableau3[[#This Row],[REFERENCE]], Tableau1[NUMERO], 0),4)</f>
        <v/>
      </c>
      <c r="E1083" s="80">
        <f>INDEX(Tableau1[], MATCH(Tableau3[[#This Row],[REFERENCE]], Tableau1[NUMERO], 0), 5)</f>
        <v/>
      </c>
      <c r="H1083" s="80" t="inlineStr">
        <is>
          <t>comatel</t>
        </is>
      </c>
      <c r="I1083" s="78" t="n"/>
      <c r="J1083" s="79" t="n">
        <v>44106</v>
      </c>
      <c r="K1083" s="99" t="n">
        <v>44110</v>
      </c>
      <c r="L1083" s="99" t="n"/>
      <c r="M1083" s="81" t="n"/>
      <c r="N1083" s="82" t="n">
        <v>1</v>
      </c>
      <c r="O1083" s="83" t="n">
        <v>56.47</v>
      </c>
      <c r="P1083" s="78" t="inlineStr">
        <is>
          <t>2 semaines</t>
        </is>
      </c>
      <c r="Q1083" s="79" t="n">
        <v>44202</v>
      </c>
    </row>
    <row r="1084" ht="30.75" customHeight="1" s="142" thickTop="1">
      <c r="A1084" s="8" t="n">
        <v>34408756</v>
      </c>
      <c r="B1084" s="2">
        <f>INDEX(Tableau1[], MATCH(Tableau3[[#This Row],[REFERENCE]], Tableau1[NUMERO], 0), 2)</f>
        <v/>
      </c>
      <c r="C1084">
        <f>INDEX(Tableau1[], MATCH(Tableau3[[#This Row],[REFERENCE]], Tableau1[NUMERO], 0), 3)</f>
        <v/>
      </c>
      <c r="D1084">
        <f>INDEX(Tableau1[], MATCH(Tableau3[[#This Row],[REFERENCE]], Tableau1[NUMERO], 0),4)</f>
        <v/>
      </c>
      <c r="E1084">
        <f>INDEX(Tableau1[], MATCH(Tableau3[[#This Row],[REFERENCE]], Tableau1[NUMERO], 0), 5)</f>
        <v/>
      </c>
      <c r="H1084" t="inlineStr">
        <is>
          <t>lasertechnic</t>
        </is>
      </c>
      <c r="J1084" s="2" t="inlineStr">
        <is>
          <t>02/10/2020 relancé le 07/10</t>
        </is>
      </c>
      <c r="K1084" s="12" t="inlineStr">
        <is>
          <t>pas de réponse mais choix sur TCS par angélique</t>
        </is>
      </c>
      <c r="L1084" s="2" t="n"/>
      <c r="M1084" s="21" t="inlineStr">
        <is>
          <t>01</t>
        </is>
      </c>
      <c r="N1084" s="35" t="n">
        <v>2</v>
      </c>
      <c r="P1084" s="8" t="n"/>
      <c r="Q1084" s="2" t="n"/>
    </row>
    <row r="1085" ht="30" customHeight="1" s="142">
      <c r="A1085" s="8" t="n">
        <v>34408784</v>
      </c>
      <c r="B1085" s="2">
        <f>INDEX(Tableau1[], MATCH(Tableau3[[#This Row],[REFERENCE]], Tableau1[NUMERO], 0), 2)</f>
        <v/>
      </c>
      <c r="C1085">
        <f>INDEX(Tableau1[], MATCH(Tableau3[[#This Row],[REFERENCE]], Tableau1[NUMERO], 0), 3)</f>
        <v/>
      </c>
      <c r="D1085">
        <f>INDEX(Tableau1[], MATCH(Tableau3[[#This Row],[REFERENCE]], Tableau1[NUMERO], 0),4)</f>
        <v/>
      </c>
      <c r="E1085">
        <f>INDEX(Tableau1[], MATCH(Tableau3[[#This Row],[REFERENCE]], Tableau1[NUMERO], 0), 5)</f>
        <v/>
      </c>
      <c r="H1085" t="inlineStr">
        <is>
          <t>lasertechnic</t>
        </is>
      </c>
      <c r="J1085" s="2" t="inlineStr">
        <is>
          <t>02/10/2020 relancé le 07/10</t>
        </is>
      </c>
      <c r="K1085" s="12" t="inlineStr">
        <is>
          <t>pas de réponse mais choix sur TCS par angélique</t>
        </is>
      </c>
      <c r="L1085" s="2" t="n"/>
      <c r="M1085" s="21" t="inlineStr">
        <is>
          <t>01</t>
        </is>
      </c>
      <c r="N1085" s="35" t="n">
        <v>1</v>
      </c>
      <c r="P1085" s="8" t="n"/>
      <c r="Q1085" s="2" t="n"/>
    </row>
    <row r="1086" ht="30" customHeight="1" s="142">
      <c r="A1086" s="8" t="n">
        <v>34408797</v>
      </c>
      <c r="B1086" s="2">
        <f>INDEX(Tableau1[], MATCH(Tableau3[[#This Row],[REFERENCE]], Tableau1[NUMERO], 0), 2)</f>
        <v/>
      </c>
      <c r="C1086">
        <f>INDEX(Tableau1[], MATCH(Tableau3[[#This Row],[REFERENCE]], Tableau1[NUMERO], 0), 3)</f>
        <v/>
      </c>
      <c r="D1086">
        <f>INDEX(Tableau1[], MATCH(Tableau3[[#This Row],[REFERENCE]], Tableau1[NUMERO], 0),4)</f>
        <v/>
      </c>
      <c r="E1086">
        <f>INDEX(Tableau1[], MATCH(Tableau3[[#This Row],[REFERENCE]], Tableau1[NUMERO], 0), 5)</f>
        <v/>
      </c>
      <c r="H1086" t="inlineStr">
        <is>
          <t>lasertechnic</t>
        </is>
      </c>
      <c r="J1086" s="2" t="inlineStr">
        <is>
          <t>02/10/2020 relancé le 07/10</t>
        </is>
      </c>
      <c r="K1086" s="12" t="inlineStr">
        <is>
          <t>pas de réponse mais choix sur TCS par angélique</t>
        </is>
      </c>
      <c r="L1086" s="2" t="n"/>
      <c r="M1086" s="21" t="inlineStr">
        <is>
          <t>01</t>
        </is>
      </c>
      <c r="N1086" s="35" t="n">
        <v>2</v>
      </c>
      <c r="P1086" s="8" t="n"/>
      <c r="Q1086" s="2" t="n"/>
    </row>
    <row r="1087" ht="30" customHeight="1" s="142">
      <c r="A1087" s="8" t="n">
        <v>34408798</v>
      </c>
      <c r="B1087" s="2">
        <f>INDEX(Tableau1[], MATCH(Tableau3[[#This Row],[REFERENCE]], Tableau1[NUMERO], 0), 2)</f>
        <v/>
      </c>
      <c r="C1087">
        <f>INDEX(Tableau1[], MATCH(Tableau3[[#This Row],[REFERENCE]], Tableau1[NUMERO], 0), 3)</f>
        <v/>
      </c>
      <c r="D1087">
        <f>INDEX(Tableau1[], MATCH(Tableau3[[#This Row],[REFERENCE]], Tableau1[NUMERO], 0),4)</f>
        <v/>
      </c>
      <c r="E1087">
        <f>INDEX(Tableau1[], MATCH(Tableau3[[#This Row],[REFERENCE]], Tableau1[NUMERO], 0), 5)</f>
        <v/>
      </c>
      <c r="H1087" t="inlineStr">
        <is>
          <t>lasertechnic</t>
        </is>
      </c>
      <c r="J1087" s="2" t="inlineStr">
        <is>
          <t>02/10/2020 relancé le 07/10</t>
        </is>
      </c>
      <c r="K1087" s="12" t="inlineStr">
        <is>
          <t>pas de réponse mais choix sur TCS par angélique</t>
        </is>
      </c>
      <c r="L1087" s="2" t="n"/>
      <c r="M1087" s="21" t="inlineStr">
        <is>
          <t>01</t>
        </is>
      </c>
      <c r="N1087" s="35" t="n">
        <v>2</v>
      </c>
      <c r="P1087" s="8" t="n"/>
      <c r="Q1087" s="2" t="n"/>
    </row>
    <row r="1088" ht="30" customHeight="1" s="142">
      <c r="A1088" s="8" t="n">
        <v>34408799</v>
      </c>
      <c r="B1088" s="2">
        <f>INDEX(Tableau1[], MATCH(Tableau3[[#This Row],[REFERENCE]], Tableau1[NUMERO], 0), 2)</f>
        <v/>
      </c>
      <c r="C1088">
        <f>INDEX(Tableau1[], MATCH(Tableau3[[#This Row],[REFERENCE]], Tableau1[NUMERO], 0), 3)</f>
        <v/>
      </c>
      <c r="D1088">
        <f>INDEX(Tableau1[], MATCH(Tableau3[[#This Row],[REFERENCE]], Tableau1[NUMERO], 0),4)</f>
        <v/>
      </c>
      <c r="E1088">
        <f>INDEX(Tableau1[], MATCH(Tableau3[[#This Row],[REFERENCE]], Tableau1[NUMERO], 0), 5)</f>
        <v/>
      </c>
      <c r="H1088" t="inlineStr">
        <is>
          <t>lasertechnic</t>
        </is>
      </c>
      <c r="J1088" s="2" t="inlineStr">
        <is>
          <t>02/10/2020 relancé le 07/10</t>
        </is>
      </c>
      <c r="K1088" s="12" t="inlineStr">
        <is>
          <t>pas de réponse mais choix sur TCS par angélique</t>
        </is>
      </c>
      <c r="L1088" s="2" t="n"/>
      <c r="M1088" s="21" t="inlineStr">
        <is>
          <t>01</t>
        </is>
      </c>
      <c r="N1088" s="35" t="n">
        <v>1</v>
      </c>
      <c r="P1088" s="8" t="n"/>
      <c r="Q1088" s="2" t="n"/>
    </row>
    <row r="1089" ht="30.75" customHeight="1" s="142" thickBot="1">
      <c r="A1089" s="8" t="n">
        <v>34408493</v>
      </c>
      <c r="B1089" s="2">
        <f>INDEX(Tableau1[], MATCH(Tableau3[[#This Row],[REFERENCE]], Tableau1[NUMERO], 0), 2)</f>
        <v/>
      </c>
      <c r="C1089">
        <f>INDEX(Tableau1[], MATCH(Tableau3[[#This Row],[REFERENCE]], Tableau1[NUMERO], 0), 3)</f>
        <v/>
      </c>
      <c r="D1089">
        <f>INDEX(Tableau1[], MATCH(Tableau3[[#This Row],[REFERENCE]], Tableau1[NUMERO], 0),4)</f>
        <v/>
      </c>
      <c r="E1089">
        <f>INDEX(Tableau1[], MATCH(Tableau3[[#This Row],[REFERENCE]], Tableau1[NUMERO], 0), 5)</f>
        <v/>
      </c>
      <c r="H1089" t="inlineStr">
        <is>
          <t>lasertechnic</t>
        </is>
      </c>
      <c r="J1089" s="2" t="inlineStr">
        <is>
          <t>02/10/2020 relancé le 07/10</t>
        </is>
      </c>
      <c r="K1089" s="12" t="inlineStr">
        <is>
          <t>pas de réponse mais choix sur TCS par angélique</t>
        </is>
      </c>
      <c r="L1089" s="2" t="n"/>
      <c r="M1089" s="21" t="inlineStr">
        <is>
          <t>02</t>
        </is>
      </c>
      <c r="N1089" s="35" t="n">
        <v>4</v>
      </c>
      <c r="P1089" s="8" t="n"/>
      <c r="Q1089" s="2" t="n"/>
    </row>
    <row r="1090" ht="15.75" customFormat="1" customHeight="1" s="52" thickTop="1">
      <c r="A1090" s="50" t="n">
        <v>34408756</v>
      </c>
      <c r="B1090" s="51">
        <f>INDEX(Tableau1[], MATCH(Tableau3[[#This Row],[REFERENCE]], Tableau1[NUMERO], 0), 2)</f>
        <v/>
      </c>
      <c r="C1090" s="52">
        <f>INDEX(Tableau1[], MATCH(Tableau3[[#This Row],[REFERENCE]], Tableau1[NUMERO], 0), 3)</f>
        <v/>
      </c>
      <c r="D1090" s="52">
        <f>INDEX(Tableau1[], MATCH(Tableau3[[#This Row],[REFERENCE]], Tableau1[NUMERO], 0),4)</f>
        <v/>
      </c>
      <c r="E1090" s="52">
        <f>INDEX(Tableau1[], MATCH(Tableau3[[#This Row],[REFERENCE]], Tableau1[NUMERO], 0), 5)</f>
        <v/>
      </c>
      <c r="H1090" s="52" t="inlineStr">
        <is>
          <t>PAILLET</t>
        </is>
      </c>
      <c r="I1090" s="50" t="n"/>
      <c r="J1090" s="51" t="n">
        <v>44106</v>
      </c>
      <c r="K1090" s="51" t="n">
        <v>44106</v>
      </c>
      <c r="L1090" s="51" t="n"/>
      <c r="M1090" s="53" t="inlineStr">
        <is>
          <t>01</t>
        </is>
      </c>
      <c r="N1090" s="54" t="n">
        <v>2</v>
      </c>
      <c r="O1090" s="55" t="n">
        <v>35.03</v>
      </c>
      <c r="P1090" s="50" t="inlineStr">
        <is>
          <t>15 JOURS</t>
        </is>
      </c>
      <c r="Q1090" s="51" t="n">
        <v>44198</v>
      </c>
    </row>
    <row r="1091">
      <c r="A1091" s="8" t="n">
        <v>34408784</v>
      </c>
      <c r="B1091" s="2">
        <f>INDEX(Tableau1[], MATCH(Tableau3[[#This Row],[REFERENCE]], Tableau1[NUMERO], 0), 2)</f>
        <v/>
      </c>
      <c r="C1091">
        <f>INDEX(Tableau1[], MATCH(Tableau3[[#This Row],[REFERENCE]], Tableau1[NUMERO], 0), 3)</f>
        <v/>
      </c>
      <c r="D1091">
        <f>INDEX(Tableau1[], MATCH(Tableau3[[#This Row],[REFERENCE]], Tableau1[NUMERO], 0),4)</f>
        <v/>
      </c>
      <c r="E1091">
        <f>INDEX(Tableau1[], MATCH(Tableau3[[#This Row],[REFERENCE]], Tableau1[NUMERO], 0), 5)</f>
        <v/>
      </c>
      <c r="H1091" t="inlineStr">
        <is>
          <t>PAILLET</t>
        </is>
      </c>
      <c r="J1091" s="2" t="n">
        <v>44106</v>
      </c>
      <c r="K1091" s="2" t="n">
        <v>44106</v>
      </c>
      <c r="L1091" s="2" t="n"/>
      <c r="M1091" s="21" t="inlineStr">
        <is>
          <t>01</t>
        </is>
      </c>
      <c r="N1091" s="35" t="n">
        <v>1</v>
      </c>
      <c r="O1091" s="7" t="n">
        <v>78.06</v>
      </c>
      <c r="P1091" s="8" t="inlineStr">
        <is>
          <t>15 JOURS</t>
        </is>
      </c>
      <c r="Q1091" s="2" t="n">
        <v>44198</v>
      </c>
    </row>
    <row r="1092">
      <c r="A1092" s="8" t="n">
        <v>34408797</v>
      </c>
      <c r="B1092" s="2">
        <f>INDEX(Tableau1[], MATCH(Tableau3[[#This Row],[REFERENCE]], Tableau1[NUMERO], 0), 2)</f>
        <v/>
      </c>
      <c r="C1092">
        <f>INDEX(Tableau1[], MATCH(Tableau3[[#This Row],[REFERENCE]], Tableau1[NUMERO], 0), 3)</f>
        <v/>
      </c>
      <c r="D1092">
        <f>INDEX(Tableau1[], MATCH(Tableau3[[#This Row],[REFERENCE]], Tableau1[NUMERO], 0),4)</f>
        <v/>
      </c>
      <c r="E1092">
        <f>INDEX(Tableau1[], MATCH(Tableau3[[#This Row],[REFERENCE]], Tableau1[NUMERO], 0), 5)</f>
        <v/>
      </c>
      <c r="H1092" t="inlineStr">
        <is>
          <t>PAILLET</t>
        </is>
      </c>
      <c r="J1092" s="2" t="n">
        <v>44106</v>
      </c>
      <c r="K1092" s="2" t="n">
        <v>44106</v>
      </c>
      <c r="L1092" s="2" t="n"/>
      <c r="M1092" s="21" t="inlineStr">
        <is>
          <t>01</t>
        </is>
      </c>
      <c r="N1092" s="35" t="n">
        <v>2</v>
      </c>
      <c r="O1092" s="7" t="n">
        <v>30.48</v>
      </c>
      <c r="P1092" s="8" t="inlineStr">
        <is>
          <t>15 JOURS</t>
        </is>
      </c>
      <c r="Q1092" s="2" t="n">
        <v>44198</v>
      </c>
    </row>
    <row r="1093">
      <c r="A1093" s="8" t="n">
        <v>34408798</v>
      </c>
      <c r="B1093" s="2">
        <f>INDEX(Tableau1[], MATCH(Tableau3[[#This Row],[REFERENCE]], Tableau1[NUMERO], 0), 2)</f>
        <v/>
      </c>
      <c r="C1093">
        <f>INDEX(Tableau1[], MATCH(Tableau3[[#This Row],[REFERENCE]], Tableau1[NUMERO], 0), 3)</f>
        <v/>
      </c>
      <c r="D1093">
        <f>INDEX(Tableau1[], MATCH(Tableau3[[#This Row],[REFERENCE]], Tableau1[NUMERO], 0),4)</f>
        <v/>
      </c>
      <c r="E1093">
        <f>INDEX(Tableau1[], MATCH(Tableau3[[#This Row],[REFERENCE]], Tableau1[NUMERO], 0), 5)</f>
        <v/>
      </c>
      <c r="H1093" t="inlineStr">
        <is>
          <t>PAILLET</t>
        </is>
      </c>
      <c r="J1093" s="2" t="n">
        <v>44106</v>
      </c>
      <c r="K1093" s="2" t="n">
        <v>44106</v>
      </c>
      <c r="L1093" s="2" t="n"/>
      <c r="M1093" s="21" t="inlineStr">
        <is>
          <t>01</t>
        </is>
      </c>
      <c r="N1093" s="35" t="n">
        <v>2</v>
      </c>
      <c r="O1093" s="7" t="n">
        <v>36.31</v>
      </c>
      <c r="P1093" s="8" t="inlineStr">
        <is>
          <t>15 JOURS</t>
        </is>
      </c>
      <c r="Q1093" s="2" t="n">
        <v>44198</v>
      </c>
    </row>
    <row r="1094">
      <c r="A1094" s="8" t="n">
        <v>34408799</v>
      </c>
      <c r="B1094" s="2">
        <f>INDEX(Tableau1[], MATCH(Tableau3[[#This Row],[REFERENCE]], Tableau1[NUMERO], 0), 2)</f>
        <v/>
      </c>
      <c r="C1094">
        <f>INDEX(Tableau1[], MATCH(Tableau3[[#This Row],[REFERENCE]], Tableau1[NUMERO], 0), 3)</f>
        <v/>
      </c>
      <c r="D1094">
        <f>INDEX(Tableau1[], MATCH(Tableau3[[#This Row],[REFERENCE]], Tableau1[NUMERO], 0),4)</f>
        <v/>
      </c>
      <c r="E1094">
        <f>INDEX(Tableau1[], MATCH(Tableau3[[#This Row],[REFERENCE]], Tableau1[NUMERO], 0), 5)</f>
        <v/>
      </c>
      <c r="H1094" t="inlineStr">
        <is>
          <t>PAILLET</t>
        </is>
      </c>
      <c r="J1094" s="2" t="n">
        <v>44106</v>
      </c>
      <c r="K1094" s="2" t="n">
        <v>44106</v>
      </c>
      <c r="L1094" s="2" t="n"/>
      <c r="M1094" s="21" t="inlineStr">
        <is>
          <t>01</t>
        </is>
      </c>
      <c r="N1094" s="35" t="n">
        <v>1</v>
      </c>
      <c r="O1094" s="7" t="n">
        <v>108.18</v>
      </c>
      <c r="P1094" s="8" t="inlineStr">
        <is>
          <t>15 JOURS</t>
        </is>
      </c>
      <c r="Q1094" s="2" t="n">
        <v>44198</v>
      </c>
    </row>
    <row r="1095" ht="15.75" customFormat="1" customHeight="1" s="58" thickBot="1">
      <c r="A1095" s="56" t="n">
        <v>34408493</v>
      </c>
      <c r="B1095" s="57">
        <f>INDEX(Tableau1[], MATCH(Tableau3[[#This Row],[REFERENCE]], Tableau1[NUMERO], 0), 2)</f>
        <v/>
      </c>
      <c r="C1095" s="58">
        <f>INDEX(Tableau1[], MATCH(Tableau3[[#This Row],[REFERENCE]], Tableau1[NUMERO], 0), 3)</f>
        <v/>
      </c>
      <c r="D1095" s="58">
        <f>INDEX(Tableau1[], MATCH(Tableau3[[#This Row],[REFERENCE]], Tableau1[NUMERO], 0),4)</f>
        <v/>
      </c>
      <c r="E1095" s="58">
        <f>INDEX(Tableau1[], MATCH(Tableau3[[#This Row],[REFERENCE]], Tableau1[NUMERO], 0), 5)</f>
        <v/>
      </c>
      <c r="H1095" s="58" t="inlineStr">
        <is>
          <t>PAILLET</t>
        </is>
      </c>
      <c r="I1095" s="56" t="n"/>
      <c r="J1095" s="57" t="n">
        <v>44106</v>
      </c>
      <c r="K1095" s="57" t="n">
        <v>44106</v>
      </c>
      <c r="L1095" s="57" t="n"/>
      <c r="M1095" s="59" t="inlineStr">
        <is>
          <t>02</t>
        </is>
      </c>
      <c r="N1095" s="60" t="n">
        <v>4</v>
      </c>
      <c r="O1095" s="61" t="n">
        <v>25.61</v>
      </c>
      <c r="P1095" s="56" t="inlineStr">
        <is>
          <t>15 JOURS</t>
        </is>
      </c>
      <c r="Q1095" s="57" t="n">
        <v>44198</v>
      </c>
    </row>
    <row r="1096" ht="15.75" customHeight="1" s="142" thickTop="1">
      <c r="A1096" s="8" t="n">
        <v>34408756</v>
      </c>
      <c r="B1096" s="2">
        <f>INDEX(Tableau1[], MATCH(Tableau3[[#This Row],[REFERENCE]], Tableau1[NUMERO], 0), 2)</f>
        <v/>
      </c>
      <c r="C1096">
        <f>INDEX(Tableau1[], MATCH(Tableau3[[#This Row],[REFERENCE]], Tableau1[NUMERO], 0), 3)</f>
        <v/>
      </c>
      <c r="D1096">
        <f>INDEX(Tableau1[], MATCH(Tableau3[[#This Row],[REFERENCE]], Tableau1[NUMERO], 0),4)</f>
        <v/>
      </c>
      <c r="E1096">
        <f>INDEX(Tableau1[], MATCH(Tableau3[[#This Row],[REFERENCE]], Tableau1[NUMERO], 0), 5)</f>
        <v/>
      </c>
      <c r="H1096" t="inlineStr">
        <is>
          <t>TCS</t>
        </is>
      </c>
      <c r="J1096" s="2" t="n">
        <v>44106</v>
      </c>
      <c r="K1096" s="2" t="n">
        <v>44110</v>
      </c>
      <c r="L1096" s="2" t="n"/>
      <c r="M1096" s="21" t="inlineStr">
        <is>
          <t>01</t>
        </is>
      </c>
      <c r="N1096" s="35" t="n">
        <v>2</v>
      </c>
      <c r="O1096" s="7" t="n">
        <v>26</v>
      </c>
      <c r="P1096" s="8" t="inlineStr">
        <is>
          <t>2 SEMAINES ET DEMI</t>
        </is>
      </c>
      <c r="Q1096" s="2" t="n">
        <v>44196</v>
      </c>
    </row>
    <row r="1097">
      <c r="A1097" s="8" t="n">
        <v>34408784</v>
      </c>
      <c r="B1097" s="2">
        <f>INDEX(Tableau1[], MATCH(Tableau3[[#This Row],[REFERENCE]], Tableau1[NUMERO], 0), 2)</f>
        <v/>
      </c>
      <c r="C1097">
        <f>INDEX(Tableau1[], MATCH(Tableau3[[#This Row],[REFERENCE]], Tableau1[NUMERO], 0), 3)</f>
        <v/>
      </c>
      <c r="D1097">
        <f>INDEX(Tableau1[], MATCH(Tableau3[[#This Row],[REFERENCE]], Tableau1[NUMERO], 0),4)</f>
        <v/>
      </c>
      <c r="E1097">
        <f>INDEX(Tableau1[], MATCH(Tableau3[[#This Row],[REFERENCE]], Tableau1[NUMERO], 0), 5)</f>
        <v/>
      </c>
      <c r="H1097" t="inlineStr">
        <is>
          <t>TCS</t>
        </is>
      </c>
      <c r="J1097" s="2" t="n">
        <v>44106</v>
      </c>
      <c r="K1097" s="2" t="n">
        <v>44110</v>
      </c>
      <c r="L1097" s="2" t="n"/>
      <c r="M1097" s="21" t="inlineStr">
        <is>
          <t>01</t>
        </is>
      </c>
      <c r="N1097" s="35" t="n">
        <v>1</v>
      </c>
      <c r="O1097" s="7" t="n">
        <v>49</v>
      </c>
      <c r="P1097" s="8" t="inlineStr">
        <is>
          <t>2 SEMAINES ET DEMI</t>
        </is>
      </c>
      <c r="Q1097" s="2" t="n">
        <v>44196</v>
      </c>
    </row>
    <row r="1098">
      <c r="A1098" s="8" t="n">
        <v>34408797</v>
      </c>
      <c r="B1098" s="2">
        <f>INDEX(Tableau1[], MATCH(Tableau3[[#This Row],[REFERENCE]], Tableau1[NUMERO], 0), 2)</f>
        <v/>
      </c>
      <c r="C1098">
        <f>INDEX(Tableau1[], MATCH(Tableau3[[#This Row],[REFERENCE]], Tableau1[NUMERO], 0), 3)</f>
        <v/>
      </c>
      <c r="D1098">
        <f>INDEX(Tableau1[], MATCH(Tableau3[[#This Row],[REFERENCE]], Tableau1[NUMERO], 0),4)</f>
        <v/>
      </c>
      <c r="E1098">
        <f>INDEX(Tableau1[], MATCH(Tableau3[[#This Row],[REFERENCE]], Tableau1[NUMERO], 0), 5)</f>
        <v/>
      </c>
      <c r="H1098" t="inlineStr">
        <is>
          <t>TCS</t>
        </is>
      </c>
      <c r="J1098" s="2" t="n">
        <v>44106</v>
      </c>
      <c r="K1098" s="2" t="n">
        <v>44110</v>
      </c>
      <c r="L1098" s="2" t="n"/>
      <c r="M1098" s="21" t="inlineStr">
        <is>
          <t>01</t>
        </is>
      </c>
      <c r="N1098" s="35" t="n">
        <v>2</v>
      </c>
      <c r="O1098" s="7" t="n">
        <v>28</v>
      </c>
      <c r="P1098" s="8" t="inlineStr">
        <is>
          <t>2 SEMAINES ET DEMI</t>
        </is>
      </c>
      <c r="Q1098" s="2" t="n">
        <v>44196</v>
      </c>
    </row>
    <row r="1099">
      <c r="A1099" s="8" t="n">
        <v>34408798</v>
      </c>
      <c r="B1099" s="2">
        <f>INDEX(Tableau1[], MATCH(Tableau3[[#This Row],[REFERENCE]], Tableau1[NUMERO], 0), 2)</f>
        <v/>
      </c>
      <c r="C1099">
        <f>INDEX(Tableau1[], MATCH(Tableau3[[#This Row],[REFERENCE]], Tableau1[NUMERO], 0), 3)</f>
        <v/>
      </c>
      <c r="D1099">
        <f>INDEX(Tableau1[], MATCH(Tableau3[[#This Row],[REFERENCE]], Tableau1[NUMERO], 0),4)</f>
        <v/>
      </c>
      <c r="E1099">
        <f>INDEX(Tableau1[], MATCH(Tableau3[[#This Row],[REFERENCE]], Tableau1[NUMERO], 0), 5)</f>
        <v/>
      </c>
      <c r="H1099" t="inlineStr">
        <is>
          <t>TCS</t>
        </is>
      </c>
      <c r="J1099" s="2" t="n">
        <v>44106</v>
      </c>
      <c r="K1099" s="2" t="n">
        <v>44110</v>
      </c>
      <c r="L1099" s="2" t="n"/>
      <c r="M1099" s="21" t="inlineStr">
        <is>
          <t>01</t>
        </is>
      </c>
      <c r="N1099" s="35" t="n">
        <v>2</v>
      </c>
      <c r="O1099" s="7" t="n">
        <v>28</v>
      </c>
      <c r="P1099" s="8" t="inlineStr">
        <is>
          <t>2 SEMAINES ET DEMI</t>
        </is>
      </c>
      <c r="Q1099" s="2" t="n">
        <v>44196</v>
      </c>
    </row>
    <row r="1100">
      <c r="A1100" s="8" t="n">
        <v>34408799</v>
      </c>
      <c r="B1100" s="2">
        <f>INDEX(Tableau1[], MATCH(Tableau3[[#This Row],[REFERENCE]], Tableau1[NUMERO], 0), 2)</f>
        <v/>
      </c>
      <c r="C1100">
        <f>INDEX(Tableau1[], MATCH(Tableau3[[#This Row],[REFERENCE]], Tableau1[NUMERO], 0), 3)</f>
        <v/>
      </c>
      <c r="D1100">
        <f>INDEX(Tableau1[], MATCH(Tableau3[[#This Row],[REFERENCE]], Tableau1[NUMERO], 0),4)</f>
        <v/>
      </c>
      <c r="E1100">
        <f>INDEX(Tableau1[], MATCH(Tableau3[[#This Row],[REFERENCE]], Tableau1[NUMERO], 0), 5)</f>
        <v/>
      </c>
      <c r="H1100" t="inlineStr">
        <is>
          <t>TCS</t>
        </is>
      </c>
      <c r="J1100" s="2" t="n">
        <v>44106</v>
      </c>
      <c r="K1100" s="2" t="n">
        <v>44110</v>
      </c>
      <c r="L1100" s="2" t="n"/>
      <c r="M1100" s="21" t="inlineStr">
        <is>
          <t>01</t>
        </is>
      </c>
      <c r="N1100" s="35" t="n">
        <v>1</v>
      </c>
      <c r="O1100" s="7" t="n">
        <v>77</v>
      </c>
      <c r="P1100" s="8" t="inlineStr">
        <is>
          <t>2 SEMAINES ET DEMI</t>
        </is>
      </c>
      <c r="Q1100" s="2" t="n">
        <v>44196</v>
      </c>
    </row>
    <row r="1101" ht="15.75" customHeight="1" s="142" thickBot="1">
      <c r="A1101" s="8" t="n">
        <v>34408493</v>
      </c>
      <c r="B1101" s="2">
        <f>INDEX(Tableau1[], MATCH(Tableau3[[#This Row],[REFERENCE]], Tableau1[NUMERO], 0), 2)</f>
        <v/>
      </c>
      <c r="C1101">
        <f>INDEX(Tableau1[], MATCH(Tableau3[[#This Row],[REFERENCE]], Tableau1[NUMERO], 0), 3)</f>
        <v/>
      </c>
      <c r="D1101">
        <f>INDEX(Tableau1[], MATCH(Tableau3[[#This Row],[REFERENCE]], Tableau1[NUMERO], 0),4)</f>
        <v/>
      </c>
      <c r="E1101">
        <f>INDEX(Tableau1[], MATCH(Tableau3[[#This Row],[REFERENCE]], Tableau1[NUMERO], 0), 5)</f>
        <v/>
      </c>
      <c r="H1101" t="inlineStr">
        <is>
          <t>TCS</t>
        </is>
      </c>
      <c r="J1101" s="2" t="n">
        <v>44106</v>
      </c>
      <c r="K1101" s="2" t="n">
        <v>44110</v>
      </c>
      <c r="L1101" s="2" t="n"/>
      <c r="M1101" s="21" t="inlineStr">
        <is>
          <t>02</t>
        </is>
      </c>
      <c r="N1101" s="35" t="n">
        <v>4</v>
      </c>
      <c r="O1101" s="7" t="n">
        <v>24</v>
      </c>
      <c r="P1101" s="8" t="inlineStr">
        <is>
          <t>2 SEMAINES ET DEMI</t>
        </is>
      </c>
      <c r="Q1101" s="2" t="n">
        <v>44196</v>
      </c>
    </row>
    <row r="1102" ht="15.75" customFormat="1" customHeight="1" s="52" thickTop="1">
      <c r="A1102" s="50" t="n">
        <v>34408756</v>
      </c>
      <c r="B1102" s="51">
        <f>INDEX(Tableau1[], MATCH(Tableau3[[#This Row],[REFERENCE]], Tableau1[NUMERO], 0), 2)</f>
        <v/>
      </c>
      <c r="C1102" s="52">
        <f>INDEX(Tableau1[], MATCH(Tableau3[[#This Row],[REFERENCE]], Tableau1[NUMERO], 0), 3)</f>
        <v/>
      </c>
      <c r="D1102" s="52">
        <f>INDEX(Tableau1[], MATCH(Tableau3[[#This Row],[REFERENCE]], Tableau1[NUMERO], 0),4)</f>
        <v/>
      </c>
      <c r="E1102" s="52">
        <f>INDEX(Tableau1[], MATCH(Tableau3[[#This Row],[REFERENCE]], Tableau1[NUMERO], 0), 5)</f>
        <v/>
      </c>
      <c r="H1102" s="52" t="inlineStr">
        <is>
          <t>Romaire</t>
        </is>
      </c>
      <c r="I1102" s="50" t="n"/>
      <c r="J1102" s="51" t="inlineStr">
        <is>
          <t>02/10/2020 relancé le 07/10</t>
        </is>
      </c>
      <c r="K1102" s="51" t="n">
        <v>44112</v>
      </c>
      <c r="L1102" s="51" t="n"/>
      <c r="M1102" s="53" t="inlineStr">
        <is>
          <t>01</t>
        </is>
      </c>
      <c r="N1102" s="54" t="n">
        <v>2</v>
      </c>
      <c r="O1102" s="55" t="n">
        <v>87</v>
      </c>
      <c r="P1102" s="50" t="n"/>
      <c r="Q1102" s="51" t="n"/>
    </row>
    <row r="1103">
      <c r="A1103" s="8" t="n">
        <v>34408784</v>
      </c>
      <c r="B1103" s="2">
        <f>INDEX(Tableau1[], MATCH(Tableau3[[#This Row],[REFERENCE]], Tableau1[NUMERO], 0), 2)</f>
        <v/>
      </c>
      <c r="C1103">
        <f>INDEX(Tableau1[], MATCH(Tableau3[[#This Row],[REFERENCE]], Tableau1[NUMERO], 0), 3)</f>
        <v/>
      </c>
      <c r="D1103">
        <f>INDEX(Tableau1[], MATCH(Tableau3[[#This Row],[REFERENCE]], Tableau1[NUMERO], 0),4)</f>
        <v/>
      </c>
      <c r="E1103">
        <f>INDEX(Tableau1[], MATCH(Tableau3[[#This Row],[REFERENCE]], Tableau1[NUMERO], 0), 5)</f>
        <v/>
      </c>
      <c r="H1103" t="inlineStr">
        <is>
          <t>Romaire</t>
        </is>
      </c>
      <c r="J1103" s="2" t="inlineStr">
        <is>
          <t>02/10/2020 relancé le 07/10</t>
        </is>
      </c>
      <c r="K1103" s="2" t="n">
        <v>44112</v>
      </c>
      <c r="L1103" s="2" t="n"/>
      <c r="M1103" s="21" t="inlineStr">
        <is>
          <t>01</t>
        </is>
      </c>
      <c r="N1103" s="35" t="n">
        <v>1</v>
      </c>
      <c r="O1103" s="7" t="n">
        <v>180</v>
      </c>
      <c r="P1103" s="8" t="n"/>
      <c r="Q1103" s="2" t="n"/>
    </row>
    <row r="1104">
      <c r="A1104" s="8" t="n">
        <v>34408797</v>
      </c>
      <c r="B1104" s="2">
        <f>INDEX(Tableau1[], MATCH(Tableau3[[#This Row],[REFERENCE]], Tableau1[NUMERO], 0), 2)</f>
        <v/>
      </c>
      <c r="C1104">
        <f>INDEX(Tableau1[], MATCH(Tableau3[[#This Row],[REFERENCE]], Tableau1[NUMERO], 0), 3)</f>
        <v/>
      </c>
      <c r="D1104">
        <f>INDEX(Tableau1[], MATCH(Tableau3[[#This Row],[REFERENCE]], Tableau1[NUMERO], 0),4)</f>
        <v/>
      </c>
      <c r="E1104">
        <f>INDEX(Tableau1[], MATCH(Tableau3[[#This Row],[REFERENCE]], Tableau1[NUMERO], 0), 5)</f>
        <v/>
      </c>
      <c r="H1104" t="inlineStr">
        <is>
          <t>Romaire</t>
        </is>
      </c>
      <c r="J1104" s="2" t="inlineStr">
        <is>
          <t>02/10/2020 relancé le 07/10</t>
        </is>
      </c>
      <c r="K1104" s="2" t="n">
        <v>44112</v>
      </c>
      <c r="L1104" s="2" t="n"/>
      <c r="M1104" s="21" t="inlineStr">
        <is>
          <t>01</t>
        </is>
      </c>
      <c r="N1104" s="35" t="n">
        <v>2</v>
      </c>
      <c r="O1104" s="7" t="n">
        <v>55</v>
      </c>
      <c r="P1104" s="8" t="n"/>
      <c r="Q1104" s="2" t="n"/>
    </row>
    <row r="1105">
      <c r="A1105" s="8" t="n">
        <v>34408798</v>
      </c>
      <c r="B1105" s="2">
        <f>INDEX(Tableau1[], MATCH(Tableau3[[#This Row],[REFERENCE]], Tableau1[NUMERO], 0), 2)</f>
        <v/>
      </c>
      <c r="C1105">
        <f>INDEX(Tableau1[], MATCH(Tableau3[[#This Row],[REFERENCE]], Tableau1[NUMERO], 0), 3)</f>
        <v/>
      </c>
      <c r="D1105">
        <f>INDEX(Tableau1[], MATCH(Tableau3[[#This Row],[REFERENCE]], Tableau1[NUMERO], 0),4)</f>
        <v/>
      </c>
      <c r="E1105">
        <f>INDEX(Tableau1[], MATCH(Tableau3[[#This Row],[REFERENCE]], Tableau1[NUMERO], 0), 5)</f>
        <v/>
      </c>
      <c r="H1105" t="inlineStr">
        <is>
          <t>Romaire</t>
        </is>
      </c>
      <c r="J1105" s="2" t="inlineStr">
        <is>
          <t>02/10/2020 relancé le 07/10</t>
        </is>
      </c>
      <c r="K1105" s="2" t="n">
        <v>44112</v>
      </c>
      <c r="L1105" s="2" t="n"/>
      <c r="M1105" s="21" t="inlineStr">
        <is>
          <t>01</t>
        </is>
      </c>
      <c r="N1105" s="35" t="n">
        <v>2</v>
      </c>
      <c r="O1105" s="7" t="n">
        <v>55</v>
      </c>
      <c r="P1105" s="8" t="n"/>
      <c r="Q1105" s="2" t="n"/>
    </row>
    <row r="1106">
      <c r="A1106" s="8" t="n">
        <v>34408799</v>
      </c>
      <c r="B1106" s="2">
        <f>INDEX(Tableau1[], MATCH(Tableau3[[#This Row],[REFERENCE]], Tableau1[NUMERO], 0), 2)</f>
        <v/>
      </c>
      <c r="C1106">
        <f>INDEX(Tableau1[], MATCH(Tableau3[[#This Row],[REFERENCE]], Tableau1[NUMERO], 0), 3)</f>
        <v/>
      </c>
      <c r="D1106">
        <f>INDEX(Tableau1[], MATCH(Tableau3[[#This Row],[REFERENCE]], Tableau1[NUMERO], 0),4)</f>
        <v/>
      </c>
      <c r="E1106">
        <f>INDEX(Tableau1[], MATCH(Tableau3[[#This Row],[REFERENCE]], Tableau1[NUMERO], 0), 5)</f>
        <v/>
      </c>
      <c r="H1106" t="inlineStr">
        <is>
          <t>Romaire</t>
        </is>
      </c>
      <c r="J1106" s="2" t="inlineStr">
        <is>
          <t>02/10/2020 relancé le 07/10</t>
        </is>
      </c>
      <c r="K1106" s="2" t="n">
        <v>44112</v>
      </c>
      <c r="L1106" s="2" t="n"/>
      <c r="M1106" s="21" t="inlineStr">
        <is>
          <t>01</t>
        </is>
      </c>
      <c r="N1106" s="35" t="n">
        <v>1</v>
      </c>
      <c r="O1106" s="7" t="n">
        <v>270</v>
      </c>
      <c r="P1106" s="8" t="n"/>
      <c r="Q1106" s="2" t="n"/>
    </row>
    <row r="1107" ht="15.75" customFormat="1" customHeight="1" s="58" thickBot="1">
      <c r="A1107" s="56" t="n">
        <v>34408493</v>
      </c>
      <c r="B1107" s="57">
        <f>INDEX(Tableau1[], MATCH(Tableau3[[#This Row],[REFERENCE]], Tableau1[NUMERO], 0), 2)</f>
        <v/>
      </c>
      <c r="C1107" s="58">
        <f>INDEX(Tableau1[], MATCH(Tableau3[[#This Row],[REFERENCE]], Tableau1[NUMERO], 0), 3)</f>
        <v/>
      </c>
      <c r="D1107" s="58">
        <f>INDEX(Tableau1[], MATCH(Tableau3[[#This Row],[REFERENCE]], Tableau1[NUMERO], 0),4)</f>
        <v/>
      </c>
      <c r="E1107" s="58">
        <f>INDEX(Tableau1[], MATCH(Tableau3[[#This Row],[REFERENCE]], Tableau1[NUMERO], 0), 5)</f>
        <v/>
      </c>
      <c r="H1107" s="58" t="inlineStr">
        <is>
          <t>Romaire</t>
        </is>
      </c>
      <c r="I1107" s="56" t="n"/>
      <c r="J1107" s="57" t="inlineStr">
        <is>
          <t>02/10/2020 relancé le 07/10</t>
        </is>
      </c>
      <c r="K1107" s="2" t="n">
        <v>44112</v>
      </c>
      <c r="L1107" s="57" t="n"/>
      <c r="M1107" s="59" t="inlineStr">
        <is>
          <t>02</t>
        </is>
      </c>
      <c r="N1107" s="60" t="n">
        <v>4</v>
      </c>
      <c r="O1107" s="61" t="n">
        <v>48</v>
      </c>
      <c r="P1107" s="56" t="n"/>
      <c r="Q1107" s="57" t="n"/>
    </row>
    <row r="1108" ht="15.75" customHeight="1" s="142" thickTop="1">
      <c r="A1108" s="8" t="n">
        <v>34407440</v>
      </c>
      <c r="B1108" s="2">
        <f>INDEX(Tableau1[], MATCH(Tableau3[[#This Row],[REFERENCE]], Tableau1[NUMERO], 0), 2)</f>
        <v/>
      </c>
      <c r="C1108">
        <f>INDEX(Tableau1[], MATCH(Tableau3[[#This Row],[REFERENCE]], Tableau1[NUMERO], 0), 3)</f>
        <v/>
      </c>
      <c r="D1108">
        <f>INDEX(Tableau1[], MATCH(Tableau3[[#This Row],[REFERENCE]], Tableau1[NUMERO], 0),4)</f>
        <v/>
      </c>
      <c r="E1108">
        <f>INDEX(Tableau1[], MATCH(Tableau3[[#This Row],[REFERENCE]], Tableau1[NUMERO], 0), 5)</f>
        <v/>
      </c>
      <c r="H1108" t="inlineStr">
        <is>
          <t>trefimetaux</t>
        </is>
      </c>
      <c r="J1108" s="51" t="n">
        <v>44106</v>
      </c>
      <c r="K1108" s="51" t="n">
        <v>44107</v>
      </c>
      <c r="L1108" s="51" t="n"/>
      <c r="M1108" s="21" t="inlineStr">
        <is>
          <t>01</t>
        </is>
      </c>
      <c r="N1108" s="35" t="n">
        <v>4</v>
      </c>
      <c r="O1108" s="7" t="n">
        <v>80</v>
      </c>
      <c r="P1108" s="8" t="inlineStr">
        <is>
          <t>10 jours</t>
        </is>
      </c>
      <c r="Q1108" s="2" t="n">
        <v>44199</v>
      </c>
      <c r="R1108" s="102" t="inlineStr">
        <is>
          <t>Attention proposons en cuivre  et non en aluminium</t>
        </is>
      </c>
    </row>
    <row r="1109" ht="15.75" customHeight="1" s="142" thickBot="1">
      <c r="A1109" s="8" t="n">
        <v>34407441</v>
      </c>
      <c r="B1109" s="2">
        <f>INDEX(Tableau1[], MATCH(Tableau3[[#This Row],[REFERENCE]], Tableau1[NUMERO], 0), 2)</f>
        <v/>
      </c>
      <c r="C1109">
        <f>INDEX(Tableau1[], MATCH(Tableau3[[#This Row],[REFERENCE]], Tableau1[NUMERO], 0), 3)</f>
        <v/>
      </c>
      <c r="D1109">
        <f>INDEX(Tableau1[], MATCH(Tableau3[[#This Row],[REFERENCE]], Tableau1[NUMERO], 0),4)</f>
        <v/>
      </c>
      <c r="E1109">
        <f>INDEX(Tableau1[], MATCH(Tableau3[[#This Row],[REFERENCE]], Tableau1[NUMERO], 0), 5)</f>
        <v/>
      </c>
      <c r="H1109" t="inlineStr">
        <is>
          <t>trefimetaux</t>
        </is>
      </c>
      <c r="J1109" s="2" t="n">
        <v>44106</v>
      </c>
      <c r="K1109" s="2" t="n">
        <v>44107</v>
      </c>
      <c r="L1109" s="2" t="n"/>
      <c r="M1109" s="21" t="inlineStr">
        <is>
          <t>01</t>
        </is>
      </c>
      <c r="N1109" s="35" t="n">
        <v>4</v>
      </c>
      <c r="O1109" s="7" t="n">
        <v>50</v>
      </c>
      <c r="P1109" s="8" t="inlineStr">
        <is>
          <t>10 jours</t>
        </is>
      </c>
      <c r="Q1109" s="2" t="n">
        <v>44199</v>
      </c>
      <c r="R1109" s="102" t="inlineStr">
        <is>
          <t>Attention proposons en cuivre  et non en aluminium</t>
        </is>
      </c>
    </row>
    <row r="1110" ht="15.75" customFormat="1" customHeight="1" s="52" thickTop="1">
      <c r="A1110" s="50" t="n">
        <v>34407440</v>
      </c>
      <c r="B1110" s="51">
        <f>INDEX(Tableau1[], MATCH(Tableau3[[#This Row],[REFERENCE]], Tableau1[NUMERO], 0), 2)</f>
        <v/>
      </c>
      <c r="C1110" s="52">
        <f>INDEX(Tableau1[], MATCH(Tableau3[[#This Row],[REFERENCE]], Tableau1[NUMERO], 0), 3)</f>
        <v/>
      </c>
      <c r="D1110" s="52">
        <f>INDEX(Tableau1[], MATCH(Tableau3[[#This Row],[REFERENCE]], Tableau1[NUMERO], 0),4)</f>
        <v/>
      </c>
      <c r="E1110" s="52">
        <f>INDEX(Tableau1[], MATCH(Tableau3[[#This Row],[REFERENCE]], Tableau1[NUMERO], 0), 5)</f>
        <v/>
      </c>
      <c r="H1110" s="52" t="inlineStr">
        <is>
          <t>thyssen</t>
        </is>
      </c>
      <c r="I1110" s="50" t="n"/>
      <c r="J1110" s="51" t="n">
        <v>44106</v>
      </c>
      <c r="K1110" s="51" t="n">
        <v>44109</v>
      </c>
      <c r="L1110" s="51" t="n"/>
      <c r="M1110" s="53" t="inlineStr">
        <is>
          <t>01</t>
        </is>
      </c>
      <c r="N1110" s="54" t="n">
        <v>4</v>
      </c>
      <c r="O1110" s="55" t="n">
        <v>88.2</v>
      </c>
      <c r="P1110" s="50" t="inlineStr">
        <is>
          <t>3 semaines</t>
        </is>
      </c>
      <c r="Q1110" s="51" t="n">
        <v>44116</v>
      </c>
    </row>
    <row r="1111" ht="15.75" customFormat="1" customHeight="1" s="58" thickBot="1">
      <c r="A1111" s="56" t="n">
        <v>34407441</v>
      </c>
      <c r="B1111" s="57">
        <f>INDEX(Tableau1[], MATCH(Tableau3[[#This Row],[REFERENCE]], Tableau1[NUMERO], 0), 2)</f>
        <v/>
      </c>
      <c r="C1111" s="58">
        <f>INDEX(Tableau1[], MATCH(Tableau3[[#This Row],[REFERENCE]], Tableau1[NUMERO], 0), 3)</f>
        <v/>
      </c>
      <c r="D1111" s="58">
        <f>INDEX(Tableau1[], MATCH(Tableau3[[#This Row],[REFERENCE]], Tableau1[NUMERO], 0),4)</f>
        <v/>
      </c>
      <c r="E1111" s="58">
        <f>INDEX(Tableau1[], MATCH(Tableau3[[#This Row],[REFERENCE]], Tableau1[NUMERO], 0), 5)</f>
        <v/>
      </c>
      <c r="H1111" s="58" t="inlineStr">
        <is>
          <t>thyssen</t>
        </is>
      </c>
      <c r="I1111" s="56" t="n"/>
      <c r="J1111" s="57" t="n">
        <v>44106</v>
      </c>
      <c r="K1111" s="57" t="n">
        <v>44109</v>
      </c>
      <c r="L1111" s="57" t="n"/>
      <c r="M1111" s="59" t="inlineStr">
        <is>
          <t>01</t>
        </is>
      </c>
      <c r="N1111" s="60" t="n">
        <v>4</v>
      </c>
      <c r="O1111" s="61" t="n">
        <v>49</v>
      </c>
      <c r="P1111" s="56" t="inlineStr">
        <is>
          <t>3 semaines</t>
        </is>
      </c>
      <c r="Q1111" s="57" t="n">
        <v>44116</v>
      </c>
    </row>
    <row r="1112" ht="15.75" customHeight="1" s="142" thickTop="1">
      <c r="A1112" s="8" t="n">
        <v>34408833</v>
      </c>
      <c r="B1112" s="2">
        <f>INDEX(Tableau1[], MATCH(Tableau3[[#This Row],[REFERENCE]], Tableau1[NUMERO], 0), 2)</f>
        <v/>
      </c>
      <c r="C1112">
        <f>INDEX(Tableau1[], MATCH(Tableau3[[#This Row],[REFERENCE]], Tableau1[NUMERO], 0), 3)</f>
        <v/>
      </c>
      <c r="D1112">
        <f>INDEX(Tableau1[], MATCH(Tableau3[[#This Row],[REFERENCE]], Tableau1[NUMERO], 0),4)</f>
        <v/>
      </c>
      <c r="E1112">
        <f>INDEX(Tableau1[], MATCH(Tableau3[[#This Row],[REFERENCE]], Tableau1[NUMERO], 0), 5)</f>
        <v/>
      </c>
      <c r="H1112" t="inlineStr">
        <is>
          <t>lasertechnic</t>
        </is>
      </c>
      <c r="J1112" s="2" t="n">
        <v>44117</v>
      </c>
      <c r="K1112" s="2" t="n">
        <v>44117</v>
      </c>
      <c r="L1112" s="2" t="n"/>
      <c r="M1112" s="21" t="inlineStr">
        <is>
          <t>01</t>
        </is>
      </c>
      <c r="N1112" s="35" t="n">
        <v>2</v>
      </c>
      <c r="O1112" s="7" t="n">
        <v>36</v>
      </c>
      <c r="P1112" s="8" t="inlineStr">
        <is>
          <t>10 jours</t>
        </is>
      </c>
      <c r="Q1112" s="2" t="n">
        <v>44209</v>
      </c>
    </row>
    <row r="1113">
      <c r="A1113" s="8" t="n">
        <v>34408834</v>
      </c>
      <c r="B1113" s="2">
        <f>INDEX(Tableau1[], MATCH(Tableau3[[#This Row],[REFERENCE]], Tableau1[NUMERO], 0), 2)</f>
        <v/>
      </c>
      <c r="C1113">
        <f>INDEX(Tableau1[], MATCH(Tableau3[[#This Row],[REFERENCE]], Tableau1[NUMERO], 0), 3)</f>
        <v/>
      </c>
      <c r="D1113">
        <f>INDEX(Tableau1[], MATCH(Tableau3[[#This Row],[REFERENCE]], Tableau1[NUMERO], 0),4)</f>
        <v/>
      </c>
      <c r="E1113">
        <f>INDEX(Tableau1[], MATCH(Tableau3[[#This Row],[REFERENCE]], Tableau1[NUMERO], 0), 5)</f>
        <v/>
      </c>
      <c r="H1113" t="inlineStr">
        <is>
          <t>lasertechnic</t>
        </is>
      </c>
      <c r="J1113" s="2" t="n">
        <v>44117</v>
      </c>
      <c r="K1113" s="2" t="n">
        <v>44117</v>
      </c>
      <c r="L1113" s="2" t="n"/>
      <c r="M1113" s="21" t="inlineStr">
        <is>
          <t>01</t>
        </is>
      </c>
      <c r="N1113" s="35" t="n">
        <v>2</v>
      </c>
      <c r="O1113" s="7" t="n">
        <v>28</v>
      </c>
      <c r="P1113" s="8" t="inlineStr">
        <is>
          <t>10 jours</t>
        </is>
      </c>
      <c r="Q1113" s="2" t="n">
        <v>44209</v>
      </c>
    </row>
    <row r="1114">
      <c r="A1114" s="8" t="n">
        <v>34408835</v>
      </c>
      <c r="B1114" s="2">
        <f>INDEX(Tableau1[], MATCH(Tableau3[[#This Row],[REFERENCE]], Tableau1[NUMERO], 0), 2)</f>
        <v/>
      </c>
      <c r="C1114">
        <f>INDEX(Tableau1[], MATCH(Tableau3[[#This Row],[REFERENCE]], Tableau1[NUMERO], 0), 3)</f>
        <v/>
      </c>
      <c r="D1114">
        <f>INDEX(Tableau1[], MATCH(Tableau3[[#This Row],[REFERENCE]], Tableau1[NUMERO], 0),4)</f>
        <v/>
      </c>
      <c r="E1114">
        <f>INDEX(Tableau1[], MATCH(Tableau3[[#This Row],[REFERENCE]], Tableau1[NUMERO], 0), 5)</f>
        <v/>
      </c>
      <c r="H1114" t="inlineStr">
        <is>
          <t>lasertechnic</t>
        </is>
      </c>
      <c r="J1114" s="2" t="n">
        <v>44117</v>
      </c>
      <c r="K1114" s="2" t="n">
        <v>44117</v>
      </c>
      <c r="L1114" s="2" t="n"/>
      <c r="M1114" s="21" t="inlineStr">
        <is>
          <t>01</t>
        </is>
      </c>
      <c r="N1114" s="35" t="n">
        <v>2</v>
      </c>
      <c r="O1114" s="7" t="n">
        <v>28</v>
      </c>
      <c r="P1114" s="8" t="inlineStr">
        <is>
          <t>10 jours</t>
        </is>
      </c>
      <c r="Q1114" s="2" t="n">
        <v>44209</v>
      </c>
    </row>
    <row r="1115">
      <c r="A1115" s="103" t="n">
        <v>34408846</v>
      </c>
      <c r="B1115" s="2">
        <f>INDEX(Tableau1[], MATCH(Tableau3[[#This Row],[REFERENCE]], Tableau1[NUMERO], 0), 2)</f>
        <v/>
      </c>
      <c r="C1115">
        <f>INDEX(Tableau1[], MATCH(Tableau3[[#This Row],[REFERENCE]], Tableau1[NUMERO], 0), 3)</f>
        <v/>
      </c>
      <c r="D1115">
        <f>INDEX(Tableau1[], MATCH(Tableau3[[#This Row],[REFERENCE]], Tableau1[NUMERO], 0),4)</f>
        <v/>
      </c>
      <c r="E1115">
        <f>INDEX(Tableau1[], MATCH(Tableau3[[#This Row],[REFERENCE]], Tableau1[NUMERO], 0), 5)</f>
        <v/>
      </c>
      <c r="H1115" t="inlineStr">
        <is>
          <t>lasertechnic</t>
        </is>
      </c>
      <c r="J1115" s="2" t="n">
        <v>44123</v>
      </c>
      <c r="K1115" s="2" t="n">
        <v>44124</v>
      </c>
      <c r="L1115" s="2" t="n"/>
      <c r="M1115" s="21" t="inlineStr">
        <is>
          <t>01</t>
        </is>
      </c>
      <c r="N1115" s="35" t="n">
        <v>1</v>
      </c>
      <c r="O1115" s="7" t="n">
        <v>75</v>
      </c>
      <c r="P1115" s="8" t="inlineStr">
        <is>
          <t>5 jours</t>
        </is>
      </c>
      <c r="Q1115" s="2" t="n">
        <v>44216</v>
      </c>
    </row>
    <row r="1116">
      <c r="A1116" s="103" t="n">
        <v>34408847</v>
      </c>
      <c r="B1116" s="2">
        <f>INDEX(Tableau1[], MATCH(Tableau3[[#This Row],[REFERENCE]], Tableau1[NUMERO], 0), 2)</f>
        <v/>
      </c>
      <c r="C1116">
        <f>INDEX(Tableau1[], MATCH(Tableau3[[#This Row],[REFERENCE]], Tableau1[NUMERO], 0), 3)</f>
        <v/>
      </c>
      <c r="D1116">
        <f>INDEX(Tableau1[], MATCH(Tableau3[[#This Row],[REFERENCE]], Tableau1[NUMERO], 0),4)</f>
        <v/>
      </c>
      <c r="E1116">
        <f>INDEX(Tableau1[], MATCH(Tableau3[[#This Row],[REFERENCE]], Tableau1[NUMERO], 0), 5)</f>
        <v/>
      </c>
      <c r="H1116" t="inlineStr">
        <is>
          <t>lasertechnic</t>
        </is>
      </c>
      <c r="J1116" s="2" t="n">
        <v>44123</v>
      </c>
      <c r="K1116" s="2" t="n">
        <v>44124</v>
      </c>
      <c r="L1116" s="2" t="n"/>
      <c r="M1116" s="21" t="inlineStr">
        <is>
          <t>01</t>
        </is>
      </c>
      <c r="N1116" s="35" t="n">
        <v>6</v>
      </c>
      <c r="O1116" s="7" t="n">
        <v>10</v>
      </c>
      <c r="P1116" s="8" t="inlineStr">
        <is>
          <t>5 jours</t>
        </is>
      </c>
      <c r="Q1116" s="2" t="n">
        <v>44216</v>
      </c>
    </row>
    <row r="1117">
      <c r="A1117" s="103" t="n">
        <v>34408848</v>
      </c>
      <c r="B1117" s="2">
        <f>INDEX(Tableau1[], MATCH(Tableau3[[#This Row],[REFERENCE]], Tableau1[NUMERO], 0), 2)</f>
        <v/>
      </c>
      <c r="C1117">
        <f>INDEX(Tableau1[], MATCH(Tableau3[[#This Row],[REFERENCE]], Tableau1[NUMERO], 0), 3)</f>
        <v/>
      </c>
      <c r="D1117">
        <f>INDEX(Tableau1[], MATCH(Tableau3[[#This Row],[REFERENCE]], Tableau1[NUMERO], 0),4)</f>
        <v/>
      </c>
      <c r="E1117">
        <f>INDEX(Tableau1[], MATCH(Tableau3[[#This Row],[REFERENCE]], Tableau1[NUMERO], 0), 5)</f>
        <v/>
      </c>
      <c r="H1117" t="inlineStr">
        <is>
          <t>lasertechnic</t>
        </is>
      </c>
      <c r="J1117" s="2" t="n">
        <v>44123</v>
      </c>
      <c r="K1117" s="2" t="n">
        <v>44124</v>
      </c>
      <c r="L1117" s="2" t="n"/>
      <c r="M1117" s="21" t="inlineStr">
        <is>
          <t>01</t>
        </is>
      </c>
      <c r="N1117" s="35" t="n">
        <v>1</v>
      </c>
      <c r="O1117" s="7" t="n">
        <v>36</v>
      </c>
      <c r="P1117" s="8" t="inlineStr">
        <is>
          <t>5 jours</t>
        </is>
      </c>
      <c r="Q1117" s="2" t="n">
        <v>44216</v>
      </c>
    </row>
    <row r="1118">
      <c r="A1118" s="103" t="n">
        <v>34408849</v>
      </c>
      <c r="B1118" s="2">
        <f>INDEX(Tableau1[], MATCH(Tableau3[[#This Row],[REFERENCE]], Tableau1[NUMERO], 0), 2)</f>
        <v/>
      </c>
      <c r="C1118">
        <f>INDEX(Tableau1[], MATCH(Tableau3[[#This Row],[REFERENCE]], Tableau1[NUMERO], 0), 3)</f>
        <v/>
      </c>
      <c r="D1118">
        <f>INDEX(Tableau1[], MATCH(Tableau3[[#This Row],[REFERENCE]], Tableau1[NUMERO], 0),4)</f>
        <v/>
      </c>
      <c r="E1118">
        <f>INDEX(Tableau1[], MATCH(Tableau3[[#This Row],[REFERENCE]], Tableau1[NUMERO], 0), 5)</f>
        <v/>
      </c>
      <c r="H1118" t="inlineStr">
        <is>
          <t>lasertechnic</t>
        </is>
      </c>
      <c r="J1118" s="2" t="n">
        <v>44123</v>
      </c>
      <c r="K1118" s="2" t="n">
        <v>44124</v>
      </c>
      <c r="L1118" s="2" t="n"/>
      <c r="M1118" s="21" t="inlineStr">
        <is>
          <t>01</t>
        </is>
      </c>
      <c r="N1118" s="35" t="n">
        <v>1</v>
      </c>
      <c r="O1118" s="7" t="n">
        <v>34</v>
      </c>
      <c r="P1118" s="8" t="inlineStr">
        <is>
          <t>5jours</t>
        </is>
      </c>
      <c r="Q1118" s="2" t="n">
        <v>44216</v>
      </c>
    </row>
    <row r="1119">
      <c r="A1119" s="103" t="n">
        <v>34408856</v>
      </c>
      <c r="B1119" s="2">
        <f>INDEX(Tableau1[], MATCH(Tableau3[[#This Row],[REFERENCE]], Tableau1[NUMERO], 0), 2)</f>
        <v/>
      </c>
      <c r="C1119">
        <f>INDEX(Tableau1[], MATCH(Tableau3[[#This Row],[REFERENCE]], Tableau1[NUMERO], 0), 3)</f>
        <v/>
      </c>
      <c r="D1119">
        <f>INDEX(Tableau1[], MATCH(Tableau3[[#This Row],[REFERENCE]], Tableau1[NUMERO], 0),4)</f>
        <v/>
      </c>
      <c r="E1119">
        <f>INDEX(Tableau1[], MATCH(Tableau3[[#This Row],[REFERENCE]], Tableau1[NUMERO], 0), 5)</f>
        <v/>
      </c>
      <c r="H1119" t="inlineStr">
        <is>
          <t>lasertechnic</t>
        </is>
      </c>
      <c r="J1119" s="2" t="n">
        <v>44123</v>
      </c>
      <c r="K1119" s="2" t="n">
        <v>44124</v>
      </c>
      <c r="L1119" s="2" t="n"/>
      <c r="M1119" s="21" t="inlineStr">
        <is>
          <t>01</t>
        </is>
      </c>
      <c r="N1119" s="35" t="n">
        <v>1</v>
      </c>
      <c r="O1119" s="7" t="n">
        <v>32</v>
      </c>
      <c r="P1119" s="8" t="inlineStr">
        <is>
          <t>5 jours</t>
        </is>
      </c>
      <c r="Q1119" s="2" t="n">
        <v>44216</v>
      </c>
    </row>
    <row r="1120">
      <c r="A1120" s="8" t="n">
        <v>34408801</v>
      </c>
      <c r="B1120" s="2">
        <f>INDEX(Tableau1[], MATCH(Tableau3[[#This Row],[REFERENCE]], Tableau1[NUMERO], 0), 2)</f>
        <v/>
      </c>
      <c r="C1120">
        <f>INDEX(Tableau1[], MATCH(Tableau3[[#This Row],[REFERENCE]], Tableau1[NUMERO], 0), 3)</f>
        <v/>
      </c>
      <c r="D1120">
        <f>INDEX(Tableau1[], MATCH(Tableau3[[#This Row],[REFERENCE]], Tableau1[NUMERO], 0),4)</f>
        <v/>
      </c>
      <c r="E1120">
        <f>INDEX(Tableau1[], MATCH(Tableau3[[#This Row],[REFERENCE]], Tableau1[NUMERO], 0), 5)</f>
        <v/>
      </c>
      <c r="H1120" t="inlineStr">
        <is>
          <t>lasertechnic</t>
        </is>
      </c>
      <c r="J1120" s="2" t="n">
        <v>44123</v>
      </c>
      <c r="K1120" s="2" t="n">
        <v>44124</v>
      </c>
      <c r="L1120" s="2" t="n"/>
      <c r="M1120" s="21" t="inlineStr">
        <is>
          <t>01</t>
        </is>
      </c>
      <c r="N1120" s="35" t="n">
        <v>5</v>
      </c>
      <c r="O1120" s="7" t="n">
        <v>878.75</v>
      </c>
      <c r="P1120" s="8" t="inlineStr">
        <is>
          <t>13 jours</t>
        </is>
      </c>
      <c r="Q1120" s="2" t="n">
        <v>43850</v>
      </c>
    </row>
    <row r="1121">
      <c r="A1121" s="8" t="n">
        <v>34408825</v>
      </c>
      <c r="B1121" s="2">
        <f>INDEX(Tableau1[], MATCH(Tableau3[[#This Row],[REFERENCE]], Tableau1[NUMERO], 0), 2)</f>
        <v/>
      </c>
      <c r="C1121">
        <f>INDEX(Tableau1[], MATCH(Tableau3[[#This Row],[REFERENCE]], Tableau1[NUMERO], 0), 3)</f>
        <v/>
      </c>
      <c r="D1121">
        <f>INDEX(Tableau1[], MATCH(Tableau3[[#This Row],[REFERENCE]], Tableau1[NUMERO], 0),4)</f>
        <v/>
      </c>
      <c r="E1121">
        <f>INDEX(Tableau1[], MATCH(Tableau3[[#This Row],[REFERENCE]], Tableau1[NUMERO], 0), 5)</f>
        <v/>
      </c>
      <c r="H1121" t="inlineStr">
        <is>
          <t>lasertechnic</t>
        </is>
      </c>
      <c r="J1121" s="2" t="n">
        <v>44123</v>
      </c>
      <c r="K1121" s="2" t="n">
        <v>44124</v>
      </c>
      <c r="L1121" s="2" t="n"/>
      <c r="M1121" s="21" t="inlineStr">
        <is>
          <t>01</t>
        </is>
      </c>
      <c r="N1121" s="35" t="n">
        <v>5</v>
      </c>
      <c r="O1121" s="7" t="n">
        <v>27.16</v>
      </c>
      <c r="P1121" s="8" t="inlineStr">
        <is>
          <t>13  jours</t>
        </is>
      </c>
      <c r="Q1121" s="2" t="n">
        <v>43850</v>
      </c>
    </row>
    <row r="1122">
      <c r="A1122" s="8" t="n">
        <v>34408826</v>
      </c>
      <c r="B1122" s="2">
        <f>INDEX(Tableau1[], MATCH(Tableau3[[#This Row],[REFERENCE]], Tableau1[NUMERO], 0), 2)</f>
        <v/>
      </c>
      <c r="C1122">
        <f>INDEX(Tableau1[], MATCH(Tableau3[[#This Row],[REFERENCE]], Tableau1[NUMERO], 0), 3)</f>
        <v/>
      </c>
      <c r="D1122">
        <f>INDEX(Tableau1[], MATCH(Tableau3[[#This Row],[REFERENCE]], Tableau1[NUMERO], 0),4)</f>
        <v/>
      </c>
      <c r="E1122">
        <f>INDEX(Tableau1[], MATCH(Tableau3[[#This Row],[REFERENCE]], Tableau1[NUMERO], 0), 5)</f>
        <v/>
      </c>
      <c r="H1122" t="inlineStr">
        <is>
          <t>lasertechnic</t>
        </is>
      </c>
      <c r="J1122" s="2" t="n">
        <v>44123</v>
      </c>
      <c r="K1122" s="2" t="n">
        <v>44124</v>
      </c>
      <c r="L1122" s="2" t="n"/>
      <c r="M1122" s="21" t="inlineStr">
        <is>
          <t>01</t>
        </is>
      </c>
      <c r="N1122" s="35" t="n">
        <v>5</v>
      </c>
      <c r="O1122" s="7" t="n">
        <v>27.16</v>
      </c>
      <c r="P1122" s="8" t="inlineStr">
        <is>
          <t>13 jours</t>
        </is>
      </c>
      <c r="Q1122" s="2" t="n">
        <v>43850</v>
      </c>
    </row>
    <row r="1123">
      <c r="A1123" s="8" t="n">
        <v>34408850</v>
      </c>
      <c r="B1123" s="2">
        <f>INDEX(Tableau1[], MATCH(Tableau3[[#This Row],[REFERENCE]], Tableau1[NUMERO], 0), 2)</f>
        <v/>
      </c>
      <c r="C1123">
        <f>INDEX(Tableau1[], MATCH(Tableau3[[#This Row],[REFERENCE]], Tableau1[NUMERO], 0), 3)</f>
        <v/>
      </c>
      <c r="D1123">
        <f>INDEX(Tableau1[], MATCH(Tableau3[[#This Row],[REFERENCE]], Tableau1[NUMERO], 0),4)</f>
        <v/>
      </c>
      <c r="E1123">
        <f>INDEX(Tableau1[], MATCH(Tableau3[[#This Row],[REFERENCE]], Tableau1[NUMERO], 0), 5)</f>
        <v/>
      </c>
      <c r="H1123" t="inlineStr">
        <is>
          <t>lasertechnic</t>
        </is>
      </c>
      <c r="J1123" s="2" t="n">
        <v>44123</v>
      </c>
      <c r="K1123" s="2" t="n">
        <v>44124</v>
      </c>
      <c r="L1123" s="2" t="n"/>
      <c r="M1123" s="21" t="inlineStr">
        <is>
          <t>01</t>
        </is>
      </c>
      <c r="N1123" s="35" t="n">
        <v>10</v>
      </c>
      <c r="O1123" s="7" t="n">
        <v>5.82</v>
      </c>
      <c r="P1123" s="8" t="inlineStr">
        <is>
          <t>13 jours</t>
        </is>
      </c>
      <c r="Q1123" s="2" t="n">
        <v>43850</v>
      </c>
    </row>
    <row r="1124">
      <c r="A1124" s="8" t="n">
        <v>34408828</v>
      </c>
      <c r="B1124" s="2">
        <f>INDEX(Tableau1[], MATCH(Tableau3[[#This Row],[REFERENCE]], Tableau1[NUMERO], 0), 2)</f>
        <v/>
      </c>
      <c r="C1124">
        <f>INDEX(Tableau1[], MATCH(Tableau3[[#This Row],[REFERENCE]], Tableau1[NUMERO], 0), 3)</f>
        <v/>
      </c>
      <c r="D1124">
        <f>INDEX(Tableau1[], MATCH(Tableau3[[#This Row],[REFERENCE]], Tableau1[NUMERO], 0),4)</f>
        <v/>
      </c>
      <c r="E1124">
        <f>INDEX(Tableau1[], MATCH(Tableau3[[#This Row],[REFERENCE]], Tableau1[NUMERO], 0), 5)</f>
        <v/>
      </c>
      <c r="H1124" t="inlineStr">
        <is>
          <t>lasertechnic</t>
        </is>
      </c>
      <c r="J1124" s="2" t="n">
        <v>44123</v>
      </c>
      <c r="K1124" s="2" t="n">
        <v>44124</v>
      </c>
      <c r="L1124" s="2" t="n"/>
      <c r="M1124" s="21" t="inlineStr">
        <is>
          <t>01</t>
        </is>
      </c>
      <c r="N1124" s="35" t="n">
        <v>5</v>
      </c>
      <c r="O1124" s="7" t="n">
        <v>14.55</v>
      </c>
      <c r="P1124" s="8" t="inlineStr">
        <is>
          <t>13 jours</t>
        </is>
      </c>
      <c r="Q1124" s="2" t="n">
        <v>43850</v>
      </c>
    </row>
    <row r="1125">
      <c r="A1125" s="8" t="n">
        <v>34408829</v>
      </c>
      <c r="B1125" s="2">
        <f>INDEX(Tableau1[], MATCH(Tableau3[[#This Row],[REFERENCE]], Tableau1[NUMERO], 0), 2)</f>
        <v/>
      </c>
      <c r="C1125">
        <f>INDEX(Tableau1[], MATCH(Tableau3[[#This Row],[REFERENCE]], Tableau1[NUMERO], 0), 3)</f>
        <v/>
      </c>
      <c r="D1125">
        <f>INDEX(Tableau1[], MATCH(Tableau3[[#This Row],[REFERENCE]], Tableau1[NUMERO], 0),4)</f>
        <v/>
      </c>
      <c r="E1125">
        <f>INDEX(Tableau1[], MATCH(Tableau3[[#This Row],[REFERENCE]], Tableau1[NUMERO], 0), 5)</f>
        <v/>
      </c>
      <c r="H1125" t="inlineStr">
        <is>
          <t>lasertechnic</t>
        </is>
      </c>
      <c r="J1125" s="2" t="n">
        <v>44123</v>
      </c>
      <c r="K1125" s="2" t="n">
        <v>44124</v>
      </c>
      <c r="L1125" s="2" t="n"/>
      <c r="M1125" s="21" t="inlineStr">
        <is>
          <t>01</t>
        </is>
      </c>
      <c r="N1125" s="35" t="n">
        <v>5</v>
      </c>
      <c r="O1125" s="7" t="n">
        <v>15.52</v>
      </c>
      <c r="P1125" s="8" t="inlineStr">
        <is>
          <t>13 jours</t>
        </is>
      </c>
      <c r="Q1125" s="2" t="n">
        <v>43850</v>
      </c>
    </row>
    <row r="1126">
      <c r="A1126" s="8" t="n">
        <v>34408830</v>
      </c>
      <c r="B1126" s="2">
        <f>INDEX(Tableau1[], MATCH(Tableau3[[#This Row],[REFERENCE]], Tableau1[NUMERO], 0), 2)</f>
        <v/>
      </c>
      <c r="C1126">
        <f>INDEX(Tableau1[], MATCH(Tableau3[[#This Row],[REFERENCE]], Tableau1[NUMERO], 0), 3)</f>
        <v/>
      </c>
      <c r="D1126">
        <f>INDEX(Tableau1[], MATCH(Tableau3[[#This Row],[REFERENCE]], Tableau1[NUMERO], 0),4)</f>
        <v/>
      </c>
      <c r="E1126">
        <f>INDEX(Tableau1[], MATCH(Tableau3[[#This Row],[REFERENCE]], Tableau1[NUMERO], 0), 5)</f>
        <v/>
      </c>
      <c r="H1126" t="inlineStr">
        <is>
          <t>lasertechnic</t>
        </is>
      </c>
      <c r="J1126" s="2" t="n">
        <v>44123</v>
      </c>
      <c r="K1126" s="2" t="n">
        <v>44124</v>
      </c>
      <c r="L1126" s="2" t="n"/>
      <c r="M1126" s="21" t="inlineStr">
        <is>
          <t>01</t>
        </is>
      </c>
      <c r="N1126" s="35" t="n">
        <v>5</v>
      </c>
      <c r="O1126" s="7" t="n">
        <v>15.52</v>
      </c>
      <c r="P1126" s="8" t="inlineStr">
        <is>
          <t>13 jours</t>
        </is>
      </c>
      <c r="Q1126" s="2" t="n">
        <v>43850</v>
      </c>
    </row>
    <row r="1127">
      <c r="A1127" s="8" t="n">
        <v>34408831</v>
      </c>
      <c r="B1127" s="2">
        <f>INDEX(Tableau1[], MATCH(Tableau3[[#This Row],[REFERENCE]], Tableau1[NUMERO], 0), 2)</f>
        <v/>
      </c>
      <c r="C1127">
        <f>INDEX(Tableau1[], MATCH(Tableau3[[#This Row],[REFERENCE]], Tableau1[NUMERO], 0), 3)</f>
        <v/>
      </c>
      <c r="D1127">
        <f>INDEX(Tableau1[], MATCH(Tableau3[[#This Row],[REFERENCE]], Tableau1[NUMERO], 0),4)</f>
        <v/>
      </c>
      <c r="E1127">
        <f>INDEX(Tableau1[], MATCH(Tableau3[[#This Row],[REFERENCE]], Tableau1[NUMERO], 0), 5)</f>
        <v/>
      </c>
      <c r="H1127" t="inlineStr">
        <is>
          <t>lasertechnic</t>
        </is>
      </c>
      <c r="J1127" s="2" t="n">
        <v>44123</v>
      </c>
      <c r="K1127" s="2" t="n">
        <v>44124</v>
      </c>
      <c r="L1127" s="2" t="n"/>
      <c r="M1127" s="21" t="inlineStr">
        <is>
          <t>01</t>
        </is>
      </c>
      <c r="N1127" s="35" t="n">
        <v>10</v>
      </c>
      <c r="O1127" s="7" t="n">
        <v>7.76</v>
      </c>
      <c r="P1127" s="8" t="inlineStr">
        <is>
          <t>13 jours</t>
        </is>
      </c>
      <c r="Q1127" s="2" t="n">
        <v>43850</v>
      </c>
    </row>
    <row r="1128">
      <c r="A1128" s="8" t="n">
        <v>34408842</v>
      </c>
      <c r="B1128" s="2">
        <f>INDEX(Tableau1[], MATCH(Tableau3[[#This Row],[REFERENCE]], Tableau1[NUMERO], 0), 2)</f>
        <v/>
      </c>
      <c r="C1128">
        <f>INDEX(Tableau1[], MATCH(Tableau3[[#This Row],[REFERENCE]], Tableau1[NUMERO], 0), 3)</f>
        <v/>
      </c>
      <c r="D1128">
        <f>INDEX(Tableau1[], MATCH(Tableau3[[#This Row],[REFERENCE]], Tableau1[NUMERO], 0),4)</f>
        <v/>
      </c>
      <c r="E1128">
        <f>INDEX(Tableau1[], MATCH(Tableau3[[#This Row],[REFERENCE]], Tableau1[NUMERO], 0), 5)</f>
        <v/>
      </c>
      <c r="H1128" t="inlineStr">
        <is>
          <t>lasertechnic</t>
        </is>
      </c>
      <c r="J1128" s="2" t="n">
        <v>44123</v>
      </c>
      <c r="K1128" s="2" t="n">
        <v>44124</v>
      </c>
      <c r="L1128" s="2" t="n"/>
      <c r="M1128" s="21" t="inlineStr">
        <is>
          <t>01</t>
        </is>
      </c>
      <c r="N1128" s="35" t="n">
        <v>5</v>
      </c>
      <c r="O1128" s="7" t="n">
        <v>56.26</v>
      </c>
      <c r="P1128" s="8" t="inlineStr">
        <is>
          <t>13 jours</t>
        </is>
      </c>
      <c r="Q1128" s="2" t="n">
        <v>43850</v>
      </c>
    </row>
    <row r="1129">
      <c r="A1129" s="8" t="n">
        <v>34408843</v>
      </c>
      <c r="B1129" s="2">
        <f>INDEX(Tableau1[], MATCH(Tableau3[[#This Row],[REFERENCE]], Tableau1[NUMERO], 0), 2)</f>
        <v/>
      </c>
      <c r="C1129">
        <f>INDEX(Tableau1[], MATCH(Tableau3[[#This Row],[REFERENCE]], Tableau1[NUMERO], 0), 3)</f>
        <v/>
      </c>
      <c r="D1129">
        <f>INDEX(Tableau1[], MATCH(Tableau3[[#This Row],[REFERENCE]], Tableau1[NUMERO], 0),4)</f>
        <v/>
      </c>
      <c r="E1129">
        <f>INDEX(Tableau1[], MATCH(Tableau3[[#This Row],[REFERENCE]], Tableau1[NUMERO], 0), 5)</f>
        <v/>
      </c>
      <c r="H1129" t="inlineStr">
        <is>
          <t>lasertechnic</t>
        </is>
      </c>
      <c r="J1129" s="2" t="n">
        <v>44123</v>
      </c>
      <c r="K1129" s="2" t="n">
        <v>44124</v>
      </c>
      <c r="L1129" s="2" t="n"/>
      <c r="M1129" s="21" t="inlineStr">
        <is>
          <t>01</t>
        </is>
      </c>
      <c r="N1129" s="35" t="n">
        <v>5</v>
      </c>
      <c r="O1129" s="7" t="n">
        <v>56.26</v>
      </c>
      <c r="P1129" s="8" t="inlineStr">
        <is>
          <t>13 jours</t>
        </is>
      </c>
      <c r="Q1129" s="2" t="n">
        <v>43850</v>
      </c>
    </row>
    <row r="1130" ht="15.75" customHeight="1" s="142" thickBot="1">
      <c r="A1130" s="8" t="n">
        <v>34408863</v>
      </c>
      <c r="B1130" s="2">
        <f>INDEX(Tableau1[], MATCH(Tableau3[[#This Row],[REFERENCE]], Tableau1[NUMERO], 0), 2)</f>
        <v/>
      </c>
      <c r="C1130">
        <f>INDEX(Tableau1[], MATCH(Tableau3[[#This Row],[REFERENCE]], Tableau1[NUMERO], 0), 3)</f>
        <v/>
      </c>
      <c r="D1130">
        <f>INDEX(Tableau1[], MATCH(Tableau3[[#This Row],[REFERENCE]], Tableau1[NUMERO], 0),4)</f>
        <v/>
      </c>
      <c r="E1130">
        <f>INDEX(Tableau1[], MATCH(Tableau3[[#This Row],[REFERENCE]], Tableau1[NUMERO], 0), 5)</f>
        <v/>
      </c>
      <c r="H1130" t="inlineStr">
        <is>
          <t>lasertechnic</t>
        </is>
      </c>
      <c r="J1130" s="2" t="n">
        <v>44130</v>
      </c>
      <c r="K1130" s="2" t="n">
        <v>44131</v>
      </c>
      <c r="L1130" s="2" t="n"/>
      <c r="M1130" s="21" t="inlineStr">
        <is>
          <t>01</t>
        </is>
      </c>
      <c r="N1130" s="35" t="n">
        <v>3</v>
      </c>
      <c r="O1130" s="7" t="n">
        <v>19</v>
      </c>
      <c r="P1130" s="8" t="inlineStr">
        <is>
          <t>3 jours</t>
        </is>
      </c>
      <c r="Q1130" s="2" t="n">
        <v>44223</v>
      </c>
    </row>
    <row r="1131" ht="15.75" customFormat="1" customHeight="1" s="52" thickTop="1">
      <c r="A1131" s="50" t="n">
        <v>34408851</v>
      </c>
      <c r="B1131" s="51">
        <f>INDEX(Tableau1[], MATCH(Tableau3[[#This Row],[REFERENCE]], Tableau1[NUMERO], 0), 2)</f>
        <v/>
      </c>
      <c r="C1131" s="52">
        <f>INDEX(Tableau1[], MATCH(Tableau3[[#This Row],[REFERENCE]], Tableau1[NUMERO], 0), 3)</f>
        <v/>
      </c>
      <c r="D1131" s="52">
        <f>INDEX(Tableau1[], MATCH(Tableau3[[#This Row],[REFERENCE]], Tableau1[NUMERO], 0),4)</f>
        <v/>
      </c>
      <c r="E1131" s="52">
        <f>INDEX(Tableau1[], MATCH(Tableau3[[#This Row],[REFERENCE]], Tableau1[NUMERO], 0), 5)</f>
        <v/>
      </c>
      <c r="H1131" s="52" t="inlineStr">
        <is>
          <t>trefimetaux</t>
        </is>
      </c>
      <c r="I1131" s="50" t="n"/>
      <c r="J1131" s="51" t="n">
        <v>44148</v>
      </c>
      <c r="K1131" s="51" t="n">
        <v>44148</v>
      </c>
      <c r="L1131" s="51" t="n"/>
      <c r="M1131" s="53" t="inlineStr">
        <is>
          <t>01</t>
        </is>
      </c>
      <c r="N1131" s="54" t="n">
        <v>1</v>
      </c>
      <c r="O1131" s="55" t="n">
        <v>60</v>
      </c>
      <c r="P1131" s="106" t="inlineStr">
        <is>
          <t>Délai à voir avec Mr THIAM</t>
        </is>
      </c>
      <c r="Q1131" s="51" t="n">
        <v>44240</v>
      </c>
    </row>
    <row r="1132">
      <c r="A1132" s="8" t="n">
        <v>34408852</v>
      </c>
      <c r="B1132" s="2">
        <f>INDEX(Tableau1[], MATCH(Tableau3[[#This Row],[REFERENCE]], Tableau1[NUMERO], 0), 2)</f>
        <v/>
      </c>
      <c r="C1132">
        <f>INDEX(Tableau1[], MATCH(Tableau3[[#This Row],[REFERENCE]], Tableau1[NUMERO], 0), 3)</f>
        <v/>
      </c>
      <c r="D1132">
        <f>INDEX(Tableau1[], MATCH(Tableau3[[#This Row],[REFERENCE]], Tableau1[NUMERO], 0),4)</f>
        <v/>
      </c>
      <c r="E1132">
        <f>INDEX(Tableau1[], MATCH(Tableau3[[#This Row],[REFERENCE]], Tableau1[NUMERO], 0), 5)</f>
        <v/>
      </c>
      <c r="H1132" t="inlineStr">
        <is>
          <t>trefimetaux</t>
        </is>
      </c>
      <c r="J1132" s="2" t="n">
        <v>44148</v>
      </c>
      <c r="K1132" s="2" t="n">
        <v>44148</v>
      </c>
      <c r="L1132" s="2" t="n"/>
      <c r="M1132" s="21" t="inlineStr">
        <is>
          <t>01</t>
        </is>
      </c>
      <c r="N1132" s="35" t="n">
        <v>1</v>
      </c>
      <c r="O1132" s="7" t="n">
        <v>60</v>
      </c>
      <c r="P1132" s="107" t="inlineStr">
        <is>
          <t>Délai à voir avec Mr THIAM</t>
        </is>
      </c>
      <c r="Q1132" s="2" t="n">
        <v>44240</v>
      </c>
    </row>
    <row r="1133">
      <c r="A1133" s="8" t="n">
        <v>34408853</v>
      </c>
      <c r="B1133" s="2">
        <f>INDEX(Tableau1[], MATCH(Tableau3[[#This Row],[REFERENCE]], Tableau1[NUMERO], 0), 2)</f>
        <v/>
      </c>
      <c r="C1133">
        <f>INDEX(Tableau1[], MATCH(Tableau3[[#This Row],[REFERENCE]], Tableau1[NUMERO], 0), 3)</f>
        <v/>
      </c>
      <c r="D1133">
        <f>INDEX(Tableau1[], MATCH(Tableau3[[#This Row],[REFERENCE]], Tableau1[NUMERO], 0),4)</f>
        <v/>
      </c>
      <c r="E1133">
        <f>INDEX(Tableau1[], MATCH(Tableau3[[#This Row],[REFERENCE]], Tableau1[NUMERO], 0), 5)</f>
        <v/>
      </c>
      <c r="H1133" t="inlineStr">
        <is>
          <t>trefimetaux</t>
        </is>
      </c>
      <c r="J1133" s="2" t="n">
        <v>44148</v>
      </c>
      <c r="K1133" s="2" t="n">
        <v>44148</v>
      </c>
      <c r="L1133" s="2" t="n"/>
      <c r="M1133" s="21" t="inlineStr">
        <is>
          <t>01</t>
        </is>
      </c>
      <c r="N1133" s="35" t="n">
        <v>1</v>
      </c>
      <c r="O1133" s="7" t="n">
        <v>60</v>
      </c>
      <c r="P1133" s="107" t="inlineStr">
        <is>
          <t>Délai à voir avec Mr THIAM</t>
        </is>
      </c>
      <c r="Q1133" s="2" t="n">
        <v>44240</v>
      </c>
    </row>
    <row r="1134">
      <c r="A1134" s="8" t="n">
        <v>34408866</v>
      </c>
      <c r="B1134" s="2">
        <f>INDEX(Tableau1[], MATCH(Tableau3[[#This Row],[REFERENCE]], Tableau1[NUMERO], 0), 2)</f>
        <v/>
      </c>
      <c r="C1134">
        <f>INDEX(Tableau1[], MATCH(Tableau3[[#This Row],[REFERENCE]], Tableau1[NUMERO], 0), 3)</f>
        <v/>
      </c>
      <c r="D1134">
        <f>INDEX(Tableau1[], MATCH(Tableau3[[#This Row],[REFERENCE]], Tableau1[NUMERO], 0),4)</f>
        <v/>
      </c>
      <c r="E1134">
        <f>INDEX(Tableau1[], MATCH(Tableau3[[#This Row],[REFERENCE]], Tableau1[NUMERO], 0), 5)</f>
        <v/>
      </c>
      <c r="H1134" t="inlineStr">
        <is>
          <t>trefimetaux</t>
        </is>
      </c>
      <c r="J1134" s="2" t="n">
        <v>44148</v>
      </c>
      <c r="K1134" s="2" t="n">
        <v>44148</v>
      </c>
      <c r="L1134" s="2" t="n"/>
      <c r="M1134" s="21" t="inlineStr">
        <is>
          <t>01</t>
        </is>
      </c>
      <c r="N1134" s="35" t="n">
        <v>1</v>
      </c>
      <c r="O1134" s="7" t="n">
        <v>60</v>
      </c>
      <c r="P1134" s="107" t="inlineStr">
        <is>
          <t>Délai à voir avec Mr THIAM</t>
        </is>
      </c>
      <c r="Q1134" s="2" t="n">
        <v>44240</v>
      </c>
    </row>
    <row r="1135">
      <c r="A1135" s="8" t="n">
        <v>34408867</v>
      </c>
      <c r="B1135" s="2">
        <f>INDEX(Tableau1[], MATCH(Tableau3[[#This Row],[REFERENCE]], Tableau1[NUMERO], 0), 2)</f>
        <v/>
      </c>
      <c r="C1135">
        <f>INDEX(Tableau1[], MATCH(Tableau3[[#This Row],[REFERENCE]], Tableau1[NUMERO], 0), 3)</f>
        <v/>
      </c>
      <c r="D1135">
        <f>INDEX(Tableau1[], MATCH(Tableau3[[#This Row],[REFERENCE]], Tableau1[NUMERO], 0),4)</f>
        <v/>
      </c>
      <c r="E1135">
        <f>INDEX(Tableau1[], MATCH(Tableau3[[#This Row],[REFERENCE]], Tableau1[NUMERO], 0), 5)</f>
        <v/>
      </c>
      <c r="H1135" t="inlineStr">
        <is>
          <t>trefimetaux</t>
        </is>
      </c>
      <c r="J1135" s="2" t="n">
        <v>44148</v>
      </c>
      <c r="K1135" s="2" t="n">
        <v>44148</v>
      </c>
      <c r="L1135" s="2" t="n"/>
      <c r="M1135" s="21" t="inlineStr">
        <is>
          <t>01</t>
        </is>
      </c>
      <c r="N1135" s="35" t="n">
        <v>1</v>
      </c>
      <c r="O1135" s="7" t="n">
        <v>60</v>
      </c>
      <c r="P1135" s="107" t="inlineStr">
        <is>
          <t>Délai à voir avec Mr THIAM</t>
        </is>
      </c>
      <c r="Q1135" s="2" t="n">
        <v>44240</v>
      </c>
    </row>
    <row r="1136">
      <c r="A1136" s="8" t="n">
        <v>34408872</v>
      </c>
      <c r="B1136" s="2">
        <f>INDEX(Tableau1[], MATCH(Tableau3[[#This Row],[REFERENCE]], Tableau1[NUMERO], 0), 2)</f>
        <v/>
      </c>
      <c r="C1136">
        <f>INDEX(Tableau1[], MATCH(Tableau3[[#This Row],[REFERENCE]], Tableau1[NUMERO], 0), 3)</f>
        <v/>
      </c>
      <c r="D1136">
        <f>INDEX(Tableau1[], MATCH(Tableau3[[#This Row],[REFERENCE]], Tableau1[NUMERO], 0),4)</f>
        <v/>
      </c>
      <c r="E1136">
        <f>INDEX(Tableau1[], MATCH(Tableau3[[#This Row],[REFERENCE]], Tableau1[NUMERO], 0), 5)</f>
        <v/>
      </c>
      <c r="H1136" t="inlineStr">
        <is>
          <t>trefimetaux</t>
        </is>
      </c>
      <c r="J1136" s="2" t="n">
        <v>44148</v>
      </c>
      <c r="K1136" s="2" t="n">
        <v>44148</v>
      </c>
      <c r="L1136" s="2" t="n"/>
      <c r="M1136" s="21" t="inlineStr">
        <is>
          <t>01</t>
        </is>
      </c>
      <c r="N1136" s="35" t="n">
        <v>1</v>
      </c>
      <c r="O1136" s="7" t="n">
        <v>60</v>
      </c>
      <c r="P1136" s="107" t="inlineStr">
        <is>
          <t>Délai à voir avec Mr THIAM</t>
        </is>
      </c>
      <c r="Q1136" s="2" t="n">
        <v>44240</v>
      </c>
    </row>
    <row r="1137">
      <c r="A1137" s="8" t="n">
        <v>34408873</v>
      </c>
      <c r="B1137" s="2">
        <f>INDEX(Tableau1[], MATCH(Tableau3[[#This Row],[REFERENCE]], Tableau1[NUMERO], 0), 2)</f>
        <v/>
      </c>
      <c r="C1137">
        <f>INDEX(Tableau1[], MATCH(Tableau3[[#This Row],[REFERENCE]], Tableau1[NUMERO], 0), 3)</f>
        <v/>
      </c>
      <c r="D1137">
        <f>INDEX(Tableau1[], MATCH(Tableau3[[#This Row],[REFERENCE]], Tableau1[NUMERO], 0),4)</f>
        <v/>
      </c>
      <c r="E1137">
        <f>INDEX(Tableau1[], MATCH(Tableau3[[#This Row],[REFERENCE]], Tableau1[NUMERO], 0), 5)</f>
        <v/>
      </c>
      <c r="H1137" t="inlineStr">
        <is>
          <t>trefimetaux</t>
        </is>
      </c>
      <c r="J1137" s="2" t="n">
        <v>44148</v>
      </c>
      <c r="K1137" s="2" t="n">
        <v>44148</v>
      </c>
      <c r="L1137" s="2" t="n"/>
      <c r="M1137" s="21" t="inlineStr">
        <is>
          <t>01</t>
        </is>
      </c>
      <c r="N1137" s="35" t="n">
        <v>1</v>
      </c>
      <c r="O1137" s="7" t="n">
        <v>60</v>
      </c>
      <c r="P1137" s="107" t="inlineStr">
        <is>
          <t>Délai à voir avec Mr THIAM</t>
        </is>
      </c>
      <c r="Q1137" s="2" t="n">
        <v>44240</v>
      </c>
    </row>
    <row r="1138">
      <c r="A1138" s="8" t="n">
        <v>34408874</v>
      </c>
      <c r="B1138" s="2">
        <f>INDEX(Tableau1[], MATCH(Tableau3[[#This Row],[REFERENCE]], Tableau1[NUMERO], 0), 2)</f>
        <v/>
      </c>
      <c r="C1138">
        <f>INDEX(Tableau1[], MATCH(Tableau3[[#This Row],[REFERENCE]], Tableau1[NUMERO], 0), 3)</f>
        <v/>
      </c>
      <c r="D1138">
        <f>INDEX(Tableau1[], MATCH(Tableau3[[#This Row],[REFERENCE]], Tableau1[NUMERO], 0),4)</f>
        <v/>
      </c>
      <c r="E1138">
        <f>INDEX(Tableau1[], MATCH(Tableau3[[#This Row],[REFERENCE]], Tableau1[NUMERO], 0), 5)</f>
        <v/>
      </c>
      <c r="H1138" t="inlineStr">
        <is>
          <t>trefimetaux</t>
        </is>
      </c>
      <c r="J1138" s="2" t="n">
        <v>44148</v>
      </c>
      <c r="K1138" s="2" t="n">
        <v>44148</v>
      </c>
      <c r="L1138" s="2" t="n"/>
      <c r="M1138" s="21" t="inlineStr">
        <is>
          <t>01</t>
        </is>
      </c>
      <c r="N1138" s="35" t="n">
        <v>1</v>
      </c>
      <c r="O1138" s="7" t="n">
        <v>60</v>
      </c>
      <c r="P1138" s="107" t="inlineStr">
        <is>
          <t>Délai à voir avec Mr THIAM</t>
        </is>
      </c>
      <c r="Q1138" s="2" t="n">
        <v>44240</v>
      </c>
    </row>
    <row r="1139">
      <c r="A1139" s="8" t="n">
        <v>34408875</v>
      </c>
      <c r="B1139" s="2">
        <f>INDEX(Tableau1[], MATCH(Tableau3[[#This Row],[REFERENCE]], Tableau1[NUMERO], 0), 2)</f>
        <v/>
      </c>
      <c r="C1139">
        <f>INDEX(Tableau1[], MATCH(Tableau3[[#This Row],[REFERENCE]], Tableau1[NUMERO], 0), 3)</f>
        <v/>
      </c>
      <c r="D1139">
        <f>INDEX(Tableau1[], MATCH(Tableau3[[#This Row],[REFERENCE]], Tableau1[NUMERO], 0),4)</f>
        <v/>
      </c>
      <c r="E1139">
        <f>INDEX(Tableau1[], MATCH(Tableau3[[#This Row],[REFERENCE]], Tableau1[NUMERO], 0), 5)</f>
        <v/>
      </c>
      <c r="H1139" t="inlineStr">
        <is>
          <t>trefimetaux</t>
        </is>
      </c>
      <c r="J1139" s="2" t="n">
        <v>44148</v>
      </c>
      <c r="K1139" s="2" t="n">
        <v>44148</v>
      </c>
      <c r="L1139" s="2" t="n"/>
      <c r="M1139" s="21" t="inlineStr">
        <is>
          <t>01</t>
        </is>
      </c>
      <c r="N1139" s="35" t="n">
        <v>1</v>
      </c>
      <c r="O1139" s="7" t="n">
        <v>60</v>
      </c>
      <c r="P1139" s="107" t="inlineStr">
        <is>
          <t>Délai à voir avec Mr THIAM</t>
        </is>
      </c>
      <c r="Q1139" s="2" t="n">
        <v>44240</v>
      </c>
    </row>
    <row r="1140">
      <c r="A1140" s="8" t="n">
        <v>34408876</v>
      </c>
      <c r="B1140" s="2">
        <f>INDEX(Tableau1[], MATCH(Tableau3[[#This Row],[REFERENCE]], Tableau1[NUMERO], 0), 2)</f>
        <v/>
      </c>
      <c r="C1140">
        <f>INDEX(Tableau1[], MATCH(Tableau3[[#This Row],[REFERENCE]], Tableau1[NUMERO], 0), 3)</f>
        <v/>
      </c>
      <c r="D1140">
        <f>INDEX(Tableau1[], MATCH(Tableau3[[#This Row],[REFERENCE]], Tableau1[NUMERO], 0),4)</f>
        <v/>
      </c>
      <c r="E1140">
        <f>INDEX(Tableau1[], MATCH(Tableau3[[#This Row],[REFERENCE]], Tableau1[NUMERO], 0), 5)</f>
        <v/>
      </c>
      <c r="H1140" t="inlineStr">
        <is>
          <t>trefimetaux</t>
        </is>
      </c>
      <c r="J1140" s="2" t="n">
        <v>44148</v>
      </c>
      <c r="K1140" s="2" t="n">
        <v>44148</v>
      </c>
      <c r="L1140" s="2" t="n"/>
      <c r="M1140" s="21" t="inlineStr">
        <is>
          <t>01</t>
        </is>
      </c>
      <c r="N1140" s="35" t="n">
        <v>1</v>
      </c>
      <c r="O1140" s="7" t="n">
        <v>60</v>
      </c>
      <c r="P1140" s="107" t="inlineStr">
        <is>
          <t>Délai à voir avec Mr THIAM</t>
        </is>
      </c>
      <c r="Q1140" s="2" t="n">
        <v>44240</v>
      </c>
    </row>
    <row r="1141">
      <c r="A1141" s="8" t="n">
        <v>34408877</v>
      </c>
      <c r="B1141" s="2">
        <f>INDEX(Tableau1[], MATCH(Tableau3[[#This Row],[REFERENCE]], Tableau1[NUMERO], 0), 2)</f>
        <v/>
      </c>
      <c r="C1141">
        <f>INDEX(Tableau1[], MATCH(Tableau3[[#This Row],[REFERENCE]], Tableau1[NUMERO], 0), 3)</f>
        <v/>
      </c>
      <c r="D1141">
        <f>INDEX(Tableau1[], MATCH(Tableau3[[#This Row],[REFERENCE]], Tableau1[NUMERO], 0),4)</f>
        <v/>
      </c>
      <c r="E1141">
        <f>INDEX(Tableau1[], MATCH(Tableau3[[#This Row],[REFERENCE]], Tableau1[NUMERO], 0), 5)</f>
        <v/>
      </c>
      <c r="H1141" t="inlineStr">
        <is>
          <t>trefimetaux</t>
        </is>
      </c>
      <c r="J1141" s="2" t="n">
        <v>44148</v>
      </c>
      <c r="K1141" s="2" t="n">
        <v>44148</v>
      </c>
      <c r="L1141" s="2" t="n"/>
      <c r="M1141" s="21" t="inlineStr">
        <is>
          <t>01</t>
        </is>
      </c>
      <c r="N1141" s="35" t="n">
        <v>1</v>
      </c>
      <c r="O1141" s="7" t="n">
        <v>60</v>
      </c>
      <c r="P1141" s="107" t="inlineStr">
        <is>
          <t>Délai à voir avec Mr THIAM</t>
        </is>
      </c>
      <c r="Q1141" s="2" t="n">
        <v>44240</v>
      </c>
    </row>
    <row r="1142">
      <c r="A1142" s="8" t="n">
        <v>34408884</v>
      </c>
      <c r="B1142" s="2">
        <f>INDEX(Tableau1[], MATCH(Tableau3[[#This Row],[REFERENCE]], Tableau1[NUMERO], 0), 2)</f>
        <v/>
      </c>
      <c r="C1142">
        <f>INDEX(Tableau1[], MATCH(Tableau3[[#This Row],[REFERENCE]], Tableau1[NUMERO], 0), 3)</f>
        <v/>
      </c>
      <c r="D1142">
        <f>INDEX(Tableau1[], MATCH(Tableau3[[#This Row],[REFERENCE]], Tableau1[NUMERO], 0),4)</f>
        <v/>
      </c>
      <c r="E1142">
        <f>INDEX(Tableau1[], MATCH(Tableau3[[#This Row],[REFERENCE]], Tableau1[NUMERO], 0), 5)</f>
        <v/>
      </c>
      <c r="H1142" t="inlineStr">
        <is>
          <t>trefimetaux</t>
        </is>
      </c>
      <c r="J1142" s="2" t="n">
        <v>44148</v>
      </c>
      <c r="K1142" s="2" t="n">
        <v>44148</v>
      </c>
      <c r="L1142" s="2" t="n"/>
      <c r="M1142" s="21" t="inlineStr">
        <is>
          <t>01</t>
        </is>
      </c>
      <c r="N1142" s="35" t="n">
        <v>1</v>
      </c>
      <c r="O1142" s="7" t="n">
        <v>60</v>
      </c>
      <c r="P1142" s="107" t="inlineStr">
        <is>
          <t>Délai à voir avec Mr THIAM</t>
        </is>
      </c>
      <c r="Q1142" s="2" t="n">
        <v>44240</v>
      </c>
    </row>
    <row r="1143">
      <c r="A1143" s="8" t="n">
        <v>34408885</v>
      </c>
      <c r="B1143" s="2">
        <f>INDEX(Tableau1[], MATCH(Tableau3[[#This Row],[REFERENCE]], Tableau1[NUMERO], 0), 2)</f>
        <v/>
      </c>
      <c r="C1143">
        <f>INDEX(Tableau1[], MATCH(Tableau3[[#This Row],[REFERENCE]], Tableau1[NUMERO], 0), 3)</f>
        <v/>
      </c>
      <c r="D1143">
        <f>INDEX(Tableau1[], MATCH(Tableau3[[#This Row],[REFERENCE]], Tableau1[NUMERO], 0),4)</f>
        <v/>
      </c>
      <c r="E1143">
        <f>INDEX(Tableau1[], MATCH(Tableau3[[#This Row],[REFERENCE]], Tableau1[NUMERO], 0), 5)</f>
        <v/>
      </c>
      <c r="H1143" t="inlineStr">
        <is>
          <t>trefimetaux</t>
        </is>
      </c>
      <c r="J1143" s="2" t="n">
        <v>44148</v>
      </c>
      <c r="K1143" s="2" t="n">
        <v>44148</v>
      </c>
      <c r="L1143" s="2" t="n"/>
      <c r="M1143" s="21" t="inlineStr">
        <is>
          <t>01</t>
        </is>
      </c>
      <c r="N1143" s="35" t="n">
        <v>1</v>
      </c>
      <c r="O1143" s="7" t="n">
        <v>60</v>
      </c>
      <c r="P1143" s="107" t="inlineStr">
        <is>
          <t>Délai à voir avec Mr THIAM</t>
        </is>
      </c>
      <c r="Q1143" s="2" t="n">
        <v>44240</v>
      </c>
    </row>
    <row r="1144">
      <c r="A1144" s="8" t="n">
        <v>34408886</v>
      </c>
      <c r="B1144" s="2">
        <f>INDEX(Tableau1[], MATCH(Tableau3[[#This Row],[REFERENCE]], Tableau1[NUMERO], 0), 2)</f>
        <v/>
      </c>
      <c r="C1144">
        <f>INDEX(Tableau1[], MATCH(Tableau3[[#This Row],[REFERENCE]], Tableau1[NUMERO], 0), 3)</f>
        <v/>
      </c>
      <c r="D1144">
        <f>INDEX(Tableau1[], MATCH(Tableau3[[#This Row],[REFERENCE]], Tableau1[NUMERO], 0),4)</f>
        <v/>
      </c>
      <c r="E1144">
        <f>INDEX(Tableau1[], MATCH(Tableau3[[#This Row],[REFERENCE]], Tableau1[NUMERO], 0), 5)</f>
        <v/>
      </c>
      <c r="H1144" t="inlineStr">
        <is>
          <t>trefimetaux</t>
        </is>
      </c>
      <c r="J1144" s="2" t="n">
        <v>44148</v>
      </c>
      <c r="K1144" s="2" t="n">
        <v>44148</v>
      </c>
      <c r="L1144" s="2" t="n"/>
      <c r="M1144" s="21" t="inlineStr">
        <is>
          <t>01</t>
        </is>
      </c>
      <c r="N1144" s="35" t="n">
        <v>1</v>
      </c>
      <c r="O1144" s="7" t="n">
        <v>60</v>
      </c>
      <c r="P1144" s="107" t="inlineStr">
        <is>
          <t>Délai à voir avec Mr THIAM</t>
        </is>
      </c>
      <c r="Q1144" s="2" t="n">
        <v>44240</v>
      </c>
    </row>
    <row r="1145">
      <c r="A1145" s="8" t="n">
        <v>34408887</v>
      </c>
      <c r="B1145" s="2">
        <f>INDEX(Tableau1[], MATCH(Tableau3[[#This Row],[REFERENCE]], Tableau1[NUMERO], 0), 2)</f>
        <v/>
      </c>
      <c r="C1145">
        <f>INDEX(Tableau1[], MATCH(Tableau3[[#This Row],[REFERENCE]], Tableau1[NUMERO], 0), 3)</f>
        <v/>
      </c>
      <c r="D1145">
        <f>INDEX(Tableau1[], MATCH(Tableau3[[#This Row],[REFERENCE]], Tableau1[NUMERO], 0),4)</f>
        <v/>
      </c>
      <c r="E1145">
        <f>INDEX(Tableau1[], MATCH(Tableau3[[#This Row],[REFERENCE]], Tableau1[NUMERO], 0), 5)</f>
        <v/>
      </c>
      <c r="H1145" t="inlineStr">
        <is>
          <t>trefimetaux</t>
        </is>
      </c>
      <c r="J1145" s="2" t="n">
        <v>44148</v>
      </c>
      <c r="K1145" s="2" t="n">
        <v>44148</v>
      </c>
      <c r="L1145" s="2" t="n"/>
      <c r="M1145" s="21" t="inlineStr">
        <is>
          <t>01</t>
        </is>
      </c>
      <c r="N1145" s="35" t="n">
        <v>1</v>
      </c>
      <c r="O1145" s="7" t="n">
        <v>60</v>
      </c>
      <c r="P1145" s="107" t="inlineStr">
        <is>
          <t>Délai à voir avec Mr THIAM</t>
        </is>
      </c>
      <c r="Q1145" s="2" t="n">
        <v>44240</v>
      </c>
    </row>
    <row r="1146">
      <c r="A1146" s="8" t="n">
        <v>34408888</v>
      </c>
      <c r="B1146" s="2">
        <f>INDEX(Tableau1[], MATCH(Tableau3[[#This Row],[REFERENCE]], Tableau1[NUMERO], 0), 2)</f>
        <v/>
      </c>
      <c r="C1146">
        <f>INDEX(Tableau1[], MATCH(Tableau3[[#This Row],[REFERENCE]], Tableau1[NUMERO], 0), 3)</f>
        <v/>
      </c>
      <c r="D1146">
        <f>INDEX(Tableau1[], MATCH(Tableau3[[#This Row],[REFERENCE]], Tableau1[NUMERO], 0),4)</f>
        <v/>
      </c>
      <c r="E1146">
        <f>INDEX(Tableau1[], MATCH(Tableau3[[#This Row],[REFERENCE]], Tableau1[NUMERO], 0), 5)</f>
        <v/>
      </c>
      <c r="H1146" t="inlineStr">
        <is>
          <t>trefimetaux</t>
        </is>
      </c>
      <c r="J1146" s="2" t="n">
        <v>44148</v>
      </c>
      <c r="K1146" s="2" t="n">
        <v>44148</v>
      </c>
      <c r="L1146" s="2" t="n"/>
      <c r="M1146" s="21" t="inlineStr">
        <is>
          <t>01</t>
        </is>
      </c>
      <c r="N1146" s="35" t="n">
        <v>1</v>
      </c>
      <c r="O1146" s="7" t="n">
        <v>60</v>
      </c>
      <c r="P1146" s="107" t="inlineStr">
        <is>
          <t>Délai à voir avec Mr THIAM</t>
        </is>
      </c>
      <c r="Q1146" s="2" t="n">
        <v>44240</v>
      </c>
    </row>
    <row r="1147">
      <c r="A1147" s="8" t="n">
        <v>34408889</v>
      </c>
      <c r="B1147" s="2">
        <f>INDEX(Tableau1[], MATCH(Tableau3[[#This Row],[REFERENCE]], Tableau1[NUMERO], 0), 2)</f>
        <v/>
      </c>
      <c r="C1147">
        <f>INDEX(Tableau1[], MATCH(Tableau3[[#This Row],[REFERENCE]], Tableau1[NUMERO], 0), 3)</f>
        <v/>
      </c>
      <c r="D1147">
        <f>INDEX(Tableau1[], MATCH(Tableau3[[#This Row],[REFERENCE]], Tableau1[NUMERO], 0),4)</f>
        <v/>
      </c>
      <c r="E1147">
        <f>INDEX(Tableau1[], MATCH(Tableau3[[#This Row],[REFERENCE]], Tableau1[NUMERO], 0), 5)</f>
        <v/>
      </c>
      <c r="H1147" t="inlineStr">
        <is>
          <t>trefimetaux</t>
        </is>
      </c>
      <c r="J1147" s="2" t="n">
        <v>44148</v>
      </c>
      <c r="K1147" s="2" t="n">
        <v>44148</v>
      </c>
      <c r="L1147" s="2" t="n"/>
      <c r="M1147" s="21" t="inlineStr">
        <is>
          <t>01</t>
        </is>
      </c>
      <c r="N1147" s="35" t="n">
        <v>1</v>
      </c>
      <c r="O1147" s="7" t="n">
        <v>60</v>
      </c>
      <c r="P1147" s="107" t="inlineStr">
        <is>
          <t>Délai à voir avec Mr THIAM</t>
        </is>
      </c>
      <c r="Q1147" s="2" t="n">
        <v>44240</v>
      </c>
    </row>
    <row r="1148">
      <c r="A1148" s="8" t="n">
        <v>34408890</v>
      </c>
      <c r="B1148" s="2">
        <f>INDEX(Tableau1[], MATCH(Tableau3[[#This Row],[REFERENCE]], Tableau1[NUMERO], 0), 2)</f>
        <v/>
      </c>
      <c r="C1148">
        <f>INDEX(Tableau1[], MATCH(Tableau3[[#This Row],[REFERENCE]], Tableau1[NUMERO], 0), 3)</f>
        <v/>
      </c>
      <c r="D1148">
        <f>INDEX(Tableau1[], MATCH(Tableau3[[#This Row],[REFERENCE]], Tableau1[NUMERO], 0),4)</f>
        <v/>
      </c>
      <c r="E1148">
        <f>INDEX(Tableau1[], MATCH(Tableau3[[#This Row],[REFERENCE]], Tableau1[NUMERO], 0), 5)</f>
        <v/>
      </c>
      <c r="H1148" t="inlineStr">
        <is>
          <t>trefimetaux</t>
        </is>
      </c>
      <c r="J1148" s="2" t="n">
        <v>44148</v>
      </c>
      <c r="K1148" s="2" t="n">
        <v>44148</v>
      </c>
      <c r="L1148" s="2" t="n"/>
      <c r="M1148" s="21" t="inlineStr">
        <is>
          <t>01</t>
        </is>
      </c>
      <c r="N1148" s="35" t="n">
        <v>1</v>
      </c>
      <c r="O1148" s="7" t="n">
        <v>60</v>
      </c>
      <c r="P1148" s="107" t="inlineStr">
        <is>
          <t>Délai à voir avec Mr THIAM</t>
        </is>
      </c>
      <c r="Q1148" s="2" t="n">
        <v>44240</v>
      </c>
    </row>
    <row r="1149">
      <c r="A1149" s="8" t="n">
        <v>34408891</v>
      </c>
      <c r="B1149" s="2">
        <f>INDEX(Tableau1[], MATCH(Tableau3[[#This Row],[REFERENCE]], Tableau1[NUMERO], 0), 2)</f>
        <v/>
      </c>
      <c r="C1149">
        <f>INDEX(Tableau1[], MATCH(Tableau3[[#This Row],[REFERENCE]], Tableau1[NUMERO], 0), 3)</f>
        <v/>
      </c>
      <c r="D1149">
        <f>INDEX(Tableau1[], MATCH(Tableau3[[#This Row],[REFERENCE]], Tableau1[NUMERO], 0),4)</f>
        <v/>
      </c>
      <c r="E1149">
        <f>INDEX(Tableau1[], MATCH(Tableau3[[#This Row],[REFERENCE]], Tableau1[NUMERO], 0), 5)</f>
        <v/>
      </c>
      <c r="H1149" t="inlineStr">
        <is>
          <t>trefimetaux</t>
        </is>
      </c>
      <c r="J1149" s="2" t="n">
        <v>44148</v>
      </c>
      <c r="K1149" s="2" t="n">
        <v>44148</v>
      </c>
      <c r="L1149" s="2" t="n"/>
      <c r="M1149" s="21" t="inlineStr">
        <is>
          <t>01</t>
        </is>
      </c>
      <c r="N1149" s="35" t="n">
        <v>1</v>
      </c>
      <c r="O1149" s="7" t="n">
        <v>60</v>
      </c>
      <c r="P1149" s="107" t="inlineStr">
        <is>
          <t>Délai à voir avec Mr THIAM</t>
        </is>
      </c>
      <c r="Q1149" s="2" t="n">
        <v>44240</v>
      </c>
    </row>
    <row r="1150">
      <c r="A1150" s="8" t="n">
        <v>34408906</v>
      </c>
      <c r="B1150" s="2">
        <f>INDEX(Tableau1[], MATCH(Tableau3[[#This Row],[REFERENCE]], Tableau1[NUMERO], 0), 2)</f>
        <v/>
      </c>
      <c r="C1150">
        <f>INDEX(Tableau1[], MATCH(Tableau3[[#This Row],[REFERENCE]], Tableau1[NUMERO], 0), 3)</f>
        <v/>
      </c>
      <c r="D1150">
        <f>INDEX(Tableau1[], MATCH(Tableau3[[#This Row],[REFERENCE]], Tableau1[NUMERO], 0),4)</f>
        <v/>
      </c>
      <c r="E1150">
        <f>INDEX(Tableau1[], MATCH(Tableau3[[#This Row],[REFERENCE]], Tableau1[NUMERO], 0), 5)</f>
        <v/>
      </c>
      <c r="H1150" t="inlineStr">
        <is>
          <t>trefimetaux</t>
        </is>
      </c>
      <c r="J1150" s="2" t="n">
        <v>44148</v>
      </c>
      <c r="K1150" s="2" t="n">
        <v>44148</v>
      </c>
      <c r="L1150" s="2" t="n"/>
      <c r="M1150" s="21" t="inlineStr">
        <is>
          <t>01</t>
        </is>
      </c>
      <c r="N1150" s="35" t="n">
        <v>1</v>
      </c>
      <c r="O1150" s="7" t="n">
        <v>60</v>
      </c>
      <c r="P1150" s="107" t="inlineStr">
        <is>
          <t>Délai à voir avec Mr THIAM</t>
        </is>
      </c>
      <c r="Q1150" s="2" t="n">
        <v>44240</v>
      </c>
    </row>
    <row r="1151">
      <c r="A1151" s="8" t="n">
        <v>34408910</v>
      </c>
      <c r="B1151" s="2">
        <f>INDEX(Tableau1[], MATCH(Tableau3[[#This Row],[REFERENCE]], Tableau1[NUMERO], 0), 2)</f>
        <v/>
      </c>
      <c r="C1151">
        <f>INDEX(Tableau1[], MATCH(Tableau3[[#This Row],[REFERENCE]], Tableau1[NUMERO], 0), 3)</f>
        <v/>
      </c>
      <c r="D1151">
        <f>INDEX(Tableau1[], MATCH(Tableau3[[#This Row],[REFERENCE]], Tableau1[NUMERO], 0),4)</f>
        <v/>
      </c>
      <c r="E1151">
        <f>INDEX(Tableau1[], MATCH(Tableau3[[#This Row],[REFERENCE]], Tableau1[NUMERO], 0), 5)</f>
        <v/>
      </c>
      <c r="H1151" t="inlineStr">
        <is>
          <t>trefimetaux</t>
        </is>
      </c>
      <c r="J1151" s="2" t="n">
        <v>44148</v>
      </c>
      <c r="K1151" s="2" t="n">
        <v>44148</v>
      </c>
      <c r="L1151" s="2" t="n"/>
      <c r="M1151" s="21" t="inlineStr">
        <is>
          <t>01</t>
        </is>
      </c>
      <c r="N1151" s="35" t="n">
        <v>1</v>
      </c>
      <c r="O1151" s="7" t="n">
        <v>60</v>
      </c>
      <c r="P1151" s="107" t="inlineStr">
        <is>
          <t>Délai à voir avec Mr THIAM</t>
        </is>
      </c>
      <c r="Q1151" s="2" t="n">
        <v>44240</v>
      </c>
    </row>
    <row r="1152">
      <c r="A1152" s="8" t="n">
        <v>34408911</v>
      </c>
      <c r="B1152" s="2">
        <f>INDEX(Tableau1[], MATCH(Tableau3[[#This Row],[REFERENCE]], Tableau1[NUMERO], 0), 2)</f>
        <v/>
      </c>
      <c r="C1152">
        <f>INDEX(Tableau1[], MATCH(Tableau3[[#This Row],[REFERENCE]], Tableau1[NUMERO], 0), 3)</f>
        <v/>
      </c>
      <c r="D1152">
        <f>INDEX(Tableau1[], MATCH(Tableau3[[#This Row],[REFERENCE]], Tableau1[NUMERO], 0),4)</f>
        <v/>
      </c>
      <c r="E1152">
        <f>INDEX(Tableau1[], MATCH(Tableau3[[#This Row],[REFERENCE]], Tableau1[NUMERO], 0), 5)</f>
        <v/>
      </c>
      <c r="H1152" t="inlineStr">
        <is>
          <t>trefimetaux</t>
        </is>
      </c>
      <c r="J1152" s="2" t="n">
        <v>44148</v>
      </c>
      <c r="K1152" s="2" t="n">
        <v>44148</v>
      </c>
      <c r="L1152" s="2" t="n"/>
      <c r="M1152" s="21" t="inlineStr">
        <is>
          <t>01</t>
        </is>
      </c>
      <c r="N1152" s="35" t="n">
        <v>1</v>
      </c>
      <c r="O1152" s="7" t="n">
        <v>60</v>
      </c>
      <c r="P1152" s="107" t="inlineStr">
        <is>
          <t>Délai à voir avec Mr THIAM</t>
        </is>
      </c>
      <c r="Q1152" s="2" t="n">
        <v>44240</v>
      </c>
    </row>
    <row r="1153">
      <c r="A1153" s="8" t="n">
        <v>34408912</v>
      </c>
      <c r="B1153" s="2">
        <f>INDEX(Tableau1[], MATCH(Tableau3[[#This Row],[REFERENCE]], Tableau1[NUMERO], 0), 2)</f>
        <v/>
      </c>
      <c r="C1153">
        <f>INDEX(Tableau1[], MATCH(Tableau3[[#This Row],[REFERENCE]], Tableau1[NUMERO], 0), 3)</f>
        <v/>
      </c>
      <c r="D1153">
        <f>INDEX(Tableau1[], MATCH(Tableau3[[#This Row],[REFERENCE]], Tableau1[NUMERO], 0),4)</f>
        <v/>
      </c>
      <c r="E1153">
        <f>INDEX(Tableau1[], MATCH(Tableau3[[#This Row],[REFERENCE]], Tableau1[NUMERO], 0), 5)</f>
        <v/>
      </c>
      <c r="H1153" t="inlineStr">
        <is>
          <t>trefimetaux</t>
        </is>
      </c>
      <c r="J1153" s="2" t="n">
        <v>44148</v>
      </c>
      <c r="K1153" s="2" t="n">
        <v>44148</v>
      </c>
      <c r="L1153" s="2" t="n"/>
      <c r="M1153" s="21" t="inlineStr">
        <is>
          <t>01</t>
        </is>
      </c>
      <c r="N1153" s="35" t="n">
        <v>1</v>
      </c>
      <c r="O1153" s="7" t="n">
        <v>60</v>
      </c>
      <c r="P1153" s="107" t="inlineStr">
        <is>
          <t>Délai à voir avec Mr THIAM</t>
        </is>
      </c>
      <c r="Q1153" s="2" t="n">
        <v>44240</v>
      </c>
    </row>
    <row r="1154">
      <c r="A1154" s="8" t="n">
        <v>34408914</v>
      </c>
      <c r="B1154" s="2">
        <f>INDEX(Tableau1[], MATCH(Tableau3[[#This Row],[REFERENCE]], Tableau1[NUMERO], 0), 2)</f>
        <v/>
      </c>
      <c r="C1154">
        <f>INDEX(Tableau1[], MATCH(Tableau3[[#This Row],[REFERENCE]], Tableau1[NUMERO], 0), 3)</f>
        <v/>
      </c>
      <c r="D1154">
        <f>INDEX(Tableau1[], MATCH(Tableau3[[#This Row],[REFERENCE]], Tableau1[NUMERO], 0),4)</f>
        <v/>
      </c>
      <c r="E1154">
        <f>INDEX(Tableau1[], MATCH(Tableau3[[#This Row],[REFERENCE]], Tableau1[NUMERO], 0), 5)</f>
        <v/>
      </c>
      <c r="H1154" t="inlineStr">
        <is>
          <t>trefimetaux</t>
        </is>
      </c>
      <c r="J1154" s="2" t="n">
        <v>44148</v>
      </c>
      <c r="K1154" s="2" t="n">
        <v>44148</v>
      </c>
      <c r="L1154" s="2" t="n"/>
      <c r="M1154" s="21" t="inlineStr">
        <is>
          <t>01</t>
        </is>
      </c>
      <c r="N1154" s="35" t="n">
        <v>1</v>
      </c>
      <c r="O1154" s="7" t="n">
        <v>60</v>
      </c>
      <c r="P1154" s="107" t="inlineStr">
        <is>
          <t>Délai à voir avec Mr THIAM</t>
        </is>
      </c>
      <c r="Q1154" s="2" t="n">
        <v>44240</v>
      </c>
    </row>
    <row r="1155">
      <c r="A1155" s="8" t="n">
        <v>34408922</v>
      </c>
      <c r="B1155" s="2">
        <f>INDEX(Tableau1[], MATCH(Tableau3[[#This Row],[REFERENCE]], Tableau1[NUMERO], 0), 2)</f>
        <v/>
      </c>
      <c r="C1155">
        <f>INDEX(Tableau1[], MATCH(Tableau3[[#This Row],[REFERENCE]], Tableau1[NUMERO], 0), 3)</f>
        <v/>
      </c>
      <c r="D1155">
        <f>INDEX(Tableau1[], MATCH(Tableau3[[#This Row],[REFERENCE]], Tableau1[NUMERO], 0),4)</f>
        <v/>
      </c>
      <c r="E1155">
        <f>INDEX(Tableau1[], MATCH(Tableau3[[#This Row],[REFERENCE]], Tableau1[NUMERO], 0), 5)</f>
        <v/>
      </c>
      <c r="H1155" t="inlineStr">
        <is>
          <t>trefimetaux</t>
        </is>
      </c>
      <c r="J1155" s="2" t="n">
        <v>44148</v>
      </c>
      <c r="K1155" s="2" t="n">
        <v>44148</v>
      </c>
      <c r="L1155" s="2" t="n"/>
      <c r="M1155" s="21" t="inlineStr">
        <is>
          <t>01</t>
        </is>
      </c>
      <c r="N1155" s="35" t="n">
        <v>1</v>
      </c>
      <c r="O1155" s="7" t="n">
        <v>60</v>
      </c>
      <c r="P1155" s="107" t="inlineStr">
        <is>
          <t>Délai à voir avec Mr THIAM</t>
        </is>
      </c>
      <c r="Q1155" s="2" t="n">
        <v>44240</v>
      </c>
    </row>
    <row r="1156">
      <c r="A1156" s="8" t="n">
        <v>34408923</v>
      </c>
      <c r="B1156" s="2">
        <f>INDEX(Tableau1[], MATCH(Tableau3[[#This Row],[REFERENCE]], Tableau1[NUMERO], 0), 2)</f>
        <v/>
      </c>
      <c r="C1156">
        <f>INDEX(Tableau1[], MATCH(Tableau3[[#This Row],[REFERENCE]], Tableau1[NUMERO], 0), 3)</f>
        <v/>
      </c>
      <c r="D1156">
        <f>INDEX(Tableau1[], MATCH(Tableau3[[#This Row],[REFERENCE]], Tableau1[NUMERO], 0),4)</f>
        <v/>
      </c>
      <c r="E1156">
        <f>INDEX(Tableau1[], MATCH(Tableau3[[#This Row],[REFERENCE]], Tableau1[NUMERO], 0), 5)</f>
        <v/>
      </c>
      <c r="H1156" t="inlineStr">
        <is>
          <t>trefimetaux</t>
        </is>
      </c>
      <c r="J1156" s="2" t="n">
        <v>44148</v>
      </c>
      <c r="K1156" s="2" t="n">
        <v>44148</v>
      </c>
      <c r="L1156" s="2" t="n"/>
      <c r="M1156" s="21" t="inlineStr">
        <is>
          <t>01</t>
        </is>
      </c>
      <c r="N1156" s="35" t="n">
        <v>1</v>
      </c>
      <c r="O1156" s="7" t="n">
        <v>60</v>
      </c>
      <c r="P1156" s="107" t="inlineStr">
        <is>
          <t>Délai à voir avec Mr THIAM</t>
        </is>
      </c>
      <c r="Q1156" s="2" t="n">
        <v>44240</v>
      </c>
    </row>
    <row r="1157">
      <c r="A1157" s="8" t="n">
        <v>34408924</v>
      </c>
      <c r="B1157" s="2">
        <f>INDEX(Tableau1[], MATCH(Tableau3[[#This Row],[REFERENCE]], Tableau1[NUMERO], 0), 2)</f>
        <v/>
      </c>
      <c r="C1157">
        <f>INDEX(Tableau1[], MATCH(Tableau3[[#This Row],[REFERENCE]], Tableau1[NUMERO], 0), 3)</f>
        <v/>
      </c>
      <c r="D1157">
        <f>INDEX(Tableau1[], MATCH(Tableau3[[#This Row],[REFERENCE]], Tableau1[NUMERO], 0),4)</f>
        <v/>
      </c>
      <c r="E1157">
        <f>INDEX(Tableau1[], MATCH(Tableau3[[#This Row],[REFERENCE]], Tableau1[NUMERO], 0), 5)</f>
        <v/>
      </c>
      <c r="H1157" t="inlineStr">
        <is>
          <t>trefimetaux</t>
        </is>
      </c>
      <c r="J1157" s="2" t="n">
        <v>44148</v>
      </c>
      <c r="K1157" s="2" t="n">
        <v>44148</v>
      </c>
      <c r="L1157" s="2" t="n"/>
      <c r="M1157" s="21" t="inlineStr">
        <is>
          <t>01</t>
        </is>
      </c>
      <c r="N1157" s="35" t="n">
        <v>1</v>
      </c>
      <c r="O1157" s="7" t="n">
        <v>60</v>
      </c>
      <c r="P1157" s="107" t="inlineStr">
        <is>
          <t>Délai à voir avec Mr THIAM</t>
        </is>
      </c>
      <c r="Q1157" s="2" t="n">
        <v>44240</v>
      </c>
    </row>
    <row r="1158">
      <c r="A1158" s="8" t="n">
        <v>34408925</v>
      </c>
      <c r="B1158" s="2">
        <f>INDEX(Tableau1[], MATCH(Tableau3[[#This Row],[REFERENCE]], Tableau1[NUMERO], 0), 2)</f>
        <v/>
      </c>
      <c r="C1158">
        <f>INDEX(Tableau1[], MATCH(Tableau3[[#This Row],[REFERENCE]], Tableau1[NUMERO], 0), 3)</f>
        <v/>
      </c>
      <c r="D1158">
        <f>INDEX(Tableau1[], MATCH(Tableau3[[#This Row],[REFERENCE]], Tableau1[NUMERO], 0),4)</f>
        <v/>
      </c>
      <c r="E1158">
        <f>INDEX(Tableau1[], MATCH(Tableau3[[#This Row],[REFERENCE]], Tableau1[NUMERO], 0), 5)</f>
        <v/>
      </c>
      <c r="H1158" t="inlineStr">
        <is>
          <t>trefimetaux</t>
        </is>
      </c>
      <c r="J1158" s="2" t="n">
        <v>44148</v>
      </c>
      <c r="K1158" s="2" t="n">
        <v>44148</v>
      </c>
      <c r="L1158" s="2" t="n"/>
      <c r="M1158" s="21" t="inlineStr">
        <is>
          <t>01</t>
        </is>
      </c>
      <c r="N1158" s="35" t="n">
        <v>1</v>
      </c>
      <c r="O1158" s="7" t="n">
        <v>60</v>
      </c>
      <c r="P1158" s="107" t="inlineStr">
        <is>
          <t>Délai à voir avec Mr THIAM</t>
        </is>
      </c>
      <c r="Q1158" s="2" t="n">
        <v>44240</v>
      </c>
    </row>
    <row r="1159">
      <c r="A1159" s="8" t="n">
        <v>34408926</v>
      </c>
      <c r="B1159" s="2">
        <f>INDEX(Tableau1[], MATCH(Tableau3[[#This Row],[REFERENCE]], Tableau1[NUMERO], 0), 2)</f>
        <v/>
      </c>
      <c r="C1159">
        <f>INDEX(Tableau1[], MATCH(Tableau3[[#This Row],[REFERENCE]], Tableau1[NUMERO], 0), 3)</f>
        <v/>
      </c>
      <c r="D1159">
        <f>INDEX(Tableau1[], MATCH(Tableau3[[#This Row],[REFERENCE]], Tableau1[NUMERO], 0),4)</f>
        <v/>
      </c>
      <c r="E1159">
        <f>INDEX(Tableau1[], MATCH(Tableau3[[#This Row],[REFERENCE]], Tableau1[NUMERO], 0), 5)</f>
        <v/>
      </c>
      <c r="H1159" t="inlineStr">
        <is>
          <t>trefimetaux</t>
        </is>
      </c>
      <c r="J1159" s="2" t="n">
        <v>44148</v>
      </c>
      <c r="K1159" s="2" t="n">
        <v>44148</v>
      </c>
      <c r="L1159" s="2" t="n"/>
      <c r="M1159" s="21" t="inlineStr">
        <is>
          <t>01</t>
        </is>
      </c>
      <c r="N1159" s="35" t="n">
        <v>1</v>
      </c>
      <c r="O1159" s="7" t="n">
        <v>60</v>
      </c>
      <c r="P1159" s="107" t="inlineStr">
        <is>
          <t>Délai à voir avec Mr THIAM</t>
        </is>
      </c>
      <c r="Q1159" s="2" t="n">
        <v>44240</v>
      </c>
    </row>
    <row r="1160">
      <c r="A1160" s="8" t="n">
        <v>34408927</v>
      </c>
      <c r="B1160" s="2">
        <f>INDEX(Tableau1[], MATCH(Tableau3[[#This Row],[REFERENCE]], Tableau1[NUMERO], 0), 2)</f>
        <v/>
      </c>
      <c r="C1160">
        <f>INDEX(Tableau1[], MATCH(Tableau3[[#This Row],[REFERENCE]], Tableau1[NUMERO], 0), 3)</f>
        <v/>
      </c>
      <c r="D1160">
        <f>INDEX(Tableau1[], MATCH(Tableau3[[#This Row],[REFERENCE]], Tableau1[NUMERO], 0),4)</f>
        <v/>
      </c>
      <c r="E1160">
        <f>INDEX(Tableau1[], MATCH(Tableau3[[#This Row],[REFERENCE]], Tableau1[NUMERO], 0), 5)</f>
        <v/>
      </c>
      <c r="H1160" t="inlineStr">
        <is>
          <t>trefimetaux</t>
        </is>
      </c>
      <c r="J1160" s="2" t="n">
        <v>44148</v>
      </c>
      <c r="K1160" s="2" t="n">
        <v>44148</v>
      </c>
      <c r="L1160" s="2" t="n"/>
      <c r="M1160" s="21" t="inlineStr">
        <is>
          <t>01</t>
        </is>
      </c>
      <c r="N1160" s="35" t="n">
        <v>1</v>
      </c>
      <c r="O1160" s="7" t="n">
        <v>60</v>
      </c>
      <c r="P1160" s="107" t="inlineStr">
        <is>
          <t>Délai à voir avec Mr THIAM</t>
        </is>
      </c>
      <c r="Q1160" s="2" t="n">
        <v>44240</v>
      </c>
    </row>
    <row r="1161">
      <c r="A1161" s="8" t="n">
        <v>34408928</v>
      </c>
      <c r="B1161" s="2">
        <f>INDEX(Tableau1[], MATCH(Tableau3[[#This Row],[REFERENCE]], Tableau1[NUMERO], 0), 2)</f>
        <v/>
      </c>
      <c r="C1161">
        <f>INDEX(Tableau1[], MATCH(Tableau3[[#This Row],[REFERENCE]], Tableau1[NUMERO], 0), 3)</f>
        <v/>
      </c>
      <c r="D1161">
        <f>INDEX(Tableau1[], MATCH(Tableau3[[#This Row],[REFERENCE]], Tableau1[NUMERO], 0),4)</f>
        <v/>
      </c>
      <c r="E1161">
        <f>INDEX(Tableau1[], MATCH(Tableau3[[#This Row],[REFERENCE]], Tableau1[NUMERO], 0), 5)</f>
        <v/>
      </c>
      <c r="H1161" t="inlineStr">
        <is>
          <t>trefimetaux</t>
        </is>
      </c>
      <c r="J1161" s="2" t="n">
        <v>44148</v>
      </c>
      <c r="K1161" s="2" t="n">
        <v>44148</v>
      </c>
      <c r="L1161" s="2" t="n"/>
      <c r="M1161" s="21" t="inlineStr">
        <is>
          <t>01</t>
        </is>
      </c>
      <c r="N1161" s="35" t="n">
        <v>1</v>
      </c>
      <c r="O1161" s="7" t="n">
        <v>60</v>
      </c>
      <c r="P1161" s="107" t="inlineStr">
        <is>
          <t>Délai à voir avec Mr THIAM</t>
        </is>
      </c>
      <c r="Q1161" s="2" t="n">
        <v>44240</v>
      </c>
    </row>
    <row r="1162">
      <c r="A1162" s="8" t="n">
        <v>34408929</v>
      </c>
      <c r="B1162" s="2">
        <f>INDEX(Tableau1[], MATCH(Tableau3[[#This Row],[REFERENCE]], Tableau1[NUMERO], 0), 2)</f>
        <v/>
      </c>
      <c r="C1162">
        <f>INDEX(Tableau1[], MATCH(Tableau3[[#This Row],[REFERENCE]], Tableau1[NUMERO], 0), 3)</f>
        <v/>
      </c>
      <c r="D1162">
        <f>INDEX(Tableau1[], MATCH(Tableau3[[#This Row],[REFERENCE]], Tableau1[NUMERO], 0),4)</f>
        <v/>
      </c>
      <c r="E1162">
        <f>INDEX(Tableau1[], MATCH(Tableau3[[#This Row],[REFERENCE]], Tableau1[NUMERO], 0), 5)</f>
        <v/>
      </c>
      <c r="H1162" t="inlineStr">
        <is>
          <t>trefimetaux</t>
        </is>
      </c>
      <c r="J1162" s="2" t="n">
        <v>44148</v>
      </c>
      <c r="K1162" s="2" t="n">
        <v>44148</v>
      </c>
      <c r="L1162" s="2" t="n"/>
      <c r="M1162" s="21" t="inlineStr">
        <is>
          <t>01</t>
        </is>
      </c>
      <c r="N1162" s="35" t="n">
        <v>1</v>
      </c>
      <c r="O1162" s="7" t="n">
        <v>60</v>
      </c>
      <c r="P1162" s="107" t="inlineStr">
        <is>
          <t>Délai à voir avec Mr THIAM</t>
        </is>
      </c>
      <c r="Q1162" s="2" t="n">
        <v>44240</v>
      </c>
    </row>
    <row r="1163">
      <c r="A1163" s="8" t="n">
        <v>34408939</v>
      </c>
      <c r="B1163" s="2">
        <f>INDEX(Tableau1[], MATCH(Tableau3[[#This Row],[REFERENCE]], Tableau1[NUMERO], 0), 2)</f>
        <v/>
      </c>
      <c r="C1163">
        <f>INDEX(Tableau1[], MATCH(Tableau3[[#This Row],[REFERENCE]], Tableau1[NUMERO], 0), 3)</f>
        <v/>
      </c>
      <c r="D1163">
        <f>INDEX(Tableau1[], MATCH(Tableau3[[#This Row],[REFERENCE]], Tableau1[NUMERO], 0),4)</f>
        <v/>
      </c>
      <c r="E1163">
        <f>INDEX(Tableau1[], MATCH(Tableau3[[#This Row],[REFERENCE]], Tableau1[NUMERO], 0), 5)</f>
        <v/>
      </c>
      <c r="H1163" t="inlineStr">
        <is>
          <t>trefimetaux</t>
        </is>
      </c>
      <c r="J1163" s="2" t="n">
        <v>44148</v>
      </c>
      <c r="K1163" s="2" t="n">
        <v>44148</v>
      </c>
      <c r="L1163" s="2" t="n"/>
      <c r="M1163" s="21" t="inlineStr">
        <is>
          <t>01</t>
        </is>
      </c>
      <c r="N1163" s="35" t="n">
        <v>1</v>
      </c>
      <c r="O1163" s="7" t="n">
        <v>60</v>
      </c>
      <c r="P1163" s="107" t="inlineStr">
        <is>
          <t>Délai à voir avec Mr THIAM</t>
        </is>
      </c>
      <c r="Q1163" s="2" t="n">
        <v>44240</v>
      </c>
    </row>
    <row r="1164">
      <c r="A1164" s="8" t="n">
        <v>34408851</v>
      </c>
      <c r="B1164" s="2">
        <f>INDEX(Tableau1[], MATCH(Tableau3[[#This Row],[REFERENCE]], Tableau1[NUMERO], 0), 2)</f>
        <v/>
      </c>
      <c r="C1164">
        <f>INDEX(Tableau1[], MATCH(Tableau3[[#This Row],[REFERENCE]], Tableau1[NUMERO], 0), 3)</f>
        <v/>
      </c>
      <c r="D1164">
        <f>INDEX(Tableau1[], MATCH(Tableau3[[#This Row],[REFERENCE]], Tableau1[NUMERO], 0),4)</f>
        <v/>
      </c>
      <c r="E1164">
        <f>INDEX(Tableau1[], MATCH(Tableau3[[#This Row],[REFERENCE]], Tableau1[NUMERO], 0), 5)</f>
        <v/>
      </c>
      <c r="H1164" t="inlineStr">
        <is>
          <t>trefimetaux</t>
        </is>
      </c>
      <c r="J1164" s="2" t="n">
        <v>44148</v>
      </c>
      <c r="K1164" s="2" t="n">
        <v>44148</v>
      </c>
      <c r="L1164" s="2" t="n"/>
      <c r="M1164" s="21" t="inlineStr">
        <is>
          <t>01</t>
        </is>
      </c>
      <c r="N1164" s="35" t="n">
        <v>5</v>
      </c>
      <c r="O1164" s="7" t="n">
        <v>12.2</v>
      </c>
      <c r="P1164" s="107" t="inlineStr">
        <is>
          <t>Délai à voir avec Mr THIAM</t>
        </is>
      </c>
      <c r="Q1164" s="2" t="n">
        <v>44240</v>
      </c>
    </row>
    <row r="1165">
      <c r="A1165" s="8" t="n">
        <v>34408852</v>
      </c>
      <c r="B1165" s="2">
        <f>INDEX(Tableau1[], MATCH(Tableau3[[#This Row],[REFERENCE]], Tableau1[NUMERO], 0), 2)</f>
        <v/>
      </c>
      <c r="C1165">
        <f>INDEX(Tableau1[], MATCH(Tableau3[[#This Row],[REFERENCE]], Tableau1[NUMERO], 0), 3)</f>
        <v/>
      </c>
      <c r="D1165">
        <f>INDEX(Tableau1[], MATCH(Tableau3[[#This Row],[REFERENCE]], Tableau1[NUMERO], 0),4)</f>
        <v/>
      </c>
      <c r="E1165">
        <f>INDEX(Tableau1[], MATCH(Tableau3[[#This Row],[REFERENCE]], Tableau1[NUMERO], 0), 5)</f>
        <v/>
      </c>
      <c r="H1165" t="inlineStr">
        <is>
          <t>trefimetaux</t>
        </is>
      </c>
      <c r="J1165" s="2" t="n">
        <v>44148</v>
      </c>
      <c r="K1165" s="2" t="n">
        <v>44148</v>
      </c>
      <c r="L1165" s="2" t="n"/>
      <c r="M1165" s="21" t="inlineStr">
        <is>
          <t>01</t>
        </is>
      </c>
      <c r="N1165" s="35" t="n">
        <v>5</v>
      </c>
      <c r="O1165" s="7" t="n">
        <v>14.8</v>
      </c>
      <c r="P1165" s="107" t="inlineStr">
        <is>
          <t>Délai à voir avec Mr THIAM</t>
        </is>
      </c>
      <c r="Q1165" s="2" t="n">
        <v>44240</v>
      </c>
    </row>
    <row r="1166">
      <c r="A1166" s="8" t="n">
        <v>34408853</v>
      </c>
      <c r="B1166" s="2">
        <f>INDEX(Tableau1[], MATCH(Tableau3[[#This Row],[REFERENCE]], Tableau1[NUMERO], 0), 2)</f>
        <v/>
      </c>
      <c r="C1166">
        <f>INDEX(Tableau1[], MATCH(Tableau3[[#This Row],[REFERENCE]], Tableau1[NUMERO], 0), 3)</f>
        <v/>
      </c>
      <c r="D1166">
        <f>INDEX(Tableau1[], MATCH(Tableau3[[#This Row],[REFERENCE]], Tableau1[NUMERO], 0),4)</f>
        <v/>
      </c>
      <c r="E1166">
        <f>INDEX(Tableau1[], MATCH(Tableau3[[#This Row],[REFERENCE]], Tableau1[NUMERO], 0), 5)</f>
        <v/>
      </c>
      <c r="H1166" t="inlineStr">
        <is>
          <t>trefimetaux</t>
        </is>
      </c>
      <c r="J1166" s="2" t="n">
        <v>44148</v>
      </c>
      <c r="K1166" s="2" t="n">
        <v>44148</v>
      </c>
      <c r="L1166" s="2" t="n"/>
      <c r="M1166" s="21" t="inlineStr">
        <is>
          <t>01</t>
        </is>
      </c>
      <c r="N1166" s="35" t="n">
        <v>5</v>
      </c>
      <c r="O1166" s="7" t="n">
        <v>17.9</v>
      </c>
      <c r="P1166" s="107" t="inlineStr">
        <is>
          <t>Délai à voir avec Mr THIAM</t>
        </is>
      </c>
      <c r="Q1166" s="2" t="n">
        <v>44240</v>
      </c>
    </row>
    <row r="1167">
      <c r="A1167" s="8" t="n">
        <v>34408866</v>
      </c>
      <c r="B1167" s="2">
        <f>INDEX(Tableau1[], MATCH(Tableau3[[#This Row],[REFERENCE]], Tableau1[NUMERO], 0), 2)</f>
        <v/>
      </c>
      <c r="C1167">
        <f>INDEX(Tableau1[], MATCH(Tableau3[[#This Row],[REFERENCE]], Tableau1[NUMERO], 0), 3)</f>
        <v/>
      </c>
      <c r="D1167">
        <f>INDEX(Tableau1[], MATCH(Tableau3[[#This Row],[REFERENCE]], Tableau1[NUMERO], 0),4)</f>
        <v/>
      </c>
      <c r="E1167">
        <f>INDEX(Tableau1[], MATCH(Tableau3[[#This Row],[REFERENCE]], Tableau1[NUMERO], 0), 5)</f>
        <v/>
      </c>
      <c r="H1167" t="inlineStr">
        <is>
          <t>trefimetaux</t>
        </is>
      </c>
      <c r="J1167" s="2" t="n">
        <v>44148</v>
      </c>
      <c r="K1167" s="2" t="n">
        <v>44148</v>
      </c>
      <c r="L1167" s="2" t="n"/>
      <c r="M1167" s="21" t="inlineStr">
        <is>
          <t>01</t>
        </is>
      </c>
      <c r="N1167" s="35" t="n">
        <v>5</v>
      </c>
      <c r="O1167" s="7" t="n">
        <v>5.6</v>
      </c>
      <c r="P1167" s="107" t="inlineStr">
        <is>
          <t>Délai à voir avec Mr THIAM</t>
        </is>
      </c>
      <c r="Q1167" s="2" t="n">
        <v>44240</v>
      </c>
    </row>
    <row r="1168">
      <c r="A1168" s="8" t="n">
        <v>34408867</v>
      </c>
      <c r="B1168" s="2">
        <f>INDEX(Tableau1[], MATCH(Tableau3[[#This Row],[REFERENCE]], Tableau1[NUMERO], 0), 2)</f>
        <v/>
      </c>
      <c r="C1168">
        <f>INDEX(Tableau1[], MATCH(Tableau3[[#This Row],[REFERENCE]], Tableau1[NUMERO], 0), 3)</f>
        <v/>
      </c>
      <c r="D1168">
        <f>INDEX(Tableau1[], MATCH(Tableau3[[#This Row],[REFERENCE]], Tableau1[NUMERO], 0),4)</f>
        <v/>
      </c>
      <c r="E1168">
        <f>INDEX(Tableau1[], MATCH(Tableau3[[#This Row],[REFERENCE]], Tableau1[NUMERO], 0), 5)</f>
        <v/>
      </c>
      <c r="H1168" t="inlineStr">
        <is>
          <t>trefimetaux</t>
        </is>
      </c>
      <c r="J1168" s="2" t="n">
        <v>44148</v>
      </c>
      <c r="K1168" s="2" t="n">
        <v>44148</v>
      </c>
      <c r="L1168" s="2" t="n"/>
      <c r="M1168" s="21" t="inlineStr">
        <is>
          <t>01</t>
        </is>
      </c>
      <c r="N1168" s="35" t="n">
        <v>5</v>
      </c>
      <c r="O1168" s="7" t="n">
        <v>6.9</v>
      </c>
      <c r="P1168" s="107" t="inlineStr">
        <is>
          <t>Délai à voir avec Mr THIAM</t>
        </is>
      </c>
      <c r="Q1168" s="2" t="n">
        <v>44240</v>
      </c>
    </row>
    <row r="1169">
      <c r="A1169" s="8" t="n">
        <v>34408872</v>
      </c>
      <c r="B1169" s="2">
        <f>INDEX(Tableau1[], MATCH(Tableau3[[#This Row],[REFERENCE]], Tableau1[NUMERO], 0), 2)</f>
        <v/>
      </c>
      <c r="C1169">
        <f>INDEX(Tableau1[], MATCH(Tableau3[[#This Row],[REFERENCE]], Tableau1[NUMERO], 0), 3)</f>
        <v/>
      </c>
      <c r="D1169">
        <f>INDEX(Tableau1[], MATCH(Tableau3[[#This Row],[REFERENCE]], Tableau1[NUMERO], 0),4)</f>
        <v/>
      </c>
      <c r="E1169">
        <f>INDEX(Tableau1[], MATCH(Tableau3[[#This Row],[REFERENCE]], Tableau1[NUMERO], 0), 5)</f>
        <v/>
      </c>
      <c r="H1169" t="inlineStr">
        <is>
          <t>trefimetaux</t>
        </is>
      </c>
      <c r="J1169" s="2" t="n">
        <v>44148</v>
      </c>
      <c r="K1169" s="2" t="n">
        <v>44148</v>
      </c>
      <c r="L1169" s="2" t="n"/>
      <c r="M1169" s="21" t="inlineStr">
        <is>
          <t>01</t>
        </is>
      </c>
      <c r="N1169" s="35" t="n">
        <v>5</v>
      </c>
      <c r="O1169" s="7" t="n">
        <v>6.4</v>
      </c>
      <c r="P1169" s="107" t="inlineStr">
        <is>
          <t>Délai à voir avec Mr THIAM</t>
        </is>
      </c>
      <c r="Q1169" s="2" t="n">
        <v>44240</v>
      </c>
    </row>
    <row r="1170">
      <c r="A1170" s="8" t="n">
        <v>34408873</v>
      </c>
      <c r="B1170" s="2">
        <f>INDEX(Tableau1[], MATCH(Tableau3[[#This Row],[REFERENCE]], Tableau1[NUMERO], 0), 2)</f>
        <v/>
      </c>
      <c r="C1170">
        <f>INDEX(Tableau1[], MATCH(Tableau3[[#This Row],[REFERENCE]], Tableau1[NUMERO], 0), 3)</f>
        <v/>
      </c>
      <c r="D1170">
        <f>INDEX(Tableau1[], MATCH(Tableau3[[#This Row],[REFERENCE]], Tableau1[NUMERO], 0),4)</f>
        <v/>
      </c>
      <c r="E1170">
        <f>INDEX(Tableau1[], MATCH(Tableau3[[#This Row],[REFERENCE]], Tableau1[NUMERO], 0), 5)</f>
        <v/>
      </c>
      <c r="H1170" t="inlineStr">
        <is>
          <t>trefimetaux</t>
        </is>
      </c>
      <c r="J1170" s="2" t="n">
        <v>44148</v>
      </c>
      <c r="K1170" s="2" t="n">
        <v>44148</v>
      </c>
      <c r="L1170" s="2" t="n"/>
      <c r="M1170" s="21" t="inlineStr">
        <is>
          <t>01</t>
        </is>
      </c>
      <c r="N1170" s="35" t="n">
        <v>5</v>
      </c>
      <c r="O1170" s="7" t="n">
        <v>14.2</v>
      </c>
      <c r="P1170" s="107" t="inlineStr">
        <is>
          <t>Délai à voir avec Mr THIAM</t>
        </is>
      </c>
      <c r="Q1170" s="2" t="n">
        <v>44240</v>
      </c>
    </row>
    <row r="1171">
      <c r="A1171" s="8" t="n">
        <v>34408874</v>
      </c>
      <c r="B1171" s="2">
        <f>INDEX(Tableau1[], MATCH(Tableau3[[#This Row],[REFERENCE]], Tableau1[NUMERO], 0), 2)</f>
        <v/>
      </c>
      <c r="C1171">
        <f>INDEX(Tableau1[], MATCH(Tableau3[[#This Row],[REFERENCE]], Tableau1[NUMERO], 0), 3)</f>
        <v/>
      </c>
      <c r="D1171">
        <f>INDEX(Tableau1[], MATCH(Tableau3[[#This Row],[REFERENCE]], Tableau1[NUMERO], 0),4)</f>
        <v/>
      </c>
      <c r="E1171">
        <f>INDEX(Tableau1[], MATCH(Tableau3[[#This Row],[REFERENCE]], Tableau1[NUMERO], 0), 5)</f>
        <v/>
      </c>
      <c r="H1171" t="inlineStr">
        <is>
          <t>trefimetaux</t>
        </is>
      </c>
      <c r="J1171" s="2" t="n">
        <v>44148</v>
      </c>
      <c r="K1171" s="2" t="n">
        <v>44148</v>
      </c>
      <c r="L1171" s="2" t="n"/>
      <c r="M1171" s="21" t="inlineStr">
        <is>
          <t>01</t>
        </is>
      </c>
      <c r="N1171" s="35" t="n">
        <v>5</v>
      </c>
      <c r="O1171" s="7" t="n">
        <v>11.5</v>
      </c>
      <c r="P1171" s="107" t="inlineStr">
        <is>
          <t>Délai à voir avec Mr THIAM</t>
        </is>
      </c>
      <c r="Q1171" s="2" t="n">
        <v>44240</v>
      </c>
    </row>
    <row r="1172">
      <c r="A1172" s="8" t="n">
        <v>34408875</v>
      </c>
      <c r="B1172" s="2">
        <f>INDEX(Tableau1[], MATCH(Tableau3[[#This Row],[REFERENCE]], Tableau1[NUMERO], 0), 2)</f>
        <v/>
      </c>
      <c r="C1172">
        <f>INDEX(Tableau1[], MATCH(Tableau3[[#This Row],[REFERENCE]], Tableau1[NUMERO], 0), 3)</f>
        <v/>
      </c>
      <c r="D1172">
        <f>INDEX(Tableau1[], MATCH(Tableau3[[#This Row],[REFERENCE]], Tableau1[NUMERO], 0),4)</f>
        <v/>
      </c>
      <c r="E1172">
        <f>INDEX(Tableau1[], MATCH(Tableau3[[#This Row],[REFERENCE]], Tableau1[NUMERO], 0), 5)</f>
        <v/>
      </c>
      <c r="H1172" t="inlineStr">
        <is>
          <t>trefimetaux</t>
        </is>
      </c>
      <c r="J1172" s="2" t="n">
        <v>44148</v>
      </c>
      <c r="K1172" s="2" t="n">
        <v>44148</v>
      </c>
      <c r="L1172" s="2" t="n"/>
      <c r="M1172" s="21" t="inlineStr">
        <is>
          <t>01</t>
        </is>
      </c>
      <c r="N1172" s="35" t="n">
        <v>5</v>
      </c>
      <c r="O1172" s="7" t="n">
        <v>16.2</v>
      </c>
      <c r="P1172" s="107" t="inlineStr">
        <is>
          <t>Délai à voir avec Mr THIAM</t>
        </is>
      </c>
      <c r="Q1172" s="2" t="n">
        <v>44240</v>
      </c>
    </row>
    <row r="1173">
      <c r="A1173" s="8" t="n">
        <v>34408876</v>
      </c>
      <c r="B1173" s="2">
        <f>INDEX(Tableau1[], MATCH(Tableau3[[#This Row],[REFERENCE]], Tableau1[NUMERO], 0), 2)</f>
        <v/>
      </c>
      <c r="C1173">
        <f>INDEX(Tableau1[], MATCH(Tableau3[[#This Row],[REFERENCE]], Tableau1[NUMERO], 0), 3)</f>
        <v/>
      </c>
      <c r="D1173">
        <f>INDEX(Tableau1[], MATCH(Tableau3[[#This Row],[REFERENCE]], Tableau1[NUMERO], 0),4)</f>
        <v/>
      </c>
      <c r="E1173">
        <f>INDEX(Tableau1[], MATCH(Tableau3[[#This Row],[REFERENCE]], Tableau1[NUMERO], 0), 5)</f>
        <v/>
      </c>
      <c r="H1173" t="inlineStr">
        <is>
          <t>trefimetaux</t>
        </is>
      </c>
      <c r="J1173" s="2" t="n">
        <v>44148</v>
      </c>
      <c r="K1173" s="2" t="n">
        <v>44148</v>
      </c>
      <c r="L1173" s="2" t="n"/>
      <c r="M1173" s="21" t="inlineStr">
        <is>
          <t>01</t>
        </is>
      </c>
      <c r="N1173" s="35" t="n">
        <v>5</v>
      </c>
      <c r="O1173" s="7" t="n">
        <v>21.3</v>
      </c>
      <c r="P1173" s="107" t="inlineStr">
        <is>
          <t>Délai à voir avec Mr THIAM</t>
        </is>
      </c>
      <c r="Q1173" s="2" t="n">
        <v>44240</v>
      </c>
    </row>
    <row r="1174">
      <c r="A1174" s="8" t="n">
        <v>34408877</v>
      </c>
      <c r="B1174" s="2">
        <f>INDEX(Tableau1[], MATCH(Tableau3[[#This Row],[REFERENCE]], Tableau1[NUMERO], 0), 2)</f>
        <v/>
      </c>
      <c r="C1174">
        <f>INDEX(Tableau1[], MATCH(Tableau3[[#This Row],[REFERENCE]], Tableau1[NUMERO], 0), 3)</f>
        <v/>
      </c>
      <c r="D1174">
        <f>INDEX(Tableau1[], MATCH(Tableau3[[#This Row],[REFERENCE]], Tableau1[NUMERO], 0),4)</f>
        <v/>
      </c>
      <c r="E1174">
        <f>INDEX(Tableau1[], MATCH(Tableau3[[#This Row],[REFERENCE]], Tableau1[NUMERO], 0), 5)</f>
        <v/>
      </c>
      <c r="H1174" t="inlineStr">
        <is>
          <t>trefimetaux</t>
        </is>
      </c>
      <c r="J1174" s="2" t="n">
        <v>44148</v>
      </c>
      <c r="K1174" s="2" t="n">
        <v>44148</v>
      </c>
      <c r="L1174" s="2" t="n"/>
      <c r="M1174" s="21" t="inlineStr">
        <is>
          <t>01</t>
        </is>
      </c>
      <c r="N1174" s="35" t="n">
        <v>5</v>
      </c>
      <c r="O1174" s="7" t="n">
        <v>20.9</v>
      </c>
      <c r="P1174" s="107" t="inlineStr">
        <is>
          <t>Délai à voir avec Mr THIAM</t>
        </is>
      </c>
      <c r="Q1174" s="2" t="n">
        <v>44240</v>
      </c>
    </row>
    <row r="1175">
      <c r="A1175" s="8" t="n">
        <v>34408884</v>
      </c>
      <c r="B1175" s="2">
        <f>INDEX(Tableau1[], MATCH(Tableau3[[#This Row],[REFERENCE]], Tableau1[NUMERO], 0), 2)</f>
        <v/>
      </c>
      <c r="C1175">
        <f>INDEX(Tableau1[], MATCH(Tableau3[[#This Row],[REFERENCE]], Tableau1[NUMERO], 0), 3)</f>
        <v/>
      </c>
      <c r="D1175">
        <f>INDEX(Tableau1[], MATCH(Tableau3[[#This Row],[REFERENCE]], Tableau1[NUMERO], 0),4)</f>
        <v/>
      </c>
      <c r="E1175">
        <f>INDEX(Tableau1[], MATCH(Tableau3[[#This Row],[REFERENCE]], Tableau1[NUMERO], 0), 5)</f>
        <v/>
      </c>
      <c r="H1175" t="inlineStr">
        <is>
          <t>trefimetaux</t>
        </is>
      </c>
      <c r="J1175" s="2" t="n">
        <v>44148</v>
      </c>
      <c r="K1175" s="2" t="n">
        <v>44148</v>
      </c>
      <c r="L1175" s="2" t="n"/>
      <c r="M1175" s="21" t="inlineStr">
        <is>
          <t>01</t>
        </is>
      </c>
      <c r="N1175" s="35" t="n">
        <v>5</v>
      </c>
      <c r="O1175" s="7" t="n">
        <v>35.8</v>
      </c>
      <c r="P1175" s="107" t="inlineStr">
        <is>
          <t>Délai à voir avec Mr THIAM</t>
        </is>
      </c>
      <c r="Q1175" s="2" t="n">
        <v>44240</v>
      </c>
    </row>
    <row r="1176">
      <c r="A1176" s="8" t="n">
        <v>34408885</v>
      </c>
      <c r="B1176" s="2">
        <f>INDEX(Tableau1[], MATCH(Tableau3[[#This Row],[REFERENCE]], Tableau1[NUMERO], 0), 2)</f>
        <v/>
      </c>
      <c r="C1176">
        <f>INDEX(Tableau1[], MATCH(Tableau3[[#This Row],[REFERENCE]], Tableau1[NUMERO], 0), 3)</f>
        <v/>
      </c>
      <c r="D1176">
        <f>INDEX(Tableau1[], MATCH(Tableau3[[#This Row],[REFERENCE]], Tableau1[NUMERO], 0),4)</f>
        <v/>
      </c>
      <c r="E1176">
        <f>INDEX(Tableau1[], MATCH(Tableau3[[#This Row],[REFERENCE]], Tableau1[NUMERO], 0), 5)</f>
        <v/>
      </c>
      <c r="H1176" t="inlineStr">
        <is>
          <t>trefimetaux</t>
        </is>
      </c>
      <c r="J1176" s="2" t="n">
        <v>44148</v>
      </c>
      <c r="K1176" s="2" t="n">
        <v>44148</v>
      </c>
      <c r="L1176" s="2" t="n"/>
      <c r="M1176" s="21" t="inlineStr">
        <is>
          <t>01</t>
        </is>
      </c>
      <c r="N1176" s="35" t="n">
        <v>5</v>
      </c>
      <c r="O1176" s="7" t="n">
        <v>35.8</v>
      </c>
      <c r="P1176" s="107" t="inlineStr">
        <is>
          <t>Délai à voir avec Mr THIAM</t>
        </is>
      </c>
      <c r="Q1176" s="2" t="n">
        <v>44240</v>
      </c>
    </row>
    <row r="1177">
      <c r="A1177" s="8" t="n">
        <v>34408886</v>
      </c>
      <c r="B1177" s="2">
        <f>INDEX(Tableau1[], MATCH(Tableau3[[#This Row],[REFERENCE]], Tableau1[NUMERO], 0), 2)</f>
        <v/>
      </c>
      <c r="C1177">
        <f>INDEX(Tableau1[], MATCH(Tableau3[[#This Row],[REFERENCE]], Tableau1[NUMERO], 0), 3)</f>
        <v/>
      </c>
      <c r="D1177">
        <f>INDEX(Tableau1[], MATCH(Tableau3[[#This Row],[REFERENCE]], Tableau1[NUMERO], 0),4)</f>
        <v/>
      </c>
      <c r="E1177">
        <f>INDEX(Tableau1[], MATCH(Tableau3[[#This Row],[REFERENCE]], Tableau1[NUMERO], 0), 5)</f>
        <v/>
      </c>
      <c r="H1177" t="inlineStr">
        <is>
          <t>trefimetaux</t>
        </is>
      </c>
      <c r="J1177" s="2" t="n">
        <v>44148</v>
      </c>
      <c r="K1177" s="2" t="n">
        <v>44148</v>
      </c>
      <c r="L1177" s="2" t="n"/>
      <c r="M1177" s="21" t="inlineStr">
        <is>
          <t>01</t>
        </is>
      </c>
      <c r="N1177" s="35" t="n">
        <v>5</v>
      </c>
      <c r="O1177" s="7" t="n">
        <v>35.8</v>
      </c>
      <c r="P1177" s="107" t="inlineStr">
        <is>
          <t>Délai à voir avec Mr THIAM</t>
        </is>
      </c>
      <c r="Q1177" s="2" t="n">
        <v>44240</v>
      </c>
    </row>
    <row r="1178">
      <c r="A1178" s="8" t="n">
        <v>34408887</v>
      </c>
      <c r="B1178" s="2">
        <f>INDEX(Tableau1[], MATCH(Tableau3[[#This Row],[REFERENCE]], Tableau1[NUMERO], 0), 2)</f>
        <v/>
      </c>
      <c r="C1178">
        <f>INDEX(Tableau1[], MATCH(Tableau3[[#This Row],[REFERENCE]], Tableau1[NUMERO], 0), 3)</f>
        <v/>
      </c>
      <c r="D1178">
        <f>INDEX(Tableau1[], MATCH(Tableau3[[#This Row],[REFERENCE]], Tableau1[NUMERO], 0),4)</f>
        <v/>
      </c>
      <c r="E1178">
        <f>INDEX(Tableau1[], MATCH(Tableau3[[#This Row],[REFERENCE]], Tableau1[NUMERO], 0), 5)</f>
        <v/>
      </c>
      <c r="H1178" t="inlineStr">
        <is>
          <t>trefimetaux</t>
        </is>
      </c>
      <c r="J1178" s="2" t="n">
        <v>44148</v>
      </c>
      <c r="K1178" s="2" t="n">
        <v>44148</v>
      </c>
      <c r="L1178" s="2" t="n"/>
      <c r="M1178" s="21" t="inlineStr">
        <is>
          <t>01</t>
        </is>
      </c>
      <c r="N1178" s="35" t="n">
        <v>5</v>
      </c>
      <c r="O1178" s="7" t="n">
        <v>35.8</v>
      </c>
      <c r="P1178" s="107" t="inlineStr">
        <is>
          <t>Délai à voir avec Mr THIAM</t>
        </is>
      </c>
      <c r="Q1178" s="2" t="n">
        <v>44240</v>
      </c>
    </row>
    <row r="1179">
      <c r="A1179" s="8" t="n">
        <v>34408888</v>
      </c>
      <c r="B1179" s="2">
        <f>INDEX(Tableau1[], MATCH(Tableau3[[#This Row],[REFERENCE]], Tableau1[NUMERO], 0), 2)</f>
        <v/>
      </c>
      <c r="C1179">
        <f>INDEX(Tableau1[], MATCH(Tableau3[[#This Row],[REFERENCE]], Tableau1[NUMERO], 0), 3)</f>
        <v/>
      </c>
      <c r="D1179">
        <f>INDEX(Tableau1[], MATCH(Tableau3[[#This Row],[REFERENCE]], Tableau1[NUMERO], 0),4)</f>
        <v/>
      </c>
      <c r="E1179">
        <f>INDEX(Tableau1[], MATCH(Tableau3[[#This Row],[REFERENCE]], Tableau1[NUMERO], 0), 5)</f>
        <v/>
      </c>
      <c r="H1179" t="inlineStr">
        <is>
          <t>trefimetaux</t>
        </is>
      </c>
      <c r="J1179" s="2" t="n">
        <v>44148</v>
      </c>
      <c r="K1179" s="2" t="n">
        <v>44148</v>
      </c>
      <c r="L1179" s="2" t="n"/>
      <c r="M1179" s="21" t="inlineStr">
        <is>
          <t>01</t>
        </is>
      </c>
      <c r="N1179" s="35" t="n">
        <v>5</v>
      </c>
      <c r="O1179" s="7" t="n">
        <v>12.6</v>
      </c>
      <c r="P1179" s="107" t="inlineStr">
        <is>
          <t>Délai à voir avec Mr THIAM</t>
        </is>
      </c>
      <c r="Q1179" s="2" t="n">
        <v>44240</v>
      </c>
    </row>
    <row r="1180">
      <c r="A1180" s="8" t="n">
        <v>34408889</v>
      </c>
      <c r="B1180" s="2">
        <f>INDEX(Tableau1[], MATCH(Tableau3[[#This Row],[REFERENCE]], Tableau1[NUMERO], 0), 2)</f>
        <v/>
      </c>
      <c r="C1180">
        <f>INDEX(Tableau1[], MATCH(Tableau3[[#This Row],[REFERENCE]], Tableau1[NUMERO], 0), 3)</f>
        <v/>
      </c>
      <c r="D1180">
        <f>INDEX(Tableau1[], MATCH(Tableau3[[#This Row],[REFERENCE]], Tableau1[NUMERO], 0),4)</f>
        <v/>
      </c>
      <c r="E1180">
        <f>INDEX(Tableau1[], MATCH(Tableau3[[#This Row],[REFERENCE]], Tableau1[NUMERO], 0), 5)</f>
        <v/>
      </c>
      <c r="H1180" t="inlineStr">
        <is>
          <t>trefimetaux</t>
        </is>
      </c>
      <c r="J1180" s="2" t="n">
        <v>44148</v>
      </c>
      <c r="K1180" s="2" t="n">
        <v>44148</v>
      </c>
      <c r="L1180" s="2" t="n"/>
      <c r="M1180" s="21" t="inlineStr">
        <is>
          <t>01</t>
        </is>
      </c>
      <c r="N1180" s="35" t="n">
        <v>5</v>
      </c>
      <c r="O1180" s="7" t="n">
        <v>12.6</v>
      </c>
      <c r="P1180" s="107" t="inlineStr">
        <is>
          <t>Délai à voir avec Mr THIAM</t>
        </is>
      </c>
      <c r="Q1180" s="2" t="n">
        <v>44240</v>
      </c>
    </row>
    <row r="1181">
      <c r="A1181" s="8" t="n">
        <v>34408890</v>
      </c>
      <c r="B1181" s="2">
        <f>INDEX(Tableau1[], MATCH(Tableau3[[#This Row],[REFERENCE]], Tableau1[NUMERO], 0), 2)</f>
        <v/>
      </c>
      <c r="C1181">
        <f>INDEX(Tableau1[], MATCH(Tableau3[[#This Row],[REFERENCE]], Tableau1[NUMERO], 0), 3)</f>
        <v/>
      </c>
      <c r="D1181">
        <f>INDEX(Tableau1[], MATCH(Tableau3[[#This Row],[REFERENCE]], Tableau1[NUMERO], 0),4)</f>
        <v/>
      </c>
      <c r="E1181">
        <f>INDEX(Tableau1[], MATCH(Tableau3[[#This Row],[REFERENCE]], Tableau1[NUMERO], 0), 5)</f>
        <v/>
      </c>
      <c r="H1181" t="inlineStr">
        <is>
          <t>trefimetaux</t>
        </is>
      </c>
      <c r="J1181" s="2" t="n">
        <v>44148</v>
      </c>
      <c r="K1181" s="2" t="n">
        <v>44148</v>
      </c>
      <c r="L1181" s="2" t="n"/>
      <c r="M1181" s="21" t="inlineStr">
        <is>
          <t>01</t>
        </is>
      </c>
      <c r="N1181" s="35" t="n">
        <v>5</v>
      </c>
      <c r="O1181" s="7" t="n">
        <v>12.6</v>
      </c>
      <c r="P1181" s="107" t="inlineStr">
        <is>
          <t>Délai à voir avec Mr THIAM</t>
        </is>
      </c>
      <c r="Q1181" s="2" t="n">
        <v>44240</v>
      </c>
    </row>
    <row r="1182">
      <c r="A1182" s="8" t="n">
        <v>34408891</v>
      </c>
      <c r="B1182" s="2">
        <f>INDEX(Tableau1[], MATCH(Tableau3[[#This Row],[REFERENCE]], Tableau1[NUMERO], 0), 2)</f>
        <v/>
      </c>
      <c r="C1182">
        <f>INDEX(Tableau1[], MATCH(Tableau3[[#This Row],[REFERENCE]], Tableau1[NUMERO], 0), 3)</f>
        <v/>
      </c>
      <c r="D1182">
        <f>INDEX(Tableau1[], MATCH(Tableau3[[#This Row],[REFERENCE]], Tableau1[NUMERO], 0),4)</f>
        <v/>
      </c>
      <c r="E1182">
        <f>INDEX(Tableau1[], MATCH(Tableau3[[#This Row],[REFERENCE]], Tableau1[NUMERO], 0), 5)</f>
        <v/>
      </c>
      <c r="H1182" t="inlineStr">
        <is>
          <t>trefimetaux</t>
        </is>
      </c>
      <c r="J1182" s="2" t="n">
        <v>44148</v>
      </c>
      <c r="K1182" s="2" t="n">
        <v>44148</v>
      </c>
      <c r="L1182" s="2" t="n"/>
      <c r="M1182" s="21" t="inlineStr">
        <is>
          <t>01</t>
        </is>
      </c>
      <c r="N1182" s="35" t="n">
        <v>5</v>
      </c>
      <c r="O1182" s="7" t="n">
        <v>12.6</v>
      </c>
      <c r="P1182" s="107" t="inlineStr">
        <is>
          <t>Délai à voir avec Mr THIAM</t>
        </is>
      </c>
      <c r="Q1182" s="2" t="n">
        <v>44240</v>
      </c>
    </row>
    <row r="1183">
      <c r="A1183" s="8" t="n">
        <v>34408906</v>
      </c>
      <c r="B1183" s="2">
        <f>INDEX(Tableau1[], MATCH(Tableau3[[#This Row],[REFERENCE]], Tableau1[NUMERO], 0), 2)</f>
        <v/>
      </c>
      <c r="C1183">
        <f>INDEX(Tableau1[], MATCH(Tableau3[[#This Row],[REFERENCE]], Tableau1[NUMERO], 0), 3)</f>
        <v/>
      </c>
      <c r="D1183">
        <f>INDEX(Tableau1[], MATCH(Tableau3[[#This Row],[REFERENCE]], Tableau1[NUMERO], 0),4)</f>
        <v/>
      </c>
      <c r="E1183">
        <f>INDEX(Tableau1[], MATCH(Tableau3[[#This Row],[REFERENCE]], Tableau1[NUMERO], 0), 5)</f>
        <v/>
      </c>
      <c r="H1183" t="inlineStr">
        <is>
          <t>trefimetaux</t>
        </is>
      </c>
      <c r="J1183" s="2" t="n">
        <v>44148</v>
      </c>
      <c r="K1183" s="2" t="n">
        <v>44148</v>
      </c>
      <c r="L1183" s="2" t="n"/>
      <c r="M1183" s="21" t="inlineStr">
        <is>
          <t>01</t>
        </is>
      </c>
      <c r="N1183" s="35" t="n">
        <v>5</v>
      </c>
      <c r="O1183" s="7" t="n">
        <v>10.6</v>
      </c>
      <c r="P1183" s="107" t="inlineStr">
        <is>
          <t>Délai à voir avec Mr THIAM</t>
        </is>
      </c>
      <c r="Q1183" s="2" t="n">
        <v>44240</v>
      </c>
    </row>
    <row r="1184">
      <c r="A1184" s="8" t="n">
        <v>34408910</v>
      </c>
      <c r="B1184" s="2">
        <f>INDEX(Tableau1[], MATCH(Tableau3[[#This Row],[REFERENCE]], Tableau1[NUMERO], 0), 2)</f>
        <v/>
      </c>
      <c r="C1184">
        <f>INDEX(Tableau1[], MATCH(Tableau3[[#This Row],[REFERENCE]], Tableau1[NUMERO], 0), 3)</f>
        <v/>
      </c>
      <c r="D1184">
        <f>INDEX(Tableau1[], MATCH(Tableau3[[#This Row],[REFERENCE]], Tableau1[NUMERO], 0),4)</f>
        <v/>
      </c>
      <c r="E1184">
        <f>INDEX(Tableau1[], MATCH(Tableau3[[#This Row],[REFERENCE]], Tableau1[NUMERO], 0), 5)</f>
        <v/>
      </c>
      <c r="H1184" t="inlineStr">
        <is>
          <t>trefimetaux</t>
        </is>
      </c>
      <c r="J1184" s="2" t="n">
        <v>44148</v>
      </c>
      <c r="K1184" s="2" t="n">
        <v>44148</v>
      </c>
      <c r="L1184" s="2" t="n"/>
      <c r="M1184" s="21" t="inlineStr">
        <is>
          <t>01</t>
        </is>
      </c>
      <c r="N1184" s="35" t="n">
        <v>5</v>
      </c>
      <c r="O1184" s="7" t="n">
        <v>7.3</v>
      </c>
      <c r="P1184" s="107" t="inlineStr">
        <is>
          <t>Délai à voir avec Mr THIAM</t>
        </is>
      </c>
      <c r="Q1184" s="2" t="n">
        <v>44240</v>
      </c>
    </row>
    <row r="1185">
      <c r="A1185" s="8" t="n">
        <v>34408911</v>
      </c>
      <c r="B1185" s="2">
        <f>INDEX(Tableau1[], MATCH(Tableau3[[#This Row],[REFERENCE]], Tableau1[NUMERO], 0), 2)</f>
        <v/>
      </c>
      <c r="C1185">
        <f>INDEX(Tableau1[], MATCH(Tableau3[[#This Row],[REFERENCE]], Tableau1[NUMERO], 0), 3)</f>
        <v/>
      </c>
      <c r="D1185">
        <f>INDEX(Tableau1[], MATCH(Tableau3[[#This Row],[REFERENCE]], Tableau1[NUMERO], 0),4)</f>
        <v/>
      </c>
      <c r="E1185">
        <f>INDEX(Tableau1[], MATCH(Tableau3[[#This Row],[REFERENCE]], Tableau1[NUMERO], 0), 5)</f>
        <v/>
      </c>
      <c r="H1185" t="inlineStr">
        <is>
          <t>trefimetaux</t>
        </is>
      </c>
      <c r="J1185" s="2" t="n">
        <v>44148</v>
      </c>
      <c r="K1185" s="2" t="n">
        <v>44148</v>
      </c>
      <c r="L1185" s="2" t="n"/>
      <c r="M1185" s="21" t="inlineStr">
        <is>
          <t>01</t>
        </is>
      </c>
      <c r="N1185" s="35" t="n">
        <v>5</v>
      </c>
      <c r="O1185" s="7" t="n">
        <v>9.5</v>
      </c>
      <c r="P1185" s="107" t="inlineStr">
        <is>
          <t>Délai à voir avec Mr THIAM</t>
        </is>
      </c>
      <c r="Q1185" s="2" t="n">
        <v>44240</v>
      </c>
    </row>
    <row r="1186">
      <c r="A1186" s="8" t="n">
        <v>34408912</v>
      </c>
      <c r="B1186" s="2">
        <f>INDEX(Tableau1[], MATCH(Tableau3[[#This Row],[REFERENCE]], Tableau1[NUMERO], 0), 2)</f>
        <v/>
      </c>
      <c r="C1186">
        <f>INDEX(Tableau1[], MATCH(Tableau3[[#This Row],[REFERENCE]], Tableau1[NUMERO], 0), 3)</f>
        <v/>
      </c>
      <c r="D1186">
        <f>INDEX(Tableau1[], MATCH(Tableau3[[#This Row],[REFERENCE]], Tableau1[NUMERO], 0),4)</f>
        <v/>
      </c>
      <c r="E1186">
        <f>INDEX(Tableau1[], MATCH(Tableau3[[#This Row],[REFERENCE]], Tableau1[NUMERO], 0), 5)</f>
        <v/>
      </c>
      <c r="H1186" t="inlineStr">
        <is>
          <t>trefimetaux</t>
        </is>
      </c>
      <c r="J1186" s="2" t="n">
        <v>44148</v>
      </c>
      <c r="K1186" s="2" t="n">
        <v>44148</v>
      </c>
      <c r="L1186" s="2" t="n"/>
      <c r="M1186" s="21" t="inlineStr">
        <is>
          <t>01</t>
        </is>
      </c>
      <c r="N1186" s="35" t="n">
        <v>5</v>
      </c>
      <c r="O1186" s="7" t="n">
        <v>12</v>
      </c>
      <c r="P1186" s="107" t="inlineStr">
        <is>
          <t>Délai à voir avec Mr THIAM</t>
        </is>
      </c>
      <c r="Q1186" s="2" t="n">
        <v>44240</v>
      </c>
    </row>
    <row r="1187">
      <c r="A1187" s="8" t="n">
        <v>34408914</v>
      </c>
      <c r="B1187" s="2">
        <f>INDEX(Tableau1[], MATCH(Tableau3[[#This Row],[REFERENCE]], Tableau1[NUMERO], 0), 2)</f>
        <v/>
      </c>
      <c r="C1187">
        <f>INDEX(Tableau1[], MATCH(Tableau3[[#This Row],[REFERENCE]], Tableau1[NUMERO], 0), 3)</f>
        <v/>
      </c>
      <c r="D1187">
        <f>INDEX(Tableau1[], MATCH(Tableau3[[#This Row],[REFERENCE]], Tableau1[NUMERO], 0),4)</f>
        <v/>
      </c>
      <c r="E1187">
        <f>INDEX(Tableau1[], MATCH(Tableau3[[#This Row],[REFERENCE]], Tableau1[NUMERO], 0), 5)</f>
        <v/>
      </c>
      <c r="H1187" t="inlineStr">
        <is>
          <t>trefimetaux</t>
        </is>
      </c>
      <c r="J1187" s="2" t="n">
        <v>44148</v>
      </c>
      <c r="K1187" s="2" t="n">
        <v>44148</v>
      </c>
      <c r="L1187" s="2" t="n"/>
      <c r="M1187" s="21" t="inlineStr">
        <is>
          <t>01</t>
        </is>
      </c>
      <c r="N1187" s="35" t="n">
        <v>5</v>
      </c>
      <c r="O1187" s="7" t="n">
        <v>11.4</v>
      </c>
      <c r="P1187" s="107" t="inlineStr">
        <is>
          <t>Délai à voir avec Mr THIAM</t>
        </is>
      </c>
      <c r="Q1187" s="2" t="n">
        <v>44240</v>
      </c>
    </row>
    <row r="1188">
      <c r="A1188" s="8" t="n">
        <v>34408922</v>
      </c>
      <c r="B1188" s="2">
        <f>INDEX(Tableau1[], MATCH(Tableau3[[#This Row],[REFERENCE]], Tableau1[NUMERO], 0), 2)</f>
        <v/>
      </c>
      <c r="C1188">
        <f>INDEX(Tableau1[], MATCH(Tableau3[[#This Row],[REFERENCE]], Tableau1[NUMERO], 0), 3)</f>
        <v/>
      </c>
      <c r="D1188">
        <f>INDEX(Tableau1[], MATCH(Tableau3[[#This Row],[REFERENCE]], Tableau1[NUMERO], 0),4)</f>
        <v/>
      </c>
      <c r="E1188">
        <f>INDEX(Tableau1[], MATCH(Tableau3[[#This Row],[REFERENCE]], Tableau1[NUMERO], 0), 5)</f>
        <v/>
      </c>
      <c r="H1188" t="inlineStr">
        <is>
          <t>trefimetaux</t>
        </is>
      </c>
      <c r="J1188" s="2" t="n">
        <v>44148</v>
      </c>
      <c r="K1188" s="2" t="n">
        <v>44148</v>
      </c>
      <c r="L1188" s="2" t="n"/>
      <c r="M1188" s="21" t="inlineStr">
        <is>
          <t>01</t>
        </is>
      </c>
      <c r="N1188" s="35" t="n">
        <v>5</v>
      </c>
      <c r="O1188" s="7" t="n">
        <v>15.5</v>
      </c>
      <c r="P1188" s="107" t="inlineStr">
        <is>
          <t>Délai à voir avec Mr THIAM</t>
        </is>
      </c>
      <c r="Q1188" s="2" t="n">
        <v>44240</v>
      </c>
    </row>
    <row r="1189">
      <c r="A1189" s="8" t="n">
        <v>34408923</v>
      </c>
      <c r="B1189" s="2">
        <f>INDEX(Tableau1[], MATCH(Tableau3[[#This Row],[REFERENCE]], Tableau1[NUMERO], 0), 2)</f>
        <v/>
      </c>
      <c r="C1189">
        <f>INDEX(Tableau1[], MATCH(Tableau3[[#This Row],[REFERENCE]], Tableau1[NUMERO], 0), 3)</f>
        <v/>
      </c>
      <c r="D1189">
        <f>INDEX(Tableau1[], MATCH(Tableau3[[#This Row],[REFERENCE]], Tableau1[NUMERO], 0),4)</f>
        <v/>
      </c>
      <c r="E1189">
        <f>INDEX(Tableau1[], MATCH(Tableau3[[#This Row],[REFERENCE]], Tableau1[NUMERO], 0), 5)</f>
        <v/>
      </c>
      <c r="H1189" t="inlineStr">
        <is>
          <t>trefimetaux</t>
        </is>
      </c>
      <c r="J1189" s="2" t="n">
        <v>44148</v>
      </c>
      <c r="K1189" s="2" t="n">
        <v>44148</v>
      </c>
      <c r="L1189" s="2" t="n"/>
      <c r="M1189" s="21" t="inlineStr">
        <is>
          <t>01</t>
        </is>
      </c>
      <c r="N1189" s="35" t="n">
        <v>5</v>
      </c>
      <c r="O1189" s="7" t="n">
        <v>4.1</v>
      </c>
      <c r="P1189" s="107" t="inlineStr">
        <is>
          <t>Délai à voir avec Mr THIAM</t>
        </is>
      </c>
      <c r="Q1189" s="2" t="n">
        <v>44240</v>
      </c>
    </row>
    <row r="1190">
      <c r="A1190" s="8" t="n">
        <v>34408924</v>
      </c>
      <c r="B1190" s="2">
        <f>INDEX(Tableau1[], MATCH(Tableau3[[#This Row],[REFERENCE]], Tableau1[NUMERO], 0), 2)</f>
        <v/>
      </c>
      <c r="C1190">
        <f>INDEX(Tableau1[], MATCH(Tableau3[[#This Row],[REFERENCE]], Tableau1[NUMERO], 0), 3)</f>
        <v/>
      </c>
      <c r="D1190">
        <f>INDEX(Tableau1[], MATCH(Tableau3[[#This Row],[REFERENCE]], Tableau1[NUMERO], 0),4)</f>
        <v/>
      </c>
      <c r="E1190">
        <f>INDEX(Tableau1[], MATCH(Tableau3[[#This Row],[REFERENCE]], Tableau1[NUMERO], 0), 5)</f>
        <v/>
      </c>
      <c r="H1190" t="inlineStr">
        <is>
          <t>trefimetaux</t>
        </is>
      </c>
      <c r="J1190" s="2" t="n">
        <v>44148</v>
      </c>
      <c r="K1190" s="2" t="n">
        <v>44148</v>
      </c>
      <c r="L1190" s="2" t="n"/>
      <c r="M1190" s="21" t="inlineStr">
        <is>
          <t>01</t>
        </is>
      </c>
      <c r="N1190" s="35" t="n">
        <v>5</v>
      </c>
      <c r="O1190" s="7" t="n">
        <v>18.5</v>
      </c>
      <c r="P1190" s="107" t="inlineStr">
        <is>
          <t>Délai à voir avec Mr THIAM</t>
        </is>
      </c>
      <c r="Q1190" s="2" t="n">
        <v>44240</v>
      </c>
    </row>
    <row r="1191">
      <c r="A1191" s="8" t="n">
        <v>34408925</v>
      </c>
      <c r="B1191" s="2">
        <f>INDEX(Tableau1[], MATCH(Tableau3[[#This Row],[REFERENCE]], Tableau1[NUMERO], 0), 2)</f>
        <v/>
      </c>
      <c r="C1191">
        <f>INDEX(Tableau1[], MATCH(Tableau3[[#This Row],[REFERENCE]], Tableau1[NUMERO], 0), 3)</f>
        <v/>
      </c>
      <c r="D1191">
        <f>INDEX(Tableau1[], MATCH(Tableau3[[#This Row],[REFERENCE]], Tableau1[NUMERO], 0),4)</f>
        <v/>
      </c>
      <c r="E1191">
        <f>INDEX(Tableau1[], MATCH(Tableau3[[#This Row],[REFERENCE]], Tableau1[NUMERO], 0), 5)</f>
        <v/>
      </c>
      <c r="H1191" t="inlineStr">
        <is>
          <t>trefimetaux</t>
        </is>
      </c>
      <c r="J1191" s="2" t="n">
        <v>44148</v>
      </c>
      <c r="K1191" s="2" t="n">
        <v>44148</v>
      </c>
      <c r="L1191" s="2" t="n"/>
      <c r="M1191" s="21" t="inlineStr">
        <is>
          <t>01</t>
        </is>
      </c>
      <c r="N1191" s="35" t="n">
        <v>5</v>
      </c>
      <c r="O1191" s="7" t="n">
        <v>15.9</v>
      </c>
      <c r="P1191" s="107" t="inlineStr">
        <is>
          <t>Délai à voir avec Mr THIAM</t>
        </is>
      </c>
      <c r="Q1191" s="2" t="n">
        <v>44240</v>
      </c>
    </row>
    <row r="1192">
      <c r="A1192" s="8" t="n">
        <v>34408926</v>
      </c>
      <c r="B1192" s="2">
        <f>INDEX(Tableau1[], MATCH(Tableau3[[#This Row],[REFERENCE]], Tableau1[NUMERO], 0), 2)</f>
        <v/>
      </c>
      <c r="C1192">
        <f>INDEX(Tableau1[], MATCH(Tableau3[[#This Row],[REFERENCE]], Tableau1[NUMERO], 0), 3)</f>
        <v/>
      </c>
      <c r="D1192">
        <f>INDEX(Tableau1[], MATCH(Tableau3[[#This Row],[REFERENCE]], Tableau1[NUMERO], 0),4)</f>
        <v/>
      </c>
      <c r="E1192">
        <f>INDEX(Tableau1[], MATCH(Tableau3[[#This Row],[REFERENCE]], Tableau1[NUMERO], 0), 5)</f>
        <v/>
      </c>
      <c r="H1192" t="inlineStr">
        <is>
          <t>trefimetaux</t>
        </is>
      </c>
      <c r="J1192" s="2" t="n">
        <v>44148</v>
      </c>
      <c r="K1192" s="2" t="n">
        <v>44148</v>
      </c>
      <c r="L1192" s="2" t="n"/>
      <c r="M1192" s="21" t="inlineStr">
        <is>
          <t>01</t>
        </is>
      </c>
      <c r="N1192" s="35" t="n">
        <v>5</v>
      </c>
      <c r="O1192" s="7" t="n">
        <v>5.8</v>
      </c>
      <c r="P1192" s="107" t="inlineStr">
        <is>
          <t>Délai à voir avec Mr THIAM</t>
        </is>
      </c>
      <c r="Q1192" s="2" t="n">
        <v>44240</v>
      </c>
    </row>
    <row r="1193">
      <c r="A1193" s="8" t="n">
        <v>34408927</v>
      </c>
      <c r="B1193" s="2">
        <f>INDEX(Tableau1[], MATCH(Tableau3[[#This Row],[REFERENCE]], Tableau1[NUMERO], 0), 2)</f>
        <v/>
      </c>
      <c r="C1193">
        <f>INDEX(Tableau1[], MATCH(Tableau3[[#This Row],[REFERENCE]], Tableau1[NUMERO], 0), 3)</f>
        <v/>
      </c>
      <c r="D1193">
        <f>INDEX(Tableau1[], MATCH(Tableau3[[#This Row],[REFERENCE]], Tableau1[NUMERO], 0),4)</f>
        <v/>
      </c>
      <c r="E1193">
        <f>INDEX(Tableau1[], MATCH(Tableau3[[#This Row],[REFERENCE]], Tableau1[NUMERO], 0), 5)</f>
        <v/>
      </c>
      <c r="H1193" t="inlineStr">
        <is>
          <t>trefimetaux</t>
        </is>
      </c>
      <c r="J1193" s="2" t="n">
        <v>44148</v>
      </c>
      <c r="K1193" s="2" t="n">
        <v>44148</v>
      </c>
      <c r="L1193" s="2" t="n"/>
      <c r="M1193" s="21" t="inlineStr">
        <is>
          <t>01</t>
        </is>
      </c>
      <c r="N1193" s="35" t="n">
        <v>5</v>
      </c>
      <c r="O1193" s="7" t="n">
        <v>4.7</v>
      </c>
      <c r="P1193" s="107" t="inlineStr">
        <is>
          <t>Délai à voir avec Mr THIAM</t>
        </is>
      </c>
      <c r="Q1193" s="2" t="n">
        <v>44240</v>
      </c>
    </row>
    <row r="1194">
      <c r="A1194" s="8" t="n">
        <v>34408928</v>
      </c>
      <c r="B1194" s="2">
        <f>INDEX(Tableau1[], MATCH(Tableau3[[#This Row],[REFERENCE]], Tableau1[NUMERO], 0), 2)</f>
        <v/>
      </c>
      <c r="C1194">
        <f>INDEX(Tableau1[], MATCH(Tableau3[[#This Row],[REFERENCE]], Tableau1[NUMERO], 0), 3)</f>
        <v/>
      </c>
      <c r="D1194">
        <f>INDEX(Tableau1[], MATCH(Tableau3[[#This Row],[REFERENCE]], Tableau1[NUMERO], 0),4)</f>
        <v/>
      </c>
      <c r="E1194">
        <f>INDEX(Tableau1[], MATCH(Tableau3[[#This Row],[REFERENCE]], Tableau1[NUMERO], 0), 5)</f>
        <v/>
      </c>
      <c r="H1194" t="inlineStr">
        <is>
          <t>trefimetaux</t>
        </is>
      </c>
      <c r="J1194" s="2" t="n">
        <v>44148</v>
      </c>
      <c r="K1194" s="2" t="n">
        <v>44148</v>
      </c>
      <c r="L1194" s="2" t="n"/>
      <c r="M1194" s="21" t="inlineStr">
        <is>
          <t>01</t>
        </is>
      </c>
      <c r="N1194" s="35" t="n">
        <v>5</v>
      </c>
      <c r="O1194" s="7" t="n">
        <v>3.7</v>
      </c>
      <c r="P1194" s="107" t="inlineStr">
        <is>
          <t>Délai à voir avec Mr THIAM</t>
        </is>
      </c>
      <c r="Q1194" s="2" t="n">
        <v>44240</v>
      </c>
    </row>
    <row r="1195">
      <c r="A1195" s="8" t="n">
        <v>34408929</v>
      </c>
      <c r="B1195" s="2">
        <f>INDEX(Tableau1[], MATCH(Tableau3[[#This Row],[REFERENCE]], Tableau1[NUMERO], 0), 2)</f>
        <v/>
      </c>
      <c r="C1195">
        <f>INDEX(Tableau1[], MATCH(Tableau3[[#This Row],[REFERENCE]], Tableau1[NUMERO], 0), 3)</f>
        <v/>
      </c>
      <c r="D1195">
        <f>INDEX(Tableau1[], MATCH(Tableau3[[#This Row],[REFERENCE]], Tableau1[NUMERO], 0),4)</f>
        <v/>
      </c>
      <c r="E1195">
        <f>INDEX(Tableau1[], MATCH(Tableau3[[#This Row],[REFERENCE]], Tableau1[NUMERO], 0), 5)</f>
        <v/>
      </c>
      <c r="H1195" t="inlineStr">
        <is>
          <t>trefimetaux</t>
        </is>
      </c>
      <c r="J1195" s="2" t="n">
        <v>44148</v>
      </c>
      <c r="K1195" s="2" t="n">
        <v>44148</v>
      </c>
      <c r="L1195" s="2" t="n"/>
      <c r="M1195" s="21" t="inlineStr">
        <is>
          <t>01</t>
        </is>
      </c>
      <c r="N1195" s="35" t="n">
        <v>5</v>
      </c>
      <c r="O1195" s="7" t="n">
        <v>3.4</v>
      </c>
      <c r="P1195" s="107" t="inlineStr">
        <is>
          <t>Délai à voir avec Mr THIAM</t>
        </is>
      </c>
      <c r="Q1195" s="2" t="n">
        <v>44240</v>
      </c>
    </row>
    <row r="1196">
      <c r="A1196" s="8" t="n">
        <v>34408939</v>
      </c>
      <c r="B1196" s="2">
        <f>INDEX(Tableau1[], MATCH(Tableau3[[#This Row],[REFERENCE]], Tableau1[NUMERO], 0), 2)</f>
        <v/>
      </c>
      <c r="C1196">
        <f>INDEX(Tableau1[], MATCH(Tableau3[[#This Row],[REFERENCE]], Tableau1[NUMERO], 0), 3)</f>
        <v/>
      </c>
      <c r="D1196">
        <f>INDEX(Tableau1[], MATCH(Tableau3[[#This Row],[REFERENCE]], Tableau1[NUMERO], 0),4)</f>
        <v/>
      </c>
      <c r="E1196">
        <f>INDEX(Tableau1[], MATCH(Tableau3[[#This Row],[REFERENCE]], Tableau1[NUMERO], 0), 5)</f>
        <v/>
      </c>
      <c r="H1196" t="inlineStr">
        <is>
          <t>trefimetaux</t>
        </is>
      </c>
      <c r="J1196" s="2" t="n">
        <v>44148</v>
      </c>
      <c r="K1196" s="2" t="n">
        <v>44148</v>
      </c>
      <c r="L1196" s="2" t="n"/>
      <c r="M1196" s="21" t="inlineStr">
        <is>
          <t>01</t>
        </is>
      </c>
      <c r="N1196" s="35" t="n">
        <v>5</v>
      </c>
      <c r="O1196" s="7" t="n">
        <v>22.1</v>
      </c>
      <c r="P1196" s="107" t="inlineStr">
        <is>
          <t>Délai à voir avec Mr THIAM</t>
        </is>
      </c>
      <c r="Q1196" s="2" t="n">
        <v>44240</v>
      </c>
    </row>
    <row r="1197">
      <c r="A1197" s="8" t="n">
        <v>34408851</v>
      </c>
      <c r="B1197" s="2">
        <f>INDEX(Tableau1[], MATCH(Tableau3[[#This Row],[REFERENCE]], Tableau1[NUMERO], 0), 2)</f>
        <v/>
      </c>
      <c r="C1197">
        <f>INDEX(Tableau1[], MATCH(Tableau3[[#This Row],[REFERENCE]], Tableau1[NUMERO], 0), 3)</f>
        <v/>
      </c>
      <c r="D1197">
        <f>INDEX(Tableau1[], MATCH(Tableau3[[#This Row],[REFERENCE]], Tableau1[NUMERO], 0),4)</f>
        <v/>
      </c>
      <c r="E1197">
        <f>INDEX(Tableau1[], MATCH(Tableau3[[#This Row],[REFERENCE]], Tableau1[NUMERO], 0), 5)</f>
        <v/>
      </c>
      <c r="H1197" t="inlineStr">
        <is>
          <t>trefimetaux</t>
        </is>
      </c>
      <c r="J1197" s="2" t="n">
        <v>44148</v>
      </c>
      <c r="K1197" s="2" t="n">
        <v>44148</v>
      </c>
      <c r="L1197" s="2" t="n"/>
      <c r="M1197" s="21" t="inlineStr">
        <is>
          <t>01</t>
        </is>
      </c>
      <c r="N1197" s="35" t="n">
        <v>10</v>
      </c>
      <c r="O1197" s="7" t="n">
        <v>9.699999999999999</v>
      </c>
      <c r="P1197" s="107" t="inlineStr">
        <is>
          <t>Délai à voir avec Mr THIAM</t>
        </is>
      </c>
      <c r="Q1197" s="2" t="n">
        <v>44240</v>
      </c>
    </row>
    <row r="1198">
      <c r="A1198" s="8" t="n">
        <v>34408852</v>
      </c>
      <c r="B1198" s="2">
        <f>INDEX(Tableau1[], MATCH(Tableau3[[#This Row],[REFERENCE]], Tableau1[NUMERO], 0), 2)</f>
        <v/>
      </c>
      <c r="C1198">
        <f>INDEX(Tableau1[], MATCH(Tableau3[[#This Row],[REFERENCE]], Tableau1[NUMERO], 0), 3)</f>
        <v/>
      </c>
      <c r="D1198">
        <f>INDEX(Tableau1[], MATCH(Tableau3[[#This Row],[REFERENCE]], Tableau1[NUMERO], 0),4)</f>
        <v/>
      </c>
      <c r="E1198">
        <f>INDEX(Tableau1[], MATCH(Tableau3[[#This Row],[REFERENCE]], Tableau1[NUMERO], 0), 5)</f>
        <v/>
      </c>
      <c r="H1198" t="inlineStr">
        <is>
          <t>trefimetaux</t>
        </is>
      </c>
      <c r="J1198" s="2" t="n">
        <v>44148</v>
      </c>
      <c r="K1198" s="2" t="n">
        <v>44148</v>
      </c>
      <c r="L1198" s="2" t="n"/>
      <c r="M1198" s="21" t="inlineStr">
        <is>
          <t>01</t>
        </is>
      </c>
      <c r="N1198" s="35" t="n">
        <v>10</v>
      </c>
      <c r="O1198" s="7" t="n">
        <v>11.9</v>
      </c>
      <c r="P1198" s="107" t="inlineStr">
        <is>
          <t>Délai à voir avec Mr THIAM</t>
        </is>
      </c>
      <c r="Q1198" s="2" t="n">
        <v>44240</v>
      </c>
    </row>
    <row r="1199">
      <c r="A1199" s="8" t="n">
        <v>34408853</v>
      </c>
      <c r="B1199" s="2">
        <f>INDEX(Tableau1[], MATCH(Tableau3[[#This Row],[REFERENCE]], Tableau1[NUMERO], 0), 2)</f>
        <v/>
      </c>
      <c r="C1199">
        <f>INDEX(Tableau1[], MATCH(Tableau3[[#This Row],[REFERENCE]], Tableau1[NUMERO], 0), 3)</f>
        <v/>
      </c>
      <c r="D1199">
        <f>INDEX(Tableau1[], MATCH(Tableau3[[#This Row],[REFERENCE]], Tableau1[NUMERO], 0),4)</f>
        <v/>
      </c>
      <c r="E1199">
        <f>INDEX(Tableau1[], MATCH(Tableau3[[#This Row],[REFERENCE]], Tableau1[NUMERO], 0), 5)</f>
        <v/>
      </c>
      <c r="H1199" t="inlineStr">
        <is>
          <t>trefimetaux</t>
        </is>
      </c>
      <c r="J1199" s="2" t="n">
        <v>44148</v>
      </c>
      <c r="K1199" s="2" t="n">
        <v>44148</v>
      </c>
      <c r="L1199" s="2" t="n"/>
      <c r="M1199" s="21" t="inlineStr">
        <is>
          <t>01</t>
        </is>
      </c>
      <c r="N1199" s="35" t="n">
        <v>10</v>
      </c>
      <c r="O1199" s="7" t="n">
        <v>14.3</v>
      </c>
      <c r="P1199" s="107" t="inlineStr">
        <is>
          <t>Délai à voir avec Mr THIAM</t>
        </is>
      </c>
      <c r="Q1199" s="2" t="n">
        <v>44240</v>
      </c>
    </row>
    <row r="1200">
      <c r="A1200" s="8" t="n">
        <v>34408866</v>
      </c>
      <c r="B1200" s="2">
        <f>INDEX(Tableau1[], MATCH(Tableau3[[#This Row],[REFERENCE]], Tableau1[NUMERO], 0), 2)</f>
        <v/>
      </c>
      <c r="C1200">
        <f>INDEX(Tableau1[], MATCH(Tableau3[[#This Row],[REFERENCE]], Tableau1[NUMERO], 0), 3)</f>
        <v/>
      </c>
      <c r="D1200">
        <f>INDEX(Tableau1[], MATCH(Tableau3[[#This Row],[REFERENCE]], Tableau1[NUMERO], 0),4)</f>
        <v/>
      </c>
      <c r="E1200">
        <f>INDEX(Tableau1[], MATCH(Tableau3[[#This Row],[REFERENCE]], Tableau1[NUMERO], 0), 5)</f>
        <v/>
      </c>
      <c r="H1200" t="inlineStr">
        <is>
          <t>trefimetaux</t>
        </is>
      </c>
      <c r="J1200" s="2" t="n">
        <v>44148</v>
      </c>
      <c r="K1200" s="2" t="n">
        <v>44148</v>
      </c>
      <c r="L1200" s="2" t="n"/>
      <c r="M1200" s="21" t="inlineStr">
        <is>
          <t>01</t>
        </is>
      </c>
      <c r="N1200" s="35" t="n">
        <v>10</v>
      </c>
      <c r="O1200" s="7" t="n">
        <v>4.5</v>
      </c>
      <c r="P1200" s="107" t="inlineStr">
        <is>
          <t>Délai à voir avec Mr THIAM</t>
        </is>
      </c>
      <c r="Q1200" s="2" t="n">
        <v>44240</v>
      </c>
    </row>
    <row r="1201">
      <c r="A1201" s="8" t="n">
        <v>34408867</v>
      </c>
      <c r="B1201" s="2">
        <f>INDEX(Tableau1[], MATCH(Tableau3[[#This Row],[REFERENCE]], Tableau1[NUMERO], 0), 2)</f>
        <v/>
      </c>
      <c r="C1201">
        <f>INDEX(Tableau1[], MATCH(Tableau3[[#This Row],[REFERENCE]], Tableau1[NUMERO], 0), 3)</f>
        <v/>
      </c>
      <c r="D1201">
        <f>INDEX(Tableau1[], MATCH(Tableau3[[#This Row],[REFERENCE]], Tableau1[NUMERO], 0),4)</f>
        <v/>
      </c>
      <c r="E1201">
        <f>INDEX(Tableau1[], MATCH(Tableau3[[#This Row],[REFERENCE]], Tableau1[NUMERO], 0), 5)</f>
        <v/>
      </c>
      <c r="H1201" t="inlineStr">
        <is>
          <t>trefimetaux</t>
        </is>
      </c>
      <c r="J1201" s="2" t="n">
        <v>44148</v>
      </c>
      <c r="K1201" s="2" t="n">
        <v>44148</v>
      </c>
      <c r="L1201" s="2" t="n"/>
      <c r="M1201" s="21" t="inlineStr">
        <is>
          <t>01</t>
        </is>
      </c>
      <c r="N1201" s="35" t="n">
        <v>10</v>
      </c>
      <c r="O1201" s="7" t="n">
        <v>5.5</v>
      </c>
      <c r="P1201" s="107" t="inlineStr">
        <is>
          <t>Délai à voir avec Mr THIAM</t>
        </is>
      </c>
      <c r="Q1201" s="2" t="n">
        <v>44240</v>
      </c>
    </row>
    <row r="1202">
      <c r="A1202" s="8" t="n">
        <v>34408872</v>
      </c>
      <c r="B1202" s="2">
        <f>INDEX(Tableau1[], MATCH(Tableau3[[#This Row],[REFERENCE]], Tableau1[NUMERO], 0), 2)</f>
        <v/>
      </c>
      <c r="C1202">
        <f>INDEX(Tableau1[], MATCH(Tableau3[[#This Row],[REFERENCE]], Tableau1[NUMERO], 0), 3)</f>
        <v/>
      </c>
      <c r="D1202">
        <f>INDEX(Tableau1[], MATCH(Tableau3[[#This Row],[REFERENCE]], Tableau1[NUMERO], 0),4)</f>
        <v/>
      </c>
      <c r="E1202">
        <f>INDEX(Tableau1[], MATCH(Tableau3[[#This Row],[REFERENCE]], Tableau1[NUMERO], 0), 5)</f>
        <v/>
      </c>
      <c r="H1202" t="inlineStr">
        <is>
          <t>trefimetaux</t>
        </is>
      </c>
      <c r="J1202" s="2" t="n">
        <v>44148</v>
      </c>
      <c r="K1202" s="2" t="n">
        <v>44148</v>
      </c>
      <c r="L1202" s="2" t="n"/>
      <c r="M1202" s="21" t="inlineStr">
        <is>
          <t>01</t>
        </is>
      </c>
      <c r="N1202" s="35" t="n">
        <v>10</v>
      </c>
      <c r="O1202" s="7" t="n">
        <v>5.1</v>
      </c>
      <c r="P1202" s="107" t="inlineStr">
        <is>
          <t>Délai à voir avec Mr THIAM</t>
        </is>
      </c>
      <c r="Q1202" s="2" t="n">
        <v>44240</v>
      </c>
    </row>
    <row r="1203">
      <c r="A1203" s="8" t="n">
        <v>34408873</v>
      </c>
      <c r="B1203" s="2">
        <f>INDEX(Tableau1[], MATCH(Tableau3[[#This Row],[REFERENCE]], Tableau1[NUMERO], 0), 2)</f>
        <v/>
      </c>
      <c r="C1203">
        <f>INDEX(Tableau1[], MATCH(Tableau3[[#This Row],[REFERENCE]], Tableau1[NUMERO], 0), 3)</f>
        <v/>
      </c>
      <c r="D1203">
        <f>INDEX(Tableau1[], MATCH(Tableau3[[#This Row],[REFERENCE]], Tableau1[NUMERO], 0),4)</f>
        <v/>
      </c>
      <c r="E1203">
        <f>INDEX(Tableau1[], MATCH(Tableau3[[#This Row],[REFERENCE]], Tableau1[NUMERO], 0), 5)</f>
        <v/>
      </c>
      <c r="H1203" t="inlineStr">
        <is>
          <t>trefimetaux</t>
        </is>
      </c>
      <c r="J1203" s="2" t="n">
        <v>44148</v>
      </c>
      <c r="K1203" s="2" t="n">
        <v>44148</v>
      </c>
      <c r="L1203" s="2" t="n"/>
      <c r="M1203" s="21" t="inlineStr">
        <is>
          <t>01</t>
        </is>
      </c>
      <c r="N1203" s="35" t="n">
        <v>10</v>
      </c>
      <c r="O1203" s="7" t="n">
        <v>11.3</v>
      </c>
      <c r="P1203" s="107" t="inlineStr">
        <is>
          <t>Délai à voir avec Mr THIAM</t>
        </is>
      </c>
      <c r="Q1203" s="2" t="n">
        <v>44240</v>
      </c>
    </row>
    <row r="1204">
      <c r="A1204" s="8" t="n">
        <v>34408874</v>
      </c>
      <c r="B1204" s="2">
        <f>INDEX(Tableau1[], MATCH(Tableau3[[#This Row],[REFERENCE]], Tableau1[NUMERO], 0), 2)</f>
        <v/>
      </c>
      <c r="C1204">
        <f>INDEX(Tableau1[], MATCH(Tableau3[[#This Row],[REFERENCE]], Tableau1[NUMERO], 0), 3)</f>
        <v/>
      </c>
      <c r="D1204">
        <f>INDEX(Tableau1[], MATCH(Tableau3[[#This Row],[REFERENCE]], Tableau1[NUMERO], 0),4)</f>
        <v/>
      </c>
      <c r="E1204">
        <f>INDEX(Tableau1[], MATCH(Tableau3[[#This Row],[REFERENCE]], Tableau1[NUMERO], 0), 5)</f>
        <v/>
      </c>
      <c r="H1204" t="inlineStr">
        <is>
          <t>trefimetaux</t>
        </is>
      </c>
      <c r="J1204" s="2" t="n">
        <v>44148</v>
      </c>
      <c r="K1204" s="2" t="n">
        <v>44148</v>
      </c>
      <c r="L1204" s="2" t="n"/>
      <c r="M1204" s="21" t="inlineStr">
        <is>
          <t>01</t>
        </is>
      </c>
      <c r="N1204" s="35" t="n">
        <v>10</v>
      </c>
      <c r="O1204" s="7" t="n">
        <v>9.199999999999999</v>
      </c>
      <c r="P1204" s="107" t="inlineStr">
        <is>
          <t>Délai à voir avec Mr THIAM</t>
        </is>
      </c>
      <c r="Q1204" s="2" t="n">
        <v>44240</v>
      </c>
    </row>
    <row r="1205">
      <c r="A1205" s="8" t="n">
        <v>34408875</v>
      </c>
      <c r="B1205" s="2">
        <f>INDEX(Tableau1[], MATCH(Tableau3[[#This Row],[REFERENCE]], Tableau1[NUMERO], 0), 2)</f>
        <v/>
      </c>
      <c r="C1205">
        <f>INDEX(Tableau1[], MATCH(Tableau3[[#This Row],[REFERENCE]], Tableau1[NUMERO], 0), 3)</f>
        <v/>
      </c>
      <c r="D1205">
        <f>INDEX(Tableau1[], MATCH(Tableau3[[#This Row],[REFERENCE]], Tableau1[NUMERO], 0),4)</f>
        <v/>
      </c>
      <c r="E1205">
        <f>INDEX(Tableau1[], MATCH(Tableau3[[#This Row],[REFERENCE]], Tableau1[NUMERO], 0), 5)</f>
        <v/>
      </c>
      <c r="H1205" t="inlineStr">
        <is>
          <t>trefimetaux</t>
        </is>
      </c>
      <c r="J1205" s="2" t="n">
        <v>44148</v>
      </c>
      <c r="K1205" s="2" t="n">
        <v>44148</v>
      </c>
      <c r="L1205" s="2" t="n"/>
      <c r="M1205" s="21" t="inlineStr">
        <is>
          <t>01</t>
        </is>
      </c>
      <c r="N1205" s="35" t="n">
        <v>10</v>
      </c>
      <c r="O1205" s="7" t="n">
        <v>13</v>
      </c>
      <c r="P1205" s="107" t="inlineStr">
        <is>
          <t>Délai à voir avec Mr THIAM</t>
        </is>
      </c>
      <c r="Q1205" s="2" t="n">
        <v>44240</v>
      </c>
    </row>
    <row r="1206">
      <c r="A1206" s="8" t="n">
        <v>34408876</v>
      </c>
      <c r="B1206" s="2">
        <f>INDEX(Tableau1[], MATCH(Tableau3[[#This Row],[REFERENCE]], Tableau1[NUMERO], 0), 2)</f>
        <v/>
      </c>
      <c r="C1206">
        <f>INDEX(Tableau1[], MATCH(Tableau3[[#This Row],[REFERENCE]], Tableau1[NUMERO], 0), 3)</f>
        <v/>
      </c>
      <c r="D1206">
        <f>INDEX(Tableau1[], MATCH(Tableau3[[#This Row],[REFERENCE]], Tableau1[NUMERO], 0),4)</f>
        <v/>
      </c>
      <c r="E1206">
        <f>INDEX(Tableau1[], MATCH(Tableau3[[#This Row],[REFERENCE]], Tableau1[NUMERO], 0), 5)</f>
        <v/>
      </c>
      <c r="H1206" t="inlineStr">
        <is>
          <t>trefimetaux</t>
        </is>
      </c>
      <c r="J1206" s="2" t="n">
        <v>44148</v>
      </c>
      <c r="K1206" s="2" t="n">
        <v>44148</v>
      </c>
      <c r="L1206" s="2" t="n"/>
      <c r="M1206" s="21" t="inlineStr">
        <is>
          <t>01</t>
        </is>
      </c>
      <c r="N1206" s="35" t="n">
        <v>10</v>
      </c>
      <c r="O1206" s="7" t="n">
        <v>17</v>
      </c>
      <c r="P1206" s="107" t="inlineStr">
        <is>
          <t>Délai à voir avec Mr THIAM</t>
        </is>
      </c>
      <c r="Q1206" s="2" t="n">
        <v>44240</v>
      </c>
    </row>
    <row r="1207">
      <c r="A1207" s="8" t="n">
        <v>34408877</v>
      </c>
      <c r="B1207" s="2">
        <f>INDEX(Tableau1[], MATCH(Tableau3[[#This Row],[REFERENCE]], Tableau1[NUMERO], 0), 2)</f>
        <v/>
      </c>
      <c r="C1207">
        <f>INDEX(Tableau1[], MATCH(Tableau3[[#This Row],[REFERENCE]], Tableau1[NUMERO], 0), 3)</f>
        <v/>
      </c>
      <c r="D1207">
        <f>INDEX(Tableau1[], MATCH(Tableau3[[#This Row],[REFERENCE]], Tableau1[NUMERO], 0),4)</f>
        <v/>
      </c>
      <c r="E1207">
        <f>INDEX(Tableau1[], MATCH(Tableau3[[#This Row],[REFERENCE]], Tableau1[NUMERO], 0), 5)</f>
        <v/>
      </c>
      <c r="H1207" t="inlineStr">
        <is>
          <t>trefimetaux</t>
        </is>
      </c>
      <c r="J1207" s="2" t="n">
        <v>44148</v>
      </c>
      <c r="K1207" s="2" t="n">
        <v>44148</v>
      </c>
      <c r="L1207" s="2" t="n"/>
      <c r="M1207" s="21" t="inlineStr">
        <is>
          <t>01</t>
        </is>
      </c>
      <c r="N1207" s="35" t="n">
        <v>10</v>
      </c>
      <c r="O1207" s="7" t="n">
        <v>16.7</v>
      </c>
      <c r="P1207" s="107" t="inlineStr">
        <is>
          <t>Délai à voir avec Mr THIAM</t>
        </is>
      </c>
      <c r="Q1207" s="2" t="n">
        <v>44240</v>
      </c>
    </row>
    <row r="1208">
      <c r="A1208" s="8" t="n">
        <v>34408884</v>
      </c>
      <c r="B1208" s="2">
        <f>INDEX(Tableau1[], MATCH(Tableau3[[#This Row],[REFERENCE]], Tableau1[NUMERO], 0), 2)</f>
        <v/>
      </c>
      <c r="C1208">
        <f>INDEX(Tableau1[], MATCH(Tableau3[[#This Row],[REFERENCE]], Tableau1[NUMERO], 0), 3)</f>
        <v/>
      </c>
      <c r="D1208">
        <f>INDEX(Tableau1[], MATCH(Tableau3[[#This Row],[REFERENCE]], Tableau1[NUMERO], 0),4)</f>
        <v/>
      </c>
      <c r="E1208">
        <f>INDEX(Tableau1[], MATCH(Tableau3[[#This Row],[REFERENCE]], Tableau1[NUMERO], 0), 5)</f>
        <v/>
      </c>
      <c r="H1208" t="inlineStr">
        <is>
          <t>trefimetaux</t>
        </is>
      </c>
      <c r="J1208" s="2" t="n">
        <v>44148</v>
      </c>
      <c r="K1208" s="2" t="n">
        <v>44148</v>
      </c>
      <c r="L1208" s="2" t="n"/>
      <c r="M1208" s="21" t="inlineStr">
        <is>
          <t>01</t>
        </is>
      </c>
      <c r="N1208" s="35" t="n">
        <v>10</v>
      </c>
      <c r="O1208" s="7" t="n">
        <v>28.6</v>
      </c>
      <c r="P1208" s="107" t="inlineStr">
        <is>
          <t>Délai à voir avec Mr THIAM</t>
        </is>
      </c>
      <c r="Q1208" s="2" t="n">
        <v>44240</v>
      </c>
    </row>
    <row r="1209">
      <c r="A1209" s="8" t="n">
        <v>34408885</v>
      </c>
      <c r="B1209" s="2">
        <f>INDEX(Tableau1[], MATCH(Tableau3[[#This Row],[REFERENCE]], Tableau1[NUMERO], 0), 2)</f>
        <v/>
      </c>
      <c r="C1209">
        <f>INDEX(Tableau1[], MATCH(Tableau3[[#This Row],[REFERENCE]], Tableau1[NUMERO], 0), 3)</f>
        <v/>
      </c>
      <c r="D1209">
        <f>INDEX(Tableau1[], MATCH(Tableau3[[#This Row],[REFERENCE]], Tableau1[NUMERO], 0),4)</f>
        <v/>
      </c>
      <c r="E1209">
        <f>INDEX(Tableau1[], MATCH(Tableau3[[#This Row],[REFERENCE]], Tableau1[NUMERO], 0), 5)</f>
        <v/>
      </c>
      <c r="H1209" t="inlineStr">
        <is>
          <t>trefimetaux</t>
        </is>
      </c>
      <c r="J1209" s="2" t="n">
        <v>44148</v>
      </c>
      <c r="K1209" s="2" t="n">
        <v>44148</v>
      </c>
      <c r="L1209" s="2" t="n"/>
      <c r="M1209" s="21" t="inlineStr">
        <is>
          <t>01</t>
        </is>
      </c>
      <c r="N1209" s="35" t="n">
        <v>10</v>
      </c>
      <c r="O1209" s="7" t="n">
        <v>28.6</v>
      </c>
      <c r="P1209" s="107" t="inlineStr">
        <is>
          <t>Délai à voir avec Mr THIAM</t>
        </is>
      </c>
      <c r="Q1209" s="2" t="n">
        <v>44240</v>
      </c>
    </row>
    <row r="1210">
      <c r="A1210" s="8" t="n">
        <v>34408886</v>
      </c>
      <c r="B1210" s="2">
        <f>INDEX(Tableau1[], MATCH(Tableau3[[#This Row],[REFERENCE]], Tableau1[NUMERO], 0), 2)</f>
        <v/>
      </c>
      <c r="C1210">
        <f>INDEX(Tableau1[], MATCH(Tableau3[[#This Row],[REFERENCE]], Tableau1[NUMERO], 0), 3)</f>
        <v/>
      </c>
      <c r="D1210">
        <f>INDEX(Tableau1[], MATCH(Tableau3[[#This Row],[REFERENCE]], Tableau1[NUMERO], 0),4)</f>
        <v/>
      </c>
      <c r="E1210">
        <f>INDEX(Tableau1[], MATCH(Tableau3[[#This Row],[REFERENCE]], Tableau1[NUMERO], 0), 5)</f>
        <v/>
      </c>
      <c r="H1210" t="inlineStr">
        <is>
          <t>trefimetaux</t>
        </is>
      </c>
      <c r="J1210" s="2" t="n">
        <v>44148</v>
      </c>
      <c r="K1210" s="2" t="n">
        <v>44148</v>
      </c>
      <c r="L1210" s="2" t="n"/>
      <c r="M1210" s="21" t="inlineStr">
        <is>
          <t>01</t>
        </is>
      </c>
      <c r="N1210" s="35" t="n">
        <v>10</v>
      </c>
      <c r="O1210" s="7" t="n">
        <v>28.6</v>
      </c>
      <c r="P1210" s="107" t="inlineStr">
        <is>
          <t>Délai à voir avec Mr THIAM</t>
        </is>
      </c>
      <c r="Q1210" s="2" t="n">
        <v>44240</v>
      </c>
    </row>
    <row r="1211">
      <c r="A1211" s="8" t="n">
        <v>34408887</v>
      </c>
      <c r="B1211" s="2">
        <f>INDEX(Tableau1[], MATCH(Tableau3[[#This Row],[REFERENCE]], Tableau1[NUMERO], 0), 2)</f>
        <v/>
      </c>
      <c r="C1211">
        <f>INDEX(Tableau1[], MATCH(Tableau3[[#This Row],[REFERENCE]], Tableau1[NUMERO], 0), 3)</f>
        <v/>
      </c>
      <c r="D1211">
        <f>INDEX(Tableau1[], MATCH(Tableau3[[#This Row],[REFERENCE]], Tableau1[NUMERO], 0),4)</f>
        <v/>
      </c>
      <c r="E1211">
        <f>INDEX(Tableau1[], MATCH(Tableau3[[#This Row],[REFERENCE]], Tableau1[NUMERO], 0), 5)</f>
        <v/>
      </c>
      <c r="H1211" t="inlineStr">
        <is>
          <t>trefimetaux</t>
        </is>
      </c>
      <c r="J1211" s="2" t="n">
        <v>44148</v>
      </c>
      <c r="K1211" s="2" t="n">
        <v>44148</v>
      </c>
      <c r="L1211" s="2" t="n"/>
      <c r="M1211" s="21" t="inlineStr">
        <is>
          <t>01</t>
        </is>
      </c>
      <c r="N1211" s="35" t="n">
        <v>10</v>
      </c>
      <c r="O1211" s="7" t="n">
        <v>28.6</v>
      </c>
      <c r="P1211" s="107" t="inlineStr">
        <is>
          <t>Délai à voir avec Mr THIAM</t>
        </is>
      </c>
      <c r="Q1211" s="2" t="n">
        <v>44240</v>
      </c>
    </row>
    <row r="1212">
      <c r="A1212" s="8" t="n">
        <v>34408888</v>
      </c>
      <c r="B1212" s="2">
        <f>INDEX(Tableau1[], MATCH(Tableau3[[#This Row],[REFERENCE]], Tableau1[NUMERO], 0), 2)</f>
        <v/>
      </c>
      <c r="C1212">
        <f>INDEX(Tableau1[], MATCH(Tableau3[[#This Row],[REFERENCE]], Tableau1[NUMERO], 0), 3)</f>
        <v/>
      </c>
      <c r="D1212">
        <f>INDEX(Tableau1[], MATCH(Tableau3[[#This Row],[REFERENCE]], Tableau1[NUMERO], 0),4)</f>
        <v/>
      </c>
      <c r="E1212">
        <f>INDEX(Tableau1[], MATCH(Tableau3[[#This Row],[REFERENCE]], Tableau1[NUMERO], 0), 5)</f>
        <v/>
      </c>
      <c r="H1212" t="inlineStr">
        <is>
          <t>trefimetaux</t>
        </is>
      </c>
      <c r="J1212" s="2" t="n">
        <v>44148</v>
      </c>
      <c r="K1212" s="2" t="n">
        <v>44148</v>
      </c>
      <c r="L1212" s="2" t="n"/>
      <c r="M1212" s="21" t="inlineStr">
        <is>
          <t>01</t>
        </is>
      </c>
      <c r="N1212" s="35" t="n">
        <v>10</v>
      </c>
      <c r="O1212" s="7" t="n">
        <v>10.1</v>
      </c>
      <c r="P1212" s="107" t="inlineStr">
        <is>
          <t>Délai à voir avec Mr THIAM</t>
        </is>
      </c>
      <c r="Q1212" s="2" t="n">
        <v>44240</v>
      </c>
    </row>
    <row r="1213">
      <c r="A1213" s="8" t="n">
        <v>34408889</v>
      </c>
      <c r="B1213" s="2">
        <f>INDEX(Tableau1[], MATCH(Tableau3[[#This Row],[REFERENCE]], Tableau1[NUMERO], 0), 2)</f>
        <v/>
      </c>
      <c r="C1213">
        <f>INDEX(Tableau1[], MATCH(Tableau3[[#This Row],[REFERENCE]], Tableau1[NUMERO], 0), 3)</f>
        <v/>
      </c>
      <c r="D1213">
        <f>INDEX(Tableau1[], MATCH(Tableau3[[#This Row],[REFERENCE]], Tableau1[NUMERO], 0),4)</f>
        <v/>
      </c>
      <c r="E1213">
        <f>INDEX(Tableau1[], MATCH(Tableau3[[#This Row],[REFERENCE]], Tableau1[NUMERO], 0), 5)</f>
        <v/>
      </c>
      <c r="H1213" t="inlineStr">
        <is>
          <t>trefimetaux</t>
        </is>
      </c>
      <c r="J1213" s="2" t="n">
        <v>44148</v>
      </c>
      <c r="K1213" s="2" t="n">
        <v>44148</v>
      </c>
      <c r="L1213" s="2" t="n"/>
      <c r="M1213" s="21" t="inlineStr">
        <is>
          <t>01</t>
        </is>
      </c>
      <c r="N1213" s="35" t="n">
        <v>10</v>
      </c>
      <c r="O1213" s="7" t="n">
        <v>10.1</v>
      </c>
      <c r="P1213" s="107" t="inlineStr">
        <is>
          <t>Délai à voir avec Mr THIAM</t>
        </is>
      </c>
      <c r="Q1213" s="2" t="n">
        <v>44240</v>
      </c>
    </row>
    <row r="1214">
      <c r="A1214" s="8" t="n">
        <v>34408890</v>
      </c>
      <c r="B1214" s="2">
        <f>INDEX(Tableau1[], MATCH(Tableau3[[#This Row],[REFERENCE]], Tableau1[NUMERO], 0), 2)</f>
        <v/>
      </c>
      <c r="C1214">
        <f>INDEX(Tableau1[], MATCH(Tableau3[[#This Row],[REFERENCE]], Tableau1[NUMERO], 0), 3)</f>
        <v/>
      </c>
      <c r="D1214">
        <f>INDEX(Tableau1[], MATCH(Tableau3[[#This Row],[REFERENCE]], Tableau1[NUMERO], 0),4)</f>
        <v/>
      </c>
      <c r="E1214">
        <f>INDEX(Tableau1[], MATCH(Tableau3[[#This Row],[REFERENCE]], Tableau1[NUMERO], 0), 5)</f>
        <v/>
      </c>
      <c r="H1214" t="inlineStr">
        <is>
          <t>trefimetaux</t>
        </is>
      </c>
      <c r="J1214" s="2" t="n">
        <v>44148</v>
      </c>
      <c r="K1214" s="2" t="n">
        <v>44148</v>
      </c>
      <c r="L1214" s="2" t="n"/>
      <c r="M1214" s="21" t="inlineStr">
        <is>
          <t>01</t>
        </is>
      </c>
      <c r="N1214" s="35" t="n">
        <v>10</v>
      </c>
      <c r="O1214" s="7" t="n">
        <v>10.1</v>
      </c>
      <c r="P1214" s="107" t="inlineStr">
        <is>
          <t>Délai à voir avec Mr THIAM</t>
        </is>
      </c>
      <c r="Q1214" s="2" t="n">
        <v>44240</v>
      </c>
    </row>
    <row r="1215">
      <c r="A1215" s="8" t="n">
        <v>34408891</v>
      </c>
      <c r="B1215" s="2">
        <f>INDEX(Tableau1[], MATCH(Tableau3[[#This Row],[REFERENCE]], Tableau1[NUMERO], 0), 2)</f>
        <v/>
      </c>
      <c r="C1215">
        <f>INDEX(Tableau1[], MATCH(Tableau3[[#This Row],[REFERENCE]], Tableau1[NUMERO], 0), 3)</f>
        <v/>
      </c>
      <c r="D1215">
        <f>INDEX(Tableau1[], MATCH(Tableau3[[#This Row],[REFERENCE]], Tableau1[NUMERO], 0),4)</f>
        <v/>
      </c>
      <c r="E1215">
        <f>INDEX(Tableau1[], MATCH(Tableau3[[#This Row],[REFERENCE]], Tableau1[NUMERO], 0), 5)</f>
        <v/>
      </c>
      <c r="H1215" t="inlineStr">
        <is>
          <t>trefimetaux</t>
        </is>
      </c>
      <c r="J1215" s="2" t="n">
        <v>44148</v>
      </c>
      <c r="K1215" s="2" t="n">
        <v>44148</v>
      </c>
      <c r="L1215" s="2" t="n"/>
      <c r="M1215" s="21" t="inlineStr">
        <is>
          <t>01</t>
        </is>
      </c>
      <c r="N1215" s="35" t="n">
        <v>10</v>
      </c>
      <c r="O1215" s="7" t="n">
        <v>10.1</v>
      </c>
      <c r="P1215" s="107" t="inlineStr">
        <is>
          <t>Délai à voir avec Mr THIAM</t>
        </is>
      </c>
      <c r="Q1215" s="2" t="n">
        <v>44240</v>
      </c>
    </row>
    <row r="1216">
      <c r="A1216" s="8" t="n">
        <v>34408906</v>
      </c>
      <c r="B1216" s="2">
        <f>INDEX(Tableau1[], MATCH(Tableau3[[#This Row],[REFERENCE]], Tableau1[NUMERO], 0), 2)</f>
        <v/>
      </c>
      <c r="C1216">
        <f>INDEX(Tableau1[], MATCH(Tableau3[[#This Row],[REFERENCE]], Tableau1[NUMERO], 0), 3)</f>
        <v/>
      </c>
      <c r="D1216">
        <f>INDEX(Tableau1[], MATCH(Tableau3[[#This Row],[REFERENCE]], Tableau1[NUMERO], 0),4)</f>
        <v/>
      </c>
      <c r="E1216">
        <f>INDEX(Tableau1[], MATCH(Tableau3[[#This Row],[REFERENCE]], Tableau1[NUMERO], 0), 5)</f>
        <v/>
      </c>
      <c r="H1216" t="inlineStr">
        <is>
          <t>trefimetaux</t>
        </is>
      </c>
      <c r="J1216" s="2" t="n">
        <v>44148</v>
      </c>
      <c r="K1216" s="2" t="n">
        <v>44148</v>
      </c>
      <c r="L1216" s="2" t="n"/>
      <c r="M1216" s="21" t="inlineStr">
        <is>
          <t>01</t>
        </is>
      </c>
      <c r="N1216" s="35" t="n">
        <v>10</v>
      </c>
      <c r="O1216" s="7" t="n">
        <v>8.5</v>
      </c>
      <c r="P1216" s="107" t="inlineStr">
        <is>
          <t>Délai à voir avec Mr THIAM</t>
        </is>
      </c>
      <c r="Q1216" s="2" t="n">
        <v>44240</v>
      </c>
    </row>
    <row r="1217">
      <c r="A1217" s="8" t="n">
        <v>34408910</v>
      </c>
      <c r="B1217" s="2">
        <f>INDEX(Tableau1[], MATCH(Tableau3[[#This Row],[REFERENCE]], Tableau1[NUMERO], 0), 2)</f>
        <v/>
      </c>
      <c r="C1217">
        <f>INDEX(Tableau1[], MATCH(Tableau3[[#This Row],[REFERENCE]], Tableau1[NUMERO], 0), 3)</f>
        <v/>
      </c>
      <c r="D1217">
        <f>INDEX(Tableau1[], MATCH(Tableau3[[#This Row],[REFERENCE]], Tableau1[NUMERO], 0),4)</f>
        <v/>
      </c>
      <c r="E1217">
        <f>INDEX(Tableau1[], MATCH(Tableau3[[#This Row],[REFERENCE]], Tableau1[NUMERO], 0), 5)</f>
        <v/>
      </c>
      <c r="H1217" t="inlineStr">
        <is>
          <t>trefimetaux</t>
        </is>
      </c>
      <c r="J1217" s="2" t="n">
        <v>44148</v>
      </c>
      <c r="K1217" s="2" t="n">
        <v>44148</v>
      </c>
      <c r="L1217" s="2" t="n"/>
      <c r="M1217" s="21" t="inlineStr">
        <is>
          <t>01</t>
        </is>
      </c>
      <c r="N1217" s="35" t="n">
        <v>10</v>
      </c>
      <c r="O1217" s="7" t="n">
        <v>5.8</v>
      </c>
      <c r="P1217" s="107" t="inlineStr">
        <is>
          <t>Délai à voir avec Mr THIAM</t>
        </is>
      </c>
      <c r="Q1217" s="2" t="n">
        <v>44240</v>
      </c>
    </row>
    <row r="1218">
      <c r="A1218" s="8" t="n">
        <v>34408911</v>
      </c>
      <c r="B1218" s="2">
        <f>INDEX(Tableau1[], MATCH(Tableau3[[#This Row],[REFERENCE]], Tableau1[NUMERO], 0), 2)</f>
        <v/>
      </c>
      <c r="C1218">
        <f>INDEX(Tableau1[], MATCH(Tableau3[[#This Row],[REFERENCE]], Tableau1[NUMERO], 0), 3)</f>
        <v/>
      </c>
      <c r="D1218">
        <f>INDEX(Tableau1[], MATCH(Tableau3[[#This Row],[REFERENCE]], Tableau1[NUMERO], 0),4)</f>
        <v/>
      </c>
      <c r="E1218">
        <f>INDEX(Tableau1[], MATCH(Tableau3[[#This Row],[REFERENCE]], Tableau1[NUMERO], 0), 5)</f>
        <v/>
      </c>
      <c r="H1218" t="inlineStr">
        <is>
          <t>trefimetaux</t>
        </is>
      </c>
      <c r="J1218" s="2" t="n">
        <v>44148</v>
      </c>
      <c r="K1218" s="2" t="n">
        <v>44148</v>
      </c>
      <c r="L1218" s="2" t="n"/>
      <c r="M1218" s="21" t="inlineStr">
        <is>
          <t>01</t>
        </is>
      </c>
      <c r="N1218" s="35" t="n">
        <v>10</v>
      </c>
      <c r="O1218" s="7" t="n">
        <v>7.6</v>
      </c>
      <c r="P1218" s="107" t="inlineStr">
        <is>
          <t>Délai à voir avec Mr THIAM</t>
        </is>
      </c>
      <c r="Q1218" s="2" t="n">
        <v>44240</v>
      </c>
    </row>
    <row r="1219">
      <c r="A1219" s="8" t="n">
        <v>34408912</v>
      </c>
      <c r="B1219" s="2">
        <f>INDEX(Tableau1[], MATCH(Tableau3[[#This Row],[REFERENCE]], Tableau1[NUMERO], 0), 2)</f>
        <v/>
      </c>
      <c r="C1219">
        <f>INDEX(Tableau1[], MATCH(Tableau3[[#This Row],[REFERENCE]], Tableau1[NUMERO], 0), 3)</f>
        <v/>
      </c>
      <c r="D1219">
        <f>INDEX(Tableau1[], MATCH(Tableau3[[#This Row],[REFERENCE]], Tableau1[NUMERO], 0),4)</f>
        <v/>
      </c>
      <c r="E1219">
        <f>INDEX(Tableau1[], MATCH(Tableau3[[#This Row],[REFERENCE]], Tableau1[NUMERO], 0), 5)</f>
        <v/>
      </c>
      <c r="H1219" t="inlineStr">
        <is>
          <t>trefimetaux</t>
        </is>
      </c>
      <c r="J1219" s="2" t="n">
        <v>44148</v>
      </c>
      <c r="K1219" s="2" t="n">
        <v>44148</v>
      </c>
      <c r="L1219" s="2" t="n"/>
      <c r="M1219" s="21" t="inlineStr">
        <is>
          <t>01</t>
        </is>
      </c>
      <c r="N1219" s="35" t="n">
        <v>10</v>
      </c>
      <c r="O1219" s="7" t="n">
        <v>9.6</v>
      </c>
      <c r="P1219" s="107" t="inlineStr">
        <is>
          <t>Délai à voir avec Mr THIAM</t>
        </is>
      </c>
      <c r="Q1219" s="2" t="n">
        <v>44240</v>
      </c>
    </row>
    <row r="1220">
      <c r="A1220" s="8" t="n">
        <v>34408914</v>
      </c>
      <c r="B1220" s="2">
        <f>INDEX(Tableau1[], MATCH(Tableau3[[#This Row],[REFERENCE]], Tableau1[NUMERO], 0), 2)</f>
        <v/>
      </c>
      <c r="C1220">
        <f>INDEX(Tableau1[], MATCH(Tableau3[[#This Row],[REFERENCE]], Tableau1[NUMERO], 0), 3)</f>
        <v/>
      </c>
      <c r="D1220">
        <f>INDEX(Tableau1[], MATCH(Tableau3[[#This Row],[REFERENCE]], Tableau1[NUMERO], 0),4)</f>
        <v/>
      </c>
      <c r="E1220">
        <f>INDEX(Tableau1[], MATCH(Tableau3[[#This Row],[REFERENCE]], Tableau1[NUMERO], 0), 5)</f>
        <v/>
      </c>
      <c r="H1220" t="inlineStr">
        <is>
          <t>trefimetaux</t>
        </is>
      </c>
      <c r="J1220" s="2" t="n">
        <v>44148</v>
      </c>
      <c r="K1220" s="2" t="n">
        <v>44148</v>
      </c>
      <c r="L1220" s="2" t="n"/>
      <c r="M1220" s="21" t="inlineStr">
        <is>
          <t>01</t>
        </is>
      </c>
      <c r="N1220" s="35" t="n">
        <v>10</v>
      </c>
      <c r="O1220" s="7" t="n">
        <v>9.199999999999999</v>
      </c>
      <c r="P1220" s="107" t="inlineStr">
        <is>
          <t>Délai à voir avec Mr THIAM</t>
        </is>
      </c>
      <c r="Q1220" s="2" t="n">
        <v>44240</v>
      </c>
    </row>
    <row r="1221">
      <c r="A1221" s="8" t="n">
        <v>34408922</v>
      </c>
      <c r="B1221" s="2">
        <f>INDEX(Tableau1[], MATCH(Tableau3[[#This Row],[REFERENCE]], Tableau1[NUMERO], 0), 2)</f>
        <v/>
      </c>
      <c r="C1221">
        <f>INDEX(Tableau1[], MATCH(Tableau3[[#This Row],[REFERENCE]], Tableau1[NUMERO], 0), 3)</f>
        <v/>
      </c>
      <c r="D1221">
        <f>INDEX(Tableau1[], MATCH(Tableau3[[#This Row],[REFERENCE]], Tableau1[NUMERO], 0),4)</f>
        <v/>
      </c>
      <c r="E1221">
        <f>INDEX(Tableau1[], MATCH(Tableau3[[#This Row],[REFERENCE]], Tableau1[NUMERO], 0), 5)</f>
        <v/>
      </c>
      <c r="H1221" t="inlineStr">
        <is>
          <t>trefimetaux</t>
        </is>
      </c>
      <c r="J1221" s="2" t="n">
        <v>44148</v>
      </c>
      <c r="K1221" s="2" t="n">
        <v>44148</v>
      </c>
      <c r="L1221" s="2" t="n"/>
      <c r="M1221" s="21" t="inlineStr">
        <is>
          <t>01</t>
        </is>
      </c>
      <c r="N1221" s="35" t="n">
        <v>10</v>
      </c>
      <c r="O1221" s="7" t="n">
        <v>12.4</v>
      </c>
      <c r="P1221" s="107" t="inlineStr">
        <is>
          <t>Délai à voir avec Mr THIAM</t>
        </is>
      </c>
      <c r="Q1221" s="2" t="n">
        <v>44240</v>
      </c>
    </row>
    <row r="1222">
      <c r="A1222" s="8" t="n">
        <v>34408923</v>
      </c>
      <c r="B1222" s="2">
        <f>INDEX(Tableau1[], MATCH(Tableau3[[#This Row],[REFERENCE]], Tableau1[NUMERO], 0), 2)</f>
        <v/>
      </c>
      <c r="C1222">
        <f>INDEX(Tableau1[], MATCH(Tableau3[[#This Row],[REFERENCE]], Tableau1[NUMERO], 0), 3)</f>
        <v/>
      </c>
      <c r="D1222">
        <f>INDEX(Tableau1[], MATCH(Tableau3[[#This Row],[REFERENCE]], Tableau1[NUMERO], 0),4)</f>
        <v/>
      </c>
      <c r="E1222">
        <f>INDEX(Tableau1[], MATCH(Tableau3[[#This Row],[REFERENCE]], Tableau1[NUMERO], 0), 5)</f>
        <v/>
      </c>
      <c r="H1222" t="inlineStr">
        <is>
          <t>trefimetaux</t>
        </is>
      </c>
      <c r="J1222" s="2" t="n">
        <v>44148</v>
      </c>
      <c r="K1222" s="2" t="n">
        <v>44148</v>
      </c>
      <c r="L1222" s="2" t="n"/>
      <c r="M1222" s="21" t="inlineStr">
        <is>
          <t>01</t>
        </is>
      </c>
      <c r="N1222" s="35" t="n">
        <v>10</v>
      </c>
      <c r="O1222" s="7" t="n">
        <v>3.2</v>
      </c>
      <c r="P1222" s="107" t="inlineStr">
        <is>
          <t>Délai à voir avec Mr THIAM</t>
        </is>
      </c>
      <c r="Q1222" s="2" t="n">
        <v>44240</v>
      </c>
    </row>
    <row r="1223">
      <c r="A1223" s="8" t="n">
        <v>34408924</v>
      </c>
      <c r="B1223" s="2">
        <f>INDEX(Tableau1[], MATCH(Tableau3[[#This Row],[REFERENCE]], Tableau1[NUMERO], 0), 2)</f>
        <v/>
      </c>
      <c r="C1223">
        <f>INDEX(Tableau1[], MATCH(Tableau3[[#This Row],[REFERENCE]], Tableau1[NUMERO], 0), 3)</f>
        <v/>
      </c>
      <c r="D1223">
        <f>INDEX(Tableau1[], MATCH(Tableau3[[#This Row],[REFERENCE]], Tableau1[NUMERO], 0),4)</f>
        <v/>
      </c>
      <c r="E1223">
        <f>INDEX(Tableau1[], MATCH(Tableau3[[#This Row],[REFERENCE]], Tableau1[NUMERO], 0), 5)</f>
        <v/>
      </c>
      <c r="H1223" t="inlineStr">
        <is>
          <t>trefimetaux</t>
        </is>
      </c>
      <c r="J1223" s="2" t="n">
        <v>44148</v>
      </c>
      <c r="K1223" s="2" t="n">
        <v>44148</v>
      </c>
      <c r="L1223" s="2" t="n"/>
      <c r="M1223" s="21" t="inlineStr">
        <is>
          <t>01</t>
        </is>
      </c>
      <c r="N1223" s="35" t="n">
        <v>10</v>
      </c>
      <c r="O1223" s="7" t="n">
        <v>14.8</v>
      </c>
      <c r="P1223" s="107" t="inlineStr">
        <is>
          <t>Délai à voir avec Mr THIAM</t>
        </is>
      </c>
      <c r="Q1223" s="2" t="n">
        <v>44240</v>
      </c>
    </row>
    <row r="1224">
      <c r="A1224" s="8" t="n">
        <v>34408925</v>
      </c>
      <c r="B1224" s="2">
        <f>INDEX(Tableau1[], MATCH(Tableau3[[#This Row],[REFERENCE]], Tableau1[NUMERO], 0), 2)</f>
        <v/>
      </c>
      <c r="C1224">
        <f>INDEX(Tableau1[], MATCH(Tableau3[[#This Row],[REFERENCE]], Tableau1[NUMERO], 0), 3)</f>
        <v/>
      </c>
      <c r="D1224">
        <f>INDEX(Tableau1[], MATCH(Tableau3[[#This Row],[REFERENCE]], Tableau1[NUMERO], 0),4)</f>
        <v/>
      </c>
      <c r="E1224">
        <f>INDEX(Tableau1[], MATCH(Tableau3[[#This Row],[REFERENCE]], Tableau1[NUMERO], 0), 5)</f>
        <v/>
      </c>
      <c r="H1224" t="inlineStr">
        <is>
          <t>trefimetaux</t>
        </is>
      </c>
      <c r="J1224" s="2" t="n">
        <v>44148</v>
      </c>
      <c r="K1224" s="2" t="n">
        <v>44148</v>
      </c>
      <c r="L1224" s="2" t="n"/>
      <c r="M1224" s="21" t="inlineStr">
        <is>
          <t>01</t>
        </is>
      </c>
      <c r="N1224" s="35" t="n">
        <v>10</v>
      </c>
      <c r="O1224" s="7" t="n">
        <v>12.7</v>
      </c>
      <c r="P1224" s="107" t="inlineStr">
        <is>
          <t>Délai à voir avec Mr THIAM</t>
        </is>
      </c>
      <c r="Q1224" s="2" t="n">
        <v>44240</v>
      </c>
    </row>
    <row r="1225">
      <c r="A1225" s="8" t="n">
        <v>34408926</v>
      </c>
      <c r="B1225" s="2">
        <f>INDEX(Tableau1[], MATCH(Tableau3[[#This Row],[REFERENCE]], Tableau1[NUMERO], 0), 2)</f>
        <v/>
      </c>
      <c r="C1225">
        <f>INDEX(Tableau1[], MATCH(Tableau3[[#This Row],[REFERENCE]], Tableau1[NUMERO], 0), 3)</f>
        <v/>
      </c>
      <c r="D1225">
        <f>INDEX(Tableau1[], MATCH(Tableau3[[#This Row],[REFERENCE]], Tableau1[NUMERO], 0),4)</f>
        <v/>
      </c>
      <c r="E1225">
        <f>INDEX(Tableau1[], MATCH(Tableau3[[#This Row],[REFERENCE]], Tableau1[NUMERO], 0), 5)</f>
        <v/>
      </c>
      <c r="H1225" t="inlineStr">
        <is>
          <t>trefimetaux</t>
        </is>
      </c>
      <c r="J1225" s="2" t="n">
        <v>44148</v>
      </c>
      <c r="K1225" s="2" t="n">
        <v>44148</v>
      </c>
      <c r="L1225" s="2" t="n"/>
      <c r="M1225" s="21" t="inlineStr">
        <is>
          <t>01</t>
        </is>
      </c>
      <c r="N1225" s="35" t="n">
        <v>10</v>
      </c>
      <c r="O1225" s="7" t="n">
        <v>4.6</v>
      </c>
      <c r="P1225" s="107" t="inlineStr">
        <is>
          <t>Délai à voir avec Mr THIAM</t>
        </is>
      </c>
      <c r="Q1225" s="2" t="n">
        <v>44240</v>
      </c>
    </row>
    <row r="1226">
      <c r="A1226" s="8" t="n">
        <v>34408927</v>
      </c>
      <c r="B1226" s="2">
        <f>INDEX(Tableau1[], MATCH(Tableau3[[#This Row],[REFERENCE]], Tableau1[NUMERO], 0), 2)</f>
        <v/>
      </c>
      <c r="C1226">
        <f>INDEX(Tableau1[], MATCH(Tableau3[[#This Row],[REFERENCE]], Tableau1[NUMERO], 0), 3)</f>
        <v/>
      </c>
      <c r="D1226">
        <f>INDEX(Tableau1[], MATCH(Tableau3[[#This Row],[REFERENCE]], Tableau1[NUMERO], 0),4)</f>
        <v/>
      </c>
      <c r="E1226">
        <f>INDEX(Tableau1[], MATCH(Tableau3[[#This Row],[REFERENCE]], Tableau1[NUMERO], 0), 5)</f>
        <v/>
      </c>
      <c r="H1226" t="inlineStr">
        <is>
          <t>trefimetaux</t>
        </is>
      </c>
      <c r="J1226" s="2" t="n">
        <v>44148</v>
      </c>
      <c r="K1226" s="2" t="n">
        <v>44148</v>
      </c>
      <c r="L1226" s="2" t="n"/>
      <c r="M1226" s="21" t="inlineStr">
        <is>
          <t>01</t>
        </is>
      </c>
      <c r="N1226" s="35" t="n">
        <v>10</v>
      </c>
      <c r="O1226" s="7" t="n">
        <v>3.8</v>
      </c>
      <c r="P1226" s="107" t="inlineStr">
        <is>
          <t>Délai à voir avec Mr THIAM</t>
        </is>
      </c>
      <c r="Q1226" s="2" t="n">
        <v>44240</v>
      </c>
    </row>
    <row r="1227">
      <c r="A1227" s="8" t="n">
        <v>34408928</v>
      </c>
      <c r="B1227" s="2">
        <f>INDEX(Tableau1[], MATCH(Tableau3[[#This Row],[REFERENCE]], Tableau1[NUMERO], 0), 2)</f>
        <v/>
      </c>
      <c r="C1227">
        <f>INDEX(Tableau1[], MATCH(Tableau3[[#This Row],[REFERENCE]], Tableau1[NUMERO], 0), 3)</f>
        <v/>
      </c>
      <c r="D1227">
        <f>INDEX(Tableau1[], MATCH(Tableau3[[#This Row],[REFERENCE]], Tableau1[NUMERO], 0),4)</f>
        <v/>
      </c>
      <c r="E1227">
        <f>INDEX(Tableau1[], MATCH(Tableau3[[#This Row],[REFERENCE]], Tableau1[NUMERO], 0), 5)</f>
        <v/>
      </c>
      <c r="H1227" t="inlineStr">
        <is>
          <t>trefimetaux</t>
        </is>
      </c>
      <c r="J1227" s="2" t="n">
        <v>44148</v>
      </c>
      <c r="K1227" s="2" t="n">
        <v>44148</v>
      </c>
      <c r="L1227" s="2" t="n"/>
      <c r="M1227" s="21" t="inlineStr">
        <is>
          <t>01</t>
        </is>
      </c>
      <c r="N1227" s="35" t="n">
        <v>10</v>
      </c>
      <c r="O1227" s="7" t="n">
        <v>2.9</v>
      </c>
      <c r="P1227" s="107" t="inlineStr">
        <is>
          <t>Délai à voir avec Mr THIAM</t>
        </is>
      </c>
      <c r="Q1227" s="2" t="n">
        <v>44240</v>
      </c>
    </row>
    <row r="1228">
      <c r="A1228" s="8" t="n">
        <v>34408929</v>
      </c>
      <c r="B1228" s="2">
        <f>INDEX(Tableau1[], MATCH(Tableau3[[#This Row],[REFERENCE]], Tableau1[NUMERO], 0), 2)</f>
        <v/>
      </c>
      <c r="C1228">
        <f>INDEX(Tableau1[], MATCH(Tableau3[[#This Row],[REFERENCE]], Tableau1[NUMERO], 0), 3)</f>
        <v/>
      </c>
      <c r="D1228">
        <f>INDEX(Tableau1[], MATCH(Tableau3[[#This Row],[REFERENCE]], Tableau1[NUMERO], 0),4)</f>
        <v/>
      </c>
      <c r="E1228">
        <f>INDEX(Tableau1[], MATCH(Tableau3[[#This Row],[REFERENCE]], Tableau1[NUMERO], 0), 5)</f>
        <v/>
      </c>
      <c r="H1228" t="inlineStr">
        <is>
          <t>trefimetaux</t>
        </is>
      </c>
      <c r="J1228" s="2" t="n">
        <v>44148</v>
      </c>
      <c r="K1228" s="2" t="n">
        <v>44148</v>
      </c>
      <c r="L1228" s="2" t="n"/>
      <c r="M1228" s="21" t="inlineStr">
        <is>
          <t>01</t>
        </is>
      </c>
      <c r="N1228" s="35" t="n">
        <v>10</v>
      </c>
      <c r="O1228" s="7" t="n">
        <v>2.7</v>
      </c>
      <c r="P1228" s="107" t="inlineStr">
        <is>
          <t>Délai à voir avec Mr THIAM</t>
        </is>
      </c>
      <c r="Q1228" s="2" t="n">
        <v>44240</v>
      </c>
    </row>
    <row r="1229" ht="15.75" customFormat="1" customHeight="1" s="58" thickBot="1">
      <c r="A1229" s="56" t="n">
        <v>34408939</v>
      </c>
      <c r="B1229" s="57">
        <f>INDEX(Tableau1[], MATCH(Tableau3[[#This Row],[REFERENCE]], Tableau1[NUMERO], 0), 2)</f>
        <v/>
      </c>
      <c r="C1229" s="58">
        <f>INDEX(Tableau1[], MATCH(Tableau3[[#This Row],[REFERENCE]], Tableau1[NUMERO], 0), 3)</f>
        <v/>
      </c>
      <c r="D1229" s="58">
        <f>INDEX(Tableau1[], MATCH(Tableau3[[#This Row],[REFERENCE]], Tableau1[NUMERO], 0),4)</f>
        <v/>
      </c>
      <c r="E1229" s="58">
        <f>INDEX(Tableau1[], MATCH(Tableau3[[#This Row],[REFERENCE]], Tableau1[NUMERO], 0), 5)</f>
        <v/>
      </c>
      <c r="H1229" s="58" t="inlineStr">
        <is>
          <t>trefimetaux</t>
        </is>
      </c>
      <c r="I1229" s="56" t="n"/>
      <c r="J1229" s="57" t="n">
        <v>44148</v>
      </c>
      <c r="K1229" s="57" t="n">
        <v>44148</v>
      </c>
      <c r="L1229" s="57" t="n"/>
      <c r="M1229" s="59" t="inlineStr">
        <is>
          <t>01</t>
        </is>
      </c>
      <c r="N1229" s="60" t="n">
        <v>10</v>
      </c>
      <c r="O1229" s="61" t="n">
        <v>17.7</v>
      </c>
      <c r="P1229" s="108" t="inlineStr">
        <is>
          <t>Délai à voir avec Mr THIAM</t>
        </is>
      </c>
      <c r="Q1229" s="57" t="n">
        <v>44240</v>
      </c>
    </row>
    <row r="1230" ht="15.75" customFormat="1" customHeight="1" s="52" thickTop="1">
      <c r="A1230" s="50" t="n">
        <v>34408851</v>
      </c>
      <c r="B1230" s="51">
        <f>INDEX(Tableau1[], MATCH(Tableau3[[#This Row],[REFERENCE]], Tableau1[NUMERO], 0), 2)</f>
        <v/>
      </c>
      <c r="C1230" s="52">
        <f>INDEX(Tableau1[], MATCH(Tableau3[[#This Row],[REFERENCE]], Tableau1[NUMERO], 0), 3)</f>
        <v/>
      </c>
      <c r="D1230" s="52">
        <f>INDEX(Tableau1[], MATCH(Tableau3[[#This Row],[REFERENCE]], Tableau1[NUMERO], 0),4)</f>
        <v/>
      </c>
      <c r="E1230" s="52">
        <f>INDEX(Tableau1[], MATCH(Tableau3[[#This Row],[REFERENCE]], Tableau1[NUMERO], 0), 5)</f>
        <v/>
      </c>
      <c r="H1230" s="52" t="inlineStr">
        <is>
          <t>thyssen</t>
        </is>
      </c>
      <c r="I1230" s="50" t="n"/>
      <c r="J1230" s="51" t="n">
        <v>44148</v>
      </c>
      <c r="K1230" s="51" t="n">
        <v>44151</v>
      </c>
      <c r="L1230" s="51" t="n"/>
      <c r="M1230" s="53" t="inlineStr">
        <is>
          <t>01</t>
        </is>
      </c>
      <c r="N1230" s="54" t="n">
        <v>1</v>
      </c>
      <c r="O1230" s="55" t="n">
        <v>38.8</v>
      </c>
      <c r="P1230" s="50" t="inlineStr">
        <is>
          <t>3 à 4 semaines</t>
        </is>
      </c>
      <c r="Q1230" s="51" t="n">
        <v>44159</v>
      </c>
    </row>
    <row r="1231">
      <c r="A1231" s="8" t="n">
        <v>34408852</v>
      </c>
      <c r="B1231" s="2">
        <f>INDEX(Tableau1[], MATCH(Tableau3[[#This Row],[REFERENCE]], Tableau1[NUMERO], 0), 2)</f>
        <v/>
      </c>
      <c r="C1231">
        <f>INDEX(Tableau1[], MATCH(Tableau3[[#This Row],[REFERENCE]], Tableau1[NUMERO], 0), 3)</f>
        <v/>
      </c>
      <c r="D1231">
        <f>INDEX(Tableau1[], MATCH(Tableau3[[#This Row],[REFERENCE]], Tableau1[NUMERO], 0),4)</f>
        <v/>
      </c>
      <c r="E1231">
        <f>INDEX(Tableau1[], MATCH(Tableau3[[#This Row],[REFERENCE]], Tableau1[NUMERO], 0), 5)</f>
        <v/>
      </c>
      <c r="H1231" t="inlineStr">
        <is>
          <t>thyssen</t>
        </is>
      </c>
      <c r="J1231" s="2" t="n">
        <v>44148</v>
      </c>
      <c r="K1231" s="2" t="n">
        <v>44151</v>
      </c>
      <c r="L1231" s="2" t="n"/>
      <c r="M1231" s="21" t="inlineStr">
        <is>
          <t>01</t>
        </is>
      </c>
      <c r="N1231" s="35" t="n">
        <v>1</v>
      </c>
      <c r="O1231" s="7" t="n">
        <v>43.5</v>
      </c>
      <c r="P1231" s="8" t="inlineStr">
        <is>
          <t>3 à 4 semaines</t>
        </is>
      </c>
      <c r="Q1231" s="2" t="n">
        <v>44159</v>
      </c>
    </row>
    <row r="1232">
      <c r="A1232" s="8" t="n">
        <v>34408853</v>
      </c>
      <c r="B1232" s="2">
        <f>INDEX(Tableau1[], MATCH(Tableau3[[#This Row],[REFERENCE]], Tableau1[NUMERO], 0), 2)</f>
        <v/>
      </c>
      <c r="C1232">
        <f>INDEX(Tableau1[], MATCH(Tableau3[[#This Row],[REFERENCE]], Tableau1[NUMERO], 0), 3)</f>
        <v/>
      </c>
      <c r="D1232">
        <f>INDEX(Tableau1[], MATCH(Tableau3[[#This Row],[REFERENCE]], Tableau1[NUMERO], 0),4)</f>
        <v/>
      </c>
      <c r="E1232">
        <f>INDEX(Tableau1[], MATCH(Tableau3[[#This Row],[REFERENCE]], Tableau1[NUMERO], 0), 5)</f>
        <v/>
      </c>
      <c r="H1232" t="inlineStr">
        <is>
          <t>thyssen</t>
        </is>
      </c>
      <c r="J1232" s="2" t="n">
        <v>44148</v>
      </c>
      <c r="K1232" s="2" t="n">
        <v>44151</v>
      </c>
      <c r="L1232" s="2" t="n"/>
      <c r="M1232" s="21" t="inlineStr">
        <is>
          <t>01</t>
        </is>
      </c>
      <c r="N1232" s="35" t="n">
        <v>1</v>
      </c>
      <c r="O1232" s="7" t="n">
        <v>47.3</v>
      </c>
      <c r="P1232" s="8" t="inlineStr">
        <is>
          <t>3 à 4 semaines</t>
        </is>
      </c>
      <c r="Q1232" s="2" t="n">
        <v>44159</v>
      </c>
    </row>
    <row r="1233">
      <c r="A1233" s="8" t="n">
        <v>34408866</v>
      </c>
      <c r="B1233" s="2">
        <f>INDEX(Tableau1[], MATCH(Tableau3[[#This Row],[REFERENCE]], Tableau1[NUMERO], 0), 2)</f>
        <v/>
      </c>
      <c r="C1233">
        <f>INDEX(Tableau1[], MATCH(Tableau3[[#This Row],[REFERENCE]], Tableau1[NUMERO], 0), 3)</f>
        <v/>
      </c>
      <c r="D1233">
        <f>INDEX(Tableau1[], MATCH(Tableau3[[#This Row],[REFERENCE]], Tableau1[NUMERO], 0),4)</f>
        <v/>
      </c>
      <c r="E1233">
        <f>INDEX(Tableau1[], MATCH(Tableau3[[#This Row],[REFERENCE]], Tableau1[NUMERO], 0), 5)</f>
        <v/>
      </c>
      <c r="H1233" t="inlineStr">
        <is>
          <t>thyssen</t>
        </is>
      </c>
      <c r="J1233" s="2" t="n">
        <v>44148</v>
      </c>
      <c r="K1233" s="2" t="n">
        <v>44151</v>
      </c>
      <c r="L1233" s="2" t="n"/>
      <c r="M1233" s="21" t="inlineStr">
        <is>
          <t>01</t>
        </is>
      </c>
      <c r="N1233" s="35" t="n">
        <v>1</v>
      </c>
      <c r="O1233" s="7" t="n">
        <v>32.6</v>
      </c>
      <c r="P1233" s="8" t="inlineStr">
        <is>
          <t>3 à 4 semaines</t>
        </is>
      </c>
      <c r="Q1233" s="2" t="n">
        <v>44159</v>
      </c>
    </row>
    <row r="1234">
      <c r="A1234" s="8" t="n">
        <v>34408867</v>
      </c>
      <c r="B1234" s="2">
        <f>INDEX(Tableau1[], MATCH(Tableau3[[#This Row],[REFERENCE]], Tableau1[NUMERO], 0), 2)</f>
        <v/>
      </c>
      <c r="C1234">
        <f>INDEX(Tableau1[], MATCH(Tableau3[[#This Row],[REFERENCE]], Tableau1[NUMERO], 0), 3)</f>
        <v/>
      </c>
      <c r="D1234">
        <f>INDEX(Tableau1[], MATCH(Tableau3[[#This Row],[REFERENCE]], Tableau1[NUMERO], 0),4)</f>
        <v/>
      </c>
      <c r="E1234">
        <f>INDEX(Tableau1[], MATCH(Tableau3[[#This Row],[REFERENCE]], Tableau1[NUMERO], 0), 5)</f>
        <v/>
      </c>
      <c r="H1234" t="inlineStr">
        <is>
          <t>thyssen</t>
        </is>
      </c>
      <c r="J1234" s="2" t="n">
        <v>44148</v>
      </c>
      <c r="K1234" s="2" t="n">
        <v>44151</v>
      </c>
      <c r="L1234" s="2" t="n"/>
      <c r="M1234" s="21" t="inlineStr">
        <is>
          <t>01</t>
        </is>
      </c>
      <c r="N1234" s="35" t="n">
        <v>1</v>
      </c>
      <c r="O1234" s="7" t="n">
        <v>35.15</v>
      </c>
      <c r="P1234" s="8" t="inlineStr">
        <is>
          <t>3 à 4 semaines</t>
        </is>
      </c>
      <c r="Q1234" s="2" t="n">
        <v>44159</v>
      </c>
    </row>
    <row r="1235">
      <c r="A1235" s="8" t="n">
        <v>34408872</v>
      </c>
      <c r="B1235" s="2">
        <f>INDEX(Tableau1[], MATCH(Tableau3[[#This Row],[REFERENCE]], Tableau1[NUMERO], 0), 2)</f>
        <v/>
      </c>
      <c r="C1235">
        <f>INDEX(Tableau1[], MATCH(Tableau3[[#This Row],[REFERENCE]], Tableau1[NUMERO], 0), 3)</f>
        <v/>
      </c>
      <c r="D1235">
        <f>INDEX(Tableau1[], MATCH(Tableau3[[#This Row],[REFERENCE]], Tableau1[NUMERO], 0),4)</f>
        <v/>
      </c>
      <c r="E1235">
        <f>INDEX(Tableau1[], MATCH(Tableau3[[#This Row],[REFERENCE]], Tableau1[NUMERO], 0), 5)</f>
        <v/>
      </c>
      <c r="H1235" t="inlineStr">
        <is>
          <t>thyssen</t>
        </is>
      </c>
      <c r="J1235" s="2" t="n">
        <v>44148</v>
      </c>
      <c r="K1235" s="2" t="n">
        <v>44151</v>
      </c>
      <c r="L1235" s="2" t="n"/>
      <c r="M1235" s="21" t="inlineStr">
        <is>
          <t>01</t>
        </is>
      </c>
      <c r="N1235" s="35" t="n">
        <v>1</v>
      </c>
      <c r="O1235" s="7" t="n">
        <v>34.45</v>
      </c>
      <c r="P1235" s="8" t="inlineStr">
        <is>
          <t>3 à 4 semaines</t>
        </is>
      </c>
      <c r="Q1235" s="2" t="n">
        <v>44159</v>
      </c>
    </row>
    <row r="1236">
      <c r="A1236" s="8" t="n">
        <v>34408873</v>
      </c>
      <c r="B1236" s="2">
        <f>INDEX(Tableau1[], MATCH(Tableau3[[#This Row],[REFERENCE]], Tableau1[NUMERO], 0), 2)</f>
        <v/>
      </c>
      <c r="C1236">
        <f>INDEX(Tableau1[], MATCH(Tableau3[[#This Row],[REFERENCE]], Tableau1[NUMERO], 0), 3)</f>
        <v/>
      </c>
      <c r="D1236">
        <f>INDEX(Tableau1[], MATCH(Tableau3[[#This Row],[REFERENCE]], Tableau1[NUMERO], 0),4)</f>
        <v/>
      </c>
      <c r="E1236">
        <f>INDEX(Tableau1[], MATCH(Tableau3[[#This Row],[REFERENCE]], Tableau1[NUMERO], 0), 5)</f>
        <v/>
      </c>
      <c r="H1236" t="inlineStr">
        <is>
          <t>thyssen</t>
        </is>
      </c>
      <c r="J1236" s="2" t="n">
        <v>44148</v>
      </c>
      <c r="K1236" s="2" t="n">
        <v>44151</v>
      </c>
      <c r="L1236" s="2" t="n"/>
      <c r="M1236" s="21" t="inlineStr">
        <is>
          <t>01</t>
        </is>
      </c>
      <c r="N1236" s="35" t="n">
        <v>1</v>
      </c>
      <c r="O1236" s="7" t="n">
        <v>39.65</v>
      </c>
      <c r="P1236" s="8" t="inlineStr">
        <is>
          <t>3 à 4 semaines</t>
        </is>
      </c>
      <c r="Q1236" s="2" t="n">
        <v>44159</v>
      </c>
    </row>
    <row r="1237">
      <c r="A1237" s="8" t="n">
        <v>34408874</v>
      </c>
      <c r="B1237" s="2">
        <f>INDEX(Tableau1[], MATCH(Tableau3[[#This Row],[REFERENCE]], Tableau1[NUMERO], 0), 2)</f>
        <v/>
      </c>
      <c r="C1237">
        <f>INDEX(Tableau1[], MATCH(Tableau3[[#This Row],[REFERENCE]], Tableau1[NUMERO], 0), 3)</f>
        <v/>
      </c>
      <c r="D1237">
        <f>INDEX(Tableau1[], MATCH(Tableau3[[#This Row],[REFERENCE]], Tableau1[NUMERO], 0),4)</f>
        <v/>
      </c>
      <c r="E1237">
        <f>INDEX(Tableau1[], MATCH(Tableau3[[#This Row],[REFERENCE]], Tableau1[NUMERO], 0), 5)</f>
        <v/>
      </c>
      <c r="H1237" t="inlineStr">
        <is>
          <t>thyssen</t>
        </is>
      </c>
      <c r="J1237" s="2" t="n">
        <v>44148</v>
      </c>
      <c r="K1237" s="2" t="n">
        <v>44151</v>
      </c>
      <c r="L1237" s="2" t="n"/>
      <c r="M1237" s="21" t="inlineStr">
        <is>
          <t>01</t>
        </is>
      </c>
      <c r="N1237" s="35" t="n">
        <v>1</v>
      </c>
      <c r="O1237" s="7" t="n">
        <v>37.4</v>
      </c>
      <c r="P1237" s="8" t="inlineStr">
        <is>
          <t>3 à 4 semaines</t>
        </is>
      </c>
      <c r="Q1237" s="2" t="n">
        <v>44159</v>
      </c>
    </row>
    <row r="1238">
      <c r="A1238" s="8" t="n">
        <v>34408875</v>
      </c>
      <c r="B1238" s="2">
        <f>INDEX(Tableau1[], MATCH(Tableau3[[#This Row],[REFERENCE]], Tableau1[NUMERO], 0), 2)</f>
        <v/>
      </c>
      <c r="C1238">
        <f>INDEX(Tableau1[], MATCH(Tableau3[[#This Row],[REFERENCE]], Tableau1[NUMERO], 0), 3)</f>
        <v/>
      </c>
      <c r="D1238">
        <f>INDEX(Tableau1[], MATCH(Tableau3[[#This Row],[REFERENCE]], Tableau1[NUMERO], 0),4)</f>
        <v/>
      </c>
      <c r="E1238">
        <f>INDEX(Tableau1[], MATCH(Tableau3[[#This Row],[REFERENCE]], Tableau1[NUMERO], 0), 5)</f>
        <v/>
      </c>
      <c r="H1238" t="inlineStr">
        <is>
          <t>thyssen</t>
        </is>
      </c>
      <c r="J1238" s="2" t="n">
        <v>44148</v>
      </c>
      <c r="K1238" s="2" t="n">
        <v>44151</v>
      </c>
      <c r="L1238" s="2" t="n"/>
      <c r="M1238" s="21" t="inlineStr">
        <is>
          <t>01</t>
        </is>
      </c>
      <c r="N1238" s="35" t="n">
        <v>1</v>
      </c>
      <c r="O1238" s="7" t="n">
        <v>42.8</v>
      </c>
      <c r="P1238" s="8" t="inlineStr">
        <is>
          <t>3 à 4 semaines</t>
        </is>
      </c>
      <c r="Q1238" s="2" t="n">
        <v>44159</v>
      </c>
    </row>
    <row r="1239">
      <c r="A1239" s="8" t="n">
        <v>34408876</v>
      </c>
      <c r="B1239" s="2">
        <f>INDEX(Tableau1[], MATCH(Tableau3[[#This Row],[REFERENCE]], Tableau1[NUMERO], 0), 2)</f>
        <v/>
      </c>
      <c r="C1239">
        <f>INDEX(Tableau1[], MATCH(Tableau3[[#This Row],[REFERENCE]], Tableau1[NUMERO], 0), 3)</f>
        <v/>
      </c>
      <c r="D1239">
        <f>INDEX(Tableau1[], MATCH(Tableau3[[#This Row],[REFERENCE]], Tableau1[NUMERO], 0),4)</f>
        <v/>
      </c>
      <c r="E1239">
        <f>INDEX(Tableau1[], MATCH(Tableau3[[#This Row],[REFERENCE]], Tableau1[NUMERO], 0), 5)</f>
        <v/>
      </c>
      <c r="H1239" t="inlineStr">
        <is>
          <t>thyssen</t>
        </is>
      </c>
      <c r="J1239" s="2" t="n">
        <v>44148</v>
      </c>
      <c r="K1239" s="2" t="n">
        <v>44151</v>
      </c>
      <c r="L1239" s="2" t="n"/>
      <c r="M1239" s="21" t="inlineStr">
        <is>
          <t>01</t>
        </is>
      </c>
      <c r="N1239" s="35" t="n">
        <v>1</v>
      </c>
      <c r="O1239" s="7" t="n">
        <v>47.8</v>
      </c>
      <c r="P1239" s="8" t="inlineStr">
        <is>
          <t>3 à 4 semaines</t>
        </is>
      </c>
      <c r="Q1239" s="2" t="n">
        <v>44159</v>
      </c>
    </row>
    <row r="1240">
      <c r="A1240" s="8" t="n">
        <v>34408877</v>
      </c>
      <c r="B1240" s="2">
        <f>INDEX(Tableau1[], MATCH(Tableau3[[#This Row],[REFERENCE]], Tableau1[NUMERO], 0), 2)</f>
        <v/>
      </c>
      <c r="C1240">
        <f>INDEX(Tableau1[], MATCH(Tableau3[[#This Row],[REFERENCE]], Tableau1[NUMERO], 0), 3)</f>
        <v/>
      </c>
      <c r="D1240">
        <f>INDEX(Tableau1[], MATCH(Tableau3[[#This Row],[REFERENCE]], Tableau1[NUMERO], 0),4)</f>
        <v/>
      </c>
      <c r="E1240">
        <f>INDEX(Tableau1[], MATCH(Tableau3[[#This Row],[REFERENCE]], Tableau1[NUMERO], 0), 5)</f>
        <v/>
      </c>
      <c r="H1240" t="inlineStr">
        <is>
          <t>thyssen</t>
        </is>
      </c>
      <c r="J1240" s="2" t="n">
        <v>44148</v>
      </c>
      <c r="K1240" s="2" t="n">
        <v>44151</v>
      </c>
      <c r="L1240" s="2" t="n"/>
      <c r="M1240" s="21" t="inlineStr">
        <is>
          <t>01</t>
        </is>
      </c>
      <c r="N1240" s="35" t="n">
        <v>1</v>
      </c>
      <c r="O1240" s="7" t="n">
        <v>45.65</v>
      </c>
      <c r="P1240" s="8" t="inlineStr">
        <is>
          <t>3 à 4 semaines</t>
        </is>
      </c>
      <c r="Q1240" s="2" t="n">
        <v>44159</v>
      </c>
    </row>
    <row r="1241">
      <c r="A1241" s="8" t="n">
        <v>34408884</v>
      </c>
      <c r="B1241" s="2">
        <f>INDEX(Tableau1[], MATCH(Tableau3[[#This Row],[REFERENCE]], Tableau1[NUMERO], 0), 2)</f>
        <v/>
      </c>
      <c r="C1241">
        <f>INDEX(Tableau1[], MATCH(Tableau3[[#This Row],[REFERENCE]], Tableau1[NUMERO], 0), 3)</f>
        <v/>
      </c>
      <c r="D1241">
        <f>INDEX(Tableau1[], MATCH(Tableau3[[#This Row],[REFERENCE]], Tableau1[NUMERO], 0),4)</f>
        <v/>
      </c>
      <c r="E1241">
        <f>INDEX(Tableau1[], MATCH(Tableau3[[#This Row],[REFERENCE]], Tableau1[NUMERO], 0), 5)</f>
        <v/>
      </c>
      <c r="H1241" t="inlineStr">
        <is>
          <t>thyssen</t>
        </is>
      </c>
      <c r="J1241" s="2" t="n">
        <v>44148</v>
      </c>
      <c r="K1241" s="2" t="n">
        <v>44151</v>
      </c>
      <c r="L1241" s="2" t="n"/>
      <c r="M1241" s="21" t="inlineStr">
        <is>
          <t>01</t>
        </is>
      </c>
      <c r="N1241" s="35" t="n">
        <v>1</v>
      </c>
      <c r="O1241" s="7" t="n">
        <v>62</v>
      </c>
      <c r="P1241" s="8" t="inlineStr">
        <is>
          <t>3 à 4 semaines</t>
        </is>
      </c>
      <c r="Q1241" s="2" t="n">
        <v>44159</v>
      </c>
    </row>
    <row r="1242">
      <c r="A1242" s="8" t="n">
        <v>34408885</v>
      </c>
      <c r="B1242" s="2">
        <f>INDEX(Tableau1[], MATCH(Tableau3[[#This Row],[REFERENCE]], Tableau1[NUMERO], 0), 2)</f>
        <v/>
      </c>
      <c r="C1242">
        <f>INDEX(Tableau1[], MATCH(Tableau3[[#This Row],[REFERENCE]], Tableau1[NUMERO], 0), 3)</f>
        <v/>
      </c>
      <c r="D1242">
        <f>INDEX(Tableau1[], MATCH(Tableau3[[#This Row],[REFERENCE]], Tableau1[NUMERO], 0),4)</f>
        <v/>
      </c>
      <c r="E1242">
        <f>INDEX(Tableau1[], MATCH(Tableau3[[#This Row],[REFERENCE]], Tableau1[NUMERO], 0), 5)</f>
        <v/>
      </c>
      <c r="H1242" t="inlineStr">
        <is>
          <t>thyssen</t>
        </is>
      </c>
      <c r="J1242" s="2" t="n">
        <v>44148</v>
      </c>
      <c r="K1242" s="2" t="n">
        <v>44151</v>
      </c>
      <c r="L1242" s="2" t="n"/>
      <c r="M1242" s="21" t="inlineStr">
        <is>
          <t>01</t>
        </is>
      </c>
      <c r="N1242" s="35" t="n">
        <v>1</v>
      </c>
      <c r="O1242" s="7" t="n">
        <v>62</v>
      </c>
      <c r="P1242" s="8" t="inlineStr">
        <is>
          <t>3 à 4 semaines</t>
        </is>
      </c>
      <c r="Q1242" s="2" t="n">
        <v>44159</v>
      </c>
    </row>
    <row r="1243">
      <c r="A1243" s="8" t="n">
        <v>34408886</v>
      </c>
      <c r="B1243" s="2">
        <f>INDEX(Tableau1[], MATCH(Tableau3[[#This Row],[REFERENCE]], Tableau1[NUMERO], 0), 2)</f>
        <v/>
      </c>
      <c r="C1243">
        <f>INDEX(Tableau1[], MATCH(Tableau3[[#This Row],[REFERENCE]], Tableau1[NUMERO], 0), 3)</f>
        <v/>
      </c>
      <c r="D1243">
        <f>INDEX(Tableau1[], MATCH(Tableau3[[#This Row],[REFERENCE]], Tableau1[NUMERO], 0),4)</f>
        <v/>
      </c>
      <c r="E1243">
        <f>INDEX(Tableau1[], MATCH(Tableau3[[#This Row],[REFERENCE]], Tableau1[NUMERO], 0), 5)</f>
        <v/>
      </c>
      <c r="H1243" t="inlineStr">
        <is>
          <t>thyssen</t>
        </is>
      </c>
      <c r="J1243" s="2" t="n">
        <v>44148</v>
      </c>
      <c r="K1243" s="2" t="n">
        <v>44151</v>
      </c>
      <c r="L1243" s="2" t="n"/>
      <c r="M1243" s="21" t="inlineStr">
        <is>
          <t>01</t>
        </is>
      </c>
      <c r="N1243" s="35" t="n">
        <v>1</v>
      </c>
      <c r="O1243" s="7" t="n">
        <v>62</v>
      </c>
      <c r="P1243" s="8" t="inlineStr">
        <is>
          <t>3 à 4 semaines</t>
        </is>
      </c>
      <c r="Q1243" s="2" t="n">
        <v>44159</v>
      </c>
    </row>
    <row r="1244">
      <c r="A1244" s="8" t="n">
        <v>34408887</v>
      </c>
      <c r="B1244" s="2">
        <f>INDEX(Tableau1[], MATCH(Tableau3[[#This Row],[REFERENCE]], Tableau1[NUMERO], 0), 2)</f>
        <v/>
      </c>
      <c r="C1244">
        <f>INDEX(Tableau1[], MATCH(Tableau3[[#This Row],[REFERENCE]], Tableau1[NUMERO], 0), 3)</f>
        <v/>
      </c>
      <c r="D1244">
        <f>INDEX(Tableau1[], MATCH(Tableau3[[#This Row],[REFERENCE]], Tableau1[NUMERO], 0),4)</f>
        <v/>
      </c>
      <c r="E1244">
        <f>INDEX(Tableau1[], MATCH(Tableau3[[#This Row],[REFERENCE]], Tableau1[NUMERO], 0), 5)</f>
        <v/>
      </c>
      <c r="H1244" t="inlineStr">
        <is>
          <t>thyssen</t>
        </is>
      </c>
      <c r="J1244" s="2" t="n">
        <v>44148</v>
      </c>
      <c r="K1244" s="2" t="n">
        <v>44151</v>
      </c>
      <c r="L1244" s="2" t="n"/>
      <c r="M1244" s="21" t="inlineStr">
        <is>
          <t>01</t>
        </is>
      </c>
      <c r="N1244" s="35" t="n">
        <v>1</v>
      </c>
      <c r="O1244" s="7" t="n">
        <v>62</v>
      </c>
      <c r="P1244" s="8" t="inlineStr">
        <is>
          <t>3 à 4 semaines</t>
        </is>
      </c>
      <c r="Q1244" s="2" t="n">
        <v>44159</v>
      </c>
    </row>
    <row r="1245">
      <c r="A1245" s="8" t="n">
        <v>34408888</v>
      </c>
      <c r="B1245" s="2">
        <f>INDEX(Tableau1[], MATCH(Tableau3[[#This Row],[REFERENCE]], Tableau1[NUMERO], 0), 2)</f>
        <v/>
      </c>
      <c r="C1245">
        <f>INDEX(Tableau1[], MATCH(Tableau3[[#This Row],[REFERENCE]], Tableau1[NUMERO], 0), 3)</f>
        <v/>
      </c>
      <c r="D1245">
        <f>INDEX(Tableau1[], MATCH(Tableau3[[#This Row],[REFERENCE]], Tableau1[NUMERO], 0),4)</f>
        <v/>
      </c>
      <c r="E1245">
        <f>INDEX(Tableau1[], MATCH(Tableau3[[#This Row],[REFERENCE]], Tableau1[NUMERO], 0), 5)</f>
        <v/>
      </c>
      <c r="H1245" t="inlineStr">
        <is>
          <t>thyssen</t>
        </is>
      </c>
      <c r="J1245" s="2" t="n">
        <v>44148</v>
      </c>
      <c r="K1245" s="2" t="n">
        <v>44151</v>
      </c>
      <c r="L1245" s="2" t="n"/>
      <c r="M1245" s="21" t="inlineStr">
        <is>
          <t>01</t>
        </is>
      </c>
      <c r="N1245" s="35" t="n">
        <v>1</v>
      </c>
      <c r="O1245" s="7" t="n">
        <v>38.4</v>
      </c>
      <c r="P1245" s="8" t="inlineStr">
        <is>
          <t>3 à 4 semaines</t>
        </is>
      </c>
      <c r="Q1245" s="2" t="n">
        <v>44159</v>
      </c>
    </row>
    <row r="1246">
      <c r="A1246" s="8" t="n">
        <v>34408889</v>
      </c>
      <c r="B1246" s="2">
        <f>INDEX(Tableau1[], MATCH(Tableau3[[#This Row],[REFERENCE]], Tableau1[NUMERO], 0), 2)</f>
        <v/>
      </c>
      <c r="C1246">
        <f>INDEX(Tableau1[], MATCH(Tableau3[[#This Row],[REFERENCE]], Tableau1[NUMERO], 0), 3)</f>
        <v/>
      </c>
      <c r="D1246">
        <f>INDEX(Tableau1[], MATCH(Tableau3[[#This Row],[REFERENCE]], Tableau1[NUMERO], 0),4)</f>
        <v/>
      </c>
      <c r="E1246">
        <f>INDEX(Tableau1[], MATCH(Tableau3[[#This Row],[REFERENCE]], Tableau1[NUMERO], 0), 5)</f>
        <v/>
      </c>
      <c r="H1246" t="inlineStr">
        <is>
          <t>thyssen</t>
        </is>
      </c>
      <c r="J1246" s="2" t="n">
        <v>44148</v>
      </c>
      <c r="K1246" s="2" t="n">
        <v>44151</v>
      </c>
      <c r="L1246" s="2" t="n"/>
      <c r="M1246" s="21" t="inlineStr">
        <is>
          <t>01</t>
        </is>
      </c>
      <c r="N1246" s="35" t="n">
        <v>1</v>
      </c>
      <c r="O1246" s="7" t="n">
        <v>39</v>
      </c>
      <c r="P1246" s="8" t="inlineStr">
        <is>
          <t>3 à 4 semaines</t>
        </is>
      </c>
      <c r="Q1246" s="2" t="n">
        <v>44159</v>
      </c>
    </row>
    <row r="1247">
      <c r="A1247" s="8" t="n">
        <v>34408890</v>
      </c>
      <c r="B1247" s="2">
        <f>INDEX(Tableau1[], MATCH(Tableau3[[#This Row],[REFERENCE]], Tableau1[NUMERO], 0), 2)</f>
        <v/>
      </c>
      <c r="C1247">
        <f>INDEX(Tableau1[], MATCH(Tableau3[[#This Row],[REFERENCE]], Tableau1[NUMERO], 0), 3)</f>
        <v/>
      </c>
      <c r="D1247">
        <f>INDEX(Tableau1[], MATCH(Tableau3[[#This Row],[REFERENCE]], Tableau1[NUMERO], 0),4)</f>
        <v/>
      </c>
      <c r="E1247">
        <f>INDEX(Tableau1[], MATCH(Tableau3[[#This Row],[REFERENCE]], Tableau1[NUMERO], 0), 5)</f>
        <v/>
      </c>
      <c r="H1247" t="inlineStr">
        <is>
          <t>thyssen</t>
        </is>
      </c>
      <c r="J1247" s="2" t="n">
        <v>44148</v>
      </c>
      <c r="K1247" s="2" t="n">
        <v>44151</v>
      </c>
      <c r="L1247" s="2" t="n"/>
      <c r="M1247" s="21" t="inlineStr">
        <is>
          <t>01</t>
        </is>
      </c>
      <c r="N1247" s="35" t="n">
        <v>1</v>
      </c>
      <c r="O1247" s="7" t="n">
        <v>39</v>
      </c>
      <c r="P1247" s="8" t="inlineStr">
        <is>
          <t>3 à 4 semaines</t>
        </is>
      </c>
      <c r="Q1247" s="2" t="n">
        <v>44159</v>
      </c>
    </row>
    <row r="1248">
      <c r="A1248" s="8" t="n">
        <v>34408891</v>
      </c>
      <c r="B1248" s="2">
        <f>INDEX(Tableau1[], MATCH(Tableau3[[#This Row],[REFERENCE]], Tableau1[NUMERO], 0), 2)</f>
        <v/>
      </c>
      <c r="C1248">
        <f>INDEX(Tableau1[], MATCH(Tableau3[[#This Row],[REFERENCE]], Tableau1[NUMERO], 0), 3)</f>
        <v/>
      </c>
      <c r="D1248">
        <f>INDEX(Tableau1[], MATCH(Tableau3[[#This Row],[REFERENCE]], Tableau1[NUMERO], 0),4)</f>
        <v/>
      </c>
      <c r="E1248">
        <f>INDEX(Tableau1[], MATCH(Tableau3[[#This Row],[REFERENCE]], Tableau1[NUMERO], 0), 5)</f>
        <v/>
      </c>
      <c r="H1248" t="inlineStr">
        <is>
          <t>thyssen</t>
        </is>
      </c>
      <c r="J1248" s="2" t="n">
        <v>44148</v>
      </c>
      <c r="K1248" s="2" t="n">
        <v>44151</v>
      </c>
      <c r="L1248" s="2" t="n"/>
      <c r="M1248" s="21" t="inlineStr">
        <is>
          <t>01</t>
        </is>
      </c>
      <c r="N1248" s="35" t="n">
        <v>1</v>
      </c>
      <c r="O1248" s="7" t="n">
        <v>39</v>
      </c>
      <c r="P1248" s="8" t="inlineStr">
        <is>
          <t>3 à 4 semaines</t>
        </is>
      </c>
      <c r="Q1248" s="2" t="n">
        <v>44159</v>
      </c>
    </row>
    <row r="1249">
      <c r="A1249" s="8" t="n">
        <v>34408906</v>
      </c>
      <c r="B1249" s="2">
        <f>INDEX(Tableau1[], MATCH(Tableau3[[#This Row],[REFERENCE]], Tableau1[NUMERO], 0), 2)</f>
        <v/>
      </c>
      <c r="C1249">
        <f>INDEX(Tableau1[], MATCH(Tableau3[[#This Row],[REFERENCE]], Tableau1[NUMERO], 0), 3)</f>
        <v/>
      </c>
      <c r="D1249">
        <f>INDEX(Tableau1[], MATCH(Tableau3[[#This Row],[REFERENCE]], Tableau1[NUMERO], 0),4)</f>
        <v/>
      </c>
      <c r="E1249">
        <f>INDEX(Tableau1[], MATCH(Tableau3[[#This Row],[REFERENCE]], Tableau1[NUMERO], 0), 5)</f>
        <v/>
      </c>
      <c r="H1249" t="inlineStr">
        <is>
          <t>thyssen</t>
        </is>
      </c>
      <c r="J1249" s="2" t="n">
        <v>44148</v>
      </c>
      <c r="K1249" s="2" t="n">
        <v>44151</v>
      </c>
      <c r="L1249" s="2" t="n"/>
      <c r="M1249" s="21" t="inlineStr">
        <is>
          <t>01</t>
        </is>
      </c>
      <c r="N1249" s="35" t="n">
        <v>1</v>
      </c>
      <c r="O1249" s="7" t="n">
        <v>38.25</v>
      </c>
      <c r="P1249" s="8" t="inlineStr">
        <is>
          <t>3 à 4 semaines</t>
        </is>
      </c>
      <c r="Q1249" s="2" t="n">
        <v>44159</v>
      </c>
    </row>
    <row r="1250">
      <c r="A1250" s="8" t="n">
        <v>34408910</v>
      </c>
      <c r="B1250" s="2">
        <f>INDEX(Tableau1[], MATCH(Tableau3[[#This Row],[REFERENCE]], Tableau1[NUMERO], 0), 2)</f>
        <v/>
      </c>
      <c r="C1250">
        <f>INDEX(Tableau1[], MATCH(Tableau3[[#This Row],[REFERENCE]], Tableau1[NUMERO], 0), 3)</f>
        <v/>
      </c>
      <c r="D1250">
        <f>INDEX(Tableau1[], MATCH(Tableau3[[#This Row],[REFERENCE]], Tableau1[NUMERO], 0),4)</f>
        <v/>
      </c>
      <c r="E1250">
        <f>INDEX(Tableau1[], MATCH(Tableau3[[#This Row],[REFERENCE]], Tableau1[NUMERO], 0), 5)</f>
        <v/>
      </c>
      <c r="H1250" t="inlineStr">
        <is>
          <t>thyssen</t>
        </is>
      </c>
      <c r="J1250" s="2" t="n">
        <v>44148</v>
      </c>
      <c r="K1250" s="2" t="n">
        <v>44151</v>
      </c>
      <c r="L1250" s="2" t="n"/>
      <c r="M1250" s="21" t="inlineStr">
        <is>
          <t>01</t>
        </is>
      </c>
      <c r="N1250" s="35" t="n">
        <v>1</v>
      </c>
      <c r="O1250" s="7" t="n">
        <v>33.25</v>
      </c>
      <c r="P1250" s="8" t="inlineStr">
        <is>
          <t>3 à 4 semaines</t>
        </is>
      </c>
      <c r="Q1250" s="2" t="n">
        <v>44159</v>
      </c>
    </row>
    <row r="1251">
      <c r="A1251" s="8" t="n">
        <v>34408911</v>
      </c>
      <c r="B1251" s="2">
        <f>INDEX(Tableau1[], MATCH(Tableau3[[#This Row],[REFERENCE]], Tableau1[NUMERO], 0), 2)</f>
        <v/>
      </c>
      <c r="C1251">
        <f>INDEX(Tableau1[], MATCH(Tableau3[[#This Row],[REFERENCE]], Tableau1[NUMERO], 0), 3)</f>
        <v/>
      </c>
      <c r="D1251">
        <f>INDEX(Tableau1[], MATCH(Tableau3[[#This Row],[REFERENCE]], Tableau1[NUMERO], 0),4)</f>
        <v/>
      </c>
      <c r="E1251">
        <f>INDEX(Tableau1[], MATCH(Tableau3[[#This Row],[REFERENCE]], Tableau1[NUMERO], 0), 5)</f>
        <v/>
      </c>
      <c r="H1251" t="inlineStr">
        <is>
          <t>thyssen</t>
        </is>
      </c>
      <c r="J1251" s="2" t="n">
        <v>44148</v>
      </c>
      <c r="K1251" s="2" t="n">
        <v>44151</v>
      </c>
      <c r="L1251" s="2" t="n"/>
      <c r="M1251" s="21" t="inlineStr">
        <is>
          <t>01</t>
        </is>
      </c>
      <c r="N1251" s="35" t="n">
        <v>1</v>
      </c>
      <c r="O1251" s="7" t="n">
        <v>36.6</v>
      </c>
      <c r="P1251" s="8" t="inlineStr">
        <is>
          <t>3 à 4 semaines</t>
        </is>
      </c>
      <c r="Q1251" s="2" t="n">
        <v>44159</v>
      </c>
    </row>
    <row r="1252">
      <c r="A1252" s="8" t="n">
        <v>34408912</v>
      </c>
      <c r="B1252" s="2">
        <f>INDEX(Tableau1[], MATCH(Tableau3[[#This Row],[REFERENCE]], Tableau1[NUMERO], 0), 2)</f>
        <v/>
      </c>
      <c r="C1252">
        <f>INDEX(Tableau1[], MATCH(Tableau3[[#This Row],[REFERENCE]], Tableau1[NUMERO], 0), 3)</f>
        <v/>
      </c>
      <c r="D1252">
        <f>INDEX(Tableau1[], MATCH(Tableau3[[#This Row],[REFERENCE]], Tableau1[NUMERO], 0),4)</f>
        <v/>
      </c>
      <c r="E1252">
        <f>INDEX(Tableau1[], MATCH(Tableau3[[#This Row],[REFERENCE]], Tableau1[NUMERO], 0), 5)</f>
        <v/>
      </c>
      <c r="H1252" t="inlineStr">
        <is>
          <t>thyssen</t>
        </is>
      </c>
      <c r="J1252" s="2" t="n">
        <v>44148</v>
      </c>
      <c r="K1252" s="2" t="n">
        <v>44151</v>
      </c>
      <c r="L1252" s="2" t="n"/>
      <c r="M1252" s="21" t="inlineStr">
        <is>
          <t>01</t>
        </is>
      </c>
      <c r="N1252" s="35" t="n">
        <v>1</v>
      </c>
      <c r="O1252" s="7" t="n">
        <v>39.6</v>
      </c>
      <c r="P1252" s="8" t="inlineStr">
        <is>
          <t>3 à 4 semaines</t>
        </is>
      </c>
      <c r="Q1252" s="2" t="n">
        <v>44159</v>
      </c>
    </row>
    <row r="1253">
      <c r="A1253" s="8" t="n">
        <v>34408914</v>
      </c>
      <c r="B1253" s="2">
        <f>INDEX(Tableau1[], MATCH(Tableau3[[#This Row],[REFERENCE]], Tableau1[NUMERO], 0), 2)</f>
        <v/>
      </c>
      <c r="C1253">
        <f>INDEX(Tableau1[], MATCH(Tableau3[[#This Row],[REFERENCE]], Tableau1[NUMERO], 0), 3)</f>
        <v/>
      </c>
      <c r="D1253">
        <f>INDEX(Tableau1[], MATCH(Tableau3[[#This Row],[REFERENCE]], Tableau1[NUMERO], 0),4)</f>
        <v/>
      </c>
      <c r="E1253">
        <f>INDEX(Tableau1[], MATCH(Tableau3[[#This Row],[REFERENCE]], Tableau1[NUMERO], 0), 5)</f>
        <v/>
      </c>
      <c r="H1253" t="inlineStr">
        <is>
          <t>thyssen</t>
        </is>
      </c>
      <c r="J1253" s="2" t="n">
        <v>44148</v>
      </c>
      <c r="K1253" s="2" t="n">
        <v>44151</v>
      </c>
      <c r="L1253" s="2" t="n"/>
      <c r="M1253" s="21" t="inlineStr">
        <is>
          <t>01</t>
        </is>
      </c>
      <c r="N1253" s="35" t="n">
        <v>1</v>
      </c>
      <c r="O1253" s="7" t="n">
        <v>36.65</v>
      </c>
      <c r="P1253" s="8" t="inlineStr">
        <is>
          <t>3 à 4 semaines</t>
        </is>
      </c>
      <c r="Q1253" s="2" t="n">
        <v>44159</v>
      </c>
    </row>
    <row r="1254">
      <c r="A1254" s="8" t="n">
        <v>34408922</v>
      </c>
      <c r="B1254" s="2">
        <f>INDEX(Tableau1[], MATCH(Tableau3[[#This Row],[REFERENCE]], Tableau1[NUMERO], 0), 2)</f>
        <v/>
      </c>
      <c r="C1254">
        <f>INDEX(Tableau1[], MATCH(Tableau3[[#This Row],[REFERENCE]], Tableau1[NUMERO], 0), 3)</f>
        <v/>
      </c>
      <c r="D1254">
        <f>INDEX(Tableau1[], MATCH(Tableau3[[#This Row],[REFERENCE]], Tableau1[NUMERO], 0),4)</f>
        <v/>
      </c>
      <c r="E1254">
        <f>INDEX(Tableau1[], MATCH(Tableau3[[#This Row],[REFERENCE]], Tableau1[NUMERO], 0), 5)</f>
        <v/>
      </c>
      <c r="H1254" t="inlineStr">
        <is>
          <t>thyssen</t>
        </is>
      </c>
      <c r="J1254" s="2" t="n">
        <v>44148</v>
      </c>
      <c r="K1254" s="2" t="n">
        <v>44151</v>
      </c>
      <c r="L1254" s="2" t="n"/>
      <c r="M1254" s="21" t="inlineStr">
        <is>
          <t>01</t>
        </is>
      </c>
      <c r="N1254" s="35" t="n">
        <v>1</v>
      </c>
      <c r="O1254" s="7" t="n">
        <v>37.15</v>
      </c>
      <c r="P1254" s="8" t="inlineStr">
        <is>
          <t>3 à 4 semaines</t>
        </is>
      </c>
      <c r="Q1254" s="2" t="n">
        <v>44159</v>
      </c>
    </row>
    <row r="1255">
      <c r="A1255" s="8" t="n">
        <v>34408923</v>
      </c>
      <c r="B1255" s="2">
        <f>INDEX(Tableau1[], MATCH(Tableau3[[#This Row],[REFERENCE]], Tableau1[NUMERO], 0), 2)</f>
        <v/>
      </c>
      <c r="C1255">
        <f>INDEX(Tableau1[], MATCH(Tableau3[[#This Row],[REFERENCE]], Tableau1[NUMERO], 0), 3)</f>
        <v/>
      </c>
      <c r="D1255">
        <f>INDEX(Tableau1[], MATCH(Tableau3[[#This Row],[REFERENCE]], Tableau1[NUMERO], 0),4)</f>
        <v/>
      </c>
      <c r="E1255">
        <f>INDEX(Tableau1[], MATCH(Tableau3[[#This Row],[REFERENCE]], Tableau1[NUMERO], 0), 5)</f>
        <v/>
      </c>
      <c r="H1255" t="inlineStr">
        <is>
          <t>thyssen</t>
        </is>
      </c>
      <c r="J1255" s="2" t="n">
        <v>44148</v>
      </c>
      <c r="K1255" s="2" t="n">
        <v>44151</v>
      </c>
      <c r="L1255" s="2" t="n"/>
      <c r="M1255" s="21" t="inlineStr">
        <is>
          <t>01</t>
        </is>
      </c>
      <c r="N1255" s="35" t="n">
        <v>1</v>
      </c>
      <c r="O1255" s="7" t="n">
        <v>29.5</v>
      </c>
      <c r="P1255" s="8" t="inlineStr">
        <is>
          <t>3 à 4 semaines</t>
        </is>
      </c>
      <c r="Q1255" s="2" t="n">
        <v>44159</v>
      </c>
    </row>
    <row r="1256">
      <c r="A1256" s="8" t="n">
        <v>34408924</v>
      </c>
      <c r="B1256" s="2">
        <f>INDEX(Tableau1[], MATCH(Tableau3[[#This Row],[REFERENCE]], Tableau1[NUMERO], 0), 2)</f>
        <v/>
      </c>
      <c r="C1256">
        <f>INDEX(Tableau1[], MATCH(Tableau3[[#This Row],[REFERENCE]], Tableau1[NUMERO], 0), 3)</f>
        <v/>
      </c>
      <c r="D1256">
        <f>INDEX(Tableau1[], MATCH(Tableau3[[#This Row],[REFERENCE]], Tableau1[NUMERO], 0),4)</f>
        <v/>
      </c>
      <c r="E1256">
        <f>INDEX(Tableau1[], MATCH(Tableau3[[#This Row],[REFERENCE]], Tableau1[NUMERO], 0), 5)</f>
        <v/>
      </c>
      <c r="H1256" t="inlineStr">
        <is>
          <t>thyssen</t>
        </is>
      </c>
      <c r="J1256" s="2" t="n">
        <v>44148</v>
      </c>
      <c r="K1256" s="2" t="n">
        <v>44151</v>
      </c>
      <c r="L1256" s="2" t="n"/>
      <c r="M1256" s="21" t="inlineStr">
        <is>
          <t>01</t>
        </is>
      </c>
      <c r="N1256" s="35" t="n">
        <v>1</v>
      </c>
      <c r="O1256" s="7" t="n">
        <v>44.3</v>
      </c>
      <c r="P1256" s="8" t="inlineStr">
        <is>
          <t>3 à 4 semaines</t>
        </is>
      </c>
      <c r="Q1256" s="2" t="n">
        <v>44159</v>
      </c>
    </row>
    <row r="1257">
      <c r="A1257" s="8" t="n">
        <v>34408925</v>
      </c>
      <c r="B1257" s="2">
        <f>INDEX(Tableau1[], MATCH(Tableau3[[#This Row],[REFERENCE]], Tableau1[NUMERO], 0), 2)</f>
        <v/>
      </c>
      <c r="C1257">
        <f>INDEX(Tableau1[], MATCH(Tableau3[[#This Row],[REFERENCE]], Tableau1[NUMERO], 0), 3)</f>
        <v/>
      </c>
      <c r="D1257">
        <f>INDEX(Tableau1[], MATCH(Tableau3[[#This Row],[REFERENCE]], Tableau1[NUMERO], 0),4)</f>
        <v/>
      </c>
      <c r="E1257">
        <f>INDEX(Tableau1[], MATCH(Tableau3[[#This Row],[REFERENCE]], Tableau1[NUMERO], 0), 5)</f>
        <v/>
      </c>
      <c r="H1257" t="inlineStr">
        <is>
          <t>thyssen</t>
        </is>
      </c>
      <c r="J1257" s="2" t="n">
        <v>44148</v>
      </c>
      <c r="K1257" s="2" t="n">
        <v>44151</v>
      </c>
      <c r="L1257" s="2" t="n"/>
      <c r="M1257" s="21" t="inlineStr">
        <is>
          <t>01</t>
        </is>
      </c>
      <c r="N1257" s="35" t="n">
        <v>1</v>
      </c>
      <c r="O1257" s="7" t="n">
        <v>42.15</v>
      </c>
      <c r="P1257" s="8" t="inlineStr">
        <is>
          <t>3 à 4 semaines</t>
        </is>
      </c>
      <c r="Q1257" s="2" t="n">
        <v>44159</v>
      </c>
    </row>
    <row r="1258">
      <c r="A1258" s="8" t="n">
        <v>34408926</v>
      </c>
      <c r="B1258" s="2">
        <f>INDEX(Tableau1[], MATCH(Tableau3[[#This Row],[REFERENCE]], Tableau1[NUMERO], 0), 2)</f>
        <v/>
      </c>
      <c r="C1258">
        <f>INDEX(Tableau1[], MATCH(Tableau3[[#This Row],[REFERENCE]], Tableau1[NUMERO], 0), 3)</f>
        <v/>
      </c>
      <c r="D1258">
        <f>INDEX(Tableau1[], MATCH(Tableau3[[#This Row],[REFERENCE]], Tableau1[NUMERO], 0),4)</f>
        <v/>
      </c>
      <c r="E1258">
        <f>INDEX(Tableau1[], MATCH(Tableau3[[#This Row],[REFERENCE]], Tableau1[NUMERO], 0), 5)</f>
        <v/>
      </c>
      <c r="H1258" t="inlineStr">
        <is>
          <t>thyssen</t>
        </is>
      </c>
      <c r="J1258" s="2" t="n">
        <v>44148</v>
      </c>
      <c r="K1258" s="2" t="n">
        <v>44151</v>
      </c>
      <c r="L1258" s="2" t="n"/>
      <c r="M1258" s="21" t="inlineStr">
        <is>
          <t>01</t>
        </is>
      </c>
      <c r="N1258" s="35" t="n">
        <v>1</v>
      </c>
      <c r="O1258" s="7" t="n">
        <v>33.75</v>
      </c>
      <c r="P1258" s="8" t="inlineStr">
        <is>
          <t>3 à 4 semaines</t>
        </is>
      </c>
      <c r="Q1258" s="2" t="n">
        <v>44159</v>
      </c>
    </row>
    <row r="1259">
      <c r="A1259" s="8" t="n">
        <v>34408927</v>
      </c>
      <c r="B1259" s="2">
        <f>INDEX(Tableau1[], MATCH(Tableau3[[#This Row],[REFERENCE]], Tableau1[NUMERO], 0), 2)</f>
        <v/>
      </c>
      <c r="C1259">
        <f>INDEX(Tableau1[], MATCH(Tableau3[[#This Row],[REFERENCE]], Tableau1[NUMERO], 0), 3)</f>
        <v/>
      </c>
      <c r="D1259">
        <f>INDEX(Tableau1[], MATCH(Tableau3[[#This Row],[REFERENCE]], Tableau1[NUMERO], 0),4)</f>
        <v/>
      </c>
      <c r="E1259">
        <f>INDEX(Tableau1[], MATCH(Tableau3[[#This Row],[REFERENCE]], Tableau1[NUMERO], 0), 5)</f>
        <v/>
      </c>
      <c r="H1259" t="inlineStr">
        <is>
          <t>thyssen</t>
        </is>
      </c>
      <c r="J1259" s="2" t="n">
        <v>44148</v>
      </c>
      <c r="K1259" s="2" t="n">
        <v>44151</v>
      </c>
      <c r="L1259" s="2" t="n"/>
      <c r="M1259" s="21" t="inlineStr">
        <is>
          <t>01</t>
        </is>
      </c>
      <c r="N1259" s="35" t="n">
        <v>1</v>
      </c>
      <c r="O1259" s="7" t="n">
        <v>32.65</v>
      </c>
      <c r="P1259" s="8" t="inlineStr">
        <is>
          <t>3 à 4 semaines</t>
        </is>
      </c>
      <c r="Q1259" s="2" t="n">
        <v>44159</v>
      </c>
    </row>
    <row r="1260">
      <c r="A1260" s="8" t="n">
        <v>34408928</v>
      </c>
      <c r="B1260" s="2">
        <f>INDEX(Tableau1[], MATCH(Tableau3[[#This Row],[REFERENCE]], Tableau1[NUMERO], 0), 2)</f>
        <v/>
      </c>
      <c r="C1260">
        <f>INDEX(Tableau1[], MATCH(Tableau3[[#This Row],[REFERENCE]], Tableau1[NUMERO], 0), 3)</f>
        <v/>
      </c>
      <c r="D1260">
        <f>INDEX(Tableau1[], MATCH(Tableau3[[#This Row],[REFERENCE]], Tableau1[NUMERO], 0),4)</f>
        <v/>
      </c>
      <c r="E1260">
        <f>INDEX(Tableau1[], MATCH(Tableau3[[#This Row],[REFERENCE]], Tableau1[NUMERO], 0), 5)</f>
        <v/>
      </c>
      <c r="H1260" t="inlineStr">
        <is>
          <t>thyssen</t>
        </is>
      </c>
      <c r="J1260" s="2" t="n">
        <v>44148</v>
      </c>
      <c r="K1260" s="2" t="n">
        <v>44151</v>
      </c>
      <c r="L1260" s="2" t="n"/>
      <c r="M1260" s="21" t="inlineStr">
        <is>
          <t>01</t>
        </is>
      </c>
      <c r="N1260" s="35" t="n">
        <v>1</v>
      </c>
      <c r="O1260" s="7" t="n">
        <v>30.1</v>
      </c>
      <c r="P1260" s="8" t="inlineStr">
        <is>
          <t>3 à 4 semaines</t>
        </is>
      </c>
      <c r="Q1260" s="2" t="n">
        <v>44159</v>
      </c>
    </row>
    <row r="1261">
      <c r="A1261" s="8" t="n">
        <v>34408929</v>
      </c>
      <c r="B1261" s="2">
        <f>INDEX(Tableau1[], MATCH(Tableau3[[#This Row],[REFERENCE]], Tableau1[NUMERO], 0), 2)</f>
        <v/>
      </c>
      <c r="C1261">
        <f>INDEX(Tableau1[], MATCH(Tableau3[[#This Row],[REFERENCE]], Tableau1[NUMERO], 0), 3)</f>
        <v/>
      </c>
      <c r="D1261">
        <f>INDEX(Tableau1[], MATCH(Tableau3[[#This Row],[REFERENCE]], Tableau1[NUMERO], 0),4)</f>
        <v/>
      </c>
      <c r="E1261">
        <f>INDEX(Tableau1[], MATCH(Tableau3[[#This Row],[REFERENCE]], Tableau1[NUMERO], 0), 5)</f>
        <v/>
      </c>
      <c r="H1261" t="inlineStr">
        <is>
          <t>thyssen</t>
        </is>
      </c>
      <c r="J1261" s="2" t="n">
        <v>44148</v>
      </c>
      <c r="K1261" s="2" t="n">
        <v>44151</v>
      </c>
      <c r="L1261" s="2" t="n"/>
      <c r="M1261" s="21" t="inlineStr">
        <is>
          <t>01</t>
        </is>
      </c>
      <c r="N1261" s="35" t="n">
        <v>1</v>
      </c>
      <c r="O1261" s="7" t="n">
        <v>30.95</v>
      </c>
      <c r="P1261" s="8" t="inlineStr">
        <is>
          <t>3 à 4 semaines</t>
        </is>
      </c>
      <c r="Q1261" s="2" t="n">
        <v>44159</v>
      </c>
    </row>
    <row r="1262">
      <c r="A1262" s="8" t="n">
        <v>34408939</v>
      </c>
      <c r="B1262" s="2">
        <f>INDEX(Tableau1[], MATCH(Tableau3[[#This Row],[REFERENCE]], Tableau1[NUMERO], 0), 2)</f>
        <v/>
      </c>
      <c r="C1262">
        <f>INDEX(Tableau1[], MATCH(Tableau3[[#This Row],[REFERENCE]], Tableau1[NUMERO], 0), 3)</f>
        <v/>
      </c>
      <c r="D1262">
        <f>INDEX(Tableau1[], MATCH(Tableau3[[#This Row],[REFERENCE]], Tableau1[NUMERO], 0),4)</f>
        <v/>
      </c>
      <c r="E1262">
        <f>INDEX(Tableau1[], MATCH(Tableau3[[#This Row],[REFERENCE]], Tableau1[NUMERO], 0), 5)</f>
        <v/>
      </c>
      <c r="H1262" t="inlineStr">
        <is>
          <t>thyssen</t>
        </is>
      </c>
      <c r="J1262" s="2" t="n">
        <v>44148</v>
      </c>
      <c r="K1262" s="2" t="n">
        <v>44151</v>
      </c>
      <c r="L1262" s="2" t="n"/>
      <c r="M1262" s="21" t="inlineStr">
        <is>
          <t>01</t>
        </is>
      </c>
      <c r="N1262" s="35" t="n">
        <v>1</v>
      </c>
      <c r="O1262" s="7" t="n">
        <v>47.65</v>
      </c>
      <c r="P1262" s="8" t="inlineStr">
        <is>
          <t>3 à 4 semaines</t>
        </is>
      </c>
      <c r="Q1262" s="2" t="n">
        <v>44159</v>
      </c>
    </row>
    <row r="1263">
      <c r="A1263" s="8" t="n">
        <v>34408851</v>
      </c>
      <c r="B1263" s="2">
        <f>INDEX(Tableau1[], MATCH(Tableau3[[#This Row],[REFERENCE]], Tableau1[NUMERO], 0), 2)</f>
        <v/>
      </c>
      <c r="C1263">
        <f>INDEX(Tableau1[], MATCH(Tableau3[[#This Row],[REFERENCE]], Tableau1[NUMERO], 0), 3)</f>
        <v/>
      </c>
      <c r="D1263">
        <f>INDEX(Tableau1[], MATCH(Tableau3[[#This Row],[REFERENCE]], Tableau1[NUMERO], 0),4)</f>
        <v/>
      </c>
      <c r="E1263">
        <f>INDEX(Tableau1[], MATCH(Tableau3[[#This Row],[REFERENCE]], Tableau1[NUMERO], 0), 5)</f>
        <v/>
      </c>
      <c r="H1263" t="inlineStr">
        <is>
          <t>thyssen</t>
        </is>
      </c>
      <c r="J1263" s="2" t="n">
        <v>44148</v>
      </c>
      <c r="K1263" s="2" t="n">
        <v>44151</v>
      </c>
      <c r="L1263" s="2" t="n"/>
      <c r="M1263" s="21" t="inlineStr">
        <is>
          <t>01</t>
        </is>
      </c>
      <c r="N1263" s="35" t="n">
        <v>5</v>
      </c>
      <c r="O1263" s="7" t="n">
        <v>14.25</v>
      </c>
      <c r="P1263" s="8" t="inlineStr">
        <is>
          <t>3 à 4 semaines</t>
        </is>
      </c>
      <c r="Q1263" s="2" t="n">
        <v>44159</v>
      </c>
    </row>
    <row r="1264">
      <c r="A1264" s="8" t="n">
        <v>34408852</v>
      </c>
      <c r="B1264" s="2">
        <f>INDEX(Tableau1[], MATCH(Tableau3[[#This Row],[REFERENCE]], Tableau1[NUMERO], 0), 2)</f>
        <v/>
      </c>
      <c r="C1264">
        <f>INDEX(Tableau1[], MATCH(Tableau3[[#This Row],[REFERENCE]], Tableau1[NUMERO], 0), 3)</f>
        <v/>
      </c>
      <c r="D1264">
        <f>INDEX(Tableau1[], MATCH(Tableau3[[#This Row],[REFERENCE]], Tableau1[NUMERO], 0),4)</f>
        <v/>
      </c>
      <c r="E1264">
        <f>INDEX(Tableau1[], MATCH(Tableau3[[#This Row],[REFERENCE]], Tableau1[NUMERO], 0), 5)</f>
        <v/>
      </c>
      <c r="H1264" t="inlineStr">
        <is>
          <t>thyssen</t>
        </is>
      </c>
      <c r="J1264" s="2" t="n">
        <v>44148</v>
      </c>
      <c r="K1264" s="2" t="n">
        <v>44151</v>
      </c>
      <c r="L1264" s="2" t="n"/>
      <c r="M1264" s="21" t="inlineStr">
        <is>
          <t>01</t>
        </is>
      </c>
      <c r="N1264" s="35" t="n">
        <v>5</v>
      </c>
      <c r="O1264" s="7" t="n">
        <v>17.3</v>
      </c>
      <c r="P1264" s="8" t="inlineStr">
        <is>
          <t>3 à 4 semaines</t>
        </is>
      </c>
      <c r="Q1264" s="2" t="n">
        <v>44159</v>
      </c>
    </row>
    <row r="1265">
      <c r="A1265" s="8" t="n">
        <v>34408853</v>
      </c>
      <c r="B1265" s="2">
        <f>INDEX(Tableau1[], MATCH(Tableau3[[#This Row],[REFERENCE]], Tableau1[NUMERO], 0), 2)</f>
        <v/>
      </c>
      <c r="C1265">
        <f>INDEX(Tableau1[], MATCH(Tableau3[[#This Row],[REFERENCE]], Tableau1[NUMERO], 0), 3)</f>
        <v/>
      </c>
      <c r="D1265">
        <f>INDEX(Tableau1[], MATCH(Tableau3[[#This Row],[REFERENCE]], Tableau1[NUMERO], 0),4)</f>
        <v/>
      </c>
      <c r="E1265">
        <f>INDEX(Tableau1[], MATCH(Tableau3[[#This Row],[REFERENCE]], Tableau1[NUMERO], 0), 5)</f>
        <v/>
      </c>
      <c r="H1265" t="inlineStr">
        <is>
          <t>thyssen</t>
        </is>
      </c>
      <c r="J1265" s="2" t="n">
        <v>44148</v>
      </c>
      <c r="K1265" s="2" t="n">
        <v>44151</v>
      </c>
      <c r="L1265" s="2" t="n"/>
      <c r="M1265" s="21" t="inlineStr">
        <is>
          <t>01</t>
        </is>
      </c>
      <c r="N1265" s="35" t="n">
        <v>5</v>
      </c>
      <c r="O1265" s="7" t="n">
        <v>19.9</v>
      </c>
      <c r="P1265" s="8" t="inlineStr">
        <is>
          <t>3 à 4 semaines</t>
        </is>
      </c>
      <c r="Q1265" s="2" t="n">
        <v>44159</v>
      </c>
    </row>
    <row r="1266">
      <c r="A1266" s="8" t="n">
        <v>34408866</v>
      </c>
      <c r="B1266" s="2">
        <f>INDEX(Tableau1[], MATCH(Tableau3[[#This Row],[REFERENCE]], Tableau1[NUMERO], 0), 2)</f>
        <v/>
      </c>
      <c r="C1266">
        <f>INDEX(Tableau1[], MATCH(Tableau3[[#This Row],[REFERENCE]], Tableau1[NUMERO], 0), 3)</f>
        <v/>
      </c>
      <c r="D1266">
        <f>INDEX(Tableau1[], MATCH(Tableau3[[#This Row],[REFERENCE]], Tableau1[NUMERO], 0),4)</f>
        <v/>
      </c>
      <c r="E1266">
        <f>INDEX(Tableau1[], MATCH(Tableau3[[#This Row],[REFERENCE]], Tableau1[NUMERO], 0), 5)</f>
        <v/>
      </c>
      <c r="H1266" t="inlineStr">
        <is>
          <t>thyssen</t>
        </is>
      </c>
      <c r="J1266" s="2" t="n">
        <v>44148</v>
      </c>
      <c r="K1266" s="2" t="n">
        <v>44151</v>
      </c>
      <c r="L1266" s="2" t="n"/>
      <c r="M1266" s="21" t="inlineStr">
        <is>
          <t>01</t>
        </is>
      </c>
      <c r="N1266" s="35" t="n">
        <v>5</v>
      </c>
      <c r="O1266" s="7" t="n">
        <v>9.85</v>
      </c>
      <c r="P1266" s="8" t="inlineStr">
        <is>
          <t>3 à 4 semaines</t>
        </is>
      </c>
      <c r="Q1266" s="2" t="n">
        <v>44159</v>
      </c>
    </row>
    <row r="1267">
      <c r="A1267" s="8" t="n">
        <v>34408867</v>
      </c>
      <c r="B1267" s="2">
        <f>INDEX(Tableau1[], MATCH(Tableau3[[#This Row],[REFERENCE]], Tableau1[NUMERO], 0), 2)</f>
        <v/>
      </c>
      <c r="C1267">
        <f>INDEX(Tableau1[], MATCH(Tableau3[[#This Row],[REFERENCE]], Tableau1[NUMERO], 0), 3)</f>
        <v/>
      </c>
      <c r="D1267">
        <f>INDEX(Tableau1[], MATCH(Tableau3[[#This Row],[REFERENCE]], Tableau1[NUMERO], 0),4)</f>
        <v/>
      </c>
      <c r="E1267">
        <f>INDEX(Tableau1[], MATCH(Tableau3[[#This Row],[REFERENCE]], Tableau1[NUMERO], 0), 5)</f>
        <v/>
      </c>
      <c r="H1267" t="inlineStr">
        <is>
          <t>thyssen</t>
        </is>
      </c>
      <c r="J1267" s="2" t="n">
        <v>44148</v>
      </c>
      <c r="K1267" s="2" t="n">
        <v>44151</v>
      </c>
      <c r="L1267" s="2" t="n"/>
      <c r="M1267" s="21" t="inlineStr">
        <is>
          <t>01</t>
        </is>
      </c>
      <c r="N1267" s="35" t="n">
        <v>5</v>
      </c>
      <c r="O1267" s="7" t="n">
        <v>11.6</v>
      </c>
      <c r="P1267" s="8" t="inlineStr">
        <is>
          <t>3 à 4 semaines</t>
        </is>
      </c>
      <c r="Q1267" s="2" t="n">
        <v>44159</v>
      </c>
    </row>
    <row r="1268">
      <c r="A1268" s="8" t="n">
        <v>34408872</v>
      </c>
      <c r="B1268" s="2">
        <f>INDEX(Tableau1[], MATCH(Tableau3[[#This Row],[REFERENCE]], Tableau1[NUMERO], 0), 2)</f>
        <v/>
      </c>
      <c r="C1268">
        <f>INDEX(Tableau1[], MATCH(Tableau3[[#This Row],[REFERENCE]], Tableau1[NUMERO], 0), 3)</f>
        <v/>
      </c>
      <c r="D1268">
        <f>INDEX(Tableau1[], MATCH(Tableau3[[#This Row],[REFERENCE]], Tableau1[NUMERO], 0),4)</f>
        <v/>
      </c>
      <c r="E1268">
        <f>INDEX(Tableau1[], MATCH(Tableau3[[#This Row],[REFERENCE]], Tableau1[NUMERO], 0), 5)</f>
        <v/>
      </c>
      <c r="H1268" t="inlineStr">
        <is>
          <t>thyssen</t>
        </is>
      </c>
      <c r="J1268" s="2" t="n">
        <v>44148</v>
      </c>
      <c r="K1268" s="2" t="n">
        <v>44151</v>
      </c>
      <c r="L1268" s="2" t="n"/>
      <c r="M1268" s="21" t="inlineStr">
        <is>
          <t>01</t>
        </is>
      </c>
      <c r="N1268" s="35" t="n">
        <v>5</v>
      </c>
      <c r="O1268" s="7" t="n">
        <v>11.15</v>
      </c>
      <c r="P1268" s="8" t="inlineStr">
        <is>
          <t>3 à 4 semaines</t>
        </is>
      </c>
      <c r="Q1268" s="2" t="n">
        <v>44159</v>
      </c>
    </row>
    <row r="1269">
      <c r="A1269" s="8" t="n">
        <v>34408873</v>
      </c>
      <c r="B1269" s="2">
        <f>INDEX(Tableau1[], MATCH(Tableau3[[#This Row],[REFERENCE]], Tableau1[NUMERO], 0), 2)</f>
        <v/>
      </c>
      <c r="C1269">
        <f>INDEX(Tableau1[], MATCH(Tableau3[[#This Row],[REFERENCE]], Tableau1[NUMERO], 0), 3)</f>
        <v/>
      </c>
      <c r="D1269">
        <f>INDEX(Tableau1[], MATCH(Tableau3[[#This Row],[REFERENCE]], Tableau1[NUMERO], 0),4)</f>
        <v/>
      </c>
      <c r="E1269">
        <f>INDEX(Tableau1[], MATCH(Tableau3[[#This Row],[REFERENCE]], Tableau1[NUMERO], 0), 5)</f>
        <v/>
      </c>
      <c r="H1269" t="inlineStr">
        <is>
          <t>thyssen</t>
        </is>
      </c>
      <c r="J1269" s="2" t="n">
        <v>44148</v>
      </c>
      <c r="K1269" s="2" t="n">
        <v>44151</v>
      </c>
      <c r="L1269" s="2" t="n"/>
      <c r="M1269" s="21" t="inlineStr">
        <is>
          <t>01</t>
        </is>
      </c>
      <c r="N1269" s="35" t="n">
        <v>5</v>
      </c>
      <c r="O1269" s="7" t="n">
        <v>15.1</v>
      </c>
      <c r="P1269" s="8" t="inlineStr">
        <is>
          <t>3 à 4 semaines</t>
        </is>
      </c>
      <c r="Q1269" s="2" t="n">
        <v>44159</v>
      </c>
    </row>
    <row r="1270">
      <c r="A1270" s="8" t="n">
        <v>34408874</v>
      </c>
      <c r="B1270" s="2">
        <f>INDEX(Tableau1[], MATCH(Tableau3[[#This Row],[REFERENCE]], Tableau1[NUMERO], 0), 2)</f>
        <v/>
      </c>
      <c r="C1270">
        <f>INDEX(Tableau1[], MATCH(Tableau3[[#This Row],[REFERENCE]], Tableau1[NUMERO], 0), 3)</f>
        <v/>
      </c>
      <c r="D1270">
        <f>INDEX(Tableau1[], MATCH(Tableau3[[#This Row],[REFERENCE]], Tableau1[NUMERO], 0),4)</f>
        <v/>
      </c>
      <c r="E1270">
        <f>INDEX(Tableau1[], MATCH(Tableau3[[#This Row],[REFERENCE]], Tableau1[NUMERO], 0), 5)</f>
        <v/>
      </c>
      <c r="H1270" t="inlineStr">
        <is>
          <t>thyssen</t>
        </is>
      </c>
      <c r="J1270" s="2" t="n">
        <v>44148</v>
      </c>
      <c r="K1270" s="2" t="n">
        <v>44151</v>
      </c>
      <c r="L1270" s="2" t="n"/>
      <c r="M1270" s="21" t="inlineStr">
        <is>
          <t>01</t>
        </is>
      </c>
      <c r="N1270" s="35" t="n">
        <v>5</v>
      </c>
      <c r="O1270" s="7" t="n">
        <v>13.45</v>
      </c>
      <c r="P1270" s="8" t="inlineStr">
        <is>
          <t>3 à 4 semaines</t>
        </is>
      </c>
      <c r="Q1270" s="2" t="n">
        <v>44159</v>
      </c>
    </row>
    <row r="1271">
      <c r="A1271" s="8" t="n">
        <v>34408875</v>
      </c>
      <c r="B1271" s="2">
        <f>INDEX(Tableau1[], MATCH(Tableau3[[#This Row],[REFERENCE]], Tableau1[NUMERO], 0), 2)</f>
        <v/>
      </c>
      <c r="C1271">
        <f>INDEX(Tableau1[], MATCH(Tableau3[[#This Row],[REFERENCE]], Tableau1[NUMERO], 0), 3)</f>
        <v/>
      </c>
      <c r="D1271">
        <f>INDEX(Tableau1[], MATCH(Tableau3[[#This Row],[REFERENCE]], Tableau1[NUMERO], 0),4)</f>
        <v/>
      </c>
      <c r="E1271">
        <f>INDEX(Tableau1[], MATCH(Tableau3[[#This Row],[REFERENCE]], Tableau1[NUMERO], 0), 5)</f>
        <v/>
      </c>
      <c r="H1271" t="inlineStr">
        <is>
          <t>thyssen</t>
        </is>
      </c>
      <c r="J1271" s="2" t="n">
        <v>44148</v>
      </c>
      <c r="K1271" s="2" t="n">
        <v>44151</v>
      </c>
      <c r="L1271" s="2" t="n"/>
      <c r="M1271" s="21" t="inlineStr">
        <is>
          <t>01</t>
        </is>
      </c>
      <c r="N1271" s="35" t="n">
        <v>5</v>
      </c>
      <c r="O1271" s="7" t="n">
        <v>17.25</v>
      </c>
      <c r="P1271" s="8" t="inlineStr">
        <is>
          <t>3 à 4 semaines</t>
        </is>
      </c>
      <c r="Q1271" s="2" t="n">
        <v>44159</v>
      </c>
    </row>
    <row r="1272">
      <c r="A1272" s="8" t="n">
        <v>34408876</v>
      </c>
      <c r="B1272" s="2">
        <f>INDEX(Tableau1[], MATCH(Tableau3[[#This Row],[REFERENCE]], Tableau1[NUMERO], 0), 2)</f>
        <v/>
      </c>
      <c r="C1272">
        <f>INDEX(Tableau1[], MATCH(Tableau3[[#This Row],[REFERENCE]], Tableau1[NUMERO], 0), 3)</f>
        <v/>
      </c>
      <c r="D1272">
        <f>INDEX(Tableau1[], MATCH(Tableau3[[#This Row],[REFERENCE]], Tableau1[NUMERO], 0),4)</f>
        <v/>
      </c>
      <c r="E1272">
        <f>INDEX(Tableau1[], MATCH(Tableau3[[#This Row],[REFERENCE]], Tableau1[NUMERO], 0), 5)</f>
        <v/>
      </c>
      <c r="H1272" t="inlineStr">
        <is>
          <t>thyssen</t>
        </is>
      </c>
      <c r="J1272" s="2" t="n">
        <v>44148</v>
      </c>
      <c r="K1272" s="2" t="n">
        <v>44151</v>
      </c>
      <c r="L1272" s="2" t="n"/>
      <c r="M1272" s="21" t="inlineStr">
        <is>
          <t>01</t>
        </is>
      </c>
      <c r="N1272" s="35" t="n">
        <v>5</v>
      </c>
      <c r="O1272" s="7" t="n">
        <v>20.85</v>
      </c>
      <c r="P1272" s="8" t="inlineStr">
        <is>
          <t>3 à 4 semaines</t>
        </is>
      </c>
      <c r="Q1272" s="2" t="n">
        <v>44159</v>
      </c>
    </row>
    <row r="1273">
      <c r="A1273" s="8" t="n">
        <v>34408877</v>
      </c>
      <c r="B1273" s="2">
        <f>INDEX(Tableau1[], MATCH(Tableau3[[#This Row],[REFERENCE]], Tableau1[NUMERO], 0), 2)</f>
        <v/>
      </c>
      <c r="C1273">
        <f>INDEX(Tableau1[], MATCH(Tableau3[[#This Row],[REFERENCE]], Tableau1[NUMERO], 0), 3)</f>
        <v/>
      </c>
      <c r="D1273">
        <f>INDEX(Tableau1[], MATCH(Tableau3[[#This Row],[REFERENCE]], Tableau1[NUMERO], 0),4)</f>
        <v/>
      </c>
      <c r="E1273">
        <f>INDEX(Tableau1[], MATCH(Tableau3[[#This Row],[REFERENCE]], Tableau1[NUMERO], 0), 5)</f>
        <v/>
      </c>
      <c r="H1273" t="inlineStr">
        <is>
          <t>thyssen</t>
        </is>
      </c>
      <c r="J1273" s="2" t="n">
        <v>44148</v>
      </c>
      <c r="K1273" s="2" t="n">
        <v>44151</v>
      </c>
      <c r="L1273" s="2" t="n"/>
      <c r="M1273" s="21" t="inlineStr">
        <is>
          <t>01</t>
        </is>
      </c>
      <c r="N1273" s="35" t="n">
        <v>5</v>
      </c>
      <c r="O1273" s="7" t="n">
        <v>19.45</v>
      </c>
      <c r="P1273" s="8" t="inlineStr">
        <is>
          <t>3 à 4 semaines</t>
        </is>
      </c>
      <c r="Q1273" s="2" t="n">
        <v>44159</v>
      </c>
    </row>
    <row r="1274">
      <c r="A1274" s="8" t="n">
        <v>34408884</v>
      </c>
      <c r="B1274" s="2">
        <f>INDEX(Tableau1[], MATCH(Tableau3[[#This Row],[REFERENCE]], Tableau1[NUMERO], 0), 2)</f>
        <v/>
      </c>
      <c r="C1274">
        <f>INDEX(Tableau1[], MATCH(Tableau3[[#This Row],[REFERENCE]], Tableau1[NUMERO], 0), 3)</f>
        <v/>
      </c>
      <c r="D1274">
        <f>INDEX(Tableau1[], MATCH(Tableau3[[#This Row],[REFERENCE]], Tableau1[NUMERO], 0),4)</f>
        <v/>
      </c>
      <c r="E1274">
        <f>INDEX(Tableau1[], MATCH(Tableau3[[#This Row],[REFERENCE]], Tableau1[NUMERO], 0), 5)</f>
        <v/>
      </c>
      <c r="H1274" t="inlineStr">
        <is>
          <t>thyssen</t>
        </is>
      </c>
      <c r="J1274" s="2" t="n">
        <v>44148</v>
      </c>
      <c r="K1274" s="2" t="n">
        <v>44151</v>
      </c>
      <c r="L1274" s="2" t="n"/>
      <c r="M1274" s="21" t="inlineStr">
        <is>
          <t>01</t>
        </is>
      </c>
      <c r="N1274" s="35" t="n">
        <v>5</v>
      </c>
      <c r="O1274" s="7" t="n">
        <v>31.2</v>
      </c>
      <c r="P1274" s="8" t="inlineStr">
        <is>
          <t>3 à 4 semaines</t>
        </is>
      </c>
      <c r="Q1274" s="2" t="n">
        <v>44159</v>
      </c>
    </row>
    <row r="1275">
      <c r="A1275" s="8" t="n">
        <v>34408885</v>
      </c>
      <c r="B1275" s="2">
        <f>INDEX(Tableau1[], MATCH(Tableau3[[#This Row],[REFERENCE]], Tableau1[NUMERO], 0), 2)</f>
        <v/>
      </c>
      <c r="C1275">
        <f>INDEX(Tableau1[], MATCH(Tableau3[[#This Row],[REFERENCE]], Tableau1[NUMERO], 0), 3)</f>
        <v/>
      </c>
      <c r="D1275">
        <f>INDEX(Tableau1[], MATCH(Tableau3[[#This Row],[REFERENCE]], Tableau1[NUMERO], 0),4)</f>
        <v/>
      </c>
      <c r="E1275">
        <f>INDEX(Tableau1[], MATCH(Tableau3[[#This Row],[REFERENCE]], Tableau1[NUMERO], 0), 5)</f>
        <v/>
      </c>
      <c r="H1275" t="inlineStr">
        <is>
          <t>thyssen</t>
        </is>
      </c>
      <c r="J1275" s="2" t="n">
        <v>44148</v>
      </c>
      <c r="K1275" s="2" t="n">
        <v>44151</v>
      </c>
      <c r="L1275" s="2" t="n"/>
      <c r="M1275" s="21" t="inlineStr">
        <is>
          <t>01</t>
        </is>
      </c>
      <c r="N1275" s="35" t="n">
        <v>5</v>
      </c>
      <c r="O1275" s="7" t="n">
        <v>31.2</v>
      </c>
      <c r="P1275" s="8" t="inlineStr">
        <is>
          <t>3 à 4 semaines</t>
        </is>
      </c>
      <c r="Q1275" s="2" t="n">
        <v>44159</v>
      </c>
    </row>
    <row r="1276">
      <c r="A1276" s="8" t="n">
        <v>34408886</v>
      </c>
      <c r="B1276" s="2">
        <f>INDEX(Tableau1[], MATCH(Tableau3[[#This Row],[REFERENCE]], Tableau1[NUMERO], 0), 2)</f>
        <v/>
      </c>
      <c r="C1276">
        <f>INDEX(Tableau1[], MATCH(Tableau3[[#This Row],[REFERENCE]], Tableau1[NUMERO], 0), 3)</f>
        <v/>
      </c>
      <c r="D1276">
        <f>INDEX(Tableau1[], MATCH(Tableau3[[#This Row],[REFERENCE]], Tableau1[NUMERO], 0),4)</f>
        <v/>
      </c>
      <c r="E1276">
        <f>INDEX(Tableau1[], MATCH(Tableau3[[#This Row],[REFERENCE]], Tableau1[NUMERO], 0), 5)</f>
        <v/>
      </c>
      <c r="H1276" t="inlineStr">
        <is>
          <t>thyssen</t>
        </is>
      </c>
      <c r="J1276" s="2" t="n">
        <v>44148</v>
      </c>
      <c r="K1276" s="2" t="n">
        <v>44151</v>
      </c>
      <c r="L1276" s="2" t="n"/>
      <c r="M1276" s="21" t="inlineStr">
        <is>
          <t>01</t>
        </is>
      </c>
      <c r="N1276" s="35" t="n">
        <v>5</v>
      </c>
      <c r="O1276" s="7" t="n">
        <v>31.2</v>
      </c>
      <c r="P1276" s="8" t="inlineStr">
        <is>
          <t>3 à 4 semaines</t>
        </is>
      </c>
      <c r="Q1276" s="2" t="n">
        <v>44159</v>
      </c>
    </row>
    <row r="1277">
      <c r="A1277" s="8" t="n">
        <v>34408887</v>
      </c>
      <c r="B1277" s="2">
        <f>INDEX(Tableau1[], MATCH(Tableau3[[#This Row],[REFERENCE]], Tableau1[NUMERO], 0), 2)</f>
        <v/>
      </c>
      <c r="C1277">
        <f>INDEX(Tableau1[], MATCH(Tableau3[[#This Row],[REFERENCE]], Tableau1[NUMERO], 0), 3)</f>
        <v/>
      </c>
      <c r="D1277">
        <f>INDEX(Tableau1[], MATCH(Tableau3[[#This Row],[REFERENCE]], Tableau1[NUMERO], 0),4)</f>
        <v/>
      </c>
      <c r="E1277">
        <f>INDEX(Tableau1[], MATCH(Tableau3[[#This Row],[REFERENCE]], Tableau1[NUMERO], 0), 5)</f>
        <v/>
      </c>
      <c r="H1277" t="inlineStr">
        <is>
          <t>thyssen</t>
        </is>
      </c>
      <c r="J1277" s="2" t="n">
        <v>44148</v>
      </c>
      <c r="K1277" s="2" t="n">
        <v>44151</v>
      </c>
      <c r="L1277" s="2" t="n"/>
      <c r="M1277" s="21" t="inlineStr">
        <is>
          <t>01</t>
        </is>
      </c>
      <c r="N1277" s="35" t="n">
        <v>5</v>
      </c>
      <c r="O1277" s="7" t="n">
        <v>31.15</v>
      </c>
      <c r="P1277" s="8" t="inlineStr">
        <is>
          <t>3 à 4 semaines</t>
        </is>
      </c>
      <c r="Q1277" s="2" t="n">
        <v>44159</v>
      </c>
    </row>
    <row r="1278">
      <c r="A1278" s="8" t="n">
        <v>34408888</v>
      </c>
      <c r="B1278" s="2">
        <f>INDEX(Tableau1[], MATCH(Tableau3[[#This Row],[REFERENCE]], Tableau1[NUMERO], 0), 2)</f>
        <v/>
      </c>
      <c r="C1278">
        <f>INDEX(Tableau1[], MATCH(Tableau3[[#This Row],[REFERENCE]], Tableau1[NUMERO], 0), 3)</f>
        <v/>
      </c>
      <c r="D1278">
        <f>INDEX(Tableau1[], MATCH(Tableau3[[#This Row],[REFERENCE]], Tableau1[NUMERO], 0),4)</f>
        <v/>
      </c>
      <c r="E1278">
        <f>INDEX(Tableau1[], MATCH(Tableau3[[#This Row],[REFERENCE]], Tableau1[NUMERO], 0), 5)</f>
        <v/>
      </c>
      <c r="H1278" t="inlineStr">
        <is>
          <t>thyssen</t>
        </is>
      </c>
      <c r="J1278" s="2" t="n">
        <v>44148</v>
      </c>
      <c r="K1278" s="2" t="n">
        <v>44151</v>
      </c>
      <c r="L1278" s="2" t="n"/>
      <c r="M1278" s="21" t="inlineStr">
        <is>
          <t>01</t>
        </is>
      </c>
      <c r="N1278" s="35" t="n">
        <v>5</v>
      </c>
      <c r="O1278" s="7" t="n">
        <v>14.2</v>
      </c>
      <c r="P1278" s="8" t="inlineStr">
        <is>
          <t>3 à 4 semaines</t>
        </is>
      </c>
      <c r="Q1278" s="2" t="n">
        <v>44159</v>
      </c>
    </row>
    <row r="1279">
      <c r="A1279" s="8" t="n">
        <v>34408889</v>
      </c>
      <c r="B1279" s="2">
        <f>INDEX(Tableau1[], MATCH(Tableau3[[#This Row],[REFERENCE]], Tableau1[NUMERO], 0), 2)</f>
        <v/>
      </c>
      <c r="C1279">
        <f>INDEX(Tableau1[], MATCH(Tableau3[[#This Row],[REFERENCE]], Tableau1[NUMERO], 0), 3)</f>
        <v/>
      </c>
      <c r="D1279">
        <f>INDEX(Tableau1[], MATCH(Tableau3[[#This Row],[REFERENCE]], Tableau1[NUMERO], 0),4)</f>
        <v/>
      </c>
      <c r="E1279">
        <f>INDEX(Tableau1[], MATCH(Tableau3[[#This Row],[REFERENCE]], Tableau1[NUMERO], 0), 5)</f>
        <v/>
      </c>
      <c r="H1279" t="inlineStr">
        <is>
          <t>thyssen</t>
        </is>
      </c>
      <c r="J1279" s="2" t="n">
        <v>44148</v>
      </c>
      <c r="K1279" s="2" t="n">
        <v>44151</v>
      </c>
      <c r="L1279" s="2" t="n"/>
      <c r="M1279" s="21" t="inlineStr">
        <is>
          <t>01</t>
        </is>
      </c>
      <c r="N1279" s="35" t="n">
        <v>5</v>
      </c>
      <c r="O1279" s="7" t="n">
        <v>14.65</v>
      </c>
      <c r="P1279" s="8" t="inlineStr">
        <is>
          <t>3 à 4 semaines</t>
        </is>
      </c>
      <c r="Q1279" s="2" t="n">
        <v>44159</v>
      </c>
    </row>
    <row r="1280">
      <c r="A1280" s="8" t="n">
        <v>34408890</v>
      </c>
      <c r="B1280" s="2">
        <f>INDEX(Tableau1[], MATCH(Tableau3[[#This Row],[REFERENCE]], Tableau1[NUMERO], 0), 2)</f>
        <v/>
      </c>
      <c r="C1280">
        <f>INDEX(Tableau1[], MATCH(Tableau3[[#This Row],[REFERENCE]], Tableau1[NUMERO], 0), 3)</f>
        <v/>
      </c>
      <c r="D1280">
        <f>INDEX(Tableau1[], MATCH(Tableau3[[#This Row],[REFERENCE]], Tableau1[NUMERO], 0),4)</f>
        <v/>
      </c>
      <c r="E1280">
        <f>INDEX(Tableau1[], MATCH(Tableau3[[#This Row],[REFERENCE]], Tableau1[NUMERO], 0), 5)</f>
        <v/>
      </c>
      <c r="H1280" t="inlineStr">
        <is>
          <t>thyssen</t>
        </is>
      </c>
      <c r="J1280" s="2" t="n">
        <v>44148</v>
      </c>
      <c r="K1280" s="2" t="n">
        <v>44151</v>
      </c>
      <c r="L1280" s="2" t="n"/>
      <c r="M1280" s="21" t="inlineStr">
        <is>
          <t>01</t>
        </is>
      </c>
      <c r="N1280" s="35" t="n">
        <v>5</v>
      </c>
      <c r="O1280" s="7" t="n">
        <v>14.65</v>
      </c>
      <c r="P1280" s="8" t="inlineStr">
        <is>
          <t>3 à 4 semaines</t>
        </is>
      </c>
      <c r="Q1280" s="2" t="n">
        <v>44159</v>
      </c>
    </row>
    <row r="1281">
      <c r="A1281" s="8" t="n">
        <v>34408891</v>
      </c>
      <c r="B1281" s="2">
        <f>INDEX(Tableau1[], MATCH(Tableau3[[#This Row],[REFERENCE]], Tableau1[NUMERO], 0), 2)</f>
        <v/>
      </c>
      <c r="C1281">
        <f>INDEX(Tableau1[], MATCH(Tableau3[[#This Row],[REFERENCE]], Tableau1[NUMERO], 0), 3)</f>
        <v/>
      </c>
      <c r="D1281">
        <f>INDEX(Tableau1[], MATCH(Tableau3[[#This Row],[REFERENCE]], Tableau1[NUMERO], 0),4)</f>
        <v/>
      </c>
      <c r="E1281">
        <f>INDEX(Tableau1[], MATCH(Tableau3[[#This Row],[REFERENCE]], Tableau1[NUMERO], 0), 5)</f>
        <v/>
      </c>
      <c r="H1281" t="inlineStr">
        <is>
          <t>thyssen</t>
        </is>
      </c>
      <c r="J1281" s="2" t="n">
        <v>44148</v>
      </c>
      <c r="K1281" s="2" t="n">
        <v>44151</v>
      </c>
      <c r="L1281" s="2" t="n"/>
      <c r="M1281" s="21" t="inlineStr">
        <is>
          <t>01</t>
        </is>
      </c>
      <c r="N1281" s="35" t="n">
        <v>5</v>
      </c>
      <c r="O1281" s="7" t="n">
        <v>14.65</v>
      </c>
      <c r="P1281" s="8" t="inlineStr">
        <is>
          <t>3 à 4 semaines</t>
        </is>
      </c>
      <c r="Q1281" s="2" t="n">
        <v>44159</v>
      </c>
    </row>
    <row r="1282">
      <c r="A1282" s="8" t="n">
        <v>34408906</v>
      </c>
      <c r="B1282" s="2">
        <f>INDEX(Tableau1[], MATCH(Tableau3[[#This Row],[REFERENCE]], Tableau1[NUMERO], 0), 2)</f>
        <v/>
      </c>
      <c r="C1282">
        <f>INDEX(Tableau1[], MATCH(Tableau3[[#This Row],[REFERENCE]], Tableau1[NUMERO], 0), 3)</f>
        <v/>
      </c>
      <c r="D1282">
        <f>INDEX(Tableau1[], MATCH(Tableau3[[#This Row],[REFERENCE]], Tableau1[NUMERO], 0),4)</f>
        <v/>
      </c>
      <c r="E1282">
        <f>INDEX(Tableau1[], MATCH(Tableau3[[#This Row],[REFERENCE]], Tableau1[NUMERO], 0), 5)</f>
        <v/>
      </c>
      <c r="H1282" t="inlineStr">
        <is>
          <t>thyssen</t>
        </is>
      </c>
      <c r="J1282" s="2" t="n">
        <v>44148</v>
      </c>
      <c r="K1282" s="2" t="n">
        <v>44151</v>
      </c>
      <c r="L1282" s="2" t="n"/>
      <c r="M1282" s="21" t="inlineStr">
        <is>
          <t>01</t>
        </is>
      </c>
      <c r="N1282" s="35" t="n">
        <v>5</v>
      </c>
      <c r="O1282" s="7" t="n">
        <v>13.9</v>
      </c>
      <c r="P1282" s="8" t="inlineStr">
        <is>
          <t>3 à 4 semaines</t>
        </is>
      </c>
      <c r="Q1282" s="2" t="n">
        <v>44159</v>
      </c>
    </row>
    <row r="1283">
      <c r="A1283" s="8" t="n">
        <v>34408910</v>
      </c>
      <c r="B1283" s="2">
        <f>INDEX(Tableau1[], MATCH(Tableau3[[#This Row],[REFERENCE]], Tableau1[NUMERO], 0), 2)</f>
        <v/>
      </c>
      <c r="C1283">
        <f>INDEX(Tableau1[], MATCH(Tableau3[[#This Row],[REFERENCE]], Tableau1[NUMERO], 0), 3)</f>
        <v/>
      </c>
      <c r="D1283">
        <f>INDEX(Tableau1[], MATCH(Tableau3[[#This Row],[REFERENCE]], Tableau1[NUMERO], 0),4)</f>
        <v/>
      </c>
      <c r="E1283">
        <f>INDEX(Tableau1[], MATCH(Tableau3[[#This Row],[REFERENCE]], Tableau1[NUMERO], 0), 5)</f>
        <v/>
      </c>
      <c r="H1283" t="inlineStr">
        <is>
          <t>thyssen</t>
        </is>
      </c>
      <c r="J1283" s="2" t="n">
        <v>44148</v>
      </c>
      <c r="K1283" s="2" t="n">
        <v>44151</v>
      </c>
      <c r="L1283" s="2" t="n"/>
      <c r="M1283" s="21" t="inlineStr">
        <is>
          <t>01</t>
        </is>
      </c>
      <c r="N1283" s="35" t="n">
        <v>5</v>
      </c>
      <c r="O1283" s="7" t="n">
        <v>10.15</v>
      </c>
      <c r="P1283" s="8" t="inlineStr">
        <is>
          <t>3 à 4 semaines</t>
        </is>
      </c>
      <c r="Q1283" s="2" t="n">
        <v>44159</v>
      </c>
    </row>
    <row r="1284">
      <c r="A1284" s="8" t="n">
        <v>34408911</v>
      </c>
      <c r="B1284" s="2">
        <f>INDEX(Tableau1[], MATCH(Tableau3[[#This Row],[REFERENCE]], Tableau1[NUMERO], 0), 2)</f>
        <v/>
      </c>
      <c r="C1284">
        <f>INDEX(Tableau1[], MATCH(Tableau3[[#This Row],[REFERENCE]], Tableau1[NUMERO], 0), 3)</f>
        <v/>
      </c>
      <c r="D1284">
        <f>INDEX(Tableau1[], MATCH(Tableau3[[#This Row],[REFERENCE]], Tableau1[NUMERO], 0),4)</f>
        <v/>
      </c>
      <c r="E1284">
        <f>INDEX(Tableau1[], MATCH(Tableau3[[#This Row],[REFERENCE]], Tableau1[NUMERO], 0), 5)</f>
        <v/>
      </c>
      <c r="H1284" t="inlineStr">
        <is>
          <t>thyssen</t>
        </is>
      </c>
      <c r="J1284" s="2" t="n">
        <v>44148</v>
      </c>
      <c r="K1284" s="2" t="n">
        <v>44151</v>
      </c>
      <c r="L1284" s="2" t="n"/>
      <c r="M1284" s="21" t="inlineStr">
        <is>
          <t>01</t>
        </is>
      </c>
      <c r="N1284" s="35" t="n">
        <v>5</v>
      </c>
      <c r="O1284" s="7" t="n">
        <v>12.25</v>
      </c>
      <c r="P1284" s="8" t="inlineStr">
        <is>
          <t>3 à 4 semaines</t>
        </is>
      </c>
      <c r="Q1284" s="2" t="n">
        <v>44159</v>
      </c>
    </row>
    <row r="1285">
      <c r="A1285" s="8" t="n">
        <v>34408912</v>
      </c>
      <c r="B1285" s="2">
        <f>INDEX(Tableau1[], MATCH(Tableau3[[#This Row],[REFERENCE]], Tableau1[NUMERO], 0), 2)</f>
        <v/>
      </c>
      <c r="C1285">
        <f>INDEX(Tableau1[], MATCH(Tableau3[[#This Row],[REFERENCE]], Tableau1[NUMERO], 0), 3)</f>
        <v/>
      </c>
      <c r="D1285">
        <f>INDEX(Tableau1[], MATCH(Tableau3[[#This Row],[REFERENCE]], Tableau1[NUMERO], 0),4)</f>
        <v/>
      </c>
      <c r="E1285">
        <f>INDEX(Tableau1[], MATCH(Tableau3[[#This Row],[REFERENCE]], Tableau1[NUMERO], 0), 5)</f>
        <v/>
      </c>
      <c r="H1285" t="inlineStr">
        <is>
          <t>thyssen</t>
        </is>
      </c>
      <c r="J1285" s="2" t="n">
        <v>44148</v>
      </c>
      <c r="K1285" s="2" t="n">
        <v>44151</v>
      </c>
      <c r="L1285" s="2" t="n"/>
      <c r="M1285" s="21" t="inlineStr">
        <is>
          <t>01</t>
        </is>
      </c>
      <c r="N1285" s="35" t="n">
        <v>5</v>
      </c>
      <c r="O1285" s="7" t="n">
        <v>14.3</v>
      </c>
      <c r="P1285" s="8" t="inlineStr">
        <is>
          <t>3 à 4 semaines</t>
        </is>
      </c>
      <c r="Q1285" s="2" t="n">
        <v>44159</v>
      </c>
    </row>
    <row r="1286">
      <c r="A1286" s="8" t="n">
        <v>34408914</v>
      </c>
      <c r="B1286" s="2">
        <f>INDEX(Tableau1[], MATCH(Tableau3[[#This Row],[REFERENCE]], Tableau1[NUMERO], 0), 2)</f>
        <v/>
      </c>
      <c r="C1286">
        <f>INDEX(Tableau1[], MATCH(Tableau3[[#This Row],[REFERENCE]], Tableau1[NUMERO], 0), 3)</f>
        <v/>
      </c>
      <c r="D1286">
        <f>INDEX(Tableau1[], MATCH(Tableau3[[#This Row],[REFERENCE]], Tableau1[NUMERO], 0),4)</f>
        <v/>
      </c>
      <c r="E1286">
        <f>INDEX(Tableau1[], MATCH(Tableau3[[#This Row],[REFERENCE]], Tableau1[NUMERO], 0), 5)</f>
        <v/>
      </c>
      <c r="H1286" t="inlineStr">
        <is>
          <t>thyssen</t>
        </is>
      </c>
      <c r="J1286" s="2" t="n">
        <v>44148</v>
      </c>
      <c r="K1286" s="2" t="n">
        <v>44151</v>
      </c>
      <c r="L1286" s="2" t="n"/>
      <c r="M1286" s="21" t="inlineStr">
        <is>
          <t>01</t>
        </is>
      </c>
      <c r="N1286" s="35" t="n">
        <v>5</v>
      </c>
      <c r="O1286" s="7" t="n">
        <v>12.5</v>
      </c>
      <c r="P1286" s="8" t="inlineStr">
        <is>
          <t>3 à 4 semaines</t>
        </is>
      </c>
      <c r="Q1286" s="2" t="n">
        <v>44159</v>
      </c>
    </row>
    <row r="1287">
      <c r="A1287" s="8" t="n">
        <v>34408922</v>
      </c>
      <c r="B1287" s="2">
        <f>INDEX(Tableau1[], MATCH(Tableau3[[#This Row],[REFERENCE]], Tableau1[NUMERO], 0), 2)</f>
        <v/>
      </c>
      <c r="C1287">
        <f>INDEX(Tableau1[], MATCH(Tableau3[[#This Row],[REFERENCE]], Tableau1[NUMERO], 0), 3)</f>
        <v/>
      </c>
      <c r="D1287">
        <f>INDEX(Tableau1[], MATCH(Tableau3[[#This Row],[REFERENCE]], Tableau1[NUMERO], 0),4)</f>
        <v/>
      </c>
      <c r="E1287">
        <f>INDEX(Tableau1[], MATCH(Tableau3[[#This Row],[REFERENCE]], Tableau1[NUMERO], 0), 5)</f>
        <v/>
      </c>
      <c r="H1287" t="inlineStr">
        <is>
          <t>thyssen</t>
        </is>
      </c>
      <c r="J1287" s="2" t="n">
        <v>44148</v>
      </c>
      <c r="K1287" s="2" t="n">
        <v>44151</v>
      </c>
      <c r="L1287" s="2" t="n"/>
      <c r="M1287" s="21" t="inlineStr">
        <is>
          <t>01</t>
        </is>
      </c>
      <c r="N1287" s="35" t="n">
        <v>5</v>
      </c>
      <c r="O1287" s="7" t="n">
        <v>13.2</v>
      </c>
      <c r="P1287" s="8" t="inlineStr">
        <is>
          <t>3 à 4 semaines</t>
        </is>
      </c>
      <c r="Q1287" s="2" t="n">
        <v>44159</v>
      </c>
    </row>
    <row r="1288">
      <c r="A1288" s="8" t="n">
        <v>34408923</v>
      </c>
      <c r="B1288" s="2">
        <f>INDEX(Tableau1[], MATCH(Tableau3[[#This Row],[REFERENCE]], Tableau1[NUMERO], 0), 2)</f>
        <v/>
      </c>
      <c r="C1288">
        <f>INDEX(Tableau1[], MATCH(Tableau3[[#This Row],[REFERENCE]], Tableau1[NUMERO], 0), 3)</f>
        <v/>
      </c>
      <c r="D1288">
        <f>INDEX(Tableau1[], MATCH(Tableau3[[#This Row],[REFERENCE]], Tableau1[NUMERO], 0),4)</f>
        <v/>
      </c>
      <c r="E1288">
        <f>INDEX(Tableau1[], MATCH(Tableau3[[#This Row],[REFERENCE]], Tableau1[NUMERO], 0), 5)</f>
        <v/>
      </c>
      <c r="H1288" t="inlineStr">
        <is>
          <t>thyssen</t>
        </is>
      </c>
      <c r="J1288" s="2" t="n">
        <v>44148</v>
      </c>
      <c r="K1288" s="2" t="n">
        <v>44151</v>
      </c>
      <c r="L1288" s="2" t="n"/>
      <c r="M1288" s="21" t="inlineStr">
        <is>
          <t>01</t>
        </is>
      </c>
      <c r="N1288" s="35" t="n">
        <v>5</v>
      </c>
      <c r="O1288" s="7" t="n">
        <v>7.7</v>
      </c>
      <c r="P1288" s="8" t="inlineStr">
        <is>
          <t>3 à 4 semaines</t>
        </is>
      </c>
      <c r="Q1288" s="2" t="n">
        <v>44159</v>
      </c>
    </row>
    <row r="1289">
      <c r="A1289" s="8" t="n">
        <v>34408924</v>
      </c>
      <c r="B1289" s="2">
        <f>INDEX(Tableau1[], MATCH(Tableau3[[#This Row],[REFERENCE]], Tableau1[NUMERO], 0), 2)</f>
        <v/>
      </c>
      <c r="C1289">
        <f>INDEX(Tableau1[], MATCH(Tableau3[[#This Row],[REFERENCE]], Tableau1[NUMERO], 0), 3)</f>
        <v/>
      </c>
      <c r="D1289">
        <f>INDEX(Tableau1[], MATCH(Tableau3[[#This Row],[REFERENCE]], Tableau1[NUMERO], 0),4)</f>
        <v/>
      </c>
      <c r="E1289">
        <f>INDEX(Tableau1[], MATCH(Tableau3[[#This Row],[REFERENCE]], Tableau1[NUMERO], 0), 5)</f>
        <v/>
      </c>
      <c r="H1289" t="inlineStr">
        <is>
          <t>thyssen</t>
        </is>
      </c>
      <c r="J1289" s="2" t="n">
        <v>44148</v>
      </c>
      <c r="K1289" s="2" t="n">
        <v>44151</v>
      </c>
      <c r="L1289" s="2" t="n"/>
      <c r="M1289" s="21" t="inlineStr">
        <is>
          <t>01</t>
        </is>
      </c>
      <c r="N1289" s="35" t="n">
        <v>5</v>
      </c>
      <c r="O1289" s="7" t="n">
        <v>17.8</v>
      </c>
      <c r="P1289" s="8" t="inlineStr">
        <is>
          <t>3 à 4 semaines</t>
        </is>
      </c>
      <c r="Q1289" s="2" t="n">
        <v>44159</v>
      </c>
    </row>
    <row r="1290">
      <c r="A1290" s="8" t="n">
        <v>34408925</v>
      </c>
      <c r="B1290" s="2">
        <f>INDEX(Tableau1[], MATCH(Tableau3[[#This Row],[REFERENCE]], Tableau1[NUMERO], 0), 2)</f>
        <v/>
      </c>
      <c r="C1290">
        <f>INDEX(Tableau1[], MATCH(Tableau3[[#This Row],[REFERENCE]], Tableau1[NUMERO], 0), 3)</f>
        <v/>
      </c>
      <c r="D1290">
        <f>INDEX(Tableau1[], MATCH(Tableau3[[#This Row],[REFERENCE]], Tableau1[NUMERO], 0),4)</f>
        <v/>
      </c>
      <c r="E1290">
        <f>INDEX(Tableau1[], MATCH(Tableau3[[#This Row],[REFERENCE]], Tableau1[NUMERO], 0), 5)</f>
        <v/>
      </c>
      <c r="H1290" t="inlineStr">
        <is>
          <t>thyssen</t>
        </is>
      </c>
      <c r="J1290" s="2" t="n">
        <v>44148</v>
      </c>
      <c r="K1290" s="2" t="n">
        <v>44151</v>
      </c>
      <c r="L1290" s="2" t="n"/>
      <c r="M1290" s="21" t="inlineStr">
        <is>
          <t>01</t>
        </is>
      </c>
      <c r="N1290" s="35" t="n">
        <v>5</v>
      </c>
      <c r="O1290" s="7" t="n">
        <v>16.25</v>
      </c>
      <c r="P1290" s="8" t="inlineStr">
        <is>
          <t>3 à 4 semaines</t>
        </is>
      </c>
      <c r="Q1290" s="2" t="n">
        <v>44159</v>
      </c>
    </row>
    <row r="1291">
      <c r="A1291" s="8" t="n">
        <v>34408926</v>
      </c>
      <c r="B1291" s="2">
        <f>INDEX(Tableau1[], MATCH(Tableau3[[#This Row],[REFERENCE]], Tableau1[NUMERO], 0), 2)</f>
        <v/>
      </c>
      <c r="C1291">
        <f>INDEX(Tableau1[], MATCH(Tableau3[[#This Row],[REFERENCE]], Tableau1[NUMERO], 0), 3)</f>
        <v/>
      </c>
      <c r="D1291">
        <f>INDEX(Tableau1[], MATCH(Tableau3[[#This Row],[REFERENCE]], Tableau1[NUMERO], 0),4)</f>
        <v/>
      </c>
      <c r="E1291">
        <f>INDEX(Tableau1[], MATCH(Tableau3[[#This Row],[REFERENCE]], Tableau1[NUMERO], 0), 5)</f>
        <v/>
      </c>
      <c r="H1291" t="inlineStr">
        <is>
          <t>thyssen</t>
        </is>
      </c>
      <c r="J1291" s="2" t="n">
        <v>44148</v>
      </c>
      <c r="K1291" s="2" t="n">
        <v>44151</v>
      </c>
      <c r="L1291" s="2" t="n"/>
      <c r="M1291" s="21" t="inlineStr">
        <is>
          <t>01</t>
        </is>
      </c>
      <c r="N1291" s="35" t="n">
        <v>5</v>
      </c>
      <c r="O1291" s="7" t="n">
        <v>10.6</v>
      </c>
      <c r="P1291" s="8" t="inlineStr">
        <is>
          <t>3 à 4 semaines</t>
        </is>
      </c>
      <c r="Q1291" s="2" t="n">
        <v>44159</v>
      </c>
    </row>
    <row r="1292">
      <c r="A1292" s="8" t="n">
        <v>34408927</v>
      </c>
      <c r="B1292" s="2">
        <f>INDEX(Tableau1[], MATCH(Tableau3[[#This Row],[REFERENCE]], Tableau1[NUMERO], 0), 2)</f>
        <v/>
      </c>
      <c r="C1292">
        <f>INDEX(Tableau1[], MATCH(Tableau3[[#This Row],[REFERENCE]], Tableau1[NUMERO], 0), 3)</f>
        <v/>
      </c>
      <c r="D1292">
        <f>INDEX(Tableau1[], MATCH(Tableau3[[#This Row],[REFERENCE]], Tableau1[NUMERO], 0),4)</f>
        <v/>
      </c>
      <c r="E1292">
        <f>INDEX(Tableau1[], MATCH(Tableau3[[#This Row],[REFERENCE]], Tableau1[NUMERO], 0), 5)</f>
        <v/>
      </c>
      <c r="H1292" t="inlineStr">
        <is>
          <t>thyssen</t>
        </is>
      </c>
      <c r="J1292" s="2" t="n">
        <v>44148</v>
      </c>
      <c r="K1292" s="2" t="n">
        <v>44151</v>
      </c>
      <c r="L1292" s="2" t="n"/>
      <c r="M1292" s="21" t="inlineStr">
        <is>
          <t>01</t>
        </is>
      </c>
      <c r="N1292" s="35" t="n">
        <v>5</v>
      </c>
      <c r="O1292" s="7" t="n">
        <v>9.9</v>
      </c>
      <c r="P1292" s="8" t="inlineStr">
        <is>
          <t>3 à 4 semaines</t>
        </is>
      </c>
      <c r="Q1292" s="2" t="n">
        <v>44159</v>
      </c>
    </row>
    <row r="1293">
      <c r="A1293" s="8" t="n">
        <v>34408928</v>
      </c>
      <c r="B1293" s="2">
        <f>INDEX(Tableau1[], MATCH(Tableau3[[#This Row],[REFERENCE]], Tableau1[NUMERO], 0), 2)</f>
        <v/>
      </c>
      <c r="C1293">
        <f>INDEX(Tableau1[], MATCH(Tableau3[[#This Row],[REFERENCE]], Tableau1[NUMERO], 0), 3)</f>
        <v/>
      </c>
      <c r="D1293">
        <f>INDEX(Tableau1[], MATCH(Tableau3[[#This Row],[REFERENCE]], Tableau1[NUMERO], 0),4)</f>
        <v/>
      </c>
      <c r="E1293">
        <f>INDEX(Tableau1[], MATCH(Tableau3[[#This Row],[REFERENCE]], Tableau1[NUMERO], 0), 5)</f>
        <v/>
      </c>
      <c r="H1293" t="inlineStr">
        <is>
          <t>thyssen</t>
        </is>
      </c>
      <c r="J1293" s="2" t="n">
        <v>44148</v>
      </c>
      <c r="K1293" s="2" t="n">
        <v>44151</v>
      </c>
      <c r="L1293" s="2" t="n"/>
      <c r="M1293" s="21" t="inlineStr">
        <is>
          <t>01</t>
        </is>
      </c>
      <c r="N1293" s="35" t="n">
        <v>5</v>
      </c>
      <c r="O1293" s="7" t="n">
        <v>7.8</v>
      </c>
      <c r="P1293" s="8" t="inlineStr">
        <is>
          <t>3 à 4 semaines</t>
        </is>
      </c>
      <c r="Q1293" s="2" t="n">
        <v>44159</v>
      </c>
    </row>
    <row r="1294">
      <c r="A1294" s="8" t="n">
        <v>34408929</v>
      </c>
      <c r="B1294" s="2">
        <f>INDEX(Tableau1[], MATCH(Tableau3[[#This Row],[REFERENCE]], Tableau1[NUMERO], 0), 2)</f>
        <v/>
      </c>
      <c r="C1294">
        <f>INDEX(Tableau1[], MATCH(Tableau3[[#This Row],[REFERENCE]], Tableau1[NUMERO], 0), 3)</f>
        <v/>
      </c>
      <c r="D1294">
        <f>INDEX(Tableau1[], MATCH(Tableau3[[#This Row],[REFERENCE]], Tableau1[NUMERO], 0),4)</f>
        <v/>
      </c>
      <c r="E1294">
        <f>INDEX(Tableau1[], MATCH(Tableau3[[#This Row],[REFERENCE]], Tableau1[NUMERO], 0), 5)</f>
        <v/>
      </c>
      <c r="H1294" t="inlineStr">
        <is>
          <t>thyssen</t>
        </is>
      </c>
      <c r="J1294" s="2" t="n">
        <v>44148</v>
      </c>
      <c r="K1294" s="2" t="n">
        <v>44151</v>
      </c>
      <c r="L1294" s="2" t="n"/>
      <c r="M1294" s="21" t="inlineStr">
        <is>
          <t>01</t>
        </is>
      </c>
      <c r="N1294" s="35" t="n">
        <v>5</v>
      </c>
      <c r="O1294" s="7" t="n">
        <v>8.4</v>
      </c>
      <c r="P1294" s="8" t="inlineStr">
        <is>
          <t>3 à 4 semaines</t>
        </is>
      </c>
      <c r="Q1294" s="2" t="n">
        <v>44159</v>
      </c>
    </row>
    <row r="1295">
      <c r="A1295" s="8" t="n">
        <v>34408939</v>
      </c>
      <c r="B1295" s="2">
        <f>INDEX(Tableau1[], MATCH(Tableau3[[#This Row],[REFERENCE]], Tableau1[NUMERO], 0), 2)</f>
        <v/>
      </c>
      <c r="C1295">
        <f>INDEX(Tableau1[], MATCH(Tableau3[[#This Row],[REFERENCE]], Tableau1[NUMERO], 0), 3)</f>
        <v/>
      </c>
      <c r="D1295">
        <f>INDEX(Tableau1[], MATCH(Tableau3[[#This Row],[REFERENCE]], Tableau1[NUMERO], 0),4)</f>
        <v/>
      </c>
      <c r="E1295">
        <f>INDEX(Tableau1[], MATCH(Tableau3[[#This Row],[REFERENCE]], Tableau1[NUMERO], 0), 5)</f>
        <v/>
      </c>
      <c r="H1295" t="inlineStr">
        <is>
          <t>thyssen</t>
        </is>
      </c>
      <c r="J1295" s="2" t="n">
        <v>44148</v>
      </c>
      <c r="K1295" s="2" t="n">
        <v>44151</v>
      </c>
      <c r="L1295" s="2" t="n"/>
      <c r="M1295" s="21" t="inlineStr">
        <is>
          <t>01</t>
        </is>
      </c>
      <c r="N1295" s="35" t="n">
        <v>5</v>
      </c>
      <c r="O1295" s="7" t="n">
        <v>20</v>
      </c>
      <c r="P1295" s="8" t="inlineStr">
        <is>
          <t>3 à 4 semaines</t>
        </is>
      </c>
      <c r="Q1295" s="2" t="n">
        <v>44159</v>
      </c>
    </row>
    <row r="1296">
      <c r="A1296" s="8" t="n">
        <v>34408851</v>
      </c>
      <c r="B1296" s="2">
        <f>INDEX(Tableau1[], MATCH(Tableau3[[#This Row],[REFERENCE]], Tableau1[NUMERO], 0), 2)</f>
        <v/>
      </c>
      <c r="C1296">
        <f>INDEX(Tableau1[], MATCH(Tableau3[[#This Row],[REFERENCE]], Tableau1[NUMERO], 0), 3)</f>
        <v/>
      </c>
      <c r="D1296">
        <f>INDEX(Tableau1[], MATCH(Tableau3[[#This Row],[REFERENCE]], Tableau1[NUMERO], 0),4)</f>
        <v/>
      </c>
      <c r="E1296">
        <f>INDEX(Tableau1[], MATCH(Tableau3[[#This Row],[REFERENCE]], Tableau1[NUMERO], 0), 5)</f>
        <v/>
      </c>
      <c r="H1296" t="inlineStr">
        <is>
          <t>thyssen</t>
        </is>
      </c>
      <c r="J1296" s="2" t="n">
        <v>44148</v>
      </c>
      <c r="K1296" s="2" t="n">
        <v>44151</v>
      </c>
      <c r="L1296" s="2" t="n"/>
      <c r="M1296" s="21" t="inlineStr">
        <is>
          <t>01</t>
        </is>
      </c>
      <c r="N1296" s="35" t="n">
        <v>10</v>
      </c>
      <c r="O1296" s="7" t="n">
        <v>13.2</v>
      </c>
      <c r="P1296" s="8" t="inlineStr">
        <is>
          <t>3 à 4 semaines</t>
        </is>
      </c>
      <c r="Q1296" s="2" t="n">
        <v>44159</v>
      </c>
    </row>
    <row r="1297">
      <c r="A1297" s="8" t="n">
        <v>34408852</v>
      </c>
      <c r="B1297" s="2">
        <f>INDEX(Tableau1[], MATCH(Tableau3[[#This Row],[REFERENCE]], Tableau1[NUMERO], 0), 2)</f>
        <v/>
      </c>
      <c r="C1297">
        <f>INDEX(Tableau1[], MATCH(Tableau3[[#This Row],[REFERENCE]], Tableau1[NUMERO], 0), 3)</f>
        <v/>
      </c>
      <c r="D1297">
        <f>INDEX(Tableau1[], MATCH(Tableau3[[#This Row],[REFERENCE]], Tableau1[NUMERO], 0),4)</f>
        <v/>
      </c>
      <c r="E1297">
        <f>INDEX(Tableau1[], MATCH(Tableau3[[#This Row],[REFERENCE]], Tableau1[NUMERO], 0), 5)</f>
        <v/>
      </c>
      <c r="H1297" t="inlineStr">
        <is>
          <t>thyssen</t>
        </is>
      </c>
      <c r="J1297" s="2" t="n">
        <v>44148</v>
      </c>
      <c r="K1297" s="2" t="n">
        <v>44151</v>
      </c>
      <c r="L1297" s="2" t="n"/>
      <c r="M1297" s="21" t="inlineStr">
        <is>
          <t>01</t>
        </is>
      </c>
      <c r="N1297" s="35" t="n">
        <v>10</v>
      </c>
      <c r="O1297" s="7" t="n">
        <v>16.05</v>
      </c>
      <c r="P1297" s="8" t="inlineStr">
        <is>
          <t>3 à 4 semaines</t>
        </is>
      </c>
      <c r="Q1297" s="2" t="n">
        <v>44159</v>
      </c>
    </row>
    <row r="1298">
      <c r="A1298" s="8" t="n">
        <v>34408853</v>
      </c>
      <c r="B1298" s="2">
        <f>INDEX(Tableau1[], MATCH(Tableau3[[#This Row],[REFERENCE]], Tableau1[NUMERO], 0), 2)</f>
        <v/>
      </c>
      <c r="C1298">
        <f>INDEX(Tableau1[], MATCH(Tableau3[[#This Row],[REFERENCE]], Tableau1[NUMERO], 0), 3)</f>
        <v/>
      </c>
      <c r="D1298">
        <f>INDEX(Tableau1[], MATCH(Tableau3[[#This Row],[REFERENCE]], Tableau1[NUMERO], 0),4)</f>
        <v/>
      </c>
      <c r="E1298">
        <f>INDEX(Tableau1[], MATCH(Tableau3[[#This Row],[REFERENCE]], Tableau1[NUMERO], 0), 5)</f>
        <v/>
      </c>
      <c r="H1298" t="inlineStr">
        <is>
          <t>thyssen</t>
        </is>
      </c>
      <c r="J1298" s="2" t="n">
        <v>44148</v>
      </c>
      <c r="K1298" s="2" t="n">
        <v>44151</v>
      </c>
      <c r="L1298" s="2" t="n"/>
      <c r="M1298" s="21" t="inlineStr">
        <is>
          <t>01</t>
        </is>
      </c>
      <c r="N1298" s="35" t="n">
        <v>10</v>
      </c>
      <c r="O1298" s="7" t="n">
        <v>18.45</v>
      </c>
      <c r="P1298" s="8" t="inlineStr">
        <is>
          <t>3 à 4 semaines</t>
        </is>
      </c>
      <c r="Q1298" s="2" t="n">
        <v>44159</v>
      </c>
    </row>
    <row r="1299">
      <c r="A1299" s="8" t="n">
        <v>34408866</v>
      </c>
      <c r="B1299" s="2">
        <f>INDEX(Tableau1[], MATCH(Tableau3[[#This Row],[REFERENCE]], Tableau1[NUMERO], 0), 2)</f>
        <v/>
      </c>
      <c r="C1299">
        <f>INDEX(Tableau1[], MATCH(Tableau3[[#This Row],[REFERENCE]], Tableau1[NUMERO], 0), 3)</f>
        <v/>
      </c>
      <c r="D1299">
        <f>INDEX(Tableau1[], MATCH(Tableau3[[#This Row],[REFERENCE]], Tableau1[NUMERO], 0),4)</f>
        <v/>
      </c>
      <c r="E1299">
        <f>INDEX(Tableau1[], MATCH(Tableau3[[#This Row],[REFERENCE]], Tableau1[NUMERO], 0), 5)</f>
        <v/>
      </c>
      <c r="H1299" t="inlineStr">
        <is>
          <t>thyssen</t>
        </is>
      </c>
      <c r="J1299" s="2" t="n">
        <v>44148</v>
      </c>
      <c r="K1299" s="2" t="n">
        <v>44151</v>
      </c>
      <c r="L1299" s="2" t="n"/>
      <c r="M1299" s="21" t="inlineStr">
        <is>
          <t>01</t>
        </is>
      </c>
      <c r="N1299" s="35" t="n">
        <v>10</v>
      </c>
      <c r="O1299" s="7" t="n">
        <v>9.1</v>
      </c>
      <c r="P1299" s="8" t="inlineStr">
        <is>
          <t>3 à 4 semaines</t>
        </is>
      </c>
      <c r="Q1299" s="2" t="n">
        <v>44159</v>
      </c>
    </row>
    <row r="1300">
      <c r="A1300" s="8" t="n">
        <v>34408867</v>
      </c>
      <c r="B1300" s="2">
        <f>INDEX(Tableau1[], MATCH(Tableau3[[#This Row],[REFERENCE]], Tableau1[NUMERO], 0), 2)</f>
        <v/>
      </c>
      <c r="C1300">
        <f>INDEX(Tableau1[], MATCH(Tableau3[[#This Row],[REFERENCE]], Tableau1[NUMERO], 0), 3)</f>
        <v/>
      </c>
      <c r="D1300">
        <f>INDEX(Tableau1[], MATCH(Tableau3[[#This Row],[REFERENCE]], Tableau1[NUMERO], 0),4)</f>
        <v/>
      </c>
      <c r="E1300">
        <f>INDEX(Tableau1[], MATCH(Tableau3[[#This Row],[REFERENCE]], Tableau1[NUMERO], 0), 5)</f>
        <v/>
      </c>
      <c r="H1300" t="inlineStr">
        <is>
          <t>thyssen</t>
        </is>
      </c>
      <c r="J1300" s="2" t="n">
        <v>44148</v>
      </c>
      <c r="K1300" s="2" t="n">
        <v>44151</v>
      </c>
      <c r="L1300" s="2" t="n"/>
      <c r="M1300" s="21" t="inlineStr">
        <is>
          <t>01</t>
        </is>
      </c>
      <c r="N1300" s="35" t="n">
        <v>10</v>
      </c>
      <c r="O1300" s="7" t="n">
        <v>10.75</v>
      </c>
      <c r="P1300" s="8" t="inlineStr">
        <is>
          <t>3 à 4 semaines</t>
        </is>
      </c>
      <c r="Q1300" s="2" t="n">
        <v>44159</v>
      </c>
    </row>
    <row r="1301">
      <c r="A1301" s="8" t="n">
        <v>34408872</v>
      </c>
      <c r="B1301" s="2">
        <f>INDEX(Tableau1[], MATCH(Tableau3[[#This Row],[REFERENCE]], Tableau1[NUMERO], 0), 2)</f>
        <v/>
      </c>
      <c r="C1301">
        <f>INDEX(Tableau1[], MATCH(Tableau3[[#This Row],[REFERENCE]], Tableau1[NUMERO], 0), 3)</f>
        <v/>
      </c>
      <c r="D1301">
        <f>INDEX(Tableau1[], MATCH(Tableau3[[#This Row],[REFERENCE]], Tableau1[NUMERO], 0),4)</f>
        <v/>
      </c>
      <c r="E1301">
        <f>INDEX(Tableau1[], MATCH(Tableau3[[#This Row],[REFERENCE]], Tableau1[NUMERO], 0), 5)</f>
        <v/>
      </c>
      <c r="H1301" t="inlineStr">
        <is>
          <t>thyssen</t>
        </is>
      </c>
      <c r="J1301" s="2" t="n">
        <v>44148</v>
      </c>
      <c r="K1301" s="2" t="n">
        <v>44151</v>
      </c>
      <c r="L1301" s="2" t="n"/>
      <c r="M1301" s="21" t="inlineStr">
        <is>
          <t>01</t>
        </is>
      </c>
      <c r="N1301" s="35" t="n">
        <v>10</v>
      </c>
      <c r="O1301" s="7" t="n">
        <v>10.35</v>
      </c>
      <c r="P1301" s="8" t="inlineStr">
        <is>
          <t>3 à 4 semaines</t>
        </is>
      </c>
      <c r="Q1301" s="2" t="n">
        <v>44159</v>
      </c>
    </row>
    <row r="1302">
      <c r="A1302" s="8" t="n">
        <v>34408873</v>
      </c>
      <c r="B1302" s="2">
        <f>INDEX(Tableau1[], MATCH(Tableau3[[#This Row],[REFERENCE]], Tableau1[NUMERO], 0), 2)</f>
        <v/>
      </c>
      <c r="C1302">
        <f>INDEX(Tableau1[], MATCH(Tableau3[[#This Row],[REFERENCE]], Tableau1[NUMERO], 0), 3)</f>
        <v/>
      </c>
      <c r="D1302">
        <f>INDEX(Tableau1[], MATCH(Tableau3[[#This Row],[REFERENCE]], Tableau1[NUMERO], 0),4)</f>
        <v/>
      </c>
      <c r="E1302">
        <f>INDEX(Tableau1[], MATCH(Tableau3[[#This Row],[REFERENCE]], Tableau1[NUMERO], 0), 5)</f>
        <v/>
      </c>
      <c r="H1302" t="inlineStr">
        <is>
          <t>thyssen</t>
        </is>
      </c>
      <c r="J1302" s="2" t="n">
        <v>44148</v>
      </c>
      <c r="K1302" s="2" t="n">
        <v>44151</v>
      </c>
      <c r="L1302" s="2" t="n"/>
      <c r="M1302" s="21" t="inlineStr">
        <is>
          <t>01</t>
        </is>
      </c>
      <c r="N1302" s="35" t="n">
        <v>10</v>
      </c>
      <c r="O1302" s="7" t="n">
        <v>14</v>
      </c>
      <c r="P1302" s="8" t="inlineStr">
        <is>
          <t>3 à 4 semaines</t>
        </is>
      </c>
      <c r="Q1302" s="2" t="n">
        <v>44159</v>
      </c>
    </row>
    <row r="1303">
      <c r="A1303" s="8" t="n">
        <v>34408874</v>
      </c>
      <c r="B1303" s="2">
        <f>INDEX(Tableau1[], MATCH(Tableau3[[#This Row],[REFERENCE]], Tableau1[NUMERO], 0), 2)</f>
        <v/>
      </c>
      <c r="C1303">
        <f>INDEX(Tableau1[], MATCH(Tableau3[[#This Row],[REFERENCE]], Tableau1[NUMERO], 0), 3)</f>
        <v/>
      </c>
      <c r="D1303">
        <f>INDEX(Tableau1[], MATCH(Tableau3[[#This Row],[REFERENCE]], Tableau1[NUMERO], 0),4)</f>
        <v/>
      </c>
      <c r="E1303">
        <f>INDEX(Tableau1[], MATCH(Tableau3[[#This Row],[REFERENCE]], Tableau1[NUMERO], 0), 5)</f>
        <v/>
      </c>
      <c r="H1303" t="inlineStr">
        <is>
          <t>thyssen</t>
        </is>
      </c>
      <c r="J1303" s="2" t="n">
        <v>44148</v>
      </c>
      <c r="K1303" s="2" t="n">
        <v>44151</v>
      </c>
      <c r="L1303" s="2" t="n"/>
      <c r="M1303" s="21" t="inlineStr">
        <is>
          <t>01</t>
        </is>
      </c>
      <c r="N1303" s="35" t="n">
        <v>10</v>
      </c>
      <c r="O1303" s="7" t="n">
        <v>12.5</v>
      </c>
      <c r="P1303" s="8" t="inlineStr">
        <is>
          <t>3 à 4 semaines</t>
        </is>
      </c>
      <c r="Q1303" s="2" t="n">
        <v>44159</v>
      </c>
    </row>
    <row r="1304">
      <c r="A1304" s="8" t="n">
        <v>34408875</v>
      </c>
      <c r="B1304" s="2">
        <f>INDEX(Tableau1[], MATCH(Tableau3[[#This Row],[REFERENCE]], Tableau1[NUMERO], 0), 2)</f>
        <v/>
      </c>
      <c r="C1304">
        <f>INDEX(Tableau1[], MATCH(Tableau3[[#This Row],[REFERENCE]], Tableau1[NUMERO], 0), 3)</f>
        <v/>
      </c>
      <c r="D1304">
        <f>INDEX(Tableau1[], MATCH(Tableau3[[#This Row],[REFERENCE]], Tableau1[NUMERO], 0),4)</f>
        <v/>
      </c>
      <c r="E1304">
        <f>INDEX(Tableau1[], MATCH(Tableau3[[#This Row],[REFERENCE]], Tableau1[NUMERO], 0), 5)</f>
        <v/>
      </c>
      <c r="H1304" t="inlineStr">
        <is>
          <t>thyssen</t>
        </is>
      </c>
      <c r="J1304" s="2" t="n">
        <v>44148</v>
      </c>
      <c r="K1304" s="2" t="n">
        <v>44151</v>
      </c>
      <c r="L1304" s="2" t="n"/>
      <c r="M1304" s="21" t="inlineStr">
        <is>
          <t>01</t>
        </is>
      </c>
      <c r="N1304" s="35" t="n">
        <v>10</v>
      </c>
      <c r="O1304" s="7" t="n">
        <v>16</v>
      </c>
      <c r="P1304" s="8" t="inlineStr">
        <is>
          <t>3 à 4 semaines</t>
        </is>
      </c>
      <c r="Q1304" s="2" t="n">
        <v>44159</v>
      </c>
    </row>
    <row r="1305">
      <c r="A1305" s="8" t="n">
        <v>34408876</v>
      </c>
      <c r="B1305" s="2">
        <f>INDEX(Tableau1[], MATCH(Tableau3[[#This Row],[REFERENCE]], Tableau1[NUMERO], 0), 2)</f>
        <v/>
      </c>
      <c r="C1305">
        <f>INDEX(Tableau1[], MATCH(Tableau3[[#This Row],[REFERENCE]], Tableau1[NUMERO], 0), 3)</f>
        <v/>
      </c>
      <c r="D1305">
        <f>INDEX(Tableau1[], MATCH(Tableau3[[#This Row],[REFERENCE]], Tableau1[NUMERO], 0),4)</f>
        <v/>
      </c>
      <c r="E1305">
        <f>INDEX(Tableau1[], MATCH(Tableau3[[#This Row],[REFERENCE]], Tableau1[NUMERO], 0), 5)</f>
        <v/>
      </c>
      <c r="H1305" t="inlineStr">
        <is>
          <t>thyssen</t>
        </is>
      </c>
      <c r="J1305" s="2" t="n">
        <v>44148</v>
      </c>
      <c r="K1305" s="2" t="n">
        <v>44151</v>
      </c>
      <c r="L1305" s="2" t="n"/>
      <c r="M1305" s="21" t="inlineStr">
        <is>
          <t>01</t>
        </is>
      </c>
      <c r="N1305" s="35" t="n">
        <v>10</v>
      </c>
      <c r="O1305" s="7" t="n">
        <v>19.35</v>
      </c>
      <c r="P1305" s="8" t="inlineStr">
        <is>
          <t>3 à 4 semaines</t>
        </is>
      </c>
      <c r="Q1305" s="2" t="n">
        <v>44159</v>
      </c>
    </row>
    <row r="1306">
      <c r="A1306" s="8" t="n">
        <v>34408877</v>
      </c>
      <c r="B1306" s="2">
        <f>INDEX(Tableau1[], MATCH(Tableau3[[#This Row],[REFERENCE]], Tableau1[NUMERO], 0), 2)</f>
        <v/>
      </c>
      <c r="C1306">
        <f>INDEX(Tableau1[], MATCH(Tableau3[[#This Row],[REFERENCE]], Tableau1[NUMERO], 0), 3)</f>
        <v/>
      </c>
      <c r="D1306">
        <f>INDEX(Tableau1[], MATCH(Tableau3[[#This Row],[REFERENCE]], Tableau1[NUMERO], 0),4)</f>
        <v/>
      </c>
      <c r="E1306">
        <f>INDEX(Tableau1[], MATCH(Tableau3[[#This Row],[REFERENCE]], Tableau1[NUMERO], 0), 5)</f>
        <v/>
      </c>
      <c r="H1306" t="inlineStr">
        <is>
          <t>thyssen</t>
        </is>
      </c>
      <c r="J1306" s="2" t="n">
        <v>44148</v>
      </c>
      <c r="K1306" s="2" t="n">
        <v>44151</v>
      </c>
      <c r="L1306" s="2" t="n"/>
      <c r="M1306" s="21" t="inlineStr">
        <is>
          <t>01</t>
        </is>
      </c>
      <c r="N1306" s="35" t="n">
        <v>10</v>
      </c>
      <c r="O1306" s="7" t="n">
        <v>18.05</v>
      </c>
      <c r="P1306" s="8" t="inlineStr">
        <is>
          <t>3 à 4 semaines</t>
        </is>
      </c>
      <c r="Q1306" s="2" t="n">
        <v>44159</v>
      </c>
    </row>
    <row r="1307">
      <c r="A1307" s="8" t="n">
        <v>34408884</v>
      </c>
      <c r="B1307" s="2">
        <f>INDEX(Tableau1[], MATCH(Tableau3[[#This Row],[REFERENCE]], Tableau1[NUMERO], 0), 2)</f>
        <v/>
      </c>
      <c r="C1307">
        <f>INDEX(Tableau1[], MATCH(Tableau3[[#This Row],[REFERENCE]], Tableau1[NUMERO], 0), 3)</f>
        <v/>
      </c>
      <c r="D1307">
        <f>INDEX(Tableau1[], MATCH(Tableau3[[#This Row],[REFERENCE]], Tableau1[NUMERO], 0),4)</f>
        <v/>
      </c>
      <c r="E1307">
        <f>INDEX(Tableau1[], MATCH(Tableau3[[#This Row],[REFERENCE]], Tableau1[NUMERO], 0), 5)</f>
        <v/>
      </c>
      <c r="H1307" t="inlineStr">
        <is>
          <t>thyssen</t>
        </is>
      </c>
      <c r="J1307" s="2" t="n">
        <v>44148</v>
      </c>
      <c r="K1307" s="2" t="n">
        <v>44151</v>
      </c>
      <c r="L1307" s="2" t="n"/>
      <c r="M1307" s="21" t="inlineStr">
        <is>
          <t>01</t>
        </is>
      </c>
      <c r="N1307" s="35" t="n">
        <v>10</v>
      </c>
      <c r="O1307" s="7" t="n">
        <v>28.95</v>
      </c>
      <c r="P1307" s="8" t="inlineStr">
        <is>
          <t>3 à 4 semaines</t>
        </is>
      </c>
      <c r="Q1307" s="2" t="n">
        <v>44159</v>
      </c>
    </row>
    <row r="1308">
      <c r="A1308" s="8" t="n">
        <v>34408885</v>
      </c>
      <c r="B1308" s="2">
        <f>INDEX(Tableau1[], MATCH(Tableau3[[#This Row],[REFERENCE]], Tableau1[NUMERO], 0), 2)</f>
        <v/>
      </c>
      <c r="C1308">
        <f>INDEX(Tableau1[], MATCH(Tableau3[[#This Row],[REFERENCE]], Tableau1[NUMERO], 0), 3)</f>
        <v/>
      </c>
      <c r="D1308">
        <f>INDEX(Tableau1[], MATCH(Tableau3[[#This Row],[REFERENCE]], Tableau1[NUMERO], 0),4)</f>
        <v/>
      </c>
      <c r="E1308">
        <f>INDEX(Tableau1[], MATCH(Tableau3[[#This Row],[REFERENCE]], Tableau1[NUMERO], 0), 5)</f>
        <v/>
      </c>
      <c r="H1308" t="inlineStr">
        <is>
          <t>thyssen</t>
        </is>
      </c>
      <c r="J1308" s="2" t="n">
        <v>44148</v>
      </c>
      <c r="K1308" s="2" t="n">
        <v>44151</v>
      </c>
      <c r="L1308" s="2" t="n"/>
      <c r="M1308" s="21" t="inlineStr">
        <is>
          <t>01</t>
        </is>
      </c>
      <c r="N1308" s="35" t="n">
        <v>10</v>
      </c>
      <c r="O1308" s="7" t="n">
        <v>28.95</v>
      </c>
      <c r="P1308" s="8" t="inlineStr">
        <is>
          <t>3 à 4 semaines</t>
        </is>
      </c>
      <c r="Q1308" s="2" t="n">
        <v>44159</v>
      </c>
    </row>
    <row r="1309">
      <c r="A1309" s="8" t="n">
        <v>34408886</v>
      </c>
      <c r="B1309" s="2">
        <f>INDEX(Tableau1[], MATCH(Tableau3[[#This Row],[REFERENCE]], Tableau1[NUMERO], 0), 2)</f>
        <v/>
      </c>
      <c r="C1309">
        <f>INDEX(Tableau1[], MATCH(Tableau3[[#This Row],[REFERENCE]], Tableau1[NUMERO], 0), 3)</f>
        <v/>
      </c>
      <c r="D1309">
        <f>INDEX(Tableau1[], MATCH(Tableau3[[#This Row],[REFERENCE]], Tableau1[NUMERO], 0),4)</f>
        <v/>
      </c>
      <c r="E1309">
        <f>INDEX(Tableau1[], MATCH(Tableau3[[#This Row],[REFERENCE]], Tableau1[NUMERO], 0), 5)</f>
        <v/>
      </c>
      <c r="H1309" t="inlineStr">
        <is>
          <t>thyssen</t>
        </is>
      </c>
      <c r="J1309" s="2" t="n">
        <v>44148</v>
      </c>
      <c r="K1309" s="2" t="n">
        <v>44151</v>
      </c>
      <c r="L1309" s="2" t="n"/>
      <c r="M1309" s="21" t="inlineStr">
        <is>
          <t>01</t>
        </is>
      </c>
      <c r="N1309" s="35" t="n">
        <v>10</v>
      </c>
      <c r="O1309" s="7" t="n">
        <v>28.95</v>
      </c>
      <c r="P1309" s="8" t="inlineStr">
        <is>
          <t>3 à 4 semaines</t>
        </is>
      </c>
      <c r="Q1309" s="2" t="n">
        <v>44159</v>
      </c>
    </row>
    <row r="1310">
      <c r="A1310" s="8" t="n">
        <v>34408887</v>
      </c>
      <c r="B1310" s="2">
        <f>INDEX(Tableau1[], MATCH(Tableau3[[#This Row],[REFERENCE]], Tableau1[NUMERO], 0), 2)</f>
        <v/>
      </c>
      <c r="C1310">
        <f>INDEX(Tableau1[], MATCH(Tableau3[[#This Row],[REFERENCE]], Tableau1[NUMERO], 0), 3)</f>
        <v/>
      </c>
      <c r="D1310">
        <f>INDEX(Tableau1[], MATCH(Tableau3[[#This Row],[REFERENCE]], Tableau1[NUMERO], 0),4)</f>
        <v/>
      </c>
      <c r="E1310">
        <f>INDEX(Tableau1[], MATCH(Tableau3[[#This Row],[REFERENCE]], Tableau1[NUMERO], 0), 5)</f>
        <v/>
      </c>
      <c r="H1310" t="inlineStr">
        <is>
          <t>thyssen</t>
        </is>
      </c>
      <c r="J1310" s="2" t="n">
        <v>44148</v>
      </c>
      <c r="K1310" s="2" t="n">
        <v>44151</v>
      </c>
      <c r="L1310" s="2" t="n"/>
      <c r="M1310" s="21" t="inlineStr">
        <is>
          <t>01</t>
        </is>
      </c>
      <c r="N1310" s="35" t="n">
        <v>10</v>
      </c>
      <c r="O1310" s="7" t="n">
        <v>28.9</v>
      </c>
      <c r="P1310" s="8" t="inlineStr">
        <is>
          <t>3 à 4 semaines</t>
        </is>
      </c>
      <c r="Q1310" s="2" t="n">
        <v>44159</v>
      </c>
    </row>
    <row r="1311">
      <c r="A1311" s="8" t="n">
        <v>34408888</v>
      </c>
      <c r="B1311" s="2">
        <f>INDEX(Tableau1[], MATCH(Tableau3[[#This Row],[REFERENCE]], Tableau1[NUMERO], 0), 2)</f>
        <v/>
      </c>
      <c r="C1311">
        <f>INDEX(Tableau1[], MATCH(Tableau3[[#This Row],[REFERENCE]], Tableau1[NUMERO], 0), 3)</f>
        <v/>
      </c>
      <c r="D1311">
        <f>INDEX(Tableau1[], MATCH(Tableau3[[#This Row],[REFERENCE]], Tableau1[NUMERO], 0),4)</f>
        <v/>
      </c>
      <c r="E1311">
        <f>INDEX(Tableau1[], MATCH(Tableau3[[#This Row],[REFERENCE]], Tableau1[NUMERO], 0), 5)</f>
        <v/>
      </c>
      <c r="H1311" t="inlineStr">
        <is>
          <t>thyssen</t>
        </is>
      </c>
      <c r="J1311" s="2" t="n">
        <v>44148</v>
      </c>
      <c r="K1311" s="2" t="n">
        <v>44151</v>
      </c>
      <c r="L1311" s="2" t="n"/>
      <c r="M1311" s="21" t="inlineStr">
        <is>
          <t>01</t>
        </is>
      </c>
      <c r="N1311" s="35" t="n">
        <v>10</v>
      </c>
      <c r="O1311" s="7" t="n">
        <v>13.15</v>
      </c>
      <c r="P1311" s="8" t="inlineStr">
        <is>
          <t>3 à 4 semaines</t>
        </is>
      </c>
      <c r="Q1311" s="2" t="n">
        <v>44159</v>
      </c>
    </row>
    <row r="1312">
      <c r="A1312" s="8" t="n">
        <v>34408889</v>
      </c>
      <c r="B1312" s="2">
        <f>INDEX(Tableau1[], MATCH(Tableau3[[#This Row],[REFERENCE]], Tableau1[NUMERO], 0), 2)</f>
        <v/>
      </c>
      <c r="C1312">
        <f>INDEX(Tableau1[], MATCH(Tableau3[[#This Row],[REFERENCE]], Tableau1[NUMERO], 0), 3)</f>
        <v/>
      </c>
      <c r="D1312">
        <f>INDEX(Tableau1[], MATCH(Tableau3[[#This Row],[REFERENCE]], Tableau1[NUMERO], 0),4)</f>
        <v/>
      </c>
      <c r="E1312">
        <f>INDEX(Tableau1[], MATCH(Tableau3[[#This Row],[REFERENCE]], Tableau1[NUMERO], 0), 5)</f>
        <v/>
      </c>
      <c r="H1312" t="inlineStr">
        <is>
          <t>thyssen</t>
        </is>
      </c>
      <c r="J1312" s="2" t="n">
        <v>44148</v>
      </c>
      <c r="K1312" s="2" t="n">
        <v>44151</v>
      </c>
      <c r="L1312" s="2" t="n"/>
      <c r="M1312" s="21" t="inlineStr">
        <is>
          <t>01</t>
        </is>
      </c>
      <c r="N1312" s="35" t="n">
        <v>10</v>
      </c>
      <c r="O1312" s="7" t="n">
        <v>13.6</v>
      </c>
      <c r="P1312" s="8" t="inlineStr">
        <is>
          <t>3 à 4 semaines</t>
        </is>
      </c>
      <c r="Q1312" s="2" t="n">
        <v>44159</v>
      </c>
    </row>
    <row r="1313">
      <c r="A1313" s="8" t="n">
        <v>34408890</v>
      </c>
      <c r="B1313" s="2">
        <f>INDEX(Tableau1[], MATCH(Tableau3[[#This Row],[REFERENCE]], Tableau1[NUMERO], 0), 2)</f>
        <v/>
      </c>
      <c r="C1313">
        <f>INDEX(Tableau1[], MATCH(Tableau3[[#This Row],[REFERENCE]], Tableau1[NUMERO], 0), 3)</f>
        <v/>
      </c>
      <c r="D1313">
        <f>INDEX(Tableau1[], MATCH(Tableau3[[#This Row],[REFERENCE]], Tableau1[NUMERO], 0),4)</f>
        <v/>
      </c>
      <c r="E1313">
        <f>INDEX(Tableau1[], MATCH(Tableau3[[#This Row],[REFERENCE]], Tableau1[NUMERO], 0), 5)</f>
        <v/>
      </c>
      <c r="H1313" t="inlineStr">
        <is>
          <t>thyssen</t>
        </is>
      </c>
      <c r="J1313" s="2" t="n">
        <v>44148</v>
      </c>
      <c r="K1313" s="2" t="n">
        <v>44151</v>
      </c>
      <c r="L1313" s="2" t="n"/>
      <c r="M1313" s="21" t="inlineStr">
        <is>
          <t>01</t>
        </is>
      </c>
      <c r="N1313" s="35" t="n">
        <v>10</v>
      </c>
      <c r="O1313" s="7" t="n">
        <v>13.6</v>
      </c>
      <c r="P1313" s="8" t="inlineStr">
        <is>
          <t>3 à 4 semaines</t>
        </is>
      </c>
      <c r="Q1313" s="2" t="n">
        <v>44159</v>
      </c>
    </row>
    <row r="1314">
      <c r="A1314" s="8" t="n">
        <v>34408891</v>
      </c>
      <c r="B1314" s="2">
        <f>INDEX(Tableau1[], MATCH(Tableau3[[#This Row],[REFERENCE]], Tableau1[NUMERO], 0), 2)</f>
        <v/>
      </c>
      <c r="C1314">
        <f>INDEX(Tableau1[], MATCH(Tableau3[[#This Row],[REFERENCE]], Tableau1[NUMERO], 0), 3)</f>
        <v/>
      </c>
      <c r="D1314">
        <f>INDEX(Tableau1[], MATCH(Tableau3[[#This Row],[REFERENCE]], Tableau1[NUMERO], 0),4)</f>
        <v/>
      </c>
      <c r="E1314">
        <f>INDEX(Tableau1[], MATCH(Tableau3[[#This Row],[REFERENCE]], Tableau1[NUMERO], 0), 5)</f>
        <v/>
      </c>
      <c r="H1314" t="inlineStr">
        <is>
          <t>thyssen</t>
        </is>
      </c>
      <c r="J1314" s="2" t="n">
        <v>44148</v>
      </c>
      <c r="K1314" s="2" t="n">
        <v>44151</v>
      </c>
      <c r="L1314" s="2" t="n"/>
      <c r="M1314" s="21" t="inlineStr">
        <is>
          <t>01</t>
        </is>
      </c>
      <c r="N1314" s="35" t="n">
        <v>10</v>
      </c>
      <c r="O1314" s="7" t="n">
        <v>13.6</v>
      </c>
      <c r="P1314" s="8" t="inlineStr">
        <is>
          <t>3 à 4 semaines</t>
        </is>
      </c>
      <c r="Q1314" s="2" t="n">
        <v>44159</v>
      </c>
    </row>
    <row r="1315">
      <c r="A1315" s="8" t="n">
        <v>34408906</v>
      </c>
      <c r="B1315" s="2">
        <f>INDEX(Tableau1[], MATCH(Tableau3[[#This Row],[REFERENCE]], Tableau1[NUMERO], 0), 2)</f>
        <v/>
      </c>
      <c r="C1315">
        <f>INDEX(Tableau1[], MATCH(Tableau3[[#This Row],[REFERENCE]], Tableau1[NUMERO], 0), 3)</f>
        <v/>
      </c>
      <c r="D1315">
        <f>INDEX(Tableau1[], MATCH(Tableau3[[#This Row],[REFERENCE]], Tableau1[NUMERO], 0),4)</f>
        <v/>
      </c>
      <c r="E1315">
        <f>INDEX(Tableau1[], MATCH(Tableau3[[#This Row],[REFERENCE]], Tableau1[NUMERO], 0), 5)</f>
        <v/>
      </c>
      <c r="H1315" t="inlineStr">
        <is>
          <t>thyssen</t>
        </is>
      </c>
      <c r="J1315" s="2" t="n">
        <v>44148</v>
      </c>
      <c r="K1315" s="2" t="n">
        <v>44151</v>
      </c>
      <c r="L1315" s="2" t="n"/>
      <c r="M1315" s="21" t="inlineStr">
        <is>
          <t>01</t>
        </is>
      </c>
      <c r="N1315" s="35" t="n">
        <v>10</v>
      </c>
      <c r="O1315" s="7" t="n">
        <v>12.9</v>
      </c>
      <c r="P1315" s="8" t="inlineStr">
        <is>
          <t>3 à 4 semaines</t>
        </is>
      </c>
      <c r="Q1315" s="2" t="n">
        <v>44159</v>
      </c>
    </row>
    <row r="1316">
      <c r="A1316" s="8" t="n">
        <v>34408910</v>
      </c>
      <c r="B1316" s="2">
        <f>INDEX(Tableau1[], MATCH(Tableau3[[#This Row],[REFERENCE]], Tableau1[NUMERO], 0), 2)</f>
        <v/>
      </c>
      <c r="C1316">
        <f>INDEX(Tableau1[], MATCH(Tableau3[[#This Row],[REFERENCE]], Tableau1[NUMERO], 0), 3)</f>
        <v/>
      </c>
      <c r="D1316">
        <f>INDEX(Tableau1[], MATCH(Tableau3[[#This Row],[REFERENCE]], Tableau1[NUMERO], 0),4)</f>
        <v/>
      </c>
      <c r="E1316">
        <f>INDEX(Tableau1[], MATCH(Tableau3[[#This Row],[REFERENCE]], Tableau1[NUMERO], 0), 5)</f>
        <v/>
      </c>
      <c r="H1316" t="inlineStr">
        <is>
          <t>thyssen</t>
        </is>
      </c>
      <c r="J1316" s="2" t="n">
        <v>44148</v>
      </c>
      <c r="K1316" s="2" t="n">
        <v>44151</v>
      </c>
      <c r="L1316" s="2" t="n"/>
      <c r="M1316" s="21" t="inlineStr">
        <is>
          <t>01</t>
        </is>
      </c>
      <c r="N1316" s="35" t="n">
        <v>10</v>
      </c>
      <c r="O1316" s="7" t="n">
        <v>9.4</v>
      </c>
      <c r="P1316" s="8" t="inlineStr">
        <is>
          <t>3 à 4 semaines</t>
        </is>
      </c>
      <c r="Q1316" s="2" t="n">
        <v>44159</v>
      </c>
    </row>
    <row r="1317">
      <c r="A1317" s="8" t="n">
        <v>34408911</v>
      </c>
      <c r="B1317" s="2">
        <f>INDEX(Tableau1[], MATCH(Tableau3[[#This Row],[REFERENCE]], Tableau1[NUMERO], 0), 2)</f>
        <v/>
      </c>
      <c r="C1317">
        <f>INDEX(Tableau1[], MATCH(Tableau3[[#This Row],[REFERENCE]], Tableau1[NUMERO], 0), 3)</f>
        <v/>
      </c>
      <c r="D1317">
        <f>INDEX(Tableau1[], MATCH(Tableau3[[#This Row],[REFERENCE]], Tableau1[NUMERO], 0),4)</f>
        <v/>
      </c>
      <c r="E1317">
        <f>INDEX(Tableau1[], MATCH(Tableau3[[#This Row],[REFERENCE]], Tableau1[NUMERO], 0), 5)</f>
        <v/>
      </c>
      <c r="H1317" t="inlineStr">
        <is>
          <t>thyssen</t>
        </is>
      </c>
      <c r="J1317" s="2" t="n">
        <v>44148</v>
      </c>
      <c r="K1317" s="2" t="n">
        <v>44151</v>
      </c>
      <c r="L1317" s="2" t="n"/>
      <c r="M1317" s="21" t="inlineStr">
        <is>
          <t>01</t>
        </is>
      </c>
      <c r="N1317" s="35" t="n">
        <v>10</v>
      </c>
      <c r="O1317" s="7" t="n">
        <v>11.35</v>
      </c>
      <c r="P1317" s="8" t="inlineStr">
        <is>
          <t>3 à 4 semaines</t>
        </is>
      </c>
      <c r="Q1317" s="2" t="n">
        <v>44159</v>
      </c>
    </row>
    <row r="1318">
      <c r="A1318" s="8" t="n">
        <v>34408912</v>
      </c>
      <c r="B1318" s="2">
        <f>INDEX(Tableau1[], MATCH(Tableau3[[#This Row],[REFERENCE]], Tableau1[NUMERO], 0), 2)</f>
        <v/>
      </c>
      <c r="C1318">
        <f>INDEX(Tableau1[], MATCH(Tableau3[[#This Row],[REFERENCE]], Tableau1[NUMERO], 0), 3)</f>
        <v/>
      </c>
      <c r="D1318">
        <f>INDEX(Tableau1[], MATCH(Tableau3[[#This Row],[REFERENCE]], Tableau1[NUMERO], 0),4)</f>
        <v/>
      </c>
      <c r="E1318">
        <f>INDEX(Tableau1[], MATCH(Tableau3[[#This Row],[REFERENCE]], Tableau1[NUMERO], 0), 5)</f>
        <v/>
      </c>
      <c r="H1318" t="inlineStr">
        <is>
          <t>thyssen</t>
        </is>
      </c>
      <c r="J1318" s="2" t="n">
        <v>44148</v>
      </c>
      <c r="K1318" s="2" t="n">
        <v>44151</v>
      </c>
      <c r="L1318" s="2" t="n"/>
      <c r="M1318" s="21" t="inlineStr">
        <is>
          <t>01</t>
        </is>
      </c>
      <c r="N1318" s="35" t="n">
        <v>10</v>
      </c>
      <c r="O1318" s="7" t="n">
        <v>13.3</v>
      </c>
      <c r="P1318" s="8" t="inlineStr">
        <is>
          <t>3 à 4 semaines</t>
        </is>
      </c>
      <c r="Q1318" s="2" t="n">
        <v>44159</v>
      </c>
    </row>
    <row r="1319">
      <c r="A1319" s="8" t="n">
        <v>34408914</v>
      </c>
      <c r="B1319" s="2">
        <f>INDEX(Tableau1[], MATCH(Tableau3[[#This Row],[REFERENCE]], Tableau1[NUMERO], 0), 2)</f>
        <v/>
      </c>
      <c r="C1319">
        <f>INDEX(Tableau1[], MATCH(Tableau3[[#This Row],[REFERENCE]], Tableau1[NUMERO], 0), 3)</f>
        <v/>
      </c>
      <c r="D1319">
        <f>INDEX(Tableau1[], MATCH(Tableau3[[#This Row],[REFERENCE]], Tableau1[NUMERO], 0),4)</f>
        <v/>
      </c>
      <c r="E1319">
        <f>INDEX(Tableau1[], MATCH(Tableau3[[#This Row],[REFERENCE]], Tableau1[NUMERO], 0), 5)</f>
        <v/>
      </c>
      <c r="H1319" t="inlineStr">
        <is>
          <t>thyssen</t>
        </is>
      </c>
      <c r="J1319" s="2" t="n">
        <v>44148</v>
      </c>
      <c r="K1319" s="2" t="n">
        <v>44151</v>
      </c>
      <c r="L1319" s="2" t="n"/>
      <c r="M1319" s="21" t="inlineStr">
        <is>
          <t>01</t>
        </is>
      </c>
      <c r="N1319" s="35" t="n">
        <v>10</v>
      </c>
      <c r="O1319" s="7" t="n">
        <v>11.6</v>
      </c>
      <c r="P1319" s="8" t="inlineStr">
        <is>
          <t>3 à 4 semaines</t>
        </is>
      </c>
      <c r="Q1319" s="2" t="n">
        <v>44159</v>
      </c>
    </row>
    <row r="1320">
      <c r="A1320" s="8" t="n">
        <v>34408922</v>
      </c>
      <c r="B1320" s="2">
        <f>INDEX(Tableau1[], MATCH(Tableau3[[#This Row],[REFERENCE]], Tableau1[NUMERO], 0), 2)</f>
        <v/>
      </c>
      <c r="C1320">
        <f>INDEX(Tableau1[], MATCH(Tableau3[[#This Row],[REFERENCE]], Tableau1[NUMERO], 0), 3)</f>
        <v/>
      </c>
      <c r="D1320">
        <f>INDEX(Tableau1[], MATCH(Tableau3[[#This Row],[REFERENCE]], Tableau1[NUMERO], 0),4)</f>
        <v/>
      </c>
      <c r="E1320">
        <f>INDEX(Tableau1[], MATCH(Tableau3[[#This Row],[REFERENCE]], Tableau1[NUMERO], 0), 5)</f>
        <v/>
      </c>
      <c r="H1320" t="inlineStr">
        <is>
          <t>thyssen</t>
        </is>
      </c>
      <c r="J1320" s="2" t="n">
        <v>44148</v>
      </c>
      <c r="K1320" s="2" t="n">
        <v>44151</v>
      </c>
      <c r="L1320" s="2" t="n"/>
      <c r="M1320" s="21" t="inlineStr">
        <is>
          <t>01</t>
        </is>
      </c>
      <c r="N1320" s="35" t="n">
        <v>10</v>
      </c>
      <c r="O1320" s="7" t="n">
        <v>12.25</v>
      </c>
      <c r="P1320" s="8" t="inlineStr">
        <is>
          <t>3 à 4 semaines</t>
        </is>
      </c>
      <c r="Q1320" s="2" t="n">
        <v>44159</v>
      </c>
    </row>
    <row r="1321">
      <c r="A1321" s="8" t="n">
        <v>34408923</v>
      </c>
      <c r="B1321" s="2">
        <f>INDEX(Tableau1[], MATCH(Tableau3[[#This Row],[REFERENCE]], Tableau1[NUMERO], 0), 2)</f>
        <v/>
      </c>
      <c r="C1321">
        <f>INDEX(Tableau1[], MATCH(Tableau3[[#This Row],[REFERENCE]], Tableau1[NUMERO], 0), 3)</f>
        <v/>
      </c>
      <c r="D1321">
        <f>INDEX(Tableau1[], MATCH(Tableau3[[#This Row],[REFERENCE]], Tableau1[NUMERO], 0),4)</f>
        <v/>
      </c>
      <c r="E1321">
        <f>INDEX(Tableau1[], MATCH(Tableau3[[#This Row],[REFERENCE]], Tableau1[NUMERO], 0), 5)</f>
        <v/>
      </c>
      <c r="H1321" t="inlineStr">
        <is>
          <t>thyssen</t>
        </is>
      </c>
      <c r="J1321" s="2" t="n">
        <v>44148</v>
      </c>
      <c r="K1321" s="2" t="n">
        <v>44151</v>
      </c>
      <c r="L1321" s="2" t="n"/>
      <c r="M1321" s="21" t="inlineStr">
        <is>
          <t>01</t>
        </is>
      </c>
      <c r="N1321" s="35" t="n">
        <v>10</v>
      </c>
      <c r="O1321" s="7" t="n">
        <v>7.15</v>
      </c>
      <c r="P1321" s="8" t="inlineStr">
        <is>
          <t>3 à 4 semaines</t>
        </is>
      </c>
      <c r="Q1321" s="2" t="n">
        <v>44159</v>
      </c>
    </row>
    <row r="1322">
      <c r="A1322" s="8" t="n">
        <v>34408924</v>
      </c>
      <c r="B1322" s="2">
        <f>INDEX(Tableau1[], MATCH(Tableau3[[#This Row],[REFERENCE]], Tableau1[NUMERO], 0), 2)</f>
        <v/>
      </c>
      <c r="C1322">
        <f>INDEX(Tableau1[], MATCH(Tableau3[[#This Row],[REFERENCE]], Tableau1[NUMERO], 0), 3)</f>
        <v/>
      </c>
      <c r="D1322">
        <f>INDEX(Tableau1[], MATCH(Tableau3[[#This Row],[REFERENCE]], Tableau1[NUMERO], 0),4)</f>
        <v/>
      </c>
      <c r="E1322">
        <f>INDEX(Tableau1[], MATCH(Tableau3[[#This Row],[REFERENCE]], Tableau1[NUMERO], 0), 5)</f>
        <v/>
      </c>
      <c r="H1322" t="inlineStr">
        <is>
          <t>thyssen</t>
        </is>
      </c>
      <c r="J1322" s="2" t="n">
        <v>44148</v>
      </c>
      <c r="K1322" s="2" t="n">
        <v>44151</v>
      </c>
      <c r="L1322" s="2" t="n"/>
      <c r="M1322" s="21" t="inlineStr">
        <is>
          <t>01</t>
        </is>
      </c>
      <c r="N1322" s="35" t="n">
        <v>10</v>
      </c>
      <c r="O1322" s="7" t="n">
        <v>16.55</v>
      </c>
      <c r="P1322" s="8" t="inlineStr">
        <is>
          <t>3 à 4 semaines</t>
        </is>
      </c>
      <c r="Q1322" s="2" t="n">
        <v>44159</v>
      </c>
    </row>
    <row r="1323">
      <c r="A1323" s="8" t="n">
        <v>34408925</v>
      </c>
      <c r="B1323" s="2">
        <f>INDEX(Tableau1[], MATCH(Tableau3[[#This Row],[REFERENCE]], Tableau1[NUMERO], 0), 2)</f>
        <v/>
      </c>
      <c r="C1323">
        <f>INDEX(Tableau1[], MATCH(Tableau3[[#This Row],[REFERENCE]], Tableau1[NUMERO], 0), 3)</f>
        <v/>
      </c>
      <c r="D1323">
        <f>INDEX(Tableau1[], MATCH(Tableau3[[#This Row],[REFERENCE]], Tableau1[NUMERO], 0),4)</f>
        <v/>
      </c>
      <c r="E1323">
        <f>INDEX(Tableau1[], MATCH(Tableau3[[#This Row],[REFERENCE]], Tableau1[NUMERO], 0), 5)</f>
        <v/>
      </c>
      <c r="H1323" t="inlineStr">
        <is>
          <t>thyssen</t>
        </is>
      </c>
      <c r="J1323" s="2" t="n">
        <v>44148</v>
      </c>
      <c r="K1323" s="2" t="n">
        <v>44151</v>
      </c>
      <c r="L1323" s="2" t="n"/>
      <c r="M1323" s="21" t="inlineStr">
        <is>
          <t>01</t>
        </is>
      </c>
      <c r="N1323" s="35" t="n">
        <v>10</v>
      </c>
      <c r="O1323" s="7" t="n">
        <v>15.1</v>
      </c>
      <c r="P1323" s="8" t="inlineStr">
        <is>
          <t>3 à 4 semaines</t>
        </is>
      </c>
      <c r="Q1323" s="2" t="n">
        <v>44159</v>
      </c>
    </row>
    <row r="1324">
      <c r="A1324" s="8" t="n">
        <v>34408926</v>
      </c>
      <c r="B1324" s="2">
        <f>INDEX(Tableau1[], MATCH(Tableau3[[#This Row],[REFERENCE]], Tableau1[NUMERO], 0), 2)</f>
        <v/>
      </c>
      <c r="C1324">
        <f>INDEX(Tableau1[], MATCH(Tableau3[[#This Row],[REFERENCE]], Tableau1[NUMERO], 0), 3)</f>
        <v/>
      </c>
      <c r="D1324">
        <f>INDEX(Tableau1[], MATCH(Tableau3[[#This Row],[REFERENCE]], Tableau1[NUMERO], 0),4)</f>
        <v/>
      </c>
      <c r="E1324">
        <f>INDEX(Tableau1[], MATCH(Tableau3[[#This Row],[REFERENCE]], Tableau1[NUMERO], 0), 5)</f>
        <v/>
      </c>
      <c r="H1324" t="inlineStr">
        <is>
          <t>thyssen</t>
        </is>
      </c>
      <c r="J1324" s="2" t="n">
        <v>44148</v>
      </c>
      <c r="K1324" s="2" t="n">
        <v>44151</v>
      </c>
      <c r="L1324" s="2" t="n"/>
      <c r="M1324" s="21" t="inlineStr">
        <is>
          <t>01</t>
        </is>
      </c>
      <c r="N1324" s="35" t="n">
        <v>10</v>
      </c>
      <c r="O1324" s="7" t="n">
        <v>9.85</v>
      </c>
      <c r="P1324" s="8" t="inlineStr">
        <is>
          <t>3 à 4 semaines</t>
        </is>
      </c>
      <c r="Q1324" s="2" t="n">
        <v>44159</v>
      </c>
    </row>
    <row r="1325">
      <c r="A1325" s="8" t="n">
        <v>34408927</v>
      </c>
      <c r="B1325" s="2">
        <f>INDEX(Tableau1[], MATCH(Tableau3[[#This Row],[REFERENCE]], Tableau1[NUMERO], 0), 2)</f>
        <v/>
      </c>
      <c r="C1325">
        <f>INDEX(Tableau1[], MATCH(Tableau3[[#This Row],[REFERENCE]], Tableau1[NUMERO], 0), 3)</f>
        <v/>
      </c>
      <c r="D1325">
        <f>INDEX(Tableau1[], MATCH(Tableau3[[#This Row],[REFERENCE]], Tableau1[NUMERO], 0),4)</f>
        <v/>
      </c>
      <c r="E1325">
        <f>INDEX(Tableau1[], MATCH(Tableau3[[#This Row],[REFERENCE]], Tableau1[NUMERO], 0), 5)</f>
        <v/>
      </c>
      <c r="H1325" t="inlineStr">
        <is>
          <t>thyssen</t>
        </is>
      </c>
      <c r="J1325" s="2" t="n">
        <v>44148</v>
      </c>
      <c r="K1325" s="2" t="n">
        <v>44151</v>
      </c>
      <c r="L1325" s="2" t="n"/>
      <c r="M1325" s="21" t="inlineStr">
        <is>
          <t>01</t>
        </is>
      </c>
      <c r="N1325" s="35" t="n">
        <v>10</v>
      </c>
      <c r="O1325" s="7" t="n">
        <v>9.199999999999999</v>
      </c>
      <c r="P1325" s="8" t="inlineStr">
        <is>
          <t>3 à 4 semaines</t>
        </is>
      </c>
      <c r="Q1325" s="2" t="n">
        <v>44159</v>
      </c>
    </row>
    <row r="1326">
      <c r="A1326" s="8" t="n">
        <v>34408928</v>
      </c>
      <c r="B1326" s="2">
        <f>INDEX(Tableau1[], MATCH(Tableau3[[#This Row],[REFERENCE]], Tableau1[NUMERO], 0), 2)</f>
        <v/>
      </c>
      <c r="C1326">
        <f>INDEX(Tableau1[], MATCH(Tableau3[[#This Row],[REFERENCE]], Tableau1[NUMERO], 0), 3)</f>
        <v/>
      </c>
      <c r="D1326">
        <f>INDEX(Tableau1[], MATCH(Tableau3[[#This Row],[REFERENCE]], Tableau1[NUMERO], 0),4)</f>
        <v/>
      </c>
      <c r="E1326">
        <f>INDEX(Tableau1[], MATCH(Tableau3[[#This Row],[REFERENCE]], Tableau1[NUMERO], 0), 5)</f>
        <v/>
      </c>
      <c r="H1326" t="inlineStr">
        <is>
          <t>thyssen</t>
        </is>
      </c>
      <c r="J1326" s="2" t="n">
        <v>44148</v>
      </c>
      <c r="K1326" s="2" t="n">
        <v>44151</v>
      </c>
      <c r="L1326" s="2" t="n"/>
      <c r="M1326" s="21" t="inlineStr">
        <is>
          <t>01</t>
        </is>
      </c>
      <c r="N1326" s="35" t="n">
        <v>10</v>
      </c>
      <c r="O1326" s="7" t="n">
        <v>7.25</v>
      </c>
      <c r="P1326" s="8" t="inlineStr">
        <is>
          <t>3 à 4 semaines</t>
        </is>
      </c>
      <c r="Q1326" s="2" t="n">
        <v>44159</v>
      </c>
    </row>
    <row r="1327">
      <c r="A1327" s="8" t="n">
        <v>34408929</v>
      </c>
      <c r="B1327" s="2">
        <f>INDEX(Tableau1[], MATCH(Tableau3[[#This Row],[REFERENCE]], Tableau1[NUMERO], 0), 2)</f>
        <v/>
      </c>
      <c r="C1327">
        <f>INDEX(Tableau1[], MATCH(Tableau3[[#This Row],[REFERENCE]], Tableau1[NUMERO], 0), 3)</f>
        <v/>
      </c>
      <c r="D1327">
        <f>INDEX(Tableau1[], MATCH(Tableau3[[#This Row],[REFERENCE]], Tableau1[NUMERO], 0),4)</f>
        <v/>
      </c>
      <c r="E1327">
        <f>INDEX(Tableau1[], MATCH(Tableau3[[#This Row],[REFERENCE]], Tableau1[NUMERO], 0), 5)</f>
        <v/>
      </c>
      <c r="H1327" t="inlineStr">
        <is>
          <t>thyssen</t>
        </is>
      </c>
      <c r="J1327" s="2" t="n">
        <v>44148</v>
      </c>
      <c r="K1327" s="2" t="n">
        <v>44151</v>
      </c>
      <c r="L1327" s="2" t="n"/>
      <c r="M1327" s="21" t="inlineStr">
        <is>
          <t>01</t>
        </is>
      </c>
      <c r="N1327" s="35" t="n">
        <v>10</v>
      </c>
      <c r="O1327" s="7" t="n">
        <v>7.8</v>
      </c>
      <c r="P1327" s="8" t="inlineStr">
        <is>
          <t>3 à 4 semaines</t>
        </is>
      </c>
      <c r="Q1327" s="2" t="n">
        <v>44159</v>
      </c>
    </row>
    <row r="1328" ht="15.75" customHeight="1" s="142" thickBot="1">
      <c r="A1328" s="8" t="n">
        <v>34408939</v>
      </c>
      <c r="B1328" s="2">
        <f>INDEX(Tableau1[], MATCH(Tableau3[[#This Row],[REFERENCE]], Tableau1[NUMERO], 0), 2)</f>
        <v/>
      </c>
      <c r="C1328">
        <f>INDEX(Tableau1[], MATCH(Tableau3[[#This Row],[REFERENCE]], Tableau1[NUMERO], 0), 3)</f>
        <v/>
      </c>
      <c r="D1328">
        <f>INDEX(Tableau1[], MATCH(Tableau3[[#This Row],[REFERENCE]], Tableau1[NUMERO], 0),4)</f>
        <v/>
      </c>
      <c r="E1328">
        <f>INDEX(Tableau1[], MATCH(Tableau3[[#This Row],[REFERENCE]], Tableau1[NUMERO], 0), 5)</f>
        <v/>
      </c>
      <c r="H1328" t="inlineStr">
        <is>
          <t>thyssen</t>
        </is>
      </c>
      <c r="J1328" s="2" t="n">
        <v>44148</v>
      </c>
      <c r="K1328" s="2" t="n">
        <v>44151</v>
      </c>
      <c r="L1328" s="2" t="n"/>
      <c r="M1328" s="21" t="inlineStr">
        <is>
          <t>01</t>
        </is>
      </c>
      <c r="N1328" s="35" t="n">
        <v>10</v>
      </c>
      <c r="O1328" s="7" t="n">
        <v>18.6</v>
      </c>
      <c r="P1328" s="8" t="inlineStr">
        <is>
          <t>3 à 4 semaines</t>
        </is>
      </c>
      <c r="Q1328" s="2" t="n">
        <v>44159</v>
      </c>
    </row>
    <row r="1329" ht="15.75" customFormat="1" customHeight="1" s="52" thickTop="1">
      <c r="A1329" s="104" t="n">
        <v>34408883</v>
      </c>
      <c r="B1329" s="51">
        <f>INDEX(Tableau1[], MATCH(Tableau3[[#This Row],[REFERENCE]], Tableau1[NUMERO], 0), 2)</f>
        <v/>
      </c>
      <c r="C1329" s="52">
        <f>INDEX(Tableau1[], MATCH(Tableau3[[#This Row],[REFERENCE]], Tableau1[NUMERO], 0), 3)</f>
        <v/>
      </c>
      <c r="D1329" s="52">
        <f>INDEX(Tableau1[], MATCH(Tableau3[[#This Row],[REFERENCE]], Tableau1[NUMERO], 0),4)</f>
        <v/>
      </c>
      <c r="E1329" s="52">
        <f>INDEX(Tableau1[], MATCH(Tableau3[[#This Row],[REFERENCE]], Tableau1[NUMERO], 0), 5)</f>
        <v/>
      </c>
      <c r="H1329" s="52" t="inlineStr">
        <is>
          <t>UFP</t>
        </is>
      </c>
      <c r="I1329" s="50" t="n"/>
      <c r="J1329" s="51" t="n">
        <v>44148</v>
      </c>
      <c r="K1329" s="51" t="n">
        <v>44152</v>
      </c>
      <c r="L1329" s="51" t="n"/>
      <c r="M1329" s="53" t="inlineStr">
        <is>
          <t>01</t>
        </is>
      </c>
      <c r="N1329" s="54" t="n">
        <v>1</v>
      </c>
      <c r="O1329" s="55" t="n">
        <v>41</v>
      </c>
      <c r="P1329" s="50" t="inlineStr">
        <is>
          <t>10 jours</t>
        </is>
      </c>
      <c r="Q1329" s="51" t="n">
        <v>43878</v>
      </c>
    </row>
    <row r="1330">
      <c r="A1330" s="13" t="n">
        <v>34408897</v>
      </c>
      <c r="B1330" s="2">
        <f>INDEX(Tableau1[], MATCH(Tableau3[[#This Row],[REFERENCE]], Tableau1[NUMERO], 0), 2)</f>
        <v/>
      </c>
      <c r="C1330">
        <f>INDEX(Tableau1[], MATCH(Tableau3[[#This Row],[REFERENCE]], Tableau1[NUMERO], 0), 3)</f>
        <v/>
      </c>
      <c r="D1330">
        <f>INDEX(Tableau1[], MATCH(Tableau3[[#This Row],[REFERENCE]], Tableau1[NUMERO], 0),4)</f>
        <v/>
      </c>
      <c r="E1330">
        <f>INDEX(Tableau1[], MATCH(Tableau3[[#This Row],[REFERENCE]], Tableau1[NUMERO], 0), 5)</f>
        <v/>
      </c>
      <c r="H1330" t="inlineStr">
        <is>
          <t>UFP</t>
        </is>
      </c>
      <c r="J1330" s="2" t="n">
        <v>44148</v>
      </c>
      <c r="K1330" s="2" t="n">
        <v>44152</v>
      </c>
      <c r="L1330" s="2" t="n"/>
      <c r="M1330" s="21" t="inlineStr">
        <is>
          <t>01</t>
        </is>
      </c>
      <c r="N1330" s="35" t="n">
        <v>1</v>
      </c>
      <c r="O1330" s="7" t="n">
        <v>41</v>
      </c>
      <c r="P1330" s="8" t="inlineStr">
        <is>
          <t>10 jours</t>
        </is>
      </c>
      <c r="Q1330" s="2" t="n">
        <v>43878</v>
      </c>
    </row>
    <row r="1331">
      <c r="A1331" s="13" t="n">
        <v>34408934</v>
      </c>
      <c r="B1331" s="2">
        <f>INDEX(Tableau1[], MATCH(Tableau3[[#This Row],[REFERENCE]], Tableau1[NUMERO], 0), 2)</f>
        <v/>
      </c>
      <c r="C1331">
        <f>INDEX(Tableau1[], MATCH(Tableau3[[#This Row],[REFERENCE]], Tableau1[NUMERO], 0), 3)</f>
        <v/>
      </c>
      <c r="D1331">
        <f>INDEX(Tableau1[], MATCH(Tableau3[[#This Row],[REFERENCE]], Tableau1[NUMERO], 0),4)</f>
        <v/>
      </c>
      <c r="E1331">
        <f>INDEX(Tableau1[], MATCH(Tableau3[[#This Row],[REFERENCE]], Tableau1[NUMERO], 0), 5)</f>
        <v/>
      </c>
      <c r="H1331" t="inlineStr">
        <is>
          <t>UFP</t>
        </is>
      </c>
      <c r="J1331" s="2" t="n">
        <v>44148</v>
      </c>
      <c r="K1331" s="2" t="n">
        <v>44152</v>
      </c>
      <c r="L1331" s="2" t="n"/>
      <c r="M1331" s="21" t="inlineStr">
        <is>
          <t>01</t>
        </is>
      </c>
      <c r="N1331" s="35" t="n">
        <v>1</v>
      </c>
      <c r="O1331" s="7" t="n">
        <v>41</v>
      </c>
      <c r="P1331" s="8" t="inlineStr">
        <is>
          <t>10 jours</t>
        </is>
      </c>
      <c r="Q1331" s="2" t="n">
        <v>43878</v>
      </c>
    </row>
    <row r="1332">
      <c r="A1332" s="13" t="n">
        <v>34408935</v>
      </c>
      <c r="B1332" s="2">
        <f>INDEX(Tableau1[], MATCH(Tableau3[[#This Row],[REFERENCE]], Tableau1[NUMERO], 0), 2)</f>
        <v/>
      </c>
      <c r="C1332">
        <f>INDEX(Tableau1[], MATCH(Tableau3[[#This Row],[REFERENCE]], Tableau1[NUMERO], 0), 3)</f>
        <v/>
      </c>
      <c r="D1332">
        <f>INDEX(Tableau1[], MATCH(Tableau3[[#This Row],[REFERENCE]], Tableau1[NUMERO], 0),4)</f>
        <v/>
      </c>
      <c r="E1332">
        <f>INDEX(Tableau1[], MATCH(Tableau3[[#This Row],[REFERENCE]], Tableau1[NUMERO], 0), 5)</f>
        <v/>
      </c>
      <c r="H1332" t="inlineStr">
        <is>
          <t>UFP</t>
        </is>
      </c>
      <c r="J1332" s="2" t="n">
        <v>44148</v>
      </c>
      <c r="K1332" s="2" t="n">
        <v>44152</v>
      </c>
      <c r="L1332" s="2" t="n"/>
      <c r="M1332" s="21" t="inlineStr">
        <is>
          <t>01</t>
        </is>
      </c>
      <c r="N1332" s="35" t="n">
        <v>1</v>
      </c>
      <c r="O1332" s="7" t="n">
        <v>42</v>
      </c>
      <c r="P1332" s="8" t="inlineStr">
        <is>
          <t>10 jours</t>
        </is>
      </c>
      <c r="Q1332" s="2" t="n">
        <v>43878</v>
      </c>
    </row>
    <row r="1333">
      <c r="A1333" s="13" t="n">
        <v>34408936</v>
      </c>
      <c r="B1333" s="2">
        <f>INDEX(Tableau1[], MATCH(Tableau3[[#This Row],[REFERENCE]], Tableau1[NUMERO], 0), 2)</f>
        <v/>
      </c>
      <c r="C1333">
        <f>INDEX(Tableau1[], MATCH(Tableau3[[#This Row],[REFERENCE]], Tableau1[NUMERO], 0), 3)</f>
        <v/>
      </c>
      <c r="D1333">
        <f>INDEX(Tableau1[], MATCH(Tableau3[[#This Row],[REFERENCE]], Tableau1[NUMERO], 0),4)</f>
        <v/>
      </c>
      <c r="E1333">
        <f>INDEX(Tableau1[], MATCH(Tableau3[[#This Row],[REFERENCE]], Tableau1[NUMERO], 0), 5)</f>
        <v/>
      </c>
      <c r="H1333" t="inlineStr">
        <is>
          <t>UFP</t>
        </is>
      </c>
      <c r="J1333" s="2" t="n">
        <v>44148</v>
      </c>
      <c r="K1333" s="2" t="n">
        <v>44152</v>
      </c>
      <c r="L1333" s="2" t="n"/>
      <c r="M1333" s="21" t="inlineStr">
        <is>
          <t>01</t>
        </is>
      </c>
      <c r="N1333" s="35" t="n">
        <v>1</v>
      </c>
      <c r="O1333" s="7" t="n">
        <v>27</v>
      </c>
      <c r="P1333" s="8" t="inlineStr">
        <is>
          <t>10 jours</t>
        </is>
      </c>
      <c r="Q1333" s="2" t="n">
        <v>43878</v>
      </c>
    </row>
    <row r="1334">
      <c r="A1334" s="13" t="n">
        <v>34408938</v>
      </c>
      <c r="B1334" s="2">
        <f>INDEX(Tableau1[], MATCH(Tableau3[[#This Row],[REFERENCE]], Tableau1[NUMERO], 0), 2)</f>
        <v/>
      </c>
      <c r="C1334">
        <f>INDEX(Tableau1[], MATCH(Tableau3[[#This Row],[REFERENCE]], Tableau1[NUMERO], 0), 3)</f>
        <v/>
      </c>
      <c r="D1334">
        <f>INDEX(Tableau1[], MATCH(Tableau3[[#This Row],[REFERENCE]], Tableau1[NUMERO], 0),4)</f>
        <v/>
      </c>
      <c r="E1334">
        <f>INDEX(Tableau1[], MATCH(Tableau3[[#This Row],[REFERENCE]], Tableau1[NUMERO], 0), 5)</f>
        <v/>
      </c>
      <c r="H1334" t="inlineStr">
        <is>
          <t>UFP</t>
        </is>
      </c>
      <c r="J1334" s="2" t="n">
        <v>44148</v>
      </c>
      <c r="K1334" s="2" t="n">
        <v>44152</v>
      </c>
      <c r="L1334" s="2" t="n"/>
      <c r="M1334" s="21" t="inlineStr">
        <is>
          <t>01</t>
        </is>
      </c>
      <c r="N1334" s="35" t="n">
        <v>1</v>
      </c>
      <c r="O1334" s="7" t="n">
        <v>50</v>
      </c>
      <c r="P1334" s="8" t="inlineStr">
        <is>
          <t>10 jours</t>
        </is>
      </c>
      <c r="Q1334" s="2" t="n">
        <v>43878</v>
      </c>
    </row>
    <row r="1335">
      <c r="A1335" s="13" t="n">
        <v>34408940</v>
      </c>
      <c r="B1335" s="2">
        <f>INDEX(Tableau1[], MATCH(Tableau3[[#This Row],[REFERENCE]], Tableau1[NUMERO], 0), 2)</f>
        <v/>
      </c>
      <c r="C1335">
        <f>INDEX(Tableau1[], MATCH(Tableau3[[#This Row],[REFERENCE]], Tableau1[NUMERO], 0), 3)</f>
        <v/>
      </c>
      <c r="D1335">
        <f>INDEX(Tableau1[], MATCH(Tableau3[[#This Row],[REFERENCE]], Tableau1[NUMERO], 0),4)</f>
        <v/>
      </c>
      <c r="E1335">
        <f>INDEX(Tableau1[], MATCH(Tableau3[[#This Row],[REFERENCE]], Tableau1[NUMERO], 0), 5)</f>
        <v/>
      </c>
      <c r="H1335" t="inlineStr">
        <is>
          <t>UFP</t>
        </is>
      </c>
      <c r="J1335" s="2" t="n">
        <v>44148</v>
      </c>
      <c r="K1335" s="2" t="n">
        <v>44152</v>
      </c>
      <c r="L1335" s="2" t="n"/>
      <c r="M1335" s="21" t="inlineStr">
        <is>
          <t>01</t>
        </is>
      </c>
      <c r="N1335" s="35" t="n">
        <v>1</v>
      </c>
      <c r="O1335" s="7" t="n">
        <v>40</v>
      </c>
      <c r="P1335" s="8" t="inlineStr">
        <is>
          <t>10 jours</t>
        </is>
      </c>
      <c r="Q1335" s="2" t="n">
        <v>43878</v>
      </c>
    </row>
    <row r="1336">
      <c r="A1336" s="13" t="n">
        <v>34408883</v>
      </c>
      <c r="B1336" s="2">
        <f>INDEX(Tableau1[], MATCH(Tableau3[[#This Row],[REFERENCE]], Tableau1[NUMERO], 0), 2)</f>
        <v/>
      </c>
      <c r="C1336">
        <f>INDEX(Tableau1[], MATCH(Tableau3[[#This Row],[REFERENCE]], Tableau1[NUMERO], 0), 3)</f>
        <v/>
      </c>
      <c r="D1336">
        <f>INDEX(Tableau1[], MATCH(Tableau3[[#This Row],[REFERENCE]], Tableau1[NUMERO], 0),4)</f>
        <v/>
      </c>
      <c r="E1336">
        <f>INDEX(Tableau1[], MATCH(Tableau3[[#This Row],[REFERENCE]], Tableau1[NUMERO], 0), 5)</f>
        <v/>
      </c>
      <c r="H1336" t="inlineStr">
        <is>
          <t>UFP</t>
        </is>
      </c>
      <c r="J1336" s="2" t="n">
        <v>44148</v>
      </c>
      <c r="K1336" s="2" t="n">
        <v>44152</v>
      </c>
      <c r="L1336" s="2" t="n"/>
      <c r="M1336" s="21" t="inlineStr">
        <is>
          <t>01</t>
        </is>
      </c>
      <c r="N1336" s="35" t="n">
        <v>5</v>
      </c>
      <c r="O1336" s="7" t="n">
        <v>23.5</v>
      </c>
      <c r="P1336" s="8" t="inlineStr">
        <is>
          <t>10 jours</t>
        </is>
      </c>
      <c r="Q1336" s="2" t="n">
        <v>43878</v>
      </c>
    </row>
    <row r="1337">
      <c r="A1337" s="13" t="n">
        <v>34408897</v>
      </c>
      <c r="B1337" s="2">
        <f>INDEX(Tableau1[], MATCH(Tableau3[[#This Row],[REFERENCE]], Tableau1[NUMERO], 0), 2)</f>
        <v/>
      </c>
      <c r="C1337">
        <f>INDEX(Tableau1[], MATCH(Tableau3[[#This Row],[REFERENCE]], Tableau1[NUMERO], 0), 3)</f>
        <v/>
      </c>
      <c r="D1337">
        <f>INDEX(Tableau1[], MATCH(Tableau3[[#This Row],[REFERENCE]], Tableau1[NUMERO], 0),4)</f>
        <v/>
      </c>
      <c r="E1337">
        <f>INDEX(Tableau1[], MATCH(Tableau3[[#This Row],[REFERENCE]], Tableau1[NUMERO], 0), 5)</f>
        <v/>
      </c>
      <c r="H1337" t="inlineStr">
        <is>
          <t>UFP</t>
        </is>
      </c>
      <c r="J1337" s="2" t="n">
        <v>44148</v>
      </c>
      <c r="K1337" s="2" t="n">
        <v>44152</v>
      </c>
      <c r="L1337" s="2" t="n"/>
      <c r="M1337" s="21" t="inlineStr">
        <is>
          <t>01</t>
        </is>
      </c>
      <c r="N1337" s="35" t="n">
        <v>5</v>
      </c>
      <c r="O1337" s="7" t="n">
        <v>23.5</v>
      </c>
      <c r="P1337" s="8" t="inlineStr">
        <is>
          <t>10 jours</t>
        </is>
      </c>
      <c r="Q1337" s="2" t="n">
        <v>43878</v>
      </c>
    </row>
    <row r="1338">
      <c r="A1338" s="13" t="n">
        <v>34408934</v>
      </c>
      <c r="B1338" s="2">
        <f>INDEX(Tableau1[], MATCH(Tableau3[[#This Row],[REFERENCE]], Tableau1[NUMERO], 0), 2)</f>
        <v/>
      </c>
      <c r="C1338">
        <f>INDEX(Tableau1[], MATCH(Tableau3[[#This Row],[REFERENCE]], Tableau1[NUMERO], 0), 3)</f>
        <v/>
      </c>
      <c r="D1338">
        <f>INDEX(Tableau1[], MATCH(Tableau3[[#This Row],[REFERENCE]], Tableau1[NUMERO], 0),4)</f>
        <v/>
      </c>
      <c r="E1338">
        <f>INDEX(Tableau1[], MATCH(Tableau3[[#This Row],[REFERENCE]], Tableau1[NUMERO], 0), 5)</f>
        <v/>
      </c>
      <c r="H1338" t="inlineStr">
        <is>
          <t>UFP</t>
        </is>
      </c>
      <c r="J1338" s="2" t="n">
        <v>44148</v>
      </c>
      <c r="K1338" s="2" t="n">
        <v>44152</v>
      </c>
      <c r="L1338" s="2" t="n"/>
      <c r="M1338" s="21" t="inlineStr">
        <is>
          <t>01</t>
        </is>
      </c>
      <c r="N1338" s="35" t="n">
        <v>5</v>
      </c>
      <c r="O1338" s="7" t="n">
        <v>23.5</v>
      </c>
      <c r="P1338" s="8" t="inlineStr">
        <is>
          <t>10 jours</t>
        </is>
      </c>
      <c r="Q1338" s="2" t="n">
        <v>43878</v>
      </c>
    </row>
    <row r="1339">
      <c r="A1339" s="13" t="n">
        <v>34408935</v>
      </c>
      <c r="B1339" s="2">
        <f>INDEX(Tableau1[], MATCH(Tableau3[[#This Row],[REFERENCE]], Tableau1[NUMERO], 0), 2)</f>
        <v/>
      </c>
      <c r="C1339">
        <f>INDEX(Tableau1[], MATCH(Tableau3[[#This Row],[REFERENCE]], Tableau1[NUMERO], 0), 3)</f>
        <v/>
      </c>
      <c r="D1339">
        <f>INDEX(Tableau1[], MATCH(Tableau3[[#This Row],[REFERENCE]], Tableau1[NUMERO], 0),4)</f>
        <v/>
      </c>
      <c r="E1339">
        <f>INDEX(Tableau1[], MATCH(Tableau3[[#This Row],[REFERENCE]], Tableau1[NUMERO], 0), 5)</f>
        <v/>
      </c>
      <c r="H1339" t="inlineStr">
        <is>
          <t>UFP</t>
        </is>
      </c>
      <c r="J1339" s="2" t="n">
        <v>44148</v>
      </c>
      <c r="K1339" s="2" t="n">
        <v>44152</v>
      </c>
      <c r="L1339" s="2" t="n"/>
      <c r="M1339" s="21" t="inlineStr">
        <is>
          <t>01</t>
        </is>
      </c>
      <c r="N1339" s="35" t="n">
        <v>5</v>
      </c>
      <c r="O1339" s="7" t="n">
        <v>18.5</v>
      </c>
      <c r="P1339" s="8" t="inlineStr">
        <is>
          <t>10 jours</t>
        </is>
      </c>
      <c r="Q1339" s="2" t="n">
        <v>43878</v>
      </c>
    </row>
    <row r="1340">
      <c r="A1340" s="13" t="n">
        <v>34408936</v>
      </c>
      <c r="B1340" s="2">
        <f>INDEX(Tableau1[], MATCH(Tableau3[[#This Row],[REFERENCE]], Tableau1[NUMERO], 0), 2)</f>
        <v/>
      </c>
      <c r="C1340">
        <f>INDEX(Tableau1[], MATCH(Tableau3[[#This Row],[REFERENCE]], Tableau1[NUMERO], 0), 3)</f>
        <v/>
      </c>
      <c r="D1340">
        <f>INDEX(Tableau1[], MATCH(Tableau3[[#This Row],[REFERENCE]], Tableau1[NUMERO], 0),4)</f>
        <v/>
      </c>
      <c r="E1340">
        <f>INDEX(Tableau1[], MATCH(Tableau3[[#This Row],[REFERENCE]], Tableau1[NUMERO], 0), 5)</f>
        <v/>
      </c>
      <c r="H1340" t="inlineStr">
        <is>
          <t>UFP</t>
        </is>
      </c>
      <c r="J1340" s="2" t="n">
        <v>44148</v>
      </c>
      <c r="K1340" s="2" t="n">
        <v>44152</v>
      </c>
      <c r="L1340" s="2" t="n"/>
      <c r="M1340" s="21" t="inlineStr">
        <is>
          <t>01</t>
        </is>
      </c>
      <c r="N1340" s="35" t="n">
        <v>5</v>
      </c>
      <c r="O1340" s="7" t="n">
        <v>10.2</v>
      </c>
      <c r="P1340" s="8" t="inlineStr">
        <is>
          <t>10 jours</t>
        </is>
      </c>
      <c r="Q1340" s="2" t="n">
        <v>43878</v>
      </c>
    </row>
    <row r="1341">
      <c r="A1341" s="13" t="n">
        <v>34408938</v>
      </c>
      <c r="B1341" s="2">
        <f>INDEX(Tableau1[], MATCH(Tableau3[[#This Row],[REFERENCE]], Tableau1[NUMERO], 0), 2)</f>
        <v/>
      </c>
      <c r="C1341">
        <f>INDEX(Tableau1[], MATCH(Tableau3[[#This Row],[REFERENCE]], Tableau1[NUMERO], 0), 3)</f>
        <v/>
      </c>
      <c r="D1341">
        <f>INDEX(Tableau1[], MATCH(Tableau3[[#This Row],[REFERENCE]], Tableau1[NUMERO], 0),4)</f>
        <v/>
      </c>
      <c r="E1341">
        <f>INDEX(Tableau1[], MATCH(Tableau3[[#This Row],[REFERENCE]], Tableau1[NUMERO], 0), 5)</f>
        <v/>
      </c>
      <c r="H1341" t="inlineStr">
        <is>
          <t>UFP</t>
        </is>
      </c>
      <c r="J1341" s="2" t="n">
        <v>44148</v>
      </c>
      <c r="K1341" s="2" t="n">
        <v>44152</v>
      </c>
      <c r="L1341" s="2" t="n"/>
      <c r="M1341" s="21" t="inlineStr">
        <is>
          <t>01</t>
        </is>
      </c>
      <c r="N1341" s="35" t="n">
        <v>5</v>
      </c>
      <c r="O1341" s="7" t="n">
        <v>21.75</v>
      </c>
      <c r="P1341" s="8" t="inlineStr">
        <is>
          <t>10 jours</t>
        </is>
      </c>
      <c r="Q1341" s="2" t="n">
        <v>43878</v>
      </c>
    </row>
    <row r="1342">
      <c r="A1342" s="13" t="n">
        <v>34408940</v>
      </c>
      <c r="B1342" s="2">
        <f>INDEX(Tableau1[], MATCH(Tableau3[[#This Row],[REFERENCE]], Tableau1[NUMERO], 0), 2)</f>
        <v/>
      </c>
      <c r="C1342">
        <f>INDEX(Tableau1[], MATCH(Tableau3[[#This Row],[REFERENCE]], Tableau1[NUMERO], 0), 3)</f>
        <v/>
      </c>
      <c r="D1342">
        <f>INDEX(Tableau1[], MATCH(Tableau3[[#This Row],[REFERENCE]], Tableau1[NUMERO], 0),4)</f>
        <v/>
      </c>
      <c r="E1342">
        <f>INDEX(Tableau1[], MATCH(Tableau3[[#This Row],[REFERENCE]], Tableau1[NUMERO], 0), 5)</f>
        <v/>
      </c>
      <c r="H1342" t="inlineStr">
        <is>
          <t>UFP</t>
        </is>
      </c>
      <c r="J1342" s="2" t="n">
        <v>44148</v>
      </c>
      <c r="K1342" s="2" t="n">
        <v>44152</v>
      </c>
      <c r="L1342" s="2" t="n"/>
      <c r="M1342" s="21" t="inlineStr">
        <is>
          <t>01</t>
        </is>
      </c>
      <c r="N1342" s="35" t="n">
        <v>5</v>
      </c>
      <c r="O1342" s="7" t="n">
        <v>16.2</v>
      </c>
      <c r="P1342" s="8" t="inlineStr">
        <is>
          <t>10 jours</t>
        </is>
      </c>
      <c r="Q1342" s="2" t="n">
        <v>43878</v>
      </c>
    </row>
    <row r="1343">
      <c r="A1343" s="13" t="n">
        <v>34408883</v>
      </c>
      <c r="B1343" s="2">
        <f>INDEX(Tableau1[], MATCH(Tableau3[[#This Row],[REFERENCE]], Tableau1[NUMERO], 0), 2)</f>
        <v/>
      </c>
      <c r="C1343">
        <f>INDEX(Tableau1[], MATCH(Tableau3[[#This Row],[REFERENCE]], Tableau1[NUMERO], 0), 3)</f>
        <v/>
      </c>
      <c r="D1343">
        <f>INDEX(Tableau1[], MATCH(Tableau3[[#This Row],[REFERENCE]], Tableau1[NUMERO], 0),4)</f>
        <v/>
      </c>
      <c r="E1343">
        <f>INDEX(Tableau1[], MATCH(Tableau3[[#This Row],[REFERENCE]], Tableau1[NUMERO], 0), 5)</f>
        <v/>
      </c>
      <c r="H1343" t="inlineStr">
        <is>
          <t>UFP</t>
        </is>
      </c>
      <c r="J1343" s="2" t="n">
        <v>44148</v>
      </c>
      <c r="K1343" s="2" t="n">
        <v>44152</v>
      </c>
      <c r="L1343" s="2" t="n"/>
      <c r="M1343" s="21" t="inlineStr">
        <is>
          <t>01</t>
        </is>
      </c>
      <c r="N1343" s="35" t="n">
        <v>10</v>
      </c>
      <c r="O1343" s="7" t="n">
        <v>18.5</v>
      </c>
      <c r="P1343" s="8" t="inlineStr">
        <is>
          <t>10 jours</t>
        </is>
      </c>
      <c r="Q1343" s="2" t="n">
        <v>43878</v>
      </c>
    </row>
    <row r="1344">
      <c r="A1344" s="13" t="n">
        <v>34408897</v>
      </c>
      <c r="B1344" s="2">
        <f>INDEX(Tableau1[], MATCH(Tableau3[[#This Row],[REFERENCE]], Tableau1[NUMERO], 0), 2)</f>
        <v/>
      </c>
      <c r="C1344">
        <f>INDEX(Tableau1[], MATCH(Tableau3[[#This Row],[REFERENCE]], Tableau1[NUMERO], 0), 3)</f>
        <v/>
      </c>
      <c r="D1344">
        <f>INDEX(Tableau1[], MATCH(Tableau3[[#This Row],[REFERENCE]], Tableau1[NUMERO], 0),4)</f>
        <v/>
      </c>
      <c r="E1344">
        <f>INDEX(Tableau1[], MATCH(Tableau3[[#This Row],[REFERENCE]], Tableau1[NUMERO], 0), 5)</f>
        <v/>
      </c>
      <c r="H1344" t="inlineStr">
        <is>
          <t>UFP</t>
        </is>
      </c>
      <c r="J1344" s="2" t="n">
        <v>44148</v>
      </c>
      <c r="K1344" s="2" t="n">
        <v>44152</v>
      </c>
      <c r="L1344" s="2" t="n"/>
      <c r="M1344" s="21" t="inlineStr">
        <is>
          <t>01</t>
        </is>
      </c>
      <c r="N1344" s="35" t="n">
        <v>10</v>
      </c>
      <c r="O1344" s="7" t="n">
        <v>18.5</v>
      </c>
      <c r="P1344" s="8" t="inlineStr">
        <is>
          <t>10 jours</t>
        </is>
      </c>
      <c r="Q1344" s="2" t="n">
        <v>43878</v>
      </c>
    </row>
    <row r="1345">
      <c r="A1345" s="13" t="n">
        <v>34408934</v>
      </c>
      <c r="B1345" s="2">
        <f>INDEX(Tableau1[], MATCH(Tableau3[[#This Row],[REFERENCE]], Tableau1[NUMERO], 0), 2)</f>
        <v/>
      </c>
      <c r="C1345">
        <f>INDEX(Tableau1[], MATCH(Tableau3[[#This Row],[REFERENCE]], Tableau1[NUMERO], 0), 3)</f>
        <v/>
      </c>
      <c r="D1345">
        <f>INDEX(Tableau1[], MATCH(Tableau3[[#This Row],[REFERENCE]], Tableau1[NUMERO], 0),4)</f>
        <v/>
      </c>
      <c r="E1345">
        <f>INDEX(Tableau1[], MATCH(Tableau3[[#This Row],[REFERENCE]], Tableau1[NUMERO], 0), 5)</f>
        <v/>
      </c>
      <c r="H1345" t="inlineStr">
        <is>
          <t>UFP</t>
        </is>
      </c>
      <c r="J1345" s="2" t="n">
        <v>44148</v>
      </c>
      <c r="K1345" s="2" t="n">
        <v>44152</v>
      </c>
      <c r="L1345" s="2" t="n"/>
      <c r="M1345" s="21" t="inlineStr">
        <is>
          <t>01</t>
        </is>
      </c>
      <c r="N1345" s="35" t="n">
        <v>10</v>
      </c>
      <c r="O1345" s="7" t="n">
        <v>18.5</v>
      </c>
      <c r="P1345" s="8" t="inlineStr">
        <is>
          <t>10 jours</t>
        </is>
      </c>
      <c r="Q1345" s="2" t="n">
        <v>43878</v>
      </c>
    </row>
    <row r="1346">
      <c r="A1346" s="13" t="n">
        <v>34408935</v>
      </c>
      <c r="B1346" s="2">
        <f>INDEX(Tableau1[], MATCH(Tableau3[[#This Row],[REFERENCE]], Tableau1[NUMERO], 0), 2)</f>
        <v/>
      </c>
      <c r="C1346">
        <f>INDEX(Tableau1[], MATCH(Tableau3[[#This Row],[REFERENCE]], Tableau1[NUMERO], 0), 3)</f>
        <v/>
      </c>
      <c r="D1346">
        <f>INDEX(Tableau1[], MATCH(Tableau3[[#This Row],[REFERENCE]], Tableau1[NUMERO], 0),4)</f>
        <v/>
      </c>
      <c r="E1346">
        <f>INDEX(Tableau1[], MATCH(Tableau3[[#This Row],[REFERENCE]], Tableau1[NUMERO], 0), 5)</f>
        <v/>
      </c>
      <c r="H1346" t="inlineStr">
        <is>
          <t>UFP</t>
        </is>
      </c>
      <c r="J1346" s="2" t="n">
        <v>44148</v>
      </c>
      <c r="K1346" s="2" t="n">
        <v>44152</v>
      </c>
      <c r="L1346" s="2" t="n"/>
      <c r="M1346" s="21" t="inlineStr">
        <is>
          <t>01</t>
        </is>
      </c>
      <c r="N1346" s="35" t="n">
        <v>10</v>
      </c>
      <c r="O1346" s="7" t="n">
        <v>14.1</v>
      </c>
      <c r="P1346" s="8" t="inlineStr">
        <is>
          <t>10 jours</t>
        </is>
      </c>
      <c r="Q1346" s="2" t="n">
        <v>43878</v>
      </c>
    </row>
    <row r="1347">
      <c r="A1347" s="13" t="n">
        <v>34408936</v>
      </c>
      <c r="B1347" s="2">
        <f>INDEX(Tableau1[], MATCH(Tableau3[[#This Row],[REFERENCE]], Tableau1[NUMERO], 0), 2)</f>
        <v/>
      </c>
      <c r="C1347">
        <f>INDEX(Tableau1[], MATCH(Tableau3[[#This Row],[REFERENCE]], Tableau1[NUMERO], 0), 3)</f>
        <v/>
      </c>
      <c r="D1347">
        <f>INDEX(Tableau1[], MATCH(Tableau3[[#This Row],[REFERENCE]], Tableau1[NUMERO], 0),4)</f>
        <v/>
      </c>
      <c r="E1347">
        <f>INDEX(Tableau1[], MATCH(Tableau3[[#This Row],[REFERENCE]], Tableau1[NUMERO], 0), 5)</f>
        <v/>
      </c>
      <c r="H1347" t="inlineStr">
        <is>
          <t>UFP</t>
        </is>
      </c>
      <c r="J1347" s="2" t="n">
        <v>44148</v>
      </c>
      <c r="K1347" s="2" t="n">
        <v>44152</v>
      </c>
      <c r="L1347" s="2" t="n"/>
      <c r="M1347" s="21" t="inlineStr">
        <is>
          <t>01</t>
        </is>
      </c>
      <c r="N1347" s="35" t="n">
        <v>10</v>
      </c>
      <c r="O1347" s="7" t="n">
        <v>7.5</v>
      </c>
      <c r="P1347" s="8" t="inlineStr">
        <is>
          <t>10 jours</t>
        </is>
      </c>
      <c r="Q1347" s="2" t="n">
        <v>43878</v>
      </c>
    </row>
    <row r="1348">
      <c r="A1348" s="13" t="n">
        <v>34408938</v>
      </c>
      <c r="B1348" s="2">
        <f>INDEX(Tableau1[], MATCH(Tableau3[[#This Row],[REFERENCE]], Tableau1[NUMERO], 0), 2)</f>
        <v/>
      </c>
      <c r="C1348">
        <f>INDEX(Tableau1[], MATCH(Tableau3[[#This Row],[REFERENCE]], Tableau1[NUMERO], 0), 3)</f>
        <v/>
      </c>
      <c r="D1348">
        <f>INDEX(Tableau1[], MATCH(Tableau3[[#This Row],[REFERENCE]], Tableau1[NUMERO], 0),4)</f>
        <v/>
      </c>
      <c r="E1348">
        <f>INDEX(Tableau1[], MATCH(Tableau3[[#This Row],[REFERENCE]], Tableau1[NUMERO], 0), 5)</f>
        <v/>
      </c>
      <c r="H1348" t="inlineStr">
        <is>
          <t>UFP</t>
        </is>
      </c>
      <c r="J1348" s="2" t="n">
        <v>44148</v>
      </c>
      <c r="K1348" s="2" t="n">
        <v>44152</v>
      </c>
      <c r="L1348" s="2" t="n"/>
      <c r="M1348" s="21" t="inlineStr">
        <is>
          <t>01</t>
        </is>
      </c>
      <c r="N1348" s="35" t="n">
        <v>10</v>
      </c>
      <c r="O1348" s="7" t="n">
        <v>14</v>
      </c>
      <c r="P1348" s="8" t="inlineStr">
        <is>
          <t>10 jours</t>
        </is>
      </c>
      <c r="Q1348" s="2" t="n">
        <v>43878</v>
      </c>
    </row>
    <row r="1349">
      <c r="A1349" s="13" t="n">
        <v>34408940</v>
      </c>
      <c r="B1349" s="2">
        <f>INDEX(Tableau1[], MATCH(Tableau3[[#This Row],[REFERENCE]], Tableau1[NUMERO], 0), 2)</f>
        <v/>
      </c>
      <c r="C1349">
        <f>INDEX(Tableau1[], MATCH(Tableau3[[#This Row],[REFERENCE]], Tableau1[NUMERO], 0), 3)</f>
        <v/>
      </c>
      <c r="D1349">
        <f>INDEX(Tableau1[], MATCH(Tableau3[[#This Row],[REFERENCE]], Tableau1[NUMERO], 0),4)</f>
        <v/>
      </c>
      <c r="E1349">
        <f>INDEX(Tableau1[], MATCH(Tableau3[[#This Row],[REFERENCE]], Tableau1[NUMERO], 0), 5)</f>
        <v/>
      </c>
      <c r="H1349" t="inlineStr">
        <is>
          <t>UFP</t>
        </is>
      </c>
      <c r="J1349" s="2" t="n">
        <v>44148</v>
      </c>
      <c r="K1349" s="2" t="n">
        <v>44152</v>
      </c>
      <c r="L1349" s="2" t="n"/>
      <c r="M1349" s="21" t="inlineStr">
        <is>
          <t>01</t>
        </is>
      </c>
      <c r="N1349" s="35" t="n">
        <v>10</v>
      </c>
      <c r="O1349" s="7" t="n">
        <v>12.15</v>
      </c>
      <c r="P1349" s="8" t="inlineStr">
        <is>
          <t>10 jours</t>
        </is>
      </c>
      <c r="Q1349" s="2" t="n">
        <v>43878</v>
      </c>
    </row>
    <row r="1350">
      <c r="A1350" s="13" t="n">
        <v>34408883</v>
      </c>
      <c r="B1350" s="2">
        <f>INDEX(Tableau1[], MATCH(Tableau3[[#This Row],[REFERENCE]], Tableau1[NUMERO], 0), 2)</f>
        <v/>
      </c>
      <c r="C1350">
        <f>INDEX(Tableau1[], MATCH(Tableau3[[#This Row],[REFERENCE]], Tableau1[NUMERO], 0), 3)</f>
        <v/>
      </c>
      <c r="D1350">
        <f>INDEX(Tableau1[], MATCH(Tableau3[[#This Row],[REFERENCE]], Tableau1[NUMERO], 0),4)</f>
        <v/>
      </c>
      <c r="E1350">
        <f>INDEX(Tableau1[], MATCH(Tableau3[[#This Row],[REFERENCE]], Tableau1[NUMERO], 0), 5)</f>
        <v/>
      </c>
      <c r="H1350" t="inlineStr">
        <is>
          <t>UFP</t>
        </is>
      </c>
      <c r="J1350" s="2" t="n">
        <v>44148</v>
      </c>
      <c r="K1350" s="2" t="n">
        <v>44152</v>
      </c>
      <c r="L1350" s="2" t="n"/>
      <c r="M1350" s="21" t="inlineStr">
        <is>
          <t>01</t>
        </is>
      </c>
      <c r="N1350" s="35" t="n">
        <v>20</v>
      </c>
      <c r="O1350" s="7" t="n">
        <v>15.6</v>
      </c>
      <c r="P1350" s="8" t="inlineStr">
        <is>
          <t>10 jours</t>
        </is>
      </c>
      <c r="Q1350" s="2" t="n">
        <v>43878</v>
      </c>
    </row>
    <row r="1351">
      <c r="A1351" s="13" t="n">
        <v>34408897</v>
      </c>
      <c r="B1351" s="2">
        <f>INDEX(Tableau1[], MATCH(Tableau3[[#This Row],[REFERENCE]], Tableau1[NUMERO], 0), 2)</f>
        <v/>
      </c>
      <c r="C1351">
        <f>INDEX(Tableau1[], MATCH(Tableau3[[#This Row],[REFERENCE]], Tableau1[NUMERO], 0), 3)</f>
        <v/>
      </c>
      <c r="D1351">
        <f>INDEX(Tableau1[], MATCH(Tableau3[[#This Row],[REFERENCE]], Tableau1[NUMERO], 0),4)</f>
        <v/>
      </c>
      <c r="E1351">
        <f>INDEX(Tableau1[], MATCH(Tableau3[[#This Row],[REFERENCE]], Tableau1[NUMERO], 0), 5)</f>
        <v/>
      </c>
      <c r="H1351" t="inlineStr">
        <is>
          <t>UFP</t>
        </is>
      </c>
      <c r="J1351" s="2" t="n">
        <v>44148</v>
      </c>
      <c r="K1351" s="2" t="n">
        <v>44152</v>
      </c>
      <c r="L1351" s="2" t="n"/>
      <c r="M1351" s="21" t="inlineStr">
        <is>
          <t>01</t>
        </is>
      </c>
      <c r="N1351" s="35" t="n">
        <v>20</v>
      </c>
      <c r="O1351" s="7" t="n">
        <v>15.6</v>
      </c>
      <c r="P1351" s="8" t="inlineStr">
        <is>
          <t>10 jours</t>
        </is>
      </c>
      <c r="Q1351" s="2" t="n">
        <v>43878</v>
      </c>
    </row>
    <row r="1352">
      <c r="A1352" s="13" t="n">
        <v>34408934</v>
      </c>
      <c r="B1352" s="2">
        <f>INDEX(Tableau1[], MATCH(Tableau3[[#This Row],[REFERENCE]], Tableau1[NUMERO], 0), 2)</f>
        <v/>
      </c>
      <c r="C1352">
        <f>INDEX(Tableau1[], MATCH(Tableau3[[#This Row],[REFERENCE]], Tableau1[NUMERO], 0), 3)</f>
        <v/>
      </c>
      <c r="D1352">
        <f>INDEX(Tableau1[], MATCH(Tableau3[[#This Row],[REFERENCE]], Tableau1[NUMERO], 0),4)</f>
        <v/>
      </c>
      <c r="E1352">
        <f>INDEX(Tableau1[], MATCH(Tableau3[[#This Row],[REFERENCE]], Tableau1[NUMERO], 0), 5)</f>
        <v/>
      </c>
      <c r="H1352" t="inlineStr">
        <is>
          <t>UFP</t>
        </is>
      </c>
      <c r="J1352" s="2" t="n">
        <v>44148</v>
      </c>
      <c r="K1352" s="2" t="n">
        <v>44152</v>
      </c>
      <c r="L1352" s="2" t="n"/>
      <c r="M1352" s="21" t="inlineStr">
        <is>
          <t>01</t>
        </is>
      </c>
      <c r="N1352" s="35" t="n">
        <v>20</v>
      </c>
      <c r="O1352" s="7" t="n">
        <v>15.6</v>
      </c>
      <c r="P1352" s="8" t="inlineStr">
        <is>
          <t>10 jours</t>
        </is>
      </c>
      <c r="Q1352" s="2" t="n">
        <v>43878</v>
      </c>
    </row>
    <row r="1353">
      <c r="A1353" s="13" t="n">
        <v>34408935</v>
      </c>
      <c r="B1353" s="2">
        <f>INDEX(Tableau1[], MATCH(Tableau3[[#This Row],[REFERENCE]], Tableau1[NUMERO], 0), 2)</f>
        <v/>
      </c>
      <c r="C1353">
        <f>INDEX(Tableau1[], MATCH(Tableau3[[#This Row],[REFERENCE]], Tableau1[NUMERO], 0), 3)</f>
        <v/>
      </c>
      <c r="D1353">
        <f>INDEX(Tableau1[], MATCH(Tableau3[[#This Row],[REFERENCE]], Tableau1[NUMERO], 0),4)</f>
        <v/>
      </c>
      <c r="E1353">
        <f>INDEX(Tableau1[], MATCH(Tableau3[[#This Row],[REFERENCE]], Tableau1[NUMERO], 0), 5)</f>
        <v/>
      </c>
      <c r="H1353" t="inlineStr">
        <is>
          <t>UFP</t>
        </is>
      </c>
      <c r="J1353" s="2" t="n">
        <v>44148</v>
      </c>
      <c r="K1353" s="2" t="n">
        <v>44152</v>
      </c>
      <c r="L1353" s="2" t="n"/>
      <c r="M1353" s="21" t="inlineStr">
        <is>
          <t>01</t>
        </is>
      </c>
      <c r="N1353" s="35" t="n">
        <v>20</v>
      </c>
      <c r="O1353" s="7" t="n">
        <v>11.8</v>
      </c>
      <c r="P1353" s="8" t="inlineStr">
        <is>
          <t>10 jours</t>
        </is>
      </c>
      <c r="Q1353" s="2" t="n">
        <v>43878</v>
      </c>
    </row>
    <row r="1354">
      <c r="A1354" s="13" t="n">
        <v>34408936</v>
      </c>
      <c r="B1354" s="2">
        <f>INDEX(Tableau1[], MATCH(Tableau3[[#This Row],[REFERENCE]], Tableau1[NUMERO], 0), 2)</f>
        <v/>
      </c>
      <c r="C1354">
        <f>INDEX(Tableau1[], MATCH(Tableau3[[#This Row],[REFERENCE]], Tableau1[NUMERO], 0), 3)</f>
        <v/>
      </c>
      <c r="D1354">
        <f>INDEX(Tableau1[], MATCH(Tableau3[[#This Row],[REFERENCE]], Tableau1[NUMERO], 0),4)</f>
        <v/>
      </c>
      <c r="E1354">
        <f>INDEX(Tableau1[], MATCH(Tableau3[[#This Row],[REFERENCE]], Tableau1[NUMERO], 0), 5)</f>
        <v/>
      </c>
      <c r="H1354" t="inlineStr">
        <is>
          <t>UFP</t>
        </is>
      </c>
      <c r="J1354" s="2" t="n">
        <v>44148</v>
      </c>
      <c r="K1354" s="2" t="n">
        <v>44152</v>
      </c>
      <c r="L1354" s="2" t="n"/>
      <c r="M1354" s="21" t="inlineStr">
        <is>
          <t>01</t>
        </is>
      </c>
      <c r="N1354" s="35" t="n">
        <v>20</v>
      </c>
      <c r="O1354" s="7" t="n">
        <v>6.15</v>
      </c>
      <c r="P1354" s="8" t="inlineStr">
        <is>
          <t>10 jours</t>
        </is>
      </c>
      <c r="Q1354" s="2" t="n">
        <v>43878</v>
      </c>
    </row>
    <row r="1355">
      <c r="A1355" s="13" t="n">
        <v>34408938</v>
      </c>
      <c r="B1355" s="2">
        <f>INDEX(Tableau1[], MATCH(Tableau3[[#This Row],[REFERENCE]], Tableau1[NUMERO], 0), 2)</f>
        <v/>
      </c>
      <c r="C1355">
        <f>INDEX(Tableau1[], MATCH(Tableau3[[#This Row],[REFERENCE]], Tableau1[NUMERO], 0), 3)</f>
        <v/>
      </c>
      <c r="D1355">
        <f>INDEX(Tableau1[], MATCH(Tableau3[[#This Row],[REFERENCE]], Tableau1[NUMERO], 0),4)</f>
        <v/>
      </c>
      <c r="E1355">
        <f>INDEX(Tableau1[], MATCH(Tableau3[[#This Row],[REFERENCE]], Tableau1[NUMERO], 0), 5)</f>
        <v/>
      </c>
      <c r="H1355" t="inlineStr">
        <is>
          <t>UFP</t>
        </is>
      </c>
      <c r="J1355" s="2" t="n">
        <v>44148</v>
      </c>
      <c r="K1355" s="2" t="n">
        <v>44152</v>
      </c>
      <c r="L1355" s="2" t="n"/>
      <c r="M1355" s="21" t="inlineStr">
        <is>
          <t>01</t>
        </is>
      </c>
      <c r="N1355" s="35" t="n">
        <v>20</v>
      </c>
      <c r="O1355" s="7" t="n">
        <v>11.7</v>
      </c>
      <c r="P1355" s="8" t="inlineStr">
        <is>
          <t>10 jours</t>
        </is>
      </c>
      <c r="Q1355" s="2" t="n">
        <v>43878</v>
      </c>
    </row>
    <row r="1356" ht="15.75" customFormat="1" customHeight="1" s="58" thickBot="1">
      <c r="A1356" s="105" t="n">
        <v>34408940</v>
      </c>
      <c r="B1356" s="57">
        <f>INDEX(Tableau1[], MATCH(Tableau3[[#This Row],[REFERENCE]], Tableau1[NUMERO], 0), 2)</f>
        <v/>
      </c>
      <c r="C1356" s="58">
        <f>INDEX(Tableau1[], MATCH(Tableau3[[#This Row],[REFERENCE]], Tableau1[NUMERO], 0), 3)</f>
        <v/>
      </c>
      <c r="D1356" s="58">
        <f>INDEX(Tableau1[], MATCH(Tableau3[[#This Row],[REFERENCE]], Tableau1[NUMERO], 0),4)</f>
        <v/>
      </c>
      <c r="E1356" s="58">
        <f>INDEX(Tableau1[], MATCH(Tableau3[[#This Row],[REFERENCE]], Tableau1[NUMERO], 0), 5)</f>
        <v/>
      </c>
      <c r="H1356" s="58" t="inlineStr">
        <is>
          <t>UFP</t>
        </is>
      </c>
      <c r="I1356" s="56" t="n"/>
      <c r="J1356" s="57" t="n">
        <v>44148</v>
      </c>
      <c r="K1356" s="57" t="n">
        <v>44152</v>
      </c>
      <c r="L1356" s="57" t="n"/>
      <c r="M1356" s="59" t="inlineStr">
        <is>
          <t>01</t>
        </is>
      </c>
      <c r="N1356" s="60" t="n">
        <v>20</v>
      </c>
      <c r="O1356" s="61" t="n">
        <v>10.05</v>
      </c>
      <c r="P1356" s="56" t="inlineStr">
        <is>
          <t>10 jours</t>
        </is>
      </c>
      <c r="Q1356" s="57" t="n">
        <v>43878</v>
      </c>
    </row>
    <row r="1357" ht="15.75" customFormat="1" customHeight="1" s="52" thickTop="1">
      <c r="A1357" s="104" t="n">
        <v>34408883</v>
      </c>
      <c r="B1357" s="51">
        <f>INDEX(Tableau1[], MATCH(Tableau3[[#This Row],[REFERENCE]], Tableau1[NUMERO], 0), 2)</f>
        <v/>
      </c>
      <c r="C1357" s="52">
        <f>INDEX(Tableau1[], MATCH(Tableau3[[#This Row],[REFERENCE]], Tableau1[NUMERO], 0), 3)</f>
        <v/>
      </c>
      <c r="D1357" s="52">
        <f>INDEX(Tableau1[], MATCH(Tableau3[[#This Row],[REFERENCE]], Tableau1[NUMERO], 0),4)</f>
        <v/>
      </c>
      <c r="E1357" s="52">
        <f>INDEX(Tableau1[], MATCH(Tableau3[[#This Row],[REFERENCE]], Tableau1[NUMERO], 0), 5)</f>
        <v/>
      </c>
      <c r="H1357" s="52" t="inlineStr">
        <is>
          <t>PIT</t>
        </is>
      </c>
      <c r="I1357" s="50" t="n"/>
      <c r="J1357" s="51" t="n">
        <v>44148</v>
      </c>
      <c r="K1357" s="51" t="n">
        <v>44151</v>
      </c>
      <c r="L1357" s="51" t="n"/>
      <c r="M1357" s="53" t="inlineStr">
        <is>
          <t>01</t>
        </is>
      </c>
      <c r="N1357" s="54" t="n">
        <v>1</v>
      </c>
      <c r="O1357" s="55" t="inlineStr">
        <is>
          <t>pas d'offre</t>
        </is>
      </c>
      <c r="P1357" s="50" t="n"/>
      <c r="Q1357" s="51" t="n"/>
    </row>
    <row r="1358">
      <c r="A1358" s="13" t="n">
        <v>34408897</v>
      </c>
      <c r="B1358" s="2">
        <f>INDEX(Tableau1[], MATCH(Tableau3[[#This Row],[REFERENCE]], Tableau1[NUMERO], 0), 2)</f>
        <v/>
      </c>
      <c r="C1358">
        <f>INDEX(Tableau1[], MATCH(Tableau3[[#This Row],[REFERENCE]], Tableau1[NUMERO], 0), 3)</f>
        <v/>
      </c>
      <c r="D1358">
        <f>INDEX(Tableau1[], MATCH(Tableau3[[#This Row],[REFERENCE]], Tableau1[NUMERO], 0),4)</f>
        <v/>
      </c>
      <c r="E1358">
        <f>INDEX(Tableau1[], MATCH(Tableau3[[#This Row],[REFERENCE]], Tableau1[NUMERO], 0), 5)</f>
        <v/>
      </c>
      <c r="H1358" t="inlineStr">
        <is>
          <t>PIT</t>
        </is>
      </c>
      <c r="J1358" s="2" t="n">
        <v>44148</v>
      </c>
      <c r="K1358" s="2" t="n">
        <v>44151</v>
      </c>
      <c r="L1358" s="2" t="n"/>
      <c r="M1358" s="21" t="inlineStr">
        <is>
          <t>01</t>
        </is>
      </c>
      <c r="N1358" s="35" t="n">
        <v>1</v>
      </c>
      <c r="O1358" s="7" t="inlineStr">
        <is>
          <t>pas d'offre</t>
        </is>
      </c>
      <c r="P1358" s="8" t="n"/>
      <c r="Q1358" s="2" t="n"/>
    </row>
    <row r="1359">
      <c r="A1359" s="13" t="n">
        <v>34408934</v>
      </c>
      <c r="B1359" s="2">
        <f>INDEX(Tableau1[], MATCH(Tableau3[[#This Row],[REFERENCE]], Tableau1[NUMERO], 0), 2)</f>
        <v/>
      </c>
      <c r="C1359">
        <f>INDEX(Tableau1[], MATCH(Tableau3[[#This Row],[REFERENCE]], Tableau1[NUMERO], 0), 3)</f>
        <v/>
      </c>
      <c r="D1359">
        <f>INDEX(Tableau1[], MATCH(Tableau3[[#This Row],[REFERENCE]], Tableau1[NUMERO], 0),4)</f>
        <v/>
      </c>
      <c r="E1359">
        <f>INDEX(Tableau1[], MATCH(Tableau3[[#This Row],[REFERENCE]], Tableau1[NUMERO], 0), 5)</f>
        <v/>
      </c>
      <c r="H1359" t="inlineStr">
        <is>
          <t>PIT</t>
        </is>
      </c>
      <c r="J1359" s="2" t="n">
        <v>44148</v>
      </c>
      <c r="K1359" s="2" t="n">
        <v>44151</v>
      </c>
      <c r="L1359" s="2" t="n"/>
      <c r="M1359" s="21" t="inlineStr">
        <is>
          <t>01</t>
        </is>
      </c>
      <c r="N1359" s="35" t="n">
        <v>1</v>
      </c>
      <c r="O1359" s="7" t="inlineStr">
        <is>
          <t>pas d'offre</t>
        </is>
      </c>
      <c r="P1359" s="8" t="n"/>
      <c r="Q1359" s="2" t="n"/>
    </row>
    <row r="1360">
      <c r="A1360" s="13" t="n">
        <v>34408935</v>
      </c>
      <c r="B1360" s="2">
        <f>INDEX(Tableau1[], MATCH(Tableau3[[#This Row],[REFERENCE]], Tableau1[NUMERO], 0), 2)</f>
        <v/>
      </c>
      <c r="C1360">
        <f>INDEX(Tableau1[], MATCH(Tableau3[[#This Row],[REFERENCE]], Tableau1[NUMERO], 0), 3)</f>
        <v/>
      </c>
      <c r="D1360">
        <f>INDEX(Tableau1[], MATCH(Tableau3[[#This Row],[REFERENCE]], Tableau1[NUMERO], 0),4)</f>
        <v/>
      </c>
      <c r="E1360">
        <f>INDEX(Tableau1[], MATCH(Tableau3[[#This Row],[REFERENCE]], Tableau1[NUMERO], 0), 5)</f>
        <v/>
      </c>
      <c r="H1360" t="inlineStr">
        <is>
          <t>PIT</t>
        </is>
      </c>
      <c r="J1360" s="2" t="n">
        <v>44148</v>
      </c>
      <c r="K1360" s="2" t="n">
        <v>44151</v>
      </c>
      <c r="L1360" s="2" t="n"/>
      <c r="M1360" s="21" t="inlineStr">
        <is>
          <t>01</t>
        </is>
      </c>
      <c r="N1360" s="35" t="n">
        <v>1</v>
      </c>
      <c r="O1360" s="7" t="inlineStr">
        <is>
          <t>pas d'offre</t>
        </is>
      </c>
      <c r="P1360" s="8" t="n"/>
      <c r="Q1360" s="2" t="n"/>
    </row>
    <row r="1361">
      <c r="A1361" s="13" t="n">
        <v>34408936</v>
      </c>
      <c r="B1361" s="2">
        <f>INDEX(Tableau1[], MATCH(Tableau3[[#This Row],[REFERENCE]], Tableau1[NUMERO], 0), 2)</f>
        <v/>
      </c>
      <c r="C1361">
        <f>INDEX(Tableau1[], MATCH(Tableau3[[#This Row],[REFERENCE]], Tableau1[NUMERO], 0), 3)</f>
        <v/>
      </c>
      <c r="D1361">
        <f>INDEX(Tableau1[], MATCH(Tableau3[[#This Row],[REFERENCE]], Tableau1[NUMERO], 0),4)</f>
        <v/>
      </c>
      <c r="E1361">
        <f>INDEX(Tableau1[], MATCH(Tableau3[[#This Row],[REFERENCE]], Tableau1[NUMERO], 0), 5)</f>
        <v/>
      </c>
      <c r="H1361" t="inlineStr">
        <is>
          <t>PIT</t>
        </is>
      </c>
      <c r="J1361" s="2" t="n">
        <v>44148</v>
      </c>
      <c r="K1361" s="2" t="n">
        <v>44151</v>
      </c>
      <c r="L1361" s="2" t="n"/>
      <c r="M1361" s="21" t="inlineStr">
        <is>
          <t>01</t>
        </is>
      </c>
      <c r="N1361" s="35" t="n">
        <v>1</v>
      </c>
      <c r="O1361" s="7" t="inlineStr">
        <is>
          <t>pas d'offre</t>
        </is>
      </c>
      <c r="P1361" s="8" t="n"/>
      <c r="Q1361" s="2" t="n"/>
    </row>
    <row r="1362">
      <c r="A1362" s="13" t="n">
        <v>34408938</v>
      </c>
      <c r="B1362" s="2">
        <f>INDEX(Tableau1[], MATCH(Tableau3[[#This Row],[REFERENCE]], Tableau1[NUMERO], 0), 2)</f>
        <v/>
      </c>
      <c r="C1362">
        <f>INDEX(Tableau1[], MATCH(Tableau3[[#This Row],[REFERENCE]], Tableau1[NUMERO], 0), 3)</f>
        <v/>
      </c>
      <c r="D1362">
        <f>INDEX(Tableau1[], MATCH(Tableau3[[#This Row],[REFERENCE]], Tableau1[NUMERO], 0),4)</f>
        <v/>
      </c>
      <c r="E1362">
        <f>INDEX(Tableau1[], MATCH(Tableau3[[#This Row],[REFERENCE]], Tableau1[NUMERO], 0), 5)</f>
        <v/>
      </c>
      <c r="H1362" t="inlineStr">
        <is>
          <t>PIT</t>
        </is>
      </c>
      <c r="J1362" s="2" t="n">
        <v>44148</v>
      </c>
      <c r="K1362" s="2" t="n">
        <v>44151</v>
      </c>
      <c r="L1362" s="2" t="n"/>
      <c r="M1362" s="21" t="inlineStr">
        <is>
          <t>01</t>
        </is>
      </c>
      <c r="N1362" s="35" t="n">
        <v>1</v>
      </c>
      <c r="O1362" s="7" t="inlineStr">
        <is>
          <t>pas d'offre</t>
        </is>
      </c>
      <c r="P1362" s="8" t="n"/>
      <c r="Q1362" s="2" t="n"/>
    </row>
    <row r="1363">
      <c r="A1363" s="13" t="n">
        <v>34408940</v>
      </c>
      <c r="B1363" s="2">
        <f>INDEX(Tableau1[], MATCH(Tableau3[[#This Row],[REFERENCE]], Tableau1[NUMERO], 0), 2)</f>
        <v/>
      </c>
      <c r="C1363">
        <f>INDEX(Tableau1[], MATCH(Tableau3[[#This Row],[REFERENCE]], Tableau1[NUMERO], 0), 3)</f>
        <v/>
      </c>
      <c r="D1363">
        <f>INDEX(Tableau1[], MATCH(Tableau3[[#This Row],[REFERENCE]], Tableau1[NUMERO], 0),4)</f>
        <v/>
      </c>
      <c r="E1363">
        <f>INDEX(Tableau1[], MATCH(Tableau3[[#This Row],[REFERENCE]], Tableau1[NUMERO], 0), 5)</f>
        <v/>
      </c>
      <c r="H1363" t="inlineStr">
        <is>
          <t>PIT</t>
        </is>
      </c>
      <c r="J1363" s="2" t="n">
        <v>44148</v>
      </c>
      <c r="K1363" s="2" t="n">
        <v>44151</v>
      </c>
      <c r="L1363" s="2" t="n"/>
      <c r="M1363" s="21" t="inlineStr">
        <is>
          <t>01</t>
        </is>
      </c>
      <c r="N1363" s="35" t="n">
        <v>1</v>
      </c>
      <c r="O1363" s="7" t="inlineStr">
        <is>
          <t>pas d'offre</t>
        </is>
      </c>
      <c r="P1363" s="8" t="n"/>
      <c r="Q1363" s="2" t="n"/>
    </row>
    <row r="1364">
      <c r="A1364" s="13" t="n">
        <v>34408883</v>
      </c>
      <c r="B1364" s="2">
        <f>INDEX(Tableau1[], MATCH(Tableau3[[#This Row],[REFERENCE]], Tableau1[NUMERO], 0), 2)</f>
        <v/>
      </c>
      <c r="C1364">
        <f>INDEX(Tableau1[], MATCH(Tableau3[[#This Row],[REFERENCE]], Tableau1[NUMERO], 0), 3)</f>
        <v/>
      </c>
      <c r="D1364">
        <f>INDEX(Tableau1[], MATCH(Tableau3[[#This Row],[REFERENCE]], Tableau1[NUMERO], 0),4)</f>
        <v/>
      </c>
      <c r="E1364">
        <f>INDEX(Tableau1[], MATCH(Tableau3[[#This Row],[REFERENCE]], Tableau1[NUMERO], 0), 5)</f>
        <v/>
      </c>
      <c r="H1364" t="inlineStr">
        <is>
          <t>PIT</t>
        </is>
      </c>
      <c r="J1364" s="2" t="n">
        <v>44148</v>
      </c>
      <c r="K1364" s="2" t="n">
        <v>44151</v>
      </c>
      <c r="L1364" s="2" t="n"/>
      <c r="M1364" s="21" t="inlineStr">
        <is>
          <t>01</t>
        </is>
      </c>
      <c r="N1364" s="35" t="n">
        <v>5</v>
      </c>
      <c r="O1364" s="7" t="inlineStr">
        <is>
          <t>pas d'offre</t>
        </is>
      </c>
      <c r="P1364" s="8" t="n"/>
      <c r="Q1364" s="2" t="n"/>
    </row>
    <row r="1365">
      <c r="A1365" s="13" t="n">
        <v>34408897</v>
      </c>
      <c r="B1365" s="2">
        <f>INDEX(Tableau1[], MATCH(Tableau3[[#This Row],[REFERENCE]], Tableau1[NUMERO], 0), 2)</f>
        <v/>
      </c>
      <c r="C1365">
        <f>INDEX(Tableau1[], MATCH(Tableau3[[#This Row],[REFERENCE]], Tableau1[NUMERO], 0), 3)</f>
        <v/>
      </c>
      <c r="D1365">
        <f>INDEX(Tableau1[], MATCH(Tableau3[[#This Row],[REFERENCE]], Tableau1[NUMERO], 0),4)</f>
        <v/>
      </c>
      <c r="E1365">
        <f>INDEX(Tableau1[], MATCH(Tableau3[[#This Row],[REFERENCE]], Tableau1[NUMERO], 0), 5)</f>
        <v/>
      </c>
      <c r="H1365" t="inlineStr">
        <is>
          <t>PIT</t>
        </is>
      </c>
      <c r="J1365" s="2" t="n">
        <v>44148</v>
      </c>
      <c r="K1365" s="2" t="n">
        <v>44151</v>
      </c>
      <c r="L1365" s="2" t="n"/>
      <c r="M1365" s="21" t="inlineStr">
        <is>
          <t>01</t>
        </is>
      </c>
      <c r="N1365" s="35" t="n">
        <v>5</v>
      </c>
      <c r="O1365" s="7" t="inlineStr">
        <is>
          <t>pas d'offre</t>
        </is>
      </c>
      <c r="P1365" s="8" t="n"/>
      <c r="Q1365" s="2" t="n"/>
    </row>
    <row r="1366">
      <c r="A1366" s="13" t="n">
        <v>34408934</v>
      </c>
      <c r="B1366" s="2">
        <f>INDEX(Tableau1[], MATCH(Tableau3[[#This Row],[REFERENCE]], Tableau1[NUMERO], 0), 2)</f>
        <v/>
      </c>
      <c r="C1366">
        <f>INDEX(Tableau1[], MATCH(Tableau3[[#This Row],[REFERENCE]], Tableau1[NUMERO], 0), 3)</f>
        <v/>
      </c>
      <c r="D1366">
        <f>INDEX(Tableau1[], MATCH(Tableau3[[#This Row],[REFERENCE]], Tableau1[NUMERO], 0),4)</f>
        <v/>
      </c>
      <c r="E1366">
        <f>INDEX(Tableau1[], MATCH(Tableau3[[#This Row],[REFERENCE]], Tableau1[NUMERO], 0), 5)</f>
        <v/>
      </c>
      <c r="H1366" t="inlineStr">
        <is>
          <t>PIT</t>
        </is>
      </c>
      <c r="J1366" s="2" t="n">
        <v>44148</v>
      </c>
      <c r="K1366" s="2" t="n">
        <v>44151</v>
      </c>
      <c r="L1366" s="2" t="n"/>
      <c r="M1366" s="21" t="inlineStr">
        <is>
          <t>01</t>
        </is>
      </c>
      <c r="N1366" s="35" t="n">
        <v>5</v>
      </c>
      <c r="O1366" s="7" t="inlineStr">
        <is>
          <t>pas d'offre</t>
        </is>
      </c>
      <c r="P1366" s="8" t="n"/>
      <c r="Q1366" s="2" t="n"/>
    </row>
    <row r="1367">
      <c r="A1367" s="13" t="n">
        <v>34408935</v>
      </c>
      <c r="B1367" s="2">
        <f>INDEX(Tableau1[], MATCH(Tableau3[[#This Row],[REFERENCE]], Tableau1[NUMERO], 0), 2)</f>
        <v/>
      </c>
      <c r="C1367">
        <f>INDEX(Tableau1[], MATCH(Tableau3[[#This Row],[REFERENCE]], Tableau1[NUMERO], 0), 3)</f>
        <v/>
      </c>
      <c r="D1367">
        <f>INDEX(Tableau1[], MATCH(Tableau3[[#This Row],[REFERENCE]], Tableau1[NUMERO], 0),4)</f>
        <v/>
      </c>
      <c r="E1367">
        <f>INDEX(Tableau1[], MATCH(Tableau3[[#This Row],[REFERENCE]], Tableau1[NUMERO], 0), 5)</f>
        <v/>
      </c>
      <c r="H1367" t="inlineStr">
        <is>
          <t>PIT</t>
        </is>
      </c>
      <c r="J1367" s="2" t="n">
        <v>44148</v>
      </c>
      <c r="K1367" s="2" t="n">
        <v>44151</v>
      </c>
      <c r="L1367" s="2" t="n"/>
      <c r="M1367" s="21" t="inlineStr">
        <is>
          <t>01</t>
        </is>
      </c>
      <c r="N1367" s="35" t="n">
        <v>5</v>
      </c>
      <c r="O1367" s="7" t="inlineStr">
        <is>
          <t>pas d'offre</t>
        </is>
      </c>
      <c r="P1367" s="8" t="n"/>
      <c r="Q1367" s="2" t="n"/>
    </row>
    <row r="1368">
      <c r="A1368" s="13" t="n">
        <v>34408936</v>
      </c>
      <c r="B1368" s="2">
        <f>INDEX(Tableau1[], MATCH(Tableau3[[#This Row],[REFERENCE]], Tableau1[NUMERO], 0), 2)</f>
        <v/>
      </c>
      <c r="C1368">
        <f>INDEX(Tableau1[], MATCH(Tableau3[[#This Row],[REFERENCE]], Tableau1[NUMERO], 0), 3)</f>
        <v/>
      </c>
      <c r="D1368">
        <f>INDEX(Tableau1[], MATCH(Tableau3[[#This Row],[REFERENCE]], Tableau1[NUMERO], 0),4)</f>
        <v/>
      </c>
      <c r="E1368">
        <f>INDEX(Tableau1[], MATCH(Tableau3[[#This Row],[REFERENCE]], Tableau1[NUMERO], 0), 5)</f>
        <v/>
      </c>
      <c r="H1368" t="inlineStr">
        <is>
          <t>PIT</t>
        </is>
      </c>
      <c r="J1368" s="2" t="n">
        <v>44148</v>
      </c>
      <c r="K1368" s="2" t="n">
        <v>44151</v>
      </c>
      <c r="L1368" s="2" t="n"/>
      <c r="M1368" s="21" t="inlineStr">
        <is>
          <t>01</t>
        </is>
      </c>
      <c r="N1368" s="35" t="n">
        <v>5</v>
      </c>
      <c r="O1368" s="7" t="inlineStr">
        <is>
          <t>pas d'offre</t>
        </is>
      </c>
      <c r="P1368" s="8" t="n"/>
      <c r="Q1368" s="2" t="n"/>
    </row>
    <row r="1369">
      <c r="A1369" s="13" t="n">
        <v>34408938</v>
      </c>
      <c r="B1369" s="2">
        <f>INDEX(Tableau1[], MATCH(Tableau3[[#This Row],[REFERENCE]], Tableau1[NUMERO], 0), 2)</f>
        <v/>
      </c>
      <c r="C1369">
        <f>INDEX(Tableau1[], MATCH(Tableau3[[#This Row],[REFERENCE]], Tableau1[NUMERO], 0), 3)</f>
        <v/>
      </c>
      <c r="D1369">
        <f>INDEX(Tableau1[], MATCH(Tableau3[[#This Row],[REFERENCE]], Tableau1[NUMERO], 0),4)</f>
        <v/>
      </c>
      <c r="E1369">
        <f>INDEX(Tableau1[], MATCH(Tableau3[[#This Row],[REFERENCE]], Tableau1[NUMERO], 0), 5)</f>
        <v/>
      </c>
      <c r="H1369" t="inlineStr">
        <is>
          <t>PIT</t>
        </is>
      </c>
      <c r="J1369" s="2" t="n">
        <v>44148</v>
      </c>
      <c r="K1369" s="2" t="n">
        <v>44151</v>
      </c>
      <c r="L1369" s="2" t="n"/>
      <c r="M1369" s="21" t="inlineStr">
        <is>
          <t>01</t>
        </is>
      </c>
      <c r="N1369" s="35" t="n">
        <v>5</v>
      </c>
      <c r="O1369" s="7" t="inlineStr">
        <is>
          <t>pas d'offre</t>
        </is>
      </c>
      <c r="P1369" s="8" t="n"/>
      <c r="Q1369" s="2" t="n"/>
    </row>
    <row r="1370">
      <c r="A1370" s="13" t="n">
        <v>34408940</v>
      </c>
      <c r="B1370" s="2">
        <f>INDEX(Tableau1[], MATCH(Tableau3[[#This Row],[REFERENCE]], Tableau1[NUMERO], 0), 2)</f>
        <v/>
      </c>
      <c r="C1370">
        <f>INDEX(Tableau1[], MATCH(Tableau3[[#This Row],[REFERENCE]], Tableau1[NUMERO], 0), 3)</f>
        <v/>
      </c>
      <c r="D1370">
        <f>INDEX(Tableau1[], MATCH(Tableau3[[#This Row],[REFERENCE]], Tableau1[NUMERO], 0),4)</f>
        <v/>
      </c>
      <c r="E1370">
        <f>INDEX(Tableau1[], MATCH(Tableau3[[#This Row],[REFERENCE]], Tableau1[NUMERO], 0), 5)</f>
        <v/>
      </c>
      <c r="H1370" t="inlineStr">
        <is>
          <t>PIT</t>
        </is>
      </c>
      <c r="J1370" s="2" t="n">
        <v>44148</v>
      </c>
      <c r="K1370" s="2" t="n">
        <v>44151</v>
      </c>
      <c r="L1370" s="2" t="n"/>
      <c r="M1370" s="21" t="inlineStr">
        <is>
          <t>01</t>
        </is>
      </c>
      <c r="N1370" s="35" t="n">
        <v>5</v>
      </c>
      <c r="O1370" s="7" t="inlineStr">
        <is>
          <t>pas d'offre</t>
        </is>
      </c>
      <c r="P1370" s="8" t="n"/>
      <c r="Q1370" s="2" t="n"/>
    </row>
    <row r="1371">
      <c r="A1371" s="13" t="n">
        <v>34408883</v>
      </c>
      <c r="B1371" s="2">
        <f>INDEX(Tableau1[], MATCH(Tableau3[[#This Row],[REFERENCE]], Tableau1[NUMERO], 0), 2)</f>
        <v/>
      </c>
      <c r="C1371">
        <f>INDEX(Tableau1[], MATCH(Tableau3[[#This Row],[REFERENCE]], Tableau1[NUMERO], 0), 3)</f>
        <v/>
      </c>
      <c r="D1371">
        <f>INDEX(Tableau1[], MATCH(Tableau3[[#This Row],[REFERENCE]], Tableau1[NUMERO], 0),4)</f>
        <v/>
      </c>
      <c r="E1371">
        <f>INDEX(Tableau1[], MATCH(Tableau3[[#This Row],[REFERENCE]], Tableau1[NUMERO], 0), 5)</f>
        <v/>
      </c>
      <c r="H1371" t="inlineStr">
        <is>
          <t>PIT</t>
        </is>
      </c>
      <c r="J1371" s="2" t="n">
        <v>44148</v>
      </c>
      <c r="K1371" s="2" t="n">
        <v>44151</v>
      </c>
      <c r="L1371" s="2" t="n"/>
      <c r="M1371" s="21" t="inlineStr">
        <is>
          <t>01</t>
        </is>
      </c>
      <c r="N1371" s="35" t="n">
        <v>10</v>
      </c>
      <c r="O1371" s="7" t="n">
        <v>31.25</v>
      </c>
      <c r="P1371" s="8" t="inlineStr">
        <is>
          <t>3 semaines</t>
        </is>
      </c>
      <c r="Q1371" s="2" t="n">
        <v>44243</v>
      </c>
    </row>
    <row r="1372">
      <c r="A1372" s="13" t="n">
        <v>34408897</v>
      </c>
      <c r="B1372" s="2">
        <f>INDEX(Tableau1[], MATCH(Tableau3[[#This Row],[REFERENCE]], Tableau1[NUMERO], 0), 2)</f>
        <v/>
      </c>
      <c r="C1372">
        <f>INDEX(Tableau1[], MATCH(Tableau3[[#This Row],[REFERENCE]], Tableau1[NUMERO], 0), 3)</f>
        <v/>
      </c>
      <c r="D1372">
        <f>INDEX(Tableau1[], MATCH(Tableau3[[#This Row],[REFERENCE]], Tableau1[NUMERO], 0),4)</f>
        <v/>
      </c>
      <c r="E1372">
        <f>INDEX(Tableau1[], MATCH(Tableau3[[#This Row],[REFERENCE]], Tableau1[NUMERO], 0), 5)</f>
        <v/>
      </c>
      <c r="H1372" t="inlineStr">
        <is>
          <t>PIT</t>
        </is>
      </c>
      <c r="J1372" s="2" t="n">
        <v>44148</v>
      </c>
      <c r="K1372" s="2" t="n">
        <v>44151</v>
      </c>
      <c r="L1372" s="2" t="n"/>
      <c r="M1372" s="21" t="inlineStr">
        <is>
          <t>01</t>
        </is>
      </c>
      <c r="N1372" s="35" t="n">
        <v>10</v>
      </c>
      <c r="O1372" s="7" t="n">
        <v>30.2</v>
      </c>
      <c r="P1372" s="8" t="inlineStr">
        <is>
          <t>3 semaines</t>
        </is>
      </c>
      <c r="Q1372" s="2" t="n">
        <v>44243</v>
      </c>
    </row>
    <row r="1373">
      <c r="A1373" s="13" t="n">
        <v>34408934</v>
      </c>
      <c r="B1373" s="2">
        <f>INDEX(Tableau1[], MATCH(Tableau3[[#This Row],[REFERENCE]], Tableau1[NUMERO], 0), 2)</f>
        <v/>
      </c>
      <c r="C1373">
        <f>INDEX(Tableau1[], MATCH(Tableau3[[#This Row],[REFERENCE]], Tableau1[NUMERO], 0), 3)</f>
        <v/>
      </c>
      <c r="D1373">
        <f>INDEX(Tableau1[], MATCH(Tableau3[[#This Row],[REFERENCE]], Tableau1[NUMERO], 0),4)</f>
        <v/>
      </c>
      <c r="E1373">
        <f>INDEX(Tableau1[], MATCH(Tableau3[[#This Row],[REFERENCE]], Tableau1[NUMERO], 0), 5)</f>
        <v/>
      </c>
      <c r="H1373" t="inlineStr">
        <is>
          <t>PIT</t>
        </is>
      </c>
      <c r="J1373" s="2" t="n">
        <v>44148</v>
      </c>
      <c r="K1373" s="2" t="n">
        <v>44151</v>
      </c>
      <c r="L1373" s="2" t="n"/>
      <c r="M1373" s="21" t="inlineStr">
        <is>
          <t>01</t>
        </is>
      </c>
      <c r="N1373" s="35" t="n">
        <v>10</v>
      </c>
      <c r="O1373" s="7" t="n">
        <v>31.25</v>
      </c>
      <c r="P1373" s="8" t="inlineStr">
        <is>
          <t>3 semaines</t>
        </is>
      </c>
      <c r="Q1373" s="2" t="n">
        <v>44243</v>
      </c>
    </row>
    <row r="1374">
      <c r="A1374" s="13" t="n">
        <v>34408935</v>
      </c>
      <c r="B1374" s="2">
        <f>INDEX(Tableau1[], MATCH(Tableau3[[#This Row],[REFERENCE]], Tableau1[NUMERO], 0), 2)</f>
        <v/>
      </c>
      <c r="C1374">
        <f>INDEX(Tableau1[], MATCH(Tableau3[[#This Row],[REFERENCE]], Tableau1[NUMERO], 0), 3)</f>
        <v/>
      </c>
      <c r="D1374">
        <f>INDEX(Tableau1[], MATCH(Tableau3[[#This Row],[REFERENCE]], Tableau1[NUMERO], 0),4)</f>
        <v/>
      </c>
      <c r="E1374">
        <f>INDEX(Tableau1[], MATCH(Tableau3[[#This Row],[REFERENCE]], Tableau1[NUMERO], 0), 5)</f>
        <v/>
      </c>
      <c r="H1374" t="inlineStr">
        <is>
          <t>PIT</t>
        </is>
      </c>
      <c r="J1374" s="2" t="n">
        <v>44148</v>
      </c>
      <c r="K1374" s="2" t="n">
        <v>44151</v>
      </c>
      <c r="L1374" s="2" t="n"/>
      <c r="M1374" s="21" t="inlineStr">
        <is>
          <t>01</t>
        </is>
      </c>
      <c r="N1374" s="35" t="n">
        <v>10</v>
      </c>
      <c r="O1374" s="7" t="n">
        <v>31.79</v>
      </c>
      <c r="P1374" s="8" t="inlineStr">
        <is>
          <t>3 semaines</t>
        </is>
      </c>
      <c r="Q1374" s="2" t="n">
        <v>44243</v>
      </c>
    </row>
    <row r="1375">
      <c r="A1375" s="13" t="n">
        <v>34408936</v>
      </c>
      <c r="B1375" s="2">
        <f>INDEX(Tableau1[], MATCH(Tableau3[[#This Row],[REFERENCE]], Tableau1[NUMERO], 0), 2)</f>
        <v/>
      </c>
      <c r="C1375">
        <f>INDEX(Tableau1[], MATCH(Tableau3[[#This Row],[REFERENCE]], Tableau1[NUMERO], 0), 3)</f>
        <v/>
      </c>
      <c r="D1375">
        <f>INDEX(Tableau1[], MATCH(Tableau3[[#This Row],[REFERENCE]], Tableau1[NUMERO], 0),4)</f>
        <v/>
      </c>
      <c r="E1375">
        <f>INDEX(Tableau1[], MATCH(Tableau3[[#This Row],[REFERENCE]], Tableau1[NUMERO], 0), 5)</f>
        <v/>
      </c>
      <c r="H1375" t="inlineStr">
        <is>
          <t>PIT</t>
        </is>
      </c>
      <c r="J1375" s="2" t="n">
        <v>44148</v>
      </c>
      <c r="K1375" s="2" t="n">
        <v>44151</v>
      </c>
      <c r="L1375" s="2" t="n"/>
      <c r="M1375" s="21" t="inlineStr">
        <is>
          <t>01</t>
        </is>
      </c>
      <c r="N1375" s="35" t="n">
        <v>10</v>
      </c>
      <c r="O1375" s="7" t="n">
        <v>30</v>
      </c>
      <c r="P1375" s="8" t="inlineStr">
        <is>
          <t>3 semaines</t>
        </is>
      </c>
      <c r="Q1375" s="2" t="n">
        <v>44243</v>
      </c>
    </row>
    <row r="1376">
      <c r="A1376" s="13" t="n">
        <v>34408938</v>
      </c>
      <c r="B1376" s="2">
        <f>INDEX(Tableau1[], MATCH(Tableau3[[#This Row],[REFERENCE]], Tableau1[NUMERO], 0), 2)</f>
        <v/>
      </c>
      <c r="C1376">
        <f>INDEX(Tableau1[], MATCH(Tableau3[[#This Row],[REFERENCE]], Tableau1[NUMERO], 0), 3)</f>
        <v/>
      </c>
      <c r="D1376">
        <f>INDEX(Tableau1[], MATCH(Tableau3[[#This Row],[REFERENCE]], Tableau1[NUMERO], 0),4)</f>
        <v/>
      </c>
      <c r="E1376">
        <f>INDEX(Tableau1[], MATCH(Tableau3[[#This Row],[REFERENCE]], Tableau1[NUMERO], 0), 5)</f>
        <v/>
      </c>
      <c r="H1376" t="inlineStr">
        <is>
          <t>PIT</t>
        </is>
      </c>
      <c r="J1376" s="2" t="n">
        <v>44148</v>
      </c>
      <c r="K1376" s="2" t="n">
        <v>44151</v>
      </c>
      <c r="L1376" s="2" t="n"/>
      <c r="M1376" s="21" t="inlineStr">
        <is>
          <t>01</t>
        </is>
      </c>
      <c r="N1376" s="35" t="n">
        <v>10</v>
      </c>
      <c r="O1376" s="7" t="n">
        <v>31.96</v>
      </c>
      <c r="P1376" s="8" t="inlineStr">
        <is>
          <t>3 semaines</t>
        </is>
      </c>
      <c r="Q1376" s="2" t="n">
        <v>44243</v>
      </c>
    </row>
    <row r="1377">
      <c r="A1377" s="13" t="n">
        <v>34408940</v>
      </c>
      <c r="B1377" s="2">
        <f>INDEX(Tableau1[], MATCH(Tableau3[[#This Row],[REFERENCE]], Tableau1[NUMERO], 0), 2)</f>
        <v/>
      </c>
      <c r="C1377">
        <f>INDEX(Tableau1[], MATCH(Tableau3[[#This Row],[REFERENCE]], Tableau1[NUMERO], 0), 3)</f>
        <v/>
      </c>
      <c r="D1377">
        <f>INDEX(Tableau1[], MATCH(Tableau3[[#This Row],[REFERENCE]], Tableau1[NUMERO], 0),4)</f>
        <v/>
      </c>
      <c r="E1377">
        <f>INDEX(Tableau1[], MATCH(Tableau3[[#This Row],[REFERENCE]], Tableau1[NUMERO], 0), 5)</f>
        <v/>
      </c>
      <c r="H1377" t="inlineStr">
        <is>
          <t>PIT</t>
        </is>
      </c>
      <c r="J1377" s="2" t="n">
        <v>44148</v>
      </c>
      <c r="K1377" s="2" t="n">
        <v>44151</v>
      </c>
      <c r="L1377" s="2" t="n"/>
      <c r="M1377" s="21" t="inlineStr">
        <is>
          <t>01</t>
        </is>
      </c>
      <c r="N1377" s="35" t="n">
        <v>10</v>
      </c>
      <c r="O1377" s="7" t="n">
        <v>31.56</v>
      </c>
      <c r="P1377" s="8" t="inlineStr">
        <is>
          <t>3 semaines</t>
        </is>
      </c>
      <c r="Q1377" s="2" t="n">
        <v>44243</v>
      </c>
    </row>
    <row r="1378">
      <c r="A1378" s="13" t="n">
        <v>34408883</v>
      </c>
      <c r="B1378" s="2">
        <f>INDEX(Tableau1[], MATCH(Tableau3[[#This Row],[REFERENCE]], Tableau1[NUMERO], 0), 2)</f>
        <v/>
      </c>
      <c r="C1378">
        <f>INDEX(Tableau1[], MATCH(Tableau3[[#This Row],[REFERENCE]], Tableau1[NUMERO], 0), 3)</f>
        <v/>
      </c>
      <c r="D1378">
        <f>INDEX(Tableau1[], MATCH(Tableau3[[#This Row],[REFERENCE]], Tableau1[NUMERO], 0),4)</f>
        <v/>
      </c>
      <c r="E1378">
        <f>INDEX(Tableau1[], MATCH(Tableau3[[#This Row],[REFERENCE]], Tableau1[NUMERO], 0), 5)</f>
        <v/>
      </c>
      <c r="H1378" t="inlineStr">
        <is>
          <t>PIT</t>
        </is>
      </c>
      <c r="J1378" s="2" t="n">
        <v>44148</v>
      </c>
      <c r="K1378" s="2" t="n">
        <v>44151</v>
      </c>
      <c r="L1378" s="2" t="n"/>
      <c r="M1378" s="21" t="inlineStr">
        <is>
          <t>01</t>
        </is>
      </c>
      <c r="N1378" s="35" t="n">
        <v>20</v>
      </c>
      <c r="O1378" s="7" t="n">
        <v>20</v>
      </c>
      <c r="P1378" s="8" t="inlineStr">
        <is>
          <t>3 semaines</t>
        </is>
      </c>
      <c r="Q1378" s="2" t="n">
        <v>44243</v>
      </c>
    </row>
    <row r="1379">
      <c r="A1379" s="13" t="n">
        <v>34408897</v>
      </c>
      <c r="B1379" s="2">
        <f>INDEX(Tableau1[], MATCH(Tableau3[[#This Row],[REFERENCE]], Tableau1[NUMERO], 0), 2)</f>
        <v/>
      </c>
      <c r="C1379">
        <f>INDEX(Tableau1[], MATCH(Tableau3[[#This Row],[REFERENCE]], Tableau1[NUMERO], 0), 3)</f>
        <v/>
      </c>
      <c r="D1379">
        <f>INDEX(Tableau1[], MATCH(Tableau3[[#This Row],[REFERENCE]], Tableau1[NUMERO], 0),4)</f>
        <v/>
      </c>
      <c r="E1379">
        <f>INDEX(Tableau1[], MATCH(Tableau3[[#This Row],[REFERENCE]], Tableau1[NUMERO], 0), 5)</f>
        <v/>
      </c>
      <c r="H1379" t="inlineStr">
        <is>
          <t>PIT</t>
        </is>
      </c>
      <c r="J1379" s="2" t="n">
        <v>44148</v>
      </c>
      <c r="K1379" s="2" t="n">
        <v>44151</v>
      </c>
      <c r="L1379" s="2" t="n"/>
      <c r="M1379" s="21" t="inlineStr">
        <is>
          <t>01</t>
        </is>
      </c>
      <c r="N1379" s="35" t="n">
        <v>20</v>
      </c>
      <c r="O1379" s="7" t="n">
        <v>16.91</v>
      </c>
      <c r="P1379" s="8" t="inlineStr">
        <is>
          <t>3 semaines</t>
        </is>
      </c>
      <c r="Q1379" s="2" t="n">
        <v>44243</v>
      </c>
    </row>
    <row r="1380">
      <c r="A1380" s="13" t="n">
        <v>34408934</v>
      </c>
      <c r="B1380" s="2">
        <f>INDEX(Tableau1[], MATCH(Tableau3[[#This Row],[REFERENCE]], Tableau1[NUMERO], 0), 2)</f>
        <v/>
      </c>
      <c r="C1380">
        <f>INDEX(Tableau1[], MATCH(Tableau3[[#This Row],[REFERENCE]], Tableau1[NUMERO], 0), 3)</f>
        <v/>
      </c>
      <c r="D1380">
        <f>INDEX(Tableau1[], MATCH(Tableau3[[#This Row],[REFERENCE]], Tableau1[NUMERO], 0),4)</f>
        <v/>
      </c>
      <c r="E1380">
        <f>INDEX(Tableau1[], MATCH(Tableau3[[#This Row],[REFERENCE]], Tableau1[NUMERO], 0), 5)</f>
        <v/>
      </c>
      <c r="H1380" t="inlineStr">
        <is>
          <t>PIT</t>
        </is>
      </c>
      <c r="J1380" s="2" t="n">
        <v>44148</v>
      </c>
      <c r="K1380" s="2" t="n">
        <v>44151</v>
      </c>
      <c r="L1380" s="2" t="n"/>
      <c r="M1380" s="21" t="inlineStr">
        <is>
          <t>01</t>
        </is>
      </c>
      <c r="N1380" s="35" t="n">
        <v>20</v>
      </c>
      <c r="O1380" s="7" t="n">
        <v>18.07</v>
      </c>
      <c r="P1380" s="8" t="inlineStr">
        <is>
          <t>3 semaines</t>
        </is>
      </c>
      <c r="Q1380" s="2" t="n">
        <v>44243</v>
      </c>
    </row>
    <row r="1381">
      <c r="A1381" s="13" t="n">
        <v>34408935</v>
      </c>
      <c r="B1381" s="2">
        <f>INDEX(Tableau1[], MATCH(Tableau3[[#This Row],[REFERENCE]], Tableau1[NUMERO], 0), 2)</f>
        <v/>
      </c>
      <c r="C1381">
        <f>INDEX(Tableau1[], MATCH(Tableau3[[#This Row],[REFERENCE]], Tableau1[NUMERO], 0), 3)</f>
        <v/>
      </c>
      <c r="D1381">
        <f>INDEX(Tableau1[], MATCH(Tableau3[[#This Row],[REFERENCE]], Tableau1[NUMERO], 0),4)</f>
        <v/>
      </c>
      <c r="E1381">
        <f>INDEX(Tableau1[], MATCH(Tableau3[[#This Row],[REFERENCE]], Tableau1[NUMERO], 0), 5)</f>
        <v/>
      </c>
      <c r="H1381" t="inlineStr">
        <is>
          <t>PIT</t>
        </is>
      </c>
      <c r="J1381" s="2" t="n">
        <v>44148</v>
      </c>
      <c r="K1381" s="2" t="n">
        <v>44151</v>
      </c>
      <c r="L1381" s="2" t="n"/>
      <c r="M1381" s="21" t="inlineStr">
        <is>
          <t>01</t>
        </is>
      </c>
      <c r="N1381" s="35" t="n">
        <v>20</v>
      </c>
      <c r="O1381" s="7" t="n">
        <v>18.72</v>
      </c>
      <c r="P1381" s="8" t="inlineStr">
        <is>
          <t>3 semaines</t>
        </is>
      </c>
      <c r="Q1381" s="2" t="n">
        <v>44243</v>
      </c>
    </row>
    <row r="1382">
      <c r="A1382" s="13" t="n">
        <v>34408936</v>
      </c>
      <c r="B1382" s="2">
        <f>INDEX(Tableau1[], MATCH(Tableau3[[#This Row],[REFERENCE]], Tableau1[NUMERO], 0), 2)</f>
        <v/>
      </c>
      <c r="C1382">
        <f>INDEX(Tableau1[], MATCH(Tableau3[[#This Row],[REFERENCE]], Tableau1[NUMERO], 0), 3)</f>
        <v/>
      </c>
      <c r="D1382">
        <f>INDEX(Tableau1[], MATCH(Tableau3[[#This Row],[REFERENCE]], Tableau1[NUMERO], 0),4)</f>
        <v/>
      </c>
      <c r="E1382">
        <f>INDEX(Tableau1[], MATCH(Tableau3[[#This Row],[REFERENCE]], Tableau1[NUMERO], 0), 5)</f>
        <v/>
      </c>
      <c r="H1382" t="inlineStr">
        <is>
          <t>PIT</t>
        </is>
      </c>
      <c r="J1382" s="2" t="n">
        <v>44148</v>
      </c>
      <c r="K1382" s="2" t="n">
        <v>44151</v>
      </c>
      <c r="L1382" s="2" t="n"/>
      <c r="M1382" s="21" t="inlineStr">
        <is>
          <t>01</t>
        </is>
      </c>
      <c r="N1382" s="35" t="n">
        <v>20</v>
      </c>
      <c r="O1382" s="7" t="n">
        <v>16.69</v>
      </c>
      <c r="P1382" s="8" t="inlineStr">
        <is>
          <t>3 semaines</t>
        </is>
      </c>
      <c r="Q1382" s="2" t="n">
        <v>44243</v>
      </c>
    </row>
    <row r="1383">
      <c r="A1383" s="13" t="n">
        <v>34408938</v>
      </c>
      <c r="B1383" s="2">
        <f>INDEX(Tableau1[], MATCH(Tableau3[[#This Row],[REFERENCE]], Tableau1[NUMERO], 0), 2)</f>
        <v/>
      </c>
      <c r="C1383">
        <f>INDEX(Tableau1[], MATCH(Tableau3[[#This Row],[REFERENCE]], Tableau1[NUMERO], 0), 3)</f>
        <v/>
      </c>
      <c r="D1383">
        <f>INDEX(Tableau1[], MATCH(Tableau3[[#This Row],[REFERENCE]], Tableau1[NUMERO], 0),4)</f>
        <v/>
      </c>
      <c r="E1383">
        <f>INDEX(Tableau1[], MATCH(Tableau3[[#This Row],[REFERENCE]], Tableau1[NUMERO], 0), 5)</f>
        <v/>
      </c>
      <c r="H1383" t="inlineStr">
        <is>
          <t>PIT</t>
        </is>
      </c>
      <c r="J1383" s="2" t="n">
        <v>44148</v>
      </c>
      <c r="K1383" s="2" t="n">
        <v>44151</v>
      </c>
      <c r="L1383" s="2" t="n"/>
      <c r="M1383" s="21" t="inlineStr">
        <is>
          <t>01</t>
        </is>
      </c>
      <c r="N1383" s="35" t="n">
        <v>20</v>
      </c>
      <c r="O1383" s="7" t="n">
        <v>18.66</v>
      </c>
      <c r="P1383" s="8" t="inlineStr">
        <is>
          <t>3 semaines</t>
        </is>
      </c>
      <c r="Q1383" s="2" t="n">
        <v>44243</v>
      </c>
    </row>
    <row r="1384" ht="15.75" customFormat="1" customHeight="1" s="58" thickBot="1">
      <c r="A1384" s="105" t="n">
        <v>34408940</v>
      </c>
      <c r="B1384" s="57">
        <f>INDEX(Tableau1[], MATCH(Tableau3[[#This Row],[REFERENCE]], Tableau1[NUMERO], 0), 2)</f>
        <v/>
      </c>
      <c r="C1384" s="58">
        <f>INDEX(Tableau1[], MATCH(Tableau3[[#This Row],[REFERENCE]], Tableau1[NUMERO], 0), 3)</f>
        <v/>
      </c>
      <c r="D1384" s="58">
        <f>INDEX(Tableau1[], MATCH(Tableau3[[#This Row],[REFERENCE]], Tableau1[NUMERO], 0),4)</f>
        <v/>
      </c>
      <c r="E1384" s="58">
        <f>INDEX(Tableau1[], MATCH(Tableau3[[#This Row],[REFERENCE]], Tableau1[NUMERO], 0), 5)</f>
        <v/>
      </c>
      <c r="H1384" s="58" t="inlineStr">
        <is>
          <t>PIT</t>
        </is>
      </c>
      <c r="I1384" s="56" t="n"/>
      <c r="J1384" s="57" t="n">
        <v>44148</v>
      </c>
      <c r="K1384" s="57" t="n">
        <v>44151</v>
      </c>
      <c r="L1384" s="57" t="n"/>
      <c r="M1384" s="59" t="inlineStr">
        <is>
          <t>01</t>
        </is>
      </c>
      <c r="N1384" s="60" t="n">
        <v>20</v>
      </c>
      <c r="O1384" s="61" t="n">
        <v>18.5</v>
      </c>
      <c r="P1384" s="56" t="inlineStr">
        <is>
          <t>3 semaines</t>
        </is>
      </c>
      <c r="Q1384" s="57" t="n">
        <v>44243</v>
      </c>
    </row>
    <row r="1385" ht="15.75" customFormat="1" customHeight="1" s="52" thickTop="1">
      <c r="A1385" s="104" t="n">
        <v>34408883</v>
      </c>
      <c r="B1385" s="51">
        <f>INDEX(Tableau1[], MATCH(Tableau3[[#This Row],[REFERENCE]], Tableau1[NUMERO], 0), 2)</f>
        <v/>
      </c>
      <c r="C1385" s="52">
        <f>INDEX(Tableau1[], MATCH(Tableau3[[#This Row],[REFERENCE]], Tableau1[NUMERO], 0), 3)</f>
        <v/>
      </c>
      <c r="D1385" s="52">
        <f>INDEX(Tableau1[], MATCH(Tableau3[[#This Row],[REFERENCE]], Tableau1[NUMERO], 0),4)</f>
        <v/>
      </c>
      <c r="E1385" s="52">
        <f>INDEX(Tableau1[], MATCH(Tableau3[[#This Row],[REFERENCE]], Tableau1[NUMERO], 0), 5)</f>
        <v/>
      </c>
      <c r="H1385" s="52" t="inlineStr">
        <is>
          <t>ERIKS</t>
        </is>
      </c>
      <c r="I1385" s="50" t="n"/>
      <c r="J1385" s="51" t="n">
        <v>44148</v>
      </c>
      <c r="K1385" s="51" t="n">
        <v>44151</v>
      </c>
      <c r="L1385" s="51" t="n"/>
      <c r="M1385" s="53" t="inlineStr">
        <is>
          <t>01</t>
        </is>
      </c>
      <c r="N1385" s="54" t="n">
        <v>1</v>
      </c>
      <c r="O1385" s="55" t="n">
        <v>67.2</v>
      </c>
      <c r="P1385" s="50" t="inlineStr">
        <is>
          <t>2 semaines</t>
        </is>
      </c>
      <c r="Q1385" s="51" t="n">
        <v>44209</v>
      </c>
    </row>
    <row r="1386">
      <c r="A1386" s="13" t="n">
        <v>34408897</v>
      </c>
      <c r="B1386" s="2">
        <f>INDEX(Tableau1[], MATCH(Tableau3[[#This Row],[REFERENCE]], Tableau1[NUMERO], 0), 2)</f>
        <v/>
      </c>
      <c r="C1386">
        <f>INDEX(Tableau1[], MATCH(Tableau3[[#This Row],[REFERENCE]], Tableau1[NUMERO], 0), 3)</f>
        <v/>
      </c>
      <c r="D1386">
        <f>INDEX(Tableau1[], MATCH(Tableau3[[#This Row],[REFERENCE]], Tableau1[NUMERO], 0),4)</f>
        <v/>
      </c>
      <c r="E1386">
        <f>INDEX(Tableau1[], MATCH(Tableau3[[#This Row],[REFERENCE]], Tableau1[NUMERO], 0), 5)</f>
        <v/>
      </c>
      <c r="H1386" t="inlineStr">
        <is>
          <t>ERIKS</t>
        </is>
      </c>
      <c r="J1386" s="2" t="n">
        <v>44148</v>
      </c>
      <c r="K1386" s="2" t="n">
        <v>44151</v>
      </c>
      <c r="L1386" s="2" t="n"/>
      <c r="M1386" s="21" t="inlineStr">
        <is>
          <t>01</t>
        </is>
      </c>
      <c r="N1386" s="35" t="n">
        <v>1</v>
      </c>
      <c r="O1386" s="7" t="n">
        <v>67.34</v>
      </c>
      <c r="P1386" s="8" t="inlineStr">
        <is>
          <t>2 semaines</t>
        </is>
      </c>
      <c r="Q1386" s="2" t="n">
        <v>44209</v>
      </c>
    </row>
    <row r="1387">
      <c r="A1387" s="13" t="n">
        <v>34408934</v>
      </c>
      <c r="B1387" s="2">
        <f>INDEX(Tableau1[], MATCH(Tableau3[[#This Row],[REFERENCE]], Tableau1[NUMERO], 0), 2)</f>
        <v/>
      </c>
      <c r="C1387">
        <f>INDEX(Tableau1[], MATCH(Tableau3[[#This Row],[REFERENCE]], Tableau1[NUMERO], 0), 3)</f>
        <v/>
      </c>
      <c r="D1387">
        <f>INDEX(Tableau1[], MATCH(Tableau3[[#This Row],[REFERENCE]], Tableau1[NUMERO], 0),4)</f>
        <v/>
      </c>
      <c r="E1387">
        <f>INDEX(Tableau1[], MATCH(Tableau3[[#This Row],[REFERENCE]], Tableau1[NUMERO], 0), 5)</f>
        <v/>
      </c>
      <c r="H1387" t="inlineStr">
        <is>
          <t>ERIKS</t>
        </is>
      </c>
      <c r="J1387" s="2" t="n">
        <v>44148</v>
      </c>
      <c r="K1387" s="2" t="n">
        <v>44151</v>
      </c>
      <c r="L1387" s="2" t="n"/>
      <c r="M1387" s="21" t="inlineStr">
        <is>
          <t>01</t>
        </is>
      </c>
      <c r="N1387" s="35" t="n">
        <v>1</v>
      </c>
      <c r="O1387" s="7" t="n">
        <v>67.72</v>
      </c>
      <c r="P1387" s="8" t="inlineStr">
        <is>
          <t>2 semaines</t>
        </is>
      </c>
      <c r="Q1387" s="2" t="n">
        <v>44209</v>
      </c>
    </row>
    <row r="1388">
      <c r="A1388" s="13" t="n">
        <v>34408935</v>
      </c>
      <c r="B1388" s="2">
        <f>INDEX(Tableau1[], MATCH(Tableau3[[#This Row],[REFERENCE]], Tableau1[NUMERO], 0), 2)</f>
        <v/>
      </c>
      <c r="C1388">
        <f>INDEX(Tableau1[], MATCH(Tableau3[[#This Row],[REFERENCE]], Tableau1[NUMERO], 0), 3)</f>
        <v/>
      </c>
      <c r="D1388">
        <f>INDEX(Tableau1[], MATCH(Tableau3[[#This Row],[REFERENCE]], Tableau1[NUMERO], 0),4)</f>
        <v/>
      </c>
      <c r="E1388">
        <f>INDEX(Tableau1[], MATCH(Tableau3[[#This Row],[REFERENCE]], Tableau1[NUMERO], 0), 5)</f>
        <v/>
      </c>
      <c r="H1388" t="inlineStr">
        <is>
          <t>ERIKS</t>
        </is>
      </c>
      <c r="J1388" s="2" t="n">
        <v>44148</v>
      </c>
      <c r="K1388" s="2" t="n">
        <v>44151</v>
      </c>
      <c r="L1388" s="2" t="n"/>
      <c r="M1388" s="21" t="inlineStr">
        <is>
          <t>01</t>
        </is>
      </c>
      <c r="N1388" s="35" t="n">
        <v>1</v>
      </c>
      <c r="O1388" s="7" t="n">
        <v>68.41</v>
      </c>
      <c r="P1388" s="8" t="inlineStr">
        <is>
          <t>2 semaines</t>
        </is>
      </c>
      <c r="Q1388" s="2" t="n">
        <v>44209</v>
      </c>
    </row>
    <row r="1389">
      <c r="A1389" s="13" t="n">
        <v>34408936</v>
      </c>
      <c r="B1389" s="2">
        <f>INDEX(Tableau1[], MATCH(Tableau3[[#This Row],[REFERENCE]], Tableau1[NUMERO], 0), 2)</f>
        <v/>
      </c>
      <c r="C1389">
        <f>INDEX(Tableau1[], MATCH(Tableau3[[#This Row],[REFERENCE]], Tableau1[NUMERO], 0), 3)</f>
        <v/>
      </c>
      <c r="D1389">
        <f>INDEX(Tableau1[], MATCH(Tableau3[[#This Row],[REFERENCE]], Tableau1[NUMERO], 0),4)</f>
        <v/>
      </c>
      <c r="E1389">
        <f>INDEX(Tableau1[], MATCH(Tableau3[[#This Row],[REFERENCE]], Tableau1[NUMERO], 0), 5)</f>
        <v/>
      </c>
      <c r="H1389" t="inlineStr">
        <is>
          <t>ERIKS</t>
        </is>
      </c>
      <c r="J1389" s="2" t="n">
        <v>44148</v>
      </c>
      <c r="K1389" s="2" t="n">
        <v>44151</v>
      </c>
      <c r="L1389" s="2" t="n"/>
      <c r="M1389" s="21" t="inlineStr">
        <is>
          <t>01</t>
        </is>
      </c>
      <c r="N1389" s="35" t="n">
        <v>1</v>
      </c>
      <c r="O1389" s="7" t="n">
        <v>62.33</v>
      </c>
      <c r="P1389" s="8" t="inlineStr">
        <is>
          <t>2 semaines</t>
        </is>
      </c>
      <c r="Q1389" s="2" t="n">
        <v>44209</v>
      </c>
    </row>
    <row r="1390">
      <c r="A1390" s="13" t="n">
        <v>34408938</v>
      </c>
      <c r="B1390" s="2">
        <f>INDEX(Tableau1[], MATCH(Tableau3[[#This Row],[REFERENCE]], Tableau1[NUMERO], 0), 2)</f>
        <v/>
      </c>
      <c r="C1390">
        <f>INDEX(Tableau1[], MATCH(Tableau3[[#This Row],[REFERENCE]], Tableau1[NUMERO], 0), 3)</f>
        <v/>
      </c>
      <c r="D1390">
        <f>INDEX(Tableau1[], MATCH(Tableau3[[#This Row],[REFERENCE]], Tableau1[NUMERO], 0),4)</f>
        <v/>
      </c>
      <c r="E1390">
        <f>INDEX(Tableau1[], MATCH(Tableau3[[#This Row],[REFERENCE]], Tableau1[NUMERO], 0), 5)</f>
        <v/>
      </c>
      <c r="H1390" t="inlineStr">
        <is>
          <t>ERIKS</t>
        </is>
      </c>
      <c r="J1390" s="2" t="n">
        <v>44148</v>
      </c>
      <c r="K1390" s="2" t="n">
        <v>44151</v>
      </c>
      <c r="L1390" s="2" t="n"/>
      <c r="M1390" s="21" t="inlineStr">
        <is>
          <t>01</t>
        </is>
      </c>
      <c r="N1390" s="35" t="n">
        <v>1</v>
      </c>
      <c r="O1390" s="7" t="n">
        <v>67.48999999999999</v>
      </c>
      <c r="P1390" s="8" t="inlineStr">
        <is>
          <t>2 semaines</t>
        </is>
      </c>
      <c r="Q1390" s="2" t="n">
        <v>44209</v>
      </c>
    </row>
    <row r="1391">
      <c r="A1391" s="13" t="n">
        <v>34408940</v>
      </c>
      <c r="B1391" s="2">
        <f>INDEX(Tableau1[], MATCH(Tableau3[[#This Row],[REFERENCE]], Tableau1[NUMERO], 0), 2)</f>
        <v/>
      </c>
      <c r="C1391">
        <f>INDEX(Tableau1[], MATCH(Tableau3[[#This Row],[REFERENCE]], Tableau1[NUMERO], 0), 3)</f>
        <v/>
      </c>
      <c r="D1391">
        <f>INDEX(Tableau1[], MATCH(Tableau3[[#This Row],[REFERENCE]], Tableau1[NUMERO], 0),4)</f>
        <v/>
      </c>
      <c r="E1391">
        <f>INDEX(Tableau1[], MATCH(Tableau3[[#This Row],[REFERENCE]], Tableau1[NUMERO], 0), 5)</f>
        <v/>
      </c>
      <c r="H1391" t="inlineStr">
        <is>
          <t>ERIKS</t>
        </is>
      </c>
      <c r="J1391" s="2" t="n">
        <v>44148</v>
      </c>
      <c r="K1391" s="2" t="n">
        <v>44151</v>
      </c>
      <c r="L1391" s="2" t="n"/>
      <c r="M1391" s="21" t="inlineStr">
        <is>
          <t>01</t>
        </is>
      </c>
      <c r="N1391" s="35" t="n">
        <v>1</v>
      </c>
      <c r="O1391" s="7" t="n">
        <v>67.5</v>
      </c>
      <c r="P1391" s="8" t="inlineStr">
        <is>
          <t>2 semaines</t>
        </is>
      </c>
      <c r="Q1391" s="2" t="n">
        <v>44209</v>
      </c>
    </row>
    <row r="1392">
      <c r="A1392" s="13" t="n">
        <v>34408883</v>
      </c>
      <c r="B1392" s="2">
        <f>INDEX(Tableau1[], MATCH(Tableau3[[#This Row],[REFERENCE]], Tableau1[NUMERO], 0), 2)</f>
        <v/>
      </c>
      <c r="C1392">
        <f>INDEX(Tableau1[], MATCH(Tableau3[[#This Row],[REFERENCE]], Tableau1[NUMERO], 0), 3)</f>
        <v/>
      </c>
      <c r="D1392">
        <f>INDEX(Tableau1[], MATCH(Tableau3[[#This Row],[REFERENCE]], Tableau1[NUMERO], 0),4)</f>
        <v/>
      </c>
      <c r="E1392">
        <f>INDEX(Tableau1[], MATCH(Tableau3[[#This Row],[REFERENCE]], Tableau1[NUMERO], 0), 5)</f>
        <v/>
      </c>
      <c r="H1392" t="inlineStr">
        <is>
          <t>ERIKS</t>
        </is>
      </c>
      <c r="J1392" s="2" t="n">
        <v>44148</v>
      </c>
      <c r="K1392" s="2" t="n">
        <v>44151</v>
      </c>
      <c r="L1392" s="2" t="n"/>
      <c r="M1392" s="21" t="inlineStr">
        <is>
          <t>01</t>
        </is>
      </c>
      <c r="N1392" s="35" t="n">
        <v>5</v>
      </c>
      <c r="O1392" s="7" t="n">
        <v>15.99</v>
      </c>
      <c r="P1392" s="8" t="inlineStr">
        <is>
          <t>2 semaines</t>
        </is>
      </c>
      <c r="Q1392" s="2" t="n">
        <v>44209</v>
      </c>
    </row>
    <row r="1393">
      <c r="A1393" s="13" t="n">
        <v>34408897</v>
      </c>
      <c r="B1393" s="2">
        <f>INDEX(Tableau1[], MATCH(Tableau3[[#This Row],[REFERENCE]], Tableau1[NUMERO], 0), 2)</f>
        <v/>
      </c>
      <c r="C1393">
        <f>INDEX(Tableau1[], MATCH(Tableau3[[#This Row],[REFERENCE]], Tableau1[NUMERO], 0), 3)</f>
        <v/>
      </c>
      <c r="D1393">
        <f>INDEX(Tableau1[], MATCH(Tableau3[[#This Row],[REFERENCE]], Tableau1[NUMERO], 0),4)</f>
        <v/>
      </c>
      <c r="E1393">
        <f>INDEX(Tableau1[], MATCH(Tableau3[[#This Row],[REFERENCE]], Tableau1[NUMERO], 0), 5)</f>
        <v/>
      </c>
      <c r="H1393" t="inlineStr">
        <is>
          <t>ERIKS</t>
        </is>
      </c>
      <c r="J1393" s="2" t="n">
        <v>44148</v>
      </c>
      <c r="K1393" s="2" t="n">
        <v>44151</v>
      </c>
      <c r="L1393" s="2" t="n"/>
      <c r="M1393" s="21" t="inlineStr">
        <is>
          <t>01</t>
        </is>
      </c>
      <c r="N1393" s="35" t="n">
        <v>5</v>
      </c>
      <c r="O1393" s="7" t="n">
        <v>15.23</v>
      </c>
      <c r="P1393" s="8" t="inlineStr">
        <is>
          <t>2 semaines</t>
        </is>
      </c>
      <c r="Q1393" s="2" t="n">
        <v>44209</v>
      </c>
    </row>
    <row r="1394">
      <c r="A1394" s="13" t="n">
        <v>34408934</v>
      </c>
      <c r="B1394" s="2">
        <f>INDEX(Tableau1[], MATCH(Tableau3[[#This Row],[REFERENCE]], Tableau1[NUMERO], 0), 2)</f>
        <v/>
      </c>
      <c r="C1394">
        <f>INDEX(Tableau1[], MATCH(Tableau3[[#This Row],[REFERENCE]], Tableau1[NUMERO], 0), 3)</f>
        <v/>
      </c>
      <c r="D1394">
        <f>INDEX(Tableau1[], MATCH(Tableau3[[#This Row],[REFERENCE]], Tableau1[NUMERO], 0),4)</f>
        <v/>
      </c>
      <c r="E1394">
        <f>INDEX(Tableau1[], MATCH(Tableau3[[#This Row],[REFERENCE]], Tableau1[NUMERO], 0), 5)</f>
        <v/>
      </c>
      <c r="H1394" t="inlineStr">
        <is>
          <t>ERIKS</t>
        </is>
      </c>
      <c r="J1394" s="2" t="n">
        <v>44148</v>
      </c>
      <c r="K1394" s="2" t="n">
        <v>44151</v>
      </c>
      <c r="L1394" s="2" t="n"/>
      <c r="M1394" s="21" t="inlineStr">
        <is>
          <t>01</t>
        </is>
      </c>
      <c r="N1394" s="35" t="n">
        <v>5</v>
      </c>
      <c r="O1394" s="7" t="n">
        <v>15.99</v>
      </c>
      <c r="P1394" s="8" t="inlineStr">
        <is>
          <t>2 semaines</t>
        </is>
      </c>
      <c r="Q1394" s="2" t="n">
        <v>44209</v>
      </c>
    </row>
    <row r="1395">
      <c r="A1395" s="13" t="n">
        <v>34408935</v>
      </c>
      <c r="B1395" s="2">
        <f>INDEX(Tableau1[], MATCH(Tableau3[[#This Row],[REFERENCE]], Tableau1[NUMERO], 0), 2)</f>
        <v/>
      </c>
      <c r="C1395">
        <f>INDEX(Tableau1[], MATCH(Tableau3[[#This Row],[REFERENCE]], Tableau1[NUMERO], 0), 3)</f>
        <v/>
      </c>
      <c r="D1395">
        <f>INDEX(Tableau1[], MATCH(Tableau3[[#This Row],[REFERENCE]], Tableau1[NUMERO], 0),4)</f>
        <v/>
      </c>
      <c r="E1395">
        <f>INDEX(Tableau1[], MATCH(Tableau3[[#This Row],[REFERENCE]], Tableau1[NUMERO], 0), 5)</f>
        <v/>
      </c>
      <c r="H1395" t="inlineStr">
        <is>
          <t>ERIKS</t>
        </is>
      </c>
      <c r="J1395" s="2" t="n">
        <v>44148</v>
      </c>
      <c r="K1395" s="2" t="n">
        <v>44151</v>
      </c>
      <c r="L1395" s="2" t="n"/>
      <c r="M1395" s="21" t="inlineStr">
        <is>
          <t>01</t>
        </is>
      </c>
      <c r="N1395" s="35" t="n">
        <v>5</v>
      </c>
      <c r="O1395" s="7" t="n">
        <v>16.12</v>
      </c>
      <c r="P1395" s="8" t="inlineStr">
        <is>
          <t>2 semaines</t>
        </is>
      </c>
      <c r="Q1395" s="2" t="n">
        <v>44209</v>
      </c>
    </row>
    <row r="1396">
      <c r="A1396" s="13" t="n">
        <v>34408936</v>
      </c>
      <c r="B1396" s="2">
        <f>INDEX(Tableau1[], MATCH(Tableau3[[#This Row],[REFERENCE]], Tableau1[NUMERO], 0), 2)</f>
        <v/>
      </c>
      <c r="C1396">
        <f>INDEX(Tableau1[], MATCH(Tableau3[[#This Row],[REFERENCE]], Tableau1[NUMERO], 0), 3)</f>
        <v/>
      </c>
      <c r="D1396">
        <f>INDEX(Tableau1[], MATCH(Tableau3[[#This Row],[REFERENCE]], Tableau1[NUMERO], 0),4)</f>
        <v/>
      </c>
      <c r="E1396">
        <f>INDEX(Tableau1[], MATCH(Tableau3[[#This Row],[REFERENCE]], Tableau1[NUMERO], 0), 5)</f>
        <v/>
      </c>
      <c r="H1396" t="inlineStr">
        <is>
          <t>ERIKS</t>
        </is>
      </c>
      <c r="J1396" s="2" t="n">
        <v>44148</v>
      </c>
      <c r="K1396" s="2" t="n">
        <v>44151</v>
      </c>
      <c r="L1396" s="2" t="n"/>
      <c r="M1396" s="21" t="inlineStr">
        <is>
          <t>01</t>
        </is>
      </c>
      <c r="N1396" s="35" t="n">
        <v>5</v>
      </c>
      <c r="O1396" s="7" t="n">
        <v>14.27</v>
      </c>
      <c r="P1396" s="8" t="inlineStr">
        <is>
          <t>2 semaines</t>
        </is>
      </c>
      <c r="Q1396" s="2" t="n">
        <v>44209</v>
      </c>
    </row>
    <row r="1397">
      <c r="A1397" s="13" t="n">
        <v>34408938</v>
      </c>
      <c r="B1397" s="2">
        <f>INDEX(Tableau1[], MATCH(Tableau3[[#This Row],[REFERENCE]], Tableau1[NUMERO], 0), 2)</f>
        <v/>
      </c>
      <c r="C1397">
        <f>INDEX(Tableau1[], MATCH(Tableau3[[#This Row],[REFERENCE]], Tableau1[NUMERO], 0), 3)</f>
        <v/>
      </c>
      <c r="D1397">
        <f>INDEX(Tableau1[], MATCH(Tableau3[[#This Row],[REFERENCE]], Tableau1[NUMERO], 0),4)</f>
        <v/>
      </c>
      <c r="E1397">
        <f>INDEX(Tableau1[], MATCH(Tableau3[[#This Row],[REFERENCE]], Tableau1[NUMERO], 0), 5)</f>
        <v/>
      </c>
      <c r="H1397" t="inlineStr">
        <is>
          <t>ERIKS</t>
        </is>
      </c>
      <c r="J1397" s="2" t="n">
        <v>44148</v>
      </c>
      <c r="K1397" s="2" t="n">
        <v>44151</v>
      </c>
      <c r="L1397" s="2" t="n"/>
      <c r="M1397" s="21" t="inlineStr">
        <is>
          <t>01</t>
        </is>
      </c>
      <c r="N1397" s="35" t="n">
        <v>5</v>
      </c>
      <c r="O1397" s="7" t="n">
        <v>16.31</v>
      </c>
      <c r="P1397" s="8" t="inlineStr">
        <is>
          <t>2 semaines</t>
        </is>
      </c>
      <c r="Q1397" s="2" t="n">
        <v>44209</v>
      </c>
    </row>
    <row r="1398">
      <c r="A1398" s="13" t="n">
        <v>34408940</v>
      </c>
      <c r="B1398" s="2">
        <f>INDEX(Tableau1[], MATCH(Tableau3[[#This Row],[REFERENCE]], Tableau1[NUMERO], 0), 2)</f>
        <v/>
      </c>
      <c r="C1398">
        <f>INDEX(Tableau1[], MATCH(Tableau3[[#This Row],[REFERENCE]], Tableau1[NUMERO], 0), 3)</f>
        <v/>
      </c>
      <c r="D1398">
        <f>INDEX(Tableau1[], MATCH(Tableau3[[#This Row],[REFERENCE]], Tableau1[NUMERO], 0),4)</f>
        <v/>
      </c>
      <c r="E1398">
        <f>INDEX(Tableau1[], MATCH(Tableau3[[#This Row],[REFERENCE]], Tableau1[NUMERO], 0), 5)</f>
        <v/>
      </c>
      <c r="H1398" t="inlineStr">
        <is>
          <t>ERIKS</t>
        </is>
      </c>
      <c r="J1398" s="2" t="n">
        <v>44148</v>
      </c>
      <c r="K1398" s="2" t="n">
        <v>44151</v>
      </c>
      <c r="L1398" s="2" t="n"/>
      <c r="M1398" s="21" t="inlineStr">
        <is>
          <t>01</t>
        </is>
      </c>
      <c r="N1398" s="35" t="n">
        <v>5</v>
      </c>
      <c r="O1398" s="7" t="n">
        <v>16.31</v>
      </c>
      <c r="P1398" s="8" t="inlineStr">
        <is>
          <t>2 semaines</t>
        </is>
      </c>
      <c r="Q1398" s="2" t="n">
        <v>44209</v>
      </c>
    </row>
    <row r="1399">
      <c r="A1399" s="13" t="n">
        <v>34408883</v>
      </c>
      <c r="B1399" s="2">
        <f>INDEX(Tableau1[], MATCH(Tableau3[[#This Row],[REFERENCE]], Tableau1[NUMERO], 0), 2)</f>
        <v/>
      </c>
      <c r="C1399">
        <f>INDEX(Tableau1[], MATCH(Tableau3[[#This Row],[REFERENCE]], Tableau1[NUMERO], 0), 3)</f>
        <v/>
      </c>
      <c r="D1399">
        <f>INDEX(Tableau1[], MATCH(Tableau3[[#This Row],[REFERENCE]], Tableau1[NUMERO], 0),4)</f>
        <v/>
      </c>
      <c r="E1399">
        <f>INDEX(Tableau1[], MATCH(Tableau3[[#This Row],[REFERENCE]], Tableau1[NUMERO], 0), 5)</f>
        <v/>
      </c>
      <c r="H1399" t="inlineStr">
        <is>
          <t>ERIKS</t>
        </is>
      </c>
      <c r="J1399" s="2" t="n">
        <v>44148</v>
      </c>
      <c r="K1399" s="2" t="n">
        <v>44151</v>
      </c>
      <c r="L1399" s="2" t="n"/>
      <c r="M1399" s="21" t="inlineStr">
        <is>
          <t>01</t>
        </is>
      </c>
      <c r="N1399" s="35" t="n">
        <v>10</v>
      </c>
      <c r="O1399" s="7" t="n">
        <v>9.94</v>
      </c>
      <c r="P1399" s="8" t="inlineStr">
        <is>
          <t>2 semaines</t>
        </is>
      </c>
      <c r="Q1399" s="2" t="n">
        <v>44209</v>
      </c>
    </row>
    <row r="1400">
      <c r="A1400" s="13" t="n">
        <v>34408897</v>
      </c>
      <c r="B1400" s="2">
        <f>INDEX(Tableau1[], MATCH(Tableau3[[#This Row],[REFERENCE]], Tableau1[NUMERO], 0), 2)</f>
        <v/>
      </c>
      <c r="C1400">
        <f>INDEX(Tableau1[], MATCH(Tableau3[[#This Row],[REFERENCE]], Tableau1[NUMERO], 0), 3)</f>
        <v/>
      </c>
      <c r="D1400">
        <f>INDEX(Tableau1[], MATCH(Tableau3[[#This Row],[REFERENCE]], Tableau1[NUMERO], 0),4)</f>
        <v/>
      </c>
      <c r="E1400">
        <f>INDEX(Tableau1[], MATCH(Tableau3[[#This Row],[REFERENCE]], Tableau1[NUMERO], 0), 5)</f>
        <v/>
      </c>
      <c r="H1400" t="inlineStr">
        <is>
          <t>ERIKS</t>
        </is>
      </c>
      <c r="J1400" s="2" t="n">
        <v>44148</v>
      </c>
      <c r="K1400" s="2" t="n">
        <v>44151</v>
      </c>
      <c r="L1400" s="2" t="n"/>
      <c r="M1400" s="21" t="inlineStr">
        <is>
          <t>01</t>
        </is>
      </c>
      <c r="N1400" s="35" t="n">
        <v>10</v>
      </c>
      <c r="O1400" s="7" t="n">
        <v>9.279999999999999</v>
      </c>
      <c r="P1400" s="8" t="inlineStr">
        <is>
          <t>2 semaines</t>
        </is>
      </c>
      <c r="Q1400" s="2" t="n">
        <v>44209</v>
      </c>
    </row>
    <row r="1401">
      <c r="A1401" s="13" t="n">
        <v>34408934</v>
      </c>
      <c r="B1401" s="2">
        <f>INDEX(Tableau1[], MATCH(Tableau3[[#This Row],[REFERENCE]], Tableau1[NUMERO], 0), 2)</f>
        <v/>
      </c>
      <c r="C1401">
        <f>INDEX(Tableau1[], MATCH(Tableau3[[#This Row],[REFERENCE]], Tableau1[NUMERO], 0), 3)</f>
        <v/>
      </c>
      <c r="D1401">
        <f>INDEX(Tableau1[], MATCH(Tableau3[[#This Row],[REFERENCE]], Tableau1[NUMERO], 0),4)</f>
        <v/>
      </c>
      <c r="E1401">
        <f>INDEX(Tableau1[], MATCH(Tableau3[[#This Row],[REFERENCE]], Tableau1[NUMERO], 0), 5)</f>
        <v/>
      </c>
      <c r="H1401" t="inlineStr">
        <is>
          <t>ERIKS</t>
        </is>
      </c>
      <c r="J1401" s="2" t="n">
        <v>44148</v>
      </c>
      <c r="K1401" s="2" t="n">
        <v>44151</v>
      </c>
      <c r="L1401" s="2" t="n"/>
      <c r="M1401" s="21" t="inlineStr">
        <is>
          <t>01</t>
        </is>
      </c>
      <c r="N1401" s="35" t="n">
        <v>10</v>
      </c>
      <c r="O1401" s="7" t="n">
        <v>9.94</v>
      </c>
      <c r="P1401" s="8" t="inlineStr">
        <is>
          <t>2 semaines</t>
        </is>
      </c>
      <c r="Q1401" s="2" t="n">
        <v>44209</v>
      </c>
    </row>
    <row r="1402">
      <c r="A1402" s="13" t="n">
        <v>34408935</v>
      </c>
      <c r="B1402" s="2">
        <f>INDEX(Tableau1[], MATCH(Tableau3[[#This Row],[REFERENCE]], Tableau1[NUMERO], 0), 2)</f>
        <v/>
      </c>
      <c r="C1402">
        <f>INDEX(Tableau1[], MATCH(Tableau3[[#This Row],[REFERENCE]], Tableau1[NUMERO], 0), 3)</f>
        <v/>
      </c>
      <c r="D1402">
        <f>INDEX(Tableau1[], MATCH(Tableau3[[#This Row],[REFERENCE]], Tableau1[NUMERO], 0),4)</f>
        <v/>
      </c>
      <c r="E1402">
        <f>INDEX(Tableau1[], MATCH(Tableau3[[#This Row],[REFERENCE]], Tableau1[NUMERO], 0), 5)</f>
        <v/>
      </c>
      <c r="H1402" t="inlineStr">
        <is>
          <t>ERIKS</t>
        </is>
      </c>
      <c r="J1402" s="2" t="n">
        <v>44148</v>
      </c>
      <c r="K1402" s="2" t="n">
        <v>44151</v>
      </c>
      <c r="L1402" s="2" t="n"/>
      <c r="M1402" s="21" t="inlineStr">
        <is>
          <t>01</t>
        </is>
      </c>
      <c r="N1402" s="35" t="n">
        <v>10</v>
      </c>
      <c r="O1402" s="7" t="n">
        <v>9.890000000000001</v>
      </c>
      <c r="P1402" s="8" t="inlineStr">
        <is>
          <t>2 semaines</t>
        </is>
      </c>
      <c r="Q1402" s="2" t="n">
        <v>44209</v>
      </c>
    </row>
    <row r="1403">
      <c r="A1403" s="13" t="n">
        <v>34408936</v>
      </c>
      <c r="B1403" s="2">
        <f>INDEX(Tableau1[], MATCH(Tableau3[[#This Row],[REFERENCE]], Tableau1[NUMERO], 0), 2)</f>
        <v/>
      </c>
      <c r="C1403">
        <f>INDEX(Tableau1[], MATCH(Tableau3[[#This Row],[REFERENCE]], Tableau1[NUMERO], 0), 3)</f>
        <v/>
      </c>
      <c r="D1403">
        <f>INDEX(Tableau1[], MATCH(Tableau3[[#This Row],[REFERENCE]], Tableau1[NUMERO], 0),4)</f>
        <v/>
      </c>
      <c r="E1403">
        <f>INDEX(Tableau1[], MATCH(Tableau3[[#This Row],[REFERENCE]], Tableau1[NUMERO], 0), 5)</f>
        <v/>
      </c>
      <c r="H1403" t="inlineStr">
        <is>
          <t>ERIKS</t>
        </is>
      </c>
      <c r="J1403" s="2" t="n">
        <v>44148</v>
      </c>
      <c r="K1403" s="2" t="n">
        <v>44151</v>
      </c>
      <c r="L1403" s="2" t="n"/>
      <c r="M1403" s="21" t="inlineStr">
        <is>
          <t>01</t>
        </is>
      </c>
      <c r="N1403" s="35" t="n">
        <v>10</v>
      </c>
      <c r="O1403" s="7" t="n">
        <v>8.869999999999999</v>
      </c>
      <c r="P1403" s="8" t="inlineStr">
        <is>
          <t>2 semaines</t>
        </is>
      </c>
      <c r="Q1403" s="2" t="n">
        <v>44209</v>
      </c>
    </row>
    <row r="1404">
      <c r="A1404" s="13" t="n">
        <v>34408938</v>
      </c>
      <c r="B1404" s="2">
        <f>INDEX(Tableau1[], MATCH(Tableau3[[#This Row],[REFERENCE]], Tableau1[NUMERO], 0), 2)</f>
        <v/>
      </c>
      <c r="C1404">
        <f>INDEX(Tableau1[], MATCH(Tableau3[[#This Row],[REFERENCE]], Tableau1[NUMERO], 0), 3)</f>
        <v/>
      </c>
      <c r="D1404">
        <f>INDEX(Tableau1[], MATCH(Tableau3[[#This Row],[REFERENCE]], Tableau1[NUMERO], 0),4)</f>
        <v/>
      </c>
      <c r="E1404">
        <f>INDEX(Tableau1[], MATCH(Tableau3[[#This Row],[REFERENCE]], Tableau1[NUMERO], 0), 5)</f>
        <v/>
      </c>
      <c r="H1404" t="inlineStr">
        <is>
          <t>ERIKS</t>
        </is>
      </c>
      <c r="J1404" s="2" t="n">
        <v>44148</v>
      </c>
      <c r="K1404" s="2" t="n">
        <v>44151</v>
      </c>
      <c r="L1404" s="2" t="n"/>
      <c r="M1404" s="21" t="inlineStr">
        <is>
          <t>01</t>
        </is>
      </c>
      <c r="N1404" s="35" t="n">
        <v>10</v>
      </c>
      <c r="O1404" s="7" t="n">
        <v>9.98</v>
      </c>
      <c r="P1404" s="8" t="inlineStr">
        <is>
          <t>2 semaines</t>
        </is>
      </c>
      <c r="Q1404" s="2" t="n">
        <v>44209</v>
      </c>
    </row>
    <row r="1405">
      <c r="A1405" s="13" t="n">
        <v>34408940</v>
      </c>
      <c r="B1405" s="2">
        <f>INDEX(Tableau1[], MATCH(Tableau3[[#This Row],[REFERENCE]], Tableau1[NUMERO], 0), 2)</f>
        <v/>
      </c>
      <c r="C1405">
        <f>INDEX(Tableau1[], MATCH(Tableau3[[#This Row],[REFERENCE]], Tableau1[NUMERO], 0), 3)</f>
        <v/>
      </c>
      <c r="D1405">
        <f>INDEX(Tableau1[], MATCH(Tableau3[[#This Row],[REFERENCE]], Tableau1[NUMERO], 0),4)</f>
        <v/>
      </c>
      <c r="E1405">
        <f>INDEX(Tableau1[], MATCH(Tableau3[[#This Row],[REFERENCE]], Tableau1[NUMERO], 0), 5)</f>
        <v/>
      </c>
      <c r="H1405" t="inlineStr">
        <is>
          <t>ERIKS</t>
        </is>
      </c>
      <c r="J1405" s="2" t="n">
        <v>44148</v>
      </c>
      <c r="K1405" s="2" t="n">
        <v>44151</v>
      </c>
      <c r="L1405" s="2" t="n"/>
      <c r="M1405" s="21" t="inlineStr">
        <is>
          <t>01</t>
        </is>
      </c>
      <c r="N1405" s="35" t="n">
        <v>10</v>
      </c>
      <c r="O1405" s="7" t="n">
        <v>9.99</v>
      </c>
      <c r="P1405" s="8" t="inlineStr">
        <is>
          <t>2 semaines</t>
        </is>
      </c>
      <c r="Q1405" s="2" t="n">
        <v>44209</v>
      </c>
    </row>
    <row r="1406">
      <c r="A1406" s="13" t="n">
        <v>34408883</v>
      </c>
      <c r="B1406" s="2">
        <f>INDEX(Tableau1[], MATCH(Tableau3[[#This Row],[REFERENCE]], Tableau1[NUMERO], 0), 2)</f>
        <v/>
      </c>
      <c r="C1406">
        <f>INDEX(Tableau1[], MATCH(Tableau3[[#This Row],[REFERENCE]], Tableau1[NUMERO], 0), 3)</f>
        <v/>
      </c>
      <c r="D1406">
        <f>INDEX(Tableau1[], MATCH(Tableau3[[#This Row],[REFERENCE]], Tableau1[NUMERO], 0),4)</f>
        <v/>
      </c>
      <c r="E1406">
        <f>INDEX(Tableau1[], MATCH(Tableau3[[#This Row],[REFERENCE]], Tableau1[NUMERO], 0), 5)</f>
        <v/>
      </c>
      <c r="H1406" t="inlineStr">
        <is>
          <t>ERIKS</t>
        </is>
      </c>
      <c r="J1406" s="2" t="n">
        <v>44148</v>
      </c>
      <c r="K1406" s="2" t="n">
        <v>44151</v>
      </c>
      <c r="L1406" s="2" t="n"/>
      <c r="M1406" s="21" t="inlineStr">
        <is>
          <t>01</t>
        </is>
      </c>
      <c r="N1406" s="35" t="n">
        <v>20</v>
      </c>
      <c r="O1406" s="7" t="n">
        <v>7.07</v>
      </c>
      <c r="P1406" s="8" t="inlineStr">
        <is>
          <t>2 semaines</t>
        </is>
      </c>
      <c r="Q1406" s="2" t="n">
        <v>44209</v>
      </c>
    </row>
    <row r="1407">
      <c r="A1407" s="13" t="n">
        <v>34408897</v>
      </c>
      <c r="B1407" s="2">
        <f>INDEX(Tableau1[], MATCH(Tableau3[[#This Row],[REFERENCE]], Tableau1[NUMERO], 0), 2)</f>
        <v/>
      </c>
      <c r="C1407">
        <f>INDEX(Tableau1[], MATCH(Tableau3[[#This Row],[REFERENCE]], Tableau1[NUMERO], 0), 3)</f>
        <v/>
      </c>
      <c r="D1407">
        <f>INDEX(Tableau1[], MATCH(Tableau3[[#This Row],[REFERENCE]], Tableau1[NUMERO], 0),4)</f>
        <v/>
      </c>
      <c r="E1407">
        <f>INDEX(Tableau1[], MATCH(Tableau3[[#This Row],[REFERENCE]], Tableau1[NUMERO], 0), 5)</f>
        <v/>
      </c>
      <c r="H1407" t="inlineStr">
        <is>
          <t>ERIKS</t>
        </is>
      </c>
      <c r="J1407" s="2" t="n">
        <v>44148</v>
      </c>
      <c r="K1407" s="2" t="n">
        <v>44151</v>
      </c>
      <c r="L1407" s="2" t="n"/>
      <c r="M1407" s="21" t="inlineStr">
        <is>
          <t>01</t>
        </is>
      </c>
      <c r="N1407" s="35" t="n">
        <v>20</v>
      </c>
      <c r="O1407" s="7" t="n">
        <v>6.41</v>
      </c>
      <c r="P1407" s="8" t="inlineStr">
        <is>
          <t>2 semaines</t>
        </is>
      </c>
      <c r="Q1407" s="2" t="n">
        <v>44209</v>
      </c>
    </row>
    <row r="1408">
      <c r="A1408" s="13" t="n">
        <v>34408934</v>
      </c>
      <c r="B1408" s="2">
        <f>INDEX(Tableau1[], MATCH(Tableau3[[#This Row],[REFERENCE]], Tableau1[NUMERO], 0), 2)</f>
        <v/>
      </c>
      <c r="C1408">
        <f>INDEX(Tableau1[], MATCH(Tableau3[[#This Row],[REFERENCE]], Tableau1[NUMERO], 0), 3)</f>
        <v/>
      </c>
      <c r="D1408">
        <f>INDEX(Tableau1[], MATCH(Tableau3[[#This Row],[REFERENCE]], Tableau1[NUMERO], 0),4)</f>
        <v/>
      </c>
      <c r="E1408">
        <f>INDEX(Tableau1[], MATCH(Tableau3[[#This Row],[REFERENCE]], Tableau1[NUMERO], 0), 5)</f>
        <v/>
      </c>
      <c r="H1408" t="inlineStr">
        <is>
          <t>ERIKS</t>
        </is>
      </c>
      <c r="J1408" s="2" t="n">
        <v>44148</v>
      </c>
      <c r="K1408" s="2" t="n">
        <v>44151</v>
      </c>
      <c r="L1408" s="2" t="n"/>
      <c r="M1408" s="21" t="inlineStr">
        <is>
          <t>01</t>
        </is>
      </c>
      <c r="N1408" s="35" t="n">
        <v>20</v>
      </c>
      <c r="O1408" s="7" t="n">
        <v>7.07</v>
      </c>
      <c r="P1408" s="8" t="inlineStr">
        <is>
          <t>2 semaines</t>
        </is>
      </c>
      <c r="Q1408" s="2" t="n">
        <v>44209</v>
      </c>
    </row>
    <row r="1409">
      <c r="A1409" s="13" t="n">
        <v>34408935</v>
      </c>
      <c r="B1409" s="2">
        <f>INDEX(Tableau1[], MATCH(Tableau3[[#This Row],[REFERENCE]], Tableau1[NUMERO], 0), 2)</f>
        <v/>
      </c>
      <c r="C1409">
        <f>INDEX(Tableau1[], MATCH(Tableau3[[#This Row],[REFERENCE]], Tableau1[NUMERO], 0), 3)</f>
        <v/>
      </c>
      <c r="D1409">
        <f>INDEX(Tableau1[], MATCH(Tableau3[[#This Row],[REFERENCE]], Tableau1[NUMERO], 0),4)</f>
        <v/>
      </c>
      <c r="E1409">
        <f>INDEX(Tableau1[], MATCH(Tableau3[[#This Row],[REFERENCE]], Tableau1[NUMERO], 0), 5)</f>
        <v/>
      </c>
      <c r="H1409" t="inlineStr">
        <is>
          <t>ERIKS</t>
        </is>
      </c>
      <c r="J1409" s="2" t="n">
        <v>44148</v>
      </c>
      <c r="K1409" s="2" t="n">
        <v>44151</v>
      </c>
      <c r="L1409" s="2" t="n"/>
      <c r="M1409" s="21" t="inlineStr">
        <is>
          <t>01</t>
        </is>
      </c>
      <c r="N1409" s="35" t="n">
        <v>20</v>
      </c>
      <c r="O1409" s="7" t="n">
        <v>7.02</v>
      </c>
      <c r="P1409" s="8" t="inlineStr">
        <is>
          <t>2 semaines</t>
        </is>
      </c>
      <c r="Q1409" s="2" t="n">
        <v>44209</v>
      </c>
    </row>
    <row r="1410">
      <c r="A1410" s="13" t="n">
        <v>34408936</v>
      </c>
      <c r="B1410" s="2">
        <f>INDEX(Tableau1[], MATCH(Tableau3[[#This Row],[REFERENCE]], Tableau1[NUMERO], 0), 2)</f>
        <v/>
      </c>
      <c r="C1410">
        <f>INDEX(Tableau1[], MATCH(Tableau3[[#This Row],[REFERENCE]], Tableau1[NUMERO], 0), 3)</f>
        <v/>
      </c>
      <c r="D1410">
        <f>INDEX(Tableau1[], MATCH(Tableau3[[#This Row],[REFERENCE]], Tableau1[NUMERO], 0),4)</f>
        <v/>
      </c>
      <c r="E1410">
        <f>INDEX(Tableau1[], MATCH(Tableau3[[#This Row],[REFERENCE]], Tableau1[NUMERO], 0), 5)</f>
        <v/>
      </c>
      <c r="H1410" t="inlineStr">
        <is>
          <t>ERIKS</t>
        </is>
      </c>
      <c r="J1410" s="2" t="n">
        <v>44148</v>
      </c>
      <c r="K1410" s="2" t="n">
        <v>44151</v>
      </c>
      <c r="L1410" s="2" t="n"/>
      <c r="M1410" s="21" t="inlineStr">
        <is>
          <t>01</t>
        </is>
      </c>
      <c r="N1410" s="35" t="n">
        <v>20</v>
      </c>
      <c r="O1410" s="7" t="n">
        <v>6</v>
      </c>
      <c r="P1410" s="8" t="inlineStr">
        <is>
          <t>2 semaines</t>
        </is>
      </c>
      <c r="Q1410" s="2" t="n">
        <v>44209</v>
      </c>
    </row>
    <row r="1411">
      <c r="A1411" s="13" t="n">
        <v>34408938</v>
      </c>
      <c r="B1411" s="2">
        <f>INDEX(Tableau1[], MATCH(Tableau3[[#This Row],[REFERENCE]], Tableau1[NUMERO], 0), 2)</f>
        <v/>
      </c>
      <c r="C1411">
        <f>INDEX(Tableau1[], MATCH(Tableau3[[#This Row],[REFERENCE]], Tableau1[NUMERO], 0), 3)</f>
        <v/>
      </c>
      <c r="D1411">
        <f>INDEX(Tableau1[], MATCH(Tableau3[[#This Row],[REFERENCE]], Tableau1[NUMERO], 0),4)</f>
        <v/>
      </c>
      <c r="E1411">
        <f>INDEX(Tableau1[], MATCH(Tableau3[[#This Row],[REFERENCE]], Tableau1[NUMERO], 0), 5)</f>
        <v/>
      </c>
      <c r="H1411" t="inlineStr">
        <is>
          <t>ERIKS</t>
        </is>
      </c>
      <c r="J1411" s="2" t="n">
        <v>44148</v>
      </c>
      <c r="K1411" s="2" t="n">
        <v>44151</v>
      </c>
      <c r="L1411" s="2" t="n"/>
      <c r="M1411" s="21" t="inlineStr">
        <is>
          <t>01</t>
        </is>
      </c>
      <c r="N1411" s="35" t="n">
        <v>20</v>
      </c>
      <c r="O1411" s="7" t="n">
        <v>7.11</v>
      </c>
      <c r="P1411" s="8" t="inlineStr">
        <is>
          <t>2 semaines</t>
        </is>
      </c>
      <c r="Q1411" s="2" t="n">
        <v>44209</v>
      </c>
    </row>
    <row r="1412" ht="15.75" customFormat="1" customHeight="1" s="58" thickBot="1">
      <c r="A1412" s="105" t="n">
        <v>34408940</v>
      </c>
      <c r="B1412" s="57">
        <f>INDEX(Tableau1[], MATCH(Tableau3[[#This Row],[REFERENCE]], Tableau1[NUMERO], 0), 2)</f>
        <v/>
      </c>
      <c r="C1412" s="58">
        <f>INDEX(Tableau1[], MATCH(Tableau3[[#This Row],[REFERENCE]], Tableau1[NUMERO], 0), 3)</f>
        <v/>
      </c>
      <c r="D1412" s="58">
        <f>INDEX(Tableau1[], MATCH(Tableau3[[#This Row],[REFERENCE]], Tableau1[NUMERO], 0),4)</f>
        <v/>
      </c>
      <c r="E1412" s="58">
        <f>INDEX(Tableau1[], MATCH(Tableau3[[#This Row],[REFERENCE]], Tableau1[NUMERO], 0), 5)</f>
        <v/>
      </c>
      <c r="H1412" s="58" t="inlineStr">
        <is>
          <t>ERIKS</t>
        </is>
      </c>
      <c r="I1412" s="56" t="n"/>
      <c r="J1412" s="57" t="n">
        <v>44148</v>
      </c>
      <c r="K1412" s="57" t="n">
        <v>44151</v>
      </c>
      <c r="L1412" s="57" t="n"/>
      <c r="M1412" s="59" t="inlineStr">
        <is>
          <t>01</t>
        </is>
      </c>
      <c r="N1412" s="60" t="n">
        <v>20</v>
      </c>
      <c r="O1412" s="61" t="n">
        <v>7.12</v>
      </c>
      <c r="P1412" s="56" t="inlineStr">
        <is>
          <t>2 semaines</t>
        </is>
      </c>
      <c r="Q1412" s="57" t="n">
        <v>44209</v>
      </c>
    </row>
    <row r="1413" ht="16.5" customHeight="1" s="142" thickBot="1" thickTop="1">
      <c r="A1413" s="8" t="n">
        <v>34408950</v>
      </c>
      <c r="B1413" s="2">
        <f>INDEX(Tableau1[], MATCH(Tableau3[[#This Row],[REFERENCE]], Tableau1[NUMERO], 0), 2)</f>
        <v/>
      </c>
      <c r="C1413">
        <f>INDEX(Tableau1[], MATCH(Tableau3[[#This Row],[REFERENCE]], Tableau1[NUMERO], 0), 3)</f>
        <v/>
      </c>
      <c r="D1413">
        <f>INDEX(Tableau1[], MATCH(Tableau3[[#This Row],[REFERENCE]], Tableau1[NUMERO], 0),4)</f>
        <v/>
      </c>
      <c r="E1413">
        <f>INDEX(Tableau1[], MATCH(Tableau3[[#This Row],[REFERENCE]], Tableau1[NUMERO], 0), 5)</f>
        <v/>
      </c>
      <c r="H1413" t="inlineStr">
        <is>
          <t>SAREL</t>
        </is>
      </c>
      <c r="J1413" s="2" t="n">
        <v>44154</v>
      </c>
      <c r="K1413" s="2" t="n">
        <v>44158</v>
      </c>
      <c r="L1413" s="2" t="n"/>
      <c r="M1413" s="21" t="inlineStr">
        <is>
          <t>00</t>
        </is>
      </c>
      <c r="N1413" s="35" t="n">
        <v>5</v>
      </c>
      <c r="O1413" s="7" t="n">
        <v>49.73</v>
      </c>
      <c r="P1413" s="8" t="inlineStr">
        <is>
          <t>15 jours</t>
        </is>
      </c>
      <c r="Q1413" s="2" t="n"/>
    </row>
    <row r="1414" ht="15.75" customFormat="1" customHeight="1" s="52" thickTop="1">
      <c r="A1414" s="50" t="n">
        <v>34408957</v>
      </c>
      <c r="B1414" s="51">
        <f>INDEX(Tableau1[], MATCH(Tableau3[[#This Row],[REFERENCE]], Tableau1[NUMERO], 0), 2)</f>
        <v/>
      </c>
      <c r="C1414" s="52">
        <f>INDEX(Tableau1[], MATCH(Tableau3[[#This Row],[REFERENCE]], Tableau1[NUMERO], 0), 3)</f>
        <v/>
      </c>
      <c r="D1414" s="52">
        <f>INDEX(Tableau1[], MATCH(Tableau3[[#This Row],[REFERENCE]], Tableau1[NUMERO], 0),4)</f>
        <v/>
      </c>
      <c r="E1414" s="52">
        <f>INDEX(Tableau1[], MATCH(Tableau3[[#This Row],[REFERENCE]], Tableau1[NUMERO], 0), 5)</f>
        <v/>
      </c>
      <c r="H1414" s="52" t="inlineStr">
        <is>
          <t>lasertechnic</t>
        </is>
      </c>
      <c r="I1414" s="50" t="n"/>
      <c r="J1414" s="51" t="n">
        <v>44162</v>
      </c>
      <c r="K1414" s="51" t="n">
        <v>44162</v>
      </c>
      <c r="L1414" s="51" t="n"/>
      <c r="M1414" s="53" t="inlineStr">
        <is>
          <t>01</t>
        </is>
      </c>
      <c r="N1414" s="54" t="n">
        <v>1</v>
      </c>
      <c r="O1414" s="55" t="n">
        <v>12</v>
      </c>
      <c r="P1414" s="109" t="n">
        <v>44139</v>
      </c>
      <c r="Q1414" s="51" t="n">
        <v>44254</v>
      </c>
    </row>
    <row r="1415">
      <c r="A1415" s="8" t="n">
        <v>34408958</v>
      </c>
      <c r="B1415" s="2">
        <f>INDEX(Tableau1[], MATCH(Tableau3[[#This Row],[REFERENCE]], Tableau1[NUMERO], 0), 2)</f>
        <v/>
      </c>
      <c r="C1415">
        <f>INDEX(Tableau1[], MATCH(Tableau3[[#This Row],[REFERENCE]], Tableau1[NUMERO], 0), 3)</f>
        <v/>
      </c>
      <c r="D1415">
        <f>INDEX(Tableau1[], MATCH(Tableau3[[#This Row],[REFERENCE]], Tableau1[NUMERO], 0),4)</f>
        <v/>
      </c>
      <c r="E1415">
        <f>INDEX(Tableau1[], MATCH(Tableau3[[#This Row],[REFERENCE]], Tableau1[NUMERO], 0), 5)</f>
        <v/>
      </c>
      <c r="H1415" t="inlineStr">
        <is>
          <t>lasertechnic</t>
        </is>
      </c>
      <c r="J1415" s="2" t="n">
        <v>44162</v>
      </c>
      <c r="K1415" s="2" t="n">
        <v>44162</v>
      </c>
      <c r="L1415" s="2" t="n"/>
      <c r="M1415" s="21" t="inlineStr">
        <is>
          <t>01</t>
        </is>
      </c>
      <c r="N1415" s="35" t="n">
        <v>1</v>
      </c>
      <c r="O1415" s="7" t="n">
        <v>19</v>
      </c>
      <c r="P1415" s="110" t="n">
        <v>44139</v>
      </c>
      <c r="Q1415" s="2" t="n">
        <v>44254</v>
      </c>
    </row>
    <row r="1416">
      <c r="A1416" s="8" t="n">
        <v>34408967</v>
      </c>
      <c r="B1416" s="2">
        <f>INDEX(Tableau1[], MATCH(Tableau3[[#This Row],[REFERENCE]], Tableau1[NUMERO], 0), 2)</f>
        <v/>
      </c>
      <c r="C1416">
        <f>INDEX(Tableau1[], MATCH(Tableau3[[#This Row],[REFERENCE]], Tableau1[NUMERO], 0), 3)</f>
        <v/>
      </c>
      <c r="D1416">
        <f>INDEX(Tableau1[], MATCH(Tableau3[[#This Row],[REFERENCE]], Tableau1[NUMERO], 0),4)</f>
        <v/>
      </c>
      <c r="E1416">
        <f>INDEX(Tableau1[], MATCH(Tableau3[[#This Row],[REFERENCE]], Tableau1[NUMERO], 0), 5)</f>
        <v/>
      </c>
      <c r="H1416" t="inlineStr">
        <is>
          <t>lasertechnic</t>
        </is>
      </c>
      <c r="J1416" s="2" t="n">
        <v>44162</v>
      </c>
      <c r="K1416" s="2" t="n">
        <v>44162</v>
      </c>
      <c r="L1416" s="2" t="n"/>
      <c r="M1416" s="21" t="inlineStr">
        <is>
          <t>01</t>
        </is>
      </c>
      <c r="N1416" s="35" t="n">
        <v>4</v>
      </c>
      <c r="O1416" s="7" t="n">
        <v>3</v>
      </c>
      <c r="P1416" s="110" t="n">
        <v>44139</v>
      </c>
      <c r="Q1416" s="2" t="n">
        <v>44254</v>
      </c>
    </row>
    <row r="1417" ht="15.75" customFormat="1" customHeight="1" s="58" thickBot="1">
      <c r="A1417" s="56" t="n">
        <v>34408968</v>
      </c>
      <c r="B1417" s="57">
        <f>INDEX(Tableau1[], MATCH(Tableau3[[#This Row],[REFERENCE]], Tableau1[NUMERO], 0), 2)</f>
        <v/>
      </c>
      <c r="C1417" s="58">
        <f>INDEX(Tableau1[], MATCH(Tableau3[[#This Row],[REFERENCE]], Tableau1[NUMERO], 0), 3)</f>
        <v/>
      </c>
      <c r="D1417" s="58">
        <f>INDEX(Tableau1[], MATCH(Tableau3[[#This Row],[REFERENCE]], Tableau1[NUMERO], 0),4)</f>
        <v/>
      </c>
      <c r="E1417" s="58">
        <f>INDEX(Tableau1[], MATCH(Tableau3[[#This Row],[REFERENCE]], Tableau1[NUMERO], 0), 5)</f>
        <v/>
      </c>
      <c r="H1417" s="58" t="inlineStr">
        <is>
          <t>lasertechnic</t>
        </is>
      </c>
      <c r="I1417" s="56" t="n"/>
      <c r="J1417" s="57" t="n">
        <v>44162</v>
      </c>
      <c r="K1417" s="57" t="n">
        <v>44162</v>
      </c>
      <c r="L1417" s="57" t="n"/>
      <c r="M1417" s="59" t="inlineStr">
        <is>
          <t>01</t>
        </is>
      </c>
      <c r="N1417" s="60" t="n">
        <v>1</v>
      </c>
      <c r="O1417" s="61" t="n">
        <v>6</v>
      </c>
      <c r="P1417" s="111" t="n">
        <v>44139</v>
      </c>
      <c r="Q1417" s="57" t="n">
        <v>44254</v>
      </c>
    </row>
    <row r="1418" ht="16.5" customHeight="1" s="142" thickBot="1" thickTop="1">
      <c r="A1418" s="8" t="n">
        <v>34408990</v>
      </c>
      <c r="B1418" s="2">
        <f>INDEX(Tableau1[], MATCH(Tableau3[[#This Row],[REFERENCE]], Tableau1[NUMERO], 0), 2)</f>
        <v/>
      </c>
      <c r="C1418">
        <f>INDEX(Tableau1[], MATCH(Tableau3[[#This Row],[REFERENCE]], Tableau1[NUMERO], 0), 3)</f>
        <v/>
      </c>
      <c r="D1418">
        <f>INDEX(Tableau1[], MATCH(Tableau3[[#This Row],[REFERENCE]], Tableau1[NUMERO], 0),4)</f>
        <v/>
      </c>
      <c r="E1418">
        <f>INDEX(Tableau1[], MATCH(Tableau3[[#This Row],[REFERENCE]], Tableau1[NUMERO], 0), 5)</f>
        <v/>
      </c>
      <c r="H1418" t="inlineStr">
        <is>
          <t>fontaine insertion</t>
        </is>
      </c>
      <c r="J1418" s="2" t="n">
        <v>44165</v>
      </c>
      <c r="K1418" s="2" t="n">
        <v>44165</v>
      </c>
      <c r="L1418" s="2" t="n"/>
      <c r="M1418" s="21" t="inlineStr">
        <is>
          <t>00</t>
        </is>
      </c>
      <c r="N1418" s="35" t="n">
        <v>18</v>
      </c>
      <c r="O1418" s="7" t="n">
        <v>4.15</v>
      </c>
      <c r="P1418" s="78" t="inlineStr">
        <is>
          <t>1 à 3 semaines</t>
        </is>
      </c>
      <c r="Q1418" s="2" t="inlineStr">
        <is>
          <t>30/02/2021</t>
        </is>
      </c>
    </row>
    <row r="1419" ht="16.5" customFormat="1" customHeight="1" s="80" thickBot="1" thickTop="1">
      <c r="A1419" s="78" t="n">
        <v>34408990</v>
      </c>
      <c r="B1419" s="79">
        <f>INDEX(Tableau1[], MATCH(Tableau3[[#This Row],[REFERENCE]], Tableau1[NUMERO], 0), 2)</f>
        <v/>
      </c>
      <c r="C1419" s="80">
        <f>INDEX(Tableau1[], MATCH(Tableau3[[#This Row],[REFERENCE]], Tableau1[NUMERO], 0), 3)</f>
        <v/>
      </c>
      <c r="D1419" s="80">
        <f>INDEX(Tableau1[], MATCH(Tableau3[[#This Row],[REFERENCE]], Tableau1[NUMERO], 0),4)</f>
        <v/>
      </c>
      <c r="E1419" s="80">
        <f>INDEX(Tableau1[], MATCH(Tableau3[[#This Row],[REFERENCE]], Tableau1[NUMERO], 0), 5)</f>
        <v/>
      </c>
      <c r="H1419" s="80" t="inlineStr">
        <is>
          <t>CHENEY Sérigraphie</t>
        </is>
      </c>
      <c r="I1419" s="78" t="n"/>
      <c r="J1419" s="79" t="n">
        <v>44165</v>
      </c>
      <c r="K1419" s="98" t="inlineStr">
        <is>
          <t>refus de devis</t>
        </is>
      </c>
      <c r="L1419" s="79" t="n"/>
      <c r="M1419" s="81" t="inlineStr">
        <is>
          <t>00</t>
        </is>
      </c>
      <c r="N1419" s="82" t="n">
        <v>18</v>
      </c>
      <c r="O1419" s="83" t="n"/>
      <c r="P1419" s="78" t="n"/>
      <c r="Q1419" s="79" t="n"/>
    </row>
    <row r="1420" ht="16.5" customFormat="1" customHeight="1" s="80" thickBot="1" thickTop="1">
      <c r="A1420" s="78" t="n">
        <v>34408990</v>
      </c>
      <c r="B1420" s="79">
        <f>INDEX(Tableau1[], MATCH(Tableau3[[#This Row],[REFERENCE]], Tableau1[NUMERO], 0), 2)</f>
        <v/>
      </c>
      <c r="C1420" s="80">
        <f>INDEX(Tableau1[], MATCH(Tableau3[[#This Row],[REFERENCE]], Tableau1[NUMERO], 0), 3)</f>
        <v/>
      </c>
      <c r="D1420" s="80">
        <f>INDEX(Tableau1[], MATCH(Tableau3[[#This Row],[REFERENCE]], Tableau1[NUMERO], 0),4)</f>
        <v/>
      </c>
      <c r="E1420" s="80">
        <f>INDEX(Tableau1[], MATCH(Tableau3[[#This Row],[REFERENCE]], Tableau1[NUMERO], 0), 5)</f>
        <v/>
      </c>
      <c r="H1420" s="80" t="inlineStr">
        <is>
          <t>DS SMITH</t>
        </is>
      </c>
      <c r="I1420" s="78" t="n"/>
      <c r="J1420" s="79" t="inlineStr">
        <is>
          <t>30/11/2020 relancé le 03/12</t>
        </is>
      </c>
      <c r="K1420" s="79" t="n">
        <v>44172</v>
      </c>
      <c r="L1420" s="79" t="n"/>
      <c r="M1420" s="81" t="inlineStr">
        <is>
          <t>00</t>
        </is>
      </c>
      <c r="N1420" s="82" t="n">
        <v>18</v>
      </c>
      <c r="O1420" s="83" t="n">
        <v>6.65</v>
      </c>
      <c r="P1420" s="78" t="inlineStr">
        <is>
          <t>10 jours</t>
        </is>
      </c>
      <c r="Q1420" s="79" t="n">
        <v>43897</v>
      </c>
    </row>
    <row r="1421" ht="15.75" customHeight="1" s="142" thickTop="1">
      <c r="A1421" s="8" t="n">
        <v>34408994</v>
      </c>
      <c r="B1421" s="2">
        <f>INDEX(Tableau1[], MATCH(Tableau3[[#This Row],[REFERENCE]], Tableau1[NUMERO], 0), 2)</f>
        <v/>
      </c>
      <c r="C1421">
        <f>INDEX(Tableau1[], MATCH(Tableau3[[#This Row],[REFERENCE]], Tableau1[NUMERO], 0), 3)</f>
        <v/>
      </c>
      <c r="D1421">
        <f>INDEX(Tableau1[], MATCH(Tableau3[[#This Row],[REFERENCE]], Tableau1[NUMERO], 0),4)</f>
        <v/>
      </c>
      <c r="E1421">
        <f>INDEX(Tableau1[], MATCH(Tableau3[[#This Row],[REFERENCE]], Tableau1[NUMERO], 0), 5)</f>
        <v/>
      </c>
      <c r="H1421" t="inlineStr">
        <is>
          <t>lasertechnic</t>
        </is>
      </c>
      <c r="J1421" s="2" t="n">
        <v>44166</v>
      </c>
      <c r="K1421" s="2" t="n">
        <v>44168</v>
      </c>
      <c r="L1421" s="2" t="n"/>
      <c r="M1421" s="21" t="inlineStr">
        <is>
          <t>01</t>
        </is>
      </c>
      <c r="N1421" s="35" t="n">
        <v>4</v>
      </c>
      <c r="O1421" s="7" t="n">
        <v>18</v>
      </c>
      <c r="P1421" s="8" t="inlineStr">
        <is>
          <t>5 jours</t>
        </is>
      </c>
      <c r="Q1421" s="2" t="n">
        <v>44258</v>
      </c>
    </row>
    <row r="1422">
      <c r="A1422" s="8" t="n">
        <v>34408997</v>
      </c>
      <c r="B1422" s="2">
        <f>INDEX(Tableau1[], MATCH(Tableau3[[#This Row],[REFERENCE]], Tableau1[NUMERO], 0), 2)</f>
        <v/>
      </c>
      <c r="C1422">
        <f>INDEX(Tableau1[], MATCH(Tableau3[[#This Row],[REFERENCE]], Tableau1[NUMERO], 0), 3)</f>
        <v/>
      </c>
      <c r="D1422">
        <f>INDEX(Tableau1[], MATCH(Tableau3[[#This Row],[REFERENCE]], Tableau1[NUMERO], 0),4)</f>
        <v/>
      </c>
      <c r="E1422">
        <f>INDEX(Tableau1[], MATCH(Tableau3[[#This Row],[REFERENCE]], Tableau1[NUMERO], 0), 5)</f>
        <v/>
      </c>
      <c r="H1422" t="inlineStr">
        <is>
          <t>lasertechnic</t>
        </is>
      </c>
      <c r="J1422" s="2" t="n">
        <v>44166</v>
      </c>
      <c r="K1422" s="2" t="n">
        <v>44168</v>
      </c>
      <c r="L1422" s="2" t="n"/>
      <c r="M1422" s="21" t="inlineStr">
        <is>
          <t>01</t>
        </is>
      </c>
      <c r="N1422" s="35" t="n">
        <v>4</v>
      </c>
      <c r="O1422" s="7" t="n">
        <v>18</v>
      </c>
      <c r="P1422" s="8" t="inlineStr">
        <is>
          <t>5 jours</t>
        </is>
      </c>
      <c r="Q1422" s="2" t="n">
        <v>44258</v>
      </c>
    </row>
    <row r="1423" ht="15.75" customHeight="1" s="142" thickBot="1">
      <c r="A1423" s="8" t="n">
        <v>34408995</v>
      </c>
      <c r="B1423" s="2">
        <f>INDEX(Tableau1[], MATCH(Tableau3[[#This Row],[REFERENCE]], Tableau1[NUMERO], 0), 2)</f>
        <v/>
      </c>
      <c r="C1423">
        <f>INDEX(Tableau1[], MATCH(Tableau3[[#This Row],[REFERENCE]], Tableau1[NUMERO], 0), 3)</f>
        <v/>
      </c>
      <c r="D1423">
        <f>INDEX(Tableau1[], MATCH(Tableau3[[#This Row],[REFERENCE]], Tableau1[NUMERO], 0),4)</f>
        <v/>
      </c>
      <c r="E1423">
        <f>INDEX(Tableau1[], MATCH(Tableau3[[#This Row],[REFERENCE]], Tableau1[NUMERO], 0), 5)</f>
        <v/>
      </c>
      <c r="H1423" t="inlineStr">
        <is>
          <t>lasertechnic</t>
        </is>
      </c>
      <c r="J1423" s="2" t="n">
        <v>44166</v>
      </c>
      <c r="K1423" s="2" t="n">
        <v>44168</v>
      </c>
      <c r="L1423" s="2" t="n"/>
      <c r="M1423" s="21" t="inlineStr">
        <is>
          <t>01</t>
        </is>
      </c>
      <c r="N1423" s="35" t="n">
        <v>1</v>
      </c>
      <c r="O1423" s="7" t="n">
        <v>18</v>
      </c>
      <c r="P1423" s="8" t="inlineStr">
        <is>
          <t>5 jours</t>
        </is>
      </c>
      <c r="Q1423" s="2" t="n">
        <v>44258</v>
      </c>
    </row>
    <row r="1424" ht="16.5" customFormat="1" customHeight="1" s="80" thickBot="1" thickTop="1">
      <c r="A1424" s="78" t="n">
        <v>34409019</v>
      </c>
      <c r="B1424" s="79">
        <f>INDEX(Tableau1[], MATCH(Tableau3[[#This Row],[REFERENCE]], Tableau1[NUMERO], 0), 2)</f>
        <v/>
      </c>
      <c r="C1424" s="80">
        <f>INDEX(Tableau1[], MATCH(Tableau3[[#This Row],[REFERENCE]], Tableau1[NUMERO], 0), 3)</f>
        <v/>
      </c>
      <c r="D1424" s="80">
        <f>INDEX(Tableau1[], MATCH(Tableau3[[#This Row],[REFERENCE]], Tableau1[NUMERO], 0),4)</f>
        <v/>
      </c>
      <c r="E1424" s="80">
        <f>INDEX(Tableau1[], MATCH(Tableau3[[#This Row],[REFERENCE]], Tableau1[NUMERO], 0), 5)</f>
        <v/>
      </c>
      <c r="H1424" s="80" t="inlineStr">
        <is>
          <t>comatel</t>
        </is>
      </c>
      <c r="I1424" s="78" t="n"/>
      <c r="J1424" s="79" t="n">
        <v>44174</v>
      </c>
      <c r="K1424" s="79" t="n">
        <v>44175</v>
      </c>
      <c r="L1424" s="79" t="n"/>
      <c r="M1424" s="81" t="inlineStr">
        <is>
          <t>01</t>
        </is>
      </c>
      <c r="N1424" s="82" t="n">
        <v>1</v>
      </c>
      <c r="O1424" s="83" t="n">
        <v>8.960000000000001</v>
      </c>
      <c r="P1424" s="78" t="inlineStr">
        <is>
          <t>2 semaines</t>
        </is>
      </c>
      <c r="Q1424" s="79" t="n">
        <v>44265</v>
      </c>
    </row>
    <row r="1425" ht="15.75" customHeight="1" s="142" thickTop="1">
      <c r="A1425" s="8" t="n">
        <v>34409015</v>
      </c>
      <c r="B1425" s="2">
        <f>INDEX(Tableau1[], MATCH(Tableau3[[#This Row],[REFERENCE]], Tableau1[NUMERO], 0), 2)</f>
        <v/>
      </c>
      <c r="C1425">
        <f>INDEX(Tableau1[], MATCH(Tableau3[[#This Row],[REFERENCE]], Tableau1[NUMERO], 0), 3)</f>
        <v/>
      </c>
      <c r="D1425">
        <f>INDEX(Tableau1[], MATCH(Tableau3[[#This Row],[REFERENCE]], Tableau1[NUMERO], 0),4)</f>
        <v/>
      </c>
      <c r="E1425">
        <f>INDEX(Tableau1[], MATCH(Tableau3[[#This Row],[REFERENCE]], Tableau1[NUMERO], 0), 5)</f>
        <v/>
      </c>
      <c r="H1425" t="inlineStr">
        <is>
          <t>trefimetaux</t>
        </is>
      </c>
      <c r="J1425" s="2" t="n">
        <v>44174</v>
      </c>
      <c r="K1425" s="2" t="inlineStr">
        <is>
          <t>nouvelle demande suite indice 02</t>
        </is>
      </c>
      <c r="L1425" s="2" t="n"/>
      <c r="M1425" s="21" t="inlineStr">
        <is>
          <t>01</t>
        </is>
      </c>
      <c r="N1425" s="35" t="n">
        <v>2</v>
      </c>
      <c r="P1425" s="8" t="n"/>
      <c r="Q1425" s="2" t="n"/>
    </row>
    <row r="1426">
      <c r="A1426" s="8" t="n">
        <v>34409016</v>
      </c>
      <c r="B1426" s="2">
        <f>INDEX(Tableau1[], MATCH(Tableau3[[#This Row],[REFERENCE]], Tableau1[NUMERO], 0), 2)</f>
        <v/>
      </c>
      <c r="C1426">
        <f>INDEX(Tableau1[], MATCH(Tableau3[[#This Row],[REFERENCE]], Tableau1[NUMERO], 0), 3)</f>
        <v/>
      </c>
      <c r="D1426">
        <f>INDEX(Tableau1[], MATCH(Tableau3[[#This Row],[REFERENCE]], Tableau1[NUMERO], 0),4)</f>
        <v/>
      </c>
      <c r="E1426">
        <f>INDEX(Tableau1[], MATCH(Tableau3[[#This Row],[REFERENCE]], Tableau1[NUMERO], 0), 5)</f>
        <v/>
      </c>
      <c r="H1426" t="inlineStr">
        <is>
          <t>trefimetaux</t>
        </is>
      </c>
      <c r="J1426" s="2" t="n">
        <v>44174</v>
      </c>
      <c r="K1426" s="2" t="inlineStr">
        <is>
          <t>nouvelle demande suite indice 02</t>
        </is>
      </c>
      <c r="L1426" s="2" t="n"/>
      <c r="M1426" s="21" t="inlineStr">
        <is>
          <t>01</t>
        </is>
      </c>
      <c r="N1426" s="35" t="n">
        <v>8</v>
      </c>
      <c r="P1426" s="8" t="n"/>
      <c r="Q1426" s="2" t="n"/>
    </row>
    <row r="1427">
      <c r="A1427" s="8" t="n">
        <v>34409017</v>
      </c>
      <c r="B1427" s="2">
        <f>INDEX(Tableau1[], MATCH(Tableau3[[#This Row],[REFERENCE]], Tableau1[NUMERO], 0), 2)</f>
        <v/>
      </c>
      <c r="C1427">
        <f>INDEX(Tableau1[], MATCH(Tableau3[[#This Row],[REFERENCE]], Tableau1[NUMERO], 0), 3)</f>
        <v/>
      </c>
      <c r="D1427">
        <f>INDEX(Tableau1[], MATCH(Tableau3[[#This Row],[REFERENCE]], Tableau1[NUMERO], 0),4)</f>
        <v/>
      </c>
      <c r="E1427">
        <f>INDEX(Tableau1[], MATCH(Tableau3[[#This Row],[REFERENCE]], Tableau1[NUMERO], 0), 5)</f>
        <v/>
      </c>
      <c r="H1427" t="inlineStr">
        <is>
          <t>trefimetaux</t>
        </is>
      </c>
      <c r="J1427" s="2" t="n">
        <v>44174</v>
      </c>
      <c r="K1427" s="2" t="inlineStr">
        <is>
          <t>nouvelle demande suite indice 02</t>
        </is>
      </c>
      <c r="L1427" s="2" t="n"/>
      <c r="M1427" s="21" t="inlineStr">
        <is>
          <t>01</t>
        </is>
      </c>
      <c r="N1427" s="35" t="n">
        <v>8</v>
      </c>
      <c r="P1427" s="8" t="n"/>
      <c r="Q1427" s="2" t="n"/>
    </row>
    <row r="1428">
      <c r="A1428" s="8" t="n">
        <v>34409021</v>
      </c>
      <c r="B1428" s="2">
        <f>INDEX(Tableau1[], MATCH(Tableau3[[#This Row],[REFERENCE]], Tableau1[NUMERO], 0), 2)</f>
        <v/>
      </c>
      <c r="C1428">
        <f>INDEX(Tableau1[], MATCH(Tableau3[[#This Row],[REFERENCE]], Tableau1[NUMERO], 0), 3)</f>
        <v/>
      </c>
      <c r="D1428">
        <f>INDEX(Tableau1[], MATCH(Tableau3[[#This Row],[REFERENCE]], Tableau1[NUMERO], 0),4)</f>
        <v/>
      </c>
      <c r="E1428">
        <f>INDEX(Tableau1[], MATCH(Tableau3[[#This Row],[REFERENCE]], Tableau1[NUMERO], 0), 5)</f>
        <v/>
      </c>
      <c r="H1428" t="inlineStr">
        <is>
          <t>trefimetaux</t>
        </is>
      </c>
      <c r="J1428" s="2" t="n">
        <v>44174</v>
      </c>
      <c r="K1428" s="2" t="inlineStr">
        <is>
          <t>nouvelle demande suite indice 02</t>
        </is>
      </c>
      <c r="L1428" s="2" t="n"/>
      <c r="M1428" s="21" t="inlineStr">
        <is>
          <t>01</t>
        </is>
      </c>
      <c r="N1428" s="35" t="n">
        <v>2</v>
      </c>
      <c r="P1428" s="8" t="n"/>
      <c r="Q1428" s="2" t="n"/>
    </row>
    <row r="1429">
      <c r="A1429" s="8" t="n">
        <v>34409022</v>
      </c>
      <c r="B1429" s="2">
        <f>INDEX(Tableau1[], MATCH(Tableau3[[#This Row],[REFERENCE]], Tableau1[NUMERO], 0), 2)</f>
        <v/>
      </c>
      <c r="C1429">
        <f>INDEX(Tableau1[], MATCH(Tableau3[[#This Row],[REFERENCE]], Tableau1[NUMERO], 0), 3)</f>
        <v/>
      </c>
      <c r="D1429">
        <f>INDEX(Tableau1[], MATCH(Tableau3[[#This Row],[REFERENCE]], Tableau1[NUMERO], 0),4)</f>
        <v/>
      </c>
      <c r="E1429">
        <f>INDEX(Tableau1[], MATCH(Tableau3[[#This Row],[REFERENCE]], Tableau1[NUMERO], 0), 5)</f>
        <v/>
      </c>
      <c r="H1429" t="inlineStr">
        <is>
          <t>trefimetaux</t>
        </is>
      </c>
      <c r="J1429" s="2" t="n">
        <v>44174</v>
      </c>
      <c r="K1429" s="2" t="inlineStr">
        <is>
          <t>nouvelle demande suite indice 02</t>
        </is>
      </c>
      <c r="L1429" s="2" t="n"/>
      <c r="M1429" s="21" t="inlineStr">
        <is>
          <t>01</t>
        </is>
      </c>
      <c r="N1429" s="35" t="n">
        <v>2</v>
      </c>
      <c r="P1429" s="8" t="n"/>
      <c r="Q1429" s="2" t="n"/>
    </row>
    <row r="1430" ht="15.75" customHeight="1" s="142" thickBot="1">
      <c r="A1430" s="8" t="n">
        <v>34409023</v>
      </c>
      <c r="B1430" s="2">
        <f>INDEX(Tableau1[], MATCH(Tableau3[[#This Row],[REFERENCE]], Tableau1[NUMERO], 0), 2)</f>
        <v/>
      </c>
      <c r="C1430">
        <f>INDEX(Tableau1[], MATCH(Tableau3[[#This Row],[REFERENCE]], Tableau1[NUMERO], 0), 3)</f>
        <v/>
      </c>
      <c r="D1430">
        <f>INDEX(Tableau1[], MATCH(Tableau3[[#This Row],[REFERENCE]], Tableau1[NUMERO], 0),4)</f>
        <v/>
      </c>
      <c r="E1430">
        <f>INDEX(Tableau1[], MATCH(Tableau3[[#This Row],[REFERENCE]], Tableau1[NUMERO], 0), 5)</f>
        <v/>
      </c>
      <c r="H1430" t="inlineStr">
        <is>
          <t>trefimetaux</t>
        </is>
      </c>
      <c r="J1430" s="2" t="n">
        <v>44174</v>
      </c>
      <c r="K1430" s="2" t="inlineStr">
        <is>
          <t>nouvelle demande suite indice 02</t>
        </is>
      </c>
      <c r="L1430" s="2" t="n"/>
      <c r="M1430" s="21" t="inlineStr">
        <is>
          <t>01</t>
        </is>
      </c>
      <c r="N1430" s="35" t="n">
        <v>2</v>
      </c>
      <c r="P1430" s="8" t="n"/>
      <c r="Q1430" s="2" t="n"/>
    </row>
    <row r="1431" ht="15.75" customFormat="1" customHeight="1" s="52" thickTop="1">
      <c r="A1431" s="50" t="n">
        <v>34409015</v>
      </c>
      <c r="B1431" s="51">
        <f>INDEX(Tableau1[], MATCH(Tableau3[[#This Row],[REFERENCE]], Tableau1[NUMERO], 0), 2)</f>
        <v/>
      </c>
      <c r="C1431" s="52">
        <f>INDEX(Tableau1[], MATCH(Tableau3[[#This Row],[REFERENCE]], Tableau1[NUMERO], 0), 3)</f>
        <v/>
      </c>
      <c r="D1431" s="52">
        <f>INDEX(Tableau1[], MATCH(Tableau3[[#This Row],[REFERENCE]], Tableau1[NUMERO], 0),4)</f>
        <v/>
      </c>
      <c r="E1431" s="52">
        <f>INDEX(Tableau1[], MATCH(Tableau3[[#This Row],[REFERENCE]], Tableau1[NUMERO], 0), 5)</f>
        <v/>
      </c>
      <c r="H1431" s="52" t="inlineStr">
        <is>
          <t>thyssen</t>
        </is>
      </c>
      <c r="I1431" s="50" t="n"/>
      <c r="J1431" s="51" t="n">
        <v>44174</v>
      </c>
      <c r="K1431" s="51" t="n">
        <v>44175</v>
      </c>
      <c r="L1431" s="51" t="n"/>
      <c r="M1431" s="53" t="inlineStr">
        <is>
          <t>01</t>
        </is>
      </c>
      <c r="N1431" s="54" t="n">
        <v>2</v>
      </c>
      <c r="O1431" s="55" t="n">
        <v>39</v>
      </c>
      <c r="P1431" s="109" t="n">
        <v>44188</v>
      </c>
      <c r="Q1431" s="51" t="n">
        <v>44182</v>
      </c>
    </row>
    <row r="1432">
      <c r="A1432" s="8" t="n">
        <v>34409016</v>
      </c>
      <c r="B1432" s="2">
        <f>INDEX(Tableau1[], MATCH(Tableau3[[#This Row],[REFERENCE]], Tableau1[NUMERO], 0), 2)</f>
        <v/>
      </c>
      <c r="C1432">
        <f>INDEX(Tableau1[], MATCH(Tableau3[[#This Row],[REFERENCE]], Tableau1[NUMERO], 0), 3)</f>
        <v/>
      </c>
      <c r="D1432">
        <f>INDEX(Tableau1[], MATCH(Tableau3[[#This Row],[REFERENCE]], Tableau1[NUMERO], 0),4)</f>
        <v/>
      </c>
      <c r="E1432">
        <f>INDEX(Tableau1[], MATCH(Tableau3[[#This Row],[REFERENCE]], Tableau1[NUMERO], 0), 5)</f>
        <v/>
      </c>
      <c r="H1432" t="inlineStr">
        <is>
          <t>thyssen</t>
        </is>
      </c>
      <c r="J1432" s="2" t="n">
        <v>44174</v>
      </c>
      <c r="K1432" s="2" t="n">
        <v>44175</v>
      </c>
      <c r="L1432" s="2" t="n"/>
      <c r="M1432" s="21" t="inlineStr">
        <is>
          <t>01</t>
        </is>
      </c>
      <c r="N1432" s="35" t="n">
        <v>8</v>
      </c>
      <c r="O1432" s="7" t="n">
        <v>52.65</v>
      </c>
      <c r="P1432" s="110" t="n">
        <v>44188</v>
      </c>
      <c r="Q1432" s="2" t="n">
        <v>44182</v>
      </c>
    </row>
    <row r="1433">
      <c r="A1433" s="8" t="n">
        <v>34409017</v>
      </c>
      <c r="B1433" s="2">
        <f>INDEX(Tableau1[], MATCH(Tableau3[[#This Row],[REFERENCE]], Tableau1[NUMERO], 0), 2)</f>
        <v/>
      </c>
      <c r="C1433">
        <f>INDEX(Tableau1[], MATCH(Tableau3[[#This Row],[REFERENCE]], Tableau1[NUMERO], 0), 3)</f>
        <v/>
      </c>
      <c r="D1433">
        <f>INDEX(Tableau1[], MATCH(Tableau3[[#This Row],[REFERENCE]], Tableau1[NUMERO], 0),4)</f>
        <v/>
      </c>
      <c r="E1433">
        <f>INDEX(Tableau1[], MATCH(Tableau3[[#This Row],[REFERENCE]], Tableau1[NUMERO], 0), 5)</f>
        <v/>
      </c>
      <c r="H1433" t="inlineStr">
        <is>
          <t>thyssen</t>
        </is>
      </c>
      <c r="J1433" s="2" t="n">
        <v>44174</v>
      </c>
      <c r="K1433" s="2" t="n">
        <v>44175</v>
      </c>
      <c r="L1433" s="2" t="n"/>
      <c r="M1433" s="21" t="inlineStr">
        <is>
          <t>01</t>
        </is>
      </c>
      <c r="N1433" s="35" t="n">
        <v>8</v>
      </c>
      <c r="O1433" s="7" t="n">
        <v>57.6</v>
      </c>
      <c r="P1433" s="110" t="n">
        <v>44188</v>
      </c>
      <c r="Q1433" s="2" t="n">
        <v>44182</v>
      </c>
    </row>
    <row r="1434">
      <c r="A1434" s="8" t="n">
        <v>34409021</v>
      </c>
      <c r="B1434" s="2">
        <f>INDEX(Tableau1[], MATCH(Tableau3[[#This Row],[REFERENCE]], Tableau1[NUMERO], 0), 2)</f>
        <v/>
      </c>
      <c r="C1434">
        <f>INDEX(Tableau1[], MATCH(Tableau3[[#This Row],[REFERENCE]], Tableau1[NUMERO], 0), 3)</f>
        <v/>
      </c>
      <c r="D1434">
        <f>INDEX(Tableau1[], MATCH(Tableau3[[#This Row],[REFERENCE]], Tableau1[NUMERO], 0),4)</f>
        <v/>
      </c>
      <c r="E1434">
        <f>INDEX(Tableau1[], MATCH(Tableau3[[#This Row],[REFERENCE]], Tableau1[NUMERO], 0), 5)</f>
        <v/>
      </c>
      <c r="H1434" t="inlineStr">
        <is>
          <t>thyssen</t>
        </is>
      </c>
      <c r="J1434" s="2" t="n">
        <v>44174</v>
      </c>
      <c r="K1434" s="2" t="n">
        <v>44175</v>
      </c>
      <c r="L1434" s="2" t="n"/>
      <c r="M1434" s="21" t="inlineStr">
        <is>
          <t>01</t>
        </is>
      </c>
      <c r="N1434" s="35" t="n">
        <v>2</v>
      </c>
      <c r="O1434" s="7" t="n">
        <v>46.5</v>
      </c>
      <c r="P1434" s="110" t="n">
        <v>44188</v>
      </c>
      <c r="Q1434" s="2" t="n">
        <v>44182</v>
      </c>
    </row>
    <row r="1435">
      <c r="A1435" s="8" t="n">
        <v>34409022</v>
      </c>
      <c r="B1435" s="2">
        <f>INDEX(Tableau1[], MATCH(Tableau3[[#This Row],[REFERENCE]], Tableau1[NUMERO], 0), 2)</f>
        <v/>
      </c>
      <c r="C1435">
        <f>INDEX(Tableau1[], MATCH(Tableau3[[#This Row],[REFERENCE]], Tableau1[NUMERO], 0), 3)</f>
        <v/>
      </c>
      <c r="D1435">
        <f>INDEX(Tableau1[], MATCH(Tableau3[[#This Row],[REFERENCE]], Tableau1[NUMERO], 0),4)</f>
        <v/>
      </c>
      <c r="E1435">
        <f>INDEX(Tableau1[], MATCH(Tableau3[[#This Row],[REFERENCE]], Tableau1[NUMERO], 0), 5)</f>
        <v/>
      </c>
      <c r="H1435" t="inlineStr">
        <is>
          <t>thyssen</t>
        </is>
      </c>
      <c r="J1435" s="2" t="n">
        <v>44174</v>
      </c>
      <c r="K1435" s="2" t="n">
        <v>44175</v>
      </c>
      <c r="L1435" s="2" t="n"/>
      <c r="M1435" s="21" t="inlineStr">
        <is>
          <t>01</t>
        </is>
      </c>
      <c r="N1435" s="35" t="n">
        <v>2</v>
      </c>
      <c r="O1435" s="7" t="n">
        <v>44.2</v>
      </c>
      <c r="P1435" s="110" t="n">
        <v>44188</v>
      </c>
      <c r="Q1435" s="2" t="n">
        <v>44182</v>
      </c>
    </row>
    <row r="1436" ht="15.75" customFormat="1" customHeight="1" s="58" thickBot="1">
      <c r="A1436" s="56" t="n">
        <v>34409023</v>
      </c>
      <c r="B1436" s="57">
        <f>INDEX(Tableau1[], MATCH(Tableau3[[#This Row],[REFERENCE]], Tableau1[NUMERO], 0), 2)</f>
        <v/>
      </c>
      <c r="C1436" s="58">
        <f>INDEX(Tableau1[], MATCH(Tableau3[[#This Row],[REFERENCE]], Tableau1[NUMERO], 0), 3)</f>
        <v/>
      </c>
      <c r="D1436" s="58">
        <f>INDEX(Tableau1[], MATCH(Tableau3[[#This Row],[REFERENCE]], Tableau1[NUMERO], 0),4)</f>
        <v/>
      </c>
      <c r="E1436" s="58">
        <f>INDEX(Tableau1[], MATCH(Tableau3[[#This Row],[REFERENCE]], Tableau1[NUMERO], 0), 5)</f>
        <v/>
      </c>
      <c r="H1436" s="58" t="inlineStr">
        <is>
          <t>thyssen</t>
        </is>
      </c>
      <c r="I1436" s="56" t="n"/>
      <c r="J1436" s="57" t="n">
        <v>44174</v>
      </c>
      <c r="K1436" s="57" t="n">
        <v>44175</v>
      </c>
      <c r="L1436" s="57" t="n"/>
      <c r="M1436" s="59" t="inlineStr">
        <is>
          <t>01</t>
        </is>
      </c>
      <c r="N1436" s="60" t="n">
        <v>2</v>
      </c>
      <c r="O1436" s="61" t="n">
        <v>41.75</v>
      </c>
      <c r="P1436" s="111" t="n">
        <v>44188</v>
      </c>
      <c r="Q1436" s="57" t="n">
        <v>44182</v>
      </c>
    </row>
    <row r="1437" ht="15.75" customHeight="1" s="142" thickTop="1">
      <c r="A1437" s="8" t="n">
        <v>34409018</v>
      </c>
      <c r="B1437" s="2">
        <f>INDEX(Tableau1[], MATCH(Tableau3[[#This Row],[REFERENCE]], Tableau1[NUMERO], 0), 2)</f>
        <v/>
      </c>
      <c r="C1437">
        <f>INDEX(Tableau1[], MATCH(Tableau3[[#This Row],[REFERENCE]], Tableau1[NUMERO], 0), 3)</f>
        <v/>
      </c>
      <c r="D1437">
        <f>INDEX(Tableau1[], MATCH(Tableau3[[#This Row],[REFERENCE]], Tableau1[NUMERO], 0),4)</f>
        <v/>
      </c>
      <c r="E1437">
        <f>INDEX(Tableau1[], MATCH(Tableau3[[#This Row],[REFERENCE]], Tableau1[NUMERO], 0), 5)</f>
        <v/>
      </c>
      <c r="H1437" t="inlineStr">
        <is>
          <t>lasertechnic</t>
        </is>
      </c>
      <c r="J1437" s="2" t="n">
        <v>44174</v>
      </c>
      <c r="K1437" s="2" t="n">
        <v>44175</v>
      </c>
      <c r="L1437" s="2" t="n"/>
      <c r="M1437" s="21" t="inlineStr">
        <is>
          <t>01</t>
        </is>
      </c>
      <c r="N1437" s="35" t="n">
        <v>2</v>
      </c>
      <c r="O1437" s="7" t="n">
        <v>75</v>
      </c>
      <c r="P1437" s="8" t="inlineStr">
        <is>
          <t>5 jours</t>
        </is>
      </c>
      <c r="Q1437" s="2" t="n">
        <v>44265</v>
      </c>
    </row>
    <row r="1438" ht="15.75" customHeight="1" s="142" thickBot="1">
      <c r="A1438" s="8" t="n">
        <v>34409020</v>
      </c>
      <c r="B1438" s="2">
        <f>INDEX(Tableau1[], MATCH(Tableau3[[#This Row],[REFERENCE]], Tableau1[NUMERO], 0), 2)</f>
        <v/>
      </c>
      <c r="C1438">
        <f>INDEX(Tableau1[], MATCH(Tableau3[[#This Row],[REFERENCE]], Tableau1[NUMERO], 0), 3)</f>
        <v/>
      </c>
      <c r="D1438">
        <f>INDEX(Tableau1[], MATCH(Tableau3[[#This Row],[REFERENCE]], Tableau1[NUMERO], 0),4)</f>
        <v/>
      </c>
      <c r="E1438">
        <f>INDEX(Tableau1[], MATCH(Tableau3[[#This Row],[REFERENCE]], Tableau1[NUMERO], 0), 5)</f>
        <v/>
      </c>
      <c r="H1438" t="inlineStr">
        <is>
          <t>lasertechnic</t>
        </is>
      </c>
      <c r="J1438" s="2" t="n">
        <v>44174</v>
      </c>
      <c r="K1438" s="2" t="n">
        <v>44175</v>
      </c>
      <c r="L1438" s="2" t="n"/>
      <c r="M1438" s="21" t="inlineStr">
        <is>
          <t>01</t>
        </is>
      </c>
      <c r="N1438" s="35" t="n">
        <v>2</v>
      </c>
      <c r="O1438" s="7" t="n">
        <v>48</v>
      </c>
      <c r="P1438" s="8" t="inlineStr">
        <is>
          <t>5 jours</t>
        </is>
      </c>
      <c r="Q1438" s="2" t="n">
        <v>44265</v>
      </c>
    </row>
    <row r="1439" ht="15.75" customFormat="1" customHeight="1" s="52" thickTop="1">
      <c r="A1439" s="50" t="n">
        <v>34409018</v>
      </c>
      <c r="B1439" s="51">
        <f>INDEX(Tableau1[], MATCH(Tableau3[[#This Row],[REFERENCE]], Tableau1[NUMERO], 0), 2)</f>
        <v/>
      </c>
      <c r="C1439" s="52">
        <f>INDEX(Tableau1[], MATCH(Tableau3[[#This Row],[REFERENCE]], Tableau1[NUMERO], 0), 3)</f>
        <v/>
      </c>
      <c r="D1439" s="52">
        <f>INDEX(Tableau1[], MATCH(Tableau3[[#This Row],[REFERENCE]], Tableau1[NUMERO], 0),4)</f>
        <v/>
      </c>
      <c r="E1439" s="52">
        <f>INDEX(Tableau1[], MATCH(Tableau3[[#This Row],[REFERENCE]], Tableau1[NUMERO], 0), 5)</f>
        <v/>
      </c>
      <c r="H1439" s="52" t="inlineStr">
        <is>
          <t>tcs</t>
        </is>
      </c>
      <c r="I1439" s="50" t="n"/>
      <c r="J1439" s="51" t="n">
        <v>44174</v>
      </c>
      <c r="K1439" s="51" t="n">
        <v>44174</v>
      </c>
      <c r="L1439" s="51" t="n"/>
      <c r="M1439" s="53" t="inlineStr">
        <is>
          <t>01</t>
        </is>
      </c>
      <c r="N1439" s="54" t="n">
        <v>2</v>
      </c>
      <c r="O1439" s="55" t="n">
        <v>56</v>
      </c>
      <c r="P1439" s="112" t="n">
        <v>44201</v>
      </c>
      <c r="Q1439" s="51" t="n">
        <v>44196</v>
      </c>
    </row>
    <row r="1440" ht="15.75" customFormat="1" customHeight="1" s="58" thickBot="1">
      <c r="A1440" s="56" t="n">
        <v>34409020</v>
      </c>
      <c r="B1440" s="57">
        <f>INDEX(Tableau1[], MATCH(Tableau3[[#This Row],[REFERENCE]], Tableau1[NUMERO], 0), 2)</f>
        <v/>
      </c>
      <c r="C1440" s="58">
        <f>INDEX(Tableau1[], MATCH(Tableau3[[#This Row],[REFERENCE]], Tableau1[NUMERO], 0), 3)</f>
        <v/>
      </c>
      <c r="D1440" s="58">
        <f>INDEX(Tableau1[], MATCH(Tableau3[[#This Row],[REFERENCE]], Tableau1[NUMERO], 0),4)</f>
        <v/>
      </c>
      <c r="E1440" s="58">
        <f>INDEX(Tableau1[], MATCH(Tableau3[[#This Row],[REFERENCE]], Tableau1[NUMERO], 0), 5)</f>
        <v/>
      </c>
      <c r="H1440" s="58" t="inlineStr">
        <is>
          <t>tcs</t>
        </is>
      </c>
      <c r="I1440" s="56" t="n"/>
      <c r="J1440" s="57" t="n">
        <v>44174</v>
      </c>
      <c r="K1440" s="57" t="n">
        <v>44174</v>
      </c>
      <c r="L1440" s="57" t="n"/>
      <c r="M1440" s="59" t="inlineStr">
        <is>
          <t>01</t>
        </is>
      </c>
      <c r="N1440" s="60" t="n">
        <v>2</v>
      </c>
      <c r="O1440" s="61" t="n">
        <v>45</v>
      </c>
      <c r="P1440" s="70" t="n">
        <v>44201</v>
      </c>
      <c r="Q1440" s="57" t="n">
        <v>44196</v>
      </c>
    </row>
    <row r="1441" ht="15.75" customHeight="1" s="142" thickTop="1">
      <c r="A1441" s="8" t="n">
        <v>34409015</v>
      </c>
      <c r="B1441" s="2">
        <f>INDEX(Tableau1[], MATCH(Tableau3[[#This Row],[REFERENCE]], Tableau1[NUMERO], 0), 2)</f>
        <v/>
      </c>
      <c r="C1441">
        <f>INDEX(Tableau1[], MATCH(Tableau3[[#This Row],[REFERENCE]], Tableau1[NUMERO], 0), 3)</f>
        <v/>
      </c>
      <c r="D1441">
        <f>INDEX(Tableau1[], MATCH(Tableau3[[#This Row],[REFERENCE]], Tableau1[NUMERO], 0),4)</f>
        <v/>
      </c>
      <c r="E1441">
        <f>INDEX(Tableau1[], MATCH(Tableau3[[#This Row],[REFERENCE]], Tableau1[NUMERO], 0), 5)</f>
        <v/>
      </c>
      <c r="H1441" t="inlineStr">
        <is>
          <t>trefimetaux</t>
        </is>
      </c>
      <c r="J1441" s="2" t="n">
        <v>44176</v>
      </c>
      <c r="K1441" s="2" t="n">
        <v>44176</v>
      </c>
      <c r="L1441" s="2" t="n"/>
      <c r="M1441" s="21" t="inlineStr">
        <is>
          <t>02</t>
        </is>
      </c>
      <c r="N1441" s="35" t="n">
        <v>2</v>
      </c>
      <c r="O1441" s="7" t="n">
        <v>30</v>
      </c>
      <c r="P1441" s="8" t="inlineStr">
        <is>
          <t>VOIR MR THIAM</t>
        </is>
      </c>
      <c r="Q1441" s="2" t="n">
        <v>44266</v>
      </c>
    </row>
    <row r="1442">
      <c r="A1442" s="8" t="n">
        <v>34409016</v>
      </c>
      <c r="B1442" s="2">
        <f>INDEX(Tableau1[], MATCH(Tableau3[[#This Row],[REFERENCE]], Tableau1[NUMERO], 0), 2)</f>
        <v/>
      </c>
      <c r="C1442">
        <f>INDEX(Tableau1[], MATCH(Tableau3[[#This Row],[REFERENCE]], Tableau1[NUMERO], 0), 3)</f>
        <v/>
      </c>
      <c r="D1442">
        <f>INDEX(Tableau1[], MATCH(Tableau3[[#This Row],[REFERENCE]], Tableau1[NUMERO], 0),4)</f>
        <v/>
      </c>
      <c r="E1442">
        <f>INDEX(Tableau1[], MATCH(Tableau3[[#This Row],[REFERENCE]], Tableau1[NUMERO], 0), 5)</f>
        <v/>
      </c>
      <c r="H1442" t="inlineStr">
        <is>
          <t>trefimetaux</t>
        </is>
      </c>
      <c r="J1442" s="2" t="n">
        <v>44176</v>
      </c>
      <c r="K1442" s="2" t="n">
        <v>44176</v>
      </c>
      <c r="L1442" s="2" t="n"/>
      <c r="M1442" s="21" t="inlineStr">
        <is>
          <t>02</t>
        </is>
      </c>
      <c r="N1442" s="35" t="n">
        <v>8</v>
      </c>
      <c r="O1442" s="7" t="n">
        <v>70</v>
      </c>
      <c r="P1442" s="8" t="inlineStr">
        <is>
          <t>VOIR MR THIAM</t>
        </is>
      </c>
      <c r="Q1442" s="2" t="n">
        <v>44266</v>
      </c>
    </row>
    <row r="1443">
      <c r="A1443" s="8" t="n">
        <v>34409017</v>
      </c>
      <c r="B1443" s="2">
        <f>INDEX(Tableau1[], MATCH(Tableau3[[#This Row],[REFERENCE]], Tableau1[NUMERO], 0), 2)</f>
        <v/>
      </c>
      <c r="C1443">
        <f>INDEX(Tableau1[], MATCH(Tableau3[[#This Row],[REFERENCE]], Tableau1[NUMERO], 0), 3)</f>
        <v/>
      </c>
      <c r="D1443">
        <f>INDEX(Tableau1[], MATCH(Tableau3[[#This Row],[REFERENCE]], Tableau1[NUMERO], 0),4)</f>
        <v/>
      </c>
      <c r="E1443">
        <f>INDEX(Tableau1[], MATCH(Tableau3[[#This Row],[REFERENCE]], Tableau1[NUMERO], 0), 5)</f>
        <v/>
      </c>
      <c r="H1443" t="inlineStr">
        <is>
          <t>trefimetaux</t>
        </is>
      </c>
      <c r="J1443" s="2" t="n">
        <v>44176</v>
      </c>
      <c r="K1443" s="2" t="n">
        <v>44176</v>
      </c>
      <c r="L1443" s="2" t="n"/>
      <c r="M1443" s="21" t="inlineStr">
        <is>
          <t>01</t>
        </is>
      </c>
      <c r="N1443" s="35" t="n">
        <v>8</v>
      </c>
      <c r="O1443" s="7" t="n">
        <v>60</v>
      </c>
      <c r="P1443" s="8" t="inlineStr">
        <is>
          <t>VOIR MR THIAM</t>
        </is>
      </c>
      <c r="Q1443" s="2" t="n">
        <v>44266</v>
      </c>
    </row>
    <row r="1444">
      <c r="A1444" s="8" t="n">
        <v>34409021</v>
      </c>
      <c r="B1444" s="2">
        <f>INDEX(Tableau1[], MATCH(Tableau3[[#This Row],[REFERENCE]], Tableau1[NUMERO], 0), 2)</f>
        <v/>
      </c>
      <c r="C1444">
        <f>INDEX(Tableau1[], MATCH(Tableau3[[#This Row],[REFERENCE]], Tableau1[NUMERO], 0), 3)</f>
        <v/>
      </c>
      <c r="D1444">
        <f>INDEX(Tableau1[], MATCH(Tableau3[[#This Row],[REFERENCE]], Tableau1[NUMERO], 0),4)</f>
        <v/>
      </c>
      <c r="E1444">
        <f>INDEX(Tableau1[], MATCH(Tableau3[[#This Row],[REFERENCE]], Tableau1[NUMERO], 0), 5)</f>
        <v/>
      </c>
      <c r="H1444" t="inlineStr">
        <is>
          <t>trefimetaux</t>
        </is>
      </c>
      <c r="J1444" s="2" t="n">
        <v>44176</v>
      </c>
      <c r="K1444" s="2" t="n">
        <v>44176</v>
      </c>
      <c r="L1444" s="2" t="n"/>
      <c r="M1444" s="21" t="inlineStr">
        <is>
          <t>02</t>
        </is>
      </c>
      <c r="N1444" s="35" t="n">
        <v>2</v>
      </c>
      <c r="O1444" s="7" t="n">
        <v>60</v>
      </c>
      <c r="P1444" s="8" t="inlineStr">
        <is>
          <t>VOIR MR THIAM</t>
        </is>
      </c>
      <c r="Q1444" s="2" t="n">
        <v>44266</v>
      </c>
    </row>
    <row r="1445">
      <c r="A1445" s="8" t="n">
        <v>34409022</v>
      </c>
      <c r="B1445" s="2">
        <f>INDEX(Tableau1[], MATCH(Tableau3[[#This Row],[REFERENCE]], Tableau1[NUMERO], 0), 2)</f>
        <v/>
      </c>
      <c r="C1445">
        <f>INDEX(Tableau1[], MATCH(Tableau3[[#This Row],[REFERENCE]], Tableau1[NUMERO], 0), 3)</f>
        <v/>
      </c>
      <c r="D1445">
        <f>INDEX(Tableau1[], MATCH(Tableau3[[#This Row],[REFERENCE]], Tableau1[NUMERO], 0),4)</f>
        <v/>
      </c>
      <c r="E1445">
        <f>INDEX(Tableau1[], MATCH(Tableau3[[#This Row],[REFERENCE]], Tableau1[NUMERO], 0), 5)</f>
        <v/>
      </c>
      <c r="H1445" t="inlineStr">
        <is>
          <t>trefimetaux</t>
        </is>
      </c>
      <c r="J1445" s="2" t="n">
        <v>44176</v>
      </c>
      <c r="K1445" s="2" t="n">
        <v>44176</v>
      </c>
      <c r="L1445" s="2" t="n"/>
      <c r="M1445" s="21" t="inlineStr">
        <is>
          <t>02</t>
        </is>
      </c>
      <c r="N1445" s="35" t="n">
        <v>2</v>
      </c>
      <c r="O1445" s="7" t="n">
        <v>60</v>
      </c>
      <c r="P1445" s="8" t="inlineStr">
        <is>
          <t>VOIR MR THIAM</t>
        </is>
      </c>
      <c r="Q1445" s="2" t="n">
        <v>44266</v>
      </c>
    </row>
    <row r="1446" ht="15.75" customHeight="1" s="142" thickBot="1">
      <c r="A1446" s="8" t="n">
        <v>34409023</v>
      </c>
      <c r="B1446" s="2">
        <f>INDEX(Tableau1[], MATCH(Tableau3[[#This Row],[REFERENCE]], Tableau1[NUMERO], 0), 2)</f>
        <v/>
      </c>
      <c r="C1446">
        <f>INDEX(Tableau1[], MATCH(Tableau3[[#This Row],[REFERENCE]], Tableau1[NUMERO], 0), 3)</f>
        <v/>
      </c>
      <c r="D1446">
        <f>INDEX(Tableau1[], MATCH(Tableau3[[#This Row],[REFERENCE]], Tableau1[NUMERO], 0),4)</f>
        <v/>
      </c>
      <c r="E1446">
        <f>INDEX(Tableau1[], MATCH(Tableau3[[#This Row],[REFERENCE]], Tableau1[NUMERO], 0), 5)</f>
        <v/>
      </c>
      <c r="H1446" t="inlineStr">
        <is>
          <t>trefimetaux</t>
        </is>
      </c>
      <c r="J1446" s="2" t="n">
        <v>44176</v>
      </c>
      <c r="K1446" s="2" t="n">
        <v>44176</v>
      </c>
      <c r="L1446" s="2" t="n"/>
      <c r="M1446" s="21" t="inlineStr">
        <is>
          <t>02</t>
        </is>
      </c>
      <c r="N1446" s="35" t="n">
        <v>2</v>
      </c>
      <c r="O1446" s="7" t="n">
        <v>60</v>
      </c>
      <c r="P1446" s="8" t="inlineStr">
        <is>
          <t>VOIR MR THIAM</t>
        </is>
      </c>
      <c r="Q1446" s="2" t="n">
        <v>44266</v>
      </c>
    </row>
    <row r="1447" ht="15.75" customFormat="1" customHeight="1" s="52" thickTop="1">
      <c r="A1447" s="50" t="n">
        <v>34409015</v>
      </c>
      <c r="B1447" s="51">
        <f>INDEX(Tableau1[], MATCH(Tableau3[[#This Row],[REFERENCE]], Tableau1[NUMERO], 0), 2)</f>
        <v/>
      </c>
      <c r="C1447" s="52">
        <f>INDEX(Tableau1[], MATCH(Tableau3[[#This Row],[REFERENCE]], Tableau1[NUMERO], 0), 3)</f>
        <v/>
      </c>
      <c r="D1447" s="52">
        <f>INDEX(Tableau1[], MATCH(Tableau3[[#This Row],[REFERENCE]], Tableau1[NUMERO], 0),4)</f>
        <v/>
      </c>
      <c r="E1447" s="52">
        <f>INDEX(Tableau1[], MATCH(Tableau3[[#This Row],[REFERENCE]], Tableau1[NUMERO], 0), 5)</f>
        <v/>
      </c>
      <c r="H1447" s="52" t="inlineStr">
        <is>
          <t>thyssen</t>
        </is>
      </c>
      <c r="I1447" s="50" t="n"/>
      <c r="J1447" s="51" t="n">
        <v>44176</v>
      </c>
      <c r="K1447" s="51" t="n">
        <v>44180</v>
      </c>
      <c r="L1447" s="51" t="n"/>
      <c r="M1447" s="53" t="inlineStr">
        <is>
          <t>02</t>
        </is>
      </c>
      <c r="N1447" s="54" t="n">
        <v>2</v>
      </c>
      <c r="O1447" s="55" t="n">
        <v>30.65</v>
      </c>
      <c r="P1447" s="118" t="n">
        <v>43836</v>
      </c>
      <c r="Q1447" s="51" t="n">
        <v>44270</v>
      </c>
    </row>
    <row r="1448">
      <c r="A1448" s="8" t="n">
        <v>34409016</v>
      </c>
      <c r="B1448" s="2">
        <f>INDEX(Tableau1[], MATCH(Tableau3[[#This Row],[REFERENCE]], Tableau1[NUMERO], 0), 2)</f>
        <v/>
      </c>
      <c r="C1448">
        <f>INDEX(Tableau1[], MATCH(Tableau3[[#This Row],[REFERENCE]], Tableau1[NUMERO], 0), 3)</f>
        <v/>
      </c>
      <c r="D1448">
        <f>INDEX(Tableau1[], MATCH(Tableau3[[#This Row],[REFERENCE]], Tableau1[NUMERO], 0),4)</f>
        <v/>
      </c>
      <c r="E1448">
        <f>INDEX(Tableau1[], MATCH(Tableau3[[#This Row],[REFERENCE]], Tableau1[NUMERO], 0), 5)</f>
        <v/>
      </c>
      <c r="H1448" t="inlineStr">
        <is>
          <t>thyssen</t>
        </is>
      </c>
      <c r="J1448" s="2" t="n">
        <v>44176</v>
      </c>
      <c r="K1448" s="2" t="n">
        <v>44180</v>
      </c>
      <c r="L1448" s="2" t="n"/>
      <c r="M1448" s="21" t="inlineStr">
        <is>
          <t>02</t>
        </is>
      </c>
      <c r="N1448" s="35" t="n">
        <v>8</v>
      </c>
      <c r="O1448" s="7" t="n">
        <v>75.84999999999999</v>
      </c>
      <c r="P1448" s="119" t="n">
        <v>43836</v>
      </c>
      <c r="Q1448" s="2" t="n">
        <v>44270</v>
      </c>
    </row>
    <row r="1449">
      <c r="A1449" s="8" t="n">
        <v>34409017</v>
      </c>
      <c r="B1449" s="2">
        <f>INDEX(Tableau1[], MATCH(Tableau3[[#This Row],[REFERENCE]], Tableau1[NUMERO], 0), 2)</f>
        <v/>
      </c>
      <c r="C1449">
        <f>INDEX(Tableau1[], MATCH(Tableau3[[#This Row],[REFERENCE]], Tableau1[NUMERO], 0), 3)</f>
        <v/>
      </c>
      <c r="D1449">
        <f>INDEX(Tableau1[], MATCH(Tableau3[[#This Row],[REFERENCE]], Tableau1[NUMERO], 0),4)</f>
        <v/>
      </c>
      <c r="E1449">
        <f>INDEX(Tableau1[], MATCH(Tableau3[[#This Row],[REFERENCE]], Tableau1[NUMERO], 0), 5)</f>
        <v/>
      </c>
      <c r="H1449" t="inlineStr">
        <is>
          <t>thyssen</t>
        </is>
      </c>
      <c r="J1449" s="2" t="n">
        <v>44176</v>
      </c>
      <c r="K1449" s="2" t="n">
        <v>44180</v>
      </c>
      <c r="L1449" s="2" t="n"/>
      <c r="M1449" s="21" t="inlineStr">
        <is>
          <t>01</t>
        </is>
      </c>
      <c r="N1449" s="35" t="n">
        <v>8</v>
      </c>
      <c r="O1449" s="7" t="n">
        <v>57.6</v>
      </c>
      <c r="P1449" s="119" t="n">
        <v>43836</v>
      </c>
      <c r="Q1449" s="2" t="n">
        <v>44270</v>
      </c>
    </row>
    <row r="1450">
      <c r="A1450" s="8" t="n">
        <v>34409021</v>
      </c>
      <c r="B1450" s="2">
        <f>INDEX(Tableau1[], MATCH(Tableau3[[#This Row],[REFERENCE]], Tableau1[NUMERO], 0), 2)</f>
        <v/>
      </c>
      <c r="C1450">
        <f>INDEX(Tableau1[], MATCH(Tableau3[[#This Row],[REFERENCE]], Tableau1[NUMERO], 0), 3)</f>
        <v/>
      </c>
      <c r="D1450">
        <f>INDEX(Tableau1[], MATCH(Tableau3[[#This Row],[REFERENCE]], Tableau1[NUMERO], 0),4)</f>
        <v/>
      </c>
      <c r="E1450">
        <f>INDEX(Tableau1[], MATCH(Tableau3[[#This Row],[REFERENCE]], Tableau1[NUMERO], 0), 5)</f>
        <v/>
      </c>
      <c r="H1450" t="inlineStr">
        <is>
          <t>thyssen</t>
        </is>
      </c>
      <c r="J1450" s="2" t="n">
        <v>44176</v>
      </c>
      <c r="K1450" s="2" t="n">
        <v>44180</v>
      </c>
      <c r="L1450" s="2" t="n"/>
      <c r="M1450" s="21" t="inlineStr">
        <is>
          <t>02</t>
        </is>
      </c>
      <c r="N1450" s="35" t="n">
        <v>2</v>
      </c>
      <c r="O1450" s="7" t="n">
        <v>53.85</v>
      </c>
      <c r="P1450" s="119" t="n">
        <v>43836</v>
      </c>
      <c r="Q1450" s="2" t="n">
        <v>44270</v>
      </c>
    </row>
    <row r="1451">
      <c r="A1451" s="8" t="n">
        <v>34409022</v>
      </c>
      <c r="B1451" s="2">
        <f>INDEX(Tableau1[], MATCH(Tableau3[[#This Row],[REFERENCE]], Tableau1[NUMERO], 0), 2)</f>
        <v/>
      </c>
      <c r="C1451">
        <f>INDEX(Tableau1[], MATCH(Tableau3[[#This Row],[REFERENCE]], Tableau1[NUMERO], 0), 3)</f>
        <v/>
      </c>
      <c r="D1451">
        <f>INDEX(Tableau1[], MATCH(Tableau3[[#This Row],[REFERENCE]], Tableau1[NUMERO], 0),4)</f>
        <v/>
      </c>
      <c r="E1451">
        <f>INDEX(Tableau1[], MATCH(Tableau3[[#This Row],[REFERENCE]], Tableau1[NUMERO], 0), 5)</f>
        <v/>
      </c>
      <c r="H1451" t="inlineStr">
        <is>
          <t>thyssen</t>
        </is>
      </c>
      <c r="J1451" s="2" t="n">
        <v>44176</v>
      </c>
      <c r="K1451" s="2" t="n">
        <v>44180</v>
      </c>
      <c r="L1451" s="2" t="n"/>
      <c r="M1451" s="21" t="inlineStr">
        <is>
          <t>02</t>
        </is>
      </c>
      <c r="N1451" s="35" t="n">
        <v>2</v>
      </c>
      <c r="O1451" s="7" t="n">
        <v>46</v>
      </c>
      <c r="P1451" s="119" t="n">
        <v>43836</v>
      </c>
      <c r="Q1451" s="2" t="n">
        <v>44270</v>
      </c>
    </row>
    <row r="1452" ht="15.75" customFormat="1" customHeight="1" s="58" thickBot="1">
      <c r="A1452" s="56" t="n">
        <v>34409023</v>
      </c>
      <c r="B1452" s="57">
        <f>INDEX(Tableau1[], MATCH(Tableau3[[#This Row],[REFERENCE]], Tableau1[NUMERO], 0), 2)</f>
        <v/>
      </c>
      <c r="C1452" s="58">
        <f>INDEX(Tableau1[], MATCH(Tableau3[[#This Row],[REFERENCE]], Tableau1[NUMERO], 0), 3)</f>
        <v/>
      </c>
      <c r="D1452" s="58">
        <f>INDEX(Tableau1[], MATCH(Tableau3[[#This Row],[REFERENCE]], Tableau1[NUMERO], 0),4)</f>
        <v/>
      </c>
      <c r="E1452" s="58">
        <f>INDEX(Tableau1[], MATCH(Tableau3[[#This Row],[REFERENCE]], Tableau1[NUMERO], 0), 5)</f>
        <v/>
      </c>
      <c r="H1452" s="58" t="inlineStr">
        <is>
          <t>thyssen</t>
        </is>
      </c>
      <c r="I1452" s="56" t="n"/>
      <c r="J1452" s="57" t="n">
        <v>44176</v>
      </c>
      <c r="K1452" s="57" t="n">
        <v>44180</v>
      </c>
      <c r="L1452" s="57" t="n"/>
      <c r="M1452" s="59" t="inlineStr">
        <is>
          <t>02</t>
        </is>
      </c>
      <c r="N1452" s="60" t="n">
        <v>2</v>
      </c>
      <c r="O1452" s="61" t="n">
        <v>38.65</v>
      </c>
      <c r="P1452" s="120" t="n">
        <v>43836</v>
      </c>
      <c r="Q1452" s="57" t="n">
        <v>44270</v>
      </c>
    </row>
    <row r="1453" ht="16.5" customFormat="1" customHeight="1" s="115" thickBot="1" thickTop="1">
      <c r="A1453" s="113" t="n">
        <v>34409033</v>
      </c>
      <c r="B1453" s="114" t="n"/>
      <c r="H1453" s="115" t="inlineStr">
        <is>
          <t>lasertechnic</t>
        </is>
      </c>
      <c r="I1453" s="113" t="n"/>
      <c r="J1453" s="114" t="n">
        <v>44179</v>
      </c>
      <c r="K1453" s="114" t="n">
        <v>44180</v>
      </c>
      <c r="L1453" s="114" t="n"/>
      <c r="M1453" s="116" t="inlineStr">
        <is>
          <t>01</t>
        </is>
      </c>
      <c r="N1453" s="117" t="n">
        <v>1</v>
      </c>
      <c r="O1453" s="124" t="n">
        <v>128</v>
      </c>
      <c r="P1453" s="113" t="inlineStr">
        <is>
          <t>5 JOURS</t>
        </is>
      </c>
      <c r="Q1453" s="114" t="n">
        <v>44270</v>
      </c>
    </row>
    <row r="1454" ht="15.75" customHeight="1" s="142" thickTop="1">
      <c r="A1454" s="8" t="n">
        <v>34408046</v>
      </c>
      <c r="H1454" t="inlineStr">
        <is>
          <t xml:space="preserve">TCS </t>
        </is>
      </c>
      <c r="J1454" s="2" t="n">
        <v>44187</v>
      </c>
      <c r="K1454" s="2" t="n">
        <v>44188</v>
      </c>
      <c r="L1454" s="2" t="n"/>
      <c r="M1454" s="21" t="inlineStr">
        <is>
          <t>05</t>
        </is>
      </c>
      <c r="N1454" s="35" t="n">
        <v>1</v>
      </c>
      <c r="O1454" s="7" t="n">
        <v>117</v>
      </c>
      <c r="P1454" s="8" t="inlineStr">
        <is>
          <t>10 Jours</t>
        </is>
      </c>
      <c r="Q1454" s="2" t="n">
        <v>44196</v>
      </c>
    </row>
    <row r="1455">
      <c r="A1455" s="8" t="n">
        <v>34408333</v>
      </c>
      <c r="H1455" t="inlineStr">
        <is>
          <t xml:space="preserve">TCS </t>
        </is>
      </c>
      <c r="J1455" s="2" t="n">
        <v>44187</v>
      </c>
      <c r="K1455" s="2" t="n">
        <v>44188</v>
      </c>
      <c r="L1455" s="2" t="n"/>
      <c r="M1455" s="21" t="inlineStr">
        <is>
          <t>03</t>
        </is>
      </c>
      <c r="N1455" s="35" t="n">
        <v>1</v>
      </c>
      <c r="O1455" s="7" t="n">
        <v>106</v>
      </c>
      <c r="P1455" s="8" t="inlineStr">
        <is>
          <t>10 Jours</t>
        </is>
      </c>
      <c r="Q1455" s="2" t="n">
        <v>44196</v>
      </c>
    </row>
    <row r="1456" ht="15.75" customFormat="1" customHeight="1" s="58" thickBot="1">
      <c r="A1456" s="56" t="n">
        <v>34408341</v>
      </c>
      <c r="B1456" s="57" t="n"/>
      <c r="H1456" s="58" t="inlineStr">
        <is>
          <t xml:space="preserve">TCS </t>
        </is>
      </c>
      <c r="I1456" s="56" t="n"/>
      <c r="J1456" s="57" t="n">
        <v>44187</v>
      </c>
      <c r="K1456" s="57" t="n">
        <v>44188</v>
      </c>
      <c r="L1456" s="57" t="n"/>
      <c r="M1456" s="59" t="inlineStr">
        <is>
          <t>02</t>
        </is>
      </c>
      <c r="N1456" s="60" t="n">
        <v>4</v>
      </c>
      <c r="O1456" s="61" t="n">
        <v>21</v>
      </c>
      <c r="P1456" s="56" t="inlineStr">
        <is>
          <t>10 Jours</t>
        </is>
      </c>
      <c r="Q1456" s="57" t="n">
        <v>44196</v>
      </c>
    </row>
    <row r="1457" ht="15.75" customFormat="1" customHeight="1" s="52" thickTop="1">
      <c r="A1457" s="50" t="n">
        <v>34409034</v>
      </c>
      <c r="B1457" s="51" t="n"/>
      <c r="H1457" s="52" t="inlineStr">
        <is>
          <t>lasertechnic</t>
        </is>
      </c>
      <c r="I1457" s="50" t="n"/>
      <c r="J1457" s="51" t="n">
        <v>44200</v>
      </c>
      <c r="K1457" s="51" t="n">
        <v>44200</v>
      </c>
      <c r="L1457" s="51" t="n"/>
      <c r="M1457" s="53" t="inlineStr">
        <is>
          <t>01</t>
        </is>
      </c>
      <c r="N1457" s="54" t="n">
        <v>1</v>
      </c>
      <c r="O1457" s="55" t="n">
        <v>626</v>
      </c>
      <c r="P1457" s="50" t="inlineStr">
        <is>
          <t>5 JOURS</t>
        </is>
      </c>
      <c r="Q1457" s="51" t="n">
        <v>44290</v>
      </c>
    </row>
    <row r="1458">
      <c r="A1458" s="8" t="n">
        <v>34409052</v>
      </c>
      <c r="H1458" t="inlineStr">
        <is>
          <t>lasertechnic</t>
        </is>
      </c>
      <c r="J1458" s="2" t="n">
        <v>44200</v>
      </c>
      <c r="K1458" s="2" t="n">
        <v>44200</v>
      </c>
      <c r="L1458" s="2" t="n"/>
      <c r="M1458" s="21" t="inlineStr">
        <is>
          <t>01</t>
        </is>
      </c>
      <c r="N1458" s="35" t="n">
        <v>2</v>
      </c>
      <c r="O1458" s="7" t="n">
        <v>15</v>
      </c>
      <c r="P1458" s="8" t="inlineStr">
        <is>
          <t>5 JOURS</t>
        </is>
      </c>
      <c r="Q1458" s="2" t="n">
        <v>44290</v>
      </c>
    </row>
    <row r="1459">
      <c r="A1459" s="8" t="n">
        <v>34409053</v>
      </c>
      <c r="H1459" t="inlineStr">
        <is>
          <t>lasertechnic</t>
        </is>
      </c>
      <c r="J1459" s="2" t="n">
        <v>44200</v>
      </c>
      <c r="K1459" s="2" t="n">
        <v>44200</v>
      </c>
      <c r="L1459" s="2" t="n"/>
      <c r="M1459" s="21" t="inlineStr">
        <is>
          <t>01</t>
        </is>
      </c>
      <c r="N1459" s="35" t="n">
        <v>4</v>
      </c>
      <c r="O1459" s="7" t="n">
        <v>12</v>
      </c>
      <c r="P1459" s="8" t="inlineStr">
        <is>
          <t>5 JOURS</t>
        </is>
      </c>
      <c r="Q1459" s="2" t="n">
        <v>44290</v>
      </c>
    </row>
    <row r="1460">
      <c r="A1460" s="8" t="n">
        <v>34409056</v>
      </c>
      <c r="H1460" t="inlineStr">
        <is>
          <t>lasertechnic</t>
        </is>
      </c>
      <c r="J1460" s="2" t="n">
        <v>44200</v>
      </c>
      <c r="K1460" s="2" t="n">
        <v>44200</v>
      </c>
      <c r="L1460" s="2" t="n"/>
      <c r="M1460" s="21" t="inlineStr">
        <is>
          <t>01</t>
        </is>
      </c>
      <c r="N1460" s="35" t="n">
        <v>1</v>
      </c>
      <c r="O1460" s="7" t="n">
        <v>35</v>
      </c>
      <c r="P1460" s="8" t="inlineStr">
        <is>
          <t>5 JOURS</t>
        </is>
      </c>
      <c r="Q1460" s="2" t="n">
        <v>44290</v>
      </c>
    </row>
    <row r="1461">
      <c r="A1461" s="8" t="n">
        <v>34409057</v>
      </c>
      <c r="H1461" t="inlineStr">
        <is>
          <t>lasertechnic</t>
        </is>
      </c>
      <c r="J1461" s="2" t="n">
        <v>44200</v>
      </c>
      <c r="K1461" s="2" t="n">
        <v>44200</v>
      </c>
      <c r="L1461" s="2" t="n"/>
      <c r="M1461" s="21" t="inlineStr">
        <is>
          <t>01</t>
        </is>
      </c>
      <c r="N1461" s="35" t="n">
        <v>1</v>
      </c>
      <c r="O1461" s="7" t="n">
        <v>38</v>
      </c>
      <c r="P1461" s="8" t="inlineStr">
        <is>
          <t>5 JOURS</t>
        </is>
      </c>
      <c r="Q1461" s="2" t="n">
        <v>44290</v>
      </c>
    </row>
    <row r="1462">
      <c r="A1462" s="8" t="n">
        <v>34409058</v>
      </c>
      <c r="H1462" t="inlineStr">
        <is>
          <t>lasertechnic</t>
        </is>
      </c>
      <c r="J1462" s="2" t="n">
        <v>44200</v>
      </c>
      <c r="K1462" s="2" t="n">
        <v>44200</v>
      </c>
      <c r="L1462" s="2" t="n"/>
      <c r="M1462" s="21" t="inlineStr">
        <is>
          <t>01</t>
        </is>
      </c>
      <c r="N1462" s="35" t="n">
        <v>1</v>
      </c>
      <c r="O1462" s="7" t="n">
        <v>30</v>
      </c>
      <c r="P1462" s="8" t="inlineStr">
        <is>
          <t>5 JOURS</t>
        </is>
      </c>
      <c r="Q1462" s="2" t="n">
        <v>44290</v>
      </c>
    </row>
    <row r="1463" ht="15.75" customFormat="1" customHeight="1" s="58" thickBot="1">
      <c r="A1463" s="56" t="n">
        <v>34409068</v>
      </c>
      <c r="B1463" s="57" t="n"/>
      <c r="H1463" s="58" t="inlineStr">
        <is>
          <t>lasertechnic</t>
        </is>
      </c>
      <c r="I1463" s="56" t="n"/>
      <c r="J1463" s="57" t="n">
        <v>44200</v>
      </c>
      <c r="K1463" s="57" t="n">
        <v>44200</v>
      </c>
      <c r="L1463" s="57" t="n"/>
      <c r="M1463" s="59" t="inlineStr">
        <is>
          <t>01</t>
        </is>
      </c>
      <c r="N1463" s="60" t="n">
        <v>1</v>
      </c>
      <c r="O1463" s="61" t="n">
        <v>68</v>
      </c>
      <c r="P1463" s="56" t="inlineStr">
        <is>
          <t>5 JOURS</t>
        </is>
      </c>
      <c r="Q1463" s="57" t="n">
        <v>44290</v>
      </c>
    </row>
    <row r="1464" ht="16.5" customHeight="1" s="142" thickBot="1" thickTop="1">
      <c r="A1464" s="8" t="n">
        <v>34409098</v>
      </c>
      <c r="H1464" t="inlineStr">
        <is>
          <t>comatel</t>
        </is>
      </c>
      <c r="J1464" s="2" t="n">
        <v>44203</v>
      </c>
      <c r="K1464" s="2" t="n">
        <v>44207</v>
      </c>
      <c r="L1464" s="2" t="n"/>
      <c r="M1464" s="21" t="inlineStr">
        <is>
          <t>01</t>
        </is>
      </c>
      <c r="N1464" s="35" t="n">
        <v>1</v>
      </c>
      <c r="O1464" s="7" t="n">
        <v>18.6</v>
      </c>
      <c r="P1464" s="8" t="inlineStr">
        <is>
          <t>1 semaine</t>
        </is>
      </c>
      <c r="Q1464" s="2" t="n">
        <v>44297</v>
      </c>
    </row>
    <row r="1465" ht="16.5" customFormat="1" customHeight="1" s="80" thickBot="1" thickTop="1">
      <c r="A1465" s="78" t="n">
        <v>34409102</v>
      </c>
      <c r="B1465" s="79" t="n"/>
      <c r="H1465" s="80" t="inlineStr">
        <is>
          <t>trefimetaux</t>
        </is>
      </c>
      <c r="I1465" s="78" t="n"/>
      <c r="J1465" s="79" t="n">
        <v>44208</v>
      </c>
      <c r="K1465" s="79" t="n">
        <v>44208</v>
      </c>
      <c r="L1465" s="79" t="n"/>
      <c r="M1465" s="81" t="inlineStr">
        <is>
          <t>01</t>
        </is>
      </c>
      <c r="N1465" s="82" t="n">
        <v>1</v>
      </c>
      <c r="O1465" s="83" t="n">
        <v>350</v>
      </c>
      <c r="P1465" s="78" t="inlineStr">
        <is>
          <t>10 JOURS</t>
        </is>
      </c>
      <c r="Q1465" s="79" t="n">
        <v>44298</v>
      </c>
    </row>
    <row r="1466" ht="16.5" customHeight="1" s="142" thickBot="1" thickTop="1">
      <c r="A1466" s="8" t="n">
        <v>3409110</v>
      </c>
      <c r="H1466" t="inlineStr">
        <is>
          <t>comatel</t>
        </is>
      </c>
      <c r="J1466" s="2" t="n">
        <v>44209</v>
      </c>
      <c r="K1466" s="2" t="n">
        <v>44210</v>
      </c>
      <c r="L1466" s="2" t="n"/>
      <c r="N1466" s="35" t="n">
        <v>1</v>
      </c>
      <c r="O1466" s="7" t="n">
        <v>13.85</v>
      </c>
      <c r="P1466" s="8" t="inlineStr">
        <is>
          <t>1 semaine</t>
        </is>
      </c>
      <c r="Q1466" s="2" t="n">
        <v>44300</v>
      </c>
    </row>
    <row r="1467" ht="15.75" customFormat="1" customHeight="1" s="52" thickTop="1">
      <c r="A1467" s="50" t="n">
        <v>34406726</v>
      </c>
      <c r="B1467" s="51" t="n"/>
      <c r="H1467" s="52" t="inlineStr">
        <is>
          <t>trefimetaux</t>
        </is>
      </c>
      <c r="I1467" s="50" t="inlineStr">
        <is>
          <t>Olivier</t>
        </is>
      </c>
      <c r="J1467" s="51" t="n">
        <v>44211</v>
      </c>
      <c r="K1467" s="51" t="n">
        <v>44215</v>
      </c>
      <c r="L1467" s="51" t="n"/>
      <c r="M1467" s="53" t="inlineStr">
        <is>
          <t>02</t>
        </is>
      </c>
      <c r="N1467" s="54" t="n">
        <v>8</v>
      </c>
      <c r="O1467" s="55" t="n">
        <v>18</v>
      </c>
      <c r="P1467" s="50" t="inlineStr">
        <is>
          <t>VOIR MR THIAM</t>
        </is>
      </c>
      <c r="Q1467" s="51" t="n">
        <v>44305</v>
      </c>
    </row>
    <row r="1468">
      <c r="A1468" s="8" t="n">
        <v>34406727</v>
      </c>
      <c r="H1468" t="inlineStr">
        <is>
          <t>trefimetaux</t>
        </is>
      </c>
      <c r="I1468" s="8" t="inlineStr">
        <is>
          <t>Olivier</t>
        </is>
      </c>
      <c r="J1468" s="2" t="n">
        <v>44211</v>
      </c>
      <c r="K1468" s="2" t="n">
        <v>44215</v>
      </c>
      <c r="L1468" s="2" t="n"/>
      <c r="M1468" s="21" t="inlineStr">
        <is>
          <t>02</t>
        </is>
      </c>
      <c r="N1468" s="35" t="n">
        <v>8</v>
      </c>
      <c r="O1468" s="7" t="n">
        <v>17</v>
      </c>
      <c r="P1468" s="8" t="inlineStr">
        <is>
          <t>VOIR MR THIAM</t>
        </is>
      </c>
      <c r="Q1468" s="2" t="n">
        <v>44305</v>
      </c>
    </row>
    <row r="1469" ht="15.75" customFormat="1" customHeight="1" s="58" thickBot="1">
      <c r="A1469" s="56" t="n">
        <v>34406728</v>
      </c>
      <c r="B1469" s="57" t="n"/>
      <c r="H1469" s="58" t="inlineStr">
        <is>
          <t>trefimetaux</t>
        </is>
      </c>
      <c r="I1469" s="56" t="inlineStr">
        <is>
          <t>Olivier</t>
        </is>
      </c>
      <c r="J1469" s="57" t="n">
        <v>44211</v>
      </c>
      <c r="K1469" s="57" t="n">
        <v>44215</v>
      </c>
      <c r="L1469" s="57" t="n"/>
      <c r="M1469" s="59" t="inlineStr">
        <is>
          <t>01</t>
        </is>
      </c>
      <c r="N1469" s="60" t="n">
        <v>8</v>
      </c>
      <c r="O1469" s="61" t="n">
        <v>42.5</v>
      </c>
      <c r="P1469" s="56" t="inlineStr">
        <is>
          <t>VOIR MR THIAM</t>
        </is>
      </c>
      <c r="Q1469" s="57" t="n">
        <v>44305</v>
      </c>
    </row>
    <row r="1470" ht="15.75" customFormat="1" customHeight="1" s="52" thickTop="1">
      <c r="A1470" s="50" t="n">
        <v>34406729</v>
      </c>
      <c r="B1470" s="51" t="n"/>
      <c r="H1470" s="52" t="inlineStr">
        <is>
          <t>lasertechnic</t>
        </is>
      </c>
      <c r="I1470" s="50" t="inlineStr">
        <is>
          <t>Olivier</t>
        </is>
      </c>
      <c r="J1470" s="51" t="n">
        <v>44211</v>
      </c>
      <c r="K1470" s="51" t="n">
        <v>44214</v>
      </c>
      <c r="L1470" s="51" t="n"/>
      <c r="M1470" s="53" t="inlineStr">
        <is>
          <t>01</t>
        </is>
      </c>
      <c r="N1470" s="54" t="n">
        <v>2</v>
      </c>
      <c r="O1470" s="55" t="n">
        <v>76</v>
      </c>
      <c r="P1470" s="50" t="inlineStr">
        <is>
          <t>5 JOURS</t>
        </is>
      </c>
      <c r="Q1470" s="51" t="n">
        <v>44304</v>
      </c>
    </row>
    <row r="1471">
      <c r="A1471" s="8" t="n">
        <v>34406730</v>
      </c>
      <c r="H1471" t="inlineStr">
        <is>
          <t>lasertechnic</t>
        </is>
      </c>
      <c r="I1471" s="8" t="inlineStr">
        <is>
          <t>Olivier</t>
        </is>
      </c>
      <c r="J1471" s="2" t="n">
        <v>44211</v>
      </c>
      <c r="K1471" s="2" t="n">
        <v>44214</v>
      </c>
      <c r="L1471" s="2" t="n"/>
      <c r="M1471" s="21" t="inlineStr">
        <is>
          <t>01</t>
        </is>
      </c>
      <c r="N1471" s="35" t="n">
        <v>1</v>
      </c>
      <c r="O1471" s="7" t="n">
        <v>98</v>
      </c>
      <c r="P1471" s="8" t="inlineStr">
        <is>
          <t>5 JOURS</t>
        </is>
      </c>
      <c r="Q1471" s="2" t="n">
        <v>44304</v>
      </c>
    </row>
    <row r="1472">
      <c r="A1472" s="8" t="n">
        <v>34406735</v>
      </c>
      <c r="H1472" t="inlineStr">
        <is>
          <t>lasertechnic</t>
        </is>
      </c>
      <c r="I1472" s="8" t="inlineStr">
        <is>
          <t>Olivier</t>
        </is>
      </c>
      <c r="J1472" s="2" t="n">
        <v>44211</v>
      </c>
      <c r="K1472" s="2" t="n">
        <v>44214</v>
      </c>
      <c r="L1472" s="2" t="n"/>
      <c r="M1472" s="21" t="inlineStr">
        <is>
          <t>01</t>
        </is>
      </c>
      <c r="N1472" s="35" t="n">
        <v>2</v>
      </c>
      <c r="O1472" s="7" t="n">
        <v>78</v>
      </c>
      <c r="P1472" s="8" t="inlineStr">
        <is>
          <t>5 JOURS</t>
        </is>
      </c>
      <c r="Q1472" s="2" t="n">
        <v>44304</v>
      </c>
    </row>
    <row r="1473" ht="15.75" customFormat="1" customHeight="1" s="58" thickBot="1">
      <c r="A1473" s="56" t="n">
        <v>34406558</v>
      </c>
      <c r="B1473" s="57" t="n"/>
      <c r="H1473" s="58" t="inlineStr">
        <is>
          <t>lasertechnic</t>
        </is>
      </c>
      <c r="I1473" s="56" t="inlineStr">
        <is>
          <t>Olivier</t>
        </is>
      </c>
      <c r="J1473" s="57" t="n">
        <v>44211</v>
      </c>
      <c r="K1473" s="57" t="n">
        <v>44214</v>
      </c>
      <c r="L1473" s="57" t="n"/>
      <c r="M1473" s="59" t="inlineStr">
        <is>
          <t>03</t>
        </is>
      </c>
      <c r="N1473" s="60" t="n">
        <v>4</v>
      </c>
      <c r="O1473" s="61" t="n">
        <v>15</v>
      </c>
      <c r="P1473" s="56" t="inlineStr">
        <is>
          <t>5 JOURS</t>
        </is>
      </c>
      <c r="Q1473" s="57" t="n">
        <v>44304</v>
      </c>
    </row>
    <row r="1474" ht="16.5" customFormat="1" customHeight="1" s="80" thickBot="1" thickTop="1">
      <c r="A1474" s="78" t="n">
        <v>34409137</v>
      </c>
      <c r="B1474" s="79" t="n"/>
      <c r="H1474" s="80" t="inlineStr">
        <is>
          <t>lasertechnic</t>
        </is>
      </c>
      <c r="I1474" s="78" t="inlineStr">
        <is>
          <t>Olivier</t>
        </is>
      </c>
      <c r="J1474" s="79" t="n">
        <v>44215</v>
      </c>
      <c r="K1474" s="79" t="n">
        <v>44215</v>
      </c>
      <c r="L1474" s="79" t="n"/>
      <c r="M1474" s="81" t="inlineStr">
        <is>
          <t>01</t>
        </is>
      </c>
      <c r="N1474" s="82" t="n">
        <v>2</v>
      </c>
      <c r="O1474" s="83" t="n">
        <v>28</v>
      </c>
      <c r="P1474" s="78" t="inlineStr">
        <is>
          <t>3 jours</t>
        </is>
      </c>
      <c r="Q1474" s="79" t="n">
        <v>44305</v>
      </c>
    </row>
    <row r="1475" ht="16.5" customFormat="1" customHeight="1" s="80" thickBot="1" thickTop="1">
      <c r="A1475" s="78" t="n">
        <v>34406735</v>
      </c>
      <c r="B1475" s="79" t="n"/>
      <c r="H1475" s="80" t="inlineStr">
        <is>
          <t>lasertechnic</t>
        </is>
      </c>
      <c r="I1475" s="78" t="inlineStr">
        <is>
          <t>Angélique</t>
        </is>
      </c>
      <c r="J1475" s="79" t="n">
        <v>44217</v>
      </c>
      <c r="K1475" s="79" t="n">
        <v>44218</v>
      </c>
      <c r="L1475" s="79" t="n"/>
      <c r="M1475" s="81" t="inlineStr">
        <is>
          <t>01</t>
        </is>
      </c>
      <c r="N1475" s="82" t="n">
        <v>2</v>
      </c>
      <c r="O1475" s="83" t="n">
        <v>52</v>
      </c>
      <c r="P1475" s="78" t="inlineStr">
        <is>
          <t>3 jours</t>
        </is>
      </c>
      <c r="Q1475" s="79" t="n">
        <v>44308</v>
      </c>
    </row>
    <row r="1476" ht="16.5" customFormat="1" customHeight="1" s="80" thickBot="1" thickTop="1">
      <c r="A1476" s="78" t="n">
        <v>34409150</v>
      </c>
      <c r="B1476" s="79" t="n"/>
      <c r="H1476" s="80" t="inlineStr">
        <is>
          <t>comatel</t>
        </is>
      </c>
      <c r="I1476" s="78" t="inlineStr">
        <is>
          <t>Olivier</t>
        </is>
      </c>
      <c r="J1476" s="79" t="n">
        <v>44223</v>
      </c>
      <c r="K1476" s="79" t="n">
        <v>44224</v>
      </c>
      <c r="L1476" s="79" t="n"/>
      <c r="M1476" s="81" t="inlineStr">
        <is>
          <t>01</t>
        </is>
      </c>
      <c r="N1476" s="82" t="n">
        <v>1</v>
      </c>
      <c r="O1476" s="83" t="n">
        <v>22.74</v>
      </c>
      <c r="P1476" s="78" t="inlineStr">
        <is>
          <t>2 semaines</t>
        </is>
      </c>
      <c r="Q1476" s="79" t="n">
        <v>44314</v>
      </c>
    </row>
    <row r="1477" ht="15.75" customFormat="1" customHeight="1" s="52" thickTop="1">
      <c r="A1477" s="50" t="n">
        <v>34409190</v>
      </c>
      <c r="B1477" s="51" t="n"/>
      <c r="H1477" s="52" t="inlineStr">
        <is>
          <t>lasertechnic</t>
        </is>
      </c>
      <c r="I1477" s="50" t="inlineStr">
        <is>
          <t>Olivier</t>
        </is>
      </c>
      <c r="J1477" s="51" t="n">
        <v>44236</v>
      </c>
      <c r="K1477" s="51" t="n">
        <v>44236</v>
      </c>
      <c r="L1477" s="51" t="n"/>
      <c r="M1477" s="53" t="inlineStr">
        <is>
          <t>01</t>
        </is>
      </c>
      <c r="N1477" s="54" t="n">
        <v>1</v>
      </c>
      <c r="O1477" s="55" t="n">
        <v>45</v>
      </c>
      <c r="P1477" s="50" t="inlineStr">
        <is>
          <t xml:space="preserve">8 JOURS </t>
        </is>
      </c>
      <c r="Q1477" s="51" t="n">
        <v>44325</v>
      </c>
    </row>
    <row r="1478">
      <c r="A1478" s="8" t="n">
        <v>34409172</v>
      </c>
      <c r="H1478" t="inlineStr">
        <is>
          <t>lasertechnic</t>
        </is>
      </c>
      <c r="I1478" s="8" t="inlineStr">
        <is>
          <t>Olivier</t>
        </is>
      </c>
      <c r="J1478" s="2" t="n">
        <v>44236</v>
      </c>
      <c r="K1478" s="2" t="n">
        <v>44236</v>
      </c>
      <c r="L1478" s="2" t="n"/>
      <c r="M1478" s="21" t="inlineStr">
        <is>
          <t>01</t>
        </is>
      </c>
      <c r="N1478" s="35" t="n">
        <v>1</v>
      </c>
      <c r="O1478" s="7" t="n">
        <v>28</v>
      </c>
      <c r="P1478" s="8" t="inlineStr">
        <is>
          <t xml:space="preserve">8 JOURS </t>
        </is>
      </c>
      <c r="Q1478" s="2" t="n">
        <v>44325</v>
      </c>
    </row>
    <row r="1479">
      <c r="A1479" s="8" t="n">
        <v>34409173</v>
      </c>
      <c r="H1479" t="inlineStr">
        <is>
          <t>lasertechnic</t>
        </is>
      </c>
      <c r="I1479" s="8" t="inlineStr">
        <is>
          <t>Olivier</t>
        </is>
      </c>
      <c r="J1479" s="2" t="n">
        <v>44236</v>
      </c>
      <c r="K1479" s="2" t="n">
        <v>44236</v>
      </c>
      <c r="L1479" s="2" t="n"/>
      <c r="M1479" s="21" t="inlineStr">
        <is>
          <t>01</t>
        </is>
      </c>
      <c r="N1479" s="35" t="n">
        <v>14</v>
      </c>
      <c r="O1479" s="7" t="n">
        <v>6</v>
      </c>
      <c r="P1479" s="8" t="inlineStr">
        <is>
          <t xml:space="preserve">8 JOURS </t>
        </is>
      </c>
      <c r="Q1479" s="2" t="n">
        <v>44325</v>
      </c>
    </row>
    <row r="1480">
      <c r="A1480" s="8" t="n">
        <v>34409174</v>
      </c>
      <c r="H1480" t="inlineStr">
        <is>
          <t>lasertechnic</t>
        </is>
      </c>
      <c r="I1480" s="8" t="inlineStr">
        <is>
          <t>Olivier</t>
        </is>
      </c>
      <c r="J1480" s="2" t="n">
        <v>44236</v>
      </c>
      <c r="K1480" s="2" t="n">
        <v>44236</v>
      </c>
      <c r="L1480" s="2" t="n"/>
      <c r="M1480" s="21" t="inlineStr">
        <is>
          <t>01</t>
        </is>
      </c>
      <c r="N1480" s="35" t="n">
        <v>3</v>
      </c>
      <c r="O1480" s="7" t="n">
        <v>68</v>
      </c>
      <c r="P1480" s="8" t="inlineStr">
        <is>
          <t xml:space="preserve">8 JOURS </t>
        </is>
      </c>
      <c r="Q1480" s="2" t="n">
        <v>44325</v>
      </c>
    </row>
    <row r="1481">
      <c r="A1481" s="8" t="n">
        <v>34409175</v>
      </c>
      <c r="H1481" t="inlineStr">
        <is>
          <t>lasertechnic</t>
        </is>
      </c>
      <c r="I1481" s="8" t="inlineStr">
        <is>
          <t>Olivier</t>
        </is>
      </c>
      <c r="J1481" s="2" t="n">
        <v>44236</v>
      </c>
      <c r="K1481" s="2" t="n">
        <v>44236</v>
      </c>
      <c r="L1481" s="2" t="n"/>
      <c r="M1481" s="21" t="inlineStr">
        <is>
          <t>01</t>
        </is>
      </c>
      <c r="N1481" s="35" t="n">
        <v>6</v>
      </c>
      <c r="O1481" s="7" t="n">
        <v>24</v>
      </c>
      <c r="P1481" s="8" t="inlineStr">
        <is>
          <t xml:space="preserve">8 JOURS </t>
        </is>
      </c>
      <c r="Q1481" s="2" t="n">
        <v>44325</v>
      </c>
    </row>
    <row r="1482">
      <c r="A1482" s="8" t="n">
        <v>34409177</v>
      </c>
      <c r="H1482" t="inlineStr">
        <is>
          <t>lasertechnic</t>
        </is>
      </c>
      <c r="I1482" s="8" t="inlineStr">
        <is>
          <t>Olivier</t>
        </is>
      </c>
      <c r="J1482" s="2" t="n">
        <v>44236</v>
      </c>
      <c r="K1482" s="2" t="n">
        <v>44236</v>
      </c>
      <c r="L1482" s="2" t="n"/>
      <c r="M1482" s="21" t="inlineStr">
        <is>
          <t>01</t>
        </is>
      </c>
      <c r="N1482" s="35" t="n">
        <v>2</v>
      </c>
      <c r="O1482" s="7" t="n">
        <v>6</v>
      </c>
      <c r="P1482" s="8" t="inlineStr">
        <is>
          <t xml:space="preserve">8 JOURS </t>
        </is>
      </c>
      <c r="Q1482" s="2" t="n">
        <v>44325</v>
      </c>
    </row>
    <row r="1483">
      <c r="A1483" s="8" t="n">
        <v>34409178</v>
      </c>
      <c r="H1483" t="inlineStr">
        <is>
          <t>lasertechnic</t>
        </is>
      </c>
      <c r="I1483" s="8" t="inlineStr">
        <is>
          <t>Olivier</t>
        </is>
      </c>
      <c r="J1483" s="2" t="n">
        <v>44236</v>
      </c>
      <c r="K1483" s="2" t="n">
        <v>44236</v>
      </c>
      <c r="L1483" s="2" t="n"/>
      <c r="M1483" s="21" t="inlineStr">
        <is>
          <t>01</t>
        </is>
      </c>
      <c r="N1483" s="35" t="n">
        <v>1</v>
      </c>
      <c r="O1483" s="7" t="n">
        <v>58</v>
      </c>
      <c r="P1483" s="8" t="inlineStr">
        <is>
          <t xml:space="preserve">8 JOURS </t>
        </is>
      </c>
      <c r="Q1483" s="2" t="n">
        <v>44325</v>
      </c>
    </row>
    <row r="1484">
      <c r="A1484" s="8" t="n">
        <v>34409180</v>
      </c>
      <c r="H1484" t="inlineStr">
        <is>
          <t>lasertechnic</t>
        </is>
      </c>
      <c r="I1484" s="8" t="inlineStr">
        <is>
          <t>Olivier</t>
        </is>
      </c>
      <c r="J1484" s="2" t="n">
        <v>44236</v>
      </c>
      <c r="K1484" s="2" t="n">
        <v>44236</v>
      </c>
      <c r="L1484" s="2" t="n"/>
      <c r="M1484" s="21" t="inlineStr">
        <is>
          <t>01</t>
        </is>
      </c>
      <c r="N1484" s="35" t="n">
        <v>1</v>
      </c>
      <c r="O1484" s="7" t="n">
        <v>30</v>
      </c>
      <c r="P1484" s="8" t="inlineStr">
        <is>
          <t xml:space="preserve">8 JOURS </t>
        </is>
      </c>
      <c r="Q1484" s="2" t="n">
        <v>44325</v>
      </c>
    </row>
    <row r="1485">
      <c r="A1485" s="8" t="n">
        <v>34409181</v>
      </c>
      <c r="H1485" t="inlineStr">
        <is>
          <t>lasertechnic</t>
        </is>
      </c>
      <c r="I1485" s="8" t="inlineStr">
        <is>
          <t>Olivier</t>
        </is>
      </c>
      <c r="J1485" s="2" t="n">
        <v>44236</v>
      </c>
      <c r="K1485" s="2" t="n">
        <v>44236</v>
      </c>
      <c r="L1485" s="2" t="n"/>
      <c r="M1485" s="21" t="inlineStr">
        <is>
          <t>01</t>
        </is>
      </c>
      <c r="N1485" s="35" t="n">
        <v>1</v>
      </c>
      <c r="O1485" s="7" t="n">
        <v>28</v>
      </c>
      <c r="P1485" s="8" t="inlineStr">
        <is>
          <t xml:space="preserve">8 JOURS </t>
        </is>
      </c>
      <c r="Q1485" s="2" t="n">
        <v>44325</v>
      </c>
    </row>
    <row r="1486">
      <c r="A1486" s="8" t="n">
        <v>34409182</v>
      </c>
      <c r="H1486" t="inlineStr">
        <is>
          <t>lasertechnic</t>
        </is>
      </c>
      <c r="I1486" s="8" t="inlineStr">
        <is>
          <t>Olivier</t>
        </is>
      </c>
      <c r="J1486" s="2" t="n">
        <v>44236</v>
      </c>
      <c r="K1486" s="2" t="n">
        <v>44236</v>
      </c>
      <c r="L1486" s="2" t="n"/>
      <c r="M1486" s="21" t="inlineStr">
        <is>
          <t>01</t>
        </is>
      </c>
      <c r="N1486" s="35" t="n">
        <v>2</v>
      </c>
      <c r="O1486" s="7" t="n">
        <v>19</v>
      </c>
      <c r="P1486" s="8" t="inlineStr">
        <is>
          <t xml:space="preserve">8 JOURS </t>
        </is>
      </c>
      <c r="Q1486" s="2" t="n">
        <v>44325</v>
      </c>
    </row>
    <row r="1487">
      <c r="A1487" s="8" t="n">
        <v>34409183</v>
      </c>
      <c r="H1487" t="inlineStr">
        <is>
          <t>lasertechnic</t>
        </is>
      </c>
      <c r="I1487" s="8" t="inlineStr">
        <is>
          <t>Olivier</t>
        </is>
      </c>
      <c r="J1487" s="2" t="n">
        <v>44236</v>
      </c>
      <c r="K1487" s="2" t="n">
        <v>44236</v>
      </c>
      <c r="L1487" s="2" t="n"/>
      <c r="M1487" s="21" t="inlineStr">
        <is>
          <t>01</t>
        </is>
      </c>
      <c r="N1487" s="35" t="n">
        <v>2</v>
      </c>
      <c r="O1487" s="7" t="n">
        <v>19</v>
      </c>
      <c r="P1487" s="8" t="inlineStr">
        <is>
          <t xml:space="preserve">8 JOURS </t>
        </is>
      </c>
      <c r="Q1487" s="2" t="n">
        <v>44325</v>
      </c>
    </row>
    <row r="1488" ht="15.75" customFormat="1" customHeight="1" s="58" thickBot="1">
      <c r="A1488" s="56" t="n">
        <v>34409184</v>
      </c>
      <c r="B1488" s="57" t="n"/>
      <c r="H1488" s="58" t="inlineStr">
        <is>
          <t>lasertechnic</t>
        </is>
      </c>
      <c r="I1488" s="56" t="inlineStr">
        <is>
          <t>Olivier</t>
        </is>
      </c>
      <c r="J1488" s="57" t="n">
        <v>44236</v>
      </c>
      <c r="K1488" s="57" t="n">
        <v>44236</v>
      </c>
      <c r="L1488" s="57" t="n"/>
      <c r="M1488" s="59" t="inlineStr">
        <is>
          <t>01</t>
        </is>
      </c>
      <c r="N1488" s="60" t="n">
        <v>1</v>
      </c>
      <c r="O1488" s="61" t="n">
        <v>85</v>
      </c>
      <c r="P1488" s="56" t="inlineStr">
        <is>
          <t xml:space="preserve">8 JOURS </t>
        </is>
      </c>
      <c r="Q1488" s="57" t="n">
        <v>44325</v>
      </c>
    </row>
    <row r="1489" ht="15.75" customFormat="1" customHeight="1" s="52" thickTop="1">
      <c r="A1489" s="50" t="n">
        <v>34409185</v>
      </c>
      <c r="B1489" s="51" t="n"/>
      <c r="H1489" s="52" t="inlineStr">
        <is>
          <t>ERIKS</t>
        </is>
      </c>
      <c r="I1489" s="50" t="inlineStr">
        <is>
          <t>Olivier</t>
        </is>
      </c>
      <c r="J1489" s="51" t="n">
        <v>44237</v>
      </c>
      <c r="K1489" s="51" t="n">
        <v>44237</v>
      </c>
      <c r="L1489" s="51" t="n"/>
      <c r="M1489" s="53" t="inlineStr">
        <is>
          <t>01</t>
        </is>
      </c>
      <c r="N1489" s="54" t="n">
        <v>2</v>
      </c>
      <c r="O1489" s="55" t="n">
        <v>65.93000000000001</v>
      </c>
      <c r="P1489" s="54" t="inlineStr">
        <is>
          <t>12 JOURS</t>
        </is>
      </c>
      <c r="Q1489" s="51" t="n">
        <v>44297</v>
      </c>
    </row>
    <row r="1490">
      <c r="A1490" s="8" t="n">
        <v>34409186</v>
      </c>
      <c r="H1490" t="inlineStr">
        <is>
          <t>ERIKS</t>
        </is>
      </c>
      <c r="I1490" s="8" t="inlineStr">
        <is>
          <t>Olivier</t>
        </is>
      </c>
      <c r="J1490" s="2" t="n">
        <v>44237</v>
      </c>
      <c r="K1490" s="2" t="n">
        <v>44237</v>
      </c>
      <c r="L1490" s="2" t="n"/>
      <c r="M1490" s="21" t="inlineStr">
        <is>
          <t>01</t>
        </is>
      </c>
      <c r="N1490" s="35" t="n">
        <v>1</v>
      </c>
      <c r="O1490" s="7" t="n">
        <v>164.2</v>
      </c>
      <c r="P1490" s="35" t="inlineStr">
        <is>
          <t>12 JOURS</t>
        </is>
      </c>
      <c r="Q1490" s="2" t="n">
        <v>44297</v>
      </c>
    </row>
    <row r="1491">
      <c r="A1491" s="8" t="n">
        <v>34409187</v>
      </c>
      <c r="H1491" t="inlineStr">
        <is>
          <t>ERIKS</t>
        </is>
      </c>
      <c r="I1491" s="8" t="inlineStr">
        <is>
          <t>Olivier</t>
        </is>
      </c>
      <c r="J1491" s="2" t="n">
        <v>44237</v>
      </c>
      <c r="K1491" s="2" t="n">
        <v>44237</v>
      </c>
      <c r="L1491" s="2" t="n"/>
      <c r="M1491" s="21" t="inlineStr">
        <is>
          <t>01</t>
        </is>
      </c>
      <c r="N1491" s="35" t="n">
        <v>1</v>
      </c>
      <c r="O1491" s="7" t="n">
        <v>168.65</v>
      </c>
      <c r="P1491" s="35" t="inlineStr">
        <is>
          <t>12 JOURS</t>
        </is>
      </c>
      <c r="Q1491" s="2" t="n">
        <v>44297</v>
      </c>
    </row>
    <row r="1492">
      <c r="A1492" s="8" t="n">
        <v>34409188</v>
      </c>
      <c r="H1492" t="inlineStr">
        <is>
          <t>ERIKS</t>
        </is>
      </c>
      <c r="I1492" s="8" t="inlineStr">
        <is>
          <t>Olivier</t>
        </is>
      </c>
      <c r="J1492" s="2" t="n">
        <v>44237</v>
      </c>
      <c r="K1492" s="2" t="n">
        <v>44237</v>
      </c>
      <c r="L1492" s="2" t="n"/>
      <c r="M1492" s="21" t="inlineStr">
        <is>
          <t>01</t>
        </is>
      </c>
      <c r="N1492" s="35" t="n">
        <v>1</v>
      </c>
      <c r="O1492" s="7" t="n">
        <v>168.65</v>
      </c>
      <c r="P1492" s="35" t="inlineStr">
        <is>
          <t>12 JOURS</t>
        </is>
      </c>
      <c r="Q1492" s="2" t="n">
        <v>44297</v>
      </c>
    </row>
    <row r="1493" ht="15.75" customFormat="1" customHeight="1" s="58" thickBot="1">
      <c r="A1493" s="56" t="n">
        <v>34409189</v>
      </c>
      <c r="B1493" s="57" t="n"/>
      <c r="H1493" s="58" t="inlineStr">
        <is>
          <t>ERIKS</t>
        </is>
      </c>
      <c r="I1493" s="56" t="inlineStr">
        <is>
          <t>Olivier</t>
        </is>
      </c>
      <c r="J1493" s="57" t="n">
        <v>44237</v>
      </c>
      <c r="K1493" s="57" t="n">
        <v>44237</v>
      </c>
      <c r="L1493" s="57" t="n"/>
      <c r="M1493" s="59" t="inlineStr">
        <is>
          <t>01</t>
        </is>
      </c>
      <c r="N1493" s="60" t="n">
        <v>1</v>
      </c>
      <c r="O1493" s="61" t="n">
        <v>178.75</v>
      </c>
      <c r="P1493" s="60" t="inlineStr">
        <is>
          <t>12 JOURS</t>
        </is>
      </c>
      <c r="Q1493" s="57" t="n">
        <v>44297</v>
      </c>
    </row>
    <row r="1494" ht="15.75" customHeight="1" s="142" thickTop="1">
      <c r="A1494" s="8" t="n">
        <v>34409195</v>
      </c>
      <c r="H1494" t="inlineStr">
        <is>
          <t>lasertechnic</t>
        </is>
      </c>
      <c r="I1494" s="8" t="inlineStr">
        <is>
          <t>Olivier</t>
        </is>
      </c>
      <c r="J1494" s="2" t="n">
        <v>44238</v>
      </c>
      <c r="K1494" s="2" t="n">
        <v>44245</v>
      </c>
      <c r="L1494" s="2" t="n"/>
      <c r="M1494" s="21" t="inlineStr">
        <is>
          <t>01</t>
        </is>
      </c>
      <c r="N1494" s="35" t="n">
        <v>1</v>
      </c>
      <c r="O1494" s="7" t="n">
        <v>35</v>
      </c>
      <c r="P1494" s="35" t="inlineStr">
        <is>
          <t>5 JOURS</t>
        </is>
      </c>
      <c r="Q1494" s="2" t="n">
        <v>44334</v>
      </c>
    </row>
    <row r="1495">
      <c r="A1495" s="8" t="n">
        <v>34409197</v>
      </c>
      <c r="H1495" t="inlineStr">
        <is>
          <t>lasertechnic</t>
        </is>
      </c>
      <c r="I1495" s="8" t="inlineStr">
        <is>
          <t>Angelique</t>
        </is>
      </c>
      <c r="J1495" s="2" t="n">
        <v>44239</v>
      </c>
      <c r="K1495" s="2" t="n">
        <v>44242</v>
      </c>
      <c r="M1495" s="21" t="inlineStr">
        <is>
          <t>01</t>
        </is>
      </c>
      <c r="N1495" s="35" t="n">
        <v>4</v>
      </c>
      <c r="O1495" s="7" t="n">
        <v>19</v>
      </c>
      <c r="P1495" s="35" t="inlineStr">
        <is>
          <t>5 JOURS</t>
        </is>
      </c>
      <c r="Q1495" s="2" t="n">
        <v>44331</v>
      </c>
    </row>
    <row r="1496" ht="15.75" customFormat="1" customHeight="1" s="58" thickBot="1">
      <c r="A1496" s="56" t="n">
        <v>34409198</v>
      </c>
      <c r="B1496" s="57" t="n"/>
      <c r="H1496" s="58" t="inlineStr">
        <is>
          <t>lasertechnic</t>
        </is>
      </c>
      <c r="I1496" s="56" t="inlineStr">
        <is>
          <t>Angelique</t>
        </is>
      </c>
      <c r="J1496" s="57" t="n">
        <v>44239</v>
      </c>
      <c r="K1496" s="2" t="n">
        <v>44242</v>
      </c>
      <c r="M1496" s="59" t="inlineStr">
        <is>
          <t>01</t>
        </is>
      </c>
      <c r="N1496" s="60" t="n">
        <v>8</v>
      </c>
      <c r="O1496" s="61" t="n">
        <v>8</v>
      </c>
      <c r="P1496" s="60" t="inlineStr">
        <is>
          <t>5 JOURS</t>
        </is>
      </c>
      <c r="Q1496" s="57" t="n">
        <v>44331</v>
      </c>
    </row>
    <row r="1497" ht="15.75" customFormat="1" customHeight="1" s="52" thickTop="1">
      <c r="A1497" s="50" t="n">
        <v>34409200</v>
      </c>
      <c r="B1497" s="51" t="n"/>
      <c r="H1497" s="52" t="inlineStr">
        <is>
          <t>lasertechnic</t>
        </is>
      </c>
      <c r="I1497" s="50" t="inlineStr">
        <is>
          <t>Angelique</t>
        </is>
      </c>
      <c r="J1497" s="51" t="n">
        <v>44243</v>
      </c>
      <c r="K1497" s="51" t="n">
        <v>44243</v>
      </c>
      <c r="L1497" s="51" t="n"/>
      <c r="M1497" s="53" t="inlineStr">
        <is>
          <t>01</t>
        </is>
      </c>
      <c r="N1497" s="54" t="n">
        <v>1</v>
      </c>
      <c r="O1497" s="55" t="n">
        <v>25</v>
      </c>
      <c r="P1497" s="54" t="inlineStr">
        <is>
          <t>5 JOURS</t>
        </is>
      </c>
      <c r="Q1497" s="51" t="n">
        <v>44334</v>
      </c>
    </row>
    <row r="1498">
      <c r="A1498" s="8" t="n">
        <v>34409201</v>
      </c>
      <c r="H1498" t="inlineStr">
        <is>
          <t>lasertechnic</t>
        </is>
      </c>
      <c r="I1498" s="8" t="inlineStr">
        <is>
          <t>Angelique</t>
        </is>
      </c>
      <c r="J1498" s="2" t="n">
        <v>44243</v>
      </c>
      <c r="K1498" s="2" t="n">
        <v>44243</v>
      </c>
      <c r="L1498" s="2" t="n"/>
      <c r="M1498" s="21" t="inlineStr">
        <is>
          <t>01</t>
        </is>
      </c>
      <c r="N1498" s="35" t="n">
        <v>1</v>
      </c>
      <c r="O1498" s="7" t="n">
        <v>25</v>
      </c>
      <c r="P1498" s="35" t="inlineStr">
        <is>
          <t>5 JOURS</t>
        </is>
      </c>
      <c r="Q1498" s="2" t="n">
        <v>44334</v>
      </c>
    </row>
    <row r="1499" ht="15.75" customFormat="1" customHeight="1" s="58" thickBot="1">
      <c r="A1499" s="56" t="n">
        <v>34409202</v>
      </c>
      <c r="B1499" s="57" t="n"/>
      <c r="H1499" s="58" t="inlineStr">
        <is>
          <t>lasertechnic</t>
        </is>
      </c>
      <c r="I1499" s="56" t="inlineStr">
        <is>
          <t>Angelique</t>
        </is>
      </c>
      <c r="J1499" s="57" t="n">
        <v>44243</v>
      </c>
      <c r="K1499" s="57" t="n">
        <v>44243</v>
      </c>
      <c r="L1499" s="57" t="n"/>
      <c r="M1499" s="59" t="inlineStr">
        <is>
          <t>01</t>
        </is>
      </c>
      <c r="N1499" s="60" t="n">
        <v>1</v>
      </c>
      <c r="O1499" s="61" t="n">
        <v>25</v>
      </c>
      <c r="P1499" s="60" t="inlineStr">
        <is>
          <t>5 JOURS</t>
        </is>
      </c>
      <c r="Q1499" s="57" t="n">
        <v>44334</v>
      </c>
    </row>
    <row r="1500" ht="15.75" customHeight="1" s="142" thickTop="1">
      <c r="A1500" s="125" t="n">
        <v>34409196</v>
      </c>
      <c r="H1500" t="inlineStr">
        <is>
          <t>thyssen</t>
        </is>
      </c>
      <c r="I1500" s="8" t="inlineStr">
        <is>
          <t>Angelique</t>
        </is>
      </c>
      <c r="J1500" s="2" t="n">
        <v>44239</v>
      </c>
      <c r="K1500" s="2" t="n">
        <v>44242</v>
      </c>
      <c r="M1500" s="21" t="inlineStr">
        <is>
          <t>01</t>
        </is>
      </c>
      <c r="N1500" s="35" t="n">
        <v>8</v>
      </c>
      <c r="O1500" s="7" t="n">
        <v>21.1</v>
      </c>
      <c r="P1500" s="35" t="inlineStr">
        <is>
          <t>6 JOURS</t>
        </is>
      </c>
      <c r="R1500" t="inlineStr">
        <is>
          <t xml:space="preserve">Pas de date de validité </t>
        </is>
      </c>
    </row>
    <row r="1501">
      <c r="A1501" s="125" t="n">
        <v>34409199</v>
      </c>
      <c r="H1501" t="inlineStr">
        <is>
          <t>thyssen</t>
        </is>
      </c>
      <c r="I1501" s="8" t="inlineStr">
        <is>
          <t>Angelique</t>
        </is>
      </c>
      <c r="J1501" s="2" t="n">
        <v>44239</v>
      </c>
      <c r="K1501" s="2" t="n">
        <v>44242</v>
      </c>
      <c r="M1501" s="21" t="inlineStr">
        <is>
          <t>01</t>
        </is>
      </c>
      <c r="N1501" s="35" t="n">
        <v>16</v>
      </c>
      <c r="O1501" s="7" t="n">
        <v>7.75</v>
      </c>
      <c r="P1501" s="35" t="inlineStr">
        <is>
          <t>6 JOURS</t>
        </is>
      </c>
      <c r="R1501" t="inlineStr">
        <is>
          <t xml:space="preserve">Pas de date de validité </t>
        </is>
      </c>
    </row>
    <row r="1502">
      <c r="A1502" s="125" t="n">
        <v>34409157</v>
      </c>
      <c r="H1502" t="inlineStr">
        <is>
          <t>thyssen</t>
        </is>
      </c>
      <c r="I1502" s="8" t="inlineStr">
        <is>
          <t>Angelique</t>
        </is>
      </c>
      <c r="J1502" s="2" t="n">
        <v>44239</v>
      </c>
      <c r="K1502" s="2" t="n">
        <v>44242</v>
      </c>
      <c r="M1502" s="21" t="inlineStr">
        <is>
          <t>01</t>
        </is>
      </c>
      <c r="N1502" s="35" t="n">
        <v>2</v>
      </c>
      <c r="O1502" s="7" t="n">
        <v>33.45</v>
      </c>
      <c r="P1502" s="35" t="inlineStr">
        <is>
          <t>6 JOURS</t>
        </is>
      </c>
      <c r="R1502" t="inlineStr">
        <is>
          <t xml:space="preserve">Pas de date de validité </t>
        </is>
      </c>
    </row>
    <row r="1503">
      <c r="A1503" s="125" t="n">
        <v>34409158</v>
      </c>
      <c r="H1503" t="inlineStr">
        <is>
          <t>thyssen</t>
        </is>
      </c>
      <c r="I1503" s="8" t="inlineStr">
        <is>
          <t>Angelique</t>
        </is>
      </c>
      <c r="J1503" s="2" t="n">
        <v>44239</v>
      </c>
      <c r="K1503" s="2" t="n">
        <v>44242</v>
      </c>
      <c r="M1503" s="21" t="inlineStr">
        <is>
          <t>01</t>
        </is>
      </c>
      <c r="N1503" s="35" t="n">
        <v>2</v>
      </c>
      <c r="O1503" s="7" t="n">
        <v>37.65</v>
      </c>
      <c r="P1503" s="35" t="inlineStr">
        <is>
          <t>6 JOURS</t>
        </is>
      </c>
      <c r="R1503" t="inlineStr">
        <is>
          <t xml:space="preserve">Pas de date de validité </t>
        </is>
      </c>
    </row>
    <row r="1504">
      <c r="A1504" s="125" t="n">
        <v>34409159</v>
      </c>
      <c r="H1504" t="inlineStr">
        <is>
          <t>thyssen</t>
        </is>
      </c>
      <c r="I1504" s="8" t="inlineStr">
        <is>
          <t>Angelique</t>
        </is>
      </c>
      <c r="J1504" s="2" t="n">
        <v>44239</v>
      </c>
      <c r="K1504" s="2" t="n">
        <v>44242</v>
      </c>
      <c r="M1504" s="21" t="inlineStr">
        <is>
          <t>01</t>
        </is>
      </c>
      <c r="N1504" s="35" t="n">
        <v>2</v>
      </c>
      <c r="O1504" s="7" t="n">
        <v>42.5</v>
      </c>
      <c r="P1504" s="35" t="inlineStr">
        <is>
          <t>6 JOURS</t>
        </is>
      </c>
      <c r="R1504" t="inlineStr">
        <is>
          <t xml:space="preserve">Pas de date de validité </t>
        </is>
      </c>
    </row>
    <row r="1505">
      <c r="A1505" s="125" t="n">
        <v>34409160</v>
      </c>
      <c r="H1505" t="inlineStr">
        <is>
          <t>thyssen</t>
        </is>
      </c>
      <c r="I1505" s="8" t="inlineStr">
        <is>
          <t>Angelique</t>
        </is>
      </c>
      <c r="J1505" s="2" t="n">
        <v>44239</v>
      </c>
      <c r="K1505" s="2" t="n">
        <v>44242</v>
      </c>
      <c r="M1505" s="21" t="inlineStr">
        <is>
          <t>01</t>
        </is>
      </c>
      <c r="N1505" s="35" t="n">
        <v>2</v>
      </c>
      <c r="O1505" s="7" t="n">
        <v>46.3</v>
      </c>
      <c r="P1505" s="35" t="inlineStr">
        <is>
          <t>6 JOURS</t>
        </is>
      </c>
      <c r="R1505" t="inlineStr">
        <is>
          <t xml:space="preserve">Pas de date de validité </t>
        </is>
      </c>
    </row>
    <row r="1506">
      <c r="A1506" s="125" t="n">
        <v>34409161</v>
      </c>
      <c r="H1506" t="inlineStr">
        <is>
          <t>thyssen</t>
        </is>
      </c>
      <c r="I1506" s="8" t="inlineStr">
        <is>
          <t>Angelique</t>
        </is>
      </c>
      <c r="J1506" s="2" t="n">
        <v>44239</v>
      </c>
      <c r="K1506" s="2" t="n">
        <v>44242</v>
      </c>
      <c r="M1506" s="21" t="inlineStr">
        <is>
          <t>01</t>
        </is>
      </c>
      <c r="N1506" s="35" t="n">
        <v>4</v>
      </c>
      <c r="O1506" s="7" t="n">
        <v>20.3</v>
      </c>
      <c r="P1506" s="35" t="inlineStr">
        <is>
          <t>6 JOURS</t>
        </is>
      </c>
      <c r="R1506" t="inlineStr">
        <is>
          <t xml:space="preserve">Pas de date de validité </t>
        </is>
      </c>
    </row>
    <row r="1507">
      <c r="A1507" s="125" t="n">
        <v>34409162</v>
      </c>
      <c r="H1507" t="inlineStr">
        <is>
          <t>thyssen</t>
        </is>
      </c>
      <c r="I1507" s="8" t="inlineStr">
        <is>
          <t>Angelique</t>
        </is>
      </c>
      <c r="J1507" s="2" t="n">
        <v>44239</v>
      </c>
      <c r="K1507" s="2" t="n">
        <v>44242</v>
      </c>
      <c r="M1507" s="21" t="inlineStr">
        <is>
          <t>01</t>
        </is>
      </c>
      <c r="N1507" s="35" t="n">
        <v>4</v>
      </c>
      <c r="O1507" s="7" t="n">
        <v>22.45</v>
      </c>
      <c r="P1507" s="35" t="inlineStr">
        <is>
          <t>6 JOURS</t>
        </is>
      </c>
      <c r="R1507" t="inlineStr">
        <is>
          <t xml:space="preserve">Pas de date de validité </t>
        </is>
      </c>
    </row>
    <row r="1508">
      <c r="A1508" s="125" t="n">
        <v>34409163</v>
      </c>
      <c r="H1508" t="inlineStr">
        <is>
          <t>thyssen</t>
        </is>
      </c>
      <c r="I1508" s="8" t="inlineStr">
        <is>
          <t>Angelique</t>
        </is>
      </c>
      <c r="J1508" s="2" t="n">
        <v>44239</v>
      </c>
      <c r="K1508" s="2" t="n">
        <v>44242</v>
      </c>
      <c r="M1508" s="21" t="inlineStr">
        <is>
          <t>01</t>
        </is>
      </c>
      <c r="N1508" s="35" t="n">
        <v>4</v>
      </c>
      <c r="O1508" s="7" t="n">
        <v>24.9</v>
      </c>
      <c r="P1508" s="35" t="inlineStr">
        <is>
          <t>6 JOURS</t>
        </is>
      </c>
      <c r="R1508" t="inlineStr">
        <is>
          <t xml:space="preserve">Pas de date de validité </t>
        </is>
      </c>
    </row>
    <row r="1509" ht="15.75" customHeight="1" s="142" thickBot="1">
      <c r="A1509" s="125" t="n">
        <v>34409164</v>
      </c>
      <c r="H1509" t="inlineStr">
        <is>
          <t>thyssen</t>
        </is>
      </c>
      <c r="I1509" s="8" t="inlineStr">
        <is>
          <t>Angelique</t>
        </is>
      </c>
      <c r="J1509" s="2" t="n">
        <v>44239</v>
      </c>
      <c r="K1509" s="2" t="n">
        <v>44242</v>
      </c>
      <c r="M1509" s="21" t="inlineStr">
        <is>
          <t>01</t>
        </is>
      </c>
      <c r="N1509" s="35" t="n">
        <v>4</v>
      </c>
      <c r="O1509" s="7" t="n">
        <v>26.65</v>
      </c>
      <c r="P1509" s="35" t="inlineStr">
        <is>
          <t>6 JOURS</t>
        </is>
      </c>
      <c r="R1509" t="inlineStr">
        <is>
          <t xml:space="preserve">Pas de date de validité </t>
        </is>
      </c>
    </row>
    <row r="1510" ht="15.75" customFormat="1" customHeight="1" s="52" thickTop="1">
      <c r="A1510" s="50" t="n">
        <v>34409204</v>
      </c>
      <c r="B1510" s="51" t="n"/>
      <c r="H1510" s="52" t="inlineStr">
        <is>
          <t>thyssen</t>
        </is>
      </c>
      <c r="I1510" s="50" t="inlineStr">
        <is>
          <t>Angelique</t>
        </is>
      </c>
      <c r="J1510" s="51" t="n">
        <v>44245</v>
      </c>
      <c r="K1510" s="51" t="n">
        <v>44245</v>
      </c>
      <c r="M1510" s="53" t="inlineStr">
        <is>
          <t>01</t>
        </is>
      </c>
      <c r="N1510" s="54" t="n">
        <v>1</v>
      </c>
      <c r="O1510" s="55" t="n">
        <v>36.15</v>
      </c>
      <c r="P1510" s="54" t="inlineStr">
        <is>
          <t>10 JOURS</t>
        </is>
      </c>
      <c r="Q1510" s="51" t="n">
        <v>44252</v>
      </c>
    </row>
    <row r="1511">
      <c r="A1511" s="8" t="n">
        <v>34409205</v>
      </c>
      <c r="H1511" t="inlineStr">
        <is>
          <t>thyssen</t>
        </is>
      </c>
      <c r="I1511" s="8" t="inlineStr">
        <is>
          <t>Angelique</t>
        </is>
      </c>
      <c r="J1511" s="2" t="n">
        <v>44245</v>
      </c>
      <c r="K1511" s="2" t="n">
        <v>44245</v>
      </c>
      <c r="M1511" s="21" t="inlineStr">
        <is>
          <t>01</t>
        </is>
      </c>
      <c r="N1511" s="35" t="n">
        <v>1</v>
      </c>
      <c r="O1511" s="7" t="n">
        <v>38.25</v>
      </c>
      <c r="P1511" s="35" t="inlineStr">
        <is>
          <t>10 JOURS</t>
        </is>
      </c>
      <c r="Q1511" s="2" t="n">
        <v>44252</v>
      </c>
    </row>
    <row r="1512">
      <c r="A1512" s="8" t="n">
        <v>34409206</v>
      </c>
      <c r="H1512" t="inlineStr">
        <is>
          <t>thyssen</t>
        </is>
      </c>
      <c r="I1512" s="8" t="inlineStr">
        <is>
          <t>Angelique</t>
        </is>
      </c>
      <c r="J1512" s="2" t="n">
        <v>44245</v>
      </c>
      <c r="K1512" s="2" t="n">
        <v>44245</v>
      </c>
      <c r="M1512" s="21" t="inlineStr">
        <is>
          <t>01</t>
        </is>
      </c>
      <c r="N1512" s="35" t="n">
        <v>1</v>
      </c>
      <c r="O1512" s="7" t="n">
        <v>40.65</v>
      </c>
      <c r="P1512" s="35" t="inlineStr">
        <is>
          <t>10 JOURS</t>
        </is>
      </c>
      <c r="Q1512" s="2" t="n">
        <v>44252</v>
      </c>
    </row>
    <row r="1513" ht="15.75" customFormat="1" customHeight="1" s="58" thickBot="1">
      <c r="A1513" s="56" t="n">
        <v>34409207</v>
      </c>
      <c r="B1513" s="57" t="n"/>
      <c r="H1513" s="58" t="inlineStr">
        <is>
          <t>thyssen</t>
        </is>
      </c>
      <c r="I1513" s="56" t="inlineStr">
        <is>
          <t>Angelique</t>
        </is>
      </c>
      <c r="J1513" s="57" t="n">
        <v>44245</v>
      </c>
      <c r="K1513" s="57" t="n">
        <v>44245</v>
      </c>
      <c r="M1513" s="59" t="inlineStr">
        <is>
          <t>01</t>
        </is>
      </c>
      <c r="N1513" s="60" t="n">
        <v>1</v>
      </c>
      <c r="O1513" s="61" t="n">
        <v>42.5</v>
      </c>
      <c r="P1513" s="60" t="inlineStr">
        <is>
          <t>10 JOURS</t>
        </is>
      </c>
      <c r="Q1513" s="57" t="n">
        <v>44252</v>
      </c>
    </row>
    <row r="1514" ht="16.5" customFormat="1" customHeight="1" s="80" thickBot="1" thickTop="1">
      <c r="A1514" s="78" t="n">
        <v>34409203</v>
      </c>
      <c r="B1514" s="79" t="n"/>
      <c r="H1514" s="80" t="inlineStr">
        <is>
          <t>lasertechnic</t>
        </is>
      </c>
      <c r="I1514" s="78" t="inlineStr">
        <is>
          <t>Angelique</t>
        </is>
      </c>
      <c r="J1514" s="79" t="n">
        <v>44245</v>
      </c>
      <c r="K1514" s="79" t="n">
        <v>44245</v>
      </c>
      <c r="M1514" s="81" t="inlineStr">
        <is>
          <t>01</t>
        </is>
      </c>
      <c r="N1514" s="82" t="n">
        <v>1</v>
      </c>
      <c r="O1514" s="83" t="n">
        <v>75</v>
      </c>
      <c r="P1514" s="82" t="inlineStr">
        <is>
          <t>5 JOURS</t>
        </is>
      </c>
      <c r="Q1514" s="79" t="n">
        <v>44334</v>
      </c>
    </row>
    <row r="1515" ht="16.5" customFormat="1" customHeight="1" s="80" thickBot="1" thickTop="1">
      <c r="A1515" s="78" t="n">
        <v>34409222</v>
      </c>
      <c r="B1515" s="79" t="n"/>
      <c r="H1515" s="80" t="inlineStr">
        <is>
          <t>lasertechnic</t>
        </is>
      </c>
      <c r="I1515" s="78" t="inlineStr">
        <is>
          <t>Olivier</t>
        </is>
      </c>
      <c r="J1515" s="79" t="n">
        <v>44260</v>
      </c>
      <c r="K1515" s="79" t="n">
        <v>44260</v>
      </c>
      <c r="L1515" s="79" t="n"/>
      <c r="M1515" s="81" t="inlineStr">
        <is>
          <t>01</t>
        </is>
      </c>
      <c r="N1515" s="82" t="n">
        <v>1</v>
      </c>
      <c r="O1515" s="83" t="n">
        <v>285</v>
      </c>
      <c r="P1515" s="78" t="inlineStr">
        <is>
          <t xml:space="preserve">8 JOURS </t>
        </is>
      </c>
      <c r="Q1515" s="79" t="n">
        <v>44352</v>
      </c>
    </row>
    <row r="1516" ht="15.75" customFormat="1" customHeight="1" s="52" thickTop="1">
      <c r="A1516" s="50" t="n">
        <v>34409223</v>
      </c>
      <c r="B1516" s="51" t="n"/>
      <c r="H1516" s="52" t="inlineStr">
        <is>
          <t>lasertechnic</t>
        </is>
      </c>
      <c r="I1516" s="50" t="inlineStr">
        <is>
          <t>Olivier</t>
        </is>
      </c>
      <c r="J1516" s="51" t="n">
        <v>44260</v>
      </c>
      <c r="K1516" s="51" t="n">
        <v>44260</v>
      </c>
      <c r="L1516" s="51" t="n"/>
      <c r="M1516" s="53" t="inlineStr">
        <is>
          <t>01</t>
        </is>
      </c>
      <c r="N1516" s="54" t="n">
        <v>1</v>
      </c>
      <c r="O1516" s="55" t="n">
        <v>98</v>
      </c>
      <c r="P1516" s="50" t="inlineStr">
        <is>
          <t>5 JOURS</t>
        </is>
      </c>
      <c r="Q1516" s="51" t="n">
        <v>44352</v>
      </c>
    </row>
    <row r="1517">
      <c r="A1517" s="8" t="n">
        <v>34409224</v>
      </c>
      <c r="H1517" t="inlineStr">
        <is>
          <t>lasertechnic</t>
        </is>
      </c>
      <c r="I1517" s="8" t="inlineStr">
        <is>
          <t>Olivier</t>
        </is>
      </c>
      <c r="J1517" s="2" t="n">
        <v>44260</v>
      </c>
      <c r="K1517" s="2" t="n">
        <v>44260</v>
      </c>
      <c r="L1517" s="2" t="n"/>
      <c r="M1517" s="21" t="inlineStr">
        <is>
          <t>01</t>
        </is>
      </c>
      <c r="N1517" s="35" t="n">
        <v>1</v>
      </c>
      <c r="O1517" s="7" t="n">
        <v>56</v>
      </c>
      <c r="P1517" s="8" t="inlineStr">
        <is>
          <t>5 JOURS</t>
        </is>
      </c>
      <c r="Q1517" s="2" t="n">
        <v>44352</v>
      </c>
    </row>
    <row r="1518" ht="15.75" customFormat="1" customHeight="1" s="58" thickBot="1">
      <c r="A1518" s="56" t="n">
        <v>34409225</v>
      </c>
      <c r="B1518" s="57" t="n"/>
      <c r="H1518" s="58" t="inlineStr">
        <is>
          <t>lasertechnic</t>
        </is>
      </c>
      <c r="I1518" s="56" t="inlineStr">
        <is>
          <t>Olivier</t>
        </is>
      </c>
      <c r="J1518" s="57" t="n">
        <v>44260</v>
      </c>
      <c r="K1518" s="57" t="n">
        <v>44260</v>
      </c>
      <c r="L1518" s="57" t="n"/>
      <c r="M1518" s="59" t="inlineStr">
        <is>
          <t>01</t>
        </is>
      </c>
      <c r="N1518" s="60" t="n">
        <v>1</v>
      </c>
      <c r="O1518" s="61" t="n">
        <v>92</v>
      </c>
      <c r="P1518" s="56" t="inlineStr">
        <is>
          <t>5 JOURS</t>
        </is>
      </c>
      <c r="Q1518" s="57" t="n">
        <v>44352</v>
      </c>
    </row>
    <row r="1519" ht="16.5" customFormat="1" customHeight="1" s="80" thickBot="1" thickTop="1">
      <c r="A1519" s="78" t="n">
        <v>34409264</v>
      </c>
      <c r="B1519" s="79" t="n"/>
      <c r="H1519" s="80" t="inlineStr">
        <is>
          <t>lasertechnic</t>
        </is>
      </c>
      <c r="I1519" s="78" t="inlineStr">
        <is>
          <t>Olivier</t>
        </is>
      </c>
      <c r="J1519" s="79" t="n">
        <v>44263</v>
      </c>
      <c r="K1519" s="79" t="n">
        <v>44264</v>
      </c>
      <c r="L1519" s="79" t="n"/>
      <c r="M1519" s="81" t="inlineStr">
        <is>
          <t>01</t>
        </is>
      </c>
      <c r="N1519" s="82" t="n">
        <v>1</v>
      </c>
      <c r="O1519" s="83" t="n">
        <v>30</v>
      </c>
      <c r="P1519" s="78" t="inlineStr">
        <is>
          <t>5 JOURS</t>
        </is>
      </c>
      <c r="Q1519" s="79" t="n">
        <v>44356</v>
      </c>
    </row>
    <row r="1520" ht="15.75" customFormat="1" customHeight="1" s="52" thickTop="1">
      <c r="A1520" s="50" t="n">
        <v>34409141</v>
      </c>
      <c r="B1520" s="51" t="n"/>
      <c r="H1520" s="52" t="inlineStr">
        <is>
          <t>trefimetaux</t>
        </is>
      </c>
      <c r="I1520" s="50" t="inlineStr">
        <is>
          <t>Olivier</t>
        </is>
      </c>
      <c r="J1520" s="51" t="n">
        <v>44266</v>
      </c>
      <c r="K1520" s="51" t="n">
        <v>44267</v>
      </c>
      <c r="L1520" s="51" t="n"/>
      <c r="M1520" s="53" t="inlineStr">
        <is>
          <t>02</t>
        </is>
      </c>
      <c r="N1520" s="54" t="n">
        <v>1</v>
      </c>
      <c r="O1520" s="55" t="n">
        <v>150</v>
      </c>
      <c r="P1520" s="50" t="inlineStr">
        <is>
          <t>déjà livrée</t>
        </is>
      </c>
      <c r="R1520" s="52" t="inlineStr">
        <is>
          <t xml:space="preserve">Pas de date de validité </t>
        </is>
      </c>
    </row>
    <row r="1521" ht="15.75" customFormat="1" customHeight="1" s="58" thickBot="1">
      <c r="A1521" s="56" t="n">
        <v>34409144</v>
      </c>
      <c r="B1521" s="57" t="n"/>
      <c r="H1521" s="58" t="inlineStr">
        <is>
          <t>trefimetaux</t>
        </is>
      </c>
      <c r="I1521" s="56" t="inlineStr">
        <is>
          <t>Olivier</t>
        </is>
      </c>
      <c r="J1521" s="57" t="n">
        <v>44266</v>
      </c>
      <c r="K1521" s="57" t="n">
        <v>44267</v>
      </c>
      <c r="L1521" s="57" t="n"/>
      <c r="M1521" s="59" t="inlineStr">
        <is>
          <t>02</t>
        </is>
      </c>
      <c r="N1521" s="60" t="n">
        <v>1</v>
      </c>
      <c r="O1521" s="61" t="n">
        <v>150</v>
      </c>
      <c r="P1521" s="56" t="inlineStr">
        <is>
          <t>déjà livrée</t>
        </is>
      </c>
      <c r="R1521" s="58" t="inlineStr">
        <is>
          <t xml:space="preserve">Pas de date de validité </t>
        </is>
      </c>
    </row>
    <row r="1522" ht="16.5" customFormat="1" customHeight="1" s="80" thickBot="1" thickTop="1">
      <c r="A1522" s="78" t="n">
        <v>34409332</v>
      </c>
      <c r="B1522" s="79" t="n"/>
      <c r="H1522" s="80" t="inlineStr">
        <is>
          <t>comatel</t>
        </is>
      </c>
      <c r="I1522" s="78" t="inlineStr">
        <is>
          <t>Olivier</t>
        </is>
      </c>
      <c r="J1522" s="79" t="n">
        <v>44281</v>
      </c>
      <c r="K1522" s="79" t="n">
        <v>44284</v>
      </c>
      <c r="L1522" s="79" t="n"/>
      <c r="M1522" s="81" t="inlineStr">
        <is>
          <t>01</t>
        </is>
      </c>
      <c r="N1522" s="82" t="n">
        <v>1</v>
      </c>
      <c r="O1522" s="83" t="n">
        <v>1104.6</v>
      </c>
      <c r="P1522" s="78" t="inlineStr">
        <is>
          <t>2 semaines</t>
        </is>
      </c>
      <c r="Q1522" s="79" t="n">
        <v>44376</v>
      </c>
    </row>
    <row r="1523" ht="15.75" customHeight="1" s="142" thickTop="1">
      <c r="A1523" s="8" t="n">
        <v>34409362</v>
      </c>
      <c r="H1523" t="inlineStr">
        <is>
          <t>lasertechnic</t>
        </is>
      </c>
      <c r="I1523" s="8" t="inlineStr">
        <is>
          <t>Olivier</t>
        </is>
      </c>
      <c r="J1523" s="2" t="n">
        <v>44287</v>
      </c>
      <c r="K1523" s="2" t="n">
        <v>44287</v>
      </c>
      <c r="L1523" s="2" t="n">
        <v>44293</v>
      </c>
      <c r="M1523" s="21" t="inlineStr">
        <is>
          <t>01</t>
        </is>
      </c>
      <c r="N1523" s="35" t="n">
        <v>2</v>
      </c>
      <c r="O1523" s="7" t="n">
        <v>19</v>
      </c>
      <c r="P1523" s="8" t="inlineStr">
        <is>
          <t>lendemain</t>
        </is>
      </c>
      <c r="Q1523" s="2" t="n">
        <v>44378</v>
      </c>
    </row>
    <row r="1524" ht="15.75" customFormat="1" customHeight="1" s="58" thickBot="1">
      <c r="A1524" s="56" t="n">
        <v>34409363</v>
      </c>
      <c r="B1524" s="57" t="n"/>
      <c r="H1524" s="58" t="inlineStr">
        <is>
          <t>lasertechnic</t>
        </is>
      </c>
      <c r="I1524" s="56" t="inlineStr">
        <is>
          <t>Olivier</t>
        </is>
      </c>
      <c r="J1524" s="57" t="n">
        <v>44287</v>
      </c>
      <c r="K1524" s="57" t="n">
        <v>44287</v>
      </c>
      <c r="L1524" s="57" t="n">
        <v>44293</v>
      </c>
      <c r="M1524" s="59" t="inlineStr">
        <is>
          <t>01</t>
        </is>
      </c>
      <c r="N1524" s="60" t="n">
        <v>1</v>
      </c>
      <c r="O1524" s="61" t="n">
        <v>30</v>
      </c>
      <c r="P1524" s="56" t="inlineStr">
        <is>
          <t>lendemain</t>
        </is>
      </c>
      <c r="Q1524" s="57" t="n">
        <v>44378</v>
      </c>
    </row>
    <row r="1525" ht="15.75" customHeight="1" s="142" thickTop="1">
      <c r="A1525" s="8" t="n">
        <v>34409281</v>
      </c>
      <c r="H1525" t="inlineStr">
        <is>
          <t>trefimetaux</t>
        </is>
      </c>
      <c r="I1525" s="8" t="inlineStr">
        <is>
          <t>Olivier</t>
        </is>
      </c>
      <c r="J1525" s="2" t="n">
        <v>44288</v>
      </c>
      <c r="K1525" s="2" t="n">
        <v>44288</v>
      </c>
      <c r="L1525" s="2" t="n"/>
      <c r="M1525" s="21" t="inlineStr">
        <is>
          <t>01</t>
        </is>
      </c>
      <c r="N1525" s="35" t="n">
        <v>3</v>
      </c>
      <c r="O1525" s="7" t="n">
        <v>27.5</v>
      </c>
      <c r="P1525" s="8" t="inlineStr">
        <is>
          <t>10 jours</t>
        </is>
      </c>
      <c r="Q1525" s="2" t="n">
        <v>44379</v>
      </c>
    </row>
    <row r="1526">
      <c r="A1526" s="8" t="n">
        <v>34409280</v>
      </c>
      <c r="H1526" t="inlineStr">
        <is>
          <t>trefimetaux</t>
        </is>
      </c>
      <c r="I1526" s="8" t="inlineStr">
        <is>
          <t>Olivier</t>
        </is>
      </c>
      <c r="J1526" s="2" t="n">
        <v>44288</v>
      </c>
      <c r="K1526" s="2" t="n">
        <v>44288</v>
      </c>
      <c r="L1526" s="2" t="n"/>
      <c r="M1526" s="21" t="inlineStr">
        <is>
          <t>01</t>
        </is>
      </c>
      <c r="N1526" s="35" t="n">
        <v>3</v>
      </c>
      <c r="O1526" s="7" t="n">
        <v>21.3</v>
      </c>
      <c r="P1526" s="8" t="inlineStr">
        <is>
          <t>10 jours</t>
        </is>
      </c>
      <c r="Q1526" s="2" t="n">
        <v>44379</v>
      </c>
    </row>
    <row r="1527">
      <c r="A1527" s="8" t="n">
        <v>34409279</v>
      </c>
      <c r="H1527" t="inlineStr">
        <is>
          <t>trefimetaux</t>
        </is>
      </c>
      <c r="I1527" s="8" t="inlineStr">
        <is>
          <t>Olivier</t>
        </is>
      </c>
      <c r="J1527" s="2" t="n">
        <v>44288</v>
      </c>
      <c r="K1527" s="2" t="n">
        <v>44288</v>
      </c>
      <c r="L1527" s="2" t="n"/>
      <c r="M1527" s="21" t="inlineStr">
        <is>
          <t>01</t>
        </is>
      </c>
      <c r="N1527" s="35" t="n">
        <v>3</v>
      </c>
      <c r="O1527" s="7" t="n">
        <v>16.2</v>
      </c>
      <c r="P1527" s="8" t="inlineStr">
        <is>
          <t>10 jours</t>
        </is>
      </c>
      <c r="Q1527" s="2" t="n">
        <v>44379</v>
      </c>
    </row>
    <row r="1528">
      <c r="A1528" s="8" t="n">
        <v>34409278</v>
      </c>
      <c r="H1528" t="inlineStr">
        <is>
          <t>trefimetaux</t>
        </is>
      </c>
      <c r="I1528" s="8" t="inlineStr">
        <is>
          <t>Olivier</t>
        </is>
      </c>
      <c r="J1528" s="2" t="n">
        <v>44288</v>
      </c>
      <c r="K1528" s="2" t="n">
        <v>44288</v>
      </c>
      <c r="L1528" s="2" t="n"/>
      <c r="M1528" s="21" t="inlineStr">
        <is>
          <t>01</t>
        </is>
      </c>
      <c r="N1528" s="35" t="n">
        <v>3</v>
      </c>
      <c r="O1528" s="7" t="n">
        <v>13.5</v>
      </c>
      <c r="P1528" s="8" t="inlineStr">
        <is>
          <t>10 jours</t>
        </is>
      </c>
      <c r="Q1528" s="2" t="n">
        <v>44379</v>
      </c>
    </row>
    <row r="1529">
      <c r="A1529" s="8" t="n">
        <v>34409277</v>
      </c>
      <c r="H1529" t="inlineStr">
        <is>
          <t>trefimetaux</t>
        </is>
      </c>
      <c r="I1529" s="8" t="inlineStr">
        <is>
          <t>Olivier</t>
        </is>
      </c>
      <c r="J1529" s="2" t="n">
        <v>44288</v>
      </c>
      <c r="K1529" s="2" t="n">
        <v>44288</v>
      </c>
      <c r="L1529" s="2" t="n"/>
      <c r="M1529" s="21" t="inlineStr">
        <is>
          <t>01</t>
        </is>
      </c>
      <c r="N1529" s="35" t="n">
        <v>3</v>
      </c>
      <c r="O1529" s="7" t="n">
        <v>10.3</v>
      </c>
      <c r="P1529" s="8" t="inlineStr">
        <is>
          <t>10 jours</t>
        </is>
      </c>
      <c r="Q1529" s="2" t="n">
        <v>44379</v>
      </c>
    </row>
    <row r="1530">
      <c r="A1530" s="8" t="n">
        <v>34409276</v>
      </c>
      <c r="H1530" t="inlineStr">
        <is>
          <t>trefimetaux</t>
        </is>
      </c>
      <c r="I1530" s="8" t="inlineStr">
        <is>
          <t>Olivier</t>
        </is>
      </c>
      <c r="J1530" s="2" t="n">
        <v>44288</v>
      </c>
      <c r="K1530" s="2" t="n">
        <v>44288</v>
      </c>
      <c r="L1530" s="2" t="n"/>
      <c r="M1530" s="21" t="inlineStr">
        <is>
          <t>01</t>
        </is>
      </c>
      <c r="N1530" s="35" t="n">
        <v>3</v>
      </c>
      <c r="O1530" s="7" t="n">
        <v>10.5</v>
      </c>
      <c r="P1530" s="8" t="inlineStr">
        <is>
          <t>10 jours</t>
        </is>
      </c>
      <c r="Q1530" s="2" t="n">
        <v>44379</v>
      </c>
    </row>
    <row r="1531">
      <c r="A1531" s="8" t="n">
        <v>34409359</v>
      </c>
      <c r="H1531" t="inlineStr">
        <is>
          <t>trefimetaux</t>
        </is>
      </c>
      <c r="I1531" s="8" t="inlineStr">
        <is>
          <t>Olivier</t>
        </is>
      </c>
      <c r="J1531" s="2" t="n">
        <v>44288</v>
      </c>
      <c r="K1531" s="2" t="n">
        <v>44288</v>
      </c>
      <c r="L1531" s="2" t="n"/>
      <c r="M1531" s="21" t="inlineStr">
        <is>
          <t>01</t>
        </is>
      </c>
      <c r="N1531" s="35" t="n">
        <v>6</v>
      </c>
      <c r="O1531" s="7" t="n">
        <v>35</v>
      </c>
      <c r="P1531" s="8" t="inlineStr">
        <is>
          <t>10 jours</t>
        </is>
      </c>
      <c r="Q1531" s="2" t="n">
        <v>44379</v>
      </c>
    </row>
    <row r="1532">
      <c r="A1532" s="8" t="n">
        <v>34409358</v>
      </c>
      <c r="H1532" t="inlineStr">
        <is>
          <t>trefimetaux</t>
        </is>
      </c>
      <c r="I1532" s="8" t="inlineStr">
        <is>
          <t>Olivier</t>
        </is>
      </c>
      <c r="J1532" s="2" t="n">
        <v>44288</v>
      </c>
      <c r="K1532" s="2" t="n">
        <v>44288</v>
      </c>
      <c r="L1532" s="2" t="n"/>
      <c r="M1532" s="21" t="inlineStr">
        <is>
          <t>01</t>
        </is>
      </c>
      <c r="N1532" s="35" t="n">
        <v>6</v>
      </c>
      <c r="O1532" s="7" t="n">
        <v>35</v>
      </c>
      <c r="P1532" s="8" t="inlineStr">
        <is>
          <t>10 jours</t>
        </is>
      </c>
      <c r="Q1532" s="2" t="n">
        <v>44379</v>
      </c>
    </row>
    <row r="1533">
      <c r="A1533" s="8" t="n">
        <v>34409357</v>
      </c>
      <c r="H1533" t="inlineStr">
        <is>
          <t>trefimetaux</t>
        </is>
      </c>
      <c r="I1533" s="8" t="inlineStr">
        <is>
          <t>Olivier</t>
        </is>
      </c>
      <c r="J1533" s="2" t="n">
        <v>44288</v>
      </c>
      <c r="K1533" s="2" t="n">
        <v>44288</v>
      </c>
      <c r="L1533" s="2" t="n"/>
      <c r="M1533" s="21" t="inlineStr">
        <is>
          <t>01</t>
        </is>
      </c>
      <c r="N1533" s="35" t="n">
        <v>3</v>
      </c>
      <c r="O1533" s="7" t="n">
        <v>10.5</v>
      </c>
      <c r="P1533" s="8" t="inlineStr">
        <is>
          <t>10 jours</t>
        </is>
      </c>
      <c r="Q1533" s="2" t="n">
        <v>44379</v>
      </c>
    </row>
    <row r="1534" ht="15.75" customFormat="1" customHeight="1" s="58" thickBot="1">
      <c r="A1534" s="56" t="n">
        <v>34409356</v>
      </c>
      <c r="B1534" s="57" t="n"/>
      <c r="H1534" s="58" t="inlineStr">
        <is>
          <t>trefimetaux</t>
        </is>
      </c>
      <c r="I1534" s="56" t="inlineStr">
        <is>
          <t>Olivier</t>
        </is>
      </c>
      <c r="J1534" s="57" t="n">
        <v>44288</v>
      </c>
      <c r="K1534" s="57" t="n">
        <v>44288</v>
      </c>
      <c r="L1534" s="57" t="n"/>
      <c r="M1534" s="59" t="inlineStr">
        <is>
          <t>01</t>
        </is>
      </c>
      <c r="N1534" s="60" t="n">
        <v>3</v>
      </c>
      <c r="O1534" s="61" t="n">
        <v>10.8</v>
      </c>
      <c r="P1534" s="56" t="inlineStr">
        <is>
          <t>10 jours</t>
        </is>
      </c>
      <c r="Q1534" s="57" t="n">
        <v>44379</v>
      </c>
    </row>
    <row r="1535" ht="15.75" customHeight="1" s="142" thickTop="1">
      <c r="A1535" s="8" t="n">
        <v>34409290</v>
      </c>
      <c r="H1535" t="inlineStr">
        <is>
          <t>trefimetaux</t>
        </is>
      </c>
      <c r="I1535" s="8" t="inlineStr">
        <is>
          <t>Olivier</t>
        </is>
      </c>
      <c r="J1535" s="2" t="n">
        <v>44288</v>
      </c>
      <c r="K1535" s="2" t="n">
        <v>44288</v>
      </c>
      <c r="L1535" s="2" t="n"/>
      <c r="M1535" s="21" t="inlineStr">
        <is>
          <t>01</t>
        </is>
      </c>
      <c r="N1535" s="35" t="n">
        <v>1</v>
      </c>
      <c r="O1535" s="7" t="n">
        <v>30</v>
      </c>
      <c r="P1535" s="8" t="inlineStr">
        <is>
          <t>10 jours</t>
        </is>
      </c>
      <c r="Q1535" s="2" t="n">
        <v>44379</v>
      </c>
    </row>
    <row r="1536">
      <c r="A1536" s="8" t="n">
        <v>34409289</v>
      </c>
      <c r="H1536" t="inlineStr">
        <is>
          <t>trefimetaux</t>
        </is>
      </c>
      <c r="I1536" s="8" t="inlineStr">
        <is>
          <t>Olivier</t>
        </is>
      </c>
      <c r="J1536" s="2" t="n">
        <v>44288</v>
      </c>
      <c r="K1536" s="2" t="n">
        <v>44288</v>
      </c>
      <c r="L1536" s="2" t="n"/>
      <c r="M1536" s="21" t="inlineStr">
        <is>
          <t>01</t>
        </is>
      </c>
      <c r="N1536" s="35" t="n">
        <v>1</v>
      </c>
      <c r="O1536" s="7" t="n">
        <v>50</v>
      </c>
      <c r="P1536" s="8" t="inlineStr">
        <is>
          <t>10 jours</t>
        </is>
      </c>
      <c r="Q1536" s="2" t="n">
        <v>44379</v>
      </c>
    </row>
    <row r="1537">
      <c r="A1537" s="8" t="n">
        <v>34409288</v>
      </c>
      <c r="H1537" t="inlineStr">
        <is>
          <t>trefimetaux</t>
        </is>
      </c>
      <c r="I1537" s="8" t="inlineStr">
        <is>
          <t>Olivier</t>
        </is>
      </c>
      <c r="J1537" s="2" t="n">
        <v>44288</v>
      </c>
      <c r="K1537" s="2" t="n">
        <v>44288</v>
      </c>
      <c r="L1537" s="2" t="n"/>
      <c r="M1537" s="21" t="inlineStr">
        <is>
          <t>01</t>
        </is>
      </c>
      <c r="N1537" s="35" t="n">
        <v>1</v>
      </c>
      <c r="O1537" s="7" t="n">
        <v>60</v>
      </c>
      <c r="P1537" s="8" t="inlineStr">
        <is>
          <t>10 jours</t>
        </is>
      </c>
      <c r="Q1537" s="2" t="n">
        <v>44379</v>
      </c>
    </row>
    <row r="1538">
      <c r="A1538" s="8" t="n">
        <v>34409287</v>
      </c>
      <c r="H1538" t="inlineStr">
        <is>
          <t>trefimetaux</t>
        </is>
      </c>
      <c r="I1538" s="8" t="inlineStr">
        <is>
          <t>Olivier</t>
        </is>
      </c>
      <c r="J1538" s="2" t="n">
        <v>44288</v>
      </c>
      <c r="K1538" s="2" t="n">
        <v>44288</v>
      </c>
      <c r="L1538" s="2" t="n"/>
      <c r="M1538" s="21" t="inlineStr">
        <is>
          <t>01</t>
        </is>
      </c>
      <c r="N1538" s="35" t="n">
        <v>1</v>
      </c>
      <c r="O1538" s="7" t="n">
        <v>75</v>
      </c>
      <c r="P1538" s="8" t="inlineStr">
        <is>
          <t>10 jours</t>
        </is>
      </c>
      <c r="Q1538" s="2" t="n">
        <v>44379</v>
      </c>
    </row>
    <row r="1539">
      <c r="A1539" s="8" t="n">
        <v>34409352</v>
      </c>
      <c r="H1539" t="inlineStr">
        <is>
          <t>trefimetaux</t>
        </is>
      </c>
      <c r="I1539" s="8" t="inlineStr">
        <is>
          <t>Olivier</t>
        </is>
      </c>
      <c r="J1539" s="2" t="n">
        <v>44288</v>
      </c>
      <c r="K1539" s="2" t="n">
        <v>44288</v>
      </c>
      <c r="L1539" s="2" t="n"/>
      <c r="M1539" s="21" t="inlineStr">
        <is>
          <t>01</t>
        </is>
      </c>
      <c r="N1539" s="35" t="n">
        <v>8</v>
      </c>
      <c r="O1539" s="7" t="n">
        <v>50</v>
      </c>
      <c r="P1539" s="8" t="inlineStr">
        <is>
          <t>10 jours</t>
        </is>
      </c>
      <c r="Q1539" s="2" t="n">
        <v>44379</v>
      </c>
    </row>
    <row r="1540" ht="15.75" customFormat="1" customHeight="1" s="58" thickBot="1">
      <c r="A1540" s="56" t="n">
        <v>34409351</v>
      </c>
      <c r="B1540" s="57" t="n"/>
      <c r="H1540" s="58" t="inlineStr">
        <is>
          <t>trefimetaux</t>
        </is>
      </c>
      <c r="I1540" s="56" t="inlineStr">
        <is>
          <t>Olivier</t>
        </is>
      </c>
      <c r="J1540" s="57" t="n">
        <v>44288</v>
      </c>
      <c r="K1540" s="57" t="n">
        <v>44288</v>
      </c>
      <c r="L1540" s="57" t="n"/>
      <c r="M1540" s="59" t="inlineStr">
        <is>
          <t>01</t>
        </is>
      </c>
      <c r="N1540" s="60" t="n">
        <v>8</v>
      </c>
      <c r="O1540" s="61" t="n">
        <v>17.4</v>
      </c>
      <c r="P1540" s="56" t="inlineStr">
        <is>
          <t>10 jours</t>
        </is>
      </c>
      <c r="Q1540" s="57" t="n">
        <v>44379</v>
      </c>
    </row>
    <row r="1541" ht="15.75" customHeight="1" s="142" thickTop="1">
      <c r="A1541" s="8" t="n">
        <v>34409326</v>
      </c>
      <c r="H1541" t="inlineStr">
        <is>
          <t>trefimetaux</t>
        </is>
      </c>
      <c r="I1541" s="8" t="inlineStr">
        <is>
          <t>Olivier</t>
        </is>
      </c>
      <c r="J1541" s="2" t="n">
        <v>44292</v>
      </c>
      <c r="K1541" s="2" t="n">
        <v>44292</v>
      </c>
      <c r="L1541" s="2" t="n"/>
      <c r="M1541" s="21" t="inlineStr">
        <is>
          <t>01</t>
        </is>
      </c>
      <c r="N1541" s="35" t="n">
        <v>4</v>
      </c>
      <c r="O1541" s="7" t="n">
        <v>92</v>
      </c>
      <c r="P1541" s="8" t="inlineStr">
        <is>
          <t>10 jours</t>
        </is>
      </c>
      <c r="Q1541" s="2" t="n">
        <v>44379</v>
      </c>
    </row>
    <row r="1542">
      <c r="A1542" s="8" t="n">
        <v>34409347</v>
      </c>
      <c r="H1542" t="inlineStr">
        <is>
          <t>trefimetaux</t>
        </is>
      </c>
      <c r="I1542" s="8" t="inlineStr">
        <is>
          <t>Olivier</t>
        </is>
      </c>
      <c r="J1542" s="2" t="n">
        <v>44292</v>
      </c>
      <c r="K1542" s="2" t="n">
        <v>44292</v>
      </c>
      <c r="L1542" s="2" t="n"/>
      <c r="M1542" s="21" t="inlineStr">
        <is>
          <t>01</t>
        </is>
      </c>
      <c r="N1542" s="35" t="n">
        <v>4</v>
      </c>
      <c r="O1542" s="7" t="n">
        <v>15</v>
      </c>
      <c r="P1542" s="8" t="inlineStr">
        <is>
          <t>10 jours</t>
        </is>
      </c>
      <c r="Q1542" s="2" t="n">
        <v>44379</v>
      </c>
    </row>
    <row r="1543" ht="15.75" customFormat="1" customHeight="1" s="58" thickBot="1">
      <c r="A1543" s="56" t="n">
        <v>34409346</v>
      </c>
      <c r="B1543" s="57" t="n"/>
      <c r="H1543" s="58" t="inlineStr">
        <is>
          <t>trefimetaux</t>
        </is>
      </c>
      <c r="I1543" s="56" t="inlineStr">
        <is>
          <t>Olivier</t>
        </is>
      </c>
      <c r="J1543" s="57" t="n">
        <v>44292</v>
      </c>
      <c r="K1543" s="57" t="n">
        <v>44292</v>
      </c>
      <c r="L1543" s="57" t="n"/>
      <c r="M1543" s="59" t="inlineStr">
        <is>
          <t>01</t>
        </is>
      </c>
      <c r="N1543" s="60" t="n">
        <v>4</v>
      </c>
      <c r="O1543" s="61" t="n">
        <v>50</v>
      </c>
      <c r="P1543" s="56" t="inlineStr">
        <is>
          <t>10 jours</t>
        </is>
      </c>
      <c r="Q1543" s="57" t="n">
        <v>44379</v>
      </c>
    </row>
    <row r="1544" ht="15.75" customHeight="1" s="142" thickTop="1">
      <c r="A1544" s="8" t="n">
        <v>34409274</v>
      </c>
      <c r="H1544" t="inlineStr">
        <is>
          <t>lasertechnic</t>
        </is>
      </c>
      <c r="I1544" s="8" t="inlineStr">
        <is>
          <t>Olivier</t>
        </is>
      </c>
      <c r="J1544" s="2" t="n">
        <v>44292</v>
      </c>
      <c r="L1544" s="2" t="n">
        <v>44295</v>
      </c>
      <c r="M1544" s="21" t="inlineStr">
        <is>
          <t>01</t>
        </is>
      </c>
      <c r="N1544" s="35" t="n">
        <v>1</v>
      </c>
    </row>
    <row r="1545">
      <c r="A1545" s="8" t="n">
        <v>34409291</v>
      </c>
      <c r="H1545" t="inlineStr">
        <is>
          <t>lasertechnic</t>
        </is>
      </c>
      <c r="I1545" s="8" t="inlineStr">
        <is>
          <t>Olivier</t>
        </is>
      </c>
      <c r="J1545" s="2" t="n">
        <v>44292</v>
      </c>
      <c r="L1545" s="2" t="n">
        <v>44295</v>
      </c>
      <c r="M1545" s="21" t="inlineStr">
        <is>
          <t>04</t>
        </is>
      </c>
      <c r="N1545" s="35" t="n">
        <v>1</v>
      </c>
    </row>
    <row r="1546" ht="15.75" customFormat="1" customHeight="1" s="58" thickBot="1">
      <c r="A1546" s="56" t="n">
        <v>34409324</v>
      </c>
      <c r="B1546" s="57" t="n"/>
      <c r="H1546" s="58" t="inlineStr">
        <is>
          <t>lasertechnic</t>
        </is>
      </c>
      <c r="I1546" s="56" t="inlineStr">
        <is>
          <t>Olivier</t>
        </is>
      </c>
      <c r="J1546" s="57" t="n">
        <v>44292</v>
      </c>
      <c r="L1546" s="57" t="n">
        <v>44295</v>
      </c>
      <c r="M1546" s="59" t="inlineStr">
        <is>
          <t>01</t>
        </is>
      </c>
      <c r="N1546" s="60" t="n">
        <v>2</v>
      </c>
      <c r="O1546" s="61" t="n"/>
    </row>
    <row r="1547" ht="15.75" customHeight="1" s="142" thickTop="1">
      <c r="A1547" s="8" t="n">
        <v>34409281</v>
      </c>
      <c r="H1547" t="inlineStr">
        <is>
          <t>thyssen</t>
        </is>
      </c>
      <c r="I1547" s="8" t="inlineStr">
        <is>
          <t>Olivier</t>
        </is>
      </c>
      <c r="J1547" s="2" t="n">
        <v>44293</v>
      </c>
      <c r="K1547" s="2" t="n">
        <v>44293</v>
      </c>
      <c r="L1547" s="2" t="n"/>
      <c r="M1547" s="21" t="inlineStr">
        <is>
          <t>01</t>
        </is>
      </c>
      <c r="N1547" s="35" t="n">
        <v>3</v>
      </c>
      <c r="O1547" s="7" t="n">
        <v>49.7</v>
      </c>
      <c r="P1547" s="8" t="inlineStr">
        <is>
          <t>12 JOURS</t>
        </is>
      </c>
      <c r="Q1547" s="2" t="n">
        <v>44301</v>
      </c>
    </row>
    <row r="1548">
      <c r="A1548" s="8" t="n">
        <v>34409280</v>
      </c>
      <c r="H1548" t="inlineStr">
        <is>
          <t>thyssen</t>
        </is>
      </c>
      <c r="I1548" s="8" t="inlineStr">
        <is>
          <t>Olivier</t>
        </is>
      </c>
      <c r="J1548" s="2" t="n">
        <v>44293</v>
      </c>
      <c r="K1548" s="2" t="n">
        <v>44293</v>
      </c>
      <c r="L1548" s="2" t="n"/>
      <c r="M1548" s="21" t="inlineStr">
        <is>
          <t>01</t>
        </is>
      </c>
      <c r="N1548" s="35" t="n">
        <v>3</v>
      </c>
      <c r="O1548" s="7" t="n">
        <v>42</v>
      </c>
      <c r="P1548" s="8" t="inlineStr">
        <is>
          <t>12 JOURS</t>
        </is>
      </c>
      <c r="Q1548" s="2" t="n">
        <v>44301</v>
      </c>
    </row>
    <row r="1549">
      <c r="A1549" s="8" t="n">
        <v>34409279</v>
      </c>
      <c r="H1549" t="inlineStr">
        <is>
          <t>thyssen</t>
        </is>
      </c>
      <c r="I1549" s="8" t="inlineStr">
        <is>
          <t>Olivier</t>
        </is>
      </c>
      <c r="J1549" s="2" t="n">
        <v>44293</v>
      </c>
      <c r="K1549" s="2" t="n">
        <v>44293</v>
      </c>
      <c r="L1549" s="2" t="n"/>
      <c r="M1549" s="21" t="inlineStr">
        <is>
          <t>01</t>
        </is>
      </c>
      <c r="N1549" s="35" t="n">
        <v>3</v>
      </c>
      <c r="O1549" s="7" t="n">
        <v>33.6</v>
      </c>
      <c r="P1549" s="8" t="inlineStr">
        <is>
          <t>12 JOURS</t>
        </is>
      </c>
      <c r="Q1549" s="2" t="n">
        <v>44301</v>
      </c>
    </row>
    <row r="1550">
      <c r="A1550" s="8" t="n">
        <v>34409278</v>
      </c>
      <c r="H1550" t="inlineStr">
        <is>
          <t>thyssen</t>
        </is>
      </c>
      <c r="I1550" s="8" t="inlineStr">
        <is>
          <t>Olivier</t>
        </is>
      </c>
      <c r="J1550" s="2" t="n">
        <v>44293</v>
      </c>
      <c r="K1550" s="2" t="n">
        <v>44293</v>
      </c>
      <c r="L1550" s="2" t="n"/>
      <c r="M1550" s="21" t="inlineStr">
        <is>
          <t>01</t>
        </is>
      </c>
      <c r="N1550" s="35" t="n">
        <v>3</v>
      </c>
      <c r="O1550" s="7" t="n">
        <v>35.15</v>
      </c>
      <c r="P1550" s="8" t="inlineStr">
        <is>
          <t>12 JOURS</t>
        </is>
      </c>
      <c r="Q1550" s="2" t="n">
        <v>44301</v>
      </c>
    </row>
    <row r="1551">
      <c r="A1551" s="8" t="n">
        <v>34409277</v>
      </c>
      <c r="H1551" t="inlineStr">
        <is>
          <t>thyssen</t>
        </is>
      </c>
      <c r="I1551" s="8" t="inlineStr">
        <is>
          <t>Olivier</t>
        </is>
      </c>
      <c r="J1551" s="2" t="n">
        <v>44293</v>
      </c>
      <c r="K1551" s="2" t="n">
        <v>44293</v>
      </c>
      <c r="L1551" s="2" t="n"/>
      <c r="M1551" s="21" t="inlineStr">
        <is>
          <t>01</t>
        </is>
      </c>
      <c r="N1551" s="35" t="n">
        <v>3</v>
      </c>
      <c r="O1551" s="7" t="n">
        <v>27.9</v>
      </c>
      <c r="P1551" s="8" t="inlineStr">
        <is>
          <t>12 JOURS</t>
        </is>
      </c>
      <c r="Q1551" s="2" t="n">
        <v>44301</v>
      </c>
    </row>
    <row r="1552">
      <c r="A1552" s="8" t="n">
        <v>34409276</v>
      </c>
      <c r="H1552" t="inlineStr">
        <is>
          <t>thyssen</t>
        </is>
      </c>
      <c r="I1552" s="8" t="inlineStr">
        <is>
          <t>Olivier</t>
        </is>
      </c>
      <c r="J1552" s="2" t="n">
        <v>44293</v>
      </c>
      <c r="K1552" s="2" t="n">
        <v>44293</v>
      </c>
      <c r="L1552" s="2" t="n"/>
      <c r="M1552" s="21" t="inlineStr">
        <is>
          <t>01</t>
        </is>
      </c>
      <c r="N1552" s="35" t="n">
        <v>3</v>
      </c>
      <c r="O1552" s="7" t="n">
        <v>27.9</v>
      </c>
      <c r="P1552" s="8" t="inlineStr">
        <is>
          <t>12 JOURS</t>
        </is>
      </c>
      <c r="Q1552" s="2" t="n">
        <v>44301</v>
      </c>
    </row>
    <row r="1553">
      <c r="A1553" s="8" t="n">
        <v>34409359</v>
      </c>
      <c r="H1553" t="inlineStr">
        <is>
          <t>thyssen</t>
        </is>
      </c>
      <c r="I1553" s="8" t="inlineStr">
        <is>
          <t>Olivier</t>
        </is>
      </c>
      <c r="J1553" s="2" t="n">
        <v>44293</v>
      </c>
      <c r="K1553" s="2" t="n">
        <v>44293</v>
      </c>
      <c r="L1553" s="2" t="n"/>
      <c r="M1553" s="21" t="inlineStr">
        <is>
          <t>01</t>
        </is>
      </c>
      <c r="N1553" s="35" t="n">
        <v>6</v>
      </c>
      <c r="O1553" s="7" t="n">
        <v>50.4</v>
      </c>
      <c r="P1553" s="8" t="inlineStr">
        <is>
          <t>12 JOURS</t>
        </is>
      </c>
      <c r="Q1553" s="2" t="n">
        <v>44301</v>
      </c>
    </row>
    <row r="1554">
      <c r="A1554" s="8" t="n">
        <v>34409358</v>
      </c>
      <c r="H1554" t="inlineStr">
        <is>
          <t>thyssen</t>
        </is>
      </c>
      <c r="I1554" s="8" t="inlineStr">
        <is>
          <t>Olivier</t>
        </is>
      </c>
      <c r="J1554" s="2" t="n">
        <v>44293</v>
      </c>
      <c r="K1554" s="2" t="n">
        <v>44293</v>
      </c>
      <c r="L1554" s="2" t="n"/>
      <c r="M1554" s="21" t="inlineStr">
        <is>
          <t>01</t>
        </is>
      </c>
      <c r="N1554" s="35" t="n">
        <v>6</v>
      </c>
      <c r="O1554" s="7" t="n">
        <v>50.4</v>
      </c>
      <c r="P1554" s="8" t="inlineStr">
        <is>
          <t>12 JOURS</t>
        </is>
      </c>
      <c r="Q1554" s="2" t="n">
        <v>44301</v>
      </c>
    </row>
    <row r="1555">
      <c r="A1555" s="8" t="n">
        <v>34409357</v>
      </c>
      <c r="H1555" t="inlineStr">
        <is>
          <t>thyssen</t>
        </is>
      </c>
      <c r="I1555" s="8" t="inlineStr">
        <is>
          <t>Olivier</t>
        </is>
      </c>
      <c r="J1555" s="2" t="n">
        <v>44293</v>
      </c>
      <c r="K1555" s="2" t="n">
        <v>44293</v>
      </c>
      <c r="L1555" s="2" t="n"/>
      <c r="M1555" s="21" t="inlineStr">
        <is>
          <t>01</t>
        </is>
      </c>
      <c r="N1555" s="35" t="n">
        <v>3</v>
      </c>
      <c r="O1555" s="7" t="n">
        <v>27.9</v>
      </c>
      <c r="P1555" s="8" t="inlineStr">
        <is>
          <t>12 JOURS</t>
        </is>
      </c>
      <c r="Q1555" s="2" t="n">
        <v>44301</v>
      </c>
    </row>
    <row r="1556" ht="15.75" customFormat="1" customHeight="1" s="58" thickBot="1">
      <c r="A1556" s="56" t="n">
        <v>34409356</v>
      </c>
      <c r="B1556" s="57" t="n"/>
      <c r="H1556" s="58" t="inlineStr">
        <is>
          <t>thyssen</t>
        </is>
      </c>
      <c r="I1556" s="56" t="inlineStr">
        <is>
          <t>Olivier</t>
        </is>
      </c>
      <c r="J1556" s="57" t="n">
        <v>44293</v>
      </c>
      <c r="K1556" s="57" t="n">
        <v>44293</v>
      </c>
      <c r="L1556" s="57" t="n"/>
      <c r="M1556" s="59" t="inlineStr">
        <is>
          <t>01</t>
        </is>
      </c>
      <c r="N1556" s="60" t="n">
        <v>3</v>
      </c>
      <c r="O1556" s="61" t="n">
        <v>27.9</v>
      </c>
      <c r="P1556" s="56" t="inlineStr">
        <is>
          <t>12 JOURS</t>
        </is>
      </c>
      <c r="Q1556" s="57" t="n">
        <v>44301</v>
      </c>
    </row>
    <row r="1557" ht="16.5" customFormat="1" customHeight="1" s="80" thickBot="1" thickTop="1">
      <c r="A1557" s="130" t="n">
        <v>34409335</v>
      </c>
      <c r="B1557" s="79" t="n"/>
      <c r="H1557" s="80" t="inlineStr">
        <is>
          <t>UFP</t>
        </is>
      </c>
      <c r="I1557" s="78" t="inlineStr">
        <is>
          <t>Olivier</t>
        </is>
      </c>
      <c r="J1557" s="79" t="n">
        <v>44293</v>
      </c>
      <c r="L1557" s="79" t="n">
        <v>44296</v>
      </c>
      <c r="M1557" s="81" t="inlineStr">
        <is>
          <t>03</t>
        </is>
      </c>
      <c r="N1557" s="82" t="n">
        <v>1</v>
      </c>
      <c r="O1557" s="83" t="n"/>
    </row>
    <row r="1558" ht="16.5" customFormat="1" customHeight="1" s="80" thickBot="1" thickTop="1">
      <c r="A1558" s="130" t="n">
        <v>34409364</v>
      </c>
      <c r="B1558" s="79" t="n"/>
      <c r="H1558" s="80" t="inlineStr">
        <is>
          <t>lasertechnic</t>
        </is>
      </c>
      <c r="I1558" s="78" t="inlineStr">
        <is>
          <t>Olivier</t>
        </is>
      </c>
      <c r="J1558" s="79" t="n">
        <v>44293</v>
      </c>
      <c r="K1558" s="79" t="n">
        <v>44300</v>
      </c>
      <c r="L1558" s="79" t="n">
        <v>44296</v>
      </c>
      <c r="M1558" s="81" t="inlineStr">
        <is>
          <t>01</t>
        </is>
      </c>
      <c r="N1558" s="82" t="n">
        <v>2</v>
      </c>
      <c r="O1558" s="83" t="n">
        <v>19</v>
      </c>
      <c r="P1558" s="82" t="inlineStr">
        <is>
          <t>3 Jours</t>
        </is>
      </c>
      <c r="Q1558" s="79" t="n">
        <v>44391</v>
      </c>
    </row>
    <row r="1559" ht="15.75" customHeight="1" s="142" thickTop="1">
      <c r="A1559" s="8" t="n">
        <v>34409290</v>
      </c>
      <c r="H1559" t="inlineStr">
        <is>
          <t>thyssen</t>
        </is>
      </c>
      <c r="I1559" s="8" t="inlineStr">
        <is>
          <t>Olivier</t>
        </is>
      </c>
      <c r="J1559" s="2" t="n">
        <v>44293</v>
      </c>
      <c r="L1559" s="2" t="n">
        <v>44296</v>
      </c>
      <c r="M1559" s="21" t="inlineStr">
        <is>
          <t>01</t>
        </is>
      </c>
      <c r="N1559" s="35" t="n">
        <v>1</v>
      </c>
      <c r="P1559" s="8" t="n"/>
      <c r="Q1559" s="2" t="n"/>
    </row>
    <row r="1560">
      <c r="A1560" s="8" t="n">
        <v>34409289</v>
      </c>
      <c r="H1560" t="inlineStr">
        <is>
          <t>thyssen</t>
        </is>
      </c>
      <c r="I1560" s="8" t="inlineStr">
        <is>
          <t>Olivier</t>
        </is>
      </c>
      <c r="J1560" s="2" t="n">
        <v>44293</v>
      </c>
      <c r="L1560" s="2" t="n">
        <v>44296</v>
      </c>
      <c r="M1560" s="21" t="inlineStr">
        <is>
          <t>01</t>
        </is>
      </c>
      <c r="N1560" s="35" t="n">
        <v>1</v>
      </c>
      <c r="P1560" s="8" t="n"/>
      <c r="Q1560" s="2" t="n"/>
    </row>
    <row r="1561">
      <c r="A1561" s="8" t="n">
        <v>34409288</v>
      </c>
      <c r="H1561" t="inlineStr">
        <is>
          <t>thyssen</t>
        </is>
      </c>
      <c r="I1561" s="8" t="inlineStr">
        <is>
          <t>Olivier</t>
        </is>
      </c>
      <c r="J1561" s="2" t="n">
        <v>44293</v>
      </c>
      <c r="L1561" s="2" t="n">
        <v>44296</v>
      </c>
      <c r="M1561" s="21" t="inlineStr">
        <is>
          <t>01</t>
        </is>
      </c>
      <c r="N1561" s="35" t="n">
        <v>1</v>
      </c>
      <c r="P1561" s="8" t="n"/>
      <c r="Q1561" s="2" t="n"/>
    </row>
    <row r="1562">
      <c r="A1562" s="8" t="n">
        <v>34409287</v>
      </c>
      <c r="H1562" t="inlineStr">
        <is>
          <t>thyssen</t>
        </is>
      </c>
      <c r="I1562" s="8" t="inlineStr">
        <is>
          <t>Olivier</t>
        </is>
      </c>
      <c r="J1562" s="2" t="n">
        <v>44293</v>
      </c>
      <c r="L1562" s="2" t="n">
        <v>44296</v>
      </c>
      <c r="M1562" s="21" t="inlineStr">
        <is>
          <t>01</t>
        </is>
      </c>
      <c r="N1562" s="35" t="n">
        <v>1</v>
      </c>
      <c r="P1562" s="8" t="n"/>
      <c r="Q1562" s="2" t="n"/>
    </row>
    <row r="1563">
      <c r="A1563" s="8" t="n">
        <v>34409352</v>
      </c>
      <c r="H1563" t="inlineStr">
        <is>
          <t>thyssen</t>
        </is>
      </c>
      <c r="I1563" s="8" t="inlineStr">
        <is>
          <t>Olivier</t>
        </is>
      </c>
      <c r="J1563" s="2" t="n">
        <v>44293</v>
      </c>
      <c r="L1563" s="2" t="n">
        <v>44296</v>
      </c>
      <c r="M1563" s="21" t="inlineStr">
        <is>
          <t>01</t>
        </is>
      </c>
      <c r="N1563" s="35" t="n">
        <v>8</v>
      </c>
      <c r="P1563" s="8" t="n"/>
      <c r="Q1563" s="2" t="n"/>
    </row>
    <row r="1564">
      <c r="A1564" s="8" t="n">
        <v>34409351</v>
      </c>
      <c r="H1564" t="inlineStr">
        <is>
          <t>thyssen</t>
        </is>
      </c>
      <c r="I1564" s="8" t="inlineStr">
        <is>
          <t>Olivier</t>
        </is>
      </c>
      <c r="J1564" s="2" t="n">
        <v>44293</v>
      </c>
      <c r="L1564" s="2" t="n">
        <v>44296</v>
      </c>
      <c r="M1564" s="21" t="inlineStr">
        <is>
          <t>01</t>
        </is>
      </c>
      <c r="N1564" s="35" t="n">
        <v>8</v>
      </c>
      <c r="P1564" s="8" t="n"/>
      <c r="Q1564" s="2" t="n"/>
    </row>
    <row r="1565">
      <c r="A1565" s="8" t="n">
        <v>34409326</v>
      </c>
      <c r="H1565" t="inlineStr">
        <is>
          <t>thyssen</t>
        </is>
      </c>
      <c r="I1565" s="8" t="inlineStr">
        <is>
          <t>Olivier</t>
        </is>
      </c>
      <c r="J1565" s="2" t="n">
        <v>44293</v>
      </c>
      <c r="L1565" s="2" t="n">
        <v>44296</v>
      </c>
      <c r="M1565" s="21" t="inlineStr">
        <is>
          <t>01</t>
        </is>
      </c>
      <c r="N1565" s="35" t="n">
        <v>4</v>
      </c>
    </row>
    <row r="1566">
      <c r="A1566" s="8" t="n">
        <v>34409347</v>
      </c>
      <c r="H1566" t="inlineStr">
        <is>
          <t>thyssen</t>
        </is>
      </c>
      <c r="I1566" s="8" t="inlineStr">
        <is>
          <t>Olivier</t>
        </is>
      </c>
      <c r="J1566" s="2" t="n">
        <v>44293</v>
      </c>
      <c r="L1566" s="2" t="n">
        <v>44296</v>
      </c>
      <c r="M1566" s="21" t="inlineStr">
        <is>
          <t>01</t>
        </is>
      </c>
      <c r="N1566" s="35" t="n">
        <v>4</v>
      </c>
    </row>
    <row r="1567" ht="15.75" customFormat="1" customHeight="1" s="58" thickBot="1">
      <c r="A1567" s="56" t="n">
        <v>34409346</v>
      </c>
      <c r="B1567" s="57" t="n"/>
      <c r="H1567" s="58" t="inlineStr">
        <is>
          <t>thyssen</t>
        </is>
      </c>
      <c r="I1567" s="56" t="inlineStr">
        <is>
          <t>Olivier</t>
        </is>
      </c>
      <c r="J1567" s="57" t="n">
        <v>44293</v>
      </c>
      <c r="L1567" s="57" t="n">
        <v>44296</v>
      </c>
      <c r="M1567" s="59" t="inlineStr">
        <is>
          <t>01</t>
        </is>
      </c>
      <c r="N1567" s="60" t="n">
        <v>4</v>
      </c>
      <c r="O1567" s="61" t="n"/>
    </row>
    <row r="1568" ht="15.75" customHeight="1" s="142" thickTop="1">
      <c r="A1568" s="43" t="n">
        <v>34409355</v>
      </c>
      <c r="H1568" t="inlineStr">
        <is>
          <t>lasertechnic</t>
        </is>
      </c>
      <c r="I1568" s="8" t="inlineStr">
        <is>
          <t>Olivier</t>
        </is>
      </c>
      <c r="J1568" s="2" t="n">
        <v>44294</v>
      </c>
      <c r="L1568" s="2" t="n">
        <v>44299</v>
      </c>
      <c r="M1568" s="21" t="inlineStr">
        <is>
          <t>01</t>
        </is>
      </c>
      <c r="N1568" s="35" t="n">
        <v>1</v>
      </c>
    </row>
    <row r="1569">
      <c r="A1569" s="43" t="n">
        <v>34409361</v>
      </c>
      <c r="H1569" t="inlineStr">
        <is>
          <t>lasertechnic</t>
        </is>
      </c>
      <c r="I1569" s="8" t="inlineStr">
        <is>
          <t>Olivier</t>
        </is>
      </c>
      <c r="J1569" s="2" t="n">
        <v>44294</v>
      </c>
      <c r="L1569" s="2" t="n">
        <v>44299</v>
      </c>
      <c r="M1569" s="21" t="inlineStr">
        <is>
          <t>01</t>
        </is>
      </c>
      <c r="N1569" s="35" t="n">
        <v>1</v>
      </c>
    </row>
    <row r="1570" ht="15.75" customFormat="1" customHeight="1" s="58" thickBot="1">
      <c r="A1570" s="131" t="n">
        <v>34409360</v>
      </c>
      <c r="B1570" s="57" t="n"/>
      <c r="H1570" s="58" t="inlineStr">
        <is>
          <t>lasertechnic</t>
        </is>
      </c>
      <c r="I1570" s="56" t="inlineStr">
        <is>
          <t>Olivier</t>
        </is>
      </c>
      <c r="J1570" s="57" t="n">
        <v>44294</v>
      </c>
      <c r="L1570" s="57" t="n">
        <v>44299</v>
      </c>
      <c r="M1570" s="59" t="inlineStr">
        <is>
          <t>01</t>
        </is>
      </c>
      <c r="N1570" s="60" t="n">
        <v>1</v>
      </c>
      <c r="O1570" s="61" t="n"/>
    </row>
    <row r="1571" ht="15.75" customHeight="1" s="142" thickTop="1">
      <c r="A1571" s="43" t="n">
        <v>34409354</v>
      </c>
      <c r="H1571" t="inlineStr">
        <is>
          <t>UFP</t>
        </is>
      </c>
      <c r="I1571" s="8" t="inlineStr">
        <is>
          <t>Olivier</t>
        </is>
      </c>
      <c r="J1571" s="2" t="n">
        <v>44294</v>
      </c>
      <c r="L1571" s="2" t="n">
        <v>44299</v>
      </c>
      <c r="M1571" s="21" t="inlineStr">
        <is>
          <t>01</t>
        </is>
      </c>
      <c r="N1571" s="35" t="n">
        <v>1</v>
      </c>
    </row>
    <row r="1572" ht="15.75" customFormat="1" customHeight="1" s="58" thickBot="1">
      <c r="A1572" s="131" t="n">
        <v>34409327</v>
      </c>
      <c r="B1572" s="57" t="n"/>
      <c r="H1572" s="58" t="inlineStr">
        <is>
          <t>UFP</t>
        </is>
      </c>
      <c r="I1572" s="56" t="inlineStr">
        <is>
          <t>Olivier</t>
        </is>
      </c>
      <c r="J1572" s="57" t="n">
        <v>44294</v>
      </c>
      <c r="L1572" s="57" t="n">
        <v>44299</v>
      </c>
      <c r="M1572" s="59" t="inlineStr">
        <is>
          <t>01</t>
        </is>
      </c>
      <c r="N1572" s="60" t="n">
        <v>1</v>
      </c>
      <c r="O1572" s="61" t="n"/>
    </row>
    <row r="1573" ht="15.75" customHeight="1" s="142" thickTop="1">
      <c r="A1573" s="8" t="n">
        <v>34408756</v>
      </c>
      <c r="H1573" t="inlineStr">
        <is>
          <t>lasertechnic</t>
        </is>
      </c>
      <c r="I1573" s="8" t="inlineStr">
        <is>
          <t>Angelique</t>
        </is>
      </c>
      <c r="J1573" s="2" t="n">
        <v>44300</v>
      </c>
      <c r="K1573" s="2" t="n">
        <v>44301</v>
      </c>
      <c r="M1573" s="21" t="inlineStr">
        <is>
          <t>01</t>
        </is>
      </c>
      <c r="N1573" s="35" t="n">
        <v>2</v>
      </c>
      <c r="O1573" s="7" t="n">
        <v>8</v>
      </c>
      <c r="P1573" s="8" t="inlineStr">
        <is>
          <t>5 JOURS</t>
        </is>
      </c>
      <c r="Q1573" s="2" t="n">
        <v>44392</v>
      </c>
    </row>
    <row r="1574">
      <c r="A1574" s="8" t="n">
        <v>34408979</v>
      </c>
      <c r="H1574" t="inlineStr">
        <is>
          <t>lasertechnic</t>
        </is>
      </c>
      <c r="I1574" s="8" t="inlineStr">
        <is>
          <t>Angelique</t>
        </is>
      </c>
      <c r="J1574" s="132" t="n">
        <v>44300</v>
      </c>
      <c r="K1574" s="2" t="n">
        <v>44301</v>
      </c>
      <c r="M1574" s="21" t="inlineStr">
        <is>
          <t>03</t>
        </is>
      </c>
      <c r="N1574" s="35" t="n">
        <v>1</v>
      </c>
      <c r="O1574" s="7" t="n">
        <v>46</v>
      </c>
      <c r="P1574" s="8" t="inlineStr">
        <is>
          <t>5 JOURS</t>
        </is>
      </c>
      <c r="Q1574" s="2" t="n">
        <v>44392</v>
      </c>
    </row>
    <row r="1575">
      <c r="A1575" s="8" t="n">
        <v>34408985</v>
      </c>
      <c r="H1575" t="inlineStr">
        <is>
          <t>lasertechnic</t>
        </is>
      </c>
      <c r="I1575" s="8" t="inlineStr">
        <is>
          <t>Angelique</t>
        </is>
      </c>
      <c r="J1575" s="132" t="n">
        <v>44300</v>
      </c>
      <c r="K1575" s="2" t="n">
        <v>44301</v>
      </c>
      <c r="M1575" s="21" t="inlineStr">
        <is>
          <t>02</t>
        </is>
      </c>
      <c r="N1575" s="35" t="n">
        <v>2</v>
      </c>
      <c r="O1575" s="7" t="n">
        <v>16</v>
      </c>
      <c r="P1575" s="8" t="inlineStr">
        <is>
          <t>5 JOURS</t>
        </is>
      </c>
      <c r="Q1575" s="2" t="n">
        <v>44392</v>
      </c>
    </row>
    <row r="1576">
      <c r="A1576" s="8" t="n">
        <v>34408987</v>
      </c>
      <c r="H1576" t="inlineStr">
        <is>
          <t>lasertechnic</t>
        </is>
      </c>
      <c r="I1576" s="8" t="inlineStr">
        <is>
          <t>Angelique</t>
        </is>
      </c>
      <c r="J1576" s="132" t="n">
        <v>44300</v>
      </c>
      <c r="K1576" s="2" t="n">
        <v>44301</v>
      </c>
      <c r="M1576" s="21" t="inlineStr">
        <is>
          <t>03</t>
        </is>
      </c>
      <c r="N1576" s="35" t="n">
        <v>4</v>
      </c>
      <c r="O1576" s="7" t="n">
        <v>48</v>
      </c>
      <c r="P1576" s="8" t="inlineStr">
        <is>
          <t>5 JOURS</t>
        </is>
      </c>
      <c r="Q1576" s="2" t="n">
        <v>44392</v>
      </c>
    </row>
    <row r="1577">
      <c r="A1577" s="8" t="n">
        <v>34408989</v>
      </c>
      <c r="H1577" t="inlineStr">
        <is>
          <t>lasertechnic</t>
        </is>
      </c>
      <c r="I1577" s="8" t="inlineStr">
        <is>
          <t>Angelique</t>
        </is>
      </c>
      <c r="J1577" s="132" t="n">
        <v>44300</v>
      </c>
      <c r="K1577" s="2" t="n">
        <v>44301</v>
      </c>
      <c r="M1577" s="21" t="inlineStr">
        <is>
          <t>03</t>
        </is>
      </c>
      <c r="N1577" s="35" t="n">
        <v>2</v>
      </c>
      <c r="O1577" s="7" t="n">
        <v>98</v>
      </c>
      <c r="P1577" s="8" t="inlineStr">
        <is>
          <t>5 JOURS</t>
        </is>
      </c>
      <c r="Q1577" s="2" t="n">
        <v>44392</v>
      </c>
    </row>
    <row r="1578">
      <c r="A1578" s="8" t="n">
        <v>34408999</v>
      </c>
      <c r="H1578" t="inlineStr">
        <is>
          <t>lasertechnic</t>
        </is>
      </c>
      <c r="I1578" s="8" t="inlineStr">
        <is>
          <t>Angelique</t>
        </is>
      </c>
      <c r="J1578" s="132" t="n">
        <v>44300</v>
      </c>
      <c r="K1578" s="2" t="n">
        <v>44301</v>
      </c>
      <c r="M1578" s="21" t="inlineStr">
        <is>
          <t>01</t>
        </is>
      </c>
      <c r="N1578" s="35" t="n">
        <v>1</v>
      </c>
      <c r="O1578" s="7" t="n">
        <v>19</v>
      </c>
      <c r="P1578" s="8" t="inlineStr">
        <is>
          <t>5 JOURS</t>
        </is>
      </c>
      <c r="Q1578" s="2" t="n">
        <v>44392</v>
      </c>
    </row>
    <row r="1579">
      <c r="A1579" s="8" t="n">
        <v>34409008</v>
      </c>
      <c r="H1579" t="inlineStr">
        <is>
          <t>lasertechnic</t>
        </is>
      </c>
      <c r="I1579" s="8" t="inlineStr">
        <is>
          <t>Angelique</t>
        </is>
      </c>
      <c r="J1579" s="132" t="n">
        <v>44300</v>
      </c>
      <c r="K1579" s="2" t="n">
        <v>44301</v>
      </c>
      <c r="M1579" s="21" t="inlineStr">
        <is>
          <t>02</t>
        </is>
      </c>
      <c r="N1579" s="35" t="n">
        <v>2</v>
      </c>
      <c r="O1579" s="7" t="n">
        <v>18</v>
      </c>
      <c r="P1579" s="8" t="inlineStr">
        <is>
          <t>5 JOURS</t>
        </is>
      </c>
      <c r="Q1579" s="2" t="n">
        <v>44392</v>
      </c>
    </row>
    <row r="1580">
      <c r="A1580" s="8" t="n">
        <v>34408953</v>
      </c>
      <c r="H1580" t="inlineStr">
        <is>
          <t>lasertechnic</t>
        </is>
      </c>
      <c r="I1580" s="8" t="inlineStr">
        <is>
          <t>Angelique</t>
        </is>
      </c>
      <c r="J1580" s="132" t="n">
        <v>44300</v>
      </c>
      <c r="K1580" s="2" t="n">
        <v>44301</v>
      </c>
      <c r="M1580" s="21" t="inlineStr">
        <is>
          <t>01</t>
        </is>
      </c>
      <c r="N1580" s="35" t="n">
        <v>8</v>
      </c>
      <c r="O1580" s="7" t="n">
        <v>10</v>
      </c>
      <c r="P1580" s="8" t="inlineStr">
        <is>
          <t>5 JOURS</t>
        </is>
      </c>
      <c r="Q1580" s="2" t="n">
        <v>44392</v>
      </c>
    </row>
    <row r="1581">
      <c r="A1581" s="8" t="n">
        <v>34409385</v>
      </c>
      <c r="H1581" t="inlineStr">
        <is>
          <t>lasertechnic</t>
        </is>
      </c>
      <c r="I1581" s="8" t="inlineStr">
        <is>
          <t>Angelique</t>
        </is>
      </c>
      <c r="J1581" s="132" t="n">
        <v>44300</v>
      </c>
      <c r="K1581" s="2" t="n">
        <v>44301</v>
      </c>
      <c r="M1581" s="21" t="inlineStr">
        <is>
          <t>01</t>
        </is>
      </c>
      <c r="N1581" s="35" t="n">
        <v>4</v>
      </c>
      <c r="O1581" s="7" t="n">
        <v>19</v>
      </c>
      <c r="P1581" s="8" t="inlineStr">
        <is>
          <t>5 JOURS</t>
        </is>
      </c>
      <c r="Q1581" s="2" t="n">
        <v>44392</v>
      </c>
    </row>
    <row r="1582">
      <c r="A1582" s="8" t="n">
        <v>34409386</v>
      </c>
      <c r="H1582" t="inlineStr">
        <is>
          <t>lasertechnic</t>
        </is>
      </c>
      <c r="I1582" s="8" t="inlineStr">
        <is>
          <t>Angelique</t>
        </is>
      </c>
      <c r="J1582" s="132" t="n">
        <v>44300</v>
      </c>
      <c r="K1582" s="2" t="n">
        <v>44301</v>
      </c>
      <c r="M1582" s="21" t="inlineStr">
        <is>
          <t>01</t>
        </is>
      </c>
      <c r="N1582" s="35" t="n">
        <v>2</v>
      </c>
      <c r="O1582" s="7" t="n">
        <v>85</v>
      </c>
      <c r="P1582" s="8" t="inlineStr">
        <is>
          <t>5 JOURS</t>
        </is>
      </c>
      <c r="Q1582" s="2" t="n">
        <v>44392</v>
      </c>
    </row>
    <row r="1583">
      <c r="A1583" s="8" t="n">
        <v>34409387</v>
      </c>
      <c r="H1583" t="inlineStr">
        <is>
          <t>lasertechnic</t>
        </is>
      </c>
      <c r="I1583" s="8" t="inlineStr">
        <is>
          <t>Angelique</t>
        </is>
      </c>
      <c r="J1583" s="132" t="n">
        <v>44300</v>
      </c>
      <c r="K1583" s="2" t="n">
        <v>44301</v>
      </c>
      <c r="M1583" s="21" t="inlineStr">
        <is>
          <t>01</t>
        </is>
      </c>
      <c r="N1583" s="35" t="n">
        <v>4</v>
      </c>
      <c r="O1583" s="7" t="n">
        <v>34</v>
      </c>
      <c r="P1583" s="8" t="inlineStr">
        <is>
          <t>5 JOURS</t>
        </is>
      </c>
      <c r="Q1583" s="2" t="n">
        <v>44392</v>
      </c>
    </row>
    <row r="1584">
      <c r="A1584" s="8" t="n">
        <v>34409388</v>
      </c>
      <c r="H1584" t="inlineStr">
        <is>
          <t>lasertechnic</t>
        </is>
      </c>
      <c r="I1584" s="8" t="inlineStr">
        <is>
          <t>Angelique</t>
        </is>
      </c>
      <c r="J1584" s="132" t="n">
        <v>44300</v>
      </c>
      <c r="K1584" s="2" t="n">
        <v>44301</v>
      </c>
      <c r="M1584" s="21" t="inlineStr">
        <is>
          <t>01</t>
        </is>
      </c>
      <c r="N1584" s="35" t="n">
        <v>16</v>
      </c>
      <c r="O1584" s="7" t="n">
        <v>5</v>
      </c>
      <c r="P1584" s="8" t="inlineStr">
        <is>
          <t>5 JOURS</t>
        </is>
      </c>
      <c r="Q1584" s="2" t="n">
        <v>44392</v>
      </c>
    </row>
    <row r="1585">
      <c r="A1585" s="8" t="n">
        <v>34409389</v>
      </c>
      <c r="H1585" t="inlineStr">
        <is>
          <t>lasertechnic</t>
        </is>
      </c>
      <c r="I1585" s="8" t="inlineStr">
        <is>
          <t>Angelique</t>
        </is>
      </c>
      <c r="J1585" s="132" t="n">
        <v>44300</v>
      </c>
      <c r="K1585" s="2" t="n">
        <v>44301</v>
      </c>
      <c r="M1585" s="21" t="inlineStr">
        <is>
          <t>01</t>
        </is>
      </c>
      <c r="N1585" s="35" t="n">
        <v>2</v>
      </c>
      <c r="O1585" s="7" t="n">
        <v>19</v>
      </c>
      <c r="P1585" s="8" t="inlineStr">
        <is>
          <t>5 JOURS</t>
        </is>
      </c>
      <c r="Q1585" s="2" t="n">
        <v>44392</v>
      </c>
    </row>
    <row r="1586">
      <c r="A1586" s="8" t="n">
        <v>34409390</v>
      </c>
      <c r="H1586" t="inlineStr">
        <is>
          <t>lasertechnic</t>
        </is>
      </c>
      <c r="I1586" s="8" t="inlineStr">
        <is>
          <t>Angelique</t>
        </is>
      </c>
      <c r="J1586" s="132" t="n">
        <v>44300</v>
      </c>
      <c r="K1586" s="2" t="n">
        <v>44301</v>
      </c>
      <c r="M1586" s="21" t="inlineStr">
        <is>
          <t>01</t>
        </is>
      </c>
      <c r="N1586" s="35" t="n">
        <v>24</v>
      </c>
      <c r="O1586" s="7" t="n">
        <v>13</v>
      </c>
      <c r="P1586" s="8" t="inlineStr">
        <is>
          <t>5 JOURS</t>
        </is>
      </c>
      <c r="Q1586" s="2" t="n">
        <v>44392</v>
      </c>
    </row>
    <row r="1587">
      <c r="A1587" s="8" t="n">
        <v>34409380</v>
      </c>
      <c r="H1587" t="inlineStr">
        <is>
          <t>lasertechnic</t>
        </is>
      </c>
      <c r="I1587" s="8" t="inlineStr">
        <is>
          <t>Angelique</t>
        </is>
      </c>
      <c r="J1587" s="132" t="n">
        <v>44300</v>
      </c>
      <c r="K1587" s="2" t="n">
        <v>44301</v>
      </c>
      <c r="M1587" s="21" t="inlineStr">
        <is>
          <t>01</t>
        </is>
      </c>
      <c r="N1587" s="35" t="n">
        <v>1</v>
      </c>
      <c r="O1587" s="7" t="n">
        <v>128</v>
      </c>
      <c r="P1587" s="8" t="inlineStr">
        <is>
          <t>5 JOURS</t>
        </is>
      </c>
      <c r="Q1587" s="2" t="n">
        <v>44392</v>
      </c>
    </row>
    <row r="1588">
      <c r="A1588" s="8" t="n">
        <v>34409381</v>
      </c>
      <c r="H1588" t="inlineStr">
        <is>
          <t>lasertechnic</t>
        </is>
      </c>
      <c r="I1588" s="8" t="inlineStr">
        <is>
          <t>Angelique</t>
        </is>
      </c>
      <c r="J1588" s="132" t="n">
        <v>44300</v>
      </c>
      <c r="K1588" s="2" t="n">
        <v>44301</v>
      </c>
      <c r="M1588" s="21" t="inlineStr">
        <is>
          <t>01</t>
        </is>
      </c>
      <c r="N1588" s="35" t="n">
        <v>2</v>
      </c>
      <c r="O1588" s="7" t="n">
        <v>28</v>
      </c>
      <c r="P1588" s="8" t="inlineStr">
        <is>
          <t>5 JOURS</t>
        </is>
      </c>
      <c r="Q1588" s="2" t="n">
        <v>44392</v>
      </c>
    </row>
    <row r="1589">
      <c r="A1589" s="8" t="n">
        <v>34409386</v>
      </c>
      <c r="H1589" t="inlineStr">
        <is>
          <t>lasertechnic</t>
        </is>
      </c>
      <c r="I1589" s="8" t="inlineStr">
        <is>
          <t>Angelique</t>
        </is>
      </c>
      <c r="J1589" s="132" t="n">
        <v>44300</v>
      </c>
      <c r="K1589" s="2" t="n">
        <v>44301</v>
      </c>
      <c r="M1589" s="21" t="inlineStr">
        <is>
          <t>01</t>
        </is>
      </c>
      <c r="N1589" s="35" t="n">
        <v>6</v>
      </c>
      <c r="O1589" s="7" t="n">
        <v>16</v>
      </c>
      <c r="P1589" s="8" t="inlineStr">
        <is>
          <t>5 JOURS</t>
        </is>
      </c>
      <c r="Q1589" s="2" t="n">
        <v>44392</v>
      </c>
    </row>
    <row r="1590">
      <c r="A1590" s="8" t="n">
        <v>34409391</v>
      </c>
    </row>
    <row r="1591">
      <c r="A1591" s="8" t="n">
        <v>34409392</v>
      </c>
    </row>
    <row r="1592">
      <c r="A1592" s="8" t="n">
        <v>34409393</v>
      </c>
      <c r="H1592" t="inlineStr">
        <is>
          <t>ERIKS</t>
        </is>
      </c>
      <c r="I1592" s="8" t="inlineStr">
        <is>
          <t>Angelique</t>
        </is>
      </c>
      <c r="J1592" s="132" t="n">
        <v>44300</v>
      </c>
      <c r="K1592" s="132" t="n">
        <v>44301</v>
      </c>
      <c r="M1592" s="21" t="inlineStr">
        <is>
          <t>01</t>
        </is>
      </c>
      <c r="N1592" s="35" t="n">
        <v>7</v>
      </c>
      <c r="O1592" s="7" t="n">
        <v>24.72</v>
      </c>
      <c r="P1592" s="35" t="inlineStr">
        <is>
          <t>3 SEMAINES</t>
        </is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4">
    <outlinePr summaryBelow="1" summaryRight="1"/>
    <pageSetUpPr/>
  </sheetPr>
  <dimension ref="A1:B16"/>
  <sheetViews>
    <sheetView workbookViewId="0">
      <selection activeCell="D18" sqref="D18"/>
    </sheetView>
  </sheetViews>
  <sheetFormatPr baseColWidth="8" defaultColWidth="11.42578125" defaultRowHeight="15"/>
  <cols>
    <col width="11.140625" bestFit="1" customWidth="1" style="142" min="1" max="1"/>
    <col width="15.140625" bestFit="1" customWidth="1" style="142" min="2" max="2"/>
  </cols>
  <sheetData>
    <row r="1">
      <c r="A1" t="inlineStr">
        <is>
          <t>MATIERE</t>
        </is>
      </c>
      <c r="B1" t="inlineStr">
        <is>
          <t>SHORT TYPE</t>
        </is>
      </c>
    </row>
    <row r="2">
      <c r="A2" t="inlineStr">
        <is>
          <t>CUIVRE</t>
        </is>
      </c>
      <c r="B2" t="inlineStr">
        <is>
          <t>COP</t>
        </is>
      </c>
    </row>
    <row r="3">
      <c r="A3" t="inlineStr">
        <is>
          <t>METAL</t>
        </is>
      </c>
      <c r="B3" t="inlineStr">
        <is>
          <t>SMT</t>
        </is>
      </c>
    </row>
    <row r="4">
      <c r="A4" t="inlineStr">
        <is>
          <t>PLASTIQUE</t>
        </is>
      </c>
      <c r="B4" t="inlineStr">
        <is>
          <t>PLA</t>
        </is>
      </c>
    </row>
    <row r="5">
      <c r="A5" t="inlineStr">
        <is>
          <t>FILERIE</t>
        </is>
      </c>
      <c r="B5" t="inlineStr">
        <is>
          <t>WIR</t>
        </is>
      </c>
    </row>
    <row r="6">
      <c r="A6" t="inlineStr">
        <is>
          <t>PALETTE</t>
        </is>
      </c>
      <c r="B6" t="inlineStr">
        <is>
          <t>WOOD</t>
        </is>
      </c>
    </row>
    <row r="7">
      <c r="A7" t="inlineStr">
        <is>
          <t>SCHNEIDER</t>
        </is>
      </c>
      <c r="B7" t="inlineStr">
        <is>
          <t>SE</t>
        </is>
      </c>
    </row>
    <row r="8">
      <c r="A8" t="inlineStr">
        <is>
          <t>SE</t>
        </is>
      </c>
      <c r="B8" t="inlineStr">
        <is>
          <t>SE</t>
        </is>
      </c>
    </row>
    <row r="9">
      <c r="B9" s="38" t="inlineStr"/>
    </row>
    <row r="10">
      <c r="A10" t="inlineStr">
        <is>
          <t>BOIS</t>
        </is>
      </c>
      <c r="B10" t="inlineStr">
        <is>
          <t>WOOD</t>
        </is>
      </c>
    </row>
    <row r="11">
      <c r="A11" t="inlineStr">
        <is>
          <t>ETO</t>
        </is>
      </c>
      <c r="B11" t="inlineStr">
        <is>
          <t>ETO</t>
        </is>
      </c>
    </row>
    <row r="12">
      <c r="A12" t="inlineStr">
        <is>
          <t>ETIQUETTE</t>
        </is>
      </c>
      <c r="B12" t="inlineStr">
        <is>
          <t>ETQ</t>
        </is>
      </c>
    </row>
    <row r="13">
      <c r="A13" t="inlineStr">
        <is>
          <t>MARKING</t>
        </is>
      </c>
      <c r="B13" t="inlineStr">
        <is>
          <t>ETQ</t>
        </is>
      </c>
    </row>
    <row r="14">
      <c r="A14" t="inlineStr">
        <is>
          <t>EPOXY</t>
        </is>
      </c>
      <c r="B14" t="inlineStr">
        <is>
          <t>PLA</t>
        </is>
      </c>
    </row>
    <row r="16">
      <c r="A16" t="inlineStr">
        <is>
          <t>NOM</t>
        </is>
      </c>
      <c r="B16" t="inlineStr">
        <is>
          <t>BOM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VINCENT MATRION</dc:creator>
  <dcterms:created xsi:type="dcterms:W3CDTF">2019-12-11T12:32:46Z</dcterms:created>
  <dcterms:modified xsi:type="dcterms:W3CDTF">2025-05-16T10:45:28Z</dcterms:modified>
  <cp:lastModifiedBy>Dorian BESSIERE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0x010100EB40779860BCC74A96C515AD5251F856</vt:lpwstr>
  </property>
  <property name="MSIP_Label_fe7c75fe-f914-45f8-9747-40a3f5d4287a_Enabled" fmtid="{D5CDD505-2E9C-101B-9397-08002B2CF9AE}" pid="3">
    <vt:lpwstr>true</vt:lpwstr>
  </property>
  <property name="MSIP_Label_fe7c75fe-f914-45f8-9747-40a3f5d4287a_SetDate" fmtid="{D5CDD505-2E9C-101B-9397-08002B2CF9AE}" pid="4">
    <vt:lpwstr>2021-03-29T10:18:01Z</vt:lpwstr>
  </property>
  <property name="MSIP_Label_fe7c75fe-f914-45f8-9747-40a3f5d4287a_Method" fmtid="{D5CDD505-2E9C-101B-9397-08002B2CF9AE}" pid="5">
    <vt:lpwstr>Standard</vt:lpwstr>
  </property>
  <property name="MSIP_Label_fe7c75fe-f914-45f8-9747-40a3f5d4287a_Name" fmtid="{D5CDD505-2E9C-101B-9397-08002B2CF9AE}" pid="6">
    <vt:lpwstr>Without Visual Marking</vt:lpwstr>
  </property>
  <property name="MSIP_Label_fe7c75fe-f914-45f8-9747-40a3f5d4287a_SiteId" fmtid="{D5CDD505-2E9C-101B-9397-08002B2CF9AE}" pid="7">
    <vt:lpwstr>6e51e1ad-c54b-4b39-b598-0ffe9ae68fef</vt:lpwstr>
  </property>
  <property name="MSIP_Label_fe7c75fe-f914-45f8-9747-40a3f5d4287a_ActionId" fmtid="{D5CDD505-2E9C-101B-9397-08002B2CF9AE}" pid="8">
    <vt:lpwstr>aa6587ba-81f1-4029-891d-722227fa9068</vt:lpwstr>
  </property>
  <property name="MSIP_Label_fe7c75fe-f914-45f8-9747-40a3f5d4287a_ContentBits" fmtid="{D5CDD505-2E9C-101B-9397-08002B2CF9AE}" pid="9">
    <vt:lpwstr>0</vt:lpwstr>
  </property>
  <property name="MediaServiceImageTags" fmtid="{D5CDD505-2E9C-101B-9397-08002B2CF9AE}" pid="10">
    <vt:lpwstr/>
  </property>
</Properties>
</file>